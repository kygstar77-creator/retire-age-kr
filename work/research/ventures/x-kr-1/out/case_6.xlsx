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 가계부" sheetId="1" state="visible" r:id="rId1"/>
    <sheet xmlns:r="http://schemas.openxmlformats.org/officeDocument/2006/relationships" name="은퇴 나이" sheetId="2" state="visible" r:id="rId2"/>
    <sheet xmlns:r="http://schemas.openxmlformats.org/officeDocument/2006/relationships" name="설명" sheetId="3" state="visible" r:id="rId3"/>
    <sheet xmlns:r="http://schemas.openxmlformats.org/officeDocument/2006/relationships" name="계산" sheetId="4" state="hidden" r:id="rId4"/>
  </sheets>
  <definedNames>
    <definedName name="_xlnm.Print_Area" localSheetId="0">'월 가계부'!$A$1:$K$60</definedName>
    <definedName name="_xlnm.Print_Area" localSheetId="1">'은퇴 나이'!$A$1:$H$50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"/>
    <numFmt numFmtId="166" formatCode="#,##0;-#,##0;&quot;&quot;"/>
    <numFmt numFmtId="167" formatCode="#,##0&quot;원&quot;"/>
    <numFmt numFmtId="168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18191D"/>
      <sz val="11"/>
    </font>
    <font>
      <name val="맑은 고딕"/>
      <color rgb="004E5968"/>
      <sz val="9"/>
    </font>
    <font>
      <name val="맑은 고딕"/>
      <b val="1"/>
      <color rgb="00FF5A00"/>
      <sz val="10"/>
    </font>
    <font>
      <name val="맑은 고딕"/>
      <color rgb="0018191D"/>
      <sz val="10"/>
    </font>
    <font>
      <name val="맑은 고딕"/>
      <color rgb="004E5968"/>
      <sz val="11"/>
    </font>
    <font>
      <name val="맑은 고딕"/>
      <b val="1"/>
      <color rgb="00FF5A00"/>
      <sz val="36"/>
    </font>
    <font>
      <name val="맑은 고딕"/>
      <color rgb="004E5968"/>
      <sz val="10"/>
    </font>
    <font>
      <name val="맑은 고딕"/>
      <b val="1"/>
      <color rgb="0018191D"/>
      <sz val="14"/>
    </font>
    <font>
      <name val="맑은 고딕"/>
      <color rgb="0018191D"/>
      <sz val="11"/>
    </font>
    <font>
      <name val="맑은 고딕"/>
      <color rgb="004E5968"/>
      <sz val="10"/>
      <u val="single"/>
    </font>
    <font>
      <name val="맑은 고딕"/>
      <b val="1"/>
      <color rgb="0018191D"/>
      <sz val="12"/>
    </font>
    <font>
      <name val="맑은 고딕"/>
      <color rgb="004E5968"/>
      <sz val="11"/>
      <u val="single"/>
    </font>
  </fonts>
  <fills count="3">
    <fill>
      <patternFill/>
    </fill>
    <fill>
      <patternFill patternType="gray125"/>
    </fill>
    <fill>
      <patternFill patternType="solid">
        <fgColor rgb="00F6F7F9"/>
      </patternFill>
    </fill>
  </fills>
  <borders count="5">
    <border>
      <left/>
      <right/>
      <top/>
      <bottom/>
      <diagonal/>
    </border>
    <border>
      <bottom style="thin">
        <color rgb="00E5E8EB"/>
      </bottom>
    </border>
    <border>
      <left style="thin">
        <color rgb="00E5E8EB"/>
      </left>
      <top style="thin">
        <color rgb="00E5E8EB"/>
      </top>
      <bottom style="thin">
        <color rgb="00E5E8EB"/>
      </bottom>
    </border>
    <border>
      <top style="thin">
        <color rgb="00E5E8EB"/>
      </top>
      <bottom style="thin">
        <color rgb="00E5E8EB"/>
      </bottom>
    </border>
    <border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167" fontId="8" fillId="0" borderId="1" applyAlignment="1" pivotButton="0" quotePrefix="0" xfId="0">
      <alignment horizontal="left"/>
    </xf>
    <xf numFmtId="0" fontId="0" fillId="0" borderId="1" pivotButton="0" quotePrefix="0" xfId="0"/>
    <xf numFmtId="0" fontId="9" fillId="0" borderId="0" pivotButton="0" quotePrefix="0" xfId="0"/>
    <xf numFmtId="1" fontId="1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3" fontId="1" fillId="2" borderId="2" pivotButton="0" quotePrefix="0" xfId="0"/>
    <xf numFmtId="168" fontId="1" fillId="2" borderId="2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나이별 자산(백만원) — 은퇴 나이에 일을 그만두면</a:t>
            </a:r>
          </a:p>
        </rich>
      </tx>
      <overlay val="0"/>
    </title>
    <plotArea>
      <scatterChart>
        <ser>
          <idx val="0"/>
          <order val="0"/>
          <spPr>
            <a:ln xmlns:a="http://schemas.openxmlformats.org/drawingml/2006/main" w="28000">
              <a:solidFill>
                <a:srgbClr val="FF5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'계산'!$CE$2:$CE$72</f>
            </numRef>
          </xVal>
          <yVal>
            <numRef>
              <f>'계산'!$CF$2:$CF$72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20"/>
        </scaling>
        <delete val="0"/>
        <axPos val="l"/>
        <majorTickMark val="none"/>
        <minorTickMark val="none"/>
        <crossAx val="20"/>
        <majorUnit val="1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저축률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E5968"/>
            </a:solidFill>
            <a:ln xmlns:a="http://schemas.openxmlformats.org/drawingml/2006/main">
              <a:prstDash val="solid"/>
            </a:ln>
          </spPr>
          <cat>
            <numRef>
              <f>'월 가계부'!$G$3:$G$14</f>
            </numRef>
          </cat>
          <val>
            <numRef>
              <f>'월 가계부'!$K$3:$K$14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57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remap.kr/?utm_source=xlsx&amp;utm_medium=sheet&amp;utm_campaign=xkr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remap.kr/?utm_source=xlsx&amp;utm_medium=guide&amp;utm_campaign=xkr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2" customWidth="1" min="5" max="5"/>
    <col width="3" customWidth="1" min="6" max="6"/>
    <col width="10" customWidth="1" min="7" max="7"/>
    <col width="13" customWidth="1" min="8" max="8"/>
    <col width="13" customWidth="1" min="9" max="9"/>
    <col width="13" customWidth="1" min="10" max="10"/>
    <col width="9" customWidth="1" min="11" max="11"/>
  </cols>
  <sheetData>
    <row r="1">
      <c r="A1" s="1" t="inlineStr">
        <is>
          <t>날짜</t>
        </is>
      </c>
      <c r="B1" s="1" t="inlineStr">
        <is>
          <t>항목</t>
        </is>
      </c>
      <c r="C1" s="1" t="inlineStr">
        <is>
          <t>금액</t>
        </is>
      </c>
      <c r="D1" s="1" t="inlineStr">
        <is>
          <t>분류</t>
        </is>
      </c>
      <c r="E1" s="1" t="inlineStr">
        <is>
          <t>확인</t>
        </is>
      </c>
      <c r="G1" s="1" t="inlineStr">
        <is>
          <t>월</t>
        </is>
      </c>
      <c r="H1" s="1" t="inlineStr">
        <is>
          <t>수입</t>
        </is>
      </c>
      <c r="I1" s="1" t="inlineStr">
        <is>
          <t>지출</t>
        </is>
      </c>
      <c r="J1" s="1" t="inlineStr">
        <is>
          <t>저축</t>
        </is>
      </c>
      <c r="K1" s="1" t="inlineStr">
        <is>
          <t>저축률</t>
        </is>
      </c>
    </row>
    <row r="2">
      <c r="E2" s="2" t="inlineStr">
        <is>
          <t>못 읽은 줄 표시</t>
        </is>
      </c>
    </row>
    <row r="3">
      <c r="A3" s="3" t="n">
        <v>46235</v>
      </c>
      <c r="B3" t="inlineStr">
        <is>
          <t>급여</t>
        </is>
      </c>
      <c r="C3" s="4" t="n">
        <v>5000000</v>
      </c>
      <c r="D3" t="inlineStr">
        <is>
          <t>수입</t>
        </is>
      </c>
      <c r="E3" s="5">
        <f>IF(C3="","",IF(계산!CI3="","날짜 확인",IF(계산!CJ3="","금액 확인","")))</f>
        <v/>
      </c>
      <c r="G3" s="6">
        <f>IF(계산!$B$5="","",EDATE(계산!$B$5,-11))</f>
        <v/>
      </c>
      <c r="H3" s="7">
        <f>IF(G3="","",SUMIFS(계산!$CJ$3:$CJ$3002,$D$3:$D$3002,"수입",계산!$CI$3:$CI$3002,"&gt;="&amp;G3,계산!$CI$3:$CI$3002,"&lt;"&amp;EDATE(G3,1)))</f>
        <v/>
      </c>
      <c r="I3" s="7">
        <f>IF(G3="","",SUMIFS(계산!$CJ$3:$CJ$3002,계산!$CI$3:$CI$3002,"&gt;="&amp;G3,계산!$CI$3:$CI$3002,"&lt;"&amp;EDATE(G3,1))-H3)</f>
        <v/>
      </c>
      <c r="J3" s="8">
        <f>IF(OR(G3="",AND(H3=0,I3=0)),"",H3-I3)</f>
        <v/>
      </c>
      <c r="K3" s="9">
        <f>IF(OR(G3="",H3=0),"",J3/H3)</f>
        <v/>
      </c>
    </row>
    <row r="4">
      <c r="A4" s="3" t="n">
        <v>46236</v>
      </c>
      <c r="B4" t="inlineStr">
        <is>
          <t>생활비</t>
        </is>
      </c>
      <c r="C4" s="4" t="n">
        <v>3200000</v>
      </c>
      <c r="D4" t="inlineStr">
        <is>
          <t>기타상품·서비스</t>
        </is>
      </c>
      <c r="E4" s="5">
        <f>IF(C4="","",IF(계산!CI4="","날짜 확인",IF(계산!CJ4="","금액 확인","")))</f>
        <v/>
      </c>
      <c r="G4" s="6">
        <f>IF(계산!$B$5="","",EDATE(계산!$B$5,-10))</f>
        <v/>
      </c>
      <c r="H4" s="7">
        <f>IF(G4="","",SUMIFS(계산!$CJ$3:$CJ$3002,$D$3:$D$3002,"수입",계산!$CI$3:$CI$3002,"&gt;="&amp;G4,계산!$CI$3:$CI$3002,"&lt;"&amp;EDATE(G4,1)))</f>
        <v/>
      </c>
      <c r="I4" s="7">
        <f>IF(G4="","",SUMIFS(계산!$CJ$3:$CJ$3002,계산!$CI$3:$CI$3002,"&gt;="&amp;G4,계산!$CI$3:$CI$3002,"&lt;"&amp;EDATE(G4,1))-H4)</f>
        <v/>
      </c>
      <c r="J4" s="8">
        <f>IF(OR(G4="",AND(H4=0,I4=0)),"",H4-I4)</f>
        <v/>
      </c>
      <c r="K4" s="9">
        <f>IF(OR(G4="",H4=0),"",J4/H4)</f>
        <v/>
      </c>
    </row>
    <row r="5">
      <c r="A5" s="3" t="n">
        <v>46266</v>
      </c>
      <c r="B5" t="inlineStr">
        <is>
          <t>급여</t>
        </is>
      </c>
      <c r="C5" s="4" t="n">
        <v>5000000</v>
      </c>
      <c r="D5" t="inlineStr">
        <is>
          <t>수입</t>
        </is>
      </c>
      <c r="E5" s="5">
        <f>IF(C5="","",IF(계산!CI5="","날짜 확인",IF(계산!CJ5="","금액 확인","")))</f>
        <v/>
      </c>
      <c r="G5" s="6">
        <f>IF(계산!$B$5="","",EDATE(계산!$B$5,-9))</f>
        <v/>
      </c>
      <c r="H5" s="7">
        <f>IF(G5="","",SUMIFS(계산!$CJ$3:$CJ$3002,$D$3:$D$3002,"수입",계산!$CI$3:$CI$3002,"&gt;="&amp;G5,계산!$CI$3:$CI$3002,"&lt;"&amp;EDATE(G5,1)))</f>
        <v/>
      </c>
      <c r="I5" s="7">
        <f>IF(G5="","",SUMIFS(계산!$CJ$3:$CJ$3002,계산!$CI$3:$CI$3002,"&gt;="&amp;G5,계산!$CI$3:$CI$3002,"&lt;"&amp;EDATE(G5,1))-H5)</f>
        <v/>
      </c>
      <c r="J5" s="8">
        <f>IF(OR(G5="",AND(H5=0,I5=0)),"",H5-I5)</f>
        <v/>
      </c>
      <c r="K5" s="9">
        <f>IF(OR(G5="",H5=0),"",J5/H5)</f>
        <v/>
      </c>
    </row>
    <row r="6">
      <c r="A6" s="3" t="n">
        <v>46267</v>
      </c>
      <c r="B6" t="inlineStr">
        <is>
          <t>생활비</t>
        </is>
      </c>
      <c r="C6" s="4" t="n">
        <v>3000000</v>
      </c>
      <c r="D6" t="inlineStr">
        <is>
          <t>기타상품·서비스</t>
        </is>
      </c>
      <c r="E6" s="5">
        <f>IF(C6="","",IF(계산!CI6="","날짜 확인",IF(계산!CJ6="","금액 확인","")))</f>
        <v/>
      </c>
      <c r="G6" s="6">
        <f>IF(계산!$B$5="","",EDATE(계산!$B$5,-8))</f>
        <v/>
      </c>
      <c r="H6" s="7">
        <f>IF(G6="","",SUMIFS(계산!$CJ$3:$CJ$3002,$D$3:$D$3002,"수입",계산!$CI$3:$CI$3002,"&gt;="&amp;G6,계산!$CI$3:$CI$3002,"&lt;"&amp;EDATE(G6,1)))</f>
        <v/>
      </c>
      <c r="I6" s="7">
        <f>IF(G6="","",SUMIFS(계산!$CJ$3:$CJ$3002,계산!$CI$3:$CI$3002,"&gt;="&amp;G6,계산!$CI$3:$CI$3002,"&lt;"&amp;EDATE(G6,1))-H6)</f>
        <v/>
      </c>
      <c r="J6" s="8">
        <f>IF(OR(G6="",AND(H6=0,I6=0)),"",H6-I6)</f>
        <v/>
      </c>
      <c r="K6" s="9">
        <f>IF(OR(G6="",H6=0),"",J6/H6)</f>
        <v/>
      </c>
    </row>
    <row r="7">
      <c r="A7" s="3" t="n"/>
      <c r="C7" s="4" t="n"/>
      <c r="E7" s="5">
        <f>IF(C7="","",IF(계산!CI7="","날짜 확인",IF(계산!CJ7="","금액 확인","")))</f>
        <v/>
      </c>
      <c r="G7" s="6">
        <f>IF(계산!$B$5="","",EDATE(계산!$B$5,-7))</f>
        <v/>
      </c>
      <c r="H7" s="7">
        <f>IF(G7="","",SUMIFS(계산!$CJ$3:$CJ$3002,$D$3:$D$3002,"수입",계산!$CI$3:$CI$3002,"&gt;="&amp;G7,계산!$CI$3:$CI$3002,"&lt;"&amp;EDATE(G7,1)))</f>
        <v/>
      </c>
      <c r="I7" s="7">
        <f>IF(G7="","",SUMIFS(계산!$CJ$3:$CJ$3002,계산!$CI$3:$CI$3002,"&gt;="&amp;G7,계산!$CI$3:$CI$3002,"&lt;"&amp;EDATE(G7,1))-H7)</f>
        <v/>
      </c>
      <c r="J7" s="8">
        <f>IF(OR(G7="",AND(H7=0,I7=0)),"",H7-I7)</f>
        <v/>
      </c>
      <c r="K7" s="9">
        <f>IF(OR(G7="",H7=0),"",J7/H7)</f>
        <v/>
      </c>
    </row>
    <row r="8">
      <c r="A8" s="3" t="n"/>
      <c r="C8" s="4" t="n"/>
      <c r="E8" s="5">
        <f>IF(C8="","",IF(계산!CI8="","날짜 확인",IF(계산!CJ8="","금액 확인","")))</f>
        <v/>
      </c>
      <c r="G8" s="6">
        <f>IF(계산!$B$5="","",EDATE(계산!$B$5,-6))</f>
        <v/>
      </c>
      <c r="H8" s="7">
        <f>IF(G8="","",SUMIFS(계산!$CJ$3:$CJ$3002,$D$3:$D$3002,"수입",계산!$CI$3:$CI$3002,"&gt;="&amp;G8,계산!$CI$3:$CI$3002,"&lt;"&amp;EDATE(G8,1)))</f>
        <v/>
      </c>
      <c r="I8" s="7">
        <f>IF(G8="","",SUMIFS(계산!$CJ$3:$CJ$3002,계산!$CI$3:$CI$3002,"&gt;="&amp;G8,계산!$CI$3:$CI$3002,"&lt;"&amp;EDATE(G8,1))-H8)</f>
        <v/>
      </c>
      <c r="J8" s="8">
        <f>IF(OR(G8="",AND(H8=0,I8=0)),"",H8-I8)</f>
        <v/>
      </c>
      <c r="K8" s="9">
        <f>IF(OR(G8="",H8=0),"",J8/H8)</f>
        <v/>
      </c>
    </row>
    <row r="9">
      <c r="A9" s="3" t="n"/>
      <c r="C9" s="4" t="n"/>
      <c r="E9" s="5">
        <f>IF(C9="","",IF(계산!CI9="","날짜 확인",IF(계산!CJ9="","금액 확인","")))</f>
        <v/>
      </c>
      <c r="G9" s="6">
        <f>IF(계산!$B$5="","",EDATE(계산!$B$5,-5))</f>
        <v/>
      </c>
      <c r="H9" s="7">
        <f>IF(G9="","",SUMIFS(계산!$CJ$3:$CJ$3002,$D$3:$D$3002,"수입",계산!$CI$3:$CI$3002,"&gt;="&amp;G9,계산!$CI$3:$CI$3002,"&lt;"&amp;EDATE(G9,1)))</f>
        <v/>
      </c>
      <c r="I9" s="7">
        <f>IF(G9="","",SUMIFS(계산!$CJ$3:$CJ$3002,계산!$CI$3:$CI$3002,"&gt;="&amp;G9,계산!$CI$3:$CI$3002,"&lt;"&amp;EDATE(G9,1))-H9)</f>
        <v/>
      </c>
      <c r="J9" s="8">
        <f>IF(OR(G9="",AND(H9=0,I9=0)),"",H9-I9)</f>
        <v/>
      </c>
      <c r="K9" s="9">
        <f>IF(OR(G9="",H9=0),"",J9/H9)</f>
        <v/>
      </c>
    </row>
    <row r="10">
      <c r="A10" s="3" t="n"/>
      <c r="C10" s="4" t="n"/>
      <c r="E10" s="5">
        <f>IF(C10="","",IF(계산!CI10="","날짜 확인",IF(계산!CJ10="","금액 확인","")))</f>
        <v/>
      </c>
      <c r="G10" s="6">
        <f>IF(계산!$B$5="","",EDATE(계산!$B$5,-4))</f>
        <v/>
      </c>
      <c r="H10" s="7">
        <f>IF(G10="","",SUMIFS(계산!$CJ$3:$CJ$3002,$D$3:$D$3002,"수입",계산!$CI$3:$CI$3002,"&gt;="&amp;G10,계산!$CI$3:$CI$3002,"&lt;"&amp;EDATE(G10,1)))</f>
        <v/>
      </c>
      <c r="I10" s="7">
        <f>IF(G10="","",SUMIFS(계산!$CJ$3:$CJ$3002,계산!$CI$3:$CI$3002,"&gt;="&amp;G10,계산!$CI$3:$CI$3002,"&lt;"&amp;EDATE(G10,1))-H10)</f>
        <v/>
      </c>
      <c r="J10" s="8">
        <f>IF(OR(G10="",AND(H10=0,I10=0)),"",H10-I10)</f>
        <v/>
      </c>
      <c r="K10" s="9">
        <f>IF(OR(G10="",H10=0),"",J10/H10)</f>
        <v/>
      </c>
    </row>
    <row r="11">
      <c r="A11" s="3" t="n"/>
      <c r="C11" s="4" t="n"/>
      <c r="E11" s="5">
        <f>IF(C11="","",IF(계산!CI11="","날짜 확인",IF(계산!CJ11="","금액 확인","")))</f>
        <v/>
      </c>
      <c r="G11" s="6">
        <f>IF(계산!$B$5="","",EDATE(계산!$B$5,-3))</f>
        <v/>
      </c>
      <c r="H11" s="7">
        <f>IF(G11="","",SUMIFS(계산!$CJ$3:$CJ$3002,$D$3:$D$3002,"수입",계산!$CI$3:$CI$3002,"&gt;="&amp;G11,계산!$CI$3:$CI$3002,"&lt;"&amp;EDATE(G11,1)))</f>
        <v/>
      </c>
      <c r="I11" s="7">
        <f>IF(G11="","",SUMIFS(계산!$CJ$3:$CJ$3002,계산!$CI$3:$CI$3002,"&gt;="&amp;G11,계산!$CI$3:$CI$3002,"&lt;"&amp;EDATE(G11,1))-H11)</f>
        <v/>
      </c>
      <c r="J11" s="8">
        <f>IF(OR(G11="",AND(H11=0,I11=0)),"",H11-I11)</f>
        <v/>
      </c>
      <c r="K11" s="9">
        <f>IF(OR(G11="",H11=0),"",J11/H11)</f>
        <v/>
      </c>
    </row>
    <row r="12">
      <c r="A12" s="3" t="n"/>
      <c r="C12" s="4" t="n"/>
      <c r="E12" s="5">
        <f>IF(C12="","",IF(계산!CI12="","날짜 확인",IF(계산!CJ12="","금액 확인","")))</f>
        <v/>
      </c>
      <c r="G12" s="6">
        <f>IF(계산!$B$5="","",EDATE(계산!$B$5,-2))</f>
        <v/>
      </c>
      <c r="H12" s="7">
        <f>IF(G12="","",SUMIFS(계산!$CJ$3:$CJ$3002,$D$3:$D$3002,"수입",계산!$CI$3:$CI$3002,"&gt;="&amp;G12,계산!$CI$3:$CI$3002,"&lt;"&amp;EDATE(G12,1)))</f>
        <v/>
      </c>
      <c r="I12" s="7">
        <f>IF(G12="","",SUMIFS(계산!$CJ$3:$CJ$3002,계산!$CI$3:$CI$3002,"&gt;="&amp;G12,계산!$CI$3:$CI$3002,"&lt;"&amp;EDATE(G12,1))-H12)</f>
        <v/>
      </c>
      <c r="J12" s="8">
        <f>IF(OR(G12="",AND(H12=0,I12=0)),"",H12-I12)</f>
        <v/>
      </c>
      <c r="K12" s="9">
        <f>IF(OR(G12="",H12=0),"",J12/H12)</f>
        <v/>
      </c>
    </row>
    <row r="13">
      <c r="A13" s="3" t="n"/>
      <c r="C13" s="4" t="n"/>
      <c r="E13" s="5">
        <f>IF(C13="","",IF(계산!CI13="","날짜 확인",IF(계산!CJ13="","금액 확인","")))</f>
        <v/>
      </c>
      <c r="G13" s="6">
        <f>IF(계산!$B$5="","",EDATE(계산!$B$5,-1))</f>
        <v/>
      </c>
      <c r="H13" s="7">
        <f>IF(G13="","",SUMIFS(계산!$CJ$3:$CJ$3002,$D$3:$D$3002,"수입",계산!$CI$3:$CI$3002,"&gt;="&amp;G13,계산!$CI$3:$CI$3002,"&lt;"&amp;EDATE(G13,1)))</f>
        <v/>
      </c>
      <c r="I13" s="7">
        <f>IF(G13="","",SUMIFS(계산!$CJ$3:$CJ$3002,계산!$CI$3:$CI$3002,"&gt;="&amp;G13,계산!$CI$3:$CI$3002,"&lt;"&amp;EDATE(G13,1))-H13)</f>
        <v/>
      </c>
      <c r="J13" s="8">
        <f>IF(OR(G13="",AND(H13=0,I13=0)),"",H13-I13)</f>
        <v/>
      </c>
      <c r="K13" s="9">
        <f>IF(OR(G13="",H13=0),"",J13/H13)</f>
        <v/>
      </c>
    </row>
    <row r="14">
      <c r="A14" s="3" t="n"/>
      <c r="C14" s="4" t="n"/>
      <c r="E14" s="5">
        <f>IF(C14="","",IF(계산!CI14="","날짜 확인",IF(계산!CJ14="","금액 확인","")))</f>
        <v/>
      </c>
      <c r="G14" s="6">
        <f>IF(계산!$B$5="","",EDATE(계산!$B$5,0))</f>
        <v/>
      </c>
      <c r="H14" s="7">
        <f>IF(G14="","",SUMIFS(계산!$CJ$3:$CJ$3002,$D$3:$D$3002,"수입",계산!$CI$3:$CI$3002,"&gt;="&amp;G14,계산!$CI$3:$CI$3002,"&lt;"&amp;EDATE(G14,1)))</f>
        <v/>
      </c>
      <c r="I14" s="7">
        <f>IF(G14="","",SUMIFS(계산!$CJ$3:$CJ$3002,계산!$CI$3:$CI$3002,"&gt;="&amp;G14,계산!$CI$3:$CI$3002,"&lt;"&amp;EDATE(G14,1))-H14)</f>
        <v/>
      </c>
      <c r="J14" s="8">
        <f>IF(OR(G14="",AND(H14=0,I14=0)),"",H14-I14)</f>
        <v/>
      </c>
      <c r="K14" s="9">
        <f>IF(OR(G14="",H14=0),"",J14/H14)</f>
        <v/>
      </c>
    </row>
    <row r="15">
      <c r="A15" s="3" t="n"/>
      <c r="C15" s="4" t="n"/>
      <c r="E15" s="5">
        <f>IF(C15="","",IF(계산!CI15="","날짜 확인",IF(계산!CJ15="","금액 확인","")))</f>
        <v/>
      </c>
    </row>
    <row r="16">
      <c r="A16" s="3" t="n"/>
      <c r="C16" s="4" t="n"/>
      <c r="E16" s="5">
        <f>IF(C16="","",IF(계산!CI16="","날짜 확인",IF(계산!CJ16="","금액 확인","")))</f>
        <v/>
      </c>
    </row>
    <row r="17">
      <c r="A17" s="3" t="n"/>
      <c r="C17" s="4" t="n"/>
      <c r="E17" s="5">
        <f>IF(C17="","",IF(계산!CI17="","날짜 확인",IF(계산!CJ17="","금액 확인","")))</f>
        <v/>
      </c>
    </row>
    <row r="18">
      <c r="A18" s="3" t="n"/>
      <c r="C18" s="4" t="n"/>
      <c r="E18" s="5">
        <f>IF(C18="","",IF(계산!CI18="","날짜 확인",IF(계산!CJ18="","금액 확인","")))</f>
        <v/>
      </c>
    </row>
    <row r="19">
      <c r="A19" s="3" t="n"/>
      <c r="C19" s="4" t="n"/>
      <c r="E19" s="5">
        <f>IF(C19="","",IF(계산!CI19="","날짜 확인",IF(계산!CJ19="","금액 확인","")))</f>
        <v/>
      </c>
    </row>
    <row r="20">
      <c r="A20" s="3" t="n"/>
      <c r="C20" s="4" t="n"/>
      <c r="E20" s="5">
        <f>IF(C20="","",IF(계산!CI20="","날짜 확인",IF(계산!CJ20="","금액 확인","")))</f>
        <v/>
      </c>
    </row>
    <row r="21">
      <c r="A21" s="3" t="n"/>
      <c r="C21" s="4" t="n"/>
      <c r="E21" s="5">
        <f>IF(C21="","",IF(계산!CI21="","날짜 확인",IF(계산!CJ21="","금액 확인","")))</f>
        <v/>
      </c>
    </row>
    <row r="22">
      <c r="A22" s="3" t="n"/>
      <c r="C22" s="4" t="n"/>
      <c r="E22" s="5">
        <f>IF(C22="","",IF(계산!CI22="","날짜 확인",IF(계산!CJ22="","금액 확인","")))</f>
        <v/>
      </c>
    </row>
    <row r="23">
      <c r="A23" s="3" t="n"/>
      <c r="C23" s="4" t="n"/>
      <c r="E23" s="5">
        <f>IF(C23="","",IF(계산!CI23="","날짜 확인",IF(계산!CJ23="","금액 확인","")))</f>
        <v/>
      </c>
    </row>
    <row r="24">
      <c r="A24" s="3" t="n"/>
      <c r="C24" s="4" t="n"/>
      <c r="E24" s="5">
        <f>IF(C24="","",IF(계산!CI24="","날짜 확인",IF(계산!CJ24="","금액 확인","")))</f>
        <v/>
      </c>
    </row>
    <row r="25">
      <c r="A25" s="3" t="n"/>
      <c r="C25" s="4" t="n"/>
      <c r="E25" s="5">
        <f>IF(C25="","",IF(계산!CI25="","날짜 확인",IF(계산!CJ25="","금액 확인","")))</f>
        <v/>
      </c>
    </row>
    <row r="26">
      <c r="A26" s="3" t="n"/>
      <c r="C26" s="4" t="n"/>
      <c r="E26" s="5">
        <f>IF(C26="","",IF(계산!CI26="","날짜 확인",IF(계산!CJ26="","금액 확인","")))</f>
        <v/>
      </c>
    </row>
    <row r="27">
      <c r="A27" s="3" t="n"/>
      <c r="C27" s="4" t="n"/>
      <c r="E27" s="5">
        <f>IF(C27="","",IF(계산!CI27="","날짜 확인",IF(계산!CJ27="","금액 확인","")))</f>
        <v/>
      </c>
    </row>
    <row r="28">
      <c r="A28" s="3" t="n"/>
      <c r="C28" s="4" t="n"/>
      <c r="E28" s="5">
        <f>IF(C28="","",IF(계산!CI28="","날짜 확인",IF(계산!CJ28="","금액 확인","")))</f>
        <v/>
      </c>
    </row>
    <row r="29">
      <c r="A29" s="3" t="n"/>
      <c r="C29" s="4" t="n"/>
      <c r="E29" s="5">
        <f>IF(C29="","",IF(계산!CI29="","날짜 확인",IF(계산!CJ29="","금액 확인","")))</f>
        <v/>
      </c>
    </row>
    <row r="30">
      <c r="A30" s="3" t="n"/>
      <c r="C30" s="4" t="n"/>
      <c r="E30" s="5">
        <f>IF(C30="","",IF(계산!CI30="","날짜 확인",IF(계산!CJ30="","금액 확인","")))</f>
        <v/>
      </c>
    </row>
    <row r="31">
      <c r="A31" s="3" t="n"/>
      <c r="C31" s="4" t="n"/>
      <c r="E31" s="5">
        <f>IF(C31="","",IF(계산!CI31="","날짜 확인",IF(계산!CJ31="","금액 확인","")))</f>
        <v/>
      </c>
    </row>
    <row r="32">
      <c r="A32" s="3" t="n"/>
      <c r="C32" s="4" t="n"/>
      <c r="E32" s="5">
        <f>IF(C32="","",IF(계산!CI32="","날짜 확인",IF(계산!CJ32="","금액 확인","")))</f>
        <v/>
      </c>
    </row>
    <row r="33">
      <c r="A33" s="3" t="n"/>
      <c r="C33" s="4" t="n"/>
      <c r="E33" s="5">
        <f>IF(C33="","",IF(계산!CI33="","날짜 확인",IF(계산!CJ33="","금액 확인","")))</f>
        <v/>
      </c>
    </row>
    <row r="34">
      <c r="A34" s="3" t="n"/>
      <c r="C34" s="4" t="n"/>
      <c r="E34" s="5">
        <f>IF(C34="","",IF(계산!CI34="","날짜 확인",IF(계산!CJ34="","금액 확인","")))</f>
        <v/>
      </c>
    </row>
    <row r="35">
      <c r="A35" s="3" t="n"/>
      <c r="C35" s="4" t="n"/>
      <c r="E35" s="5">
        <f>IF(C35="","",IF(계산!CI35="","날짜 확인",IF(계산!CJ35="","금액 확인","")))</f>
        <v/>
      </c>
    </row>
    <row r="36">
      <c r="A36" s="3" t="n"/>
      <c r="C36" s="4" t="n"/>
      <c r="E36" s="5">
        <f>IF(C36="","",IF(계산!CI36="","날짜 확인",IF(계산!CJ36="","금액 확인","")))</f>
        <v/>
      </c>
    </row>
    <row r="37">
      <c r="A37" s="3" t="n"/>
      <c r="C37" s="4" t="n"/>
      <c r="E37" s="5">
        <f>IF(C37="","",IF(계산!CI37="","날짜 확인",IF(계산!CJ37="","금액 확인","")))</f>
        <v/>
      </c>
    </row>
    <row r="38">
      <c r="A38" s="3" t="n"/>
      <c r="C38" s="4" t="n"/>
      <c r="E38" s="5">
        <f>IF(C38="","",IF(계산!CI38="","날짜 확인",IF(계산!CJ38="","금액 확인","")))</f>
        <v/>
      </c>
    </row>
    <row r="39">
      <c r="A39" s="3" t="n"/>
      <c r="C39" s="4" t="n"/>
      <c r="E39" s="5">
        <f>IF(C39="","",IF(계산!CI39="","날짜 확인",IF(계산!CJ39="","금액 확인","")))</f>
        <v/>
      </c>
    </row>
    <row r="40">
      <c r="A40" s="3" t="n"/>
      <c r="C40" s="4" t="n"/>
      <c r="E40" s="5">
        <f>IF(C40="","",IF(계산!CI40="","날짜 확인",IF(계산!CJ40="","금액 확인","")))</f>
        <v/>
      </c>
    </row>
    <row r="41">
      <c r="A41" s="3" t="n"/>
      <c r="C41" s="4" t="n"/>
      <c r="E41" s="5">
        <f>IF(C41="","",IF(계산!CI41="","날짜 확인",IF(계산!CJ41="","금액 확인","")))</f>
        <v/>
      </c>
    </row>
    <row r="42">
      <c r="A42" s="3" t="n"/>
      <c r="C42" s="4" t="n"/>
      <c r="E42" s="5">
        <f>IF(C42="","",IF(계산!CI42="","날짜 확인",IF(계산!CJ42="","금액 확인","")))</f>
        <v/>
      </c>
    </row>
    <row r="43">
      <c r="A43" s="3" t="n"/>
      <c r="C43" s="4" t="n"/>
      <c r="E43" s="5">
        <f>IF(C43="","",IF(계산!CI43="","날짜 확인",IF(계산!CJ43="","금액 확인","")))</f>
        <v/>
      </c>
    </row>
    <row r="44">
      <c r="A44" s="3" t="n"/>
      <c r="C44" s="4" t="n"/>
      <c r="E44" s="5">
        <f>IF(C44="","",IF(계산!CI44="","날짜 확인",IF(계산!CJ44="","금액 확인","")))</f>
        <v/>
      </c>
    </row>
    <row r="45">
      <c r="A45" s="3" t="n"/>
      <c r="C45" s="4" t="n"/>
      <c r="E45" s="5">
        <f>IF(C45="","",IF(계산!CI45="","날짜 확인",IF(계산!CJ45="","금액 확인","")))</f>
        <v/>
      </c>
    </row>
    <row r="46">
      <c r="A46" s="3" t="n"/>
      <c r="C46" s="4" t="n"/>
      <c r="E46" s="5">
        <f>IF(C46="","",IF(계산!CI46="","날짜 확인",IF(계산!CJ46="","금액 확인","")))</f>
        <v/>
      </c>
    </row>
    <row r="47">
      <c r="A47" s="3" t="n"/>
      <c r="C47" s="4" t="n"/>
      <c r="E47" s="5">
        <f>IF(C47="","",IF(계산!CI47="","날짜 확인",IF(계산!CJ47="","금액 확인","")))</f>
        <v/>
      </c>
    </row>
    <row r="48">
      <c r="A48" s="3" t="n"/>
      <c r="C48" s="4" t="n"/>
      <c r="E48" s="5">
        <f>IF(C48="","",IF(계산!CI48="","날짜 확인",IF(계산!CJ48="","금액 확인","")))</f>
        <v/>
      </c>
    </row>
    <row r="49">
      <c r="A49" s="3" t="n"/>
      <c r="C49" s="4" t="n"/>
      <c r="E49" s="5">
        <f>IF(C49="","",IF(계산!CI49="","날짜 확인",IF(계산!CJ49="","금액 확인","")))</f>
        <v/>
      </c>
    </row>
    <row r="50">
      <c r="A50" s="3" t="n"/>
      <c r="C50" s="4" t="n"/>
      <c r="E50" s="5">
        <f>IF(C50="","",IF(계산!CI50="","날짜 확인",IF(계산!CJ50="","금액 확인","")))</f>
        <v/>
      </c>
    </row>
    <row r="51">
      <c r="A51" s="3" t="n"/>
      <c r="C51" s="4" t="n"/>
      <c r="E51" s="5">
        <f>IF(C51="","",IF(계산!CI51="","날짜 확인",IF(계산!CJ51="","금액 확인","")))</f>
        <v/>
      </c>
    </row>
    <row r="52">
      <c r="A52" s="3" t="n"/>
      <c r="C52" s="4" t="n"/>
      <c r="E52" s="5">
        <f>IF(C52="","",IF(계산!CI52="","날짜 확인",IF(계산!CJ52="","금액 확인","")))</f>
        <v/>
      </c>
    </row>
    <row r="53">
      <c r="A53" s="3" t="n"/>
      <c r="C53" s="4" t="n"/>
      <c r="E53" s="5">
        <f>IF(C53="","",IF(계산!CI53="","날짜 확인",IF(계산!CJ53="","금액 확인","")))</f>
        <v/>
      </c>
    </row>
    <row r="54">
      <c r="A54" s="3" t="n"/>
      <c r="C54" s="4" t="n"/>
      <c r="E54" s="5">
        <f>IF(C54="","",IF(계산!CI54="","날짜 확인",IF(계산!CJ54="","금액 확인","")))</f>
        <v/>
      </c>
    </row>
    <row r="55">
      <c r="A55" s="3" t="n"/>
      <c r="C55" s="4" t="n"/>
      <c r="E55" s="5">
        <f>IF(C55="","",IF(계산!CI55="","날짜 확인",IF(계산!CJ55="","금액 확인","")))</f>
        <v/>
      </c>
    </row>
    <row r="56">
      <c r="A56" s="3" t="n"/>
      <c r="C56" s="4" t="n"/>
      <c r="E56" s="5">
        <f>IF(C56="","",IF(계산!CI56="","날짜 확인",IF(계산!CJ56="","금액 확인","")))</f>
        <v/>
      </c>
    </row>
    <row r="57">
      <c r="A57" s="3" t="n"/>
      <c r="C57" s="4" t="n"/>
      <c r="E57" s="5">
        <f>IF(C57="","",IF(계산!CI57="","날짜 확인",IF(계산!CJ57="","금액 확인","")))</f>
        <v/>
      </c>
    </row>
    <row r="58">
      <c r="A58" s="3" t="n"/>
      <c r="C58" s="4" t="n"/>
      <c r="E58" s="5">
        <f>IF(C58="","",IF(계산!CI58="","날짜 확인",IF(계산!CJ58="","금액 확인","")))</f>
        <v/>
      </c>
    </row>
    <row r="59">
      <c r="A59" s="3" t="n"/>
      <c r="C59" s="4" t="n"/>
      <c r="E59" s="5">
        <f>IF(C59="","",IF(계산!CI59="","날짜 확인",IF(계산!CJ59="","금액 확인","")))</f>
        <v/>
      </c>
    </row>
    <row r="60">
      <c r="A60" s="3" t="n"/>
      <c r="C60" s="4" t="n"/>
      <c r="E60" s="5">
        <f>IF(C60="","",IF(계산!CI60="","날짜 확인",IF(계산!CJ60="","금액 확인","")))</f>
        <v/>
      </c>
    </row>
    <row r="61">
      <c r="A61" s="3" t="n"/>
      <c r="C61" s="4" t="n"/>
      <c r="E61" s="5">
        <f>IF(C61="","",IF(계산!CI61="","날짜 확인",IF(계산!CJ61="","금액 확인","")))</f>
        <v/>
      </c>
    </row>
    <row r="62">
      <c r="A62" s="3" t="n"/>
      <c r="C62" s="4" t="n"/>
      <c r="E62" s="5">
        <f>IF(C62="","",IF(계산!CI62="","날짜 확인",IF(계산!CJ62="","금액 확인","")))</f>
        <v/>
      </c>
    </row>
    <row r="63">
      <c r="A63" s="3" t="n"/>
      <c r="C63" s="4" t="n"/>
      <c r="E63" s="5">
        <f>IF(C63="","",IF(계산!CI63="","날짜 확인",IF(계산!CJ63="","금액 확인","")))</f>
        <v/>
      </c>
    </row>
    <row r="64">
      <c r="A64" s="3" t="n"/>
      <c r="C64" s="4" t="n"/>
      <c r="E64" s="5">
        <f>IF(C64="","",IF(계산!CI64="","날짜 확인",IF(계산!CJ64="","금액 확인","")))</f>
        <v/>
      </c>
    </row>
    <row r="65">
      <c r="A65" s="3" t="n"/>
      <c r="C65" s="4" t="n"/>
      <c r="E65" s="5">
        <f>IF(C65="","",IF(계산!CI65="","날짜 확인",IF(계산!CJ65="","금액 확인","")))</f>
        <v/>
      </c>
    </row>
    <row r="66">
      <c r="A66" s="3" t="n"/>
      <c r="C66" s="4" t="n"/>
      <c r="E66" s="5">
        <f>IF(C66="","",IF(계산!CI66="","날짜 확인",IF(계산!CJ66="","금액 확인","")))</f>
        <v/>
      </c>
    </row>
    <row r="67">
      <c r="A67" s="3" t="n"/>
      <c r="C67" s="4" t="n"/>
      <c r="E67" s="5">
        <f>IF(C67="","",IF(계산!CI67="","날짜 확인",IF(계산!CJ67="","금액 확인","")))</f>
        <v/>
      </c>
    </row>
    <row r="68">
      <c r="A68" s="3" t="n"/>
      <c r="C68" s="4" t="n"/>
      <c r="E68" s="5">
        <f>IF(C68="","",IF(계산!CI68="","날짜 확인",IF(계산!CJ68="","금액 확인","")))</f>
        <v/>
      </c>
    </row>
    <row r="69">
      <c r="A69" s="3" t="n"/>
      <c r="C69" s="4" t="n"/>
      <c r="E69" s="5">
        <f>IF(C69="","",IF(계산!CI69="","날짜 확인",IF(계산!CJ69="","금액 확인","")))</f>
        <v/>
      </c>
    </row>
    <row r="70">
      <c r="A70" s="3" t="n"/>
      <c r="C70" s="4" t="n"/>
      <c r="E70" s="5">
        <f>IF(C70="","",IF(계산!CI70="","날짜 확인",IF(계산!CJ70="","금액 확인","")))</f>
        <v/>
      </c>
    </row>
    <row r="71">
      <c r="A71" s="3" t="n"/>
      <c r="C71" s="4" t="n"/>
      <c r="E71" s="5">
        <f>IF(C71="","",IF(계산!CI71="","날짜 확인",IF(계산!CJ71="","금액 확인","")))</f>
        <v/>
      </c>
    </row>
    <row r="72">
      <c r="A72" s="3" t="n"/>
      <c r="C72" s="4" t="n"/>
      <c r="E72" s="5">
        <f>IF(C72="","",IF(계산!CI72="","날짜 확인",IF(계산!CJ72="","금액 확인","")))</f>
        <v/>
      </c>
    </row>
    <row r="73">
      <c r="A73" s="3" t="n"/>
      <c r="C73" s="4" t="n"/>
      <c r="E73" s="5">
        <f>IF(C73="","",IF(계산!CI73="","날짜 확인",IF(계산!CJ73="","금액 확인","")))</f>
        <v/>
      </c>
    </row>
    <row r="74">
      <c r="A74" s="3" t="n"/>
      <c r="C74" s="4" t="n"/>
      <c r="E74" s="5">
        <f>IF(C74="","",IF(계산!CI74="","날짜 확인",IF(계산!CJ74="","금액 확인","")))</f>
        <v/>
      </c>
    </row>
    <row r="75">
      <c r="A75" s="3" t="n"/>
      <c r="C75" s="4" t="n"/>
      <c r="E75" s="5">
        <f>IF(C75="","",IF(계산!CI75="","날짜 확인",IF(계산!CJ75="","금액 확인","")))</f>
        <v/>
      </c>
    </row>
    <row r="76">
      <c r="A76" s="3" t="n"/>
      <c r="C76" s="4" t="n"/>
      <c r="E76" s="5">
        <f>IF(C76="","",IF(계산!CI76="","날짜 확인",IF(계산!CJ76="","금액 확인","")))</f>
        <v/>
      </c>
    </row>
    <row r="77">
      <c r="A77" s="3" t="n"/>
      <c r="C77" s="4" t="n"/>
      <c r="E77" s="5">
        <f>IF(C77="","",IF(계산!CI77="","날짜 확인",IF(계산!CJ77="","금액 확인","")))</f>
        <v/>
      </c>
    </row>
    <row r="78">
      <c r="A78" s="3" t="n"/>
      <c r="C78" s="4" t="n"/>
      <c r="E78" s="5">
        <f>IF(C78="","",IF(계산!CI78="","날짜 확인",IF(계산!CJ78="","금액 확인","")))</f>
        <v/>
      </c>
    </row>
    <row r="79">
      <c r="A79" s="3" t="n"/>
      <c r="C79" s="4" t="n"/>
      <c r="E79" s="5">
        <f>IF(C79="","",IF(계산!CI79="","날짜 확인",IF(계산!CJ79="","금액 확인","")))</f>
        <v/>
      </c>
    </row>
    <row r="80">
      <c r="A80" s="3" t="n"/>
      <c r="C80" s="4" t="n"/>
      <c r="E80" s="5">
        <f>IF(C80="","",IF(계산!CI80="","날짜 확인",IF(계산!CJ80="","금액 확인","")))</f>
        <v/>
      </c>
    </row>
    <row r="81">
      <c r="A81" s="3" t="n"/>
      <c r="C81" s="4" t="n"/>
      <c r="E81" s="5">
        <f>IF(C81="","",IF(계산!CI81="","날짜 확인",IF(계산!CJ81="","금액 확인","")))</f>
        <v/>
      </c>
    </row>
    <row r="82">
      <c r="A82" s="3" t="n"/>
      <c r="C82" s="4" t="n"/>
      <c r="E82" s="5">
        <f>IF(C82="","",IF(계산!CI82="","날짜 확인",IF(계산!CJ82="","금액 확인","")))</f>
        <v/>
      </c>
    </row>
    <row r="83">
      <c r="A83" s="3" t="n"/>
      <c r="C83" s="4" t="n"/>
      <c r="E83" s="5">
        <f>IF(C83="","",IF(계산!CI83="","날짜 확인",IF(계산!CJ83="","금액 확인","")))</f>
        <v/>
      </c>
    </row>
    <row r="84">
      <c r="A84" s="3" t="n"/>
      <c r="C84" s="4" t="n"/>
      <c r="E84" s="5">
        <f>IF(C84="","",IF(계산!CI84="","날짜 확인",IF(계산!CJ84="","금액 확인","")))</f>
        <v/>
      </c>
    </row>
    <row r="85">
      <c r="A85" s="3" t="n"/>
      <c r="C85" s="4" t="n"/>
      <c r="E85" s="5">
        <f>IF(C85="","",IF(계산!CI85="","날짜 확인",IF(계산!CJ85="","금액 확인","")))</f>
        <v/>
      </c>
    </row>
    <row r="86">
      <c r="A86" s="3" t="n"/>
      <c r="C86" s="4" t="n"/>
      <c r="E86" s="5">
        <f>IF(C86="","",IF(계산!CI86="","날짜 확인",IF(계산!CJ86="","금액 확인","")))</f>
        <v/>
      </c>
    </row>
    <row r="87">
      <c r="A87" s="3" t="n"/>
      <c r="C87" s="4" t="n"/>
      <c r="E87" s="5">
        <f>IF(C87="","",IF(계산!CI87="","날짜 확인",IF(계산!CJ87="","금액 확인","")))</f>
        <v/>
      </c>
    </row>
    <row r="88">
      <c r="A88" s="3" t="n"/>
      <c r="C88" s="4" t="n"/>
      <c r="E88" s="5">
        <f>IF(C88="","",IF(계산!CI88="","날짜 확인",IF(계산!CJ88="","금액 확인","")))</f>
        <v/>
      </c>
    </row>
    <row r="89">
      <c r="A89" s="3" t="n"/>
      <c r="C89" s="4" t="n"/>
      <c r="E89" s="5">
        <f>IF(C89="","",IF(계산!CI89="","날짜 확인",IF(계산!CJ89="","금액 확인","")))</f>
        <v/>
      </c>
    </row>
    <row r="90">
      <c r="A90" s="3" t="n"/>
      <c r="C90" s="4" t="n"/>
      <c r="E90" s="5">
        <f>IF(C90="","",IF(계산!CI90="","날짜 확인",IF(계산!CJ90="","금액 확인","")))</f>
        <v/>
      </c>
    </row>
    <row r="91">
      <c r="A91" s="3" t="n"/>
      <c r="C91" s="4" t="n"/>
      <c r="E91" s="5">
        <f>IF(C91="","",IF(계산!CI91="","날짜 확인",IF(계산!CJ91="","금액 확인","")))</f>
        <v/>
      </c>
    </row>
    <row r="92">
      <c r="A92" s="3" t="n"/>
      <c r="C92" s="4" t="n"/>
      <c r="E92" s="5">
        <f>IF(C92="","",IF(계산!CI92="","날짜 확인",IF(계산!CJ92="","금액 확인","")))</f>
        <v/>
      </c>
    </row>
    <row r="93">
      <c r="A93" s="3" t="n"/>
      <c r="C93" s="4" t="n"/>
      <c r="E93" s="5">
        <f>IF(C93="","",IF(계산!CI93="","날짜 확인",IF(계산!CJ93="","금액 확인","")))</f>
        <v/>
      </c>
    </row>
    <row r="94">
      <c r="A94" s="3" t="n"/>
      <c r="C94" s="4" t="n"/>
      <c r="E94" s="5">
        <f>IF(C94="","",IF(계산!CI94="","날짜 확인",IF(계산!CJ94="","금액 확인","")))</f>
        <v/>
      </c>
    </row>
    <row r="95">
      <c r="A95" s="3" t="n"/>
      <c r="C95" s="4" t="n"/>
      <c r="E95" s="5">
        <f>IF(C95="","",IF(계산!CI95="","날짜 확인",IF(계산!CJ95="","금액 확인","")))</f>
        <v/>
      </c>
    </row>
    <row r="96">
      <c r="A96" s="3" t="n"/>
      <c r="C96" s="4" t="n"/>
      <c r="E96" s="5">
        <f>IF(C96="","",IF(계산!CI96="","날짜 확인",IF(계산!CJ96="","금액 확인","")))</f>
        <v/>
      </c>
    </row>
    <row r="97">
      <c r="A97" s="3" t="n"/>
      <c r="C97" s="4" t="n"/>
      <c r="E97" s="5">
        <f>IF(C97="","",IF(계산!CI97="","날짜 확인",IF(계산!CJ97="","금액 확인","")))</f>
        <v/>
      </c>
    </row>
    <row r="98">
      <c r="A98" s="3" t="n"/>
      <c r="C98" s="4" t="n"/>
      <c r="E98" s="5">
        <f>IF(C98="","",IF(계산!CI98="","날짜 확인",IF(계산!CJ98="","금액 확인","")))</f>
        <v/>
      </c>
    </row>
    <row r="99">
      <c r="A99" s="3" t="n"/>
      <c r="C99" s="4" t="n"/>
      <c r="E99" s="5">
        <f>IF(C99="","",IF(계산!CI99="","날짜 확인",IF(계산!CJ99="","금액 확인","")))</f>
        <v/>
      </c>
    </row>
    <row r="100">
      <c r="A100" s="3" t="n"/>
      <c r="C100" s="4" t="n"/>
      <c r="E100" s="5">
        <f>IF(C100="","",IF(계산!CI100="","날짜 확인",IF(계산!CJ100="","금액 확인","")))</f>
        <v/>
      </c>
    </row>
    <row r="101">
      <c r="A101" s="3" t="n"/>
      <c r="C101" s="4" t="n"/>
      <c r="E101" s="5">
        <f>IF(C101="","",IF(계산!CI101="","날짜 확인",IF(계산!CJ101="","금액 확인","")))</f>
        <v/>
      </c>
    </row>
    <row r="102">
      <c r="A102" s="3" t="n"/>
      <c r="C102" s="4" t="n"/>
      <c r="E102" s="5">
        <f>IF(C102="","",IF(계산!CI102="","날짜 확인",IF(계산!CJ102="","금액 확인","")))</f>
        <v/>
      </c>
    </row>
    <row r="103">
      <c r="A103" s="3" t="n"/>
      <c r="C103" s="4" t="n"/>
      <c r="E103" s="5">
        <f>IF(C103="","",IF(계산!CI103="","날짜 확인",IF(계산!CJ103="","금액 확인","")))</f>
        <v/>
      </c>
    </row>
    <row r="104">
      <c r="A104" s="3" t="n"/>
      <c r="C104" s="4" t="n"/>
      <c r="E104" s="5">
        <f>IF(C104="","",IF(계산!CI104="","날짜 확인",IF(계산!CJ104="","금액 확인","")))</f>
        <v/>
      </c>
    </row>
    <row r="105">
      <c r="A105" s="3" t="n"/>
      <c r="C105" s="4" t="n"/>
      <c r="E105" s="5">
        <f>IF(C105="","",IF(계산!CI105="","날짜 확인",IF(계산!CJ105="","금액 확인","")))</f>
        <v/>
      </c>
    </row>
    <row r="106">
      <c r="A106" s="3" t="n"/>
      <c r="C106" s="4" t="n"/>
      <c r="E106" s="5">
        <f>IF(C106="","",IF(계산!CI106="","날짜 확인",IF(계산!CJ106="","금액 확인","")))</f>
        <v/>
      </c>
    </row>
    <row r="107">
      <c r="A107" s="3" t="n"/>
      <c r="C107" s="4" t="n"/>
      <c r="E107" s="5">
        <f>IF(C107="","",IF(계산!CI107="","날짜 확인",IF(계산!CJ107="","금액 확인","")))</f>
        <v/>
      </c>
    </row>
    <row r="108">
      <c r="A108" s="3" t="n"/>
      <c r="C108" s="4" t="n"/>
      <c r="E108" s="5">
        <f>IF(C108="","",IF(계산!CI108="","날짜 확인",IF(계산!CJ108="","금액 확인","")))</f>
        <v/>
      </c>
    </row>
    <row r="109">
      <c r="A109" s="3" t="n"/>
      <c r="C109" s="4" t="n"/>
      <c r="E109" s="5">
        <f>IF(C109="","",IF(계산!CI109="","날짜 확인",IF(계산!CJ109="","금액 확인","")))</f>
        <v/>
      </c>
    </row>
    <row r="110">
      <c r="A110" s="3" t="n"/>
      <c r="C110" s="4" t="n"/>
      <c r="E110" s="5">
        <f>IF(C110="","",IF(계산!CI110="","날짜 확인",IF(계산!CJ110="","금액 확인","")))</f>
        <v/>
      </c>
    </row>
    <row r="111">
      <c r="A111" s="3" t="n"/>
      <c r="C111" s="4" t="n"/>
      <c r="E111" s="5">
        <f>IF(C111="","",IF(계산!CI111="","날짜 확인",IF(계산!CJ111="","금액 확인","")))</f>
        <v/>
      </c>
    </row>
    <row r="112">
      <c r="A112" s="3" t="n"/>
      <c r="C112" s="4" t="n"/>
      <c r="E112" s="5">
        <f>IF(C112="","",IF(계산!CI112="","날짜 확인",IF(계산!CJ112="","금액 확인","")))</f>
        <v/>
      </c>
    </row>
    <row r="113">
      <c r="A113" s="3" t="n"/>
      <c r="C113" s="4" t="n"/>
      <c r="E113" s="5">
        <f>IF(C113="","",IF(계산!CI113="","날짜 확인",IF(계산!CJ113="","금액 확인","")))</f>
        <v/>
      </c>
    </row>
    <row r="114">
      <c r="A114" s="3" t="n"/>
      <c r="C114" s="4" t="n"/>
      <c r="E114" s="5">
        <f>IF(C114="","",IF(계산!CI114="","날짜 확인",IF(계산!CJ114="","금액 확인","")))</f>
        <v/>
      </c>
    </row>
    <row r="115">
      <c r="A115" s="3" t="n"/>
      <c r="C115" s="4" t="n"/>
      <c r="E115" s="5">
        <f>IF(C115="","",IF(계산!CI115="","날짜 확인",IF(계산!CJ115="","금액 확인","")))</f>
        <v/>
      </c>
    </row>
    <row r="116">
      <c r="A116" s="3" t="n"/>
      <c r="C116" s="4" t="n"/>
      <c r="E116" s="5">
        <f>IF(C116="","",IF(계산!CI116="","날짜 확인",IF(계산!CJ116="","금액 확인","")))</f>
        <v/>
      </c>
    </row>
    <row r="117">
      <c r="A117" s="3" t="n"/>
      <c r="C117" s="4" t="n"/>
      <c r="E117" s="5">
        <f>IF(C117="","",IF(계산!CI117="","날짜 확인",IF(계산!CJ117="","금액 확인","")))</f>
        <v/>
      </c>
    </row>
    <row r="118">
      <c r="A118" s="3" t="n"/>
      <c r="C118" s="4" t="n"/>
      <c r="E118" s="5">
        <f>IF(C118="","",IF(계산!CI118="","날짜 확인",IF(계산!CJ118="","금액 확인","")))</f>
        <v/>
      </c>
    </row>
    <row r="119">
      <c r="A119" s="3" t="n"/>
      <c r="C119" s="4" t="n"/>
      <c r="E119" s="5">
        <f>IF(C119="","",IF(계산!CI119="","날짜 확인",IF(계산!CJ119="","금액 확인","")))</f>
        <v/>
      </c>
    </row>
    <row r="120">
      <c r="A120" s="3" t="n"/>
      <c r="C120" s="4" t="n"/>
      <c r="E120" s="5">
        <f>IF(C120="","",IF(계산!CI120="","날짜 확인",IF(계산!CJ120="","금액 확인","")))</f>
        <v/>
      </c>
    </row>
    <row r="121">
      <c r="A121" s="3" t="n"/>
      <c r="C121" s="4" t="n"/>
      <c r="E121" s="5">
        <f>IF(C121="","",IF(계산!CI121="","날짜 확인",IF(계산!CJ121="","금액 확인","")))</f>
        <v/>
      </c>
    </row>
    <row r="122">
      <c r="A122" s="3" t="n"/>
      <c r="C122" s="4" t="n"/>
      <c r="E122" s="5">
        <f>IF(C122="","",IF(계산!CI122="","날짜 확인",IF(계산!CJ122="","금액 확인","")))</f>
        <v/>
      </c>
    </row>
    <row r="123">
      <c r="A123" s="3" t="n"/>
      <c r="C123" s="4" t="n"/>
      <c r="E123" s="5">
        <f>IF(C123="","",IF(계산!CI123="","날짜 확인",IF(계산!CJ123="","금액 확인","")))</f>
        <v/>
      </c>
    </row>
    <row r="124">
      <c r="A124" s="3" t="n"/>
      <c r="C124" s="4" t="n"/>
      <c r="E124" s="5">
        <f>IF(C124="","",IF(계산!CI124="","날짜 확인",IF(계산!CJ124="","금액 확인","")))</f>
        <v/>
      </c>
    </row>
    <row r="125">
      <c r="A125" s="3" t="n"/>
      <c r="C125" s="4" t="n"/>
      <c r="E125" s="5">
        <f>IF(C125="","",IF(계산!CI125="","날짜 확인",IF(계산!CJ125="","금액 확인","")))</f>
        <v/>
      </c>
    </row>
    <row r="126">
      <c r="A126" s="3" t="n"/>
      <c r="C126" s="4" t="n"/>
      <c r="E126" s="5">
        <f>IF(C126="","",IF(계산!CI126="","날짜 확인",IF(계산!CJ126="","금액 확인","")))</f>
        <v/>
      </c>
    </row>
    <row r="127">
      <c r="A127" s="3" t="n"/>
      <c r="C127" s="4" t="n"/>
      <c r="E127" s="5">
        <f>IF(C127="","",IF(계산!CI127="","날짜 확인",IF(계산!CJ127="","금액 확인","")))</f>
        <v/>
      </c>
    </row>
    <row r="128">
      <c r="A128" s="3" t="n"/>
      <c r="C128" s="4" t="n"/>
      <c r="E128" s="5">
        <f>IF(C128="","",IF(계산!CI128="","날짜 확인",IF(계산!CJ128="","금액 확인","")))</f>
        <v/>
      </c>
    </row>
    <row r="129">
      <c r="A129" s="3" t="n"/>
      <c r="C129" s="4" t="n"/>
      <c r="E129" s="5">
        <f>IF(C129="","",IF(계산!CI129="","날짜 확인",IF(계산!CJ129="","금액 확인","")))</f>
        <v/>
      </c>
    </row>
    <row r="130">
      <c r="A130" s="3" t="n"/>
      <c r="C130" s="4" t="n"/>
      <c r="E130" s="5">
        <f>IF(C130="","",IF(계산!CI130="","날짜 확인",IF(계산!CJ130="","금액 확인","")))</f>
        <v/>
      </c>
    </row>
    <row r="131">
      <c r="A131" s="3" t="n"/>
      <c r="C131" s="4" t="n"/>
      <c r="E131" s="5">
        <f>IF(C131="","",IF(계산!CI131="","날짜 확인",IF(계산!CJ131="","금액 확인","")))</f>
        <v/>
      </c>
    </row>
    <row r="132">
      <c r="A132" s="3" t="n"/>
      <c r="C132" s="4" t="n"/>
      <c r="E132" s="5">
        <f>IF(C132="","",IF(계산!CI132="","날짜 확인",IF(계산!CJ132="","금액 확인","")))</f>
        <v/>
      </c>
    </row>
    <row r="133">
      <c r="A133" s="3" t="n"/>
      <c r="C133" s="4" t="n"/>
      <c r="E133" s="5">
        <f>IF(C133="","",IF(계산!CI133="","날짜 확인",IF(계산!CJ133="","금액 확인","")))</f>
        <v/>
      </c>
    </row>
    <row r="134">
      <c r="A134" s="3" t="n"/>
      <c r="C134" s="4" t="n"/>
      <c r="E134" s="5">
        <f>IF(C134="","",IF(계산!CI134="","날짜 확인",IF(계산!CJ134="","금액 확인","")))</f>
        <v/>
      </c>
    </row>
    <row r="135">
      <c r="A135" s="3" t="n"/>
      <c r="C135" s="4" t="n"/>
      <c r="E135" s="5">
        <f>IF(C135="","",IF(계산!CI135="","날짜 확인",IF(계산!CJ135="","금액 확인","")))</f>
        <v/>
      </c>
    </row>
    <row r="136">
      <c r="A136" s="3" t="n"/>
      <c r="C136" s="4" t="n"/>
      <c r="E136" s="5">
        <f>IF(C136="","",IF(계산!CI136="","날짜 확인",IF(계산!CJ136="","금액 확인","")))</f>
        <v/>
      </c>
    </row>
    <row r="137">
      <c r="A137" s="3" t="n"/>
      <c r="C137" s="4" t="n"/>
      <c r="E137" s="5">
        <f>IF(C137="","",IF(계산!CI137="","날짜 확인",IF(계산!CJ137="","금액 확인","")))</f>
        <v/>
      </c>
    </row>
    <row r="138">
      <c r="A138" s="3" t="n"/>
      <c r="C138" s="4" t="n"/>
      <c r="E138" s="5">
        <f>IF(C138="","",IF(계산!CI138="","날짜 확인",IF(계산!CJ138="","금액 확인","")))</f>
        <v/>
      </c>
    </row>
    <row r="139">
      <c r="A139" s="3" t="n"/>
      <c r="C139" s="4" t="n"/>
      <c r="E139" s="5">
        <f>IF(C139="","",IF(계산!CI139="","날짜 확인",IF(계산!CJ139="","금액 확인","")))</f>
        <v/>
      </c>
    </row>
    <row r="140">
      <c r="A140" s="3" t="n"/>
      <c r="C140" s="4" t="n"/>
      <c r="E140" s="5">
        <f>IF(C140="","",IF(계산!CI140="","날짜 확인",IF(계산!CJ140="","금액 확인","")))</f>
        <v/>
      </c>
    </row>
    <row r="141">
      <c r="A141" s="3" t="n"/>
      <c r="C141" s="4" t="n"/>
      <c r="E141" s="5">
        <f>IF(C141="","",IF(계산!CI141="","날짜 확인",IF(계산!CJ141="","금액 확인","")))</f>
        <v/>
      </c>
    </row>
    <row r="142">
      <c r="A142" s="3" t="n"/>
      <c r="C142" s="4" t="n"/>
      <c r="E142" s="5">
        <f>IF(C142="","",IF(계산!CI142="","날짜 확인",IF(계산!CJ142="","금액 확인","")))</f>
        <v/>
      </c>
    </row>
    <row r="143">
      <c r="A143" s="3" t="n"/>
      <c r="C143" s="4" t="n"/>
      <c r="E143" s="5">
        <f>IF(C143="","",IF(계산!CI143="","날짜 확인",IF(계산!CJ143="","금액 확인","")))</f>
        <v/>
      </c>
    </row>
    <row r="144">
      <c r="A144" s="3" t="n"/>
      <c r="C144" s="4" t="n"/>
      <c r="E144" s="5">
        <f>IF(C144="","",IF(계산!CI144="","날짜 확인",IF(계산!CJ144="","금액 확인","")))</f>
        <v/>
      </c>
    </row>
    <row r="145">
      <c r="A145" s="3" t="n"/>
      <c r="C145" s="4" t="n"/>
      <c r="E145" s="5">
        <f>IF(C145="","",IF(계산!CI145="","날짜 확인",IF(계산!CJ145="","금액 확인","")))</f>
        <v/>
      </c>
    </row>
    <row r="146">
      <c r="A146" s="3" t="n"/>
      <c r="C146" s="4" t="n"/>
      <c r="E146" s="5">
        <f>IF(C146="","",IF(계산!CI146="","날짜 확인",IF(계산!CJ146="","금액 확인","")))</f>
        <v/>
      </c>
    </row>
    <row r="147">
      <c r="A147" s="3" t="n"/>
      <c r="C147" s="4" t="n"/>
      <c r="E147" s="5">
        <f>IF(C147="","",IF(계산!CI147="","날짜 확인",IF(계산!CJ147="","금액 확인","")))</f>
        <v/>
      </c>
    </row>
    <row r="148">
      <c r="A148" s="3" t="n"/>
      <c r="C148" s="4" t="n"/>
      <c r="E148" s="5">
        <f>IF(C148="","",IF(계산!CI148="","날짜 확인",IF(계산!CJ148="","금액 확인","")))</f>
        <v/>
      </c>
    </row>
    <row r="149">
      <c r="A149" s="3" t="n"/>
      <c r="C149" s="4" t="n"/>
      <c r="E149" s="5">
        <f>IF(C149="","",IF(계산!CI149="","날짜 확인",IF(계산!CJ149="","금액 확인","")))</f>
        <v/>
      </c>
    </row>
    <row r="150">
      <c r="A150" s="3" t="n"/>
      <c r="C150" s="4" t="n"/>
      <c r="E150" s="5">
        <f>IF(C150="","",IF(계산!CI150="","날짜 확인",IF(계산!CJ150="","금액 확인","")))</f>
        <v/>
      </c>
    </row>
    <row r="151">
      <c r="A151" s="3" t="n"/>
      <c r="C151" s="4" t="n"/>
      <c r="E151" s="5">
        <f>IF(C151="","",IF(계산!CI151="","날짜 확인",IF(계산!CJ151="","금액 확인","")))</f>
        <v/>
      </c>
    </row>
    <row r="152">
      <c r="A152" s="3" t="n"/>
      <c r="C152" s="4" t="n"/>
      <c r="E152" s="5">
        <f>IF(C152="","",IF(계산!CI152="","날짜 확인",IF(계산!CJ152="","금액 확인","")))</f>
        <v/>
      </c>
    </row>
    <row r="153">
      <c r="A153" s="3" t="n"/>
      <c r="C153" s="4" t="n"/>
      <c r="E153" s="5">
        <f>IF(C153="","",IF(계산!CI153="","날짜 확인",IF(계산!CJ153="","금액 확인","")))</f>
        <v/>
      </c>
    </row>
    <row r="154">
      <c r="A154" s="3" t="n"/>
      <c r="C154" s="4" t="n"/>
      <c r="E154" s="5">
        <f>IF(C154="","",IF(계산!CI154="","날짜 확인",IF(계산!CJ154="","금액 확인","")))</f>
        <v/>
      </c>
    </row>
    <row r="155">
      <c r="A155" s="3" t="n"/>
      <c r="C155" s="4" t="n"/>
      <c r="E155" s="5">
        <f>IF(C155="","",IF(계산!CI155="","날짜 확인",IF(계산!CJ155="","금액 확인","")))</f>
        <v/>
      </c>
    </row>
    <row r="156">
      <c r="A156" s="3" t="n"/>
      <c r="C156" s="4" t="n"/>
      <c r="E156" s="5">
        <f>IF(C156="","",IF(계산!CI156="","날짜 확인",IF(계산!CJ156="","금액 확인","")))</f>
        <v/>
      </c>
    </row>
    <row r="157">
      <c r="A157" s="3" t="n"/>
      <c r="C157" s="4" t="n"/>
      <c r="E157" s="5">
        <f>IF(C157="","",IF(계산!CI157="","날짜 확인",IF(계산!CJ157="","금액 확인","")))</f>
        <v/>
      </c>
    </row>
    <row r="158">
      <c r="A158" s="3" t="n"/>
      <c r="C158" s="4" t="n"/>
      <c r="E158" s="5">
        <f>IF(C158="","",IF(계산!CI158="","날짜 확인",IF(계산!CJ158="","금액 확인","")))</f>
        <v/>
      </c>
    </row>
    <row r="159">
      <c r="A159" s="3" t="n"/>
      <c r="C159" s="4" t="n"/>
      <c r="E159" s="5">
        <f>IF(C159="","",IF(계산!CI159="","날짜 확인",IF(계산!CJ159="","금액 확인","")))</f>
        <v/>
      </c>
    </row>
    <row r="160">
      <c r="A160" s="3" t="n"/>
      <c r="C160" s="4" t="n"/>
      <c r="E160" s="5">
        <f>IF(C160="","",IF(계산!CI160="","날짜 확인",IF(계산!CJ160="","금액 확인","")))</f>
        <v/>
      </c>
    </row>
    <row r="161">
      <c r="A161" s="3" t="n"/>
      <c r="C161" s="4" t="n"/>
      <c r="E161" s="5">
        <f>IF(C161="","",IF(계산!CI161="","날짜 확인",IF(계산!CJ161="","금액 확인","")))</f>
        <v/>
      </c>
    </row>
    <row r="162">
      <c r="A162" s="3" t="n"/>
      <c r="C162" s="4" t="n"/>
      <c r="E162" s="5">
        <f>IF(C162="","",IF(계산!CI162="","날짜 확인",IF(계산!CJ162="","금액 확인","")))</f>
        <v/>
      </c>
    </row>
    <row r="163">
      <c r="A163" s="3" t="n"/>
      <c r="C163" s="4" t="n"/>
      <c r="E163" s="5">
        <f>IF(C163="","",IF(계산!CI163="","날짜 확인",IF(계산!CJ163="","금액 확인","")))</f>
        <v/>
      </c>
    </row>
    <row r="164">
      <c r="A164" s="3" t="n"/>
      <c r="C164" s="4" t="n"/>
      <c r="E164" s="5">
        <f>IF(C164="","",IF(계산!CI164="","날짜 확인",IF(계산!CJ164="","금액 확인","")))</f>
        <v/>
      </c>
    </row>
    <row r="165">
      <c r="A165" s="3" t="n"/>
      <c r="C165" s="4" t="n"/>
      <c r="E165" s="5">
        <f>IF(C165="","",IF(계산!CI165="","날짜 확인",IF(계산!CJ165="","금액 확인","")))</f>
        <v/>
      </c>
    </row>
    <row r="166">
      <c r="A166" s="3" t="n"/>
      <c r="C166" s="4" t="n"/>
      <c r="E166" s="5">
        <f>IF(C166="","",IF(계산!CI166="","날짜 확인",IF(계산!CJ166="","금액 확인","")))</f>
        <v/>
      </c>
    </row>
    <row r="167">
      <c r="A167" s="3" t="n"/>
      <c r="C167" s="4" t="n"/>
      <c r="E167" s="5">
        <f>IF(C167="","",IF(계산!CI167="","날짜 확인",IF(계산!CJ167="","금액 확인","")))</f>
        <v/>
      </c>
    </row>
    <row r="168">
      <c r="A168" s="3" t="n"/>
      <c r="C168" s="4" t="n"/>
      <c r="E168" s="5">
        <f>IF(C168="","",IF(계산!CI168="","날짜 확인",IF(계산!CJ168="","금액 확인","")))</f>
        <v/>
      </c>
    </row>
    <row r="169">
      <c r="A169" s="3" t="n"/>
      <c r="C169" s="4" t="n"/>
      <c r="E169" s="5">
        <f>IF(C169="","",IF(계산!CI169="","날짜 확인",IF(계산!CJ169="","금액 확인","")))</f>
        <v/>
      </c>
    </row>
    <row r="170">
      <c r="A170" s="3" t="n"/>
      <c r="C170" s="4" t="n"/>
      <c r="E170" s="5">
        <f>IF(C170="","",IF(계산!CI170="","날짜 확인",IF(계산!CJ170="","금액 확인","")))</f>
        <v/>
      </c>
    </row>
    <row r="171">
      <c r="A171" s="3" t="n"/>
      <c r="C171" s="4" t="n"/>
      <c r="E171" s="5">
        <f>IF(C171="","",IF(계산!CI171="","날짜 확인",IF(계산!CJ171="","금액 확인","")))</f>
        <v/>
      </c>
    </row>
    <row r="172">
      <c r="A172" s="3" t="n"/>
      <c r="C172" s="4" t="n"/>
      <c r="E172" s="5">
        <f>IF(C172="","",IF(계산!CI172="","날짜 확인",IF(계산!CJ172="","금액 확인","")))</f>
        <v/>
      </c>
    </row>
    <row r="173">
      <c r="A173" s="3" t="n"/>
      <c r="C173" s="4" t="n"/>
      <c r="E173" s="5">
        <f>IF(C173="","",IF(계산!CI173="","날짜 확인",IF(계산!CJ173="","금액 확인","")))</f>
        <v/>
      </c>
    </row>
    <row r="174">
      <c r="A174" s="3" t="n"/>
      <c r="C174" s="4" t="n"/>
      <c r="E174" s="5">
        <f>IF(C174="","",IF(계산!CI174="","날짜 확인",IF(계산!CJ174="","금액 확인","")))</f>
        <v/>
      </c>
    </row>
    <row r="175">
      <c r="A175" s="3" t="n"/>
      <c r="C175" s="4" t="n"/>
      <c r="E175" s="5">
        <f>IF(C175="","",IF(계산!CI175="","날짜 확인",IF(계산!CJ175="","금액 확인","")))</f>
        <v/>
      </c>
    </row>
    <row r="176">
      <c r="A176" s="3" t="n"/>
      <c r="C176" s="4" t="n"/>
      <c r="E176" s="5">
        <f>IF(C176="","",IF(계산!CI176="","날짜 확인",IF(계산!CJ176="","금액 확인","")))</f>
        <v/>
      </c>
    </row>
    <row r="177">
      <c r="A177" s="3" t="n"/>
      <c r="C177" s="4" t="n"/>
      <c r="E177" s="5">
        <f>IF(C177="","",IF(계산!CI177="","날짜 확인",IF(계산!CJ177="","금액 확인","")))</f>
        <v/>
      </c>
    </row>
    <row r="178">
      <c r="A178" s="3" t="n"/>
      <c r="C178" s="4" t="n"/>
      <c r="E178" s="5">
        <f>IF(C178="","",IF(계산!CI178="","날짜 확인",IF(계산!CJ178="","금액 확인","")))</f>
        <v/>
      </c>
    </row>
    <row r="179">
      <c r="A179" s="3" t="n"/>
      <c r="C179" s="4" t="n"/>
      <c r="E179" s="5">
        <f>IF(C179="","",IF(계산!CI179="","날짜 확인",IF(계산!CJ179="","금액 확인","")))</f>
        <v/>
      </c>
    </row>
    <row r="180">
      <c r="A180" s="3" t="n"/>
      <c r="C180" s="4" t="n"/>
      <c r="E180" s="5">
        <f>IF(C180="","",IF(계산!CI180="","날짜 확인",IF(계산!CJ180="","금액 확인","")))</f>
        <v/>
      </c>
    </row>
    <row r="181">
      <c r="A181" s="3" t="n"/>
      <c r="C181" s="4" t="n"/>
      <c r="E181" s="5">
        <f>IF(C181="","",IF(계산!CI181="","날짜 확인",IF(계산!CJ181="","금액 확인","")))</f>
        <v/>
      </c>
    </row>
    <row r="182">
      <c r="A182" s="3" t="n"/>
      <c r="C182" s="4" t="n"/>
      <c r="E182" s="5">
        <f>IF(C182="","",IF(계산!CI182="","날짜 확인",IF(계산!CJ182="","금액 확인","")))</f>
        <v/>
      </c>
    </row>
    <row r="183">
      <c r="A183" s="3" t="n"/>
      <c r="C183" s="4" t="n"/>
      <c r="E183" s="5">
        <f>IF(C183="","",IF(계산!CI183="","날짜 확인",IF(계산!CJ183="","금액 확인","")))</f>
        <v/>
      </c>
    </row>
    <row r="184">
      <c r="A184" s="3" t="n"/>
      <c r="C184" s="4" t="n"/>
      <c r="E184" s="5">
        <f>IF(C184="","",IF(계산!CI184="","날짜 확인",IF(계산!CJ184="","금액 확인","")))</f>
        <v/>
      </c>
    </row>
    <row r="185">
      <c r="A185" s="3" t="n"/>
      <c r="C185" s="4" t="n"/>
      <c r="E185" s="5">
        <f>IF(C185="","",IF(계산!CI185="","날짜 확인",IF(계산!CJ185="","금액 확인","")))</f>
        <v/>
      </c>
    </row>
    <row r="186">
      <c r="A186" s="3" t="n"/>
      <c r="C186" s="4" t="n"/>
      <c r="E186" s="5">
        <f>IF(C186="","",IF(계산!CI186="","날짜 확인",IF(계산!CJ186="","금액 확인","")))</f>
        <v/>
      </c>
    </row>
    <row r="187">
      <c r="A187" s="3" t="n"/>
      <c r="C187" s="4" t="n"/>
      <c r="E187" s="5">
        <f>IF(C187="","",IF(계산!CI187="","날짜 확인",IF(계산!CJ187="","금액 확인","")))</f>
        <v/>
      </c>
    </row>
    <row r="188">
      <c r="A188" s="3" t="n"/>
      <c r="C188" s="4" t="n"/>
      <c r="E188" s="5">
        <f>IF(C188="","",IF(계산!CI188="","날짜 확인",IF(계산!CJ188="","금액 확인","")))</f>
        <v/>
      </c>
    </row>
    <row r="189">
      <c r="A189" s="3" t="n"/>
      <c r="C189" s="4" t="n"/>
      <c r="E189" s="5">
        <f>IF(C189="","",IF(계산!CI189="","날짜 확인",IF(계산!CJ189="","금액 확인","")))</f>
        <v/>
      </c>
    </row>
    <row r="190">
      <c r="A190" s="3" t="n"/>
      <c r="C190" s="4" t="n"/>
      <c r="E190" s="5">
        <f>IF(C190="","",IF(계산!CI190="","날짜 확인",IF(계산!CJ190="","금액 확인","")))</f>
        <v/>
      </c>
    </row>
    <row r="191">
      <c r="A191" s="3" t="n"/>
      <c r="C191" s="4" t="n"/>
      <c r="E191" s="5">
        <f>IF(C191="","",IF(계산!CI191="","날짜 확인",IF(계산!CJ191="","금액 확인","")))</f>
        <v/>
      </c>
    </row>
    <row r="192">
      <c r="A192" s="3" t="n"/>
      <c r="C192" s="4" t="n"/>
      <c r="E192" s="5">
        <f>IF(C192="","",IF(계산!CI192="","날짜 확인",IF(계산!CJ192="","금액 확인","")))</f>
        <v/>
      </c>
    </row>
    <row r="193">
      <c r="A193" s="3" t="n"/>
      <c r="C193" s="4" t="n"/>
      <c r="E193" s="5">
        <f>IF(C193="","",IF(계산!CI193="","날짜 확인",IF(계산!CJ193="","금액 확인","")))</f>
        <v/>
      </c>
    </row>
    <row r="194">
      <c r="A194" s="3" t="n"/>
      <c r="C194" s="4" t="n"/>
      <c r="E194" s="5">
        <f>IF(C194="","",IF(계산!CI194="","날짜 확인",IF(계산!CJ194="","금액 확인","")))</f>
        <v/>
      </c>
    </row>
    <row r="195">
      <c r="A195" s="3" t="n"/>
      <c r="C195" s="4" t="n"/>
      <c r="E195" s="5">
        <f>IF(C195="","",IF(계산!CI195="","날짜 확인",IF(계산!CJ195="","금액 확인","")))</f>
        <v/>
      </c>
    </row>
    <row r="196">
      <c r="A196" s="3" t="n"/>
      <c r="C196" s="4" t="n"/>
      <c r="E196" s="5">
        <f>IF(C196="","",IF(계산!CI196="","날짜 확인",IF(계산!CJ196="","금액 확인","")))</f>
        <v/>
      </c>
    </row>
    <row r="197">
      <c r="A197" s="3" t="n"/>
      <c r="C197" s="4" t="n"/>
      <c r="E197" s="5">
        <f>IF(C197="","",IF(계산!CI197="","날짜 확인",IF(계산!CJ197="","금액 확인","")))</f>
        <v/>
      </c>
    </row>
    <row r="198">
      <c r="A198" s="3" t="n"/>
      <c r="C198" s="4" t="n"/>
      <c r="E198" s="5">
        <f>IF(C198="","",IF(계산!CI198="","날짜 확인",IF(계산!CJ198="","금액 확인","")))</f>
        <v/>
      </c>
    </row>
    <row r="199">
      <c r="A199" s="3" t="n"/>
      <c r="C199" s="4" t="n"/>
      <c r="E199" s="5">
        <f>IF(C199="","",IF(계산!CI199="","날짜 확인",IF(계산!CJ199="","금액 확인","")))</f>
        <v/>
      </c>
    </row>
    <row r="200">
      <c r="A200" s="3" t="n"/>
      <c r="C200" s="4" t="n"/>
      <c r="E200" s="5">
        <f>IF(C200="","",IF(계산!CI200="","날짜 확인",IF(계산!CJ200="","금액 확인","")))</f>
        <v/>
      </c>
    </row>
    <row r="201">
      <c r="A201" s="3" t="n"/>
      <c r="C201" s="4" t="n"/>
      <c r="E201" s="5">
        <f>IF(C201="","",IF(계산!CI201="","날짜 확인",IF(계산!CJ201="","금액 확인","")))</f>
        <v/>
      </c>
    </row>
    <row r="202">
      <c r="A202" s="3" t="n"/>
      <c r="C202" s="4" t="n"/>
      <c r="E202" s="5">
        <f>IF(C202="","",IF(계산!CI202="","날짜 확인",IF(계산!CJ202="","금액 확인","")))</f>
        <v/>
      </c>
    </row>
    <row r="203">
      <c r="A203" s="3" t="n"/>
      <c r="C203" s="4" t="n"/>
      <c r="E203" s="5">
        <f>IF(C203="","",IF(계산!CI203="","날짜 확인",IF(계산!CJ203="","금액 확인","")))</f>
        <v/>
      </c>
    </row>
    <row r="204">
      <c r="A204" s="3" t="n"/>
      <c r="C204" s="4" t="n"/>
      <c r="E204" s="5">
        <f>IF(C204="","",IF(계산!CI204="","날짜 확인",IF(계산!CJ204="","금액 확인","")))</f>
        <v/>
      </c>
    </row>
    <row r="205">
      <c r="A205" s="3" t="n"/>
      <c r="C205" s="4" t="n"/>
      <c r="E205" s="5">
        <f>IF(C205="","",IF(계산!CI205="","날짜 확인",IF(계산!CJ205="","금액 확인","")))</f>
        <v/>
      </c>
    </row>
    <row r="206">
      <c r="A206" s="3" t="n"/>
      <c r="C206" s="4" t="n"/>
      <c r="E206" s="5">
        <f>IF(C206="","",IF(계산!CI206="","날짜 확인",IF(계산!CJ206="","금액 확인","")))</f>
        <v/>
      </c>
    </row>
    <row r="207">
      <c r="A207" s="3" t="n"/>
      <c r="C207" s="4" t="n"/>
      <c r="E207" s="5">
        <f>IF(C207="","",IF(계산!CI207="","날짜 확인",IF(계산!CJ207="","금액 확인","")))</f>
        <v/>
      </c>
    </row>
    <row r="208">
      <c r="A208" s="3" t="n"/>
      <c r="C208" s="4" t="n"/>
      <c r="E208" s="5">
        <f>IF(C208="","",IF(계산!CI208="","날짜 확인",IF(계산!CJ208="","금액 확인","")))</f>
        <v/>
      </c>
    </row>
    <row r="209">
      <c r="A209" s="3" t="n"/>
      <c r="C209" s="4" t="n"/>
      <c r="E209" s="5">
        <f>IF(C209="","",IF(계산!CI209="","날짜 확인",IF(계산!CJ209="","금액 확인","")))</f>
        <v/>
      </c>
    </row>
    <row r="210">
      <c r="A210" s="3" t="n"/>
      <c r="C210" s="4" t="n"/>
      <c r="E210" s="5">
        <f>IF(C210="","",IF(계산!CI210="","날짜 확인",IF(계산!CJ210="","금액 확인","")))</f>
        <v/>
      </c>
    </row>
    <row r="211">
      <c r="A211" s="3" t="n"/>
      <c r="C211" s="4" t="n"/>
      <c r="E211" s="5">
        <f>IF(C211="","",IF(계산!CI211="","날짜 확인",IF(계산!CJ211="","금액 확인","")))</f>
        <v/>
      </c>
    </row>
    <row r="212">
      <c r="A212" s="3" t="n"/>
      <c r="C212" s="4" t="n"/>
      <c r="E212" s="5">
        <f>IF(C212="","",IF(계산!CI212="","날짜 확인",IF(계산!CJ212="","금액 확인","")))</f>
        <v/>
      </c>
    </row>
    <row r="213">
      <c r="A213" s="3" t="n"/>
      <c r="C213" s="4" t="n"/>
      <c r="E213" s="5">
        <f>IF(C213="","",IF(계산!CI213="","날짜 확인",IF(계산!CJ213="","금액 확인","")))</f>
        <v/>
      </c>
    </row>
    <row r="214">
      <c r="A214" s="3" t="n"/>
      <c r="C214" s="4" t="n"/>
      <c r="E214" s="5">
        <f>IF(C214="","",IF(계산!CI214="","날짜 확인",IF(계산!CJ214="","금액 확인","")))</f>
        <v/>
      </c>
    </row>
    <row r="215">
      <c r="A215" s="3" t="n"/>
      <c r="C215" s="4" t="n"/>
      <c r="E215" s="5">
        <f>IF(C215="","",IF(계산!CI215="","날짜 확인",IF(계산!CJ215="","금액 확인","")))</f>
        <v/>
      </c>
    </row>
    <row r="216">
      <c r="A216" s="3" t="n"/>
      <c r="C216" s="4" t="n"/>
      <c r="E216" s="5">
        <f>IF(C216="","",IF(계산!CI216="","날짜 확인",IF(계산!CJ216="","금액 확인","")))</f>
        <v/>
      </c>
    </row>
    <row r="217">
      <c r="A217" s="3" t="n"/>
      <c r="C217" s="4" t="n"/>
      <c r="E217" s="5">
        <f>IF(C217="","",IF(계산!CI217="","날짜 확인",IF(계산!CJ217="","금액 확인","")))</f>
        <v/>
      </c>
    </row>
    <row r="218">
      <c r="A218" s="3" t="n"/>
      <c r="C218" s="4" t="n"/>
      <c r="E218" s="5">
        <f>IF(C218="","",IF(계산!CI218="","날짜 확인",IF(계산!CJ218="","금액 확인","")))</f>
        <v/>
      </c>
    </row>
    <row r="219">
      <c r="A219" s="3" t="n"/>
      <c r="C219" s="4" t="n"/>
      <c r="E219" s="5">
        <f>IF(C219="","",IF(계산!CI219="","날짜 확인",IF(계산!CJ219="","금액 확인","")))</f>
        <v/>
      </c>
    </row>
    <row r="220">
      <c r="A220" s="3" t="n"/>
      <c r="C220" s="4" t="n"/>
      <c r="E220" s="5">
        <f>IF(C220="","",IF(계산!CI220="","날짜 확인",IF(계산!CJ220="","금액 확인","")))</f>
        <v/>
      </c>
    </row>
    <row r="221">
      <c r="A221" s="3" t="n"/>
      <c r="C221" s="4" t="n"/>
      <c r="E221" s="5">
        <f>IF(C221="","",IF(계산!CI221="","날짜 확인",IF(계산!CJ221="","금액 확인","")))</f>
        <v/>
      </c>
    </row>
    <row r="222">
      <c r="A222" s="3" t="n"/>
      <c r="C222" s="4" t="n"/>
      <c r="E222" s="5">
        <f>IF(C222="","",IF(계산!CI222="","날짜 확인",IF(계산!CJ222="","금액 확인","")))</f>
        <v/>
      </c>
    </row>
    <row r="223">
      <c r="A223" s="3" t="n"/>
      <c r="C223" s="4" t="n"/>
      <c r="E223" s="5">
        <f>IF(C223="","",IF(계산!CI223="","날짜 확인",IF(계산!CJ223="","금액 확인","")))</f>
        <v/>
      </c>
    </row>
    <row r="224">
      <c r="A224" s="3" t="n"/>
      <c r="C224" s="4" t="n"/>
      <c r="E224" s="5">
        <f>IF(C224="","",IF(계산!CI224="","날짜 확인",IF(계산!CJ224="","금액 확인","")))</f>
        <v/>
      </c>
    </row>
    <row r="225">
      <c r="A225" s="3" t="n"/>
      <c r="C225" s="4" t="n"/>
      <c r="E225" s="5">
        <f>IF(C225="","",IF(계산!CI225="","날짜 확인",IF(계산!CJ225="","금액 확인","")))</f>
        <v/>
      </c>
    </row>
    <row r="226">
      <c r="A226" s="3" t="n"/>
      <c r="C226" s="4" t="n"/>
      <c r="E226" s="5">
        <f>IF(C226="","",IF(계산!CI226="","날짜 확인",IF(계산!CJ226="","금액 확인","")))</f>
        <v/>
      </c>
    </row>
    <row r="227">
      <c r="A227" s="3" t="n"/>
      <c r="C227" s="4" t="n"/>
      <c r="E227" s="5">
        <f>IF(C227="","",IF(계산!CI227="","날짜 확인",IF(계산!CJ227="","금액 확인","")))</f>
        <v/>
      </c>
    </row>
    <row r="228">
      <c r="A228" s="3" t="n"/>
      <c r="C228" s="4" t="n"/>
      <c r="E228" s="5">
        <f>IF(C228="","",IF(계산!CI228="","날짜 확인",IF(계산!CJ228="","금액 확인","")))</f>
        <v/>
      </c>
    </row>
    <row r="229">
      <c r="A229" s="3" t="n"/>
      <c r="C229" s="4" t="n"/>
      <c r="E229" s="5">
        <f>IF(C229="","",IF(계산!CI229="","날짜 확인",IF(계산!CJ229="","금액 확인","")))</f>
        <v/>
      </c>
    </row>
    <row r="230">
      <c r="A230" s="3" t="n"/>
      <c r="C230" s="4" t="n"/>
      <c r="E230" s="5">
        <f>IF(C230="","",IF(계산!CI230="","날짜 확인",IF(계산!CJ230="","금액 확인","")))</f>
        <v/>
      </c>
    </row>
    <row r="231">
      <c r="A231" s="3" t="n"/>
      <c r="C231" s="4" t="n"/>
      <c r="E231" s="5">
        <f>IF(C231="","",IF(계산!CI231="","날짜 확인",IF(계산!CJ231="","금액 확인","")))</f>
        <v/>
      </c>
    </row>
    <row r="232">
      <c r="A232" s="3" t="n"/>
      <c r="C232" s="4" t="n"/>
      <c r="E232" s="5">
        <f>IF(C232="","",IF(계산!CI232="","날짜 확인",IF(계산!CJ232="","금액 확인","")))</f>
        <v/>
      </c>
    </row>
    <row r="233">
      <c r="A233" s="3" t="n"/>
      <c r="C233" s="4" t="n"/>
      <c r="E233" s="5">
        <f>IF(C233="","",IF(계산!CI233="","날짜 확인",IF(계산!CJ233="","금액 확인","")))</f>
        <v/>
      </c>
    </row>
    <row r="234">
      <c r="A234" s="3" t="n"/>
      <c r="C234" s="4" t="n"/>
      <c r="E234" s="5">
        <f>IF(C234="","",IF(계산!CI234="","날짜 확인",IF(계산!CJ234="","금액 확인","")))</f>
        <v/>
      </c>
    </row>
    <row r="235">
      <c r="A235" s="3" t="n"/>
      <c r="C235" s="4" t="n"/>
      <c r="E235" s="5">
        <f>IF(C235="","",IF(계산!CI235="","날짜 확인",IF(계산!CJ235="","금액 확인","")))</f>
        <v/>
      </c>
    </row>
    <row r="236">
      <c r="A236" s="3" t="n"/>
      <c r="C236" s="4" t="n"/>
      <c r="E236" s="5">
        <f>IF(C236="","",IF(계산!CI236="","날짜 확인",IF(계산!CJ236="","금액 확인","")))</f>
        <v/>
      </c>
    </row>
    <row r="237">
      <c r="A237" s="3" t="n"/>
      <c r="C237" s="4" t="n"/>
      <c r="E237" s="5">
        <f>IF(C237="","",IF(계산!CI237="","날짜 확인",IF(계산!CJ237="","금액 확인","")))</f>
        <v/>
      </c>
    </row>
    <row r="238">
      <c r="A238" s="3" t="n"/>
      <c r="C238" s="4" t="n"/>
      <c r="E238" s="5">
        <f>IF(C238="","",IF(계산!CI238="","날짜 확인",IF(계산!CJ238="","금액 확인","")))</f>
        <v/>
      </c>
    </row>
    <row r="239">
      <c r="A239" s="3" t="n"/>
      <c r="C239" s="4" t="n"/>
      <c r="E239" s="5">
        <f>IF(C239="","",IF(계산!CI239="","날짜 확인",IF(계산!CJ239="","금액 확인","")))</f>
        <v/>
      </c>
    </row>
    <row r="240">
      <c r="A240" s="3" t="n"/>
      <c r="C240" s="4" t="n"/>
      <c r="E240" s="5">
        <f>IF(C240="","",IF(계산!CI240="","날짜 확인",IF(계산!CJ240="","금액 확인","")))</f>
        <v/>
      </c>
    </row>
    <row r="241">
      <c r="A241" s="3" t="n"/>
      <c r="C241" s="4" t="n"/>
      <c r="E241" s="5">
        <f>IF(C241="","",IF(계산!CI241="","날짜 확인",IF(계산!CJ241="","금액 확인","")))</f>
        <v/>
      </c>
    </row>
    <row r="242">
      <c r="A242" s="3" t="n"/>
      <c r="C242" s="4" t="n"/>
      <c r="E242" s="5">
        <f>IF(C242="","",IF(계산!CI242="","날짜 확인",IF(계산!CJ242="","금액 확인","")))</f>
        <v/>
      </c>
    </row>
    <row r="243">
      <c r="A243" s="3" t="n"/>
      <c r="C243" s="4" t="n"/>
      <c r="E243" s="5">
        <f>IF(C243="","",IF(계산!CI243="","날짜 확인",IF(계산!CJ243="","금액 확인","")))</f>
        <v/>
      </c>
    </row>
    <row r="244">
      <c r="A244" s="3" t="n"/>
      <c r="C244" s="4" t="n"/>
      <c r="E244" s="5">
        <f>IF(C244="","",IF(계산!CI244="","날짜 확인",IF(계산!CJ244="","금액 확인","")))</f>
        <v/>
      </c>
    </row>
    <row r="245">
      <c r="A245" s="3" t="n"/>
      <c r="C245" s="4" t="n"/>
      <c r="E245" s="5">
        <f>IF(C245="","",IF(계산!CI245="","날짜 확인",IF(계산!CJ245="","금액 확인","")))</f>
        <v/>
      </c>
    </row>
    <row r="246">
      <c r="A246" s="3" t="n"/>
      <c r="C246" s="4" t="n"/>
      <c r="E246" s="5">
        <f>IF(C246="","",IF(계산!CI246="","날짜 확인",IF(계산!CJ246="","금액 확인","")))</f>
        <v/>
      </c>
    </row>
    <row r="247">
      <c r="A247" s="3" t="n"/>
      <c r="C247" s="4" t="n"/>
      <c r="E247" s="5">
        <f>IF(C247="","",IF(계산!CI247="","날짜 확인",IF(계산!CJ247="","금액 확인","")))</f>
        <v/>
      </c>
    </row>
    <row r="248">
      <c r="A248" s="3" t="n"/>
      <c r="C248" s="4" t="n"/>
      <c r="E248" s="5">
        <f>IF(C248="","",IF(계산!CI248="","날짜 확인",IF(계산!CJ248="","금액 확인","")))</f>
        <v/>
      </c>
    </row>
    <row r="249">
      <c r="A249" s="3" t="n"/>
      <c r="C249" s="4" t="n"/>
      <c r="E249" s="5">
        <f>IF(C249="","",IF(계산!CI249="","날짜 확인",IF(계산!CJ249="","금액 확인","")))</f>
        <v/>
      </c>
    </row>
    <row r="250">
      <c r="A250" s="3" t="n"/>
      <c r="C250" s="4" t="n"/>
      <c r="E250" s="5">
        <f>IF(C250="","",IF(계산!CI250="","날짜 확인",IF(계산!CJ250="","금액 확인","")))</f>
        <v/>
      </c>
    </row>
    <row r="251">
      <c r="A251" s="3" t="n"/>
      <c r="C251" s="4" t="n"/>
      <c r="E251" s="5">
        <f>IF(C251="","",IF(계산!CI251="","날짜 확인",IF(계산!CJ251="","금액 확인","")))</f>
        <v/>
      </c>
    </row>
    <row r="252">
      <c r="A252" s="3" t="n"/>
      <c r="C252" s="4" t="n"/>
      <c r="E252" s="5">
        <f>IF(C252="","",IF(계산!CI252="","날짜 확인",IF(계산!CJ252="","금액 확인","")))</f>
        <v/>
      </c>
    </row>
    <row r="253">
      <c r="A253" s="3" t="n"/>
      <c r="C253" s="4" t="n"/>
      <c r="E253" s="5">
        <f>IF(C253="","",IF(계산!CI253="","날짜 확인",IF(계산!CJ253="","금액 확인","")))</f>
        <v/>
      </c>
    </row>
    <row r="254">
      <c r="A254" s="3" t="n"/>
      <c r="C254" s="4" t="n"/>
      <c r="E254" s="5">
        <f>IF(C254="","",IF(계산!CI254="","날짜 확인",IF(계산!CJ254="","금액 확인","")))</f>
        <v/>
      </c>
    </row>
    <row r="255">
      <c r="A255" s="3" t="n"/>
      <c r="C255" s="4" t="n"/>
      <c r="E255" s="5">
        <f>IF(C255="","",IF(계산!CI255="","날짜 확인",IF(계산!CJ255="","금액 확인","")))</f>
        <v/>
      </c>
    </row>
    <row r="256">
      <c r="A256" s="3" t="n"/>
      <c r="C256" s="4" t="n"/>
      <c r="E256" s="5">
        <f>IF(C256="","",IF(계산!CI256="","날짜 확인",IF(계산!CJ256="","금액 확인","")))</f>
        <v/>
      </c>
    </row>
    <row r="257">
      <c r="A257" s="3" t="n"/>
      <c r="C257" s="4" t="n"/>
      <c r="E257" s="5">
        <f>IF(C257="","",IF(계산!CI257="","날짜 확인",IF(계산!CJ257="","금액 확인","")))</f>
        <v/>
      </c>
    </row>
    <row r="258">
      <c r="A258" s="3" t="n"/>
      <c r="C258" s="4" t="n"/>
      <c r="E258" s="5">
        <f>IF(C258="","",IF(계산!CI258="","날짜 확인",IF(계산!CJ258="","금액 확인","")))</f>
        <v/>
      </c>
    </row>
    <row r="259">
      <c r="A259" s="3" t="n"/>
      <c r="C259" s="4" t="n"/>
      <c r="E259" s="5">
        <f>IF(C259="","",IF(계산!CI259="","날짜 확인",IF(계산!CJ259="","금액 확인","")))</f>
        <v/>
      </c>
    </row>
    <row r="260">
      <c r="A260" s="3" t="n"/>
      <c r="C260" s="4" t="n"/>
      <c r="E260" s="5">
        <f>IF(C260="","",IF(계산!CI260="","날짜 확인",IF(계산!CJ260="","금액 확인","")))</f>
        <v/>
      </c>
    </row>
    <row r="261">
      <c r="A261" s="3" t="n"/>
      <c r="C261" s="4" t="n"/>
      <c r="E261" s="5">
        <f>IF(C261="","",IF(계산!CI261="","날짜 확인",IF(계산!CJ261="","금액 확인","")))</f>
        <v/>
      </c>
    </row>
    <row r="262">
      <c r="A262" s="3" t="n"/>
      <c r="C262" s="4" t="n"/>
      <c r="E262" s="5">
        <f>IF(C262="","",IF(계산!CI262="","날짜 확인",IF(계산!CJ262="","금액 확인","")))</f>
        <v/>
      </c>
    </row>
    <row r="263">
      <c r="A263" s="3" t="n"/>
      <c r="C263" s="4" t="n"/>
      <c r="E263" s="5">
        <f>IF(C263="","",IF(계산!CI263="","날짜 확인",IF(계산!CJ263="","금액 확인","")))</f>
        <v/>
      </c>
    </row>
    <row r="264">
      <c r="A264" s="3" t="n"/>
      <c r="C264" s="4" t="n"/>
      <c r="E264" s="5">
        <f>IF(C264="","",IF(계산!CI264="","날짜 확인",IF(계산!CJ264="","금액 확인","")))</f>
        <v/>
      </c>
    </row>
    <row r="265">
      <c r="A265" s="3" t="n"/>
      <c r="C265" s="4" t="n"/>
      <c r="E265" s="5">
        <f>IF(C265="","",IF(계산!CI265="","날짜 확인",IF(계산!CJ265="","금액 확인","")))</f>
        <v/>
      </c>
    </row>
    <row r="266">
      <c r="A266" s="3" t="n"/>
      <c r="C266" s="4" t="n"/>
      <c r="E266" s="5">
        <f>IF(C266="","",IF(계산!CI266="","날짜 확인",IF(계산!CJ266="","금액 확인","")))</f>
        <v/>
      </c>
    </row>
    <row r="267">
      <c r="A267" s="3" t="n"/>
      <c r="C267" s="4" t="n"/>
      <c r="E267" s="5">
        <f>IF(C267="","",IF(계산!CI267="","날짜 확인",IF(계산!CJ267="","금액 확인","")))</f>
        <v/>
      </c>
    </row>
    <row r="268">
      <c r="A268" s="3" t="n"/>
      <c r="C268" s="4" t="n"/>
      <c r="E268" s="5">
        <f>IF(C268="","",IF(계산!CI268="","날짜 확인",IF(계산!CJ268="","금액 확인","")))</f>
        <v/>
      </c>
    </row>
    <row r="269">
      <c r="A269" s="3" t="n"/>
      <c r="C269" s="4" t="n"/>
      <c r="E269" s="5">
        <f>IF(C269="","",IF(계산!CI269="","날짜 확인",IF(계산!CJ269="","금액 확인","")))</f>
        <v/>
      </c>
    </row>
    <row r="270">
      <c r="A270" s="3" t="n"/>
      <c r="C270" s="4" t="n"/>
      <c r="E270" s="5">
        <f>IF(C270="","",IF(계산!CI270="","날짜 확인",IF(계산!CJ270="","금액 확인","")))</f>
        <v/>
      </c>
    </row>
    <row r="271">
      <c r="A271" s="3" t="n"/>
      <c r="C271" s="4" t="n"/>
      <c r="E271" s="5">
        <f>IF(C271="","",IF(계산!CI271="","날짜 확인",IF(계산!CJ271="","금액 확인","")))</f>
        <v/>
      </c>
    </row>
    <row r="272">
      <c r="A272" s="3" t="n"/>
      <c r="C272" s="4" t="n"/>
      <c r="E272" s="5">
        <f>IF(C272="","",IF(계산!CI272="","날짜 확인",IF(계산!CJ272="","금액 확인","")))</f>
        <v/>
      </c>
    </row>
    <row r="273">
      <c r="A273" s="3" t="n"/>
      <c r="C273" s="4" t="n"/>
      <c r="E273" s="5">
        <f>IF(C273="","",IF(계산!CI273="","날짜 확인",IF(계산!CJ273="","금액 확인","")))</f>
        <v/>
      </c>
    </row>
    <row r="274">
      <c r="A274" s="3" t="n"/>
      <c r="C274" s="4" t="n"/>
      <c r="E274" s="5">
        <f>IF(C274="","",IF(계산!CI274="","날짜 확인",IF(계산!CJ274="","금액 확인","")))</f>
        <v/>
      </c>
    </row>
    <row r="275">
      <c r="A275" s="3" t="n"/>
      <c r="C275" s="4" t="n"/>
      <c r="E275" s="5">
        <f>IF(C275="","",IF(계산!CI275="","날짜 확인",IF(계산!CJ275="","금액 확인","")))</f>
        <v/>
      </c>
    </row>
    <row r="276">
      <c r="A276" s="3" t="n"/>
      <c r="C276" s="4" t="n"/>
      <c r="E276" s="5">
        <f>IF(C276="","",IF(계산!CI276="","날짜 확인",IF(계산!CJ276="","금액 확인","")))</f>
        <v/>
      </c>
    </row>
    <row r="277">
      <c r="A277" s="3" t="n"/>
      <c r="C277" s="4" t="n"/>
      <c r="E277" s="5">
        <f>IF(C277="","",IF(계산!CI277="","날짜 확인",IF(계산!CJ277="","금액 확인","")))</f>
        <v/>
      </c>
    </row>
    <row r="278">
      <c r="A278" s="3" t="n"/>
      <c r="C278" s="4" t="n"/>
      <c r="E278" s="5">
        <f>IF(C278="","",IF(계산!CI278="","날짜 확인",IF(계산!CJ278="","금액 확인","")))</f>
        <v/>
      </c>
    </row>
    <row r="279">
      <c r="A279" s="3" t="n"/>
      <c r="C279" s="4" t="n"/>
      <c r="E279" s="5">
        <f>IF(C279="","",IF(계산!CI279="","날짜 확인",IF(계산!CJ279="","금액 확인","")))</f>
        <v/>
      </c>
    </row>
    <row r="280">
      <c r="A280" s="3" t="n"/>
      <c r="C280" s="4" t="n"/>
      <c r="E280" s="5">
        <f>IF(C280="","",IF(계산!CI280="","날짜 확인",IF(계산!CJ280="","금액 확인","")))</f>
        <v/>
      </c>
    </row>
    <row r="281">
      <c r="A281" s="3" t="n"/>
      <c r="C281" s="4" t="n"/>
      <c r="E281" s="5">
        <f>IF(C281="","",IF(계산!CI281="","날짜 확인",IF(계산!CJ281="","금액 확인","")))</f>
        <v/>
      </c>
    </row>
    <row r="282">
      <c r="A282" s="3" t="n"/>
      <c r="C282" s="4" t="n"/>
      <c r="E282" s="5">
        <f>IF(C282="","",IF(계산!CI282="","날짜 확인",IF(계산!CJ282="","금액 확인","")))</f>
        <v/>
      </c>
    </row>
    <row r="283">
      <c r="A283" s="3" t="n"/>
      <c r="C283" s="4" t="n"/>
      <c r="E283" s="5">
        <f>IF(C283="","",IF(계산!CI283="","날짜 확인",IF(계산!CJ283="","금액 확인","")))</f>
        <v/>
      </c>
    </row>
    <row r="284">
      <c r="A284" s="3" t="n"/>
      <c r="C284" s="4" t="n"/>
      <c r="E284" s="5">
        <f>IF(C284="","",IF(계산!CI284="","날짜 확인",IF(계산!CJ284="","금액 확인","")))</f>
        <v/>
      </c>
    </row>
    <row r="285">
      <c r="A285" s="3" t="n"/>
      <c r="C285" s="4" t="n"/>
      <c r="E285" s="5">
        <f>IF(C285="","",IF(계산!CI285="","날짜 확인",IF(계산!CJ285="","금액 확인","")))</f>
        <v/>
      </c>
    </row>
    <row r="286">
      <c r="A286" s="3" t="n"/>
      <c r="C286" s="4" t="n"/>
      <c r="E286" s="5">
        <f>IF(C286="","",IF(계산!CI286="","날짜 확인",IF(계산!CJ286="","금액 확인","")))</f>
        <v/>
      </c>
    </row>
    <row r="287">
      <c r="A287" s="3" t="n"/>
      <c r="C287" s="4" t="n"/>
      <c r="E287" s="5">
        <f>IF(C287="","",IF(계산!CI287="","날짜 확인",IF(계산!CJ287="","금액 확인","")))</f>
        <v/>
      </c>
    </row>
    <row r="288">
      <c r="A288" s="3" t="n"/>
      <c r="C288" s="4" t="n"/>
      <c r="E288" s="5">
        <f>IF(C288="","",IF(계산!CI288="","날짜 확인",IF(계산!CJ288="","금액 확인","")))</f>
        <v/>
      </c>
    </row>
    <row r="289">
      <c r="A289" s="3" t="n"/>
      <c r="C289" s="4" t="n"/>
      <c r="E289" s="5">
        <f>IF(C289="","",IF(계산!CI289="","날짜 확인",IF(계산!CJ289="","금액 확인","")))</f>
        <v/>
      </c>
    </row>
    <row r="290">
      <c r="A290" s="3" t="n"/>
      <c r="C290" s="4" t="n"/>
      <c r="E290" s="5">
        <f>IF(C290="","",IF(계산!CI290="","날짜 확인",IF(계산!CJ290="","금액 확인","")))</f>
        <v/>
      </c>
    </row>
    <row r="291">
      <c r="A291" s="3" t="n"/>
      <c r="C291" s="4" t="n"/>
      <c r="E291" s="5">
        <f>IF(C291="","",IF(계산!CI291="","날짜 확인",IF(계산!CJ291="","금액 확인","")))</f>
        <v/>
      </c>
    </row>
    <row r="292">
      <c r="A292" s="3" t="n"/>
      <c r="C292" s="4" t="n"/>
      <c r="E292" s="5">
        <f>IF(C292="","",IF(계산!CI292="","날짜 확인",IF(계산!CJ292="","금액 확인","")))</f>
        <v/>
      </c>
    </row>
    <row r="293">
      <c r="A293" s="3" t="n"/>
      <c r="C293" s="4" t="n"/>
      <c r="E293" s="5">
        <f>IF(C293="","",IF(계산!CI293="","날짜 확인",IF(계산!CJ293="","금액 확인","")))</f>
        <v/>
      </c>
    </row>
    <row r="294">
      <c r="A294" s="3" t="n"/>
      <c r="C294" s="4" t="n"/>
      <c r="E294" s="5">
        <f>IF(C294="","",IF(계산!CI294="","날짜 확인",IF(계산!CJ294="","금액 확인","")))</f>
        <v/>
      </c>
    </row>
    <row r="295">
      <c r="A295" s="3" t="n"/>
      <c r="C295" s="4" t="n"/>
      <c r="E295" s="5">
        <f>IF(C295="","",IF(계산!CI295="","날짜 확인",IF(계산!CJ295="","금액 확인","")))</f>
        <v/>
      </c>
    </row>
    <row r="296">
      <c r="A296" s="3" t="n"/>
      <c r="C296" s="4" t="n"/>
      <c r="E296" s="5">
        <f>IF(C296="","",IF(계산!CI296="","날짜 확인",IF(계산!CJ296="","금액 확인","")))</f>
        <v/>
      </c>
    </row>
    <row r="297">
      <c r="A297" s="3" t="n"/>
      <c r="C297" s="4" t="n"/>
      <c r="E297" s="5">
        <f>IF(C297="","",IF(계산!CI297="","날짜 확인",IF(계산!CJ297="","금액 확인","")))</f>
        <v/>
      </c>
    </row>
    <row r="298">
      <c r="A298" s="3" t="n"/>
      <c r="C298" s="4" t="n"/>
      <c r="E298" s="5">
        <f>IF(C298="","",IF(계산!CI298="","날짜 확인",IF(계산!CJ298="","금액 확인","")))</f>
        <v/>
      </c>
    </row>
    <row r="299">
      <c r="A299" s="3" t="n"/>
      <c r="C299" s="4" t="n"/>
      <c r="E299" s="5">
        <f>IF(C299="","",IF(계산!CI299="","날짜 확인",IF(계산!CJ299="","금액 확인","")))</f>
        <v/>
      </c>
    </row>
    <row r="300">
      <c r="A300" s="3" t="n"/>
      <c r="C300" s="4" t="n"/>
      <c r="E300" s="5">
        <f>IF(C300="","",IF(계산!CI300="","날짜 확인",IF(계산!CJ300="","금액 확인","")))</f>
        <v/>
      </c>
    </row>
    <row r="301">
      <c r="A301" s="3" t="n"/>
      <c r="C301" s="4" t="n"/>
      <c r="E301" s="5">
        <f>IF(C301="","",IF(계산!CI301="","날짜 확인",IF(계산!CJ301="","금액 확인","")))</f>
        <v/>
      </c>
    </row>
    <row r="302">
      <c r="A302" s="3" t="n"/>
      <c r="C302" s="4" t="n"/>
      <c r="E302" s="5">
        <f>IF(C302="","",IF(계산!CI302="","날짜 확인",IF(계산!CJ302="","금액 확인","")))</f>
        <v/>
      </c>
    </row>
    <row r="303">
      <c r="A303" s="3" t="n"/>
      <c r="C303" s="4" t="n"/>
      <c r="E303" s="5">
        <f>IF(C303="","",IF(계산!CI303="","날짜 확인",IF(계산!CJ303="","금액 확인","")))</f>
        <v/>
      </c>
    </row>
    <row r="304">
      <c r="A304" s="3" t="n"/>
      <c r="C304" s="4" t="n"/>
      <c r="E304" s="5">
        <f>IF(C304="","",IF(계산!CI304="","날짜 확인",IF(계산!CJ304="","금액 확인","")))</f>
        <v/>
      </c>
    </row>
    <row r="305">
      <c r="A305" s="3" t="n"/>
      <c r="C305" s="4" t="n"/>
      <c r="E305" s="5">
        <f>IF(C305="","",IF(계산!CI305="","날짜 확인",IF(계산!CJ305="","금액 확인","")))</f>
        <v/>
      </c>
    </row>
    <row r="306">
      <c r="A306" s="3" t="n"/>
      <c r="C306" s="4" t="n"/>
      <c r="E306" s="5">
        <f>IF(C306="","",IF(계산!CI306="","날짜 확인",IF(계산!CJ306="","금액 확인","")))</f>
        <v/>
      </c>
    </row>
    <row r="307">
      <c r="A307" s="3" t="n"/>
      <c r="C307" s="4" t="n"/>
      <c r="E307" s="5">
        <f>IF(C307="","",IF(계산!CI307="","날짜 확인",IF(계산!CJ307="","금액 확인","")))</f>
        <v/>
      </c>
    </row>
    <row r="308">
      <c r="A308" s="3" t="n"/>
      <c r="C308" s="4" t="n"/>
      <c r="E308" s="5">
        <f>IF(C308="","",IF(계산!CI308="","날짜 확인",IF(계산!CJ308="","금액 확인","")))</f>
        <v/>
      </c>
    </row>
    <row r="309">
      <c r="A309" s="3" t="n"/>
      <c r="C309" s="4" t="n"/>
      <c r="E309" s="5">
        <f>IF(C309="","",IF(계산!CI309="","날짜 확인",IF(계산!CJ309="","금액 확인","")))</f>
        <v/>
      </c>
    </row>
    <row r="310">
      <c r="A310" s="3" t="n"/>
      <c r="C310" s="4" t="n"/>
      <c r="E310" s="5">
        <f>IF(C310="","",IF(계산!CI310="","날짜 확인",IF(계산!CJ310="","금액 확인","")))</f>
        <v/>
      </c>
    </row>
    <row r="311">
      <c r="A311" s="3" t="n"/>
      <c r="C311" s="4" t="n"/>
      <c r="E311" s="5">
        <f>IF(C311="","",IF(계산!CI311="","날짜 확인",IF(계산!CJ311="","금액 확인","")))</f>
        <v/>
      </c>
    </row>
    <row r="312">
      <c r="A312" s="3" t="n"/>
      <c r="C312" s="4" t="n"/>
      <c r="E312" s="5">
        <f>IF(C312="","",IF(계산!CI312="","날짜 확인",IF(계산!CJ312="","금액 확인","")))</f>
        <v/>
      </c>
    </row>
    <row r="313">
      <c r="A313" s="3" t="n"/>
      <c r="C313" s="4" t="n"/>
      <c r="E313" s="5">
        <f>IF(C313="","",IF(계산!CI313="","날짜 확인",IF(계산!CJ313="","금액 확인","")))</f>
        <v/>
      </c>
    </row>
    <row r="314">
      <c r="A314" s="3" t="n"/>
      <c r="C314" s="4" t="n"/>
      <c r="E314" s="5">
        <f>IF(C314="","",IF(계산!CI314="","날짜 확인",IF(계산!CJ314="","금액 확인","")))</f>
        <v/>
      </c>
    </row>
    <row r="315">
      <c r="A315" s="3" t="n"/>
      <c r="C315" s="4" t="n"/>
      <c r="E315" s="5">
        <f>IF(C315="","",IF(계산!CI315="","날짜 확인",IF(계산!CJ315="","금액 확인","")))</f>
        <v/>
      </c>
    </row>
    <row r="316">
      <c r="A316" s="3" t="n"/>
      <c r="C316" s="4" t="n"/>
      <c r="E316" s="5">
        <f>IF(C316="","",IF(계산!CI316="","날짜 확인",IF(계산!CJ316="","금액 확인","")))</f>
        <v/>
      </c>
    </row>
    <row r="317">
      <c r="A317" s="3" t="n"/>
      <c r="C317" s="4" t="n"/>
      <c r="E317" s="5">
        <f>IF(C317="","",IF(계산!CI317="","날짜 확인",IF(계산!CJ317="","금액 확인","")))</f>
        <v/>
      </c>
    </row>
    <row r="318">
      <c r="A318" s="3" t="n"/>
      <c r="C318" s="4" t="n"/>
      <c r="E318" s="5">
        <f>IF(C318="","",IF(계산!CI318="","날짜 확인",IF(계산!CJ318="","금액 확인","")))</f>
        <v/>
      </c>
    </row>
    <row r="319">
      <c r="A319" s="3" t="n"/>
      <c r="C319" s="4" t="n"/>
      <c r="E319" s="5">
        <f>IF(C319="","",IF(계산!CI319="","날짜 확인",IF(계산!CJ319="","금액 확인","")))</f>
        <v/>
      </c>
    </row>
    <row r="320">
      <c r="A320" s="3" t="n"/>
      <c r="C320" s="4" t="n"/>
      <c r="E320" s="5">
        <f>IF(C320="","",IF(계산!CI320="","날짜 확인",IF(계산!CJ320="","금액 확인","")))</f>
        <v/>
      </c>
    </row>
    <row r="321">
      <c r="A321" s="3" t="n"/>
      <c r="C321" s="4" t="n"/>
      <c r="E321" s="5">
        <f>IF(C321="","",IF(계산!CI321="","날짜 확인",IF(계산!CJ321="","금액 확인","")))</f>
        <v/>
      </c>
    </row>
    <row r="322">
      <c r="A322" s="3" t="n"/>
      <c r="C322" s="4" t="n"/>
      <c r="E322" s="5">
        <f>IF(C322="","",IF(계산!CI322="","날짜 확인",IF(계산!CJ322="","금액 확인","")))</f>
        <v/>
      </c>
    </row>
    <row r="323">
      <c r="A323" s="3" t="n"/>
      <c r="C323" s="4" t="n"/>
      <c r="E323" s="5">
        <f>IF(C323="","",IF(계산!CI323="","날짜 확인",IF(계산!CJ323="","금액 확인","")))</f>
        <v/>
      </c>
    </row>
    <row r="324">
      <c r="A324" s="3" t="n"/>
      <c r="C324" s="4" t="n"/>
      <c r="E324" s="5">
        <f>IF(C324="","",IF(계산!CI324="","날짜 확인",IF(계산!CJ324="","금액 확인","")))</f>
        <v/>
      </c>
    </row>
    <row r="325">
      <c r="A325" s="3" t="n"/>
      <c r="C325" s="4" t="n"/>
      <c r="E325" s="5">
        <f>IF(C325="","",IF(계산!CI325="","날짜 확인",IF(계산!CJ325="","금액 확인","")))</f>
        <v/>
      </c>
    </row>
    <row r="326">
      <c r="A326" s="3" t="n"/>
      <c r="C326" s="4" t="n"/>
      <c r="E326" s="5">
        <f>IF(C326="","",IF(계산!CI326="","날짜 확인",IF(계산!CJ326="","금액 확인","")))</f>
        <v/>
      </c>
    </row>
    <row r="327">
      <c r="A327" s="3" t="n"/>
      <c r="C327" s="4" t="n"/>
      <c r="E327" s="5">
        <f>IF(C327="","",IF(계산!CI327="","날짜 확인",IF(계산!CJ327="","금액 확인","")))</f>
        <v/>
      </c>
    </row>
    <row r="328">
      <c r="A328" s="3" t="n"/>
      <c r="C328" s="4" t="n"/>
      <c r="E328" s="5">
        <f>IF(C328="","",IF(계산!CI328="","날짜 확인",IF(계산!CJ328="","금액 확인","")))</f>
        <v/>
      </c>
    </row>
    <row r="329">
      <c r="A329" s="3" t="n"/>
      <c r="C329" s="4" t="n"/>
      <c r="E329" s="5">
        <f>IF(C329="","",IF(계산!CI329="","날짜 확인",IF(계산!CJ329="","금액 확인","")))</f>
        <v/>
      </c>
    </row>
    <row r="330">
      <c r="A330" s="3" t="n"/>
      <c r="C330" s="4" t="n"/>
      <c r="E330" s="5">
        <f>IF(C330="","",IF(계산!CI330="","날짜 확인",IF(계산!CJ330="","금액 확인","")))</f>
        <v/>
      </c>
    </row>
    <row r="331">
      <c r="A331" s="3" t="n"/>
      <c r="C331" s="4" t="n"/>
      <c r="E331" s="5">
        <f>IF(C331="","",IF(계산!CI331="","날짜 확인",IF(계산!CJ331="","금액 확인","")))</f>
        <v/>
      </c>
    </row>
    <row r="332">
      <c r="A332" s="3" t="n"/>
      <c r="C332" s="4" t="n"/>
      <c r="E332" s="5">
        <f>IF(C332="","",IF(계산!CI332="","날짜 확인",IF(계산!CJ332="","금액 확인","")))</f>
        <v/>
      </c>
    </row>
    <row r="333">
      <c r="A333" s="3" t="n"/>
      <c r="C333" s="4" t="n"/>
      <c r="E333" s="5">
        <f>IF(C333="","",IF(계산!CI333="","날짜 확인",IF(계산!CJ333="","금액 확인","")))</f>
        <v/>
      </c>
    </row>
    <row r="334">
      <c r="A334" s="3" t="n"/>
      <c r="C334" s="4" t="n"/>
      <c r="E334" s="5">
        <f>IF(C334="","",IF(계산!CI334="","날짜 확인",IF(계산!CJ334="","금액 확인","")))</f>
        <v/>
      </c>
    </row>
    <row r="335">
      <c r="A335" s="3" t="n"/>
      <c r="C335" s="4" t="n"/>
      <c r="E335" s="5">
        <f>IF(C335="","",IF(계산!CI335="","날짜 확인",IF(계산!CJ335="","금액 확인","")))</f>
        <v/>
      </c>
    </row>
    <row r="336">
      <c r="A336" s="3" t="n"/>
      <c r="C336" s="4" t="n"/>
      <c r="E336" s="5">
        <f>IF(C336="","",IF(계산!CI336="","날짜 확인",IF(계산!CJ336="","금액 확인","")))</f>
        <v/>
      </c>
    </row>
    <row r="337">
      <c r="A337" s="3" t="n"/>
      <c r="C337" s="4" t="n"/>
      <c r="E337" s="5">
        <f>IF(C337="","",IF(계산!CI337="","날짜 확인",IF(계산!CJ337="","금액 확인","")))</f>
        <v/>
      </c>
    </row>
    <row r="338">
      <c r="A338" s="3" t="n"/>
      <c r="C338" s="4" t="n"/>
      <c r="E338" s="5">
        <f>IF(C338="","",IF(계산!CI338="","날짜 확인",IF(계산!CJ338="","금액 확인","")))</f>
        <v/>
      </c>
    </row>
    <row r="339">
      <c r="A339" s="3" t="n"/>
      <c r="C339" s="4" t="n"/>
      <c r="E339" s="5">
        <f>IF(C339="","",IF(계산!CI339="","날짜 확인",IF(계산!CJ339="","금액 확인","")))</f>
        <v/>
      </c>
    </row>
    <row r="340">
      <c r="A340" s="3" t="n"/>
      <c r="C340" s="4" t="n"/>
      <c r="E340" s="5">
        <f>IF(C340="","",IF(계산!CI340="","날짜 확인",IF(계산!CJ340="","금액 확인","")))</f>
        <v/>
      </c>
    </row>
    <row r="341">
      <c r="A341" s="3" t="n"/>
      <c r="C341" s="4" t="n"/>
      <c r="E341" s="5">
        <f>IF(C341="","",IF(계산!CI341="","날짜 확인",IF(계산!CJ341="","금액 확인","")))</f>
        <v/>
      </c>
    </row>
    <row r="342">
      <c r="A342" s="3" t="n"/>
      <c r="C342" s="4" t="n"/>
      <c r="E342" s="5">
        <f>IF(C342="","",IF(계산!CI342="","날짜 확인",IF(계산!CJ342="","금액 확인","")))</f>
        <v/>
      </c>
    </row>
    <row r="343">
      <c r="A343" s="3" t="n"/>
      <c r="C343" s="4" t="n"/>
      <c r="E343" s="5">
        <f>IF(C343="","",IF(계산!CI343="","날짜 확인",IF(계산!CJ343="","금액 확인","")))</f>
        <v/>
      </c>
    </row>
    <row r="344">
      <c r="A344" s="3" t="n"/>
      <c r="C344" s="4" t="n"/>
      <c r="E344" s="5">
        <f>IF(C344="","",IF(계산!CI344="","날짜 확인",IF(계산!CJ344="","금액 확인","")))</f>
        <v/>
      </c>
    </row>
    <row r="345">
      <c r="A345" s="3" t="n"/>
      <c r="C345" s="4" t="n"/>
      <c r="E345" s="5">
        <f>IF(C345="","",IF(계산!CI345="","날짜 확인",IF(계산!CJ345="","금액 확인","")))</f>
        <v/>
      </c>
    </row>
    <row r="346">
      <c r="A346" s="3" t="n"/>
      <c r="C346" s="4" t="n"/>
      <c r="E346" s="5">
        <f>IF(C346="","",IF(계산!CI346="","날짜 확인",IF(계산!CJ346="","금액 확인","")))</f>
        <v/>
      </c>
    </row>
    <row r="347">
      <c r="A347" s="3" t="n"/>
      <c r="C347" s="4" t="n"/>
      <c r="E347" s="5">
        <f>IF(C347="","",IF(계산!CI347="","날짜 확인",IF(계산!CJ347="","금액 확인","")))</f>
        <v/>
      </c>
    </row>
    <row r="348">
      <c r="A348" s="3" t="n"/>
      <c r="C348" s="4" t="n"/>
      <c r="E348" s="5">
        <f>IF(C348="","",IF(계산!CI348="","날짜 확인",IF(계산!CJ348="","금액 확인","")))</f>
        <v/>
      </c>
    </row>
    <row r="349">
      <c r="A349" s="3" t="n"/>
      <c r="C349" s="4" t="n"/>
      <c r="E349" s="5">
        <f>IF(C349="","",IF(계산!CI349="","날짜 확인",IF(계산!CJ349="","금액 확인","")))</f>
        <v/>
      </c>
    </row>
    <row r="350">
      <c r="A350" s="3" t="n"/>
      <c r="C350" s="4" t="n"/>
      <c r="E350" s="5">
        <f>IF(C350="","",IF(계산!CI350="","날짜 확인",IF(계산!CJ350="","금액 확인","")))</f>
        <v/>
      </c>
    </row>
    <row r="351">
      <c r="A351" s="3" t="n"/>
      <c r="C351" s="4" t="n"/>
      <c r="E351" s="5">
        <f>IF(C351="","",IF(계산!CI351="","날짜 확인",IF(계산!CJ351="","금액 확인","")))</f>
        <v/>
      </c>
    </row>
    <row r="352">
      <c r="A352" s="3" t="n"/>
      <c r="C352" s="4" t="n"/>
      <c r="E352" s="5">
        <f>IF(C352="","",IF(계산!CI352="","날짜 확인",IF(계산!CJ352="","금액 확인","")))</f>
        <v/>
      </c>
    </row>
    <row r="353">
      <c r="A353" s="3" t="n"/>
      <c r="C353" s="4" t="n"/>
      <c r="E353" s="5">
        <f>IF(C353="","",IF(계산!CI353="","날짜 확인",IF(계산!CJ353="","금액 확인","")))</f>
        <v/>
      </c>
    </row>
    <row r="354">
      <c r="A354" s="3" t="n"/>
      <c r="C354" s="4" t="n"/>
      <c r="E354" s="5">
        <f>IF(C354="","",IF(계산!CI354="","날짜 확인",IF(계산!CJ354="","금액 확인","")))</f>
        <v/>
      </c>
    </row>
    <row r="355">
      <c r="A355" s="3" t="n"/>
      <c r="C355" s="4" t="n"/>
      <c r="E355" s="5">
        <f>IF(C355="","",IF(계산!CI355="","날짜 확인",IF(계산!CJ355="","금액 확인","")))</f>
        <v/>
      </c>
    </row>
    <row r="356">
      <c r="A356" s="3" t="n"/>
      <c r="C356" s="4" t="n"/>
      <c r="E356" s="5">
        <f>IF(C356="","",IF(계산!CI356="","날짜 확인",IF(계산!CJ356="","금액 확인","")))</f>
        <v/>
      </c>
    </row>
    <row r="357">
      <c r="A357" s="3" t="n"/>
      <c r="C357" s="4" t="n"/>
      <c r="E357" s="5">
        <f>IF(C357="","",IF(계산!CI357="","날짜 확인",IF(계산!CJ357="","금액 확인","")))</f>
        <v/>
      </c>
    </row>
    <row r="358">
      <c r="A358" s="3" t="n"/>
      <c r="C358" s="4" t="n"/>
      <c r="E358" s="5">
        <f>IF(C358="","",IF(계산!CI358="","날짜 확인",IF(계산!CJ358="","금액 확인","")))</f>
        <v/>
      </c>
    </row>
    <row r="359">
      <c r="A359" s="3" t="n"/>
      <c r="C359" s="4" t="n"/>
      <c r="E359" s="5">
        <f>IF(C359="","",IF(계산!CI359="","날짜 확인",IF(계산!CJ359="","금액 확인","")))</f>
        <v/>
      </c>
    </row>
    <row r="360">
      <c r="A360" s="3" t="n"/>
      <c r="C360" s="4" t="n"/>
      <c r="E360" s="5">
        <f>IF(C360="","",IF(계산!CI360="","날짜 확인",IF(계산!CJ360="","금액 확인","")))</f>
        <v/>
      </c>
    </row>
    <row r="361">
      <c r="A361" s="3" t="n"/>
      <c r="C361" s="4" t="n"/>
      <c r="E361" s="5">
        <f>IF(C361="","",IF(계산!CI361="","날짜 확인",IF(계산!CJ361="","금액 확인","")))</f>
        <v/>
      </c>
    </row>
    <row r="362">
      <c r="A362" s="3" t="n"/>
      <c r="C362" s="4" t="n"/>
      <c r="E362" s="5">
        <f>IF(C362="","",IF(계산!CI362="","날짜 확인",IF(계산!CJ362="","금액 확인","")))</f>
        <v/>
      </c>
    </row>
    <row r="363">
      <c r="A363" s="3" t="n"/>
      <c r="C363" s="4" t="n"/>
      <c r="E363" s="5">
        <f>IF(C363="","",IF(계산!CI363="","날짜 확인",IF(계산!CJ363="","금액 확인","")))</f>
        <v/>
      </c>
    </row>
    <row r="364">
      <c r="A364" s="3" t="n"/>
      <c r="C364" s="4" t="n"/>
      <c r="E364" s="5">
        <f>IF(C364="","",IF(계산!CI364="","날짜 확인",IF(계산!CJ364="","금액 확인","")))</f>
        <v/>
      </c>
    </row>
    <row r="365">
      <c r="A365" s="3" t="n"/>
      <c r="C365" s="4" t="n"/>
      <c r="E365" s="5">
        <f>IF(C365="","",IF(계산!CI365="","날짜 확인",IF(계산!CJ365="","금액 확인","")))</f>
        <v/>
      </c>
    </row>
    <row r="366">
      <c r="A366" s="3" t="n"/>
      <c r="C366" s="4" t="n"/>
      <c r="E366" s="5">
        <f>IF(C366="","",IF(계산!CI366="","날짜 확인",IF(계산!CJ366="","금액 확인","")))</f>
        <v/>
      </c>
    </row>
    <row r="367">
      <c r="A367" s="3" t="n"/>
      <c r="C367" s="4" t="n"/>
      <c r="E367" s="5">
        <f>IF(C367="","",IF(계산!CI367="","날짜 확인",IF(계산!CJ367="","금액 확인","")))</f>
        <v/>
      </c>
    </row>
    <row r="368">
      <c r="A368" s="3" t="n"/>
      <c r="C368" s="4" t="n"/>
      <c r="E368" s="5">
        <f>IF(C368="","",IF(계산!CI368="","날짜 확인",IF(계산!CJ368="","금액 확인","")))</f>
        <v/>
      </c>
    </row>
    <row r="369">
      <c r="A369" s="3" t="n"/>
      <c r="C369" s="4" t="n"/>
      <c r="E369" s="5">
        <f>IF(C369="","",IF(계산!CI369="","날짜 확인",IF(계산!CJ369="","금액 확인","")))</f>
        <v/>
      </c>
    </row>
    <row r="370">
      <c r="A370" s="3" t="n"/>
      <c r="C370" s="4" t="n"/>
      <c r="E370" s="5">
        <f>IF(C370="","",IF(계산!CI370="","날짜 확인",IF(계산!CJ370="","금액 확인","")))</f>
        <v/>
      </c>
    </row>
    <row r="371">
      <c r="A371" s="3" t="n"/>
      <c r="C371" s="4" t="n"/>
      <c r="E371" s="5">
        <f>IF(C371="","",IF(계산!CI371="","날짜 확인",IF(계산!CJ371="","금액 확인","")))</f>
        <v/>
      </c>
    </row>
    <row r="372">
      <c r="A372" s="3" t="n"/>
      <c r="C372" s="4" t="n"/>
      <c r="E372" s="5">
        <f>IF(C372="","",IF(계산!CI372="","날짜 확인",IF(계산!CJ372="","금액 확인","")))</f>
        <v/>
      </c>
    </row>
    <row r="373">
      <c r="A373" s="3" t="n"/>
      <c r="C373" s="4" t="n"/>
      <c r="E373" s="5">
        <f>IF(C373="","",IF(계산!CI373="","날짜 확인",IF(계산!CJ373="","금액 확인","")))</f>
        <v/>
      </c>
    </row>
    <row r="374">
      <c r="A374" s="3" t="n"/>
      <c r="C374" s="4" t="n"/>
      <c r="E374" s="5">
        <f>IF(C374="","",IF(계산!CI374="","날짜 확인",IF(계산!CJ374="","금액 확인","")))</f>
        <v/>
      </c>
    </row>
    <row r="375">
      <c r="A375" s="3" t="n"/>
      <c r="C375" s="4" t="n"/>
      <c r="E375" s="5">
        <f>IF(C375="","",IF(계산!CI375="","날짜 확인",IF(계산!CJ375="","금액 확인","")))</f>
        <v/>
      </c>
    </row>
    <row r="376">
      <c r="A376" s="3" t="n"/>
      <c r="C376" s="4" t="n"/>
      <c r="E376" s="5">
        <f>IF(C376="","",IF(계산!CI376="","날짜 확인",IF(계산!CJ376="","금액 확인","")))</f>
        <v/>
      </c>
    </row>
    <row r="377">
      <c r="A377" s="3" t="n"/>
      <c r="C377" s="4" t="n"/>
      <c r="E377" s="5">
        <f>IF(C377="","",IF(계산!CI377="","날짜 확인",IF(계산!CJ377="","금액 확인","")))</f>
        <v/>
      </c>
    </row>
    <row r="378">
      <c r="A378" s="3" t="n"/>
      <c r="C378" s="4" t="n"/>
      <c r="E378" s="5">
        <f>IF(C378="","",IF(계산!CI378="","날짜 확인",IF(계산!CJ378="","금액 확인","")))</f>
        <v/>
      </c>
    </row>
    <row r="379">
      <c r="A379" s="3" t="n"/>
      <c r="C379" s="4" t="n"/>
      <c r="E379" s="5">
        <f>IF(C379="","",IF(계산!CI379="","날짜 확인",IF(계산!CJ379="","금액 확인","")))</f>
        <v/>
      </c>
    </row>
    <row r="380">
      <c r="A380" s="3" t="n"/>
      <c r="C380" s="4" t="n"/>
      <c r="E380" s="5">
        <f>IF(C380="","",IF(계산!CI380="","날짜 확인",IF(계산!CJ380="","금액 확인","")))</f>
        <v/>
      </c>
    </row>
    <row r="381">
      <c r="A381" s="3" t="n"/>
      <c r="C381" s="4" t="n"/>
      <c r="E381" s="5">
        <f>IF(C381="","",IF(계산!CI381="","날짜 확인",IF(계산!CJ381="","금액 확인","")))</f>
        <v/>
      </c>
    </row>
    <row r="382">
      <c r="A382" s="3" t="n"/>
      <c r="C382" s="4" t="n"/>
      <c r="E382" s="5">
        <f>IF(C382="","",IF(계산!CI382="","날짜 확인",IF(계산!CJ382="","금액 확인","")))</f>
        <v/>
      </c>
    </row>
    <row r="383">
      <c r="A383" s="3" t="n"/>
      <c r="C383" s="4" t="n"/>
      <c r="E383" s="5">
        <f>IF(C383="","",IF(계산!CI383="","날짜 확인",IF(계산!CJ383="","금액 확인","")))</f>
        <v/>
      </c>
    </row>
    <row r="384">
      <c r="A384" s="3" t="n"/>
      <c r="C384" s="4" t="n"/>
      <c r="E384" s="5">
        <f>IF(C384="","",IF(계산!CI384="","날짜 확인",IF(계산!CJ384="","금액 확인","")))</f>
        <v/>
      </c>
    </row>
    <row r="385">
      <c r="A385" s="3" t="n"/>
      <c r="C385" s="4" t="n"/>
      <c r="E385" s="5">
        <f>IF(C385="","",IF(계산!CI385="","날짜 확인",IF(계산!CJ385="","금액 확인","")))</f>
        <v/>
      </c>
    </row>
    <row r="386">
      <c r="A386" s="3" t="n"/>
      <c r="C386" s="4" t="n"/>
      <c r="E386" s="5">
        <f>IF(C386="","",IF(계산!CI386="","날짜 확인",IF(계산!CJ386="","금액 확인","")))</f>
        <v/>
      </c>
    </row>
    <row r="387">
      <c r="A387" s="3" t="n"/>
      <c r="C387" s="4" t="n"/>
      <c r="E387" s="5">
        <f>IF(C387="","",IF(계산!CI387="","날짜 확인",IF(계산!CJ387="","금액 확인","")))</f>
        <v/>
      </c>
    </row>
    <row r="388">
      <c r="A388" s="3" t="n"/>
      <c r="C388" s="4" t="n"/>
      <c r="E388" s="5">
        <f>IF(C388="","",IF(계산!CI388="","날짜 확인",IF(계산!CJ388="","금액 확인","")))</f>
        <v/>
      </c>
    </row>
    <row r="389">
      <c r="A389" s="3" t="n"/>
      <c r="C389" s="4" t="n"/>
      <c r="E389" s="5">
        <f>IF(C389="","",IF(계산!CI389="","날짜 확인",IF(계산!CJ389="","금액 확인","")))</f>
        <v/>
      </c>
    </row>
    <row r="390">
      <c r="A390" s="3" t="n"/>
      <c r="C390" s="4" t="n"/>
      <c r="E390" s="5">
        <f>IF(C390="","",IF(계산!CI390="","날짜 확인",IF(계산!CJ390="","금액 확인","")))</f>
        <v/>
      </c>
    </row>
    <row r="391">
      <c r="A391" s="3" t="n"/>
      <c r="C391" s="4" t="n"/>
      <c r="E391" s="5">
        <f>IF(C391="","",IF(계산!CI391="","날짜 확인",IF(계산!CJ391="","금액 확인","")))</f>
        <v/>
      </c>
    </row>
    <row r="392">
      <c r="A392" s="3" t="n"/>
      <c r="C392" s="4" t="n"/>
      <c r="E392" s="5">
        <f>IF(C392="","",IF(계산!CI392="","날짜 확인",IF(계산!CJ392="","금액 확인","")))</f>
        <v/>
      </c>
    </row>
    <row r="393">
      <c r="A393" s="3" t="n"/>
      <c r="C393" s="4" t="n"/>
      <c r="E393" s="5">
        <f>IF(C393="","",IF(계산!CI393="","날짜 확인",IF(계산!CJ393="","금액 확인","")))</f>
        <v/>
      </c>
    </row>
    <row r="394">
      <c r="A394" s="3" t="n"/>
      <c r="C394" s="4" t="n"/>
      <c r="E394" s="5">
        <f>IF(C394="","",IF(계산!CI394="","날짜 확인",IF(계산!CJ394="","금액 확인","")))</f>
        <v/>
      </c>
    </row>
    <row r="395">
      <c r="A395" s="3" t="n"/>
      <c r="C395" s="4" t="n"/>
      <c r="E395" s="5">
        <f>IF(C395="","",IF(계산!CI395="","날짜 확인",IF(계산!CJ395="","금액 확인","")))</f>
        <v/>
      </c>
    </row>
    <row r="396">
      <c r="A396" s="3" t="n"/>
      <c r="C396" s="4" t="n"/>
      <c r="E396" s="5">
        <f>IF(C396="","",IF(계산!CI396="","날짜 확인",IF(계산!CJ396="","금액 확인","")))</f>
        <v/>
      </c>
    </row>
    <row r="397">
      <c r="A397" s="3" t="n"/>
      <c r="C397" s="4" t="n"/>
      <c r="E397" s="5">
        <f>IF(C397="","",IF(계산!CI397="","날짜 확인",IF(계산!CJ397="","금액 확인","")))</f>
        <v/>
      </c>
    </row>
    <row r="398">
      <c r="A398" s="3" t="n"/>
      <c r="C398" s="4" t="n"/>
      <c r="E398" s="5">
        <f>IF(C398="","",IF(계산!CI398="","날짜 확인",IF(계산!CJ398="","금액 확인","")))</f>
        <v/>
      </c>
    </row>
    <row r="399">
      <c r="A399" s="3" t="n"/>
      <c r="C399" s="4" t="n"/>
      <c r="E399" s="5">
        <f>IF(C399="","",IF(계산!CI399="","날짜 확인",IF(계산!CJ399="","금액 확인","")))</f>
        <v/>
      </c>
    </row>
    <row r="400">
      <c r="A400" s="3" t="n"/>
      <c r="C400" s="4" t="n"/>
      <c r="E400" s="5">
        <f>IF(C400="","",IF(계산!CI400="","날짜 확인",IF(계산!CJ400="","금액 확인","")))</f>
        <v/>
      </c>
    </row>
    <row r="401">
      <c r="A401" s="3" t="n"/>
      <c r="C401" s="4" t="n"/>
      <c r="E401" s="5">
        <f>IF(C401="","",IF(계산!CI401="","날짜 확인",IF(계산!CJ401="","금액 확인","")))</f>
        <v/>
      </c>
    </row>
    <row r="402">
      <c r="A402" s="3" t="n"/>
      <c r="C402" s="4" t="n"/>
      <c r="E402" s="5">
        <f>IF(C402="","",IF(계산!CI402="","날짜 확인",IF(계산!CJ402="","금액 확인","")))</f>
        <v/>
      </c>
    </row>
    <row r="403">
      <c r="A403" s="3" t="n"/>
      <c r="C403" s="4" t="n"/>
      <c r="E403" s="5">
        <f>IF(C403="","",IF(계산!CI403="","날짜 확인",IF(계산!CJ403="","금액 확인","")))</f>
        <v/>
      </c>
    </row>
    <row r="404">
      <c r="A404" s="3" t="n"/>
      <c r="C404" s="4" t="n"/>
      <c r="E404" s="5">
        <f>IF(C404="","",IF(계산!CI404="","날짜 확인",IF(계산!CJ404="","금액 확인","")))</f>
        <v/>
      </c>
    </row>
    <row r="405">
      <c r="A405" s="3" t="n"/>
      <c r="C405" s="4" t="n"/>
      <c r="E405" s="5">
        <f>IF(C405="","",IF(계산!CI405="","날짜 확인",IF(계산!CJ405="","금액 확인","")))</f>
        <v/>
      </c>
    </row>
    <row r="406">
      <c r="A406" s="3" t="n"/>
      <c r="C406" s="4" t="n"/>
      <c r="E406" s="5">
        <f>IF(C406="","",IF(계산!CI406="","날짜 확인",IF(계산!CJ406="","금액 확인","")))</f>
        <v/>
      </c>
    </row>
    <row r="407">
      <c r="A407" s="3" t="n"/>
      <c r="C407" s="4" t="n"/>
      <c r="E407" s="5">
        <f>IF(C407="","",IF(계산!CI407="","날짜 확인",IF(계산!CJ407="","금액 확인","")))</f>
        <v/>
      </c>
    </row>
    <row r="408">
      <c r="A408" s="3" t="n"/>
      <c r="C408" s="4" t="n"/>
      <c r="E408" s="5">
        <f>IF(C408="","",IF(계산!CI408="","날짜 확인",IF(계산!CJ408="","금액 확인","")))</f>
        <v/>
      </c>
    </row>
    <row r="409">
      <c r="A409" s="3" t="n"/>
      <c r="C409" s="4" t="n"/>
      <c r="E409" s="5">
        <f>IF(C409="","",IF(계산!CI409="","날짜 확인",IF(계산!CJ409="","금액 확인","")))</f>
        <v/>
      </c>
    </row>
    <row r="410">
      <c r="A410" s="3" t="n"/>
      <c r="C410" s="4" t="n"/>
      <c r="E410" s="5">
        <f>IF(C410="","",IF(계산!CI410="","날짜 확인",IF(계산!CJ410="","금액 확인","")))</f>
        <v/>
      </c>
    </row>
    <row r="411">
      <c r="A411" s="3" t="n"/>
      <c r="C411" s="4" t="n"/>
      <c r="E411" s="5">
        <f>IF(C411="","",IF(계산!CI411="","날짜 확인",IF(계산!CJ411="","금액 확인","")))</f>
        <v/>
      </c>
    </row>
    <row r="412">
      <c r="A412" s="3" t="n"/>
      <c r="C412" s="4" t="n"/>
      <c r="E412" s="5">
        <f>IF(C412="","",IF(계산!CI412="","날짜 확인",IF(계산!CJ412="","금액 확인","")))</f>
        <v/>
      </c>
    </row>
    <row r="413">
      <c r="A413" s="3" t="n"/>
      <c r="C413" s="4" t="n"/>
      <c r="E413" s="5">
        <f>IF(C413="","",IF(계산!CI413="","날짜 확인",IF(계산!CJ413="","금액 확인","")))</f>
        <v/>
      </c>
    </row>
    <row r="414">
      <c r="A414" s="3" t="n"/>
      <c r="C414" s="4" t="n"/>
      <c r="E414" s="5">
        <f>IF(C414="","",IF(계산!CI414="","날짜 확인",IF(계산!CJ414="","금액 확인","")))</f>
        <v/>
      </c>
    </row>
    <row r="415">
      <c r="A415" s="3" t="n"/>
      <c r="C415" s="4" t="n"/>
      <c r="E415" s="5">
        <f>IF(C415="","",IF(계산!CI415="","날짜 확인",IF(계산!CJ415="","금액 확인","")))</f>
        <v/>
      </c>
    </row>
    <row r="416">
      <c r="A416" s="3" t="n"/>
      <c r="C416" s="4" t="n"/>
      <c r="E416" s="5">
        <f>IF(C416="","",IF(계산!CI416="","날짜 확인",IF(계산!CJ416="","금액 확인","")))</f>
        <v/>
      </c>
    </row>
    <row r="417">
      <c r="A417" s="3" t="n"/>
      <c r="C417" s="4" t="n"/>
      <c r="E417" s="5">
        <f>IF(C417="","",IF(계산!CI417="","날짜 확인",IF(계산!CJ417="","금액 확인","")))</f>
        <v/>
      </c>
    </row>
    <row r="418">
      <c r="A418" s="3" t="n"/>
      <c r="C418" s="4" t="n"/>
      <c r="E418" s="5">
        <f>IF(C418="","",IF(계산!CI418="","날짜 확인",IF(계산!CJ418="","금액 확인","")))</f>
        <v/>
      </c>
    </row>
    <row r="419">
      <c r="A419" s="3" t="n"/>
      <c r="C419" s="4" t="n"/>
      <c r="E419" s="5">
        <f>IF(C419="","",IF(계산!CI419="","날짜 확인",IF(계산!CJ419="","금액 확인","")))</f>
        <v/>
      </c>
    </row>
    <row r="420">
      <c r="A420" s="3" t="n"/>
      <c r="C420" s="4" t="n"/>
      <c r="E420" s="5">
        <f>IF(C420="","",IF(계산!CI420="","날짜 확인",IF(계산!CJ420="","금액 확인","")))</f>
        <v/>
      </c>
    </row>
    <row r="421">
      <c r="A421" s="3" t="n"/>
      <c r="C421" s="4" t="n"/>
      <c r="E421" s="5">
        <f>IF(C421="","",IF(계산!CI421="","날짜 확인",IF(계산!CJ421="","금액 확인","")))</f>
        <v/>
      </c>
    </row>
    <row r="422">
      <c r="A422" s="3" t="n"/>
      <c r="C422" s="4" t="n"/>
      <c r="E422" s="5">
        <f>IF(C422="","",IF(계산!CI422="","날짜 확인",IF(계산!CJ422="","금액 확인","")))</f>
        <v/>
      </c>
    </row>
    <row r="423">
      <c r="A423" s="3" t="n"/>
      <c r="C423" s="4" t="n"/>
      <c r="E423" s="5">
        <f>IF(C423="","",IF(계산!CI423="","날짜 확인",IF(계산!CJ423="","금액 확인","")))</f>
        <v/>
      </c>
    </row>
    <row r="424">
      <c r="A424" s="3" t="n"/>
      <c r="C424" s="4" t="n"/>
      <c r="E424" s="5">
        <f>IF(C424="","",IF(계산!CI424="","날짜 확인",IF(계산!CJ424="","금액 확인","")))</f>
        <v/>
      </c>
    </row>
    <row r="425">
      <c r="A425" s="3" t="n"/>
      <c r="C425" s="4" t="n"/>
      <c r="E425" s="5">
        <f>IF(C425="","",IF(계산!CI425="","날짜 확인",IF(계산!CJ425="","금액 확인","")))</f>
        <v/>
      </c>
    </row>
    <row r="426">
      <c r="A426" s="3" t="n"/>
      <c r="C426" s="4" t="n"/>
      <c r="E426" s="5">
        <f>IF(C426="","",IF(계산!CI426="","날짜 확인",IF(계산!CJ426="","금액 확인","")))</f>
        <v/>
      </c>
    </row>
    <row r="427">
      <c r="A427" s="3" t="n"/>
      <c r="C427" s="4" t="n"/>
      <c r="E427" s="5">
        <f>IF(C427="","",IF(계산!CI427="","날짜 확인",IF(계산!CJ427="","금액 확인","")))</f>
        <v/>
      </c>
    </row>
    <row r="428">
      <c r="A428" s="3" t="n"/>
      <c r="C428" s="4" t="n"/>
      <c r="E428" s="5">
        <f>IF(C428="","",IF(계산!CI428="","날짜 확인",IF(계산!CJ428="","금액 확인","")))</f>
        <v/>
      </c>
    </row>
    <row r="429">
      <c r="A429" s="3" t="n"/>
      <c r="C429" s="4" t="n"/>
      <c r="E429" s="5">
        <f>IF(C429="","",IF(계산!CI429="","날짜 확인",IF(계산!CJ429="","금액 확인","")))</f>
        <v/>
      </c>
    </row>
    <row r="430">
      <c r="A430" s="3" t="n"/>
      <c r="C430" s="4" t="n"/>
      <c r="E430" s="5">
        <f>IF(C430="","",IF(계산!CI430="","날짜 확인",IF(계산!CJ430="","금액 확인","")))</f>
        <v/>
      </c>
    </row>
    <row r="431">
      <c r="A431" s="3" t="n"/>
      <c r="C431" s="4" t="n"/>
      <c r="E431" s="5">
        <f>IF(C431="","",IF(계산!CI431="","날짜 확인",IF(계산!CJ431="","금액 확인","")))</f>
        <v/>
      </c>
    </row>
    <row r="432">
      <c r="A432" s="3" t="n"/>
      <c r="C432" s="4" t="n"/>
      <c r="E432" s="5">
        <f>IF(C432="","",IF(계산!CI432="","날짜 확인",IF(계산!CJ432="","금액 확인","")))</f>
        <v/>
      </c>
    </row>
    <row r="433">
      <c r="A433" s="3" t="n"/>
      <c r="C433" s="4" t="n"/>
      <c r="E433" s="5">
        <f>IF(C433="","",IF(계산!CI433="","날짜 확인",IF(계산!CJ433="","금액 확인","")))</f>
        <v/>
      </c>
    </row>
    <row r="434">
      <c r="A434" s="3" t="n"/>
      <c r="C434" s="4" t="n"/>
      <c r="E434" s="5">
        <f>IF(C434="","",IF(계산!CI434="","날짜 확인",IF(계산!CJ434="","금액 확인","")))</f>
        <v/>
      </c>
    </row>
    <row r="435">
      <c r="A435" s="3" t="n"/>
      <c r="C435" s="4" t="n"/>
      <c r="E435" s="5">
        <f>IF(C435="","",IF(계산!CI435="","날짜 확인",IF(계산!CJ435="","금액 확인","")))</f>
        <v/>
      </c>
    </row>
    <row r="436">
      <c r="A436" s="3" t="n"/>
      <c r="C436" s="4" t="n"/>
      <c r="E436" s="5">
        <f>IF(C436="","",IF(계산!CI436="","날짜 확인",IF(계산!CJ436="","금액 확인","")))</f>
        <v/>
      </c>
    </row>
    <row r="437">
      <c r="A437" s="3" t="n"/>
      <c r="C437" s="4" t="n"/>
      <c r="E437" s="5">
        <f>IF(C437="","",IF(계산!CI437="","날짜 확인",IF(계산!CJ437="","금액 확인","")))</f>
        <v/>
      </c>
    </row>
    <row r="438">
      <c r="A438" s="3" t="n"/>
      <c r="C438" s="4" t="n"/>
      <c r="E438" s="5">
        <f>IF(C438="","",IF(계산!CI438="","날짜 확인",IF(계산!CJ438="","금액 확인","")))</f>
        <v/>
      </c>
    </row>
    <row r="439">
      <c r="A439" s="3" t="n"/>
      <c r="C439" s="4" t="n"/>
      <c r="E439" s="5">
        <f>IF(C439="","",IF(계산!CI439="","날짜 확인",IF(계산!CJ439="","금액 확인","")))</f>
        <v/>
      </c>
    </row>
    <row r="440">
      <c r="A440" s="3" t="n"/>
      <c r="C440" s="4" t="n"/>
      <c r="E440" s="5">
        <f>IF(C440="","",IF(계산!CI440="","날짜 확인",IF(계산!CJ440="","금액 확인","")))</f>
        <v/>
      </c>
    </row>
    <row r="441">
      <c r="A441" s="3" t="n"/>
      <c r="C441" s="4" t="n"/>
      <c r="E441" s="5">
        <f>IF(C441="","",IF(계산!CI441="","날짜 확인",IF(계산!CJ441="","금액 확인","")))</f>
        <v/>
      </c>
    </row>
    <row r="442">
      <c r="A442" s="3" t="n"/>
      <c r="C442" s="4" t="n"/>
      <c r="E442" s="5">
        <f>IF(C442="","",IF(계산!CI442="","날짜 확인",IF(계산!CJ442="","금액 확인","")))</f>
        <v/>
      </c>
    </row>
    <row r="443">
      <c r="A443" s="3" t="n"/>
      <c r="C443" s="4" t="n"/>
      <c r="E443" s="5">
        <f>IF(C443="","",IF(계산!CI443="","날짜 확인",IF(계산!CJ443="","금액 확인","")))</f>
        <v/>
      </c>
    </row>
    <row r="444">
      <c r="A444" s="3" t="n"/>
      <c r="C444" s="4" t="n"/>
      <c r="E444" s="5">
        <f>IF(C444="","",IF(계산!CI444="","날짜 확인",IF(계산!CJ444="","금액 확인","")))</f>
        <v/>
      </c>
    </row>
    <row r="445">
      <c r="A445" s="3" t="n"/>
      <c r="C445" s="4" t="n"/>
      <c r="E445" s="5">
        <f>IF(C445="","",IF(계산!CI445="","날짜 확인",IF(계산!CJ445="","금액 확인","")))</f>
        <v/>
      </c>
    </row>
    <row r="446">
      <c r="A446" s="3" t="n"/>
      <c r="C446" s="4" t="n"/>
      <c r="E446" s="5">
        <f>IF(C446="","",IF(계산!CI446="","날짜 확인",IF(계산!CJ446="","금액 확인","")))</f>
        <v/>
      </c>
    </row>
    <row r="447">
      <c r="A447" s="3" t="n"/>
      <c r="C447" s="4" t="n"/>
      <c r="E447" s="5">
        <f>IF(C447="","",IF(계산!CI447="","날짜 확인",IF(계산!CJ447="","금액 확인","")))</f>
        <v/>
      </c>
    </row>
    <row r="448">
      <c r="A448" s="3" t="n"/>
      <c r="C448" s="4" t="n"/>
      <c r="E448" s="5">
        <f>IF(C448="","",IF(계산!CI448="","날짜 확인",IF(계산!CJ448="","금액 확인","")))</f>
        <v/>
      </c>
    </row>
    <row r="449">
      <c r="A449" s="3" t="n"/>
      <c r="C449" s="4" t="n"/>
      <c r="E449" s="5">
        <f>IF(C449="","",IF(계산!CI449="","날짜 확인",IF(계산!CJ449="","금액 확인","")))</f>
        <v/>
      </c>
    </row>
    <row r="450">
      <c r="A450" s="3" t="n"/>
      <c r="C450" s="4" t="n"/>
      <c r="E450" s="5">
        <f>IF(C450="","",IF(계산!CI450="","날짜 확인",IF(계산!CJ450="","금액 확인","")))</f>
        <v/>
      </c>
    </row>
    <row r="451">
      <c r="A451" s="3" t="n"/>
      <c r="C451" s="4" t="n"/>
      <c r="E451" s="5">
        <f>IF(C451="","",IF(계산!CI451="","날짜 확인",IF(계산!CJ451="","금액 확인","")))</f>
        <v/>
      </c>
    </row>
    <row r="452">
      <c r="A452" s="3" t="n"/>
      <c r="C452" s="4" t="n"/>
      <c r="E452" s="5">
        <f>IF(C452="","",IF(계산!CI452="","날짜 확인",IF(계산!CJ452="","금액 확인","")))</f>
        <v/>
      </c>
    </row>
    <row r="453">
      <c r="A453" s="3" t="n"/>
      <c r="C453" s="4" t="n"/>
      <c r="E453" s="5">
        <f>IF(C453="","",IF(계산!CI453="","날짜 확인",IF(계산!CJ453="","금액 확인","")))</f>
        <v/>
      </c>
    </row>
    <row r="454">
      <c r="A454" s="3" t="n"/>
      <c r="C454" s="4" t="n"/>
      <c r="E454" s="5">
        <f>IF(C454="","",IF(계산!CI454="","날짜 확인",IF(계산!CJ454="","금액 확인","")))</f>
        <v/>
      </c>
    </row>
    <row r="455">
      <c r="A455" s="3" t="n"/>
      <c r="C455" s="4" t="n"/>
      <c r="E455" s="5">
        <f>IF(C455="","",IF(계산!CI455="","날짜 확인",IF(계산!CJ455="","금액 확인","")))</f>
        <v/>
      </c>
    </row>
    <row r="456">
      <c r="A456" s="3" t="n"/>
      <c r="C456" s="4" t="n"/>
      <c r="E456" s="5">
        <f>IF(C456="","",IF(계산!CI456="","날짜 확인",IF(계산!CJ456="","금액 확인","")))</f>
        <v/>
      </c>
    </row>
    <row r="457">
      <c r="A457" s="3" t="n"/>
      <c r="C457" s="4" t="n"/>
      <c r="E457" s="5">
        <f>IF(C457="","",IF(계산!CI457="","날짜 확인",IF(계산!CJ457="","금액 확인","")))</f>
        <v/>
      </c>
    </row>
    <row r="458">
      <c r="A458" s="3" t="n"/>
      <c r="C458" s="4" t="n"/>
      <c r="E458" s="5">
        <f>IF(C458="","",IF(계산!CI458="","날짜 확인",IF(계산!CJ458="","금액 확인","")))</f>
        <v/>
      </c>
    </row>
    <row r="459">
      <c r="A459" s="3" t="n"/>
      <c r="C459" s="4" t="n"/>
      <c r="E459" s="5">
        <f>IF(C459="","",IF(계산!CI459="","날짜 확인",IF(계산!CJ459="","금액 확인","")))</f>
        <v/>
      </c>
    </row>
    <row r="460">
      <c r="A460" s="3" t="n"/>
      <c r="C460" s="4" t="n"/>
      <c r="E460" s="5">
        <f>IF(C460="","",IF(계산!CI460="","날짜 확인",IF(계산!CJ460="","금액 확인","")))</f>
        <v/>
      </c>
    </row>
    <row r="461">
      <c r="A461" s="3" t="n"/>
      <c r="C461" s="4" t="n"/>
      <c r="E461" s="5">
        <f>IF(C461="","",IF(계산!CI461="","날짜 확인",IF(계산!CJ461="","금액 확인","")))</f>
        <v/>
      </c>
    </row>
    <row r="462">
      <c r="A462" s="3" t="n"/>
      <c r="C462" s="4" t="n"/>
      <c r="E462" s="5">
        <f>IF(C462="","",IF(계산!CI462="","날짜 확인",IF(계산!CJ462="","금액 확인","")))</f>
        <v/>
      </c>
    </row>
    <row r="463">
      <c r="A463" s="3" t="n"/>
      <c r="C463" s="4" t="n"/>
      <c r="E463" s="5">
        <f>IF(C463="","",IF(계산!CI463="","날짜 확인",IF(계산!CJ463="","금액 확인","")))</f>
        <v/>
      </c>
    </row>
    <row r="464">
      <c r="A464" s="3" t="n"/>
      <c r="C464" s="4" t="n"/>
      <c r="E464" s="5">
        <f>IF(C464="","",IF(계산!CI464="","날짜 확인",IF(계산!CJ464="","금액 확인","")))</f>
        <v/>
      </c>
    </row>
    <row r="465">
      <c r="A465" s="3" t="n"/>
      <c r="C465" s="4" t="n"/>
      <c r="E465" s="5">
        <f>IF(C465="","",IF(계산!CI465="","날짜 확인",IF(계산!CJ465="","금액 확인","")))</f>
        <v/>
      </c>
    </row>
    <row r="466">
      <c r="A466" s="3" t="n"/>
      <c r="C466" s="4" t="n"/>
      <c r="E466" s="5">
        <f>IF(C466="","",IF(계산!CI466="","날짜 확인",IF(계산!CJ466="","금액 확인","")))</f>
        <v/>
      </c>
    </row>
    <row r="467">
      <c r="A467" s="3" t="n"/>
      <c r="C467" s="4" t="n"/>
      <c r="E467" s="5">
        <f>IF(C467="","",IF(계산!CI467="","날짜 확인",IF(계산!CJ467="","금액 확인","")))</f>
        <v/>
      </c>
    </row>
    <row r="468">
      <c r="A468" s="3" t="n"/>
      <c r="C468" s="4" t="n"/>
      <c r="E468" s="5">
        <f>IF(C468="","",IF(계산!CI468="","날짜 확인",IF(계산!CJ468="","금액 확인","")))</f>
        <v/>
      </c>
    </row>
    <row r="469">
      <c r="A469" s="3" t="n"/>
      <c r="C469" s="4" t="n"/>
      <c r="E469" s="5">
        <f>IF(C469="","",IF(계산!CI469="","날짜 확인",IF(계산!CJ469="","금액 확인","")))</f>
        <v/>
      </c>
    </row>
    <row r="470">
      <c r="A470" s="3" t="n"/>
      <c r="C470" s="4" t="n"/>
      <c r="E470" s="5">
        <f>IF(C470="","",IF(계산!CI470="","날짜 확인",IF(계산!CJ470="","금액 확인","")))</f>
        <v/>
      </c>
    </row>
    <row r="471">
      <c r="A471" s="3" t="n"/>
      <c r="C471" s="4" t="n"/>
      <c r="E471" s="5">
        <f>IF(C471="","",IF(계산!CI471="","날짜 확인",IF(계산!CJ471="","금액 확인","")))</f>
        <v/>
      </c>
    </row>
    <row r="472">
      <c r="A472" s="3" t="n"/>
      <c r="C472" s="4" t="n"/>
      <c r="E472" s="5">
        <f>IF(C472="","",IF(계산!CI472="","날짜 확인",IF(계산!CJ472="","금액 확인","")))</f>
        <v/>
      </c>
    </row>
    <row r="473">
      <c r="A473" s="3" t="n"/>
      <c r="C473" s="4" t="n"/>
      <c r="E473" s="5">
        <f>IF(C473="","",IF(계산!CI473="","날짜 확인",IF(계산!CJ473="","금액 확인","")))</f>
        <v/>
      </c>
    </row>
    <row r="474">
      <c r="A474" s="3" t="n"/>
      <c r="C474" s="4" t="n"/>
      <c r="E474" s="5">
        <f>IF(C474="","",IF(계산!CI474="","날짜 확인",IF(계산!CJ474="","금액 확인","")))</f>
        <v/>
      </c>
    </row>
    <row r="475">
      <c r="A475" s="3" t="n"/>
      <c r="C475" s="4" t="n"/>
      <c r="E475" s="5">
        <f>IF(C475="","",IF(계산!CI475="","날짜 확인",IF(계산!CJ475="","금액 확인","")))</f>
        <v/>
      </c>
    </row>
    <row r="476">
      <c r="A476" s="3" t="n"/>
      <c r="C476" s="4" t="n"/>
      <c r="E476" s="5">
        <f>IF(C476="","",IF(계산!CI476="","날짜 확인",IF(계산!CJ476="","금액 확인","")))</f>
        <v/>
      </c>
    </row>
    <row r="477">
      <c r="A477" s="3" t="n"/>
      <c r="C477" s="4" t="n"/>
      <c r="E477" s="5">
        <f>IF(C477="","",IF(계산!CI477="","날짜 확인",IF(계산!CJ477="","금액 확인","")))</f>
        <v/>
      </c>
    </row>
    <row r="478">
      <c r="A478" s="3" t="n"/>
      <c r="C478" s="4" t="n"/>
      <c r="E478" s="5">
        <f>IF(C478="","",IF(계산!CI478="","날짜 확인",IF(계산!CJ478="","금액 확인","")))</f>
        <v/>
      </c>
    </row>
    <row r="479">
      <c r="A479" s="3" t="n"/>
      <c r="C479" s="4" t="n"/>
      <c r="E479" s="5">
        <f>IF(C479="","",IF(계산!CI479="","날짜 확인",IF(계산!CJ479="","금액 확인","")))</f>
        <v/>
      </c>
    </row>
    <row r="480">
      <c r="A480" s="3" t="n"/>
      <c r="C480" s="4" t="n"/>
      <c r="E480" s="5">
        <f>IF(C480="","",IF(계산!CI480="","날짜 확인",IF(계산!CJ480="","금액 확인","")))</f>
        <v/>
      </c>
    </row>
    <row r="481">
      <c r="A481" s="3" t="n"/>
      <c r="C481" s="4" t="n"/>
      <c r="E481" s="5">
        <f>IF(C481="","",IF(계산!CI481="","날짜 확인",IF(계산!CJ481="","금액 확인","")))</f>
        <v/>
      </c>
    </row>
    <row r="482">
      <c r="A482" s="3" t="n"/>
      <c r="C482" s="4" t="n"/>
      <c r="E482" s="5">
        <f>IF(C482="","",IF(계산!CI482="","날짜 확인",IF(계산!CJ482="","금액 확인","")))</f>
        <v/>
      </c>
    </row>
    <row r="483">
      <c r="A483" s="3" t="n"/>
      <c r="C483" s="4" t="n"/>
      <c r="E483" s="5">
        <f>IF(C483="","",IF(계산!CI483="","날짜 확인",IF(계산!CJ483="","금액 확인","")))</f>
        <v/>
      </c>
    </row>
    <row r="484">
      <c r="A484" s="3" t="n"/>
      <c r="C484" s="4" t="n"/>
      <c r="E484" s="5">
        <f>IF(C484="","",IF(계산!CI484="","날짜 확인",IF(계산!CJ484="","금액 확인","")))</f>
        <v/>
      </c>
    </row>
    <row r="485">
      <c r="A485" s="3" t="n"/>
      <c r="C485" s="4" t="n"/>
      <c r="E485" s="5">
        <f>IF(C485="","",IF(계산!CI485="","날짜 확인",IF(계산!CJ485="","금액 확인","")))</f>
        <v/>
      </c>
    </row>
    <row r="486">
      <c r="A486" s="3" t="n"/>
      <c r="C486" s="4" t="n"/>
      <c r="E486" s="5">
        <f>IF(C486="","",IF(계산!CI486="","날짜 확인",IF(계산!CJ486="","금액 확인","")))</f>
        <v/>
      </c>
    </row>
    <row r="487">
      <c r="A487" s="3" t="n"/>
      <c r="C487" s="4" t="n"/>
      <c r="E487" s="5">
        <f>IF(C487="","",IF(계산!CI487="","날짜 확인",IF(계산!CJ487="","금액 확인","")))</f>
        <v/>
      </c>
    </row>
    <row r="488">
      <c r="A488" s="3" t="n"/>
      <c r="C488" s="4" t="n"/>
      <c r="E488" s="5">
        <f>IF(C488="","",IF(계산!CI488="","날짜 확인",IF(계산!CJ488="","금액 확인","")))</f>
        <v/>
      </c>
    </row>
    <row r="489">
      <c r="A489" s="3" t="n"/>
      <c r="C489" s="4" t="n"/>
      <c r="E489" s="5">
        <f>IF(C489="","",IF(계산!CI489="","날짜 확인",IF(계산!CJ489="","금액 확인","")))</f>
        <v/>
      </c>
    </row>
    <row r="490">
      <c r="A490" s="3" t="n"/>
      <c r="C490" s="4" t="n"/>
      <c r="E490" s="5">
        <f>IF(C490="","",IF(계산!CI490="","날짜 확인",IF(계산!CJ490="","금액 확인","")))</f>
        <v/>
      </c>
    </row>
    <row r="491">
      <c r="A491" s="3" t="n"/>
      <c r="C491" s="4" t="n"/>
      <c r="E491" s="5">
        <f>IF(C491="","",IF(계산!CI491="","날짜 확인",IF(계산!CJ491="","금액 확인","")))</f>
        <v/>
      </c>
    </row>
    <row r="492">
      <c r="A492" s="3" t="n"/>
      <c r="C492" s="4" t="n"/>
      <c r="E492" s="5">
        <f>IF(C492="","",IF(계산!CI492="","날짜 확인",IF(계산!CJ492="","금액 확인","")))</f>
        <v/>
      </c>
    </row>
    <row r="493">
      <c r="A493" s="3" t="n"/>
      <c r="C493" s="4" t="n"/>
      <c r="E493" s="5">
        <f>IF(C493="","",IF(계산!CI493="","날짜 확인",IF(계산!CJ493="","금액 확인","")))</f>
        <v/>
      </c>
    </row>
    <row r="494">
      <c r="A494" s="3" t="n"/>
      <c r="C494" s="4" t="n"/>
      <c r="E494" s="5">
        <f>IF(C494="","",IF(계산!CI494="","날짜 확인",IF(계산!CJ494="","금액 확인","")))</f>
        <v/>
      </c>
    </row>
    <row r="495">
      <c r="A495" s="3" t="n"/>
      <c r="C495" s="4" t="n"/>
      <c r="E495" s="5">
        <f>IF(C495="","",IF(계산!CI495="","날짜 확인",IF(계산!CJ495="","금액 확인","")))</f>
        <v/>
      </c>
    </row>
    <row r="496">
      <c r="A496" s="3" t="n"/>
      <c r="C496" s="4" t="n"/>
      <c r="E496" s="5">
        <f>IF(C496="","",IF(계산!CI496="","날짜 확인",IF(계산!CJ496="","금액 확인","")))</f>
        <v/>
      </c>
    </row>
    <row r="497">
      <c r="A497" s="3" t="n"/>
      <c r="C497" s="4" t="n"/>
      <c r="E497" s="5">
        <f>IF(C497="","",IF(계산!CI497="","날짜 확인",IF(계산!CJ497="","금액 확인","")))</f>
        <v/>
      </c>
    </row>
    <row r="498">
      <c r="A498" s="3" t="n"/>
      <c r="C498" s="4" t="n"/>
      <c r="E498" s="5">
        <f>IF(C498="","",IF(계산!CI498="","날짜 확인",IF(계산!CJ498="","금액 확인","")))</f>
        <v/>
      </c>
    </row>
    <row r="499">
      <c r="A499" s="3" t="n"/>
      <c r="C499" s="4" t="n"/>
      <c r="E499" s="5">
        <f>IF(C499="","",IF(계산!CI499="","날짜 확인",IF(계산!CJ499="","금액 확인","")))</f>
        <v/>
      </c>
    </row>
    <row r="500">
      <c r="A500" s="3" t="n"/>
      <c r="C500" s="4" t="n"/>
      <c r="E500" s="5">
        <f>IF(C500="","",IF(계산!CI500="","날짜 확인",IF(계산!CJ500="","금액 확인","")))</f>
        <v/>
      </c>
    </row>
    <row r="501">
      <c r="A501" s="3" t="n"/>
      <c r="C501" s="4" t="n"/>
      <c r="E501" s="5">
        <f>IF(C501="","",IF(계산!CI501="","날짜 확인",IF(계산!CJ501="","금액 확인","")))</f>
        <v/>
      </c>
    </row>
    <row r="502">
      <c r="A502" s="3" t="n"/>
      <c r="C502" s="4" t="n"/>
      <c r="E502" s="5">
        <f>IF(C502="","",IF(계산!CI502="","날짜 확인",IF(계산!CJ502="","금액 확인","")))</f>
        <v/>
      </c>
    </row>
    <row r="503">
      <c r="A503" s="3" t="n"/>
      <c r="C503" s="4" t="n"/>
      <c r="E503" s="5">
        <f>IF(C503="","",IF(계산!CI503="","날짜 확인",IF(계산!CJ503="","금액 확인","")))</f>
        <v/>
      </c>
    </row>
    <row r="504">
      <c r="A504" s="3" t="n"/>
      <c r="C504" s="4" t="n"/>
      <c r="E504" s="5">
        <f>IF(C504="","",IF(계산!CI504="","날짜 확인",IF(계산!CJ504="","금액 확인","")))</f>
        <v/>
      </c>
    </row>
    <row r="505">
      <c r="A505" s="3" t="n"/>
      <c r="C505" s="4" t="n"/>
      <c r="E505" s="5">
        <f>IF(C505="","",IF(계산!CI505="","날짜 확인",IF(계산!CJ505="","금액 확인","")))</f>
        <v/>
      </c>
    </row>
    <row r="506">
      <c r="A506" s="3" t="n"/>
      <c r="C506" s="4" t="n"/>
      <c r="E506" s="5">
        <f>IF(C506="","",IF(계산!CI506="","날짜 확인",IF(계산!CJ506="","금액 확인","")))</f>
        <v/>
      </c>
    </row>
    <row r="507">
      <c r="A507" s="3" t="n"/>
      <c r="C507" s="4" t="n"/>
      <c r="E507" s="5">
        <f>IF(C507="","",IF(계산!CI507="","날짜 확인",IF(계산!CJ507="","금액 확인","")))</f>
        <v/>
      </c>
    </row>
    <row r="508">
      <c r="A508" s="3" t="n"/>
      <c r="C508" s="4" t="n"/>
      <c r="E508" s="5">
        <f>IF(C508="","",IF(계산!CI508="","날짜 확인",IF(계산!CJ508="","금액 확인","")))</f>
        <v/>
      </c>
    </row>
    <row r="509">
      <c r="A509" s="3" t="n"/>
      <c r="C509" s="4" t="n"/>
      <c r="E509" s="5">
        <f>IF(C509="","",IF(계산!CI509="","날짜 확인",IF(계산!CJ509="","금액 확인","")))</f>
        <v/>
      </c>
    </row>
    <row r="510">
      <c r="A510" s="3" t="n"/>
      <c r="C510" s="4" t="n"/>
      <c r="E510" s="5">
        <f>IF(C510="","",IF(계산!CI510="","날짜 확인",IF(계산!CJ510="","금액 확인","")))</f>
        <v/>
      </c>
    </row>
    <row r="511">
      <c r="A511" s="3" t="n"/>
      <c r="C511" s="4" t="n"/>
      <c r="E511" s="5">
        <f>IF(C511="","",IF(계산!CI511="","날짜 확인",IF(계산!CJ511="","금액 확인","")))</f>
        <v/>
      </c>
    </row>
    <row r="512">
      <c r="A512" s="3" t="n"/>
      <c r="C512" s="4" t="n"/>
      <c r="E512" s="5">
        <f>IF(C512="","",IF(계산!CI512="","날짜 확인",IF(계산!CJ512="","금액 확인","")))</f>
        <v/>
      </c>
    </row>
    <row r="513">
      <c r="A513" s="3" t="n"/>
      <c r="C513" s="4" t="n"/>
      <c r="E513" s="5">
        <f>IF(C513="","",IF(계산!CI513="","날짜 확인",IF(계산!CJ513="","금액 확인","")))</f>
        <v/>
      </c>
    </row>
    <row r="514">
      <c r="A514" s="3" t="n"/>
      <c r="C514" s="4" t="n"/>
      <c r="E514" s="5">
        <f>IF(C514="","",IF(계산!CI514="","날짜 확인",IF(계산!CJ514="","금액 확인","")))</f>
        <v/>
      </c>
    </row>
    <row r="515">
      <c r="A515" s="3" t="n"/>
      <c r="C515" s="4" t="n"/>
      <c r="E515" s="5">
        <f>IF(C515="","",IF(계산!CI515="","날짜 확인",IF(계산!CJ515="","금액 확인","")))</f>
        <v/>
      </c>
    </row>
    <row r="516">
      <c r="A516" s="3" t="n"/>
      <c r="C516" s="4" t="n"/>
      <c r="E516" s="5">
        <f>IF(C516="","",IF(계산!CI516="","날짜 확인",IF(계산!CJ516="","금액 확인","")))</f>
        <v/>
      </c>
    </row>
    <row r="517">
      <c r="A517" s="3" t="n"/>
      <c r="C517" s="4" t="n"/>
      <c r="E517" s="5">
        <f>IF(C517="","",IF(계산!CI517="","날짜 확인",IF(계산!CJ517="","금액 확인","")))</f>
        <v/>
      </c>
    </row>
    <row r="518">
      <c r="A518" s="3" t="n"/>
      <c r="C518" s="4" t="n"/>
      <c r="E518" s="5">
        <f>IF(C518="","",IF(계산!CI518="","날짜 확인",IF(계산!CJ518="","금액 확인","")))</f>
        <v/>
      </c>
    </row>
    <row r="519">
      <c r="A519" s="3" t="n"/>
      <c r="C519" s="4" t="n"/>
      <c r="E519" s="5">
        <f>IF(C519="","",IF(계산!CI519="","날짜 확인",IF(계산!CJ519="","금액 확인","")))</f>
        <v/>
      </c>
    </row>
    <row r="520">
      <c r="A520" s="3" t="n"/>
      <c r="C520" s="4" t="n"/>
      <c r="E520" s="5">
        <f>IF(C520="","",IF(계산!CI520="","날짜 확인",IF(계산!CJ520="","금액 확인","")))</f>
        <v/>
      </c>
    </row>
    <row r="521">
      <c r="A521" s="3" t="n"/>
      <c r="C521" s="4" t="n"/>
      <c r="E521" s="5">
        <f>IF(C521="","",IF(계산!CI521="","날짜 확인",IF(계산!CJ521="","금액 확인","")))</f>
        <v/>
      </c>
    </row>
    <row r="522">
      <c r="A522" s="3" t="n"/>
      <c r="C522" s="4" t="n"/>
      <c r="E522" s="5">
        <f>IF(C522="","",IF(계산!CI522="","날짜 확인",IF(계산!CJ522="","금액 확인","")))</f>
        <v/>
      </c>
    </row>
    <row r="523">
      <c r="A523" s="3" t="n"/>
      <c r="C523" s="4" t="n"/>
      <c r="E523" s="5">
        <f>IF(C523="","",IF(계산!CI523="","날짜 확인",IF(계산!CJ523="","금액 확인","")))</f>
        <v/>
      </c>
    </row>
    <row r="524">
      <c r="A524" s="3" t="n"/>
      <c r="C524" s="4" t="n"/>
      <c r="E524" s="5">
        <f>IF(C524="","",IF(계산!CI524="","날짜 확인",IF(계산!CJ524="","금액 확인","")))</f>
        <v/>
      </c>
    </row>
    <row r="525">
      <c r="A525" s="3" t="n"/>
      <c r="C525" s="4" t="n"/>
      <c r="E525" s="5">
        <f>IF(C525="","",IF(계산!CI525="","날짜 확인",IF(계산!CJ525="","금액 확인","")))</f>
        <v/>
      </c>
    </row>
    <row r="526">
      <c r="A526" s="3" t="n"/>
      <c r="C526" s="4" t="n"/>
      <c r="E526" s="5">
        <f>IF(C526="","",IF(계산!CI526="","날짜 확인",IF(계산!CJ526="","금액 확인","")))</f>
        <v/>
      </c>
    </row>
    <row r="527">
      <c r="A527" s="3" t="n"/>
      <c r="C527" s="4" t="n"/>
      <c r="E527" s="5">
        <f>IF(C527="","",IF(계산!CI527="","날짜 확인",IF(계산!CJ527="","금액 확인","")))</f>
        <v/>
      </c>
    </row>
    <row r="528">
      <c r="A528" s="3" t="n"/>
      <c r="C528" s="4" t="n"/>
      <c r="E528" s="5">
        <f>IF(C528="","",IF(계산!CI528="","날짜 확인",IF(계산!CJ528="","금액 확인","")))</f>
        <v/>
      </c>
    </row>
    <row r="529">
      <c r="A529" s="3" t="n"/>
      <c r="C529" s="4" t="n"/>
      <c r="E529" s="5">
        <f>IF(C529="","",IF(계산!CI529="","날짜 확인",IF(계산!CJ529="","금액 확인","")))</f>
        <v/>
      </c>
    </row>
    <row r="530">
      <c r="A530" s="3" t="n"/>
      <c r="C530" s="4" t="n"/>
      <c r="E530" s="5">
        <f>IF(C530="","",IF(계산!CI530="","날짜 확인",IF(계산!CJ530="","금액 확인","")))</f>
        <v/>
      </c>
    </row>
    <row r="531">
      <c r="A531" s="3" t="n"/>
      <c r="C531" s="4" t="n"/>
      <c r="E531" s="5">
        <f>IF(C531="","",IF(계산!CI531="","날짜 확인",IF(계산!CJ531="","금액 확인","")))</f>
        <v/>
      </c>
    </row>
    <row r="532">
      <c r="A532" s="3" t="n"/>
      <c r="C532" s="4" t="n"/>
      <c r="E532" s="5">
        <f>IF(C532="","",IF(계산!CI532="","날짜 확인",IF(계산!CJ532="","금액 확인","")))</f>
        <v/>
      </c>
    </row>
    <row r="533">
      <c r="A533" s="3" t="n"/>
      <c r="C533" s="4" t="n"/>
      <c r="E533" s="5">
        <f>IF(C533="","",IF(계산!CI533="","날짜 확인",IF(계산!CJ533="","금액 확인","")))</f>
        <v/>
      </c>
    </row>
    <row r="534">
      <c r="A534" s="3" t="n"/>
      <c r="C534" s="4" t="n"/>
      <c r="E534" s="5">
        <f>IF(C534="","",IF(계산!CI534="","날짜 확인",IF(계산!CJ534="","금액 확인","")))</f>
        <v/>
      </c>
    </row>
    <row r="535">
      <c r="A535" s="3" t="n"/>
      <c r="C535" s="4" t="n"/>
      <c r="E535" s="5">
        <f>IF(C535="","",IF(계산!CI535="","날짜 확인",IF(계산!CJ535="","금액 확인","")))</f>
        <v/>
      </c>
    </row>
    <row r="536">
      <c r="A536" s="3" t="n"/>
      <c r="C536" s="4" t="n"/>
      <c r="E536" s="5">
        <f>IF(C536="","",IF(계산!CI536="","날짜 확인",IF(계산!CJ536="","금액 확인","")))</f>
        <v/>
      </c>
    </row>
    <row r="537">
      <c r="A537" s="3" t="n"/>
      <c r="C537" s="4" t="n"/>
      <c r="E537" s="5">
        <f>IF(C537="","",IF(계산!CI537="","날짜 확인",IF(계산!CJ537="","금액 확인","")))</f>
        <v/>
      </c>
    </row>
    <row r="538">
      <c r="A538" s="3" t="n"/>
      <c r="C538" s="4" t="n"/>
      <c r="E538" s="5">
        <f>IF(C538="","",IF(계산!CI538="","날짜 확인",IF(계산!CJ538="","금액 확인","")))</f>
        <v/>
      </c>
    </row>
    <row r="539">
      <c r="A539" s="3" t="n"/>
      <c r="C539" s="4" t="n"/>
      <c r="E539" s="5">
        <f>IF(C539="","",IF(계산!CI539="","날짜 확인",IF(계산!CJ539="","금액 확인","")))</f>
        <v/>
      </c>
    </row>
    <row r="540">
      <c r="A540" s="3" t="n"/>
      <c r="C540" s="4" t="n"/>
      <c r="E540" s="5">
        <f>IF(C540="","",IF(계산!CI540="","날짜 확인",IF(계산!CJ540="","금액 확인","")))</f>
        <v/>
      </c>
    </row>
    <row r="541">
      <c r="A541" s="3" t="n"/>
      <c r="C541" s="4" t="n"/>
      <c r="E541" s="5">
        <f>IF(C541="","",IF(계산!CI541="","날짜 확인",IF(계산!CJ541="","금액 확인","")))</f>
        <v/>
      </c>
    </row>
    <row r="542">
      <c r="A542" s="3" t="n"/>
      <c r="C542" s="4" t="n"/>
      <c r="E542" s="5">
        <f>IF(C542="","",IF(계산!CI542="","날짜 확인",IF(계산!CJ542="","금액 확인","")))</f>
        <v/>
      </c>
    </row>
    <row r="543">
      <c r="A543" s="3" t="n"/>
      <c r="C543" s="4" t="n"/>
      <c r="E543" s="5">
        <f>IF(C543="","",IF(계산!CI543="","날짜 확인",IF(계산!CJ543="","금액 확인","")))</f>
        <v/>
      </c>
    </row>
    <row r="544">
      <c r="A544" s="3" t="n"/>
      <c r="C544" s="4" t="n"/>
      <c r="E544" s="5">
        <f>IF(C544="","",IF(계산!CI544="","날짜 확인",IF(계산!CJ544="","금액 확인","")))</f>
        <v/>
      </c>
    </row>
    <row r="545">
      <c r="A545" s="3" t="n"/>
      <c r="C545" s="4" t="n"/>
      <c r="E545" s="5">
        <f>IF(C545="","",IF(계산!CI545="","날짜 확인",IF(계산!CJ545="","금액 확인","")))</f>
        <v/>
      </c>
    </row>
    <row r="546">
      <c r="A546" s="3" t="n"/>
      <c r="C546" s="4" t="n"/>
      <c r="E546" s="5">
        <f>IF(C546="","",IF(계산!CI546="","날짜 확인",IF(계산!CJ546="","금액 확인","")))</f>
        <v/>
      </c>
    </row>
    <row r="547">
      <c r="A547" s="3" t="n"/>
      <c r="C547" s="4" t="n"/>
      <c r="E547" s="5">
        <f>IF(C547="","",IF(계산!CI547="","날짜 확인",IF(계산!CJ547="","금액 확인","")))</f>
        <v/>
      </c>
    </row>
    <row r="548">
      <c r="A548" s="3" t="n"/>
      <c r="C548" s="4" t="n"/>
      <c r="E548" s="5">
        <f>IF(C548="","",IF(계산!CI548="","날짜 확인",IF(계산!CJ548="","금액 확인","")))</f>
        <v/>
      </c>
    </row>
    <row r="549">
      <c r="A549" s="3" t="n"/>
      <c r="C549" s="4" t="n"/>
      <c r="E549" s="5">
        <f>IF(C549="","",IF(계산!CI549="","날짜 확인",IF(계산!CJ549="","금액 확인","")))</f>
        <v/>
      </c>
    </row>
    <row r="550">
      <c r="A550" s="3" t="n"/>
      <c r="C550" s="4" t="n"/>
      <c r="E550" s="5">
        <f>IF(C550="","",IF(계산!CI550="","날짜 확인",IF(계산!CJ550="","금액 확인","")))</f>
        <v/>
      </c>
    </row>
    <row r="551">
      <c r="A551" s="3" t="n"/>
      <c r="C551" s="4" t="n"/>
      <c r="E551" s="5">
        <f>IF(C551="","",IF(계산!CI551="","날짜 확인",IF(계산!CJ551="","금액 확인","")))</f>
        <v/>
      </c>
    </row>
    <row r="552">
      <c r="A552" s="3" t="n"/>
      <c r="C552" s="4" t="n"/>
      <c r="E552" s="5">
        <f>IF(C552="","",IF(계산!CI552="","날짜 확인",IF(계산!CJ552="","금액 확인","")))</f>
        <v/>
      </c>
    </row>
    <row r="553">
      <c r="A553" s="3" t="n"/>
      <c r="C553" s="4" t="n"/>
      <c r="E553" s="5">
        <f>IF(C553="","",IF(계산!CI553="","날짜 확인",IF(계산!CJ553="","금액 확인","")))</f>
        <v/>
      </c>
    </row>
    <row r="554">
      <c r="A554" s="3" t="n"/>
      <c r="C554" s="4" t="n"/>
      <c r="E554" s="5">
        <f>IF(C554="","",IF(계산!CI554="","날짜 확인",IF(계산!CJ554="","금액 확인","")))</f>
        <v/>
      </c>
    </row>
    <row r="555">
      <c r="A555" s="3" t="n"/>
      <c r="C555" s="4" t="n"/>
      <c r="E555" s="5">
        <f>IF(C555="","",IF(계산!CI555="","날짜 확인",IF(계산!CJ555="","금액 확인","")))</f>
        <v/>
      </c>
    </row>
    <row r="556">
      <c r="A556" s="3" t="n"/>
      <c r="C556" s="4" t="n"/>
      <c r="E556" s="5">
        <f>IF(C556="","",IF(계산!CI556="","날짜 확인",IF(계산!CJ556="","금액 확인","")))</f>
        <v/>
      </c>
    </row>
    <row r="557">
      <c r="A557" s="3" t="n"/>
      <c r="C557" s="4" t="n"/>
      <c r="E557" s="5">
        <f>IF(C557="","",IF(계산!CI557="","날짜 확인",IF(계산!CJ557="","금액 확인","")))</f>
        <v/>
      </c>
    </row>
    <row r="558">
      <c r="A558" s="3" t="n"/>
      <c r="C558" s="4" t="n"/>
      <c r="E558" s="5">
        <f>IF(C558="","",IF(계산!CI558="","날짜 확인",IF(계산!CJ558="","금액 확인","")))</f>
        <v/>
      </c>
    </row>
    <row r="559">
      <c r="A559" s="3" t="n"/>
      <c r="C559" s="4" t="n"/>
      <c r="E559" s="5">
        <f>IF(C559="","",IF(계산!CI559="","날짜 확인",IF(계산!CJ559="","금액 확인","")))</f>
        <v/>
      </c>
    </row>
    <row r="560">
      <c r="A560" s="3" t="n"/>
      <c r="C560" s="4" t="n"/>
      <c r="E560" s="5">
        <f>IF(C560="","",IF(계산!CI560="","날짜 확인",IF(계산!CJ560="","금액 확인","")))</f>
        <v/>
      </c>
    </row>
    <row r="561">
      <c r="A561" s="3" t="n"/>
      <c r="C561" s="4" t="n"/>
      <c r="E561" s="5">
        <f>IF(C561="","",IF(계산!CI561="","날짜 확인",IF(계산!CJ561="","금액 확인","")))</f>
        <v/>
      </c>
    </row>
    <row r="562">
      <c r="A562" s="3" t="n"/>
      <c r="C562" s="4" t="n"/>
      <c r="E562" s="5">
        <f>IF(C562="","",IF(계산!CI562="","날짜 확인",IF(계산!CJ562="","금액 확인","")))</f>
        <v/>
      </c>
    </row>
    <row r="563">
      <c r="A563" s="3" t="n"/>
      <c r="C563" s="4" t="n"/>
      <c r="E563" s="5">
        <f>IF(C563="","",IF(계산!CI563="","날짜 확인",IF(계산!CJ563="","금액 확인","")))</f>
        <v/>
      </c>
    </row>
    <row r="564">
      <c r="A564" s="3" t="n"/>
      <c r="C564" s="4" t="n"/>
      <c r="E564" s="5">
        <f>IF(C564="","",IF(계산!CI564="","날짜 확인",IF(계산!CJ564="","금액 확인","")))</f>
        <v/>
      </c>
    </row>
    <row r="565">
      <c r="A565" s="3" t="n"/>
      <c r="C565" s="4" t="n"/>
      <c r="E565" s="5">
        <f>IF(C565="","",IF(계산!CI565="","날짜 확인",IF(계산!CJ565="","금액 확인","")))</f>
        <v/>
      </c>
    </row>
    <row r="566">
      <c r="A566" s="3" t="n"/>
      <c r="C566" s="4" t="n"/>
      <c r="E566" s="5">
        <f>IF(C566="","",IF(계산!CI566="","날짜 확인",IF(계산!CJ566="","금액 확인","")))</f>
        <v/>
      </c>
    </row>
    <row r="567">
      <c r="A567" s="3" t="n"/>
      <c r="C567" s="4" t="n"/>
      <c r="E567" s="5">
        <f>IF(C567="","",IF(계산!CI567="","날짜 확인",IF(계산!CJ567="","금액 확인","")))</f>
        <v/>
      </c>
    </row>
    <row r="568">
      <c r="A568" s="3" t="n"/>
      <c r="C568" s="4" t="n"/>
      <c r="E568" s="5">
        <f>IF(C568="","",IF(계산!CI568="","날짜 확인",IF(계산!CJ568="","금액 확인","")))</f>
        <v/>
      </c>
    </row>
    <row r="569">
      <c r="A569" s="3" t="n"/>
      <c r="C569" s="4" t="n"/>
      <c r="E569" s="5">
        <f>IF(C569="","",IF(계산!CI569="","날짜 확인",IF(계산!CJ569="","금액 확인","")))</f>
        <v/>
      </c>
    </row>
    <row r="570">
      <c r="A570" s="3" t="n"/>
      <c r="C570" s="4" t="n"/>
      <c r="E570" s="5">
        <f>IF(C570="","",IF(계산!CI570="","날짜 확인",IF(계산!CJ570="","금액 확인","")))</f>
        <v/>
      </c>
    </row>
    <row r="571">
      <c r="A571" s="3" t="n"/>
      <c r="C571" s="4" t="n"/>
      <c r="E571" s="5">
        <f>IF(C571="","",IF(계산!CI571="","날짜 확인",IF(계산!CJ571="","금액 확인","")))</f>
        <v/>
      </c>
    </row>
    <row r="572">
      <c r="A572" s="3" t="n"/>
      <c r="C572" s="4" t="n"/>
      <c r="E572" s="5">
        <f>IF(C572="","",IF(계산!CI572="","날짜 확인",IF(계산!CJ572="","금액 확인","")))</f>
        <v/>
      </c>
    </row>
    <row r="573">
      <c r="A573" s="3" t="n"/>
      <c r="C573" s="4" t="n"/>
      <c r="E573" s="5">
        <f>IF(C573="","",IF(계산!CI573="","날짜 확인",IF(계산!CJ573="","금액 확인","")))</f>
        <v/>
      </c>
    </row>
    <row r="574">
      <c r="A574" s="3" t="n"/>
      <c r="C574" s="4" t="n"/>
      <c r="E574" s="5">
        <f>IF(C574="","",IF(계산!CI574="","날짜 확인",IF(계산!CJ574="","금액 확인","")))</f>
        <v/>
      </c>
    </row>
    <row r="575">
      <c r="A575" s="3" t="n"/>
      <c r="C575" s="4" t="n"/>
      <c r="E575" s="5">
        <f>IF(C575="","",IF(계산!CI575="","날짜 확인",IF(계산!CJ575="","금액 확인","")))</f>
        <v/>
      </c>
    </row>
    <row r="576">
      <c r="A576" s="3" t="n"/>
      <c r="C576" s="4" t="n"/>
      <c r="E576" s="5">
        <f>IF(C576="","",IF(계산!CI576="","날짜 확인",IF(계산!CJ576="","금액 확인","")))</f>
        <v/>
      </c>
    </row>
    <row r="577">
      <c r="A577" s="3" t="n"/>
      <c r="C577" s="4" t="n"/>
      <c r="E577" s="5">
        <f>IF(C577="","",IF(계산!CI577="","날짜 확인",IF(계산!CJ577="","금액 확인","")))</f>
        <v/>
      </c>
    </row>
    <row r="578">
      <c r="A578" s="3" t="n"/>
      <c r="C578" s="4" t="n"/>
      <c r="E578" s="5">
        <f>IF(C578="","",IF(계산!CI578="","날짜 확인",IF(계산!CJ578="","금액 확인","")))</f>
        <v/>
      </c>
    </row>
    <row r="579">
      <c r="A579" s="3" t="n"/>
      <c r="C579" s="4" t="n"/>
      <c r="E579" s="5">
        <f>IF(C579="","",IF(계산!CI579="","날짜 확인",IF(계산!CJ579="","금액 확인","")))</f>
        <v/>
      </c>
    </row>
    <row r="580">
      <c r="A580" s="3" t="n"/>
      <c r="C580" s="4" t="n"/>
      <c r="E580" s="5">
        <f>IF(C580="","",IF(계산!CI580="","날짜 확인",IF(계산!CJ580="","금액 확인","")))</f>
        <v/>
      </c>
    </row>
    <row r="581">
      <c r="A581" s="3" t="n"/>
      <c r="C581" s="4" t="n"/>
      <c r="E581" s="5">
        <f>IF(C581="","",IF(계산!CI581="","날짜 확인",IF(계산!CJ581="","금액 확인","")))</f>
        <v/>
      </c>
    </row>
    <row r="582">
      <c r="A582" s="3" t="n"/>
      <c r="C582" s="4" t="n"/>
      <c r="E582" s="5">
        <f>IF(C582="","",IF(계산!CI582="","날짜 확인",IF(계산!CJ582="","금액 확인","")))</f>
        <v/>
      </c>
    </row>
    <row r="583">
      <c r="A583" s="3" t="n"/>
      <c r="C583" s="4" t="n"/>
      <c r="E583" s="5">
        <f>IF(C583="","",IF(계산!CI583="","날짜 확인",IF(계산!CJ583="","금액 확인","")))</f>
        <v/>
      </c>
    </row>
    <row r="584">
      <c r="A584" s="3" t="n"/>
      <c r="C584" s="4" t="n"/>
      <c r="E584" s="5">
        <f>IF(C584="","",IF(계산!CI584="","날짜 확인",IF(계산!CJ584="","금액 확인","")))</f>
        <v/>
      </c>
    </row>
    <row r="585">
      <c r="A585" s="3" t="n"/>
      <c r="C585" s="4" t="n"/>
      <c r="E585" s="5">
        <f>IF(C585="","",IF(계산!CI585="","날짜 확인",IF(계산!CJ585="","금액 확인","")))</f>
        <v/>
      </c>
    </row>
    <row r="586">
      <c r="A586" s="3" t="n"/>
      <c r="C586" s="4" t="n"/>
      <c r="E586" s="5">
        <f>IF(C586="","",IF(계산!CI586="","날짜 확인",IF(계산!CJ586="","금액 확인","")))</f>
        <v/>
      </c>
    </row>
    <row r="587">
      <c r="A587" s="3" t="n"/>
      <c r="C587" s="4" t="n"/>
      <c r="E587" s="5">
        <f>IF(C587="","",IF(계산!CI587="","날짜 확인",IF(계산!CJ587="","금액 확인","")))</f>
        <v/>
      </c>
    </row>
    <row r="588">
      <c r="A588" s="3" t="n"/>
      <c r="C588" s="4" t="n"/>
      <c r="E588" s="5">
        <f>IF(C588="","",IF(계산!CI588="","날짜 확인",IF(계산!CJ588="","금액 확인","")))</f>
        <v/>
      </c>
    </row>
    <row r="589">
      <c r="A589" s="3" t="n"/>
      <c r="C589" s="4" t="n"/>
      <c r="E589" s="5">
        <f>IF(C589="","",IF(계산!CI589="","날짜 확인",IF(계산!CJ589="","금액 확인","")))</f>
        <v/>
      </c>
    </row>
    <row r="590">
      <c r="A590" s="3" t="n"/>
      <c r="C590" s="4" t="n"/>
      <c r="E590" s="5">
        <f>IF(C590="","",IF(계산!CI590="","날짜 확인",IF(계산!CJ590="","금액 확인","")))</f>
        <v/>
      </c>
    </row>
    <row r="591">
      <c r="A591" s="3" t="n"/>
      <c r="C591" s="4" t="n"/>
      <c r="E591" s="5">
        <f>IF(C591="","",IF(계산!CI591="","날짜 확인",IF(계산!CJ591="","금액 확인","")))</f>
        <v/>
      </c>
    </row>
    <row r="592">
      <c r="A592" s="3" t="n"/>
      <c r="C592" s="4" t="n"/>
      <c r="E592" s="5">
        <f>IF(C592="","",IF(계산!CI592="","날짜 확인",IF(계산!CJ592="","금액 확인","")))</f>
        <v/>
      </c>
    </row>
    <row r="593">
      <c r="A593" s="3" t="n"/>
      <c r="C593" s="4" t="n"/>
      <c r="E593" s="5">
        <f>IF(C593="","",IF(계산!CI593="","날짜 확인",IF(계산!CJ593="","금액 확인","")))</f>
        <v/>
      </c>
    </row>
    <row r="594">
      <c r="A594" s="3" t="n"/>
      <c r="C594" s="4" t="n"/>
      <c r="E594" s="5">
        <f>IF(C594="","",IF(계산!CI594="","날짜 확인",IF(계산!CJ594="","금액 확인","")))</f>
        <v/>
      </c>
    </row>
    <row r="595">
      <c r="A595" s="3" t="n"/>
      <c r="C595" s="4" t="n"/>
      <c r="E595" s="5">
        <f>IF(C595="","",IF(계산!CI595="","날짜 확인",IF(계산!CJ595="","금액 확인","")))</f>
        <v/>
      </c>
    </row>
    <row r="596">
      <c r="A596" s="3" t="n"/>
      <c r="C596" s="4" t="n"/>
      <c r="E596" s="5">
        <f>IF(C596="","",IF(계산!CI596="","날짜 확인",IF(계산!CJ596="","금액 확인","")))</f>
        <v/>
      </c>
    </row>
    <row r="597">
      <c r="A597" s="3" t="n"/>
      <c r="C597" s="4" t="n"/>
      <c r="E597" s="5">
        <f>IF(C597="","",IF(계산!CI597="","날짜 확인",IF(계산!CJ597="","금액 확인","")))</f>
        <v/>
      </c>
    </row>
    <row r="598">
      <c r="A598" s="3" t="n"/>
      <c r="C598" s="4" t="n"/>
      <c r="E598" s="5">
        <f>IF(C598="","",IF(계산!CI598="","날짜 확인",IF(계산!CJ598="","금액 확인","")))</f>
        <v/>
      </c>
    </row>
    <row r="599">
      <c r="A599" s="3" t="n"/>
      <c r="C599" s="4" t="n"/>
      <c r="E599" s="5">
        <f>IF(C599="","",IF(계산!CI599="","날짜 확인",IF(계산!CJ599="","금액 확인","")))</f>
        <v/>
      </c>
    </row>
    <row r="600">
      <c r="A600" s="3" t="n"/>
      <c r="C600" s="4" t="n"/>
      <c r="E600" s="5">
        <f>IF(C600="","",IF(계산!CI600="","날짜 확인",IF(계산!CJ600="","금액 확인","")))</f>
        <v/>
      </c>
    </row>
    <row r="601">
      <c r="A601" s="3" t="n"/>
      <c r="C601" s="4" t="n"/>
      <c r="E601" s="5">
        <f>IF(C601="","",IF(계산!CI601="","날짜 확인",IF(계산!CJ601="","금액 확인","")))</f>
        <v/>
      </c>
    </row>
    <row r="602">
      <c r="A602" s="3" t="n"/>
      <c r="C602" s="4" t="n"/>
      <c r="E602" s="5">
        <f>IF(C602="","",IF(계산!CI602="","날짜 확인",IF(계산!CJ602="","금액 확인","")))</f>
        <v/>
      </c>
    </row>
    <row r="603">
      <c r="A603" s="3" t="n"/>
      <c r="C603" s="4" t="n"/>
      <c r="E603" s="5">
        <f>IF(C603="","",IF(계산!CI603="","날짜 확인",IF(계산!CJ603="","금액 확인","")))</f>
        <v/>
      </c>
    </row>
    <row r="604">
      <c r="A604" s="3" t="n"/>
      <c r="C604" s="4" t="n"/>
      <c r="E604" s="5">
        <f>IF(C604="","",IF(계산!CI604="","날짜 확인",IF(계산!CJ604="","금액 확인","")))</f>
        <v/>
      </c>
    </row>
    <row r="605">
      <c r="A605" s="3" t="n"/>
      <c r="C605" s="4" t="n"/>
      <c r="E605" s="5">
        <f>IF(C605="","",IF(계산!CI605="","날짜 확인",IF(계산!CJ605="","금액 확인","")))</f>
        <v/>
      </c>
    </row>
    <row r="606">
      <c r="A606" s="3" t="n"/>
      <c r="C606" s="4" t="n"/>
      <c r="E606" s="5">
        <f>IF(C606="","",IF(계산!CI606="","날짜 확인",IF(계산!CJ606="","금액 확인","")))</f>
        <v/>
      </c>
    </row>
    <row r="607">
      <c r="A607" s="3" t="n"/>
      <c r="C607" s="4" t="n"/>
      <c r="E607" s="5">
        <f>IF(C607="","",IF(계산!CI607="","날짜 확인",IF(계산!CJ607="","금액 확인","")))</f>
        <v/>
      </c>
    </row>
    <row r="608">
      <c r="A608" s="3" t="n"/>
      <c r="C608" s="4" t="n"/>
      <c r="E608" s="5">
        <f>IF(C608="","",IF(계산!CI608="","날짜 확인",IF(계산!CJ608="","금액 확인","")))</f>
        <v/>
      </c>
    </row>
    <row r="609">
      <c r="A609" s="3" t="n"/>
      <c r="C609" s="4" t="n"/>
      <c r="E609" s="5">
        <f>IF(C609="","",IF(계산!CI609="","날짜 확인",IF(계산!CJ609="","금액 확인","")))</f>
        <v/>
      </c>
    </row>
    <row r="610">
      <c r="A610" s="3" t="n"/>
      <c r="C610" s="4" t="n"/>
      <c r="E610" s="5">
        <f>IF(C610="","",IF(계산!CI610="","날짜 확인",IF(계산!CJ610="","금액 확인","")))</f>
        <v/>
      </c>
    </row>
    <row r="611">
      <c r="A611" s="3" t="n"/>
      <c r="C611" s="4" t="n"/>
      <c r="E611" s="5">
        <f>IF(C611="","",IF(계산!CI611="","날짜 확인",IF(계산!CJ611="","금액 확인","")))</f>
        <v/>
      </c>
    </row>
    <row r="612">
      <c r="A612" s="3" t="n"/>
      <c r="C612" s="4" t="n"/>
      <c r="E612" s="5">
        <f>IF(C612="","",IF(계산!CI612="","날짜 확인",IF(계산!CJ612="","금액 확인","")))</f>
        <v/>
      </c>
    </row>
    <row r="613">
      <c r="A613" s="3" t="n"/>
      <c r="C613" s="4" t="n"/>
      <c r="E613" s="5">
        <f>IF(C613="","",IF(계산!CI613="","날짜 확인",IF(계산!CJ613="","금액 확인","")))</f>
        <v/>
      </c>
    </row>
    <row r="614">
      <c r="A614" s="3" t="n"/>
      <c r="C614" s="4" t="n"/>
      <c r="E614" s="5">
        <f>IF(C614="","",IF(계산!CI614="","날짜 확인",IF(계산!CJ614="","금액 확인","")))</f>
        <v/>
      </c>
    </row>
    <row r="615">
      <c r="A615" s="3" t="n"/>
      <c r="C615" s="4" t="n"/>
      <c r="E615" s="5">
        <f>IF(C615="","",IF(계산!CI615="","날짜 확인",IF(계산!CJ615="","금액 확인","")))</f>
        <v/>
      </c>
    </row>
    <row r="616">
      <c r="A616" s="3" t="n"/>
      <c r="C616" s="4" t="n"/>
      <c r="E616" s="5">
        <f>IF(C616="","",IF(계산!CI616="","날짜 확인",IF(계산!CJ616="","금액 확인","")))</f>
        <v/>
      </c>
    </row>
    <row r="617">
      <c r="A617" s="3" t="n"/>
      <c r="C617" s="4" t="n"/>
      <c r="E617" s="5">
        <f>IF(C617="","",IF(계산!CI617="","날짜 확인",IF(계산!CJ617="","금액 확인","")))</f>
        <v/>
      </c>
    </row>
    <row r="618">
      <c r="A618" s="3" t="n"/>
      <c r="C618" s="4" t="n"/>
      <c r="E618" s="5">
        <f>IF(C618="","",IF(계산!CI618="","날짜 확인",IF(계산!CJ618="","금액 확인","")))</f>
        <v/>
      </c>
    </row>
    <row r="619">
      <c r="A619" s="3" t="n"/>
      <c r="C619" s="4" t="n"/>
      <c r="E619" s="5">
        <f>IF(C619="","",IF(계산!CI619="","날짜 확인",IF(계산!CJ619="","금액 확인","")))</f>
        <v/>
      </c>
    </row>
    <row r="620">
      <c r="A620" s="3" t="n"/>
      <c r="C620" s="4" t="n"/>
      <c r="E620" s="5">
        <f>IF(C620="","",IF(계산!CI620="","날짜 확인",IF(계산!CJ620="","금액 확인","")))</f>
        <v/>
      </c>
    </row>
    <row r="621">
      <c r="A621" s="3" t="n"/>
      <c r="C621" s="4" t="n"/>
      <c r="E621" s="5">
        <f>IF(C621="","",IF(계산!CI621="","날짜 확인",IF(계산!CJ621="","금액 확인","")))</f>
        <v/>
      </c>
    </row>
    <row r="622">
      <c r="A622" s="3" t="n"/>
      <c r="C622" s="4" t="n"/>
      <c r="E622" s="5">
        <f>IF(C622="","",IF(계산!CI622="","날짜 확인",IF(계산!CJ622="","금액 확인","")))</f>
        <v/>
      </c>
    </row>
    <row r="623">
      <c r="A623" s="3" t="n"/>
      <c r="C623" s="4" t="n"/>
      <c r="E623" s="5">
        <f>IF(C623="","",IF(계산!CI623="","날짜 확인",IF(계산!CJ623="","금액 확인","")))</f>
        <v/>
      </c>
    </row>
    <row r="624">
      <c r="A624" s="3" t="n"/>
      <c r="C624" s="4" t="n"/>
      <c r="E624" s="5">
        <f>IF(C624="","",IF(계산!CI624="","날짜 확인",IF(계산!CJ624="","금액 확인","")))</f>
        <v/>
      </c>
    </row>
    <row r="625">
      <c r="A625" s="3" t="n"/>
      <c r="C625" s="4" t="n"/>
      <c r="E625" s="5">
        <f>IF(C625="","",IF(계산!CI625="","날짜 확인",IF(계산!CJ625="","금액 확인","")))</f>
        <v/>
      </c>
    </row>
    <row r="626">
      <c r="A626" s="3" t="n"/>
      <c r="C626" s="4" t="n"/>
      <c r="E626" s="5">
        <f>IF(C626="","",IF(계산!CI626="","날짜 확인",IF(계산!CJ626="","금액 확인","")))</f>
        <v/>
      </c>
    </row>
    <row r="627">
      <c r="A627" s="3" t="n"/>
      <c r="C627" s="4" t="n"/>
      <c r="E627" s="5">
        <f>IF(C627="","",IF(계산!CI627="","날짜 확인",IF(계산!CJ627="","금액 확인","")))</f>
        <v/>
      </c>
    </row>
    <row r="628">
      <c r="A628" s="3" t="n"/>
      <c r="C628" s="4" t="n"/>
      <c r="E628" s="5">
        <f>IF(C628="","",IF(계산!CI628="","날짜 확인",IF(계산!CJ628="","금액 확인","")))</f>
        <v/>
      </c>
    </row>
    <row r="629">
      <c r="A629" s="3" t="n"/>
      <c r="C629" s="4" t="n"/>
      <c r="E629" s="5">
        <f>IF(C629="","",IF(계산!CI629="","날짜 확인",IF(계산!CJ629="","금액 확인","")))</f>
        <v/>
      </c>
    </row>
    <row r="630">
      <c r="A630" s="3" t="n"/>
      <c r="C630" s="4" t="n"/>
      <c r="E630" s="5">
        <f>IF(C630="","",IF(계산!CI630="","날짜 확인",IF(계산!CJ630="","금액 확인","")))</f>
        <v/>
      </c>
    </row>
    <row r="631">
      <c r="A631" s="3" t="n"/>
      <c r="C631" s="4" t="n"/>
      <c r="E631" s="5">
        <f>IF(C631="","",IF(계산!CI631="","날짜 확인",IF(계산!CJ631="","금액 확인","")))</f>
        <v/>
      </c>
    </row>
    <row r="632">
      <c r="A632" s="3" t="n"/>
      <c r="C632" s="4" t="n"/>
      <c r="E632" s="5">
        <f>IF(C632="","",IF(계산!CI632="","날짜 확인",IF(계산!CJ632="","금액 확인","")))</f>
        <v/>
      </c>
    </row>
    <row r="633">
      <c r="A633" s="3" t="n"/>
      <c r="C633" s="4" t="n"/>
      <c r="E633" s="5">
        <f>IF(C633="","",IF(계산!CI633="","날짜 확인",IF(계산!CJ633="","금액 확인","")))</f>
        <v/>
      </c>
    </row>
    <row r="634">
      <c r="A634" s="3" t="n"/>
      <c r="C634" s="4" t="n"/>
      <c r="E634" s="5">
        <f>IF(C634="","",IF(계산!CI634="","날짜 확인",IF(계산!CJ634="","금액 확인","")))</f>
        <v/>
      </c>
    </row>
    <row r="635">
      <c r="A635" s="3" t="n"/>
      <c r="C635" s="4" t="n"/>
      <c r="E635" s="5">
        <f>IF(C635="","",IF(계산!CI635="","날짜 확인",IF(계산!CJ635="","금액 확인","")))</f>
        <v/>
      </c>
    </row>
    <row r="636">
      <c r="A636" s="3" t="n"/>
      <c r="C636" s="4" t="n"/>
      <c r="E636" s="5">
        <f>IF(C636="","",IF(계산!CI636="","날짜 확인",IF(계산!CJ636="","금액 확인","")))</f>
        <v/>
      </c>
    </row>
    <row r="637">
      <c r="A637" s="3" t="n"/>
      <c r="C637" s="4" t="n"/>
      <c r="E637" s="5">
        <f>IF(C637="","",IF(계산!CI637="","날짜 확인",IF(계산!CJ637="","금액 확인","")))</f>
        <v/>
      </c>
    </row>
    <row r="638">
      <c r="A638" s="3" t="n"/>
      <c r="C638" s="4" t="n"/>
      <c r="E638" s="5">
        <f>IF(C638="","",IF(계산!CI638="","날짜 확인",IF(계산!CJ638="","금액 확인","")))</f>
        <v/>
      </c>
    </row>
    <row r="639">
      <c r="A639" s="3" t="n"/>
      <c r="C639" s="4" t="n"/>
      <c r="E639" s="5">
        <f>IF(C639="","",IF(계산!CI639="","날짜 확인",IF(계산!CJ639="","금액 확인","")))</f>
        <v/>
      </c>
    </row>
    <row r="640">
      <c r="A640" s="3" t="n"/>
      <c r="C640" s="4" t="n"/>
      <c r="E640" s="5">
        <f>IF(C640="","",IF(계산!CI640="","날짜 확인",IF(계산!CJ640="","금액 확인","")))</f>
        <v/>
      </c>
    </row>
    <row r="641">
      <c r="A641" s="3" t="n"/>
      <c r="C641" s="4" t="n"/>
      <c r="E641" s="5">
        <f>IF(C641="","",IF(계산!CI641="","날짜 확인",IF(계산!CJ641="","금액 확인","")))</f>
        <v/>
      </c>
    </row>
    <row r="642">
      <c r="A642" s="3" t="n"/>
      <c r="C642" s="4" t="n"/>
      <c r="E642" s="5">
        <f>IF(C642="","",IF(계산!CI642="","날짜 확인",IF(계산!CJ642="","금액 확인","")))</f>
        <v/>
      </c>
    </row>
    <row r="643">
      <c r="A643" s="3" t="n"/>
      <c r="C643" s="4" t="n"/>
      <c r="E643" s="5">
        <f>IF(C643="","",IF(계산!CI643="","날짜 확인",IF(계산!CJ643="","금액 확인","")))</f>
        <v/>
      </c>
    </row>
    <row r="644">
      <c r="A644" s="3" t="n"/>
      <c r="C644" s="4" t="n"/>
      <c r="E644" s="5">
        <f>IF(C644="","",IF(계산!CI644="","날짜 확인",IF(계산!CJ644="","금액 확인","")))</f>
        <v/>
      </c>
    </row>
    <row r="645">
      <c r="A645" s="3" t="n"/>
      <c r="C645" s="4" t="n"/>
      <c r="E645" s="5">
        <f>IF(C645="","",IF(계산!CI645="","날짜 확인",IF(계산!CJ645="","금액 확인","")))</f>
        <v/>
      </c>
    </row>
    <row r="646">
      <c r="A646" s="3" t="n"/>
      <c r="C646" s="4" t="n"/>
      <c r="E646" s="5">
        <f>IF(C646="","",IF(계산!CI646="","날짜 확인",IF(계산!CJ646="","금액 확인","")))</f>
        <v/>
      </c>
    </row>
    <row r="647">
      <c r="A647" s="3" t="n"/>
      <c r="C647" s="4" t="n"/>
      <c r="E647" s="5">
        <f>IF(C647="","",IF(계산!CI647="","날짜 확인",IF(계산!CJ647="","금액 확인","")))</f>
        <v/>
      </c>
    </row>
    <row r="648">
      <c r="A648" s="3" t="n"/>
      <c r="C648" s="4" t="n"/>
      <c r="E648" s="5">
        <f>IF(C648="","",IF(계산!CI648="","날짜 확인",IF(계산!CJ648="","금액 확인","")))</f>
        <v/>
      </c>
    </row>
    <row r="649">
      <c r="A649" s="3" t="n"/>
      <c r="C649" s="4" t="n"/>
      <c r="E649" s="5">
        <f>IF(C649="","",IF(계산!CI649="","날짜 확인",IF(계산!CJ649="","금액 확인","")))</f>
        <v/>
      </c>
    </row>
    <row r="650">
      <c r="A650" s="3" t="n"/>
      <c r="C650" s="4" t="n"/>
      <c r="E650" s="5">
        <f>IF(C650="","",IF(계산!CI650="","날짜 확인",IF(계산!CJ650="","금액 확인","")))</f>
        <v/>
      </c>
    </row>
    <row r="651">
      <c r="A651" s="3" t="n"/>
      <c r="C651" s="4" t="n"/>
      <c r="E651" s="5">
        <f>IF(C651="","",IF(계산!CI651="","날짜 확인",IF(계산!CJ651="","금액 확인","")))</f>
        <v/>
      </c>
    </row>
    <row r="652">
      <c r="A652" s="3" t="n"/>
      <c r="C652" s="4" t="n"/>
      <c r="E652" s="5">
        <f>IF(C652="","",IF(계산!CI652="","날짜 확인",IF(계산!CJ652="","금액 확인","")))</f>
        <v/>
      </c>
    </row>
    <row r="653">
      <c r="A653" s="3" t="n"/>
      <c r="C653" s="4" t="n"/>
      <c r="E653" s="5">
        <f>IF(C653="","",IF(계산!CI653="","날짜 확인",IF(계산!CJ653="","금액 확인","")))</f>
        <v/>
      </c>
    </row>
    <row r="654">
      <c r="A654" s="3" t="n"/>
      <c r="C654" s="4" t="n"/>
      <c r="E654" s="5">
        <f>IF(C654="","",IF(계산!CI654="","날짜 확인",IF(계산!CJ654="","금액 확인","")))</f>
        <v/>
      </c>
    </row>
    <row r="655">
      <c r="A655" s="3" t="n"/>
      <c r="C655" s="4" t="n"/>
      <c r="E655" s="5">
        <f>IF(C655="","",IF(계산!CI655="","날짜 확인",IF(계산!CJ655="","금액 확인","")))</f>
        <v/>
      </c>
    </row>
    <row r="656">
      <c r="A656" s="3" t="n"/>
      <c r="C656" s="4" t="n"/>
      <c r="E656" s="5">
        <f>IF(C656="","",IF(계산!CI656="","날짜 확인",IF(계산!CJ656="","금액 확인","")))</f>
        <v/>
      </c>
    </row>
    <row r="657">
      <c r="A657" s="3" t="n"/>
      <c r="C657" s="4" t="n"/>
      <c r="E657" s="5">
        <f>IF(C657="","",IF(계산!CI657="","날짜 확인",IF(계산!CJ657="","금액 확인","")))</f>
        <v/>
      </c>
    </row>
    <row r="658">
      <c r="A658" s="3" t="n"/>
      <c r="C658" s="4" t="n"/>
      <c r="E658" s="5">
        <f>IF(C658="","",IF(계산!CI658="","날짜 확인",IF(계산!CJ658="","금액 확인","")))</f>
        <v/>
      </c>
    </row>
    <row r="659">
      <c r="A659" s="3" t="n"/>
      <c r="C659" s="4" t="n"/>
      <c r="E659" s="5">
        <f>IF(C659="","",IF(계산!CI659="","날짜 확인",IF(계산!CJ659="","금액 확인","")))</f>
        <v/>
      </c>
    </row>
    <row r="660">
      <c r="A660" s="3" t="n"/>
      <c r="C660" s="4" t="n"/>
      <c r="E660" s="5">
        <f>IF(C660="","",IF(계산!CI660="","날짜 확인",IF(계산!CJ660="","금액 확인","")))</f>
        <v/>
      </c>
    </row>
    <row r="661">
      <c r="A661" s="3" t="n"/>
      <c r="C661" s="4" t="n"/>
      <c r="E661" s="5">
        <f>IF(C661="","",IF(계산!CI661="","날짜 확인",IF(계산!CJ661="","금액 확인","")))</f>
        <v/>
      </c>
    </row>
    <row r="662">
      <c r="A662" s="3" t="n"/>
      <c r="C662" s="4" t="n"/>
      <c r="E662" s="5">
        <f>IF(C662="","",IF(계산!CI662="","날짜 확인",IF(계산!CJ662="","금액 확인","")))</f>
        <v/>
      </c>
    </row>
    <row r="663">
      <c r="A663" s="3" t="n"/>
      <c r="C663" s="4" t="n"/>
      <c r="E663" s="5">
        <f>IF(C663="","",IF(계산!CI663="","날짜 확인",IF(계산!CJ663="","금액 확인","")))</f>
        <v/>
      </c>
    </row>
    <row r="664">
      <c r="A664" s="3" t="n"/>
      <c r="C664" s="4" t="n"/>
      <c r="E664" s="5">
        <f>IF(C664="","",IF(계산!CI664="","날짜 확인",IF(계산!CJ664="","금액 확인","")))</f>
        <v/>
      </c>
    </row>
    <row r="665">
      <c r="A665" s="3" t="n"/>
      <c r="C665" s="4" t="n"/>
      <c r="E665" s="5">
        <f>IF(C665="","",IF(계산!CI665="","날짜 확인",IF(계산!CJ665="","금액 확인","")))</f>
        <v/>
      </c>
    </row>
    <row r="666">
      <c r="A666" s="3" t="n"/>
      <c r="C666" s="4" t="n"/>
      <c r="E666" s="5">
        <f>IF(C666="","",IF(계산!CI666="","날짜 확인",IF(계산!CJ666="","금액 확인","")))</f>
        <v/>
      </c>
    </row>
    <row r="667">
      <c r="A667" s="3" t="n"/>
      <c r="C667" s="4" t="n"/>
      <c r="E667" s="5">
        <f>IF(C667="","",IF(계산!CI667="","날짜 확인",IF(계산!CJ667="","금액 확인","")))</f>
        <v/>
      </c>
    </row>
    <row r="668">
      <c r="A668" s="3" t="n"/>
      <c r="C668" s="4" t="n"/>
      <c r="E668" s="5">
        <f>IF(C668="","",IF(계산!CI668="","날짜 확인",IF(계산!CJ668="","금액 확인","")))</f>
        <v/>
      </c>
    </row>
    <row r="669">
      <c r="A669" s="3" t="n"/>
      <c r="C669" s="4" t="n"/>
      <c r="E669" s="5">
        <f>IF(C669="","",IF(계산!CI669="","날짜 확인",IF(계산!CJ669="","금액 확인","")))</f>
        <v/>
      </c>
    </row>
    <row r="670">
      <c r="A670" s="3" t="n"/>
      <c r="C670" s="4" t="n"/>
      <c r="E670" s="5">
        <f>IF(C670="","",IF(계산!CI670="","날짜 확인",IF(계산!CJ670="","금액 확인","")))</f>
        <v/>
      </c>
    </row>
    <row r="671">
      <c r="A671" s="3" t="n"/>
      <c r="C671" s="4" t="n"/>
      <c r="E671" s="5">
        <f>IF(C671="","",IF(계산!CI671="","날짜 확인",IF(계산!CJ671="","금액 확인","")))</f>
        <v/>
      </c>
    </row>
    <row r="672">
      <c r="A672" s="3" t="n"/>
      <c r="C672" s="4" t="n"/>
      <c r="E672" s="5">
        <f>IF(C672="","",IF(계산!CI672="","날짜 확인",IF(계산!CJ672="","금액 확인","")))</f>
        <v/>
      </c>
    </row>
    <row r="673">
      <c r="A673" s="3" t="n"/>
      <c r="C673" s="4" t="n"/>
      <c r="E673" s="5">
        <f>IF(C673="","",IF(계산!CI673="","날짜 확인",IF(계산!CJ673="","금액 확인","")))</f>
        <v/>
      </c>
    </row>
    <row r="674">
      <c r="A674" s="3" t="n"/>
      <c r="C674" s="4" t="n"/>
      <c r="E674" s="5">
        <f>IF(C674="","",IF(계산!CI674="","날짜 확인",IF(계산!CJ674="","금액 확인","")))</f>
        <v/>
      </c>
    </row>
    <row r="675">
      <c r="A675" s="3" t="n"/>
      <c r="C675" s="4" t="n"/>
      <c r="E675" s="5">
        <f>IF(C675="","",IF(계산!CI675="","날짜 확인",IF(계산!CJ675="","금액 확인","")))</f>
        <v/>
      </c>
    </row>
    <row r="676">
      <c r="A676" s="3" t="n"/>
      <c r="C676" s="4" t="n"/>
      <c r="E676" s="5">
        <f>IF(C676="","",IF(계산!CI676="","날짜 확인",IF(계산!CJ676="","금액 확인","")))</f>
        <v/>
      </c>
    </row>
    <row r="677">
      <c r="A677" s="3" t="n"/>
      <c r="C677" s="4" t="n"/>
      <c r="E677" s="5">
        <f>IF(C677="","",IF(계산!CI677="","날짜 확인",IF(계산!CJ677="","금액 확인","")))</f>
        <v/>
      </c>
    </row>
    <row r="678">
      <c r="A678" s="3" t="n"/>
      <c r="C678" s="4" t="n"/>
      <c r="E678" s="5">
        <f>IF(C678="","",IF(계산!CI678="","날짜 확인",IF(계산!CJ678="","금액 확인","")))</f>
        <v/>
      </c>
    </row>
    <row r="679">
      <c r="A679" s="3" t="n"/>
      <c r="C679" s="4" t="n"/>
      <c r="E679" s="5">
        <f>IF(C679="","",IF(계산!CI679="","날짜 확인",IF(계산!CJ679="","금액 확인","")))</f>
        <v/>
      </c>
    </row>
    <row r="680">
      <c r="A680" s="3" t="n"/>
      <c r="C680" s="4" t="n"/>
      <c r="E680" s="5">
        <f>IF(C680="","",IF(계산!CI680="","날짜 확인",IF(계산!CJ680="","금액 확인","")))</f>
        <v/>
      </c>
    </row>
    <row r="681">
      <c r="A681" s="3" t="n"/>
      <c r="C681" s="4" t="n"/>
      <c r="E681" s="5">
        <f>IF(C681="","",IF(계산!CI681="","날짜 확인",IF(계산!CJ681="","금액 확인","")))</f>
        <v/>
      </c>
    </row>
    <row r="682">
      <c r="A682" s="3" t="n"/>
      <c r="C682" s="4" t="n"/>
      <c r="E682" s="5">
        <f>IF(C682="","",IF(계산!CI682="","날짜 확인",IF(계산!CJ682="","금액 확인","")))</f>
        <v/>
      </c>
    </row>
    <row r="683">
      <c r="A683" s="3" t="n"/>
      <c r="C683" s="4" t="n"/>
      <c r="E683" s="5">
        <f>IF(C683="","",IF(계산!CI683="","날짜 확인",IF(계산!CJ683="","금액 확인","")))</f>
        <v/>
      </c>
    </row>
    <row r="684">
      <c r="A684" s="3" t="n"/>
      <c r="C684" s="4" t="n"/>
      <c r="E684" s="5">
        <f>IF(C684="","",IF(계산!CI684="","날짜 확인",IF(계산!CJ684="","금액 확인","")))</f>
        <v/>
      </c>
    </row>
    <row r="685">
      <c r="A685" s="3" t="n"/>
      <c r="C685" s="4" t="n"/>
      <c r="E685" s="5">
        <f>IF(C685="","",IF(계산!CI685="","날짜 확인",IF(계산!CJ685="","금액 확인","")))</f>
        <v/>
      </c>
    </row>
    <row r="686">
      <c r="A686" s="3" t="n"/>
      <c r="C686" s="4" t="n"/>
      <c r="E686" s="5">
        <f>IF(C686="","",IF(계산!CI686="","날짜 확인",IF(계산!CJ686="","금액 확인","")))</f>
        <v/>
      </c>
    </row>
    <row r="687">
      <c r="A687" s="3" t="n"/>
      <c r="C687" s="4" t="n"/>
      <c r="E687" s="5">
        <f>IF(C687="","",IF(계산!CI687="","날짜 확인",IF(계산!CJ687="","금액 확인","")))</f>
        <v/>
      </c>
    </row>
    <row r="688">
      <c r="A688" s="3" t="n"/>
      <c r="C688" s="4" t="n"/>
      <c r="E688" s="5">
        <f>IF(C688="","",IF(계산!CI688="","날짜 확인",IF(계산!CJ688="","금액 확인","")))</f>
        <v/>
      </c>
    </row>
    <row r="689">
      <c r="A689" s="3" t="n"/>
      <c r="C689" s="4" t="n"/>
      <c r="E689" s="5">
        <f>IF(C689="","",IF(계산!CI689="","날짜 확인",IF(계산!CJ689="","금액 확인","")))</f>
        <v/>
      </c>
    </row>
    <row r="690">
      <c r="A690" s="3" t="n"/>
      <c r="C690" s="4" t="n"/>
      <c r="E690" s="5">
        <f>IF(C690="","",IF(계산!CI690="","날짜 확인",IF(계산!CJ690="","금액 확인","")))</f>
        <v/>
      </c>
    </row>
    <row r="691">
      <c r="A691" s="3" t="n"/>
      <c r="C691" s="4" t="n"/>
      <c r="E691" s="5">
        <f>IF(C691="","",IF(계산!CI691="","날짜 확인",IF(계산!CJ691="","금액 확인","")))</f>
        <v/>
      </c>
    </row>
    <row r="692">
      <c r="A692" s="3" t="n"/>
      <c r="C692" s="4" t="n"/>
      <c r="E692" s="5">
        <f>IF(C692="","",IF(계산!CI692="","날짜 확인",IF(계산!CJ692="","금액 확인","")))</f>
        <v/>
      </c>
    </row>
    <row r="693">
      <c r="A693" s="3" t="n"/>
      <c r="C693" s="4" t="n"/>
      <c r="E693" s="5">
        <f>IF(C693="","",IF(계산!CI693="","날짜 확인",IF(계산!CJ693="","금액 확인","")))</f>
        <v/>
      </c>
    </row>
    <row r="694">
      <c r="A694" s="3" t="n"/>
      <c r="C694" s="4" t="n"/>
      <c r="E694" s="5">
        <f>IF(C694="","",IF(계산!CI694="","날짜 확인",IF(계산!CJ694="","금액 확인","")))</f>
        <v/>
      </c>
    </row>
    <row r="695">
      <c r="A695" s="3" t="n"/>
      <c r="C695" s="4" t="n"/>
      <c r="E695" s="5">
        <f>IF(C695="","",IF(계산!CI695="","날짜 확인",IF(계산!CJ695="","금액 확인","")))</f>
        <v/>
      </c>
    </row>
    <row r="696">
      <c r="A696" s="3" t="n"/>
      <c r="C696" s="4" t="n"/>
      <c r="E696" s="5">
        <f>IF(C696="","",IF(계산!CI696="","날짜 확인",IF(계산!CJ696="","금액 확인","")))</f>
        <v/>
      </c>
    </row>
    <row r="697">
      <c r="A697" s="3" t="n"/>
      <c r="C697" s="4" t="n"/>
      <c r="E697" s="5">
        <f>IF(C697="","",IF(계산!CI697="","날짜 확인",IF(계산!CJ697="","금액 확인","")))</f>
        <v/>
      </c>
    </row>
    <row r="698">
      <c r="A698" s="3" t="n"/>
      <c r="C698" s="4" t="n"/>
      <c r="E698" s="5">
        <f>IF(C698="","",IF(계산!CI698="","날짜 확인",IF(계산!CJ698="","금액 확인","")))</f>
        <v/>
      </c>
    </row>
    <row r="699">
      <c r="A699" s="3" t="n"/>
      <c r="C699" s="4" t="n"/>
      <c r="E699" s="5">
        <f>IF(C699="","",IF(계산!CI699="","날짜 확인",IF(계산!CJ699="","금액 확인","")))</f>
        <v/>
      </c>
    </row>
    <row r="700">
      <c r="A700" s="3" t="n"/>
      <c r="C700" s="4" t="n"/>
      <c r="E700" s="5">
        <f>IF(C700="","",IF(계산!CI700="","날짜 확인",IF(계산!CJ700="","금액 확인","")))</f>
        <v/>
      </c>
    </row>
    <row r="701">
      <c r="A701" s="3" t="n"/>
      <c r="C701" s="4" t="n"/>
      <c r="E701" s="5">
        <f>IF(C701="","",IF(계산!CI701="","날짜 확인",IF(계산!CJ701="","금액 확인","")))</f>
        <v/>
      </c>
    </row>
    <row r="702">
      <c r="A702" s="3" t="n"/>
      <c r="C702" s="4" t="n"/>
      <c r="E702" s="5">
        <f>IF(C702="","",IF(계산!CI702="","날짜 확인",IF(계산!CJ702="","금액 확인","")))</f>
        <v/>
      </c>
    </row>
    <row r="703">
      <c r="A703" s="3" t="n"/>
      <c r="C703" s="4" t="n"/>
      <c r="E703" s="5">
        <f>IF(C703="","",IF(계산!CI703="","날짜 확인",IF(계산!CJ703="","금액 확인","")))</f>
        <v/>
      </c>
    </row>
    <row r="704">
      <c r="A704" s="3" t="n"/>
      <c r="C704" s="4" t="n"/>
      <c r="E704" s="5">
        <f>IF(C704="","",IF(계산!CI704="","날짜 확인",IF(계산!CJ704="","금액 확인","")))</f>
        <v/>
      </c>
    </row>
    <row r="705">
      <c r="A705" s="3" t="n"/>
      <c r="C705" s="4" t="n"/>
      <c r="E705" s="5">
        <f>IF(C705="","",IF(계산!CI705="","날짜 확인",IF(계산!CJ705="","금액 확인","")))</f>
        <v/>
      </c>
    </row>
    <row r="706">
      <c r="A706" s="3" t="n"/>
      <c r="C706" s="4" t="n"/>
      <c r="E706" s="5">
        <f>IF(C706="","",IF(계산!CI706="","날짜 확인",IF(계산!CJ706="","금액 확인","")))</f>
        <v/>
      </c>
    </row>
    <row r="707">
      <c r="A707" s="3" t="n"/>
      <c r="C707" s="4" t="n"/>
      <c r="E707" s="5">
        <f>IF(C707="","",IF(계산!CI707="","날짜 확인",IF(계산!CJ707="","금액 확인","")))</f>
        <v/>
      </c>
    </row>
    <row r="708">
      <c r="A708" s="3" t="n"/>
      <c r="C708" s="4" t="n"/>
      <c r="E708" s="5">
        <f>IF(C708="","",IF(계산!CI708="","날짜 확인",IF(계산!CJ708="","금액 확인","")))</f>
        <v/>
      </c>
    </row>
    <row r="709">
      <c r="A709" s="3" t="n"/>
      <c r="C709" s="4" t="n"/>
      <c r="E709" s="5">
        <f>IF(C709="","",IF(계산!CI709="","날짜 확인",IF(계산!CJ709="","금액 확인","")))</f>
        <v/>
      </c>
    </row>
    <row r="710">
      <c r="A710" s="3" t="n"/>
      <c r="C710" s="4" t="n"/>
      <c r="E710" s="5">
        <f>IF(C710="","",IF(계산!CI710="","날짜 확인",IF(계산!CJ710="","금액 확인","")))</f>
        <v/>
      </c>
    </row>
    <row r="711">
      <c r="A711" s="3" t="n"/>
      <c r="C711" s="4" t="n"/>
      <c r="E711" s="5">
        <f>IF(C711="","",IF(계산!CI711="","날짜 확인",IF(계산!CJ711="","금액 확인","")))</f>
        <v/>
      </c>
    </row>
    <row r="712">
      <c r="A712" s="3" t="n"/>
      <c r="C712" s="4" t="n"/>
      <c r="E712" s="5">
        <f>IF(C712="","",IF(계산!CI712="","날짜 확인",IF(계산!CJ712="","금액 확인","")))</f>
        <v/>
      </c>
    </row>
    <row r="713">
      <c r="A713" s="3" t="n"/>
      <c r="C713" s="4" t="n"/>
      <c r="E713" s="5">
        <f>IF(C713="","",IF(계산!CI713="","날짜 확인",IF(계산!CJ713="","금액 확인","")))</f>
        <v/>
      </c>
    </row>
    <row r="714">
      <c r="A714" s="3" t="n"/>
      <c r="C714" s="4" t="n"/>
      <c r="E714" s="5">
        <f>IF(C714="","",IF(계산!CI714="","날짜 확인",IF(계산!CJ714="","금액 확인","")))</f>
        <v/>
      </c>
    </row>
    <row r="715">
      <c r="A715" s="3" t="n"/>
      <c r="C715" s="4" t="n"/>
      <c r="E715" s="5">
        <f>IF(C715="","",IF(계산!CI715="","날짜 확인",IF(계산!CJ715="","금액 확인","")))</f>
        <v/>
      </c>
    </row>
    <row r="716">
      <c r="A716" s="3" t="n"/>
      <c r="C716" s="4" t="n"/>
      <c r="E716" s="5">
        <f>IF(C716="","",IF(계산!CI716="","날짜 확인",IF(계산!CJ716="","금액 확인","")))</f>
        <v/>
      </c>
    </row>
    <row r="717">
      <c r="A717" s="3" t="n"/>
      <c r="C717" s="4" t="n"/>
      <c r="E717" s="5">
        <f>IF(C717="","",IF(계산!CI717="","날짜 확인",IF(계산!CJ717="","금액 확인","")))</f>
        <v/>
      </c>
    </row>
    <row r="718">
      <c r="A718" s="3" t="n"/>
      <c r="C718" s="4" t="n"/>
      <c r="E718" s="5">
        <f>IF(C718="","",IF(계산!CI718="","날짜 확인",IF(계산!CJ718="","금액 확인","")))</f>
        <v/>
      </c>
    </row>
    <row r="719">
      <c r="A719" s="3" t="n"/>
      <c r="C719" s="4" t="n"/>
      <c r="E719" s="5">
        <f>IF(C719="","",IF(계산!CI719="","날짜 확인",IF(계산!CJ719="","금액 확인","")))</f>
        <v/>
      </c>
    </row>
    <row r="720">
      <c r="A720" s="3" t="n"/>
      <c r="C720" s="4" t="n"/>
      <c r="E720" s="5">
        <f>IF(C720="","",IF(계산!CI720="","날짜 확인",IF(계산!CJ720="","금액 확인","")))</f>
        <v/>
      </c>
    </row>
    <row r="721">
      <c r="A721" s="3" t="n"/>
      <c r="C721" s="4" t="n"/>
      <c r="E721" s="5">
        <f>IF(C721="","",IF(계산!CI721="","날짜 확인",IF(계산!CJ721="","금액 확인","")))</f>
        <v/>
      </c>
    </row>
    <row r="722">
      <c r="A722" s="3" t="n"/>
      <c r="C722" s="4" t="n"/>
      <c r="E722" s="5">
        <f>IF(C722="","",IF(계산!CI722="","날짜 확인",IF(계산!CJ722="","금액 확인","")))</f>
        <v/>
      </c>
    </row>
    <row r="723">
      <c r="A723" s="3" t="n"/>
      <c r="C723" s="4" t="n"/>
      <c r="E723" s="5">
        <f>IF(C723="","",IF(계산!CI723="","날짜 확인",IF(계산!CJ723="","금액 확인","")))</f>
        <v/>
      </c>
    </row>
    <row r="724">
      <c r="A724" s="3" t="n"/>
      <c r="C724" s="4" t="n"/>
      <c r="E724" s="5">
        <f>IF(C724="","",IF(계산!CI724="","날짜 확인",IF(계산!CJ724="","금액 확인","")))</f>
        <v/>
      </c>
    </row>
    <row r="725">
      <c r="A725" s="3" t="n"/>
      <c r="C725" s="4" t="n"/>
      <c r="E725" s="5">
        <f>IF(C725="","",IF(계산!CI725="","날짜 확인",IF(계산!CJ725="","금액 확인","")))</f>
        <v/>
      </c>
    </row>
    <row r="726">
      <c r="A726" s="3" t="n"/>
      <c r="C726" s="4" t="n"/>
      <c r="E726" s="5">
        <f>IF(C726="","",IF(계산!CI726="","날짜 확인",IF(계산!CJ726="","금액 확인","")))</f>
        <v/>
      </c>
    </row>
    <row r="727">
      <c r="A727" s="3" t="n"/>
      <c r="C727" s="4" t="n"/>
      <c r="E727" s="5">
        <f>IF(C727="","",IF(계산!CI727="","날짜 확인",IF(계산!CJ727="","금액 확인","")))</f>
        <v/>
      </c>
    </row>
    <row r="728">
      <c r="A728" s="3" t="n"/>
      <c r="C728" s="4" t="n"/>
      <c r="E728" s="5">
        <f>IF(C728="","",IF(계산!CI728="","날짜 확인",IF(계산!CJ728="","금액 확인","")))</f>
        <v/>
      </c>
    </row>
    <row r="729">
      <c r="A729" s="3" t="n"/>
      <c r="C729" s="4" t="n"/>
      <c r="E729" s="5">
        <f>IF(C729="","",IF(계산!CI729="","날짜 확인",IF(계산!CJ729="","금액 확인","")))</f>
        <v/>
      </c>
    </row>
    <row r="730">
      <c r="A730" s="3" t="n"/>
      <c r="C730" s="4" t="n"/>
      <c r="E730" s="5">
        <f>IF(C730="","",IF(계산!CI730="","날짜 확인",IF(계산!CJ730="","금액 확인","")))</f>
        <v/>
      </c>
    </row>
    <row r="731">
      <c r="A731" s="3" t="n"/>
      <c r="C731" s="4" t="n"/>
      <c r="E731" s="5">
        <f>IF(C731="","",IF(계산!CI731="","날짜 확인",IF(계산!CJ731="","금액 확인","")))</f>
        <v/>
      </c>
    </row>
    <row r="732">
      <c r="A732" s="3" t="n"/>
      <c r="C732" s="4" t="n"/>
      <c r="E732" s="5">
        <f>IF(C732="","",IF(계산!CI732="","날짜 확인",IF(계산!CJ732="","금액 확인","")))</f>
        <v/>
      </c>
    </row>
    <row r="733">
      <c r="A733" s="3" t="n"/>
      <c r="C733" s="4" t="n"/>
      <c r="E733" s="5">
        <f>IF(C733="","",IF(계산!CI733="","날짜 확인",IF(계산!CJ733="","금액 확인","")))</f>
        <v/>
      </c>
    </row>
    <row r="734">
      <c r="A734" s="3" t="n"/>
      <c r="C734" s="4" t="n"/>
      <c r="E734" s="5">
        <f>IF(C734="","",IF(계산!CI734="","날짜 확인",IF(계산!CJ734="","금액 확인","")))</f>
        <v/>
      </c>
    </row>
    <row r="735">
      <c r="A735" s="3" t="n"/>
      <c r="C735" s="4" t="n"/>
      <c r="E735" s="5">
        <f>IF(C735="","",IF(계산!CI735="","날짜 확인",IF(계산!CJ735="","금액 확인","")))</f>
        <v/>
      </c>
    </row>
    <row r="736">
      <c r="A736" s="3" t="n"/>
      <c r="C736" s="4" t="n"/>
      <c r="E736" s="5">
        <f>IF(C736="","",IF(계산!CI736="","날짜 확인",IF(계산!CJ736="","금액 확인","")))</f>
        <v/>
      </c>
    </row>
    <row r="737">
      <c r="A737" s="3" t="n"/>
      <c r="C737" s="4" t="n"/>
      <c r="E737" s="5">
        <f>IF(C737="","",IF(계산!CI737="","날짜 확인",IF(계산!CJ737="","금액 확인","")))</f>
        <v/>
      </c>
    </row>
    <row r="738">
      <c r="A738" s="3" t="n"/>
      <c r="C738" s="4" t="n"/>
      <c r="E738" s="5">
        <f>IF(C738="","",IF(계산!CI738="","날짜 확인",IF(계산!CJ738="","금액 확인","")))</f>
        <v/>
      </c>
    </row>
    <row r="739">
      <c r="A739" s="3" t="n"/>
      <c r="C739" s="4" t="n"/>
      <c r="E739" s="5">
        <f>IF(C739="","",IF(계산!CI739="","날짜 확인",IF(계산!CJ739="","금액 확인","")))</f>
        <v/>
      </c>
    </row>
    <row r="740">
      <c r="A740" s="3" t="n"/>
      <c r="C740" s="4" t="n"/>
      <c r="E740" s="5">
        <f>IF(C740="","",IF(계산!CI740="","날짜 확인",IF(계산!CJ740="","금액 확인","")))</f>
        <v/>
      </c>
    </row>
    <row r="741">
      <c r="A741" s="3" t="n"/>
      <c r="C741" s="4" t="n"/>
      <c r="E741" s="5">
        <f>IF(C741="","",IF(계산!CI741="","날짜 확인",IF(계산!CJ741="","금액 확인","")))</f>
        <v/>
      </c>
    </row>
    <row r="742">
      <c r="A742" s="3" t="n"/>
      <c r="C742" s="4" t="n"/>
      <c r="E742" s="5">
        <f>IF(C742="","",IF(계산!CI742="","날짜 확인",IF(계산!CJ742="","금액 확인","")))</f>
        <v/>
      </c>
    </row>
    <row r="743">
      <c r="A743" s="3" t="n"/>
      <c r="C743" s="4" t="n"/>
      <c r="E743" s="5">
        <f>IF(C743="","",IF(계산!CI743="","날짜 확인",IF(계산!CJ743="","금액 확인","")))</f>
        <v/>
      </c>
    </row>
    <row r="744">
      <c r="A744" s="3" t="n"/>
      <c r="C744" s="4" t="n"/>
      <c r="E744" s="5">
        <f>IF(C744="","",IF(계산!CI744="","날짜 확인",IF(계산!CJ744="","금액 확인","")))</f>
        <v/>
      </c>
    </row>
    <row r="745">
      <c r="A745" s="3" t="n"/>
      <c r="C745" s="4" t="n"/>
      <c r="E745" s="5">
        <f>IF(C745="","",IF(계산!CI745="","날짜 확인",IF(계산!CJ745="","금액 확인","")))</f>
        <v/>
      </c>
    </row>
    <row r="746">
      <c r="A746" s="3" t="n"/>
      <c r="C746" s="4" t="n"/>
      <c r="E746" s="5">
        <f>IF(C746="","",IF(계산!CI746="","날짜 확인",IF(계산!CJ746="","금액 확인","")))</f>
        <v/>
      </c>
    </row>
    <row r="747">
      <c r="A747" s="3" t="n"/>
      <c r="C747" s="4" t="n"/>
      <c r="E747" s="5">
        <f>IF(C747="","",IF(계산!CI747="","날짜 확인",IF(계산!CJ747="","금액 확인","")))</f>
        <v/>
      </c>
    </row>
    <row r="748">
      <c r="A748" s="3" t="n"/>
      <c r="C748" s="4" t="n"/>
      <c r="E748" s="5">
        <f>IF(C748="","",IF(계산!CI748="","날짜 확인",IF(계산!CJ748="","금액 확인","")))</f>
        <v/>
      </c>
    </row>
    <row r="749">
      <c r="A749" s="3" t="n"/>
      <c r="C749" s="4" t="n"/>
      <c r="E749" s="5">
        <f>IF(C749="","",IF(계산!CI749="","날짜 확인",IF(계산!CJ749="","금액 확인","")))</f>
        <v/>
      </c>
    </row>
    <row r="750">
      <c r="A750" s="3" t="n"/>
      <c r="C750" s="4" t="n"/>
      <c r="E750" s="5">
        <f>IF(C750="","",IF(계산!CI750="","날짜 확인",IF(계산!CJ750="","금액 확인","")))</f>
        <v/>
      </c>
    </row>
    <row r="751">
      <c r="A751" s="3" t="n"/>
      <c r="C751" s="4" t="n"/>
      <c r="E751" s="5">
        <f>IF(C751="","",IF(계산!CI751="","날짜 확인",IF(계산!CJ751="","금액 확인","")))</f>
        <v/>
      </c>
    </row>
    <row r="752">
      <c r="A752" s="3" t="n"/>
      <c r="C752" s="4" t="n"/>
      <c r="E752" s="5">
        <f>IF(C752="","",IF(계산!CI752="","날짜 확인",IF(계산!CJ752="","금액 확인","")))</f>
        <v/>
      </c>
    </row>
    <row r="753">
      <c r="A753" s="3" t="n"/>
      <c r="C753" s="4" t="n"/>
      <c r="E753" s="5">
        <f>IF(C753="","",IF(계산!CI753="","날짜 확인",IF(계산!CJ753="","금액 확인","")))</f>
        <v/>
      </c>
    </row>
    <row r="754">
      <c r="A754" s="3" t="n"/>
      <c r="C754" s="4" t="n"/>
      <c r="E754" s="5">
        <f>IF(C754="","",IF(계산!CI754="","날짜 확인",IF(계산!CJ754="","금액 확인","")))</f>
        <v/>
      </c>
    </row>
    <row r="755">
      <c r="A755" s="3" t="n"/>
      <c r="C755" s="4" t="n"/>
      <c r="E755" s="5">
        <f>IF(C755="","",IF(계산!CI755="","날짜 확인",IF(계산!CJ755="","금액 확인","")))</f>
        <v/>
      </c>
    </row>
    <row r="756">
      <c r="A756" s="3" t="n"/>
      <c r="C756" s="4" t="n"/>
      <c r="E756" s="5">
        <f>IF(C756="","",IF(계산!CI756="","날짜 확인",IF(계산!CJ756="","금액 확인","")))</f>
        <v/>
      </c>
    </row>
    <row r="757">
      <c r="A757" s="3" t="n"/>
      <c r="C757" s="4" t="n"/>
      <c r="E757" s="5">
        <f>IF(C757="","",IF(계산!CI757="","날짜 확인",IF(계산!CJ757="","금액 확인","")))</f>
        <v/>
      </c>
    </row>
    <row r="758">
      <c r="A758" s="3" t="n"/>
      <c r="C758" s="4" t="n"/>
      <c r="E758" s="5">
        <f>IF(C758="","",IF(계산!CI758="","날짜 확인",IF(계산!CJ758="","금액 확인","")))</f>
        <v/>
      </c>
    </row>
    <row r="759">
      <c r="A759" s="3" t="n"/>
      <c r="C759" s="4" t="n"/>
      <c r="E759" s="5">
        <f>IF(C759="","",IF(계산!CI759="","날짜 확인",IF(계산!CJ759="","금액 확인","")))</f>
        <v/>
      </c>
    </row>
    <row r="760">
      <c r="A760" s="3" t="n"/>
      <c r="C760" s="4" t="n"/>
      <c r="E760" s="5">
        <f>IF(C760="","",IF(계산!CI760="","날짜 확인",IF(계산!CJ760="","금액 확인","")))</f>
        <v/>
      </c>
    </row>
    <row r="761">
      <c r="A761" s="3" t="n"/>
      <c r="C761" s="4" t="n"/>
      <c r="E761" s="5">
        <f>IF(C761="","",IF(계산!CI761="","날짜 확인",IF(계산!CJ761="","금액 확인","")))</f>
        <v/>
      </c>
    </row>
    <row r="762">
      <c r="A762" s="3" t="n"/>
      <c r="C762" s="4" t="n"/>
      <c r="E762" s="5">
        <f>IF(C762="","",IF(계산!CI762="","날짜 확인",IF(계산!CJ762="","금액 확인","")))</f>
        <v/>
      </c>
    </row>
    <row r="763">
      <c r="A763" s="3" t="n"/>
      <c r="C763" s="4" t="n"/>
      <c r="E763" s="5">
        <f>IF(C763="","",IF(계산!CI763="","날짜 확인",IF(계산!CJ763="","금액 확인","")))</f>
        <v/>
      </c>
    </row>
    <row r="764">
      <c r="A764" s="3" t="n"/>
      <c r="C764" s="4" t="n"/>
      <c r="E764" s="5">
        <f>IF(C764="","",IF(계산!CI764="","날짜 확인",IF(계산!CJ764="","금액 확인","")))</f>
        <v/>
      </c>
    </row>
    <row r="765">
      <c r="A765" s="3" t="n"/>
      <c r="C765" s="4" t="n"/>
      <c r="E765" s="5">
        <f>IF(C765="","",IF(계산!CI765="","날짜 확인",IF(계산!CJ765="","금액 확인","")))</f>
        <v/>
      </c>
    </row>
    <row r="766">
      <c r="A766" s="3" t="n"/>
      <c r="C766" s="4" t="n"/>
      <c r="E766" s="5">
        <f>IF(C766="","",IF(계산!CI766="","날짜 확인",IF(계산!CJ766="","금액 확인","")))</f>
        <v/>
      </c>
    </row>
    <row r="767">
      <c r="A767" s="3" t="n"/>
      <c r="C767" s="4" t="n"/>
      <c r="E767" s="5">
        <f>IF(C767="","",IF(계산!CI767="","날짜 확인",IF(계산!CJ767="","금액 확인","")))</f>
        <v/>
      </c>
    </row>
    <row r="768">
      <c r="A768" s="3" t="n"/>
      <c r="C768" s="4" t="n"/>
      <c r="E768" s="5">
        <f>IF(C768="","",IF(계산!CI768="","날짜 확인",IF(계산!CJ768="","금액 확인","")))</f>
        <v/>
      </c>
    </row>
    <row r="769">
      <c r="A769" s="3" t="n"/>
      <c r="C769" s="4" t="n"/>
      <c r="E769" s="5">
        <f>IF(C769="","",IF(계산!CI769="","날짜 확인",IF(계산!CJ769="","금액 확인","")))</f>
        <v/>
      </c>
    </row>
    <row r="770">
      <c r="A770" s="3" t="n"/>
      <c r="C770" s="4" t="n"/>
      <c r="E770" s="5">
        <f>IF(C770="","",IF(계산!CI770="","날짜 확인",IF(계산!CJ770="","금액 확인","")))</f>
        <v/>
      </c>
    </row>
    <row r="771">
      <c r="A771" s="3" t="n"/>
      <c r="C771" s="4" t="n"/>
      <c r="E771" s="5">
        <f>IF(C771="","",IF(계산!CI771="","날짜 확인",IF(계산!CJ771="","금액 확인","")))</f>
        <v/>
      </c>
    </row>
    <row r="772">
      <c r="A772" s="3" t="n"/>
      <c r="C772" s="4" t="n"/>
      <c r="E772" s="5">
        <f>IF(C772="","",IF(계산!CI772="","날짜 확인",IF(계산!CJ772="","금액 확인","")))</f>
        <v/>
      </c>
    </row>
    <row r="773">
      <c r="A773" s="3" t="n"/>
      <c r="C773" s="4" t="n"/>
      <c r="E773" s="5">
        <f>IF(C773="","",IF(계산!CI773="","날짜 확인",IF(계산!CJ773="","금액 확인","")))</f>
        <v/>
      </c>
    </row>
    <row r="774">
      <c r="A774" s="3" t="n"/>
      <c r="C774" s="4" t="n"/>
      <c r="E774" s="5">
        <f>IF(C774="","",IF(계산!CI774="","날짜 확인",IF(계산!CJ774="","금액 확인","")))</f>
        <v/>
      </c>
    </row>
    <row r="775">
      <c r="A775" s="3" t="n"/>
      <c r="C775" s="4" t="n"/>
      <c r="E775" s="5">
        <f>IF(C775="","",IF(계산!CI775="","날짜 확인",IF(계산!CJ775="","금액 확인","")))</f>
        <v/>
      </c>
    </row>
    <row r="776">
      <c r="A776" s="3" t="n"/>
      <c r="C776" s="4" t="n"/>
      <c r="E776" s="5">
        <f>IF(C776="","",IF(계산!CI776="","날짜 확인",IF(계산!CJ776="","금액 확인","")))</f>
        <v/>
      </c>
    </row>
    <row r="777">
      <c r="A777" s="3" t="n"/>
      <c r="C777" s="4" t="n"/>
      <c r="E777" s="5">
        <f>IF(C777="","",IF(계산!CI777="","날짜 확인",IF(계산!CJ777="","금액 확인","")))</f>
        <v/>
      </c>
    </row>
    <row r="778">
      <c r="A778" s="3" t="n"/>
      <c r="C778" s="4" t="n"/>
      <c r="E778" s="5">
        <f>IF(C778="","",IF(계산!CI778="","날짜 확인",IF(계산!CJ778="","금액 확인","")))</f>
        <v/>
      </c>
    </row>
    <row r="779">
      <c r="A779" s="3" t="n"/>
      <c r="C779" s="4" t="n"/>
      <c r="E779" s="5">
        <f>IF(C779="","",IF(계산!CI779="","날짜 확인",IF(계산!CJ779="","금액 확인","")))</f>
        <v/>
      </c>
    </row>
    <row r="780">
      <c r="A780" s="3" t="n"/>
      <c r="C780" s="4" t="n"/>
      <c r="E780" s="5">
        <f>IF(C780="","",IF(계산!CI780="","날짜 확인",IF(계산!CJ780="","금액 확인","")))</f>
        <v/>
      </c>
    </row>
    <row r="781">
      <c r="A781" s="3" t="n"/>
      <c r="C781" s="4" t="n"/>
      <c r="E781" s="5">
        <f>IF(C781="","",IF(계산!CI781="","날짜 확인",IF(계산!CJ781="","금액 확인","")))</f>
        <v/>
      </c>
    </row>
    <row r="782">
      <c r="A782" s="3" t="n"/>
      <c r="C782" s="4" t="n"/>
      <c r="E782" s="5">
        <f>IF(C782="","",IF(계산!CI782="","날짜 확인",IF(계산!CJ782="","금액 확인","")))</f>
        <v/>
      </c>
    </row>
    <row r="783">
      <c r="A783" s="3" t="n"/>
      <c r="C783" s="4" t="n"/>
      <c r="E783" s="5">
        <f>IF(C783="","",IF(계산!CI783="","날짜 확인",IF(계산!CJ783="","금액 확인","")))</f>
        <v/>
      </c>
    </row>
    <row r="784">
      <c r="A784" s="3" t="n"/>
      <c r="C784" s="4" t="n"/>
      <c r="E784" s="5">
        <f>IF(C784="","",IF(계산!CI784="","날짜 확인",IF(계산!CJ784="","금액 확인","")))</f>
        <v/>
      </c>
    </row>
    <row r="785">
      <c r="A785" s="3" t="n"/>
      <c r="C785" s="4" t="n"/>
      <c r="E785" s="5">
        <f>IF(C785="","",IF(계산!CI785="","날짜 확인",IF(계산!CJ785="","금액 확인","")))</f>
        <v/>
      </c>
    </row>
    <row r="786">
      <c r="A786" s="3" t="n"/>
      <c r="C786" s="4" t="n"/>
      <c r="E786" s="5">
        <f>IF(C786="","",IF(계산!CI786="","날짜 확인",IF(계산!CJ786="","금액 확인","")))</f>
        <v/>
      </c>
    </row>
    <row r="787">
      <c r="A787" s="3" t="n"/>
      <c r="C787" s="4" t="n"/>
      <c r="E787" s="5">
        <f>IF(C787="","",IF(계산!CI787="","날짜 확인",IF(계산!CJ787="","금액 확인","")))</f>
        <v/>
      </c>
    </row>
    <row r="788">
      <c r="A788" s="3" t="n"/>
      <c r="C788" s="4" t="n"/>
      <c r="E788" s="5">
        <f>IF(C788="","",IF(계산!CI788="","날짜 확인",IF(계산!CJ788="","금액 확인","")))</f>
        <v/>
      </c>
    </row>
    <row r="789">
      <c r="A789" s="3" t="n"/>
      <c r="C789" s="4" t="n"/>
      <c r="E789" s="5">
        <f>IF(C789="","",IF(계산!CI789="","날짜 확인",IF(계산!CJ789="","금액 확인","")))</f>
        <v/>
      </c>
    </row>
    <row r="790">
      <c r="A790" s="3" t="n"/>
      <c r="C790" s="4" t="n"/>
      <c r="E790" s="5">
        <f>IF(C790="","",IF(계산!CI790="","날짜 확인",IF(계산!CJ790="","금액 확인","")))</f>
        <v/>
      </c>
    </row>
    <row r="791">
      <c r="A791" s="3" t="n"/>
      <c r="C791" s="4" t="n"/>
      <c r="E791" s="5">
        <f>IF(C791="","",IF(계산!CI791="","날짜 확인",IF(계산!CJ791="","금액 확인","")))</f>
        <v/>
      </c>
    </row>
    <row r="792">
      <c r="A792" s="3" t="n"/>
      <c r="C792" s="4" t="n"/>
      <c r="E792" s="5">
        <f>IF(C792="","",IF(계산!CI792="","날짜 확인",IF(계산!CJ792="","금액 확인","")))</f>
        <v/>
      </c>
    </row>
    <row r="793">
      <c r="A793" s="3" t="n"/>
      <c r="C793" s="4" t="n"/>
      <c r="E793" s="5">
        <f>IF(C793="","",IF(계산!CI793="","날짜 확인",IF(계산!CJ793="","금액 확인","")))</f>
        <v/>
      </c>
    </row>
    <row r="794">
      <c r="A794" s="3" t="n"/>
      <c r="C794" s="4" t="n"/>
      <c r="E794" s="5">
        <f>IF(C794="","",IF(계산!CI794="","날짜 확인",IF(계산!CJ794="","금액 확인","")))</f>
        <v/>
      </c>
    </row>
    <row r="795">
      <c r="A795" s="3" t="n"/>
      <c r="C795" s="4" t="n"/>
      <c r="E795" s="5">
        <f>IF(C795="","",IF(계산!CI795="","날짜 확인",IF(계산!CJ795="","금액 확인","")))</f>
        <v/>
      </c>
    </row>
    <row r="796">
      <c r="A796" s="3" t="n"/>
      <c r="C796" s="4" t="n"/>
      <c r="E796" s="5">
        <f>IF(C796="","",IF(계산!CI796="","날짜 확인",IF(계산!CJ796="","금액 확인","")))</f>
        <v/>
      </c>
    </row>
    <row r="797">
      <c r="A797" s="3" t="n"/>
      <c r="C797" s="4" t="n"/>
      <c r="E797" s="5">
        <f>IF(C797="","",IF(계산!CI797="","날짜 확인",IF(계산!CJ797="","금액 확인","")))</f>
        <v/>
      </c>
    </row>
    <row r="798">
      <c r="A798" s="3" t="n"/>
      <c r="C798" s="4" t="n"/>
      <c r="E798" s="5">
        <f>IF(C798="","",IF(계산!CI798="","날짜 확인",IF(계산!CJ798="","금액 확인","")))</f>
        <v/>
      </c>
    </row>
    <row r="799">
      <c r="A799" s="3" t="n"/>
      <c r="C799" s="4" t="n"/>
      <c r="E799" s="5">
        <f>IF(C799="","",IF(계산!CI799="","날짜 확인",IF(계산!CJ799="","금액 확인","")))</f>
        <v/>
      </c>
    </row>
    <row r="800">
      <c r="A800" s="3" t="n"/>
      <c r="C800" s="4" t="n"/>
      <c r="E800" s="5">
        <f>IF(C800="","",IF(계산!CI800="","날짜 확인",IF(계산!CJ800="","금액 확인","")))</f>
        <v/>
      </c>
    </row>
    <row r="801">
      <c r="A801" s="3" t="n"/>
      <c r="C801" s="4" t="n"/>
      <c r="E801" s="5">
        <f>IF(C801="","",IF(계산!CI801="","날짜 확인",IF(계산!CJ801="","금액 확인","")))</f>
        <v/>
      </c>
    </row>
    <row r="802">
      <c r="A802" s="3" t="n"/>
      <c r="C802" s="4" t="n"/>
      <c r="E802" s="5">
        <f>IF(C802="","",IF(계산!CI802="","날짜 확인",IF(계산!CJ802="","금액 확인","")))</f>
        <v/>
      </c>
    </row>
    <row r="803">
      <c r="A803" s="3" t="n"/>
      <c r="C803" s="4" t="n"/>
      <c r="E803" s="5">
        <f>IF(C803="","",IF(계산!CI803="","날짜 확인",IF(계산!CJ803="","금액 확인","")))</f>
        <v/>
      </c>
    </row>
    <row r="804">
      <c r="A804" s="3" t="n"/>
      <c r="C804" s="4" t="n"/>
      <c r="E804" s="5">
        <f>IF(C804="","",IF(계산!CI804="","날짜 확인",IF(계산!CJ804="","금액 확인","")))</f>
        <v/>
      </c>
    </row>
    <row r="805">
      <c r="A805" s="3" t="n"/>
      <c r="C805" s="4" t="n"/>
      <c r="E805" s="5">
        <f>IF(C805="","",IF(계산!CI805="","날짜 확인",IF(계산!CJ805="","금액 확인","")))</f>
        <v/>
      </c>
    </row>
    <row r="806">
      <c r="A806" s="3" t="n"/>
      <c r="C806" s="4" t="n"/>
      <c r="E806" s="5">
        <f>IF(C806="","",IF(계산!CI806="","날짜 확인",IF(계산!CJ806="","금액 확인","")))</f>
        <v/>
      </c>
    </row>
    <row r="807">
      <c r="A807" s="3" t="n"/>
      <c r="C807" s="4" t="n"/>
      <c r="E807" s="5">
        <f>IF(C807="","",IF(계산!CI807="","날짜 확인",IF(계산!CJ807="","금액 확인","")))</f>
        <v/>
      </c>
    </row>
    <row r="808">
      <c r="A808" s="3" t="n"/>
      <c r="C808" s="4" t="n"/>
      <c r="E808" s="5">
        <f>IF(C808="","",IF(계산!CI808="","날짜 확인",IF(계산!CJ808="","금액 확인","")))</f>
        <v/>
      </c>
    </row>
    <row r="809">
      <c r="A809" s="3" t="n"/>
      <c r="C809" s="4" t="n"/>
      <c r="E809" s="5">
        <f>IF(C809="","",IF(계산!CI809="","날짜 확인",IF(계산!CJ809="","금액 확인","")))</f>
        <v/>
      </c>
    </row>
    <row r="810">
      <c r="A810" s="3" t="n"/>
      <c r="C810" s="4" t="n"/>
      <c r="E810" s="5">
        <f>IF(C810="","",IF(계산!CI810="","날짜 확인",IF(계산!CJ810="","금액 확인","")))</f>
        <v/>
      </c>
    </row>
    <row r="811">
      <c r="A811" s="3" t="n"/>
      <c r="C811" s="4" t="n"/>
      <c r="E811" s="5">
        <f>IF(C811="","",IF(계산!CI811="","날짜 확인",IF(계산!CJ811="","금액 확인","")))</f>
        <v/>
      </c>
    </row>
    <row r="812">
      <c r="A812" s="3" t="n"/>
      <c r="C812" s="4" t="n"/>
      <c r="E812" s="5">
        <f>IF(C812="","",IF(계산!CI812="","날짜 확인",IF(계산!CJ812="","금액 확인","")))</f>
        <v/>
      </c>
    </row>
    <row r="813">
      <c r="A813" s="3" t="n"/>
      <c r="C813" s="4" t="n"/>
      <c r="E813" s="5">
        <f>IF(C813="","",IF(계산!CI813="","날짜 확인",IF(계산!CJ813="","금액 확인","")))</f>
        <v/>
      </c>
    </row>
    <row r="814">
      <c r="A814" s="3" t="n"/>
      <c r="C814" s="4" t="n"/>
      <c r="E814" s="5">
        <f>IF(C814="","",IF(계산!CI814="","날짜 확인",IF(계산!CJ814="","금액 확인","")))</f>
        <v/>
      </c>
    </row>
    <row r="815">
      <c r="A815" s="3" t="n"/>
      <c r="C815" s="4" t="n"/>
      <c r="E815" s="5">
        <f>IF(C815="","",IF(계산!CI815="","날짜 확인",IF(계산!CJ815="","금액 확인","")))</f>
        <v/>
      </c>
    </row>
    <row r="816">
      <c r="A816" s="3" t="n"/>
      <c r="C816" s="4" t="n"/>
      <c r="E816" s="5">
        <f>IF(C816="","",IF(계산!CI816="","날짜 확인",IF(계산!CJ816="","금액 확인","")))</f>
        <v/>
      </c>
    </row>
    <row r="817">
      <c r="A817" s="3" t="n"/>
      <c r="C817" s="4" t="n"/>
      <c r="E817" s="5">
        <f>IF(C817="","",IF(계산!CI817="","날짜 확인",IF(계산!CJ817="","금액 확인","")))</f>
        <v/>
      </c>
    </row>
    <row r="818">
      <c r="A818" s="3" t="n"/>
      <c r="C818" s="4" t="n"/>
      <c r="E818" s="5">
        <f>IF(C818="","",IF(계산!CI818="","날짜 확인",IF(계산!CJ818="","금액 확인","")))</f>
        <v/>
      </c>
    </row>
    <row r="819">
      <c r="A819" s="3" t="n"/>
      <c r="C819" s="4" t="n"/>
      <c r="E819" s="5">
        <f>IF(C819="","",IF(계산!CI819="","날짜 확인",IF(계산!CJ819="","금액 확인","")))</f>
        <v/>
      </c>
    </row>
    <row r="820">
      <c r="A820" s="3" t="n"/>
      <c r="C820" s="4" t="n"/>
      <c r="E820" s="5">
        <f>IF(C820="","",IF(계산!CI820="","날짜 확인",IF(계산!CJ820="","금액 확인","")))</f>
        <v/>
      </c>
    </row>
    <row r="821">
      <c r="A821" s="3" t="n"/>
      <c r="C821" s="4" t="n"/>
      <c r="E821" s="5">
        <f>IF(C821="","",IF(계산!CI821="","날짜 확인",IF(계산!CJ821="","금액 확인","")))</f>
        <v/>
      </c>
    </row>
    <row r="822">
      <c r="A822" s="3" t="n"/>
      <c r="C822" s="4" t="n"/>
      <c r="E822" s="5">
        <f>IF(C822="","",IF(계산!CI822="","날짜 확인",IF(계산!CJ822="","금액 확인","")))</f>
        <v/>
      </c>
    </row>
    <row r="823">
      <c r="A823" s="3" t="n"/>
      <c r="C823" s="4" t="n"/>
      <c r="E823" s="5">
        <f>IF(C823="","",IF(계산!CI823="","날짜 확인",IF(계산!CJ823="","금액 확인","")))</f>
        <v/>
      </c>
    </row>
    <row r="824">
      <c r="A824" s="3" t="n"/>
      <c r="C824" s="4" t="n"/>
      <c r="E824" s="5">
        <f>IF(C824="","",IF(계산!CI824="","날짜 확인",IF(계산!CJ824="","금액 확인","")))</f>
        <v/>
      </c>
    </row>
    <row r="825">
      <c r="A825" s="3" t="n"/>
      <c r="C825" s="4" t="n"/>
      <c r="E825" s="5">
        <f>IF(C825="","",IF(계산!CI825="","날짜 확인",IF(계산!CJ825="","금액 확인","")))</f>
        <v/>
      </c>
    </row>
    <row r="826">
      <c r="A826" s="3" t="n"/>
      <c r="C826" s="4" t="n"/>
      <c r="E826" s="5">
        <f>IF(C826="","",IF(계산!CI826="","날짜 확인",IF(계산!CJ826="","금액 확인","")))</f>
        <v/>
      </c>
    </row>
    <row r="827">
      <c r="A827" s="3" t="n"/>
      <c r="C827" s="4" t="n"/>
      <c r="E827" s="5">
        <f>IF(C827="","",IF(계산!CI827="","날짜 확인",IF(계산!CJ827="","금액 확인","")))</f>
        <v/>
      </c>
    </row>
    <row r="828">
      <c r="A828" s="3" t="n"/>
      <c r="C828" s="4" t="n"/>
      <c r="E828" s="5">
        <f>IF(C828="","",IF(계산!CI828="","날짜 확인",IF(계산!CJ828="","금액 확인","")))</f>
        <v/>
      </c>
    </row>
    <row r="829">
      <c r="A829" s="3" t="n"/>
      <c r="C829" s="4" t="n"/>
      <c r="E829" s="5">
        <f>IF(C829="","",IF(계산!CI829="","날짜 확인",IF(계산!CJ829="","금액 확인","")))</f>
        <v/>
      </c>
    </row>
    <row r="830">
      <c r="A830" s="3" t="n"/>
      <c r="C830" s="4" t="n"/>
      <c r="E830" s="5">
        <f>IF(C830="","",IF(계산!CI830="","날짜 확인",IF(계산!CJ830="","금액 확인","")))</f>
        <v/>
      </c>
    </row>
    <row r="831">
      <c r="A831" s="3" t="n"/>
      <c r="C831" s="4" t="n"/>
      <c r="E831" s="5">
        <f>IF(C831="","",IF(계산!CI831="","날짜 확인",IF(계산!CJ831="","금액 확인","")))</f>
        <v/>
      </c>
    </row>
    <row r="832">
      <c r="A832" s="3" t="n"/>
      <c r="C832" s="4" t="n"/>
      <c r="E832" s="5">
        <f>IF(C832="","",IF(계산!CI832="","날짜 확인",IF(계산!CJ832="","금액 확인","")))</f>
        <v/>
      </c>
    </row>
    <row r="833">
      <c r="A833" s="3" t="n"/>
      <c r="C833" s="4" t="n"/>
      <c r="E833" s="5">
        <f>IF(C833="","",IF(계산!CI833="","날짜 확인",IF(계산!CJ833="","금액 확인","")))</f>
        <v/>
      </c>
    </row>
    <row r="834">
      <c r="A834" s="3" t="n"/>
      <c r="C834" s="4" t="n"/>
      <c r="E834" s="5">
        <f>IF(C834="","",IF(계산!CI834="","날짜 확인",IF(계산!CJ834="","금액 확인","")))</f>
        <v/>
      </c>
    </row>
    <row r="835">
      <c r="A835" s="3" t="n"/>
      <c r="C835" s="4" t="n"/>
      <c r="E835" s="5">
        <f>IF(C835="","",IF(계산!CI835="","날짜 확인",IF(계산!CJ835="","금액 확인","")))</f>
        <v/>
      </c>
    </row>
    <row r="836">
      <c r="A836" s="3" t="n"/>
      <c r="C836" s="4" t="n"/>
      <c r="E836" s="5">
        <f>IF(C836="","",IF(계산!CI836="","날짜 확인",IF(계산!CJ836="","금액 확인","")))</f>
        <v/>
      </c>
    </row>
    <row r="837">
      <c r="A837" s="3" t="n"/>
      <c r="C837" s="4" t="n"/>
      <c r="E837" s="5">
        <f>IF(C837="","",IF(계산!CI837="","날짜 확인",IF(계산!CJ837="","금액 확인","")))</f>
        <v/>
      </c>
    </row>
    <row r="838">
      <c r="A838" s="3" t="n"/>
      <c r="C838" s="4" t="n"/>
      <c r="E838" s="5">
        <f>IF(C838="","",IF(계산!CI838="","날짜 확인",IF(계산!CJ838="","금액 확인","")))</f>
        <v/>
      </c>
    </row>
    <row r="839">
      <c r="A839" s="3" t="n"/>
      <c r="C839" s="4" t="n"/>
      <c r="E839" s="5">
        <f>IF(C839="","",IF(계산!CI839="","날짜 확인",IF(계산!CJ839="","금액 확인","")))</f>
        <v/>
      </c>
    </row>
    <row r="840">
      <c r="A840" s="3" t="n"/>
      <c r="C840" s="4" t="n"/>
      <c r="E840" s="5">
        <f>IF(C840="","",IF(계산!CI840="","날짜 확인",IF(계산!CJ840="","금액 확인","")))</f>
        <v/>
      </c>
    </row>
    <row r="841">
      <c r="A841" s="3" t="n"/>
      <c r="C841" s="4" t="n"/>
      <c r="E841" s="5">
        <f>IF(C841="","",IF(계산!CI841="","날짜 확인",IF(계산!CJ841="","금액 확인","")))</f>
        <v/>
      </c>
    </row>
    <row r="842">
      <c r="A842" s="3" t="n"/>
      <c r="C842" s="4" t="n"/>
      <c r="E842" s="5">
        <f>IF(C842="","",IF(계산!CI842="","날짜 확인",IF(계산!CJ842="","금액 확인","")))</f>
        <v/>
      </c>
    </row>
    <row r="843">
      <c r="A843" s="3" t="n"/>
      <c r="C843" s="4" t="n"/>
      <c r="E843" s="5">
        <f>IF(C843="","",IF(계산!CI843="","날짜 확인",IF(계산!CJ843="","금액 확인","")))</f>
        <v/>
      </c>
    </row>
    <row r="844">
      <c r="A844" s="3" t="n"/>
      <c r="C844" s="4" t="n"/>
      <c r="E844" s="5">
        <f>IF(C844="","",IF(계산!CI844="","날짜 확인",IF(계산!CJ844="","금액 확인","")))</f>
        <v/>
      </c>
    </row>
    <row r="845">
      <c r="A845" s="3" t="n"/>
      <c r="C845" s="4" t="n"/>
      <c r="E845" s="5">
        <f>IF(C845="","",IF(계산!CI845="","날짜 확인",IF(계산!CJ845="","금액 확인","")))</f>
        <v/>
      </c>
    </row>
    <row r="846">
      <c r="A846" s="3" t="n"/>
      <c r="C846" s="4" t="n"/>
      <c r="E846" s="5">
        <f>IF(C846="","",IF(계산!CI846="","날짜 확인",IF(계산!CJ846="","금액 확인","")))</f>
        <v/>
      </c>
    </row>
    <row r="847">
      <c r="A847" s="3" t="n"/>
      <c r="C847" s="4" t="n"/>
      <c r="E847" s="5">
        <f>IF(C847="","",IF(계산!CI847="","날짜 확인",IF(계산!CJ847="","금액 확인","")))</f>
        <v/>
      </c>
    </row>
    <row r="848">
      <c r="A848" s="3" t="n"/>
      <c r="C848" s="4" t="n"/>
      <c r="E848" s="5">
        <f>IF(C848="","",IF(계산!CI848="","날짜 확인",IF(계산!CJ848="","금액 확인","")))</f>
        <v/>
      </c>
    </row>
    <row r="849">
      <c r="A849" s="3" t="n"/>
      <c r="C849" s="4" t="n"/>
      <c r="E849" s="5">
        <f>IF(C849="","",IF(계산!CI849="","날짜 확인",IF(계산!CJ849="","금액 확인","")))</f>
        <v/>
      </c>
    </row>
    <row r="850">
      <c r="A850" s="3" t="n"/>
      <c r="C850" s="4" t="n"/>
      <c r="E850" s="5">
        <f>IF(C850="","",IF(계산!CI850="","날짜 확인",IF(계산!CJ850="","금액 확인","")))</f>
        <v/>
      </c>
    </row>
    <row r="851">
      <c r="A851" s="3" t="n"/>
      <c r="C851" s="4" t="n"/>
      <c r="E851" s="5">
        <f>IF(C851="","",IF(계산!CI851="","날짜 확인",IF(계산!CJ851="","금액 확인","")))</f>
        <v/>
      </c>
    </row>
    <row r="852">
      <c r="A852" s="3" t="n"/>
      <c r="C852" s="4" t="n"/>
      <c r="E852" s="5">
        <f>IF(C852="","",IF(계산!CI852="","날짜 확인",IF(계산!CJ852="","금액 확인","")))</f>
        <v/>
      </c>
    </row>
    <row r="853">
      <c r="A853" s="3" t="n"/>
      <c r="C853" s="4" t="n"/>
      <c r="E853" s="5">
        <f>IF(C853="","",IF(계산!CI853="","날짜 확인",IF(계산!CJ853="","금액 확인","")))</f>
        <v/>
      </c>
    </row>
    <row r="854">
      <c r="A854" s="3" t="n"/>
      <c r="C854" s="4" t="n"/>
      <c r="E854" s="5">
        <f>IF(C854="","",IF(계산!CI854="","날짜 확인",IF(계산!CJ854="","금액 확인","")))</f>
        <v/>
      </c>
    </row>
    <row r="855">
      <c r="A855" s="3" t="n"/>
      <c r="C855" s="4" t="n"/>
      <c r="E855" s="5">
        <f>IF(C855="","",IF(계산!CI855="","날짜 확인",IF(계산!CJ855="","금액 확인","")))</f>
        <v/>
      </c>
    </row>
    <row r="856">
      <c r="A856" s="3" t="n"/>
      <c r="C856" s="4" t="n"/>
      <c r="E856" s="5">
        <f>IF(C856="","",IF(계산!CI856="","날짜 확인",IF(계산!CJ856="","금액 확인","")))</f>
        <v/>
      </c>
    </row>
    <row r="857">
      <c r="A857" s="3" t="n"/>
      <c r="C857" s="4" t="n"/>
      <c r="E857" s="5">
        <f>IF(C857="","",IF(계산!CI857="","날짜 확인",IF(계산!CJ857="","금액 확인","")))</f>
        <v/>
      </c>
    </row>
    <row r="858">
      <c r="A858" s="3" t="n"/>
      <c r="C858" s="4" t="n"/>
      <c r="E858" s="5">
        <f>IF(C858="","",IF(계산!CI858="","날짜 확인",IF(계산!CJ858="","금액 확인","")))</f>
        <v/>
      </c>
    </row>
    <row r="859">
      <c r="A859" s="3" t="n"/>
      <c r="C859" s="4" t="n"/>
      <c r="E859" s="5">
        <f>IF(C859="","",IF(계산!CI859="","날짜 확인",IF(계산!CJ859="","금액 확인","")))</f>
        <v/>
      </c>
    </row>
    <row r="860">
      <c r="A860" s="3" t="n"/>
      <c r="C860" s="4" t="n"/>
      <c r="E860" s="5">
        <f>IF(C860="","",IF(계산!CI860="","날짜 확인",IF(계산!CJ860="","금액 확인","")))</f>
        <v/>
      </c>
    </row>
    <row r="861">
      <c r="A861" s="3" t="n"/>
      <c r="C861" s="4" t="n"/>
      <c r="E861" s="5">
        <f>IF(C861="","",IF(계산!CI861="","날짜 확인",IF(계산!CJ861="","금액 확인","")))</f>
        <v/>
      </c>
    </row>
    <row r="862">
      <c r="A862" s="3" t="n"/>
      <c r="C862" s="4" t="n"/>
      <c r="E862" s="5">
        <f>IF(C862="","",IF(계산!CI862="","날짜 확인",IF(계산!CJ862="","금액 확인","")))</f>
        <v/>
      </c>
    </row>
    <row r="863">
      <c r="A863" s="3" t="n"/>
      <c r="C863" s="4" t="n"/>
      <c r="E863" s="5">
        <f>IF(C863="","",IF(계산!CI863="","날짜 확인",IF(계산!CJ863="","금액 확인","")))</f>
        <v/>
      </c>
    </row>
    <row r="864">
      <c r="A864" s="3" t="n"/>
      <c r="C864" s="4" t="n"/>
      <c r="E864" s="5">
        <f>IF(C864="","",IF(계산!CI864="","날짜 확인",IF(계산!CJ864="","금액 확인","")))</f>
        <v/>
      </c>
    </row>
    <row r="865">
      <c r="A865" s="3" t="n"/>
      <c r="C865" s="4" t="n"/>
      <c r="E865" s="5">
        <f>IF(C865="","",IF(계산!CI865="","날짜 확인",IF(계산!CJ865="","금액 확인","")))</f>
        <v/>
      </c>
    </row>
    <row r="866">
      <c r="A866" s="3" t="n"/>
      <c r="C866" s="4" t="n"/>
      <c r="E866" s="5">
        <f>IF(C866="","",IF(계산!CI866="","날짜 확인",IF(계산!CJ866="","금액 확인","")))</f>
        <v/>
      </c>
    </row>
    <row r="867">
      <c r="A867" s="3" t="n"/>
      <c r="C867" s="4" t="n"/>
      <c r="E867" s="5">
        <f>IF(C867="","",IF(계산!CI867="","날짜 확인",IF(계산!CJ867="","금액 확인","")))</f>
        <v/>
      </c>
    </row>
    <row r="868">
      <c r="A868" s="3" t="n"/>
      <c r="C868" s="4" t="n"/>
      <c r="E868" s="5">
        <f>IF(C868="","",IF(계산!CI868="","날짜 확인",IF(계산!CJ868="","금액 확인","")))</f>
        <v/>
      </c>
    </row>
    <row r="869">
      <c r="A869" s="3" t="n"/>
      <c r="C869" s="4" t="n"/>
      <c r="E869" s="5">
        <f>IF(C869="","",IF(계산!CI869="","날짜 확인",IF(계산!CJ869="","금액 확인","")))</f>
        <v/>
      </c>
    </row>
    <row r="870">
      <c r="A870" s="3" t="n"/>
      <c r="C870" s="4" t="n"/>
      <c r="E870" s="5">
        <f>IF(C870="","",IF(계산!CI870="","날짜 확인",IF(계산!CJ870="","금액 확인","")))</f>
        <v/>
      </c>
    </row>
    <row r="871">
      <c r="A871" s="3" t="n"/>
      <c r="C871" s="4" t="n"/>
      <c r="E871" s="5">
        <f>IF(C871="","",IF(계산!CI871="","날짜 확인",IF(계산!CJ871="","금액 확인","")))</f>
        <v/>
      </c>
    </row>
    <row r="872">
      <c r="A872" s="3" t="n"/>
      <c r="C872" s="4" t="n"/>
      <c r="E872" s="5">
        <f>IF(C872="","",IF(계산!CI872="","날짜 확인",IF(계산!CJ872="","금액 확인","")))</f>
        <v/>
      </c>
    </row>
    <row r="873">
      <c r="A873" s="3" t="n"/>
      <c r="C873" s="4" t="n"/>
      <c r="E873" s="5">
        <f>IF(C873="","",IF(계산!CI873="","날짜 확인",IF(계산!CJ873="","금액 확인","")))</f>
        <v/>
      </c>
    </row>
    <row r="874">
      <c r="A874" s="3" t="n"/>
      <c r="C874" s="4" t="n"/>
      <c r="E874" s="5">
        <f>IF(C874="","",IF(계산!CI874="","날짜 확인",IF(계산!CJ874="","금액 확인","")))</f>
        <v/>
      </c>
    </row>
    <row r="875">
      <c r="A875" s="3" t="n"/>
      <c r="C875" s="4" t="n"/>
      <c r="E875" s="5">
        <f>IF(C875="","",IF(계산!CI875="","날짜 확인",IF(계산!CJ875="","금액 확인","")))</f>
        <v/>
      </c>
    </row>
    <row r="876">
      <c r="A876" s="3" t="n"/>
      <c r="C876" s="4" t="n"/>
      <c r="E876" s="5">
        <f>IF(C876="","",IF(계산!CI876="","날짜 확인",IF(계산!CJ876="","금액 확인","")))</f>
        <v/>
      </c>
    </row>
    <row r="877">
      <c r="A877" s="3" t="n"/>
      <c r="C877" s="4" t="n"/>
      <c r="E877" s="5">
        <f>IF(C877="","",IF(계산!CI877="","날짜 확인",IF(계산!CJ877="","금액 확인","")))</f>
        <v/>
      </c>
    </row>
    <row r="878">
      <c r="A878" s="3" t="n"/>
      <c r="C878" s="4" t="n"/>
      <c r="E878" s="5">
        <f>IF(C878="","",IF(계산!CI878="","날짜 확인",IF(계산!CJ878="","금액 확인","")))</f>
        <v/>
      </c>
    </row>
    <row r="879">
      <c r="A879" s="3" t="n"/>
      <c r="C879" s="4" t="n"/>
      <c r="E879" s="5">
        <f>IF(C879="","",IF(계산!CI879="","날짜 확인",IF(계산!CJ879="","금액 확인","")))</f>
        <v/>
      </c>
    </row>
    <row r="880">
      <c r="A880" s="3" t="n"/>
      <c r="C880" s="4" t="n"/>
      <c r="E880" s="5">
        <f>IF(C880="","",IF(계산!CI880="","날짜 확인",IF(계산!CJ880="","금액 확인","")))</f>
        <v/>
      </c>
    </row>
    <row r="881">
      <c r="A881" s="3" t="n"/>
      <c r="C881" s="4" t="n"/>
      <c r="E881" s="5">
        <f>IF(C881="","",IF(계산!CI881="","날짜 확인",IF(계산!CJ881="","금액 확인","")))</f>
        <v/>
      </c>
    </row>
    <row r="882">
      <c r="A882" s="3" t="n"/>
      <c r="C882" s="4" t="n"/>
      <c r="E882" s="5">
        <f>IF(C882="","",IF(계산!CI882="","날짜 확인",IF(계산!CJ882="","금액 확인","")))</f>
        <v/>
      </c>
    </row>
    <row r="883">
      <c r="A883" s="3" t="n"/>
      <c r="C883" s="4" t="n"/>
      <c r="E883" s="5">
        <f>IF(C883="","",IF(계산!CI883="","날짜 확인",IF(계산!CJ883="","금액 확인","")))</f>
        <v/>
      </c>
    </row>
    <row r="884">
      <c r="A884" s="3" t="n"/>
      <c r="C884" s="4" t="n"/>
      <c r="E884" s="5">
        <f>IF(C884="","",IF(계산!CI884="","날짜 확인",IF(계산!CJ884="","금액 확인","")))</f>
        <v/>
      </c>
    </row>
    <row r="885">
      <c r="A885" s="3" t="n"/>
      <c r="C885" s="4" t="n"/>
      <c r="E885" s="5">
        <f>IF(C885="","",IF(계산!CI885="","날짜 확인",IF(계산!CJ885="","금액 확인","")))</f>
        <v/>
      </c>
    </row>
    <row r="886">
      <c r="A886" s="3" t="n"/>
      <c r="C886" s="4" t="n"/>
      <c r="E886" s="5">
        <f>IF(C886="","",IF(계산!CI886="","날짜 확인",IF(계산!CJ886="","금액 확인","")))</f>
        <v/>
      </c>
    </row>
    <row r="887">
      <c r="A887" s="3" t="n"/>
      <c r="C887" s="4" t="n"/>
      <c r="E887" s="5">
        <f>IF(C887="","",IF(계산!CI887="","날짜 확인",IF(계산!CJ887="","금액 확인","")))</f>
        <v/>
      </c>
    </row>
    <row r="888">
      <c r="A888" s="3" t="n"/>
      <c r="C888" s="4" t="n"/>
      <c r="E888" s="5">
        <f>IF(C888="","",IF(계산!CI888="","날짜 확인",IF(계산!CJ888="","금액 확인","")))</f>
        <v/>
      </c>
    </row>
    <row r="889">
      <c r="A889" s="3" t="n"/>
      <c r="C889" s="4" t="n"/>
      <c r="E889" s="5">
        <f>IF(C889="","",IF(계산!CI889="","날짜 확인",IF(계산!CJ889="","금액 확인","")))</f>
        <v/>
      </c>
    </row>
    <row r="890">
      <c r="A890" s="3" t="n"/>
      <c r="C890" s="4" t="n"/>
      <c r="E890" s="5">
        <f>IF(C890="","",IF(계산!CI890="","날짜 확인",IF(계산!CJ890="","금액 확인","")))</f>
        <v/>
      </c>
    </row>
    <row r="891">
      <c r="A891" s="3" t="n"/>
      <c r="C891" s="4" t="n"/>
      <c r="E891" s="5">
        <f>IF(C891="","",IF(계산!CI891="","날짜 확인",IF(계산!CJ891="","금액 확인","")))</f>
        <v/>
      </c>
    </row>
    <row r="892">
      <c r="A892" s="3" t="n"/>
      <c r="C892" s="4" t="n"/>
      <c r="E892" s="5">
        <f>IF(C892="","",IF(계산!CI892="","날짜 확인",IF(계산!CJ892="","금액 확인","")))</f>
        <v/>
      </c>
    </row>
    <row r="893">
      <c r="A893" s="3" t="n"/>
      <c r="C893" s="4" t="n"/>
      <c r="E893" s="5">
        <f>IF(C893="","",IF(계산!CI893="","날짜 확인",IF(계산!CJ893="","금액 확인","")))</f>
        <v/>
      </c>
    </row>
    <row r="894">
      <c r="A894" s="3" t="n"/>
      <c r="C894" s="4" t="n"/>
      <c r="E894" s="5">
        <f>IF(C894="","",IF(계산!CI894="","날짜 확인",IF(계산!CJ894="","금액 확인","")))</f>
        <v/>
      </c>
    </row>
    <row r="895">
      <c r="A895" s="3" t="n"/>
      <c r="C895" s="4" t="n"/>
      <c r="E895" s="5">
        <f>IF(C895="","",IF(계산!CI895="","날짜 확인",IF(계산!CJ895="","금액 확인","")))</f>
        <v/>
      </c>
    </row>
    <row r="896">
      <c r="A896" s="3" t="n"/>
      <c r="C896" s="4" t="n"/>
      <c r="E896" s="5">
        <f>IF(C896="","",IF(계산!CI896="","날짜 확인",IF(계산!CJ896="","금액 확인","")))</f>
        <v/>
      </c>
    </row>
    <row r="897">
      <c r="A897" s="3" t="n"/>
      <c r="C897" s="4" t="n"/>
      <c r="E897" s="5">
        <f>IF(C897="","",IF(계산!CI897="","날짜 확인",IF(계산!CJ897="","금액 확인","")))</f>
        <v/>
      </c>
    </row>
    <row r="898">
      <c r="A898" s="3" t="n"/>
      <c r="C898" s="4" t="n"/>
      <c r="E898" s="5">
        <f>IF(C898="","",IF(계산!CI898="","날짜 확인",IF(계산!CJ898="","금액 확인","")))</f>
        <v/>
      </c>
    </row>
    <row r="899">
      <c r="A899" s="3" t="n"/>
      <c r="C899" s="4" t="n"/>
      <c r="E899" s="5">
        <f>IF(C899="","",IF(계산!CI899="","날짜 확인",IF(계산!CJ899="","금액 확인","")))</f>
        <v/>
      </c>
    </row>
    <row r="900">
      <c r="A900" s="3" t="n"/>
      <c r="C900" s="4" t="n"/>
      <c r="E900" s="5">
        <f>IF(C900="","",IF(계산!CI900="","날짜 확인",IF(계산!CJ900="","금액 확인","")))</f>
        <v/>
      </c>
    </row>
    <row r="901">
      <c r="A901" s="3" t="n"/>
      <c r="C901" s="4" t="n"/>
      <c r="E901" s="5">
        <f>IF(C901="","",IF(계산!CI901="","날짜 확인",IF(계산!CJ901="","금액 확인","")))</f>
        <v/>
      </c>
    </row>
    <row r="902">
      <c r="A902" s="3" t="n"/>
      <c r="C902" s="4" t="n"/>
      <c r="E902" s="5">
        <f>IF(C902="","",IF(계산!CI902="","날짜 확인",IF(계산!CJ902="","금액 확인","")))</f>
        <v/>
      </c>
    </row>
    <row r="903">
      <c r="A903" s="3" t="n"/>
      <c r="C903" s="4" t="n"/>
      <c r="E903" s="5">
        <f>IF(C903="","",IF(계산!CI903="","날짜 확인",IF(계산!CJ903="","금액 확인","")))</f>
        <v/>
      </c>
    </row>
    <row r="904">
      <c r="A904" s="3" t="n"/>
      <c r="C904" s="4" t="n"/>
      <c r="E904" s="5">
        <f>IF(C904="","",IF(계산!CI904="","날짜 확인",IF(계산!CJ904="","금액 확인","")))</f>
        <v/>
      </c>
    </row>
    <row r="905">
      <c r="A905" s="3" t="n"/>
      <c r="C905" s="4" t="n"/>
      <c r="E905" s="5">
        <f>IF(C905="","",IF(계산!CI905="","날짜 확인",IF(계산!CJ905="","금액 확인","")))</f>
        <v/>
      </c>
    </row>
    <row r="906">
      <c r="A906" s="3" t="n"/>
      <c r="C906" s="4" t="n"/>
      <c r="E906" s="5">
        <f>IF(C906="","",IF(계산!CI906="","날짜 확인",IF(계산!CJ906="","금액 확인","")))</f>
        <v/>
      </c>
    </row>
    <row r="907">
      <c r="A907" s="3" t="n"/>
      <c r="C907" s="4" t="n"/>
      <c r="E907" s="5">
        <f>IF(C907="","",IF(계산!CI907="","날짜 확인",IF(계산!CJ907="","금액 확인","")))</f>
        <v/>
      </c>
    </row>
    <row r="908">
      <c r="A908" s="3" t="n"/>
      <c r="C908" s="4" t="n"/>
      <c r="E908" s="5">
        <f>IF(C908="","",IF(계산!CI908="","날짜 확인",IF(계산!CJ908="","금액 확인","")))</f>
        <v/>
      </c>
    </row>
    <row r="909">
      <c r="A909" s="3" t="n"/>
      <c r="C909" s="4" t="n"/>
      <c r="E909" s="5">
        <f>IF(C909="","",IF(계산!CI909="","날짜 확인",IF(계산!CJ909="","금액 확인","")))</f>
        <v/>
      </c>
    </row>
    <row r="910">
      <c r="A910" s="3" t="n"/>
      <c r="C910" s="4" t="n"/>
      <c r="E910" s="5">
        <f>IF(C910="","",IF(계산!CI910="","날짜 확인",IF(계산!CJ910="","금액 확인","")))</f>
        <v/>
      </c>
    </row>
    <row r="911">
      <c r="A911" s="3" t="n"/>
      <c r="C911" s="4" t="n"/>
      <c r="E911" s="5">
        <f>IF(C911="","",IF(계산!CI911="","날짜 확인",IF(계산!CJ911="","금액 확인","")))</f>
        <v/>
      </c>
    </row>
    <row r="912">
      <c r="A912" s="3" t="n"/>
      <c r="C912" s="4" t="n"/>
      <c r="E912" s="5">
        <f>IF(C912="","",IF(계산!CI912="","날짜 확인",IF(계산!CJ912="","금액 확인","")))</f>
        <v/>
      </c>
    </row>
    <row r="913">
      <c r="A913" s="3" t="n"/>
      <c r="C913" s="4" t="n"/>
      <c r="E913" s="5">
        <f>IF(C913="","",IF(계산!CI913="","날짜 확인",IF(계산!CJ913="","금액 확인","")))</f>
        <v/>
      </c>
    </row>
    <row r="914">
      <c r="A914" s="3" t="n"/>
      <c r="C914" s="4" t="n"/>
      <c r="E914" s="5">
        <f>IF(C914="","",IF(계산!CI914="","날짜 확인",IF(계산!CJ914="","금액 확인","")))</f>
        <v/>
      </c>
    </row>
    <row r="915">
      <c r="A915" s="3" t="n"/>
      <c r="C915" s="4" t="n"/>
      <c r="E915" s="5">
        <f>IF(C915="","",IF(계산!CI915="","날짜 확인",IF(계산!CJ915="","금액 확인","")))</f>
        <v/>
      </c>
    </row>
    <row r="916">
      <c r="A916" s="3" t="n"/>
      <c r="C916" s="4" t="n"/>
      <c r="E916" s="5">
        <f>IF(C916="","",IF(계산!CI916="","날짜 확인",IF(계산!CJ916="","금액 확인","")))</f>
        <v/>
      </c>
    </row>
    <row r="917">
      <c r="A917" s="3" t="n"/>
      <c r="C917" s="4" t="n"/>
      <c r="E917" s="5">
        <f>IF(C917="","",IF(계산!CI917="","날짜 확인",IF(계산!CJ917="","금액 확인","")))</f>
        <v/>
      </c>
    </row>
    <row r="918">
      <c r="A918" s="3" t="n"/>
      <c r="C918" s="4" t="n"/>
      <c r="E918" s="5">
        <f>IF(C918="","",IF(계산!CI918="","날짜 확인",IF(계산!CJ918="","금액 확인","")))</f>
        <v/>
      </c>
    </row>
    <row r="919">
      <c r="A919" s="3" t="n"/>
      <c r="C919" s="4" t="n"/>
      <c r="E919" s="5">
        <f>IF(C919="","",IF(계산!CI919="","날짜 확인",IF(계산!CJ919="","금액 확인","")))</f>
        <v/>
      </c>
    </row>
    <row r="920">
      <c r="A920" s="3" t="n"/>
      <c r="C920" s="4" t="n"/>
      <c r="E920" s="5">
        <f>IF(C920="","",IF(계산!CI920="","날짜 확인",IF(계산!CJ920="","금액 확인","")))</f>
        <v/>
      </c>
    </row>
    <row r="921">
      <c r="A921" s="3" t="n"/>
      <c r="C921" s="4" t="n"/>
      <c r="E921" s="5">
        <f>IF(C921="","",IF(계산!CI921="","날짜 확인",IF(계산!CJ921="","금액 확인","")))</f>
        <v/>
      </c>
    </row>
    <row r="922">
      <c r="A922" s="3" t="n"/>
      <c r="C922" s="4" t="n"/>
      <c r="E922" s="5">
        <f>IF(C922="","",IF(계산!CI922="","날짜 확인",IF(계산!CJ922="","금액 확인","")))</f>
        <v/>
      </c>
    </row>
    <row r="923">
      <c r="A923" s="3" t="n"/>
      <c r="C923" s="4" t="n"/>
      <c r="E923" s="5">
        <f>IF(C923="","",IF(계산!CI923="","날짜 확인",IF(계산!CJ923="","금액 확인","")))</f>
        <v/>
      </c>
    </row>
    <row r="924">
      <c r="A924" s="3" t="n"/>
      <c r="C924" s="4" t="n"/>
      <c r="E924" s="5">
        <f>IF(C924="","",IF(계산!CI924="","날짜 확인",IF(계산!CJ924="","금액 확인","")))</f>
        <v/>
      </c>
    </row>
    <row r="925">
      <c r="A925" s="3" t="n"/>
      <c r="C925" s="4" t="n"/>
      <c r="E925" s="5">
        <f>IF(C925="","",IF(계산!CI925="","날짜 확인",IF(계산!CJ925="","금액 확인","")))</f>
        <v/>
      </c>
    </row>
    <row r="926">
      <c r="A926" s="3" t="n"/>
      <c r="C926" s="4" t="n"/>
      <c r="E926" s="5">
        <f>IF(C926="","",IF(계산!CI926="","날짜 확인",IF(계산!CJ926="","금액 확인","")))</f>
        <v/>
      </c>
    </row>
    <row r="927">
      <c r="A927" s="3" t="n"/>
      <c r="C927" s="4" t="n"/>
      <c r="E927" s="5">
        <f>IF(C927="","",IF(계산!CI927="","날짜 확인",IF(계산!CJ927="","금액 확인","")))</f>
        <v/>
      </c>
    </row>
    <row r="928">
      <c r="A928" s="3" t="n"/>
      <c r="C928" s="4" t="n"/>
      <c r="E928" s="5">
        <f>IF(C928="","",IF(계산!CI928="","날짜 확인",IF(계산!CJ928="","금액 확인","")))</f>
        <v/>
      </c>
    </row>
    <row r="929">
      <c r="A929" s="3" t="n"/>
      <c r="C929" s="4" t="n"/>
      <c r="E929" s="5">
        <f>IF(C929="","",IF(계산!CI929="","날짜 확인",IF(계산!CJ929="","금액 확인","")))</f>
        <v/>
      </c>
    </row>
    <row r="930">
      <c r="A930" s="3" t="n"/>
      <c r="C930" s="4" t="n"/>
      <c r="E930" s="5">
        <f>IF(C930="","",IF(계산!CI930="","날짜 확인",IF(계산!CJ930="","금액 확인","")))</f>
        <v/>
      </c>
    </row>
    <row r="931">
      <c r="A931" s="3" t="n"/>
      <c r="C931" s="4" t="n"/>
      <c r="E931" s="5">
        <f>IF(C931="","",IF(계산!CI931="","날짜 확인",IF(계산!CJ931="","금액 확인","")))</f>
        <v/>
      </c>
    </row>
    <row r="932">
      <c r="A932" s="3" t="n"/>
      <c r="C932" s="4" t="n"/>
      <c r="E932" s="5">
        <f>IF(C932="","",IF(계산!CI932="","날짜 확인",IF(계산!CJ932="","금액 확인","")))</f>
        <v/>
      </c>
    </row>
    <row r="933">
      <c r="A933" s="3" t="n"/>
      <c r="C933" s="4" t="n"/>
      <c r="E933" s="5">
        <f>IF(C933="","",IF(계산!CI933="","날짜 확인",IF(계산!CJ933="","금액 확인","")))</f>
        <v/>
      </c>
    </row>
    <row r="934">
      <c r="A934" s="3" t="n"/>
      <c r="C934" s="4" t="n"/>
      <c r="E934" s="5">
        <f>IF(C934="","",IF(계산!CI934="","날짜 확인",IF(계산!CJ934="","금액 확인","")))</f>
        <v/>
      </c>
    </row>
    <row r="935">
      <c r="A935" s="3" t="n"/>
      <c r="C935" s="4" t="n"/>
      <c r="E935" s="5">
        <f>IF(C935="","",IF(계산!CI935="","날짜 확인",IF(계산!CJ935="","금액 확인","")))</f>
        <v/>
      </c>
    </row>
    <row r="936">
      <c r="A936" s="3" t="n"/>
      <c r="C936" s="4" t="n"/>
      <c r="E936" s="5">
        <f>IF(C936="","",IF(계산!CI936="","날짜 확인",IF(계산!CJ936="","금액 확인","")))</f>
        <v/>
      </c>
    </row>
    <row r="937">
      <c r="A937" s="3" t="n"/>
      <c r="C937" s="4" t="n"/>
      <c r="E937" s="5">
        <f>IF(C937="","",IF(계산!CI937="","날짜 확인",IF(계산!CJ937="","금액 확인","")))</f>
        <v/>
      </c>
    </row>
    <row r="938">
      <c r="A938" s="3" t="n"/>
      <c r="C938" s="4" t="n"/>
      <c r="E938" s="5">
        <f>IF(C938="","",IF(계산!CI938="","날짜 확인",IF(계산!CJ938="","금액 확인","")))</f>
        <v/>
      </c>
    </row>
    <row r="939">
      <c r="A939" s="3" t="n"/>
      <c r="C939" s="4" t="n"/>
      <c r="E939" s="5">
        <f>IF(C939="","",IF(계산!CI939="","날짜 확인",IF(계산!CJ939="","금액 확인","")))</f>
        <v/>
      </c>
    </row>
    <row r="940">
      <c r="A940" s="3" t="n"/>
      <c r="C940" s="4" t="n"/>
      <c r="E940" s="5">
        <f>IF(C940="","",IF(계산!CI940="","날짜 확인",IF(계산!CJ940="","금액 확인","")))</f>
        <v/>
      </c>
    </row>
    <row r="941">
      <c r="A941" s="3" t="n"/>
      <c r="C941" s="4" t="n"/>
      <c r="E941" s="5">
        <f>IF(C941="","",IF(계산!CI941="","날짜 확인",IF(계산!CJ941="","금액 확인","")))</f>
        <v/>
      </c>
    </row>
    <row r="942">
      <c r="A942" s="3" t="n"/>
      <c r="C942" s="4" t="n"/>
      <c r="E942" s="5">
        <f>IF(C942="","",IF(계산!CI942="","날짜 확인",IF(계산!CJ942="","금액 확인","")))</f>
        <v/>
      </c>
    </row>
    <row r="943">
      <c r="A943" s="3" t="n"/>
      <c r="C943" s="4" t="n"/>
      <c r="E943" s="5">
        <f>IF(C943="","",IF(계산!CI943="","날짜 확인",IF(계산!CJ943="","금액 확인","")))</f>
        <v/>
      </c>
    </row>
    <row r="944">
      <c r="A944" s="3" t="n"/>
      <c r="C944" s="4" t="n"/>
      <c r="E944" s="5">
        <f>IF(C944="","",IF(계산!CI944="","날짜 확인",IF(계산!CJ944="","금액 확인","")))</f>
        <v/>
      </c>
    </row>
    <row r="945">
      <c r="A945" s="3" t="n"/>
      <c r="C945" s="4" t="n"/>
      <c r="E945" s="5">
        <f>IF(C945="","",IF(계산!CI945="","날짜 확인",IF(계산!CJ945="","금액 확인","")))</f>
        <v/>
      </c>
    </row>
    <row r="946">
      <c r="A946" s="3" t="n"/>
      <c r="C946" s="4" t="n"/>
      <c r="E946" s="5">
        <f>IF(C946="","",IF(계산!CI946="","날짜 확인",IF(계산!CJ946="","금액 확인","")))</f>
        <v/>
      </c>
    </row>
    <row r="947">
      <c r="A947" s="3" t="n"/>
      <c r="C947" s="4" t="n"/>
      <c r="E947" s="5">
        <f>IF(C947="","",IF(계산!CI947="","날짜 확인",IF(계산!CJ947="","금액 확인","")))</f>
        <v/>
      </c>
    </row>
    <row r="948">
      <c r="A948" s="3" t="n"/>
      <c r="C948" s="4" t="n"/>
      <c r="E948" s="5">
        <f>IF(C948="","",IF(계산!CI948="","날짜 확인",IF(계산!CJ948="","금액 확인","")))</f>
        <v/>
      </c>
    </row>
    <row r="949">
      <c r="A949" s="3" t="n"/>
      <c r="C949" s="4" t="n"/>
      <c r="E949" s="5">
        <f>IF(C949="","",IF(계산!CI949="","날짜 확인",IF(계산!CJ949="","금액 확인","")))</f>
        <v/>
      </c>
    </row>
    <row r="950">
      <c r="A950" s="3" t="n"/>
      <c r="C950" s="4" t="n"/>
      <c r="E950" s="5">
        <f>IF(C950="","",IF(계산!CI950="","날짜 확인",IF(계산!CJ950="","금액 확인","")))</f>
        <v/>
      </c>
    </row>
    <row r="951">
      <c r="A951" s="3" t="n"/>
      <c r="C951" s="4" t="n"/>
      <c r="E951" s="5">
        <f>IF(C951="","",IF(계산!CI951="","날짜 확인",IF(계산!CJ951="","금액 확인","")))</f>
        <v/>
      </c>
    </row>
    <row r="952">
      <c r="A952" s="3" t="n"/>
      <c r="C952" s="4" t="n"/>
      <c r="E952" s="5">
        <f>IF(C952="","",IF(계산!CI952="","날짜 확인",IF(계산!CJ952="","금액 확인","")))</f>
        <v/>
      </c>
    </row>
    <row r="953">
      <c r="A953" s="3" t="n"/>
      <c r="C953" s="4" t="n"/>
      <c r="E953" s="5">
        <f>IF(C953="","",IF(계산!CI953="","날짜 확인",IF(계산!CJ953="","금액 확인","")))</f>
        <v/>
      </c>
    </row>
    <row r="954">
      <c r="A954" s="3" t="n"/>
      <c r="C954" s="4" t="n"/>
      <c r="E954" s="5">
        <f>IF(C954="","",IF(계산!CI954="","날짜 확인",IF(계산!CJ954="","금액 확인","")))</f>
        <v/>
      </c>
    </row>
    <row r="955">
      <c r="A955" s="3" t="n"/>
      <c r="C955" s="4" t="n"/>
      <c r="E955" s="5">
        <f>IF(C955="","",IF(계산!CI955="","날짜 확인",IF(계산!CJ955="","금액 확인","")))</f>
        <v/>
      </c>
    </row>
    <row r="956">
      <c r="A956" s="3" t="n"/>
      <c r="C956" s="4" t="n"/>
      <c r="E956" s="5">
        <f>IF(C956="","",IF(계산!CI956="","날짜 확인",IF(계산!CJ956="","금액 확인","")))</f>
        <v/>
      </c>
    </row>
    <row r="957">
      <c r="A957" s="3" t="n"/>
      <c r="C957" s="4" t="n"/>
      <c r="E957" s="5">
        <f>IF(C957="","",IF(계산!CI957="","날짜 확인",IF(계산!CJ957="","금액 확인","")))</f>
        <v/>
      </c>
    </row>
    <row r="958">
      <c r="A958" s="3" t="n"/>
      <c r="C958" s="4" t="n"/>
      <c r="E958" s="5">
        <f>IF(C958="","",IF(계산!CI958="","날짜 확인",IF(계산!CJ958="","금액 확인","")))</f>
        <v/>
      </c>
    </row>
    <row r="959">
      <c r="A959" s="3" t="n"/>
      <c r="C959" s="4" t="n"/>
      <c r="E959" s="5">
        <f>IF(C959="","",IF(계산!CI959="","날짜 확인",IF(계산!CJ959="","금액 확인","")))</f>
        <v/>
      </c>
    </row>
    <row r="960">
      <c r="A960" s="3" t="n"/>
      <c r="C960" s="4" t="n"/>
      <c r="E960" s="5">
        <f>IF(C960="","",IF(계산!CI960="","날짜 확인",IF(계산!CJ960="","금액 확인","")))</f>
        <v/>
      </c>
    </row>
    <row r="961">
      <c r="A961" s="3" t="n"/>
      <c r="C961" s="4" t="n"/>
      <c r="E961" s="5">
        <f>IF(C961="","",IF(계산!CI961="","날짜 확인",IF(계산!CJ961="","금액 확인","")))</f>
        <v/>
      </c>
    </row>
    <row r="962">
      <c r="A962" s="3" t="n"/>
      <c r="C962" s="4" t="n"/>
      <c r="E962" s="5">
        <f>IF(C962="","",IF(계산!CI962="","날짜 확인",IF(계산!CJ962="","금액 확인","")))</f>
        <v/>
      </c>
    </row>
    <row r="963">
      <c r="A963" s="3" t="n"/>
      <c r="C963" s="4" t="n"/>
      <c r="E963" s="5">
        <f>IF(C963="","",IF(계산!CI963="","날짜 확인",IF(계산!CJ963="","금액 확인","")))</f>
        <v/>
      </c>
    </row>
    <row r="964">
      <c r="A964" s="3" t="n"/>
      <c r="C964" s="4" t="n"/>
      <c r="E964" s="5">
        <f>IF(C964="","",IF(계산!CI964="","날짜 확인",IF(계산!CJ964="","금액 확인","")))</f>
        <v/>
      </c>
    </row>
    <row r="965">
      <c r="A965" s="3" t="n"/>
      <c r="C965" s="4" t="n"/>
      <c r="E965" s="5">
        <f>IF(C965="","",IF(계산!CI965="","날짜 확인",IF(계산!CJ965="","금액 확인","")))</f>
        <v/>
      </c>
    </row>
    <row r="966">
      <c r="A966" s="3" t="n"/>
      <c r="C966" s="4" t="n"/>
      <c r="E966" s="5">
        <f>IF(C966="","",IF(계산!CI966="","날짜 확인",IF(계산!CJ966="","금액 확인","")))</f>
        <v/>
      </c>
    </row>
    <row r="967">
      <c r="A967" s="3" t="n"/>
      <c r="C967" s="4" t="n"/>
      <c r="E967" s="5">
        <f>IF(C967="","",IF(계산!CI967="","날짜 확인",IF(계산!CJ967="","금액 확인","")))</f>
        <v/>
      </c>
    </row>
    <row r="968">
      <c r="A968" s="3" t="n"/>
      <c r="C968" s="4" t="n"/>
      <c r="E968" s="5">
        <f>IF(C968="","",IF(계산!CI968="","날짜 확인",IF(계산!CJ968="","금액 확인","")))</f>
        <v/>
      </c>
    </row>
    <row r="969">
      <c r="A969" s="3" t="n"/>
      <c r="C969" s="4" t="n"/>
      <c r="E969" s="5">
        <f>IF(C969="","",IF(계산!CI969="","날짜 확인",IF(계산!CJ969="","금액 확인","")))</f>
        <v/>
      </c>
    </row>
    <row r="970">
      <c r="A970" s="3" t="n"/>
      <c r="C970" s="4" t="n"/>
      <c r="E970" s="5">
        <f>IF(C970="","",IF(계산!CI970="","날짜 확인",IF(계산!CJ970="","금액 확인","")))</f>
        <v/>
      </c>
    </row>
    <row r="971">
      <c r="A971" s="3" t="n"/>
      <c r="C971" s="4" t="n"/>
      <c r="E971" s="5">
        <f>IF(C971="","",IF(계산!CI971="","날짜 확인",IF(계산!CJ971="","금액 확인","")))</f>
        <v/>
      </c>
    </row>
    <row r="972">
      <c r="A972" s="3" t="n"/>
      <c r="C972" s="4" t="n"/>
      <c r="E972" s="5">
        <f>IF(C972="","",IF(계산!CI972="","날짜 확인",IF(계산!CJ972="","금액 확인","")))</f>
        <v/>
      </c>
    </row>
    <row r="973">
      <c r="A973" s="3" t="n"/>
      <c r="C973" s="4" t="n"/>
      <c r="E973" s="5">
        <f>IF(C973="","",IF(계산!CI973="","날짜 확인",IF(계산!CJ973="","금액 확인","")))</f>
        <v/>
      </c>
    </row>
    <row r="974">
      <c r="A974" s="3" t="n"/>
      <c r="C974" s="4" t="n"/>
      <c r="E974" s="5">
        <f>IF(C974="","",IF(계산!CI974="","날짜 확인",IF(계산!CJ974="","금액 확인","")))</f>
        <v/>
      </c>
    </row>
    <row r="975">
      <c r="A975" s="3" t="n"/>
      <c r="C975" s="4" t="n"/>
      <c r="E975" s="5">
        <f>IF(C975="","",IF(계산!CI975="","날짜 확인",IF(계산!CJ975="","금액 확인","")))</f>
        <v/>
      </c>
    </row>
    <row r="976">
      <c r="A976" s="3" t="n"/>
      <c r="C976" s="4" t="n"/>
      <c r="E976" s="5">
        <f>IF(C976="","",IF(계산!CI976="","날짜 확인",IF(계산!CJ976="","금액 확인","")))</f>
        <v/>
      </c>
    </row>
    <row r="977">
      <c r="A977" s="3" t="n"/>
      <c r="C977" s="4" t="n"/>
      <c r="E977" s="5">
        <f>IF(C977="","",IF(계산!CI977="","날짜 확인",IF(계산!CJ977="","금액 확인","")))</f>
        <v/>
      </c>
    </row>
    <row r="978">
      <c r="A978" s="3" t="n"/>
      <c r="C978" s="4" t="n"/>
      <c r="E978" s="5">
        <f>IF(C978="","",IF(계산!CI978="","날짜 확인",IF(계산!CJ978="","금액 확인","")))</f>
        <v/>
      </c>
    </row>
    <row r="979">
      <c r="A979" s="3" t="n"/>
      <c r="C979" s="4" t="n"/>
      <c r="E979" s="5">
        <f>IF(C979="","",IF(계산!CI979="","날짜 확인",IF(계산!CJ979="","금액 확인","")))</f>
        <v/>
      </c>
    </row>
    <row r="980">
      <c r="A980" s="3" t="n"/>
      <c r="C980" s="4" t="n"/>
      <c r="E980" s="5">
        <f>IF(C980="","",IF(계산!CI980="","날짜 확인",IF(계산!CJ980="","금액 확인","")))</f>
        <v/>
      </c>
    </row>
    <row r="981">
      <c r="A981" s="3" t="n"/>
      <c r="C981" s="4" t="n"/>
      <c r="E981" s="5">
        <f>IF(C981="","",IF(계산!CI981="","날짜 확인",IF(계산!CJ981="","금액 확인","")))</f>
        <v/>
      </c>
    </row>
    <row r="982">
      <c r="A982" s="3" t="n"/>
      <c r="C982" s="4" t="n"/>
      <c r="E982" s="5">
        <f>IF(C982="","",IF(계산!CI982="","날짜 확인",IF(계산!CJ982="","금액 확인","")))</f>
        <v/>
      </c>
    </row>
    <row r="983">
      <c r="A983" s="3" t="n"/>
      <c r="C983" s="4" t="n"/>
      <c r="E983" s="5">
        <f>IF(C983="","",IF(계산!CI983="","날짜 확인",IF(계산!CJ983="","금액 확인","")))</f>
        <v/>
      </c>
    </row>
    <row r="984">
      <c r="A984" s="3" t="n"/>
      <c r="C984" s="4" t="n"/>
      <c r="E984" s="5">
        <f>IF(C984="","",IF(계산!CI984="","날짜 확인",IF(계산!CJ984="","금액 확인","")))</f>
        <v/>
      </c>
    </row>
    <row r="985">
      <c r="A985" s="3" t="n"/>
      <c r="C985" s="4" t="n"/>
      <c r="E985" s="5">
        <f>IF(C985="","",IF(계산!CI985="","날짜 확인",IF(계산!CJ985="","금액 확인","")))</f>
        <v/>
      </c>
    </row>
    <row r="986">
      <c r="A986" s="3" t="n"/>
      <c r="C986" s="4" t="n"/>
      <c r="E986" s="5">
        <f>IF(C986="","",IF(계산!CI986="","날짜 확인",IF(계산!CJ986="","금액 확인","")))</f>
        <v/>
      </c>
    </row>
    <row r="987">
      <c r="A987" s="3" t="n"/>
      <c r="C987" s="4" t="n"/>
      <c r="E987" s="5">
        <f>IF(C987="","",IF(계산!CI987="","날짜 확인",IF(계산!CJ987="","금액 확인","")))</f>
        <v/>
      </c>
    </row>
    <row r="988">
      <c r="A988" s="3" t="n"/>
      <c r="C988" s="4" t="n"/>
      <c r="E988" s="5">
        <f>IF(C988="","",IF(계산!CI988="","날짜 확인",IF(계산!CJ988="","금액 확인","")))</f>
        <v/>
      </c>
    </row>
    <row r="989">
      <c r="A989" s="3" t="n"/>
      <c r="C989" s="4" t="n"/>
      <c r="E989" s="5">
        <f>IF(C989="","",IF(계산!CI989="","날짜 확인",IF(계산!CJ989="","금액 확인","")))</f>
        <v/>
      </c>
    </row>
    <row r="990">
      <c r="A990" s="3" t="n"/>
      <c r="C990" s="4" t="n"/>
      <c r="E990" s="5">
        <f>IF(C990="","",IF(계산!CI990="","날짜 확인",IF(계산!CJ990="","금액 확인","")))</f>
        <v/>
      </c>
    </row>
    <row r="991">
      <c r="A991" s="3" t="n"/>
      <c r="C991" s="4" t="n"/>
      <c r="E991" s="5">
        <f>IF(C991="","",IF(계산!CI991="","날짜 확인",IF(계산!CJ991="","금액 확인","")))</f>
        <v/>
      </c>
    </row>
    <row r="992">
      <c r="A992" s="3" t="n"/>
      <c r="C992" s="4" t="n"/>
      <c r="E992" s="5">
        <f>IF(C992="","",IF(계산!CI992="","날짜 확인",IF(계산!CJ992="","금액 확인","")))</f>
        <v/>
      </c>
    </row>
    <row r="993">
      <c r="A993" s="3" t="n"/>
      <c r="C993" s="4" t="n"/>
      <c r="E993" s="5">
        <f>IF(C993="","",IF(계산!CI993="","날짜 확인",IF(계산!CJ993="","금액 확인","")))</f>
        <v/>
      </c>
    </row>
    <row r="994">
      <c r="A994" s="3" t="n"/>
      <c r="C994" s="4" t="n"/>
      <c r="E994" s="5">
        <f>IF(C994="","",IF(계산!CI994="","날짜 확인",IF(계산!CJ994="","금액 확인","")))</f>
        <v/>
      </c>
    </row>
    <row r="995">
      <c r="A995" s="3" t="n"/>
      <c r="C995" s="4" t="n"/>
      <c r="E995" s="5">
        <f>IF(C995="","",IF(계산!CI995="","날짜 확인",IF(계산!CJ995="","금액 확인","")))</f>
        <v/>
      </c>
    </row>
    <row r="996">
      <c r="A996" s="3" t="n"/>
      <c r="C996" s="4" t="n"/>
      <c r="E996" s="5">
        <f>IF(C996="","",IF(계산!CI996="","날짜 확인",IF(계산!CJ996="","금액 확인","")))</f>
        <v/>
      </c>
    </row>
    <row r="997">
      <c r="A997" s="3" t="n"/>
      <c r="C997" s="4" t="n"/>
      <c r="E997" s="5">
        <f>IF(C997="","",IF(계산!CI997="","날짜 확인",IF(계산!CJ997="","금액 확인","")))</f>
        <v/>
      </c>
    </row>
    <row r="998">
      <c r="A998" s="3" t="n"/>
      <c r="C998" s="4" t="n"/>
      <c r="E998" s="5">
        <f>IF(C998="","",IF(계산!CI998="","날짜 확인",IF(계산!CJ998="","금액 확인","")))</f>
        <v/>
      </c>
    </row>
    <row r="999">
      <c r="A999" s="3" t="n"/>
      <c r="C999" s="4" t="n"/>
      <c r="E999" s="5">
        <f>IF(C999="","",IF(계산!CI999="","날짜 확인",IF(계산!CJ999="","금액 확인","")))</f>
        <v/>
      </c>
    </row>
    <row r="1000">
      <c r="A1000" s="3" t="n"/>
      <c r="C1000" s="4" t="n"/>
      <c r="E1000" s="5">
        <f>IF(C1000="","",IF(계산!CI1000="","날짜 확인",IF(계산!CJ1000="","금액 확인","")))</f>
        <v/>
      </c>
    </row>
    <row r="1001">
      <c r="A1001" s="3" t="n"/>
      <c r="C1001" s="4" t="n"/>
      <c r="E1001" s="5">
        <f>IF(C1001="","",IF(계산!CI1001="","날짜 확인",IF(계산!CJ1001="","금액 확인","")))</f>
        <v/>
      </c>
    </row>
    <row r="1002">
      <c r="A1002" s="3" t="n"/>
      <c r="C1002" s="4" t="n"/>
      <c r="E1002" s="5">
        <f>IF(C1002="","",IF(계산!CI1002="","날짜 확인",IF(계산!CJ1002="","금액 확인","")))</f>
        <v/>
      </c>
    </row>
    <row r="1003">
      <c r="A1003" s="3" t="n"/>
      <c r="C1003" s="4" t="n"/>
      <c r="E1003" s="5">
        <f>IF(C1003="","",IF(계산!CI1003="","날짜 확인",IF(계산!CJ1003="","금액 확인","")))</f>
        <v/>
      </c>
    </row>
    <row r="1004">
      <c r="A1004" s="3" t="n"/>
      <c r="C1004" s="4" t="n"/>
      <c r="E1004" s="5">
        <f>IF(C1004="","",IF(계산!CI1004="","날짜 확인",IF(계산!CJ1004="","금액 확인","")))</f>
        <v/>
      </c>
    </row>
    <row r="1005">
      <c r="A1005" s="3" t="n"/>
      <c r="C1005" s="4" t="n"/>
      <c r="E1005" s="5">
        <f>IF(C1005="","",IF(계산!CI1005="","날짜 확인",IF(계산!CJ1005="","금액 확인","")))</f>
        <v/>
      </c>
    </row>
    <row r="1006">
      <c r="A1006" s="3" t="n"/>
      <c r="C1006" s="4" t="n"/>
      <c r="E1006" s="5">
        <f>IF(C1006="","",IF(계산!CI1006="","날짜 확인",IF(계산!CJ1006="","금액 확인","")))</f>
        <v/>
      </c>
    </row>
    <row r="1007">
      <c r="A1007" s="3" t="n"/>
      <c r="C1007" s="4" t="n"/>
      <c r="E1007" s="5">
        <f>IF(C1007="","",IF(계산!CI1007="","날짜 확인",IF(계산!CJ1007="","금액 확인","")))</f>
        <v/>
      </c>
    </row>
    <row r="1008">
      <c r="A1008" s="3" t="n"/>
      <c r="C1008" s="4" t="n"/>
      <c r="E1008" s="5">
        <f>IF(C1008="","",IF(계산!CI1008="","날짜 확인",IF(계산!CJ1008="","금액 확인","")))</f>
        <v/>
      </c>
    </row>
    <row r="1009">
      <c r="A1009" s="3" t="n"/>
      <c r="C1009" s="4" t="n"/>
      <c r="E1009" s="5">
        <f>IF(C1009="","",IF(계산!CI1009="","날짜 확인",IF(계산!CJ1009="","금액 확인","")))</f>
        <v/>
      </c>
    </row>
    <row r="1010">
      <c r="A1010" s="3" t="n"/>
      <c r="C1010" s="4" t="n"/>
      <c r="E1010" s="5">
        <f>IF(C1010="","",IF(계산!CI1010="","날짜 확인",IF(계산!CJ1010="","금액 확인","")))</f>
        <v/>
      </c>
    </row>
    <row r="1011">
      <c r="A1011" s="3" t="n"/>
      <c r="C1011" s="4" t="n"/>
      <c r="E1011" s="5">
        <f>IF(C1011="","",IF(계산!CI1011="","날짜 확인",IF(계산!CJ1011="","금액 확인","")))</f>
        <v/>
      </c>
    </row>
    <row r="1012">
      <c r="A1012" s="3" t="n"/>
      <c r="C1012" s="4" t="n"/>
      <c r="E1012" s="5">
        <f>IF(C1012="","",IF(계산!CI1012="","날짜 확인",IF(계산!CJ1012="","금액 확인","")))</f>
        <v/>
      </c>
    </row>
    <row r="1013">
      <c r="A1013" s="3" t="n"/>
      <c r="C1013" s="4" t="n"/>
      <c r="E1013" s="5">
        <f>IF(C1013="","",IF(계산!CI1013="","날짜 확인",IF(계산!CJ1013="","금액 확인","")))</f>
        <v/>
      </c>
    </row>
    <row r="1014">
      <c r="A1014" s="3" t="n"/>
      <c r="C1014" s="4" t="n"/>
      <c r="E1014" s="5">
        <f>IF(C1014="","",IF(계산!CI1014="","날짜 확인",IF(계산!CJ1014="","금액 확인","")))</f>
        <v/>
      </c>
    </row>
    <row r="1015">
      <c r="A1015" s="3" t="n"/>
      <c r="C1015" s="4" t="n"/>
      <c r="E1015" s="5">
        <f>IF(C1015="","",IF(계산!CI1015="","날짜 확인",IF(계산!CJ1015="","금액 확인","")))</f>
        <v/>
      </c>
    </row>
    <row r="1016">
      <c r="A1016" s="3" t="n"/>
      <c r="C1016" s="4" t="n"/>
      <c r="E1016" s="5">
        <f>IF(C1016="","",IF(계산!CI1016="","날짜 확인",IF(계산!CJ1016="","금액 확인","")))</f>
        <v/>
      </c>
    </row>
    <row r="1017">
      <c r="A1017" s="3" t="n"/>
      <c r="C1017" s="4" t="n"/>
      <c r="E1017" s="5">
        <f>IF(C1017="","",IF(계산!CI1017="","날짜 확인",IF(계산!CJ1017="","금액 확인","")))</f>
        <v/>
      </c>
    </row>
    <row r="1018">
      <c r="A1018" s="3" t="n"/>
      <c r="C1018" s="4" t="n"/>
      <c r="E1018" s="5">
        <f>IF(C1018="","",IF(계산!CI1018="","날짜 확인",IF(계산!CJ1018="","금액 확인","")))</f>
        <v/>
      </c>
    </row>
    <row r="1019">
      <c r="A1019" s="3" t="n"/>
      <c r="C1019" s="4" t="n"/>
      <c r="E1019" s="5">
        <f>IF(C1019="","",IF(계산!CI1019="","날짜 확인",IF(계산!CJ1019="","금액 확인","")))</f>
        <v/>
      </c>
    </row>
    <row r="1020">
      <c r="A1020" s="3" t="n"/>
      <c r="C1020" s="4" t="n"/>
      <c r="E1020" s="5">
        <f>IF(C1020="","",IF(계산!CI1020="","날짜 확인",IF(계산!CJ1020="","금액 확인","")))</f>
        <v/>
      </c>
    </row>
    <row r="1021">
      <c r="A1021" s="3" t="n"/>
      <c r="C1021" s="4" t="n"/>
      <c r="E1021" s="5">
        <f>IF(C1021="","",IF(계산!CI1021="","날짜 확인",IF(계산!CJ1021="","금액 확인","")))</f>
        <v/>
      </c>
    </row>
    <row r="1022">
      <c r="A1022" s="3" t="n"/>
      <c r="C1022" s="4" t="n"/>
      <c r="E1022" s="5">
        <f>IF(C1022="","",IF(계산!CI1022="","날짜 확인",IF(계산!CJ1022="","금액 확인","")))</f>
        <v/>
      </c>
    </row>
    <row r="1023">
      <c r="A1023" s="3" t="n"/>
      <c r="C1023" s="4" t="n"/>
      <c r="E1023" s="5">
        <f>IF(C1023="","",IF(계산!CI1023="","날짜 확인",IF(계산!CJ1023="","금액 확인","")))</f>
        <v/>
      </c>
    </row>
    <row r="1024">
      <c r="A1024" s="3" t="n"/>
      <c r="C1024" s="4" t="n"/>
      <c r="E1024" s="5">
        <f>IF(C1024="","",IF(계산!CI1024="","날짜 확인",IF(계산!CJ1024="","금액 확인","")))</f>
        <v/>
      </c>
    </row>
    <row r="1025">
      <c r="A1025" s="3" t="n"/>
      <c r="C1025" s="4" t="n"/>
      <c r="E1025" s="5">
        <f>IF(C1025="","",IF(계산!CI1025="","날짜 확인",IF(계산!CJ1025="","금액 확인","")))</f>
        <v/>
      </c>
    </row>
    <row r="1026">
      <c r="A1026" s="3" t="n"/>
      <c r="C1026" s="4" t="n"/>
      <c r="E1026" s="5">
        <f>IF(C1026="","",IF(계산!CI1026="","날짜 확인",IF(계산!CJ1026="","금액 확인","")))</f>
        <v/>
      </c>
    </row>
    <row r="1027">
      <c r="A1027" s="3" t="n"/>
      <c r="C1027" s="4" t="n"/>
      <c r="E1027" s="5">
        <f>IF(C1027="","",IF(계산!CI1027="","날짜 확인",IF(계산!CJ1027="","금액 확인","")))</f>
        <v/>
      </c>
    </row>
    <row r="1028">
      <c r="A1028" s="3" t="n"/>
      <c r="C1028" s="4" t="n"/>
      <c r="E1028" s="5">
        <f>IF(C1028="","",IF(계산!CI1028="","날짜 확인",IF(계산!CJ1028="","금액 확인","")))</f>
        <v/>
      </c>
    </row>
    <row r="1029">
      <c r="A1029" s="3" t="n"/>
      <c r="C1029" s="4" t="n"/>
      <c r="E1029" s="5">
        <f>IF(C1029="","",IF(계산!CI1029="","날짜 확인",IF(계산!CJ1029="","금액 확인","")))</f>
        <v/>
      </c>
    </row>
    <row r="1030">
      <c r="A1030" s="3" t="n"/>
      <c r="C1030" s="4" t="n"/>
      <c r="E1030" s="5">
        <f>IF(C1030="","",IF(계산!CI1030="","날짜 확인",IF(계산!CJ1030="","금액 확인","")))</f>
        <v/>
      </c>
    </row>
    <row r="1031">
      <c r="A1031" s="3" t="n"/>
      <c r="C1031" s="4" t="n"/>
      <c r="E1031" s="5">
        <f>IF(C1031="","",IF(계산!CI1031="","날짜 확인",IF(계산!CJ1031="","금액 확인","")))</f>
        <v/>
      </c>
    </row>
    <row r="1032">
      <c r="A1032" s="3" t="n"/>
      <c r="C1032" s="4" t="n"/>
      <c r="E1032" s="5">
        <f>IF(C1032="","",IF(계산!CI1032="","날짜 확인",IF(계산!CJ1032="","금액 확인","")))</f>
        <v/>
      </c>
    </row>
    <row r="1033">
      <c r="A1033" s="3" t="n"/>
      <c r="C1033" s="4" t="n"/>
      <c r="E1033" s="5">
        <f>IF(C1033="","",IF(계산!CI1033="","날짜 확인",IF(계산!CJ1033="","금액 확인","")))</f>
        <v/>
      </c>
    </row>
    <row r="1034">
      <c r="A1034" s="3" t="n"/>
      <c r="C1034" s="4" t="n"/>
      <c r="E1034" s="5">
        <f>IF(C1034="","",IF(계산!CI1034="","날짜 확인",IF(계산!CJ1034="","금액 확인","")))</f>
        <v/>
      </c>
    </row>
    <row r="1035">
      <c r="A1035" s="3" t="n"/>
      <c r="C1035" s="4" t="n"/>
      <c r="E1035" s="5">
        <f>IF(C1035="","",IF(계산!CI1035="","날짜 확인",IF(계산!CJ1035="","금액 확인","")))</f>
        <v/>
      </c>
    </row>
    <row r="1036">
      <c r="A1036" s="3" t="n"/>
      <c r="C1036" s="4" t="n"/>
      <c r="E1036" s="5">
        <f>IF(C1036="","",IF(계산!CI1036="","날짜 확인",IF(계산!CJ1036="","금액 확인","")))</f>
        <v/>
      </c>
    </row>
    <row r="1037">
      <c r="A1037" s="3" t="n"/>
      <c r="C1037" s="4" t="n"/>
      <c r="E1037" s="5">
        <f>IF(C1037="","",IF(계산!CI1037="","날짜 확인",IF(계산!CJ1037="","금액 확인","")))</f>
        <v/>
      </c>
    </row>
    <row r="1038">
      <c r="A1038" s="3" t="n"/>
      <c r="C1038" s="4" t="n"/>
      <c r="E1038" s="5">
        <f>IF(C1038="","",IF(계산!CI1038="","날짜 확인",IF(계산!CJ1038="","금액 확인","")))</f>
        <v/>
      </c>
    </row>
    <row r="1039">
      <c r="A1039" s="3" t="n"/>
      <c r="C1039" s="4" t="n"/>
      <c r="E1039" s="5">
        <f>IF(C1039="","",IF(계산!CI1039="","날짜 확인",IF(계산!CJ1039="","금액 확인","")))</f>
        <v/>
      </c>
    </row>
    <row r="1040">
      <c r="A1040" s="3" t="n"/>
      <c r="C1040" s="4" t="n"/>
      <c r="E1040" s="5">
        <f>IF(C1040="","",IF(계산!CI1040="","날짜 확인",IF(계산!CJ1040="","금액 확인","")))</f>
        <v/>
      </c>
    </row>
    <row r="1041">
      <c r="A1041" s="3" t="n"/>
      <c r="C1041" s="4" t="n"/>
      <c r="E1041" s="5">
        <f>IF(C1041="","",IF(계산!CI1041="","날짜 확인",IF(계산!CJ1041="","금액 확인","")))</f>
        <v/>
      </c>
    </row>
    <row r="1042">
      <c r="A1042" s="3" t="n"/>
      <c r="C1042" s="4" t="n"/>
      <c r="E1042" s="5">
        <f>IF(C1042="","",IF(계산!CI1042="","날짜 확인",IF(계산!CJ1042="","금액 확인","")))</f>
        <v/>
      </c>
    </row>
    <row r="1043">
      <c r="A1043" s="3" t="n"/>
      <c r="C1043" s="4" t="n"/>
      <c r="E1043" s="5">
        <f>IF(C1043="","",IF(계산!CI1043="","날짜 확인",IF(계산!CJ1043="","금액 확인","")))</f>
        <v/>
      </c>
    </row>
    <row r="1044">
      <c r="A1044" s="3" t="n"/>
      <c r="C1044" s="4" t="n"/>
      <c r="E1044" s="5">
        <f>IF(C1044="","",IF(계산!CI1044="","날짜 확인",IF(계산!CJ1044="","금액 확인","")))</f>
        <v/>
      </c>
    </row>
    <row r="1045">
      <c r="A1045" s="3" t="n"/>
      <c r="C1045" s="4" t="n"/>
      <c r="E1045" s="5">
        <f>IF(C1045="","",IF(계산!CI1045="","날짜 확인",IF(계산!CJ1045="","금액 확인","")))</f>
        <v/>
      </c>
    </row>
    <row r="1046">
      <c r="A1046" s="3" t="n"/>
      <c r="C1046" s="4" t="n"/>
      <c r="E1046" s="5">
        <f>IF(C1046="","",IF(계산!CI1046="","날짜 확인",IF(계산!CJ1046="","금액 확인","")))</f>
        <v/>
      </c>
    </row>
    <row r="1047">
      <c r="A1047" s="3" t="n"/>
      <c r="C1047" s="4" t="n"/>
      <c r="E1047" s="5">
        <f>IF(C1047="","",IF(계산!CI1047="","날짜 확인",IF(계산!CJ1047="","금액 확인","")))</f>
        <v/>
      </c>
    </row>
    <row r="1048">
      <c r="A1048" s="3" t="n"/>
      <c r="C1048" s="4" t="n"/>
      <c r="E1048" s="5">
        <f>IF(C1048="","",IF(계산!CI1048="","날짜 확인",IF(계산!CJ1048="","금액 확인","")))</f>
        <v/>
      </c>
    </row>
    <row r="1049">
      <c r="A1049" s="3" t="n"/>
      <c r="C1049" s="4" t="n"/>
      <c r="E1049" s="5">
        <f>IF(C1049="","",IF(계산!CI1049="","날짜 확인",IF(계산!CJ1049="","금액 확인","")))</f>
        <v/>
      </c>
    </row>
    <row r="1050">
      <c r="A1050" s="3" t="n"/>
      <c r="C1050" s="4" t="n"/>
      <c r="E1050" s="5">
        <f>IF(C1050="","",IF(계산!CI1050="","날짜 확인",IF(계산!CJ1050="","금액 확인","")))</f>
        <v/>
      </c>
    </row>
    <row r="1051">
      <c r="A1051" s="3" t="n"/>
      <c r="C1051" s="4" t="n"/>
      <c r="E1051" s="5">
        <f>IF(C1051="","",IF(계산!CI1051="","날짜 확인",IF(계산!CJ1051="","금액 확인","")))</f>
        <v/>
      </c>
    </row>
    <row r="1052">
      <c r="A1052" s="3" t="n"/>
      <c r="C1052" s="4" t="n"/>
      <c r="E1052" s="5">
        <f>IF(C1052="","",IF(계산!CI1052="","날짜 확인",IF(계산!CJ1052="","금액 확인","")))</f>
        <v/>
      </c>
    </row>
    <row r="1053">
      <c r="A1053" s="3" t="n"/>
      <c r="C1053" s="4" t="n"/>
      <c r="E1053" s="5">
        <f>IF(C1053="","",IF(계산!CI1053="","날짜 확인",IF(계산!CJ1053="","금액 확인","")))</f>
        <v/>
      </c>
    </row>
    <row r="1054">
      <c r="A1054" s="3" t="n"/>
      <c r="C1054" s="4" t="n"/>
      <c r="E1054" s="5">
        <f>IF(C1054="","",IF(계산!CI1054="","날짜 확인",IF(계산!CJ1054="","금액 확인","")))</f>
        <v/>
      </c>
    </row>
    <row r="1055">
      <c r="A1055" s="3" t="n"/>
      <c r="C1055" s="4" t="n"/>
      <c r="E1055" s="5">
        <f>IF(C1055="","",IF(계산!CI1055="","날짜 확인",IF(계산!CJ1055="","금액 확인","")))</f>
        <v/>
      </c>
    </row>
    <row r="1056">
      <c r="A1056" s="3" t="n"/>
      <c r="C1056" s="4" t="n"/>
      <c r="E1056" s="5">
        <f>IF(C1056="","",IF(계산!CI1056="","날짜 확인",IF(계산!CJ1056="","금액 확인","")))</f>
        <v/>
      </c>
    </row>
    <row r="1057">
      <c r="A1057" s="3" t="n"/>
      <c r="C1057" s="4" t="n"/>
      <c r="E1057" s="5">
        <f>IF(C1057="","",IF(계산!CI1057="","날짜 확인",IF(계산!CJ1057="","금액 확인","")))</f>
        <v/>
      </c>
    </row>
    <row r="1058">
      <c r="A1058" s="3" t="n"/>
      <c r="C1058" s="4" t="n"/>
      <c r="E1058" s="5">
        <f>IF(C1058="","",IF(계산!CI1058="","날짜 확인",IF(계산!CJ1058="","금액 확인","")))</f>
        <v/>
      </c>
    </row>
    <row r="1059">
      <c r="A1059" s="3" t="n"/>
      <c r="C1059" s="4" t="n"/>
      <c r="E1059" s="5">
        <f>IF(C1059="","",IF(계산!CI1059="","날짜 확인",IF(계산!CJ1059="","금액 확인","")))</f>
        <v/>
      </c>
    </row>
    <row r="1060">
      <c r="A1060" s="3" t="n"/>
      <c r="C1060" s="4" t="n"/>
      <c r="E1060" s="5">
        <f>IF(C1060="","",IF(계산!CI1060="","날짜 확인",IF(계산!CJ1060="","금액 확인","")))</f>
        <v/>
      </c>
    </row>
    <row r="1061">
      <c r="A1061" s="3" t="n"/>
      <c r="C1061" s="4" t="n"/>
      <c r="E1061" s="5">
        <f>IF(C1061="","",IF(계산!CI1061="","날짜 확인",IF(계산!CJ1061="","금액 확인","")))</f>
        <v/>
      </c>
    </row>
    <row r="1062">
      <c r="A1062" s="3" t="n"/>
      <c r="C1062" s="4" t="n"/>
      <c r="E1062" s="5">
        <f>IF(C1062="","",IF(계산!CI1062="","날짜 확인",IF(계산!CJ1062="","금액 확인","")))</f>
        <v/>
      </c>
    </row>
    <row r="1063">
      <c r="A1063" s="3" t="n"/>
      <c r="C1063" s="4" t="n"/>
      <c r="E1063" s="5">
        <f>IF(C1063="","",IF(계산!CI1063="","날짜 확인",IF(계산!CJ1063="","금액 확인","")))</f>
        <v/>
      </c>
    </row>
    <row r="1064">
      <c r="A1064" s="3" t="n"/>
      <c r="C1064" s="4" t="n"/>
      <c r="E1064" s="5">
        <f>IF(C1064="","",IF(계산!CI1064="","날짜 확인",IF(계산!CJ1064="","금액 확인","")))</f>
        <v/>
      </c>
    </row>
    <row r="1065">
      <c r="A1065" s="3" t="n"/>
      <c r="C1065" s="4" t="n"/>
      <c r="E1065" s="5">
        <f>IF(C1065="","",IF(계산!CI1065="","날짜 확인",IF(계산!CJ1065="","금액 확인","")))</f>
        <v/>
      </c>
    </row>
    <row r="1066">
      <c r="A1066" s="3" t="n"/>
      <c r="C1066" s="4" t="n"/>
      <c r="E1066" s="5">
        <f>IF(C1066="","",IF(계산!CI1066="","날짜 확인",IF(계산!CJ1066="","금액 확인","")))</f>
        <v/>
      </c>
    </row>
    <row r="1067">
      <c r="A1067" s="3" t="n"/>
      <c r="C1067" s="4" t="n"/>
      <c r="E1067" s="5">
        <f>IF(C1067="","",IF(계산!CI1067="","날짜 확인",IF(계산!CJ1067="","금액 확인","")))</f>
        <v/>
      </c>
    </row>
    <row r="1068">
      <c r="A1068" s="3" t="n"/>
      <c r="C1068" s="4" t="n"/>
      <c r="E1068" s="5">
        <f>IF(C1068="","",IF(계산!CI1068="","날짜 확인",IF(계산!CJ1068="","금액 확인","")))</f>
        <v/>
      </c>
    </row>
    <row r="1069">
      <c r="A1069" s="3" t="n"/>
      <c r="C1069" s="4" t="n"/>
      <c r="E1069" s="5">
        <f>IF(C1069="","",IF(계산!CI1069="","날짜 확인",IF(계산!CJ1069="","금액 확인","")))</f>
        <v/>
      </c>
    </row>
    <row r="1070">
      <c r="A1070" s="3" t="n"/>
      <c r="C1070" s="4" t="n"/>
      <c r="E1070" s="5">
        <f>IF(C1070="","",IF(계산!CI1070="","날짜 확인",IF(계산!CJ1070="","금액 확인","")))</f>
        <v/>
      </c>
    </row>
    <row r="1071">
      <c r="A1071" s="3" t="n"/>
      <c r="C1071" s="4" t="n"/>
      <c r="E1071" s="5">
        <f>IF(C1071="","",IF(계산!CI1071="","날짜 확인",IF(계산!CJ1071="","금액 확인","")))</f>
        <v/>
      </c>
    </row>
    <row r="1072">
      <c r="A1072" s="3" t="n"/>
      <c r="C1072" s="4" t="n"/>
      <c r="E1072" s="5">
        <f>IF(C1072="","",IF(계산!CI1072="","날짜 확인",IF(계산!CJ1072="","금액 확인","")))</f>
        <v/>
      </c>
    </row>
    <row r="1073">
      <c r="A1073" s="3" t="n"/>
      <c r="C1073" s="4" t="n"/>
      <c r="E1073" s="5">
        <f>IF(C1073="","",IF(계산!CI1073="","날짜 확인",IF(계산!CJ1073="","금액 확인","")))</f>
        <v/>
      </c>
    </row>
    <row r="1074">
      <c r="A1074" s="3" t="n"/>
      <c r="C1074" s="4" t="n"/>
      <c r="E1074" s="5">
        <f>IF(C1074="","",IF(계산!CI1074="","날짜 확인",IF(계산!CJ1074="","금액 확인","")))</f>
        <v/>
      </c>
    </row>
    <row r="1075">
      <c r="A1075" s="3" t="n"/>
      <c r="C1075" s="4" t="n"/>
      <c r="E1075" s="5">
        <f>IF(C1075="","",IF(계산!CI1075="","날짜 확인",IF(계산!CJ1075="","금액 확인","")))</f>
        <v/>
      </c>
    </row>
    <row r="1076">
      <c r="A1076" s="3" t="n"/>
      <c r="C1076" s="4" t="n"/>
      <c r="E1076" s="5">
        <f>IF(C1076="","",IF(계산!CI1076="","날짜 확인",IF(계산!CJ1076="","금액 확인","")))</f>
        <v/>
      </c>
    </row>
    <row r="1077">
      <c r="A1077" s="3" t="n"/>
      <c r="C1077" s="4" t="n"/>
      <c r="E1077" s="5">
        <f>IF(C1077="","",IF(계산!CI1077="","날짜 확인",IF(계산!CJ1077="","금액 확인","")))</f>
        <v/>
      </c>
    </row>
    <row r="1078">
      <c r="A1078" s="3" t="n"/>
      <c r="C1078" s="4" t="n"/>
      <c r="E1078" s="5">
        <f>IF(C1078="","",IF(계산!CI1078="","날짜 확인",IF(계산!CJ1078="","금액 확인","")))</f>
        <v/>
      </c>
    </row>
    <row r="1079">
      <c r="A1079" s="3" t="n"/>
      <c r="C1079" s="4" t="n"/>
      <c r="E1079" s="5">
        <f>IF(C1079="","",IF(계산!CI1079="","날짜 확인",IF(계산!CJ1079="","금액 확인","")))</f>
        <v/>
      </c>
    </row>
    <row r="1080">
      <c r="A1080" s="3" t="n"/>
      <c r="C1080" s="4" t="n"/>
      <c r="E1080" s="5">
        <f>IF(C1080="","",IF(계산!CI1080="","날짜 확인",IF(계산!CJ1080="","금액 확인","")))</f>
        <v/>
      </c>
    </row>
    <row r="1081">
      <c r="A1081" s="3" t="n"/>
      <c r="C1081" s="4" t="n"/>
      <c r="E1081" s="5">
        <f>IF(C1081="","",IF(계산!CI1081="","날짜 확인",IF(계산!CJ1081="","금액 확인","")))</f>
        <v/>
      </c>
    </row>
    <row r="1082">
      <c r="A1082" s="3" t="n"/>
      <c r="C1082" s="4" t="n"/>
      <c r="E1082" s="5">
        <f>IF(C1082="","",IF(계산!CI1082="","날짜 확인",IF(계산!CJ1082="","금액 확인","")))</f>
        <v/>
      </c>
    </row>
    <row r="1083">
      <c r="A1083" s="3" t="n"/>
      <c r="C1083" s="4" t="n"/>
      <c r="E1083" s="5">
        <f>IF(C1083="","",IF(계산!CI1083="","날짜 확인",IF(계산!CJ1083="","금액 확인","")))</f>
        <v/>
      </c>
    </row>
    <row r="1084">
      <c r="A1084" s="3" t="n"/>
      <c r="C1084" s="4" t="n"/>
      <c r="E1084" s="5">
        <f>IF(C1084="","",IF(계산!CI1084="","날짜 확인",IF(계산!CJ1084="","금액 확인","")))</f>
        <v/>
      </c>
    </row>
    <row r="1085">
      <c r="A1085" s="3" t="n"/>
      <c r="C1085" s="4" t="n"/>
      <c r="E1085" s="5">
        <f>IF(C1085="","",IF(계산!CI1085="","날짜 확인",IF(계산!CJ1085="","금액 확인","")))</f>
        <v/>
      </c>
    </row>
    <row r="1086">
      <c r="A1086" s="3" t="n"/>
      <c r="C1086" s="4" t="n"/>
      <c r="E1086" s="5">
        <f>IF(C1086="","",IF(계산!CI1086="","날짜 확인",IF(계산!CJ1086="","금액 확인","")))</f>
        <v/>
      </c>
    </row>
    <row r="1087">
      <c r="A1087" s="3" t="n"/>
      <c r="C1087" s="4" t="n"/>
      <c r="E1087" s="5">
        <f>IF(C1087="","",IF(계산!CI1087="","날짜 확인",IF(계산!CJ1087="","금액 확인","")))</f>
        <v/>
      </c>
    </row>
    <row r="1088">
      <c r="A1088" s="3" t="n"/>
      <c r="C1088" s="4" t="n"/>
      <c r="E1088" s="5">
        <f>IF(C1088="","",IF(계산!CI1088="","날짜 확인",IF(계산!CJ1088="","금액 확인","")))</f>
        <v/>
      </c>
    </row>
    <row r="1089">
      <c r="A1089" s="3" t="n"/>
      <c r="C1089" s="4" t="n"/>
      <c r="E1089" s="5">
        <f>IF(C1089="","",IF(계산!CI1089="","날짜 확인",IF(계산!CJ1089="","금액 확인","")))</f>
        <v/>
      </c>
    </row>
    <row r="1090">
      <c r="A1090" s="3" t="n"/>
      <c r="C1090" s="4" t="n"/>
      <c r="E1090" s="5">
        <f>IF(C1090="","",IF(계산!CI1090="","날짜 확인",IF(계산!CJ1090="","금액 확인","")))</f>
        <v/>
      </c>
    </row>
    <row r="1091">
      <c r="A1091" s="3" t="n"/>
      <c r="C1091" s="4" t="n"/>
      <c r="E1091" s="5">
        <f>IF(C1091="","",IF(계산!CI1091="","날짜 확인",IF(계산!CJ1091="","금액 확인","")))</f>
        <v/>
      </c>
    </row>
    <row r="1092">
      <c r="A1092" s="3" t="n"/>
      <c r="C1092" s="4" t="n"/>
      <c r="E1092" s="5">
        <f>IF(C1092="","",IF(계산!CI1092="","날짜 확인",IF(계산!CJ1092="","금액 확인","")))</f>
        <v/>
      </c>
    </row>
    <row r="1093">
      <c r="A1093" s="3" t="n"/>
      <c r="C1093" s="4" t="n"/>
      <c r="E1093" s="5">
        <f>IF(C1093="","",IF(계산!CI1093="","날짜 확인",IF(계산!CJ1093="","금액 확인","")))</f>
        <v/>
      </c>
    </row>
    <row r="1094">
      <c r="A1094" s="3" t="n"/>
      <c r="C1094" s="4" t="n"/>
      <c r="E1094" s="5">
        <f>IF(C1094="","",IF(계산!CI1094="","날짜 확인",IF(계산!CJ1094="","금액 확인","")))</f>
        <v/>
      </c>
    </row>
    <row r="1095">
      <c r="A1095" s="3" t="n"/>
      <c r="C1095" s="4" t="n"/>
      <c r="E1095" s="5">
        <f>IF(C1095="","",IF(계산!CI1095="","날짜 확인",IF(계산!CJ1095="","금액 확인","")))</f>
        <v/>
      </c>
    </row>
    <row r="1096">
      <c r="A1096" s="3" t="n"/>
      <c r="C1096" s="4" t="n"/>
      <c r="E1096" s="5">
        <f>IF(C1096="","",IF(계산!CI1096="","날짜 확인",IF(계산!CJ1096="","금액 확인","")))</f>
        <v/>
      </c>
    </row>
    <row r="1097">
      <c r="A1097" s="3" t="n"/>
      <c r="C1097" s="4" t="n"/>
      <c r="E1097" s="5">
        <f>IF(C1097="","",IF(계산!CI1097="","날짜 확인",IF(계산!CJ1097="","금액 확인","")))</f>
        <v/>
      </c>
    </row>
    <row r="1098">
      <c r="A1098" s="3" t="n"/>
      <c r="C1098" s="4" t="n"/>
      <c r="E1098" s="5">
        <f>IF(C1098="","",IF(계산!CI1098="","날짜 확인",IF(계산!CJ1098="","금액 확인","")))</f>
        <v/>
      </c>
    </row>
    <row r="1099">
      <c r="A1099" s="3" t="n"/>
      <c r="C1099" s="4" t="n"/>
      <c r="E1099" s="5">
        <f>IF(C1099="","",IF(계산!CI1099="","날짜 확인",IF(계산!CJ1099="","금액 확인","")))</f>
        <v/>
      </c>
    </row>
    <row r="1100">
      <c r="A1100" s="3" t="n"/>
      <c r="C1100" s="4" t="n"/>
      <c r="E1100" s="5">
        <f>IF(C1100="","",IF(계산!CI1100="","날짜 확인",IF(계산!CJ1100="","금액 확인","")))</f>
        <v/>
      </c>
    </row>
    <row r="1101">
      <c r="A1101" s="3" t="n"/>
      <c r="C1101" s="4" t="n"/>
      <c r="E1101" s="5">
        <f>IF(C1101="","",IF(계산!CI1101="","날짜 확인",IF(계산!CJ1101="","금액 확인","")))</f>
        <v/>
      </c>
    </row>
    <row r="1102">
      <c r="A1102" s="3" t="n"/>
      <c r="C1102" s="4" t="n"/>
      <c r="E1102" s="5">
        <f>IF(C1102="","",IF(계산!CI1102="","날짜 확인",IF(계산!CJ1102="","금액 확인","")))</f>
        <v/>
      </c>
    </row>
    <row r="1103">
      <c r="A1103" s="3" t="n"/>
      <c r="C1103" s="4" t="n"/>
      <c r="E1103" s="5">
        <f>IF(C1103="","",IF(계산!CI1103="","날짜 확인",IF(계산!CJ1103="","금액 확인","")))</f>
        <v/>
      </c>
    </row>
    <row r="1104">
      <c r="A1104" s="3" t="n"/>
      <c r="C1104" s="4" t="n"/>
      <c r="E1104" s="5">
        <f>IF(C1104="","",IF(계산!CI1104="","날짜 확인",IF(계산!CJ1104="","금액 확인","")))</f>
        <v/>
      </c>
    </row>
    <row r="1105">
      <c r="A1105" s="3" t="n"/>
      <c r="C1105" s="4" t="n"/>
      <c r="E1105" s="5">
        <f>IF(C1105="","",IF(계산!CI1105="","날짜 확인",IF(계산!CJ1105="","금액 확인","")))</f>
        <v/>
      </c>
    </row>
    <row r="1106">
      <c r="A1106" s="3" t="n"/>
      <c r="C1106" s="4" t="n"/>
      <c r="E1106" s="5">
        <f>IF(C1106="","",IF(계산!CI1106="","날짜 확인",IF(계산!CJ1106="","금액 확인","")))</f>
        <v/>
      </c>
    </row>
    <row r="1107">
      <c r="A1107" s="3" t="n"/>
      <c r="C1107" s="4" t="n"/>
      <c r="E1107" s="5">
        <f>IF(C1107="","",IF(계산!CI1107="","날짜 확인",IF(계산!CJ1107="","금액 확인","")))</f>
        <v/>
      </c>
    </row>
    <row r="1108">
      <c r="A1108" s="3" t="n"/>
      <c r="C1108" s="4" t="n"/>
      <c r="E1108" s="5">
        <f>IF(C1108="","",IF(계산!CI1108="","날짜 확인",IF(계산!CJ1108="","금액 확인","")))</f>
        <v/>
      </c>
    </row>
    <row r="1109">
      <c r="A1109" s="3" t="n"/>
      <c r="C1109" s="4" t="n"/>
      <c r="E1109" s="5">
        <f>IF(C1109="","",IF(계산!CI1109="","날짜 확인",IF(계산!CJ1109="","금액 확인","")))</f>
        <v/>
      </c>
    </row>
    <row r="1110">
      <c r="A1110" s="3" t="n"/>
      <c r="C1110" s="4" t="n"/>
      <c r="E1110" s="5">
        <f>IF(C1110="","",IF(계산!CI1110="","날짜 확인",IF(계산!CJ1110="","금액 확인","")))</f>
        <v/>
      </c>
    </row>
    <row r="1111">
      <c r="A1111" s="3" t="n"/>
      <c r="C1111" s="4" t="n"/>
      <c r="E1111" s="5">
        <f>IF(C1111="","",IF(계산!CI1111="","날짜 확인",IF(계산!CJ1111="","금액 확인","")))</f>
        <v/>
      </c>
    </row>
    <row r="1112">
      <c r="A1112" s="3" t="n"/>
      <c r="C1112" s="4" t="n"/>
      <c r="E1112" s="5">
        <f>IF(C1112="","",IF(계산!CI1112="","날짜 확인",IF(계산!CJ1112="","금액 확인","")))</f>
        <v/>
      </c>
    </row>
    <row r="1113">
      <c r="A1113" s="3" t="n"/>
      <c r="C1113" s="4" t="n"/>
      <c r="E1113" s="5">
        <f>IF(C1113="","",IF(계산!CI1113="","날짜 확인",IF(계산!CJ1113="","금액 확인","")))</f>
        <v/>
      </c>
    </row>
    <row r="1114">
      <c r="A1114" s="3" t="n"/>
      <c r="C1114" s="4" t="n"/>
      <c r="E1114" s="5">
        <f>IF(C1114="","",IF(계산!CI1114="","날짜 확인",IF(계산!CJ1114="","금액 확인","")))</f>
        <v/>
      </c>
    </row>
    <row r="1115">
      <c r="A1115" s="3" t="n"/>
      <c r="C1115" s="4" t="n"/>
      <c r="E1115" s="5">
        <f>IF(C1115="","",IF(계산!CI1115="","날짜 확인",IF(계산!CJ1115="","금액 확인","")))</f>
        <v/>
      </c>
    </row>
    <row r="1116">
      <c r="A1116" s="3" t="n"/>
      <c r="C1116" s="4" t="n"/>
      <c r="E1116" s="5">
        <f>IF(C1116="","",IF(계산!CI1116="","날짜 확인",IF(계산!CJ1116="","금액 확인","")))</f>
        <v/>
      </c>
    </row>
    <row r="1117">
      <c r="A1117" s="3" t="n"/>
      <c r="C1117" s="4" t="n"/>
      <c r="E1117" s="5">
        <f>IF(C1117="","",IF(계산!CI1117="","날짜 확인",IF(계산!CJ1117="","금액 확인","")))</f>
        <v/>
      </c>
    </row>
    <row r="1118">
      <c r="A1118" s="3" t="n"/>
      <c r="C1118" s="4" t="n"/>
      <c r="E1118" s="5">
        <f>IF(C1118="","",IF(계산!CI1118="","날짜 확인",IF(계산!CJ1118="","금액 확인","")))</f>
        <v/>
      </c>
    </row>
    <row r="1119">
      <c r="A1119" s="3" t="n"/>
      <c r="C1119" s="4" t="n"/>
      <c r="E1119" s="5">
        <f>IF(C1119="","",IF(계산!CI1119="","날짜 확인",IF(계산!CJ1119="","금액 확인","")))</f>
        <v/>
      </c>
    </row>
    <row r="1120">
      <c r="A1120" s="3" t="n"/>
      <c r="C1120" s="4" t="n"/>
      <c r="E1120" s="5">
        <f>IF(C1120="","",IF(계산!CI1120="","날짜 확인",IF(계산!CJ1120="","금액 확인","")))</f>
        <v/>
      </c>
    </row>
    <row r="1121">
      <c r="A1121" s="3" t="n"/>
      <c r="C1121" s="4" t="n"/>
      <c r="E1121" s="5">
        <f>IF(C1121="","",IF(계산!CI1121="","날짜 확인",IF(계산!CJ1121="","금액 확인","")))</f>
        <v/>
      </c>
    </row>
    <row r="1122">
      <c r="A1122" s="3" t="n"/>
      <c r="C1122" s="4" t="n"/>
      <c r="E1122" s="5">
        <f>IF(C1122="","",IF(계산!CI1122="","날짜 확인",IF(계산!CJ1122="","금액 확인","")))</f>
        <v/>
      </c>
    </row>
    <row r="1123">
      <c r="A1123" s="3" t="n"/>
      <c r="C1123" s="4" t="n"/>
      <c r="E1123" s="5">
        <f>IF(C1123="","",IF(계산!CI1123="","날짜 확인",IF(계산!CJ1123="","금액 확인","")))</f>
        <v/>
      </c>
    </row>
    <row r="1124">
      <c r="A1124" s="3" t="n"/>
      <c r="C1124" s="4" t="n"/>
      <c r="E1124" s="5">
        <f>IF(C1124="","",IF(계산!CI1124="","날짜 확인",IF(계산!CJ1124="","금액 확인","")))</f>
        <v/>
      </c>
    </row>
    <row r="1125">
      <c r="A1125" s="3" t="n"/>
      <c r="C1125" s="4" t="n"/>
      <c r="E1125" s="5">
        <f>IF(C1125="","",IF(계산!CI1125="","날짜 확인",IF(계산!CJ1125="","금액 확인","")))</f>
        <v/>
      </c>
    </row>
    <row r="1126">
      <c r="A1126" s="3" t="n"/>
      <c r="C1126" s="4" t="n"/>
      <c r="E1126" s="5">
        <f>IF(C1126="","",IF(계산!CI1126="","날짜 확인",IF(계산!CJ1126="","금액 확인","")))</f>
        <v/>
      </c>
    </row>
    <row r="1127">
      <c r="A1127" s="3" t="n"/>
      <c r="C1127" s="4" t="n"/>
      <c r="E1127" s="5">
        <f>IF(C1127="","",IF(계산!CI1127="","날짜 확인",IF(계산!CJ1127="","금액 확인","")))</f>
        <v/>
      </c>
    </row>
    <row r="1128">
      <c r="A1128" s="3" t="n"/>
      <c r="C1128" s="4" t="n"/>
      <c r="E1128" s="5">
        <f>IF(C1128="","",IF(계산!CI1128="","날짜 확인",IF(계산!CJ1128="","금액 확인","")))</f>
        <v/>
      </c>
    </row>
    <row r="1129">
      <c r="A1129" s="3" t="n"/>
      <c r="C1129" s="4" t="n"/>
      <c r="E1129" s="5">
        <f>IF(C1129="","",IF(계산!CI1129="","날짜 확인",IF(계산!CJ1129="","금액 확인","")))</f>
        <v/>
      </c>
    </row>
    <row r="1130">
      <c r="A1130" s="3" t="n"/>
      <c r="C1130" s="4" t="n"/>
      <c r="E1130" s="5">
        <f>IF(C1130="","",IF(계산!CI1130="","날짜 확인",IF(계산!CJ1130="","금액 확인","")))</f>
        <v/>
      </c>
    </row>
    <row r="1131">
      <c r="A1131" s="3" t="n"/>
      <c r="C1131" s="4" t="n"/>
      <c r="E1131" s="5">
        <f>IF(C1131="","",IF(계산!CI1131="","날짜 확인",IF(계산!CJ1131="","금액 확인","")))</f>
        <v/>
      </c>
    </row>
    <row r="1132">
      <c r="A1132" s="3" t="n"/>
      <c r="C1132" s="4" t="n"/>
      <c r="E1132" s="5">
        <f>IF(C1132="","",IF(계산!CI1132="","날짜 확인",IF(계산!CJ1132="","금액 확인","")))</f>
        <v/>
      </c>
    </row>
    <row r="1133">
      <c r="A1133" s="3" t="n"/>
      <c r="C1133" s="4" t="n"/>
      <c r="E1133" s="5">
        <f>IF(C1133="","",IF(계산!CI1133="","날짜 확인",IF(계산!CJ1133="","금액 확인","")))</f>
        <v/>
      </c>
    </row>
    <row r="1134">
      <c r="A1134" s="3" t="n"/>
      <c r="C1134" s="4" t="n"/>
      <c r="E1134" s="5">
        <f>IF(C1134="","",IF(계산!CI1134="","날짜 확인",IF(계산!CJ1134="","금액 확인","")))</f>
        <v/>
      </c>
    </row>
    <row r="1135">
      <c r="A1135" s="3" t="n"/>
      <c r="C1135" s="4" t="n"/>
      <c r="E1135" s="5">
        <f>IF(C1135="","",IF(계산!CI1135="","날짜 확인",IF(계산!CJ1135="","금액 확인","")))</f>
        <v/>
      </c>
    </row>
    <row r="1136">
      <c r="A1136" s="3" t="n"/>
      <c r="C1136" s="4" t="n"/>
      <c r="E1136" s="5">
        <f>IF(C1136="","",IF(계산!CI1136="","날짜 확인",IF(계산!CJ1136="","금액 확인","")))</f>
        <v/>
      </c>
    </row>
    <row r="1137">
      <c r="A1137" s="3" t="n"/>
      <c r="C1137" s="4" t="n"/>
      <c r="E1137" s="5">
        <f>IF(C1137="","",IF(계산!CI1137="","날짜 확인",IF(계산!CJ1137="","금액 확인","")))</f>
        <v/>
      </c>
    </row>
    <row r="1138">
      <c r="A1138" s="3" t="n"/>
      <c r="C1138" s="4" t="n"/>
      <c r="E1138" s="5">
        <f>IF(C1138="","",IF(계산!CI1138="","날짜 확인",IF(계산!CJ1138="","금액 확인","")))</f>
        <v/>
      </c>
    </row>
    <row r="1139">
      <c r="A1139" s="3" t="n"/>
      <c r="C1139" s="4" t="n"/>
      <c r="E1139" s="5">
        <f>IF(C1139="","",IF(계산!CI1139="","날짜 확인",IF(계산!CJ1139="","금액 확인","")))</f>
        <v/>
      </c>
    </row>
    <row r="1140">
      <c r="A1140" s="3" t="n"/>
      <c r="C1140" s="4" t="n"/>
      <c r="E1140" s="5">
        <f>IF(C1140="","",IF(계산!CI1140="","날짜 확인",IF(계산!CJ1140="","금액 확인","")))</f>
        <v/>
      </c>
    </row>
    <row r="1141">
      <c r="A1141" s="3" t="n"/>
      <c r="C1141" s="4" t="n"/>
      <c r="E1141" s="5">
        <f>IF(C1141="","",IF(계산!CI1141="","날짜 확인",IF(계산!CJ1141="","금액 확인","")))</f>
        <v/>
      </c>
    </row>
    <row r="1142">
      <c r="A1142" s="3" t="n"/>
      <c r="C1142" s="4" t="n"/>
      <c r="E1142" s="5">
        <f>IF(C1142="","",IF(계산!CI1142="","날짜 확인",IF(계산!CJ1142="","금액 확인","")))</f>
        <v/>
      </c>
    </row>
    <row r="1143">
      <c r="A1143" s="3" t="n"/>
      <c r="C1143" s="4" t="n"/>
      <c r="E1143" s="5">
        <f>IF(C1143="","",IF(계산!CI1143="","날짜 확인",IF(계산!CJ1143="","금액 확인","")))</f>
        <v/>
      </c>
    </row>
    <row r="1144">
      <c r="A1144" s="3" t="n"/>
      <c r="C1144" s="4" t="n"/>
      <c r="E1144" s="5">
        <f>IF(C1144="","",IF(계산!CI1144="","날짜 확인",IF(계산!CJ1144="","금액 확인","")))</f>
        <v/>
      </c>
    </row>
    <row r="1145">
      <c r="A1145" s="3" t="n"/>
      <c r="C1145" s="4" t="n"/>
      <c r="E1145" s="5">
        <f>IF(C1145="","",IF(계산!CI1145="","날짜 확인",IF(계산!CJ1145="","금액 확인","")))</f>
        <v/>
      </c>
    </row>
    <row r="1146">
      <c r="A1146" s="3" t="n"/>
      <c r="C1146" s="4" t="n"/>
      <c r="E1146" s="5">
        <f>IF(C1146="","",IF(계산!CI1146="","날짜 확인",IF(계산!CJ1146="","금액 확인","")))</f>
        <v/>
      </c>
    </row>
    <row r="1147">
      <c r="A1147" s="3" t="n"/>
      <c r="C1147" s="4" t="n"/>
      <c r="E1147" s="5">
        <f>IF(C1147="","",IF(계산!CI1147="","날짜 확인",IF(계산!CJ1147="","금액 확인","")))</f>
        <v/>
      </c>
    </row>
    <row r="1148">
      <c r="A1148" s="3" t="n"/>
      <c r="C1148" s="4" t="n"/>
      <c r="E1148" s="5">
        <f>IF(C1148="","",IF(계산!CI1148="","날짜 확인",IF(계산!CJ1148="","금액 확인","")))</f>
        <v/>
      </c>
    </row>
    <row r="1149">
      <c r="A1149" s="3" t="n"/>
      <c r="C1149" s="4" t="n"/>
      <c r="E1149" s="5">
        <f>IF(C1149="","",IF(계산!CI1149="","날짜 확인",IF(계산!CJ1149="","금액 확인","")))</f>
        <v/>
      </c>
    </row>
    <row r="1150">
      <c r="A1150" s="3" t="n"/>
      <c r="C1150" s="4" t="n"/>
      <c r="E1150" s="5">
        <f>IF(C1150="","",IF(계산!CI1150="","날짜 확인",IF(계산!CJ1150="","금액 확인","")))</f>
        <v/>
      </c>
    </row>
    <row r="1151">
      <c r="A1151" s="3" t="n"/>
      <c r="C1151" s="4" t="n"/>
      <c r="E1151" s="5">
        <f>IF(C1151="","",IF(계산!CI1151="","날짜 확인",IF(계산!CJ1151="","금액 확인","")))</f>
        <v/>
      </c>
    </row>
    <row r="1152">
      <c r="A1152" s="3" t="n"/>
      <c r="C1152" s="4" t="n"/>
      <c r="E1152" s="5">
        <f>IF(C1152="","",IF(계산!CI1152="","날짜 확인",IF(계산!CJ1152="","금액 확인","")))</f>
        <v/>
      </c>
    </row>
    <row r="1153">
      <c r="A1153" s="3" t="n"/>
      <c r="C1153" s="4" t="n"/>
      <c r="E1153" s="5">
        <f>IF(C1153="","",IF(계산!CI1153="","날짜 확인",IF(계산!CJ1153="","금액 확인","")))</f>
        <v/>
      </c>
    </row>
    <row r="1154">
      <c r="A1154" s="3" t="n"/>
      <c r="C1154" s="4" t="n"/>
      <c r="E1154" s="5">
        <f>IF(C1154="","",IF(계산!CI1154="","날짜 확인",IF(계산!CJ1154="","금액 확인","")))</f>
        <v/>
      </c>
    </row>
    <row r="1155">
      <c r="A1155" s="3" t="n"/>
      <c r="C1155" s="4" t="n"/>
      <c r="E1155" s="5">
        <f>IF(C1155="","",IF(계산!CI1155="","날짜 확인",IF(계산!CJ1155="","금액 확인","")))</f>
        <v/>
      </c>
    </row>
    <row r="1156">
      <c r="A1156" s="3" t="n"/>
      <c r="C1156" s="4" t="n"/>
      <c r="E1156" s="5">
        <f>IF(C1156="","",IF(계산!CI1156="","날짜 확인",IF(계산!CJ1156="","금액 확인","")))</f>
        <v/>
      </c>
    </row>
    <row r="1157">
      <c r="A1157" s="3" t="n"/>
      <c r="C1157" s="4" t="n"/>
      <c r="E1157" s="5">
        <f>IF(C1157="","",IF(계산!CI1157="","날짜 확인",IF(계산!CJ1157="","금액 확인","")))</f>
        <v/>
      </c>
    </row>
    <row r="1158">
      <c r="A1158" s="3" t="n"/>
      <c r="C1158" s="4" t="n"/>
      <c r="E1158" s="5">
        <f>IF(C1158="","",IF(계산!CI1158="","날짜 확인",IF(계산!CJ1158="","금액 확인","")))</f>
        <v/>
      </c>
    </row>
    <row r="1159">
      <c r="A1159" s="3" t="n"/>
      <c r="C1159" s="4" t="n"/>
      <c r="E1159" s="5">
        <f>IF(C1159="","",IF(계산!CI1159="","날짜 확인",IF(계산!CJ1159="","금액 확인","")))</f>
        <v/>
      </c>
    </row>
    <row r="1160">
      <c r="A1160" s="3" t="n"/>
      <c r="C1160" s="4" t="n"/>
      <c r="E1160" s="5">
        <f>IF(C1160="","",IF(계산!CI1160="","날짜 확인",IF(계산!CJ1160="","금액 확인","")))</f>
        <v/>
      </c>
    </row>
    <row r="1161">
      <c r="A1161" s="3" t="n"/>
      <c r="C1161" s="4" t="n"/>
      <c r="E1161" s="5">
        <f>IF(C1161="","",IF(계산!CI1161="","날짜 확인",IF(계산!CJ1161="","금액 확인","")))</f>
        <v/>
      </c>
    </row>
    <row r="1162">
      <c r="A1162" s="3" t="n"/>
      <c r="C1162" s="4" t="n"/>
      <c r="E1162" s="5">
        <f>IF(C1162="","",IF(계산!CI1162="","날짜 확인",IF(계산!CJ1162="","금액 확인","")))</f>
        <v/>
      </c>
    </row>
    <row r="1163">
      <c r="A1163" s="3" t="n"/>
      <c r="C1163" s="4" t="n"/>
      <c r="E1163" s="5">
        <f>IF(C1163="","",IF(계산!CI1163="","날짜 확인",IF(계산!CJ1163="","금액 확인","")))</f>
        <v/>
      </c>
    </row>
    <row r="1164">
      <c r="A1164" s="3" t="n"/>
      <c r="C1164" s="4" t="n"/>
      <c r="E1164" s="5">
        <f>IF(C1164="","",IF(계산!CI1164="","날짜 확인",IF(계산!CJ1164="","금액 확인","")))</f>
        <v/>
      </c>
    </row>
    <row r="1165">
      <c r="A1165" s="3" t="n"/>
      <c r="C1165" s="4" t="n"/>
      <c r="E1165" s="5">
        <f>IF(C1165="","",IF(계산!CI1165="","날짜 확인",IF(계산!CJ1165="","금액 확인","")))</f>
        <v/>
      </c>
    </row>
    <row r="1166">
      <c r="A1166" s="3" t="n"/>
      <c r="C1166" s="4" t="n"/>
      <c r="E1166" s="5">
        <f>IF(C1166="","",IF(계산!CI1166="","날짜 확인",IF(계산!CJ1166="","금액 확인","")))</f>
        <v/>
      </c>
    </row>
    <row r="1167">
      <c r="A1167" s="3" t="n"/>
      <c r="C1167" s="4" t="n"/>
      <c r="E1167" s="5">
        <f>IF(C1167="","",IF(계산!CI1167="","날짜 확인",IF(계산!CJ1167="","금액 확인","")))</f>
        <v/>
      </c>
    </row>
    <row r="1168">
      <c r="A1168" s="3" t="n"/>
      <c r="C1168" s="4" t="n"/>
      <c r="E1168" s="5">
        <f>IF(C1168="","",IF(계산!CI1168="","날짜 확인",IF(계산!CJ1168="","금액 확인","")))</f>
        <v/>
      </c>
    </row>
    <row r="1169">
      <c r="A1169" s="3" t="n"/>
      <c r="C1169" s="4" t="n"/>
      <c r="E1169" s="5">
        <f>IF(C1169="","",IF(계산!CI1169="","날짜 확인",IF(계산!CJ1169="","금액 확인","")))</f>
        <v/>
      </c>
    </row>
    <row r="1170">
      <c r="A1170" s="3" t="n"/>
      <c r="C1170" s="4" t="n"/>
      <c r="E1170" s="5">
        <f>IF(C1170="","",IF(계산!CI1170="","날짜 확인",IF(계산!CJ1170="","금액 확인","")))</f>
        <v/>
      </c>
    </row>
    <row r="1171">
      <c r="A1171" s="3" t="n"/>
      <c r="C1171" s="4" t="n"/>
      <c r="E1171" s="5">
        <f>IF(C1171="","",IF(계산!CI1171="","날짜 확인",IF(계산!CJ1171="","금액 확인","")))</f>
        <v/>
      </c>
    </row>
    <row r="1172">
      <c r="A1172" s="3" t="n"/>
      <c r="C1172" s="4" t="n"/>
      <c r="E1172" s="5">
        <f>IF(C1172="","",IF(계산!CI1172="","날짜 확인",IF(계산!CJ1172="","금액 확인","")))</f>
        <v/>
      </c>
    </row>
    <row r="1173">
      <c r="A1173" s="3" t="n"/>
      <c r="C1173" s="4" t="n"/>
      <c r="E1173" s="5">
        <f>IF(C1173="","",IF(계산!CI1173="","날짜 확인",IF(계산!CJ1173="","금액 확인","")))</f>
        <v/>
      </c>
    </row>
    <row r="1174">
      <c r="A1174" s="3" t="n"/>
      <c r="C1174" s="4" t="n"/>
      <c r="E1174" s="5">
        <f>IF(C1174="","",IF(계산!CI1174="","날짜 확인",IF(계산!CJ1174="","금액 확인","")))</f>
        <v/>
      </c>
    </row>
    <row r="1175">
      <c r="A1175" s="3" t="n"/>
      <c r="C1175" s="4" t="n"/>
      <c r="E1175" s="5">
        <f>IF(C1175="","",IF(계산!CI1175="","날짜 확인",IF(계산!CJ1175="","금액 확인","")))</f>
        <v/>
      </c>
    </row>
    <row r="1176">
      <c r="A1176" s="3" t="n"/>
      <c r="C1176" s="4" t="n"/>
      <c r="E1176" s="5">
        <f>IF(C1176="","",IF(계산!CI1176="","날짜 확인",IF(계산!CJ1176="","금액 확인","")))</f>
        <v/>
      </c>
    </row>
    <row r="1177">
      <c r="A1177" s="3" t="n"/>
      <c r="C1177" s="4" t="n"/>
      <c r="E1177" s="5">
        <f>IF(C1177="","",IF(계산!CI1177="","날짜 확인",IF(계산!CJ1177="","금액 확인","")))</f>
        <v/>
      </c>
    </row>
    <row r="1178">
      <c r="A1178" s="3" t="n"/>
      <c r="C1178" s="4" t="n"/>
      <c r="E1178" s="5">
        <f>IF(C1178="","",IF(계산!CI1178="","날짜 확인",IF(계산!CJ1178="","금액 확인","")))</f>
        <v/>
      </c>
    </row>
    <row r="1179">
      <c r="A1179" s="3" t="n"/>
      <c r="C1179" s="4" t="n"/>
      <c r="E1179" s="5">
        <f>IF(C1179="","",IF(계산!CI1179="","날짜 확인",IF(계산!CJ1179="","금액 확인","")))</f>
        <v/>
      </c>
    </row>
    <row r="1180">
      <c r="A1180" s="3" t="n"/>
      <c r="C1180" s="4" t="n"/>
      <c r="E1180" s="5">
        <f>IF(C1180="","",IF(계산!CI1180="","날짜 확인",IF(계산!CJ1180="","금액 확인","")))</f>
        <v/>
      </c>
    </row>
    <row r="1181">
      <c r="A1181" s="3" t="n"/>
      <c r="C1181" s="4" t="n"/>
      <c r="E1181" s="5">
        <f>IF(C1181="","",IF(계산!CI1181="","날짜 확인",IF(계산!CJ1181="","금액 확인","")))</f>
        <v/>
      </c>
    </row>
    <row r="1182">
      <c r="A1182" s="3" t="n"/>
      <c r="C1182" s="4" t="n"/>
      <c r="E1182" s="5">
        <f>IF(C1182="","",IF(계산!CI1182="","날짜 확인",IF(계산!CJ1182="","금액 확인","")))</f>
        <v/>
      </c>
    </row>
    <row r="1183">
      <c r="A1183" s="3" t="n"/>
      <c r="C1183" s="4" t="n"/>
      <c r="E1183" s="5">
        <f>IF(C1183="","",IF(계산!CI1183="","날짜 확인",IF(계산!CJ1183="","금액 확인","")))</f>
        <v/>
      </c>
    </row>
    <row r="1184">
      <c r="A1184" s="3" t="n"/>
      <c r="C1184" s="4" t="n"/>
      <c r="E1184" s="5">
        <f>IF(C1184="","",IF(계산!CI1184="","날짜 확인",IF(계산!CJ1184="","금액 확인","")))</f>
        <v/>
      </c>
    </row>
    <row r="1185">
      <c r="A1185" s="3" t="n"/>
      <c r="C1185" s="4" t="n"/>
      <c r="E1185" s="5">
        <f>IF(C1185="","",IF(계산!CI1185="","날짜 확인",IF(계산!CJ1185="","금액 확인","")))</f>
        <v/>
      </c>
    </row>
    <row r="1186">
      <c r="A1186" s="3" t="n"/>
      <c r="C1186" s="4" t="n"/>
      <c r="E1186" s="5">
        <f>IF(C1186="","",IF(계산!CI1186="","날짜 확인",IF(계산!CJ1186="","금액 확인","")))</f>
        <v/>
      </c>
    </row>
    <row r="1187">
      <c r="A1187" s="3" t="n"/>
      <c r="C1187" s="4" t="n"/>
      <c r="E1187" s="5">
        <f>IF(C1187="","",IF(계산!CI1187="","날짜 확인",IF(계산!CJ1187="","금액 확인","")))</f>
        <v/>
      </c>
    </row>
    <row r="1188">
      <c r="A1188" s="3" t="n"/>
      <c r="C1188" s="4" t="n"/>
      <c r="E1188" s="5">
        <f>IF(C1188="","",IF(계산!CI1188="","날짜 확인",IF(계산!CJ1188="","금액 확인","")))</f>
        <v/>
      </c>
    </row>
    <row r="1189">
      <c r="A1189" s="3" t="n"/>
      <c r="C1189" s="4" t="n"/>
      <c r="E1189" s="5">
        <f>IF(C1189="","",IF(계산!CI1189="","날짜 확인",IF(계산!CJ1189="","금액 확인","")))</f>
        <v/>
      </c>
    </row>
    <row r="1190">
      <c r="A1190" s="3" t="n"/>
      <c r="C1190" s="4" t="n"/>
      <c r="E1190" s="5">
        <f>IF(C1190="","",IF(계산!CI1190="","날짜 확인",IF(계산!CJ1190="","금액 확인","")))</f>
        <v/>
      </c>
    </row>
    <row r="1191">
      <c r="A1191" s="3" t="n"/>
      <c r="C1191" s="4" t="n"/>
      <c r="E1191" s="5">
        <f>IF(C1191="","",IF(계산!CI1191="","날짜 확인",IF(계산!CJ1191="","금액 확인","")))</f>
        <v/>
      </c>
    </row>
    <row r="1192">
      <c r="A1192" s="3" t="n"/>
      <c r="C1192" s="4" t="n"/>
      <c r="E1192" s="5">
        <f>IF(C1192="","",IF(계산!CI1192="","날짜 확인",IF(계산!CJ1192="","금액 확인","")))</f>
        <v/>
      </c>
    </row>
    <row r="1193">
      <c r="A1193" s="3" t="n"/>
      <c r="C1193" s="4" t="n"/>
      <c r="E1193" s="5">
        <f>IF(C1193="","",IF(계산!CI1193="","날짜 확인",IF(계산!CJ1193="","금액 확인","")))</f>
        <v/>
      </c>
    </row>
    <row r="1194">
      <c r="A1194" s="3" t="n"/>
      <c r="C1194" s="4" t="n"/>
      <c r="E1194" s="5">
        <f>IF(C1194="","",IF(계산!CI1194="","날짜 확인",IF(계산!CJ1194="","금액 확인","")))</f>
        <v/>
      </c>
    </row>
    <row r="1195">
      <c r="A1195" s="3" t="n"/>
      <c r="C1195" s="4" t="n"/>
      <c r="E1195" s="5">
        <f>IF(C1195="","",IF(계산!CI1195="","날짜 확인",IF(계산!CJ1195="","금액 확인","")))</f>
        <v/>
      </c>
    </row>
    <row r="1196">
      <c r="A1196" s="3" t="n"/>
      <c r="C1196" s="4" t="n"/>
      <c r="E1196" s="5">
        <f>IF(C1196="","",IF(계산!CI1196="","날짜 확인",IF(계산!CJ1196="","금액 확인","")))</f>
        <v/>
      </c>
    </row>
    <row r="1197">
      <c r="A1197" s="3" t="n"/>
      <c r="C1197" s="4" t="n"/>
      <c r="E1197" s="5">
        <f>IF(C1197="","",IF(계산!CI1197="","날짜 확인",IF(계산!CJ1197="","금액 확인","")))</f>
        <v/>
      </c>
    </row>
    <row r="1198">
      <c r="A1198" s="3" t="n"/>
      <c r="C1198" s="4" t="n"/>
      <c r="E1198" s="5">
        <f>IF(C1198="","",IF(계산!CI1198="","날짜 확인",IF(계산!CJ1198="","금액 확인","")))</f>
        <v/>
      </c>
    </row>
    <row r="1199">
      <c r="A1199" s="3" t="n"/>
      <c r="C1199" s="4" t="n"/>
      <c r="E1199" s="5">
        <f>IF(C1199="","",IF(계산!CI1199="","날짜 확인",IF(계산!CJ1199="","금액 확인","")))</f>
        <v/>
      </c>
    </row>
    <row r="1200">
      <c r="A1200" s="3" t="n"/>
      <c r="C1200" s="4" t="n"/>
      <c r="E1200" s="5">
        <f>IF(C1200="","",IF(계산!CI1200="","날짜 확인",IF(계산!CJ1200="","금액 확인","")))</f>
        <v/>
      </c>
    </row>
    <row r="1201">
      <c r="A1201" s="3" t="n"/>
      <c r="C1201" s="4" t="n"/>
      <c r="E1201" s="5">
        <f>IF(C1201="","",IF(계산!CI1201="","날짜 확인",IF(계산!CJ1201="","금액 확인","")))</f>
        <v/>
      </c>
    </row>
    <row r="1202">
      <c r="A1202" s="3" t="n"/>
      <c r="C1202" s="4" t="n"/>
      <c r="E1202" s="5">
        <f>IF(C1202="","",IF(계산!CI1202="","날짜 확인",IF(계산!CJ1202="","금액 확인","")))</f>
        <v/>
      </c>
    </row>
    <row r="1203">
      <c r="A1203" s="3" t="n"/>
      <c r="C1203" s="4" t="n"/>
      <c r="E1203" s="5">
        <f>IF(C1203="","",IF(계산!CI1203="","날짜 확인",IF(계산!CJ1203="","금액 확인","")))</f>
        <v/>
      </c>
    </row>
    <row r="1204">
      <c r="A1204" s="3" t="n"/>
      <c r="C1204" s="4" t="n"/>
      <c r="E1204" s="5">
        <f>IF(C1204="","",IF(계산!CI1204="","날짜 확인",IF(계산!CJ1204="","금액 확인","")))</f>
        <v/>
      </c>
    </row>
    <row r="1205">
      <c r="A1205" s="3" t="n"/>
      <c r="C1205" s="4" t="n"/>
      <c r="E1205" s="5">
        <f>IF(C1205="","",IF(계산!CI1205="","날짜 확인",IF(계산!CJ1205="","금액 확인","")))</f>
        <v/>
      </c>
    </row>
    <row r="1206">
      <c r="A1206" s="3" t="n"/>
      <c r="C1206" s="4" t="n"/>
      <c r="E1206" s="5">
        <f>IF(C1206="","",IF(계산!CI1206="","날짜 확인",IF(계산!CJ1206="","금액 확인","")))</f>
        <v/>
      </c>
    </row>
    <row r="1207">
      <c r="A1207" s="3" t="n"/>
      <c r="C1207" s="4" t="n"/>
      <c r="E1207" s="5">
        <f>IF(C1207="","",IF(계산!CI1207="","날짜 확인",IF(계산!CJ1207="","금액 확인","")))</f>
        <v/>
      </c>
    </row>
    <row r="1208">
      <c r="A1208" s="3" t="n"/>
      <c r="C1208" s="4" t="n"/>
      <c r="E1208" s="5">
        <f>IF(C1208="","",IF(계산!CI1208="","날짜 확인",IF(계산!CJ1208="","금액 확인","")))</f>
        <v/>
      </c>
    </row>
    <row r="1209">
      <c r="A1209" s="3" t="n"/>
      <c r="C1209" s="4" t="n"/>
      <c r="E1209" s="5">
        <f>IF(C1209="","",IF(계산!CI1209="","날짜 확인",IF(계산!CJ1209="","금액 확인","")))</f>
        <v/>
      </c>
    </row>
    <row r="1210">
      <c r="A1210" s="3" t="n"/>
      <c r="C1210" s="4" t="n"/>
      <c r="E1210" s="5">
        <f>IF(C1210="","",IF(계산!CI1210="","날짜 확인",IF(계산!CJ1210="","금액 확인","")))</f>
        <v/>
      </c>
    </row>
    <row r="1211">
      <c r="A1211" s="3" t="n"/>
      <c r="C1211" s="4" t="n"/>
      <c r="E1211" s="5">
        <f>IF(C1211="","",IF(계산!CI1211="","날짜 확인",IF(계산!CJ1211="","금액 확인","")))</f>
        <v/>
      </c>
    </row>
    <row r="1212">
      <c r="A1212" s="3" t="n"/>
      <c r="C1212" s="4" t="n"/>
      <c r="E1212" s="5">
        <f>IF(C1212="","",IF(계산!CI1212="","날짜 확인",IF(계산!CJ1212="","금액 확인","")))</f>
        <v/>
      </c>
    </row>
    <row r="1213">
      <c r="A1213" s="3" t="n"/>
      <c r="C1213" s="4" t="n"/>
      <c r="E1213" s="5">
        <f>IF(C1213="","",IF(계산!CI1213="","날짜 확인",IF(계산!CJ1213="","금액 확인","")))</f>
        <v/>
      </c>
    </row>
    <row r="1214">
      <c r="A1214" s="3" t="n"/>
      <c r="C1214" s="4" t="n"/>
      <c r="E1214" s="5">
        <f>IF(C1214="","",IF(계산!CI1214="","날짜 확인",IF(계산!CJ1214="","금액 확인","")))</f>
        <v/>
      </c>
    </row>
    <row r="1215">
      <c r="A1215" s="3" t="n"/>
      <c r="C1215" s="4" t="n"/>
      <c r="E1215" s="5">
        <f>IF(C1215="","",IF(계산!CI1215="","날짜 확인",IF(계산!CJ1215="","금액 확인","")))</f>
        <v/>
      </c>
    </row>
    <row r="1216">
      <c r="A1216" s="3" t="n"/>
      <c r="C1216" s="4" t="n"/>
      <c r="E1216" s="5">
        <f>IF(C1216="","",IF(계산!CI1216="","날짜 확인",IF(계산!CJ1216="","금액 확인","")))</f>
        <v/>
      </c>
    </row>
    <row r="1217">
      <c r="A1217" s="3" t="n"/>
      <c r="C1217" s="4" t="n"/>
      <c r="E1217" s="5">
        <f>IF(C1217="","",IF(계산!CI1217="","날짜 확인",IF(계산!CJ1217="","금액 확인","")))</f>
        <v/>
      </c>
    </row>
    <row r="1218">
      <c r="A1218" s="3" t="n"/>
      <c r="C1218" s="4" t="n"/>
      <c r="E1218" s="5">
        <f>IF(C1218="","",IF(계산!CI1218="","날짜 확인",IF(계산!CJ1218="","금액 확인","")))</f>
        <v/>
      </c>
    </row>
    <row r="1219">
      <c r="A1219" s="3" t="n"/>
      <c r="C1219" s="4" t="n"/>
      <c r="E1219" s="5">
        <f>IF(C1219="","",IF(계산!CI1219="","날짜 확인",IF(계산!CJ1219="","금액 확인","")))</f>
        <v/>
      </c>
    </row>
    <row r="1220">
      <c r="A1220" s="3" t="n"/>
      <c r="C1220" s="4" t="n"/>
      <c r="E1220" s="5">
        <f>IF(C1220="","",IF(계산!CI1220="","날짜 확인",IF(계산!CJ1220="","금액 확인","")))</f>
        <v/>
      </c>
    </row>
    <row r="1221">
      <c r="A1221" s="3" t="n"/>
      <c r="C1221" s="4" t="n"/>
      <c r="E1221" s="5">
        <f>IF(C1221="","",IF(계산!CI1221="","날짜 확인",IF(계산!CJ1221="","금액 확인","")))</f>
        <v/>
      </c>
    </row>
    <row r="1222">
      <c r="A1222" s="3" t="n"/>
      <c r="C1222" s="4" t="n"/>
      <c r="E1222" s="5">
        <f>IF(C1222="","",IF(계산!CI1222="","날짜 확인",IF(계산!CJ1222="","금액 확인","")))</f>
        <v/>
      </c>
    </row>
    <row r="1223">
      <c r="A1223" s="3" t="n"/>
      <c r="C1223" s="4" t="n"/>
      <c r="E1223" s="5">
        <f>IF(C1223="","",IF(계산!CI1223="","날짜 확인",IF(계산!CJ1223="","금액 확인","")))</f>
        <v/>
      </c>
    </row>
    <row r="1224">
      <c r="A1224" s="3" t="n"/>
      <c r="C1224" s="4" t="n"/>
      <c r="E1224" s="5">
        <f>IF(C1224="","",IF(계산!CI1224="","날짜 확인",IF(계산!CJ1224="","금액 확인","")))</f>
        <v/>
      </c>
    </row>
    <row r="1225">
      <c r="A1225" s="3" t="n"/>
      <c r="C1225" s="4" t="n"/>
      <c r="E1225" s="5">
        <f>IF(C1225="","",IF(계산!CI1225="","날짜 확인",IF(계산!CJ1225="","금액 확인","")))</f>
        <v/>
      </c>
    </row>
    <row r="1226">
      <c r="A1226" s="3" t="n"/>
      <c r="C1226" s="4" t="n"/>
      <c r="E1226" s="5">
        <f>IF(C1226="","",IF(계산!CI1226="","날짜 확인",IF(계산!CJ1226="","금액 확인","")))</f>
        <v/>
      </c>
    </row>
    <row r="1227">
      <c r="A1227" s="3" t="n"/>
      <c r="C1227" s="4" t="n"/>
      <c r="E1227" s="5">
        <f>IF(C1227="","",IF(계산!CI1227="","날짜 확인",IF(계산!CJ1227="","금액 확인","")))</f>
        <v/>
      </c>
    </row>
    <row r="1228">
      <c r="A1228" s="3" t="n"/>
      <c r="C1228" s="4" t="n"/>
      <c r="E1228" s="5">
        <f>IF(C1228="","",IF(계산!CI1228="","날짜 확인",IF(계산!CJ1228="","금액 확인","")))</f>
        <v/>
      </c>
    </row>
    <row r="1229">
      <c r="A1229" s="3" t="n"/>
      <c r="C1229" s="4" t="n"/>
      <c r="E1229" s="5">
        <f>IF(C1229="","",IF(계산!CI1229="","날짜 확인",IF(계산!CJ1229="","금액 확인","")))</f>
        <v/>
      </c>
    </row>
    <row r="1230">
      <c r="A1230" s="3" t="n"/>
      <c r="C1230" s="4" t="n"/>
      <c r="E1230" s="5">
        <f>IF(C1230="","",IF(계산!CI1230="","날짜 확인",IF(계산!CJ1230="","금액 확인","")))</f>
        <v/>
      </c>
    </row>
    <row r="1231">
      <c r="A1231" s="3" t="n"/>
      <c r="C1231" s="4" t="n"/>
      <c r="E1231" s="5">
        <f>IF(C1231="","",IF(계산!CI1231="","날짜 확인",IF(계산!CJ1231="","금액 확인","")))</f>
        <v/>
      </c>
    </row>
    <row r="1232">
      <c r="A1232" s="3" t="n"/>
      <c r="C1232" s="4" t="n"/>
      <c r="E1232" s="5">
        <f>IF(C1232="","",IF(계산!CI1232="","날짜 확인",IF(계산!CJ1232="","금액 확인","")))</f>
        <v/>
      </c>
    </row>
    <row r="1233">
      <c r="A1233" s="3" t="n"/>
      <c r="C1233" s="4" t="n"/>
      <c r="E1233" s="5">
        <f>IF(C1233="","",IF(계산!CI1233="","날짜 확인",IF(계산!CJ1233="","금액 확인","")))</f>
        <v/>
      </c>
    </row>
    <row r="1234">
      <c r="A1234" s="3" t="n"/>
      <c r="C1234" s="4" t="n"/>
      <c r="E1234" s="5">
        <f>IF(C1234="","",IF(계산!CI1234="","날짜 확인",IF(계산!CJ1234="","금액 확인","")))</f>
        <v/>
      </c>
    </row>
    <row r="1235">
      <c r="A1235" s="3" t="n"/>
      <c r="C1235" s="4" t="n"/>
      <c r="E1235" s="5">
        <f>IF(C1235="","",IF(계산!CI1235="","날짜 확인",IF(계산!CJ1235="","금액 확인","")))</f>
        <v/>
      </c>
    </row>
    <row r="1236">
      <c r="A1236" s="3" t="n"/>
      <c r="C1236" s="4" t="n"/>
      <c r="E1236" s="5">
        <f>IF(C1236="","",IF(계산!CI1236="","날짜 확인",IF(계산!CJ1236="","금액 확인","")))</f>
        <v/>
      </c>
    </row>
    <row r="1237">
      <c r="A1237" s="3" t="n"/>
      <c r="C1237" s="4" t="n"/>
      <c r="E1237" s="5">
        <f>IF(C1237="","",IF(계산!CI1237="","날짜 확인",IF(계산!CJ1237="","금액 확인","")))</f>
        <v/>
      </c>
    </row>
    <row r="1238">
      <c r="A1238" s="3" t="n"/>
      <c r="C1238" s="4" t="n"/>
      <c r="E1238" s="5">
        <f>IF(C1238="","",IF(계산!CI1238="","날짜 확인",IF(계산!CJ1238="","금액 확인","")))</f>
        <v/>
      </c>
    </row>
    <row r="1239">
      <c r="A1239" s="3" t="n"/>
      <c r="C1239" s="4" t="n"/>
      <c r="E1239" s="5">
        <f>IF(C1239="","",IF(계산!CI1239="","날짜 확인",IF(계산!CJ1239="","금액 확인","")))</f>
        <v/>
      </c>
    </row>
    <row r="1240">
      <c r="A1240" s="3" t="n"/>
      <c r="C1240" s="4" t="n"/>
      <c r="E1240" s="5">
        <f>IF(C1240="","",IF(계산!CI1240="","날짜 확인",IF(계산!CJ1240="","금액 확인","")))</f>
        <v/>
      </c>
    </row>
    <row r="1241">
      <c r="A1241" s="3" t="n"/>
      <c r="C1241" s="4" t="n"/>
      <c r="E1241" s="5">
        <f>IF(C1241="","",IF(계산!CI1241="","날짜 확인",IF(계산!CJ1241="","금액 확인","")))</f>
        <v/>
      </c>
    </row>
    <row r="1242">
      <c r="A1242" s="3" t="n"/>
      <c r="C1242" s="4" t="n"/>
      <c r="E1242" s="5">
        <f>IF(C1242="","",IF(계산!CI1242="","날짜 확인",IF(계산!CJ1242="","금액 확인","")))</f>
        <v/>
      </c>
    </row>
    <row r="1243">
      <c r="A1243" s="3" t="n"/>
      <c r="C1243" s="4" t="n"/>
      <c r="E1243" s="5">
        <f>IF(C1243="","",IF(계산!CI1243="","날짜 확인",IF(계산!CJ1243="","금액 확인","")))</f>
        <v/>
      </c>
    </row>
    <row r="1244">
      <c r="A1244" s="3" t="n"/>
      <c r="C1244" s="4" t="n"/>
      <c r="E1244" s="5">
        <f>IF(C1244="","",IF(계산!CI1244="","날짜 확인",IF(계산!CJ1244="","금액 확인","")))</f>
        <v/>
      </c>
    </row>
    <row r="1245">
      <c r="A1245" s="3" t="n"/>
      <c r="C1245" s="4" t="n"/>
      <c r="E1245" s="5">
        <f>IF(C1245="","",IF(계산!CI1245="","날짜 확인",IF(계산!CJ1245="","금액 확인","")))</f>
        <v/>
      </c>
    </row>
    <row r="1246">
      <c r="A1246" s="3" t="n"/>
      <c r="C1246" s="4" t="n"/>
      <c r="E1246" s="5">
        <f>IF(C1246="","",IF(계산!CI1246="","날짜 확인",IF(계산!CJ1246="","금액 확인","")))</f>
        <v/>
      </c>
    </row>
    <row r="1247">
      <c r="A1247" s="3" t="n"/>
      <c r="C1247" s="4" t="n"/>
      <c r="E1247" s="5">
        <f>IF(C1247="","",IF(계산!CI1247="","날짜 확인",IF(계산!CJ1247="","금액 확인","")))</f>
        <v/>
      </c>
    </row>
    <row r="1248">
      <c r="A1248" s="3" t="n"/>
      <c r="C1248" s="4" t="n"/>
      <c r="E1248" s="5">
        <f>IF(C1248="","",IF(계산!CI1248="","날짜 확인",IF(계산!CJ1248="","금액 확인","")))</f>
        <v/>
      </c>
    </row>
    <row r="1249">
      <c r="A1249" s="3" t="n"/>
      <c r="C1249" s="4" t="n"/>
      <c r="E1249" s="5">
        <f>IF(C1249="","",IF(계산!CI1249="","날짜 확인",IF(계산!CJ1249="","금액 확인","")))</f>
        <v/>
      </c>
    </row>
    <row r="1250">
      <c r="A1250" s="3" t="n"/>
      <c r="C1250" s="4" t="n"/>
      <c r="E1250" s="5">
        <f>IF(C1250="","",IF(계산!CI1250="","날짜 확인",IF(계산!CJ1250="","금액 확인","")))</f>
        <v/>
      </c>
    </row>
    <row r="1251">
      <c r="A1251" s="3" t="n"/>
      <c r="C1251" s="4" t="n"/>
      <c r="E1251" s="5">
        <f>IF(C1251="","",IF(계산!CI1251="","날짜 확인",IF(계산!CJ1251="","금액 확인","")))</f>
        <v/>
      </c>
    </row>
    <row r="1252">
      <c r="A1252" s="3" t="n"/>
      <c r="C1252" s="4" t="n"/>
      <c r="E1252" s="5">
        <f>IF(C1252="","",IF(계산!CI1252="","날짜 확인",IF(계산!CJ1252="","금액 확인","")))</f>
        <v/>
      </c>
    </row>
    <row r="1253">
      <c r="A1253" s="3" t="n"/>
      <c r="C1253" s="4" t="n"/>
      <c r="E1253" s="5">
        <f>IF(C1253="","",IF(계산!CI1253="","날짜 확인",IF(계산!CJ1253="","금액 확인","")))</f>
        <v/>
      </c>
    </row>
    <row r="1254">
      <c r="A1254" s="3" t="n"/>
      <c r="C1254" s="4" t="n"/>
      <c r="E1254" s="5">
        <f>IF(C1254="","",IF(계산!CI1254="","날짜 확인",IF(계산!CJ1254="","금액 확인","")))</f>
        <v/>
      </c>
    </row>
    <row r="1255">
      <c r="A1255" s="3" t="n"/>
      <c r="C1255" s="4" t="n"/>
      <c r="E1255" s="5">
        <f>IF(C1255="","",IF(계산!CI1255="","날짜 확인",IF(계산!CJ1255="","금액 확인","")))</f>
        <v/>
      </c>
    </row>
    <row r="1256">
      <c r="A1256" s="3" t="n"/>
      <c r="C1256" s="4" t="n"/>
      <c r="E1256" s="5">
        <f>IF(C1256="","",IF(계산!CI1256="","날짜 확인",IF(계산!CJ1256="","금액 확인","")))</f>
        <v/>
      </c>
    </row>
    <row r="1257">
      <c r="A1257" s="3" t="n"/>
      <c r="C1257" s="4" t="n"/>
      <c r="E1257" s="5">
        <f>IF(C1257="","",IF(계산!CI1257="","날짜 확인",IF(계산!CJ1257="","금액 확인","")))</f>
        <v/>
      </c>
    </row>
    <row r="1258">
      <c r="A1258" s="3" t="n"/>
      <c r="C1258" s="4" t="n"/>
      <c r="E1258" s="5">
        <f>IF(C1258="","",IF(계산!CI1258="","날짜 확인",IF(계산!CJ1258="","금액 확인","")))</f>
        <v/>
      </c>
    </row>
    <row r="1259">
      <c r="A1259" s="3" t="n"/>
      <c r="C1259" s="4" t="n"/>
      <c r="E1259" s="5">
        <f>IF(C1259="","",IF(계산!CI1259="","날짜 확인",IF(계산!CJ1259="","금액 확인","")))</f>
        <v/>
      </c>
    </row>
    <row r="1260">
      <c r="A1260" s="3" t="n"/>
      <c r="C1260" s="4" t="n"/>
      <c r="E1260" s="5">
        <f>IF(C1260="","",IF(계산!CI1260="","날짜 확인",IF(계산!CJ1260="","금액 확인","")))</f>
        <v/>
      </c>
    </row>
    <row r="1261">
      <c r="A1261" s="3" t="n"/>
      <c r="C1261" s="4" t="n"/>
      <c r="E1261" s="5">
        <f>IF(C1261="","",IF(계산!CI1261="","날짜 확인",IF(계산!CJ1261="","금액 확인","")))</f>
        <v/>
      </c>
    </row>
    <row r="1262">
      <c r="A1262" s="3" t="n"/>
      <c r="C1262" s="4" t="n"/>
      <c r="E1262" s="5">
        <f>IF(C1262="","",IF(계산!CI1262="","날짜 확인",IF(계산!CJ1262="","금액 확인","")))</f>
        <v/>
      </c>
    </row>
    <row r="1263">
      <c r="A1263" s="3" t="n"/>
      <c r="C1263" s="4" t="n"/>
      <c r="E1263" s="5">
        <f>IF(C1263="","",IF(계산!CI1263="","날짜 확인",IF(계산!CJ1263="","금액 확인","")))</f>
        <v/>
      </c>
    </row>
    <row r="1264">
      <c r="A1264" s="3" t="n"/>
      <c r="C1264" s="4" t="n"/>
      <c r="E1264" s="5">
        <f>IF(C1264="","",IF(계산!CI1264="","날짜 확인",IF(계산!CJ1264="","금액 확인","")))</f>
        <v/>
      </c>
    </row>
    <row r="1265">
      <c r="A1265" s="3" t="n"/>
      <c r="C1265" s="4" t="n"/>
      <c r="E1265" s="5">
        <f>IF(C1265="","",IF(계산!CI1265="","날짜 확인",IF(계산!CJ1265="","금액 확인","")))</f>
        <v/>
      </c>
    </row>
    <row r="1266">
      <c r="A1266" s="3" t="n"/>
      <c r="C1266" s="4" t="n"/>
      <c r="E1266" s="5">
        <f>IF(C1266="","",IF(계산!CI1266="","날짜 확인",IF(계산!CJ1266="","금액 확인","")))</f>
        <v/>
      </c>
    </row>
    <row r="1267">
      <c r="A1267" s="3" t="n"/>
      <c r="C1267" s="4" t="n"/>
      <c r="E1267" s="5">
        <f>IF(C1267="","",IF(계산!CI1267="","날짜 확인",IF(계산!CJ1267="","금액 확인","")))</f>
        <v/>
      </c>
    </row>
    <row r="1268">
      <c r="A1268" s="3" t="n"/>
      <c r="C1268" s="4" t="n"/>
      <c r="E1268" s="5">
        <f>IF(C1268="","",IF(계산!CI1268="","날짜 확인",IF(계산!CJ1268="","금액 확인","")))</f>
        <v/>
      </c>
    </row>
    <row r="1269">
      <c r="A1269" s="3" t="n"/>
      <c r="C1269" s="4" t="n"/>
      <c r="E1269" s="5">
        <f>IF(C1269="","",IF(계산!CI1269="","날짜 확인",IF(계산!CJ1269="","금액 확인","")))</f>
        <v/>
      </c>
    </row>
    <row r="1270">
      <c r="A1270" s="3" t="n"/>
      <c r="C1270" s="4" t="n"/>
      <c r="E1270" s="5">
        <f>IF(C1270="","",IF(계산!CI1270="","날짜 확인",IF(계산!CJ1270="","금액 확인","")))</f>
        <v/>
      </c>
    </row>
    <row r="1271">
      <c r="A1271" s="3" t="n"/>
      <c r="C1271" s="4" t="n"/>
      <c r="E1271" s="5">
        <f>IF(C1271="","",IF(계산!CI1271="","날짜 확인",IF(계산!CJ1271="","금액 확인","")))</f>
        <v/>
      </c>
    </row>
    <row r="1272">
      <c r="A1272" s="3" t="n"/>
      <c r="C1272" s="4" t="n"/>
      <c r="E1272" s="5">
        <f>IF(C1272="","",IF(계산!CI1272="","날짜 확인",IF(계산!CJ1272="","금액 확인","")))</f>
        <v/>
      </c>
    </row>
    <row r="1273">
      <c r="A1273" s="3" t="n"/>
      <c r="C1273" s="4" t="n"/>
      <c r="E1273" s="5">
        <f>IF(C1273="","",IF(계산!CI1273="","날짜 확인",IF(계산!CJ1273="","금액 확인","")))</f>
        <v/>
      </c>
    </row>
    <row r="1274">
      <c r="A1274" s="3" t="n"/>
      <c r="C1274" s="4" t="n"/>
      <c r="E1274" s="5">
        <f>IF(C1274="","",IF(계산!CI1274="","날짜 확인",IF(계산!CJ1274="","금액 확인","")))</f>
        <v/>
      </c>
    </row>
    <row r="1275">
      <c r="A1275" s="3" t="n"/>
      <c r="C1275" s="4" t="n"/>
      <c r="E1275" s="5">
        <f>IF(C1275="","",IF(계산!CI1275="","날짜 확인",IF(계산!CJ1275="","금액 확인","")))</f>
        <v/>
      </c>
    </row>
    <row r="1276">
      <c r="A1276" s="3" t="n"/>
      <c r="C1276" s="4" t="n"/>
      <c r="E1276" s="5">
        <f>IF(C1276="","",IF(계산!CI1276="","날짜 확인",IF(계산!CJ1276="","금액 확인","")))</f>
        <v/>
      </c>
    </row>
    <row r="1277">
      <c r="A1277" s="3" t="n"/>
      <c r="C1277" s="4" t="n"/>
      <c r="E1277" s="5">
        <f>IF(C1277="","",IF(계산!CI1277="","날짜 확인",IF(계산!CJ1277="","금액 확인","")))</f>
        <v/>
      </c>
    </row>
    <row r="1278">
      <c r="A1278" s="3" t="n"/>
      <c r="C1278" s="4" t="n"/>
      <c r="E1278" s="5">
        <f>IF(C1278="","",IF(계산!CI1278="","날짜 확인",IF(계산!CJ1278="","금액 확인","")))</f>
        <v/>
      </c>
    </row>
    <row r="1279">
      <c r="A1279" s="3" t="n"/>
      <c r="C1279" s="4" t="n"/>
      <c r="E1279" s="5">
        <f>IF(C1279="","",IF(계산!CI1279="","날짜 확인",IF(계산!CJ1279="","금액 확인","")))</f>
        <v/>
      </c>
    </row>
    <row r="1280">
      <c r="A1280" s="3" t="n"/>
      <c r="C1280" s="4" t="n"/>
      <c r="E1280" s="5">
        <f>IF(C1280="","",IF(계산!CI1280="","날짜 확인",IF(계산!CJ1280="","금액 확인","")))</f>
        <v/>
      </c>
    </row>
    <row r="1281">
      <c r="A1281" s="3" t="n"/>
      <c r="C1281" s="4" t="n"/>
      <c r="E1281" s="5">
        <f>IF(C1281="","",IF(계산!CI1281="","날짜 확인",IF(계산!CJ1281="","금액 확인","")))</f>
        <v/>
      </c>
    </row>
    <row r="1282">
      <c r="A1282" s="3" t="n"/>
      <c r="C1282" s="4" t="n"/>
      <c r="E1282" s="5">
        <f>IF(C1282="","",IF(계산!CI1282="","날짜 확인",IF(계산!CJ1282="","금액 확인","")))</f>
        <v/>
      </c>
    </row>
    <row r="1283">
      <c r="A1283" s="3" t="n"/>
      <c r="C1283" s="4" t="n"/>
      <c r="E1283" s="5">
        <f>IF(C1283="","",IF(계산!CI1283="","날짜 확인",IF(계산!CJ1283="","금액 확인","")))</f>
        <v/>
      </c>
    </row>
    <row r="1284">
      <c r="A1284" s="3" t="n"/>
      <c r="C1284" s="4" t="n"/>
      <c r="E1284" s="5">
        <f>IF(C1284="","",IF(계산!CI1284="","날짜 확인",IF(계산!CJ1284="","금액 확인","")))</f>
        <v/>
      </c>
    </row>
    <row r="1285">
      <c r="A1285" s="3" t="n"/>
      <c r="C1285" s="4" t="n"/>
      <c r="E1285" s="5">
        <f>IF(C1285="","",IF(계산!CI1285="","날짜 확인",IF(계산!CJ1285="","금액 확인","")))</f>
        <v/>
      </c>
    </row>
    <row r="1286">
      <c r="A1286" s="3" t="n"/>
      <c r="C1286" s="4" t="n"/>
      <c r="E1286" s="5">
        <f>IF(C1286="","",IF(계산!CI1286="","날짜 확인",IF(계산!CJ1286="","금액 확인","")))</f>
        <v/>
      </c>
    </row>
    <row r="1287">
      <c r="A1287" s="3" t="n"/>
      <c r="C1287" s="4" t="n"/>
      <c r="E1287" s="5">
        <f>IF(C1287="","",IF(계산!CI1287="","날짜 확인",IF(계산!CJ1287="","금액 확인","")))</f>
        <v/>
      </c>
    </row>
    <row r="1288">
      <c r="A1288" s="3" t="n"/>
      <c r="C1288" s="4" t="n"/>
      <c r="E1288" s="5">
        <f>IF(C1288="","",IF(계산!CI1288="","날짜 확인",IF(계산!CJ1288="","금액 확인","")))</f>
        <v/>
      </c>
    </row>
    <row r="1289">
      <c r="A1289" s="3" t="n"/>
      <c r="C1289" s="4" t="n"/>
      <c r="E1289" s="5">
        <f>IF(C1289="","",IF(계산!CI1289="","날짜 확인",IF(계산!CJ1289="","금액 확인","")))</f>
        <v/>
      </c>
    </row>
    <row r="1290">
      <c r="A1290" s="3" t="n"/>
      <c r="C1290" s="4" t="n"/>
      <c r="E1290" s="5">
        <f>IF(C1290="","",IF(계산!CI1290="","날짜 확인",IF(계산!CJ1290="","금액 확인","")))</f>
        <v/>
      </c>
    </row>
    <row r="1291">
      <c r="A1291" s="3" t="n"/>
      <c r="C1291" s="4" t="n"/>
      <c r="E1291" s="5">
        <f>IF(C1291="","",IF(계산!CI1291="","날짜 확인",IF(계산!CJ1291="","금액 확인","")))</f>
        <v/>
      </c>
    </row>
    <row r="1292">
      <c r="A1292" s="3" t="n"/>
      <c r="C1292" s="4" t="n"/>
      <c r="E1292" s="5">
        <f>IF(C1292="","",IF(계산!CI1292="","날짜 확인",IF(계산!CJ1292="","금액 확인","")))</f>
        <v/>
      </c>
    </row>
    <row r="1293">
      <c r="A1293" s="3" t="n"/>
      <c r="C1293" s="4" t="n"/>
      <c r="E1293" s="5">
        <f>IF(C1293="","",IF(계산!CI1293="","날짜 확인",IF(계산!CJ1293="","금액 확인","")))</f>
        <v/>
      </c>
    </row>
    <row r="1294">
      <c r="A1294" s="3" t="n"/>
      <c r="C1294" s="4" t="n"/>
      <c r="E1294" s="5">
        <f>IF(C1294="","",IF(계산!CI1294="","날짜 확인",IF(계산!CJ1294="","금액 확인","")))</f>
        <v/>
      </c>
    </row>
    <row r="1295">
      <c r="A1295" s="3" t="n"/>
      <c r="C1295" s="4" t="n"/>
      <c r="E1295" s="5">
        <f>IF(C1295="","",IF(계산!CI1295="","날짜 확인",IF(계산!CJ1295="","금액 확인","")))</f>
        <v/>
      </c>
    </row>
    <row r="1296">
      <c r="A1296" s="3" t="n"/>
      <c r="C1296" s="4" t="n"/>
      <c r="E1296" s="5">
        <f>IF(C1296="","",IF(계산!CI1296="","날짜 확인",IF(계산!CJ1296="","금액 확인","")))</f>
        <v/>
      </c>
    </row>
    <row r="1297">
      <c r="A1297" s="3" t="n"/>
      <c r="C1297" s="4" t="n"/>
      <c r="E1297" s="5">
        <f>IF(C1297="","",IF(계산!CI1297="","날짜 확인",IF(계산!CJ1297="","금액 확인","")))</f>
        <v/>
      </c>
    </row>
    <row r="1298">
      <c r="A1298" s="3" t="n"/>
      <c r="C1298" s="4" t="n"/>
      <c r="E1298" s="5">
        <f>IF(C1298="","",IF(계산!CI1298="","날짜 확인",IF(계산!CJ1298="","금액 확인","")))</f>
        <v/>
      </c>
    </row>
    <row r="1299">
      <c r="A1299" s="3" t="n"/>
      <c r="C1299" s="4" t="n"/>
      <c r="E1299" s="5">
        <f>IF(C1299="","",IF(계산!CI1299="","날짜 확인",IF(계산!CJ1299="","금액 확인","")))</f>
        <v/>
      </c>
    </row>
    <row r="1300">
      <c r="A1300" s="3" t="n"/>
      <c r="C1300" s="4" t="n"/>
      <c r="E1300" s="5">
        <f>IF(C1300="","",IF(계산!CI1300="","날짜 확인",IF(계산!CJ1300="","금액 확인","")))</f>
        <v/>
      </c>
    </row>
    <row r="1301">
      <c r="A1301" s="3" t="n"/>
      <c r="C1301" s="4" t="n"/>
      <c r="E1301" s="5">
        <f>IF(C1301="","",IF(계산!CI1301="","날짜 확인",IF(계산!CJ1301="","금액 확인","")))</f>
        <v/>
      </c>
    </row>
    <row r="1302">
      <c r="A1302" s="3" t="n"/>
      <c r="C1302" s="4" t="n"/>
      <c r="E1302" s="5">
        <f>IF(C1302="","",IF(계산!CI1302="","날짜 확인",IF(계산!CJ1302="","금액 확인","")))</f>
        <v/>
      </c>
    </row>
    <row r="1303">
      <c r="A1303" s="3" t="n"/>
      <c r="C1303" s="4" t="n"/>
      <c r="E1303" s="5">
        <f>IF(C1303="","",IF(계산!CI1303="","날짜 확인",IF(계산!CJ1303="","금액 확인","")))</f>
        <v/>
      </c>
    </row>
    <row r="1304">
      <c r="A1304" s="3" t="n"/>
      <c r="C1304" s="4" t="n"/>
      <c r="E1304" s="5">
        <f>IF(C1304="","",IF(계산!CI1304="","날짜 확인",IF(계산!CJ1304="","금액 확인","")))</f>
        <v/>
      </c>
    </row>
    <row r="1305">
      <c r="A1305" s="3" t="n"/>
      <c r="C1305" s="4" t="n"/>
      <c r="E1305" s="5">
        <f>IF(C1305="","",IF(계산!CI1305="","날짜 확인",IF(계산!CJ1305="","금액 확인","")))</f>
        <v/>
      </c>
    </row>
    <row r="1306">
      <c r="A1306" s="3" t="n"/>
      <c r="C1306" s="4" t="n"/>
      <c r="E1306" s="5">
        <f>IF(C1306="","",IF(계산!CI1306="","날짜 확인",IF(계산!CJ1306="","금액 확인","")))</f>
        <v/>
      </c>
    </row>
    <row r="1307">
      <c r="A1307" s="3" t="n"/>
      <c r="C1307" s="4" t="n"/>
      <c r="E1307" s="5">
        <f>IF(C1307="","",IF(계산!CI1307="","날짜 확인",IF(계산!CJ1307="","금액 확인","")))</f>
        <v/>
      </c>
    </row>
    <row r="1308">
      <c r="A1308" s="3" t="n"/>
      <c r="C1308" s="4" t="n"/>
      <c r="E1308" s="5">
        <f>IF(C1308="","",IF(계산!CI1308="","날짜 확인",IF(계산!CJ1308="","금액 확인","")))</f>
        <v/>
      </c>
    </row>
    <row r="1309">
      <c r="A1309" s="3" t="n"/>
      <c r="C1309" s="4" t="n"/>
      <c r="E1309" s="5">
        <f>IF(C1309="","",IF(계산!CI1309="","날짜 확인",IF(계산!CJ1309="","금액 확인","")))</f>
        <v/>
      </c>
    </row>
    <row r="1310">
      <c r="A1310" s="3" t="n"/>
      <c r="C1310" s="4" t="n"/>
      <c r="E1310" s="5">
        <f>IF(C1310="","",IF(계산!CI1310="","날짜 확인",IF(계산!CJ1310="","금액 확인","")))</f>
        <v/>
      </c>
    </row>
    <row r="1311">
      <c r="A1311" s="3" t="n"/>
      <c r="C1311" s="4" t="n"/>
      <c r="E1311" s="5">
        <f>IF(C1311="","",IF(계산!CI1311="","날짜 확인",IF(계산!CJ1311="","금액 확인","")))</f>
        <v/>
      </c>
    </row>
    <row r="1312">
      <c r="A1312" s="3" t="n"/>
      <c r="C1312" s="4" t="n"/>
      <c r="E1312" s="5">
        <f>IF(C1312="","",IF(계산!CI1312="","날짜 확인",IF(계산!CJ1312="","금액 확인","")))</f>
        <v/>
      </c>
    </row>
    <row r="1313">
      <c r="A1313" s="3" t="n"/>
      <c r="C1313" s="4" t="n"/>
      <c r="E1313" s="5">
        <f>IF(C1313="","",IF(계산!CI1313="","날짜 확인",IF(계산!CJ1313="","금액 확인","")))</f>
        <v/>
      </c>
    </row>
    <row r="1314">
      <c r="A1314" s="3" t="n"/>
      <c r="C1314" s="4" t="n"/>
      <c r="E1314" s="5">
        <f>IF(C1314="","",IF(계산!CI1314="","날짜 확인",IF(계산!CJ1314="","금액 확인","")))</f>
        <v/>
      </c>
    </row>
    <row r="1315">
      <c r="A1315" s="3" t="n"/>
      <c r="C1315" s="4" t="n"/>
      <c r="E1315" s="5">
        <f>IF(C1315="","",IF(계산!CI1315="","날짜 확인",IF(계산!CJ1315="","금액 확인","")))</f>
        <v/>
      </c>
    </row>
    <row r="1316">
      <c r="A1316" s="3" t="n"/>
      <c r="C1316" s="4" t="n"/>
      <c r="E1316" s="5">
        <f>IF(C1316="","",IF(계산!CI1316="","날짜 확인",IF(계산!CJ1316="","금액 확인","")))</f>
        <v/>
      </c>
    </row>
    <row r="1317">
      <c r="A1317" s="3" t="n"/>
      <c r="C1317" s="4" t="n"/>
      <c r="E1317" s="5">
        <f>IF(C1317="","",IF(계산!CI1317="","날짜 확인",IF(계산!CJ1317="","금액 확인","")))</f>
        <v/>
      </c>
    </row>
    <row r="1318">
      <c r="A1318" s="3" t="n"/>
      <c r="C1318" s="4" t="n"/>
      <c r="E1318" s="5">
        <f>IF(C1318="","",IF(계산!CI1318="","날짜 확인",IF(계산!CJ1318="","금액 확인","")))</f>
        <v/>
      </c>
    </row>
    <row r="1319">
      <c r="A1319" s="3" t="n"/>
      <c r="C1319" s="4" t="n"/>
      <c r="E1319" s="5">
        <f>IF(C1319="","",IF(계산!CI1319="","날짜 확인",IF(계산!CJ1319="","금액 확인","")))</f>
        <v/>
      </c>
    </row>
    <row r="1320">
      <c r="A1320" s="3" t="n"/>
      <c r="C1320" s="4" t="n"/>
      <c r="E1320" s="5">
        <f>IF(C1320="","",IF(계산!CI1320="","날짜 확인",IF(계산!CJ1320="","금액 확인","")))</f>
        <v/>
      </c>
    </row>
    <row r="1321">
      <c r="A1321" s="3" t="n"/>
      <c r="C1321" s="4" t="n"/>
      <c r="E1321" s="5">
        <f>IF(C1321="","",IF(계산!CI1321="","날짜 확인",IF(계산!CJ1321="","금액 확인","")))</f>
        <v/>
      </c>
    </row>
    <row r="1322">
      <c r="A1322" s="3" t="n"/>
      <c r="C1322" s="4" t="n"/>
      <c r="E1322" s="5">
        <f>IF(C1322="","",IF(계산!CI1322="","날짜 확인",IF(계산!CJ1322="","금액 확인","")))</f>
        <v/>
      </c>
    </row>
    <row r="1323">
      <c r="A1323" s="3" t="n"/>
      <c r="C1323" s="4" t="n"/>
      <c r="E1323" s="5">
        <f>IF(C1323="","",IF(계산!CI1323="","날짜 확인",IF(계산!CJ1323="","금액 확인","")))</f>
        <v/>
      </c>
    </row>
    <row r="1324">
      <c r="A1324" s="3" t="n"/>
      <c r="C1324" s="4" t="n"/>
      <c r="E1324" s="5">
        <f>IF(C1324="","",IF(계산!CI1324="","날짜 확인",IF(계산!CJ1324="","금액 확인","")))</f>
        <v/>
      </c>
    </row>
    <row r="1325">
      <c r="A1325" s="3" t="n"/>
      <c r="C1325" s="4" t="n"/>
      <c r="E1325" s="5">
        <f>IF(C1325="","",IF(계산!CI1325="","날짜 확인",IF(계산!CJ1325="","금액 확인","")))</f>
        <v/>
      </c>
    </row>
    <row r="1326">
      <c r="A1326" s="3" t="n"/>
      <c r="C1326" s="4" t="n"/>
      <c r="E1326" s="5">
        <f>IF(C1326="","",IF(계산!CI1326="","날짜 확인",IF(계산!CJ1326="","금액 확인","")))</f>
        <v/>
      </c>
    </row>
    <row r="1327">
      <c r="A1327" s="3" t="n"/>
      <c r="C1327" s="4" t="n"/>
      <c r="E1327" s="5">
        <f>IF(C1327="","",IF(계산!CI1327="","날짜 확인",IF(계산!CJ1327="","금액 확인","")))</f>
        <v/>
      </c>
    </row>
    <row r="1328">
      <c r="A1328" s="3" t="n"/>
      <c r="C1328" s="4" t="n"/>
      <c r="E1328" s="5">
        <f>IF(C1328="","",IF(계산!CI1328="","날짜 확인",IF(계산!CJ1328="","금액 확인","")))</f>
        <v/>
      </c>
    </row>
    <row r="1329">
      <c r="A1329" s="3" t="n"/>
      <c r="C1329" s="4" t="n"/>
      <c r="E1329" s="5">
        <f>IF(C1329="","",IF(계산!CI1329="","날짜 확인",IF(계산!CJ1329="","금액 확인","")))</f>
        <v/>
      </c>
    </row>
    <row r="1330">
      <c r="A1330" s="3" t="n"/>
      <c r="C1330" s="4" t="n"/>
      <c r="E1330" s="5">
        <f>IF(C1330="","",IF(계산!CI1330="","날짜 확인",IF(계산!CJ1330="","금액 확인","")))</f>
        <v/>
      </c>
    </row>
    <row r="1331">
      <c r="A1331" s="3" t="n"/>
      <c r="C1331" s="4" t="n"/>
      <c r="E1331" s="5">
        <f>IF(C1331="","",IF(계산!CI1331="","날짜 확인",IF(계산!CJ1331="","금액 확인","")))</f>
        <v/>
      </c>
    </row>
    <row r="1332">
      <c r="A1332" s="3" t="n"/>
      <c r="C1332" s="4" t="n"/>
      <c r="E1332" s="5">
        <f>IF(C1332="","",IF(계산!CI1332="","날짜 확인",IF(계산!CJ1332="","금액 확인","")))</f>
        <v/>
      </c>
    </row>
    <row r="1333">
      <c r="A1333" s="3" t="n"/>
      <c r="C1333" s="4" t="n"/>
      <c r="E1333" s="5">
        <f>IF(C1333="","",IF(계산!CI1333="","날짜 확인",IF(계산!CJ1333="","금액 확인","")))</f>
        <v/>
      </c>
    </row>
    <row r="1334">
      <c r="A1334" s="3" t="n"/>
      <c r="C1334" s="4" t="n"/>
      <c r="E1334" s="5">
        <f>IF(C1334="","",IF(계산!CI1334="","날짜 확인",IF(계산!CJ1334="","금액 확인","")))</f>
        <v/>
      </c>
    </row>
    <row r="1335">
      <c r="A1335" s="3" t="n"/>
      <c r="C1335" s="4" t="n"/>
      <c r="E1335" s="5">
        <f>IF(C1335="","",IF(계산!CI1335="","날짜 확인",IF(계산!CJ1335="","금액 확인","")))</f>
        <v/>
      </c>
    </row>
    <row r="1336">
      <c r="A1336" s="3" t="n"/>
      <c r="C1336" s="4" t="n"/>
      <c r="E1336" s="5">
        <f>IF(C1336="","",IF(계산!CI1336="","날짜 확인",IF(계산!CJ1336="","금액 확인","")))</f>
        <v/>
      </c>
    </row>
    <row r="1337">
      <c r="A1337" s="3" t="n"/>
      <c r="C1337" s="4" t="n"/>
      <c r="E1337" s="5">
        <f>IF(C1337="","",IF(계산!CI1337="","날짜 확인",IF(계산!CJ1337="","금액 확인","")))</f>
        <v/>
      </c>
    </row>
    <row r="1338">
      <c r="A1338" s="3" t="n"/>
      <c r="C1338" s="4" t="n"/>
      <c r="E1338" s="5">
        <f>IF(C1338="","",IF(계산!CI1338="","날짜 확인",IF(계산!CJ1338="","금액 확인","")))</f>
        <v/>
      </c>
    </row>
    <row r="1339">
      <c r="A1339" s="3" t="n"/>
      <c r="C1339" s="4" t="n"/>
      <c r="E1339" s="5">
        <f>IF(C1339="","",IF(계산!CI1339="","날짜 확인",IF(계산!CJ1339="","금액 확인","")))</f>
        <v/>
      </c>
    </row>
    <row r="1340">
      <c r="A1340" s="3" t="n"/>
      <c r="C1340" s="4" t="n"/>
      <c r="E1340" s="5">
        <f>IF(C1340="","",IF(계산!CI1340="","날짜 확인",IF(계산!CJ1340="","금액 확인","")))</f>
        <v/>
      </c>
    </row>
    <row r="1341">
      <c r="A1341" s="3" t="n"/>
      <c r="C1341" s="4" t="n"/>
      <c r="E1341" s="5">
        <f>IF(C1341="","",IF(계산!CI1341="","날짜 확인",IF(계산!CJ1341="","금액 확인","")))</f>
        <v/>
      </c>
    </row>
    <row r="1342">
      <c r="A1342" s="3" t="n"/>
      <c r="C1342" s="4" t="n"/>
      <c r="E1342" s="5">
        <f>IF(C1342="","",IF(계산!CI1342="","날짜 확인",IF(계산!CJ1342="","금액 확인","")))</f>
        <v/>
      </c>
    </row>
    <row r="1343">
      <c r="A1343" s="3" t="n"/>
      <c r="C1343" s="4" t="n"/>
      <c r="E1343" s="5">
        <f>IF(C1343="","",IF(계산!CI1343="","날짜 확인",IF(계산!CJ1343="","금액 확인","")))</f>
        <v/>
      </c>
    </row>
    <row r="1344">
      <c r="A1344" s="3" t="n"/>
      <c r="C1344" s="4" t="n"/>
      <c r="E1344" s="5">
        <f>IF(C1344="","",IF(계산!CI1344="","날짜 확인",IF(계산!CJ1344="","금액 확인","")))</f>
        <v/>
      </c>
    </row>
    <row r="1345">
      <c r="A1345" s="3" t="n"/>
      <c r="C1345" s="4" t="n"/>
      <c r="E1345" s="5">
        <f>IF(C1345="","",IF(계산!CI1345="","날짜 확인",IF(계산!CJ1345="","금액 확인","")))</f>
        <v/>
      </c>
    </row>
    <row r="1346">
      <c r="A1346" s="3" t="n"/>
      <c r="C1346" s="4" t="n"/>
      <c r="E1346" s="5">
        <f>IF(C1346="","",IF(계산!CI1346="","날짜 확인",IF(계산!CJ1346="","금액 확인","")))</f>
        <v/>
      </c>
    </row>
    <row r="1347">
      <c r="A1347" s="3" t="n"/>
      <c r="C1347" s="4" t="n"/>
      <c r="E1347" s="5">
        <f>IF(C1347="","",IF(계산!CI1347="","날짜 확인",IF(계산!CJ1347="","금액 확인","")))</f>
        <v/>
      </c>
    </row>
    <row r="1348">
      <c r="A1348" s="3" t="n"/>
      <c r="C1348" s="4" t="n"/>
      <c r="E1348" s="5">
        <f>IF(C1348="","",IF(계산!CI1348="","날짜 확인",IF(계산!CJ1348="","금액 확인","")))</f>
        <v/>
      </c>
    </row>
    <row r="1349">
      <c r="A1349" s="3" t="n"/>
      <c r="C1349" s="4" t="n"/>
      <c r="E1349" s="5">
        <f>IF(C1349="","",IF(계산!CI1349="","날짜 확인",IF(계산!CJ1349="","금액 확인","")))</f>
        <v/>
      </c>
    </row>
    <row r="1350">
      <c r="A1350" s="3" t="n"/>
      <c r="C1350" s="4" t="n"/>
      <c r="E1350" s="5">
        <f>IF(C1350="","",IF(계산!CI1350="","날짜 확인",IF(계산!CJ1350="","금액 확인","")))</f>
        <v/>
      </c>
    </row>
    <row r="1351">
      <c r="A1351" s="3" t="n"/>
      <c r="C1351" s="4" t="n"/>
      <c r="E1351" s="5">
        <f>IF(C1351="","",IF(계산!CI1351="","날짜 확인",IF(계산!CJ1351="","금액 확인","")))</f>
        <v/>
      </c>
    </row>
    <row r="1352">
      <c r="A1352" s="3" t="n"/>
      <c r="C1352" s="4" t="n"/>
      <c r="E1352" s="5">
        <f>IF(C1352="","",IF(계산!CI1352="","날짜 확인",IF(계산!CJ1352="","금액 확인","")))</f>
        <v/>
      </c>
    </row>
    <row r="1353">
      <c r="A1353" s="3" t="n"/>
      <c r="C1353" s="4" t="n"/>
      <c r="E1353" s="5">
        <f>IF(C1353="","",IF(계산!CI1353="","날짜 확인",IF(계산!CJ1353="","금액 확인","")))</f>
        <v/>
      </c>
    </row>
    <row r="1354">
      <c r="A1354" s="3" t="n"/>
      <c r="C1354" s="4" t="n"/>
      <c r="E1354" s="5">
        <f>IF(C1354="","",IF(계산!CI1354="","날짜 확인",IF(계산!CJ1354="","금액 확인","")))</f>
        <v/>
      </c>
    </row>
    <row r="1355">
      <c r="A1355" s="3" t="n"/>
      <c r="C1355" s="4" t="n"/>
      <c r="E1355" s="5">
        <f>IF(C1355="","",IF(계산!CI1355="","날짜 확인",IF(계산!CJ1355="","금액 확인","")))</f>
        <v/>
      </c>
    </row>
    <row r="1356">
      <c r="A1356" s="3" t="n"/>
      <c r="C1356" s="4" t="n"/>
      <c r="E1356" s="5">
        <f>IF(C1356="","",IF(계산!CI1356="","날짜 확인",IF(계산!CJ1356="","금액 확인","")))</f>
        <v/>
      </c>
    </row>
    <row r="1357">
      <c r="A1357" s="3" t="n"/>
      <c r="C1357" s="4" t="n"/>
      <c r="E1357" s="5">
        <f>IF(C1357="","",IF(계산!CI1357="","날짜 확인",IF(계산!CJ1357="","금액 확인","")))</f>
        <v/>
      </c>
    </row>
    <row r="1358">
      <c r="A1358" s="3" t="n"/>
      <c r="C1358" s="4" t="n"/>
      <c r="E1358" s="5">
        <f>IF(C1358="","",IF(계산!CI1358="","날짜 확인",IF(계산!CJ1358="","금액 확인","")))</f>
        <v/>
      </c>
    </row>
    <row r="1359">
      <c r="A1359" s="3" t="n"/>
      <c r="C1359" s="4" t="n"/>
      <c r="E1359" s="5">
        <f>IF(C1359="","",IF(계산!CI1359="","날짜 확인",IF(계산!CJ1359="","금액 확인","")))</f>
        <v/>
      </c>
    </row>
    <row r="1360">
      <c r="A1360" s="3" t="n"/>
      <c r="C1360" s="4" t="n"/>
      <c r="E1360" s="5">
        <f>IF(C1360="","",IF(계산!CI1360="","날짜 확인",IF(계산!CJ1360="","금액 확인","")))</f>
        <v/>
      </c>
    </row>
    <row r="1361">
      <c r="A1361" s="3" t="n"/>
      <c r="C1361" s="4" t="n"/>
      <c r="E1361" s="5">
        <f>IF(C1361="","",IF(계산!CI1361="","날짜 확인",IF(계산!CJ1361="","금액 확인","")))</f>
        <v/>
      </c>
    </row>
    <row r="1362">
      <c r="A1362" s="3" t="n"/>
      <c r="C1362" s="4" t="n"/>
      <c r="E1362" s="5">
        <f>IF(C1362="","",IF(계산!CI1362="","날짜 확인",IF(계산!CJ1362="","금액 확인","")))</f>
        <v/>
      </c>
    </row>
    <row r="1363">
      <c r="A1363" s="3" t="n"/>
      <c r="C1363" s="4" t="n"/>
      <c r="E1363" s="5">
        <f>IF(C1363="","",IF(계산!CI1363="","날짜 확인",IF(계산!CJ1363="","금액 확인","")))</f>
        <v/>
      </c>
    </row>
    <row r="1364">
      <c r="A1364" s="3" t="n"/>
      <c r="C1364" s="4" t="n"/>
      <c r="E1364" s="5">
        <f>IF(C1364="","",IF(계산!CI1364="","날짜 확인",IF(계산!CJ1364="","금액 확인","")))</f>
        <v/>
      </c>
    </row>
    <row r="1365">
      <c r="A1365" s="3" t="n"/>
      <c r="C1365" s="4" t="n"/>
      <c r="E1365" s="5">
        <f>IF(C1365="","",IF(계산!CI1365="","날짜 확인",IF(계산!CJ1365="","금액 확인","")))</f>
        <v/>
      </c>
    </row>
    <row r="1366">
      <c r="A1366" s="3" t="n"/>
      <c r="C1366" s="4" t="n"/>
      <c r="E1366" s="5">
        <f>IF(C1366="","",IF(계산!CI1366="","날짜 확인",IF(계산!CJ1366="","금액 확인","")))</f>
        <v/>
      </c>
    </row>
    <row r="1367">
      <c r="A1367" s="3" t="n"/>
      <c r="C1367" s="4" t="n"/>
      <c r="E1367" s="5">
        <f>IF(C1367="","",IF(계산!CI1367="","날짜 확인",IF(계산!CJ1367="","금액 확인","")))</f>
        <v/>
      </c>
    </row>
    <row r="1368">
      <c r="A1368" s="3" t="n"/>
      <c r="C1368" s="4" t="n"/>
      <c r="E1368" s="5">
        <f>IF(C1368="","",IF(계산!CI1368="","날짜 확인",IF(계산!CJ1368="","금액 확인","")))</f>
        <v/>
      </c>
    </row>
    <row r="1369">
      <c r="A1369" s="3" t="n"/>
      <c r="C1369" s="4" t="n"/>
      <c r="E1369" s="5">
        <f>IF(C1369="","",IF(계산!CI1369="","날짜 확인",IF(계산!CJ1369="","금액 확인","")))</f>
        <v/>
      </c>
    </row>
    <row r="1370">
      <c r="A1370" s="3" t="n"/>
      <c r="C1370" s="4" t="n"/>
      <c r="E1370" s="5">
        <f>IF(C1370="","",IF(계산!CI1370="","날짜 확인",IF(계산!CJ1370="","금액 확인","")))</f>
        <v/>
      </c>
    </row>
    <row r="1371">
      <c r="A1371" s="3" t="n"/>
      <c r="C1371" s="4" t="n"/>
      <c r="E1371" s="5">
        <f>IF(C1371="","",IF(계산!CI1371="","날짜 확인",IF(계산!CJ1371="","금액 확인","")))</f>
        <v/>
      </c>
    </row>
    <row r="1372">
      <c r="A1372" s="3" t="n"/>
      <c r="C1372" s="4" t="n"/>
      <c r="E1372" s="5">
        <f>IF(C1372="","",IF(계산!CI1372="","날짜 확인",IF(계산!CJ1372="","금액 확인","")))</f>
        <v/>
      </c>
    </row>
    <row r="1373">
      <c r="A1373" s="3" t="n"/>
      <c r="C1373" s="4" t="n"/>
      <c r="E1373" s="5">
        <f>IF(C1373="","",IF(계산!CI1373="","날짜 확인",IF(계산!CJ1373="","금액 확인","")))</f>
        <v/>
      </c>
    </row>
    <row r="1374">
      <c r="A1374" s="3" t="n"/>
      <c r="C1374" s="4" t="n"/>
      <c r="E1374" s="5">
        <f>IF(C1374="","",IF(계산!CI1374="","날짜 확인",IF(계산!CJ1374="","금액 확인","")))</f>
        <v/>
      </c>
    </row>
    <row r="1375">
      <c r="A1375" s="3" t="n"/>
      <c r="C1375" s="4" t="n"/>
      <c r="E1375" s="5">
        <f>IF(C1375="","",IF(계산!CI1375="","날짜 확인",IF(계산!CJ1375="","금액 확인","")))</f>
        <v/>
      </c>
    </row>
    <row r="1376">
      <c r="A1376" s="3" t="n"/>
      <c r="C1376" s="4" t="n"/>
      <c r="E1376" s="5">
        <f>IF(C1376="","",IF(계산!CI1376="","날짜 확인",IF(계산!CJ1376="","금액 확인","")))</f>
        <v/>
      </c>
    </row>
    <row r="1377">
      <c r="A1377" s="3" t="n"/>
      <c r="C1377" s="4" t="n"/>
      <c r="E1377" s="5">
        <f>IF(C1377="","",IF(계산!CI1377="","날짜 확인",IF(계산!CJ1377="","금액 확인","")))</f>
        <v/>
      </c>
    </row>
    <row r="1378">
      <c r="A1378" s="3" t="n"/>
      <c r="C1378" s="4" t="n"/>
      <c r="E1378" s="5">
        <f>IF(C1378="","",IF(계산!CI1378="","날짜 확인",IF(계산!CJ1378="","금액 확인","")))</f>
        <v/>
      </c>
    </row>
    <row r="1379">
      <c r="A1379" s="3" t="n"/>
      <c r="C1379" s="4" t="n"/>
      <c r="E1379" s="5">
        <f>IF(C1379="","",IF(계산!CI1379="","날짜 확인",IF(계산!CJ1379="","금액 확인","")))</f>
        <v/>
      </c>
    </row>
    <row r="1380">
      <c r="A1380" s="3" t="n"/>
      <c r="C1380" s="4" t="n"/>
      <c r="E1380" s="5">
        <f>IF(C1380="","",IF(계산!CI1380="","날짜 확인",IF(계산!CJ1380="","금액 확인","")))</f>
        <v/>
      </c>
    </row>
    <row r="1381">
      <c r="A1381" s="3" t="n"/>
      <c r="C1381" s="4" t="n"/>
      <c r="E1381" s="5">
        <f>IF(C1381="","",IF(계산!CI1381="","날짜 확인",IF(계산!CJ1381="","금액 확인","")))</f>
        <v/>
      </c>
    </row>
    <row r="1382">
      <c r="A1382" s="3" t="n"/>
      <c r="C1382" s="4" t="n"/>
      <c r="E1382" s="5">
        <f>IF(C1382="","",IF(계산!CI1382="","날짜 확인",IF(계산!CJ1382="","금액 확인","")))</f>
        <v/>
      </c>
    </row>
    <row r="1383">
      <c r="A1383" s="3" t="n"/>
      <c r="C1383" s="4" t="n"/>
      <c r="E1383" s="5">
        <f>IF(C1383="","",IF(계산!CI1383="","날짜 확인",IF(계산!CJ1383="","금액 확인","")))</f>
        <v/>
      </c>
    </row>
    <row r="1384">
      <c r="A1384" s="3" t="n"/>
      <c r="C1384" s="4" t="n"/>
      <c r="E1384" s="5">
        <f>IF(C1384="","",IF(계산!CI1384="","날짜 확인",IF(계산!CJ1384="","금액 확인","")))</f>
        <v/>
      </c>
    </row>
    <row r="1385">
      <c r="A1385" s="3" t="n"/>
      <c r="C1385" s="4" t="n"/>
      <c r="E1385" s="5">
        <f>IF(C1385="","",IF(계산!CI1385="","날짜 확인",IF(계산!CJ1385="","금액 확인","")))</f>
        <v/>
      </c>
    </row>
    <row r="1386">
      <c r="A1386" s="3" t="n"/>
      <c r="C1386" s="4" t="n"/>
      <c r="E1386" s="5">
        <f>IF(C1386="","",IF(계산!CI1386="","날짜 확인",IF(계산!CJ1386="","금액 확인","")))</f>
        <v/>
      </c>
    </row>
    <row r="1387">
      <c r="A1387" s="3" t="n"/>
      <c r="C1387" s="4" t="n"/>
      <c r="E1387" s="5">
        <f>IF(C1387="","",IF(계산!CI1387="","날짜 확인",IF(계산!CJ1387="","금액 확인","")))</f>
        <v/>
      </c>
    </row>
    <row r="1388">
      <c r="A1388" s="3" t="n"/>
      <c r="C1388" s="4" t="n"/>
      <c r="E1388" s="5">
        <f>IF(C1388="","",IF(계산!CI1388="","날짜 확인",IF(계산!CJ1388="","금액 확인","")))</f>
        <v/>
      </c>
    </row>
    <row r="1389">
      <c r="A1389" s="3" t="n"/>
      <c r="C1389" s="4" t="n"/>
      <c r="E1389" s="5">
        <f>IF(C1389="","",IF(계산!CI1389="","날짜 확인",IF(계산!CJ1389="","금액 확인","")))</f>
        <v/>
      </c>
    </row>
    <row r="1390">
      <c r="A1390" s="3" t="n"/>
      <c r="C1390" s="4" t="n"/>
      <c r="E1390" s="5">
        <f>IF(C1390="","",IF(계산!CI1390="","날짜 확인",IF(계산!CJ1390="","금액 확인","")))</f>
        <v/>
      </c>
    </row>
    <row r="1391">
      <c r="A1391" s="3" t="n"/>
      <c r="C1391" s="4" t="n"/>
      <c r="E1391" s="5">
        <f>IF(C1391="","",IF(계산!CI1391="","날짜 확인",IF(계산!CJ1391="","금액 확인","")))</f>
        <v/>
      </c>
    </row>
    <row r="1392">
      <c r="A1392" s="3" t="n"/>
      <c r="C1392" s="4" t="n"/>
      <c r="E1392" s="5">
        <f>IF(C1392="","",IF(계산!CI1392="","날짜 확인",IF(계산!CJ1392="","금액 확인","")))</f>
        <v/>
      </c>
    </row>
    <row r="1393">
      <c r="A1393" s="3" t="n"/>
      <c r="C1393" s="4" t="n"/>
      <c r="E1393" s="5">
        <f>IF(C1393="","",IF(계산!CI1393="","날짜 확인",IF(계산!CJ1393="","금액 확인","")))</f>
        <v/>
      </c>
    </row>
    <row r="1394">
      <c r="A1394" s="3" t="n"/>
      <c r="C1394" s="4" t="n"/>
      <c r="E1394" s="5">
        <f>IF(C1394="","",IF(계산!CI1394="","날짜 확인",IF(계산!CJ1394="","금액 확인","")))</f>
        <v/>
      </c>
    </row>
    <row r="1395">
      <c r="A1395" s="3" t="n"/>
      <c r="C1395" s="4" t="n"/>
      <c r="E1395" s="5">
        <f>IF(C1395="","",IF(계산!CI1395="","날짜 확인",IF(계산!CJ1395="","금액 확인","")))</f>
        <v/>
      </c>
    </row>
    <row r="1396">
      <c r="A1396" s="3" t="n"/>
      <c r="C1396" s="4" t="n"/>
      <c r="E1396" s="5">
        <f>IF(C1396="","",IF(계산!CI1396="","날짜 확인",IF(계산!CJ1396="","금액 확인","")))</f>
        <v/>
      </c>
    </row>
    <row r="1397">
      <c r="A1397" s="3" t="n"/>
      <c r="C1397" s="4" t="n"/>
      <c r="E1397" s="5">
        <f>IF(C1397="","",IF(계산!CI1397="","날짜 확인",IF(계산!CJ1397="","금액 확인","")))</f>
        <v/>
      </c>
    </row>
    <row r="1398">
      <c r="A1398" s="3" t="n"/>
      <c r="C1398" s="4" t="n"/>
      <c r="E1398" s="5">
        <f>IF(C1398="","",IF(계산!CI1398="","날짜 확인",IF(계산!CJ1398="","금액 확인","")))</f>
        <v/>
      </c>
    </row>
    <row r="1399">
      <c r="A1399" s="3" t="n"/>
      <c r="C1399" s="4" t="n"/>
      <c r="E1399" s="5">
        <f>IF(C1399="","",IF(계산!CI1399="","날짜 확인",IF(계산!CJ1399="","금액 확인","")))</f>
        <v/>
      </c>
    </row>
    <row r="1400">
      <c r="A1400" s="3" t="n"/>
      <c r="C1400" s="4" t="n"/>
      <c r="E1400" s="5">
        <f>IF(C1400="","",IF(계산!CI1400="","날짜 확인",IF(계산!CJ1400="","금액 확인","")))</f>
        <v/>
      </c>
    </row>
    <row r="1401">
      <c r="A1401" s="3" t="n"/>
      <c r="C1401" s="4" t="n"/>
      <c r="E1401" s="5">
        <f>IF(C1401="","",IF(계산!CI1401="","날짜 확인",IF(계산!CJ1401="","금액 확인","")))</f>
        <v/>
      </c>
    </row>
    <row r="1402">
      <c r="A1402" s="3" t="n"/>
      <c r="C1402" s="4" t="n"/>
      <c r="E1402" s="5">
        <f>IF(C1402="","",IF(계산!CI1402="","날짜 확인",IF(계산!CJ1402="","금액 확인","")))</f>
        <v/>
      </c>
    </row>
    <row r="1403">
      <c r="A1403" s="3" t="n"/>
      <c r="C1403" s="4" t="n"/>
      <c r="E1403" s="5">
        <f>IF(C1403="","",IF(계산!CI1403="","날짜 확인",IF(계산!CJ1403="","금액 확인","")))</f>
        <v/>
      </c>
    </row>
    <row r="1404">
      <c r="A1404" s="3" t="n"/>
      <c r="C1404" s="4" t="n"/>
      <c r="E1404" s="5">
        <f>IF(C1404="","",IF(계산!CI1404="","날짜 확인",IF(계산!CJ1404="","금액 확인","")))</f>
        <v/>
      </c>
    </row>
    <row r="1405">
      <c r="A1405" s="3" t="n"/>
      <c r="C1405" s="4" t="n"/>
      <c r="E1405" s="5">
        <f>IF(C1405="","",IF(계산!CI1405="","날짜 확인",IF(계산!CJ1405="","금액 확인","")))</f>
        <v/>
      </c>
    </row>
    <row r="1406">
      <c r="A1406" s="3" t="n"/>
      <c r="C1406" s="4" t="n"/>
      <c r="E1406" s="5">
        <f>IF(C1406="","",IF(계산!CI1406="","날짜 확인",IF(계산!CJ1406="","금액 확인","")))</f>
        <v/>
      </c>
    </row>
    <row r="1407">
      <c r="A1407" s="3" t="n"/>
      <c r="C1407" s="4" t="n"/>
      <c r="E1407" s="5">
        <f>IF(C1407="","",IF(계산!CI1407="","날짜 확인",IF(계산!CJ1407="","금액 확인","")))</f>
        <v/>
      </c>
    </row>
    <row r="1408">
      <c r="A1408" s="3" t="n"/>
      <c r="C1408" s="4" t="n"/>
      <c r="E1408" s="5">
        <f>IF(C1408="","",IF(계산!CI1408="","날짜 확인",IF(계산!CJ1408="","금액 확인","")))</f>
        <v/>
      </c>
    </row>
    <row r="1409">
      <c r="A1409" s="3" t="n"/>
      <c r="C1409" s="4" t="n"/>
      <c r="E1409" s="5">
        <f>IF(C1409="","",IF(계산!CI1409="","날짜 확인",IF(계산!CJ1409="","금액 확인","")))</f>
        <v/>
      </c>
    </row>
    <row r="1410">
      <c r="A1410" s="3" t="n"/>
      <c r="C1410" s="4" t="n"/>
      <c r="E1410" s="5">
        <f>IF(C1410="","",IF(계산!CI1410="","날짜 확인",IF(계산!CJ1410="","금액 확인","")))</f>
        <v/>
      </c>
    </row>
    <row r="1411">
      <c r="A1411" s="3" t="n"/>
      <c r="C1411" s="4" t="n"/>
      <c r="E1411" s="5">
        <f>IF(C1411="","",IF(계산!CI1411="","날짜 확인",IF(계산!CJ1411="","금액 확인","")))</f>
        <v/>
      </c>
    </row>
    <row r="1412">
      <c r="A1412" s="3" t="n"/>
      <c r="C1412" s="4" t="n"/>
      <c r="E1412" s="5">
        <f>IF(C1412="","",IF(계산!CI1412="","날짜 확인",IF(계산!CJ1412="","금액 확인","")))</f>
        <v/>
      </c>
    </row>
    <row r="1413">
      <c r="A1413" s="3" t="n"/>
      <c r="C1413" s="4" t="n"/>
      <c r="E1413" s="5">
        <f>IF(C1413="","",IF(계산!CI1413="","날짜 확인",IF(계산!CJ1413="","금액 확인","")))</f>
        <v/>
      </c>
    </row>
    <row r="1414">
      <c r="A1414" s="3" t="n"/>
      <c r="C1414" s="4" t="n"/>
      <c r="E1414" s="5">
        <f>IF(C1414="","",IF(계산!CI1414="","날짜 확인",IF(계산!CJ1414="","금액 확인","")))</f>
        <v/>
      </c>
    </row>
    <row r="1415">
      <c r="A1415" s="3" t="n"/>
      <c r="C1415" s="4" t="n"/>
      <c r="E1415" s="5">
        <f>IF(C1415="","",IF(계산!CI1415="","날짜 확인",IF(계산!CJ1415="","금액 확인","")))</f>
        <v/>
      </c>
    </row>
    <row r="1416">
      <c r="A1416" s="3" t="n"/>
      <c r="C1416" s="4" t="n"/>
      <c r="E1416" s="5">
        <f>IF(C1416="","",IF(계산!CI1416="","날짜 확인",IF(계산!CJ1416="","금액 확인","")))</f>
        <v/>
      </c>
    </row>
    <row r="1417">
      <c r="A1417" s="3" t="n"/>
      <c r="C1417" s="4" t="n"/>
      <c r="E1417" s="5">
        <f>IF(C1417="","",IF(계산!CI1417="","날짜 확인",IF(계산!CJ1417="","금액 확인","")))</f>
        <v/>
      </c>
    </row>
    <row r="1418">
      <c r="A1418" s="3" t="n"/>
      <c r="C1418" s="4" t="n"/>
      <c r="E1418" s="5">
        <f>IF(C1418="","",IF(계산!CI1418="","날짜 확인",IF(계산!CJ1418="","금액 확인","")))</f>
        <v/>
      </c>
    </row>
    <row r="1419">
      <c r="A1419" s="3" t="n"/>
      <c r="C1419" s="4" t="n"/>
      <c r="E1419" s="5">
        <f>IF(C1419="","",IF(계산!CI1419="","날짜 확인",IF(계산!CJ1419="","금액 확인","")))</f>
        <v/>
      </c>
    </row>
    <row r="1420">
      <c r="A1420" s="3" t="n"/>
      <c r="C1420" s="4" t="n"/>
      <c r="E1420" s="5">
        <f>IF(C1420="","",IF(계산!CI1420="","날짜 확인",IF(계산!CJ1420="","금액 확인","")))</f>
        <v/>
      </c>
    </row>
    <row r="1421">
      <c r="A1421" s="3" t="n"/>
      <c r="C1421" s="4" t="n"/>
      <c r="E1421" s="5">
        <f>IF(C1421="","",IF(계산!CI1421="","날짜 확인",IF(계산!CJ1421="","금액 확인","")))</f>
        <v/>
      </c>
    </row>
    <row r="1422">
      <c r="A1422" s="3" t="n"/>
      <c r="C1422" s="4" t="n"/>
      <c r="E1422" s="5">
        <f>IF(C1422="","",IF(계산!CI1422="","날짜 확인",IF(계산!CJ1422="","금액 확인","")))</f>
        <v/>
      </c>
    </row>
    <row r="1423">
      <c r="A1423" s="3" t="n"/>
      <c r="C1423" s="4" t="n"/>
      <c r="E1423" s="5">
        <f>IF(C1423="","",IF(계산!CI1423="","날짜 확인",IF(계산!CJ1423="","금액 확인","")))</f>
        <v/>
      </c>
    </row>
    <row r="1424">
      <c r="A1424" s="3" t="n"/>
      <c r="C1424" s="4" t="n"/>
      <c r="E1424" s="5">
        <f>IF(C1424="","",IF(계산!CI1424="","날짜 확인",IF(계산!CJ1424="","금액 확인","")))</f>
        <v/>
      </c>
    </row>
    <row r="1425">
      <c r="A1425" s="3" t="n"/>
      <c r="C1425" s="4" t="n"/>
      <c r="E1425" s="5">
        <f>IF(C1425="","",IF(계산!CI1425="","날짜 확인",IF(계산!CJ1425="","금액 확인","")))</f>
        <v/>
      </c>
    </row>
    <row r="1426">
      <c r="A1426" s="3" t="n"/>
      <c r="C1426" s="4" t="n"/>
      <c r="E1426" s="5">
        <f>IF(C1426="","",IF(계산!CI1426="","날짜 확인",IF(계산!CJ1426="","금액 확인","")))</f>
        <v/>
      </c>
    </row>
    <row r="1427">
      <c r="A1427" s="3" t="n"/>
      <c r="C1427" s="4" t="n"/>
      <c r="E1427" s="5">
        <f>IF(C1427="","",IF(계산!CI1427="","날짜 확인",IF(계산!CJ1427="","금액 확인","")))</f>
        <v/>
      </c>
    </row>
    <row r="1428">
      <c r="A1428" s="3" t="n"/>
      <c r="C1428" s="4" t="n"/>
      <c r="E1428" s="5">
        <f>IF(C1428="","",IF(계산!CI1428="","날짜 확인",IF(계산!CJ1428="","금액 확인","")))</f>
        <v/>
      </c>
    </row>
    <row r="1429">
      <c r="A1429" s="3" t="n"/>
      <c r="C1429" s="4" t="n"/>
      <c r="E1429" s="5">
        <f>IF(C1429="","",IF(계산!CI1429="","날짜 확인",IF(계산!CJ1429="","금액 확인","")))</f>
        <v/>
      </c>
    </row>
    <row r="1430">
      <c r="A1430" s="3" t="n"/>
      <c r="C1430" s="4" t="n"/>
      <c r="E1430" s="5">
        <f>IF(C1430="","",IF(계산!CI1430="","날짜 확인",IF(계산!CJ1430="","금액 확인","")))</f>
        <v/>
      </c>
    </row>
    <row r="1431">
      <c r="A1431" s="3" t="n"/>
      <c r="C1431" s="4" t="n"/>
      <c r="E1431" s="5">
        <f>IF(C1431="","",IF(계산!CI1431="","날짜 확인",IF(계산!CJ1431="","금액 확인","")))</f>
        <v/>
      </c>
    </row>
    <row r="1432">
      <c r="A1432" s="3" t="n"/>
      <c r="C1432" s="4" t="n"/>
      <c r="E1432" s="5">
        <f>IF(C1432="","",IF(계산!CI1432="","날짜 확인",IF(계산!CJ1432="","금액 확인","")))</f>
        <v/>
      </c>
    </row>
    <row r="1433">
      <c r="A1433" s="3" t="n"/>
      <c r="C1433" s="4" t="n"/>
      <c r="E1433" s="5">
        <f>IF(C1433="","",IF(계산!CI1433="","날짜 확인",IF(계산!CJ1433="","금액 확인","")))</f>
        <v/>
      </c>
    </row>
    <row r="1434">
      <c r="A1434" s="3" t="n"/>
      <c r="C1434" s="4" t="n"/>
      <c r="E1434" s="5">
        <f>IF(C1434="","",IF(계산!CI1434="","날짜 확인",IF(계산!CJ1434="","금액 확인","")))</f>
        <v/>
      </c>
    </row>
    <row r="1435">
      <c r="A1435" s="3" t="n"/>
      <c r="C1435" s="4" t="n"/>
      <c r="E1435" s="5">
        <f>IF(C1435="","",IF(계산!CI1435="","날짜 확인",IF(계산!CJ1435="","금액 확인","")))</f>
        <v/>
      </c>
    </row>
    <row r="1436">
      <c r="A1436" s="3" t="n"/>
      <c r="C1436" s="4" t="n"/>
      <c r="E1436" s="5">
        <f>IF(C1436="","",IF(계산!CI1436="","날짜 확인",IF(계산!CJ1436="","금액 확인","")))</f>
        <v/>
      </c>
    </row>
    <row r="1437">
      <c r="A1437" s="3" t="n"/>
      <c r="C1437" s="4" t="n"/>
      <c r="E1437" s="5">
        <f>IF(C1437="","",IF(계산!CI1437="","날짜 확인",IF(계산!CJ1437="","금액 확인","")))</f>
        <v/>
      </c>
    </row>
    <row r="1438">
      <c r="A1438" s="3" t="n"/>
      <c r="C1438" s="4" t="n"/>
      <c r="E1438" s="5">
        <f>IF(C1438="","",IF(계산!CI1438="","날짜 확인",IF(계산!CJ1438="","금액 확인","")))</f>
        <v/>
      </c>
    </row>
    <row r="1439">
      <c r="A1439" s="3" t="n"/>
      <c r="C1439" s="4" t="n"/>
      <c r="E1439" s="5">
        <f>IF(C1439="","",IF(계산!CI1439="","날짜 확인",IF(계산!CJ1439="","금액 확인","")))</f>
        <v/>
      </c>
    </row>
    <row r="1440">
      <c r="A1440" s="3" t="n"/>
      <c r="C1440" s="4" t="n"/>
      <c r="E1440" s="5">
        <f>IF(C1440="","",IF(계산!CI1440="","날짜 확인",IF(계산!CJ1440="","금액 확인","")))</f>
        <v/>
      </c>
    </row>
    <row r="1441">
      <c r="A1441" s="3" t="n"/>
      <c r="C1441" s="4" t="n"/>
      <c r="E1441" s="5">
        <f>IF(C1441="","",IF(계산!CI1441="","날짜 확인",IF(계산!CJ1441="","금액 확인","")))</f>
        <v/>
      </c>
    </row>
    <row r="1442">
      <c r="A1442" s="3" t="n"/>
      <c r="C1442" s="4" t="n"/>
      <c r="E1442" s="5">
        <f>IF(C1442="","",IF(계산!CI1442="","날짜 확인",IF(계산!CJ1442="","금액 확인","")))</f>
        <v/>
      </c>
    </row>
    <row r="1443">
      <c r="A1443" s="3" t="n"/>
      <c r="C1443" s="4" t="n"/>
      <c r="E1443" s="5">
        <f>IF(C1443="","",IF(계산!CI1443="","날짜 확인",IF(계산!CJ1443="","금액 확인","")))</f>
        <v/>
      </c>
    </row>
    <row r="1444">
      <c r="A1444" s="3" t="n"/>
      <c r="C1444" s="4" t="n"/>
      <c r="E1444" s="5">
        <f>IF(C1444="","",IF(계산!CI1444="","날짜 확인",IF(계산!CJ1444="","금액 확인","")))</f>
        <v/>
      </c>
    </row>
    <row r="1445">
      <c r="A1445" s="3" t="n"/>
      <c r="C1445" s="4" t="n"/>
      <c r="E1445" s="5">
        <f>IF(C1445="","",IF(계산!CI1445="","날짜 확인",IF(계산!CJ1445="","금액 확인","")))</f>
        <v/>
      </c>
    </row>
    <row r="1446">
      <c r="A1446" s="3" t="n"/>
      <c r="C1446" s="4" t="n"/>
      <c r="E1446" s="5">
        <f>IF(C1446="","",IF(계산!CI1446="","날짜 확인",IF(계산!CJ1446="","금액 확인","")))</f>
        <v/>
      </c>
    </row>
    <row r="1447">
      <c r="A1447" s="3" t="n"/>
      <c r="C1447" s="4" t="n"/>
      <c r="E1447" s="5">
        <f>IF(C1447="","",IF(계산!CI1447="","날짜 확인",IF(계산!CJ1447="","금액 확인","")))</f>
        <v/>
      </c>
    </row>
    <row r="1448">
      <c r="A1448" s="3" t="n"/>
      <c r="C1448" s="4" t="n"/>
      <c r="E1448" s="5">
        <f>IF(C1448="","",IF(계산!CI1448="","날짜 확인",IF(계산!CJ1448="","금액 확인","")))</f>
        <v/>
      </c>
    </row>
    <row r="1449">
      <c r="A1449" s="3" t="n"/>
      <c r="C1449" s="4" t="n"/>
      <c r="E1449" s="5">
        <f>IF(C1449="","",IF(계산!CI1449="","날짜 확인",IF(계산!CJ1449="","금액 확인","")))</f>
        <v/>
      </c>
    </row>
    <row r="1450">
      <c r="A1450" s="3" t="n"/>
      <c r="C1450" s="4" t="n"/>
      <c r="E1450" s="5">
        <f>IF(C1450="","",IF(계산!CI1450="","날짜 확인",IF(계산!CJ1450="","금액 확인","")))</f>
        <v/>
      </c>
    </row>
    <row r="1451">
      <c r="A1451" s="3" t="n"/>
      <c r="C1451" s="4" t="n"/>
      <c r="E1451" s="5">
        <f>IF(C1451="","",IF(계산!CI1451="","날짜 확인",IF(계산!CJ1451="","금액 확인","")))</f>
        <v/>
      </c>
    </row>
    <row r="1452">
      <c r="A1452" s="3" t="n"/>
      <c r="C1452" s="4" t="n"/>
      <c r="E1452" s="5">
        <f>IF(C1452="","",IF(계산!CI1452="","날짜 확인",IF(계산!CJ1452="","금액 확인","")))</f>
        <v/>
      </c>
    </row>
    <row r="1453">
      <c r="A1453" s="3" t="n"/>
      <c r="C1453" s="4" t="n"/>
      <c r="E1453" s="5">
        <f>IF(C1453="","",IF(계산!CI1453="","날짜 확인",IF(계산!CJ1453="","금액 확인","")))</f>
        <v/>
      </c>
    </row>
    <row r="1454">
      <c r="A1454" s="3" t="n"/>
      <c r="C1454" s="4" t="n"/>
      <c r="E1454" s="5">
        <f>IF(C1454="","",IF(계산!CI1454="","날짜 확인",IF(계산!CJ1454="","금액 확인","")))</f>
        <v/>
      </c>
    </row>
    <row r="1455">
      <c r="A1455" s="3" t="n"/>
      <c r="C1455" s="4" t="n"/>
      <c r="E1455" s="5">
        <f>IF(C1455="","",IF(계산!CI1455="","날짜 확인",IF(계산!CJ1455="","금액 확인","")))</f>
        <v/>
      </c>
    </row>
    <row r="1456">
      <c r="A1456" s="3" t="n"/>
      <c r="C1456" s="4" t="n"/>
      <c r="E1456" s="5">
        <f>IF(C1456="","",IF(계산!CI1456="","날짜 확인",IF(계산!CJ1456="","금액 확인","")))</f>
        <v/>
      </c>
    </row>
    <row r="1457">
      <c r="A1457" s="3" t="n"/>
      <c r="C1457" s="4" t="n"/>
      <c r="E1457" s="5">
        <f>IF(C1457="","",IF(계산!CI1457="","날짜 확인",IF(계산!CJ1457="","금액 확인","")))</f>
        <v/>
      </c>
    </row>
    <row r="1458">
      <c r="A1458" s="3" t="n"/>
      <c r="C1458" s="4" t="n"/>
      <c r="E1458" s="5">
        <f>IF(C1458="","",IF(계산!CI1458="","날짜 확인",IF(계산!CJ1458="","금액 확인","")))</f>
        <v/>
      </c>
    </row>
    <row r="1459">
      <c r="A1459" s="3" t="n"/>
      <c r="C1459" s="4" t="n"/>
      <c r="E1459" s="5">
        <f>IF(C1459="","",IF(계산!CI1459="","날짜 확인",IF(계산!CJ1459="","금액 확인","")))</f>
        <v/>
      </c>
    </row>
    <row r="1460">
      <c r="A1460" s="3" t="n"/>
      <c r="C1460" s="4" t="n"/>
      <c r="E1460" s="5">
        <f>IF(C1460="","",IF(계산!CI1460="","날짜 확인",IF(계산!CJ1460="","금액 확인","")))</f>
        <v/>
      </c>
    </row>
    <row r="1461">
      <c r="A1461" s="3" t="n"/>
      <c r="C1461" s="4" t="n"/>
      <c r="E1461" s="5">
        <f>IF(C1461="","",IF(계산!CI1461="","날짜 확인",IF(계산!CJ1461="","금액 확인","")))</f>
        <v/>
      </c>
    </row>
    <row r="1462">
      <c r="A1462" s="3" t="n"/>
      <c r="C1462" s="4" t="n"/>
      <c r="E1462" s="5">
        <f>IF(C1462="","",IF(계산!CI1462="","날짜 확인",IF(계산!CJ1462="","금액 확인","")))</f>
        <v/>
      </c>
    </row>
    <row r="1463">
      <c r="A1463" s="3" t="n"/>
      <c r="C1463" s="4" t="n"/>
      <c r="E1463" s="5">
        <f>IF(C1463="","",IF(계산!CI1463="","날짜 확인",IF(계산!CJ1463="","금액 확인","")))</f>
        <v/>
      </c>
    </row>
    <row r="1464">
      <c r="A1464" s="3" t="n"/>
      <c r="C1464" s="4" t="n"/>
      <c r="E1464" s="5">
        <f>IF(C1464="","",IF(계산!CI1464="","날짜 확인",IF(계산!CJ1464="","금액 확인","")))</f>
        <v/>
      </c>
    </row>
    <row r="1465">
      <c r="A1465" s="3" t="n"/>
      <c r="C1465" s="4" t="n"/>
      <c r="E1465" s="5">
        <f>IF(C1465="","",IF(계산!CI1465="","날짜 확인",IF(계산!CJ1465="","금액 확인","")))</f>
        <v/>
      </c>
    </row>
    <row r="1466">
      <c r="A1466" s="3" t="n"/>
      <c r="C1466" s="4" t="n"/>
      <c r="E1466" s="5">
        <f>IF(C1466="","",IF(계산!CI1466="","날짜 확인",IF(계산!CJ1466="","금액 확인","")))</f>
        <v/>
      </c>
    </row>
    <row r="1467">
      <c r="A1467" s="3" t="n"/>
      <c r="C1467" s="4" t="n"/>
      <c r="E1467" s="5">
        <f>IF(C1467="","",IF(계산!CI1467="","날짜 확인",IF(계산!CJ1467="","금액 확인","")))</f>
        <v/>
      </c>
    </row>
    <row r="1468">
      <c r="A1468" s="3" t="n"/>
      <c r="C1468" s="4" t="n"/>
      <c r="E1468" s="5">
        <f>IF(C1468="","",IF(계산!CI1468="","날짜 확인",IF(계산!CJ1468="","금액 확인","")))</f>
        <v/>
      </c>
    </row>
    <row r="1469">
      <c r="A1469" s="3" t="n"/>
      <c r="C1469" s="4" t="n"/>
      <c r="E1469" s="5">
        <f>IF(C1469="","",IF(계산!CI1469="","날짜 확인",IF(계산!CJ1469="","금액 확인","")))</f>
        <v/>
      </c>
    </row>
    <row r="1470">
      <c r="A1470" s="3" t="n"/>
      <c r="C1470" s="4" t="n"/>
      <c r="E1470" s="5">
        <f>IF(C1470="","",IF(계산!CI1470="","날짜 확인",IF(계산!CJ1470="","금액 확인","")))</f>
        <v/>
      </c>
    </row>
    <row r="1471">
      <c r="A1471" s="3" t="n"/>
      <c r="C1471" s="4" t="n"/>
      <c r="E1471" s="5">
        <f>IF(C1471="","",IF(계산!CI1471="","날짜 확인",IF(계산!CJ1471="","금액 확인","")))</f>
        <v/>
      </c>
    </row>
    <row r="1472">
      <c r="A1472" s="3" t="n"/>
      <c r="C1472" s="4" t="n"/>
      <c r="E1472" s="5">
        <f>IF(C1472="","",IF(계산!CI1472="","날짜 확인",IF(계산!CJ1472="","금액 확인","")))</f>
        <v/>
      </c>
    </row>
    <row r="1473">
      <c r="A1473" s="3" t="n"/>
      <c r="C1473" s="4" t="n"/>
      <c r="E1473" s="5">
        <f>IF(C1473="","",IF(계산!CI1473="","날짜 확인",IF(계산!CJ1473="","금액 확인","")))</f>
        <v/>
      </c>
    </row>
    <row r="1474">
      <c r="A1474" s="3" t="n"/>
      <c r="C1474" s="4" t="n"/>
      <c r="E1474" s="5">
        <f>IF(C1474="","",IF(계산!CI1474="","날짜 확인",IF(계산!CJ1474="","금액 확인","")))</f>
        <v/>
      </c>
    </row>
    <row r="1475">
      <c r="A1475" s="3" t="n"/>
      <c r="C1475" s="4" t="n"/>
      <c r="E1475" s="5">
        <f>IF(C1475="","",IF(계산!CI1475="","날짜 확인",IF(계산!CJ1475="","금액 확인","")))</f>
        <v/>
      </c>
    </row>
    <row r="1476">
      <c r="A1476" s="3" t="n"/>
      <c r="C1476" s="4" t="n"/>
      <c r="E1476" s="5">
        <f>IF(C1476="","",IF(계산!CI1476="","날짜 확인",IF(계산!CJ1476="","금액 확인","")))</f>
        <v/>
      </c>
    </row>
    <row r="1477">
      <c r="A1477" s="3" t="n"/>
      <c r="C1477" s="4" t="n"/>
      <c r="E1477" s="5">
        <f>IF(C1477="","",IF(계산!CI1477="","날짜 확인",IF(계산!CJ1477="","금액 확인","")))</f>
        <v/>
      </c>
    </row>
    <row r="1478">
      <c r="A1478" s="3" t="n"/>
      <c r="C1478" s="4" t="n"/>
      <c r="E1478" s="5">
        <f>IF(C1478="","",IF(계산!CI1478="","날짜 확인",IF(계산!CJ1478="","금액 확인","")))</f>
        <v/>
      </c>
    </row>
    <row r="1479">
      <c r="A1479" s="3" t="n"/>
      <c r="C1479" s="4" t="n"/>
      <c r="E1479" s="5">
        <f>IF(C1479="","",IF(계산!CI1479="","날짜 확인",IF(계산!CJ1479="","금액 확인","")))</f>
        <v/>
      </c>
    </row>
    <row r="1480">
      <c r="A1480" s="3" t="n"/>
      <c r="C1480" s="4" t="n"/>
      <c r="E1480" s="5">
        <f>IF(C1480="","",IF(계산!CI1480="","날짜 확인",IF(계산!CJ1480="","금액 확인","")))</f>
        <v/>
      </c>
    </row>
    <row r="1481">
      <c r="A1481" s="3" t="n"/>
      <c r="C1481" s="4" t="n"/>
      <c r="E1481" s="5">
        <f>IF(C1481="","",IF(계산!CI1481="","날짜 확인",IF(계산!CJ1481="","금액 확인","")))</f>
        <v/>
      </c>
    </row>
    <row r="1482">
      <c r="A1482" s="3" t="n"/>
      <c r="C1482" s="4" t="n"/>
      <c r="E1482" s="5">
        <f>IF(C1482="","",IF(계산!CI1482="","날짜 확인",IF(계산!CJ1482="","금액 확인","")))</f>
        <v/>
      </c>
    </row>
    <row r="1483">
      <c r="A1483" s="3" t="n"/>
      <c r="C1483" s="4" t="n"/>
      <c r="E1483" s="5">
        <f>IF(C1483="","",IF(계산!CI1483="","날짜 확인",IF(계산!CJ1483="","금액 확인","")))</f>
        <v/>
      </c>
    </row>
    <row r="1484">
      <c r="A1484" s="3" t="n"/>
      <c r="C1484" s="4" t="n"/>
      <c r="E1484" s="5">
        <f>IF(C1484="","",IF(계산!CI1484="","날짜 확인",IF(계산!CJ1484="","금액 확인","")))</f>
        <v/>
      </c>
    </row>
    <row r="1485">
      <c r="A1485" s="3" t="n"/>
      <c r="C1485" s="4" t="n"/>
      <c r="E1485" s="5">
        <f>IF(C1485="","",IF(계산!CI1485="","날짜 확인",IF(계산!CJ1485="","금액 확인","")))</f>
        <v/>
      </c>
    </row>
    <row r="1486">
      <c r="A1486" s="3" t="n"/>
      <c r="C1486" s="4" t="n"/>
      <c r="E1486" s="5">
        <f>IF(C1486="","",IF(계산!CI1486="","날짜 확인",IF(계산!CJ1486="","금액 확인","")))</f>
        <v/>
      </c>
    </row>
    <row r="1487">
      <c r="A1487" s="3" t="n"/>
      <c r="C1487" s="4" t="n"/>
      <c r="E1487" s="5">
        <f>IF(C1487="","",IF(계산!CI1487="","날짜 확인",IF(계산!CJ1487="","금액 확인","")))</f>
        <v/>
      </c>
    </row>
    <row r="1488">
      <c r="A1488" s="3" t="n"/>
      <c r="C1488" s="4" t="n"/>
      <c r="E1488" s="5">
        <f>IF(C1488="","",IF(계산!CI1488="","날짜 확인",IF(계산!CJ1488="","금액 확인","")))</f>
        <v/>
      </c>
    </row>
    <row r="1489">
      <c r="A1489" s="3" t="n"/>
      <c r="C1489" s="4" t="n"/>
      <c r="E1489" s="5">
        <f>IF(C1489="","",IF(계산!CI1489="","날짜 확인",IF(계산!CJ1489="","금액 확인","")))</f>
        <v/>
      </c>
    </row>
    <row r="1490">
      <c r="A1490" s="3" t="n"/>
      <c r="C1490" s="4" t="n"/>
      <c r="E1490" s="5">
        <f>IF(C1490="","",IF(계산!CI1490="","날짜 확인",IF(계산!CJ1490="","금액 확인","")))</f>
        <v/>
      </c>
    </row>
    <row r="1491">
      <c r="A1491" s="3" t="n"/>
      <c r="C1491" s="4" t="n"/>
      <c r="E1491" s="5">
        <f>IF(C1491="","",IF(계산!CI1491="","날짜 확인",IF(계산!CJ1491="","금액 확인","")))</f>
        <v/>
      </c>
    </row>
    <row r="1492">
      <c r="A1492" s="3" t="n"/>
      <c r="C1492" s="4" t="n"/>
      <c r="E1492" s="5">
        <f>IF(C1492="","",IF(계산!CI1492="","날짜 확인",IF(계산!CJ1492="","금액 확인","")))</f>
        <v/>
      </c>
    </row>
    <row r="1493">
      <c r="A1493" s="3" t="n"/>
      <c r="C1493" s="4" t="n"/>
      <c r="E1493" s="5">
        <f>IF(C1493="","",IF(계산!CI1493="","날짜 확인",IF(계산!CJ1493="","금액 확인","")))</f>
        <v/>
      </c>
    </row>
    <row r="1494">
      <c r="A1494" s="3" t="n"/>
      <c r="C1494" s="4" t="n"/>
      <c r="E1494" s="5">
        <f>IF(C1494="","",IF(계산!CI1494="","날짜 확인",IF(계산!CJ1494="","금액 확인","")))</f>
        <v/>
      </c>
    </row>
    <row r="1495">
      <c r="A1495" s="3" t="n"/>
      <c r="C1495" s="4" t="n"/>
      <c r="E1495" s="5">
        <f>IF(C1495="","",IF(계산!CI1495="","날짜 확인",IF(계산!CJ1495="","금액 확인","")))</f>
        <v/>
      </c>
    </row>
    <row r="1496">
      <c r="A1496" s="3" t="n"/>
      <c r="C1496" s="4" t="n"/>
      <c r="E1496" s="5">
        <f>IF(C1496="","",IF(계산!CI1496="","날짜 확인",IF(계산!CJ1496="","금액 확인","")))</f>
        <v/>
      </c>
    </row>
    <row r="1497">
      <c r="A1497" s="3" t="n"/>
      <c r="C1497" s="4" t="n"/>
      <c r="E1497" s="5">
        <f>IF(C1497="","",IF(계산!CI1497="","날짜 확인",IF(계산!CJ1497="","금액 확인","")))</f>
        <v/>
      </c>
    </row>
    <row r="1498">
      <c r="A1498" s="3" t="n"/>
      <c r="C1498" s="4" t="n"/>
      <c r="E1498" s="5">
        <f>IF(C1498="","",IF(계산!CI1498="","날짜 확인",IF(계산!CJ1498="","금액 확인","")))</f>
        <v/>
      </c>
    </row>
    <row r="1499">
      <c r="A1499" s="3" t="n"/>
      <c r="C1499" s="4" t="n"/>
      <c r="E1499" s="5">
        <f>IF(C1499="","",IF(계산!CI1499="","날짜 확인",IF(계산!CJ1499="","금액 확인","")))</f>
        <v/>
      </c>
    </row>
    <row r="1500">
      <c r="A1500" s="3" t="n"/>
      <c r="C1500" s="4" t="n"/>
      <c r="E1500" s="5">
        <f>IF(C1500="","",IF(계산!CI1500="","날짜 확인",IF(계산!CJ1500="","금액 확인","")))</f>
        <v/>
      </c>
    </row>
    <row r="1501">
      <c r="A1501" s="3" t="n"/>
      <c r="C1501" s="4" t="n"/>
      <c r="E1501" s="5">
        <f>IF(C1501="","",IF(계산!CI1501="","날짜 확인",IF(계산!CJ1501="","금액 확인","")))</f>
        <v/>
      </c>
    </row>
    <row r="1502">
      <c r="A1502" s="3" t="n"/>
      <c r="C1502" s="4" t="n"/>
      <c r="E1502" s="5">
        <f>IF(C1502="","",IF(계산!CI1502="","날짜 확인",IF(계산!CJ1502="","금액 확인","")))</f>
        <v/>
      </c>
    </row>
    <row r="1503">
      <c r="A1503" s="3" t="n"/>
      <c r="C1503" s="4" t="n"/>
      <c r="E1503" s="5">
        <f>IF(C1503="","",IF(계산!CI1503="","날짜 확인",IF(계산!CJ1503="","금액 확인","")))</f>
        <v/>
      </c>
    </row>
    <row r="1504">
      <c r="A1504" s="3" t="n"/>
      <c r="C1504" s="4" t="n"/>
      <c r="E1504" s="5">
        <f>IF(C1504="","",IF(계산!CI1504="","날짜 확인",IF(계산!CJ1504="","금액 확인","")))</f>
        <v/>
      </c>
    </row>
    <row r="1505">
      <c r="A1505" s="3" t="n"/>
      <c r="C1505" s="4" t="n"/>
      <c r="E1505" s="5">
        <f>IF(C1505="","",IF(계산!CI1505="","날짜 확인",IF(계산!CJ1505="","금액 확인","")))</f>
        <v/>
      </c>
    </row>
    <row r="1506">
      <c r="A1506" s="3" t="n"/>
      <c r="C1506" s="4" t="n"/>
      <c r="E1506" s="5">
        <f>IF(C1506="","",IF(계산!CI1506="","날짜 확인",IF(계산!CJ1506="","금액 확인","")))</f>
        <v/>
      </c>
    </row>
    <row r="1507">
      <c r="A1507" s="3" t="n"/>
      <c r="C1507" s="4" t="n"/>
      <c r="E1507" s="5">
        <f>IF(C1507="","",IF(계산!CI1507="","날짜 확인",IF(계산!CJ1507="","금액 확인","")))</f>
        <v/>
      </c>
    </row>
    <row r="1508">
      <c r="A1508" s="3" t="n"/>
      <c r="C1508" s="4" t="n"/>
      <c r="E1508" s="5">
        <f>IF(C1508="","",IF(계산!CI1508="","날짜 확인",IF(계산!CJ1508="","금액 확인","")))</f>
        <v/>
      </c>
    </row>
    <row r="1509">
      <c r="A1509" s="3" t="n"/>
      <c r="C1509" s="4" t="n"/>
      <c r="E1509" s="5">
        <f>IF(C1509="","",IF(계산!CI1509="","날짜 확인",IF(계산!CJ1509="","금액 확인","")))</f>
        <v/>
      </c>
    </row>
    <row r="1510">
      <c r="A1510" s="3" t="n"/>
      <c r="C1510" s="4" t="n"/>
      <c r="E1510" s="5">
        <f>IF(C1510="","",IF(계산!CI1510="","날짜 확인",IF(계산!CJ1510="","금액 확인","")))</f>
        <v/>
      </c>
    </row>
    <row r="1511">
      <c r="A1511" s="3" t="n"/>
      <c r="C1511" s="4" t="n"/>
      <c r="E1511" s="5">
        <f>IF(C1511="","",IF(계산!CI1511="","날짜 확인",IF(계산!CJ1511="","금액 확인","")))</f>
        <v/>
      </c>
    </row>
    <row r="1512">
      <c r="A1512" s="3" t="n"/>
      <c r="C1512" s="4" t="n"/>
      <c r="E1512" s="5">
        <f>IF(C1512="","",IF(계산!CI1512="","날짜 확인",IF(계산!CJ1512="","금액 확인","")))</f>
        <v/>
      </c>
    </row>
    <row r="1513">
      <c r="A1513" s="3" t="n"/>
      <c r="C1513" s="4" t="n"/>
      <c r="E1513" s="5">
        <f>IF(C1513="","",IF(계산!CI1513="","날짜 확인",IF(계산!CJ1513="","금액 확인","")))</f>
        <v/>
      </c>
    </row>
    <row r="1514">
      <c r="A1514" s="3" t="n"/>
      <c r="C1514" s="4" t="n"/>
      <c r="E1514" s="5">
        <f>IF(C1514="","",IF(계산!CI1514="","날짜 확인",IF(계산!CJ1514="","금액 확인","")))</f>
        <v/>
      </c>
    </row>
    <row r="1515">
      <c r="A1515" s="3" t="n"/>
      <c r="C1515" s="4" t="n"/>
      <c r="E1515" s="5">
        <f>IF(C1515="","",IF(계산!CI1515="","날짜 확인",IF(계산!CJ1515="","금액 확인","")))</f>
        <v/>
      </c>
    </row>
    <row r="1516">
      <c r="A1516" s="3" t="n"/>
      <c r="C1516" s="4" t="n"/>
      <c r="E1516" s="5">
        <f>IF(C1516="","",IF(계산!CI1516="","날짜 확인",IF(계산!CJ1516="","금액 확인","")))</f>
        <v/>
      </c>
    </row>
    <row r="1517">
      <c r="A1517" s="3" t="n"/>
      <c r="C1517" s="4" t="n"/>
      <c r="E1517" s="5">
        <f>IF(C1517="","",IF(계산!CI1517="","날짜 확인",IF(계산!CJ1517="","금액 확인","")))</f>
        <v/>
      </c>
    </row>
    <row r="1518">
      <c r="A1518" s="3" t="n"/>
      <c r="C1518" s="4" t="n"/>
      <c r="E1518" s="5">
        <f>IF(C1518="","",IF(계산!CI1518="","날짜 확인",IF(계산!CJ1518="","금액 확인","")))</f>
        <v/>
      </c>
    </row>
    <row r="1519">
      <c r="A1519" s="3" t="n"/>
      <c r="C1519" s="4" t="n"/>
      <c r="E1519" s="5">
        <f>IF(C1519="","",IF(계산!CI1519="","날짜 확인",IF(계산!CJ1519="","금액 확인","")))</f>
        <v/>
      </c>
    </row>
    <row r="1520">
      <c r="A1520" s="3" t="n"/>
      <c r="C1520" s="4" t="n"/>
      <c r="E1520" s="5">
        <f>IF(C1520="","",IF(계산!CI1520="","날짜 확인",IF(계산!CJ1520="","금액 확인","")))</f>
        <v/>
      </c>
    </row>
    <row r="1521">
      <c r="A1521" s="3" t="n"/>
      <c r="C1521" s="4" t="n"/>
      <c r="E1521" s="5">
        <f>IF(C1521="","",IF(계산!CI1521="","날짜 확인",IF(계산!CJ1521="","금액 확인","")))</f>
        <v/>
      </c>
    </row>
    <row r="1522">
      <c r="A1522" s="3" t="n"/>
      <c r="C1522" s="4" t="n"/>
      <c r="E1522" s="5">
        <f>IF(C1522="","",IF(계산!CI1522="","날짜 확인",IF(계산!CJ1522="","금액 확인","")))</f>
        <v/>
      </c>
    </row>
    <row r="1523">
      <c r="A1523" s="3" t="n"/>
      <c r="C1523" s="4" t="n"/>
      <c r="E1523" s="5">
        <f>IF(C1523="","",IF(계산!CI1523="","날짜 확인",IF(계산!CJ1523="","금액 확인","")))</f>
        <v/>
      </c>
    </row>
    <row r="1524">
      <c r="A1524" s="3" t="n"/>
      <c r="C1524" s="4" t="n"/>
      <c r="E1524" s="5">
        <f>IF(C1524="","",IF(계산!CI1524="","날짜 확인",IF(계산!CJ1524="","금액 확인","")))</f>
        <v/>
      </c>
    </row>
    <row r="1525">
      <c r="A1525" s="3" t="n"/>
      <c r="C1525" s="4" t="n"/>
      <c r="E1525" s="5">
        <f>IF(C1525="","",IF(계산!CI1525="","날짜 확인",IF(계산!CJ1525="","금액 확인","")))</f>
        <v/>
      </c>
    </row>
    <row r="1526">
      <c r="A1526" s="3" t="n"/>
      <c r="C1526" s="4" t="n"/>
      <c r="E1526" s="5">
        <f>IF(C1526="","",IF(계산!CI1526="","날짜 확인",IF(계산!CJ1526="","금액 확인","")))</f>
        <v/>
      </c>
    </row>
    <row r="1527">
      <c r="A1527" s="3" t="n"/>
      <c r="C1527" s="4" t="n"/>
      <c r="E1527" s="5">
        <f>IF(C1527="","",IF(계산!CI1527="","날짜 확인",IF(계산!CJ1527="","금액 확인","")))</f>
        <v/>
      </c>
    </row>
    <row r="1528">
      <c r="A1528" s="3" t="n"/>
      <c r="C1528" s="4" t="n"/>
      <c r="E1528" s="5">
        <f>IF(C1528="","",IF(계산!CI1528="","날짜 확인",IF(계산!CJ1528="","금액 확인","")))</f>
        <v/>
      </c>
    </row>
    <row r="1529">
      <c r="A1529" s="3" t="n"/>
      <c r="C1529" s="4" t="n"/>
      <c r="E1529" s="5">
        <f>IF(C1529="","",IF(계산!CI1529="","날짜 확인",IF(계산!CJ1529="","금액 확인","")))</f>
        <v/>
      </c>
    </row>
    <row r="1530">
      <c r="A1530" s="3" t="n"/>
      <c r="C1530" s="4" t="n"/>
      <c r="E1530" s="5">
        <f>IF(C1530="","",IF(계산!CI1530="","날짜 확인",IF(계산!CJ1530="","금액 확인","")))</f>
        <v/>
      </c>
    </row>
    <row r="1531">
      <c r="A1531" s="3" t="n"/>
      <c r="C1531" s="4" t="n"/>
      <c r="E1531" s="5">
        <f>IF(C1531="","",IF(계산!CI1531="","날짜 확인",IF(계산!CJ1531="","금액 확인","")))</f>
        <v/>
      </c>
    </row>
    <row r="1532">
      <c r="A1532" s="3" t="n"/>
      <c r="C1532" s="4" t="n"/>
      <c r="E1532" s="5">
        <f>IF(C1532="","",IF(계산!CI1532="","날짜 확인",IF(계산!CJ1532="","금액 확인","")))</f>
        <v/>
      </c>
    </row>
    <row r="1533">
      <c r="A1533" s="3" t="n"/>
      <c r="C1533" s="4" t="n"/>
      <c r="E1533" s="5">
        <f>IF(C1533="","",IF(계산!CI1533="","날짜 확인",IF(계산!CJ1533="","금액 확인","")))</f>
        <v/>
      </c>
    </row>
    <row r="1534">
      <c r="A1534" s="3" t="n"/>
      <c r="C1534" s="4" t="n"/>
      <c r="E1534" s="5">
        <f>IF(C1534="","",IF(계산!CI1534="","날짜 확인",IF(계산!CJ1534="","금액 확인","")))</f>
        <v/>
      </c>
    </row>
    <row r="1535">
      <c r="A1535" s="3" t="n"/>
      <c r="C1535" s="4" t="n"/>
      <c r="E1535" s="5">
        <f>IF(C1535="","",IF(계산!CI1535="","날짜 확인",IF(계산!CJ1535="","금액 확인","")))</f>
        <v/>
      </c>
    </row>
    <row r="1536">
      <c r="A1536" s="3" t="n"/>
      <c r="C1536" s="4" t="n"/>
      <c r="E1536" s="5">
        <f>IF(C1536="","",IF(계산!CI1536="","날짜 확인",IF(계산!CJ1536="","금액 확인","")))</f>
        <v/>
      </c>
    </row>
    <row r="1537">
      <c r="A1537" s="3" t="n"/>
      <c r="C1537" s="4" t="n"/>
      <c r="E1537" s="5">
        <f>IF(C1537="","",IF(계산!CI1537="","날짜 확인",IF(계산!CJ1537="","금액 확인","")))</f>
        <v/>
      </c>
    </row>
    <row r="1538">
      <c r="A1538" s="3" t="n"/>
      <c r="C1538" s="4" t="n"/>
      <c r="E1538" s="5">
        <f>IF(C1538="","",IF(계산!CI1538="","날짜 확인",IF(계산!CJ1538="","금액 확인","")))</f>
        <v/>
      </c>
    </row>
    <row r="1539">
      <c r="A1539" s="3" t="n"/>
      <c r="C1539" s="4" t="n"/>
      <c r="E1539" s="5">
        <f>IF(C1539="","",IF(계산!CI1539="","날짜 확인",IF(계산!CJ1539="","금액 확인","")))</f>
        <v/>
      </c>
    </row>
    <row r="1540">
      <c r="A1540" s="3" t="n"/>
      <c r="C1540" s="4" t="n"/>
      <c r="E1540" s="5">
        <f>IF(C1540="","",IF(계산!CI1540="","날짜 확인",IF(계산!CJ1540="","금액 확인","")))</f>
        <v/>
      </c>
    </row>
    <row r="1541">
      <c r="A1541" s="3" t="n"/>
      <c r="C1541" s="4" t="n"/>
      <c r="E1541" s="5">
        <f>IF(C1541="","",IF(계산!CI1541="","날짜 확인",IF(계산!CJ1541="","금액 확인","")))</f>
        <v/>
      </c>
    </row>
    <row r="1542">
      <c r="A1542" s="3" t="n"/>
      <c r="C1542" s="4" t="n"/>
      <c r="E1542" s="5">
        <f>IF(C1542="","",IF(계산!CI1542="","날짜 확인",IF(계산!CJ1542="","금액 확인","")))</f>
        <v/>
      </c>
    </row>
    <row r="1543">
      <c r="A1543" s="3" t="n"/>
      <c r="C1543" s="4" t="n"/>
      <c r="E1543" s="5">
        <f>IF(C1543="","",IF(계산!CI1543="","날짜 확인",IF(계산!CJ1543="","금액 확인","")))</f>
        <v/>
      </c>
    </row>
    <row r="1544">
      <c r="A1544" s="3" t="n"/>
      <c r="C1544" s="4" t="n"/>
      <c r="E1544" s="5">
        <f>IF(C1544="","",IF(계산!CI1544="","날짜 확인",IF(계산!CJ1544="","금액 확인","")))</f>
        <v/>
      </c>
    </row>
    <row r="1545">
      <c r="A1545" s="3" t="n"/>
      <c r="C1545" s="4" t="n"/>
      <c r="E1545" s="5">
        <f>IF(C1545="","",IF(계산!CI1545="","날짜 확인",IF(계산!CJ1545="","금액 확인","")))</f>
        <v/>
      </c>
    </row>
    <row r="1546">
      <c r="A1546" s="3" t="n"/>
      <c r="C1546" s="4" t="n"/>
      <c r="E1546" s="5">
        <f>IF(C1546="","",IF(계산!CI1546="","날짜 확인",IF(계산!CJ1546="","금액 확인","")))</f>
        <v/>
      </c>
    </row>
    <row r="1547">
      <c r="A1547" s="3" t="n"/>
      <c r="C1547" s="4" t="n"/>
      <c r="E1547" s="5">
        <f>IF(C1547="","",IF(계산!CI1547="","날짜 확인",IF(계산!CJ1547="","금액 확인","")))</f>
        <v/>
      </c>
    </row>
    <row r="1548">
      <c r="A1548" s="3" t="n"/>
      <c r="C1548" s="4" t="n"/>
      <c r="E1548" s="5">
        <f>IF(C1548="","",IF(계산!CI1548="","날짜 확인",IF(계산!CJ1548="","금액 확인","")))</f>
        <v/>
      </c>
    </row>
    <row r="1549">
      <c r="A1549" s="3" t="n"/>
      <c r="C1549" s="4" t="n"/>
      <c r="E1549" s="5">
        <f>IF(C1549="","",IF(계산!CI1549="","날짜 확인",IF(계산!CJ1549="","금액 확인","")))</f>
        <v/>
      </c>
    </row>
    <row r="1550">
      <c r="A1550" s="3" t="n"/>
      <c r="C1550" s="4" t="n"/>
      <c r="E1550" s="5">
        <f>IF(C1550="","",IF(계산!CI1550="","날짜 확인",IF(계산!CJ1550="","금액 확인","")))</f>
        <v/>
      </c>
    </row>
    <row r="1551">
      <c r="A1551" s="3" t="n"/>
      <c r="C1551" s="4" t="n"/>
      <c r="E1551" s="5">
        <f>IF(C1551="","",IF(계산!CI1551="","날짜 확인",IF(계산!CJ1551="","금액 확인","")))</f>
        <v/>
      </c>
    </row>
    <row r="1552">
      <c r="A1552" s="3" t="n"/>
      <c r="C1552" s="4" t="n"/>
      <c r="E1552" s="5">
        <f>IF(C1552="","",IF(계산!CI1552="","날짜 확인",IF(계산!CJ1552="","금액 확인","")))</f>
        <v/>
      </c>
    </row>
    <row r="1553">
      <c r="A1553" s="3" t="n"/>
      <c r="C1553" s="4" t="n"/>
      <c r="E1553" s="5">
        <f>IF(C1553="","",IF(계산!CI1553="","날짜 확인",IF(계산!CJ1553="","금액 확인","")))</f>
        <v/>
      </c>
    </row>
    <row r="1554">
      <c r="A1554" s="3" t="n"/>
      <c r="C1554" s="4" t="n"/>
      <c r="E1554" s="5">
        <f>IF(C1554="","",IF(계산!CI1554="","날짜 확인",IF(계산!CJ1554="","금액 확인","")))</f>
        <v/>
      </c>
    </row>
    <row r="1555">
      <c r="A1555" s="3" t="n"/>
      <c r="C1555" s="4" t="n"/>
      <c r="E1555" s="5">
        <f>IF(C1555="","",IF(계산!CI1555="","날짜 확인",IF(계산!CJ1555="","금액 확인","")))</f>
        <v/>
      </c>
    </row>
    <row r="1556">
      <c r="A1556" s="3" t="n"/>
      <c r="C1556" s="4" t="n"/>
      <c r="E1556" s="5">
        <f>IF(C1556="","",IF(계산!CI1556="","날짜 확인",IF(계산!CJ1556="","금액 확인","")))</f>
        <v/>
      </c>
    </row>
    <row r="1557">
      <c r="A1557" s="3" t="n"/>
      <c r="C1557" s="4" t="n"/>
      <c r="E1557" s="5">
        <f>IF(C1557="","",IF(계산!CI1557="","날짜 확인",IF(계산!CJ1557="","금액 확인","")))</f>
        <v/>
      </c>
    </row>
    <row r="1558">
      <c r="A1558" s="3" t="n"/>
      <c r="C1558" s="4" t="n"/>
      <c r="E1558" s="5">
        <f>IF(C1558="","",IF(계산!CI1558="","날짜 확인",IF(계산!CJ1558="","금액 확인","")))</f>
        <v/>
      </c>
    </row>
    <row r="1559">
      <c r="A1559" s="3" t="n"/>
      <c r="C1559" s="4" t="n"/>
      <c r="E1559" s="5">
        <f>IF(C1559="","",IF(계산!CI1559="","날짜 확인",IF(계산!CJ1559="","금액 확인","")))</f>
        <v/>
      </c>
    </row>
    <row r="1560">
      <c r="A1560" s="3" t="n"/>
      <c r="C1560" s="4" t="n"/>
      <c r="E1560" s="5">
        <f>IF(C1560="","",IF(계산!CI1560="","날짜 확인",IF(계산!CJ1560="","금액 확인","")))</f>
        <v/>
      </c>
    </row>
    <row r="1561">
      <c r="A1561" s="3" t="n"/>
      <c r="C1561" s="4" t="n"/>
      <c r="E1561" s="5">
        <f>IF(C1561="","",IF(계산!CI1561="","날짜 확인",IF(계산!CJ1561="","금액 확인","")))</f>
        <v/>
      </c>
    </row>
    <row r="1562">
      <c r="A1562" s="3" t="n"/>
      <c r="C1562" s="4" t="n"/>
      <c r="E1562" s="5">
        <f>IF(C1562="","",IF(계산!CI1562="","날짜 확인",IF(계산!CJ1562="","금액 확인","")))</f>
        <v/>
      </c>
    </row>
    <row r="1563">
      <c r="A1563" s="3" t="n"/>
      <c r="C1563" s="4" t="n"/>
      <c r="E1563" s="5">
        <f>IF(C1563="","",IF(계산!CI1563="","날짜 확인",IF(계산!CJ1563="","금액 확인","")))</f>
        <v/>
      </c>
    </row>
    <row r="1564">
      <c r="A1564" s="3" t="n"/>
      <c r="C1564" s="4" t="n"/>
      <c r="E1564" s="5">
        <f>IF(C1564="","",IF(계산!CI1564="","날짜 확인",IF(계산!CJ1564="","금액 확인","")))</f>
        <v/>
      </c>
    </row>
    <row r="1565">
      <c r="A1565" s="3" t="n"/>
      <c r="C1565" s="4" t="n"/>
      <c r="E1565" s="5">
        <f>IF(C1565="","",IF(계산!CI1565="","날짜 확인",IF(계산!CJ1565="","금액 확인","")))</f>
        <v/>
      </c>
    </row>
    <row r="1566">
      <c r="A1566" s="3" t="n"/>
      <c r="C1566" s="4" t="n"/>
      <c r="E1566" s="5">
        <f>IF(C1566="","",IF(계산!CI1566="","날짜 확인",IF(계산!CJ1566="","금액 확인","")))</f>
        <v/>
      </c>
    </row>
    <row r="1567">
      <c r="A1567" s="3" t="n"/>
      <c r="C1567" s="4" t="n"/>
      <c r="E1567" s="5">
        <f>IF(C1567="","",IF(계산!CI1567="","날짜 확인",IF(계산!CJ1567="","금액 확인","")))</f>
        <v/>
      </c>
    </row>
    <row r="1568">
      <c r="A1568" s="3" t="n"/>
      <c r="C1568" s="4" t="n"/>
      <c r="E1568" s="5">
        <f>IF(C1568="","",IF(계산!CI1568="","날짜 확인",IF(계산!CJ1568="","금액 확인","")))</f>
        <v/>
      </c>
    </row>
    <row r="1569">
      <c r="A1569" s="3" t="n"/>
      <c r="C1569" s="4" t="n"/>
      <c r="E1569" s="5">
        <f>IF(C1569="","",IF(계산!CI1569="","날짜 확인",IF(계산!CJ1569="","금액 확인","")))</f>
        <v/>
      </c>
    </row>
    <row r="1570">
      <c r="A1570" s="3" t="n"/>
      <c r="C1570" s="4" t="n"/>
      <c r="E1570" s="5">
        <f>IF(C1570="","",IF(계산!CI1570="","날짜 확인",IF(계산!CJ1570="","금액 확인","")))</f>
        <v/>
      </c>
    </row>
    <row r="1571">
      <c r="A1571" s="3" t="n"/>
      <c r="C1571" s="4" t="n"/>
      <c r="E1571" s="5">
        <f>IF(C1571="","",IF(계산!CI1571="","날짜 확인",IF(계산!CJ1571="","금액 확인","")))</f>
        <v/>
      </c>
    </row>
    <row r="1572">
      <c r="A1572" s="3" t="n"/>
      <c r="C1572" s="4" t="n"/>
      <c r="E1572" s="5">
        <f>IF(C1572="","",IF(계산!CI1572="","날짜 확인",IF(계산!CJ1572="","금액 확인","")))</f>
        <v/>
      </c>
    </row>
    <row r="1573">
      <c r="A1573" s="3" t="n"/>
      <c r="C1573" s="4" t="n"/>
      <c r="E1573" s="5">
        <f>IF(C1573="","",IF(계산!CI1573="","날짜 확인",IF(계산!CJ1573="","금액 확인","")))</f>
        <v/>
      </c>
    </row>
    <row r="1574">
      <c r="A1574" s="3" t="n"/>
      <c r="C1574" s="4" t="n"/>
      <c r="E1574" s="5">
        <f>IF(C1574="","",IF(계산!CI1574="","날짜 확인",IF(계산!CJ1574="","금액 확인","")))</f>
        <v/>
      </c>
    </row>
    <row r="1575">
      <c r="A1575" s="3" t="n"/>
      <c r="C1575" s="4" t="n"/>
      <c r="E1575" s="5">
        <f>IF(C1575="","",IF(계산!CI1575="","날짜 확인",IF(계산!CJ1575="","금액 확인","")))</f>
        <v/>
      </c>
    </row>
    <row r="1576">
      <c r="A1576" s="3" t="n"/>
      <c r="C1576" s="4" t="n"/>
      <c r="E1576" s="5">
        <f>IF(C1576="","",IF(계산!CI1576="","날짜 확인",IF(계산!CJ1576="","금액 확인","")))</f>
        <v/>
      </c>
    </row>
    <row r="1577">
      <c r="A1577" s="3" t="n"/>
      <c r="C1577" s="4" t="n"/>
      <c r="E1577" s="5">
        <f>IF(C1577="","",IF(계산!CI1577="","날짜 확인",IF(계산!CJ1577="","금액 확인","")))</f>
        <v/>
      </c>
    </row>
    <row r="1578">
      <c r="A1578" s="3" t="n"/>
      <c r="C1578" s="4" t="n"/>
      <c r="E1578" s="5">
        <f>IF(C1578="","",IF(계산!CI1578="","날짜 확인",IF(계산!CJ1578="","금액 확인","")))</f>
        <v/>
      </c>
    </row>
    <row r="1579">
      <c r="A1579" s="3" t="n"/>
      <c r="C1579" s="4" t="n"/>
      <c r="E1579" s="5">
        <f>IF(C1579="","",IF(계산!CI1579="","날짜 확인",IF(계산!CJ1579="","금액 확인","")))</f>
        <v/>
      </c>
    </row>
    <row r="1580">
      <c r="A1580" s="3" t="n"/>
      <c r="C1580" s="4" t="n"/>
      <c r="E1580" s="5">
        <f>IF(C1580="","",IF(계산!CI1580="","날짜 확인",IF(계산!CJ1580="","금액 확인","")))</f>
        <v/>
      </c>
    </row>
    <row r="1581">
      <c r="A1581" s="3" t="n"/>
      <c r="C1581" s="4" t="n"/>
      <c r="E1581" s="5">
        <f>IF(C1581="","",IF(계산!CI1581="","날짜 확인",IF(계산!CJ1581="","금액 확인","")))</f>
        <v/>
      </c>
    </row>
    <row r="1582">
      <c r="A1582" s="3" t="n"/>
      <c r="C1582" s="4" t="n"/>
      <c r="E1582" s="5">
        <f>IF(C1582="","",IF(계산!CI1582="","날짜 확인",IF(계산!CJ1582="","금액 확인","")))</f>
        <v/>
      </c>
    </row>
    <row r="1583">
      <c r="A1583" s="3" t="n"/>
      <c r="C1583" s="4" t="n"/>
      <c r="E1583" s="5">
        <f>IF(C1583="","",IF(계산!CI1583="","날짜 확인",IF(계산!CJ1583="","금액 확인","")))</f>
        <v/>
      </c>
    </row>
    <row r="1584">
      <c r="A1584" s="3" t="n"/>
      <c r="C1584" s="4" t="n"/>
      <c r="E1584" s="5">
        <f>IF(C1584="","",IF(계산!CI1584="","날짜 확인",IF(계산!CJ1584="","금액 확인","")))</f>
        <v/>
      </c>
    </row>
    <row r="1585">
      <c r="A1585" s="3" t="n"/>
      <c r="C1585" s="4" t="n"/>
      <c r="E1585" s="5">
        <f>IF(C1585="","",IF(계산!CI1585="","날짜 확인",IF(계산!CJ1585="","금액 확인","")))</f>
        <v/>
      </c>
    </row>
    <row r="1586">
      <c r="A1586" s="3" t="n"/>
      <c r="C1586" s="4" t="n"/>
      <c r="E1586" s="5">
        <f>IF(C1586="","",IF(계산!CI1586="","날짜 확인",IF(계산!CJ1586="","금액 확인","")))</f>
        <v/>
      </c>
    </row>
    <row r="1587">
      <c r="A1587" s="3" t="n"/>
      <c r="C1587" s="4" t="n"/>
      <c r="E1587" s="5">
        <f>IF(C1587="","",IF(계산!CI1587="","날짜 확인",IF(계산!CJ1587="","금액 확인","")))</f>
        <v/>
      </c>
    </row>
    <row r="1588">
      <c r="A1588" s="3" t="n"/>
      <c r="C1588" s="4" t="n"/>
      <c r="E1588" s="5">
        <f>IF(C1588="","",IF(계산!CI1588="","날짜 확인",IF(계산!CJ1588="","금액 확인","")))</f>
        <v/>
      </c>
    </row>
    <row r="1589">
      <c r="A1589" s="3" t="n"/>
      <c r="C1589" s="4" t="n"/>
      <c r="E1589" s="5">
        <f>IF(C1589="","",IF(계산!CI1589="","날짜 확인",IF(계산!CJ1589="","금액 확인","")))</f>
        <v/>
      </c>
    </row>
    <row r="1590">
      <c r="A1590" s="3" t="n"/>
      <c r="C1590" s="4" t="n"/>
      <c r="E1590" s="5">
        <f>IF(C1590="","",IF(계산!CI1590="","날짜 확인",IF(계산!CJ1590="","금액 확인","")))</f>
        <v/>
      </c>
    </row>
    <row r="1591">
      <c r="A1591" s="3" t="n"/>
      <c r="C1591" s="4" t="n"/>
      <c r="E1591" s="5">
        <f>IF(C1591="","",IF(계산!CI1591="","날짜 확인",IF(계산!CJ1591="","금액 확인","")))</f>
        <v/>
      </c>
    </row>
    <row r="1592">
      <c r="A1592" s="3" t="n"/>
      <c r="C1592" s="4" t="n"/>
      <c r="E1592" s="5">
        <f>IF(C1592="","",IF(계산!CI1592="","날짜 확인",IF(계산!CJ1592="","금액 확인","")))</f>
        <v/>
      </c>
    </row>
    <row r="1593">
      <c r="A1593" s="3" t="n"/>
      <c r="C1593" s="4" t="n"/>
      <c r="E1593" s="5">
        <f>IF(C1593="","",IF(계산!CI1593="","날짜 확인",IF(계산!CJ1593="","금액 확인","")))</f>
        <v/>
      </c>
    </row>
    <row r="1594">
      <c r="A1594" s="3" t="n"/>
      <c r="C1594" s="4" t="n"/>
      <c r="E1594" s="5">
        <f>IF(C1594="","",IF(계산!CI1594="","날짜 확인",IF(계산!CJ1594="","금액 확인","")))</f>
        <v/>
      </c>
    </row>
    <row r="1595">
      <c r="A1595" s="3" t="n"/>
      <c r="C1595" s="4" t="n"/>
      <c r="E1595" s="5">
        <f>IF(C1595="","",IF(계산!CI1595="","날짜 확인",IF(계산!CJ1595="","금액 확인","")))</f>
        <v/>
      </c>
    </row>
    <row r="1596">
      <c r="A1596" s="3" t="n"/>
      <c r="C1596" s="4" t="n"/>
      <c r="E1596" s="5">
        <f>IF(C1596="","",IF(계산!CI1596="","날짜 확인",IF(계산!CJ1596="","금액 확인","")))</f>
        <v/>
      </c>
    </row>
    <row r="1597">
      <c r="A1597" s="3" t="n"/>
      <c r="C1597" s="4" t="n"/>
      <c r="E1597" s="5">
        <f>IF(C1597="","",IF(계산!CI1597="","날짜 확인",IF(계산!CJ1597="","금액 확인","")))</f>
        <v/>
      </c>
    </row>
    <row r="1598">
      <c r="A1598" s="3" t="n"/>
      <c r="C1598" s="4" t="n"/>
      <c r="E1598" s="5">
        <f>IF(C1598="","",IF(계산!CI1598="","날짜 확인",IF(계산!CJ1598="","금액 확인","")))</f>
        <v/>
      </c>
    </row>
    <row r="1599">
      <c r="A1599" s="3" t="n"/>
      <c r="C1599" s="4" t="n"/>
      <c r="E1599" s="5">
        <f>IF(C1599="","",IF(계산!CI1599="","날짜 확인",IF(계산!CJ1599="","금액 확인","")))</f>
        <v/>
      </c>
    </row>
    <row r="1600">
      <c r="A1600" s="3" t="n"/>
      <c r="C1600" s="4" t="n"/>
      <c r="E1600" s="5">
        <f>IF(C1600="","",IF(계산!CI1600="","날짜 확인",IF(계산!CJ1600="","금액 확인","")))</f>
        <v/>
      </c>
    </row>
    <row r="1601">
      <c r="A1601" s="3" t="n"/>
      <c r="C1601" s="4" t="n"/>
      <c r="E1601" s="5">
        <f>IF(C1601="","",IF(계산!CI1601="","날짜 확인",IF(계산!CJ1601="","금액 확인","")))</f>
        <v/>
      </c>
    </row>
    <row r="1602">
      <c r="A1602" s="3" t="n"/>
      <c r="C1602" s="4" t="n"/>
      <c r="E1602" s="5">
        <f>IF(C1602="","",IF(계산!CI1602="","날짜 확인",IF(계산!CJ1602="","금액 확인","")))</f>
        <v/>
      </c>
    </row>
    <row r="1603">
      <c r="A1603" s="3" t="n"/>
      <c r="C1603" s="4" t="n"/>
      <c r="E1603" s="5">
        <f>IF(C1603="","",IF(계산!CI1603="","날짜 확인",IF(계산!CJ1603="","금액 확인","")))</f>
        <v/>
      </c>
    </row>
    <row r="1604">
      <c r="A1604" s="3" t="n"/>
      <c r="C1604" s="4" t="n"/>
      <c r="E1604" s="5">
        <f>IF(C1604="","",IF(계산!CI1604="","날짜 확인",IF(계산!CJ1604="","금액 확인","")))</f>
        <v/>
      </c>
    </row>
    <row r="1605">
      <c r="A1605" s="3" t="n"/>
      <c r="C1605" s="4" t="n"/>
      <c r="E1605" s="5">
        <f>IF(C1605="","",IF(계산!CI1605="","날짜 확인",IF(계산!CJ1605="","금액 확인","")))</f>
        <v/>
      </c>
    </row>
    <row r="1606">
      <c r="A1606" s="3" t="n"/>
      <c r="C1606" s="4" t="n"/>
      <c r="E1606" s="5">
        <f>IF(C1606="","",IF(계산!CI1606="","날짜 확인",IF(계산!CJ1606="","금액 확인","")))</f>
        <v/>
      </c>
    </row>
    <row r="1607">
      <c r="A1607" s="3" t="n"/>
      <c r="C1607" s="4" t="n"/>
      <c r="E1607" s="5">
        <f>IF(C1607="","",IF(계산!CI1607="","날짜 확인",IF(계산!CJ1607="","금액 확인","")))</f>
        <v/>
      </c>
    </row>
    <row r="1608">
      <c r="A1608" s="3" t="n"/>
      <c r="C1608" s="4" t="n"/>
      <c r="E1608" s="5">
        <f>IF(C1608="","",IF(계산!CI1608="","날짜 확인",IF(계산!CJ1608="","금액 확인","")))</f>
        <v/>
      </c>
    </row>
    <row r="1609">
      <c r="A1609" s="3" t="n"/>
      <c r="C1609" s="4" t="n"/>
      <c r="E1609" s="5">
        <f>IF(C1609="","",IF(계산!CI1609="","날짜 확인",IF(계산!CJ1609="","금액 확인","")))</f>
        <v/>
      </c>
    </row>
    <row r="1610">
      <c r="A1610" s="3" t="n"/>
      <c r="C1610" s="4" t="n"/>
      <c r="E1610" s="5">
        <f>IF(C1610="","",IF(계산!CI1610="","날짜 확인",IF(계산!CJ1610="","금액 확인","")))</f>
        <v/>
      </c>
    </row>
    <row r="1611">
      <c r="A1611" s="3" t="n"/>
      <c r="C1611" s="4" t="n"/>
      <c r="E1611" s="5">
        <f>IF(C1611="","",IF(계산!CI1611="","날짜 확인",IF(계산!CJ1611="","금액 확인","")))</f>
        <v/>
      </c>
    </row>
    <row r="1612">
      <c r="A1612" s="3" t="n"/>
      <c r="C1612" s="4" t="n"/>
      <c r="E1612" s="5">
        <f>IF(C1612="","",IF(계산!CI1612="","날짜 확인",IF(계산!CJ1612="","금액 확인","")))</f>
        <v/>
      </c>
    </row>
    <row r="1613">
      <c r="A1613" s="3" t="n"/>
      <c r="C1613" s="4" t="n"/>
      <c r="E1613" s="5">
        <f>IF(C1613="","",IF(계산!CI1613="","날짜 확인",IF(계산!CJ1613="","금액 확인","")))</f>
        <v/>
      </c>
    </row>
    <row r="1614">
      <c r="A1614" s="3" t="n"/>
      <c r="C1614" s="4" t="n"/>
      <c r="E1614" s="5">
        <f>IF(C1614="","",IF(계산!CI1614="","날짜 확인",IF(계산!CJ1614="","금액 확인","")))</f>
        <v/>
      </c>
    </row>
    <row r="1615">
      <c r="A1615" s="3" t="n"/>
      <c r="C1615" s="4" t="n"/>
      <c r="E1615" s="5">
        <f>IF(C1615="","",IF(계산!CI1615="","날짜 확인",IF(계산!CJ1615="","금액 확인","")))</f>
        <v/>
      </c>
    </row>
    <row r="1616">
      <c r="A1616" s="3" t="n"/>
      <c r="C1616" s="4" t="n"/>
      <c r="E1616" s="5">
        <f>IF(C1616="","",IF(계산!CI1616="","날짜 확인",IF(계산!CJ1616="","금액 확인","")))</f>
        <v/>
      </c>
    </row>
    <row r="1617">
      <c r="A1617" s="3" t="n"/>
      <c r="C1617" s="4" t="n"/>
      <c r="E1617" s="5">
        <f>IF(C1617="","",IF(계산!CI1617="","날짜 확인",IF(계산!CJ1617="","금액 확인","")))</f>
        <v/>
      </c>
    </row>
    <row r="1618">
      <c r="A1618" s="3" t="n"/>
      <c r="C1618" s="4" t="n"/>
      <c r="E1618" s="5">
        <f>IF(C1618="","",IF(계산!CI1618="","날짜 확인",IF(계산!CJ1618="","금액 확인","")))</f>
        <v/>
      </c>
    </row>
    <row r="1619">
      <c r="A1619" s="3" t="n"/>
      <c r="C1619" s="4" t="n"/>
      <c r="E1619" s="5">
        <f>IF(C1619="","",IF(계산!CI1619="","날짜 확인",IF(계산!CJ1619="","금액 확인","")))</f>
        <v/>
      </c>
    </row>
    <row r="1620">
      <c r="A1620" s="3" t="n"/>
      <c r="C1620" s="4" t="n"/>
      <c r="E1620" s="5">
        <f>IF(C1620="","",IF(계산!CI1620="","날짜 확인",IF(계산!CJ1620="","금액 확인","")))</f>
        <v/>
      </c>
    </row>
    <row r="1621">
      <c r="A1621" s="3" t="n"/>
      <c r="C1621" s="4" t="n"/>
      <c r="E1621" s="5">
        <f>IF(C1621="","",IF(계산!CI1621="","날짜 확인",IF(계산!CJ1621="","금액 확인","")))</f>
        <v/>
      </c>
    </row>
    <row r="1622">
      <c r="A1622" s="3" t="n"/>
      <c r="C1622" s="4" t="n"/>
      <c r="E1622" s="5">
        <f>IF(C1622="","",IF(계산!CI1622="","날짜 확인",IF(계산!CJ1622="","금액 확인","")))</f>
        <v/>
      </c>
    </row>
    <row r="1623">
      <c r="A1623" s="3" t="n"/>
      <c r="C1623" s="4" t="n"/>
      <c r="E1623" s="5">
        <f>IF(C1623="","",IF(계산!CI1623="","날짜 확인",IF(계산!CJ1623="","금액 확인","")))</f>
        <v/>
      </c>
    </row>
    <row r="1624">
      <c r="A1624" s="3" t="n"/>
      <c r="C1624" s="4" t="n"/>
      <c r="E1624" s="5">
        <f>IF(C1624="","",IF(계산!CI1624="","날짜 확인",IF(계산!CJ1624="","금액 확인","")))</f>
        <v/>
      </c>
    </row>
    <row r="1625">
      <c r="A1625" s="3" t="n"/>
      <c r="C1625" s="4" t="n"/>
      <c r="E1625" s="5">
        <f>IF(C1625="","",IF(계산!CI1625="","날짜 확인",IF(계산!CJ1625="","금액 확인","")))</f>
        <v/>
      </c>
    </row>
    <row r="1626">
      <c r="A1626" s="3" t="n"/>
      <c r="C1626" s="4" t="n"/>
      <c r="E1626" s="5">
        <f>IF(C1626="","",IF(계산!CI1626="","날짜 확인",IF(계산!CJ1626="","금액 확인","")))</f>
        <v/>
      </c>
    </row>
    <row r="1627">
      <c r="A1627" s="3" t="n"/>
      <c r="C1627" s="4" t="n"/>
      <c r="E1627" s="5">
        <f>IF(C1627="","",IF(계산!CI1627="","날짜 확인",IF(계산!CJ1627="","금액 확인","")))</f>
        <v/>
      </c>
    </row>
    <row r="1628">
      <c r="A1628" s="3" t="n"/>
      <c r="C1628" s="4" t="n"/>
      <c r="E1628" s="5">
        <f>IF(C1628="","",IF(계산!CI1628="","날짜 확인",IF(계산!CJ1628="","금액 확인","")))</f>
        <v/>
      </c>
    </row>
    <row r="1629">
      <c r="A1629" s="3" t="n"/>
      <c r="C1629" s="4" t="n"/>
      <c r="E1629" s="5">
        <f>IF(C1629="","",IF(계산!CI1629="","날짜 확인",IF(계산!CJ1629="","금액 확인","")))</f>
        <v/>
      </c>
    </row>
    <row r="1630">
      <c r="A1630" s="3" t="n"/>
      <c r="C1630" s="4" t="n"/>
      <c r="E1630" s="5">
        <f>IF(C1630="","",IF(계산!CI1630="","날짜 확인",IF(계산!CJ1630="","금액 확인","")))</f>
        <v/>
      </c>
    </row>
    <row r="1631">
      <c r="A1631" s="3" t="n"/>
      <c r="C1631" s="4" t="n"/>
      <c r="E1631" s="5">
        <f>IF(C1631="","",IF(계산!CI1631="","날짜 확인",IF(계산!CJ1631="","금액 확인","")))</f>
        <v/>
      </c>
    </row>
    <row r="1632">
      <c r="A1632" s="3" t="n"/>
      <c r="C1632" s="4" t="n"/>
      <c r="E1632" s="5">
        <f>IF(C1632="","",IF(계산!CI1632="","날짜 확인",IF(계산!CJ1632="","금액 확인","")))</f>
        <v/>
      </c>
    </row>
    <row r="1633">
      <c r="A1633" s="3" t="n"/>
      <c r="C1633" s="4" t="n"/>
      <c r="E1633" s="5">
        <f>IF(C1633="","",IF(계산!CI1633="","날짜 확인",IF(계산!CJ1633="","금액 확인","")))</f>
        <v/>
      </c>
    </row>
    <row r="1634">
      <c r="A1634" s="3" t="n"/>
      <c r="C1634" s="4" t="n"/>
      <c r="E1634" s="5">
        <f>IF(C1634="","",IF(계산!CI1634="","날짜 확인",IF(계산!CJ1634="","금액 확인","")))</f>
        <v/>
      </c>
    </row>
    <row r="1635">
      <c r="A1635" s="3" t="n"/>
      <c r="C1635" s="4" t="n"/>
      <c r="E1635" s="5">
        <f>IF(C1635="","",IF(계산!CI1635="","날짜 확인",IF(계산!CJ1635="","금액 확인","")))</f>
        <v/>
      </c>
    </row>
    <row r="1636">
      <c r="A1636" s="3" t="n"/>
      <c r="C1636" s="4" t="n"/>
      <c r="E1636" s="5">
        <f>IF(C1636="","",IF(계산!CI1636="","날짜 확인",IF(계산!CJ1636="","금액 확인","")))</f>
        <v/>
      </c>
    </row>
    <row r="1637">
      <c r="A1637" s="3" t="n"/>
      <c r="C1637" s="4" t="n"/>
      <c r="E1637" s="5">
        <f>IF(C1637="","",IF(계산!CI1637="","날짜 확인",IF(계산!CJ1637="","금액 확인","")))</f>
        <v/>
      </c>
    </row>
    <row r="1638">
      <c r="A1638" s="3" t="n"/>
      <c r="C1638" s="4" t="n"/>
      <c r="E1638" s="5">
        <f>IF(C1638="","",IF(계산!CI1638="","날짜 확인",IF(계산!CJ1638="","금액 확인","")))</f>
        <v/>
      </c>
    </row>
    <row r="1639">
      <c r="A1639" s="3" t="n"/>
      <c r="C1639" s="4" t="n"/>
      <c r="E1639" s="5">
        <f>IF(C1639="","",IF(계산!CI1639="","날짜 확인",IF(계산!CJ1639="","금액 확인","")))</f>
        <v/>
      </c>
    </row>
    <row r="1640">
      <c r="A1640" s="3" t="n"/>
      <c r="C1640" s="4" t="n"/>
      <c r="E1640" s="5">
        <f>IF(C1640="","",IF(계산!CI1640="","날짜 확인",IF(계산!CJ1640="","금액 확인","")))</f>
        <v/>
      </c>
    </row>
    <row r="1641">
      <c r="A1641" s="3" t="n"/>
      <c r="C1641" s="4" t="n"/>
      <c r="E1641" s="5">
        <f>IF(C1641="","",IF(계산!CI1641="","날짜 확인",IF(계산!CJ1641="","금액 확인","")))</f>
        <v/>
      </c>
    </row>
    <row r="1642">
      <c r="A1642" s="3" t="n"/>
      <c r="C1642" s="4" t="n"/>
      <c r="E1642" s="5">
        <f>IF(C1642="","",IF(계산!CI1642="","날짜 확인",IF(계산!CJ1642="","금액 확인","")))</f>
        <v/>
      </c>
    </row>
    <row r="1643">
      <c r="A1643" s="3" t="n"/>
      <c r="C1643" s="4" t="n"/>
      <c r="E1643" s="5">
        <f>IF(C1643="","",IF(계산!CI1643="","날짜 확인",IF(계산!CJ1643="","금액 확인","")))</f>
        <v/>
      </c>
    </row>
    <row r="1644">
      <c r="A1644" s="3" t="n"/>
      <c r="C1644" s="4" t="n"/>
      <c r="E1644" s="5">
        <f>IF(C1644="","",IF(계산!CI1644="","날짜 확인",IF(계산!CJ1644="","금액 확인","")))</f>
        <v/>
      </c>
    </row>
    <row r="1645">
      <c r="A1645" s="3" t="n"/>
      <c r="C1645" s="4" t="n"/>
      <c r="E1645" s="5">
        <f>IF(C1645="","",IF(계산!CI1645="","날짜 확인",IF(계산!CJ1645="","금액 확인","")))</f>
        <v/>
      </c>
    </row>
    <row r="1646">
      <c r="A1646" s="3" t="n"/>
      <c r="C1646" s="4" t="n"/>
      <c r="E1646" s="5">
        <f>IF(C1646="","",IF(계산!CI1646="","날짜 확인",IF(계산!CJ1646="","금액 확인","")))</f>
        <v/>
      </c>
    </row>
    <row r="1647">
      <c r="A1647" s="3" t="n"/>
      <c r="C1647" s="4" t="n"/>
      <c r="E1647" s="5">
        <f>IF(C1647="","",IF(계산!CI1647="","날짜 확인",IF(계산!CJ1647="","금액 확인","")))</f>
        <v/>
      </c>
    </row>
    <row r="1648">
      <c r="A1648" s="3" t="n"/>
      <c r="C1648" s="4" t="n"/>
      <c r="E1648" s="5">
        <f>IF(C1648="","",IF(계산!CI1648="","날짜 확인",IF(계산!CJ1648="","금액 확인","")))</f>
        <v/>
      </c>
    </row>
    <row r="1649">
      <c r="A1649" s="3" t="n"/>
      <c r="C1649" s="4" t="n"/>
      <c r="E1649" s="5">
        <f>IF(C1649="","",IF(계산!CI1649="","날짜 확인",IF(계산!CJ1649="","금액 확인","")))</f>
        <v/>
      </c>
    </row>
    <row r="1650">
      <c r="A1650" s="3" t="n"/>
      <c r="C1650" s="4" t="n"/>
      <c r="E1650" s="5">
        <f>IF(C1650="","",IF(계산!CI1650="","날짜 확인",IF(계산!CJ1650="","금액 확인","")))</f>
        <v/>
      </c>
    </row>
    <row r="1651">
      <c r="A1651" s="3" t="n"/>
      <c r="C1651" s="4" t="n"/>
      <c r="E1651" s="5">
        <f>IF(C1651="","",IF(계산!CI1651="","날짜 확인",IF(계산!CJ1651="","금액 확인","")))</f>
        <v/>
      </c>
    </row>
    <row r="1652">
      <c r="A1652" s="3" t="n"/>
      <c r="C1652" s="4" t="n"/>
      <c r="E1652" s="5">
        <f>IF(C1652="","",IF(계산!CI1652="","날짜 확인",IF(계산!CJ1652="","금액 확인","")))</f>
        <v/>
      </c>
    </row>
    <row r="1653">
      <c r="A1653" s="3" t="n"/>
      <c r="C1653" s="4" t="n"/>
      <c r="E1653" s="5">
        <f>IF(C1653="","",IF(계산!CI1653="","날짜 확인",IF(계산!CJ1653="","금액 확인","")))</f>
        <v/>
      </c>
    </row>
    <row r="1654">
      <c r="A1654" s="3" t="n"/>
      <c r="C1654" s="4" t="n"/>
      <c r="E1654" s="5">
        <f>IF(C1654="","",IF(계산!CI1654="","날짜 확인",IF(계산!CJ1654="","금액 확인","")))</f>
        <v/>
      </c>
    </row>
    <row r="1655">
      <c r="A1655" s="3" t="n"/>
      <c r="C1655" s="4" t="n"/>
      <c r="E1655" s="5">
        <f>IF(C1655="","",IF(계산!CI1655="","날짜 확인",IF(계산!CJ1655="","금액 확인","")))</f>
        <v/>
      </c>
    </row>
    <row r="1656">
      <c r="A1656" s="3" t="n"/>
      <c r="C1656" s="4" t="n"/>
      <c r="E1656" s="5">
        <f>IF(C1656="","",IF(계산!CI1656="","날짜 확인",IF(계산!CJ1656="","금액 확인","")))</f>
        <v/>
      </c>
    </row>
    <row r="1657">
      <c r="A1657" s="3" t="n"/>
      <c r="C1657" s="4" t="n"/>
      <c r="E1657" s="5">
        <f>IF(C1657="","",IF(계산!CI1657="","날짜 확인",IF(계산!CJ1657="","금액 확인","")))</f>
        <v/>
      </c>
    </row>
    <row r="1658">
      <c r="A1658" s="3" t="n"/>
      <c r="C1658" s="4" t="n"/>
      <c r="E1658" s="5">
        <f>IF(C1658="","",IF(계산!CI1658="","날짜 확인",IF(계산!CJ1658="","금액 확인","")))</f>
        <v/>
      </c>
    </row>
    <row r="1659">
      <c r="A1659" s="3" t="n"/>
      <c r="C1659" s="4" t="n"/>
      <c r="E1659" s="5">
        <f>IF(C1659="","",IF(계산!CI1659="","날짜 확인",IF(계산!CJ1659="","금액 확인","")))</f>
        <v/>
      </c>
    </row>
    <row r="1660">
      <c r="A1660" s="3" t="n"/>
      <c r="C1660" s="4" t="n"/>
      <c r="E1660" s="5">
        <f>IF(C1660="","",IF(계산!CI1660="","날짜 확인",IF(계산!CJ1660="","금액 확인","")))</f>
        <v/>
      </c>
    </row>
    <row r="1661">
      <c r="A1661" s="3" t="n"/>
      <c r="C1661" s="4" t="n"/>
      <c r="E1661" s="5">
        <f>IF(C1661="","",IF(계산!CI1661="","날짜 확인",IF(계산!CJ1661="","금액 확인","")))</f>
        <v/>
      </c>
    </row>
    <row r="1662">
      <c r="A1662" s="3" t="n"/>
      <c r="C1662" s="4" t="n"/>
      <c r="E1662" s="5">
        <f>IF(C1662="","",IF(계산!CI1662="","날짜 확인",IF(계산!CJ1662="","금액 확인","")))</f>
        <v/>
      </c>
    </row>
    <row r="1663">
      <c r="A1663" s="3" t="n"/>
      <c r="C1663" s="4" t="n"/>
      <c r="E1663" s="5">
        <f>IF(C1663="","",IF(계산!CI1663="","날짜 확인",IF(계산!CJ1663="","금액 확인","")))</f>
        <v/>
      </c>
    </row>
    <row r="1664">
      <c r="A1664" s="3" t="n"/>
      <c r="C1664" s="4" t="n"/>
      <c r="E1664" s="5">
        <f>IF(C1664="","",IF(계산!CI1664="","날짜 확인",IF(계산!CJ1664="","금액 확인","")))</f>
        <v/>
      </c>
    </row>
    <row r="1665">
      <c r="A1665" s="3" t="n"/>
      <c r="C1665" s="4" t="n"/>
      <c r="E1665" s="5">
        <f>IF(C1665="","",IF(계산!CI1665="","날짜 확인",IF(계산!CJ1665="","금액 확인","")))</f>
        <v/>
      </c>
    </row>
    <row r="1666">
      <c r="A1666" s="3" t="n"/>
      <c r="C1666" s="4" t="n"/>
      <c r="E1666" s="5">
        <f>IF(C1666="","",IF(계산!CI1666="","날짜 확인",IF(계산!CJ1666="","금액 확인","")))</f>
        <v/>
      </c>
    </row>
    <row r="1667">
      <c r="A1667" s="3" t="n"/>
      <c r="C1667" s="4" t="n"/>
      <c r="E1667" s="5">
        <f>IF(C1667="","",IF(계산!CI1667="","날짜 확인",IF(계산!CJ1667="","금액 확인","")))</f>
        <v/>
      </c>
    </row>
    <row r="1668">
      <c r="A1668" s="3" t="n"/>
      <c r="C1668" s="4" t="n"/>
      <c r="E1668" s="5">
        <f>IF(C1668="","",IF(계산!CI1668="","날짜 확인",IF(계산!CJ1668="","금액 확인","")))</f>
        <v/>
      </c>
    </row>
    <row r="1669">
      <c r="A1669" s="3" t="n"/>
      <c r="C1669" s="4" t="n"/>
      <c r="E1669" s="5">
        <f>IF(C1669="","",IF(계산!CI1669="","날짜 확인",IF(계산!CJ1669="","금액 확인","")))</f>
        <v/>
      </c>
    </row>
    <row r="1670">
      <c r="A1670" s="3" t="n"/>
      <c r="C1670" s="4" t="n"/>
      <c r="E1670" s="5">
        <f>IF(C1670="","",IF(계산!CI1670="","날짜 확인",IF(계산!CJ1670="","금액 확인","")))</f>
        <v/>
      </c>
    </row>
    <row r="1671">
      <c r="A1671" s="3" t="n"/>
      <c r="C1671" s="4" t="n"/>
      <c r="E1671" s="5">
        <f>IF(C1671="","",IF(계산!CI1671="","날짜 확인",IF(계산!CJ1671="","금액 확인","")))</f>
        <v/>
      </c>
    </row>
    <row r="1672">
      <c r="A1672" s="3" t="n"/>
      <c r="C1672" s="4" t="n"/>
      <c r="E1672" s="5">
        <f>IF(C1672="","",IF(계산!CI1672="","날짜 확인",IF(계산!CJ1672="","금액 확인","")))</f>
        <v/>
      </c>
    </row>
    <row r="1673">
      <c r="A1673" s="3" t="n"/>
      <c r="C1673" s="4" t="n"/>
      <c r="E1673" s="5">
        <f>IF(C1673="","",IF(계산!CI1673="","날짜 확인",IF(계산!CJ1673="","금액 확인","")))</f>
        <v/>
      </c>
    </row>
    <row r="1674">
      <c r="A1674" s="3" t="n"/>
      <c r="C1674" s="4" t="n"/>
      <c r="E1674" s="5">
        <f>IF(C1674="","",IF(계산!CI1674="","날짜 확인",IF(계산!CJ1674="","금액 확인","")))</f>
        <v/>
      </c>
    </row>
    <row r="1675">
      <c r="A1675" s="3" t="n"/>
      <c r="C1675" s="4" t="n"/>
      <c r="E1675" s="5">
        <f>IF(C1675="","",IF(계산!CI1675="","날짜 확인",IF(계산!CJ1675="","금액 확인","")))</f>
        <v/>
      </c>
    </row>
    <row r="1676">
      <c r="A1676" s="3" t="n"/>
      <c r="C1676" s="4" t="n"/>
      <c r="E1676" s="5">
        <f>IF(C1676="","",IF(계산!CI1676="","날짜 확인",IF(계산!CJ1676="","금액 확인","")))</f>
        <v/>
      </c>
    </row>
    <row r="1677">
      <c r="A1677" s="3" t="n"/>
      <c r="C1677" s="4" t="n"/>
      <c r="E1677" s="5">
        <f>IF(C1677="","",IF(계산!CI1677="","날짜 확인",IF(계산!CJ1677="","금액 확인","")))</f>
        <v/>
      </c>
    </row>
    <row r="1678">
      <c r="A1678" s="3" t="n"/>
      <c r="C1678" s="4" t="n"/>
      <c r="E1678" s="5">
        <f>IF(C1678="","",IF(계산!CI1678="","날짜 확인",IF(계산!CJ1678="","금액 확인","")))</f>
        <v/>
      </c>
    </row>
    <row r="1679">
      <c r="A1679" s="3" t="n"/>
      <c r="C1679" s="4" t="n"/>
      <c r="E1679" s="5">
        <f>IF(C1679="","",IF(계산!CI1679="","날짜 확인",IF(계산!CJ1679="","금액 확인","")))</f>
        <v/>
      </c>
    </row>
    <row r="1680">
      <c r="A1680" s="3" t="n"/>
      <c r="C1680" s="4" t="n"/>
      <c r="E1680" s="5">
        <f>IF(C1680="","",IF(계산!CI1680="","날짜 확인",IF(계산!CJ1680="","금액 확인","")))</f>
        <v/>
      </c>
    </row>
    <row r="1681">
      <c r="A1681" s="3" t="n"/>
      <c r="C1681" s="4" t="n"/>
      <c r="E1681" s="5">
        <f>IF(C1681="","",IF(계산!CI1681="","날짜 확인",IF(계산!CJ1681="","금액 확인","")))</f>
        <v/>
      </c>
    </row>
    <row r="1682">
      <c r="A1682" s="3" t="n"/>
      <c r="C1682" s="4" t="n"/>
      <c r="E1682" s="5">
        <f>IF(C1682="","",IF(계산!CI1682="","날짜 확인",IF(계산!CJ1682="","금액 확인","")))</f>
        <v/>
      </c>
    </row>
    <row r="1683">
      <c r="A1683" s="3" t="n"/>
      <c r="C1683" s="4" t="n"/>
      <c r="E1683" s="5">
        <f>IF(C1683="","",IF(계산!CI1683="","날짜 확인",IF(계산!CJ1683="","금액 확인","")))</f>
        <v/>
      </c>
    </row>
    <row r="1684">
      <c r="A1684" s="3" t="n"/>
      <c r="C1684" s="4" t="n"/>
      <c r="E1684" s="5">
        <f>IF(C1684="","",IF(계산!CI1684="","날짜 확인",IF(계산!CJ1684="","금액 확인","")))</f>
        <v/>
      </c>
    </row>
    <row r="1685">
      <c r="A1685" s="3" t="n"/>
      <c r="C1685" s="4" t="n"/>
      <c r="E1685" s="5">
        <f>IF(C1685="","",IF(계산!CI1685="","날짜 확인",IF(계산!CJ1685="","금액 확인","")))</f>
        <v/>
      </c>
    </row>
    <row r="1686">
      <c r="A1686" s="3" t="n"/>
      <c r="C1686" s="4" t="n"/>
      <c r="E1686" s="5">
        <f>IF(C1686="","",IF(계산!CI1686="","날짜 확인",IF(계산!CJ1686="","금액 확인","")))</f>
        <v/>
      </c>
    </row>
    <row r="1687">
      <c r="A1687" s="3" t="n"/>
      <c r="C1687" s="4" t="n"/>
      <c r="E1687" s="5">
        <f>IF(C1687="","",IF(계산!CI1687="","날짜 확인",IF(계산!CJ1687="","금액 확인","")))</f>
        <v/>
      </c>
    </row>
    <row r="1688">
      <c r="A1688" s="3" t="n"/>
      <c r="C1688" s="4" t="n"/>
      <c r="E1688" s="5">
        <f>IF(C1688="","",IF(계산!CI1688="","날짜 확인",IF(계산!CJ1688="","금액 확인","")))</f>
        <v/>
      </c>
    </row>
    <row r="1689">
      <c r="A1689" s="3" t="n"/>
      <c r="C1689" s="4" t="n"/>
      <c r="E1689" s="5">
        <f>IF(C1689="","",IF(계산!CI1689="","날짜 확인",IF(계산!CJ1689="","금액 확인","")))</f>
        <v/>
      </c>
    </row>
    <row r="1690">
      <c r="A1690" s="3" t="n"/>
      <c r="C1690" s="4" t="n"/>
      <c r="E1690" s="5">
        <f>IF(C1690="","",IF(계산!CI1690="","날짜 확인",IF(계산!CJ1690="","금액 확인","")))</f>
        <v/>
      </c>
    </row>
    <row r="1691">
      <c r="A1691" s="3" t="n"/>
      <c r="C1691" s="4" t="n"/>
      <c r="E1691" s="5">
        <f>IF(C1691="","",IF(계산!CI1691="","날짜 확인",IF(계산!CJ1691="","금액 확인","")))</f>
        <v/>
      </c>
    </row>
    <row r="1692">
      <c r="A1692" s="3" t="n"/>
      <c r="C1692" s="4" t="n"/>
      <c r="E1692" s="5">
        <f>IF(C1692="","",IF(계산!CI1692="","날짜 확인",IF(계산!CJ1692="","금액 확인","")))</f>
        <v/>
      </c>
    </row>
    <row r="1693">
      <c r="A1693" s="3" t="n"/>
      <c r="C1693" s="4" t="n"/>
      <c r="E1693" s="5">
        <f>IF(C1693="","",IF(계산!CI1693="","날짜 확인",IF(계산!CJ1693="","금액 확인","")))</f>
        <v/>
      </c>
    </row>
    <row r="1694">
      <c r="A1694" s="3" t="n"/>
      <c r="C1694" s="4" t="n"/>
      <c r="E1694" s="5">
        <f>IF(C1694="","",IF(계산!CI1694="","날짜 확인",IF(계산!CJ1694="","금액 확인","")))</f>
        <v/>
      </c>
    </row>
    <row r="1695">
      <c r="A1695" s="3" t="n"/>
      <c r="C1695" s="4" t="n"/>
      <c r="E1695" s="5">
        <f>IF(C1695="","",IF(계산!CI1695="","날짜 확인",IF(계산!CJ1695="","금액 확인","")))</f>
        <v/>
      </c>
    </row>
    <row r="1696">
      <c r="A1696" s="3" t="n"/>
      <c r="C1696" s="4" t="n"/>
      <c r="E1696" s="5">
        <f>IF(C1696="","",IF(계산!CI1696="","날짜 확인",IF(계산!CJ1696="","금액 확인","")))</f>
        <v/>
      </c>
    </row>
    <row r="1697">
      <c r="A1697" s="3" t="n"/>
      <c r="C1697" s="4" t="n"/>
      <c r="E1697" s="5">
        <f>IF(C1697="","",IF(계산!CI1697="","날짜 확인",IF(계산!CJ1697="","금액 확인","")))</f>
        <v/>
      </c>
    </row>
    <row r="1698">
      <c r="A1698" s="3" t="n"/>
      <c r="C1698" s="4" t="n"/>
      <c r="E1698" s="5">
        <f>IF(C1698="","",IF(계산!CI1698="","날짜 확인",IF(계산!CJ1698="","금액 확인","")))</f>
        <v/>
      </c>
    </row>
    <row r="1699">
      <c r="A1699" s="3" t="n"/>
      <c r="C1699" s="4" t="n"/>
      <c r="E1699" s="5">
        <f>IF(C1699="","",IF(계산!CI1699="","날짜 확인",IF(계산!CJ1699="","금액 확인","")))</f>
        <v/>
      </c>
    </row>
    <row r="1700">
      <c r="A1700" s="3" t="n"/>
      <c r="C1700" s="4" t="n"/>
      <c r="E1700" s="5">
        <f>IF(C1700="","",IF(계산!CI1700="","날짜 확인",IF(계산!CJ1700="","금액 확인","")))</f>
        <v/>
      </c>
    </row>
    <row r="1701">
      <c r="A1701" s="3" t="n"/>
      <c r="C1701" s="4" t="n"/>
      <c r="E1701" s="5">
        <f>IF(C1701="","",IF(계산!CI1701="","날짜 확인",IF(계산!CJ1701="","금액 확인","")))</f>
        <v/>
      </c>
    </row>
    <row r="1702">
      <c r="A1702" s="3" t="n"/>
      <c r="C1702" s="4" t="n"/>
      <c r="E1702" s="5">
        <f>IF(C1702="","",IF(계산!CI1702="","날짜 확인",IF(계산!CJ1702="","금액 확인","")))</f>
        <v/>
      </c>
    </row>
    <row r="1703">
      <c r="A1703" s="3" t="n"/>
      <c r="C1703" s="4" t="n"/>
      <c r="E1703" s="5">
        <f>IF(C1703="","",IF(계산!CI1703="","날짜 확인",IF(계산!CJ1703="","금액 확인","")))</f>
        <v/>
      </c>
    </row>
    <row r="1704">
      <c r="A1704" s="3" t="n"/>
      <c r="C1704" s="4" t="n"/>
      <c r="E1704" s="5">
        <f>IF(C1704="","",IF(계산!CI1704="","날짜 확인",IF(계산!CJ1704="","금액 확인","")))</f>
        <v/>
      </c>
    </row>
    <row r="1705">
      <c r="A1705" s="3" t="n"/>
      <c r="C1705" s="4" t="n"/>
      <c r="E1705" s="5">
        <f>IF(C1705="","",IF(계산!CI1705="","날짜 확인",IF(계산!CJ1705="","금액 확인","")))</f>
        <v/>
      </c>
    </row>
    <row r="1706">
      <c r="A1706" s="3" t="n"/>
      <c r="C1706" s="4" t="n"/>
      <c r="E1706" s="5">
        <f>IF(C1706="","",IF(계산!CI1706="","날짜 확인",IF(계산!CJ1706="","금액 확인","")))</f>
        <v/>
      </c>
    </row>
    <row r="1707">
      <c r="A1707" s="3" t="n"/>
      <c r="C1707" s="4" t="n"/>
      <c r="E1707" s="5">
        <f>IF(C1707="","",IF(계산!CI1707="","날짜 확인",IF(계산!CJ1707="","금액 확인","")))</f>
        <v/>
      </c>
    </row>
    <row r="1708">
      <c r="A1708" s="3" t="n"/>
      <c r="C1708" s="4" t="n"/>
      <c r="E1708" s="5">
        <f>IF(C1708="","",IF(계산!CI1708="","날짜 확인",IF(계산!CJ1708="","금액 확인","")))</f>
        <v/>
      </c>
    </row>
    <row r="1709">
      <c r="A1709" s="3" t="n"/>
      <c r="C1709" s="4" t="n"/>
      <c r="E1709" s="5">
        <f>IF(C1709="","",IF(계산!CI1709="","날짜 확인",IF(계산!CJ1709="","금액 확인","")))</f>
        <v/>
      </c>
    </row>
    <row r="1710">
      <c r="A1710" s="3" t="n"/>
      <c r="C1710" s="4" t="n"/>
      <c r="E1710" s="5">
        <f>IF(C1710="","",IF(계산!CI1710="","날짜 확인",IF(계산!CJ1710="","금액 확인","")))</f>
        <v/>
      </c>
    </row>
    <row r="1711">
      <c r="A1711" s="3" t="n"/>
      <c r="C1711" s="4" t="n"/>
      <c r="E1711" s="5">
        <f>IF(C1711="","",IF(계산!CI1711="","날짜 확인",IF(계산!CJ1711="","금액 확인","")))</f>
        <v/>
      </c>
    </row>
    <row r="1712">
      <c r="A1712" s="3" t="n"/>
      <c r="C1712" s="4" t="n"/>
      <c r="E1712" s="5">
        <f>IF(C1712="","",IF(계산!CI1712="","날짜 확인",IF(계산!CJ1712="","금액 확인","")))</f>
        <v/>
      </c>
    </row>
    <row r="1713">
      <c r="A1713" s="3" t="n"/>
      <c r="C1713" s="4" t="n"/>
      <c r="E1713" s="5">
        <f>IF(C1713="","",IF(계산!CI1713="","날짜 확인",IF(계산!CJ1713="","금액 확인","")))</f>
        <v/>
      </c>
    </row>
    <row r="1714">
      <c r="A1714" s="3" t="n"/>
      <c r="C1714" s="4" t="n"/>
      <c r="E1714" s="5">
        <f>IF(C1714="","",IF(계산!CI1714="","날짜 확인",IF(계산!CJ1714="","금액 확인","")))</f>
        <v/>
      </c>
    </row>
    <row r="1715">
      <c r="A1715" s="3" t="n"/>
      <c r="C1715" s="4" t="n"/>
      <c r="E1715" s="5">
        <f>IF(C1715="","",IF(계산!CI1715="","날짜 확인",IF(계산!CJ1715="","금액 확인","")))</f>
        <v/>
      </c>
    </row>
    <row r="1716">
      <c r="A1716" s="3" t="n"/>
      <c r="C1716" s="4" t="n"/>
      <c r="E1716" s="5">
        <f>IF(C1716="","",IF(계산!CI1716="","날짜 확인",IF(계산!CJ1716="","금액 확인","")))</f>
        <v/>
      </c>
    </row>
    <row r="1717">
      <c r="A1717" s="3" t="n"/>
      <c r="C1717" s="4" t="n"/>
      <c r="E1717" s="5">
        <f>IF(C1717="","",IF(계산!CI1717="","날짜 확인",IF(계산!CJ1717="","금액 확인","")))</f>
        <v/>
      </c>
    </row>
    <row r="1718">
      <c r="A1718" s="3" t="n"/>
      <c r="C1718" s="4" t="n"/>
      <c r="E1718" s="5">
        <f>IF(C1718="","",IF(계산!CI1718="","날짜 확인",IF(계산!CJ1718="","금액 확인","")))</f>
        <v/>
      </c>
    </row>
    <row r="1719">
      <c r="A1719" s="3" t="n"/>
      <c r="C1719" s="4" t="n"/>
      <c r="E1719" s="5">
        <f>IF(C1719="","",IF(계산!CI1719="","날짜 확인",IF(계산!CJ1719="","금액 확인","")))</f>
        <v/>
      </c>
    </row>
    <row r="1720">
      <c r="A1720" s="3" t="n"/>
      <c r="C1720" s="4" t="n"/>
      <c r="E1720" s="5">
        <f>IF(C1720="","",IF(계산!CI1720="","날짜 확인",IF(계산!CJ1720="","금액 확인","")))</f>
        <v/>
      </c>
    </row>
    <row r="1721">
      <c r="A1721" s="3" t="n"/>
      <c r="C1721" s="4" t="n"/>
      <c r="E1721" s="5">
        <f>IF(C1721="","",IF(계산!CI1721="","날짜 확인",IF(계산!CJ1721="","금액 확인","")))</f>
        <v/>
      </c>
    </row>
    <row r="1722">
      <c r="A1722" s="3" t="n"/>
      <c r="C1722" s="4" t="n"/>
      <c r="E1722" s="5">
        <f>IF(C1722="","",IF(계산!CI1722="","날짜 확인",IF(계산!CJ1722="","금액 확인","")))</f>
        <v/>
      </c>
    </row>
    <row r="1723">
      <c r="A1723" s="3" t="n"/>
      <c r="C1723" s="4" t="n"/>
      <c r="E1723" s="5">
        <f>IF(C1723="","",IF(계산!CI1723="","날짜 확인",IF(계산!CJ1723="","금액 확인","")))</f>
        <v/>
      </c>
    </row>
    <row r="1724">
      <c r="A1724" s="3" t="n"/>
      <c r="C1724" s="4" t="n"/>
      <c r="E1724" s="5">
        <f>IF(C1724="","",IF(계산!CI1724="","날짜 확인",IF(계산!CJ1724="","금액 확인","")))</f>
        <v/>
      </c>
    </row>
    <row r="1725">
      <c r="A1725" s="3" t="n"/>
      <c r="C1725" s="4" t="n"/>
      <c r="E1725" s="5">
        <f>IF(C1725="","",IF(계산!CI1725="","날짜 확인",IF(계산!CJ1725="","금액 확인","")))</f>
        <v/>
      </c>
    </row>
    <row r="1726">
      <c r="A1726" s="3" t="n"/>
      <c r="C1726" s="4" t="n"/>
      <c r="E1726" s="5">
        <f>IF(C1726="","",IF(계산!CI1726="","날짜 확인",IF(계산!CJ1726="","금액 확인","")))</f>
        <v/>
      </c>
    </row>
    <row r="1727">
      <c r="A1727" s="3" t="n"/>
      <c r="C1727" s="4" t="n"/>
      <c r="E1727" s="5">
        <f>IF(C1727="","",IF(계산!CI1727="","날짜 확인",IF(계산!CJ1727="","금액 확인","")))</f>
        <v/>
      </c>
    </row>
    <row r="1728">
      <c r="A1728" s="3" t="n"/>
      <c r="C1728" s="4" t="n"/>
      <c r="E1728" s="5">
        <f>IF(C1728="","",IF(계산!CI1728="","날짜 확인",IF(계산!CJ1728="","금액 확인","")))</f>
        <v/>
      </c>
    </row>
    <row r="1729">
      <c r="A1729" s="3" t="n"/>
      <c r="C1729" s="4" t="n"/>
      <c r="E1729" s="5">
        <f>IF(C1729="","",IF(계산!CI1729="","날짜 확인",IF(계산!CJ1729="","금액 확인","")))</f>
        <v/>
      </c>
    </row>
    <row r="1730">
      <c r="A1730" s="3" t="n"/>
      <c r="C1730" s="4" t="n"/>
      <c r="E1730" s="5">
        <f>IF(C1730="","",IF(계산!CI1730="","날짜 확인",IF(계산!CJ1730="","금액 확인","")))</f>
        <v/>
      </c>
    </row>
    <row r="1731">
      <c r="A1731" s="3" t="n"/>
      <c r="C1731" s="4" t="n"/>
      <c r="E1731" s="5">
        <f>IF(C1731="","",IF(계산!CI1731="","날짜 확인",IF(계산!CJ1731="","금액 확인","")))</f>
        <v/>
      </c>
    </row>
    <row r="1732">
      <c r="A1732" s="3" t="n"/>
      <c r="C1732" s="4" t="n"/>
      <c r="E1732" s="5">
        <f>IF(C1732="","",IF(계산!CI1732="","날짜 확인",IF(계산!CJ1732="","금액 확인","")))</f>
        <v/>
      </c>
    </row>
    <row r="1733">
      <c r="A1733" s="3" t="n"/>
      <c r="C1733" s="4" t="n"/>
      <c r="E1733" s="5">
        <f>IF(C1733="","",IF(계산!CI1733="","날짜 확인",IF(계산!CJ1733="","금액 확인","")))</f>
        <v/>
      </c>
    </row>
    <row r="1734">
      <c r="A1734" s="3" t="n"/>
      <c r="C1734" s="4" t="n"/>
      <c r="E1734" s="5">
        <f>IF(C1734="","",IF(계산!CI1734="","날짜 확인",IF(계산!CJ1734="","금액 확인","")))</f>
        <v/>
      </c>
    </row>
    <row r="1735">
      <c r="A1735" s="3" t="n"/>
      <c r="C1735" s="4" t="n"/>
      <c r="E1735" s="5">
        <f>IF(C1735="","",IF(계산!CI1735="","날짜 확인",IF(계산!CJ1735="","금액 확인","")))</f>
        <v/>
      </c>
    </row>
    <row r="1736">
      <c r="A1736" s="3" t="n"/>
      <c r="C1736" s="4" t="n"/>
      <c r="E1736" s="5">
        <f>IF(C1736="","",IF(계산!CI1736="","날짜 확인",IF(계산!CJ1736="","금액 확인","")))</f>
        <v/>
      </c>
    </row>
    <row r="1737">
      <c r="A1737" s="3" t="n"/>
      <c r="C1737" s="4" t="n"/>
      <c r="E1737" s="5">
        <f>IF(C1737="","",IF(계산!CI1737="","날짜 확인",IF(계산!CJ1737="","금액 확인","")))</f>
        <v/>
      </c>
    </row>
    <row r="1738">
      <c r="A1738" s="3" t="n"/>
      <c r="C1738" s="4" t="n"/>
      <c r="E1738" s="5">
        <f>IF(C1738="","",IF(계산!CI1738="","날짜 확인",IF(계산!CJ1738="","금액 확인","")))</f>
        <v/>
      </c>
    </row>
    <row r="1739">
      <c r="A1739" s="3" t="n"/>
      <c r="C1739" s="4" t="n"/>
      <c r="E1739" s="5">
        <f>IF(C1739="","",IF(계산!CI1739="","날짜 확인",IF(계산!CJ1739="","금액 확인","")))</f>
        <v/>
      </c>
    </row>
    <row r="1740">
      <c r="A1740" s="3" t="n"/>
      <c r="C1740" s="4" t="n"/>
      <c r="E1740" s="5">
        <f>IF(C1740="","",IF(계산!CI1740="","날짜 확인",IF(계산!CJ1740="","금액 확인","")))</f>
        <v/>
      </c>
    </row>
    <row r="1741">
      <c r="A1741" s="3" t="n"/>
      <c r="C1741" s="4" t="n"/>
      <c r="E1741" s="5">
        <f>IF(C1741="","",IF(계산!CI1741="","날짜 확인",IF(계산!CJ1741="","금액 확인","")))</f>
        <v/>
      </c>
    </row>
    <row r="1742">
      <c r="A1742" s="3" t="n"/>
      <c r="C1742" s="4" t="n"/>
      <c r="E1742" s="5">
        <f>IF(C1742="","",IF(계산!CI1742="","날짜 확인",IF(계산!CJ1742="","금액 확인","")))</f>
        <v/>
      </c>
    </row>
    <row r="1743">
      <c r="A1743" s="3" t="n"/>
      <c r="C1743" s="4" t="n"/>
      <c r="E1743" s="5">
        <f>IF(C1743="","",IF(계산!CI1743="","날짜 확인",IF(계산!CJ1743="","금액 확인","")))</f>
        <v/>
      </c>
    </row>
    <row r="1744">
      <c r="A1744" s="3" t="n"/>
      <c r="C1744" s="4" t="n"/>
      <c r="E1744" s="5">
        <f>IF(C1744="","",IF(계산!CI1744="","날짜 확인",IF(계산!CJ1744="","금액 확인","")))</f>
        <v/>
      </c>
    </row>
    <row r="1745">
      <c r="A1745" s="3" t="n"/>
      <c r="C1745" s="4" t="n"/>
      <c r="E1745" s="5">
        <f>IF(C1745="","",IF(계산!CI1745="","날짜 확인",IF(계산!CJ1745="","금액 확인","")))</f>
        <v/>
      </c>
    </row>
    <row r="1746">
      <c r="A1746" s="3" t="n"/>
      <c r="C1746" s="4" t="n"/>
      <c r="E1746" s="5">
        <f>IF(C1746="","",IF(계산!CI1746="","날짜 확인",IF(계산!CJ1746="","금액 확인","")))</f>
        <v/>
      </c>
    </row>
    <row r="1747">
      <c r="A1747" s="3" t="n"/>
      <c r="C1747" s="4" t="n"/>
      <c r="E1747" s="5">
        <f>IF(C1747="","",IF(계산!CI1747="","날짜 확인",IF(계산!CJ1747="","금액 확인","")))</f>
        <v/>
      </c>
    </row>
    <row r="1748">
      <c r="A1748" s="3" t="n"/>
      <c r="C1748" s="4" t="n"/>
      <c r="E1748" s="5">
        <f>IF(C1748="","",IF(계산!CI1748="","날짜 확인",IF(계산!CJ1748="","금액 확인","")))</f>
        <v/>
      </c>
    </row>
    <row r="1749">
      <c r="A1749" s="3" t="n"/>
      <c r="C1749" s="4" t="n"/>
      <c r="E1749" s="5">
        <f>IF(C1749="","",IF(계산!CI1749="","날짜 확인",IF(계산!CJ1749="","금액 확인","")))</f>
        <v/>
      </c>
    </row>
    <row r="1750">
      <c r="A1750" s="3" t="n"/>
      <c r="C1750" s="4" t="n"/>
      <c r="E1750" s="5">
        <f>IF(C1750="","",IF(계산!CI1750="","날짜 확인",IF(계산!CJ1750="","금액 확인","")))</f>
        <v/>
      </c>
    </row>
    <row r="1751">
      <c r="A1751" s="3" t="n"/>
      <c r="C1751" s="4" t="n"/>
      <c r="E1751" s="5">
        <f>IF(C1751="","",IF(계산!CI1751="","날짜 확인",IF(계산!CJ1751="","금액 확인","")))</f>
        <v/>
      </c>
    </row>
    <row r="1752">
      <c r="A1752" s="3" t="n"/>
      <c r="C1752" s="4" t="n"/>
      <c r="E1752" s="5">
        <f>IF(C1752="","",IF(계산!CI1752="","날짜 확인",IF(계산!CJ1752="","금액 확인","")))</f>
        <v/>
      </c>
    </row>
    <row r="1753">
      <c r="A1753" s="3" t="n"/>
      <c r="C1753" s="4" t="n"/>
      <c r="E1753" s="5">
        <f>IF(C1753="","",IF(계산!CI1753="","날짜 확인",IF(계산!CJ1753="","금액 확인","")))</f>
        <v/>
      </c>
    </row>
    <row r="1754">
      <c r="A1754" s="3" t="n"/>
      <c r="C1754" s="4" t="n"/>
      <c r="E1754" s="5">
        <f>IF(C1754="","",IF(계산!CI1754="","날짜 확인",IF(계산!CJ1754="","금액 확인","")))</f>
        <v/>
      </c>
    </row>
    <row r="1755">
      <c r="A1755" s="3" t="n"/>
      <c r="C1755" s="4" t="n"/>
      <c r="E1755" s="5">
        <f>IF(C1755="","",IF(계산!CI1755="","날짜 확인",IF(계산!CJ1755="","금액 확인","")))</f>
        <v/>
      </c>
    </row>
    <row r="1756">
      <c r="A1756" s="3" t="n"/>
      <c r="C1756" s="4" t="n"/>
      <c r="E1756" s="5">
        <f>IF(C1756="","",IF(계산!CI1756="","날짜 확인",IF(계산!CJ1756="","금액 확인","")))</f>
        <v/>
      </c>
    </row>
    <row r="1757">
      <c r="A1757" s="3" t="n"/>
      <c r="C1757" s="4" t="n"/>
      <c r="E1757" s="5">
        <f>IF(C1757="","",IF(계산!CI1757="","날짜 확인",IF(계산!CJ1757="","금액 확인","")))</f>
        <v/>
      </c>
    </row>
    <row r="1758">
      <c r="A1758" s="3" t="n"/>
      <c r="C1758" s="4" t="n"/>
      <c r="E1758" s="5">
        <f>IF(C1758="","",IF(계산!CI1758="","날짜 확인",IF(계산!CJ1758="","금액 확인","")))</f>
        <v/>
      </c>
    </row>
    <row r="1759">
      <c r="A1759" s="3" t="n"/>
      <c r="C1759" s="4" t="n"/>
      <c r="E1759" s="5">
        <f>IF(C1759="","",IF(계산!CI1759="","날짜 확인",IF(계산!CJ1759="","금액 확인","")))</f>
        <v/>
      </c>
    </row>
    <row r="1760">
      <c r="A1760" s="3" t="n"/>
      <c r="C1760" s="4" t="n"/>
      <c r="E1760" s="5">
        <f>IF(C1760="","",IF(계산!CI1760="","날짜 확인",IF(계산!CJ1760="","금액 확인","")))</f>
        <v/>
      </c>
    </row>
    <row r="1761">
      <c r="A1761" s="3" t="n"/>
      <c r="C1761" s="4" t="n"/>
      <c r="E1761" s="5">
        <f>IF(C1761="","",IF(계산!CI1761="","날짜 확인",IF(계산!CJ1761="","금액 확인","")))</f>
        <v/>
      </c>
    </row>
    <row r="1762">
      <c r="A1762" s="3" t="n"/>
      <c r="C1762" s="4" t="n"/>
      <c r="E1762" s="5">
        <f>IF(C1762="","",IF(계산!CI1762="","날짜 확인",IF(계산!CJ1762="","금액 확인","")))</f>
        <v/>
      </c>
    </row>
    <row r="1763">
      <c r="A1763" s="3" t="n"/>
      <c r="C1763" s="4" t="n"/>
      <c r="E1763" s="5">
        <f>IF(C1763="","",IF(계산!CI1763="","날짜 확인",IF(계산!CJ1763="","금액 확인","")))</f>
        <v/>
      </c>
    </row>
    <row r="1764">
      <c r="A1764" s="3" t="n"/>
      <c r="C1764" s="4" t="n"/>
      <c r="E1764" s="5">
        <f>IF(C1764="","",IF(계산!CI1764="","날짜 확인",IF(계산!CJ1764="","금액 확인","")))</f>
        <v/>
      </c>
    </row>
    <row r="1765">
      <c r="A1765" s="3" t="n"/>
      <c r="C1765" s="4" t="n"/>
      <c r="E1765" s="5">
        <f>IF(C1765="","",IF(계산!CI1765="","날짜 확인",IF(계산!CJ1765="","금액 확인","")))</f>
        <v/>
      </c>
    </row>
    <row r="1766">
      <c r="A1766" s="3" t="n"/>
      <c r="C1766" s="4" t="n"/>
      <c r="E1766" s="5">
        <f>IF(C1766="","",IF(계산!CI1766="","날짜 확인",IF(계산!CJ1766="","금액 확인","")))</f>
        <v/>
      </c>
    </row>
    <row r="1767">
      <c r="A1767" s="3" t="n"/>
      <c r="C1767" s="4" t="n"/>
      <c r="E1767" s="5">
        <f>IF(C1767="","",IF(계산!CI1767="","날짜 확인",IF(계산!CJ1767="","금액 확인","")))</f>
        <v/>
      </c>
    </row>
    <row r="1768">
      <c r="A1768" s="3" t="n"/>
      <c r="C1768" s="4" t="n"/>
      <c r="E1768" s="5">
        <f>IF(C1768="","",IF(계산!CI1768="","날짜 확인",IF(계산!CJ1768="","금액 확인","")))</f>
        <v/>
      </c>
    </row>
    <row r="1769">
      <c r="A1769" s="3" t="n"/>
      <c r="C1769" s="4" t="n"/>
      <c r="E1769" s="5">
        <f>IF(C1769="","",IF(계산!CI1769="","날짜 확인",IF(계산!CJ1769="","금액 확인","")))</f>
        <v/>
      </c>
    </row>
    <row r="1770">
      <c r="A1770" s="3" t="n"/>
      <c r="C1770" s="4" t="n"/>
      <c r="E1770" s="5">
        <f>IF(C1770="","",IF(계산!CI1770="","날짜 확인",IF(계산!CJ1770="","금액 확인","")))</f>
        <v/>
      </c>
    </row>
    <row r="1771">
      <c r="A1771" s="3" t="n"/>
      <c r="C1771" s="4" t="n"/>
      <c r="E1771" s="5">
        <f>IF(C1771="","",IF(계산!CI1771="","날짜 확인",IF(계산!CJ1771="","금액 확인","")))</f>
        <v/>
      </c>
    </row>
    <row r="1772">
      <c r="A1772" s="3" t="n"/>
      <c r="C1772" s="4" t="n"/>
      <c r="E1772" s="5">
        <f>IF(C1772="","",IF(계산!CI1772="","날짜 확인",IF(계산!CJ1772="","금액 확인","")))</f>
        <v/>
      </c>
    </row>
    <row r="1773">
      <c r="A1773" s="3" t="n"/>
      <c r="C1773" s="4" t="n"/>
      <c r="E1773" s="5">
        <f>IF(C1773="","",IF(계산!CI1773="","날짜 확인",IF(계산!CJ1773="","금액 확인","")))</f>
        <v/>
      </c>
    </row>
    <row r="1774">
      <c r="A1774" s="3" t="n"/>
      <c r="C1774" s="4" t="n"/>
      <c r="E1774" s="5">
        <f>IF(C1774="","",IF(계산!CI1774="","날짜 확인",IF(계산!CJ1774="","금액 확인","")))</f>
        <v/>
      </c>
    </row>
    <row r="1775">
      <c r="A1775" s="3" t="n"/>
      <c r="C1775" s="4" t="n"/>
      <c r="E1775" s="5">
        <f>IF(C1775="","",IF(계산!CI1775="","날짜 확인",IF(계산!CJ1775="","금액 확인","")))</f>
        <v/>
      </c>
    </row>
    <row r="1776">
      <c r="A1776" s="3" t="n"/>
      <c r="C1776" s="4" t="n"/>
      <c r="E1776" s="5">
        <f>IF(C1776="","",IF(계산!CI1776="","날짜 확인",IF(계산!CJ1776="","금액 확인","")))</f>
        <v/>
      </c>
    </row>
    <row r="1777">
      <c r="A1777" s="3" t="n"/>
      <c r="C1777" s="4" t="n"/>
      <c r="E1777" s="5">
        <f>IF(C1777="","",IF(계산!CI1777="","날짜 확인",IF(계산!CJ1777="","금액 확인","")))</f>
        <v/>
      </c>
    </row>
    <row r="1778">
      <c r="A1778" s="3" t="n"/>
      <c r="C1778" s="4" t="n"/>
      <c r="E1778" s="5">
        <f>IF(C1778="","",IF(계산!CI1778="","날짜 확인",IF(계산!CJ1778="","금액 확인","")))</f>
        <v/>
      </c>
    </row>
    <row r="1779">
      <c r="A1779" s="3" t="n"/>
      <c r="C1779" s="4" t="n"/>
      <c r="E1779" s="5">
        <f>IF(C1779="","",IF(계산!CI1779="","날짜 확인",IF(계산!CJ1779="","금액 확인","")))</f>
        <v/>
      </c>
    </row>
    <row r="1780">
      <c r="A1780" s="3" t="n"/>
      <c r="C1780" s="4" t="n"/>
      <c r="E1780" s="5">
        <f>IF(C1780="","",IF(계산!CI1780="","날짜 확인",IF(계산!CJ1780="","금액 확인","")))</f>
        <v/>
      </c>
    </row>
    <row r="1781">
      <c r="A1781" s="3" t="n"/>
      <c r="C1781" s="4" t="n"/>
      <c r="E1781" s="5">
        <f>IF(C1781="","",IF(계산!CI1781="","날짜 확인",IF(계산!CJ1781="","금액 확인","")))</f>
        <v/>
      </c>
    </row>
    <row r="1782">
      <c r="A1782" s="3" t="n"/>
      <c r="C1782" s="4" t="n"/>
      <c r="E1782" s="5">
        <f>IF(C1782="","",IF(계산!CI1782="","날짜 확인",IF(계산!CJ1782="","금액 확인","")))</f>
        <v/>
      </c>
    </row>
    <row r="1783">
      <c r="A1783" s="3" t="n"/>
      <c r="C1783" s="4" t="n"/>
      <c r="E1783" s="5">
        <f>IF(C1783="","",IF(계산!CI1783="","날짜 확인",IF(계산!CJ1783="","금액 확인","")))</f>
        <v/>
      </c>
    </row>
    <row r="1784">
      <c r="A1784" s="3" t="n"/>
      <c r="C1784" s="4" t="n"/>
      <c r="E1784" s="5">
        <f>IF(C1784="","",IF(계산!CI1784="","날짜 확인",IF(계산!CJ1784="","금액 확인","")))</f>
        <v/>
      </c>
    </row>
    <row r="1785">
      <c r="A1785" s="3" t="n"/>
      <c r="C1785" s="4" t="n"/>
      <c r="E1785" s="5">
        <f>IF(C1785="","",IF(계산!CI1785="","날짜 확인",IF(계산!CJ1785="","금액 확인","")))</f>
        <v/>
      </c>
    </row>
    <row r="1786">
      <c r="A1786" s="3" t="n"/>
      <c r="C1786" s="4" t="n"/>
      <c r="E1786" s="5">
        <f>IF(C1786="","",IF(계산!CI1786="","날짜 확인",IF(계산!CJ1786="","금액 확인","")))</f>
        <v/>
      </c>
    </row>
    <row r="1787">
      <c r="A1787" s="3" t="n"/>
      <c r="C1787" s="4" t="n"/>
      <c r="E1787" s="5">
        <f>IF(C1787="","",IF(계산!CI1787="","날짜 확인",IF(계산!CJ1787="","금액 확인","")))</f>
        <v/>
      </c>
    </row>
    <row r="1788">
      <c r="A1788" s="3" t="n"/>
      <c r="C1788" s="4" t="n"/>
      <c r="E1788" s="5">
        <f>IF(C1788="","",IF(계산!CI1788="","날짜 확인",IF(계산!CJ1788="","금액 확인","")))</f>
        <v/>
      </c>
    </row>
    <row r="1789">
      <c r="A1789" s="3" t="n"/>
      <c r="C1789" s="4" t="n"/>
      <c r="E1789" s="5">
        <f>IF(C1789="","",IF(계산!CI1789="","날짜 확인",IF(계산!CJ1789="","금액 확인","")))</f>
        <v/>
      </c>
    </row>
    <row r="1790">
      <c r="A1790" s="3" t="n"/>
      <c r="C1790" s="4" t="n"/>
      <c r="E1790" s="5">
        <f>IF(C1790="","",IF(계산!CI1790="","날짜 확인",IF(계산!CJ1790="","금액 확인","")))</f>
        <v/>
      </c>
    </row>
    <row r="1791">
      <c r="A1791" s="3" t="n"/>
      <c r="C1791" s="4" t="n"/>
      <c r="E1791" s="5">
        <f>IF(C1791="","",IF(계산!CI1791="","날짜 확인",IF(계산!CJ1791="","금액 확인","")))</f>
        <v/>
      </c>
    </row>
    <row r="1792">
      <c r="A1792" s="3" t="n"/>
      <c r="C1792" s="4" t="n"/>
      <c r="E1792" s="5">
        <f>IF(C1792="","",IF(계산!CI1792="","날짜 확인",IF(계산!CJ1792="","금액 확인","")))</f>
        <v/>
      </c>
    </row>
    <row r="1793">
      <c r="A1793" s="3" t="n"/>
      <c r="C1793" s="4" t="n"/>
      <c r="E1793" s="5">
        <f>IF(C1793="","",IF(계산!CI1793="","날짜 확인",IF(계산!CJ1793="","금액 확인","")))</f>
        <v/>
      </c>
    </row>
    <row r="1794">
      <c r="A1794" s="3" t="n"/>
      <c r="C1794" s="4" t="n"/>
      <c r="E1794" s="5">
        <f>IF(C1794="","",IF(계산!CI1794="","날짜 확인",IF(계산!CJ1794="","금액 확인","")))</f>
        <v/>
      </c>
    </row>
    <row r="1795">
      <c r="A1795" s="3" t="n"/>
      <c r="C1795" s="4" t="n"/>
      <c r="E1795" s="5">
        <f>IF(C1795="","",IF(계산!CI1795="","날짜 확인",IF(계산!CJ1795="","금액 확인","")))</f>
        <v/>
      </c>
    </row>
    <row r="1796">
      <c r="A1796" s="3" t="n"/>
      <c r="C1796" s="4" t="n"/>
      <c r="E1796" s="5">
        <f>IF(C1796="","",IF(계산!CI1796="","날짜 확인",IF(계산!CJ1796="","금액 확인","")))</f>
        <v/>
      </c>
    </row>
    <row r="1797">
      <c r="A1797" s="3" t="n"/>
      <c r="C1797" s="4" t="n"/>
      <c r="E1797" s="5">
        <f>IF(C1797="","",IF(계산!CI1797="","날짜 확인",IF(계산!CJ1797="","금액 확인","")))</f>
        <v/>
      </c>
    </row>
    <row r="1798">
      <c r="A1798" s="3" t="n"/>
      <c r="C1798" s="4" t="n"/>
      <c r="E1798" s="5">
        <f>IF(C1798="","",IF(계산!CI1798="","날짜 확인",IF(계산!CJ1798="","금액 확인","")))</f>
        <v/>
      </c>
    </row>
    <row r="1799">
      <c r="A1799" s="3" t="n"/>
      <c r="C1799" s="4" t="n"/>
      <c r="E1799" s="5">
        <f>IF(C1799="","",IF(계산!CI1799="","날짜 확인",IF(계산!CJ1799="","금액 확인","")))</f>
        <v/>
      </c>
    </row>
    <row r="1800">
      <c r="A1800" s="3" t="n"/>
      <c r="C1800" s="4" t="n"/>
      <c r="E1800" s="5">
        <f>IF(C1800="","",IF(계산!CI1800="","날짜 확인",IF(계산!CJ1800="","금액 확인","")))</f>
        <v/>
      </c>
    </row>
    <row r="1801">
      <c r="A1801" s="3" t="n"/>
      <c r="C1801" s="4" t="n"/>
      <c r="E1801" s="5">
        <f>IF(C1801="","",IF(계산!CI1801="","날짜 확인",IF(계산!CJ1801="","금액 확인","")))</f>
        <v/>
      </c>
    </row>
    <row r="1802">
      <c r="A1802" s="3" t="n"/>
      <c r="C1802" s="4" t="n"/>
      <c r="E1802" s="5">
        <f>IF(C1802="","",IF(계산!CI1802="","날짜 확인",IF(계산!CJ1802="","금액 확인","")))</f>
        <v/>
      </c>
    </row>
    <row r="1803">
      <c r="A1803" s="3" t="n"/>
      <c r="C1803" s="4" t="n"/>
      <c r="E1803" s="5">
        <f>IF(C1803="","",IF(계산!CI1803="","날짜 확인",IF(계산!CJ1803="","금액 확인","")))</f>
        <v/>
      </c>
    </row>
    <row r="1804">
      <c r="A1804" s="3" t="n"/>
      <c r="C1804" s="4" t="n"/>
      <c r="E1804" s="5">
        <f>IF(C1804="","",IF(계산!CI1804="","날짜 확인",IF(계산!CJ1804="","금액 확인","")))</f>
        <v/>
      </c>
    </row>
    <row r="1805">
      <c r="A1805" s="3" t="n"/>
      <c r="C1805" s="4" t="n"/>
      <c r="E1805" s="5">
        <f>IF(C1805="","",IF(계산!CI1805="","날짜 확인",IF(계산!CJ1805="","금액 확인","")))</f>
        <v/>
      </c>
    </row>
    <row r="1806">
      <c r="A1806" s="3" t="n"/>
      <c r="C1806" s="4" t="n"/>
      <c r="E1806" s="5">
        <f>IF(C1806="","",IF(계산!CI1806="","날짜 확인",IF(계산!CJ1806="","금액 확인","")))</f>
        <v/>
      </c>
    </row>
    <row r="1807">
      <c r="A1807" s="3" t="n"/>
      <c r="C1807" s="4" t="n"/>
      <c r="E1807" s="5">
        <f>IF(C1807="","",IF(계산!CI1807="","날짜 확인",IF(계산!CJ1807="","금액 확인","")))</f>
        <v/>
      </c>
    </row>
    <row r="1808">
      <c r="A1808" s="3" t="n"/>
      <c r="C1808" s="4" t="n"/>
      <c r="E1808" s="5">
        <f>IF(C1808="","",IF(계산!CI1808="","날짜 확인",IF(계산!CJ1808="","금액 확인","")))</f>
        <v/>
      </c>
    </row>
    <row r="1809">
      <c r="A1809" s="3" t="n"/>
      <c r="C1809" s="4" t="n"/>
      <c r="E1809" s="5">
        <f>IF(C1809="","",IF(계산!CI1809="","날짜 확인",IF(계산!CJ1809="","금액 확인","")))</f>
        <v/>
      </c>
    </row>
    <row r="1810">
      <c r="A1810" s="3" t="n"/>
      <c r="C1810" s="4" t="n"/>
      <c r="E1810" s="5">
        <f>IF(C1810="","",IF(계산!CI1810="","날짜 확인",IF(계산!CJ1810="","금액 확인","")))</f>
        <v/>
      </c>
    </row>
    <row r="1811">
      <c r="A1811" s="3" t="n"/>
      <c r="C1811" s="4" t="n"/>
      <c r="E1811" s="5">
        <f>IF(C1811="","",IF(계산!CI1811="","날짜 확인",IF(계산!CJ1811="","금액 확인","")))</f>
        <v/>
      </c>
    </row>
    <row r="1812">
      <c r="A1812" s="3" t="n"/>
      <c r="C1812" s="4" t="n"/>
      <c r="E1812" s="5">
        <f>IF(C1812="","",IF(계산!CI1812="","날짜 확인",IF(계산!CJ1812="","금액 확인","")))</f>
        <v/>
      </c>
    </row>
    <row r="1813">
      <c r="A1813" s="3" t="n"/>
      <c r="C1813" s="4" t="n"/>
      <c r="E1813" s="5">
        <f>IF(C1813="","",IF(계산!CI1813="","날짜 확인",IF(계산!CJ1813="","금액 확인","")))</f>
        <v/>
      </c>
    </row>
    <row r="1814">
      <c r="A1814" s="3" t="n"/>
      <c r="C1814" s="4" t="n"/>
      <c r="E1814" s="5">
        <f>IF(C1814="","",IF(계산!CI1814="","날짜 확인",IF(계산!CJ1814="","금액 확인","")))</f>
        <v/>
      </c>
    </row>
    <row r="1815">
      <c r="A1815" s="3" t="n"/>
      <c r="C1815" s="4" t="n"/>
      <c r="E1815" s="5">
        <f>IF(C1815="","",IF(계산!CI1815="","날짜 확인",IF(계산!CJ1815="","금액 확인","")))</f>
        <v/>
      </c>
    </row>
    <row r="1816">
      <c r="A1816" s="3" t="n"/>
      <c r="C1816" s="4" t="n"/>
      <c r="E1816" s="5">
        <f>IF(C1816="","",IF(계산!CI1816="","날짜 확인",IF(계산!CJ1816="","금액 확인","")))</f>
        <v/>
      </c>
    </row>
    <row r="1817">
      <c r="A1817" s="3" t="n"/>
      <c r="C1817" s="4" t="n"/>
      <c r="E1817" s="5">
        <f>IF(C1817="","",IF(계산!CI1817="","날짜 확인",IF(계산!CJ1817="","금액 확인","")))</f>
        <v/>
      </c>
    </row>
    <row r="1818">
      <c r="A1818" s="3" t="n"/>
      <c r="C1818" s="4" t="n"/>
      <c r="E1818" s="5">
        <f>IF(C1818="","",IF(계산!CI1818="","날짜 확인",IF(계산!CJ1818="","금액 확인","")))</f>
        <v/>
      </c>
    </row>
    <row r="1819">
      <c r="A1819" s="3" t="n"/>
      <c r="C1819" s="4" t="n"/>
      <c r="E1819" s="5">
        <f>IF(C1819="","",IF(계산!CI1819="","날짜 확인",IF(계산!CJ1819="","금액 확인","")))</f>
        <v/>
      </c>
    </row>
    <row r="1820">
      <c r="A1820" s="3" t="n"/>
      <c r="C1820" s="4" t="n"/>
      <c r="E1820" s="5">
        <f>IF(C1820="","",IF(계산!CI1820="","날짜 확인",IF(계산!CJ1820="","금액 확인","")))</f>
        <v/>
      </c>
    </row>
    <row r="1821">
      <c r="A1821" s="3" t="n"/>
      <c r="C1821" s="4" t="n"/>
      <c r="E1821" s="5">
        <f>IF(C1821="","",IF(계산!CI1821="","날짜 확인",IF(계산!CJ1821="","금액 확인","")))</f>
        <v/>
      </c>
    </row>
    <row r="1822">
      <c r="A1822" s="3" t="n"/>
      <c r="C1822" s="4" t="n"/>
      <c r="E1822" s="5">
        <f>IF(C1822="","",IF(계산!CI1822="","날짜 확인",IF(계산!CJ1822="","금액 확인","")))</f>
        <v/>
      </c>
    </row>
    <row r="1823">
      <c r="A1823" s="3" t="n"/>
      <c r="C1823" s="4" t="n"/>
      <c r="E1823" s="5">
        <f>IF(C1823="","",IF(계산!CI1823="","날짜 확인",IF(계산!CJ1823="","금액 확인","")))</f>
        <v/>
      </c>
    </row>
    <row r="1824">
      <c r="A1824" s="3" t="n"/>
      <c r="C1824" s="4" t="n"/>
      <c r="E1824" s="5">
        <f>IF(C1824="","",IF(계산!CI1824="","날짜 확인",IF(계산!CJ1824="","금액 확인","")))</f>
        <v/>
      </c>
    </row>
    <row r="1825">
      <c r="A1825" s="3" t="n"/>
      <c r="C1825" s="4" t="n"/>
      <c r="E1825" s="5">
        <f>IF(C1825="","",IF(계산!CI1825="","날짜 확인",IF(계산!CJ1825="","금액 확인","")))</f>
        <v/>
      </c>
    </row>
    <row r="1826">
      <c r="A1826" s="3" t="n"/>
      <c r="C1826" s="4" t="n"/>
      <c r="E1826" s="5">
        <f>IF(C1826="","",IF(계산!CI1826="","날짜 확인",IF(계산!CJ1826="","금액 확인","")))</f>
        <v/>
      </c>
    </row>
    <row r="1827">
      <c r="A1827" s="3" t="n"/>
      <c r="C1827" s="4" t="n"/>
      <c r="E1827" s="5">
        <f>IF(C1827="","",IF(계산!CI1827="","날짜 확인",IF(계산!CJ1827="","금액 확인","")))</f>
        <v/>
      </c>
    </row>
    <row r="1828">
      <c r="A1828" s="3" t="n"/>
      <c r="C1828" s="4" t="n"/>
      <c r="E1828" s="5">
        <f>IF(C1828="","",IF(계산!CI1828="","날짜 확인",IF(계산!CJ1828="","금액 확인","")))</f>
        <v/>
      </c>
    </row>
    <row r="1829">
      <c r="A1829" s="3" t="n"/>
      <c r="C1829" s="4" t="n"/>
      <c r="E1829" s="5">
        <f>IF(C1829="","",IF(계산!CI1829="","날짜 확인",IF(계산!CJ1829="","금액 확인","")))</f>
        <v/>
      </c>
    </row>
    <row r="1830">
      <c r="A1830" s="3" t="n"/>
      <c r="C1830" s="4" t="n"/>
      <c r="E1830" s="5">
        <f>IF(C1830="","",IF(계산!CI1830="","날짜 확인",IF(계산!CJ1830="","금액 확인","")))</f>
        <v/>
      </c>
    </row>
    <row r="1831">
      <c r="A1831" s="3" t="n"/>
      <c r="C1831" s="4" t="n"/>
      <c r="E1831" s="5">
        <f>IF(C1831="","",IF(계산!CI1831="","날짜 확인",IF(계산!CJ1831="","금액 확인","")))</f>
        <v/>
      </c>
    </row>
    <row r="1832">
      <c r="A1832" s="3" t="n"/>
      <c r="C1832" s="4" t="n"/>
      <c r="E1832" s="5">
        <f>IF(C1832="","",IF(계산!CI1832="","날짜 확인",IF(계산!CJ1832="","금액 확인","")))</f>
        <v/>
      </c>
    </row>
    <row r="1833">
      <c r="A1833" s="3" t="n"/>
      <c r="C1833" s="4" t="n"/>
      <c r="E1833" s="5">
        <f>IF(C1833="","",IF(계산!CI1833="","날짜 확인",IF(계산!CJ1833="","금액 확인","")))</f>
        <v/>
      </c>
    </row>
    <row r="1834">
      <c r="A1834" s="3" t="n"/>
      <c r="C1834" s="4" t="n"/>
      <c r="E1834" s="5">
        <f>IF(C1834="","",IF(계산!CI1834="","날짜 확인",IF(계산!CJ1834="","금액 확인","")))</f>
        <v/>
      </c>
    </row>
    <row r="1835">
      <c r="A1835" s="3" t="n"/>
      <c r="C1835" s="4" t="n"/>
      <c r="E1835" s="5">
        <f>IF(C1835="","",IF(계산!CI1835="","날짜 확인",IF(계산!CJ1835="","금액 확인","")))</f>
        <v/>
      </c>
    </row>
    <row r="1836">
      <c r="A1836" s="3" t="n"/>
      <c r="C1836" s="4" t="n"/>
      <c r="E1836" s="5">
        <f>IF(C1836="","",IF(계산!CI1836="","날짜 확인",IF(계산!CJ1836="","금액 확인","")))</f>
        <v/>
      </c>
    </row>
    <row r="1837">
      <c r="A1837" s="3" t="n"/>
      <c r="C1837" s="4" t="n"/>
      <c r="E1837" s="5">
        <f>IF(C1837="","",IF(계산!CI1837="","날짜 확인",IF(계산!CJ1837="","금액 확인","")))</f>
        <v/>
      </c>
    </row>
    <row r="1838">
      <c r="A1838" s="3" t="n"/>
      <c r="C1838" s="4" t="n"/>
      <c r="E1838" s="5">
        <f>IF(C1838="","",IF(계산!CI1838="","날짜 확인",IF(계산!CJ1838="","금액 확인","")))</f>
        <v/>
      </c>
    </row>
    <row r="1839">
      <c r="A1839" s="3" t="n"/>
      <c r="C1839" s="4" t="n"/>
      <c r="E1839" s="5">
        <f>IF(C1839="","",IF(계산!CI1839="","날짜 확인",IF(계산!CJ1839="","금액 확인","")))</f>
        <v/>
      </c>
    </row>
    <row r="1840">
      <c r="A1840" s="3" t="n"/>
      <c r="C1840" s="4" t="n"/>
      <c r="E1840" s="5">
        <f>IF(C1840="","",IF(계산!CI1840="","날짜 확인",IF(계산!CJ1840="","금액 확인","")))</f>
        <v/>
      </c>
    </row>
    <row r="1841">
      <c r="A1841" s="3" t="n"/>
      <c r="C1841" s="4" t="n"/>
      <c r="E1841" s="5">
        <f>IF(C1841="","",IF(계산!CI1841="","날짜 확인",IF(계산!CJ1841="","금액 확인","")))</f>
        <v/>
      </c>
    </row>
    <row r="1842">
      <c r="A1842" s="3" t="n"/>
      <c r="C1842" s="4" t="n"/>
      <c r="E1842" s="5">
        <f>IF(C1842="","",IF(계산!CI1842="","날짜 확인",IF(계산!CJ1842="","금액 확인","")))</f>
        <v/>
      </c>
    </row>
    <row r="1843">
      <c r="A1843" s="3" t="n"/>
      <c r="C1843" s="4" t="n"/>
      <c r="E1843" s="5">
        <f>IF(C1843="","",IF(계산!CI1843="","날짜 확인",IF(계산!CJ1843="","금액 확인","")))</f>
        <v/>
      </c>
    </row>
    <row r="1844">
      <c r="A1844" s="3" t="n"/>
      <c r="C1844" s="4" t="n"/>
      <c r="E1844" s="5">
        <f>IF(C1844="","",IF(계산!CI1844="","날짜 확인",IF(계산!CJ1844="","금액 확인","")))</f>
        <v/>
      </c>
    </row>
    <row r="1845">
      <c r="A1845" s="3" t="n"/>
      <c r="C1845" s="4" t="n"/>
      <c r="E1845" s="5">
        <f>IF(C1845="","",IF(계산!CI1845="","날짜 확인",IF(계산!CJ1845="","금액 확인","")))</f>
        <v/>
      </c>
    </row>
    <row r="1846">
      <c r="A1846" s="3" t="n"/>
      <c r="C1846" s="4" t="n"/>
      <c r="E1846" s="5">
        <f>IF(C1846="","",IF(계산!CI1846="","날짜 확인",IF(계산!CJ1846="","금액 확인","")))</f>
        <v/>
      </c>
    </row>
    <row r="1847">
      <c r="A1847" s="3" t="n"/>
      <c r="C1847" s="4" t="n"/>
      <c r="E1847" s="5">
        <f>IF(C1847="","",IF(계산!CI1847="","날짜 확인",IF(계산!CJ1847="","금액 확인","")))</f>
        <v/>
      </c>
    </row>
    <row r="1848">
      <c r="A1848" s="3" t="n"/>
      <c r="C1848" s="4" t="n"/>
      <c r="E1848" s="5">
        <f>IF(C1848="","",IF(계산!CI1848="","날짜 확인",IF(계산!CJ1848="","금액 확인","")))</f>
        <v/>
      </c>
    </row>
    <row r="1849">
      <c r="A1849" s="3" t="n"/>
      <c r="C1849" s="4" t="n"/>
      <c r="E1849" s="5">
        <f>IF(C1849="","",IF(계산!CI1849="","날짜 확인",IF(계산!CJ1849="","금액 확인","")))</f>
        <v/>
      </c>
    </row>
    <row r="1850">
      <c r="A1850" s="3" t="n"/>
      <c r="C1850" s="4" t="n"/>
      <c r="E1850" s="5">
        <f>IF(C1850="","",IF(계산!CI1850="","날짜 확인",IF(계산!CJ1850="","금액 확인","")))</f>
        <v/>
      </c>
    </row>
    <row r="1851">
      <c r="A1851" s="3" t="n"/>
      <c r="C1851" s="4" t="n"/>
      <c r="E1851" s="5">
        <f>IF(C1851="","",IF(계산!CI1851="","날짜 확인",IF(계산!CJ1851="","금액 확인","")))</f>
        <v/>
      </c>
    </row>
    <row r="1852">
      <c r="A1852" s="3" t="n"/>
      <c r="C1852" s="4" t="n"/>
      <c r="E1852" s="5">
        <f>IF(C1852="","",IF(계산!CI1852="","날짜 확인",IF(계산!CJ1852="","금액 확인","")))</f>
        <v/>
      </c>
    </row>
    <row r="1853">
      <c r="A1853" s="3" t="n"/>
      <c r="C1853" s="4" t="n"/>
      <c r="E1853" s="5">
        <f>IF(C1853="","",IF(계산!CI1853="","날짜 확인",IF(계산!CJ1853="","금액 확인","")))</f>
        <v/>
      </c>
    </row>
    <row r="1854">
      <c r="A1854" s="3" t="n"/>
      <c r="C1854" s="4" t="n"/>
      <c r="E1854" s="5">
        <f>IF(C1854="","",IF(계산!CI1854="","날짜 확인",IF(계산!CJ1854="","금액 확인","")))</f>
        <v/>
      </c>
    </row>
    <row r="1855">
      <c r="A1855" s="3" t="n"/>
      <c r="C1855" s="4" t="n"/>
      <c r="E1855" s="5">
        <f>IF(C1855="","",IF(계산!CI1855="","날짜 확인",IF(계산!CJ1855="","금액 확인","")))</f>
        <v/>
      </c>
    </row>
    <row r="1856">
      <c r="A1856" s="3" t="n"/>
      <c r="C1856" s="4" t="n"/>
      <c r="E1856" s="5">
        <f>IF(C1856="","",IF(계산!CI1856="","날짜 확인",IF(계산!CJ1856="","금액 확인","")))</f>
        <v/>
      </c>
    </row>
    <row r="1857">
      <c r="A1857" s="3" t="n"/>
      <c r="C1857" s="4" t="n"/>
      <c r="E1857" s="5">
        <f>IF(C1857="","",IF(계산!CI1857="","날짜 확인",IF(계산!CJ1857="","금액 확인","")))</f>
        <v/>
      </c>
    </row>
    <row r="1858">
      <c r="A1858" s="3" t="n"/>
      <c r="C1858" s="4" t="n"/>
      <c r="E1858" s="5">
        <f>IF(C1858="","",IF(계산!CI1858="","날짜 확인",IF(계산!CJ1858="","금액 확인","")))</f>
        <v/>
      </c>
    </row>
    <row r="1859">
      <c r="A1859" s="3" t="n"/>
      <c r="C1859" s="4" t="n"/>
      <c r="E1859" s="5">
        <f>IF(C1859="","",IF(계산!CI1859="","날짜 확인",IF(계산!CJ1859="","금액 확인","")))</f>
        <v/>
      </c>
    </row>
    <row r="1860">
      <c r="A1860" s="3" t="n"/>
      <c r="C1860" s="4" t="n"/>
      <c r="E1860" s="5">
        <f>IF(C1860="","",IF(계산!CI1860="","날짜 확인",IF(계산!CJ1860="","금액 확인","")))</f>
        <v/>
      </c>
    </row>
    <row r="1861">
      <c r="A1861" s="3" t="n"/>
      <c r="C1861" s="4" t="n"/>
      <c r="E1861" s="5">
        <f>IF(C1861="","",IF(계산!CI1861="","날짜 확인",IF(계산!CJ1861="","금액 확인","")))</f>
        <v/>
      </c>
    </row>
    <row r="1862">
      <c r="A1862" s="3" t="n"/>
      <c r="C1862" s="4" t="n"/>
      <c r="E1862" s="5">
        <f>IF(C1862="","",IF(계산!CI1862="","날짜 확인",IF(계산!CJ1862="","금액 확인","")))</f>
        <v/>
      </c>
    </row>
    <row r="1863">
      <c r="A1863" s="3" t="n"/>
      <c r="C1863" s="4" t="n"/>
      <c r="E1863" s="5">
        <f>IF(C1863="","",IF(계산!CI1863="","날짜 확인",IF(계산!CJ1863="","금액 확인","")))</f>
        <v/>
      </c>
    </row>
    <row r="1864">
      <c r="A1864" s="3" t="n"/>
      <c r="C1864" s="4" t="n"/>
      <c r="E1864" s="5">
        <f>IF(C1864="","",IF(계산!CI1864="","날짜 확인",IF(계산!CJ1864="","금액 확인","")))</f>
        <v/>
      </c>
    </row>
    <row r="1865">
      <c r="A1865" s="3" t="n"/>
      <c r="C1865" s="4" t="n"/>
      <c r="E1865" s="5">
        <f>IF(C1865="","",IF(계산!CI1865="","날짜 확인",IF(계산!CJ1865="","금액 확인","")))</f>
        <v/>
      </c>
    </row>
    <row r="1866">
      <c r="A1866" s="3" t="n"/>
      <c r="C1866" s="4" t="n"/>
      <c r="E1866" s="5">
        <f>IF(C1866="","",IF(계산!CI1866="","날짜 확인",IF(계산!CJ1866="","금액 확인","")))</f>
        <v/>
      </c>
    </row>
    <row r="1867">
      <c r="A1867" s="3" t="n"/>
      <c r="C1867" s="4" t="n"/>
      <c r="E1867" s="5">
        <f>IF(C1867="","",IF(계산!CI1867="","날짜 확인",IF(계산!CJ1867="","금액 확인","")))</f>
        <v/>
      </c>
    </row>
    <row r="1868">
      <c r="A1868" s="3" t="n"/>
      <c r="C1868" s="4" t="n"/>
      <c r="E1868" s="5">
        <f>IF(C1868="","",IF(계산!CI1868="","날짜 확인",IF(계산!CJ1868="","금액 확인","")))</f>
        <v/>
      </c>
    </row>
    <row r="1869">
      <c r="A1869" s="3" t="n"/>
      <c r="C1869" s="4" t="n"/>
      <c r="E1869" s="5">
        <f>IF(C1869="","",IF(계산!CI1869="","날짜 확인",IF(계산!CJ1869="","금액 확인","")))</f>
        <v/>
      </c>
    </row>
    <row r="1870">
      <c r="A1870" s="3" t="n"/>
      <c r="C1870" s="4" t="n"/>
      <c r="E1870" s="5">
        <f>IF(C1870="","",IF(계산!CI1870="","날짜 확인",IF(계산!CJ1870="","금액 확인","")))</f>
        <v/>
      </c>
    </row>
    <row r="1871">
      <c r="A1871" s="3" t="n"/>
      <c r="C1871" s="4" t="n"/>
      <c r="E1871" s="5">
        <f>IF(C1871="","",IF(계산!CI1871="","날짜 확인",IF(계산!CJ1871="","금액 확인","")))</f>
        <v/>
      </c>
    </row>
    <row r="1872">
      <c r="A1872" s="3" t="n"/>
      <c r="C1872" s="4" t="n"/>
      <c r="E1872" s="5">
        <f>IF(C1872="","",IF(계산!CI1872="","날짜 확인",IF(계산!CJ1872="","금액 확인","")))</f>
        <v/>
      </c>
    </row>
    <row r="1873">
      <c r="A1873" s="3" t="n"/>
      <c r="C1873" s="4" t="n"/>
      <c r="E1873" s="5">
        <f>IF(C1873="","",IF(계산!CI1873="","날짜 확인",IF(계산!CJ1873="","금액 확인","")))</f>
        <v/>
      </c>
    </row>
    <row r="1874">
      <c r="A1874" s="3" t="n"/>
      <c r="C1874" s="4" t="n"/>
      <c r="E1874" s="5">
        <f>IF(C1874="","",IF(계산!CI1874="","날짜 확인",IF(계산!CJ1874="","금액 확인","")))</f>
        <v/>
      </c>
    </row>
    <row r="1875">
      <c r="A1875" s="3" t="n"/>
      <c r="C1875" s="4" t="n"/>
      <c r="E1875" s="5">
        <f>IF(C1875="","",IF(계산!CI1875="","날짜 확인",IF(계산!CJ1875="","금액 확인","")))</f>
        <v/>
      </c>
    </row>
    <row r="1876">
      <c r="A1876" s="3" t="n"/>
      <c r="C1876" s="4" t="n"/>
      <c r="E1876" s="5">
        <f>IF(C1876="","",IF(계산!CI1876="","날짜 확인",IF(계산!CJ1876="","금액 확인","")))</f>
        <v/>
      </c>
    </row>
    <row r="1877">
      <c r="A1877" s="3" t="n"/>
      <c r="C1877" s="4" t="n"/>
      <c r="E1877" s="5">
        <f>IF(C1877="","",IF(계산!CI1877="","날짜 확인",IF(계산!CJ1877="","금액 확인","")))</f>
        <v/>
      </c>
    </row>
    <row r="1878">
      <c r="A1878" s="3" t="n"/>
      <c r="C1878" s="4" t="n"/>
      <c r="E1878" s="5">
        <f>IF(C1878="","",IF(계산!CI1878="","날짜 확인",IF(계산!CJ1878="","금액 확인","")))</f>
        <v/>
      </c>
    </row>
    <row r="1879">
      <c r="A1879" s="3" t="n"/>
      <c r="C1879" s="4" t="n"/>
      <c r="E1879" s="5">
        <f>IF(C1879="","",IF(계산!CI1879="","날짜 확인",IF(계산!CJ1879="","금액 확인","")))</f>
        <v/>
      </c>
    </row>
    <row r="1880">
      <c r="A1880" s="3" t="n"/>
      <c r="C1880" s="4" t="n"/>
      <c r="E1880" s="5">
        <f>IF(C1880="","",IF(계산!CI1880="","날짜 확인",IF(계산!CJ1880="","금액 확인","")))</f>
        <v/>
      </c>
    </row>
    <row r="1881">
      <c r="A1881" s="3" t="n"/>
      <c r="C1881" s="4" t="n"/>
      <c r="E1881" s="5">
        <f>IF(C1881="","",IF(계산!CI1881="","날짜 확인",IF(계산!CJ1881="","금액 확인","")))</f>
        <v/>
      </c>
    </row>
    <row r="1882">
      <c r="A1882" s="3" t="n"/>
      <c r="C1882" s="4" t="n"/>
      <c r="E1882" s="5">
        <f>IF(C1882="","",IF(계산!CI1882="","날짜 확인",IF(계산!CJ1882="","금액 확인","")))</f>
        <v/>
      </c>
    </row>
    <row r="1883">
      <c r="A1883" s="3" t="n"/>
      <c r="C1883" s="4" t="n"/>
      <c r="E1883" s="5">
        <f>IF(C1883="","",IF(계산!CI1883="","날짜 확인",IF(계산!CJ1883="","금액 확인","")))</f>
        <v/>
      </c>
    </row>
    <row r="1884">
      <c r="A1884" s="3" t="n"/>
      <c r="C1884" s="4" t="n"/>
      <c r="E1884" s="5">
        <f>IF(C1884="","",IF(계산!CI1884="","날짜 확인",IF(계산!CJ1884="","금액 확인","")))</f>
        <v/>
      </c>
    </row>
    <row r="1885">
      <c r="A1885" s="3" t="n"/>
      <c r="C1885" s="4" t="n"/>
      <c r="E1885" s="5">
        <f>IF(C1885="","",IF(계산!CI1885="","날짜 확인",IF(계산!CJ1885="","금액 확인","")))</f>
        <v/>
      </c>
    </row>
    <row r="1886">
      <c r="A1886" s="3" t="n"/>
      <c r="C1886" s="4" t="n"/>
      <c r="E1886" s="5">
        <f>IF(C1886="","",IF(계산!CI1886="","날짜 확인",IF(계산!CJ1886="","금액 확인","")))</f>
        <v/>
      </c>
    </row>
    <row r="1887">
      <c r="A1887" s="3" t="n"/>
      <c r="C1887" s="4" t="n"/>
      <c r="E1887" s="5">
        <f>IF(C1887="","",IF(계산!CI1887="","날짜 확인",IF(계산!CJ1887="","금액 확인","")))</f>
        <v/>
      </c>
    </row>
    <row r="1888">
      <c r="A1888" s="3" t="n"/>
      <c r="C1888" s="4" t="n"/>
      <c r="E1888" s="5">
        <f>IF(C1888="","",IF(계산!CI1888="","날짜 확인",IF(계산!CJ1888="","금액 확인","")))</f>
        <v/>
      </c>
    </row>
    <row r="1889">
      <c r="A1889" s="3" t="n"/>
      <c r="C1889" s="4" t="n"/>
      <c r="E1889" s="5">
        <f>IF(C1889="","",IF(계산!CI1889="","날짜 확인",IF(계산!CJ1889="","금액 확인","")))</f>
        <v/>
      </c>
    </row>
    <row r="1890">
      <c r="A1890" s="3" t="n"/>
      <c r="C1890" s="4" t="n"/>
      <c r="E1890" s="5">
        <f>IF(C1890="","",IF(계산!CI1890="","날짜 확인",IF(계산!CJ1890="","금액 확인","")))</f>
        <v/>
      </c>
    </row>
    <row r="1891">
      <c r="A1891" s="3" t="n"/>
      <c r="C1891" s="4" t="n"/>
      <c r="E1891" s="5">
        <f>IF(C1891="","",IF(계산!CI1891="","날짜 확인",IF(계산!CJ1891="","금액 확인","")))</f>
        <v/>
      </c>
    </row>
    <row r="1892">
      <c r="A1892" s="3" t="n"/>
      <c r="C1892" s="4" t="n"/>
      <c r="E1892" s="5">
        <f>IF(C1892="","",IF(계산!CI1892="","날짜 확인",IF(계산!CJ1892="","금액 확인","")))</f>
        <v/>
      </c>
    </row>
    <row r="1893">
      <c r="A1893" s="3" t="n"/>
      <c r="C1893" s="4" t="n"/>
      <c r="E1893" s="5">
        <f>IF(C1893="","",IF(계산!CI1893="","날짜 확인",IF(계산!CJ1893="","금액 확인","")))</f>
        <v/>
      </c>
    </row>
    <row r="1894">
      <c r="A1894" s="3" t="n"/>
      <c r="C1894" s="4" t="n"/>
      <c r="E1894" s="5">
        <f>IF(C1894="","",IF(계산!CI1894="","날짜 확인",IF(계산!CJ1894="","금액 확인","")))</f>
        <v/>
      </c>
    </row>
    <row r="1895">
      <c r="A1895" s="3" t="n"/>
      <c r="C1895" s="4" t="n"/>
      <c r="E1895" s="5">
        <f>IF(C1895="","",IF(계산!CI1895="","날짜 확인",IF(계산!CJ1895="","금액 확인","")))</f>
        <v/>
      </c>
    </row>
    <row r="1896">
      <c r="A1896" s="3" t="n"/>
      <c r="C1896" s="4" t="n"/>
      <c r="E1896" s="5">
        <f>IF(C1896="","",IF(계산!CI1896="","날짜 확인",IF(계산!CJ1896="","금액 확인","")))</f>
        <v/>
      </c>
    </row>
    <row r="1897">
      <c r="A1897" s="3" t="n"/>
      <c r="C1897" s="4" t="n"/>
      <c r="E1897" s="5">
        <f>IF(C1897="","",IF(계산!CI1897="","날짜 확인",IF(계산!CJ1897="","금액 확인","")))</f>
        <v/>
      </c>
    </row>
    <row r="1898">
      <c r="A1898" s="3" t="n"/>
      <c r="C1898" s="4" t="n"/>
      <c r="E1898" s="5">
        <f>IF(C1898="","",IF(계산!CI1898="","날짜 확인",IF(계산!CJ1898="","금액 확인","")))</f>
        <v/>
      </c>
    </row>
    <row r="1899">
      <c r="A1899" s="3" t="n"/>
      <c r="C1899" s="4" t="n"/>
      <c r="E1899" s="5">
        <f>IF(C1899="","",IF(계산!CI1899="","날짜 확인",IF(계산!CJ1899="","금액 확인","")))</f>
        <v/>
      </c>
    </row>
    <row r="1900">
      <c r="A1900" s="3" t="n"/>
      <c r="C1900" s="4" t="n"/>
      <c r="E1900" s="5">
        <f>IF(C1900="","",IF(계산!CI1900="","날짜 확인",IF(계산!CJ1900="","금액 확인","")))</f>
        <v/>
      </c>
    </row>
    <row r="1901">
      <c r="A1901" s="3" t="n"/>
      <c r="C1901" s="4" t="n"/>
      <c r="E1901" s="5">
        <f>IF(C1901="","",IF(계산!CI1901="","날짜 확인",IF(계산!CJ1901="","금액 확인","")))</f>
        <v/>
      </c>
    </row>
    <row r="1902">
      <c r="A1902" s="3" t="n"/>
      <c r="C1902" s="4" t="n"/>
      <c r="E1902" s="5">
        <f>IF(C1902="","",IF(계산!CI1902="","날짜 확인",IF(계산!CJ1902="","금액 확인","")))</f>
        <v/>
      </c>
    </row>
    <row r="1903">
      <c r="A1903" s="3" t="n"/>
      <c r="C1903" s="4" t="n"/>
      <c r="E1903" s="5">
        <f>IF(C1903="","",IF(계산!CI1903="","날짜 확인",IF(계산!CJ1903="","금액 확인","")))</f>
        <v/>
      </c>
    </row>
    <row r="1904">
      <c r="A1904" s="3" t="n"/>
      <c r="C1904" s="4" t="n"/>
      <c r="E1904" s="5">
        <f>IF(C1904="","",IF(계산!CI1904="","날짜 확인",IF(계산!CJ1904="","금액 확인","")))</f>
        <v/>
      </c>
    </row>
    <row r="1905">
      <c r="A1905" s="3" t="n"/>
      <c r="C1905" s="4" t="n"/>
      <c r="E1905" s="5">
        <f>IF(C1905="","",IF(계산!CI1905="","날짜 확인",IF(계산!CJ1905="","금액 확인","")))</f>
        <v/>
      </c>
    </row>
    <row r="1906">
      <c r="A1906" s="3" t="n"/>
      <c r="C1906" s="4" t="n"/>
      <c r="E1906" s="5">
        <f>IF(C1906="","",IF(계산!CI1906="","날짜 확인",IF(계산!CJ1906="","금액 확인","")))</f>
        <v/>
      </c>
    </row>
    <row r="1907">
      <c r="A1907" s="3" t="n"/>
      <c r="C1907" s="4" t="n"/>
      <c r="E1907" s="5">
        <f>IF(C1907="","",IF(계산!CI1907="","날짜 확인",IF(계산!CJ1907="","금액 확인","")))</f>
        <v/>
      </c>
    </row>
    <row r="1908">
      <c r="A1908" s="3" t="n"/>
      <c r="C1908" s="4" t="n"/>
      <c r="E1908" s="5">
        <f>IF(C1908="","",IF(계산!CI1908="","날짜 확인",IF(계산!CJ1908="","금액 확인","")))</f>
        <v/>
      </c>
    </row>
    <row r="1909">
      <c r="A1909" s="3" t="n"/>
      <c r="C1909" s="4" t="n"/>
      <c r="E1909" s="5">
        <f>IF(C1909="","",IF(계산!CI1909="","날짜 확인",IF(계산!CJ1909="","금액 확인","")))</f>
        <v/>
      </c>
    </row>
    <row r="1910">
      <c r="A1910" s="3" t="n"/>
      <c r="C1910" s="4" t="n"/>
      <c r="E1910" s="5">
        <f>IF(C1910="","",IF(계산!CI1910="","날짜 확인",IF(계산!CJ1910="","금액 확인","")))</f>
        <v/>
      </c>
    </row>
    <row r="1911">
      <c r="A1911" s="3" t="n"/>
      <c r="C1911" s="4" t="n"/>
      <c r="E1911" s="5">
        <f>IF(C1911="","",IF(계산!CI1911="","날짜 확인",IF(계산!CJ1911="","금액 확인","")))</f>
        <v/>
      </c>
    </row>
    <row r="1912">
      <c r="A1912" s="3" t="n"/>
      <c r="C1912" s="4" t="n"/>
      <c r="E1912" s="5">
        <f>IF(C1912="","",IF(계산!CI1912="","날짜 확인",IF(계산!CJ1912="","금액 확인","")))</f>
        <v/>
      </c>
    </row>
    <row r="1913">
      <c r="A1913" s="3" t="n"/>
      <c r="C1913" s="4" t="n"/>
      <c r="E1913" s="5">
        <f>IF(C1913="","",IF(계산!CI1913="","날짜 확인",IF(계산!CJ1913="","금액 확인","")))</f>
        <v/>
      </c>
    </row>
    <row r="1914">
      <c r="A1914" s="3" t="n"/>
      <c r="C1914" s="4" t="n"/>
      <c r="E1914" s="5">
        <f>IF(C1914="","",IF(계산!CI1914="","날짜 확인",IF(계산!CJ1914="","금액 확인","")))</f>
        <v/>
      </c>
    </row>
    <row r="1915">
      <c r="A1915" s="3" t="n"/>
      <c r="C1915" s="4" t="n"/>
      <c r="E1915" s="5">
        <f>IF(C1915="","",IF(계산!CI1915="","날짜 확인",IF(계산!CJ1915="","금액 확인","")))</f>
        <v/>
      </c>
    </row>
    <row r="1916">
      <c r="A1916" s="3" t="n"/>
      <c r="C1916" s="4" t="n"/>
      <c r="E1916" s="5">
        <f>IF(C1916="","",IF(계산!CI1916="","날짜 확인",IF(계산!CJ1916="","금액 확인","")))</f>
        <v/>
      </c>
    </row>
    <row r="1917">
      <c r="A1917" s="3" t="n"/>
      <c r="C1917" s="4" t="n"/>
      <c r="E1917" s="5">
        <f>IF(C1917="","",IF(계산!CI1917="","날짜 확인",IF(계산!CJ1917="","금액 확인","")))</f>
        <v/>
      </c>
    </row>
    <row r="1918">
      <c r="A1918" s="3" t="n"/>
      <c r="C1918" s="4" t="n"/>
      <c r="E1918" s="5">
        <f>IF(C1918="","",IF(계산!CI1918="","날짜 확인",IF(계산!CJ1918="","금액 확인","")))</f>
        <v/>
      </c>
    </row>
    <row r="1919">
      <c r="A1919" s="3" t="n"/>
      <c r="C1919" s="4" t="n"/>
      <c r="E1919" s="5">
        <f>IF(C1919="","",IF(계산!CI1919="","날짜 확인",IF(계산!CJ1919="","금액 확인","")))</f>
        <v/>
      </c>
    </row>
    <row r="1920">
      <c r="A1920" s="3" t="n"/>
      <c r="C1920" s="4" t="n"/>
      <c r="E1920" s="5">
        <f>IF(C1920="","",IF(계산!CI1920="","날짜 확인",IF(계산!CJ1920="","금액 확인","")))</f>
        <v/>
      </c>
    </row>
    <row r="1921">
      <c r="A1921" s="3" t="n"/>
      <c r="C1921" s="4" t="n"/>
      <c r="E1921" s="5">
        <f>IF(C1921="","",IF(계산!CI1921="","날짜 확인",IF(계산!CJ1921="","금액 확인","")))</f>
        <v/>
      </c>
    </row>
    <row r="1922">
      <c r="A1922" s="3" t="n"/>
      <c r="C1922" s="4" t="n"/>
      <c r="E1922" s="5">
        <f>IF(C1922="","",IF(계산!CI1922="","날짜 확인",IF(계산!CJ1922="","금액 확인","")))</f>
        <v/>
      </c>
    </row>
    <row r="1923">
      <c r="A1923" s="3" t="n"/>
      <c r="C1923" s="4" t="n"/>
      <c r="E1923" s="5">
        <f>IF(C1923="","",IF(계산!CI1923="","날짜 확인",IF(계산!CJ1923="","금액 확인","")))</f>
        <v/>
      </c>
    </row>
    <row r="1924">
      <c r="A1924" s="3" t="n"/>
      <c r="C1924" s="4" t="n"/>
      <c r="E1924" s="5">
        <f>IF(C1924="","",IF(계산!CI1924="","날짜 확인",IF(계산!CJ1924="","금액 확인","")))</f>
        <v/>
      </c>
    </row>
    <row r="1925">
      <c r="A1925" s="3" t="n"/>
      <c r="C1925" s="4" t="n"/>
      <c r="E1925" s="5">
        <f>IF(C1925="","",IF(계산!CI1925="","날짜 확인",IF(계산!CJ1925="","금액 확인","")))</f>
        <v/>
      </c>
    </row>
    <row r="1926">
      <c r="A1926" s="3" t="n"/>
      <c r="C1926" s="4" t="n"/>
      <c r="E1926" s="5">
        <f>IF(C1926="","",IF(계산!CI1926="","날짜 확인",IF(계산!CJ1926="","금액 확인","")))</f>
        <v/>
      </c>
    </row>
    <row r="1927">
      <c r="A1927" s="3" t="n"/>
      <c r="C1927" s="4" t="n"/>
      <c r="E1927" s="5">
        <f>IF(C1927="","",IF(계산!CI1927="","날짜 확인",IF(계산!CJ1927="","금액 확인","")))</f>
        <v/>
      </c>
    </row>
    <row r="1928">
      <c r="A1928" s="3" t="n"/>
      <c r="C1928" s="4" t="n"/>
      <c r="E1928" s="5">
        <f>IF(C1928="","",IF(계산!CI1928="","날짜 확인",IF(계산!CJ1928="","금액 확인","")))</f>
        <v/>
      </c>
    </row>
    <row r="1929">
      <c r="A1929" s="3" t="n"/>
      <c r="C1929" s="4" t="n"/>
      <c r="E1929" s="5">
        <f>IF(C1929="","",IF(계산!CI1929="","날짜 확인",IF(계산!CJ1929="","금액 확인","")))</f>
        <v/>
      </c>
    </row>
    <row r="1930">
      <c r="A1930" s="3" t="n"/>
      <c r="C1930" s="4" t="n"/>
      <c r="E1930" s="5">
        <f>IF(C1930="","",IF(계산!CI1930="","날짜 확인",IF(계산!CJ1930="","금액 확인","")))</f>
        <v/>
      </c>
    </row>
    <row r="1931">
      <c r="A1931" s="3" t="n"/>
      <c r="C1931" s="4" t="n"/>
      <c r="E1931" s="5">
        <f>IF(C1931="","",IF(계산!CI1931="","날짜 확인",IF(계산!CJ1931="","금액 확인","")))</f>
        <v/>
      </c>
    </row>
    <row r="1932">
      <c r="A1932" s="3" t="n"/>
      <c r="C1932" s="4" t="n"/>
      <c r="E1932" s="5">
        <f>IF(C1932="","",IF(계산!CI1932="","날짜 확인",IF(계산!CJ1932="","금액 확인","")))</f>
        <v/>
      </c>
    </row>
    <row r="1933">
      <c r="A1933" s="3" t="n"/>
      <c r="C1933" s="4" t="n"/>
      <c r="E1933" s="5">
        <f>IF(C1933="","",IF(계산!CI1933="","날짜 확인",IF(계산!CJ1933="","금액 확인","")))</f>
        <v/>
      </c>
    </row>
    <row r="1934">
      <c r="A1934" s="3" t="n"/>
      <c r="C1934" s="4" t="n"/>
      <c r="E1934" s="5">
        <f>IF(C1934="","",IF(계산!CI1934="","날짜 확인",IF(계산!CJ1934="","금액 확인","")))</f>
        <v/>
      </c>
    </row>
    <row r="1935">
      <c r="A1935" s="3" t="n"/>
      <c r="C1935" s="4" t="n"/>
      <c r="E1935" s="5">
        <f>IF(C1935="","",IF(계산!CI1935="","날짜 확인",IF(계산!CJ1935="","금액 확인","")))</f>
        <v/>
      </c>
    </row>
    <row r="1936">
      <c r="A1936" s="3" t="n"/>
      <c r="C1936" s="4" t="n"/>
      <c r="E1936" s="5">
        <f>IF(C1936="","",IF(계산!CI1936="","날짜 확인",IF(계산!CJ1936="","금액 확인","")))</f>
        <v/>
      </c>
    </row>
    <row r="1937">
      <c r="A1937" s="3" t="n"/>
      <c r="C1937" s="4" t="n"/>
      <c r="E1937" s="5">
        <f>IF(C1937="","",IF(계산!CI1937="","날짜 확인",IF(계산!CJ1937="","금액 확인","")))</f>
        <v/>
      </c>
    </row>
    <row r="1938">
      <c r="A1938" s="3" t="n"/>
      <c r="C1938" s="4" t="n"/>
      <c r="E1938" s="5">
        <f>IF(C1938="","",IF(계산!CI1938="","날짜 확인",IF(계산!CJ1938="","금액 확인","")))</f>
        <v/>
      </c>
    </row>
    <row r="1939">
      <c r="A1939" s="3" t="n"/>
      <c r="C1939" s="4" t="n"/>
      <c r="E1939" s="5">
        <f>IF(C1939="","",IF(계산!CI1939="","날짜 확인",IF(계산!CJ1939="","금액 확인","")))</f>
        <v/>
      </c>
    </row>
    <row r="1940">
      <c r="A1940" s="3" t="n"/>
      <c r="C1940" s="4" t="n"/>
      <c r="E1940" s="5">
        <f>IF(C1940="","",IF(계산!CI1940="","날짜 확인",IF(계산!CJ1940="","금액 확인","")))</f>
        <v/>
      </c>
    </row>
    <row r="1941">
      <c r="A1941" s="3" t="n"/>
      <c r="C1941" s="4" t="n"/>
      <c r="E1941" s="5">
        <f>IF(C1941="","",IF(계산!CI1941="","날짜 확인",IF(계산!CJ1941="","금액 확인","")))</f>
        <v/>
      </c>
    </row>
    <row r="1942">
      <c r="A1942" s="3" t="n"/>
      <c r="C1942" s="4" t="n"/>
      <c r="E1942" s="5">
        <f>IF(C1942="","",IF(계산!CI1942="","날짜 확인",IF(계산!CJ1942="","금액 확인","")))</f>
        <v/>
      </c>
    </row>
    <row r="1943">
      <c r="A1943" s="3" t="n"/>
      <c r="C1943" s="4" t="n"/>
      <c r="E1943" s="5">
        <f>IF(C1943="","",IF(계산!CI1943="","날짜 확인",IF(계산!CJ1943="","금액 확인","")))</f>
        <v/>
      </c>
    </row>
    <row r="1944">
      <c r="A1944" s="3" t="n"/>
      <c r="C1944" s="4" t="n"/>
      <c r="E1944" s="5">
        <f>IF(C1944="","",IF(계산!CI1944="","날짜 확인",IF(계산!CJ1944="","금액 확인","")))</f>
        <v/>
      </c>
    </row>
    <row r="1945">
      <c r="A1945" s="3" t="n"/>
      <c r="C1945" s="4" t="n"/>
      <c r="E1945" s="5">
        <f>IF(C1945="","",IF(계산!CI1945="","날짜 확인",IF(계산!CJ1945="","금액 확인","")))</f>
        <v/>
      </c>
    </row>
    <row r="1946">
      <c r="A1946" s="3" t="n"/>
      <c r="C1946" s="4" t="n"/>
      <c r="E1946" s="5">
        <f>IF(C1946="","",IF(계산!CI1946="","날짜 확인",IF(계산!CJ1946="","금액 확인","")))</f>
        <v/>
      </c>
    </row>
    <row r="1947">
      <c r="A1947" s="3" t="n"/>
      <c r="C1947" s="4" t="n"/>
      <c r="E1947" s="5">
        <f>IF(C1947="","",IF(계산!CI1947="","날짜 확인",IF(계산!CJ1947="","금액 확인","")))</f>
        <v/>
      </c>
    </row>
    <row r="1948">
      <c r="A1948" s="3" t="n"/>
      <c r="C1948" s="4" t="n"/>
      <c r="E1948" s="5">
        <f>IF(C1948="","",IF(계산!CI1948="","날짜 확인",IF(계산!CJ1948="","금액 확인","")))</f>
        <v/>
      </c>
    </row>
    <row r="1949">
      <c r="A1949" s="3" t="n"/>
      <c r="C1949" s="4" t="n"/>
      <c r="E1949" s="5">
        <f>IF(C1949="","",IF(계산!CI1949="","날짜 확인",IF(계산!CJ1949="","금액 확인","")))</f>
        <v/>
      </c>
    </row>
    <row r="1950">
      <c r="A1950" s="3" t="n"/>
      <c r="C1950" s="4" t="n"/>
      <c r="E1950" s="5">
        <f>IF(C1950="","",IF(계산!CI1950="","날짜 확인",IF(계산!CJ1950="","금액 확인","")))</f>
        <v/>
      </c>
    </row>
    <row r="1951">
      <c r="A1951" s="3" t="n"/>
      <c r="C1951" s="4" t="n"/>
      <c r="E1951" s="5">
        <f>IF(C1951="","",IF(계산!CI1951="","날짜 확인",IF(계산!CJ1951="","금액 확인","")))</f>
        <v/>
      </c>
    </row>
    <row r="1952">
      <c r="A1952" s="3" t="n"/>
      <c r="C1952" s="4" t="n"/>
      <c r="E1952" s="5">
        <f>IF(C1952="","",IF(계산!CI1952="","날짜 확인",IF(계산!CJ1952="","금액 확인","")))</f>
        <v/>
      </c>
    </row>
    <row r="1953">
      <c r="A1953" s="3" t="n"/>
      <c r="C1953" s="4" t="n"/>
      <c r="E1953" s="5">
        <f>IF(C1953="","",IF(계산!CI1953="","날짜 확인",IF(계산!CJ1953="","금액 확인","")))</f>
        <v/>
      </c>
    </row>
    <row r="1954">
      <c r="A1954" s="3" t="n"/>
      <c r="C1954" s="4" t="n"/>
      <c r="E1954" s="5">
        <f>IF(C1954="","",IF(계산!CI1954="","날짜 확인",IF(계산!CJ1954="","금액 확인","")))</f>
        <v/>
      </c>
    </row>
    <row r="1955">
      <c r="A1955" s="3" t="n"/>
      <c r="C1955" s="4" t="n"/>
      <c r="E1955" s="5">
        <f>IF(C1955="","",IF(계산!CI1955="","날짜 확인",IF(계산!CJ1955="","금액 확인","")))</f>
        <v/>
      </c>
    </row>
    <row r="1956">
      <c r="A1956" s="3" t="n"/>
      <c r="C1956" s="4" t="n"/>
      <c r="E1956" s="5">
        <f>IF(C1956="","",IF(계산!CI1956="","날짜 확인",IF(계산!CJ1956="","금액 확인","")))</f>
        <v/>
      </c>
    </row>
    <row r="1957">
      <c r="A1957" s="3" t="n"/>
      <c r="C1957" s="4" t="n"/>
      <c r="E1957" s="5">
        <f>IF(C1957="","",IF(계산!CI1957="","날짜 확인",IF(계산!CJ1957="","금액 확인","")))</f>
        <v/>
      </c>
    </row>
    <row r="1958">
      <c r="A1958" s="3" t="n"/>
      <c r="C1958" s="4" t="n"/>
      <c r="E1958" s="5">
        <f>IF(C1958="","",IF(계산!CI1958="","날짜 확인",IF(계산!CJ1958="","금액 확인","")))</f>
        <v/>
      </c>
    </row>
    <row r="1959">
      <c r="A1959" s="3" t="n"/>
      <c r="C1959" s="4" t="n"/>
      <c r="E1959" s="5">
        <f>IF(C1959="","",IF(계산!CI1959="","날짜 확인",IF(계산!CJ1959="","금액 확인","")))</f>
        <v/>
      </c>
    </row>
    <row r="1960">
      <c r="A1960" s="3" t="n"/>
      <c r="C1960" s="4" t="n"/>
      <c r="E1960" s="5">
        <f>IF(C1960="","",IF(계산!CI1960="","날짜 확인",IF(계산!CJ1960="","금액 확인","")))</f>
        <v/>
      </c>
    </row>
    <row r="1961">
      <c r="A1961" s="3" t="n"/>
      <c r="C1961" s="4" t="n"/>
      <c r="E1961" s="5">
        <f>IF(C1961="","",IF(계산!CI1961="","날짜 확인",IF(계산!CJ1961="","금액 확인","")))</f>
        <v/>
      </c>
    </row>
    <row r="1962">
      <c r="A1962" s="3" t="n"/>
      <c r="C1962" s="4" t="n"/>
      <c r="E1962" s="5">
        <f>IF(C1962="","",IF(계산!CI1962="","날짜 확인",IF(계산!CJ1962="","금액 확인","")))</f>
        <v/>
      </c>
    </row>
    <row r="1963">
      <c r="A1963" s="3" t="n"/>
      <c r="C1963" s="4" t="n"/>
      <c r="E1963" s="5">
        <f>IF(C1963="","",IF(계산!CI1963="","날짜 확인",IF(계산!CJ1963="","금액 확인","")))</f>
        <v/>
      </c>
    </row>
    <row r="1964">
      <c r="A1964" s="3" t="n"/>
      <c r="C1964" s="4" t="n"/>
      <c r="E1964" s="5">
        <f>IF(C1964="","",IF(계산!CI1964="","날짜 확인",IF(계산!CJ1964="","금액 확인","")))</f>
        <v/>
      </c>
    </row>
    <row r="1965">
      <c r="A1965" s="3" t="n"/>
      <c r="C1965" s="4" t="n"/>
      <c r="E1965" s="5">
        <f>IF(C1965="","",IF(계산!CI1965="","날짜 확인",IF(계산!CJ1965="","금액 확인","")))</f>
        <v/>
      </c>
    </row>
    <row r="1966">
      <c r="A1966" s="3" t="n"/>
      <c r="C1966" s="4" t="n"/>
      <c r="E1966" s="5">
        <f>IF(C1966="","",IF(계산!CI1966="","날짜 확인",IF(계산!CJ1966="","금액 확인","")))</f>
        <v/>
      </c>
    </row>
    <row r="1967">
      <c r="A1967" s="3" t="n"/>
      <c r="C1967" s="4" t="n"/>
      <c r="E1967" s="5">
        <f>IF(C1967="","",IF(계산!CI1967="","날짜 확인",IF(계산!CJ1967="","금액 확인","")))</f>
        <v/>
      </c>
    </row>
    <row r="1968">
      <c r="A1968" s="3" t="n"/>
      <c r="C1968" s="4" t="n"/>
      <c r="E1968" s="5">
        <f>IF(C1968="","",IF(계산!CI1968="","날짜 확인",IF(계산!CJ1968="","금액 확인","")))</f>
        <v/>
      </c>
    </row>
    <row r="1969">
      <c r="A1969" s="3" t="n"/>
      <c r="C1969" s="4" t="n"/>
      <c r="E1969" s="5">
        <f>IF(C1969="","",IF(계산!CI1969="","날짜 확인",IF(계산!CJ1969="","금액 확인","")))</f>
        <v/>
      </c>
    </row>
    <row r="1970">
      <c r="A1970" s="3" t="n"/>
      <c r="C1970" s="4" t="n"/>
      <c r="E1970" s="5">
        <f>IF(C1970="","",IF(계산!CI1970="","날짜 확인",IF(계산!CJ1970="","금액 확인","")))</f>
        <v/>
      </c>
    </row>
    <row r="1971">
      <c r="A1971" s="3" t="n"/>
      <c r="C1971" s="4" t="n"/>
      <c r="E1971" s="5">
        <f>IF(C1971="","",IF(계산!CI1971="","날짜 확인",IF(계산!CJ1971="","금액 확인","")))</f>
        <v/>
      </c>
    </row>
    <row r="1972">
      <c r="A1972" s="3" t="n"/>
      <c r="C1972" s="4" t="n"/>
      <c r="E1972" s="5">
        <f>IF(C1972="","",IF(계산!CI1972="","날짜 확인",IF(계산!CJ1972="","금액 확인","")))</f>
        <v/>
      </c>
    </row>
    <row r="1973">
      <c r="A1973" s="3" t="n"/>
      <c r="C1973" s="4" t="n"/>
      <c r="E1973" s="5">
        <f>IF(C1973="","",IF(계산!CI1973="","날짜 확인",IF(계산!CJ1973="","금액 확인","")))</f>
        <v/>
      </c>
    </row>
    <row r="1974">
      <c r="A1974" s="3" t="n"/>
      <c r="C1974" s="4" t="n"/>
      <c r="E1974" s="5">
        <f>IF(C1974="","",IF(계산!CI1974="","날짜 확인",IF(계산!CJ1974="","금액 확인","")))</f>
        <v/>
      </c>
    </row>
    <row r="1975">
      <c r="A1975" s="3" t="n"/>
      <c r="C1975" s="4" t="n"/>
      <c r="E1975" s="5">
        <f>IF(C1975="","",IF(계산!CI1975="","날짜 확인",IF(계산!CJ1975="","금액 확인","")))</f>
        <v/>
      </c>
    </row>
    <row r="1976">
      <c r="A1976" s="3" t="n"/>
      <c r="C1976" s="4" t="n"/>
      <c r="E1976" s="5">
        <f>IF(C1976="","",IF(계산!CI1976="","날짜 확인",IF(계산!CJ1976="","금액 확인","")))</f>
        <v/>
      </c>
    </row>
    <row r="1977">
      <c r="A1977" s="3" t="n"/>
      <c r="C1977" s="4" t="n"/>
      <c r="E1977" s="5">
        <f>IF(C1977="","",IF(계산!CI1977="","날짜 확인",IF(계산!CJ1977="","금액 확인","")))</f>
        <v/>
      </c>
    </row>
    <row r="1978">
      <c r="A1978" s="3" t="n"/>
      <c r="C1978" s="4" t="n"/>
      <c r="E1978" s="5">
        <f>IF(C1978="","",IF(계산!CI1978="","날짜 확인",IF(계산!CJ1978="","금액 확인","")))</f>
        <v/>
      </c>
    </row>
    <row r="1979">
      <c r="A1979" s="3" t="n"/>
      <c r="C1979" s="4" t="n"/>
      <c r="E1979" s="5">
        <f>IF(C1979="","",IF(계산!CI1979="","날짜 확인",IF(계산!CJ1979="","금액 확인","")))</f>
        <v/>
      </c>
    </row>
    <row r="1980">
      <c r="A1980" s="3" t="n"/>
      <c r="C1980" s="4" t="n"/>
      <c r="E1980" s="5">
        <f>IF(C1980="","",IF(계산!CI1980="","날짜 확인",IF(계산!CJ1980="","금액 확인","")))</f>
        <v/>
      </c>
    </row>
    <row r="1981">
      <c r="A1981" s="3" t="n"/>
      <c r="C1981" s="4" t="n"/>
      <c r="E1981" s="5">
        <f>IF(C1981="","",IF(계산!CI1981="","날짜 확인",IF(계산!CJ1981="","금액 확인","")))</f>
        <v/>
      </c>
    </row>
    <row r="1982">
      <c r="A1982" s="3" t="n"/>
      <c r="C1982" s="4" t="n"/>
      <c r="E1982" s="5">
        <f>IF(C1982="","",IF(계산!CI1982="","날짜 확인",IF(계산!CJ1982="","금액 확인","")))</f>
        <v/>
      </c>
    </row>
    <row r="1983">
      <c r="A1983" s="3" t="n"/>
      <c r="C1983" s="4" t="n"/>
      <c r="E1983" s="5">
        <f>IF(C1983="","",IF(계산!CI1983="","날짜 확인",IF(계산!CJ1983="","금액 확인","")))</f>
        <v/>
      </c>
    </row>
    <row r="1984">
      <c r="A1984" s="3" t="n"/>
      <c r="C1984" s="4" t="n"/>
      <c r="E1984" s="5">
        <f>IF(C1984="","",IF(계산!CI1984="","날짜 확인",IF(계산!CJ1984="","금액 확인","")))</f>
        <v/>
      </c>
    </row>
    <row r="1985">
      <c r="A1985" s="3" t="n"/>
      <c r="C1985" s="4" t="n"/>
      <c r="E1985" s="5">
        <f>IF(C1985="","",IF(계산!CI1985="","날짜 확인",IF(계산!CJ1985="","금액 확인","")))</f>
        <v/>
      </c>
    </row>
    <row r="1986">
      <c r="A1986" s="3" t="n"/>
      <c r="C1986" s="4" t="n"/>
      <c r="E1986" s="5">
        <f>IF(C1986="","",IF(계산!CI1986="","날짜 확인",IF(계산!CJ1986="","금액 확인","")))</f>
        <v/>
      </c>
    </row>
    <row r="1987">
      <c r="A1987" s="3" t="n"/>
      <c r="C1987" s="4" t="n"/>
      <c r="E1987" s="5">
        <f>IF(C1987="","",IF(계산!CI1987="","날짜 확인",IF(계산!CJ1987="","금액 확인","")))</f>
        <v/>
      </c>
    </row>
    <row r="1988">
      <c r="A1988" s="3" t="n"/>
      <c r="C1988" s="4" t="n"/>
      <c r="E1988" s="5">
        <f>IF(C1988="","",IF(계산!CI1988="","날짜 확인",IF(계산!CJ1988="","금액 확인","")))</f>
        <v/>
      </c>
    </row>
    <row r="1989">
      <c r="A1989" s="3" t="n"/>
      <c r="C1989" s="4" t="n"/>
      <c r="E1989" s="5">
        <f>IF(C1989="","",IF(계산!CI1989="","날짜 확인",IF(계산!CJ1989="","금액 확인","")))</f>
        <v/>
      </c>
    </row>
    <row r="1990">
      <c r="A1990" s="3" t="n"/>
      <c r="C1990" s="4" t="n"/>
      <c r="E1990" s="5">
        <f>IF(C1990="","",IF(계산!CI1990="","날짜 확인",IF(계산!CJ1990="","금액 확인","")))</f>
        <v/>
      </c>
    </row>
    <row r="1991">
      <c r="A1991" s="3" t="n"/>
      <c r="C1991" s="4" t="n"/>
      <c r="E1991" s="5">
        <f>IF(C1991="","",IF(계산!CI1991="","날짜 확인",IF(계산!CJ1991="","금액 확인","")))</f>
        <v/>
      </c>
    </row>
    <row r="1992">
      <c r="A1992" s="3" t="n"/>
      <c r="C1992" s="4" t="n"/>
      <c r="E1992" s="5">
        <f>IF(C1992="","",IF(계산!CI1992="","날짜 확인",IF(계산!CJ1992="","금액 확인","")))</f>
        <v/>
      </c>
    </row>
    <row r="1993">
      <c r="A1993" s="3" t="n"/>
      <c r="C1993" s="4" t="n"/>
      <c r="E1993" s="5">
        <f>IF(C1993="","",IF(계산!CI1993="","날짜 확인",IF(계산!CJ1993="","금액 확인","")))</f>
        <v/>
      </c>
    </row>
    <row r="1994">
      <c r="A1994" s="3" t="n"/>
      <c r="C1994" s="4" t="n"/>
      <c r="E1994" s="5">
        <f>IF(C1994="","",IF(계산!CI1994="","날짜 확인",IF(계산!CJ1994="","금액 확인","")))</f>
        <v/>
      </c>
    </row>
    <row r="1995">
      <c r="A1995" s="3" t="n"/>
      <c r="C1995" s="4" t="n"/>
      <c r="E1995" s="5">
        <f>IF(C1995="","",IF(계산!CI1995="","날짜 확인",IF(계산!CJ1995="","금액 확인","")))</f>
        <v/>
      </c>
    </row>
    <row r="1996">
      <c r="A1996" s="3" t="n"/>
      <c r="C1996" s="4" t="n"/>
      <c r="E1996" s="5">
        <f>IF(C1996="","",IF(계산!CI1996="","날짜 확인",IF(계산!CJ1996="","금액 확인","")))</f>
        <v/>
      </c>
    </row>
    <row r="1997">
      <c r="A1997" s="3" t="n"/>
      <c r="C1997" s="4" t="n"/>
      <c r="E1997" s="5">
        <f>IF(C1997="","",IF(계산!CI1997="","날짜 확인",IF(계산!CJ1997="","금액 확인","")))</f>
        <v/>
      </c>
    </row>
    <row r="1998">
      <c r="A1998" s="3" t="n"/>
      <c r="C1998" s="4" t="n"/>
      <c r="E1998" s="5">
        <f>IF(C1998="","",IF(계산!CI1998="","날짜 확인",IF(계산!CJ1998="","금액 확인","")))</f>
        <v/>
      </c>
    </row>
    <row r="1999">
      <c r="A1999" s="3" t="n"/>
      <c r="C1999" s="4" t="n"/>
      <c r="E1999" s="5">
        <f>IF(C1999="","",IF(계산!CI1999="","날짜 확인",IF(계산!CJ1999="","금액 확인","")))</f>
        <v/>
      </c>
    </row>
    <row r="2000">
      <c r="A2000" s="3" t="n"/>
      <c r="C2000" s="4" t="n"/>
      <c r="E2000" s="5">
        <f>IF(C2000="","",IF(계산!CI2000="","날짜 확인",IF(계산!CJ2000="","금액 확인","")))</f>
        <v/>
      </c>
    </row>
    <row r="2001">
      <c r="A2001" s="3" t="n"/>
      <c r="C2001" s="4" t="n"/>
      <c r="E2001" s="5">
        <f>IF(C2001="","",IF(계산!CI2001="","날짜 확인",IF(계산!CJ2001="","금액 확인","")))</f>
        <v/>
      </c>
    </row>
    <row r="2002">
      <c r="A2002" s="3" t="n"/>
      <c r="C2002" s="4" t="n"/>
      <c r="E2002" s="5">
        <f>IF(C2002="","",IF(계산!CI2002="","날짜 확인",IF(계산!CJ2002="","금액 확인","")))</f>
        <v/>
      </c>
    </row>
    <row r="2003">
      <c r="A2003" s="3" t="n"/>
      <c r="C2003" s="4" t="n"/>
      <c r="E2003" s="5">
        <f>IF(C2003="","",IF(계산!CI2003="","날짜 확인",IF(계산!CJ2003="","금액 확인","")))</f>
        <v/>
      </c>
    </row>
    <row r="2004">
      <c r="A2004" s="3" t="n"/>
      <c r="C2004" s="4" t="n"/>
      <c r="E2004" s="5">
        <f>IF(C2004="","",IF(계산!CI2004="","날짜 확인",IF(계산!CJ2004="","금액 확인","")))</f>
        <v/>
      </c>
    </row>
    <row r="2005">
      <c r="A2005" s="3" t="n"/>
      <c r="C2005" s="4" t="n"/>
      <c r="E2005" s="5">
        <f>IF(C2005="","",IF(계산!CI2005="","날짜 확인",IF(계산!CJ2005="","금액 확인","")))</f>
        <v/>
      </c>
    </row>
    <row r="2006">
      <c r="A2006" s="3" t="n"/>
      <c r="C2006" s="4" t="n"/>
      <c r="E2006" s="5">
        <f>IF(C2006="","",IF(계산!CI2006="","날짜 확인",IF(계산!CJ2006="","금액 확인","")))</f>
        <v/>
      </c>
    </row>
    <row r="2007">
      <c r="A2007" s="3" t="n"/>
      <c r="C2007" s="4" t="n"/>
      <c r="E2007" s="5">
        <f>IF(C2007="","",IF(계산!CI2007="","날짜 확인",IF(계산!CJ2007="","금액 확인","")))</f>
        <v/>
      </c>
    </row>
    <row r="2008">
      <c r="A2008" s="3" t="n"/>
      <c r="C2008" s="4" t="n"/>
      <c r="E2008" s="5">
        <f>IF(C2008="","",IF(계산!CI2008="","날짜 확인",IF(계산!CJ2008="","금액 확인","")))</f>
        <v/>
      </c>
    </row>
    <row r="2009">
      <c r="A2009" s="3" t="n"/>
      <c r="C2009" s="4" t="n"/>
      <c r="E2009" s="5">
        <f>IF(C2009="","",IF(계산!CI2009="","날짜 확인",IF(계산!CJ2009="","금액 확인","")))</f>
        <v/>
      </c>
    </row>
    <row r="2010">
      <c r="A2010" s="3" t="n"/>
      <c r="C2010" s="4" t="n"/>
      <c r="E2010" s="5">
        <f>IF(C2010="","",IF(계산!CI2010="","날짜 확인",IF(계산!CJ2010="","금액 확인","")))</f>
        <v/>
      </c>
    </row>
    <row r="2011">
      <c r="A2011" s="3" t="n"/>
      <c r="C2011" s="4" t="n"/>
      <c r="E2011" s="5">
        <f>IF(C2011="","",IF(계산!CI2011="","날짜 확인",IF(계산!CJ2011="","금액 확인","")))</f>
        <v/>
      </c>
    </row>
    <row r="2012">
      <c r="A2012" s="3" t="n"/>
      <c r="C2012" s="4" t="n"/>
      <c r="E2012" s="5">
        <f>IF(C2012="","",IF(계산!CI2012="","날짜 확인",IF(계산!CJ2012="","금액 확인","")))</f>
        <v/>
      </c>
    </row>
    <row r="2013">
      <c r="A2013" s="3" t="n"/>
      <c r="C2013" s="4" t="n"/>
      <c r="E2013" s="5">
        <f>IF(C2013="","",IF(계산!CI2013="","날짜 확인",IF(계산!CJ2013="","금액 확인","")))</f>
        <v/>
      </c>
    </row>
    <row r="2014">
      <c r="A2014" s="3" t="n"/>
      <c r="C2014" s="4" t="n"/>
      <c r="E2014" s="5">
        <f>IF(C2014="","",IF(계산!CI2014="","날짜 확인",IF(계산!CJ2014="","금액 확인","")))</f>
        <v/>
      </c>
    </row>
    <row r="2015">
      <c r="A2015" s="3" t="n"/>
      <c r="C2015" s="4" t="n"/>
      <c r="E2015" s="5">
        <f>IF(C2015="","",IF(계산!CI2015="","날짜 확인",IF(계산!CJ2015="","금액 확인","")))</f>
        <v/>
      </c>
    </row>
    <row r="2016">
      <c r="A2016" s="3" t="n"/>
      <c r="C2016" s="4" t="n"/>
      <c r="E2016" s="5">
        <f>IF(C2016="","",IF(계산!CI2016="","날짜 확인",IF(계산!CJ2016="","금액 확인","")))</f>
        <v/>
      </c>
    </row>
    <row r="2017">
      <c r="A2017" s="3" t="n"/>
      <c r="C2017" s="4" t="n"/>
      <c r="E2017" s="5">
        <f>IF(C2017="","",IF(계산!CI2017="","날짜 확인",IF(계산!CJ2017="","금액 확인","")))</f>
        <v/>
      </c>
    </row>
    <row r="2018">
      <c r="A2018" s="3" t="n"/>
      <c r="C2018" s="4" t="n"/>
      <c r="E2018" s="5">
        <f>IF(C2018="","",IF(계산!CI2018="","날짜 확인",IF(계산!CJ2018="","금액 확인","")))</f>
        <v/>
      </c>
    </row>
    <row r="2019">
      <c r="A2019" s="3" t="n"/>
      <c r="C2019" s="4" t="n"/>
      <c r="E2019" s="5">
        <f>IF(C2019="","",IF(계산!CI2019="","날짜 확인",IF(계산!CJ2019="","금액 확인","")))</f>
        <v/>
      </c>
    </row>
    <row r="2020">
      <c r="A2020" s="3" t="n"/>
      <c r="C2020" s="4" t="n"/>
      <c r="E2020" s="5">
        <f>IF(C2020="","",IF(계산!CI2020="","날짜 확인",IF(계산!CJ2020="","금액 확인","")))</f>
        <v/>
      </c>
    </row>
    <row r="2021">
      <c r="A2021" s="3" t="n"/>
      <c r="C2021" s="4" t="n"/>
      <c r="E2021" s="5">
        <f>IF(C2021="","",IF(계산!CI2021="","날짜 확인",IF(계산!CJ2021="","금액 확인","")))</f>
        <v/>
      </c>
    </row>
    <row r="2022">
      <c r="A2022" s="3" t="n"/>
      <c r="C2022" s="4" t="n"/>
      <c r="E2022" s="5">
        <f>IF(C2022="","",IF(계산!CI2022="","날짜 확인",IF(계산!CJ2022="","금액 확인","")))</f>
        <v/>
      </c>
    </row>
    <row r="2023">
      <c r="A2023" s="3" t="n"/>
      <c r="C2023" s="4" t="n"/>
      <c r="E2023" s="5">
        <f>IF(C2023="","",IF(계산!CI2023="","날짜 확인",IF(계산!CJ2023="","금액 확인","")))</f>
        <v/>
      </c>
    </row>
    <row r="2024">
      <c r="A2024" s="3" t="n"/>
      <c r="C2024" s="4" t="n"/>
      <c r="E2024" s="5">
        <f>IF(C2024="","",IF(계산!CI2024="","날짜 확인",IF(계산!CJ2024="","금액 확인","")))</f>
        <v/>
      </c>
    </row>
    <row r="2025">
      <c r="A2025" s="3" t="n"/>
      <c r="C2025" s="4" t="n"/>
      <c r="E2025" s="5">
        <f>IF(C2025="","",IF(계산!CI2025="","날짜 확인",IF(계산!CJ2025="","금액 확인","")))</f>
        <v/>
      </c>
    </row>
    <row r="2026">
      <c r="A2026" s="3" t="n"/>
      <c r="C2026" s="4" t="n"/>
      <c r="E2026" s="5">
        <f>IF(C2026="","",IF(계산!CI2026="","날짜 확인",IF(계산!CJ2026="","금액 확인","")))</f>
        <v/>
      </c>
    </row>
    <row r="2027">
      <c r="A2027" s="3" t="n"/>
      <c r="C2027" s="4" t="n"/>
      <c r="E2027" s="5">
        <f>IF(C2027="","",IF(계산!CI2027="","날짜 확인",IF(계산!CJ2027="","금액 확인","")))</f>
        <v/>
      </c>
    </row>
    <row r="2028">
      <c r="A2028" s="3" t="n"/>
      <c r="C2028" s="4" t="n"/>
      <c r="E2028" s="5">
        <f>IF(C2028="","",IF(계산!CI2028="","날짜 확인",IF(계산!CJ2028="","금액 확인","")))</f>
        <v/>
      </c>
    </row>
    <row r="2029">
      <c r="A2029" s="3" t="n"/>
      <c r="C2029" s="4" t="n"/>
      <c r="E2029" s="5">
        <f>IF(C2029="","",IF(계산!CI2029="","날짜 확인",IF(계산!CJ2029="","금액 확인","")))</f>
        <v/>
      </c>
    </row>
    <row r="2030">
      <c r="A2030" s="3" t="n"/>
      <c r="C2030" s="4" t="n"/>
      <c r="E2030" s="5">
        <f>IF(C2030="","",IF(계산!CI2030="","날짜 확인",IF(계산!CJ2030="","금액 확인","")))</f>
        <v/>
      </c>
    </row>
    <row r="2031">
      <c r="A2031" s="3" t="n"/>
      <c r="C2031" s="4" t="n"/>
      <c r="E2031" s="5">
        <f>IF(C2031="","",IF(계산!CI2031="","날짜 확인",IF(계산!CJ2031="","금액 확인","")))</f>
        <v/>
      </c>
    </row>
    <row r="2032">
      <c r="A2032" s="3" t="n"/>
      <c r="C2032" s="4" t="n"/>
      <c r="E2032" s="5">
        <f>IF(C2032="","",IF(계산!CI2032="","날짜 확인",IF(계산!CJ2032="","금액 확인","")))</f>
        <v/>
      </c>
    </row>
    <row r="2033">
      <c r="A2033" s="3" t="n"/>
      <c r="C2033" s="4" t="n"/>
      <c r="E2033" s="5">
        <f>IF(C2033="","",IF(계산!CI2033="","날짜 확인",IF(계산!CJ2033="","금액 확인","")))</f>
        <v/>
      </c>
    </row>
    <row r="2034">
      <c r="A2034" s="3" t="n"/>
      <c r="C2034" s="4" t="n"/>
      <c r="E2034" s="5">
        <f>IF(C2034="","",IF(계산!CI2034="","날짜 확인",IF(계산!CJ2034="","금액 확인","")))</f>
        <v/>
      </c>
    </row>
    <row r="2035">
      <c r="A2035" s="3" t="n"/>
      <c r="C2035" s="4" t="n"/>
      <c r="E2035" s="5">
        <f>IF(C2035="","",IF(계산!CI2035="","날짜 확인",IF(계산!CJ2035="","금액 확인","")))</f>
        <v/>
      </c>
    </row>
    <row r="2036">
      <c r="A2036" s="3" t="n"/>
      <c r="C2036" s="4" t="n"/>
      <c r="E2036" s="5">
        <f>IF(C2036="","",IF(계산!CI2036="","날짜 확인",IF(계산!CJ2036="","금액 확인","")))</f>
        <v/>
      </c>
    </row>
    <row r="2037">
      <c r="A2037" s="3" t="n"/>
      <c r="C2037" s="4" t="n"/>
      <c r="E2037" s="5">
        <f>IF(C2037="","",IF(계산!CI2037="","날짜 확인",IF(계산!CJ2037="","금액 확인","")))</f>
        <v/>
      </c>
    </row>
    <row r="2038">
      <c r="A2038" s="3" t="n"/>
      <c r="C2038" s="4" t="n"/>
      <c r="E2038" s="5">
        <f>IF(C2038="","",IF(계산!CI2038="","날짜 확인",IF(계산!CJ2038="","금액 확인","")))</f>
        <v/>
      </c>
    </row>
    <row r="2039">
      <c r="A2039" s="3" t="n"/>
      <c r="C2039" s="4" t="n"/>
      <c r="E2039" s="5">
        <f>IF(C2039="","",IF(계산!CI2039="","날짜 확인",IF(계산!CJ2039="","금액 확인","")))</f>
        <v/>
      </c>
    </row>
    <row r="2040">
      <c r="A2040" s="3" t="n"/>
      <c r="C2040" s="4" t="n"/>
      <c r="E2040" s="5">
        <f>IF(C2040="","",IF(계산!CI2040="","날짜 확인",IF(계산!CJ2040="","금액 확인","")))</f>
        <v/>
      </c>
    </row>
    <row r="2041">
      <c r="A2041" s="3" t="n"/>
      <c r="C2041" s="4" t="n"/>
      <c r="E2041" s="5">
        <f>IF(C2041="","",IF(계산!CI2041="","날짜 확인",IF(계산!CJ2041="","금액 확인","")))</f>
        <v/>
      </c>
    </row>
    <row r="2042">
      <c r="A2042" s="3" t="n"/>
      <c r="C2042" s="4" t="n"/>
      <c r="E2042" s="5">
        <f>IF(C2042="","",IF(계산!CI2042="","날짜 확인",IF(계산!CJ2042="","금액 확인","")))</f>
        <v/>
      </c>
    </row>
    <row r="2043">
      <c r="A2043" s="3" t="n"/>
      <c r="C2043" s="4" t="n"/>
      <c r="E2043" s="5">
        <f>IF(C2043="","",IF(계산!CI2043="","날짜 확인",IF(계산!CJ2043="","금액 확인","")))</f>
        <v/>
      </c>
    </row>
    <row r="2044">
      <c r="A2044" s="3" t="n"/>
      <c r="C2044" s="4" t="n"/>
      <c r="E2044" s="5">
        <f>IF(C2044="","",IF(계산!CI2044="","날짜 확인",IF(계산!CJ2044="","금액 확인","")))</f>
        <v/>
      </c>
    </row>
    <row r="2045">
      <c r="A2045" s="3" t="n"/>
      <c r="C2045" s="4" t="n"/>
      <c r="E2045" s="5">
        <f>IF(C2045="","",IF(계산!CI2045="","날짜 확인",IF(계산!CJ2045="","금액 확인","")))</f>
        <v/>
      </c>
    </row>
    <row r="2046">
      <c r="A2046" s="3" t="n"/>
      <c r="C2046" s="4" t="n"/>
      <c r="E2046" s="5">
        <f>IF(C2046="","",IF(계산!CI2046="","날짜 확인",IF(계산!CJ2046="","금액 확인","")))</f>
        <v/>
      </c>
    </row>
    <row r="2047">
      <c r="A2047" s="3" t="n"/>
      <c r="C2047" s="4" t="n"/>
      <c r="E2047" s="5">
        <f>IF(C2047="","",IF(계산!CI2047="","날짜 확인",IF(계산!CJ2047="","금액 확인","")))</f>
        <v/>
      </c>
    </row>
    <row r="2048">
      <c r="A2048" s="3" t="n"/>
      <c r="C2048" s="4" t="n"/>
      <c r="E2048" s="5">
        <f>IF(C2048="","",IF(계산!CI2048="","날짜 확인",IF(계산!CJ2048="","금액 확인","")))</f>
        <v/>
      </c>
    </row>
    <row r="2049">
      <c r="A2049" s="3" t="n"/>
      <c r="C2049" s="4" t="n"/>
      <c r="E2049" s="5">
        <f>IF(C2049="","",IF(계산!CI2049="","날짜 확인",IF(계산!CJ2049="","금액 확인","")))</f>
        <v/>
      </c>
    </row>
    <row r="2050">
      <c r="A2050" s="3" t="n"/>
      <c r="C2050" s="4" t="n"/>
      <c r="E2050" s="5">
        <f>IF(C2050="","",IF(계산!CI2050="","날짜 확인",IF(계산!CJ2050="","금액 확인","")))</f>
        <v/>
      </c>
    </row>
    <row r="2051">
      <c r="A2051" s="3" t="n"/>
      <c r="C2051" s="4" t="n"/>
      <c r="E2051" s="5">
        <f>IF(C2051="","",IF(계산!CI2051="","날짜 확인",IF(계산!CJ2051="","금액 확인","")))</f>
        <v/>
      </c>
    </row>
    <row r="2052">
      <c r="A2052" s="3" t="n"/>
      <c r="C2052" s="4" t="n"/>
      <c r="E2052" s="5">
        <f>IF(C2052="","",IF(계산!CI2052="","날짜 확인",IF(계산!CJ2052="","금액 확인","")))</f>
        <v/>
      </c>
    </row>
    <row r="2053">
      <c r="A2053" s="3" t="n"/>
      <c r="C2053" s="4" t="n"/>
      <c r="E2053" s="5">
        <f>IF(C2053="","",IF(계산!CI2053="","날짜 확인",IF(계산!CJ2053="","금액 확인","")))</f>
        <v/>
      </c>
    </row>
    <row r="2054">
      <c r="A2054" s="3" t="n"/>
      <c r="C2054" s="4" t="n"/>
      <c r="E2054" s="5">
        <f>IF(C2054="","",IF(계산!CI2054="","날짜 확인",IF(계산!CJ2054="","금액 확인","")))</f>
        <v/>
      </c>
    </row>
    <row r="2055">
      <c r="A2055" s="3" t="n"/>
      <c r="C2055" s="4" t="n"/>
      <c r="E2055" s="5">
        <f>IF(C2055="","",IF(계산!CI2055="","날짜 확인",IF(계산!CJ2055="","금액 확인","")))</f>
        <v/>
      </c>
    </row>
    <row r="2056">
      <c r="A2056" s="3" t="n"/>
      <c r="C2056" s="4" t="n"/>
      <c r="E2056" s="5">
        <f>IF(C2056="","",IF(계산!CI2056="","날짜 확인",IF(계산!CJ2056="","금액 확인","")))</f>
        <v/>
      </c>
    </row>
    <row r="2057">
      <c r="A2057" s="3" t="n"/>
      <c r="C2057" s="4" t="n"/>
      <c r="E2057" s="5">
        <f>IF(C2057="","",IF(계산!CI2057="","날짜 확인",IF(계산!CJ2057="","금액 확인","")))</f>
        <v/>
      </c>
    </row>
    <row r="2058">
      <c r="A2058" s="3" t="n"/>
      <c r="C2058" s="4" t="n"/>
      <c r="E2058" s="5">
        <f>IF(C2058="","",IF(계산!CI2058="","날짜 확인",IF(계산!CJ2058="","금액 확인","")))</f>
        <v/>
      </c>
    </row>
    <row r="2059">
      <c r="A2059" s="3" t="n"/>
      <c r="C2059" s="4" t="n"/>
      <c r="E2059" s="5">
        <f>IF(C2059="","",IF(계산!CI2059="","날짜 확인",IF(계산!CJ2059="","금액 확인","")))</f>
        <v/>
      </c>
    </row>
    <row r="2060">
      <c r="A2060" s="3" t="n"/>
      <c r="C2060" s="4" t="n"/>
      <c r="E2060" s="5">
        <f>IF(C2060="","",IF(계산!CI2060="","날짜 확인",IF(계산!CJ2060="","금액 확인","")))</f>
        <v/>
      </c>
    </row>
    <row r="2061">
      <c r="A2061" s="3" t="n"/>
      <c r="C2061" s="4" t="n"/>
      <c r="E2061" s="5">
        <f>IF(C2061="","",IF(계산!CI2061="","날짜 확인",IF(계산!CJ2061="","금액 확인","")))</f>
        <v/>
      </c>
    </row>
    <row r="2062">
      <c r="A2062" s="3" t="n"/>
      <c r="C2062" s="4" t="n"/>
      <c r="E2062" s="5">
        <f>IF(C2062="","",IF(계산!CI2062="","날짜 확인",IF(계산!CJ2062="","금액 확인","")))</f>
        <v/>
      </c>
    </row>
    <row r="2063">
      <c r="A2063" s="3" t="n"/>
      <c r="C2063" s="4" t="n"/>
      <c r="E2063" s="5">
        <f>IF(C2063="","",IF(계산!CI2063="","날짜 확인",IF(계산!CJ2063="","금액 확인","")))</f>
        <v/>
      </c>
    </row>
    <row r="2064">
      <c r="A2064" s="3" t="n"/>
      <c r="C2064" s="4" t="n"/>
      <c r="E2064" s="5">
        <f>IF(C2064="","",IF(계산!CI2064="","날짜 확인",IF(계산!CJ2064="","금액 확인","")))</f>
        <v/>
      </c>
    </row>
    <row r="2065">
      <c r="A2065" s="3" t="n"/>
      <c r="C2065" s="4" t="n"/>
      <c r="E2065" s="5">
        <f>IF(C2065="","",IF(계산!CI2065="","날짜 확인",IF(계산!CJ2065="","금액 확인","")))</f>
        <v/>
      </c>
    </row>
    <row r="2066">
      <c r="A2066" s="3" t="n"/>
      <c r="C2066" s="4" t="n"/>
      <c r="E2066" s="5">
        <f>IF(C2066="","",IF(계산!CI2066="","날짜 확인",IF(계산!CJ2066="","금액 확인","")))</f>
        <v/>
      </c>
    </row>
    <row r="2067">
      <c r="A2067" s="3" t="n"/>
      <c r="C2067" s="4" t="n"/>
      <c r="E2067" s="5">
        <f>IF(C2067="","",IF(계산!CI2067="","날짜 확인",IF(계산!CJ2067="","금액 확인","")))</f>
        <v/>
      </c>
    </row>
    <row r="2068">
      <c r="A2068" s="3" t="n"/>
      <c r="C2068" s="4" t="n"/>
      <c r="E2068" s="5">
        <f>IF(C2068="","",IF(계산!CI2068="","날짜 확인",IF(계산!CJ2068="","금액 확인","")))</f>
        <v/>
      </c>
    </row>
    <row r="2069">
      <c r="A2069" s="3" t="n"/>
      <c r="C2069" s="4" t="n"/>
      <c r="E2069" s="5">
        <f>IF(C2069="","",IF(계산!CI2069="","날짜 확인",IF(계산!CJ2069="","금액 확인","")))</f>
        <v/>
      </c>
    </row>
    <row r="2070">
      <c r="A2070" s="3" t="n"/>
      <c r="C2070" s="4" t="n"/>
      <c r="E2070" s="5">
        <f>IF(C2070="","",IF(계산!CI2070="","날짜 확인",IF(계산!CJ2070="","금액 확인","")))</f>
        <v/>
      </c>
    </row>
    <row r="2071">
      <c r="A2071" s="3" t="n"/>
      <c r="C2071" s="4" t="n"/>
      <c r="E2071" s="5">
        <f>IF(C2071="","",IF(계산!CI2071="","날짜 확인",IF(계산!CJ2071="","금액 확인","")))</f>
        <v/>
      </c>
    </row>
    <row r="2072">
      <c r="A2072" s="3" t="n"/>
      <c r="C2072" s="4" t="n"/>
      <c r="E2072" s="5">
        <f>IF(C2072="","",IF(계산!CI2072="","날짜 확인",IF(계산!CJ2072="","금액 확인","")))</f>
        <v/>
      </c>
    </row>
    <row r="2073">
      <c r="A2073" s="3" t="n"/>
      <c r="C2073" s="4" t="n"/>
      <c r="E2073" s="5">
        <f>IF(C2073="","",IF(계산!CI2073="","날짜 확인",IF(계산!CJ2073="","금액 확인","")))</f>
        <v/>
      </c>
    </row>
    <row r="2074">
      <c r="A2074" s="3" t="n"/>
      <c r="C2074" s="4" t="n"/>
      <c r="E2074" s="5">
        <f>IF(C2074="","",IF(계산!CI2074="","날짜 확인",IF(계산!CJ2074="","금액 확인","")))</f>
        <v/>
      </c>
    </row>
    <row r="2075">
      <c r="A2075" s="3" t="n"/>
      <c r="C2075" s="4" t="n"/>
      <c r="E2075" s="5">
        <f>IF(C2075="","",IF(계산!CI2075="","날짜 확인",IF(계산!CJ2075="","금액 확인","")))</f>
        <v/>
      </c>
    </row>
    <row r="2076">
      <c r="A2076" s="3" t="n"/>
      <c r="C2076" s="4" t="n"/>
      <c r="E2076" s="5">
        <f>IF(C2076="","",IF(계산!CI2076="","날짜 확인",IF(계산!CJ2076="","금액 확인","")))</f>
        <v/>
      </c>
    </row>
    <row r="2077">
      <c r="A2077" s="3" t="n"/>
      <c r="C2077" s="4" t="n"/>
      <c r="E2077" s="5">
        <f>IF(C2077="","",IF(계산!CI2077="","날짜 확인",IF(계산!CJ2077="","금액 확인","")))</f>
        <v/>
      </c>
    </row>
    <row r="2078">
      <c r="A2078" s="3" t="n"/>
      <c r="C2078" s="4" t="n"/>
      <c r="E2078" s="5">
        <f>IF(C2078="","",IF(계산!CI2078="","날짜 확인",IF(계산!CJ2078="","금액 확인","")))</f>
        <v/>
      </c>
    </row>
    <row r="2079">
      <c r="A2079" s="3" t="n"/>
      <c r="C2079" s="4" t="n"/>
      <c r="E2079" s="5">
        <f>IF(C2079="","",IF(계산!CI2079="","날짜 확인",IF(계산!CJ2079="","금액 확인","")))</f>
        <v/>
      </c>
    </row>
    <row r="2080">
      <c r="A2080" s="3" t="n"/>
      <c r="C2080" s="4" t="n"/>
      <c r="E2080" s="5">
        <f>IF(C2080="","",IF(계산!CI2080="","날짜 확인",IF(계산!CJ2080="","금액 확인","")))</f>
        <v/>
      </c>
    </row>
    <row r="2081">
      <c r="A2081" s="3" t="n"/>
      <c r="C2081" s="4" t="n"/>
      <c r="E2081" s="5">
        <f>IF(C2081="","",IF(계산!CI2081="","날짜 확인",IF(계산!CJ2081="","금액 확인","")))</f>
        <v/>
      </c>
    </row>
    <row r="2082">
      <c r="A2082" s="3" t="n"/>
      <c r="C2082" s="4" t="n"/>
      <c r="E2082" s="5">
        <f>IF(C2082="","",IF(계산!CI2082="","날짜 확인",IF(계산!CJ2082="","금액 확인","")))</f>
        <v/>
      </c>
    </row>
    <row r="2083">
      <c r="A2083" s="3" t="n"/>
      <c r="C2083" s="4" t="n"/>
      <c r="E2083" s="5">
        <f>IF(C2083="","",IF(계산!CI2083="","날짜 확인",IF(계산!CJ2083="","금액 확인","")))</f>
        <v/>
      </c>
    </row>
    <row r="2084">
      <c r="A2084" s="3" t="n"/>
      <c r="C2084" s="4" t="n"/>
      <c r="E2084" s="5">
        <f>IF(C2084="","",IF(계산!CI2084="","날짜 확인",IF(계산!CJ2084="","금액 확인","")))</f>
        <v/>
      </c>
    </row>
    <row r="2085">
      <c r="A2085" s="3" t="n"/>
      <c r="C2085" s="4" t="n"/>
      <c r="E2085" s="5">
        <f>IF(C2085="","",IF(계산!CI2085="","날짜 확인",IF(계산!CJ2085="","금액 확인","")))</f>
        <v/>
      </c>
    </row>
    <row r="2086">
      <c r="A2086" s="3" t="n"/>
      <c r="C2086" s="4" t="n"/>
      <c r="E2086" s="5">
        <f>IF(C2086="","",IF(계산!CI2086="","날짜 확인",IF(계산!CJ2086="","금액 확인","")))</f>
        <v/>
      </c>
    </row>
    <row r="2087">
      <c r="A2087" s="3" t="n"/>
      <c r="C2087" s="4" t="n"/>
      <c r="E2087" s="5">
        <f>IF(C2087="","",IF(계산!CI2087="","날짜 확인",IF(계산!CJ2087="","금액 확인","")))</f>
        <v/>
      </c>
    </row>
    <row r="2088">
      <c r="A2088" s="3" t="n"/>
      <c r="C2088" s="4" t="n"/>
      <c r="E2088" s="5">
        <f>IF(C2088="","",IF(계산!CI2088="","날짜 확인",IF(계산!CJ2088="","금액 확인","")))</f>
        <v/>
      </c>
    </row>
    <row r="2089">
      <c r="A2089" s="3" t="n"/>
      <c r="C2089" s="4" t="n"/>
      <c r="E2089" s="5">
        <f>IF(C2089="","",IF(계산!CI2089="","날짜 확인",IF(계산!CJ2089="","금액 확인","")))</f>
        <v/>
      </c>
    </row>
    <row r="2090">
      <c r="A2090" s="3" t="n"/>
      <c r="C2090" s="4" t="n"/>
      <c r="E2090" s="5">
        <f>IF(C2090="","",IF(계산!CI2090="","날짜 확인",IF(계산!CJ2090="","금액 확인","")))</f>
        <v/>
      </c>
    </row>
    <row r="2091">
      <c r="A2091" s="3" t="n"/>
      <c r="C2091" s="4" t="n"/>
      <c r="E2091" s="5">
        <f>IF(C2091="","",IF(계산!CI2091="","날짜 확인",IF(계산!CJ2091="","금액 확인","")))</f>
        <v/>
      </c>
    </row>
    <row r="2092">
      <c r="A2092" s="3" t="n"/>
      <c r="C2092" s="4" t="n"/>
      <c r="E2092" s="5">
        <f>IF(C2092="","",IF(계산!CI2092="","날짜 확인",IF(계산!CJ2092="","금액 확인","")))</f>
        <v/>
      </c>
    </row>
    <row r="2093">
      <c r="A2093" s="3" t="n"/>
      <c r="C2093" s="4" t="n"/>
      <c r="E2093" s="5">
        <f>IF(C2093="","",IF(계산!CI2093="","날짜 확인",IF(계산!CJ2093="","금액 확인","")))</f>
        <v/>
      </c>
    </row>
    <row r="2094">
      <c r="A2094" s="3" t="n"/>
      <c r="C2094" s="4" t="n"/>
      <c r="E2094" s="5">
        <f>IF(C2094="","",IF(계산!CI2094="","날짜 확인",IF(계산!CJ2094="","금액 확인","")))</f>
        <v/>
      </c>
    </row>
    <row r="2095">
      <c r="A2095" s="3" t="n"/>
      <c r="C2095" s="4" t="n"/>
      <c r="E2095" s="5">
        <f>IF(C2095="","",IF(계산!CI2095="","날짜 확인",IF(계산!CJ2095="","금액 확인","")))</f>
        <v/>
      </c>
    </row>
    <row r="2096">
      <c r="A2096" s="3" t="n"/>
      <c r="C2096" s="4" t="n"/>
      <c r="E2096" s="5">
        <f>IF(C2096="","",IF(계산!CI2096="","날짜 확인",IF(계산!CJ2096="","금액 확인","")))</f>
        <v/>
      </c>
    </row>
    <row r="2097">
      <c r="A2097" s="3" t="n"/>
      <c r="C2097" s="4" t="n"/>
      <c r="E2097" s="5">
        <f>IF(C2097="","",IF(계산!CI2097="","날짜 확인",IF(계산!CJ2097="","금액 확인","")))</f>
        <v/>
      </c>
    </row>
    <row r="2098">
      <c r="A2098" s="3" t="n"/>
      <c r="C2098" s="4" t="n"/>
      <c r="E2098" s="5">
        <f>IF(C2098="","",IF(계산!CI2098="","날짜 확인",IF(계산!CJ2098="","금액 확인","")))</f>
        <v/>
      </c>
    </row>
    <row r="2099">
      <c r="A2099" s="3" t="n"/>
      <c r="C2099" s="4" t="n"/>
      <c r="E2099" s="5">
        <f>IF(C2099="","",IF(계산!CI2099="","날짜 확인",IF(계산!CJ2099="","금액 확인","")))</f>
        <v/>
      </c>
    </row>
    <row r="2100">
      <c r="A2100" s="3" t="n"/>
      <c r="C2100" s="4" t="n"/>
      <c r="E2100" s="5">
        <f>IF(C2100="","",IF(계산!CI2100="","날짜 확인",IF(계산!CJ2100="","금액 확인","")))</f>
        <v/>
      </c>
    </row>
    <row r="2101">
      <c r="A2101" s="3" t="n"/>
      <c r="C2101" s="4" t="n"/>
      <c r="E2101" s="5">
        <f>IF(C2101="","",IF(계산!CI2101="","날짜 확인",IF(계산!CJ2101="","금액 확인","")))</f>
        <v/>
      </c>
    </row>
    <row r="2102">
      <c r="A2102" s="3" t="n"/>
      <c r="C2102" s="4" t="n"/>
      <c r="E2102" s="5">
        <f>IF(C2102="","",IF(계산!CI2102="","날짜 확인",IF(계산!CJ2102="","금액 확인","")))</f>
        <v/>
      </c>
    </row>
    <row r="2103">
      <c r="A2103" s="3" t="n"/>
      <c r="C2103" s="4" t="n"/>
      <c r="E2103" s="5">
        <f>IF(C2103="","",IF(계산!CI2103="","날짜 확인",IF(계산!CJ2103="","금액 확인","")))</f>
        <v/>
      </c>
    </row>
    <row r="2104">
      <c r="A2104" s="3" t="n"/>
      <c r="C2104" s="4" t="n"/>
      <c r="E2104" s="5">
        <f>IF(C2104="","",IF(계산!CI2104="","날짜 확인",IF(계산!CJ2104="","금액 확인","")))</f>
        <v/>
      </c>
    </row>
    <row r="2105">
      <c r="A2105" s="3" t="n"/>
      <c r="C2105" s="4" t="n"/>
      <c r="E2105" s="5">
        <f>IF(C2105="","",IF(계산!CI2105="","날짜 확인",IF(계산!CJ2105="","금액 확인","")))</f>
        <v/>
      </c>
    </row>
    <row r="2106">
      <c r="A2106" s="3" t="n"/>
      <c r="C2106" s="4" t="n"/>
      <c r="E2106" s="5">
        <f>IF(C2106="","",IF(계산!CI2106="","날짜 확인",IF(계산!CJ2106="","금액 확인","")))</f>
        <v/>
      </c>
    </row>
    <row r="2107">
      <c r="A2107" s="3" t="n"/>
      <c r="C2107" s="4" t="n"/>
      <c r="E2107" s="5">
        <f>IF(C2107="","",IF(계산!CI2107="","날짜 확인",IF(계산!CJ2107="","금액 확인","")))</f>
        <v/>
      </c>
    </row>
    <row r="2108">
      <c r="A2108" s="3" t="n"/>
      <c r="C2108" s="4" t="n"/>
      <c r="E2108" s="5">
        <f>IF(C2108="","",IF(계산!CI2108="","날짜 확인",IF(계산!CJ2108="","금액 확인","")))</f>
        <v/>
      </c>
    </row>
    <row r="2109">
      <c r="A2109" s="3" t="n"/>
      <c r="C2109" s="4" t="n"/>
      <c r="E2109" s="5">
        <f>IF(C2109="","",IF(계산!CI2109="","날짜 확인",IF(계산!CJ2109="","금액 확인","")))</f>
        <v/>
      </c>
    </row>
    <row r="2110">
      <c r="A2110" s="3" t="n"/>
      <c r="C2110" s="4" t="n"/>
      <c r="E2110" s="5">
        <f>IF(C2110="","",IF(계산!CI2110="","날짜 확인",IF(계산!CJ2110="","금액 확인","")))</f>
        <v/>
      </c>
    </row>
    <row r="2111">
      <c r="A2111" s="3" t="n"/>
      <c r="C2111" s="4" t="n"/>
      <c r="E2111" s="5">
        <f>IF(C2111="","",IF(계산!CI2111="","날짜 확인",IF(계산!CJ2111="","금액 확인","")))</f>
        <v/>
      </c>
    </row>
    <row r="2112">
      <c r="A2112" s="3" t="n"/>
      <c r="C2112" s="4" t="n"/>
      <c r="E2112" s="5">
        <f>IF(C2112="","",IF(계산!CI2112="","날짜 확인",IF(계산!CJ2112="","금액 확인","")))</f>
        <v/>
      </c>
    </row>
    <row r="2113">
      <c r="A2113" s="3" t="n"/>
      <c r="C2113" s="4" t="n"/>
      <c r="E2113" s="5">
        <f>IF(C2113="","",IF(계산!CI2113="","날짜 확인",IF(계산!CJ2113="","금액 확인","")))</f>
        <v/>
      </c>
    </row>
    <row r="2114">
      <c r="A2114" s="3" t="n"/>
      <c r="C2114" s="4" t="n"/>
      <c r="E2114" s="5">
        <f>IF(C2114="","",IF(계산!CI2114="","날짜 확인",IF(계산!CJ2114="","금액 확인","")))</f>
        <v/>
      </c>
    </row>
    <row r="2115">
      <c r="A2115" s="3" t="n"/>
      <c r="C2115" s="4" t="n"/>
      <c r="E2115" s="5">
        <f>IF(C2115="","",IF(계산!CI2115="","날짜 확인",IF(계산!CJ2115="","금액 확인","")))</f>
        <v/>
      </c>
    </row>
    <row r="2116">
      <c r="A2116" s="3" t="n"/>
      <c r="C2116" s="4" t="n"/>
      <c r="E2116" s="5">
        <f>IF(C2116="","",IF(계산!CI2116="","날짜 확인",IF(계산!CJ2116="","금액 확인","")))</f>
        <v/>
      </c>
    </row>
    <row r="2117">
      <c r="A2117" s="3" t="n"/>
      <c r="C2117" s="4" t="n"/>
      <c r="E2117" s="5">
        <f>IF(C2117="","",IF(계산!CI2117="","날짜 확인",IF(계산!CJ2117="","금액 확인","")))</f>
        <v/>
      </c>
    </row>
    <row r="2118">
      <c r="A2118" s="3" t="n"/>
      <c r="C2118" s="4" t="n"/>
      <c r="E2118" s="5">
        <f>IF(C2118="","",IF(계산!CI2118="","날짜 확인",IF(계산!CJ2118="","금액 확인","")))</f>
        <v/>
      </c>
    </row>
    <row r="2119">
      <c r="A2119" s="3" t="n"/>
      <c r="C2119" s="4" t="n"/>
      <c r="E2119" s="5">
        <f>IF(C2119="","",IF(계산!CI2119="","날짜 확인",IF(계산!CJ2119="","금액 확인","")))</f>
        <v/>
      </c>
    </row>
    <row r="2120">
      <c r="A2120" s="3" t="n"/>
      <c r="C2120" s="4" t="n"/>
      <c r="E2120" s="5">
        <f>IF(C2120="","",IF(계산!CI2120="","날짜 확인",IF(계산!CJ2120="","금액 확인","")))</f>
        <v/>
      </c>
    </row>
    <row r="2121">
      <c r="A2121" s="3" t="n"/>
      <c r="C2121" s="4" t="n"/>
      <c r="E2121" s="5">
        <f>IF(C2121="","",IF(계산!CI2121="","날짜 확인",IF(계산!CJ2121="","금액 확인","")))</f>
        <v/>
      </c>
    </row>
    <row r="2122">
      <c r="A2122" s="3" t="n"/>
      <c r="C2122" s="4" t="n"/>
      <c r="E2122" s="5">
        <f>IF(C2122="","",IF(계산!CI2122="","날짜 확인",IF(계산!CJ2122="","금액 확인","")))</f>
        <v/>
      </c>
    </row>
    <row r="2123">
      <c r="A2123" s="3" t="n"/>
      <c r="C2123" s="4" t="n"/>
      <c r="E2123" s="5">
        <f>IF(C2123="","",IF(계산!CI2123="","날짜 확인",IF(계산!CJ2123="","금액 확인","")))</f>
        <v/>
      </c>
    </row>
    <row r="2124">
      <c r="A2124" s="3" t="n"/>
      <c r="C2124" s="4" t="n"/>
      <c r="E2124" s="5">
        <f>IF(C2124="","",IF(계산!CI2124="","날짜 확인",IF(계산!CJ2124="","금액 확인","")))</f>
        <v/>
      </c>
    </row>
    <row r="2125">
      <c r="A2125" s="3" t="n"/>
      <c r="C2125" s="4" t="n"/>
      <c r="E2125" s="5">
        <f>IF(C2125="","",IF(계산!CI2125="","날짜 확인",IF(계산!CJ2125="","금액 확인","")))</f>
        <v/>
      </c>
    </row>
    <row r="2126">
      <c r="A2126" s="3" t="n"/>
      <c r="C2126" s="4" t="n"/>
      <c r="E2126" s="5">
        <f>IF(C2126="","",IF(계산!CI2126="","날짜 확인",IF(계산!CJ2126="","금액 확인","")))</f>
        <v/>
      </c>
    </row>
    <row r="2127">
      <c r="A2127" s="3" t="n"/>
      <c r="C2127" s="4" t="n"/>
      <c r="E2127" s="5">
        <f>IF(C2127="","",IF(계산!CI2127="","날짜 확인",IF(계산!CJ2127="","금액 확인","")))</f>
        <v/>
      </c>
    </row>
    <row r="2128">
      <c r="A2128" s="3" t="n"/>
      <c r="C2128" s="4" t="n"/>
      <c r="E2128" s="5">
        <f>IF(C2128="","",IF(계산!CI2128="","날짜 확인",IF(계산!CJ2128="","금액 확인","")))</f>
        <v/>
      </c>
    </row>
    <row r="2129">
      <c r="A2129" s="3" t="n"/>
      <c r="C2129" s="4" t="n"/>
      <c r="E2129" s="5">
        <f>IF(C2129="","",IF(계산!CI2129="","날짜 확인",IF(계산!CJ2129="","금액 확인","")))</f>
        <v/>
      </c>
    </row>
    <row r="2130">
      <c r="A2130" s="3" t="n"/>
      <c r="C2130" s="4" t="n"/>
      <c r="E2130" s="5">
        <f>IF(C2130="","",IF(계산!CI2130="","날짜 확인",IF(계산!CJ2130="","금액 확인","")))</f>
        <v/>
      </c>
    </row>
    <row r="2131">
      <c r="A2131" s="3" t="n"/>
      <c r="C2131" s="4" t="n"/>
      <c r="E2131" s="5">
        <f>IF(C2131="","",IF(계산!CI2131="","날짜 확인",IF(계산!CJ2131="","금액 확인","")))</f>
        <v/>
      </c>
    </row>
    <row r="2132">
      <c r="A2132" s="3" t="n"/>
      <c r="C2132" s="4" t="n"/>
      <c r="E2132" s="5">
        <f>IF(C2132="","",IF(계산!CI2132="","날짜 확인",IF(계산!CJ2132="","금액 확인","")))</f>
        <v/>
      </c>
    </row>
    <row r="2133">
      <c r="A2133" s="3" t="n"/>
      <c r="C2133" s="4" t="n"/>
      <c r="E2133" s="5">
        <f>IF(C2133="","",IF(계산!CI2133="","날짜 확인",IF(계산!CJ2133="","금액 확인","")))</f>
        <v/>
      </c>
    </row>
    <row r="2134">
      <c r="A2134" s="3" t="n"/>
      <c r="C2134" s="4" t="n"/>
      <c r="E2134" s="5">
        <f>IF(C2134="","",IF(계산!CI2134="","날짜 확인",IF(계산!CJ2134="","금액 확인","")))</f>
        <v/>
      </c>
    </row>
    <row r="2135">
      <c r="A2135" s="3" t="n"/>
      <c r="C2135" s="4" t="n"/>
      <c r="E2135" s="5">
        <f>IF(C2135="","",IF(계산!CI2135="","날짜 확인",IF(계산!CJ2135="","금액 확인","")))</f>
        <v/>
      </c>
    </row>
    <row r="2136">
      <c r="A2136" s="3" t="n"/>
      <c r="C2136" s="4" t="n"/>
      <c r="E2136" s="5">
        <f>IF(C2136="","",IF(계산!CI2136="","날짜 확인",IF(계산!CJ2136="","금액 확인","")))</f>
        <v/>
      </c>
    </row>
    <row r="2137">
      <c r="A2137" s="3" t="n"/>
      <c r="C2137" s="4" t="n"/>
      <c r="E2137" s="5">
        <f>IF(C2137="","",IF(계산!CI2137="","날짜 확인",IF(계산!CJ2137="","금액 확인","")))</f>
        <v/>
      </c>
    </row>
    <row r="2138">
      <c r="A2138" s="3" t="n"/>
      <c r="C2138" s="4" t="n"/>
      <c r="E2138" s="5">
        <f>IF(C2138="","",IF(계산!CI2138="","날짜 확인",IF(계산!CJ2138="","금액 확인","")))</f>
        <v/>
      </c>
    </row>
    <row r="2139">
      <c r="A2139" s="3" t="n"/>
      <c r="C2139" s="4" t="n"/>
      <c r="E2139" s="5">
        <f>IF(C2139="","",IF(계산!CI2139="","날짜 확인",IF(계산!CJ2139="","금액 확인","")))</f>
        <v/>
      </c>
    </row>
    <row r="2140">
      <c r="A2140" s="3" t="n"/>
      <c r="C2140" s="4" t="n"/>
      <c r="E2140" s="5">
        <f>IF(C2140="","",IF(계산!CI2140="","날짜 확인",IF(계산!CJ2140="","금액 확인","")))</f>
        <v/>
      </c>
    </row>
    <row r="2141">
      <c r="A2141" s="3" t="n"/>
      <c r="C2141" s="4" t="n"/>
      <c r="E2141" s="5">
        <f>IF(C2141="","",IF(계산!CI2141="","날짜 확인",IF(계산!CJ2141="","금액 확인","")))</f>
        <v/>
      </c>
    </row>
    <row r="2142">
      <c r="A2142" s="3" t="n"/>
      <c r="C2142" s="4" t="n"/>
      <c r="E2142" s="5">
        <f>IF(C2142="","",IF(계산!CI2142="","날짜 확인",IF(계산!CJ2142="","금액 확인","")))</f>
        <v/>
      </c>
    </row>
    <row r="2143">
      <c r="A2143" s="3" t="n"/>
      <c r="C2143" s="4" t="n"/>
      <c r="E2143" s="5">
        <f>IF(C2143="","",IF(계산!CI2143="","날짜 확인",IF(계산!CJ2143="","금액 확인","")))</f>
        <v/>
      </c>
    </row>
    <row r="2144">
      <c r="A2144" s="3" t="n"/>
      <c r="C2144" s="4" t="n"/>
      <c r="E2144" s="5">
        <f>IF(C2144="","",IF(계산!CI2144="","날짜 확인",IF(계산!CJ2144="","금액 확인","")))</f>
        <v/>
      </c>
    </row>
    <row r="2145">
      <c r="A2145" s="3" t="n"/>
      <c r="C2145" s="4" t="n"/>
      <c r="E2145" s="5">
        <f>IF(C2145="","",IF(계산!CI2145="","날짜 확인",IF(계산!CJ2145="","금액 확인","")))</f>
        <v/>
      </c>
    </row>
    <row r="2146">
      <c r="A2146" s="3" t="n"/>
      <c r="C2146" s="4" t="n"/>
      <c r="E2146" s="5">
        <f>IF(C2146="","",IF(계산!CI2146="","날짜 확인",IF(계산!CJ2146="","금액 확인","")))</f>
        <v/>
      </c>
    </row>
    <row r="2147">
      <c r="A2147" s="3" t="n"/>
      <c r="C2147" s="4" t="n"/>
      <c r="E2147" s="5">
        <f>IF(C2147="","",IF(계산!CI2147="","날짜 확인",IF(계산!CJ2147="","금액 확인","")))</f>
        <v/>
      </c>
    </row>
    <row r="2148">
      <c r="A2148" s="3" t="n"/>
      <c r="C2148" s="4" t="n"/>
      <c r="E2148" s="5">
        <f>IF(C2148="","",IF(계산!CI2148="","날짜 확인",IF(계산!CJ2148="","금액 확인","")))</f>
        <v/>
      </c>
    </row>
    <row r="2149">
      <c r="A2149" s="3" t="n"/>
      <c r="C2149" s="4" t="n"/>
      <c r="E2149" s="5">
        <f>IF(C2149="","",IF(계산!CI2149="","날짜 확인",IF(계산!CJ2149="","금액 확인","")))</f>
        <v/>
      </c>
    </row>
    <row r="2150">
      <c r="A2150" s="3" t="n"/>
      <c r="C2150" s="4" t="n"/>
      <c r="E2150" s="5">
        <f>IF(C2150="","",IF(계산!CI2150="","날짜 확인",IF(계산!CJ2150="","금액 확인","")))</f>
        <v/>
      </c>
    </row>
    <row r="2151">
      <c r="A2151" s="3" t="n"/>
      <c r="C2151" s="4" t="n"/>
      <c r="E2151" s="5">
        <f>IF(C2151="","",IF(계산!CI2151="","날짜 확인",IF(계산!CJ2151="","금액 확인","")))</f>
        <v/>
      </c>
    </row>
    <row r="2152">
      <c r="A2152" s="3" t="n"/>
      <c r="C2152" s="4" t="n"/>
      <c r="E2152" s="5">
        <f>IF(C2152="","",IF(계산!CI2152="","날짜 확인",IF(계산!CJ2152="","금액 확인","")))</f>
        <v/>
      </c>
    </row>
    <row r="2153">
      <c r="A2153" s="3" t="n"/>
      <c r="C2153" s="4" t="n"/>
      <c r="E2153" s="5">
        <f>IF(C2153="","",IF(계산!CI2153="","날짜 확인",IF(계산!CJ2153="","금액 확인","")))</f>
        <v/>
      </c>
    </row>
    <row r="2154">
      <c r="A2154" s="3" t="n"/>
      <c r="C2154" s="4" t="n"/>
      <c r="E2154" s="5">
        <f>IF(C2154="","",IF(계산!CI2154="","날짜 확인",IF(계산!CJ2154="","금액 확인","")))</f>
        <v/>
      </c>
    </row>
    <row r="2155">
      <c r="A2155" s="3" t="n"/>
      <c r="C2155" s="4" t="n"/>
      <c r="E2155" s="5">
        <f>IF(C2155="","",IF(계산!CI2155="","날짜 확인",IF(계산!CJ2155="","금액 확인","")))</f>
        <v/>
      </c>
    </row>
    <row r="2156">
      <c r="A2156" s="3" t="n"/>
      <c r="C2156" s="4" t="n"/>
      <c r="E2156" s="5">
        <f>IF(C2156="","",IF(계산!CI2156="","날짜 확인",IF(계산!CJ2156="","금액 확인","")))</f>
        <v/>
      </c>
    </row>
    <row r="2157">
      <c r="A2157" s="3" t="n"/>
      <c r="C2157" s="4" t="n"/>
      <c r="E2157" s="5">
        <f>IF(C2157="","",IF(계산!CI2157="","날짜 확인",IF(계산!CJ2157="","금액 확인","")))</f>
        <v/>
      </c>
    </row>
    <row r="2158">
      <c r="A2158" s="3" t="n"/>
      <c r="C2158" s="4" t="n"/>
      <c r="E2158" s="5">
        <f>IF(C2158="","",IF(계산!CI2158="","날짜 확인",IF(계산!CJ2158="","금액 확인","")))</f>
        <v/>
      </c>
    </row>
    <row r="2159">
      <c r="A2159" s="3" t="n"/>
      <c r="C2159" s="4" t="n"/>
      <c r="E2159" s="5">
        <f>IF(C2159="","",IF(계산!CI2159="","날짜 확인",IF(계산!CJ2159="","금액 확인","")))</f>
        <v/>
      </c>
    </row>
    <row r="2160">
      <c r="A2160" s="3" t="n"/>
      <c r="C2160" s="4" t="n"/>
      <c r="E2160" s="5">
        <f>IF(C2160="","",IF(계산!CI2160="","날짜 확인",IF(계산!CJ2160="","금액 확인","")))</f>
        <v/>
      </c>
    </row>
    <row r="2161">
      <c r="A2161" s="3" t="n"/>
      <c r="C2161" s="4" t="n"/>
      <c r="E2161" s="5">
        <f>IF(C2161="","",IF(계산!CI2161="","날짜 확인",IF(계산!CJ2161="","금액 확인","")))</f>
        <v/>
      </c>
    </row>
    <row r="2162">
      <c r="A2162" s="3" t="n"/>
      <c r="C2162" s="4" t="n"/>
      <c r="E2162" s="5">
        <f>IF(C2162="","",IF(계산!CI2162="","날짜 확인",IF(계산!CJ2162="","금액 확인","")))</f>
        <v/>
      </c>
    </row>
    <row r="2163">
      <c r="A2163" s="3" t="n"/>
      <c r="C2163" s="4" t="n"/>
      <c r="E2163" s="5">
        <f>IF(C2163="","",IF(계산!CI2163="","날짜 확인",IF(계산!CJ2163="","금액 확인","")))</f>
        <v/>
      </c>
    </row>
    <row r="2164">
      <c r="A2164" s="3" t="n"/>
      <c r="C2164" s="4" t="n"/>
      <c r="E2164" s="5">
        <f>IF(C2164="","",IF(계산!CI2164="","날짜 확인",IF(계산!CJ2164="","금액 확인","")))</f>
        <v/>
      </c>
    </row>
    <row r="2165">
      <c r="A2165" s="3" t="n"/>
      <c r="C2165" s="4" t="n"/>
      <c r="E2165" s="5">
        <f>IF(C2165="","",IF(계산!CI2165="","날짜 확인",IF(계산!CJ2165="","금액 확인","")))</f>
        <v/>
      </c>
    </row>
    <row r="2166">
      <c r="A2166" s="3" t="n"/>
      <c r="C2166" s="4" t="n"/>
      <c r="E2166" s="5">
        <f>IF(C2166="","",IF(계산!CI2166="","날짜 확인",IF(계산!CJ2166="","금액 확인","")))</f>
        <v/>
      </c>
    </row>
    <row r="2167">
      <c r="A2167" s="3" t="n"/>
      <c r="C2167" s="4" t="n"/>
      <c r="E2167" s="5">
        <f>IF(C2167="","",IF(계산!CI2167="","날짜 확인",IF(계산!CJ2167="","금액 확인","")))</f>
        <v/>
      </c>
    </row>
    <row r="2168">
      <c r="A2168" s="3" t="n"/>
      <c r="C2168" s="4" t="n"/>
      <c r="E2168" s="5">
        <f>IF(C2168="","",IF(계산!CI2168="","날짜 확인",IF(계산!CJ2168="","금액 확인","")))</f>
        <v/>
      </c>
    </row>
    <row r="2169">
      <c r="A2169" s="3" t="n"/>
      <c r="C2169" s="4" t="n"/>
      <c r="E2169" s="5">
        <f>IF(C2169="","",IF(계산!CI2169="","날짜 확인",IF(계산!CJ2169="","금액 확인","")))</f>
        <v/>
      </c>
    </row>
    <row r="2170">
      <c r="A2170" s="3" t="n"/>
      <c r="C2170" s="4" t="n"/>
      <c r="E2170" s="5">
        <f>IF(C2170="","",IF(계산!CI2170="","날짜 확인",IF(계산!CJ2170="","금액 확인","")))</f>
        <v/>
      </c>
    </row>
    <row r="2171">
      <c r="A2171" s="3" t="n"/>
      <c r="C2171" s="4" t="n"/>
      <c r="E2171" s="5">
        <f>IF(C2171="","",IF(계산!CI2171="","날짜 확인",IF(계산!CJ2171="","금액 확인","")))</f>
        <v/>
      </c>
    </row>
    <row r="2172">
      <c r="A2172" s="3" t="n"/>
      <c r="C2172" s="4" t="n"/>
      <c r="E2172" s="5">
        <f>IF(C2172="","",IF(계산!CI2172="","날짜 확인",IF(계산!CJ2172="","금액 확인","")))</f>
        <v/>
      </c>
    </row>
    <row r="2173">
      <c r="A2173" s="3" t="n"/>
      <c r="C2173" s="4" t="n"/>
      <c r="E2173" s="5">
        <f>IF(C2173="","",IF(계산!CI2173="","날짜 확인",IF(계산!CJ2173="","금액 확인","")))</f>
        <v/>
      </c>
    </row>
    <row r="2174">
      <c r="A2174" s="3" t="n"/>
      <c r="C2174" s="4" t="n"/>
      <c r="E2174" s="5">
        <f>IF(C2174="","",IF(계산!CI2174="","날짜 확인",IF(계산!CJ2174="","금액 확인","")))</f>
        <v/>
      </c>
    </row>
    <row r="2175">
      <c r="A2175" s="3" t="n"/>
      <c r="C2175" s="4" t="n"/>
      <c r="E2175" s="5">
        <f>IF(C2175="","",IF(계산!CI2175="","날짜 확인",IF(계산!CJ2175="","금액 확인","")))</f>
        <v/>
      </c>
    </row>
    <row r="2176">
      <c r="A2176" s="3" t="n"/>
      <c r="C2176" s="4" t="n"/>
      <c r="E2176" s="5">
        <f>IF(C2176="","",IF(계산!CI2176="","날짜 확인",IF(계산!CJ2176="","금액 확인","")))</f>
        <v/>
      </c>
    </row>
    <row r="2177">
      <c r="A2177" s="3" t="n"/>
      <c r="C2177" s="4" t="n"/>
      <c r="E2177" s="5">
        <f>IF(C2177="","",IF(계산!CI2177="","날짜 확인",IF(계산!CJ2177="","금액 확인","")))</f>
        <v/>
      </c>
    </row>
    <row r="2178">
      <c r="A2178" s="3" t="n"/>
      <c r="C2178" s="4" t="n"/>
      <c r="E2178" s="5">
        <f>IF(C2178="","",IF(계산!CI2178="","날짜 확인",IF(계산!CJ2178="","금액 확인","")))</f>
        <v/>
      </c>
    </row>
    <row r="2179">
      <c r="A2179" s="3" t="n"/>
      <c r="C2179" s="4" t="n"/>
      <c r="E2179" s="5">
        <f>IF(C2179="","",IF(계산!CI2179="","날짜 확인",IF(계산!CJ2179="","금액 확인","")))</f>
        <v/>
      </c>
    </row>
    <row r="2180">
      <c r="A2180" s="3" t="n"/>
      <c r="C2180" s="4" t="n"/>
      <c r="E2180" s="5">
        <f>IF(C2180="","",IF(계산!CI2180="","날짜 확인",IF(계산!CJ2180="","금액 확인","")))</f>
        <v/>
      </c>
    </row>
    <row r="2181">
      <c r="A2181" s="3" t="n"/>
      <c r="C2181" s="4" t="n"/>
      <c r="E2181" s="5">
        <f>IF(C2181="","",IF(계산!CI2181="","날짜 확인",IF(계산!CJ2181="","금액 확인","")))</f>
        <v/>
      </c>
    </row>
    <row r="2182">
      <c r="A2182" s="3" t="n"/>
      <c r="C2182" s="4" t="n"/>
      <c r="E2182" s="5">
        <f>IF(C2182="","",IF(계산!CI2182="","날짜 확인",IF(계산!CJ2182="","금액 확인","")))</f>
        <v/>
      </c>
    </row>
    <row r="2183">
      <c r="A2183" s="3" t="n"/>
      <c r="C2183" s="4" t="n"/>
      <c r="E2183" s="5">
        <f>IF(C2183="","",IF(계산!CI2183="","날짜 확인",IF(계산!CJ2183="","금액 확인","")))</f>
        <v/>
      </c>
    </row>
    <row r="2184">
      <c r="A2184" s="3" t="n"/>
      <c r="C2184" s="4" t="n"/>
      <c r="E2184" s="5">
        <f>IF(C2184="","",IF(계산!CI2184="","날짜 확인",IF(계산!CJ2184="","금액 확인","")))</f>
        <v/>
      </c>
    </row>
    <row r="2185">
      <c r="A2185" s="3" t="n"/>
      <c r="C2185" s="4" t="n"/>
      <c r="E2185" s="5">
        <f>IF(C2185="","",IF(계산!CI2185="","날짜 확인",IF(계산!CJ2185="","금액 확인","")))</f>
        <v/>
      </c>
    </row>
    <row r="2186">
      <c r="A2186" s="3" t="n"/>
      <c r="C2186" s="4" t="n"/>
      <c r="E2186" s="5">
        <f>IF(C2186="","",IF(계산!CI2186="","날짜 확인",IF(계산!CJ2186="","금액 확인","")))</f>
        <v/>
      </c>
    </row>
    <row r="2187">
      <c r="A2187" s="3" t="n"/>
      <c r="C2187" s="4" t="n"/>
      <c r="E2187" s="5">
        <f>IF(C2187="","",IF(계산!CI2187="","날짜 확인",IF(계산!CJ2187="","금액 확인","")))</f>
        <v/>
      </c>
    </row>
    <row r="2188">
      <c r="A2188" s="3" t="n"/>
      <c r="C2188" s="4" t="n"/>
      <c r="E2188" s="5">
        <f>IF(C2188="","",IF(계산!CI2188="","날짜 확인",IF(계산!CJ2188="","금액 확인","")))</f>
        <v/>
      </c>
    </row>
    <row r="2189">
      <c r="A2189" s="3" t="n"/>
      <c r="C2189" s="4" t="n"/>
      <c r="E2189" s="5">
        <f>IF(C2189="","",IF(계산!CI2189="","날짜 확인",IF(계산!CJ2189="","금액 확인","")))</f>
        <v/>
      </c>
    </row>
    <row r="2190">
      <c r="A2190" s="3" t="n"/>
      <c r="C2190" s="4" t="n"/>
      <c r="E2190" s="5">
        <f>IF(C2190="","",IF(계산!CI2190="","날짜 확인",IF(계산!CJ2190="","금액 확인","")))</f>
        <v/>
      </c>
    </row>
    <row r="2191">
      <c r="A2191" s="3" t="n"/>
      <c r="C2191" s="4" t="n"/>
      <c r="E2191" s="5">
        <f>IF(C2191="","",IF(계산!CI2191="","날짜 확인",IF(계산!CJ2191="","금액 확인","")))</f>
        <v/>
      </c>
    </row>
    <row r="2192">
      <c r="A2192" s="3" t="n"/>
      <c r="C2192" s="4" t="n"/>
      <c r="E2192" s="5">
        <f>IF(C2192="","",IF(계산!CI2192="","날짜 확인",IF(계산!CJ2192="","금액 확인","")))</f>
        <v/>
      </c>
    </row>
    <row r="2193">
      <c r="A2193" s="3" t="n"/>
      <c r="C2193" s="4" t="n"/>
      <c r="E2193" s="5">
        <f>IF(C2193="","",IF(계산!CI2193="","날짜 확인",IF(계산!CJ2193="","금액 확인","")))</f>
        <v/>
      </c>
    </row>
    <row r="2194">
      <c r="A2194" s="3" t="n"/>
      <c r="C2194" s="4" t="n"/>
      <c r="E2194" s="5">
        <f>IF(C2194="","",IF(계산!CI2194="","날짜 확인",IF(계산!CJ2194="","금액 확인","")))</f>
        <v/>
      </c>
    </row>
    <row r="2195">
      <c r="A2195" s="3" t="n"/>
      <c r="C2195" s="4" t="n"/>
      <c r="E2195" s="5">
        <f>IF(C2195="","",IF(계산!CI2195="","날짜 확인",IF(계산!CJ2195="","금액 확인","")))</f>
        <v/>
      </c>
    </row>
    <row r="2196">
      <c r="A2196" s="3" t="n"/>
      <c r="C2196" s="4" t="n"/>
      <c r="E2196" s="5">
        <f>IF(C2196="","",IF(계산!CI2196="","날짜 확인",IF(계산!CJ2196="","금액 확인","")))</f>
        <v/>
      </c>
    </row>
    <row r="2197">
      <c r="A2197" s="3" t="n"/>
      <c r="C2197" s="4" t="n"/>
      <c r="E2197" s="5">
        <f>IF(C2197="","",IF(계산!CI2197="","날짜 확인",IF(계산!CJ2197="","금액 확인","")))</f>
        <v/>
      </c>
    </row>
    <row r="2198">
      <c r="A2198" s="3" t="n"/>
      <c r="C2198" s="4" t="n"/>
      <c r="E2198" s="5">
        <f>IF(C2198="","",IF(계산!CI2198="","날짜 확인",IF(계산!CJ2198="","금액 확인","")))</f>
        <v/>
      </c>
    </row>
    <row r="2199">
      <c r="A2199" s="3" t="n"/>
      <c r="C2199" s="4" t="n"/>
      <c r="E2199" s="5">
        <f>IF(C2199="","",IF(계산!CI2199="","날짜 확인",IF(계산!CJ2199="","금액 확인","")))</f>
        <v/>
      </c>
    </row>
    <row r="2200">
      <c r="A2200" s="3" t="n"/>
      <c r="C2200" s="4" t="n"/>
      <c r="E2200" s="5">
        <f>IF(C2200="","",IF(계산!CI2200="","날짜 확인",IF(계산!CJ2200="","금액 확인","")))</f>
        <v/>
      </c>
    </row>
    <row r="2201">
      <c r="A2201" s="3" t="n"/>
      <c r="C2201" s="4" t="n"/>
      <c r="E2201" s="5">
        <f>IF(C2201="","",IF(계산!CI2201="","날짜 확인",IF(계산!CJ2201="","금액 확인","")))</f>
        <v/>
      </c>
    </row>
    <row r="2202">
      <c r="A2202" s="3" t="n"/>
      <c r="C2202" s="4" t="n"/>
      <c r="E2202" s="5">
        <f>IF(C2202="","",IF(계산!CI2202="","날짜 확인",IF(계산!CJ2202="","금액 확인","")))</f>
        <v/>
      </c>
    </row>
    <row r="2203">
      <c r="A2203" s="3" t="n"/>
      <c r="C2203" s="4" t="n"/>
      <c r="E2203" s="5">
        <f>IF(C2203="","",IF(계산!CI2203="","날짜 확인",IF(계산!CJ2203="","금액 확인","")))</f>
        <v/>
      </c>
    </row>
    <row r="2204">
      <c r="A2204" s="3" t="n"/>
      <c r="C2204" s="4" t="n"/>
      <c r="E2204" s="5">
        <f>IF(C2204="","",IF(계산!CI2204="","날짜 확인",IF(계산!CJ2204="","금액 확인","")))</f>
        <v/>
      </c>
    </row>
    <row r="2205">
      <c r="A2205" s="3" t="n"/>
      <c r="C2205" s="4" t="n"/>
      <c r="E2205" s="5">
        <f>IF(C2205="","",IF(계산!CI2205="","날짜 확인",IF(계산!CJ2205="","금액 확인","")))</f>
        <v/>
      </c>
    </row>
    <row r="2206">
      <c r="A2206" s="3" t="n"/>
      <c r="C2206" s="4" t="n"/>
      <c r="E2206" s="5">
        <f>IF(C2206="","",IF(계산!CI2206="","날짜 확인",IF(계산!CJ2206="","금액 확인","")))</f>
        <v/>
      </c>
    </row>
    <row r="2207">
      <c r="A2207" s="3" t="n"/>
      <c r="C2207" s="4" t="n"/>
      <c r="E2207" s="5">
        <f>IF(C2207="","",IF(계산!CI2207="","날짜 확인",IF(계산!CJ2207="","금액 확인","")))</f>
        <v/>
      </c>
    </row>
    <row r="2208">
      <c r="A2208" s="3" t="n"/>
      <c r="C2208" s="4" t="n"/>
      <c r="E2208" s="5">
        <f>IF(C2208="","",IF(계산!CI2208="","날짜 확인",IF(계산!CJ2208="","금액 확인","")))</f>
        <v/>
      </c>
    </row>
    <row r="2209">
      <c r="A2209" s="3" t="n"/>
      <c r="C2209" s="4" t="n"/>
      <c r="E2209" s="5">
        <f>IF(C2209="","",IF(계산!CI2209="","날짜 확인",IF(계산!CJ2209="","금액 확인","")))</f>
        <v/>
      </c>
    </row>
    <row r="2210">
      <c r="A2210" s="3" t="n"/>
      <c r="C2210" s="4" t="n"/>
      <c r="E2210" s="5">
        <f>IF(C2210="","",IF(계산!CI2210="","날짜 확인",IF(계산!CJ2210="","금액 확인","")))</f>
        <v/>
      </c>
    </row>
    <row r="2211">
      <c r="A2211" s="3" t="n"/>
      <c r="C2211" s="4" t="n"/>
      <c r="E2211" s="5">
        <f>IF(C2211="","",IF(계산!CI2211="","날짜 확인",IF(계산!CJ2211="","금액 확인","")))</f>
        <v/>
      </c>
    </row>
    <row r="2212">
      <c r="A2212" s="3" t="n"/>
      <c r="C2212" s="4" t="n"/>
      <c r="E2212" s="5">
        <f>IF(C2212="","",IF(계산!CI2212="","날짜 확인",IF(계산!CJ2212="","금액 확인","")))</f>
        <v/>
      </c>
    </row>
    <row r="2213">
      <c r="A2213" s="3" t="n"/>
      <c r="C2213" s="4" t="n"/>
      <c r="E2213" s="5">
        <f>IF(C2213="","",IF(계산!CI2213="","날짜 확인",IF(계산!CJ2213="","금액 확인","")))</f>
        <v/>
      </c>
    </row>
    <row r="2214">
      <c r="A2214" s="3" t="n"/>
      <c r="C2214" s="4" t="n"/>
      <c r="E2214" s="5">
        <f>IF(C2214="","",IF(계산!CI2214="","날짜 확인",IF(계산!CJ2214="","금액 확인","")))</f>
        <v/>
      </c>
    </row>
    <row r="2215">
      <c r="A2215" s="3" t="n"/>
      <c r="C2215" s="4" t="n"/>
      <c r="E2215" s="5">
        <f>IF(C2215="","",IF(계산!CI2215="","날짜 확인",IF(계산!CJ2215="","금액 확인","")))</f>
        <v/>
      </c>
    </row>
    <row r="2216">
      <c r="A2216" s="3" t="n"/>
      <c r="C2216" s="4" t="n"/>
      <c r="E2216" s="5">
        <f>IF(C2216="","",IF(계산!CI2216="","날짜 확인",IF(계산!CJ2216="","금액 확인","")))</f>
        <v/>
      </c>
    </row>
    <row r="2217">
      <c r="A2217" s="3" t="n"/>
      <c r="C2217" s="4" t="n"/>
      <c r="E2217" s="5">
        <f>IF(C2217="","",IF(계산!CI2217="","날짜 확인",IF(계산!CJ2217="","금액 확인","")))</f>
        <v/>
      </c>
    </row>
    <row r="2218">
      <c r="A2218" s="3" t="n"/>
      <c r="C2218" s="4" t="n"/>
      <c r="E2218" s="5">
        <f>IF(C2218="","",IF(계산!CI2218="","날짜 확인",IF(계산!CJ2218="","금액 확인","")))</f>
        <v/>
      </c>
    </row>
    <row r="2219">
      <c r="A2219" s="3" t="n"/>
      <c r="C2219" s="4" t="n"/>
      <c r="E2219" s="5">
        <f>IF(C2219="","",IF(계산!CI2219="","날짜 확인",IF(계산!CJ2219="","금액 확인","")))</f>
        <v/>
      </c>
    </row>
    <row r="2220">
      <c r="A2220" s="3" t="n"/>
      <c r="C2220" s="4" t="n"/>
      <c r="E2220" s="5">
        <f>IF(C2220="","",IF(계산!CI2220="","날짜 확인",IF(계산!CJ2220="","금액 확인","")))</f>
        <v/>
      </c>
    </row>
    <row r="2221">
      <c r="A2221" s="3" t="n"/>
      <c r="C2221" s="4" t="n"/>
      <c r="E2221" s="5">
        <f>IF(C2221="","",IF(계산!CI2221="","날짜 확인",IF(계산!CJ2221="","금액 확인","")))</f>
        <v/>
      </c>
    </row>
    <row r="2222">
      <c r="A2222" s="3" t="n"/>
      <c r="C2222" s="4" t="n"/>
      <c r="E2222" s="5">
        <f>IF(C2222="","",IF(계산!CI2222="","날짜 확인",IF(계산!CJ2222="","금액 확인","")))</f>
        <v/>
      </c>
    </row>
    <row r="2223">
      <c r="A2223" s="3" t="n"/>
      <c r="C2223" s="4" t="n"/>
      <c r="E2223" s="5">
        <f>IF(C2223="","",IF(계산!CI2223="","날짜 확인",IF(계산!CJ2223="","금액 확인","")))</f>
        <v/>
      </c>
    </row>
    <row r="2224">
      <c r="A2224" s="3" t="n"/>
      <c r="C2224" s="4" t="n"/>
      <c r="E2224" s="5">
        <f>IF(C2224="","",IF(계산!CI2224="","날짜 확인",IF(계산!CJ2224="","금액 확인","")))</f>
        <v/>
      </c>
    </row>
    <row r="2225">
      <c r="A2225" s="3" t="n"/>
      <c r="C2225" s="4" t="n"/>
      <c r="E2225" s="5">
        <f>IF(C2225="","",IF(계산!CI2225="","날짜 확인",IF(계산!CJ2225="","금액 확인","")))</f>
        <v/>
      </c>
    </row>
    <row r="2226">
      <c r="A2226" s="3" t="n"/>
      <c r="C2226" s="4" t="n"/>
      <c r="E2226" s="5">
        <f>IF(C2226="","",IF(계산!CI2226="","날짜 확인",IF(계산!CJ2226="","금액 확인","")))</f>
        <v/>
      </c>
    </row>
    <row r="2227">
      <c r="A2227" s="3" t="n"/>
      <c r="C2227" s="4" t="n"/>
      <c r="E2227" s="5">
        <f>IF(C2227="","",IF(계산!CI2227="","날짜 확인",IF(계산!CJ2227="","금액 확인","")))</f>
        <v/>
      </c>
    </row>
    <row r="2228">
      <c r="A2228" s="3" t="n"/>
      <c r="C2228" s="4" t="n"/>
      <c r="E2228" s="5">
        <f>IF(C2228="","",IF(계산!CI2228="","날짜 확인",IF(계산!CJ2228="","금액 확인","")))</f>
        <v/>
      </c>
    </row>
    <row r="2229">
      <c r="A2229" s="3" t="n"/>
      <c r="C2229" s="4" t="n"/>
      <c r="E2229" s="5">
        <f>IF(C2229="","",IF(계산!CI2229="","날짜 확인",IF(계산!CJ2229="","금액 확인","")))</f>
        <v/>
      </c>
    </row>
    <row r="2230">
      <c r="A2230" s="3" t="n"/>
      <c r="C2230" s="4" t="n"/>
      <c r="E2230" s="5">
        <f>IF(C2230="","",IF(계산!CI2230="","날짜 확인",IF(계산!CJ2230="","금액 확인","")))</f>
        <v/>
      </c>
    </row>
    <row r="2231">
      <c r="A2231" s="3" t="n"/>
      <c r="C2231" s="4" t="n"/>
      <c r="E2231" s="5">
        <f>IF(C2231="","",IF(계산!CI2231="","날짜 확인",IF(계산!CJ2231="","금액 확인","")))</f>
        <v/>
      </c>
    </row>
    <row r="2232">
      <c r="A2232" s="3" t="n"/>
      <c r="C2232" s="4" t="n"/>
      <c r="E2232" s="5">
        <f>IF(C2232="","",IF(계산!CI2232="","날짜 확인",IF(계산!CJ2232="","금액 확인","")))</f>
        <v/>
      </c>
    </row>
    <row r="2233">
      <c r="A2233" s="3" t="n"/>
      <c r="C2233" s="4" t="n"/>
      <c r="E2233" s="5">
        <f>IF(C2233="","",IF(계산!CI2233="","날짜 확인",IF(계산!CJ2233="","금액 확인","")))</f>
        <v/>
      </c>
    </row>
    <row r="2234">
      <c r="A2234" s="3" t="n"/>
      <c r="C2234" s="4" t="n"/>
      <c r="E2234" s="5">
        <f>IF(C2234="","",IF(계산!CI2234="","날짜 확인",IF(계산!CJ2234="","금액 확인","")))</f>
        <v/>
      </c>
    </row>
    <row r="2235">
      <c r="A2235" s="3" t="n"/>
      <c r="C2235" s="4" t="n"/>
      <c r="E2235" s="5">
        <f>IF(C2235="","",IF(계산!CI2235="","날짜 확인",IF(계산!CJ2235="","금액 확인","")))</f>
        <v/>
      </c>
    </row>
    <row r="2236">
      <c r="A2236" s="3" t="n"/>
      <c r="C2236" s="4" t="n"/>
      <c r="E2236" s="5">
        <f>IF(C2236="","",IF(계산!CI2236="","날짜 확인",IF(계산!CJ2236="","금액 확인","")))</f>
        <v/>
      </c>
    </row>
    <row r="2237">
      <c r="A2237" s="3" t="n"/>
      <c r="C2237" s="4" t="n"/>
      <c r="E2237" s="5">
        <f>IF(C2237="","",IF(계산!CI2237="","날짜 확인",IF(계산!CJ2237="","금액 확인","")))</f>
        <v/>
      </c>
    </row>
    <row r="2238">
      <c r="A2238" s="3" t="n"/>
      <c r="C2238" s="4" t="n"/>
      <c r="E2238" s="5">
        <f>IF(C2238="","",IF(계산!CI2238="","날짜 확인",IF(계산!CJ2238="","금액 확인","")))</f>
        <v/>
      </c>
    </row>
    <row r="2239">
      <c r="A2239" s="3" t="n"/>
      <c r="C2239" s="4" t="n"/>
      <c r="E2239" s="5">
        <f>IF(C2239="","",IF(계산!CI2239="","날짜 확인",IF(계산!CJ2239="","금액 확인","")))</f>
        <v/>
      </c>
    </row>
    <row r="2240">
      <c r="A2240" s="3" t="n"/>
      <c r="C2240" s="4" t="n"/>
      <c r="E2240" s="5">
        <f>IF(C2240="","",IF(계산!CI2240="","날짜 확인",IF(계산!CJ2240="","금액 확인","")))</f>
        <v/>
      </c>
    </row>
    <row r="2241">
      <c r="A2241" s="3" t="n"/>
      <c r="C2241" s="4" t="n"/>
      <c r="E2241" s="5">
        <f>IF(C2241="","",IF(계산!CI2241="","날짜 확인",IF(계산!CJ2241="","금액 확인","")))</f>
        <v/>
      </c>
    </row>
    <row r="2242">
      <c r="A2242" s="3" t="n"/>
      <c r="C2242" s="4" t="n"/>
      <c r="E2242" s="5">
        <f>IF(C2242="","",IF(계산!CI2242="","날짜 확인",IF(계산!CJ2242="","금액 확인","")))</f>
        <v/>
      </c>
    </row>
    <row r="2243">
      <c r="A2243" s="3" t="n"/>
      <c r="C2243" s="4" t="n"/>
      <c r="E2243" s="5">
        <f>IF(C2243="","",IF(계산!CI2243="","날짜 확인",IF(계산!CJ2243="","금액 확인","")))</f>
        <v/>
      </c>
    </row>
    <row r="2244">
      <c r="A2244" s="3" t="n"/>
      <c r="C2244" s="4" t="n"/>
      <c r="E2244" s="5">
        <f>IF(C2244="","",IF(계산!CI2244="","날짜 확인",IF(계산!CJ2244="","금액 확인","")))</f>
        <v/>
      </c>
    </row>
    <row r="2245">
      <c r="A2245" s="3" t="n"/>
      <c r="C2245" s="4" t="n"/>
      <c r="E2245" s="5">
        <f>IF(C2245="","",IF(계산!CI2245="","날짜 확인",IF(계산!CJ2245="","금액 확인","")))</f>
        <v/>
      </c>
    </row>
    <row r="2246">
      <c r="A2246" s="3" t="n"/>
      <c r="C2246" s="4" t="n"/>
      <c r="E2246" s="5">
        <f>IF(C2246="","",IF(계산!CI2246="","날짜 확인",IF(계산!CJ2246="","금액 확인","")))</f>
        <v/>
      </c>
    </row>
    <row r="2247">
      <c r="A2247" s="3" t="n"/>
      <c r="C2247" s="4" t="n"/>
      <c r="E2247" s="5">
        <f>IF(C2247="","",IF(계산!CI2247="","날짜 확인",IF(계산!CJ2247="","금액 확인","")))</f>
        <v/>
      </c>
    </row>
    <row r="2248">
      <c r="A2248" s="3" t="n"/>
      <c r="C2248" s="4" t="n"/>
      <c r="E2248" s="5">
        <f>IF(C2248="","",IF(계산!CI2248="","날짜 확인",IF(계산!CJ2248="","금액 확인","")))</f>
        <v/>
      </c>
    </row>
    <row r="2249">
      <c r="A2249" s="3" t="n"/>
      <c r="C2249" s="4" t="n"/>
      <c r="E2249" s="5">
        <f>IF(C2249="","",IF(계산!CI2249="","날짜 확인",IF(계산!CJ2249="","금액 확인","")))</f>
        <v/>
      </c>
    </row>
    <row r="2250">
      <c r="A2250" s="3" t="n"/>
      <c r="C2250" s="4" t="n"/>
      <c r="E2250" s="5">
        <f>IF(C2250="","",IF(계산!CI2250="","날짜 확인",IF(계산!CJ2250="","금액 확인","")))</f>
        <v/>
      </c>
    </row>
    <row r="2251">
      <c r="A2251" s="3" t="n"/>
      <c r="C2251" s="4" t="n"/>
      <c r="E2251" s="5">
        <f>IF(C2251="","",IF(계산!CI2251="","날짜 확인",IF(계산!CJ2251="","금액 확인","")))</f>
        <v/>
      </c>
    </row>
    <row r="2252">
      <c r="A2252" s="3" t="n"/>
      <c r="C2252" s="4" t="n"/>
      <c r="E2252" s="5">
        <f>IF(C2252="","",IF(계산!CI2252="","날짜 확인",IF(계산!CJ2252="","금액 확인","")))</f>
        <v/>
      </c>
    </row>
    <row r="2253">
      <c r="A2253" s="3" t="n"/>
      <c r="C2253" s="4" t="n"/>
      <c r="E2253" s="5">
        <f>IF(C2253="","",IF(계산!CI2253="","날짜 확인",IF(계산!CJ2253="","금액 확인","")))</f>
        <v/>
      </c>
    </row>
    <row r="2254">
      <c r="A2254" s="3" t="n"/>
      <c r="C2254" s="4" t="n"/>
      <c r="E2254" s="5">
        <f>IF(C2254="","",IF(계산!CI2254="","날짜 확인",IF(계산!CJ2254="","금액 확인","")))</f>
        <v/>
      </c>
    </row>
    <row r="2255">
      <c r="A2255" s="3" t="n"/>
      <c r="C2255" s="4" t="n"/>
      <c r="E2255" s="5">
        <f>IF(C2255="","",IF(계산!CI2255="","날짜 확인",IF(계산!CJ2255="","금액 확인","")))</f>
        <v/>
      </c>
    </row>
    <row r="2256">
      <c r="A2256" s="3" t="n"/>
      <c r="C2256" s="4" t="n"/>
      <c r="E2256" s="5">
        <f>IF(C2256="","",IF(계산!CI2256="","날짜 확인",IF(계산!CJ2256="","금액 확인","")))</f>
        <v/>
      </c>
    </row>
    <row r="2257">
      <c r="A2257" s="3" t="n"/>
      <c r="C2257" s="4" t="n"/>
      <c r="E2257" s="5">
        <f>IF(C2257="","",IF(계산!CI2257="","날짜 확인",IF(계산!CJ2257="","금액 확인","")))</f>
        <v/>
      </c>
    </row>
    <row r="2258">
      <c r="A2258" s="3" t="n"/>
      <c r="C2258" s="4" t="n"/>
      <c r="E2258" s="5">
        <f>IF(C2258="","",IF(계산!CI2258="","날짜 확인",IF(계산!CJ2258="","금액 확인","")))</f>
        <v/>
      </c>
    </row>
    <row r="2259">
      <c r="A2259" s="3" t="n"/>
      <c r="C2259" s="4" t="n"/>
      <c r="E2259" s="5">
        <f>IF(C2259="","",IF(계산!CI2259="","날짜 확인",IF(계산!CJ2259="","금액 확인","")))</f>
        <v/>
      </c>
    </row>
    <row r="2260">
      <c r="A2260" s="3" t="n"/>
      <c r="C2260" s="4" t="n"/>
      <c r="E2260" s="5">
        <f>IF(C2260="","",IF(계산!CI2260="","날짜 확인",IF(계산!CJ2260="","금액 확인","")))</f>
        <v/>
      </c>
    </row>
    <row r="2261">
      <c r="A2261" s="3" t="n"/>
      <c r="C2261" s="4" t="n"/>
      <c r="E2261" s="5">
        <f>IF(C2261="","",IF(계산!CI2261="","날짜 확인",IF(계산!CJ2261="","금액 확인","")))</f>
        <v/>
      </c>
    </row>
    <row r="2262">
      <c r="A2262" s="3" t="n"/>
      <c r="C2262" s="4" t="n"/>
      <c r="E2262" s="5">
        <f>IF(C2262="","",IF(계산!CI2262="","날짜 확인",IF(계산!CJ2262="","금액 확인","")))</f>
        <v/>
      </c>
    </row>
    <row r="2263">
      <c r="A2263" s="3" t="n"/>
      <c r="C2263" s="4" t="n"/>
      <c r="E2263" s="5">
        <f>IF(C2263="","",IF(계산!CI2263="","날짜 확인",IF(계산!CJ2263="","금액 확인","")))</f>
        <v/>
      </c>
    </row>
    <row r="2264">
      <c r="A2264" s="3" t="n"/>
      <c r="C2264" s="4" t="n"/>
      <c r="E2264" s="5">
        <f>IF(C2264="","",IF(계산!CI2264="","날짜 확인",IF(계산!CJ2264="","금액 확인","")))</f>
        <v/>
      </c>
    </row>
    <row r="2265">
      <c r="A2265" s="3" t="n"/>
      <c r="C2265" s="4" t="n"/>
      <c r="E2265" s="5">
        <f>IF(C2265="","",IF(계산!CI2265="","날짜 확인",IF(계산!CJ2265="","금액 확인","")))</f>
        <v/>
      </c>
    </row>
    <row r="2266">
      <c r="A2266" s="3" t="n"/>
      <c r="C2266" s="4" t="n"/>
      <c r="E2266" s="5">
        <f>IF(C2266="","",IF(계산!CI2266="","날짜 확인",IF(계산!CJ2266="","금액 확인","")))</f>
        <v/>
      </c>
    </row>
    <row r="2267">
      <c r="A2267" s="3" t="n"/>
      <c r="C2267" s="4" t="n"/>
      <c r="E2267" s="5">
        <f>IF(C2267="","",IF(계산!CI2267="","날짜 확인",IF(계산!CJ2267="","금액 확인","")))</f>
        <v/>
      </c>
    </row>
    <row r="2268">
      <c r="A2268" s="3" t="n"/>
      <c r="C2268" s="4" t="n"/>
      <c r="E2268" s="5">
        <f>IF(C2268="","",IF(계산!CI2268="","날짜 확인",IF(계산!CJ2268="","금액 확인","")))</f>
        <v/>
      </c>
    </row>
    <row r="2269">
      <c r="A2269" s="3" t="n"/>
      <c r="C2269" s="4" t="n"/>
      <c r="E2269" s="5">
        <f>IF(C2269="","",IF(계산!CI2269="","날짜 확인",IF(계산!CJ2269="","금액 확인","")))</f>
        <v/>
      </c>
    </row>
    <row r="2270">
      <c r="A2270" s="3" t="n"/>
      <c r="C2270" s="4" t="n"/>
      <c r="E2270" s="5">
        <f>IF(C2270="","",IF(계산!CI2270="","날짜 확인",IF(계산!CJ2270="","금액 확인","")))</f>
        <v/>
      </c>
    </row>
    <row r="2271">
      <c r="A2271" s="3" t="n"/>
      <c r="C2271" s="4" t="n"/>
      <c r="E2271" s="5">
        <f>IF(C2271="","",IF(계산!CI2271="","날짜 확인",IF(계산!CJ2271="","금액 확인","")))</f>
        <v/>
      </c>
    </row>
    <row r="2272">
      <c r="A2272" s="3" t="n"/>
      <c r="C2272" s="4" t="n"/>
      <c r="E2272" s="5">
        <f>IF(C2272="","",IF(계산!CI2272="","날짜 확인",IF(계산!CJ2272="","금액 확인","")))</f>
        <v/>
      </c>
    </row>
    <row r="2273">
      <c r="A2273" s="3" t="n"/>
      <c r="C2273" s="4" t="n"/>
      <c r="E2273" s="5">
        <f>IF(C2273="","",IF(계산!CI2273="","날짜 확인",IF(계산!CJ2273="","금액 확인","")))</f>
        <v/>
      </c>
    </row>
    <row r="2274">
      <c r="A2274" s="3" t="n"/>
      <c r="C2274" s="4" t="n"/>
      <c r="E2274" s="5">
        <f>IF(C2274="","",IF(계산!CI2274="","날짜 확인",IF(계산!CJ2274="","금액 확인","")))</f>
        <v/>
      </c>
    </row>
    <row r="2275">
      <c r="A2275" s="3" t="n"/>
      <c r="C2275" s="4" t="n"/>
      <c r="E2275" s="5">
        <f>IF(C2275="","",IF(계산!CI2275="","날짜 확인",IF(계산!CJ2275="","금액 확인","")))</f>
        <v/>
      </c>
    </row>
    <row r="2276">
      <c r="A2276" s="3" t="n"/>
      <c r="C2276" s="4" t="n"/>
      <c r="E2276" s="5">
        <f>IF(C2276="","",IF(계산!CI2276="","날짜 확인",IF(계산!CJ2276="","금액 확인","")))</f>
        <v/>
      </c>
    </row>
    <row r="2277">
      <c r="A2277" s="3" t="n"/>
      <c r="C2277" s="4" t="n"/>
      <c r="E2277" s="5">
        <f>IF(C2277="","",IF(계산!CI2277="","날짜 확인",IF(계산!CJ2277="","금액 확인","")))</f>
        <v/>
      </c>
    </row>
    <row r="2278">
      <c r="A2278" s="3" t="n"/>
      <c r="C2278" s="4" t="n"/>
      <c r="E2278" s="5">
        <f>IF(C2278="","",IF(계산!CI2278="","날짜 확인",IF(계산!CJ2278="","금액 확인","")))</f>
        <v/>
      </c>
    </row>
    <row r="2279">
      <c r="A2279" s="3" t="n"/>
      <c r="C2279" s="4" t="n"/>
      <c r="E2279" s="5">
        <f>IF(C2279="","",IF(계산!CI2279="","날짜 확인",IF(계산!CJ2279="","금액 확인","")))</f>
        <v/>
      </c>
    </row>
    <row r="2280">
      <c r="A2280" s="3" t="n"/>
      <c r="C2280" s="4" t="n"/>
      <c r="E2280" s="5">
        <f>IF(C2280="","",IF(계산!CI2280="","날짜 확인",IF(계산!CJ2280="","금액 확인","")))</f>
        <v/>
      </c>
    </row>
    <row r="2281">
      <c r="A2281" s="3" t="n"/>
      <c r="C2281" s="4" t="n"/>
      <c r="E2281" s="5">
        <f>IF(C2281="","",IF(계산!CI2281="","날짜 확인",IF(계산!CJ2281="","금액 확인","")))</f>
        <v/>
      </c>
    </row>
    <row r="2282">
      <c r="A2282" s="3" t="n"/>
      <c r="C2282" s="4" t="n"/>
      <c r="E2282" s="5">
        <f>IF(C2282="","",IF(계산!CI2282="","날짜 확인",IF(계산!CJ2282="","금액 확인","")))</f>
        <v/>
      </c>
    </row>
    <row r="2283">
      <c r="A2283" s="3" t="n"/>
      <c r="C2283" s="4" t="n"/>
      <c r="E2283" s="5">
        <f>IF(C2283="","",IF(계산!CI2283="","날짜 확인",IF(계산!CJ2283="","금액 확인","")))</f>
        <v/>
      </c>
    </row>
    <row r="2284">
      <c r="A2284" s="3" t="n"/>
      <c r="C2284" s="4" t="n"/>
      <c r="E2284" s="5">
        <f>IF(C2284="","",IF(계산!CI2284="","날짜 확인",IF(계산!CJ2284="","금액 확인","")))</f>
        <v/>
      </c>
    </row>
    <row r="2285">
      <c r="A2285" s="3" t="n"/>
      <c r="C2285" s="4" t="n"/>
      <c r="E2285" s="5">
        <f>IF(C2285="","",IF(계산!CI2285="","날짜 확인",IF(계산!CJ2285="","금액 확인","")))</f>
        <v/>
      </c>
    </row>
    <row r="2286">
      <c r="A2286" s="3" t="n"/>
      <c r="C2286" s="4" t="n"/>
      <c r="E2286" s="5">
        <f>IF(C2286="","",IF(계산!CI2286="","날짜 확인",IF(계산!CJ2286="","금액 확인","")))</f>
        <v/>
      </c>
    </row>
    <row r="2287">
      <c r="A2287" s="3" t="n"/>
      <c r="C2287" s="4" t="n"/>
      <c r="E2287" s="5">
        <f>IF(C2287="","",IF(계산!CI2287="","날짜 확인",IF(계산!CJ2287="","금액 확인","")))</f>
        <v/>
      </c>
    </row>
    <row r="2288">
      <c r="A2288" s="3" t="n"/>
      <c r="C2288" s="4" t="n"/>
      <c r="E2288" s="5">
        <f>IF(C2288="","",IF(계산!CI2288="","날짜 확인",IF(계산!CJ2288="","금액 확인","")))</f>
        <v/>
      </c>
    </row>
    <row r="2289">
      <c r="A2289" s="3" t="n"/>
      <c r="C2289" s="4" t="n"/>
      <c r="E2289" s="5">
        <f>IF(C2289="","",IF(계산!CI2289="","날짜 확인",IF(계산!CJ2289="","금액 확인","")))</f>
        <v/>
      </c>
    </row>
    <row r="2290">
      <c r="A2290" s="3" t="n"/>
      <c r="C2290" s="4" t="n"/>
      <c r="E2290" s="5">
        <f>IF(C2290="","",IF(계산!CI2290="","날짜 확인",IF(계산!CJ2290="","금액 확인","")))</f>
        <v/>
      </c>
    </row>
    <row r="2291">
      <c r="A2291" s="3" t="n"/>
      <c r="C2291" s="4" t="n"/>
      <c r="E2291" s="5">
        <f>IF(C2291="","",IF(계산!CI2291="","날짜 확인",IF(계산!CJ2291="","금액 확인","")))</f>
        <v/>
      </c>
    </row>
    <row r="2292">
      <c r="A2292" s="3" t="n"/>
      <c r="C2292" s="4" t="n"/>
      <c r="E2292" s="5">
        <f>IF(C2292="","",IF(계산!CI2292="","날짜 확인",IF(계산!CJ2292="","금액 확인","")))</f>
        <v/>
      </c>
    </row>
    <row r="2293">
      <c r="A2293" s="3" t="n"/>
      <c r="C2293" s="4" t="n"/>
      <c r="E2293" s="5">
        <f>IF(C2293="","",IF(계산!CI2293="","날짜 확인",IF(계산!CJ2293="","금액 확인","")))</f>
        <v/>
      </c>
    </row>
    <row r="2294">
      <c r="A2294" s="3" t="n"/>
      <c r="C2294" s="4" t="n"/>
      <c r="E2294" s="5">
        <f>IF(C2294="","",IF(계산!CI2294="","날짜 확인",IF(계산!CJ2294="","금액 확인","")))</f>
        <v/>
      </c>
    </row>
    <row r="2295">
      <c r="A2295" s="3" t="n"/>
      <c r="C2295" s="4" t="n"/>
      <c r="E2295" s="5">
        <f>IF(C2295="","",IF(계산!CI2295="","날짜 확인",IF(계산!CJ2295="","금액 확인","")))</f>
        <v/>
      </c>
    </row>
    <row r="2296">
      <c r="A2296" s="3" t="n"/>
      <c r="C2296" s="4" t="n"/>
      <c r="E2296" s="5">
        <f>IF(C2296="","",IF(계산!CI2296="","날짜 확인",IF(계산!CJ2296="","금액 확인","")))</f>
        <v/>
      </c>
    </row>
    <row r="2297">
      <c r="A2297" s="3" t="n"/>
      <c r="C2297" s="4" t="n"/>
      <c r="E2297" s="5">
        <f>IF(C2297="","",IF(계산!CI2297="","날짜 확인",IF(계산!CJ2297="","금액 확인","")))</f>
        <v/>
      </c>
    </row>
    <row r="2298">
      <c r="A2298" s="3" t="n"/>
      <c r="C2298" s="4" t="n"/>
      <c r="E2298" s="5">
        <f>IF(C2298="","",IF(계산!CI2298="","날짜 확인",IF(계산!CJ2298="","금액 확인","")))</f>
        <v/>
      </c>
    </row>
    <row r="2299">
      <c r="A2299" s="3" t="n"/>
      <c r="C2299" s="4" t="n"/>
      <c r="E2299" s="5">
        <f>IF(C2299="","",IF(계산!CI2299="","날짜 확인",IF(계산!CJ2299="","금액 확인","")))</f>
        <v/>
      </c>
    </row>
    <row r="2300">
      <c r="A2300" s="3" t="n"/>
      <c r="C2300" s="4" t="n"/>
      <c r="E2300" s="5">
        <f>IF(C2300="","",IF(계산!CI2300="","날짜 확인",IF(계산!CJ2300="","금액 확인","")))</f>
        <v/>
      </c>
    </row>
    <row r="2301">
      <c r="A2301" s="3" t="n"/>
      <c r="C2301" s="4" t="n"/>
      <c r="E2301" s="5">
        <f>IF(C2301="","",IF(계산!CI2301="","날짜 확인",IF(계산!CJ2301="","금액 확인","")))</f>
        <v/>
      </c>
    </row>
    <row r="2302">
      <c r="A2302" s="3" t="n"/>
      <c r="C2302" s="4" t="n"/>
      <c r="E2302" s="5">
        <f>IF(C2302="","",IF(계산!CI2302="","날짜 확인",IF(계산!CJ2302="","금액 확인","")))</f>
        <v/>
      </c>
    </row>
    <row r="2303">
      <c r="A2303" s="3" t="n"/>
      <c r="C2303" s="4" t="n"/>
      <c r="E2303" s="5">
        <f>IF(C2303="","",IF(계산!CI2303="","날짜 확인",IF(계산!CJ2303="","금액 확인","")))</f>
        <v/>
      </c>
    </row>
    <row r="2304">
      <c r="A2304" s="3" t="n"/>
      <c r="C2304" s="4" t="n"/>
      <c r="E2304" s="5">
        <f>IF(C2304="","",IF(계산!CI2304="","날짜 확인",IF(계산!CJ2304="","금액 확인","")))</f>
        <v/>
      </c>
    </row>
    <row r="2305">
      <c r="A2305" s="3" t="n"/>
      <c r="C2305" s="4" t="n"/>
      <c r="E2305" s="5">
        <f>IF(C2305="","",IF(계산!CI2305="","날짜 확인",IF(계산!CJ2305="","금액 확인","")))</f>
        <v/>
      </c>
    </row>
    <row r="2306">
      <c r="A2306" s="3" t="n"/>
      <c r="C2306" s="4" t="n"/>
      <c r="E2306" s="5">
        <f>IF(C2306="","",IF(계산!CI2306="","날짜 확인",IF(계산!CJ2306="","금액 확인","")))</f>
        <v/>
      </c>
    </row>
    <row r="2307">
      <c r="A2307" s="3" t="n"/>
      <c r="C2307" s="4" t="n"/>
      <c r="E2307" s="5">
        <f>IF(C2307="","",IF(계산!CI2307="","날짜 확인",IF(계산!CJ2307="","금액 확인","")))</f>
        <v/>
      </c>
    </row>
    <row r="2308">
      <c r="A2308" s="3" t="n"/>
      <c r="C2308" s="4" t="n"/>
      <c r="E2308" s="5">
        <f>IF(C2308="","",IF(계산!CI2308="","날짜 확인",IF(계산!CJ2308="","금액 확인","")))</f>
        <v/>
      </c>
    </row>
    <row r="2309">
      <c r="A2309" s="3" t="n"/>
      <c r="C2309" s="4" t="n"/>
      <c r="E2309" s="5">
        <f>IF(C2309="","",IF(계산!CI2309="","날짜 확인",IF(계산!CJ2309="","금액 확인","")))</f>
        <v/>
      </c>
    </row>
    <row r="2310">
      <c r="A2310" s="3" t="n"/>
      <c r="C2310" s="4" t="n"/>
      <c r="E2310" s="5">
        <f>IF(C2310="","",IF(계산!CI2310="","날짜 확인",IF(계산!CJ2310="","금액 확인","")))</f>
        <v/>
      </c>
    </row>
    <row r="2311">
      <c r="A2311" s="3" t="n"/>
      <c r="C2311" s="4" t="n"/>
      <c r="E2311" s="5">
        <f>IF(C2311="","",IF(계산!CI2311="","날짜 확인",IF(계산!CJ2311="","금액 확인","")))</f>
        <v/>
      </c>
    </row>
    <row r="2312">
      <c r="A2312" s="3" t="n"/>
      <c r="C2312" s="4" t="n"/>
      <c r="E2312" s="5">
        <f>IF(C2312="","",IF(계산!CI2312="","날짜 확인",IF(계산!CJ2312="","금액 확인","")))</f>
        <v/>
      </c>
    </row>
    <row r="2313">
      <c r="A2313" s="3" t="n"/>
      <c r="C2313" s="4" t="n"/>
      <c r="E2313" s="5">
        <f>IF(C2313="","",IF(계산!CI2313="","날짜 확인",IF(계산!CJ2313="","금액 확인","")))</f>
        <v/>
      </c>
    </row>
    <row r="2314">
      <c r="A2314" s="3" t="n"/>
      <c r="C2314" s="4" t="n"/>
      <c r="E2314" s="5">
        <f>IF(C2314="","",IF(계산!CI2314="","날짜 확인",IF(계산!CJ2314="","금액 확인","")))</f>
        <v/>
      </c>
    </row>
    <row r="2315">
      <c r="A2315" s="3" t="n"/>
      <c r="C2315" s="4" t="n"/>
      <c r="E2315" s="5">
        <f>IF(C2315="","",IF(계산!CI2315="","날짜 확인",IF(계산!CJ2315="","금액 확인","")))</f>
        <v/>
      </c>
    </row>
    <row r="2316">
      <c r="A2316" s="3" t="n"/>
      <c r="C2316" s="4" t="n"/>
      <c r="E2316" s="5">
        <f>IF(C2316="","",IF(계산!CI2316="","날짜 확인",IF(계산!CJ2316="","금액 확인","")))</f>
        <v/>
      </c>
    </row>
    <row r="2317">
      <c r="A2317" s="3" t="n"/>
      <c r="C2317" s="4" t="n"/>
      <c r="E2317" s="5">
        <f>IF(C2317="","",IF(계산!CI2317="","날짜 확인",IF(계산!CJ2317="","금액 확인","")))</f>
        <v/>
      </c>
    </row>
    <row r="2318">
      <c r="A2318" s="3" t="n"/>
      <c r="C2318" s="4" t="n"/>
      <c r="E2318" s="5">
        <f>IF(C2318="","",IF(계산!CI2318="","날짜 확인",IF(계산!CJ2318="","금액 확인","")))</f>
        <v/>
      </c>
    </row>
    <row r="2319">
      <c r="A2319" s="3" t="n"/>
      <c r="C2319" s="4" t="n"/>
      <c r="E2319" s="5">
        <f>IF(C2319="","",IF(계산!CI2319="","날짜 확인",IF(계산!CJ2319="","금액 확인","")))</f>
        <v/>
      </c>
    </row>
    <row r="2320">
      <c r="A2320" s="3" t="n"/>
      <c r="C2320" s="4" t="n"/>
      <c r="E2320" s="5">
        <f>IF(C2320="","",IF(계산!CI2320="","날짜 확인",IF(계산!CJ2320="","금액 확인","")))</f>
        <v/>
      </c>
    </row>
    <row r="2321">
      <c r="A2321" s="3" t="n"/>
      <c r="C2321" s="4" t="n"/>
      <c r="E2321" s="5">
        <f>IF(C2321="","",IF(계산!CI2321="","날짜 확인",IF(계산!CJ2321="","금액 확인","")))</f>
        <v/>
      </c>
    </row>
    <row r="2322">
      <c r="A2322" s="3" t="n"/>
      <c r="C2322" s="4" t="n"/>
      <c r="E2322" s="5">
        <f>IF(C2322="","",IF(계산!CI2322="","날짜 확인",IF(계산!CJ2322="","금액 확인","")))</f>
        <v/>
      </c>
    </row>
    <row r="2323">
      <c r="A2323" s="3" t="n"/>
      <c r="C2323" s="4" t="n"/>
      <c r="E2323" s="5">
        <f>IF(C2323="","",IF(계산!CI2323="","날짜 확인",IF(계산!CJ2323="","금액 확인","")))</f>
        <v/>
      </c>
    </row>
    <row r="2324">
      <c r="A2324" s="3" t="n"/>
      <c r="C2324" s="4" t="n"/>
      <c r="E2324" s="5">
        <f>IF(C2324="","",IF(계산!CI2324="","날짜 확인",IF(계산!CJ2324="","금액 확인","")))</f>
        <v/>
      </c>
    </row>
    <row r="2325">
      <c r="A2325" s="3" t="n"/>
      <c r="C2325" s="4" t="n"/>
      <c r="E2325" s="5">
        <f>IF(C2325="","",IF(계산!CI2325="","날짜 확인",IF(계산!CJ2325="","금액 확인","")))</f>
        <v/>
      </c>
    </row>
    <row r="2326">
      <c r="A2326" s="3" t="n"/>
      <c r="C2326" s="4" t="n"/>
      <c r="E2326" s="5">
        <f>IF(C2326="","",IF(계산!CI2326="","날짜 확인",IF(계산!CJ2326="","금액 확인","")))</f>
        <v/>
      </c>
    </row>
    <row r="2327">
      <c r="A2327" s="3" t="n"/>
      <c r="C2327" s="4" t="n"/>
      <c r="E2327" s="5">
        <f>IF(C2327="","",IF(계산!CI2327="","날짜 확인",IF(계산!CJ2327="","금액 확인","")))</f>
        <v/>
      </c>
    </row>
    <row r="2328">
      <c r="A2328" s="3" t="n"/>
      <c r="C2328" s="4" t="n"/>
      <c r="E2328" s="5">
        <f>IF(C2328="","",IF(계산!CI2328="","날짜 확인",IF(계산!CJ2328="","금액 확인","")))</f>
        <v/>
      </c>
    </row>
    <row r="2329">
      <c r="A2329" s="3" t="n"/>
      <c r="C2329" s="4" t="n"/>
      <c r="E2329" s="5">
        <f>IF(C2329="","",IF(계산!CI2329="","날짜 확인",IF(계산!CJ2329="","금액 확인","")))</f>
        <v/>
      </c>
    </row>
    <row r="2330">
      <c r="A2330" s="3" t="n"/>
      <c r="C2330" s="4" t="n"/>
      <c r="E2330" s="5">
        <f>IF(C2330="","",IF(계산!CI2330="","날짜 확인",IF(계산!CJ2330="","금액 확인","")))</f>
        <v/>
      </c>
    </row>
    <row r="2331">
      <c r="A2331" s="3" t="n"/>
      <c r="C2331" s="4" t="n"/>
      <c r="E2331" s="5">
        <f>IF(C2331="","",IF(계산!CI2331="","날짜 확인",IF(계산!CJ2331="","금액 확인","")))</f>
        <v/>
      </c>
    </row>
    <row r="2332">
      <c r="A2332" s="3" t="n"/>
      <c r="C2332" s="4" t="n"/>
      <c r="E2332" s="5">
        <f>IF(C2332="","",IF(계산!CI2332="","날짜 확인",IF(계산!CJ2332="","금액 확인","")))</f>
        <v/>
      </c>
    </row>
    <row r="2333">
      <c r="A2333" s="3" t="n"/>
      <c r="C2333" s="4" t="n"/>
      <c r="E2333" s="5">
        <f>IF(C2333="","",IF(계산!CI2333="","날짜 확인",IF(계산!CJ2333="","금액 확인","")))</f>
        <v/>
      </c>
    </row>
    <row r="2334">
      <c r="A2334" s="3" t="n"/>
      <c r="C2334" s="4" t="n"/>
      <c r="E2334" s="5">
        <f>IF(C2334="","",IF(계산!CI2334="","날짜 확인",IF(계산!CJ2334="","금액 확인","")))</f>
        <v/>
      </c>
    </row>
    <row r="2335">
      <c r="A2335" s="3" t="n"/>
      <c r="C2335" s="4" t="n"/>
      <c r="E2335" s="5">
        <f>IF(C2335="","",IF(계산!CI2335="","날짜 확인",IF(계산!CJ2335="","금액 확인","")))</f>
        <v/>
      </c>
    </row>
    <row r="2336">
      <c r="A2336" s="3" t="n"/>
      <c r="C2336" s="4" t="n"/>
      <c r="E2336" s="5">
        <f>IF(C2336="","",IF(계산!CI2336="","날짜 확인",IF(계산!CJ2336="","금액 확인","")))</f>
        <v/>
      </c>
    </row>
    <row r="2337">
      <c r="A2337" s="3" t="n"/>
      <c r="C2337" s="4" t="n"/>
      <c r="E2337" s="5">
        <f>IF(C2337="","",IF(계산!CI2337="","날짜 확인",IF(계산!CJ2337="","금액 확인","")))</f>
        <v/>
      </c>
    </row>
    <row r="2338">
      <c r="A2338" s="3" t="n"/>
      <c r="C2338" s="4" t="n"/>
      <c r="E2338" s="5">
        <f>IF(C2338="","",IF(계산!CI2338="","날짜 확인",IF(계산!CJ2338="","금액 확인","")))</f>
        <v/>
      </c>
    </row>
    <row r="2339">
      <c r="A2339" s="3" t="n"/>
      <c r="C2339" s="4" t="n"/>
      <c r="E2339" s="5">
        <f>IF(C2339="","",IF(계산!CI2339="","날짜 확인",IF(계산!CJ2339="","금액 확인","")))</f>
        <v/>
      </c>
    </row>
    <row r="2340">
      <c r="A2340" s="3" t="n"/>
      <c r="C2340" s="4" t="n"/>
      <c r="E2340" s="5">
        <f>IF(C2340="","",IF(계산!CI2340="","날짜 확인",IF(계산!CJ2340="","금액 확인","")))</f>
        <v/>
      </c>
    </row>
    <row r="2341">
      <c r="A2341" s="3" t="n"/>
      <c r="C2341" s="4" t="n"/>
      <c r="E2341" s="5">
        <f>IF(C2341="","",IF(계산!CI2341="","날짜 확인",IF(계산!CJ2341="","금액 확인","")))</f>
        <v/>
      </c>
    </row>
    <row r="2342">
      <c r="A2342" s="3" t="n"/>
      <c r="C2342" s="4" t="n"/>
      <c r="E2342" s="5">
        <f>IF(C2342="","",IF(계산!CI2342="","날짜 확인",IF(계산!CJ2342="","금액 확인","")))</f>
        <v/>
      </c>
    </row>
    <row r="2343">
      <c r="A2343" s="3" t="n"/>
      <c r="C2343" s="4" t="n"/>
      <c r="E2343" s="5">
        <f>IF(C2343="","",IF(계산!CI2343="","날짜 확인",IF(계산!CJ2343="","금액 확인","")))</f>
        <v/>
      </c>
    </row>
    <row r="2344">
      <c r="A2344" s="3" t="n"/>
      <c r="C2344" s="4" t="n"/>
      <c r="E2344" s="5">
        <f>IF(C2344="","",IF(계산!CI2344="","날짜 확인",IF(계산!CJ2344="","금액 확인","")))</f>
        <v/>
      </c>
    </row>
    <row r="2345">
      <c r="A2345" s="3" t="n"/>
      <c r="C2345" s="4" t="n"/>
      <c r="E2345" s="5">
        <f>IF(C2345="","",IF(계산!CI2345="","날짜 확인",IF(계산!CJ2345="","금액 확인","")))</f>
        <v/>
      </c>
    </row>
    <row r="2346">
      <c r="A2346" s="3" t="n"/>
      <c r="C2346" s="4" t="n"/>
      <c r="E2346" s="5">
        <f>IF(C2346="","",IF(계산!CI2346="","날짜 확인",IF(계산!CJ2346="","금액 확인","")))</f>
        <v/>
      </c>
    </row>
    <row r="2347">
      <c r="A2347" s="3" t="n"/>
      <c r="C2347" s="4" t="n"/>
      <c r="E2347" s="5">
        <f>IF(C2347="","",IF(계산!CI2347="","날짜 확인",IF(계산!CJ2347="","금액 확인","")))</f>
        <v/>
      </c>
    </row>
    <row r="2348">
      <c r="A2348" s="3" t="n"/>
      <c r="C2348" s="4" t="n"/>
      <c r="E2348" s="5">
        <f>IF(C2348="","",IF(계산!CI2348="","날짜 확인",IF(계산!CJ2348="","금액 확인","")))</f>
        <v/>
      </c>
    </row>
    <row r="2349">
      <c r="A2349" s="3" t="n"/>
      <c r="C2349" s="4" t="n"/>
      <c r="E2349" s="5">
        <f>IF(C2349="","",IF(계산!CI2349="","날짜 확인",IF(계산!CJ2349="","금액 확인","")))</f>
        <v/>
      </c>
    </row>
    <row r="2350">
      <c r="A2350" s="3" t="n"/>
      <c r="C2350" s="4" t="n"/>
      <c r="E2350" s="5">
        <f>IF(C2350="","",IF(계산!CI2350="","날짜 확인",IF(계산!CJ2350="","금액 확인","")))</f>
        <v/>
      </c>
    </row>
    <row r="2351">
      <c r="A2351" s="3" t="n"/>
      <c r="C2351" s="4" t="n"/>
      <c r="E2351" s="5">
        <f>IF(C2351="","",IF(계산!CI2351="","날짜 확인",IF(계산!CJ2351="","금액 확인","")))</f>
        <v/>
      </c>
    </row>
    <row r="2352">
      <c r="A2352" s="3" t="n"/>
      <c r="C2352" s="4" t="n"/>
      <c r="E2352" s="5">
        <f>IF(C2352="","",IF(계산!CI2352="","날짜 확인",IF(계산!CJ2352="","금액 확인","")))</f>
        <v/>
      </c>
    </row>
    <row r="2353">
      <c r="A2353" s="3" t="n"/>
      <c r="C2353" s="4" t="n"/>
      <c r="E2353" s="5">
        <f>IF(C2353="","",IF(계산!CI2353="","날짜 확인",IF(계산!CJ2353="","금액 확인","")))</f>
        <v/>
      </c>
    </row>
    <row r="2354">
      <c r="A2354" s="3" t="n"/>
      <c r="C2354" s="4" t="n"/>
      <c r="E2354" s="5">
        <f>IF(C2354="","",IF(계산!CI2354="","날짜 확인",IF(계산!CJ2354="","금액 확인","")))</f>
        <v/>
      </c>
    </row>
    <row r="2355">
      <c r="A2355" s="3" t="n"/>
      <c r="C2355" s="4" t="n"/>
      <c r="E2355" s="5">
        <f>IF(C2355="","",IF(계산!CI2355="","날짜 확인",IF(계산!CJ2355="","금액 확인","")))</f>
        <v/>
      </c>
    </row>
    <row r="2356">
      <c r="A2356" s="3" t="n"/>
      <c r="C2356" s="4" t="n"/>
      <c r="E2356" s="5">
        <f>IF(C2356="","",IF(계산!CI2356="","날짜 확인",IF(계산!CJ2356="","금액 확인","")))</f>
        <v/>
      </c>
    </row>
    <row r="2357">
      <c r="A2357" s="3" t="n"/>
      <c r="C2357" s="4" t="n"/>
      <c r="E2357" s="5">
        <f>IF(C2357="","",IF(계산!CI2357="","날짜 확인",IF(계산!CJ2357="","금액 확인","")))</f>
        <v/>
      </c>
    </row>
    <row r="2358">
      <c r="A2358" s="3" t="n"/>
      <c r="C2358" s="4" t="n"/>
      <c r="E2358" s="5">
        <f>IF(C2358="","",IF(계산!CI2358="","날짜 확인",IF(계산!CJ2358="","금액 확인","")))</f>
        <v/>
      </c>
    </row>
    <row r="2359">
      <c r="A2359" s="3" t="n"/>
      <c r="C2359" s="4" t="n"/>
      <c r="E2359" s="5">
        <f>IF(C2359="","",IF(계산!CI2359="","날짜 확인",IF(계산!CJ2359="","금액 확인","")))</f>
        <v/>
      </c>
    </row>
    <row r="2360">
      <c r="A2360" s="3" t="n"/>
      <c r="C2360" s="4" t="n"/>
      <c r="E2360" s="5">
        <f>IF(C2360="","",IF(계산!CI2360="","날짜 확인",IF(계산!CJ2360="","금액 확인","")))</f>
        <v/>
      </c>
    </row>
    <row r="2361">
      <c r="A2361" s="3" t="n"/>
      <c r="C2361" s="4" t="n"/>
      <c r="E2361" s="5">
        <f>IF(C2361="","",IF(계산!CI2361="","날짜 확인",IF(계산!CJ2361="","금액 확인","")))</f>
        <v/>
      </c>
    </row>
    <row r="2362">
      <c r="A2362" s="3" t="n"/>
      <c r="C2362" s="4" t="n"/>
      <c r="E2362" s="5">
        <f>IF(C2362="","",IF(계산!CI2362="","날짜 확인",IF(계산!CJ2362="","금액 확인","")))</f>
        <v/>
      </c>
    </row>
    <row r="2363">
      <c r="A2363" s="3" t="n"/>
      <c r="C2363" s="4" t="n"/>
      <c r="E2363" s="5">
        <f>IF(C2363="","",IF(계산!CI2363="","날짜 확인",IF(계산!CJ2363="","금액 확인","")))</f>
        <v/>
      </c>
    </row>
    <row r="2364">
      <c r="A2364" s="3" t="n"/>
      <c r="C2364" s="4" t="n"/>
      <c r="E2364" s="5">
        <f>IF(C2364="","",IF(계산!CI2364="","날짜 확인",IF(계산!CJ2364="","금액 확인","")))</f>
        <v/>
      </c>
    </row>
    <row r="2365">
      <c r="A2365" s="3" t="n"/>
      <c r="C2365" s="4" t="n"/>
      <c r="E2365" s="5">
        <f>IF(C2365="","",IF(계산!CI2365="","날짜 확인",IF(계산!CJ2365="","금액 확인","")))</f>
        <v/>
      </c>
    </row>
    <row r="2366">
      <c r="A2366" s="3" t="n"/>
      <c r="C2366" s="4" t="n"/>
      <c r="E2366" s="5">
        <f>IF(C2366="","",IF(계산!CI2366="","날짜 확인",IF(계산!CJ2366="","금액 확인","")))</f>
        <v/>
      </c>
    </row>
    <row r="2367">
      <c r="A2367" s="3" t="n"/>
      <c r="C2367" s="4" t="n"/>
      <c r="E2367" s="5">
        <f>IF(C2367="","",IF(계산!CI2367="","날짜 확인",IF(계산!CJ2367="","금액 확인","")))</f>
        <v/>
      </c>
    </row>
    <row r="2368">
      <c r="A2368" s="3" t="n"/>
      <c r="C2368" s="4" t="n"/>
      <c r="E2368" s="5">
        <f>IF(C2368="","",IF(계산!CI2368="","날짜 확인",IF(계산!CJ2368="","금액 확인","")))</f>
        <v/>
      </c>
    </row>
    <row r="2369">
      <c r="A2369" s="3" t="n"/>
      <c r="C2369" s="4" t="n"/>
      <c r="E2369" s="5">
        <f>IF(C2369="","",IF(계산!CI2369="","날짜 확인",IF(계산!CJ2369="","금액 확인","")))</f>
        <v/>
      </c>
    </row>
    <row r="2370">
      <c r="A2370" s="3" t="n"/>
      <c r="C2370" s="4" t="n"/>
      <c r="E2370" s="5">
        <f>IF(C2370="","",IF(계산!CI2370="","날짜 확인",IF(계산!CJ2370="","금액 확인","")))</f>
        <v/>
      </c>
    </row>
    <row r="2371">
      <c r="A2371" s="3" t="n"/>
      <c r="C2371" s="4" t="n"/>
      <c r="E2371" s="5">
        <f>IF(C2371="","",IF(계산!CI2371="","날짜 확인",IF(계산!CJ2371="","금액 확인","")))</f>
        <v/>
      </c>
    </row>
    <row r="2372">
      <c r="A2372" s="3" t="n"/>
      <c r="C2372" s="4" t="n"/>
      <c r="E2372" s="5">
        <f>IF(C2372="","",IF(계산!CI2372="","날짜 확인",IF(계산!CJ2372="","금액 확인","")))</f>
        <v/>
      </c>
    </row>
    <row r="2373">
      <c r="A2373" s="3" t="n"/>
      <c r="C2373" s="4" t="n"/>
      <c r="E2373" s="5">
        <f>IF(C2373="","",IF(계산!CI2373="","날짜 확인",IF(계산!CJ2373="","금액 확인","")))</f>
        <v/>
      </c>
    </row>
    <row r="2374">
      <c r="A2374" s="3" t="n"/>
      <c r="C2374" s="4" t="n"/>
      <c r="E2374" s="5">
        <f>IF(C2374="","",IF(계산!CI2374="","날짜 확인",IF(계산!CJ2374="","금액 확인","")))</f>
        <v/>
      </c>
    </row>
    <row r="2375">
      <c r="A2375" s="3" t="n"/>
      <c r="C2375" s="4" t="n"/>
      <c r="E2375" s="5">
        <f>IF(C2375="","",IF(계산!CI2375="","날짜 확인",IF(계산!CJ2375="","금액 확인","")))</f>
        <v/>
      </c>
    </row>
    <row r="2376">
      <c r="A2376" s="3" t="n"/>
      <c r="C2376" s="4" t="n"/>
      <c r="E2376" s="5">
        <f>IF(C2376="","",IF(계산!CI2376="","날짜 확인",IF(계산!CJ2376="","금액 확인","")))</f>
        <v/>
      </c>
    </row>
    <row r="2377">
      <c r="A2377" s="3" t="n"/>
      <c r="C2377" s="4" t="n"/>
      <c r="E2377" s="5">
        <f>IF(C2377="","",IF(계산!CI2377="","날짜 확인",IF(계산!CJ2377="","금액 확인","")))</f>
        <v/>
      </c>
    </row>
    <row r="2378">
      <c r="A2378" s="3" t="n"/>
      <c r="C2378" s="4" t="n"/>
      <c r="E2378" s="5">
        <f>IF(C2378="","",IF(계산!CI2378="","날짜 확인",IF(계산!CJ2378="","금액 확인","")))</f>
        <v/>
      </c>
    </row>
    <row r="2379">
      <c r="A2379" s="3" t="n"/>
      <c r="C2379" s="4" t="n"/>
      <c r="E2379" s="5">
        <f>IF(C2379="","",IF(계산!CI2379="","날짜 확인",IF(계산!CJ2379="","금액 확인","")))</f>
        <v/>
      </c>
    </row>
    <row r="2380">
      <c r="A2380" s="3" t="n"/>
      <c r="C2380" s="4" t="n"/>
      <c r="E2380" s="5">
        <f>IF(C2380="","",IF(계산!CI2380="","날짜 확인",IF(계산!CJ2380="","금액 확인","")))</f>
        <v/>
      </c>
    </row>
    <row r="2381">
      <c r="A2381" s="3" t="n"/>
      <c r="C2381" s="4" t="n"/>
      <c r="E2381" s="5">
        <f>IF(C2381="","",IF(계산!CI2381="","날짜 확인",IF(계산!CJ2381="","금액 확인","")))</f>
        <v/>
      </c>
    </row>
    <row r="2382">
      <c r="A2382" s="3" t="n"/>
      <c r="C2382" s="4" t="n"/>
      <c r="E2382" s="5">
        <f>IF(C2382="","",IF(계산!CI2382="","날짜 확인",IF(계산!CJ2382="","금액 확인","")))</f>
        <v/>
      </c>
    </row>
    <row r="2383">
      <c r="A2383" s="3" t="n"/>
      <c r="C2383" s="4" t="n"/>
      <c r="E2383" s="5">
        <f>IF(C2383="","",IF(계산!CI2383="","날짜 확인",IF(계산!CJ2383="","금액 확인","")))</f>
        <v/>
      </c>
    </row>
    <row r="2384">
      <c r="A2384" s="3" t="n"/>
      <c r="C2384" s="4" t="n"/>
      <c r="E2384" s="5">
        <f>IF(C2384="","",IF(계산!CI2384="","날짜 확인",IF(계산!CJ2384="","금액 확인","")))</f>
        <v/>
      </c>
    </row>
    <row r="2385">
      <c r="A2385" s="3" t="n"/>
      <c r="C2385" s="4" t="n"/>
      <c r="E2385" s="5">
        <f>IF(C2385="","",IF(계산!CI2385="","날짜 확인",IF(계산!CJ2385="","금액 확인","")))</f>
        <v/>
      </c>
    </row>
    <row r="2386">
      <c r="A2386" s="3" t="n"/>
      <c r="C2386" s="4" t="n"/>
      <c r="E2386" s="5">
        <f>IF(C2386="","",IF(계산!CI2386="","날짜 확인",IF(계산!CJ2386="","금액 확인","")))</f>
        <v/>
      </c>
    </row>
    <row r="2387">
      <c r="A2387" s="3" t="n"/>
      <c r="C2387" s="4" t="n"/>
      <c r="E2387" s="5">
        <f>IF(C2387="","",IF(계산!CI2387="","날짜 확인",IF(계산!CJ2387="","금액 확인","")))</f>
        <v/>
      </c>
    </row>
    <row r="2388">
      <c r="A2388" s="3" t="n"/>
      <c r="C2388" s="4" t="n"/>
      <c r="E2388" s="5">
        <f>IF(C2388="","",IF(계산!CI2388="","날짜 확인",IF(계산!CJ2388="","금액 확인","")))</f>
        <v/>
      </c>
    </row>
    <row r="2389">
      <c r="A2389" s="3" t="n"/>
      <c r="C2389" s="4" t="n"/>
      <c r="E2389" s="5">
        <f>IF(C2389="","",IF(계산!CI2389="","날짜 확인",IF(계산!CJ2389="","금액 확인","")))</f>
        <v/>
      </c>
    </row>
    <row r="2390">
      <c r="A2390" s="3" t="n"/>
      <c r="C2390" s="4" t="n"/>
      <c r="E2390" s="5">
        <f>IF(C2390="","",IF(계산!CI2390="","날짜 확인",IF(계산!CJ2390="","금액 확인","")))</f>
        <v/>
      </c>
    </row>
    <row r="2391">
      <c r="A2391" s="3" t="n"/>
      <c r="C2391" s="4" t="n"/>
      <c r="E2391" s="5">
        <f>IF(C2391="","",IF(계산!CI2391="","날짜 확인",IF(계산!CJ2391="","금액 확인","")))</f>
        <v/>
      </c>
    </row>
    <row r="2392">
      <c r="A2392" s="3" t="n"/>
      <c r="C2392" s="4" t="n"/>
      <c r="E2392" s="5">
        <f>IF(C2392="","",IF(계산!CI2392="","날짜 확인",IF(계산!CJ2392="","금액 확인","")))</f>
        <v/>
      </c>
    </row>
    <row r="2393">
      <c r="A2393" s="3" t="n"/>
      <c r="C2393" s="4" t="n"/>
      <c r="E2393" s="5">
        <f>IF(C2393="","",IF(계산!CI2393="","날짜 확인",IF(계산!CJ2393="","금액 확인","")))</f>
        <v/>
      </c>
    </row>
    <row r="2394">
      <c r="A2394" s="3" t="n"/>
      <c r="C2394" s="4" t="n"/>
      <c r="E2394" s="5">
        <f>IF(C2394="","",IF(계산!CI2394="","날짜 확인",IF(계산!CJ2394="","금액 확인","")))</f>
        <v/>
      </c>
    </row>
    <row r="2395">
      <c r="A2395" s="3" t="n"/>
      <c r="C2395" s="4" t="n"/>
      <c r="E2395" s="5">
        <f>IF(C2395="","",IF(계산!CI2395="","날짜 확인",IF(계산!CJ2395="","금액 확인","")))</f>
        <v/>
      </c>
    </row>
    <row r="2396">
      <c r="A2396" s="3" t="n"/>
      <c r="C2396" s="4" t="n"/>
      <c r="E2396" s="5">
        <f>IF(C2396="","",IF(계산!CI2396="","날짜 확인",IF(계산!CJ2396="","금액 확인","")))</f>
        <v/>
      </c>
    </row>
    <row r="2397">
      <c r="A2397" s="3" t="n"/>
      <c r="C2397" s="4" t="n"/>
      <c r="E2397" s="5">
        <f>IF(C2397="","",IF(계산!CI2397="","날짜 확인",IF(계산!CJ2397="","금액 확인","")))</f>
        <v/>
      </c>
    </row>
    <row r="2398">
      <c r="A2398" s="3" t="n"/>
      <c r="C2398" s="4" t="n"/>
      <c r="E2398" s="5">
        <f>IF(C2398="","",IF(계산!CI2398="","날짜 확인",IF(계산!CJ2398="","금액 확인","")))</f>
        <v/>
      </c>
    </row>
    <row r="2399">
      <c r="A2399" s="3" t="n"/>
      <c r="C2399" s="4" t="n"/>
      <c r="E2399" s="5">
        <f>IF(C2399="","",IF(계산!CI2399="","날짜 확인",IF(계산!CJ2399="","금액 확인","")))</f>
        <v/>
      </c>
    </row>
    <row r="2400">
      <c r="A2400" s="3" t="n"/>
      <c r="C2400" s="4" t="n"/>
      <c r="E2400" s="5">
        <f>IF(C2400="","",IF(계산!CI2400="","날짜 확인",IF(계산!CJ2400="","금액 확인","")))</f>
        <v/>
      </c>
    </row>
    <row r="2401">
      <c r="A2401" s="3" t="n"/>
      <c r="C2401" s="4" t="n"/>
      <c r="E2401" s="5">
        <f>IF(C2401="","",IF(계산!CI2401="","날짜 확인",IF(계산!CJ2401="","금액 확인","")))</f>
        <v/>
      </c>
    </row>
    <row r="2402">
      <c r="A2402" s="3" t="n"/>
      <c r="C2402" s="4" t="n"/>
      <c r="E2402" s="5">
        <f>IF(C2402="","",IF(계산!CI2402="","날짜 확인",IF(계산!CJ2402="","금액 확인","")))</f>
        <v/>
      </c>
    </row>
    <row r="2403">
      <c r="A2403" s="3" t="n"/>
      <c r="C2403" s="4" t="n"/>
      <c r="E2403" s="5">
        <f>IF(C2403="","",IF(계산!CI2403="","날짜 확인",IF(계산!CJ2403="","금액 확인","")))</f>
        <v/>
      </c>
    </row>
    <row r="2404">
      <c r="A2404" s="3" t="n"/>
      <c r="C2404" s="4" t="n"/>
      <c r="E2404" s="5">
        <f>IF(C2404="","",IF(계산!CI2404="","날짜 확인",IF(계산!CJ2404="","금액 확인","")))</f>
        <v/>
      </c>
    </row>
    <row r="2405">
      <c r="A2405" s="3" t="n"/>
      <c r="C2405" s="4" t="n"/>
      <c r="E2405" s="5">
        <f>IF(C2405="","",IF(계산!CI2405="","날짜 확인",IF(계산!CJ2405="","금액 확인","")))</f>
        <v/>
      </c>
    </row>
    <row r="2406">
      <c r="A2406" s="3" t="n"/>
      <c r="C2406" s="4" t="n"/>
      <c r="E2406" s="5">
        <f>IF(C2406="","",IF(계산!CI2406="","날짜 확인",IF(계산!CJ2406="","금액 확인","")))</f>
        <v/>
      </c>
    </row>
    <row r="2407">
      <c r="A2407" s="3" t="n"/>
      <c r="C2407" s="4" t="n"/>
      <c r="E2407" s="5">
        <f>IF(C2407="","",IF(계산!CI2407="","날짜 확인",IF(계산!CJ2407="","금액 확인","")))</f>
        <v/>
      </c>
    </row>
    <row r="2408">
      <c r="A2408" s="3" t="n"/>
      <c r="C2408" s="4" t="n"/>
      <c r="E2408" s="5">
        <f>IF(C2408="","",IF(계산!CI2408="","날짜 확인",IF(계산!CJ2408="","금액 확인","")))</f>
        <v/>
      </c>
    </row>
    <row r="2409">
      <c r="A2409" s="3" t="n"/>
      <c r="C2409" s="4" t="n"/>
      <c r="E2409" s="5">
        <f>IF(C2409="","",IF(계산!CI2409="","날짜 확인",IF(계산!CJ2409="","금액 확인","")))</f>
        <v/>
      </c>
    </row>
    <row r="2410">
      <c r="A2410" s="3" t="n"/>
      <c r="C2410" s="4" t="n"/>
      <c r="E2410" s="5">
        <f>IF(C2410="","",IF(계산!CI2410="","날짜 확인",IF(계산!CJ2410="","금액 확인","")))</f>
        <v/>
      </c>
    </row>
    <row r="2411">
      <c r="A2411" s="3" t="n"/>
      <c r="C2411" s="4" t="n"/>
      <c r="E2411" s="5">
        <f>IF(C2411="","",IF(계산!CI2411="","날짜 확인",IF(계산!CJ2411="","금액 확인","")))</f>
        <v/>
      </c>
    </row>
    <row r="2412">
      <c r="A2412" s="3" t="n"/>
      <c r="C2412" s="4" t="n"/>
      <c r="E2412" s="5">
        <f>IF(C2412="","",IF(계산!CI2412="","날짜 확인",IF(계산!CJ2412="","금액 확인","")))</f>
        <v/>
      </c>
    </row>
    <row r="2413">
      <c r="A2413" s="3" t="n"/>
      <c r="C2413" s="4" t="n"/>
      <c r="E2413" s="5">
        <f>IF(C2413="","",IF(계산!CI2413="","날짜 확인",IF(계산!CJ2413="","금액 확인","")))</f>
        <v/>
      </c>
    </row>
    <row r="2414">
      <c r="A2414" s="3" t="n"/>
      <c r="C2414" s="4" t="n"/>
      <c r="E2414" s="5">
        <f>IF(C2414="","",IF(계산!CI2414="","날짜 확인",IF(계산!CJ2414="","금액 확인","")))</f>
        <v/>
      </c>
    </row>
    <row r="2415">
      <c r="A2415" s="3" t="n"/>
      <c r="C2415" s="4" t="n"/>
      <c r="E2415" s="5">
        <f>IF(C2415="","",IF(계산!CI2415="","날짜 확인",IF(계산!CJ2415="","금액 확인","")))</f>
        <v/>
      </c>
    </row>
    <row r="2416">
      <c r="A2416" s="3" t="n"/>
      <c r="C2416" s="4" t="n"/>
      <c r="E2416" s="5">
        <f>IF(C2416="","",IF(계산!CI2416="","날짜 확인",IF(계산!CJ2416="","금액 확인","")))</f>
        <v/>
      </c>
    </row>
    <row r="2417">
      <c r="A2417" s="3" t="n"/>
      <c r="C2417" s="4" t="n"/>
      <c r="E2417" s="5">
        <f>IF(C2417="","",IF(계산!CI2417="","날짜 확인",IF(계산!CJ2417="","금액 확인","")))</f>
        <v/>
      </c>
    </row>
    <row r="2418">
      <c r="A2418" s="3" t="n"/>
      <c r="C2418" s="4" t="n"/>
      <c r="E2418" s="5">
        <f>IF(C2418="","",IF(계산!CI2418="","날짜 확인",IF(계산!CJ2418="","금액 확인","")))</f>
        <v/>
      </c>
    </row>
    <row r="2419">
      <c r="A2419" s="3" t="n"/>
      <c r="C2419" s="4" t="n"/>
      <c r="E2419" s="5">
        <f>IF(C2419="","",IF(계산!CI2419="","날짜 확인",IF(계산!CJ2419="","금액 확인","")))</f>
        <v/>
      </c>
    </row>
    <row r="2420">
      <c r="A2420" s="3" t="n"/>
      <c r="C2420" s="4" t="n"/>
      <c r="E2420" s="5">
        <f>IF(C2420="","",IF(계산!CI2420="","날짜 확인",IF(계산!CJ2420="","금액 확인","")))</f>
        <v/>
      </c>
    </row>
    <row r="2421">
      <c r="A2421" s="3" t="n"/>
      <c r="C2421" s="4" t="n"/>
      <c r="E2421" s="5">
        <f>IF(C2421="","",IF(계산!CI2421="","날짜 확인",IF(계산!CJ2421="","금액 확인","")))</f>
        <v/>
      </c>
    </row>
    <row r="2422">
      <c r="A2422" s="3" t="n"/>
      <c r="C2422" s="4" t="n"/>
      <c r="E2422" s="5">
        <f>IF(C2422="","",IF(계산!CI2422="","날짜 확인",IF(계산!CJ2422="","금액 확인","")))</f>
        <v/>
      </c>
    </row>
    <row r="2423">
      <c r="A2423" s="3" t="n"/>
      <c r="C2423" s="4" t="n"/>
      <c r="E2423" s="5">
        <f>IF(C2423="","",IF(계산!CI2423="","날짜 확인",IF(계산!CJ2423="","금액 확인","")))</f>
        <v/>
      </c>
    </row>
    <row r="2424">
      <c r="A2424" s="3" t="n"/>
      <c r="C2424" s="4" t="n"/>
      <c r="E2424" s="5">
        <f>IF(C2424="","",IF(계산!CI2424="","날짜 확인",IF(계산!CJ2424="","금액 확인","")))</f>
        <v/>
      </c>
    </row>
    <row r="2425">
      <c r="A2425" s="3" t="n"/>
      <c r="C2425" s="4" t="n"/>
      <c r="E2425" s="5">
        <f>IF(C2425="","",IF(계산!CI2425="","날짜 확인",IF(계산!CJ2425="","금액 확인","")))</f>
        <v/>
      </c>
    </row>
    <row r="2426">
      <c r="A2426" s="3" t="n"/>
      <c r="C2426" s="4" t="n"/>
      <c r="E2426" s="5">
        <f>IF(C2426="","",IF(계산!CI2426="","날짜 확인",IF(계산!CJ2426="","금액 확인","")))</f>
        <v/>
      </c>
    </row>
    <row r="2427">
      <c r="A2427" s="3" t="n"/>
      <c r="C2427" s="4" t="n"/>
      <c r="E2427" s="5">
        <f>IF(C2427="","",IF(계산!CI2427="","날짜 확인",IF(계산!CJ2427="","금액 확인","")))</f>
        <v/>
      </c>
    </row>
    <row r="2428">
      <c r="A2428" s="3" t="n"/>
      <c r="C2428" s="4" t="n"/>
      <c r="E2428" s="5">
        <f>IF(C2428="","",IF(계산!CI2428="","날짜 확인",IF(계산!CJ2428="","금액 확인","")))</f>
        <v/>
      </c>
    </row>
    <row r="2429">
      <c r="A2429" s="3" t="n"/>
      <c r="C2429" s="4" t="n"/>
      <c r="E2429" s="5">
        <f>IF(C2429="","",IF(계산!CI2429="","날짜 확인",IF(계산!CJ2429="","금액 확인","")))</f>
        <v/>
      </c>
    </row>
    <row r="2430">
      <c r="A2430" s="3" t="n"/>
      <c r="C2430" s="4" t="n"/>
      <c r="E2430" s="5">
        <f>IF(C2430="","",IF(계산!CI2430="","날짜 확인",IF(계산!CJ2430="","금액 확인","")))</f>
        <v/>
      </c>
    </row>
    <row r="2431">
      <c r="A2431" s="3" t="n"/>
      <c r="C2431" s="4" t="n"/>
      <c r="E2431" s="5">
        <f>IF(C2431="","",IF(계산!CI2431="","날짜 확인",IF(계산!CJ2431="","금액 확인","")))</f>
        <v/>
      </c>
    </row>
    <row r="2432">
      <c r="A2432" s="3" t="n"/>
      <c r="C2432" s="4" t="n"/>
      <c r="E2432" s="5">
        <f>IF(C2432="","",IF(계산!CI2432="","날짜 확인",IF(계산!CJ2432="","금액 확인","")))</f>
        <v/>
      </c>
    </row>
    <row r="2433">
      <c r="A2433" s="3" t="n"/>
      <c r="C2433" s="4" t="n"/>
      <c r="E2433" s="5">
        <f>IF(C2433="","",IF(계산!CI2433="","날짜 확인",IF(계산!CJ2433="","금액 확인","")))</f>
        <v/>
      </c>
    </row>
    <row r="2434">
      <c r="A2434" s="3" t="n"/>
      <c r="C2434" s="4" t="n"/>
      <c r="E2434" s="5">
        <f>IF(C2434="","",IF(계산!CI2434="","날짜 확인",IF(계산!CJ2434="","금액 확인","")))</f>
        <v/>
      </c>
    </row>
    <row r="2435">
      <c r="A2435" s="3" t="n"/>
      <c r="C2435" s="4" t="n"/>
      <c r="E2435" s="5">
        <f>IF(C2435="","",IF(계산!CI2435="","날짜 확인",IF(계산!CJ2435="","금액 확인","")))</f>
        <v/>
      </c>
    </row>
    <row r="2436">
      <c r="A2436" s="3" t="n"/>
      <c r="C2436" s="4" t="n"/>
      <c r="E2436" s="5">
        <f>IF(C2436="","",IF(계산!CI2436="","날짜 확인",IF(계산!CJ2436="","금액 확인","")))</f>
        <v/>
      </c>
    </row>
    <row r="2437">
      <c r="A2437" s="3" t="n"/>
      <c r="C2437" s="4" t="n"/>
      <c r="E2437" s="5">
        <f>IF(C2437="","",IF(계산!CI2437="","날짜 확인",IF(계산!CJ2437="","금액 확인","")))</f>
        <v/>
      </c>
    </row>
    <row r="2438">
      <c r="A2438" s="3" t="n"/>
      <c r="C2438" s="4" t="n"/>
      <c r="E2438" s="5">
        <f>IF(C2438="","",IF(계산!CI2438="","날짜 확인",IF(계산!CJ2438="","금액 확인","")))</f>
        <v/>
      </c>
    </row>
    <row r="2439">
      <c r="A2439" s="3" t="n"/>
      <c r="C2439" s="4" t="n"/>
      <c r="E2439" s="5">
        <f>IF(C2439="","",IF(계산!CI2439="","날짜 확인",IF(계산!CJ2439="","금액 확인","")))</f>
        <v/>
      </c>
    </row>
    <row r="2440">
      <c r="A2440" s="3" t="n"/>
      <c r="C2440" s="4" t="n"/>
      <c r="E2440" s="5">
        <f>IF(C2440="","",IF(계산!CI2440="","날짜 확인",IF(계산!CJ2440="","금액 확인","")))</f>
        <v/>
      </c>
    </row>
    <row r="2441">
      <c r="A2441" s="3" t="n"/>
      <c r="C2441" s="4" t="n"/>
      <c r="E2441" s="5">
        <f>IF(C2441="","",IF(계산!CI2441="","날짜 확인",IF(계산!CJ2441="","금액 확인","")))</f>
        <v/>
      </c>
    </row>
    <row r="2442">
      <c r="A2442" s="3" t="n"/>
      <c r="C2442" s="4" t="n"/>
      <c r="E2442" s="5">
        <f>IF(C2442="","",IF(계산!CI2442="","날짜 확인",IF(계산!CJ2442="","금액 확인","")))</f>
        <v/>
      </c>
    </row>
    <row r="2443">
      <c r="A2443" s="3" t="n"/>
      <c r="C2443" s="4" t="n"/>
      <c r="E2443" s="5">
        <f>IF(C2443="","",IF(계산!CI2443="","날짜 확인",IF(계산!CJ2443="","금액 확인","")))</f>
        <v/>
      </c>
    </row>
    <row r="2444">
      <c r="A2444" s="3" t="n"/>
      <c r="C2444" s="4" t="n"/>
      <c r="E2444" s="5">
        <f>IF(C2444="","",IF(계산!CI2444="","날짜 확인",IF(계산!CJ2444="","금액 확인","")))</f>
        <v/>
      </c>
    </row>
    <row r="2445">
      <c r="A2445" s="3" t="n"/>
      <c r="C2445" s="4" t="n"/>
      <c r="E2445" s="5">
        <f>IF(C2445="","",IF(계산!CI2445="","날짜 확인",IF(계산!CJ2445="","금액 확인","")))</f>
        <v/>
      </c>
    </row>
    <row r="2446">
      <c r="A2446" s="3" t="n"/>
      <c r="C2446" s="4" t="n"/>
      <c r="E2446" s="5">
        <f>IF(C2446="","",IF(계산!CI2446="","날짜 확인",IF(계산!CJ2446="","금액 확인","")))</f>
        <v/>
      </c>
    </row>
    <row r="2447">
      <c r="A2447" s="3" t="n"/>
      <c r="C2447" s="4" t="n"/>
      <c r="E2447" s="5">
        <f>IF(C2447="","",IF(계산!CI2447="","날짜 확인",IF(계산!CJ2447="","금액 확인","")))</f>
        <v/>
      </c>
    </row>
    <row r="2448">
      <c r="A2448" s="3" t="n"/>
      <c r="C2448" s="4" t="n"/>
      <c r="E2448" s="5">
        <f>IF(C2448="","",IF(계산!CI2448="","날짜 확인",IF(계산!CJ2448="","금액 확인","")))</f>
        <v/>
      </c>
    </row>
    <row r="2449">
      <c r="A2449" s="3" t="n"/>
      <c r="C2449" s="4" t="n"/>
      <c r="E2449" s="5">
        <f>IF(C2449="","",IF(계산!CI2449="","날짜 확인",IF(계산!CJ2449="","금액 확인","")))</f>
        <v/>
      </c>
    </row>
    <row r="2450">
      <c r="A2450" s="3" t="n"/>
      <c r="C2450" s="4" t="n"/>
      <c r="E2450" s="5">
        <f>IF(C2450="","",IF(계산!CI2450="","날짜 확인",IF(계산!CJ2450="","금액 확인","")))</f>
        <v/>
      </c>
    </row>
    <row r="2451">
      <c r="A2451" s="3" t="n"/>
      <c r="C2451" s="4" t="n"/>
      <c r="E2451" s="5">
        <f>IF(C2451="","",IF(계산!CI2451="","날짜 확인",IF(계산!CJ2451="","금액 확인","")))</f>
        <v/>
      </c>
    </row>
    <row r="2452">
      <c r="A2452" s="3" t="n"/>
      <c r="C2452" s="4" t="n"/>
      <c r="E2452" s="5">
        <f>IF(C2452="","",IF(계산!CI2452="","날짜 확인",IF(계산!CJ2452="","금액 확인","")))</f>
        <v/>
      </c>
    </row>
    <row r="2453">
      <c r="A2453" s="3" t="n"/>
      <c r="C2453" s="4" t="n"/>
      <c r="E2453" s="5">
        <f>IF(C2453="","",IF(계산!CI2453="","날짜 확인",IF(계산!CJ2453="","금액 확인","")))</f>
        <v/>
      </c>
    </row>
    <row r="2454">
      <c r="A2454" s="3" t="n"/>
      <c r="C2454" s="4" t="n"/>
      <c r="E2454" s="5">
        <f>IF(C2454="","",IF(계산!CI2454="","날짜 확인",IF(계산!CJ2454="","금액 확인","")))</f>
        <v/>
      </c>
    </row>
    <row r="2455">
      <c r="A2455" s="3" t="n"/>
      <c r="C2455" s="4" t="n"/>
      <c r="E2455" s="5">
        <f>IF(C2455="","",IF(계산!CI2455="","날짜 확인",IF(계산!CJ2455="","금액 확인","")))</f>
        <v/>
      </c>
    </row>
    <row r="2456">
      <c r="A2456" s="3" t="n"/>
      <c r="C2456" s="4" t="n"/>
      <c r="E2456" s="5">
        <f>IF(C2456="","",IF(계산!CI2456="","날짜 확인",IF(계산!CJ2456="","금액 확인","")))</f>
        <v/>
      </c>
    </row>
    <row r="2457">
      <c r="A2457" s="3" t="n"/>
      <c r="C2457" s="4" t="n"/>
      <c r="E2457" s="5">
        <f>IF(C2457="","",IF(계산!CI2457="","날짜 확인",IF(계산!CJ2457="","금액 확인","")))</f>
        <v/>
      </c>
    </row>
    <row r="2458">
      <c r="A2458" s="3" t="n"/>
      <c r="C2458" s="4" t="n"/>
      <c r="E2458" s="5">
        <f>IF(C2458="","",IF(계산!CI2458="","날짜 확인",IF(계산!CJ2458="","금액 확인","")))</f>
        <v/>
      </c>
    </row>
    <row r="2459">
      <c r="A2459" s="3" t="n"/>
      <c r="C2459" s="4" t="n"/>
      <c r="E2459" s="5">
        <f>IF(C2459="","",IF(계산!CI2459="","날짜 확인",IF(계산!CJ2459="","금액 확인","")))</f>
        <v/>
      </c>
    </row>
    <row r="2460">
      <c r="A2460" s="3" t="n"/>
      <c r="C2460" s="4" t="n"/>
      <c r="E2460" s="5">
        <f>IF(C2460="","",IF(계산!CI2460="","날짜 확인",IF(계산!CJ2460="","금액 확인","")))</f>
        <v/>
      </c>
    </row>
    <row r="2461">
      <c r="A2461" s="3" t="n"/>
      <c r="C2461" s="4" t="n"/>
      <c r="E2461" s="5">
        <f>IF(C2461="","",IF(계산!CI2461="","날짜 확인",IF(계산!CJ2461="","금액 확인","")))</f>
        <v/>
      </c>
    </row>
    <row r="2462">
      <c r="A2462" s="3" t="n"/>
      <c r="C2462" s="4" t="n"/>
      <c r="E2462" s="5">
        <f>IF(C2462="","",IF(계산!CI2462="","날짜 확인",IF(계산!CJ2462="","금액 확인","")))</f>
        <v/>
      </c>
    </row>
    <row r="2463">
      <c r="A2463" s="3" t="n"/>
      <c r="C2463" s="4" t="n"/>
      <c r="E2463" s="5">
        <f>IF(C2463="","",IF(계산!CI2463="","날짜 확인",IF(계산!CJ2463="","금액 확인","")))</f>
        <v/>
      </c>
    </row>
    <row r="2464">
      <c r="A2464" s="3" t="n"/>
      <c r="C2464" s="4" t="n"/>
      <c r="E2464" s="5">
        <f>IF(C2464="","",IF(계산!CI2464="","날짜 확인",IF(계산!CJ2464="","금액 확인","")))</f>
        <v/>
      </c>
    </row>
    <row r="2465">
      <c r="A2465" s="3" t="n"/>
      <c r="C2465" s="4" t="n"/>
      <c r="E2465" s="5">
        <f>IF(C2465="","",IF(계산!CI2465="","날짜 확인",IF(계산!CJ2465="","금액 확인","")))</f>
        <v/>
      </c>
    </row>
    <row r="2466">
      <c r="A2466" s="3" t="n"/>
      <c r="C2466" s="4" t="n"/>
      <c r="E2466" s="5">
        <f>IF(C2466="","",IF(계산!CI2466="","날짜 확인",IF(계산!CJ2466="","금액 확인","")))</f>
        <v/>
      </c>
    </row>
    <row r="2467">
      <c r="A2467" s="3" t="n"/>
      <c r="C2467" s="4" t="n"/>
      <c r="E2467" s="5">
        <f>IF(C2467="","",IF(계산!CI2467="","날짜 확인",IF(계산!CJ2467="","금액 확인","")))</f>
        <v/>
      </c>
    </row>
    <row r="2468">
      <c r="A2468" s="3" t="n"/>
      <c r="C2468" s="4" t="n"/>
      <c r="E2468" s="5">
        <f>IF(C2468="","",IF(계산!CI2468="","날짜 확인",IF(계산!CJ2468="","금액 확인","")))</f>
        <v/>
      </c>
    </row>
    <row r="2469">
      <c r="A2469" s="3" t="n"/>
      <c r="C2469" s="4" t="n"/>
      <c r="E2469" s="5">
        <f>IF(C2469="","",IF(계산!CI2469="","날짜 확인",IF(계산!CJ2469="","금액 확인","")))</f>
        <v/>
      </c>
    </row>
    <row r="2470">
      <c r="A2470" s="3" t="n"/>
      <c r="C2470" s="4" t="n"/>
      <c r="E2470" s="5">
        <f>IF(C2470="","",IF(계산!CI2470="","날짜 확인",IF(계산!CJ2470="","금액 확인","")))</f>
        <v/>
      </c>
    </row>
    <row r="2471">
      <c r="A2471" s="3" t="n"/>
      <c r="C2471" s="4" t="n"/>
      <c r="E2471" s="5">
        <f>IF(C2471="","",IF(계산!CI2471="","날짜 확인",IF(계산!CJ2471="","금액 확인","")))</f>
        <v/>
      </c>
    </row>
    <row r="2472">
      <c r="A2472" s="3" t="n"/>
      <c r="C2472" s="4" t="n"/>
      <c r="E2472" s="5">
        <f>IF(C2472="","",IF(계산!CI2472="","날짜 확인",IF(계산!CJ2472="","금액 확인","")))</f>
        <v/>
      </c>
    </row>
    <row r="2473">
      <c r="A2473" s="3" t="n"/>
      <c r="C2473" s="4" t="n"/>
      <c r="E2473" s="5">
        <f>IF(C2473="","",IF(계산!CI2473="","날짜 확인",IF(계산!CJ2473="","금액 확인","")))</f>
        <v/>
      </c>
    </row>
    <row r="2474">
      <c r="A2474" s="3" t="n"/>
      <c r="C2474" s="4" t="n"/>
      <c r="E2474" s="5">
        <f>IF(C2474="","",IF(계산!CI2474="","날짜 확인",IF(계산!CJ2474="","금액 확인","")))</f>
        <v/>
      </c>
    </row>
    <row r="2475">
      <c r="A2475" s="3" t="n"/>
      <c r="C2475" s="4" t="n"/>
      <c r="E2475" s="5">
        <f>IF(C2475="","",IF(계산!CI2475="","날짜 확인",IF(계산!CJ2475="","금액 확인","")))</f>
        <v/>
      </c>
    </row>
    <row r="2476">
      <c r="A2476" s="3" t="n"/>
      <c r="C2476" s="4" t="n"/>
      <c r="E2476" s="5">
        <f>IF(C2476="","",IF(계산!CI2476="","날짜 확인",IF(계산!CJ2476="","금액 확인","")))</f>
        <v/>
      </c>
    </row>
    <row r="2477">
      <c r="A2477" s="3" t="n"/>
      <c r="C2477" s="4" t="n"/>
      <c r="E2477" s="5">
        <f>IF(C2477="","",IF(계산!CI2477="","날짜 확인",IF(계산!CJ2477="","금액 확인","")))</f>
        <v/>
      </c>
    </row>
    <row r="2478">
      <c r="A2478" s="3" t="n"/>
      <c r="C2478" s="4" t="n"/>
      <c r="E2478" s="5">
        <f>IF(C2478="","",IF(계산!CI2478="","날짜 확인",IF(계산!CJ2478="","금액 확인","")))</f>
        <v/>
      </c>
    </row>
    <row r="2479">
      <c r="A2479" s="3" t="n"/>
      <c r="C2479" s="4" t="n"/>
      <c r="E2479" s="5">
        <f>IF(C2479="","",IF(계산!CI2479="","날짜 확인",IF(계산!CJ2479="","금액 확인","")))</f>
        <v/>
      </c>
    </row>
    <row r="2480">
      <c r="A2480" s="3" t="n"/>
      <c r="C2480" s="4" t="n"/>
      <c r="E2480" s="5">
        <f>IF(C2480="","",IF(계산!CI2480="","날짜 확인",IF(계산!CJ2480="","금액 확인","")))</f>
        <v/>
      </c>
    </row>
    <row r="2481">
      <c r="A2481" s="3" t="n"/>
      <c r="C2481" s="4" t="n"/>
      <c r="E2481" s="5">
        <f>IF(C2481="","",IF(계산!CI2481="","날짜 확인",IF(계산!CJ2481="","금액 확인","")))</f>
        <v/>
      </c>
    </row>
    <row r="2482">
      <c r="A2482" s="3" t="n"/>
      <c r="C2482" s="4" t="n"/>
      <c r="E2482" s="5">
        <f>IF(C2482="","",IF(계산!CI2482="","날짜 확인",IF(계산!CJ2482="","금액 확인","")))</f>
        <v/>
      </c>
    </row>
    <row r="2483">
      <c r="A2483" s="3" t="n"/>
      <c r="C2483" s="4" t="n"/>
      <c r="E2483" s="5">
        <f>IF(C2483="","",IF(계산!CI2483="","날짜 확인",IF(계산!CJ2483="","금액 확인","")))</f>
        <v/>
      </c>
    </row>
    <row r="2484">
      <c r="A2484" s="3" t="n"/>
      <c r="C2484" s="4" t="n"/>
      <c r="E2484" s="5">
        <f>IF(C2484="","",IF(계산!CI2484="","날짜 확인",IF(계산!CJ2484="","금액 확인","")))</f>
        <v/>
      </c>
    </row>
    <row r="2485">
      <c r="A2485" s="3" t="n"/>
      <c r="C2485" s="4" t="n"/>
      <c r="E2485" s="5">
        <f>IF(C2485="","",IF(계산!CI2485="","날짜 확인",IF(계산!CJ2485="","금액 확인","")))</f>
        <v/>
      </c>
    </row>
    <row r="2486">
      <c r="A2486" s="3" t="n"/>
      <c r="C2486" s="4" t="n"/>
      <c r="E2486" s="5">
        <f>IF(C2486="","",IF(계산!CI2486="","날짜 확인",IF(계산!CJ2486="","금액 확인","")))</f>
        <v/>
      </c>
    </row>
    <row r="2487">
      <c r="A2487" s="3" t="n"/>
      <c r="C2487" s="4" t="n"/>
      <c r="E2487" s="5">
        <f>IF(C2487="","",IF(계산!CI2487="","날짜 확인",IF(계산!CJ2487="","금액 확인","")))</f>
        <v/>
      </c>
    </row>
    <row r="2488">
      <c r="A2488" s="3" t="n"/>
      <c r="C2488" s="4" t="n"/>
      <c r="E2488" s="5">
        <f>IF(C2488="","",IF(계산!CI2488="","날짜 확인",IF(계산!CJ2488="","금액 확인","")))</f>
        <v/>
      </c>
    </row>
    <row r="2489">
      <c r="A2489" s="3" t="n"/>
      <c r="C2489" s="4" t="n"/>
      <c r="E2489" s="5">
        <f>IF(C2489="","",IF(계산!CI2489="","날짜 확인",IF(계산!CJ2489="","금액 확인","")))</f>
        <v/>
      </c>
    </row>
    <row r="2490">
      <c r="A2490" s="3" t="n"/>
      <c r="C2490" s="4" t="n"/>
      <c r="E2490" s="5">
        <f>IF(C2490="","",IF(계산!CI2490="","날짜 확인",IF(계산!CJ2490="","금액 확인","")))</f>
        <v/>
      </c>
    </row>
    <row r="2491">
      <c r="A2491" s="3" t="n"/>
      <c r="C2491" s="4" t="n"/>
      <c r="E2491" s="5">
        <f>IF(C2491="","",IF(계산!CI2491="","날짜 확인",IF(계산!CJ2491="","금액 확인","")))</f>
        <v/>
      </c>
    </row>
    <row r="2492">
      <c r="A2492" s="3" t="n"/>
      <c r="C2492" s="4" t="n"/>
      <c r="E2492" s="5">
        <f>IF(C2492="","",IF(계산!CI2492="","날짜 확인",IF(계산!CJ2492="","금액 확인","")))</f>
        <v/>
      </c>
    </row>
    <row r="2493">
      <c r="A2493" s="3" t="n"/>
      <c r="C2493" s="4" t="n"/>
      <c r="E2493" s="5">
        <f>IF(C2493="","",IF(계산!CI2493="","날짜 확인",IF(계산!CJ2493="","금액 확인","")))</f>
        <v/>
      </c>
    </row>
    <row r="2494">
      <c r="A2494" s="3" t="n"/>
      <c r="C2494" s="4" t="n"/>
      <c r="E2494" s="5">
        <f>IF(C2494="","",IF(계산!CI2494="","날짜 확인",IF(계산!CJ2494="","금액 확인","")))</f>
        <v/>
      </c>
    </row>
    <row r="2495">
      <c r="A2495" s="3" t="n"/>
      <c r="C2495" s="4" t="n"/>
      <c r="E2495" s="5">
        <f>IF(C2495="","",IF(계산!CI2495="","날짜 확인",IF(계산!CJ2495="","금액 확인","")))</f>
        <v/>
      </c>
    </row>
    <row r="2496">
      <c r="A2496" s="3" t="n"/>
      <c r="C2496" s="4" t="n"/>
      <c r="E2496" s="5">
        <f>IF(C2496="","",IF(계산!CI2496="","날짜 확인",IF(계산!CJ2496="","금액 확인","")))</f>
        <v/>
      </c>
    </row>
    <row r="2497">
      <c r="A2497" s="3" t="n"/>
      <c r="C2497" s="4" t="n"/>
      <c r="E2497" s="5">
        <f>IF(C2497="","",IF(계산!CI2497="","날짜 확인",IF(계산!CJ2497="","금액 확인","")))</f>
        <v/>
      </c>
    </row>
    <row r="2498">
      <c r="A2498" s="3" t="n"/>
      <c r="C2498" s="4" t="n"/>
      <c r="E2498" s="5">
        <f>IF(C2498="","",IF(계산!CI2498="","날짜 확인",IF(계산!CJ2498="","금액 확인","")))</f>
        <v/>
      </c>
    </row>
    <row r="2499">
      <c r="A2499" s="3" t="n"/>
      <c r="C2499" s="4" t="n"/>
      <c r="E2499" s="5">
        <f>IF(C2499="","",IF(계산!CI2499="","날짜 확인",IF(계산!CJ2499="","금액 확인","")))</f>
        <v/>
      </c>
    </row>
    <row r="2500">
      <c r="A2500" s="3" t="n"/>
      <c r="C2500" s="4" t="n"/>
      <c r="E2500" s="5">
        <f>IF(C2500="","",IF(계산!CI2500="","날짜 확인",IF(계산!CJ2500="","금액 확인","")))</f>
        <v/>
      </c>
    </row>
    <row r="2501">
      <c r="A2501" s="3" t="n"/>
      <c r="C2501" s="4" t="n"/>
      <c r="E2501" s="5">
        <f>IF(C2501="","",IF(계산!CI2501="","날짜 확인",IF(계산!CJ2501="","금액 확인","")))</f>
        <v/>
      </c>
    </row>
    <row r="2502">
      <c r="A2502" s="3" t="n"/>
      <c r="C2502" s="4" t="n"/>
      <c r="E2502" s="5">
        <f>IF(C2502="","",IF(계산!CI2502="","날짜 확인",IF(계산!CJ2502="","금액 확인","")))</f>
        <v/>
      </c>
    </row>
    <row r="2503">
      <c r="A2503" s="3" t="n"/>
      <c r="C2503" s="4" t="n"/>
      <c r="E2503" s="5">
        <f>IF(C2503="","",IF(계산!CI2503="","날짜 확인",IF(계산!CJ2503="","금액 확인","")))</f>
        <v/>
      </c>
    </row>
    <row r="2504">
      <c r="A2504" s="3" t="n"/>
      <c r="C2504" s="4" t="n"/>
      <c r="E2504" s="5">
        <f>IF(C2504="","",IF(계산!CI2504="","날짜 확인",IF(계산!CJ2504="","금액 확인","")))</f>
        <v/>
      </c>
    </row>
    <row r="2505">
      <c r="A2505" s="3" t="n"/>
      <c r="C2505" s="4" t="n"/>
      <c r="E2505" s="5">
        <f>IF(C2505="","",IF(계산!CI2505="","날짜 확인",IF(계산!CJ2505="","금액 확인","")))</f>
        <v/>
      </c>
    </row>
    <row r="2506">
      <c r="A2506" s="3" t="n"/>
      <c r="C2506" s="4" t="n"/>
      <c r="E2506" s="5">
        <f>IF(C2506="","",IF(계산!CI2506="","날짜 확인",IF(계산!CJ2506="","금액 확인","")))</f>
        <v/>
      </c>
    </row>
    <row r="2507">
      <c r="A2507" s="3" t="n"/>
      <c r="C2507" s="4" t="n"/>
      <c r="E2507" s="5">
        <f>IF(C2507="","",IF(계산!CI2507="","날짜 확인",IF(계산!CJ2507="","금액 확인","")))</f>
        <v/>
      </c>
    </row>
    <row r="2508">
      <c r="A2508" s="3" t="n"/>
      <c r="C2508" s="4" t="n"/>
      <c r="E2508" s="5">
        <f>IF(C2508="","",IF(계산!CI2508="","날짜 확인",IF(계산!CJ2508="","금액 확인","")))</f>
        <v/>
      </c>
    </row>
    <row r="2509">
      <c r="A2509" s="3" t="n"/>
      <c r="C2509" s="4" t="n"/>
      <c r="E2509" s="5">
        <f>IF(C2509="","",IF(계산!CI2509="","날짜 확인",IF(계산!CJ2509="","금액 확인","")))</f>
        <v/>
      </c>
    </row>
    <row r="2510">
      <c r="A2510" s="3" t="n"/>
      <c r="C2510" s="4" t="n"/>
      <c r="E2510" s="5">
        <f>IF(C2510="","",IF(계산!CI2510="","날짜 확인",IF(계산!CJ2510="","금액 확인","")))</f>
        <v/>
      </c>
    </row>
    <row r="2511">
      <c r="A2511" s="3" t="n"/>
      <c r="C2511" s="4" t="n"/>
      <c r="E2511" s="5">
        <f>IF(C2511="","",IF(계산!CI2511="","날짜 확인",IF(계산!CJ2511="","금액 확인","")))</f>
        <v/>
      </c>
    </row>
    <row r="2512">
      <c r="A2512" s="3" t="n"/>
      <c r="C2512" s="4" t="n"/>
      <c r="E2512" s="5">
        <f>IF(C2512="","",IF(계산!CI2512="","날짜 확인",IF(계산!CJ2512="","금액 확인","")))</f>
        <v/>
      </c>
    </row>
    <row r="2513">
      <c r="A2513" s="3" t="n"/>
      <c r="C2513" s="4" t="n"/>
      <c r="E2513" s="5">
        <f>IF(C2513="","",IF(계산!CI2513="","날짜 확인",IF(계산!CJ2513="","금액 확인","")))</f>
        <v/>
      </c>
    </row>
    <row r="2514">
      <c r="A2514" s="3" t="n"/>
      <c r="C2514" s="4" t="n"/>
      <c r="E2514" s="5">
        <f>IF(C2514="","",IF(계산!CI2514="","날짜 확인",IF(계산!CJ2514="","금액 확인","")))</f>
        <v/>
      </c>
    </row>
    <row r="2515">
      <c r="A2515" s="3" t="n"/>
      <c r="C2515" s="4" t="n"/>
      <c r="E2515" s="5">
        <f>IF(C2515="","",IF(계산!CI2515="","날짜 확인",IF(계산!CJ2515="","금액 확인","")))</f>
        <v/>
      </c>
    </row>
    <row r="2516">
      <c r="A2516" s="3" t="n"/>
      <c r="C2516" s="4" t="n"/>
      <c r="E2516" s="5">
        <f>IF(C2516="","",IF(계산!CI2516="","날짜 확인",IF(계산!CJ2516="","금액 확인","")))</f>
        <v/>
      </c>
    </row>
    <row r="2517">
      <c r="A2517" s="3" t="n"/>
      <c r="C2517" s="4" t="n"/>
      <c r="E2517" s="5">
        <f>IF(C2517="","",IF(계산!CI2517="","날짜 확인",IF(계산!CJ2517="","금액 확인","")))</f>
        <v/>
      </c>
    </row>
    <row r="2518">
      <c r="A2518" s="3" t="n"/>
      <c r="C2518" s="4" t="n"/>
      <c r="E2518" s="5">
        <f>IF(C2518="","",IF(계산!CI2518="","날짜 확인",IF(계산!CJ2518="","금액 확인","")))</f>
        <v/>
      </c>
    </row>
    <row r="2519">
      <c r="A2519" s="3" t="n"/>
      <c r="C2519" s="4" t="n"/>
      <c r="E2519" s="5">
        <f>IF(C2519="","",IF(계산!CI2519="","날짜 확인",IF(계산!CJ2519="","금액 확인","")))</f>
        <v/>
      </c>
    </row>
    <row r="2520">
      <c r="A2520" s="3" t="n"/>
      <c r="C2520" s="4" t="n"/>
      <c r="E2520" s="5">
        <f>IF(C2520="","",IF(계산!CI2520="","날짜 확인",IF(계산!CJ2520="","금액 확인","")))</f>
        <v/>
      </c>
    </row>
    <row r="2521">
      <c r="A2521" s="3" t="n"/>
      <c r="C2521" s="4" t="n"/>
      <c r="E2521" s="5">
        <f>IF(C2521="","",IF(계산!CI2521="","날짜 확인",IF(계산!CJ2521="","금액 확인","")))</f>
        <v/>
      </c>
    </row>
    <row r="2522">
      <c r="A2522" s="3" t="n"/>
      <c r="C2522" s="4" t="n"/>
      <c r="E2522" s="5">
        <f>IF(C2522="","",IF(계산!CI2522="","날짜 확인",IF(계산!CJ2522="","금액 확인","")))</f>
        <v/>
      </c>
    </row>
    <row r="2523">
      <c r="A2523" s="3" t="n"/>
      <c r="C2523" s="4" t="n"/>
      <c r="E2523" s="5">
        <f>IF(C2523="","",IF(계산!CI2523="","날짜 확인",IF(계산!CJ2523="","금액 확인","")))</f>
        <v/>
      </c>
    </row>
    <row r="2524">
      <c r="A2524" s="3" t="n"/>
      <c r="C2524" s="4" t="n"/>
      <c r="E2524" s="5">
        <f>IF(C2524="","",IF(계산!CI2524="","날짜 확인",IF(계산!CJ2524="","금액 확인","")))</f>
        <v/>
      </c>
    </row>
    <row r="2525">
      <c r="A2525" s="3" t="n"/>
      <c r="C2525" s="4" t="n"/>
      <c r="E2525" s="5">
        <f>IF(C2525="","",IF(계산!CI2525="","날짜 확인",IF(계산!CJ2525="","금액 확인","")))</f>
        <v/>
      </c>
    </row>
    <row r="2526">
      <c r="A2526" s="3" t="n"/>
      <c r="C2526" s="4" t="n"/>
      <c r="E2526" s="5">
        <f>IF(C2526="","",IF(계산!CI2526="","날짜 확인",IF(계산!CJ2526="","금액 확인","")))</f>
        <v/>
      </c>
    </row>
    <row r="2527">
      <c r="A2527" s="3" t="n"/>
      <c r="C2527" s="4" t="n"/>
      <c r="E2527" s="5">
        <f>IF(C2527="","",IF(계산!CI2527="","날짜 확인",IF(계산!CJ2527="","금액 확인","")))</f>
        <v/>
      </c>
    </row>
    <row r="2528">
      <c r="A2528" s="3" t="n"/>
      <c r="C2528" s="4" t="n"/>
      <c r="E2528" s="5">
        <f>IF(C2528="","",IF(계산!CI2528="","날짜 확인",IF(계산!CJ2528="","금액 확인","")))</f>
        <v/>
      </c>
    </row>
    <row r="2529">
      <c r="A2529" s="3" t="n"/>
      <c r="C2529" s="4" t="n"/>
      <c r="E2529" s="5">
        <f>IF(C2529="","",IF(계산!CI2529="","날짜 확인",IF(계산!CJ2529="","금액 확인","")))</f>
        <v/>
      </c>
    </row>
    <row r="2530">
      <c r="A2530" s="3" t="n"/>
      <c r="C2530" s="4" t="n"/>
      <c r="E2530" s="5">
        <f>IF(C2530="","",IF(계산!CI2530="","날짜 확인",IF(계산!CJ2530="","금액 확인","")))</f>
        <v/>
      </c>
    </row>
    <row r="2531">
      <c r="A2531" s="3" t="n"/>
      <c r="C2531" s="4" t="n"/>
      <c r="E2531" s="5">
        <f>IF(C2531="","",IF(계산!CI2531="","날짜 확인",IF(계산!CJ2531="","금액 확인","")))</f>
        <v/>
      </c>
    </row>
    <row r="2532">
      <c r="A2532" s="3" t="n"/>
      <c r="C2532" s="4" t="n"/>
      <c r="E2532" s="5">
        <f>IF(C2532="","",IF(계산!CI2532="","날짜 확인",IF(계산!CJ2532="","금액 확인","")))</f>
        <v/>
      </c>
    </row>
    <row r="2533">
      <c r="A2533" s="3" t="n"/>
      <c r="C2533" s="4" t="n"/>
      <c r="E2533" s="5">
        <f>IF(C2533="","",IF(계산!CI2533="","날짜 확인",IF(계산!CJ2533="","금액 확인","")))</f>
        <v/>
      </c>
    </row>
    <row r="2534">
      <c r="A2534" s="3" t="n"/>
      <c r="C2534" s="4" t="n"/>
      <c r="E2534" s="5">
        <f>IF(C2534="","",IF(계산!CI2534="","날짜 확인",IF(계산!CJ2534="","금액 확인","")))</f>
        <v/>
      </c>
    </row>
    <row r="2535">
      <c r="A2535" s="3" t="n"/>
      <c r="C2535" s="4" t="n"/>
      <c r="E2535" s="5">
        <f>IF(C2535="","",IF(계산!CI2535="","날짜 확인",IF(계산!CJ2535="","금액 확인","")))</f>
        <v/>
      </c>
    </row>
    <row r="2536">
      <c r="A2536" s="3" t="n"/>
      <c r="C2536" s="4" t="n"/>
      <c r="E2536" s="5">
        <f>IF(C2536="","",IF(계산!CI2536="","날짜 확인",IF(계산!CJ2536="","금액 확인","")))</f>
        <v/>
      </c>
    </row>
    <row r="2537">
      <c r="A2537" s="3" t="n"/>
      <c r="C2537" s="4" t="n"/>
      <c r="E2537" s="5">
        <f>IF(C2537="","",IF(계산!CI2537="","날짜 확인",IF(계산!CJ2537="","금액 확인","")))</f>
        <v/>
      </c>
    </row>
    <row r="2538">
      <c r="A2538" s="3" t="n"/>
      <c r="C2538" s="4" t="n"/>
      <c r="E2538" s="5">
        <f>IF(C2538="","",IF(계산!CI2538="","날짜 확인",IF(계산!CJ2538="","금액 확인","")))</f>
        <v/>
      </c>
    </row>
    <row r="2539">
      <c r="A2539" s="3" t="n"/>
      <c r="C2539" s="4" t="n"/>
      <c r="E2539" s="5">
        <f>IF(C2539="","",IF(계산!CI2539="","날짜 확인",IF(계산!CJ2539="","금액 확인","")))</f>
        <v/>
      </c>
    </row>
    <row r="2540">
      <c r="A2540" s="3" t="n"/>
      <c r="C2540" s="4" t="n"/>
      <c r="E2540" s="5">
        <f>IF(C2540="","",IF(계산!CI2540="","날짜 확인",IF(계산!CJ2540="","금액 확인","")))</f>
        <v/>
      </c>
    </row>
    <row r="2541">
      <c r="A2541" s="3" t="n"/>
      <c r="C2541" s="4" t="n"/>
      <c r="E2541" s="5">
        <f>IF(C2541="","",IF(계산!CI2541="","날짜 확인",IF(계산!CJ2541="","금액 확인","")))</f>
        <v/>
      </c>
    </row>
    <row r="2542">
      <c r="A2542" s="3" t="n"/>
      <c r="C2542" s="4" t="n"/>
      <c r="E2542" s="5">
        <f>IF(C2542="","",IF(계산!CI2542="","날짜 확인",IF(계산!CJ2542="","금액 확인","")))</f>
        <v/>
      </c>
    </row>
    <row r="2543">
      <c r="A2543" s="3" t="n"/>
      <c r="C2543" s="4" t="n"/>
      <c r="E2543" s="5">
        <f>IF(C2543="","",IF(계산!CI2543="","날짜 확인",IF(계산!CJ2543="","금액 확인","")))</f>
        <v/>
      </c>
    </row>
    <row r="2544">
      <c r="A2544" s="3" t="n"/>
      <c r="C2544" s="4" t="n"/>
      <c r="E2544" s="5">
        <f>IF(C2544="","",IF(계산!CI2544="","날짜 확인",IF(계산!CJ2544="","금액 확인","")))</f>
        <v/>
      </c>
    </row>
    <row r="2545">
      <c r="A2545" s="3" t="n"/>
      <c r="C2545" s="4" t="n"/>
      <c r="E2545" s="5">
        <f>IF(C2545="","",IF(계산!CI2545="","날짜 확인",IF(계산!CJ2545="","금액 확인","")))</f>
        <v/>
      </c>
    </row>
    <row r="2546">
      <c r="A2546" s="3" t="n"/>
      <c r="C2546" s="4" t="n"/>
      <c r="E2546" s="5">
        <f>IF(C2546="","",IF(계산!CI2546="","날짜 확인",IF(계산!CJ2546="","금액 확인","")))</f>
        <v/>
      </c>
    </row>
    <row r="2547">
      <c r="A2547" s="3" t="n"/>
      <c r="C2547" s="4" t="n"/>
      <c r="E2547" s="5">
        <f>IF(C2547="","",IF(계산!CI2547="","날짜 확인",IF(계산!CJ2547="","금액 확인","")))</f>
        <v/>
      </c>
    </row>
    <row r="2548">
      <c r="A2548" s="3" t="n"/>
      <c r="C2548" s="4" t="n"/>
      <c r="E2548" s="5">
        <f>IF(C2548="","",IF(계산!CI2548="","날짜 확인",IF(계산!CJ2548="","금액 확인","")))</f>
        <v/>
      </c>
    </row>
    <row r="2549">
      <c r="A2549" s="3" t="n"/>
      <c r="C2549" s="4" t="n"/>
      <c r="E2549" s="5">
        <f>IF(C2549="","",IF(계산!CI2549="","날짜 확인",IF(계산!CJ2549="","금액 확인","")))</f>
        <v/>
      </c>
    </row>
    <row r="2550">
      <c r="A2550" s="3" t="n"/>
      <c r="C2550" s="4" t="n"/>
      <c r="E2550" s="5">
        <f>IF(C2550="","",IF(계산!CI2550="","날짜 확인",IF(계산!CJ2550="","금액 확인","")))</f>
        <v/>
      </c>
    </row>
    <row r="2551">
      <c r="A2551" s="3" t="n"/>
      <c r="C2551" s="4" t="n"/>
      <c r="E2551" s="5">
        <f>IF(C2551="","",IF(계산!CI2551="","날짜 확인",IF(계산!CJ2551="","금액 확인","")))</f>
        <v/>
      </c>
    </row>
    <row r="2552">
      <c r="A2552" s="3" t="n"/>
      <c r="C2552" s="4" t="n"/>
      <c r="E2552" s="5">
        <f>IF(C2552="","",IF(계산!CI2552="","날짜 확인",IF(계산!CJ2552="","금액 확인","")))</f>
        <v/>
      </c>
    </row>
    <row r="2553">
      <c r="A2553" s="3" t="n"/>
      <c r="C2553" s="4" t="n"/>
      <c r="E2553" s="5">
        <f>IF(C2553="","",IF(계산!CI2553="","날짜 확인",IF(계산!CJ2553="","금액 확인","")))</f>
        <v/>
      </c>
    </row>
    <row r="2554">
      <c r="A2554" s="3" t="n"/>
      <c r="C2554" s="4" t="n"/>
      <c r="E2554" s="5">
        <f>IF(C2554="","",IF(계산!CI2554="","날짜 확인",IF(계산!CJ2554="","금액 확인","")))</f>
        <v/>
      </c>
    </row>
    <row r="2555">
      <c r="A2555" s="3" t="n"/>
      <c r="C2555" s="4" t="n"/>
      <c r="E2555" s="5">
        <f>IF(C2555="","",IF(계산!CI2555="","날짜 확인",IF(계산!CJ2555="","금액 확인","")))</f>
        <v/>
      </c>
    </row>
    <row r="2556">
      <c r="A2556" s="3" t="n"/>
      <c r="C2556" s="4" t="n"/>
      <c r="E2556" s="5">
        <f>IF(C2556="","",IF(계산!CI2556="","날짜 확인",IF(계산!CJ2556="","금액 확인","")))</f>
        <v/>
      </c>
    </row>
    <row r="2557">
      <c r="A2557" s="3" t="n"/>
      <c r="C2557" s="4" t="n"/>
      <c r="E2557" s="5">
        <f>IF(C2557="","",IF(계산!CI2557="","날짜 확인",IF(계산!CJ2557="","금액 확인","")))</f>
        <v/>
      </c>
    </row>
    <row r="2558">
      <c r="A2558" s="3" t="n"/>
      <c r="C2558" s="4" t="n"/>
      <c r="E2558" s="5">
        <f>IF(C2558="","",IF(계산!CI2558="","날짜 확인",IF(계산!CJ2558="","금액 확인","")))</f>
        <v/>
      </c>
    </row>
    <row r="2559">
      <c r="A2559" s="3" t="n"/>
      <c r="C2559" s="4" t="n"/>
      <c r="E2559" s="5">
        <f>IF(C2559="","",IF(계산!CI2559="","날짜 확인",IF(계산!CJ2559="","금액 확인","")))</f>
        <v/>
      </c>
    </row>
    <row r="2560">
      <c r="A2560" s="3" t="n"/>
      <c r="C2560" s="4" t="n"/>
      <c r="E2560" s="5">
        <f>IF(C2560="","",IF(계산!CI2560="","날짜 확인",IF(계산!CJ2560="","금액 확인","")))</f>
        <v/>
      </c>
    </row>
    <row r="2561">
      <c r="A2561" s="3" t="n"/>
      <c r="C2561" s="4" t="n"/>
      <c r="E2561" s="5">
        <f>IF(C2561="","",IF(계산!CI2561="","날짜 확인",IF(계산!CJ2561="","금액 확인","")))</f>
        <v/>
      </c>
    </row>
    <row r="2562">
      <c r="A2562" s="3" t="n"/>
      <c r="C2562" s="4" t="n"/>
      <c r="E2562" s="5">
        <f>IF(C2562="","",IF(계산!CI2562="","날짜 확인",IF(계산!CJ2562="","금액 확인","")))</f>
        <v/>
      </c>
    </row>
    <row r="2563">
      <c r="A2563" s="3" t="n"/>
      <c r="C2563" s="4" t="n"/>
      <c r="E2563" s="5">
        <f>IF(C2563="","",IF(계산!CI2563="","날짜 확인",IF(계산!CJ2563="","금액 확인","")))</f>
        <v/>
      </c>
    </row>
    <row r="2564">
      <c r="A2564" s="3" t="n"/>
      <c r="C2564" s="4" t="n"/>
      <c r="E2564" s="5">
        <f>IF(C2564="","",IF(계산!CI2564="","날짜 확인",IF(계산!CJ2564="","금액 확인","")))</f>
        <v/>
      </c>
    </row>
    <row r="2565">
      <c r="A2565" s="3" t="n"/>
      <c r="C2565" s="4" t="n"/>
      <c r="E2565" s="5">
        <f>IF(C2565="","",IF(계산!CI2565="","날짜 확인",IF(계산!CJ2565="","금액 확인","")))</f>
        <v/>
      </c>
    </row>
    <row r="2566">
      <c r="A2566" s="3" t="n"/>
      <c r="C2566" s="4" t="n"/>
      <c r="E2566" s="5">
        <f>IF(C2566="","",IF(계산!CI2566="","날짜 확인",IF(계산!CJ2566="","금액 확인","")))</f>
        <v/>
      </c>
    </row>
    <row r="2567">
      <c r="A2567" s="3" t="n"/>
      <c r="C2567" s="4" t="n"/>
      <c r="E2567" s="5">
        <f>IF(C2567="","",IF(계산!CI2567="","날짜 확인",IF(계산!CJ2567="","금액 확인","")))</f>
        <v/>
      </c>
    </row>
    <row r="2568">
      <c r="A2568" s="3" t="n"/>
      <c r="C2568" s="4" t="n"/>
      <c r="E2568" s="5">
        <f>IF(C2568="","",IF(계산!CI2568="","날짜 확인",IF(계산!CJ2568="","금액 확인","")))</f>
        <v/>
      </c>
    </row>
    <row r="2569">
      <c r="A2569" s="3" t="n"/>
      <c r="C2569" s="4" t="n"/>
      <c r="E2569" s="5">
        <f>IF(C2569="","",IF(계산!CI2569="","날짜 확인",IF(계산!CJ2569="","금액 확인","")))</f>
        <v/>
      </c>
    </row>
    <row r="2570">
      <c r="A2570" s="3" t="n"/>
      <c r="C2570" s="4" t="n"/>
      <c r="E2570" s="5">
        <f>IF(C2570="","",IF(계산!CI2570="","날짜 확인",IF(계산!CJ2570="","금액 확인","")))</f>
        <v/>
      </c>
    </row>
    <row r="2571">
      <c r="A2571" s="3" t="n"/>
      <c r="C2571" s="4" t="n"/>
      <c r="E2571" s="5">
        <f>IF(C2571="","",IF(계산!CI2571="","날짜 확인",IF(계산!CJ2571="","금액 확인","")))</f>
        <v/>
      </c>
    </row>
    <row r="2572">
      <c r="A2572" s="3" t="n"/>
      <c r="C2572" s="4" t="n"/>
      <c r="E2572" s="5">
        <f>IF(C2572="","",IF(계산!CI2572="","날짜 확인",IF(계산!CJ2572="","금액 확인","")))</f>
        <v/>
      </c>
    </row>
    <row r="2573">
      <c r="A2573" s="3" t="n"/>
      <c r="C2573" s="4" t="n"/>
      <c r="E2573" s="5">
        <f>IF(C2573="","",IF(계산!CI2573="","날짜 확인",IF(계산!CJ2573="","금액 확인","")))</f>
        <v/>
      </c>
    </row>
    <row r="2574">
      <c r="A2574" s="3" t="n"/>
      <c r="C2574" s="4" t="n"/>
      <c r="E2574" s="5">
        <f>IF(C2574="","",IF(계산!CI2574="","날짜 확인",IF(계산!CJ2574="","금액 확인","")))</f>
        <v/>
      </c>
    </row>
    <row r="2575">
      <c r="A2575" s="3" t="n"/>
      <c r="C2575" s="4" t="n"/>
      <c r="E2575" s="5">
        <f>IF(C2575="","",IF(계산!CI2575="","날짜 확인",IF(계산!CJ2575="","금액 확인","")))</f>
        <v/>
      </c>
    </row>
    <row r="2576">
      <c r="A2576" s="3" t="n"/>
      <c r="C2576" s="4" t="n"/>
      <c r="E2576" s="5">
        <f>IF(C2576="","",IF(계산!CI2576="","날짜 확인",IF(계산!CJ2576="","금액 확인","")))</f>
        <v/>
      </c>
    </row>
    <row r="2577">
      <c r="A2577" s="3" t="n"/>
      <c r="C2577" s="4" t="n"/>
      <c r="E2577" s="5">
        <f>IF(C2577="","",IF(계산!CI2577="","날짜 확인",IF(계산!CJ2577="","금액 확인","")))</f>
        <v/>
      </c>
    </row>
    <row r="2578">
      <c r="A2578" s="3" t="n"/>
      <c r="C2578" s="4" t="n"/>
      <c r="E2578" s="5">
        <f>IF(C2578="","",IF(계산!CI2578="","날짜 확인",IF(계산!CJ2578="","금액 확인","")))</f>
        <v/>
      </c>
    </row>
    <row r="2579">
      <c r="A2579" s="3" t="n"/>
      <c r="C2579" s="4" t="n"/>
      <c r="E2579" s="5">
        <f>IF(C2579="","",IF(계산!CI2579="","날짜 확인",IF(계산!CJ2579="","금액 확인","")))</f>
        <v/>
      </c>
    </row>
    <row r="2580">
      <c r="A2580" s="3" t="n"/>
      <c r="C2580" s="4" t="n"/>
      <c r="E2580" s="5">
        <f>IF(C2580="","",IF(계산!CI2580="","날짜 확인",IF(계산!CJ2580="","금액 확인","")))</f>
        <v/>
      </c>
    </row>
    <row r="2581">
      <c r="A2581" s="3" t="n"/>
      <c r="C2581" s="4" t="n"/>
      <c r="E2581" s="5">
        <f>IF(C2581="","",IF(계산!CI2581="","날짜 확인",IF(계산!CJ2581="","금액 확인","")))</f>
        <v/>
      </c>
    </row>
    <row r="2582">
      <c r="A2582" s="3" t="n"/>
      <c r="C2582" s="4" t="n"/>
      <c r="E2582" s="5">
        <f>IF(C2582="","",IF(계산!CI2582="","날짜 확인",IF(계산!CJ2582="","금액 확인","")))</f>
        <v/>
      </c>
    </row>
    <row r="2583">
      <c r="A2583" s="3" t="n"/>
      <c r="C2583" s="4" t="n"/>
      <c r="E2583" s="5">
        <f>IF(C2583="","",IF(계산!CI2583="","날짜 확인",IF(계산!CJ2583="","금액 확인","")))</f>
        <v/>
      </c>
    </row>
    <row r="2584">
      <c r="A2584" s="3" t="n"/>
      <c r="C2584" s="4" t="n"/>
      <c r="E2584" s="5">
        <f>IF(C2584="","",IF(계산!CI2584="","날짜 확인",IF(계산!CJ2584="","금액 확인","")))</f>
        <v/>
      </c>
    </row>
    <row r="2585">
      <c r="A2585" s="3" t="n"/>
      <c r="C2585" s="4" t="n"/>
      <c r="E2585" s="5">
        <f>IF(C2585="","",IF(계산!CI2585="","날짜 확인",IF(계산!CJ2585="","금액 확인","")))</f>
        <v/>
      </c>
    </row>
    <row r="2586">
      <c r="A2586" s="3" t="n"/>
      <c r="C2586" s="4" t="n"/>
      <c r="E2586" s="5">
        <f>IF(C2586="","",IF(계산!CI2586="","날짜 확인",IF(계산!CJ2586="","금액 확인","")))</f>
        <v/>
      </c>
    </row>
    <row r="2587">
      <c r="A2587" s="3" t="n"/>
      <c r="C2587" s="4" t="n"/>
      <c r="E2587" s="5">
        <f>IF(C2587="","",IF(계산!CI2587="","날짜 확인",IF(계산!CJ2587="","금액 확인","")))</f>
        <v/>
      </c>
    </row>
    <row r="2588">
      <c r="A2588" s="3" t="n"/>
      <c r="C2588" s="4" t="n"/>
      <c r="E2588" s="5">
        <f>IF(C2588="","",IF(계산!CI2588="","날짜 확인",IF(계산!CJ2588="","금액 확인","")))</f>
        <v/>
      </c>
    </row>
    <row r="2589">
      <c r="A2589" s="3" t="n"/>
      <c r="C2589" s="4" t="n"/>
      <c r="E2589" s="5">
        <f>IF(C2589="","",IF(계산!CI2589="","날짜 확인",IF(계산!CJ2589="","금액 확인","")))</f>
        <v/>
      </c>
    </row>
    <row r="2590">
      <c r="A2590" s="3" t="n"/>
      <c r="C2590" s="4" t="n"/>
      <c r="E2590" s="5">
        <f>IF(C2590="","",IF(계산!CI2590="","날짜 확인",IF(계산!CJ2590="","금액 확인","")))</f>
        <v/>
      </c>
    </row>
    <row r="2591">
      <c r="A2591" s="3" t="n"/>
      <c r="C2591" s="4" t="n"/>
      <c r="E2591" s="5">
        <f>IF(C2591="","",IF(계산!CI2591="","날짜 확인",IF(계산!CJ2591="","금액 확인","")))</f>
        <v/>
      </c>
    </row>
    <row r="2592">
      <c r="A2592" s="3" t="n"/>
      <c r="C2592" s="4" t="n"/>
      <c r="E2592" s="5">
        <f>IF(C2592="","",IF(계산!CI2592="","날짜 확인",IF(계산!CJ2592="","금액 확인","")))</f>
        <v/>
      </c>
    </row>
    <row r="2593">
      <c r="A2593" s="3" t="n"/>
      <c r="C2593" s="4" t="n"/>
      <c r="E2593" s="5">
        <f>IF(C2593="","",IF(계산!CI2593="","날짜 확인",IF(계산!CJ2593="","금액 확인","")))</f>
        <v/>
      </c>
    </row>
    <row r="2594">
      <c r="A2594" s="3" t="n"/>
      <c r="C2594" s="4" t="n"/>
      <c r="E2594" s="5">
        <f>IF(C2594="","",IF(계산!CI2594="","날짜 확인",IF(계산!CJ2594="","금액 확인","")))</f>
        <v/>
      </c>
    </row>
    <row r="2595">
      <c r="A2595" s="3" t="n"/>
      <c r="C2595" s="4" t="n"/>
      <c r="E2595" s="5">
        <f>IF(C2595="","",IF(계산!CI2595="","날짜 확인",IF(계산!CJ2595="","금액 확인","")))</f>
        <v/>
      </c>
    </row>
    <row r="2596">
      <c r="A2596" s="3" t="n"/>
      <c r="C2596" s="4" t="n"/>
      <c r="E2596" s="5">
        <f>IF(C2596="","",IF(계산!CI2596="","날짜 확인",IF(계산!CJ2596="","금액 확인","")))</f>
        <v/>
      </c>
    </row>
    <row r="2597">
      <c r="A2597" s="3" t="n"/>
      <c r="C2597" s="4" t="n"/>
      <c r="E2597" s="5">
        <f>IF(C2597="","",IF(계산!CI2597="","날짜 확인",IF(계산!CJ2597="","금액 확인","")))</f>
        <v/>
      </c>
    </row>
    <row r="2598">
      <c r="A2598" s="3" t="n"/>
      <c r="C2598" s="4" t="n"/>
      <c r="E2598" s="5">
        <f>IF(C2598="","",IF(계산!CI2598="","날짜 확인",IF(계산!CJ2598="","금액 확인","")))</f>
        <v/>
      </c>
    </row>
    <row r="2599">
      <c r="A2599" s="3" t="n"/>
      <c r="C2599" s="4" t="n"/>
      <c r="E2599" s="5">
        <f>IF(C2599="","",IF(계산!CI2599="","날짜 확인",IF(계산!CJ2599="","금액 확인","")))</f>
        <v/>
      </c>
    </row>
    <row r="2600">
      <c r="A2600" s="3" t="n"/>
      <c r="C2600" s="4" t="n"/>
      <c r="E2600" s="5">
        <f>IF(C2600="","",IF(계산!CI2600="","날짜 확인",IF(계산!CJ2600="","금액 확인","")))</f>
        <v/>
      </c>
    </row>
    <row r="2601">
      <c r="A2601" s="3" t="n"/>
      <c r="C2601" s="4" t="n"/>
      <c r="E2601" s="5">
        <f>IF(C2601="","",IF(계산!CI2601="","날짜 확인",IF(계산!CJ2601="","금액 확인","")))</f>
        <v/>
      </c>
    </row>
    <row r="2602">
      <c r="A2602" s="3" t="n"/>
      <c r="C2602" s="4" t="n"/>
      <c r="E2602" s="5">
        <f>IF(C2602="","",IF(계산!CI2602="","날짜 확인",IF(계산!CJ2602="","금액 확인","")))</f>
        <v/>
      </c>
    </row>
    <row r="2603">
      <c r="A2603" s="3" t="n"/>
      <c r="C2603" s="4" t="n"/>
      <c r="E2603" s="5">
        <f>IF(C2603="","",IF(계산!CI2603="","날짜 확인",IF(계산!CJ2603="","금액 확인","")))</f>
        <v/>
      </c>
    </row>
    <row r="2604">
      <c r="A2604" s="3" t="n"/>
      <c r="C2604" s="4" t="n"/>
      <c r="E2604" s="5">
        <f>IF(C2604="","",IF(계산!CI2604="","날짜 확인",IF(계산!CJ2604="","금액 확인","")))</f>
        <v/>
      </c>
    </row>
    <row r="2605">
      <c r="A2605" s="3" t="n"/>
      <c r="C2605" s="4" t="n"/>
      <c r="E2605" s="5">
        <f>IF(C2605="","",IF(계산!CI2605="","날짜 확인",IF(계산!CJ2605="","금액 확인","")))</f>
        <v/>
      </c>
    </row>
    <row r="2606">
      <c r="A2606" s="3" t="n"/>
      <c r="C2606" s="4" t="n"/>
      <c r="E2606" s="5">
        <f>IF(C2606="","",IF(계산!CI2606="","날짜 확인",IF(계산!CJ2606="","금액 확인","")))</f>
        <v/>
      </c>
    </row>
    <row r="2607">
      <c r="A2607" s="3" t="n"/>
      <c r="C2607" s="4" t="n"/>
      <c r="E2607" s="5">
        <f>IF(C2607="","",IF(계산!CI2607="","날짜 확인",IF(계산!CJ2607="","금액 확인","")))</f>
        <v/>
      </c>
    </row>
    <row r="2608">
      <c r="A2608" s="3" t="n"/>
      <c r="C2608" s="4" t="n"/>
      <c r="E2608" s="5">
        <f>IF(C2608="","",IF(계산!CI2608="","날짜 확인",IF(계산!CJ2608="","금액 확인","")))</f>
        <v/>
      </c>
    </row>
    <row r="2609">
      <c r="A2609" s="3" t="n"/>
      <c r="C2609" s="4" t="n"/>
      <c r="E2609" s="5">
        <f>IF(C2609="","",IF(계산!CI2609="","날짜 확인",IF(계산!CJ2609="","금액 확인","")))</f>
        <v/>
      </c>
    </row>
    <row r="2610">
      <c r="A2610" s="3" t="n"/>
      <c r="C2610" s="4" t="n"/>
      <c r="E2610" s="5">
        <f>IF(C2610="","",IF(계산!CI2610="","날짜 확인",IF(계산!CJ2610="","금액 확인","")))</f>
        <v/>
      </c>
    </row>
    <row r="2611">
      <c r="A2611" s="3" t="n"/>
      <c r="C2611" s="4" t="n"/>
      <c r="E2611" s="5">
        <f>IF(C2611="","",IF(계산!CI2611="","날짜 확인",IF(계산!CJ2611="","금액 확인","")))</f>
        <v/>
      </c>
    </row>
    <row r="2612">
      <c r="A2612" s="3" t="n"/>
      <c r="C2612" s="4" t="n"/>
      <c r="E2612" s="5">
        <f>IF(C2612="","",IF(계산!CI2612="","날짜 확인",IF(계산!CJ2612="","금액 확인","")))</f>
        <v/>
      </c>
    </row>
    <row r="2613">
      <c r="A2613" s="3" t="n"/>
      <c r="C2613" s="4" t="n"/>
      <c r="E2613" s="5">
        <f>IF(C2613="","",IF(계산!CI2613="","날짜 확인",IF(계산!CJ2613="","금액 확인","")))</f>
        <v/>
      </c>
    </row>
    <row r="2614">
      <c r="A2614" s="3" t="n"/>
      <c r="C2614" s="4" t="n"/>
      <c r="E2614" s="5">
        <f>IF(C2614="","",IF(계산!CI2614="","날짜 확인",IF(계산!CJ2614="","금액 확인","")))</f>
        <v/>
      </c>
    </row>
    <row r="2615">
      <c r="A2615" s="3" t="n"/>
      <c r="C2615" s="4" t="n"/>
      <c r="E2615" s="5">
        <f>IF(C2615="","",IF(계산!CI2615="","날짜 확인",IF(계산!CJ2615="","금액 확인","")))</f>
        <v/>
      </c>
    </row>
    <row r="2616">
      <c r="A2616" s="3" t="n"/>
      <c r="C2616" s="4" t="n"/>
      <c r="E2616" s="5">
        <f>IF(C2616="","",IF(계산!CI2616="","날짜 확인",IF(계산!CJ2616="","금액 확인","")))</f>
        <v/>
      </c>
    </row>
    <row r="2617">
      <c r="A2617" s="3" t="n"/>
      <c r="C2617" s="4" t="n"/>
      <c r="E2617" s="5">
        <f>IF(C2617="","",IF(계산!CI2617="","날짜 확인",IF(계산!CJ2617="","금액 확인","")))</f>
        <v/>
      </c>
    </row>
    <row r="2618">
      <c r="A2618" s="3" t="n"/>
      <c r="C2618" s="4" t="n"/>
      <c r="E2618" s="5">
        <f>IF(C2618="","",IF(계산!CI2618="","날짜 확인",IF(계산!CJ2618="","금액 확인","")))</f>
        <v/>
      </c>
    </row>
    <row r="2619">
      <c r="A2619" s="3" t="n"/>
      <c r="C2619" s="4" t="n"/>
      <c r="E2619" s="5">
        <f>IF(C2619="","",IF(계산!CI2619="","날짜 확인",IF(계산!CJ2619="","금액 확인","")))</f>
        <v/>
      </c>
    </row>
    <row r="2620">
      <c r="A2620" s="3" t="n"/>
      <c r="C2620" s="4" t="n"/>
      <c r="E2620" s="5">
        <f>IF(C2620="","",IF(계산!CI2620="","날짜 확인",IF(계산!CJ2620="","금액 확인","")))</f>
        <v/>
      </c>
    </row>
    <row r="2621">
      <c r="A2621" s="3" t="n"/>
      <c r="C2621" s="4" t="n"/>
      <c r="E2621" s="5">
        <f>IF(C2621="","",IF(계산!CI2621="","날짜 확인",IF(계산!CJ2621="","금액 확인","")))</f>
        <v/>
      </c>
    </row>
    <row r="2622">
      <c r="A2622" s="3" t="n"/>
      <c r="C2622" s="4" t="n"/>
      <c r="E2622" s="5">
        <f>IF(C2622="","",IF(계산!CI2622="","날짜 확인",IF(계산!CJ2622="","금액 확인","")))</f>
        <v/>
      </c>
    </row>
    <row r="2623">
      <c r="A2623" s="3" t="n"/>
      <c r="C2623" s="4" t="n"/>
      <c r="E2623" s="5">
        <f>IF(C2623="","",IF(계산!CI2623="","날짜 확인",IF(계산!CJ2623="","금액 확인","")))</f>
        <v/>
      </c>
    </row>
    <row r="2624">
      <c r="A2624" s="3" t="n"/>
      <c r="C2624" s="4" t="n"/>
      <c r="E2624" s="5">
        <f>IF(C2624="","",IF(계산!CI2624="","날짜 확인",IF(계산!CJ2624="","금액 확인","")))</f>
        <v/>
      </c>
    </row>
    <row r="2625">
      <c r="A2625" s="3" t="n"/>
      <c r="C2625" s="4" t="n"/>
      <c r="E2625" s="5">
        <f>IF(C2625="","",IF(계산!CI2625="","날짜 확인",IF(계산!CJ2625="","금액 확인","")))</f>
        <v/>
      </c>
    </row>
    <row r="2626">
      <c r="A2626" s="3" t="n"/>
      <c r="C2626" s="4" t="n"/>
      <c r="E2626" s="5">
        <f>IF(C2626="","",IF(계산!CI2626="","날짜 확인",IF(계산!CJ2626="","금액 확인","")))</f>
        <v/>
      </c>
    </row>
    <row r="2627">
      <c r="A2627" s="3" t="n"/>
      <c r="C2627" s="4" t="n"/>
      <c r="E2627" s="5">
        <f>IF(C2627="","",IF(계산!CI2627="","날짜 확인",IF(계산!CJ2627="","금액 확인","")))</f>
        <v/>
      </c>
    </row>
    <row r="2628">
      <c r="A2628" s="3" t="n"/>
      <c r="C2628" s="4" t="n"/>
      <c r="E2628" s="5">
        <f>IF(C2628="","",IF(계산!CI2628="","날짜 확인",IF(계산!CJ2628="","금액 확인","")))</f>
        <v/>
      </c>
    </row>
    <row r="2629">
      <c r="A2629" s="3" t="n"/>
      <c r="C2629" s="4" t="n"/>
      <c r="E2629" s="5">
        <f>IF(C2629="","",IF(계산!CI2629="","날짜 확인",IF(계산!CJ2629="","금액 확인","")))</f>
        <v/>
      </c>
    </row>
    <row r="2630">
      <c r="A2630" s="3" t="n"/>
      <c r="C2630" s="4" t="n"/>
      <c r="E2630" s="5">
        <f>IF(C2630="","",IF(계산!CI2630="","날짜 확인",IF(계산!CJ2630="","금액 확인","")))</f>
        <v/>
      </c>
    </row>
    <row r="2631">
      <c r="A2631" s="3" t="n"/>
      <c r="C2631" s="4" t="n"/>
      <c r="E2631" s="5">
        <f>IF(C2631="","",IF(계산!CI2631="","날짜 확인",IF(계산!CJ2631="","금액 확인","")))</f>
        <v/>
      </c>
    </row>
    <row r="2632">
      <c r="A2632" s="3" t="n"/>
      <c r="C2632" s="4" t="n"/>
      <c r="E2632" s="5">
        <f>IF(C2632="","",IF(계산!CI2632="","날짜 확인",IF(계산!CJ2632="","금액 확인","")))</f>
        <v/>
      </c>
    </row>
    <row r="2633">
      <c r="A2633" s="3" t="n"/>
      <c r="C2633" s="4" t="n"/>
      <c r="E2633" s="5">
        <f>IF(C2633="","",IF(계산!CI2633="","날짜 확인",IF(계산!CJ2633="","금액 확인","")))</f>
        <v/>
      </c>
    </row>
    <row r="2634">
      <c r="A2634" s="3" t="n"/>
      <c r="C2634" s="4" t="n"/>
      <c r="E2634" s="5">
        <f>IF(C2634="","",IF(계산!CI2634="","날짜 확인",IF(계산!CJ2634="","금액 확인","")))</f>
        <v/>
      </c>
    </row>
    <row r="2635">
      <c r="A2635" s="3" t="n"/>
      <c r="C2635" s="4" t="n"/>
      <c r="E2635" s="5">
        <f>IF(C2635="","",IF(계산!CI2635="","날짜 확인",IF(계산!CJ2635="","금액 확인","")))</f>
        <v/>
      </c>
    </row>
    <row r="2636">
      <c r="A2636" s="3" t="n"/>
      <c r="C2636" s="4" t="n"/>
      <c r="E2636" s="5">
        <f>IF(C2636="","",IF(계산!CI2636="","날짜 확인",IF(계산!CJ2636="","금액 확인","")))</f>
        <v/>
      </c>
    </row>
    <row r="2637">
      <c r="A2637" s="3" t="n"/>
      <c r="C2637" s="4" t="n"/>
      <c r="E2637" s="5">
        <f>IF(C2637="","",IF(계산!CI2637="","날짜 확인",IF(계산!CJ2637="","금액 확인","")))</f>
        <v/>
      </c>
    </row>
    <row r="2638">
      <c r="A2638" s="3" t="n"/>
      <c r="C2638" s="4" t="n"/>
      <c r="E2638" s="5">
        <f>IF(C2638="","",IF(계산!CI2638="","날짜 확인",IF(계산!CJ2638="","금액 확인","")))</f>
        <v/>
      </c>
    </row>
    <row r="2639">
      <c r="A2639" s="3" t="n"/>
      <c r="C2639" s="4" t="n"/>
      <c r="E2639" s="5">
        <f>IF(C2639="","",IF(계산!CI2639="","날짜 확인",IF(계산!CJ2639="","금액 확인","")))</f>
        <v/>
      </c>
    </row>
    <row r="2640">
      <c r="A2640" s="3" t="n"/>
      <c r="C2640" s="4" t="n"/>
      <c r="E2640" s="5">
        <f>IF(C2640="","",IF(계산!CI2640="","날짜 확인",IF(계산!CJ2640="","금액 확인","")))</f>
        <v/>
      </c>
    </row>
    <row r="2641">
      <c r="A2641" s="3" t="n"/>
      <c r="C2641" s="4" t="n"/>
      <c r="E2641" s="5">
        <f>IF(C2641="","",IF(계산!CI2641="","날짜 확인",IF(계산!CJ2641="","금액 확인","")))</f>
        <v/>
      </c>
    </row>
    <row r="2642">
      <c r="A2642" s="3" t="n"/>
      <c r="C2642" s="4" t="n"/>
      <c r="E2642" s="5">
        <f>IF(C2642="","",IF(계산!CI2642="","날짜 확인",IF(계산!CJ2642="","금액 확인","")))</f>
        <v/>
      </c>
    </row>
    <row r="2643">
      <c r="A2643" s="3" t="n"/>
      <c r="C2643" s="4" t="n"/>
      <c r="E2643" s="5">
        <f>IF(C2643="","",IF(계산!CI2643="","날짜 확인",IF(계산!CJ2643="","금액 확인","")))</f>
        <v/>
      </c>
    </row>
    <row r="2644">
      <c r="A2644" s="3" t="n"/>
      <c r="C2644" s="4" t="n"/>
      <c r="E2644" s="5">
        <f>IF(C2644="","",IF(계산!CI2644="","날짜 확인",IF(계산!CJ2644="","금액 확인","")))</f>
        <v/>
      </c>
    </row>
    <row r="2645">
      <c r="A2645" s="3" t="n"/>
      <c r="C2645" s="4" t="n"/>
      <c r="E2645" s="5">
        <f>IF(C2645="","",IF(계산!CI2645="","날짜 확인",IF(계산!CJ2645="","금액 확인","")))</f>
        <v/>
      </c>
    </row>
    <row r="2646">
      <c r="A2646" s="3" t="n"/>
      <c r="C2646" s="4" t="n"/>
      <c r="E2646" s="5">
        <f>IF(C2646="","",IF(계산!CI2646="","날짜 확인",IF(계산!CJ2646="","금액 확인","")))</f>
        <v/>
      </c>
    </row>
    <row r="2647">
      <c r="A2647" s="3" t="n"/>
      <c r="C2647" s="4" t="n"/>
      <c r="E2647" s="5">
        <f>IF(C2647="","",IF(계산!CI2647="","날짜 확인",IF(계산!CJ2647="","금액 확인","")))</f>
        <v/>
      </c>
    </row>
    <row r="2648">
      <c r="A2648" s="3" t="n"/>
      <c r="C2648" s="4" t="n"/>
      <c r="E2648" s="5">
        <f>IF(C2648="","",IF(계산!CI2648="","날짜 확인",IF(계산!CJ2648="","금액 확인","")))</f>
        <v/>
      </c>
    </row>
    <row r="2649">
      <c r="A2649" s="3" t="n"/>
      <c r="C2649" s="4" t="n"/>
      <c r="E2649" s="5">
        <f>IF(C2649="","",IF(계산!CI2649="","날짜 확인",IF(계산!CJ2649="","금액 확인","")))</f>
        <v/>
      </c>
    </row>
    <row r="2650">
      <c r="A2650" s="3" t="n"/>
      <c r="C2650" s="4" t="n"/>
      <c r="E2650" s="5">
        <f>IF(C2650="","",IF(계산!CI2650="","날짜 확인",IF(계산!CJ2650="","금액 확인","")))</f>
        <v/>
      </c>
    </row>
    <row r="2651">
      <c r="A2651" s="3" t="n"/>
      <c r="C2651" s="4" t="n"/>
      <c r="E2651" s="5">
        <f>IF(C2651="","",IF(계산!CI2651="","날짜 확인",IF(계산!CJ2651="","금액 확인","")))</f>
        <v/>
      </c>
    </row>
    <row r="2652">
      <c r="A2652" s="3" t="n"/>
      <c r="C2652" s="4" t="n"/>
      <c r="E2652" s="5">
        <f>IF(C2652="","",IF(계산!CI2652="","날짜 확인",IF(계산!CJ2652="","금액 확인","")))</f>
        <v/>
      </c>
    </row>
    <row r="2653">
      <c r="A2653" s="3" t="n"/>
      <c r="C2653" s="4" t="n"/>
      <c r="E2653" s="5">
        <f>IF(C2653="","",IF(계산!CI2653="","날짜 확인",IF(계산!CJ2653="","금액 확인","")))</f>
        <v/>
      </c>
    </row>
    <row r="2654">
      <c r="A2654" s="3" t="n"/>
      <c r="C2654" s="4" t="n"/>
      <c r="E2654" s="5">
        <f>IF(C2654="","",IF(계산!CI2654="","날짜 확인",IF(계산!CJ2654="","금액 확인","")))</f>
        <v/>
      </c>
    </row>
    <row r="2655">
      <c r="A2655" s="3" t="n"/>
      <c r="C2655" s="4" t="n"/>
      <c r="E2655" s="5">
        <f>IF(C2655="","",IF(계산!CI2655="","날짜 확인",IF(계산!CJ2655="","금액 확인","")))</f>
        <v/>
      </c>
    </row>
    <row r="2656">
      <c r="A2656" s="3" t="n"/>
      <c r="C2656" s="4" t="n"/>
      <c r="E2656" s="5">
        <f>IF(C2656="","",IF(계산!CI2656="","날짜 확인",IF(계산!CJ2656="","금액 확인","")))</f>
        <v/>
      </c>
    </row>
    <row r="2657">
      <c r="A2657" s="3" t="n"/>
      <c r="C2657" s="4" t="n"/>
      <c r="E2657" s="5">
        <f>IF(C2657="","",IF(계산!CI2657="","날짜 확인",IF(계산!CJ2657="","금액 확인","")))</f>
        <v/>
      </c>
    </row>
    <row r="2658">
      <c r="A2658" s="3" t="n"/>
      <c r="C2658" s="4" t="n"/>
      <c r="E2658" s="5">
        <f>IF(C2658="","",IF(계산!CI2658="","날짜 확인",IF(계산!CJ2658="","금액 확인","")))</f>
        <v/>
      </c>
    </row>
    <row r="2659">
      <c r="A2659" s="3" t="n"/>
      <c r="C2659" s="4" t="n"/>
      <c r="E2659" s="5">
        <f>IF(C2659="","",IF(계산!CI2659="","날짜 확인",IF(계산!CJ2659="","금액 확인","")))</f>
        <v/>
      </c>
    </row>
    <row r="2660">
      <c r="A2660" s="3" t="n"/>
      <c r="C2660" s="4" t="n"/>
      <c r="E2660" s="5">
        <f>IF(C2660="","",IF(계산!CI2660="","날짜 확인",IF(계산!CJ2660="","금액 확인","")))</f>
        <v/>
      </c>
    </row>
    <row r="2661">
      <c r="A2661" s="3" t="n"/>
      <c r="C2661" s="4" t="n"/>
      <c r="E2661" s="5">
        <f>IF(C2661="","",IF(계산!CI2661="","날짜 확인",IF(계산!CJ2661="","금액 확인","")))</f>
        <v/>
      </c>
    </row>
    <row r="2662">
      <c r="A2662" s="3" t="n"/>
      <c r="C2662" s="4" t="n"/>
      <c r="E2662" s="5">
        <f>IF(C2662="","",IF(계산!CI2662="","날짜 확인",IF(계산!CJ2662="","금액 확인","")))</f>
        <v/>
      </c>
    </row>
    <row r="2663">
      <c r="A2663" s="3" t="n"/>
      <c r="C2663" s="4" t="n"/>
      <c r="E2663" s="5">
        <f>IF(C2663="","",IF(계산!CI2663="","날짜 확인",IF(계산!CJ2663="","금액 확인","")))</f>
        <v/>
      </c>
    </row>
    <row r="2664">
      <c r="A2664" s="3" t="n"/>
      <c r="C2664" s="4" t="n"/>
      <c r="E2664" s="5">
        <f>IF(C2664="","",IF(계산!CI2664="","날짜 확인",IF(계산!CJ2664="","금액 확인","")))</f>
        <v/>
      </c>
    </row>
    <row r="2665">
      <c r="A2665" s="3" t="n"/>
      <c r="C2665" s="4" t="n"/>
      <c r="E2665" s="5">
        <f>IF(C2665="","",IF(계산!CI2665="","날짜 확인",IF(계산!CJ2665="","금액 확인","")))</f>
        <v/>
      </c>
    </row>
    <row r="2666">
      <c r="A2666" s="3" t="n"/>
      <c r="C2666" s="4" t="n"/>
      <c r="E2666" s="5">
        <f>IF(C2666="","",IF(계산!CI2666="","날짜 확인",IF(계산!CJ2666="","금액 확인","")))</f>
        <v/>
      </c>
    </row>
    <row r="2667">
      <c r="A2667" s="3" t="n"/>
      <c r="C2667" s="4" t="n"/>
      <c r="E2667" s="5">
        <f>IF(C2667="","",IF(계산!CI2667="","날짜 확인",IF(계산!CJ2667="","금액 확인","")))</f>
        <v/>
      </c>
    </row>
    <row r="2668">
      <c r="A2668" s="3" t="n"/>
      <c r="C2668" s="4" t="n"/>
      <c r="E2668" s="5">
        <f>IF(C2668="","",IF(계산!CI2668="","날짜 확인",IF(계산!CJ2668="","금액 확인","")))</f>
        <v/>
      </c>
    </row>
    <row r="2669">
      <c r="A2669" s="3" t="n"/>
      <c r="C2669" s="4" t="n"/>
      <c r="E2669" s="5">
        <f>IF(C2669="","",IF(계산!CI2669="","날짜 확인",IF(계산!CJ2669="","금액 확인","")))</f>
        <v/>
      </c>
    </row>
    <row r="2670">
      <c r="A2670" s="3" t="n"/>
      <c r="C2670" s="4" t="n"/>
      <c r="E2670" s="5">
        <f>IF(C2670="","",IF(계산!CI2670="","날짜 확인",IF(계산!CJ2670="","금액 확인","")))</f>
        <v/>
      </c>
    </row>
    <row r="2671">
      <c r="A2671" s="3" t="n"/>
      <c r="C2671" s="4" t="n"/>
      <c r="E2671" s="5">
        <f>IF(C2671="","",IF(계산!CI2671="","날짜 확인",IF(계산!CJ2671="","금액 확인","")))</f>
        <v/>
      </c>
    </row>
    <row r="2672">
      <c r="A2672" s="3" t="n"/>
      <c r="C2672" s="4" t="n"/>
      <c r="E2672" s="5">
        <f>IF(C2672="","",IF(계산!CI2672="","날짜 확인",IF(계산!CJ2672="","금액 확인","")))</f>
        <v/>
      </c>
    </row>
    <row r="2673">
      <c r="A2673" s="3" t="n"/>
      <c r="C2673" s="4" t="n"/>
      <c r="E2673" s="5">
        <f>IF(C2673="","",IF(계산!CI2673="","날짜 확인",IF(계산!CJ2673="","금액 확인","")))</f>
        <v/>
      </c>
    </row>
    <row r="2674">
      <c r="A2674" s="3" t="n"/>
      <c r="C2674" s="4" t="n"/>
      <c r="E2674" s="5">
        <f>IF(C2674="","",IF(계산!CI2674="","날짜 확인",IF(계산!CJ2674="","금액 확인","")))</f>
        <v/>
      </c>
    </row>
    <row r="2675">
      <c r="A2675" s="3" t="n"/>
      <c r="C2675" s="4" t="n"/>
      <c r="E2675" s="5">
        <f>IF(C2675="","",IF(계산!CI2675="","날짜 확인",IF(계산!CJ2675="","금액 확인","")))</f>
        <v/>
      </c>
    </row>
    <row r="2676">
      <c r="A2676" s="3" t="n"/>
      <c r="C2676" s="4" t="n"/>
      <c r="E2676" s="5">
        <f>IF(C2676="","",IF(계산!CI2676="","날짜 확인",IF(계산!CJ2676="","금액 확인","")))</f>
        <v/>
      </c>
    </row>
    <row r="2677">
      <c r="A2677" s="3" t="n"/>
      <c r="C2677" s="4" t="n"/>
      <c r="E2677" s="5">
        <f>IF(C2677="","",IF(계산!CI2677="","날짜 확인",IF(계산!CJ2677="","금액 확인","")))</f>
        <v/>
      </c>
    </row>
    <row r="2678">
      <c r="A2678" s="3" t="n"/>
      <c r="C2678" s="4" t="n"/>
      <c r="E2678" s="5">
        <f>IF(C2678="","",IF(계산!CI2678="","날짜 확인",IF(계산!CJ2678="","금액 확인","")))</f>
        <v/>
      </c>
    </row>
    <row r="2679">
      <c r="A2679" s="3" t="n"/>
      <c r="C2679" s="4" t="n"/>
      <c r="E2679" s="5">
        <f>IF(C2679="","",IF(계산!CI2679="","날짜 확인",IF(계산!CJ2679="","금액 확인","")))</f>
        <v/>
      </c>
    </row>
    <row r="2680">
      <c r="A2680" s="3" t="n"/>
      <c r="C2680" s="4" t="n"/>
      <c r="E2680" s="5">
        <f>IF(C2680="","",IF(계산!CI2680="","날짜 확인",IF(계산!CJ2680="","금액 확인","")))</f>
        <v/>
      </c>
    </row>
    <row r="2681">
      <c r="A2681" s="3" t="n"/>
      <c r="C2681" s="4" t="n"/>
      <c r="E2681" s="5">
        <f>IF(C2681="","",IF(계산!CI2681="","날짜 확인",IF(계산!CJ2681="","금액 확인","")))</f>
        <v/>
      </c>
    </row>
    <row r="2682">
      <c r="A2682" s="3" t="n"/>
      <c r="C2682" s="4" t="n"/>
      <c r="E2682" s="5">
        <f>IF(C2682="","",IF(계산!CI2682="","날짜 확인",IF(계산!CJ2682="","금액 확인","")))</f>
        <v/>
      </c>
    </row>
    <row r="2683">
      <c r="A2683" s="3" t="n"/>
      <c r="C2683" s="4" t="n"/>
      <c r="E2683" s="5">
        <f>IF(C2683="","",IF(계산!CI2683="","날짜 확인",IF(계산!CJ2683="","금액 확인","")))</f>
        <v/>
      </c>
    </row>
    <row r="2684">
      <c r="A2684" s="3" t="n"/>
      <c r="C2684" s="4" t="n"/>
      <c r="E2684" s="5">
        <f>IF(C2684="","",IF(계산!CI2684="","날짜 확인",IF(계산!CJ2684="","금액 확인","")))</f>
        <v/>
      </c>
    </row>
    <row r="2685">
      <c r="A2685" s="3" t="n"/>
      <c r="C2685" s="4" t="n"/>
      <c r="E2685" s="5">
        <f>IF(C2685="","",IF(계산!CI2685="","날짜 확인",IF(계산!CJ2685="","금액 확인","")))</f>
        <v/>
      </c>
    </row>
    <row r="2686">
      <c r="A2686" s="3" t="n"/>
      <c r="C2686" s="4" t="n"/>
      <c r="E2686" s="5">
        <f>IF(C2686="","",IF(계산!CI2686="","날짜 확인",IF(계산!CJ2686="","금액 확인","")))</f>
        <v/>
      </c>
    </row>
    <row r="2687">
      <c r="A2687" s="3" t="n"/>
      <c r="C2687" s="4" t="n"/>
      <c r="E2687" s="5">
        <f>IF(C2687="","",IF(계산!CI2687="","날짜 확인",IF(계산!CJ2687="","금액 확인","")))</f>
        <v/>
      </c>
    </row>
    <row r="2688">
      <c r="A2688" s="3" t="n"/>
      <c r="C2688" s="4" t="n"/>
      <c r="E2688" s="5">
        <f>IF(C2688="","",IF(계산!CI2688="","날짜 확인",IF(계산!CJ2688="","금액 확인","")))</f>
        <v/>
      </c>
    </row>
    <row r="2689">
      <c r="A2689" s="3" t="n"/>
      <c r="C2689" s="4" t="n"/>
      <c r="E2689" s="5">
        <f>IF(C2689="","",IF(계산!CI2689="","날짜 확인",IF(계산!CJ2689="","금액 확인","")))</f>
        <v/>
      </c>
    </row>
    <row r="2690">
      <c r="A2690" s="3" t="n"/>
      <c r="C2690" s="4" t="n"/>
      <c r="E2690" s="5">
        <f>IF(C2690="","",IF(계산!CI2690="","날짜 확인",IF(계산!CJ2690="","금액 확인","")))</f>
        <v/>
      </c>
    </row>
    <row r="2691">
      <c r="A2691" s="3" t="n"/>
      <c r="C2691" s="4" t="n"/>
      <c r="E2691" s="5">
        <f>IF(C2691="","",IF(계산!CI2691="","날짜 확인",IF(계산!CJ2691="","금액 확인","")))</f>
        <v/>
      </c>
    </row>
    <row r="2692">
      <c r="A2692" s="3" t="n"/>
      <c r="C2692" s="4" t="n"/>
      <c r="E2692" s="5">
        <f>IF(C2692="","",IF(계산!CI2692="","날짜 확인",IF(계산!CJ2692="","금액 확인","")))</f>
        <v/>
      </c>
    </row>
    <row r="2693">
      <c r="A2693" s="3" t="n"/>
      <c r="C2693" s="4" t="n"/>
      <c r="E2693" s="5">
        <f>IF(C2693="","",IF(계산!CI2693="","날짜 확인",IF(계산!CJ2693="","금액 확인","")))</f>
        <v/>
      </c>
    </row>
    <row r="2694">
      <c r="A2694" s="3" t="n"/>
      <c r="C2694" s="4" t="n"/>
      <c r="E2694" s="5">
        <f>IF(C2694="","",IF(계산!CI2694="","날짜 확인",IF(계산!CJ2694="","금액 확인","")))</f>
        <v/>
      </c>
    </row>
    <row r="2695">
      <c r="A2695" s="3" t="n"/>
      <c r="C2695" s="4" t="n"/>
      <c r="E2695" s="5">
        <f>IF(C2695="","",IF(계산!CI2695="","날짜 확인",IF(계산!CJ2695="","금액 확인","")))</f>
        <v/>
      </c>
    </row>
    <row r="2696">
      <c r="A2696" s="3" t="n"/>
      <c r="C2696" s="4" t="n"/>
      <c r="E2696" s="5">
        <f>IF(C2696="","",IF(계산!CI2696="","날짜 확인",IF(계산!CJ2696="","금액 확인","")))</f>
        <v/>
      </c>
    </row>
    <row r="2697">
      <c r="A2697" s="3" t="n"/>
      <c r="C2697" s="4" t="n"/>
      <c r="E2697" s="5">
        <f>IF(C2697="","",IF(계산!CI2697="","날짜 확인",IF(계산!CJ2697="","금액 확인","")))</f>
        <v/>
      </c>
    </row>
    <row r="2698">
      <c r="A2698" s="3" t="n"/>
      <c r="C2698" s="4" t="n"/>
      <c r="E2698" s="5">
        <f>IF(C2698="","",IF(계산!CI2698="","날짜 확인",IF(계산!CJ2698="","금액 확인","")))</f>
        <v/>
      </c>
    </row>
    <row r="2699">
      <c r="A2699" s="3" t="n"/>
      <c r="C2699" s="4" t="n"/>
      <c r="E2699" s="5">
        <f>IF(C2699="","",IF(계산!CI2699="","날짜 확인",IF(계산!CJ2699="","금액 확인","")))</f>
        <v/>
      </c>
    </row>
    <row r="2700">
      <c r="A2700" s="3" t="n"/>
      <c r="C2700" s="4" t="n"/>
      <c r="E2700" s="5">
        <f>IF(C2700="","",IF(계산!CI2700="","날짜 확인",IF(계산!CJ2700="","금액 확인","")))</f>
        <v/>
      </c>
    </row>
    <row r="2701">
      <c r="A2701" s="3" t="n"/>
      <c r="C2701" s="4" t="n"/>
      <c r="E2701" s="5">
        <f>IF(C2701="","",IF(계산!CI2701="","날짜 확인",IF(계산!CJ2701="","금액 확인","")))</f>
        <v/>
      </c>
    </row>
    <row r="2702">
      <c r="A2702" s="3" t="n"/>
      <c r="C2702" s="4" t="n"/>
      <c r="E2702" s="5">
        <f>IF(C2702="","",IF(계산!CI2702="","날짜 확인",IF(계산!CJ2702="","금액 확인","")))</f>
        <v/>
      </c>
    </row>
    <row r="2703">
      <c r="A2703" s="3" t="n"/>
      <c r="C2703" s="4" t="n"/>
      <c r="E2703" s="5">
        <f>IF(C2703="","",IF(계산!CI2703="","날짜 확인",IF(계산!CJ2703="","금액 확인","")))</f>
        <v/>
      </c>
    </row>
    <row r="2704">
      <c r="A2704" s="3" t="n"/>
      <c r="C2704" s="4" t="n"/>
      <c r="E2704" s="5">
        <f>IF(C2704="","",IF(계산!CI2704="","날짜 확인",IF(계산!CJ2704="","금액 확인","")))</f>
        <v/>
      </c>
    </row>
    <row r="2705">
      <c r="A2705" s="3" t="n"/>
      <c r="C2705" s="4" t="n"/>
      <c r="E2705" s="5">
        <f>IF(C2705="","",IF(계산!CI2705="","날짜 확인",IF(계산!CJ2705="","금액 확인","")))</f>
        <v/>
      </c>
    </row>
    <row r="2706">
      <c r="A2706" s="3" t="n"/>
      <c r="C2706" s="4" t="n"/>
      <c r="E2706" s="5">
        <f>IF(C2706="","",IF(계산!CI2706="","날짜 확인",IF(계산!CJ2706="","금액 확인","")))</f>
        <v/>
      </c>
    </row>
    <row r="2707">
      <c r="A2707" s="3" t="n"/>
      <c r="C2707" s="4" t="n"/>
      <c r="E2707" s="5">
        <f>IF(C2707="","",IF(계산!CI2707="","날짜 확인",IF(계산!CJ2707="","금액 확인","")))</f>
        <v/>
      </c>
    </row>
    <row r="2708">
      <c r="A2708" s="3" t="n"/>
      <c r="C2708" s="4" t="n"/>
      <c r="E2708" s="5">
        <f>IF(C2708="","",IF(계산!CI2708="","날짜 확인",IF(계산!CJ2708="","금액 확인","")))</f>
        <v/>
      </c>
    </row>
    <row r="2709">
      <c r="A2709" s="3" t="n"/>
      <c r="C2709" s="4" t="n"/>
      <c r="E2709" s="5">
        <f>IF(C2709="","",IF(계산!CI2709="","날짜 확인",IF(계산!CJ2709="","금액 확인","")))</f>
        <v/>
      </c>
    </row>
    <row r="2710">
      <c r="A2710" s="3" t="n"/>
      <c r="C2710" s="4" t="n"/>
      <c r="E2710" s="5">
        <f>IF(C2710="","",IF(계산!CI2710="","날짜 확인",IF(계산!CJ2710="","금액 확인","")))</f>
        <v/>
      </c>
    </row>
    <row r="2711">
      <c r="A2711" s="3" t="n"/>
      <c r="C2711" s="4" t="n"/>
      <c r="E2711" s="5">
        <f>IF(C2711="","",IF(계산!CI2711="","날짜 확인",IF(계산!CJ2711="","금액 확인","")))</f>
        <v/>
      </c>
    </row>
    <row r="2712">
      <c r="A2712" s="3" t="n"/>
      <c r="C2712" s="4" t="n"/>
      <c r="E2712" s="5">
        <f>IF(C2712="","",IF(계산!CI2712="","날짜 확인",IF(계산!CJ2712="","금액 확인","")))</f>
        <v/>
      </c>
    </row>
    <row r="2713">
      <c r="A2713" s="3" t="n"/>
      <c r="C2713" s="4" t="n"/>
      <c r="E2713" s="5">
        <f>IF(C2713="","",IF(계산!CI2713="","날짜 확인",IF(계산!CJ2713="","금액 확인","")))</f>
        <v/>
      </c>
    </row>
    <row r="2714">
      <c r="A2714" s="3" t="n"/>
      <c r="C2714" s="4" t="n"/>
      <c r="E2714" s="5">
        <f>IF(C2714="","",IF(계산!CI2714="","날짜 확인",IF(계산!CJ2714="","금액 확인","")))</f>
        <v/>
      </c>
    </row>
    <row r="2715">
      <c r="A2715" s="3" t="n"/>
      <c r="C2715" s="4" t="n"/>
      <c r="E2715" s="5">
        <f>IF(C2715="","",IF(계산!CI2715="","날짜 확인",IF(계산!CJ2715="","금액 확인","")))</f>
        <v/>
      </c>
    </row>
    <row r="2716">
      <c r="A2716" s="3" t="n"/>
      <c r="C2716" s="4" t="n"/>
      <c r="E2716" s="5">
        <f>IF(C2716="","",IF(계산!CI2716="","날짜 확인",IF(계산!CJ2716="","금액 확인","")))</f>
        <v/>
      </c>
    </row>
    <row r="2717">
      <c r="A2717" s="3" t="n"/>
      <c r="C2717" s="4" t="n"/>
      <c r="E2717" s="5">
        <f>IF(C2717="","",IF(계산!CI2717="","날짜 확인",IF(계산!CJ2717="","금액 확인","")))</f>
        <v/>
      </c>
    </row>
    <row r="2718">
      <c r="A2718" s="3" t="n"/>
      <c r="C2718" s="4" t="n"/>
      <c r="E2718" s="5">
        <f>IF(C2718="","",IF(계산!CI2718="","날짜 확인",IF(계산!CJ2718="","금액 확인","")))</f>
        <v/>
      </c>
    </row>
    <row r="2719">
      <c r="A2719" s="3" t="n"/>
      <c r="C2719" s="4" t="n"/>
      <c r="E2719" s="5">
        <f>IF(C2719="","",IF(계산!CI2719="","날짜 확인",IF(계산!CJ2719="","금액 확인","")))</f>
        <v/>
      </c>
    </row>
    <row r="2720">
      <c r="A2720" s="3" t="n"/>
      <c r="C2720" s="4" t="n"/>
      <c r="E2720" s="5">
        <f>IF(C2720="","",IF(계산!CI2720="","날짜 확인",IF(계산!CJ2720="","금액 확인","")))</f>
        <v/>
      </c>
    </row>
    <row r="2721">
      <c r="A2721" s="3" t="n"/>
      <c r="C2721" s="4" t="n"/>
      <c r="E2721" s="5">
        <f>IF(C2721="","",IF(계산!CI2721="","날짜 확인",IF(계산!CJ2721="","금액 확인","")))</f>
        <v/>
      </c>
    </row>
    <row r="2722">
      <c r="A2722" s="3" t="n"/>
      <c r="C2722" s="4" t="n"/>
      <c r="E2722" s="5">
        <f>IF(C2722="","",IF(계산!CI2722="","날짜 확인",IF(계산!CJ2722="","금액 확인","")))</f>
        <v/>
      </c>
    </row>
    <row r="2723">
      <c r="A2723" s="3" t="n"/>
      <c r="C2723" s="4" t="n"/>
      <c r="E2723" s="5">
        <f>IF(C2723="","",IF(계산!CI2723="","날짜 확인",IF(계산!CJ2723="","금액 확인","")))</f>
        <v/>
      </c>
    </row>
    <row r="2724">
      <c r="A2724" s="3" t="n"/>
      <c r="C2724" s="4" t="n"/>
      <c r="E2724" s="5">
        <f>IF(C2724="","",IF(계산!CI2724="","날짜 확인",IF(계산!CJ2724="","금액 확인","")))</f>
        <v/>
      </c>
    </row>
    <row r="2725">
      <c r="A2725" s="3" t="n"/>
      <c r="C2725" s="4" t="n"/>
      <c r="E2725" s="5">
        <f>IF(C2725="","",IF(계산!CI2725="","날짜 확인",IF(계산!CJ2725="","금액 확인","")))</f>
        <v/>
      </c>
    </row>
    <row r="2726">
      <c r="A2726" s="3" t="n"/>
      <c r="C2726" s="4" t="n"/>
      <c r="E2726" s="5">
        <f>IF(C2726="","",IF(계산!CI2726="","날짜 확인",IF(계산!CJ2726="","금액 확인","")))</f>
        <v/>
      </c>
    </row>
    <row r="2727">
      <c r="A2727" s="3" t="n"/>
      <c r="C2727" s="4" t="n"/>
      <c r="E2727" s="5">
        <f>IF(C2727="","",IF(계산!CI2727="","날짜 확인",IF(계산!CJ2727="","금액 확인","")))</f>
        <v/>
      </c>
    </row>
    <row r="2728">
      <c r="A2728" s="3" t="n"/>
      <c r="C2728" s="4" t="n"/>
      <c r="E2728" s="5">
        <f>IF(C2728="","",IF(계산!CI2728="","날짜 확인",IF(계산!CJ2728="","금액 확인","")))</f>
        <v/>
      </c>
    </row>
    <row r="2729">
      <c r="A2729" s="3" t="n"/>
      <c r="C2729" s="4" t="n"/>
      <c r="E2729" s="5">
        <f>IF(C2729="","",IF(계산!CI2729="","날짜 확인",IF(계산!CJ2729="","금액 확인","")))</f>
        <v/>
      </c>
    </row>
    <row r="2730">
      <c r="A2730" s="3" t="n"/>
      <c r="C2730" s="4" t="n"/>
      <c r="E2730" s="5">
        <f>IF(C2730="","",IF(계산!CI2730="","날짜 확인",IF(계산!CJ2730="","금액 확인","")))</f>
        <v/>
      </c>
    </row>
    <row r="2731">
      <c r="A2731" s="3" t="n"/>
      <c r="C2731" s="4" t="n"/>
      <c r="E2731" s="5">
        <f>IF(C2731="","",IF(계산!CI2731="","날짜 확인",IF(계산!CJ2731="","금액 확인","")))</f>
        <v/>
      </c>
    </row>
    <row r="2732">
      <c r="A2732" s="3" t="n"/>
      <c r="C2732" s="4" t="n"/>
      <c r="E2732" s="5">
        <f>IF(C2732="","",IF(계산!CI2732="","날짜 확인",IF(계산!CJ2732="","금액 확인","")))</f>
        <v/>
      </c>
    </row>
    <row r="2733">
      <c r="A2733" s="3" t="n"/>
      <c r="C2733" s="4" t="n"/>
      <c r="E2733" s="5">
        <f>IF(C2733="","",IF(계산!CI2733="","날짜 확인",IF(계산!CJ2733="","금액 확인","")))</f>
        <v/>
      </c>
    </row>
    <row r="2734">
      <c r="A2734" s="3" t="n"/>
      <c r="C2734" s="4" t="n"/>
      <c r="E2734" s="5">
        <f>IF(C2734="","",IF(계산!CI2734="","날짜 확인",IF(계산!CJ2734="","금액 확인","")))</f>
        <v/>
      </c>
    </row>
    <row r="2735">
      <c r="A2735" s="3" t="n"/>
      <c r="C2735" s="4" t="n"/>
      <c r="E2735" s="5">
        <f>IF(C2735="","",IF(계산!CI2735="","날짜 확인",IF(계산!CJ2735="","금액 확인","")))</f>
        <v/>
      </c>
    </row>
    <row r="2736">
      <c r="A2736" s="3" t="n"/>
      <c r="C2736" s="4" t="n"/>
      <c r="E2736" s="5">
        <f>IF(C2736="","",IF(계산!CI2736="","날짜 확인",IF(계산!CJ2736="","금액 확인","")))</f>
        <v/>
      </c>
    </row>
    <row r="2737">
      <c r="A2737" s="3" t="n"/>
      <c r="C2737" s="4" t="n"/>
      <c r="E2737" s="5">
        <f>IF(C2737="","",IF(계산!CI2737="","날짜 확인",IF(계산!CJ2737="","금액 확인","")))</f>
        <v/>
      </c>
    </row>
    <row r="2738">
      <c r="A2738" s="3" t="n"/>
      <c r="C2738" s="4" t="n"/>
      <c r="E2738" s="5">
        <f>IF(C2738="","",IF(계산!CI2738="","날짜 확인",IF(계산!CJ2738="","금액 확인","")))</f>
        <v/>
      </c>
    </row>
    <row r="2739">
      <c r="A2739" s="3" t="n"/>
      <c r="C2739" s="4" t="n"/>
      <c r="E2739" s="5">
        <f>IF(C2739="","",IF(계산!CI2739="","날짜 확인",IF(계산!CJ2739="","금액 확인","")))</f>
        <v/>
      </c>
    </row>
    <row r="2740">
      <c r="A2740" s="3" t="n"/>
      <c r="C2740" s="4" t="n"/>
      <c r="E2740" s="5">
        <f>IF(C2740="","",IF(계산!CI2740="","날짜 확인",IF(계산!CJ2740="","금액 확인","")))</f>
        <v/>
      </c>
    </row>
    <row r="2741">
      <c r="A2741" s="3" t="n"/>
      <c r="C2741" s="4" t="n"/>
      <c r="E2741" s="5">
        <f>IF(C2741="","",IF(계산!CI2741="","날짜 확인",IF(계산!CJ2741="","금액 확인","")))</f>
        <v/>
      </c>
    </row>
    <row r="2742">
      <c r="A2742" s="3" t="n"/>
      <c r="C2742" s="4" t="n"/>
      <c r="E2742" s="5">
        <f>IF(C2742="","",IF(계산!CI2742="","날짜 확인",IF(계산!CJ2742="","금액 확인","")))</f>
        <v/>
      </c>
    </row>
    <row r="2743">
      <c r="A2743" s="3" t="n"/>
      <c r="C2743" s="4" t="n"/>
      <c r="E2743" s="5">
        <f>IF(C2743="","",IF(계산!CI2743="","날짜 확인",IF(계산!CJ2743="","금액 확인","")))</f>
        <v/>
      </c>
    </row>
    <row r="2744">
      <c r="A2744" s="3" t="n"/>
      <c r="C2744" s="4" t="n"/>
      <c r="E2744" s="5">
        <f>IF(C2744="","",IF(계산!CI2744="","날짜 확인",IF(계산!CJ2744="","금액 확인","")))</f>
        <v/>
      </c>
    </row>
    <row r="2745">
      <c r="A2745" s="3" t="n"/>
      <c r="C2745" s="4" t="n"/>
      <c r="E2745" s="5">
        <f>IF(C2745="","",IF(계산!CI2745="","날짜 확인",IF(계산!CJ2745="","금액 확인","")))</f>
        <v/>
      </c>
    </row>
    <row r="2746">
      <c r="A2746" s="3" t="n"/>
      <c r="C2746" s="4" t="n"/>
      <c r="E2746" s="5">
        <f>IF(C2746="","",IF(계산!CI2746="","날짜 확인",IF(계산!CJ2746="","금액 확인","")))</f>
        <v/>
      </c>
    </row>
    <row r="2747">
      <c r="A2747" s="3" t="n"/>
      <c r="C2747" s="4" t="n"/>
      <c r="E2747" s="5">
        <f>IF(C2747="","",IF(계산!CI2747="","날짜 확인",IF(계산!CJ2747="","금액 확인","")))</f>
        <v/>
      </c>
    </row>
    <row r="2748">
      <c r="A2748" s="3" t="n"/>
      <c r="C2748" s="4" t="n"/>
      <c r="E2748" s="5">
        <f>IF(C2748="","",IF(계산!CI2748="","날짜 확인",IF(계산!CJ2748="","금액 확인","")))</f>
        <v/>
      </c>
    </row>
    <row r="2749">
      <c r="A2749" s="3" t="n"/>
      <c r="C2749" s="4" t="n"/>
      <c r="E2749" s="5">
        <f>IF(C2749="","",IF(계산!CI2749="","날짜 확인",IF(계산!CJ2749="","금액 확인","")))</f>
        <v/>
      </c>
    </row>
    <row r="2750">
      <c r="A2750" s="3" t="n"/>
      <c r="C2750" s="4" t="n"/>
      <c r="E2750" s="5">
        <f>IF(C2750="","",IF(계산!CI2750="","날짜 확인",IF(계산!CJ2750="","금액 확인","")))</f>
        <v/>
      </c>
    </row>
    <row r="2751">
      <c r="A2751" s="3" t="n"/>
      <c r="C2751" s="4" t="n"/>
      <c r="E2751" s="5">
        <f>IF(C2751="","",IF(계산!CI2751="","날짜 확인",IF(계산!CJ2751="","금액 확인","")))</f>
        <v/>
      </c>
    </row>
    <row r="2752">
      <c r="A2752" s="3" t="n"/>
      <c r="C2752" s="4" t="n"/>
      <c r="E2752" s="5">
        <f>IF(C2752="","",IF(계산!CI2752="","날짜 확인",IF(계산!CJ2752="","금액 확인","")))</f>
        <v/>
      </c>
    </row>
    <row r="2753">
      <c r="A2753" s="3" t="n"/>
      <c r="C2753" s="4" t="n"/>
      <c r="E2753" s="5">
        <f>IF(C2753="","",IF(계산!CI2753="","날짜 확인",IF(계산!CJ2753="","금액 확인","")))</f>
        <v/>
      </c>
    </row>
    <row r="2754">
      <c r="A2754" s="3" t="n"/>
      <c r="C2754" s="4" t="n"/>
      <c r="E2754" s="5">
        <f>IF(C2754="","",IF(계산!CI2754="","날짜 확인",IF(계산!CJ2754="","금액 확인","")))</f>
        <v/>
      </c>
    </row>
    <row r="2755">
      <c r="A2755" s="3" t="n"/>
      <c r="C2755" s="4" t="n"/>
      <c r="E2755" s="5">
        <f>IF(C2755="","",IF(계산!CI2755="","날짜 확인",IF(계산!CJ2755="","금액 확인","")))</f>
        <v/>
      </c>
    </row>
    <row r="2756">
      <c r="A2756" s="3" t="n"/>
      <c r="C2756" s="4" t="n"/>
      <c r="E2756" s="5">
        <f>IF(C2756="","",IF(계산!CI2756="","날짜 확인",IF(계산!CJ2756="","금액 확인","")))</f>
        <v/>
      </c>
    </row>
    <row r="2757">
      <c r="A2757" s="3" t="n"/>
      <c r="C2757" s="4" t="n"/>
      <c r="E2757" s="5">
        <f>IF(C2757="","",IF(계산!CI2757="","날짜 확인",IF(계산!CJ2757="","금액 확인","")))</f>
        <v/>
      </c>
    </row>
    <row r="2758">
      <c r="A2758" s="3" t="n"/>
      <c r="C2758" s="4" t="n"/>
      <c r="E2758" s="5">
        <f>IF(C2758="","",IF(계산!CI2758="","날짜 확인",IF(계산!CJ2758="","금액 확인","")))</f>
        <v/>
      </c>
    </row>
    <row r="2759">
      <c r="A2759" s="3" t="n"/>
      <c r="C2759" s="4" t="n"/>
      <c r="E2759" s="5">
        <f>IF(C2759="","",IF(계산!CI2759="","날짜 확인",IF(계산!CJ2759="","금액 확인","")))</f>
        <v/>
      </c>
    </row>
    <row r="2760">
      <c r="A2760" s="3" t="n"/>
      <c r="C2760" s="4" t="n"/>
      <c r="E2760" s="5">
        <f>IF(C2760="","",IF(계산!CI2760="","날짜 확인",IF(계산!CJ2760="","금액 확인","")))</f>
        <v/>
      </c>
    </row>
    <row r="2761">
      <c r="A2761" s="3" t="n"/>
      <c r="C2761" s="4" t="n"/>
      <c r="E2761" s="5">
        <f>IF(C2761="","",IF(계산!CI2761="","날짜 확인",IF(계산!CJ2761="","금액 확인","")))</f>
        <v/>
      </c>
    </row>
    <row r="2762">
      <c r="A2762" s="3" t="n"/>
      <c r="C2762" s="4" t="n"/>
      <c r="E2762" s="5">
        <f>IF(C2762="","",IF(계산!CI2762="","날짜 확인",IF(계산!CJ2762="","금액 확인","")))</f>
        <v/>
      </c>
    </row>
    <row r="2763">
      <c r="A2763" s="3" t="n"/>
      <c r="C2763" s="4" t="n"/>
      <c r="E2763" s="5">
        <f>IF(C2763="","",IF(계산!CI2763="","날짜 확인",IF(계산!CJ2763="","금액 확인","")))</f>
        <v/>
      </c>
    </row>
    <row r="2764">
      <c r="A2764" s="3" t="n"/>
      <c r="C2764" s="4" t="n"/>
      <c r="E2764" s="5">
        <f>IF(C2764="","",IF(계산!CI2764="","날짜 확인",IF(계산!CJ2764="","금액 확인","")))</f>
        <v/>
      </c>
    </row>
    <row r="2765">
      <c r="A2765" s="3" t="n"/>
      <c r="C2765" s="4" t="n"/>
      <c r="E2765" s="5">
        <f>IF(C2765="","",IF(계산!CI2765="","날짜 확인",IF(계산!CJ2765="","금액 확인","")))</f>
        <v/>
      </c>
    </row>
    <row r="2766">
      <c r="A2766" s="3" t="n"/>
      <c r="C2766" s="4" t="n"/>
      <c r="E2766" s="5">
        <f>IF(C2766="","",IF(계산!CI2766="","날짜 확인",IF(계산!CJ2766="","금액 확인","")))</f>
        <v/>
      </c>
    </row>
    <row r="2767">
      <c r="A2767" s="3" t="n"/>
      <c r="C2767" s="4" t="n"/>
      <c r="E2767" s="5">
        <f>IF(C2767="","",IF(계산!CI2767="","날짜 확인",IF(계산!CJ2767="","금액 확인","")))</f>
        <v/>
      </c>
    </row>
    <row r="2768">
      <c r="A2768" s="3" t="n"/>
      <c r="C2768" s="4" t="n"/>
      <c r="E2768" s="5">
        <f>IF(C2768="","",IF(계산!CI2768="","날짜 확인",IF(계산!CJ2768="","금액 확인","")))</f>
        <v/>
      </c>
    </row>
    <row r="2769">
      <c r="A2769" s="3" t="n"/>
      <c r="C2769" s="4" t="n"/>
      <c r="E2769" s="5">
        <f>IF(C2769="","",IF(계산!CI2769="","날짜 확인",IF(계산!CJ2769="","금액 확인","")))</f>
        <v/>
      </c>
    </row>
    <row r="2770">
      <c r="A2770" s="3" t="n"/>
      <c r="C2770" s="4" t="n"/>
      <c r="E2770" s="5">
        <f>IF(C2770="","",IF(계산!CI2770="","날짜 확인",IF(계산!CJ2770="","금액 확인","")))</f>
        <v/>
      </c>
    </row>
    <row r="2771">
      <c r="A2771" s="3" t="n"/>
      <c r="C2771" s="4" t="n"/>
      <c r="E2771" s="5">
        <f>IF(C2771="","",IF(계산!CI2771="","날짜 확인",IF(계산!CJ2771="","금액 확인","")))</f>
        <v/>
      </c>
    </row>
    <row r="2772">
      <c r="A2772" s="3" t="n"/>
      <c r="C2772" s="4" t="n"/>
      <c r="E2772" s="5">
        <f>IF(C2772="","",IF(계산!CI2772="","날짜 확인",IF(계산!CJ2772="","금액 확인","")))</f>
        <v/>
      </c>
    </row>
    <row r="2773">
      <c r="A2773" s="3" t="n"/>
      <c r="C2773" s="4" t="n"/>
      <c r="E2773" s="5">
        <f>IF(C2773="","",IF(계산!CI2773="","날짜 확인",IF(계산!CJ2773="","금액 확인","")))</f>
        <v/>
      </c>
    </row>
    <row r="2774">
      <c r="A2774" s="3" t="n"/>
      <c r="C2774" s="4" t="n"/>
      <c r="E2774" s="5">
        <f>IF(C2774="","",IF(계산!CI2774="","날짜 확인",IF(계산!CJ2774="","금액 확인","")))</f>
        <v/>
      </c>
    </row>
    <row r="2775">
      <c r="A2775" s="3" t="n"/>
      <c r="C2775" s="4" t="n"/>
      <c r="E2775" s="5">
        <f>IF(C2775="","",IF(계산!CI2775="","날짜 확인",IF(계산!CJ2775="","금액 확인","")))</f>
        <v/>
      </c>
    </row>
    <row r="2776">
      <c r="A2776" s="3" t="n"/>
      <c r="C2776" s="4" t="n"/>
      <c r="E2776" s="5">
        <f>IF(C2776="","",IF(계산!CI2776="","날짜 확인",IF(계산!CJ2776="","금액 확인","")))</f>
        <v/>
      </c>
    </row>
    <row r="2777">
      <c r="A2777" s="3" t="n"/>
      <c r="C2777" s="4" t="n"/>
      <c r="E2777" s="5">
        <f>IF(C2777="","",IF(계산!CI2777="","날짜 확인",IF(계산!CJ2777="","금액 확인","")))</f>
        <v/>
      </c>
    </row>
    <row r="2778">
      <c r="A2778" s="3" t="n"/>
      <c r="C2778" s="4" t="n"/>
      <c r="E2778" s="5">
        <f>IF(C2778="","",IF(계산!CI2778="","날짜 확인",IF(계산!CJ2778="","금액 확인","")))</f>
        <v/>
      </c>
    </row>
    <row r="2779">
      <c r="A2779" s="3" t="n"/>
      <c r="C2779" s="4" t="n"/>
      <c r="E2779" s="5">
        <f>IF(C2779="","",IF(계산!CI2779="","날짜 확인",IF(계산!CJ2779="","금액 확인","")))</f>
        <v/>
      </c>
    </row>
    <row r="2780">
      <c r="A2780" s="3" t="n"/>
      <c r="C2780" s="4" t="n"/>
      <c r="E2780" s="5">
        <f>IF(C2780="","",IF(계산!CI2780="","날짜 확인",IF(계산!CJ2780="","금액 확인","")))</f>
        <v/>
      </c>
    </row>
    <row r="2781">
      <c r="A2781" s="3" t="n"/>
      <c r="C2781" s="4" t="n"/>
      <c r="E2781" s="5">
        <f>IF(C2781="","",IF(계산!CI2781="","날짜 확인",IF(계산!CJ2781="","금액 확인","")))</f>
        <v/>
      </c>
    </row>
    <row r="2782">
      <c r="A2782" s="3" t="n"/>
      <c r="C2782" s="4" t="n"/>
      <c r="E2782" s="5">
        <f>IF(C2782="","",IF(계산!CI2782="","날짜 확인",IF(계산!CJ2782="","금액 확인","")))</f>
        <v/>
      </c>
    </row>
    <row r="2783">
      <c r="A2783" s="3" t="n"/>
      <c r="C2783" s="4" t="n"/>
      <c r="E2783" s="5">
        <f>IF(C2783="","",IF(계산!CI2783="","날짜 확인",IF(계산!CJ2783="","금액 확인","")))</f>
        <v/>
      </c>
    </row>
    <row r="2784">
      <c r="A2784" s="3" t="n"/>
      <c r="C2784" s="4" t="n"/>
      <c r="E2784" s="5">
        <f>IF(C2784="","",IF(계산!CI2784="","날짜 확인",IF(계산!CJ2784="","금액 확인","")))</f>
        <v/>
      </c>
    </row>
    <row r="2785">
      <c r="A2785" s="3" t="n"/>
      <c r="C2785" s="4" t="n"/>
      <c r="E2785" s="5">
        <f>IF(C2785="","",IF(계산!CI2785="","날짜 확인",IF(계산!CJ2785="","금액 확인","")))</f>
        <v/>
      </c>
    </row>
    <row r="2786">
      <c r="A2786" s="3" t="n"/>
      <c r="C2786" s="4" t="n"/>
      <c r="E2786" s="5">
        <f>IF(C2786="","",IF(계산!CI2786="","날짜 확인",IF(계산!CJ2786="","금액 확인","")))</f>
        <v/>
      </c>
    </row>
    <row r="2787">
      <c r="A2787" s="3" t="n"/>
      <c r="C2787" s="4" t="n"/>
      <c r="E2787" s="5">
        <f>IF(C2787="","",IF(계산!CI2787="","날짜 확인",IF(계산!CJ2787="","금액 확인","")))</f>
        <v/>
      </c>
    </row>
    <row r="2788">
      <c r="A2788" s="3" t="n"/>
      <c r="C2788" s="4" t="n"/>
      <c r="E2788" s="5">
        <f>IF(C2788="","",IF(계산!CI2788="","날짜 확인",IF(계산!CJ2788="","금액 확인","")))</f>
        <v/>
      </c>
    </row>
    <row r="2789">
      <c r="A2789" s="3" t="n"/>
      <c r="C2789" s="4" t="n"/>
      <c r="E2789" s="5">
        <f>IF(C2789="","",IF(계산!CI2789="","날짜 확인",IF(계산!CJ2789="","금액 확인","")))</f>
        <v/>
      </c>
    </row>
    <row r="2790">
      <c r="A2790" s="3" t="n"/>
      <c r="C2790" s="4" t="n"/>
      <c r="E2790" s="5">
        <f>IF(C2790="","",IF(계산!CI2790="","날짜 확인",IF(계산!CJ2790="","금액 확인","")))</f>
        <v/>
      </c>
    </row>
    <row r="2791">
      <c r="A2791" s="3" t="n"/>
      <c r="C2791" s="4" t="n"/>
      <c r="E2791" s="5">
        <f>IF(C2791="","",IF(계산!CI2791="","날짜 확인",IF(계산!CJ2791="","금액 확인","")))</f>
        <v/>
      </c>
    </row>
    <row r="2792">
      <c r="A2792" s="3" t="n"/>
      <c r="C2792" s="4" t="n"/>
      <c r="E2792" s="5">
        <f>IF(C2792="","",IF(계산!CI2792="","날짜 확인",IF(계산!CJ2792="","금액 확인","")))</f>
        <v/>
      </c>
    </row>
    <row r="2793">
      <c r="A2793" s="3" t="n"/>
      <c r="C2793" s="4" t="n"/>
      <c r="E2793" s="5">
        <f>IF(C2793="","",IF(계산!CI2793="","날짜 확인",IF(계산!CJ2793="","금액 확인","")))</f>
        <v/>
      </c>
    </row>
    <row r="2794">
      <c r="A2794" s="3" t="n"/>
      <c r="C2794" s="4" t="n"/>
      <c r="E2794" s="5">
        <f>IF(C2794="","",IF(계산!CI2794="","날짜 확인",IF(계산!CJ2794="","금액 확인","")))</f>
        <v/>
      </c>
    </row>
    <row r="2795">
      <c r="A2795" s="3" t="n"/>
      <c r="C2795" s="4" t="n"/>
      <c r="E2795" s="5">
        <f>IF(C2795="","",IF(계산!CI2795="","날짜 확인",IF(계산!CJ2795="","금액 확인","")))</f>
        <v/>
      </c>
    </row>
    <row r="2796">
      <c r="A2796" s="3" t="n"/>
      <c r="C2796" s="4" t="n"/>
      <c r="E2796" s="5">
        <f>IF(C2796="","",IF(계산!CI2796="","날짜 확인",IF(계산!CJ2796="","금액 확인","")))</f>
        <v/>
      </c>
    </row>
    <row r="2797">
      <c r="A2797" s="3" t="n"/>
      <c r="C2797" s="4" t="n"/>
      <c r="E2797" s="5">
        <f>IF(C2797="","",IF(계산!CI2797="","날짜 확인",IF(계산!CJ2797="","금액 확인","")))</f>
        <v/>
      </c>
    </row>
    <row r="2798">
      <c r="A2798" s="3" t="n"/>
      <c r="C2798" s="4" t="n"/>
      <c r="E2798" s="5">
        <f>IF(C2798="","",IF(계산!CI2798="","날짜 확인",IF(계산!CJ2798="","금액 확인","")))</f>
        <v/>
      </c>
    </row>
    <row r="2799">
      <c r="A2799" s="3" t="n"/>
      <c r="C2799" s="4" t="n"/>
      <c r="E2799" s="5">
        <f>IF(C2799="","",IF(계산!CI2799="","날짜 확인",IF(계산!CJ2799="","금액 확인","")))</f>
        <v/>
      </c>
    </row>
    <row r="2800">
      <c r="A2800" s="3" t="n"/>
      <c r="C2800" s="4" t="n"/>
      <c r="E2800" s="5">
        <f>IF(C2800="","",IF(계산!CI2800="","날짜 확인",IF(계산!CJ2800="","금액 확인","")))</f>
        <v/>
      </c>
    </row>
    <row r="2801">
      <c r="A2801" s="3" t="n"/>
      <c r="C2801" s="4" t="n"/>
      <c r="E2801" s="5">
        <f>IF(C2801="","",IF(계산!CI2801="","날짜 확인",IF(계산!CJ2801="","금액 확인","")))</f>
        <v/>
      </c>
    </row>
    <row r="2802">
      <c r="A2802" s="3" t="n"/>
      <c r="C2802" s="4" t="n"/>
      <c r="E2802" s="5">
        <f>IF(C2802="","",IF(계산!CI2802="","날짜 확인",IF(계산!CJ2802="","금액 확인","")))</f>
        <v/>
      </c>
    </row>
    <row r="2803">
      <c r="A2803" s="3" t="n"/>
      <c r="C2803" s="4" t="n"/>
      <c r="E2803" s="5">
        <f>IF(C2803="","",IF(계산!CI2803="","날짜 확인",IF(계산!CJ2803="","금액 확인","")))</f>
        <v/>
      </c>
    </row>
    <row r="2804">
      <c r="A2804" s="3" t="n"/>
      <c r="C2804" s="4" t="n"/>
      <c r="E2804" s="5">
        <f>IF(C2804="","",IF(계산!CI2804="","날짜 확인",IF(계산!CJ2804="","금액 확인","")))</f>
        <v/>
      </c>
    </row>
    <row r="2805">
      <c r="A2805" s="3" t="n"/>
      <c r="C2805" s="4" t="n"/>
      <c r="E2805" s="5">
        <f>IF(C2805="","",IF(계산!CI2805="","날짜 확인",IF(계산!CJ2805="","금액 확인","")))</f>
        <v/>
      </c>
    </row>
    <row r="2806">
      <c r="A2806" s="3" t="n"/>
      <c r="C2806" s="4" t="n"/>
      <c r="E2806" s="5">
        <f>IF(C2806="","",IF(계산!CI2806="","날짜 확인",IF(계산!CJ2806="","금액 확인","")))</f>
        <v/>
      </c>
    </row>
    <row r="2807">
      <c r="A2807" s="3" t="n"/>
      <c r="C2807" s="4" t="n"/>
      <c r="E2807" s="5">
        <f>IF(C2807="","",IF(계산!CI2807="","날짜 확인",IF(계산!CJ2807="","금액 확인","")))</f>
        <v/>
      </c>
    </row>
    <row r="2808">
      <c r="A2808" s="3" t="n"/>
      <c r="C2808" s="4" t="n"/>
      <c r="E2808" s="5">
        <f>IF(C2808="","",IF(계산!CI2808="","날짜 확인",IF(계산!CJ2808="","금액 확인","")))</f>
        <v/>
      </c>
    </row>
    <row r="2809">
      <c r="A2809" s="3" t="n"/>
      <c r="C2809" s="4" t="n"/>
      <c r="E2809" s="5">
        <f>IF(C2809="","",IF(계산!CI2809="","날짜 확인",IF(계산!CJ2809="","금액 확인","")))</f>
        <v/>
      </c>
    </row>
    <row r="2810">
      <c r="A2810" s="3" t="n"/>
      <c r="C2810" s="4" t="n"/>
      <c r="E2810" s="5">
        <f>IF(C2810="","",IF(계산!CI2810="","날짜 확인",IF(계산!CJ2810="","금액 확인","")))</f>
        <v/>
      </c>
    </row>
    <row r="2811">
      <c r="A2811" s="3" t="n"/>
      <c r="C2811" s="4" t="n"/>
      <c r="E2811" s="5">
        <f>IF(C2811="","",IF(계산!CI2811="","날짜 확인",IF(계산!CJ2811="","금액 확인","")))</f>
        <v/>
      </c>
    </row>
    <row r="2812">
      <c r="A2812" s="3" t="n"/>
      <c r="C2812" s="4" t="n"/>
      <c r="E2812" s="5">
        <f>IF(C2812="","",IF(계산!CI2812="","날짜 확인",IF(계산!CJ2812="","금액 확인","")))</f>
        <v/>
      </c>
    </row>
    <row r="2813">
      <c r="A2813" s="3" t="n"/>
      <c r="C2813" s="4" t="n"/>
      <c r="E2813" s="5">
        <f>IF(C2813="","",IF(계산!CI2813="","날짜 확인",IF(계산!CJ2813="","금액 확인","")))</f>
        <v/>
      </c>
    </row>
    <row r="2814">
      <c r="A2814" s="3" t="n"/>
      <c r="C2814" s="4" t="n"/>
      <c r="E2814" s="5">
        <f>IF(C2814="","",IF(계산!CI2814="","날짜 확인",IF(계산!CJ2814="","금액 확인","")))</f>
        <v/>
      </c>
    </row>
    <row r="2815">
      <c r="A2815" s="3" t="n"/>
      <c r="C2815" s="4" t="n"/>
      <c r="E2815" s="5">
        <f>IF(C2815="","",IF(계산!CI2815="","날짜 확인",IF(계산!CJ2815="","금액 확인","")))</f>
        <v/>
      </c>
    </row>
    <row r="2816">
      <c r="A2816" s="3" t="n"/>
      <c r="C2816" s="4" t="n"/>
      <c r="E2816" s="5">
        <f>IF(C2816="","",IF(계산!CI2816="","날짜 확인",IF(계산!CJ2816="","금액 확인","")))</f>
        <v/>
      </c>
    </row>
    <row r="2817">
      <c r="A2817" s="3" t="n"/>
      <c r="C2817" s="4" t="n"/>
      <c r="E2817" s="5">
        <f>IF(C2817="","",IF(계산!CI2817="","날짜 확인",IF(계산!CJ2817="","금액 확인","")))</f>
        <v/>
      </c>
    </row>
    <row r="2818">
      <c r="A2818" s="3" t="n"/>
      <c r="C2818" s="4" t="n"/>
      <c r="E2818" s="5">
        <f>IF(C2818="","",IF(계산!CI2818="","날짜 확인",IF(계산!CJ2818="","금액 확인","")))</f>
        <v/>
      </c>
    </row>
    <row r="2819">
      <c r="A2819" s="3" t="n"/>
      <c r="C2819" s="4" t="n"/>
      <c r="E2819" s="5">
        <f>IF(C2819="","",IF(계산!CI2819="","날짜 확인",IF(계산!CJ2819="","금액 확인","")))</f>
        <v/>
      </c>
    </row>
    <row r="2820">
      <c r="A2820" s="3" t="n"/>
      <c r="C2820" s="4" t="n"/>
      <c r="E2820" s="5">
        <f>IF(C2820="","",IF(계산!CI2820="","날짜 확인",IF(계산!CJ2820="","금액 확인","")))</f>
        <v/>
      </c>
    </row>
    <row r="2821">
      <c r="A2821" s="3" t="n"/>
      <c r="C2821" s="4" t="n"/>
      <c r="E2821" s="5">
        <f>IF(C2821="","",IF(계산!CI2821="","날짜 확인",IF(계산!CJ2821="","금액 확인","")))</f>
        <v/>
      </c>
    </row>
    <row r="2822">
      <c r="A2822" s="3" t="n"/>
      <c r="C2822" s="4" t="n"/>
      <c r="E2822" s="5">
        <f>IF(C2822="","",IF(계산!CI2822="","날짜 확인",IF(계산!CJ2822="","금액 확인","")))</f>
        <v/>
      </c>
    </row>
    <row r="2823">
      <c r="A2823" s="3" t="n"/>
      <c r="C2823" s="4" t="n"/>
      <c r="E2823" s="5">
        <f>IF(C2823="","",IF(계산!CI2823="","날짜 확인",IF(계산!CJ2823="","금액 확인","")))</f>
        <v/>
      </c>
    </row>
    <row r="2824">
      <c r="A2824" s="3" t="n"/>
      <c r="C2824" s="4" t="n"/>
      <c r="E2824" s="5">
        <f>IF(C2824="","",IF(계산!CI2824="","날짜 확인",IF(계산!CJ2824="","금액 확인","")))</f>
        <v/>
      </c>
    </row>
    <row r="2825">
      <c r="A2825" s="3" t="n"/>
      <c r="C2825" s="4" t="n"/>
      <c r="E2825" s="5">
        <f>IF(C2825="","",IF(계산!CI2825="","날짜 확인",IF(계산!CJ2825="","금액 확인","")))</f>
        <v/>
      </c>
    </row>
    <row r="2826">
      <c r="A2826" s="3" t="n"/>
      <c r="C2826" s="4" t="n"/>
      <c r="E2826" s="5">
        <f>IF(C2826="","",IF(계산!CI2826="","날짜 확인",IF(계산!CJ2826="","금액 확인","")))</f>
        <v/>
      </c>
    </row>
    <row r="2827">
      <c r="A2827" s="3" t="n"/>
      <c r="C2827" s="4" t="n"/>
      <c r="E2827" s="5">
        <f>IF(C2827="","",IF(계산!CI2827="","날짜 확인",IF(계산!CJ2827="","금액 확인","")))</f>
        <v/>
      </c>
    </row>
    <row r="2828">
      <c r="A2828" s="3" t="n"/>
      <c r="C2828" s="4" t="n"/>
      <c r="E2828" s="5">
        <f>IF(C2828="","",IF(계산!CI2828="","날짜 확인",IF(계산!CJ2828="","금액 확인","")))</f>
        <v/>
      </c>
    </row>
    <row r="2829">
      <c r="A2829" s="3" t="n"/>
      <c r="C2829" s="4" t="n"/>
      <c r="E2829" s="5">
        <f>IF(C2829="","",IF(계산!CI2829="","날짜 확인",IF(계산!CJ2829="","금액 확인","")))</f>
        <v/>
      </c>
    </row>
    <row r="2830">
      <c r="A2830" s="3" t="n"/>
      <c r="C2830" s="4" t="n"/>
      <c r="E2830" s="5">
        <f>IF(C2830="","",IF(계산!CI2830="","날짜 확인",IF(계산!CJ2830="","금액 확인","")))</f>
        <v/>
      </c>
    </row>
    <row r="2831">
      <c r="A2831" s="3" t="n"/>
      <c r="C2831" s="4" t="n"/>
      <c r="E2831" s="5">
        <f>IF(C2831="","",IF(계산!CI2831="","날짜 확인",IF(계산!CJ2831="","금액 확인","")))</f>
        <v/>
      </c>
    </row>
    <row r="2832">
      <c r="A2832" s="3" t="n"/>
      <c r="C2832" s="4" t="n"/>
      <c r="E2832" s="5">
        <f>IF(C2832="","",IF(계산!CI2832="","날짜 확인",IF(계산!CJ2832="","금액 확인","")))</f>
        <v/>
      </c>
    </row>
    <row r="2833">
      <c r="A2833" s="3" t="n"/>
      <c r="C2833" s="4" t="n"/>
      <c r="E2833" s="5">
        <f>IF(C2833="","",IF(계산!CI2833="","날짜 확인",IF(계산!CJ2833="","금액 확인","")))</f>
        <v/>
      </c>
    </row>
    <row r="2834">
      <c r="A2834" s="3" t="n"/>
      <c r="C2834" s="4" t="n"/>
      <c r="E2834" s="5">
        <f>IF(C2834="","",IF(계산!CI2834="","날짜 확인",IF(계산!CJ2834="","금액 확인","")))</f>
        <v/>
      </c>
    </row>
    <row r="2835">
      <c r="A2835" s="3" t="n"/>
      <c r="C2835" s="4" t="n"/>
      <c r="E2835" s="5">
        <f>IF(C2835="","",IF(계산!CI2835="","날짜 확인",IF(계산!CJ2835="","금액 확인","")))</f>
        <v/>
      </c>
    </row>
    <row r="2836">
      <c r="A2836" s="3" t="n"/>
      <c r="C2836" s="4" t="n"/>
      <c r="E2836" s="5">
        <f>IF(C2836="","",IF(계산!CI2836="","날짜 확인",IF(계산!CJ2836="","금액 확인","")))</f>
        <v/>
      </c>
    </row>
    <row r="2837">
      <c r="A2837" s="3" t="n"/>
      <c r="C2837" s="4" t="n"/>
      <c r="E2837" s="5">
        <f>IF(C2837="","",IF(계산!CI2837="","날짜 확인",IF(계산!CJ2837="","금액 확인","")))</f>
        <v/>
      </c>
    </row>
    <row r="2838">
      <c r="A2838" s="3" t="n"/>
      <c r="C2838" s="4" t="n"/>
      <c r="E2838" s="5">
        <f>IF(C2838="","",IF(계산!CI2838="","날짜 확인",IF(계산!CJ2838="","금액 확인","")))</f>
        <v/>
      </c>
    </row>
    <row r="2839">
      <c r="A2839" s="3" t="n"/>
      <c r="C2839" s="4" t="n"/>
      <c r="E2839" s="5">
        <f>IF(C2839="","",IF(계산!CI2839="","날짜 확인",IF(계산!CJ2839="","금액 확인","")))</f>
        <v/>
      </c>
    </row>
    <row r="2840">
      <c r="A2840" s="3" t="n"/>
      <c r="C2840" s="4" t="n"/>
      <c r="E2840" s="5">
        <f>IF(C2840="","",IF(계산!CI2840="","날짜 확인",IF(계산!CJ2840="","금액 확인","")))</f>
        <v/>
      </c>
    </row>
    <row r="2841">
      <c r="A2841" s="3" t="n"/>
      <c r="C2841" s="4" t="n"/>
      <c r="E2841" s="5">
        <f>IF(C2841="","",IF(계산!CI2841="","날짜 확인",IF(계산!CJ2841="","금액 확인","")))</f>
        <v/>
      </c>
    </row>
    <row r="2842">
      <c r="A2842" s="3" t="n"/>
      <c r="C2842" s="4" t="n"/>
      <c r="E2842" s="5">
        <f>IF(C2842="","",IF(계산!CI2842="","날짜 확인",IF(계산!CJ2842="","금액 확인","")))</f>
        <v/>
      </c>
    </row>
    <row r="2843">
      <c r="A2843" s="3" t="n"/>
      <c r="C2843" s="4" t="n"/>
      <c r="E2843" s="5">
        <f>IF(C2843="","",IF(계산!CI2843="","날짜 확인",IF(계산!CJ2843="","금액 확인","")))</f>
        <v/>
      </c>
    </row>
    <row r="2844">
      <c r="A2844" s="3" t="n"/>
      <c r="C2844" s="4" t="n"/>
      <c r="E2844" s="5">
        <f>IF(C2844="","",IF(계산!CI2844="","날짜 확인",IF(계산!CJ2844="","금액 확인","")))</f>
        <v/>
      </c>
    </row>
    <row r="2845">
      <c r="A2845" s="3" t="n"/>
      <c r="C2845" s="4" t="n"/>
      <c r="E2845" s="5">
        <f>IF(C2845="","",IF(계산!CI2845="","날짜 확인",IF(계산!CJ2845="","금액 확인","")))</f>
        <v/>
      </c>
    </row>
    <row r="2846">
      <c r="A2846" s="3" t="n"/>
      <c r="C2846" s="4" t="n"/>
      <c r="E2846" s="5">
        <f>IF(C2846="","",IF(계산!CI2846="","날짜 확인",IF(계산!CJ2846="","금액 확인","")))</f>
        <v/>
      </c>
    </row>
    <row r="2847">
      <c r="A2847" s="3" t="n"/>
      <c r="C2847" s="4" t="n"/>
      <c r="E2847" s="5">
        <f>IF(C2847="","",IF(계산!CI2847="","날짜 확인",IF(계산!CJ2847="","금액 확인","")))</f>
        <v/>
      </c>
    </row>
    <row r="2848">
      <c r="A2848" s="3" t="n"/>
      <c r="C2848" s="4" t="n"/>
      <c r="E2848" s="5">
        <f>IF(C2848="","",IF(계산!CI2848="","날짜 확인",IF(계산!CJ2848="","금액 확인","")))</f>
        <v/>
      </c>
    </row>
    <row r="2849">
      <c r="A2849" s="3" t="n"/>
      <c r="C2849" s="4" t="n"/>
      <c r="E2849" s="5">
        <f>IF(C2849="","",IF(계산!CI2849="","날짜 확인",IF(계산!CJ2849="","금액 확인","")))</f>
        <v/>
      </c>
    </row>
    <row r="2850">
      <c r="A2850" s="3" t="n"/>
      <c r="C2850" s="4" t="n"/>
      <c r="E2850" s="5">
        <f>IF(C2850="","",IF(계산!CI2850="","날짜 확인",IF(계산!CJ2850="","금액 확인","")))</f>
        <v/>
      </c>
    </row>
    <row r="2851">
      <c r="A2851" s="3" t="n"/>
      <c r="C2851" s="4" t="n"/>
      <c r="E2851" s="5">
        <f>IF(C2851="","",IF(계산!CI2851="","날짜 확인",IF(계산!CJ2851="","금액 확인","")))</f>
        <v/>
      </c>
    </row>
    <row r="2852">
      <c r="A2852" s="3" t="n"/>
      <c r="C2852" s="4" t="n"/>
      <c r="E2852" s="5">
        <f>IF(C2852="","",IF(계산!CI2852="","날짜 확인",IF(계산!CJ2852="","금액 확인","")))</f>
        <v/>
      </c>
    </row>
    <row r="2853">
      <c r="A2853" s="3" t="n"/>
      <c r="C2853" s="4" t="n"/>
      <c r="E2853" s="5">
        <f>IF(C2853="","",IF(계산!CI2853="","날짜 확인",IF(계산!CJ2853="","금액 확인","")))</f>
        <v/>
      </c>
    </row>
    <row r="2854">
      <c r="A2854" s="3" t="n"/>
      <c r="C2854" s="4" t="n"/>
      <c r="E2854" s="5">
        <f>IF(C2854="","",IF(계산!CI2854="","날짜 확인",IF(계산!CJ2854="","금액 확인","")))</f>
        <v/>
      </c>
    </row>
    <row r="2855">
      <c r="A2855" s="3" t="n"/>
      <c r="C2855" s="4" t="n"/>
      <c r="E2855" s="5">
        <f>IF(C2855="","",IF(계산!CI2855="","날짜 확인",IF(계산!CJ2855="","금액 확인","")))</f>
        <v/>
      </c>
    </row>
    <row r="2856">
      <c r="A2856" s="3" t="n"/>
      <c r="C2856" s="4" t="n"/>
      <c r="E2856" s="5">
        <f>IF(C2856="","",IF(계산!CI2856="","날짜 확인",IF(계산!CJ2856="","금액 확인","")))</f>
        <v/>
      </c>
    </row>
    <row r="2857">
      <c r="A2857" s="3" t="n"/>
      <c r="C2857" s="4" t="n"/>
      <c r="E2857" s="5">
        <f>IF(C2857="","",IF(계산!CI2857="","날짜 확인",IF(계산!CJ2857="","금액 확인","")))</f>
        <v/>
      </c>
    </row>
    <row r="2858">
      <c r="A2858" s="3" t="n"/>
      <c r="C2858" s="4" t="n"/>
      <c r="E2858" s="5">
        <f>IF(C2858="","",IF(계산!CI2858="","날짜 확인",IF(계산!CJ2858="","금액 확인","")))</f>
        <v/>
      </c>
    </row>
    <row r="2859">
      <c r="A2859" s="3" t="n"/>
      <c r="C2859" s="4" t="n"/>
      <c r="E2859" s="5">
        <f>IF(C2859="","",IF(계산!CI2859="","날짜 확인",IF(계산!CJ2859="","금액 확인","")))</f>
        <v/>
      </c>
    </row>
    <row r="2860">
      <c r="A2860" s="3" t="n"/>
      <c r="C2860" s="4" t="n"/>
      <c r="E2860" s="5">
        <f>IF(C2860="","",IF(계산!CI2860="","날짜 확인",IF(계산!CJ2860="","금액 확인","")))</f>
        <v/>
      </c>
    </row>
    <row r="2861">
      <c r="A2861" s="3" t="n"/>
      <c r="C2861" s="4" t="n"/>
      <c r="E2861" s="5">
        <f>IF(C2861="","",IF(계산!CI2861="","날짜 확인",IF(계산!CJ2861="","금액 확인","")))</f>
        <v/>
      </c>
    </row>
    <row r="2862">
      <c r="A2862" s="3" t="n"/>
      <c r="C2862" s="4" t="n"/>
      <c r="E2862" s="5">
        <f>IF(C2862="","",IF(계산!CI2862="","날짜 확인",IF(계산!CJ2862="","금액 확인","")))</f>
        <v/>
      </c>
    </row>
    <row r="2863">
      <c r="A2863" s="3" t="n"/>
      <c r="C2863" s="4" t="n"/>
      <c r="E2863" s="5">
        <f>IF(C2863="","",IF(계산!CI2863="","날짜 확인",IF(계산!CJ2863="","금액 확인","")))</f>
        <v/>
      </c>
    </row>
    <row r="2864">
      <c r="A2864" s="3" t="n"/>
      <c r="C2864" s="4" t="n"/>
      <c r="E2864" s="5">
        <f>IF(C2864="","",IF(계산!CI2864="","날짜 확인",IF(계산!CJ2864="","금액 확인","")))</f>
        <v/>
      </c>
    </row>
    <row r="2865">
      <c r="A2865" s="3" t="n"/>
      <c r="C2865" s="4" t="n"/>
      <c r="E2865" s="5">
        <f>IF(C2865="","",IF(계산!CI2865="","날짜 확인",IF(계산!CJ2865="","금액 확인","")))</f>
        <v/>
      </c>
    </row>
    <row r="2866">
      <c r="A2866" s="3" t="n"/>
      <c r="C2866" s="4" t="n"/>
      <c r="E2866" s="5">
        <f>IF(C2866="","",IF(계산!CI2866="","날짜 확인",IF(계산!CJ2866="","금액 확인","")))</f>
        <v/>
      </c>
    </row>
    <row r="2867">
      <c r="A2867" s="3" t="n"/>
      <c r="C2867" s="4" t="n"/>
      <c r="E2867" s="5">
        <f>IF(C2867="","",IF(계산!CI2867="","날짜 확인",IF(계산!CJ2867="","금액 확인","")))</f>
        <v/>
      </c>
    </row>
    <row r="2868">
      <c r="A2868" s="3" t="n"/>
      <c r="C2868" s="4" t="n"/>
      <c r="E2868" s="5">
        <f>IF(C2868="","",IF(계산!CI2868="","날짜 확인",IF(계산!CJ2868="","금액 확인","")))</f>
        <v/>
      </c>
    </row>
    <row r="2869">
      <c r="A2869" s="3" t="n"/>
      <c r="C2869" s="4" t="n"/>
      <c r="E2869" s="5">
        <f>IF(C2869="","",IF(계산!CI2869="","날짜 확인",IF(계산!CJ2869="","금액 확인","")))</f>
        <v/>
      </c>
    </row>
    <row r="2870">
      <c r="A2870" s="3" t="n"/>
      <c r="C2870" s="4" t="n"/>
      <c r="E2870" s="5">
        <f>IF(C2870="","",IF(계산!CI2870="","날짜 확인",IF(계산!CJ2870="","금액 확인","")))</f>
        <v/>
      </c>
    </row>
    <row r="2871">
      <c r="A2871" s="3" t="n"/>
      <c r="C2871" s="4" t="n"/>
      <c r="E2871" s="5">
        <f>IF(C2871="","",IF(계산!CI2871="","날짜 확인",IF(계산!CJ2871="","금액 확인","")))</f>
        <v/>
      </c>
    </row>
    <row r="2872">
      <c r="A2872" s="3" t="n"/>
      <c r="C2872" s="4" t="n"/>
      <c r="E2872" s="5">
        <f>IF(C2872="","",IF(계산!CI2872="","날짜 확인",IF(계산!CJ2872="","금액 확인","")))</f>
        <v/>
      </c>
    </row>
    <row r="2873">
      <c r="A2873" s="3" t="n"/>
      <c r="C2873" s="4" t="n"/>
      <c r="E2873" s="5">
        <f>IF(C2873="","",IF(계산!CI2873="","날짜 확인",IF(계산!CJ2873="","금액 확인","")))</f>
        <v/>
      </c>
    </row>
    <row r="2874">
      <c r="A2874" s="3" t="n"/>
      <c r="C2874" s="4" t="n"/>
      <c r="E2874" s="5">
        <f>IF(C2874="","",IF(계산!CI2874="","날짜 확인",IF(계산!CJ2874="","금액 확인","")))</f>
        <v/>
      </c>
    </row>
    <row r="2875">
      <c r="A2875" s="3" t="n"/>
      <c r="C2875" s="4" t="n"/>
      <c r="E2875" s="5">
        <f>IF(C2875="","",IF(계산!CI2875="","날짜 확인",IF(계산!CJ2875="","금액 확인","")))</f>
        <v/>
      </c>
    </row>
    <row r="2876">
      <c r="A2876" s="3" t="n"/>
      <c r="C2876" s="4" t="n"/>
      <c r="E2876" s="5">
        <f>IF(C2876="","",IF(계산!CI2876="","날짜 확인",IF(계산!CJ2876="","금액 확인","")))</f>
        <v/>
      </c>
    </row>
    <row r="2877">
      <c r="A2877" s="3" t="n"/>
      <c r="C2877" s="4" t="n"/>
      <c r="E2877" s="5">
        <f>IF(C2877="","",IF(계산!CI2877="","날짜 확인",IF(계산!CJ2877="","금액 확인","")))</f>
        <v/>
      </c>
    </row>
    <row r="2878">
      <c r="A2878" s="3" t="n"/>
      <c r="C2878" s="4" t="n"/>
      <c r="E2878" s="5">
        <f>IF(C2878="","",IF(계산!CI2878="","날짜 확인",IF(계산!CJ2878="","금액 확인","")))</f>
        <v/>
      </c>
    </row>
    <row r="2879">
      <c r="A2879" s="3" t="n"/>
      <c r="C2879" s="4" t="n"/>
      <c r="E2879" s="5">
        <f>IF(C2879="","",IF(계산!CI2879="","날짜 확인",IF(계산!CJ2879="","금액 확인","")))</f>
        <v/>
      </c>
    </row>
    <row r="2880">
      <c r="A2880" s="3" t="n"/>
      <c r="C2880" s="4" t="n"/>
      <c r="E2880" s="5">
        <f>IF(C2880="","",IF(계산!CI2880="","날짜 확인",IF(계산!CJ2880="","금액 확인","")))</f>
        <v/>
      </c>
    </row>
    <row r="2881">
      <c r="A2881" s="3" t="n"/>
      <c r="C2881" s="4" t="n"/>
      <c r="E2881" s="5">
        <f>IF(C2881="","",IF(계산!CI2881="","날짜 확인",IF(계산!CJ2881="","금액 확인","")))</f>
        <v/>
      </c>
    </row>
    <row r="2882">
      <c r="A2882" s="3" t="n"/>
      <c r="C2882" s="4" t="n"/>
      <c r="E2882" s="5">
        <f>IF(C2882="","",IF(계산!CI2882="","날짜 확인",IF(계산!CJ2882="","금액 확인","")))</f>
        <v/>
      </c>
    </row>
    <row r="2883">
      <c r="A2883" s="3" t="n"/>
      <c r="C2883" s="4" t="n"/>
      <c r="E2883" s="5">
        <f>IF(C2883="","",IF(계산!CI2883="","날짜 확인",IF(계산!CJ2883="","금액 확인","")))</f>
        <v/>
      </c>
    </row>
    <row r="2884">
      <c r="A2884" s="3" t="n"/>
      <c r="C2884" s="4" t="n"/>
      <c r="E2884" s="5">
        <f>IF(C2884="","",IF(계산!CI2884="","날짜 확인",IF(계산!CJ2884="","금액 확인","")))</f>
        <v/>
      </c>
    </row>
    <row r="2885">
      <c r="A2885" s="3" t="n"/>
      <c r="C2885" s="4" t="n"/>
      <c r="E2885" s="5">
        <f>IF(C2885="","",IF(계산!CI2885="","날짜 확인",IF(계산!CJ2885="","금액 확인","")))</f>
        <v/>
      </c>
    </row>
    <row r="2886">
      <c r="A2886" s="3" t="n"/>
      <c r="C2886" s="4" t="n"/>
      <c r="E2886" s="5">
        <f>IF(C2886="","",IF(계산!CI2886="","날짜 확인",IF(계산!CJ2886="","금액 확인","")))</f>
        <v/>
      </c>
    </row>
    <row r="2887">
      <c r="A2887" s="3" t="n"/>
      <c r="C2887" s="4" t="n"/>
      <c r="E2887" s="5">
        <f>IF(C2887="","",IF(계산!CI2887="","날짜 확인",IF(계산!CJ2887="","금액 확인","")))</f>
        <v/>
      </c>
    </row>
    <row r="2888">
      <c r="A2888" s="3" t="n"/>
      <c r="C2888" s="4" t="n"/>
      <c r="E2888" s="5">
        <f>IF(C2888="","",IF(계산!CI2888="","날짜 확인",IF(계산!CJ2888="","금액 확인","")))</f>
        <v/>
      </c>
    </row>
    <row r="2889">
      <c r="A2889" s="3" t="n"/>
      <c r="C2889" s="4" t="n"/>
      <c r="E2889" s="5">
        <f>IF(C2889="","",IF(계산!CI2889="","날짜 확인",IF(계산!CJ2889="","금액 확인","")))</f>
        <v/>
      </c>
    </row>
    <row r="2890">
      <c r="A2890" s="3" t="n"/>
      <c r="C2890" s="4" t="n"/>
      <c r="E2890" s="5">
        <f>IF(C2890="","",IF(계산!CI2890="","날짜 확인",IF(계산!CJ2890="","금액 확인","")))</f>
        <v/>
      </c>
    </row>
    <row r="2891">
      <c r="A2891" s="3" t="n"/>
      <c r="C2891" s="4" t="n"/>
      <c r="E2891" s="5">
        <f>IF(C2891="","",IF(계산!CI2891="","날짜 확인",IF(계산!CJ2891="","금액 확인","")))</f>
        <v/>
      </c>
    </row>
    <row r="2892">
      <c r="A2892" s="3" t="n"/>
      <c r="C2892" s="4" t="n"/>
      <c r="E2892" s="5">
        <f>IF(C2892="","",IF(계산!CI2892="","날짜 확인",IF(계산!CJ2892="","금액 확인","")))</f>
        <v/>
      </c>
    </row>
    <row r="2893">
      <c r="A2893" s="3" t="n"/>
      <c r="C2893" s="4" t="n"/>
      <c r="E2893" s="5">
        <f>IF(C2893="","",IF(계산!CI2893="","날짜 확인",IF(계산!CJ2893="","금액 확인","")))</f>
        <v/>
      </c>
    </row>
    <row r="2894">
      <c r="A2894" s="3" t="n"/>
      <c r="C2894" s="4" t="n"/>
      <c r="E2894" s="5">
        <f>IF(C2894="","",IF(계산!CI2894="","날짜 확인",IF(계산!CJ2894="","금액 확인","")))</f>
        <v/>
      </c>
    </row>
    <row r="2895">
      <c r="A2895" s="3" t="n"/>
      <c r="C2895" s="4" t="n"/>
      <c r="E2895" s="5">
        <f>IF(C2895="","",IF(계산!CI2895="","날짜 확인",IF(계산!CJ2895="","금액 확인","")))</f>
        <v/>
      </c>
    </row>
    <row r="2896">
      <c r="A2896" s="3" t="n"/>
      <c r="C2896" s="4" t="n"/>
      <c r="E2896" s="5">
        <f>IF(C2896="","",IF(계산!CI2896="","날짜 확인",IF(계산!CJ2896="","금액 확인","")))</f>
        <v/>
      </c>
    </row>
    <row r="2897">
      <c r="A2897" s="3" t="n"/>
      <c r="C2897" s="4" t="n"/>
      <c r="E2897" s="5">
        <f>IF(C2897="","",IF(계산!CI2897="","날짜 확인",IF(계산!CJ2897="","금액 확인","")))</f>
        <v/>
      </c>
    </row>
    <row r="2898">
      <c r="A2898" s="3" t="n"/>
      <c r="C2898" s="4" t="n"/>
      <c r="E2898" s="5">
        <f>IF(C2898="","",IF(계산!CI2898="","날짜 확인",IF(계산!CJ2898="","금액 확인","")))</f>
        <v/>
      </c>
    </row>
    <row r="2899">
      <c r="A2899" s="3" t="n"/>
      <c r="C2899" s="4" t="n"/>
      <c r="E2899" s="5">
        <f>IF(C2899="","",IF(계산!CI2899="","날짜 확인",IF(계산!CJ2899="","금액 확인","")))</f>
        <v/>
      </c>
    </row>
    <row r="2900">
      <c r="A2900" s="3" t="n"/>
      <c r="C2900" s="4" t="n"/>
      <c r="E2900" s="5">
        <f>IF(C2900="","",IF(계산!CI2900="","날짜 확인",IF(계산!CJ2900="","금액 확인","")))</f>
        <v/>
      </c>
    </row>
    <row r="2901">
      <c r="A2901" s="3" t="n"/>
      <c r="C2901" s="4" t="n"/>
      <c r="E2901" s="5">
        <f>IF(C2901="","",IF(계산!CI2901="","날짜 확인",IF(계산!CJ2901="","금액 확인","")))</f>
        <v/>
      </c>
    </row>
    <row r="2902">
      <c r="A2902" s="3" t="n"/>
      <c r="C2902" s="4" t="n"/>
      <c r="E2902" s="5">
        <f>IF(C2902="","",IF(계산!CI2902="","날짜 확인",IF(계산!CJ2902="","금액 확인","")))</f>
        <v/>
      </c>
    </row>
    <row r="2903">
      <c r="A2903" s="3" t="n"/>
      <c r="C2903" s="4" t="n"/>
      <c r="E2903" s="5">
        <f>IF(C2903="","",IF(계산!CI2903="","날짜 확인",IF(계산!CJ2903="","금액 확인","")))</f>
        <v/>
      </c>
    </row>
    <row r="2904">
      <c r="A2904" s="3" t="n"/>
      <c r="C2904" s="4" t="n"/>
      <c r="E2904" s="5">
        <f>IF(C2904="","",IF(계산!CI2904="","날짜 확인",IF(계산!CJ2904="","금액 확인","")))</f>
        <v/>
      </c>
    </row>
    <row r="2905">
      <c r="A2905" s="3" t="n"/>
      <c r="C2905" s="4" t="n"/>
      <c r="E2905" s="5">
        <f>IF(C2905="","",IF(계산!CI2905="","날짜 확인",IF(계산!CJ2905="","금액 확인","")))</f>
        <v/>
      </c>
    </row>
    <row r="2906">
      <c r="A2906" s="3" t="n"/>
      <c r="C2906" s="4" t="n"/>
      <c r="E2906" s="5">
        <f>IF(C2906="","",IF(계산!CI2906="","날짜 확인",IF(계산!CJ2906="","금액 확인","")))</f>
        <v/>
      </c>
    </row>
    <row r="2907">
      <c r="A2907" s="3" t="n"/>
      <c r="C2907" s="4" t="n"/>
      <c r="E2907" s="5">
        <f>IF(C2907="","",IF(계산!CI2907="","날짜 확인",IF(계산!CJ2907="","금액 확인","")))</f>
        <v/>
      </c>
    </row>
    <row r="2908">
      <c r="A2908" s="3" t="n"/>
      <c r="C2908" s="4" t="n"/>
      <c r="E2908" s="5">
        <f>IF(C2908="","",IF(계산!CI2908="","날짜 확인",IF(계산!CJ2908="","금액 확인","")))</f>
        <v/>
      </c>
    </row>
    <row r="2909">
      <c r="A2909" s="3" t="n"/>
      <c r="C2909" s="4" t="n"/>
      <c r="E2909" s="5">
        <f>IF(C2909="","",IF(계산!CI2909="","날짜 확인",IF(계산!CJ2909="","금액 확인","")))</f>
        <v/>
      </c>
    </row>
    <row r="2910">
      <c r="A2910" s="3" t="n"/>
      <c r="C2910" s="4" t="n"/>
      <c r="E2910" s="5">
        <f>IF(C2910="","",IF(계산!CI2910="","날짜 확인",IF(계산!CJ2910="","금액 확인","")))</f>
        <v/>
      </c>
    </row>
    <row r="2911">
      <c r="A2911" s="3" t="n"/>
      <c r="C2911" s="4" t="n"/>
      <c r="E2911" s="5">
        <f>IF(C2911="","",IF(계산!CI2911="","날짜 확인",IF(계산!CJ2911="","금액 확인","")))</f>
        <v/>
      </c>
    </row>
    <row r="2912">
      <c r="A2912" s="3" t="n"/>
      <c r="C2912" s="4" t="n"/>
      <c r="E2912" s="5">
        <f>IF(C2912="","",IF(계산!CI2912="","날짜 확인",IF(계산!CJ2912="","금액 확인","")))</f>
        <v/>
      </c>
    </row>
    <row r="2913">
      <c r="A2913" s="3" t="n"/>
      <c r="C2913" s="4" t="n"/>
      <c r="E2913" s="5">
        <f>IF(C2913="","",IF(계산!CI2913="","날짜 확인",IF(계산!CJ2913="","금액 확인","")))</f>
        <v/>
      </c>
    </row>
    <row r="2914">
      <c r="A2914" s="3" t="n"/>
      <c r="C2914" s="4" t="n"/>
      <c r="E2914" s="5">
        <f>IF(C2914="","",IF(계산!CI2914="","날짜 확인",IF(계산!CJ2914="","금액 확인","")))</f>
        <v/>
      </c>
    </row>
    <row r="2915">
      <c r="A2915" s="3" t="n"/>
      <c r="C2915" s="4" t="n"/>
      <c r="E2915" s="5">
        <f>IF(C2915="","",IF(계산!CI2915="","날짜 확인",IF(계산!CJ2915="","금액 확인","")))</f>
        <v/>
      </c>
    </row>
    <row r="2916">
      <c r="A2916" s="3" t="n"/>
      <c r="C2916" s="4" t="n"/>
      <c r="E2916" s="5">
        <f>IF(C2916="","",IF(계산!CI2916="","날짜 확인",IF(계산!CJ2916="","금액 확인","")))</f>
        <v/>
      </c>
    </row>
    <row r="2917">
      <c r="A2917" s="3" t="n"/>
      <c r="C2917" s="4" t="n"/>
      <c r="E2917" s="5">
        <f>IF(C2917="","",IF(계산!CI2917="","날짜 확인",IF(계산!CJ2917="","금액 확인","")))</f>
        <v/>
      </c>
    </row>
    <row r="2918">
      <c r="A2918" s="3" t="n"/>
      <c r="C2918" s="4" t="n"/>
      <c r="E2918" s="5">
        <f>IF(C2918="","",IF(계산!CI2918="","날짜 확인",IF(계산!CJ2918="","금액 확인","")))</f>
        <v/>
      </c>
    </row>
    <row r="2919">
      <c r="A2919" s="3" t="n"/>
      <c r="C2919" s="4" t="n"/>
      <c r="E2919" s="5">
        <f>IF(C2919="","",IF(계산!CI2919="","날짜 확인",IF(계산!CJ2919="","금액 확인","")))</f>
        <v/>
      </c>
    </row>
    <row r="2920">
      <c r="A2920" s="3" t="n"/>
      <c r="C2920" s="4" t="n"/>
      <c r="E2920" s="5">
        <f>IF(C2920="","",IF(계산!CI2920="","날짜 확인",IF(계산!CJ2920="","금액 확인","")))</f>
        <v/>
      </c>
    </row>
    <row r="2921">
      <c r="A2921" s="3" t="n"/>
      <c r="C2921" s="4" t="n"/>
      <c r="E2921" s="5">
        <f>IF(C2921="","",IF(계산!CI2921="","날짜 확인",IF(계산!CJ2921="","금액 확인","")))</f>
        <v/>
      </c>
    </row>
    <row r="2922">
      <c r="A2922" s="3" t="n"/>
      <c r="C2922" s="4" t="n"/>
      <c r="E2922" s="5">
        <f>IF(C2922="","",IF(계산!CI2922="","날짜 확인",IF(계산!CJ2922="","금액 확인","")))</f>
        <v/>
      </c>
    </row>
    <row r="2923">
      <c r="A2923" s="3" t="n"/>
      <c r="C2923" s="4" t="n"/>
      <c r="E2923" s="5">
        <f>IF(C2923="","",IF(계산!CI2923="","날짜 확인",IF(계산!CJ2923="","금액 확인","")))</f>
        <v/>
      </c>
    </row>
    <row r="2924">
      <c r="A2924" s="3" t="n"/>
      <c r="C2924" s="4" t="n"/>
      <c r="E2924" s="5">
        <f>IF(C2924="","",IF(계산!CI2924="","날짜 확인",IF(계산!CJ2924="","금액 확인","")))</f>
        <v/>
      </c>
    </row>
    <row r="2925">
      <c r="A2925" s="3" t="n"/>
      <c r="C2925" s="4" t="n"/>
      <c r="E2925" s="5">
        <f>IF(C2925="","",IF(계산!CI2925="","날짜 확인",IF(계산!CJ2925="","금액 확인","")))</f>
        <v/>
      </c>
    </row>
    <row r="2926">
      <c r="A2926" s="3" t="n"/>
      <c r="C2926" s="4" t="n"/>
      <c r="E2926" s="5">
        <f>IF(C2926="","",IF(계산!CI2926="","날짜 확인",IF(계산!CJ2926="","금액 확인","")))</f>
        <v/>
      </c>
    </row>
    <row r="2927">
      <c r="A2927" s="3" t="n"/>
      <c r="C2927" s="4" t="n"/>
      <c r="E2927" s="5">
        <f>IF(C2927="","",IF(계산!CI2927="","날짜 확인",IF(계산!CJ2927="","금액 확인","")))</f>
        <v/>
      </c>
    </row>
    <row r="2928">
      <c r="A2928" s="3" t="n"/>
      <c r="C2928" s="4" t="n"/>
      <c r="E2928" s="5">
        <f>IF(C2928="","",IF(계산!CI2928="","날짜 확인",IF(계산!CJ2928="","금액 확인","")))</f>
        <v/>
      </c>
    </row>
    <row r="2929">
      <c r="A2929" s="3" t="n"/>
      <c r="C2929" s="4" t="n"/>
      <c r="E2929" s="5">
        <f>IF(C2929="","",IF(계산!CI2929="","날짜 확인",IF(계산!CJ2929="","금액 확인","")))</f>
        <v/>
      </c>
    </row>
    <row r="2930">
      <c r="A2930" s="3" t="n"/>
      <c r="C2930" s="4" t="n"/>
      <c r="E2930" s="5">
        <f>IF(C2930="","",IF(계산!CI2930="","날짜 확인",IF(계산!CJ2930="","금액 확인","")))</f>
        <v/>
      </c>
    </row>
    <row r="2931">
      <c r="A2931" s="3" t="n"/>
      <c r="C2931" s="4" t="n"/>
      <c r="E2931" s="5">
        <f>IF(C2931="","",IF(계산!CI2931="","날짜 확인",IF(계산!CJ2931="","금액 확인","")))</f>
        <v/>
      </c>
    </row>
    <row r="2932">
      <c r="A2932" s="3" t="n"/>
      <c r="C2932" s="4" t="n"/>
      <c r="E2932" s="5">
        <f>IF(C2932="","",IF(계산!CI2932="","날짜 확인",IF(계산!CJ2932="","금액 확인","")))</f>
        <v/>
      </c>
    </row>
    <row r="2933">
      <c r="A2933" s="3" t="n"/>
      <c r="C2933" s="4" t="n"/>
      <c r="E2933" s="5">
        <f>IF(C2933="","",IF(계산!CI2933="","날짜 확인",IF(계산!CJ2933="","금액 확인","")))</f>
        <v/>
      </c>
    </row>
    <row r="2934">
      <c r="A2934" s="3" t="n"/>
      <c r="C2934" s="4" t="n"/>
      <c r="E2934" s="5">
        <f>IF(C2934="","",IF(계산!CI2934="","날짜 확인",IF(계산!CJ2934="","금액 확인","")))</f>
        <v/>
      </c>
    </row>
    <row r="2935">
      <c r="A2935" s="3" t="n"/>
      <c r="C2935" s="4" t="n"/>
      <c r="E2935" s="5">
        <f>IF(C2935="","",IF(계산!CI2935="","날짜 확인",IF(계산!CJ2935="","금액 확인","")))</f>
        <v/>
      </c>
    </row>
    <row r="2936">
      <c r="A2936" s="3" t="n"/>
      <c r="C2936" s="4" t="n"/>
      <c r="E2936" s="5">
        <f>IF(C2936="","",IF(계산!CI2936="","날짜 확인",IF(계산!CJ2936="","금액 확인","")))</f>
        <v/>
      </c>
    </row>
    <row r="2937">
      <c r="A2937" s="3" t="n"/>
      <c r="C2937" s="4" t="n"/>
      <c r="E2937" s="5">
        <f>IF(C2937="","",IF(계산!CI2937="","날짜 확인",IF(계산!CJ2937="","금액 확인","")))</f>
        <v/>
      </c>
    </row>
    <row r="2938">
      <c r="A2938" s="3" t="n"/>
      <c r="C2938" s="4" t="n"/>
      <c r="E2938" s="5">
        <f>IF(C2938="","",IF(계산!CI2938="","날짜 확인",IF(계산!CJ2938="","금액 확인","")))</f>
        <v/>
      </c>
    </row>
    <row r="2939">
      <c r="A2939" s="3" t="n"/>
      <c r="C2939" s="4" t="n"/>
      <c r="E2939" s="5">
        <f>IF(C2939="","",IF(계산!CI2939="","날짜 확인",IF(계산!CJ2939="","금액 확인","")))</f>
        <v/>
      </c>
    </row>
    <row r="2940">
      <c r="A2940" s="3" t="n"/>
      <c r="C2940" s="4" t="n"/>
      <c r="E2940" s="5">
        <f>IF(C2940="","",IF(계산!CI2940="","날짜 확인",IF(계산!CJ2940="","금액 확인","")))</f>
        <v/>
      </c>
    </row>
    <row r="2941">
      <c r="A2941" s="3" t="n"/>
      <c r="C2941" s="4" t="n"/>
      <c r="E2941" s="5">
        <f>IF(C2941="","",IF(계산!CI2941="","날짜 확인",IF(계산!CJ2941="","금액 확인","")))</f>
        <v/>
      </c>
    </row>
    <row r="2942">
      <c r="A2942" s="3" t="n"/>
      <c r="C2942" s="4" t="n"/>
      <c r="E2942" s="5">
        <f>IF(C2942="","",IF(계산!CI2942="","날짜 확인",IF(계산!CJ2942="","금액 확인","")))</f>
        <v/>
      </c>
    </row>
    <row r="2943">
      <c r="A2943" s="3" t="n"/>
      <c r="C2943" s="4" t="n"/>
      <c r="E2943" s="5">
        <f>IF(C2943="","",IF(계산!CI2943="","날짜 확인",IF(계산!CJ2943="","금액 확인","")))</f>
        <v/>
      </c>
    </row>
    <row r="2944">
      <c r="A2944" s="3" t="n"/>
      <c r="C2944" s="4" t="n"/>
      <c r="E2944" s="5">
        <f>IF(C2944="","",IF(계산!CI2944="","날짜 확인",IF(계산!CJ2944="","금액 확인","")))</f>
        <v/>
      </c>
    </row>
    <row r="2945">
      <c r="A2945" s="3" t="n"/>
      <c r="C2945" s="4" t="n"/>
      <c r="E2945" s="5">
        <f>IF(C2945="","",IF(계산!CI2945="","날짜 확인",IF(계산!CJ2945="","금액 확인","")))</f>
        <v/>
      </c>
    </row>
    <row r="2946">
      <c r="A2946" s="3" t="n"/>
      <c r="C2946" s="4" t="n"/>
      <c r="E2946" s="5">
        <f>IF(C2946="","",IF(계산!CI2946="","날짜 확인",IF(계산!CJ2946="","금액 확인","")))</f>
        <v/>
      </c>
    </row>
    <row r="2947">
      <c r="A2947" s="3" t="n"/>
      <c r="C2947" s="4" t="n"/>
      <c r="E2947" s="5">
        <f>IF(C2947="","",IF(계산!CI2947="","날짜 확인",IF(계산!CJ2947="","금액 확인","")))</f>
        <v/>
      </c>
    </row>
    <row r="2948">
      <c r="A2948" s="3" t="n"/>
      <c r="C2948" s="4" t="n"/>
      <c r="E2948" s="5">
        <f>IF(C2948="","",IF(계산!CI2948="","날짜 확인",IF(계산!CJ2948="","금액 확인","")))</f>
        <v/>
      </c>
    </row>
    <row r="2949">
      <c r="A2949" s="3" t="n"/>
      <c r="C2949" s="4" t="n"/>
      <c r="E2949" s="5">
        <f>IF(C2949="","",IF(계산!CI2949="","날짜 확인",IF(계산!CJ2949="","금액 확인","")))</f>
        <v/>
      </c>
    </row>
    <row r="2950">
      <c r="A2950" s="3" t="n"/>
      <c r="C2950" s="4" t="n"/>
      <c r="E2950" s="5">
        <f>IF(C2950="","",IF(계산!CI2950="","날짜 확인",IF(계산!CJ2950="","금액 확인","")))</f>
        <v/>
      </c>
    </row>
    <row r="2951">
      <c r="A2951" s="3" t="n"/>
      <c r="C2951" s="4" t="n"/>
      <c r="E2951" s="5">
        <f>IF(C2951="","",IF(계산!CI2951="","날짜 확인",IF(계산!CJ2951="","금액 확인","")))</f>
        <v/>
      </c>
    </row>
    <row r="2952">
      <c r="A2952" s="3" t="n"/>
      <c r="C2952" s="4" t="n"/>
      <c r="E2952" s="5">
        <f>IF(C2952="","",IF(계산!CI2952="","날짜 확인",IF(계산!CJ2952="","금액 확인","")))</f>
        <v/>
      </c>
    </row>
    <row r="2953">
      <c r="A2953" s="3" t="n"/>
      <c r="C2953" s="4" t="n"/>
      <c r="E2953" s="5">
        <f>IF(C2953="","",IF(계산!CI2953="","날짜 확인",IF(계산!CJ2953="","금액 확인","")))</f>
        <v/>
      </c>
    </row>
    <row r="2954">
      <c r="A2954" s="3" t="n"/>
      <c r="C2954" s="4" t="n"/>
      <c r="E2954" s="5">
        <f>IF(C2954="","",IF(계산!CI2954="","날짜 확인",IF(계산!CJ2954="","금액 확인","")))</f>
        <v/>
      </c>
    </row>
    <row r="2955">
      <c r="A2955" s="3" t="n"/>
      <c r="C2955" s="4" t="n"/>
      <c r="E2955" s="5">
        <f>IF(C2955="","",IF(계산!CI2955="","날짜 확인",IF(계산!CJ2955="","금액 확인","")))</f>
        <v/>
      </c>
    </row>
    <row r="2956">
      <c r="A2956" s="3" t="n"/>
      <c r="C2956" s="4" t="n"/>
      <c r="E2956" s="5">
        <f>IF(C2956="","",IF(계산!CI2956="","날짜 확인",IF(계산!CJ2956="","금액 확인","")))</f>
        <v/>
      </c>
    </row>
    <row r="2957">
      <c r="A2957" s="3" t="n"/>
      <c r="C2957" s="4" t="n"/>
      <c r="E2957" s="5">
        <f>IF(C2957="","",IF(계산!CI2957="","날짜 확인",IF(계산!CJ2957="","금액 확인","")))</f>
        <v/>
      </c>
    </row>
    <row r="2958">
      <c r="A2958" s="3" t="n"/>
      <c r="C2958" s="4" t="n"/>
      <c r="E2958" s="5">
        <f>IF(C2958="","",IF(계산!CI2958="","날짜 확인",IF(계산!CJ2958="","금액 확인","")))</f>
        <v/>
      </c>
    </row>
    <row r="2959">
      <c r="A2959" s="3" t="n"/>
      <c r="C2959" s="4" t="n"/>
      <c r="E2959" s="5">
        <f>IF(C2959="","",IF(계산!CI2959="","날짜 확인",IF(계산!CJ2959="","금액 확인","")))</f>
        <v/>
      </c>
    </row>
    <row r="2960">
      <c r="A2960" s="3" t="n"/>
      <c r="C2960" s="4" t="n"/>
      <c r="E2960" s="5">
        <f>IF(C2960="","",IF(계산!CI2960="","날짜 확인",IF(계산!CJ2960="","금액 확인","")))</f>
        <v/>
      </c>
    </row>
    <row r="2961">
      <c r="A2961" s="3" t="n"/>
      <c r="C2961" s="4" t="n"/>
      <c r="E2961" s="5">
        <f>IF(C2961="","",IF(계산!CI2961="","날짜 확인",IF(계산!CJ2961="","금액 확인","")))</f>
        <v/>
      </c>
    </row>
    <row r="2962">
      <c r="A2962" s="3" t="n"/>
      <c r="C2962" s="4" t="n"/>
      <c r="E2962" s="5">
        <f>IF(C2962="","",IF(계산!CI2962="","날짜 확인",IF(계산!CJ2962="","금액 확인","")))</f>
        <v/>
      </c>
    </row>
    <row r="2963">
      <c r="A2963" s="3" t="n"/>
      <c r="C2963" s="4" t="n"/>
      <c r="E2963" s="5">
        <f>IF(C2963="","",IF(계산!CI2963="","날짜 확인",IF(계산!CJ2963="","금액 확인","")))</f>
        <v/>
      </c>
    </row>
    <row r="2964">
      <c r="A2964" s="3" t="n"/>
      <c r="C2964" s="4" t="n"/>
      <c r="E2964" s="5">
        <f>IF(C2964="","",IF(계산!CI2964="","날짜 확인",IF(계산!CJ2964="","금액 확인","")))</f>
        <v/>
      </c>
    </row>
    <row r="2965">
      <c r="A2965" s="3" t="n"/>
      <c r="C2965" s="4" t="n"/>
      <c r="E2965" s="5">
        <f>IF(C2965="","",IF(계산!CI2965="","날짜 확인",IF(계산!CJ2965="","금액 확인","")))</f>
        <v/>
      </c>
    </row>
    <row r="2966">
      <c r="A2966" s="3" t="n"/>
      <c r="C2966" s="4" t="n"/>
      <c r="E2966" s="5">
        <f>IF(C2966="","",IF(계산!CI2966="","날짜 확인",IF(계산!CJ2966="","금액 확인","")))</f>
        <v/>
      </c>
    </row>
    <row r="2967">
      <c r="A2967" s="3" t="n"/>
      <c r="C2967" s="4" t="n"/>
      <c r="E2967" s="5">
        <f>IF(C2967="","",IF(계산!CI2967="","날짜 확인",IF(계산!CJ2967="","금액 확인","")))</f>
        <v/>
      </c>
    </row>
    <row r="2968">
      <c r="A2968" s="3" t="n"/>
      <c r="C2968" s="4" t="n"/>
      <c r="E2968" s="5">
        <f>IF(C2968="","",IF(계산!CI2968="","날짜 확인",IF(계산!CJ2968="","금액 확인","")))</f>
        <v/>
      </c>
    </row>
    <row r="2969">
      <c r="A2969" s="3" t="n"/>
      <c r="C2969" s="4" t="n"/>
      <c r="E2969" s="5">
        <f>IF(C2969="","",IF(계산!CI2969="","날짜 확인",IF(계산!CJ2969="","금액 확인","")))</f>
        <v/>
      </c>
    </row>
    <row r="2970">
      <c r="A2970" s="3" t="n"/>
      <c r="C2970" s="4" t="n"/>
      <c r="E2970" s="5">
        <f>IF(C2970="","",IF(계산!CI2970="","날짜 확인",IF(계산!CJ2970="","금액 확인","")))</f>
        <v/>
      </c>
    </row>
    <row r="2971">
      <c r="A2971" s="3" t="n"/>
      <c r="C2971" s="4" t="n"/>
      <c r="E2971" s="5">
        <f>IF(C2971="","",IF(계산!CI2971="","날짜 확인",IF(계산!CJ2971="","금액 확인","")))</f>
        <v/>
      </c>
    </row>
    <row r="2972">
      <c r="A2972" s="3" t="n"/>
      <c r="C2972" s="4" t="n"/>
      <c r="E2972" s="5">
        <f>IF(C2972="","",IF(계산!CI2972="","날짜 확인",IF(계산!CJ2972="","금액 확인","")))</f>
        <v/>
      </c>
    </row>
    <row r="2973">
      <c r="A2973" s="3" t="n"/>
      <c r="C2973" s="4" t="n"/>
      <c r="E2973" s="5">
        <f>IF(C2973="","",IF(계산!CI2973="","날짜 확인",IF(계산!CJ2973="","금액 확인","")))</f>
        <v/>
      </c>
    </row>
    <row r="2974">
      <c r="A2974" s="3" t="n"/>
      <c r="C2974" s="4" t="n"/>
      <c r="E2974" s="5">
        <f>IF(C2974="","",IF(계산!CI2974="","날짜 확인",IF(계산!CJ2974="","금액 확인","")))</f>
        <v/>
      </c>
    </row>
    <row r="2975">
      <c r="A2975" s="3" t="n"/>
      <c r="C2975" s="4" t="n"/>
      <c r="E2975" s="5">
        <f>IF(C2975="","",IF(계산!CI2975="","날짜 확인",IF(계산!CJ2975="","금액 확인","")))</f>
        <v/>
      </c>
    </row>
    <row r="2976">
      <c r="A2976" s="3" t="n"/>
      <c r="C2976" s="4" t="n"/>
      <c r="E2976" s="5">
        <f>IF(C2976="","",IF(계산!CI2976="","날짜 확인",IF(계산!CJ2976="","금액 확인","")))</f>
        <v/>
      </c>
    </row>
    <row r="2977">
      <c r="A2977" s="3" t="n"/>
      <c r="C2977" s="4" t="n"/>
      <c r="E2977" s="5">
        <f>IF(C2977="","",IF(계산!CI2977="","날짜 확인",IF(계산!CJ2977="","금액 확인","")))</f>
        <v/>
      </c>
    </row>
    <row r="2978">
      <c r="A2978" s="3" t="n"/>
      <c r="C2978" s="4" t="n"/>
      <c r="E2978" s="5">
        <f>IF(C2978="","",IF(계산!CI2978="","날짜 확인",IF(계산!CJ2978="","금액 확인","")))</f>
        <v/>
      </c>
    </row>
    <row r="2979">
      <c r="A2979" s="3" t="n"/>
      <c r="C2979" s="4" t="n"/>
      <c r="E2979" s="5">
        <f>IF(C2979="","",IF(계산!CI2979="","날짜 확인",IF(계산!CJ2979="","금액 확인","")))</f>
        <v/>
      </c>
    </row>
    <row r="2980">
      <c r="A2980" s="3" t="n"/>
      <c r="C2980" s="4" t="n"/>
      <c r="E2980" s="5">
        <f>IF(C2980="","",IF(계산!CI2980="","날짜 확인",IF(계산!CJ2980="","금액 확인","")))</f>
        <v/>
      </c>
    </row>
    <row r="2981">
      <c r="A2981" s="3" t="n"/>
      <c r="C2981" s="4" t="n"/>
      <c r="E2981" s="5">
        <f>IF(C2981="","",IF(계산!CI2981="","날짜 확인",IF(계산!CJ2981="","금액 확인","")))</f>
        <v/>
      </c>
    </row>
    <row r="2982">
      <c r="A2982" s="3" t="n"/>
      <c r="C2982" s="4" t="n"/>
      <c r="E2982" s="5">
        <f>IF(C2982="","",IF(계산!CI2982="","날짜 확인",IF(계산!CJ2982="","금액 확인","")))</f>
        <v/>
      </c>
    </row>
    <row r="2983">
      <c r="A2983" s="3" t="n"/>
      <c r="C2983" s="4" t="n"/>
      <c r="E2983" s="5">
        <f>IF(C2983="","",IF(계산!CI2983="","날짜 확인",IF(계산!CJ2983="","금액 확인","")))</f>
        <v/>
      </c>
    </row>
    <row r="2984">
      <c r="A2984" s="3" t="n"/>
      <c r="C2984" s="4" t="n"/>
      <c r="E2984" s="5">
        <f>IF(C2984="","",IF(계산!CI2984="","날짜 확인",IF(계산!CJ2984="","금액 확인","")))</f>
        <v/>
      </c>
    </row>
    <row r="2985">
      <c r="A2985" s="3" t="n"/>
      <c r="C2985" s="4" t="n"/>
      <c r="E2985" s="5">
        <f>IF(C2985="","",IF(계산!CI2985="","날짜 확인",IF(계산!CJ2985="","금액 확인","")))</f>
        <v/>
      </c>
    </row>
    <row r="2986">
      <c r="A2986" s="3" t="n"/>
      <c r="C2986" s="4" t="n"/>
      <c r="E2986" s="5">
        <f>IF(C2986="","",IF(계산!CI2986="","날짜 확인",IF(계산!CJ2986="","금액 확인","")))</f>
        <v/>
      </c>
    </row>
    <row r="2987">
      <c r="A2987" s="3" t="n"/>
      <c r="C2987" s="4" t="n"/>
      <c r="E2987" s="5">
        <f>IF(C2987="","",IF(계산!CI2987="","날짜 확인",IF(계산!CJ2987="","금액 확인","")))</f>
        <v/>
      </c>
    </row>
    <row r="2988">
      <c r="A2988" s="3" t="n"/>
      <c r="C2988" s="4" t="n"/>
      <c r="E2988" s="5">
        <f>IF(C2988="","",IF(계산!CI2988="","날짜 확인",IF(계산!CJ2988="","금액 확인","")))</f>
        <v/>
      </c>
    </row>
    <row r="2989">
      <c r="A2989" s="3" t="n"/>
      <c r="C2989" s="4" t="n"/>
      <c r="E2989" s="5">
        <f>IF(C2989="","",IF(계산!CI2989="","날짜 확인",IF(계산!CJ2989="","금액 확인","")))</f>
        <v/>
      </c>
    </row>
    <row r="2990">
      <c r="A2990" s="3" t="n"/>
      <c r="C2990" s="4" t="n"/>
      <c r="E2990" s="5">
        <f>IF(C2990="","",IF(계산!CI2990="","날짜 확인",IF(계산!CJ2990="","금액 확인","")))</f>
        <v/>
      </c>
    </row>
    <row r="2991">
      <c r="A2991" s="3" t="n"/>
      <c r="C2991" s="4" t="n"/>
      <c r="E2991" s="5">
        <f>IF(C2991="","",IF(계산!CI2991="","날짜 확인",IF(계산!CJ2991="","금액 확인","")))</f>
        <v/>
      </c>
    </row>
    <row r="2992">
      <c r="A2992" s="3" t="n"/>
      <c r="C2992" s="4" t="n"/>
      <c r="E2992" s="5">
        <f>IF(C2992="","",IF(계산!CI2992="","날짜 확인",IF(계산!CJ2992="","금액 확인","")))</f>
        <v/>
      </c>
    </row>
    <row r="2993">
      <c r="A2993" s="3" t="n"/>
      <c r="C2993" s="4" t="n"/>
      <c r="E2993" s="5">
        <f>IF(C2993="","",IF(계산!CI2993="","날짜 확인",IF(계산!CJ2993="","금액 확인","")))</f>
        <v/>
      </c>
    </row>
    <row r="2994">
      <c r="A2994" s="3" t="n"/>
      <c r="C2994" s="4" t="n"/>
      <c r="E2994" s="5">
        <f>IF(C2994="","",IF(계산!CI2994="","날짜 확인",IF(계산!CJ2994="","금액 확인","")))</f>
        <v/>
      </c>
    </row>
    <row r="2995">
      <c r="A2995" s="3" t="n"/>
      <c r="C2995" s="4" t="n"/>
      <c r="E2995" s="5">
        <f>IF(C2995="","",IF(계산!CI2995="","날짜 확인",IF(계산!CJ2995="","금액 확인","")))</f>
        <v/>
      </c>
    </row>
    <row r="2996">
      <c r="A2996" s="3" t="n"/>
      <c r="C2996" s="4" t="n"/>
      <c r="E2996" s="5">
        <f>IF(C2996="","",IF(계산!CI2996="","날짜 확인",IF(계산!CJ2996="","금액 확인","")))</f>
        <v/>
      </c>
    </row>
    <row r="2997">
      <c r="A2997" s="3" t="n"/>
      <c r="C2997" s="4" t="n"/>
      <c r="E2997" s="5">
        <f>IF(C2997="","",IF(계산!CI2997="","날짜 확인",IF(계산!CJ2997="","금액 확인","")))</f>
        <v/>
      </c>
    </row>
    <row r="2998">
      <c r="A2998" s="3" t="n"/>
      <c r="C2998" s="4" t="n"/>
      <c r="E2998" s="5">
        <f>IF(C2998="","",IF(계산!CI2998="","날짜 확인",IF(계산!CJ2998="","금액 확인","")))</f>
        <v/>
      </c>
    </row>
    <row r="2999">
      <c r="A2999" s="3" t="n"/>
      <c r="C2999" s="4" t="n"/>
      <c r="E2999" s="5">
        <f>IF(C2999="","",IF(계산!CI2999="","날짜 확인",IF(계산!CJ2999="","금액 확인","")))</f>
        <v/>
      </c>
    </row>
    <row r="3000">
      <c r="A3000" s="3" t="n"/>
      <c r="C3000" s="4" t="n"/>
      <c r="E3000" s="5">
        <f>IF(C3000="","",IF(계산!CI3000="","날짜 확인",IF(계산!CJ3000="","금액 확인","")))</f>
        <v/>
      </c>
    </row>
    <row r="3001">
      <c r="A3001" s="3" t="n"/>
      <c r="C3001" s="4" t="n"/>
      <c r="E3001" s="5">
        <f>IF(C3001="","",IF(계산!CI3001="","날짜 확인",IF(계산!CJ3001="","금액 확인","")))</f>
        <v/>
      </c>
    </row>
    <row r="3002">
      <c r="A3002" s="3" t="n"/>
      <c r="C3002" s="4" t="n"/>
      <c r="E3002" s="5">
        <f>IF(C3002="","",IF(계산!CI3002="","날짜 확인",IF(계산!CJ3002="","금액 확인","")))</f>
        <v/>
      </c>
    </row>
  </sheetData>
  <dataValidations count="1">
    <dataValidation sqref="D3:D3002" showDropDown="0" showInputMessage="0" showErrorMessage="0" allowBlank="1" type="list">
      <formula1>=계산!$H$2:$H$14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</cols>
  <sheetData>
    <row r="2">
      <c r="B2" s="5">
        <f>계산!B33</f>
        <v/>
      </c>
    </row>
    <row r="3">
      <c r="B3" s="10">
        <f>IF(계산!B34="","은퇴 나이","은퇴 나이 · "&amp;계산!B34)</f>
        <v/>
      </c>
    </row>
    <row r="4">
      <c r="B4" s="11">
        <f>계산!B30</f>
        <v/>
      </c>
    </row>
    <row r="5"/>
    <row r="6"/>
    <row r="7">
      <c r="B7" s="10">
        <f>계산!B31</f>
        <v/>
      </c>
    </row>
    <row r="8">
      <c r="B8" s="10">
        <f>계산!B35</f>
        <v/>
      </c>
    </row>
    <row r="9">
      <c r="B9" s="12" t="inlineStr">
        <is>
          <t>연 지출</t>
        </is>
      </c>
      <c r="D9" s="12" t="inlineStr">
        <is>
          <t>필요 자산</t>
        </is>
      </c>
      <c r="F9" s="12" t="inlineStr">
        <is>
          <t>현재 자산</t>
        </is>
      </c>
    </row>
    <row r="10">
      <c r="B10" s="13">
        <f>계산!B6*12</f>
        <v/>
      </c>
      <c r="C10" s="14" t="n"/>
      <c r="D10" s="13">
        <f>계산!B32</f>
        <v/>
      </c>
      <c r="E10" s="14" t="n"/>
      <c r="F10" s="13">
        <f>D13</f>
        <v/>
      </c>
      <c r="G10" s="14" t="n"/>
    </row>
    <row r="12">
      <c r="B12" s="15" t="inlineStr">
        <is>
          <t>현재 나이</t>
        </is>
      </c>
      <c r="D12" s="16" t="n">
        <v>58</v>
      </c>
      <c r="E12" s="17" t="n"/>
      <c r="F12" s="18" t="n"/>
      <c r="G12" s="10" t="inlineStr">
        <is>
          <t>세</t>
        </is>
      </c>
    </row>
    <row r="13">
      <c r="B13" s="15" t="inlineStr">
        <is>
          <t>현재 자산</t>
        </is>
      </c>
      <c r="D13" s="19" t="n">
        <v>400000000</v>
      </c>
      <c r="E13" s="17" t="n"/>
      <c r="F13" s="18" t="n"/>
      <c r="G13" s="10" t="inlineStr">
        <is>
          <t>원</t>
        </is>
      </c>
    </row>
    <row r="14">
      <c r="B14" s="15" t="inlineStr">
        <is>
          <t>연 수익률</t>
        </is>
      </c>
      <c r="D14" s="20" t="n">
        <v>4</v>
      </c>
      <c r="E14" s="17" t="n"/>
      <c r="F14" s="18" t="n"/>
      <c r="G14" s="10" t="inlineStr">
        <is>
          <t>%</t>
        </is>
      </c>
    </row>
    <row r="15">
      <c r="B15" s="15" t="inlineStr">
        <is>
          <t>물가</t>
        </is>
      </c>
      <c r="D15" s="20" t="n">
        <v>3</v>
      </c>
      <c r="E15" s="17" t="n"/>
      <c r="F15" s="18" t="n"/>
      <c r="G15" s="10" t="inlineStr">
        <is>
          <t>%</t>
        </is>
      </c>
    </row>
    <row r="16">
      <c r="B16" s="15" t="inlineStr">
        <is>
          <t>국민연금(월)</t>
        </is>
      </c>
      <c r="D16" s="19" t="n">
        <v>1200000</v>
      </c>
      <c r="E16" s="17" t="n"/>
      <c r="F16" s="18" t="n"/>
      <c r="G16" s="10" t="inlineStr">
        <is>
          <t>원</t>
        </is>
      </c>
    </row>
    <row r="18">
      <c r="B18" s="21" t="inlineStr">
        <is>
          <t>파이어맵 계산기와 같은 식 · firemap.kr</t>
        </is>
      </c>
    </row>
  </sheetData>
  <mergeCells count="9">
    <mergeCell ref="D13:F13"/>
    <mergeCell ref="D14:F14"/>
    <mergeCell ref="D10:E10"/>
    <mergeCell ref="F10:G10"/>
    <mergeCell ref="B10:C10"/>
    <mergeCell ref="D12:F12"/>
    <mergeCell ref="B4:D6"/>
    <mergeCell ref="D15:F15"/>
    <mergeCell ref="D16:F16"/>
  </mergeCells>
  <hyperlinks>
    <hyperlink xmlns:r="http://schemas.openxmlformats.org/officeDocument/2006/relationships" ref="B18" r:id="rId1"/>
  </hyperlinks>
  <pageMargins left="0.75" right="0.75" top="1" bottom="1" header="0.5" footer="0.5"/>
  <pageSetup orientation="landscape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22" t="inlineStr">
        <is>
          <t>쓰는 법</t>
        </is>
      </c>
    </row>
    <row r="3">
      <c r="B3" s="23" t="inlineStr">
        <is>
          <t>1. 「월 가계부」에 날짜·항목·금액을 넣고 분류를 목록에서 고릅니다. 월급 같은 들어온 돈은 분류를 「수입」으로 둡니다.</t>
        </is>
      </c>
    </row>
    <row r="4">
      <c r="B4" s="23" t="inlineStr">
        <is>
          <t>2. 카드사·가계부 앱에서 내려받은 내역의 날짜·내용·금액 세 열을 A~C열에 그대로 붙여 넣을 수 있습니다. 열 순서가 다르면 순서만 맞춰 주세요.</t>
        </is>
      </c>
    </row>
    <row r="5">
      <c r="B5" s="23" t="inlineStr">
        <is>
          <t>3. 날짜는 2026-10-03 · 2026.10.03 · 2026. 10. 3. · 2026/10/03 · 2026년 10월 3일 · 20261003 · 26.10.03 모양을 읽습니다. 읽지 못한 줄은 E열에 「날짜 확인」·「금액 확인」이 뜨고 계산에서 빠집니다.</t>
        </is>
      </c>
    </row>
    <row r="6">
      <c r="B6" s="23" t="inlineStr">
        <is>
          <t>4. 「은퇴 나이」 시트에 현재 나이·현재 자산·연 수익률·물가·국민연금 다섯 칸을 넣으면, 다 지난 달 가운데 가장 최근 달의 수입·지출로 은퇴 나이를 계산합니다. 이번 달 줄은 달이 끝난 뒤에 들어갑니다.</t>
        </is>
      </c>
    </row>
    <row r="7">
      <c r="B7" s="23" t="inlineStr">
        <is>
          <t>5. 예시 줄(2026년 8~9월)은 지우고 쓰세요. 줄은 3,000줄(3~3002행)까지 셉니다. 넘으면 「은퇴 나이」 시트 맨 위에 알림이 뜹니다.</t>
        </is>
      </c>
    </row>
    <row r="8">
      <c r="B8" s="23" t="inlineStr"/>
    </row>
    <row r="9">
      <c r="B9" s="22" t="inlineStr">
        <is>
          <t>계산 가정</t>
        </is>
      </c>
    </row>
    <row r="10">
      <c r="B10" s="23" t="inlineStr">
        <is>
          <t>· 최근 달 (수입 − 지출)을 은퇴할 때까지 매달 모으고, 은퇴 뒤에는 그달 지출을 매년 물가만큼 늘려 꺼내 씁니다.</t>
        </is>
      </c>
    </row>
    <row r="11">
      <c r="B11" s="23" t="inlineStr">
        <is>
          <t>· 90세까지 자산이 남는 가장 이른 나이를 찾습니다(70세까지). 퇴직금·부동산·세금은 넣지 않았습니다.</t>
        </is>
      </c>
    </row>
    <row r="12">
      <c r="B12" s="23" t="inlineStr">
        <is>
          <t>· 국민연금은 넣은 월 금액(지금 돈 기준)을 출생연도에 따라 60~65세부터 받는다고 보고, 물가만큼 늘립니다. 받을 금액을 모르면 0으로 두세요.</t>
        </is>
      </c>
    </row>
    <row r="13">
      <c r="B13" s="23" t="inlineStr">
        <is>
          <t>· 「이번 달 지출대로면 지난달보다 N개월 빨라져요·늦어져요」는 앞뒤 두 해 결과 사이를 나눠 어림한 값입니다.</t>
        </is>
      </c>
    </row>
    <row r="14">
      <c r="B14" s="23" t="inlineStr">
        <is>
          <t>· 「월 지출이 10만원 늘면 약 N개월 늦어져요」는 지출에 10만원을 더해 같은 계산을 한 번 더 한 값입니다.</t>
        </is>
      </c>
    </row>
    <row r="15">
      <c r="B15" s="23" t="inlineStr">
        <is>
          <t>· 「나이별 자산」 그래프는 은퇴 나이에 일을 그만두면 90세까지 자산이 어떻게 바뀌는지, 「월별 저축률」은 최근 12개월 (수입 − 지출) ÷ 수입입니다.</t>
        </is>
      </c>
    </row>
    <row r="16">
      <c r="B16" s="23" t="inlineStr"/>
    </row>
    <row r="17">
      <c r="B17" s="22" t="inlineStr">
        <is>
          <t>알림</t>
        </is>
      </c>
    </row>
    <row r="18">
      <c r="B18" s="23" t="inlineStr">
        <is>
          <t>· 이 파일은 계산 도구이며 투자 조언이 아닙니다. 특정 종목·금융상품을 추천하지 않고, 수익을 보장하지 않습니다.</t>
        </is>
      </c>
    </row>
    <row r="19">
      <c r="B19" s="23" t="inlineStr">
        <is>
          <t>· 지출 분류: 통계청 가계동향조사 소비지출 12대 비목.</t>
        </is>
      </c>
    </row>
    <row r="20">
      <c r="B20" s="23" t="inlineStr">
        <is>
          <t>· 기준일 2026-10-12</t>
        </is>
      </c>
    </row>
    <row r="21">
      <c r="B21" s="24" t="inlineStr">
        <is>
          <t>firemap.kr</t>
        </is>
      </c>
    </row>
  </sheetData>
  <hyperlinks>
    <hyperlink xmlns:r="http://schemas.openxmlformats.org/officeDocument/2006/relationships" ref="B2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나이</t>
        </is>
      </c>
      <c r="B1">
        <f>'은퇴 나이'!D12</f>
        <v/>
      </c>
      <c r="H1" t="inlineStr">
        <is>
          <t>분류 목록</t>
        </is>
      </c>
      <c r="CB1" t="inlineStr">
        <is>
          <t>y</t>
        </is>
      </c>
      <c r="CC1" t="inlineStr">
        <is>
          <t>할인 인출</t>
        </is>
      </c>
      <c r="CE1" t="inlineStr">
        <is>
          <t>나이</t>
        </is>
      </c>
      <c r="CF1" t="inlineStr">
        <is>
          <t>자산</t>
        </is>
      </c>
      <c r="CH1" t="inlineStr">
        <is>
          <t>글자 날짜</t>
        </is>
      </c>
      <c r="CI1" t="inlineStr">
        <is>
          <t>날짜</t>
        </is>
      </c>
      <c r="CJ1" t="inlineStr">
        <is>
          <t>금액</t>
        </is>
      </c>
      <c r="CK1" t="inlineStr">
        <is>
          <t>다 지난 달</t>
        </is>
      </c>
      <c r="CM1" t="inlineStr">
        <is>
          <t>연</t>
        </is>
      </c>
      <c r="CN1" t="inlineStr">
        <is>
          <t>월</t>
        </is>
      </c>
      <c r="CO1" t="inlineStr">
        <is>
          <t>일</t>
        </is>
      </c>
    </row>
    <row r="2">
      <c r="A2" t="inlineStr">
        <is>
          <t>자산</t>
        </is>
      </c>
      <c r="B2">
        <f>'은퇴 나이'!D13</f>
        <v/>
      </c>
      <c r="H2" t="inlineStr">
        <is>
          <t>수입</t>
        </is>
      </c>
      <c r="CB2" t="n">
        <v>1</v>
      </c>
      <c r="CC2">
        <f>IF($B$1+CB2&gt;90,0,12*MAX(0,$B$6-IF($B$1+CB2&gt;=$B$23,$B$22,0))*(1+$B$4)^CB2/(1+$B$3)^(CB2-1))</f>
        <v/>
      </c>
      <c r="CE2">
        <f>IF($B$1+0&gt;90,NA(),$B$1+0)</f>
        <v/>
      </c>
      <c r="CF2">
        <f>IF(OR($B$21="",$B$1+0&gt;90),NA(),INDEX($C$40:$BU$90,$B$21-$B$1+1,1))</f>
        <v/>
      </c>
    </row>
    <row r="3">
      <c r="A3" t="inlineStr">
        <is>
          <t>수익률</t>
        </is>
      </c>
      <c r="B3">
        <f>'은퇴 나이'!D14/100</f>
        <v/>
      </c>
      <c r="H3" t="inlineStr">
        <is>
          <t>식료품·비주류음료</t>
        </is>
      </c>
      <c r="CB3" t="n">
        <v>2</v>
      </c>
      <c r="CC3">
        <f>IF($B$1+CB3&gt;90,0,12*MAX(0,$B$6-IF($B$1+CB3&gt;=$B$23,$B$22,0))*(1+$B$4)^CB3/(1+$B$3)^(CB3-1))</f>
        <v/>
      </c>
      <c r="CE3">
        <f>IF($B$1+1&gt;90,NA(),$B$1+1)</f>
        <v/>
      </c>
      <c r="CF3">
        <f>IF(OR($B$21="",$B$1+1&gt;90),NA(),INDEX($C$40:$BU$90,$B$21-$B$1+1,2))</f>
        <v/>
      </c>
      <c r="CH3">
        <f>IF(ISTEXT('월 가계부'!A3),SUBSTITUTE(SUBSTITUTE(SUBSTITUTE(SUBSTITUTE(SUBSTITUTE(SUBSTITUTE(SUBSTITUTE(SUBSTITUTE(SUBSTITUTE(TRIM('월 가계부'!A3),"년","-"),"월","-"),"일",""),".","-"),"/","-")," ","-"),"--","-"),"--","-"),"--","-")&amp;"-","")</f>
        <v/>
      </c>
      <c r="CI3">
        <f>IFERROR(IF('월 가계부'!A3="","",IF(ISNUMBER('월 가계부'!A3),IF(AND('월 가계부'!A3&gt;=19000101,'월 가계부'!A3&lt;=21001231),IF(AND(MOD(INT('월 가계부'!A3/100),100)&gt;=1,MOD(INT('월 가계부'!A3/100),100)&lt;=12,MOD(INT('월 가계부'!A3),100)&gt;=1,MOD(INT('월 가계부'!A3),100)&lt;=31),IF(MONTH(DATE(INT('월 가계부'!A3/10000),MOD(INT('월 가계부'!A3/100),100),MOD(INT('월 가계부'!A3),100)))=MOD(INT('월 가계부'!A3/100),100),DATE(INT('월 가계부'!A3/10000),MOD(INT('월 가계부'!A3/100),100),MOD(INT('월 가계부'!A3),100)),""),""),IF(AND('월 가계부'!A3&gt;=36526,'월 가계부'!A3&lt;73051),INT('월 가계부'!A3),"")),IF(OR(CM3="",CN3="",CO3=""),"",IF(AND(CM3&gt;=2000,CM3&lt;=2099,CN3&gt;=1,CN3&lt;=12,CO3&gt;=1,CO3&lt;=31),IF(MONTH(DATE(CM3,CN3,CO3))=CN3,DATE(CM3,CN3,CO3),""),"")))),"")</f>
        <v/>
      </c>
      <c r="CJ3">
        <f>IFERROR(IF('월 가계부'!C3="","",IF(ISNUMBER('월 가계부'!C3),'월 가계부'!C3,VALUE(SUBSTITUTE(SUBSTITUTE(SUBSTITUTE(SUBSTITUTE(TRIM('월 가계부'!C3),",",""),"원","")," ",""),"−","-")))),"")</f>
        <v/>
      </c>
      <c r="CK3">
        <f>IF(ISNUMBER(CI3),IF(CI3&lt;$B$13,CI3,""),"")</f>
        <v/>
      </c>
      <c r="CM3">
        <f>IF(CH3="","",IFERROR(IF(IF(AND(LEN(CH3)=9,ISERROR(FIND("-",LEFT(CH3,8))),ISNUMBER(-LEFT(CH3,8))),VALUE(LEFT(CH3,4)),VALUE(LEFT(CH3,FIND("-",CH3)-1)))&lt;100,IF(AND(LEN(CH3)=9,ISERROR(FIND("-",LEFT(CH3,8))),ISNUMBER(-LEFT(CH3,8))),VALUE(LEFT(CH3,4)),VALUE(LEFT(CH3,FIND("-",CH3)-1)))+2000,IF(AND(LEN(CH3)=9,ISERROR(FIND("-",LEFT(CH3,8))),ISNUMBER(-LEFT(CH3,8))),VALUE(LEFT(CH3,4)),VALUE(LEFT(CH3,FIND("-",CH3)-1)))),""))</f>
        <v/>
      </c>
      <c r="CN3">
        <f>IF(CH3="","",IFERROR(IF(AND(LEN(CH3)=9,ISERROR(FIND("-",LEFT(CH3,8))),ISNUMBER(-LEFT(CH3,8))),VALUE(MID(CH3,5,2)),VALUE(MID(CH3,FIND("-",CH3)+1,FIND("-",CH3,FIND("-",CH3)+1)-FIND("-",CH3)-1))),""))</f>
        <v/>
      </c>
      <c r="CO3">
        <f>IF(CH3="","",IFERROR(IF(AND(LEN(CH3)=9,ISERROR(FIND("-",LEFT(CH3,8))),ISNUMBER(-LEFT(CH3,8))),VALUE(MID(CH3,7,2)),VALUE(MID(CH3,FIND("-",CH3,FIND("-",CH3)+1)+1,FIND("-",CH3,FIND("-",CH3,FIND("-",CH3)+1)+1)-FIND("-",CH3,FIND("-",CH3)+1)-1))),""))</f>
        <v/>
      </c>
    </row>
    <row r="4">
      <c r="A4" t="inlineStr">
        <is>
          <t>물가</t>
        </is>
      </c>
      <c r="B4">
        <f>'은퇴 나이'!D15/100</f>
        <v/>
      </c>
      <c r="H4" t="inlineStr">
        <is>
          <t>주류·담배</t>
        </is>
      </c>
      <c r="CB4" t="n">
        <v>3</v>
      </c>
      <c r="CC4">
        <f>IF($B$1+CB4&gt;90,0,12*MAX(0,$B$6-IF($B$1+CB4&gt;=$B$23,$B$22,0))*(1+$B$4)^CB4/(1+$B$3)^(CB4-1))</f>
        <v/>
      </c>
      <c r="CE4">
        <f>IF($B$1+2&gt;90,NA(),$B$1+2)</f>
        <v/>
      </c>
      <c r="CF4">
        <f>IF(OR($B$21="",$B$1+2&gt;90),NA(),INDEX($C$40:$BU$90,$B$21-$B$1+1,3))</f>
        <v/>
      </c>
      <c r="CH4">
        <f>IF(ISTEXT('월 가계부'!A4),SUBSTITUTE(SUBSTITUTE(SUBSTITUTE(SUBSTITUTE(SUBSTITUTE(SUBSTITUTE(SUBSTITUTE(SUBSTITUTE(SUBSTITUTE(TRIM('월 가계부'!A4),"년","-"),"월","-"),"일",""),".","-"),"/","-")," ","-"),"--","-"),"--","-"),"--","-")&amp;"-","")</f>
        <v/>
      </c>
      <c r="CI4">
        <f>IFERROR(IF('월 가계부'!A4="","",IF(ISNUMBER('월 가계부'!A4),IF(AND('월 가계부'!A4&gt;=19000101,'월 가계부'!A4&lt;=21001231),IF(AND(MOD(INT('월 가계부'!A4/100),100)&gt;=1,MOD(INT('월 가계부'!A4/100),100)&lt;=12,MOD(INT('월 가계부'!A4),100)&gt;=1,MOD(INT('월 가계부'!A4),100)&lt;=31),IF(MONTH(DATE(INT('월 가계부'!A4/10000),MOD(INT('월 가계부'!A4/100),100),MOD(INT('월 가계부'!A4),100)))=MOD(INT('월 가계부'!A4/100),100),DATE(INT('월 가계부'!A4/10000),MOD(INT('월 가계부'!A4/100),100),MOD(INT('월 가계부'!A4),100)),""),""),IF(AND('월 가계부'!A4&gt;=36526,'월 가계부'!A4&lt;73051),INT('월 가계부'!A4),"")),IF(OR(CM4="",CN4="",CO4=""),"",IF(AND(CM4&gt;=2000,CM4&lt;=2099,CN4&gt;=1,CN4&lt;=12,CO4&gt;=1,CO4&lt;=31),IF(MONTH(DATE(CM4,CN4,CO4))=CN4,DATE(CM4,CN4,CO4),""),"")))),"")</f>
        <v/>
      </c>
      <c r="CJ4">
        <f>IFERROR(IF('월 가계부'!C4="","",IF(ISNUMBER('월 가계부'!C4),'월 가계부'!C4,VALUE(SUBSTITUTE(SUBSTITUTE(SUBSTITUTE(SUBSTITUTE(TRIM('월 가계부'!C4),",",""),"원","")," ",""),"−","-")))),"")</f>
        <v/>
      </c>
      <c r="CK4">
        <f>IF(ISNUMBER(CI4),IF(CI4&lt;$B$13,CI4,""),"")</f>
        <v/>
      </c>
      <c r="CM4">
        <f>IF(CH4="","",IFERROR(IF(IF(AND(LEN(CH4)=9,ISERROR(FIND("-",LEFT(CH4,8))),ISNUMBER(-LEFT(CH4,8))),VALUE(LEFT(CH4,4)),VALUE(LEFT(CH4,FIND("-",CH4)-1)))&lt;100,IF(AND(LEN(CH4)=9,ISERROR(FIND("-",LEFT(CH4,8))),ISNUMBER(-LEFT(CH4,8))),VALUE(LEFT(CH4,4)),VALUE(LEFT(CH4,FIND("-",CH4)-1)))+2000,IF(AND(LEN(CH4)=9,ISERROR(FIND("-",LEFT(CH4,8))),ISNUMBER(-LEFT(CH4,8))),VALUE(LEFT(CH4,4)),VALUE(LEFT(CH4,FIND("-",CH4)-1)))),""))</f>
        <v/>
      </c>
      <c r="CN4">
        <f>IF(CH4="","",IFERROR(IF(AND(LEN(CH4)=9,ISERROR(FIND("-",LEFT(CH4,8))),ISNUMBER(-LEFT(CH4,8))),VALUE(MID(CH4,5,2)),VALUE(MID(CH4,FIND("-",CH4)+1,FIND("-",CH4,FIND("-",CH4)+1)-FIND("-",CH4)-1))),""))</f>
        <v/>
      </c>
      <c r="CO4">
        <f>IF(CH4="","",IFERROR(IF(AND(LEN(CH4)=9,ISERROR(FIND("-",LEFT(CH4,8))),ISNUMBER(-LEFT(CH4,8))),VALUE(MID(CH4,7,2)),VALUE(MID(CH4,FIND("-",CH4,FIND("-",CH4)+1)+1,FIND("-",CH4,FIND("-",CH4,FIND("-",CH4)+1)+1)-FIND("-",CH4,FIND("-",CH4)+1)-1))),""))</f>
        <v/>
      </c>
    </row>
    <row r="5">
      <c r="A5" t="inlineStr">
        <is>
          <t>기준 달</t>
        </is>
      </c>
      <c r="B5">
        <f>IF(B15=0,"",DATE(YEAR(IF(B14&gt;0,B14,B15)),MONTH(IF(B14&gt;0,B14,B15)),1))</f>
        <v/>
      </c>
      <c r="H5" t="inlineStr">
        <is>
          <t>의류·신발</t>
        </is>
      </c>
      <c r="CB5" t="n">
        <v>4</v>
      </c>
      <c r="CC5">
        <f>IF($B$1+CB5&gt;90,0,12*MAX(0,$B$6-IF($B$1+CB5&gt;=$B$23,$B$22,0))*(1+$B$4)^CB5/(1+$B$3)^(CB5-1))</f>
        <v/>
      </c>
      <c r="CE5">
        <f>IF($B$1+3&gt;90,NA(),$B$1+3)</f>
        <v/>
      </c>
      <c r="CF5">
        <f>IF(OR($B$21="",$B$1+3&gt;90),NA(),INDEX($C$40:$BU$90,$B$21-$B$1+1,4))</f>
        <v/>
      </c>
      <c r="CH5">
        <f>IF(ISTEXT('월 가계부'!A5),SUBSTITUTE(SUBSTITUTE(SUBSTITUTE(SUBSTITUTE(SUBSTITUTE(SUBSTITUTE(SUBSTITUTE(SUBSTITUTE(SUBSTITUTE(TRIM('월 가계부'!A5),"년","-"),"월","-"),"일",""),".","-"),"/","-")," ","-"),"--","-"),"--","-"),"--","-")&amp;"-","")</f>
        <v/>
      </c>
      <c r="CI5">
        <f>IFERROR(IF('월 가계부'!A5="","",IF(ISNUMBER('월 가계부'!A5),IF(AND('월 가계부'!A5&gt;=19000101,'월 가계부'!A5&lt;=21001231),IF(AND(MOD(INT('월 가계부'!A5/100),100)&gt;=1,MOD(INT('월 가계부'!A5/100),100)&lt;=12,MOD(INT('월 가계부'!A5),100)&gt;=1,MOD(INT('월 가계부'!A5),100)&lt;=31),IF(MONTH(DATE(INT('월 가계부'!A5/10000),MOD(INT('월 가계부'!A5/100),100),MOD(INT('월 가계부'!A5),100)))=MOD(INT('월 가계부'!A5/100),100),DATE(INT('월 가계부'!A5/10000),MOD(INT('월 가계부'!A5/100),100),MOD(INT('월 가계부'!A5),100)),""),""),IF(AND('월 가계부'!A5&gt;=36526,'월 가계부'!A5&lt;73051),INT('월 가계부'!A5),"")),IF(OR(CM5="",CN5="",CO5=""),"",IF(AND(CM5&gt;=2000,CM5&lt;=2099,CN5&gt;=1,CN5&lt;=12,CO5&gt;=1,CO5&lt;=31),IF(MONTH(DATE(CM5,CN5,CO5))=CN5,DATE(CM5,CN5,CO5),""),"")))),"")</f>
        <v/>
      </c>
      <c r="CJ5">
        <f>IFERROR(IF('월 가계부'!C5="","",IF(ISNUMBER('월 가계부'!C5),'월 가계부'!C5,VALUE(SUBSTITUTE(SUBSTITUTE(SUBSTITUTE(SUBSTITUTE(TRIM('월 가계부'!C5),",",""),"원","")," ",""),"−","-")))),"")</f>
        <v/>
      </c>
      <c r="CK5">
        <f>IF(ISNUMBER(CI5),IF(CI5&lt;$B$13,CI5,""),"")</f>
        <v/>
      </c>
      <c r="CM5">
        <f>IF(CH5="","",IFERROR(IF(IF(AND(LEN(CH5)=9,ISERROR(FIND("-",LEFT(CH5,8))),ISNUMBER(-LEFT(CH5,8))),VALUE(LEFT(CH5,4)),VALUE(LEFT(CH5,FIND("-",CH5)-1)))&lt;100,IF(AND(LEN(CH5)=9,ISERROR(FIND("-",LEFT(CH5,8))),ISNUMBER(-LEFT(CH5,8))),VALUE(LEFT(CH5,4)),VALUE(LEFT(CH5,FIND("-",CH5)-1)))+2000,IF(AND(LEN(CH5)=9,ISERROR(FIND("-",LEFT(CH5,8))),ISNUMBER(-LEFT(CH5,8))),VALUE(LEFT(CH5,4)),VALUE(LEFT(CH5,FIND("-",CH5)-1)))),""))</f>
        <v/>
      </c>
      <c r="CN5">
        <f>IF(CH5="","",IFERROR(IF(AND(LEN(CH5)=9,ISERROR(FIND("-",LEFT(CH5,8))),ISNUMBER(-LEFT(CH5,8))),VALUE(MID(CH5,5,2)),VALUE(MID(CH5,FIND("-",CH5)+1,FIND("-",CH5,FIND("-",CH5)+1)-FIND("-",CH5)-1))),""))</f>
        <v/>
      </c>
      <c r="CO5">
        <f>IF(CH5="","",IFERROR(IF(AND(LEN(CH5)=9,ISERROR(FIND("-",LEFT(CH5,8))),ISNUMBER(-LEFT(CH5,8))),VALUE(MID(CH5,7,2)),VALUE(MID(CH5,FIND("-",CH5,FIND("-",CH5)+1)+1,FIND("-",CH5,FIND("-",CH5,FIND("-",CH5)+1)+1)-FIND("-",CH5,FIND("-",CH5)+1)-1))),""))</f>
        <v/>
      </c>
    </row>
    <row r="6">
      <c r="A6" t="inlineStr">
        <is>
          <t>이번 달 지출</t>
        </is>
      </c>
      <c r="B6">
        <f>IF(B5="",0,N(INDEX('월 가계부'!$I$3:$I$14,12)))</f>
        <v/>
      </c>
      <c r="H6" t="inlineStr">
        <is>
          <t>주거·수도·광열</t>
        </is>
      </c>
      <c r="CB6" t="n">
        <v>5</v>
      </c>
      <c r="CC6">
        <f>IF($B$1+CB6&gt;90,0,12*MAX(0,$B$6-IF($B$1+CB6&gt;=$B$23,$B$22,0))*(1+$B$4)^CB6/(1+$B$3)^(CB6-1))</f>
        <v/>
      </c>
      <c r="CE6">
        <f>IF($B$1+4&gt;90,NA(),$B$1+4)</f>
        <v/>
      </c>
      <c r="CF6">
        <f>IF(OR($B$21="",$B$1+4&gt;90),NA(),INDEX($C$40:$BU$90,$B$21-$B$1+1,5))</f>
        <v/>
      </c>
      <c r="CH6">
        <f>IF(ISTEXT('월 가계부'!A6),SUBSTITUTE(SUBSTITUTE(SUBSTITUTE(SUBSTITUTE(SUBSTITUTE(SUBSTITUTE(SUBSTITUTE(SUBSTITUTE(SUBSTITUTE(TRIM('월 가계부'!A6),"년","-"),"월","-"),"일",""),".","-"),"/","-")," ","-"),"--","-"),"--","-"),"--","-")&amp;"-","")</f>
        <v/>
      </c>
      <c r="CI6">
        <f>IFERROR(IF('월 가계부'!A6="","",IF(ISNUMBER('월 가계부'!A6),IF(AND('월 가계부'!A6&gt;=19000101,'월 가계부'!A6&lt;=21001231),IF(AND(MOD(INT('월 가계부'!A6/100),100)&gt;=1,MOD(INT('월 가계부'!A6/100),100)&lt;=12,MOD(INT('월 가계부'!A6),100)&gt;=1,MOD(INT('월 가계부'!A6),100)&lt;=31),IF(MONTH(DATE(INT('월 가계부'!A6/10000),MOD(INT('월 가계부'!A6/100),100),MOD(INT('월 가계부'!A6),100)))=MOD(INT('월 가계부'!A6/100),100),DATE(INT('월 가계부'!A6/10000),MOD(INT('월 가계부'!A6/100),100),MOD(INT('월 가계부'!A6),100)),""),""),IF(AND('월 가계부'!A6&gt;=36526,'월 가계부'!A6&lt;73051),INT('월 가계부'!A6),"")),IF(OR(CM6="",CN6="",CO6=""),"",IF(AND(CM6&gt;=2000,CM6&lt;=2099,CN6&gt;=1,CN6&lt;=12,CO6&gt;=1,CO6&lt;=31),IF(MONTH(DATE(CM6,CN6,CO6))=CN6,DATE(CM6,CN6,CO6),""),"")))),"")</f>
        <v/>
      </c>
      <c r="CJ6">
        <f>IFERROR(IF('월 가계부'!C6="","",IF(ISNUMBER('월 가계부'!C6),'월 가계부'!C6,VALUE(SUBSTITUTE(SUBSTITUTE(SUBSTITUTE(SUBSTITUTE(TRIM('월 가계부'!C6),",",""),"원","")," ",""),"−","-")))),"")</f>
        <v/>
      </c>
      <c r="CK6">
        <f>IF(ISNUMBER(CI6),IF(CI6&lt;$B$13,CI6,""),"")</f>
        <v/>
      </c>
      <c r="CM6">
        <f>IF(CH6="","",IFERROR(IF(IF(AND(LEN(CH6)=9,ISERROR(FIND("-",LEFT(CH6,8))),ISNUMBER(-LEFT(CH6,8))),VALUE(LEFT(CH6,4)),VALUE(LEFT(CH6,FIND("-",CH6)-1)))&lt;100,IF(AND(LEN(CH6)=9,ISERROR(FIND("-",LEFT(CH6,8))),ISNUMBER(-LEFT(CH6,8))),VALUE(LEFT(CH6,4)),VALUE(LEFT(CH6,FIND("-",CH6)-1)))+2000,IF(AND(LEN(CH6)=9,ISERROR(FIND("-",LEFT(CH6,8))),ISNUMBER(-LEFT(CH6,8))),VALUE(LEFT(CH6,4)),VALUE(LEFT(CH6,FIND("-",CH6)-1)))),""))</f>
        <v/>
      </c>
      <c r="CN6">
        <f>IF(CH6="","",IFERROR(IF(AND(LEN(CH6)=9,ISERROR(FIND("-",LEFT(CH6,8))),ISNUMBER(-LEFT(CH6,8))),VALUE(MID(CH6,5,2)),VALUE(MID(CH6,FIND("-",CH6)+1,FIND("-",CH6,FIND("-",CH6)+1)-FIND("-",CH6)-1))),""))</f>
        <v/>
      </c>
      <c r="CO6">
        <f>IF(CH6="","",IFERROR(IF(AND(LEN(CH6)=9,ISERROR(FIND("-",LEFT(CH6,8))),ISNUMBER(-LEFT(CH6,8))),VALUE(MID(CH6,7,2)),VALUE(MID(CH6,FIND("-",CH6,FIND("-",CH6)+1)+1,FIND("-",CH6,FIND("-",CH6,FIND("-",CH6)+1)+1)-FIND("-",CH6,FIND("-",CH6)+1)-1))),""))</f>
        <v/>
      </c>
    </row>
    <row r="7">
      <c r="A7" t="inlineStr">
        <is>
          <t>이번 달 저축</t>
        </is>
      </c>
      <c r="B7">
        <f>IF(B5="",0,N(INDEX('월 가계부'!$J$3:$J$14,12)))</f>
        <v/>
      </c>
      <c r="H7" t="inlineStr">
        <is>
          <t>가정용품·가사서비스</t>
        </is>
      </c>
      <c r="CB7" t="n">
        <v>6</v>
      </c>
      <c r="CC7">
        <f>IF($B$1+CB7&gt;90,0,12*MAX(0,$B$6-IF($B$1+CB7&gt;=$B$23,$B$22,0))*(1+$B$4)^CB7/(1+$B$3)^(CB7-1))</f>
        <v/>
      </c>
      <c r="CE7">
        <f>IF($B$1+5&gt;90,NA(),$B$1+5)</f>
        <v/>
      </c>
      <c r="CF7">
        <f>IF(OR($B$21="",$B$1+5&gt;90),NA(),INDEX($C$40:$BU$90,$B$21-$B$1+1,6))</f>
        <v/>
      </c>
      <c r="CH7">
        <f>IF(ISTEXT('월 가계부'!A7),SUBSTITUTE(SUBSTITUTE(SUBSTITUTE(SUBSTITUTE(SUBSTITUTE(SUBSTITUTE(SUBSTITUTE(SUBSTITUTE(SUBSTITUTE(TRIM('월 가계부'!A7),"년","-"),"월","-"),"일",""),".","-"),"/","-")," ","-"),"--","-"),"--","-"),"--","-")&amp;"-","")</f>
        <v/>
      </c>
      <c r="CI7">
        <f>IFERROR(IF('월 가계부'!A7="","",IF(ISNUMBER('월 가계부'!A7),IF(AND('월 가계부'!A7&gt;=19000101,'월 가계부'!A7&lt;=21001231),IF(AND(MOD(INT('월 가계부'!A7/100),100)&gt;=1,MOD(INT('월 가계부'!A7/100),100)&lt;=12,MOD(INT('월 가계부'!A7),100)&gt;=1,MOD(INT('월 가계부'!A7),100)&lt;=31),IF(MONTH(DATE(INT('월 가계부'!A7/10000),MOD(INT('월 가계부'!A7/100),100),MOD(INT('월 가계부'!A7),100)))=MOD(INT('월 가계부'!A7/100),100),DATE(INT('월 가계부'!A7/10000),MOD(INT('월 가계부'!A7/100),100),MOD(INT('월 가계부'!A7),100)),""),""),IF(AND('월 가계부'!A7&gt;=36526,'월 가계부'!A7&lt;73051),INT('월 가계부'!A7),"")),IF(OR(CM7="",CN7="",CO7=""),"",IF(AND(CM7&gt;=2000,CM7&lt;=2099,CN7&gt;=1,CN7&lt;=12,CO7&gt;=1,CO7&lt;=31),IF(MONTH(DATE(CM7,CN7,CO7))=CN7,DATE(CM7,CN7,CO7),""),"")))),"")</f>
        <v/>
      </c>
      <c r="CJ7">
        <f>IFERROR(IF('월 가계부'!C7="","",IF(ISNUMBER('월 가계부'!C7),'월 가계부'!C7,VALUE(SUBSTITUTE(SUBSTITUTE(SUBSTITUTE(SUBSTITUTE(TRIM('월 가계부'!C7),",",""),"원","")," ",""),"−","-")))),"")</f>
        <v/>
      </c>
      <c r="CK7">
        <f>IF(ISNUMBER(CI7),IF(CI7&lt;$B$13,CI7,""),"")</f>
        <v/>
      </c>
      <c r="CM7">
        <f>IF(CH7="","",IFERROR(IF(IF(AND(LEN(CH7)=9,ISERROR(FIND("-",LEFT(CH7,8))),ISNUMBER(-LEFT(CH7,8))),VALUE(LEFT(CH7,4)),VALUE(LEFT(CH7,FIND("-",CH7)-1)))&lt;100,IF(AND(LEN(CH7)=9,ISERROR(FIND("-",LEFT(CH7,8))),ISNUMBER(-LEFT(CH7,8))),VALUE(LEFT(CH7,4)),VALUE(LEFT(CH7,FIND("-",CH7)-1)))+2000,IF(AND(LEN(CH7)=9,ISERROR(FIND("-",LEFT(CH7,8))),ISNUMBER(-LEFT(CH7,8))),VALUE(LEFT(CH7,4)),VALUE(LEFT(CH7,FIND("-",CH7)-1)))),""))</f>
        <v/>
      </c>
      <c r="CN7">
        <f>IF(CH7="","",IFERROR(IF(AND(LEN(CH7)=9,ISERROR(FIND("-",LEFT(CH7,8))),ISNUMBER(-LEFT(CH7,8))),VALUE(MID(CH7,5,2)),VALUE(MID(CH7,FIND("-",CH7)+1,FIND("-",CH7,FIND("-",CH7)+1)-FIND("-",CH7)-1))),""))</f>
        <v/>
      </c>
      <c r="CO7">
        <f>IF(CH7="","",IFERROR(IF(AND(LEN(CH7)=9,ISERROR(FIND("-",LEFT(CH7,8))),ISNUMBER(-LEFT(CH7,8))),VALUE(MID(CH7,7,2)),VALUE(MID(CH7,FIND("-",CH7,FIND("-",CH7)+1)+1,FIND("-",CH7,FIND("-",CH7,FIND("-",CH7)+1)+1)-FIND("-",CH7,FIND("-",CH7)+1)-1))),""))</f>
        <v/>
      </c>
    </row>
    <row r="8">
      <c r="A8" t="inlineStr">
        <is>
          <t>지난달 지출</t>
        </is>
      </c>
      <c r="B8">
        <f>IF(B5="",0,N(INDEX('월 가계부'!$I$3:$I$14,11)))</f>
        <v/>
      </c>
      <c r="H8" t="inlineStr">
        <is>
          <t>보건</t>
        </is>
      </c>
      <c r="CB8" t="n">
        <v>7</v>
      </c>
      <c r="CC8">
        <f>IF($B$1+CB8&gt;90,0,12*MAX(0,$B$6-IF($B$1+CB8&gt;=$B$23,$B$22,0))*(1+$B$4)^CB8/(1+$B$3)^(CB8-1))</f>
        <v/>
      </c>
      <c r="CE8">
        <f>IF($B$1+6&gt;90,NA(),$B$1+6)</f>
        <v/>
      </c>
      <c r="CF8">
        <f>IF(OR($B$21="",$B$1+6&gt;90),NA(),INDEX($C$40:$BU$90,$B$21-$B$1+1,7))</f>
        <v/>
      </c>
      <c r="CH8">
        <f>IF(ISTEXT('월 가계부'!A8),SUBSTITUTE(SUBSTITUTE(SUBSTITUTE(SUBSTITUTE(SUBSTITUTE(SUBSTITUTE(SUBSTITUTE(SUBSTITUTE(SUBSTITUTE(TRIM('월 가계부'!A8),"년","-"),"월","-"),"일",""),".","-"),"/","-")," ","-"),"--","-"),"--","-"),"--","-")&amp;"-","")</f>
        <v/>
      </c>
      <c r="CI8">
        <f>IFERROR(IF('월 가계부'!A8="","",IF(ISNUMBER('월 가계부'!A8),IF(AND('월 가계부'!A8&gt;=19000101,'월 가계부'!A8&lt;=21001231),IF(AND(MOD(INT('월 가계부'!A8/100),100)&gt;=1,MOD(INT('월 가계부'!A8/100),100)&lt;=12,MOD(INT('월 가계부'!A8),100)&gt;=1,MOD(INT('월 가계부'!A8),100)&lt;=31),IF(MONTH(DATE(INT('월 가계부'!A8/10000),MOD(INT('월 가계부'!A8/100),100),MOD(INT('월 가계부'!A8),100)))=MOD(INT('월 가계부'!A8/100),100),DATE(INT('월 가계부'!A8/10000),MOD(INT('월 가계부'!A8/100),100),MOD(INT('월 가계부'!A8),100)),""),""),IF(AND('월 가계부'!A8&gt;=36526,'월 가계부'!A8&lt;73051),INT('월 가계부'!A8),"")),IF(OR(CM8="",CN8="",CO8=""),"",IF(AND(CM8&gt;=2000,CM8&lt;=2099,CN8&gt;=1,CN8&lt;=12,CO8&gt;=1,CO8&lt;=31),IF(MONTH(DATE(CM8,CN8,CO8))=CN8,DATE(CM8,CN8,CO8),""),"")))),"")</f>
        <v/>
      </c>
      <c r="CJ8">
        <f>IFERROR(IF('월 가계부'!C8="","",IF(ISNUMBER('월 가계부'!C8),'월 가계부'!C8,VALUE(SUBSTITUTE(SUBSTITUTE(SUBSTITUTE(SUBSTITUTE(TRIM('월 가계부'!C8),",",""),"원","")," ",""),"−","-")))),"")</f>
        <v/>
      </c>
      <c r="CK8">
        <f>IF(ISNUMBER(CI8),IF(CI8&lt;$B$13,CI8,""),"")</f>
        <v/>
      </c>
      <c r="CM8">
        <f>IF(CH8="","",IFERROR(IF(IF(AND(LEN(CH8)=9,ISERROR(FIND("-",LEFT(CH8,8))),ISNUMBER(-LEFT(CH8,8))),VALUE(LEFT(CH8,4)),VALUE(LEFT(CH8,FIND("-",CH8)-1)))&lt;100,IF(AND(LEN(CH8)=9,ISERROR(FIND("-",LEFT(CH8,8))),ISNUMBER(-LEFT(CH8,8))),VALUE(LEFT(CH8,4)),VALUE(LEFT(CH8,FIND("-",CH8)-1)))+2000,IF(AND(LEN(CH8)=9,ISERROR(FIND("-",LEFT(CH8,8))),ISNUMBER(-LEFT(CH8,8))),VALUE(LEFT(CH8,4)),VALUE(LEFT(CH8,FIND("-",CH8)-1)))),""))</f>
        <v/>
      </c>
      <c r="CN8">
        <f>IF(CH8="","",IFERROR(IF(AND(LEN(CH8)=9,ISERROR(FIND("-",LEFT(CH8,8))),ISNUMBER(-LEFT(CH8,8))),VALUE(MID(CH8,5,2)),VALUE(MID(CH8,FIND("-",CH8)+1,FIND("-",CH8,FIND("-",CH8)+1)-FIND("-",CH8)-1))),""))</f>
        <v/>
      </c>
      <c r="CO8">
        <f>IF(CH8="","",IFERROR(IF(AND(LEN(CH8)=9,ISERROR(FIND("-",LEFT(CH8,8))),ISNUMBER(-LEFT(CH8,8))),VALUE(MID(CH8,7,2)),VALUE(MID(CH8,FIND("-",CH8,FIND("-",CH8)+1)+1,FIND("-",CH8,FIND("-",CH8,FIND("-",CH8)+1)+1)-FIND("-",CH8,FIND("-",CH8)+1)-1))),""))</f>
        <v/>
      </c>
    </row>
    <row r="9">
      <c r="A9" t="inlineStr">
        <is>
          <t>지난달 저축</t>
        </is>
      </c>
      <c r="B9">
        <f>IF(B5="",0,N(INDEX('월 가계부'!$J$3:$J$14,11)))</f>
        <v/>
      </c>
      <c r="H9" t="inlineStr">
        <is>
          <t>교통</t>
        </is>
      </c>
      <c r="CB9" t="n">
        <v>8</v>
      </c>
      <c r="CC9">
        <f>IF($B$1+CB9&gt;90,0,12*MAX(0,$B$6-IF($B$1+CB9&gt;=$B$23,$B$22,0))*(1+$B$4)^CB9/(1+$B$3)^(CB9-1))</f>
        <v/>
      </c>
      <c r="CE9">
        <f>IF($B$1+7&gt;90,NA(),$B$1+7)</f>
        <v/>
      </c>
      <c r="CF9">
        <f>IF(OR($B$21="",$B$1+7&gt;90),NA(),INDEX($C$40:$BU$90,$B$21-$B$1+1,8))</f>
        <v/>
      </c>
      <c r="CH9">
        <f>IF(ISTEXT('월 가계부'!A9),SUBSTITUTE(SUBSTITUTE(SUBSTITUTE(SUBSTITUTE(SUBSTITUTE(SUBSTITUTE(SUBSTITUTE(SUBSTITUTE(SUBSTITUTE(TRIM('월 가계부'!A9),"년","-"),"월","-"),"일",""),".","-"),"/","-")," ","-"),"--","-"),"--","-"),"--","-")&amp;"-","")</f>
        <v/>
      </c>
      <c r="CI9">
        <f>IFERROR(IF('월 가계부'!A9="","",IF(ISNUMBER('월 가계부'!A9),IF(AND('월 가계부'!A9&gt;=19000101,'월 가계부'!A9&lt;=21001231),IF(AND(MOD(INT('월 가계부'!A9/100),100)&gt;=1,MOD(INT('월 가계부'!A9/100),100)&lt;=12,MOD(INT('월 가계부'!A9),100)&gt;=1,MOD(INT('월 가계부'!A9),100)&lt;=31),IF(MONTH(DATE(INT('월 가계부'!A9/10000),MOD(INT('월 가계부'!A9/100),100),MOD(INT('월 가계부'!A9),100)))=MOD(INT('월 가계부'!A9/100),100),DATE(INT('월 가계부'!A9/10000),MOD(INT('월 가계부'!A9/100),100),MOD(INT('월 가계부'!A9),100)),""),""),IF(AND('월 가계부'!A9&gt;=36526,'월 가계부'!A9&lt;73051),INT('월 가계부'!A9),"")),IF(OR(CM9="",CN9="",CO9=""),"",IF(AND(CM9&gt;=2000,CM9&lt;=2099,CN9&gt;=1,CN9&lt;=12,CO9&gt;=1,CO9&lt;=31),IF(MONTH(DATE(CM9,CN9,CO9))=CN9,DATE(CM9,CN9,CO9),""),"")))),"")</f>
        <v/>
      </c>
      <c r="CJ9">
        <f>IFERROR(IF('월 가계부'!C9="","",IF(ISNUMBER('월 가계부'!C9),'월 가계부'!C9,VALUE(SUBSTITUTE(SUBSTITUTE(SUBSTITUTE(SUBSTITUTE(TRIM('월 가계부'!C9),",",""),"원","")," ",""),"−","-")))),"")</f>
        <v/>
      </c>
      <c r="CK9">
        <f>IF(ISNUMBER(CI9),IF(CI9&lt;$B$13,CI9,""),"")</f>
        <v/>
      </c>
      <c r="CM9">
        <f>IF(CH9="","",IFERROR(IF(IF(AND(LEN(CH9)=9,ISERROR(FIND("-",LEFT(CH9,8))),ISNUMBER(-LEFT(CH9,8))),VALUE(LEFT(CH9,4)),VALUE(LEFT(CH9,FIND("-",CH9)-1)))&lt;100,IF(AND(LEN(CH9)=9,ISERROR(FIND("-",LEFT(CH9,8))),ISNUMBER(-LEFT(CH9,8))),VALUE(LEFT(CH9,4)),VALUE(LEFT(CH9,FIND("-",CH9)-1)))+2000,IF(AND(LEN(CH9)=9,ISERROR(FIND("-",LEFT(CH9,8))),ISNUMBER(-LEFT(CH9,8))),VALUE(LEFT(CH9,4)),VALUE(LEFT(CH9,FIND("-",CH9)-1)))),""))</f>
        <v/>
      </c>
      <c r="CN9">
        <f>IF(CH9="","",IFERROR(IF(AND(LEN(CH9)=9,ISERROR(FIND("-",LEFT(CH9,8))),ISNUMBER(-LEFT(CH9,8))),VALUE(MID(CH9,5,2)),VALUE(MID(CH9,FIND("-",CH9)+1,FIND("-",CH9,FIND("-",CH9)+1)-FIND("-",CH9)-1))),""))</f>
        <v/>
      </c>
      <c r="CO9">
        <f>IF(CH9="","",IFERROR(IF(AND(LEN(CH9)=9,ISERROR(FIND("-",LEFT(CH9,8))),ISNUMBER(-LEFT(CH9,8))),VALUE(MID(CH9,7,2)),VALUE(MID(CH9,FIND("-",CH9,FIND("-",CH9)+1)+1,FIND("-",CH9,FIND("-",CH9,FIND("-",CH9)+1)+1)-FIND("-",CH9,FIND("-",CH9)+1)-1))),""))</f>
        <v/>
      </c>
    </row>
    <row r="10">
      <c r="A10" t="inlineStr">
        <is>
          <t>기울기 증가분</t>
        </is>
      </c>
      <c r="B10" t="n">
        <v>100000</v>
      </c>
      <c r="H10" t="inlineStr">
        <is>
          <t>통신</t>
        </is>
      </c>
      <c r="CB10" t="n">
        <v>9</v>
      </c>
      <c r="CC10">
        <f>IF($B$1+CB10&gt;90,0,12*MAX(0,$B$6-IF($B$1+CB10&gt;=$B$23,$B$22,0))*(1+$B$4)^CB10/(1+$B$3)^(CB10-1))</f>
        <v/>
      </c>
      <c r="CE10">
        <f>IF($B$1+8&gt;90,NA(),$B$1+8)</f>
        <v/>
      </c>
      <c r="CF10">
        <f>IF(OR($B$21="",$B$1+8&gt;90),NA(),INDEX($C$40:$BU$90,$B$21-$B$1+1,9))</f>
        <v/>
      </c>
      <c r="CH10">
        <f>IF(ISTEXT('월 가계부'!A10),SUBSTITUTE(SUBSTITUTE(SUBSTITUTE(SUBSTITUTE(SUBSTITUTE(SUBSTITUTE(SUBSTITUTE(SUBSTITUTE(SUBSTITUTE(TRIM('월 가계부'!A10),"년","-"),"월","-"),"일",""),".","-"),"/","-")," ","-"),"--","-"),"--","-"),"--","-")&amp;"-","")</f>
        <v/>
      </c>
      <c r="CI10">
        <f>IFERROR(IF('월 가계부'!A10="","",IF(ISNUMBER('월 가계부'!A10),IF(AND('월 가계부'!A10&gt;=19000101,'월 가계부'!A10&lt;=21001231),IF(AND(MOD(INT('월 가계부'!A10/100),100)&gt;=1,MOD(INT('월 가계부'!A10/100),100)&lt;=12,MOD(INT('월 가계부'!A10),100)&gt;=1,MOD(INT('월 가계부'!A10),100)&lt;=31),IF(MONTH(DATE(INT('월 가계부'!A10/10000),MOD(INT('월 가계부'!A10/100),100),MOD(INT('월 가계부'!A10),100)))=MOD(INT('월 가계부'!A10/100),100),DATE(INT('월 가계부'!A10/10000),MOD(INT('월 가계부'!A10/100),100),MOD(INT('월 가계부'!A10),100)),""),""),IF(AND('월 가계부'!A10&gt;=36526,'월 가계부'!A10&lt;73051),INT('월 가계부'!A10),"")),IF(OR(CM10="",CN10="",CO10=""),"",IF(AND(CM10&gt;=2000,CM10&lt;=2099,CN10&gt;=1,CN10&lt;=12,CO10&gt;=1,CO10&lt;=31),IF(MONTH(DATE(CM10,CN10,CO10))=CN10,DATE(CM10,CN10,CO10),""),"")))),"")</f>
        <v/>
      </c>
      <c r="CJ10">
        <f>IFERROR(IF('월 가계부'!C10="","",IF(ISNUMBER('월 가계부'!C10),'월 가계부'!C10,VALUE(SUBSTITUTE(SUBSTITUTE(SUBSTITUTE(SUBSTITUTE(TRIM('월 가계부'!C10),",",""),"원","")," ",""),"−","-")))),"")</f>
        <v/>
      </c>
      <c r="CK10">
        <f>IF(ISNUMBER(CI10),IF(CI10&lt;$B$13,CI10,""),"")</f>
        <v/>
      </c>
      <c r="CM10">
        <f>IF(CH10="","",IFERROR(IF(IF(AND(LEN(CH10)=9,ISERROR(FIND("-",LEFT(CH10,8))),ISNUMBER(-LEFT(CH10,8))),VALUE(LEFT(CH10,4)),VALUE(LEFT(CH10,FIND("-",CH10)-1)))&lt;100,IF(AND(LEN(CH10)=9,ISERROR(FIND("-",LEFT(CH10,8))),ISNUMBER(-LEFT(CH10,8))),VALUE(LEFT(CH10,4)),VALUE(LEFT(CH10,FIND("-",CH10)-1)))+2000,IF(AND(LEN(CH10)=9,ISERROR(FIND("-",LEFT(CH10,8))),ISNUMBER(-LEFT(CH10,8))),VALUE(LEFT(CH10,4)),VALUE(LEFT(CH10,FIND("-",CH10)-1)))),""))</f>
        <v/>
      </c>
      <c r="CN10">
        <f>IF(CH10="","",IFERROR(IF(AND(LEN(CH10)=9,ISERROR(FIND("-",LEFT(CH10,8))),ISNUMBER(-LEFT(CH10,8))),VALUE(MID(CH10,5,2)),VALUE(MID(CH10,FIND("-",CH10)+1,FIND("-",CH10,FIND("-",CH10)+1)-FIND("-",CH10)-1))),""))</f>
        <v/>
      </c>
      <c r="CO10">
        <f>IF(CH10="","",IFERROR(IF(AND(LEN(CH10)=9,ISERROR(FIND("-",LEFT(CH10,8))),ISNUMBER(-LEFT(CH10,8))),VALUE(MID(CH10,7,2)),VALUE(MID(CH10,FIND("-",CH10,FIND("-",CH10)+1)+1,FIND("-",CH10,FIND("-",CH10,FIND("-",CH10)+1)+1)-FIND("-",CH10,FIND("-",CH10)+1)-1))),""))</f>
        <v/>
      </c>
    </row>
    <row r="11">
      <c r="H11" t="inlineStr">
        <is>
          <t>오락·문화</t>
        </is>
      </c>
      <c r="CB11" t="n">
        <v>10</v>
      </c>
      <c r="CC11">
        <f>IF($B$1+CB11&gt;90,0,12*MAX(0,$B$6-IF($B$1+CB11&gt;=$B$23,$B$22,0))*(1+$B$4)^CB11/(1+$B$3)^(CB11-1))</f>
        <v/>
      </c>
      <c r="CE11">
        <f>IF($B$1+9&gt;90,NA(),$B$1+9)</f>
        <v/>
      </c>
      <c r="CF11">
        <f>IF(OR($B$21="",$B$1+9&gt;90),NA(),INDEX($C$40:$BU$90,$B$21-$B$1+1,10))</f>
        <v/>
      </c>
      <c r="CH11">
        <f>IF(ISTEXT('월 가계부'!A11),SUBSTITUTE(SUBSTITUTE(SUBSTITUTE(SUBSTITUTE(SUBSTITUTE(SUBSTITUTE(SUBSTITUTE(SUBSTITUTE(SUBSTITUTE(TRIM('월 가계부'!A11),"년","-"),"월","-"),"일",""),".","-"),"/","-")," ","-"),"--","-"),"--","-"),"--","-")&amp;"-","")</f>
        <v/>
      </c>
      <c r="CI11">
        <f>IFERROR(IF('월 가계부'!A11="","",IF(ISNUMBER('월 가계부'!A11),IF(AND('월 가계부'!A11&gt;=19000101,'월 가계부'!A11&lt;=21001231),IF(AND(MOD(INT('월 가계부'!A11/100),100)&gt;=1,MOD(INT('월 가계부'!A11/100),100)&lt;=12,MOD(INT('월 가계부'!A11),100)&gt;=1,MOD(INT('월 가계부'!A11),100)&lt;=31),IF(MONTH(DATE(INT('월 가계부'!A11/10000),MOD(INT('월 가계부'!A11/100),100),MOD(INT('월 가계부'!A11),100)))=MOD(INT('월 가계부'!A11/100),100),DATE(INT('월 가계부'!A11/10000),MOD(INT('월 가계부'!A11/100),100),MOD(INT('월 가계부'!A11),100)),""),""),IF(AND('월 가계부'!A11&gt;=36526,'월 가계부'!A11&lt;73051),INT('월 가계부'!A11),"")),IF(OR(CM11="",CN11="",CO11=""),"",IF(AND(CM11&gt;=2000,CM11&lt;=2099,CN11&gt;=1,CN11&lt;=12,CO11&gt;=1,CO11&lt;=31),IF(MONTH(DATE(CM11,CN11,CO11))=CN11,DATE(CM11,CN11,CO11),""),"")))),"")</f>
        <v/>
      </c>
      <c r="CJ11">
        <f>IFERROR(IF('월 가계부'!C11="","",IF(ISNUMBER('월 가계부'!C11),'월 가계부'!C11,VALUE(SUBSTITUTE(SUBSTITUTE(SUBSTITUTE(SUBSTITUTE(TRIM('월 가계부'!C11),",",""),"원","")," ",""),"−","-")))),"")</f>
        <v/>
      </c>
      <c r="CK11">
        <f>IF(ISNUMBER(CI11),IF(CI11&lt;$B$13,CI11,""),"")</f>
        <v/>
      </c>
      <c r="CM11">
        <f>IF(CH11="","",IFERROR(IF(IF(AND(LEN(CH11)=9,ISERROR(FIND("-",LEFT(CH11,8))),ISNUMBER(-LEFT(CH11,8))),VALUE(LEFT(CH11,4)),VALUE(LEFT(CH11,FIND("-",CH11)-1)))&lt;100,IF(AND(LEN(CH11)=9,ISERROR(FIND("-",LEFT(CH11,8))),ISNUMBER(-LEFT(CH11,8))),VALUE(LEFT(CH11,4)),VALUE(LEFT(CH11,FIND("-",CH11)-1)))+2000,IF(AND(LEN(CH11)=9,ISERROR(FIND("-",LEFT(CH11,8))),ISNUMBER(-LEFT(CH11,8))),VALUE(LEFT(CH11,4)),VALUE(LEFT(CH11,FIND("-",CH11)-1)))),""))</f>
        <v/>
      </c>
      <c r="CN11">
        <f>IF(CH11="","",IFERROR(IF(AND(LEN(CH11)=9,ISERROR(FIND("-",LEFT(CH11,8))),ISNUMBER(-LEFT(CH11,8))),VALUE(MID(CH11,5,2)),VALUE(MID(CH11,FIND("-",CH11)+1,FIND("-",CH11,FIND("-",CH11)+1)-FIND("-",CH11)-1))),""))</f>
        <v/>
      </c>
      <c r="CO11">
        <f>IF(CH11="","",IFERROR(IF(AND(LEN(CH11)=9,ISERROR(FIND("-",LEFT(CH11,8))),ISNUMBER(-LEFT(CH11,8))),VALUE(MID(CH11,7,2)),VALUE(MID(CH11,FIND("-",CH11,FIND("-",CH11)+1)+1,FIND("-",CH11,FIND("-",CH11,FIND("-",CH11)+1)+1)-FIND("-",CH11,FIND("-",CH11)+1)-1))),""))</f>
        <v/>
      </c>
    </row>
    <row r="12">
      <c r="H12" t="inlineStr">
        <is>
          <t>교육</t>
        </is>
      </c>
      <c r="CB12" t="n">
        <v>11</v>
      </c>
      <c r="CC12">
        <f>IF($B$1+CB12&gt;90,0,12*MAX(0,$B$6-IF($B$1+CB12&gt;=$B$23,$B$22,0))*(1+$B$4)^CB12/(1+$B$3)^(CB12-1))</f>
        <v/>
      </c>
      <c r="CE12">
        <f>IF($B$1+10&gt;90,NA(),$B$1+10)</f>
        <v/>
      </c>
      <c r="CF12">
        <f>IF(OR($B$21="",$B$1+10&gt;90),NA(),INDEX($C$40:$BU$90,$B$21-$B$1+1,11))</f>
        <v/>
      </c>
      <c r="CH12">
        <f>IF(ISTEXT('월 가계부'!A12),SUBSTITUTE(SUBSTITUTE(SUBSTITUTE(SUBSTITUTE(SUBSTITUTE(SUBSTITUTE(SUBSTITUTE(SUBSTITUTE(SUBSTITUTE(TRIM('월 가계부'!A12),"년","-"),"월","-"),"일",""),".","-"),"/","-")," ","-"),"--","-"),"--","-"),"--","-")&amp;"-","")</f>
        <v/>
      </c>
      <c r="CI12">
        <f>IFERROR(IF('월 가계부'!A12="","",IF(ISNUMBER('월 가계부'!A12),IF(AND('월 가계부'!A12&gt;=19000101,'월 가계부'!A12&lt;=21001231),IF(AND(MOD(INT('월 가계부'!A12/100),100)&gt;=1,MOD(INT('월 가계부'!A12/100),100)&lt;=12,MOD(INT('월 가계부'!A12),100)&gt;=1,MOD(INT('월 가계부'!A12),100)&lt;=31),IF(MONTH(DATE(INT('월 가계부'!A12/10000),MOD(INT('월 가계부'!A12/100),100),MOD(INT('월 가계부'!A12),100)))=MOD(INT('월 가계부'!A12/100),100),DATE(INT('월 가계부'!A12/10000),MOD(INT('월 가계부'!A12/100),100),MOD(INT('월 가계부'!A12),100)),""),""),IF(AND('월 가계부'!A12&gt;=36526,'월 가계부'!A12&lt;73051),INT('월 가계부'!A12),"")),IF(OR(CM12="",CN12="",CO12=""),"",IF(AND(CM12&gt;=2000,CM12&lt;=2099,CN12&gt;=1,CN12&lt;=12,CO12&gt;=1,CO12&lt;=31),IF(MONTH(DATE(CM12,CN12,CO12))=CN12,DATE(CM12,CN12,CO12),""),"")))),"")</f>
        <v/>
      </c>
      <c r="CJ12">
        <f>IFERROR(IF('월 가계부'!C12="","",IF(ISNUMBER('월 가계부'!C12),'월 가계부'!C12,VALUE(SUBSTITUTE(SUBSTITUTE(SUBSTITUTE(SUBSTITUTE(TRIM('월 가계부'!C12),",",""),"원","")," ",""),"−","-")))),"")</f>
        <v/>
      </c>
      <c r="CK12">
        <f>IF(ISNUMBER(CI12),IF(CI12&lt;$B$13,CI12,""),"")</f>
        <v/>
      </c>
      <c r="CM12">
        <f>IF(CH12="","",IFERROR(IF(IF(AND(LEN(CH12)=9,ISERROR(FIND("-",LEFT(CH12,8))),ISNUMBER(-LEFT(CH12,8))),VALUE(LEFT(CH12,4)),VALUE(LEFT(CH12,FIND("-",CH12)-1)))&lt;100,IF(AND(LEN(CH12)=9,ISERROR(FIND("-",LEFT(CH12,8))),ISNUMBER(-LEFT(CH12,8))),VALUE(LEFT(CH12,4)),VALUE(LEFT(CH12,FIND("-",CH12)-1)))+2000,IF(AND(LEN(CH12)=9,ISERROR(FIND("-",LEFT(CH12,8))),ISNUMBER(-LEFT(CH12,8))),VALUE(LEFT(CH12,4)),VALUE(LEFT(CH12,FIND("-",CH12)-1)))),""))</f>
        <v/>
      </c>
      <c r="CN12">
        <f>IF(CH12="","",IFERROR(IF(AND(LEN(CH12)=9,ISERROR(FIND("-",LEFT(CH12,8))),ISNUMBER(-LEFT(CH12,8))),VALUE(MID(CH12,5,2)),VALUE(MID(CH12,FIND("-",CH12)+1,FIND("-",CH12,FIND("-",CH12)+1)-FIND("-",CH12)-1))),""))</f>
        <v/>
      </c>
      <c r="CO12">
        <f>IF(CH12="","",IFERROR(IF(AND(LEN(CH12)=9,ISERROR(FIND("-",LEFT(CH12,8))),ISNUMBER(-LEFT(CH12,8))),VALUE(MID(CH12,7,2)),VALUE(MID(CH12,FIND("-",CH12,FIND("-",CH12)+1)+1,FIND("-",CH12,FIND("-",CH12,FIND("-",CH12)+1)+1)-FIND("-",CH12,FIND("-",CH12)+1)-1))),""))</f>
        <v/>
      </c>
    </row>
    <row r="13">
      <c r="A13" t="inlineStr">
        <is>
          <t>이번 달 1일</t>
        </is>
      </c>
      <c r="B13">
        <f>DATE(YEAR(TODAY()),MONTH(TODAY()),1)</f>
        <v/>
      </c>
      <c r="H13" t="inlineStr">
        <is>
          <t>음식·숙박</t>
        </is>
      </c>
      <c r="CB13" t="n">
        <v>12</v>
      </c>
      <c r="CC13">
        <f>IF($B$1+CB13&gt;90,0,12*MAX(0,$B$6-IF($B$1+CB13&gt;=$B$23,$B$22,0))*(1+$B$4)^CB13/(1+$B$3)^(CB13-1))</f>
        <v/>
      </c>
      <c r="CE13">
        <f>IF($B$1+11&gt;90,NA(),$B$1+11)</f>
        <v/>
      </c>
      <c r="CF13">
        <f>IF(OR($B$21="",$B$1+11&gt;90),NA(),INDEX($C$40:$BU$90,$B$21-$B$1+1,12))</f>
        <v/>
      </c>
      <c r="CH13">
        <f>IF(ISTEXT('월 가계부'!A13),SUBSTITUTE(SUBSTITUTE(SUBSTITUTE(SUBSTITUTE(SUBSTITUTE(SUBSTITUTE(SUBSTITUTE(SUBSTITUTE(SUBSTITUTE(TRIM('월 가계부'!A13),"년","-"),"월","-"),"일",""),".","-"),"/","-")," ","-"),"--","-"),"--","-"),"--","-")&amp;"-","")</f>
        <v/>
      </c>
      <c r="CI13">
        <f>IFERROR(IF('월 가계부'!A13="","",IF(ISNUMBER('월 가계부'!A13),IF(AND('월 가계부'!A13&gt;=19000101,'월 가계부'!A13&lt;=21001231),IF(AND(MOD(INT('월 가계부'!A13/100),100)&gt;=1,MOD(INT('월 가계부'!A13/100),100)&lt;=12,MOD(INT('월 가계부'!A13),100)&gt;=1,MOD(INT('월 가계부'!A13),100)&lt;=31),IF(MONTH(DATE(INT('월 가계부'!A13/10000),MOD(INT('월 가계부'!A13/100),100),MOD(INT('월 가계부'!A13),100)))=MOD(INT('월 가계부'!A13/100),100),DATE(INT('월 가계부'!A13/10000),MOD(INT('월 가계부'!A13/100),100),MOD(INT('월 가계부'!A13),100)),""),""),IF(AND('월 가계부'!A13&gt;=36526,'월 가계부'!A13&lt;73051),INT('월 가계부'!A13),"")),IF(OR(CM13="",CN13="",CO13=""),"",IF(AND(CM13&gt;=2000,CM13&lt;=2099,CN13&gt;=1,CN13&lt;=12,CO13&gt;=1,CO13&lt;=31),IF(MONTH(DATE(CM13,CN13,CO13))=CN13,DATE(CM13,CN13,CO13),""),"")))),"")</f>
        <v/>
      </c>
      <c r="CJ13">
        <f>IFERROR(IF('월 가계부'!C13="","",IF(ISNUMBER('월 가계부'!C13),'월 가계부'!C13,VALUE(SUBSTITUTE(SUBSTITUTE(SUBSTITUTE(SUBSTITUTE(TRIM('월 가계부'!C13),",",""),"원","")," ",""),"−","-")))),"")</f>
        <v/>
      </c>
      <c r="CK13">
        <f>IF(ISNUMBER(CI13),IF(CI13&lt;$B$13,CI13,""),"")</f>
        <v/>
      </c>
      <c r="CM13">
        <f>IF(CH13="","",IFERROR(IF(IF(AND(LEN(CH13)=9,ISERROR(FIND("-",LEFT(CH13,8))),ISNUMBER(-LEFT(CH13,8))),VALUE(LEFT(CH13,4)),VALUE(LEFT(CH13,FIND("-",CH13)-1)))&lt;100,IF(AND(LEN(CH13)=9,ISERROR(FIND("-",LEFT(CH13,8))),ISNUMBER(-LEFT(CH13,8))),VALUE(LEFT(CH13,4)),VALUE(LEFT(CH13,FIND("-",CH13)-1)))+2000,IF(AND(LEN(CH13)=9,ISERROR(FIND("-",LEFT(CH13,8))),ISNUMBER(-LEFT(CH13,8))),VALUE(LEFT(CH13,4)),VALUE(LEFT(CH13,FIND("-",CH13)-1)))),""))</f>
        <v/>
      </c>
      <c r="CN13">
        <f>IF(CH13="","",IFERROR(IF(AND(LEN(CH13)=9,ISERROR(FIND("-",LEFT(CH13,8))),ISNUMBER(-LEFT(CH13,8))),VALUE(MID(CH13,5,2)),VALUE(MID(CH13,FIND("-",CH13)+1,FIND("-",CH13,FIND("-",CH13)+1)-FIND("-",CH13)-1))),""))</f>
        <v/>
      </c>
      <c r="CO13">
        <f>IF(CH13="","",IFERROR(IF(AND(LEN(CH13)=9,ISERROR(FIND("-",LEFT(CH13,8))),ISNUMBER(-LEFT(CH13,8))),VALUE(MID(CH13,7,2)),VALUE(MID(CH13,FIND("-",CH13,FIND("-",CH13)+1)+1,FIND("-",CH13,FIND("-",CH13,FIND("-",CH13)+1)+1)-FIND("-",CH13,FIND("-",CH13)+1)-1))),""))</f>
        <v/>
      </c>
    </row>
    <row r="14">
      <c r="A14" t="inlineStr">
        <is>
          <t>다 지난 달 마지막 날짜</t>
        </is>
      </c>
      <c r="B14">
        <f>MAX($CK$3:$CK$3002)</f>
        <v/>
      </c>
      <c r="H14" t="inlineStr">
        <is>
          <t>기타상품·서비스</t>
        </is>
      </c>
      <c r="CB14" t="n">
        <v>13</v>
      </c>
      <c r="CC14">
        <f>IF($B$1+CB14&gt;90,0,12*MAX(0,$B$6-IF($B$1+CB14&gt;=$B$23,$B$22,0))*(1+$B$4)^CB14/(1+$B$3)^(CB14-1))</f>
        <v/>
      </c>
      <c r="CE14">
        <f>IF($B$1+12&gt;90,NA(),$B$1+12)</f>
        <v/>
      </c>
      <c r="CF14">
        <f>IF(OR($B$21="",$B$1+12&gt;90),NA(),INDEX($C$40:$BU$90,$B$21-$B$1+1,13))</f>
        <v/>
      </c>
      <c r="CH14">
        <f>IF(ISTEXT('월 가계부'!A14),SUBSTITUTE(SUBSTITUTE(SUBSTITUTE(SUBSTITUTE(SUBSTITUTE(SUBSTITUTE(SUBSTITUTE(SUBSTITUTE(SUBSTITUTE(TRIM('월 가계부'!A14),"년","-"),"월","-"),"일",""),".","-"),"/","-")," ","-"),"--","-"),"--","-"),"--","-")&amp;"-","")</f>
        <v/>
      </c>
      <c r="CI14">
        <f>IFERROR(IF('월 가계부'!A14="","",IF(ISNUMBER('월 가계부'!A14),IF(AND('월 가계부'!A14&gt;=19000101,'월 가계부'!A14&lt;=21001231),IF(AND(MOD(INT('월 가계부'!A14/100),100)&gt;=1,MOD(INT('월 가계부'!A14/100),100)&lt;=12,MOD(INT('월 가계부'!A14),100)&gt;=1,MOD(INT('월 가계부'!A14),100)&lt;=31),IF(MONTH(DATE(INT('월 가계부'!A14/10000),MOD(INT('월 가계부'!A14/100),100),MOD(INT('월 가계부'!A14),100)))=MOD(INT('월 가계부'!A14/100),100),DATE(INT('월 가계부'!A14/10000),MOD(INT('월 가계부'!A14/100),100),MOD(INT('월 가계부'!A14),100)),""),""),IF(AND('월 가계부'!A14&gt;=36526,'월 가계부'!A14&lt;73051),INT('월 가계부'!A14),"")),IF(OR(CM14="",CN14="",CO14=""),"",IF(AND(CM14&gt;=2000,CM14&lt;=2099,CN14&gt;=1,CN14&lt;=12,CO14&gt;=1,CO14&lt;=31),IF(MONTH(DATE(CM14,CN14,CO14))=CN14,DATE(CM14,CN14,CO14),""),"")))),"")</f>
        <v/>
      </c>
      <c r="CJ14">
        <f>IFERROR(IF('월 가계부'!C14="","",IF(ISNUMBER('월 가계부'!C14),'월 가계부'!C14,VALUE(SUBSTITUTE(SUBSTITUTE(SUBSTITUTE(SUBSTITUTE(TRIM('월 가계부'!C14),",",""),"원","")," ",""),"−","-")))),"")</f>
        <v/>
      </c>
      <c r="CK14">
        <f>IF(ISNUMBER(CI14),IF(CI14&lt;$B$13,CI14,""),"")</f>
        <v/>
      </c>
      <c r="CM14">
        <f>IF(CH14="","",IFERROR(IF(IF(AND(LEN(CH14)=9,ISERROR(FIND("-",LEFT(CH14,8))),ISNUMBER(-LEFT(CH14,8))),VALUE(LEFT(CH14,4)),VALUE(LEFT(CH14,FIND("-",CH14)-1)))&lt;100,IF(AND(LEN(CH14)=9,ISERROR(FIND("-",LEFT(CH14,8))),ISNUMBER(-LEFT(CH14,8))),VALUE(LEFT(CH14,4)),VALUE(LEFT(CH14,FIND("-",CH14)-1)))+2000,IF(AND(LEN(CH14)=9,ISERROR(FIND("-",LEFT(CH14,8))),ISNUMBER(-LEFT(CH14,8))),VALUE(LEFT(CH14,4)),VALUE(LEFT(CH14,FIND("-",CH14)-1)))),""))</f>
        <v/>
      </c>
      <c r="CN14">
        <f>IF(CH14="","",IFERROR(IF(AND(LEN(CH14)=9,ISERROR(FIND("-",LEFT(CH14,8))),ISNUMBER(-LEFT(CH14,8))),VALUE(MID(CH14,5,2)),VALUE(MID(CH14,FIND("-",CH14)+1,FIND("-",CH14,FIND("-",CH14)+1)-FIND("-",CH14)-1))),""))</f>
        <v/>
      </c>
      <c r="CO14">
        <f>IF(CH14="","",IFERROR(IF(AND(LEN(CH14)=9,ISERROR(FIND("-",LEFT(CH14,8))),ISNUMBER(-LEFT(CH14,8))),VALUE(MID(CH14,7,2)),VALUE(MID(CH14,FIND("-",CH14,FIND("-",CH14)+1)+1,FIND("-",CH14,FIND("-",CH14,FIND("-",CH14)+1)+1)-FIND("-",CH14,FIND("-",CH14)+1)-1))),""))</f>
        <v/>
      </c>
    </row>
    <row r="15">
      <c r="A15" t="inlineStr">
        <is>
          <t>마지막 날짜</t>
        </is>
      </c>
      <c r="B15">
        <f>MAX($CI$3:$CI$3002)</f>
        <v/>
      </c>
      <c r="CB15" t="n">
        <v>14</v>
      </c>
      <c r="CC15">
        <f>IF($B$1+CB15&gt;90,0,12*MAX(0,$B$6-IF($B$1+CB15&gt;=$B$23,$B$22,0))*(1+$B$4)^CB15/(1+$B$3)^(CB15-1))</f>
        <v/>
      </c>
      <c r="CE15">
        <f>IF($B$1+13&gt;90,NA(),$B$1+13)</f>
        <v/>
      </c>
      <c r="CF15">
        <f>IF(OR($B$21="",$B$1+13&gt;90),NA(),INDEX($C$40:$BU$90,$B$21-$B$1+1,14))</f>
        <v/>
      </c>
      <c r="CH15">
        <f>IF(ISTEXT('월 가계부'!A15),SUBSTITUTE(SUBSTITUTE(SUBSTITUTE(SUBSTITUTE(SUBSTITUTE(SUBSTITUTE(SUBSTITUTE(SUBSTITUTE(SUBSTITUTE(TRIM('월 가계부'!A15),"년","-"),"월","-"),"일",""),".","-"),"/","-")," ","-"),"--","-"),"--","-"),"--","-")&amp;"-","")</f>
        <v/>
      </c>
      <c r="CI15">
        <f>IFERROR(IF('월 가계부'!A15="","",IF(ISNUMBER('월 가계부'!A15),IF(AND('월 가계부'!A15&gt;=19000101,'월 가계부'!A15&lt;=21001231),IF(AND(MOD(INT('월 가계부'!A15/100),100)&gt;=1,MOD(INT('월 가계부'!A15/100),100)&lt;=12,MOD(INT('월 가계부'!A15),100)&gt;=1,MOD(INT('월 가계부'!A15),100)&lt;=31),IF(MONTH(DATE(INT('월 가계부'!A15/10000),MOD(INT('월 가계부'!A15/100),100),MOD(INT('월 가계부'!A15),100)))=MOD(INT('월 가계부'!A15/100),100),DATE(INT('월 가계부'!A15/10000),MOD(INT('월 가계부'!A15/100),100),MOD(INT('월 가계부'!A15),100)),""),""),IF(AND('월 가계부'!A15&gt;=36526,'월 가계부'!A15&lt;73051),INT('월 가계부'!A15),"")),IF(OR(CM15="",CN15="",CO15=""),"",IF(AND(CM15&gt;=2000,CM15&lt;=2099,CN15&gt;=1,CN15&lt;=12,CO15&gt;=1,CO15&lt;=31),IF(MONTH(DATE(CM15,CN15,CO15))=CN15,DATE(CM15,CN15,CO15),""),"")))),"")</f>
        <v/>
      </c>
      <c r="CJ15">
        <f>IFERROR(IF('월 가계부'!C15="","",IF(ISNUMBER('월 가계부'!C15),'월 가계부'!C15,VALUE(SUBSTITUTE(SUBSTITUTE(SUBSTITUTE(SUBSTITUTE(TRIM('월 가계부'!C15),",",""),"원","")," ",""),"−","-")))),"")</f>
        <v/>
      </c>
      <c r="CK15">
        <f>IF(ISNUMBER(CI15),IF(CI15&lt;$B$13,CI15,""),"")</f>
        <v/>
      </c>
      <c r="CM15">
        <f>IF(CH15="","",IFERROR(IF(IF(AND(LEN(CH15)=9,ISERROR(FIND("-",LEFT(CH15,8))),ISNUMBER(-LEFT(CH15,8))),VALUE(LEFT(CH15,4)),VALUE(LEFT(CH15,FIND("-",CH15)-1)))&lt;100,IF(AND(LEN(CH15)=9,ISERROR(FIND("-",LEFT(CH15,8))),ISNUMBER(-LEFT(CH15,8))),VALUE(LEFT(CH15,4)),VALUE(LEFT(CH15,FIND("-",CH15)-1)))+2000,IF(AND(LEN(CH15)=9,ISERROR(FIND("-",LEFT(CH15,8))),ISNUMBER(-LEFT(CH15,8))),VALUE(LEFT(CH15,4)),VALUE(LEFT(CH15,FIND("-",CH15)-1)))),""))</f>
        <v/>
      </c>
      <c r="CN15">
        <f>IF(CH15="","",IFERROR(IF(AND(LEN(CH15)=9,ISERROR(FIND("-",LEFT(CH15,8))),ISNUMBER(-LEFT(CH15,8))),VALUE(MID(CH15,5,2)),VALUE(MID(CH15,FIND("-",CH15)+1,FIND("-",CH15,FIND("-",CH15)+1)-FIND("-",CH15)-1))),""))</f>
        <v/>
      </c>
      <c r="CO15">
        <f>IF(CH15="","",IFERROR(IF(AND(LEN(CH15)=9,ISERROR(FIND("-",LEFT(CH15,8))),ISNUMBER(-LEFT(CH15,8))),VALUE(MID(CH15,7,2)),VALUE(MID(CH15,FIND("-",CH15,FIND("-",CH15)+1)+1,FIND("-",CH15,FIND("-",CH15,FIND("-",CH15)+1)+1)-FIND("-",CH15,FIND("-",CH15)+1)-1))),""))</f>
        <v/>
      </c>
    </row>
    <row r="16">
      <c r="A16" t="inlineStr">
        <is>
          <t>안 끝난 달로 계산</t>
        </is>
      </c>
      <c r="B16">
        <f>AND(B14=0,B15&gt;0)</f>
        <v/>
      </c>
      <c r="CB16" t="n">
        <v>15</v>
      </c>
      <c r="CC16">
        <f>IF($B$1+CB16&gt;90,0,12*MAX(0,$B$6-IF($B$1+CB16&gt;=$B$23,$B$22,0))*(1+$B$4)^CB16/(1+$B$3)^(CB16-1))</f>
        <v/>
      </c>
      <c r="CE16">
        <f>IF($B$1+14&gt;90,NA(),$B$1+14)</f>
        <v/>
      </c>
      <c r="CF16">
        <f>IF(OR($B$21="",$B$1+14&gt;90),NA(),INDEX($C$40:$BU$90,$B$21-$B$1+1,15))</f>
        <v/>
      </c>
      <c r="CH16">
        <f>IF(ISTEXT('월 가계부'!A16),SUBSTITUTE(SUBSTITUTE(SUBSTITUTE(SUBSTITUTE(SUBSTITUTE(SUBSTITUTE(SUBSTITUTE(SUBSTITUTE(SUBSTITUTE(TRIM('월 가계부'!A16),"년","-"),"월","-"),"일",""),".","-"),"/","-")," ","-"),"--","-"),"--","-"),"--","-")&amp;"-","")</f>
        <v/>
      </c>
      <c r="CI16">
        <f>IFERROR(IF('월 가계부'!A16="","",IF(ISNUMBER('월 가계부'!A16),IF(AND('월 가계부'!A16&gt;=19000101,'월 가계부'!A16&lt;=21001231),IF(AND(MOD(INT('월 가계부'!A16/100),100)&gt;=1,MOD(INT('월 가계부'!A16/100),100)&lt;=12,MOD(INT('월 가계부'!A16),100)&gt;=1,MOD(INT('월 가계부'!A16),100)&lt;=31),IF(MONTH(DATE(INT('월 가계부'!A16/10000),MOD(INT('월 가계부'!A16/100),100),MOD(INT('월 가계부'!A16),100)))=MOD(INT('월 가계부'!A16/100),100),DATE(INT('월 가계부'!A16/10000),MOD(INT('월 가계부'!A16/100),100),MOD(INT('월 가계부'!A16),100)),""),""),IF(AND('월 가계부'!A16&gt;=36526,'월 가계부'!A16&lt;73051),INT('월 가계부'!A16),"")),IF(OR(CM16="",CN16="",CO16=""),"",IF(AND(CM16&gt;=2000,CM16&lt;=2099,CN16&gt;=1,CN16&lt;=12,CO16&gt;=1,CO16&lt;=31),IF(MONTH(DATE(CM16,CN16,CO16))=CN16,DATE(CM16,CN16,CO16),""),"")))),"")</f>
        <v/>
      </c>
      <c r="CJ16">
        <f>IFERROR(IF('월 가계부'!C16="","",IF(ISNUMBER('월 가계부'!C16),'월 가계부'!C16,VALUE(SUBSTITUTE(SUBSTITUTE(SUBSTITUTE(SUBSTITUTE(TRIM('월 가계부'!C16),",",""),"원","")," ",""),"−","-")))),"")</f>
        <v/>
      </c>
      <c r="CK16">
        <f>IF(ISNUMBER(CI16),IF(CI16&lt;$B$13,CI16,""),"")</f>
        <v/>
      </c>
      <c r="CM16">
        <f>IF(CH16="","",IFERROR(IF(IF(AND(LEN(CH16)=9,ISERROR(FIND("-",LEFT(CH16,8))),ISNUMBER(-LEFT(CH16,8))),VALUE(LEFT(CH16,4)),VALUE(LEFT(CH16,FIND("-",CH16)-1)))&lt;100,IF(AND(LEN(CH16)=9,ISERROR(FIND("-",LEFT(CH16,8))),ISNUMBER(-LEFT(CH16,8))),VALUE(LEFT(CH16,4)),VALUE(LEFT(CH16,FIND("-",CH16)-1)))+2000,IF(AND(LEN(CH16)=9,ISERROR(FIND("-",LEFT(CH16,8))),ISNUMBER(-LEFT(CH16,8))),VALUE(LEFT(CH16,4)),VALUE(LEFT(CH16,FIND("-",CH16)-1)))),""))</f>
        <v/>
      </c>
      <c r="CN16">
        <f>IF(CH16="","",IFERROR(IF(AND(LEN(CH16)=9,ISERROR(FIND("-",LEFT(CH16,8))),ISNUMBER(-LEFT(CH16,8))),VALUE(MID(CH16,5,2)),VALUE(MID(CH16,FIND("-",CH16)+1,FIND("-",CH16,FIND("-",CH16)+1)-FIND("-",CH16)-1))),""))</f>
        <v/>
      </c>
      <c r="CO16">
        <f>IF(CH16="","",IFERROR(IF(AND(LEN(CH16)=9,ISERROR(FIND("-",LEFT(CH16,8))),ISNUMBER(-LEFT(CH16,8))),VALUE(MID(CH16,7,2)),VALUE(MID(CH16,FIND("-",CH16,FIND("-",CH16)+1)+1,FIND("-",CH16,FIND("-",CH16,FIND("-",CH16)+1)+1)-FIND("-",CH16,FIND("-",CH16)+1)-1))),""))</f>
        <v/>
      </c>
    </row>
    <row r="17">
      <c r="A17" t="inlineStr">
        <is>
          <t>이번 달부터 줄 수</t>
        </is>
      </c>
      <c r="B17">
        <f>COUNTIF($CI$3:$CI$3002,"&gt;="&amp;B13)</f>
        <v/>
      </c>
      <c r="CB17" t="n">
        <v>16</v>
      </c>
      <c r="CC17">
        <f>IF($B$1+CB17&gt;90,0,12*MAX(0,$B$6-IF($B$1+CB17&gt;=$B$23,$B$22,0))*(1+$B$4)^CB17/(1+$B$3)^(CB17-1))</f>
        <v/>
      </c>
      <c r="CE17">
        <f>IF($B$1+15&gt;90,NA(),$B$1+15)</f>
        <v/>
      </c>
      <c r="CF17">
        <f>IF(OR($B$21="",$B$1+15&gt;90),NA(),INDEX($C$40:$BU$90,$B$21-$B$1+1,16))</f>
        <v/>
      </c>
      <c r="CH17">
        <f>IF(ISTEXT('월 가계부'!A17),SUBSTITUTE(SUBSTITUTE(SUBSTITUTE(SUBSTITUTE(SUBSTITUTE(SUBSTITUTE(SUBSTITUTE(SUBSTITUTE(SUBSTITUTE(TRIM('월 가계부'!A17),"년","-"),"월","-"),"일",""),".","-"),"/","-")," ","-"),"--","-"),"--","-"),"--","-")&amp;"-","")</f>
        <v/>
      </c>
      <c r="CI17">
        <f>IFERROR(IF('월 가계부'!A17="","",IF(ISNUMBER('월 가계부'!A17),IF(AND('월 가계부'!A17&gt;=19000101,'월 가계부'!A17&lt;=21001231),IF(AND(MOD(INT('월 가계부'!A17/100),100)&gt;=1,MOD(INT('월 가계부'!A17/100),100)&lt;=12,MOD(INT('월 가계부'!A17),100)&gt;=1,MOD(INT('월 가계부'!A17),100)&lt;=31),IF(MONTH(DATE(INT('월 가계부'!A17/10000),MOD(INT('월 가계부'!A17/100),100),MOD(INT('월 가계부'!A17),100)))=MOD(INT('월 가계부'!A17/100),100),DATE(INT('월 가계부'!A17/10000),MOD(INT('월 가계부'!A17/100),100),MOD(INT('월 가계부'!A17),100)),""),""),IF(AND('월 가계부'!A17&gt;=36526,'월 가계부'!A17&lt;73051),INT('월 가계부'!A17),"")),IF(OR(CM17="",CN17="",CO17=""),"",IF(AND(CM17&gt;=2000,CM17&lt;=2099,CN17&gt;=1,CN17&lt;=12,CO17&gt;=1,CO17&lt;=31),IF(MONTH(DATE(CM17,CN17,CO17))=CN17,DATE(CM17,CN17,CO17),""),"")))),"")</f>
        <v/>
      </c>
      <c r="CJ17">
        <f>IFERROR(IF('월 가계부'!C17="","",IF(ISNUMBER('월 가계부'!C17),'월 가계부'!C17,VALUE(SUBSTITUTE(SUBSTITUTE(SUBSTITUTE(SUBSTITUTE(TRIM('월 가계부'!C17),",",""),"원","")," ",""),"−","-")))),"")</f>
        <v/>
      </c>
      <c r="CK17">
        <f>IF(ISNUMBER(CI17),IF(CI17&lt;$B$13,CI17,""),"")</f>
        <v/>
      </c>
      <c r="CM17">
        <f>IF(CH17="","",IFERROR(IF(IF(AND(LEN(CH17)=9,ISERROR(FIND("-",LEFT(CH17,8))),ISNUMBER(-LEFT(CH17,8))),VALUE(LEFT(CH17,4)),VALUE(LEFT(CH17,FIND("-",CH17)-1)))&lt;100,IF(AND(LEN(CH17)=9,ISERROR(FIND("-",LEFT(CH17,8))),ISNUMBER(-LEFT(CH17,8))),VALUE(LEFT(CH17,4)),VALUE(LEFT(CH17,FIND("-",CH17)-1)))+2000,IF(AND(LEN(CH17)=9,ISERROR(FIND("-",LEFT(CH17,8))),ISNUMBER(-LEFT(CH17,8))),VALUE(LEFT(CH17,4)),VALUE(LEFT(CH17,FIND("-",CH17)-1)))),""))</f>
        <v/>
      </c>
      <c r="CN17">
        <f>IF(CH17="","",IFERROR(IF(AND(LEN(CH17)=9,ISERROR(FIND("-",LEFT(CH17,8))),ISNUMBER(-LEFT(CH17,8))),VALUE(MID(CH17,5,2)),VALUE(MID(CH17,FIND("-",CH17)+1,FIND("-",CH17,FIND("-",CH17)+1)-FIND("-",CH17)-1))),""))</f>
        <v/>
      </c>
      <c r="CO17">
        <f>IF(CH17="","",IFERROR(IF(AND(LEN(CH17)=9,ISERROR(FIND("-",LEFT(CH17,8))),ISNUMBER(-LEFT(CH17,8))),VALUE(MID(CH17,7,2)),VALUE(MID(CH17,FIND("-",CH17,FIND("-",CH17)+1)+1,FIND("-",CH17,FIND("-",CH17,FIND("-",CH17)+1)+1)-FIND("-",CH17,FIND("-",CH17)+1)-1))),""))</f>
        <v/>
      </c>
    </row>
    <row r="18">
      <c r="A18" t="inlineStr">
        <is>
          <t>못 읽은 줄 수</t>
        </is>
      </c>
      <c r="B18">
        <f>COUNTIF('월 가계부'!$E$3:$E$3002,"날짜 확인")+COUNTIF('월 가계부'!$E$3:$E$3002,"금액 확인")</f>
        <v/>
      </c>
      <c r="CB18" t="n">
        <v>17</v>
      </c>
      <c r="CC18">
        <f>IF($B$1+CB18&gt;90,0,12*MAX(0,$B$6-IF($B$1+CB18&gt;=$B$23,$B$22,0))*(1+$B$4)^CB18/(1+$B$3)^(CB18-1))</f>
        <v/>
      </c>
      <c r="CE18">
        <f>IF($B$1+16&gt;90,NA(),$B$1+16)</f>
        <v/>
      </c>
      <c r="CF18">
        <f>IF(OR($B$21="",$B$1+16&gt;90),NA(),INDEX($C$40:$BU$90,$B$21-$B$1+1,17))</f>
        <v/>
      </c>
      <c r="CH18">
        <f>IF(ISTEXT('월 가계부'!A18),SUBSTITUTE(SUBSTITUTE(SUBSTITUTE(SUBSTITUTE(SUBSTITUTE(SUBSTITUTE(SUBSTITUTE(SUBSTITUTE(SUBSTITUTE(TRIM('월 가계부'!A18),"년","-"),"월","-"),"일",""),".","-"),"/","-")," ","-"),"--","-"),"--","-"),"--","-")&amp;"-","")</f>
        <v/>
      </c>
      <c r="CI18">
        <f>IFERROR(IF('월 가계부'!A18="","",IF(ISNUMBER('월 가계부'!A18),IF(AND('월 가계부'!A18&gt;=19000101,'월 가계부'!A18&lt;=21001231),IF(AND(MOD(INT('월 가계부'!A18/100),100)&gt;=1,MOD(INT('월 가계부'!A18/100),100)&lt;=12,MOD(INT('월 가계부'!A18),100)&gt;=1,MOD(INT('월 가계부'!A18),100)&lt;=31),IF(MONTH(DATE(INT('월 가계부'!A18/10000),MOD(INT('월 가계부'!A18/100),100),MOD(INT('월 가계부'!A18),100)))=MOD(INT('월 가계부'!A18/100),100),DATE(INT('월 가계부'!A18/10000),MOD(INT('월 가계부'!A18/100),100),MOD(INT('월 가계부'!A18),100)),""),""),IF(AND('월 가계부'!A18&gt;=36526,'월 가계부'!A18&lt;73051),INT('월 가계부'!A18),"")),IF(OR(CM18="",CN18="",CO18=""),"",IF(AND(CM18&gt;=2000,CM18&lt;=2099,CN18&gt;=1,CN18&lt;=12,CO18&gt;=1,CO18&lt;=31),IF(MONTH(DATE(CM18,CN18,CO18))=CN18,DATE(CM18,CN18,CO18),""),"")))),"")</f>
        <v/>
      </c>
      <c r="CJ18">
        <f>IFERROR(IF('월 가계부'!C18="","",IF(ISNUMBER('월 가계부'!C18),'월 가계부'!C18,VALUE(SUBSTITUTE(SUBSTITUTE(SUBSTITUTE(SUBSTITUTE(TRIM('월 가계부'!C18),",",""),"원","")," ",""),"−","-")))),"")</f>
        <v/>
      </c>
      <c r="CK18">
        <f>IF(ISNUMBER(CI18),IF(CI18&lt;$B$13,CI18,""),"")</f>
        <v/>
      </c>
      <c r="CM18">
        <f>IF(CH18="","",IFERROR(IF(IF(AND(LEN(CH18)=9,ISERROR(FIND("-",LEFT(CH18,8))),ISNUMBER(-LEFT(CH18,8))),VALUE(LEFT(CH18,4)),VALUE(LEFT(CH18,FIND("-",CH18)-1)))&lt;100,IF(AND(LEN(CH18)=9,ISERROR(FIND("-",LEFT(CH18,8))),ISNUMBER(-LEFT(CH18,8))),VALUE(LEFT(CH18,4)),VALUE(LEFT(CH18,FIND("-",CH18)-1)))+2000,IF(AND(LEN(CH18)=9,ISERROR(FIND("-",LEFT(CH18,8))),ISNUMBER(-LEFT(CH18,8))),VALUE(LEFT(CH18,4)),VALUE(LEFT(CH18,FIND("-",CH18)-1)))),""))</f>
        <v/>
      </c>
      <c r="CN18">
        <f>IF(CH18="","",IFERROR(IF(AND(LEN(CH18)=9,ISERROR(FIND("-",LEFT(CH18,8))),ISNUMBER(-LEFT(CH18,8))),VALUE(MID(CH18,5,2)),VALUE(MID(CH18,FIND("-",CH18)+1,FIND("-",CH18,FIND("-",CH18)+1)-FIND("-",CH18)-1))),""))</f>
        <v/>
      </c>
      <c r="CO18">
        <f>IF(CH18="","",IFERROR(IF(AND(LEN(CH18)=9,ISERROR(FIND("-",LEFT(CH18,8))),ISNUMBER(-LEFT(CH18,8))),VALUE(MID(CH18,7,2)),VALUE(MID(CH18,FIND("-",CH18,FIND("-",CH18)+1)+1,FIND("-",CH18,FIND("-",CH18,FIND("-",CH18)+1)+1)-FIND("-",CH18,FIND("-",CH18)+1)-1))),""))</f>
        <v/>
      </c>
    </row>
    <row r="19">
      <c r="A19" t="inlineStr">
        <is>
          <t>3,000줄 밖 줄 수</t>
        </is>
      </c>
      <c r="B19">
        <f>SUMPRODUCT(--((('월 가계부'!$A$3003:$A$13002&lt;&gt;"")+('월 가계부'!$C$3003:$C$13002&lt;&gt;""))&gt;0))</f>
        <v/>
      </c>
      <c r="CB19" t="n">
        <v>18</v>
      </c>
      <c r="CC19">
        <f>IF($B$1+CB19&gt;90,0,12*MAX(0,$B$6-IF($B$1+CB19&gt;=$B$23,$B$22,0))*(1+$B$4)^CB19/(1+$B$3)^(CB19-1))</f>
        <v/>
      </c>
      <c r="CE19">
        <f>IF($B$1+17&gt;90,NA(),$B$1+17)</f>
        <v/>
      </c>
      <c r="CF19">
        <f>IF(OR($B$21="",$B$1+17&gt;90),NA(),INDEX($C$40:$BU$90,$B$21-$B$1+1,18))</f>
        <v/>
      </c>
      <c r="CH19">
        <f>IF(ISTEXT('월 가계부'!A19),SUBSTITUTE(SUBSTITUTE(SUBSTITUTE(SUBSTITUTE(SUBSTITUTE(SUBSTITUTE(SUBSTITUTE(SUBSTITUTE(SUBSTITUTE(TRIM('월 가계부'!A19),"년","-"),"월","-"),"일",""),".","-"),"/","-")," ","-"),"--","-"),"--","-"),"--","-")&amp;"-","")</f>
        <v/>
      </c>
      <c r="CI19">
        <f>IFERROR(IF('월 가계부'!A19="","",IF(ISNUMBER('월 가계부'!A19),IF(AND('월 가계부'!A19&gt;=19000101,'월 가계부'!A19&lt;=21001231),IF(AND(MOD(INT('월 가계부'!A19/100),100)&gt;=1,MOD(INT('월 가계부'!A19/100),100)&lt;=12,MOD(INT('월 가계부'!A19),100)&gt;=1,MOD(INT('월 가계부'!A19),100)&lt;=31),IF(MONTH(DATE(INT('월 가계부'!A19/10000),MOD(INT('월 가계부'!A19/100),100),MOD(INT('월 가계부'!A19),100)))=MOD(INT('월 가계부'!A19/100),100),DATE(INT('월 가계부'!A19/10000),MOD(INT('월 가계부'!A19/100),100),MOD(INT('월 가계부'!A19),100)),""),""),IF(AND('월 가계부'!A19&gt;=36526,'월 가계부'!A19&lt;73051),INT('월 가계부'!A19),"")),IF(OR(CM19="",CN19="",CO19=""),"",IF(AND(CM19&gt;=2000,CM19&lt;=2099,CN19&gt;=1,CN19&lt;=12,CO19&gt;=1,CO19&lt;=31),IF(MONTH(DATE(CM19,CN19,CO19))=CN19,DATE(CM19,CN19,CO19),""),"")))),"")</f>
        <v/>
      </c>
      <c r="CJ19">
        <f>IFERROR(IF('월 가계부'!C19="","",IF(ISNUMBER('월 가계부'!C19),'월 가계부'!C19,VALUE(SUBSTITUTE(SUBSTITUTE(SUBSTITUTE(SUBSTITUTE(TRIM('월 가계부'!C19),",",""),"원","")," ",""),"−","-")))),"")</f>
        <v/>
      </c>
      <c r="CK19">
        <f>IF(ISNUMBER(CI19),IF(CI19&lt;$B$13,CI19,""),"")</f>
        <v/>
      </c>
      <c r="CM19">
        <f>IF(CH19="","",IFERROR(IF(IF(AND(LEN(CH19)=9,ISERROR(FIND("-",LEFT(CH19,8))),ISNUMBER(-LEFT(CH19,8))),VALUE(LEFT(CH19,4)),VALUE(LEFT(CH19,FIND("-",CH19)-1)))&lt;100,IF(AND(LEN(CH19)=9,ISERROR(FIND("-",LEFT(CH19,8))),ISNUMBER(-LEFT(CH19,8))),VALUE(LEFT(CH19,4)),VALUE(LEFT(CH19,FIND("-",CH19)-1)))+2000,IF(AND(LEN(CH19)=9,ISERROR(FIND("-",LEFT(CH19,8))),ISNUMBER(-LEFT(CH19,8))),VALUE(LEFT(CH19,4)),VALUE(LEFT(CH19,FIND("-",CH19)-1)))),""))</f>
        <v/>
      </c>
      <c r="CN19">
        <f>IF(CH19="","",IFERROR(IF(AND(LEN(CH19)=9,ISERROR(FIND("-",LEFT(CH19,8))),ISNUMBER(-LEFT(CH19,8))),VALUE(MID(CH19,5,2)),VALUE(MID(CH19,FIND("-",CH19)+1,FIND("-",CH19,FIND("-",CH19)+1)-FIND("-",CH19)-1))),""))</f>
        <v/>
      </c>
      <c r="CO19">
        <f>IF(CH19="","",IFERROR(IF(AND(LEN(CH19)=9,ISERROR(FIND("-",LEFT(CH19,8))),ISNUMBER(-LEFT(CH19,8))),VALUE(MID(CH19,7,2)),VALUE(MID(CH19,FIND("-",CH19,FIND("-",CH19)+1)+1,FIND("-",CH19,FIND("-",CH19,FIND("-",CH19)+1)+1)-FIND("-",CH19,FIND("-",CH19)+1)-1))),""))</f>
        <v/>
      </c>
    </row>
    <row r="20">
      <c r="A20" t="inlineStr">
        <is>
          <t>+N일 기울기(일/원)</t>
        </is>
      </c>
      <c r="B20">
        <f>IF(OR(C37="",C93=""),"",(C93-C37)*365/$B$10)</f>
        <v/>
      </c>
      <c r="CB20" t="n">
        <v>19</v>
      </c>
      <c r="CC20">
        <f>IF($B$1+CB20&gt;90,0,12*MAX(0,$B$6-IF($B$1+CB20&gt;=$B$23,$B$22,0))*(1+$B$4)^CB20/(1+$B$3)^(CB20-1))</f>
        <v/>
      </c>
      <c r="CE20">
        <f>IF($B$1+18&gt;90,NA(),$B$1+18)</f>
        <v/>
      </c>
      <c r="CF20">
        <f>IF(OR($B$21="",$B$1+18&gt;90),NA(),INDEX($C$40:$BU$90,$B$21-$B$1+1,19))</f>
        <v/>
      </c>
      <c r="CH20">
        <f>IF(ISTEXT('월 가계부'!A20),SUBSTITUTE(SUBSTITUTE(SUBSTITUTE(SUBSTITUTE(SUBSTITUTE(SUBSTITUTE(SUBSTITUTE(SUBSTITUTE(SUBSTITUTE(TRIM('월 가계부'!A20),"년","-"),"월","-"),"일",""),".","-"),"/","-")," ","-"),"--","-"),"--","-"),"--","-")&amp;"-","")</f>
        <v/>
      </c>
      <c r="CI20">
        <f>IFERROR(IF('월 가계부'!A20="","",IF(ISNUMBER('월 가계부'!A20),IF(AND('월 가계부'!A20&gt;=19000101,'월 가계부'!A20&lt;=21001231),IF(AND(MOD(INT('월 가계부'!A20/100),100)&gt;=1,MOD(INT('월 가계부'!A20/100),100)&lt;=12,MOD(INT('월 가계부'!A20),100)&gt;=1,MOD(INT('월 가계부'!A20),100)&lt;=31),IF(MONTH(DATE(INT('월 가계부'!A20/10000),MOD(INT('월 가계부'!A20/100),100),MOD(INT('월 가계부'!A20),100)))=MOD(INT('월 가계부'!A20/100),100),DATE(INT('월 가계부'!A20/10000),MOD(INT('월 가계부'!A20/100),100),MOD(INT('월 가계부'!A20),100)),""),""),IF(AND('월 가계부'!A20&gt;=36526,'월 가계부'!A20&lt;73051),INT('월 가계부'!A20),"")),IF(OR(CM20="",CN20="",CO20=""),"",IF(AND(CM20&gt;=2000,CM20&lt;=2099,CN20&gt;=1,CN20&lt;=12,CO20&gt;=1,CO20&lt;=31),IF(MONTH(DATE(CM20,CN20,CO20))=CN20,DATE(CM20,CN20,CO20),""),"")))),"")</f>
        <v/>
      </c>
      <c r="CJ20">
        <f>IFERROR(IF('월 가계부'!C20="","",IF(ISNUMBER('월 가계부'!C20),'월 가계부'!C20,VALUE(SUBSTITUTE(SUBSTITUTE(SUBSTITUTE(SUBSTITUTE(TRIM('월 가계부'!C20),",",""),"원","")," ",""),"−","-")))),"")</f>
        <v/>
      </c>
      <c r="CK20">
        <f>IF(ISNUMBER(CI20),IF(CI20&lt;$B$13,CI20,""),"")</f>
        <v/>
      </c>
      <c r="CM20">
        <f>IF(CH20="","",IFERROR(IF(IF(AND(LEN(CH20)=9,ISERROR(FIND("-",LEFT(CH20,8))),ISNUMBER(-LEFT(CH20,8))),VALUE(LEFT(CH20,4)),VALUE(LEFT(CH20,FIND("-",CH20)-1)))&lt;100,IF(AND(LEN(CH20)=9,ISERROR(FIND("-",LEFT(CH20,8))),ISNUMBER(-LEFT(CH20,8))),VALUE(LEFT(CH20,4)),VALUE(LEFT(CH20,FIND("-",CH20)-1)))+2000,IF(AND(LEN(CH20)=9,ISERROR(FIND("-",LEFT(CH20,8))),ISNUMBER(-LEFT(CH20,8))),VALUE(LEFT(CH20,4)),VALUE(LEFT(CH20,FIND("-",CH20)-1)))),""))</f>
        <v/>
      </c>
      <c r="CN20">
        <f>IF(CH20="","",IFERROR(IF(AND(LEN(CH20)=9,ISERROR(FIND("-",LEFT(CH20,8))),ISNUMBER(-LEFT(CH20,8))),VALUE(MID(CH20,5,2)),VALUE(MID(CH20,FIND("-",CH20)+1,FIND("-",CH20,FIND("-",CH20)+1)-FIND("-",CH20)-1))),""))</f>
        <v/>
      </c>
      <c r="CO20">
        <f>IF(CH20="","",IFERROR(IF(AND(LEN(CH20)=9,ISERROR(FIND("-",LEFT(CH20,8))),ISNUMBER(-LEFT(CH20,8))),VALUE(MID(CH20,7,2)),VALUE(MID(CH20,FIND("-",CH20,FIND("-",CH20)+1)+1,FIND("-",CH20,FIND("-",CH20,FIND("-",CH20)+1)+1)-FIND("-",CH20,FIND("-",CH20)+1)-1))),""))</f>
        <v/>
      </c>
    </row>
    <row r="21">
      <c r="A21" t="inlineStr">
        <is>
          <t>웹과 같은 해 단위 나이</t>
        </is>
      </c>
      <c r="B21">
        <f>IF(B37=999,"",B37)</f>
        <v/>
      </c>
      <c r="CB21" t="n">
        <v>20</v>
      </c>
      <c r="CC21">
        <f>IF($B$1+CB21&gt;90,0,12*MAX(0,$B$6-IF($B$1+CB21&gt;=$B$23,$B$22,0))*(1+$B$4)^CB21/(1+$B$3)^(CB21-1))</f>
        <v/>
      </c>
      <c r="CE21">
        <f>IF($B$1+19&gt;90,NA(),$B$1+19)</f>
        <v/>
      </c>
      <c r="CF21">
        <f>IF(OR($B$21="",$B$1+19&gt;90),NA(),INDEX($C$40:$BU$90,$B$21-$B$1+1,20))</f>
        <v/>
      </c>
      <c r="CH21">
        <f>IF(ISTEXT('월 가계부'!A21),SUBSTITUTE(SUBSTITUTE(SUBSTITUTE(SUBSTITUTE(SUBSTITUTE(SUBSTITUTE(SUBSTITUTE(SUBSTITUTE(SUBSTITUTE(TRIM('월 가계부'!A21),"년","-"),"월","-"),"일",""),".","-"),"/","-")," ","-"),"--","-"),"--","-"),"--","-")&amp;"-","")</f>
        <v/>
      </c>
      <c r="CI21">
        <f>IFERROR(IF('월 가계부'!A21="","",IF(ISNUMBER('월 가계부'!A21),IF(AND('월 가계부'!A21&gt;=19000101,'월 가계부'!A21&lt;=21001231),IF(AND(MOD(INT('월 가계부'!A21/100),100)&gt;=1,MOD(INT('월 가계부'!A21/100),100)&lt;=12,MOD(INT('월 가계부'!A21),100)&gt;=1,MOD(INT('월 가계부'!A21),100)&lt;=31),IF(MONTH(DATE(INT('월 가계부'!A21/10000),MOD(INT('월 가계부'!A21/100),100),MOD(INT('월 가계부'!A21),100)))=MOD(INT('월 가계부'!A21/100),100),DATE(INT('월 가계부'!A21/10000),MOD(INT('월 가계부'!A21/100),100),MOD(INT('월 가계부'!A21),100)),""),""),IF(AND('월 가계부'!A21&gt;=36526,'월 가계부'!A21&lt;73051),INT('월 가계부'!A21),"")),IF(OR(CM21="",CN21="",CO21=""),"",IF(AND(CM21&gt;=2000,CM21&lt;=2099,CN21&gt;=1,CN21&lt;=12,CO21&gt;=1,CO21&lt;=31),IF(MONTH(DATE(CM21,CN21,CO21))=CN21,DATE(CM21,CN21,CO21),""),"")))),"")</f>
        <v/>
      </c>
      <c r="CJ21">
        <f>IFERROR(IF('월 가계부'!C21="","",IF(ISNUMBER('월 가계부'!C21),'월 가계부'!C21,VALUE(SUBSTITUTE(SUBSTITUTE(SUBSTITUTE(SUBSTITUTE(TRIM('월 가계부'!C21),",",""),"원","")," ",""),"−","-")))),"")</f>
        <v/>
      </c>
      <c r="CK21">
        <f>IF(ISNUMBER(CI21),IF(CI21&lt;$B$13,CI21,""),"")</f>
        <v/>
      </c>
      <c r="CM21">
        <f>IF(CH21="","",IFERROR(IF(IF(AND(LEN(CH21)=9,ISERROR(FIND("-",LEFT(CH21,8))),ISNUMBER(-LEFT(CH21,8))),VALUE(LEFT(CH21,4)),VALUE(LEFT(CH21,FIND("-",CH21)-1)))&lt;100,IF(AND(LEN(CH21)=9,ISERROR(FIND("-",LEFT(CH21,8))),ISNUMBER(-LEFT(CH21,8))),VALUE(LEFT(CH21,4)),VALUE(LEFT(CH21,FIND("-",CH21)-1)))+2000,IF(AND(LEN(CH21)=9,ISERROR(FIND("-",LEFT(CH21,8))),ISNUMBER(-LEFT(CH21,8))),VALUE(LEFT(CH21,4)),VALUE(LEFT(CH21,FIND("-",CH21)-1)))),""))</f>
        <v/>
      </c>
      <c r="CN21">
        <f>IF(CH21="","",IFERROR(IF(AND(LEN(CH21)=9,ISERROR(FIND("-",LEFT(CH21,8))),ISNUMBER(-LEFT(CH21,8))),VALUE(MID(CH21,5,2)),VALUE(MID(CH21,FIND("-",CH21)+1,FIND("-",CH21,FIND("-",CH21)+1)-FIND("-",CH21)-1))),""))</f>
        <v/>
      </c>
      <c r="CO21">
        <f>IF(CH21="","",IFERROR(IF(AND(LEN(CH21)=9,ISERROR(FIND("-",LEFT(CH21,8))),ISNUMBER(-LEFT(CH21,8))),VALUE(MID(CH21,7,2)),VALUE(MID(CH21,FIND("-",CH21,FIND("-",CH21)+1)+1,FIND("-",CH21,FIND("-",CH21,FIND("-",CH21)+1)+1)-FIND("-",CH21,FIND("-",CH21)+1)-1))),""))</f>
        <v/>
      </c>
    </row>
    <row r="22">
      <c r="A22" t="inlineStr">
        <is>
          <t>국민연금 월</t>
        </is>
      </c>
      <c r="B22">
        <f>N('은퇴 나이'!D16)</f>
        <v/>
      </c>
      <c r="CB22" t="n">
        <v>21</v>
      </c>
      <c r="CC22">
        <f>IF($B$1+CB22&gt;90,0,12*MAX(0,$B$6-IF($B$1+CB22&gt;=$B$23,$B$22,0))*(1+$B$4)^CB22/(1+$B$3)^(CB22-1))</f>
        <v/>
      </c>
      <c r="CE22">
        <f>IF($B$1+20&gt;90,NA(),$B$1+20)</f>
        <v/>
      </c>
      <c r="CF22">
        <f>IF(OR($B$21="",$B$1+20&gt;90),NA(),INDEX($C$40:$BU$90,$B$21-$B$1+1,21))</f>
        <v/>
      </c>
      <c r="CH22">
        <f>IF(ISTEXT('월 가계부'!A22),SUBSTITUTE(SUBSTITUTE(SUBSTITUTE(SUBSTITUTE(SUBSTITUTE(SUBSTITUTE(SUBSTITUTE(SUBSTITUTE(SUBSTITUTE(TRIM('월 가계부'!A22),"년","-"),"월","-"),"일",""),".","-"),"/","-")," ","-"),"--","-"),"--","-"),"--","-")&amp;"-","")</f>
        <v/>
      </c>
      <c r="CI22">
        <f>IFERROR(IF('월 가계부'!A22="","",IF(ISNUMBER('월 가계부'!A22),IF(AND('월 가계부'!A22&gt;=19000101,'월 가계부'!A22&lt;=21001231),IF(AND(MOD(INT('월 가계부'!A22/100),100)&gt;=1,MOD(INT('월 가계부'!A22/100),100)&lt;=12,MOD(INT('월 가계부'!A22),100)&gt;=1,MOD(INT('월 가계부'!A22),100)&lt;=31),IF(MONTH(DATE(INT('월 가계부'!A22/10000),MOD(INT('월 가계부'!A22/100),100),MOD(INT('월 가계부'!A22),100)))=MOD(INT('월 가계부'!A22/100),100),DATE(INT('월 가계부'!A22/10000),MOD(INT('월 가계부'!A22/100),100),MOD(INT('월 가계부'!A22),100)),""),""),IF(AND('월 가계부'!A22&gt;=36526,'월 가계부'!A22&lt;73051),INT('월 가계부'!A22),"")),IF(OR(CM22="",CN22="",CO22=""),"",IF(AND(CM22&gt;=2000,CM22&lt;=2099,CN22&gt;=1,CN22&lt;=12,CO22&gt;=1,CO22&lt;=31),IF(MONTH(DATE(CM22,CN22,CO22))=CN22,DATE(CM22,CN22,CO22),""),"")))),"")</f>
        <v/>
      </c>
      <c r="CJ22">
        <f>IFERROR(IF('월 가계부'!C22="","",IF(ISNUMBER('월 가계부'!C22),'월 가계부'!C22,VALUE(SUBSTITUTE(SUBSTITUTE(SUBSTITUTE(SUBSTITUTE(TRIM('월 가계부'!C22),",",""),"원","")," ",""),"−","-")))),"")</f>
        <v/>
      </c>
      <c r="CK22">
        <f>IF(ISNUMBER(CI22),IF(CI22&lt;$B$13,CI22,""),"")</f>
        <v/>
      </c>
      <c r="CM22">
        <f>IF(CH22="","",IFERROR(IF(IF(AND(LEN(CH22)=9,ISERROR(FIND("-",LEFT(CH22,8))),ISNUMBER(-LEFT(CH22,8))),VALUE(LEFT(CH22,4)),VALUE(LEFT(CH22,FIND("-",CH22)-1)))&lt;100,IF(AND(LEN(CH22)=9,ISERROR(FIND("-",LEFT(CH22,8))),ISNUMBER(-LEFT(CH22,8))),VALUE(LEFT(CH22,4)),VALUE(LEFT(CH22,FIND("-",CH22)-1)))+2000,IF(AND(LEN(CH22)=9,ISERROR(FIND("-",LEFT(CH22,8))),ISNUMBER(-LEFT(CH22,8))),VALUE(LEFT(CH22,4)),VALUE(LEFT(CH22,FIND("-",CH22)-1)))),""))</f>
        <v/>
      </c>
      <c r="CN22">
        <f>IF(CH22="","",IFERROR(IF(AND(LEN(CH22)=9,ISERROR(FIND("-",LEFT(CH22,8))),ISNUMBER(-LEFT(CH22,8))),VALUE(MID(CH22,5,2)),VALUE(MID(CH22,FIND("-",CH22)+1,FIND("-",CH22,FIND("-",CH22)+1)-FIND("-",CH22)-1))),""))</f>
        <v/>
      </c>
      <c r="CO22">
        <f>IF(CH22="","",IFERROR(IF(AND(LEN(CH22)=9,ISERROR(FIND("-",LEFT(CH22,8))),ISNUMBER(-LEFT(CH22,8))),VALUE(MID(CH22,7,2)),VALUE(MID(CH22,FIND("-",CH22,FIND("-",CH22)+1)+1,FIND("-",CH22,FIND("-",CH22,FIND("-",CH22)+1)+1)-FIND("-",CH22,FIND("-",CH22)+1)-1))),""))</f>
        <v/>
      </c>
    </row>
    <row r="23">
      <c r="A23" t="inlineStr">
        <is>
          <t>연금 개시 나이</t>
        </is>
      </c>
      <c r="B23">
        <f>IF(YEAR(TODAY())-B1&lt;=1952,60,IF(YEAR(TODAY())-B1&lt;=1956,61,IF(YEAR(TODAY())-B1&lt;=1960,62,IF(YEAR(TODAY())-B1&lt;=1964,63,IF(YEAR(TODAY())-B1&lt;=1968,64,65)))))</f>
        <v/>
      </c>
      <c r="CB23" t="n">
        <v>22</v>
      </c>
      <c r="CC23">
        <f>IF($B$1+CB23&gt;90,0,12*MAX(0,$B$6-IF($B$1+CB23&gt;=$B$23,$B$22,0))*(1+$B$4)^CB23/(1+$B$3)^(CB23-1))</f>
        <v/>
      </c>
      <c r="CE23">
        <f>IF($B$1+21&gt;90,NA(),$B$1+21)</f>
        <v/>
      </c>
      <c r="CF23">
        <f>IF(OR($B$21="",$B$1+21&gt;90),NA(),INDEX($C$40:$BU$90,$B$21-$B$1+1,22))</f>
        <v/>
      </c>
      <c r="CH23">
        <f>IF(ISTEXT('월 가계부'!A23),SUBSTITUTE(SUBSTITUTE(SUBSTITUTE(SUBSTITUTE(SUBSTITUTE(SUBSTITUTE(SUBSTITUTE(SUBSTITUTE(SUBSTITUTE(TRIM('월 가계부'!A23),"년","-"),"월","-"),"일",""),".","-"),"/","-")," ","-"),"--","-"),"--","-"),"--","-")&amp;"-","")</f>
        <v/>
      </c>
      <c r="CI23">
        <f>IFERROR(IF('월 가계부'!A23="","",IF(ISNUMBER('월 가계부'!A23),IF(AND('월 가계부'!A23&gt;=19000101,'월 가계부'!A23&lt;=21001231),IF(AND(MOD(INT('월 가계부'!A23/100),100)&gt;=1,MOD(INT('월 가계부'!A23/100),100)&lt;=12,MOD(INT('월 가계부'!A23),100)&gt;=1,MOD(INT('월 가계부'!A23),100)&lt;=31),IF(MONTH(DATE(INT('월 가계부'!A23/10000),MOD(INT('월 가계부'!A23/100),100),MOD(INT('월 가계부'!A23),100)))=MOD(INT('월 가계부'!A23/100),100),DATE(INT('월 가계부'!A23/10000),MOD(INT('월 가계부'!A23/100),100),MOD(INT('월 가계부'!A23),100)),""),""),IF(AND('월 가계부'!A23&gt;=36526,'월 가계부'!A23&lt;73051),INT('월 가계부'!A23),"")),IF(OR(CM23="",CN23="",CO23=""),"",IF(AND(CM23&gt;=2000,CM23&lt;=2099,CN23&gt;=1,CN23&lt;=12,CO23&gt;=1,CO23&lt;=31),IF(MONTH(DATE(CM23,CN23,CO23))=CN23,DATE(CM23,CN23,CO23),""),"")))),"")</f>
        <v/>
      </c>
      <c r="CJ23">
        <f>IFERROR(IF('월 가계부'!C23="","",IF(ISNUMBER('월 가계부'!C23),'월 가계부'!C23,VALUE(SUBSTITUTE(SUBSTITUTE(SUBSTITUTE(SUBSTITUTE(TRIM('월 가계부'!C23),",",""),"원","")," ",""),"−","-")))),"")</f>
        <v/>
      </c>
      <c r="CK23">
        <f>IF(ISNUMBER(CI23),IF(CI23&lt;$B$13,CI23,""),"")</f>
        <v/>
      </c>
      <c r="CM23">
        <f>IF(CH23="","",IFERROR(IF(IF(AND(LEN(CH23)=9,ISERROR(FIND("-",LEFT(CH23,8))),ISNUMBER(-LEFT(CH23,8))),VALUE(LEFT(CH23,4)),VALUE(LEFT(CH23,FIND("-",CH23)-1)))&lt;100,IF(AND(LEN(CH23)=9,ISERROR(FIND("-",LEFT(CH23,8))),ISNUMBER(-LEFT(CH23,8))),VALUE(LEFT(CH23,4)),VALUE(LEFT(CH23,FIND("-",CH23)-1)))+2000,IF(AND(LEN(CH23)=9,ISERROR(FIND("-",LEFT(CH23,8))),ISNUMBER(-LEFT(CH23,8))),VALUE(LEFT(CH23,4)),VALUE(LEFT(CH23,FIND("-",CH23)-1)))),""))</f>
        <v/>
      </c>
      <c r="CN23">
        <f>IF(CH23="","",IFERROR(IF(AND(LEN(CH23)=9,ISERROR(FIND("-",LEFT(CH23,8))),ISNUMBER(-LEFT(CH23,8))),VALUE(MID(CH23,5,2)),VALUE(MID(CH23,FIND("-",CH23)+1,FIND("-",CH23,FIND("-",CH23)+1)-FIND("-",CH23)-1))),""))</f>
        <v/>
      </c>
      <c r="CO23">
        <f>IF(CH23="","",IFERROR(IF(AND(LEN(CH23)=9,ISERROR(FIND("-",LEFT(CH23,8))),ISNUMBER(-LEFT(CH23,8))),VALUE(MID(CH23,7,2)),VALUE(MID(CH23,FIND("-",CH23,FIND("-",CH23)+1)+1,FIND("-",CH23,FIND("-",CH23,FIND("-",CH23)+1)+1)-FIND("-",CH23,FIND("-",CH23)+1)-1))),""))</f>
        <v/>
      </c>
    </row>
    <row r="24">
      <c r="CB24" t="n">
        <v>23</v>
      </c>
      <c r="CC24">
        <f>IF($B$1+CB24&gt;90,0,12*MAX(0,$B$6-IF($B$1+CB24&gt;=$B$23,$B$22,0))*(1+$B$4)^CB24/(1+$B$3)^(CB24-1))</f>
        <v/>
      </c>
      <c r="CE24">
        <f>IF($B$1+22&gt;90,NA(),$B$1+22)</f>
        <v/>
      </c>
      <c r="CF24">
        <f>IF(OR($B$21="",$B$1+22&gt;90),NA(),INDEX($C$40:$BU$90,$B$21-$B$1+1,23))</f>
        <v/>
      </c>
      <c r="CH24">
        <f>IF(ISTEXT('월 가계부'!A24),SUBSTITUTE(SUBSTITUTE(SUBSTITUTE(SUBSTITUTE(SUBSTITUTE(SUBSTITUTE(SUBSTITUTE(SUBSTITUTE(SUBSTITUTE(TRIM('월 가계부'!A24),"년","-"),"월","-"),"일",""),".","-"),"/","-")," ","-"),"--","-"),"--","-"),"--","-")&amp;"-","")</f>
        <v/>
      </c>
      <c r="CI24">
        <f>IFERROR(IF('월 가계부'!A24="","",IF(ISNUMBER('월 가계부'!A24),IF(AND('월 가계부'!A24&gt;=19000101,'월 가계부'!A24&lt;=21001231),IF(AND(MOD(INT('월 가계부'!A24/100),100)&gt;=1,MOD(INT('월 가계부'!A24/100),100)&lt;=12,MOD(INT('월 가계부'!A24),100)&gt;=1,MOD(INT('월 가계부'!A24),100)&lt;=31),IF(MONTH(DATE(INT('월 가계부'!A24/10000),MOD(INT('월 가계부'!A24/100),100),MOD(INT('월 가계부'!A24),100)))=MOD(INT('월 가계부'!A24/100),100),DATE(INT('월 가계부'!A24/10000),MOD(INT('월 가계부'!A24/100),100),MOD(INT('월 가계부'!A24),100)),""),""),IF(AND('월 가계부'!A24&gt;=36526,'월 가계부'!A24&lt;73051),INT('월 가계부'!A24),"")),IF(OR(CM24="",CN24="",CO24=""),"",IF(AND(CM24&gt;=2000,CM24&lt;=2099,CN24&gt;=1,CN24&lt;=12,CO24&gt;=1,CO24&lt;=31),IF(MONTH(DATE(CM24,CN24,CO24))=CN24,DATE(CM24,CN24,CO24),""),"")))),"")</f>
        <v/>
      </c>
      <c r="CJ24">
        <f>IFERROR(IF('월 가계부'!C24="","",IF(ISNUMBER('월 가계부'!C24),'월 가계부'!C24,VALUE(SUBSTITUTE(SUBSTITUTE(SUBSTITUTE(SUBSTITUTE(TRIM('월 가계부'!C24),",",""),"원","")," ",""),"−","-")))),"")</f>
        <v/>
      </c>
      <c r="CK24">
        <f>IF(ISNUMBER(CI24),IF(CI24&lt;$B$13,CI24,""),"")</f>
        <v/>
      </c>
      <c r="CM24">
        <f>IF(CH24="","",IFERROR(IF(IF(AND(LEN(CH24)=9,ISERROR(FIND("-",LEFT(CH24,8))),ISNUMBER(-LEFT(CH24,8))),VALUE(LEFT(CH24,4)),VALUE(LEFT(CH24,FIND("-",CH24)-1)))&lt;100,IF(AND(LEN(CH24)=9,ISERROR(FIND("-",LEFT(CH24,8))),ISNUMBER(-LEFT(CH24,8))),VALUE(LEFT(CH24,4)),VALUE(LEFT(CH24,FIND("-",CH24)-1)))+2000,IF(AND(LEN(CH24)=9,ISERROR(FIND("-",LEFT(CH24,8))),ISNUMBER(-LEFT(CH24,8))),VALUE(LEFT(CH24,4)),VALUE(LEFT(CH24,FIND("-",CH24)-1)))),""))</f>
        <v/>
      </c>
      <c r="CN24">
        <f>IF(CH24="","",IFERROR(IF(AND(LEN(CH24)=9,ISERROR(FIND("-",LEFT(CH24,8))),ISNUMBER(-LEFT(CH24,8))),VALUE(MID(CH24,5,2)),VALUE(MID(CH24,FIND("-",CH24)+1,FIND("-",CH24,FIND("-",CH24)+1)-FIND("-",CH24)-1))),""))</f>
        <v/>
      </c>
      <c r="CO24">
        <f>IF(CH24="","",IFERROR(IF(AND(LEN(CH24)=9,ISERROR(FIND("-",LEFT(CH24,8))),ISNUMBER(-LEFT(CH24,8))),VALUE(MID(CH24,7,2)),VALUE(MID(CH24,FIND("-",CH24,FIND("-",CH24)+1)+1,FIND("-",CH24,FIND("-",CH24,FIND("-",CH24)+1)+1)-FIND("-",CH24,FIND("-",CH24)+1)-1))),""))</f>
        <v/>
      </c>
    </row>
    <row r="25">
      <c r="CB25" t="n">
        <v>24</v>
      </c>
      <c r="CC25">
        <f>IF($B$1+CB25&gt;90,0,12*MAX(0,$B$6-IF($B$1+CB25&gt;=$B$23,$B$22,0))*(1+$B$4)^CB25/(1+$B$3)^(CB25-1))</f>
        <v/>
      </c>
      <c r="CE25">
        <f>IF($B$1+23&gt;90,NA(),$B$1+23)</f>
        <v/>
      </c>
      <c r="CF25">
        <f>IF(OR($B$21="",$B$1+23&gt;90),NA(),INDEX($C$40:$BU$90,$B$21-$B$1+1,24))</f>
        <v/>
      </c>
      <c r="CH25">
        <f>IF(ISTEXT('월 가계부'!A25),SUBSTITUTE(SUBSTITUTE(SUBSTITUTE(SUBSTITUTE(SUBSTITUTE(SUBSTITUTE(SUBSTITUTE(SUBSTITUTE(SUBSTITUTE(TRIM('월 가계부'!A25),"년","-"),"월","-"),"일",""),".","-"),"/","-")," ","-"),"--","-"),"--","-"),"--","-")&amp;"-","")</f>
        <v/>
      </c>
      <c r="CI25">
        <f>IFERROR(IF('월 가계부'!A25="","",IF(ISNUMBER('월 가계부'!A25),IF(AND('월 가계부'!A25&gt;=19000101,'월 가계부'!A25&lt;=21001231),IF(AND(MOD(INT('월 가계부'!A25/100),100)&gt;=1,MOD(INT('월 가계부'!A25/100),100)&lt;=12,MOD(INT('월 가계부'!A25),100)&gt;=1,MOD(INT('월 가계부'!A25),100)&lt;=31),IF(MONTH(DATE(INT('월 가계부'!A25/10000),MOD(INT('월 가계부'!A25/100),100),MOD(INT('월 가계부'!A25),100)))=MOD(INT('월 가계부'!A25/100),100),DATE(INT('월 가계부'!A25/10000),MOD(INT('월 가계부'!A25/100),100),MOD(INT('월 가계부'!A25),100)),""),""),IF(AND('월 가계부'!A25&gt;=36526,'월 가계부'!A25&lt;73051),INT('월 가계부'!A25),"")),IF(OR(CM25="",CN25="",CO25=""),"",IF(AND(CM25&gt;=2000,CM25&lt;=2099,CN25&gt;=1,CN25&lt;=12,CO25&gt;=1,CO25&lt;=31),IF(MONTH(DATE(CM25,CN25,CO25))=CN25,DATE(CM25,CN25,CO25),""),"")))),"")</f>
        <v/>
      </c>
      <c r="CJ25">
        <f>IFERROR(IF('월 가계부'!C25="","",IF(ISNUMBER('월 가계부'!C25),'월 가계부'!C25,VALUE(SUBSTITUTE(SUBSTITUTE(SUBSTITUTE(SUBSTITUTE(TRIM('월 가계부'!C25),",",""),"원","")," ",""),"−","-")))),"")</f>
        <v/>
      </c>
      <c r="CK25">
        <f>IF(ISNUMBER(CI25),IF(CI25&lt;$B$13,CI25,""),"")</f>
        <v/>
      </c>
      <c r="CM25">
        <f>IF(CH25="","",IFERROR(IF(IF(AND(LEN(CH25)=9,ISERROR(FIND("-",LEFT(CH25,8))),ISNUMBER(-LEFT(CH25,8))),VALUE(LEFT(CH25,4)),VALUE(LEFT(CH25,FIND("-",CH25)-1)))&lt;100,IF(AND(LEN(CH25)=9,ISERROR(FIND("-",LEFT(CH25,8))),ISNUMBER(-LEFT(CH25,8))),VALUE(LEFT(CH25,4)),VALUE(LEFT(CH25,FIND("-",CH25)-1)))+2000,IF(AND(LEN(CH25)=9,ISERROR(FIND("-",LEFT(CH25,8))),ISNUMBER(-LEFT(CH25,8))),VALUE(LEFT(CH25,4)),VALUE(LEFT(CH25,FIND("-",CH25)-1)))),""))</f>
        <v/>
      </c>
      <c r="CN25">
        <f>IF(CH25="","",IFERROR(IF(AND(LEN(CH25)=9,ISERROR(FIND("-",LEFT(CH25,8))),ISNUMBER(-LEFT(CH25,8))),VALUE(MID(CH25,5,2)),VALUE(MID(CH25,FIND("-",CH25)+1,FIND("-",CH25,FIND("-",CH25)+1)-FIND("-",CH25)-1))),""))</f>
        <v/>
      </c>
      <c r="CO25">
        <f>IF(CH25="","",IFERROR(IF(AND(LEN(CH25)=9,ISERROR(FIND("-",LEFT(CH25,8))),ISNUMBER(-LEFT(CH25,8))),VALUE(MID(CH25,7,2)),VALUE(MID(CH25,FIND("-",CH25,FIND("-",CH25)+1)+1,FIND("-",CH25,FIND("-",CH25,FIND("-",CH25)+1)+1)-FIND("-",CH25,FIND("-",CH25)+1)-1))),""))</f>
        <v/>
      </c>
    </row>
    <row r="26">
      <c r="CB26" t="n">
        <v>25</v>
      </c>
      <c r="CC26">
        <f>IF($B$1+CB26&gt;90,0,12*MAX(0,$B$6-IF($B$1+CB26&gt;=$B$23,$B$22,0))*(1+$B$4)^CB26/(1+$B$3)^(CB26-1))</f>
        <v/>
      </c>
      <c r="CE26">
        <f>IF($B$1+24&gt;90,NA(),$B$1+24)</f>
        <v/>
      </c>
      <c r="CF26">
        <f>IF(OR($B$21="",$B$1+24&gt;90),NA(),INDEX($C$40:$BU$90,$B$21-$B$1+1,25))</f>
        <v/>
      </c>
      <c r="CH26">
        <f>IF(ISTEXT('월 가계부'!A26),SUBSTITUTE(SUBSTITUTE(SUBSTITUTE(SUBSTITUTE(SUBSTITUTE(SUBSTITUTE(SUBSTITUTE(SUBSTITUTE(SUBSTITUTE(TRIM('월 가계부'!A26),"년","-"),"월","-"),"일",""),".","-"),"/","-")," ","-"),"--","-"),"--","-"),"--","-")&amp;"-","")</f>
        <v/>
      </c>
      <c r="CI26">
        <f>IFERROR(IF('월 가계부'!A26="","",IF(ISNUMBER('월 가계부'!A26),IF(AND('월 가계부'!A26&gt;=19000101,'월 가계부'!A26&lt;=21001231),IF(AND(MOD(INT('월 가계부'!A26/100),100)&gt;=1,MOD(INT('월 가계부'!A26/100),100)&lt;=12,MOD(INT('월 가계부'!A26),100)&gt;=1,MOD(INT('월 가계부'!A26),100)&lt;=31),IF(MONTH(DATE(INT('월 가계부'!A26/10000),MOD(INT('월 가계부'!A26/100),100),MOD(INT('월 가계부'!A26),100)))=MOD(INT('월 가계부'!A26/100),100),DATE(INT('월 가계부'!A26/10000),MOD(INT('월 가계부'!A26/100),100),MOD(INT('월 가계부'!A26),100)),""),""),IF(AND('월 가계부'!A26&gt;=36526,'월 가계부'!A26&lt;73051),INT('월 가계부'!A26),"")),IF(OR(CM26="",CN26="",CO26=""),"",IF(AND(CM26&gt;=2000,CM26&lt;=2099,CN26&gt;=1,CN26&lt;=12,CO26&gt;=1,CO26&lt;=31),IF(MONTH(DATE(CM26,CN26,CO26))=CN26,DATE(CM26,CN26,CO26),""),"")))),"")</f>
        <v/>
      </c>
      <c r="CJ26">
        <f>IFERROR(IF('월 가계부'!C26="","",IF(ISNUMBER('월 가계부'!C26),'월 가계부'!C26,VALUE(SUBSTITUTE(SUBSTITUTE(SUBSTITUTE(SUBSTITUTE(TRIM('월 가계부'!C26),",",""),"원","")," ",""),"−","-")))),"")</f>
        <v/>
      </c>
      <c r="CK26">
        <f>IF(ISNUMBER(CI26),IF(CI26&lt;$B$13,CI26,""),"")</f>
        <v/>
      </c>
      <c r="CM26">
        <f>IF(CH26="","",IFERROR(IF(IF(AND(LEN(CH26)=9,ISERROR(FIND("-",LEFT(CH26,8))),ISNUMBER(-LEFT(CH26,8))),VALUE(LEFT(CH26,4)),VALUE(LEFT(CH26,FIND("-",CH26)-1)))&lt;100,IF(AND(LEN(CH26)=9,ISERROR(FIND("-",LEFT(CH26,8))),ISNUMBER(-LEFT(CH26,8))),VALUE(LEFT(CH26,4)),VALUE(LEFT(CH26,FIND("-",CH26)-1)))+2000,IF(AND(LEN(CH26)=9,ISERROR(FIND("-",LEFT(CH26,8))),ISNUMBER(-LEFT(CH26,8))),VALUE(LEFT(CH26,4)),VALUE(LEFT(CH26,FIND("-",CH26)-1)))),""))</f>
        <v/>
      </c>
      <c r="CN26">
        <f>IF(CH26="","",IFERROR(IF(AND(LEN(CH26)=9,ISERROR(FIND("-",LEFT(CH26,8))),ISNUMBER(-LEFT(CH26,8))),VALUE(MID(CH26,5,2)),VALUE(MID(CH26,FIND("-",CH26)+1,FIND("-",CH26,FIND("-",CH26)+1)-FIND("-",CH26)-1))),""))</f>
        <v/>
      </c>
      <c r="CO26">
        <f>IF(CH26="","",IFERROR(IF(AND(LEN(CH26)=9,ISERROR(FIND("-",LEFT(CH26,8))),ISNUMBER(-LEFT(CH26,8))),VALUE(MID(CH26,7,2)),VALUE(MID(CH26,FIND("-",CH26,FIND("-",CH26)+1)+1,FIND("-",CH26,FIND("-",CH26,FIND("-",CH26)+1)+1)-FIND("-",CH26,FIND("-",CH26)+1)-1))),""))</f>
        <v/>
      </c>
    </row>
    <row r="27">
      <c r="CB27" t="n">
        <v>26</v>
      </c>
      <c r="CC27">
        <f>IF($B$1+CB27&gt;90,0,12*MAX(0,$B$6-IF($B$1+CB27&gt;=$B$23,$B$22,0))*(1+$B$4)^CB27/(1+$B$3)^(CB27-1))</f>
        <v/>
      </c>
      <c r="CE27">
        <f>IF($B$1+25&gt;90,NA(),$B$1+25)</f>
        <v/>
      </c>
      <c r="CF27">
        <f>IF(OR($B$21="",$B$1+25&gt;90),NA(),INDEX($C$40:$BU$90,$B$21-$B$1+1,26))</f>
        <v/>
      </c>
      <c r="CH27">
        <f>IF(ISTEXT('월 가계부'!A27),SUBSTITUTE(SUBSTITUTE(SUBSTITUTE(SUBSTITUTE(SUBSTITUTE(SUBSTITUTE(SUBSTITUTE(SUBSTITUTE(SUBSTITUTE(TRIM('월 가계부'!A27),"년","-"),"월","-"),"일",""),".","-"),"/","-")," ","-"),"--","-"),"--","-"),"--","-")&amp;"-","")</f>
        <v/>
      </c>
      <c r="CI27">
        <f>IFERROR(IF('월 가계부'!A27="","",IF(ISNUMBER('월 가계부'!A27),IF(AND('월 가계부'!A27&gt;=19000101,'월 가계부'!A27&lt;=21001231),IF(AND(MOD(INT('월 가계부'!A27/100),100)&gt;=1,MOD(INT('월 가계부'!A27/100),100)&lt;=12,MOD(INT('월 가계부'!A27),100)&gt;=1,MOD(INT('월 가계부'!A27),100)&lt;=31),IF(MONTH(DATE(INT('월 가계부'!A27/10000),MOD(INT('월 가계부'!A27/100),100),MOD(INT('월 가계부'!A27),100)))=MOD(INT('월 가계부'!A27/100),100),DATE(INT('월 가계부'!A27/10000),MOD(INT('월 가계부'!A27/100),100),MOD(INT('월 가계부'!A27),100)),""),""),IF(AND('월 가계부'!A27&gt;=36526,'월 가계부'!A27&lt;73051),INT('월 가계부'!A27),"")),IF(OR(CM27="",CN27="",CO27=""),"",IF(AND(CM27&gt;=2000,CM27&lt;=2099,CN27&gt;=1,CN27&lt;=12,CO27&gt;=1,CO27&lt;=31),IF(MONTH(DATE(CM27,CN27,CO27))=CN27,DATE(CM27,CN27,CO27),""),"")))),"")</f>
        <v/>
      </c>
      <c r="CJ27">
        <f>IFERROR(IF('월 가계부'!C27="","",IF(ISNUMBER('월 가계부'!C27),'월 가계부'!C27,VALUE(SUBSTITUTE(SUBSTITUTE(SUBSTITUTE(SUBSTITUTE(TRIM('월 가계부'!C27),",",""),"원","")," ",""),"−","-")))),"")</f>
        <v/>
      </c>
      <c r="CK27">
        <f>IF(ISNUMBER(CI27),IF(CI27&lt;$B$13,CI27,""),"")</f>
        <v/>
      </c>
      <c r="CM27">
        <f>IF(CH27="","",IFERROR(IF(IF(AND(LEN(CH27)=9,ISERROR(FIND("-",LEFT(CH27,8))),ISNUMBER(-LEFT(CH27,8))),VALUE(LEFT(CH27,4)),VALUE(LEFT(CH27,FIND("-",CH27)-1)))&lt;100,IF(AND(LEN(CH27)=9,ISERROR(FIND("-",LEFT(CH27,8))),ISNUMBER(-LEFT(CH27,8))),VALUE(LEFT(CH27,4)),VALUE(LEFT(CH27,FIND("-",CH27)-1)))+2000,IF(AND(LEN(CH27)=9,ISERROR(FIND("-",LEFT(CH27,8))),ISNUMBER(-LEFT(CH27,8))),VALUE(LEFT(CH27,4)),VALUE(LEFT(CH27,FIND("-",CH27)-1)))),""))</f>
        <v/>
      </c>
      <c r="CN27">
        <f>IF(CH27="","",IFERROR(IF(AND(LEN(CH27)=9,ISERROR(FIND("-",LEFT(CH27,8))),ISNUMBER(-LEFT(CH27,8))),VALUE(MID(CH27,5,2)),VALUE(MID(CH27,FIND("-",CH27)+1,FIND("-",CH27,FIND("-",CH27)+1)-FIND("-",CH27)-1))),""))</f>
        <v/>
      </c>
      <c r="CO27">
        <f>IF(CH27="","",IFERROR(IF(AND(LEN(CH27)=9,ISERROR(FIND("-",LEFT(CH27,8))),ISNUMBER(-LEFT(CH27,8))),VALUE(MID(CH27,7,2)),VALUE(MID(CH27,FIND("-",CH27,FIND("-",CH27)+1)+1,FIND("-",CH27,FIND("-",CH27,FIND("-",CH27)+1)+1)-FIND("-",CH27,FIND("-",CH27)+1)-1))),""))</f>
        <v/>
      </c>
    </row>
    <row r="28">
      <c r="CB28" t="n">
        <v>27</v>
      </c>
      <c r="CC28">
        <f>IF($B$1+CB28&gt;90,0,12*MAX(0,$B$6-IF($B$1+CB28&gt;=$B$23,$B$22,0))*(1+$B$4)^CB28/(1+$B$3)^(CB28-1))</f>
        <v/>
      </c>
      <c r="CE28">
        <f>IF($B$1+26&gt;90,NA(),$B$1+26)</f>
        <v/>
      </c>
      <c r="CF28">
        <f>IF(OR($B$21="",$B$1+26&gt;90),NA(),INDEX($C$40:$BU$90,$B$21-$B$1+1,27))</f>
        <v/>
      </c>
      <c r="CH28">
        <f>IF(ISTEXT('월 가계부'!A28),SUBSTITUTE(SUBSTITUTE(SUBSTITUTE(SUBSTITUTE(SUBSTITUTE(SUBSTITUTE(SUBSTITUTE(SUBSTITUTE(SUBSTITUTE(TRIM('월 가계부'!A28),"년","-"),"월","-"),"일",""),".","-"),"/","-")," ","-"),"--","-"),"--","-"),"--","-")&amp;"-","")</f>
        <v/>
      </c>
      <c r="CI28">
        <f>IFERROR(IF('월 가계부'!A28="","",IF(ISNUMBER('월 가계부'!A28),IF(AND('월 가계부'!A28&gt;=19000101,'월 가계부'!A28&lt;=21001231),IF(AND(MOD(INT('월 가계부'!A28/100),100)&gt;=1,MOD(INT('월 가계부'!A28/100),100)&lt;=12,MOD(INT('월 가계부'!A28),100)&gt;=1,MOD(INT('월 가계부'!A28),100)&lt;=31),IF(MONTH(DATE(INT('월 가계부'!A28/10000),MOD(INT('월 가계부'!A28/100),100),MOD(INT('월 가계부'!A28),100)))=MOD(INT('월 가계부'!A28/100),100),DATE(INT('월 가계부'!A28/10000),MOD(INT('월 가계부'!A28/100),100),MOD(INT('월 가계부'!A28),100)),""),""),IF(AND('월 가계부'!A28&gt;=36526,'월 가계부'!A28&lt;73051),INT('월 가계부'!A28),"")),IF(OR(CM28="",CN28="",CO28=""),"",IF(AND(CM28&gt;=2000,CM28&lt;=2099,CN28&gt;=1,CN28&lt;=12,CO28&gt;=1,CO28&lt;=31),IF(MONTH(DATE(CM28,CN28,CO28))=CN28,DATE(CM28,CN28,CO28),""),"")))),"")</f>
        <v/>
      </c>
      <c r="CJ28">
        <f>IFERROR(IF('월 가계부'!C28="","",IF(ISNUMBER('월 가계부'!C28),'월 가계부'!C28,VALUE(SUBSTITUTE(SUBSTITUTE(SUBSTITUTE(SUBSTITUTE(TRIM('월 가계부'!C28),",",""),"원","")," ",""),"−","-")))),"")</f>
        <v/>
      </c>
      <c r="CK28">
        <f>IF(ISNUMBER(CI28),IF(CI28&lt;$B$13,CI28,""),"")</f>
        <v/>
      </c>
      <c r="CM28">
        <f>IF(CH28="","",IFERROR(IF(IF(AND(LEN(CH28)=9,ISERROR(FIND("-",LEFT(CH28,8))),ISNUMBER(-LEFT(CH28,8))),VALUE(LEFT(CH28,4)),VALUE(LEFT(CH28,FIND("-",CH28)-1)))&lt;100,IF(AND(LEN(CH28)=9,ISERROR(FIND("-",LEFT(CH28,8))),ISNUMBER(-LEFT(CH28,8))),VALUE(LEFT(CH28,4)),VALUE(LEFT(CH28,FIND("-",CH28)-1)))+2000,IF(AND(LEN(CH28)=9,ISERROR(FIND("-",LEFT(CH28,8))),ISNUMBER(-LEFT(CH28,8))),VALUE(LEFT(CH28,4)),VALUE(LEFT(CH28,FIND("-",CH28)-1)))),""))</f>
        <v/>
      </c>
      <c r="CN28">
        <f>IF(CH28="","",IFERROR(IF(AND(LEN(CH28)=9,ISERROR(FIND("-",LEFT(CH28,8))),ISNUMBER(-LEFT(CH28,8))),VALUE(MID(CH28,5,2)),VALUE(MID(CH28,FIND("-",CH28)+1,FIND("-",CH28,FIND("-",CH28)+1)-FIND("-",CH28)-1))),""))</f>
        <v/>
      </c>
      <c r="CO28">
        <f>IF(CH28="","",IFERROR(IF(AND(LEN(CH28)=9,ISERROR(FIND("-",LEFT(CH28,8))),ISNUMBER(-LEFT(CH28,8))),VALUE(MID(CH28,7,2)),VALUE(MID(CH28,FIND("-",CH28,FIND("-",CH28)+1)+1,FIND("-",CH28,FIND("-",CH28,FIND("-",CH28)+1)+1)-FIND("-",CH28,FIND("-",CH28)+1)-1))),""))</f>
        <v/>
      </c>
    </row>
    <row r="29">
      <c r="CB29" t="n">
        <v>28</v>
      </c>
      <c r="CC29">
        <f>IF($B$1+CB29&gt;90,0,12*MAX(0,$B$6-IF($B$1+CB29&gt;=$B$23,$B$22,0))*(1+$B$4)^CB29/(1+$B$3)^(CB29-1))</f>
        <v/>
      </c>
      <c r="CE29">
        <f>IF($B$1+27&gt;90,NA(),$B$1+27)</f>
        <v/>
      </c>
      <c r="CF29">
        <f>IF(OR($B$21="",$B$1+27&gt;90),NA(),INDEX($C$40:$BU$90,$B$21-$B$1+1,28))</f>
        <v/>
      </c>
      <c r="CH29">
        <f>IF(ISTEXT('월 가계부'!A29),SUBSTITUTE(SUBSTITUTE(SUBSTITUTE(SUBSTITUTE(SUBSTITUTE(SUBSTITUTE(SUBSTITUTE(SUBSTITUTE(SUBSTITUTE(TRIM('월 가계부'!A29),"년","-"),"월","-"),"일",""),".","-"),"/","-")," ","-"),"--","-"),"--","-"),"--","-")&amp;"-","")</f>
        <v/>
      </c>
      <c r="CI29">
        <f>IFERROR(IF('월 가계부'!A29="","",IF(ISNUMBER('월 가계부'!A29),IF(AND('월 가계부'!A29&gt;=19000101,'월 가계부'!A29&lt;=21001231),IF(AND(MOD(INT('월 가계부'!A29/100),100)&gt;=1,MOD(INT('월 가계부'!A29/100),100)&lt;=12,MOD(INT('월 가계부'!A29),100)&gt;=1,MOD(INT('월 가계부'!A29),100)&lt;=31),IF(MONTH(DATE(INT('월 가계부'!A29/10000),MOD(INT('월 가계부'!A29/100),100),MOD(INT('월 가계부'!A29),100)))=MOD(INT('월 가계부'!A29/100),100),DATE(INT('월 가계부'!A29/10000),MOD(INT('월 가계부'!A29/100),100),MOD(INT('월 가계부'!A29),100)),""),""),IF(AND('월 가계부'!A29&gt;=36526,'월 가계부'!A29&lt;73051),INT('월 가계부'!A29),"")),IF(OR(CM29="",CN29="",CO29=""),"",IF(AND(CM29&gt;=2000,CM29&lt;=2099,CN29&gt;=1,CN29&lt;=12,CO29&gt;=1,CO29&lt;=31),IF(MONTH(DATE(CM29,CN29,CO29))=CN29,DATE(CM29,CN29,CO29),""),"")))),"")</f>
        <v/>
      </c>
      <c r="CJ29">
        <f>IFERROR(IF('월 가계부'!C29="","",IF(ISNUMBER('월 가계부'!C29),'월 가계부'!C29,VALUE(SUBSTITUTE(SUBSTITUTE(SUBSTITUTE(SUBSTITUTE(TRIM('월 가계부'!C29),",",""),"원","")," ",""),"−","-")))),"")</f>
        <v/>
      </c>
      <c r="CK29">
        <f>IF(ISNUMBER(CI29),IF(CI29&lt;$B$13,CI29,""),"")</f>
        <v/>
      </c>
      <c r="CM29">
        <f>IF(CH29="","",IFERROR(IF(IF(AND(LEN(CH29)=9,ISERROR(FIND("-",LEFT(CH29,8))),ISNUMBER(-LEFT(CH29,8))),VALUE(LEFT(CH29,4)),VALUE(LEFT(CH29,FIND("-",CH29)-1)))&lt;100,IF(AND(LEN(CH29)=9,ISERROR(FIND("-",LEFT(CH29,8))),ISNUMBER(-LEFT(CH29,8))),VALUE(LEFT(CH29,4)),VALUE(LEFT(CH29,FIND("-",CH29)-1)))+2000,IF(AND(LEN(CH29)=9,ISERROR(FIND("-",LEFT(CH29,8))),ISNUMBER(-LEFT(CH29,8))),VALUE(LEFT(CH29,4)),VALUE(LEFT(CH29,FIND("-",CH29)-1)))),""))</f>
        <v/>
      </c>
      <c r="CN29">
        <f>IF(CH29="","",IFERROR(IF(AND(LEN(CH29)=9,ISERROR(FIND("-",LEFT(CH29,8))),ISNUMBER(-LEFT(CH29,8))),VALUE(MID(CH29,5,2)),VALUE(MID(CH29,FIND("-",CH29)+1,FIND("-",CH29,FIND("-",CH29)+1)-FIND("-",CH29)-1))),""))</f>
        <v/>
      </c>
      <c r="CO29">
        <f>IF(CH29="","",IFERROR(IF(AND(LEN(CH29)=9,ISERROR(FIND("-",LEFT(CH29,8))),ISNUMBER(-LEFT(CH29,8))),VALUE(MID(CH29,7,2)),VALUE(MID(CH29,FIND("-",CH29,FIND("-",CH29)+1)+1,FIND("-",CH29,FIND("-",CH29,FIND("-",CH29)+1)+1)-FIND("-",CH29,FIND("-",CH29)+1)-1))),""))</f>
        <v/>
      </c>
    </row>
    <row r="30">
      <c r="A30" t="inlineStr">
        <is>
          <t>큰 숫자</t>
        </is>
      </c>
      <c r="B30">
        <f>IF(B5="","가계부를 넣어 주세요",IF(D37="","70세 넘음",IF(B37=$B$1,"지금",B37&amp;"세")))</f>
        <v/>
      </c>
      <c r="CB30" t="n">
        <v>29</v>
      </c>
      <c r="CC30">
        <f>IF($B$1+CB30&gt;90,0,12*MAX(0,$B$6-IF($B$1+CB30&gt;=$B$23,$B$22,0))*(1+$B$4)^CB30/(1+$B$3)^(CB30-1))</f>
        <v/>
      </c>
      <c r="CE30">
        <f>IF($B$1+28&gt;90,NA(),$B$1+28)</f>
        <v/>
      </c>
      <c r="CF30">
        <f>IF(OR($B$21="",$B$1+28&gt;90),NA(),INDEX($C$40:$BU$90,$B$21-$B$1+1,29))</f>
        <v/>
      </c>
      <c r="CH30">
        <f>IF(ISTEXT('월 가계부'!A30),SUBSTITUTE(SUBSTITUTE(SUBSTITUTE(SUBSTITUTE(SUBSTITUTE(SUBSTITUTE(SUBSTITUTE(SUBSTITUTE(SUBSTITUTE(TRIM('월 가계부'!A30),"년","-"),"월","-"),"일",""),".","-"),"/","-")," ","-"),"--","-"),"--","-"),"--","-")&amp;"-","")</f>
        <v/>
      </c>
      <c r="CI30">
        <f>IFERROR(IF('월 가계부'!A30="","",IF(ISNUMBER('월 가계부'!A30),IF(AND('월 가계부'!A30&gt;=19000101,'월 가계부'!A30&lt;=21001231),IF(AND(MOD(INT('월 가계부'!A30/100),100)&gt;=1,MOD(INT('월 가계부'!A30/100),100)&lt;=12,MOD(INT('월 가계부'!A30),100)&gt;=1,MOD(INT('월 가계부'!A30),100)&lt;=31),IF(MONTH(DATE(INT('월 가계부'!A30/10000),MOD(INT('월 가계부'!A30/100),100),MOD(INT('월 가계부'!A30),100)))=MOD(INT('월 가계부'!A30/100),100),DATE(INT('월 가계부'!A30/10000),MOD(INT('월 가계부'!A30/100),100),MOD(INT('월 가계부'!A30),100)),""),""),IF(AND('월 가계부'!A30&gt;=36526,'월 가계부'!A30&lt;73051),INT('월 가계부'!A30),"")),IF(OR(CM30="",CN30="",CO30=""),"",IF(AND(CM30&gt;=2000,CM30&lt;=2099,CN30&gt;=1,CN30&lt;=12,CO30&gt;=1,CO30&lt;=31),IF(MONTH(DATE(CM30,CN30,CO30))=CN30,DATE(CM30,CN30,CO30),""),"")))),"")</f>
        <v/>
      </c>
      <c r="CJ30">
        <f>IFERROR(IF('월 가계부'!C30="","",IF(ISNUMBER('월 가계부'!C30),'월 가계부'!C30,VALUE(SUBSTITUTE(SUBSTITUTE(SUBSTITUTE(SUBSTITUTE(TRIM('월 가계부'!C30),",",""),"원","")," ",""),"−","-")))),"")</f>
        <v/>
      </c>
      <c r="CK30">
        <f>IF(ISNUMBER(CI30),IF(CI30&lt;$B$13,CI30,""),"")</f>
        <v/>
      </c>
      <c r="CM30">
        <f>IF(CH30="","",IFERROR(IF(IF(AND(LEN(CH30)=9,ISERROR(FIND("-",LEFT(CH30,8))),ISNUMBER(-LEFT(CH30,8))),VALUE(LEFT(CH30,4)),VALUE(LEFT(CH30,FIND("-",CH30)-1)))&lt;100,IF(AND(LEN(CH30)=9,ISERROR(FIND("-",LEFT(CH30,8))),ISNUMBER(-LEFT(CH30,8))),VALUE(LEFT(CH30,4)),VALUE(LEFT(CH30,FIND("-",CH30)-1)))+2000,IF(AND(LEN(CH30)=9,ISERROR(FIND("-",LEFT(CH30,8))),ISNUMBER(-LEFT(CH30,8))),VALUE(LEFT(CH30,4)),VALUE(LEFT(CH30,FIND("-",CH30)-1)))),""))</f>
        <v/>
      </c>
      <c r="CN30">
        <f>IF(CH30="","",IFERROR(IF(AND(LEN(CH30)=9,ISERROR(FIND("-",LEFT(CH30,8))),ISNUMBER(-LEFT(CH30,8))),VALUE(MID(CH30,5,2)),VALUE(MID(CH30,FIND("-",CH30)+1,FIND("-",CH30,FIND("-",CH30)+1)-FIND("-",CH30)-1))),""))</f>
        <v/>
      </c>
      <c r="CO30">
        <f>IF(CH30="","",IFERROR(IF(AND(LEN(CH30)=9,ISERROR(FIND("-",LEFT(CH30,8))),ISNUMBER(-LEFT(CH30,8))),VALUE(MID(CH30,7,2)),VALUE(MID(CH30,FIND("-",CH30,FIND("-",CH30)+1)+1,FIND("-",CH30,FIND("-",CH30,FIND("-",CH30)+1)+1)-FIND("-",CH30,FIND("-",CH30)+1)-1))),""))</f>
        <v/>
      </c>
    </row>
    <row r="31">
      <c r="A31" t="inlineStr">
        <is>
          <t>지난달 대비</t>
        </is>
      </c>
      <c r="B31">
        <f>IFERROR(IF(OR(B8=0,D37="",D149=""),"",IF(D37=D149,"지난달과 같음","이번 달 지출대로면 지난달보다 "&amp;ABS(D37-D149)&amp;"개월 "&amp;IF(D37&lt;D149,"빨라져요","늦어져요"))),"")</f>
        <v/>
      </c>
      <c r="CB31" t="n">
        <v>30</v>
      </c>
      <c r="CC31">
        <f>IF($B$1+CB31&gt;90,0,12*MAX(0,$B$6-IF($B$1+CB31&gt;=$B$23,$B$22,0))*(1+$B$4)^CB31/(1+$B$3)^(CB31-1))</f>
        <v/>
      </c>
      <c r="CE31">
        <f>IF($B$1+29&gt;90,NA(),$B$1+29)</f>
        <v/>
      </c>
      <c r="CF31">
        <f>IF(OR($B$21="",$B$1+29&gt;90),NA(),INDEX($C$40:$BU$90,$B$21-$B$1+1,30))</f>
        <v/>
      </c>
      <c r="CH31">
        <f>IF(ISTEXT('월 가계부'!A31),SUBSTITUTE(SUBSTITUTE(SUBSTITUTE(SUBSTITUTE(SUBSTITUTE(SUBSTITUTE(SUBSTITUTE(SUBSTITUTE(SUBSTITUTE(TRIM('월 가계부'!A31),"년","-"),"월","-"),"일",""),".","-"),"/","-")," ","-"),"--","-"),"--","-"),"--","-")&amp;"-","")</f>
        <v/>
      </c>
      <c r="CI31">
        <f>IFERROR(IF('월 가계부'!A31="","",IF(ISNUMBER('월 가계부'!A31),IF(AND('월 가계부'!A31&gt;=19000101,'월 가계부'!A31&lt;=21001231),IF(AND(MOD(INT('월 가계부'!A31/100),100)&gt;=1,MOD(INT('월 가계부'!A31/100),100)&lt;=12,MOD(INT('월 가계부'!A31),100)&gt;=1,MOD(INT('월 가계부'!A31),100)&lt;=31),IF(MONTH(DATE(INT('월 가계부'!A31/10000),MOD(INT('월 가계부'!A31/100),100),MOD(INT('월 가계부'!A31),100)))=MOD(INT('월 가계부'!A31/100),100),DATE(INT('월 가계부'!A31/10000),MOD(INT('월 가계부'!A31/100),100),MOD(INT('월 가계부'!A31),100)),""),""),IF(AND('월 가계부'!A31&gt;=36526,'월 가계부'!A31&lt;73051),INT('월 가계부'!A31),"")),IF(OR(CM31="",CN31="",CO31=""),"",IF(AND(CM31&gt;=2000,CM31&lt;=2099,CN31&gt;=1,CN31&lt;=12,CO31&gt;=1,CO31&lt;=31),IF(MONTH(DATE(CM31,CN31,CO31))=CN31,DATE(CM31,CN31,CO31),""),"")))),"")</f>
        <v/>
      </c>
      <c r="CJ31">
        <f>IFERROR(IF('월 가계부'!C31="","",IF(ISNUMBER('월 가계부'!C31),'월 가계부'!C31,VALUE(SUBSTITUTE(SUBSTITUTE(SUBSTITUTE(SUBSTITUTE(TRIM('월 가계부'!C31),",",""),"원","")," ",""),"−","-")))),"")</f>
        <v/>
      </c>
      <c r="CK31">
        <f>IF(ISNUMBER(CI31),IF(CI31&lt;$B$13,CI31,""),"")</f>
        <v/>
      </c>
      <c r="CM31">
        <f>IF(CH31="","",IFERROR(IF(IF(AND(LEN(CH31)=9,ISERROR(FIND("-",LEFT(CH31,8))),ISNUMBER(-LEFT(CH31,8))),VALUE(LEFT(CH31,4)),VALUE(LEFT(CH31,FIND("-",CH31)-1)))&lt;100,IF(AND(LEN(CH31)=9,ISERROR(FIND("-",LEFT(CH31,8))),ISNUMBER(-LEFT(CH31,8))),VALUE(LEFT(CH31,4)),VALUE(LEFT(CH31,FIND("-",CH31)-1)))+2000,IF(AND(LEN(CH31)=9,ISERROR(FIND("-",LEFT(CH31,8))),ISNUMBER(-LEFT(CH31,8))),VALUE(LEFT(CH31,4)),VALUE(LEFT(CH31,FIND("-",CH31)-1)))),""))</f>
        <v/>
      </c>
      <c r="CN31">
        <f>IF(CH31="","",IFERROR(IF(AND(LEN(CH31)=9,ISERROR(FIND("-",LEFT(CH31,8))),ISNUMBER(-LEFT(CH31,8))),VALUE(MID(CH31,5,2)),VALUE(MID(CH31,FIND("-",CH31)+1,FIND("-",CH31,FIND("-",CH31)+1)-FIND("-",CH31)-1))),""))</f>
        <v/>
      </c>
      <c r="CO31">
        <f>IF(CH31="","",IFERROR(IF(AND(LEN(CH31)=9,ISERROR(FIND("-",LEFT(CH31,8))),ISNUMBER(-LEFT(CH31,8))),VALUE(MID(CH31,7,2)),VALUE(MID(CH31,FIND("-",CH31,FIND("-",CH31)+1)+1,FIND("-",CH31,FIND("-",CH31,FIND("-",CH31)+1)+1)-FIND("-",CH31,FIND("-",CH31)+1)-1))),""))</f>
        <v/>
      </c>
    </row>
    <row r="32">
      <c r="A32" t="inlineStr">
        <is>
          <t>필요 자산</t>
        </is>
      </c>
      <c r="B32">
        <f>CEILING(SUM(CC2:CC71),1)</f>
        <v/>
      </c>
      <c r="CB32" t="n">
        <v>31</v>
      </c>
      <c r="CC32">
        <f>IF($B$1+CB32&gt;90,0,12*MAX(0,$B$6-IF($B$1+CB32&gt;=$B$23,$B$22,0))*(1+$B$4)^CB32/(1+$B$3)^(CB32-1))</f>
        <v/>
      </c>
      <c r="CE32">
        <f>IF($B$1+30&gt;90,NA(),$B$1+30)</f>
        <v/>
      </c>
      <c r="CF32">
        <f>IF(OR($B$21="",$B$1+30&gt;90),NA(),INDEX($C$40:$BU$90,$B$21-$B$1+1,31))</f>
        <v/>
      </c>
      <c r="CH32">
        <f>IF(ISTEXT('월 가계부'!A32),SUBSTITUTE(SUBSTITUTE(SUBSTITUTE(SUBSTITUTE(SUBSTITUTE(SUBSTITUTE(SUBSTITUTE(SUBSTITUTE(SUBSTITUTE(TRIM('월 가계부'!A32),"년","-"),"월","-"),"일",""),".","-"),"/","-")," ","-"),"--","-"),"--","-"),"--","-")&amp;"-","")</f>
        <v/>
      </c>
      <c r="CI32">
        <f>IFERROR(IF('월 가계부'!A32="","",IF(ISNUMBER('월 가계부'!A32),IF(AND('월 가계부'!A32&gt;=19000101,'월 가계부'!A32&lt;=21001231),IF(AND(MOD(INT('월 가계부'!A32/100),100)&gt;=1,MOD(INT('월 가계부'!A32/100),100)&lt;=12,MOD(INT('월 가계부'!A32),100)&gt;=1,MOD(INT('월 가계부'!A32),100)&lt;=31),IF(MONTH(DATE(INT('월 가계부'!A32/10000),MOD(INT('월 가계부'!A32/100),100),MOD(INT('월 가계부'!A32),100)))=MOD(INT('월 가계부'!A32/100),100),DATE(INT('월 가계부'!A32/10000),MOD(INT('월 가계부'!A32/100),100),MOD(INT('월 가계부'!A32),100)),""),""),IF(AND('월 가계부'!A32&gt;=36526,'월 가계부'!A32&lt;73051),INT('월 가계부'!A32),"")),IF(OR(CM32="",CN32="",CO32=""),"",IF(AND(CM32&gt;=2000,CM32&lt;=2099,CN32&gt;=1,CN32&lt;=12,CO32&gt;=1,CO32&lt;=31),IF(MONTH(DATE(CM32,CN32,CO32))=CN32,DATE(CM32,CN32,CO32),""),"")))),"")</f>
        <v/>
      </c>
      <c r="CJ32">
        <f>IFERROR(IF('월 가계부'!C32="","",IF(ISNUMBER('월 가계부'!C32),'월 가계부'!C32,VALUE(SUBSTITUTE(SUBSTITUTE(SUBSTITUTE(SUBSTITUTE(TRIM('월 가계부'!C32),",",""),"원","")," ",""),"−","-")))),"")</f>
        <v/>
      </c>
      <c r="CK32">
        <f>IF(ISNUMBER(CI32),IF(CI32&lt;$B$13,CI32,""),"")</f>
        <v/>
      </c>
      <c r="CM32">
        <f>IF(CH32="","",IFERROR(IF(IF(AND(LEN(CH32)=9,ISERROR(FIND("-",LEFT(CH32,8))),ISNUMBER(-LEFT(CH32,8))),VALUE(LEFT(CH32,4)),VALUE(LEFT(CH32,FIND("-",CH32)-1)))&lt;100,IF(AND(LEN(CH32)=9,ISERROR(FIND("-",LEFT(CH32,8))),ISNUMBER(-LEFT(CH32,8))),VALUE(LEFT(CH32,4)),VALUE(LEFT(CH32,FIND("-",CH32)-1)))+2000,IF(AND(LEN(CH32)=9,ISERROR(FIND("-",LEFT(CH32,8))),ISNUMBER(-LEFT(CH32,8))),VALUE(LEFT(CH32,4)),VALUE(LEFT(CH32,FIND("-",CH32)-1)))),""))</f>
        <v/>
      </c>
      <c r="CN32">
        <f>IF(CH32="","",IFERROR(IF(AND(LEN(CH32)=9,ISERROR(FIND("-",LEFT(CH32,8))),ISNUMBER(-LEFT(CH32,8))),VALUE(MID(CH32,5,2)),VALUE(MID(CH32,FIND("-",CH32)+1,FIND("-",CH32,FIND("-",CH32)+1)-FIND("-",CH32)-1))),""))</f>
        <v/>
      </c>
      <c r="CO32">
        <f>IF(CH32="","",IFERROR(IF(AND(LEN(CH32)=9,ISERROR(FIND("-",LEFT(CH32,8))),ISNUMBER(-LEFT(CH32,8))),VALUE(MID(CH32,7,2)),VALUE(MID(CH32,FIND("-",CH32,FIND("-",CH32)+1)+1,FIND("-",CH32,FIND("-",CH32,FIND("-",CH32)+1)+1)-FIND("-",CH32,FIND("-",CH32)+1)-1))),""))</f>
        <v/>
      </c>
    </row>
    <row r="33">
      <c r="A33" t="inlineStr">
        <is>
          <t>경고</t>
        </is>
      </c>
      <c r="B33">
        <f>TRIM(IF(B16,"아직 끝나지 않은 "&amp;(YEAR(B5)&amp;"년 "&amp;MONTH(B5)&amp;"월")&amp;" 가계부로 계산했어요. 달이 끝나기 전에는 숫자가 크게 틀릴 수 있어요. ","")&amp;IF(B18&gt;0,"날짜나 금액을 못 읽은 "&amp;B18&amp;"줄은 빠졌어요(월 가계부 E열). ","")&amp;IF(B19&gt;0,"3,000줄(3002행) 밖에 적은 "&amp;B19&amp;"줄은 빠졌어요.",""))</f>
        <v/>
      </c>
      <c r="CB33" t="n">
        <v>32</v>
      </c>
      <c r="CC33">
        <f>IF($B$1+CB33&gt;90,0,12*MAX(0,$B$6-IF($B$1+CB33&gt;=$B$23,$B$22,0))*(1+$B$4)^CB33/(1+$B$3)^(CB33-1))</f>
        <v/>
      </c>
      <c r="CE33">
        <f>IF($B$1+31&gt;90,NA(),$B$1+31)</f>
        <v/>
      </c>
      <c r="CF33">
        <f>IF(OR($B$21="",$B$1+31&gt;90),NA(),INDEX($C$40:$BU$90,$B$21-$B$1+1,32))</f>
        <v/>
      </c>
      <c r="CH33">
        <f>IF(ISTEXT('월 가계부'!A33),SUBSTITUTE(SUBSTITUTE(SUBSTITUTE(SUBSTITUTE(SUBSTITUTE(SUBSTITUTE(SUBSTITUTE(SUBSTITUTE(SUBSTITUTE(TRIM('월 가계부'!A33),"년","-"),"월","-"),"일",""),".","-"),"/","-")," ","-"),"--","-"),"--","-"),"--","-")&amp;"-","")</f>
        <v/>
      </c>
      <c r="CI33">
        <f>IFERROR(IF('월 가계부'!A33="","",IF(ISNUMBER('월 가계부'!A33),IF(AND('월 가계부'!A33&gt;=19000101,'월 가계부'!A33&lt;=21001231),IF(AND(MOD(INT('월 가계부'!A33/100),100)&gt;=1,MOD(INT('월 가계부'!A33/100),100)&lt;=12,MOD(INT('월 가계부'!A33),100)&gt;=1,MOD(INT('월 가계부'!A33),100)&lt;=31),IF(MONTH(DATE(INT('월 가계부'!A33/10000),MOD(INT('월 가계부'!A33/100),100),MOD(INT('월 가계부'!A33),100)))=MOD(INT('월 가계부'!A33/100),100),DATE(INT('월 가계부'!A33/10000),MOD(INT('월 가계부'!A33/100),100),MOD(INT('월 가계부'!A33),100)),""),""),IF(AND('월 가계부'!A33&gt;=36526,'월 가계부'!A33&lt;73051),INT('월 가계부'!A33),"")),IF(OR(CM33="",CN33="",CO33=""),"",IF(AND(CM33&gt;=2000,CM33&lt;=2099,CN33&gt;=1,CN33&lt;=12,CO33&gt;=1,CO33&lt;=31),IF(MONTH(DATE(CM33,CN33,CO33))=CN33,DATE(CM33,CN33,CO33),""),"")))),"")</f>
        <v/>
      </c>
      <c r="CJ33">
        <f>IFERROR(IF('월 가계부'!C33="","",IF(ISNUMBER('월 가계부'!C33),'월 가계부'!C33,VALUE(SUBSTITUTE(SUBSTITUTE(SUBSTITUTE(SUBSTITUTE(TRIM('월 가계부'!C33),",",""),"원","")," ",""),"−","-")))),"")</f>
        <v/>
      </c>
      <c r="CK33">
        <f>IF(ISNUMBER(CI33),IF(CI33&lt;$B$13,CI33,""),"")</f>
        <v/>
      </c>
      <c r="CM33">
        <f>IF(CH33="","",IFERROR(IF(IF(AND(LEN(CH33)=9,ISERROR(FIND("-",LEFT(CH33,8))),ISNUMBER(-LEFT(CH33,8))),VALUE(LEFT(CH33,4)),VALUE(LEFT(CH33,FIND("-",CH33)-1)))&lt;100,IF(AND(LEN(CH33)=9,ISERROR(FIND("-",LEFT(CH33,8))),ISNUMBER(-LEFT(CH33,8))),VALUE(LEFT(CH33,4)),VALUE(LEFT(CH33,FIND("-",CH33)-1)))+2000,IF(AND(LEN(CH33)=9,ISERROR(FIND("-",LEFT(CH33,8))),ISNUMBER(-LEFT(CH33,8))),VALUE(LEFT(CH33,4)),VALUE(LEFT(CH33,FIND("-",CH33)-1)))),""))</f>
        <v/>
      </c>
      <c r="CN33">
        <f>IF(CH33="","",IFERROR(IF(AND(LEN(CH33)=9,ISERROR(FIND("-",LEFT(CH33,8))),ISNUMBER(-LEFT(CH33,8))),VALUE(MID(CH33,5,2)),VALUE(MID(CH33,FIND("-",CH33)+1,FIND("-",CH33,FIND("-",CH33)+1)-FIND("-",CH33)-1))),""))</f>
        <v/>
      </c>
      <c r="CO33">
        <f>IF(CH33="","",IFERROR(IF(AND(LEN(CH33)=9,ISERROR(FIND("-",LEFT(CH33,8))),ISNUMBER(-LEFT(CH33,8))),VALUE(MID(CH33,7,2)),VALUE(MID(CH33,FIND("-",CH33,FIND("-",CH33)+1)+1,FIND("-",CH33,FIND("-",CH33,FIND("-",CH33)+1)+1)-FIND("-",CH33,FIND("-",CH33)+1)-1))),""))</f>
        <v/>
      </c>
    </row>
    <row r="34">
      <c r="A34" t="inlineStr">
        <is>
          <t>기준 달</t>
        </is>
      </c>
      <c r="B34">
        <f>IF(B5="","",(YEAR(B5)&amp;"년 "&amp;MONTH(B5)&amp;"월")&amp;" 가계부 기준"&amp;IF(AND(NOT(B16),B17&gt;0)," · 이번 달부터 적은 "&amp;B17&amp;"줄은 달이 끝나면 들어가요",""))</f>
        <v/>
      </c>
      <c r="CB34" t="n">
        <v>33</v>
      </c>
      <c r="CC34">
        <f>IF($B$1+CB34&gt;90,0,12*MAX(0,$B$6-IF($B$1+CB34&gt;=$B$23,$B$22,0))*(1+$B$4)^CB34/(1+$B$3)^(CB34-1))</f>
        <v/>
      </c>
      <c r="CE34">
        <f>IF($B$1+32&gt;90,NA(),$B$1+32)</f>
        <v/>
      </c>
      <c r="CF34">
        <f>IF(OR($B$21="",$B$1+32&gt;90),NA(),INDEX($C$40:$BU$90,$B$21-$B$1+1,33))</f>
        <v/>
      </c>
      <c r="CH34">
        <f>IF(ISTEXT('월 가계부'!A34),SUBSTITUTE(SUBSTITUTE(SUBSTITUTE(SUBSTITUTE(SUBSTITUTE(SUBSTITUTE(SUBSTITUTE(SUBSTITUTE(SUBSTITUTE(TRIM('월 가계부'!A34),"년","-"),"월","-"),"일",""),".","-"),"/","-")," ","-"),"--","-"),"--","-"),"--","-")&amp;"-","")</f>
        <v/>
      </c>
      <c r="CI34">
        <f>IFERROR(IF('월 가계부'!A34="","",IF(ISNUMBER('월 가계부'!A34),IF(AND('월 가계부'!A34&gt;=19000101,'월 가계부'!A34&lt;=21001231),IF(AND(MOD(INT('월 가계부'!A34/100),100)&gt;=1,MOD(INT('월 가계부'!A34/100),100)&lt;=12,MOD(INT('월 가계부'!A34),100)&gt;=1,MOD(INT('월 가계부'!A34),100)&lt;=31),IF(MONTH(DATE(INT('월 가계부'!A34/10000),MOD(INT('월 가계부'!A34/100),100),MOD(INT('월 가계부'!A34),100)))=MOD(INT('월 가계부'!A34/100),100),DATE(INT('월 가계부'!A34/10000),MOD(INT('월 가계부'!A34/100),100),MOD(INT('월 가계부'!A34),100)),""),""),IF(AND('월 가계부'!A34&gt;=36526,'월 가계부'!A34&lt;73051),INT('월 가계부'!A34),"")),IF(OR(CM34="",CN34="",CO34=""),"",IF(AND(CM34&gt;=2000,CM34&lt;=2099,CN34&gt;=1,CN34&lt;=12,CO34&gt;=1,CO34&lt;=31),IF(MONTH(DATE(CM34,CN34,CO34))=CN34,DATE(CM34,CN34,CO34),""),"")))),"")</f>
        <v/>
      </c>
      <c r="CJ34">
        <f>IFERROR(IF('월 가계부'!C34="","",IF(ISNUMBER('월 가계부'!C34),'월 가계부'!C34,VALUE(SUBSTITUTE(SUBSTITUTE(SUBSTITUTE(SUBSTITUTE(TRIM('월 가계부'!C34),",",""),"원","")," ",""),"−","-")))),"")</f>
        <v/>
      </c>
      <c r="CK34">
        <f>IF(ISNUMBER(CI34),IF(CI34&lt;$B$13,CI34,""),"")</f>
        <v/>
      </c>
      <c r="CM34">
        <f>IF(CH34="","",IFERROR(IF(IF(AND(LEN(CH34)=9,ISERROR(FIND("-",LEFT(CH34,8))),ISNUMBER(-LEFT(CH34,8))),VALUE(LEFT(CH34,4)),VALUE(LEFT(CH34,FIND("-",CH34)-1)))&lt;100,IF(AND(LEN(CH34)=9,ISERROR(FIND("-",LEFT(CH34,8))),ISNUMBER(-LEFT(CH34,8))),VALUE(LEFT(CH34,4)),VALUE(LEFT(CH34,FIND("-",CH34)-1)))+2000,IF(AND(LEN(CH34)=9,ISERROR(FIND("-",LEFT(CH34,8))),ISNUMBER(-LEFT(CH34,8))),VALUE(LEFT(CH34,4)),VALUE(LEFT(CH34,FIND("-",CH34)-1)))),""))</f>
        <v/>
      </c>
      <c r="CN34">
        <f>IF(CH34="","",IFERROR(IF(AND(LEN(CH34)=9,ISERROR(FIND("-",LEFT(CH34,8))),ISNUMBER(-LEFT(CH34,8))),VALUE(MID(CH34,5,2)),VALUE(MID(CH34,FIND("-",CH34)+1,FIND("-",CH34,FIND("-",CH34)+1)-FIND("-",CH34)-1))),""))</f>
        <v/>
      </c>
      <c r="CO34">
        <f>IF(CH34="","",IFERROR(IF(AND(LEN(CH34)=9,ISERROR(FIND("-",LEFT(CH34,8))),ISNUMBER(-LEFT(CH34,8))),VALUE(MID(CH34,7,2)),VALUE(MID(CH34,FIND("-",CH34,FIND("-",CH34)+1)+1,FIND("-",CH34,FIND("-",CH34,FIND("-",CH34)+1)+1)-FIND("-",CH34,FIND("-",CH34)+1)-1))),""))</f>
        <v/>
      </c>
    </row>
    <row r="35">
      <c r="A35" t="inlineStr">
        <is>
          <t>10만원</t>
        </is>
      </c>
      <c r="B35">
        <f>IFERROR(IF(OR(B5="",D37="",D93=""),"",IF(D93-D37&lt;=0,"","월 지출이 10만원 늘면 은퇴가 약 "&amp;(D93-D37)&amp;"개월 늦어져요")),"")</f>
        <v/>
      </c>
      <c r="CB35" t="n">
        <v>34</v>
      </c>
      <c r="CC35">
        <f>IF($B$1+CB35&gt;90,0,12*MAX(0,$B$6-IF($B$1+CB35&gt;=$B$23,$B$22,0))*(1+$B$4)^CB35/(1+$B$3)^(CB35-1))</f>
        <v/>
      </c>
      <c r="CE35">
        <f>IF($B$1+33&gt;90,NA(),$B$1+33)</f>
        <v/>
      </c>
      <c r="CF35">
        <f>IF(OR($B$21="",$B$1+33&gt;90),NA(),INDEX($C$40:$BU$90,$B$21-$B$1+1,34))</f>
        <v/>
      </c>
      <c r="CH35">
        <f>IF(ISTEXT('월 가계부'!A35),SUBSTITUTE(SUBSTITUTE(SUBSTITUTE(SUBSTITUTE(SUBSTITUTE(SUBSTITUTE(SUBSTITUTE(SUBSTITUTE(SUBSTITUTE(TRIM('월 가계부'!A35),"년","-"),"월","-"),"일",""),".","-"),"/","-")," ","-"),"--","-"),"--","-"),"--","-")&amp;"-","")</f>
        <v/>
      </c>
      <c r="CI35">
        <f>IFERROR(IF('월 가계부'!A35="","",IF(ISNUMBER('월 가계부'!A35),IF(AND('월 가계부'!A35&gt;=19000101,'월 가계부'!A35&lt;=21001231),IF(AND(MOD(INT('월 가계부'!A35/100),100)&gt;=1,MOD(INT('월 가계부'!A35/100),100)&lt;=12,MOD(INT('월 가계부'!A35),100)&gt;=1,MOD(INT('월 가계부'!A35),100)&lt;=31),IF(MONTH(DATE(INT('월 가계부'!A35/10000),MOD(INT('월 가계부'!A35/100),100),MOD(INT('월 가계부'!A35),100)))=MOD(INT('월 가계부'!A35/100),100),DATE(INT('월 가계부'!A35/10000),MOD(INT('월 가계부'!A35/100),100),MOD(INT('월 가계부'!A35),100)),""),""),IF(AND('월 가계부'!A35&gt;=36526,'월 가계부'!A35&lt;73051),INT('월 가계부'!A35),"")),IF(OR(CM35="",CN35="",CO35=""),"",IF(AND(CM35&gt;=2000,CM35&lt;=2099,CN35&gt;=1,CN35&lt;=12,CO35&gt;=1,CO35&lt;=31),IF(MONTH(DATE(CM35,CN35,CO35))=CN35,DATE(CM35,CN35,CO35),""),"")))),"")</f>
        <v/>
      </c>
      <c r="CJ35">
        <f>IFERROR(IF('월 가계부'!C35="","",IF(ISNUMBER('월 가계부'!C35),'월 가계부'!C35,VALUE(SUBSTITUTE(SUBSTITUTE(SUBSTITUTE(SUBSTITUTE(TRIM('월 가계부'!C35),",",""),"원","")," ",""),"−","-")))),"")</f>
        <v/>
      </c>
      <c r="CK35">
        <f>IF(ISNUMBER(CI35),IF(CI35&lt;$B$13,CI35,""),"")</f>
        <v/>
      </c>
      <c r="CM35">
        <f>IF(CH35="","",IFERROR(IF(IF(AND(LEN(CH35)=9,ISERROR(FIND("-",LEFT(CH35,8))),ISNUMBER(-LEFT(CH35,8))),VALUE(LEFT(CH35,4)),VALUE(LEFT(CH35,FIND("-",CH35)-1)))&lt;100,IF(AND(LEN(CH35)=9,ISERROR(FIND("-",LEFT(CH35,8))),ISNUMBER(-LEFT(CH35,8))),VALUE(LEFT(CH35,4)),VALUE(LEFT(CH35,FIND("-",CH35)-1)))+2000,IF(AND(LEN(CH35)=9,ISERROR(FIND("-",LEFT(CH35,8))),ISNUMBER(-LEFT(CH35,8))),VALUE(LEFT(CH35,4)),VALUE(LEFT(CH35,FIND("-",CH35)-1)))),""))</f>
        <v/>
      </c>
      <c r="CN35">
        <f>IF(CH35="","",IFERROR(IF(AND(LEN(CH35)=9,ISERROR(FIND("-",LEFT(CH35,8))),ISNUMBER(-LEFT(CH35,8))),VALUE(MID(CH35,5,2)),VALUE(MID(CH35,FIND("-",CH35)+1,FIND("-",CH35,FIND("-",CH35)+1)-FIND("-",CH35)-1))),""))</f>
        <v/>
      </c>
      <c r="CO35">
        <f>IF(CH35="","",IFERROR(IF(AND(LEN(CH35)=9,ISERROR(FIND("-",LEFT(CH35,8))),ISNUMBER(-LEFT(CH35,8))),VALUE(MID(CH35,7,2)),VALUE(MID(CH35,FIND("-",CH35,FIND("-",CH35)+1)+1,FIND("-",CH35,FIND("-",CH35,FIND("-",CH35)+1)+1)-FIND("-",CH35,FIND("-",CH35)+1)-1))),""))</f>
        <v/>
      </c>
    </row>
    <row r="36">
      <c r="CB36" t="n">
        <v>35</v>
      </c>
      <c r="CC36">
        <f>IF($B$1+CB36&gt;90,0,12*MAX(0,$B$6-IF($B$1+CB36&gt;=$B$23,$B$22,0))*(1+$B$4)^CB36/(1+$B$3)^(CB36-1))</f>
        <v/>
      </c>
      <c r="CE36">
        <f>IF($B$1+34&gt;90,NA(),$B$1+34)</f>
        <v/>
      </c>
      <c r="CF36">
        <f>IF(OR($B$21="",$B$1+34&gt;90),NA(),INDEX($C$40:$BU$90,$B$21-$B$1+1,35))</f>
        <v/>
      </c>
      <c r="CH36">
        <f>IF(ISTEXT('월 가계부'!A36),SUBSTITUTE(SUBSTITUTE(SUBSTITUTE(SUBSTITUTE(SUBSTITUTE(SUBSTITUTE(SUBSTITUTE(SUBSTITUTE(SUBSTITUTE(TRIM('월 가계부'!A36),"년","-"),"월","-"),"일",""),".","-"),"/","-")," ","-"),"--","-"),"--","-"),"--","-")&amp;"-","")</f>
        <v/>
      </c>
      <c r="CI36">
        <f>IFERROR(IF('월 가계부'!A36="","",IF(ISNUMBER('월 가계부'!A36),IF(AND('월 가계부'!A36&gt;=19000101,'월 가계부'!A36&lt;=21001231),IF(AND(MOD(INT('월 가계부'!A36/100),100)&gt;=1,MOD(INT('월 가계부'!A36/100),100)&lt;=12,MOD(INT('월 가계부'!A36),100)&gt;=1,MOD(INT('월 가계부'!A36),100)&lt;=31),IF(MONTH(DATE(INT('월 가계부'!A36/10000),MOD(INT('월 가계부'!A36/100),100),MOD(INT('월 가계부'!A36),100)))=MOD(INT('월 가계부'!A36/100),100),DATE(INT('월 가계부'!A36/10000),MOD(INT('월 가계부'!A36/100),100),MOD(INT('월 가계부'!A36),100)),""),""),IF(AND('월 가계부'!A36&gt;=36526,'월 가계부'!A36&lt;73051),INT('월 가계부'!A36),"")),IF(OR(CM36="",CN36="",CO36=""),"",IF(AND(CM36&gt;=2000,CM36&lt;=2099,CN36&gt;=1,CN36&lt;=12,CO36&gt;=1,CO36&lt;=31),IF(MONTH(DATE(CM36,CN36,CO36))=CN36,DATE(CM36,CN36,CO36),""),"")))),"")</f>
        <v/>
      </c>
      <c r="CJ36">
        <f>IFERROR(IF('월 가계부'!C36="","",IF(ISNUMBER('월 가계부'!C36),'월 가계부'!C36,VALUE(SUBSTITUTE(SUBSTITUTE(SUBSTITUTE(SUBSTITUTE(TRIM('월 가계부'!C36),",",""),"원","")," ",""),"−","-")))),"")</f>
        <v/>
      </c>
      <c r="CK36">
        <f>IF(ISNUMBER(CI36),IF(CI36&lt;$B$13,CI36,""),"")</f>
        <v/>
      </c>
      <c r="CM36">
        <f>IF(CH36="","",IFERROR(IF(IF(AND(LEN(CH36)=9,ISERROR(FIND("-",LEFT(CH36,8))),ISNUMBER(-LEFT(CH36,8))),VALUE(LEFT(CH36,4)),VALUE(LEFT(CH36,FIND("-",CH36)-1)))&lt;100,IF(AND(LEN(CH36)=9,ISERROR(FIND("-",LEFT(CH36,8))),ISNUMBER(-LEFT(CH36,8))),VALUE(LEFT(CH36,4)),VALUE(LEFT(CH36,FIND("-",CH36)-1)))+2000,IF(AND(LEN(CH36)=9,ISERROR(FIND("-",LEFT(CH36,8))),ISNUMBER(-LEFT(CH36,8))),VALUE(LEFT(CH36,4)),VALUE(LEFT(CH36,FIND("-",CH36)-1)))),""))</f>
        <v/>
      </c>
      <c r="CN36">
        <f>IF(CH36="","",IFERROR(IF(AND(LEN(CH36)=9,ISERROR(FIND("-",LEFT(CH36,8))),ISNUMBER(-LEFT(CH36,8))),VALUE(MID(CH36,5,2)),VALUE(MID(CH36,FIND("-",CH36)+1,FIND("-",CH36,FIND("-",CH36)+1)-FIND("-",CH36)-1))),""))</f>
        <v/>
      </c>
      <c r="CO36">
        <f>IF(CH36="","",IFERROR(IF(AND(LEN(CH36)=9,ISERROR(FIND("-",LEFT(CH36,8))),ISNUMBER(-LEFT(CH36,8))),VALUE(MID(CH36,7,2)),VALUE(MID(CH36,FIND("-",CH36,FIND("-",CH36)+1)+1,FIND("-",CH36,FIND("-",CH36,FIND("-",CH36)+1)+1)-FIND("-",CH36,FIND("-",CH36)+1)-1))),""))</f>
        <v/>
      </c>
    </row>
    <row r="37">
      <c r="A37" t="inlineStr">
        <is>
          <t>결과 0</t>
        </is>
      </c>
      <c r="B37">
        <f>MIN(BW40:BW90)</f>
        <v/>
      </c>
      <c r="C37">
        <f>IF(B37=999,"",IF(B37=$B$1,$B$1,B37-1+(-INDEX(BV40:BV90,B37-$B$1))/(INDEX(BV40:BV90,B37-$B$1+1)-INDEX(BV40:BV90,B37-$B$1))))</f>
        <v/>
      </c>
      <c r="D37">
        <f>IF(C37="","",ROUND(C37*12,0))</f>
        <v/>
      </c>
      <c r="CB37" t="n">
        <v>36</v>
      </c>
      <c r="CC37">
        <f>IF($B$1+CB37&gt;90,0,12*MAX(0,$B$6-IF($B$1+CB37&gt;=$B$23,$B$22,0))*(1+$B$4)^CB37/(1+$B$3)^(CB37-1))</f>
        <v/>
      </c>
      <c r="CE37">
        <f>IF($B$1+35&gt;90,NA(),$B$1+35)</f>
        <v/>
      </c>
      <c r="CF37">
        <f>IF(OR($B$21="",$B$1+35&gt;90),NA(),INDEX($C$40:$BU$90,$B$21-$B$1+1,36))</f>
        <v/>
      </c>
      <c r="CH37">
        <f>IF(ISTEXT('월 가계부'!A37),SUBSTITUTE(SUBSTITUTE(SUBSTITUTE(SUBSTITUTE(SUBSTITUTE(SUBSTITUTE(SUBSTITUTE(SUBSTITUTE(SUBSTITUTE(TRIM('월 가계부'!A37),"년","-"),"월","-"),"일",""),".","-"),"/","-")," ","-"),"--","-"),"--","-"),"--","-")&amp;"-","")</f>
        <v/>
      </c>
      <c r="CI37">
        <f>IFERROR(IF('월 가계부'!A37="","",IF(ISNUMBER('월 가계부'!A37),IF(AND('월 가계부'!A37&gt;=19000101,'월 가계부'!A37&lt;=21001231),IF(AND(MOD(INT('월 가계부'!A37/100),100)&gt;=1,MOD(INT('월 가계부'!A37/100),100)&lt;=12,MOD(INT('월 가계부'!A37),100)&gt;=1,MOD(INT('월 가계부'!A37),100)&lt;=31),IF(MONTH(DATE(INT('월 가계부'!A37/10000),MOD(INT('월 가계부'!A37/100),100),MOD(INT('월 가계부'!A37),100)))=MOD(INT('월 가계부'!A37/100),100),DATE(INT('월 가계부'!A37/10000),MOD(INT('월 가계부'!A37/100),100),MOD(INT('월 가계부'!A37),100)),""),""),IF(AND('월 가계부'!A37&gt;=36526,'월 가계부'!A37&lt;73051),INT('월 가계부'!A37),"")),IF(OR(CM37="",CN37="",CO37=""),"",IF(AND(CM37&gt;=2000,CM37&lt;=2099,CN37&gt;=1,CN37&lt;=12,CO37&gt;=1,CO37&lt;=31),IF(MONTH(DATE(CM37,CN37,CO37))=CN37,DATE(CM37,CN37,CO37),""),"")))),"")</f>
        <v/>
      </c>
      <c r="CJ37">
        <f>IFERROR(IF('월 가계부'!C37="","",IF(ISNUMBER('월 가계부'!C37),'월 가계부'!C37,VALUE(SUBSTITUTE(SUBSTITUTE(SUBSTITUTE(SUBSTITUTE(TRIM('월 가계부'!C37),",",""),"원","")," ",""),"−","-")))),"")</f>
        <v/>
      </c>
      <c r="CK37">
        <f>IF(ISNUMBER(CI37),IF(CI37&lt;$B$13,CI37,""),"")</f>
        <v/>
      </c>
      <c r="CM37">
        <f>IF(CH37="","",IFERROR(IF(IF(AND(LEN(CH37)=9,ISERROR(FIND("-",LEFT(CH37,8))),ISNUMBER(-LEFT(CH37,8))),VALUE(LEFT(CH37,4)),VALUE(LEFT(CH37,FIND("-",CH37)-1)))&lt;100,IF(AND(LEN(CH37)=9,ISERROR(FIND("-",LEFT(CH37,8))),ISNUMBER(-LEFT(CH37,8))),VALUE(LEFT(CH37,4)),VALUE(LEFT(CH37,FIND("-",CH37)-1)))+2000,IF(AND(LEN(CH37)=9,ISERROR(FIND("-",LEFT(CH37,8))),ISNUMBER(-LEFT(CH37,8))),VALUE(LEFT(CH37,4)),VALUE(LEFT(CH37,FIND("-",CH37)-1)))),""))</f>
        <v/>
      </c>
      <c r="CN37">
        <f>IF(CH37="","",IFERROR(IF(AND(LEN(CH37)=9,ISERROR(FIND("-",LEFT(CH37,8))),ISNUMBER(-LEFT(CH37,8))),VALUE(MID(CH37,5,2)),VALUE(MID(CH37,FIND("-",CH37)+1,FIND("-",CH37,FIND("-",CH37)+1)-FIND("-",CH37)-1))),""))</f>
        <v/>
      </c>
      <c r="CO37">
        <f>IF(CH37="","",IFERROR(IF(AND(LEN(CH37)=9,ISERROR(FIND("-",LEFT(CH37,8))),ISNUMBER(-LEFT(CH37,8))),VALUE(MID(CH37,7,2)),VALUE(MID(CH37,FIND("-",CH37,FIND("-",CH37)+1)+1,FIND("-",CH37,FIND("-",CH37,FIND("-",CH37)+1)+1)-FIND("-",CH37,FIND("-",CH37)+1)-1))),""))</f>
        <v/>
      </c>
    </row>
    <row r="38">
      <c r="CB38" t="n">
        <v>37</v>
      </c>
      <c r="CC38">
        <f>IF($B$1+CB38&gt;90,0,12*MAX(0,$B$6-IF($B$1+CB38&gt;=$B$23,$B$22,0))*(1+$B$4)^CB38/(1+$B$3)^(CB38-1))</f>
        <v/>
      </c>
      <c r="CE38">
        <f>IF($B$1+36&gt;90,NA(),$B$1+36)</f>
        <v/>
      </c>
      <c r="CF38">
        <f>IF(OR($B$21="",$B$1+36&gt;90),NA(),INDEX($C$40:$BU$90,$B$21-$B$1+1,37))</f>
        <v/>
      </c>
      <c r="CH38">
        <f>IF(ISTEXT('월 가계부'!A38),SUBSTITUTE(SUBSTITUTE(SUBSTITUTE(SUBSTITUTE(SUBSTITUTE(SUBSTITUTE(SUBSTITUTE(SUBSTITUTE(SUBSTITUTE(TRIM('월 가계부'!A38),"년","-"),"월","-"),"일",""),".","-"),"/","-")," ","-"),"--","-"),"--","-"),"--","-")&amp;"-","")</f>
        <v/>
      </c>
      <c r="CI38">
        <f>IFERROR(IF('월 가계부'!A38="","",IF(ISNUMBER('월 가계부'!A38),IF(AND('월 가계부'!A38&gt;=19000101,'월 가계부'!A38&lt;=21001231),IF(AND(MOD(INT('월 가계부'!A38/100),100)&gt;=1,MOD(INT('월 가계부'!A38/100),100)&lt;=12,MOD(INT('월 가계부'!A38),100)&gt;=1,MOD(INT('월 가계부'!A38),100)&lt;=31),IF(MONTH(DATE(INT('월 가계부'!A38/10000),MOD(INT('월 가계부'!A38/100),100),MOD(INT('월 가계부'!A38),100)))=MOD(INT('월 가계부'!A38/100),100),DATE(INT('월 가계부'!A38/10000),MOD(INT('월 가계부'!A38/100),100),MOD(INT('월 가계부'!A38),100)),""),""),IF(AND('월 가계부'!A38&gt;=36526,'월 가계부'!A38&lt;73051),INT('월 가계부'!A38),"")),IF(OR(CM38="",CN38="",CO38=""),"",IF(AND(CM38&gt;=2000,CM38&lt;=2099,CN38&gt;=1,CN38&lt;=12,CO38&gt;=1,CO38&lt;=31),IF(MONTH(DATE(CM38,CN38,CO38))=CN38,DATE(CM38,CN38,CO38),""),"")))),"")</f>
        <v/>
      </c>
      <c r="CJ38">
        <f>IFERROR(IF('월 가계부'!C38="","",IF(ISNUMBER('월 가계부'!C38),'월 가계부'!C38,VALUE(SUBSTITUTE(SUBSTITUTE(SUBSTITUTE(SUBSTITUTE(TRIM('월 가계부'!C38),",",""),"원","")," ",""),"−","-")))),"")</f>
        <v/>
      </c>
      <c r="CK38">
        <f>IF(ISNUMBER(CI38),IF(CI38&lt;$B$13,CI38,""),"")</f>
        <v/>
      </c>
      <c r="CM38">
        <f>IF(CH38="","",IFERROR(IF(IF(AND(LEN(CH38)=9,ISERROR(FIND("-",LEFT(CH38,8))),ISNUMBER(-LEFT(CH38,8))),VALUE(LEFT(CH38,4)),VALUE(LEFT(CH38,FIND("-",CH38)-1)))&lt;100,IF(AND(LEN(CH38)=9,ISERROR(FIND("-",LEFT(CH38,8))),ISNUMBER(-LEFT(CH38,8))),VALUE(LEFT(CH38,4)),VALUE(LEFT(CH38,FIND("-",CH38)-1)))+2000,IF(AND(LEN(CH38)=9,ISERROR(FIND("-",LEFT(CH38,8))),ISNUMBER(-LEFT(CH38,8))),VALUE(LEFT(CH38,4)),VALUE(LEFT(CH38,FIND("-",CH38)-1)))),""))</f>
        <v/>
      </c>
      <c r="CN38">
        <f>IF(CH38="","",IFERROR(IF(AND(LEN(CH38)=9,ISERROR(FIND("-",LEFT(CH38,8))),ISNUMBER(-LEFT(CH38,8))),VALUE(MID(CH38,5,2)),VALUE(MID(CH38,FIND("-",CH38)+1,FIND("-",CH38,FIND("-",CH38)+1)-FIND("-",CH38)-1))),""))</f>
        <v/>
      </c>
      <c r="CO38">
        <f>IF(CH38="","",IFERROR(IF(AND(LEN(CH38)=9,ISERROR(FIND("-",LEFT(CH38,8))),ISNUMBER(-LEFT(CH38,8))),VALUE(MID(CH38,7,2)),VALUE(MID(CH38,FIND("-",CH38,FIND("-",CH38)+1)+1,FIND("-",CH38,FIND("-",CH38,FIND("-",CH38)+1)+1)-FIND("-",CH38,FIND("-",CH38)+1)-1))),""))</f>
        <v/>
      </c>
    </row>
    <row r="39">
      <c r="A39" t="inlineStr">
        <is>
          <t>시나리오 0</t>
        </is>
      </c>
      <c r="B39" t="inlineStr">
        <is>
          <t>R</t>
        </is>
      </c>
      <c r="C39" t="n">
        <v>0</v>
      </c>
      <c r="D39" t="n">
        <v>1</v>
      </c>
      <c r="E39" t="n">
        <v>2</v>
      </c>
      <c r="F39" t="n">
        <v>3</v>
      </c>
      <c r="G39" t="n">
        <v>4</v>
      </c>
      <c r="H39" t="n">
        <v>5</v>
      </c>
      <c r="I39" t="n">
        <v>6</v>
      </c>
      <c r="J39" t="n">
        <v>7</v>
      </c>
      <c r="K39" t="n">
        <v>8</v>
      </c>
      <c r="L39" t="n">
        <v>9</v>
      </c>
      <c r="M39" t="n">
        <v>10</v>
      </c>
      <c r="N39" t="n">
        <v>11</v>
      </c>
      <c r="O39" t="n">
        <v>12</v>
      </c>
      <c r="P39" t="n">
        <v>13</v>
      </c>
      <c r="Q39" t="n">
        <v>14</v>
      </c>
      <c r="R39" t="n">
        <v>15</v>
      </c>
      <c r="S39" t="n">
        <v>16</v>
      </c>
      <c r="T39" t="n">
        <v>17</v>
      </c>
      <c r="U39" t="n">
        <v>18</v>
      </c>
      <c r="V39" t="n">
        <v>19</v>
      </c>
      <c r="W39" t="n">
        <v>20</v>
      </c>
      <c r="X39" t="n">
        <v>21</v>
      </c>
      <c r="Y39" t="n">
        <v>22</v>
      </c>
      <c r="Z39" t="n">
        <v>23</v>
      </c>
      <c r="AA39" t="n">
        <v>24</v>
      </c>
      <c r="AB39" t="n">
        <v>25</v>
      </c>
      <c r="AC39" t="n">
        <v>26</v>
      </c>
      <c r="AD39" t="n">
        <v>27</v>
      </c>
      <c r="AE39" t="n">
        <v>28</v>
      </c>
      <c r="AF39" t="n">
        <v>29</v>
      </c>
      <c r="AG39" t="n">
        <v>30</v>
      </c>
      <c r="AH39" t="n">
        <v>31</v>
      </c>
      <c r="AI39" t="n">
        <v>32</v>
      </c>
      <c r="AJ39" t="n">
        <v>33</v>
      </c>
      <c r="AK39" t="n">
        <v>34</v>
      </c>
      <c r="AL39" t="n">
        <v>35</v>
      </c>
      <c r="AM39" t="n">
        <v>36</v>
      </c>
      <c r="AN39" t="n">
        <v>37</v>
      </c>
      <c r="AO39" t="n">
        <v>38</v>
      </c>
      <c r="AP39" t="n">
        <v>39</v>
      </c>
      <c r="AQ39" t="n">
        <v>40</v>
      </c>
      <c r="AR39" t="n">
        <v>41</v>
      </c>
      <c r="AS39" t="n">
        <v>42</v>
      </c>
      <c r="AT39" t="n">
        <v>43</v>
      </c>
      <c r="AU39" t="n">
        <v>44</v>
      </c>
      <c r="AV39" t="n">
        <v>45</v>
      </c>
      <c r="AW39" t="n">
        <v>46</v>
      </c>
      <c r="AX39" t="n">
        <v>47</v>
      </c>
      <c r="AY39" t="n">
        <v>48</v>
      </c>
      <c r="AZ39" t="n">
        <v>49</v>
      </c>
      <c r="BA39" t="n">
        <v>50</v>
      </c>
      <c r="BB39" t="n">
        <v>51</v>
      </c>
      <c r="BC39" t="n">
        <v>52</v>
      </c>
      <c r="BD39" t="n">
        <v>53</v>
      </c>
      <c r="BE39" t="n">
        <v>54</v>
      </c>
      <c r="BF39" t="n">
        <v>55</v>
      </c>
      <c r="BG39" t="n">
        <v>56</v>
      </c>
      <c r="BH39" t="n">
        <v>57</v>
      </c>
      <c r="BI39" t="n">
        <v>58</v>
      </c>
      <c r="BJ39" t="n">
        <v>59</v>
      </c>
      <c r="BK39" t="n">
        <v>60</v>
      </c>
      <c r="BL39" t="n">
        <v>61</v>
      </c>
      <c r="BM39" t="n">
        <v>62</v>
      </c>
      <c r="BN39" t="n">
        <v>63</v>
      </c>
      <c r="BO39" t="n">
        <v>64</v>
      </c>
      <c r="BP39" t="n">
        <v>65</v>
      </c>
      <c r="BQ39" t="n">
        <v>66</v>
      </c>
      <c r="BR39" t="n">
        <v>67</v>
      </c>
      <c r="BS39" t="n">
        <v>68</v>
      </c>
      <c r="BT39" t="n">
        <v>69</v>
      </c>
      <c r="BU39" t="n">
        <v>70</v>
      </c>
      <c r="BV39" t="inlineStr">
        <is>
          <t>90세 자산</t>
        </is>
      </c>
      <c r="BW39" t="inlineStr">
        <is>
          <t>가능 R</t>
        </is>
      </c>
      <c r="CB39" t="n">
        <v>38</v>
      </c>
      <c r="CC39">
        <f>IF($B$1+CB39&gt;90,0,12*MAX(0,$B$6-IF($B$1+CB39&gt;=$B$23,$B$22,0))*(1+$B$4)^CB39/(1+$B$3)^(CB39-1))</f>
        <v/>
      </c>
      <c r="CE39">
        <f>IF($B$1+37&gt;90,NA(),$B$1+37)</f>
        <v/>
      </c>
      <c r="CF39">
        <f>IF(OR($B$21="",$B$1+37&gt;90),NA(),INDEX($C$40:$BU$90,$B$21-$B$1+1,38))</f>
        <v/>
      </c>
      <c r="CH39">
        <f>IF(ISTEXT('월 가계부'!A39),SUBSTITUTE(SUBSTITUTE(SUBSTITUTE(SUBSTITUTE(SUBSTITUTE(SUBSTITUTE(SUBSTITUTE(SUBSTITUTE(SUBSTITUTE(TRIM('월 가계부'!A39),"년","-"),"월","-"),"일",""),".","-"),"/","-")," ","-"),"--","-"),"--","-"),"--","-")&amp;"-","")</f>
        <v/>
      </c>
      <c r="CI39">
        <f>IFERROR(IF('월 가계부'!A39="","",IF(ISNUMBER('월 가계부'!A39),IF(AND('월 가계부'!A39&gt;=19000101,'월 가계부'!A39&lt;=21001231),IF(AND(MOD(INT('월 가계부'!A39/100),100)&gt;=1,MOD(INT('월 가계부'!A39/100),100)&lt;=12,MOD(INT('월 가계부'!A39),100)&gt;=1,MOD(INT('월 가계부'!A39),100)&lt;=31),IF(MONTH(DATE(INT('월 가계부'!A39/10000),MOD(INT('월 가계부'!A39/100),100),MOD(INT('월 가계부'!A39),100)))=MOD(INT('월 가계부'!A39/100),100),DATE(INT('월 가계부'!A39/10000),MOD(INT('월 가계부'!A39/100),100),MOD(INT('월 가계부'!A39),100)),""),""),IF(AND('월 가계부'!A39&gt;=36526,'월 가계부'!A39&lt;73051),INT('월 가계부'!A39),"")),IF(OR(CM39="",CN39="",CO39=""),"",IF(AND(CM39&gt;=2000,CM39&lt;=2099,CN39&gt;=1,CN39&lt;=12,CO39&gt;=1,CO39&lt;=31),IF(MONTH(DATE(CM39,CN39,CO39))=CN39,DATE(CM39,CN39,CO39),""),"")))),"")</f>
        <v/>
      </c>
      <c r="CJ39">
        <f>IFERROR(IF('월 가계부'!C39="","",IF(ISNUMBER('월 가계부'!C39),'월 가계부'!C39,VALUE(SUBSTITUTE(SUBSTITUTE(SUBSTITUTE(SUBSTITUTE(TRIM('월 가계부'!C39),",",""),"원","")," ",""),"−","-")))),"")</f>
        <v/>
      </c>
      <c r="CK39">
        <f>IF(ISNUMBER(CI39),IF(CI39&lt;$B$13,CI39,""),"")</f>
        <v/>
      </c>
      <c r="CM39">
        <f>IF(CH39="","",IFERROR(IF(IF(AND(LEN(CH39)=9,ISERROR(FIND("-",LEFT(CH39,8))),ISNUMBER(-LEFT(CH39,8))),VALUE(LEFT(CH39,4)),VALUE(LEFT(CH39,FIND("-",CH39)-1)))&lt;100,IF(AND(LEN(CH39)=9,ISERROR(FIND("-",LEFT(CH39,8))),ISNUMBER(-LEFT(CH39,8))),VALUE(LEFT(CH39,4)),VALUE(LEFT(CH39,FIND("-",CH39)-1)))+2000,IF(AND(LEN(CH39)=9,ISERROR(FIND("-",LEFT(CH39,8))),ISNUMBER(-LEFT(CH39,8))),VALUE(LEFT(CH39,4)),VALUE(LEFT(CH39,FIND("-",CH39)-1)))),""))</f>
        <v/>
      </c>
      <c r="CN39">
        <f>IF(CH39="","",IFERROR(IF(AND(LEN(CH39)=9,ISERROR(FIND("-",LEFT(CH39,8))),ISNUMBER(-LEFT(CH39,8))),VALUE(MID(CH39,5,2)),VALUE(MID(CH39,FIND("-",CH39)+1,FIND("-",CH39,FIND("-",CH39)+1)-FIND("-",CH39)-1))),""))</f>
        <v/>
      </c>
      <c r="CO39">
        <f>IF(CH39="","",IFERROR(IF(AND(LEN(CH39)=9,ISERROR(FIND("-",LEFT(CH39,8))),ISNUMBER(-LEFT(CH39,8))),VALUE(MID(CH39,7,2)),VALUE(MID(CH39,FIND("-",CH39,FIND("-",CH39)+1)+1,FIND("-",CH39,FIND("-",CH39,FIND("-",CH39)+1)+1)-FIND("-",CH39,FIND("-",CH39)+1)-1))),""))</f>
        <v/>
      </c>
    </row>
    <row r="40">
      <c r="A40" t="n">
        <v>0</v>
      </c>
      <c r="B40">
        <f>$B$1+0</f>
        <v/>
      </c>
      <c r="C40">
        <f>$B$2</f>
        <v/>
      </c>
      <c r="D40">
        <f>IF($B$1+1&gt;90,C40,(C40+IF($B$1+1&lt;=$B40,12*$B$7,-12*MAX(0,$B$6-IF($B$1+1&gt;=$B$23,$B$22,0))*(1+$B$4)^1))*IF(C40+IF($B$1+1&lt;=$B40,12*$B$7,-12*MAX(0,$B$6-IF($B$1+1&gt;=$B$23,$B$22,0))*(1+$B$4)^1)&gt;0,1+$B$3,1))</f>
        <v/>
      </c>
      <c r="E40">
        <f>IF($B$1+2&gt;90,D40,(D40+IF($B$1+2&lt;=$B40,12*$B$7,-12*MAX(0,$B$6-IF($B$1+2&gt;=$B$23,$B$22,0))*(1+$B$4)^2))*IF(D40+IF($B$1+2&lt;=$B40,12*$B$7,-12*MAX(0,$B$6-IF($B$1+2&gt;=$B$23,$B$22,0))*(1+$B$4)^2)&gt;0,1+$B$3,1))</f>
        <v/>
      </c>
      <c r="F40">
        <f>IF($B$1+3&gt;90,E40,(E40+IF($B$1+3&lt;=$B40,12*$B$7,-12*MAX(0,$B$6-IF($B$1+3&gt;=$B$23,$B$22,0))*(1+$B$4)^3))*IF(E40+IF($B$1+3&lt;=$B40,12*$B$7,-12*MAX(0,$B$6-IF($B$1+3&gt;=$B$23,$B$22,0))*(1+$B$4)^3)&gt;0,1+$B$3,1))</f>
        <v/>
      </c>
      <c r="G40">
        <f>IF($B$1+4&gt;90,F40,(F40+IF($B$1+4&lt;=$B40,12*$B$7,-12*MAX(0,$B$6-IF($B$1+4&gt;=$B$23,$B$22,0))*(1+$B$4)^4))*IF(F40+IF($B$1+4&lt;=$B40,12*$B$7,-12*MAX(0,$B$6-IF($B$1+4&gt;=$B$23,$B$22,0))*(1+$B$4)^4)&gt;0,1+$B$3,1))</f>
        <v/>
      </c>
      <c r="H40">
        <f>IF($B$1+5&gt;90,G40,(G40+IF($B$1+5&lt;=$B40,12*$B$7,-12*MAX(0,$B$6-IF($B$1+5&gt;=$B$23,$B$22,0))*(1+$B$4)^5))*IF(G40+IF($B$1+5&lt;=$B40,12*$B$7,-12*MAX(0,$B$6-IF($B$1+5&gt;=$B$23,$B$22,0))*(1+$B$4)^5)&gt;0,1+$B$3,1))</f>
        <v/>
      </c>
      <c r="I40">
        <f>IF($B$1+6&gt;90,H40,(H40+IF($B$1+6&lt;=$B40,12*$B$7,-12*MAX(0,$B$6-IF($B$1+6&gt;=$B$23,$B$22,0))*(1+$B$4)^6))*IF(H40+IF($B$1+6&lt;=$B40,12*$B$7,-12*MAX(0,$B$6-IF($B$1+6&gt;=$B$23,$B$22,0))*(1+$B$4)^6)&gt;0,1+$B$3,1))</f>
        <v/>
      </c>
      <c r="J40">
        <f>IF($B$1+7&gt;90,I40,(I40+IF($B$1+7&lt;=$B40,12*$B$7,-12*MAX(0,$B$6-IF($B$1+7&gt;=$B$23,$B$22,0))*(1+$B$4)^7))*IF(I40+IF($B$1+7&lt;=$B40,12*$B$7,-12*MAX(0,$B$6-IF($B$1+7&gt;=$B$23,$B$22,0))*(1+$B$4)^7)&gt;0,1+$B$3,1))</f>
        <v/>
      </c>
      <c r="K40">
        <f>IF($B$1+8&gt;90,J40,(J40+IF($B$1+8&lt;=$B40,12*$B$7,-12*MAX(0,$B$6-IF($B$1+8&gt;=$B$23,$B$22,0))*(1+$B$4)^8))*IF(J40+IF($B$1+8&lt;=$B40,12*$B$7,-12*MAX(0,$B$6-IF($B$1+8&gt;=$B$23,$B$22,0))*(1+$B$4)^8)&gt;0,1+$B$3,1))</f>
        <v/>
      </c>
      <c r="L40">
        <f>IF($B$1+9&gt;90,K40,(K40+IF($B$1+9&lt;=$B40,12*$B$7,-12*MAX(0,$B$6-IF($B$1+9&gt;=$B$23,$B$22,0))*(1+$B$4)^9))*IF(K40+IF($B$1+9&lt;=$B40,12*$B$7,-12*MAX(0,$B$6-IF($B$1+9&gt;=$B$23,$B$22,0))*(1+$B$4)^9)&gt;0,1+$B$3,1))</f>
        <v/>
      </c>
      <c r="M40">
        <f>IF($B$1+10&gt;90,L40,(L40+IF($B$1+10&lt;=$B40,12*$B$7,-12*MAX(0,$B$6-IF($B$1+10&gt;=$B$23,$B$22,0))*(1+$B$4)^10))*IF(L40+IF($B$1+10&lt;=$B40,12*$B$7,-12*MAX(0,$B$6-IF($B$1+10&gt;=$B$23,$B$22,0))*(1+$B$4)^10)&gt;0,1+$B$3,1))</f>
        <v/>
      </c>
      <c r="N40">
        <f>IF($B$1+11&gt;90,M40,(M40+IF($B$1+11&lt;=$B40,12*$B$7,-12*MAX(0,$B$6-IF($B$1+11&gt;=$B$23,$B$22,0))*(1+$B$4)^11))*IF(M40+IF($B$1+11&lt;=$B40,12*$B$7,-12*MAX(0,$B$6-IF($B$1+11&gt;=$B$23,$B$22,0))*(1+$B$4)^11)&gt;0,1+$B$3,1))</f>
        <v/>
      </c>
      <c r="O40">
        <f>IF($B$1+12&gt;90,N40,(N40+IF($B$1+12&lt;=$B40,12*$B$7,-12*MAX(0,$B$6-IF($B$1+12&gt;=$B$23,$B$22,0))*(1+$B$4)^12))*IF(N40+IF($B$1+12&lt;=$B40,12*$B$7,-12*MAX(0,$B$6-IF($B$1+12&gt;=$B$23,$B$22,0))*(1+$B$4)^12)&gt;0,1+$B$3,1))</f>
        <v/>
      </c>
      <c r="P40">
        <f>IF($B$1+13&gt;90,O40,(O40+IF($B$1+13&lt;=$B40,12*$B$7,-12*MAX(0,$B$6-IF($B$1+13&gt;=$B$23,$B$22,0))*(1+$B$4)^13))*IF(O40+IF($B$1+13&lt;=$B40,12*$B$7,-12*MAX(0,$B$6-IF($B$1+13&gt;=$B$23,$B$22,0))*(1+$B$4)^13)&gt;0,1+$B$3,1))</f>
        <v/>
      </c>
      <c r="Q40">
        <f>IF($B$1+14&gt;90,P40,(P40+IF($B$1+14&lt;=$B40,12*$B$7,-12*MAX(0,$B$6-IF($B$1+14&gt;=$B$23,$B$22,0))*(1+$B$4)^14))*IF(P40+IF($B$1+14&lt;=$B40,12*$B$7,-12*MAX(0,$B$6-IF($B$1+14&gt;=$B$23,$B$22,0))*(1+$B$4)^14)&gt;0,1+$B$3,1))</f>
        <v/>
      </c>
      <c r="R40">
        <f>IF($B$1+15&gt;90,Q40,(Q40+IF($B$1+15&lt;=$B40,12*$B$7,-12*MAX(0,$B$6-IF($B$1+15&gt;=$B$23,$B$22,0))*(1+$B$4)^15))*IF(Q40+IF($B$1+15&lt;=$B40,12*$B$7,-12*MAX(0,$B$6-IF($B$1+15&gt;=$B$23,$B$22,0))*(1+$B$4)^15)&gt;0,1+$B$3,1))</f>
        <v/>
      </c>
      <c r="S40">
        <f>IF($B$1+16&gt;90,R40,(R40+IF($B$1+16&lt;=$B40,12*$B$7,-12*MAX(0,$B$6-IF($B$1+16&gt;=$B$23,$B$22,0))*(1+$B$4)^16))*IF(R40+IF($B$1+16&lt;=$B40,12*$B$7,-12*MAX(0,$B$6-IF($B$1+16&gt;=$B$23,$B$22,0))*(1+$B$4)^16)&gt;0,1+$B$3,1))</f>
        <v/>
      </c>
      <c r="T40">
        <f>IF($B$1+17&gt;90,S40,(S40+IF($B$1+17&lt;=$B40,12*$B$7,-12*MAX(0,$B$6-IF($B$1+17&gt;=$B$23,$B$22,0))*(1+$B$4)^17))*IF(S40+IF($B$1+17&lt;=$B40,12*$B$7,-12*MAX(0,$B$6-IF($B$1+17&gt;=$B$23,$B$22,0))*(1+$B$4)^17)&gt;0,1+$B$3,1))</f>
        <v/>
      </c>
      <c r="U40">
        <f>IF($B$1+18&gt;90,T40,(T40+IF($B$1+18&lt;=$B40,12*$B$7,-12*MAX(0,$B$6-IF($B$1+18&gt;=$B$23,$B$22,0))*(1+$B$4)^18))*IF(T40+IF($B$1+18&lt;=$B40,12*$B$7,-12*MAX(0,$B$6-IF($B$1+18&gt;=$B$23,$B$22,0))*(1+$B$4)^18)&gt;0,1+$B$3,1))</f>
        <v/>
      </c>
      <c r="V40">
        <f>IF($B$1+19&gt;90,U40,(U40+IF($B$1+19&lt;=$B40,12*$B$7,-12*MAX(0,$B$6-IF($B$1+19&gt;=$B$23,$B$22,0))*(1+$B$4)^19))*IF(U40+IF($B$1+19&lt;=$B40,12*$B$7,-12*MAX(0,$B$6-IF($B$1+19&gt;=$B$23,$B$22,0))*(1+$B$4)^19)&gt;0,1+$B$3,1))</f>
        <v/>
      </c>
      <c r="W40">
        <f>IF($B$1+20&gt;90,V40,(V40+IF($B$1+20&lt;=$B40,12*$B$7,-12*MAX(0,$B$6-IF($B$1+20&gt;=$B$23,$B$22,0))*(1+$B$4)^20))*IF(V40+IF($B$1+20&lt;=$B40,12*$B$7,-12*MAX(0,$B$6-IF($B$1+20&gt;=$B$23,$B$22,0))*(1+$B$4)^20)&gt;0,1+$B$3,1))</f>
        <v/>
      </c>
      <c r="X40">
        <f>IF($B$1+21&gt;90,W40,(W40+IF($B$1+21&lt;=$B40,12*$B$7,-12*MAX(0,$B$6-IF($B$1+21&gt;=$B$23,$B$22,0))*(1+$B$4)^21))*IF(W40+IF($B$1+21&lt;=$B40,12*$B$7,-12*MAX(0,$B$6-IF($B$1+21&gt;=$B$23,$B$22,0))*(1+$B$4)^21)&gt;0,1+$B$3,1))</f>
        <v/>
      </c>
      <c r="Y40">
        <f>IF($B$1+22&gt;90,X40,(X40+IF($B$1+22&lt;=$B40,12*$B$7,-12*MAX(0,$B$6-IF($B$1+22&gt;=$B$23,$B$22,0))*(1+$B$4)^22))*IF(X40+IF($B$1+22&lt;=$B40,12*$B$7,-12*MAX(0,$B$6-IF($B$1+22&gt;=$B$23,$B$22,0))*(1+$B$4)^22)&gt;0,1+$B$3,1))</f>
        <v/>
      </c>
      <c r="Z40">
        <f>IF($B$1+23&gt;90,Y40,(Y40+IF($B$1+23&lt;=$B40,12*$B$7,-12*MAX(0,$B$6-IF($B$1+23&gt;=$B$23,$B$22,0))*(1+$B$4)^23))*IF(Y40+IF($B$1+23&lt;=$B40,12*$B$7,-12*MAX(0,$B$6-IF($B$1+23&gt;=$B$23,$B$22,0))*(1+$B$4)^23)&gt;0,1+$B$3,1))</f>
        <v/>
      </c>
      <c r="AA40">
        <f>IF($B$1+24&gt;90,Z40,(Z40+IF($B$1+24&lt;=$B40,12*$B$7,-12*MAX(0,$B$6-IF($B$1+24&gt;=$B$23,$B$22,0))*(1+$B$4)^24))*IF(Z40+IF($B$1+24&lt;=$B40,12*$B$7,-12*MAX(0,$B$6-IF($B$1+24&gt;=$B$23,$B$22,0))*(1+$B$4)^24)&gt;0,1+$B$3,1))</f>
        <v/>
      </c>
      <c r="AB40">
        <f>IF($B$1+25&gt;90,AA40,(AA40+IF($B$1+25&lt;=$B40,12*$B$7,-12*MAX(0,$B$6-IF($B$1+25&gt;=$B$23,$B$22,0))*(1+$B$4)^25))*IF(AA40+IF($B$1+25&lt;=$B40,12*$B$7,-12*MAX(0,$B$6-IF($B$1+25&gt;=$B$23,$B$22,0))*(1+$B$4)^25)&gt;0,1+$B$3,1))</f>
        <v/>
      </c>
      <c r="AC40">
        <f>IF($B$1+26&gt;90,AB40,(AB40+IF($B$1+26&lt;=$B40,12*$B$7,-12*MAX(0,$B$6-IF($B$1+26&gt;=$B$23,$B$22,0))*(1+$B$4)^26))*IF(AB40+IF($B$1+26&lt;=$B40,12*$B$7,-12*MAX(0,$B$6-IF($B$1+26&gt;=$B$23,$B$22,0))*(1+$B$4)^26)&gt;0,1+$B$3,1))</f>
        <v/>
      </c>
      <c r="AD40">
        <f>IF($B$1+27&gt;90,AC40,(AC40+IF($B$1+27&lt;=$B40,12*$B$7,-12*MAX(0,$B$6-IF($B$1+27&gt;=$B$23,$B$22,0))*(1+$B$4)^27))*IF(AC40+IF($B$1+27&lt;=$B40,12*$B$7,-12*MAX(0,$B$6-IF($B$1+27&gt;=$B$23,$B$22,0))*(1+$B$4)^27)&gt;0,1+$B$3,1))</f>
        <v/>
      </c>
      <c r="AE40">
        <f>IF($B$1+28&gt;90,AD40,(AD40+IF($B$1+28&lt;=$B40,12*$B$7,-12*MAX(0,$B$6-IF($B$1+28&gt;=$B$23,$B$22,0))*(1+$B$4)^28))*IF(AD40+IF($B$1+28&lt;=$B40,12*$B$7,-12*MAX(0,$B$6-IF($B$1+28&gt;=$B$23,$B$22,0))*(1+$B$4)^28)&gt;0,1+$B$3,1))</f>
        <v/>
      </c>
      <c r="AF40">
        <f>IF($B$1+29&gt;90,AE40,(AE40+IF($B$1+29&lt;=$B40,12*$B$7,-12*MAX(0,$B$6-IF($B$1+29&gt;=$B$23,$B$22,0))*(1+$B$4)^29))*IF(AE40+IF($B$1+29&lt;=$B40,12*$B$7,-12*MAX(0,$B$6-IF($B$1+29&gt;=$B$23,$B$22,0))*(1+$B$4)^29)&gt;0,1+$B$3,1))</f>
        <v/>
      </c>
      <c r="AG40">
        <f>IF($B$1+30&gt;90,AF40,(AF40+IF($B$1+30&lt;=$B40,12*$B$7,-12*MAX(0,$B$6-IF($B$1+30&gt;=$B$23,$B$22,0))*(1+$B$4)^30))*IF(AF40+IF($B$1+30&lt;=$B40,12*$B$7,-12*MAX(0,$B$6-IF($B$1+30&gt;=$B$23,$B$22,0))*(1+$B$4)^30)&gt;0,1+$B$3,1))</f>
        <v/>
      </c>
      <c r="AH40">
        <f>IF($B$1+31&gt;90,AG40,(AG40+IF($B$1+31&lt;=$B40,12*$B$7,-12*MAX(0,$B$6-IF($B$1+31&gt;=$B$23,$B$22,0))*(1+$B$4)^31))*IF(AG40+IF($B$1+31&lt;=$B40,12*$B$7,-12*MAX(0,$B$6-IF($B$1+31&gt;=$B$23,$B$22,0))*(1+$B$4)^31)&gt;0,1+$B$3,1))</f>
        <v/>
      </c>
      <c r="AI40">
        <f>IF($B$1+32&gt;90,AH40,(AH40+IF($B$1+32&lt;=$B40,12*$B$7,-12*MAX(0,$B$6-IF($B$1+32&gt;=$B$23,$B$22,0))*(1+$B$4)^32))*IF(AH40+IF($B$1+32&lt;=$B40,12*$B$7,-12*MAX(0,$B$6-IF($B$1+32&gt;=$B$23,$B$22,0))*(1+$B$4)^32)&gt;0,1+$B$3,1))</f>
        <v/>
      </c>
      <c r="AJ40">
        <f>IF($B$1+33&gt;90,AI40,(AI40+IF($B$1+33&lt;=$B40,12*$B$7,-12*MAX(0,$B$6-IF($B$1+33&gt;=$B$23,$B$22,0))*(1+$B$4)^33))*IF(AI40+IF($B$1+33&lt;=$B40,12*$B$7,-12*MAX(0,$B$6-IF($B$1+33&gt;=$B$23,$B$22,0))*(1+$B$4)^33)&gt;0,1+$B$3,1))</f>
        <v/>
      </c>
      <c r="AK40">
        <f>IF($B$1+34&gt;90,AJ40,(AJ40+IF($B$1+34&lt;=$B40,12*$B$7,-12*MAX(0,$B$6-IF($B$1+34&gt;=$B$23,$B$22,0))*(1+$B$4)^34))*IF(AJ40+IF($B$1+34&lt;=$B40,12*$B$7,-12*MAX(0,$B$6-IF($B$1+34&gt;=$B$23,$B$22,0))*(1+$B$4)^34)&gt;0,1+$B$3,1))</f>
        <v/>
      </c>
      <c r="AL40">
        <f>IF($B$1+35&gt;90,AK40,(AK40+IF($B$1+35&lt;=$B40,12*$B$7,-12*MAX(0,$B$6-IF($B$1+35&gt;=$B$23,$B$22,0))*(1+$B$4)^35))*IF(AK40+IF($B$1+35&lt;=$B40,12*$B$7,-12*MAX(0,$B$6-IF($B$1+35&gt;=$B$23,$B$22,0))*(1+$B$4)^35)&gt;0,1+$B$3,1))</f>
        <v/>
      </c>
      <c r="AM40">
        <f>IF($B$1+36&gt;90,AL40,(AL40+IF($B$1+36&lt;=$B40,12*$B$7,-12*MAX(0,$B$6-IF($B$1+36&gt;=$B$23,$B$22,0))*(1+$B$4)^36))*IF(AL40+IF($B$1+36&lt;=$B40,12*$B$7,-12*MAX(0,$B$6-IF($B$1+36&gt;=$B$23,$B$22,0))*(1+$B$4)^36)&gt;0,1+$B$3,1))</f>
        <v/>
      </c>
      <c r="AN40">
        <f>IF($B$1+37&gt;90,AM40,(AM40+IF($B$1+37&lt;=$B40,12*$B$7,-12*MAX(0,$B$6-IF($B$1+37&gt;=$B$23,$B$22,0))*(1+$B$4)^37))*IF(AM40+IF($B$1+37&lt;=$B40,12*$B$7,-12*MAX(0,$B$6-IF($B$1+37&gt;=$B$23,$B$22,0))*(1+$B$4)^37)&gt;0,1+$B$3,1))</f>
        <v/>
      </c>
      <c r="AO40">
        <f>IF($B$1+38&gt;90,AN40,(AN40+IF($B$1+38&lt;=$B40,12*$B$7,-12*MAX(0,$B$6-IF($B$1+38&gt;=$B$23,$B$22,0))*(1+$B$4)^38))*IF(AN40+IF($B$1+38&lt;=$B40,12*$B$7,-12*MAX(0,$B$6-IF($B$1+38&gt;=$B$23,$B$22,0))*(1+$B$4)^38)&gt;0,1+$B$3,1))</f>
        <v/>
      </c>
      <c r="AP40">
        <f>IF($B$1+39&gt;90,AO40,(AO40+IF($B$1+39&lt;=$B40,12*$B$7,-12*MAX(0,$B$6-IF($B$1+39&gt;=$B$23,$B$22,0))*(1+$B$4)^39))*IF(AO40+IF($B$1+39&lt;=$B40,12*$B$7,-12*MAX(0,$B$6-IF($B$1+39&gt;=$B$23,$B$22,0))*(1+$B$4)^39)&gt;0,1+$B$3,1))</f>
        <v/>
      </c>
      <c r="AQ40">
        <f>IF($B$1+40&gt;90,AP40,(AP40+IF($B$1+40&lt;=$B40,12*$B$7,-12*MAX(0,$B$6-IF($B$1+40&gt;=$B$23,$B$22,0))*(1+$B$4)^40))*IF(AP40+IF($B$1+40&lt;=$B40,12*$B$7,-12*MAX(0,$B$6-IF($B$1+40&gt;=$B$23,$B$22,0))*(1+$B$4)^40)&gt;0,1+$B$3,1))</f>
        <v/>
      </c>
      <c r="AR40">
        <f>IF($B$1+41&gt;90,AQ40,(AQ40+IF($B$1+41&lt;=$B40,12*$B$7,-12*MAX(0,$B$6-IF($B$1+41&gt;=$B$23,$B$22,0))*(1+$B$4)^41))*IF(AQ40+IF($B$1+41&lt;=$B40,12*$B$7,-12*MAX(0,$B$6-IF($B$1+41&gt;=$B$23,$B$22,0))*(1+$B$4)^41)&gt;0,1+$B$3,1))</f>
        <v/>
      </c>
      <c r="AS40">
        <f>IF($B$1+42&gt;90,AR40,(AR40+IF($B$1+42&lt;=$B40,12*$B$7,-12*MAX(0,$B$6-IF($B$1+42&gt;=$B$23,$B$22,0))*(1+$B$4)^42))*IF(AR40+IF($B$1+42&lt;=$B40,12*$B$7,-12*MAX(0,$B$6-IF($B$1+42&gt;=$B$23,$B$22,0))*(1+$B$4)^42)&gt;0,1+$B$3,1))</f>
        <v/>
      </c>
      <c r="AT40">
        <f>IF($B$1+43&gt;90,AS40,(AS40+IF($B$1+43&lt;=$B40,12*$B$7,-12*MAX(0,$B$6-IF($B$1+43&gt;=$B$23,$B$22,0))*(1+$B$4)^43))*IF(AS40+IF($B$1+43&lt;=$B40,12*$B$7,-12*MAX(0,$B$6-IF($B$1+43&gt;=$B$23,$B$22,0))*(1+$B$4)^43)&gt;0,1+$B$3,1))</f>
        <v/>
      </c>
      <c r="AU40">
        <f>IF($B$1+44&gt;90,AT40,(AT40+IF($B$1+44&lt;=$B40,12*$B$7,-12*MAX(0,$B$6-IF($B$1+44&gt;=$B$23,$B$22,0))*(1+$B$4)^44))*IF(AT40+IF($B$1+44&lt;=$B40,12*$B$7,-12*MAX(0,$B$6-IF($B$1+44&gt;=$B$23,$B$22,0))*(1+$B$4)^44)&gt;0,1+$B$3,1))</f>
        <v/>
      </c>
      <c r="AV40">
        <f>IF($B$1+45&gt;90,AU40,(AU40+IF($B$1+45&lt;=$B40,12*$B$7,-12*MAX(0,$B$6-IF($B$1+45&gt;=$B$23,$B$22,0))*(1+$B$4)^45))*IF(AU40+IF($B$1+45&lt;=$B40,12*$B$7,-12*MAX(0,$B$6-IF($B$1+45&gt;=$B$23,$B$22,0))*(1+$B$4)^45)&gt;0,1+$B$3,1))</f>
        <v/>
      </c>
      <c r="AW40">
        <f>IF($B$1+46&gt;90,AV40,(AV40+IF($B$1+46&lt;=$B40,12*$B$7,-12*MAX(0,$B$6-IF($B$1+46&gt;=$B$23,$B$22,0))*(1+$B$4)^46))*IF(AV40+IF($B$1+46&lt;=$B40,12*$B$7,-12*MAX(0,$B$6-IF($B$1+46&gt;=$B$23,$B$22,0))*(1+$B$4)^46)&gt;0,1+$B$3,1))</f>
        <v/>
      </c>
      <c r="AX40">
        <f>IF($B$1+47&gt;90,AW40,(AW40+IF($B$1+47&lt;=$B40,12*$B$7,-12*MAX(0,$B$6-IF($B$1+47&gt;=$B$23,$B$22,0))*(1+$B$4)^47))*IF(AW40+IF($B$1+47&lt;=$B40,12*$B$7,-12*MAX(0,$B$6-IF($B$1+47&gt;=$B$23,$B$22,0))*(1+$B$4)^47)&gt;0,1+$B$3,1))</f>
        <v/>
      </c>
      <c r="AY40">
        <f>IF($B$1+48&gt;90,AX40,(AX40+IF($B$1+48&lt;=$B40,12*$B$7,-12*MAX(0,$B$6-IF($B$1+48&gt;=$B$23,$B$22,0))*(1+$B$4)^48))*IF(AX40+IF($B$1+48&lt;=$B40,12*$B$7,-12*MAX(0,$B$6-IF($B$1+48&gt;=$B$23,$B$22,0))*(1+$B$4)^48)&gt;0,1+$B$3,1))</f>
        <v/>
      </c>
      <c r="AZ40">
        <f>IF($B$1+49&gt;90,AY40,(AY40+IF($B$1+49&lt;=$B40,12*$B$7,-12*MAX(0,$B$6-IF($B$1+49&gt;=$B$23,$B$22,0))*(1+$B$4)^49))*IF(AY40+IF($B$1+49&lt;=$B40,12*$B$7,-12*MAX(0,$B$6-IF($B$1+49&gt;=$B$23,$B$22,0))*(1+$B$4)^49)&gt;0,1+$B$3,1))</f>
        <v/>
      </c>
      <c r="BA40">
        <f>IF($B$1+50&gt;90,AZ40,(AZ40+IF($B$1+50&lt;=$B40,12*$B$7,-12*MAX(0,$B$6-IF($B$1+50&gt;=$B$23,$B$22,0))*(1+$B$4)^50))*IF(AZ40+IF($B$1+50&lt;=$B40,12*$B$7,-12*MAX(0,$B$6-IF($B$1+50&gt;=$B$23,$B$22,0))*(1+$B$4)^50)&gt;0,1+$B$3,1))</f>
        <v/>
      </c>
      <c r="BB40">
        <f>IF($B$1+51&gt;90,BA40,(BA40+IF($B$1+51&lt;=$B40,12*$B$7,-12*MAX(0,$B$6-IF($B$1+51&gt;=$B$23,$B$22,0))*(1+$B$4)^51))*IF(BA40+IF($B$1+51&lt;=$B40,12*$B$7,-12*MAX(0,$B$6-IF($B$1+51&gt;=$B$23,$B$22,0))*(1+$B$4)^51)&gt;0,1+$B$3,1))</f>
        <v/>
      </c>
      <c r="BC40">
        <f>IF($B$1+52&gt;90,BB40,(BB40+IF($B$1+52&lt;=$B40,12*$B$7,-12*MAX(0,$B$6-IF($B$1+52&gt;=$B$23,$B$22,0))*(1+$B$4)^52))*IF(BB40+IF($B$1+52&lt;=$B40,12*$B$7,-12*MAX(0,$B$6-IF($B$1+52&gt;=$B$23,$B$22,0))*(1+$B$4)^52)&gt;0,1+$B$3,1))</f>
        <v/>
      </c>
      <c r="BD40">
        <f>IF($B$1+53&gt;90,BC40,(BC40+IF($B$1+53&lt;=$B40,12*$B$7,-12*MAX(0,$B$6-IF($B$1+53&gt;=$B$23,$B$22,0))*(1+$B$4)^53))*IF(BC40+IF($B$1+53&lt;=$B40,12*$B$7,-12*MAX(0,$B$6-IF($B$1+53&gt;=$B$23,$B$22,0))*(1+$B$4)^53)&gt;0,1+$B$3,1))</f>
        <v/>
      </c>
      <c r="BE40">
        <f>IF($B$1+54&gt;90,BD40,(BD40+IF($B$1+54&lt;=$B40,12*$B$7,-12*MAX(0,$B$6-IF($B$1+54&gt;=$B$23,$B$22,0))*(1+$B$4)^54))*IF(BD40+IF($B$1+54&lt;=$B40,12*$B$7,-12*MAX(0,$B$6-IF($B$1+54&gt;=$B$23,$B$22,0))*(1+$B$4)^54)&gt;0,1+$B$3,1))</f>
        <v/>
      </c>
      <c r="BF40">
        <f>IF($B$1+55&gt;90,BE40,(BE40+IF($B$1+55&lt;=$B40,12*$B$7,-12*MAX(0,$B$6-IF($B$1+55&gt;=$B$23,$B$22,0))*(1+$B$4)^55))*IF(BE40+IF($B$1+55&lt;=$B40,12*$B$7,-12*MAX(0,$B$6-IF($B$1+55&gt;=$B$23,$B$22,0))*(1+$B$4)^55)&gt;0,1+$B$3,1))</f>
        <v/>
      </c>
      <c r="BG40">
        <f>IF($B$1+56&gt;90,BF40,(BF40+IF($B$1+56&lt;=$B40,12*$B$7,-12*MAX(0,$B$6-IF($B$1+56&gt;=$B$23,$B$22,0))*(1+$B$4)^56))*IF(BF40+IF($B$1+56&lt;=$B40,12*$B$7,-12*MAX(0,$B$6-IF($B$1+56&gt;=$B$23,$B$22,0))*(1+$B$4)^56)&gt;0,1+$B$3,1))</f>
        <v/>
      </c>
      <c r="BH40">
        <f>IF($B$1+57&gt;90,BG40,(BG40+IF($B$1+57&lt;=$B40,12*$B$7,-12*MAX(0,$B$6-IF($B$1+57&gt;=$B$23,$B$22,0))*(1+$B$4)^57))*IF(BG40+IF($B$1+57&lt;=$B40,12*$B$7,-12*MAX(0,$B$6-IF($B$1+57&gt;=$B$23,$B$22,0))*(1+$B$4)^57)&gt;0,1+$B$3,1))</f>
        <v/>
      </c>
      <c r="BI40">
        <f>IF($B$1+58&gt;90,BH40,(BH40+IF($B$1+58&lt;=$B40,12*$B$7,-12*MAX(0,$B$6-IF($B$1+58&gt;=$B$23,$B$22,0))*(1+$B$4)^58))*IF(BH40+IF($B$1+58&lt;=$B40,12*$B$7,-12*MAX(0,$B$6-IF($B$1+58&gt;=$B$23,$B$22,0))*(1+$B$4)^58)&gt;0,1+$B$3,1))</f>
        <v/>
      </c>
      <c r="BJ40">
        <f>IF($B$1+59&gt;90,BI40,(BI40+IF($B$1+59&lt;=$B40,12*$B$7,-12*MAX(0,$B$6-IF($B$1+59&gt;=$B$23,$B$22,0))*(1+$B$4)^59))*IF(BI40+IF($B$1+59&lt;=$B40,12*$B$7,-12*MAX(0,$B$6-IF($B$1+59&gt;=$B$23,$B$22,0))*(1+$B$4)^59)&gt;0,1+$B$3,1))</f>
        <v/>
      </c>
      <c r="BK40">
        <f>IF($B$1+60&gt;90,BJ40,(BJ40+IF($B$1+60&lt;=$B40,12*$B$7,-12*MAX(0,$B$6-IF($B$1+60&gt;=$B$23,$B$22,0))*(1+$B$4)^60))*IF(BJ40+IF($B$1+60&lt;=$B40,12*$B$7,-12*MAX(0,$B$6-IF($B$1+60&gt;=$B$23,$B$22,0))*(1+$B$4)^60)&gt;0,1+$B$3,1))</f>
        <v/>
      </c>
      <c r="BL40">
        <f>IF($B$1+61&gt;90,BK40,(BK40+IF($B$1+61&lt;=$B40,12*$B$7,-12*MAX(0,$B$6-IF($B$1+61&gt;=$B$23,$B$22,0))*(1+$B$4)^61))*IF(BK40+IF($B$1+61&lt;=$B40,12*$B$7,-12*MAX(0,$B$6-IF($B$1+61&gt;=$B$23,$B$22,0))*(1+$B$4)^61)&gt;0,1+$B$3,1))</f>
        <v/>
      </c>
      <c r="BM40">
        <f>IF($B$1+62&gt;90,BL40,(BL40+IF($B$1+62&lt;=$B40,12*$B$7,-12*MAX(0,$B$6-IF($B$1+62&gt;=$B$23,$B$22,0))*(1+$B$4)^62))*IF(BL40+IF($B$1+62&lt;=$B40,12*$B$7,-12*MAX(0,$B$6-IF($B$1+62&gt;=$B$23,$B$22,0))*(1+$B$4)^62)&gt;0,1+$B$3,1))</f>
        <v/>
      </c>
      <c r="BN40">
        <f>IF($B$1+63&gt;90,BM40,(BM40+IF($B$1+63&lt;=$B40,12*$B$7,-12*MAX(0,$B$6-IF($B$1+63&gt;=$B$23,$B$22,0))*(1+$B$4)^63))*IF(BM40+IF($B$1+63&lt;=$B40,12*$B$7,-12*MAX(0,$B$6-IF($B$1+63&gt;=$B$23,$B$22,0))*(1+$B$4)^63)&gt;0,1+$B$3,1))</f>
        <v/>
      </c>
      <c r="BO40">
        <f>IF($B$1+64&gt;90,BN40,(BN40+IF($B$1+64&lt;=$B40,12*$B$7,-12*MAX(0,$B$6-IF($B$1+64&gt;=$B$23,$B$22,0))*(1+$B$4)^64))*IF(BN40+IF($B$1+64&lt;=$B40,12*$B$7,-12*MAX(0,$B$6-IF($B$1+64&gt;=$B$23,$B$22,0))*(1+$B$4)^64)&gt;0,1+$B$3,1))</f>
        <v/>
      </c>
      <c r="BP40">
        <f>IF($B$1+65&gt;90,BO40,(BO40+IF($B$1+65&lt;=$B40,12*$B$7,-12*MAX(0,$B$6-IF($B$1+65&gt;=$B$23,$B$22,0))*(1+$B$4)^65))*IF(BO40+IF($B$1+65&lt;=$B40,12*$B$7,-12*MAX(0,$B$6-IF($B$1+65&gt;=$B$23,$B$22,0))*(1+$B$4)^65)&gt;0,1+$B$3,1))</f>
        <v/>
      </c>
      <c r="BQ40">
        <f>IF($B$1+66&gt;90,BP40,(BP40+IF($B$1+66&lt;=$B40,12*$B$7,-12*MAX(0,$B$6-IF($B$1+66&gt;=$B$23,$B$22,0))*(1+$B$4)^66))*IF(BP40+IF($B$1+66&lt;=$B40,12*$B$7,-12*MAX(0,$B$6-IF($B$1+66&gt;=$B$23,$B$22,0))*(1+$B$4)^66)&gt;0,1+$B$3,1))</f>
        <v/>
      </c>
      <c r="BR40">
        <f>IF($B$1+67&gt;90,BQ40,(BQ40+IF($B$1+67&lt;=$B40,12*$B$7,-12*MAX(0,$B$6-IF($B$1+67&gt;=$B$23,$B$22,0))*(1+$B$4)^67))*IF(BQ40+IF($B$1+67&lt;=$B40,12*$B$7,-12*MAX(0,$B$6-IF($B$1+67&gt;=$B$23,$B$22,0))*(1+$B$4)^67)&gt;0,1+$B$3,1))</f>
        <v/>
      </c>
      <c r="BS40">
        <f>IF($B$1+68&gt;90,BR40,(BR40+IF($B$1+68&lt;=$B40,12*$B$7,-12*MAX(0,$B$6-IF($B$1+68&gt;=$B$23,$B$22,0))*(1+$B$4)^68))*IF(BR40+IF($B$1+68&lt;=$B40,12*$B$7,-12*MAX(0,$B$6-IF($B$1+68&gt;=$B$23,$B$22,0))*(1+$B$4)^68)&gt;0,1+$B$3,1))</f>
        <v/>
      </c>
      <c r="BT40">
        <f>IF($B$1+69&gt;90,BS40,(BS40+IF($B$1+69&lt;=$B40,12*$B$7,-12*MAX(0,$B$6-IF($B$1+69&gt;=$B$23,$B$22,0))*(1+$B$4)^69))*IF(BS40+IF($B$1+69&lt;=$B40,12*$B$7,-12*MAX(0,$B$6-IF($B$1+69&gt;=$B$23,$B$22,0))*(1+$B$4)^69)&gt;0,1+$B$3,1))</f>
        <v/>
      </c>
      <c r="BU40">
        <f>IF($B$1+70&gt;90,BT40,(BT40+IF($B$1+70&lt;=$B40,12*$B$7,-12*MAX(0,$B$6-IF($B$1+70&gt;=$B$23,$B$22,0))*(1+$B$4)^70))*IF(BT40+IF($B$1+70&lt;=$B40,12*$B$7,-12*MAX(0,$B$6-IF($B$1+70&gt;=$B$23,$B$22,0))*(1+$B$4)^70)&gt;0,1+$B$3,1))</f>
        <v/>
      </c>
      <c r="BV40">
        <f>BU40</f>
        <v/>
      </c>
      <c r="BW40">
        <f>IF(AND($B40&lt;=70,BV40&gt;0),$B40,999)</f>
        <v/>
      </c>
      <c r="CB40" t="n">
        <v>39</v>
      </c>
      <c r="CC40">
        <f>IF($B$1+CB40&gt;90,0,12*MAX(0,$B$6-IF($B$1+CB40&gt;=$B$23,$B$22,0))*(1+$B$4)^CB40/(1+$B$3)^(CB40-1))</f>
        <v/>
      </c>
      <c r="CE40">
        <f>IF($B$1+38&gt;90,NA(),$B$1+38)</f>
        <v/>
      </c>
      <c r="CF40">
        <f>IF(OR($B$21="",$B$1+38&gt;90),NA(),INDEX($C$40:$BU$90,$B$21-$B$1+1,39))</f>
        <v/>
      </c>
      <c r="CH40">
        <f>IF(ISTEXT('월 가계부'!A40),SUBSTITUTE(SUBSTITUTE(SUBSTITUTE(SUBSTITUTE(SUBSTITUTE(SUBSTITUTE(SUBSTITUTE(SUBSTITUTE(SUBSTITUTE(TRIM('월 가계부'!A40),"년","-"),"월","-"),"일",""),".","-"),"/","-")," ","-"),"--","-"),"--","-"),"--","-")&amp;"-","")</f>
        <v/>
      </c>
      <c r="CI40">
        <f>IFERROR(IF('월 가계부'!A40="","",IF(ISNUMBER('월 가계부'!A40),IF(AND('월 가계부'!A40&gt;=19000101,'월 가계부'!A40&lt;=21001231),IF(AND(MOD(INT('월 가계부'!A40/100),100)&gt;=1,MOD(INT('월 가계부'!A40/100),100)&lt;=12,MOD(INT('월 가계부'!A40),100)&gt;=1,MOD(INT('월 가계부'!A40),100)&lt;=31),IF(MONTH(DATE(INT('월 가계부'!A40/10000),MOD(INT('월 가계부'!A40/100),100),MOD(INT('월 가계부'!A40),100)))=MOD(INT('월 가계부'!A40/100),100),DATE(INT('월 가계부'!A40/10000),MOD(INT('월 가계부'!A40/100),100),MOD(INT('월 가계부'!A40),100)),""),""),IF(AND('월 가계부'!A40&gt;=36526,'월 가계부'!A40&lt;73051),INT('월 가계부'!A40),"")),IF(OR(CM40="",CN40="",CO40=""),"",IF(AND(CM40&gt;=2000,CM40&lt;=2099,CN40&gt;=1,CN40&lt;=12,CO40&gt;=1,CO40&lt;=31),IF(MONTH(DATE(CM40,CN40,CO40))=CN40,DATE(CM40,CN40,CO40),""),"")))),"")</f>
        <v/>
      </c>
      <c r="CJ40">
        <f>IFERROR(IF('월 가계부'!C40="","",IF(ISNUMBER('월 가계부'!C40),'월 가계부'!C40,VALUE(SUBSTITUTE(SUBSTITUTE(SUBSTITUTE(SUBSTITUTE(TRIM('월 가계부'!C40),",",""),"원","")," ",""),"−","-")))),"")</f>
        <v/>
      </c>
      <c r="CK40">
        <f>IF(ISNUMBER(CI40),IF(CI40&lt;$B$13,CI40,""),"")</f>
        <v/>
      </c>
      <c r="CM40">
        <f>IF(CH40="","",IFERROR(IF(IF(AND(LEN(CH40)=9,ISERROR(FIND("-",LEFT(CH40,8))),ISNUMBER(-LEFT(CH40,8))),VALUE(LEFT(CH40,4)),VALUE(LEFT(CH40,FIND("-",CH40)-1)))&lt;100,IF(AND(LEN(CH40)=9,ISERROR(FIND("-",LEFT(CH40,8))),ISNUMBER(-LEFT(CH40,8))),VALUE(LEFT(CH40,4)),VALUE(LEFT(CH40,FIND("-",CH40)-1)))+2000,IF(AND(LEN(CH40)=9,ISERROR(FIND("-",LEFT(CH40,8))),ISNUMBER(-LEFT(CH40,8))),VALUE(LEFT(CH40,4)),VALUE(LEFT(CH40,FIND("-",CH40)-1)))),""))</f>
        <v/>
      </c>
      <c r="CN40">
        <f>IF(CH40="","",IFERROR(IF(AND(LEN(CH40)=9,ISERROR(FIND("-",LEFT(CH40,8))),ISNUMBER(-LEFT(CH40,8))),VALUE(MID(CH40,5,2)),VALUE(MID(CH40,FIND("-",CH40)+1,FIND("-",CH40,FIND("-",CH40)+1)-FIND("-",CH40)-1))),""))</f>
        <v/>
      </c>
      <c r="CO40">
        <f>IF(CH40="","",IFERROR(IF(AND(LEN(CH40)=9,ISERROR(FIND("-",LEFT(CH40,8))),ISNUMBER(-LEFT(CH40,8))),VALUE(MID(CH40,7,2)),VALUE(MID(CH40,FIND("-",CH40,FIND("-",CH40)+1)+1,FIND("-",CH40,FIND("-",CH40,FIND("-",CH40)+1)+1)-FIND("-",CH40,FIND("-",CH40)+1)-1))),""))</f>
        <v/>
      </c>
    </row>
    <row r="41">
      <c r="A41" t="n">
        <v>1</v>
      </c>
      <c r="B41">
        <f>$B$1+1</f>
        <v/>
      </c>
      <c r="C41">
        <f>$B$2</f>
        <v/>
      </c>
      <c r="D41">
        <f>IF($B$1+1&gt;90,C41,(C41+IF($B$1+1&lt;=$B41,12*$B$7,-12*MAX(0,$B$6-IF($B$1+1&gt;=$B$23,$B$22,0))*(1+$B$4)^1))*IF(C41+IF($B$1+1&lt;=$B41,12*$B$7,-12*MAX(0,$B$6-IF($B$1+1&gt;=$B$23,$B$22,0))*(1+$B$4)^1)&gt;0,1+$B$3,1))</f>
        <v/>
      </c>
      <c r="E41">
        <f>IF($B$1+2&gt;90,D41,(D41+IF($B$1+2&lt;=$B41,12*$B$7,-12*MAX(0,$B$6-IF($B$1+2&gt;=$B$23,$B$22,0))*(1+$B$4)^2))*IF(D41+IF($B$1+2&lt;=$B41,12*$B$7,-12*MAX(0,$B$6-IF($B$1+2&gt;=$B$23,$B$22,0))*(1+$B$4)^2)&gt;0,1+$B$3,1))</f>
        <v/>
      </c>
      <c r="F41">
        <f>IF($B$1+3&gt;90,E41,(E41+IF($B$1+3&lt;=$B41,12*$B$7,-12*MAX(0,$B$6-IF($B$1+3&gt;=$B$23,$B$22,0))*(1+$B$4)^3))*IF(E41+IF($B$1+3&lt;=$B41,12*$B$7,-12*MAX(0,$B$6-IF($B$1+3&gt;=$B$23,$B$22,0))*(1+$B$4)^3)&gt;0,1+$B$3,1))</f>
        <v/>
      </c>
      <c r="G41">
        <f>IF($B$1+4&gt;90,F41,(F41+IF($B$1+4&lt;=$B41,12*$B$7,-12*MAX(0,$B$6-IF($B$1+4&gt;=$B$23,$B$22,0))*(1+$B$4)^4))*IF(F41+IF($B$1+4&lt;=$B41,12*$B$7,-12*MAX(0,$B$6-IF($B$1+4&gt;=$B$23,$B$22,0))*(1+$B$4)^4)&gt;0,1+$B$3,1))</f>
        <v/>
      </c>
      <c r="H41">
        <f>IF($B$1+5&gt;90,G41,(G41+IF($B$1+5&lt;=$B41,12*$B$7,-12*MAX(0,$B$6-IF($B$1+5&gt;=$B$23,$B$22,0))*(1+$B$4)^5))*IF(G41+IF($B$1+5&lt;=$B41,12*$B$7,-12*MAX(0,$B$6-IF($B$1+5&gt;=$B$23,$B$22,0))*(1+$B$4)^5)&gt;0,1+$B$3,1))</f>
        <v/>
      </c>
      <c r="I41">
        <f>IF($B$1+6&gt;90,H41,(H41+IF($B$1+6&lt;=$B41,12*$B$7,-12*MAX(0,$B$6-IF($B$1+6&gt;=$B$23,$B$22,0))*(1+$B$4)^6))*IF(H41+IF($B$1+6&lt;=$B41,12*$B$7,-12*MAX(0,$B$6-IF($B$1+6&gt;=$B$23,$B$22,0))*(1+$B$4)^6)&gt;0,1+$B$3,1))</f>
        <v/>
      </c>
      <c r="J41">
        <f>IF($B$1+7&gt;90,I41,(I41+IF($B$1+7&lt;=$B41,12*$B$7,-12*MAX(0,$B$6-IF($B$1+7&gt;=$B$23,$B$22,0))*(1+$B$4)^7))*IF(I41+IF($B$1+7&lt;=$B41,12*$B$7,-12*MAX(0,$B$6-IF($B$1+7&gt;=$B$23,$B$22,0))*(1+$B$4)^7)&gt;0,1+$B$3,1))</f>
        <v/>
      </c>
      <c r="K41">
        <f>IF($B$1+8&gt;90,J41,(J41+IF($B$1+8&lt;=$B41,12*$B$7,-12*MAX(0,$B$6-IF($B$1+8&gt;=$B$23,$B$22,0))*(1+$B$4)^8))*IF(J41+IF($B$1+8&lt;=$B41,12*$B$7,-12*MAX(0,$B$6-IF($B$1+8&gt;=$B$23,$B$22,0))*(1+$B$4)^8)&gt;0,1+$B$3,1))</f>
        <v/>
      </c>
      <c r="L41">
        <f>IF($B$1+9&gt;90,K41,(K41+IF($B$1+9&lt;=$B41,12*$B$7,-12*MAX(0,$B$6-IF($B$1+9&gt;=$B$23,$B$22,0))*(1+$B$4)^9))*IF(K41+IF($B$1+9&lt;=$B41,12*$B$7,-12*MAX(0,$B$6-IF($B$1+9&gt;=$B$23,$B$22,0))*(1+$B$4)^9)&gt;0,1+$B$3,1))</f>
        <v/>
      </c>
      <c r="M41">
        <f>IF($B$1+10&gt;90,L41,(L41+IF($B$1+10&lt;=$B41,12*$B$7,-12*MAX(0,$B$6-IF($B$1+10&gt;=$B$23,$B$22,0))*(1+$B$4)^10))*IF(L41+IF($B$1+10&lt;=$B41,12*$B$7,-12*MAX(0,$B$6-IF($B$1+10&gt;=$B$23,$B$22,0))*(1+$B$4)^10)&gt;0,1+$B$3,1))</f>
        <v/>
      </c>
      <c r="N41">
        <f>IF($B$1+11&gt;90,M41,(M41+IF($B$1+11&lt;=$B41,12*$B$7,-12*MAX(0,$B$6-IF($B$1+11&gt;=$B$23,$B$22,0))*(1+$B$4)^11))*IF(M41+IF($B$1+11&lt;=$B41,12*$B$7,-12*MAX(0,$B$6-IF($B$1+11&gt;=$B$23,$B$22,0))*(1+$B$4)^11)&gt;0,1+$B$3,1))</f>
        <v/>
      </c>
      <c r="O41">
        <f>IF($B$1+12&gt;90,N41,(N41+IF($B$1+12&lt;=$B41,12*$B$7,-12*MAX(0,$B$6-IF($B$1+12&gt;=$B$23,$B$22,0))*(1+$B$4)^12))*IF(N41+IF($B$1+12&lt;=$B41,12*$B$7,-12*MAX(0,$B$6-IF($B$1+12&gt;=$B$23,$B$22,0))*(1+$B$4)^12)&gt;0,1+$B$3,1))</f>
        <v/>
      </c>
      <c r="P41">
        <f>IF($B$1+13&gt;90,O41,(O41+IF($B$1+13&lt;=$B41,12*$B$7,-12*MAX(0,$B$6-IF($B$1+13&gt;=$B$23,$B$22,0))*(1+$B$4)^13))*IF(O41+IF($B$1+13&lt;=$B41,12*$B$7,-12*MAX(0,$B$6-IF($B$1+13&gt;=$B$23,$B$22,0))*(1+$B$4)^13)&gt;0,1+$B$3,1))</f>
        <v/>
      </c>
      <c r="Q41">
        <f>IF($B$1+14&gt;90,P41,(P41+IF($B$1+14&lt;=$B41,12*$B$7,-12*MAX(0,$B$6-IF($B$1+14&gt;=$B$23,$B$22,0))*(1+$B$4)^14))*IF(P41+IF($B$1+14&lt;=$B41,12*$B$7,-12*MAX(0,$B$6-IF($B$1+14&gt;=$B$23,$B$22,0))*(1+$B$4)^14)&gt;0,1+$B$3,1))</f>
        <v/>
      </c>
      <c r="R41">
        <f>IF($B$1+15&gt;90,Q41,(Q41+IF($B$1+15&lt;=$B41,12*$B$7,-12*MAX(0,$B$6-IF($B$1+15&gt;=$B$23,$B$22,0))*(1+$B$4)^15))*IF(Q41+IF($B$1+15&lt;=$B41,12*$B$7,-12*MAX(0,$B$6-IF($B$1+15&gt;=$B$23,$B$22,0))*(1+$B$4)^15)&gt;0,1+$B$3,1))</f>
        <v/>
      </c>
      <c r="S41">
        <f>IF($B$1+16&gt;90,R41,(R41+IF($B$1+16&lt;=$B41,12*$B$7,-12*MAX(0,$B$6-IF($B$1+16&gt;=$B$23,$B$22,0))*(1+$B$4)^16))*IF(R41+IF($B$1+16&lt;=$B41,12*$B$7,-12*MAX(0,$B$6-IF($B$1+16&gt;=$B$23,$B$22,0))*(1+$B$4)^16)&gt;0,1+$B$3,1))</f>
        <v/>
      </c>
      <c r="T41">
        <f>IF($B$1+17&gt;90,S41,(S41+IF($B$1+17&lt;=$B41,12*$B$7,-12*MAX(0,$B$6-IF($B$1+17&gt;=$B$23,$B$22,0))*(1+$B$4)^17))*IF(S41+IF($B$1+17&lt;=$B41,12*$B$7,-12*MAX(0,$B$6-IF($B$1+17&gt;=$B$23,$B$22,0))*(1+$B$4)^17)&gt;0,1+$B$3,1))</f>
        <v/>
      </c>
      <c r="U41">
        <f>IF($B$1+18&gt;90,T41,(T41+IF($B$1+18&lt;=$B41,12*$B$7,-12*MAX(0,$B$6-IF($B$1+18&gt;=$B$23,$B$22,0))*(1+$B$4)^18))*IF(T41+IF($B$1+18&lt;=$B41,12*$B$7,-12*MAX(0,$B$6-IF($B$1+18&gt;=$B$23,$B$22,0))*(1+$B$4)^18)&gt;0,1+$B$3,1))</f>
        <v/>
      </c>
      <c r="V41">
        <f>IF($B$1+19&gt;90,U41,(U41+IF($B$1+19&lt;=$B41,12*$B$7,-12*MAX(0,$B$6-IF($B$1+19&gt;=$B$23,$B$22,0))*(1+$B$4)^19))*IF(U41+IF($B$1+19&lt;=$B41,12*$B$7,-12*MAX(0,$B$6-IF($B$1+19&gt;=$B$23,$B$22,0))*(1+$B$4)^19)&gt;0,1+$B$3,1))</f>
        <v/>
      </c>
      <c r="W41">
        <f>IF($B$1+20&gt;90,V41,(V41+IF($B$1+20&lt;=$B41,12*$B$7,-12*MAX(0,$B$6-IF($B$1+20&gt;=$B$23,$B$22,0))*(1+$B$4)^20))*IF(V41+IF($B$1+20&lt;=$B41,12*$B$7,-12*MAX(0,$B$6-IF($B$1+20&gt;=$B$23,$B$22,0))*(1+$B$4)^20)&gt;0,1+$B$3,1))</f>
        <v/>
      </c>
      <c r="X41">
        <f>IF($B$1+21&gt;90,W41,(W41+IF($B$1+21&lt;=$B41,12*$B$7,-12*MAX(0,$B$6-IF($B$1+21&gt;=$B$23,$B$22,0))*(1+$B$4)^21))*IF(W41+IF($B$1+21&lt;=$B41,12*$B$7,-12*MAX(0,$B$6-IF($B$1+21&gt;=$B$23,$B$22,0))*(1+$B$4)^21)&gt;0,1+$B$3,1))</f>
        <v/>
      </c>
      <c r="Y41">
        <f>IF($B$1+22&gt;90,X41,(X41+IF($B$1+22&lt;=$B41,12*$B$7,-12*MAX(0,$B$6-IF($B$1+22&gt;=$B$23,$B$22,0))*(1+$B$4)^22))*IF(X41+IF($B$1+22&lt;=$B41,12*$B$7,-12*MAX(0,$B$6-IF($B$1+22&gt;=$B$23,$B$22,0))*(1+$B$4)^22)&gt;0,1+$B$3,1))</f>
        <v/>
      </c>
      <c r="Z41">
        <f>IF($B$1+23&gt;90,Y41,(Y41+IF($B$1+23&lt;=$B41,12*$B$7,-12*MAX(0,$B$6-IF($B$1+23&gt;=$B$23,$B$22,0))*(1+$B$4)^23))*IF(Y41+IF($B$1+23&lt;=$B41,12*$B$7,-12*MAX(0,$B$6-IF($B$1+23&gt;=$B$23,$B$22,0))*(1+$B$4)^23)&gt;0,1+$B$3,1))</f>
        <v/>
      </c>
      <c r="AA41">
        <f>IF($B$1+24&gt;90,Z41,(Z41+IF($B$1+24&lt;=$B41,12*$B$7,-12*MAX(0,$B$6-IF($B$1+24&gt;=$B$23,$B$22,0))*(1+$B$4)^24))*IF(Z41+IF($B$1+24&lt;=$B41,12*$B$7,-12*MAX(0,$B$6-IF($B$1+24&gt;=$B$23,$B$22,0))*(1+$B$4)^24)&gt;0,1+$B$3,1))</f>
        <v/>
      </c>
      <c r="AB41">
        <f>IF($B$1+25&gt;90,AA41,(AA41+IF($B$1+25&lt;=$B41,12*$B$7,-12*MAX(0,$B$6-IF($B$1+25&gt;=$B$23,$B$22,0))*(1+$B$4)^25))*IF(AA41+IF($B$1+25&lt;=$B41,12*$B$7,-12*MAX(0,$B$6-IF($B$1+25&gt;=$B$23,$B$22,0))*(1+$B$4)^25)&gt;0,1+$B$3,1))</f>
        <v/>
      </c>
      <c r="AC41">
        <f>IF($B$1+26&gt;90,AB41,(AB41+IF($B$1+26&lt;=$B41,12*$B$7,-12*MAX(0,$B$6-IF($B$1+26&gt;=$B$23,$B$22,0))*(1+$B$4)^26))*IF(AB41+IF($B$1+26&lt;=$B41,12*$B$7,-12*MAX(0,$B$6-IF($B$1+26&gt;=$B$23,$B$22,0))*(1+$B$4)^26)&gt;0,1+$B$3,1))</f>
        <v/>
      </c>
      <c r="AD41">
        <f>IF($B$1+27&gt;90,AC41,(AC41+IF($B$1+27&lt;=$B41,12*$B$7,-12*MAX(0,$B$6-IF($B$1+27&gt;=$B$23,$B$22,0))*(1+$B$4)^27))*IF(AC41+IF($B$1+27&lt;=$B41,12*$B$7,-12*MAX(0,$B$6-IF($B$1+27&gt;=$B$23,$B$22,0))*(1+$B$4)^27)&gt;0,1+$B$3,1))</f>
        <v/>
      </c>
      <c r="AE41">
        <f>IF($B$1+28&gt;90,AD41,(AD41+IF($B$1+28&lt;=$B41,12*$B$7,-12*MAX(0,$B$6-IF($B$1+28&gt;=$B$23,$B$22,0))*(1+$B$4)^28))*IF(AD41+IF($B$1+28&lt;=$B41,12*$B$7,-12*MAX(0,$B$6-IF($B$1+28&gt;=$B$23,$B$22,0))*(1+$B$4)^28)&gt;0,1+$B$3,1))</f>
        <v/>
      </c>
      <c r="AF41">
        <f>IF($B$1+29&gt;90,AE41,(AE41+IF($B$1+29&lt;=$B41,12*$B$7,-12*MAX(0,$B$6-IF($B$1+29&gt;=$B$23,$B$22,0))*(1+$B$4)^29))*IF(AE41+IF($B$1+29&lt;=$B41,12*$B$7,-12*MAX(0,$B$6-IF($B$1+29&gt;=$B$23,$B$22,0))*(1+$B$4)^29)&gt;0,1+$B$3,1))</f>
        <v/>
      </c>
      <c r="AG41">
        <f>IF($B$1+30&gt;90,AF41,(AF41+IF($B$1+30&lt;=$B41,12*$B$7,-12*MAX(0,$B$6-IF($B$1+30&gt;=$B$23,$B$22,0))*(1+$B$4)^30))*IF(AF41+IF($B$1+30&lt;=$B41,12*$B$7,-12*MAX(0,$B$6-IF($B$1+30&gt;=$B$23,$B$22,0))*(1+$B$4)^30)&gt;0,1+$B$3,1))</f>
        <v/>
      </c>
      <c r="AH41">
        <f>IF($B$1+31&gt;90,AG41,(AG41+IF($B$1+31&lt;=$B41,12*$B$7,-12*MAX(0,$B$6-IF($B$1+31&gt;=$B$23,$B$22,0))*(1+$B$4)^31))*IF(AG41+IF($B$1+31&lt;=$B41,12*$B$7,-12*MAX(0,$B$6-IF($B$1+31&gt;=$B$23,$B$22,0))*(1+$B$4)^31)&gt;0,1+$B$3,1))</f>
        <v/>
      </c>
      <c r="AI41">
        <f>IF($B$1+32&gt;90,AH41,(AH41+IF($B$1+32&lt;=$B41,12*$B$7,-12*MAX(0,$B$6-IF($B$1+32&gt;=$B$23,$B$22,0))*(1+$B$4)^32))*IF(AH41+IF($B$1+32&lt;=$B41,12*$B$7,-12*MAX(0,$B$6-IF($B$1+32&gt;=$B$23,$B$22,0))*(1+$B$4)^32)&gt;0,1+$B$3,1))</f>
        <v/>
      </c>
      <c r="AJ41">
        <f>IF($B$1+33&gt;90,AI41,(AI41+IF($B$1+33&lt;=$B41,12*$B$7,-12*MAX(0,$B$6-IF($B$1+33&gt;=$B$23,$B$22,0))*(1+$B$4)^33))*IF(AI41+IF($B$1+33&lt;=$B41,12*$B$7,-12*MAX(0,$B$6-IF($B$1+33&gt;=$B$23,$B$22,0))*(1+$B$4)^33)&gt;0,1+$B$3,1))</f>
        <v/>
      </c>
      <c r="AK41">
        <f>IF($B$1+34&gt;90,AJ41,(AJ41+IF($B$1+34&lt;=$B41,12*$B$7,-12*MAX(0,$B$6-IF($B$1+34&gt;=$B$23,$B$22,0))*(1+$B$4)^34))*IF(AJ41+IF($B$1+34&lt;=$B41,12*$B$7,-12*MAX(0,$B$6-IF($B$1+34&gt;=$B$23,$B$22,0))*(1+$B$4)^34)&gt;0,1+$B$3,1))</f>
        <v/>
      </c>
      <c r="AL41">
        <f>IF($B$1+35&gt;90,AK41,(AK41+IF($B$1+35&lt;=$B41,12*$B$7,-12*MAX(0,$B$6-IF($B$1+35&gt;=$B$23,$B$22,0))*(1+$B$4)^35))*IF(AK41+IF($B$1+35&lt;=$B41,12*$B$7,-12*MAX(0,$B$6-IF($B$1+35&gt;=$B$23,$B$22,0))*(1+$B$4)^35)&gt;0,1+$B$3,1))</f>
        <v/>
      </c>
      <c r="AM41">
        <f>IF($B$1+36&gt;90,AL41,(AL41+IF($B$1+36&lt;=$B41,12*$B$7,-12*MAX(0,$B$6-IF($B$1+36&gt;=$B$23,$B$22,0))*(1+$B$4)^36))*IF(AL41+IF($B$1+36&lt;=$B41,12*$B$7,-12*MAX(0,$B$6-IF($B$1+36&gt;=$B$23,$B$22,0))*(1+$B$4)^36)&gt;0,1+$B$3,1))</f>
        <v/>
      </c>
      <c r="AN41">
        <f>IF($B$1+37&gt;90,AM41,(AM41+IF($B$1+37&lt;=$B41,12*$B$7,-12*MAX(0,$B$6-IF($B$1+37&gt;=$B$23,$B$22,0))*(1+$B$4)^37))*IF(AM41+IF($B$1+37&lt;=$B41,12*$B$7,-12*MAX(0,$B$6-IF($B$1+37&gt;=$B$23,$B$22,0))*(1+$B$4)^37)&gt;0,1+$B$3,1))</f>
        <v/>
      </c>
      <c r="AO41">
        <f>IF($B$1+38&gt;90,AN41,(AN41+IF($B$1+38&lt;=$B41,12*$B$7,-12*MAX(0,$B$6-IF($B$1+38&gt;=$B$23,$B$22,0))*(1+$B$4)^38))*IF(AN41+IF($B$1+38&lt;=$B41,12*$B$7,-12*MAX(0,$B$6-IF($B$1+38&gt;=$B$23,$B$22,0))*(1+$B$4)^38)&gt;0,1+$B$3,1))</f>
        <v/>
      </c>
      <c r="AP41">
        <f>IF($B$1+39&gt;90,AO41,(AO41+IF($B$1+39&lt;=$B41,12*$B$7,-12*MAX(0,$B$6-IF($B$1+39&gt;=$B$23,$B$22,0))*(1+$B$4)^39))*IF(AO41+IF($B$1+39&lt;=$B41,12*$B$7,-12*MAX(0,$B$6-IF($B$1+39&gt;=$B$23,$B$22,0))*(1+$B$4)^39)&gt;0,1+$B$3,1))</f>
        <v/>
      </c>
      <c r="AQ41">
        <f>IF($B$1+40&gt;90,AP41,(AP41+IF($B$1+40&lt;=$B41,12*$B$7,-12*MAX(0,$B$6-IF($B$1+40&gt;=$B$23,$B$22,0))*(1+$B$4)^40))*IF(AP41+IF($B$1+40&lt;=$B41,12*$B$7,-12*MAX(0,$B$6-IF($B$1+40&gt;=$B$23,$B$22,0))*(1+$B$4)^40)&gt;0,1+$B$3,1))</f>
        <v/>
      </c>
      <c r="AR41">
        <f>IF($B$1+41&gt;90,AQ41,(AQ41+IF($B$1+41&lt;=$B41,12*$B$7,-12*MAX(0,$B$6-IF($B$1+41&gt;=$B$23,$B$22,0))*(1+$B$4)^41))*IF(AQ41+IF($B$1+41&lt;=$B41,12*$B$7,-12*MAX(0,$B$6-IF($B$1+41&gt;=$B$23,$B$22,0))*(1+$B$4)^41)&gt;0,1+$B$3,1))</f>
        <v/>
      </c>
      <c r="AS41">
        <f>IF($B$1+42&gt;90,AR41,(AR41+IF($B$1+42&lt;=$B41,12*$B$7,-12*MAX(0,$B$6-IF($B$1+42&gt;=$B$23,$B$22,0))*(1+$B$4)^42))*IF(AR41+IF($B$1+42&lt;=$B41,12*$B$7,-12*MAX(0,$B$6-IF($B$1+42&gt;=$B$23,$B$22,0))*(1+$B$4)^42)&gt;0,1+$B$3,1))</f>
        <v/>
      </c>
      <c r="AT41">
        <f>IF($B$1+43&gt;90,AS41,(AS41+IF($B$1+43&lt;=$B41,12*$B$7,-12*MAX(0,$B$6-IF($B$1+43&gt;=$B$23,$B$22,0))*(1+$B$4)^43))*IF(AS41+IF($B$1+43&lt;=$B41,12*$B$7,-12*MAX(0,$B$6-IF($B$1+43&gt;=$B$23,$B$22,0))*(1+$B$4)^43)&gt;0,1+$B$3,1))</f>
        <v/>
      </c>
      <c r="AU41">
        <f>IF($B$1+44&gt;90,AT41,(AT41+IF($B$1+44&lt;=$B41,12*$B$7,-12*MAX(0,$B$6-IF($B$1+44&gt;=$B$23,$B$22,0))*(1+$B$4)^44))*IF(AT41+IF($B$1+44&lt;=$B41,12*$B$7,-12*MAX(0,$B$6-IF($B$1+44&gt;=$B$23,$B$22,0))*(1+$B$4)^44)&gt;0,1+$B$3,1))</f>
        <v/>
      </c>
      <c r="AV41">
        <f>IF($B$1+45&gt;90,AU41,(AU41+IF($B$1+45&lt;=$B41,12*$B$7,-12*MAX(0,$B$6-IF($B$1+45&gt;=$B$23,$B$22,0))*(1+$B$4)^45))*IF(AU41+IF($B$1+45&lt;=$B41,12*$B$7,-12*MAX(0,$B$6-IF($B$1+45&gt;=$B$23,$B$22,0))*(1+$B$4)^45)&gt;0,1+$B$3,1))</f>
        <v/>
      </c>
      <c r="AW41">
        <f>IF($B$1+46&gt;90,AV41,(AV41+IF($B$1+46&lt;=$B41,12*$B$7,-12*MAX(0,$B$6-IF($B$1+46&gt;=$B$23,$B$22,0))*(1+$B$4)^46))*IF(AV41+IF($B$1+46&lt;=$B41,12*$B$7,-12*MAX(0,$B$6-IF($B$1+46&gt;=$B$23,$B$22,0))*(1+$B$4)^46)&gt;0,1+$B$3,1))</f>
        <v/>
      </c>
      <c r="AX41">
        <f>IF($B$1+47&gt;90,AW41,(AW41+IF($B$1+47&lt;=$B41,12*$B$7,-12*MAX(0,$B$6-IF($B$1+47&gt;=$B$23,$B$22,0))*(1+$B$4)^47))*IF(AW41+IF($B$1+47&lt;=$B41,12*$B$7,-12*MAX(0,$B$6-IF($B$1+47&gt;=$B$23,$B$22,0))*(1+$B$4)^47)&gt;0,1+$B$3,1))</f>
        <v/>
      </c>
      <c r="AY41">
        <f>IF($B$1+48&gt;90,AX41,(AX41+IF($B$1+48&lt;=$B41,12*$B$7,-12*MAX(0,$B$6-IF($B$1+48&gt;=$B$23,$B$22,0))*(1+$B$4)^48))*IF(AX41+IF($B$1+48&lt;=$B41,12*$B$7,-12*MAX(0,$B$6-IF($B$1+48&gt;=$B$23,$B$22,0))*(1+$B$4)^48)&gt;0,1+$B$3,1))</f>
        <v/>
      </c>
      <c r="AZ41">
        <f>IF($B$1+49&gt;90,AY41,(AY41+IF($B$1+49&lt;=$B41,12*$B$7,-12*MAX(0,$B$6-IF($B$1+49&gt;=$B$23,$B$22,0))*(1+$B$4)^49))*IF(AY41+IF($B$1+49&lt;=$B41,12*$B$7,-12*MAX(0,$B$6-IF($B$1+49&gt;=$B$23,$B$22,0))*(1+$B$4)^49)&gt;0,1+$B$3,1))</f>
        <v/>
      </c>
      <c r="BA41">
        <f>IF($B$1+50&gt;90,AZ41,(AZ41+IF($B$1+50&lt;=$B41,12*$B$7,-12*MAX(0,$B$6-IF($B$1+50&gt;=$B$23,$B$22,0))*(1+$B$4)^50))*IF(AZ41+IF($B$1+50&lt;=$B41,12*$B$7,-12*MAX(0,$B$6-IF($B$1+50&gt;=$B$23,$B$22,0))*(1+$B$4)^50)&gt;0,1+$B$3,1))</f>
        <v/>
      </c>
      <c r="BB41">
        <f>IF($B$1+51&gt;90,BA41,(BA41+IF($B$1+51&lt;=$B41,12*$B$7,-12*MAX(0,$B$6-IF($B$1+51&gt;=$B$23,$B$22,0))*(1+$B$4)^51))*IF(BA41+IF($B$1+51&lt;=$B41,12*$B$7,-12*MAX(0,$B$6-IF($B$1+51&gt;=$B$23,$B$22,0))*(1+$B$4)^51)&gt;0,1+$B$3,1))</f>
        <v/>
      </c>
      <c r="BC41">
        <f>IF($B$1+52&gt;90,BB41,(BB41+IF($B$1+52&lt;=$B41,12*$B$7,-12*MAX(0,$B$6-IF($B$1+52&gt;=$B$23,$B$22,0))*(1+$B$4)^52))*IF(BB41+IF($B$1+52&lt;=$B41,12*$B$7,-12*MAX(0,$B$6-IF($B$1+52&gt;=$B$23,$B$22,0))*(1+$B$4)^52)&gt;0,1+$B$3,1))</f>
        <v/>
      </c>
      <c r="BD41">
        <f>IF($B$1+53&gt;90,BC41,(BC41+IF($B$1+53&lt;=$B41,12*$B$7,-12*MAX(0,$B$6-IF($B$1+53&gt;=$B$23,$B$22,0))*(1+$B$4)^53))*IF(BC41+IF($B$1+53&lt;=$B41,12*$B$7,-12*MAX(0,$B$6-IF($B$1+53&gt;=$B$23,$B$22,0))*(1+$B$4)^53)&gt;0,1+$B$3,1))</f>
        <v/>
      </c>
      <c r="BE41">
        <f>IF($B$1+54&gt;90,BD41,(BD41+IF($B$1+54&lt;=$B41,12*$B$7,-12*MAX(0,$B$6-IF($B$1+54&gt;=$B$23,$B$22,0))*(1+$B$4)^54))*IF(BD41+IF($B$1+54&lt;=$B41,12*$B$7,-12*MAX(0,$B$6-IF($B$1+54&gt;=$B$23,$B$22,0))*(1+$B$4)^54)&gt;0,1+$B$3,1))</f>
        <v/>
      </c>
      <c r="BF41">
        <f>IF($B$1+55&gt;90,BE41,(BE41+IF($B$1+55&lt;=$B41,12*$B$7,-12*MAX(0,$B$6-IF($B$1+55&gt;=$B$23,$B$22,0))*(1+$B$4)^55))*IF(BE41+IF($B$1+55&lt;=$B41,12*$B$7,-12*MAX(0,$B$6-IF($B$1+55&gt;=$B$23,$B$22,0))*(1+$B$4)^55)&gt;0,1+$B$3,1))</f>
        <v/>
      </c>
      <c r="BG41">
        <f>IF($B$1+56&gt;90,BF41,(BF41+IF($B$1+56&lt;=$B41,12*$B$7,-12*MAX(0,$B$6-IF($B$1+56&gt;=$B$23,$B$22,0))*(1+$B$4)^56))*IF(BF41+IF($B$1+56&lt;=$B41,12*$B$7,-12*MAX(0,$B$6-IF($B$1+56&gt;=$B$23,$B$22,0))*(1+$B$4)^56)&gt;0,1+$B$3,1))</f>
        <v/>
      </c>
      <c r="BH41">
        <f>IF($B$1+57&gt;90,BG41,(BG41+IF($B$1+57&lt;=$B41,12*$B$7,-12*MAX(0,$B$6-IF($B$1+57&gt;=$B$23,$B$22,0))*(1+$B$4)^57))*IF(BG41+IF($B$1+57&lt;=$B41,12*$B$7,-12*MAX(0,$B$6-IF($B$1+57&gt;=$B$23,$B$22,0))*(1+$B$4)^57)&gt;0,1+$B$3,1))</f>
        <v/>
      </c>
      <c r="BI41">
        <f>IF($B$1+58&gt;90,BH41,(BH41+IF($B$1+58&lt;=$B41,12*$B$7,-12*MAX(0,$B$6-IF($B$1+58&gt;=$B$23,$B$22,0))*(1+$B$4)^58))*IF(BH41+IF($B$1+58&lt;=$B41,12*$B$7,-12*MAX(0,$B$6-IF($B$1+58&gt;=$B$23,$B$22,0))*(1+$B$4)^58)&gt;0,1+$B$3,1))</f>
        <v/>
      </c>
      <c r="BJ41">
        <f>IF($B$1+59&gt;90,BI41,(BI41+IF($B$1+59&lt;=$B41,12*$B$7,-12*MAX(0,$B$6-IF($B$1+59&gt;=$B$23,$B$22,0))*(1+$B$4)^59))*IF(BI41+IF($B$1+59&lt;=$B41,12*$B$7,-12*MAX(0,$B$6-IF($B$1+59&gt;=$B$23,$B$22,0))*(1+$B$4)^59)&gt;0,1+$B$3,1))</f>
        <v/>
      </c>
      <c r="BK41">
        <f>IF($B$1+60&gt;90,BJ41,(BJ41+IF($B$1+60&lt;=$B41,12*$B$7,-12*MAX(0,$B$6-IF($B$1+60&gt;=$B$23,$B$22,0))*(1+$B$4)^60))*IF(BJ41+IF($B$1+60&lt;=$B41,12*$B$7,-12*MAX(0,$B$6-IF($B$1+60&gt;=$B$23,$B$22,0))*(1+$B$4)^60)&gt;0,1+$B$3,1))</f>
        <v/>
      </c>
      <c r="BL41">
        <f>IF($B$1+61&gt;90,BK41,(BK41+IF($B$1+61&lt;=$B41,12*$B$7,-12*MAX(0,$B$6-IF($B$1+61&gt;=$B$23,$B$22,0))*(1+$B$4)^61))*IF(BK41+IF($B$1+61&lt;=$B41,12*$B$7,-12*MAX(0,$B$6-IF($B$1+61&gt;=$B$23,$B$22,0))*(1+$B$4)^61)&gt;0,1+$B$3,1))</f>
        <v/>
      </c>
      <c r="BM41">
        <f>IF($B$1+62&gt;90,BL41,(BL41+IF($B$1+62&lt;=$B41,12*$B$7,-12*MAX(0,$B$6-IF($B$1+62&gt;=$B$23,$B$22,0))*(1+$B$4)^62))*IF(BL41+IF($B$1+62&lt;=$B41,12*$B$7,-12*MAX(0,$B$6-IF($B$1+62&gt;=$B$23,$B$22,0))*(1+$B$4)^62)&gt;0,1+$B$3,1))</f>
        <v/>
      </c>
      <c r="BN41">
        <f>IF($B$1+63&gt;90,BM41,(BM41+IF($B$1+63&lt;=$B41,12*$B$7,-12*MAX(0,$B$6-IF($B$1+63&gt;=$B$23,$B$22,0))*(1+$B$4)^63))*IF(BM41+IF($B$1+63&lt;=$B41,12*$B$7,-12*MAX(0,$B$6-IF($B$1+63&gt;=$B$23,$B$22,0))*(1+$B$4)^63)&gt;0,1+$B$3,1))</f>
        <v/>
      </c>
      <c r="BO41">
        <f>IF($B$1+64&gt;90,BN41,(BN41+IF($B$1+64&lt;=$B41,12*$B$7,-12*MAX(0,$B$6-IF($B$1+64&gt;=$B$23,$B$22,0))*(1+$B$4)^64))*IF(BN41+IF($B$1+64&lt;=$B41,12*$B$7,-12*MAX(0,$B$6-IF($B$1+64&gt;=$B$23,$B$22,0))*(1+$B$4)^64)&gt;0,1+$B$3,1))</f>
        <v/>
      </c>
      <c r="BP41">
        <f>IF($B$1+65&gt;90,BO41,(BO41+IF($B$1+65&lt;=$B41,12*$B$7,-12*MAX(0,$B$6-IF($B$1+65&gt;=$B$23,$B$22,0))*(1+$B$4)^65))*IF(BO41+IF($B$1+65&lt;=$B41,12*$B$7,-12*MAX(0,$B$6-IF($B$1+65&gt;=$B$23,$B$22,0))*(1+$B$4)^65)&gt;0,1+$B$3,1))</f>
        <v/>
      </c>
      <c r="BQ41">
        <f>IF($B$1+66&gt;90,BP41,(BP41+IF($B$1+66&lt;=$B41,12*$B$7,-12*MAX(0,$B$6-IF($B$1+66&gt;=$B$23,$B$22,0))*(1+$B$4)^66))*IF(BP41+IF($B$1+66&lt;=$B41,12*$B$7,-12*MAX(0,$B$6-IF($B$1+66&gt;=$B$23,$B$22,0))*(1+$B$4)^66)&gt;0,1+$B$3,1))</f>
        <v/>
      </c>
      <c r="BR41">
        <f>IF($B$1+67&gt;90,BQ41,(BQ41+IF($B$1+67&lt;=$B41,12*$B$7,-12*MAX(0,$B$6-IF($B$1+67&gt;=$B$23,$B$22,0))*(1+$B$4)^67))*IF(BQ41+IF($B$1+67&lt;=$B41,12*$B$7,-12*MAX(0,$B$6-IF($B$1+67&gt;=$B$23,$B$22,0))*(1+$B$4)^67)&gt;0,1+$B$3,1))</f>
        <v/>
      </c>
      <c r="BS41">
        <f>IF($B$1+68&gt;90,BR41,(BR41+IF($B$1+68&lt;=$B41,12*$B$7,-12*MAX(0,$B$6-IF($B$1+68&gt;=$B$23,$B$22,0))*(1+$B$4)^68))*IF(BR41+IF($B$1+68&lt;=$B41,12*$B$7,-12*MAX(0,$B$6-IF($B$1+68&gt;=$B$23,$B$22,0))*(1+$B$4)^68)&gt;0,1+$B$3,1))</f>
        <v/>
      </c>
      <c r="BT41">
        <f>IF($B$1+69&gt;90,BS41,(BS41+IF($B$1+69&lt;=$B41,12*$B$7,-12*MAX(0,$B$6-IF($B$1+69&gt;=$B$23,$B$22,0))*(1+$B$4)^69))*IF(BS41+IF($B$1+69&lt;=$B41,12*$B$7,-12*MAX(0,$B$6-IF($B$1+69&gt;=$B$23,$B$22,0))*(1+$B$4)^69)&gt;0,1+$B$3,1))</f>
        <v/>
      </c>
      <c r="BU41">
        <f>IF($B$1+70&gt;90,BT41,(BT41+IF($B$1+70&lt;=$B41,12*$B$7,-12*MAX(0,$B$6-IF($B$1+70&gt;=$B$23,$B$22,0))*(1+$B$4)^70))*IF(BT41+IF($B$1+70&lt;=$B41,12*$B$7,-12*MAX(0,$B$6-IF($B$1+70&gt;=$B$23,$B$22,0))*(1+$B$4)^70)&gt;0,1+$B$3,1))</f>
        <v/>
      </c>
      <c r="BV41">
        <f>BU41</f>
        <v/>
      </c>
      <c r="BW41">
        <f>IF(AND($B41&lt;=70,BV41&gt;0),$B41,999)</f>
        <v/>
      </c>
      <c r="CB41" t="n">
        <v>40</v>
      </c>
      <c r="CC41">
        <f>IF($B$1+CB41&gt;90,0,12*MAX(0,$B$6-IF($B$1+CB41&gt;=$B$23,$B$22,0))*(1+$B$4)^CB41/(1+$B$3)^(CB41-1))</f>
        <v/>
      </c>
      <c r="CE41">
        <f>IF($B$1+39&gt;90,NA(),$B$1+39)</f>
        <v/>
      </c>
      <c r="CF41">
        <f>IF(OR($B$21="",$B$1+39&gt;90),NA(),INDEX($C$40:$BU$90,$B$21-$B$1+1,40))</f>
        <v/>
      </c>
      <c r="CH41">
        <f>IF(ISTEXT('월 가계부'!A41),SUBSTITUTE(SUBSTITUTE(SUBSTITUTE(SUBSTITUTE(SUBSTITUTE(SUBSTITUTE(SUBSTITUTE(SUBSTITUTE(SUBSTITUTE(TRIM('월 가계부'!A41),"년","-"),"월","-"),"일",""),".","-"),"/","-")," ","-"),"--","-"),"--","-"),"--","-")&amp;"-","")</f>
        <v/>
      </c>
      <c r="CI41">
        <f>IFERROR(IF('월 가계부'!A41="","",IF(ISNUMBER('월 가계부'!A41),IF(AND('월 가계부'!A41&gt;=19000101,'월 가계부'!A41&lt;=21001231),IF(AND(MOD(INT('월 가계부'!A41/100),100)&gt;=1,MOD(INT('월 가계부'!A41/100),100)&lt;=12,MOD(INT('월 가계부'!A41),100)&gt;=1,MOD(INT('월 가계부'!A41),100)&lt;=31),IF(MONTH(DATE(INT('월 가계부'!A41/10000),MOD(INT('월 가계부'!A41/100),100),MOD(INT('월 가계부'!A41),100)))=MOD(INT('월 가계부'!A41/100),100),DATE(INT('월 가계부'!A41/10000),MOD(INT('월 가계부'!A41/100),100),MOD(INT('월 가계부'!A41),100)),""),""),IF(AND('월 가계부'!A41&gt;=36526,'월 가계부'!A41&lt;73051),INT('월 가계부'!A41),"")),IF(OR(CM41="",CN41="",CO41=""),"",IF(AND(CM41&gt;=2000,CM41&lt;=2099,CN41&gt;=1,CN41&lt;=12,CO41&gt;=1,CO41&lt;=31),IF(MONTH(DATE(CM41,CN41,CO41))=CN41,DATE(CM41,CN41,CO41),""),"")))),"")</f>
        <v/>
      </c>
      <c r="CJ41">
        <f>IFERROR(IF('월 가계부'!C41="","",IF(ISNUMBER('월 가계부'!C41),'월 가계부'!C41,VALUE(SUBSTITUTE(SUBSTITUTE(SUBSTITUTE(SUBSTITUTE(TRIM('월 가계부'!C41),",",""),"원","")," ",""),"−","-")))),"")</f>
        <v/>
      </c>
      <c r="CK41">
        <f>IF(ISNUMBER(CI41),IF(CI41&lt;$B$13,CI41,""),"")</f>
        <v/>
      </c>
      <c r="CM41">
        <f>IF(CH41="","",IFERROR(IF(IF(AND(LEN(CH41)=9,ISERROR(FIND("-",LEFT(CH41,8))),ISNUMBER(-LEFT(CH41,8))),VALUE(LEFT(CH41,4)),VALUE(LEFT(CH41,FIND("-",CH41)-1)))&lt;100,IF(AND(LEN(CH41)=9,ISERROR(FIND("-",LEFT(CH41,8))),ISNUMBER(-LEFT(CH41,8))),VALUE(LEFT(CH41,4)),VALUE(LEFT(CH41,FIND("-",CH41)-1)))+2000,IF(AND(LEN(CH41)=9,ISERROR(FIND("-",LEFT(CH41,8))),ISNUMBER(-LEFT(CH41,8))),VALUE(LEFT(CH41,4)),VALUE(LEFT(CH41,FIND("-",CH41)-1)))),""))</f>
        <v/>
      </c>
      <c r="CN41">
        <f>IF(CH41="","",IFERROR(IF(AND(LEN(CH41)=9,ISERROR(FIND("-",LEFT(CH41,8))),ISNUMBER(-LEFT(CH41,8))),VALUE(MID(CH41,5,2)),VALUE(MID(CH41,FIND("-",CH41)+1,FIND("-",CH41,FIND("-",CH41)+1)-FIND("-",CH41)-1))),""))</f>
        <v/>
      </c>
      <c r="CO41">
        <f>IF(CH41="","",IFERROR(IF(AND(LEN(CH41)=9,ISERROR(FIND("-",LEFT(CH41,8))),ISNUMBER(-LEFT(CH41,8))),VALUE(MID(CH41,7,2)),VALUE(MID(CH41,FIND("-",CH41,FIND("-",CH41)+1)+1,FIND("-",CH41,FIND("-",CH41,FIND("-",CH41)+1)+1)-FIND("-",CH41,FIND("-",CH41)+1)-1))),""))</f>
        <v/>
      </c>
    </row>
    <row r="42">
      <c r="A42" t="n">
        <v>2</v>
      </c>
      <c r="B42">
        <f>$B$1+2</f>
        <v/>
      </c>
      <c r="C42">
        <f>$B$2</f>
        <v/>
      </c>
      <c r="D42">
        <f>IF($B$1+1&gt;90,C42,(C42+IF($B$1+1&lt;=$B42,12*$B$7,-12*MAX(0,$B$6-IF($B$1+1&gt;=$B$23,$B$22,0))*(1+$B$4)^1))*IF(C42+IF($B$1+1&lt;=$B42,12*$B$7,-12*MAX(0,$B$6-IF($B$1+1&gt;=$B$23,$B$22,0))*(1+$B$4)^1)&gt;0,1+$B$3,1))</f>
        <v/>
      </c>
      <c r="E42">
        <f>IF($B$1+2&gt;90,D42,(D42+IF($B$1+2&lt;=$B42,12*$B$7,-12*MAX(0,$B$6-IF($B$1+2&gt;=$B$23,$B$22,0))*(1+$B$4)^2))*IF(D42+IF($B$1+2&lt;=$B42,12*$B$7,-12*MAX(0,$B$6-IF($B$1+2&gt;=$B$23,$B$22,0))*(1+$B$4)^2)&gt;0,1+$B$3,1))</f>
        <v/>
      </c>
      <c r="F42">
        <f>IF($B$1+3&gt;90,E42,(E42+IF($B$1+3&lt;=$B42,12*$B$7,-12*MAX(0,$B$6-IF($B$1+3&gt;=$B$23,$B$22,0))*(1+$B$4)^3))*IF(E42+IF($B$1+3&lt;=$B42,12*$B$7,-12*MAX(0,$B$6-IF($B$1+3&gt;=$B$23,$B$22,0))*(1+$B$4)^3)&gt;0,1+$B$3,1))</f>
        <v/>
      </c>
      <c r="G42">
        <f>IF($B$1+4&gt;90,F42,(F42+IF($B$1+4&lt;=$B42,12*$B$7,-12*MAX(0,$B$6-IF($B$1+4&gt;=$B$23,$B$22,0))*(1+$B$4)^4))*IF(F42+IF($B$1+4&lt;=$B42,12*$B$7,-12*MAX(0,$B$6-IF($B$1+4&gt;=$B$23,$B$22,0))*(1+$B$4)^4)&gt;0,1+$B$3,1))</f>
        <v/>
      </c>
      <c r="H42">
        <f>IF($B$1+5&gt;90,G42,(G42+IF($B$1+5&lt;=$B42,12*$B$7,-12*MAX(0,$B$6-IF($B$1+5&gt;=$B$23,$B$22,0))*(1+$B$4)^5))*IF(G42+IF($B$1+5&lt;=$B42,12*$B$7,-12*MAX(0,$B$6-IF($B$1+5&gt;=$B$23,$B$22,0))*(1+$B$4)^5)&gt;0,1+$B$3,1))</f>
        <v/>
      </c>
      <c r="I42">
        <f>IF($B$1+6&gt;90,H42,(H42+IF($B$1+6&lt;=$B42,12*$B$7,-12*MAX(0,$B$6-IF($B$1+6&gt;=$B$23,$B$22,0))*(1+$B$4)^6))*IF(H42+IF($B$1+6&lt;=$B42,12*$B$7,-12*MAX(0,$B$6-IF($B$1+6&gt;=$B$23,$B$22,0))*(1+$B$4)^6)&gt;0,1+$B$3,1))</f>
        <v/>
      </c>
      <c r="J42">
        <f>IF($B$1+7&gt;90,I42,(I42+IF($B$1+7&lt;=$B42,12*$B$7,-12*MAX(0,$B$6-IF($B$1+7&gt;=$B$23,$B$22,0))*(1+$B$4)^7))*IF(I42+IF($B$1+7&lt;=$B42,12*$B$7,-12*MAX(0,$B$6-IF($B$1+7&gt;=$B$23,$B$22,0))*(1+$B$4)^7)&gt;0,1+$B$3,1))</f>
        <v/>
      </c>
      <c r="K42">
        <f>IF($B$1+8&gt;90,J42,(J42+IF($B$1+8&lt;=$B42,12*$B$7,-12*MAX(0,$B$6-IF($B$1+8&gt;=$B$23,$B$22,0))*(1+$B$4)^8))*IF(J42+IF($B$1+8&lt;=$B42,12*$B$7,-12*MAX(0,$B$6-IF($B$1+8&gt;=$B$23,$B$22,0))*(1+$B$4)^8)&gt;0,1+$B$3,1))</f>
        <v/>
      </c>
      <c r="L42">
        <f>IF($B$1+9&gt;90,K42,(K42+IF($B$1+9&lt;=$B42,12*$B$7,-12*MAX(0,$B$6-IF($B$1+9&gt;=$B$23,$B$22,0))*(1+$B$4)^9))*IF(K42+IF($B$1+9&lt;=$B42,12*$B$7,-12*MAX(0,$B$6-IF($B$1+9&gt;=$B$23,$B$22,0))*(1+$B$4)^9)&gt;0,1+$B$3,1))</f>
        <v/>
      </c>
      <c r="M42">
        <f>IF($B$1+10&gt;90,L42,(L42+IF($B$1+10&lt;=$B42,12*$B$7,-12*MAX(0,$B$6-IF($B$1+10&gt;=$B$23,$B$22,0))*(1+$B$4)^10))*IF(L42+IF($B$1+10&lt;=$B42,12*$B$7,-12*MAX(0,$B$6-IF($B$1+10&gt;=$B$23,$B$22,0))*(1+$B$4)^10)&gt;0,1+$B$3,1))</f>
        <v/>
      </c>
      <c r="N42">
        <f>IF($B$1+11&gt;90,M42,(M42+IF($B$1+11&lt;=$B42,12*$B$7,-12*MAX(0,$B$6-IF($B$1+11&gt;=$B$23,$B$22,0))*(1+$B$4)^11))*IF(M42+IF($B$1+11&lt;=$B42,12*$B$7,-12*MAX(0,$B$6-IF($B$1+11&gt;=$B$23,$B$22,0))*(1+$B$4)^11)&gt;0,1+$B$3,1))</f>
        <v/>
      </c>
      <c r="O42">
        <f>IF($B$1+12&gt;90,N42,(N42+IF($B$1+12&lt;=$B42,12*$B$7,-12*MAX(0,$B$6-IF($B$1+12&gt;=$B$23,$B$22,0))*(1+$B$4)^12))*IF(N42+IF($B$1+12&lt;=$B42,12*$B$7,-12*MAX(0,$B$6-IF($B$1+12&gt;=$B$23,$B$22,0))*(1+$B$4)^12)&gt;0,1+$B$3,1))</f>
        <v/>
      </c>
      <c r="P42">
        <f>IF($B$1+13&gt;90,O42,(O42+IF($B$1+13&lt;=$B42,12*$B$7,-12*MAX(0,$B$6-IF($B$1+13&gt;=$B$23,$B$22,0))*(1+$B$4)^13))*IF(O42+IF($B$1+13&lt;=$B42,12*$B$7,-12*MAX(0,$B$6-IF($B$1+13&gt;=$B$23,$B$22,0))*(1+$B$4)^13)&gt;0,1+$B$3,1))</f>
        <v/>
      </c>
      <c r="Q42">
        <f>IF($B$1+14&gt;90,P42,(P42+IF($B$1+14&lt;=$B42,12*$B$7,-12*MAX(0,$B$6-IF($B$1+14&gt;=$B$23,$B$22,0))*(1+$B$4)^14))*IF(P42+IF($B$1+14&lt;=$B42,12*$B$7,-12*MAX(0,$B$6-IF($B$1+14&gt;=$B$23,$B$22,0))*(1+$B$4)^14)&gt;0,1+$B$3,1))</f>
        <v/>
      </c>
      <c r="R42">
        <f>IF($B$1+15&gt;90,Q42,(Q42+IF($B$1+15&lt;=$B42,12*$B$7,-12*MAX(0,$B$6-IF($B$1+15&gt;=$B$23,$B$22,0))*(1+$B$4)^15))*IF(Q42+IF($B$1+15&lt;=$B42,12*$B$7,-12*MAX(0,$B$6-IF($B$1+15&gt;=$B$23,$B$22,0))*(1+$B$4)^15)&gt;0,1+$B$3,1))</f>
        <v/>
      </c>
      <c r="S42">
        <f>IF($B$1+16&gt;90,R42,(R42+IF($B$1+16&lt;=$B42,12*$B$7,-12*MAX(0,$B$6-IF($B$1+16&gt;=$B$23,$B$22,0))*(1+$B$4)^16))*IF(R42+IF($B$1+16&lt;=$B42,12*$B$7,-12*MAX(0,$B$6-IF($B$1+16&gt;=$B$23,$B$22,0))*(1+$B$4)^16)&gt;0,1+$B$3,1))</f>
        <v/>
      </c>
      <c r="T42">
        <f>IF($B$1+17&gt;90,S42,(S42+IF($B$1+17&lt;=$B42,12*$B$7,-12*MAX(0,$B$6-IF($B$1+17&gt;=$B$23,$B$22,0))*(1+$B$4)^17))*IF(S42+IF($B$1+17&lt;=$B42,12*$B$7,-12*MAX(0,$B$6-IF($B$1+17&gt;=$B$23,$B$22,0))*(1+$B$4)^17)&gt;0,1+$B$3,1))</f>
        <v/>
      </c>
      <c r="U42">
        <f>IF($B$1+18&gt;90,T42,(T42+IF($B$1+18&lt;=$B42,12*$B$7,-12*MAX(0,$B$6-IF($B$1+18&gt;=$B$23,$B$22,0))*(1+$B$4)^18))*IF(T42+IF($B$1+18&lt;=$B42,12*$B$7,-12*MAX(0,$B$6-IF($B$1+18&gt;=$B$23,$B$22,0))*(1+$B$4)^18)&gt;0,1+$B$3,1))</f>
        <v/>
      </c>
      <c r="V42">
        <f>IF($B$1+19&gt;90,U42,(U42+IF($B$1+19&lt;=$B42,12*$B$7,-12*MAX(0,$B$6-IF($B$1+19&gt;=$B$23,$B$22,0))*(1+$B$4)^19))*IF(U42+IF($B$1+19&lt;=$B42,12*$B$7,-12*MAX(0,$B$6-IF($B$1+19&gt;=$B$23,$B$22,0))*(1+$B$4)^19)&gt;0,1+$B$3,1))</f>
        <v/>
      </c>
      <c r="W42">
        <f>IF($B$1+20&gt;90,V42,(V42+IF($B$1+20&lt;=$B42,12*$B$7,-12*MAX(0,$B$6-IF($B$1+20&gt;=$B$23,$B$22,0))*(1+$B$4)^20))*IF(V42+IF($B$1+20&lt;=$B42,12*$B$7,-12*MAX(0,$B$6-IF($B$1+20&gt;=$B$23,$B$22,0))*(1+$B$4)^20)&gt;0,1+$B$3,1))</f>
        <v/>
      </c>
      <c r="X42">
        <f>IF($B$1+21&gt;90,W42,(W42+IF($B$1+21&lt;=$B42,12*$B$7,-12*MAX(0,$B$6-IF($B$1+21&gt;=$B$23,$B$22,0))*(1+$B$4)^21))*IF(W42+IF($B$1+21&lt;=$B42,12*$B$7,-12*MAX(0,$B$6-IF($B$1+21&gt;=$B$23,$B$22,0))*(1+$B$4)^21)&gt;0,1+$B$3,1))</f>
        <v/>
      </c>
      <c r="Y42">
        <f>IF($B$1+22&gt;90,X42,(X42+IF($B$1+22&lt;=$B42,12*$B$7,-12*MAX(0,$B$6-IF($B$1+22&gt;=$B$23,$B$22,0))*(1+$B$4)^22))*IF(X42+IF($B$1+22&lt;=$B42,12*$B$7,-12*MAX(0,$B$6-IF($B$1+22&gt;=$B$23,$B$22,0))*(1+$B$4)^22)&gt;0,1+$B$3,1))</f>
        <v/>
      </c>
      <c r="Z42">
        <f>IF($B$1+23&gt;90,Y42,(Y42+IF($B$1+23&lt;=$B42,12*$B$7,-12*MAX(0,$B$6-IF($B$1+23&gt;=$B$23,$B$22,0))*(1+$B$4)^23))*IF(Y42+IF($B$1+23&lt;=$B42,12*$B$7,-12*MAX(0,$B$6-IF($B$1+23&gt;=$B$23,$B$22,0))*(1+$B$4)^23)&gt;0,1+$B$3,1))</f>
        <v/>
      </c>
      <c r="AA42">
        <f>IF($B$1+24&gt;90,Z42,(Z42+IF($B$1+24&lt;=$B42,12*$B$7,-12*MAX(0,$B$6-IF($B$1+24&gt;=$B$23,$B$22,0))*(1+$B$4)^24))*IF(Z42+IF($B$1+24&lt;=$B42,12*$B$7,-12*MAX(0,$B$6-IF($B$1+24&gt;=$B$23,$B$22,0))*(1+$B$4)^24)&gt;0,1+$B$3,1))</f>
        <v/>
      </c>
      <c r="AB42">
        <f>IF($B$1+25&gt;90,AA42,(AA42+IF($B$1+25&lt;=$B42,12*$B$7,-12*MAX(0,$B$6-IF($B$1+25&gt;=$B$23,$B$22,0))*(1+$B$4)^25))*IF(AA42+IF($B$1+25&lt;=$B42,12*$B$7,-12*MAX(0,$B$6-IF($B$1+25&gt;=$B$23,$B$22,0))*(1+$B$4)^25)&gt;0,1+$B$3,1))</f>
        <v/>
      </c>
      <c r="AC42">
        <f>IF($B$1+26&gt;90,AB42,(AB42+IF($B$1+26&lt;=$B42,12*$B$7,-12*MAX(0,$B$6-IF($B$1+26&gt;=$B$23,$B$22,0))*(1+$B$4)^26))*IF(AB42+IF($B$1+26&lt;=$B42,12*$B$7,-12*MAX(0,$B$6-IF($B$1+26&gt;=$B$23,$B$22,0))*(1+$B$4)^26)&gt;0,1+$B$3,1))</f>
        <v/>
      </c>
      <c r="AD42">
        <f>IF($B$1+27&gt;90,AC42,(AC42+IF($B$1+27&lt;=$B42,12*$B$7,-12*MAX(0,$B$6-IF($B$1+27&gt;=$B$23,$B$22,0))*(1+$B$4)^27))*IF(AC42+IF($B$1+27&lt;=$B42,12*$B$7,-12*MAX(0,$B$6-IF($B$1+27&gt;=$B$23,$B$22,0))*(1+$B$4)^27)&gt;0,1+$B$3,1))</f>
        <v/>
      </c>
      <c r="AE42">
        <f>IF($B$1+28&gt;90,AD42,(AD42+IF($B$1+28&lt;=$B42,12*$B$7,-12*MAX(0,$B$6-IF($B$1+28&gt;=$B$23,$B$22,0))*(1+$B$4)^28))*IF(AD42+IF($B$1+28&lt;=$B42,12*$B$7,-12*MAX(0,$B$6-IF($B$1+28&gt;=$B$23,$B$22,0))*(1+$B$4)^28)&gt;0,1+$B$3,1))</f>
        <v/>
      </c>
      <c r="AF42">
        <f>IF($B$1+29&gt;90,AE42,(AE42+IF($B$1+29&lt;=$B42,12*$B$7,-12*MAX(0,$B$6-IF($B$1+29&gt;=$B$23,$B$22,0))*(1+$B$4)^29))*IF(AE42+IF($B$1+29&lt;=$B42,12*$B$7,-12*MAX(0,$B$6-IF($B$1+29&gt;=$B$23,$B$22,0))*(1+$B$4)^29)&gt;0,1+$B$3,1))</f>
        <v/>
      </c>
      <c r="AG42">
        <f>IF($B$1+30&gt;90,AF42,(AF42+IF($B$1+30&lt;=$B42,12*$B$7,-12*MAX(0,$B$6-IF($B$1+30&gt;=$B$23,$B$22,0))*(1+$B$4)^30))*IF(AF42+IF($B$1+30&lt;=$B42,12*$B$7,-12*MAX(0,$B$6-IF($B$1+30&gt;=$B$23,$B$22,0))*(1+$B$4)^30)&gt;0,1+$B$3,1))</f>
        <v/>
      </c>
      <c r="AH42">
        <f>IF($B$1+31&gt;90,AG42,(AG42+IF($B$1+31&lt;=$B42,12*$B$7,-12*MAX(0,$B$6-IF($B$1+31&gt;=$B$23,$B$22,0))*(1+$B$4)^31))*IF(AG42+IF($B$1+31&lt;=$B42,12*$B$7,-12*MAX(0,$B$6-IF($B$1+31&gt;=$B$23,$B$22,0))*(1+$B$4)^31)&gt;0,1+$B$3,1))</f>
        <v/>
      </c>
      <c r="AI42">
        <f>IF($B$1+32&gt;90,AH42,(AH42+IF($B$1+32&lt;=$B42,12*$B$7,-12*MAX(0,$B$6-IF($B$1+32&gt;=$B$23,$B$22,0))*(1+$B$4)^32))*IF(AH42+IF($B$1+32&lt;=$B42,12*$B$7,-12*MAX(0,$B$6-IF($B$1+32&gt;=$B$23,$B$22,0))*(1+$B$4)^32)&gt;0,1+$B$3,1))</f>
        <v/>
      </c>
      <c r="AJ42">
        <f>IF($B$1+33&gt;90,AI42,(AI42+IF($B$1+33&lt;=$B42,12*$B$7,-12*MAX(0,$B$6-IF($B$1+33&gt;=$B$23,$B$22,0))*(1+$B$4)^33))*IF(AI42+IF($B$1+33&lt;=$B42,12*$B$7,-12*MAX(0,$B$6-IF($B$1+33&gt;=$B$23,$B$22,0))*(1+$B$4)^33)&gt;0,1+$B$3,1))</f>
        <v/>
      </c>
      <c r="AK42">
        <f>IF($B$1+34&gt;90,AJ42,(AJ42+IF($B$1+34&lt;=$B42,12*$B$7,-12*MAX(0,$B$6-IF($B$1+34&gt;=$B$23,$B$22,0))*(1+$B$4)^34))*IF(AJ42+IF($B$1+34&lt;=$B42,12*$B$7,-12*MAX(0,$B$6-IF($B$1+34&gt;=$B$23,$B$22,0))*(1+$B$4)^34)&gt;0,1+$B$3,1))</f>
        <v/>
      </c>
      <c r="AL42">
        <f>IF($B$1+35&gt;90,AK42,(AK42+IF($B$1+35&lt;=$B42,12*$B$7,-12*MAX(0,$B$6-IF($B$1+35&gt;=$B$23,$B$22,0))*(1+$B$4)^35))*IF(AK42+IF($B$1+35&lt;=$B42,12*$B$7,-12*MAX(0,$B$6-IF($B$1+35&gt;=$B$23,$B$22,0))*(1+$B$4)^35)&gt;0,1+$B$3,1))</f>
        <v/>
      </c>
      <c r="AM42">
        <f>IF($B$1+36&gt;90,AL42,(AL42+IF($B$1+36&lt;=$B42,12*$B$7,-12*MAX(0,$B$6-IF($B$1+36&gt;=$B$23,$B$22,0))*(1+$B$4)^36))*IF(AL42+IF($B$1+36&lt;=$B42,12*$B$7,-12*MAX(0,$B$6-IF($B$1+36&gt;=$B$23,$B$22,0))*(1+$B$4)^36)&gt;0,1+$B$3,1))</f>
        <v/>
      </c>
      <c r="AN42">
        <f>IF($B$1+37&gt;90,AM42,(AM42+IF($B$1+37&lt;=$B42,12*$B$7,-12*MAX(0,$B$6-IF($B$1+37&gt;=$B$23,$B$22,0))*(1+$B$4)^37))*IF(AM42+IF($B$1+37&lt;=$B42,12*$B$7,-12*MAX(0,$B$6-IF($B$1+37&gt;=$B$23,$B$22,0))*(1+$B$4)^37)&gt;0,1+$B$3,1))</f>
        <v/>
      </c>
      <c r="AO42">
        <f>IF($B$1+38&gt;90,AN42,(AN42+IF($B$1+38&lt;=$B42,12*$B$7,-12*MAX(0,$B$6-IF($B$1+38&gt;=$B$23,$B$22,0))*(1+$B$4)^38))*IF(AN42+IF($B$1+38&lt;=$B42,12*$B$7,-12*MAX(0,$B$6-IF($B$1+38&gt;=$B$23,$B$22,0))*(1+$B$4)^38)&gt;0,1+$B$3,1))</f>
        <v/>
      </c>
      <c r="AP42">
        <f>IF($B$1+39&gt;90,AO42,(AO42+IF($B$1+39&lt;=$B42,12*$B$7,-12*MAX(0,$B$6-IF($B$1+39&gt;=$B$23,$B$22,0))*(1+$B$4)^39))*IF(AO42+IF($B$1+39&lt;=$B42,12*$B$7,-12*MAX(0,$B$6-IF($B$1+39&gt;=$B$23,$B$22,0))*(1+$B$4)^39)&gt;0,1+$B$3,1))</f>
        <v/>
      </c>
      <c r="AQ42">
        <f>IF($B$1+40&gt;90,AP42,(AP42+IF($B$1+40&lt;=$B42,12*$B$7,-12*MAX(0,$B$6-IF($B$1+40&gt;=$B$23,$B$22,0))*(1+$B$4)^40))*IF(AP42+IF($B$1+40&lt;=$B42,12*$B$7,-12*MAX(0,$B$6-IF($B$1+40&gt;=$B$23,$B$22,0))*(1+$B$4)^40)&gt;0,1+$B$3,1))</f>
        <v/>
      </c>
      <c r="AR42">
        <f>IF($B$1+41&gt;90,AQ42,(AQ42+IF($B$1+41&lt;=$B42,12*$B$7,-12*MAX(0,$B$6-IF($B$1+41&gt;=$B$23,$B$22,0))*(1+$B$4)^41))*IF(AQ42+IF($B$1+41&lt;=$B42,12*$B$7,-12*MAX(0,$B$6-IF($B$1+41&gt;=$B$23,$B$22,0))*(1+$B$4)^41)&gt;0,1+$B$3,1))</f>
        <v/>
      </c>
      <c r="AS42">
        <f>IF($B$1+42&gt;90,AR42,(AR42+IF($B$1+42&lt;=$B42,12*$B$7,-12*MAX(0,$B$6-IF($B$1+42&gt;=$B$23,$B$22,0))*(1+$B$4)^42))*IF(AR42+IF($B$1+42&lt;=$B42,12*$B$7,-12*MAX(0,$B$6-IF($B$1+42&gt;=$B$23,$B$22,0))*(1+$B$4)^42)&gt;0,1+$B$3,1))</f>
        <v/>
      </c>
      <c r="AT42">
        <f>IF($B$1+43&gt;90,AS42,(AS42+IF($B$1+43&lt;=$B42,12*$B$7,-12*MAX(0,$B$6-IF($B$1+43&gt;=$B$23,$B$22,0))*(1+$B$4)^43))*IF(AS42+IF($B$1+43&lt;=$B42,12*$B$7,-12*MAX(0,$B$6-IF($B$1+43&gt;=$B$23,$B$22,0))*(1+$B$4)^43)&gt;0,1+$B$3,1))</f>
        <v/>
      </c>
      <c r="AU42">
        <f>IF($B$1+44&gt;90,AT42,(AT42+IF($B$1+44&lt;=$B42,12*$B$7,-12*MAX(0,$B$6-IF($B$1+44&gt;=$B$23,$B$22,0))*(1+$B$4)^44))*IF(AT42+IF($B$1+44&lt;=$B42,12*$B$7,-12*MAX(0,$B$6-IF($B$1+44&gt;=$B$23,$B$22,0))*(1+$B$4)^44)&gt;0,1+$B$3,1))</f>
        <v/>
      </c>
      <c r="AV42">
        <f>IF($B$1+45&gt;90,AU42,(AU42+IF($B$1+45&lt;=$B42,12*$B$7,-12*MAX(0,$B$6-IF($B$1+45&gt;=$B$23,$B$22,0))*(1+$B$4)^45))*IF(AU42+IF($B$1+45&lt;=$B42,12*$B$7,-12*MAX(0,$B$6-IF($B$1+45&gt;=$B$23,$B$22,0))*(1+$B$4)^45)&gt;0,1+$B$3,1))</f>
        <v/>
      </c>
      <c r="AW42">
        <f>IF($B$1+46&gt;90,AV42,(AV42+IF($B$1+46&lt;=$B42,12*$B$7,-12*MAX(0,$B$6-IF($B$1+46&gt;=$B$23,$B$22,0))*(1+$B$4)^46))*IF(AV42+IF($B$1+46&lt;=$B42,12*$B$7,-12*MAX(0,$B$6-IF($B$1+46&gt;=$B$23,$B$22,0))*(1+$B$4)^46)&gt;0,1+$B$3,1))</f>
        <v/>
      </c>
      <c r="AX42">
        <f>IF($B$1+47&gt;90,AW42,(AW42+IF($B$1+47&lt;=$B42,12*$B$7,-12*MAX(0,$B$6-IF($B$1+47&gt;=$B$23,$B$22,0))*(1+$B$4)^47))*IF(AW42+IF($B$1+47&lt;=$B42,12*$B$7,-12*MAX(0,$B$6-IF($B$1+47&gt;=$B$23,$B$22,0))*(1+$B$4)^47)&gt;0,1+$B$3,1))</f>
        <v/>
      </c>
      <c r="AY42">
        <f>IF($B$1+48&gt;90,AX42,(AX42+IF($B$1+48&lt;=$B42,12*$B$7,-12*MAX(0,$B$6-IF($B$1+48&gt;=$B$23,$B$22,0))*(1+$B$4)^48))*IF(AX42+IF($B$1+48&lt;=$B42,12*$B$7,-12*MAX(0,$B$6-IF($B$1+48&gt;=$B$23,$B$22,0))*(1+$B$4)^48)&gt;0,1+$B$3,1))</f>
        <v/>
      </c>
      <c r="AZ42">
        <f>IF($B$1+49&gt;90,AY42,(AY42+IF($B$1+49&lt;=$B42,12*$B$7,-12*MAX(0,$B$6-IF($B$1+49&gt;=$B$23,$B$22,0))*(1+$B$4)^49))*IF(AY42+IF($B$1+49&lt;=$B42,12*$B$7,-12*MAX(0,$B$6-IF($B$1+49&gt;=$B$23,$B$22,0))*(1+$B$4)^49)&gt;0,1+$B$3,1))</f>
        <v/>
      </c>
      <c r="BA42">
        <f>IF($B$1+50&gt;90,AZ42,(AZ42+IF($B$1+50&lt;=$B42,12*$B$7,-12*MAX(0,$B$6-IF($B$1+50&gt;=$B$23,$B$22,0))*(1+$B$4)^50))*IF(AZ42+IF($B$1+50&lt;=$B42,12*$B$7,-12*MAX(0,$B$6-IF($B$1+50&gt;=$B$23,$B$22,0))*(1+$B$4)^50)&gt;0,1+$B$3,1))</f>
        <v/>
      </c>
      <c r="BB42">
        <f>IF($B$1+51&gt;90,BA42,(BA42+IF($B$1+51&lt;=$B42,12*$B$7,-12*MAX(0,$B$6-IF($B$1+51&gt;=$B$23,$B$22,0))*(1+$B$4)^51))*IF(BA42+IF($B$1+51&lt;=$B42,12*$B$7,-12*MAX(0,$B$6-IF($B$1+51&gt;=$B$23,$B$22,0))*(1+$B$4)^51)&gt;0,1+$B$3,1))</f>
        <v/>
      </c>
      <c r="BC42">
        <f>IF($B$1+52&gt;90,BB42,(BB42+IF($B$1+52&lt;=$B42,12*$B$7,-12*MAX(0,$B$6-IF($B$1+52&gt;=$B$23,$B$22,0))*(1+$B$4)^52))*IF(BB42+IF($B$1+52&lt;=$B42,12*$B$7,-12*MAX(0,$B$6-IF($B$1+52&gt;=$B$23,$B$22,0))*(1+$B$4)^52)&gt;0,1+$B$3,1))</f>
        <v/>
      </c>
      <c r="BD42">
        <f>IF($B$1+53&gt;90,BC42,(BC42+IF($B$1+53&lt;=$B42,12*$B$7,-12*MAX(0,$B$6-IF($B$1+53&gt;=$B$23,$B$22,0))*(1+$B$4)^53))*IF(BC42+IF($B$1+53&lt;=$B42,12*$B$7,-12*MAX(0,$B$6-IF($B$1+53&gt;=$B$23,$B$22,0))*(1+$B$4)^53)&gt;0,1+$B$3,1))</f>
        <v/>
      </c>
      <c r="BE42">
        <f>IF($B$1+54&gt;90,BD42,(BD42+IF($B$1+54&lt;=$B42,12*$B$7,-12*MAX(0,$B$6-IF($B$1+54&gt;=$B$23,$B$22,0))*(1+$B$4)^54))*IF(BD42+IF($B$1+54&lt;=$B42,12*$B$7,-12*MAX(0,$B$6-IF($B$1+54&gt;=$B$23,$B$22,0))*(1+$B$4)^54)&gt;0,1+$B$3,1))</f>
        <v/>
      </c>
      <c r="BF42">
        <f>IF($B$1+55&gt;90,BE42,(BE42+IF($B$1+55&lt;=$B42,12*$B$7,-12*MAX(0,$B$6-IF($B$1+55&gt;=$B$23,$B$22,0))*(1+$B$4)^55))*IF(BE42+IF($B$1+55&lt;=$B42,12*$B$7,-12*MAX(0,$B$6-IF($B$1+55&gt;=$B$23,$B$22,0))*(1+$B$4)^55)&gt;0,1+$B$3,1))</f>
        <v/>
      </c>
      <c r="BG42">
        <f>IF($B$1+56&gt;90,BF42,(BF42+IF($B$1+56&lt;=$B42,12*$B$7,-12*MAX(0,$B$6-IF($B$1+56&gt;=$B$23,$B$22,0))*(1+$B$4)^56))*IF(BF42+IF($B$1+56&lt;=$B42,12*$B$7,-12*MAX(0,$B$6-IF($B$1+56&gt;=$B$23,$B$22,0))*(1+$B$4)^56)&gt;0,1+$B$3,1))</f>
        <v/>
      </c>
      <c r="BH42">
        <f>IF($B$1+57&gt;90,BG42,(BG42+IF($B$1+57&lt;=$B42,12*$B$7,-12*MAX(0,$B$6-IF($B$1+57&gt;=$B$23,$B$22,0))*(1+$B$4)^57))*IF(BG42+IF($B$1+57&lt;=$B42,12*$B$7,-12*MAX(0,$B$6-IF($B$1+57&gt;=$B$23,$B$22,0))*(1+$B$4)^57)&gt;0,1+$B$3,1))</f>
        <v/>
      </c>
      <c r="BI42">
        <f>IF($B$1+58&gt;90,BH42,(BH42+IF($B$1+58&lt;=$B42,12*$B$7,-12*MAX(0,$B$6-IF($B$1+58&gt;=$B$23,$B$22,0))*(1+$B$4)^58))*IF(BH42+IF($B$1+58&lt;=$B42,12*$B$7,-12*MAX(0,$B$6-IF($B$1+58&gt;=$B$23,$B$22,0))*(1+$B$4)^58)&gt;0,1+$B$3,1))</f>
        <v/>
      </c>
      <c r="BJ42">
        <f>IF($B$1+59&gt;90,BI42,(BI42+IF($B$1+59&lt;=$B42,12*$B$7,-12*MAX(0,$B$6-IF($B$1+59&gt;=$B$23,$B$22,0))*(1+$B$4)^59))*IF(BI42+IF($B$1+59&lt;=$B42,12*$B$7,-12*MAX(0,$B$6-IF($B$1+59&gt;=$B$23,$B$22,0))*(1+$B$4)^59)&gt;0,1+$B$3,1))</f>
        <v/>
      </c>
      <c r="BK42">
        <f>IF($B$1+60&gt;90,BJ42,(BJ42+IF($B$1+60&lt;=$B42,12*$B$7,-12*MAX(0,$B$6-IF($B$1+60&gt;=$B$23,$B$22,0))*(1+$B$4)^60))*IF(BJ42+IF($B$1+60&lt;=$B42,12*$B$7,-12*MAX(0,$B$6-IF($B$1+60&gt;=$B$23,$B$22,0))*(1+$B$4)^60)&gt;0,1+$B$3,1))</f>
        <v/>
      </c>
      <c r="BL42">
        <f>IF($B$1+61&gt;90,BK42,(BK42+IF($B$1+61&lt;=$B42,12*$B$7,-12*MAX(0,$B$6-IF($B$1+61&gt;=$B$23,$B$22,0))*(1+$B$4)^61))*IF(BK42+IF($B$1+61&lt;=$B42,12*$B$7,-12*MAX(0,$B$6-IF($B$1+61&gt;=$B$23,$B$22,0))*(1+$B$4)^61)&gt;0,1+$B$3,1))</f>
        <v/>
      </c>
      <c r="BM42">
        <f>IF($B$1+62&gt;90,BL42,(BL42+IF($B$1+62&lt;=$B42,12*$B$7,-12*MAX(0,$B$6-IF($B$1+62&gt;=$B$23,$B$22,0))*(1+$B$4)^62))*IF(BL42+IF($B$1+62&lt;=$B42,12*$B$7,-12*MAX(0,$B$6-IF($B$1+62&gt;=$B$23,$B$22,0))*(1+$B$4)^62)&gt;0,1+$B$3,1))</f>
        <v/>
      </c>
      <c r="BN42">
        <f>IF($B$1+63&gt;90,BM42,(BM42+IF($B$1+63&lt;=$B42,12*$B$7,-12*MAX(0,$B$6-IF($B$1+63&gt;=$B$23,$B$22,0))*(1+$B$4)^63))*IF(BM42+IF($B$1+63&lt;=$B42,12*$B$7,-12*MAX(0,$B$6-IF($B$1+63&gt;=$B$23,$B$22,0))*(1+$B$4)^63)&gt;0,1+$B$3,1))</f>
        <v/>
      </c>
      <c r="BO42">
        <f>IF($B$1+64&gt;90,BN42,(BN42+IF($B$1+64&lt;=$B42,12*$B$7,-12*MAX(0,$B$6-IF($B$1+64&gt;=$B$23,$B$22,0))*(1+$B$4)^64))*IF(BN42+IF($B$1+64&lt;=$B42,12*$B$7,-12*MAX(0,$B$6-IF($B$1+64&gt;=$B$23,$B$22,0))*(1+$B$4)^64)&gt;0,1+$B$3,1))</f>
        <v/>
      </c>
      <c r="BP42">
        <f>IF($B$1+65&gt;90,BO42,(BO42+IF($B$1+65&lt;=$B42,12*$B$7,-12*MAX(0,$B$6-IF($B$1+65&gt;=$B$23,$B$22,0))*(1+$B$4)^65))*IF(BO42+IF($B$1+65&lt;=$B42,12*$B$7,-12*MAX(0,$B$6-IF($B$1+65&gt;=$B$23,$B$22,0))*(1+$B$4)^65)&gt;0,1+$B$3,1))</f>
        <v/>
      </c>
      <c r="BQ42">
        <f>IF($B$1+66&gt;90,BP42,(BP42+IF($B$1+66&lt;=$B42,12*$B$7,-12*MAX(0,$B$6-IF($B$1+66&gt;=$B$23,$B$22,0))*(1+$B$4)^66))*IF(BP42+IF($B$1+66&lt;=$B42,12*$B$7,-12*MAX(0,$B$6-IF($B$1+66&gt;=$B$23,$B$22,0))*(1+$B$4)^66)&gt;0,1+$B$3,1))</f>
        <v/>
      </c>
      <c r="BR42">
        <f>IF($B$1+67&gt;90,BQ42,(BQ42+IF($B$1+67&lt;=$B42,12*$B$7,-12*MAX(0,$B$6-IF($B$1+67&gt;=$B$23,$B$22,0))*(1+$B$4)^67))*IF(BQ42+IF($B$1+67&lt;=$B42,12*$B$7,-12*MAX(0,$B$6-IF($B$1+67&gt;=$B$23,$B$22,0))*(1+$B$4)^67)&gt;0,1+$B$3,1))</f>
        <v/>
      </c>
      <c r="BS42">
        <f>IF($B$1+68&gt;90,BR42,(BR42+IF($B$1+68&lt;=$B42,12*$B$7,-12*MAX(0,$B$6-IF($B$1+68&gt;=$B$23,$B$22,0))*(1+$B$4)^68))*IF(BR42+IF($B$1+68&lt;=$B42,12*$B$7,-12*MAX(0,$B$6-IF($B$1+68&gt;=$B$23,$B$22,0))*(1+$B$4)^68)&gt;0,1+$B$3,1))</f>
        <v/>
      </c>
      <c r="BT42">
        <f>IF($B$1+69&gt;90,BS42,(BS42+IF($B$1+69&lt;=$B42,12*$B$7,-12*MAX(0,$B$6-IF($B$1+69&gt;=$B$23,$B$22,0))*(1+$B$4)^69))*IF(BS42+IF($B$1+69&lt;=$B42,12*$B$7,-12*MAX(0,$B$6-IF($B$1+69&gt;=$B$23,$B$22,0))*(1+$B$4)^69)&gt;0,1+$B$3,1))</f>
        <v/>
      </c>
      <c r="BU42">
        <f>IF($B$1+70&gt;90,BT42,(BT42+IF($B$1+70&lt;=$B42,12*$B$7,-12*MAX(0,$B$6-IF($B$1+70&gt;=$B$23,$B$22,0))*(1+$B$4)^70))*IF(BT42+IF($B$1+70&lt;=$B42,12*$B$7,-12*MAX(0,$B$6-IF($B$1+70&gt;=$B$23,$B$22,0))*(1+$B$4)^70)&gt;0,1+$B$3,1))</f>
        <v/>
      </c>
      <c r="BV42">
        <f>BU42</f>
        <v/>
      </c>
      <c r="BW42">
        <f>IF(AND($B42&lt;=70,BV42&gt;0),$B42,999)</f>
        <v/>
      </c>
      <c r="CB42" t="n">
        <v>41</v>
      </c>
      <c r="CC42">
        <f>IF($B$1+CB42&gt;90,0,12*MAX(0,$B$6-IF($B$1+CB42&gt;=$B$23,$B$22,0))*(1+$B$4)^CB42/(1+$B$3)^(CB42-1))</f>
        <v/>
      </c>
      <c r="CE42">
        <f>IF($B$1+40&gt;90,NA(),$B$1+40)</f>
        <v/>
      </c>
      <c r="CF42">
        <f>IF(OR($B$21="",$B$1+40&gt;90),NA(),INDEX($C$40:$BU$90,$B$21-$B$1+1,41))</f>
        <v/>
      </c>
      <c r="CH42">
        <f>IF(ISTEXT('월 가계부'!A42),SUBSTITUTE(SUBSTITUTE(SUBSTITUTE(SUBSTITUTE(SUBSTITUTE(SUBSTITUTE(SUBSTITUTE(SUBSTITUTE(SUBSTITUTE(TRIM('월 가계부'!A42),"년","-"),"월","-"),"일",""),".","-"),"/","-")," ","-"),"--","-"),"--","-"),"--","-")&amp;"-","")</f>
        <v/>
      </c>
      <c r="CI42">
        <f>IFERROR(IF('월 가계부'!A42="","",IF(ISNUMBER('월 가계부'!A42),IF(AND('월 가계부'!A42&gt;=19000101,'월 가계부'!A42&lt;=21001231),IF(AND(MOD(INT('월 가계부'!A42/100),100)&gt;=1,MOD(INT('월 가계부'!A42/100),100)&lt;=12,MOD(INT('월 가계부'!A42),100)&gt;=1,MOD(INT('월 가계부'!A42),100)&lt;=31),IF(MONTH(DATE(INT('월 가계부'!A42/10000),MOD(INT('월 가계부'!A42/100),100),MOD(INT('월 가계부'!A42),100)))=MOD(INT('월 가계부'!A42/100),100),DATE(INT('월 가계부'!A42/10000),MOD(INT('월 가계부'!A42/100),100),MOD(INT('월 가계부'!A42),100)),""),""),IF(AND('월 가계부'!A42&gt;=36526,'월 가계부'!A42&lt;73051),INT('월 가계부'!A42),"")),IF(OR(CM42="",CN42="",CO42=""),"",IF(AND(CM42&gt;=2000,CM42&lt;=2099,CN42&gt;=1,CN42&lt;=12,CO42&gt;=1,CO42&lt;=31),IF(MONTH(DATE(CM42,CN42,CO42))=CN42,DATE(CM42,CN42,CO42),""),"")))),"")</f>
        <v/>
      </c>
      <c r="CJ42">
        <f>IFERROR(IF('월 가계부'!C42="","",IF(ISNUMBER('월 가계부'!C42),'월 가계부'!C42,VALUE(SUBSTITUTE(SUBSTITUTE(SUBSTITUTE(SUBSTITUTE(TRIM('월 가계부'!C42),",",""),"원","")," ",""),"−","-")))),"")</f>
        <v/>
      </c>
      <c r="CK42">
        <f>IF(ISNUMBER(CI42),IF(CI42&lt;$B$13,CI42,""),"")</f>
        <v/>
      </c>
      <c r="CM42">
        <f>IF(CH42="","",IFERROR(IF(IF(AND(LEN(CH42)=9,ISERROR(FIND("-",LEFT(CH42,8))),ISNUMBER(-LEFT(CH42,8))),VALUE(LEFT(CH42,4)),VALUE(LEFT(CH42,FIND("-",CH42)-1)))&lt;100,IF(AND(LEN(CH42)=9,ISERROR(FIND("-",LEFT(CH42,8))),ISNUMBER(-LEFT(CH42,8))),VALUE(LEFT(CH42,4)),VALUE(LEFT(CH42,FIND("-",CH42)-1)))+2000,IF(AND(LEN(CH42)=9,ISERROR(FIND("-",LEFT(CH42,8))),ISNUMBER(-LEFT(CH42,8))),VALUE(LEFT(CH42,4)),VALUE(LEFT(CH42,FIND("-",CH42)-1)))),""))</f>
        <v/>
      </c>
      <c r="CN42">
        <f>IF(CH42="","",IFERROR(IF(AND(LEN(CH42)=9,ISERROR(FIND("-",LEFT(CH42,8))),ISNUMBER(-LEFT(CH42,8))),VALUE(MID(CH42,5,2)),VALUE(MID(CH42,FIND("-",CH42)+1,FIND("-",CH42,FIND("-",CH42)+1)-FIND("-",CH42)-1))),""))</f>
        <v/>
      </c>
      <c r="CO42">
        <f>IF(CH42="","",IFERROR(IF(AND(LEN(CH42)=9,ISERROR(FIND("-",LEFT(CH42,8))),ISNUMBER(-LEFT(CH42,8))),VALUE(MID(CH42,7,2)),VALUE(MID(CH42,FIND("-",CH42,FIND("-",CH42)+1)+1,FIND("-",CH42,FIND("-",CH42,FIND("-",CH42)+1)+1)-FIND("-",CH42,FIND("-",CH42)+1)-1))),""))</f>
        <v/>
      </c>
    </row>
    <row r="43">
      <c r="A43" t="n">
        <v>3</v>
      </c>
      <c r="B43">
        <f>$B$1+3</f>
        <v/>
      </c>
      <c r="C43">
        <f>$B$2</f>
        <v/>
      </c>
      <c r="D43">
        <f>IF($B$1+1&gt;90,C43,(C43+IF($B$1+1&lt;=$B43,12*$B$7,-12*MAX(0,$B$6-IF($B$1+1&gt;=$B$23,$B$22,0))*(1+$B$4)^1))*IF(C43+IF($B$1+1&lt;=$B43,12*$B$7,-12*MAX(0,$B$6-IF($B$1+1&gt;=$B$23,$B$22,0))*(1+$B$4)^1)&gt;0,1+$B$3,1))</f>
        <v/>
      </c>
      <c r="E43">
        <f>IF($B$1+2&gt;90,D43,(D43+IF($B$1+2&lt;=$B43,12*$B$7,-12*MAX(0,$B$6-IF($B$1+2&gt;=$B$23,$B$22,0))*(1+$B$4)^2))*IF(D43+IF($B$1+2&lt;=$B43,12*$B$7,-12*MAX(0,$B$6-IF($B$1+2&gt;=$B$23,$B$22,0))*(1+$B$4)^2)&gt;0,1+$B$3,1))</f>
        <v/>
      </c>
      <c r="F43">
        <f>IF($B$1+3&gt;90,E43,(E43+IF($B$1+3&lt;=$B43,12*$B$7,-12*MAX(0,$B$6-IF($B$1+3&gt;=$B$23,$B$22,0))*(1+$B$4)^3))*IF(E43+IF($B$1+3&lt;=$B43,12*$B$7,-12*MAX(0,$B$6-IF($B$1+3&gt;=$B$23,$B$22,0))*(1+$B$4)^3)&gt;0,1+$B$3,1))</f>
        <v/>
      </c>
      <c r="G43">
        <f>IF($B$1+4&gt;90,F43,(F43+IF($B$1+4&lt;=$B43,12*$B$7,-12*MAX(0,$B$6-IF($B$1+4&gt;=$B$23,$B$22,0))*(1+$B$4)^4))*IF(F43+IF($B$1+4&lt;=$B43,12*$B$7,-12*MAX(0,$B$6-IF($B$1+4&gt;=$B$23,$B$22,0))*(1+$B$4)^4)&gt;0,1+$B$3,1))</f>
        <v/>
      </c>
      <c r="H43">
        <f>IF($B$1+5&gt;90,G43,(G43+IF($B$1+5&lt;=$B43,12*$B$7,-12*MAX(0,$B$6-IF($B$1+5&gt;=$B$23,$B$22,0))*(1+$B$4)^5))*IF(G43+IF($B$1+5&lt;=$B43,12*$B$7,-12*MAX(0,$B$6-IF($B$1+5&gt;=$B$23,$B$22,0))*(1+$B$4)^5)&gt;0,1+$B$3,1))</f>
        <v/>
      </c>
      <c r="I43">
        <f>IF($B$1+6&gt;90,H43,(H43+IF($B$1+6&lt;=$B43,12*$B$7,-12*MAX(0,$B$6-IF($B$1+6&gt;=$B$23,$B$22,0))*(1+$B$4)^6))*IF(H43+IF($B$1+6&lt;=$B43,12*$B$7,-12*MAX(0,$B$6-IF($B$1+6&gt;=$B$23,$B$22,0))*(1+$B$4)^6)&gt;0,1+$B$3,1))</f>
        <v/>
      </c>
      <c r="J43">
        <f>IF($B$1+7&gt;90,I43,(I43+IF($B$1+7&lt;=$B43,12*$B$7,-12*MAX(0,$B$6-IF($B$1+7&gt;=$B$23,$B$22,0))*(1+$B$4)^7))*IF(I43+IF($B$1+7&lt;=$B43,12*$B$7,-12*MAX(0,$B$6-IF($B$1+7&gt;=$B$23,$B$22,0))*(1+$B$4)^7)&gt;0,1+$B$3,1))</f>
        <v/>
      </c>
      <c r="K43">
        <f>IF($B$1+8&gt;90,J43,(J43+IF($B$1+8&lt;=$B43,12*$B$7,-12*MAX(0,$B$6-IF($B$1+8&gt;=$B$23,$B$22,0))*(1+$B$4)^8))*IF(J43+IF($B$1+8&lt;=$B43,12*$B$7,-12*MAX(0,$B$6-IF($B$1+8&gt;=$B$23,$B$22,0))*(1+$B$4)^8)&gt;0,1+$B$3,1))</f>
        <v/>
      </c>
      <c r="L43">
        <f>IF($B$1+9&gt;90,K43,(K43+IF($B$1+9&lt;=$B43,12*$B$7,-12*MAX(0,$B$6-IF($B$1+9&gt;=$B$23,$B$22,0))*(1+$B$4)^9))*IF(K43+IF($B$1+9&lt;=$B43,12*$B$7,-12*MAX(0,$B$6-IF($B$1+9&gt;=$B$23,$B$22,0))*(1+$B$4)^9)&gt;0,1+$B$3,1))</f>
        <v/>
      </c>
      <c r="M43">
        <f>IF($B$1+10&gt;90,L43,(L43+IF($B$1+10&lt;=$B43,12*$B$7,-12*MAX(0,$B$6-IF($B$1+10&gt;=$B$23,$B$22,0))*(1+$B$4)^10))*IF(L43+IF($B$1+10&lt;=$B43,12*$B$7,-12*MAX(0,$B$6-IF($B$1+10&gt;=$B$23,$B$22,0))*(1+$B$4)^10)&gt;0,1+$B$3,1))</f>
        <v/>
      </c>
      <c r="N43">
        <f>IF($B$1+11&gt;90,M43,(M43+IF($B$1+11&lt;=$B43,12*$B$7,-12*MAX(0,$B$6-IF($B$1+11&gt;=$B$23,$B$22,0))*(1+$B$4)^11))*IF(M43+IF($B$1+11&lt;=$B43,12*$B$7,-12*MAX(0,$B$6-IF($B$1+11&gt;=$B$23,$B$22,0))*(1+$B$4)^11)&gt;0,1+$B$3,1))</f>
        <v/>
      </c>
      <c r="O43">
        <f>IF($B$1+12&gt;90,N43,(N43+IF($B$1+12&lt;=$B43,12*$B$7,-12*MAX(0,$B$6-IF($B$1+12&gt;=$B$23,$B$22,0))*(1+$B$4)^12))*IF(N43+IF($B$1+12&lt;=$B43,12*$B$7,-12*MAX(0,$B$6-IF($B$1+12&gt;=$B$23,$B$22,0))*(1+$B$4)^12)&gt;0,1+$B$3,1))</f>
        <v/>
      </c>
      <c r="P43">
        <f>IF($B$1+13&gt;90,O43,(O43+IF($B$1+13&lt;=$B43,12*$B$7,-12*MAX(0,$B$6-IF($B$1+13&gt;=$B$23,$B$22,0))*(1+$B$4)^13))*IF(O43+IF($B$1+13&lt;=$B43,12*$B$7,-12*MAX(0,$B$6-IF($B$1+13&gt;=$B$23,$B$22,0))*(1+$B$4)^13)&gt;0,1+$B$3,1))</f>
        <v/>
      </c>
      <c r="Q43">
        <f>IF($B$1+14&gt;90,P43,(P43+IF($B$1+14&lt;=$B43,12*$B$7,-12*MAX(0,$B$6-IF($B$1+14&gt;=$B$23,$B$22,0))*(1+$B$4)^14))*IF(P43+IF($B$1+14&lt;=$B43,12*$B$7,-12*MAX(0,$B$6-IF($B$1+14&gt;=$B$23,$B$22,0))*(1+$B$4)^14)&gt;0,1+$B$3,1))</f>
        <v/>
      </c>
      <c r="R43">
        <f>IF($B$1+15&gt;90,Q43,(Q43+IF($B$1+15&lt;=$B43,12*$B$7,-12*MAX(0,$B$6-IF($B$1+15&gt;=$B$23,$B$22,0))*(1+$B$4)^15))*IF(Q43+IF($B$1+15&lt;=$B43,12*$B$7,-12*MAX(0,$B$6-IF($B$1+15&gt;=$B$23,$B$22,0))*(1+$B$4)^15)&gt;0,1+$B$3,1))</f>
        <v/>
      </c>
      <c r="S43">
        <f>IF($B$1+16&gt;90,R43,(R43+IF($B$1+16&lt;=$B43,12*$B$7,-12*MAX(0,$B$6-IF($B$1+16&gt;=$B$23,$B$22,0))*(1+$B$4)^16))*IF(R43+IF($B$1+16&lt;=$B43,12*$B$7,-12*MAX(0,$B$6-IF($B$1+16&gt;=$B$23,$B$22,0))*(1+$B$4)^16)&gt;0,1+$B$3,1))</f>
        <v/>
      </c>
      <c r="T43">
        <f>IF($B$1+17&gt;90,S43,(S43+IF($B$1+17&lt;=$B43,12*$B$7,-12*MAX(0,$B$6-IF($B$1+17&gt;=$B$23,$B$22,0))*(1+$B$4)^17))*IF(S43+IF($B$1+17&lt;=$B43,12*$B$7,-12*MAX(0,$B$6-IF($B$1+17&gt;=$B$23,$B$22,0))*(1+$B$4)^17)&gt;0,1+$B$3,1))</f>
        <v/>
      </c>
      <c r="U43">
        <f>IF($B$1+18&gt;90,T43,(T43+IF($B$1+18&lt;=$B43,12*$B$7,-12*MAX(0,$B$6-IF($B$1+18&gt;=$B$23,$B$22,0))*(1+$B$4)^18))*IF(T43+IF($B$1+18&lt;=$B43,12*$B$7,-12*MAX(0,$B$6-IF($B$1+18&gt;=$B$23,$B$22,0))*(1+$B$4)^18)&gt;0,1+$B$3,1))</f>
        <v/>
      </c>
      <c r="V43">
        <f>IF($B$1+19&gt;90,U43,(U43+IF($B$1+19&lt;=$B43,12*$B$7,-12*MAX(0,$B$6-IF($B$1+19&gt;=$B$23,$B$22,0))*(1+$B$4)^19))*IF(U43+IF($B$1+19&lt;=$B43,12*$B$7,-12*MAX(0,$B$6-IF($B$1+19&gt;=$B$23,$B$22,0))*(1+$B$4)^19)&gt;0,1+$B$3,1))</f>
        <v/>
      </c>
      <c r="W43">
        <f>IF($B$1+20&gt;90,V43,(V43+IF($B$1+20&lt;=$B43,12*$B$7,-12*MAX(0,$B$6-IF($B$1+20&gt;=$B$23,$B$22,0))*(1+$B$4)^20))*IF(V43+IF($B$1+20&lt;=$B43,12*$B$7,-12*MAX(0,$B$6-IF($B$1+20&gt;=$B$23,$B$22,0))*(1+$B$4)^20)&gt;0,1+$B$3,1))</f>
        <v/>
      </c>
      <c r="X43">
        <f>IF($B$1+21&gt;90,W43,(W43+IF($B$1+21&lt;=$B43,12*$B$7,-12*MAX(0,$B$6-IF($B$1+21&gt;=$B$23,$B$22,0))*(1+$B$4)^21))*IF(W43+IF($B$1+21&lt;=$B43,12*$B$7,-12*MAX(0,$B$6-IF($B$1+21&gt;=$B$23,$B$22,0))*(1+$B$4)^21)&gt;0,1+$B$3,1))</f>
        <v/>
      </c>
      <c r="Y43">
        <f>IF($B$1+22&gt;90,X43,(X43+IF($B$1+22&lt;=$B43,12*$B$7,-12*MAX(0,$B$6-IF($B$1+22&gt;=$B$23,$B$22,0))*(1+$B$4)^22))*IF(X43+IF($B$1+22&lt;=$B43,12*$B$7,-12*MAX(0,$B$6-IF($B$1+22&gt;=$B$23,$B$22,0))*(1+$B$4)^22)&gt;0,1+$B$3,1))</f>
        <v/>
      </c>
      <c r="Z43">
        <f>IF($B$1+23&gt;90,Y43,(Y43+IF($B$1+23&lt;=$B43,12*$B$7,-12*MAX(0,$B$6-IF($B$1+23&gt;=$B$23,$B$22,0))*(1+$B$4)^23))*IF(Y43+IF($B$1+23&lt;=$B43,12*$B$7,-12*MAX(0,$B$6-IF($B$1+23&gt;=$B$23,$B$22,0))*(1+$B$4)^23)&gt;0,1+$B$3,1))</f>
        <v/>
      </c>
      <c r="AA43">
        <f>IF($B$1+24&gt;90,Z43,(Z43+IF($B$1+24&lt;=$B43,12*$B$7,-12*MAX(0,$B$6-IF($B$1+24&gt;=$B$23,$B$22,0))*(1+$B$4)^24))*IF(Z43+IF($B$1+24&lt;=$B43,12*$B$7,-12*MAX(0,$B$6-IF($B$1+24&gt;=$B$23,$B$22,0))*(1+$B$4)^24)&gt;0,1+$B$3,1))</f>
        <v/>
      </c>
      <c r="AB43">
        <f>IF($B$1+25&gt;90,AA43,(AA43+IF($B$1+25&lt;=$B43,12*$B$7,-12*MAX(0,$B$6-IF($B$1+25&gt;=$B$23,$B$22,0))*(1+$B$4)^25))*IF(AA43+IF($B$1+25&lt;=$B43,12*$B$7,-12*MAX(0,$B$6-IF($B$1+25&gt;=$B$23,$B$22,0))*(1+$B$4)^25)&gt;0,1+$B$3,1))</f>
        <v/>
      </c>
      <c r="AC43">
        <f>IF($B$1+26&gt;90,AB43,(AB43+IF($B$1+26&lt;=$B43,12*$B$7,-12*MAX(0,$B$6-IF($B$1+26&gt;=$B$23,$B$22,0))*(1+$B$4)^26))*IF(AB43+IF($B$1+26&lt;=$B43,12*$B$7,-12*MAX(0,$B$6-IF($B$1+26&gt;=$B$23,$B$22,0))*(1+$B$4)^26)&gt;0,1+$B$3,1))</f>
        <v/>
      </c>
      <c r="AD43">
        <f>IF($B$1+27&gt;90,AC43,(AC43+IF($B$1+27&lt;=$B43,12*$B$7,-12*MAX(0,$B$6-IF($B$1+27&gt;=$B$23,$B$22,0))*(1+$B$4)^27))*IF(AC43+IF($B$1+27&lt;=$B43,12*$B$7,-12*MAX(0,$B$6-IF($B$1+27&gt;=$B$23,$B$22,0))*(1+$B$4)^27)&gt;0,1+$B$3,1))</f>
        <v/>
      </c>
      <c r="AE43">
        <f>IF($B$1+28&gt;90,AD43,(AD43+IF($B$1+28&lt;=$B43,12*$B$7,-12*MAX(0,$B$6-IF($B$1+28&gt;=$B$23,$B$22,0))*(1+$B$4)^28))*IF(AD43+IF($B$1+28&lt;=$B43,12*$B$7,-12*MAX(0,$B$6-IF($B$1+28&gt;=$B$23,$B$22,0))*(1+$B$4)^28)&gt;0,1+$B$3,1))</f>
        <v/>
      </c>
      <c r="AF43">
        <f>IF($B$1+29&gt;90,AE43,(AE43+IF($B$1+29&lt;=$B43,12*$B$7,-12*MAX(0,$B$6-IF($B$1+29&gt;=$B$23,$B$22,0))*(1+$B$4)^29))*IF(AE43+IF($B$1+29&lt;=$B43,12*$B$7,-12*MAX(0,$B$6-IF($B$1+29&gt;=$B$23,$B$22,0))*(1+$B$4)^29)&gt;0,1+$B$3,1))</f>
        <v/>
      </c>
      <c r="AG43">
        <f>IF($B$1+30&gt;90,AF43,(AF43+IF($B$1+30&lt;=$B43,12*$B$7,-12*MAX(0,$B$6-IF($B$1+30&gt;=$B$23,$B$22,0))*(1+$B$4)^30))*IF(AF43+IF($B$1+30&lt;=$B43,12*$B$7,-12*MAX(0,$B$6-IF($B$1+30&gt;=$B$23,$B$22,0))*(1+$B$4)^30)&gt;0,1+$B$3,1))</f>
        <v/>
      </c>
      <c r="AH43">
        <f>IF($B$1+31&gt;90,AG43,(AG43+IF($B$1+31&lt;=$B43,12*$B$7,-12*MAX(0,$B$6-IF($B$1+31&gt;=$B$23,$B$22,0))*(1+$B$4)^31))*IF(AG43+IF($B$1+31&lt;=$B43,12*$B$7,-12*MAX(0,$B$6-IF($B$1+31&gt;=$B$23,$B$22,0))*(1+$B$4)^31)&gt;0,1+$B$3,1))</f>
        <v/>
      </c>
      <c r="AI43">
        <f>IF($B$1+32&gt;90,AH43,(AH43+IF($B$1+32&lt;=$B43,12*$B$7,-12*MAX(0,$B$6-IF($B$1+32&gt;=$B$23,$B$22,0))*(1+$B$4)^32))*IF(AH43+IF($B$1+32&lt;=$B43,12*$B$7,-12*MAX(0,$B$6-IF($B$1+32&gt;=$B$23,$B$22,0))*(1+$B$4)^32)&gt;0,1+$B$3,1))</f>
        <v/>
      </c>
      <c r="AJ43">
        <f>IF($B$1+33&gt;90,AI43,(AI43+IF($B$1+33&lt;=$B43,12*$B$7,-12*MAX(0,$B$6-IF($B$1+33&gt;=$B$23,$B$22,0))*(1+$B$4)^33))*IF(AI43+IF($B$1+33&lt;=$B43,12*$B$7,-12*MAX(0,$B$6-IF($B$1+33&gt;=$B$23,$B$22,0))*(1+$B$4)^33)&gt;0,1+$B$3,1))</f>
        <v/>
      </c>
      <c r="AK43">
        <f>IF($B$1+34&gt;90,AJ43,(AJ43+IF($B$1+34&lt;=$B43,12*$B$7,-12*MAX(0,$B$6-IF($B$1+34&gt;=$B$23,$B$22,0))*(1+$B$4)^34))*IF(AJ43+IF($B$1+34&lt;=$B43,12*$B$7,-12*MAX(0,$B$6-IF($B$1+34&gt;=$B$23,$B$22,0))*(1+$B$4)^34)&gt;0,1+$B$3,1))</f>
        <v/>
      </c>
      <c r="AL43">
        <f>IF($B$1+35&gt;90,AK43,(AK43+IF($B$1+35&lt;=$B43,12*$B$7,-12*MAX(0,$B$6-IF($B$1+35&gt;=$B$23,$B$22,0))*(1+$B$4)^35))*IF(AK43+IF($B$1+35&lt;=$B43,12*$B$7,-12*MAX(0,$B$6-IF($B$1+35&gt;=$B$23,$B$22,0))*(1+$B$4)^35)&gt;0,1+$B$3,1))</f>
        <v/>
      </c>
      <c r="AM43">
        <f>IF($B$1+36&gt;90,AL43,(AL43+IF($B$1+36&lt;=$B43,12*$B$7,-12*MAX(0,$B$6-IF($B$1+36&gt;=$B$23,$B$22,0))*(1+$B$4)^36))*IF(AL43+IF($B$1+36&lt;=$B43,12*$B$7,-12*MAX(0,$B$6-IF($B$1+36&gt;=$B$23,$B$22,0))*(1+$B$4)^36)&gt;0,1+$B$3,1))</f>
        <v/>
      </c>
      <c r="AN43">
        <f>IF($B$1+37&gt;90,AM43,(AM43+IF($B$1+37&lt;=$B43,12*$B$7,-12*MAX(0,$B$6-IF($B$1+37&gt;=$B$23,$B$22,0))*(1+$B$4)^37))*IF(AM43+IF($B$1+37&lt;=$B43,12*$B$7,-12*MAX(0,$B$6-IF($B$1+37&gt;=$B$23,$B$22,0))*(1+$B$4)^37)&gt;0,1+$B$3,1))</f>
        <v/>
      </c>
      <c r="AO43">
        <f>IF($B$1+38&gt;90,AN43,(AN43+IF($B$1+38&lt;=$B43,12*$B$7,-12*MAX(0,$B$6-IF($B$1+38&gt;=$B$23,$B$22,0))*(1+$B$4)^38))*IF(AN43+IF($B$1+38&lt;=$B43,12*$B$7,-12*MAX(0,$B$6-IF($B$1+38&gt;=$B$23,$B$22,0))*(1+$B$4)^38)&gt;0,1+$B$3,1))</f>
        <v/>
      </c>
      <c r="AP43">
        <f>IF($B$1+39&gt;90,AO43,(AO43+IF($B$1+39&lt;=$B43,12*$B$7,-12*MAX(0,$B$6-IF($B$1+39&gt;=$B$23,$B$22,0))*(1+$B$4)^39))*IF(AO43+IF($B$1+39&lt;=$B43,12*$B$7,-12*MAX(0,$B$6-IF($B$1+39&gt;=$B$23,$B$22,0))*(1+$B$4)^39)&gt;0,1+$B$3,1))</f>
        <v/>
      </c>
      <c r="AQ43">
        <f>IF($B$1+40&gt;90,AP43,(AP43+IF($B$1+40&lt;=$B43,12*$B$7,-12*MAX(0,$B$6-IF($B$1+40&gt;=$B$23,$B$22,0))*(1+$B$4)^40))*IF(AP43+IF($B$1+40&lt;=$B43,12*$B$7,-12*MAX(0,$B$6-IF($B$1+40&gt;=$B$23,$B$22,0))*(1+$B$4)^40)&gt;0,1+$B$3,1))</f>
        <v/>
      </c>
      <c r="AR43">
        <f>IF($B$1+41&gt;90,AQ43,(AQ43+IF($B$1+41&lt;=$B43,12*$B$7,-12*MAX(0,$B$6-IF($B$1+41&gt;=$B$23,$B$22,0))*(1+$B$4)^41))*IF(AQ43+IF($B$1+41&lt;=$B43,12*$B$7,-12*MAX(0,$B$6-IF($B$1+41&gt;=$B$23,$B$22,0))*(1+$B$4)^41)&gt;0,1+$B$3,1))</f>
        <v/>
      </c>
      <c r="AS43">
        <f>IF($B$1+42&gt;90,AR43,(AR43+IF($B$1+42&lt;=$B43,12*$B$7,-12*MAX(0,$B$6-IF($B$1+42&gt;=$B$23,$B$22,0))*(1+$B$4)^42))*IF(AR43+IF($B$1+42&lt;=$B43,12*$B$7,-12*MAX(0,$B$6-IF($B$1+42&gt;=$B$23,$B$22,0))*(1+$B$4)^42)&gt;0,1+$B$3,1))</f>
        <v/>
      </c>
      <c r="AT43">
        <f>IF($B$1+43&gt;90,AS43,(AS43+IF($B$1+43&lt;=$B43,12*$B$7,-12*MAX(0,$B$6-IF($B$1+43&gt;=$B$23,$B$22,0))*(1+$B$4)^43))*IF(AS43+IF($B$1+43&lt;=$B43,12*$B$7,-12*MAX(0,$B$6-IF($B$1+43&gt;=$B$23,$B$22,0))*(1+$B$4)^43)&gt;0,1+$B$3,1))</f>
        <v/>
      </c>
      <c r="AU43">
        <f>IF($B$1+44&gt;90,AT43,(AT43+IF($B$1+44&lt;=$B43,12*$B$7,-12*MAX(0,$B$6-IF($B$1+44&gt;=$B$23,$B$22,0))*(1+$B$4)^44))*IF(AT43+IF($B$1+44&lt;=$B43,12*$B$7,-12*MAX(0,$B$6-IF($B$1+44&gt;=$B$23,$B$22,0))*(1+$B$4)^44)&gt;0,1+$B$3,1))</f>
        <v/>
      </c>
      <c r="AV43">
        <f>IF($B$1+45&gt;90,AU43,(AU43+IF($B$1+45&lt;=$B43,12*$B$7,-12*MAX(0,$B$6-IF($B$1+45&gt;=$B$23,$B$22,0))*(1+$B$4)^45))*IF(AU43+IF($B$1+45&lt;=$B43,12*$B$7,-12*MAX(0,$B$6-IF($B$1+45&gt;=$B$23,$B$22,0))*(1+$B$4)^45)&gt;0,1+$B$3,1))</f>
        <v/>
      </c>
      <c r="AW43">
        <f>IF($B$1+46&gt;90,AV43,(AV43+IF($B$1+46&lt;=$B43,12*$B$7,-12*MAX(0,$B$6-IF($B$1+46&gt;=$B$23,$B$22,0))*(1+$B$4)^46))*IF(AV43+IF($B$1+46&lt;=$B43,12*$B$7,-12*MAX(0,$B$6-IF($B$1+46&gt;=$B$23,$B$22,0))*(1+$B$4)^46)&gt;0,1+$B$3,1))</f>
        <v/>
      </c>
      <c r="AX43">
        <f>IF($B$1+47&gt;90,AW43,(AW43+IF($B$1+47&lt;=$B43,12*$B$7,-12*MAX(0,$B$6-IF($B$1+47&gt;=$B$23,$B$22,0))*(1+$B$4)^47))*IF(AW43+IF($B$1+47&lt;=$B43,12*$B$7,-12*MAX(0,$B$6-IF($B$1+47&gt;=$B$23,$B$22,0))*(1+$B$4)^47)&gt;0,1+$B$3,1))</f>
        <v/>
      </c>
      <c r="AY43">
        <f>IF($B$1+48&gt;90,AX43,(AX43+IF($B$1+48&lt;=$B43,12*$B$7,-12*MAX(0,$B$6-IF($B$1+48&gt;=$B$23,$B$22,0))*(1+$B$4)^48))*IF(AX43+IF($B$1+48&lt;=$B43,12*$B$7,-12*MAX(0,$B$6-IF($B$1+48&gt;=$B$23,$B$22,0))*(1+$B$4)^48)&gt;0,1+$B$3,1))</f>
        <v/>
      </c>
      <c r="AZ43">
        <f>IF($B$1+49&gt;90,AY43,(AY43+IF($B$1+49&lt;=$B43,12*$B$7,-12*MAX(0,$B$6-IF($B$1+49&gt;=$B$23,$B$22,0))*(1+$B$4)^49))*IF(AY43+IF($B$1+49&lt;=$B43,12*$B$7,-12*MAX(0,$B$6-IF($B$1+49&gt;=$B$23,$B$22,0))*(1+$B$4)^49)&gt;0,1+$B$3,1))</f>
        <v/>
      </c>
      <c r="BA43">
        <f>IF($B$1+50&gt;90,AZ43,(AZ43+IF($B$1+50&lt;=$B43,12*$B$7,-12*MAX(0,$B$6-IF($B$1+50&gt;=$B$23,$B$22,0))*(1+$B$4)^50))*IF(AZ43+IF($B$1+50&lt;=$B43,12*$B$7,-12*MAX(0,$B$6-IF($B$1+50&gt;=$B$23,$B$22,0))*(1+$B$4)^50)&gt;0,1+$B$3,1))</f>
        <v/>
      </c>
      <c r="BB43">
        <f>IF($B$1+51&gt;90,BA43,(BA43+IF($B$1+51&lt;=$B43,12*$B$7,-12*MAX(0,$B$6-IF($B$1+51&gt;=$B$23,$B$22,0))*(1+$B$4)^51))*IF(BA43+IF($B$1+51&lt;=$B43,12*$B$7,-12*MAX(0,$B$6-IF($B$1+51&gt;=$B$23,$B$22,0))*(1+$B$4)^51)&gt;0,1+$B$3,1))</f>
        <v/>
      </c>
      <c r="BC43">
        <f>IF($B$1+52&gt;90,BB43,(BB43+IF($B$1+52&lt;=$B43,12*$B$7,-12*MAX(0,$B$6-IF($B$1+52&gt;=$B$23,$B$22,0))*(1+$B$4)^52))*IF(BB43+IF($B$1+52&lt;=$B43,12*$B$7,-12*MAX(0,$B$6-IF($B$1+52&gt;=$B$23,$B$22,0))*(1+$B$4)^52)&gt;0,1+$B$3,1))</f>
        <v/>
      </c>
      <c r="BD43">
        <f>IF($B$1+53&gt;90,BC43,(BC43+IF($B$1+53&lt;=$B43,12*$B$7,-12*MAX(0,$B$6-IF($B$1+53&gt;=$B$23,$B$22,0))*(1+$B$4)^53))*IF(BC43+IF($B$1+53&lt;=$B43,12*$B$7,-12*MAX(0,$B$6-IF($B$1+53&gt;=$B$23,$B$22,0))*(1+$B$4)^53)&gt;0,1+$B$3,1))</f>
        <v/>
      </c>
      <c r="BE43">
        <f>IF($B$1+54&gt;90,BD43,(BD43+IF($B$1+54&lt;=$B43,12*$B$7,-12*MAX(0,$B$6-IF($B$1+54&gt;=$B$23,$B$22,0))*(1+$B$4)^54))*IF(BD43+IF($B$1+54&lt;=$B43,12*$B$7,-12*MAX(0,$B$6-IF($B$1+54&gt;=$B$23,$B$22,0))*(1+$B$4)^54)&gt;0,1+$B$3,1))</f>
        <v/>
      </c>
      <c r="BF43">
        <f>IF($B$1+55&gt;90,BE43,(BE43+IF($B$1+55&lt;=$B43,12*$B$7,-12*MAX(0,$B$6-IF($B$1+55&gt;=$B$23,$B$22,0))*(1+$B$4)^55))*IF(BE43+IF($B$1+55&lt;=$B43,12*$B$7,-12*MAX(0,$B$6-IF($B$1+55&gt;=$B$23,$B$22,0))*(1+$B$4)^55)&gt;0,1+$B$3,1))</f>
        <v/>
      </c>
      <c r="BG43">
        <f>IF($B$1+56&gt;90,BF43,(BF43+IF($B$1+56&lt;=$B43,12*$B$7,-12*MAX(0,$B$6-IF($B$1+56&gt;=$B$23,$B$22,0))*(1+$B$4)^56))*IF(BF43+IF($B$1+56&lt;=$B43,12*$B$7,-12*MAX(0,$B$6-IF($B$1+56&gt;=$B$23,$B$22,0))*(1+$B$4)^56)&gt;0,1+$B$3,1))</f>
        <v/>
      </c>
      <c r="BH43">
        <f>IF($B$1+57&gt;90,BG43,(BG43+IF($B$1+57&lt;=$B43,12*$B$7,-12*MAX(0,$B$6-IF($B$1+57&gt;=$B$23,$B$22,0))*(1+$B$4)^57))*IF(BG43+IF($B$1+57&lt;=$B43,12*$B$7,-12*MAX(0,$B$6-IF($B$1+57&gt;=$B$23,$B$22,0))*(1+$B$4)^57)&gt;0,1+$B$3,1))</f>
        <v/>
      </c>
      <c r="BI43">
        <f>IF($B$1+58&gt;90,BH43,(BH43+IF($B$1+58&lt;=$B43,12*$B$7,-12*MAX(0,$B$6-IF($B$1+58&gt;=$B$23,$B$22,0))*(1+$B$4)^58))*IF(BH43+IF($B$1+58&lt;=$B43,12*$B$7,-12*MAX(0,$B$6-IF($B$1+58&gt;=$B$23,$B$22,0))*(1+$B$4)^58)&gt;0,1+$B$3,1))</f>
        <v/>
      </c>
      <c r="BJ43">
        <f>IF($B$1+59&gt;90,BI43,(BI43+IF($B$1+59&lt;=$B43,12*$B$7,-12*MAX(0,$B$6-IF($B$1+59&gt;=$B$23,$B$22,0))*(1+$B$4)^59))*IF(BI43+IF($B$1+59&lt;=$B43,12*$B$7,-12*MAX(0,$B$6-IF($B$1+59&gt;=$B$23,$B$22,0))*(1+$B$4)^59)&gt;0,1+$B$3,1))</f>
        <v/>
      </c>
      <c r="BK43">
        <f>IF($B$1+60&gt;90,BJ43,(BJ43+IF($B$1+60&lt;=$B43,12*$B$7,-12*MAX(0,$B$6-IF($B$1+60&gt;=$B$23,$B$22,0))*(1+$B$4)^60))*IF(BJ43+IF($B$1+60&lt;=$B43,12*$B$7,-12*MAX(0,$B$6-IF($B$1+60&gt;=$B$23,$B$22,0))*(1+$B$4)^60)&gt;0,1+$B$3,1))</f>
        <v/>
      </c>
      <c r="BL43">
        <f>IF($B$1+61&gt;90,BK43,(BK43+IF($B$1+61&lt;=$B43,12*$B$7,-12*MAX(0,$B$6-IF($B$1+61&gt;=$B$23,$B$22,0))*(1+$B$4)^61))*IF(BK43+IF($B$1+61&lt;=$B43,12*$B$7,-12*MAX(0,$B$6-IF($B$1+61&gt;=$B$23,$B$22,0))*(1+$B$4)^61)&gt;0,1+$B$3,1))</f>
        <v/>
      </c>
      <c r="BM43">
        <f>IF($B$1+62&gt;90,BL43,(BL43+IF($B$1+62&lt;=$B43,12*$B$7,-12*MAX(0,$B$6-IF($B$1+62&gt;=$B$23,$B$22,0))*(1+$B$4)^62))*IF(BL43+IF($B$1+62&lt;=$B43,12*$B$7,-12*MAX(0,$B$6-IF($B$1+62&gt;=$B$23,$B$22,0))*(1+$B$4)^62)&gt;0,1+$B$3,1))</f>
        <v/>
      </c>
      <c r="BN43">
        <f>IF($B$1+63&gt;90,BM43,(BM43+IF($B$1+63&lt;=$B43,12*$B$7,-12*MAX(0,$B$6-IF($B$1+63&gt;=$B$23,$B$22,0))*(1+$B$4)^63))*IF(BM43+IF($B$1+63&lt;=$B43,12*$B$7,-12*MAX(0,$B$6-IF($B$1+63&gt;=$B$23,$B$22,0))*(1+$B$4)^63)&gt;0,1+$B$3,1))</f>
        <v/>
      </c>
      <c r="BO43">
        <f>IF($B$1+64&gt;90,BN43,(BN43+IF($B$1+64&lt;=$B43,12*$B$7,-12*MAX(0,$B$6-IF($B$1+64&gt;=$B$23,$B$22,0))*(1+$B$4)^64))*IF(BN43+IF($B$1+64&lt;=$B43,12*$B$7,-12*MAX(0,$B$6-IF($B$1+64&gt;=$B$23,$B$22,0))*(1+$B$4)^64)&gt;0,1+$B$3,1))</f>
        <v/>
      </c>
      <c r="BP43">
        <f>IF($B$1+65&gt;90,BO43,(BO43+IF($B$1+65&lt;=$B43,12*$B$7,-12*MAX(0,$B$6-IF($B$1+65&gt;=$B$23,$B$22,0))*(1+$B$4)^65))*IF(BO43+IF($B$1+65&lt;=$B43,12*$B$7,-12*MAX(0,$B$6-IF($B$1+65&gt;=$B$23,$B$22,0))*(1+$B$4)^65)&gt;0,1+$B$3,1))</f>
        <v/>
      </c>
      <c r="BQ43">
        <f>IF($B$1+66&gt;90,BP43,(BP43+IF($B$1+66&lt;=$B43,12*$B$7,-12*MAX(0,$B$6-IF($B$1+66&gt;=$B$23,$B$22,0))*(1+$B$4)^66))*IF(BP43+IF($B$1+66&lt;=$B43,12*$B$7,-12*MAX(0,$B$6-IF($B$1+66&gt;=$B$23,$B$22,0))*(1+$B$4)^66)&gt;0,1+$B$3,1))</f>
        <v/>
      </c>
      <c r="BR43">
        <f>IF($B$1+67&gt;90,BQ43,(BQ43+IF($B$1+67&lt;=$B43,12*$B$7,-12*MAX(0,$B$6-IF($B$1+67&gt;=$B$23,$B$22,0))*(1+$B$4)^67))*IF(BQ43+IF($B$1+67&lt;=$B43,12*$B$7,-12*MAX(0,$B$6-IF($B$1+67&gt;=$B$23,$B$22,0))*(1+$B$4)^67)&gt;0,1+$B$3,1))</f>
        <v/>
      </c>
      <c r="BS43">
        <f>IF($B$1+68&gt;90,BR43,(BR43+IF($B$1+68&lt;=$B43,12*$B$7,-12*MAX(0,$B$6-IF($B$1+68&gt;=$B$23,$B$22,0))*(1+$B$4)^68))*IF(BR43+IF($B$1+68&lt;=$B43,12*$B$7,-12*MAX(0,$B$6-IF($B$1+68&gt;=$B$23,$B$22,0))*(1+$B$4)^68)&gt;0,1+$B$3,1))</f>
        <v/>
      </c>
      <c r="BT43">
        <f>IF($B$1+69&gt;90,BS43,(BS43+IF($B$1+69&lt;=$B43,12*$B$7,-12*MAX(0,$B$6-IF($B$1+69&gt;=$B$23,$B$22,0))*(1+$B$4)^69))*IF(BS43+IF($B$1+69&lt;=$B43,12*$B$7,-12*MAX(0,$B$6-IF($B$1+69&gt;=$B$23,$B$22,0))*(1+$B$4)^69)&gt;0,1+$B$3,1))</f>
        <v/>
      </c>
      <c r="BU43">
        <f>IF($B$1+70&gt;90,BT43,(BT43+IF($B$1+70&lt;=$B43,12*$B$7,-12*MAX(0,$B$6-IF($B$1+70&gt;=$B$23,$B$22,0))*(1+$B$4)^70))*IF(BT43+IF($B$1+70&lt;=$B43,12*$B$7,-12*MAX(0,$B$6-IF($B$1+70&gt;=$B$23,$B$22,0))*(1+$B$4)^70)&gt;0,1+$B$3,1))</f>
        <v/>
      </c>
      <c r="BV43">
        <f>BU43</f>
        <v/>
      </c>
      <c r="BW43">
        <f>IF(AND($B43&lt;=70,BV43&gt;0),$B43,999)</f>
        <v/>
      </c>
      <c r="CB43" t="n">
        <v>42</v>
      </c>
      <c r="CC43">
        <f>IF($B$1+CB43&gt;90,0,12*MAX(0,$B$6-IF($B$1+CB43&gt;=$B$23,$B$22,0))*(1+$B$4)^CB43/(1+$B$3)^(CB43-1))</f>
        <v/>
      </c>
      <c r="CE43">
        <f>IF($B$1+41&gt;90,NA(),$B$1+41)</f>
        <v/>
      </c>
      <c r="CF43">
        <f>IF(OR($B$21="",$B$1+41&gt;90),NA(),INDEX($C$40:$BU$90,$B$21-$B$1+1,42))</f>
        <v/>
      </c>
      <c r="CH43">
        <f>IF(ISTEXT('월 가계부'!A43),SUBSTITUTE(SUBSTITUTE(SUBSTITUTE(SUBSTITUTE(SUBSTITUTE(SUBSTITUTE(SUBSTITUTE(SUBSTITUTE(SUBSTITUTE(TRIM('월 가계부'!A43),"년","-"),"월","-"),"일",""),".","-"),"/","-")," ","-"),"--","-"),"--","-"),"--","-")&amp;"-","")</f>
        <v/>
      </c>
      <c r="CI43">
        <f>IFERROR(IF('월 가계부'!A43="","",IF(ISNUMBER('월 가계부'!A43),IF(AND('월 가계부'!A43&gt;=19000101,'월 가계부'!A43&lt;=21001231),IF(AND(MOD(INT('월 가계부'!A43/100),100)&gt;=1,MOD(INT('월 가계부'!A43/100),100)&lt;=12,MOD(INT('월 가계부'!A43),100)&gt;=1,MOD(INT('월 가계부'!A43),100)&lt;=31),IF(MONTH(DATE(INT('월 가계부'!A43/10000),MOD(INT('월 가계부'!A43/100),100),MOD(INT('월 가계부'!A43),100)))=MOD(INT('월 가계부'!A43/100),100),DATE(INT('월 가계부'!A43/10000),MOD(INT('월 가계부'!A43/100),100),MOD(INT('월 가계부'!A43),100)),""),""),IF(AND('월 가계부'!A43&gt;=36526,'월 가계부'!A43&lt;73051),INT('월 가계부'!A43),"")),IF(OR(CM43="",CN43="",CO43=""),"",IF(AND(CM43&gt;=2000,CM43&lt;=2099,CN43&gt;=1,CN43&lt;=12,CO43&gt;=1,CO43&lt;=31),IF(MONTH(DATE(CM43,CN43,CO43))=CN43,DATE(CM43,CN43,CO43),""),"")))),"")</f>
        <v/>
      </c>
      <c r="CJ43">
        <f>IFERROR(IF('월 가계부'!C43="","",IF(ISNUMBER('월 가계부'!C43),'월 가계부'!C43,VALUE(SUBSTITUTE(SUBSTITUTE(SUBSTITUTE(SUBSTITUTE(TRIM('월 가계부'!C43),",",""),"원","")," ",""),"−","-")))),"")</f>
        <v/>
      </c>
      <c r="CK43">
        <f>IF(ISNUMBER(CI43),IF(CI43&lt;$B$13,CI43,""),"")</f>
        <v/>
      </c>
      <c r="CM43">
        <f>IF(CH43="","",IFERROR(IF(IF(AND(LEN(CH43)=9,ISERROR(FIND("-",LEFT(CH43,8))),ISNUMBER(-LEFT(CH43,8))),VALUE(LEFT(CH43,4)),VALUE(LEFT(CH43,FIND("-",CH43)-1)))&lt;100,IF(AND(LEN(CH43)=9,ISERROR(FIND("-",LEFT(CH43,8))),ISNUMBER(-LEFT(CH43,8))),VALUE(LEFT(CH43,4)),VALUE(LEFT(CH43,FIND("-",CH43)-1)))+2000,IF(AND(LEN(CH43)=9,ISERROR(FIND("-",LEFT(CH43,8))),ISNUMBER(-LEFT(CH43,8))),VALUE(LEFT(CH43,4)),VALUE(LEFT(CH43,FIND("-",CH43)-1)))),""))</f>
        <v/>
      </c>
      <c r="CN43">
        <f>IF(CH43="","",IFERROR(IF(AND(LEN(CH43)=9,ISERROR(FIND("-",LEFT(CH43,8))),ISNUMBER(-LEFT(CH43,8))),VALUE(MID(CH43,5,2)),VALUE(MID(CH43,FIND("-",CH43)+1,FIND("-",CH43,FIND("-",CH43)+1)-FIND("-",CH43)-1))),""))</f>
        <v/>
      </c>
      <c r="CO43">
        <f>IF(CH43="","",IFERROR(IF(AND(LEN(CH43)=9,ISERROR(FIND("-",LEFT(CH43,8))),ISNUMBER(-LEFT(CH43,8))),VALUE(MID(CH43,7,2)),VALUE(MID(CH43,FIND("-",CH43,FIND("-",CH43)+1)+1,FIND("-",CH43,FIND("-",CH43,FIND("-",CH43)+1)+1)-FIND("-",CH43,FIND("-",CH43)+1)-1))),""))</f>
        <v/>
      </c>
    </row>
    <row r="44">
      <c r="A44" t="n">
        <v>4</v>
      </c>
      <c r="B44">
        <f>$B$1+4</f>
        <v/>
      </c>
      <c r="C44">
        <f>$B$2</f>
        <v/>
      </c>
      <c r="D44">
        <f>IF($B$1+1&gt;90,C44,(C44+IF($B$1+1&lt;=$B44,12*$B$7,-12*MAX(0,$B$6-IF($B$1+1&gt;=$B$23,$B$22,0))*(1+$B$4)^1))*IF(C44+IF($B$1+1&lt;=$B44,12*$B$7,-12*MAX(0,$B$6-IF($B$1+1&gt;=$B$23,$B$22,0))*(1+$B$4)^1)&gt;0,1+$B$3,1))</f>
        <v/>
      </c>
      <c r="E44">
        <f>IF($B$1+2&gt;90,D44,(D44+IF($B$1+2&lt;=$B44,12*$B$7,-12*MAX(0,$B$6-IF($B$1+2&gt;=$B$23,$B$22,0))*(1+$B$4)^2))*IF(D44+IF($B$1+2&lt;=$B44,12*$B$7,-12*MAX(0,$B$6-IF($B$1+2&gt;=$B$23,$B$22,0))*(1+$B$4)^2)&gt;0,1+$B$3,1))</f>
        <v/>
      </c>
      <c r="F44">
        <f>IF($B$1+3&gt;90,E44,(E44+IF($B$1+3&lt;=$B44,12*$B$7,-12*MAX(0,$B$6-IF($B$1+3&gt;=$B$23,$B$22,0))*(1+$B$4)^3))*IF(E44+IF($B$1+3&lt;=$B44,12*$B$7,-12*MAX(0,$B$6-IF($B$1+3&gt;=$B$23,$B$22,0))*(1+$B$4)^3)&gt;0,1+$B$3,1))</f>
        <v/>
      </c>
      <c r="G44">
        <f>IF($B$1+4&gt;90,F44,(F44+IF($B$1+4&lt;=$B44,12*$B$7,-12*MAX(0,$B$6-IF($B$1+4&gt;=$B$23,$B$22,0))*(1+$B$4)^4))*IF(F44+IF($B$1+4&lt;=$B44,12*$B$7,-12*MAX(0,$B$6-IF($B$1+4&gt;=$B$23,$B$22,0))*(1+$B$4)^4)&gt;0,1+$B$3,1))</f>
        <v/>
      </c>
      <c r="H44">
        <f>IF($B$1+5&gt;90,G44,(G44+IF($B$1+5&lt;=$B44,12*$B$7,-12*MAX(0,$B$6-IF($B$1+5&gt;=$B$23,$B$22,0))*(1+$B$4)^5))*IF(G44+IF($B$1+5&lt;=$B44,12*$B$7,-12*MAX(0,$B$6-IF($B$1+5&gt;=$B$23,$B$22,0))*(1+$B$4)^5)&gt;0,1+$B$3,1))</f>
        <v/>
      </c>
      <c r="I44">
        <f>IF($B$1+6&gt;90,H44,(H44+IF($B$1+6&lt;=$B44,12*$B$7,-12*MAX(0,$B$6-IF($B$1+6&gt;=$B$23,$B$22,0))*(1+$B$4)^6))*IF(H44+IF($B$1+6&lt;=$B44,12*$B$7,-12*MAX(0,$B$6-IF($B$1+6&gt;=$B$23,$B$22,0))*(1+$B$4)^6)&gt;0,1+$B$3,1))</f>
        <v/>
      </c>
      <c r="J44">
        <f>IF($B$1+7&gt;90,I44,(I44+IF($B$1+7&lt;=$B44,12*$B$7,-12*MAX(0,$B$6-IF($B$1+7&gt;=$B$23,$B$22,0))*(1+$B$4)^7))*IF(I44+IF($B$1+7&lt;=$B44,12*$B$7,-12*MAX(0,$B$6-IF($B$1+7&gt;=$B$23,$B$22,0))*(1+$B$4)^7)&gt;0,1+$B$3,1))</f>
        <v/>
      </c>
      <c r="K44">
        <f>IF($B$1+8&gt;90,J44,(J44+IF($B$1+8&lt;=$B44,12*$B$7,-12*MAX(0,$B$6-IF($B$1+8&gt;=$B$23,$B$22,0))*(1+$B$4)^8))*IF(J44+IF($B$1+8&lt;=$B44,12*$B$7,-12*MAX(0,$B$6-IF($B$1+8&gt;=$B$23,$B$22,0))*(1+$B$4)^8)&gt;0,1+$B$3,1))</f>
        <v/>
      </c>
      <c r="L44">
        <f>IF($B$1+9&gt;90,K44,(K44+IF($B$1+9&lt;=$B44,12*$B$7,-12*MAX(0,$B$6-IF($B$1+9&gt;=$B$23,$B$22,0))*(1+$B$4)^9))*IF(K44+IF($B$1+9&lt;=$B44,12*$B$7,-12*MAX(0,$B$6-IF($B$1+9&gt;=$B$23,$B$22,0))*(1+$B$4)^9)&gt;0,1+$B$3,1))</f>
        <v/>
      </c>
      <c r="M44">
        <f>IF($B$1+10&gt;90,L44,(L44+IF($B$1+10&lt;=$B44,12*$B$7,-12*MAX(0,$B$6-IF($B$1+10&gt;=$B$23,$B$22,0))*(1+$B$4)^10))*IF(L44+IF($B$1+10&lt;=$B44,12*$B$7,-12*MAX(0,$B$6-IF($B$1+10&gt;=$B$23,$B$22,0))*(1+$B$4)^10)&gt;0,1+$B$3,1))</f>
        <v/>
      </c>
      <c r="N44">
        <f>IF($B$1+11&gt;90,M44,(M44+IF($B$1+11&lt;=$B44,12*$B$7,-12*MAX(0,$B$6-IF($B$1+11&gt;=$B$23,$B$22,0))*(1+$B$4)^11))*IF(M44+IF($B$1+11&lt;=$B44,12*$B$7,-12*MAX(0,$B$6-IF($B$1+11&gt;=$B$23,$B$22,0))*(1+$B$4)^11)&gt;0,1+$B$3,1))</f>
        <v/>
      </c>
      <c r="O44">
        <f>IF($B$1+12&gt;90,N44,(N44+IF($B$1+12&lt;=$B44,12*$B$7,-12*MAX(0,$B$6-IF($B$1+12&gt;=$B$23,$B$22,0))*(1+$B$4)^12))*IF(N44+IF($B$1+12&lt;=$B44,12*$B$7,-12*MAX(0,$B$6-IF($B$1+12&gt;=$B$23,$B$22,0))*(1+$B$4)^12)&gt;0,1+$B$3,1))</f>
        <v/>
      </c>
      <c r="P44">
        <f>IF($B$1+13&gt;90,O44,(O44+IF($B$1+13&lt;=$B44,12*$B$7,-12*MAX(0,$B$6-IF($B$1+13&gt;=$B$23,$B$22,0))*(1+$B$4)^13))*IF(O44+IF($B$1+13&lt;=$B44,12*$B$7,-12*MAX(0,$B$6-IF($B$1+13&gt;=$B$23,$B$22,0))*(1+$B$4)^13)&gt;0,1+$B$3,1))</f>
        <v/>
      </c>
      <c r="Q44">
        <f>IF($B$1+14&gt;90,P44,(P44+IF($B$1+14&lt;=$B44,12*$B$7,-12*MAX(0,$B$6-IF($B$1+14&gt;=$B$23,$B$22,0))*(1+$B$4)^14))*IF(P44+IF($B$1+14&lt;=$B44,12*$B$7,-12*MAX(0,$B$6-IF($B$1+14&gt;=$B$23,$B$22,0))*(1+$B$4)^14)&gt;0,1+$B$3,1))</f>
        <v/>
      </c>
      <c r="R44">
        <f>IF($B$1+15&gt;90,Q44,(Q44+IF($B$1+15&lt;=$B44,12*$B$7,-12*MAX(0,$B$6-IF($B$1+15&gt;=$B$23,$B$22,0))*(1+$B$4)^15))*IF(Q44+IF($B$1+15&lt;=$B44,12*$B$7,-12*MAX(0,$B$6-IF($B$1+15&gt;=$B$23,$B$22,0))*(1+$B$4)^15)&gt;0,1+$B$3,1))</f>
        <v/>
      </c>
      <c r="S44">
        <f>IF($B$1+16&gt;90,R44,(R44+IF($B$1+16&lt;=$B44,12*$B$7,-12*MAX(0,$B$6-IF($B$1+16&gt;=$B$23,$B$22,0))*(1+$B$4)^16))*IF(R44+IF($B$1+16&lt;=$B44,12*$B$7,-12*MAX(0,$B$6-IF($B$1+16&gt;=$B$23,$B$22,0))*(1+$B$4)^16)&gt;0,1+$B$3,1))</f>
        <v/>
      </c>
      <c r="T44">
        <f>IF($B$1+17&gt;90,S44,(S44+IF($B$1+17&lt;=$B44,12*$B$7,-12*MAX(0,$B$6-IF($B$1+17&gt;=$B$23,$B$22,0))*(1+$B$4)^17))*IF(S44+IF($B$1+17&lt;=$B44,12*$B$7,-12*MAX(0,$B$6-IF($B$1+17&gt;=$B$23,$B$22,0))*(1+$B$4)^17)&gt;0,1+$B$3,1))</f>
        <v/>
      </c>
      <c r="U44">
        <f>IF($B$1+18&gt;90,T44,(T44+IF($B$1+18&lt;=$B44,12*$B$7,-12*MAX(0,$B$6-IF($B$1+18&gt;=$B$23,$B$22,0))*(1+$B$4)^18))*IF(T44+IF($B$1+18&lt;=$B44,12*$B$7,-12*MAX(0,$B$6-IF($B$1+18&gt;=$B$23,$B$22,0))*(1+$B$4)^18)&gt;0,1+$B$3,1))</f>
        <v/>
      </c>
      <c r="V44">
        <f>IF($B$1+19&gt;90,U44,(U44+IF($B$1+19&lt;=$B44,12*$B$7,-12*MAX(0,$B$6-IF($B$1+19&gt;=$B$23,$B$22,0))*(1+$B$4)^19))*IF(U44+IF($B$1+19&lt;=$B44,12*$B$7,-12*MAX(0,$B$6-IF($B$1+19&gt;=$B$23,$B$22,0))*(1+$B$4)^19)&gt;0,1+$B$3,1))</f>
        <v/>
      </c>
      <c r="W44">
        <f>IF($B$1+20&gt;90,V44,(V44+IF($B$1+20&lt;=$B44,12*$B$7,-12*MAX(0,$B$6-IF($B$1+20&gt;=$B$23,$B$22,0))*(1+$B$4)^20))*IF(V44+IF($B$1+20&lt;=$B44,12*$B$7,-12*MAX(0,$B$6-IF($B$1+20&gt;=$B$23,$B$22,0))*(1+$B$4)^20)&gt;0,1+$B$3,1))</f>
        <v/>
      </c>
      <c r="X44">
        <f>IF($B$1+21&gt;90,W44,(W44+IF($B$1+21&lt;=$B44,12*$B$7,-12*MAX(0,$B$6-IF($B$1+21&gt;=$B$23,$B$22,0))*(1+$B$4)^21))*IF(W44+IF($B$1+21&lt;=$B44,12*$B$7,-12*MAX(0,$B$6-IF($B$1+21&gt;=$B$23,$B$22,0))*(1+$B$4)^21)&gt;0,1+$B$3,1))</f>
        <v/>
      </c>
      <c r="Y44">
        <f>IF($B$1+22&gt;90,X44,(X44+IF($B$1+22&lt;=$B44,12*$B$7,-12*MAX(0,$B$6-IF($B$1+22&gt;=$B$23,$B$22,0))*(1+$B$4)^22))*IF(X44+IF($B$1+22&lt;=$B44,12*$B$7,-12*MAX(0,$B$6-IF($B$1+22&gt;=$B$23,$B$22,0))*(1+$B$4)^22)&gt;0,1+$B$3,1))</f>
        <v/>
      </c>
      <c r="Z44">
        <f>IF($B$1+23&gt;90,Y44,(Y44+IF($B$1+23&lt;=$B44,12*$B$7,-12*MAX(0,$B$6-IF($B$1+23&gt;=$B$23,$B$22,0))*(1+$B$4)^23))*IF(Y44+IF($B$1+23&lt;=$B44,12*$B$7,-12*MAX(0,$B$6-IF($B$1+23&gt;=$B$23,$B$22,0))*(1+$B$4)^23)&gt;0,1+$B$3,1))</f>
        <v/>
      </c>
      <c r="AA44">
        <f>IF($B$1+24&gt;90,Z44,(Z44+IF($B$1+24&lt;=$B44,12*$B$7,-12*MAX(0,$B$6-IF($B$1+24&gt;=$B$23,$B$22,0))*(1+$B$4)^24))*IF(Z44+IF($B$1+24&lt;=$B44,12*$B$7,-12*MAX(0,$B$6-IF($B$1+24&gt;=$B$23,$B$22,0))*(1+$B$4)^24)&gt;0,1+$B$3,1))</f>
        <v/>
      </c>
      <c r="AB44">
        <f>IF($B$1+25&gt;90,AA44,(AA44+IF($B$1+25&lt;=$B44,12*$B$7,-12*MAX(0,$B$6-IF($B$1+25&gt;=$B$23,$B$22,0))*(1+$B$4)^25))*IF(AA44+IF($B$1+25&lt;=$B44,12*$B$7,-12*MAX(0,$B$6-IF($B$1+25&gt;=$B$23,$B$22,0))*(1+$B$4)^25)&gt;0,1+$B$3,1))</f>
        <v/>
      </c>
      <c r="AC44">
        <f>IF($B$1+26&gt;90,AB44,(AB44+IF($B$1+26&lt;=$B44,12*$B$7,-12*MAX(0,$B$6-IF($B$1+26&gt;=$B$23,$B$22,0))*(1+$B$4)^26))*IF(AB44+IF($B$1+26&lt;=$B44,12*$B$7,-12*MAX(0,$B$6-IF($B$1+26&gt;=$B$23,$B$22,0))*(1+$B$4)^26)&gt;0,1+$B$3,1))</f>
        <v/>
      </c>
      <c r="AD44">
        <f>IF($B$1+27&gt;90,AC44,(AC44+IF($B$1+27&lt;=$B44,12*$B$7,-12*MAX(0,$B$6-IF($B$1+27&gt;=$B$23,$B$22,0))*(1+$B$4)^27))*IF(AC44+IF($B$1+27&lt;=$B44,12*$B$7,-12*MAX(0,$B$6-IF($B$1+27&gt;=$B$23,$B$22,0))*(1+$B$4)^27)&gt;0,1+$B$3,1))</f>
        <v/>
      </c>
      <c r="AE44">
        <f>IF($B$1+28&gt;90,AD44,(AD44+IF($B$1+28&lt;=$B44,12*$B$7,-12*MAX(0,$B$6-IF($B$1+28&gt;=$B$23,$B$22,0))*(1+$B$4)^28))*IF(AD44+IF($B$1+28&lt;=$B44,12*$B$7,-12*MAX(0,$B$6-IF($B$1+28&gt;=$B$23,$B$22,0))*(1+$B$4)^28)&gt;0,1+$B$3,1))</f>
        <v/>
      </c>
      <c r="AF44">
        <f>IF($B$1+29&gt;90,AE44,(AE44+IF($B$1+29&lt;=$B44,12*$B$7,-12*MAX(0,$B$6-IF($B$1+29&gt;=$B$23,$B$22,0))*(1+$B$4)^29))*IF(AE44+IF($B$1+29&lt;=$B44,12*$B$7,-12*MAX(0,$B$6-IF($B$1+29&gt;=$B$23,$B$22,0))*(1+$B$4)^29)&gt;0,1+$B$3,1))</f>
        <v/>
      </c>
      <c r="AG44">
        <f>IF($B$1+30&gt;90,AF44,(AF44+IF($B$1+30&lt;=$B44,12*$B$7,-12*MAX(0,$B$6-IF($B$1+30&gt;=$B$23,$B$22,0))*(1+$B$4)^30))*IF(AF44+IF($B$1+30&lt;=$B44,12*$B$7,-12*MAX(0,$B$6-IF($B$1+30&gt;=$B$23,$B$22,0))*(1+$B$4)^30)&gt;0,1+$B$3,1))</f>
        <v/>
      </c>
      <c r="AH44">
        <f>IF($B$1+31&gt;90,AG44,(AG44+IF($B$1+31&lt;=$B44,12*$B$7,-12*MAX(0,$B$6-IF($B$1+31&gt;=$B$23,$B$22,0))*(1+$B$4)^31))*IF(AG44+IF($B$1+31&lt;=$B44,12*$B$7,-12*MAX(0,$B$6-IF($B$1+31&gt;=$B$23,$B$22,0))*(1+$B$4)^31)&gt;0,1+$B$3,1))</f>
        <v/>
      </c>
      <c r="AI44">
        <f>IF($B$1+32&gt;90,AH44,(AH44+IF($B$1+32&lt;=$B44,12*$B$7,-12*MAX(0,$B$6-IF($B$1+32&gt;=$B$23,$B$22,0))*(1+$B$4)^32))*IF(AH44+IF($B$1+32&lt;=$B44,12*$B$7,-12*MAX(0,$B$6-IF($B$1+32&gt;=$B$23,$B$22,0))*(1+$B$4)^32)&gt;0,1+$B$3,1))</f>
        <v/>
      </c>
      <c r="AJ44">
        <f>IF($B$1+33&gt;90,AI44,(AI44+IF($B$1+33&lt;=$B44,12*$B$7,-12*MAX(0,$B$6-IF($B$1+33&gt;=$B$23,$B$22,0))*(1+$B$4)^33))*IF(AI44+IF($B$1+33&lt;=$B44,12*$B$7,-12*MAX(0,$B$6-IF($B$1+33&gt;=$B$23,$B$22,0))*(1+$B$4)^33)&gt;0,1+$B$3,1))</f>
        <v/>
      </c>
      <c r="AK44">
        <f>IF($B$1+34&gt;90,AJ44,(AJ44+IF($B$1+34&lt;=$B44,12*$B$7,-12*MAX(0,$B$6-IF($B$1+34&gt;=$B$23,$B$22,0))*(1+$B$4)^34))*IF(AJ44+IF($B$1+34&lt;=$B44,12*$B$7,-12*MAX(0,$B$6-IF($B$1+34&gt;=$B$23,$B$22,0))*(1+$B$4)^34)&gt;0,1+$B$3,1))</f>
        <v/>
      </c>
      <c r="AL44">
        <f>IF($B$1+35&gt;90,AK44,(AK44+IF($B$1+35&lt;=$B44,12*$B$7,-12*MAX(0,$B$6-IF($B$1+35&gt;=$B$23,$B$22,0))*(1+$B$4)^35))*IF(AK44+IF($B$1+35&lt;=$B44,12*$B$7,-12*MAX(0,$B$6-IF($B$1+35&gt;=$B$23,$B$22,0))*(1+$B$4)^35)&gt;0,1+$B$3,1))</f>
        <v/>
      </c>
      <c r="AM44">
        <f>IF($B$1+36&gt;90,AL44,(AL44+IF($B$1+36&lt;=$B44,12*$B$7,-12*MAX(0,$B$6-IF($B$1+36&gt;=$B$23,$B$22,0))*(1+$B$4)^36))*IF(AL44+IF($B$1+36&lt;=$B44,12*$B$7,-12*MAX(0,$B$6-IF($B$1+36&gt;=$B$23,$B$22,0))*(1+$B$4)^36)&gt;0,1+$B$3,1))</f>
        <v/>
      </c>
      <c r="AN44">
        <f>IF($B$1+37&gt;90,AM44,(AM44+IF($B$1+37&lt;=$B44,12*$B$7,-12*MAX(0,$B$6-IF($B$1+37&gt;=$B$23,$B$22,0))*(1+$B$4)^37))*IF(AM44+IF($B$1+37&lt;=$B44,12*$B$7,-12*MAX(0,$B$6-IF($B$1+37&gt;=$B$23,$B$22,0))*(1+$B$4)^37)&gt;0,1+$B$3,1))</f>
        <v/>
      </c>
      <c r="AO44">
        <f>IF($B$1+38&gt;90,AN44,(AN44+IF($B$1+38&lt;=$B44,12*$B$7,-12*MAX(0,$B$6-IF($B$1+38&gt;=$B$23,$B$22,0))*(1+$B$4)^38))*IF(AN44+IF($B$1+38&lt;=$B44,12*$B$7,-12*MAX(0,$B$6-IF($B$1+38&gt;=$B$23,$B$22,0))*(1+$B$4)^38)&gt;0,1+$B$3,1))</f>
        <v/>
      </c>
      <c r="AP44">
        <f>IF($B$1+39&gt;90,AO44,(AO44+IF($B$1+39&lt;=$B44,12*$B$7,-12*MAX(0,$B$6-IF($B$1+39&gt;=$B$23,$B$22,0))*(1+$B$4)^39))*IF(AO44+IF($B$1+39&lt;=$B44,12*$B$7,-12*MAX(0,$B$6-IF($B$1+39&gt;=$B$23,$B$22,0))*(1+$B$4)^39)&gt;0,1+$B$3,1))</f>
        <v/>
      </c>
      <c r="AQ44">
        <f>IF($B$1+40&gt;90,AP44,(AP44+IF($B$1+40&lt;=$B44,12*$B$7,-12*MAX(0,$B$6-IF($B$1+40&gt;=$B$23,$B$22,0))*(1+$B$4)^40))*IF(AP44+IF($B$1+40&lt;=$B44,12*$B$7,-12*MAX(0,$B$6-IF($B$1+40&gt;=$B$23,$B$22,0))*(1+$B$4)^40)&gt;0,1+$B$3,1))</f>
        <v/>
      </c>
      <c r="AR44">
        <f>IF($B$1+41&gt;90,AQ44,(AQ44+IF($B$1+41&lt;=$B44,12*$B$7,-12*MAX(0,$B$6-IF($B$1+41&gt;=$B$23,$B$22,0))*(1+$B$4)^41))*IF(AQ44+IF($B$1+41&lt;=$B44,12*$B$7,-12*MAX(0,$B$6-IF($B$1+41&gt;=$B$23,$B$22,0))*(1+$B$4)^41)&gt;0,1+$B$3,1))</f>
        <v/>
      </c>
      <c r="AS44">
        <f>IF($B$1+42&gt;90,AR44,(AR44+IF($B$1+42&lt;=$B44,12*$B$7,-12*MAX(0,$B$6-IF($B$1+42&gt;=$B$23,$B$22,0))*(1+$B$4)^42))*IF(AR44+IF($B$1+42&lt;=$B44,12*$B$7,-12*MAX(0,$B$6-IF($B$1+42&gt;=$B$23,$B$22,0))*(1+$B$4)^42)&gt;0,1+$B$3,1))</f>
        <v/>
      </c>
      <c r="AT44">
        <f>IF($B$1+43&gt;90,AS44,(AS44+IF($B$1+43&lt;=$B44,12*$B$7,-12*MAX(0,$B$6-IF($B$1+43&gt;=$B$23,$B$22,0))*(1+$B$4)^43))*IF(AS44+IF($B$1+43&lt;=$B44,12*$B$7,-12*MAX(0,$B$6-IF($B$1+43&gt;=$B$23,$B$22,0))*(1+$B$4)^43)&gt;0,1+$B$3,1))</f>
        <v/>
      </c>
      <c r="AU44">
        <f>IF($B$1+44&gt;90,AT44,(AT44+IF($B$1+44&lt;=$B44,12*$B$7,-12*MAX(0,$B$6-IF($B$1+44&gt;=$B$23,$B$22,0))*(1+$B$4)^44))*IF(AT44+IF($B$1+44&lt;=$B44,12*$B$7,-12*MAX(0,$B$6-IF($B$1+44&gt;=$B$23,$B$22,0))*(1+$B$4)^44)&gt;0,1+$B$3,1))</f>
        <v/>
      </c>
      <c r="AV44">
        <f>IF($B$1+45&gt;90,AU44,(AU44+IF($B$1+45&lt;=$B44,12*$B$7,-12*MAX(0,$B$6-IF($B$1+45&gt;=$B$23,$B$22,0))*(1+$B$4)^45))*IF(AU44+IF($B$1+45&lt;=$B44,12*$B$7,-12*MAX(0,$B$6-IF($B$1+45&gt;=$B$23,$B$22,0))*(1+$B$4)^45)&gt;0,1+$B$3,1))</f>
        <v/>
      </c>
      <c r="AW44">
        <f>IF($B$1+46&gt;90,AV44,(AV44+IF($B$1+46&lt;=$B44,12*$B$7,-12*MAX(0,$B$6-IF($B$1+46&gt;=$B$23,$B$22,0))*(1+$B$4)^46))*IF(AV44+IF($B$1+46&lt;=$B44,12*$B$7,-12*MAX(0,$B$6-IF($B$1+46&gt;=$B$23,$B$22,0))*(1+$B$4)^46)&gt;0,1+$B$3,1))</f>
        <v/>
      </c>
      <c r="AX44">
        <f>IF($B$1+47&gt;90,AW44,(AW44+IF($B$1+47&lt;=$B44,12*$B$7,-12*MAX(0,$B$6-IF($B$1+47&gt;=$B$23,$B$22,0))*(1+$B$4)^47))*IF(AW44+IF($B$1+47&lt;=$B44,12*$B$7,-12*MAX(0,$B$6-IF($B$1+47&gt;=$B$23,$B$22,0))*(1+$B$4)^47)&gt;0,1+$B$3,1))</f>
        <v/>
      </c>
      <c r="AY44">
        <f>IF($B$1+48&gt;90,AX44,(AX44+IF($B$1+48&lt;=$B44,12*$B$7,-12*MAX(0,$B$6-IF($B$1+48&gt;=$B$23,$B$22,0))*(1+$B$4)^48))*IF(AX44+IF($B$1+48&lt;=$B44,12*$B$7,-12*MAX(0,$B$6-IF($B$1+48&gt;=$B$23,$B$22,0))*(1+$B$4)^48)&gt;0,1+$B$3,1))</f>
        <v/>
      </c>
      <c r="AZ44">
        <f>IF($B$1+49&gt;90,AY44,(AY44+IF($B$1+49&lt;=$B44,12*$B$7,-12*MAX(0,$B$6-IF($B$1+49&gt;=$B$23,$B$22,0))*(1+$B$4)^49))*IF(AY44+IF($B$1+49&lt;=$B44,12*$B$7,-12*MAX(0,$B$6-IF($B$1+49&gt;=$B$23,$B$22,0))*(1+$B$4)^49)&gt;0,1+$B$3,1))</f>
        <v/>
      </c>
      <c r="BA44">
        <f>IF($B$1+50&gt;90,AZ44,(AZ44+IF($B$1+50&lt;=$B44,12*$B$7,-12*MAX(0,$B$6-IF($B$1+50&gt;=$B$23,$B$22,0))*(1+$B$4)^50))*IF(AZ44+IF($B$1+50&lt;=$B44,12*$B$7,-12*MAX(0,$B$6-IF($B$1+50&gt;=$B$23,$B$22,0))*(1+$B$4)^50)&gt;0,1+$B$3,1))</f>
        <v/>
      </c>
      <c r="BB44">
        <f>IF($B$1+51&gt;90,BA44,(BA44+IF($B$1+51&lt;=$B44,12*$B$7,-12*MAX(0,$B$6-IF($B$1+51&gt;=$B$23,$B$22,0))*(1+$B$4)^51))*IF(BA44+IF($B$1+51&lt;=$B44,12*$B$7,-12*MAX(0,$B$6-IF($B$1+51&gt;=$B$23,$B$22,0))*(1+$B$4)^51)&gt;0,1+$B$3,1))</f>
        <v/>
      </c>
      <c r="BC44">
        <f>IF($B$1+52&gt;90,BB44,(BB44+IF($B$1+52&lt;=$B44,12*$B$7,-12*MAX(0,$B$6-IF($B$1+52&gt;=$B$23,$B$22,0))*(1+$B$4)^52))*IF(BB44+IF($B$1+52&lt;=$B44,12*$B$7,-12*MAX(0,$B$6-IF($B$1+52&gt;=$B$23,$B$22,0))*(1+$B$4)^52)&gt;0,1+$B$3,1))</f>
        <v/>
      </c>
      <c r="BD44">
        <f>IF($B$1+53&gt;90,BC44,(BC44+IF($B$1+53&lt;=$B44,12*$B$7,-12*MAX(0,$B$6-IF($B$1+53&gt;=$B$23,$B$22,0))*(1+$B$4)^53))*IF(BC44+IF($B$1+53&lt;=$B44,12*$B$7,-12*MAX(0,$B$6-IF($B$1+53&gt;=$B$23,$B$22,0))*(1+$B$4)^53)&gt;0,1+$B$3,1))</f>
        <v/>
      </c>
      <c r="BE44">
        <f>IF($B$1+54&gt;90,BD44,(BD44+IF($B$1+54&lt;=$B44,12*$B$7,-12*MAX(0,$B$6-IF($B$1+54&gt;=$B$23,$B$22,0))*(1+$B$4)^54))*IF(BD44+IF($B$1+54&lt;=$B44,12*$B$7,-12*MAX(0,$B$6-IF($B$1+54&gt;=$B$23,$B$22,0))*(1+$B$4)^54)&gt;0,1+$B$3,1))</f>
        <v/>
      </c>
      <c r="BF44">
        <f>IF($B$1+55&gt;90,BE44,(BE44+IF($B$1+55&lt;=$B44,12*$B$7,-12*MAX(0,$B$6-IF($B$1+55&gt;=$B$23,$B$22,0))*(1+$B$4)^55))*IF(BE44+IF($B$1+55&lt;=$B44,12*$B$7,-12*MAX(0,$B$6-IF($B$1+55&gt;=$B$23,$B$22,0))*(1+$B$4)^55)&gt;0,1+$B$3,1))</f>
        <v/>
      </c>
      <c r="BG44">
        <f>IF($B$1+56&gt;90,BF44,(BF44+IF($B$1+56&lt;=$B44,12*$B$7,-12*MAX(0,$B$6-IF($B$1+56&gt;=$B$23,$B$22,0))*(1+$B$4)^56))*IF(BF44+IF($B$1+56&lt;=$B44,12*$B$7,-12*MAX(0,$B$6-IF($B$1+56&gt;=$B$23,$B$22,0))*(1+$B$4)^56)&gt;0,1+$B$3,1))</f>
        <v/>
      </c>
      <c r="BH44">
        <f>IF($B$1+57&gt;90,BG44,(BG44+IF($B$1+57&lt;=$B44,12*$B$7,-12*MAX(0,$B$6-IF($B$1+57&gt;=$B$23,$B$22,0))*(1+$B$4)^57))*IF(BG44+IF($B$1+57&lt;=$B44,12*$B$7,-12*MAX(0,$B$6-IF($B$1+57&gt;=$B$23,$B$22,0))*(1+$B$4)^57)&gt;0,1+$B$3,1))</f>
        <v/>
      </c>
      <c r="BI44">
        <f>IF($B$1+58&gt;90,BH44,(BH44+IF($B$1+58&lt;=$B44,12*$B$7,-12*MAX(0,$B$6-IF($B$1+58&gt;=$B$23,$B$22,0))*(1+$B$4)^58))*IF(BH44+IF($B$1+58&lt;=$B44,12*$B$7,-12*MAX(0,$B$6-IF($B$1+58&gt;=$B$23,$B$22,0))*(1+$B$4)^58)&gt;0,1+$B$3,1))</f>
        <v/>
      </c>
      <c r="BJ44">
        <f>IF($B$1+59&gt;90,BI44,(BI44+IF($B$1+59&lt;=$B44,12*$B$7,-12*MAX(0,$B$6-IF($B$1+59&gt;=$B$23,$B$22,0))*(1+$B$4)^59))*IF(BI44+IF($B$1+59&lt;=$B44,12*$B$7,-12*MAX(0,$B$6-IF($B$1+59&gt;=$B$23,$B$22,0))*(1+$B$4)^59)&gt;0,1+$B$3,1))</f>
        <v/>
      </c>
      <c r="BK44">
        <f>IF($B$1+60&gt;90,BJ44,(BJ44+IF($B$1+60&lt;=$B44,12*$B$7,-12*MAX(0,$B$6-IF($B$1+60&gt;=$B$23,$B$22,0))*(1+$B$4)^60))*IF(BJ44+IF($B$1+60&lt;=$B44,12*$B$7,-12*MAX(0,$B$6-IF($B$1+60&gt;=$B$23,$B$22,0))*(1+$B$4)^60)&gt;0,1+$B$3,1))</f>
        <v/>
      </c>
      <c r="BL44">
        <f>IF($B$1+61&gt;90,BK44,(BK44+IF($B$1+61&lt;=$B44,12*$B$7,-12*MAX(0,$B$6-IF($B$1+61&gt;=$B$23,$B$22,0))*(1+$B$4)^61))*IF(BK44+IF($B$1+61&lt;=$B44,12*$B$7,-12*MAX(0,$B$6-IF($B$1+61&gt;=$B$23,$B$22,0))*(1+$B$4)^61)&gt;0,1+$B$3,1))</f>
        <v/>
      </c>
      <c r="BM44">
        <f>IF($B$1+62&gt;90,BL44,(BL44+IF($B$1+62&lt;=$B44,12*$B$7,-12*MAX(0,$B$6-IF($B$1+62&gt;=$B$23,$B$22,0))*(1+$B$4)^62))*IF(BL44+IF($B$1+62&lt;=$B44,12*$B$7,-12*MAX(0,$B$6-IF($B$1+62&gt;=$B$23,$B$22,0))*(1+$B$4)^62)&gt;0,1+$B$3,1))</f>
        <v/>
      </c>
      <c r="BN44">
        <f>IF($B$1+63&gt;90,BM44,(BM44+IF($B$1+63&lt;=$B44,12*$B$7,-12*MAX(0,$B$6-IF($B$1+63&gt;=$B$23,$B$22,0))*(1+$B$4)^63))*IF(BM44+IF($B$1+63&lt;=$B44,12*$B$7,-12*MAX(0,$B$6-IF($B$1+63&gt;=$B$23,$B$22,0))*(1+$B$4)^63)&gt;0,1+$B$3,1))</f>
        <v/>
      </c>
      <c r="BO44">
        <f>IF($B$1+64&gt;90,BN44,(BN44+IF($B$1+64&lt;=$B44,12*$B$7,-12*MAX(0,$B$6-IF($B$1+64&gt;=$B$23,$B$22,0))*(1+$B$4)^64))*IF(BN44+IF($B$1+64&lt;=$B44,12*$B$7,-12*MAX(0,$B$6-IF($B$1+64&gt;=$B$23,$B$22,0))*(1+$B$4)^64)&gt;0,1+$B$3,1))</f>
        <v/>
      </c>
      <c r="BP44">
        <f>IF($B$1+65&gt;90,BO44,(BO44+IF($B$1+65&lt;=$B44,12*$B$7,-12*MAX(0,$B$6-IF($B$1+65&gt;=$B$23,$B$22,0))*(1+$B$4)^65))*IF(BO44+IF($B$1+65&lt;=$B44,12*$B$7,-12*MAX(0,$B$6-IF($B$1+65&gt;=$B$23,$B$22,0))*(1+$B$4)^65)&gt;0,1+$B$3,1))</f>
        <v/>
      </c>
      <c r="BQ44">
        <f>IF($B$1+66&gt;90,BP44,(BP44+IF($B$1+66&lt;=$B44,12*$B$7,-12*MAX(0,$B$6-IF($B$1+66&gt;=$B$23,$B$22,0))*(1+$B$4)^66))*IF(BP44+IF($B$1+66&lt;=$B44,12*$B$7,-12*MAX(0,$B$6-IF($B$1+66&gt;=$B$23,$B$22,0))*(1+$B$4)^66)&gt;0,1+$B$3,1))</f>
        <v/>
      </c>
      <c r="BR44">
        <f>IF($B$1+67&gt;90,BQ44,(BQ44+IF($B$1+67&lt;=$B44,12*$B$7,-12*MAX(0,$B$6-IF($B$1+67&gt;=$B$23,$B$22,0))*(1+$B$4)^67))*IF(BQ44+IF($B$1+67&lt;=$B44,12*$B$7,-12*MAX(0,$B$6-IF($B$1+67&gt;=$B$23,$B$22,0))*(1+$B$4)^67)&gt;0,1+$B$3,1))</f>
        <v/>
      </c>
      <c r="BS44">
        <f>IF($B$1+68&gt;90,BR44,(BR44+IF($B$1+68&lt;=$B44,12*$B$7,-12*MAX(0,$B$6-IF($B$1+68&gt;=$B$23,$B$22,0))*(1+$B$4)^68))*IF(BR44+IF($B$1+68&lt;=$B44,12*$B$7,-12*MAX(0,$B$6-IF($B$1+68&gt;=$B$23,$B$22,0))*(1+$B$4)^68)&gt;0,1+$B$3,1))</f>
        <v/>
      </c>
      <c r="BT44">
        <f>IF($B$1+69&gt;90,BS44,(BS44+IF($B$1+69&lt;=$B44,12*$B$7,-12*MAX(0,$B$6-IF($B$1+69&gt;=$B$23,$B$22,0))*(1+$B$4)^69))*IF(BS44+IF($B$1+69&lt;=$B44,12*$B$7,-12*MAX(0,$B$6-IF($B$1+69&gt;=$B$23,$B$22,0))*(1+$B$4)^69)&gt;0,1+$B$3,1))</f>
        <v/>
      </c>
      <c r="BU44">
        <f>IF($B$1+70&gt;90,BT44,(BT44+IF($B$1+70&lt;=$B44,12*$B$7,-12*MAX(0,$B$6-IF($B$1+70&gt;=$B$23,$B$22,0))*(1+$B$4)^70))*IF(BT44+IF($B$1+70&lt;=$B44,12*$B$7,-12*MAX(0,$B$6-IF($B$1+70&gt;=$B$23,$B$22,0))*(1+$B$4)^70)&gt;0,1+$B$3,1))</f>
        <v/>
      </c>
      <c r="BV44">
        <f>BU44</f>
        <v/>
      </c>
      <c r="BW44">
        <f>IF(AND($B44&lt;=70,BV44&gt;0),$B44,999)</f>
        <v/>
      </c>
      <c r="CB44" t="n">
        <v>43</v>
      </c>
      <c r="CC44">
        <f>IF($B$1+CB44&gt;90,0,12*MAX(0,$B$6-IF($B$1+CB44&gt;=$B$23,$B$22,0))*(1+$B$4)^CB44/(1+$B$3)^(CB44-1))</f>
        <v/>
      </c>
      <c r="CE44">
        <f>IF($B$1+42&gt;90,NA(),$B$1+42)</f>
        <v/>
      </c>
      <c r="CF44">
        <f>IF(OR($B$21="",$B$1+42&gt;90),NA(),INDEX($C$40:$BU$90,$B$21-$B$1+1,43))</f>
        <v/>
      </c>
      <c r="CH44">
        <f>IF(ISTEXT('월 가계부'!A44),SUBSTITUTE(SUBSTITUTE(SUBSTITUTE(SUBSTITUTE(SUBSTITUTE(SUBSTITUTE(SUBSTITUTE(SUBSTITUTE(SUBSTITUTE(TRIM('월 가계부'!A44),"년","-"),"월","-"),"일",""),".","-"),"/","-")," ","-"),"--","-"),"--","-"),"--","-")&amp;"-","")</f>
        <v/>
      </c>
      <c r="CI44">
        <f>IFERROR(IF('월 가계부'!A44="","",IF(ISNUMBER('월 가계부'!A44),IF(AND('월 가계부'!A44&gt;=19000101,'월 가계부'!A44&lt;=21001231),IF(AND(MOD(INT('월 가계부'!A44/100),100)&gt;=1,MOD(INT('월 가계부'!A44/100),100)&lt;=12,MOD(INT('월 가계부'!A44),100)&gt;=1,MOD(INT('월 가계부'!A44),100)&lt;=31),IF(MONTH(DATE(INT('월 가계부'!A44/10000),MOD(INT('월 가계부'!A44/100),100),MOD(INT('월 가계부'!A44),100)))=MOD(INT('월 가계부'!A44/100),100),DATE(INT('월 가계부'!A44/10000),MOD(INT('월 가계부'!A44/100),100),MOD(INT('월 가계부'!A44),100)),""),""),IF(AND('월 가계부'!A44&gt;=36526,'월 가계부'!A44&lt;73051),INT('월 가계부'!A44),"")),IF(OR(CM44="",CN44="",CO44=""),"",IF(AND(CM44&gt;=2000,CM44&lt;=2099,CN44&gt;=1,CN44&lt;=12,CO44&gt;=1,CO44&lt;=31),IF(MONTH(DATE(CM44,CN44,CO44))=CN44,DATE(CM44,CN44,CO44),""),"")))),"")</f>
        <v/>
      </c>
      <c r="CJ44">
        <f>IFERROR(IF('월 가계부'!C44="","",IF(ISNUMBER('월 가계부'!C44),'월 가계부'!C44,VALUE(SUBSTITUTE(SUBSTITUTE(SUBSTITUTE(SUBSTITUTE(TRIM('월 가계부'!C44),",",""),"원","")," ",""),"−","-")))),"")</f>
        <v/>
      </c>
      <c r="CK44">
        <f>IF(ISNUMBER(CI44),IF(CI44&lt;$B$13,CI44,""),"")</f>
        <v/>
      </c>
      <c r="CM44">
        <f>IF(CH44="","",IFERROR(IF(IF(AND(LEN(CH44)=9,ISERROR(FIND("-",LEFT(CH44,8))),ISNUMBER(-LEFT(CH44,8))),VALUE(LEFT(CH44,4)),VALUE(LEFT(CH44,FIND("-",CH44)-1)))&lt;100,IF(AND(LEN(CH44)=9,ISERROR(FIND("-",LEFT(CH44,8))),ISNUMBER(-LEFT(CH44,8))),VALUE(LEFT(CH44,4)),VALUE(LEFT(CH44,FIND("-",CH44)-1)))+2000,IF(AND(LEN(CH44)=9,ISERROR(FIND("-",LEFT(CH44,8))),ISNUMBER(-LEFT(CH44,8))),VALUE(LEFT(CH44,4)),VALUE(LEFT(CH44,FIND("-",CH44)-1)))),""))</f>
        <v/>
      </c>
      <c r="CN44">
        <f>IF(CH44="","",IFERROR(IF(AND(LEN(CH44)=9,ISERROR(FIND("-",LEFT(CH44,8))),ISNUMBER(-LEFT(CH44,8))),VALUE(MID(CH44,5,2)),VALUE(MID(CH44,FIND("-",CH44)+1,FIND("-",CH44,FIND("-",CH44)+1)-FIND("-",CH44)-1))),""))</f>
        <v/>
      </c>
      <c r="CO44">
        <f>IF(CH44="","",IFERROR(IF(AND(LEN(CH44)=9,ISERROR(FIND("-",LEFT(CH44,8))),ISNUMBER(-LEFT(CH44,8))),VALUE(MID(CH44,7,2)),VALUE(MID(CH44,FIND("-",CH44,FIND("-",CH44)+1)+1,FIND("-",CH44,FIND("-",CH44,FIND("-",CH44)+1)+1)-FIND("-",CH44,FIND("-",CH44)+1)-1))),""))</f>
        <v/>
      </c>
    </row>
    <row r="45">
      <c r="A45" t="n">
        <v>5</v>
      </c>
      <c r="B45">
        <f>$B$1+5</f>
        <v/>
      </c>
      <c r="C45">
        <f>$B$2</f>
        <v/>
      </c>
      <c r="D45">
        <f>IF($B$1+1&gt;90,C45,(C45+IF($B$1+1&lt;=$B45,12*$B$7,-12*MAX(0,$B$6-IF($B$1+1&gt;=$B$23,$B$22,0))*(1+$B$4)^1))*IF(C45+IF($B$1+1&lt;=$B45,12*$B$7,-12*MAX(0,$B$6-IF($B$1+1&gt;=$B$23,$B$22,0))*(1+$B$4)^1)&gt;0,1+$B$3,1))</f>
        <v/>
      </c>
      <c r="E45">
        <f>IF($B$1+2&gt;90,D45,(D45+IF($B$1+2&lt;=$B45,12*$B$7,-12*MAX(0,$B$6-IF($B$1+2&gt;=$B$23,$B$22,0))*(1+$B$4)^2))*IF(D45+IF($B$1+2&lt;=$B45,12*$B$7,-12*MAX(0,$B$6-IF($B$1+2&gt;=$B$23,$B$22,0))*(1+$B$4)^2)&gt;0,1+$B$3,1))</f>
        <v/>
      </c>
      <c r="F45">
        <f>IF($B$1+3&gt;90,E45,(E45+IF($B$1+3&lt;=$B45,12*$B$7,-12*MAX(0,$B$6-IF($B$1+3&gt;=$B$23,$B$22,0))*(1+$B$4)^3))*IF(E45+IF($B$1+3&lt;=$B45,12*$B$7,-12*MAX(0,$B$6-IF($B$1+3&gt;=$B$23,$B$22,0))*(1+$B$4)^3)&gt;0,1+$B$3,1))</f>
        <v/>
      </c>
      <c r="G45">
        <f>IF($B$1+4&gt;90,F45,(F45+IF($B$1+4&lt;=$B45,12*$B$7,-12*MAX(0,$B$6-IF($B$1+4&gt;=$B$23,$B$22,0))*(1+$B$4)^4))*IF(F45+IF($B$1+4&lt;=$B45,12*$B$7,-12*MAX(0,$B$6-IF($B$1+4&gt;=$B$23,$B$22,0))*(1+$B$4)^4)&gt;0,1+$B$3,1))</f>
        <v/>
      </c>
      <c r="H45">
        <f>IF($B$1+5&gt;90,G45,(G45+IF($B$1+5&lt;=$B45,12*$B$7,-12*MAX(0,$B$6-IF($B$1+5&gt;=$B$23,$B$22,0))*(1+$B$4)^5))*IF(G45+IF($B$1+5&lt;=$B45,12*$B$7,-12*MAX(0,$B$6-IF($B$1+5&gt;=$B$23,$B$22,0))*(1+$B$4)^5)&gt;0,1+$B$3,1))</f>
        <v/>
      </c>
      <c r="I45">
        <f>IF($B$1+6&gt;90,H45,(H45+IF($B$1+6&lt;=$B45,12*$B$7,-12*MAX(0,$B$6-IF($B$1+6&gt;=$B$23,$B$22,0))*(1+$B$4)^6))*IF(H45+IF($B$1+6&lt;=$B45,12*$B$7,-12*MAX(0,$B$6-IF($B$1+6&gt;=$B$23,$B$22,0))*(1+$B$4)^6)&gt;0,1+$B$3,1))</f>
        <v/>
      </c>
      <c r="J45">
        <f>IF($B$1+7&gt;90,I45,(I45+IF($B$1+7&lt;=$B45,12*$B$7,-12*MAX(0,$B$6-IF($B$1+7&gt;=$B$23,$B$22,0))*(1+$B$4)^7))*IF(I45+IF($B$1+7&lt;=$B45,12*$B$7,-12*MAX(0,$B$6-IF($B$1+7&gt;=$B$23,$B$22,0))*(1+$B$4)^7)&gt;0,1+$B$3,1))</f>
        <v/>
      </c>
      <c r="K45">
        <f>IF($B$1+8&gt;90,J45,(J45+IF($B$1+8&lt;=$B45,12*$B$7,-12*MAX(0,$B$6-IF($B$1+8&gt;=$B$23,$B$22,0))*(1+$B$4)^8))*IF(J45+IF($B$1+8&lt;=$B45,12*$B$7,-12*MAX(0,$B$6-IF($B$1+8&gt;=$B$23,$B$22,0))*(1+$B$4)^8)&gt;0,1+$B$3,1))</f>
        <v/>
      </c>
      <c r="L45">
        <f>IF($B$1+9&gt;90,K45,(K45+IF($B$1+9&lt;=$B45,12*$B$7,-12*MAX(0,$B$6-IF($B$1+9&gt;=$B$23,$B$22,0))*(1+$B$4)^9))*IF(K45+IF($B$1+9&lt;=$B45,12*$B$7,-12*MAX(0,$B$6-IF($B$1+9&gt;=$B$23,$B$22,0))*(1+$B$4)^9)&gt;0,1+$B$3,1))</f>
        <v/>
      </c>
      <c r="M45">
        <f>IF($B$1+10&gt;90,L45,(L45+IF($B$1+10&lt;=$B45,12*$B$7,-12*MAX(0,$B$6-IF($B$1+10&gt;=$B$23,$B$22,0))*(1+$B$4)^10))*IF(L45+IF($B$1+10&lt;=$B45,12*$B$7,-12*MAX(0,$B$6-IF($B$1+10&gt;=$B$23,$B$22,0))*(1+$B$4)^10)&gt;0,1+$B$3,1))</f>
        <v/>
      </c>
      <c r="N45">
        <f>IF($B$1+11&gt;90,M45,(M45+IF($B$1+11&lt;=$B45,12*$B$7,-12*MAX(0,$B$6-IF($B$1+11&gt;=$B$23,$B$22,0))*(1+$B$4)^11))*IF(M45+IF($B$1+11&lt;=$B45,12*$B$7,-12*MAX(0,$B$6-IF($B$1+11&gt;=$B$23,$B$22,0))*(1+$B$4)^11)&gt;0,1+$B$3,1))</f>
        <v/>
      </c>
      <c r="O45">
        <f>IF($B$1+12&gt;90,N45,(N45+IF($B$1+12&lt;=$B45,12*$B$7,-12*MAX(0,$B$6-IF($B$1+12&gt;=$B$23,$B$22,0))*(1+$B$4)^12))*IF(N45+IF($B$1+12&lt;=$B45,12*$B$7,-12*MAX(0,$B$6-IF($B$1+12&gt;=$B$23,$B$22,0))*(1+$B$4)^12)&gt;0,1+$B$3,1))</f>
        <v/>
      </c>
      <c r="P45">
        <f>IF($B$1+13&gt;90,O45,(O45+IF($B$1+13&lt;=$B45,12*$B$7,-12*MAX(0,$B$6-IF($B$1+13&gt;=$B$23,$B$22,0))*(1+$B$4)^13))*IF(O45+IF($B$1+13&lt;=$B45,12*$B$7,-12*MAX(0,$B$6-IF($B$1+13&gt;=$B$23,$B$22,0))*(1+$B$4)^13)&gt;0,1+$B$3,1))</f>
        <v/>
      </c>
      <c r="Q45">
        <f>IF($B$1+14&gt;90,P45,(P45+IF($B$1+14&lt;=$B45,12*$B$7,-12*MAX(0,$B$6-IF($B$1+14&gt;=$B$23,$B$22,0))*(1+$B$4)^14))*IF(P45+IF($B$1+14&lt;=$B45,12*$B$7,-12*MAX(0,$B$6-IF($B$1+14&gt;=$B$23,$B$22,0))*(1+$B$4)^14)&gt;0,1+$B$3,1))</f>
        <v/>
      </c>
      <c r="R45">
        <f>IF($B$1+15&gt;90,Q45,(Q45+IF($B$1+15&lt;=$B45,12*$B$7,-12*MAX(0,$B$6-IF($B$1+15&gt;=$B$23,$B$22,0))*(1+$B$4)^15))*IF(Q45+IF($B$1+15&lt;=$B45,12*$B$7,-12*MAX(0,$B$6-IF($B$1+15&gt;=$B$23,$B$22,0))*(1+$B$4)^15)&gt;0,1+$B$3,1))</f>
        <v/>
      </c>
      <c r="S45">
        <f>IF($B$1+16&gt;90,R45,(R45+IF($B$1+16&lt;=$B45,12*$B$7,-12*MAX(0,$B$6-IF($B$1+16&gt;=$B$23,$B$22,0))*(1+$B$4)^16))*IF(R45+IF($B$1+16&lt;=$B45,12*$B$7,-12*MAX(0,$B$6-IF($B$1+16&gt;=$B$23,$B$22,0))*(1+$B$4)^16)&gt;0,1+$B$3,1))</f>
        <v/>
      </c>
      <c r="T45">
        <f>IF($B$1+17&gt;90,S45,(S45+IF($B$1+17&lt;=$B45,12*$B$7,-12*MAX(0,$B$6-IF($B$1+17&gt;=$B$23,$B$22,0))*(1+$B$4)^17))*IF(S45+IF($B$1+17&lt;=$B45,12*$B$7,-12*MAX(0,$B$6-IF($B$1+17&gt;=$B$23,$B$22,0))*(1+$B$4)^17)&gt;0,1+$B$3,1))</f>
        <v/>
      </c>
      <c r="U45">
        <f>IF($B$1+18&gt;90,T45,(T45+IF($B$1+18&lt;=$B45,12*$B$7,-12*MAX(0,$B$6-IF($B$1+18&gt;=$B$23,$B$22,0))*(1+$B$4)^18))*IF(T45+IF($B$1+18&lt;=$B45,12*$B$7,-12*MAX(0,$B$6-IF($B$1+18&gt;=$B$23,$B$22,0))*(1+$B$4)^18)&gt;0,1+$B$3,1))</f>
        <v/>
      </c>
      <c r="V45">
        <f>IF($B$1+19&gt;90,U45,(U45+IF($B$1+19&lt;=$B45,12*$B$7,-12*MAX(0,$B$6-IF($B$1+19&gt;=$B$23,$B$22,0))*(1+$B$4)^19))*IF(U45+IF($B$1+19&lt;=$B45,12*$B$7,-12*MAX(0,$B$6-IF($B$1+19&gt;=$B$23,$B$22,0))*(1+$B$4)^19)&gt;0,1+$B$3,1))</f>
        <v/>
      </c>
      <c r="W45">
        <f>IF($B$1+20&gt;90,V45,(V45+IF($B$1+20&lt;=$B45,12*$B$7,-12*MAX(0,$B$6-IF($B$1+20&gt;=$B$23,$B$22,0))*(1+$B$4)^20))*IF(V45+IF($B$1+20&lt;=$B45,12*$B$7,-12*MAX(0,$B$6-IF($B$1+20&gt;=$B$23,$B$22,0))*(1+$B$4)^20)&gt;0,1+$B$3,1))</f>
        <v/>
      </c>
      <c r="X45">
        <f>IF($B$1+21&gt;90,W45,(W45+IF($B$1+21&lt;=$B45,12*$B$7,-12*MAX(0,$B$6-IF($B$1+21&gt;=$B$23,$B$22,0))*(1+$B$4)^21))*IF(W45+IF($B$1+21&lt;=$B45,12*$B$7,-12*MAX(0,$B$6-IF($B$1+21&gt;=$B$23,$B$22,0))*(1+$B$4)^21)&gt;0,1+$B$3,1))</f>
        <v/>
      </c>
      <c r="Y45">
        <f>IF($B$1+22&gt;90,X45,(X45+IF($B$1+22&lt;=$B45,12*$B$7,-12*MAX(0,$B$6-IF($B$1+22&gt;=$B$23,$B$22,0))*(1+$B$4)^22))*IF(X45+IF($B$1+22&lt;=$B45,12*$B$7,-12*MAX(0,$B$6-IF($B$1+22&gt;=$B$23,$B$22,0))*(1+$B$4)^22)&gt;0,1+$B$3,1))</f>
        <v/>
      </c>
      <c r="Z45">
        <f>IF($B$1+23&gt;90,Y45,(Y45+IF($B$1+23&lt;=$B45,12*$B$7,-12*MAX(0,$B$6-IF($B$1+23&gt;=$B$23,$B$22,0))*(1+$B$4)^23))*IF(Y45+IF($B$1+23&lt;=$B45,12*$B$7,-12*MAX(0,$B$6-IF($B$1+23&gt;=$B$23,$B$22,0))*(1+$B$4)^23)&gt;0,1+$B$3,1))</f>
        <v/>
      </c>
      <c r="AA45">
        <f>IF($B$1+24&gt;90,Z45,(Z45+IF($B$1+24&lt;=$B45,12*$B$7,-12*MAX(0,$B$6-IF($B$1+24&gt;=$B$23,$B$22,0))*(1+$B$4)^24))*IF(Z45+IF($B$1+24&lt;=$B45,12*$B$7,-12*MAX(0,$B$6-IF($B$1+24&gt;=$B$23,$B$22,0))*(1+$B$4)^24)&gt;0,1+$B$3,1))</f>
        <v/>
      </c>
      <c r="AB45">
        <f>IF($B$1+25&gt;90,AA45,(AA45+IF($B$1+25&lt;=$B45,12*$B$7,-12*MAX(0,$B$6-IF($B$1+25&gt;=$B$23,$B$22,0))*(1+$B$4)^25))*IF(AA45+IF($B$1+25&lt;=$B45,12*$B$7,-12*MAX(0,$B$6-IF($B$1+25&gt;=$B$23,$B$22,0))*(1+$B$4)^25)&gt;0,1+$B$3,1))</f>
        <v/>
      </c>
      <c r="AC45">
        <f>IF($B$1+26&gt;90,AB45,(AB45+IF($B$1+26&lt;=$B45,12*$B$7,-12*MAX(0,$B$6-IF($B$1+26&gt;=$B$23,$B$22,0))*(1+$B$4)^26))*IF(AB45+IF($B$1+26&lt;=$B45,12*$B$7,-12*MAX(0,$B$6-IF($B$1+26&gt;=$B$23,$B$22,0))*(1+$B$4)^26)&gt;0,1+$B$3,1))</f>
        <v/>
      </c>
      <c r="AD45">
        <f>IF($B$1+27&gt;90,AC45,(AC45+IF($B$1+27&lt;=$B45,12*$B$7,-12*MAX(0,$B$6-IF($B$1+27&gt;=$B$23,$B$22,0))*(1+$B$4)^27))*IF(AC45+IF($B$1+27&lt;=$B45,12*$B$7,-12*MAX(0,$B$6-IF($B$1+27&gt;=$B$23,$B$22,0))*(1+$B$4)^27)&gt;0,1+$B$3,1))</f>
        <v/>
      </c>
      <c r="AE45">
        <f>IF($B$1+28&gt;90,AD45,(AD45+IF($B$1+28&lt;=$B45,12*$B$7,-12*MAX(0,$B$6-IF($B$1+28&gt;=$B$23,$B$22,0))*(1+$B$4)^28))*IF(AD45+IF($B$1+28&lt;=$B45,12*$B$7,-12*MAX(0,$B$6-IF($B$1+28&gt;=$B$23,$B$22,0))*(1+$B$4)^28)&gt;0,1+$B$3,1))</f>
        <v/>
      </c>
      <c r="AF45">
        <f>IF($B$1+29&gt;90,AE45,(AE45+IF($B$1+29&lt;=$B45,12*$B$7,-12*MAX(0,$B$6-IF($B$1+29&gt;=$B$23,$B$22,0))*(1+$B$4)^29))*IF(AE45+IF($B$1+29&lt;=$B45,12*$B$7,-12*MAX(0,$B$6-IF($B$1+29&gt;=$B$23,$B$22,0))*(1+$B$4)^29)&gt;0,1+$B$3,1))</f>
        <v/>
      </c>
      <c r="AG45">
        <f>IF($B$1+30&gt;90,AF45,(AF45+IF($B$1+30&lt;=$B45,12*$B$7,-12*MAX(0,$B$6-IF($B$1+30&gt;=$B$23,$B$22,0))*(1+$B$4)^30))*IF(AF45+IF($B$1+30&lt;=$B45,12*$B$7,-12*MAX(0,$B$6-IF($B$1+30&gt;=$B$23,$B$22,0))*(1+$B$4)^30)&gt;0,1+$B$3,1))</f>
        <v/>
      </c>
      <c r="AH45">
        <f>IF($B$1+31&gt;90,AG45,(AG45+IF($B$1+31&lt;=$B45,12*$B$7,-12*MAX(0,$B$6-IF($B$1+31&gt;=$B$23,$B$22,0))*(1+$B$4)^31))*IF(AG45+IF($B$1+31&lt;=$B45,12*$B$7,-12*MAX(0,$B$6-IF($B$1+31&gt;=$B$23,$B$22,0))*(1+$B$4)^31)&gt;0,1+$B$3,1))</f>
        <v/>
      </c>
      <c r="AI45">
        <f>IF($B$1+32&gt;90,AH45,(AH45+IF($B$1+32&lt;=$B45,12*$B$7,-12*MAX(0,$B$6-IF($B$1+32&gt;=$B$23,$B$22,0))*(1+$B$4)^32))*IF(AH45+IF($B$1+32&lt;=$B45,12*$B$7,-12*MAX(0,$B$6-IF($B$1+32&gt;=$B$23,$B$22,0))*(1+$B$4)^32)&gt;0,1+$B$3,1))</f>
        <v/>
      </c>
      <c r="AJ45">
        <f>IF($B$1+33&gt;90,AI45,(AI45+IF($B$1+33&lt;=$B45,12*$B$7,-12*MAX(0,$B$6-IF($B$1+33&gt;=$B$23,$B$22,0))*(1+$B$4)^33))*IF(AI45+IF($B$1+33&lt;=$B45,12*$B$7,-12*MAX(0,$B$6-IF($B$1+33&gt;=$B$23,$B$22,0))*(1+$B$4)^33)&gt;0,1+$B$3,1))</f>
        <v/>
      </c>
      <c r="AK45">
        <f>IF($B$1+34&gt;90,AJ45,(AJ45+IF($B$1+34&lt;=$B45,12*$B$7,-12*MAX(0,$B$6-IF($B$1+34&gt;=$B$23,$B$22,0))*(1+$B$4)^34))*IF(AJ45+IF($B$1+34&lt;=$B45,12*$B$7,-12*MAX(0,$B$6-IF($B$1+34&gt;=$B$23,$B$22,0))*(1+$B$4)^34)&gt;0,1+$B$3,1))</f>
        <v/>
      </c>
      <c r="AL45">
        <f>IF($B$1+35&gt;90,AK45,(AK45+IF($B$1+35&lt;=$B45,12*$B$7,-12*MAX(0,$B$6-IF($B$1+35&gt;=$B$23,$B$22,0))*(1+$B$4)^35))*IF(AK45+IF($B$1+35&lt;=$B45,12*$B$7,-12*MAX(0,$B$6-IF($B$1+35&gt;=$B$23,$B$22,0))*(1+$B$4)^35)&gt;0,1+$B$3,1))</f>
        <v/>
      </c>
      <c r="AM45">
        <f>IF($B$1+36&gt;90,AL45,(AL45+IF($B$1+36&lt;=$B45,12*$B$7,-12*MAX(0,$B$6-IF($B$1+36&gt;=$B$23,$B$22,0))*(1+$B$4)^36))*IF(AL45+IF($B$1+36&lt;=$B45,12*$B$7,-12*MAX(0,$B$6-IF($B$1+36&gt;=$B$23,$B$22,0))*(1+$B$4)^36)&gt;0,1+$B$3,1))</f>
        <v/>
      </c>
      <c r="AN45">
        <f>IF($B$1+37&gt;90,AM45,(AM45+IF($B$1+37&lt;=$B45,12*$B$7,-12*MAX(0,$B$6-IF($B$1+37&gt;=$B$23,$B$22,0))*(1+$B$4)^37))*IF(AM45+IF($B$1+37&lt;=$B45,12*$B$7,-12*MAX(0,$B$6-IF($B$1+37&gt;=$B$23,$B$22,0))*(1+$B$4)^37)&gt;0,1+$B$3,1))</f>
        <v/>
      </c>
      <c r="AO45">
        <f>IF($B$1+38&gt;90,AN45,(AN45+IF($B$1+38&lt;=$B45,12*$B$7,-12*MAX(0,$B$6-IF($B$1+38&gt;=$B$23,$B$22,0))*(1+$B$4)^38))*IF(AN45+IF($B$1+38&lt;=$B45,12*$B$7,-12*MAX(0,$B$6-IF($B$1+38&gt;=$B$23,$B$22,0))*(1+$B$4)^38)&gt;0,1+$B$3,1))</f>
        <v/>
      </c>
      <c r="AP45">
        <f>IF($B$1+39&gt;90,AO45,(AO45+IF($B$1+39&lt;=$B45,12*$B$7,-12*MAX(0,$B$6-IF($B$1+39&gt;=$B$23,$B$22,0))*(1+$B$4)^39))*IF(AO45+IF($B$1+39&lt;=$B45,12*$B$7,-12*MAX(0,$B$6-IF($B$1+39&gt;=$B$23,$B$22,0))*(1+$B$4)^39)&gt;0,1+$B$3,1))</f>
        <v/>
      </c>
      <c r="AQ45">
        <f>IF($B$1+40&gt;90,AP45,(AP45+IF($B$1+40&lt;=$B45,12*$B$7,-12*MAX(0,$B$6-IF($B$1+40&gt;=$B$23,$B$22,0))*(1+$B$4)^40))*IF(AP45+IF($B$1+40&lt;=$B45,12*$B$7,-12*MAX(0,$B$6-IF($B$1+40&gt;=$B$23,$B$22,0))*(1+$B$4)^40)&gt;0,1+$B$3,1))</f>
        <v/>
      </c>
      <c r="AR45">
        <f>IF($B$1+41&gt;90,AQ45,(AQ45+IF($B$1+41&lt;=$B45,12*$B$7,-12*MAX(0,$B$6-IF($B$1+41&gt;=$B$23,$B$22,0))*(1+$B$4)^41))*IF(AQ45+IF($B$1+41&lt;=$B45,12*$B$7,-12*MAX(0,$B$6-IF($B$1+41&gt;=$B$23,$B$22,0))*(1+$B$4)^41)&gt;0,1+$B$3,1))</f>
        <v/>
      </c>
      <c r="AS45">
        <f>IF($B$1+42&gt;90,AR45,(AR45+IF($B$1+42&lt;=$B45,12*$B$7,-12*MAX(0,$B$6-IF($B$1+42&gt;=$B$23,$B$22,0))*(1+$B$4)^42))*IF(AR45+IF($B$1+42&lt;=$B45,12*$B$7,-12*MAX(0,$B$6-IF($B$1+42&gt;=$B$23,$B$22,0))*(1+$B$4)^42)&gt;0,1+$B$3,1))</f>
        <v/>
      </c>
      <c r="AT45">
        <f>IF($B$1+43&gt;90,AS45,(AS45+IF($B$1+43&lt;=$B45,12*$B$7,-12*MAX(0,$B$6-IF($B$1+43&gt;=$B$23,$B$22,0))*(1+$B$4)^43))*IF(AS45+IF($B$1+43&lt;=$B45,12*$B$7,-12*MAX(0,$B$6-IF($B$1+43&gt;=$B$23,$B$22,0))*(1+$B$4)^43)&gt;0,1+$B$3,1))</f>
        <v/>
      </c>
      <c r="AU45">
        <f>IF($B$1+44&gt;90,AT45,(AT45+IF($B$1+44&lt;=$B45,12*$B$7,-12*MAX(0,$B$6-IF($B$1+44&gt;=$B$23,$B$22,0))*(1+$B$4)^44))*IF(AT45+IF($B$1+44&lt;=$B45,12*$B$7,-12*MAX(0,$B$6-IF($B$1+44&gt;=$B$23,$B$22,0))*(1+$B$4)^44)&gt;0,1+$B$3,1))</f>
        <v/>
      </c>
      <c r="AV45">
        <f>IF($B$1+45&gt;90,AU45,(AU45+IF($B$1+45&lt;=$B45,12*$B$7,-12*MAX(0,$B$6-IF($B$1+45&gt;=$B$23,$B$22,0))*(1+$B$4)^45))*IF(AU45+IF($B$1+45&lt;=$B45,12*$B$7,-12*MAX(0,$B$6-IF($B$1+45&gt;=$B$23,$B$22,0))*(1+$B$4)^45)&gt;0,1+$B$3,1))</f>
        <v/>
      </c>
      <c r="AW45">
        <f>IF($B$1+46&gt;90,AV45,(AV45+IF($B$1+46&lt;=$B45,12*$B$7,-12*MAX(0,$B$6-IF($B$1+46&gt;=$B$23,$B$22,0))*(1+$B$4)^46))*IF(AV45+IF($B$1+46&lt;=$B45,12*$B$7,-12*MAX(0,$B$6-IF($B$1+46&gt;=$B$23,$B$22,0))*(1+$B$4)^46)&gt;0,1+$B$3,1))</f>
        <v/>
      </c>
      <c r="AX45">
        <f>IF($B$1+47&gt;90,AW45,(AW45+IF($B$1+47&lt;=$B45,12*$B$7,-12*MAX(0,$B$6-IF($B$1+47&gt;=$B$23,$B$22,0))*(1+$B$4)^47))*IF(AW45+IF($B$1+47&lt;=$B45,12*$B$7,-12*MAX(0,$B$6-IF($B$1+47&gt;=$B$23,$B$22,0))*(1+$B$4)^47)&gt;0,1+$B$3,1))</f>
        <v/>
      </c>
      <c r="AY45">
        <f>IF($B$1+48&gt;90,AX45,(AX45+IF($B$1+48&lt;=$B45,12*$B$7,-12*MAX(0,$B$6-IF($B$1+48&gt;=$B$23,$B$22,0))*(1+$B$4)^48))*IF(AX45+IF($B$1+48&lt;=$B45,12*$B$7,-12*MAX(0,$B$6-IF($B$1+48&gt;=$B$23,$B$22,0))*(1+$B$4)^48)&gt;0,1+$B$3,1))</f>
        <v/>
      </c>
      <c r="AZ45">
        <f>IF($B$1+49&gt;90,AY45,(AY45+IF($B$1+49&lt;=$B45,12*$B$7,-12*MAX(0,$B$6-IF($B$1+49&gt;=$B$23,$B$22,0))*(1+$B$4)^49))*IF(AY45+IF($B$1+49&lt;=$B45,12*$B$7,-12*MAX(0,$B$6-IF($B$1+49&gt;=$B$23,$B$22,0))*(1+$B$4)^49)&gt;0,1+$B$3,1))</f>
        <v/>
      </c>
      <c r="BA45">
        <f>IF($B$1+50&gt;90,AZ45,(AZ45+IF($B$1+50&lt;=$B45,12*$B$7,-12*MAX(0,$B$6-IF($B$1+50&gt;=$B$23,$B$22,0))*(1+$B$4)^50))*IF(AZ45+IF($B$1+50&lt;=$B45,12*$B$7,-12*MAX(0,$B$6-IF($B$1+50&gt;=$B$23,$B$22,0))*(1+$B$4)^50)&gt;0,1+$B$3,1))</f>
        <v/>
      </c>
      <c r="BB45">
        <f>IF($B$1+51&gt;90,BA45,(BA45+IF($B$1+51&lt;=$B45,12*$B$7,-12*MAX(0,$B$6-IF($B$1+51&gt;=$B$23,$B$22,0))*(1+$B$4)^51))*IF(BA45+IF($B$1+51&lt;=$B45,12*$B$7,-12*MAX(0,$B$6-IF($B$1+51&gt;=$B$23,$B$22,0))*(1+$B$4)^51)&gt;0,1+$B$3,1))</f>
        <v/>
      </c>
      <c r="BC45">
        <f>IF($B$1+52&gt;90,BB45,(BB45+IF($B$1+52&lt;=$B45,12*$B$7,-12*MAX(0,$B$6-IF($B$1+52&gt;=$B$23,$B$22,0))*(1+$B$4)^52))*IF(BB45+IF($B$1+52&lt;=$B45,12*$B$7,-12*MAX(0,$B$6-IF($B$1+52&gt;=$B$23,$B$22,0))*(1+$B$4)^52)&gt;0,1+$B$3,1))</f>
        <v/>
      </c>
      <c r="BD45">
        <f>IF($B$1+53&gt;90,BC45,(BC45+IF($B$1+53&lt;=$B45,12*$B$7,-12*MAX(0,$B$6-IF($B$1+53&gt;=$B$23,$B$22,0))*(1+$B$4)^53))*IF(BC45+IF($B$1+53&lt;=$B45,12*$B$7,-12*MAX(0,$B$6-IF($B$1+53&gt;=$B$23,$B$22,0))*(1+$B$4)^53)&gt;0,1+$B$3,1))</f>
        <v/>
      </c>
      <c r="BE45">
        <f>IF($B$1+54&gt;90,BD45,(BD45+IF($B$1+54&lt;=$B45,12*$B$7,-12*MAX(0,$B$6-IF($B$1+54&gt;=$B$23,$B$22,0))*(1+$B$4)^54))*IF(BD45+IF($B$1+54&lt;=$B45,12*$B$7,-12*MAX(0,$B$6-IF($B$1+54&gt;=$B$23,$B$22,0))*(1+$B$4)^54)&gt;0,1+$B$3,1))</f>
        <v/>
      </c>
      <c r="BF45">
        <f>IF($B$1+55&gt;90,BE45,(BE45+IF($B$1+55&lt;=$B45,12*$B$7,-12*MAX(0,$B$6-IF($B$1+55&gt;=$B$23,$B$22,0))*(1+$B$4)^55))*IF(BE45+IF($B$1+55&lt;=$B45,12*$B$7,-12*MAX(0,$B$6-IF($B$1+55&gt;=$B$23,$B$22,0))*(1+$B$4)^55)&gt;0,1+$B$3,1))</f>
        <v/>
      </c>
      <c r="BG45">
        <f>IF($B$1+56&gt;90,BF45,(BF45+IF($B$1+56&lt;=$B45,12*$B$7,-12*MAX(0,$B$6-IF($B$1+56&gt;=$B$23,$B$22,0))*(1+$B$4)^56))*IF(BF45+IF($B$1+56&lt;=$B45,12*$B$7,-12*MAX(0,$B$6-IF($B$1+56&gt;=$B$23,$B$22,0))*(1+$B$4)^56)&gt;0,1+$B$3,1))</f>
        <v/>
      </c>
      <c r="BH45">
        <f>IF($B$1+57&gt;90,BG45,(BG45+IF($B$1+57&lt;=$B45,12*$B$7,-12*MAX(0,$B$6-IF($B$1+57&gt;=$B$23,$B$22,0))*(1+$B$4)^57))*IF(BG45+IF($B$1+57&lt;=$B45,12*$B$7,-12*MAX(0,$B$6-IF($B$1+57&gt;=$B$23,$B$22,0))*(1+$B$4)^57)&gt;0,1+$B$3,1))</f>
        <v/>
      </c>
      <c r="BI45">
        <f>IF($B$1+58&gt;90,BH45,(BH45+IF($B$1+58&lt;=$B45,12*$B$7,-12*MAX(0,$B$6-IF($B$1+58&gt;=$B$23,$B$22,0))*(1+$B$4)^58))*IF(BH45+IF($B$1+58&lt;=$B45,12*$B$7,-12*MAX(0,$B$6-IF($B$1+58&gt;=$B$23,$B$22,0))*(1+$B$4)^58)&gt;0,1+$B$3,1))</f>
        <v/>
      </c>
      <c r="BJ45">
        <f>IF($B$1+59&gt;90,BI45,(BI45+IF($B$1+59&lt;=$B45,12*$B$7,-12*MAX(0,$B$6-IF($B$1+59&gt;=$B$23,$B$22,0))*(1+$B$4)^59))*IF(BI45+IF($B$1+59&lt;=$B45,12*$B$7,-12*MAX(0,$B$6-IF($B$1+59&gt;=$B$23,$B$22,0))*(1+$B$4)^59)&gt;0,1+$B$3,1))</f>
        <v/>
      </c>
      <c r="BK45">
        <f>IF($B$1+60&gt;90,BJ45,(BJ45+IF($B$1+60&lt;=$B45,12*$B$7,-12*MAX(0,$B$6-IF($B$1+60&gt;=$B$23,$B$22,0))*(1+$B$4)^60))*IF(BJ45+IF($B$1+60&lt;=$B45,12*$B$7,-12*MAX(0,$B$6-IF($B$1+60&gt;=$B$23,$B$22,0))*(1+$B$4)^60)&gt;0,1+$B$3,1))</f>
        <v/>
      </c>
      <c r="BL45">
        <f>IF($B$1+61&gt;90,BK45,(BK45+IF($B$1+61&lt;=$B45,12*$B$7,-12*MAX(0,$B$6-IF($B$1+61&gt;=$B$23,$B$22,0))*(1+$B$4)^61))*IF(BK45+IF($B$1+61&lt;=$B45,12*$B$7,-12*MAX(0,$B$6-IF($B$1+61&gt;=$B$23,$B$22,0))*(1+$B$4)^61)&gt;0,1+$B$3,1))</f>
        <v/>
      </c>
      <c r="BM45">
        <f>IF($B$1+62&gt;90,BL45,(BL45+IF($B$1+62&lt;=$B45,12*$B$7,-12*MAX(0,$B$6-IF($B$1+62&gt;=$B$23,$B$22,0))*(1+$B$4)^62))*IF(BL45+IF($B$1+62&lt;=$B45,12*$B$7,-12*MAX(0,$B$6-IF($B$1+62&gt;=$B$23,$B$22,0))*(1+$B$4)^62)&gt;0,1+$B$3,1))</f>
        <v/>
      </c>
      <c r="BN45">
        <f>IF($B$1+63&gt;90,BM45,(BM45+IF($B$1+63&lt;=$B45,12*$B$7,-12*MAX(0,$B$6-IF($B$1+63&gt;=$B$23,$B$22,0))*(1+$B$4)^63))*IF(BM45+IF($B$1+63&lt;=$B45,12*$B$7,-12*MAX(0,$B$6-IF($B$1+63&gt;=$B$23,$B$22,0))*(1+$B$4)^63)&gt;0,1+$B$3,1))</f>
        <v/>
      </c>
      <c r="BO45">
        <f>IF($B$1+64&gt;90,BN45,(BN45+IF($B$1+64&lt;=$B45,12*$B$7,-12*MAX(0,$B$6-IF($B$1+64&gt;=$B$23,$B$22,0))*(1+$B$4)^64))*IF(BN45+IF($B$1+64&lt;=$B45,12*$B$7,-12*MAX(0,$B$6-IF($B$1+64&gt;=$B$23,$B$22,0))*(1+$B$4)^64)&gt;0,1+$B$3,1))</f>
        <v/>
      </c>
      <c r="BP45">
        <f>IF($B$1+65&gt;90,BO45,(BO45+IF($B$1+65&lt;=$B45,12*$B$7,-12*MAX(0,$B$6-IF($B$1+65&gt;=$B$23,$B$22,0))*(1+$B$4)^65))*IF(BO45+IF($B$1+65&lt;=$B45,12*$B$7,-12*MAX(0,$B$6-IF($B$1+65&gt;=$B$23,$B$22,0))*(1+$B$4)^65)&gt;0,1+$B$3,1))</f>
        <v/>
      </c>
      <c r="BQ45">
        <f>IF($B$1+66&gt;90,BP45,(BP45+IF($B$1+66&lt;=$B45,12*$B$7,-12*MAX(0,$B$6-IF($B$1+66&gt;=$B$23,$B$22,0))*(1+$B$4)^66))*IF(BP45+IF($B$1+66&lt;=$B45,12*$B$7,-12*MAX(0,$B$6-IF($B$1+66&gt;=$B$23,$B$22,0))*(1+$B$4)^66)&gt;0,1+$B$3,1))</f>
        <v/>
      </c>
      <c r="BR45">
        <f>IF($B$1+67&gt;90,BQ45,(BQ45+IF($B$1+67&lt;=$B45,12*$B$7,-12*MAX(0,$B$6-IF($B$1+67&gt;=$B$23,$B$22,0))*(1+$B$4)^67))*IF(BQ45+IF($B$1+67&lt;=$B45,12*$B$7,-12*MAX(0,$B$6-IF($B$1+67&gt;=$B$23,$B$22,0))*(1+$B$4)^67)&gt;0,1+$B$3,1))</f>
        <v/>
      </c>
      <c r="BS45">
        <f>IF($B$1+68&gt;90,BR45,(BR45+IF($B$1+68&lt;=$B45,12*$B$7,-12*MAX(0,$B$6-IF($B$1+68&gt;=$B$23,$B$22,0))*(1+$B$4)^68))*IF(BR45+IF($B$1+68&lt;=$B45,12*$B$7,-12*MAX(0,$B$6-IF($B$1+68&gt;=$B$23,$B$22,0))*(1+$B$4)^68)&gt;0,1+$B$3,1))</f>
        <v/>
      </c>
      <c r="BT45">
        <f>IF($B$1+69&gt;90,BS45,(BS45+IF($B$1+69&lt;=$B45,12*$B$7,-12*MAX(0,$B$6-IF($B$1+69&gt;=$B$23,$B$22,0))*(1+$B$4)^69))*IF(BS45+IF($B$1+69&lt;=$B45,12*$B$7,-12*MAX(0,$B$6-IF($B$1+69&gt;=$B$23,$B$22,0))*(1+$B$4)^69)&gt;0,1+$B$3,1))</f>
        <v/>
      </c>
      <c r="BU45">
        <f>IF($B$1+70&gt;90,BT45,(BT45+IF($B$1+70&lt;=$B45,12*$B$7,-12*MAX(0,$B$6-IF($B$1+70&gt;=$B$23,$B$22,0))*(1+$B$4)^70))*IF(BT45+IF($B$1+70&lt;=$B45,12*$B$7,-12*MAX(0,$B$6-IF($B$1+70&gt;=$B$23,$B$22,0))*(1+$B$4)^70)&gt;0,1+$B$3,1))</f>
        <v/>
      </c>
      <c r="BV45">
        <f>BU45</f>
        <v/>
      </c>
      <c r="BW45">
        <f>IF(AND($B45&lt;=70,BV45&gt;0),$B45,999)</f>
        <v/>
      </c>
      <c r="CB45" t="n">
        <v>44</v>
      </c>
      <c r="CC45">
        <f>IF($B$1+CB45&gt;90,0,12*MAX(0,$B$6-IF($B$1+CB45&gt;=$B$23,$B$22,0))*(1+$B$4)^CB45/(1+$B$3)^(CB45-1))</f>
        <v/>
      </c>
      <c r="CE45">
        <f>IF($B$1+43&gt;90,NA(),$B$1+43)</f>
        <v/>
      </c>
      <c r="CF45">
        <f>IF(OR($B$21="",$B$1+43&gt;90),NA(),INDEX($C$40:$BU$90,$B$21-$B$1+1,44))</f>
        <v/>
      </c>
      <c r="CH45">
        <f>IF(ISTEXT('월 가계부'!A45),SUBSTITUTE(SUBSTITUTE(SUBSTITUTE(SUBSTITUTE(SUBSTITUTE(SUBSTITUTE(SUBSTITUTE(SUBSTITUTE(SUBSTITUTE(TRIM('월 가계부'!A45),"년","-"),"월","-"),"일",""),".","-"),"/","-")," ","-"),"--","-"),"--","-"),"--","-")&amp;"-","")</f>
        <v/>
      </c>
      <c r="CI45">
        <f>IFERROR(IF('월 가계부'!A45="","",IF(ISNUMBER('월 가계부'!A45),IF(AND('월 가계부'!A45&gt;=19000101,'월 가계부'!A45&lt;=21001231),IF(AND(MOD(INT('월 가계부'!A45/100),100)&gt;=1,MOD(INT('월 가계부'!A45/100),100)&lt;=12,MOD(INT('월 가계부'!A45),100)&gt;=1,MOD(INT('월 가계부'!A45),100)&lt;=31),IF(MONTH(DATE(INT('월 가계부'!A45/10000),MOD(INT('월 가계부'!A45/100),100),MOD(INT('월 가계부'!A45),100)))=MOD(INT('월 가계부'!A45/100),100),DATE(INT('월 가계부'!A45/10000),MOD(INT('월 가계부'!A45/100),100),MOD(INT('월 가계부'!A45),100)),""),""),IF(AND('월 가계부'!A45&gt;=36526,'월 가계부'!A45&lt;73051),INT('월 가계부'!A45),"")),IF(OR(CM45="",CN45="",CO45=""),"",IF(AND(CM45&gt;=2000,CM45&lt;=2099,CN45&gt;=1,CN45&lt;=12,CO45&gt;=1,CO45&lt;=31),IF(MONTH(DATE(CM45,CN45,CO45))=CN45,DATE(CM45,CN45,CO45),""),"")))),"")</f>
        <v/>
      </c>
      <c r="CJ45">
        <f>IFERROR(IF('월 가계부'!C45="","",IF(ISNUMBER('월 가계부'!C45),'월 가계부'!C45,VALUE(SUBSTITUTE(SUBSTITUTE(SUBSTITUTE(SUBSTITUTE(TRIM('월 가계부'!C45),",",""),"원","")," ",""),"−","-")))),"")</f>
        <v/>
      </c>
      <c r="CK45">
        <f>IF(ISNUMBER(CI45),IF(CI45&lt;$B$13,CI45,""),"")</f>
        <v/>
      </c>
      <c r="CM45">
        <f>IF(CH45="","",IFERROR(IF(IF(AND(LEN(CH45)=9,ISERROR(FIND("-",LEFT(CH45,8))),ISNUMBER(-LEFT(CH45,8))),VALUE(LEFT(CH45,4)),VALUE(LEFT(CH45,FIND("-",CH45)-1)))&lt;100,IF(AND(LEN(CH45)=9,ISERROR(FIND("-",LEFT(CH45,8))),ISNUMBER(-LEFT(CH45,8))),VALUE(LEFT(CH45,4)),VALUE(LEFT(CH45,FIND("-",CH45)-1)))+2000,IF(AND(LEN(CH45)=9,ISERROR(FIND("-",LEFT(CH45,8))),ISNUMBER(-LEFT(CH45,8))),VALUE(LEFT(CH45,4)),VALUE(LEFT(CH45,FIND("-",CH45)-1)))),""))</f>
        <v/>
      </c>
      <c r="CN45">
        <f>IF(CH45="","",IFERROR(IF(AND(LEN(CH45)=9,ISERROR(FIND("-",LEFT(CH45,8))),ISNUMBER(-LEFT(CH45,8))),VALUE(MID(CH45,5,2)),VALUE(MID(CH45,FIND("-",CH45)+1,FIND("-",CH45,FIND("-",CH45)+1)-FIND("-",CH45)-1))),""))</f>
        <v/>
      </c>
      <c r="CO45">
        <f>IF(CH45="","",IFERROR(IF(AND(LEN(CH45)=9,ISERROR(FIND("-",LEFT(CH45,8))),ISNUMBER(-LEFT(CH45,8))),VALUE(MID(CH45,7,2)),VALUE(MID(CH45,FIND("-",CH45,FIND("-",CH45)+1)+1,FIND("-",CH45,FIND("-",CH45,FIND("-",CH45)+1)+1)-FIND("-",CH45,FIND("-",CH45)+1)-1))),""))</f>
        <v/>
      </c>
    </row>
    <row r="46">
      <c r="A46" t="n">
        <v>6</v>
      </c>
      <c r="B46">
        <f>$B$1+6</f>
        <v/>
      </c>
      <c r="C46">
        <f>$B$2</f>
        <v/>
      </c>
      <c r="D46">
        <f>IF($B$1+1&gt;90,C46,(C46+IF($B$1+1&lt;=$B46,12*$B$7,-12*MAX(0,$B$6-IF($B$1+1&gt;=$B$23,$B$22,0))*(1+$B$4)^1))*IF(C46+IF($B$1+1&lt;=$B46,12*$B$7,-12*MAX(0,$B$6-IF($B$1+1&gt;=$B$23,$B$22,0))*(1+$B$4)^1)&gt;0,1+$B$3,1))</f>
        <v/>
      </c>
      <c r="E46">
        <f>IF($B$1+2&gt;90,D46,(D46+IF($B$1+2&lt;=$B46,12*$B$7,-12*MAX(0,$B$6-IF($B$1+2&gt;=$B$23,$B$22,0))*(1+$B$4)^2))*IF(D46+IF($B$1+2&lt;=$B46,12*$B$7,-12*MAX(0,$B$6-IF($B$1+2&gt;=$B$23,$B$22,0))*(1+$B$4)^2)&gt;0,1+$B$3,1))</f>
        <v/>
      </c>
      <c r="F46">
        <f>IF($B$1+3&gt;90,E46,(E46+IF($B$1+3&lt;=$B46,12*$B$7,-12*MAX(0,$B$6-IF($B$1+3&gt;=$B$23,$B$22,0))*(1+$B$4)^3))*IF(E46+IF($B$1+3&lt;=$B46,12*$B$7,-12*MAX(0,$B$6-IF($B$1+3&gt;=$B$23,$B$22,0))*(1+$B$4)^3)&gt;0,1+$B$3,1))</f>
        <v/>
      </c>
      <c r="G46">
        <f>IF($B$1+4&gt;90,F46,(F46+IF($B$1+4&lt;=$B46,12*$B$7,-12*MAX(0,$B$6-IF($B$1+4&gt;=$B$23,$B$22,0))*(1+$B$4)^4))*IF(F46+IF($B$1+4&lt;=$B46,12*$B$7,-12*MAX(0,$B$6-IF($B$1+4&gt;=$B$23,$B$22,0))*(1+$B$4)^4)&gt;0,1+$B$3,1))</f>
        <v/>
      </c>
      <c r="H46">
        <f>IF($B$1+5&gt;90,G46,(G46+IF($B$1+5&lt;=$B46,12*$B$7,-12*MAX(0,$B$6-IF($B$1+5&gt;=$B$23,$B$22,0))*(1+$B$4)^5))*IF(G46+IF($B$1+5&lt;=$B46,12*$B$7,-12*MAX(0,$B$6-IF($B$1+5&gt;=$B$23,$B$22,0))*(1+$B$4)^5)&gt;0,1+$B$3,1))</f>
        <v/>
      </c>
      <c r="I46">
        <f>IF($B$1+6&gt;90,H46,(H46+IF($B$1+6&lt;=$B46,12*$B$7,-12*MAX(0,$B$6-IF($B$1+6&gt;=$B$23,$B$22,0))*(1+$B$4)^6))*IF(H46+IF($B$1+6&lt;=$B46,12*$B$7,-12*MAX(0,$B$6-IF($B$1+6&gt;=$B$23,$B$22,0))*(1+$B$4)^6)&gt;0,1+$B$3,1))</f>
        <v/>
      </c>
      <c r="J46">
        <f>IF($B$1+7&gt;90,I46,(I46+IF($B$1+7&lt;=$B46,12*$B$7,-12*MAX(0,$B$6-IF($B$1+7&gt;=$B$23,$B$22,0))*(1+$B$4)^7))*IF(I46+IF($B$1+7&lt;=$B46,12*$B$7,-12*MAX(0,$B$6-IF($B$1+7&gt;=$B$23,$B$22,0))*(1+$B$4)^7)&gt;0,1+$B$3,1))</f>
        <v/>
      </c>
      <c r="K46">
        <f>IF($B$1+8&gt;90,J46,(J46+IF($B$1+8&lt;=$B46,12*$B$7,-12*MAX(0,$B$6-IF($B$1+8&gt;=$B$23,$B$22,0))*(1+$B$4)^8))*IF(J46+IF($B$1+8&lt;=$B46,12*$B$7,-12*MAX(0,$B$6-IF($B$1+8&gt;=$B$23,$B$22,0))*(1+$B$4)^8)&gt;0,1+$B$3,1))</f>
        <v/>
      </c>
      <c r="L46">
        <f>IF($B$1+9&gt;90,K46,(K46+IF($B$1+9&lt;=$B46,12*$B$7,-12*MAX(0,$B$6-IF($B$1+9&gt;=$B$23,$B$22,0))*(1+$B$4)^9))*IF(K46+IF($B$1+9&lt;=$B46,12*$B$7,-12*MAX(0,$B$6-IF($B$1+9&gt;=$B$23,$B$22,0))*(1+$B$4)^9)&gt;0,1+$B$3,1))</f>
        <v/>
      </c>
      <c r="M46">
        <f>IF($B$1+10&gt;90,L46,(L46+IF($B$1+10&lt;=$B46,12*$B$7,-12*MAX(0,$B$6-IF($B$1+10&gt;=$B$23,$B$22,0))*(1+$B$4)^10))*IF(L46+IF($B$1+10&lt;=$B46,12*$B$7,-12*MAX(0,$B$6-IF($B$1+10&gt;=$B$23,$B$22,0))*(1+$B$4)^10)&gt;0,1+$B$3,1))</f>
        <v/>
      </c>
      <c r="N46">
        <f>IF($B$1+11&gt;90,M46,(M46+IF($B$1+11&lt;=$B46,12*$B$7,-12*MAX(0,$B$6-IF($B$1+11&gt;=$B$23,$B$22,0))*(1+$B$4)^11))*IF(M46+IF($B$1+11&lt;=$B46,12*$B$7,-12*MAX(0,$B$6-IF($B$1+11&gt;=$B$23,$B$22,0))*(1+$B$4)^11)&gt;0,1+$B$3,1))</f>
        <v/>
      </c>
      <c r="O46">
        <f>IF($B$1+12&gt;90,N46,(N46+IF($B$1+12&lt;=$B46,12*$B$7,-12*MAX(0,$B$6-IF($B$1+12&gt;=$B$23,$B$22,0))*(1+$B$4)^12))*IF(N46+IF($B$1+12&lt;=$B46,12*$B$7,-12*MAX(0,$B$6-IF($B$1+12&gt;=$B$23,$B$22,0))*(1+$B$4)^12)&gt;0,1+$B$3,1))</f>
        <v/>
      </c>
      <c r="P46">
        <f>IF($B$1+13&gt;90,O46,(O46+IF($B$1+13&lt;=$B46,12*$B$7,-12*MAX(0,$B$6-IF($B$1+13&gt;=$B$23,$B$22,0))*(1+$B$4)^13))*IF(O46+IF($B$1+13&lt;=$B46,12*$B$7,-12*MAX(0,$B$6-IF($B$1+13&gt;=$B$23,$B$22,0))*(1+$B$4)^13)&gt;0,1+$B$3,1))</f>
        <v/>
      </c>
      <c r="Q46">
        <f>IF($B$1+14&gt;90,P46,(P46+IF($B$1+14&lt;=$B46,12*$B$7,-12*MAX(0,$B$6-IF($B$1+14&gt;=$B$23,$B$22,0))*(1+$B$4)^14))*IF(P46+IF($B$1+14&lt;=$B46,12*$B$7,-12*MAX(0,$B$6-IF($B$1+14&gt;=$B$23,$B$22,0))*(1+$B$4)^14)&gt;0,1+$B$3,1))</f>
        <v/>
      </c>
      <c r="R46">
        <f>IF($B$1+15&gt;90,Q46,(Q46+IF($B$1+15&lt;=$B46,12*$B$7,-12*MAX(0,$B$6-IF($B$1+15&gt;=$B$23,$B$22,0))*(1+$B$4)^15))*IF(Q46+IF($B$1+15&lt;=$B46,12*$B$7,-12*MAX(0,$B$6-IF($B$1+15&gt;=$B$23,$B$22,0))*(1+$B$4)^15)&gt;0,1+$B$3,1))</f>
        <v/>
      </c>
      <c r="S46">
        <f>IF($B$1+16&gt;90,R46,(R46+IF($B$1+16&lt;=$B46,12*$B$7,-12*MAX(0,$B$6-IF($B$1+16&gt;=$B$23,$B$22,0))*(1+$B$4)^16))*IF(R46+IF($B$1+16&lt;=$B46,12*$B$7,-12*MAX(0,$B$6-IF($B$1+16&gt;=$B$23,$B$22,0))*(1+$B$4)^16)&gt;0,1+$B$3,1))</f>
        <v/>
      </c>
      <c r="T46">
        <f>IF($B$1+17&gt;90,S46,(S46+IF($B$1+17&lt;=$B46,12*$B$7,-12*MAX(0,$B$6-IF($B$1+17&gt;=$B$23,$B$22,0))*(1+$B$4)^17))*IF(S46+IF($B$1+17&lt;=$B46,12*$B$7,-12*MAX(0,$B$6-IF($B$1+17&gt;=$B$23,$B$22,0))*(1+$B$4)^17)&gt;0,1+$B$3,1))</f>
        <v/>
      </c>
      <c r="U46">
        <f>IF($B$1+18&gt;90,T46,(T46+IF($B$1+18&lt;=$B46,12*$B$7,-12*MAX(0,$B$6-IF($B$1+18&gt;=$B$23,$B$22,0))*(1+$B$4)^18))*IF(T46+IF($B$1+18&lt;=$B46,12*$B$7,-12*MAX(0,$B$6-IF($B$1+18&gt;=$B$23,$B$22,0))*(1+$B$4)^18)&gt;0,1+$B$3,1))</f>
        <v/>
      </c>
      <c r="V46">
        <f>IF($B$1+19&gt;90,U46,(U46+IF($B$1+19&lt;=$B46,12*$B$7,-12*MAX(0,$B$6-IF($B$1+19&gt;=$B$23,$B$22,0))*(1+$B$4)^19))*IF(U46+IF($B$1+19&lt;=$B46,12*$B$7,-12*MAX(0,$B$6-IF($B$1+19&gt;=$B$23,$B$22,0))*(1+$B$4)^19)&gt;0,1+$B$3,1))</f>
        <v/>
      </c>
      <c r="W46">
        <f>IF($B$1+20&gt;90,V46,(V46+IF($B$1+20&lt;=$B46,12*$B$7,-12*MAX(0,$B$6-IF($B$1+20&gt;=$B$23,$B$22,0))*(1+$B$4)^20))*IF(V46+IF($B$1+20&lt;=$B46,12*$B$7,-12*MAX(0,$B$6-IF($B$1+20&gt;=$B$23,$B$22,0))*(1+$B$4)^20)&gt;0,1+$B$3,1))</f>
        <v/>
      </c>
      <c r="X46">
        <f>IF($B$1+21&gt;90,W46,(W46+IF($B$1+21&lt;=$B46,12*$B$7,-12*MAX(0,$B$6-IF($B$1+21&gt;=$B$23,$B$22,0))*(1+$B$4)^21))*IF(W46+IF($B$1+21&lt;=$B46,12*$B$7,-12*MAX(0,$B$6-IF($B$1+21&gt;=$B$23,$B$22,0))*(1+$B$4)^21)&gt;0,1+$B$3,1))</f>
        <v/>
      </c>
      <c r="Y46">
        <f>IF($B$1+22&gt;90,X46,(X46+IF($B$1+22&lt;=$B46,12*$B$7,-12*MAX(0,$B$6-IF($B$1+22&gt;=$B$23,$B$22,0))*(1+$B$4)^22))*IF(X46+IF($B$1+22&lt;=$B46,12*$B$7,-12*MAX(0,$B$6-IF($B$1+22&gt;=$B$23,$B$22,0))*(1+$B$4)^22)&gt;0,1+$B$3,1))</f>
        <v/>
      </c>
      <c r="Z46">
        <f>IF($B$1+23&gt;90,Y46,(Y46+IF($B$1+23&lt;=$B46,12*$B$7,-12*MAX(0,$B$6-IF($B$1+23&gt;=$B$23,$B$22,0))*(1+$B$4)^23))*IF(Y46+IF($B$1+23&lt;=$B46,12*$B$7,-12*MAX(0,$B$6-IF($B$1+23&gt;=$B$23,$B$22,0))*(1+$B$4)^23)&gt;0,1+$B$3,1))</f>
        <v/>
      </c>
      <c r="AA46">
        <f>IF($B$1+24&gt;90,Z46,(Z46+IF($B$1+24&lt;=$B46,12*$B$7,-12*MAX(0,$B$6-IF($B$1+24&gt;=$B$23,$B$22,0))*(1+$B$4)^24))*IF(Z46+IF($B$1+24&lt;=$B46,12*$B$7,-12*MAX(0,$B$6-IF($B$1+24&gt;=$B$23,$B$22,0))*(1+$B$4)^24)&gt;0,1+$B$3,1))</f>
        <v/>
      </c>
      <c r="AB46">
        <f>IF($B$1+25&gt;90,AA46,(AA46+IF($B$1+25&lt;=$B46,12*$B$7,-12*MAX(0,$B$6-IF($B$1+25&gt;=$B$23,$B$22,0))*(1+$B$4)^25))*IF(AA46+IF($B$1+25&lt;=$B46,12*$B$7,-12*MAX(0,$B$6-IF($B$1+25&gt;=$B$23,$B$22,0))*(1+$B$4)^25)&gt;0,1+$B$3,1))</f>
        <v/>
      </c>
      <c r="AC46">
        <f>IF($B$1+26&gt;90,AB46,(AB46+IF($B$1+26&lt;=$B46,12*$B$7,-12*MAX(0,$B$6-IF($B$1+26&gt;=$B$23,$B$22,0))*(1+$B$4)^26))*IF(AB46+IF($B$1+26&lt;=$B46,12*$B$7,-12*MAX(0,$B$6-IF($B$1+26&gt;=$B$23,$B$22,0))*(1+$B$4)^26)&gt;0,1+$B$3,1))</f>
        <v/>
      </c>
      <c r="AD46">
        <f>IF($B$1+27&gt;90,AC46,(AC46+IF($B$1+27&lt;=$B46,12*$B$7,-12*MAX(0,$B$6-IF($B$1+27&gt;=$B$23,$B$22,0))*(1+$B$4)^27))*IF(AC46+IF($B$1+27&lt;=$B46,12*$B$7,-12*MAX(0,$B$6-IF($B$1+27&gt;=$B$23,$B$22,0))*(1+$B$4)^27)&gt;0,1+$B$3,1))</f>
        <v/>
      </c>
      <c r="AE46">
        <f>IF($B$1+28&gt;90,AD46,(AD46+IF($B$1+28&lt;=$B46,12*$B$7,-12*MAX(0,$B$6-IF($B$1+28&gt;=$B$23,$B$22,0))*(1+$B$4)^28))*IF(AD46+IF($B$1+28&lt;=$B46,12*$B$7,-12*MAX(0,$B$6-IF($B$1+28&gt;=$B$23,$B$22,0))*(1+$B$4)^28)&gt;0,1+$B$3,1))</f>
        <v/>
      </c>
      <c r="AF46">
        <f>IF($B$1+29&gt;90,AE46,(AE46+IF($B$1+29&lt;=$B46,12*$B$7,-12*MAX(0,$B$6-IF($B$1+29&gt;=$B$23,$B$22,0))*(1+$B$4)^29))*IF(AE46+IF($B$1+29&lt;=$B46,12*$B$7,-12*MAX(0,$B$6-IF($B$1+29&gt;=$B$23,$B$22,0))*(1+$B$4)^29)&gt;0,1+$B$3,1))</f>
        <v/>
      </c>
      <c r="AG46">
        <f>IF($B$1+30&gt;90,AF46,(AF46+IF($B$1+30&lt;=$B46,12*$B$7,-12*MAX(0,$B$6-IF($B$1+30&gt;=$B$23,$B$22,0))*(1+$B$4)^30))*IF(AF46+IF($B$1+30&lt;=$B46,12*$B$7,-12*MAX(0,$B$6-IF($B$1+30&gt;=$B$23,$B$22,0))*(1+$B$4)^30)&gt;0,1+$B$3,1))</f>
        <v/>
      </c>
      <c r="AH46">
        <f>IF($B$1+31&gt;90,AG46,(AG46+IF($B$1+31&lt;=$B46,12*$B$7,-12*MAX(0,$B$6-IF($B$1+31&gt;=$B$23,$B$22,0))*(1+$B$4)^31))*IF(AG46+IF($B$1+31&lt;=$B46,12*$B$7,-12*MAX(0,$B$6-IF($B$1+31&gt;=$B$23,$B$22,0))*(1+$B$4)^31)&gt;0,1+$B$3,1))</f>
        <v/>
      </c>
      <c r="AI46">
        <f>IF($B$1+32&gt;90,AH46,(AH46+IF($B$1+32&lt;=$B46,12*$B$7,-12*MAX(0,$B$6-IF($B$1+32&gt;=$B$23,$B$22,0))*(1+$B$4)^32))*IF(AH46+IF($B$1+32&lt;=$B46,12*$B$7,-12*MAX(0,$B$6-IF($B$1+32&gt;=$B$23,$B$22,0))*(1+$B$4)^32)&gt;0,1+$B$3,1))</f>
        <v/>
      </c>
      <c r="AJ46">
        <f>IF($B$1+33&gt;90,AI46,(AI46+IF($B$1+33&lt;=$B46,12*$B$7,-12*MAX(0,$B$6-IF($B$1+33&gt;=$B$23,$B$22,0))*(1+$B$4)^33))*IF(AI46+IF($B$1+33&lt;=$B46,12*$B$7,-12*MAX(0,$B$6-IF($B$1+33&gt;=$B$23,$B$22,0))*(1+$B$4)^33)&gt;0,1+$B$3,1))</f>
        <v/>
      </c>
      <c r="AK46">
        <f>IF($B$1+34&gt;90,AJ46,(AJ46+IF($B$1+34&lt;=$B46,12*$B$7,-12*MAX(0,$B$6-IF($B$1+34&gt;=$B$23,$B$22,0))*(1+$B$4)^34))*IF(AJ46+IF($B$1+34&lt;=$B46,12*$B$7,-12*MAX(0,$B$6-IF($B$1+34&gt;=$B$23,$B$22,0))*(1+$B$4)^34)&gt;0,1+$B$3,1))</f>
        <v/>
      </c>
      <c r="AL46">
        <f>IF($B$1+35&gt;90,AK46,(AK46+IF($B$1+35&lt;=$B46,12*$B$7,-12*MAX(0,$B$6-IF($B$1+35&gt;=$B$23,$B$22,0))*(1+$B$4)^35))*IF(AK46+IF($B$1+35&lt;=$B46,12*$B$7,-12*MAX(0,$B$6-IF($B$1+35&gt;=$B$23,$B$22,0))*(1+$B$4)^35)&gt;0,1+$B$3,1))</f>
        <v/>
      </c>
      <c r="AM46">
        <f>IF($B$1+36&gt;90,AL46,(AL46+IF($B$1+36&lt;=$B46,12*$B$7,-12*MAX(0,$B$6-IF($B$1+36&gt;=$B$23,$B$22,0))*(1+$B$4)^36))*IF(AL46+IF($B$1+36&lt;=$B46,12*$B$7,-12*MAX(0,$B$6-IF($B$1+36&gt;=$B$23,$B$22,0))*(1+$B$4)^36)&gt;0,1+$B$3,1))</f>
        <v/>
      </c>
      <c r="AN46">
        <f>IF($B$1+37&gt;90,AM46,(AM46+IF($B$1+37&lt;=$B46,12*$B$7,-12*MAX(0,$B$6-IF($B$1+37&gt;=$B$23,$B$22,0))*(1+$B$4)^37))*IF(AM46+IF($B$1+37&lt;=$B46,12*$B$7,-12*MAX(0,$B$6-IF($B$1+37&gt;=$B$23,$B$22,0))*(1+$B$4)^37)&gt;0,1+$B$3,1))</f>
        <v/>
      </c>
      <c r="AO46">
        <f>IF($B$1+38&gt;90,AN46,(AN46+IF($B$1+38&lt;=$B46,12*$B$7,-12*MAX(0,$B$6-IF($B$1+38&gt;=$B$23,$B$22,0))*(1+$B$4)^38))*IF(AN46+IF($B$1+38&lt;=$B46,12*$B$7,-12*MAX(0,$B$6-IF($B$1+38&gt;=$B$23,$B$22,0))*(1+$B$4)^38)&gt;0,1+$B$3,1))</f>
        <v/>
      </c>
      <c r="AP46">
        <f>IF($B$1+39&gt;90,AO46,(AO46+IF($B$1+39&lt;=$B46,12*$B$7,-12*MAX(0,$B$6-IF($B$1+39&gt;=$B$23,$B$22,0))*(1+$B$4)^39))*IF(AO46+IF($B$1+39&lt;=$B46,12*$B$7,-12*MAX(0,$B$6-IF($B$1+39&gt;=$B$23,$B$22,0))*(1+$B$4)^39)&gt;0,1+$B$3,1))</f>
        <v/>
      </c>
      <c r="AQ46">
        <f>IF($B$1+40&gt;90,AP46,(AP46+IF($B$1+40&lt;=$B46,12*$B$7,-12*MAX(0,$B$6-IF($B$1+40&gt;=$B$23,$B$22,0))*(1+$B$4)^40))*IF(AP46+IF($B$1+40&lt;=$B46,12*$B$7,-12*MAX(0,$B$6-IF($B$1+40&gt;=$B$23,$B$22,0))*(1+$B$4)^40)&gt;0,1+$B$3,1))</f>
        <v/>
      </c>
      <c r="AR46">
        <f>IF($B$1+41&gt;90,AQ46,(AQ46+IF($B$1+41&lt;=$B46,12*$B$7,-12*MAX(0,$B$6-IF($B$1+41&gt;=$B$23,$B$22,0))*(1+$B$4)^41))*IF(AQ46+IF($B$1+41&lt;=$B46,12*$B$7,-12*MAX(0,$B$6-IF($B$1+41&gt;=$B$23,$B$22,0))*(1+$B$4)^41)&gt;0,1+$B$3,1))</f>
        <v/>
      </c>
      <c r="AS46">
        <f>IF($B$1+42&gt;90,AR46,(AR46+IF($B$1+42&lt;=$B46,12*$B$7,-12*MAX(0,$B$6-IF($B$1+42&gt;=$B$23,$B$22,0))*(1+$B$4)^42))*IF(AR46+IF($B$1+42&lt;=$B46,12*$B$7,-12*MAX(0,$B$6-IF($B$1+42&gt;=$B$23,$B$22,0))*(1+$B$4)^42)&gt;0,1+$B$3,1))</f>
        <v/>
      </c>
      <c r="AT46">
        <f>IF($B$1+43&gt;90,AS46,(AS46+IF($B$1+43&lt;=$B46,12*$B$7,-12*MAX(0,$B$6-IF($B$1+43&gt;=$B$23,$B$22,0))*(1+$B$4)^43))*IF(AS46+IF($B$1+43&lt;=$B46,12*$B$7,-12*MAX(0,$B$6-IF($B$1+43&gt;=$B$23,$B$22,0))*(1+$B$4)^43)&gt;0,1+$B$3,1))</f>
        <v/>
      </c>
      <c r="AU46">
        <f>IF($B$1+44&gt;90,AT46,(AT46+IF($B$1+44&lt;=$B46,12*$B$7,-12*MAX(0,$B$6-IF($B$1+44&gt;=$B$23,$B$22,0))*(1+$B$4)^44))*IF(AT46+IF($B$1+44&lt;=$B46,12*$B$7,-12*MAX(0,$B$6-IF($B$1+44&gt;=$B$23,$B$22,0))*(1+$B$4)^44)&gt;0,1+$B$3,1))</f>
        <v/>
      </c>
      <c r="AV46">
        <f>IF($B$1+45&gt;90,AU46,(AU46+IF($B$1+45&lt;=$B46,12*$B$7,-12*MAX(0,$B$6-IF($B$1+45&gt;=$B$23,$B$22,0))*(1+$B$4)^45))*IF(AU46+IF($B$1+45&lt;=$B46,12*$B$7,-12*MAX(0,$B$6-IF($B$1+45&gt;=$B$23,$B$22,0))*(1+$B$4)^45)&gt;0,1+$B$3,1))</f>
        <v/>
      </c>
      <c r="AW46">
        <f>IF($B$1+46&gt;90,AV46,(AV46+IF($B$1+46&lt;=$B46,12*$B$7,-12*MAX(0,$B$6-IF($B$1+46&gt;=$B$23,$B$22,0))*(1+$B$4)^46))*IF(AV46+IF($B$1+46&lt;=$B46,12*$B$7,-12*MAX(0,$B$6-IF($B$1+46&gt;=$B$23,$B$22,0))*(1+$B$4)^46)&gt;0,1+$B$3,1))</f>
        <v/>
      </c>
      <c r="AX46">
        <f>IF($B$1+47&gt;90,AW46,(AW46+IF($B$1+47&lt;=$B46,12*$B$7,-12*MAX(0,$B$6-IF($B$1+47&gt;=$B$23,$B$22,0))*(1+$B$4)^47))*IF(AW46+IF($B$1+47&lt;=$B46,12*$B$7,-12*MAX(0,$B$6-IF($B$1+47&gt;=$B$23,$B$22,0))*(1+$B$4)^47)&gt;0,1+$B$3,1))</f>
        <v/>
      </c>
      <c r="AY46">
        <f>IF($B$1+48&gt;90,AX46,(AX46+IF($B$1+48&lt;=$B46,12*$B$7,-12*MAX(0,$B$6-IF($B$1+48&gt;=$B$23,$B$22,0))*(1+$B$4)^48))*IF(AX46+IF($B$1+48&lt;=$B46,12*$B$7,-12*MAX(0,$B$6-IF($B$1+48&gt;=$B$23,$B$22,0))*(1+$B$4)^48)&gt;0,1+$B$3,1))</f>
        <v/>
      </c>
      <c r="AZ46">
        <f>IF($B$1+49&gt;90,AY46,(AY46+IF($B$1+49&lt;=$B46,12*$B$7,-12*MAX(0,$B$6-IF($B$1+49&gt;=$B$23,$B$22,0))*(1+$B$4)^49))*IF(AY46+IF($B$1+49&lt;=$B46,12*$B$7,-12*MAX(0,$B$6-IF($B$1+49&gt;=$B$23,$B$22,0))*(1+$B$4)^49)&gt;0,1+$B$3,1))</f>
        <v/>
      </c>
      <c r="BA46">
        <f>IF($B$1+50&gt;90,AZ46,(AZ46+IF($B$1+50&lt;=$B46,12*$B$7,-12*MAX(0,$B$6-IF($B$1+50&gt;=$B$23,$B$22,0))*(1+$B$4)^50))*IF(AZ46+IF($B$1+50&lt;=$B46,12*$B$7,-12*MAX(0,$B$6-IF($B$1+50&gt;=$B$23,$B$22,0))*(1+$B$4)^50)&gt;0,1+$B$3,1))</f>
        <v/>
      </c>
      <c r="BB46">
        <f>IF($B$1+51&gt;90,BA46,(BA46+IF($B$1+51&lt;=$B46,12*$B$7,-12*MAX(0,$B$6-IF($B$1+51&gt;=$B$23,$B$22,0))*(1+$B$4)^51))*IF(BA46+IF($B$1+51&lt;=$B46,12*$B$7,-12*MAX(0,$B$6-IF($B$1+51&gt;=$B$23,$B$22,0))*(1+$B$4)^51)&gt;0,1+$B$3,1))</f>
        <v/>
      </c>
      <c r="BC46">
        <f>IF($B$1+52&gt;90,BB46,(BB46+IF($B$1+52&lt;=$B46,12*$B$7,-12*MAX(0,$B$6-IF($B$1+52&gt;=$B$23,$B$22,0))*(1+$B$4)^52))*IF(BB46+IF($B$1+52&lt;=$B46,12*$B$7,-12*MAX(0,$B$6-IF($B$1+52&gt;=$B$23,$B$22,0))*(1+$B$4)^52)&gt;0,1+$B$3,1))</f>
        <v/>
      </c>
      <c r="BD46">
        <f>IF($B$1+53&gt;90,BC46,(BC46+IF($B$1+53&lt;=$B46,12*$B$7,-12*MAX(0,$B$6-IF($B$1+53&gt;=$B$23,$B$22,0))*(1+$B$4)^53))*IF(BC46+IF($B$1+53&lt;=$B46,12*$B$7,-12*MAX(0,$B$6-IF($B$1+53&gt;=$B$23,$B$22,0))*(1+$B$4)^53)&gt;0,1+$B$3,1))</f>
        <v/>
      </c>
      <c r="BE46">
        <f>IF($B$1+54&gt;90,BD46,(BD46+IF($B$1+54&lt;=$B46,12*$B$7,-12*MAX(0,$B$6-IF($B$1+54&gt;=$B$23,$B$22,0))*(1+$B$4)^54))*IF(BD46+IF($B$1+54&lt;=$B46,12*$B$7,-12*MAX(0,$B$6-IF($B$1+54&gt;=$B$23,$B$22,0))*(1+$B$4)^54)&gt;0,1+$B$3,1))</f>
        <v/>
      </c>
      <c r="BF46">
        <f>IF($B$1+55&gt;90,BE46,(BE46+IF($B$1+55&lt;=$B46,12*$B$7,-12*MAX(0,$B$6-IF($B$1+55&gt;=$B$23,$B$22,0))*(1+$B$4)^55))*IF(BE46+IF($B$1+55&lt;=$B46,12*$B$7,-12*MAX(0,$B$6-IF($B$1+55&gt;=$B$23,$B$22,0))*(1+$B$4)^55)&gt;0,1+$B$3,1))</f>
        <v/>
      </c>
      <c r="BG46">
        <f>IF($B$1+56&gt;90,BF46,(BF46+IF($B$1+56&lt;=$B46,12*$B$7,-12*MAX(0,$B$6-IF($B$1+56&gt;=$B$23,$B$22,0))*(1+$B$4)^56))*IF(BF46+IF($B$1+56&lt;=$B46,12*$B$7,-12*MAX(0,$B$6-IF($B$1+56&gt;=$B$23,$B$22,0))*(1+$B$4)^56)&gt;0,1+$B$3,1))</f>
        <v/>
      </c>
      <c r="BH46">
        <f>IF($B$1+57&gt;90,BG46,(BG46+IF($B$1+57&lt;=$B46,12*$B$7,-12*MAX(0,$B$6-IF($B$1+57&gt;=$B$23,$B$22,0))*(1+$B$4)^57))*IF(BG46+IF($B$1+57&lt;=$B46,12*$B$7,-12*MAX(0,$B$6-IF($B$1+57&gt;=$B$23,$B$22,0))*(1+$B$4)^57)&gt;0,1+$B$3,1))</f>
        <v/>
      </c>
      <c r="BI46">
        <f>IF($B$1+58&gt;90,BH46,(BH46+IF($B$1+58&lt;=$B46,12*$B$7,-12*MAX(0,$B$6-IF($B$1+58&gt;=$B$23,$B$22,0))*(1+$B$4)^58))*IF(BH46+IF($B$1+58&lt;=$B46,12*$B$7,-12*MAX(0,$B$6-IF($B$1+58&gt;=$B$23,$B$22,0))*(1+$B$4)^58)&gt;0,1+$B$3,1))</f>
        <v/>
      </c>
      <c r="BJ46">
        <f>IF($B$1+59&gt;90,BI46,(BI46+IF($B$1+59&lt;=$B46,12*$B$7,-12*MAX(0,$B$6-IF($B$1+59&gt;=$B$23,$B$22,0))*(1+$B$4)^59))*IF(BI46+IF($B$1+59&lt;=$B46,12*$B$7,-12*MAX(0,$B$6-IF($B$1+59&gt;=$B$23,$B$22,0))*(1+$B$4)^59)&gt;0,1+$B$3,1))</f>
        <v/>
      </c>
      <c r="BK46">
        <f>IF($B$1+60&gt;90,BJ46,(BJ46+IF($B$1+60&lt;=$B46,12*$B$7,-12*MAX(0,$B$6-IF($B$1+60&gt;=$B$23,$B$22,0))*(1+$B$4)^60))*IF(BJ46+IF($B$1+60&lt;=$B46,12*$B$7,-12*MAX(0,$B$6-IF($B$1+60&gt;=$B$23,$B$22,0))*(1+$B$4)^60)&gt;0,1+$B$3,1))</f>
        <v/>
      </c>
      <c r="BL46">
        <f>IF($B$1+61&gt;90,BK46,(BK46+IF($B$1+61&lt;=$B46,12*$B$7,-12*MAX(0,$B$6-IF($B$1+61&gt;=$B$23,$B$22,0))*(1+$B$4)^61))*IF(BK46+IF($B$1+61&lt;=$B46,12*$B$7,-12*MAX(0,$B$6-IF($B$1+61&gt;=$B$23,$B$22,0))*(1+$B$4)^61)&gt;0,1+$B$3,1))</f>
        <v/>
      </c>
      <c r="BM46">
        <f>IF($B$1+62&gt;90,BL46,(BL46+IF($B$1+62&lt;=$B46,12*$B$7,-12*MAX(0,$B$6-IF($B$1+62&gt;=$B$23,$B$22,0))*(1+$B$4)^62))*IF(BL46+IF($B$1+62&lt;=$B46,12*$B$7,-12*MAX(0,$B$6-IF($B$1+62&gt;=$B$23,$B$22,0))*(1+$B$4)^62)&gt;0,1+$B$3,1))</f>
        <v/>
      </c>
      <c r="BN46">
        <f>IF($B$1+63&gt;90,BM46,(BM46+IF($B$1+63&lt;=$B46,12*$B$7,-12*MAX(0,$B$6-IF($B$1+63&gt;=$B$23,$B$22,0))*(1+$B$4)^63))*IF(BM46+IF($B$1+63&lt;=$B46,12*$B$7,-12*MAX(0,$B$6-IF($B$1+63&gt;=$B$23,$B$22,0))*(1+$B$4)^63)&gt;0,1+$B$3,1))</f>
        <v/>
      </c>
      <c r="BO46">
        <f>IF($B$1+64&gt;90,BN46,(BN46+IF($B$1+64&lt;=$B46,12*$B$7,-12*MAX(0,$B$6-IF($B$1+64&gt;=$B$23,$B$22,0))*(1+$B$4)^64))*IF(BN46+IF($B$1+64&lt;=$B46,12*$B$7,-12*MAX(0,$B$6-IF($B$1+64&gt;=$B$23,$B$22,0))*(1+$B$4)^64)&gt;0,1+$B$3,1))</f>
        <v/>
      </c>
      <c r="BP46">
        <f>IF($B$1+65&gt;90,BO46,(BO46+IF($B$1+65&lt;=$B46,12*$B$7,-12*MAX(0,$B$6-IF($B$1+65&gt;=$B$23,$B$22,0))*(1+$B$4)^65))*IF(BO46+IF($B$1+65&lt;=$B46,12*$B$7,-12*MAX(0,$B$6-IF($B$1+65&gt;=$B$23,$B$22,0))*(1+$B$4)^65)&gt;0,1+$B$3,1))</f>
        <v/>
      </c>
      <c r="BQ46">
        <f>IF($B$1+66&gt;90,BP46,(BP46+IF($B$1+66&lt;=$B46,12*$B$7,-12*MAX(0,$B$6-IF($B$1+66&gt;=$B$23,$B$22,0))*(1+$B$4)^66))*IF(BP46+IF($B$1+66&lt;=$B46,12*$B$7,-12*MAX(0,$B$6-IF($B$1+66&gt;=$B$23,$B$22,0))*(1+$B$4)^66)&gt;0,1+$B$3,1))</f>
        <v/>
      </c>
      <c r="BR46">
        <f>IF($B$1+67&gt;90,BQ46,(BQ46+IF($B$1+67&lt;=$B46,12*$B$7,-12*MAX(0,$B$6-IF($B$1+67&gt;=$B$23,$B$22,0))*(1+$B$4)^67))*IF(BQ46+IF($B$1+67&lt;=$B46,12*$B$7,-12*MAX(0,$B$6-IF($B$1+67&gt;=$B$23,$B$22,0))*(1+$B$4)^67)&gt;0,1+$B$3,1))</f>
        <v/>
      </c>
      <c r="BS46">
        <f>IF($B$1+68&gt;90,BR46,(BR46+IF($B$1+68&lt;=$B46,12*$B$7,-12*MAX(0,$B$6-IF($B$1+68&gt;=$B$23,$B$22,0))*(1+$B$4)^68))*IF(BR46+IF($B$1+68&lt;=$B46,12*$B$7,-12*MAX(0,$B$6-IF($B$1+68&gt;=$B$23,$B$22,0))*(1+$B$4)^68)&gt;0,1+$B$3,1))</f>
        <v/>
      </c>
      <c r="BT46">
        <f>IF($B$1+69&gt;90,BS46,(BS46+IF($B$1+69&lt;=$B46,12*$B$7,-12*MAX(0,$B$6-IF($B$1+69&gt;=$B$23,$B$22,0))*(1+$B$4)^69))*IF(BS46+IF($B$1+69&lt;=$B46,12*$B$7,-12*MAX(0,$B$6-IF($B$1+69&gt;=$B$23,$B$22,0))*(1+$B$4)^69)&gt;0,1+$B$3,1))</f>
        <v/>
      </c>
      <c r="BU46">
        <f>IF($B$1+70&gt;90,BT46,(BT46+IF($B$1+70&lt;=$B46,12*$B$7,-12*MAX(0,$B$6-IF($B$1+70&gt;=$B$23,$B$22,0))*(1+$B$4)^70))*IF(BT46+IF($B$1+70&lt;=$B46,12*$B$7,-12*MAX(0,$B$6-IF($B$1+70&gt;=$B$23,$B$22,0))*(1+$B$4)^70)&gt;0,1+$B$3,1))</f>
        <v/>
      </c>
      <c r="BV46">
        <f>BU46</f>
        <v/>
      </c>
      <c r="BW46">
        <f>IF(AND($B46&lt;=70,BV46&gt;0),$B46,999)</f>
        <v/>
      </c>
      <c r="CB46" t="n">
        <v>45</v>
      </c>
      <c r="CC46">
        <f>IF($B$1+CB46&gt;90,0,12*MAX(0,$B$6-IF($B$1+CB46&gt;=$B$23,$B$22,0))*(1+$B$4)^CB46/(1+$B$3)^(CB46-1))</f>
        <v/>
      </c>
      <c r="CE46">
        <f>IF($B$1+44&gt;90,NA(),$B$1+44)</f>
        <v/>
      </c>
      <c r="CF46">
        <f>IF(OR($B$21="",$B$1+44&gt;90),NA(),INDEX($C$40:$BU$90,$B$21-$B$1+1,45))</f>
        <v/>
      </c>
      <c r="CH46">
        <f>IF(ISTEXT('월 가계부'!A46),SUBSTITUTE(SUBSTITUTE(SUBSTITUTE(SUBSTITUTE(SUBSTITUTE(SUBSTITUTE(SUBSTITUTE(SUBSTITUTE(SUBSTITUTE(TRIM('월 가계부'!A46),"년","-"),"월","-"),"일",""),".","-"),"/","-")," ","-"),"--","-"),"--","-"),"--","-")&amp;"-","")</f>
        <v/>
      </c>
      <c r="CI46">
        <f>IFERROR(IF('월 가계부'!A46="","",IF(ISNUMBER('월 가계부'!A46),IF(AND('월 가계부'!A46&gt;=19000101,'월 가계부'!A46&lt;=21001231),IF(AND(MOD(INT('월 가계부'!A46/100),100)&gt;=1,MOD(INT('월 가계부'!A46/100),100)&lt;=12,MOD(INT('월 가계부'!A46),100)&gt;=1,MOD(INT('월 가계부'!A46),100)&lt;=31),IF(MONTH(DATE(INT('월 가계부'!A46/10000),MOD(INT('월 가계부'!A46/100),100),MOD(INT('월 가계부'!A46),100)))=MOD(INT('월 가계부'!A46/100),100),DATE(INT('월 가계부'!A46/10000),MOD(INT('월 가계부'!A46/100),100),MOD(INT('월 가계부'!A46),100)),""),""),IF(AND('월 가계부'!A46&gt;=36526,'월 가계부'!A46&lt;73051),INT('월 가계부'!A46),"")),IF(OR(CM46="",CN46="",CO46=""),"",IF(AND(CM46&gt;=2000,CM46&lt;=2099,CN46&gt;=1,CN46&lt;=12,CO46&gt;=1,CO46&lt;=31),IF(MONTH(DATE(CM46,CN46,CO46))=CN46,DATE(CM46,CN46,CO46),""),"")))),"")</f>
        <v/>
      </c>
      <c r="CJ46">
        <f>IFERROR(IF('월 가계부'!C46="","",IF(ISNUMBER('월 가계부'!C46),'월 가계부'!C46,VALUE(SUBSTITUTE(SUBSTITUTE(SUBSTITUTE(SUBSTITUTE(TRIM('월 가계부'!C46),",",""),"원","")," ",""),"−","-")))),"")</f>
        <v/>
      </c>
      <c r="CK46">
        <f>IF(ISNUMBER(CI46),IF(CI46&lt;$B$13,CI46,""),"")</f>
        <v/>
      </c>
      <c r="CM46">
        <f>IF(CH46="","",IFERROR(IF(IF(AND(LEN(CH46)=9,ISERROR(FIND("-",LEFT(CH46,8))),ISNUMBER(-LEFT(CH46,8))),VALUE(LEFT(CH46,4)),VALUE(LEFT(CH46,FIND("-",CH46)-1)))&lt;100,IF(AND(LEN(CH46)=9,ISERROR(FIND("-",LEFT(CH46,8))),ISNUMBER(-LEFT(CH46,8))),VALUE(LEFT(CH46,4)),VALUE(LEFT(CH46,FIND("-",CH46)-1)))+2000,IF(AND(LEN(CH46)=9,ISERROR(FIND("-",LEFT(CH46,8))),ISNUMBER(-LEFT(CH46,8))),VALUE(LEFT(CH46,4)),VALUE(LEFT(CH46,FIND("-",CH46)-1)))),""))</f>
        <v/>
      </c>
      <c r="CN46">
        <f>IF(CH46="","",IFERROR(IF(AND(LEN(CH46)=9,ISERROR(FIND("-",LEFT(CH46,8))),ISNUMBER(-LEFT(CH46,8))),VALUE(MID(CH46,5,2)),VALUE(MID(CH46,FIND("-",CH46)+1,FIND("-",CH46,FIND("-",CH46)+1)-FIND("-",CH46)-1))),""))</f>
        <v/>
      </c>
      <c r="CO46">
        <f>IF(CH46="","",IFERROR(IF(AND(LEN(CH46)=9,ISERROR(FIND("-",LEFT(CH46,8))),ISNUMBER(-LEFT(CH46,8))),VALUE(MID(CH46,7,2)),VALUE(MID(CH46,FIND("-",CH46,FIND("-",CH46)+1)+1,FIND("-",CH46,FIND("-",CH46,FIND("-",CH46)+1)+1)-FIND("-",CH46,FIND("-",CH46)+1)-1))),""))</f>
        <v/>
      </c>
    </row>
    <row r="47">
      <c r="A47" t="n">
        <v>7</v>
      </c>
      <c r="B47">
        <f>$B$1+7</f>
        <v/>
      </c>
      <c r="C47">
        <f>$B$2</f>
        <v/>
      </c>
      <c r="D47">
        <f>IF($B$1+1&gt;90,C47,(C47+IF($B$1+1&lt;=$B47,12*$B$7,-12*MAX(0,$B$6-IF($B$1+1&gt;=$B$23,$B$22,0))*(1+$B$4)^1))*IF(C47+IF($B$1+1&lt;=$B47,12*$B$7,-12*MAX(0,$B$6-IF($B$1+1&gt;=$B$23,$B$22,0))*(1+$B$4)^1)&gt;0,1+$B$3,1))</f>
        <v/>
      </c>
      <c r="E47">
        <f>IF($B$1+2&gt;90,D47,(D47+IF($B$1+2&lt;=$B47,12*$B$7,-12*MAX(0,$B$6-IF($B$1+2&gt;=$B$23,$B$22,0))*(1+$B$4)^2))*IF(D47+IF($B$1+2&lt;=$B47,12*$B$7,-12*MAX(0,$B$6-IF($B$1+2&gt;=$B$23,$B$22,0))*(1+$B$4)^2)&gt;0,1+$B$3,1))</f>
        <v/>
      </c>
      <c r="F47">
        <f>IF($B$1+3&gt;90,E47,(E47+IF($B$1+3&lt;=$B47,12*$B$7,-12*MAX(0,$B$6-IF($B$1+3&gt;=$B$23,$B$22,0))*(1+$B$4)^3))*IF(E47+IF($B$1+3&lt;=$B47,12*$B$7,-12*MAX(0,$B$6-IF($B$1+3&gt;=$B$23,$B$22,0))*(1+$B$4)^3)&gt;0,1+$B$3,1))</f>
        <v/>
      </c>
      <c r="G47">
        <f>IF($B$1+4&gt;90,F47,(F47+IF($B$1+4&lt;=$B47,12*$B$7,-12*MAX(0,$B$6-IF($B$1+4&gt;=$B$23,$B$22,0))*(1+$B$4)^4))*IF(F47+IF($B$1+4&lt;=$B47,12*$B$7,-12*MAX(0,$B$6-IF($B$1+4&gt;=$B$23,$B$22,0))*(1+$B$4)^4)&gt;0,1+$B$3,1))</f>
        <v/>
      </c>
      <c r="H47">
        <f>IF($B$1+5&gt;90,G47,(G47+IF($B$1+5&lt;=$B47,12*$B$7,-12*MAX(0,$B$6-IF($B$1+5&gt;=$B$23,$B$22,0))*(1+$B$4)^5))*IF(G47+IF($B$1+5&lt;=$B47,12*$B$7,-12*MAX(0,$B$6-IF($B$1+5&gt;=$B$23,$B$22,0))*(1+$B$4)^5)&gt;0,1+$B$3,1))</f>
        <v/>
      </c>
      <c r="I47">
        <f>IF($B$1+6&gt;90,H47,(H47+IF($B$1+6&lt;=$B47,12*$B$7,-12*MAX(0,$B$6-IF($B$1+6&gt;=$B$23,$B$22,0))*(1+$B$4)^6))*IF(H47+IF($B$1+6&lt;=$B47,12*$B$7,-12*MAX(0,$B$6-IF($B$1+6&gt;=$B$23,$B$22,0))*(1+$B$4)^6)&gt;0,1+$B$3,1))</f>
        <v/>
      </c>
      <c r="J47">
        <f>IF($B$1+7&gt;90,I47,(I47+IF($B$1+7&lt;=$B47,12*$B$7,-12*MAX(0,$B$6-IF($B$1+7&gt;=$B$23,$B$22,0))*(1+$B$4)^7))*IF(I47+IF($B$1+7&lt;=$B47,12*$B$7,-12*MAX(0,$B$6-IF($B$1+7&gt;=$B$23,$B$22,0))*(1+$B$4)^7)&gt;0,1+$B$3,1))</f>
        <v/>
      </c>
      <c r="K47">
        <f>IF($B$1+8&gt;90,J47,(J47+IF($B$1+8&lt;=$B47,12*$B$7,-12*MAX(0,$B$6-IF($B$1+8&gt;=$B$23,$B$22,0))*(1+$B$4)^8))*IF(J47+IF($B$1+8&lt;=$B47,12*$B$7,-12*MAX(0,$B$6-IF($B$1+8&gt;=$B$23,$B$22,0))*(1+$B$4)^8)&gt;0,1+$B$3,1))</f>
        <v/>
      </c>
      <c r="L47">
        <f>IF($B$1+9&gt;90,K47,(K47+IF($B$1+9&lt;=$B47,12*$B$7,-12*MAX(0,$B$6-IF($B$1+9&gt;=$B$23,$B$22,0))*(1+$B$4)^9))*IF(K47+IF($B$1+9&lt;=$B47,12*$B$7,-12*MAX(0,$B$6-IF($B$1+9&gt;=$B$23,$B$22,0))*(1+$B$4)^9)&gt;0,1+$B$3,1))</f>
        <v/>
      </c>
      <c r="M47">
        <f>IF($B$1+10&gt;90,L47,(L47+IF($B$1+10&lt;=$B47,12*$B$7,-12*MAX(0,$B$6-IF($B$1+10&gt;=$B$23,$B$22,0))*(1+$B$4)^10))*IF(L47+IF($B$1+10&lt;=$B47,12*$B$7,-12*MAX(0,$B$6-IF($B$1+10&gt;=$B$23,$B$22,0))*(1+$B$4)^10)&gt;0,1+$B$3,1))</f>
        <v/>
      </c>
      <c r="N47">
        <f>IF($B$1+11&gt;90,M47,(M47+IF($B$1+11&lt;=$B47,12*$B$7,-12*MAX(0,$B$6-IF($B$1+11&gt;=$B$23,$B$22,0))*(1+$B$4)^11))*IF(M47+IF($B$1+11&lt;=$B47,12*$B$7,-12*MAX(0,$B$6-IF($B$1+11&gt;=$B$23,$B$22,0))*(1+$B$4)^11)&gt;0,1+$B$3,1))</f>
        <v/>
      </c>
      <c r="O47">
        <f>IF($B$1+12&gt;90,N47,(N47+IF($B$1+12&lt;=$B47,12*$B$7,-12*MAX(0,$B$6-IF($B$1+12&gt;=$B$23,$B$22,0))*(1+$B$4)^12))*IF(N47+IF($B$1+12&lt;=$B47,12*$B$7,-12*MAX(0,$B$6-IF($B$1+12&gt;=$B$23,$B$22,0))*(1+$B$4)^12)&gt;0,1+$B$3,1))</f>
        <v/>
      </c>
      <c r="P47">
        <f>IF($B$1+13&gt;90,O47,(O47+IF($B$1+13&lt;=$B47,12*$B$7,-12*MAX(0,$B$6-IF($B$1+13&gt;=$B$23,$B$22,0))*(1+$B$4)^13))*IF(O47+IF($B$1+13&lt;=$B47,12*$B$7,-12*MAX(0,$B$6-IF($B$1+13&gt;=$B$23,$B$22,0))*(1+$B$4)^13)&gt;0,1+$B$3,1))</f>
        <v/>
      </c>
      <c r="Q47">
        <f>IF($B$1+14&gt;90,P47,(P47+IF($B$1+14&lt;=$B47,12*$B$7,-12*MAX(0,$B$6-IF($B$1+14&gt;=$B$23,$B$22,0))*(1+$B$4)^14))*IF(P47+IF($B$1+14&lt;=$B47,12*$B$7,-12*MAX(0,$B$6-IF($B$1+14&gt;=$B$23,$B$22,0))*(1+$B$4)^14)&gt;0,1+$B$3,1))</f>
        <v/>
      </c>
      <c r="R47">
        <f>IF($B$1+15&gt;90,Q47,(Q47+IF($B$1+15&lt;=$B47,12*$B$7,-12*MAX(0,$B$6-IF($B$1+15&gt;=$B$23,$B$22,0))*(1+$B$4)^15))*IF(Q47+IF($B$1+15&lt;=$B47,12*$B$7,-12*MAX(0,$B$6-IF($B$1+15&gt;=$B$23,$B$22,0))*(1+$B$4)^15)&gt;0,1+$B$3,1))</f>
        <v/>
      </c>
      <c r="S47">
        <f>IF($B$1+16&gt;90,R47,(R47+IF($B$1+16&lt;=$B47,12*$B$7,-12*MAX(0,$B$6-IF($B$1+16&gt;=$B$23,$B$22,0))*(1+$B$4)^16))*IF(R47+IF($B$1+16&lt;=$B47,12*$B$7,-12*MAX(0,$B$6-IF($B$1+16&gt;=$B$23,$B$22,0))*(1+$B$4)^16)&gt;0,1+$B$3,1))</f>
        <v/>
      </c>
      <c r="T47">
        <f>IF($B$1+17&gt;90,S47,(S47+IF($B$1+17&lt;=$B47,12*$B$7,-12*MAX(0,$B$6-IF($B$1+17&gt;=$B$23,$B$22,0))*(1+$B$4)^17))*IF(S47+IF($B$1+17&lt;=$B47,12*$B$7,-12*MAX(0,$B$6-IF($B$1+17&gt;=$B$23,$B$22,0))*(1+$B$4)^17)&gt;0,1+$B$3,1))</f>
        <v/>
      </c>
      <c r="U47">
        <f>IF($B$1+18&gt;90,T47,(T47+IF($B$1+18&lt;=$B47,12*$B$7,-12*MAX(0,$B$6-IF($B$1+18&gt;=$B$23,$B$22,0))*(1+$B$4)^18))*IF(T47+IF($B$1+18&lt;=$B47,12*$B$7,-12*MAX(0,$B$6-IF($B$1+18&gt;=$B$23,$B$22,0))*(1+$B$4)^18)&gt;0,1+$B$3,1))</f>
        <v/>
      </c>
      <c r="V47">
        <f>IF($B$1+19&gt;90,U47,(U47+IF($B$1+19&lt;=$B47,12*$B$7,-12*MAX(0,$B$6-IF($B$1+19&gt;=$B$23,$B$22,0))*(1+$B$4)^19))*IF(U47+IF($B$1+19&lt;=$B47,12*$B$7,-12*MAX(0,$B$6-IF($B$1+19&gt;=$B$23,$B$22,0))*(1+$B$4)^19)&gt;0,1+$B$3,1))</f>
        <v/>
      </c>
      <c r="W47">
        <f>IF($B$1+20&gt;90,V47,(V47+IF($B$1+20&lt;=$B47,12*$B$7,-12*MAX(0,$B$6-IF($B$1+20&gt;=$B$23,$B$22,0))*(1+$B$4)^20))*IF(V47+IF($B$1+20&lt;=$B47,12*$B$7,-12*MAX(0,$B$6-IF($B$1+20&gt;=$B$23,$B$22,0))*(1+$B$4)^20)&gt;0,1+$B$3,1))</f>
        <v/>
      </c>
      <c r="X47">
        <f>IF($B$1+21&gt;90,W47,(W47+IF($B$1+21&lt;=$B47,12*$B$7,-12*MAX(0,$B$6-IF($B$1+21&gt;=$B$23,$B$22,0))*(1+$B$4)^21))*IF(W47+IF($B$1+21&lt;=$B47,12*$B$7,-12*MAX(0,$B$6-IF($B$1+21&gt;=$B$23,$B$22,0))*(1+$B$4)^21)&gt;0,1+$B$3,1))</f>
        <v/>
      </c>
      <c r="Y47">
        <f>IF($B$1+22&gt;90,X47,(X47+IF($B$1+22&lt;=$B47,12*$B$7,-12*MAX(0,$B$6-IF($B$1+22&gt;=$B$23,$B$22,0))*(1+$B$4)^22))*IF(X47+IF($B$1+22&lt;=$B47,12*$B$7,-12*MAX(0,$B$6-IF($B$1+22&gt;=$B$23,$B$22,0))*(1+$B$4)^22)&gt;0,1+$B$3,1))</f>
        <v/>
      </c>
      <c r="Z47">
        <f>IF($B$1+23&gt;90,Y47,(Y47+IF($B$1+23&lt;=$B47,12*$B$7,-12*MAX(0,$B$6-IF($B$1+23&gt;=$B$23,$B$22,0))*(1+$B$4)^23))*IF(Y47+IF($B$1+23&lt;=$B47,12*$B$7,-12*MAX(0,$B$6-IF($B$1+23&gt;=$B$23,$B$22,0))*(1+$B$4)^23)&gt;0,1+$B$3,1))</f>
        <v/>
      </c>
      <c r="AA47">
        <f>IF($B$1+24&gt;90,Z47,(Z47+IF($B$1+24&lt;=$B47,12*$B$7,-12*MAX(0,$B$6-IF($B$1+24&gt;=$B$23,$B$22,0))*(1+$B$4)^24))*IF(Z47+IF($B$1+24&lt;=$B47,12*$B$7,-12*MAX(0,$B$6-IF($B$1+24&gt;=$B$23,$B$22,0))*(1+$B$4)^24)&gt;0,1+$B$3,1))</f>
        <v/>
      </c>
      <c r="AB47">
        <f>IF($B$1+25&gt;90,AA47,(AA47+IF($B$1+25&lt;=$B47,12*$B$7,-12*MAX(0,$B$6-IF($B$1+25&gt;=$B$23,$B$22,0))*(1+$B$4)^25))*IF(AA47+IF($B$1+25&lt;=$B47,12*$B$7,-12*MAX(0,$B$6-IF($B$1+25&gt;=$B$23,$B$22,0))*(1+$B$4)^25)&gt;0,1+$B$3,1))</f>
        <v/>
      </c>
      <c r="AC47">
        <f>IF($B$1+26&gt;90,AB47,(AB47+IF($B$1+26&lt;=$B47,12*$B$7,-12*MAX(0,$B$6-IF($B$1+26&gt;=$B$23,$B$22,0))*(1+$B$4)^26))*IF(AB47+IF($B$1+26&lt;=$B47,12*$B$7,-12*MAX(0,$B$6-IF($B$1+26&gt;=$B$23,$B$22,0))*(1+$B$4)^26)&gt;0,1+$B$3,1))</f>
        <v/>
      </c>
      <c r="AD47">
        <f>IF($B$1+27&gt;90,AC47,(AC47+IF($B$1+27&lt;=$B47,12*$B$7,-12*MAX(0,$B$6-IF($B$1+27&gt;=$B$23,$B$22,0))*(1+$B$4)^27))*IF(AC47+IF($B$1+27&lt;=$B47,12*$B$7,-12*MAX(0,$B$6-IF($B$1+27&gt;=$B$23,$B$22,0))*(1+$B$4)^27)&gt;0,1+$B$3,1))</f>
        <v/>
      </c>
      <c r="AE47">
        <f>IF($B$1+28&gt;90,AD47,(AD47+IF($B$1+28&lt;=$B47,12*$B$7,-12*MAX(0,$B$6-IF($B$1+28&gt;=$B$23,$B$22,0))*(1+$B$4)^28))*IF(AD47+IF($B$1+28&lt;=$B47,12*$B$7,-12*MAX(0,$B$6-IF($B$1+28&gt;=$B$23,$B$22,0))*(1+$B$4)^28)&gt;0,1+$B$3,1))</f>
        <v/>
      </c>
      <c r="AF47">
        <f>IF($B$1+29&gt;90,AE47,(AE47+IF($B$1+29&lt;=$B47,12*$B$7,-12*MAX(0,$B$6-IF($B$1+29&gt;=$B$23,$B$22,0))*(1+$B$4)^29))*IF(AE47+IF($B$1+29&lt;=$B47,12*$B$7,-12*MAX(0,$B$6-IF($B$1+29&gt;=$B$23,$B$22,0))*(1+$B$4)^29)&gt;0,1+$B$3,1))</f>
        <v/>
      </c>
      <c r="AG47">
        <f>IF($B$1+30&gt;90,AF47,(AF47+IF($B$1+30&lt;=$B47,12*$B$7,-12*MAX(0,$B$6-IF($B$1+30&gt;=$B$23,$B$22,0))*(1+$B$4)^30))*IF(AF47+IF($B$1+30&lt;=$B47,12*$B$7,-12*MAX(0,$B$6-IF($B$1+30&gt;=$B$23,$B$22,0))*(1+$B$4)^30)&gt;0,1+$B$3,1))</f>
        <v/>
      </c>
      <c r="AH47">
        <f>IF($B$1+31&gt;90,AG47,(AG47+IF($B$1+31&lt;=$B47,12*$B$7,-12*MAX(0,$B$6-IF($B$1+31&gt;=$B$23,$B$22,0))*(1+$B$4)^31))*IF(AG47+IF($B$1+31&lt;=$B47,12*$B$7,-12*MAX(0,$B$6-IF($B$1+31&gt;=$B$23,$B$22,0))*(1+$B$4)^31)&gt;0,1+$B$3,1))</f>
        <v/>
      </c>
      <c r="AI47">
        <f>IF($B$1+32&gt;90,AH47,(AH47+IF($B$1+32&lt;=$B47,12*$B$7,-12*MAX(0,$B$6-IF($B$1+32&gt;=$B$23,$B$22,0))*(1+$B$4)^32))*IF(AH47+IF($B$1+32&lt;=$B47,12*$B$7,-12*MAX(0,$B$6-IF($B$1+32&gt;=$B$23,$B$22,0))*(1+$B$4)^32)&gt;0,1+$B$3,1))</f>
        <v/>
      </c>
      <c r="AJ47">
        <f>IF($B$1+33&gt;90,AI47,(AI47+IF($B$1+33&lt;=$B47,12*$B$7,-12*MAX(0,$B$6-IF($B$1+33&gt;=$B$23,$B$22,0))*(1+$B$4)^33))*IF(AI47+IF($B$1+33&lt;=$B47,12*$B$7,-12*MAX(0,$B$6-IF($B$1+33&gt;=$B$23,$B$22,0))*(1+$B$4)^33)&gt;0,1+$B$3,1))</f>
        <v/>
      </c>
      <c r="AK47">
        <f>IF($B$1+34&gt;90,AJ47,(AJ47+IF($B$1+34&lt;=$B47,12*$B$7,-12*MAX(0,$B$6-IF($B$1+34&gt;=$B$23,$B$22,0))*(1+$B$4)^34))*IF(AJ47+IF($B$1+34&lt;=$B47,12*$B$7,-12*MAX(0,$B$6-IF($B$1+34&gt;=$B$23,$B$22,0))*(1+$B$4)^34)&gt;0,1+$B$3,1))</f>
        <v/>
      </c>
      <c r="AL47">
        <f>IF($B$1+35&gt;90,AK47,(AK47+IF($B$1+35&lt;=$B47,12*$B$7,-12*MAX(0,$B$6-IF($B$1+35&gt;=$B$23,$B$22,0))*(1+$B$4)^35))*IF(AK47+IF($B$1+35&lt;=$B47,12*$B$7,-12*MAX(0,$B$6-IF($B$1+35&gt;=$B$23,$B$22,0))*(1+$B$4)^35)&gt;0,1+$B$3,1))</f>
        <v/>
      </c>
      <c r="AM47">
        <f>IF($B$1+36&gt;90,AL47,(AL47+IF($B$1+36&lt;=$B47,12*$B$7,-12*MAX(0,$B$6-IF($B$1+36&gt;=$B$23,$B$22,0))*(1+$B$4)^36))*IF(AL47+IF($B$1+36&lt;=$B47,12*$B$7,-12*MAX(0,$B$6-IF($B$1+36&gt;=$B$23,$B$22,0))*(1+$B$4)^36)&gt;0,1+$B$3,1))</f>
        <v/>
      </c>
      <c r="AN47">
        <f>IF($B$1+37&gt;90,AM47,(AM47+IF($B$1+37&lt;=$B47,12*$B$7,-12*MAX(0,$B$6-IF($B$1+37&gt;=$B$23,$B$22,0))*(1+$B$4)^37))*IF(AM47+IF($B$1+37&lt;=$B47,12*$B$7,-12*MAX(0,$B$6-IF($B$1+37&gt;=$B$23,$B$22,0))*(1+$B$4)^37)&gt;0,1+$B$3,1))</f>
        <v/>
      </c>
      <c r="AO47">
        <f>IF($B$1+38&gt;90,AN47,(AN47+IF($B$1+38&lt;=$B47,12*$B$7,-12*MAX(0,$B$6-IF($B$1+38&gt;=$B$23,$B$22,0))*(1+$B$4)^38))*IF(AN47+IF($B$1+38&lt;=$B47,12*$B$7,-12*MAX(0,$B$6-IF($B$1+38&gt;=$B$23,$B$22,0))*(1+$B$4)^38)&gt;0,1+$B$3,1))</f>
        <v/>
      </c>
      <c r="AP47">
        <f>IF($B$1+39&gt;90,AO47,(AO47+IF($B$1+39&lt;=$B47,12*$B$7,-12*MAX(0,$B$6-IF($B$1+39&gt;=$B$23,$B$22,0))*(1+$B$4)^39))*IF(AO47+IF($B$1+39&lt;=$B47,12*$B$7,-12*MAX(0,$B$6-IF($B$1+39&gt;=$B$23,$B$22,0))*(1+$B$4)^39)&gt;0,1+$B$3,1))</f>
        <v/>
      </c>
      <c r="AQ47">
        <f>IF($B$1+40&gt;90,AP47,(AP47+IF($B$1+40&lt;=$B47,12*$B$7,-12*MAX(0,$B$6-IF($B$1+40&gt;=$B$23,$B$22,0))*(1+$B$4)^40))*IF(AP47+IF($B$1+40&lt;=$B47,12*$B$7,-12*MAX(0,$B$6-IF($B$1+40&gt;=$B$23,$B$22,0))*(1+$B$4)^40)&gt;0,1+$B$3,1))</f>
        <v/>
      </c>
      <c r="AR47">
        <f>IF($B$1+41&gt;90,AQ47,(AQ47+IF($B$1+41&lt;=$B47,12*$B$7,-12*MAX(0,$B$6-IF($B$1+41&gt;=$B$23,$B$22,0))*(1+$B$4)^41))*IF(AQ47+IF($B$1+41&lt;=$B47,12*$B$7,-12*MAX(0,$B$6-IF($B$1+41&gt;=$B$23,$B$22,0))*(1+$B$4)^41)&gt;0,1+$B$3,1))</f>
        <v/>
      </c>
      <c r="AS47">
        <f>IF($B$1+42&gt;90,AR47,(AR47+IF($B$1+42&lt;=$B47,12*$B$7,-12*MAX(0,$B$6-IF($B$1+42&gt;=$B$23,$B$22,0))*(1+$B$4)^42))*IF(AR47+IF($B$1+42&lt;=$B47,12*$B$7,-12*MAX(0,$B$6-IF($B$1+42&gt;=$B$23,$B$22,0))*(1+$B$4)^42)&gt;0,1+$B$3,1))</f>
        <v/>
      </c>
      <c r="AT47">
        <f>IF($B$1+43&gt;90,AS47,(AS47+IF($B$1+43&lt;=$B47,12*$B$7,-12*MAX(0,$B$6-IF($B$1+43&gt;=$B$23,$B$22,0))*(1+$B$4)^43))*IF(AS47+IF($B$1+43&lt;=$B47,12*$B$7,-12*MAX(0,$B$6-IF($B$1+43&gt;=$B$23,$B$22,0))*(1+$B$4)^43)&gt;0,1+$B$3,1))</f>
        <v/>
      </c>
      <c r="AU47">
        <f>IF($B$1+44&gt;90,AT47,(AT47+IF($B$1+44&lt;=$B47,12*$B$7,-12*MAX(0,$B$6-IF($B$1+44&gt;=$B$23,$B$22,0))*(1+$B$4)^44))*IF(AT47+IF($B$1+44&lt;=$B47,12*$B$7,-12*MAX(0,$B$6-IF($B$1+44&gt;=$B$23,$B$22,0))*(1+$B$4)^44)&gt;0,1+$B$3,1))</f>
        <v/>
      </c>
      <c r="AV47">
        <f>IF($B$1+45&gt;90,AU47,(AU47+IF($B$1+45&lt;=$B47,12*$B$7,-12*MAX(0,$B$6-IF($B$1+45&gt;=$B$23,$B$22,0))*(1+$B$4)^45))*IF(AU47+IF($B$1+45&lt;=$B47,12*$B$7,-12*MAX(0,$B$6-IF($B$1+45&gt;=$B$23,$B$22,0))*(1+$B$4)^45)&gt;0,1+$B$3,1))</f>
        <v/>
      </c>
      <c r="AW47">
        <f>IF($B$1+46&gt;90,AV47,(AV47+IF($B$1+46&lt;=$B47,12*$B$7,-12*MAX(0,$B$6-IF($B$1+46&gt;=$B$23,$B$22,0))*(1+$B$4)^46))*IF(AV47+IF($B$1+46&lt;=$B47,12*$B$7,-12*MAX(0,$B$6-IF($B$1+46&gt;=$B$23,$B$22,0))*(1+$B$4)^46)&gt;0,1+$B$3,1))</f>
        <v/>
      </c>
      <c r="AX47">
        <f>IF($B$1+47&gt;90,AW47,(AW47+IF($B$1+47&lt;=$B47,12*$B$7,-12*MAX(0,$B$6-IF($B$1+47&gt;=$B$23,$B$22,0))*(1+$B$4)^47))*IF(AW47+IF($B$1+47&lt;=$B47,12*$B$7,-12*MAX(0,$B$6-IF($B$1+47&gt;=$B$23,$B$22,0))*(1+$B$4)^47)&gt;0,1+$B$3,1))</f>
        <v/>
      </c>
      <c r="AY47">
        <f>IF($B$1+48&gt;90,AX47,(AX47+IF($B$1+48&lt;=$B47,12*$B$7,-12*MAX(0,$B$6-IF($B$1+48&gt;=$B$23,$B$22,0))*(1+$B$4)^48))*IF(AX47+IF($B$1+48&lt;=$B47,12*$B$7,-12*MAX(0,$B$6-IF($B$1+48&gt;=$B$23,$B$22,0))*(1+$B$4)^48)&gt;0,1+$B$3,1))</f>
        <v/>
      </c>
      <c r="AZ47">
        <f>IF($B$1+49&gt;90,AY47,(AY47+IF($B$1+49&lt;=$B47,12*$B$7,-12*MAX(0,$B$6-IF($B$1+49&gt;=$B$23,$B$22,0))*(1+$B$4)^49))*IF(AY47+IF($B$1+49&lt;=$B47,12*$B$7,-12*MAX(0,$B$6-IF($B$1+49&gt;=$B$23,$B$22,0))*(1+$B$4)^49)&gt;0,1+$B$3,1))</f>
        <v/>
      </c>
      <c r="BA47">
        <f>IF($B$1+50&gt;90,AZ47,(AZ47+IF($B$1+50&lt;=$B47,12*$B$7,-12*MAX(0,$B$6-IF($B$1+50&gt;=$B$23,$B$22,0))*(1+$B$4)^50))*IF(AZ47+IF($B$1+50&lt;=$B47,12*$B$7,-12*MAX(0,$B$6-IF($B$1+50&gt;=$B$23,$B$22,0))*(1+$B$4)^50)&gt;0,1+$B$3,1))</f>
        <v/>
      </c>
      <c r="BB47">
        <f>IF($B$1+51&gt;90,BA47,(BA47+IF($B$1+51&lt;=$B47,12*$B$7,-12*MAX(0,$B$6-IF($B$1+51&gt;=$B$23,$B$22,0))*(1+$B$4)^51))*IF(BA47+IF($B$1+51&lt;=$B47,12*$B$7,-12*MAX(0,$B$6-IF($B$1+51&gt;=$B$23,$B$22,0))*(1+$B$4)^51)&gt;0,1+$B$3,1))</f>
        <v/>
      </c>
      <c r="BC47">
        <f>IF($B$1+52&gt;90,BB47,(BB47+IF($B$1+52&lt;=$B47,12*$B$7,-12*MAX(0,$B$6-IF($B$1+52&gt;=$B$23,$B$22,0))*(1+$B$4)^52))*IF(BB47+IF($B$1+52&lt;=$B47,12*$B$7,-12*MAX(0,$B$6-IF($B$1+52&gt;=$B$23,$B$22,0))*(1+$B$4)^52)&gt;0,1+$B$3,1))</f>
        <v/>
      </c>
      <c r="BD47">
        <f>IF($B$1+53&gt;90,BC47,(BC47+IF($B$1+53&lt;=$B47,12*$B$7,-12*MAX(0,$B$6-IF($B$1+53&gt;=$B$23,$B$22,0))*(1+$B$4)^53))*IF(BC47+IF($B$1+53&lt;=$B47,12*$B$7,-12*MAX(0,$B$6-IF($B$1+53&gt;=$B$23,$B$22,0))*(1+$B$4)^53)&gt;0,1+$B$3,1))</f>
        <v/>
      </c>
      <c r="BE47">
        <f>IF($B$1+54&gt;90,BD47,(BD47+IF($B$1+54&lt;=$B47,12*$B$7,-12*MAX(0,$B$6-IF($B$1+54&gt;=$B$23,$B$22,0))*(1+$B$4)^54))*IF(BD47+IF($B$1+54&lt;=$B47,12*$B$7,-12*MAX(0,$B$6-IF($B$1+54&gt;=$B$23,$B$22,0))*(1+$B$4)^54)&gt;0,1+$B$3,1))</f>
        <v/>
      </c>
      <c r="BF47">
        <f>IF($B$1+55&gt;90,BE47,(BE47+IF($B$1+55&lt;=$B47,12*$B$7,-12*MAX(0,$B$6-IF($B$1+55&gt;=$B$23,$B$22,0))*(1+$B$4)^55))*IF(BE47+IF($B$1+55&lt;=$B47,12*$B$7,-12*MAX(0,$B$6-IF($B$1+55&gt;=$B$23,$B$22,0))*(1+$B$4)^55)&gt;0,1+$B$3,1))</f>
        <v/>
      </c>
      <c r="BG47">
        <f>IF($B$1+56&gt;90,BF47,(BF47+IF($B$1+56&lt;=$B47,12*$B$7,-12*MAX(0,$B$6-IF($B$1+56&gt;=$B$23,$B$22,0))*(1+$B$4)^56))*IF(BF47+IF($B$1+56&lt;=$B47,12*$B$7,-12*MAX(0,$B$6-IF($B$1+56&gt;=$B$23,$B$22,0))*(1+$B$4)^56)&gt;0,1+$B$3,1))</f>
        <v/>
      </c>
      <c r="BH47">
        <f>IF($B$1+57&gt;90,BG47,(BG47+IF($B$1+57&lt;=$B47,12*$B$7,-12*MAX(0,$B$6-IF($B$1+57&gt;=$B$23,$B$22,0))*(1+$B$4)^57))*IF(BG47+IF($B$1+57&lt;=$B47,12*$B$7,-12*MAX(0,$B$6-IF($B$1+57&gt;=$B$23,$B$22,0))*(1+$B$4)^57)&gt;0,1+$B$3,1))</f>
        <v/>
      </c>
      <c r="BI47">
        <f>IF($B$1+58&gt;90,BH47,(BH47+IF($B$1+58&lt;=$B47,12*$B$7,-12*MAX(0,$B$6-IF($B$1+58&gt;=$B$23,$B$22,0))*(1+$B$4)^58))*IF(BH47+IF($B$1+58&lt;=$B47,12*$B$7,-12*MAX(0,$B$6-IF($B$1+58&gt;=$B$23,$B$22,0))*(1+$B$4)^58)&gt;0,1+$B$3,1))</f>
        <v/>
      </c>
      <c r="BJ47">
        <f>IF($B$1+59&gt;90,BI47,(BI47+IF($B$1+59&lt;=$B47,12*$B$7,-12*MAX(0,$B$6-IF($B$1+59&gt;=$B$23,$B$22,0))*(1+$B$4)^59))*IF(BI47+IF($B$1+59&lt;=$B47,12*$B$7,-12*MAX(0,$B$6-IF($B$1+59&gt;=$B$23,$B$22,0))*(1+$B$4)^59)&gt;0,1+$B$3,1))</f>
        <v/>
      </c>
      <c r="BK47">
        <f>IF($B$1+60&gt;90,BJ47,(BJ47+IF($B$1+60&lt;=$B47,12*$B$7,-12*MAX(0,$B$6-IF($B$1+60&gt;=$B$23,$B$22,0))*(1+$B$4)^60))*IF(BJ47+IF($B$1+60&lt;=$B47,12*$B$7,-12*MAX(0,$B$6-IF($B$1+60&gt;=$B$23,$B$22,0))*(1+$B$4)^60)&gt;0,1+$B$3,1))</f>
        <v/>
      </c>
      <c r="BL47">
        <f>IF($B$1+61&gt;90,BK47,(BK47+IF($B$1+61&lt;=$B47,12*$B$7,-12*MAX(0,$B$6-IF($B$1+61&gt;=$B$23,$B$22,0))*(1+$B$4)^61))*IF(BK47+IF($B$1+61&lt;=$B47,12*$B$7,-12*MAX(0,$B$6-IF($B$1+61&gt;=$B$23,$B$22,0))*(1+$B$4)^61)&gt;0,1+$B$3,1))</f>
        <v/>
      </c>
      <c r="BM47">
        <f>IF($B$1+62&gt;90,BL47,(BL47+IF($B$1+62&lt;=$B47,12*$B$7,-12*MAX(0,$B$6-IF($B$1+62&gt;=$B$23,$B$22,0))*(1+$B$4)^62))*IF(BL47+IF($B$1+62&lt;=$B47,12*$B$7,-12*MAX(0,$B$6-IF($B$1+62&gt;=$B$23,$B$22,0))*(1+$B$4)^62)&gt;0,1+$B$3,1))</f>
        <v/>
      </c>
      <c r="BN47">
        <f>IF($B$1+63&gt;90,BM47,(BM47+IF($B$1+63&lt;=$B47,12*$B$7,-12*MAX(0,$B$6-IF($B$1+63&gt;=$B$23,$B$22,0))*(1+$B$4)^63))*IF(BM47+IF($B$1+63&lt;=$B47,12*$B$7,-12*MAX(0,$B$6-IF($B$1+63&gt;=$B$23,$B$22,0))*(1+$B$4)^63)&gt;0,1+$B$3,1))</f>
        <v/>
      </c>
      <c r="BO47">
        <f>IF($B$1+64&gt;90,BN47,(BN47+IF($B$1+64&lt;=$B47,12*$B$7,-12*MAX(0,$B$6-IF($B$1+64&gt;=$B$23,$B$22,0))*(1+$B$4)^64))*IF(BN47+IF($B$1+64&lt;=$B47,12*$B$7,-12*MAX(0,$B$6-IF($B$1+64&gt;=$B$23,$B$22,0))*(1+$B$4)^64)&gt;0,1+$B$3,1))</f>
        <v/>
      </c>
      <c r="BP47">
        <f>IF($B$1+65&gt;90,BO47,(BO47+IF($B$1+65&lt;=$B47,12*$B$7,-12*MAX(0,$B$6-IF($B$1+65&gt;=$B$23,$B$22,0))*(1+$B$4)^65))*IF(BO47+IF($B$1+65&lt;=$B47,12*$B$7,-12*MAX(0,$B$6-IF($B$1+65&gt;=$B$23,$B$22,0))*(1+$B$4)^65)&gt;0,1+$B$3,1))</f>
        <v/>
      </c>
      <c r="BQ47">
        <f>IF($B$1+66&gt;90,BP47,(BP47+IF($B$1+66&lt;=$B47,12*$B$7,-12*MAX(0,$B$6-IF($B$1+66&gt;=$B$23,$B$22,0))*(1+$B$4)^66))*IF(BP47+IF($B$1+66&lt;=$B47,12*$B$7,-12*MAX(0,$B$6-IF($B$1+66&gt;=$B$23,$B$22,0))*(1+$B$4)^66)&gt;0,1+$B$3,1))</f>
        <v/>
      </c>
      <c r="BR47">
        <f>IF($B$1+67&gt;90,BQ47,(BQ47+IF($B$1+67&lt;=$B47,12*$B$7,-12*MAX(0,$B$6-IF($B$1+67&gt;=$B$23,$B$22,0))*(1+$B$4)^67))*IF(BQ47+IF($B$1+67&lt;=$B47,12*$B$7,-12*MAX(0,$B$6-IF($B$1+67&gt;=$B$23,$B$22,0))*(1+$B$4)^67)&gt;0,1+$B$3,1))</f>
        <v/>
      </c>
      <c r="BS47">
        <f>IF($B$1+68&gt;90,BR47,(BR47+IF($B$1+68&lt;=$B47,12*$B$7,-12*MAX(0,$B$6-IF($B$1+68&gt;=$B$23,$B$22,0))*(1+$B$4)^68))*IF(BR47+IF($B$1+68&lt;=$B47,12*$B$7,-12*MAX(0,$B$6-IF($B$1+68&gt;=$B$23,$B$22,0))*(1+$B$4)^68)&gt;0,1+$B$3,1))</f>
        <v/>
      </c>
      <c r="BT47">
        <f>IF($B$1+69&gt;90,BS47,(BS47+IF($B$1+69&lt;=$B47,12*$B$7,-12*MAX(0,$B$6-IF($B$1+69&gt;=$B$23,$B$22,0))*(1+$B$4)^69))*IF(BS47+IF($B$1+69&lt;=$B47,12*$B$7,-12*MAX(0,$B$6-IF($B$1+69&gt;=$B$23,$B$22,0))*(1+$B$4)^69)&gt;0,1+$B$3,1))</f>
        <v/>
      </c>
      <c r="BU47">
        <f>IF($B$1+70&gt;90,BT47,(BT47+IF($B$1+70&lt;=$B47,12*$B$7,-12*MAX(0,$B$6-IF($B$1+70&gt;=$B$23,$B$22,0))*(1+$B$4)^70))*IF(BT47+IF($B$1+70&lt;=$B47,12*$B$7,-12*MAX(0,$B$6-IF($B$1+70&gt;=$B$23,$B$22,0))*(1+$B$4)^70)&gt;0,1+$B$3,1))</f>
        <v/>
      </c>
      <c r="BV47">
        <f>BU47</f>
        <v/>
      </c>
      <c r="BW47">
        <f>IF(AND($B47&lt;=70,BV47&gt;0),$B47,999)</f>
        <v/>
      </c>
      <c r="CB47" t="n">
        <v>46</v>
      </c>
      <c r="CC47">
        <f>IF($B$1+CB47&gt;90,0,12*MAX(0,$B$6-IF($B$1+CB47&gt;=$B$23,$B$22,0))*(1+$B$4)^CB47/(1+$B$3)^(CB47-1))</f>
        <v/>
      </c>
      <c r="CE47">
        <f>IF($B$1+45&gt;90,NA(),$B$1+45)</f>
        <v/>
      </c>
      <c r="CF47">
        <f>IF(OR($B$21="",$B$1+45&gt;90),NA(),INDEX($C$40:$BU$90,$B$21-$B$1+1,46))</f>
        <v/>
      </c>
      <c r="CH47">
        <f>IF(ISTEXT('월 가계부'!A47),SUBSTITUTE(SUBSTITUTE(SUBSTITUTE(SUBSTITUTE(SUBSTITUTE(SUBSTITUTE(SUBSTITUTE(SUBSTITUTE(SUBSTITUTE(TRIM('월 가계부'!A47),"년","-"),"월","-"),"일",""),".","-"),"/","-")," ","-"),"--","-"),"--","-"),"--","-")&amp;"-","")</f>
        <v/>
      </c>
      <c r="CI47">
        <f>IFERROR(IF('월 가계부'!A47="","",IF(ISNUMBER('월 가계부'!A47),IF(AND('월 가계부'!A47&gt;=19000101,'월 가계부'!A47&lt;=21001231),IF(AND(MOD(INT('월 가계부'!A47/100),100)&gt;=1,MOD(INT('월 가계부'!A47/100),100)&lt;=12,MOD(INT('월 가계부'!A47),100)&gt;=1,MOD(INT('월 가계부'!A47),100)&lt;=31),IF(MONTH(DATE(INT('월 가계부'!A47/10000),MOD(INT('월 가계부'!A47/100),100),MOD(INT('월 가계부'!A47),100)))=MOD(INT('월 가계부'!A47/100),100),DATE(INT('월 가계부'!A47/10000),MOD(INT('월 가계부'!A47/100),100),MOD(INT('월 가계부'!A47),100)),""),""),IF(AND('월 가계부'!A47&gt;=36526,'월 가계부'!A47&lt;73051),INT('월 가계부'!A47),"")),IF(OR(CM47="",CN47="",CO47=""),"",IF(AND(CM47&gt;=2000,CM47&lt;=2099,CN47&gt;=1,CN47&lt;=12,CO47&gt;=1,CO47&lt;=31),IF(MONTH(DATE(CM47,CN47,CO47))=CN47,DATE(CM47,CN47,CO47),""),"")))),"")</f>
        <v/>
      </c>
      <c r="CJ47">
        <f>IFERROR(IF('월 가계부'!C47="","",IF(ISNUMBER('월 가계부'!C47),'월 가계부'!C47,VALUE(SUBSTITUTE(SUBSTITUTE(SUBSTITUTE(SUBSTITUTE(TRIM('월 가계부'!C47),",",""),"원","")," ",""),"−","-")))),"")</f>
        <v/>
      </c>
      <c r="CK47">
        <f>IF(ISNUMBER(CI47),IF(CI47&lt;$B$13,CI47,""),"")</f>
        <v/>
      </c>
      <c r="CM47">
        <f>IF(CH47="","",IFERROR(IF(IF(AND(LEN(CH47)=9,ISERROR(FIND("-",LEFT(CH47,8))),ISNUMBER(-LEFT(CH47,8))),VALUE(LEFT(CH47,4)),VALUE(LEFT(CH47,FIND("-",CH47)-1)))&lt;100,IF(AND(LEN(CH47)=9,ISERROR(FIND("-",LEFT(CH47,8))),ISNUMBER(-LEFT(CH47,8))),VALUE(LEFT(CH47,4)),VALUE(LEFT(CH47,FIND("-",CH47)-1)))+2000,IF(AND(LEN(CH47)=9,ISERROR(FIND("-",LEFT(CH47,8))),ISNUMBER(-LEFT(CH47,8))),VALUE(LEFT(CH47,4)),VALUE(LEFT(CH47,FIND("-",CH47)-1)))),""))</f>
        <v/>
      </c>
      <c r="CN47">
        <f>IF(CH47="","",IFERROR(IF(AND(LEN(CH47)=9,ISERROR(FIND("-",LEFT(CH47,8))),ISNUMBER(-LEFT(CH47,8))),VALUE(MID(CH47,5,2)),VALUE(MID(CH47,FIND("-",CH47)+1,FIND("-",CH47,FIND("-",CH47)+1)-FIND("-",CH47)-1))),""))</f>
        <v/>
      </c>
      <c r="CO47">
        <f>IF(CH47="","",IFERROR(IF(AND(LEN(CH47)=9,ISERROR(FIND("-",LEFT(CH47,8))),ISNUMBER(-LEFT(CH47,8))),VALUE(MID(CH47,7,2)),VALUE(MID(CH47,FIND("-",CH47,FIND("-",CH47)+1)+1,FIND("-",CH47,FIND("-",CH47,FIND("-",CH47)+1)+1)-FIND("-",CH47,FIND("-",CH47)+1)-1))),""))</f>
        <v/>
      </c>
    </row>
    <row r="48">
      <c r="A48" t="n">
        <v>8</v>
      </c>
      <c r="B48">
        <f>$B$1+8</f>
        <v/>
      </c>
      <c r="C48">
        <f>$B$2</f>
        <v/>
      </c>
      <c r="D48">
        <f>IF($B$1+1&gt;90,C48,(C48+IF($B$1+1&lt;=$B48,12*$B$7,-12*MAX(0,$B$6-IF($B$1+1&gt;=$B$23,$B$22,0))*(1+$B$4)^1))*IF(C48+IF($B$1+1&lt;=$B48,12*$B$7,-12*MAX(0,$B$6-IF($B$1+1&gt;=$B$23,$B$22,0))*(1+$B$4)^1)&gt;0,1+$B$3,1))</f>
        <v/>
      </c>
      <c r="E48">
        <f>IF($B$1+2&gt;90,D48,(D48+IF($B$1+2&lt;=$B48,12*$B$7,-12*MAX(0,$B$6-IF($B$1+2&gt;=$B$23,$B$22,0))*(1+$B$4)^2))*IF(D48+IF($B$1+2&lt;=$B48,12*$B$7,-12*MAX(0,$B$6-IF($B$1+2&gt;=$B$23,$B$22,0))*(1+$B$4)^2)&gt;0,1+$B$3,1))</f>
        <v/>
      </c>
      <c r="F48">
        <f>IF($B$1+3&gt;90,E48,(E48+IF($B$1+3&lt;=$B48,12*$B$7,-12*MAX(0,$B$6-IF($B$1+3&gt;=$B$23,$B$22,0))*(1+$B$4)^3))*IF(E48+IF($B$1+3&lt;=$B48,12*$B$7,-12*MAX(0,$B$6-IF($B$1+3&gt;=$B$23,$B$22,0))*(1+$B$4)^3)&gt;0,1+$B$3,1))</f>
        <v/>
      </c>
      <c r="G48">
        <f>IF($B$1+4&gt;90,F48,(F48+IF($B$1+4&lt;=$B48,12*$B$7,-12*MAX(0,$B$6-IF($B$1+4&gt;=$B$23,$B$22,0))*(1+$B$4)^4))*IF(F48+IF($B$1+4&lt;=$B48,12*$B$7,-12*MAX(0,$B$6-IF($B$1+4&gt;=$B$23,$B$22,0))*(1+$B$4)^4)&gt;0,1+$B$3,1))</f>
        <v/>
      </c>
      <c r="H48">
        <f>IF($B$1+5&gt;90,G48,(G48+IF($B$1+5&lt;=$B48,12*$B$7,-12*MAX(0,$B$6-IF($B$1+5&gt;=$B$23,$B$22,0))*(1+$B$4)^5))*IF(G48+IF($B$1+5&lt;=$B48,12*$B$7,-12*MAX(0,$B$6-IF($B$1+5&gt;=$B$23,$B$22,0))*(1+$B$4)^5)&gt;0,1+$B$3,1))</f>
        <v/>
      </c>
      <c r="I48">
        <f>IF($B$1+6&gt;90,H48,(H48+IF($B$1+6&lt;=$B48,12*$B$7,-12*MAX(0,$B$6-IF($B$1+6&gt;=$B$23,$B$22,0))*(1+$B$4)^6))*IF(H48+IF($B$1+6&lt;=$B48,12*$B$7,-12*MAX(0,$B$6-IF($B$1+6&gt;=$B$23,$B$22,0))*(1+$B$4)^6)&gt;0,1+$B$3,1))</f>
        <v/>
      </c>
      <c r="J48">
        <f>IF($B$1+7&gt;90,I48,(I48+IF($B$1+7&lt;=$B48,12*$B$7,-12*MAX(0,$B$6-IF($B$1+7&gt;=$B$23,$B$22,0))*(1+$B$4)^7))*IF(I48+IF($B$1+7&lt;=$B48,12*$B$7,-12*MAX(0,$B$6-IF($B$1+7&gt;=$B$23,$B$22,0))*(1+$B$4)^7)&gt;0,1+$B$3,1))</f>
        <v/>
      </c>
      <c r="K48">
        <f>IF($B$1+8&gt;90,J48,(J48+IF($B$1+8&lt;=$B48,12*$B$7,-12*MAX(0,$B$6-IF($B$1+8&gt;=$B$23,$B$22,0))*(1+$B$4)^8))*IF(J48+IF($B$1+8&lt;=$B48,12*$B$7,-12*MAX(0,$B$6-IF($B$1+8&gt;=$B$23,$B$22,0))*(1+$B$4)^8)&gt;0,1+$B$3,1))</f>
        <v/>
      </c>
      <c r="L48">
        <f>IF($B$1+9&gt;90,K48,(K48+IF($B$1+9&lt;=$B48,12*$B$7,-12*MAX(0,$B$6-IF($B$1+9&gt;=$B$23,$B$22,0))*(1+$B$4)^9))*IF(K48+IF($B$1+9&lt;=$B48,12*$B$7,-12*MAX(0,$B$6-IF($B$1+9&gt;=$B$23,$B$22,0))*(1+$B$4)^9)&gt;0,1+$B$3,1))</f>
        <v/>
      </c>
      <c r="M48">
        <f>IF($B$1+10&gt;90,L48,(L48+IF($B$1+10&lt;=$B48,12*$B$7,-12*MAX(0,$B$6-IF($B$1+10&gt;=$B$23,$B$22,0))*(1+$B$4)^10))*IF(L48+IF($B$1+10&lt;=$B48,12*$B$7,-12*MAX(0,$B$6-IF($B$1+10&gt;=$B$23,$B$22,0))*(1+$B$4)^10)&gt;0,1+$B$3,1))</f>
        <v/>
      </c>
      <c r="N48">
        <f>IF($B$1+11&gt;90,M48,(M48+IF($B$1+11&lt;=$B48,12*$B$7,-12*MAX(0,$B$6-IF($B$1+11&gt;=$B$23,$B$22,0))*(1+$B$4)^11))*IF(M48+IF($B$1+11&lt;=$B48,12*$B$7,-12*MAX(0,$B$6-IF($B$1+11&gt;=$B$23,$B$22,0))*(1+$B$4)^11)&gt;0,1+$B$3,1))</f>
        <v/>
      </c>
      <c r="O48">
        <f>IF($B$1+12&gt;90,N48,(N48+IF($B$1+12&lt;=$B48,12*$B$7,-12*MAX(0,$B$6-IF($B$1+12&gt;=$B$23,$B$22,0))*(1+$B$4)^12))*IF(N48+IF($B$1+12&lt;=$B48,12*$B$7,-12*MAX(0,$B$6-IF($B$1+12&gt;=$B$23,$B$22,0))*(1+$B$4)^12)&gt;0,1+$B$3,1))</f>
        <v/>
      </c>
      <c r="P48">
        <f>IF($B$1+13&gt;90,O48,(O48+IF($B$1+13&lt;=$B48,12*$B$7,-12*MAX(0,$B$6-IF($B$1+13&gt;=$B$23,$B$22,0))*(1+$B$4)^13))*IF(O48+IF($B$1+13&lt;=$B48,12*$B$7,-12*MAX(0,$B$6-IF($B$1+13&gt;=$B$23,$B$22,0))*(1+$B$4)^13)&gt;0,1+$B$3,1))</f>
        <v/>
      </c>
      <c r="Q48">
        <f>IF($B$1+14&gt;90,P48,(P48+IF($B$1+14&lt;=$B48,12*$B$7,-12*MAX(0,$B$6-IF($B$1+14&gt;=$B$23,$B$22,0))*(1+$B$4)^14))*IF(P48+IF($B$1+14&lt;=$B48,12*$B$7,-12*MAX(0,$B$6-IF($B$1+14&gt;=$B$23,$B$22,0))*(1+$B$4)^14)&gt;0,1+$B$3,1))</f>
        <v/>
      </c>
      <c r="R48">
        <f>IF($B$1+15&gt;90,Q48,(Q48+IF($B$1+15&lt;=$B48,12*$B$7,-12*MAX(0,$B$6-IF($B$1+15&gt;=$B$23,$B$22,0))*(1+$B$4)^15))*IF(Q48+IF($B$1+15&lt;=$B48,12*$B$7,-12*MAX(0,$B$6-IF($B$1+15&gt;=$B$23,$B$22,0))*(1+$B$4)^15)&gt;0,1+$B$3,1))</f>
        <v/>
      </c>
      <c r="S48">
        <f>IF($B$1+16&gt;90,R48,(R48+IF($B$1+16&lt;=$B48,12*$B$7,-12*MAX(0,$B$6-IF($B$1+16&gt;=$B$23,$B$22,0))*(1+$B$4)^16))*IF(R48+IF($B$1+16&lt;=$B48,12*$B$7,-12*MAX(0,$B$6-IF($B$1+16&gt;=$B$23,$B$22,0))*(1+$B$4)^16)&gt;0,1+$B$3,1))</f>
        <v/>
      </c>
      <c r="T48">
        <f>IF($B$1+17&gt;90,S48,(S48+IF($B$1+17&lt;=$B48,12*$B$7,-12*MAX(0,$B$6-IF($B$1+17&gt;=$B$23,$B$22,0))*(1+$B$4)^17))*IF(S48+IF($B$1+17&lt;=$B48,12*$B$7,-12*MAX(0,$B$6-IF($B$1+17&gt;=$B$23,$B$22,0))*(1+$B$4)^17)&gt;0,1+$B$3,1))</f>
        <v/>
      </c>
      <c r="U48">
        <f>IF($B$1+18&gt;90,T48,(T48+IF($B$1+18&lt;=$B48,12*$B$7,-12*MAX(0,$B$6-IF($B$1+18&gt;=$B$23,$B$22,0))*(1+$B$4)^18))*IF(T48+IF($B$1+18&lt;=$B48,12*$B$7,-12*MAX(0,$B$6-IF($B$1+18&gt;=$B$23,$B$22,0))*(1+$B$4)^18)&gt;0,1+$B$3,1))</f>
        <v/>
      </c>
      <c r="V48">
        <f>IF($B$1+19&gt;90,U48,(U48+IF($B$1+19&lt;=$B48,12*$B$7,-12*MAX(0,$B$6-IF($B$1+19&gt;=$B$23,$B$22,0))*(1+$B$4)^19))*IF(U48+IF($B$1+19&lt;=$B48,12*$B$7,-12*MAX(0,$B$6-IF($B$1+19&gt;=$B$23,$B$22,0))*(1+$B$4)^19)&gt;0,1+$B$3,1))</f>
        <v/>
      </c>
      <c r="W48">
        <f>IF($B$1+20&gt;90,V48,(V48+IF($B$1+20&lt;=$B48,12*$B$7,-12*MAX(0,$B$6-IF($B$1+20&gt;=$B$23,$B$22,0))*(1+$B$4)^20))*IF(V48+IF($B$1+20&lt;=$B48,12*$B$7,-12*MAX(0,$B$6-IF($B$1+20&gt;=$B$23,$B$22,0))*(1+$B$4)^20)&gt;0,1+$B$3,1))</f>
        <v/>
      </c>
      <c r="X48">
        <f>IF($B$1+21&gt;90,W48,(W48+IF($B$1+21&lt;=$B48,12*$B$7,-12*MAX(0,$B$6-IF($B$1+21&gt;=$B$23,$B$22,0))*(1+$B$4)^21))*IF(W48+IF($B$1+21&lt;=$B48,12*$B$7,-12*MAX(0,$B$6-IF($B$1+21&gt;=$B$23,$B$22,0))*(1+$B$4)^21)&gt;0,1+$B$3,1))</f>
        <v/>
      </c>
      <c r="Y48">
        <f>IF($B$1+22&gt;90,X48,(X48+IF($B$1+22&lt;=$B48,12*$B$7,-12*MAX(0,$B$6-IF($B$1+22&gt;=$B$23,$B$22,0))*(1+$B$4)^22))*IF(X48+IF($B$1+22&lt;=$B48,12*$B$7,-12*MAX(0,$B$6-IF($B$1+22&gt;=$B$23,$B$22,0))*(1+$B$4)^22)&gt;0,1+$B$3,1))</f>
        <v/>
      </c>
      <c r="Z48">
        <f>IF($B$1+23&gt;90,Y48,(Y48+IF($B$1+23&lt;=$B48,12*$B$7,-12*MAX(0,$B$6-IF($B$1+23&gt;=$B$23,$B$22,0))*(1+$B$4)^23))*IF(Y48+IF($B$1+23&lt;=$B48,12*$B$7,-12*MAX(0,$B$6-IF($B$1+23&gt;=$B$23,$B$22,0))*(1+$B$4)^23)&gt;0,1+$B$3,1))</f>
        <v/>
      </c>
      <c r="AA48">
        <f>IF($B$1+24&gt;90,Z48,(Z48+IF($B$1+24&lt;=$B48,12*$B$7,-12*MAX(0,$B$6-IF($B$1+24&gt;=$B$23,$B$22,0))*(1+$B$4)^24))*IF(Z48+IF($B$1+24&lt;=$B48,12*$B$7,-12*MAX(0,$B$6-IF($B$1+24&gt;=$B$23,$B$22,0))*(1+$B$4)^24)&gt;0,1+$B$3,1))</f>
        <v/>
      </c>
      <c r="AB48">
        <f>IF($B$1+25&gt;90,AA48,(AA48+IF($B$1+25&lt;=$B48,12*$B$7,-12*MAX(0,$B$6-IF($B$1+25&gt;=$B$23,$B$22,0))*(1+$B$4)^25))*IF(AA48+IF($B$1+25&lt;=$B48,12*$B$7,-12*MAX(0,$B$6-IF($B$1+25&gt;=$B$23,$B$22,0))*(1+$B$4)^25)&gt;0,1+$B$3,1))</f>
        <v/>
      </c>
      <c r="AC48">
        <f>IF($B$1+26&gt;90,AB48,(AB48+IF($B$1+26&lt;=$B48,12*$B$7,-12*MAX(0,$B$6-IF($B$1+26&gt;=$B$23,$B$22,0))*(1+$B$4)^26))*IF(AB48+IF($B$1+26&lt;=$B48,12*$B$7,-12*MAX(0,$B$6-IF($B$1+26&gt;=$B$23,$B$22,0))*(1+$B$4)^26)&gt;0,1+$B$3,1))</f>
        <v/>
      </c>
      <c r="AD48">
        <f>IF($B$1+27&gt;90,AC48,(AC48+IF($B$1+27&lt;=$B48,12*$B$7,-12*MAX(0,$B$6-IF($B$1+27&gt;=$B$23,$B$22,0))*(1+$B$4)^27))*IF(AC48+IF($B$1+27&lt;=$B48,12*$B$7,-12*MAX(0,$B$6-IF($B$1+27&gt;=$B$23,$B$22,0))*(1+$B$4)^27)&gt;0,1+$B$3,1))</f>
        <v/>
      </c>
      <c r="AE48">
        <f>IF($B$1+28&gt;90,AD48,(AD48+IF($B$1+28&lt;=$B48,12*$B$7,-12*MAX(0,$B$6-IF($B$1+28&gt;=$B$23,$B$22,0))*(1+$B$4)^28))*IF(AD48+IF($B$1+28&lt;=$B48,12*$B$7,-12*MAX(0,$B$6-IF($B$1+28&gt;=$B$23,$B$22,0))*(1+$B$4)^28)&gt;0,1+$B$3,1))</f>
        <v/>
      </c>
      <c r="AF48">
        <f>IF($B$1+29&gt;90,AE48,(AE48+IF($B$1+29&lt;=$B48,12*$B$7,-12*MAX(0,$B$6-IF($B$1+29&gt;=$B$23,$B$22,0))*(1+$B$4)^29))*IF(AE48+IF($B$1+29&lt;=$B48,12*$B$7,-12*MAX(0,$B$6-IF($B$1+29&gt;=$B$23,$B$22,0))*(1+$B$4)^29)&gt;0,1+$B$3,1))</f>
        <v/>
      </c>
      <c r="AG48">
        <f>IF($B$1+30&gt;90,AF48,(AF48+IF($B$1+30&lt;=$B48,12*$B$7,-12*MAX(0,$B$6-IF($B$1+30&gt;=$B$23,$B$22,0))*(1+$B$4)^30))*IF(AF48+IF($B$1+30&lt;=$B48,12*$B$7,-12*MAX(0,$B$6-IF($B$1+30&gt;=$B$23,$B$22,0))*(1+$B$4)^30)&gt;0,1+$B$3,1))</f>
        <v/>
      </c>
      <c r="AH48">
        <f>IF($B$1+31&gt;90,AG48,(AG48+IF($B$1+31&lt;=$B48,12*$B$7,-12*MAX(0,$B$6-IF($B$1+31&gt;=$B$23,$B$22,0))*(1+$B$4)^31))*IF(AG48+IF($B$1+31&lt;=$B48,12*$B$7,-12*MAX(0,$B$6-IF($B$1+31&gt;=$B$23,$B$22,0))*(1+$B$4)^31)&gt;0,1+$B$3,1))</f>
        <v/>
      </c>
      <c r="AI48">
        <f>IF($B$1+32&gt;90,AH48,(AH48+IF($B$1+32&lt;=$B48,12*$B$7,-12*MAX(0,$B$6-IF($B$1+32&gt;=$B$23,$B$22,0))*(1+$B$4)^32))*IF(AH48+IF($B$1+32&lt;=$B48,12*$B$7,-12*MAX(0,$B$6-IF($B$1+32&gt;=$B$23,$B$22,0))*(1+$B$4)^32)&gt;0,1+$B$3,1))</f>
        <v/>
      </c>
      <c r="AJ48">
        <f>IF($B$1+33&gt;90,AI48,(AI48+IF($B$1+33&lt;=$B48,12*$B$7,-12*MAX(0,$B$6-IF($B$1+33&gt;=$B$23,$B$22,0))*(1+$B$4)^33))*IF(AI48+IF($B$1+33&lt;=$B48,12*$B$7,-12*MAX(0,$B$6-IF($B$1+33&gt;=$B$23,$B$22,0))*(1+$B$4)^33)&gt;0,1+$B$3,1))</f>
        <v/>
      </c>
      <c r="AK48">
        <f>IF($B$1+34&gt;90,AJ48,(AJ48+IF($B$1+34&lt;=$B48,12*$B$7,-12*MAX(0,$B$6-IF($B$1+34&gt;=$B$23,$B$22,0))*(1+$B$4)^34))*IF(AJ48+IF($B$1+34&lt;=$B48,12*$B$7,-12*MAX(0,$B$6-IF($B$1+34&gt;=$B$23,$B$22,0))*(1+$B$4)^34)&gt;0,1+$B$3,1))</f>
        <v/>
      </c>
      <c r="AL48">
        <f>IF($B$1+35&gt;90,AK48,(AK48+IF($B$1+35&lt;=$B48,12*$B$7,-12*MAX(0,$B$6-IF($B$1+35&gt;=$B$23,$B$22,0))*(1+$B$4)^35))*IF(AK48+IF($B$1+35&lt;=$B48,12*$B$7,-12*MAX(0,$B$6-IF($B$1+35&gt;=$B$23,$B$22,0))*(1+$B$4)^35)&gt;0,1+$B$3,1))</f>
        <v/>
      </c>
      <c r="AM48">
        <f>IF($B$1+36&gt;90,AL48,(AL48+IF($B$1+36&lt;=$B48,12*$B$7,-12*MAX(0,$B$6-IF($B$1+36&gt;=$B$23,$B$22,0))*(1+$B$4)^36))*IF(AL48+IF($B$1+36&lt;=$B48,12*$B$7,-12*MAX(0,$B$6-IF($B$1+36&gt;=$B$23,$B$22,0))*(1+$B$4)^36)&gt;0,1+$B$3,1))</f>
        <v/>
      </c>
      <c r="AN48">
        <f>IF($B$1+37&gt;90,AM48,(AM48+IF($B$1+37&lt;=$B48,12*$B$7,-12*MAX(0,$B$6-IF($B$1+37&gt;=$B$23,$B$22,0))*(1+$B$4)^37))*IF(AM48+IF($B$1+37&lt;=$B48,12*$B$7,-12*MAX(0,$B$6-IF($B$1+37&gt;=$B$23,$B$22,0))*(1+$B$4)^37)&gt;0,1+$B$3,1))</f>
        <v/>
      </c>
      <c r="AO48">
        <f>IF($B$1+38&gt;90,AN48,(AN48+IF($B$1+38&lt;=$B48,12*$B$7,-12*MAX(0,$B$6-IF($B$1+38&gt;=$B$23,$B$22,0))*(1+$B$4)^38))*IF(AN48+IF($B$1+38&lt;=$B48,12*$B$7,-12*MAX(0,$B$6-IF($B$1+38&gt;=$B$23,$B$22,0))*(1+$B$4)^38)&gt;0,1+$B$3,1))</f>
        <v/>
      </c>
      <c r="AP48">
        <f>IF($B$1+39&gt;90,AO48,(AO48+IF($B$1+39&lt;=$B48,12*$B$7,-12*MAX(0,$B$6-IF($B$1+39&gt;=$B$23,$B$22,0))*(1+$B$4)^39))*IF(AO48+IF($B$1+39&lt;=$B48,12*$B$7,-12*MAX(0,$B$6-IF($B$1+39&gt;=$B$23,$B$22,0))*(1+$B$4)^39)&gt;0,1+$B$3,1))</f>
        <v/>
      </c>
      <c r="AQ48">
        <f>IF($B$1+40&gt;90,AP48,(AP48+IF($B$1+40&lt;=$B48,12*$B$7,-12*MAX(0,$B$6-IF($B$1+40&gt;=$B$23,$B$22,0))*(1+$B$4)^40))*IF(AP48+IF($B$1+40&lt;=$B48,12*$B$7,-12*MAX(0,$B$6-IF($B$1+40&gt;=$B$23,$B$22,0))*(1+$B$4)^40)&gt;0,1+$B$3,1))</f>
        <v/>
      </c>
      <c r="AR48">
        <f>IF($B$1+41&gt;90,AQ48,(AQ48+IF($B$1+41&lt;=$B48,12*$B$7,-12*MAX(0,$B$6-IF($B$1+41&gt;=$B$23,$B$22,0))*(1+$B$4)^41))*IF(AQ48+IF($B$1+41&lt;=$B48,12*$B$7,-12*MAX(0,$B$6-IF($B$1+41&gt;=$B$23,$B$22,0))*(1+$B$4)^41)&gt;0,1+$B$3,1))</f>
        <v/>
      </c>
      <c r="AS48">
        <f>IF($B$1+42&gt;90,AR48,(AR48+IF($B$1+42&lt;=$B48,12*$B$7,-12*MAX(0,$B$6-IF($B$1+42&gt;=$B$23,$B$22,0))*(1+$B$4)^42))*IF(AR48+IF($B$1+42&lt;=$B48,12*$B$7,-12*MAX(0,$B$6-IF($B$1+42&gt;=$B$23,$B$22,0))*(1+$B$4)^42)&gt;0,1+$B$3,1))</f>
        <v/>
      </c>
      <c r="AT48">
        <f>IF($B$1+43&gt;90,AS48,(AS48+IF($B$1+43&lt;=$B48,12*$B$7,-12*MAX(0,$B$6-IF($B$1+43&gt;=$B$23,$B$22,0))*(1+$B$4)^43))*IF(AS48+IF($B$1+43&lt;=$B48,12*$B$7,-12*MAX(0,$B$6-IF($B$1+43&gt;=$B$23,$B$22,0))*(1+$B$4)^43)&gt;0,1+$B$3,1))</f>
        <v/>
      </c>
      <c r="AU48">
        <f>IF($B$1+44&gt;90,AT48,(AT48+IF($B$1+44&lt;=$B48,12*$B$7,-12*MAX(0,$B$6-IF($B$1+44&gt;=$B$23,$B$22,0))*(1+$B$4)^44))*IF(AT48+IF($B$1+44&lt;=$B48,12*$B$7,-12*MAX(0,$B$6-IF($B$1+44&gt;=$B$23,$B$22,0))*(1+$B$4)^44)&gt;0,1+$B$3,1))</f>
        <v/>
      </c>
      <c r="AV48">
        <f>IF($B$1+45&gt;90,AU48,(AU48+IF($B$1+45&lt;=$B48,12*$B$7,-12*MAX(0,$B$6-IF($B$1+45&gt;=$B$23,$B$22,0))*(1+$B$4)^45))*IF(AU48+IF($B$1+45&lt;=$B48,12*$B$7,-12*MAX(0,$B$6-IF($B$1+45&gt;=$B$23,$B$22,0))*(1+$B$4)^45)&gt;0,1+$B$3,1))</f>
        <v/>
      </c>
      <c r="AW48">
        <f>IF($B$1+46&gt;90,AV48,(AV48+IF($B$1+46&lt;=$B48,12*$B$7,-12*MAX(0,$B$6-IF($B$1+46&gt;=$B$23,$B$22,0))*(1+$B$4)^46))*IF(AV48+IF($B$1+46&lt;=$B48,12*$B$7,-12*MAX(0,$B$6-IF($B$1+46&gt;=$B$23,$B$22,0))*(1+$B$4)^46)&gt;0,1+$B$3,1))</f>
        <v/>
      </c>
      <c r="AX48">
        <f>IF($B$1+47&gt;90,AW48,(AW48+IF($B$1+47&lt;=$B48,12*$B$7,-12*MAX(0,$B$6-IF($B$1+47&gt;=$B$23,$B$22,0))*(1+$B$4)^47))*IF(AW48+IF($B$1+47&lt;=$B48,12*$B$7,-12*MAX(0,$B$6-IF($B$1+47&gt;=$B$23,$B$22,0))*(1+$B$4)^47)&gt;0,1+$B$3,1))</f>
        <v/>
      </c>
      <c r="AY48">
        <f>IF($B$1+48&gt;90,AX48,(AX48+IF($B$1+48&lt;=$B48,12*$B$7,-12*MAX(0,$B$6-IF($B$1+48&gt;=$B$23,$B$22,0))*(1+$B$4)^48))*IF(AX48+IF($B$1+48&lt;=$B48,12*$B$7,-12*MAX(0,$B$6-IF($B$1+48&gt;=$B$23,$B$22,0))*(1+$B$4)^48)&gt;0,1+$B$3,1))</f>
        <v/>
      </c>
      <c r="AZ48">
        <f>IF($B$1+49&gt;90,AY48,(AY48+IF($B$1+49&lt;=$B48,12*$B$7,-12*MAX(0,$B$6-IF($B$1+49&gt;=$B$23,$B$22,0))*(1+$B$4)^49))*IF(AY48+IF($B$1+49&lt;=$B48,12*$B$7,-12*MAX(0,$B$6-IF($B$1+49&gt;=$B$23,$B$22,0))*(1+$B$4)^49)&gt;0,1+$B$3,1))</f>
        <v/>
      </c>
      <c r="BA48">
        <f>IF($B$1+50&gt;90,AZ48,(AZ48+IF($B$1+50&lt;=$B48,12*$B$7,-12*MAX(0,$B$6-IF($B$1+50&gt;=$B$23,$B$22,0))*(1+$B$4)^50))*IF(AZ48+IF($B$1+50&lt;=$B48,12*$B$7,-12*MAX(0,$B$6-IF($B$1+50&gt;=$B$23,$B$22,0))*(1+$B$4)^50)&gt;0,1+$B$3,1))</f>
        <v/>
      </c>
      <c r="BB48">
        <f>IF($B$1+51&gt;90,BA48,(BA48+IF($B$1+51&lt;=$B48,12*$B$7,-12*MAX(0,$B$6-IF($B$1+51&gt;=$B$23,$B$22,0))*(1+$B$4)^51))*IF(BA48+IF($B$1+51&lt;=$B48,12*$B$7,-12*MAX(0,$B$6-IF($B$1+51&gt;=$B$23,$B$22,0))*(1+$B$4)^51)&gt;0,1+$B$3,1))</f>
        <v/>
      </c>
      <c r="BC48">
        <f>IF($B$1+52&gt;90,BB48,(BB48+IF($B$1+52&lt;=$B48,12*$B$7,-12*MAX(0,$B$6-IF($B$1+52&gt;=$B$23,$B$22,0))*(1+$B$4)^52))*IF(BB48+IF($B$1+52&lt;=$B48,12*$B$7,-12*MAX(0,$B$6-IF($B$1+52&gt;=$B$23,$B$22,0))*(1+$B$4)^52)&gt;0,1+$B$3,1))</f>
        <v/>
      </c>
      <c r="BD48">
        <f>IF($B$1+53&gt;90,BC48,(BC48+IF($B$1+53&lt;=$B48,12*$B$7,-12*MAX(0,$B$6-IF($B$1+53&gt;=$B$23,$B$22,0))*(1+$B$4)^53))*IF(BC48+IF($B$1+53&lt;=$B48,12*$B$7,-12*MAX(0,$B$6-IF($B$1+53&gt;=$B$23,$B$22,0))*(1+$B$4)^53)&gt;0,1+$B$3,1))</f>
        <v/>
      </c>
      <c r="BE48">
        <f>IF($B$1+54&gt;90,BD48,(BD48+IF($B$1+54&lt;=$B48,12*$B$7,-12*MAX(0,$B$6-IF($B$1+54&gt;=$B$23,$B$22,0))*(1+$B$4)^54))*IF(BD48+IF($B$1+54&lt;=$B48,12*$B$7,-12*MAX(0,$B$6-IF($B$1+54&gt;=$B$23,$B$22,0))*(1+$B$4)^54)&gt;0,1+$B$3,1))</f>
        <v/>
      </c>
      <c r="BF48">
        <f>IF($B$1+55&gt;90,BE48,(BE48+IF($B$1+55&lt;=$B48,12*$B$7,-12*MAX(0,$B$6-IF($B$1+55&gt;=$B$23,$B$22,0))*(1+$B$4)^55))*IF(BE48+IF($B$1+55&lt;=$B48,12*$B$7,-12*MAX(0,$B$6-IF($B$1+55&gt;=$B$23,$B$22,0))*(1+$B$4)^55)&gt;0,1+$B$3,1))</f>
        <v/>
      </c>
      <c r="BG48">
        <f>IF($B$1+56&gt;90,BF48,(BF48+IF($B$1+56&lt;=$B48,12*$B$7,-12*MAX(0,$B$6-IF($B$1+56&gt;=$B$23,$B$22,0))*(1+$B$4)^56))*IF(BF48+IF($B$1+56&lt;=$B48,12*$B$7,-12*MAX(0,$B$6-IF($B$1+56&gt;=$B$23,$B$22,0))*(1+$B$4)^56)&gt;0,1+$B$3,1))</f>
        <v/>
      </c>
      <c r="BH48">
        <f>IF($B$1+57&gt;90,BG48,(BG48+IF($B$1+57&lt;=$B48,12*$B$7,-12*MAX(0,$B$6-IF($B$1+57&gt;=$B$23,$B$22,0))*(1+$B$4)^57))*IF(BG48+IF($B$1+57&lt;=$B48,12*$B$7,-12*MAX(0,$B$6-IF($B$1+57&gt;=$B$23,$B$22,0))*(1+$B$4)^57)&gt;0,1+$B$3,1))</f>
        <v/>
      </c>
      <c r="BI48">
        <f>IF($B$1+58&gt;90,BH48,(BH48+IF($B$1+58&lt;=$B48,12*$B$7,-12*MAX(0,$B$6-IF($B$1+58&gt;=$B$23,$B$22,0))*(1+$B$4)^58))*IF(BH48+IF($B$1+58&lt;=$B48,12*$B$7,-12*MAX(0,$B$6-IF($B$1+58&gt;=$B$23,$B$22,0))*(1+$B$4)^58)&gt;0,1+$B$3,1))</f>
        <v/>
      </c>
      <c r="BJ48">
        <f>IF($B$1+59&gt;90,BI48,(BI48+IF($B$1+59&lt;=$B48,12*$B$7,-12*MAX(0,$B$6-IF($B$1+59&gt;=$B$23,$B$22,0))*(1+$B$4)^59))*IF(BI48+IF($B$1+59&lt;=$B48,12*$B$7,-12*MAX(0,$B$6-IF($B$1+59&gt;=$B$23,$B$22,0))*(1+$B$4)^59)&gt;0,1+$B$3,1))</f>
        <v/>
      </c>
      <c r="BK48">
        <f>IF($B$1+60&gt;90,BJ48,(BJ48+IF($B$1+60&lt;=$B48,12*$B$7,-12*MAX(0,$B$6-IF($B$1+60&gt;=$B$23,$B$22,0))*(1+$B$4)^60))*IF(BJ48+IF($B$1+60&lt;=$B48,12*$B$7,-12*MAX(0,$B$6-IF($B$1+60&gt;=$B$23,$B$22,0))*(1+$B$4)^60)&gt;0,1+$B$3,1))</f>
        <v/>
      </c>
      <c r="BL48">
        <f>IF($B$1+61&gt;90,BK48,(BK48+IF($B$1+61&lt;=$B48,12*$B$7,-12*MAX(0,$B$6-IF($B$1+61&gt;=$B$23,$B$22,0))*(1+$B$4)^61))*IF(BK48+IF($B$1+61&lt;=$B48,12*$B$7,-12*MAX(0,$B$6-IF($B$1+61&gt;=$B$23,$B$22,0))*(1+$B$4)^61)&gt;0,1+$B$3,1))</f>
        <v/>
      </c>
      <c r="BM48">
        <f>IF($B$1+62&gt;90,BL48,(BL48+IF($B$1+62&lt;=$B48,12*$B$7,-12*MAX(0,$B$6-IF($B$1+62&gt;=$B$23,$B$22,0))*(1+$B$4)^62))*IF(BL48+IF($B$1+62&lt;=$B48,12*$B$7,-12*MAX(0,$B$6-IF($B$1+62&gt;=$B$23,$B$22,0))*(1+$B$4)^62)&gt;0,1+$B$3,1))</f>
        <v/>
      </c>
      <c r="BN48">
        <f>IF($B$1+63&gt;90,BM48,(BM48+IF($B$1+63&lt;=$B48,12*$B$7,-12*MAX(0,$B$6-IF($B$1+63&gt;=$B$23,$B$22,0))*(1+$B$4)^63))*IF(BM48+IF($B$1+63&lt;=$B48,12*$B$7,-12*MAX(0,$B$6-IF($B$1+63&gt;=$B$23,$B$22,0))*(1+$B$4)^63)&gt;0,1+$B$3,1))</f>
        <v/>
      </c>
      <c r="BO48">
        <f>IF($B$1+64&gt;90,BN48,(BN48+IF($B$1+64&lt;=$B48,12*$B$7,-12*MAX(0,$B$6-IF($B$1+64&gt;=$B$23,$B$22,0))*(1+$B$4)^64))*IF(BN48+IF($B$1+64&lt;=$B48,12*$B$7,-12*MAX(0,$B$6-IF($B$1+64&gt;=$B$23,$B$22,0))*(1+$B$4)^64)&gt;0,1+$B$3,1))</f>
        <v/>
      </c>
      <c r="BP48">
        <f>IF($B$1+65&gt;90,BO48,(BO48+IF($B$1+65&lt;=$B48,12*$B$7,-12*MAX(0,$B$6-IF($B$1+65&gt;=$B$23,$B$22,0))*(1+$B$4)^65))*IF(BO48+IF($B$1+65&lt;=$B48,12*$B$7,-12*MAX(0,$B$6-IF($B$1+65&gt;=$B$23,$B$22,0))*(1+$B$4)^65)&gt;0,1+$B$3,1))</f>
        <v/>
      </c>
      <c r="BQ48">
        <f>IF($B$1+66&gt;90,BP48,(BP48+IF($B$1+66&lt;=$B48,12*$B$7,-12*MAX(0,$B$6-IF($B$1+66&gt;=$B$23,$B$22,0))*(1+$B$4)^66))*IF(BP48+IF($B$1+66&lt;=$B48,12*$B$7,-12*MAX(0,$B$6-IF($B$1+66&gt;=$B$23,$B$22,0))*(1+$B$4)^66)&gt;0,1+$B$3,1))</f>
        <v/>
      </c>
      <c r="BR48">
        <f>IF($B$1+67&gt;90,BQ48,(BQ48+IF($B$1+67&lt;=$B48,12*$B$7,-12*MAX(0,$B$6-IF($B$1+67&gt;=$B$23,$B$22,0))*(1+$B$4)^67))*IF(BQ48+IF($B$1+67&lt;=$B48,12*$B$7,-12*MAX(0,$B$6-IF($B$1+67&gt;=$B$23,$B$22,0))*(1+$B$4)^67)&gt;0,1+$B$3,1))</f>
        <v/>
      </c>
      <c r="BS48">
        <f>IF($B$1+68&gt;90,BR48,(BR48+IF($B$1+68&lt;=$B48,12*$B$7,-12*MAX(0,$B$6-IF($B$1+68&gt;=$B$23,$B$22,0))*(1+$B$4)^68))*IF(BR48+IF($B$1+68&lt;=$B48,12*$B$7,-12*MAX(0,$B$6-IF($B$1+68&gt;=$B$23,$B$22,0))*(1+$B$4)^68)&gt;0,1+$B$3,1))</f>
        <v/>
      </c>
      <c r="BT48">
        <f>IF($B$1+69&gt;90,BS48,(BS48+IF($B$1+69&lt;=$B48,12*$B$7,-12*MAX(0,$B$6-IF($B$1+69&gt;=$B$23,$B$22,0))*(1+$B$4)^69))*IF(BS48+IF($B$1+69&lt;=$B48,12*$B$7,-12*MAX(0,$B$6-IF($B$1+69&gt;=$B$23,$B$22,0))*(1+$B$4)^69)&gt;0,1+$B$3,1))</f>
        <v/>
      </c>
      <c r="BU48">
        <f>IF($B$1+70&gt;90,BT48,(BT48+IF($B$1+70&lt;=$B48,12*$B$7,-12*MAX(0,$B$6-IF($B$1+70&gt;=$B$23,$B$22,0))*(1+$B$4)^70))*IF(BT48+IF($B$1+70&lt;=$B48,12*$B$7,-12*MAX(0,$B$6-IF($B$1+70&gt;=$B$23,$B$22,0))*(1+$B$4)^70)&gt;0,1+$B$3,1))</f>
        <v/>
      </c>
      <c r="BV48">
        <f>BU48</f>
        <v/>
      </c>
      <c r="BW48">
        <f>IF(AND($B48&lt;=70,BV48&gt;0),$B48,999)</f>
        <v/>
      </c>
      <c r="CB48" t="n">
        <v>47</v>
      </c>
      <c r="CC48">
        <f>IF($B$1+CB48&gt;90,0,12*MAX(0,$B$6-IF($B$1+CB48&gt;=$B$23,$B$22,0))*(1+$B$4)^CB48/(1+$B$3)^(CB48-1))</f>
        <v/>
      </c>
      <c r="CE48">
        <f>IF($B$1+46&gt;90,NA(),$B$1+46)</f>
        <v/>
      </c>
      <c r="CF48">
        <f>IF(OR($B$21="",$B$1+46&gt;90),NA(),INDEX($C$40:$BU$90,$B$21-$B$1+1,47))</f>
        <v/>
      </c>
      <c r="CH48">
        <f>IF(ISTEXT('월 가계부'!A48),SUBSTITUTE(SUBSTITUTE(SUBSTITUTE(SUBSTITUTE(SUBSTITUTE(SUBSTITUTE(SUBSTITUTE(SUBSTITUTE(SUBSTITUTE(TRIM('월 가계부'!A48),"년","-"),"월","-"),"일",""),".","-"),"/","-")," ","-"),"--","-"),"--","-"),"--","-")&amp;"-","")</f>
        <v/>
      </c>
      <c r="CI48">
        <f>IFERROR(IF('월 가계부'!A48="","",IF(ISNUMBER('월 가계부'!A48),IF(AND('월 가계부'!A48&gt;=19000101,'월 가계부'!A48&lt;=21001231),IF(AND(MOD(INT('월 가계부'!A48/100),100)&gt;=1,MOD(INT('월 가계부'!A48/100),100)&lt;=12,MOD(INT('월 가계부'!A48),100)&gt;=1,MOD(INT('월 가계부'!A48),100)&lt;=31),IF(MONTH(DATE(INT('월 가계부'!A48/10000),MOD(INT('월 가계부'!A48/100),100),MOD(INT('월 가계부'!A48),100)))=MOD(INT('월 가계부'!A48/100),100),DATE(INT('월 가계부'!A48/10000),MOD(INT('월 가계부'!A48/100),100),MOD(INT('월 가계부'!A48),100)),""),""),IF(AND('월 가계부'!A48&gt;=36526,'월 가계부'!A48&lt;73051),INT('월 가계부'!A48),"")),IF(OR(CM48="",CN48="",CO48=""),"",IF(AND(CM48&gt;=2000,CM48&lt;=2099,CN48&gt;=1,CN48&lt;=12,CO48&gt;=1,CO48&lt;=31),IF(MONTH(DATE(CM48,CN48,CO48))=CN48,DATE(CM48,CN48,CO48),""),"")))),"")</f>
        <v/>
      </c>
      <c r="CJ48">
        <f>IFERROR(IF('월 가계부'!C48="","",IF(ISNUMBER('월 가계부'!C48),'월 가계부'!C48,VALUE(SUBSTITUTE(SUBSTITUTE(SUBSTITUTE(SUBSTITUTE(TRIM('월 가계부'!C48),",",""),"원","")," ",""),"−","-")))),"")</f>
        <v/>
      </c>
      <c r="CK48">
        <f>IF(ISNUMBER(CI48),IF(CI48&lt;$B$13,CI48,""),"")</f>
        <v/>
      </c>
      <c r="CM48">
        <f>IF(CH48="","",IFERROR(IF(IF(AND(LEN(CH48)=9,ISERROR(FIND("-",LEFT(CH48,8))),ISNUMBER(-LEFT(CH48,8))),VALUE(LEFT(CH48,4)),VALUE(LEFT(CH48,FIND("-",CH48)-1)))&lt;100,IF(AND(LEN(CH48)=9,ISERROR(FIND("-",LEFT(CH48,8))),ISNUMBER(-LEFT(CH48,8))),VALUE(LEFT(CH48,4)),VALUE(LEFT(CH48,FIND("-",CH48)-1)))+2000,IF(AND(LEN(CH48)=9,ISERROR(FIND("-",LEFT(CH48,8))),ISNUMBER(-LEFT(CH48,8))),VALUE(LEFT(CH48,4)),VALUE(LEFT(CH48,FIND("-",CH48)-1)))),""))</f>
        <v/>
      </c>
      <c r="CN48">
        <f>IF(CH48="","",IFERROR(IF(AND(LEN(CH48)=9,ISERROR(FIND("-",LEFT(CH48,8))),ISNUMBER(-LEFT(CH48,8))),VALUE(MID(CH48,5,2)),VALUE(MID(CH48,FIND("-",CH48)+1,FIND("-",CH48,FIND("-",CH48)+1)-FIND("-",CH48)-1))),""))</f>
        <v/>
      </c>
      <c r="CO48">
        <f>IF(CH48="","",IFERROR(IF(AND(LEN(CH48)=9,ISERROR(FIND("-",LEFT(CH48,8))),ISNUMBER(-LEFT(CH48,8))),VALUE(MID(CH48,7,2)),VALUE(MID(CH48,FIND("-",CH48,FIND("-",CH48)+1)+1,FIND("-",CH48,FIND("-",CH48,FIND("-",CH48)+1)+1)-FIND("-",CH48,FIND("-",CH48)+1)-1))),""))</f>
        <v/>
      </c>
    </row>
    <row r="49">
      <c r="A49" t="n">
        <v>9</v>
      </c>
      <c r="B49">
        <f>$B$1+9</f>
        <v/>
      </c>
      <c r="C49">
        <f>$B$2</f>
        <v/>
      </c>
      <c r="D49">
        <f>IF($B$1+1&gt;90,C49,(C49+IF($B$1+1&lt;=$B49,12*$B$7,-12*MAX(0,$B$6-IF($B$1+1&gt;=$B$23,$B$22,0))*(1+$B$4)^1))*IF(C49+IF($B$1+1&lt;=$B49,12*$B$7,-12*MAX(0,$B$6-IF($B$1+1&gt;=$B$23,$B$22,0))*(1+$B$4)^1)&gt;0,1+$B$3,1))</f>
        <v/>
      </c>
      <c r="E49">
        <f>IF($B$1+2&gt;90,D49,(D49+IF($B$1+2&lt;=$B49,12*$B$7,-12*MAX(0,$B$6-IF($B$1+2&gt;=$B$23,$B$22,0))*(1+$B$4)^2))*IF(D49+IF($B$1+2&lt;=$B49,12*$B$7,-12*MAX(0,$B$6-IF($B$1+2&gt;=$B$23,$B$22,0))*(1+$B$4)^2)&gt;0,1+$B$3,1))</f>
        <v/>
      </c>
      <c r="F49">
        <f>IF($B$1+3&gt;90,E49,(E49+IF($B$1+3&lt;=$B49,12*$B$7,-12*MAX(0,$B$6-IF($B$1+3&gt;=$B$23,$B$22,0))*(1+$B$4)^3))*IF(E49+IF($B$1+3&lt;=$B49,12*$B$7,-12*MAX(0,$B$6-IF($B$1+3&gt;=$B$23,$B$22,0))*(1+$B$4)^3)&gt;0,1+$B$3,1))</f>
        <v/>
      </c>
      <c r="G49">
        <f>IF($B$1+4&gt;90,F49,(F49+IF($B$1+4&lt;=$B49,12*$B$7,-12*MAX(0,$B$6-IF($B$1+4&gt;=$B$23,$B$22,0))*(1+$B$4)^4))*IF(F49+IF($B$1+4&lt;=$B49,12*$B$7,-12*MAX(0,$B$6-IF($B$1+4&gt;=$B$23,$B$22,0))*(1+$B$4)^4)&gt;0,1+$B$3,1))</f>
        <v/>
      </c>
      <c r="H49">
        <f>IF($B$1+5&gt;90,G49,(G49+IF($B$1+5&lt;=$B49,12*$B$7,-12*MAX(0,$B$6-IF($B$1+5&gt;=$B$23,$B$22,0))*(1+$B$4)^5))*IF(G49+IF($B$1+5&lt;=$B49,12*$B$7,-12*MAX(0,$B$6-IF($B$1+5&gt;=$B$23,$B$22,0))*(1+$B$4)^5)&gt;0,1+$B$3,1))</f>
        <v/>
      </c>
      <c r="I49">
        <f>IF($B$1+6&gt;90,H49,(H49+IF($B$1+6&lt;=$B49,12*$B$7,-12*MAX(0,$B$6-IF($B$1+6&gt;=$B$23,$B$22,0))*(1+$B$4)^6))*IF(H49+IF($B$1+6&lt;=$B49,12*$B$7,-12*MAX(0,$B$6-IF($B$1+6&gt;=$B$23,$B$22,0))*(1+$B$4)^6)&gt;0,1+$B$3,1))</f>
        <v/>
      </c>
      <c r="J49">
        <f>IF($B$1+7&gt;90,I49,(I49+IF($B$1+7&lt;=$B49,12*$B$7,-12*MAX(0,$B$6-IF($B$1+7&gt;=$B$23,$B$22,0))*(1+$B$4)^7))*IF(I49+IF($B$1+7&lt;=$B49,12*$B$7,-12*MAX(0,$B$6-IF($B$1+7&gt;=$B$23,$B$22,0))*(1+$B$4)^7)&gt;0,1+$B$3,1))</f>
        <v/>
      </c>
      <c r="K49">
        <f>IF($B$1+8&gt;90,J49,(J49+IF($B$1+8&lt;=$B49,12*$B$7,-12*MAX(0,$B$6-IF($B$1+8&gt;=$B$23,$B$22,0))*(1+$B$4)^8))*IF(J49+IF($B$1+8&lt;=$B49,12*$B$7,-12*MAX(0,$B$6-IF($B$1+8&gt;=$B$23,$B$22,0))*(1+$B$4)^8)&gt;0,1+$B$3,1))</f>
        <v/>
      </c>
      <c r="L49">
        <f>IF($B$1+9&gt;90,K49,(K49+IF($B$1+9&lt;=$B49,12*$B$7,-12*MAX(0,$B$6-IF($B$1+9&gt;=$B$23,$B$22,0))*(1+$B$4)^9))*IF(K49+IF($B$1+9&lt;=$B49,12*$B$7,-12*MAX(0,$B$6-IF($B$1+9&gt;=$B$23,$B$22,0))*(1+$B$4)^9)&gt;0,1+$B$3,1))</f>
        <v/>
      </c>
      <c r="M49">
        <f>IF($B$1+10&gt;90,L49,(L49+IF($B$1+10&lt;=$B49,12*$B$7,-12*MAX(0,$B$6-IF($B$1+10&gt;=$B$23,$B$22,0))*(1+$B$4)^10))*IF(L49+IF($B$1+10&lt;=$B49,12*$B$7,-12*MAX(0,$B$6-IF($B$1+10&gt;=$B$23,$B$22,0))*(1+$B$4)^10)&gt;0,1+$B$3,1))</f>
        <v/>
      </c>
      <c r="N49">
        <f>IF($B$1+11&gt;90,M49,(M49+IF($B$1+11&lt;=$B49,12*$B$7,-12*MAX(0,$B$6-IF($B$1+11&gt;=$B$23,$B$22,0))*(1+$B$4)^11))*IF(M49+IF($B$1+11&lt;=$B49,12*$B$7,-12*MAX(0,$B$6-IF($B$1+11&gt;=$B$23,$B$22,0))*(1+$B$4)^11)&gt;0,1+$B$3,1))</f>
        <v/>
      </c>
      <c r="O49">
        <f>IF($B$1+12&gt;90,N49,(N49+IF($B$1+12&lt;=$B49,12*$B$7,-12*MAX(0,$B$6-IF($B$1+12&gt;=$B$23,$B$22,0))*(1+$B$4)^12))*IF(N49+IF($B$1+12&lt;=$B49,12*$B$7,-12*MAX(0,$B$6-IF($B$1+12&gt;=$B$23,$B$22,0))*(1+$B$4)^12)&gt;0,1+$B$3,1))</f>
        <v/>
      </c>
      <c r="P49">
        <f>IF($B$1+13&gt;90,O49,(O49+IF($B$1+13&lt;=$B49,12*$B$7,-12*MAX(0,$B$6-IF($B$1+13&gt;=$B$23,$B$22,0))*(1+$B$4)^13))*IF(O49+IF($B$1+13&lt;=$B49,12*$B$7,-12*MAX(0,$B$6-IF($B$1+13&gt;=$B$23,$B$22,0))*(1+$B$4)^13)&gt;0,1+$B$3,1))</f>
        <v/>
      </c>
      <c r="Q49">
        <f>IF($B$1+14&gt;90,P49,(P49+IF($B$1+14&lt;=$B49,12*$B$7,-12*MAX(0,$B$6-IF($B$1+14&gt;=$B$23,$B$22,0))*(1+$B$4)^14))*IF(P49+IF($B$1+14&lt;=$B49,12*$B$7,-12*MAX(0,$B$6-IF($B$1+14&gt;=$B$23,$B$22,0))*(1+$B$4)^14)&gt;0,1+$B$3,1))</f>
        <v/>
      </c>
      <c r="R49">
        <f>IF($B$1+15&gt;90,Q49,(Q49+IF($B$1+15&lt;=$B49,12*$B$7,-12*MAX(0,$B$6-IF($B$1+15&gt;=$B$23,$B$22,0))*(1+$B$4)^15))*IF(Q49+IF($B$1+15&lt;=$B49,12*$B$7,-12*MAX(0,$B$6-IF($B$1+15&gt;=$B$23,$B$22,0))*(1+$B$4)^15)&gt;0,1+$B$3,1))</f>
        <v/>
      </c>
      <c r="S49">
        <f>IF($B$1+16&gt;90,R49,(R49+IF($B$1+16&lt;=$B49,12*$B$7,-12*MAX(0,$B$6-IF($B$1+16&gt;=$B$23,$B$22,0))*(1+$B$4)^16))*IF(R49+IF($B$1+16&lt;=$B49,12*$B$7,-12*MAX(0,$B$6-IF($B$1+16&gt;=$B$23,$B$22,0))*(1+$B$4)^16)&gt;0,1+$B$3,1))</f>
        <v/>
      </c>
      <c r="T49">
        <f>IF($B$1+17&gt;90,S49,(S49+IF($B$1+17&lt;=$B49,12*$B$7,-12*MAX(0,$B$6-IF($B$1+17&gt;=$B$23,$B$22,0))*(1+$B$4)^17))*IF(S49+IF($B$1+17&lt;=$B49,12*$B$7,-12*MAX(0,$B$6-IF($B$1+17&gt;=$B$23,$B$22,0))*(1+$B$4)^17)&gt;0,1+$B$3,1))</f>
        <v/>
      </c>
      <c r="U49">
        <f>IF($B$1+18&gt;90,T49,(T49+IF($B$1+18&lt;=$B49,12*$B$7,-12*MAX(0,$B$6-IF($B$1+18&gt;=$B$23,$B$22,0))*(1+$B$4)^18))*IF(T49+IF($B$1+18&lt;=$B49,12*$B$7,-12*MAX(0,$B$6-IF($B$1+18&gt;=$B$23,$B$22,0))*(1+$B$4)^18)&gt;0,1+$B$3,1))</f>
        <v/>
      </c>
      <c r="V49">
        <f>IF($B$1+19&gt;90,U49,(U49+IF($B$1+19&lt;=$B49,12*$B$7,-12*MAX(0,$B$6-IF($B$1+19&gt;=$B$23,$B$22,0))*(1+$B$4)^19))*IF(U49+IF($B$1+19&lt;=$B49,12*$B$7,-12*MAX(0,$B$6-IF($B$1+19&gt;=$B$23,$B$22,0))*(1+$B$4)^19)&gt;0,1+$B$3,1))</f>
        <v/>
      </c>
      <c r="W49">
        <f>IF($B$1+20&gt;90,V49,(V49+IF($B$1+20&lt;=$B49,12*$B$7,-12*MAX(0,$B$6-IF($B$1+20&gt;=$B$23,$B$22,0))*(1+$B$4)^20))*IF(V49+IF($B$1+20&lt;=$B49,12*$B$7,-12*MAX(0,$B$6-IF($B$1+20&gt;=$B$23,$B$22,0))*(1+$B$4)^20)&gt;0,1+$B$3,1))</f>
        <v/>
      </c>
      <c r="X49">
        <f>IF($B$1+21&gt;90,W49,(W49+IF($B$1+21&lt;=$B49,12*$B$7,-12*MAX(0,$B$6-IF($B$1+21&gt;=$B$23,$B$22,0))*(1+$B$4)^21))*IF(W49+IF($B$1+21&lt;=$B49,12*$B$7,-12*MAX(0,$B$6-IF($B$1+21&gt;=$B$23,$B$22,0))*(1+$B$4)^21)&gt;0,1+$B$3,1))</f>
        <v/>
      </c>
      <c r="Y49">
        <f>IF($B$1+22&gt;90,X49,(X49+IF($B$1+22&lt;=$B49,12*$B$7,-12*MAX(0,$B$6-IF($B$1+22&gt;=$B$23,$B$22,0))*(1+$B$4)^22))*IF(X49+IF($B$1+22&lt;=$B49,12*$B$7,-12*MAX(0,$B$6-IF($B$1+22&gt;=$B$23,$B$22,0))*(1+$B$4)^22)&gt;0,1+$B$3,1))</f>
        <v/>
      </c>
      <c r="Z49">
        <f>IF($B$1+23&gt;90,Y49,(Y49+IF($B$1+23&lt;=$B49,12*$B$7,-12*MAX(0,$B$6-IF($B$1+23&gt;=$B$23,$B$22,0))*(1+$B$4)^23))*IF(Y49+IF($B$1+23&lt;=$B49,12*$B$7,-12*MAX(0,$B$6-IF($B$1+23&gt;=$B$23,$B$22,0))*(1+$B$4)^23)&gt;0,1+$B$3,1))</f>
        <v/>
      </c>
      <c r="AA49">
        <f>IF($B$1+24&gt;90,Z49,(Z49+IF($B$1+24&lt;=$B49,12*$B$7,-12*MAX(0,$B$6-IF($B$1+24&gt;=$B$23,$B$22,0))*(1+$B$4)^24))*IF(Z49+IF($B$1+24&lt;=$B49,12*$B$7,-12*MAX(0,$B$6-IF($B$1+24&gt;=$B$23,$B$22,0))*(1+$B$4)^24)&gt;0,1+$B$3,1))</f>
        <v/>
      </c>
      <c r="AB49">
        <f>IF($B$1+25&gt;90,AA49,(AA49+IF($B$1+25&lt;=$B49,12*$B$7,-12*MAX(0,$B$6-IF($B$1+25&gt;=$B$23,$B$22,0))*(1+$B$4)^25))*IF(AA49+IF($B$1+25&lt;=$B49,12*$B$7,-12*MAX(0,$B$6-IF($B$1+25&gt;=$B$23,$B$22,0))*(1+$B$4)^25)&gt;0,1+$B$3,1))</f>
        <v/>
      </c>
      <c r="AC49">
        <f>IF($B$1+26&gt;90,AB49,(AB49+IF($B$1+26&lt;=$B49,12*$B$7,-12*MAX(0,$B$6-IF($B$1+26&gt;=$B$23,$B$22,0))*(1+$B$4)^26))*IF(AB49+IF($B$1+26&lt;=$B49,12*$B$7,-12*MAX(0,$B$6-IF($B$1+26&gt;=$B$23,$B$22,0))*(1+$B$4)^26)&gt;0,1+$B$3,1))</f>
        <v/>
      </c>
      <c r="AD49">
        <f>IF($B$1+27&gt;90,AC49,(AC49+IF($B$1+27&lt;=$B49,12*$B$7,-12*MAX(0,$B$6-IF($B$1+27&gt;=$B$23,$B$22,0))*(1+$B$4)^27))*IF(AC49+IF($B$1+27&lt;=$B49,12*$B$7,-12*MAX(0,$B$6-IF($B$1+27&gt;=$B$23,$B$22,0))*(1+$B$4)^27)&gt;0,1+$B$3,1))</f>
        <v/>
      </c>
      <c r="AE49">
        <f>IF($B$1+28&gt;90,AD49,(AD49+IF($B$1+28&lt;=$B49,12*$B$7,-12*MAX(0,$B$6-IF($B$1+28&gt;=$B$23,$B$22,0))*(1+$B$4)^28))*IF(AD49+IF($B$1+28&lt;=$B49,12*$B$7,-12*MAX(0,$B$6-IF($B$1+28&gt;=$B$23,$B$22,0))*(1+$B$4)^28)&gt;0,1+$B$3,1))</f>
        <v/>
      </c>
      <c r="AF49">
        <f>IF($B$1+29&gt;90,AE49,(AE49+IF($B$1+29&lt;=$B49,12*$B$7,-12*MAX(0,$B$6-IF($B$1+29&gt;=$B$23,$B$22,0))*(1+$B$4)^29))*IF(AE49+IF($B$1+29&lt;=$B49,12*$B$7,-12*MAX(0,$B$6-IF($B$1+29&gt;=$B$23,$B$22,0))*(1+$B$4)^29)&gt;0,1+$B$3,1))</f>
        <v/>
      </c>
      <c r="AG49">
        <f>IF($B$1+30&gt;90,AF49,(AF49+IF($B$1+30&lt;=$B49,12*$B$7,-12*MAX(0,$B$6-IF($B$1+30&gt;=$B$23,$B$22,0))*(1+$B$4)^30))*IF(AF49+IF($B$1+30&lt;=$B49,12*$B$7,-12*MAX(0,$B$6-IF($B$1+30&gt;=$B$23,$B$22,0))*(1+$B$4)^30)&gt;0,1+$B$3,1))</f>
        <v/>
      </c>
      <c r="AH49">
        <f>IF($B$1+31&gt;90,AG49,(AG49+IF($B$1+31&lt;=$B49,12*$B$7,-12*MAX(0,$B$6-IF($B$1+31&gt;=$B$23,$B$22,0))*(1+$B$4)^31))*IF(AG49+IF($B$1+31&lt;=$B49,12*$B$7,-12*MAX(0,$B$6-IF($B$1+31&gt;=$B$23,$B$22,0))*(1+$B$4)^31)&gt;0,1+$B$3,1))</f>
        <v/>
      </c>
      <c r="AI49">
        <f>IF($B$1+32&gt;90,AH49,(AH49+IF($B$1+32&lt;=$B49,12*$B$7,-12*MAX(0,$B$6-IF($B$1+32&gt;=$B$23,$B$22,0))*(1+$B$4)^32))*IF(AH49+IF($B$1+32&lt;=$B49,12*$B$7,-12*MAX(0,$B$6-IF($B$1+32&gt;=$B$23,$B$22,0))*(1+$B$4)^32)&gt;0,1+$B$3,1))</f>
        <v/>
      </c>
      <c r="AJ49">
        <f>IF($B$1+33&gt;90,AI49,(AI49+IF($B$1+33&lt;=$B49,12*$B$7,-12*MAX(0,$B$6-IF($B$1+33&gt;=$B$23,$B$22,0))*(1+$B$4)^33))*IF(AI49+IF($B$1+33&lt;=$B49,12*$B$7,-12*MAX(0,$B$6-IF($B$1+33&gt;=$B$23,$B$22,0))*(1+$B$4)^33)&gt;0,1+$B$3,1))</f>
        <v/>
      </c>
      <c r="AK49">
        <f>IF($B$1+34&gt;90,AJ49,(AJ49+IF($B$1+34&lt;=$B49,12*$B$7,-12*MAX(0,$B$6-IF($B$1+34&gt;=$B$23,$B$22,0))*(1+$B$4)^34))*IF(AJ49+IF($B$1+34&lt;=$B49,12*$B$7,-12*MAX(0,$B$6-IF($B$1+34&gt;=$B$23,$B$22,0))*(1+$B$4)^34)&gt;0,1+$B$3,1))</f>
        <v/>
      </c>
      <c r="AL49">
        <f>IF($B$1+35&gt;90,AK49,(AK49+IF($B$1+35&lt;=$B49,12*$B$7,-12*MAX(0,$B$6-IF($B$1+35&gt;=$B$23,$B$22,0))*(1+$B$4)^35))*IF(AK49+IF($B$1+35&lt;=$B49,12*$B$7,-12*MAX(0,$B$6-IF($B$1+35&gt;=$B$23,$B$22,0))*(1+$B$4)^35)&gt;0,1+$B$3,1))</f>
        <v/>
      </c>
      <c r="AM49">
        <f>IF($B$1+36&gt;90,AL49,(AL49+IF($B$1+36&lt;=$B49,12*$B$7,-12*MAX(0,$B$6-IF($B$1+36&gt;=$B$23,$B$22,0))*(1+$B$4)^36))*IF(AL49+IF($B$1+36&lt;=$B49,12*$B$7,-12*MAX(0,$B$6-IF($B$1+36&gt;=$B$23,$B$22,0))*(1+$B$4)^36)&gt;0,1+$B$3,1))</f>
        <v/>
      </c>
      <c r="AN49">
        <f>IF($B$1+37&gt;90,AM49,(AM49+IF($B$1+37&lt;=$B49,12*$B$7,-12*MAX(0,$B$6-IF($B$1+37&gt;=$B$23,$B$22,0))*(1+$B$4)^37))*IF(AM49+IF($B$1+37&lt;=$B49,12*$B$7,-12*MAX(0,$B$6-IF($B$1+37&gt;=$B$23,$B$22,0))*(1+$B$4)^37)&gt;0,1+$B$3,1))</f>
        <v/>
      </c>
      <c r="AO49">
        <f>IF($B$1+38&gt;90,AN49,(AN49+IF($B$1+38&lt;=$B49,12*$B$7,-12*MAX(0,$B$6-IF($B$1+38&gt;=$B$23,$B$22,0))*(1+$B$4)^38))*IF(AN49+IF($B$1+38&lt;=$B49,12*$B$7,-12*MAX(0,$B$6-IF($B$1+38&gt;=$B$23,$B$22,0))*(1+$B$4)^38)&gt;0,1+$B$3,1))</f>
        <v/>
      </c>
      <c r="AP49">
        <f>IF($B$1+39&gt;90,AO49,(AO49+IF($B$1+39&lt;=$B49,12*$B$7,-12*MAX(0,$B$6-IF($B$1+39&gt;=$B$23,$B$22,0))*(1+$B$4)^39))*IF(AO49+IF($B$1+39&lt;=$B49,12*$B$7,-12*MAX(0,$B$6-IF($B$1+39&gt;=$B$23,$B$22,0))*(1+$B$4)^39)&gt;0,1+$B$3,1))</f>
        <v/>
      </c>
      <c r="AQ49">
        <f>IF($B$1+40&gt;90,AP49,(AP49+IF($B$1+40&lt;=$B49,12*$B$7,-12*MAX(0,$B$6-IF($B$1+40&gt;=$B$23,$B$22,0))*(1+$B$4)^40))*IF(AP49+IF($B$1+40&lt;=$B49,12*$B$7,-12*MAX(0,$B$6-IF($B$1+40&gt;=$B$23,$B$22,0))*(1+$B$4)^40)&gt;0,1+$B$3,1))</f>
        <v/>
      </c>
      <c r="AR49">
        <f>IF($B$1+41&gt;90,AQ49,(AQ49+IF($B$1+41&lt;=$B49,12*$B$7,-12*MAX(0,$B$6-IF($B$1+41&gt;=$B$23,$B$22,0))*(1+$B$4)^41))*IF(AQ49+IF($B$1+41&lt;=$B49,12*$B$7,-12*MAX(0,$B$6-IF($B$1+41&gt;=$B$23,$B$22,0))*(1+$B$4)^41)&gt;0,1+$B$3,1))</f>
        <v/>
      </c>
      <c r="AS49">
        <f>IF($B$1+42&gt;90,AR49,(AR49+IF($B$1+42&lt;=$B49,12*$B$7,-12*MAX(0,$B$6-IF($B$1+42&gt;=$B$23,$B$22,0))*(1+$B$4)^42))*IF(AR49+IF($B$1+42&lt;=$B49,12*$B$7,-12*MAX(0,$B$6-IF($B$1+42&gt;=$B$23,$B$22,0))*(1+$B$4)^42)&gt;0,1+$B$3,1))</f>
        <v/>
      </c>
      <c r="AT49">
        <f>IF($B$1+43&gt;90,AS49,(AS49+IF($B$1+43&lt;=$B49,12*$B$7,-12*MAX(0,$B$6-IF($B$1+43&gt;=$B$23,$B$22,0))*(1+$B$4)^43))*IF(AS49+IF($B$1+43&lt;=$B49,12*$B$7,-12*MAX(0,$B$6-IF($B$1+43&gt;=$B$23,$B$22,0))*(1+$B$4)^43)&gt;0,1+$B$3,1))</f>
        <v/>
      </c>
      <c r="AU49">
        <f>IF($B$1+44&gt;90,AT49,(AT49+IF($B$1+44&lt;=$B49,12*$B$7,-12*MAX(0,$B$6-IF($B$1+44&gt;=$B$23,$B$22,0))*(1+$B$4)^44))*IF(AT49+IF($B$1+44&lt;=$B49,12*$B$7,-12*MAX(0,$B$6-IF($B$1+44&gt;=$B$23,$B$22,0))*(1+$B$4)^44)&gt;0,1+$B$3,1))</f>
        <v/>
      </c>
      <c r="AV49">
        <f>IF($B$1+45&gt;90,AU49,(AU49+IF($B$1+45&lt;=$B49,12*$B$7,-12*MAX(0,$B$6-IF($B$1+45&gt;=$B$23,$B$22,0))*(1+$B$4)^45))*IF(AU49+IF($B$1+45&lt;=$B49,12*$B$7,-12*MAX(0,$B$6-IF($B$1+45&gt;=$B$23,$B$22,0))*(1+$B$4)^45)&gt;0,1+$B$3,1))</f>
        <v/>
      </c>
      <c r="AW49">
        <f>IF($B$1+46&gt;90,AV49,(AV49+IF($B$1+46&lt;=$B49,12*$B$7,-12*MAX(0,$B$6-IF($B$1+46&gt;=$B$23,$B$22,0))*(1+$B$4)^46))*IF(AV49+IF($B$1+46&lt;=$B49,12*$B$7,-12*MAX(0,$B$6-IF($B$1+46&gt;=$B$23,$B$22,0))*(1+$B$4)^46)&gt;0,1+$B$3,1))</f>
        <v/>
      </c>
      <c r="AX49">
        <f>IF($B$1+47&gt;90,AW49,(AW49+IF($B$1+47&lt;=$B49,12*$B$7,-12*MAX(0,$B$6-IF($B$1+47&gt;=$B$23,$B$22,0))*(1+$B$4)^47))*IF(AW49+IF($B$1+47&lt;=$B49,12*$B$7,-12*MAX(0,$B$6-IF($B$1+47&gt;=$B$23,$B$22,0))*(1+$B$4)^47)&gt;0,1+$B$3,1))</f>
        <v/>
      </c>
      <c r="AY49">
        <f>IF($B$1+48&gt;90,AX49,(AX49+IF($B$1+48&lt;=$B49,12*$B$7,-12*MAX(0,$B$6-IF($B$1+48&gt;=$B$23,$B$22,0))*(1+$B$4)^48))*IF(AX49+IF($B$1+48&lt;=$B49,12*$B$7,-12*MAX(0,$B$6-IF($B$1+48&gt;=$B$23,$B$22,0))*(1+$B$4)^48)&gt;0,1+$B$3,1))</f>
        <v/>
      </c>
      <c r="AZ49">
        <f>IF($B$1+49&gt;90,AY49,(AY49+IF($B$1+49&lt;=$B49,12*$B$7,-12*MAX(0,$B$6-IF($B$1+49&gt;=$B$23,$B$22,0))*(1+$B$4)^49))*IF(AY49+IF($B$1+49&lt;=$B49,12*$B$7,-12*MAX(0,$B$6-IF($B$1+49&gt;=$B$23,$B$22,0))*(1+$B$4)^49)&gt;0,1+$B$3,1))</f>
        <v/>
      </c>
      <c r="BA49">
        <f>IF($B$1+50&gt;90,AZ49,(AZ49+IF($B$1+50&lt;=$B49,12*$B$7,-12*MAX(0,$B$6-IF($B$1+50&gt;=$B$23,$B$22,0))*(1+$B$4)^50))*IF(AZ49+IF($B$1+50&lt;=$B49,12*$B$7,-12*MAX(0,$B$6-IF($B$1+50&gt;=$B$23,$B$22,0))*(1+$B$4)^50)&gt;0,1+$B$3,1))</f>
        <v/>
      </c>
      <c r="BB49">
        <f>IF($B$1+51&gt;90,BA49,(BA49+IF($B$1+51&lt;=$B49,12*$B$7,-12*MAX(0,$B$6-IF($B$1+51&gt;=$B$23,$B$22,0))*(1+$B$4)^51))*IF(BA49+IF($B$1+51&lt;=$B49,12*$B$7,-12*MAX(0,$B$6-IF($B$1+51&gt;=$B$23,$B$22,0))*(1+$B$4)^51)&gt;0,1+$B$3,1))</f>
        <v/>
      </c>
      <c r="BC49">
        <f>IF($B$1+52&gt;90,BB49,(BB49+IF($B$1+52&lt;=$B49,12*$B$7,-12*MAX(0,$B$6-IF($B$1+52&gt;=$B$23,$B$22,0))*(1+$B$4)^52))*IF(BB49+IF($B$1+52&lt;=$B49,12*$B$7,-12*MAX(0,$B$6-IF($B$1+52&gt;=$B$23,$B$22,0))*(1+$B$4)^52)&gt;0,1+$B$3,1))</f>
        <v/>
      </c>
      <c r="BD49">
        <f>IF($B$1+53&gt;90,BC49,(BC49+IF($B$1+53&lt;=$B49,12*$B$7,-12*MAX(0,$B$6-IF($B$1+53&gt;=$B$23,$B$22,0))*(1+$B$4)^53))*IF(BC49+IF($B$1+53&lt;=$B49,12*$B$7,-12*MAX(0,$B$6-IF($B$1+53&gt;=$B$23,$B$22,0))*(1+$B$4)^53)&gt;0,1+$B$3,1))</f>
        <v/>
      </c>
      <c r="BE49">
        <f>IF($B$1+54&gt;90,BD49,(BD49+IF($B$1+54&lt;=$B49,12*$B$7,-12*MAX(0,$B$6-IF($B$1+54&gt;=$B$23,$B$22,0))*(1+$B$4)^54))*IF(BD49+IF($B$1+54&lt;=$B49,12*$B$7,-12*MAX(0,$B$6-IF($B$1+54&gt;=$B$23,$B$22,0))*(1+$B$4)^54)&gt;0,1+$B$3,1))</f>
        <v/>
      </c>
      <c r="BF49">
        <f>IF($B$1+55&gt;90,BE49,(BE49+IF($B$1+55&lt;=$B49,12*$B$7,-12*MAX(0,$B$6-IF($B$1+55&gt;=$B$23,$B$22,0))*(1+$B$4)^55))*IF(BE49+IF($B$1+55&lt;=$B49,12*$B$7,-12*MAX(0,$B$6-IF($B$1+55&gt;=$B$23,$B$22,0))*(1+$B$4)^55)&gt;0,1+$B$3,1))</f>
        <v/>
      </c>
      <c r="BG49">
        <f>IF($B$1+56&gt;90,BF49,(BF49+IF($B$1+56&lt;=$B49,12*$B$7,-12*MAX(0,$B$6-IF($B$1+56&gt;=$B$23,$B$22,0))*(1+$B$4)^56))*IF(BF49+IF($B$1+56&lt;=$B49,12*$B$7,-12*MAX(0,$B$6-IF($B$1+56&gt;=$B$23,$B$22,0))*(1+$B$4)^56)&gt;0,1+$B$3,1))</f>
        <v/>
      </c>
      <c r="BH49">
        <f>IF($B$1+57&gt;90,BG49,(BG49+IF($B$1+57&lt;=$B49,12*$B$7,-12*MAX(0,$B$6-IF($B$1+57&gt;=$B$23,$B$22,0))*(1+$B$4)^57))*IF(BG49+IF($B$1+57&lt;=$B49,12*$B$7,-12*MAX(0,$B$6-IF($B$1+57&gt;=$B$23,$B$22,0))*(1+$B$4)^57)&gt;0,1+$B$3,1))</f>
        <v/>
      </c>
      <c r="BI49">
        <f>IF($B$1+58&gt;90,BH49,(BH49+IF($B$1+58&lt;=$B49,12*$B$7,-12*MAX(0,$B$6-IF($B$1+58&gt;=$B$23,$B$22,0))*(1+$B$4)^58))*IF(BH49+IF($B$1+58&lt;=$B49,12*$B$7,-12*MAX(0,$B$6-IF($B$1+58&gt;=$B$23,$B$22,0))*(1+$B$4)^58)&gt;0,1+$B$3,1))</f>
        <v/>
      </c>
      <c r="BJ49">
        <f>IF($B$1+59&gt;90,BI49,(BI49+IF($B$1+59&lt;=$B49,12*$B$7,-12*MAX(0,$B$6-IF($B$1+59&gt;=$B$23,$B$22,0))*(1+$B$4)^59))*IF(BI49+IF($B$1+59&lt;=$B49,12*$B$7,-12*MAX(0,$B$6-IF($B$1+59&gt;=$B$23,$B$22,0))*(1+$B$4)^59)&gt;0,1+$B$3,1))</f>
        <v/>
      </c>
      <c r="BK49">
        <f>IF($B$1+60&gt;90,BJ49,(BJ49+IF($B$1+60&lt;=$B49,12*$B$7,-12*MAX(0,$B$6-IF($B$1+60&gt;=$B$23,$B$22,0))*(1+$B$4)^60))*IF(BJ49+IF($B$1+60&lt;=$B49,12*$B$7,-12*MAX(0,$B$6-IF($B$1+60&gt;=$B$23,$B$22,0))*(1+$B$4)^60)&gt;0,1+$B$3,1))</f>
        <v/>
      </c>
      <c r="BL49">
        <f>IF($B$1+61&gt;90,BK49,(BK49+IF($B$1+61&lt;=$B49,12*$B$7,-12*MAX(0,$B$6-IF($B$1+61&gt;=$B$23,$B$22,0))*(1+$B$4)^61))*IF(BK49+IF($B$1+61&lt;=$B49,12*$B$7,-12*MAX(0,$B$6-IF($B$1+61&gt;=$B$23,$B$22,0))*(1+$B$4)^61)&gt;0,1+$B$3,1))</f>
        <v/>
      </c>
      <c r="BM49">
        <f>IF($B$1+62&gt;90,BL49,(BL49+IF($B$1+62&lt;=$B49,12*$B$7,-12*MAX(0,$B$6-IF($B$1+62&gt;=$B$23,$B$22,0))*(1+$B$4)^62))*IF(BL49+IF($B$1+62&lt;=$B49,12*$B$7,-12*MAX(0,$B$6-IF($B$1+62&gt;=$B$23,$B$22,0))*(1+$B$4)^62)&gt;0,1+$B$3,1))</f>
        <v/>
      </c>
      <c r="BN49">
        <f>IF($B$1+63&gt;90,BM49,(BM49+IF($B$1+63&lt;=$B49,12*$B$7,-12*MAX(0,$B$6-IF($B$1+63&gt;=$B$23,$B$22,0))*(1+$B$4)^63))*IF(BM49+IF($B$1+63&lt;=$B49,12*$B$7,-12*MAX(0,$B$6-IF($B$1+63&gt;=$B$23,$B$22,0))*(1+$B$4)^63)&gt;0,1+$B$3,1))</f>
        <v/>
      </c>
      <c r="BO49">
        <f>IF($B$1+64&gt;90,BN49,(BN49+IF($B$1+64&lt;=$B49,12*$B$7,-12*MAX(0,$B$6-IF($B$1+64&gt;=$B$23,$B$22,0))*(1+$B$4)^64))*IF(BN49+IF($B$1+64&lt;=$B49,12*$B$7,-12*MAX(0,$B$6-IF($B$1+64&gt;=$B$23,$B$22,0))*(1+$B$4)^64)&gt;0,1+$B$3,1))</f>
        <v/>
      </c>
      <c r="BP49">
        <f>IF($B$1+65&gt;90,BO49,(BO49+IF($B$1+65&lt;=$B49,12*$B$7,-12*MAX(0,$B$6-IF($B$1+65&gt;=$B$23,$B$22,0))*(1+$B$4)^65))*IF(BO49+IF($B$1+65&lt;=$B49,12*$B$7,-12*MAX(0,$B$6-IF($B$1+65&gt;=$B$23,$B$22,0))*(1+$B$4)^65)&gt;0,1+$B$3,1))</f>
        <v/>
      </c>
      <c r="BQ49">
        <f>IF($B$1+66&gt;90,BP49,(BP49+IF($B$1+66&lt;=$B49,12*$B$7,-12*MAX(0,$B$6-IF($B$1+66&gt;=$B$23,$B$22,0))*(1+$B$4)^66))*IF(BP49+IF($B$1+66&lt;=$B49,12*$B$7,-12*MAX(0,$B$6-IF($B$1+66&gt;=$B$23,$B$22,0))*(1+$B$4)^66)&gt;0,1+$B$3,1))</f>
        <v/>
      </c>
      <c r="BR49">
        <f>IF($B$1+67&gt;90,BQ49,(BQ49+IF($B$1+67&lt;=$B49,12*$B$7,-12*MAX(0,$B$6-IF($B$1+67&gt;=$B$23,$B$22,0))*(1+$B$4)^67))*IF(BQ49+IF($B$1+67&lt;=$B49,12*$B$7,-12*MAX(0,$B$6-IF($B$1+67&gt;=$B$23,$B$22,0))*(1+$B$4)^67)&gt;0,1+$B$3,1))</f>
        <v/>
      </c>
      <c r="BS49">
        <f>IF($B$1+68&gt;90,BR49,(BR49+IF($B$1+68&lt;=$B49,12*$B$7,-12*MAX(0,$B$6-IF($B$1+68&gt;=$B$23,$B$22,0))*(1+$B$4)^68))*IF(BR49+IF($B$1+68&lt;=$B49,12*$B$7,-12*MAX(0,$B$6-IF($B$1+68&gt;=$B$23,$B$22,0))*(1+$B$4)^68)&gt;0,1+$B$3,1))</f>
        <v/>
      </c>
      <c r="BT49">
        <f>IF($B$1+69&gt;90,BS49,(BS49+IF($B$1+69&lt;=$B49,12*$B$7,-12*MAX(0,$B$6-IF($B$1+69&gt;=$B$23,$B$22,0))*(1+$B$4)^69))*IF(BS49+IF($B$1+69&lt;=$B49,12*$B$7,-12*MAX(0,$B$6-IF($B$1+69&gt;=$B$23,$B$22,0))*(1+$B$4)^69)&gt;0,1+$B$3,1))</f>
        <v/>
      </c>
      <c r="BU49">
        <f>IF($B$1+70&gt;90,BT49,(BT49+IF($B$1+70&lt;=$B49,12*$B$7,-12*MAX(0,$B$6-IF($B$1+70&gt;=$B$23,$B$22,0))*(1+$B$4)^70))*IF(BT49+IF($B$1+70&lt;=$B49,12*$B$7,-12*MAX(0,$B$6-IF($B$1+70&gt;=$B$23,$B$22,0))*(1+$B$4)^70)&gt;0,1+$B$3,1))</f>
        <v/>
      </c>
      <c r="BV49">
        <f>BU49</f>
        <v/>
      </c>
      <c r="BW49">
        <f>IF(AND($B49&lt;=70,BV49&gt;0),$B49,999)</f>
        <v/>
      </c>
      <c r="CB49" t="n">
        <v>48</v>
      </c>
      <c r="CC49">
        <f>IF($B$1+CB49&gt;90,0,12*MAX(0,$B$6-IF($B$1+CB49&gt;=$B$23,$B$22,0))*(1+$B$4)^CB49/(1+$B$3)^(CB49-1))</f>
        <v/>
      </c>
      <c r="CE49">
        <f>IF($B$1+47&gt;90,NA(),$B$1+47)</f>
        <v/>
      </c>
      <c r="CF49">
        <f>IF(OR($B$21="",$B$1+47&gt;90),NA(),INDEX($C$40:$BU$90,$B$21-$B$1+1,48))</f>
        <v/>
      </c>
      <c r="CH49">
        <f>IF(ISTEXT('월 가계부'!A49),SUBSTITUTE(SUBSTITUTE(SUBSTITUTE(SUBSTITUTE(SUBSTITUTE(SUBSTITUTE(SUBSTITUTE(SUBSTITUTE(SUBSTITUTE(TRIM('월 가계부'!A49),"년","-"),"월","-"),"일",""),".","-"),"/","-")," ","-"),"--","-"),"--","-"),"--","-")&amp;"-","")</f>
        <v/>
      </c>
      <c r="CI49">
        <f>IFERROR(IF('월 가계부'!A49="","",IF(ISNUMBER('월 가계부'!A49),IF(AND('월 가계부'!A49&gt;=19000101,'월 가계부'!A49&lt;=21001231),IF(AND(MOD(INT('월 가계부'!A49/100),100)&gt;=1,MOD(INT('월 가계부'!A49/100),100)&lt;=12,MOD(INT('월 가계부'!A49),100)&gt;=1,MOD(INT('월 가계부'!A49),100)&lt;=31),IF(MONTH(DATE(INT('월 가계부'!A49/10000),MOD(INT('월 가계부'!A49/100),100),MOD(INT('월 가계부'!A49),100)))=MOD(INT('월 가계부'!A49/100),100),DATE(INT('월 가계부'!A49/10000),MOD(INT('월 가계부'!A49/100),100),MOD(INT('월 가계부'!A49),100)),""),""),IF(AND('월 가계부'!A49&gt;=36526,'월 가계부'!A49&lt;73051),INT('월 가계부'!A49),"")),IF(OR(CM49="",CN49="",CO49=""),"",IF(AND(CM49&gt;=2000,CM49&lt;=2099,CN49&gt;=1,CN49&lt;=12,CO49&gt;=1,CO49&lt;=31),IF(MONTH(DATE(CM49,CN49,CO49))=CN49,DATE(CM49,CN49,CO49),""),"")))),"")</f>
        <v/>
      </c>
      <c r="CJ49">
        <f>IFERROR(IF('월 가계부'!C49="","",IF(ISNUMBER('월 가계부'!C49),'월 가계부'!C49,VALUE(SUBSTITUTE(SUBSTITUTE(SUBSTITUTE(SUBSTITUTE(TRIM('월 가계부'!C49),",",""),"원","")," ",""),"−","-")))),"")</f>
        <v/>
      </c>
      <c r="CK49">
        <f>IF(ISNUMBER(CI49),IF(CI49&lt;$B$13,CI49,""),"")</f>
        <v/>
      </c>
      <c r="CM49">
        <f>IF(CH49="","",IFERROR(IF(IF(AND(LEN(CH49)=9,ISERROR(FIND("-",LEFT(CH49,8))),ISNUMBER(-LEFT(CH49,8))),VALUE(LEFT(CH49,4)),VALUE(LEFT(CH49,FIND("-",CH49)-1)))&lt;100,IF(AND(LEN(CH49)=9,ISERROR(FIND("-",LEFT(CH49,8))),ISNUMBER(-LEFT(CH49,8))),VALUE(LEFT(CH49,4)),VALUE(LEFT(CH49,FIND("-",CH49)-1)))+2000,IF(AND(LEN(CH49)=9,ISERROR(FIND("-",LEFT(CH49,8))),ISNUMBER(-LEFT(CH49,8))),VALUE(LEFT(CH49,4)),VALUE(LEFT(CH49,FIND("-",CH49)-1)))),""))</f>
        <v/>
      </c>
      <c r="CN49">
        <f>IF(CH49="","",IFERROR(IF(AND(LEN(CH49)=9,ISERROR(FIND("-",LEFT(CH49,8))),ISNUMBER(-LEFT(CH49,8))),VALUE(MID(CH49,5,2)),VALUE(MID(CH49,FIND("-",CH49)+1,FIND("-",CH49,FIND("-",CH49)+1)-FIND("-",CH49)-1))),""))</f>
        <v/>
      </c>
      <c r="CO49">
        <f>IF(CH49="","",IFERROR(IF(AND(LEN(CH49)=9,ISERROR(FIND("-",LEFT(CH49,8))),ISNUMBER(-LEFT(CH49,8))),VALUE(MID(CH49,7,2)),VALUE(MID(CH49,FIND("-",CH49,FIND("-",CH49)+1)+1,FIND("-",CH49,FIND("-",CH49,FIND("-",CH49)+1)+1)-FIND("-",CH49,FIND("-",CH49)+1)-1))),""))</f>
        <v/>
      </c>
    </row>
    <row r="50">
      <c r="A50" t="n">
        <v>10</v>
      </c>
      <c r="B50">
        <f>$B$1+10</f>
        <v/>
      </c>
      <c r="C50">
        <f>$B$2</f>
        <v/>
      </c>
      <c r="D50">
        <f>IF($B$1+1&gt;90,C50,(C50+IF($B$1+1&lt;=$B50,12*$B$7,-12*MAX(0,$B$6-IF($B$1+1&gt;=$B$23,$B$22,0))*(1+$B$4)^1))*IF(C50+IF($B$1+1&lt;=$B50,12*$B$7,-12*MAX(0,$B$6-IF($B$1+1&gt;=$B$23,$B$22,0))*(1+$B$4)^1)&gt;0,1+$B$3,1))</f>
        <v/>
      </c>
      <c r="E50">
        <f>IF($B$1+2&gt;90,D50,(D50+IF($B$1+2&lt;=$B50,12*$B$7,-12*MAX(0,$B$6-IF($B$1+2&gt;=$B$23,$B$22,0))*(1+$B$4)^2))*IF(D50+IF($B$1+2&lt;=$B50,12*$B$7,-12*MAX(0,$B$6-IF($B$1+2&gt;=$B$23,$B$22,0))*(1+$B$4)^2)&gt;0,1+$B$3,1))</f>
        <v/>
      </c>
      <c r="F50">
        <f>IF($B$1+3&gt;90,E50,(E50+IF($B$1+3&lt;=$B50,12*$B$7,-12*MAX(0,$B$6-IF($B$1+3&gt;=$B$23,$B$22,0))*(1+$B$4)^3))*IF(E50+IF($B$1+3&lt;=$B50,12*$B$7,-12*MAX(0,$B$6-IF($B$1+3&gt;=$B$23,$B$22,0))*(1+$B$4)^3)&gt;0,1+$B$3,1))</f>
        <v/>
      </c>
      <c r="G50">
        <f>IF($B$1+4&gt;90,F50,(F50+IF($B$1+4&lt;=$B50,12*$B$7,-12*MAX(0,$B$6-IF($B$1+4&gt;=$B$23,$B$22,0))*(1+$B$4)^4))*IF(F50+IF($B$1+4&lt;=$B50,12*$B$7,-12*MAX(0,$B$6-IF($B$1+4&gt;=$B$23,$B$22,0))*(1+$B$4)^4)&gt;0,1+$B$3,1))</f>
        <v/>
      </c>
      <c r="H50">
        <f>IF($B$1+5&gt;90,G50,(G50+IF($B$1+5&lt;=$B50,12*$B$7,-12*MAX(0,$B$6-IF($B$1+5&gt;=$B$23,$B$22,0))*(1+$B$4)^5))*IF(G50+IF($B$1+5&lt;=$B50,12*$B$7,-12*MAX(0,$B$6-IF($B$1+5&gt;=$B$23,$B$22,0))*(1+$B$4)^5)&gt;0,1+$B$3,1))</f>
        <v/>
      </c>
      <c r="I50">
        <f>IF($B$1+6&gt;90,H50,(H50+IF($B$1+6&lt;=$B50,12*$B$7,-12*MAX(0,$B$6-IF($B$1+6&gt;=$B$23,$B$22,0))*(1+$B$4)^6))*IF(H50+IF($B$1+6&lt;=$B50,12*$B$7,-12*MAX(0,$B$6-IF($B$1+6&gt;=$B$23,$B$22,0))*(1+$B$4)^6)&gt;0,1+$B$3,1))</f>
        <v/>
      </c>
      <c r="J50">
        <f>IF($B$1+7&gt;90,I50,(I50+IF($B$1+7&lt;=$B50,12*$B$7,-12*MAX(0,$B$6-IF($B$1+7&gt;=$B$23,$B$22,0))*(1+$B$4)^7))*IF(I50+IF($B$1+7&lt;=$B50,12*$B$7,-12*MAX(0,$B$6-IF($B$1+7&gt;=$B$23,$B$22,0))*(1+$B$4)^7)&gt;0,1+$B$3,1))</f>
        <v/>
      </c>
      <c r="K50">
        <f>IF($B$1+8&gt;90,J50,(J50+IF($B$1+8&lt;=$B50,12*$B$7,-12*MAX(0,$B$6-IF($B$1+8&gt;=$B$23,$B$22,0))*(1+$B$4)^8))*IF(J50+IF($B$1+8&lt;=$B50,12*$B$7,-12*MAX(0,$B$6-IF($B$1+8&gt;=$B$23,$B$22,0))*(1+$B$4)^8)&gt;0,1+$B$3,1))</f>
        <v/>
      </c>
      <c r="L50">
        <f>IF($B$1+9&gt;90,K50,(K50+IF($B$1+9&lt;=$B50,12*$B$7,-12*MAX(0,$B$6-IF($B$1+9&gt;=$B$23,$B$22,0))*(1+$B$4)^9))*IF(K50+IF($B$1+9&lt;=$B50,12*$B$7,-12*MAX(0,$B$6-IF($B$1+9&gt;=$B$23,$B$22,0))*(1+$B$4)^9)&gt;0,1+$B$3,1))</f>
        <v/>
      </c>
      <c r="M50">
        <f>IF($B$1+10&gt;90,L50,(L50+IF($B$1+10&lt;=$B50,12*$B$7,-12*MAX(0,$B$6-IF($B$1+10&gt;=$B$23,$B$22,0))*(1+$B$4)^10))*IF(L50+IF($B$1+10&lt;=$B50,12*$B$7,-12*MAX(0,$B$6-IF($B$1+10&gt;=$B$23,$B$22,0))*(1+$B$4)^10)&gt;0,1+$B$3,1))</f>
        <v/>
      </c>
      <c r="N50">
        <f>IF($B$1+11&gt;90,M50,(M50+IF($B$1+11&lt;=$B50,12*$B$7,-12*MAX(0,$B$6-IF($B$1+11&gt;=$B$23,$B$22,0))*(1+$B$4)^11))*IF(M50+IF($B$1+11&lt;=$B50,12*$B$7,-12*MAX(0,$B$6-IF($B$1+11&gt;=$B$23,$B$22,0))*(1+$B$4)^11)&gt;0,1+$B$3,1))</f>
        <v/>
      </c>
      <c r="O50">
        <f>IF($B$1+12&gt;90,N50,(N50+IF($B$1+12&lt;=$B50,12*$B$7,-12*MAX(0,$B$6-IF($B$1+12&gt;=$B$23,$B$22,0))*(1+$B$4)^12))*IF(N50+IF($B$1+12&lt;=$B50,12*$B$7,-12*MAX(0,$B$6-IF($B$1+12&gt;=$B$23,$B$22,0))*(1+$B$4)^12)&gt;0,1+$B$3,1))</f>
        <v/>
      </c>
      <c r="P50">
        <f>IF($B$1+13&gt;90,O50,(O50+IF($B$1+13&lt;=$B50,12*$B$7,-12*MAX(0,$B$6-IF($B$1+13&gt;=$B$23,$B$22,0))*(1+$B$4)^13))*IF(O50+IF($B$1+13&lt;=$B50,12*$B$7,-12*MAX(0,$B$6-IF($B$1+13&gt;=$B$23,$B$22,0))*(1+$B$4)^13)&gt;0,1+$B$3,1))</f>
        <v/>
      </c>
      <c r="Q50">
        <f>IF($B$1+14&gt;90,P50,(P50+IF($B$1+14&lt;=$B50,12*$B$7,-12*MAX(0,$B$6-IF($B$1+14&gt;=$B$23,$B$22,0))*(1+$B$4)^14))*IF(P50+IF($B$1+14&lt;=$B50,12*$B$7,-12*MAX(0,$B$6-IF($B$1+14&gt;=$B$23,$B$22,0))*(1+$B$4)^14)&gt;0,1+$B$3,1))</f>
        <v/>
      </c>
      <c r="R50">
        <f>IF($B$1+15&gt;90,Q50,(Q50+IF($B$1+15&lt;=$B50,12*$B$7,-12*MAX(0,$B$6-IF($B$1+15&gt;=$B$23,$B$22,0))*(1+$B$4)^15))*IF(Q50+IF($B$1+15&lt;=$B50,12*$B$7,-12*MAX(0,$B$6-IF($B$1+15&gt;=$B$23,$B$22,0))*(1+$B$4)^15)&gt;0,1+$B$3,1))</f>
        <v/>
      </c>
      <c r="S50">
        <f>IF($B$1+16&gt;90,R50,(R50+IF($B$1+16&lt;=$B50,12*$B$7,-12*MAX(0,$B$6-IF($B$1+16&gt;=$B$23,$B$22,0))*(1+$B$4)^16))*IF(R50+IF($B$1+16&lt;=$B50,12*$B$7,-12*MAX(0,$B$6-IF($B$1+16&gt;=$B$23,$B$22,0))*(1+$B$4)^16)&gt;0,1+$B$3,1))</f>
        <v/>
      </c>
      <c r="T50">
        <f>IF($B$1+17&gt;90,S50,(S50+IF($B$1+17&lt;=$B50,12*$B$7,-12*MAX(0,$B$6-IF($B$1+17&gt;=$B$23,$B$22,0))*(1+$B$4)^17))*IF(S50+IF($B$1+17&lt;=$B50,12*$B$7,-12*MAX(0,$B$6-IF($B$1+17&gt;=$B$23,$B$22,0))*(1+$B$4)^17)&gt;0,1+$B$3,1))</f>
        <v/>
      </c>
      <c r="U50">
        <f>IF($B$1+18&gt;90,T50,(T50+IF($B$1+18&lt;=$B50,12*$B$7,-12*MAX(0,$B$6-IF($B$1+18&gt;=$B$23,$B$22,0))*(1+$B$4)^18))*IF(T50+IF($B$1+18&lt;=$B50,12*$B$7,-12*MAX(0,$B$6-IF($B$1+18&gt;=$B$23,$B$22,0))*(1+$B$4)^18)&gt;0,1+$B$3,1))</f>
        <v/>
      </c>
      <c r="V50">
        <f>IF($B$1+19&gt;90,U50,(U50+IF($B$1+19&lt;=$B50,12*$B$7,-12*MAX(0,$B$6-IF($B$1+19&gt;=$B$23,$B$22,0))*(1+$B$4)^19))*IF(U50+IF($B$1+19&lt;=$B50,12*$B$7,-12*MAX(0,$B$6-IF($B$1+19&gt;=$B$23,$B$22,0))*(1+$B$4)^19)&gt;0,1+$B$3,1))</f>
        <v/>
      </c>
      <c r="W50">
        <f>IF($B$1+20&gt;90,V50,(V50+IF($B$1+20&lt;=$B50,12*$B$7,-12*MAX(0,$B$6-IF($B$1+20&gt;=$B$23,$B$22,0))*(1+$B$4)^20))*IF(V50+IF($B$1+20&lt;=$B50,12*$B$7,-12*MAX(0,$B$6-IF($B$1+20&gt;=$B$23,$B$22,0))*(1+$B$4)^20)&gt;0,1+$B$3,1))</f>
        <v/>
      </c>
      <c r="X50">
        <f>IF($B$1+21&gt;90,W50,(W50+IF($B$1+21&lt;=$B50,12*$B$7,-12*MAX(0,$B$6-IF($B$1+21&gt;=$B$23,$B$22,0))*(1+$B$4)^21))*IF(W50+IF($B$1+21&lt;=$B50,12*$B$7,-12*MAX(0,$B$6-IF($B$1+21&gt;=$B$23,$B$22,0))*(1+$B$4)^21)&gt;0,1+$B$3,1))</f>
        <v/>
      </c>
      <c r="Y50">
        <f>IF($B$1+22&gt;90,X50,(X50+IF($B$1+22&lt;=$B50,12*$B$7,-12*MAX(0,$B$6-IF($B$1+22&gt;=$B$23,$B$22,0))*(1+$B$4)^22))*IF(X50+IF($B$1+22&lt;=$B50,12*$B$7,-12*MAX(0,$B$6-IF($B$1+22&gt;=$B$23,$B$22,0))*(1+$B$4)^22)&gt;0,1+$B$3,1))</f>
        <v/>
      </c>
      <c r="Z50">
        <f>IF($B$1+23&gt;90,Y50,(Y50+IF($B$1+23&lt;=$B50,12*$B$7,-12*MAX(0,$B$6-IF($B$1+23&gt;=$B$23,$B$22,0))*(1+$B$4)^23))*IF(Y50+IF($B$1+23&lt;=$B50,12*$B$7,-12*MAX(0,$B$6-IF($B$1+23&gt;=$B$23,$B$22,0))*(1+$B$4)^23)&gt;0,1+$B$3,1))</f>
        <v/>
      </c>
      <c r="AA50">
        <f>IF($B$1+24&gt;90,Z50,(Z50+IF($B$1+24&lt;=$B50,12*$B$7,-12*MAX(0,$B$6-IF($B$1+24&gt;=$B$23,$B$22,0))*(1+$B$4)^24))*IF(Z50+IF($B$1+24&lt;=$B50,12*$B$7,-12*MAX(0,$B$6-IF($B$1+24&gt;=$B$23,$B$22,0))*(1+$B$4)^24)&gt;0,1+$B$3,1))</f>
        <v/>
      </c>
      <c r="AB50">
        <f>IF($B$1+25&gt;90,AA50,(AA50+IF($B$1+25&lt;=$B50,12*$B$7,-12*MAX(0,$B$6-IF($B$1+25&gt;=$B$23,$B$22,0))*(1+$B$4)^25))*IF(AA50+IF($B$1+25&lt;=$B50,12*$B$7,-12*MAX(0,$B$6-IF($B$1+25&gt;=$B$23,$B$22,0))*(1+$B$4)^25)&gt;0,1+$B$3,1))</f>
        <v/>
      </c>
      <c r="AC50">
        <f>IF($B$1+26&gt;90,AB50,(AB50+IF($B$1+26&lt;=$B50,12*$B$7,-12*MAX(0,$B$6-IF($B$1+26&gt;=$B$23,$B$22,0))*(1+$B$4)^26))*IF(AB50+IF($B$1+26&lt;=$B50,12*$B$7,-12*MAX(0,$B$6-IF($B$1+26&gt;=$B$23,$B$22,0))*(1+$B$4)^26)&gt;0,1+$B$3,1))</f>
        <v/>
      </c>
      <c r="AD50">
        <f>IF($B$1+27&gt;90,AC50,(AC50+IF($B$1+27&lt;=$B50,12*$B$7,-12*MAX(0,$B$6-IF($B$1+27&gt;=$B$23,$B$22,0))*(1+$B$4)^27))*IF(AC50+IF($B$1+27&lt;=$B50,12*$B$7,-12*MAX(0,$B$6-IF($B$1+27&gt;=$B$23,$B$22,0))*(1+$B$4)^27)&gt;0,1+$B$3,1))</f>
        <v/>
      </c>
      <c r="AE50">
        <f>IF($B$1+28&gt;90,AD50,(AD50+IF($B$1+28&lt;=$B50,12*$B$7,-12*MAX(0,$B$6-IF($B$1+28&gt;=$B$23,$B$22,0))*(1+$B$4)^28))*IF(AD50+IF($B$1+28&lt;=$B50,12*$B$7,-12*MAX(0,$B$6-IF($B$1+28&gt;=$B$23,$B$22,0))*(1+$B$4)^28)&gt;0,1+$B$3,1))</f>
        <v/>
      </c>
      <c r="AF50">
        <f>IF($B$1+29&gt;90,AE50,(AE50+IF($B$1+29&lt;=$B50,12*$B$7,-12*MAX(0,$B$6-IF($B$1+29&gt;=$B$23,$B$22,0))*(1+$B$4)^29))*IF(AE50+IF($B$1+29&lt;=$B50,12*$B$7,-12*MAX(0,$B$6-IF($B$1+29&gt;=$B$23,$B$22,0))*(1+$B$4)^29)&gt;0,1+$B$3,1))</f>
        <v/>
      </c>
      <c r="AG50">
        <f>IF($B$1+30&gt;90,AF50,(AF50+IF($B$1+30&lt;=$B50,12*$B$7,-12*MAX(0,$B$6-IF($B$1+30&gt;=$B$23,$B$22,0))*(1+$B$4)^30))*IF(AF50+IF($B$1+30&lt;=$B50,12*$B$7,-12*MAX(0,$B$6-IF($B$1+30&gt;=$B$23,$B$22,0))*(1+$B$4)^30)&gt;0,1+$B$3,1))</f>
        <v/>
      </c>
      <c r="AH50">
        <f>IF($B$1+31&gt;90,AG50,(AG50+IF($B$1+31&lt;=$B50,12*$B$7,-12*MAX(0,$B$6-IF($B$1+31&gt;=$B$23,$B$22,0))*(1+$B$4)^31))*IF(AG50+IF($B$1+31&lt;=$B50,12*$B$7,-12*MAX(0,$B$6-IF($B$1+31&gt;=$B$23,$B$22,0))*(1+$B$4)^31)&gt;0,1+$B$3,1))</f>
        <v/>
      </c>
      <c r="AI50">
        <f>IF($B$1+32&gt;90,AH50,(AH50+IF($B$1+32&lt;=$B50,12*$B$7,-12*MAX(0,$B$6-IF($B$1+32&gt;=$B$23,$B$22,0))*(1+$B$4)^32))*IF(AH50+IF($B$1+32&lt;=$B50,12*$B$7,-12*MAX(0,$B$6-IF($B$1+32&gt;=$B$23,$B$22,0))*(1+$B$4)^32)&gt;0,1+$B$3,1))</f>
        <v/>
      </c>
      <c r="AJ50">
        <f>IF($B$1+33&gt;90,AI50,(AI50+IF($B$1+33&lt;=$B50,12*$B$7,-12*MAX(0,$B$6-IF($B$1+33&gt;=$B$23,$B$22,0))*(1+$B$4)^33))*IF(AI50+IF($B$1+33&lt;=$B50,12*$B$7,-12*MAX(0,$B$6-IF($B$1+33&gt;=$B$23,$B$22,0))*(1+$B$4)^33)&gt;0,1+$B$3,1))</f>
        <v/>
      </c>
      <c r="AK50">
        <f>IF($B$1+34&gt;90,AJ50,(AJ50+IF($B$1+34&lt;=$B50,12*$B$7,-12*MAX(0,$B$6-IF($B$1+34&gt;=$B$23,$B$22,0))*(1+$B$4)^34))*IF(AJ50+IF($B$1+34&lt;=$B50,12*$B$7,-12*MAX(0,$B$6-IF($B$1+34&gt;=$B$23,$B$22,0))*(1+$B$4)^34)&gt;0,1+$B$3,1))</f>
        <v/>
      </c>
      <c r="AL50">
        <f>IF($B$1+35&gt;90,AK50,(AK50+IF($B$1+35&lt;=$B50,12*$B$7,-12*MAX(0,$B$6-IF($B$1+35&gt;=$B$23,$B$22,0))*(1+$B$4)^35))*IF(AK50+IF($B$1+35&lt;=$B50,12*$B$7,-12*MAX(0,$B$6-IF($B$1+35&gt;=$B$23,$B$22,0))*(1+$B$4)^35)&gt;0,1+$B$3,1))</f>
        <v/>
      </c>
      <c r="AM50">
        <f>IF($B$1+36&gt;90,AL50,(AL50+IF($B$1+36&lt;=$B50,12*$B$7,-12*MAX(0,$B$6-IF($B$1+36&gt;=$B$23,$B$22,0))*(1+$B$4)^36))*IF(AL50+IF($B$1+36&lt;=$B50,12*$B$7,-12*MAX(0,$B$6-IF($B$1+36&gt;=$B$23,$B$22,0))*(1+$B$4)^36)&gt;0,1+$B$3,1))</f>
        <v/>
      </c>
      <c r="AN50">
        <f>IF($B$1+37&gt;90,AM50,(AM50+IF($B$1+37&lt;=$B50,12*$B$7,-12*MAX(0,$B$6-IF($B$1+37&gt;=$B$23,$B$22,0))*(1+$B$4)^37))*IF(AM50+IF($B$1+37&lt;=$B50,12*$B$7,-12*MAX(0,$B$6-IF($B$1+37&gt;=$B$23,$B$22,0))*(1+$B$4)^37)&gt;0,1+$B$3,1))</f>
        <v/>
      </c>
      <c r="AO50">
        <f>IF($B$1+38&gt;90,AN50,(AN50+IF($B$1+38&lt;=$B50,12*$B$7,-12*MAX(0,$B$6-IF($B$1+38&gt;=$B$23,$B$22,0))*(1+$B$4)^38))*IF(AN50+IF($B$1+38&lt;=$B50,12*$B$7,-12*MAX(0,$B$6-IF($B$1+38&gt;=$B$23,$B$22,0))*(1+$B$4)^38)&gt;0,1+$B$3,1))</f>
        <v/>
      </c>
      <c r="AP50">
        <f>IF($B$1+39&gt;90,AO50,(AO50+IF($B$1+39&lt;=$B50,12*$B$7,-12*MAX(0,$B$6-IF($B$1+39&gt;=$B$23,$B$22,0))*(1+$B$4)^39))*IF(AO50+IF($B$1+39&lt;=$B50,12*$B$7,-12*MAX(0,$B$6-IF($B$1+39&gt;=$B$23,$B$22,0))*(1+$B$4)^39)&gt;0,1+$B$3,1))</f>
        <v/>
      </c>
      <c r="AQ50">
        <f>IF($B$1+40&gt;90,AP50,(AP50+IF($B$1+40&lt;=$B50,12*$B$7,-12*MAX(0,$B$6-IF($B$1+40&gt;=$B$23,$B$22,0))*(1+$B$4)^40))*IF(AP50+IF($B$1+40&lt;=$B50,12*$B$7,-12*MAX(0,$B$6-IF($B$1+40&gt;=$B$23,$B$22,0))*(1+$B$4)^40)&gt;0,1+$B$3,1))</f>
        <v/>
      </c>
      <c r="AR50">
        <f>IF($B$1+41&gt;90,AQ50,(AQ50+IF($B$1+41&lt;=$B50,12*$B$7,-12*MAX(0,$B$6-IF($B$1+41&gt;=$B$23,$B$22,0))*(1+$B$4)^41))*IF(AQ50+IF($B$1+41&lt;=$B50,12*$B$7,-12*MAX(0,$B$6-IF($B$1+41&gt;=$B$23,$B$22,0))*(1+$B$4)^41)&gt;0,1+$B$3,1))</f>
        <v/>
      </c>
      <c r="AS50">
        <f>IF($B$1+42&gt;90,AR50,(AR50+IF($B$1+42&lt;=$B50,12*$B$7,-12*MAX(0,$B$6-IF($B$1+42&gt;=$B$23,$B$22,0))*(1+$B$4)^42))*IF(AR50+IF($B$1+42&lt;=$B50,12*$B$7,-12*MAX(0,$B$6-IF($B$1+42&gt;=$B$23,$B$22,0))*(1+$B$4)^42)&gt;0,1+$B$3,1))</f>
        <v/>
      </c>
      <c r="AT50">
        <f>IF($B$1+43&gt;90,AS50,(AS50+IF($B$1+43&lt;=$B50,12*$B$7,-12*MAX(0,$B$6-IF($B$1+43&gt;=$B$23,$B$22,0))*(1+$B$4)^43))*IF(AS50+IF($B$1+43&lt;=$B50,12*$B$7,-12*MAX(0,$B$6-IF($B$1+43&gt;=$B$23,$B$22,0))*(1+$B$4)^43)&gt;0,1+$B$3,1))</f>
        <v/>
      </c>
      <c r="AU50">
        <f>IF($B$1+44&gt;90,AT50,(AT50+IF($B$1+44&lt;=$B50,12*$B$7,-12*MAX(0,$B$6-IF($B$1+44&gt;=$B$23,$B$22,0))*(1+$B$4)^44))*IF(AT50+IF($B$1+44&lt;=$B50,12*$B$7,-12*MAX(0,$B$6-IF($B$1+44&gt;=$B$23,$B$22,0))*(1+$B$4)^44)&gt;0,1+$B$3,1))</f>
        <v/>
      </c>
      <c r="AV50">
        <f>IF($B$1+45&gt;90,AU50,(AU50+IF($B$1+45&lt;=$B50,12*$B$7,-12*MAX(0,$B$6-IF($B$1+45&gt;=$B$23,$B$22,0))*(1+$B$4)^45))*IF(AU50+IF($B$1+45&lt;=$B50,12*$B$7,-12*MAX(0,$B$6-IF($B$1+45&gt;=$B$23,$B$22,0))*(1+$B$4)^45)&gt;0,1+$B$3,1))</f>
        <v/>
      </c>
      <c r="AW50">
        <f>IF($B$1+46&gt;90,AV50,(AV50+IF($B$1+46&lt;=$B50,12*$B$7,-12*MAX(0,$B$6-IF($B$1+46&gt;=$B$23,$B$22,0))*(1+$B$4)^46))*IF(AV50+IF($B$1+46&lt;=$B50,12*$B$7,-12*MAX(0,$B$6-IF($B$1+46&gt;=$B$23,$B$22,0))*(1+$B$4)^46)&gt;0,1+$B$3,1))</f>
        <v/>
      </c>
      <c r="AX50">
        <f>IF($B$1+47&gt;90,AW50,(AW50+IF($B$1+47&lt;=$B50,12*$B$7,-12*MAX(0,$B$6-IF($B$1+47&gt;=$B$23,$B$22,0))*(1+$B$4)^47))*IF(AW50+IF($B$1+47&lt;=$B50,12*$B$7,-12*MAX(0,$B$6-IF($B$1+47&gt;=$B$23,$B$22,0))*(1+$B$4)^47)&gt;0,1+$B$3,1))</f>
        <v/>
      </c>
      <c r="AY50">
        <f>IF($B$1+48&gt;90,AX50,(AX50+IF($B$1+48&lt;=$B50,12*$B$7,-12*MAX(0,$B$6-IF($B$1+48&gt;=$B$23,$B$22,0))*(1+$B$4)^48))*IF(AX50+IF($B$1+48&lt;=$B50,12*$B$7,-12*MAX(0,$B$6-IF($B$1+48&gt;=$B$23,$B$22,0))*(1+$B$4)^48)&gt;0,1+$B$3,1))</f>
        <v/>
      </c>
      <c r="AZ50">
        <f>IF($B$1+49&gt;90,AY50,(AY50+IF($B$1+49&lt;=$B50,12*$B$7,-12*MAX(0,$B$6-IF($B$1+49&gt;=$B$23,$B$22,0))*(1+$B$4)^49))*IF(AY50+IF($B$1+49&lt;=$B50,12*$B$7,-12*MAX(0,$B$6-IF($B$1+49&gt;=$B$23,$B$22,0))*(1+$B$4)^49)&gt;0,1+$B$3,1))</f>
        <v/>
      </c>
      <c r="BA50">
        <f>IF($B$1+50&gt;90,AZ50,(AZ50+IF($B$1+50&lt;=$B50,12*$B$7,-12*MAX(0,$B$6-IF($B$1+50&gt;=$B$23,$B$22,0))*(1+$B$4)^50))*IF(AZ50+IF($B$1+50&lt;=$B50,12*$B$7,-12*MAX(0,$B$6-IF($B$1+50&gt;=$B$23,$B$22,0))*(1+$B$4)^50)&gt;0,1+$B$3,1))</f>
        <v/>
      </c>
      <c r="BB50">
        <f>IF($B$1+51&gt;90,BA50,(BA50+IF($B$1+51&lt;=$B50,12*$B$7,-12*MAX(0,$B$6-IF($B$1+51&gt;=$B$23,$B$22,0))*(1+$B$4)^51))*IF(BA50+IF($B$1+51&lt;=$B50,12*$B$7,-12*MAX(0,$B$6-IF($B$1+51&gt;=$B$23,$B$22,0))*(1+$B$4)^51)&gt;0,1+$B$3,1))</f>
        <v/>
      </c>
      <c r="BC50">
        <f>IF($B$1+52&gt;90,BB50,(BB50+IF($B$1+52&lt;=$B50,12*$B$7,-12*MAX(0,$B$6-IF($B$1+52&gt;=$B$23,$B$22,0))*(1+$B$4)^52))*IF(BB50+IF($B$1+52&lt;=$B50,12*$B$7,-12*MAX(0,$B$6-IF($B$1+52&gt;=$B$23,$B$22,0))*(1+$B$4)^52)&gt;0,1+$B$3,1))</f>
        <v/>
      </c>
      <c r="BD50">
        <f>IF($B$1+53&gt;90,BC50,(BC50+IF($B$1+53&lt;=$B50,12*$B$7,-12*MAX(0,$B$6-IF($B$1+53&gt;=$B$23,$B$22,0))*(1+$B$4)^53))*IF(BC50+IF($B$1+53&lt;=$B50,12*$B$7,-12*MAX(0,$B$6-IF($B$1+53&gt;=$B$23,$B$22,0))*(1+$B$4)^53)&gt;0,1+$B$3,1))</f>
        <v/>
      </c>
      <c r="BE50">
        <f>IF($B$1+54&gt;90,BD50,(BD50+IF($B$1+54&lt;=$B50,12*$B$7,-12*MAX(0,$B$6-IF($B$1+54&gt;=$B$23,$B$22,0))*(1+$B$4)^54))*IF(BD50+IF($B$1+54&lt;=$B50,12*$B$7,-12*MAX(0,$B$6-IF($B$1+54&gt;=$B$23,$B$22,0))*(1+$B$4)^54)&gt;0,1+$B$3,1))</f>
        <v/>
      </c>
      <c r="BF50">
        <f>IF($B$1+55&gt;90,BE50,(BE50+IF($B$1+55&lt;=$B50,12*$B$7,-12*MAX(0,$B$6-IF($B$1+55&gt;=$B$23,$B$22,0))*(1+$B$4)^55))*IF(BE50+IF($B$1+55&lt;=$B50,12*$B$7,-12*MAX(0,$B$6-IF($B$1+55&gt;=$B$23,$B$22,0))*(1+$B$4)^55)&gt;0,1+$B$3,1))</f>
        <v/>
      </c>
      <c r="BG50">
        <f>IF($B$1+56&gt;90,BF50,(BF50+IF($B$1+56&lt;=$B50,12*$B$7,-12*MAX(0,$B$6-IF($B$1+56&gt;=$B$23,$B$22,0))*(1+$B$4)^56))*IF(BF50+IF($B$1+56&lt;=$B50,12*$B$7,-12*MAX(0,$B$6-IF($B$1+56&gt;=$B$23,$B$22,0))*(1+$B$4)^56)&gt;0,1+$B$3,1))</f>
        <v/>
      </c>
      <c r="BH50">
        <f>IF($B$1+57&gt;90,BG50,(BG50+IF($B$1+57&lt;=$B50,12*$B$7,-12*MAX(0,$B$6-IF($B$1+57&gt;=$B$23,$B$22,0))*(1+$B$4)^57))*IF(BG50+IF($B$1+57&lt;=$B50,12*$B$7,-12*MAX(0,$B$6-IF($B$1+57&gt;=$B$23,$B$22,0))*(1+$B$4)^57)&gt;0,1+$B$3,1))</f>
        <v/>
      </c>
      <c r="BI50">
        <f>IF($B$1+58&gt;90,BH50,(BH50+IF($B$1+58&lt;=$B50,12*$B$7,-12*MAX(0,$B$6-IF($B$1+58&gt;=$B$23,$B$22,0))*(1+$B$4)^58))*IF(BH50+IF($B$1+58&lt;=$B50,12*$B$7,-12*MAX(0,$B$6-IF($B$1+58&gt;=$B$23,$B$22,0))*(1+$B$4)^58)&gt;0,1+$B$3,1))</f>
        <v/>
      </c>
      <c r="BJ50">
        <f>IF($B$1+59&gt;90,BI50,(BI50+IF($B$1+59&lt;=$B50,12*$B$7,-12*MAX(0,$B$6-IF($B$1+59&gt;=$B$23,$B$22,0))*(1+$B$4)^59))*IF(BI50+IF($B$1+59&lt;=$B50,12*$B$7,-12*MAX(0,$B$6-IF($B$1+59&gt;=$B$23,$B$22,0))*(1+$B$4)^59)&gt;0,1+$B$3,1))</f>
        <v/>
      </c>
      <c r="BK50">
        <f>IF($B$1+60&gt;90,BJ50,(BJ50+IF($B$1+60&lt;=$B50,12*$B$7,-12*MAX(0,$B$6-IF($B$1+60&gt;=$B$23,$B$22,0))*(1+$B$4)^60))*IF(BJ50+IF($B$1+60&lt;=$B50,12*$B$7,-12*MAX(0,$B$6-IF($B$1+60&gt;=$B$23,$B$22,0))*(1+$B$4)^60)&gt;0,1+$B$3,1))</f>
        <v/>
      </c>
      <c r="BL50">
        <f>IF($B$1+61&gt;90,BK50,(BK50+IF($B$1+61&lt;=$B50,12*$B$7,-12*MAX(0,$B$6-IF($B$1+61&gt;=$B$23,$B$22,0))*(1+$B$4)^61))*IF(BK50+IF($B$1+61&lt;=$B50,12*$B$7,-12*MAX(0,$B$6-IF($B$1+61&gt;=$B$23,$B$22,0))*(1+$B$4)^61)&gt;0,1+$B$3,1))</f>
        <v/>
      </c>
      <c r="BM50">
        <f>IF($B$1+62&gt;90,BL50,(BL50+IF($B$1+62&lt;=$B50,12*$B$7,-12*MAX(0,$B$6-IF($B$1+62&gt;=$B$23,$B$22,0))*(1+$B$4)^62))*IF(BL50+IF($B$1+62&lt;=$B50,12*$B$7,-12*MAX(0,$B$6-IF($B$1+62&gt;=$B$23,$B$22,0))*(1+$B$4)^62)&gt;0,1+$B$3,1))</f>
        <v/>
      </c>
      <c r="BN50">
        <f>IF($B$1+63&gt;90,BM50,(BM50+IF($B$1+63&lt;=$B50,12*$B$7,-12*MAX(0,$B$6-IF($B$1+63&gt;=$B$23,$B$22,0))*(1+$B$4)^63))*IF(BM50+IF($B$1+63&lt;=$B50,12*$B$7,-12*MAX(0,$B$6-IF($B$1+63&gt;=$B$23,$B$22,0))*(1+$B$4)^63)&gt;0,1+$B$3,1))</f>
        <v/>
      </c>
      <c r="BO50">
        <f>IF($B$1+64&gt;90,BN50,(BN50+IF($B$1+64&lt;=$B50,12*$B$7,-12*MAX(0,$B$6-IF($B$1+64&gt;=$B$23,$B$22,0))*(1+$B$4)^64))*IF(BN50+IF($B$1+64&lt;=$B50,12*$B$7,-12*MAX(0,$B$6-IF($B$1+64&gt;=$B$23,$B$22,0))*(1+$B$4)^64)&gt;0,1+$B$3,1))</f>
        <v/>
      </c>
      <c r="BP50">
        <f>IF($B$1+65&gt;90,BO50,(BO50+IF($B$1+65&lt;=$B50,12*$B$7,-12*MAX(0,$B$6-IF($B$1+65&gt;=$B$23,$B$22,0))*(1+$B$4)^65))*IF(BO50+IF($B$1+65&lt;=$B50,12*$B$7,-12*MAX(0,$B$6-IF($B$1+65&gt;=$B$23,$B$22,0))*(1+$B$4)^65)&gt;0,1+$B$3,1))</f>
        <v/>
      </c>
      <c r="BQ50">
        <f>IF($B$1+66&gt;90,BP50,(BP50+IF($B$1+66&lt;=$B50,12*$B$7,-12*MAX(0,$B$6-IF($B$1+66&gt;=$B$23,$B$22,0))*(1+$B$4)^66))*IF(BP50+IF($B$1+66&lt;=$B50,12*$B$7,-12*MAX(0,$B$6-IF($B$1+66&gt;=$B$23,$B$22,0))*(1+$B$4)^66)&gt;0,1+$B$3,1))</f>
        <v/>
      </c>
      <c r="BR50">
        <f>IF($B$1+67&gt;90,BQ50,(BQ50+IF($B$1+67&lt;=$B50,12*$B$7,-12*MAX(0,$B$6-IF($B$1+67&gt;=$B$23,$B$22,0))*(1+$B$4)^67))*IF(BQ50+IF($B$1+67&lt;=$B50,12*$B$7,-12*MAX(0,$B$6-IF($B$1+67&gt;=$B$23,$B$22,0))*(1+$B$4)^67)&gt;0,1+$B$3,1))</f>
        <v/>
      </c>
      <c r="BS50">
        <f>IF($B$1+68&gt;90,BR50,(BR50+IF($B$1+68&lt;=$B50,12*$B$7,-12*MAX(0,$B$6-IF($B$1+68&gt;=$B$23,$B$22,0))*(1+$B$4)^68))*IF(BR50+IF($B$1+68&lt;=$B50,12*$B$7,-12*MAX(0,$B$6-IF($B$1+68&gt;=$B$23,$B$22,0))*(1+$B$4)^68)&gt;0,1+$B$3,1))</f>
        <v/>
      </c>
      <c r="BT50">
        <f>IF($B$1+69&gt;90,BS50,(BS50+IF($B$1+69&lt;=$B50,12*$B$7,-12*MAX(0,$B$6-IF($B$1+69&gt;=$B$23,$B$22,0))*(1+$B$4)^69))*IF(BS50+IF($B$1+69&lt;=$B50,12*$B$7,-12*MAX(0,$B$6-IF($B$1+69&gt;=$B$23,$B$22,0))*(1+$B$4)^69)&gt;0,1+$B$3,1))</f>
        <v/>
      </c>
      <c r="BU50">
        <f>IF($B$1+70&gt;90,BT50,(BT50+IF($B$1+70&lt;=$B50,12*$B$7,-12*MAX(0,$B$6-IF($B$1+70&gt;=$B$23,$B$22,0))*(1+$B$4)^70))*IF(BT50+IF($B$1+70&lt;=$B50,12*$B$7,-12*MAX(0,$B$6-IF($B$1+70&gt;=$B$23,$B$22,0))*(1+$B$4)^70)&gt;0,1+$B$3,1))</f>
        <v/>
      </c>
      <c r="BV50">
        <f>BU50</f>
        <v/>
      </c>
      <c r="BW50">
        <f>IF(AND($B50&lt;=70,BV50&gt;0),$B50,999)</f>
        <v/>
      </c>
      <c r="CB50" t="n">
        <v>49</v>
      </c>
      <c r="CC50">
        <f>IF($B$1+CB50&gt;90,0,12*MAX(0,$B$6-IF($B$1+CB50&gt;=$B$23,$B$22,0))*(1+$B$4)^CB50/(1+$B$3)^(CB50-1))</f>
        <v/>
      </c>
      <c r="CE50">
        <f>IF($B$1+48&gt;90,NA(),$B$1+48)</f>
        <v/>
      </c>
      <c r="CF50">
        <f>IF(OR($B$21="",$B$1+48&gt;90),NA(),INDEX($C$40:$BU$90,$B$21-$B$1+1,49))</f>
        <v/>
      </c>
      <c r="CH50">
        <f>IF(ISTEXT('월 가계부'!A50),SUBSTITUTE(SUBSTITUTE(SUBSTITUTE(SUBSTITUTE(SUBSTITUTE(SUBSTITUTE(SUBSTITUTE(SUBSTITUTE(SUBSTITUTE(TRIM('월 가계부'!A50),"년","-"),"월","-"),"일",""),".","-"),"/","-")," ","-"),"--","-"),"--","-"),"--","-")&amp;"-","")</f>
        <v/>
      </c>
      <c r="CI50">
        <f>IFERROR(IF('월 가계부'!A50="","",IF(ISNUMBER('월 가계부'!A50),IF(AND('월 가계부'!A50&gt;=19000101,'월 가계부'!A50&lt;=21001231),IF(AND(MOD(INT('월 가계부'!A50/100),100)&gt;=1,MOD(INT('월 가계부'!A50/100),100)&lt;=12,MOD(INT('월 가계부'!A50),100)&gt;=1,MOD(INT('월 가계부'!A50),100)&lt;=31),IF(MONTH(DATE(INT('월 가계부'!A50/10000),MOD(INT('월 가계부'!A50/100),100),MOD(INT('월 가계부'!A50),100)))=MOD(INT('월 가계부'!A50/100),100),DATE(INT('월 가계부'!A50/10000),MOD(INT('월 가계부'!A50/100),100),MOD(INT('월 가계부'!A50),100)),""),""),IF(AND('월 가계부'!A50&gt;=36526,'월 가계부'!A50&lt;73051),INT('월 가계부'!A50),"")),IF(OR(CM50="",CN50="",CO50=""),"",IF(AND(CM50&gt;=2000,CM50&lt;=2099,CN50&gt;=1,CN50&lt;=12,CO50&gt;=1,CO50&lt;=31),IF(MONTH(DATE(CM50,CN50,CO50))=CN50,DATE(CM50,CN50,CO50),""),"")))),"")</f>
        <v/>
      </c>
      <c r="CJ50">
        <f>IFERROR(IF('월 가계부'!C50="","",IF(ISNUMBER('월 가계부'!C50),'월 가계부'!C50,VALUE(SUBSTITUTE(SUBSTITUTE(SUBSTITUTE(SUBSTITUTE(TRIM('월 가계부'!C50),",",""),"원","")," ",""),"−","-")))),"")</f>
        <v/>
      </c>
      <c r="CK50">
        <f>IF(ISNUMBER(CI50),IF(CI50&lt;$B$13,CI50,""),"")</f>
        <v/>
      </c>
      <c r="CM50">
        <f>IF(CH50="","",IFERROR(IF(IF(AND(LEN(CH50)=9,ISERROR(FIND("-",LEFT(CH50,8))),ISNUMBER(-LEFT(CH50,8))),VALUE(LEFT(CH50,4)),VALUE(LEFT(CH50,FIND("-",CH50)-1)))&lt;100,IF(AND(LEN(CH50)=9,ISERROR(FIND("-",LEFT(CH50,8))),ISNUMBER(-LEFT(CH50,8))),VALUE(LEFT(CH50,4)),VALUE(LEFT(CH50,FIND("-",CH50)-1)))+2000,IF(AND(LEN(CH50)=9,ISERROR(FIND("-",LEFT(CH50,8))),ISNUMBER(-LEFT(CH50,8))),VALUE(LEFT(CH50,4)),VALUE(LEFT(CH50,FIND("-",CH50)-1)))),""))</f>
        <v/>
      </c>
      <c r="CN50">
        <f>IF(CH50="","",IFERROR(IF(AND(LEN(CH50)=9,ISERROR(FIND("-",LEFT(CH50,8))),ISNUMBER(-LEFT(CH50,8))),VALUE(MID(CH50,5,2)),VALUE(MID(CH50,FIND("-",CH50)+1,FIND("-",CH50,FIND("-",CH50)+1)-FIND("-",CH50)-1))),""))</f>
        <v/>
      </c>
      <c r="CO50">
        <f>IF(CH50="","",IFERROR(IF(AND(LEN(CH50)=9,ISERROR(FIND("-",LEFT(CH50,8))),ISNUMBER(-LEFT(CH50,8))),VALUE(MID(CH50,7,2)),VALUE(MID(CH50,FIND("-",CH50,FIND("-",CH50)+1)+1,FIND("-",CH50,FIND("-",CH50,FIND("-",CH50)+1)+1)-FIND("-",CH50,FIND("-",CH50)+1)-1))),""))</f>
        <v/>
      </c>
    </row>
    <row r="51">
      <c r="A51" t="n">
        <v>11</v>
      </c>
      <c r="B51">
        <f>$B$1+11</f>
        <v/>
      </c>
      <c r="C51">
        <f>$B$2</f>
        <v/>
      </c>
      <c r="D51">
        <f>IF($B$1+1&gt;90,C51,(C51+IF($B$1+1&lt;=$B51,12*$B$7,-12*MAX(0,$B$6-IF($B$1+1&gt;=$B$23,$B$22,0))*(1+$B$4)^1))*IF(C51+IF($B$1+1&lt;=$B51,12*$B$7,-12*MAX(0,$B$6-IF($B$1+1&gt;=$B$23,$B$22,0))*(1+$B$4)^1)&gt;0,1+$B$3,1))</f>
        <v/>
      </c>
      <c r="E51">
        <f>IF($B$1+2&gt;90,D51,(D51+IF($B$1+2&lt;=$B51,12*$B$7,-12*MAX(0,$B$6-IF($B$1+2&gt;=$B$23,$B$22,0))*(1+$B$4)^2))*IF(D51+IF($B$1+2&lt;=$B51,12*$B$7,-12*MAX(0,$B$6-IF($B$1+2&gt;=$B$23,$B$22,0))*(1+$B$4)^2)&gt;0,1+$B$3,1))</f>
        <v/>
      </c>
      <c r="F51">
        <f>IF($B$1+3&gt;90,E51,(E51+IF($B$1+3&lt;=$B51,12*$B$7,-12*MAX(0,$B$6-IF($B$1+3&gt;=$B$23,$B$22,0))*(1+$B$4)^3))*IF(E51+IF($B$1+3&lt;=$B51,12*$B$7,-12*MAX(0,$B$6-IF($B$1+3&gt;=$B$23,$B$22,0))*(1+$B$4)^3)&gt;0,1+$B$3,1))</f>
        <v/>
      </c>
      <c r="G51">
        <f>IF($B$1+4&gt;90,F51,(F51+IF($B$1+4&lt;=$B51,12*$B$7,-12*MAX(0,$B$6-IF($B$1+4&gt;=$B$23,$B$22,0))*(1+$B$4)^4))*IF(F51+IF($B$1+4&lt;=$B51,12*$B$7,-12*MAX(0,$B$6-IF($B$1+4&gt;=$B$23,$B$22,0))*(1+$B$4)^4)&gt;0,1+$B$3,1))</f>
        <v/>
      </c>
      <c r="H51">
        <f>IF($B$1+5&gt;90,G51,(G51+IF($B$1+5&lt;=$B51,12*$B$7,-12*MAX(0,$B$6-IF($B$1+5&gt;=$B$23,$B$22,0))*(1+$B$4)^5))*IF(G51+IF($B$1+5&lt;=$B51,12*$B$7,-12*MAX(0,$B$6-IF($B$1+5&gt;=$B$23,$B$22,0))*(1+$B$4)^5)&gt;0,1+$B$3,1))</f>
        <v/>
      </c>
      <c r="I51">
        <f>IF($B$1+6&gt;90,H51,(H51+IF($B$1+6&lt;=$B51,12*$B$7,-12*MAX(0,$B$6-IF($B$1+6&gt;=$B$23,$B$22,0))*(1+$B$4)^6))*IF(H51+IF($B$1+6&lt;=$B51,12*$B$7,-12*MAX(0,$B$6-IF($B$1+6&gt;=$B$23,$B$22,0))*(1+$B$4)^6)&gt;0,1+$B$3,1))</f>
        <v/>
      </c>
      <c r="J51">
        <f>IF($B$1+7&gt;90,I51,(I51+IF($B$1+7&lt;=$B51,12*$B$7,-12*MAX(0,$B$6-IF($B$1+7&gt;=$B$23,$B$22,0))*(1+$B$4)^7))*IF(I51+IF($B$1+7&lt;=$B51,12*$B$7,-12*MAX(0,$B$6-IF($B$1+7&gt;=$B$23,$B$22,0))*(1+$B$4)^7)&gt;0,1+$B$3,1))</f>
        <v/>
      </c>
      <c r="K51">
        <f>IF($B$1+8&gt;90,J51,(J51+IF($B$1+8&lt;=$B51,12*$B$7,-12*MAX(0,$B$6-IF($B$1+8&gt;=$B$23,$B$22,0))*(1+$B$4)^8))*IF(J51+IF($B$1+8&lt;=$B51,12*$B$7,-12*MAX(0,$B$6-IF($B$1+8&gt;=$B$23,$B$22,0))*(1+$B$4)^8)&gt;0,1+$B$3,1))</f>
        <v/>
      </c>
      <c r="L51">
        <f>IF($B$1+9&gt;90,K51,(K51+IF($B$1+9&lt;=$B51,12*$B$7,-12*MAX(0,$B$6-IF($B$1+9&gt;=$B$23,$B$22,0))*(1+$B$4)^9))*IF(K51+IF($B$1+9&lt;=$B51,12*$B$7,-12*MAX(0,$B$6-IF($B$1+9&gt;=$B$23,$B$22,0))*(1+$B$4)^9)&gt;0,1+$B$3,1))</f>
        <v/>
      </c>
      <c r="M51">
        <f>IF($B$1+10&gt;90,L51,(L51+IF($B$1+10&lt;=$B51,12*$B$7,-12*MAX(0,$B$6-IF($B$1+10&gt;=$B$23,$B$22,0))*(1+$B$4)^10))*IF(L51+IF($B$1+10&lt;=$B51,12*$B$7,-12*MAX(0,$B$6-IF($B$1+10&gt;=$B$23,$B$22,0))*(1+$B$4)^10)&gt;0,1+$B$3,1))</f>
        <v/>
      </c>
      <c r="N51">
        <f>IF($B$1+11&gt;90,M51,(M51+IF($B$1+11&lt;=$B51,12*$B$7,-12*MAX(0,$B$6-IF($B$1+11&gt;=$B$23,$B$22,0))*(1+$B$4)^11))*IF(M51+IF($B$1+11&lt;=$B51,12*$B$7,-12*MAX(0,$B$6-IF($B$1+11&gt;=$B$23,$B$22,0))*(1+$B$4)^11)&gt;0,1+$B$3,1))</f>
        <v/>
      </c>
      <c r="O51">
        <f>IF($B$1+12&gt;90,N51,(N51+IF($B$1+12&lt;=$B51,12*$B$7,-12*MAX(0,$B$6-IF($B$1+12&gt;=$B$23,$B$22,0))*(1+$B$4)^12))*IF(N51+IF($B$1+12&lt;=$B51,12*$B$7,-12*MAX(0,$B$6-IF($B$1+12&gt;=$B$23,$B$22,0))*(1+$B$4)^12)&gt;0,1+$B$3,1))</f>
        <v/>
      </c>
      <c r="P51">
        <f>IF($B$1+13&gt;90,O51,(O51+IF($B$1+13&lt;=$B51,12*$B$7,-12*MAX(0,$B$6-IF($B$1+13&gt;=$B$23,$B$22,0))*(1+$B$4)^13))*IF(O51+IF($B$1+13&lt;=$B51,12*$B$7,-12*MAX(0,$B$6-IF($B$1+13&gt;=$B$23,$B$22,0))*(1+$B$4)^13)&gt;0,1+$B$3,1))</f>
        <v/>
      </c>
      <c r="Q51">
        <f>IF($B$1+14&gt;90,P51,(P51+IF($B$1+14&lt;=$B51,12*$B$7,-12*MAX(0,$B$6-IF($B$1+14&gt;=$B$23,$B$22,0))*(1+$B$4)^14))*IF(P51+IF($B$1+14&lt;=$B51,12*$B$7,-12*MAX(0,$B$6-IF($B$1+14&gt;=$B$23,$B$22,0))*(1+$B$4)^14)&gt;0,1+$B$3,1))</f>
        <v/>
      </c>
      <c r="R51">
        <f>IF($B$1+15&gt;90,Q51,(Q51+IF($B$1+15&lt;=$B51,12*$B$7,-12*MAX(0,$B$6-IF($B$1+15&gt;=$B$23,$B$22,0))*(1+$B$4)^15))*IF(Q51+IF($B$1+15&lt;=$B51,12*$B$7,-12*MAX(0,$B$6-IF($B$1+15&gt;=$B$23,$B$22,0))*(1+$B$4)^15)&gt;0,1+$B$3,1))</f>
        <v/>
      </c>
      <c r="S51">
        <f>IF($B$1+16&gt;90,R51,(R51+IF($B$1+16&lt;=$B51,12*$B$7,-12*MAX(0,$B$6-IF($B$1+16&gt;=$B$23,$B$22,0))*(1+$B$4)^16))*IF(R51+IF($B$1+16&lt;=$B51,12*$B$7,-12*MAX(0,$B$6-IF($B$1+16&gt;=$B$23,$B$22,0))*(1+$B$4)^16)&gt;0,1+$B$3,1))</f>
        <v/>
      </c>
      <c r="T51">
        <f>IF($B$1+17&gt;90,S51,(S51+IF($B$1+17&lt;=$B51,12*$B$7,-12*MAX(0,$B$6-IF($B$1+17&gt;=$B$23,$B$22,0))*(1+$B$4)^17))*IF(S51+IF($B$1+17&lt;=$B51,12*$B$7,-12*MAX(0,$B$6-IF($B$1+17&gt;=$B$23,$B$22,0))*(1+$B$4)^17)&gt;0,1+$B$3,1))</f>
        <v/>
      </c>
      <c r="U51">
        <f>IF($B$1+18&gt;90,T51,(T51+IF($B$1+18&lt;=$B51,12*$B$7,-12*MAX(0,$B$6-IF($B$1+18&gt;=$B$23,$B$22,0))*(1+$B$4)^18))*IF(T51+IF($B$1+18&lt;=$B51,12*$B$7,-12*MAX(0,$B$6-IF($B$1+18&gt;=$B$23,$B$22,0))*(1+$B$4)^18)&gt;0,1+$B$3,1))</f>
        <v/>
      </c>
      <c r="V51">
        <f>IF($B$1+19&gt;90,U51,(U51+IF($B$1+19&lt;=$B51,12*$B$7,-12*MAX(0,$B$6-IF($B$1+19&gt;=$B$23,$B$22,0))*(1+$B$4)^19))*IF(U51+IF($B$1+19&lt;=$B51,12*$B$7,-12*MAX(0,$B$6-IF($B$1+19&gt;=$B$23,$B$22,0))*(1+$B$4)^19)&gt;0,1+$B$3,1))</f>
        <v/>
      </c>
      <c r="W51">
        <f>IF($B$1+20&gt;90,V51,(V51+IF($B$1+20&lt;=$B51,12*$B$7,-12*MAX(0,$B$6-IF($B$1+20&gt;=$B$23,$B$22,0))*(1+$B$4)^20))*IF(V51+IF($B$1+20&lt;=$B51,12*$B$7,-12*MAX(0,$B$6-IF($B$1+20&gt;=$B$23,$B$22,0))*(1+$B$4)^20)&gt;0,1+$B$3,1))</f>
        <v/>
      </c>
      <c r="X51">
        <f>IF($B$1+21&gt;90,W51,(W51+IF($B$1+21&lt;=$B51,12*$B$7,-12*MAX(0,$B$6-IF($B$1+21&gt;=$B$23,$B$22,0))*(1+$B$4)^21))*IF(W51+IF($B$1+21&lt;=$B51,12*$B$7,-12*MAX(0,$B$6-IF($B$1+21&gt;=$B$23,$B$22,0))*(1+$B$4)^21)&gt;0,1+$B$3,1))</f>
        <v/>
      </c>
      <c r="Y51">
        <f>IF($B$1+22&gt;90,X51,(X51+IF($B$1+22&lt;=$B51,12*$B$7,-12*MAX(0,$B$6-IF($B$1+22&gt;=$B$23,$B$22,0))*(1+$B$4)^22))*IF(X51+IF($B$1+22&lt;=$B51,12*$B$7,-12*MAX(0,$B$6-IF($B$1+22&gt;=$B$23,$B$22,0))*(1+$B$4)^22)&gt;0,1+$B$3,1))</f>
        <v/>
      </c>
      <c r="Z51">
        <f>IF($B$1+23&gt;90,Y51,(Y51+IF($B$1+23&lt;=$B51,12*$B$7,-12*MAX(0,$B$6-IF($B$1+23&gt;=$B$23,$B$22,0))*(1+$B$4)^23))*IF(Y51+IF($B$1+23&lt;=$B51,12*$B$7,-12*MAX(0,$B$6-IF($B$1+23&gt;=$B$23,$B$22,0))*(1+$B$4)^23)&gt;0,1+$B$3,1))</f>
        <v/>
      </c>
      <c r="AA51">
        <f>IF($B$1+24&gt;90,Z51,(Z51+IF($B$1+24&lt;=$B51,12*$B$7,-12*MAX(0,$B$6-IF($B$1+24&gt;=$B$23,$B$22,0))*(1+$B$4)^24))*IF(Z51+IF($B$1+24&lt;=$B51,12*$B$7,-12*MAX(0,$B$6-IF($B$1+24&gt;=$B$23,$B$22,0))*(1+$B$4)^24)&gt;0,1+$B$3,1))</f>
        <v/>
      </c>
      <c r="AB51">
        <f>IF($B$1+25&gt;90,AA51,(AA51+IF($B$1+25&lt;=$B51,12*$B$7,-12*MAX(0,$B$6-IF($B$1+25&gt;=$B$23,$B$22,0))*(1+$B$4)^25))*IF(AA51+IF($B$1+25&lt;=$B51,12*$B$7,-12*MAX(0,$B$6-IF($B$1+25&gt;=$B$23,$B$22,0))*(1+$B$4)^25)&gt;0,1+$B$3,1))</f>
        <v/>
      </c>
      <c r="AC51">
        <f>IF($B$1+26&gt;90,AB51,(AB51+IF($B$1+26&lt;=$B51,12*$B$7,-12*MAX(0,$B$6-IF($B$1+26&gt;=$B$23,$B$22,0))*(1+$B$4)^26))*IF(AB51+IF($B$1+26&lt;=$B51,12*$B$7,-12*MAX(0,$B$6-IF($B$1+26&gt;=$B$23,$B$22,0))*(1+$B$4)^26)&gt;0,1+$B$3,1))</f>
        <v/>
      </c>
      <c r="AD51">
        <f>IF($B$1+27&gt;90,AC51,(AC51+IF($B$1+27&lt;=$B51,12*$B$7,-12*MAX(0,$B$6-IF($B$1+27&gt;=$B$23,$B$22,0))*(1+$B$4)^27))*IF(AC51+IF($B$1+27&lt;=$B51,12*$B$7,-12*MAX(0,$B$6-IF($B$1+27&gt;=$B$23,$B$22,0))*(1+$B$4)^27)&gt;0,1+$B$3,1))</f>
        <v/>
      </c>
      <c r="AE51">
        <f>IF($B$1+28&gt;90,AD51,(AD51+IF($B$1+28&lt;=$B51,12*$B$7,-12*MAX(0,$B$6-IF($B$1+28&gt;=$B$23,$B$22,0))*(1+$B$4)^28))*IF(AD51+IF($B$1+28&lt;=$B51,12*$B$7,-12*MAX(0,$B$6-IF($B$1+28&gt;=$B$23,$B$22,0))*(1+$B$4)^28)&gt;0,1+$B$3,1))</f>
        <v/>
      </c>
      <c r="AF51">
        <f>IF($B$1+29&gt;90,AE51,(AE51+IF($B$1+29&lt;=$B51,12*$B$7,-12*MAX(0,$B$6-IF($B$1+29&gt;=$B$23,$B$22,0))*(1+$B$4)^29))*IF(AE51+IF($B$1+29&lt;=$B51,12*$B$7,-12*MAX(0,$B$6-IF($B$1+29&gt;=$B$23,$B$22,0))*(1+$B$4)^29)&gt;0,1+$B$3,1))</f>
        <v/>
      </c>
      <c r="AG51">
        <f>IF($B$1+30&gt;90,AF51,(AF51+IF($B$1+30&lt;=$B51,12*$B$7,-12*MAX(0,$B$6-IF($B$1+30&gt;=$B$23,$B$22,0))*(1+$B$4)^30))*IF(AF51+IF($B$1+30&lt;=$B51,12*$B$7,-12*MAX(0,$B$6-IF($B$1+30&gt;=$B$23,$B$22,0))*(1+$B$4)^30)&gt;0,1+$B$3,1))</f>
        <v/>
      </c>
      <c r="AH51">
        <f>IF($B$1+31&gt;90,AG51,(AG51+IF($B$1+31&lt;=$B51,12*$B$7,-12*MAX(0,$B$6-IF($B$1+31&gt;=$B$23,$B$22,0))*(1+$B$4)^31))*IF(AG51+IF($B$1+31&lt;=$B51,12*$B$7,-12*MAX(0,$B$6-IF($B$1+31&gt;=$B$23,$B$22,0))*(1+$B$4)^31)&gt;0,1+$B$3,1))</f>
        <v/>
      </c>
      <c r="AI51">
        <f>IF($B$1+32&gt;90,AH51,(AH51+IF($B$1+32&lt;=$B51,12*$B$7,-12*MAX(0,$B$6-IF($B$1+32&gt;=$B$23,$B$22,0))*(1+$B$4)^32))*IF(AH51+IF($B$1+32&lt;=$B51,12*$B$7,-12*MAX(0,$B$6-IF($B$1+32&gt;=$B$23,$B$22,0))*(1+$B$4)^32)&gt;0,1+$B$3,1))</f>
        <v/>
      </c>
      <c r="AJ51">
        <f>IF($B$1+33&gt;90,AI51,(AI51+IF($B$1+33&lt;=$B51,12*$B$7,-12*MAX(0,$B$6-IF($B$1+33&gt;=$B$23,$B$22,0))*(1+$B$4)^33))*IF(AI51+IF($B$1+33&lt;=$B51,12*$B$7,-12*MAX(0,$B$6-IF($B$1+33&gt;=$B$23,$B$22,0))*(1+$B$4)^33)&gt;0,1+$B$3,1))</f>
        <v/>
      </c>
      <c r="AK51">
        <f>IF($B$1+34&gt;90,AJ51,(AJ51+IF($B$1+34&lt;=$B51,12*$B$7,-12*MAX(0,$B$6-IF($B$1+34&gt;=$B$23,$B$22,0))*(1+$B$4)^34))*IF(AJ51+IF($B$1+34&lt;=$B51,12*$B$7,-12*MAX(0,$B$6-IF($B$1+34&gt;=$B$23,$B$22,0))*(1+$B$4)^34)&gt;0,1+$B$3,1))</f>
        <v/>
      </c>
      <c r="AL51">
        <f>IF($B$1+35&gt;90,AK51,(AK51+IF($B$1+35&lt;=$B51,12*$B$7,-12*MAX(0,$B$6-IF($B$1+35&gt;=$B$23,$B$22,0))*(1+$B$4)^35))*IF(AK51+IF($B$1+35&lt;=$B51,12*$B$7,-12*MAX(0,$B$6-IF($B$1+35&gt;=$B$23,$B$22,0))*(1+$B$4)^35)&gt;0,1+$B$3,1))</f>
        <v/>
      </c>
      <c r="AM51">
        <f>IF($B$1+36&gt;90,AL51,(AL51+IF($B$1+36&lt;=$B51,12*$B$7,-12*MAX(0,$B$6-IF($B$1+36&gt;=$B$23,$B$22,0))*(1+$B$4)^36))*IF(AL51+IF($B$1+36&lt;=$B51,12*$B$7,-12*MAX(0,$B$6-IF($B$1+36&gt;=$B$23,$B$22,0))*(1+$B$4)^36)&gt;0,1+$B$3,1))</f>
        <v/>
      </c>
      <c r="AN51">
        <f>IF($B$1+37&gt;90,AM51,(AM51+IF($B$1+37&lt;=$B51,12*$B$7,-12*MAX(0,$B$6-IF($B$1+37&gt;=$B$23,$B$22,0))*(1+$B$4)^37))*IF(AM51+IF($B$1+37&lt;=$B51,12*$B$7,-12*MAX(0,$B$6-IF($B$1+37&gt;=$B$23,$B$22,0))*(1+$B$4)^37)&gt;0,1+$B$3,1))</f>
        <v/>
      </c>
      <c r="AO51">
        <f>IF($B$1+38&gt;90,AN51,(AN51+IF($B$1+38&lt;=$B51,12*$B$7,-12*MAX(0,$B$6-IF($B$1+38&gt;=$B$23,$B$22,0))*(1+$B$4)^38))*IF(AN51+IF($B$1+38&lt;=$B51,12*$B$7,-12*MAX(0,$B$6-IF($B$1+38&gt;=$B$23,$B$22,0))*(1+$B$4)^38)&gt;0,1+$B$3,1))</f>
        <v/>
      </c>
      <c r="AP51">
        <f>IF($B$1+39&gt;90,AO51,(AO51+IF($B$1+39&lt;=$B51,12*$B$7,-12*MAX(0,$B$6-IF($B$1+39&gt;=$B$23,$B$22,0))*(1+$B$4)^39))*IF(AO51+IF($B$1+39&lt;=$B51,12*$B$7,-12*MAX(0,$B$6-IF($B$1+39&gt;=$B$23,$B$22,0))*(1+$B$4)^39)&gt;0,1+$B$3,1))</f>
        <v/>
      </c>
      <c r="AQ51">
        <f>IF($B$1+40&gt;90,AP51,(AP51+IF($B$1+40&lt;=$B51,12*$B$7,-12*MAX(0,$B$6-IF($B$1+40&gt;=$B$23,$B$22,0))*(1+$B$4)^40))*IF(AP51+IF($B$1+40&lt;=$B51,12*$B$7,-12*MAX(0,$B$6-IF($B$1+40&gt;=$B$23,$B$22,0))*(1+$B$4)^40)&gt;0,1+$B$3,1))</f>
        <v/>
      </c>
      <c r="AR51">
        <f>IF($B$1+41&gt;90,AQ51,(AQ51+IF($B$1+41&lt;=$B51,12*$B$7,-12*MAX(0,$B$6-IF($B$1+41&gt;=$B$23,$B$22,0))*(1+$B$4)^41))*IF(AQ51+IF($B$1+41&lt;=$B51,12*$B$7,-12*MAX(0,$B$6-IF($B$1+41&gt;=$B$23,$B$22,0))*(1+$B$4)^41)&gt;0,1+$B$3,1))</f>
        <v/>
      </c>
      <c r="AS51">
        <f>IF($B$1+42&gt;90,AR51,(AR51+IF($B$1+42&lt;=$B51,12*$B$7,-12*MAX(0,$B$6-IF($B$1+42&gt;=$B$23,$B$22,0))*(1+$B$4)^42))*IF(AR51+IF($B$1+42&lt;=$B51,12*$B$7,-12*MAX(0,$B$6-IF($B$1+42&gt;=$B$23,$B$22,0))*(1+$B$4)^42)&gt;0,1+$B$3,1))</f>
        <v/>
      </c>
      <c r="AT51">
        <f>IF($B$1+43&gt;90,AS51,(AS51+IF($B$1+43&lt;=$B51,12*$B$7,-12*MAX(0,$B$6-IF($B$1+43&gt;=$B$23,$B$22,0))*(1+$B$4)^43))*IF(AS51+IF($B$1+43&lt;=$B51,12*$B$7,-12*MAX(0,$B$6-IF($B$1+43&gt;=$B$23,$B$22,0))*(1+$B$4)^43)&gt;0,1+$B$3,1))</f>
        <v/>
      </c>
      <c r="AU51">
        <f>IF($B$1+44&gt;90,AT51,(AT51+IF($B$1+44&lt;=$B51,12*$B$7,-12*MAX(0,$B$6-IF($B$1+44&gt;=$B$23,$B$22,0))*(1+$B$4)^44))*IF(AT51+IF($B$1+44&lt;=$B51,12*$B$7,-12*MAX(0,$B$6-IF($B$1+44&gt;=$B$23,$B$22,0))*(1+$B$4)^44)&gt;0,1+$B$3,1))</f>
        <v/>
      </c>
      <c r="AV51">
        <f>IF($B$1+45&gt;90,AU51,(AU51+IF($B$1+45&lt;=$B51,12*$B$7,-12*MAX(0,$B$6-IF($B$1+45&gt;=$B$23,$B$22,0))*(1+$B$4)^45))*IF(AU51+IF($B$1+45&lt;=$B51,12*$B$7,-12*MAX(0,$B$6-IF($B$1+45&gt;=$B$23,$B$22,0))*(1+$B$4)^45)&gt;0,1+$B$3,1))</f>
        <v/>
      </c>
      <c r="AW51">
        <f>IF($B$1+46&gt;90,AV51,(AV51+IF($B$1+46&lt;=$B51,12*$B$7,-12*MAX(0,$B$6-IF($B$1+46&gt;=$B$23,$B$22,0))*(1+$B$4)^46))*IF(AV51+IF($B$1+46&lt;=$B51,12*$B$7,-12*MAX(0,$B$6-IF($B$1+46&gt;=$B$23,$B$22,0))*(1+$B$4)^46)&gt;0,1+$B$3,1))</f>
        <v/>
      </c>
      <c r="AX51">
        <f>IF($B$1+47&gt;90,AW51,(AW51+IF($B$1+47&lt;=$B51,12*$B$7,-12*MAX(0,$B$6-IF($B$1+47&gt;=$B$23,$B$22,0))*(1+$B$4)^47))*IF(AW51+IF($B$1+47&lt;=$B51,12*$B$7,-12*MAX(0,$B$6-IF($B$1+47&gt;=$B$23,$B$22,0))*(1+$B$4)^47)&gt;0,1+$B$3,1))</f>
        <v/>
      </c>
      <c r="AY51">
        <f>IF($B$1+48&gt;90,AX51,(AX51+IF($B$1+48&lt;=$B51,12*$B$7,-12*MAX(0,$B$6-IF($B$1+48&gt;=$B$23,$B$22,0))*(1+$B$4)^48))*IF(AX51+IF($B$1+48&lt;=$B51,12*$B$7,-12*MAX(0,$B$6-IF($B$1+48&gt;=$B$23,$B$22,0))*(1+$B$4)^48)&gt;0,1+$B$3,1))</f>
        <v/>
      </c>
      <c r="AZ51">
        <f>IF($B$1+49&gt;90,AY51,(AY51+IF($B$1+49&lt;=$B51,12*$B$7,-12*MAX(0,$B$6-IF($B$1+49&gt;=$B$23,$B$22,0))*(1+$B$4)^49))*IF(AY51+IF($B$1+49&lt;=$B51,12*$B$7,-12*MAX(0,$B$6-IF($B$1+49&gt;=$B$23,$B$22,0))*(1+$B$4)^49)&gt;0,1+$B$3,1))</f>
        <v/>
      </c>
      <c r="BA51">
        <f>IF($B$1+50&gt;90,AZ51,(AZ51+IF($B$1+50&lt;=$B51,12*$B$7,-12*MAX(0,$B$6-IF($B$1+50&gt;=$B$23,$B$22,0))*(1+$B$4)^50))*IF(AZ51+IF($B$1+50&lt;=$B51,12*$B$7,-12*MAX(0,$B$6-IF($B$1+50&gt;=$B$23,$B$22,0))*(1+$B$4)^50)&gt;0,1+$B$3,1))</f>
        <v/>
      </c>
      <c r="BB51">
        <f>IF($B$1+51&gt;90,BA51,(BA51+IF($B$1+51&lt;=$B51,12*$B$7,-12*MAX(0,$B$6-IF($B$1+51&gt;=$B$23,$B$22,0))*(1+$B$4)^51))*IF(BA51+IF($B$1+51&lt;=$B51,12*$B$7,-12*MAX(0,$B$6-IF($B$1+51&gt;=$B$23,$B$22,0))*(1+$B$4)^51)&gt;0,1+$B$3,1))</f>
        <v/>
      </c>
      <c r="BC51">
        <f>IF($B$1+52&gt;90,BB51,(BB51+IF($B$1+52&lt;=$B51,12*$B$7,-12*MAX(0,$B$6-IF($B$1+52&gt;=$B$23,$B$22,0))*(1+$B$4)^52))*IF(BB51+IF($B$1+52&lt;=$B51,12*$B$7,-12*MAX(0,$B$6-IF($B$1+52&gt;=$B$23,$B$22,0))*(1+$B$4)^52)&gt;0,1+$B$3,1))</f>
        <v/>
      </c>
      <c r="BD51">
        <f>IF($B$1+53&gt;90,BC51,(BC51+IF($B$1+53&lt;=$B51,12*$B$7,-12*MAX(0,$B$6-IF($B$1+53&gt;=$B$23,$B$22,0))*(1+$B$4)^53))*IF(BC51+IF($B$1+53&lt;=$B51,12*$B$7,-12*MAX(0,$B$6-IF($B$1+53&gt;=$B$23,$B$22,0))*(1+$B$4)^53)&gt;0,1+$B$3,1))</f>
        <v/>
      </c>
      <c r="BE51">
        <f>IF($B$1+54&gt;90,BD51,(BD51+IF($B$1+54&lt;=$B51,12*$B$7,-12*MAX(0,$B$6-IF($B$1+54&gt;=$B$23,$B$22,0))*(1+$B$4)^54))*IF(BD51+IF($B$1+54&lt;=$B51,12*$B$7,-12*MAX(0,$B$6-IF($B$1+54&gt;=$B$23,$B$22,0))*(1+$B$4)^54)&gt;0,1+$B$3,1))</f>
        <v/>
      </c>
      <c r="BF51">
        <f>IF($B$1+55&gt;90,BE51,(BE51+IF($B$1+55&lt;=$B51,12*$B$7,-12*MAX(0,$B$6-IF($B$1+55&gt;=$B$23,$B$22,0))*(1+$B$4)^55))*IF(BE51+IF($B$1+55&lt;=$B51,12*$B$7,-12*MAX(0,$B$6-IF($B$1+55&gt;=$B$23,$B$22,0))*(1+$B$4)^55)&gt;0,1+$B$3,1))</f>
        <v/>
      </c>
      <c r="BG51">
        <f>IF($B$1+56&gt;90,BF51,(BF51+IF($B$1+56&lt;=$B51,12*$B$7,-12*MAX(0,$B$6-IF($B$1+56&gt;=$B$23,$B$22,0))*(1+$B$4)^56))*IF(BF51+IF($B$1+56&lt;=$B51,12*$B$7,-12*MAX(0,$B$6-IF($B$1+56&gt;=$B$23,$B$22,0))*(1+$B$4)^56)&gt;0,1+$B$3,1))</f>
        <v/>
      </c>
      <c r="BH51">
        <f>IF($B$1+57&gt;90,BG51,(BG51+IF($B$1+57&lt;=$B51,12*$B$7,-12*MAX(0,$B$6-IF($B$1+57&gt;=$B$23,$B$22,0))*(1+$B$4)^57))*IF(BG51+IF($B$1+57&lt;=$B51,12*$B$7,-12*MAX(0,$B$6-IF($B$1+57&gt;=$B$23,$B$22,0))*(1+$B$4)^57)&gt;0,1+$B$3,1))</f>
        <v/>
      </c>
      <c r="BI51">
        <f>IF($B$1+58&gt;90,BH51,(BH51+IF($B$1+58&lt;=$B51,12*$B$7,-12*MAX(0,$B$6-IF($B$1+58&gt;=$B$23,$B$22,0))*(1+$B$4)^58))*IF(BH51+IF($B$1+58&lt;=$B51,12*$B$7,-12*MAX(0,$B$6-IF($B$1+58&gt;=$B$23,$B$22,0))*(1+$B$4)^58)&gt;0,1+$B$3,1))</f>
        <v/>
      </c>
      <c r="BJ51">
        <f>IF($B$1+59&gt;90,BI51,(BI51+IF($B$1+59&lt;=$B51,12*$B$7,-12*MAX(0,$B$6-IF($B$1+59&gt;=$B$23,$B$22,0))*(1+$B$4)^59))*IF(BI51+IF($B$1+59&lt;=$B51,12*$B$7,-12*MAX(0,$B$6-IF($B$1+59&gt;=$B$23,$B$22,0))*(1+$B$4)^59)&gt;0,1+$B$3,1))</f>
        <v/>
      </c>
      <c r="BK51">
        <f>IF($B$1+60&gt;90,BJ51,(BJ51+IF($B$1+60&lt;=$B51,12*$B$7,-12*MAX(0,$B$6-IF($B$1+60&gt;=$B$23,$B$22,0))*(1+$B$4)^60))*IF(BJ51+IF($B$1+60&lt;=$B51,12*$B$7,-12*MAX(0,$B$6-IF($B$1+60&gt;=$B$23,$B$22,0))*(1+$B$4)^60)&gt;0,1+$B$3,1))</f>
        <v/>
      </c>
      <c r="BL51">
        <f>IF($B$1+61&gt;90,BK51,(BK51+IF($B$1+61&lt;=$B51,12*$B$7,-12*MAX(0,$B$6-IF($B$1+61&gt;=$B$23,$B$22,0))*(1+$B$4)^61))*IF(BK51+IF($B$1+61&lt;=$B51,12*$B$7,-12*MAX(0,$B$6-IF($B$1+61&gt;=$B$23,$B$22,0))*(1+$B$4)^61)&gt;0,1+$B$3,1))</f>
        <v/>
      </c>
      <c r="BM51">
        <f>IF($B$1+62&gt;90,BL51,(BL51+IF($B$1+62&lt;=$B51,12*$B$7,-12*MAX(0,$B$6-IF($B$1+62&gt;=$B$23,$B$22,0))*(1+$B$4)^62))*IF(BL51+IF($B$1+62&lt;=$B51,12*$B$7,-12*MAX(0,$B$6-IF($B$1+62&gt;=$B$23,$B$22,0))*(1+$B$4)^62)&gt;0,1+$B$3,1))</f>
        <v/>
      </c>
      <c r="BN51">
        <f>IF($B$1+63&gt;90,BM51,(BM51+IF($B$1+63&lt;=$B51,12*$B$7,-12*MAX(0,$B$6-IF($B$1+63&gt;=$B$23,$B$22,0))*(1+$B$4)^63))*IF(BM51+IF($B$1+63&lt;=$B51,12*$B$7,-12*MAX(0,$B$6-IF($B$1+63&gt;=$B$23,$B$22,0))*(1+$B$4)^63)&gt;0,1+$B$3,1))</f>
        <v/>
      </c>
      <c r="BO51">
        <f>IF($B$1+64&gt;90,BN51,(BN51+IF($B$1+64&lt;=$B51,12*$B$7,-12*MAX(0,$B$6-IF($B$1+64&gt;=$B$23,$B$22,0))*(1+$B$4)^64))*IF(BN51+IF($B$1+64&lt;=$B51,12*$B$7,-12*MAX(0,$B$6-IF($B$1+64&gt;=$B$23,$B$22,0))*(1+$B$4)^64)&gt;0,1+$B$3,1))</f>
        <v/>
      </c>
      <c r="BP51">
        <f>IF($B$1+65&gt;90,BO51,(BO51+IF($B$1+65&lt;=$B51,12*$B$7,-12*MAX(0,$B$6-IF($B$1+65&gt;=$B$23,$B$22,0))*(1+$B$4)^65))*IF(BO51+IF($B$1+65&lt;=$B51,12*$B$7,-12*MAX(0,$B$6-IF($B$1+65&gt;=$B$23,$B$22,0))*(1+$B$4)^65)&gt;0,1+$B$3,1))</f>
        <v/>
      </c>
      <c r="BQ51">
        <f>IF($B$1+66&gt;90,BP51,(BP51+IF($B$1+66&lt;=$B51,12*$B$7,-12*MAX(0,$B$6-IF($B$1+66&gt;=$B$23,$B$22,0))*(1+$B$4)^66))*IF(BP51+IF($B$1+66&lt;=$B51,12*$B$7,-12*MAX(0,$B$6-IF($B$1+66&gt;=$B$23,$B$22,0))*(1+$B$4)^66)&gt;0,1+$B$3,1))</f>
        <v/>
      </c>
      <c r="BR51">
        <f>IF($B$1+67&gt;90,BQ51,(BQ51+IF($B$1+67&lt;=$B51,12*$B$7,-12*MAX(0,$B$6-IF($B$1+67&gt;=$B$23,$B$22,0))*(1+$B$4)^67))*IF(BQ51+IF($B$1+67&lt;=$B51,12*$B$7,-12*MAX(0,$B$6-IF($B$1+67&gt;=$B$23,$B$22,0))*(1+$B$4)^67)&gt;0,1+$B$3,1))</f>
        <v/>
      </c>
      <c r="BS51">
        <f>IF($B$1+68&gt;90,BR51,(BR51+IF($B$1+68&lt;=$B51,12*$B$7,-12*MAX(0,$B$6-IF($B$1+68&gt;=$B$23,$B$22,0))*(1+$B$4)^68))*IF(BR51+IF($B$1+68&lt;=$B51,12*$B$7,-12*MAX(0,$B$6-IF($B$1+68&gt;=$B$23,$B$22,0))*(1+$B$4)^68)&gt;0,1+$B$3,1))</f>
        <v/>
      </c>
      <c r="BT51">
        <f>IF($B$1+69&gt;90,BS51,(BS51+IF($B$1+69&lt;=$B51,12*$B$7,-12*MAX(0,$B$6-IF($B$1+69&gt;=$B$23,$B$22,0))*(1+$B$4)^69))*IF(BS51+IF($B$1+69&lt;=$B51,12*$B$7,-12*MAX(0,$B$6-IF($B$1+69&gt;=$B$23,$B$22,0))*(1+$B$4)^69)&gt;0,1+$B$3,1))</f>
        <v/>
      </c>
      <c r="BU51">
        <f>IF($B$1+70&gt;90,BT51,(BT51+IF($B$1+70&lt;=$B51,12*$B$7,-12*MAX(0,$B$6-IF($B$1+70&gt;=$B$23,$B$22,0))*(1+$B$4)^70))*IF(BT51+IF($B$1+70&lt;=$B51,12*$B$7,-12*MAX(0,$B$6-IF($B$1+70&gt;=$B$23,$B$22,0))*(1+$B$4)^70)&gt;0,1+$B$3,1))</f>
        <v/>
      </c>
      <c r="BV51">
        <f>BU51</f>
        <v/>
      </c>
      <c r="BW51">
        <f>IF(AND($B51&lt;=70,BV51&gt;0),$B51,999)</f>
        <v/>
      </c>
      <c r="CB51" t="n">
        <v>50</v>
      </c>
      <c r="CC51">
        <f>IF($B$1+CB51&gt;90,0,12*MAX(0,$B$6-IF($B$1+CB51&gt;=$B$23,$B$22,0))*(1+$B$4)^CB51/(1+$B$3)^(CB51-1))</f>
        <v/>
      </c>
      <c r="CE51">
        <f>IF($B$1+49&gt;90,NA(),$B$1+49)</f>
        <v/>
      </c>
      <c r="CF51">
        <f>IF(OR($B$21="",$B$1+49&gt;90),NA(),INDEX($C$40:$BU$90,$B$21-$B$1+1,50))</f>
        <v/>
      </c>
      <c r="CH51">
        <f>IF(ISTEXT('월 가계부'!A51),SUBSTITUTE(SUBSTITUTE(SUBSTITUTE(SUBSTITUTE(SUBSTITUTE(SUBSTITUTE(SUBSTITUTE(SUBSTITUTE(SUBSTITUTE(TRIM('월 가계부'!A51),"년","-"),"월","-"),"일",""),".","-"),"/","-")," ","-"),"--","-"),"--","-"),"--","-")&amp;"-","")</f>
        <v/>
      </c>
      <c r="CI51">
        <f>IFERROR(IF('월 가계부'!A51="","",IF(ISNUMBER('월 가계부'!A51),IF(AND('월 가계부'!A51&gt;=19000101,'월 가계부'!A51&lt;=21001231),IF(AND(MOD(INT('월 가계부'!A51/100),100)&gt;=1,MOD(INT('월 가계부'!A51/100),100)&lt;=12,MOD(INT('월 가계부'!A51),100)&gt;=1,MOD(INT('월 가계부'!A51),100)&lt;=31),IF(MONTH(DATE(INT('월 가계부'!A51/10000),MOD(INT('월 가계부'!A51/100),100),MOD(INT('월 가계부'!A51),100)))=MOD(INT('월 가계부'!A51/100),100),DATE(INT('월 가계부'!A51/10000),MOD(INT('월 가계부'!A51/100),100),MOD(INT('월 가계부'!A51),100)),""),""),IF(AND('월 가계부'!A51&gt;=36526,'월 가계부'!A51&lt;73051),INT('월 가계부'!A51),"")),IF(OR(CM51="",CN51="",CO51=""),"",IF(AND(CM51&gt;=2000,CM51&lt;=2099,CN51&gt;=1,CN51&lt;=12,CO51&gt;=1,CO51&lt;=31),IF(MONTH(DATE(CM51,CN51,CO51))=CN51,DATE(CM51,CN51,CO51),""),"")))),"")</f>
        <v/>
      </c>
      <c r="CJ51">
        <f>IFERROR(IF('월 가계부'!C51="","",IF(ISNUMBER('월 가계부'!C51),'월 가계부'!C51,VALUE(SUBSTITUTE(SUBSTITUTE(SUBSTITUTE(SUBSTITUTE(TRIM('월 가계부'!C51),",",""),"원","")," ",""),"−","-")))),"")</f>
        <v/>
      </c>
      <c r="CK51">
        <f>IF(ISNUMBER(CI51),IF(CI51&lt;$B$13,CI51,""),"")</f>
        <v/>
      </c>
      <c r="CM51">
        <f>IF(CH51="","",IFERROR(IF(IF(AND(LEN(CH51)=9,ISERROR(FIND("-",LEFT(CH51,8))),ISNUMBER(-LEFT(CH51,8))),VALUE(LEFT(CH51,4)),VALUE(LEFT(CH51,FIND("-",CH51)-1)))&lt;100,IF(AND(LEN(CH51)=9,ISERROR(FIND("-",LEFT(CH51,8))),ISNUMBER(-LEFT(CH51,8))),VALUE(LEFT(CH51,4)),VALUE(LEFT(CH51,FIND("-",CH51)-1)))+2000,IF(AND(LEN(CH51)=9,ISERROR(FIND("-",LEFT(CH51,8))),ISNUMBER(-LEFT(CH51,8))),VALUE(LEFT(CH51,4)),VALUE(LEFT(CH51,FIND("-",CH51)-1)))),""))</f>
        <v/>
      </c>
      <c r="CN51">
        <f>IF(CH51="","",IFERROR(IF(AND(LEN(CH51)=9,ISERROR(FIND("-",LEFT(CH51,8))),ISNUMBER(-LEFT(CH51,8))),VALUE(MID(CH51,5,2)),VALUE(MID(CH51,FIND("-",CH51)+1,FIND("-",CH51,FIND("-",CH51)+1)-FIND("-",CH51)-1))),""))</f>
        <v/>
      </c>
      <c r="CO51">
        <f>IF(CH51="","",IFERROR(IF(AND(LEN(CH51)=9,ISERROR(FIND("-",LEFT(CH51,8))),ISNUMBER(-LEFT(CH51,8))),VALUE(MID(CH51,7,2)),VALUE(MID(CH51,FIND("-",CH51,FIND("-",CH51)+1)+1,FIND("-",CH51,FIND("-",CH51,FIND("-",CH51)+1)+1)-FIND("-",CH51,FIND("-",CH51)+1)-1))),""))</f>
        <v/>
      </c>
    </row>
    <row r="52">
      <c r="A52" t="n">
        <v>12</v>
      </c>
      <c r="B52">
        <f>$B$1+12</f>
        <v/>
      </c>
      <c r="C52">
        <f>$B$2</f>
        <v/>
      </c>
      <c r="D52">
        <f>IF($B$1+1&gt;90,C52,(C52+IF($B$1+1&lt;=$B52,12*$B$7,-12*MAX(0,$B$6-IF($B$1+1&gt;=$B$23,$B$22,0))*(1+$B$4)^1))*IF(C52+IF($B$1+1&lt;=$B52,12*$B$7,-12*MAX(0,$B$6-IF($B$1+1&gt;=$B$23,$B$22,0))*(1+$B$4)^1)&gt;0,1+$B$3,1))</f>
        <v/>
      </c>
      <c r="E52">
        <f>IF($B$1+2&gt;90,D52,(D52+IF($B$1+2&lt;=$B52,12*$B$7,-12*MAX(0,$B$6-IF($B$1+2&gt;=$B$23,$B$22,0))*(1+$B$4)^2))*IF(D52+IF($B$1+2&lt;=$B52,12*$B$7,-12*MAX(0,$B$6-IF($B$1+2&gt;=$B$23,$B$22,0))*(1+$B$4)^2)&gt;0,1+$B$3,1))</f>
        <v/>
      </c>
      <c r="F52">
        <f>IF($B$1+3&gt;90,E52,(E52+IF($B$1+3&lt;=$B52,12*$B$7,-12*MAX(0,$B$6-IF($B$1+3&gt;=$B$23,$B$22,0))*(1+$B$4)^3))*IF(E52+IF($B$1+3&lt;=$B52,12*$B$7,-12*MAX(0,$B$6-IF($B$1+3&gt;=$B$23,$B$22,0))*(1+$B$4)^3)&gt;0,1+$B$3,1))</f>
        <v/>
      </c>
      <c r="G52">
        <f>IF($B$1+4&gt;90,F52,(F52+IF($B$1+4&lt;=$B52,12*$B$7,-12*MAX(0,$B$6-IF($B$1+4&gt;=$B$23,$B$22,0))*(1+$B$4)^4))*IF(F52+IF($B$1+4&lt;=$B52,12*$B$7,-12*MAX(0,$B$6-IF($B$1+4&gt;=$B$23,$B$22,0))*(1+$B$4)^4)&gt;0,1+$B$3,1))</f>
        <v/>
      </c>
      <c r="H52">
        <f>IF($B$1+5&gt;90,G52,(G52+IF($B$1+5&lt;=$B52,12*$B$7,-12*MAX(0,$B$6-IF($B$1+5&gt;=$B$23,$B$22,0))*(1+$B$4)^5))*IF(G52+IF($B$1+5&lt;=$B52,12*$B$7,-12*MAX(0,$B$6-IF($B$1+5&gt;=$B$23,$B$22,0))*(1+$B$4)^5)&gt;0,1+$B$3,1))</f>
        <v/>
      </c>
      <c r="I52">
        <f>IF($B$1+6&gt;90,H52,(H52+IF($B$1+6&lt;=$B52,12*$B$7,-12*MAX(0,$B$6-IF($B$1+6&gt;=$B$23,$B$22,0))*(1+$B$4)^6))*IF(H52+IF($B$1+6&lt;=$B52,12*$B$7,-12*MAX(0,$B$6-IF($B$1+6&gt;=$B$23,$B$22,0))*(1+$B$4)^6)&gt;0,1+$B$3,1))</f>
        <v/>
      </c>
      <c r="J52">
        <f>IF($B$1+7&gt;90,I52,(I52+IF($B$1+7&lt;=$B52,12*$B$7,-12*MAX(0,$B$6-IF($B$1+7&gt;=$B$23,$B$22,0))*(1+$B$4)^7))*IF(I52+IF($B$1+7&lt;=$B52,12*$B$7,-12*MAX(0,$B$6-IF($B$1+7&gt;=$B$23,$B$22,0))*(1+$B$4)^7)&gt;0,1+$B$3,1))</f>
        <v/>
      </c>
      <c r="K52">
        <f>IF($B$1+8&gt;90,J52,(J52+IF($B$1+8&lt;=$B52,12*$B$7,-12*MAX(0,$B$6-IF($B$1+8&gt;=$B$23,$B$22,0))*(1+$B$4)^8))*IF(J52+IF($B$1+8&lt;=$B52,12*$B$7,-12*MAX(0,$B$6-IF($B$1+8&gt;=$B$23,$B$22,0))*(1+$B$4)^8)&gt;0,1+$B$3,1))</f>
        <v/>
      </c>
      <c r="L52">
        <f>IF($B$1+9&gt;90,K52,(K52+IF($B$1+9&lt;=$B52,12*$B$7,-12*MAX(0,$B$6-IF($B$1+9&gt;=$B$23,$B$22,0))*(1+$B$4)^9))*IF(K52+IF($B$1+9&lt;=$B52,12*$B$7,-12*MAX(0,$B$6-IF($B$1+9&gt;=$B$23,$B$22,0))*(1+$B$4)^9)&gt;0,1+$B$3,1))</f>
        <v/>
      </c>
      <c r="M52">
        <f>IF($B$1+10&gt;90,L52,(L52+IF($B$1+10&lt;=$B52,12*$B$7,-12*MAX(0,$B$6-IF($B$1+10&gt;=$B$23,$B$22,0))*(1+$B$4)^10))*IF(L52+IF($B$1+10&lt;=$B52,12*$B$7,-12*MAX(0,$B$6-IF($B$1+10&gt;=$B$23,$B$22,0))*(1+$B$4)^10)&gt;0,1+$B$3,1))</f>
        <v/>
      </c>
      <c r="N52">
        <f>IF($B$1+11&gt;90,M52,(M52+IF($B$1+11&lt;=$B52,12*$B$7,-12*MAX(0,$B$6-IF($B$1+11&gt;=$B$23,$B$22,0))*(1+$B$4)^11))*IF(M52+IF($B$1+11&lt;=$B52,12*$B$7,-12*MAX(0,$B$6-IF($B$1+11&gt;=$B$23,$B$22,0))*(1+$B$4)^11)&gt;0,1+$B$3,1))</f>
        <v/>
      </c>
      <c r="O52">
        <f>IF($B$1+12&gt;90,N52,(N52+IF($B$1+12&lt;=$B52,12*$B$7,-12*MAX(0,$B$6-IF($B$1+12&gt;=$B$23,$B$22,0))*(1+$B$4)^12))*IF(N52+IF($B$1+12&lt;=$B52,12*$B$7,-12*MAX(0,$B$6-IF($B$1+12&gt;=$B$23,$B$22,0))*(1+$B$4)^12)&gt;0,1+$B$3,1))</f>
        <v/>
      </c>
      <c r="P52">
        <f>IF($B$1+13&gt;90,O52,(O52+IF($B$1+13&lt;=$B52,12*$B$7,-12*MAX(0,$B$6-IF($B$1+13&gt;=$B$23,$B$22,0))*(1+$B$4)^13))*IF(O52+IF($B$1+13&lt;=$B52,12*$B$7,-12*MAX(0,$B$6-IF($B$1+13&gt;=$B$23,$B$22,0))*(1+$B$4)^13)&gt;0,1+$B$3,1))</f>
        <v/>
      </c>
      <c r="Q52">
        <f>IF($B$1+14&gt;90,P52,(P52+IF($B$1+14&lt;=$B52,12*$B$7,-12*MAX(0,$B$6-IF($B$1+14&gt;=$B$23,$B$22,0))*(1+$B$4)^14))*IF(P52+IF($B$1+14&lt;=$B52,12*$B$7,-12*MAX(0,$B$6-IF($B$1+14&gt;=$B$23,$B$22,0))*(1+$B$4)^14)&gt;0,1+$B$3,1))</f>
        <v/>
      </c>
      <c r="R52">
        <f>IF($B$1+15&gt;90,Q52,(Q52+IF($B$1+15&lt;=$B52,12*$B$7,-12*MAX(0,$B$6-IF($B$1+15&gt;=$B$23,$B$22,0))*(1+$B$4)^15))*IF(Q52+IF($B$1+15&lt;=$B52,12*$B$7,-12*MAX(0,$B$6-IF($B$1+15&gt;=$B$23,$B$22,0))*(1+$B$4)^15)&gt;0,1+$B$3,1))</f>
        <v/>
      </c>
      <c r="S52">
        <f>IF($B$1+16&gt;90,R52,(R52+IF($B$1+16&lt;=$B52,12*$B$7,-12*MAX(0,$B$6-IF($B$1+16&gt;=$B$23,$B$22,0))*(1+$B$4)^16))*IF(R52+IF($B$1+16&lt;=$B52,12*$B$7,-12*MAX(0,$B$6-IF($B$1+16&gt;=$B$23,$B$22,0))*(1+$B$4)^16)&gt;0,1+$B$3,1))</f>
        <v/>
      </c>
      <c r="T52">
        <f>IF($B$1+17&gt;90,S52,(S52+IF($B$1+17&lt;=$B52,12*$B$7,-12*MAX(0,$B$6-IF($B$1+17&gt;=$B$23,$B$22,0))*(1+$B$4)^17))*IF(S52+IF($B$1+17&lt;=$B52,12*$B$7,-12*MAX(0,$B$6-IF($B$1+17&gt;=$B$23,$B$22,0))*(1+$B$4)^17)&gt;0,1+$B$3,1))</f>
        <v/>
      </c>
      <c r="U52">
        <f>IF($B$1+18&gt;90,T52,(T52+IF($B$1+18&lt;=$B52,12*$B$7,-12*MAX(0,$B$6-IF($B$1+18&gt;=$B$23,$B$22,0))*(1+$B$4)^18))*IF(T52+IF($B$1+18&lt;=$B52,12*$B$7,-12*MAX(0,$B$6-IF($B$1+18&gt;=$B$23,$B$22,0))*(1+$B$4)^18)&gt;0,1+$B$3,1))</f>
        <v/>
      </c>
      <c r="V52">
        <f>IF($B$1+19&gt;90,U52,(U52+IF($B$1+19&lt;=$B52,12*$B$7,-12*MAX(0,$B$6-IF($B$1+19&gt;=$B$23,$B$22,0))*(1+$B$4)^19))*IF(U52+IF($B$1+19&lt;=$B52,12*$B$7,-12*MAX(0,$B$6-IF($B$1+19&gt;=$B$23,$B$22,0))*(1+$B$4)^19)&gt;0,1+$B$3,1))</f>
        <v/>
      </c>
      <c r="W52">
        <f>IF($B$1+20&gt;90,V52,(V52+IF($B$1+20&lt;=$B52,12*$B$7,-12*MAX(0,$B$6-IF($B$1+20&gt;=$B$23,$B$22,0))*(1+$B$4)^20))*IF(V52+IF($B$1+20&lt;=$B52,12*$B$7,-12*MAX(0,$B$6-IF($B$1+20&gt;=$B$23,$B$22,0))*(1+$B$4)^20)&gt;0,1+$B$3,1))</f>
        <v/>
      </c>
      <c r="X52">
        <f>IF($B$1+21&gt;90,W52,(W52+IF($B$1+21&lt;=$B52,12*$B$7,-12*MAX(0,$B$6-IF($B$1+21&gt;=$B$23,$B$22,0))*(1+$B$4)^21))*IF(W52+IF($B$1+21&lt;=$B52,12*$B$7,-12*MAX(0,$B$6-IF($B$1+21&gt;=$B$23,$B$22,0))*(1+$B$4)^21)&gt;0,1+$B$3,1))</f>
        <v/>
      </c>
      <c r="Y52">
        <f>IF($B$1+22&gt;90,X52,(X52+IF($B$1+22&lt;=$B52,12*$B$7,-12*MAX(0,$B$6-IF($B$1+22&gt;=$B$23,$B$22,0))*(1+$B$4)^22))*IF(X52+IF($B$1+22&lt;=$B52,12*$B$7,-12*MAX(0,$B$6-IF($B$1+22&gt;=$B$23,$B$22,0))*(1+$B$4)^22)&gt;0,1+$B$3,1))</f>
        <v/>
      </c>
      <c r="Z52">
        <f>IF($B$1+23&gt;90,Y52,(Y52+IF($B$1+23&lt;=$B52,12*$B$7,-12*MAX(0,$B$6-IF($B$1+23&gt;=$B$23,$B$22,0))*(1+$B$4)^23))*IF(Y52+IF($B$1+23&lt;=$B52,12*$B$7,-12*MAX(0,$B$6-IF($B$1+23&gt;=$B$23,$B$22,0))*(1+$B$4)^23)&gt;0,1+$B$3,1))</f>
        <v/>
      </c>
      <c r="AA52">
        <f>IF($B$1+24&gt;90,Z52,(Z52+IF($B$1+24&lt;=$B52,12*$B$7,-12*MAX(0,$B$6-IF($B$1+24&gt;=$B$23,$B$22,0))*(1+$B$4)^24))*IF(Z52+IF($B$1+24&lt;=$B52,12*$B$7,-12*MAX(0,$B$6-IF($B$1+24&gt;=$B$23,$B$22,0))*(1+$B$4)^24)&gt;0,1+$B$3,1))</f>
        <v/>
      </c>
      <c r="AB52">
        <f>IF($B$1+25&gt;90,AA52,(AA52+IF($B$1+25&lt;=$B52,12*$B$7,-12*MAX(0,$B$6-IF($B$1+25&gt;=$B$23,$B$22,0))*(1+$B$4)^25))*IF(AA52+IF($B$1+25&lt;=$B52,12*$B$7,-12*MAX(0,$B$6-IF($B$1+25&gt;=$B$23,$B$22,0))*(1+$B$4)^25)&gt;0,1+$B$3,1))</f>
        <v/>
      </c>
      <c r="AC52">
        <f>IF($B$1+26&gt;90,AB52,(AB52+IF($B$1+26&lt;=$B52,12*$B$7,-12*MAX(0,$B$6-IF($B$1+26&gt;=$B$23,$B$22,0))*(1+$B$4)^26))*IF(AB52+IF($B$1+26&lt;=$B52,12*$B$7,-12*MAX(0,$B$6-IF($B$1+26&gt;=$B$23,$B$22,0))*(1+$B$4)^26)&gt;0,1+$B$3,1))</f>
        <v/>
      </c>
      <c r="AD52">
        <f>IF($B$1+27&gt;90,AC52,(AC52+IF($B$1+27&lt;=$B52,12*$B$7,-12*MAX(0,$B$6-IF($B$1+27&gt;=$B$23,$B$22,0))*(1+$B$4)^27))*IF(AC52+IF($B$1+27&lt;=$B52,12*$B$7,-12*MAX(0,$B$6-IF($B$1+27&gt;=$B$23,$B$22,0))*(1+$B$4)^27)&gt;0,1+$B$3,1))</f>
        <v/>
      </c>
      <c r="AE52">
        <f>IF($B$1+28&gt;90,AD52,(AD52+IF($B$1+28&lt;=$B52,12*$B$7,-12*MAX(0,$B$6-IF($B$1+28&gt;=$B$23,$B$22,0))*(1+$B$4)^28))*IF(AD52+IF($B$1+28&lt;=$B52,12*$B$7,-12*MAX(0,$B$6-IF($B$1+28&gt;=$B$23,$B$22,0))*(1+$B$4)^28)&gt;0,1+$B$3,1))</f>
        <v/>
      </c>
      <c r="AF52">
        <f>IF($B$1+29&gt;90,AE52,(AE52+IF($B$1+29&lt;=$B52,12*$B$7,-12*MAX(0,$B$6-IF($B$1+29&gt;=$B$23,$B$22,0))*(1+$B$4)^29))*IF(AE52+IF($B$1+29&lt;=$B52,12*$B$7,-12*MAX(0,$B$6-IF($B$1+29&gt;=$B$23,$B$22,0))*(1+$B$4)^29)&gt;0,1+$B$3,1))</f>
        <v/>
      </c>
      <c r="AG52">
        <f>IF($B$1+30&gt;90,AF52,(AF52+IF($B$1+30&lt;=$B52,12*$B$7,-12*MAX(0,$B$6-IF($B$1+30&gt;=$B$23,$B$22,0))*(1+$B$4)^30))*IF(AF52+IF($B$1+30&lt;=$B52,12*$B$7,-12*MAX(0,$B$6-IF($B$1+30&gt;=$B$23,$B$22,0))*(1+$B$4)^30)&gt;0,1+$B$3,1))</f>
        <v/>
      </c>
      <c r="AH52">
        <f>IF($B$1+31&gt;90,AG52,(AG52+IF($B$1+31&lt;=$B52,12*$B$7,-12*MAX(0,$B$6-IF($B$1+31&gt;=$B$23,$B$22,0))*(1+$B$4)^31))*IF(AG52+IF($B$1+31&lt;=$B52,12*$B$7,-12*MAX(0,$B$6-IF($B$1+31&gt;=$B$23,$B$22,0))*(1+$B$4)^31)&gt;0,1+$B$3,1))</f>
        <v/>
      </c>
      <c r="AI52">
        <f>IF($B$1+32&gt;90,AH52,(AH52+IF($B$1+32&lt;=$B52,12*$B$7,-12*MAX(0,$B$6-IF($B$1+32&gt;=$B$23,$B$22,0))*(1+$B$4)^32))*IF(AH52+IF($B$1+32&lt;=$B52,12*$B$7,-12*MAX(0,$B$6-IF($B$1+32&gt;=$B$23,$B$22,0))*(1+$B$4)^32)&gt;0,1+$B$3,1))</f>
        <v/>
      </c>
      <c r="AJ52">
        <f>IF($B$1+33&gt;90,AI52,(AI52+IF($B$1+33&lt;=$B52,12*$B$7,-12*MAX(0,$B$6-IF($B$1+33&gt;=$B$23,$B$22,0))*(1+$B$4)^33))*IF(AI52+IF($B$1+33&lt;=$B52,12*$B$7,-12*MAX(0,$B$6-IF($B$1+33&gt;=$B$23,$B$22,0))*(1+$B$4)^33)&gt;0,1+$B$3,1))</f>
        <v/>
      </c>
      <c r="AK52">
        <f>IF($B$1+34&gt;90,AJ52,(AJ52+IF($B$1+34&lt;=$B52,12*$B$7,-12*MAX(0,$B$6-IF($B$1+34&gt;=$B$23,$B$22,0))*(1+$B$4)^34))*IF(AJ52+IF($B$1+34&lt;=$B52,12*$B$7,-12*MAX(0,$B$6-IF($B$1+34&gt;=$B$23,$B$22,0))*(1+$B$4)^34)&gt;0,1+$B$3,1))</f>
        <v/>
      </c>
      <c r="AL52">
        <f>IF($B$1+35&gt;90,AK52,(AK52+IF($B$1+35&lt;=$B52,12*$B$7,-12*MAX(0,$B$6-IF($B$1+35&gt;=$B$23,$B$22,0))*(1+$B$4)^35))*IF(AK52+IF($B$1+35&lt;=$B52,12*$B$7,-12*MAX(0,$B$6-IF($B$1+35&gt;=$B$23,$B$22,0))*(1+$B$4)^35)&gt;0,1+$B$3,1))</f>
        <v/>
      </c>
      <c r="AM52">
        <f>IF($B$1+36&gt;90,AL52,(AL52+IF($B$1+36&lt;=$B52,12*$B$7,-12*MAX(0,$B$6-IF($B$1+36&gt;=$B$23,$B$22,0))*(1+$B$4)^36))*IF(AL52+IF($B$1+36&lt;=$B52,12*$B$7,-12*MAX(0,$B$6-IF($B$1+36&gt;=$B$23,$B$22,0))*(1+$B$4)^36)&gt;0,1+$B$3,1))</f>
        <v/>
      </c>
      <c r="AN52">
        <f>IF($B$1+37&gt;90,AM52,(AM52+IF($B$1+37&lt;=$B52,12*$B$7,-12*MAX(0,$B$6-IF($B$1+37&gt;=$B$23,$B$22,0))*(1+$B$4)^37))*IF(AM52+IF($B$1+37&lt;=$B52,12*$B$7,-12*MAX(0,$B$6-IF($B$1+37&gt;=$B$23,$B$22,0))*(1+$B$4)^37)&gt;0,1+$B$3,1))</f>
        <v/>
      </c>
      <c r="AO52">
        <f>IF($B$1+38&gt;90,AN52,(AN52+IF($B$1+38&lt;=$B52,12*$B$7,-12*MAX(0,$B$6-IF($B$1+38&gt;=$B$23,$B$22,0))*(1+$B$4)^38))*IF(AN52+IF($B$1+38&lt;=$B52,12*$B$7,-12*MAX(0,$B$6-IF($B$1+38&gt;=$B$23,$B$22,0))*(1+$B$4)^38)&gt;0,1+$B$3,1))</f>
        <v/>
      </c>
      <c r="AP52">
        <f>IF($B$1+39&gt;90,AO52,(AO52+IF($B$1+39&lt;=$B52,12*$B$7,-12*MAX(0,$B$6-IF($B$1+39&gt;=$B$23,$B$22,0))*(1+$B$4)^39))*IF(AO52+IF($B$1+39&lt;=$B52,12*$B$7,-12*MAX(0,$B$6-IF($B$1+39&gt;=$B$23,$B$22,0))*(1+$B$4)^39)&gt;0,1+$B$3,1))</f>
        <v/>
      </c>
      <c r="AQ52">
        <f>IF($B$1+40&gt;90,AP52,(AP52+IF($B$1+40&lt;=$B52,12*$B$7,-12*MAX(0,$B$6-IF($B$1+40&gt;=$B$23,$B$22,0))*(1+$B$4)^40))*IF(AP52+IF($B$1+40&lt;=$B52,12*$B$7,-12*MAX(0,$B$6-IF($B$1+40&gt;=$B$23,$B$22,0))*(1+$B$4)^40)&gt;0,1+$B$3,1))</f>
        <v/>
      </c>
      <c r="AR52">
        <f>IF($B$1+41&gt;90,AQ52,(AQ52+IF($B$1+41&lt;=$B52,12*$B$7,-12*MAX(0,$B$6-IF($B$1+41&gt;=$B$23,$B$22,0))*(1+$B$4)^41))*IF(AQ52+IF($B$1+41&lt;=$B52,12*$B$7,-12*MAX(0,$B$6-IF($B$1+41&gt;=$B$23,$B$22,0))*(1+$B$4)^41)&gt;0,1+$B$3,1))</f>
        <v/>
      </c>
      <c r="AS52">
        <f>IF($B$1+42&gt;90,AR52,(AR52+IF($B$1+42&lt;=$B52,12*$B$7,-12*MAX(0,$B$6-IF($B$1+42&gt;=$B$23,$B$22,0))*(1+$B$4)^42))*IF(AR52+IF($B$1+42&lt;=$B52,12*$B$7,-12*MAX(0,$B$6-IF($B$1+42&gt;=$B$23,$B$22,0))*(1+$B$4)^42)&gt;0,1+$B$3,1))</f>
        <v/>
      </c>
      <c r="AT52">
        <f>IF($B$1+43&gt;90,AS52,(AS52+IF($B$1+43&lt;=$B52,12*$B$7,-12*MAX(0,$B$6-IF($B$1+43&gt;=$B$23,$B$22,0))*(1+$B$4)^43))*IF(AS52+IF($B$1+43&lt;=$B52,12*$B$7,-12*MAX(0,$B$6-IF($B$1+43&gt;=$B$23,$B$22,0))*(1+$B$4)^43)&gt;0,1+$B$3,1))</f>
        <v/>
      </c>
      <c r="AU52">
        <f>IF($B$1+44&gt;90,AT52,(AT52+IF($B$1+44&lt;=$B52,12*$B$7,-12*MAX(0,$B$6-IF($B$1+44&gt;=$B$23,$B$22,0))*(1+$B$4)^44))*IF(AT52+IF($B$1+44&lt;=$B52,12*$B$7,-12*MAX(0,$B$6-IF($B$1+44&gt;=$B$23,$B$22,0))*(1+$B$4)^44)&gt;0,1+$B$3,1))</f>
        <v/>
      </c>
      <c r="AV52">
        <f>IF($B$1+45&gt;90,AU52,(AU52+IF($B$1+45&lt;=$B52,12*$B$7,-12*MAX(0,$B$6-IF($B$1+45&gt;=$B$23,$B$22,0))*(1+$B$4)^45))*IF(AU52+IF($B$1+45&lt;=$B52,12*$B$7,-12*MAX(0,$B$6-IF($B$1+45&gt;=$B$23,$B$22,0))*(1+$B$4)^45)&gt;0,1+$B$3,1))</f>
        <v/>
      </c>
      <c r="AW52">
        <f>IF($B$1+46&gt;90,AV52,(AV52+IF($B$1+46&lt;=$B52,12*$B$7,-12*MAX(0,$B$6-IF($B$1+46&gt;=$B$23,$B$22,0))*(1+$B$4)^46))*IF(AV52+IF($B$1+46&lt;=$B52,12*$B$7,-12*MAX(0,$B$6-IF($B$1+46&gt;=$B$23,$B$22,0))*(1+$B$4)^46)&gt;0,1+$B$3,1))</f>
        <v/>
      </c>
      <c r="AX52">
        <f>IF($B$1+47&gt;90,AW52,(AW52+IF($B$1+47&lt;=$B52,12*$B$7,-12*MAX(0,$B$6-IF($B$1+47&gt;=$B$23,$B$22,0))*(1+$B$4)^47))*IF(AW52+IF($B$1+47&lt;=$B52,12*$B$7,-12*MAX(0,$B$6-IF($B$1+47&gt;=$B$23,$B$22,0))*(1+$B$4)^47)&gt;0,1+$B$3,1))</f>
        <v/>
      </c>
      <c r="AY52">
        <f>IF($B$1+48&gt;90,AX52,(AX52+IF($B$1+48&lt;=$B52,12*$B$7,-12*MAX(0,$B$6-IF($B$1+48&gt;=$B$23,$B$22,0))*(1+$B$4)^48))*IF(AX52+IF($B$1+48&lt;=$B52,12*$B$7,-12*MAX(0,$B$6-IF($B$1+48&gt;=$B$23,$B$22,0))*(1+$B$4)^48)&gt;0,1+$B$3,1))</f>
        <v/>
      </c>
      <c r="AZ52">
        <f>IF($B$1+49&gt;90,AY52,(AY52+IF($B$1+49&lt;=$B52,12*$B$7,-12*MAX(0,$B$6-IF($B$1+49&gt;=$B$23,$B$22,0))*(1+$B$4)^49))*IF(AY52+IF($B$1+49&lt;=$B52,12*$B$7,-12*MAX(0,$B$6-IF($B$1+49&gt;=$B$23,$B$22,0))*(1+$B$4)^49)&gt;0,1+$B$3,1))</f>
        <v/>
      </c>
      <c r="BA52">
        <f>IF($B$1+50&gt;90,AZ52,(AZ52+IF($B$1+50&lt;=$B52,12*$B$7,-12*MAX(0,$B$6-IF($B$1+50&gt;=$B$23,$B$22,0))*(1+$B$4)^50))*IF(AZ52+IF($B$1+50&lt;=$B52,12*$B$7,-12*MAX(0,$B$6-IF($B$1+50&gt;=$B$23,$B$22,0))*(1+$B$4)^50)&gt;0,1+$B$3,1))</f>
        <v/>
      </c>
      <c r="BB52">
        <f>IF($B$1+51&gt;90,BA52,(BA52+IF($B$1+51&lt;=$B52,12*$B$7,-12*MAX(0,$B$6-IF($B$1+51&gt;=$B$23,$B$22,0))*(1+$B$4)^51))*IF(BA52+IF($B$1+51&lt;=$B52,12*$B$7,-12*MAX(0,$B$6-IF($B$1+51&gt;=$B$23,$B$22,0))*(1+$B$4)^51)&gt;0,1+$B$3,1))</f>
        <v/>
      </c>
      <c r="BC52">
        <f>IF($B$1+52&gt;90,BB52,(BB52+IF($B$1+52&lt;=$B52,12*$B$7,-12*MAX(0,$B$6-IF($B$1+52&gt;=$B$23,$B$22,0))*(1+$B$4)^52))*IF(BB52+IF($B$1+52&lt;=$B52,12*$B$7,-12*MAX(0,$B$6-IF($B$1+52&gt;=$B$23,$B$22,0))*(1+$B$4)^52)&gt;0,1+$B$3,1))</f>
        <v/>
      </c>
      <c r="BD52">
        <f>IF($B$1+53&gt;90,BC52,(BC52+IF($B$1+53&lt;=$B52,12*$B$7,-12*MAX(0,$B$6-IF($B$1+53&gt;=$B$23,$B$22,0))*(1+$B$4)^53))*IF(BC52+IF($B$1+53&lt;=$B52,12*$B$7,-12*MAX(0,$B$6-IF($B$1+53&gt;=$B$23,$B$22,0))*(1+$B$4)^53)&gt;0,1+$B$3,1))</f>
        <v/>
      </c>
      <c r="BE52">
        <f>IF($B$1+54&gt;90,BD52,(BD52+IF($B$1+54&lt;=$B52,12*$B$7,-12*MAX(0,$B$6-IF($B$1+54&gt;=$B$23,$B$22,0))*(1+$B$4)^54))*IF(BD52+IF($B$1+54&lt;=$B52,12*$B$7,-12*MAX(0,$B$6-IF($B$1+54&gt;=$B$23,$B$22,0))*(1+$B$4)^54)&gt;0,1+$B$3,1))</f>
        <v/>
      </c>
      <c r="BF52">
        <f>IF($B$1+55&gt;90,BE52,(BE52+IF($B$1+55&lt;=$B52,12*$B$7,-12*MAX(0,$B$6-IF($B$1+55&gt;=$B$23,$B$22,0))*(1+$B$4)^55))*IF(BE52+IF($B$1+55&lt;=$B52,12*$B$7,-12*MAX(0,$B$6-IF($B$1+55&gt;=$B$23,$B$22,0))*(1+$B$4)^55)&gt;0,1+$B$3,1))</f>
        <v/>
      </c>
      <c r="BG52">
        <f>IF($B$1+56&gt;90,BF52,(BF52+IF($B$1+56&lt;=$B52,12*$B$7,-12*MAX(0,$B$6-IF($B$1+56&gt;=$B$23,$B$22,0))*(1+$B$4)^56))*IF(BF52+IF($B$1+56&lt;=$B52,12*$B$7,-12*MAX(0,$B$6-IF($B$1+56&gt;=$B$23,$B$22,0))*(1+$B$4)^56)&gt;0,1+$B$3,1))</f>
        <v/>
      </c>
      <c r="BH52">
        <f>IF($B$1+57&gt;90,BG52,(BG52+IF($B$1+57&lt;=$B52,12*$B$7,-12*MAX(0,$B$6-IF($B$1+57&gt;=$B$23,$B$22,0))*(1+$B$4)^57))*IF(BG52+IF($B$1+57&lt;=$B52,12*$B$7,-12*MAX(0,$B$6-IF($B$1+57&gt;=$B$23,$B$22,0))*(1+$B$4)^57)&gt;0,1+$B$3,1))</f>
        <v/>
      </c>
      <c r="BI52">
        <f>IF($B$1+58&gt;90,BH52,(BH52+IF($B$1+58&lt;=$B52,12*$B$7,-12*MAX(0,$B$6-IF($B$1+58&gt;=$B$23,$B$22,0))*(1+$B$4)^58))*IF(BH52+IF($B$1+58&lt;=$B52,12*$B$7,-12*MAX(0,$B$6-IF($B$1+58&gt;=$B$23,$B$22,0))*(1+$B$4)^58)&gt;0,1+$B$3,1))</f>
        <v/>
      </c>
      <c r="BJ52">
        <f>IF($B$1+59&gt;90,BI52,(BI52+IF($B$1+59&lt;=$B52,12*$B$7,-12*MAX(0,$B$6-IF($B$1+59&gt;=$B$23,$B$22,0))*(1+$B$4)^59))*IF(BI52+IF($B$1+59&lt;=$B52,12*$B$7,-12*MAX(0,$B$6-IF($B$1+59&gt;=$B$23,$B$22,0))*(1+$B$4)^59)&gt;0,1+$B$3,1))</f>
        <v/>
      </c>
      <c r="BK52">
        <f>IF($B$1+60&gt;90,BJ52,(BJ52+IF($B$1+60&lt;=$B52,12*$B$7,-12*MAX(0,$B$6-IF($B$1+60&gt;=$B$23,$B$22,0))*(1+$B$4)^60))*IF(BJ52+IF($B$1+60&lt;=$B52,12*$B$7,-12*MAX(0,$B$6-IF($B$1+60&gt;=$B$23,$B$22,0))*(1+$B$4)^60)&gt;0,1+$B$3,1))</f>
        <v/>
      </c>
      <c r="BL52">
        <f>IF($B$1+61&gt;90,BK52,(BK52+IF($B$1+61&lt;=$B52,12*$B$7,-12*MAX(0,$B$6-IF($B$1+61&gt;=$B$23,$B$22,0))*(1+$B$4)^61))*IF(BK52+IF($B$1+61&lt;=$B52,12*$B$7,-12*MAX(0,$B$6-IF($B$1+61&gt;=$B$23,$B$22,0))*(1+$B$4)^61)&gt;0,1+$B$3,1))</f>
        <v/>
      </c>
      <c r="BM52">
        <f>IF($B$1+62&gt;90,BL52,(BL52+IF($B$1+62&lt;=$B52,12*$B$7,-12*MAX(0,$B$6-IF($B$1+62&gt;=$B$23,$B$22,0))*(1+$B$4)^62))*IF(BL52+IF($B$1+62&lt;=$B52,12*$B$7,-12*MAX(0,$B$6-IF($B$1+62&gt;=$B$23,$B$22,0))*(1+$B$4)^62)&gt;0,1+$B$3,1))</f>
        <v/>
      </c>
      <c r="BN52">
        <f>IF($B$1+63&gt;90,BM52,(BM52+IF($B$1+63&lt;=$B52,12*$B$7,-12*MAX(0,$B$6-IF($B$1+63&gt;=$B$23,$B$22,0))*(1+$B$4)^63))*IF(BM52+IF($B$1+63&lt;=$B52,12*$B$7,-12*MAX(0,$B$6-IF($B$1+63&gt;=$B$23,$B$22,0))*(1+$B$4)^63)&gt;0,1+$B$3,1))</f>
        <v/>
      </c>
      <c r="BO52">
        <f>IF($B$1+64&gt;90,BN52,(BN52+IF($B$1+64&lt;=$B52,12*$B$7,-12*MAX(0,$B$6-IF($B$1+64&gt;=$B$23,$B$22,0))*(1+$B$4)^64))*IF(BN52+IF($B$1+64&lt;=$B52,12*$B$7,-12*MAX(0,$B$6-IF($B$1+64&gt;=$B$23,$B$22,0))*(1+$B$4)^64)&gt;0,1+$B$3,1))</f>
        <v/>
      </c>
      <c r="BP52">
        <f>IF($B$1+65&gt;90,BO52,(BO52+IF($B$1+65&lt;=$B52,12*$B$7,-12*MAX(0,$B$6-IF($B$1+65&gt;=$B$23,$B$22,0))*(1+$B$4)^65))*IF(BO52+IF($B$1+65&lt;=$B52,12*$B$7,-12*MAX(0,$B$6-IF($B$1+65&gt;=$B$23,$B$22,0))*(1+$B$4)^65)&gt;0,1+$B$3,1))</f>
        <v/>
      </c>
      <c r="BQ52">
        <f>IF($B$1+66&gt;90,BP52,(BP52+IF($B$1+66&lt;=$B52,12*$B$7,-12*MAX(0,$B$6-IF($B$1+66&gt;=$B$23,$B$22,0))*(1+$B$4)^66))*IF(BP52+IF($B$1+66&lt;=$B52,12*$B$7,-12*MAX(0,$B$6-IF($B$1+66&gt;=$B$23,$B$22,0))*(1+$B$4)^66)&gt;0,1+$B$3,1))</f>
        <v/>
      </c>
      <c r="BR52">
        <f>IF($B$1+67&gt;90,BQ52,(BQ52+IF($B$1+67&lt;=$B52,12*$B$7,-12*MAX(0,$B$6-IF($B$1+67&gt;=$B$23,$B$22,0))*(1+$B$4)^67))*IF(BQ52+IF($B$1+67&lt;=$B52,12*$B$7,-12*MAX(0,$B$6-IF($B$1+67&gt;=$B$23,$B$22,0))*(1+$B$4)^67)&gt;0,1+$B$3,1))</f>
        <v/>
      </c>
      <c r="BS52">
        <f>IF($B$1+68&gt;90,BR52,(BR52+IF($B$1+68&lt;=$B52,12*$B$7,-12*MAX(0,$B$6-IF($B$1+68&gt;=$B$23,$B$22,0))*(1+$B$4)^68))*IF(BR52+IF($B$1+68&lt;=$B52,12*$B$7,-12*MAX(0,$B$6-IF($B$1+68&gt;=$B$23,$B$22,0))*(1+$B$4)^68)&gt;0,1+$B$3,1))</f>
        <v/>
      </c>
      <c r="BT52">
        <f>IF($B$1+69&gt;90,BS52,(BS52+IF($B$1+69&lt;=$B52,12*$B$7,-12*MAX(0,$B$6-IF($B$1+69&gt;=$B$23,$B$22,0))*(1+$B$4)^69))*IF(BS52+IF($B$1+69&lt;=$B52,12*$B$7,-12*MAX(0,$B$6-IF($B$1+69&gt;=$B$23,$B$22,0))*(1+$B$4)^69)&gt;0,1+$B$3,1))</f>
        <v/>
      </c>
      <c r="BU52">
        <f>IF($B$1+70&gt;90,BT52,(BT52+IF($B$1+70&lt;=$B52,12*$B$7,-12*MAX(0,$B$6-IF($B$1+70&gt;=$B$23,$B$22,0))*(1+$B$4)^70))*IF(BT52+IF($B$1+70&lt;=$B52,12*$B$7,-12*MAX(0,$B$6-IF($B$1+70&gt;=$B$23,$B$22,0))*(1+$B$4)^70)&gt;0,1+$B$3,1))</f>
        <v/>
      </c>
      <c r="BV52">
        <f>BU52</f>
        <v/>
      </c>
      <c r="BW52">
        <f>IF(AND($B52&lt;=70,BV52&gt;0),$B52,999)</f>
        <v/>
      </c>
      <c r="CB52" t="n">
        <v>51</v>
      </c>
      <c r="CC52">
        <f>IF($B$1+CB52&gt;90,0,12*MAX(0,$B$6-IF($B$1+CB52&gt;=$B$23,$B$22,0))*(1+$B$4)^CB52/(1+$B$3)^(CB52-1))</f>
        <v/>
      </c>
      <c r="CE52">
        <f>IF($B$1+50&gt;90,NA(),$B$1+50)</f>
        <v/>
      </c>
      <c r="CF52">
        <f>IF(OR($B$21="",$B$1+50&gt;90),NA(),INDEX($C$40:$BU$90,$B$21-$B$1+1,51))</f>
        <v/>
      </c>
      <c r="CH52">
        <f>IF(ISTEXT('월 가계부'!A52),SUBSTITUTE(SUBSTITUTE(SUBSTITUTE(SUBSTITUTE(SUBSTITUTE(SUBSTITUTE(SUBSTITUTE(SUBSTITUTE(SUBSTITUTE(TRIM('월 가계부'!A52),"년","-"),"월","-"),"일",""),".","-"),"/","-")," ","-"),"--","-"),"--","-"),"--","-")&amp;"-","")</f>
        <v/>
      </c>
      <c r="CI52">
        <f>IFERROR(IF('월 가계부'!A52="","",IF(ISNUMBER('월 가계부'!A52),IF(AND('월 가계부'!A52&gt;=19000101,'월 가계부'!A52&lt;=21001231),IF(AND(MOD(INT('월 가계부'!A52/100),100)&gt;=1,MOD(INT('월 가계부'!A52/100),100)&lt;=12,MOD(INT('월 가계부'!A52),100)&gt;=1,MOD(INT('월 가계부'!A52),100)&lt;=31),IF(MONTH(DATE(INT('월 가계부'!A52/10000),MOD(INT('월 가계부'!A52/100),100),MOD(INT('월 가계부'!A52),100)))=MOD(INT('월 가계부'!A52/100),100),DATE(INT('월 가계부'!A52/10000),MOD(INT('월 가계부'!A52/100),100),MOD(INT('월 가계부'!A52),100)),""),""),IF(AND('월 가계부'!A52&gt;=36526,'월 가계부'!A52&lt;73051),INT('월 가계부'!A52),"")),IF(OR(CM52="",CN52="",CO52=""),"",IF(AND(CM52&gt;=2000,CM52&lt;=2099,CN52&gt;=1,CN52&lt;=12,CO52&gt;=1,CO52&lt;=31),IF(MONTH(DATE(CM52,CN52,CO52))=CN52,DATE(CM52,CN52,CO52),""),"")))),"")</f>
        <v/>
      </c>
      <c r="CJ52">
        <f>IFERROR(IF('월 가계부'!C52="","",IF(ISNUMBER('월 가계부'!C52),'월 가계부'!C52,VALUE(SUBSTITUTE(SUBSTITUTE(SUBSTITUTE(SUBSTITUTE(TRIM('월 가계부'!C52),",",""),"원","")," ",""),"−","-")))),"")</f>
        <v/>
      </c>
      <c r="CK52">
        <f>IF(ISNUMBER(CI52),IF(CI52&lt;$B$13,CI52,""),"")</f>
        <v/>
      </c>
      <c r="CM52">
        <f>IF(CH52="","",IFERROR(IF(IF(AND(LEN(CH52)=9,ISERROR(FIND("-",LEFT(CH52,8))),ISNUMBER(-LEFT(CH52,8))),VALUE(LEFT(CH52,4)),VALUE(LEFT(CH52,FIND("-",CH52)-1)))&lt;100,IF(AND(LEN(CH52)=9,ISERROR(FIND("-",LEFT(CH52,8))),ISNUMBER(-LEFT(CH52,8))),VALUE(LEFT(CH52,4)),VALUE(LEFT(CH52,FIND("-",CH52)-1)))+2000,IF(AND(LEN(CH52)=9,ISERROR(FIND("-",LEFT(CH52,8))),ISNUMBER(-LEFT(CH52,8))),VALUE(LEFT(CH52,4)),VALUE(LEFT(CH52,FIND("-",CH52)-1)))),""))</f>
        <v/>
      </c>
      <c r="CN52">
        <f>IF(CH52="","",IFERROR(IF(AND(LEN(CH52)=9,ISERROR(FIND("-",LEFT(CH52,8))),ISNUMBER(-LEFT(CH52,8))),VALUE(MID(CH52,5,2)),VALUE(MID(CH52,FIND("-",CH52)+1,FIND("-",CH52,FIND("-",CH52)+1)-FIND("-",CH52)-1))),""))</f>
        <v/>
      </c>
      <c r="CO52">
        <f>IF(CH52="","",IFERROR(IF(AND(LEN(CH52)=9,ISERROR(FIND("-",LEFT(CH52,8))),ISNUMBER(-LEFT(CH52,8))),VALUE(MID(CH52,7,2)),VALUE(MID(CH52,FIND("-",CH52,FIND("-",CH52)+1)+1,FIND("-",CH52,FIND("-",CH52,FIND("-",CH52)+1)+1)-FIND("-",CH52,FIND("-",CH52)+1)-1))),""))</f>
        <v/>
      </c>
    </row>
    <row r="53">
      <c r="A53" t="n">
        <v>13</v>
      </c>
      <c r="B53">
        <f>$B$1+13</f>
        <v/>
      </c>
      <c r="C53">
        <f>$B$2</f>
        <v/>
      </c>
      <c r="D53">
        <f>IF($B$1+1&gt;90,C53,(C53+IF($B$1+1&lt;=$B53,12*$B$7,-12*MAX(0,$B$6-IF($B$1+1&gt;=$B$23,$B$22,0))*(1+$B$4)^1))*IF(C53+IF($B$1+1&lt;=$B53,12*$B$7,-12*MAX(0,$B$6-IF($B$1+1&gt;=$B$23,$B$22,0))*(1+$B$4)^1)&gt;0,1+$B$3,1))</f>
        <v/>
      </c>
      <c r="E53">
        <f>IF($B$1+2&gt;90,D53,(D53+IF($B$1+2&lt;=$B53,12*$B$7,-12*MAX(0,$B$6-IF($B$1+2&gt;=$B$23,$B$22,0))*(1+$B$4)^2))*IF(D53+IF($B$1+2&lt;=$B53,12*$B$7,-12*MAX(0,$B$6-IF($B$1+2&gt;=$B$23,$B$22,0))*(1+$B$4)^2)&gt;0,1+$B$3,1))</f>
        <v/>
      </c>
      <c r="F53">
        <f>IF($B$1+3&gt;90,E53,(E53+IF($B$1+3&lt;=$B53,12*$B$7,-12*MAX(0,$B$6-IF($B$1+3&gt;=$B$23,$B$22,0))*(1+$B$4)^3))*IF(E53+IF($B$1+3&lt;=$B53,12*$B$7,-12*MAX(0,$B$6-IF($B$1+3&gt;=$B$23,$B$22,0))*(1+$B$4)^3)&gt;0,1+$B$3,1))</f>
        <v/>
      </c>
      <c r="G53">
        <f>IF($B$1+4&gt;90,F53,(F53+IF($B$1+4&lt;=$B53,12*$B$7,-12*MAX(0,$B$6-IF($B$1+4&gt;=$B$23,$B$22,0))*(1+$B$4)^4))*IF(F53+IF($B$1+4&lt;=$B53,12*$B$7,-12*MAX(0,$B$6-IF($B$1+4&gt;=$B$23,$B$22,0))*(1+$B$4)^4)&gt;0,1+$B$3,1))</f>
        <v/>
      </c>
      <c r="H53">
        <f>IF($B$1+5&gt;90,G53,(G53+IF($B$1+5&lt;=$B53,12*$B$7,-12*MAX(0,$B$6-IF($B$1+5&gt;=$B$23,$B$22,0))*(1+$B$4)^5))*IF(G53+IF($B$1+5&lt;=$B53,12*$B$7,-12*MAX(0,$B$6-IF($B$1+5&gt;=$B$23,$B$22,0))*(1+$B$4)^5)&gt;0,1+$B$3,1))</f>
        <v/>
      </c>
      <c r="I53">
        <f>IF($B$1+6&gt;90,H53,(H53+IF($B$1+6&lt;=$B53,12*$B$7,-12*MAX(0,$B$6-IF($B$1+6&gt;=$B$23,$B$22,0))*(1+$B$4)^6))*IF(H53+IF($B$1+6&lt;=$B53,12*$B$7,-12*MAX(0,$B$6-IF($B$1+6&gt;=$B$23,$B$22,0))*(1+$B$4)^6)&gt;0,1+$B$3,1))</f>
        <v/>
      </c>
      <c r="J53">
        <f>IF($B$1+7&gt;90,I53,(I53+IF($B$1+7&lt;=$B53,12*$B$7,-12*MAX(0,$B$6-IF($B$1+7&gt;=$B$23,$B$22,0))*(1+$B$4)^7))*IF(I53+IF($B$1+7&lt;=$B53,12*$B$7,-12*MAX(0,$B$6-IF($B$1+7&gt;=$B$23,$B$22,0))*(1+$B$4)^7)&gt;0,1+$B$3,1))</f>
        <v/>
      </c>
      <c r="K53">
        <f>IF($B$1+8&gt;90,J53,(J53+IF($B$1+8&lt;=$B53,12*$B$7,-12*MAX(0,$B$6-IF($B$1+8&gt;=$B$23,$B$22,0))*(1+$B$4)^8))*IF(J53+IF($B$1+8&lt;=$B53,12*$B$7,-12*MAX(0,$B$6-IF($B$1+8&gt;=$B$23,$B$22,0))*(1+$B$4)^8)&gt;0,1+$B$3,1))</f>
        <v/>
      </c>
      <c r="L53">
        <f>IF($B$1+9&gt;90,K53,(K53+IF($B$1+9&lt;=$B53,12*$B$7,-12*MAX(0,$B$6-IF($B$1+9&gt;=$B$23,$B$22,0))*(1+$B$4)^9))*IF(K53+IF($B$1+9&lt;=$B53,12*$B$7,-12*MAX(0,$B$6-IF($B$1+9&gt;=$B$23,$B$22,0))*(1+$B$4)^9)&gt;0,1+$B$3,1))</f>
        <v/>
      </c>
      <c r="M53">
        <f>IF($B$1+10&gt;90,L53,(L53+IF($B$1+10&lt;=$B53,12*$B$7,-12*MAX(0,$B$6-IF($B$1+10&gt;=$B$23,$B$22,0))*(1+$B$4)^10))*IF(L53+IF($B$1+10&lt;=$B53,12*$B$7,-12*MAX(0,$B$6-IF($B$1+10&gt;=$B$23,$B$22,0))*(1+$B$4)^10)&gt;0,1+$B$3,1))</f>
        <v/>
      </c>
      <c r="N53">
        <f>IF($B$1+11&gt;90,M53,(M53+IF($B$1+11&lt;=$B53,12*$B$7,-12*MAX(0,$B$6-IF($B$1+11&gt;=$B$23,$B$22,0))*(1+$B$4)^11))*IF(M53+IF($B$1+11&lt;=$B53,12*$B$7,-12*MAX(0,$B$6-IF($B$1+11&gt;=$B$23,$B$22,0))*(1+$B$4)^11)&gt;0,1+$B$3,1))</f>
        <v/>
      </c>
      <c r="O53">
        <f>IF($B$1+12&gt;90,N53,(N53+IF($B$1+12&lt;=$B53,12*$B$7,-12*MAX(0,$B$6-IF($B$1+12&gt;=$B$23,$B$22,0))*(1+$B$4)^12))*IF(N53+IF($B$1+12&lt;=$B53,12*$B$7,-12*MAX(0,$B$6-IF($B$1+12&gt;=$B$23,$B$22,0))*(1+$B$4)^12)&gt;0,1+$B$3,1))</f>
        <v/>
      </c>
      <c r="P53">
        <f>IF($B$1+13&gt;90,O53,(O53+IF($B$1+13&lt;=$B53,12*$B$7,-12*MAX(0,$B$6-IF($B$1+13&gt;=$B$23,$B$22,0))*(1+$B$4)^13))*IF(O53+IF($B$1+13&lt;=$B53,12*$B$7,-12*MAX(0,$B$6-IF($B$1+13&gt;=$B$23,$B$22,0))*(1+$B$4)^13)&gt;0,1+$B$3,1))</f>
        <v/>
      </c>
      <c r="Q53">
        <f>IF($B$1+14&gt;90,P53,(P53+IF($B$1+14&lt;=$B53,12*$B$7,-12*MAX(0,$B$6-IF($B$1+14&gt;=$B$23,$B$22,0))*(1+$B$4)^14))*IF(P53+IF($B$1+14&lt;=$B53,12*$B$7,-12*MAX(0,$B$6-IF($B$1+14&gt;=$B$23,$B$22,0))*(1+$B$4)^14)&gt;0,1+$B$3,1))</f>
        <v/>
      </c>
      <c r="R53">
        <f>IF($B$1+15&gt;90,Q53,(Q53+IF($B$1+15&lt;=$B53,12*$B$7,-12*MAX(0,$B$6-IF($B$1+15&gt;=$B$23,$B$22,0))*(1+$B$4)^15))*IF(Q53+IF($B$1+15&lt;=$B53,12*$B$7,-12*MAX(0,$B$6-IF($B$1+15&gt;=$B$23,$B$22,0))*(1+$B$4)^15)&gt;0,1+$B$3,1))</f>
        <v/>
      </c>
      <c r="S53">
        <f>IF($B$1+16&gt;90,R53,(R53+IF($B$1+16&lt;=$B53,12*$B$7,-12*MAX(0,$B$6-IF($B$1+16&gt;=$B$23,$B$22,0))*(1+$B$4)^16))*IF(R53+IF($B$1+16&lt;=$B53,12*$B$7,-12*MAX(0,$B$6-IF($B$1+16&gt;=$B$23,$B$22,0))*(1+$B$4)^16)&gt;0,1+$B$3,1))</f>
        <v/>
      </c>
      <c r="T53">
        <f>IF($B$1+17&gt;90,S53,(S53+IF($B$1+17&lt;=$B53,12*$B$7,-12*MAX(0,$B$6-IF($B$1+17&gt;=$B$23,$B$22,0))*(1+$B$4)^17))*IF(S53+IF($B$1+17&lt;=$B53,12*$B$7,-12*MAX(0,$B$6-IF($B$1+17&gt;=$B$23,$B$22,0))*(1+$B$4)^17)&gt;0,1+$B$3,1))</f>
        <v/>
      </c>
      <c r="U53">
        <f>IF($B$1+18&gt;90,T53,(T53+IF($B$1+18&lt;=$B53,12*$B$7,-12*MAX(0,$B$6-IF($B$1+18&gt;=$B$23,$B$22,0))*(1+$B$4)^18))*IF(T53+IF($B$1+18&lt;=$B53,12*$B$7,-12*MAX(0,$B$6-IF($B$1+18&gt;=$B$23,$B$22,0))*(1+$B$4)^18)&gt;0,1+$B$3,1))</f>
        <v/>
      </c>
      <c r="V53">
        <f>IF($B$1+19&gt;90,U53,(U53+IF($B$1+19&lt;=$B53,12*$B$7,-12*MAX(0,$B$6-IF($B$1+19&gt;=$B$23,$B$22,0))*(1+$B$4)^19))*IF(U53+IF($B$1+19&lt;=$B53,12*$B$7,-12*MAX(0,$B$6-IF($B$1+19&gt;=$B$23,$B$22,0))*(1+$B$4)^19)&gt;0,1+$B$3,1))</f>
        <v/>
      </c>
      <c r="W53">
        <f>IF($B$1+20&gt;90,V53,(V53+IF($B$1+20&lt;=$B53,12*$B$7,-12*MAX(0,$B$6-IF($B$1+20&gt;=$B$23,$B$22,0))*(1+$B$4)^20))*IF(V53+IF($B$1+20&lt;=$B53,12*$B$7,-12*MAX(0,$B$6-IF($B$1+20&gt;=$B$23,$B$22,0))*(1+$B$4)^20)&gt;0,1+$B$3,1))</f>
        <v/>
      </c>
      <c r="X53">
        <f>IF($B$1+21&gt;90,W53,(W53+IF($B$1+21&lt;=$B53,12*$B$7,-12*MAX(0,$B$6-IF($B$1+21&gt;=$B$23,$B$22,0))*(1+$B$4)^21))*IF(W53+IF($B$1+21&lt;=$B53,12*$B$7,-12*MAX(0,$B$6-IF($B$1+21&gt;=$B$23,$B$22,0))*(1+$B$4)^21)&gt;0,1+$B$3,1))</f>
        <v/>
      </c>
      <c r="Y53">
        <f>IF($B$1+22&gt;90,X53,(X53+IF($B$1+22&lt;=$B53,12*$B$7,-12*MAX(0,$B$6-IF($B$1+22&gt;=$B$23,$B$22,0))*(1+$B$4)^22))*IF(X53+IF($B$1+22&lt;=$B53,12*$B$7,-12*MAX(0,$B$6-IF($B$1+22&gt;=$B$23,$B$22,0))*(1+$B$4)^22)&gt;0,1+$B$3,1))</f>
        <v/>
      </c>
      <c r="Z53">
        <f>IF($B$1+23&gt;90,Y53,(Y53+IF($B$1+23&lt;=$B53,12*$B$7,-12*MAX(0,$B$6-IF($B$1+23&gt;=$B$23,$B$22,0))*(1+$B$4)^23))*IF(Y53+IF($B$1+23&lt;=$B53,12*$B$7,-12*MAX(0,$B$6-IF($B$1+23&gt;=$B$23,$B$22,0))*(1+$B$4)^23)&gt;0,1+$B$3,1))</f>
        <v/>
      </c>
      <c r="AA53">
        <f>IF($B$1+24&gt;90,Z53,(Z53+IF($B$1+24&lt;=$B53,12*$B$7,-12*MAX(0,$B$6-IF($B$1+24&gt;=$B$23,$B$22,0))*(1+$B$4)^24))*IF(Z53+IF($B$1+24&lt;=$B53,12*$B$7,-12*MAX(0,$B$6-IF($B$1+24&gt;=$B$23,$B$22,0))*(1+$B$4)^24)&gt;0,1+$B$3,1))</f>
        <v/>
      </c>
      <c r="AB53">
        <f>IF($B$1+25&gt;90,AA53,(AA53+IF($B$1+25&lt;=$B53,12*$B$7,-12*MAX(0,$B$6-IF($B$1+25&gt;=$B$23,$B$22,0))*(1+$B$4)^25))*IF(AA53+IF($B$1+25&lt;=$B53,12*$B$7,-12*MAX(0,$B$6-IF($B$1+25&gt;=$B$23,$B$22,0))*(1+$B$4)^25)&gt;0,1+$B$3,1))</f>
        <v/>
      </c>
      <c r="AC53">
        <f>IF($B$1+26&gt;90,AB53,(AB53+IF($B$1+26&lt;=$B53,12*$B$7,-12*MAX(0,$B$6-IF($B$1+26&gt;=$B$23,$B$22,0))*(1+$B$4)^26))*IF(AB53+IF($B$1+26&lt;=$B53,12*$B$7,-12*MAX(0,$B$6-IF($B$1+26&gt;=$B$23,$B$22,0))*(1+$B$4)^26)&gt;0,1+$B$3,1))</f>
        <v/>
      </c>
      <c r="AD53">
        <f>IF($B$1+27&gt;90,AC53,(AC53+IF($B$1+27&lt;=$B53,12*$B$7,-12*MAX(0,$B$6-IF($B$1+27&gt;=$B$23,$B$22,0))*(1+$B$4)^27))*IF(AC53+IF($B$1+27&lt;=$B53,12*$B$7,-12*MAX(0,$B$6-IF($B$1+27&gt;=$B$23,$B$22,0))*(1+$B$4)^27)&gt;0,1+$B$3,1))</f>
        <v/>
      </c>
      <c r="AE53">
        <f>IF($B$1+28&gt;90,AD53,(AD53+IF($B$1+28&lt;=$B53,12*$B$7,-12*MAX(0,$B$6-IF($B$1+28&gt;=$B$23,$B$22,0))*(1+$B$4)^28))*IF(AD53+IF($B$1+28&lt;=$B53,12*$B$7,-12*MAX(0,$B$6-IF($B$1+28&gt;=$B$23,$B$22,0))*(1+$B$4)^28)&gt;0,1+$B$3,1))</f>
        <v/>
      </c>
      <c r="AF53">
        <f>IF($B$1+29&gt;90,AE53,(AE53+IF($B$1+29&lt;=$B53,12*$B$7,-12*MAX(0,$B$6-IF($B$1+29&gt;=$B$23,$B$22,0))*(1+$B$4)^29))*IF(AE53+IF($B$1+29&lt;=$B53,12*$B$7,-12*MAX(0,$B$6-IF($B$1+29&gt;=$B$23,$B$22,0))*(1+$B$4)^29)&gt;0,1+$B$3,1))</f>
        <v/>
      </c>
      <c r="AG53">
        <f>IF($B$1+30&gt;90,AF53,(AF53+IF($B$1+30&lt;=$B53,12*$B$7,-12*MAX(0,$B$6-IF($B$1+30&gt;=$B$23,$B$22,0))*(1+$B$4)^30))*IF(AF53+IF($B$1+30&lt;=$B53,12*$B$7,-12*MAX(0,$B$6-IF($B$1+30&gt;=$B$23,$B$22,0))*(1+$B$4)^30)&gt;0,1+$B$3,1))</f>
        <v/>
      </c>
      <c r="AH53">
        <f>IF($B$1+31&gt;90,AG53,(AG53+IF($B$1+31&lt;=$B53,12*$B$7,-12*MAX(0,$B$6-IF($B$1+31&gt;=$B$23,$B$22,0))*(1+$B$4)^31))*IF(AG53+IF($B$1+31&lt;=$B53,12*$B$7,-12*MAX(0,$B$6-IF($B$1+31&gt;=$B$23,$B$22,0))*(1+$B$4)^31)&gt;0,1+$B$3,1))</f>
        <v/>
      </c>
      <c r="AI53">
        <f>IF($B$1+32&gt;90,AH53,(AH53+IF($B$1+32&lt;=$B53,12*$B$7,-12*MAX(0,$B$6-IF($B$1+32&gt;=$B$23,$B$22,0))*(1+$B$4)^32))*IF(AH53+IF($B$1+32&lt;=$B53,12*$B$7,-12*MAX(0,$B$6-IF($B$1+32&gt;=$B$23,$B$22,0))*(1+$B$4)^32)&gt;0,1+$B$3,1))</f>
        <v/>
      </c>
      <c r="AJ53">
        <f>IF($B$1+33&gt;90,AI53,(AI53+IF($B$1+33&lt;=$B53,12*$B$7,-12*MAX(0,$B$6-IF($B$1+33&gt;=$B$23,$B$22,0))*(1+$B$4)^33))*IF(AI53+IF($B$1+33&lt;=$B53,12*$B$7,-12*MAX(0,$B$6-IF($B$1+33&gt;=$B$23,$B$22,0))*(1+$B$4)^33)&gt;0,1+$B$3,1))</f>
        <v/>
      </c>
      <c r="AK53">
        <f>IF($B$1+34&gt;90,AJ53,(AJ53+IF($B$1+34&lt;=$B53,12*$B$7,-12*MAX(0,$B$6-IF($B$1+34&gt;=$B$23,$B$22,0))*(1+$B$4)^34))*IF(AJ53+IF($B$1+34&lt;=$B53,12*$B$7,-12*MAX(0,$B$6-IF($B$1+34&gt;=$B$23,$B$22,0))*(1+$B$4)^34)&gt;0,1+$B$3,1))</f>
        <v/>
      </c>
      <c r="AL53">
        <f>IF($B$1+35&gt;90,AK53,(AK53+IF($B$1+35&lt;=$B53,12*$B$7,-12*MAX(0,$B$6-IF($B$1+35&gt;=$B$23,$B$22,0))*(1+$B$4)^35))*IF(AK53+IF($B$1+35&lt;=$B53,12*$B$7,-12*MAX(0,$B$6-IF($B$1+35&gt;=$B$23,$B$22,0))*(1+$B$4)^35)&gt;0,1+$B$3,1))</f>
        <v/>
      </c>
      <c r="AM53">
        <f>IF($B$1+36&gt;90,AL53,(AL53+IF($B$1+36&lt;=$B53,12*$B$7,-12*MAX(0,$B$6-IF($B$1+36&gt;=$B$23,$B$22,0))*(1+$B$4)^36))*IF(AL53+IF($B$1+36&lt;=$B53,12*$B$7,-12*MAX(0,$B$6-IF($B$1+36&gt;=$B$23,$B$22,0))*(1+$B$4)^36)&gt;0,1+$B$3,1))</f>
        <v/>
      </c>
      <c r="AN53">
        <f>IF($B$1+37&gt;90,AM53,(AM53+IF($B$1+37&lt;=$B53,12*$B$7,-12*MAX(0,$B$6-IF($B$1+37&gt;=$B$23,$B$22,0))*(1+$B$4)^37))*IF(AM53+IF($B$1+37&lt;=$B53,12*$B$7,-12*MAX(0,$B$6-IF($B$1+37&gt;=$B$23,$B$22,0))*(1+$B$4)^37)&gt;0,1+$B$3,1))</f>
        <v/>
      </c>
      <c r="AO53">
        <f>IF($B$1+38&gt;90,AN53,(AN53+IF($B$1+38&lt;=$B53,12*$B$7,-12*MAX(0,$B$6-IF($B$1+38&gt;=$B$23,$B$22,0))*(1+$B$4)^38))*IF(AN53+IF($B$1+38&lt;=$B53,12*$B$7,-12*MAX(0,$B$6-IF($B$1+38&gt;=$B$23,$B$22,0))*(1+$B$4)^38)&gt;0,1+$B$3,1))</f>
        <v/>
      </c>
      <c r="AP53">
        <f>IF($B$1+39&gt;90,AO53,(AO53+IF($B$1+39&lt;=$B53,12*$B$7,-12*MAX(0,$B$6-IF($B$1+39&gt;=$B$23,$B$22,0))*(1+$B$4)^39))*IF(AO53+IF($B$1+39&lt;=$B53,12*$B$7,-12*MAX(0,$B$6-IF($B$1+39&gt;=$B$23,$B$22,0))*(1+$B$4)^39)&gt;0,1+$B$3,1))</f>
        <v/>
      </c>
      <c r="AQ53">
        <f>IF($B$1+40&gt;90,AP53,(AP53+IF($B$1+40&lt;=$B53,12*$B$7,-12*MAX(0,$B$6-IF($B$1+40&gt;=$B$23,$B$22,0))*(1+$B$4)^40))*IF(AP53+IF($B$1+40&lt;=$B53,12*$B$7,-12*MAX(0,$B$6-IF($B$1+40&gt;=$B$23,$B$22,0))*(1+$B$4)^40)&gt;0,1+$B$3,1))</f>
        <v/>
      </c>
      <c r="AR53">
        <f>IF($B$1+41&gt;90,AQ53,(AQ53+IF($B$1+41&lt;=$B53,12*$B$7,-12*MAX(0,$B$6-IF($B$1+41&gt;=$B$23,$B$22,0))*(1+$B$4)^41))*IF(AQ53+IF($B$1+41&lt;=$B53,12*$B$7,-12*MAX(0,$B$6-IF($B$1+41&gt;=$B$23,$B$22,0))*(1+$B$4)^41)&gt;0,1+$B$3,1))</f>
        <v/>
      </c>
      <c r="AS53">
        <f>IF($B$1+42&gt;90,AR53,(AR53+IF($B$1+42&lt;=$B53,12*$B$7,-12*MAX(0,$B$6-IF($B$1+42&gt;=$B$23,$B$22,0))*(1+$B$4)^42))*IF(AR53+IF($B$1+42&lt;=$B53,12*$B$7,-12*MAX(0,$B$6-IF($B$1+42&gt;=$B$23,$B$22,0))*(1+$B$4)^42)&gt;0,1+$B$3,1))</f>
        <v/>
      </c>
      <c r="AT53">
        <f>IF($B$1+43&gt;90,AS53,(AS53+IF($B$1+43&lt;=$B53,12*$B$7,-12*MAX(0,$B$6-IF($B$1+43&gt;=$B$23,$B$22,0))*(1+$B$4)^43))*IF(AS53+IF($B$1+43&lt;=$B53,12*$B$7,-12*MAX(0,$B$6-IF($B$1+43&gt;=$B$23,$B$22,0))*(1+$B$4)^43)&gt;0,1+$B$3,1))</f>
        <v/>
      </c>
      <c r="AU53">
        <f>IF($B$1+44&gt;90,AT53,(AT53+IF($B$1+44&lt;=$B53,12*$B$7,-12*MAX(0,$B$6-IF($B$1+44&gt;=$B$23,$B$22,0))*(1+$B$4)^44))*IF(AT53+IF($B$1+44&lt;=$B53,12*$B$7,-12*MAX(0,$B$6-IF($B$1+44&gt;=$B$23,$B$22,0))*(1+$B$4)^44)&gt;0,1+$B$3,1))</f>
        <v/>
      </c>
      <c r="AV53">
        <f>IF($B$1+45&gt;90,AU53,(AU53+IF($B$1+45&lt;=$B53,12*$B$7,-12*MAX(0,$B$6-IF($B$1+45&gt;=$B$23,$B$22,0))*(1+$B$4)^45))*IF(AU53+IF($B$1+45&lt;=$B53,12*$B$7,-12*MAX(0,$B$6-IF($B$1+45&gt;=$B$23,$B$22,0))*(1+$B$4)^45)&gt;0,1+$B$3,1))</f>
        <v/>
      </c>
      <c r="AW53">
        <f>IF($B$1+46&gt;90,AV53,(AV53+IF($B$1+46&lt;=$B53,12*$B$7,-12*MAX(0,$B$6-IF($B$1+46&gt;=$B$23,$B$22,0))*(1+$B$4)^46))*IF(AV53+IF($B$1+46&lt;=$B53,12*$B$7,-12*MAX(0,$B$6-IF($B$1+46&gt;=$B$23,$B$22,0))*(1+$B$4)^46)&gt;0,1+$B$3,1))</f>
        <v/>
      </c>
      <c r="AX53">
        <f>IF($B$1+47&gt;90,AW53,(AW53+IF($B$1+47&lt;=$B53,12*$B$7,-12*MAX(0,$B$6-IF($B$1+47&gt;=$B$23,$B$22,0))*(1+$B$4)^47))*IF(AW53+IF($B$1+47&lt;=$B53,12*$B$7,-12*MAX(0,$B$6-IF($B$1+47&gt;=$B$23,$B$22,0))*(1+$B$4)^47)&gt;0,1+$B$3,1))</f>
        <v/>
      </c>
      <c r="AY53">
        <f>IF($B$1+48&gt;90,AX53,(AX53+IF($B$1+48&lt;=$B53,12*$B$7,-12*MAX(0,$B$6-IF($B$1+48&gt;=$B$23,$B$22,0))*(1+$B$4)^48))*IF(AX53+IF($B$1+48&lt;=$B53,12*$B$7,-12*MAX(0,$B$6-IF($B$1+48&gt;=$B$23,$B$22,0))*(1+$B$4)^48)&gt;0,1+$B$3,1))</f>
        <v/>
      </c>
      <c r="AZ53">
        <f>IF($B$1+49&gt;90,AY53,(AY53+IF($B$1+49&lt;=$B53,12*$B$7,-12*MAX(0,$B$6-IF($B$1+49&gt;=$B$23,$B$22,0))*(1+$B$4)^49))*IF(AY53+IF($B$1+49&lt;=$B53,12*$B$7,-12*MAX(0,$B$6-IF($B$1+49&gt;=$B$23,$B$22,0))*(1+$B$4)^49)&gt;0,1+$B$3,1))</f>
        <v/>
      </c>
      <c r="BA53">
        <f>IF($B$1+50&gt;90,AZ53,(AZ53+IF($B$1+50&lt;=$B53,12*$B$7,-12*MAX(0,$B$6-IF($B$1+50&gt;=$B$23,$B$22,0))*(1+$B$4)^50))*IF(AZ53+IF($B$1+50&lt;=$B53,12*$B$7,-12*MAX(0,$B$6-IF($B$1+50&gt;=$B$23,$B$22,0))*(1+$B$4)^50)&gt;0,1+$B$3,1))</f>
        <v/>
      </c>
      <c r="BB53">
        <f>IF($B$1+51&gt;90,BA53,(BA53+IF($B$1+51&lt;=$B53,12*$B$7,-12*MAX(0,$B$6-IF($B$1+51&gt;=$B$23,$B$22,0))*(1+$B$4)^51))*IF(BA53+IF($B$1+51&lt;=$B53,12*$B$7,-12*MAX(0,$B$6-IF($B$1+51&gt;=$B$23,$B$22,0))*(1+$B$4)^51)&gt;0,1+$B$3,1))</f>
        <v/>
      </c>
      <c r="BC53">
        <f>IF($B$1+52&gt;90,BB53,(BB53+IF($B$1+52&lt;=$B53,12*$B$7,-12*MAX(0,$B$6-IF($B$1+52&gt;=$B$23,$B$22,0))*(1+$B$4)^52))*IF(BB53+IF($B$1+52&lt;=$B53,12*$B$7,-12*MAX(0,$B$6-IF($B$1+52&gt;=$B$23,$B$22,0))*(1+$B$4)^52)&gt;0,1+$B$3,1))</f>
        <v/>
      </c>
      <c r="BD53">
        <f>IF($B$1+53&gt;90,BC53,(BC53+IF($B$1+53&lt;=$B53,12*$B$7,-12*MAX(0,$B$6-IF($B$1+53&gt;=$B$23,$B$22,0))*(1+$B$4)^53))*IF(BC53+IF($B$1+53&lt;=$B53,12*$B$7,-12*MAX(0,$B$6-IF($B$1+53&gt;=$B$23,$B$22,0))*(1+$B$4)^53)&gt;0,1+$B$3,1))</f>
        <v/>
      </c>
      <c r="BE53">
        <f>IF($B$1+54&gt;90,BD53,(BD53+IF($B$1+54&lt;=$B53,12*$B$7,-12*MAX(0,$B$6-IF($B$1+54&gt;=$B$23,$B$22,0))*(1+$B$4)^54))*IF(BD53+IF($B$1+54&lt;=$B53,12*$B$7,-12*MAX(0,$B$6-IF($B$1+54&gt;=$B$23,$B$22,0))*(1+$B$4)^54)&gt;0,1+$B$3,1))</f>
        <v/>
      </c>
      <c r="BF53">
        <f>IF($B$1+55&gt;90,BE53,(BE53+IF($B$1+55&lt;=$B53,12*$B$7,-12*MAX(0,$B$6-IF($B$1+55&gt;=$B$23,$B$22,0))*(1+$B$4)^55))*IF(BE53+IF($B$1+55&lt;=$B53,12*$B$7,-12*MAX(0,$B$6-IF($B$1+55&gt;=$B$23,$B$22,0))*(1+$B$4)^55)&gt;0,1+$B$3,1))</f>
        <v/>
      </c>
      <c r="BG53">
        <f>IF($B$1+56&gt;90,BF53,(BF53+IF($B$1+56&lt;=$B53,12*$B$7,-12*MAX(0,$B$6-IF($B$1+56&gt;=$B$23,$B$22,0))*(1+$B$4)^56))*IF(BF53+IF($B$1+56&lt;=$B53,12*$B$7,-12*MAX(0,$B$6-IF($B$1+56&gt;=$B$23,$B$22,0))*(1+$B$4)^56)&gt;0,1+$B$3,1))</f>
        <v/>
      </c>
      <c r="BH53">
        <f>IF($B$1+57&gt;90,BG53,(BG53+IF($B$1+57&lt;=$B53,12*$B$7,-12*MAX(0,$B$6-IF($B$1+57&gt;=$B$23,$B$22,0))*(1+$B$4)^57))*IF(BG53+IF($B$1+57&lt;=$B53,12*$B$7,-12*MAX(0,$B$6-IF($B$1+57&gt;=$B$23,$B$22,0))*(1+$B$4)^57)&gt;0,1+$B$3,1))</f>
        <v/>
      </c>
      <c r="BI53">
        <f>IF($B$1+58&gt;90,BH53,(BH53+IF($B$1+58&lt;=$B53,12*$B$7,-12*MAX(0,$B$6-IF($B$1+58&gt;=$B$23,$B$22,0))*(1+$B$4)^58))*IF(BH53+IF($B$1+58&lt;=$B53,12*$B$7,-12*MAX(0,$B$6-IF($B$1+58&gt;=$B$23,$B$22,0))*(1+$B$4)^58)&gt;0,1+$B$3,1))</f>
        <v/>
      </c>
      <c r="BJ53">
        <f>IF($B$1+59&gt;90,BI53,(BI53+IF($B$1+59&lt;=$B53,12*$B$7,-12*MAX(0,$B$6-IF($B$1+59&gt;=$B$23,$B$22,0))*(1+$B$4)^59))*IF(BI53+IF($B$1+59&lt;=$B53,12*$B$7,-12*MAX(0,$B$6-IF($B$1+59&gt;=$B$23,$B$22,0))*(1+$B$4)^59)&gt;0,1+$B$3,1))</f>
        <v/>
      </c>
      <c r="BK53">
        <f>IF($B$1+60&gt;90,BJ53,(BJ53+IF($B$1+60&lt;=$B53,12*$B$7,-12*MAX(0,$B$6-IF($B$1+60&gt;=$B$23,$B$22,0))*(1+$B$4)^60))*IF(BJ53+IF($B$1+60&lt;=$B53,12*$B$7,-12*MAX(0,$B$6-IF($B$1+60&gt;=$B$23,$B$22,0))*(1+$B$4)^60)&gt;0,1+$B$3,1))</f>
        <v/>
      </c>
      <c r="BL53">
        <f>IF($B$1+61&gt;90,BK53,(BK53+IF($B$1+61&lt;=$B53,12*$B$7,-12*MAX(0,$B$6-IF($B$1+61&gt;=$B$23,$B$22,0))*(1+$B$4)^61))*IF(BK53+IF($B$1+61&lt;=$B53,12*$B$7,-12*MAX(0,$B$6-IF($B$1+61&gt;=$B$23,$B$22,0))*(1+$B$4)^61)&gt;0,1+$B$3,1))</f>
        <v/>
      </c>
      <c r="BM53">
        <f>IF($B$1+62&gt;90,BL53,(BL53+IF($B$1+62&lt;=$B53,12*$B$7,-12*MAX(0,$B$6-IF($B$1+62&gt;=$B$23,$B$22,0))*(1+$B$4)^62))*IF(BL53+IF($B$1+62&lt;=$B53,12*$B$7,-12*MAX(0,$B$6-IF($B$1+62&gt;=$B$23,$B$22,0))*(1+$B$4)^62)&gt;0,1+$B$3,1))</f>
        <v/>
      </c>
      <c r="BN53">
        <f>IF($B$1+63&gt;90,BM53,(BM53+IF($B$1+63&lt;=$B53,12*$B$7,-12*MAX(0,$B$6-IF($B$1+63&gt;=$B$23,$B$22,0))*(1+$B$4)^63))*IF(BM53+IF($B$1+63&lt;=$B53,12*$B$7,-12*MAX(0,$B$6-IF($B$1+63&gt;=$B$23,$B$22,0))*(1+$B$4)^63)&gt;0,1+$B$3,1))</f>
        <v/>
      </c>
      <c r="BO53">
        <f>IF($B$1+64&gt;90,BN53,(BN53+IF($B$1+64&lt;=$B53,12*$B$7,-12*MAX(0,$B$6-IF($B$1+64&gt;=$B$23,$B$22,0))*(1+$B$4)^64))*IF(BN53+IF($B$1+64&lt;=$B53,12*$B$7,-12*MAX(0,$B$6-IF($B$1+64&gt;=$B$23,$B$22,0))*(1+$B$4)^64)&gt;0,1+$B$3,1))</f>
        <v/>
      </c>
      <c r="BP53">
        <f>IF($B$1+65&gt;90,BO53,(BO53+IF($B$1+65&lt;=$B53,12*$B$7,-12*MAX(0,$B$6-IF($B$1+65&gt;=$B$23,$B$22,0))*(1+$B$4)^65))*IF(BO53+IF($B$1+65&lt;=$B53,12*$B$7,-12*MAX(0,$B$6-IF($B$1+65&gt;=$B$23,$B$22,0))*(1+$B$4)^65)&gt;0,1+$B$3,1))</f>
        <v/>
      </c>
      <c r="BQ53">
        <f>IF($B$1+66&gt;90,BP53,(BP53+IF($B$1+66&lt;=$B53,12*$B$7,-12*MAX(0,$B$6-IF($B$1+66&gt;=$B$23,$B$22,0))*(1+$B$4)^66))*IF(BP53+IF($B$1+66&lt;=$B53,12*$B$7,-12*MAX(0,$B$6-IF($B$1+66&gt;=$B$23,$B$22,0))*(1+$B$4)^66)&gt;0,1+$B$3,1))</f>
        <v/>
      </c>
      <c r="BR53">
        <f>IF($B$1+67&gt;90,BQ53,(BQ53+IF($B$1+67&lt;=$B53,12*$B$7,-12*MAX(0,$B$6-IF($B$1+67&gt;=$B$23,$B$22,0))*(1+$B$4)^67))*IF(BQ53+IF($B$1+67&lt;=$B53,12*$B$7,-12*MAX(0,$B$6-IF($B$1+67&gt;=$B$23,$B$22,0))*(1+$B$4)^67)&gt;0,1+$B$3,1))</f>
        <v/>
      </c>
      <c r="BS53">
        <f>IF($B$1+68&gt;90,BR53,(BR53+IF($B$1+68&lt;=$B53,12*$B$7,-12*MAX(0,$B$6-IF($B$1+68&gt;=$B$23,$B$22,0))*(1+$B$4)^68))*IF(BR53+IF($B$1+68&lt;=$B53,12*$B$7,-12*MAX(0,$B$6-IF($B$1+68&gt;=$B$23,$B$22,0))*(1+$B$4)^68)&gt;0,1+$B$3,1))</f>
        <v/>
      </c>
      <c r="BT53">
        <f>IF($B$1+69&gt;90,BS53,(BS53+IF($B$1+69&lt;=$B53,12*$B$7,-12*MAX(0,$B$6-IF($B$1+69&gt;=$B$23,$B$22,0))*(1+$B$4)^69))*IF(BS53+IF($B$1+69&lt;=$B53,12*$B$7,-12*MAX(0,$B$6-IF($B$1+69&gt;=$B$23,$B$22,0))*(1+$B$4)^69)&gt;0,1+$B$3,1))</f>
        <v/>
      </c>
      <c r="BU53">
        <f>IF($B$1+70&gt;90,BT53,(BT53+IF($B$1+70&lt;=$B53,12*$B$7,-12*MAX(0,$B$6-IF($B$1+70&gt;=$B$23,$B$22,0))*(1+$B$4)^70))*IF(BT53+IF($B$1+70&lt;=$B53,12*$B$7,-12*MAX(0,$B$6-IF($B$1+70&gt;=$B$23,$B$22,0))*(1+$B$4)^70)&gt;0,1+$B$3,1))</f>
        <v/>
      </c>
      <c r="BV53">
        <f>BU53</f>
        <v/>
      </c>
      <c r="BW53">
        <f>IF(AND($B53&lt;=70,BV53&gt;0),$B53,999)</f>
        <v/>
      </c>
      <c r="CB53" t="n">
        <v>52</v>
      </c>
      <c r="CC53">
        <f>IF($B$1+CB53&gt;90,0,12*MAX(0,$B$6-IF($B$1+CB53&gt;=$B$23,$B$22,0))*(1+$B$4)^CB53/(1+$B$3)^(CB53-1))</f>
        <v/>
      </c>
      <c r="CE53">
        <f>IF($B$1+51&gt;90,NA(),$B$1+51)</f>
        <v/>
      </c>
      <c r="CF53">
        <f>IF(OR($B$21="",$B$1+51&gt;90),NA(),INDEX($C$40:$BU$90,$B$21-$B$1+1,52))</f>
        <v/>
      </c>
      <c r="CH53">
        <f>IF(ISTEXT('월 가계부'!A53),SUBSTITUTE(SUBSTITUTE(SUBSTITUTE(SUBSTITUTE(SUBSTITUTE(SUBSTITUTE(SUBSTITUTE(SUBSTITUTE(SUBSTITUTE(TRIM('월 가계부'!A53),"년","-"),"월","-"),"일",""),".","-"),"/","-")," ","-"),"--","-"),"--","-"),"--","-")&amp;"-","")</f>
        <v/>
      </c>
      <c r="CI53">
        <f>IFERROR(IF('월 가계부'!A53="","",IF(ISNUMBER('월 가계부'!A53),IF(AND('월 가계부'!A53&gt;=19000101,'월 가계부'!A53&lt;=21001231),IF(AND(MOD(INT('월 가계부'!A53/100),100)&gt;=1,MOD(INT('월 가계부'!A53/100),100)&lt;=12,MOD(INT('월 가계부'!A53),100)&gt;=1,MOD(INT('월 가계부'!A53),100)&lt;=31),IF(MONTH(DATE(INT('월 가계부'!A53/10000),MOD(INT('월 가계부'!A53/100),100),MOD(INT('월 가계부'!A53),100)))=MOD(INT('월 가계부'!A53/100),100),DATE(INT('월 가계부'!A53/10000),MOD(INT('월 가계부'!A53/100),100),MOD(INT('월 가계부'!A53),100)),""),""),IF(AND('월 가계부'!A53&gt;=36526,'월 가계부'!A53&lt;73051),INT('월 가계부'!A53),"")),IF(OR(CM53="",CN53="",CO53=""),"",IF(AND(CM53&gt;=2000,CM53&lt;=2099,CN53&gt;=1,CN53&lt;=12,CO53&gt;=1,CO53&lt;=31),IF(MONTH(DATE(CM53,CN53,CO53))=CN53,DATE(CM53,CN53,CO53),""),"")))),"")</f>
        <v/>
      </c>
      <c r="CJ53">
        <f>IFERROR(IF('월 가계부'!C53="","",IF(ISNUMBER('월 가계부'!C53),'월 가계부'!C53,VALUE(SUBSTITUTE(SUBSTITUTE(SUBSTITUTE(SUBSTITUTE(TRIM('월 가계부'!C53),",",""),"원","")," ",""),"−","-")))),"")</f>
        <v/>
      </c>
      <c r="CK53">
        <f>IF(ISNUMBER(CI53),IF(CI53&lt;$B$13,CI53,""),"")</f>
        <v/>
      </c>
      <c r="CM53">
        <f>IF(CH53="","",IFERROR(IF(IF(AND(LEN(CH53)=9,ISERROR(FIND("-",LEFT(CH53,8))),ISNUMBER(-LEFT(CH53,8))),VALUE(LEFT(CH53,4)),VALUE(LEFT(CH53,FIND("-",CH53)-1)))&lt;100,IF(AND(LEN(CH53)=9,ISERROR(FIND("-",LEFT(CH53,8))),ISNUMBER(-LEFT(CH53,8))),VALUE(LEFT(CH53,4)),VALUE(LEFT(CH53,FIND("-",CH53)-1)))+2000,IF(AND(LEN(CH53)=9,ISERROR(FIND("-",LEFT(CH53,8))),ISNUMBER(-LEFT(CH53,8))),VALUE(LEFT(CH53,4)),VALUE(LEFT(CH53,FIND("-",CH53)-1)))),""))</f>
        <v/>
      </c>
      <c r="CN53">
        <f>IF(CH53="","",IFERROR(IF(AND(LEN(CH53)=9,ISERROR(FIND("-",LEFT(CH53,8))),ISNUMBER(-LEFT(CH53,8))),VALUE(MID(CH53,5,2)),VALUE(MID(CH53,FIND("-",CH53)+1,FIND("-",CH53,FIND("-",CH53)+1)-FIND("-",CH53)-1))),""))</f>
        <v/>
      </c>
      <c r="CO53">
        <f>IF(CH53="","",IFERROR(IF(AND(LEN(CH53)=9,ISERROR(FIND("-",LEFT(CH53,8))),ISNUMBER(-LEFT(CH53,8))),VALUE(MID(CH53,7,2)),VALUE(MID(CH53,FIND("-",CH53,FIND("-",CH53)+1)+1,FIND("-",CH53,FIND("-",CH53,FIND("-",CH53)+1)+1)-FIND("-",CH53,FIND("-",CH53)+1)-1))),""))</f>
        <v/>
      </c>
    </row>
    <row r="54">
      <c r="A54" t="n">
        <v>14</v>
      </c>
      <c r="B54">
        <f>$B$1+14</f>
        <v/>
      </c>
      <c r="C54">
        <f>$B$2</f>
        <v/>
      </c>
      <c r="D54">
        <f>IF($B$1+1&gt;90,C54,(C54+IF($B$1+1&lt;=$B54,12*$B$7,-12*MAX(0,$B$6-IF($B$1+1&gt;=$B$23,$B$22,0))*(1+$B$4)^1))*IF(C54+IF($B$1+1&lt;=$B54,12*$B$7,-12*MAX(0,$B$6-IF($B$1+1&gt;=$B$23,$B$22,0))*(1+$B$4)^1)&gt;0,1+$B$3,1))</f>
        <v/>
      </c>
      <c r="E54">
        <f>IF($B$1+2&gt;90,D54,(D54+IF($B$1+2&lt;=$B54,12*$B$7,-12*MAX(0,$B$6-IF($B$1+2&gt;=$B$23,$B$22,0))*(1+$B$4)^2))*IF(D54+IF($B$1+2&lt;=$B54,12*$B$7,-12*MAX(0,$B$6-IF($B$1+2&gt;=$B$23,$B$22,0))*(1+$B$4)^2)&gt;0,1+$B$3,1))</f>
        <v/>
      </c>
      <c r="F54">
        <f>IF($B$1+3&gt;90,E54,(E54+IF($B$1+3&lt;=$B54,12*$B$7,-12*MAX(0,$B$6-IF($B$1+3&gt;=$B$23,$B$22,0))*(1+$B$4)^3))*IF(E54+IF($B$1+3&lt;=$B54,12*$B$7,-12*MAX(0,$B$6-IF($B$1+3&gt;=$B$23,$B$22,0))*(1+$B$4)^3)&gt;0,1+$B$3,1))</f>
        <v/>
      </c>
      <c r="G54">
        <f>IF($B$1+4&gt;90,F54,(F54+IF($B$1+4&lt;=$B54,12*$B$7,-12*MAX(0,$B$6-IF($B$1+4&gt;=$B$23,$B$22,0))*(1+$B$4)^4))*IF(F54+IF($B$1+4&lt;=$B54,12*$B$7,-12*MAX(0,$B$6-IF($B$1+4&gt;=$B$23,$B$22,0))*(1+$B$4)^4)&gt;0,1+$B$3,1))</f>
        <v/>
      </c>
      <c r="H54">
        <f>IF($B$1+5&gt;90,G54,(G54+IF($B$1+5&lt;=$B54,12*$B$7,-12*MAX(0,$B$6-IF($B$1+5&gt;=$B$23,$B$22,0))*(1+$B$4)^5))*IF(G54+IF($B$1+5&lt;=$B54,12*$B$7,-12*MAX(0,$B$6-IF($B$1+5&gt;=$B$23,$B$22,0))*(1+$B$4)^5)&gt;0,1+$B$3,1))</f>
        <v/>
      </c>
      <c r="I54">
        <f>IF($B$1+6&gt;90,H54,(H54+IF($B$1+6&lt;=$B54,12*$B$7,-12*MAX(0,$B$6-IF($B$1+6&gt;=$B$23,$B$22,0))*(1+$B$4)^6))*IF(H54+IF($B$1+6&lt;=$B54,12*$B$7,-12*MAX(0,$B$6-IF($B$1+6&gt;=$B$23,$B$22,0))*(1+$B$4)^6)&gt;0,1+$B$3,1))</f>
        <v/>
      </c>
      <c r="J54">
        <f>IF($B$1+7&gt;90,I54,(I54+IF($B$1+7&lt;=$B54,12*$B$7,-12*MAX(0,$B$6-IF($B$1+7&gt;=$B$23,$B$22,0))*(1+$B$4)^7))*IF(I54+IF($B$1+7&lt;=$B54,12*$B$7,-12*MAX(0,$B$6-IF($B$1+7&gt;=$B$23,$B$22,0))*(1+$B$4)^7)&gt;0,1+$B$3,1))</f>
        <v/>
      </c>
      <c r="K54">
        <f>IF($B$1+8&gt;90,J54,(J54+IF($B$1+8&lt;=$B54,12*$B$7,-12*MAX(0,$B$6-IF($B$1+8&gt;=$B$23,$B$22,0))*(1+$B$4)^8))*IF(J54+IF($B$1+8&lt;=$B54,12*$B$7,-12*MAX(0,$B$6-IF($B$1+8&gt;=$B$23,$B$22,0))*(1+$B$4)^8)&gt;0,1+$B$3,1))</f>
        <v/>
      </c>
      <c r="L54">
        <f>IF($B$1+9&gt;90,K54,(K54+IF($B$1+9&lt;=$B54,12*$B$7,-12*MAX(0,$B$6-IF($B$1+9&gt;=$B$23,$B$22,0))*(1+$B$4)^9))*IF(K54+IF($B$1+9&lt;=$B54,12*$B$7,-12*MAX(0,$B$6-IF($B$1+9&gt;=$B$23,$B$22,0))*(1+$B$4)^9)&gt;0,1+$B$3,1))</f>
        <v/>
      </c>
      <c r="M54">
        <f>IF($B$1+10&gt;90,L54,(L54+IF($B$1+10&lt;=$B54,12*$B$7,-12*MAX(0,$B$6-IF($B$1+10&gt;=$B$23,$B$22,0))*(1+$B$4)^10))*IF(L54+IF($B$1+10&lt;=$B54,12*$B$7,-12*MAX(0,$B$6-IF($B$1+10&gt;=$B$23,$B$22,0))*(1+$B$4)^10)&gt;0,1+$B$3,1))</f>
        <v/>
      </c>
      <c r="N54">
        <f>IF($B$1+11&gt;90,M54,(M54+IF($B$1+11&lt;=$B54,12*$B$7,-12*MAX(0,$B$6-IF($B$1+11&gt;=$B$23,$B$22,0))*(1+$B$4)^11))*IF(M54+IF($B$1+11&lt;=$B54,12*$B$7,-12*MAX(0,$B$6-IF($B$1+11&gt;=$B$23,$B$22,0))*(1+$B$4)^11)&gt;0,1+$B$3,1))</f>
        <v/>
      </c>
      <c r="O54">
        <f>IF($B$1+12&gt;90,N54,(N54+IF($B$1+12&lt;=$B54,12*$B$7,-12*MAX(0,$B$6-IF($B$1+12&gt;=$B$23,$B$22,0))*(1+$B$4)^12))*IF(N54+IF($B$1+12&lt;=$B54,12*$B$7,-12*MAX(0,$B$6-IF($B$1+12&gt;=$B$23,$B$22,0))*(1+$B$4)^12)&gt;0,1+$B$3,1))</f>
        <v/>
      </c>
      <c r="P54">
        <f>IF($B$1+13&gt;90,O54,(O54+IF($B$1+13&lt;=$B54,12*$B$7,-12*MAX(0,$B$6-IF($B$1+13&gt;=$B$23,$B$22,0))*(1+$B$4)^13))*IF(O54+IF($B$1+13&lt;=$B54,12*$B$7,-12*MAX(0,$B$6-IF($B$1+13&gt;=$B$23,$B$22,0))*(1+$B$4)^13)&gt;0,1+$B$3,1))</f>
        <v/>
      </c>
      <c r="Q54">
        <f>IF($B$1+14&gt;90,P54,(P54+IF($B$1+14&lt;=$B54,12*$B$7,-12*MAX(0,$B$6-IF($B$1+14&gt;=$B$23,$B$22,0))*(1+$B$4)^14))*IF(P54+IF($B$1+14&lt;=$B54,12*$B$7,-12*MAX(0,$B$6-IF($B$1+14&gt;=$B$23,$B$22,0))*(1+$B$4)^14)&gt;0,1+$B$3,1))</f>
        <v/>
      </c>
      <c r="R54">
        <f>IF($B$1+15&gt;90,Q54,(Q54+IF($B$1+15&lt;=$B54,12*$B$7,-12*MAX(0,$B$6-IF($B$1+15&gt;=$B$23,$B$22,0))*(1+$B$4)^15))*IF(Q54+IF($B$1+15&lt;=$B54,12*$B$7,-12*MAX(0,$B$6-IF($B$1+15&gt;=$B$23,$B$22,0))*(1+$B$4)^15)&gt;0,1+$B$3,1))</f>
        <v/>
      </c>
      <c r="S54">
        <f>IF($B$1+16&gt;90,R54,(R54+IF($B$1+16&lt;=$B54,12*$B$7,-12*MAX(0,$B$6-IF($B$1+16&gt;=$B$23,$B$22,0))*(1+$B$4)^16))*IF(R54+IF($B$1+16&lt;=$B54,12*$B$7,-12*MAX(0,$B$6-IF($B$1+16&gt;=$B$23,$B$22,0))*(1+$B$4)^16)&gt;0,1+$B$3,1))</f>
        <v/>
      </c>
      <c r="T54">
        <f>IF($B$1+17&gt;90,S54,(S54+IF($B$1+17&lt;=$B54,12*$B$7,-12*MAX(0,$B$6-IF($B$1+17&gt;=$B$23,$B$22,0))*(1+$B$4)^17))*IF(S54+IF($B$1+17&lt;=$B54,12*$B$7,-12*MAX(0,$B$6-IF($B$1+17&gt;=$B$23,$B$22,0))*(1+$B$4)^17)&gt;0,1+$B$3,1))</f>
        <v/>
      </c>
      <c r="U54">
        <f>IF($B$1+18&gt;90,T54,(T54+IF($B$1+18&lt;=$B54,12*$B$7,-12*MAX(0,$B$6-IF($B$1+18&gt;=$B$23,$B$22,0))*(1+$B$4)^18))*IF(T54+IF($B$1+18&lt;=$B54,12*$B$7,-12*MAX(0,$B$6-IF($B$1+18&gt;=$B$23,$B$22,0))*(1+$B$4)^18)&gt;0,1+$B$3,1))</f>
        <v/>
      </c>
      <c r="V54">
        <f>IF($B$1+19&gt;90,U54,(U54+IF($B$1+19&lt;=$B54,12*$B$7,-12*MAX(0,$B$6-IF($B$1+19&gt;=$B$23,$B$22,0))*(1+$B$4)^19))*IF(U54+IF($B$1+19&lt;=$B54,12*$B$7,-12*MAX(0,$B$6-IF($B$1+19&gt;=$B$23,$B$22,0))*(1+$B$4)^19)&gt;0,1+$B$3,1))</f>
        <v/>
      </c>
      <c r="W54">
        <f>IF($B$1+20&gt;90,V54,(V54+IF($B$1+20&lt;=$B54,12*$B$7,-12*MAX(0,$B$6-IF($B$1+20&gt;=$B$23,$B$22,0))*(1+$B$4)^20))*IF(V54+IF($B$1+20&lt;=$B54,12*$B$7,-12*MAX(0,$B$6-IF($B$1+20&gt;=$B$23,$B$22,0))*(1+$B$4)^20)&gt;0,1+$B$3,1))</f>
        <v/>
      </c>
      <c r="X54">
        <f>IF($B$1+21&gt;90,W54,(W54+IF($B$1+21&lt;=$B54,12*$B$7,-12*MAX(0,$B$6-IF($B$1+21&gt;=$B$23,$B$22,0))*(1+$B$4)^21))*IF(W54+IF($B$1+21&lt;=$B54,12*$B$7,-12*MAX(0,$B$6-IF($B$1+21&gt;=$B$23,$B$22,0))*(1+$B$4)^21)&gt;0,1+$B$3,1))</f>
        <v/>
      </c>
      <c r="Y54">
        <f>IF($B$1+22&gt;90,X54,(X54+IF($B$1+22&lt;=$B54,12*$B$7,-12*MAX(0,$B$6-IF($B$1+22&gt;=$B$23,$B$22,0))*(1+$B$4)^22))*IF(X54+IF($B$1+22&lt;=$B54,12*$B$7,-12*MAX(0,$B$6-IF($B$1+22&gt;=$B$23,$B$22,0))*(1+$B$4)^22)&gt;0,1+$B$3,1))</f>
        <v/>
      </c>
      <c r="Z54">
        <f>IF($B$1+23&gt;90,Y54,(Y54+IF($B$1+23&lt;=$B54,12*$B$7,-12*MAX(0,$B$6-IF($B$1+23&gt;=$B$23,$B$22,0))*(1+$B$4)^23))*IF(Y54+IF($B$1+23&lt;=$B54,12*$B$7,-12*MAX(0,$B$6-IF($B$1+23&gt;=$B$23,$B$22,0))*(1+$B$4)^23)&gt;0,1+$B$3,1))</f>
        <v/>
      </c>
      <c r="AA54">
        <f>IF($B$1+24&gt;90,Z54,(Z54+IF($B$1+24&lt;=$B54,12*$B$7,-12*MAX(0,$B$6-IF($B$1+24&gt;=$B$23,$B$22,0))*(1+$B$4)^24))*IF(Z54+IF($B$1+24&lt;=$B54,12*$B$7,-12*MAX(0,$B$6-IF($B$1+24&gt;=$B$23,$B$22,0))*(1+$B$4)^24)&gt;0,1+$B$3,1))</f>
        <v/>
      </c>
      <c r="AB54">
        <f>IF($B$1+25&gt;90,AA54,(AA54+IF($B$1+25&lt;=$B54,12*$B$7,-12*MAX(0,$B$6-IF($B$1+25&gt;=$B$23,$B$22,0))*(1+$B$4)^25))*IF(AA54+IF($B$1+25&lt;=$B54,12*$B$7,-12*MAX(0,$B$6-IF($B$1+25&gt;=$B$23,$B$22,0))*(1+$B$4)^25)&gt;0,1+$B$3,1))</f>
        <v/>
      </c>
      <c r="AC54">
        <f>IF($B$1+26&gt;90,AB54,(AB54+IF($B$1+26&lt;=$B54,12*$B$7,-12*MAX(0,$B$6-IF($B$1+26&gt;=$B$23,$B$22,0))*(1+$B$4)^26))*IF(AB54+IF($B$1+26&lt;=$B54,12*$B$7,-12*MAX(0,$B$6-IF($B$1+26&gt;=$B$23,$B$22,0))*(1+$B$4)^26)&gt;0,1+$B$3,1))</f>
        <v/>
      </c>
      <c r="AD54">
        <f>IF($B$1+27&gt;90,AC54,(AC54+IF($B$1+27&lt;=$B54,12*$B$7,-12*MAX(0,$B$6-IF($B$1+27&gt;=$B$23,$B$22,0))*(1+$B$4)^27))*IF(AC54+IF($B$1+27&lt;=$B54,12*$B$7,-12*MAX(0,$B$6-IF($B$1+27&gt;=$B$23,$B$22,0))*(1+$B$4)^27)&gt;0,1+$B$3,1))</f>
        <v/>
      </c>
      <c r="AE54">
        <f>IF($B$1+28&gt;90,AD54,(AD54+IF($B$1+28&lt;=$B54,12*$B$7,-12*MAX(0,$B$6-IF($B$1+28&gt;=$B$23,$B$22,0))*(1+$B$4)^28))*IF(AD54+IF($B$1+28&lt;=$B54,12*$B$7,-12*MAX(0,$B$6-IF($B$1+28&gt;=$B$23,$B$22,0))*(1+$B$4)^28)&gt;0,1+$B$3,1))</f>
        <v/>
      </c>
      <c r="AF54">
        <f>IF($B$1+29&gt;90,AE54,(AE54+IF($B$1+29&lt;=$B54,12*$B$7,-12*MAX(0,$B$6-IF($B$1+29&gt;=$B$23,$B$22,0))*(1+$B$4)^29))*IF(AE54+IF($B$1+29&lt;=$B54,12*$B$7,-12*MAX(0,$B$6-IF($B$1+29&gt;=$B$23,$B$22,0))*(1+$B$4)^29)&gt;0,1+$B$3,1))</f>
        <v/>
      </c>
      <c r="AG54">
        <f>IF($B$1+30&gt;90,AF54,(AF54+IF($B$1+30&lt;=$B54,12*$B$7,-12*MAX(0,$B$6-IF($B$1+30&gt;=$B$23,$B$22,0))*(1+$B$4)^30))*IF(AF54+IF($B$1+30&lt;=$B54,12*$B$7,-12*MAX(0,$B$6-IF($B$1+30&gt;=$B$23,$B$22,0))*(1+$B$4)^30)&gt;0,1+$B$3,1))</f>
        <v/>
      </c>
      <c r="AH54">
        <f>IF($B$1+31&gt;90,AG54,(AG54+IF($B$1+31&lt;=$B54,12*$B$7,-12*MAX(0,$B$6-IF($B$1+31&gt;=$B$23,$B$22,0))*(1+$B$4)^31))*IF(AG54+IF($B$1+31&lt;=$B54,12*$B$7,-12*MAX(0,$B$6-IF($B$1+31&gt;=$B$23,$B$22,0))*(1+$B$4)^31)&gt;0,1+$B$3,1))</f>
        <v/>
      </c>
      <c r="AI54">
        <f>IF($B$1+32&gt;90,AH54,(AH54+IF($B$1+32&lt;=$B54,12*$B$7,-12*MAX(0,$B$6-IF($B$1+32&gt;=$B$23,$B$22,0))*(1+$B$4)^32))*IF(AH54+IF($B$1+32&lt;=$B54,12*$B$7,-12*MAX(0,$B$6-IF($B$1+32&gt;=$B$23,$B$22,0))*(1+$B$4)^32)&gt;0,1+$B$3,1))</f>
        <v/>
      </c>
      <c r="AJ54">
        <f>IF($B$1+33&gt;90,AI54,(AI54+IF($B$1+33&lt;=$B54,12*$B$7,-12*MAX(0,$B$6-IF($B$1+33&gt;=$B$23,$B$22,0))*(1+$B$4)^33))*IF(AI54+IF($B$1+33&lt;=$B54,12*$B$7,-12*MAX(0,$B$6-IF($B$1+33&gt;=$B$23,$B$22,0))*(1+$B$4)^33)&gt;0,1+$B$3,1))</f>
        <v/>
      </c>
      <c r="AK54">
        <f>IF($B$1+34&gt;90,AJ54,(AJ54+IF($B$1+34&lt;=$B54,12*$B$7,-12*MAX(0,$B$6-IF($B$1+34&gt;=$B$23,$B$22,0))*(1+$B$4)^34))*IF(AJ54+IF($B$1+34&lt;=$B54,12*$B$7,-12*MAX(0,$B$6-IF($B$1+34&gt;=$B$23,$B$22,0))*(1+$B$4)^34)&gt;0,1+$B$3,1))</f>
        <v/>
      </c>
      <c r="AL54">
        <f>IF($B$1+35&gt;90,AK54,(AK54+IF($B$1+35&lt;=$B54,12*$B$7,-12*MAX(0,$B$6-IF($B$1+35&gt;=$B$23,$B$22,0))*(1+$B$4)^35))*IF(AK54+IF($B$1+35&lt;=$B54,12*$B$7,-12*MAX(0,$B$6-IF($B$1+35&gt;=$B$23,$B$22,0))*(1+$B$4)^35)&gt;0,1+$B$3,1))</f>
        <v/>
      </c>
      <c r="AM54">
        <f>IF($B$1+36&gt;90,AL54,(AL54+IF($B$1+36&lt;=$B54,12*$B$7,-12*MAX(0,$B$6-IF($B$1+36&gt;=$B$23,$B$22,0))*(1+$B$4)^36))*IF(AL54+IF($B$1+36&lt;=$B54,12*$B$7,-12*MAX(0,$B$6-IF($B$1+36&gt;=$B$23,$B$22,0))*(1+$B$4)^36)&gt;0,1+$B$3,1))</f>
        <v/>
      </c>
      <c r="AN54">
        <f>IF($B$1+37&gt;90,AM54,(AM54+IF($B$1+37&lt;=$B54,12*$B$7,-12*MAX(0,$B$6-IF($B$1+37&gt;=$B$23,$B$22,0))*(1+$B$4)^37))*IF(AM54+IF($B$1+37&lt;=$B54,12*$B$7,-12*MAX(0,$B$6-IF($B$1+37&gt;=$B$23,$B$22,0))*(1+$B$4)^37)&gt;0,1+$B$3,1))</f>
        <v/>
      </c>
      <c r="AO54">
        <f>IF($B$1+38&gt;90,AN54,(AN54+IF($B$1+38&lt;=$B54,12*$B$7,-12*MAX(0,$B$6-IF($B$1+38&gt;=$B$23,$B$22,0))*(1+$B$4)^38))*IF(AN54+IF($B$1+38&lt;=$B54,12*$B$7,-12*MAX(0,$B$6-IF($B$1+38&gt;=$B$23,$B$22,0))*(1+$B$4)^38)&gt;0,1+$B$3,1))</f>
        <v/>
      </c>
      <c r="AP54">
        <f>IF($B$1+39&gt;90,AO54,(AO54+IF($B$1+39&lt;=$B54,12*$B$7,-12*MAX(0,$B$6-IF($B$1+39&gt;=$B$23,$B$22,0))*(1+$B$4)^39))*IF(AO54+IF($B$1+39&lt;=$B54,12*$B$7,-12*MAX(0,$B$6-IF($B$1+39&gt;=$B$23,$B$22,0))*(1+$B$4)^39)&gt;0,1+$B$3,1))</f>
        <v/>
      </c>
      <c r="AQ54">
        <f>IF($B$1+40&gt;90,AP54,(AP54+IF($B$1+40&lt;=$B54,12*$B$7,-12*MAX(0,$B$6-IF($B$1+40&gt;=$B$23,$B$22,0))*(1+$B$4)^40))*IF(AP54+IF($B$1+40&lt;=$B54,12*$B$7,-12*MAX(0,$B$6-IF($B$1+40&gt;=$B$23,$B$22,0))*(1+$B$4)^40)&gt;0,1+$B$3,1))</f>
        <v/>
      </c>
      <c r="AR54">
        <f>IF($B$1+41&gt;90,AQ54,(AQ54+IF($B$1+41&lt;=$B54,12*$B$7,-12*MAX(0,$B$6-IF($B$1+41&gt;=$B$23,$B$22,0))*(1+$B$4)^41))*IF(AQ54+IF($B$1+41&lt;=$B54,12*$B$7,-12*MAX(0,$B$6-IF($B$1+41&gt;=$B$23,$B$22,0))*(1+$B$4)^41)&gt;0,1+$B$3,1))</f>
        <v/>
      </c>
      <c r="AS54">
        <f>IF($B$1+42&gt;90,AR54,(AR54+IF($B$1+42&lt;=$B54,12*$B$7,-12*MAX(0,$B$6-IF($B$1+42&gt;=$B$23,$B$22,0))*(1+$B$4)^42))*IF(AR54+IF($B$1+42&lt;=$B54,12*$B$7,-12*MAX(0,$B$6-IF($B$1+42&gt;=$B$23,$B$22,0))*(1+$B$4)^42)&gt;0,1+$B$3,1))</f>
        <v/>
      </c>
      <c r="AT54">
        <f>IF($B$1+43&gt;90,AS54,(AS54+IF($B$1+43&lt;=$B54,12*$B$7,-12*MAX(0,$B$6-IF($B$1+43&gt;=$B$23,$B$22,0))*(1+$B$4)^43))*IF(AS54+IF($B$1+43&lt;=$B54,12*$B$7,-12*MAX(0,$B$6-IF($B$1+43&gt;=$B$23,$B$22,0))*(1+$B$4)^43)&gt;0,1+$B$3,1))</f>
        <v/>
      </c>
      <c r="AU54">
        <f>IF($B$1+44&gt;90,AT54,(AT54+IF($B$1+44&lt;=$B54,12*$B$7,-12*MAX(0,$B$6-IF($B$1+44&gt;=$B$23,$B$22,0))*(1+$B$4)^44))*IF(AT54+IF($B$1+44&lt;=$B54,12*$B$7,-12*MAX(0,$B$6-IF($B$1+44&gt;=$B$23,$B$22,0))*(1+$B$4)^44)&gt;0,1+$B$3,1))</f>
        <v/>
      </c>
      <c r="AV54">
        <f>IF($B$1+45&gt;90,AU54,(AU54+IF($B$1+45&lt;=$B54,12*$B$7,-12*MAX(0,$B$6-IF($B$1+45&gt;=$B$23,$B$22,0))*(1+$B$4)^45))*IF(AU54+IF($B$1+45&lt;=$B54,12*$B$7,-12*MAX(0,$B$6-IF($B$1+45&gt;=$B$23,$B$22,0))*(1+$B$4)^45)&gt;0,1+$B$3,1))</f>
        <v/>
      </c>
      <c r="AW54">
        <f>IF($B$1+46&gt;90,AV54,(AV54+IF($B$1+46&lt;=$B54,12*$B$7,-12*MAX(0,$B$6-IF($B$1+46&gt;=$B$23,$B$22,0))*(1+$B$4)^46))*IF(AV54+IF($B$1+46&lt;=$B54,12*$B$7,-12*MAX(0,$B$6-IF($B$1+46&gt;=$B$23,$B$22,0))*(1+$B$4)^46)&gt;0,1+$B$3,1))</f>
        <v/>
      </c>
      <c r="AX54">
        <f>IF($B$1+47&gt;90,AW54,(AW54+IF($B$1+47&lt;=$B54,12*$B$7,-12*MAX(0,$B$6-IF($B$1+47&gt;=$B$23,$B$22,0))*(1+$B$4)^47))*IF(AW54+IF($B$1+47&lt;=$B54,12*$B$7,-12*MAX(0,$B$6-IF($B$1+47&gt;=$B$23,$B$22,0))*(1+$B$4)^47)&gt;0,1+$B$3,1))</f>
        <v/>
      </c>
      <c r="AY54">
        <f>IF($B$1+48&gt;90,AX54,(AX54+IF($B$1+48&lt;=$B54,12*$B$7,-12*MAX(0,$B$6-IF($B$1+48&gt;=$B$23,$B$22,0))*(1+$B$4)^48))*IF(AX54+IF($B$1+48&lt;=$B54,12*$B$7,-12*MAX(0,$B$6-IF($B$1+48&gt;=$B$23,$B$22,0))*(1+$B$4)^48)&gt;0,1+$B$3,1))</f>
        <v/>
      </c>
      <c r="AZ54">
        <f>IF($B$1+49&gt;90,AY54,(AY54+IF($B$1+49&lt;=$B54,12*$B$7,-12*MAX(0,$B$6-IF($B$1+49&gt;=$B$23,$B$22,0))*(1+$B$4)^49))*IF(AY54+IF($B$1+49&lt;=$B54,12*$B$7,-12*MAX(0,$B$6-IF($B$1+49&gt;=$B$23,$B$22,0))*(1+$B$4)^49)&gt;0,1+$B$3,1))</f>
        <v/>
      </c>
      <c r="BA54">
        <f>IF($B$1+50&gt;90,AZ54,(AZ54+IF($B$1+50&lt;=$B54,12*$B$7,-12*MAX(0,$B$6-IF($B$1+50&gt;=$B$23,$B$22,0))*(1+$B$4)^50))*IF(AZ54+IF($B$1+50&lt;=$B54,12*$B$7,-12*MAX(0,$B$6-IF($B$1+50&gt;=$B$23,$B$22,0))*(1+$B$4)^50)&gt;0,1+$B$3,1))</f>
        <v/>
      </c>
      <c r="BB54">
        <f>IF($B$1+51&gt;90,BA54,(BA54+IF($B$1+51&lt;=$B54,12*$B$7,-12*MAX(0,$B$6-IF($B$1+51&gt;=$B$23,$B$22,0))*(1+$B$4)^51))*IF(BA54+IF($B$1+51&lt;=$B54,12*$B$7,-12*MAX(0,$B$6-IF($B$1+51&gt;=$B$23,$B$22,0))*(1+$B$4)^51)&gt;0,1+$B$3,1))</f>
        <v/>
      </c>
      <c r="BC54">
        <f>IF($B$1+52&gt;90,BB54,(BB54+IF($B$1+52&lt;=$B54,12*$B$7,-12*MAX(0,$B$6-IF($B$1+52&gt;=$B$23,$B$22,0))*(1+$B$4)^52))*IF(BB54+IF($B$1+52&lt;=$B54,12*$B$7,-12*MAX(0,$B$6-IF($B$1+52&gt;=$B$23,$B$22,0))*(1+$B$4)^52)&gt;0,1+$B$3,1))</f>
        <v/>
      </c>
      <c r="BD54">
        <f>IF($B$1+53&gt;90,BC54,(BC54+IF($B$1+53&lt;=$B54,12*$B$7,-12*MAX(0,$B$6-IF($B$1+53&gt;=$B$23,$B$22,0))*(1+$B$4)^53))*IF(BC54+IF($B$1+53&lt;=$B54,12*$B$7,-12*MAX(0,$B$6-IF($B$1+53&gt;=$B$23,$B$22,0))*(1+$B$4)^53)&gt;0,1+$B$3,1))</f>
        <v/>
      </c>
      <c r="BE54">
        <f>IF($B$1+54&gt;90,BD54,(BD54+IF($B$1+54&lt;=$B54,12*$B$7,-12*MAX(0,$B$6-IF($B$1+54&gt;=$B$23,$B$22,0))*(1+$B$4)^54))*IF(BD54+IF($B$1+54&lt;=$B54,12*$B$7,-12*MAX(0,$B$6-IF($B$1+54&gt;=$B$23,$B$22,0))*(1+$B$4)^54)&gt;0,1+$B$3,1))</f>
        <v/>
      </c>
      <c r="BF54">
        <f>IF($B$1+55&gt;90,BE54,(BE54+IF($B$1+55&lt;=$B54,12*$B$7,-12*MAX(0,$B$6-IF($B$1+55&gt;=$B$23,$B$22,0))*(1+$B$4)^55))*IF(BE54+IF($B$1+55&lt;=$B54,12*$B$7,-12*MAX(0,$B$6-IF($B$1+55&gt;=$B$23,$B$22,0))*(1+$B$4)^55)&gt;0,1+$B$3,1))</f>
        <v/>
      </c>
      <c r="BG54">
        <f>IF($B$1+56&gt;90,BF54,(BF54+IF($B$1+56&lt;=$B54,12*$B$7,-12*MAX(0,$B$6-IF($B$1+56&gt;=$B$23,$B$22,0))*(1+$B$4)^56))*IF(BF54+IF($B$1+56&lt;=$B54,12*$B$7,-12*MAX(0,$B$6-IF($B$1+56&gt;=$B$23,$B$22,0))*(1+$B$4)^56)&gt;0,1+$B$3,1))</f>
        <v/>
      </c>
      <c r="BH54">
        <f>IF($B$1+57&gt;90,BG54,(BG54+IF($B$1+57&lt;=$B54,12*$B$7,-12*MAX(0,$B$6-IF($B$1+57&gt;=$B$23,$B$22,0))*(1+$B$4)^57))*IF(BG54+IF($B$1+57&lt;=$B54,12*$B$7,-12*MAX(0,$B$6-IF($B$1+57&gt;=$B$23,$B$22,0))*(1+$B$4)^57)&gt;0,1+$B$3,1))</f>
        <v/>
      </c>
      <c r="BI54">
        <f>IF($B$1+58&gt;90,BH54,(BH54+IF($B$1+58&lt;=$B54,12*$B$7,-12*MAX(0,$B$6-IF($B$1+58&gt;=$B$23,$B$22,0))*(1+$B$4)^58))*IF(BH54+IF($B$1+58&lt;=$B54,12*$B$7,-12*MAX(0,$B$6-IF($B$1+58&gt;=$B$23,$B$22,0))*(1+$B$4)^58)&gt;0,1+$B$3,1))</f>
        <v/>
      </c>
      <c r="BJ54">
        <f>IF($B$1+59&gt;90,BI54,(BI54+IF($B$1+59&lt;=$B54,12*$B$7,-12*MAX(0,$B$6-IF($B$1+59&gt;=$B$23,$B$22,0))*(1+$B$4)^59))*IF(BI54+IF($B$1+59&lt;=$B54,12*$B$7,-12*MAX(0,$B$6-IF($B$1+59&gt;=$B$23,$B$22,0))*(1+$B$4)^59)&gt;0,1+$B$3,1))</f>
        <v/>
      </c>
      <c r="BK54">
        <f>IF($B$1+60&gt;90,BJ54,(BJ54+IF($B$1+60&lt;=$B54,12*$B$7,-12*MAX(0,$B$6-IF($B$1+60&gt;=$B$23,$B$22,0))*(1+$B$4)^60))*IF(BJ54+IF($B$1+60&lt;=$B54,12*$B$7,-12*MAX(0,$B$6-IF($B$1+60&gt;=$B$23,$B$22,0))*(1+$B$4)^60)&gt;0,1+$B$3,1))</f>
        <v/>
      </c>
      <c r="BL54">
        <f>IF($B$1+61&gt;90,BK54,(BK54+IF($B$1+61&lt;=$B54,12*$B$7,-12*MAX(0,$B$6-IF($B$1+61&gt;=$B$23,$B$22,0))*(1+$B$4)^61))*IF(BK54+IF($B$1+61&lt;=$B54,12*$B$7,-12*MAX(0,$B$6-IF($B$1+61&gt;=$B$23,$B$22,0))*(1+$B$4)^61)&gt;0,1+$B$3,1))</f>
        <v/>
      </c>
      <c r="BM54">
        <f>IF($B$1+62&gt;90,BL54,(BL54+IF($B$1+62&lt;=$B54,12*$B$7,-12*MAX(0,$B$6-IF($B$1+62&gt;=$B$23,$B$22,0))*(1+$B$4)^62))*IF(BL54+IF($B$1+62&lt;=$B54,12*$B$7,-12*MAX(0,$B$6-IF($B$1+62&gt;=$B$23,$B$22,0))*(1+$B$4)^62)&gt;0,1+$B$3,1))</f>
        <v/>
      </c>
      <c r="BN54">
        <f>IF($B$1+63&gt;90,BM54,(BM54+IF($B$1+63&lt;=$B54,12*$B$7,-12*MAX(0,$B$6-IF($B$1+63&gt;=$B$23,$B$22,0))*(1+$B$4)^63))*IF(BM54+IF($B$1+63&lt;=$B54,12*$B$7,-12*MAX(0,$B$6-IF($B$1+63&gt;=$B$23,$B$22,0))*(1+$B$4)^63)&gt;0,1+$B$3,1))</f>
        <v/>
      </c>
      <c r="BO54">
        <f>IF($B$1+64&gt;90,BN54,(BN54+IF($B$1+64&lt;=$B54,12*$B$7,-12*MAX(0,$B$6-IF($B$1+64&gt;=$B$23,$B$22,0))*(1+$B$4)^64))*IF(BN54+IF($B$1+64&lt;=$B54,12*$B$7,-12*MAX(0,$B$6-IF($B$1+64&gt;=$B$23,$B$22,0))*(1+$B$4)^64)&gt;0,1+$B$3,1))</f>
        <v/>
      </c>
      <c r="BP54">
        <f>IF($B$1+65&gt;90,BO54,(BO54+IF($B$1+65&lt;=$B54,12*$B$7,-12*MAX(0,$B$6-IF($B$1+65&gt;=$B$23,$B$22,0))*(1+$B$4)^65))*IF(BO54+IF($B$1+65&lt;=$B54,12*$B$7,-12*MAX(0,$B$6-IF($B$1+65&gt;=$B$23,$B$22,0))*(1+$B$4)^65)&gt;0,1+$B$3,1))</f>
        <v/>
      </c>
      <c r="BQ54">
        <f>IF($B$1+66&gt;90,BP54,(BP54+IF($B$1+66&lt;=$B54,12*$B$7,-12*MAX(0,$B$6-IF($B$1+66&gt;=$B$23,$B$22,0))*(1+$B$4)^66))*IF(BP54+IF($B$1+66&lt;=$B54,12*$B$7,-12*MAX(0,$B$6-IF($B$1+66&gt;=$B$23,$B$22,0))*(1+$B$4)^66)&gt;0,1+$B$3,1))</f>
        <v/>
      </c>
      <c r="BR54">
        <f>IF($B$1+67&gt;90,BQ54,(BQ54+IF($B$1+67&lt;=$B54,12*$B$7,-12*MAX(0,$B$6-IF($B$1+67&gt;=$B$23,$B$22,0))*(1+$B$4)^67))*IF(BQ54+IF($B$1+67&lt;=$B54,12*$B$7,-12*MAX(0,$B$6-IF($B$1+67&gt;=$B$23,$B$22,0))*(1+$B$4)^67)&gt;0,1+$B$3,1))</f>
        <v/>
      </c>
      <c r="BS54">
        <f>IF($B$1+68&gt;90,BR54,(BR54+IF($B$1+68&lt;=$B54,12*$B$7,-12*MAX(0,$B$6-IF($B$1+68&gt;=$B$23,$B$22,0))*(1+$B$4)^68))*IF(BR54+IF($B$1+68&lt;=$B54,12*$B$7,-12*MAX(0,$B$6-IF($B$1+68&gt;=$B$23,$B$22,0))*(1+$B$4)^68)&gt;0,1+$B$3,1))</f>
        <v/>
      </c>
      <c r="BT54">
        <f>IF($B$1+69&gt;90,BS54,(BS54+IF($B$1+69&lt;=$B54,12*$B$7,-12*MAX(0,$B$6-IF($B$1+69&gt;=$B$23,$B$22,0))*(1+$B$4)^69))*IF(BS54+IF($B$1+69&lt;=$B54,12*$B$7,-12*MAX(0,$B$6-IF($B$1+69&gt;=$B$23,$B$22,0))*(1+$B$4)^69)&gt;0,1+$B$3,1))</f>
        <v/>
      </c>
      <c r="BU54">
        <f>IF($B$1+70&gt;90,BT54,(BT54+IF($B$1+70&lt;=$B54,12*$B$7,-12*MAX(0,$B$6-IF($B$1+70&gt;=$B$23,$B$22,0))*(1+$B$4)^70))*IF(BT54+IF($B$1+70&lt;=$B54,12*$B$7,-12*MAX(0,$B$6-IF($B$1+70&gt;=$B$23,$B$22,0))*(1+$B$4)^70)&gt;0,1+$B$3,1))</f>
        <v/>
      </c>
      <c r="BV54">
        <f>BU54</f>
        <v/>
      </c>
      <c r="BW54">
        <f>IF(AND($B54&lt;=70,BV54&gt;0),$B54,999)</f>
        <v/>
      </c>
      <c r="CB54" t="n">
        <v>53</v>
      </c>
      <c r="CC54">
        <f>IF($B$1+CB54&gt;90,0,12*MAX(0,$B$6-IF($B$1+CB54&gt;=$B$23,$B$22,0))*(1+$B$4)^CB54/(1+$B$3)^(CB54-1))</f>
        <v/>
      </c>
      <c r="CE54">
        <f>IF($B$1+52&gt;90,NA(),$B$1+52)</f>
        <v/>
      </c>
      <c r="CF54">
        <f>IF(OR($B$21="",$B$1+52&gt;90),NA(),INDEX($C$40:$BU$90,$B$21-$B$1+1,53))</f>
        <v/>
      </c>
      <c r="CH54">
        <f>IF(ISTEXT('월 가계부'!A54),SUBSTITUTE(SUBSTITUTE(SUBSTITUTE(SUBSTITUTE(SUBSTITUTE(SUBSTITUTE(SUBSTITUTE(SUBSTITUTE(SUBSTITUTE(TRIM('월 가계부'!A54),"년","-"),"월","-"),"일",""),".","-"),"/","-")," ","-"),"--","-"),"--","-"),"--","-")&amp;"-","")</f>
        <v/>
      </c>
      <c r="CI54">
        <f>IFERROR(IF('월 가계부'!A54="","",IF(ISNUMBER('월 가계부'!A54),IF(AND('월 가계부'!A54&gt;=19000101,'월 가계부'!A54&lt;=21001231),IF(AND(MOD(INT('월 가계부'!A54/100),100)&gt;=1,MOD(INT('월 가계부'!A54/100),100)&lt;=12,MOD(INT('월 가계부'!A54),100)&gt;=1,MOD(INT('월 가계부'!A54),100)&lt;=31),IF(MONTH(DATE(INT('월 가계부'!A54/10000),MOD(INT('월 가계부'!A54/100),100),MOD(INT('월 가계부'!A54),100)))=MOD(INT('월 가계부'!A54/100),100),DATE(INT('월 가계부'!A54/10000),MOD(INT('월 가계부'!A54/100),100),MOD(INT('월 가계부'!A54),100)),""),""),IF(AND('월 가계부'!A54&gt;=36526,'월 가계부'!A54&lt;73051),INT('월 가계부'!A54),"")),IF(OR(CM54="",CN54="",CO54=""),"",IF(AND(CM54&gt;=2000,CM54&lt;=2099,CN54&gt;=1,CN54&lt;=12,CO54&gt;=1,CO54&lt;=31),IF(MONTH(DATE(CM54,CN54,CO54))=CN54,DATE(CM54,CN54,CO54),""),"")))),"")</f>
        <v/>
      </c>
      <c r="CJ54">
        <f>IFERROR(IF('월 가계부'!C54="","",IF(ISNUMBER('월 가계부'!C54),'월 가계부'!C54,VALUE(SUBSTITUTE(SUBSTITUTE(SUBSTITUTE(SUBSTITUTE(TRIM('월 가계부'!C54),",",""),"원","")," ",""),"−","-")))),"")</f>
        <v/>
      </c>
      <c r="CK54">
        <f>IF(ISNUMBER(CI54),IF(CI54&lt;$B$13,CI54,""),"")</f>
        <v/>
      </c>
      <c r="CM54">
        <f>IF(CH54="","",IFERROR(IF(IF(AND(LEN(CH54)=9,ISERROR(FIND("-",LEFT(CH54,8))),ISNUMBER(-LEFT(CH54,8))),VALUE(LEFT(CH54,4)),VALUE(LEFT(CH54,FIND("-",CH54)-1)))&lt;100,IF(AND(LEN(CH54)=9,ISERROR(FIND("-",LEFT(CH54,8))),ISNUMBER(-LEFT(CH54,8))),VALUE(LEFT(CH54,4)),VALUE(LEFT(CH54,FIND("-",CH54)-1)))+2000,IF(AND(LEN(CH54)=9,ISERROR(FIND("-",LEFT(CH54,8))),ISNUMBER(-LEFT(CH54,8))),VALUE(LEFT(CH54,4)),VALUE(LEFT(CH54,FIND("-",CH54)-1)))),""))</f>
        <v/>
      </c>
      <c r="CN54">
        <f>IF(CH54="","",IFERROR(IF(AND(LEN(CH54)=9,ISERROR(FIND("-",LEFT(CH54,8))),ISNUMBER(-LEFT(CH54,8))),VALUE(MID(CH54,5,2)),VALUE(MID(CH54,FIND("-",CH54)+1,FIND("-",CH54,FIND("-",CH54)+1)-FIND("-",CH54)-1))),""))</f>
        <v/>
      </c>
      <c r="CO54">
        <f>IF(CH54="","",IFERROR(IF(AND(LEN(CH54)=9,ISERROR(FIND("-",LEFT(CH54,8))),ISNUMBER(-LEFT(CH54,8))),VALUE(MID(CH54,7,2)),VALUE(MID(CH54,FIND("-",CH54,FIND("-",CH54)+1)+1,FIND("-",CH54,FIND("-",CH54,FIND("-",CH54)+1)+1)-FIND("-",CH54,FIND("-",CH54)+1)-1))),""))</f>
        <v/>
      </c>
    </row>
    <row r="55">
      <c r="A55" t="n">
        <v>15</v>
      </c>
      <c r="B55">
        <f>$B$1+15</f>
        <v/>
      </c>
      <c r="C55">
        <f>$B$2</f>
        <v/>
      </c>
      <c r="D55">
        <f>IF($B$1+1&gt;90,C55,(C55+IF($B$1+1&lt;=$B55,12*$B$7,-12*MAX(0,$B$6-IF($B$1+1&gt;=$B$23,$B$22,0))*(1+$B$4)^1))*IF(C55+IF($B$1+1&lt;=$B55,12*$B$7,-12*MAX(0,$B$6-IF($B$1+1&gt;=$B$23,$B$22,0))*(1+$B$4)^1)&gt;0,1+$B$3,1))</f>
        <v/>
      </c>
      <c r="E55">
        <f>IF($B$1+2&gt;90,D55,(D55+IF($B$1+2&lt;=$B55,12*$B$7,-12*MAX(0,$B$6-IF($B$1+2&gt;=$B$23,$B$22,0))*(1+$B$4)^2))*IF(D55+IF($B$1+2&lt;=$B55,12*$B$7,-12*MAX(0,$B$6-IF($B$1+2&gt;=$B$23,$B$22,0))*(1+$B$4)^2)&gt;0,1+$B$3,1))</f>
        <v/>
      </c>
      <c r="F55">
        <f>IF($B$1+3&gt;90,E55,(E55+IF($B$1+3&lt;=$B55,12*$B$7,-12*MAX(0,$B$6-IF($B$1+3&gt;=$B$23,$B$22,0))*(1+$B$4)^3))*IF(E55+IF($B$1+3&lt;=$B55,12*$B$7,-12*MAX(0,$B$6-IF($B$1+3&gt;=$B$23,$B$22,0))*(1+$B$4)^3)&gt;0,1+$B$3,1))</f>
        <v/>
      </c>
      <c r="G55">
        <f>IF($B$1+4&gt;90,F55,(F55+IF($B$1+4&lt;=$B55,12*$B$7,-12*MAX(0,$B$6-IF($B$1+4&gt;=$B$23,$B$22,0))*(1+$B$4)^4))*IF(F55+IF($B$1+4&lt;=$B55,12*$B$7,-12*MAX(0,$B$6-IF($B$1+4&gt;=$B$23,$B$22,0))*(1+$B$4)^4)&gt;0,1+$B$3,1))</f>
        <v/>
      </c>
      <c r="H55">
        <f>IF($B$1+5&gt;90,G55,(G55+IF($B$1+5&lt;=$B55,12*$B$7,-12*MAX(0,$B$6-IF($B$1+5&gt;=$B$23,$B$22,0))*(1+$B$4)^5))*IF(G55+IF($B$1+5&lt;=$B55,12*$B$7,-12*MAX(0,$B$6-IF($B$1+5&gt;=$B$23,$B$22,0))*(1+$B$4)^5)&gt;0,1+$B$3,1))</f>
        <v/>
      </c>
      <c r="I55">
        <f>IF($B$1+6&gt;90,H55,(H55+IF($B$1+6&lt;=$B55,12*$B$7,-12*MAX(0,$B$6-IF($B$1+6&gt;=$B$23,$B$22,0))*(1+$B$4)^6))*IF(H55+IF($B$1+6&lt;=$B55,12*$B$7,-12*MAX(0,$B$6-IF($B$1+6&gt;=$B$23,$B$22,0))*(1+$B$4)^6)&gt;0,1+$B$3,1))</f>
        <v/>
      </c>
      <c r="J55">
        <f>IF($B$1+7&gt;90,I55,(I55+IF($B$1+7&lt;=$B55,12*$B$7,-12*MAX(0,$B$6-IF($B$1+7&gt;=$B$23,$B$22,0))*(1+$B$4)^7))*IF(I55+IF($B$1+7&lt;=$B55,12*$B$7,-12*MAX(0,$B$6-IF($B$1+7&gt;=$B$23,$B$22,0))*(1+$B$4)^7)&gt;0,1+$B$3,1))</f>
        <v/>
      </c>
      <c r="K55">
        <f>IF($B$1+8&gt;90,J55,(J55+IF($B$1+8&lt;=$B55,12*$B$7,-12*MAX(0,$B$6-IF($B$1+8&gt;=$B$23,$B$22,0))*(1+$B$4)^8))*IF(J55+IF($B$1+8&lt;=$B55,12*$B$7,-12*MAX(0,$B$6-IF($B$1+8&gt;=$B$23,$B$22,0))*(1+$B$4)^8)&gt;0,1+$B$3,1))</f>
        <v/>
      </c>
      <c r="L55">
        <f>IF($B$1+9&gt;90,K55,(K55+IF($B$1+9&lt;=$B55,12*$B$7,-12*MAX(0,$B$6-IF($B$1+9&gt;=$B$23,$B$22,0))*(1+$B$4)^9))*IF(K55+IF($B$1+9&lt;=$B55,12*$B$7,-12*MAX(0,$B$6-IF($B$1+9&gt;=$B$23,$B$22,0))*(1+$B$4)^9)&gt;0,1+$B$3,1))</f>
        <v/>
      </c>
      <c r="M55">
        <f>IF($B$1+10&gt;90,L55,(L55+IF($B$1+10&lt;=$B55,12*$B$7,-12*MAX(0,$B$6-IF($B$1+10&gt;=$B$23,$B$22,0))*(1+$B$4)^10))*IF(L55+IF($B$1+10&lt;=$B55,12*$B$7,-12*MAX(0,$B$6-IF($B$1+10&gt;=$B$23,$B$22,0))*(1+$B$4)^10)&gt;0,1+$B$3,1))</f>
        <v/>
      </c>
      <c r="N55">
        <f>IF($B$1+11&gt;90,M55,(M55+IF($B$1+11&lt;=$B55,12*$B$7,-12*MAX(0,$B$6-IF($B$1+11&gt;=$B$23,$B$22,0))*(1+$B$4)^11))*IF(M55+IF($B$1+11&lt;=$B55,12*$B$7,-12*MAX(0,$B$6-IF($B$1+11&gt;=$B$23,$B$22,0))*(1+$B$4)^11)&gt;0,1+$B$3,1))</f>
        <v/>
      </c>
      <c r="O55">
        <f>IF($B$1+12&gt;90,N55,(N55+IF($B$1+12&lt;=$B55,12*$B$7,-12*MAX(0,$B$6-IF($B$1+12&gt;=$B$23,$B$22,0))*(1+$B$4)^12))*IF(N55+IF($B$1+12&lt;=$B55,12*$B$7,-12*MAX(0,$B$6-IF($B$1+12&gt;=$B$23,$B$22,0))*(1+$B$4)^12)&gt;0,1+$B$3,1))</f>
        <v/>
      </c>
      <c r="P55">
        <f>IF($B$1+13&gt;90,O55,(O55+IF($B$1+13&lt;=$B55,12*$B$7,-12*MAX(0,$B$6-IF($B$1+13&gt;=$B$23,$B$22,0))*(1+$B$4)^13))*IF(O55+IF($B$1+13&lt;=$B55,12*$B$7,-12*MAX(0,$B$6-IF($B$1+13&gt;=$B$23,$B$22,0))*(1+$B$4)^13)&gt;0,1+$B$3,1))</f>
        <v/>
      </c>
      <c r="Q55">
        <f>IF($B$1+14&gt;90,P55,(P55+IF($B$1+14&lt;=$B55,12*$B$7,-12*MAX(0,$B$6-IF($B$1+14&gt;=$B$23,$B$22,0))*(1+$B$4)^14))*IF(P55+IF($B$1+14&lt;=$B55,12*$B$7,-12*MAX(0,$B$6-IF($B$1+14&gt;=$B$23,$B$22,0))*(1+$B$4)^14)&gt;0,1+$B$3,1))</f>
        <v/>
      </c>
      <c r="R55">
        <f>IF($B$1+15&gt;90,Q55,(Q55+IF($B$1+15&lt;=$B55,12*$B$7,-12*MAX(0,$B$6-IF($B$1+15&gt;=$B$23,$B$22,0))*(1+$B$4)^15))*IF(Q55+IF($B$1+15&lt;=$B55,12*$B$7,-12*MAX(0,$B$6-IF($B$1+15&gt;=$B$23,$B$22,0))*(1+$B$4)^15)&gt;0,1+$B$3,1))</f>
        <v/>
      </c>
      <c r="S55">
        <f>IF($B$1+16&gt;90,R55,(R55+IF($B$1+16&lt;=$B55,12*$B$7,-12*MAX(0,$B$6-IF($B$1+16&gt;=$B$23,$B$22,0))*(1+$B$4)^16))*IF(R55+IF($B$1+16&lt;=$B55,12*$B$7,-12*MAX(0,$B$6-IF($B$1+16&gt;=$B$23,$B$22,0))*(1+$B$4)^16)&gt;0,1+$B$3,1))</f>
        <v/>
      </c>
      <c r="T55">
        <f>IF($B$1+17&gt;90,S55,(S55+IF($B$1+17&lt;=$B55,12*$B$7,-12*MAX(0,$B$6-IF($B$1+17&gt;=$B$23,$B$22,0))*(1+$B$4)^17))*IF(S55+IF($B$1+17&lt;=$B55,12*$B$7,-12*MAX(0,$B$6-IF($B$1+17&gt;=$B$23,$B$22,0))*(1+$B$4)^17)&gt;0,1+$B$3,1))</f>
        <v/>
      </c>
      <c r="U55">
        <f>IF($B$1+18&gt;90,T55,(T55+IF($B$1+18&lt;=$B55,12*$B$7,-12*MAX(0,$B$6-IF($B$1+18&gt;=$B$23,$B$22,0))*(1+$B$4)^18))*IF(T55+IF($B$1+18&lt;=$B55,12*$B$7,-12*MAX(0,$B$6-IF($B$1+18&gt;=$B$23,$B$22,0))*(1+$B$4)^18)&gt;0,1+$B$3,1))</f>
        <v/>
      </c>
      <c r="V55">
        <f>IF($B$1+19&gt;90,U55,(U55+IF($B$1+19&lt;=$B55,12*$B$7,-12*MAX(0,$B$6-IF($B$1+19&gt;=$B$23,$B$22,0))*(1+$B$4)^19))*IF(U55+IF($B$1+19&lt;=$B55,12*$B$7,-12*MAX(0,$B$6-IF($B$1+19&gt;=$B$23,$B$22,0))*(1+$B$4)^19)&gt;0,1+$B$3,1))</f>
        <v/>
      </c>
      <c r="W55">
        <f>IF($B$1+20&gt;90,V55,(V55+IF($B$1+20&lt;=$B55,12*$B$7,-12*MAX(0,$B$6-IF($B$1+20&gt;=$B$23,$B$22,0))*(1+$B$4)^20))*IF(V55+IF($B$1+20&lt;=$B55,12*$B$7,-12*MAX(0,$B$6-IF($B$1+20&gt;=$B$23,$B$22,0))*(1+$B$4)^20)&gt;0,1+$B$3,1))</f>
        <v/>
      </c>
      <c r="X55">
        <f>IF($B$1+21&gt;90,W55,(W55+IF($B$1+21&lt;=$B55,12*$B$7,-12*MAX(0,$B$6-IF($B$1+21&gt;=$B$23,$B$22,0))*(1+$B$4)^21))*IF(W55+IF($B$1+21&lt;=$B55,12*$B$7,-12*MAX(0,$B$6-IF($B$1+21&gt;=$B$23,$B$22,0))*(1+$B$4)^21)&gt;0,1+$B$3,1))</f>
        <v/>
      </c>
      <c r="Y55">
        <f>IF($B$1+22&gt;90,X55,(X55+IF($B$1+22&lt;=$B55,12*$B$7,-12*MAX(0,$B$6-IF($B$1+22&gt;=$B$23,$B$22,0))*(1+$B$4)^22))*IF(X55+IF($B$1+22&lt;=$B55,12*$B$7,-12*MAX(0,$B$6-IF($B$1+22&gt;=$B$23,$B$22,0))*(1+$B$4)^22)&gt;0,1+$B$3,1))</f>
        <v/>
      </c>
      <c r="Z55">
        <f>IF($B$1+23&gt;90,Y55,(Y55+IF($B$1+23&lt;=$B55,12*$B$7,-12*MAX(0,$B$6-IF($B$1+23&gt;=$B$23,$B$22,0))*(1+$B$4)^23))*IF(Y55+IF($B$1+23&lt;=$B55,12*$B$7,-12*MAX(0,$B$6-IF($B$1+23&gt;=$B$23,$B$22,0))*(1+$B$4)^23)&gt;0,1+$B$3,1))</f>
        <v/>
      </c>
      <c r="AA55">
        <f>IF($B$1+24&gt;90,Z55,(Z55+IF($B$1+24&lt;=$B55,12*$B$7,-12*MAX(0,$B$6-IF($B$1+24&gt;=$B$23,$B$22,0))*(1+$B$4)^24))*IF(Z55+IF($B$1+24&lt;=$B55,12*$B$7,-12*MAX(0,$B$6-IF($B$1+24&gt;=$B$23,$B$22,0))*(1+$B$4)^24)&gt;0,1+$B$3,1))</f>
        <v/>
      </c>
      <c r="AB55">
        <f>IF($B$1+25&gt;90,AA55,(AA55+IF($B$1+25&lt;=$B55,12*$B$7,-12*MAX(0,$B$6-IF($B$1+25&gt;=$B$23,$B$22,0))*(1+$B$4)^25))*IF(AA55+IF($B$1+25&lt;=$B55,12*$B$7,-12*MAX(0,$B$6-IF($B$1+25&gt;=$B$23,$B$22,0))*(1+$B$4)^25)&gt;0,1+$B$3,1))</f>
        <v/>
      </c>
      <c r="AC55">
        <f>IF($B$1+26&gt;90,AB55,(AB55+IF($B$1+26&lt;=$B55,12*$B$7,-12*MAX(0,$B$6-IF($B$1+26&gt;=$B$23,$B$22,0))*(1+$B$4)^26))*IF(AB55+IF($B$1+26&lt;=$B55,12*$B$7,-12*MAX(0,$B$6-IF($B$1+26&gt;=$B$23,$B$22,0))*(1+$B$4)^26)&gt;0,1+$B$3,1))</f>
        <v/>
      </c>
      <c r="AD55">
        <f>IF($B$1+27&gt;90,AC55,(AC55+IF($B$1+27&lt;=$B55,12*$B$7,-12*MAX(0,$B$6-IF($B$1+27&gt;=$B$23,$B$22,0))*(1+$B$4)^27))*IF(AC55+IF($B$1+27&lt;=$B55,12*$B$7,-12*MAX(0,$B$6-IF($B$1+27&gt;=$B$23,$B$22,0))*(1+$B$4)^27)&gt;0,1+$B$3,1))</f>
        <v/>
      </c>
      <c r="AE55">
        <f>IF($B$1+28&gt;90,AD55,(AD55+IF($B$1+28&lt;=$B55,12*$B$7,-12*MAX(0,$B$6-IF($B$1+28&gt;=$B$23,$B$22,0))*(1+$B$4)^28))*IF(AD55+IF($B$1+28&lt;=$B55,12*$B$7,-12*MAX(0,$B$6-IF($B$1+28&gt;=$B$23,$B$22,0))*(1+$B$4)^28)&gt;0,1+$B$3,1))</f>
        <v/>
      </c>
      <c r="AF55">
        <f>IF($B$1+29&gt;90,AE55,(AE55+IF($B$1+29&lt;=$B55,12*$B$7,-12*MAX(0,$B$6-IF($B$1+29&gt;=$B$23,$B$22,0))*(1+$B$4)^29))*IF(AE55+IF($B$1+29&lt;=$B55,12*$B$7,-12*MAX(0,$B$6-IF($B$1+29&gt;=$B$23,$B$22,0))*(1+$B$4)^29)&gt;0,1+$B$3,1))</f>
        <v/>
      </c>
      <c r="AG55">
        <f>IF($B$1+30&gt;90,AF55,(AF55+IF($B$1+30&lt;=$B55,12*$B$7,-12*MAX(0,$B$6-IF($B$1+30&gt;=$B$23,$B$22,0))*(1+$B$4)^30))*IF(AF55+IF($B$1+30&lt;=$B55,12*$B$7,-12*MAX(0,$B$6-IF($B$1+30&gt;=$B$23,$B$22,0))*(1+$B$4)^30)&gt;0,1+$B$3,1))</f>
        <v/>
      </c>
      <c r="AH55">
        <f>IF($B$1+31&gt;90,AG55,(AG55+IF($B$1+31&lt;=$B55,12*$B$7,-12*MAX(0,$B$6-IF($B$1+31&gt;=$B$23,$B$22,0))*(1+$B$4)^31))*IF(AG55+IF($B$1+31&lt;=$B55,12*$B$7,-12*MAX(0,$B$6-IF($B$1+31&gt;=$B$23,$B$22,0))*(1+$B$4)^31)&gt;0,1+$B$3,1))</f>
        <v/>
      </c>
      <c r="AI55">
        <f>IF($B$1+32&gt;90,AH55,(AH55+IF($B$1+32&lt;=$B55,12*$B$7,-12*MAX(0,$B$6-IF($B$1+32&gt;=$B$23,$B$22,0))*(1+$B$4)^32))*IF(AH55+IF($B$1+32&lt;=$B55,12*$B$7,-12*MAX(0,$B$6-IF($B$1+32&gt;=$B$23,$B$22,0))*(1+$B$4)^32)&gt;0,1+$B$3,1))</f>
        <v/>
      </c>
      <c r="AJ55">
        <f>IF($B$1+33&gt;90,AI55,(AI55+IF($B$1+33&lt;=$B55,12*$B$7,-12*MAX(0,$B$6-IF($B$1+33&gt;=$B$23,$B$22,0))*(1+$B$4)^33))*IF(AI55+IF($B$1+33&lt;=$B55,12*$B$7,-12*MAX(0,$B$6-IF($B$1+33&gt;=$B$23,$B$22,0))*(1+$B$4)^33)&gt;0,1+$B$3,1))</f>
        <v/>
      </c>
      <c r="AK55">
        <f>IF($B$1+34&gt;90,AJ55,(AJ55+IF($B$1+34&lt;=$B55,12*$B$7,-12*MAX(0,$B$6-IF($B$1+34&gt;=$B$23,$B$22,0))*(1+$B$4)^34))*IF(AJ55+IF($B$1+34&lt;=$B55,12*$B$7,-12*MAX(0,$B$6-IF($B$1+34&gt;=$B$23,$B$22,0))*(1+$B$4)^34)&gt;0,1+$B$3,1))</f>
        <v/>
      </c>
      <c r="AL55">
        <f>IF($B$1+35&gt;90,AK55,(AK55+IF($B$1+35&lt;=$B55,12*$B$7,-12*MAX(0,$B$6-IF($B$1+35&gt;=$B$23,$B$22,0))*(1+$B$4)^35))*IF(AK55+IF($B$1+35&lt;=$B55,12*$B$7,-12*MAX(0,$B$6-IF($B$1+35&gt;=$B$23,$B$22,0))*(1+$B$4)^35)&gt;0,1+$B$3,1))</f>
        <v/>
      </c>
      <c r="AM55">
        <f>IF($B$1+36&gt;90,AL55,(AL55+IF($B$1+36&lt;=$B55,12*$B$7,-12*MAX(0,$B$6-IF($B$1+36&gt;=$B$23,$B$22,0))*(1+$B$4)^36))*IF(AL55+IF($B$1+36&lt;=$B55,12*$B$7,-12*MAX(0,$B$6-IF($B$1+36&gt;=$B$23,$B$22,0))*(1+$B$4)^36)&gt;0,1+$B$3,1))</f>
        <v/>
      </c>
      <c r="AN55">
        <f>IF($B$1+37&gt;90,AM55,(AM55+IF($B$1+37&lt;=$B55,12*$B$7,-12*MAX(0,$B$6-IF($B$1+37&gt;=$B$23,$B$22,0))*(1+$B$4)^37))*IF(AM55+IF($B$1+37&lt;=$B55,12*$B$7,-12*MAX(0,$B$6-IF($B$1+37&gt;=$B$23,$B$22,0))*(1+$B$4)^37)&gt;0,1+$B$3,1))</f>
        <v/>
      </c>
      <c r="AO55">
        <f>IF($B$1+38&gt;90,AN55,(AN55+IF($B$1+38&lt;=$B55,12*$B$7,-12*MAX(0,$B$6-IF($B$1+38&gt;=$B$23,$B$22,0))*(1+$B$4)^38))*IF(AN55+IF($B$1+38&lt;=$B55,12*$B$7,-12*MAX(0,$B$6-IF($B$1+38&gt;=$B$23,$B$22,0))*(1+$B$4)^38)&gt;0,1+$B$3,1))</f>
        <v/>
      </c>
      <c r="AP55">
        <f>IF($B$1+39&gt;90,AO55,(AO55+IF($B$1+39&lt;=$B55,12*$B$7,-12*MAX(0,$B$6-IF($B$1+39&gt;=$B$23,$B$22,0))*(1+$B$4)^39))*IF(AO55+IF($B$1+39&lt;=$B55,12*$B$7,-12*MAX(0,$B$6-IF($B$1+39&gt;=$B$23,$B$22,0))*(1+$B$4)^39)&gt;0,1+$B$3,1))</f>
        <v/>
      </c>
      <c r="AQ55">
        <f>IF($B$1+40&gt;90,AP55,(AP55+IF($B$1+40&lt;=$B55,12*$B$7,-12*MAX(0,$B$6-IF($B$1+40&gt;=$B$23,$B$22,0))*(1+$B$4)^40))*IF(AP55+IF($B$1+40&lt;=$B55,12*$B$7,-12*MAX(0,$B$6-IF($B$1+40&gt;=$B$23,$B$22,0))*(1+$B$4)^40)&gt;0,1+$B$3,1))</f>
        <v/>
      </c>
      <c r="AR55">
        <f>IF($B$1+41&gt;90,AQ55,(AQ55+IF($B$1+41&lt;=$B55,12*$B$7,-12*MAX(0,$B$6-IF($B$1+41&gt;=$B$23,$B$22,0))*(1+$B$4)^41))*IF(AQ55+IF($B$1+41&lt;=$B55,12*$B$7,-12*MAX(0,$B$6-IF($B$1+41&gt;=$B$23,$B$22,0))*(1+$B$4)^41)&gt;0,1+$B$3,1))</f>
        <v/>
      </c>
      <c r="AS55">
        <f>IF($B$1+42&gt;90,AR55,(AR55+IF($B$1+42&lt;=$B55,12*$B$7,-12*MAX(0,$B$6-IF($B$1+42&gt;=$B$23,$B$22,0))*(1+$B$4)^42))*IF(AR55+IF($B$1+42&lt;=$B55,12*$B$7,-12*MAX(0,$B$6-IF($B$1+42&gt;=$B$23,$B$22,0))*(1+$B$4)^42)&gt;0,1+$B$3,1))</f>
        <v/>
      </c>
      <c r="AT55">
        <f>IF($B$1+43&gt;90,AS55,(AS55+IF($B$1+43&lt;=$B55,12*$B$7,-12*MAX(0,$B$6-IF($B$1+43&gt;=$B$23,$B$22,0))*(1+$B$4)^43))*IF(AS55+IF($B$1+43&lt;=$B55,12*$B$7,-12*MAX(0,$B$6-IF($B$1+43&gt;=$B$23,$B$22,0))*(1+$B$4)^43)&gt;0,1+$B$3,1))</f>
        <v/>
      </c>
      <c r="AU55">
        <f>IF($B$1+44&gt;90,AT55,(AT55+IF($B$1+44&lt;=$B55,12*$B$7,-12*MAX(0,$B$6-IF($B$1+44&gt;=$B$23,$B$22,0))*(1+$B$4)^44))*IF(AT55+IF($B$1+44&lt;=$B55,12*$B$7,-12*MAX(0,$B$6-IF($B$1+44&gt;=$B$23,$B$22,0))*(1+$B$4)^44)&gt;0,1+$B$3,1))</f>
        <v/>
      </c>
      <c r="AV55">
        <f>IF($B$1+45&gt;90,AU55,(AU55+IF($B$1+45&lt;=$B55,12*$B$7,-12*MAX(0,$B$6-IF($B$1+45&gt;=$B$23,$B$22,0))*(1+$B$4)^45))*IF(AU55+IF($B$1+45&lt;=$B55,12*$B$7,-12*MAX(0,$B$6-IF($B$1+45&gt;=$B$23,$B$22,0))*(1+$B$4)^45)&gt;0,1+$B$3,1))</f>
        <v/>
      </c>
      <c r="AW55">
        <f>IF($B$1+46&gt;90,AV55,(AV55+IF($B$1+46&lt;=$B55,12*$B$7,-12*MAX(0,$B$6-IF($B$1+46&gt;=$B$23,$B$22,0))*(1+$B$4)^46))*IF(AV55+IF($B$1+46&lt;=$B55,12*$B$7,-12*MAX(0,$B$6-IF($B$1+46&gt;=$B$23,$B$22,0))*(1+$B$4)^46)&gt;0,1+$B$3,1))</f>
        <v/>
      </c>
      <c r="AX55">
        <f>IF($B$1+47&gt;90,AW55,(AW55+IF($B$1+47&lt;=$B55,12*$B$7,-12*MAX(0,$B$6-IF($B$1+47&gt;=$B$23,$B$22,0))*(1+$B$4)^47))*IF(AW55+IF($B$1+47&lt;=$B55,12*$B$7,-12*MAX(0,$B$6-IF($B$1+47&gt;=$B$23,$B$22,0))*(1+$B$4)^47)&gt;0,1+$B$3,1))</f>
        <v/>
      </c>
      <c r="AY55">
        <f>IF($B$1+48&gt;90,AX55,(AX55+IF($B$1+48&lt;=$B55,12*$B$7,-12*MAX(0,$B$6-IF($B$1+48&gt;=$B$23,$B$22,0))*(1+$B$4)^48))*IF(AX55+IF($B$1+48&lt;=$B55,12*$B$7,-12*MAX(0,$B$6-IF($B$1+48&gt;=$B$23,$B$22,0))*(1+$B$4)^48)&gt;0,1+$B$3,1))</f>
        <v/>
      </c>
      <c r="AZ55">
        <f>IF($B$1+49&gt;90,AY55,(AY55+IF($B$1+49&lt;=$B55,12*$B$7,-12*MAX(0,$B$6-IF($B$1+49&gt;=$B$23,$B$22,0))*(1+$B$4)^49))*IF(AY55+IF($B$1+49&lt;=$B55,12*$B$7,-12*MAX(0,$B$6-IF($B$1+49&gt;=$B$23,$B$22,0))*(1+$B$4)^49)&gt;0,1+$B$3,1))</f>
        <v/>
      </c>
      <c r="BA55">
        <f>IF($B$1+50&gt;90,AZ55,(AZ55+IF($B$1+50&lt;=$B55,12*$B$7,-12*MAX(0,$B$6-IF($B$1+50&gt;=$B$23,$B$22,0))*(1+$B$4)^50))*IF(AZ55+IF($B$1+50&lt;=$B55,12*$B$7,-12*MAX(0,$B$6-IF($B$1+50&gt;=$B$23,$B$22,0))*(1+$B$4)^50)&gt;0,1+$B$3,1))</f>
        <v/>
      </c>
      <c r="BB55">
        <f>IF($B$1+51&gt;90,BA55,(BA55+IF($B$1+51&lt;=$B55,12*$B$7,-12*MAX(0,$B$6-IF($B$1+51&gt;=$B$23,$B$22,0))*(1+$B$4)^51))*IF(BA55+IF($B$1+51&lt;=$B55,12*$B$7,-12*MAX(0,$B$6-IF($B$1+51&gt;=$B$23,$B$22,0))*(1+$B$4)^51)&gt;0,1+$B$3,1))</f>
        <v/>
      </c>
      <c r="BC55">
        <f>IF($B$1+52&gt;90,BB55,(BB55+IF($B$1+52&lt;=$B55,12*$B$7,-12*MAX(0,$B$6-IF($B$1+52&gt;=$B$23,$B$22,0))*(1+$B$4)^52))*IF(BB55+IF($B$1+52&lt;=$B55,12*$B$7,-12*MAX(0,$B$6-IF($B$1+52&gt;=$B$23,$B$22,0))*(1+$B$4)^52)&gt;0,1+$B$3,1))</f>
        <v/>
      </c>
      <c r="BD55">
        <f>IF($B$1+53&gt;90,BC55,(BC55+IF($B$1+53&lt;=$B55,12*$B$7,-12*MAX(0,$B$6-IF($B$1+53&gt;=$B$23,$B$22,0))*(1+$B$4)^53))*IF(BC55+IF($B$1+53&lt;=$B55,12*$B$7,-12*MAX(0,$B$6-IF($B$1+53&gt;=$B$23,$B$22,0))*(1+$B$4)^53)&gt;0,1+$B$3,1))</f>
        <v/>
      </c>
      <c r="BE55">
        <f>IF($B$1+54&gt;90,BD55,(BD55+IF($B$1+54&lt;=$B55,12*$B$7,-12*MAX(0,$B$6-IF($B$1+54&gt;=$B$23,$B$22,0))*(1+$B$4)^54))*IF(BD55+IF($B$1+54&lt;=$B55,12*$B$7,-12*MAX(0,$B$6-IF($B$1+54&gt;=$B$23,$B$22,0))*(1+$B$4)^54)&gt;0,1+$B$3,1))</f>
        <v/>
      </c>
      <c r="BF55">
        <f>IF($B$1+55&gt;90,BE55,(BE55+IF($B$1+55&lt;=$B55,12*$B$7,-12*MAX(0,$B$6-IF($B$1+55&gt;=$B$23,$B$22,0))*(1+$B$4)^55))*IF(BE55+IF($B$1+55&lt;=$B55,12*$B$7,-12*MAX(0,$B$6-IF($B$1+55&gt;=$B$23,$B$22,0))*(1+$B$4)^55)&gt;0,1+$B$3,1))</f>
        <v/>
      </c>
      <c r="BG55">
        <f>IF($B$1+56&gt;90,BF55,(BF55+IF($B$1+56&lt;=$B55,12*$B$7,-12*MAX(0,$B$6-IF($B$1+56&gt;=$B$23,$B$22,0))*(1+$B$4)^56))*IF(BF55+IF($B$1+56&lt;=$B55,12*$B$7,-12*MAX(0,$B$6-IF($B$1+56&gt;=$B$23,$B$22,0))*(1+$B$4)^56)&gt;0,1+$B$3,1))</f>
        <v/>
      </c>
      <c r="BH55">
        <f>IF($B$1+57&gt;90,BG55,(BG55+IF($B$1+57&lt;=$B55,12*$B$7,-12*MAX(0,$B$6-IF($B$1+57&gt;=$B$23,$B$22,0))*(1+$B$4)^57))*IF(BG55+IF($B$1+57&lt;=$B55,12*$B$7,-12*MAX(0,$B$6-IF($B$1+57&gt;=$B$23,$B$22,0))*(1+$B$4)^57)&gt;0,1+$B$3,1))</f>
        <v/>
      </c>
      <c r="BI55">
        <f>IF($B$1+58&gt;90,BH55,(BH55+IF($B$1+58&lt;=$B55,12*$B$7,-12*MAX(0,$B$6-IF($B$1+58&gt;=$B$23,$B$22,0))*(1+$B$4)^58))*IF(BH55+IF($B$1+58&lt;=$B55,12*$B$7,-12*MAX(0,$B$6-IF($B$1+58&gt;=$B$23,$B$22,0))*(1+$B$4)^58)&gt;0,1+$B$3,1))</f>
        <v/>
      </c>
      <c r="BJ55">
        <f>IF($B$1+59&gt;90,BI55,(BI55+IF($B$1+59&lt;=$B55,12*$B$7,-12*MAX(0,$B$6-IF($B$1+59&gt;=$B$23,$B$22,0))*(1+$B$4)^59))*IF(BI55+IF($B$1+59&lt;=$B55,12*$B$7,-12*MAX(0,$B$6-IF($B$1+59&gt;=$B$23,$B$22,0))*(1+$B$4)^59)&gt;0,1+$B$3,1))</f>
        <v/>
      </c>
      <c r="BK55">
        <f>IF($B$1+60&gt;90,BJ55,(BJ55+IF($B$1+60&lt;=$B55,12*$B$7,-12*MAX(0,$B$6-IF($B$1+60&gt;=$B$23,$B$22,0))*(1+$B$4)^60))*IF(BJ55+IF($B$1+60&lt;=$B55,12*$B$7,-12*MAX(0,$B$6-IF($B$1+60&gt;=$B$23,$B$22,0))*(1+$B$4)^60)&gt;0,1+$B$3,1))</f>
        <v/>
      </c>
      <c r="BL55">
        <f>IF($B$1+61&gt;90,BK55,(BK55+IF($B$1+61&lt;=$B55,12*$B$7,-12*MAX(0,$B$6-IF($B$1+61&gt;=$B$23,$B$22,0))*(1+$B$4)^61))*IF(BK55+IF($B$1+61&lt;=$B55,12*$B$7,-12*MAX(0,$B$6-IF($B$1+61&gt;=$B$23,$B$22,0))*(1+$B$4)^61)&gt;0,1+$B$3,1))</f>
        <v/>
      </c>
      <c r="BM55">
        <f>IF($B$1+62&gt;90,BL55,(BL55+IF($B$1+62&lt;=$B55,12*$B$7,-12*MAX(0,$B$6-IF($B$1+62&gt;=$B$23,$B$22,0))*(1+$B$4)^62))*IF(BL55+IF($B$1+62&lt;=$B55,12*$B$7,-12*MAX(0,$B$6-IF($B$1+62&gt;=$B$23,$B$22,0))*(1+$B$4)^62)&gt;0,1+$B$3,1))</f>
        <v/>
      </c>
      <c r="BN55">
        <f>IF($B$1+63&gt;90,BM55,(BM55+IF($B$1+63&lt;=$B55,12*$B$7,-12*MAX(0,$B$6-IF($B$1+63&gt;=$B$23,$B$22,0))*(1+$B$4)^63))*IF(BM55+IF($B$1+63&lt;=$B55,12*$B$7,-12*MAX(0,$B$6-IF($B$1+63&gt;=$B$23,$B$22,0))*(1+$B$4)^63)&gt;0,1+$B$3,1))</f>
        <v/>
      </c>
      <c r="BO55">
        <f>IF($B$1+64&gt;90,BN55,(BN55+IF($B$1+64&lt;=$B55,12*$B$7,-12*MAX(0,$B$6-IF($B$1+64&gt;=$B$23,$B$22,0))*(1+$B$4)^64))*IF(BN55+IF($B$1+64&lt;=$B55,12*$B$7,-12*MAX(0,$B$6-IF($B$1+64&gt;=$B$23,$B$22,0))*(1+$B$4)^64)&gt;0,1+$B$3,1))</f>
        <v/>
      </c>
      <c r="BP55">
        <f>IF($B$1+65&gt;90,BO55,(BO55+IF($B$1+65&lt;=$B55,12*$B$7,-12*MAX(0,$B$6-IF($B$1+65&gt;=$B$23,$B$22,0))*(1+$B$4)^65))*IF(BO55+IF($B$1+65&lt;=$B55,12*$B$7,-12*MAX(0,$B$6-IF($B$1+65&gt;=$B$23,$B$22,0))*(1+$B$4)^65)&gt;0,1+$B$3,1))</f>
        <v/>
      </c>
      <c r="BQ55">
        <f>IF($B$1+66&gt;90,BP55,(BP55+IF($B$1+66&lt;=$B55,12*$B$7,-12*MAX(0,$B$6-IF($B$1+66&gt;=$B$23,$B$22,0))*(1+$B$4)^66))*IF(BP55+IF($B$1+66&lt;=$B55,12*$B$7,-12*MAX(0,$B$6-IF($B$1+66&gt;=$B$23,$B$22,0))*(1+$B$4)^66)&gt;0,1+$B$3,1))</f>
        <v/>
      </c>
      <c r="BR55">
        <f>IF($B$1+67&gt;90,BQ55,(BQ55+IF($B$1+67&lt;=$B55,12*$B$7,-12*MAX(0,$B$6-IF($B$1+67&gt;=$B$23,$B$22,0))*(1+$B$4)^67))*IF(BQ55+IF($B$1+67&lt;=$B55,12*$B$7,-12*MAX(0,$B$6-IF($B$1+67&gt;=$B$23,$B$22,0))*(1+$B$4)^67)&gt;0,1+$B$3,1))</f>
        <v/>
      </c>
      <c r="BS55">
        <f>IF($B$1+68&gt;90,BR55,(BR55+IF($B$1+68&lt;=$B55,12*$B$7,-12*MAX(0,$B$6-IF($B$1+68&gt;=$B$23,$B$22,0))*(1+$B$4)^68))*IF(BR55+IF($B$1+68&lt;=$B55,12*$B$7,-12*MAX(0,$B$6-IF($B$1+68&gt;=$B$23,$B$22,0))*(1+$B$4)^68)&gt;0,1+$B$3,1))</f>
        <v/>
      </c>
      <c r="BT55">
        <f>IF($B$1+69&gt;90,BS55,(BS55+IF($B$1+69&lt;=$B55,12*$B$7,-12*MAX(0,$B$6-IF($B$1+69&gt;=$B$23,$B$22,0))*(1+$B$4)^69))*IF(BS55+IF($B$1+69&lt;=$B55,12*$B$7,-12*MAX(0,$B$6-IF($B$1+69&gt;=$B$23,$B$22,0))*(1+$B$4)^69)&gt;0,1+$B$3,1))</f>
        <v/>
      </c>
      <c r="BU55">
        <f>IF($B$1+70&gt;90,BT55,(BT55+IF($B$1+70&lt;=$B55,12*$B$7,-12*MAX(0,$B$6-IF($B$1+70&gt;=$B$23,$B$22,0))*(1+$B$4)^70))*IF(BT55+IF($B$1+70&lt;=$B55,12*$B$7,-12*MAX(0,$B$6-IF($B$1+70&gt;=$B$23,$B$22,0))*(1+$B$4)^70)&gt;0,1+$B$3,1))</f>
        <v/>
      </c>
      <c r="BV55">
        <f>BU55</f>
        <v/>
      </c>
      <c r="BW55">
        <f>IF(AND($B55&lt;=70,BV55&gt;0),$B55,999)</f>
        <v/>
      </c>
      <c r="CB55" t="n">
        <v>54</v>
      </c>
      <c r="CC55">
        <f>IF($B$1+CB55&gt;90,0,12*MAX(0,$B$6-IF($B$1+CB55&gt;=$B$23,$B$22,0))*(1+$B$4)^CB55/(1+$B$3)^(CB55-1))</f>
        <v/>
      </c>
      <c r="CE55">
        <f>IF($B$1+53&gt;90,NA(),$B$1+53)</f>
        <v/>
      </c>
      <c r="CF55">
        <f>IF(OR($B$21="",$B$1+53&gt;90),NA(),INDEX($C$40:$BU$90,$B$21-$B$1+1,54))</f>
        <v/>
      </c>
      <c r="CH55">
        <f>IF(ISTEXT('월 가계부'!A55),SUBSTITUTE(SUBSTITUTE(SUBSTITUTE(SUBSTITUTE(SUBSTITUTE(SUBSTITUTE(SUBSTITUTE(SUBSTITUTE(SUBSTITUTE(TRIM('월 가계부'!A55),"년","-"),"월","-"),"일",""),".","-"),"/","-")," ","-"),"--","-"),"--","-"),"--","-")&amp;"-","")</f>
        <v/>
      </c>
      <c r="CI55">
        <f>IFERROR(IF('월 가계부'!A55="","",IF(ISNUMBER('월 가계부'!A55),IF(AND('월 가계부'!A55&gt;=19000101,'월 가계부'!A55&lt;=21001231),IF(AND(MOD(INT('월 가계부'!A55/100),100)&gt;=1,MOD(INT('월 가계부'!A55/100),100)&lt;=12,MOD(INT('월 가계부'!A55),100)&gt;=1,MOD(INT('월 가계부'!A55),100)&lt;=31),IF(MONTH(DATE(INT('월 가계부'!A55/10000),MOD(INT('월 가계부'!A55/100),100),MOD(INT('월 가계부'!A55),100)))=MOD(INT('월 가계부'!A55/100),100),DATE(INT('월 가계부'!A55/10000),MOD(INT('월 가계부'!A55/100),100),MOD(INT('월 가계부'!A55),100)),""),""),IF(AND('월 가계부'!A55&gt;=36526,'월 가계부'!A55&lt;73051),INT('월 가계부'!A55),"")),IF(OR(CM55="",CN55="",CO55=""),"",IF(AND(CM55&gt;=2000,CM55&lt;=2099,CN55&gt;=1,CN55&lt;=12,CO55&gt;=1,CO55&lt;=31),IF(MONTH(DATE(CM55,CN55,CO55))=CN55,DATE(CM55,CN55,CO55),""),"")))),"")</f>
        <v/>
      </c>
      <c r="CJ55">
        <f>IFERROR(IF('월 가계부'!C55="","",IF(ISNUMBER('월 가계부'!C55),'월 가계부'!C55,VALUE(SUBSTITUTE(SUBSTITUTE(SUBSTITUTE(SUBSTITUTE(TRIM('월 가계부'!C55),",",""),"원","")," ",""),"−","-")))),"")</f>
        <v/>
      </c>
      <c r="CK55">
        <f>IF(ISNUMBER(CI55),IF(CI55&lt;$B$13,CI55,""),"")</f>
        <v/>
      </c>
      <c r="CM55">
        <f>IF(CH55="","",IFERROR(IF(IF(AND(LEN(CH55)=9,ISERROR(FIND("-",LEFT(CH55,8))),ISNUMBER(-LEFT(CH55,8))),VALUE(LEFT(CH55,4)),VALUE(LEFT(CH55,FIND("-",CH55)-1)))&lt;100,IF(AND(LEN(CH55)=9,ISERROR(FIND("-",LEFT(CH55,8))),ISNUMBER(-LEFT(CH55,8))),VALUE(LEFT(CH55,4)),VALUE(LEFT(CH55,FIND("-",CH55)-1)))+2000,IF(AND(LEN(CH55)=9,ISERROR(FIND("-",LEFT(CH55,8))),ISNUMBER(-LEFT(CH55,8))),VALUE(LEFT(CH55,4)),VALUE(LEFT(CH55,FIND("-",CH55)-1)))),""))</f>
        <v/>
      </c>
      <c r="CN55">
        <f>IF(CH55="","",IFERROR(IF(AND(LEN(CH55)=9,ISERROR(FIND("-",LEFT(CH55,8))),ISNUMBER(-LEFT(CH55,8))),VALUE(MID(CH55,5,2)),VALUE(MID(CH55,FIND("-",CH55)+1,FIND("-",CH55,FIND("-",CH55)+1)-FIND("-",CH55)-1))),""))</f>
        <v/>
      </c>
      <c r="CO55">
        <f>IF(CH55="","",IFERROR(IF(AND(LEN(CH55)=9,ISERROR(FIND("-",LEFT(CH55,8))),ISNUMBER(-LEFT(CH55,8))),VALUE(MID(CH55,7,2)),VALUE(MID(CH55,FIND("-",CH55,FIND("-",CH55)+1)+1,FIND("-",CH55,FIND("-",CH55,FIND("-",CH55)+1)+1)-FIND("-",CH55,FIND("-",CH55)+1)-1))),""))</f>
        <v/>
      </c>
    </row>
    <row r="56">
      <c r="A56" t="n">
        <v>16</v>
      </c>
      <c r="B56">
        <f>$B$1+16</f>
        <v/>
      </c>
      <c r="C56">
        <f>$B$2</f>
        <v/>
      </c>
      <c r="D56">
        <f>IF($B$1+1&gt;90,C56,(C56+IF($B$1+1&lt;=$B56,12*$B$7,-12*MAX(0,$B$6-IF($B$1+1&gt;=$B$23,$B$22,0))*(1+$B$4)^1))*IF(C56+IF($B$1+1&lt;=$B56,12*$B$7,-12*MAX(0,$B$6-IF($B$1+1&gt;=$B$23,$B$22,0))*(1+$B$4)^1)&gt;0,1+$B$3,1))</f>
        <v/>
      </c>
      <c r="E56">
        <f>IF($B$1+2&gt;90,D56,(D56+IF($B$1+2&lt;=$B56,12*$B$7,-12*MAX(0,$B$6-IF($B$1+2&gt;=$B$23,$B$22,0))*(1+$B$4)^2))*IF(D56+IF($B$1+2&lt;=$B56,12*$B$7,-12*MAX(0,$B$6-IF($B$1+2&gt;=$B$23,$B$22,0))*(1+$B$4)^2)&gt;0,1+$B$3,1))</f>
        <v/>
      </c>
      <c r="F56">
        <f>IF($B$1+3&gt;90,E56,(E56+IF($B$1+3&lt;=$B56,12*$B$7,-12*MAX(0,$B$6-IF($B$1+3&gt;=$B$23,$B$22,0))*(1+$B$4)^3))*IF(E56+IF($B$1+3&lt;=$B56,12*$B$7,-12*MAX(0,$B$6-IF($B$1+3&gt;=$B$23,$B$22,0))*(1+$B$4)^3)&gt;0,1+$B$3,1))</f>
        <v/>
      </c>
      <c r="G56">
        <f>IF($B$1+4&gt;90,F56,(F56+IF($B$1+4&lt;=$B56,12*$B$7,-12*MAX(0,$B$6-IF($B$1+4&gt;=$B$23,$B$22,0))*(1+$B$4)^4))*IF(F56+IF($B$1+4&lt;=$B56,12*$B$7,-12*MAX(0,$B$6-IF($B$1+4&gt;=$B$23,$B$22,0))*(1+$B$4)^4)&gt;0,1+$B$3,1))</f>
        <v/>
      </c>
      <c r="H56">
        <f>IF($B$1+5&gt;90,G56,(G56+IF($B$1+5&lt;=$B56,12*$B$7,-12*MAX(0,$B$6-IF($B$1+5&gt;=$B$23,$B$22,0))*(1+$B$4)^5))*IF(G56+IF($B$1+5&lt;=$B56,12*$B$7,-12*MAX(0,$B$6-IF($B$1+5&gt;=$B$23,$B$22,0))*(1+$B$4)^5)&gt;0,1+$B$3,1))</f>
        <v/>
      </c>
      <c r="I56">
        <f>IF($B$1+6&gt;90,H56,(H56+IF($B$1+6&lt;=$B56,12*$B$7,-12*MAX(0,$B$6-IF($B$1+6&gt;=$B$23,$B$22,0))*(1+$B$4)^6))*IF(H56+IF($B$1+6&lt;=$B56,12*$B$7,-12*MAX(0,$B$6-IF($B$1+6&gt;=$B$23,$B$22,0))*(1+$B$4)^6)&gt;0,1+$B$3,1))</f>
        <v/>
      </c>
      <c r="J56">
        <f>IF($B$1+7&gt;90,I56,(I56+IF($B$1+7&lt;=$B56,12*$B$7,-12*MAX(0,$B$6-IF($B$1+7&gt;=$B$23,$B$22,0))*(1+$B$4)^7))*IF(I56+IF($B$1+7&lt;=$B56,12*$B$7,-12*MAX(0,$B$6-IF($B$1+7&gt;=$B$23,$B$22,0))*(1+$B$4)^7)&gt;0,1+$B$3,1))</f>
        <v/>
      </c>
      <c r="K56">
        <f>IF($B$1+8&gt;90,J56,(J56+IF($B$1+8&lt;=$B56,12*$B$7,-12*MAX(0,$B$6-IF($B$1+8&gt;=$B$23,$B$22,0))*(1+$B$4)^8))*IF(J56+IF($B$1+8&lt;=$B56,12*$B$7,-12*MAX(0,$B$6-IF($B$1+8&gt;=$B$23,$B$22,0))*(1+$B$4)^8)&gt;0,1+$B$3,1))</f>
        <v/>
      </c>
      <c r="L56">
        <f>IF($B$1+9&gt;90,K56,(K56+IF($B$1+9&lt;=$B56,12*$B$7,-12*MAX(0,$B$6-IF($B$1+9&gt;=$B$23,$B$22,0))*(1+$B$4)^9))*IF(K56+IF($B$1+9&lt;=$B56,12*$B$7,-12*MAX(0,$B$6-IF($B$1+9&gt;=$B$23,$B$22,0))*(1+$B$4)^9)&gt;0,1+$B$3,1))</f>
        <v/>
      </c>
      <c r="M56">
        <f>IF($B$1+10&gt;90,L56,(L56+IF($B$1+10&lt;=$B56,12*$B$7,-12*MAX(0,$B$6-IF($B$1+10&gt;=$B$23,$B$22,0))*(1+$B$4)^10))*IF(L56+IF($B$1+10&lt;=$B56,12*$B$7,-12*MAX(0,$B$6-IF($B$1+10&gt;=$B$23,$B$22,0))*(1+$B$4)^10)&gt;0,1+$B$3,1))</f>
        <v/>
      </c>
      <c r="N56">
        <f>IF($B$1+11&gt;90,M56,(M56+IF($B$1+11&lt;=$B56,12*$B$7,-12*MAX(0,$B$6-IF($B$1+11&gt;=$B$23,$B$22,0))*(1+$B$4)^11))*IF(M56+IF($B$1+11&lt;=$B56,12*$B$7,-12*MAX(0,$B$6-IF($B$1+11&gt;=$B$23,$B$22,0))*(1+$B$4)^11)&gt;0,1+$B$3,1))</f>
        <v/>
      </c>
      <c r="O56">
        <f>IF($B$1+12&gt;90,N56,(N56+IF($B$1+12&lt;=$B56,12*$B$7,-12*MAX(0,$B$6-IF($B$1+12&gt;=$B$23,$B$22,0))*(1+$B$4)^12))*IF(N56+IF($B$1+12&lt;=$B56,12*$B$7,-12*MAX(0,$B$6-IF($B$1+12&gt;=$B$23,$B$22,0))*(1+$B$4)^12)&gt;0,1+$B$3,1))</f>
        <v/>
      </c>
      <c r="P56">
        <f>IF($B$1+13&gt;90,O56,(O56+IF($B$1+13&lt;=$B56,12*$B$7,-12*MAX(0,$B$6-IF($B$1+13&gt;=$B$23,$B$22,0))*(1+$B$4)^13))*IF(O56+IF($B$1+13&lt;=$B56,12*$B$7,-12*MAX(0,$B$6-IF($B$1+13&gt;=$B$23,$B$22,0))*(1+$B$4)^13)&gt;0,1+$B$3,1))</f>
        <v/>
      </c>
      <c r="Q56">
        <f>IF($B$1+14&gt;90,P56,(P56+IF($B$1+14&lt;=$B56,12*$B$7,-12*MAX(0,$B$6-IF($B$1+14&gt;=$B$23,$B$22,0))*(1+$B$4)^14))*IF(P56+IF($B$1+14&lt;=$B56,12*$B$7,-12*MAX(0,$B$6-IF($B$1+14&gt;=$B$23,$B$22,0))*(1+$B$4)^14)&gt;0,1+$B$3,1))</f>
        <v/>
      </c>
      <c r="R56">
        <f>IF($B$1+15&gt;90,Q56,(Q56+IF($B$1+15&lt;=$B56,12*$B$7,-12*MAX(0,$B$6-IF($B$1+15&gt;=$B$23,$B$22,0))*(1+$B$4)^15))*IF(Q56+IF($B$1+15&lt;=$B56,12*$B$7,-12*MAX(0,$B$6-IF($B$1+15&gt;=$B$23,$B$22,0))*(1+$B$4)^15)&gt;0,1+$B$3,1))</f>
        <v/>
      </c>
      <c r="S56">
        <f>IF($B$1+16&gt;90,R56,(R56+IF($B$1+16&lt;=$B56,12*$B$7,-12*MAX(0,$B$6-IF($B$1+16&gt;=$B$23,$B$22,0))*(1+$B$4)^16))*IF(R56+IF($B$1+16&lt;=$B56,12*$B$7,-12*MAX(0,$B$6-IF($B$1+16&gt;=$B$23,$B$22,0))*(1+$B$4)^16)&gt;0,1+$B$3,1))</f>
        <v/>
      </c>
      <c r="T56">
        <f>IF($B$1+17&gt;90,S56,(S56+IF($B$1+17&lt;=$B56,12*$B$7,-12*MAX(0,$B$6-IF($B$1+17&gt;=$B$23,$B$22,0))*(1+$B$4)^17))*IF(S56+IF($B$1+17&lt;=$B56,12*$B$7,-12*MAX(0,$B$6-IF($B$1+17&gt;=$B$23,$B$22,0))*(1+$B$4)^17)&gt;0,1+$B$3,1))</f>
        <v/>
      </c>
      <c r="U56">
        <f>IF($B$1+18&gt;90,T56,(T56+IF($B$1+18&lt;=$B56,12*$B$7,-12*MAX(0,$B$6-IF($B$1+18&gt;=$B$23,$B$22,0))*(1+$B$4)^18))*IF(T56+IF($B$1+18&lt;=$B56,12*$B$7,-12*MAX(0,$B$6-IF($B$1+18&gt;=$B$23,$B$22,0))*(1+$B$4)^18)&gt;0,1+$B$3,1))</f>
        <v/>
      </c>
      <c r="V56">
        <f>IF($B$1+19&gt;90,U56,(U56+IF($B$1+19&lt;=$B56,12*$B$7,-12*MAX(0,$B$6-IF($B$1+19&gt;=$B$23,$B$22,0))*(1+$B$4)^19))*IF(U56+IF($B$1+19&lt;=$B56,12*$B$7,-12*MAX(0,$B$6-IF($B$1+19&gt;=$B$23,$B$22,0))*(1+$B$4)^19)&gt;0,1+$B$3,1))</f>
        <v/>
      </c>
      <c r="W56">
        <f>IF($B$1+20&gt;90,V56,(V56+IF($B$1+20&lt;=$B56,12*$B$7,-12*MAX(0,$B$6-IF($B$1+20&gt;=$B$23,$B$22,0))*(1+$B$4)^20))*IF(V56+IF($B$1+20&lt;=$B56,12*$B$7,-12*MAX(0,$B$6-IF($B$1+20&gt;=$B$23,$B$22,0))*(1+$B$4)^20)&gt;0,1+$B$3,1))</f>
        <v/>
      </c>
      <c r="X56">
        <f>IF($B$1+21&gt;90,W56,(W56+IF($B$1+21&lt;=$B56,12*$B$7,-12*MAX(0,$B$6-IF($B$1+21&gt;=$B$23,$B$22,0))*(1+$B$4)^21))*IF(W56+IF($B$1+21&lt;=$B56,12*$B$7,-12*MAX(0,$B$6-IF($B$1+21&gt;=$B$23,$B$22,0))*(1+$B$4)^21)&gt;0,1+$B$3,1))</f>
        <v/>
      </c>
      <c r="Y56">
        <f>IF($B$1+22&gt;90,X56,(X56+IF($B$1+22&lt;=$B56,12*$B$7,-12*MAX(0,$B$6-IF($B$1+22&gt;=$B$23,$B$22,0))*(1+$B$4)^22))*IF(X56+IF($B$1+22&lt;=$B56,12*$B$7,-12*MAX(0,$B$6-IF($B$1+22&gt;=$B$23,$B$22,0))*(1+$B$4)^22)&gt;0,1+$B$3,1))</f>
        <v/>
      </c>
      <c r="Z56">
        <f>IF($B$1+23&gt;90,Y56,(Y56+IF($B$1+23&lt;=$B56,12*$B$7,-12*MAX(0,$B$6-IF($B$1+23&gt;=$B$23,$B$22,0))*(1+$B$4)^23))*IF(Y56+IF($B$1+23&lt;=$B56,12*$B$7,-12*MAX(0,$B$6-IF($B$1+23&gt;=$B$23,$B$22,0))*(1+$B$4)^23)&gt;0,1+$B$3,1))</f>
        <v/>
      </c>
      <c r="AA56">
        <f>IF($B$1+24&gt;90,Z56,(Z56+IF($B$1+24&lt;=$B56,12*$B$7,-12*MAX(0,$B$6-IF($B$1+24&gt;=$B$23,$B$22,0))*(1+$B$4)^24))*IF(Z56+IF($B$1+24&lt;=$B56,12*$B$7,-12*MAX(0,$B$6-IF($B$1+24&gt;=$B$23,$B$22,0))*(1+$B$4)^24)&gt;0,1+$B$3,1))</f>
        <v/>
      </c>
      <c r="AB56">
        <f>IF($B$1+25&gt;90,AA56,(AA56+IF($B$1+25&lt;=$B56,12*$B$7,-12*MAX(0,$B$6-IF($B$1+25&gt;=$B$23,$B$22,0))*(1+$B$4)^25))*IF(AA56+IF($B$1+25&lt;=$B56,12*$B$7,-12*MAX(0,$B$6-IF($B$1+25&gt;=$B$23,$B$22,0))*(1+$B$4)^25)&gt;0,1+$B$3,1))</f>
        <v/>
      </c>
      <c r="AC56">
        <f>IF($B$1+26&gt;90,AB56,(AB56+IF($B$1+26&lt;=$B56,12*$B$7,-12*MAX(0,$B$6-IF($B$1+26&gt;=$B$23,$B$22,0))*(1+$B$4)^26))*IF(AB56+IF($B$1+26&lt;=$B56,12*$B$7,-12*MAX(0,$B$6-IF($B$1+26&gt;=$B$23,$B$22,0))*(1+$B$4)^26)&gt;0,1+$B$3,1))</f>
        <v/>
      </c>
      <c r="AD56">
        <f>IF($B$1+27&gt;90,AC56,(AC56+IF($B$1+27&lt;=$B56,12*$B$7,-12*MAX(0,$B$6-IF($B$1+27&gt;=$B$23,$B$22,0))*(1+$B$4)^27))*IF(AC56+IF($B$1+27&lt;=$B56,12*$B$7,-12*MAX(0,$B$6-IF($B$1+27&gt;=$B$23,$B$22,0))*(1+$B$4)^27)&gt;0,1+$B$3,1))</f>
        <v/>
      </c>
      <c r="AE56">
        <f>IF($B$1+28&gt;90,AD56,(AD56+IF($B$1+28&lt;=$B56,12*$B$7,-12*MAX(0,$B$6-IF($B$1+28&gt;=$B$23,$B$22,0))*(1+$B$4)^28))*IF(AD56+IF($B$1+28&lt;=$B56,12*$B$7,-12*MAX(0,$B$6-IF($B$1+28&gt;=$B$23,$B$22,0))*(1+$B$4)^28)&gt;0,1+$B$3,1))</f>
        <v/>
      </c>
      <c r="AF56">
        <f>IF($B$1+29&gt;90,AE56,(AE56+IF($B$1+29&lt;=$B56,12*$B$7,-12*MAX(0,$B$6-IF($B$1+29&gt;=$B$23,$B$22,0))*(1+$B$4)^29))*IF(AE56+IF($B$1+29&lt;=$B56,12*$B$7,-12*MAX(0,$B$6-IF($B$1+29&gt;=$B$23,$B$22,0))*(1+$B$4)^29)&gt;0,1+$B$3,1))</f>
        <v/>
      </c>
      <c r="AG56">
        <f>IF($B$1+30&gt;90,AF56,(AF56+IF($B$1+30&lt;=$B56,12*$B$7,-12*MAX(0,$B$6-IF($B$1+30&gt;=$B$23,$B$22,0))*(1+$B$4)^30))*IF(AF56+IF($B$1+30&lt;=$B56,12*$B$7,-12*MAX(0,$B$6-IF($B$1+30&gt;=$B$23,$B$22,0))*(1+$B$4)^30)&gt;0,1+$B$3,1))</f>
        <v/>
      </c>
      <c r="AH56">
        <f>IF($B$1+31&gt;90,AG56,(AG56+IF($B$1+31&lt;=$B56,12*$B$7,-12*MAX(0,$B$6-IF($B$1+31&gt;=$B$23,$B$22,0))*(1+$B$4)^31))*IF(AG56+IF($B$1+31&lt;=$B56,12*$B$7,-12*MAX(0,$B$6-IF($B$1+31&gt;=$B$23,$B$22,0))*(1+$B$4)^31)&gt;0,1+$B$3,1))</f>
        <v/>
      </c>
      <c r="AI56">
        <f>IF($B$1+32&gt;90,AH56,(AH56+IF($B$1+32&lt;=$B56,12*$B$7,-12*MAX(0,$B$6-IF($B$1+32&gt;=$B$23,$B$22,0))*(1+$B$4)^32))*IF(AH56+IF($B$1+32&lt;=$B56,12*$B$7,-12*MAX(0,$B$6-IF($B$1+32&gt;=$B$23,$B$22,0))*(1+$B$4)^32)&gt;0,1+$B$3,1))</f>
        <v/>
      </c>
      <c r="AJ56">
        <f>IF($B$1+33&gt;90,AI56,(AI56+IF($B$1+33&lt;=$B56,12*$B$7,-12*MAX(0,$B$6-IF($B$1+33&gt;=$B$23,$B$22,0))*(1+$B$4)^33))*IF(AI56+IF($B$1+33&lt;=$B56,12*$B$7,-12*MAX(0,$B$6-IF($B$1+33&gt;=$B$23,$B$22,0))*(1+$B$4)^33)&gt;0,1+$B$3,1))</f>
        <v/>
      </c>
      <c r="AK56">
        <f>IF($B$1+34&gt;90,AJ56,(AJ56+IF($B$1+34&lt;=$B56,12*$B$7,-12*MAX(0,$B$6-IF($B$1+34&gt;=$B$23,$B$22,0))*(1+$B$4)^34))*IF(AJ56+IF($B$1+34&lt;=$B56,12*$B$7,-12*MAX(0,$B$6-IF($B$1+34&gt;=$B$23,$B$22,0))*(1+$B$4)^34)&gt;0,1+$B$3,1))</f>
        <v/>
      </c>
      <c r="AL56">
        <f>IF($B$1+35&gt;90,AK56,(AK56+IF($B$1+35&lt;=$B56,12*$B$7,-12*MAX(0,$B$6-IF($B$1+35&gt;=$B$23,$B$22,0))*(1+$B$4)^35))*IF(AK56+IF($B$1+35&lt;=$B56,12*$B$7,-12*MAX(0,$B$6-IF($B$1+35&gt;=$B$23,$B$22,0))*(1+$B$4)^35)&gt;0,1+$B$3,1))</f>
        <v/>
      </c>
      <c r="AM56">
        <f>IF($B$1+36&gt;90,AL56,(AL56+IF($B$1+36&lt;=$B56,12*$B$7,-12*MAX(0,$B$6-IF($B$1+36&gt;=$B$23,$B$22,0))*(1+$B$4)^36))*IF(AL56+IF($B$1+36&lt;=$B56,12*$B$7,-12*MAX(0,$B$6-IF($B$1+36&gt;=$B$23,$B$22,0))*(1+$B$4)^36)&gt;0,1+$B$3,1))</f>
        <v/>
      </c>
      <c r="AN56">
        <f>IF($B$1+37&gt;90,AM56,(AM56+IF($B$1+37&lt;=$B56,12*$B$7,-12*MAX(0,$B$6-IF($B$1+37&gt;=$B$23,$B$22,0))*(1+$B$4)^37))*IF(AM56+IF($B$1+37&lt;=$B56,12*$B$7,-12*MAX(0,$B$6-IF($B$1+37&gt;=$B$23,$B$22,0))*(1+$B$4)^37)&gt;0,1+$B$3,1))</f>
        <v/>
      </c>
      <c r="AO56">
        <f>IF($B$1+38&gt;90,AN56,(AN56+IF($B$1+38&lt;=$B56,12*$B$7,-12*MAX(0,$B$6-IF($B$1+38&gt;=$B$23,$B$22,0))*(1+$B$4)^38))*IF(AN56+IF($B$1+38&lt;=$B56,12*$B$7,-12*MAX(0,$B$6-IF($B$1+38&gt;=$B$23,$B$22,0))*(1+$B$4)^38)&gt;0,1+$B$3,1))</f>
        <v/>
      </c>
      <c r="AP56">
        <f>IF($B$1+39&gt;90,AO56,(AO56+IF($B$1+39&lt;=$B56,12*$B$7,-12*MAX(0,$B$6-IF($B$1+39&gt;=$B$23,$B$22,0))*(1+$B$4)^39))*IF(AO56+IF($B$1+39&lt;=$B56,12*$B$7,-12*MAX(0,$B$6-IF($B$1+39&gt;=$B$23,$B$22,0))*(1+$B$4)^39)&gt;0,1+$B$3,1))</f>
        <v/>
      </c>
      <c r="AQ56">
        <f>IF($B$1+40&gt;90,AP56,(AP56+IF($B$1+40&lt;=$B56,12*$B$7,-12*MAX(0,$B$6-IF($B$1+40&gt;=$B$23,$B$22,0))*(1+$B$4)^40))*IF(AP56+IF($B$1+40&lt;=$B56,12*$B$7,-12*MAX(0,$B$6-IF($B$1+40&gt;=$B$23,$B$22,0))*(1+$B$4)^40)&gt;0,1+$B$3,1))</f>
        <v/>
      </c>
      <c r="AR56">
        <f>IF($B$1+41&gt;90,AQ56,(AQ56+IF($B$1+41&lt;=$B56,12*$B$7,-12*MAX(0,$B$6-IF($B$1+41&gt;=$B$23,$B$22,0))*(1+$B$4)^41))*IF(AQ56+IF($B$1+41&lt;=$B56,12*$B$7,-12*MAX(0,$B$6-IF($B$1+41&gt;=$B$23,$B$22,0))*(1+$B$4)^41)&gt;0,1+$B$3,1))</f>
        <v/>
      </c>
      <c r="AS56">
        <f>IF($B$1+42&gt;90,AR56,(AR56+IF($B$1+42&lt;=$B56,12*$B$7,-12*MAX(0,$B$6-IF($B$1+42&gt;=$B$23,$B$22,0))*(1+$B$4)^42))*IF(AR56+IF($B$1+42&lt;=$B56,12*$B$7,-12*MAX(0,$B$6-IF($B$1+42&gt;=$B$23,$B$22,0))*(1+$B$4)^42)&gt;0,1+$B$3,1))</f>
        <v/>
      </c>
      <c r="AT56">
        <f>IF($B$1+43&gt;90,AS56,(AS56+IF($B$1+43&lt;=$B56,12*$B$7,-12*MAX(0,$B$6-IF($B$1+43&gt;=$B$23,$B$22,0))*(1+$B$4)^43))*IF(AS56+IF($B$1+43&lt;=$B56,12*$B$7,-12*MAX(0,$B$6-IF($B$1+43&gt;=$B$23,$B$22,0))*(1+$B$4)^43)&gt;0,1+$B$3,1))</f>
        <v/>
      </c>
      <c r="AU56">
        <f>IF($B$1+44&gt;90,AT56,(AT56+IF($B$1+44&lt;=$B56,12*$B$7,-12*MAX(0,$B$6-IF($B$1+44&gt;=$B$23,$B$22,0))*(1+$B$4)^44))*IF(AT56+IF($B$1+44&lt;=$B56,12*$B$7,-12*MAX(0,$B$6-IF($B$1+44&gt;=$B$23,$B$22,0))*(1+$B$4)^44)&gt;0,1+$B$3,1))</f>
        <v/>
      </c>
      <c r="AV56">
        <f>IF($B$1+45&gt;90,AU56,(AU56+IF($B$1+45&lt;=$B56,12*$B$7,-12*MAX(0,$B$6-IF($B$1+45&gt;=$B$23,$B$22,0))*(1+$B$4)^45))*IF(AU56+IF($B$1+45&lt;=$B56,12*$B$7,-12*MAX(0,$B$6-IF($B$1+45&gt;=$B$23,$B$22,0))*(1+$B$4)^45)&gt;0,1+$B$3,1))</f>
        <v/>
      </c>
      <c r="AW56">
        <f>IF($B$1+46&gt;90,AV56,(AV56+IF($B$1+46&lt;=$B56,12*$B$7,-12*MAX(0,$B$6-IF($B$1+46&gt;=$B$23,$B$22,0))*(1+$B$4)^46))*IF(AV56+IF($B$1+46&lt;=$B56,12*$B$7,-12*MAX(0,$B$6-IF($B$1+46&gt;=$B$23,$B$22,0))*(1+$B$4)^46)&gt;0,1+$B$3,1))</f>
        <v/>
      </c>
      <c r="AX56">
        <f>IF($B$1+47&gt;90,AW56,(AW56+IF($B$1+47&lt;=$B56,12*$B$7,-12*MAX(0,$B$6-IF($B$1+47&gt;=$B$23,$B$22,0))*(1+$B$4)^47))*IF(AW56+IF($B$1+47&lt;=$B56,12*$B$7,-12*MAX(0,$B$6-IF($B$1+47&gt;=$B$23,$B$22,0))*(1+$B$4)^47)&gt;0,1+$B$3,1))</f>
        <v/>
      </c>
      <c r="AY56">
        <f>IF($B$1+48&gt;90,AX56,(AX56+IF($B$1+48&lt;=$B56,12*$B$7,-12*MAX(0,$B$6-IF($B$1+48&gt;=$B$23,$B$22,0))*(1+$B$4)^48))*IF(AX56+IF($B$1+48&lt;=$B56,12*$B$7,-12*MAX(0,$B$6-IF($B$1+48&gt;=$B$23,$B$22,0))*(1+$B$4)^48)&gt;0,1+$B$3,1))</f>
        <v/>
      </c>
      <c r="AZ56">
        <f>IF($B$1+49&gt;90,AY56,(AY56+IF($B$1+49&lt;=$B56,12*$B$7,-12*MAX(0,$B$6-IF($B$1+49&gt;=$B$23,$B$22,0))*(1+$B$4)^49))*IF(AY56+IF($B$1+49&lt;=$B56,12*$B$7,-12*MAX(0,$B$6-IF($B$1+49&gt;=$B$23,$B$22,0))*(1+$B$4)^49)&gt;0,1+$B$3,1))</f>
        <v/>
      </c>
      <c r="BA56">
        <f>IF($B$1+50&gt;90,AZ56,(AZ56+IF($B$1+50&lt;=$B56,12*$B$7,-12*MAX(0,$B$6-IF($B$1+50&gt;=$B$23,$B$22,0))*(1+$B$4)^50))*IF(AZ56+IF($B$1+50&lt;=$B56,12*$B$7,-12*MAX(0,$B$6-IF($B$1+50&gt;=$B$23,$B$22,0))*(1+$B$4)^50)&gt;0,1+$B$3,1))</f>
        <v/>
      </c>
      <c r="BB56">
        <f>IF($B$1+51&gt;90,BA56,(BA56+IF($B$1+51&lt;=$B56,12*$B$7,-12*MAX(0,$B$6-IF($B$1+51&gt;=$B$23,$B$22,0))*(1+$B$4)^51))*IF(BA56+IF($B$1+51&lt;=$B56,12*$B$7,-12*MAX(0,$B$6-IF($B$1+51&gt;=$B$23,$B$22,0))*(1+$B$4)^51)&gt;0,1+$B$3,1))</f>
        <v/>
      </c>
      <c r="BC56">
        <f>IF($B$1+52&gt;90,BB56,(BB56+IF($B$1+52&lt;=$B56,12*$B$7,-12*MAX(0,$B$6-IF($B$1+52&gt;=$B$23,$B$22,0))*(1+$B$4)^52))*IF(BB56+IF($B$1+52&lt;=$B56,12*$B$7,-12*MAX(0,$B$6-IF($B$1+52&gt;=$B$23,$B$22,0))*(1+$B$4)^52)&gt;0,1+$B$3,1))</f>
        <v/>
      </c>
      <c r="BD56">
        <f>IF($B$1+53&gt;90,BC56,(BC56+IF($B$1+53&lt;=$B56,12*$B$7,-12*MAX(0,$B$6-IF($B$1+53&gt;=$B$23,$B$22,0))*(1+$B$4)^53))*IF(BC56+IF($B$1+53&lt;=$B56,12*$B$7,-12*MAX(0,$B$6-IF($B$1+53&gt;=$B$23,$B$22,0))*(1+$B$4)^53)&gt;0,1+$B$3,1))</f>
        <v/>
      </c>
      <c r="BE56">
        <f>IF($B$1+54&gt;90,BD56,(BD56+IF($B$1+54&lt;=$B56,12*$B$7,-12*MAX(0,$B$6-IF($B$1+54&gt;=$B$23,$B$22,0))*(1+$B$4)^54))*IF(BD56+IF($B$1+54&lt;=$B56,12*$B$7,-12*MAX(0,$B$6-IF($B$1+54&gt;=$B$23,$B$22,0))*(1+$B$4)^54)&gt;0,1+$B$3,1))</f>
        <v/>
      </c>
      <c r="BF56">
        <f>IF($B$1+55&gt;90,BE56,(BE56+IF($B$1+55&lt;=$B56,12*$B$7,-12*MAX(0,$B$6-IF($B$1+55&gt;=$B$23,$B$22,0))*(1+$B$4)^55))*IF(BE56+IF($B$1+55&lt;=$B56,12*$B$7,-12*MAX(0,$B$6-IF($B$1+55&gt;=$B$23,$B$22,0))*(1+$B$4)^55)&gt;0,1+$B$3,1))</f>
        <v/>
      </c>
      <c r="BG56">
        <f>IF($B$1+56&gt;90,BF56,(BF56+IF($B$1+56&lt;=$B56,12*$B$7,-12*MAX(0,$B$6-IF($B$1+56&gt;=$B$23,$B$22,0))*(1+$B$4)^56))*IF(BF56+IF($B$1+56&lt;=$B56,12*$B$7,-12*MAX(0,$B$6-IF($B$1+56&gt;=$B$23,$B$22,0))*(1+$B$4)^56)&gt;0,1+$B$3,1))</f>
        <v/>
      </c>
      <c r="BH56">
        <f>IF($B$1+57&gt;90,BG56,(BG56+IF($B$1+57&lt;=$B56,12*$B$7,-12*MAX(0,$B$6-IF($B$1+57&gt;=$B$23,$B$22,0))*(1+$B$4)^57))*IF(BG56+IF($B$1+57&lt;=$B56,12*$B$7,-12*MAX(0,$B$6-IF($B$1+57&gt;=$B$23,$B$22,0))*(1+$B$4)^57)&gt;0,1+$B$3,1))</f>
        <v/>
      </c>
      <c r="BI56">
        <f>IF($B$1+58&gt;90,BH56,(BH56+IF($B$1+58&lt;=$B56,12*$B$7,-12*MAX(0,$B$6-IF($B$1+58&gt;=$B$23,$B$22,0))*(1+$B$4)^58))*IF(BH56+IF($B$1+58&lt;=$B56,12*$B$7,-12*MAX(0,$B$6-IF($B$1+58&gt;=$B$23,$B$22,0))*(1+$B$4)^58)&gt;0,1+$B$3,1))</f>
        <v/>
      </c>
      <c r="BJ56">
        <f>IF($B$1+59&gt;90,BI56,(BI56+IF($B$1+59&lt;=$B56,12*$B$7,-12*MAX(0,$B$6-IF($B$1+59&gt;=$B$23,$B$22,0))*(1+$B$4)^59))*IF(BI56+IF($B$1+59&lt;=$B56,12*$B$7,-12*MAX(0,$B$6-IF($B$1+59&gt;=$B$23,$B$22,0))*(1+$B$4)^59)&gt;0,1+$B$3,1))</f>
        <v/>
      </c>
      <c r="BK56">
        <f>IF($B$1+60&gt;90,BJ56,(BJ56+IF($B$1+60&lt;=$B56,12*$B$7,-12*MAX(0,$B$6-IF($B$1+60&gt;=$B$23,$B$22,0))*(1+$B$4)^60))*IF(BJ56+IF($B$1+60&lt;=$B56,12*$B$7,-12*MAX(0,$B$6-IF($B$1+60&gt;=$B$23,$B$22,0))*(1+$B$4)^60)&gt;0,1+$B$3,1))</f>
        <v/>
      </c>
      <c r="BL56">
        <f>IF($B$1+61&gt;90,BK56,(BK56+IF($B$1+61&lt;=$B56,12*$B$7,-12*MAX(0,$B$6-IF($B$1+61&gt;=$B$23,$B$22,0))*(1+$B$4)^61))*IF(BK56+IF($B$1+61&lt;=$B56,12*$B$7,-12*MAX(0,$B$6-IF($B$1+61&gt;=$B$23,$B$22,0))*(1+$B$4)^61)&gt;0,1+$B$3,1))</f>
        <v/>
      </c>
      <c r="BM56">
        <f>IF($B$1+62&gt;90,BL56,(BL56+IF($B$1+62&lt;=$B56,12*$B$7,-12*MAX(0,$B$6-IF($B$1+62&gt;=$B$23,$B$22,0))*(1+$B$4)^62))*IF(BL56+IF($B$1+62&lt;=$B56,12*$B$7,-12*MAX(0,$B$6-IF($B$1+62&gt;=$B$23,$B$22,0))*(1+$B$4)^62)&gt;0,1+$B$3,1))</f>
        <v/>
      </c>
      <c r="BN56">
        <f>IF($B$1+63&gt;90,BM56,(BM56+IF($B$1+63&lt;=$B56,12*$B$7,-12*MAX(0,$B$6-IF($B$1+63&gt;=$B$23,$B$22,0))*(1+$B$4)^63))*IF(BM56+IF($B$1+63&lt;=$B56,12*$B$7,-12*MAX(0,$B$6-IF($B$1+63&gt;=$B$23,$B$22,0))*(1+$B$4)^63)&gt;0,1+$B$3,1))</f>
        <v/>
      </c>
      <c r="BO56">
        <f>IF($B$1+64&gt;90,BN56,(BN56+IF($B$1+64&lt;=$B56,12*$B$7,-12*MAX(0,$B$6-IF($B$1+64&gt;=$B$23,$B$22,0))*(1+$B$4)^64))*IF(BN56+IF($B$1+64&lt;=$B56,12*$B$7,-12*MAX(0,$B$6-IF($B$1+64&gt;=$B$23,$B$22,0))*(1+$B$4)^64)&gt;0,1+$B$3,1))</f>
        <v/>
      </c>
      <c r="BP56">
        <f>IF($B$1+65&gt;90,BO56,(BO56+IF($B$1+65&lt;=$B56,12*$B$7,-12*MAX(0,$B$6-IF($B$1+65&gt;=$B$23,$B$22,0))*(1+$B$4)^65))*IF(BO56+IF($B$1+65&lt;=$B56,12*$B$7,-12*MAX(0,$B$6-IF($B$1+65&gt;=$B$23,$B$22,0))*(1+$B$4)^65)&gt;0,1+$B$3,1))</f>
        <v/>
      </c>
      <c r="BQ56">
        <f>IF($B$1+66&gt;90,BP56,(BP56+IF($B$1+66&lt;=$B56,12*$B$7,-12*MAX(0,$B$6-IF($B$1+66&gt;=$B$23,$B$22,0))*(1+$B$4)^66))*IF(BP56+IF($B$1+66&lt;=$B56,12*$B$7,-12*MAX(0,$B$6-IF($B$1+66&gt;=$B$23,$B$22,0))*(1+$B$4)^66)&gt;0,1+$B$3,1))</f>
        <v/>
      </c>
      <c r="BR56">
        <f>IF($B$1+67&gt;90,BQ56,(BQ56+IF($B$1+67&lt;=$B56,12*$B$7,-12*MAX(0,$B$6-IF($B$1+67&gt;=$B$23,$B$22,0))*(1+$B$4)^67))*IF(BQ56+IF($B$1+67&lt;=$B56,12*$B$7,-12*MAX(0,$B$6-IF($B$1+67&gt;=$B$23,$B$22,0))*(1+$B$4)^67)&gt;0,1+$B$3,1))</f>
        <v/>
      </c>
      <c r="BS56">
        <f>IF($B$1+68&gt;90,BR56,(BR56+IF($B$1+68&lt;=$B56,12*$B$7,-12*MAX(0,$B$6-IF($B$1+68&gt;=$B$23,$B$22,0))*(1+$B$4)^68))*IF(BR56+IF($B$1+68&lt;=$B56,12*$B$7,-12*MAX(0,$B$6-IF($B$1+68&gt;=$B$23,$B$22,0))*(1+$B$4)^68)&gt;0,1+$B$3,1))</f>
        <v/>
      </c>
      <c r="BT56">
        <f>IF($B$1+69&gt;90,BS56,(BS56+IF($B$1+69&lt;=$B56,12*$B$7,-12*MAX(0,$B$6-IF($B$1+69&gt;=$B$23,$B$22,0))*(1+$B$4)^69))*IF(BS56+IF($B$1+69&lt;=$B56,12*$B$7,-12*MAX(0,$B$6-IF($B$1+69&gt;=$B$23,$B$22,0))*(1+$B$4)^69)&gt;0,1+$B$3,1))</f>
        <v/>
      </c>
      <c r="BU56">
        <f>IF($B$1+70&gt;90,BT56,(BT56+IF($B$1+70&lt;=$B56,12*$B$7,-12*MAX(0,$B$6-IF($B$1+70&gt;=$B$23,$B$22,0))*(1+$B$4)^70))*IF(BT56+IF($B$1+70&lt;=$B56,12*$B$7,-12*MAX(0,$B$6-IF($B$1+70&gt;=$B$23,$B$22,0))*(1+$B$4)^70)&gt;0,1+$B$3,1))</f>
        <v/>
      </c>
      <c r="BV56">
        <f>BU56</f>
        <v/>
      </c>
      <c r="BW56">
        <f>IF(AND($B56&lt;=70,BV56&gt;0),$B56,999)</f>
        <v/>
      </c>
      <c r="CB56" t="n">
        <v>55</v>
      </c>
      <c r="CC56">
        <f>IF($B$1+CB56&gt;90,0,12*MAX(0,$B$6-IF($B$1+CB56&gt;=$B$23,$B$22,0))*(1+$B$4)^CB56/(1+$B$3)^(CB56-1))</f>
        <v/>
      </c>
      <c r="CE56">
        <f>IF($B$1+54&gt;90,NA(),$B$1+54)</f>
        <v/>
      </c>
      <c r="CF56">
        <f>IF(OR($B$21="",$B$1+54&gt;90),NA(),INDEX($C$40:$BU$90,$B$21-$B$1+1,55))</f>
        <v/>
      </c>
      <c r="CH56">
        <f>IF(ISTEXT('월 가계부'!A56),SUBSTITUTE(SUBSTITUTE(SUBSTITUTE(SUBSTITUTE(SUBSTITUTE(SUBSTITUTE(SUBSTITUTE(SUBSTITUTE(SUBSTITUTE(TRIM('월 가계부'!A56),"년","-"),"월","-"),"일",""),".","-"),"/","-")," ","-"),"--","-"),"--","-"),"--","-")&amp;"-","")</f>
        <v/>
      </c>
      <c r="CI56">
        <f>IFERROR(IF('월 가계부'!A56="","",IF(ISNUMBER('월 가계부'!A56),IF(AND('월 가계부'!A56&gt;=19000101,'월 가계부'!A56&lt;=21001231),IF(AND(MOD(INT('월 가계부'!A56/100),100)&gt;=1,MOD(INT('월 가계부'!A56/100),100)&lt;=12,MOD(INT('월 가계부'!A56),100)&gt;=1,MOD(INT('월 가계부'!A56),100)&lt;=31),IF(MONTH(DATE(INT('월 가계부'!A56/10000),MOD(INT('월 가계부'!A56/100),100),MOD(INT('월 가계부'!A56),100)))=MOD(INT('월 가계부'!A56/100),100),DATE(INT('월 가계부'!A56/10000),MOD(INT('월 가계부'!A56/100),100),MOD(INT('월 가계부'!A56),100)),""),""),IF(AND('월 가계부'!A56&gt;=36526,'월 가계부'!A56&lt;73051),INT('월 가계부'!A56),"")),IF(OR(CM56="",CN56="",CO56=""),"",IF(AND(CM56&gt;=2000,CM56&lt;=2099,CN56&gt;=1,CN56&lt;=12,CO56&gt;=1,CO56&lt;=31),IF(MONTH(DATE(CM56,CN56,CO56))=CN56,DATE(CM56,CN56,CO56),""),"")))),"")</f>
        <v/>
      </c>
      <c r="CJ56">
        <f>IFERROR(IF('월 가계부'!C56="","",IF(ISNUMBER('월 가계부'!C56),'월 가계부'!C56,VALUE(SUBSTITUTE(SUBSTITUTE(SUBSTITUTE(SUBSTITUTE(TRIM('월 가계부'!C56),",",""),"원","")," ",""),"−","-")))),"")</f>
        <v/>
      </c>
      <c r="CK56">
        <f>IF(ISNUMBER(CI56),IF(CI56&lt;$B$13,CI56,""),"")</f>
        <v/>
      </c>
      <c r="CM56">
        <f>IF(CH56="","",IFERROR(IF(IF(AND(LEN(CH56)=9,ISERROR(FIND("-",LEFT(CH56,8))),ISNUMBER(-LEFT(CH56,8))),VALUE(LEFT(CH56,4)),VALUE(LEFT(CH56,FIND("-",CH56)-1)))&lt;100,IF(AND(LEN(CH56)=9,ISERROR(FIND("-",LEFT(CH56,8))),ISNUMBER(-LEFT(CH56,8))),VALUE(LEFT(CH56,4)),VALUE(LEFT(CH56,FIND("-",CH56)-1)))+2000,IF(AND(LEN(CH56)=9,ISERROR(FIND("-",LEFT(CH56,8))),ISNUMBER(-LEFT(CH56,8))),VALUE(LEFT(CH56,4)),VALUE(LEFT(CH56,FIND("-",CH56)-1)))),""))</f>
        <v/>
      </c>
      <c r="CN56">
        <f>IF(CH56="","",IFERROR(IF(AND(LEN(CH56)=9,ISERROR(FIND("-",LEFT(CH56,8))),ISNUMBER(-LEFT(CH56,8))),VALUE(MID(CH56,5,2)),VALUE(MID(CH56,FIND("-",CH56)+1,FIND("-",CH56,FIND("-",CH56)+1)-FIND("-",CH56)-1))),""))</f>
        <v/>
      </c>
      <c r="CO56">
        <f>IF(CH56="","",IFERROR(IF(AND(LEN(CH56)=9,ISERROR(FIND("-",LEFT(CH56,8))),ISNUMBER(-LEFT(CH56,8))),VALUE(MID(CH56,7,2)),VALUE(MID(CH56,FIND("-",CH56,FIND("-",CH56)+1)+1,FIND("-",CH56,FIND("-",CH56,FIND("-",CH56)+1)+1)-FIND("-",CH56,FIND("-",CH56)+1)-1))),""))</f>
        <v/>
      </c>
    </row>
    <row r="57">
      <c r="A57" t="n">
        <v>17</v>
      </c>
      <c r="B57">
        <f>$B$1+17</f>
        <v/>
      </c>
      <c r="C57">
        <f>$B$2</f>
        <v/>
      </c>
      <c r="D57">
        <f>IF($B$1+1&gt;90,C57,(C57+IF($B$1+1&lt;=$B57,12*$B$7,-12*MAX(0,$B$6-IF($B$1+1&gt;=$B$23,$B$22,0))*(1+$B$4)^1))*IF(C57+IF($B$1+1&lt;=$B57,12*$B$7,-12*MAX(0,$B$6-IF($B$1+1&gt;=$B$23,$B$22,0))*(1+$B$4)^1)&gt;0,1+$B$3,1))</f>
        <v/>
      </c>
      <c r="E57">
        <f>IF($B$1+2&gt;90,D57,(D57+IF($B$1+2&lt;=$B57,12*$B$7,-12*MAX(0,$B$6-IF($B$1+2&gt;=$B$23,$B$22,0))*(1+$B$4)^2))*IF(D57+IF($B$1+2&lt;=$B57,12*$B$7,-12*MAX(0,$B$6-IF($B$1+2&gt;=$B$23,$B$22,0))*(1+$B$4)^2)&gt;0,1+$B$3,1))</f>
        <v/>
      </c>
      <c r="F57">
        <f>IF($B$1+3&gt;90,E57,(E57+IF($B$1+3&lt;=$B57,12*$B$7,-12*MAX(0,$B$6-IF($B$1+3&gt;=$B$23,$B$22,0))*(1+$B$4)^3))*IF(E57+IF($B$1+3&lt;=$B57,12*$B$7,-12*MAX(0,$B$6-IF($B$1+3&gt;=$B$23,$B$22,0))*(1+$B$4)^3)&gt;0,1+$B$3,1))</f>
        <v/>
      </c>
      <c r="G57">
        <f>IF($B$1+4&gt;90,F57,(F57+IF($B$1+4&lt;=$B57,12*$B$7,-12*MAX(0,$B$6-IF($B$1+4&gt;=$B$23,$B$22,0))*(1+$B$4)^4))*IF(F57+IF($B$1+4&lt;=$B57,12*$B$7,-12*MAX(0,$B$6-IF($B$1+4&gt;=$B$23,$B$22,0))*(1+$B$4)^4)&gt;0,1+$B$3,1))</f>
        <v/>
      </c>
      <c r="H57">
        <f>IF($B$1+5&gt;90,G57,(G57+IF($B$1+5&lt;=$B57,12*$B$7,-12*MAX(0,$B$6-IF($B$1+5&gt;=$B$23,$B$22,0))*(1+$B$4)^5))*IF(G57+IF($B$1+5&lt;=$B57,12*$B$7,-12*MAX(0,$B$6-IF($B$1+5&gt;=$B$23,$B$22,0))*(1+$B$4)^5)&gt;0,1+$B$3,1))</f>
        <v/>
      </c>
      <c r="I57">
        <f>IF($B$1+6&gt;90,H57,(H57+IF($B$1+6&lt;=$B57,12*$B$7,-12*MAX(0,$B$6-IF($B$1+6&gt;=$B$23,$B$22,0))*(1+$B$4)^6))*IF(H57+IF($B$1+6&lt;=$B57,12*$B$7,-12*MAX(0,$B$6-IF($B$1+6&gt;=$B$23,$B$22,0))*(1+$B$4)^6)&gt;0,1+$B$3,1))</f>
        <v/>
      </c>
      <c r="J57">
        <f>IF($B$1+7&gt;90,I57,(I57+IF($B$1+7&lt;=$B57,12*$B$7,-12*MAX(0,$B$6-IF($B$1+7&gt;=$B$23,$B$22,0))*(1+$B$4)^7))*IF(I57+IF($B$1+7&lt;=$B57,12*$B$7,-12*MAX(0,$B$6-IF($B$1+7&gt;=$B$23,$B$22,0))*(1+$B$4)^7)&gt;0,1+$B$3,1))</f>
        <v/>
      </c>
      <c r="K57">
        <f>IF($B$1+8&gt;90,J57,(J57+IF($B$1+8&lt;=$B57,12*$B$7,-12*MAX(0,$B$6-IF($B$1+8&gt;=$B$23,$B$22,0))*(1+$B$4)^8))*IF(J57+IF($B$1+8&lt;=$B57,12*$B$7,-12*MAX(0,$B$6-IF($B$1+8&gt;=$B$23,$B$22,0))*(1+$B$4)^8)&gt;0,1+$B$3,1))</f>
        <v/>
      </c>
      <c r="L57">
        <f>IF($B$1+9&gt;90,K57,(K57+IF($B$1+9&lt;=$B57,12*$B$7,-12*MAX(0,$B$6-IF($B$1+9&gt;=$B$23,$B$22,0))*(1+$B$4)^9))*IF(K57+IF($B$1+9&lt;=$B57,12*$B$7,-12*MAX(0,$B$6-IF($B$1+9&gt;=$B$23,$B$22,0))*(1+$B$4)^9)&gt;0,1+$B$3,1))</f>
        <v/>
      </c>
      <c r="M57">
        <f>IF($B$1+10&gt;90,L57,(L57+IF($B$1+10&lt;=$B57,12*$B$7,-12*MAX(0,$B$6-IF($B$1+10&gt;=$B$23,$B$22,0))*(1+$B$4)^10))*IF(L57+IF($B$1+10&lt;=$B57,12*$B$7,-12*MAX(0,$B$6-IF($B$1+10&gt;=$B$23,$B$22,0))*(1+$B$4)^10)&gt;0,1+$B$3,1))</f>
        <v/>
      </c>
      <c r="N57">
        <f>IF($B$1+11&gt;90,M57,(M57+IF($B$1+11&lt;=$B57,12*$B$7,-12*MAX(0,$B$6-IF($B$1+11&gt;=$B$23,$B$22,0))*(1+$B$4)^11))*IF(M57+IF($B$1+11&lt;=$B57,12*$B$7,-12*MAX(0,$B$6-IF($B$1+11&gt;=$B$23,$B$22,0))*(1+$B$4)^11)&gt;0,1+$B$3,1))</f>
        <v/>
      </c>
      <c r="O57">
        <f>IF($B$1+12&gt;90,N57,(N57+IF($B$1+12&lt;=$B57,12*$B$7,-12*MAX(0,$B$6-IF($B$1+12&gt;=$B$23,$B$22,0))*(1+$B$4)^12))*IF(N57+IF($B$1+12&lt;=$B57,12*$B$7,-12*MAX(0,$B$6-IF($B$1+12&gt;=$B$23,$B$22,0))*(1+$B$4)^12)&gt;0,1+$B$3,1))</f>
        <v/>
      </c>
      <c r="P57">
        <f>IF($B$1+13&gt;90,O57,(O57+IF($B$1+13&lt;=$B57,12*$B$7,-12*MAX(0,$B$6-IF($B$1+13&gt;=$B$23,$B$22,0))*(1+$B$4)^13))*IF(O57+IF($B$1+13&lt;=$B57,12*$B$7,-12*MAX(0,$B$6-IF($B$1+13&gt;=$B$23,$B$22,0))*(1+$B$4)^13)&gt;0,1+$B$3,1))</f>
        <v/>
      </c>
      <c r="Q57">
        <f>IF($B$1+14&gt;90,P57,(P57+IF($B$1+14&lt;=$B57,12*$B$7,-12*MAX(0,$B$6-IF($B$1+14&gt;=$B$23,$B$22,0))*(1+$B$4)^14))*IF(P57+IF($B$1+14&lt;=$B57,12*$B$7,-12*MAX(0,$B$6-IF($B$1+14&gt;=$B$23,$B$22,0))*(1+$B$4)^14)&gt;0,1+$B$3,1))</f>
        <v/>
      </c>
      <c r="R57">
        <f>IF($B$1+15&gt;90,Q57,(Q57+IF($B$1+15&lt;=$B57,12*$B$7,-12*MAX(0,$B$6-IF($B$1+15&gt;=$B$23,$B$22,0))*(1+$B$4)^15))*IF(Q57+IF($B$1+15&lt;=$B57,12*$B$7,-12*MAX(0,$B$6-IF($B$1+15&gt;=$B$23,$B$22,0))*(1+$B$4)^15)&gt;0,1+$B$3,1))</f>
        <v/>
      </c>
      <c r="S57">
        <f>IF($B$1+16&gt;90,R57,(R57+IF($B$1+16&lt;=$B57,12*$B$7,-12*MAX(0,$B$6-IF($B$1+16&gt;=$B$23,$B$22,0))*(1+$B$4)^16))*IF(R57+IF($B$1+16&lt;=$B57,12*$B$7,-12*MAX(0,$B$6-IF($B$1+16&gt;=$B$23,$B$22,0))*(1+$B$4)^16)&gt;0,1+$B$3,1))</f>
        <v/>
      </c>
      <c r="T57">
        <f>IF($B$1+17&gt;90,S57,(S57+IF($B$1+17&lt;=$B57,12*$B$7,-12*MAX(0,$B$6-IF($B$1+17&gt;=$B$23,$B$22,0))*(1+$B$4)^17))*IF(S57+IF($B$1+17&lt;=$B57,12*$B$7,-12*MAX(0,$B$6-IF($B$1+17&gt;=$B$23,$B$22,0))*(1+$B$4)^17)&gt;0,1+$B$3,1))</f>
        <v/>
      </c>
      <c r="U57">
        <f>IF($B$1+18&gt;90,T57,(T57+IF($B$1+18&lt;=$B57,12*$B$7,-12*MAX(0,$B$6-IF($B$1+18&gt;=$B$23,$B$22,0))*(1+$B$4)^18))*IF(T57+IF($B$1+18&lt;=$B57,12*$B$7,-12*MAX(0,$B$6-IF($B$1+18&gt;=$B$23,$B$22,0))*(1+$B$4)^18)&gt;0,1+$B$3,1))</f>
        <v/>
      </c>
      <c r="V57">
        <f>IF($B$1+19&gt;90,U57,(U57+IF($B$1+19&lt;=$B57,12*$B$7,-12*MAX(0,$B$6-IF($B$1+19&gt;=$B$23,$B$22,0))*(1+$B$4)^19))*IF(U57+IF($B$1+19&lt;=$B57,12*$B$7,-12*MAX(0,$B$6-IF($B$1+19&gt;=$B$23,$B$22,0))*(1+$B$4)^19)&gt;0,1+$B$3,1))</f>
        <v/>
      </c>
      <c r="W57">
        <f>IF($B$1+20&gt;90,V57,(V57+IF($B$1+20&lt;=$B57,12*$B$7,-12*MAX(0,$B$6-IF($B$1+20&gt;=$B$23,$B$22,0))*(1+$B$4)^20))*IF(V57+IF($B$1+20&lt;=$B57,12*$B$7,-12*MAX(0,$B$6-IF($B$1+20&gt;=$B$23,$B$22,0))*(1+$B$4)^20)&gt;0,1+$B$3,1))</f>
        <v/>
      </c>
      <c r="X57">
        <f>IF($B$1+21&gt;90,W57,(W57+IF($B$1+21&lt;=$B57,12*$B$7,-12*MAX(0,$B$6-IF($B$1+21&gt;=$B$23,$B$22,0))*(1+$B$4)^21))*IF(W57+IF($B$1+21&lt;=$B57,12*$B$7,-12*MAX(0,$B$6-IF($B$1+21&gt;=$B$23,$B$22,0))*(1+$B$4)^21)&gt;0,1+$B$3,1))</f>
        <v/>
      </c>
      <c r="Y57">
        <f>IF($B$1+22&gt;90,X57,(X57+IF($B$1+22&lt;=$B57,12*$B$7,-12*MAX(0,$B$6-IF($B$1+22&gt;=$B$23,$B$22,0))*(1+$B$4)^22))*IF(X57+IF($B$1+22&lt;=$B57,12*$B$7,-12*MAX(0,$B$6-IF($B$1+22&gt;=$B$23,$B$22,0))*(1+$B$4)^22)&gt;0,1+$B$3,1))</f>
        <v/>
      </c>
      <c r="Z57">
        <f>IF($B$1+23&gt;90,Y57,(Y57+IF($B$1+23&lt;=$B57,12*$B$7,-12*MAX(0,$B$6-IF($B$1+23&gt;=$B$23,$B$22,0))*(1+$B$4)^23))*IF(Y57+IF($B$1+23&lt;=$B57,12*$B$7,-12*MAX(0,$B$6-IF($B$1+23&gt;=$B$23,$B$22,0))*(1+$B$4)^23)&gt;0,1+$B$3,1))</f>
        <v/>
      </c>
      <c r="AA57">
        <f>IF($B$1+24&gt;90,Z57,(Z57+IF($B$1+24&lt;=$B57,12*$B$7,-12*MAX(0,$B$6-IF($B$1+24&gt;=$B$23,$B$22,0))*(1+$B$4)^24))*IF(Z57+IF($B$1+24&lt;=$B57,12*$B$7,-12*MAX(0,$B$6-IF($B$1+24&gt;=$B$23,$B$22,0))*(1+$B$4)^24)&gt;0,1+$B$3,1))</f>
        <v/>
      </c>
      <c r="AB57">
        <f>IF($B$1+25&gt;90,AA57,(AA57+IF($B$1+25&lt;=$B57,12*$B$7,-12*MAX(0,$B$6-IF($B$1+25&gt;=$B$23,$B$22,0))*(1+$B$4)^25))*IF(AA57+IF($B$1+25&lt;=$B57,12*$B$7,-12*MAX(0,$B$6-IF($B$1+25&gt;=$B$23,$B$22,0))*(1+$B$4)^25)&gt;0,1+$B$3,1))</f>
        <v/>
      </c>
      <c r="AC57">
        <f>IF($B$1+26&gt;90,AB57,(AB57+IF($B$1+26&lt;=$B57,12*$B$7,-12*MAX(0,$B$6-IF($B$1+26&gt;=$B$23,$B$22,0))*(1+$B$4)^26))*IF(AB57+IF($B$1+26&lt;=$B57,12*$B$7,-12*MAX(0,$B$6-IF($B$1+26&gt;=$B$23,$B$22,0))*(1+$B$4)^26)&gt;0,1+$B$3,1))</f>
        <v/>
      </c>
      <c r="AD57">
        <f>IF($B$1+27&gt;90,AC57,(AC57+IF($B$1+27&lt;=$B57,12*$B$7,-12*MAX(0,$B$6-IF($B$1+27&gt;=$B$23,$B$22,0))*(1+$B$4)^27))*IF(AC57+IF($B$1+27&lt;=$B57,12*$B$7,-12*MAX(0,$B$6-IF($B$1+27&gt;=$B$23,$B$22,0))*(1+$B$4)^27)&gt;0,1+$B$3,1))</f>
        <v/>
      </c>
      <c r="AE57">
        <f>IF($B$1+28&gt;90,AD57,(AD57+IF($B$1+28&lt;=$B57,12*$B$7,-12*MAX(0,$B$6-IF($B$1+28&gt;=$B$23,$B$22,0))*(1+$B$4)^28))*IF(AD57+IF($B$1+28&lt;=$B57,12*$B$7,-12*MAX(0,$B$6-IF($B$1+28&gt;=$B$23,$B$22,0))*(1+$B$4)^28)&gt;0,1+$B$3,1))</f>
        <v/>
      </c>
      <c r="AF57">
        <f>IF($B$1+29&gt;90,AE57,(AE57+IF($B$1+29&lt;=$B57,12*$B$7,-12*MAX(0,$B$6-IF($B$1+29&gt;=$B$23,$B$22,0))*(1+$B$4)^29))*IF(AE57+IF($B$1+29&lt;=$B57,12*$B$7,-12*MAX(0,$B$6-IF($B$1+29&gt;=$B$23,$B$22,0))*(1+$B$4)^29)&gt;0,1+$B$3,1))</f>
        <v/>
      </c>
      <c r="AG57">
        <f>IF($B$1+30&gt;90,AF57,(AF57+IF($B$1+30&lt;=$B57,12*$B$7,-12*MAX(0,$B$6-IF($B$1+30&gt;=$B$23,$B$22,0))*(1+$B$4)^30))*IF(AF57+IF($B$1+30&lt;=$B57,12*$B$7,-12*MAX(0,$B$6-IF($B$1+30&gt;=$B$23,$B$22,0))*(1+$B$4)^30)&gt;0,1+$B$3,1))</f>
        <v/>
      </c>
      <c r="AH57">
        <f>IF($B$1+31&gt;90,AG57,(AG57+IF($B$1+31&lt;=$B57,12*$B$7,-12*MAX(0,$B$6-IF($B$1+31&gt;=$B$23,$B$22,0))*(1+$B$4)^31))*IF(AG57+IF($B$1+31&lt;=$B57,12*$B$7,-12*MAX(0,$B$6-IF($B$1+31&gt;=$B$23,$B$22,0))*(1+$B$4)^31)&gt;0,1+$B$3,1))</f>
        <v/>
      </c>
      <c r="AI57">
        <f>IF($B$1+32&gt;90,AH57,(AH57+IF($B$1+32&lt;=$B57,12*$B$7,-12*MAX(0,$B$6-IF($B$1+32&gt;=$B$23,$B$22,0))*(1+$B$4)^32))*IF(AH57+IF($B$1+32&lt;=$B57,12*$B$7,-12*MAX(0,$B$6-IF($B$1+32&gt;=$B$23,$B$22,0))*(1+$B$4)^32)&gt;0,1+$B$3,1))</f>
        <v/>
      </c>
      <c r="AJ57">
        <f>IF($B$1+33&gt;90,AI57,(AI57+IF($B$1+33&lt;=$B57,12*$B$7,-12*MAX(0,$B$6-IF($B$1+33&gt;=$B$23,$B$22,0))*(1+$B$4)^33))*IF(AI57+IF($B$1+33&lt;=$B57,12*$B$7,-12*MAX(0,$B$6-IF($B$1+33&gt;=$B$23,$B$22,0))*(1+$B$4)^33)&gt;0,1+$B$3,1))</f>
        <v/>
      </c>
      <c r="AK57">
        <f>IF($B$1+34&gt;90,AJ57,(AJ57+IF($B$1+34&lt;=$B57,12*$B$7,-12*MAX(0,$B$6-IF($B$1+34&gt;=$B$23,$B$22,0))*(1+$B$4)^34))*IF(AJ57+IF($B$1+34&lt;=$B57,12*$B$7,-12*MAX(0,$B$6-IF($B$1+34&gt;=$B$23,$B$22,0))*(1+$B$4)^34)&gt;0,1+$B$3,1))</f>
        <v/>
      </c>
      <c r="AL57">
        <f>IF($B$1+35&gt;90,AK57,(AK57+IF($B$1+35&lt;=$B57,12*$B$7,-12*MAX(0,$B$6-IF($B$1+35&gt;=$B$23,$B$22,0))*(1+$B$4)^35))*IF(AK57+IF($B$1+35&lt;=$B57,12*$B$7,-12*MAX(0,$B$6-IF($B$1+35&gt;=$B$23,$B$22,0))*(1+$B$4)^35)&gt;0,1+$B$3,1))</f>
        <v/>
      </c>
      <c r="AM57">
        <f>IF($B$1+36&gt;90,AL57,(AL57+IF($B$1+36&lt;=$B57,12*$B$7,-12*MAX(0,$B$6-IF($B$1+36&gt;=$B$23,$B$22,0))*(1+$B$4)^36))*IF(AL57+IF($B$1+36&lt;=$B57,12*$B$7,-12*MAX(0,$B$6-IF($B$1+36&gt;=$B$23,$B$22,0))*(1+$B$4)^36)&gt;0,1+$B$3,1))</f>
        <v/>
      </c>
      <c r="AN57">
        <f>IF($B$1+37&gt;90,AM57,(AM57+IF($B$1+37&lt;=$B57,12*$B$7,-12*MAX(0,$B$6-IF($B$1+37&gt;=$B$23,$B$22,0))*(1+$B$4)^37))*IF(AM57+IF($B$1+37&lt;=$B57,12*$B$7,-12*MAX(0,$B$6-IF($B$1+37&gt;=$B$23,$B$22,0))*(1+$B$4)^37)&gt;0,1+$B$3,1))</f>
        <v/>
      </c>
      <c r="AO57">
        <f>IF($B$1+38&gt;90,AN57,(AN57+IF($B$1+38&lt;=$B57,12*$B$7,-12*MAX(0,$B$6-IF($B$1+38&gt;=$B$23,$B$22,0))*(1+$B$4)^38))*IF(AN57+IF($B$1+38&lt;=$B57,12*$B$7,-12*MAX(0,$B$6-IF($B$1+38&gt;=$B$23,$B$22,0))*(1+$B$4)^38)&gt;0,1+$B$3,1))</f>
        <v/>
      </c>
      <c r="AP57">
        <f>IF($B$1+39&gt;90,AO57,(AO57+IF($B$1+39&lt;=$B57,12*$B$7,-12*MAX(0,$B$6-IF($B$1+39&gt;=$B$23,$B$22,0))*(1+$B$4)^39))*IF(AO57+IF($B$1+39&lt;=$B57,12*$B$7,-12*MAX(0,$B$6-IF($B$1+39&gt;=$B$23,$B$22,0))*(1+$B$4)^39)&gt;0,1+$B$3,1))</f>
        <v/>
      </c>
      <c r="AQ57">
        <f>IF($B$1+40&gt;90,AP57,(AP57+IF($B$1+40&lt;=$B57,12*$B$7,-12*MAX(0,$B$6-IF($B$1+40&gt;=$B$23,$B$22,0))*(1+$B$4)^40))*IF(AP57+IF($B$1+40&lt;=$B57,12*$B$7,-12*MAX(0,$B$6-IF($B$1+40&gt;=$B$23,$B$22,0))*(1+$B$4)^40)&gt;0,1+$B$3,1))</f>
        <v/>
      </c>
      <c r="AR57">
        <f>IF($B$1+41&gt;90,AQ57,(AQ57+IF($B$1+41&lt;=$B57,12*$B$7,-12*MAX(0,$B$6-IF($B$1+41&gt;=$B$23,$B$22,0))*(1+$B$4)^41))*IF(AQ57+IF($B$1+41&lt;=$B57,12*$B$7,-12*MAX(0,$B$6-IF($B$1+41&gt;=$B$23,$B$22,0))*(1+$B$4)^41)&gt;0,1+$B$3,1))</f>
        <v/>
      </c>
      <c r="AS57">
        <f>IF($B$1+42&gt;90,AR57,(AR57+IF($B$1+42&lt;=$B57,12*$B$7,-12*MAX(0,$B$6-IF($B$1+42&gt;=$B$23,$B$22,0))*(1+$B$4)^42))*IF(AR57+IF($B$1+42&lt;=$B57,12*$B$7,-12*MAX(0,$B$6-IF($B$1+42&gt;=$B$23,$B$22,0))*(1+$B$4)^42)&gt;0,1+$B$3,1))</f>
        <v/>
      </c>
      <c r="AT57">
        <f>IF($B$1+43&gt;90,AS57,(AS57+IF($B$1+43&lt;=$B57,12*$B$7,-12*MAX(0,$B$6-IF($B$1+43&gt;=$B$23,$B$22,0))*(1+$B$4)^43))*IF(AS57+IF($B$1+43&lt;=$B57,12*$B$7,-12*MAX(0,$B$6-IF($B$1+43&gt;=$B$23,$B$22,0))*(1+$B$4)^43)&gt;0,1+$B$3,1))</f>
        <v/>
      </c>
      <c r="AU57">
        <f>IF($B$1+44&gt;90,AT57,(AT57+IF($B$1+44&lt;=$B57,12*$B$7,-12*MAX(0,$B$6-IF($B$1+44&gt;=$B$23,$B$22,0))*(1+$B$4)^44))*IF(AT57+IF($B$1+44&lt;=$B57,12*$B$7,-12*MAX(0,$B$6-IF($B$1+44&gt;=$B$23,$B$22,0))*(1+$B$4)^44)&gt;0,1+$B$3,1))</f>
        <v/>
      </c>
      <c r="AV57">
        <f>IF($B$1+45&gt;90,AU57,(AU57+IF($B$1+45&lt;=$B57,12*$B$7,-12*MAX(0,$B$6-IF($B$1+45&gt;=$B$23,$B$22,0))*(1+$B$4)^45))*IF(AU57+IF($B$1+45&lt;=$B57,12*$B$7,-12*MAX(0,$B$6-IF($B$1+45&gt;=$B$23,$B$22,0))*(1+$B$4)^45)&gt;0,1+$B$3,1))</f>
        <v/>
      </c>
      <c r="AW57">
        <f>IF($B$1+46&gt;90,AV57,(AV57+IF($B$1+46&lt;=$B57,12*$B$7,-12*MAX(0,$B$6-IF($B$1+46&gt;=$B$23,$B$22,0))*(1+$B$4)^46))*IF(AV57+IF($B$1+46&lt;=$B57,12*$B$7,-12*MAX(0,$B$6-IF($B$1+46&gt;=$B$23,$B$22,0))*(1+$B$4)^46)&gt;0,1+$B$3,1))</f>
        <v/>
      </c>
      <c r="AX57">
        <f>IF($B$1+47&gt;90,AW57,(AW57+IF($B$1+47&lt;=$B57,12*$B$7,-12*MAX(0,$B$6-IF($B$1+47&gt;=$B$23,$B$22,0))*(1+$B$4)^47))*IF(AW57+IF($B$1+47&lt;=$B57,12*$B$7,-12*MAX(0,$B$6-IF($B$1+47&gt;=$B$23,$B$22,0))*(1+$B$4)^47)&gt;0,1+$B$3,1))</f>
        <v/>
      </c>
      <c r="AY57">
        <f>IF($B$1+48&gt;90,AX57,(AX57+IF($B$1+48&lt;=$B57,12*$B$7,-12*MAX(0,$B$6-IF($B$1+48&gt;=$B$23,$B$22,0))*(1+$B$4)^48))*IF(AX57+IF($B$1+48&lt;=$B57,12*$B$7,-12*MAX(0,$B$6-IF($B$1+48&gt;=$B$23,$B$22,0))*(1+$B$4)^48)&gt;0,1+$B$3,1))</f>
        <v/>
      </c>
      <c r="AZ57">
        <f>IF($B$1+49&gt;90,AY57,(AY57+IF($B$1+49&lt;=$B57,12*$B$7,-12*MAX(0,$B$6-IF($B$1+49&gt;=$B$23,$B$22,0))*(1+$B$4)^49))*IF(AY57+IF($B$1+49&lt;=$B57,12*$B$7,-12*MAX(0,$B$6-IF($B$1+49&gt;=$B$23,$B$22,0))*(1+$B$4)^49)&gt;0,1+$B$3,1))</f>
        <v/>
      </c>
      <c r="BA57">
        <f>IF($B$1+50&gt;90,AZ57,(AZ57+IF($B$1+50&lt;=$B57,12*$B$7,-12*MAX(0,$B$6-IF($B$1+50&gt;=$B$23,$B$22,0))*(1+$B$4)^50))*IF(AZ57+IF($B$1+50&lt;=$B57,12*$B$7,-12*MAX(0,$B$6-IF($B$1+50&gt;=$B$23,$B$22,0))*(1+$B$4)^50)&gt;0,1+$B$3,1))</f>
        <v/>
      </c>
      <c r="BB57">
        <f>IF($B$1+51&gt;90,BA57,(BA57+IF($B$1+51&lt;=$B57,12*$B$7,-12*MAX(0,$B$6-IF($B$1+51&gt;=$B$23,$B$22,0))*(1+$B$4)^51))*IF(BA57+IF($B$1+51&lt;=$B57,12*$B$7,-12*MAX(0,$B$6-IF($B$1+51&gt;=$B$23,$B$22,0))*(1+$B$4)^51)&gt;0,1+$B$3,1))</f>
        <v/>
      </c>
      <c r="BC57">
        <f>IF($B$1+52&gt;90,BB57,(BB57+IF($B$1+52&lt;=$B57,12*$B$7,-12*MAX(0,$B$6-IF($B$1+52&gt;=$B$23,$B$22,0))*(1+$B$4)^52))*IF(BB57+IF($B$1+52&lt;=$B57,12*$B$7,-12*MAX(0,$B$6-IF($B$1+52&gt;=$B$23,$B$22,0))*(1+$B$4)^52)&gt;0,1+$B$3,1))</f>
        <v/>
      </c>
      <c r="BD57">
        <f>IF($B$1+53&gt;90,BC57,(BC57+IF($B$1+53&lt;=$B57,12*$B$7,-12*MAX(0,$B$6-IF($B$1+53&gt;=$B$23,$B$22,0))*(1+$B$4)^53))*IF(BC57+IF($B$1+53&lt;=$B57,12*$B$7,-12*MAX(0,$B$6-IF($B$1+53&gt;=$B$23,$B$22,0))*(1+$B$4)^53)&gt;0,1+$B$3,1))</f>
        <v/>
      </c>
      <c r="BE57">
        <f>IF($B$1+54&gt;90,BD57,(BD57+IF($B$1+54&lt;=$B57,12*$B$7,-12*MAX(0,$B$6-IF($B$1+54&gt;=$B$23,$B$22,0))*(1+$B$4)^54))*IF(BD57+IF($B$1+54&lt;=$B57,12*$B$7,-12*MAX(0,$B$6-IF($B$1+54&gt;=$B$23,$B$22,0))*(1+$B$4)^54)&gt;0,1+$B$3,1))</f>
        <v/>
      </c>
      <c r="BF57">
        <f>IF($B$1+55&gt;90,BE57,(BE57+IF($B$1+55&lt;=$B57,12*$B$7,-12*MAX(0,$B$6-IF($B$1+55&gt;=$B$23,$B$22,0))*(1+$B$4)^55))*IF(BE57+IF($B$1+55&lt;=$B57,12*$B$7,-12*MAX(0,$B$6-IF($B$1+55&gt;=$B$23,$B$22,0))*(1+$B$4)^55)&gt;0,1+$B$3,1))</f>
        <v/>
      </c>
      <c r="BG57">
        <f>IF($B$1+56&gt;90,BF57,(BF57+IF($B$1+56&lt;=$B57,12*$B$7,-12*MAX(0,$B$6-IF($B$1+56&gt;=$B$23,$B$22,0))*(1+$B$4)^56))*IF(BF57+IF($B$1+56&lt;=$B57,12*$B$7,-12*MAX(0,$B$6-IF($B$1+56&gt;=$B$23,$B$22,0))*(1+$B$4)^56)&gt;0,1+$B$3,1))</f>
        <v/>
      </c>
      <c r="BH57">
        <f>IF($B$1+57&gt;90,BG57,(BG57+IF($B$1+57&lt;=$B57,12*$B$7,-12*MAX(0,$B$6-IF($B$1+57&gt;=$B$23,$B$22,0))*(1+$B$4)^57))*IF(BG57+IF($B$1+57&lt;=$B57,12*$B$7,-12*MAX(0,$B$6-IF($B$1+57&gt;=$B$23,$B$22,0))*(1+$B$4)^57)&gt;0,1+$B$3,1))</f>
        <v/>
      </c>
      <c r="BI57">
        <f>IF($B$1+58&gt;90,BH57,(BH57+IF($B$1+58&lt;=$B57,12*$B$7,-12*MAX(0,$B$6-IF($B$1+58&gt;=$B$23,$B$22,0))*(1+$B$4)^58))*IF(BH57+IF($B$1+58&lt;=$B57,12*$B$7,-12*MAX(0,$B$6-IF($B$1+58&gt;=$B$23,$B$22,0))*(1+$B$4)^58)&gt;0,1+$B$3,1))</f>
        <v/>
      </c>
      <c r="BJ57">
        <f>IF($B$1+59&gt;90,BI57,(BI57+IF($B$1+59&lt;=$B57,12*$B$7,-12*MAX(0,$B$6-IF($B$1+59&gt;=$B$23,$B$22,0))*(1+$B$4)^59))*IF(BI57+IF($B$1+59&lt;=$B57,12*$B$7,-12*MAX(0,$B$6-IF($B$1+59&gt;=$B$23,$B$22,0))*(1+$B$4)^59)&gt;0,1+$B$3,1))</f>
        <v/>
      </c>
      <c r="BK57">
        <f>IF($B$1+60&gt;90,BJ57,(BJ57+IF($B$1+60&lt;=$B57,12*$B$7,-12*MAX(0,$B$6-IF($B$1+60&gt;=$B$23,$B$22,0))*(1+$B$4)^60))*IF(BJ57+IF($B$1+60&lt;=$B57,12*$B$7,-12*MAX(0,$B$6-IF($B$1+60&gt;=$B$23,$B$22,0))*(1+$B$4)^60)&gt;0,1+$B$3,1))</f>
        <v/>
      </c>
      <c r="BL57">
        <f>IF($B$1+61&gt;90,BK57,(BK57+IF($B$1+61&lt;=$B57,12*$B$7,-12*MAX(0,$B$6-IF($B$1+61&gt;=$B$23,$B$22,0))*(1+$B$4)^61))*IF(BK57+IF($B$1+61&lt;=$B57,12*$B$7,-12*MAX(0,$B$6-IF($B$1+61&gt;=$B$23,$B$22,0))*(1+$B$4)^61)&gt;0,1+$B$3,1))</f>
        <v/>
      </c>
      <c r="BM57">
        <f>IF($B$1+62&gt;90,BL57,(BL57+IF($B$1+62&lt;=$B57,12*$B$7,-12*MAX(0,$B$6-IF($B$1+62&gt;=$B$23,$B$22,0))*(1+$B$4)^62))*IF(BL57+IF($B$1+62&lt;=$B57,12*$B$7,-12*MAX(0,$B$6-IF($B$1+62&gt;=$B$23,$B$22,0))*(1+$B$4)^62)&gt;0,1+$B$3,1))</f>
        <v/>
      </c>
      <c r="BN57">
        <f>IF($B$1+63&gt;90,BM57,(BM57+IF($B$1+63&lt;=$B57,12*$B$7,-12*MAX(0,$B$6-IF($B$1+63&gt;=$B$23,$B$22,0))*(1+$B$4)^63))*IF(BM57+IF($B$1+63&lt;=$B57,12*$B$7,-12*MAX(0,$B$6-IF($B$1+63&gt;=$B$23,$B$22,0))*(1+$B$4)^63)&gt;0,1+$B$3,1))</f>
        <v/>
      </c>
      <c r="BO57">
        <f>IF($B$1+64&gt;90,BN57,(BN57+IF($B$1+64&lt;=$B57,12*$B$7,-12*MAX(0,$B$6-IF($B$1+64&gt;=$B$23,$B$22,0))*(1+$B$4)^64))*IF(BN57+IF($B$1+64&lt;=$B57,12*$B$7,-12*MAX(0,$B$6-IF($B$1+64&gt;=$B$23,$B$22,0))*(1+$B$4)^64)&gt;0,1+$B$3,1))</f>
        <v/>
      </c>
      <c r="BP57">
        <f>IF($B$1+65&gt;90,BO57,(BO57+IF($B$1+65&lt;=$B57,12*$B$7,-12*MAX(0,$B$6-IF($B$1+65&gt;=$B$23,$B$22,0))*(1+$B$4)^65))*IF(BO57+IF($B$1+65&lt;=$B57,12*$B$7,-12*MAX(0,$B$6-IF($B$1+65&gt;=$B$23,$B$22,0))*(1+$B$4)^65)&gt;0,1+$B$3,1))</f>
        <v/>
      </c>
      <c r="BQ57">
        <f>IF($B$1+66&gt;90,BP57,(BP57+IF($B$1+66&lt;=$B57,12*$B$7,-12*MAX(0,$B$6-IF($B$1+66&gt;=$B$23,$B$22,0))*(1+$B$4)^66))*IF(BP57+IF($B$1+66&lt;=$B57,12*$B$7,-12*MAX(0,$B$6-IF($B$1+66&gt;=$B$23,$B$22,0))*(1+$B$4)^66)&gt;0,1+$B$3,1))</f>
        <v/>
      </c>
      <c r="BR57">
        <f>IF($B$1+67&gt;90,BQ57,(BQ57+IF($B$1+67&lt;=$B57,12*$B$7,-12*MAX(0,$B$6-IF($B$1+67&gt;=$B$23,$B$22,0))*(1+$B$4)^67))*IF(BQ57+IF($B$1+67&lt;=$B57,12*$B$7,-12*MAX(0,$B$6-IF($B$1+67&gt;=$B$23,$B$22,0))*(1+$B$4)^67)&gt;0,1+$B$3,1))</f>
        <v/>
      </c>
      <c r="BS57">
        <f>IF($B$1+68&gt;90,BR57,(BR57+IF($B$1+68&lt;=$B57,12*$B$7,-12*MAX(0,$B$6-IF($B$1+68&gt;=$B$23,$B$22,0))*(1+$B$4)^68))*IF(BR57+IF($B$1+68&lt;=$B57,12*$B$7,-12*MAX(0,$B$6-IF($B$1+68&gt;=$B$23,$B$22,0))*(1+$B$4)^68)&gt;0,1+$B$3,1))</f>
        <v/>
      </c>
      <c r="BT57">
        <f>IF($B$1+69&gt;90,BS57,(BS57+IF($B$1+69&lt;=$B57,12*$B$7,-12*MAX(0,$B$6-IF($B$1+69&gt;=$B$23,$B$22,0))*(1+$B$4)^69))*IF(BS57+IF($B$1+69&lt;=$B57,12*$B$7,-12*MAX(0,$B$6-IF($B$1+69&gt;=$B$23,$B$22,0))*(1+$B$4)^69)&gt;0,1+$B$3,1))</f>
        <v/>
      </c>
      <c r="BU57">
        <f>IF($B$1+70&gt;90,BT57,(BT57+IF($B$1+70&lt;=$B57,12*$B$7,-12*MAX(0,$B$6-IF($B$1+70&gt;=$B$23,$B$22,0))*(1+$B$4)^70))*IF(BT57+IF($B$1+70&lt;=$B57,12*$B$7,-12*MAX(0,$B$6-IF($B$1+70&gt;=$B$23,$B$22,0))*(1+$B$4)^70)&gt;0,1+$B$3,1))</f>
        <v/>
      </c>
      <c r="BV57">
        <f>BU57</f>
        <v/>
      </c>
      <c r="BW57">
        <f>IF(AND($B57&lt;=70,BV57&gt;0),$B57,999)</f>
        <v/>
      </c>
      <c r="CB57" t="n">
        <v>56</v>
      </c>
      <c r="CC57">
        <f>IF($B$1+CB57&gt;90,0,12*MAX(0,$B$6-IF($B$1+CB57&gt;=$B$23,$B$22,0))*(1+$B$4)^CB57/(1+$B$3)^(CB57-1))</f>
        <v/>
      </c>
      <c r="CE57">
        <f>IF($B$1+55&gt;90,NA(),$B$1+55)</f>
        <v/>
      </c>
      <c r="CF57">
        <f>IF(OR($B$21="",$B$1+55&gt;90),NA(),INDEX($C$40:$BU$90,$B$21-$B$1+1,56))</f>
        <v/>
      </c>
      <c r="CH57">
        <f>IF(ISTEXT('월 가계부'!A57),SUBSTITUTE(SUBSTITUTE(SUBSTITUTE(SUBSTITUTE(SUBSTITUTE(SUBSTITUTE(SUBSTITUTE(SUBSTITUTE(SUBSTITUTE(TRIM('월 가계부'!A57),"년","-"),"월","-"),"일",""),".","-"),"/","-")," ","-"),"--","-"),"--","-"),"--","-")&amp;"-","")</f>
        <v/>
      </c>
      <c r="CI57">
        <f>IFERROR(IF('월 가계부'!A57="","",IF(ISNUMBER('월 가계부'!A57),IF(AND('월 가계부'!A57&gt;=19000101,'월 가계부'!A57&lt;=21001231),IF(AND(MOD(INT('월 가계부'!A57/100),100)&gt;=1,MOD(INT('월 가계부'!A57/100),100)&lt;=12,MOD(INT('월 가계부'!A57),100)&gt;=1,MOD(INT('월 가계부'!A57),100)&lt;=31),IF(MONTH(DATE(INT('월 가계부'!A57/10000),MOD(INT('월 가계부'!A57/100),100),MOD(INT('월 가계부'!A57),100)))=MOD(INT('월 가계부'!A57/100),100),DATE(INT('월 가계부'!A57/10000),MOD(INT('월 가계부'!A57/100),100),MOD(INT('월 가계부'!A57),100)),""),""),IF(AND('월 가계부'!A57&gt;=36526,'월 가계부'!A57&lt;73051),INT('월 가계부'!A57),"")),IF(OR(CM57="",CN57="",CO57=""),"",IF(AND(CM57&gt;=2000,CM57&lt;=2099,CN57&gt;=1,CN57&lt;=12,CO57&gt;=1,CO57&lt;=31),IF(MONTH(DATE(CM57,CN57,CO57))=CN57,DATE(CM57,CN57,CO57),""),"")))),"")</f>
        <v/>
      </c>
      <c r="CJ57">
        <f>IFERROR(IF('월 가계부'!C57="","",IF(ISNUMBER('월 가계부'!C57),'월 가계부'!C57,VALUE(SUBSTITUTE(SUBSTITUTE(SUBSTITUTE(SUBSTITUTE(TRIM('월 가계부'!C57),",",""),"원","")," ",""),"−","-")))),"")</f>
        <v/>
      </c>
      <c r="CK57">
        <f>IF(ISNUMBER(CI57),IF(CI57&lt;$B$13,CI57,""),"")</f>
        <v/>
      </c>
      <c r="CM57">
        <f>IF(CH57="","",IFERROR(IF(IF(AND(LEN(CH57)=9,ISERROR(FIND("-",LEFT(CH57,8))),ISNUMBER(-LEFT(CH57,8))),VALUE(LEFT(CH57,4)),VALUE(LEFT(CH57,FIND("-",CH57)-1)))&lt;100,IF(AND(LEN(CH57)=9,ISERROR(FIND("-",LEFT(CH57,8))),ISNUMBER(-LEFT(CH57,8))),VALUE(LEFT(CH57,4)),VALUE(LEFT(CH57,FIND("-",CH57)-1)))+2000,IF(AND(LEN(CH57)=9,ISERROR(FIND("-",LEFT(CH57,8))),ISNUMBER(-LEFT(CH57,8))),VALUE(LEFT(CH57,4)),VALUE(LEFT(CH57,FIND("-",CH57)-1)))),""))</f>
        <v/>
      </c>
      <c r="CN57">
        <f>IF(CH57="","",IFERROR(IF(AND(LEN(CH57)=9,ISERROR(FIND("-",LEFT(CH57,8))),ISNUMBER(-LEFT(CH57,8))),VALUE(MID(CH57,5,2)),VALUE(MID(CH57,FIND("-",CH57)+1,FIND("-",CH57,FIND("-",CH57)+1)-FIND("-",CH57)-1))),""))</f>
        <v/>
      </c>
      <c r="CO57">
        <f>IF(CH57="","",IFERROR(IF(AND(LEN(CH57)=9,ISERROR(FIND("-",LEFT(CH57,8))),ISNUMBER(-LEFT(CH57,8))),VALUE(MID(CH57,7,2)),VALUE(MID(CH57,FIND("-",CH57,FIND("-",CH57)+1)+1,FIND("-",CH57,FIND("-",CH57,FIND("-",CH57)+1)+1)-FIND("-",CH57,FIND("-",CH57)+1)-1))),""))</f>
        <v/>
      </c>
    </row>
    <row r="58">
      <c r="A58" t="n">
        <v>18</v>
      </c>
      <c r="B58">
        <f>$B$1+18</f>
        <v/>
      </c>
      <c r="C58">
        <f>$B$2</f>
        <v/>
      </c>
      <c r="D58">
        <f>IF($B$1+1&gt;90,C58,(C58+IF($B$1+1&lt;=$B58,12*$B$7,-12*MAX(0,$B$6-IF($B$1+1&gt;=$B$23,$B$22,0))*(1+$B$4)^1))*IF(C58+IF($B$1+1&lt;=$B58,12*$B$7,-12*MAX(0,$B$6-IF($B$1+1&gt;=$B$23,$B$22,0))*(1+$B$4)^1)&gt;0,1+$B$3,1))</f>
        <v/>
      </c>
      <c r="E58">
        <f>IF($B$1+2&gt;90,D58,(D58+IF($B$1+2&lt;=$B58,12*$B$7,-12*MAX(0,$B$6-IF($B$1+2&gt;=$B$23,$B$22,0))*(1+$B$4)^2))*IF(D58+IF($B$1+2&lt;=$B58,12*$B$7,-12*MAX(0,$B$6-IF($B$1+2&gt;=$B$23,$B$22,0))*(1+$B$4)^2)&gt;0,1+$B$3,1))</f>
        <v/>
      </c>
      <c r="F58">
        <f>IF($B$1+3&gt;90,E58,(E58+IF($B$1+3&lt;=$B58,12*$B$7,-12*MAX(0,$B$6-IF($B$1+3&gt;=$B$23,$B$22,0))*(1+$B$4)^3))*IF(E58+IF($B$1+3&lt;=$B58,12*$B$7,-12*MAX(0,$B$6-IF($B$1+3&gt;=$B$23,$B$22,0))*(1+$B$4)^3)&gt;0,1+$B$3,1))</f>
        <v/>
      </c>
      <c r="G58">
        <f>IF($B$1+4&gt;90,F58,(F58+IF($B$1+4&lt;=$B58,12*$B$7,-12*MAX(0,$B$6-IF($B$1+4&gt;=$B$23,$B$22,0))*(1+$B$4)^4))*IF(F58+IF($B$1+4&lt;=$B58,12*$B$7,-12*MAX(0,$B$6-IF($B$1+4&gt;=$B$23,$B$22,0))*(1+$B$4)^4)&gt;0,1+$B$3,1))</f>
        <v/>
      </c>
      <c r="H58">
        <f>IF($B$1+5&gt;90,G58,(G58+IF($B$1+5&lt;=$B58,12*$B$7,-12*MAX(0,$B$6-IF($B$1+5&gt;=$B$23,$B$22,0))*(1+$B$4)^5))*IF(G58+IF($B$1+5&lt;=$B58,12*$B$7,-12*MAX(0,$B$6-IF($B$1+5&gt;=$B$23,$B$22,0))*(1+$B$4)^5)&gt;0,1+$B$3,1))</f>
        <v/>
      </c>
      <c r="I58">
        <f>IF($B$1+6&gt;90,H58,(H58+IF($B$1+6&lt;=$B58,12*$B$7,-12*MAX(0,$B$6-IF($B$1+6&gt;=$B$23,$B$22,0))*(1+$B$4)^6))*IF(H58+IF($B$1+6&lt;=$B58,12*$B$7,-12*MAX(0,$B$6-IF($B$1+6&gt;=$B$23,$B$22,0))*(1+$B$4)^6)&gt;0,1+$B$3,1))</f>
        <v/>
      </c>
      <c r="J58">
        <f>IF($B$1+7&gt;90,I58,(I58+IF($B$1+7&lt;=$B58,12*$B$7,-12*MAX(0,$B$6-IF($B$1+7&gt;=$B$23,$B$22,0))*(1+$B$4)^7))*IF(I58+IF($B$1+7&lt;=$B58,12*$B$7,-12*MAX(0,$B$6-IF($B$1+7&gt;=$B$23,$B$22,0))*(1+$B$4)^7)&gt;0,1+$B$3,1))</f>
        <v/>
      </c>
      <c r="K58">
        <f>IF($B$1+8&gt;90,J58,(J58+IF($B$1+8&lt;=$B58,12*$B$7,-12*MAX(0,$B$6-IF($B$1+8&gt;=$B$23,$B$22,0))*(1+$B$4)^8))*IF(J58+IF($B$1+8&lt;=$B58,12*$B$7,-12*MAX(0,$B$6-IF($B$1+8&gt;=$B$23,$B$22,0))*(1+$B$4)^8)&gt;0,1+$B$3,1))</f>
        <v/>
      </c>
      <c r="L58">
        <f>IF($B$1+9&gt;90,K58,(K58+IF($B$1+9&lt;=$B58,12*$B$7,-12*MAX(0,$B$6-IF($B$1+9&gt;=$B$23,$B$22,0))*(1+$B$4)^9))*IF(K58+IF($B$1+9&lt;=$B58,12*$B$7,-12*MAX(0,$B$6-IF($B$1+9&gt;=$B$23,$B$22,0))*(1+$B$4)^9)&gt;0,1+$B$3,1))</f>
        <v/>
      </c>
      <c r="M58">
        <f>IF($B$1+10&gt;90,L58,(L58+IF($B$1+10&lt;=$B58,12*$B$7,-12*MAX(0,$B$6-IF($B$1+10&gt;=$B$23,$B$22,0))*(1+$B$4)^10))*IF(L58+IF($B$1+10&lt;=$B58,12*$B$7,-12*MAX(0,$B$6-IF($B$1+10&gt;=$B$23,$B$22,0))*(1+$B$4)^10)&gt;0,1+$B$3,1))</f>
        <v/>
      </c>
      <c r="N58">
        <f>IF($B$1+11&gt;90,M58,(M58+IF($B$1+11&lt;=$B58,12*$B$7,-12*MAX(0,$B$6-IF($B$1+11&gt;=$B$23,$B$22,0))*(1+$B$4)^11))*IF(M58+IF($B$1+11&lt;=$B58,12*$B$7,-12*MAX(0,$B$6-IF($B$1+11&gt;=$B$23,$B$22,0))*(1+$B$4)^11)&gt;0,1+$B$3,1))</f>
        <v/>
      </c>
      <c r="O58">
        <f>IF($B$1+12&gt;90,N58,(N58+IF($B$1+12&lt;=$B58,12*$B$7,-12*MAX(0,$B$6-IF($B$1+12&gt;=$B$23,$B$22,0))*(1+$B$4)^12))*IF(N58+IF($B$1+12&lt;=$B58,12*$B$7,-12*MAX(0,$B$6-IF($B$1+12&gt;=$B$23,$B$22,0))*(1+$B$4)^12)&gt;0,1+$B$3,1))</f>
        <v/>
      </c>
      <c r="P58">
        <f>IF($B$1+13&gt;90,O58,(O58+IF($B$1+13&lt;=$B58,12*$B$7,-12*MAX(0,$B$6-IF($B$1+13&gt;=$B$23,$B$22,0))*(1+$B$4)^13))*IF(O58+IF($B$1+13&lt;=$B58,12*$B$7,-12*MAX(0,$B$6-IF($B$1+13&gt;=$B$23,$B$22,0))*(1+$B$4)^13)&gt;0,1+$B$3,1))</f>
        <v/>
      </c>
      <c r="Q58">
        <f>IF($B$1+14&gt;90,P58,(P58+IF($B$1+14&lt;=$B58,12*$B$7,-12*MAX(0,$B$6-IF($B$1+14&gt;=$B$23,$B$22,0))*(1+$B$4)^14))*IF(P58+IF($B$1+14&lt;=$B58,12*$B$7,-12*MAX(0,$B$6-IF($B$1+14&gt;=$B$23,$B$22,0))*(1+$B$4)^14)&gt;0,1+$B$3,1))</f>
        <v/>
      </c>
      <c r="R58">
        <f>IF($B$1+15&gt;90,Q58,(Q58+IF($B$1+15&lt;=$B58,12*$B$7,-12*MAX(0,$B$6-IF($B$1+15&gt;=$B$23,$B$22,0))*(1+$B$4)^15))*IF(Q58+IF($B$1+15&lt;=$B58,12*$B$7,-12*MAX(0,$B$6-IF($B$1+15&gt;=$B$23,$B$22,0))*(1+$B$4)^15)&gt;0,1+$B$3,1))</f>
        <v/>
      </c>
      <c r="S58">
        <f>IF($B$1+16&gt;90,R58,(R58+IF($B$1+16&lt;=$B58,12*$B$7,-12*MAX(0,$B$6-IF($B$1+16&gt;=$B$23,$B$22,0))*(1+$B$4)^16))*IF(R58+IF($B$1+16&lt;=$B58,12*$B$7,-12*MAX(0,$B$6-IF($B$1+16&gt;=$B$23,$B$22,0))*(1+$B$4)^16)&gt;0,1+$B$3,1))</f>
        <v/>
      </c>
      <c r="T58">
        <f>IF($B$1+17&gt;90,S58,(S58+IF($B$1+17&lt;=$B58,12*$B$7,-12*MAX(0,$B$6-IF($B$1+17&gt;=$B$23,$B$22,0))*(1+$B$4)^17))*IF(S58+IF($B$1+17&lt;=$B58,12*$B$7,-12*MAX(0,$B$6-IF($B$1+17&gt;=$B$23,$B$22,0))*(1+$B$4)^17)&gt;0,1+$B$3,1))</f>
        <v/>
      </c>
      <c r="U58">
        <f>IF($B$1+18&gt;90,T58,(T58+IF($B$1+18&lt;=$B58,12*$B$7,-12*MAX(0,$B$6-IF($B$1+18&gt;=$B$23,$B$22,0))*(1+$B$4)^18))*IF(T58+IF($B$1+18&lt;=$B58,12*$B$7,-12*MAX(0,$B$6-IF($B$1+18&gt;=$B$23,$B$22,0))*(1+$B$4)^18)&gt;0,1+$B$3,1))</f>
        <v/>
      </c>
      <c r="V58">
        <f>IF($B$1+19&gt;90,U58,(U58+IF($B$1+19&lt;=$B58,12*$B$7,-12*MAX(0,$B$6-IF($B$1+19&gt;=$B$23,$B$22,0))*(1+$B$4)^19))*IF(U58+IF($B$1+19&lt;=$B58,12*$B$7,-12*MAX(0,$B$6-IF($B$1+19&gt;=$B$23,$B$22,0))*(1+$B$4)^19)&gt;0,1+$B$3,1))</f>
        <v/>
      </c>
      <c r="W58">
        <f>IF($B$1+20&gt;90,V58,(V58+IF($B$1+20&lt;=$B58,12*$B$7,-12*MAX(0,$B$6-IF($B$1+20&gt;=$B$23,$B$22,0))*(1+$B$4)^20))*IF(V58+IF($B$1+20&lt;=$B58,12*$B$7,-12*MAX(0,$B$6-IF($B$1+20&gt;=$B$23,$B$22,0))*(1+$B$4)^20)&gt;0,1+$B$3,1))</f>
        <v/>
      </c>
      <c r="X58">
        <f>IF($B$1+21&gt;90,W58,(W58+IF($B$1+21&lt;=$B58,12*$B$7,-12*MAX(0,$B$6-IF($B$1+21&gt;=$B$23,$B$22,0))*(1+$B$4)^21))*IF(W58+IF($B$1+21&lt;=$B58,12*$B$7,-12*MAX(0,$B$6-IF($B$1+21&gt;=$B$23,$B$22,0))*(1+$B$4)^21)&gt;0,1+$B$3,1))</f>
        <v/>
      </c>
      <c r="Y58">
        <f>IF($B$1+22&gt;90,X58,(X58+IF($B$1+22&lt;=$B58,12*$B$7,-12*MAX(0,$B$6-IF($B$1+22&gt;=$B$23,$B$22,0))*(1+$B$4)^22))*IF(X58+IF($B$1+22&lt;=$B58,12*$B$7,-12*MAX(0,$B$6-IF($B$1+22&gt;=$B$23,$B$22,0))*(1+$B$4)^22)&gt;0,1+$B$3,1))</f>
        <v/>
      </c>
      <c r="Z58">
        <f>IF($B$1+23&gt;90,Y58,(Y58+IF($B$1+23&lt;=$B58,12*$B$7,-12*MAX(0,$B$6-IF($B$1+23&gt;=$B$23,$B$22,0))*(1+$B$4)^23))*IF(Y58+IF($B$1+23&lt;=$B58,12*$B$7,-12*MAX(0,$B$6-IF($B$1+23&gt;=$B$23,$B$22,0))*(1+$B$4)^23)&gt;0,1+$B$3,1))</f>
        <v/>
      </c>
      <c r="AA58">
        <f>IF($B$1+24&gt;90,Z58,(Z58+IF($B$1+24&lt;=$B58,12*$B$7,-12*MAX(0,$B$6-IF($B$1+24&gt;=$B$23,$B$22,0))*(1+$B$4)^24))*IF(Z58+IF($B$1+24&lt;=$B58,12*$B$7,-12*MAX(0,$B$6-IF($B$1+24&gt;=$B$23,$B$22,0))*(1+$B$4)^24)&gt;0,1+$B$3,1))</f>
        <v/>
      </c>
      <c r="AB58">
        <f>IF($B$1+25&gt;90,AA58,(AA58+IF($B$1+25&lt;=$B58,12*$B$7,-12*MAX(0,$B$6-IF($B$1+25&gt;=$B$23,$B$22,0))*(1+$B$4)^25))*IF(AA58+IF($B$1+25&lt;=$B58,12*$B$7,-12*MAX(0,$B$6-IF($B$1+25&gt;=$B$23,$B$22,0))*(1+$B$4)^25)&gt;0,1+$B$3,1))</f>
        <v/>
      </c>
      <c r="AC58">
        <f>IF($B$1+26&gt;90,AB58,(AB58+IF($B$1+26&lt;=$B58,12*$B$7,-12*MAX(0,$B$6-IF($B$1+26&gt;=$B$23,$B$22,0))*(1+$B$4)^26))*IF(AB58+IF($B$1+26&lt;=$B58,12*$B$7,-12*MAX(0,$B$6-IF($B$1+26&gt;=$B$23,$B$22,0))*(1+$B$4)^26)&gt;0,1+$B$3,1))</f>
        <v/>
      </c>
      <c r="AD58">
        <f>IF($B$1+27&gt;90,AC58,(AC58+IF($B$1+27&lt;=$B58,12*$B$7,-12*MAX(0,$B$6-IF($B$1+27&gt;=$B$23,$B$22,0))*(1+$B$4)^27))*IF(AC58+IF($B$1+27&lt;=$B58,12*$B$7,-12*MAX(0,$B$6-IF($B$1+27&gt;=$B$23,$B$22,0))*(1+$B$4)^27)&gt;0,1+$B$3,1))</f>
        <v/>
      </c>
      <c r="AE58">
        <f>IF($B$1+28&gt;90,AD58,(AD58+IF($B$1+28&lt;=$B58,12*$B$7,-12*MAX(0,$B$6-IF($B$1+28&gt;=$B$23,$B$22,0))*(1+$B$4)^28))*IF(AD58+IF($B$1+28&lt;=$B58,12*$B$7,-12*MAX(0,$B$6-IF($B$1+28&gt;=$B$23,$B$22,0))*(1+$B$4)^28)&gt;0,1+$B$3,1))</f>
        <v/>
      </c>
      <c r="AF58">
        <f>IF($B$1+29&gt;90,AE58,(AE58+IF($B$1+29&lt;=$B58,12*$B$7,-12*MAX(0,$B$6-IF($B$1+29&gt;=$B$23,$B$22,0))*(1+$B$4)^29))*IF(AE58+IF($B$1+29&lt;=$B58,12*$B$7,-12*MAX(0,$B$6-IF($B$1+29&gt;=$B$23,$B$22,0))*(1+$B$4)^29)&gt;0,1+$B$3,1))</f>
        <v/>
      </c>
      <c r="AG58">
        <f>IF($B$1+30&gt;90,AF58,(AF58+IF($B$1+30&lt;=$B58,12*$B$7,-12*MAX(0,$B$6-IF($B$1+30&gt;=$B$23,$B$22,0))*(1+$B$4)^30))*IF(AF58+IF($B$1+30&lt;=$B58,12*$B$7,-12*MAX(0,$B$6-IF($B$1+30&gt;=$B$23,$B$22,0))*(1+$B$4)^30)&gt;0,1+$B$3,1))</f>
        <v/>
      </c>
      <c r="AH58">
        <f>IF($B$1+31&gt;90,AG58,(AG58+IF($B$1+31&lt;=$B58,12*$B$7,-12*MAX(0,$B$6-IF($B$1+31&gt;=$B$23,$B$22,0))*(1+$B$4)^31))*IF(AG58+IF($B$1+31&lt;=$B58,12*$B$7,-12*MAX(0,$B$6-IF($B$1+31&gt;=$B$23,$B$22,0))*(1+$B$4)^31)&gt;0,1+$B$3,1))</f>
        <v/>
      </c>
      <c r="AI58">
        <f>IF($B$1+32&gt;90,AH58,(AH58+IF($B$1+32&lt;=$B58,12*$B$7,-12*MAX(0,$B$6-IF($B$1+32&gt;=$B$23,$B$22,0))*(1+$B$4)^32))*IF(AH58+IF($B$1+32&lt;=$B58,12*$B$7,-12*MAX(0,$B$6-IF($B$1+32&gt;=$B$23,$B$22,0))*(1+$B$4)^32)&gt;0,1+$B$3,1))</f>
        <v/>
      </c>
      <c r="AJ58">
        <f>IF($B$1+33&gt;90,AI58,(AI58+IF($B$1+33&lt;=$B58,12*$B$7,-12*MAX(0,$B$6-IF($B$1+33&gt;=$B$23,$B$22,0))*(1+$B$4)^33))*IF(AI58+IF($B$1+33&lt;=$B58,12*$B$7,-12*MAX(0,$B$6-IF($B$1+33&gt;=$B$23,$B$22,0))*(1+$B$4)^33)&gt;0,1+$B$3,1))</f>
        <v/>
      </c>
      <c r="AK58">
        <f>IF($B$1+34&gt;90,AJ58,(AJ58+IF($B$1+34&lt;=$B58,12*$B$7,-12*MAX(0,$B$6-IF($B$1+34&gt;=$B$23,$B$22,0))*(1+$B$4)^34))*IF(AJ58+IF($B$1+34&lt;=$B58,12*$B$7,-12*MAX(0,$B$6-IF($B$1+34&gt;=$B$23,$B$22,0))*(1+$B$4)^34)&gt;0,1+$B$3,1))</f>
        <v/>
      </c>
      <c r="AL58">
        <f>IF($B$1+35&gt;90,AK58,(AK58+IF($B$1+35&lt;=$B58,12*$B$7,-12*MAX(0,$B$6-IF($B$1+35&gt;=$B$23,$B$22,0))*(1+$B$4)^35))*IF(AK58+IF($B$1+35&lt;=$B58,12*$B$7,-12*MAX(0,$B$6-IF($B$1+35&gt;=$B$23,$B$22,0))*(1+$B$4)^35)&gt;0,1+$B$3,1))</f>
        <v/>
      </c>
      <c r="AM58">
        <f>IF($B$1+36&gt;90,AL58,(AL58+IF($B$1+36&lt;=$B58,12*$B$7,-12*MAX(0,$B$6-IF($B$1+36&gt;=$B$23,$B$22,0))*(1+$B$4)^36))*IF(AL58+IF($B$1+36&lt;=$B58,12*$B$7,-12*MAX(0,$B$6-IF($B$1+36&gt;=$B$23,$B$22,0))*(1+$B$4)^36)&gt;0,1+$B$3,1))</f>
        <v/>
      </c>
      <c r="AN58">
        <f>IF($B$1+37&gt;90,AM58,(AM58+IF($B$1+37&lt;=$B58,12*$B$7,-12*MAX(0,$B$6-IF($B$1+37&gt;=$B$23,$B$22,0))*(1+$B$4)^37))*IF(AM58+IF($B$1+37&lt;=$B58,12*$B$7,-12*MAX(0,$B$6-IF($B$1+37&gt;=$B$23,$B$22,0))*(1+$B$4)^37)&gt;0,1+$B$3,1))</f>
        <v/>
      </c>
      <c r="AO58">
        <f>IF($B$1+38&gt;90,AN58,(AN58+IF($B$1+38&lt;=$B58,12*$B$7,-12*MAX(0,$B$6-IF($B$1+38&gt;=$B$23,$B$22,0))*(1+$B$4)^38))*IF(AN58+IF($B$1+38&lt;=$B58,12*$B$7,-12*MAX(0,$B$6-IF($B$1+38&gt;=$B$23,$B$22,0))*(1+$B$4)^38)&gt;0,1+$B$3,1))</f>
        <v/>
      </c>
      <c r="AP58">
        <f>IF($B$1+39&gt;90,AO58,(AO58+IF($B$1+39&lt;=$B58,12*$B$7,-12*MAX(0,$B$6-IF($B$1+39&gt;=$B$23,$B$22,0))*(1+$B$4)^39))*IF(AO58+IF($B$1+39&lt;=$B58,12*$B$7,-12*MAX(0,$B$6-IF($B$1+39&gt;=$B$23,$B$22,0))*(1+$B$4)^39)&gt;0,1+$B$3,1))</f>
        <v/>
      </c>
      <c r="AQ58">
        <f>IF($B$1+40&gt;90,AP58,(AP58+IF($B$1+40&lt;=$B58,12*$B$7,-12*MAX(0,$B$6-IF($B$1+40&gt;=$B$23,$B$22,0))*(1+$B$4)^40))*IF(AP58+IF($B$1+40&lt;=$B58,12*$B$7,-12*MAX(0,$B$6-IF($B$1+40&gt;=$B$23,$B$22,0))*(1+$B$4)^40)&gt;0,1+$B$3,1))</f>
        <v/>
      </c>
      <c r="AR58">
        <f>IF($B$1+41&gt;90,AQ58,(AQ58+IF($B$1+41&lt;=$B58,12*$B$7,-12*MAX(0,$B$6-IF($B$1+41&gt;=$B$23,$B$22,0))*(1+$B$4)^41))*IF(AQ58+IF($B$1+41&lt;=$B58,12*$B$7,-12*MAX(0,$B$6-IF($B$1+41&gt;=$B$23,$B$22,0))*(1+$B$4)^41)&gt;0,1+$B$3,1))</f>
        <v/>
      </c>
      <c r="AS58">
        <f>IF($B$1+42&gt;90,AR58,(AR58+IF($B$1+42&lt;=$B58,12*$B$7,-12*MAX(0,$B$6-IF($B$1+42&gt;=$B$23,$B$22,0))*(1+$B$4)^42))*IF(AR58+IF($B$1+42&lt;=$B58,12*$B$7,-12*MAX(0,$B$6-IF($B$1+42&gt;=$B$23,$B$22,0))*(1+$B$4)^42)&gt;0,1+$B$3,1))</f>
        <v/>
      </c>
      <c r="AT58">
        <f>IF($B$1+43&gt;90,AS58,(AS58+IF($B$1+43&lt;=$B58,12*$B$7,-12*MAX(0,$B$6-IF($B$1+43&gt;=$B$23,$B$22,0))*(1+$B$4)^43))*IF(AS58+IF($B$1+43&lt;=$B58,12*$B$7,-12*MAX(0,$B$6-IF($B$1+43&gt;=$B$23,$B$22,0))*(1+$B$4)^43)&gt;0,1+$B$3,1))</f>
        <v/>
      </c>
      <c r="AU58">
        <f>IF($B$1+44&gt;90,AT58,(AT58+IF($B$1+44&lt;=$B58,12*$B$7,-12*MAX(0,$B$6-IF($B$1+44&gt;=$B$23,$B$22,0))*(1+$B$4)^44))*IF(AT58+IF($B$1+44&lt;=$B58,12*$B$7,-12*MAX(0,$B$6-IF($B$1+44&gt;=$B$23,$B$22,0))*(1+$B$4)^44)&gt;0,1+$B$3,1))</f>
        <v/>
      </c>
      <c r="AV58">
        <f>IF($B$1+45&gt;90,AU58,(AU58+IF($B$1+45&lt;=$B58,12*$B$7,-12*MAX(0,$B$6-IF($B$1+45&gt;=$B$23,$B$22,0))*(1+$B$4)^45))*IF(AU58+IF($B$1+45&lt;=$B58,12*$B$7,-12*MAX(0,$B$6-IF($B$1+45&gt;=$B$23,$B$22,0))*(1+$B$4)^45)&gt;0,1+$B$3,1))</f>
        <v/>
      </c>
      <c r="AW58">
        <f>IF($B$1+46&gt;90,AV58,(AV58+IF($B$1+46&lt;=$B58,12*$B$7,-12*MAX(0,$B$6-IF($B$1+46&gt;=$B$23,$B$22,0))*(1+$B$4)^46))*IF(AV58+IF($B$1+46&lt;=$B58,12*$B$7,-12*MAX(0,$B$6-IF($B$1+46&gt;=$B$23,$B$22,0))*(1+$B$4)^46)&gt;0,1+$B$3,1))</f>
        <v/>
      </c>
      <c r="AX58">
        <f>IF($B$1+47&gt;90,AW58,(AW58+IF($B$1+47&lt;=$B58,12*$B$7,-12*MAX(0,$B$6-IF($B$1+47&gt;=$B$23,$B$22,0))*(1+$B$4)^47))*IF(AW58+IF($B$1+47&lt;=$B58,12*$B$7,-12*MAX(0,$B$6-IF($B$1+47&gt;=$B$23,$B$22,0))*(1+$B$4)^47)&gt;0,1+$B$3,1))</f>
        <v/>
      </c>
      <c r="AY58">
        <f>IF($B$1+48&gt;90,AX58,(AX58+IF($B$1+48&lt;=$B58,12*$B$7,-12*MAX(0,$B$6-IF($B$1+48&gt;=$B$23,$B$22,0))*(1+$B$4)^48))*IF(AX58+IF($B$1+48&lt;=$B58,12*$B$7,-12*MAX(0,$B$6-IF($B$1+48&gt;=$B$23,$B$22,0))*(1+$B$4)^48)&gt;0,1+$B$3,1))</f>
        <v/>
      </c>
      <c r="AZ58">
        <f>IF($B$1+49&gt;90,AY58,(AY58+IF($B$1+49&lt;=$B58,12*$B$7,-12*MAX(0,$B$6-IF($B$1+49&gt;=$B$23,$B$22,0))*(1+$B$4)^49))*IF(AY58+IF($B$1+49&lt;=$B58,12*$B$7,-12*MAX(0,$B$6-IF($B$1+49&gt;=$B$23,$B$22,0))*(1+$B$4)^49)&gt;0,1+$B$3,1))</f>
        <v/>
      </c>
      <c r="BA58">
        <f>IF($B$1+50&gt;90,AZ58,(AZ58+IF($B$1+50&lt;=$B58,12*$B$7,-12*MAX(0,$B$6-IF($B$1+50&gt;=$B$23,$B$22,0))*(1+$B$4)^50))*IF(AZ58+IF($B$1+50&lt;=$B58,12*$B$7,-12*MAX(0,$B$6-IF($B$1+50&gt;=$B$23,$B$22,0))*(1+$B$4)^50)&gt;0,1+$B$3,1))</f>
        <v/>
      </c>
      <c r="BB58">
        <f>IF($B$1+51&gt;90,BA58,(BA58+IF($B$1+51&lt;=$B58,12*$B$7,-12*MAX(0,$B$6-IF($B$1+51&gt;=$B$23,$B$22,0))*(1+$B$4)^51))*IF(BA58+IF($B$1+51&lt;=$B58,12*$B$7,-12*MAX(0,$B$6-IF($B$1+51&gt;=$B$23,$B$22,0))*(1+$B$4)^51)&gt;0,1+$B$3,1))</f>
        <v/>
      </c>
      <c r="BC58">
        <f>IF($B$1+52&gt;90,BB58,(BB58+IF($B$1+52&lt;=$B58,12*$B$7,-12*MAX(0,$B$6-IF($B$1+52&gt;=$B$23,$B$22,0))*(1+$B$4)^52))*IF(BB58+IF($B$1+52&lt;=$B58,12*$B$7,-12*MAX(0,$B$6-IF($B$1+52&gt;=$B$23,$B$22,0))*(1+$B$4)^52)&gt;0,1+$B$3,1))</f>
        <v/>
      </c>
      <c r="BD58">
        <f>IF($B$1+53&gt;90,BC58,(BC58+IF($B$1+53&lt;=$B58,12*$B$7,-12*MAX(0,$B$6-IF($B$1+53&gt;=$B$23,$B$22,0))*(1+$B$4)^53))*IF(BC58+IF($B$1+53&lt;=$B58,12*$B$7,-12*MAX(0,$B$6-IF($B$1+53&gt;=$B$23,$B$22,0))*(1+$B$4)^53)&gt;0,1+$B$3,1))</f>
        <v/>
      </c>
      <c r="BE58">
        <f>IF($B$1+54&gt;90,BD58,(BD58+IF($B$1+54&lt;=$B58,12*$B$7,-12*MAX(0,$B$6-IF($B$1+54&gt;=$B$23,$B$22,0))*(1+$B$4)^54))*IF(BD58+IF($B$1+54&lt;=$B58,12*$B$7,-12*MAX(0,$B$6-IF($B$1+54&gt;=$B$23,$B$22,0))*(1+$B$4)^54)&gt;0,1+$B$3,1))</f>
        <v/>
      </c>
      <c r="BF58">
        <f>IF($B$1+55&gt;90,BE58,(BE58+IF($B$1+55&lt;=$B58,12*$B$7,-12*MAX(0,$B$6-IF($B$1+55&gt;=$B$23,$B$22,0))*(1+$B$4)^55))*IF(BE58+IF($B$1+55&lt;=$B58,12*$B$7,-12*MAX(0,$B$6-IF($B$1+55&gt;=$B$23,$B$22,0))*(1+$B$4)^55)&gt;0,1+$B$3,1))</f>
        <v/>
      </c>
      <c r="BG58">
        <f>IF($B$1+56&gt;90,BF58,(BF58+IF($B$1+56&lt;=$B58,12*$B$7,-12*MAX(0,$B$6-IF($B$1+56&gt;=$B$23,$B$22,0))*(1+$B$4)^56))*IF(BF58+IF($B$1+56&lt;=$B58,12*$B$7,-12*MAX(0,$B$6-IF($B$1+56&gt;=$B$23,$B$22,0))*(1+$B$4)^56)&gt;0,1+$B$3,1))</f>
        <v/>
      </c>
      <c r="BH58">
        <f>IF($B$1+57&gt;90,BG58,(BG58+IF($B$1+57&lt;=$B58,12*$B$7,-12*MAX(0,$B$6-IF($B$1+57&gt;=$B$23,$B$22,0))*(1+$B$4)^57))*IF(BG58+IF($B$1+57&lt;=$B58,12*$B$7,-12*MAX(0,$B$6-IF($B$1+57&gt;=$B$23,$B$22,0))*(1+$B$4)^57)&gt;0,1+$B$3,1))</f>
        <v/>
      </c>
      <c r="BI58">
        <f>IF($B$1+58&gt;90,BH58,(BH58+IF($B$1+58&lt;=$B58,12*$B$7,-12*MAX(0,$B$6-IF($B$1+58&gt;=$B$23,$B$22,0))*(1+$B$4)^58))*IF(BH58+IF($B$1+58&lt;=$B58,12*$B$7,-12*MAX(0,$B$6-IF($B$1+58&gt;=$B$23,$B$22,0))*(1+$B$4)^58)&gt;0,1+$B$3,1))</f>
        <v/>
      </c>
      <c r="BJ58">
        <f>IF($B$1+59&gt;90,BI58,(BI58+IF($B$1+59&lt;=$B58,12*$B$7,-12*MAX(0,$B$6-IF($B$1+59&gt;=$B$23,$B$22,0))*(1+$B$4)^59))*IF(BI58+IF($B$1+59&lt;=$B58,12*$B$7,-12*MAX(0,$B$6-IF($B$1+59&gt;=$B$23,$B$22,0))*(1+$B$4)^59)&gt;0,1+$B$3,1))</f>
        <v/>
      </c>
      <c r="BK58">
        <f>IF($B$1+60&gt;90,BJ58,(BJ58+IF($B$1+60&lt;=$B58,12*$B$7,-12*MAX(0,$B$6-IF($B$1+60&gt;=$B$23,$B$22,0))*(1+$B$4)^60))*IF(BJ58+IF($B$1+60&lt;=$B58,12*$B$7,-12*MAX(0,$B$6-IF($B$1+60&gt;=$B$23,$B$22,0))*(1+$B$4)^60)&gt;0,1+$B$3,1))</f>
        <v/>
      </c>
      <c r="BL58">
        <f>IF($B$1+61&gt;90,BK58,(BK58+IF($B$1+61&lt;=$B58,12*$B$7,-12*MAX(0,$B$6-IF($B$1+61&gt;=$B$23,$B$22,0))*(1+$B$4)^61))*IF(BK58+IF($B$1+61&lt;=$B58,12*$B$7,-12*MAX(0,$B$6-IF($B$1+61&gt;=$B$23,$B$22,0))*(1+$B$4)^61)&gt;0,1+$B$3,1))</f>
        <v/>
      </c>
      <c r="BM58">
        <f>IF($B$1+62&gt;90,BL58,(BL58+IF($B$1+62&lt;=$B58,12*$B$7,-12*MAX(0,$B$6-IF($B$1+62&gt;=$B$23,$B$22,0))*(1+$B$4)^62))*IF(BL58+IF($B$1+62&lt;=$B58,12*$B$7,-12*MAX(0,$B$6-IF($B$1+62&gt;=$B$23,$B$22,0))*(1+$B$4)^62)&gt;0,1+$B$3,1))</f>
        <v/>
      </c>
      <c r="BN58">
        <f>IF($B$1+63&gt;90,BM58,(BM58+IF($B$1+63&lt;=$B58,12*$B$7,-12*MAX(0,$B$6-IF($B$1+63&gt;=$B$23,$B$22,0))*(1+$B$4)^63))*IF(BM58+IF($B$1+63&lt;=$B58,12*$B$7,-12*MAX(0,$B$6-IF($B$1+63&gt;=$B$23,$B$22,0))*(1+$B$4)^63)&gt;0,1+$B$3,1))</f>
        <v/>
      </c>
      <c r="BO58">
        <f>IF($B$1+64&gt;90,BN58,(BN58+IF($B$1+64&lt;=$B58,12*$B$7,-12*MAX(0,$B$6-IF($B$1+64&gt;=$B$23,$B$22,0))*(1+$B$4)^64))*IF(BN58+IF($B$1+64&lt;=$B58,12*$B$7,-12*MAX(0,$B$6-IF($B$1+64&gt;=$B$23,$B$22,0))*(1+$B$4)^64)&gt;0,1+$B$3,1))</f>
        <v/>
      </c>
      <c r="BP58">
        <f>IF($B$1+65&gt;90,BO58,(BO58+IF($B$1+65&lt;=$B58,12*$B$7,-12*MAX(0,$B$6-IF($B$1+65&gt;=$B$23,$B$22,0))*(1+$B$4)^65))*IF(BO58+IF($B$1+65&lt;=$B58,12*$B$7,-12*MAX(0,$B$6-IF($B$1+65&gt;=$B$23,$B$22,0))*(1+$B$4)^65)&gt;0,1+$B$3,1))</f>
        <v/>
      </c>
      <c r="BQ58">
        <f>IF($B$1+66&gt;90,BP58,(BP58+IF($B$1+66&lt;=$B58,12*$B$7,-12*MAX(0,$B$6-IF($B$1+66&gt;=$B$23,$B$22,0))*(1+$B$4)^66))*IF(BP58+IF($B$1+66&lt;=$B58,12*$B$7,-12*MAX(0,$B$6-IF($B$1+66&gt;=$B$23,$B$22,0))*(1+$B$4)^66)&gt;0,1+$B$3,1))</f>
        <v/>
      </c>
      <c r="BR58">
        <f>IF($B$1+67&gt;90,BQ58,(BQ58+IF($B$1+67&lt;=$B58,12*$B$7,-12*MAX(0,$B$6-IF($B$1+67&gt;=$B$23,$B$22,0))*(1+$B$4)^67))*IF(BQ58+IF($B$1+67&lt;=$B58,12*$B$7,-12*MAX(0,$B$6-IF($B$1+67&gt;=$B$23,$B$22,0))*(1+$B$4)^67)&gt;0,1+$B$3,1))</f>
        <v/>
      </c>
      <c r="BS58">
        <f>IF($B$1+68&gt;90,BR58,(BR58+IF($B$1+68&lt;=$B58,12*$B$7,-12*MAX(0,$B$6-IF($B$1+68&gt;=$B$23,$B$22,0))*(1+$B$4)^68))*IF(BR58+IF($B$1+68&lt;=$B58,12*$B$7,-12*MAX(0,$B$6-IF($B$1+68&gt;=$B$23,$B$22,0))*(1+$B$4)^68)&gt;0,1+$B$3,1))</f>
        <v/>
      </c>
      <c r="BT58">
        <f>IF($B$1+69&gt;90,BS58,(BS58+IF($B$1+69&lt;=$B58,12*$B$7,-12*MAX(0,$B$6-IF($B$1+69&gt;=$B$23,$B$22,0))*(1+$B$4)^69))*IF(BS58+IF($B$1+69&lt;=$B58,12*$B$7,-12*MAX(0,$B$6-IF($B$1+69&gt;=$B$23,$B$22,0))*(1+$B$4)^69)&gt;0,1+$B$3,1))</f>
        <v/>
      </c>
      <c r="BU58">
        <f>IF($B$1+70&gt;90,BT58,(BT58+IF($B$1+70&lt;=$B58,12*$B$7,-12*MAX(0,$B$6-IF($B$1+70&gt;=$B$23,$B$22,0))*(1+$B$4)^70))*IF(BT58+IF($B$1+70&lt;=$B58,12*$B$7,-12*MAX(0,$B$6-IF($B$1+70&gt;=$B$23,$B$22,0))*(1+$B$4)^70)&gt;0,1+$B$3,1))</f>
        <v/>
      </c>
      <c r="BV58">
        <f>BU58</f>
        <v/>
      </c>
      <c r="BW58">
        <f>IF(AND($B58&lt;=70,BV58&gt;0),$B58,999)</f>
        <v/>
      </c>
      <c r="CB58" t="n">
        <v>57</v>
      </c>
      <c r="CC58">
        <f>IF($B$1+CB58&gt;90,0,12*MAX(0,$B$6-IF($B$1+CB58&gt;=$B$23,$B$22,0))*(1+$B$4)^CB58/(1+$B$3)^(CB58-1))</f>
        <v/>
      </c>
      <c r="CE58">
        <f>IF($B$1+56&gt;90,NA(),$B$1+56)</f>
        <v/>
      </c>
      <c r="CF58">
        <f>IF(OR($B$21="",$B$1+56&gt;90),NA(),INDEX($C$40:$BU$90,$B$21-$B$1+1,57))</f>
        <v/>
      </c>
      <c r="CH58">
        <f>IF(ISTEXT('월 가계부'!A58),SUBSTITUTE(SUBSTITUTE(SUBSTITUTE(SUBSTITUTE(SUBSTITUTE(SUBSTITUTE(SUBSTITUTE(SUBSTITUTE(SUBSTITUTE(TRIM('월 가계부'!A58),"년","-"),"월","-"),"일",""),".","-"),"/","-")," ","-"),"--","-"),"--","-"),"--","-")&amp;"-","")</f>
        <v/>
      </c>
      <c r="CI58">
        <f>IFERROR(IF('월 가계부'!A58="","",IF(ISNUMBER('월 가계부'!A58),IF(AND('월 가계부'!A58&gt;=19000101,'월 가계부'!A58&lt;=21001231),IF(AND(MOD(INT('월 가계부'!A58/100),100)&gt;=1,MOD(INT('월 가계부'!A58/100),100)&lt;=12,MOD(INT('월 가계부'!A58),100)&gt;=1,MOD(INT('월 가계부'!A58),100)&lt;=31),IF(MONTH(DATE(INT('월 가계부'!A58/10000),MOD(INT('월 가계부'!A58/100),100),MOD(INT('월 가계부'!A58),100)))=MOD(INT('월 가계부'!A58/100),100),DATE(INT('월 가계부'!A58/10000),MOD(INT('월 가계부'!A58/100),100),MOD(INT('월 가계부'!A58),100)),""),""),IF(AND('월 가계부'!A58&gt;=36526,'월 가계부'!A58&lt;73051),INT('월 가계부'!A58),"")),IF(OR(CM58="",CN58="",CO58=""),"",IF(AND(CM58&gt;=2000,CM58&lt;=2099,CN58&gt;=1,CN58&lt;=12,CO58&gt;=1,CO58&lt;=31),IF(MONTH(DATE(CM58,CN58,CO58))=CN58,DATE(CM58,CN58,CO58),""),"")))),"")</f>
        <v/>
      </c>
      <c r="CJ58">
        <f>IFERROR(IF('월 가계부'!C58="","",IF(ISNUMBER('월 가계부'!C58),'월 가계부'!C58,VALUE(SUBSTITUTE(SUBSTITUTE(SUBSTITUTE(SUBSTITUTE(TRIM('월 가계부'!C58),",",""),"원","")," ",""),"−","-")))),"")</f>
        <v/>
      </c>
      <c r="CK58">
        <f>IF(ISNUMBER(CI58),IF(CI58&lt;$B$13,CI58,""),"")</f>
        <v/>
      </c>
      <c r="CM58">
        <f>IF(CH58="","",IFERROR(IF(IF(AND(LEN(CH58)=9,ISERROR(FIND("-",LEFT(CH58,8))),ISNUMBER(-LEFT(CH58,8))),VALUE(LEFT(CH58,4)),VALUE(LEFT(CH58,FIND("-",CH58)-1)))&lt;100,IF(AND(LEN(CH58)=9,ISERROR(FIND("-",LEFT(CH58,8))),ISNUMBER(-LEFT(CH58,8))),VALUE(LEFT(CH58,4)),VALUE(LEFT(CH58,FIND("-",CH58)-1)))+2000,IF(AND(LEN(CH58)=9,ISERROR(FIND("-",LEFT(CH58,8))),ISNUMBER(-LEFT(CH58,8))),VALUE(LEFT(CH58,4)),VALUE(LEFT(CH58,FIND("-",CH58)-1)))),""))</f>
        <v/>
      </c>
      <c r="CN58">
        <f>IF(CH58="","",IFERROR(IF(AND(LEN(CH58)=9,ISERROR(FIND("-",LEFT(CH58,8))),ISNUMBER(-LEFT(CH58,8))),VALUE(MID(CH58,5,2)),VALUE(MID(CH58,FIND("-",CH58)+1,FIND("-",CH58,FIND("-",CH58)+1)-FIND("-",CH58)-1))),""))</f>
        <v/>
      </c>
      <c r="CO58">
        <f>IF(CH58="","",IFERROR(IF(AND(LEN(CH58)=9,ISERROR(FIND("-",LEFT(CH58,8))),ISNUMBER(-LEFT(CH58,8))),VALUE(MID(CH58,7,2)),VALUE(MID(CH58,FIND("-",CH58,FIND("-",CH58)+1)+1,FIND("-",CH58,FIND("-",CH58,FIND("-",CH58)+1)+1)-FIND("-",CH58,FIND("-",CH58)+1)-1))),""))</f>
        <v/>
      </c>
    </row>
    <row r="59">
      <c r="A59" t="n">
        <v>19</v>
      </c>
      <c r="B59">
        <f>$B$1+19</f>
        <v/>
      </c>
      <c r="C59">
        <f>$B$2</f>
        <v/>
      </c>
      <c r="D59">
        <f>IF($B$1+1&gt;90,C59,(C59+IF($B$1+1&lt;=$B59,12*$B$7,-12*MAX(0,$B$6-IF($B$1+1&gt;=$B$23,$B$22,0))*(1+$B$4)^1))*IF(C59+IF($B$1+1&lt;=$B59,12*$B$7,-12*MAX(0,$B$6-IF($B$1+1&gt;=$B$23,$B$22,0))*(1+$B$4)^1)&gt;0,1+$B$3,1))</f>
        <v/>
      </c>
      <c r="E59">
        <f>IF($B$1+2&gt;90,D59,(D59+IF($B$1+2&lt;=$B59,12*$B$7,-12*MAX(0,$B$6-IF($B$1+2&gt;=$B$23,$B$22,0))*(1+$B$4)^2))*IF(D59+IF($B$1+2&lt;=$B59,12*$B$7,-12*MAX(0,$B$6-IF($B$1+2&gt;=$B$23,$B$22,0))*(1+$B$4)^2)&gt;0,1+$B$3,1))</f>
        <v/>
      </c>
      <c r="F59">
        <f>IF($B$1+3&gt;90,E59,(E59+IF($B$1+3&lt;=$B59,12*$B$7,-12*MAX(0,$B$6-IF($B$1+3&gt;=$B$23,$B$22,0))*(1+$B$4)^3))*IF(E59+IF($B$1+3&lt;=$B59,12*$B$7,-12*MAX(0,$B$6-IF($B$1+3&gt;=$B$23,$B$22,0))*(1+$B$4)^3)&gt;0,1+$B$3,1))</f>
        <v/>
      </c>
      <c r="G59">
        <f>IF($B$1+4&gt;90,F59,(F59+IF($B$1+4&lt;=$B59,12*$B$7,-12*MAX(0,$B$6-IF($B$1+4&gt;=$B$23,$B$22,0))*(1+$B$4)^4))*IF(F59+IF($B$1+4&lt;=$B59,12*$B$7,-12*MAX(0,$B$6-IF($B$1+4&gt;=$B$23,$B$22,0))*(1+$B$4)^4)&gt;0,1+$B$3,1))</f>
        <v/>
      </c>
      <c r="H59">
        <f>IF($B$1+5&gt;90,G59,(G59+IF($B$1+5&lt;=$B59,12*$B$7,-12*MAX(0,$B$6-IF($B$1+5&gt;=$B$23,$B$22,0))*(1+$B$4)^5))*IF(G59+IF($B$1+5&lt;=$B59,12*$B$7,-12*MAX(0,$B$6-IF($B$1+5&gt;=$B$23,$B$22,0))*(1+$B$4)^5)&gt;0,1+$B$3,1))</f>
        <v/>
      </c>
      <c r="I59">
        <f>IF($B$1+6&gt;90,H59,(H59+IF($B$1+6&lt;=$B59,12*$B$7,-12*MAX(0,$B$6-IF($B$1+6&gt;=$B$23,$B$22,0))*(1+$B$4)^6))*IF(H59+IF($B$1+6&lt;=$B59,12*$B$7,-12*MAX(0,$B$6-IF($B$1+6&gt;=$B$23,$B$22,0))*(1+$B$4)^6)&gt;0,1+$B$3,1))</f>
        <v/>
      </c>
      <c r="J59">
        <f>IF($B$1+7&gt;90,I59,(I59+IF($B$1+7&lt;=$B59,12*$B$7,-12*MAX(0,$B$6-IF($B$1+7&gt;=$B$23,$B$22,0))*(1+$B$4)^7))*IF(I59+IF($B$1+7&lt;=$B59,12*$B$7,-12*MAX(0,$B$6-IF($B$1+7&gt;=$B$23,$B$22,0))*(1+$B$4)^7)&gt;0,1+$B$3,1))</f>
        <v/>
      </c>
      <c r="K59">
        <f>IF($B$1+8&gt;90,J59,(J59+IF($B$1+8&lt;=$B59,12*$B$7,-12*MAX(0,$B$6-IF($B$1+8&gt;=$B$23,$B$22,0))*(1+$B$4)^8))*IF(J59+IF($B$1+8&lt;=$B59,12*$B$7,-12*MAX(0,$B$6-IF($B$1+8&gt;=$B$23,$B$22,0))*(1+$B$4)^8)&gt;0,1+$B$3,1))</f>
        <v/>
      </c>
      <c r="L59">
        <f>IF($B$1+9&gt;90,K59,(K59+IF($B$1+9&lt;=$B59,12*$B$7,-12*MAX(0,$B$6-IF($B$1+9&gt;=$B$23,$B$22,0))*(1+$B$4)^9))*IF(K59+IF($B$1+9&lt;=$B59,12*$B$7,-12*MAX(0,$B$6-IF($B$1+9&gt;=$B$23,$B$22,0))*(1+$B$4)^9)&gt;0,1+$B$3,1))</f>
        <v/>
      </c>
      <c r="M59">
        <f>IF($B$1+10&gt;90,L59,(L59+IF($B$1+10&lt;=$B59,12*$B$7,-12*MAX(0,$B$6-IF($B$1+10&gt;=$B$23,$B$22,0))*(1+$B$4)^10))*IF(L59+IF($B$1+10&lt;=$B59,12*$B$7,-12*MAX(0,$B$6-IF($B$1+10&gt;=$B$23,$B$22,0))*(1+$B$4)^10)&gt;0,1+$B$3,1))</f>
        <v/>
      </c>
      <c r="N59">
        <f>IF($B$1+11&gt;90,M59,(M59+IF($B$1+11&lt;=$B59,12*$B$7,-12*MAX(0,$B$6-IF($B$1+11&gt;=$B$23,$B$22,0))*(1+$B$4)^11))*IF(M59+IF($B$1+11&lt;=$B59,12*$B$7,-12*MAX(0,$B$6-IF($B$1+11&gt;=$B$23,$B$22,0))*(1+$B$4)^11)&gt;0,1+$B$3,1))</f>
        <v/>
      </c>
      <c r="O59">
        <f>IF($B$1+12&gt;90,N59,(N59+IF($B$1+12&lt;=$B59,12*$B$7,-12*MAX(0,$B$6-IF($B$1+12&gt;=$B$23,$B$22,0))*(1+$B$4)^12))*IF(N59+IF($B$1+12&lt;=$B59,12*$B$7,-12*MAX(0,$B$6-IF($B$1+12&gt;=$B$23,$B$22,0))*(1+$B$4)^12)&gt;0,1+$B$3,1))</f>
        <v/>
      </c>
      <c r="P59">
        <f>IF($B$1+13&gt;90,O59,(O59+IF($B$1+13&lt;=$B59,12*$B$7,-12*MAX(0,$B$6-IF($B$1+13&gt;=$B$23,$B$22,0))*(1+$B$4)^13))*IF(O59+IF($B$1+13&lt;=$B59,12*$B$7,-12*MAX(0,$B$6-IF($B$1+13&gt;=$B$23,$B$22,0))*(1+$B$4)^13)&gt;0,1+$B$3,1))</f>
        <v/>
      </c>
      <c r="Q59">
        <f>IF($B$1+14&gt;90,P59,(P59+IF($B$1+14&lt;=$B59,12*$B$7,-12*MAX(0,$B$6-IF($B$1+14&gt;=$B$23,$B$22,0))*(1+$B$4)^14))*IF(P59+IF($B$1+14&lt;=$B59,12*$B$7,-12*MAX(0,$B$6-IF($B$1+14&gt;=$B$23,$B$22,0))*(1+$B$4)^14)&gt;0,1+$B$3,1))</f>
        <v/>
      </c>
      <c r="R59">
        <f>IF($B$1+15&gt;90,Q59,(Q59+IF($B$1+15&lt;=$B59,12*$B$7,-12*MAX(0,$B$6-IF($B$1+15&gt;=$B$23,$B$22,0))*(1+$B$4)^15))*IF(Q59+IF($B$1+15&lt;=$B59,12*$B$7,-12*MAX(0,$B$6-IF($B$1+15&gt;=$B$23,$B$22,0))*(1+$B$4)^15)&gt;0,1+$B$3,1))</f>
        <v/>
      </c>
      <c r="S59">
        <f>IF($B$1+16&gt;90,R59,(R59+IF($B$1+16&lt;=$B59,12*$B$7,-12*MAX(0,$B$6-IF($B$1+16&gt;=$B$23,$B$22,0))*(1+$B$4)^16))*IF(R59+IF($B$1+16&lt;=$B59,12*$B$7,-12*MAX(0,$B$6-IF($B$1+16&gt;=$B$23,$B$22,0))*(1+$B$4)^16)&gt;0,1+$B$3,1))</f>
        <v/>
      </c>
      <c r="T59">
        <f>IF($B$1+17&gt;90,S59,(S59+IF($B$1+17&lt;=$B59,12*$B$7,-12*MAX(0,$B$6-IF($B$1+17&gt;=$B$23,$B$22,0))*(1+$B$4)^17))*IF(S59+IF($B$1+17&lt;=$B59,12*$B$7,-12*MAX(0,$B$6-IF($B$1+17&gt;=$B$23,$B$22,0))*(1+$B$4)^17)&gt;0,1+$B$3,1))</f>
        <v/>
      </c>
      <c r="U59">
        <f>IF($B$1+18&gt;90,T59,(T59+IF($B$1+18&lt;=$B59,12*$B$7,-12*MAX(0,$B$6-IF($B$1+18&gt;=$B$23,$B$22,0))*(1+$B$4)^18))*IF(T59+IF($B$1+18&lt;=$B59,12*$B$7,-12*MAX(0,$B$6-IF($B$1+18&gt;=$B$23,$B$22,0))*(1+$B$4)^18)&gt;0,1+$B$3,1))</f>
        <v/>
      </c>
      <c r="V59">
        <f>IF($B$1+19&gt;90,U59,(U59+IF($B$1+19&lt;=$B59,12*$B$7,-12*MAX(0,$B$6-IF($B$1+19&gt;=$B$23,$B$22,0))*(1+$B$4)^19))*IF(U59+IF($B$1+19&lt;=$B59,12*$B$7,-12*MAX(0,$B$6-IF($B$1+19&gt;=$B$23,$B$22,0))*(1+$B$4)^19)&gt;0,1+$B$3,1))</f>
        <v/>
      </c>
      <c r="W59">
        <f>IF($B$1+20&gt;90,V59,(V59+IF($B$1+20&lt;=$B59,12*$B$7,-12*MAX(0,$B$6-IF($B$1+20&gt;=$B$23,$B$22,0))*(1+$B$4)^20))*IF(V59+IF($B$1+20&lt;=$B59,12*$B$7,-12*MAX(0,$B$6-IF($B$1+20&gt;=$B$23,$B$22,0))*(1+$B$4)^20)&gt;0,1+$B$3,1))</f>
        <v/>
      </c>
      <c r="X59">
        <f>IF($B$1+21&gt;90,W59,(W59+IF($B$1+21&lt;=$B59,12*$B$7,-12*MAX(0,$B$6-IF($B$1+21&gt;=$B$23,$B$22,0))*(1+$B$4)^21))*IF(W59+IF($B$1+21&lt;=$B59,12*$B$7,-12*MAX(0,$B$6-IF($B$1+21&gt;=$B$23,$B$22,0))*(1+$B$4)^21)&gt;0,1+$B$3,1))</f>
        <v/>
      </c>
      <c r="Y59">
        <f>IF($B$1+22&gt;90,X59,(X59+IF($B$1+22&lt;=$B59,12*$B$7,-12*MAX(0,$B$6-IF($B$1+22&gt;=$B$23,$B$22,0))*(1+$B$4)^22))*IF(X59+IF($B$1+22&lt;=$B59,12*$B$7,-12*MAX(0,$B$6-IF($B$1+22&gt;=$B$23,$B$22,0))*(1+$B$4)^22)&gt;0,1+$B$3,1))</f>
        <v/>
      </c>
      <c r="Z59">
        <f>IF($B$1+23&gt;90,Y59,(Y59+IF($B$1+23&lt;=$B59,12*$B$7,-12*MAX(0,$B$6-IF($B$1+23&gt;=$B$23,$B$22,0))*(1+$B$4)^23))*IF(Y59+IF($B$1+23&lt;=$B59,12*$B$7,-12*MAX(0,$B$6-IF($B$1+23&gt;=$B$23,$B$22,0))*(1+$B$4)^23)&gt;0,1+$B$3,1))</f>
        <v/>
      </c>
      <c r="AA59">
        <f>IF($B$1+24&gt;90,Z59,(Z59+IF($B$1+24&lt;=$B59,12*$B$7,-12*MAX(0,$B$6-IF($B$1+24&gt;=$B$23,$B$22,0))*(1+$B$4)^24))*IF(Z59+IF($B$1+24&lt;=$B59,12*$B$7,-12*MAX(0,$B$6-IF($B$1+24&gt;=$B$23,$B$22,0))*(1+$B$4)^24)&gt;0,1+$B$3,1))</f>
        <v/>
      </c>
      <c r="AB59">
        <f>IF($B$1+25&gt;90,AA59,(AA59+IF($B$1+25&lt;=$B59,12*$B$7,-12*MAX(0,$B$6-IF($B$1+25&gt;=$B$23,$B$22,0))*(1+$B$4)^25))*IF(AA59+IF($B$1+25&lt;=$B59,12*$B$7,-12*MAX(0,$B$6-IF($B$1+25&gt;=$B$23,$B$22,0))*(1+$B$4)^25)&gt;0,1+$B$3,1))</f>
        <v/>
      </c>
      <c r="AC59">
        <f>IF($B$1+26&gt;90,AB59,(AB59+IF($B$1+26&lt;=$B59,12*$B$7,-12*MAX(0,$B$6-IF($B$1+26&gt;=$B$23,$B$22,0))*(1+$B$4)^26))*IF(AB59+IF($B$1+26&lt;=$B59,12*$B$7,-12*MAX(0,$B$6-IF($B$1+26&gt;=$B$23,$B$22,0))*(1+$B$4)^26)&gt;0,1+$B$3,1))</f>
        <v/>
      </c>
      <c r="AD59">
        <f>IF($B$1+27&gt;90,AC59,(AC59+IF($B$1+27&lt;=$B59,12*$B$7,-12*MAX(0,$B$6-IF($B$1+27&gt;=$B$23,$B$22,0))*(1+$B$4)^27))*IF(AC59+IF($B$1+27&lt;=$B59,12*$B$7,-12*MAX(0,$B$6-IF($B$1+27&gt;=$B$23,$B$22,0))*(1+$B$4)^27)&gt;0,1+$B$3,1))</f>
        <v/>
      </c>
      <c r="AE59">
        <f>IF($B$1+28&gt;90,AD59,(AD59+IF($B$1+28&lt;=$B59,12*$B$7,-12*MAX(0,$B$6-IF($B$1+28&gt;=$B$23,$B$22,0))*(1+$B$4)^28))*IF(AD59+IF($B$1+28&lt;=$B59,12*$B$7,-12*MAX(0,$B$6-IF($B$1+28&gt;=$B$23,$B$22,0))*(1+$B$4)^28)&gt;0,1+$B$3,1))</f>
        <v/>
      </c>
      <c r="AF59">
        <f>IF($B$1+29&gt;90,AE59,(AE59+IF($B$1+29&lt;=$B59,12*$B$7,-12*MAX(0,$B$6-IF($B$1+29&gt;=$B$23,$B$22,0))*(1+$B$4)^29))*IF(AE59+IF($B$1+29&lt;=$B59,12*$B$7,-12*MAX(0,$B$6-IF($B$1+29&gt;=$B$23,$B$22,0))*(1+$B$4)^29)&gt;0,1+$B$3,1))</f>
        <v/>
      </c>
      <c r="AG59">
        <f>IF($B$1+30&gt;90,AF59,(AF59+IF($B$1+30&lt;=$B59,12*$B$7,-12*MAX(0,$B$6-IF($B$1+30&gt;=$B$23,$B$22,0))*(1+$B$4)^30))*IF(AF59+IF($B$1+30&lt;=$B59,12*$B$7,-12*MAX(0,$B$6-IF($B$1+30&gt;=$B$23,$B$22,0))*(1+$B$4)^30)&gt;0,1+$B$3,1))</f>
        <v/>
      </c>
      <c r="AH59">
        <f>IF($B$1+31&gt;90,AG59,(AG59+IF($B$1+31&lt;=$B59,12*$B$7,-12*MAX(0,$B$6-IF($B$1+31&gt;=$B$23,$B$22,0))*(1+$B$4)^31))*IF(AG59+IF($B$1+31&lt;=$B59,12*$B$7,-12*MAX(0,$B$6-IF($B$1+31&gt;=$B$23,$B$22,0))*(1+$B$4)^31)&gt;0,1+$B$3,1))</f>
        <v/>
      </c>
      <c r="AI59">
        <f>IF($B$1+32&gt;90,AH59,(AH59+IF($B$1+32&lt;=$B59,12*$B$7,-12*MAX(0,$B$6-IF($B$1+32&gt;=$B$23,$B$22,0))*(1+$B$4)^32))*IF(AH59+IF($B$1+32&lt;=$B59,12*$B$7,-12*MAX(0,$B$6-IF($B$1+32&gt;=$B$23,$B$22,0))*(1+$B$4)^32)&gt;0,1+$B$3,1))</f>
        <v/>
      </c>
      <c r="AJ59">
        <f>IF($B$1+33&gt;90,AI59,(AI59+IF($B$1+33&lt;=$B59,12*$B$7,-12*MAX(0,$B$6-IF($B$1+33&gt;=$B$23,$B$22,0))*(1+$B$4)^33))*IF(AI59+IF($B$1+33&lt;=$B59,12*$B$7,-12*MAX(0,$B$6-IF($B$1+33&gt;=$B$23,$B$22,0))*(1+$B$4)^33)&gt;0,1+$B$3,1))</f>
        <v/>
      </c>
      <c r="AK59">
        <f>IF($B$1+34&gt;90,AJ59,(AJ59+IF($B$1+34&lt;=$B59,12*$B$7,-12*MAX(0,$B$6-IF($B$1+34&gt;=$B$23,$B$22,0))*(1+$B$4)^34))*IF(AJ59+IF($B$1+34&lt;=$B59,12*$B$7,-12*MAX(0,$B$6-IF($B$1+34&gt;=$B$23,$B$22,0))*(1+$B$4)^34)&gt;0,1+$B$3,1))</f>
        <v/>
      </c>
      <c r="AL59">
        <f>IF($B$1+35&gt;90,AK59,(AK59+IF($B$1+35&lt;=$B59,12*$B$7,-12*MAX(0,$B$6-IF($B$1+35&gt;=$B$23,$B$22,0))*(1+$B$4)^35))*IF(AK59+IF($B$1+35&lt;=$B59,12*$B$7,-12*MAX(0,$B$6-IF($B$1+35&gt;=$B$23,$B$22,0))*(1+$B$4)^35)&gt;0,1+$B$3,1))</f>
        <v/>
      </c>
      <c r="AM59">
        <f>IF($B$1+36&gt;90,AL59,(AL59+IF($B$1+36&lt;=$B59,12*$B$7,-12*MAX(0,$B$6-IF($B$1+36&gt;=$B$23,$B$22,0))*(1+$B$4)^36))*IF(AL59+IF($B$1+36&lt;=$B59,12*$B$7,-12*MAX(0,$B$6-IF($B$1+36&gt;=$B$23,$B$22,0))*(1+$B$4)^36)&gt;0,1+$B$3,1))</f>
        <v/>
      </c>
      <c r="AN59">
        <f>IF($B$1+37&gt;90,AM59,(AM59+IF($B$1+37&lt;=$B59,12*$B$7,-12*MAX(0,$B$6-IF($B$1+37&gt;=$B$23,$B$22,0))*(1+$B$4)^37))*IF(AM59+IF($B$1+37&lt;=$B59,12*$B$7,-12*MAX(0,$B$6-IF($B$1+37&gt;=$B$23,$B$22,0))*(1+$B$4)^37)&gt;0,1+$B$3,1))</f>
        <v/>
      </c>
      <c r="AO59">
        <f>IF($B$1+38&gt;90,AN59,(AN59+IF($B$1+38&lt;=$B59,12*$B$7,-12*MAX(0,$B$6-IF($B$1+38&gt;=$B$23,$B$22,0))*(1+$B$4)^38))*IF(AN59+IF($B$1+38&lt;=$B59,12*$B$7,-12*MAX(0,$B$6-IF($B$1+38&gt;=$B$23,$B$22,0))*(1+$B$4)^38)&gt;0,1+$B$3,1))</f>
        <v/>
      </c>
      <c r="AP59">
        <f>IF($B$1+39&gt;90,AO59,(AO59+IF($B$1+39&lt;=$B59,12*$B$7,-12*MAX(0,$B$6-IF($B$1+39&gt;=$B$23,$B$22,0))*(1+$B$4)^39))*IF(AO59+IF($B$1+39&lt;=$B59,12*$B$7,-12*MAX(0,$B$6-IF($B$1+39&gt;=$B$23,$B$22,0))*(1+$B$4)^39)&gt;0,1+$B$3,1))</f>
        <v/>
      </c>
      <c r="AQ59">
        <f>IF($B$1+40&gt;90,AP59,(AP59+IF($B$1+40&lt;=$B59,12*$B$7,-12*MAX(0,$B$6-IF($B$1+40&gt;=$B$23,$B$22,0))*(1+$B$4)^40))*IF(AP59+IF($B$1+40&lt;=$B59,12*$B$7,-12*MAX(0,$B$6-IF($B$1+40&gt;=$B$23,$B$22,0))*(1+$B$4)^40)&gt;0,1+$B$3,1))</f>
        <v/>
      </c>
      <c r="AR59">
        <f>IF($B$1+41&gt;90,AQ59,(AQ59+IF($B$1+41&lt;=$B59,12*$B$7,-12*MAX(0,$B$6-IF($B$1+41&gt;=$B$23,$B$22,0))*(1+$B$4)^41))*IF(AQ59+IF($B$1+41&lt;=$B59,12*$B$7,-12*MAX(0,$B$6-IF($B$1+41&gt;=$B$23,$B$22,0))*(1+$B$4)^41)&gt;0,1+$B$3,1))</f>
        <v/>
      </c>
      <c r="AS59">
        <f>IF($B$1+42&gt;90,AR59,(AR59+IF($B$1+42&lt;=$B59,12*$B$7,-12*MAX(0,$B$6-IF($B$1+42&gt;=$B$23,$B$22,0))*(1+$B$4)^42))*IF(AR59+IF($B$1+42&lt;=$B59,12*$B$7,-12*MAX(0,$B$6-IF($B$1+42&gt;=$B$23,$B$22,0))*(1+$B$4)^42)&gt;0,1+$B$3,1))</f>
        <v/>
      </c>
      <c r="AT59">
        <f>IF($B$1+43&gt;90,AS59,(AS59+IF($B$1+43&lt;=$B59,12*$B$7,-12*MAX(0,$B$6-IF($B$1+43&gt;=$B$23,$B$22,0))*(1+$B$4)^43))*IF(AS59+IF($B$1+43&lt;=$B59,12*$B$7,-12*MAX(0,$B$6-IF($B$1+43&gt;=$B$23,$B$22,0))*(1+$B$4)^43)&gt;0,1+$B$3,1))</f>
        <v/>
      </c>
      <c r="AU59">
        <f>IF($B$1+44&gt;90,AT59,(AT59+IF($B$1+44&lt;=$B59,12*$B$7,-12*MAX(0,$B$6-IF($B$1+44&gt;=$B$23,$B$22,0))*(1+$B$4)^44))*IF(AT59+IF($B$1+44&lt;=$B59,12*$B$7,-12*MAX(0,$B$6-IF($B$1+44&gt;=$B$23,$B$22,0))*(1+$B$4)^44)&gt;0,1+$B$3,1))</f>
        <v/>
      </c>
      <c r="AV59">
        <f>IF($B$1+45&gt;90,AU59,(AU59+IF($B$1+45&lt;=$B59,12*$B$7,-12*MAX(0,$B$6-IF($B$1+45&gt;=$B$23,$B$22,0))*(1+$B$4)^45))*IF(AU59+IF($B$1+45&lt;=$B59,12*$B$7,-12*MAX(0,$B$6-IF($B$1+45&gt;=$B$23,$B$22,0))*(1+$B$4)^45)&gt;0,1+$B$3,1))</f>
        <v/>
      </c>
      <c r="AW59">
        <f>IF($B$1+46&gt;90,AV59,(AV59+IF($B$1+46&lt;=$B59,12*$B$7,-12*MAX(0,$B$6-IF($B$1+46&gt;=$B$23,$B$22,0))*(1+$B$4)^46))*IF(AV59+IF($B$1+46&lt;=$B59,12*$B$7,-12*MAX(0,$B$6-IF($B$1+46&gt;=$B$23,$B$22,0))*(1+$B$4)^46)&gt;0,1+$B$3,1))</f>
        <v/>
      </c>
      <c r="AX59">
        <f>IF($B$1+47&gt;90,AW59,(AW59+IF($B$1+47&lt;=$B59,12*$B$7,-12*MAX(0,$B$6-IF($B$1+47&gt;=$B$23,$B$22,0))*(1+$B$4)^47))*IF(AW59+IF($B$1+47&lt;=$B59,12*$B$7,-12*MAX(0,$B$6-IF($B$1+47&gt;=$B$23,$B$22,0))*(1+$B$4)^47)&gt;0,1+$B$3,1))</f>
        <v/>
      </c>
      <c r="AY59">
        <f>IF($B$1+48&gt;90,AX59,(AX59+IF($B$1+48&lt;=$B59,12*$B$7,-12*MAX(0,$B$6-IF($B$1+48&gt;=$B$23,$B$22,0))*(1+$B$4)^48))*IF(AX59+IF($B$1+48&lt;=$B59,12*$B$7,-12*MAX(0,$B$6-IF($B$1+48&gt;=$B$23,$B$22,0))*(1+$B$4)^48)&gt;0,1+$B$3,1))</f>
        <v/>
      </c>
      <c r="AZ59">
        <f>IF($B$1+49&gt;90,AY59,(AY59+IF($B$1+49&lt;=$B59,12*$B$7,-12*MAX(0,$B$6-IF($B$1+49&gt;=$B$23,$B$22,0))*(1+$B$4)^49))*IF(AY59+IF($B$1+49&lt;=$B59,12*$B$7,-12*MAX(0,$B$6-IF($B$1+49&gt;=$B$23,$B$22,0))*(1+$B$4)^49)&gt;0,1+$B$3,1))</f>
        <v/>
      </c>
      <c r="BA59">
        <f>IF($B$1+50&gt;90,AZ59,(AZ59+IF($B$1+50&lt;=$B59,12*$B$7,-12*MAX(0,$B$6-IF($B$1+50&gt;=$B$23,$B$22,0))*(1+$B$4)^50))*IF(AZ59+IF($B$1+50&lt;=$B59,12*$B$7,-12*MAX(0,$B$6-IF($B$1+50&gt;=$B$23,$B$22,0))*(1+$B$4)^50)&gt;0,1+$B$3,1))</f>
        <v/>
      </c>
      <c r="BB59">
        <f>IF($B$1+51&gt;90,BA59,(BA59+IF($B$1+51&lt;=$B59,12*$B$7,-12*MAX(0,$B$6-IF($B$1+51&gt;=$B$23,$B$22,0))*(1+$B$4)^51))*IF(BA59+IF($B$1+51&lt;=$B59,12*$B$7,-12*MAX(0,$B$6-IF($B$1+51&gt;=$B$23,$B$22,0))*(1+$B$4)^51)&gt;0,1+$B$3,1))</f>
        <v/>
      </c>
      <c r="BC59">
        <f>IF($B$1+52&gt;90,BB59,(BB59+IF($B$1+52&lt;=$B59,12*$B$7,-12*MAX(0,$B$6-IF($B$1+52&gt;=$B$23,$B$22,0))*(1+$B$4)^52))*IF(BB59+IF($B$1+52&lt;=$B59,12*$B$7,-12*MAX(0,$B$6-IF($B$1+52&gt;=$B$23,$B$22,0))*(1+$B$4)^52)&gt;0,1+$B$3,1))</f>
        <v/>
      </c>
      <c r="BD59">
        <f>IF($B$1+53&gt;90,BC59,(BC59+IF($B$1+53&lt;=$B59,12*$B$7,-12*MAX(0,$B$6-IF($B$1+53&gt;=$B$23,$B$22,0))*(1+$B$4)^53))*IF(BC59+IF($B$1+53&lt;=$B59,12*$B$7,-12*MAX(0,$B$6-IF($B$1+53&gt;=$B$23,$B$22,0))*(1+$B$4)^53)&gt;0,1+$B$3,1))</f>
        <v/>
      </c>
      <c r="BE59">
        <f>IF($B$1+54&gt;90,BD59,(BD59+IF($B$1+54&lt;=$B59,12*$B$7,-12*MAX(0,$B$6-IF($B$1+54&gt;=$B$23,$B$22,0))*(1+$B$4)^54))*IF(BD59+IF($B$1+54&lt;=$B59,12*$B$7,-12*MAX(0,$B$6-IF($B$1+54&gt;=$B$23,$B$22,0))*(1+$B$4)^54)&gt;0,1+$B$3,1))</f>
        <v/>
      </c>
      <c r="BF59">
        <f>IF($B$1+55&gt;90,BE59,(BE59+IF($B$1+55&lt;=$B59,12*$B$7,-12*MAX(0,$B$6-IF($B$1+55&gt;=$B$23,$B$22,0))*(1+$B$4)^55))*IF(BE59+IF($B$1+55&lt;=$B59,12*$B$7,-12*MAX(0,$B$6-IF($B$1+55&gt;=$B$23,$B$22,0))*(1+$B$4)^55)&gt;0,1+$B$3,1))</f>
        <v/>
      </c>
      <c r="BG59">
        <f>IF($B$1+56&gt;90,BF59,(BF59+IF($B$1+56&lt;=$B59,12*$B$7,-12*MAX(0,$B$6-IF($B$1+56&gt;=$B$23,$B$22,0))*(1+$B$4)^56))*IF(BF59+IF($B$1+56&lt;=$B59,12*$B$7,-12*MAX(0,$B$6-IF($B$1+56&gt;=$B$23,$B$22,0))*(1+$B$4)^56)&gt;0,1+$B$3,1))</f>
        <v/>
      </c>
      <c r="BH59">
        <f>IF($B$1+57&gt;90,BG59,(BG59+IF($B$1+57&lt;=$B59,12*$B$7,-12*MAX(0,$B$6-IF($B$1+57&gt;=$B$23,$B$22,0))*(1+$B$4)^57))*IF(BG59+IF($B$1+57&lt;=$B59,12*$B$7,-12*MAX(0,$B$6-IF($B$1+57&gt;=$B$23,$B$22,0))*(1+$B$4)^57)&gt;0,1+$B$3,1))</f>
        <v/>
      </c>
      <c r="BI59">
        <f>IF($B$1+58&gt;90,BH59,(BH59+IF($B$1+58&lt;=$B59,12*$B$7,-12*MAX(0,$B$6-IF($B$1+58&gt;=$B$23,$B$22,0))*(1+$B$4)^58))*IF(BH59+IF($B$1+58&lt;=$B59,12*$B$7,-12*MAX(0,$B$6-IF($B$1+58&gt;=$B$23,$B$22,0))*(1+$B$4)^58)&gt;0,1+$B$3,1))</f>
        <v/>
      </c>
      <c r="BJ59">
        <f>IF($B$1+59&gt;90,BI59,(BI59+IF($B$1+59&lt;=$B59,12*$B$7,-12*MAX(0,$B$6-IF($B$1+59&gt;=$B$23,$B$22,0))*(1+$B$4)^59))*IF(BI59+IF($B$1+59&lt;=$B59,12*$B$7,-12*MAX(0,$B$6-IF($B$1+59&gt;=$B$23,$B$22,0))*(1+$B$4)^59)&gt;0,1+$B$3,1))</f>
        <v/>
      </c>
      <c r="BK59">
        <f>IF($B$1+60&gt;90,BJ59,(BJ59+IF($B$1+60&lt;=$B59,12*$B$7,-12*MAX(0,$B$6-IF($B$1+60&gt;=$B$23,$B$22,0))*(1+$B$4)^60))*IF(BJ59+IF($B$1+60&lt;=$B59,12*$B$7,-12*MAX(0,$B$6-IF($B$1+60&gt;=$B$23,$B$22,0))*(1+$B$4)^60)&gt;0,1+$B$3,1))</f>
        <v/>
      </c>
      <c r="BL59">
        <f>IF($B$1+61&gt;90,BK59,(BK59+IF($B$1+61&lt;=$B59,12*$B$7,-12*MAX(0,$B$6-IF($B$1+61&gt;=$B$23,$B$22,0))*(1+$B$4)^61))*IF(BK59+IF($B$1+61&lt;=$B59,12*$B$7,-12*MAX(0,$B$6-IF($B$1+61&gt;=$B$23,$B$22,0))*(1+$B$4)^61)&gt;0,1+$B$3,1))</f>
        <v/>
      </c>
      <c r="BM59">
        <f>IF($B$1+62&gt;90,BL59,(BL59+IF($B$1+62&lt;=$B59,12*$B$7,-12*MAX(0,$B$6-IF($B$1+62&gt;=$B$23,$B$22,0))*(1+$B$4)^62))*IF(BL59+IF($B$1+62&lt;=$B59,12*$B$7,-12*MAX(0,$B$6-IF($B$1+62&gt;=$B$23,$B$22,0))*(1+$B$4)^62)&gt;0,1+$B$3,1))</f>
        <v/>
      </c>
      <c r="BN59">
        <f>IF($B$1+63&gt;90,BM59,(BM59+IF($B$1+63&lt;=$B59,12*$B$7,-12*MAX(0,$B$6-IF($B$1+63&gt;=$B$23,$B$22,0))*(1+$B$4)^63))*IF(BM59+IF($B$1+63&lt;=$B59,12*$B$7,-12*MAX(0,$B$6-IF($B$1+63&gt;=$B$23,$B$22,0))*(1+$B$4)^63)&gt;0,1+$B$3,1))</f>
        <v/>
      </c>
      <c r="BO59">
        <f>IF($B$1+64&gt;90,BN59,(BN59+IF($B$1+64&lt;=$B59,12*$B$7,-12*MAX(0,$B$6-IF($B$1+64&gt;=$B$23,$B$22,0))*(1+$B$4)^64))*IF(BN59+IF($B$1+64&lt;=$B59,12*$B$7,-12*MAX(0,$B$6-IF($B$1+64&gt;=$B$23,$B$22,0))*(1+$B$4)^64)&gt;0,1+$B$3,1))</f>
        <v/>
      </c>
      <c r="BP59">
        <f>IF($B$1+65&gt;90,BO59,(BO59+IF($B$1+65&lt;=$B59,12*$B$7,-12*MAX(0,$B$6-IF($B$1+65&gt;=$B$23,$B$22,0))*(1+$B$4)^65))*IF(BO59+IF($B$1+65&lt;=$B59,12*$B$7,-12*MAX(0,$B$6-IF($B$1+65&gt;=$B$23,$B$22,0))*(1+$B$4)^65)&gt;0,1+$B$3,1))</f>
        <v/>
      </c>
      <c r="BQ59">
        <f>IF($B$1+66&gt;90,BP59,(BP59+IF($B$1+66&lt;=$B59,12*$B$7,-12*MAX(0,$B$6-IF($B$1+66&gt;=$B$23,$B$22,0))*(1+$B$4)^66))*IF(BP59+IF($B$1+66&lt;=$B59,12*$B$7,-12*MAX(0,$B$6-IF($B$1+66&gt;=$B$23,$B$22,0))*(1+$B$4)^66)&gt;0,1+$B$3,1))</f>
        <v/>
      </c>
      <c r="BR59">
        <f>IF($B$1+67&gt;90,BQ59,(BQ59+IF($B$1+67&lt;=$B59,12*$B$7,-12*MAX(0,$B$6-IF($B$1+67&gt;=$B$23,$B$22,0))*(1+$B$4)^67))*IF(BQ59+IF($B$1+67&lt;=$B59,12*$B$7,-12*MAX(0,$B$6-IF($B$1+67&gt;=$B$23,$B$22,0))*(1+$B$4)^67)&gt;0,1+$B$3,1))</f>
        <v/>
      </c>
      <c r="BS59">
        <f>IF($B$1+68&gt;90,BR59,(BR59+IF($B$1+68&lt;=$B59,12*$B$7,-12*MAX(0,$B$6-IF($B$1+68&gt;=$B$23,$B$22,0))*(1+$B$4)^68))*IF(BR59+IF($B$1+68&lt;=$B59,12*$B$7,-12*MAX(0,$B$6-IF($B$1+68&gt;=$B$23,$B$22,0))*(1+$B$4)^68)&gt;0,1+$B$3,1))</f>
        <v/>
      </c>
      <c r="BT59">
        <f>IF($B$1+69&gt;90,BS59,(BS59+IF($B$1+69&lt;=$B59,12*$B$7,-12*MAX(0,$B$6-IF($B$1+69&gt;=$B$23,$B$22,0))*(1+$B$4)^69))*IF(BS59+IF($B$1+69&lt;=$B59,12*$B$7,-12*MAX(0,$B$6-IF($B$1+69&gt;=$B$23,$B$22,0))*(1+$B$4)^69)&gt;0,1+$B$3,1))</f>
        <v/>
      </c>
      <c r="BU59">
        <f>IF($B$1+70&gt;90,BT59,(BT59+IF($B$1+70&lt;=$B59,12*$B$7,-12*MAX(0,$B$6-IF($B$1+70&gt;=$B$23,$B$22,0))*(1+$B$4)^70))*IF(BT59+IF($B$1+70&lt;=$B59,12*$B$7,-12*MAX(0,$B$6-IF($B$1+70&gt;=$B$23,$B$22,0))*(1+$B$4)^70)&gt;0,1+$B$3,1))</f>
        <v/>
      </c>
      <c r="BV59">
        <f>BU59</f>
        <v/>
      </c>
      <c r="BW59">
        <f>IF(AND($B59&lt;=70,BV59&gt;0),$B59,999)</f>
        <v/>
      </c>
      <c r="CB59" t="n">
        <v>58</v>
      </c>
      <c r="CC59">
        <f>IF($B$1+CB59&gt;90,0,12*MAX(0,$B$6-IF($B$1+CB59&gt;=$B$23,$B$22,0))*(1+$B$4)^CB59/(1+$B$3)^(CB59-1))</f>
        <v/>
      </c>
      <c r="CE59">
        <f>IF($B$1+57&gt;90,NA(),$B$1+57)</f>
        <v/>
      </c>
      <c r="CF59">
        <f>IF(OR($B$21="",$B$1+57&gt;90),NA(),INDEX($C$40:$BU$90,$B$21-$B$1+1,58))</f>
        <v/>
      </c>
      <c r="CH59">
        <f>IF(ISTEXT('월 가계부'!A59),SUBSTITUTE(SUBSTITUTE(SUBSTITUTE(SUBSTITUTE(SUBSTITUTE(SUBSTITUTE(SUBSTITUTE(SUBSTITUTE(SUBSTITUTE(TRIM('월 가계부'!A59),"년","-"),"월","-"),"일",""),".","-"),"/","-")," ","-"),"--","-"),"--","-"),"--","-")&amp;"-","")</f>
        <v/>
      </c>
      <c r="CI59">
        <f>IFERROR(IF('월 가계부'!A59="","",IF(ISNUMBER('월 가계부'!A59),IF(AND('월 가계부'!A59&gt;=19000101,'월 가계부'!A59&lt;=21001231),IF(AND(MOD(INT('월 가계부'!A59/100),100)&gt;=1,MOD(INT('월 가계부'!A59/100),100)&lt;=12,MOD(INT('월 가계부'!A59),100)&gt;=1,MOD(INT('월 가계부'!A59),100)&lt;=31),IF(MONTH(DATE(INT('월 가계부'!A59/10000),MOD(INT('월 가계부'!A59/100),100),MOD(INT('월 가계부'!A59),100)))=MOD(INT('월 가계부'!A59/100),100),DATE(INT('월 가계부'!A59/10000),MOD(INT('월 가계부'!A59/100),100),MOD(INT('월 가계부'!A59),100)),""),""),IF(AND('월 가계부'!A59&gt;=36526,'월 가계부'!A59&lt;73051),INT('월 가계부'!A59),"")),IF(OR(CM59="",CN59="",CO59=""),"",IF(AND(CM59&gt;=2000,CM59&lt;=2099,CN59&gt;=1,CN59&lt;=12,CO59&gt;=1,CO59&lt;=31),IF(MONTH(DATE(CM59,CN59,CO59))=CN59,DATE(CM59,CN59,CO59),""),"")))),"")</f>
        <v/>
      </c>
      <c r="CJ59">
        <f>IFERROR(IF('월 가계부'!C59="","",IF(ISNUMBER('월 가계부'!C59),'월 가계부'!C59,VALUE(SUBSTITUTE(SUBSTITUTE(SUBSTITUTE(SUBSTITUTE(TRIM('월 가계부'!C59),",",""),"원","")," ",""),"−","-")))),"")</f>
        <v/>
      </c>
      <c r="CK59">
        <f>IF(ISNUMBER(CI59),IF(CI59&lt;$B$13,CI59,""),"")</f>
        <v/>
      </c>
      <c r="CM59">
        <f>IF(CH59="","",IFERROR(IF(IF(AND(LEN(CH59)=9,ISERROR(FIND("-",LEFT(CH59,8))),ISNUMBER(-LEFT(CH59,8))),VALUE(LEFT(CH59,4)),VALUE(LEFT(CH59,FIND("-",CH59)-1)))&lt;100,IF(AND(LEN(CH59)=9,ISERROR(FIND("-",LEFT(CH59,8))),ISNUMBER(-LEFT(CH59,8))),VALUE(LEFT(CH59,4)),VALUE(LEFT(CH59,FIND("-",CH59)-1)))+2000,IF(AND(LEN(CH59)=9,ISERROR(FIND("-",LEFT(CH59,8))),ISNUMBER(-LEFT(CH59,8))),VALUE(LEFT(CH59,4)),VALUE(LEFT(CH59,FIND("-",CH59)-1)))),""))</f>
        <v/>
      </c>
      <c r="CN59">
        <f>IF(CH59="","",IFERROR(IF(AND(LEN(CH59)=9,ISERROR(FIND("-",LEFT(CH59,8))),ISNUMBER(-LEFT(CH59,8))),VALUE(MID(CH59,5,2)),VALUE(MID(CH59,FIND("-",CH59)+1,FIND("-",CH59,FIND("-",CH59)+1)-FIND("-",CH59)-1))),""))</f>
        <v/>
      </c>
      <c r="CO59">
        <f>IF(CH59="","",IFERROR(IF(AND(LEN(CH59)=9,ISERROR(FIND("-",LEFT(CH59,8))),ISNUMBER(-LEFT(CH59,8))),VALUE(MID(CH59,7,2)),VALUE(MID(CH59,FIND("-",CH59,FIND("-",CH59)+1)+1,FIND("-",CH59,FIND("-",CH59,FIND("-",CH59)+1)+1)-FIND("-",CH59,FIND("-",CH59)+1)-1))),""))</f>
        <v/>
      </c>
    </row>
    <row r="60">
      <c r="A60" t="n">
        <v>20</v>
      </c>
      <c r="B60">
        <f>$B$1+20</f>
        <v/>
      </c>
      <c r="C60">
        <f>$B$2</f>
        <v/>
      </c>
      <c r="D60">
        <f>IF($B$1+1&gt;90,C60,(C60+IF($B$1+1&lt;=$B60,12*$B$7,-12*MAX(0,$B$6-IF($B$1+1&gt;=$B$23,$B$22,0))*(1+$B$4)^1))*IF(C60+IF($B$1+1&lt;=$B60,12*$B$7,-12*MAX(0,$B$6-IF($B$1+1&gt;=$B$23,$B$22,0))*(1+$B$4)^1)&gt;0,1+$B$3,1))</f>
        <v/>
      </c>
      <c r="E60">
        <f>IF($B$1+2&gt;90,D60,(D60+IF($B$1+2&lt;=$B60,12*$B$7,-12*MAX(0,$B$6-IF($B$1+2&gt;=$B$23,$B$22,0))*(1+$B$4)^2))*IF(D60+IF($B$1+2&lt;=$B60,12*$B$7,-12*MAX(0,$B$6-IF($B$1+2&gt;=$B$23,$B$22,0))*(1+$B$4)^2)&gt;0,1+$B$3,1))</f>
        <v/>
      </c>
      <c r="F60">
        <f>IF($B$1+3&gt;90,E60,(E60+IF($B$1+3&lt;=$B60,12*$B$7,-12*MAX(0,$B$6-IF($B$1+3&gt;=$B$23,$B$22,0))*(1+$B$4)^3))*IF(E60+IF($B$1+3&lt;=$B60,12*$B$7,-12*MAX(0,$B$6-IF($B$1+3&gt;=$B$23,$B$22,0))*(1+$B$4)^3)&gt;0,1+$B$3,1))</f>
        <v/>
      </c>
      <c r="G60">
        <f>IF($B$1+4&gt;90,F60,(F60+IF($B$1+4&lt;=$B60,12*$B$7,-12*MAX(0,$B$6-IF($B$1+4&gt;=$B$23,$B$22,0))*(1+$B$4)^4))*IF(F60+IF($B$1+4&lt;=$B60,12*$B$7,-12*MAX(0,$B$6-IF($B$1+4&gt;=$B$23,$B$22,0))*(1+$B$4)^4)&gt;0,1+$B$3,1))</f>
        <v/>
      </c>
      <c r="H60">
        <f>IF($B$1+5&gt;90,G60,(G60+IF($B$1+5&lt;=$B60,12*$B$7,-12*MAX(0,$B$6-IF($B$1+5&gt;=$B$23,$B$22,0))*(1+$B$4)^5))*IF(G60+IF($B$1+5&lt;=$B60,12*$B$7,-12*MAX(0,$B$6-IF($B$1+5&gt;=$B$23,$B$22,0))*(1+$B$4)^5)&gt;0,1+$B$3,1))</f>
        <v/>
      </c>
      <c r="I60">
        <f>IF($B$1+6&gt;90,H60,(H60+IF($B$1+6&lt;=$B60,12*$B$7,-12*MAX(0,$B$6-IF($B$1+6&gt;=$B$23,$B$22,0))*(1+$B$4)^6))*IF(H60+IF($B$1+6&lt;=$B60,12*$B$7,-12*MAX(0,$B$6-IF($B$1+6&gt;=$B$23,$B$22,0))*(1+$B$4)^6)&gt;0,1+$B$3,1))</f>
        <v/>
      </c>
      <c r="J60">
        <f>IF($B$1+7&gt;90,I60,(I60+IF($B$1+7&lt;=$B60,12*$B$7,-12*MAX(0,$B$6-IF($B$1+7&gt;=$B$23,$B$22,0))*(1+$B$4)^7))*IF(I60+IF($B$1+7&lt;=$B60,12*$B$7,-12*MAX(0,$B$6-IF($B$1+7&gt;=$B$23,$B$22,0))*(1+$B$4)^7)&gt;0,1+$B$3,1))</f>
        <v/>
      </c>
      <c r="K60">
        <f>IF($B$1+8&gt;90,J60,(J60+IF($B$1+8&lt;=$B60,12*$B$7,-12*MAX(0,$B$6-IF($B$1+8&gt;=$B$23,$B$22,0))*(1+$B$4)^8))*IF(J60+IF($B$1+8&lt;=$B60,12*$B$7,-12*MAX(0,$B$6-IF($B$1+8&gt;=$B$23,$B$22,0))*(1+$B$4)^8)&gt;0,1+$B$3,1))</f>
        <v/>
      </c>
      <c r="L60">
        <f>IF($B$1+9&gt;90,K60,(K60+IF($B$1+9&lt;=$B60,12*$B$7,-12*MAX(0,$B$6-IF($B$1+9&gt;=$B$23,$B$22,0))*(1+$B$4)^9))*IF(K60+IF($B$1+9&lt;=$B60,12*$B$7,-12*MAX(0,$B$6-IF($B$1+9&gt;=$B$23,$B$22,0))*(1+$B$4)^9)&gt;0,1+$B$3,1))</f>
        <v/>
      </c>
      <c r="M60">
        <f>IF($B$1+10&gt;90,L60,(L60+IF($B$1+10&lt;=$B60,12*$B$7,-12*MAX(0,$B$6-IF($B$1+10&gt;=$B$23,$B$22,0))*(1+$B$4)^10))*IF(L60+IF($B$1+10&lt;=$B60,12*$B$7,-12*MAX(0,$B$6-IF($B$1+10&gt;=$B$23,$B$22,0))*(1+$B$4)^10)&gt;0,1+$B$3,1))</f>
        <v/>
      </c>
      <c r="N60">
        <f>IF($B$1+11&gt;90,M60,(M60+IF($B$1+11&lt;=$B60,12*$B$7,-12*MAX(0,$B$6-IF($B$1+11&gt;=$B$23,$B$22,0))*(1+$B$4)^11))*IF(M60+IF($B$1+11&lt;=$B60,12*$B$7,-12*MAX(0,$B$6-IF($B$1+11&gt;=$B$23,$B$22,0))*(1+$B$4)^11)&gt;0,1+$B$3,1))</f>
        <v/>
      </c>
      <c r="O60">
        <f>IF($B$1+12&gt;90,N60,(N60+IF($B$1+12&lt;=$B60,12*$B$7,-12*MAX(0,$B$6-IF($B$1+12&gt;=$B$23,$B$22,0))*(1+$B$4)^12))*IF(N60+IF($B$1+12&lt;=$B60,12*$B$7,-12*MAX(0,$B$6-IF($B$1+12&gt;=$B$23,$B$22,0))*(1+$B$4)^12)&gt;0,1+$B$3,1))</f>
        <v/>
      </c>
      <c r="P60">
        <f>IF($B$1+13&gt;90,O60,(O60+IF($B$1+13&lt;=$B60,12*$B$7,-12*MAX(0,$B$6-IF($B$1+13&gt;=$B$23,$B$22,0))*(1+$B$4)^13))*IF(O60+IF($B$1+13&lt;=$B60,12*$B$7,-12*MAX(0,$B$6-IF($B$1+13&gt;=$B$23,$B$22,0))*(1+$B$4)^13)&gt;0,1+$B$3,1))</f>
        <v/>
      </c>
      <c r="Q60">
        <f>IF($B$1+14&gt;90,P60,(P60+IF($B$1+14&lt;=$B60,12*$B$7,-12*MAX(0,$B$6-IF($B$1+14&gt;=$B$23,$B$22,0))*(1+$B$4)^14))*IF(P60+IF($B$1+14&lt;=$B60,12*$B$7,-12*MAX(0,$B$6-IF($B$1+14&gt;=$B$23,$B$22,0))*(1+$B$4)^14)&gt;0,1+$B$3,1))</f>
        <v/>
      </c>
      <c r="R60">
        <f>IF($B$1+15&gt;90,Q60,(Q60+IF($B$1+15&lt;=$B60,12*$B$7,-12*MAX(0,$B$6-IF($B$1+15&gt;=$B$23,$B$22,0))*(1+$B$4)^15))*IF(Q60+IF($B$1+15&lt;=$B60,12*$B$7,-12*MAX(0,$B$6-IF($B$1+15&gt;=$B$23,$B$22,0))*(1+$B$4)^15)&gt;0,1+$B$3,1))</f>
        <v/>
      </c>
      <c r="S60">
        <f>IF($B$1+16&gt;90,R60,(R60+IF($B$1+16&lt;=$B60,12*$B$7,-12*MAX(0,$B$6-IF($B$1+16&gt;=$B$23,$B$22,0))*(1+$B$4)^16))*IF(R60+IF($B$1+16&lt;=$B60,12*$B$7,-12*MAX(0,$B$6-IF($B$1+16&gt;=$B$23,$B$22,0))*(1+$B$4)^16)&gt;0,1+$B$3,1))</f>
        <v/>
      </c>
      <c r="T60">
        <f>IF($B$1+17&gt;90,S60,(S60+IF($B$1+17&lt;=$B60,12*$B$7,-12*MAX(0,$B$6-IF($B$1+17&gt;=$B$23,$B$22,0))*(1+$B$4)^17))*IF(S60+IF($B$1+17&lt;=$B60,12*$B$7,-12*MAX(0,$B$6-IF($B$1+17&gt;=$B$23,$B$22,0))*(1+$B$4)^17)&gt;0,1+$B$3,1))</f>
        <v/>
      </c>
      <c r="U60">
        <f>IF($B$1+18&gt;90,T60,(T60+IF($B$1+18&lt;=$B60,12*$B$7,-12*MAX(0,$B$6-IF($B$1+18&gt;=$B$23,$B$22,0))*(1+$B$4)^18))*IF(T60+IF($B$1+18&lt;=$B60,12*$B$7,-12*MAX(0,$B$6-IF($B$1+18&gt;=$B$23,$B$22,0))*(1+$B$4)^18)&gt;0,1+$B$3,1))</f>
        <v/>
      </c>
      <c r="V60">
        <f>IF($B$1+19&gt;90,U60,(U60+IF($B$1+19&lt;=$B60,12*$B$7,-12*MAX(0,$B$6-IF($B$1+19&gt;=$B$23,$B$22,0))*(1+$B$4)^19))*IF(U60+IF($B$1+19&lt;=$B60,12*$B$7,-12*MAX(0,$B$6-IF($B$1+19&gt;=$B$23,$B$22,0))*(1+$B$4)^19)&gt;0,1+$B$3,1))</f>
        <v/>
      </c>
      <c r="W60">
        <f>IF($B$1+20&gt;90,V60,(V60+IF($B$1+20&lt;=$B60,12*$B$7,-12*MAX(0,$B$6-IF($B$1+20&gt;=$B$23,$B$22,0))*(1+$B$4)^20))*IF(V60+IF($B$1+20&lt;=$B60,12*$B$7,-12*MAX(0,$B$6-IF($B$1+20&gt;=$B$23,$B$22,0))*(1+$B$4)^20)&gt;0,1+$B$3,1))</f>
        <v/>
      </c>
      <c r="X60">
        <f>IF($B$1+21&gt;90,W60,(W60+IF($B$1+21&lt;=$B60,12*$B$7,-12*MAX(0,$B$6-IF($B$1+21&gt;=$B$23,$B$22,0))*(1+$B$4)^21))*IF(W60+IF($B$1+21&lt;=$B60,12*$B$7,-12*MAX(0,$B$6-IF($B$1+21&gt;=$B$23,$B$22,0))*(1+$B$4)^21)&gt;0,1+$B$3,1))</f>
        <v/>
      </c>
      <c r="Y60">
        <f>IF($B$1+22&gt;90,X60,(X60+IF($B$1+22&lt;=$B60,12*$B$7,-12*MAX(0,$B$6-IF($B$1+22&gt;=$B$23,$B$22,0))*(1+$B$4)^22))*IF(X60+IF($B$1+22&lt;=$B60,12*$B$7,-12*MAX(0,$B$6-IF($B$1+22&gt;=$B$23,$B$22,0))*(1+$B$4)^22)&gt;0,1+$B$3,1))</f>
        <v/>
      </c>
      <c r="Z60">
        <f>IF($B$1+23&gt;90,Y60,(Y60+IF($B$1+23&lt;=$B60,12*$B$7,-12*MAX(0,$B$6-IF($B$1+23&gt;=$B$23,$B$22,0))*(1+$B$4)^23))*IF(Y60+IF($B$1+23&lt;=$B60,12*$B$7,-12*MAX(0,$B$6-IF($B$1+23&gt;=$B$23,$B$22,0))*(1+$B$4)^23)&gt;0,1+$B$3,1))</f>
        <v/>
      </c>
      <c r="AA60">
        <f>IF($B$1+24&gt;90,Z60,(Z60+IF($B$1+24&lt;=$B60,12*$B$7,-12*MAX(0,$B$6-IF($B$1+24&gt;=$B$23,$B$22,0))*(1+$B$4)^24))*IF(Z60+IF($B$1+24&lt;=$B60,12*$B$7,-12*MAX(0,$B$6-IF($B$1+24&gt;=$B$23,$B$22,0))*(1+$B$4)^24)&gt;0,1+$B$3,1))</f>
        <v/>
      </c>
      <c r="AB60">
        <f>IF($B$1+25&gt;90,AA60,(AA60+IF($B$1+25&lt;=$B60,12*$B$7,-12*MAX(0,$B$6-IF($B$1+25&gt;=$B$23,$B$22,0))*(1+$B$4)^25))*IF(AA60+IF($B$1+25&lt;=$B60,12*$B$7,-12*MAX(0,$B$6-IF($B$1+25&gt;=$B$23,$B$22,0))*(1+$B$4)^25)&gt;0,1+$B$3,1))</f>
        <v/>
      </c>
      <c r="AC60">
        <f>IF($B$1+26&gt;90,AB60,(AB60+IF($B$1+26&lt;=$B60,12*$B$7,-12*MAX(0,$B$6-IF($B$1+26&gt;=$B$23,$B$22,0))*(1+$B$4)^26))*IF(AB60+IF($B$1+26&lt;=$B60,12*$B$7,-12*MAX(0,$B$6-IF($B$1+26&gt;=$B$23,$B$22,0))*(1+$B$4)^26)&gt;0,1+$B$3,1))</f>
        <v/>
      </c>
      <c r="AD60">
        <f>IF($B$1+27&gt;90,AC60,(AC60+IF($B$1+27&lt;=$B60,12*$B$7,-12*MAX(0,$B$6-IF($B$1+27&gt;=$B$23,$B$22,0))*(1+$B$4)^27))*IF(AC60+IF($B$1+27&lt;=$B60,12*$B$7,-12*MAX(0,$B$6-IF($B$1+27&gt;=$B$23,$B$22,0))*(1+$B$4)^27)&gt;0,1+$B$3,1))</f>
        <v/>
      </c>
      <c r="AE60">
        <f>IF($B$1+28&gt;90,AD60,(AD60+IF($B$1+28&lt;=$B60,12*$B$7,-12*MAX(0,$B$6-IF($B$1+28&gt;=$B$23,$B$22,0))*(1+$B$4)^28))*IF(AD60+IF($B$1+28&lt;=$B60,12*$B$7,-12*MAX(0,$B$6-IF($B$1+28&gt;=$B$23,$B$22,0))*(1+$B$4)^28)&gt;0,1+$B$3,1))</f>
        <v/>
      </c>
      <c r="AF60">
        <f>IF($B$1+29&gt;90,AE60,(AE60+IF($B$1+29&lt;=$B60,12*$B$7,-12*MAX(0,$B$6-IF($B$1+29&gt;=$B$23,$B$22,0))*(1+$B$4)^29))*IF(AE60+IF($B$1+29&lt;=$B60,12*$B$7,-12*MAX(0,$B$6-IF($B$1+29&gt;=$B$23,$B$22,0))*(1+$B$4)^29)&gt;0,1+$B$3,1))</f>
        <v/>
      </c>
      <c r="AG60">
        <f>IF($B$1+30&gt;90,AF60,(AF60+IF($B$1+30&lt;=$B60,12*$B$7,-12*MAX(0,$B$6-IF($B$1+30&gt;=$B$23,$B$22,0))*(1+$B$4)^30))*IF(AF60+IF($B$1+30&lt;=$B60,12*$B$7,-12*MAX(0,$B$6-IF($B$1+30&gt;=$B$23,$B$22,0))*(1+$B$4)^30)&gt;0,1+$B$3,1))</f>
        <v/>
      </c>
      <c r="AH60">
        <f>IF($B$1+31&gt;90,AG60,(AG60+IF($B$1+31&lt;=$B60,12*$B$7,-12*MAX(0,$B$6-IF($B$1+31&gt;=$B$23,$B$22,0))*(1+$B$4)^31))*IF(AG60+IF($B$1+31&lt;=$B60,12*$B$7,-12*MAX(0,$B$6-IF($B$1+31&gt;=$B$23,$B$22,0))*(1+$B$4)^31)&gt;0,1+$B$3,1))</f>
        <v/>
      </c>
      <c r="AI60">
        <f>IF($B$1+32&gt;90,AH60,(AH60+IF($B$1+32&lt;=$B60,12*$B$7,-12*MAX(0,$B$6-IF($B$1+32&gt;=$B$23,$B$22,0))*(1+$B$4)^32))*IF(AH60+IF($B$1+32&lt;=$B60,12*$B$7,-12*MAX(0,$B$6-IF($B$1+32&gt;=$B$23,$B$22,0))*(1+$B$4)^32)&gt;0,1+$B$3,1))</f>
        <v/>
      </c>
      <c r="AJ60">
        <f>IF($B$1+33&gt;90,AI60,(AI60+IF($B$1+33&lt;=$B60,12*$B$7,-12*MAX(0,$B$6-IF($B$1+33&gt;=$B$23,$B$22,0))*(1+$B$4)^33))*IF(AI60+IF($B$1+33&lt;=$B60,12*$B$7,-12*MAX(0,$B$6-IF($B$1+33&gt;=$B$23,$B$22,0))*(1+$B$4)^33)&gt;0,1+$B$3,1))</f>
        <v/>
      </c>
      <c r="AK60">
        <f>IF($B$1+34&gt;90,AJ60,(AJ60+IF($B$1+34&lt;=$B60,12*$B$7,-12*MAX(0,$B$6-IF($B$1+34&gt;=$B$23,$B$22,0))*(1+$B$4)^34))*IF(AJ60+IF($B$1+34&lt;=$B60,12*$B$7,-12*MAX(0,$B$6-IF($B$1+34&gt;=$B$23,$B$22,0))*(1+$B$4)^34)&gt;0,1+$B$3,1))</f>
        <v/>
      </c>
      <c r="AL60">
        <f>IF($B$1+35&gt;90,AK60,(AK60+IF($B$1+35&lt;=$B60,12*$B$7,-12*MAX(0,$B$6-IF($B$1+35&gt;=$B$23,$B$22,0))*(1+$B$4)^35))*IF(AK60+IF($B$1+35&lt;=$B60,12*$B$7,-12*MAX(0,$B$6-IF($B$1+35&gt;=$B$23,$B$22,0))*(1+$B$4)^35)&gt;0,1+$B$3,1))</f>
        <v/>
      </c>
      <c r="AM60">
        <f>IF($B$1+36&gt;90,AL60,(AL60+IF($B$1+36&lt;=$B60,12*$B$7,-12*MAX(0,$B$6-IF($B$1+36&gt;=$B$23,$B$22,0))*(1+$B$4)^36))*IF(AL60+IF($B$1+36&lt;=$B60,12*$B$7,-12*MAX(0,$B$6-IF($B$1+36&gt;=$B$23,$B$22,0))*(1+$B$4)^36)&gt;0,1+$B$3,1))</f>
        <v/>
      </c>
      <c r="AN60">
        <f>IF($B$1+37&gt;90,AM60,(AM60+IF($B$1+37&lt;=$B60,12*$B$7,-12*MAX(0,$B$6-IF($B$1+37&gt;=$B$23,$B$22,0))*(1+$B$4)^37))*IF(AM60+IF($B$1+37&lt;=$B60,12*$B$7,-12*MAX(0,$B$6-IF($B$1+37&gt;=$B$23,$B$22,0))*(1+$B$4)^37)&gt;0,1+$B$3,1))</f>
        <v/>
      </c>
      <c r="AO60">
        <f>IF($B$1+38&gt;90,AN60,(AN60+IF($B$1+38&lt;=$B60,12*$B$7,-12*MAX(0,$B$6-IF($B$1+38&gt;=$B$23,$B$22,0))*(1+$B$4)^38))*IF(AN60+IF($B$1+38&lt;=$B60,12*$B$7,-12*MAX(0,$B$6-IF($B$1+38&gt;=$B$23,$B$22,0))*(1+$B$4)^38)&gt;0,1+$B$3,1))</f>
        <v/>
      </c>
      <c r="AP60">
        <f>IF($B$1+39&gt;90,AO60,(AO60+IF($B$1+39&lt;=$B60,12*$B$7,-12*MAX(0,$B$6-IF($B$1+39&gt;=$B$23,$B$22,0))*(1+$B$4)^39))*IF(AO60+IF($B$1+39&lt;=$B60,12*$B$7,-12*MAX(0,$B$6-IF($B$1+39&gt;=$B$23,$B$22,0))*(1+$B$4)^39)&gt;0,1+$B$3,1))</f>
        <v/>
      </c>
      <c r="AQ60">
        <f>IF($B$1+40&gt;90,AP60,(AP60+IF($B$1+40&lt;=$B60,12*$B$7,-12*MAX(0,$B$6-IF($B$1+40&gt;=$B$23,$B$22,0))*(1+$B$4)^40))*IF(AP60+IF($B$1+40&lt;=$B60,12*$B$7,-12*MAX(0,$B$6-IF($B$1+40&gt;=$B$23,$B$22,0))*(1+$B$4)^40)&gt;0,1+$B$3,1))</f>
        <v/>
      </c>
      <c r="AR60">
        <f>IF($B$1+41&gt;90,AQ60,(AQ60+IF($B$1+41&lt;=$B60,12*$B$7,-12*MAX(0,$B$6-IF($B$1+41&gt;=$B$23,$B$22,0))*(1+$B$4)^41))*IF(AQ60+IF($B$1+41&lt;=$B60,12*$B$7,-12*MAX(0,$B$6-IF($B$1+41&gt;=$B$23,$B$22,0))*(1+$B$4)^41)&gt;0,1+$B$3,1))</f>
        <v/>
      </c>
      <c r="AS60">
        <f>IF($B$1+42&gt;90,AR60,(AR60+IF($B$1+42&lt;=$B60,12*$B$7,-12*MAX(0,$B$6-IF($B$1+42&gt;=$B$23,$B$22,0))*(1+$B$4)^42))*IF(AR60+IF($B$1+42&lt;=$B60,12*$B$7,-12*MAX(0,$B$6-IF($B$1+42&gt;=$B$23,$B$22,0))*(1+$B$4)^42)&gt;0,1+$B$3,1))</f>
        <v/>
      </c>
      <c r="AT60">
        <f>IF($B$1+43&gt;90,AS60,(AS60+IF($B$1+43&lt;=$B60,12*$B$7,-12*MAX(0,$B$6-IF($B$1+43&gt;=$B$23,$B$22,0))*(1+$B$4)^43))*IF(AS60+IF($B$1+43&lt;=$B60,12*$B$7,-12*MAX(0,$B$6-IF($B$1+43&gt;=$B$23,$B$22,0))*(1+$B$4)^43)&gt;0,1+$B$3,1))</f>
        <v/>
      </c>
      <c r="AU60">
        <f>IF($B$1+44&gt;90,AT60,(AT60+IF($B$1+44&lt;=$B60,12*$B$7,-12*MAX(0,$B$6-IF($B$1+44&gt;=$B$23,$B$22,0))*(1+$B$4)^44))*IF(AT60+IF($B$1+44&lt;=$B60,12*$B$7,-12*MAX(0,$B$6-IF($B$1+44&gt;=$B$23,$B$22,0))*(1+$B$4)^44)&gt;0,1+$B$3,1))</f>
        <v/>
      </c>
      <c r="AV60">
        <f>IF($B$1+45&gt;90,AU60,(AU60+IF($B$1+45&lt;=$B60,12*$B$7,-12*MAX(0,$B$6-IF($B$1+45&gt;=$B$23,$B$22,0))*(1+$B$4)^45))*IF(AU60+IF($B$1+45&lt;=$B60,12*$B$7,-12*MAX(0,$B$6-IF($B$1+45&gt;=$B$23,$B$22,0))*(1+$B$4)^45)&gt;0,1+$B$3,1))</f>
        <v/>
      </c>
      <c r="AW60">
        <f>IF($B$1+46&gt;90,AV60,(AV60+IF($B$1+46&lt;=$B60,12*$B$7,-12*MAX(0,$B$6-IF($B$1+46&gt;=$B$23,$B$22,0))*(1+$B$4)^46))*IF(AV60+IF($B$1+46&lt;=$B60,12*$B$7,-12*MAX(0,$B$6-IF($B$1+46&gt;=$B$23,$B$22,0))*(1+$B$4)^46)&gt;0,1+$B$3,1))</f>
        <v/>
      </c>
      <c r="AX60">
        <f>IF($B$1+47&gt;90,AW60,(AW60+IF($B$1+47&lt;=$B60,12*$B$7,-12*MAX(0,$B$6-IF($B$1+47&gt;=$B$23,$B$22,0))*(1+$B$4)^47))*IF(AW60+IF($B$1+47&lt;=$B60,12*$B$7,-12*MAX(0,$B$6-IF($B$1+47&gt;=$B$23,$B$22,0))*(1+$B$4)^47)&gt;0,1+$B$3,1))</f>
        <v/>
      </c>
      <c r="AY60">
        <f>IF($B$1+48&gt;90,AX60,(AX60+IF($B$1+48&lt;=$B60,12*$B$7,-12*MAX(0,$B$6-IF($B$1+48&gt;=$B$23,$B$22,0))*(1+$B$4)^48))*IF(AX60+IF($B$1+48&lt;=$B60,12*$B$7,-12*MAX(0,$B$6-IF($B$1+48&gt;=$B$23,$B$22,0))*(1+$B$4)^48)&gt;0,1+$B$3,1))</f>
        <v/>
      </c>
      <c r="AZ60">
        <f>IF($B$1+49&gt;90,AY60,(AY60+IF($B$1+49&lt;=$B60,12*$B$7,-12*MAX(0,$B$6-IF($B$1+49&gt;=$B$23,$B$22,0))*(1+$B$4)^49))*IF(AY60+IF($B$1+49&lt;=$B60,12*$B$7,-12*MAX(0,$B$6-IF($B$1+49&gt;=$B$23,$B$22,0))*(1+$B$4)^49)&gt;0,1+$B$3,1))</f>
        <v/>
      </c>
      <c r="BA60">
        <f>IF($B$1+50&gt;90,AZ60,(AZ60+IF($B$1+50&lt;=$B60,12*$B$7,-12*MAX(0,$B$6-IF($B$1+50&gt;=$B$23,$B$22,0))*(1+$B$4)^50))*IF(AZ60+IF($B$1+50&lt;=$B60,12*$B$7,-12*MAX(0,$B$6-IF($B$1+50&gt;=$B$23,$B$22,0))*(1+$B$4)^50)&gt;0,1+$B$3,1))</f>
        <v/>
      </c>
      <c r="BB60">
        <f>IF($B$1+51&gt;90,BA60,(BA60+IF($B$1+51&lt;=$B60,12*$B$7,-12*MAX(0,$B$6-IF($B$1+51&gt;=$B$23,$B$22,0))*(1+$B$4)^51))*IF(BA60+IF($B$1+51&lt;=$B60,12*$B$7,-12*MAX(0,$B$6-IF($B$1+51&gt;=$B$23,$B$22,0))*(1+$B$4)^51)&gt;0,1+$B$3,1))</f>
        <v/>
      </c>
      <c r="BC60">
        <f>IF($B$1+52&gt;90,BB60,(BB60+IF($B$1+52&lt;=$B60,12*$B$7,-12*MAX(0,$B$6-IF($B$1+52&gt;=$B$23,$B$22,0))*(1+$B$4)^52))*IF(BB60+IF($B$1+52&lt;=$B60,12*$B$7,-12*MAX(0,$B$6-IF($B$1+52&gt;=$B$23,$B$22,0))*(1+$B$4)^52)&gt;0,1+$B$3,1))</f>
        <v/>
      </c>
      <c r="BD60">
        <f>IF($B$1+53&gt;90,BC60,(BC60+IF($B$1+53&lt;=$B60,12*$B$7,-12*MAX(0,$B$6-IF($B$1+53&gt;=$B$23,$B$22,0))*(1+$B$4)^53))*IF(BC60+IF($B$1+53&lt;=$B60,12*$B$7,-12*MAX(0,$B$6-IF($B$1+53&gt;=$B$23,$B$22,0))*(1+$B$4)^53)&gt;0,1+$B$3,1))</f>
        <v/>
      </c>
      <c r="BE60">
        <f>IF($B$1+54&gt;90,BD60,(BD60+IF($B$1+54&lt;=$B60,12*$B$7,-12*MAX(0,$B$6-IF($B$1+54&gt;=$B$23,$B$22,0))*(1+$B$4)^54))*IF(BD60+IF($B$1+54&lt;=$B60,12*$B$7,-12*MAX(0,$B$6-IF($B$1+54&gt;=$B$23,$B$22,0))*(1+$B$4)^54)&gt;0,1+$B$3,1))</f>
        <v/>
      </c>
      <c r="BF60">
        <f>IF($B$1+55&gt;90,BE60,(BE60+IF($B$1+55&lt;=$B60,12*$B$7,-12*MAX(0,$B$6-IF($B$1+55&gt;=$B$23,$B$22,0))*(1+$B$4)^55))*IF(BE60+IF($B$1+55&lt;=$B60,12*$B$7,-12*MAX(0,$B$6-IF($B$1+55&gt;=$B$23,$B$22,0))*(1+$B$4)^55)&gt;0,1+$B$3,1))</f>
        <v/>
      </c>
      <c r="BG60">
        <f>IF($B$1+56&gt;90,BF60,(BF60+IF($B$1+56&lt;=$B60,12*$B$7,-12*MAX(0,$B$6-IF($B$1+56&gt;=$B$23,$B$22,0))*(1+$B$4)^56))*IF(BF60+IF($B$1+56&lt;=$B60,12*$B$7,-12*MAX(0,$B$6-IF($B$1+56&gt;=$B$23,$B$22,0))*(1+$B$4)^56)&gt;0,1+$B$3,1))</f>
        <v/>
      </c>
      <c r="BH60">
        <f>IF($B$1+57&gt;90,BG60,(BG60+IF($B$1+57&lt;=$B60,12*$B$7,-12*MAX(0,$B$6-IF($B$1+57&gt;=$B$23,$B$22,0))*(1+$B$4)^57))*IF(BG60+IF($B$1+57&lt;=$B60,12*$B$7,-12*MAX(0,$B$6-IF($B$1+57&gt;=$B$23,$B$22,0))*(1+$B$4)^57)&gt;0,1+$B$3,1))</f>
        <v/>
      </c>
      <c r="BI60">
        <f>IF($B$1+58&gt;90,BH60,(BH60+IF($B$1+58&lt;=$B60,12*$B$7,-12*MAX(0,$B$6-IF($B$1+58&gt;=$B$23,$B$22,0))*(1+$B$4)^58))*IF(BH60+IF($B$1+58&lt;=$B60,12*$B$7,-12*MAX(0,$B$6-IF($B$1+58&gt;=$B$23,$B$22,0))*(1+$B$4)^58)&gt;0,1+$B$3,1))</f>
        <v/>
      </c>
      <c r="BJ60">
        <f>IF($B$1+59&gt;90,BI60,(BI60+IF($B$1+59&lt;=$B60,12*$B$7,-12*MAX(0,$B$6-IF($B$1+59&gt;=$B$23,$B$22,0))*(1+$B$4)^59))*IF(BI60+IF($B$1+59&lt;=$B60,12*$B$7,-12*MAX(0,$B$6-IF($B$1+59&gt;=$B$23,$B$22,0))*(1+$B$4)^59)&gt;0,1+$B$3,1))</f>
        <v/>
      </c>
      <c r="BK60">
        <f>IF($B$1+60&gt;90,BJ60,(BJ60+IF($B$1+60&lt;=$B60,12*$B$7,-12*MAX(0,$B$6-IF($B$1+60&gt;=$B$23,$B$22,0))*(1+$B$4)^60))*IF(BJ60+IF($B$1+60&lt;=$B60,12*$B$7,-12*MAX(0,$B$6-IF($B$1+60&gt;=$B$23,$B$22,0))*(1+$B$4)^60)&gt;0,1+$B$3,1))</f>
        <v/>
      </c>
      <c r="BL60">
        <f>IF($B$1+61&gt;90,BK60,(BK60+IF($B$1+61&lt;=$B60,12*$B$7,-12*MAX(0,$B$6-IF($B$1+61&gt;=$B$23,$B$22,0))*(1+$B$4)^61))*IF(BK60+IF($B$1+61&lt;=$B60,12*$B$7,-12*MAX(0,$B$6-IF($B$1+61&gt;=$B$23,$B$22,0))*(1+$B$4)^61)&gt;0,1+$B$3,1))</f>
        <v/>
      </c>
      <c r="BM60">
        <f>IF($B$1+62&gt;90,BL60,(BL60+IF($B$1+62&lt;=$B60,12*$B$7,-12*MAX(0,$B$6-IF($B$1+62&gt;=$B$23,$B$22,0))*(1+$B$4)^62))*IF(BL60+IF($B$1+62&lt;=$B60,12*$B$7,-12*MAX(0,$B$6-IF($B$1+62&gt;=$B$23,$B$22,0))*(1+$B$4)^62)&gt;0,1+$B$3,1))</f>
        <v/>
      </c>
      <c r="BN60">
        <f>IF($B$1+63&gt;90,BM60,(BM60+IF($B$1+63&lt;=$B60,12*$B$7,-12*MAX(0,$B$6-IF($B$1+63&gt;=$B$23,$B$22,0))*(1+$B$4)^63))*IF(BM60+IF($B$1+63&lt;=$B60,12*$B$7,-12*MAX(0,$B$6-IF($B$1+63&gt;=$B$23,$B$22,0))*(1+$B$4)^63)&gt;0,1+$B$3,1))</f>
        <v/>
      </c>
      <c r="BO60">
        <f>IF($B$1+64&gt;90,BN60,(BN60+IF($B$1+64&lt;=$B60,12*$B$7,-12*MAX(0,$B$6-IF($B$1+64&gt;=$B$23,$B$22,0))*(1+$B$4)^64))*IF(BN60+IF($B$1+64&lt;=$B60,12*$B$7,-12*MAX(0,$B$6-IF($B$1+64&gt;=$B$23,$B$22,0))*(1+$B$4)^64)&gt;0,1+$B$3,1))</f>
        <v/>
      </c>
      <c r="BP60">
        <f>IF($B$1+65&gt;90,BO60,(BO60+IF($B$1+65&lt;=$B60,12*$B$7,-12*MAX(0,$B$6-IF($B$1+65&gt;=$B$23,$B$22,0))*(1+$B$4)^65))*IF(BO60+IF($B$1+65&lt;=$B60,12*$B$7,-12*MAX(0,$B$6-IF($B$1+65&gt;=$B$23,$B$22,0))*(1+$B$4)^65)&gt;0,1+$B$3,1))</f>
        <v/>
      </c>
      <c r="BQ60">
        <f>IF($B$1+66&gt;90,BP60,(BP60+IF($B$1+66&lt;=$B60,12*$B$7,-12*MAX(0,$B$6-IF($B$1+66&gt;=$B$23,$B$22,0))*(1+$B$4)^66))*IF(BP60+IF($B$1+66&lt;=$B60,12*$B$7,-12*MAX(0,$B$6-IF($B$1+66&gt;=$B$23,$B$22,0))*(1+$B$4)^66)&gt;0,1+$B$3,1))</f>
        <v/>
      </c>
      <c r="BR60">
        <f>IF($B$1+67&gt;90,BQ60,(BQ60+IF($B$1+67&lt;=$B60,12*$B$7,-12*MAX(0,$B$6-IF($B$1+67&gt;=$B$23,$B$22,0))*(1+$B$4)^67))*IF(BQ60+IF($B$1+67&lt;=$B60,12*$B$7,-12*MAX(0,$B$6-IF($B$1+67&gt;=$B$23,$B$22,0))*(1+$B$4)^67)&gt;0,1+$B$3,1))</f>
        <v/>
      </c>
      <c r="BS60">
        <f>IF($B$1+68&gt;90,BR60,(BR60+IF($B$1+68&lt;=$B60,12*$B$7,-12*MAX(0,$B$6-IF($B$1+68&gt;=$B$23,$B$22,0))*(1+$B$4)^68))*IF(BR60+IF($B$1+68&lt;=$B60,12*$B$7,-12*MAX(0,$B$6-IF($B$1+68&gt;=$B$23,$B$22,0))*(1+$B$4)^68)&gt;0,1+$B$3,1))</f>
        <v/>
      </c>
      <c r="BT60">
        <f>IF($B$1+69&gt;90,BS60,(BS60+IF($B$1+69&lt;=$B60,12*$B$7,-12*MAX(0,$B$6-IF($B$1+69&gt;=$B$23,$B$22,0))*(1+$B$4)^69))*IF(BS60+IF($B$1+69&lt;=$B60,12*$B$7,-12*MAX(0,$B$6-IF($B$1+69&gt;=$B$23,$B$22,0))*(1+$B$4)^69)&gt;0,1+$B$3,1))</f>
        <v/>
      </c>
      <c r="BU60">
        <f>IF($B$1+70&gt;90,BT60,(BT60+IF($B$1+70&lt;=$B60,12*$B$7,-12*MAX(0,$B$6-IF($B$1+70&gt;=$B$23,$B$22,0))*(1+$B$4)^70))*IF(BT60+IF($B$1+70&lt;=$B60,12*$B$7,-12*MAX(0,$B$6-IF($B$1+70&gt;=$B$23,$B$22,0))*(1+$B$4)^70)&gt;0,1+$B$3,1))</f>
        <v/>
      </c>
      <c r="BV60">
        <f>BU60</f>
        <v/>
      </c>
      <c r="BW60">
        <f>IF(AND($B60&lt;=70,BV60&gt;0),$B60,999)</f>
        <v/>
      </c>
      <c r="CB60" t="n">
        <v>59</v>
      </c>
      <c r="CC60">
        <f>IF($B$1+CB60&gt;90,0,12*MAX(0,$B$6-IF($B$1+CB60&gt;=$B$23,$B$22,0))*(1+$B$4)^CB60/(1+$B$3)^(CB60-1))</f>
        <v/>
      </c>
      <c r="CE60">
        <f>IF($B$1+58&gt;90,NA(),$B$1+58)</f>
        <v/>
      </c>
      <c r="CF60">
        <f>IF(OR($B$21="",$B$1+58&gt;90),NA(),INDEX($C$40:$BU$90,$B$21-$B$1+1,59))</f>
        <v/>
      </c>
      <c r="CH60">
        <f>IF(ISTEXT('월 가계부'!A60),SUBSTITUTE(SUBSTITUTE(SUBSTITUTE(SUBSTITUTE(SUBSTITUTE(SUBSTITUTE(SUBSTITUTE(SUBSTITUTE(SUBSTITUTE(TRIM('월 가계부'!A60),"년","-"),"월","-"),"일",""),".","-"),"/","-")," ","-"),"--","-"),"--","-"),"--","-")&amp;"-","")</f>
        <v/>
      </c>
      <c r="CI60">
        <f>IFERROR(IF('월 가계부'!A60="","",IF(ISNUMBER('월 가계부'!A60),IF(AND('월 가계부'!A60&gt;=19000101,'월 가계부'!A60&lt;=21001231),IF(AND(MOD(INT('월 가계부'!A60/100),100)&gt;=1,MOD(INT('월 가계부'!A60/100),100)&lt;=12,MOD(INT('월 가계부'!A60),100)&gt;=1,MOD(INT('월 가계부'!A60),100)&lt;=31),IF(MONTH(DATE(INT('월 가계부'!A60/10000),MOD(INT('월 가계부'!A60/100),100),MOD(INT('월 가계부'!A60),100)))=MOD(INT('월 가계부'!A60/100),100),DATE(INT('월 가계부'!A60/10000),MOD(INT('월 가계부'!A60/100),100),MOD(INT('월 가계부'!A60),100)),""),""),IF(AND('월 가계부'!A60&gt;=36526,'월 가계부'!A60&lt;73051),INT('월 가계부'!A60),"")),IF(OR(CM60="",CN60="",CO60=""),"",IF(AND(CM60&gt;=2000,CM60&lt;=2099,CN60&gt;=1,CN60&lt;=12,CO60&gt;=1,CO60&lt;=31),IF(MONTH(DATE(CM60,CN60,CO60))=CN60,DATE(CM60,CN60,CO60),""),"")))),"")</f>
        <v/>
      </c>
      <c r="CJ60">
        <f>IFERROR(IF('월 가계부'!C60="","",IF(ISNUMBER('월 가계부'!C60),'월 가계부'!C60,VALUE(SUBSTITUTE(SUBSTITUTE(SUBSTITUTE(SUBSTITUTE(TRIM('월 가계부'!C60),",",""),"원","")," ",""),"−","-")))),"")</f>
        <v/>
      </c>
      <c r="CK60">
        <f>IF(ISNUMBER(CI60),IF(CI60&lt;$B$13,CI60,""),"")</f>
        <v/>
      </c>
      <c r="CM60">
        <f>IF(CH60="","",IFERROR(IF(IF(AND(LEN(CH60)=9,ISERROR(FIND("-",LEFT(CH60,8))),ISNUMBER(-LEFT(CH60,8))),VALUE(LEFT(CH60,4)),VALUE(LEFT(CH60,FIND("-",CH60)-1)))&lt;100,IF(AND(LEN(CH60)=9,ISERROR(FIND("-",LEFT(CH60,8))),ISNUMBER(-LEFT(CH60,8))),VALUE(LEFT(CH60,4)),VALUE(LEFT(CH60,FIND("-",CH60)-1)))+2000,IF(AND(LEN(CH60)=9,ISERROR(FIND("-",LEFT(CH60,8))),ISNUMBER(-LEFT(CH60,8))),VALUE(LEFT(CH60,4)),VALUE(LEFT(CH60,FIND("-",CH60)-1)))),""))</f>
        <v/>
      </c>
      <c r="CN60">
        <f>IF(CH60="","",IFERROR(IF(AND(LEN(CH60)=9,ISERROR(FIND("-",LEFT(CH60,8))),ISNUMBER(-LEFT(CH60,8))),VALUE(MID(CH60,5,2)),VALUE(MID(CH60,FIND("-",CH60)+1,FIND("-",CH60,FIND("-",CH60)+1)-FIND("-",CH60)-1))),""))</f>
        <v/>
      </c>
      <c r="CO60">
        <f>IF(CH60="","",IFERROR(IF(AND(LEN(CH60)=9,ISERROR(FIND("-",LEFT(CH60,8))),ISNUMBER(-LEFT(CH60,8))),VALUE(MID(CH60,7,2)),VALUE(MID(CH60,FIND("-",CH60,FIND("-",CH60)+1)+1,FIND("-",CH60,FIND("-",CH60,FIND("-",CH60)+1)+1)-FIND("-",CH60,FIND("-",CH60)+1)-1))),""))</f>
        <v/>
      </c>
    </row>
    <row r="61">
      <c r="A61" t="n">
        <v>21</v>
      </c>
      <c r="B61">
        <f>$B$1+21</f>
        <v/>
      </c>
      <c r="C61">
        <f>$B$2</f>
        <v/>
      </c>
      <c r="D61">
        <f>IF($B$1+1&gt;90,C61,(C61+IF($B$1+1&lt;=$B61,12*$B$7,-12*MAX(0,$B$6-IF($B$1+1&gt;=$B$23,$B$22,0))*(1+$B$4)^1))*IF(C61+IF($B$1+1&lt;=$B61,12*$B$7,-12*MAX(0,$B$6-IF($B$1+1&gt;=$B$23,$B$22,0))*(1+$B$4)^1)&gt;0,1+$B$3,1))</f>
        <v/>
      </c>
      <c r="E61">
        <f>IF($B$1+2&gt;90,D61,(D61+IF($B$1+2&lt;=$B61,12*$B$7,-12*MAX(0,$B$6-IF($B$1+2&gt;=$B$23,$B$22,0))*(1+$B$4)^2))*IF(D61+IF($B$1+2&lt;=$B61,12*$B$7,-12*MAX(0,$B$6-IF($B$1+2&gt;=$B$23,$B$22,0))*(1+$B$4)^2)&gt;0,1+$B$3,1))</f>
        <v/>
      </c>
      <c r="F61">
        <f>IF($B$1+3&gt;90,E61,(E61+IF($B$1+3&lt;=$B61,12*$B$7,-12*MAX(0,$B$6-IF($B$1+3&gt;=$B$23,$B$22,0))*(1+$B$4)^3))*IF(E61+IF($B$1+3&lt;=$B61,12*$B$7,-12*MAX(0,$B$6-IF($B$1+3&gt;=$B$23,$B$22,0))*(1+$B$4)^3)&gt;0,1+$B$3,1))</f>
        <v/>
      </c>
      <c r="G61">
        <f>IF($B$1+4&gt;90,F61,(F61+IF($B$1+4&lt;=$B61,12*$B$7,-12*MAX(0,$B$6-IF($B$1+4&gt;=$B$23,$B$22,0))*(1+$B$4)^4))*IF(F61+IF($B$1+4&lt;=$B61,12*$B$7,-12*MAX(0,$B$6-IF($B$1+4&gt;=$B$23,$B$22,0))*(1+$B$4)^4)&gt;0,1+$B$3,1))</f>
        <v/>
      </c>
      <c r="H61">
        <f>IF($B$1+5&gt;90,G61,(G61+IF($B$1+5&lt;=$B61,12*$B$7,-12*MAX(0,$B$6-IF($B$1+5&gt;=$B$23,$B$22,0))*(1+$B$4)^5))*IF(G61+IF($B$1+5&lt;=$B61,12*$B$7,-12*MAX(0,$B$6-IF($B$1+5&gt;=$B$23,$B$22,0))*(1+$B$4)^5)&gt;0,1+$B$3,1))</f>
        <v/>
      </c>
      <c r="I61">
        <f>IF($B$1+6&gt;90,H61,(H61+IF($B$1+6&lt;=$B61,12*$B$7,-12*MAX(0,$B$6-IF($B$1+6&gt;=$B$23,$B$22,0))*(1+$B$4)^6))*IF(H61+IF($B$1+6&lt;=$B61,12*$B$7,-12*MAX(0,$B$6-IF($B$1+6&gt;=$B$23,$B$22,0))*(1+$B$4)^6)&gt;0,1+$B$3,1))</f>
        <v/>
      </c>
      <c r="J61">
        <f>IF($B$1+7&gt;90,I61,(I61+IF($B$1+7&lt;=$B61,12*$B$7,-12*MAX(0,$B$6-IF($B$1+7&gt;=$B$23,$B$22,0))*(1+$B$4)^7))*IF(I61+IF($B$1+7&lt;=$B61,12*$B$7,-12*MAX(0,$B$6-IF($B$1+7&gt;=$B$23,$B$22,0))*(1+$B$4)^7)&gt;0,1+$B$3,1))</f>
        <v/>
      </c>
      <c r="K61">
        <f>IF($B$1+8&gt;90,J61,(J61+IF($B$1+8&lt;=$B61,12*$B$7,-12*MAX(0,$B$6-IF($B$1+8&gt;=$B$23,$B$22,0))*(1+$B$4)^8))*IF(J61+IF($B$1+8&lt;=$B61,12*$B$7,-12*MAX(0,$B$6-IF($B$1+8&gt;=$B$23,$B$22,0))*(1+$B$4)^8)&gt;0,1+$B$3,1))</f>
        <v/>
      </c>
      <c r="L61">
        <f>IF($B$1+9&gt;90,K61,(K61+IF($B$1+9&lt;=$B61,12*$B$7,-12*MAX(0,$B$6-IF($B$1+9&gt;=$B$23,$B$22,0))*(1+$B$4)^9))*IF(K61+IF($B$1+9&lt;=$B61,12*$B$7,-12*MAX(0,$B$6-IF($B$1+9&gt;=$B$23,$B$22,0))*(1+$B$4)^9)&gt;0,1+$B$3,1))</f>
        <v/>
      </c>
      <c r="M61">
        <f>IF($B$1+10&gt;90,L61,(L61+IF($B$1+10&lt;=$B61,12*$B$7,-12*MAX(0,$B$6-IF($B$1+10&gt;=$B$23,$B$22,0))*(1+$B$4)^10))*IF(L61+IF($B$1+10&lt;=$B61,12*$B$7,-12*MAX(0,$B$6-IF($B$1+10&gt;=$B$23,$B$22,0))*(1+$B$4)^10)&gt;0,1+$B$3,1))</f>
        <v/>
      </c>
      <c r="N61">
        <f>IF($B$1+11&gt;90,M61,(M61+IF($B$1+11&lt;=$B61,12*$B$7,-12*MAX(0,$B$6-IF($B$1+11&gt;=$B$23,$B$22,0))*(1+$B$4)^11))*IF(M61+IF($B$1+11&lt;=$B61,12*$B$7,-12*MAX(0,$B$6-IF($B$1+11&gt;=$B$23,$B$22,0))*(1+$B$4)^11)&gt;0,1+$B$3,1))</f>
        <v/>
      </c>
      <c r="O61">
        <f>IF($B$1+12&gt;90,N61,(N61+IF($B$1+12&lt;=$B61,12*$B$7,-12*MAX(0,$B$6-IF($B$1+12&gt;=$B$23,$B$22,0))*(1+$B$4)^12))*IF(N61+IF($B$1+12&lt;=$B61,12*$B$7,-12*MAX(0,$B$6-IF($B$1+12&gt;=$B$23,$B$22,0))*(1+$B$4)^12)&gt;0,1+$B$3,1))</f>
        <v/>
      </c>
      <c r="P61">
        <f>IF($B$1+13&gt;90,O61,(O61+IF($B$1+13&lt;=$B61,12*$B$7,-12*MAX(0,$B$6-IF($B$1+13&gt;=$B$23,$B$22,0))*(1+$B$4)^13))*IF(O61+IF($B$1+13&lt;=$B61,12*$B$7,-12*MAX(0,$B$6-IF($B$1+13&gt;=$B$23,$B$22,0))*(1+$B$4)^13)&gt;0,1+$B$3,1))</f>
        <v/>
      </c>
      <c r="Q61">
        <f>IF($B$1+14&gt;90,P61,(P61+IF($B$1+14&lt;=$B61,12*$B$7,-12*MAX(0,$B$6-IF($B$1+14&gt;=$B$23,$B$22,0))*(1+$B$4)^14))*IF(P61+IF($B$1+14&lt;=$B61,12*$B$7,-12*MAX(0,$B$6-IF($B$1+14&gt;=$B$23,$B$22,0))*(1+$B$4)^14)&gt;0,1+$B$3,1))</f>
        <v/>
      </c>
      <c r="R61">
        <f>IF($B$1+15&gt;90,Q61,(Q61+IF($B$1+15&lt;=$B61,12*$B$7,-12*MAX(0,$B$6-IF($B$1+15&gt;=$B$23,$B$22,0))*(1+$B$4)^15))*IF(Q61+IF($B$1+15&lt;=$B61,12*$B$7,-12*MAX(0,$B$6-IF($B$1+15&gt;=$B$23,$B$22,0))*(1+$B$4)^15)&gt;0,1+$B$3,1))</f>
        <v/>
      </c>
      <c r="S61">
        <f>IF($B$1+16&gt;90,R61,(R61+IF($B$1+16&lt;=$B61,12*$B$7,-12*MAX(0,$B$6-IF($B$1+16&gt;=$B$23,$B$22,0))*(1+$B$4)^16))*IF(R61+IF($B$1+16&lt;=$B61,12*$B$7,-12*MAX(0,$B$6-IF($B$1+16&gt;=$B$23,$B$22,0))*(1+$B$4)^16)&gt;0,1+$B$3,1))</f>
        <v/>
      </c>
      <c r="T61">
        <f>IF($B$1+17&gt;90,S61,(S61+IF($B$1+17&lt;=$B61,12*$B$7,-12*MAX(0,$B$6-IF($B$1+17&gt;=$B$23,$B$22,0))*(1+$B$4)^17))*IF(S61+IF($B$1+17&lt;=$B61,12*$B$7,-12*MAX(0,$B$6-IF($B$1+17&gt;=$B$23,$B$22,0))*(1+$B$4)^17)&gt;0,1+$B$3,1))</f>
        <v/>
      </c>
      <c r="U61">
        <f>IF($B$1+18&gt;90,T61,(T61+IF($B$1+18&lt;=$B61,12*$B$7,-12*MAX(0,$B$6-IF($B$1+18&gt;=$B$23,$B$22,0))*(1+$B$4)^18))*IF(T61+IF($B$1+18&lt;=$B61,12*$B$7,-12*MAX(0,$B$6-IF($B$1+18&gt;=$B$23,$B$22,0))*(1+$B$4)^18)&gt;0,1+$B$3,1))</f>
        <v/>
      </c>
      <c r="V61">
        <f>IF($B$1+19&gt;90,U61,(U61+IF($B$1+19&lt;=$B61,12*$B$7,-12*MAX(0,$B$6-IF($B$1+19&gt;=$B$23,$B$22,0))*(1+$B$4)^19))*IF(U61+IF($B$1+19&lt;=$B61,12*$B$7,-12*MAX(0,$B$6-IF($B$1+19&gt;=$B$23,$B$22,0))*(1+$B$4)^19)&gt;0,1+$B$3,1))</f>
        <v/>
      </c>
      <c r="W61">
        <f>IF($B$1+20&gt;90,V61,(V61+IF($B$1+20&lt;=$B61,12*$B$7,-12*MAX(0,$B$6-IF($B$1+20&gt;=$B$23,$B$22,0))*(1+$B$4)^20))*IF(V61+IF($B$1+20&lt;=$B61,12*$B$7,-12*MAX(0,$B$6-IF($B$1+20&gt;=$B$23,$B$22,0))*(1+$B$4)^20)&gt;0,1+$B$3,1))</f>
        <v/>
      </c>
      <c r="X61">
        <f>IF($B$1+21&gt;90,W61,(W61+IF($B$1+21&lt;=$B61,12*$B$7,-12*MAX(0,$B$6-IF($B$1+21&gt;=$B$23,$B$22,0))*(1+$B$4)^21))*IF(W61+IF($B$1+21&lt;=$B61,12*$B$7,-12*MAX(0,$B$6-IF($B$1+21&gt;=$B$23,$B$22,0))*(1+$B$4)^21)&gt;0,1+$B$3,1))</f>
        <v/>
      </c>
      <c r="Y61">
        <f>IF($B$1+22&gt;90,X61,(X61+IF($B$1+22&lt;=$B61,12*$B$7,-12*MAX(0,$B$6-IF($B$1+22&gt;=$B$23,$B$22,0))*(1+$B$4)^22))*IF(X61+IF($B$1+22&lt;=$B61,12*$B$7,-12*MAX(0,$B$6-IF($B$1+22&gt;=$B$23,$B$22,0))*(1+$B$4)^22)&gt;0,1+$B$3,1))</f>
        <v/>
      </c>
      <c r="Z61">
        <f>IF($B$1+23&gt;90,Y61,(Y61+IF($B$1+23&lt;=$B61,12*$B$7,-12*MAX(0,$B$6-IF($B$1+23&gt;=$B$23,$B$22,0))*(1+$B$4)^23))*IF(Y61+IF($B$1+23&lt;=$B61,12*$B$7,-12*MAX(0,$B$6-IF($B$1+23&gt;=$B$23,$B$22,0))*(1+$B$4)^23)&gt;0,1+$B$3,1))</f>
        <v/>
      </c>
      <c r="AA61">
        <f>IF($B$1+24&gt;90,Z61,(Z61+IF($B$1+24&lt;=$B61,12*$B$7,-12*MAX(0,$B$6-IF($B$1+24&gt;=$B$23,$B$22,0))*(1+$B$4)^24))*IF(Z61+IF($B$1+24&lt;=$B61,12*$B$7,-12*MAX(0,$B$6-IF($B$1+24&gt;=$B$23,$B$22,0))*(1+$B$4)^24)&gt;0,1+$B$3,1))</f>
        <v/>
      </c>
      <c r="AB61">
        <f>IF($B$1+25&gt;90,AA61,(AA61+IF($B$1+25&lt;=$B61,12*$B$7,-12*MAX(0,$B$6-IF($B$1+25&gt;=$B$23,$B$22,0))*(1+$B$4)^25))*IF(AA61+IF($B$1+25&lt;=$B61,12*$B$7,-12*MAX(0,$B$6-IF($B$1+25&gt;=$B$23,$B$22,0))*(1+$B$4)^25)&gt;0,1+$B$3,1))</f>
        <v/>
      </c>
      <c r="AC61">
        <f>IF($B$1+26&gt;90,AB61,(AB61+IF($B$1+26&lt;=$B61,12*$B$7,-12*MAX(0,$B$6-IF($B$1+26&gt;=$B$23,$B$22,0))*(1+$B$4)^26))*IF(AB61+IF($B$1+26&lt;=$B61,12*$B$7,-12*MAX(0,$B$6-IF($B$1+26&gt;=$B$23,$B$22,0))*(1+$B$4)^26)&gt;0,1+$B$3,1))</f>
        <v/>
      </c>
      <c r="AD61">
        <f>IF($B$1+27&gt;90,AC61,(AC61+IF($B$1+27&lt;=$B61,12*$B$7,-12*MAX(0,$B$6-IF($B$1+27&gt;=$B$23,$B$22,0))*(1+$B$4)^27))*IF(AC61+IF($B$1+27&lt;=$B61,12*$B$7,-12*MAX(0,$B$6-IF($B$1+27&gt;=$B$23,$B$22,0))*(1+$B$4)^27)&gt;0,1+$B$3,1))</f>
        <v/>
      </c>
      <c r="AE61">
        <f>IF($B$1+28&gt;90,AD61,(AD61+IF($B$1+28&lt;=$B61,12*$B$7,-12*MAX(0,$B$6-IF($B$1+28&gt;=$B$23,$B$22,0))*(1+$B$4)^28))*IF(AD61+IF($B$1+28&lt;=$B61,12*$B$7,-12*MAX(0,$B$6-IF($B$1+28&gt;=$B$23,$B$22,0))*(1+$B$4)^28)&gt;0,1+$B$3,1))</f>
        <v/>
      </c>
      <c r="AF61">
        <f>IF($B$1+29&gt;90,AE61,(AE61+IF($B$1+29&lt;=$B61,12*$B$7,-12*MAX(0,$B$6-IF($B$1+29&gt;=$B$23,$B$22,0))*(1+$B$4)^29))*IF(AE61+IF($B$1+29&lt;=$B61,12*$B$7,-12*MAX(0,$B$6-IF($B$1+29&gt;=$B$23,$B$22,0))*(1+$B$4)^29)&gt;0,1+$B$3,1))</f>
        <v/>
      </c>
      <c r="AG61">
        <f>IF($B$1+30&gt;90,AF61,(AF61+IF($B$1+30&lt;=$B61,12*$B$7,-12*MAX(0,$B$6-IF($B$1+30&gt;=$B$23,$B$22,0))*(1+$B$4)^30))*IF(AF61+IF($B$1+30&lt;=$B61,12*$B$7,-12*MAX(0,$B$6-IF($B$1+30&gt;=$B$23,$B$22,0))*(1+$B$4)^30)&gt;0,1+$B$3,1))</f>
        <v/>
      </c>
      <c r="AH61">
        <f>IF($B$1+31&gt;90,AG61,(AG61+IF($B$1+31&lt;=$B61,12*$B$7,-12*MAX(0,$B$6-IF($B$1+31&gt;=$B$23,$B$22,0))*(1+$B$4)^31))*IF(AG61+IF($B$1+31&lt;=$B61,12*$B$7,-12*MAX(0,$B$6-IF($B$1+31&gt;=$B$23,$B$22,0))*(1+$B$4)^31)&gt;0,1+$B$3,1))</f>
        <v/>
      </c>
      <c r="AI61">
        <f>IF($B$1+32&gt;90,AH61,(AH61+IF($B$1+32&lt;=$B61,12*$B$7,-12*MAX(0,$B$6-IF($B$1+32&gt;=$B$23,$B$22,0))*(1+$B$4)^32))*IF(AH61+IF($B$1+32&lt;=$B61,12*$B$7,-12*MAX(0,$B$6-IF($B$1+32&gt;=$B$23,$B$22,0))*(1+$B$4)^32)&gt;0,1+$B$3,1))</f>
        <v/>
      </c>
      <c r="AJ61">
        <f>IF($B$1+33&gt;90,AI61,(AI61+IF($B$1+33&lt;=$B61,12*$B$7,-12*MAX(0,$B$6-IF($B$1+33&gt;=$B$23,$B$22,0))*(1+$B$4)^33))*IF(AI61+IF($B$1+33&lt;=$B61,12*$B$7,-12*MAX(0,$B$6-IF($B$1+33&gt;=$B$23,$B$22,0))*(1+$B$4)^33)&gt;0,1+$B$3,1))</f>
        <v/>
      </c>
      <c r="AK61">
        <f>IF($B$1+34&gt;90,AJ61,(AJ61+IF($B$1+34&lt;=$B61,12*$B$7,-12*MAX(0,$B$6-IF($B$1+34&gt;=$B$23,$B$22,0))*(1+$B$4)^34))*IF(AJ61+IF($B$1+34&lt;=$B61,12*$B$7,-12*MAX(0,$B$6-IF($B$1+34&gt;=$B$23,$B$22,0))*(1+$B$4)^34)&gt;0,1+$B$3,1))</f>
        <v/>
      </c>
      <c r="AL61">
        <f>IF($B$1+35&gt;90,AK61,(AK61+IF($B$1+35&lt;=$B61,12*$B$7,-12*MAX(0,$B$6-IF($B$1+35&gt;=$B$23,$B$22,0))*(1+$B$4)^35))*IF(AK61+IF($B$1+35&lt;=$B61,12*$B$7,-12*MAX(0,$B$6-IF($B$1+35&gt;=$B$23,$B$22,0))*(1+$B$4)^35)&gt;0,1+$B$3,1))</f>
        <v/>
      </c>
      <c r="AM61">
        <f>IF($B$1+36&gt;90,AL61,(AL61+IF($B$1+36&lt;=$B61,12*$B$7,-12*MAX(0,$B$6-IF($B$1+36&gt;=$B$23,$B$22,0))*(1+$B$4)^36))*IF(AL61+IF($B$1+36&lt;=$B61,12*$B$7,-12*MAX(0,$B$6-IF($B$1+36&gt;=$B$23,$B$22,0))*(1+$B$4)^36)&gt;0,1+$B$3,1))</f>
        <v/>
      </c>
      <c r="AN61">
        <f>IF($B$1+37&gt;90,AM61,(AM61+IF($B$1+37&lt;=$B61,12*$B$7,-12*MAX(0,$B$6-IF($B$1+37&gt;=$B$23,$B$22,0))*(1+$B$4)^37))*IF(AM61+IF($B$1+37&lt;=$B61,12*$B$7,-12*MAX(0,$B$6-IF($B$1+37&gt;=$B$23,$B$22,0))*(1+$B$4)^37)&gt;0,1+$B$3,1))</f>
        <v/>
      </c>
      <c r="AO61">
        <f>IF($B$1+38&gt;90,AN61,(AN61+IF($B$1+38&lt;=$B61,12*$B$7,-12*MAX(0,$B$6-IF($B$1+38&gt;=$B$23,$B$22,0))*(1+$B$4)^38))*IF(AN61+IF($B$1+38&lt;=$B61,12*$B$7,-12*MAX(0,$B$6-IF($B$1+38&gt;=$B$23,$B$22,0))*(1+$B$4)^38)&gt;0,1+$B$3,1))</f>
        <v/>
      </c>
      <c r="AP61">
        <f>IF($B$1+39&gt;90,AO61,(AO61+IF($B$1+39&lt;=$B61,12*$B$7,-12*MAX(0,$B$6-IF($B$1+39&gt;=$B$23,$B$22,0))*(1+$B$4)^39))*IF(AO61+IF($B$1+39&lt;=$B61,12*$B$7,-12*MAX(0,$B$6-IF($B$1+39&gt;=$B$23,$B$22,0))*(1+$B$4)^39)&gt;0,1+$B$3,1))</f>
        <v/>
      </c>
      <c r="AQ61">
        <f>IF($B$1+40&gt;90,AP61,(AP61+IF($B$1+40&lt;=$B61,12*$B$7,-12*MAX(0,$B$6-IF($B$1+40&gt;=$B$23,$B$22,0))*(1+$B$4)^40))*IF(AP61+IF($B$1+40&lt;=$B61,12*$B$7,-12*MAX(0,$B$6-IF($B$1+40&gt;=$B$23,$B$22,0))*(1+$B$4)^40)&gt;0,1+$B$3,1))</f>
        <v/>
      </c>
      <c r="AR61">
        <f>IF($B$1+41&gt;90,AQ61,(AQ61+IF($B$1+41&lt;=$B61,12*$B$7,-12*MAX(0,$B$6-IF($B$1+41&gt;=$B$23,$B$22,0))*(1+$B$4)^41))*IF(AQ61+IF($B$1+41&lt;=$B61,12*$B$7,-12*MAX(0,$B$6-IF($B$1+41&gt;=$B$23,$B$22,0))*(1+$B$4)^41)&gt;0,1+$B$3,1))</f>
        <v/>
      </c>
      <c r="AS61">
        <f>IF($B$1+42&gt;90,AR61,(AR61+IF($B$1+42&lt;=$B61,12*$B$7,-12*MAX(0,$B$6-IF($B$1+42&gt;=$B$23,$B$22,0))*(1+$B$4)^42))*IF(AR61+IF($B$1+42&lt;=$B61,12*$B$7,-12*MAX(0,$B$6-IF($B$1+42&gt;=$B$23,$B$22,0))*(1+$B$4)^42)&gt;0,1+$B$3,1))</f>
        <v/>
      </c>
      <c r="AT61">
        <f>IF($B$1+43&gt;90,AS61,(AS61+IF($B$1+43&lt;=$B61,12*$B$7,-12*MAX(0,$B$6-IF($B$1+43&gt;=$B$23,$B$22,0))*(1+$B$4)^43))*IF(AS61+IF($B$1+43&lt;=$B61,12*$B$7,-12*MAX(0,$B$6-IF($B$1+43&gt;=$B$23,$B$22,0))*(1+$B$4)^43)&gt;0,1+$B$3,1))</f>
        <v/>
      </c>
      <c r="AU61">
        <f>IF($B$1+44&gt;90,AT61,(AT61+IF($B$1+44&lt;=$B61,12*$B$7,-12*MAX(0,$B$6-IF($B$1+44&gt;=$B$23,$B$22,0))*(1+$B$4)^44))*IF(AT61+IF($B$1+44&lt;=$B61,12*$B$7,-12*MAX(0,$B$6-IF($B$1+44&gt;=$B$23,$B$22,0))*(1+$B$4)^44)&gt;0,1+$B$3,1))</f>
        <v/>
      </c>
      <c r="AV61">
        <f>IF($B$1+45&gt;90,AU61,(AU61+IF($B$1+45&lt;=$B61,12*$B$7,-12*MAX(0,$B$6-IF($B$1+45&gt;=$B$23,$B$22,0))*(1+$B$4)^45))*IF(AU61+IF($B$1+45&lt;=$B61,12*$B$7,-12*MAX(0,$B$6-IF($B$1+45&gt;=$B$23,$B$22,0))*(1+$B$4)^45)&gt;0,1+$B$3,1))</f>
        <v/>
      </c>
      <c r="AW61">
        <f>IF($B$1+46&gt;90,AV61,(AV61+IF($B$1+46&lt;=$B61,12*$B$7,-12*MAX(0,$B$6-IF($B$1+46&gt;=$B$23,$B$22,0))*(1+$B$4)^46))*IF(AV61+IF($B$1+46&lt;=$B61,12*$B$7,-12*MAX(0,$B$6-IF($B$1+46&gt;=$B$23,$B$22,0))*(1+$B$4)^46)&gt;0,1+$B$3,1))</f>
        <v/>
      </c>
      <c r="AX61">
        <f>IF($B$1+47&gt;90,AW61,(AW61+IF($B$1+47&lt;=$B61,12*$B$7,-12*MAX(0,$B$6-IF($B$1+47&gt;=$B$23,$B$22,0))*(1+$B$4)^47))*IF(AW61+IF($B$1+47&lt;=$B61,12*$B$7,-12*MAX(0,$B$6-IF($B$1+47&gt;=$B$23,$B$22,0))*(1+$B$4)^47)&gt;0,1+$B$3,1))</f>
        <v/>
      </c>
      <c r="AY61">
        <f>IF($B$1+48&gt;90,AX61,(AX61+IF($B$1+48&lt;=$B61,12*$B$7,-12*MAX(0,$B$6-IF($B$1+48&gt;=$B$23,$B$22,0))*(1+$B$4)^48))*IF(AX61+IF($B$1+48&lt;=$B61,12*$B$7,-12*MAX(0,$B$6-IF($B$1+48&gt;=$B$23,$B$22,0))*(1+$B$4)^48)&gt;0,1+$B$3,1))</f>
        <v/>
      </c>
      <c r="AZ61">
        <f>IF($B$1+49&gt;90,AY61,(AY61+IF($B$1+49&lt;=$B61,12*$B$7,-12*MAX(0,$B$6-IF($B$1+49&gt;=$B$23,$B$22,0))*(1+$B$4)^49))*IF(AY61+IF($B$1+49&lt;=$B61,12*$B$7,-12*MAX(0,$B$6-IF($B$1+49&gt;=$B$23,$B$22,0))*(1+$B$4)^49)&gt;0,1+$B$3,1))</f>
        <v/>
      </c>
      <c r="BA61">
        <f>IF($B$1+50&gt;90,AZ61,(AZ61+IF($B$1+50&lt;=$B61,12*$B$7,-12*MAX(0,$B$6-IF($B$1+50&gt;=$B$23,$B$22,0))*(1+$B$4)^50))*IF(AZ61+IF($B$1+50&lt;=$B61,12*$B$7,-12*MAX(0,$B$6-IF($B$1+50&gt;=$B$23,$B$22,0))*(1+$B$4)^50)&gt;0,1+$B$3,1))</f>
        <v/>
      </c>
      <c r="BB61">
        <f>IF($B$1+51&gt;90,BA61,(BA61+IF($B$1+51&lt;=$B61,12*$B$7,-12*MAX(0,$B$6-IF($B$1+51&gt;=$B$23,$B$22,0))*(1+$B$4)^51))*IF(BA61+IF($B$1+51&lt;=$B61,12*$B$7,-12*MAX(0,$B$6-IF($B$1+51&gt;=$B$23,$B$22,0))*(1+$B$4)^51)&gt;0,1+$B$3,1))</f>
        <v/>
      </c>
      <c r="BC61">
        <f>IF($B$1+52&gt;90,BB61,(BB61+IF($B$1+52&lt;=$B61,12*$B$7,-12*MAX(0,$B$6-IF($B$1+52&gt;=$B$23,$B$22,0))*(1+$B$4)^52))*IF(BB61+IF($B$1+52&lt;=$B61,12*$B$7,-12*MAX(0,$B$6-IF($B$1+52&gt;=$B$23,$B$22,0))*(1+$B$4)^52)&gt;0,1+$B$3,1))</f>
        <v/>
      </c>
      <c r="BD61">
        <f>IF($B$1+53&gt;90,BC61,(BC61+IF($B$1+53&lt;=$B61,12*$B$7,-12*MAX(0,$B$6-IF($B$1+53&gt;=$B$23,$B$22,0))*(1+$B$4)^53))*IF(BC61+IF($B$1+53&lt;=$B61,12*$B$7,-12*MAX(0,$B$6-IF($B$1+53&gt;=$B$23,$B$22,0))*(1+$B$4)^53)&gt;0,1+$B$3,1))</f>
        <v/>
      </c>
      <c r="BE61">
        <f>IF($B$1+54&gt;90,BD61,(BD61+IF($B$1+54&lt;=$B61,12*$B$7,-12*MAX(0,$B$6-IF($B$1+54&gt;=$B$23,$B$22,0))*(1+$B$4)^54))*IF(BD61+IF($B$1+54&lt;=$B61,12*$B$7,-12*MAX(0,$B$6-IF($B$1+54&gt;=$B$23,$B$22,0))*(1+$B$4)^54)&gt;0,1+$B$3,1))</f>
        <v/>
      </c>
      <c r="BF61">
        <f>IF($B$1+55&gt;90,BE61,(BE61+IF($B$1+55&lt;=$B61,12*$B$7,-12*MAX(0,$B$6-IF($B$1+55&gt;=$B$23,$B$22,0))*(1+$B$4)^55))*IF(BE61+IF($B$1+55&lt;=$B61,12*$B$7,-12*MAX(0,$B$6-IF($B$1+55&gt;=$B$23,$B$22,0))*(1+$B$4)^55)&gt;0,1+$B$3,1))</f>
        <v/>
      </c>
      <c r="BG61">
        <f>IF($B$1+56&gt;90,BF61,(BF61+IF($B$1+56&lt;=$B61,12*$B$7,-12*MAX(0,$B$6-IF($B$1+56&gt;=$B$23,$B$22,0))*(1+$B$4)^56))*IF(BF61+IF($B$1+56&lt;=$B61,12*$B$7,-12*MAX(0,$B$6-IF($B$1+56&gt;=$B$23,$B$22,0))*(1+$B$4)^56)&gt;0,1+$B$3,1))</f>
        <v/>
      </c>
      <c r="BH61">
        <f>IF($B$1+57&gt;90,BG61,(BG61+IF($B$1+57&lt;=$B61,12*$B$7,-12*MAX(0,$B$6-IF($B$1+57&gt;=$B$23,$B$22,0))*(1+$B$4)^57))*IF(BG61+IF($B$1+57&lt;=$B61,12*$B$7,-12*MAX(0,$B$6-IF($B$1+57&gt;=$B$23,$B$22,0))*(1+$B$4)^57)&gt;0,1+$B$3,1))</f>
        <v/>
      </c>
      <c r="BI61">
        <f>IF($B$1+58&gt;90,BH61,(BH61+IF($B$1+58&lt;=$B61,12*$B$7,-12*MAX(0,$B$6-IF($B$1+58&gt;=$B$23,$B$22,0))*(1+$B$4)^58))*IF(BH61+IF($B$1+58&lt;=$B61,12*$B$7,-12*MAX(0,$B$6-IF($B$1+58&gt;=$B$23,$B$22,0))*(1+$B$4)^58)&gt;0,1+$B$3,1))</f>
        <v/>
      </c>
      <c r="BJ61">
        <f>IF($B$1+59&gt;90,BI61,(BI61+IF($B$1+59&lt;=$B61,12*$B$7,-12*MAX(0,$B$6-IF($B$1+59&gt;=$B$23,$B$22,0))*(1+$B$4)^59))*IF(BI61+IF($B$1+59&lt;=$B61,12*$B$7,-12*MAX(0,$B$6-IF($B$1+59&gt;=$B$23,$B$22,0))*(1+$B$4)^59)&gt;0,1+$B$3,1))</f>
        <v/>
      </c>
      <c r="BK61">
        <f>IF($B$1+60&gt;90,BJ61,(BJ61+IF($B$1+60&lt;=$B61,12*$B$7,-12*MAX(0,$B$6-IF($B$1+60&gt;=$B$23,$B$22,0))*(1+$B$4)^60))*IF(BJ61+IF($B$1+60&lt;=$B61,12*$B$7,-12*MAX(0,$B$6-IF($B$1+60&gt;=$B$23,$B$22,0))*(1+$B$4)^60)&gt;0,1+$B$3,1))</f>
        <v/>
      </c>
      <c r="BL61">
        <f>IF($B$1+61&gt;90,BK61,(BK61+IF($B$1+61&lt;=$B61,12*$B$7,-12*MAX(0,$B$6-IF($B$1+61&gt;=$B$23,$B$22,0))*(1+$B$4)^61))*IF(BK61+IF($B$1+61&lt;=$B61,12*$B$7,-12*MAX(0,$B$6-IF($B$1+61&gt;=$B$23,$B$22,0))*(1+$B$4)^61)&gt;0,1+$B$3,1))</f>
        <v/>
      </c>
      <c r="BM61">
        <f>IF($B$1+62&gt;90,BL61,(BL61+IF($B$1+62&lt;=$B61,12*$B$7,-12*MAX(0,$B$6-IF($B$1+62&gt;=$B$23,$B$22,0))*(1+$B$4)^62))*IF(BL61+IF($B$1+62&lt;=$B61,12*$B$7,-12*MAX(0,$B$6-IF($B$1+62&gt;=$B$23,$B$22,0))*(1+$B$4)^62)&gt;0,1+$B$3,1))</f>
        <v/>
      </c>
      <c r="BN61">
        <f>IF($B$1+63&gt;90,BM61,(BM61+IF($B$1+63&lt;=$B61,12*$B$7,-12*MAX(0,$B$6-IF($B$1+63&gt;=$B$23,$B$22,0))*(1+$B$4)^63))*IF(BM61+IF($B$1+63&lt;=$B61,12*$B$7,-12*MAX(0,$B$6-IF($B$1+63&gt;=$B$23,$B$22,0))*(1+$B$4)^63)&gt;0,1+$B$3,1))</f>
        <v/>
      </c>
      <c r="BO61">
        <f>IF($B$1+64&gt;90,BN61,(BN61+IF($B$1+64&lt;=$B61,12*$B$7,-12*MAX(0,$B$6-IF($B$1+64&gt;=$B$23,$B$22,0))*(1+$B$4)^64))*IF(BN61+IF($B$1+64&lt;=$B61,12*$B$7,-12*MAX(0,$B$6-IF($B$1+64&gt;=$B$23,$B$22,0))*(1+$B$4)^64)&gt;0,1+$B$3,1))</f>
        <v/>
      </c>
      <c r="BP61">
        <f>IF($B$1+65&gt;90,BO61,(BO61+IF($B$1+65&lt;=$B61,12*$B$7,-12*MAX(0,$B$6-IF($B$1+65&gt;=$B$23,$B$22,0))*(1+$B$4)^65))*IF(BO61+IF($B$1+65&lt;=$B61,12*$B$7,-12*MAX(0,$B$6-IF($B$1+65&gt;=$B$23,$B$22,0))*(1+$B$4)^65)&gt;0,1+$B$3,1))</f>
        <v/>
      </c>
      <c r="BQ61">
        <f>IF($B$1+66&gt;90,BP61,(BP61+IF($B$1+66&lt;=$B61,12*$B$7,-12*MAX(0,$B$6-IF($B$1+66&gt;=$B$23,$B$22,0))*(1+$B$4)^66))*IF(BP61+IF($B$1+66&lt;=$B61,12*$B$7,-12*MAX(0,$B$6-IF($B$1+66&gt;=$B$23,$B$22,0))*(1+$B$4)^66)&gt;0,1+$B$3,1))</f>
        <v/>
      </c>
      <c r="BR61">
        <f>IF($B$1+67&gt;90,BQ61,(BQ61+IF($B$1+67&lt;=$B61,12*$B$7,-12*MAX(0,$B$6-IF($B$1+67&gt;=$B$23,$B$22,0))*(1+$B$4)^67))*IF(BQ61+IF($B$1+67&lt;=$B61,12*$B$7,-12*MAX(0,$B$6-IF($B$1+67&gt;=$B$23,$B$22,0))*(1+$B$4)^67)&gt;0,1+$B$3,1))</f>
        <v/>
      </c>
      <c r="BS61">
        <f>IF($B$1+68&gt;90,BR61,(BR61+IF($B$1+68&lt;=$B61,12*$B$7,-12*MAX(0,$B$6-IF($B$1+68&gt;=$B$23,$B$22,0))*(1+$B$4)^68))*IF(BR61+IF($B$1+68&lt;=$B61,12*$B$7,-12*MAX(0,$B$6-IF($B$1+68&gt;=$B$23,$B$22,0))*(1+$B$4)^68)&gt;0,1+$B$3,1))</f>
        <v/>
      </c>
      <c r="BT61">
        <f>IF($B$1+69&gt;90,BS61,(BS61+IF($B$1+69&lt;=$B61,12*$B$7,-12*MAX(0,$B$6-IF($B$1+69&gt;=$B$23,$B$22,0))*(1+$B$4)^69))*IF(BS61+IF($B$1+69&lt;=$B61,12*$B$7,-12*MAX(0,$B$6-IF($B$1+69&gt;=$B$23,$B$22,0))*(1+$B$4)^69)&gt;0,1+$B$3,1))</f>
        <v/>
      </c>
      <c r="BU61">
        <f>IF($B$1+70&gt;90,BT61,(BT61+IF($B$1+70&lt;=$B61,12*$B$7,-12*MAX(0,$B$6-IF($B$1+70&gt;=$B$23,$B$22,0))*(1+$B$4)^70))*IF(BT61+IF($B$1+70&lt;=$B61,12*$B$7,-12*MAX(0,$B$6-IF($B$1+70&gt;=$B$23,$B$22,0))*(1+$B$4)^70)&gt;0,1+$B$3,1))</f>
        <v/>
      </c>
      <c r="BV61">
        <f>BU61</f>
        <v/>
      </c>
      <c r="BW61">
        <f>IF(AND($B61&lt;=70,BV61&gt;0),$B61,999)</f>
        <v/>
      </c>
      <c r="CB61" t="n">
        <v>60</v>
      </c>
      <c r="CC61">
        <f>IF($B$1+CB61&gt;90,0,12*MAX(0,$B$6-IF($B$1+CB61&gt;=$B$23,$B$22,0))*(1+$B$4)^CB61/(1+$B$3)^(CB61-1))</f>
        <v/>
      </c>
      <c r="CE61">
        <f>IF($B$1+59&gt;90,NA(),$B$1+59)</f>
        <v/>
      </c>
      <c r="CF61">
        <f>IF(OR($B$21="",$B$1+59&gt;90),NA(),INDEX($C$40:$BU$90,$B$21-$B$1+1,60))</f>
        <v/>
      </c>
      <c r="CH61">
        <f>IF(ISTEXT('월 가계부'!A61),SUBSTITUTE(SUBSTITUTE(SUBSTITUTE(SUBSTITUTE(SUBSTITUTE(SUBSTITUTE(SUBSTITUTE(SUBSTITUTE(SUBSTITUTE(TRIM('월 가계부'!A61),"년","-"),"월","-"),"일",""),".","-"),"/","-")," ","-"),"--","-"),"--","-"),"--","-")&amp;"-","")</f>
        <v/>
      </c>
      <c r="CI61">
        <f>IFERROR(IF('월 가계부'!A61="","",IF(ISNUMBER('월 가계부'!A61),IF(AND('월 가계부'!A61&gt;=19000101,'월 가계부'!A61&lt;=21001231),IF(AND(MOD(INT('월 가계부'!A61/100),100)&gt;=1,MOD(INT('월 가계부'!A61/100),100)&lt;=12,MOD(INT('월 가계부'!A61),100)&gt;=1,MOD(INT('월 가계부'!A61),100)&lt;=31),IF(MONTH(DATE(INT('월 가계부'!A61/10000),MOD(INT('월 가계부'!A61/100),100),MOD(INT('월 가계부'!A61),100)))=MOD(INT('월 가계부'!A61/100),100),DATE(INT('월 가계부'!A61/10000),MOD(INT('월 가계부'!A61/100),100),MOD(INT('월 가계부'!A61),100)),""),""),IF(AND('월 가계부'!A61&gt;=36526,'월 가계부'!A61&lt;73051),INT('월 가계부'!A61),"")),IF(OR(CM61="",CN61="",CO61=""),"",IF(AND(CM61&gt;=2000,CM61&lt;=2099,CN61&gt;=1,CN61&lt;=12,CO61&gt;=1,CO61&lt;=31),IF(MONTH(DATE(CM61,CN61,CO61))=CN61,DATE(CM61,CN61,CO61),""),"")))),"")</f>
        <v/>
      </c>
      <c r="CJ61">
        <f>IFERROR(IF('월 가계부'!C61="","",IF(ISNUMBER('월 가계부'!C61),'월 가계부'!C61,VALUE(SUBSTITUTE(SUBSTITUTE(SUBSTITUTE(SUBSTITUTE(TRIM('월 가계부'!C61),",",""),"원","")," ",""),"−","-")))),"")</f>
        <v/>
      </c>
      <c r="CK61">
        <f>IF(ISNUMBER(CI61),IF(CI61&lt;$B$13,CI61,""),"")</f>
        <v/>
      </c>
      <c r="CM61">
        <f>IF(CH61="","",IFERROR(IF(IF(AND(LEN(CH61)=9,ISERROR(FIND("-",LEFT(CH61,8))),ISNUMBER(-LEFT(CH61,8))),VALUE(LEFT(CH61,4)),VALUE(LEFT(CH61,FIND("-",CH61)-1)))&lt;100,IF(AND(LEN(CH61)=9,ISERROR(FIND("-",LEFT(CH61,8))),ISNUMBER(-LEFT(CH61,8))),VALUE(LEFT(CH61,4)),VALUE(LEFT(CH61,FIND("-",CH61)-1)))+2000,IF(AND(LEN(CH61)=9,ISERROR(FIND("-",LEFT(CH61,8))),ISNUMBER(-LEFT(CH61,8))),VALUE(LEFT(CH61,4)),VALUE(LEFT(CH61,FIND("-",CH61)-1)))),""))</f>
        <v/>
      </c>
      <c r="CN61">
        <f>IF(CH61="","",IFERROR(IF(AND(LEN(CH61)=9,ISERROR(FIND("-",LEFT(CH61,8))),ISNUMBER(-LEFT(CH61,8))),VALUE(MID(CH61,5,2)),VALUE(MID(CH61,FIND("-",CH61)+1,FIND("-",CH61,FIND("-",CH61)+1)-FIND("-",CH61)-1))),""))</f>
        <v/>
      </c>
      <c r="CO61">
        <f>IF(CH61="","",IFERROR(IF(AND(LEN(CH61)=9,ISERROR(FIND("-",LEFT(CH61,8))),ISNUMBER(-LEFT(CH61,8))),VALUE(MID(CH61,7,2)),VALUE(MID(CH61,FIND("-",CH61,FIND("-",CH61)+1)+1,FIND("-",CH61,FIND("-",CH61,FIND("-",CH61)+1)+1)-FIND("-",CH61,FIND("-",CH61)+1)-1))),""))</f>
        <v/>
      </c>
    </row>
    <row r="62">
      <c r="A62" t="n">
        <v>22</v>
      </c>
      <c r="B62">
        <f>$B$1+22</f>
        <v/>
      </c>
      <c r="C62">
        <f>$B$2</f>
        <v/>
      </c>
      <c r="D62">
        <f>IF($B$1+1&gt;90,C62,(C62+IF($B$1+1&lt;=$B62,12*$B$7,-12*MAX(0,$B$6-IF($B$1+1&gt;=$B$23,$B$22,0))*(1+$B$4)^1))*IF(C62+IF($B$1+1&lt;=$B62,12*$B$7,-12*MAX(0,$B$6-IF($B$1+1&gt;=$B$23,$B$22,0))*(1+$B$4)^1)&gt;0,1+$B$3,1))</f>
        <v/>
      </c>
      <c r="E62">
        <f>IF($B$1+2&gt;90,D62,(D62+IF($B$1+2&lt;=$B62,12*$B$7,-12*MAX(0,$B$6-IF($B$1+2&gt;=$B$23,$B$22,0))*(1+$B$4)^2))*IF(D62+IF($B$1+2&lt;=$B62,12*$B$7,-12*MAX(0,$B$6-IF($B$1+2&gt;=$B$23,$B$22,0))*(1+$B$4)^2)&gt;0,1+$B$3,1))</f>
        <v/>
      </c>
      <c r="F62">
        <f>IF($B$1+3&gt;90,E62,(E62+IF($B$1+3&lt;=$B62,12*$B$7,-12*MAX(0,$B$6-IF($B$1+3&gt;=$B$23,$B$22,0))*(1+$B$4)^3))*IF(E62+IF($B$1+3&lt;=$B62,12*$B$7,-12*MAX(0,$B$6-IF($B$1+3&gt;=$B$23,$B$22,0))*(1+$B$4)^3)&gt;0,1+$B$3,1))</f>
        <v/>
      </c>
      <c r="G62">
        <f>IF($B$1+4&gt;90,F62,(F62+IF($B$1+4&lt;=$B62,12*$B$7,-12*MAX(0,$B$6-IF($B$1+4&gt;=$B$23,$B$22,0))*(1+$B$4)^4))*IF(F62+IF($B$1+4&lt;=$B62,12*$B$7,-12*MAX(0,$B$6-IF($B$1+4&gt;=$B$23,$B$22,0))*(1+$B$4)^4)&gt;0,1+$B$3,1))</f>
        <v/>
      </c>
      <c r="H62">
        <f>IF($B$1+5&gt;90,G62,(G62+IF($B$1+5&lt;=$B62,12*$B$7,-12*MAX(0,$B$6-IF($B$1+5&gt;=$B$23,$B$22,0))*(1+$B$4)^5))*IF(G62+IF($B$1+5&lt;=$B62,12*$B$7,-12*MAX(0,$B$6-IF($B$1+5&gt;=$B$23,$B$22,0))*(1+$B$4)^5)&gt;0,1+$B$3,1))</f>
        <v/>
      </c>
      <c r="I62">
        <f>IF($B$1+6&gt;90,H62,(H62+IF($B$1+6&lt;=$B62,12*$B$7,-12*MAX(0,$B$6-IF($B$1+6&gt;=$B$23,$B$22,0))*(1+$B$4)^6))*IF(H62+IF($B$1+6&lt;=$B62,12*$B$7,-12*MAX(0,$B$6-IF($B$1+6&gt;=$B$23,$B$22,0))*(1+$B$4)^6)&gt;0,1+$B$3,1))</f>
        <v/>
      </c>
      <c r="J62">
        <f>IF($B$1+7&gt;90,I62,(I62+IF($B$1+7&lt;=$B62,12*$B$7,-12*MAX(0,$B$6-IF($B$1+7&gt;=$B$23,$B$22,0))*(1+$B$4)^7))*IF(I62+IF($B$1+7&lt;=$B62,12*$B$7,-12*MAX(0,$B$6-IF($B$1+7&gt;=$B$23,$B$22,0))*(1+$B$4)^7)&gt;0,1+$B$3,1))</f>
        <v/>
      </c>
      <c r="K62">
        <f>IF($B$1+8&gt;90,J62,(J62+IF($B$1+8&lt;=$B62,12*$B$7,-12*MAX(0,$B$6-IF($B$1+8&gt;=$B$23,$B$22,0))*(1+$B$4)^8))*IF(J62+IF($B$1+8&lt;=$B62,12*$B$7,-12*MAX(0,$B$6-IF($B$1+8&gt;=$B$23,$B$22,0))*(1+$B$4)^8)&gt;0,1+$B$3,1))</f>
        <v/>
      </c>
      <c r="L62">
        <f>IF($B$1+9&gt;90,K62,(K62+IF($B$1+9&lt;=$B62,12*$B$7,-12*MAX(0,$B$6-IF($B$1+9&gt;=$B$23,$B$22,0))*(1+$B$4)^9))*IF(K62+IF($B$1+9&lt;=$B62,12*$B$7,-12*MAX(0,$B$6-IF($B$1+9&gt;=$B$23,$B$22,0))*(1+$B$4)^9)&gt;0,1+$B$3,1))</f>
        <v/>
      </c>
      <c r="M62">
        <f>IF($B$1+10&gt;90,L62,(L62+IF($B$1+10&lt;=$B62,12*$B$7,-12*MAX(0,$B$6-IF($B$1+10&gt;=$B$23,$B$22,0))*(1+$B$4)^10))*IF(L62+IF($B$1+10&lt;=$B62,12*$B$7,-12*MAX(0,$B$6-IF($B$1+10&gt;=$B$23,$B$22,0))*(1+$B$4)^10)&gt;0,1+$B$3,1))</f>
        <v/>
      </c>
      <c r="N62">
        <f>IF($B$1+11&gt;90,M62,(M62+IF($B$1+11&lt;=$B62,12*$B$7,-12*MAX(0,$B$6-IF($B$1+11&gt;=$B$23,$B$22,0))*(1+$B$4)^11))*IF(M62+IF($B$1+11&lt;=$B62,12*$B$7,-12*MAX(0,$B$6-IF($B$1+11&gt;=$B$23,$B$22,0))*(1+$B$4)^11)&gt;0,1+$B$3,1))</f>
        <v/>
      </c>
      <c r="O62">
        <f>IF($B$1+12&gt;90,N62,(N62+IF($B$1+12&lt;=$B62,12*$B$7,-12*MAX(0,$B$6-IF($B$1+12&gt;=$B$23,$B$22,0))*(1+$B$4)^12))*IF(N62+IF($B$1+12&lt;=$B62,12*$B$7,-12*MAX(0,$B$6-IF($B$1+12&gt;=$B$23,$B$22,0))*(1+$B$4)^12)&gt;0,1+$B$3,1))</f>
        <v/>
      </c>
      <c r="P62">
        <f>IF($B$1+13&gt;90,O62,(O62+IF($B$1+13&lt;=$B62,12*$B$7,-12*MAX(0,$B$6-IF($B$1+13&gt;=$B$23,$B$22,0))*(1+$B$4)^13))*IF(O62+IF($B$1+13&lt;=$B62,12*$B$7,-12*MAX(0,$B$6-IF($B$1+13&gt;=$B$23,$B$22,0))*(1+$B$4)^13)&gt;0,1+$B$3,1))</f>
        <v/>
      </c>
      <c r="Q62">
        <f>IF($B$1+14&gt;90,P62,(P62+IF($B$1+14&lt;=$B62,12*$B$7,-12*MAX(0,$B$6-IF($B$1+14&gt;=$B$23,$B$22,0))*(1+$B$4)^14))*IF(P62+IF($B$1+14&lt;=$B62,12*$B$7,-12*MAX(0,$B$6-IF($B$1+14&gt;=$B$23,$B$22,0))*(1+$B$4)^14)&gt;0,1+$B$3,1))</f>
        <v/>
      </c>
      <c r="R62">
        <f>IF($B$1+15&gt;90,Q62,(Q62+IF($B$1+15&lt;=$B62,12*$B$7,-12*MAX(0,$B$6-IF($B$1+15&gt;=$B$23,$B$22,0))*(1+$B$4)^15))*IF(Q62+IF($B$1+15&lt;=$B62,12*$B$7,-12*MAX(0,$B$6-IF($B$1+15&gt;=$B$23,$B$22,0))*(1+$B$4)^15)&gt;0,1+$B$3,1))</f>
        <v/>
      </c>
      <c r="S62">
        <f>IF($B$1+16&gt;90,R62,(R62+IF($B$1+16&lt;=$B62,12*$B$7,-12*MAX(0,$B$6-IF($B$1+16&gt;=$B$23,$B$22,0))*(1+$B$4)^16))*IF(R62+IF($B$1+16&lt;=$B62,12*$B$7,-12*MAX(0,$B$6-IF($B$1+16&gt;=$B$23,$B$22,0))*(1+$B$4)^16)&gt;0,1+$B$3,1))</f>
        <v/>
      </c>
      <c r="T62">
        <f>IF($B$1+17&gt;90,S62,(S62+IF($B$1+17&lt;=$B62,12*$B$7,-12*MAX(0,$B$6-IF($B$1+17&gt;=$B$23,$B$22,0))*(1+$B$4)^17))*IF(S62+IF($B$1+17&lt;=$B62,12*$B$7,-12*MAX(0,$B$6-IF($B$1+17&gt;=$B$23,$B$22,0))*(1+$B$4)^17)&gt;0,1+$B$3,1))</f>
        <v/>
      </c>
      <c r="U62">
        <f>IF($B$1+18&gt;90,T62,(T62+IF($B$1+18&lt;=$B62,12*$B$7,-12*MAX(0,$B$6-IF($B$1+18&gt;=$B$23,$B$22,0))*(1+$B$4)^18))*IF(T62+IF($B$1+18&lt;=$B62,12*$B$7,-12*MAX(0,$B$6-IF($B$1+18&gt;=$B$23,$B$22,0))*(1+$B$4)^18)&gt;0,1+$B$3,1))</f>
        <v/>
      </c>
      <c r="V62">
        <f>IF($B$1+19&gt;90,U62,(U62+IF($B$1+19&lt;=$B62,12*$B$7,-12*MAX(0,$B$6-IF($B$1+19&gt;=$B$23,$B$22,0))*(1+$B$4)^19))*IF(U62+IF($B$1+19&lt;=$B62,12*$B$7,-12*MAX(0,$B$6-IF($B$1+19&gt;=$B$23,$B$22,0))*(1+$B$4)^19)&gt;0,1+$B$3,1))</f>
        <v/>
      </c>
      <c r="W62">
        <f>IF($B$1+20&gt;90,V62,(V62+IF($B$1+20&lt;=$B62,12*$B$7,-12*MAX(0,$B$6-IF($B$1+20&gt;=$B$23,$B$22,0))*(1+$B$4)^20))*IF(V62+IF($B$1+20&lt;=$B62,12*$B$7,-12*MAX(0,$B$6-IF($B$1+20&gt;=$B$23,$B$22,0))*(1+$B$4)^20)&gt;0,1+$B$3,1))</f>
        <v/>
      </c>
      <c r="X62">
        <f>IF($B$1+21&gt;90,W62,(W62+IF($B$1+21&lt;=$B62,12*$B$7,-12*MAX(0,$B$6-IF($B$1+21&gt;=$B$23,$B$22,0))*(1+$B$4)^21))*IF(W62+IF($B$1+21&lt;=$B62,12*$B$7,-12*MAX(0,$B$6-IF($B$1+21&gt;=$B$23,$B$22,0))*(1+$B$4)^21)&gt;0,1+$B$3,1))</f>
        <v/>
      </c>
      <c r="Y62">
        <f>IF($B$1+22&gt;90,X62,(X62+IF($B$1+22&lt;=$B62,12*$B$7,-12*MAX(0,$B$6-IF($B$1+22&gt;=$B$23,$B$22,0))*(1+$B$4)^22))*IF(X62+IF($B$1+22&lt;=$B62,12*$B$7,-12*MAX(0,$B$6-IF($B$1+22&gt;=$B$23,$B$22,0))*(1+$B$4)^22)&gt;0,1+$B$3,1))</f>
        <v/>
      </c>
      <c r="Z62">
        <f>IF($B$1+23&gt;90,Y62,(Y62+IF($B$1+23&lt;=$B62,12*$B$7,-12*MAX(0,$B$6-IF($B$1+23&gt;=$B$23,$B$22,0))*(1+$B$4)^23))*IF(Y62+IF($B$1+23&lt;=$B62,12*$B$7,-12*MAX(0,$B$6-IF($B$1+23&gt;=$B$23,$B$22,0))*(1+$B$4)^23)&gt;0,1+$B$3,1))</f>
        <v/>
      </c>
      <c r="AA62">
        <f>IF($B$1+24&gt;90,Z62,(Z62+IF($B$1+24&lt;=$B62,12*$B$7,-12*MAX(0,$B$6-IF($B$1+24&gt;=$B$23,$B$22,0))*(1+$B$4)^24))*IF(Z62+IF($B$1+24&lt;=$B62,12*$B$7,-12*MAX(0,$B$6-IF($B$1+24&gt;=$B$23,$B$22,0))*(1+$B$4)^24)&gt;0,1+$B$3,1))</f>
        <v/>
      </c>
      <c r="AB62">
        <f>IF($B$1+25&gt;90,AA62,(AA62+IF($B$1+25&lt;=$B62,12*$B$7,-12*MAX(0,$B$6-IF($B$1+25&gt;=$B$23,$B$22,0))*(1+$B$4)^25))*IF(AA62+IF($B$1+25&lt;=$B62,12*$B$7,-12*MAX(0,$B$6-IF($B$1+25&gt;=$B$23,$B$22,0))*(1+$B$4)^25)&gt;0,1+$B$3,1))</f>
        <v/>
      </c>
      <c r="AC62">
        <f>IF($B$1+26&gt;90,AB62,(AB62+IF($B$1+26&lt;=$B62,12*$B$7,-12*MAX(0,$B$6-IF($B$1+26&gt;=$B$23,$B$22,0))*(1+$B$4)^26))*IF(AB62+IF($B$1+26&lt;=$B62,12*$B$7,-12*MAX(0,$B$6-IF($B$1+26&gt;=$B$23,$B$22,0))*(1+$B$4)^26)&gt;0,1+$B$3,1))</f>
        <v/>
      </c>
      <c r="AD62">
        <f>IF($B$1+27&gt;90,AC62,(AC62+IF($B$1+27&lt;=$B62,12*$B$7,-12*MAX(0,$B$6-IF($B$1+27&gt;=$B$23,$B$22,0))*(1+$B$4)^27))*IF(AC62+IF($B$1+27&lt;=$B62,12*$B$7,-12*MAX(0,$B$6-IF($B$1+27&gt;=$B$23,$B$22,0))*(1+$B$4)^27)&gt;0,1+$B$3,1))</f>
        <v/>
      </c>
      <c r="AE62">
        <f>IF($B$1+28&gt;90,AD62,(AD62+IF($B$1+28&lt;=$B62,12*$B$7,-12*MAX(0,$B$6-IF($B$1+28&gt;=$B$23,$B$22,0))*(1+$B$4)^28))*IF(AD62+IF($B$1+28&lt;=$B62,12*$B$7,-12*MAX(0,$B$6-IF($B$1+28&gt;=$B$23,$B$22,0))*(1+$B$4)^28)&gt;0,1+$B$3,1))</f>
        <v/>
      </c>
      <c r="AF62">
        <f>IF($B$1+29&gt;90,AE62,(AE62+IF($B$1+29&lt;=$B62,12*$B$7,-12*MAX(0,$B$6-IF($B$1+29&gt;=$B$23,$B$22,0))*(1+$B$4)^29))*IF(AE62+IF($B$1+29&lt;=$B62,12*$B$7,-12*MAX(0,$B$6-IF($B$1+29&gt;=$B$23,$B$22,0))*(1+$B$4)^29)&gt;0,1+$B$3,1))</f>
        <v/>
      </c>
      <c r="AG62">
        <f>IF($B$1+30&gt;90,AF62,(AF62+IF($B$1+30&lt;=$B62,12*$B$7,-12*MAX(0,$B$6-IF($B$1+30&gt;=$B$23,$B$22,0))*(1+$B$4)^30))*IF(AF62+IF($B$1+30&lt;=$B62,12*$B$7,-12*MAX(0,$B$6-IF($B$1+30&gt;=$B$23,$B$22,0))*(1+$B$4)^30)&gt;0,1+$B$3,1))</f>
        <v/>
      </c>
      <c r="AH62">
        <f>IF($B$1+31&gt;90,AG62,(AG62+IF($B$1+31&lt;=$B62,12*$B$7,-12*MAX(0,$B$6-IF($B$1+31&gt;=$B$23,$B$22,0))*(1+$B$4)^31))*IF(AG62+IF($B$1+31&lt;=$B62,12*$B$7,-12*MAX(0,$B$6-IF($B$1+31&gt;=$B$23,$B$22,0))*(1+$B$4)^31)&gt;0,1+$B$3,1))</f>
        <v/>
      </c>
      <c r="AI62">
        <f>IF($B$1+32&gt;90,AH62,(AH62+IF($B$1+32&lt;=$B62,12*$B$7,-12*MAX(0,$B$6-IF($B$1+32&gt;=$B$23,$B$22,0))*(1+$B$4)^32))*IF(AH62+IF($B$1+32&lt;=$B62,12*$B$7,-12*MAX(0,$B$6-IF($B$1+32&gt;=$B$23,$B$22,0))*(1+$B$4)^32)&gt;0,1+$B$3,1))</f>
        <v/>
      </c>
      <c r="AJ62">
        <f>IF($B$1+33&gt;90,AI62,(AI62+IF($B$1+33&lt;=$B62,12*$B$7,-12*MAX(0,$B$6-IF($B$1+33&gt;=$B$23,$B$22,0))*(1+$B$4)^33))*IF(AI62+IF($B$1+33&lt;=$B62,12*$B$7,-12*MAX(0,$B$6-IF($B$1+33&gt;=$B$23,$B$22,0))*(1+$B$4)^33)&gt;0,1+$B$3,1))</f>
        <v/>
      </c>
      <c r="AK62">
        <f>IF($B$1+34&gt;90,AJ62,(AJ62+IF($B$1+34&lt;=$B62,12*$B$7,-12*MAX(0,$B$6-IF($B$1+34&gt;=$B$23,$B$22,0))*(1+$B$4)^34))*IF(AJ62+IF($B$1+34&lt;=$B62,12*$B$7,-12*MAX(0,$B$6-IF($B$1+34&gt;=$B$23,$B$22,0))*(1+$B$4)^34)&gt;0,1+$B$3,1))</f>
        <v/>
      </c>
      <c r="AL62">
        <f>IF($B$1+35&gt;90,AK62,(AK62+IF($B$1+35&lt;=$B62,12*$B$7,-12*MAX(0,$B$6-IF($B$1+35&gt;=$B$23,$B$22,0))*(1+$B$4)^35))*IF(AK62+IF($B$1+35&lt;=$B62,12*$B$7,-12*MAX(0,$B$6-IF($B$1+35&gt;=$B$23,$B$22,0))*(1+$B$4)^35)&gt;0,1+$B$3,1))</f>
        <v/>
      </c>
      <c r="AM62">
        <f>IF($B$1+36&gt;90,AL62,(AL62+IF($B$1+36&lt;=$B62,12*$B$7,-12*MAX(0,$B$6-IF($B$1+36&gt;=$B$23,$B$22,0))*(1+$B$4)^36))*IF(AL62+IF($B$1+36&lt;=$B62,12*$B$7,-12*MAX(0,$B$6-IF($B$1+36&gt;=$B$23,$B$22,0))*(1+$B$4)^36)&gt;0,1+$B$3,1))</f>
        <v/>
      </c>
      <c r="AN62">
        <f>IF($B$1+37&gt;90,AM62,(AM62+IF($B$1+37&lt;=$B62,12*$B$7,-12*MAX(0,$B$6-IF($B$1+37&gt;=$B$23,$B$22,0))*(1+$B$4)^37))*IF(AM62+IF($B$1+37&lt;=$B62,12*$B$7,-12*MAX(0,$B$6-IF($B$1+37&gt;=$B$23,$B$22,0))*(1+$B$4)^37)&gt;0,1+$B$3,1))</f>
        <v/>
      </c>
      <c r="AO62">
        <f>IF($B$1+38&gt;90,AN62,(AN62+IF($B$1+38&lt;=$B62,12*$B$7,-12*MAX(0,$B$6-IF($B$1+38&gt;=$B$23,$B$22,0))*(1+$B$4)^38))*IF(AN62+IF($B$1+38&lt;=$B62,12*$B$7,-12*MAX(0,$B$6-IF($B$1+38&gt;=$B$23,$B$22,0))*(1+$B$4)^38)&gt;0,1+$B$3,1))</f>
        <v/>
      </c>
      <c r="AP62">
        <f>IF($B$1+39&gt;90,AO62,(AO62+IF($B$1+39&lt;=$B62,12*$B$7,-12*MAX(0,$B$6-IF($B$1+39&gt;=$B$23,$B$22,0))*(1+$B$4)^39))*IF(AO62+IF($B$1+39&lt;=$B62,12*$B$7,-12*MAX(0,$B$6-IF($B$1+39&gt;=$B$23,$B$22,0))*(1+$B$4)^39)&gt;0,1+$B$3,1))</f>
        <v/>
      </c>
      <c r="AQ62">
        <f>IF($B$1+40&gt;90,AP62,(AP62+IF($B$1+40&lt;=$B62,12*$B$7,-12*MAX(0,$B$6-IF($B$1+40&gt;=$B$23,$B$22,0))*(1+$B$4)^40))*IF(AP62+IF($B$1+40&lt;=$B62,12*$B$7,-12*MAX(0,$B$6-IF($B$1+40&gt;=$B$23,$B$22,0))*(1+$B$4)^40)&gt;0,1+$B$3,1))</f>
        <v/>
      </c>
      <c r="AR62">
        <f>IF($B$1+41&gt;90,AQ62,(AQ62+IF($B$1+41&lt;=$B62,12*$B$7,-12*MAX(0,$B$6-IF($B$1+41&gt;=$B$23,$B$22,0))*(1+$B$4)^41))*IF(AQ62+IF($B$1+41&lt;=$B62,12*$B$7,-12*MAX(0,$B$6-IF($B$1+41&gt;=$B$23,$B$22,0))*(1+$B$4)^41)&gt;0,1+$B$3,1))</f>
        <v/>
      </c>
      <c r="AS62">
        <f>IF($B$1+42&gt;90,AR62,(AR62+IF($B$1+42&lt;=$B62,12*$B$7,-12*MAX(0,$B$6-IF($B$1+42&gt;=$B$23,$B$22,0))*(1+$B$4)^42))*IF(AR62+IF($B$1+42&lt;=$B62,12*$B$7,-12*MAX(0,$B$6-IF($B$1+42&gt;=$B$23,$B$22,0))*(1+$B$4)^42)&gt;0,1+$B$3,1))</f>
        <v/>
      </c>
      <c r="AT62">
        <f>IF($B$1+43&gt;90,AS62,(AS62+IF($B$1+43&lt;=$B62,12*$B$7,-12*MAX(0,$B$6-IF($B$1+43&gt;=$B$23,$B$22,0))*(1+$B$4)^43))*IF(AS62+IF($B$1+43&lt;=$B62,12*$B$7,-12*MAX(0,$B$6-IF($B$1+43&gt;=$B$23,$B$22,0))*(1+$B$4)^43)&gt;0,1+$B$3,1))</f>
        <v/>
      </c>
      <c r="AU62">
        <f>IF($B$1+44&gt;90,AT62,(AT62+IF($B$1+44&lt;=$B62,12*$B$7,-12*MAX(0,$B$6-IF($B$1+44&gt;=$B$23,$B$22,0))*(1+$B$4)^44))*IF(AT62+IF($B$1+44&lt;=$B62,12*$B$7,-12*MAX(0,$B$6-IF($B$1+44&gt;=$B$23,$B$22,0))*(1+$B$4)^44)&gt;0,1+$B$3,1))</f>
        <v/>
      </c>
      <c r="AV62">
        <f>IF($B$1+45&gt;90,AU62,(AU62+IF($B$1+45&lt;=$B62,12*$B$7,-12*MAX(0,$B$6-IF($B$1+45&gt;=$B$23,$B$22,0))*(1+$B$4)^45))*IF(AU62+IF($B$1+45&lt;=$B62,12*$B$7,-12*MAX(0,$B$6-IF($B$1+45&gt;=$B$23,$B$22,0))*(1+$B$4)^45)&gt;0,1+$B$3,1))</f>
        <v/>
      </c>
      <c r="AW62">
        <f>IF($B$1+46&gt;90,AV62,(AV62+IF($B$1+46&lt;=$B62,12*$B$7,-12*MAX(0,$B$6-IF($B$1+46&gt;=$B$23,$B$22,0))*(1+$B$4)^46))*IF(AV62+IF($B$1+46&lt;=$B62,12*$B$7,-12*MAX(0,$B$6-IF($B$1+46&gt;=$B$23,$B$22,0))*(1+$B$4)^46)&gt;0,1+$B$3,1))</f>
        <v/>
      </c>
      <c r="AX62">
        <f>IF($B$1+47&gt;90,AW62,(AW62+IF($B$1+47&lt;=$B62,12*$B$7,-12*MAX(0,$B$6-IF($B$1+47&gt;=$B$23,$B$22,0))*(1+$B$4)^47))*IF(AW62+IF($B$1+47&lt;=$B62,12*$B$7,-12*MAX(0,$B$6-IF($B$1+47&gt;=$B$23,$B$22,0))*(1+$B$4)^47)&gt;0,1+$B$3,1))</f>
        <v/>
      </c>
      <c r="AY62">
        <f>IF($B$1+48&gt;90,AX62,(AX62+IF($B$1+48&lt;=$B62,12*$B$7,-12*MAX(0,$B$6-IF($B$1+48&gt;=$B$23,$B$22,0))*(1+$B$4)^48))*IF(AX62+IF($B$1+48&lt;=$B62,12*$B$7,-12*MAX(0,$B$6-IF($B$1+48&gt;=$B$23,$B$22,0))*(1+$B$4)^48)&gt;0,1+$B$3,1))</f>
        <v/>
      </c>
      <c r="AZ62">
        <f>IF($B$1+49&gt;90,AY62,(AY62+IF($B$1+49&lt;=$B62,12*$B$7,-12*MAX(0,$B$6-IF($B$1+49&gt;=$B$23,$B$22,0))*(1+$B$4)^49))*IF(AY62+IF($B$1+49&lt;=$B62,12*$B$7,-12*MAX(0,$B$6-IF($B$1+49&gt;=$B$23,$B$22,0))*(1+$B$4)^49)&gt;0,1+$B$3,1))</f>
        <v/>
      </c>
      <c r="BA62">
        <f>IF($B$1+50&gt;90,AZ62,(AZ62+IF($B$1+50&lt;=$B62,12*$B$7,-12*MAX(0,$B$6-IF($B$1+50&gt;=$B$23,$B$22,0))*(1+$B$4)^50))*IF(AZ62+IF($B$1+50&lt;=$B62,12*$B$7,-12*MAX(0,$B$6-IF($B$1+50&gt;=$B$23,$B$22,0))*(1+$B$4)^50)&gt;0,1+$B$3,1))</f>
        <v/>
      </c>
      <c r="BB62">
        <f>IF($B$1+51&gt;90,BA62,(BA62+IF($B$1+51&lt;=$B62,12*$B$7,-12*MAX(0,$B$6-IF($B$1+51&gt;=$B$23,$B$22,0))*(1+$B$4)^51))*IF(BA62+IF($B$1+51&lt;=$B62,12*$B$7,-12*MAX(0,$B$6-IF($B$1+51&gt;=$B$23,$B$22,0))*(1+$B$4)^51)&gt;0,1+$B$3,1))</f>
        <v/>
      </c>
      <c r="BC62">
        <f>IF($B$1+52&gt;90,BB62,(BB62+IF($B$1+52&lt;=$B62,12*$B$7,-12*MAX(0,$B$6-IF($B$1+52&gt;=$B$23,$B$22,0))*(1+$B$4)^52))*IF(BB62+IF($B$1+52&lt;=$B62,12*$B$7,-12*MAX(0,$B$6-IF($B$1+52&gt;=$B$23,$B$22,0))*(1+$B$4)^52)&gt;0,1+$B$3,1))</f>
        <v/>
      </c>
      <c r="BD62">
        <f>IF($B$1+53&gt;90,BC62,(BC62+IF($B$1+53&lt;=$B62,12*$B$7,-12*MAX(0,$B$6-IF($B$1+53&gt;=$B$23,$B$22,0))*(1+$B$4)^53))*IF(BC62+IF($B$1+53&lt;=$B62,12*$B$7,-12*MAX(0,$B$6-IF($B$1+53&gt;=$B$23,$B$22,0))*(1+$B$4)^53)&gt;0,1+$B$3,1))</f>
        <v/>
      </c>
      <c r="BE62">
        <f>IF($B$1+54&gt;90,BD62,(BD62+IF($B$1+54&lt;=$B62,12*$B$7,-12*MAX(0,$B$6-IF($B$1+54&gt;=$B$23,$B$22,0))*(1+$B$4)^54))*IF(BD62+IF($B$1+54&lt;=$B62,12*$B$7,-12*MAX(0,$B$6-IF($B$1+54&gt;=$B$23,$B$22,0))*(1+$B$4)^54)&gt;0,1+$B$3,1))</f>
        <v/>
      </c>
      <c r="BF62">
        <f>IF($B$1+55&gt;90,BE62,(BE62+IF($B$1+55&lt;=$B62,12*$B$7,-12*MAX(0,$B$6-IF($B$1+55&gt;=$B$23,$B$22,0))*(1+$B$4)^55))*IF(BE62+IF($B$1+55&lt;=$B62,12*$B$7,-12*MAX(0,$B$6-IF($B$1+55&gt;=$B$23,$B$22,0))*(1+$B$4)^55)&gt;0,1+$B$3,1))</f>
        <v/>
      </c>
      <c r="BG62">
        <f>IF($B$1+56&gt;90,BF62,(BF62+IF($B$1+56&lt;=$B62,12*$B$7,-12*MAX(0,$B$6-IF($B$1+56&gt;=$B$23,$B$22,0))*(1+$B$4)^56))*IF(BF62+IF($B$1+56&lt;=$B62,12*$B$7,-12*MAX(0,$B$6-IF($B$1+56&gt;=$B$23,$B$22,0))*(1+$B$4)^56)&gt;0,1+$B$3,1))</f>
        <v/>
      </c>
      <c r="BH62">
        <f>IF($B$1+57&gt;90,BG62,(BG62+IF($B$1+57&lt;=$B62,12*$B$7,-12*MAX(0,$B$6-IF($B$1+57&gt;=$B$23,$B$22,0))*(1+$B$4)^57))*IF(BG62+IF($B$1+57&lt;=$B62,12*$B$7,-12*MAX(0,$B$6-IF($B$1+57&gt;=$B$23,$B$22,0))*(1+$B$4)^57)&gt;0,1+$B$3,1))</f>
        <v/>
      </c>
      <c r="BI62">
        <f>IF($B$1+58&gt;90,BH62,(BH62+IF($B$1+58&lt;=$B62,12*$B$7,-12*MAX(0,$B$6-IF($B$1+58&gt;=$B$23,$B$22,0))*(1+$B$4)^58))*IF(BH62+IF($B$1+58&lt;=$B62,12*$B$7,-12*MAX(0,$B$6-IF($B$1+58&gt;=$B$23,$B$22,0))*(1+$B$4)^58)&gt;0,1+$B$3,1))</f>
        <v/>
      </c>
      <c r="BJ62">
        <f>IF($B$1+59&gt;90,BI62,(BI62+IF($B$1+59&lt;=$B62,12*$B$7,-12*MAX(0,$B$6-IF($B$1+59&gt;=$B$23,$B$22,0))*(1+$B$4)^59))*IF(BI62+IF($B$1+59&lt;=$B62,12*$B$7,-12*MAX(0,$B$6-IF($B$1+59&gt;=$B$23,$B$22,0))*(1+$B$4)^59)&gt;0,1+$B$3,1))</f>
        <v/>
      </c>
      <c r="BK62">
        <f>IF($B$1+60&gt;90,BJ62,(BJ62+IF($B$1+60&lt;=$B62,12*$B$7,-12*MAX(0,$B$6-IF($B$1+60&gt;=$B$23,$B$22,0))*(1+$B$4)^60))*IF(BJ62+IF($B$1+60&lt;=$B62,12*$B$7,-12*MAX(0,$B$6-IF($B$1+60&gt;=$B$23,$B$22,0))*(1+$B$4)^60)&gt;0,1+$B$3,1))</f>
        <v/>
      </c>
      <c r="BL62">
        <f>IF($B$1+61&gt;90,BK62,(BK62+IF($B$1+61&lt;=$B62,12*$B$7,-12*MAX(0,$B$6-IF($B$1+61&gt;=$B$23,$B$22,0))*(1+$B$4)^61))*IF(BK62+IF($B$1+61&lt;=$B62,12*$B$7,-12*MAX(0,$B$6-IF($B$1+61&gt;=$B$23,$B$22,0))*(1+$B$4)^61)&gt;0,1+$B$3,1))</f>
        <v/>
      </c>
      <c r="BM62">
        <f>IF($B$1+62&gt;90,BL62,(BL62+IF($B$1+62&lt;=$B62,12*$B$7,-12*MAX(0,$B$6-IF($B$1+62&gt;=$B$23,$B$22,0))*(1+$B$4)^62))*IF(BL62+IF($B$1+62&lt;=$B62,12*$B$7,-12*MAX(0,$B$6-IF($B$1+62&gt;=$B$23,$B$22,0))*(1+$B$4)^62)&gt;0,1+$B$3,1))</f>
        <v/>
      </c>
      <c r="BN62">
        <f>IF($B$1+63&gt;90,BM62,(BM62+IF($B$1+63&lt;=$B62,12*$B$7,-12*MAX(0,$B$6-IF($B$1+63&gt;=$B$23,$B$22,0))*(1+$B$4)^63))*IF(BM62+IF($B$1+63&lt;=$B62,12*$B$7,-12*MAX(0,$B$6-IF($B$1+63&gt;=$B$23,$B$22,0))*(1+$B$4)^63)&gt;0,1+$B$3,1))</f>
        <v/>
      </c>
      <c r="BO62">
        <f>IF($B$1+64&gt;90,BN62,(BN62+IF($B$1+64&lt;=$B62,12*$B$7,-12*MAX(0,$B$6-IF($B$1+64&gt;=$B$23,$B$22,0))*(1+$B$4)^64))*IF(BN62+IF($B$1+64&lt;=$B62,12*$B$7,-12*MAX(0,$B$6-IF($B$1+64&gt;=$B$23,$B$22,0))*(1+$B$4)^64)&gt;0,1+$B$3,1))</f>
        <v/>
      </c>
      <c r="BP62">
        <f>IF($B$1+65&gt;90,BO62,(BO62+IF($B$1+65&lt;=$B62,12*$B$7,-12*MAX(0,$B$6-IF($B$1+65&gt;=$B$23,$B$22,0))*(1+$B$4)^65))*IF(BO62+IF($B$1+65&lt;=$B62,12*$B$7,-12*MAX(0,$B$6-IF($B$1+65&gt;=$B$23,$B$22,0))*(1+$B$4)^65)&gt;0,1+$B$3,1))</f>
        <v/>
      </c>
      <c r="BQ62">
        <f>IF($B$1+66&gt;90,BP62,(BP62+IF($B$1+66&lt;=$B62,12*$B$7,-12*MAX(0,$B$6-IF($B$1+66&gt;=$B$23,$B$22,0))*(1+$B$4)^66))*IF(BP62+IF($B$1+66&lt;=$B62,12*$B$7,-12*MAX(0,$B$6-IF($B$1+66&gt;=$B$23,$B$22,0))*(1+$B$4)^66)&gt;0,1+$B$3,1))</f>
        <v/>
      </c>
      <c r="BR62">
        <f>IF($B$1+67&gt;90,BQ62,(BQ62+IF($B$1+67&lt;=$B62,12*$B$7,-12*MAX(0,$B$6-IF($B$1+67&gt;=$B$23,$B$22,0))*(1+$B$4)^67))*IF(BQ62+IF($B$1+67&lt;=$B62,12*$B$7,-12*MAX(0,$B$6-IF($B$1+67&gt;=$B$23,$B$22,0))*(1+$B$4)^67)&gt;0,1+$B$3,1))</f>
        <v/>
      </c>
      <c r="BS62">
        <f>IF($B$1+68&gt;90,BR62,(BR62+IF($B$1+68&lt;=$B62,12*$B$7,-12*MAX(0,$B$6-IF($B$1+68&gt;=$B$23,$B$22,0))*(1+$B$4)^68))*IF(BR62+IF($B$1+68&lt;=$B62,12*$B$7,-12*MAX(0,$B$6-IF($B$1+68&gt;=$B$23,$B$22,0))*(1+$B$4)^68)&gt;0,1+$B$3,1))</f>
        <v/>
      </c>
      <c r="BT62">
        <f>IF($B$1+69&gt;90,BS62,(BS62+IF($B$1+69&lt;=$B62,12*$B$7,-12*MAX(0,$B$6-IF($B$1+69&gt;=$B$23,$B$22,0))*(1+$B$4)^69))*IF(BS62+IF($B$1+69&lt;=$B62,12*$B$7,-12*MAX(0,$B$6-IF($B$1+69&gt;=$B$23,$B$22,0))*(1+$B$4)^69)&gt;0,1+$B$3,1))</f>
        <v/>
      </c>
      <c r="BU62">
        <f>IF($B$1+70&gt;90,BT62,(BT62+IF($B$1+70&lt;=$B62,12*$B$7,-12*MAX(0,$B$6-IF($B$1+70&gt;=$B$23,$B$22,0))*(1+$B$4)^70))*IF(BT62+IF($B$1+70&lt;=$B62,12*$B$7,-12*MAX(0,$B$6-IF($B$1+70&gt;=$B$23,$B$22,0))*(1+$B$4)^70)&gt;0,1+$B$3,1))</f>
        <v/>
      </c>
      <c r="BV62">
        <f>BU62</f>
        <v/>
      </c>
      <c r="BW62">
        <f>IF(AND($B62&lt;=70,BV62&gt;0),$B62,999)</f>
        <v/>
      </c>
      <c r="CB62" t="n">
        <v>61</v>
      </c>
      <c r="CC62">
        <f>IF($B$1+CB62&gt;90,0,12*MAX(0,$B$6-IF($B$1+CB62&gt;=$B$23,$B$22,0))*(1+$B$4)^CB62/(1+$B$3)^(CB62-1))</f>
        <v/>
      </c>
      <c r="CE62">
        <f>IF($B$1+60&gt;90,NA(),$B$1+60)</f>
        <v/>
      </c>
      <c r="CF62">
        <f>IF(OR($B$21="",$B$1+60&gt;90),NA(),INDEX($C$40:$BU$90,$B$21-$B$1+1,61))</f>
        <v/>
      </c>
      <c r="CH62">
        <f>IF(ISTEXT('월 가계부'!A62),SUBSTITUTE(SUBSTITUTE(SUBSTITUTE(SUBSTITUTE(SUBSTITUTE(SUBSTITUTE(SUBSTITUTE(SUBSTITUTE(SUBSTITUTE(TRIM('월 가계부'!A62),"년","-"),"월","-"),"일",""),".","-"),"/","-")," ","-"),"--","-"),"--","-"),"--","-")&amp;"-","")</f>
        <v/>
      </c>
      <c r="CI62">
        <f>IFERROR(IF('월 가계부'!A62="","",IF(ISNUMBER('월 가계부'!A62),IF(AND('월 가계부'!A62&gt;=19000101,'월 가계부'!A62&lt;=21001231),IF(AND(MOD(INT('월 가계부'!A62/100),100)&gt;=1,MOD(INT('월 가계부'!A62/100),100)&lt;=12,MOD(INT('월 가계부'!A62),100)&gt;=1,MOD(INT('월 가계부'!A62),100)&lt;=31),IF(MONTH(DATE(INT('월 가계부'!A62/10000),MOD(INT('월 가계부'!A62/100),100),MOD(INT('월 가계부'!A62),100)))=MOD(INT('월 가계부'!A62/100),100),DATE(INT('월 가계부'!A62/10000),MOD(INT('월 가계부'!A62/100),100),MOD(INT('월 가계부'!A62),100)),""),""),IF(AND('월 가계부'!A62&gt;=36526,'월 가계부'!A62&lt;73051),INT('월 가계부'!A62),"")),IF(OR(CM62="",CN62="",CO62=""),"",IF(AND(CM62&gt;=2000,CM62&lt;=2099,CN62&gt;=1,CN62&lt;=12,CO62&gt;=1,CO62&lt;=31),IF(MONTH(DATE(CM62,CN62,CO62))=CN62,DATE(CM62,CN62,CO62),""),"")))),"")</f>
        <v/>
      </c>
      <c r="CJ62">
        <f>IFERROR(IF('월 가계부'!C62="","",IF(ISNUMBER('월 가계부'!C62),'월 가계부'!C62,VALUE(SUBSTITUTE(SUBSTITUTE(SUBSTITUTE(SUBSTITUTE(TRIM('월 가계부'!C62),",",""),"원","")," ",""),"−","-")))),"")</f>
        <v/>
      </c>
      <c r="CK62">
        <f>IF(ISNUMBER(CI62),IF(CI62&lt;$B$13,CI62,""),"")</f>
        <v/>
      </c>
      <c r="CM62">
        <f>IF(CH62="","",IFERROR(IF(IF(AND(LEN(CH62)=9,ISERROR(FIND("-",LEFT(CH62,8))),ISNUMBER(-LEFT(CH62,8))),VALUE(LEFT(CH62,4)),VALUE(LEFT(CH62,FIND("-",CH62)-1)))&lt;100,IF(AND(LEN(CH62)=9,ISERROR(FIND("-",LEFT(CH62,8))),ISNUMBER(-LEFT(CH62,8))),VALUE(LEFT(CH62,4)),VALUE(LEFT(CH62,FIND("-",CH62)-1)))+2000,IF(AND(LEN(CH62)=9,ISERROR(FIND("-",LEFT(CH62,8))),ISNUMBER(-LEFT(CH62,8))),VALUE(LEFT(CH62,4)),VALUE(LEFT(CH62,FIND("-",CH62)-1)))),""))</f>
        <v/>
      </c>
      <c r="CN62">
        <f>IF(CH62="","",IFERROR(IF(AND(LEN(CH62)=9,ISERROR(FIND("-",LEFT(CH62,8))),ISNUMBER(-LEFT(CH62,8))),VALUE(MID(CH62,5,2)),VALUE(MID(CH62,FIND("-",CH62)+1,FIND("-",CH62,FIND("-",CH62)+1)-FIND("-",CH62)-1))),""))</f>
        <v/>
      </c>
      <c r="CO62">
        <f>IF(CH62="","",IFERROR(IF(AND(LEN(CH62)=9,ISERROR(FIND("-",LEFT(CH62,8))),ISNUMBER(-LEFT(CH62,8))),VALUE(MID(CH62,7,2)),VALUE(MID(CH62,FIND("-",CH62,FIND("-",CH62)+1)+1,FIND("-",CH62,FIND("-",CH62,FIND("-",CH62)+1)+1)-FIND("-",CH62,FIND("-",CH62)+1)-1))),""))</f>
        <v/>
      </c>
    </row>
    <row r="63">
      <c r="A63" t="n">
        <v>23</v>
      </c>
      <c r="B63">
        <f>$B$1+23</f>
        <v/>
      </c>
      <c r="C63">
        <f>$B$2</f>
        <v/>
      </c>
      <c r="D63">
        <f>IF($B$1+1&gt;90,C63,(C63+IF($B$1+1&lt;=$B63,12*$B$7,-12*MAX(0,$B$6-IF($B$1+1&gt;=$B$23,$B$22,0))*(1+$B$4)^1))*IF(C63+IF($B$1+1&lt;=$B63,12*$B$7,-12*MAX(0,$B$6-IF($B$1+1&gt;=$B$23,$B$22,0))*(1+$B$4)^1)&gt;0,1+$B$3,1))</f>
        <v/>
      </c>
      <c r="E63">
        <f>IF($B$1+2&gt;90,D63,(D63+IF($B$1+2&lt;=$B63,12*$B$7,-12*MAX(0,$B$6-IF($B$1+2&gt;=$B$23,$B$22,0))*(1+$B$4)^2))*IF(D63+IF($B$1+2&lt;=$B63,12*$B$7,-12*MAX(0,$B$6-IF($B$1+2&gt;=$B$23,$B$22,0))*(1+$B$4)^2)&gt;0,1+$B$3,1))</f>
        <v/>
      </c>
      <c r="F63">
        <f>IF($B$1+3&gt;90,E63,(E63+IF($B$1+3&lt;=$B63,12*$B$7,-12*MAX(0,$B$6-IF($B$1+3&gt;=$B$23,$B$22,0))*(1+$B$4)^3))*IF(E63+IF($B$1+3&lt;=$B63,12*$B$7,-12*MAX(0,$B$6-IF($B$1+3&gt;=$B$23,$B$22,0))*(1+$B$4)^3)&gt;0,1+$B$3,1))</f>
        <v/>
      </c>
      <c r="G63">
        <f>IF($B$1+4&gt;90,F63,(F63+IF($B$1+4&lt;=$B63,12*$B$7,-12*MAX(0,$B$6-IF($B$1+4&gt;=$B$23,$B$22,0))*(1+$B$4)^4))*IF(F63+IF($B$1+4&lt;=$B63,12*$B$7,-12*MAX(0,$B$6-IF($B$1+4&gt;=$B$23,$B$22,0))*(1+$B$4)^4)&gt;0,1+$B$3,1))</f>
        <v/>
      </c>
      <c r="H63">
        <f>IF($B$1+5&gt;90,G63,(G63+IF($B$1+5&lt;=$B63,12*$B$7,-12*MAX(0,$B$6-IF($B$1+5&gt;=$B$23,$B$22,0))*(1+$B$4)^5))*IF(G63+IF($B$1+5&lt;=$B63,12*$B$7,-12*MAX(0,$B$6-IF($B$1+5&gt;=$B$23,$B$22,0))*(1+$B$4)^5)&gt;0,1+$B$3,1))</f>
        <v/>
      </c>
      <c r="I63">
        <f>IF($B$1+6&gt;90,H63,(H63+IF($B$1+6&lt;=$B63,12*$B$7,-12*MAX(0,$B$6-IF($B$1+6&gt;=$B$23,$B$22,0))*(1+$B$4)^6))*IF(H63+IF($B$1+6&lt;=$B63,12*$B$7,-12*MAX(0,$B$6-IF($B$1+6&gt;=$B$23,$B$22,0))*(1+$B$4)^6)&gt;0,1+$B$3,1))</f>
        <v/>
      </c>
      <c r="J63">
        <f>IF($B$1+7&gt;90,I63,(I63+IF($B$1+7&lt;=$B63,12*$B$7,-12*MAX(0,$B$6-IF($B$1+7&gt;=$B$23,$B$22,0))*(1+$B$4)^7))*IF(I63+IF($B$1+7&lt;=$B63,12*$B$7,-12*MAX(0,$B$6-IF($B$1+7&gt;=$B$23,$B$22,0))*(1+$B$4)^7)&gt;0,1+$B$3,1))</f>
        <v/>
      </c>
      <c r="K63">
        <f>IF($B$1+8&gt;90,J63,(J63+IF($B$1+8&lt;=$B63,12*$B$7,-12*MAX(0,$B$6-IF($B$1+8&gt;=$B$23,$B$22,0))*(1+$B$4)^8))*IF(J63+IF($B$1+8&lt;=$B63,12*$B$7,-12*MAX(0,$B$6-IF($B$1+8&gt;=$B$23,$B$22,0))*(1+$B$4)^8)&gt;0,1+$B$3,1))</f>
        <v/>
      </c>
      <c r="L63">
        <f>IF($B$1+9&gt;90,K63,(K63+IF($B$1+9&lt;=$B63,12*$B$7,-12*MAX(0,$B$6-IF($B$1+9&gt;=$B$23,$B$22,0))*(1+$B$4)^9))*IF(K63+IF($B$1+9&lt;=$B63,12*$B$7,-12*MAX(0,$B$6-IF($B$1+9&gt;=$B$23,$B$22,0))*(1+$B$4)^9)&gt;0,1+$B$3,1))</f>
        <v/>
      </c>
      <c r="M63">
        <f>IF($B$1+10&gt;90,L63,(L63+IF($B$1+10&lt;=$B63,12*$B$7,-12*MAX(0,$B$6-IF($B$1+10&gt;=$B$23,$B$22,0))*(1+$B$4)^10))*IF(L63+IF($B$1+10&lt;=$B63,12*$B$7,-12*MAX(0,$B$6-IF($B$1+10&gt;=$B$23,$B$22,0))*(1+$B$4)^10)&gt;0,1+$B$3,1))</f>
        <v/>
      </c>
      <c r="N63">
        <f>IF($B$1+11&gt;90,M63,(M63+IF($B$1+11&lt;=$B63,12*$B$7,-12*MAX(0,$B$6-IF($B$1+11&gt;=$B$23,$B$22,0))*(1+$B$4)^11))*IF(M63+IF($B$1+11&lt;=$B63,12*$B$7,-12*MAX(0,$B$6-IF($B$1+11&gt;=$B$23,$B$22,0))*(1+$B$4)^11)&gt;0,1+$B$3,1))</f>
        <v/>
      </c>
      <c r="O63">
        <f>IF($B$1+12&gt;90,N63,(N63+IF($B$1+12&lt;=$B63,12*$B$7,-12*MAX(0,$B$6-IF($B$1+12&gt;=$B$23,$B$22,0))*(1+$B$4)^12))*IF(N63+IF($B$1+12&lt;=$B63,12*$B$7,-12*MAX(0,$B$6-IF($B$1+12&gt;=$B$23,$B$22,0))*(1+$B$4)^12)&gt;0,1+$B$3,1))</f>
        <v/>
      </c>
      <c r="P63">
        <f>IF($B$1+13&gt;90,O63,(O63+IF($B$1+13&lt;=$B63,12*$B$7,-12*MAX(0,$B$6-IF($B$1+13&gt;=$B$23,$B$22,0))*(1+$B$4)^13))*IF(O63+IF($B$1+13&lt;=$B63,12*$B$7,-12*MAX(0,$B$6-IF($B$1+13&gt;=$B$23,$B$22,0))*(1+$B$4)^13)&gt;0,1+$B$3,1))</f>
        <v/>
      </c>
      <c r="Q63">
        <f>IF($B$1+14&gt;90,P63,(P63+IF($B$1+14&lt;=$B63,12*$B$7,-12*MAX(0,$B$6-IF($B$1+14&gt;=$B$23,$B$22,0))*(1+$B$4)^14))*IF(P63+IF($B$1+14&lt;=$B63,12*$B$7,-12*MAX(0,$B$6-IF($B$1+14&gt;=$B$23,$B$22,0))*(1+$B$4)^14)&gt;0,1+$B$3,1))</f>
        <v/>
      </c>
      <c r="R63">
        <f>IF($B$1+15&gt;90,Q63,(Q63+IF($B$1+15&lt;=$B63,12*$B$7,-12*MAX(0,$B$6-IF($B$1+15&gt;=$B$23,$B$22,0))*(1+$B$4)^15))*IF(Q63+IF($B$1+15&lt;=$B63,12*$B$7,-12*MAX(0,$B$6-IF($B$1+15&gt;=$B$23,$B$22,0))*(1+$B$4)^15)&gt;0,1+$B$3,1))</f>
        <v/>
      </c>
      <c r="S63">
        <f>IF($B$1+16&gt;90,R63,(R63+IF($B$1+16&lt;=$B63,12*$B$7,-12*MAX(0,$B$6-IF($B$1+16&gt;=$B$23,$B$22,0))*(1+$B$4)^16))*IF(R63+IF($B$1+16&lt;=$B63,12*$B$7,-12*MAX(0,$B$6-IF($B$1+16&gt;=$B$23,$B$22,0))*(1+$B$4)^16)&gt;0,1+$B$3,1))</f>
        <v/>
      </c>
      <c r="T63">
        <f>IF($B$1+17&gt;90,S63,(S63+IF($B$1+17&lt;=$B63,12*$B$7,-12*MAX(0,$B$6-IF($B$1+17&gt;=$B$23,$B$22,0))*(1+$B$4)^17))*IF(S63+IF($B$1+17&lt;=$B63,12*$B$7,-12*MAX(0,$B$6-IF($B$1+17&gt;=$B$23,$B$22,0))*(1+$B$4)^17)&gt;0,1+$B$3,1))</f>
        <v/>
      </c>
      <c r="U63">
        <f>IF($B$1+18&gt;90,T63,(T63+IF($B$1+18&lt;=$B63,12*$B$7,-12*MAX(0,$B$6-IF($B$1+18&gt;=$B$23,$B$22,0))*(1+$B$4)^18))*IF(T63+IF($B$1+18&lt;=$B63,12*$B$7,-12*MAX(0,$B$6-IF($B$1+18&gt;=$B$23,$B$22,0))*(1+$B$4)^18)&gt;0,1+$B$3,1))</f>
        <v/>
      </c>
      <c r="V63">
        <f>IF($B$1+19&gt;90,U63,(U63+IF($B$1+19&lt;=$B63,12*$B$7,-12*MAX(0,$B$6-IF($B$1+19&gt;=$B$23,$B$22,0))*(1+$B$4)^19))*IF(U63+IF($B$1+19&lt;=$B63,12*$B$7,-12*MAX(0,$B$6-IF($B$1+19&gt;=$B$23,$B$22,0))*(1+$B$4)^19)&gt;0,1+$B$3,1))</f>
        <v/>
      </c>
      <c r="W63">
        <f>IF($B$1+20&gt;90,V63,(V63+IF($B$1+20&lt;=$B63,12*$B$7,-12*MAX(0,$B$6-IF($B$1+20&gt;=$B$23,$B$22,0))*(1+$B$4)^20))*IF(V63+IF($B$1+20&lt;=$B63,12*$B$7,-12*MAX(0,$B$6-IF($B$1+20&gt;=$B$23,$B$22,0))*(1+$B$4)^20)&gt;0,1+$B$3,1))</f>
        <v/>
      </c>
      <c r="X63">
        <f>IF($B$1+21&gt;90,W63,(W63+IF($B$1+21&lt;=$B63,12*$B$7,-12*MAX(0,$B$6-IF($B$1+21&gt;=$B$23,$B$22,0))*(1+$B$4)^21))*IF(W63+IF($B$1+21&lt;=$B63,12*$B$7,-12*MAX(0,$B$6-IF($B$1+21&gt;=$B$23,$B$22,0))*(1+$B$4)^21)&gt;0,1+$B$3,1))</f>
        <v/>
      </c>
      <c r="Y63">
        <f>IF($B$1+22&gt;90,X63,(X63+IF($B$1+22&lt;=$B63,12*$B$7,-12*MAX(0,$B$6-IF($B$1+22&gt;=$B$23,$B$22,0))*(1+$B$4)^22))*IF(X63+IF($B$1+22&lt;=$B63,12*$B$7,-12*MAX(0,$B$6-IF($B$1+22&gt;=$B$23,$B$22,0))*(1+$B$4)^22)&gt;0,1+$B$3,1))</f>
        <v/>
      </c>
      <c r="Z63">
        <f>IF($B$1+23&gt;90,Y63,(Y63+IF($B$1+23&lt;=$B63,12*$B$7,-12*MAX(0,$B$6-IF($B$1+23&gt;=$B$23,$B$22,0))*(1+$B$4)^23))*IF(Y63+IF($B$1+23&lt;=$B63,12*$B$7,-12*MAX(0,$B$6-IF($B$1+23&gt;=$B$23,$B$22,0))*(1+$B$4)^23)&gt;0,1+$B$3,1))</f>
        <v/>
      </c>
      <c r="AA63">
        <f>IF($B$1+24&gt;90,Z63,(Z63+IF($B$1+24&lt;=$B63,12*$B$7,-12*MAX(0,$B$6-IF($B$1+24&gt;=$B$23,$B$22,0))*(1+$B$4)^24))*IF(Z63+IF($B$1+24&lt;=$B63,12*$B$7,-12*MAX(0,$B$6-IF($B$1+24&gt;=$B$23,$B$22,0))*(1+$B$4)^24)&gt;0,1+$B$3,1))</f>
        <v/>
      </c>
      <c r="AB63">
        <f>IF($B$1+25&gt;90,AA63,(AA63+IF($B$1+25&lt;=$B63,12*$B$7,-12*MAX(0,$B$6-IF($B$1+25&gt;=$B$23,$B$22,0))*(1+$B$4)^25))*IF(AA63+IF($B$1+25&lt;=$B63,12*$B$7,-12*MAX(0,$B$6-IF($B$1+25&gt;=$B$23,$B$22,0))*(1+$B$4)^25)&gt;0,1+$B$3,1))</f>
        <v/>
      </c>
      <c r="AC63">
        <f>IF($B$1+26&gt;90,AB63,(AB63+IF($B$1+26&lt;=$B63,12*$B$7,-12*MAX(0,$B$6-IF($B$1+26&gt;=$B$23,$B$22,0))*(1+$B$4)^26))*IF(AB63+IF($B$1+26&lt;=$B63,12*$B$7,-12*MAX(0,$B$6-IF($B$1+26&gt;=$B$23,$B$22,0))*(1+$B$4)^26)&gt;0,1+$B$3,1))</f>
        <v/>
      </c>
      <c r="AD63">
        <f>IF($B$1+27&gt;90,AC63,(AC63+IF($B$1+27&lt;=$B63,12*$B$7,-12*MAX(0,$B$6-IF($B$1+27&gt;=$B$23,$B$22,0))*(1+$B$4)^27))*IF(AC63+IF($B$1+27&lt;=$B63,12*$B$7,-12*MAX(0,$B$6-IF($B$1+27&gt;=$B$23,$B$22,0))*(1+$B$4)^27)&gt;0,1+$B$3,1))</f>
        <v/>
      </c>
      <c r="AE63">
        <f>IF($B$1+28&gt;90,AD63,(AD63+IF($B$1+28&lt;=$B63,12*$B$7,-12*MAX(0,$B$6-IF($B$1+28&gt;=$B$23,$B$22,0))*(1+$B$4)^28))*IF(AD63+IF($B$1+28&lt;=$B63,12*$B$7,-12*MAX(0,$B$6-IF($B$1+28&gt;=$B$23,$B$22,0))*(1+$B$4)^28)&gt;0,1+$B$3,1))</f>
        <v/>
      </c>
      <c r="AF63">
        <f>IF($B$1+29&gt;90,AE63,(AE63+IF($B$1+29&lt;=$B63,12*$B$7,-12*MAX(0,$B$6-IF($B$1+29&gt;=$B$23,$B$22,0))*(1+$B$4)^29))*IF(AE63+IF($B$1+29&lt;=$B63,12*$B$7,-12*MAX(0,$B$6-IF($B$1+29&gt;=$B$23,$B$22,0))*(1+$B$4)^29)&gt;0,1+$B$3,1))</f>
        <v/>
      </c>
      <c r="AG63">
        <f>IF($B$1+30&gt;90,AF63,(AF63+IF($B$1+30&lt;=$B63,12*$B$7,-12*MAX(0,$B$6-IF($B$1+30&gt;=$B$23,$B$22,0))*(1+$B$4)^30))*IF(AF63+IF($B$1+30&lt;=$B63,12*$B$7,-12*MAX(0,$B$6-IF($B$1+30&gt;=$B$23,$B$22,0))*(1+$B$4)^30)&gt;0,1+$B$3,1))</f>
        <v/>
      </c>
      <c r="AH63">
        <f>IF($B$1+31&gt;90,AG63,(AG63+IF($B$1+31&lt;=$B63,12*$B$7,-12*MAX(0,$B$6-IF($B$1+31&gt;=$B$23,$B$22,0))*(1+$B$4)^31))*IF(AG63+IF($B$1+31&lt;=$B63,12*$B$7,-12*MAX(0,$B$6-IF($B$1+31&gt;=$B$23,$B$22,0))*(1+$B$4)^31)&gt;0,1+$B$3,1))</f>
        <v/>
      </c>
      <c r="AI63">
        <f>IF($B$1+32&gt;90,AH63,(AH63+IF($B$1+32&lt;=$B63,12*$B$7,-12*MAX(0,$B$6-IF($B$1+32&gt;=$B$23,$B$22,0))*(1+$B$4)^32))*IF(AH63+IF($B$1+32&lt;=$B63,12*$B$7,-12*MAX(0,$B$6-IF($B$1+32&gt;=$B$23,$B$22,0))*(1+$B$4)^32)&gt;0,1+$B$3,1))</f>
        <v/>
      </c>
      <c r="AJ63">
        <f>IF($B$1+33&gt;90,AI63,(AI63+IF($B$1+33&lt;=$B63,12*$B$7,-12*MAX(0,$B$6-IF($B$1+33&gt;=$B$23,$B$22,0))*(1+$B$4)^33))*IF(AI63+IF($B$1+33&lt;=$B63,12*$B$7,-12*MAX(0,$B$6-IF($B$1+33&gt;=$B$23,$B$22,0))*(1+$B$4)^33)&gt;0,1+$B$3,1))</f>
        <v/>
      </c>
      <c r="AK63">
        <f>IF($B$1+34&gt;90,AJ63,(AJ63+IF($B$1+34&lt;=$B63,12*$B$7,-12*MAX(0,$B$6-IF($B$1+34&gt;=$B$23,$B$22,0))*(1+$B$4)^34))*IF(AJ63+IF($B$1+34&lt;=$B63,12*$B$7,-12*MAX(0,$B$6-IF($B$1+34&gt;=$B$23,$B$22,0))*(1+$B$4)^34)&gt;0,1+$B$3,1))</f>
        <v/>
      </c>
      <c r="AL63">
        <f>IF($B$1+35&gt;90,AK63,(AK63+IF($B$1+35&lt;=$B63,12*$B$7,-12*MAX(0,$B$6-IF($B$1+35&gt;=$B$23,$B$22,0))*(1+$B$4)^35))*IF(AK63+IF($B$1+35&lt;=$B63,12*$B$7,-12*MAX(0,$B$6-IF($B$1+35&gt;=$B$23,$B$22,0))*(1+$B$4)^35)&gt;0,1+$B$3,1))</f>
        <v/>
      </c>
      <c r="AM63">
        <f>IF($B$1+36&gt;90,AL63,(AL63+IF($B$1+36&lt;=$B63,12*$B$7,-12*MAX(0,$B$6-IF($B$1+36&gt;=$B$23,$B$22,0))*(1+$B$4)^36))*IF(AL63+IF($B$1+36&lt;=$B63,12*$B$7,-12*MAX(0,$B$6-IF($B$1+36&gt;=$B$23,$B$22,0))*(1+$B$4)^36)&gt;0,1+$B$3,1))</f>
        <v/>
      </c>
      <c r="AN63">
        <f>IF($B$1+37&gt;90,AM63,(AM63+IF($B$1+37&lt;=$B63,12*$B$7,-12*MAX(0,$B$6-IF($B$1+37&gt;=$B$23,$B$22,0))*(1+$B$4)^37))*IF(AM63+IF($B$1+37&lt;=$B63,12*$B$7,-12*MAX(0,$B$6-IF($B$1+37&gt;=$B$23,$B$22,0))*(1+$B$4)^37)&gt;0,1+$B$3,1))</f>
        <v/>
      </c>
      <c r="AO63">
        <f>IF($B$1+38&gt;90,AN63,(AN63+IF($B$1+38&lt;=$B63,12*$B$7,-12*MAX(0,$B$6-IF($B$1+38&gt;=$B$23,$B$22,0))*(1+$B$4)^38))*IF(AN63+IF($B$1+38&lt;=$B63,12*$B$7,-12*MAX(0,$B$6-IF($B$1+38&gt;=$B$23,$B$22,0))*(1+$B$4)^38)&gt;0,1+$B$3,1))</f>
        <v/>
      </c>
      <c r="AP63">
        <f>IF($B$1+39&gt;90,AO63,(AO63+IF($B$1+39&lt;=$B63,12*$B$7,-12*MAX(0,$B$6-IF($B$1+39&gt;=$B$23,$B$22,0))*(1+$B$4)^39))*IF(AO63+IF($B$1+39&lt;=$B63,12*$B$7,-12*MAX(0,$B$6-IF($B$1+39&gt;=$B$23,$B$22,0))*(1+$B$4)^39)&gt;0,1+$B$3,1))</f>
        <v/>
      </c>
      <c r="AQ63">
        <f>IF($B$1+40&gt;90,AP63,(AP63+IF($B$1+40&lt;=$B63,12*$B$7,-12*MAX(0,$B$6-IF($B$1+40&gt;=$B$23,$B$22,0))*(1+$B$4)^40))*IF(AP63+IF($B$1+40&lt;=$B63,12*$B$7,-12*MAX(0,$B$6-IF($B$1+40&gt;=$B$23,$B$22,0))*(1+$B$4)^40)&gt;0,1+$B$3,1))</f>
        <v/>
      </c>
      <c r="AR63">
        <f>IF($B$1+41&gt;90,AQ63,(AQ63+IF($B$1+41&lt;=$B63,12*$B$7,-12*MAX(0,$B$6-IF($B$1+41&gt;=$B$23,$B$22,0))*(1+$B$4)^41))*IF(AQ63+IF($B$1+41&lt;=$B63,12*$B$7,-12*MAX(0,$B$6-IF($B$1+41&gt;=$B$23,$B$22,0))*(1+$B$4)^41)&gt;0,1+$B$3,1))</f>
        <v/>
      </c>
      <c r="AS63">
        <f>IF($B$1+42&gt;90,AR63,(AR63+IF($B$1+42&lt;=$B63,12*$B$7,-12*MAX(0,$B$6-IF($B$1+42&gt;=$B$23,$B$22,0))*(1+$B$4)^42))*IF(AR63+IF($B$1+42&lt;=$B63,12*$B$7,-12*MAX(0,$B$6-IF($B$1+42&gt;=$B$23,$B$22,0))*(1+$B$4)^42)&gt;0,1+$B$3,1))</f>
        <v/>
      </c>
      <c r="AT63">
        <f>IF($B$1+43&gt;90,AS63,(AS63+IF($B$1+43&lt;=$B63,12*$B$7,-12*MAX(0,$B$6-IF($B$1+43&gt;=$B$23,$B$22,0))*(1+$B$4)^43))*IF(AS63+IF($B$1+43&lt;=$B63,12*$B$7,-12*MAX(0,$B$6-IF($B$1+43&gt;=$B$23,$B$22,0))*(1+$B$4)^43)&gt;0,1+$B$3,1))</f>
        <v/>
      </c>
      <c r="AU63">
        <f>IF($B$1+44&gt;90,AT63,(AT63+IF($B$1+44&lt;=$B63,12*$B$7,-12*MAX(0,$B$6-IF($B$1+44&gt;=$B$23,$B$22,0))*(1+$B$4)^44))*IF(AT63+IF($B$1+44&lt;=$B63,12*$B$7,-12*MAX(0,$B$6-IF($B$1+44&gt;=$B$23,$B$22,0))*(1+$B$4)^44)&gt;0,1+$B$3,1))</f>
        <v/>
      </c>
      <c r="AV63">
        <f>IF($B$1+45&gt;90,AU63,(AU63+IF($B$1+45&lt;=$B63,12*$B$7,-12*MAX(0,$B$6-IF($B$1+45&gt;=$B$23,$B$22,0))*(1+$B$4)^45))*IF(AU63+IF($B$1+45&lt;=$B63,12*$B$7,-12*MAX(0,$B$6-IF($B$1+45&gt;=$B$23,$B$22,0))*(1+$B$4)^45)&gt;0,1+$B$3,1))</f>
        <v/>
      </c>
      <c r="AW63">
        <f>IF($B$1+46&gt;90,AV63,(AV63+IF($B$1+46&lt;=$B63,12*$B$7,-12*MAX(0,$B$6-IF($B$1+46&gt;=$B$23,$B$22,0))*(1+$B$4)^46))*IF(AV63+IF($B$1+46&lt;=$B63,12*$B$7,-12*MAX(0,$B$6-IF($B$1+46&gt;=$B$23,$B$22,0))*(1+$B$4)^46)&gt;0,1+$B$3,1))</f>
        <v/>
      </c>
      <c r="AX63">
        <f>IF($B$1+47&gt;90,AW63,(AW63+IF($B$1+47&lt;=$B63,12*$B$7,-12*MAX(0,$B$6-IF($B$1+47&gt;=$B$23,$B$22,0))*(1+$B$4)^47))*IF(AW63+IF($B$1+47&lt;=$B63,12*$B$7,-12*MAX(0,$B$6-IF($B$1+47&gt;=$B$23,$B$22,0))*(1+$B$4)^47)&gt;0,1+$B$3,1))</f>
        <v/>
      </c>
      <c r="AY63">
        <f>IF($B$1+48&gt;90,AX63,(AX63+IF($B$1+48&lt;=$B63,12*$B$7,-12*MAX(0,$B$6-IF($B$1+48&gt;=$B$23,$B$22,0))*(1+$B$4)^48))*IF(AX63+IF($B$1+48&lt;=$B63,12*$B$7,-12*MAX(0,$B$6-IF($B$1+48&gt;=$B$23,$B$22,0))*(1+$B$4)^48)&gt;0,1+$B$3,1))</f>
        <v/>
      </c>
      <c r="AZ63">
        <f>IF($B$1+49&gt;90,AY63,(AY63+IF($B$1+49&lt;=$B63,12*$B$7,-12*MAX(0,$B$6-IF($B$1+49&gt;=$B$23,$B$22,0))*(1+$B$4)^49))*IF(AY63+IF($B$1+49&lt;=$B63,12*$B$7,-12*MAX(0,$B$6-IF($B$1+49&gt;=$B$23,$B$22,0))*(1+$B$4)^49)&gt;0,1+$B$3,1))</f>
        <v/>
      </c>
      <c r="BA63">
        <f>IF($B$1+50&gt;90,AZ63,(AZ63+IF($B$1+50&lt;=$B63,12*$B$7,-12*MAX(0,$B$6-IF($B$1+50&gt;=$B$23,$B$22,0))*(1+$B$4)^50))*IF(AZ63+IF($B$1+50&lt;=$B63,12*$B$7,-12*MAX(0,$B$6-IF($B$1+50&gt;=$B$23,$B$22,0))*(1+$B$4)^50)&gt;0,1+$B$3,1))</f>
        <v/>
      </c>
      <c r="BB63">
        <f>IF($B$1+51&gt;90,BA63,(BA63+IF($B$1+51&lt;=$B63,12*$B$7,-12*MAX(0,$B$6-IF($B$1+51&gt;=$B$23,$B$22,0))*(1+$B$4)^51))*IF(BA63+IF($B$1+51&lt;=$B63,12*$B$7,-12*MAX(0,$B$6-IF($B$1+51&gt;=$B$23,$B$22,0))*(1+$B$4)^51)&gt;0,1+$B$3,1))</f>
        <v/>
      </c>
      <c r="BC63">
        <f>IF($B$1+52&gt;90,BB63,(BB63+IF($B$1+52&lt;=$B63,12*$B$7,-12*MAX(0,$B$6-IF($B$1+52&gt;=$B$23,$B$22,0))*(1+$B$4)^52))*IF(BB63+IF($B$1+52&lt;=$B63,12*$B$7,-12*MAX(0,$B$6-IF($B$1+52&gt;=$B$23,$B$22,0))*(1+$B$4)^52)&gt;0,1+$B$3,1))</f>
        <v/>
      </c>
      <c r="BD63">
        <f>IF($B$1+53&gt;90,BC63,(BC63+IF($B$1+53&lt;=$B63,12*$B$7,-12*MAX(0,$B$6-IF($B$1+53&gt;=$B$23,$B$22,0))*(1+$B$4)^53))*IF(BC63+IF($B$1+53&lt;=$B63,12*$B$7,-12*MAX(0,$B$6-IF($B$1+53&gt;=$B$23,$B$22,0))*(1+$B$4)^53)&gt;0,1+$B$3,1))</f>
        <v/>
      </c>
      <c r="BE63">
        <f>IF($B$1+54&gt;90,BD63,(BD63+IF($B$1+54&lt;=$B63,12*$B$7,-12*MAX(0,$B$6-IF($B$1+54&gt;=$B$23,$B$22,0))*(1+$B$4)^54))*IF(BD63+IF($B$1+54&lt;=$B63,12*$B$7,-12*MAX(0,$B$6-IF($B$1+54&gt;=$B$23,$B$22,0))*(1+$B$4)^54)&gt;0,1+$B$3,1))</f>
        <v/>
      </c>
      <c r="BF63">
        <f>IF($B$1+55&gt;90,BE63,(BE63+IF($B$1+55&lt;=$B63,12*$B$7,-12*MAX(0,$B$6-IF($B$1+55&gt;=$B$23,$B$22,0))*(1+$B$4)^55))*IF(BE63+IF($B$1+55&lt;=$B63,12*$B$7,-12*MAX(0,$B$6-IF($B$1+55&gt;=$B$23,$B$22,0))*(1+$B$4)^55)&gt;0,1+$B$3,1))</f>
        <v/>
      </c>
      <c r="BG63">
        <f>IF($B$1+56&gt;90,BF63,(BF63+IF($B$1+56&lt;=$B63,12*$B$7,-12*MAX(0,$B$6-IF($B$1+56&gt;=$B$23,$B$22,0))*(1+$B$4)^56))*IF(BF63+IF($B$1+56&lt;=$B63,12*$B$7,-12*MAX(0,$B$6-IF($B$1+56&gt;=$B$23,$B$22,0))*(1+$B$4)^56)&gt;0,1+$B$3,1))</f>
        <v/>
      </c>
      <c r="BH63">
        <f>IF($B$1+57&gt;90,BG63,(BG63+IF($B$1+57&lt;=$B63,12*$B$7,-12*MAX(0,$B$6-IF($B$1+57&gt;=$B$23,$B$22,0))*(1+$B$4)^57))*IF(BG63+IF($B$1+57&lt;=$B63,12*$B$7,-12*MAX(0,$B$6-IF($B$1+57&gt;=$B$23,$B$22,0))*(1+$B$4)^57)&gt;0,1+$B$3,1))</f>
        <v/>
      </c>
      <c r="BI63">
        <f>IF($B$1+58&gt;90,BH63,(BH63+IF($B$1+58&lt;=$B63,12*$B$7,-12*MAX(0,$B$6-IF($B$1+58&gt;=$B$23,$B$22,0))*(1+$B$4)^58))*IF(BH63+IF($B$1+58&lt;=$B63,12*$B$7,-12*MAX(0,$B$6-IF($B$1+58&gt;=$B$23,$B$22,0))*(1+$B$4)^58)&gt;0,1+$B$3,1))</f>
        <v/>
      </c>
      <c r="BJ63">
        <f>IF($B$1+59&gt;90,BI63,(BI63+IF($B$1+59&lt;=$B63,12*$B$7,-12*MAX(0,$B$6-IF($B$1+59&gt;=$B$23,$B$22,0))*(1+$B$4)^59))*IF(BI63+IF($B$1+59&lt;=$B63,12*$B$7,-12*MAX(0,$B$6-IF($B$1+59&gt;=$B$23,$B$22,0))*(1+$B$4)^59)&gt;0,1+$B$3,1))</f>
        <v/>
      </c>
      <c r="BK63">
        <f>IF($B$1+60&gt;90,BJ63,(BJ63+IF($B$1+60&lt;=$B63,12*$B$7,-12*MAX(0,$B$6-IF($B$1+60&gt;=$B$23,$B$22,0))*(1+$B$4)^60))*IF(BJ63+IF($B$1+60&lt;=$B63,12*$B$7,-12*MAX(0,$B$6-IF($B$1+60&gt;=$B$23,$B$22,0))*(1+$B$4)^60)&gt;0,1+$B$3,1))</f>
        <v/>
      </c>
      <c r="BL63">
        <f>IF($B$1+61&gt;90,BK63,(BK63+IF($B$1+61&lt;=$B63,12*$B$7,-12*MAX(0,$B$6-IF($B$1+61&gt;=$B$23,$B$22,0))*(1+$B$4)^61))*IF(BK63+IF($B$1+61&lt;=$B63,12*$B$7,-12*MAX(0,$B$6-IF($B$1+61&gt;=$B$23,$B$22,0))*(1+$B$4)^61)&gt;0,1+$B$3,1))</f>
        <v/>
      </c>
      <c r="BM63">
        <f>IF($B$1+62&gt;90,BL63,(BL63+IF($B$1+62&lt;=$B63,12*$B$7,-12*MAX(0,$B$6-IF($B$1+62&gt;=$B$23,$B$22,0))*(1+$B$4)^62))*IF(BL63+IF($B$1+62&lt;=$B63,12*$B$7,-12*MAX(0,$B$6-IF($B$1+62&gt;=$B$23,$B$22,0))*(1+$B$4)^62)&gt;0,1+$B$3,1))</f>
        <v/>
      </c>
      <c r="BN63">
        <f>IF($B$1+63&gt;90,BM63,(BM63+IF($B$1+63&lt;=$B63,12*$B$7,-12*MAX(0,$B$6-IF($B$1+63&gt;=$B$23,$B$22,0))*(1+$B$4)^63))*IF(BM63+IF($B$1+63&lt;=$B63,12*$B$7,-12*MAX(0,$B$6-IF($B$1+63&gt;=$B$23,$B$22,0))*(1+$B$4)^63)&gt;0,1+$B$3,1))</f>
        <v/>
      </c>
      <c r="BO63">
        <f>IF($B$1+64&gt;90,BN63,(BN63+IF($B$1+64&lt;=$B63,12*$B$7,-12*MAX(0,$B$6-IF($B$1+64&gt;=$B$23,$B$22,0))*(1+$B$4)^64))*IF(BN63+IF($B$1+64&lt;=$B63,12*$B$7,-12*MAX(0,$B$6-IF($B$1+64&gt;=$B$23,$B$22,0))*(1+$B$4)^64)&gt;0,1+$B$3,1))</f>
        <v/>
      </c>
      <c r="BP63">
        <f>IF($B$1+65&gt;90,BO63,(BO63+IF($B$1+65&lt;=$B63,12*$B$7,-12*MAX(0,$B$6-IF($B$1+65&gt;=$B$23,$B$22,0))*(1+$B$4)^65))*IF(BO63+IF($B$1+65&lt;=$B63,12*$B$7,-12*MAX(0,$B$6-IF($B$1+65&gt;=$B$23,$B$22,0))*(1+$B$4)^65)&gt;0,1+$B$3,1))</f>
        <v/>
      </c>
      <c r="BQ63">
        <f>IF($B$1+66&gt;90,BP63,(BP63+IF($B$1+66&lt;=$B63,12*$B$7,-12*MAX(0,$B$6-IF($B$1+66&gt;=$B$23,$B$22,0))*(1+$B$4)^66))*IF(BP63+IF($B$1+66&lt;=$B63,12*$B$7,-12*MAX(0,$B$6-IF($B$1+66&gt;=$B$23,$B$22,0))*(1+$B$4)^66)&gt;0,1+$B$3,1))</f>
        <v/>
      </c>
      <c r="BR63">
        <f>IF($B$1+67&gt;90,BQ63,(BQ63+IF($B$1+67&lt;=$B63,12*$B$7,-12*MAX(0,$B$6-IF($B$1+67&gt;=$B$23,$B$22,0))*(1+$B$4)^67))*IF(BQ63+IF($B$1+67&lt;=$B63,12*$B$7,-12*MAX(0,$B$6-IF($B$1+67&gt;=$B$23,$B$22,0))*(1+$B$4)^67)&gt;0,1+$B$3,1))</f>
        <v/>
      </c>
      <c r="BS63">
        <f>IF($B$1+68&gt;90,BR63,(BR63+IF($B$1+68&lt;=$B63,12*$B$7,-12*MAX(0,$B$6-IF($B$1+68&gt;=$B$23,$B$22,0))*(1+$B$4)^68))*IF(BR63+IF($B$1+68&lt;=$B63,12*$B$7,-12*MAX(0,$B$6-IF($B$1+68&gt;=$B$23,$B$22,0))*(1+$B$4)^68)&gt;0,1+$B$3,1))</f>
        <v/>
      </c>
      <c r="BT63">
        <f>IF($B$1+69&gt;90,BS63,(BS63+IF($B$1+69&lt;=$B63,12*$B$7,-12*MAX(0,$B$6-IF($B$1+69&gt;=$B$23,$B$22,0))*(1+$B$4)^69))*IF(BS63+IF($B$1+69&lt;=$B63,12*$B$7,-12*MAX(0,$B$6-IF($B$1+69&gt;=$B$23,$B$22,0))*(1+$B$4)^69)&gt;0,1+$B$3,1))</f>
        <v/>
      </c>
      <c r="BU63">
        <f>IF($B$1+70&gt;90,BT63,(BT63+IF($B$1+70&lt;=$B63,12*$B$7,-12*MAX(0,$B$6-IF($B$1+70&gt;=$B$23,$B$22,0))*(1+$B$4)^70))*IF(BT63+IF($B$1+70&lt;=$B63,12*$B$7,-12*MAX(0,$B$6-IF($B$1+70&gt;=$B$23,$B$22,0))*(1+$B$4)^70)&gt;0,1+$B$3,1))</f>
        <v/>
      </c>
      <c r="BV63">
        <f>BU63</f>
        <v/>
      </c>
      <c r="BW63">
        <f>IF(AND($B63&lt;=70,BV63&gt;0),$B63,999)</f>
        <v/>
      </c>
      <c r="CB63" t="n">
        <v>62</v>
      </c>
      <c r="CC63">
        <f>IF($B$1+CB63&gt;90,0,12*MAX(0,$B$6-IF($B$1+CB63&gt;=$B$23,$B$22,0))*(1+$B$4)^CB63/(1+$B$3)^(CB63-1))</f>
        <v/>
      </c>
      <c r="CE63">
        <f>IF($B$1+61&gt;90,NA(),$B$1+61)</f>
        <v/>
      </c>
      <c r="CF63">
        <f>IF(OR($B$21="",$B$1+61&gt;90),NA(),INDEX($C$40:$BU$90,$B$21-$B$1+1,62))</f>
        <v/>
      </c>
      <c r="CH63">
        <f>IF(ISTEXT('월 가계부'!A63),SUBSTITUTE(SUBSTITUTE(SUBSTITUTE(SUBSTITUTE(SUBSTITUTE(SUBSTITUTE(SUBSTITUTE(SUBSTITUTE(SUBSTITUTE(TRIM('월 가계부'!A63),"년","-"),"월","-"),"일",""),".","-"),"/","-")," ","-"),"--","-"),"--","-"),"--","-")&amp;"-","")</f>
        <v/>
      </c>
      <c r="CI63">
        <f>IFERROR(IF('월 가계부'!A63="","",IF(ISNUMBER('월 가계부'!A63),IF(AND('월 가계부'!A63&gt;=19000101,'월 가계부'!A63&lt;=21001231),IF(AND(MOD(INT('월 가계부'!A63/100),100)&gt;=1,MOD(INT('월 가계부'!A63/100),100)&lt;=12,MOD(INT('월 가계부'!A63),100)&gt;=1,MOD(INT('월 가계부'!A63),100)&lt;=31),IF(MONTH(DATE(INT('월 가계부'!A63/10000),MOD(INT('월 가계부'!A63/100),100),MOD(INT('월 가계부'!A63),100)))=MOD(INT('월 가계부'!A63/100),100),DATE(INT('월 가계부'!A63/10000),MOD(INT('월 가계부'!A63/100),100),MOD(INT('월 가계부'!A63),100)),""),""),IF(AND('월 가계부'!A63&gt;=36526,'월 가계부'!A63&lt;73051),INT('월 가계부'!A63),"")),IF(OR(CM63="",CN63="",CO63=""),"",IF(AND(CM63&gt;=2000,CM63&lt;=2099,CN63&gt;=1,CN63&lt;=12,CO63&gt;=1,CO63&lt;=31),IF(MONTH(DATE(CM63,CN63,CO63))=CN63,DATE(CM63,CN63,CO63),""),"")))),"")</f>
        <v/>
      </c>
      <c r="CJ63">
        <f>IFERROR(IF('월 가계부'!C63="","",IF(ISNUMBER('월 가계부'!C63),'월 가계부'!C63,VALUE(SUBSTITUTE(SUBSTITUTE(SUBSTITUTE(SUBSTITUTE(TRIM('월 가계부'!C63),",",""),"원","")," ",""),"−","-")))),"")</f>
        <v/>
      </c>
      <c r="CK63">
        <f>IF(ISNUMBER(CI63),IF(CI63&lt;$B$13,CI63,""),"")</f>
        <v/>
      </c>
      <c r="CM63">
        <f>IF(CH63="","",IFERROR(IF(IF(AND(LEN(CH63)=9,ISERROR(FIND("-",LEFT(CH63,8))),ISNUMBER(-LEFT(CH63,8))),VALUE(LEFT(CH63,4)),VALUE(LEFT(CH63,FIND("-",CH63)-1)))&lt;100,IF(AND(LEN(CH63)=9,ISERROR(FIND("-",LEFT(CH63,8))),ISNUMBER(-LEFT(CH63,8))),VALUE(LEFT(CH63,4)),VALUE(LEFT(CH63,FIND("-",CH63)-1)))+2000,IF(AND(LEN(CH63)=9,ISERROR(FIND("-",LEFT(CH63,8))),ISNUMBER(-LEFT(CH63,8))),VALUE(LEFT(CH63,4)),VALUE(LEFT(CH63,FIND("-",CH63)-1)))),""))</f>
        <v/>
      </c>
      <c r="CN63">
        <f>IF(CH63="","",IFERROR(IF(AND(LEN(CH63)=9,ISERROR(FIND("-",LEFT(CH63,8))),ISNUMBER(-LEFT(CH63,8))),VALUE(MID(CH63,5,2)),VALUE(MID(CH63,FIND("-",CH63)+1,FIND("-",CH63,FIND("-",CH63)+1)-FIND("-",CH63)-1))),""))</f>
        <v/>
      </c>
      <c r="CO63">
        <f>IF(CH63="","",IFERROR(IF(AND(LEN(CH63)=9,ISERROR(FIND("-",LEFT(CH63,8))),ISNUMBER(-LEFT(CH63,8))),VALUE(MID(CH63,7,2)),VALUE(MID(CH63,FIND("-",CH63,FIND("-",CH63)+1)+1,FIND("-",CH63,FIND("-",CH63,FIND("-",CH63)+1)+1)-FIND("-",CH63,FIND("-",CH63)+1)-1))),""))</f>
        <v/>
      </c>
    </row>
    <row r="64">
      <c r="A64" t="n">
        <v>24</v>
      </c>
      <c r="B64">
        <f>$B$1+24</f>
        <v/>
      </c>
      <c r="C64">
        <f>$B$2</f>
        <v/>
      </c>
      <c r="D64">
        <f>IF($B$1+1&gt;90,C64,(C64+IF($B$1+1&lt;=$B64,12*$B$7,-12*MAX(0,$B$6-IF($B$1+1&gt;=$B$23,$B$22,0))*(1+$B$4)^1))*IF(C64+IF($B$1+1&lt;=$B64,12*$B$7,-12*MAX(0,$B$6-IF($B$1+1&gt;=$B$23,$B$22,0))*(1+$B$4)^1)&gt;0,1+$B$3,1))</f>
        <v/>
      </c>
      <c r="E64">
        <f>IF($B$1+2&gt;90,D64,(D64+IF($B$1+2&lt;=$B64,12*$B$7,-12*MAX(0,$B$6-IF($B$1+2&gt;=$B$23,$B$22,0))*(1+$B$4)^2))*IF(D64+IF($B$1+2&lt;=$B64,12*$B$7,-12*MAX(0,$B$6-IF($B$1+2&gt;=$B$23,$B$22,0))*(1+$B$4)^2)&gt;0,1+$B$3,1))</f>
        <v/>
      </c>
      <c r="F64">
        <f>IF($B$1+3&gt;90,E64,(E64+IF($B$1+3&lt;=$B64,12*$B$7,-12*MAX(0,$B$6-IF($B$1+3&gt;=$B$23,$B$22,0))*(1+$B$4)^3))*IF(E64+IF($B$1+3&lt;=$B64,12*$B$7,-12*MAX(0,$B$6-IF($B$1+3&gt;=$B$23,$B$22,0))*(1+$B$4)^3)&gt;0,1+$B$3,1))</f>
        <v/>
      </c>
      <c r="G64">
        <f>IF($B$1+4&gt;90,F64,(F64+IF($B$1+4&lt;=$B64,12*$B$7,-12*MAX(0,$B$6-IF($B$1+4&gt;=$B$23,$B$22,0))*(1+$B$4)^4))*IF(F64+IF($B$1+4&lt;=$B64,12*$B$7,-12*MAX(0,$B$6-IF($B$1+4&gt;=$B$23,$B$22,0))*(1+$B$4)^4)&gt;0,1+$B$3,1))</f>
        <v/>
      </c>
      <c r="H64">
        <f>IF($B$1+5&gt;90,G64,(G64+IF($B$1+5&lt;=$B64,12*$B$7,-12*MAX(0,$B$6-IF($B$1+5&gt;=$B$23,$B$22,0))*(1+$B$4)^5))*IF(G64+IF($B$1+5&lt;=$B64,12*$B$7,-12*MAX(0,$B$6-IF($B$1+5&gt;=$B$23,$B$22,0))*(1+$B$4)^5)&gt;0,1+$B$3,1))</f>
        <v/>
      </c>
      <c r="I64">
        <f>IF($B$1+6&gt;90,H64,(H64+IF($B$1+6&lt;=$B64,12*$B$7,-12*MAX(0,$B$6-IF($B$1+6&gt;=$B$23,$B$22,0))*(1+$B$4)^6))*IF(H64+IF($B$1+6&lt;=$B64,12*$B$7,-12*MAX(0,$B$6-IF($B$1+6&gt;=$B$23,$B$22,0))*(1+$B$4)^6)&gt;0,1+$B$3,1))</f>
        <v/>
      </c>
      <c r="J64">
        <f>IF($B$1+7&gt;90,I64,(I64+IF($B$1+7&lt;=$B64,12*$B$7,-12*MAX(0,$B$6-IF($B$1+7&gt;=$B$23,$B$22,0))*(1+$B$4)^7))*IF(I64+IF($B$1+7&lt;=$B64,12*$B$7,-12*MAX(0,$B$6-IF($B$1+7&gt;=$B$23,$B$22,0))*(1+$B$4)^7)&gt;0,1+$B$3,1))</f>
        <v/>
      </c>
      <c r="K64">
        <f>IF($B$1+8&gt;90,J64,(J64+IF($B$1+8&lt;=$B64,12*$B$7,-12*MAX(0,$B$6-IF($B$1+8&gt;=$B$23,$B$22,0))*(1+$B$4)^8))*IF(J64+IF($B$1+8&lt;=$B64,12*$B$7,-12*MAX(0,$B$6-IF($B$1+8&gt;=$B$23,$B$22,0))*(1+$B$4)^8)&gt;0,1+$B$3,1))</f>
        <v/>
      </c>
      <c r="L64">
        <f>IF($B$1+9&gt;90,K64,(K64+IF($B$1+9&lt;=$B64,12*$B$7,-12*MAX(0,$B$6-IF($B$1+9&gt;=$B$23,$B$22,0))*(1+$B$4)^9))*IF(K64+IF($B$1+9&lt;=$B64,12*$B$7,-12*MAX(0,$B$6-IF($B$1+9&gt;=$B$23,$B$22,0))*(1+$B$4)^9)&gt;0,1+$B$3,1))</f>
        <v/>
      </c>
      <c r="M64">
        <f>IF($B$1+10&gt;90,L64,(L64+IF($B$1+10&lt;=$B64,12*$B$7,-12*MAX(0,$B$6-IF($B$1+10&gt;=$B$23,$B$22,0))*(1+$B$4)^10))*IF(L64+IF($B$1+10&lt;=$B64,12*$B$7,-12*MAX(0,$B$6-IF($B$1+10&gt;=$B$23,$B$22,0))*(1+$B$4)^10)&gt;0,1+$B$3,1))</f>
        <v/>
      </c>
      <c r="N64">
        <f>IF($B$1+11&gt;90,M64,(M64+IF($B$1+11&lt;=$B64,12*$B$7,-12*MAX(0,$B$6-IF($B$1+11&gt;=$B$23,$B$22,0))*(1+$B$4)^11))*IF(M64+IF($B$1+11&lt;=$B64,12*$B$7,-12*MAX(0,$B$6-IF($B$1+11&gt;=$B$23,$B$22,0))*(1+$B$4)^11)&gt;0,1+$B$3,1))</f>
        <v/>
      </c>
      <c r="O64">
        <f>IF($B$1+12&gt;90,N64,(N64+IF($B$1+12&lt;=$B64,12*$B$7,-12*MAX(0,$B$6-IF($B$1+12&gt;=$B$23,$B$22,0))*(1+$B$4)^12))*IF(N64+IF($B$1+12&lt;=$B64,12*$B$7,-12*MAX(0,$B$6-IF($B$1+12&gt;=$B$23,$B$22,0))*(1+$B$4)^12)&gt;0,1+$B$3,1))</f>
        <v/>
      </c>
      <c r="P64">
        <f>IF($B$1+13&gt;90,O64,(O64+IF($B$1+13&lt;=$B64,12*$B$7,-12*MAX(0,$B$6-IF($B$1+13&gt;=$B$23,$B$22,0))*(1+$B$4)^13))*IF(O64+IF($B$1+13&lt;=$B64,12*$B$7,-12*MAX(0,$B$6-IF($B$1+13&gt;=$B$23,$B$22,0))*(1+$B$4)^13)&gt;0,1+$B$3,1))</f>
        <v/>
      </c>
      <c r="Q64">
        <f>IF($B$1+14&gt;90,P64,(P64+IF($B$1+14&lt;=$B64,12*$B$7,-12*MAX(0,$B$6-IF($B$1+14&gt;=$B$23,$B$22,0))*(1+$B$4)^14))*IF(P64+IF($B$1+14&lt;=$B64,12*$B$7,-12*MAX(0,$B$6-IF($B$1+14&gt;=$B$23,$B$22,0))*(1+$B$4)^14)&gt;0,1+$B$3,1))</f>
        <v/>
      </c>
      <c r="R64">
        <f>IF($B$1+15&gt;90,Q64,(Q64+IF($B$1+15&lt;=$B64,12*$B$7,-12*MAX(0,$B$6-IF($B$1+15&gt;=$B$23,$B$22,0))*(1+$B$4)^15))*IF(Q64+IF($B$1+15&lt;=$B64,12*$B$7,-12*MAX(0,$B$6-IF($B$1+15&gt;=$B$23,$B$22,0))*(1+$B$4)^15)&gt;0,1+$B$3,1))</f>
        <v/>
      </c>
      <c r="S64">
        <f>IF($B$1+16&gt;90,R64,(R64+IF($B$1+16&lt;=$B64,12*$B$7,-12*MAX(0,$B$6-IF($B$1+16&gt;=$B$23,$B$22,0))*(1+$B$4)^16))*IF(R64+IF($B$1+16&lt;=$B64,12*$B$7,-12*MAX(0,$B$6-IF($B$1+16&gt;=$B$23,$B$22,0))*(1+$B$4)^16)&gt;0,1+$B$3,1))</f>
        <v/>
      </c>
      <c r="T64">
        <f>IF($B$1+17&gt;90,S64,(S64+IF($B$1+17&lt;=$B64,12*$B$7,-12*MAX(0,$B$6-IF($B$1+17&gt;=$B$23,$B$22,0))*(1+$B$4)^17))*IF(S64+IF($B$1+17&lt;=$B64,12*$B$7,-12*MAX(0,$B$6-IF($B$1+17&gt;=$B$23,$B$22,0))*(1+$B$4)^17)&gt;0,1+$B$3,1))</f>
        <v/>
      </c>
      <c r="U64">
        <f>IF($B$1+18&gt;90,T64,(T64+IF($B$1+18&lt;=$B64,12*$B$7,-12*MAX(0,$B$6-IF($B$1+18&gt;=$B$23,$B$22,0))*(1+$B$4)^18))*IF(T64+IF($B$1+18&lt;=$B64,12*$B$7,-12*MAX(0,$B$6-IF($B$1+18&gt;=$B$23,$B$22,0))*(1+$B$4)^18)&gt;0,1+$B$3,1))</f>
        <v/>
      </c>
      <c r="V64">
        <f>IF($B$1+19&gt;90,U64,(U64+IF($B$1+19&lt;=$B64,12*$B$7,-12*MAX(0,$B$6-IF($B$1+19&gt;=$B$23,$B$22,0))*(1+$B$4)^19))*IF(U64+IF($B$1+19&lt;=$B64,12*$B$7,-12*MAX(0,$B$6-IF($B$1+19&gt;=$B$23,$B$22,0))*(1+$B$4)^19)&gt;0,1+$B$3,1))</f>
        <v/>
      </c>
      <c r="W64">
        <f>IF($B$1+20&gt;90,V64,(V64+IF($B$1+20&lt;=$B64,12*$B$7,-12*MAX(0,$B$6-IF($B$1+20&gt;=$B$23,$B$22,0))*(1+$B$4)^20))*IF(V64+IF($B$1+20&lt;=$B64,12*$B$7,-12*MAX(0,$B$6-IF($B$1+20&gt;=$B$23,$B$22,0))*(1+$B$4)^20)&gt;0,1+$B$3,1))</f>
        <v/>
      </c>
      <c r="X64">
        <f>IF($B$1+21&gt;90,W64,(W64+IF($B$1+21&lt;=$B64,12*$B$7,-12*MAX(0,$B$6-IF($B$1+21&gt;=$B$23,$B$22,0))*(1+$B$4)^21))*IF(W64+IF($B$1+21&lt;=$B64,12*$B$7,-12*MAX(0,$B$6-IF($B$1+21&gt;=$B$23,$B$22,0))*(1+$B$4)^21)&gt;0,1+$B$3,1))</f>
        <v/>
      </c>
      <c r="Y64">
        <f>IF($B$1+22&gt;90,X64,(X64+IF($B$1+22&lt;=$B64,12*$B$7,-12*MAX(0,$B$6-IF($B$1+22&gt;=$B$23,$B$22,0))*(1+$B$4)^22))*IF(X64+IF($B$1+22&lt;=$B64,12*$B$7,-12*MAX(0,$B$6-IF($B$1+22&gt;=$B$23,$B$22,0))*(1+$B$4)^22)&gt;0,1+$B$3,1))</f>
        <v/>
      </c>
      <c r="Z64">
        <f>IF($B$1+23&gt;90,Y64,(Y64+IF($B$1+23&lt;=$B64,12*$B$7,-12*MAX(0,$B$6-IF($B$1+23&gt;=$B$23,$B$22,0))*(1+$B$4)^23))*IF(Y64+IF($B$1+23&lt;=$B64,12*$B$7,-12*MAX(0,$B$6-IF($B$1+23&gt;=$B$23,$B$22,0))*(1+$B$4)^23)&gt;0,1+$B$3,1))</f>
        <v/>
      </c>
      <c r="AA64">
        <f>IF($B$1+24&gt;90,Z64,(Z64+IF($B$1+24&lt;=$B64,12*$B$7,-12*MAX(0,$B$6-IF($B$1+24&gt;=$B$23,$B$22,0))*(1+$B$4)^24))*IF(Z64+IF($B$1+24&lt;=$B64,12*$B$7,-12*MAX(0,$B$6-IF($B$1+24&gt;=$B$23,$B$22,0))*(1+$B$4)^24)&gt;0,1+$B$3,1))</f>
        <v/>
      </c>
      <c r="AB64">
        <f>IF($B$1+25&gt;90,AA64,(AA64+IF($B$1+25&lt;=$B64,12*$B$7,-12*MAX(0,$B$6-IF($B$1+25&gt;=$B$23,$B$22,0))*(1+$B$4)^25))*IF(AA64+IF($B$1+25&lt;=$B64,12*$B$7,-12*MAX(0,$B$6-IF($B$1+25&gt;=$B$23,$B$22,0))*(1+$B$4)^25)&gt;0,1+$B$3,1))</f>
        <v/>
      </c>
      <c r="AC64">
        <f>IF($B$1+26&gt;90,AB64,(AB64+IF($B$1+26&lt;=$B64,12*$B$7,-12*MAX(0,$B$6-IF($B$1+26&gt;=$B$23,$B$22,0))*(1+$B$4)^26))*IF(AB64+IF($B$1+26&lt;=$B64,12*$B$7,-12*MAX(0,$B$6-IF($B$1+26&gt;=$B$23,$B$22,0))*(1+$B$4)^26)&gt;0,1+$B$3,1))</f>
        <v/>
      </c>
      <c r="AD64">
        <f>IF($B$1+27&gt;90,AC64,(AC64+IF($B$1+27&lt;=$B64,12*$B$7,-12*MAX(0,$B$6-IF($B$1+27&gt;=$B$23,$B$22,0))*(1+$B$4)^27))*IF(AC64+IF($B$1+27&lt;=$B64,12*$B$7,-12*MAX(0,$B$6-IF($B$1+27&gt;=$B$23,$B$22,0))*(1+$B$4)^27)&gt;0,1+$B$3,1))</f>
        <v/>
      </c>
      <c r="AE64">
        <f>IF($B$1+28&gt;90,AD64,(AD64+IF($B$1+28&lt;=$B64,12*$B$7,-12*MAX(0,$B$6-IF($B$1+28&gt;=$B$23,$B$22,0))*(1+$B$4)^28))*IF(AD64+IF($B$1+28&lt;=$B64,12*$B$7,-12*MAX(0,$B$6-IF($B$1+28&gt;=$B$23,$B$22,0))*(1+$B$4)^28)&gt;0,1+$B$3,1))</f>
        <v/>
      </c>
      <c r="AF64">
        <f>IF($B$1+29&gt;90,AE64,(AE64+IF($B$1+29&lt;=$B64,12*$B$7,-12*MAX(0,$B$6-IF($B$1+29&gt;=$B$23,$B$22,0))*(1+$B$4)^29))*IF(AE64+IF($B$1+29&lt;=$B64,12*$B$7,-12*MAX(0,$B$6-IF($B$1+29&gt;=$B$23,$B$22,0))*(1+$B$4)^29)&gt;0,1+$B$3,1))</f>
        <v/>
      </c>
      <c r="AG64">
        <f>IF($B$1+30&gt;90,AF64,(AF64+IF($B$1+30&lt;=$B64,12*$B$7,-12*MAX(0,$B$6-IF($B$1+30&gt;=$B$23,$B$22,0))*(1+$B$4)^30))*IF(AF64+IF($B$1+30&lt;=$B64,12*$B$7,-12*MAX(0,$B$6-IF($B$1+30&gt;=$B$23,$B$22,0))*(1+$B$4)^30)&gt;0,1+$B$3,1))</f>
        <v/>
      </c>
      <c r="AH64">
        <f>IF($B$1+31&gt;90,AG64,(AG64+IF($B$1+31&lt;=$B64,12*$B$7,-12*MAX(0,$B$6-IF($B$1+31&gt;=$B$23,$B$22,0))*(1+$B$4)^31))*IF(AG64+IF($B$1+31&lt;=$B64,12*$B$7,-12*MAX(0,$B$6-IF($B$1+31&gt;=$B$23,$B$22,0))*(1+$B$4)^31)&gt;0,1+$B$3,1))</f>
        <v/>
      </c>
      <c r="AI64">
        <f>IF($B$1+32&gt;90,AH64,(AH64+IF($B$1+32&lt;=$B64,12*$B$7,-12*MAX(0,$B$6-IF($B$1+32&gt;=$B$23,$B$22,0))*(1+$B$4)^32))*IF(AH64+IF($B$1+32&lt;=$B64,12*$B$7,-12*MAX(0,$B$6-IF($B$1+32&gt;=$B$23,$B$22,0))*(1+$B$4)^32)&gt;0,1+$B$3,1))</f>
        <v/>
      </c>
      <c r="AJ64">
        <f>IF($B$1+33&gt;90,AI64,(AI64+IF($B$1+33&lt;=$B64,12*$B$7,-12*MAX(0,$B$6-IF($B$1+33&gt;=$B$23,$B$22,0))*(1+$B$4)^33))*IF(AI64+IF($B$1+33&lt;=$B64,12*$B$7,-12*MAX(0,$B$6-IF($B$1+33&gt;=$B$23,$B$22,0))*(1+$B$4)^33)&gt;0,1+$B$3,1))</f>
        <v/>
      </c>
      <c r="AK64">
        <f>IF($B$1+34&gt;90,AJ64,(AJ64+IF($B$1+34&lt;=$B64,12*$B$7,-12*MAX(0,$B$6-IF($B$1+34&gt;=$B$23,$B$22,0))*(1+$B$4)^34))*IF(AJ64+IF($B$1+34&lt;=$B64,12*$B$7,-12*MAX(0,$B$6-IF($B$1+34&gt;=$B$23,$B$22,0))*(1+$B$4)^34)&gt;0,1+$B$3,1))</f>
        <v/>
      </c>
      <c r="AL64">
        <f>IF($B$1+35&gt;90,AK64,(AK64+IF($B$1+35&lt;=$B64,12*$B$7,-12*MAX(0,$B$6-IF($B$1+35&gt;=$B$23,$B$22,0))*(1+$B$4)^35))*IF(AK64+IF($B$1+35&lt;=$B64,12*$B$7,-12*MAX(0,$B$6-IF($B$1+35&gt;=$B$23,$B$22,0))*(1+$B$4)^35)&gt;0,1+$B$3,1))</f>
        <v/>
      </c>
      <c r="AM64">
        <f>IF($B$1+36&gt;90,AL64,(AL64+IF($B$1+36&lt;=$B64,12*$B$7,-12*MAX(0,$B$6-IF($B$1+36&gt;=$B$23,$B$22,0))*(1+$B$4)^36))*IF(AL64+IF($B$1+36&lt;=$B64,12*$B$7,-12*MAX(0,$B$6-IF($B$1+36&gt;=$B$23,$B$22,0))*(1+$B$4)^36)&gt;0,1+$B$3,1))</f>
        <v/>
      </c>
      <c r="AN64">
        <f>IF($B$1+37&gt;90,AM64,(AM64+IF($B$1+37&lt;=$B64,12*$B$7,-12*MAX(0,$B$6-IF($B$1+37&gt;=$B$23,$B$22,0))*(1+$B$4)^37))*IF(AM64+IF($B$1+37&lt;=$B64,12*$B$7,-12*MAX(0,$B$6-IF($B$1+37&gt;=$B$23,$B$22,0))*(1+$B$4)^37)&gt;0,1+$B$3,1))</f>
        <v/>
      </c>
      <c r="AO64">
        <f>IF($B$1+38&gt;90,AN64,(AN64+IF($B$1+38&lt;=$B64,12*$B$7,-12*MAX(0,$B$6-IF($B$1+38&gt;=$B$23,$B$22,0))*(1+$B$4)^38))*IF(AN64+IF($B$1+38&lt;=$B64,12*$B$7,-12*MAX(0,$B$6-IF($B$1+38&gt;=$B$23,$B$22,0))*(1+$B$4)^38)&gt;0,1+$B$3,1))</f>
        <v/>
      </c>
      <c r="AP64">
        <f>IF($B$1+39&gt;90,AO64,(AO64+IF($B$1+39&lt;=$B64,12*$B$7,-12*MAX(0,$B$6-IF($B$1+39&gt;=$B$23,$B$22,0))*(1+$B$4)^39))*IF(AO64+IF($B$1+39&lt;=$B64,12*$B$7,-12*MAX(0,$B$6-IF($B$1+39&gt;=$B$23,$B$22,0))*(1+$B$4)^39)&gt;0,1+$B$3,1))</f>
        <v/>
      </c>
      <c r="AQ64">
        <f>IF($B$1+40&gt;90,AP64,(AP64+IF($B$1+40&lt;=$B64,12*$B$7,-12*MAX(0,$B$6-IF($B$1+40&gt;=$B$23,$B$22,0))*(1+$B$4)^40))*IF(AP64+IF($B$1+40&lt;=$B64,12*$B$7,-12*MAX(0,$B$6-IF($B$1+40&gt;=$B$23,$B$22,0))*(1+$B$4)^40)&gt;0,1+$B$3,1))</f>
        <v/>
      </c>
      <c r="AR64">
        <f>IF($B$1+41&gt;90,AQ64,(AQ64+IF($B$1+41&lt;=$B64,12*$B$7,-12*MAX(0,$B$6-IF($B$1+41&gt;=$B$23,$B$22,0))*(1+$B$4)^41))*IF(AQ64+IF($B$1+41&lt;=$B64,12*$B$7,-12*MAX(0,$B$6-IF($B$1+41&gt;=$B$23,$B$22,0))*(1+$B$4)^41)&gt;0,1+$B$3,1))</f>
        <v/>
      </c>
      <c r="AS64">
        <f>IF($B$1+42&gt;90,AR64,(AR64+IF($B$1+42&lt;=$B64,12*$B$7,-12*MAX(0,$B$6-IF($B$1+42&gt;=$B$23,$B$22,0))*(1+$B$4)^42))*IF(AR64+IF($B$1+42&lt;=$B64,12*$B$7,-12*MAX(0,$B$6-IF($B$1+42&gt;=$B$23,$B$22,0))*(1+$B$4)^42)&gt;0,1+$B$3,1))</f>
        <v/>
      </c>
      <c r="AT64">
        <f>IF($B$1+43&gt;90,AS64,(AS64+IF($B$1+43&lt;=$B64,12*$B$7,-12*MAX(0,$B$6-IF($B$1+43&gt;=$B$23,$B$22,0))*(1+$B$4)^43))*IF(AS64+IF($B$1+43&lt;=$B64,12*$B$7,-12*MAX(0,$B$6-IF($B$1+43&gt;=$B$23,$B$22,0))*(1+$B$4)^43)&gt;0,1+$B$3,1))</f>
        <v/>
      </c>
      <c r="AU64">
        <f>IF($B$1+44&gt;90,AT64,(AT64+IF($B$1+44&lt;=$B64,12*$B$7,-12*MAX(0,$B$6-IF($B$1+44&gt;=$B$23,$B$22,0))*(1+$B$4)^44))*IF(AT64+IF($B$1+44&lt;=$B64,12*$B$7,-12*MAX(0,$B$6-IF($B$1+44&gt;=$B$23,$B$22,0))*(1+$B$4)^44)&gt;0,1+$B$3,1))</f>
        <v/>
      </c>
      <c r="AV64">
        <f>IF($B$1+45&gt;90,AU64,(AU64+IF($B$1+45&lt;=$B64,12*$B$7,-12*MAX(0,$B$6-IF($B$1+45&gt;=$B$23,$B$22,0))*(1+$B$4)^45))*IF(AU64+IF($B$1+45&lt;=$B64,12*$B$7,-12*MAX(0,$B$6-IF($B$1+45&gt;=$B$23,$B$22,0))*(1+$B$4)^45)&gt;0,1+$B$3,1))</f>
        <v/>
      </c>
      <c r="AW64">
        <f>IF($B$1+46&gt;90,AV64,(AV64+IF($B$1+46&lt;=$B64,12*$B$7,-12*MAX(0,$B$6-IF($B$1+46&gt;=$B$23,$B$22,0))*(1+$B$4)^46))*IF(AV64+IF($B$1+46&lt;=$B64,12*$B$7,-12*MAX(0,$B$6-IF($B$1+46&gt;=$B$23,$B$22,0))*(1+$B$4)^46)&gt;0,1+$B$3,1))</f>
        <v/>
      </c>
      <c r="AX64">
        <f>IF($B$1+47&gt;90,AW64,(AW64+IF($B$1+47&lt;=$B64,12*$B$7,-12*MAX(0,$B$6-IF($B$1+47&gt;=$B$23,$B$22,0))*(1+$B$4)^47))*IF(AW64+IF($B$1+47&lt;=$B64,12*$B$7,-12*MAX(0,$B$6-IF($B$1+47&gt;=$B$23,$B$22,0))*(1+$B$4)^47)&gt;0,1+$B$3,1))</f>
        <v/>
      </c>
      <c r="AY64">
        <f>IF($B$1+48&gt;90,AX64,(AX64+IF($B$1+48&lt;=$B64,12*$B$7,-12*MAX(0,$B$6-IF($B$1+48&gt;=$B$23,$B$22,0))*(1+$B$4)^48))*IF(AX64+IF($B$1+48&lt;=$B64,12*$B$7,-12*MAX(0,$B$6-IF($B$1+48&gt;=$B$23,$B$22,0))*(1+$B$4)^48)&gt;0,1+$B$3,1))</f>
        <v/>
      </c>
      <c r="AZ64">
        <f>IF($B$1+49&gt;90,AY64,(AY64+IF($B$1+49&lt;=$B64,12*$B$7,-12*MAX(0,$B$6-IF($B$1+49&gt;=$B$23,$B$22,0))*(1+$B$4)^49))*IF(AY64+IF($B$1+49&lt;=$B64,12*$B$7,-12*MAX(0,$B$6-IF($B$1+49&gt;=$B$23,$B$22,0))*(1+$B$4)^49)&gt;0,1+$B$3,1))</f>
        <v/>
      </c>
      <c r="BA64">
        <f>IF($B$1+50&gt;90,AZ64,(AZ64+IF($B$1+50&lt;=$B64,12*$B$7,-12*MAX(0,$B$6-IF($B$1+50&gt;=$B$23,$B$22,0))*(1+$B$4)^50))*IF(AZ64+IF($B$1+50&lt;=$B64,12*$B$7,-12*MAX(0,$B$6-IF($B$1+50&gt;=$B$23,$B$22,0))*(1+$B$4)^50)&gt;0,1+$B$3,1))</f>
        <v/>
      </c>
      <c r="BB64">
        <f>IF($B$1+51&gt;90,BA64,(BA64+IF($B$1+51&lt;=$B64,12*$B$7,-12*MAX(0,$B$6-IF($B$1+51&gt;=$B$23,$B$22,0))*(1+$B$4)^51))*IF(BA64+IF($B$1+51&lt;=$B64,12*$B$7,-12*MAX(0,$B$6-IF($B$1+51&gt;=$B$23,$B$22,0))*(1+$B$4)^51)&gt;0,1+$B$3,1))</f>
        <v/>
      </c>
      <c r="BC64">
        <f>IF($B$1+52&gt;90,BB64,(BB64+IF($B$1+52&lt;=$B64,12*$B$7,-12*MAX(0,$B$6-IF($B$1+52&gt;=$B$23,$B$22,0))*(1+$B$4)^52))*IF(BB64+IF($B$1+52&lt;=$B64,12*$B$7,-12*MAX(0,$B$6-IF($B$1+52&gt;=$B$23,$B$22,0))*(1+$B$4)^52)&gt;0,1+$B$3,1))</f>
        <v/>
      </c>
      <c r="BD64">
        <f>IF($B$1+53&gt;90,BC64,(BC64+IF($B$1+53&lt;=$B64,12*$B$7,-12*MAX(0,$B$6-IF($B$1+53&gt;=$B$23,$B$22,0))*(1+$B$4)^53))*IF(BC64+IF($B$1+53&lt;=$B64,12*$B$7,-12*MAX(0,$B$6-IF($B$1+53&gt;=$B$23,$B$22,0))*(1+$B$4)^53)&gt;0,1+$B$3,1))</f>
        <v/>
      </c>
      <c r="BE64">
        <f>IF($B$1+54&gt;90,BD64,(BD64+IF($B$1+54&lt;=$B64,12*$B$7,-12*MAX(0,$B$6-IF($B$1+54&gt;=$B$23,$B$22,0))*(1+$B$4)^54))*IF(BD64+IF($B$1+54&lt;=$B64,12*$B$7,-12*MAX(0,$B$6-IF($B$1+54&gt;=$B$23,$B$22,0))*(1+$B$4)^54)&gt;0,1+$B$3,1))</f>
        <v/>
      </c>
      <c r="BF64">
        <f>IF($B$1+55&gt;90,BE64,(BE64+IF($B$1+55&lt;=$B64,12*$B$7,-12*MAX(0,$B$6-IF($B$1+55&gt;=$B$23,$B$22,0))*(1+$B$4)^55))*IF(BE64+IF($B$1+55&lt;=$B64,12*$B$7,-12*MAX(0,$B$6-IF($B$1+55&gt;=$B$23,$B$22,0))*(1+$B$4)^55)&gt;0,1+$B$3,1))</f>
        <v/>
      </c>
      <c r="BG64">
        <f>IF($B$1+56&gt;90,BF64,(BF64+IF($B$1+56&lt;=$B64,12*$B$7,-12*MAX(0,$B$6-IF($B$1+56&gt;=$B$23,$B$22,0))*(1+$B$4)^56))*IF(BF64+IF($B$1+56&lt;=$B64,12*$B$7,-12*MAX(0,$B$6-IF($B$1+56&gt;=$B$23,$B$22,0))*(1+$B$4)^56)&gt;0,1+$B$3,1))</f>
        <v/>
      </c>
      <c r="BH64">
        <f>IF($B$1+57&gt;90,BG64,(BG64+IF($B$1+57&lt;=$B64,12*$B$7,-12*MAX(0,$B$6-IF($B$1+57&gt;=$B$23,$B$22,0))*(1+$B$4)^57))*IF(BG64+IF($B$1+57&lt;=$B64,12*$B$7,-12*MAX(0,$B$6-IF($B$1+57&gt;=$B$23,$B$22,0))*(1+$B$4)^57)&gt;0,1+$B$3,1))</f>
        <v/>
      </c>
      <c r="BI64">
        <f>IF($B$1+58&gt;90,BH64,(BH64+IF($B$1+58&lt;=$B64,12*$B$7,-12*MAX(0,$B$6-IF($B$1+58&gt;=$B$23,$B$22,0))*(1+$B$4)^58))*IF(BH64+IF($B$1+58&lt;=$B64,12*$B$7,-12*MAX(0,$B$6-IF($B$1+58&gt;=$B$23,$B$22,0))*(1+$B$4)^58)&gt;0,1+$B$3,1))</f>
        <v/>
      </c>
      <c r="BJ64">
        <f>IF($B$1+59&gt;90,BI64,(BI64+IF($B$1+59&lt;=$B64,12*$B$7,-12*MAX(0,$B$6-IF($B$1+59&gt;=$B$23,$B$22,0))*(1+$B$4)^59))*IF(BI64+IF($B$1+59&lt;=$B64,12*$B$7,-12*MAX(0,$B$6-IF($B$1+59&gt;=$B$23,$B$22,0))*(1+$B$4)^59)&gt;0,1+$B$3,1))</f>
        <v/>
      </c>
      <c r="BK64">
        <f>IF($B$1+60&gt;90,BJ64,(BJ64+IF($B$1+60&lt;=$B64,12*$B$7,-12*MAX(0,$B$6-IF($B$1+60&gt;=$B$23,$B$22,0))*(1+$B$4)^60))*IF(BJ64+IF($B$1+60&lt;=$B64,12*$B$7,-12*MAX(0,$B$6-IF($B$1+60&gt;=$B$23,$B$22,0))*(1+$B$4)^60)&gt;0,1+$B$3,1))</f>
        <v/>
      </c>
      <c r="BL64">
        <f>IF($B$1+61&gt;90,BK64,(BK64+IF($B$1+61&lt;=$B64,12*$B$7,-12*MAX(0,$B$6-IF($B$1+61&gt;=$B$23,$B$22,0))*(1+$B$4)^61))*IF(BK64+IF($B$1+61&lt;=$B64,12*$B$7,-12*MAX(0,$B$6-IF($B$1+61&gt;=$B$23,$B$22,0))*(1+$B$4)^61)&gt;0,1+$B$3,1))</f>
        <v/>
      </c>
      <c r="BM64">
        <f>IF($B$1+62&gt;90,BL64,(BL64+IF($B$1+62&lt;=$B64,12*$B$7,-12*MAX(0,$B$6-IF($B$1+62&gt;=$B$23,$B$22,0))*(1+$B$4)^62))*IF(BL64+IF($B$1+62&lt;=$B64,12*$B$7,-12*MAX(0,$B$6-IF($B$1+62&gt;=$B$23,$B$22,0))*(1+$B$4)^62)&gt;0,1+$B$3,1))</f>
        <v/>
      </c>
      <c r="BN64">
        <f>IF($B$1+63&gt;90,BM64,(BM64+IF($B$1+63&lt;=$B64,12*$B$7,-12*MAX(0,$B$6-IF($B$1+63&gt;=$B$23,$B$22,0))*(1+$B$4)^63))*IF(BM64+IF($B$1+63&lt;=$B64,12*$B$7,-12*MAX(0,$B$6-IF($B$1+63&gt;=$B$23,$B$22,0))*(1+$B$4)^63)&gt;0,1+$B$3,1))</f>
        <v/>
      </c>
      <c r="BO64">
        <f>IF($B$1+64&gt;90,BN64,(BN64+IF($B$1+64&lt;=$B64,12*$B$7,-12*MAX(0,$B$6-IF($B$1+64&gt;=$B$23,$B$22,0))*(1+$B$4)^64))*IF(BN64+IF($B$1+64&lt;=$B64,12*$B$7,-12*MAX(0,$B$6-IF($B$1+64&gt;=$B$23,$B$22,0))*(1+$B$4)^64)&gt;0,1+$B$3,1))</f>
        <v/>
      </c>
      <c r="BP64">
        <f>IF($B$1+65&gt;90,BO64,(BO64+IF($B$1+65&lt;=$B64,12*$B$7,-12*MAX(0,$B$6-IF($B$1+65&gt;=$B$23,$B$22,0))*(1+$B$4)^65))*IF(BO64+IF($B$1+65&lt;=$B64,12*$B$7,-12*MAX(0,$B$6-IF($B$1+65&gt;=$B$23,$B$22,0))*(1+$B$4)^65)&gt;0,1+$B$3,1))</f>
        <v/>
      </c>
      <c r="BQ64">
        <f>IF($B$1+66&gt;90,BP64,(BP64+IF($B$1+66&lt;=$B64,12*$B$7,-12*MAX(0,$B$6-IF($B$1+66&gt;=$B$23,$B$22,0))*(1+$B$4)^66))*IF(BP64+IF($B$1+66&lt;=$B64,12*$B$7,-12*MAX(0,$B$6-IF($B$1+66&gt;=$B$23,$B$22,0))*(1+$B$4)^66)&gt;0,1+$B$3,1))</f>
        <v/>
      </c>
      <c r="BR64">
        <f>IF($B$1+67&gt;90,BQ64,(BQ64+IF($B$1+67&lt;=$B64,12*$B$7,-12*MAX(0,$B$6-IF($B$1+67&gt;=$B$23,$B$22,0))*(1+$B$4)^67))*IF(BQ64+IF($B$1+67&lt;=$B64,12*$B$7,-12*MAX(0,$B$6-IF($B$1+67&gt;=$B$23,$B$22,0))*(1+$B$4)^67)&gt;0,1+$B$3,1))</f>
        <v/>
      </c>
      <c r="BS64">
        <f>IF($B$1+68&gt;90,BR64,(BR64+IF($B$1+68&lt;=$B64,12*$B$7,-12*MAX(0,$B$6-IF($B$1+68&gt;=$B$23,$B$22,0))*(1+$B$4)^68))*IF(BR64+IF($B$1+68&lt;=$B64,12*$B$7,-12*MAX(0,$B$6-IF($B$1+68&gt;=$B$23,$B$22,0))*(1+$B$4)^68)&gt;0,1+$B$3,1))</f>
        <v/>
      </c>
      <c r="BT64">
        <f>IF($B$1+69&gt;90,BS64,(BS64+IF($B$1+69&lt;=$B64,12*$B$7,-12*MAX(0,$B$6-IF($B$1+69&gt;=$B$23,$B$22,0))*(1+$B$4)^69))*IF(BS64+IF($B$1+69&lt;=$B64,12*$B$7,-12*MAX(0,$B$6-IF($B$1+69&gt;=$B$23,$B$22,0))*(1+$B$4)^69)&gt;0,1+$B$3,1))</f>
        <v/>
      </c>
      <c r="BU64">
        <f>IF($B$1+70&gt;90,BT64,(BT64+IF($B$1+70&lt;=$B64,12*$B$7,-12*MAX(0,$B$6-IF($B$1+70&gt;=$B$23,$B$22,0))*(1+$B$4)^70))*IF(BT64+IF($B$1+70&lt;=$B64,12*$B$7,-12*MAX(0,$B$6-IF($B$1+70&gt;=$B$23,$B$22,0))*(1+$B$4)^70)&gt;0,1+$B$3,1))</f>
        <v/>
      </c>
      <c r="BV64">
        <f>BU64</f>
        <v/>
      </c>
      <c r="BW64">
        <f>IF(AND($B64&lt;=70,BV64&gt;0),$B64,999)</f>
        <v/>
      </c>
      <c r="CB64" t="n">
        <v>63</v>
      </c>
      <c r="CC64">
        <f>IF($B$1+CB64&gt;90,0,12*MAX(0,$B$6-IF($B$1+CB64&gt;=$B$23,$B$22,0))*(1+$B$4)^CB64/(1+$B$3)^(CB64-1))</f>
        <v/>
      </c>
      <c r="CE64">
        <f>IF($B$1+62&gt;90,NA(),$B$1+62)</f>
        <v/>
      </c>
      <c r="CF64">
        <f>IF(OR($B$21="",$B$1+62&gt;90),NA(),INDEX($C$40:$BU$90,$B$21-$B$1+1,63))</f>
        <v/>
      </c>
      <c r="CH64">
        <f>IF(ISTEXT('월 가계부'!A64),SUBSTITUTE(SUBSTITUTE(SUBSTITUTE(SUBSTITUTE(SUBSTITUTE(SUBSTITUTE(SUBSTITUTE(SUBSTITUTE(SUBSTITUTE(TRIM('월 가계부'!A64),"년","-"),"월","-"),"일",""),".","-"),"/","-")," ","-"),"--","-"),"--","-"),"--","-")&amp;"-","")</f>
        <v/>
      </c>
      <c r="CI64">
        <f>IFERROR(IF('월 가계부'!A64="","",IF(ISNUMBER('월 가계부'!A64),IF(AND('월 가계부'!A64&gt;=19000101,'월 가계부'!A64&lt;=21001231),IF(AND(MOD(INT('월 가계부'!A64/100),100)&gt;=1,MOD(INT('월 가계부'!A64/100),100)&lt;=12,MOD(INT('월 가계부'!A64),100)&gt;=1,MOD(INT('월 가계부'!A64),100)&lt;=31),IF(MONTH(DATE(INT('월 가계부'!A64/10000),MOD(INT('월 가계부'!A64/100),100),MOD(INT('월 가계부'!A64),100)))=MOD(INT('월 가계부'!A64/100),100),DATE(INT('월 가계부'!A64/10000),MOD(INT('월 가계부'!A64/100),100),MOD(INT('월 가계부'!A64),100)),""),""),IF(AND('월 가계부'!A64&gt;=36526,'월 가계부'!A64&lt;73051),INT('월 가계부'!A64),"")),IF(OR(CM64="",CN64="",CO64=""),"",IF(AND(CM64&gt;=2000,CM64&lt;=2099,CN64&gt;=1,CN64&lt;=12,CO64&gt;=1,CO64&lt;=31),IF(MONTH(DATE(CM64,CN64,CO64))=CN64,DATE(CM64,CN64,CO64),""),"")))),"")</f>
        <v/>
      </c>
      <c r="CJ64">
        <f>IFERROR(IF('월 가계부'!C64="","",IF(ISNUMBER('월 가계부'!C64),'월 가계부'!C64,VALUE(SUBSTITUTE(SUBSTITUTE(SUBSTITUTE(SUBSTITUTE(TRIM('월 가계부'!C64),",",""),"원","")," ",""),"−","-")))),"")</f>
        <v/>
      </c>
      <c r="CK64">
        <f>IF(ISNUMBER(CI64),IF(CI64&lt;$B$13,CI64,""),"")</f>
        <v/>
      </c>
      <c r="CM64">
        <f>IF(CH64="","",IFERROR(IF(IF(AND(LEN(CH64)=9,ISERROR(FIND("-",LEFT(CH64,8))),ISNUMBER(-LEFT(CH64,8))),VALUE(LEFT(CH64,4)),VALUE(LEFT(CH64,FIND("-",CH64)-1)))&lt;100,IF(AND(LEN(CH64)=9,ISERROR(FIND("-",LEFT(CH64,8))),ISNUMBER(-LEFT(CH64,8))),VALUE(LEFT(CH64,4)),VALUE(LEFT(CH64,FIND("-",CH64)-1)))+2000,IF(AND(LEN(CH64)=9,ISERROR(FIND("-",LEFT(CH64,8))),ISNUMBER(-LEFT(CH64,8))),VALUE(LEFT(CH64,4)),VALUE(LEFT(CH64,FIND("-",CH64)-1)))),""))</f>
        <v/>
      </c>
      <c r="CN64">
        <f>IF(CH64="","",IFERROR(IF(AND(LEN(CH64)=9,ISERROR(FIND("-",LEFT(CH64,8))),ISNUMBER(-LEFT(CH64,8))),VALUE(MID(CH64,5,2)),VALUE(MID(CH64,FIND("-",CH64)+1,FIND("-",CH64,FIND("-",CH64)+1)-FIND("-",CH64)-1))),""))</f>
        <v/>
      </c>
      <c r="CO64">
        <f>IF(CH64="","",IFERROR(IF(AND(LEN(CH64)=9,ISERROR(FIND("-",LEFT(CH64,8))),ISNUMBER(-LEFT(CH64,8))),VALUE(MID(CH64,7,2)),VALUE(MID(CH64,FIND("-",CH64,FIND("-",CH64)+1)+1,FIND("-",CH64,FIND("-",CH64,FIND("-",CH64)+1)+1)-FIND("-",CH64,FIND("-",CH64)+1)-1))),""))</f>
        <v/>
      </c>
    </row>
    <row r="65">
      <c r="A65" t="n">
        <v>25</v>
      </c>
      <c r="B65">
        <f>$B$1+25</f>
        <v/>
      </c>
      <c r="C65">
        <f>$B$2</f>
        <v/>
      </c>
      <c r="D65">
        <f>IF($B$1+1&gt;90,C65,(C65+IF($B$1+1&lt;=$B65,12*$B$7,-12*MAX(0,$B$6-IF($B$1+1&gt;=$B$23,$B$22,0))*(1+$B$4)^1))*IF(C65+IF($B$1+1&lt;=$B65,12*$B$7,-12*MAX(0,$B$6-IF($B$1+1&gt;=$B$23,$B$22,0))*(1+$B$4)^1)&gt;0,1+$B$3,1))</f>
        <v/>
      </c>
      <c r="E65">
        <f>IF($B$1+2&gt;90,D65,(D65+IF($B$1+2&lt;=$B65,12*$B$7,-12*MAX(0,$B$6-IF($B$1+2&gt;=$B$23,$B$22,0))*(1+$B$4)^2))*IF(D65+IF($B$1+2&lt;=$B65,12*$B$7,-12*MAX(0,$B$6-IF($B$1+2&gt;=$B$23,$B$22,0))*(1+$B$4)^2)&gt;0,1+$B$3,1))</f>
        <v/>
      </c>
      <c r="F65">
        <f>IF($B$1+3&gt;90,E65,(E65+IF($B$1+3&lt;=$B65,12*$B$7,-12*MAX(0,$B$6-IF($B$1+3&gt;=$B$23,$B$22,0))*(1+$B$4)^3))*IF(E65+IF($B$1+3&lt;=$B65,12*$B$7,-12*MAX(0,$B$6-IF($B$1+3&gt;=$B$23,$B$22,0))*(1+$B$4)^3)&gt;0,1+$B$3,1))</f>
        <v/>
      </c>
      <c r="G65">
        <f>IF($B$1+4&gt;90,F65,(F65+IF($B$1+4&lt;=$B65,12*$B$7,-12*MAX(0,$B$6-IF($B$1+4&gt;=$B$23,$B$22,0))*(1+$B$4)^4))*IF(F65+IF($B$1+4&lt;=$B65,12*$B$7,-12*MAX(0,$B$6-IF($B$1+4&gt;=$B$23,$B$22,0))*(1+$B$4)^4)&gt;0,1+$B$3,1))</f>
        <v/>
      </c>
      <c r="H65">
        <f>IF($B$1+5&gt;90,G65,(G65+IF($B$1+5&lt;=$B65,12*$B$7,-12*MAX(0,$B$6-IF($B$1+5&gt;=$B$23,$B$22,0))*(1+$B$4)^5))*IF(G65+IF($B$1+5&lt;=$B65,12*$B$7,-12*MAX(0,$B$6-IF($B$1+5&gt;=$B$23,$B$22,0))*(1+$B$4)^5)&gt;0,1+$B$3,1))</f>
        <v/>
      </c>
      <c r="I65">
        <f>IF($B$1+6&gt;90,H65,(H65+IF($B$1+6&lt;=$B65,12*$B$7,-12*MAX(0,$B$6-IF($B$1+6&gt;=$B$23,$B$22,0))*(1+$B$4)^6))*IF(H65+IF($B$1+6&lt;=$B65,12*$B$7,-12*MAX(0,$B$6-IF($B$1+6&gt;=$B$23,$B$22,0))*(1+$B$4)^6)&gt;0,1+$B$3,1))</f>
        <v/>
      </c>
      <c r="J65">
        <f>IF($B$1+7&gt;90,I65,(I65+IF($B$1+7&lt;=$B65,12*$B$7,-12*MAX(0,$B$6-IF($B$1+7&gt;=$B$23,$B$22,0))*(1+$B$4)^7))*IF(I65+IF($B$1+7&lt;=$B65,12*$B$7,-12*MAX(0,$B$6-IF($B$1+7&gt;=$B$23,$B$22,0))*(1+$B$4)^7)&gt;0,1+$B$3,1))</f>
        <v/>
      </c>
      <c r="K65">
        <f>IF($B$1+8&gt;90,J65,(J65+IF($B$1+8&lt;=$B65,12*$B$7,-12*MAX(0,$B$6-IF($B$1+8&gt;=$B$23,$B$22,0))*(1+$B$4)^8))*IF(J65+IF($B$1+8&lt;=$B65,12*$B$7,-12*MAX(0,$B$6-IF($B$1+8&gt;=$B$23,$B$22,0))*(1+$B$4)^8)&gt;0,1+$B$3,1))</f>
        <v/>
      </c>
      <c r="L65">
        <f>IF($B$1+9&gt;90,K65,(K65+IF($B$1+9&lt;=$B65,12*$B$7,-12*MAX(0,$B$6-IF($B$1+9&gt;=$B$23,$B$22,0))*(1+$B$4)^9))*IF(K65+IF($B$1+9&lt;=$B65,12*$B$7,-12*MAX(0,$B$6-IF($B$1+9&gt;=$B$23,$B$22,0))*(1+$B$4)^9)&gt;0,1+$B$3,1))</f>
        <v/>
      </c>
      <c r="M65">
        <f>IF($B$1+10&gt;90,L65,(L65+IF($B$1+10&lt;=$B65,12*$B$7,-12*MAX(0,$B$6-IF($B$1+10&gt;=$B$23,$B$22,0))*(1+$B$4)^10))*IF(L65+IF($B$1+10&lt;=$B65,12*$B$7,-12*MAX(0,$B$6-IF($B$1+10&gt;=$B$23,$B$22,0))*(1+$B$4)^10)&gt;0,1+$B$3,1))</f>
        <v/>
      </c>
      <c r="N65">
        <f>IF($B$1+11&gt;90,M65,(M65+IF($B$1+11&lt;=$B65,12*$B$7,-12*MAX(0,$B$6-IF($B$1+11&gt;=$B$23,$B$22,0))*(1+$B$4)^11))*IF(M65+IF($B$1+11&lt;=$B65,12*$B$7,-12*MAX(0,$B$6-IF($B$1+11&gt;=$B$23,$B$22,0))*(1+$B$4)^11)&gt;0,1+$B$3,1))</f>
        <v/>
      </c>
      <c r="O65">
        <f>IF($B$1+12&gt;90,N65,(N65+IF($B$1+12&lt;=$B65,12*$B$7,-12*MAX(0,$B$6-IF($B$1+12&gt;=$B$23,$B$22,0))*(1+$B$4)^12))*IF(N65+IF($B$1+12&lt;=$B65,12*$B$7,-12*MAX(0,$B$6-IF($B$1+12&gt;=$B$23,$B$22,0))*(1+$B$4)^12)&gt;0,1+$B$3,1))</f>
        <v/>
      </c>
      <c r="P65">
        <f>IF($B$1+13&gt;90,O65,(O65+IF($B$1+13&lt;=$B65,12*$B$7,-12*MAX(0,$B$6-IF($B$1+13&gt;=$B$23,$B$22,0))*(1+$B$4)^13))*IF(O65+IF($B$1+13&lt;=$B65,12*$B$7,-12*MAX(0,$B$6-IF($B$1+13&gt;=$B$23,$B$22,0))*(1+$B$4)^13)&gt;0,1+$B$3,1))</f>
        <v/>
      </c>
      <c r="Q65">
        <f>IF($B$1+14&gt;90,P65,(P65+IF($B$1+14&lt;=$B65,12*$B$7,-12*MAX(0,$B$6-IF($B$1+14&gt;=$B$23,$B$22,0))*(1+$B$4)^14))*IF(P65+IF($B$1+14&lt;=$B65,12*$B$7,-12*MAX(0,$B$6-IF($B$1+14&gt;=$B$23,$B$22,0))*(1+$B$4)^14)&gt;0,1+$B$3,1))</f>
        <v/>
      </c>
      <c r="R65">
        <f>IF($B$1+15&gt;90,Q65,(Q65+IF($B$1+15&lt;=$B65,12*$B$7,-12*MAX(0,$B$6-IF($B$1+15&gt;=$B$23,$B$22,0))*(1+$B$4)^15))*IF(Q65+IF($B$1+15&lt;=$B65,12*$B$7,-12*MAX(0,$B$6-IF($B$1+15&gt;=$B$23,$B$22,0))*(1+$B$4)^15)&gt;0,1+$B$3,1))</f>
        <v/>
      </c>
      <c r="S65">
        <f>IF($B$1+16&gt;90,R65,(R65+IF($B$1+16&lt;=$B65,12*$B$7,-12*MAX(0,$B$6-IF($B$1+16&gt;=$B$23,$B$22,0))*(1+$B$4)^16))*IF(R65+IF($B$1+16&lt;=$B65,12*$B$7,-12*MAX(0,$B$6-IF($B$1+16&gt;=$B$23,$B$22,0))*(1+$B$4)^16)&gt;0,1+$B$3,1))</f>
        <v/>
      </c>
      <c r="T65">
        <f>IF($B$1+17&gt;90,S65,(S65+IF($B$1+17&lt;=$B65,12*$B$7,-12*MAX(0,$B$6-IF($B$1+17&gt;=$B$23,$B$22,0))*(1+$B$4)^17))*IF(S65+IF($B$1+17&lt;=$B65,12*$B$7,-12*MAX(0,$B$6-IF($B$1+17&gt;=$B$23,$B$22,0))*(1+$B$4)^17)&gt;0,1+$B$3,1))</f>
        <v/>
      </c>
      <c r="U65">
        <f>IF($B$1+18&gt;90,T65,(T65+IF($B$1+18&lt;=$B65,12*$B$7,-12*MAX(0,$B$6-IF($B$1+18&gt;=$B$23,$B$22,0))*(1+$B$4)^18))*IF(T65+IF($B$1+18&lt;=$B65,12*$B$7,-12*MAX(0,$B$6-IF($B$1+18&gt;=$B$23,$B$22,0))*(1+$B$4)^18)&gt;0,1+$B$3,1))</f>
        <v/>
      </c>
      <c r="V65">
        <f>IF($B$1+19&gt;90,U65,(U65+IF($B$1+19&lt;=$B65,12*$B$7,-12*MAX(0,$B$6-IF($B$1+19&gt;=$B$23,$B$22,0))*(1+$B$4)^19))*IF(U65+IF($B$1+19&lt;=$B65,12*$B$7,-12*MAX(0,$B$6-IF($B$1+19&gt;=$B$23,$B$22,0))*(1+$B$4)^19)&gt;0,1+$B$3,1))</f>
        <v/>
      </c>
      <c r="W65">
        <f>IF($B$1+20&gt;90,V65,(V65+IF($B$1+20&lt;=$B65,12*$B$7,-12*MAX(0,$B$6-IF($B$1+20&gt;=$B$23,$B$22,0))*(1+$B$4)^20))*IF(V65+IF($B$1+20&lt;=$B65,12*$B$7,-12*MAX(0,$B$6-IF($B$1+20&gt;=$B$23,$B$22,0))*(1+$B$4)^20)&gt;0,1+$B$3,1))</f>
        <v/>
      </c>
      <c r="X65">
        <f>IF($B$1+21&gt;90,W65,(W65+IF($B$1+21&lt;=$B65,12*$B$7,-12*MAX(0,$B$6-IF($B$1+21&gt;=$B$23,$B$22,0))*(1+$B$4)^21))*IF(W65+IF($B$1+21&lt;=$B65,12*$B$7,-12*MAX(0,$B$6-IF($B$1+21&gt;=$B$23,$B$22,0))*(1+$B$4)^21)&gt;0,1+$B$3,1))</f>
        <v/>
      </c>
      <c r="Y65">
        <f>IF($B$1+22&gt;90,X65,(X65+IF($B$1+22&lt;=$B65,12*$B$7,-12*MAX(0,$B$6-IF($B$1+22&gt;=$B$23,$B$22,0))*(1+$B$4)^22))*IF(X65+IF($B$1+22&lt;=$B65,12*$B$7,-12*MAX(0,$B$6-IF($B$1+22&gt;=$B$23,$B$22,0))*(1+$B$4)^22)&gt;0,1+$B$3,1))</f>
        <v/>
      </c>
      <c r="Z65">
        <f>IF($B$1+23&gt;90,Y65,(Y65+IF($B$1+23&lt;=$B65,12*$B$7,-12*MAX(0,$B$6-IF($B$1+23&gt;=$B$23,$B$22,0))*(1+$B$4)^23))*IF(Y65+IF($B$1+23&lt;=$B65,12*$B$7,-12*MAX(0,$B$6-IF($B$1+23&gt;=$B$23,$B$22,0))*(1+$B$4)^23)&gt;0,1+$B$3,1))</f>
        <v/>
      </c>
      <c r="AA65">
        <f>IF($B$1+24&gt;90,Z65,(Z65+IF($B$1+24&lt;=$B65,12*$B$7,-12*MAX(0,$B$6-IF($B$1+24&gt;=$B$23,$B$22,0))*(1+$B$4)^24))*IF(Z65+IF($B$1+24&lt;=$B65,12*$B$7,-12*MAX(0,$B$6-IF($B$1+24&gt;=$B$23,$B$22,0))*(1+$B$4)^24)&gt;0,1+$B$3,1))</f>
        <v/>
      </c>
      <c r="AB65">
        <f>IF($B$1+25&gt;90,AA65,(AA65+IF($B$1+25&lt;=$B65,12*$B$7,-12*MAX(0,$B$6-IF($B$1+25&gt;=$B$23,$B$22,0))*(1+$B$4)^25))*IF(AA65+IF($B$1+25&lt;=$B65,12*$B$7,-12*MAX(0,$B$6-IF($B$1+25&gt;=$B$23,$B$22,0))*(1+$B$4)^25)&gt;0,1+$B$3,1))</f>
        <v/>
      </c>
      <c r="AC65">
        <f>IF($B$1+26&gt;90,AB65,(AB65+IF($B$1+26&lt;=$B65,12*$B$7,-12*MAX(0,$B$6-IF($B$1+26&gt;=$B$23,$B$22,0))*(1+$B$4)^26))*IF(AB65+IF($B$1+26&lt;=$B65,12*$B$7,-12*MAX(0,$B$6-IF($B$1+26&gt;=$B$23,$B$22,0))*(1+$B$4)^26)&gt;0,1+$B$3,1))</f>
        <v/>
      </c>
      <c r="AD65">
        <f>IF($B$1+27&gt;90,AC65,(AC65+IF($B$1+27&lt;=$B65,12*$B$7,-12*MAX(0,$B$6-IF($B$1+27&gt;=$B$23,$B$22,0))*(1+$B$4)^27))*IF(AC65+IF($B$1+27&lt;=$B65,12*$B$7,-12*MAX(0,$B$6-IF($B$1+27&gt;=$B$23,$B$22,0))*(1+$B$4)^27)&gt;0,1+$B$3,1))</f>
        <v/>
      </c>
      <c r="AE65">
        <f>IF($B$1+28&gt;90,AD65,(AD65+IF($B$1+28&lt;=$B65,12*$B$7,-12*MAX(0,$B$6-IF($B$1+28&gt;=$B$23,$B$22,0))*(1+$B$4)^28))*IF(AD65+IF($B$1+28&lt;=$B65,12*$B$7,-12*MAX(0,$B$6-IF($B$1+28&gt;=$B$23,$B$22,0))*(1+$B$4)^28)&gt;0,1+$B$3,1))</f>
        <v/>
      </c>
      <c r="AF65">
        <f>IF($B$1+29&gt;90,AE65,(AE65+IF($B$1+29&lt;=$B65,12*$B$7,-12*MAX(0,$B$6-IF($B$1+29&gt;=$B$23,$B$22,0))*(1+$B$4)^29))*IF(AE65+IF($B$1+29&lt;=$B65,12*$B$7,-12*MAX(0,$B$6-IF($B$1+29&gt;=$B$23,$B$22,0))*(1+$B$4)^29)&gt;0,1+$B$3,1))</f>
        <v/>
      </c>
      <c r="AG65">
        <f>IF($B$1+30&gt;90,AF65,(AF65+IF($B$1+30&lt;=$B65,12*$B$7,-12*MAX(0,$B$6-IF($B$1+30&gt;=$B$23,$B$22,0))*(1+$B$4)^30))*IF(AF65+IF($B$1+30&lt;=$B65,12*$B$7,-12*MAX(0,$B$6-IF($B$1+30&gt;=$B$23,$B$22,0))*(1+$B$4)^30)&gt;0,1+$B$3,1))</f>
        <v/>
      </c>
      <c r="AH65">
        <f>IF($B$1+31&gt;90,AG65,(AG65+IF($B$1+31&lt;=$B65,12*$B$7,-12*MAX(0,$B$6-IF($B$1+31&gt;=$B$23,$B$22,0))*(1+$B$4)^31))*IF(AG65+IF($B$1+31&lt;=$B65,12*$B$7,-12*MAX(0,$B$6-IF($B$1+31&gt;=$B$23,$B$22,0))*(1+$B$4)^31)&gt;0,1+$B$3,1))</f>
        <v/>
      </c>
      <c r="AI65">
        <f>IF($B$1+32&gt;90,AH65,(AH65+IF($B$1+32&lt;=$B65,12*$B$7,-12*MAX(0,$B$6-IF($B$1+32&gt;=$B$23,$B$22,0))*(1+$B$4)^32))*IF(AH65+IF($B$1+32&lt;=$B65,12*$B$7,-12*MAX(0,$B$6-IF($B$1+32&gt;=$B$23,$B$22,0))*(1+$B$4)^32)&gt;0,1+$B$3,1))</f>
        <v/>
      </c>
      <c r="AJ65">
        <f>IF($B$1+33&gt;90,AI65,(AI65+IF($B$1+33&lt;=$B65,12*$B$7,-12*MAX(0,$B$6-IF($B$1+33&gt;=$B$23,$B$22,0))*(1+$B$4)^33))*IF(AI65+IF($B$1+33&lt;=$B65,12*$B$7,-12*MAX(0,$B$6-IF($B$1+33&gt;=$B$23,$B$22,0))*(1+$B$4)^33)&gt;0,1+$B$3,1))</f>
        <v/>
      </c>
      <c r="AK65">
        <f>IF($B$1+34&gt;90,AJ65,(AJ65+IF($B$1+34&lt;=$B65,12*$B$7,-12*MAX(0,$B$6-IF($B$1+34&gt;=$B$23,$B$22,0))*(1+$B$4)^34))*IF(AJ65+IF($B$1+34&lt;=$B65,12*$B$7,-12*MAX(0,$B$6-IF($B$1+34&gt;=$B$23,$B$22,0))*(1+$B$4)^34)&gt;0,1+$B$3,1))</f>
        <v/>
      </c>
      <c r="AL65">
        <f>IF($B$1+35&gt;90,AK65,(AK65+IF($B$1+35&lt;=$B65,12*$B$7,-12*MAX(0,$B$6-IF($B$1+35&gt;=$B$23,$B$22,0))*(1+$B$4)^35))*IF(AK65+IF($B$1+35&lt;=$B65,12*$B$7,-12*MAX(0,$B$6-IF($B$1+35&gt;=$B$23,$B$22,0))*(1+$B$4)^35)&gt;0,1+$B$3,1))</f>
        <v/>
      </c>
      <c r="AM65">
        <f>IF($B$1+36&gt;90,AL65,(AL65+IF($B$1+36&lt;=$B65,12*$B$7,-12*MAX(0,$B$6-IF($B$1+36&gt;=$B$23,$B$22,0))*(1+$B$4)^36))*IF(AL65+IF($B$1+36&lt;=$B65,12*$B$7,-12*MAX(0,$B$6-IF($B$1+36&gt;=$B$23,$B$22,0))*(1+$B$4)^36)&gt;0,1+$B$3,1))</f>
        <v/>
      </c>
      <c r="AN65">
        <f>IF($B$1+37&gt;90,AM65,(AM65+IF($B$1+37&lt;=$B65,12*$B$7,-12*MAX(0,$B$6-IF($B$1+37&gt;=$B$23,$B$22,0))*(1+$B$4)^37))*IF(AM65+IF($B$1+37&lt;=$B65,12*$B$7,-12*MAX(0,$B$6-IF($B$1+37&gt;=$B$23,$B$22,0))*(1+$B$4)^37)&gt;0,1+$B$3,1))</f>
        <v/>
      </c>
      <c r="AO65">
        <f>IF($B$1+38&gt;90,AN65,(AN65+IF($B$1+38&lt;=$B65,12*$B$7,-12*MAX(0,$B$6-IF($B$1+38&gt;=$B$23,$B$22,0))*(1+$B$4)^38))*IF(AN65+IF($B$1+38&lt;=$B65,12*$B$7,-12*MAX(0,$B$6-IF($B$1+38&gt;=$B$23,$B$22,0))*(1+$B$4)^38)&gt;0,1+$B$3,1))</f>
        <v/>
      </c>
      <c r="AP65">
        <f>IF($B$1+39&gt;90,AO65,(AO65+IF($B$1+39&lt;=$B65,12*$B$7,-12*MAX(0,$B$6-IF($B$1+39&gt;=$B$23,$B$22,0))*(1+$B$4)^39))*IF(AO65+IF($B$1+39&lt;=$B65,12*$B$7,-12*MAX(0,$B$6-IF($B$1+39&gt;=$B$23,$B$22,0))*(1+$B$4)^39)&gt;0,1+$B$3,1))</f>
        <v/>
      </c>
      <c r="AQ65">
        <f>IF($B$1+40&gt;90,AP65,(AP65+IF($B$1+40&lt;=$B65,12*$B$7,-12*MAX(0,$B$6-IF($B$1+40&gt;=$B$23,$B$22,0))*(1+$B$4)^40))*IF(AP65+IF($B$1+40&lt;=$B65,12*$B$7,-12*MAX(0,$B$6-IF($B$1+40&gt;=$B$23,$B$22,0))*(1+$B$4)^40)&gt;0,1+$B$3,1))</f>
        <v/>
      </c>
      <c r="AR65">
        <f>IF($B$1+41&gt;90,AQ65,(AQ65+IF($B$1+41&lt;=$B65,12*$B$7,-12*MAX(0,$B$6-IF($B$1+41&gt;=$B$23,$B$22,0))*(1+$B$4)^41))*IF(AQ65+IF($B$1+41&lt;=$B65,12*$B$7,-12*MAX(0,$B$6-IF($B$1+41&gt;=$B$23,$B$22,0))*(1+$B$4)^41)&gt;0,1+$B$3,1))</f>
        <v/>
      </c>
      <c r="AS65">
        <f>IF($B$1+42&gt;90,AR65,(AR65+IF($B$1+42&lt;=$B65,12*$B$7,-12*MAX(0,$B$6-IF($B$1+42&gt;=$B$23,$B$22,0))*(1+$B$4)^42))*IF(AR65+IF($B$1+42&lt;=$B65,12*$B$7,-12*MAX(0,$B$6-IF($B$1+42&gt;=$B$23,$B$22,0))*(1+$B$4)^42)&gt;0,1+$B$3,1))</f>
        <v/>
      </c>
      <c r="AT65">
        <f>IF($B$1+43&gt;90,AS65,(AS65+IF($B$1+43&lt;=$B65,12*$B$7,-12*MAX(0,$B$6-IF($B$1+43&gt;=$B$23,$B$22,0))*(1+$B$4)^43))*IF(AS65+IF($B$1+43&lt;=$B65,12*$B$7,-12*MAX(0,$B$6-IF($B$1+43&gt;=$B$23,$B$22,0))*(1+$B$4)^43)&gt;0,1+$B$3,1))</f>
        <v/>
      </c>
      <c r="AU65">
        <f>IF($B$1+44&gt;90,AT65,(AT65+IF($B$1+44&lt;=$B65,12*$B$7,-12*MAX(0,$B$6-IF($B$1+44&gt;=$B$23,$B$22,0))*(1+$B$4)^44))*IF(AT65+IF($B$1+44&lt;=$B65,12*$B$7,-12*MAX(0,$B$6-IF($B$1+44&gt;=$B$23,$B$22,0))*(1+$B$4)^44)&gt;0,1+$B$3,1))</f>
        <v/>
      </c>
      <c r="AV65">
        <f>IF($B$1+45&gt;90,AU65,(AU65+IF($B$1+45&lt;=$B65,12*$B$7,-12*MAX(0,$B$6-IF($B$1+45&gt;=$B$23,$B$22,0))*(1+$B$4)^45))*IF(AU65+IF($B$1+45&lt;=$B65,12*$B$7,-12*MAX(0,$B$6-IF($B$1+45&gt;=$B$23,$B$22,0))*(1+$B$4)^45)&gt;0,1+$B$3,1))</f>
        <v/>
      </c>
      <c r="AW65">
        <f>IF($B$1+46&gt;90,AV65,(AV65+IF($B$1+46&lt;=$B65,12*$B$7,-12*MAX(0,$B$6-IF($B$1+46&gt;=$B$23,$B$22,0))*(1+$B$4)^46))*IF(AV65+IF($B$1+46&lt;=$B65,12*$B$7,-12*MAX(0,$B$6-IF($B$1+46&gt;=$B$23,$B$22,0))*(1+$B$4)^46)&gt;0,1+$B$3,1))</f>
        <v/>
      </c>
      <c r="AX65">
        <f>IF($B$1+47&gt;90,AW65,(AW65+IF($B$1+47&lt;=$B65,12*$B$7,-12*MAX(0,$B$6-IF($B$1+47&gt;=$B$23,$B$22,0))*(1+$B$4)^47))*IF(AW65+IF($B$1+47&lt;=$B65,12*$B$7,-12*MAX(0,$B$6-IF($B$1+47&gt;=$B$23,$B$22,0))*(1+$B$4)^47)&gt;0,1+$B$3,1))</f>
        <v/>
      </c>
      <c r="AY65">
        <f>IF($B$1+48&gt;90,AX65,(AX65+IF($B$1+48&lt;=$B65,12*$B$7,-12*MAX(0,$B$6-IF($B$1+48&gt;=$B$23,$B$22,0))*(1+$B$4)^48))*IF(AX65+IF($B$1+48&lt;=$B65,12*$B$7,-12*MAX(0,$B$6-IF($B$1+48&gt;=$B$23,$B$22,0))*(1+$B$4)^48)&gt;0,1+$B$3,1))</f>
        <v/>
      </c>
      <c r="AZ65">
        <f>IF($B$1+49&gt;90,AY65,(AY65+IF($B$1+49&lt;=$B65,12*$B$7,-12*MAX(0,$B$6-IF($B$1+49&gt;=$B$23,$B$22,0))*(1+$B$4)^49))*IF(AY65+IF($B$1+49&lt;=$B65,12*$B$7,-12*MAX(0,$B$6-IF($B$1+49&gt;=$B$23,$B$22,0))*(1+$B$4)^49)&gt;0,1+$B$3,1))</f>
        <v/>
      </c>
      <c r="BA65">
        <f>IF($B$1+50&gt;90,AZ65,(AZ65+IF($B$1+50&lt;=$B65,12*$B$7,-12*MAX(0,$B$6-IF($B$1+50&gt;=$B$23,$B$22,0))*(1+$B$4)^50))*IF(AZ65+IF($B$1+50&lt;=$B65,12*$B$7,-12*MAX(0,$B$6-IF($B$1+50&gt;=$B$23,$B$22,0))*(1+$B$4)^50)&gt;0,1+$B$3,1))</f>
        <v/>
      </c>
      <c r="BB65">
        <f>IF($B$1+51&gt;90,BA65,(BA65+IF($B$1+51&lt;=$B65,12*$B$7,-12*MAX(0,$B$6-IF($B$1+51&gt;=$B$23,$B$22,0))*(1+$B$4)^51))*IF(BA65+IF($B$1+51&lt;=$B65,12*$B$7,-12*MAX(0,$B$6-IF($B$1+51&gt;=$B$23,$B$22,0))*(1+$B$4)^51)&gt;0,1+$B$3,1))</f>
        <v/>
      </c>
      <c r="BC65">
        <f>IF($B$1+52&gt;90,BB65,(BB65+IF($B$1+52&lt;=$B65,12*$B$7,-12*MAX(0,$B$6-IF($B$1+52&gt;=$B$23,$B$22,0))*(1+$B$4)^52))*IF(BB65+IF($B$1+52&lt;=$B65,12*$B$7,-12*MAX(0,$B$6-IF($B$1+52&gt;=$B$23,$B$22,0))*(1+$B$4)^52)&gt;0,1+$B$3,1))</f>
        <v/>
      </c>
      <c r="BD65">
        <f>IF($B$1+53&gt;90,BC65,(BC65+IF($B$1+53&lt;=$B65,12*$B$7,-12*MAX(0,$B$6-IF($B$1+53&gt;=$B$23,$B$22,0))*(1+$B$4)^53))*IF(BC65+IF($B$1+53&lt;=$B65,12*$B$7,-12*MAX(0,$B$6-IF($B$1+53&gt;=$B$23,$B$22,0))*(1+$B$4)^53)&gt;0,1+$B$3,1))</f>
        <v/>
      </c>
      <c r="BE65">
        <f>IF($B$1+54&gt;90,BD65,(BD65+IF($B$1+54&lt;=$B65,12*$B$7,-12*MAX(0,$B$6-IF($B$1+54&gt;=$B$23,$B$22,0))*(1+$B$4)^54))*IF(BD65+IF($B$1+54&lt;=$B65,12*$B$7,-12*MAX(0,$B$6-IF($B$1+54&gt;=$B$23,$B$22,0))*(1+$B$4)^54)&gt;0,1+$B$3,1))</f>
        <v/>
      </c>
      <c r="BF65">
        <f>IF($B$1+55&gt;90,BE65,(BE65+IF($B$1+55&lt;=$B65,12*$B$7,-12*MAX(0,$B$6-IF($B$1+55&gt;=$B$23,$B$22,0))*(1+$B$4)^55))*IF(BE65+IF($B$1+55&lt;=$B65,12*$B$7,-12*MAX(0,$B$6-IF($B$1+55&gt;=$B$23,$B$22,0))*(1+$B$4)^55)&gt;0,1+$B$3,1))</f>
        <v/>
      </c>
      <c r="BG65">
        <f>IF($B$1+56&gt;90,BF65,(BF65+IF($B$1+56&lt;=$B65,12*$B$7,-12*MAX(0,$B$6-IF($B$1+56&gt;=$B$23,$B$22,0))*(1+$B$4)^56))*IF(BF65+IF($B$1+56&lt;=$B65,12*$B$7,-12*MAX(0,$B$6-IF($B$1+56&gt;=$B$23,$B$22,0))*(1+$B$4)^56)&gt;0,1+$B$3,1))</f>
        <v/>
      </c>
      <c r="BH65">
        <f>IF($B$1+57&gt;90,BG65,(BG65+IF($B$1+57&lt;=$B65,12*$B$7,-12*MAX(0,$B$6-IF($B$1+57&gt;=$B$23,$B$22,0))*(1+$B$4)^57))*IF(BG65+IF($B$1+57&lt;=$B65,12*$B$7,-12*MAX(0,$B$6-IF($B$1+57&gt;=$B$23,$B$22,0))*(1+$B$4)^57)&gt;0,1+$B$3,1))</f>
        <v/>
      </c>
      <c r="BI65">
        <f>IF($B$1+58&gt;90,BH65,(BH65+IF($B$1+58&lt;=$B65,12*$B$7,-12*MAX(0,$B$6-IF($B$1+58&gt;=$B$23,$B$22,0))*(1+$B$4)^58))*IF(BH65+IF($B$1+58&lt;=$B65,12*$B$7,-12*MAX(0,$B$6-IF($B$1+58&gt;=$B$23,$B$22,0))*(1+$B$4)^58)&gt;0,1+$B$3,1))</f>
        <v/>
      </c>
      <c r="BJ65">
        <f>IF($B$1+59&gt;90,BI65,(BI65+IF($B$1+59&lt;=$B65,12*$B$7,-12*MAX(0,$B$6-IF($B$1+59&gt;=$B$23,$B$22,0))*(1+$B$4)^59))*IF(BI65+IF($B$1+59&lt;=$B65,12*$B$7,-12*MAX(0,$B$6-IF($B$1+59&gt;=$B$23,$B$22,0))*(1+$B$4)^59)&gt;0,1+$B$3,1))</f>
        <v/>
      </c>
      <c r="BK65">
        <f>IF($B$1+60&gt;90,BJ65,(BJ65+IF($B$1+60&lt;=$B65,12*$B$7,-12*MAX(0,$B$6-IF($B$1+60&gt;=$B$23,$B$22,0))*(1+$B$4)^60))*IF(BJ65+IF($B$1+60&lt;=$B65,12*$B$7,-12*MAX(0,$B$6-IF($B$1+60&gt;=$B$23,$B$22,0))*(1+$B$4)^60)&gt;0,1+$B$3,1))</f>
        <v/>
      </c>
      <c r="BL65">
        <f>IF($B$1+61&gt;90,BK65,(BK65+IF($B$1+61&lt;=$B65,12*$B$7,-12*MAX(0,$B$6-IF($B$1+61&gt;=$B$23,$B$22,0))*(1+$B$4)^61))*IF(BK65+IF($B$1+61&lt;=$B65,12*$B$7,-12*MAX(0,$B$6-IF($B$1+61&gt;=$B$23,$B$22,0))*(1+$B$4)^61)&gt;0,1+$B$3,1))</f>
        <v/>
      </c>
      <c r="BM65">
        <f>IF($B$1+62&gt;90,BL65,(BL65+IF($B$1+62&lt;=$B65,12*$B$7,-12*MAX(0,$B$6-IF($B$1+62&gt;=$B$23,$B$22,0))*(1+$B$4)^62))*IF(BL65+IF($B$1+62&lt;=$B65,12*$B$7,-12*MAX(0,$B$6-IF($B$1+62&gt;=$B$23,$B$22,0))*(1+$B$4)^62)&gt;0,1+$B$3,1))</f>
        <v/>
      </c>
      <c r="BN65">
        <f>IF($B$1+63&gt;90,BM65,(BM65+IF($B$1+63&lt;=$B65,12*$B$7,-12*MAX(0,$B$6-IF($B$1+63&gt;=$B$23,$B$22,0))*(1+$B$4)^63))*IF(BM65+IF($B$1+63&lt;=$B65,12*$B$7,-12*MAX(0,$B$6-IF($B$1+63&gt;=$B$23,$B$22,0))*(1+$B$4)^63)&gt;0,1+$B$3,1))</f>
        <v/>
      </c>
      <c r="BO65">
        <f>IF($B$1+64&gt;90,BN65,(BN65+IF($B$1+64&lt;=$B65,12*$B$7,-12*MAX(0,$B$6-IF($B$1+64&gt;=$B$23,$B$22,0))*(1+$B$4)^64))*IF(BN65+IF($B$1+64&lt;=$B65,12*$B$7,-12*MAX(0,$B$6-IF($B$1+64&gt;=$B$23,$B$22,0))*(1+$B$4)^64)&gt;0,1+$B$3,1))</f>
        <v/>
      </c>
      <c r="BP65">
        <f>IF($B$1+65&gt;90,BO65,(BO65+IF($B$1+65&lt;=$B65,12*$B$7,-12*MAX(0,$B$6-IF($B$1+65&gt;=$B$23,$B$22,0))*(1+$B$4)^65))*IF(BO65+IF($B$1+65&lt;=$B65,12*$B$7,-12*MAX(0,$B$6-IF($B$1+65&gt;=$B$23,$B$22,0))*(1+$B$4)^65)&gt;0,1+$B$3,1))</f>
        <v/>
      </c>
      <c r="BQ65">
        <f>IF($B$1+66&gt;90,BP65,(BP65+IF($B$1+66&lt;=$B65,12*$B$7,-12*MAX(0,$B$6-IF($B$1+66&gt;=$B$23,$B$22,0))*(1+$B$4)^66))*IF(BP65+IF($B$1+66&lt;=$B65,12*$B$7,-12*MAX(0,$B$6-IF($B$1+66&gt;=$B$23,$B$22,0))*(1+$B$4)^66)&gt;0,1+$B$3,1))</f>
        <v/>
      </c>
      <c r="BR65">
        <f>IF($B$1+67&gt;90,BQ65,(BQ65+IF($B$1+67&lt;=$B65,12*$B$7,-12*MAX(0,$B$6-IF($B$1+67&gt;=$B$23,$B$22,0))*(1+$B$4)^67))*IF(BQ65+IF($B$1+67&lt;=$B65,12*$B$7,-12*MAX(0,$B$6-IF($B$1+67&gt;=$B$23,$B$22,0))*(1+$B$4)^67)&gt;0,1+$B$3,1))</f>
        <v/>
      </c>
      <c r="BS65">
        <f>IF($B$1+68&gt;90,BR65,(BR65+IF($B$1+68&lt;=$B65,12*$B$7,-12*MAX(0,$B$6-IF($B$1+68&gt;=$B$23,$B$22,0))*(1+$B$4)^68))*IF(BR65+IF($B$1+68&lt;=$B65,12*$B$7,-12*MAX(0,$B$6-IF($B$1+68&gt;=$B$23,$B$22,0))*(1+$B$4)^68)&gt;0,1+$B$3,1))</f>
        <v/>
      </c>
      <c r="BT65">
        <f>IF($B$1+69&gt;90,BS65,(BS65+IF($B$1+69&lt;=$B65,12*$B$7,-12*MAX(0,$B$6-IF($B$1+69&gt;=$B$23,$B$22,0))*(1+$B$4)^69))*IF(BS65+IF($B$1+69&lt;=$B65,12*$B$7,-12*MAX(0,$B$6-IF($B$1+69&gt;=$B$23,$B$22,0))*(1+$B$4)^69)&gt;0,1+$B$3,1))</f>
        <v/>
      </c>
      <c r="BU65">
        <f>IF($B$1+70&gt;90,BT65,(BT65+IF($B$1+70&lt;=$B65,12*$B$7,-12*MAX(0,$B$6-IF($B$1+70&gt;=$B$23,$B$22,0))*(1+$B$4)^70))*IF(BT65+IF($B$1+70&lt;=$B65,12*$B$7,-12*MAX(0,$B$6-IF($B$1+70&gt;=$B$23,$B$22,0))*(1+$B$4)^70)&gt;0,1+$B$3,1))</f>
        <v/>
      </c>
      <c r="BV65">
        <f>BU65</f>
        <v/>
      </c>
      <c r="BW65">
        <f>IF(AND($B65&lt;=70,BV65&gt;0),$B65,999)</f>
        <v/>
      </c>
      <c r="CB65" t="n">
        <v>64</v>
      </c>
      <c r="CC65">
        <f>IF($B$1+CB65&gt;90,0,12*MAX(0,$B$6-IF($B$1+CB65&gt;=$B$23,$B$22,0))*(1+$B$4)^CB65/(1+$B$3)^(CB65-1))</f>
        <v/>
      </c>
      <c r="CE65">
        <f>IF($B$1+63&gt;90,NA(),$B$1+63)</f>
        <v/>
      </c>
      <c r="CF65">
        <f>IF(OR($B$21="",$B$1+63&gt;90),NA(),INDEX($C$40:$BU$90,$B$21-$B$1+1,64))</f>
        <v/>
      </c>
      <c r="CH65">
        <f>IF(ISTEXT('월 가계부'!A65),SUBSTITUTE(SUBSTITUTE(SUBSTITUTE(SUBSTITUTE(SUBSTITUTE(SUBSTITUTE(SUBSTITUTE(SUBSTITUTE(SUBSTITUTE(TRIM('월 가계부'!A65),"년","-"),"월","-"),"일",""),".","-"),"/","-")," ","-"),"--","-"),"--","-"),"--","-")&amp;"-","")</f>
        <v/>
      </c>
      <c r="CI65">
        <f>IFERROR(IF('월 가계부'!A65="","",IF(ISNUMBER('월 가계부'!A65),IF(AND('월 가계부'!A65&gt;=19000101,'월 가계부'!A65&lt;=21001231),IF(AND(MOD(INT('월 가계부'!A65/100),100)&gt;=1,MOD(INT('월 가계부'!A65/100),100)&lt;=12,MOD(INT('월 가계부'!A65),100)&gt;=1,MOD(INT('월 가계부'!A65),100)&lt;=31),IF(MONTH(DATE(INT('월 가계부'!A65/10000),MOD(INT('월 가계부'!A65/100),100),MOD(INT('월 가계부'!A65),100)))=MOD(INT('월 가계부'!A65/100),100),DATE(INT('월 가계부'!A65/10000),MOD(INT('월 가계부'!A65/100),100),MOD(INT('월 가계부'!A65),100)),""),""),IF(AND('월 가계부'!A65&gt;=36526,'월 가계부'!A65&lt;73051),INT('월 가계부'!A65),"")),IF(OR(CM65="",CN65="",CO65=""),"",IF(AND(CM65&gt;=2000,CM65&lt;=2099,CN65&gt;=1,CN65&lt;=12,CO65&gt;=1,CO65&lt;=31),IF(MONTH(DATE(CM65,CN65,CO65))=CN65,DATE(CM65,CN65,CO65),""),"")))),"")</f>
        <v/>
      </c>
      <c r="CJ65">
        <f>IFERROR(IF('월 가계부'!C65="","",IF(ISNUMBER('월 가계부'!C65),'월 가계부'!C65,VALUE(SUBSTITUTE(SUBSTITUTE(SUBSTITUTE(SUBSTITUTE(TRIM('월 가계부'!C65),",",""),"원","")," ",""),"−","-")))),"")</f>
        <v/>
      </c>
      <c r="CK65">
        <f>IF(ISNUMBER(CI65),IF(CI65&lt;$B$13,CI65,""),"")</f>
        <v/>
      </c>
      <c r="CM65">
        <f>IF(CH65="","",IFERROR(IF(IF(AND(LEN(CH65)=9,ISERROR(FIND("-",LEFT(CH65,8))),ISNUMBER(-LEFT(CH65,8))),VALUE(LEFT(CH65,4)),VALUE(LEFT(CH65,FIND("-",CH65)-1)))&lt;100,IF(AND(LEN(CH65)=9,ISERROR(FIND("-",LEFT(CH65,8))),ISNUMBER(-LEFT(CH65,8))),VALUE(LEFT(CH65,4)),VALUE(LEFT(CH65,FIND("-",CH65)-1)))+2000,IF(AND(LEN(CH65)=9,ISERROR(FIND("-",LEFT(CH65,8))),ISNUMBER(-LEFT(CH65,8))),VALUE(LEFT(CH65,4)),VALUE(LEFT(CH65,FIND("-",CH65)-1)))),""))</f>
        <v/>
      </c>
      <c r="CN65">
        <f>IF(CH65="","",IFERROR(IF(AND(LEN(CH65)=9,ISERROR(FIND("-",LEFT(CH65,8))),ISNUMBER(-LEFT(CH65,8))),VALUE(MID(CH65,5,2)),VALUE(MID(CH65,FIND("-",CH65)+1,FIND("-",CH65,FIND("-",CH65)+1)-FIND("-",CH65)-1))),""))</f>
        <v/>
      </c>
      <c r="CO65">
        <f>IF(CH65="","",IFERROR(IF(AND(LEN(CH65)=9,ISERROR(FIND("-",LEFT(CH65,8))),ISNUMBER(-LEFT(CH65,8))),VALUE(MID(CH65,7,2)),VALUE(MID(CH65,FIND("-",CH65,FIND("-",CH65)+1)+1,FIND("-",CH65,FIND("-",CH65,FIND("-",CH65)+1)+1)-FIND("-",CH65,FIND("-",CH65)+1)-1))),""))</f>
        <v/>
      </c>
    </row>
    <row r="66">
      <c r="A66" t="n">
        <v>26</v>
      </c>
      <c r="B66">
        <f>$B$1+26</f>
        <v/>
      </c>
      <c r="C66">
        <f>$B$2</f>
        <v/>
      </c>
      <c r="D66">
        <f>IF($B$1+1&gt;90,C66,(C66+IF($B$1+1&lt;=$B66,12*$B$7,-12*MAX(0,$B$6-IF($B$1+1&gt;=$B$23,$B$22,0))*(1+$B$4)^1))*IF(C66+IF($B$1+1&lt;=$B66,12*$B$7,-12*MAX(0,$B$6-IF($B$1+1&gt;=$B$23,$B$22,0))*(1+$B$4)^1)&gt;0,1+$B$3,1))</f>
        <v/>
      </c>
      <c r="E66">
        <f>IF($B$1+2&gt;90,D66,(D66+IF($B$1+2&lt;=$B66,12*$B$7,-12*MAX(0,$B$6-IF($B$1+2&gt;=$B$23,$B$22,0))*(1+$B$4)^2))*IF(D66+IF($B$1+2&lt;=$B66,12*$B$7,-12*MAX(0,$B$6-IF($B$1+2&gt;=$B$23,$B$22,0))*(1+$B$4)^2)&gt;0,1+$B$3,1))</f>
        <v/>
      </c>
      <c r="F66">
        <f>IF($B$1+3&gt;90,E66,(E66+IF($B$1+3&lt;=$B66,12*$B$7,-12*MAX(0,$B$6-IF($B$1+3&gt;=$B$23,$B$22,0))*(1+$B$4)^3))*IF(E66+IF($B$1+3&lt;=$B66,12*$B$7,-12*MAX(0,$B$6-IF($B$1+3&gt;=$B$23,$B$22,0))*(1+$B$4)^3)&gt;0,1+$B$3,1))</f>
        <v/>
      </c>
      <c r="G66">
        <f>IF($B$1+4&gt;90,F66,(F66+IF($B$1+4&lt;=$B66,12*$B$7,-12*MAX(0,$B$6-IF($B$1+4&gt;=$B$23,$B$22,0))*(1+$B$4)^4))*IF(F66+IF($B$1+4&lt;=$B66,12*$B$7,-12*MAX(0,$B$6-IF($B$1+4&gt;=$B$23,$B$22,0))*(1+$B$4)^4)&gt;0,1+$B$3,1))</f>
        <v/>
      </c>
      <c r="H66">
        <f>IF($B$1+5&gt;90,G66,(G66+IF($B$1+5&lt;=$B66,12*$B$7,-12*MAX(0,$B$6-IF($B$1+5&gt;=$B$23,$B$22,0))*(1+$B$4)^5))*IF(G66+IF($B$1+5&lt;=$B66,12*$B$7,-12*MAX(0,$B$6-IF($B$1+5&gt;=$B$23,$B$22,0))*(1+$B$4)^5)&gt;0,1+$B$3,1))</f>
        <v/>
      </c>
      <c r="I66">
        <f>IF($B$1+6&gt;90,H66,(H66+IF($B$1+6&lt;=$B66,12*$B$7,-12*MAX(0,$B$6-IF($B$1+6&gt;=$B$23,$B$22,0))*(1+$B$4)^6))*IF(H66+IF($B$1+6&lt;=$B66,12*$B$7,-12*MAX(0,$B$6-IF($B$1+6&gt;=$B$23,$B$22,0))*(1+$B$4)^6)&gt;0,1+$B$3,1))</f>
        <v/>
      </c>
      <c r="J66">
        <f>IF($B$1+7&gt;90,I66,(I66+IF($B$1+7&lt;=$B66,12*$B$7,-12*MAX(0,$B$6-IF($B$1+7&gt;=$B$23,$B$22,0))*(1+$B$4)^7))*IF(I66+IF($B$1+7&lt;=$B66,12*$B$7,-12*MAX(0,$B$6-IF($B$1+7&gt;=$B$23,$B$22,0))*(1+$B$4)^7)&gt;0,1+$B$3,1))</f>
        <v/>
      </c>
      <c r="K66">
        <f>IF($B$1+8&gt;90,J66,(J66+IF($B$1+8&lt;=$B66,12*$B$7,-12*MAX(0,$B$6-IF($B$1+8&gt;=$B$23,$B$22,0))*(1+$B$4)^8))*IF(J66+IF($B$1+8&lt;=$B66,12*$B$7,-12*MAX(0,$B$6-IF($B$1+8&gt;=$B$23,$B$22,0))*(1+$B$4)^8)&gt;0,1+$B$3,1))</f>
        <v/>
      </c>
      <c r="L66">
        <f>IF($B$1+9&gt;90,K66,(K66+IF($B$1+9&lt;=$B66,12*$B$7,-12*MAX(0,$B$6-IF($B$1+9&gt;=$B$23,$B$22,0))*(1+$B$4)^9))*IF(K66+IF($B$1+9&lt;=$B66,12*$B$7,-12*MAX(0,$B$6-IF($B$1+9&gt;=$B$23,$B$22,0))*(1+$B$4)^9)&gt;0,1+$B$3,1))</f>
        <v/>
      </c>
      <c r="M66">
        <f>IF($B$1+10&gt;90,L66,(L66+IF($B$1+10&lt;=$B66,12*$B$7,-12*MAX(0,$B$6-IF($B$1+10&gt;=$B$23,$B$22,0))*(1+$B$4)^10))*IF(L66+IF($B$1+10&lt;=$B66,12*$B$7,-12*MAX(0,$B$6-IF($B$1+10&gt;=$B$23,$B$22,0))*(1+$B$4)^10)&gt;0,1+$B$3,1))</f>
        <v/>
      </c>
      <c r="N66">
        <f>IF($B$1+11&gt;90,M66,(M66+IF($B$1+11&lt;=$B66,12*$B$7,-12*MAX(0,$B$6-IF($B$1+11&gt;=$B$23,$B$22,0))*(1+$B$4)^11))*IF(M66+IF($B$1+11&lt;=$B66,12*$B$7,-12*MAX(0,$B$6-IF($B$1+11&gt;=$B$23,$B$22,0))*(1+$B$4)^11)&gt;0,1+$B$3,1))</f>
        <v/>
      </c>
      <c r="O66">
        <f>IF($B$1+12&gt;90,N66,(N66+IF($B$1+12&lt;=$B66,12*$B$7,-12*MAX(0,$B$6-IF($B$1+12&gt;=$B$23,$B$22,0))*(1+$B$4)^12))*IF(N66+IF($B$1+12&lt;=$B66,12*$B$7,-12*MAX(0,$B$6-IF($B$1+12&gt;=$B$23,$B$22,0))*(1+$B$4)^12)&gt;0,1+$B$3,1))</f>
        <v/>
      </c>
      <c r="P66">
        <f>IF($B$1+13&gt;90,O66,(O66+IF($B$1+13&lt;=$B66,12*$B$7,-12*MAX(0,$B$6-IF($B$1+13&gt;=$B$23,$B$22,0))*(1+$B$4)^13))*IF(O66+IF($B$1+13&lt;=$B66,12*$B$7,-12*MAX(0,$B$6-IF($B$1+13&gt;=$B$23,$B$22,0))*(1+$B$4)^13)&gt;0,1+$B$3,1))</f>
        <v/>
      </c>
      <c r="Q66">
        <f>IF($B$1+14&gt;90,P66,(P66+IF($B$1+14&lt;=$B66,12*$B$7,-12*MAX(0,$B$6-IF($B$1+14&gt;=$B$23,$B$22,0))*(1+$B$4)^14))*IF(P66+IF($B$1+14&lt;=$B66,12*$B$7,-12*MAX(0,$B$6-IF($B$1+14&gt;=$B$23,$B$22,0))*(1+$B$4)^14)&gt;0,1+$B$3,1))</f>
        <v/>
      </c>
      <c r="R66">
        <f>IF($B$1+15&gt;90,Q66,(Q66+IF($B$1+15&lt;=$B66,12*$B$7,-12*MAX(0,$B$6-IF($B$1+15&gt;=$B$23,$B$22,0))*(1+$B$4)^15))*IF(Q66+IF($B$1+15&lt;=$B66,12*$B$7,-12*MAX(0,$B$6-IF($B$1+15&gt;=$B$23,$B$22,0))*(1+$B$4)^15)&gt;0,1+$B$3,1))</f>
        <v/>
      </c>
      <c r="S66">
        <f>IF($B$1+16&gt;90,R66,(R66+IF($B$1+16&lt;=$B66,12*$B$7,-12*MAX(0,$B$6-IF($B$1+16&gt;=$B$23,$B$22,0))*(1+$B$4)^16))*IF(R66+IF($B$1+16&lt;=$B66,12*$B$7,-12*MAX(0,$B$6-IF($B$1+16&gt;=$B$23,$B$22,0))*(1+$B$4)^16)&gt;0,1+$B$3,1))</f>
        <v/>
      </c>
      <c r="T66">
        <f>IF($B$1+17&gt;90,S66,(S66+IF($B$1+17&lt;=$B66,12*$B$7,-12*MAX(0,$B$6-IF($B$1+17&gt;=$B$23,$B$22,0))*(1+$B$4)^17))*IF(S66+IF($B$1+17&lt;=$B66,12*$B$7,-12*MAX(0,$B$6-IF($B$1+17&gt;=$B$23,$B$22,0))*(1+$B$4)^17)&gt;0,1+$B$3,1))</f>
        <v/>
      </c>
      <c r="U66">
        <f>IF($B$1+18&gt;90,T66,(T66+IF($B$1+18&lt;=$B66,12*$B$7,-12*MAX(0,$B$6-IF($B$1+18&gt;=$B$23,$B$22,0))*(1+$B$4)^18))*IF(T66+IF($B$1+18&lt;=$B66,12*$B$7,-12*MAX(0,$B$6-IF($B$1+18&gt;=$B$23,$B$22,0))*(1+$B$4)^18)&gt;0,1+$B$3,1))</f>
        <v/>
      </c>
      <c r="V66">
        <f>IF($B$1+19&gt;90,U66,(U66+IF($B$1+19&lt;=$B66,12*$B$7,-12*MAX(0,$B$6-IF($B$1+19&gt;=$B$23,$B$22,0))*(1+$B$4)^19))*IF(U66+IF($B$1+19&lt;=$B66,12*$B$7,-12*MAX(0,$B$6-IF($B$1+19&gt;=$B$23,$B$22,0))*(1+$B$4)^19)&gt;0,1+$B$3,1))</f>
        <v/>
      </c>
      <c r="W66">
        <f>IF($B$1+20&gt;90,V66,(V66+IF($B$1+20&lt;=$B66,12*$B$7,-12*MAX(0,$B$6-IF($B$1+20&gt;=$B$23,$B$22,0))*(1+$B$4)^20))*IF(V66+IF($B$1+20&lt;=$B66,12*$B$7,-12*MAX(0,$B$6-IF($B$1+20&gt;=$B$23,$B$22,0))*(1+$B$4)^20)&gt;0,1+$B$3,1))</f>
        <v/>
      </c>
      <c r="X66">
        <f>IF($B$1+21&gt;90,W66,(W66+IF($B$1+21&lt;=$B66,12*$B$7,-12*MAX(0,$B$6-IF($B$1+21&gt;=$B$23,$B$22,0))*(1+$B$4)^21))*IF(W66+IF($B$1+21&lt;=$B66,12*$B$7,-12*MAX(0,$B$6-IF($B$1+21&gt;=$B$23,$B$22,0))*(1+$B$4)^21)&gt;0,1+$B$3,1))</f>
        <v/>
      </c>
      <c r="Y66">
        <f>IF($B$1+22&gt;90,X66,(X66+IF($B$1+22&lt;=$B66,12*$B$7,-12*MAX(0,$B$6-IF($B$1+22&gt;=$B$23,$B$22,0))*(1+$B$4)^22))*IF(X66+IF($B$1+22&lt;=$B66,12*$B$7,-12*MAX(0,$B$6-IF($B$1+22&gt;=$B$23,$B$22,0))*(1+$B$4)^22)&gt;0,1+$B$3,1))</f>
        <v/>
      </c>
      <c r="Z66">
        <f>IF($B$1+23&gt;90,Y66,(Y66+IF($B$1+23&lt;=$B66,12*$B$7,-12*MAX(0,$B$6-IF($B$1+23&gt;=$B$23,$B$22,0))*(1+$B$4)^23))*IF(Y66+IF($B$1+23&lt;=$B66,12*$B$7,-12*MAX(0,$B$6-IF($B$1+23&gt;=$B$23,$B$22,0))*(1+$B$4)^23)&gt;0,1+$B$3,1))</f>
        <v/>
      </c>
      <c r="AA66">
        <f>IF($B$1+24&gt;90,Z66,(Z66+IF($B$1+24&lt;=$B66,12*$B$7,-12*MAX(0,$B$6-IF($B$1+24&gt;=$B$23,$B$22,0))*(1+$B$4)^24))*IF(Z66+IF($B$1+24&lt;=$B66,12*$B$7,-12*MAX(0,$B$6-IF($B$1+24&gt;=$B$23,$B$22,0))*(1+$B$4)^24)&gt;0,1+$B$3,1))</f>
        <v/>
      </c>
      <c r="AB66">
        <f>IF($B$1+25&gt;90,AA66,(AA66+IF($B$1+25&lt;=$B66,12*$B$7,-12*MAX(0,$B$6-IF($B$1+25&gt;=$B$23,$B$22,0))*(1+$B$4)^25))*IF(AA66+IF($B$1+25&lt;=$B66,12*$B$7,-12*MAX(0,$B$6-IF($B$1+25&gt;=$B$23,$B$22,0))*(1+$B$4)^25)&gt;0,1+$B$3,1))</f>
        <v/>
      </c>
      <c r="AC66">
        <f>IF($B$1+26&gt;90,AB66,(AB66+IF($B$1+26&lt;=$B66,12*$B$7,-12*MAX(0,$B$6-IF($B$1+26&gt;=$B$23,$B$22,0))*(1+$B$4)^26))*IF(AB66+IF($B$1+26&lt;=$B66,12*$B$7,-12*MAX(0,$B$6-IF($B$1+26&gt;=$B$23,$B$22,0))*(1+$B$4)^26)&gt;0,1+$B$3,1))</f>
        <v/>
      </c>
      <c r="AD66">
        <f>IF($B$1+27&gt;90,AC66,(AC66+IF($B$1+27&lt;=$B66,12*$B$7,-12*MAX(0,$B$6-IF($B$1+27&gt;=$B$23,$B$22,0))*(1+$B$4)^27))*IF(AC66+IF($B$1+27&lt;=$B66,12*$B$7,-12*MAX(0,$B$6-IF($B$1+27&gt;=$B$23,$B$22,0))*(1+$B$4)^27)&gt;0,1+$B$3,1))</f>
        <v/>
      </c>
      <c r="AE66">
        <f>IF($B$1+28&gt;90,AD66,(AD66+IF($B$1+28&lt;=$B66,12*$B$7,-12*MAX(0,$B$6-IF($B$1+28&gt;=$B$23,$B$22,0))*(1+$B$4)^28))*IF(AD66+IF($B$1+28&lt;=$B66,12*$B$7,-12*MAX(0,$B$6-IF($B$1+28&gt;=$B$23,$B$22,0))*(1+$B$4)^28)&gt;0,1+$B$3,1))</f>
        <v/>
      </c>
      <c r="AF66">
        <f>IF($B$1+29&gt;90,AE66,(AE66+IF($B$1+29&lt;=$B66,12*$B$7,-12*MAX(0,$B$6-IF($B$1+29&gt;=$B$23,$B$22,0))*(1+$B$4)^29))*IF(AE66+IF($B$1+29&lt;=$B66,12*$B$7,-12*MAX(0,$B$6-IF($B$1+29&gt;=$B$23,$B$22,0))*(1+$B$4)^29)&gt;0,1+$B$3,1))</f>
        <v/>
      </c>
      <c r="AG66">
        <f>IF($B$1+30&gt;90,AF66,(AF66+IF($B$1+30&lt;=$B66,12*$B$7,-12*MAX(0,$B$6-IF($B$1+30&gt;=$B$23,$B$22,0))*(1+$B$4)^30))*IF(AF66+IF($B$1+30&lt;=$B66,12*$B$7,-12*MAX(0,$B$6-IF($B$1+30&gt;=$B$23,$B$22,0))*(1+$B$4)^30)&gt;0,1+$B$3,1))</f>
        <v/>
      </c>
      <c r="AH66">
        <f>IF($B$1+31&gt;90,AG66,(AG66+IF($B$1+31&lt;=$B66,12*$B$7,-12*MAX(0,$B$6-IF($B$1+31&gt;=$B$23,$B$22,0))*(1+$B$4)^31))*IF(AG66+IF($B$1+31&lt;=$B66,12*$B$7,-12*MAX(0,$B$6-IF($B$1+31&gt;=$B$23,$B$22,0))*(1+$B$4)^31)&gt;0,1+$B$3,1))</f>
        <v/>
      </c>
      <c r="AI66">
        <f>IF($B$1+32&gt;90,AH66,(AH66+IF($B$1+32&lt;=$B66,12*$B$7,-12*MAX(0,$B$6-IF($B$1+32&gt;=$B$23,$B$22,0))*(1+$B$4)^32))*IF(AH66+IF($B$1+32&lt;=$B66,12*$B$7,-12*MAX(0,$B$6-IF($B$1+32&gt;=$B$23,$B$22,0))*(1+$B$4)^32)&gt;0,1+$B$3,1))</f>
        <v/>
      </c>
      <c r="AJ66">
        <f>IF($B$1+33&gt;90,AI66,(AI66+IF($B$1+33&lt;=$B66,12*$B$7,-12*MAX(0,$B$6-IF($B$1+33&gt;=$B$23,$B$22,0))*(1+$B$4)^33))*IF(AI66+IF($B$1+33&lt;=$B66,12*$B$7,-12*MAX(0,$B$6-IF($B$1+33&gt;=$B$23,$B$22,0))*(1+$B$4)^33)&gt;0,1+$B$3,1))</f>
        <v/>
      </c>
      <c r="AK66">
        <f>IF($B$1+34&gt;90,AJ66,(AJ66+IF($B$1+34&lt;=$B66,12*$B$7,-12*MAX(0,$B$6-IF($B$1+34&gt;=$B$23,$B$22,0))*(1+$B$4)^34))*IF(AJ66+IF($B$1+34&lt;=$B66,12*$B$7,-12*MAX(0,$B$6-IF($B$1+34&gt;=$B$23,$B$22,0))*(1+$B$4)^34)&gt;0,1+$B$3,1))</f>
        <v/>
      </c>
      <c r="AL66">
        <f>IF($B$1+35&gt;90,AK66,(AK66+IF($B$1+35&lt;=$B66,12*$B$7,-12*MAX(0,$B$6-IF($B$1+35&gt;=$B$23,$B$22,0))*(1+$B$4)^35))*IF(AK66+IF($B$1+35&lt;=$B66,12*$B$7,-12*MAX(0,$B$6-IF($B$1+35&gt;=$B$23,$B$22,0))*(1+$B$4)^35)&gt;0,1+$B$3,1))</f>
        <v/>
      </c>
      <c r="AM66">
        <f>IF($B$1+36&gt;90,AL66,(AL66+IF($B$1+36&lt;=$B66,12*$B$7,-12*MAX(0,$B$6-IF($B$1+36&gt;=$B$23,$B$22,0))*(1+$B$4)^36))*IF(AL66+IF($B$1+36&lt;=$B66,12*$B$7,-12*MAX(0,$B$6-IF($B$1+36&gt;=$B$23,$B$22,0))*(1+$B$4)^36)&gt;0,1+$B$3,1))</f>
        <v/>
      </c>
      <c r="AN66">
        <f>IF($B$1+37&gt;90,AM66,(AM66+IF($B$1+37&lt;=$B66,12*$B$7,-12*MAX(0,$B$6-IF($B$1+37&gt;=$B$23,$B$22,0))*(1+$B$4)^37))*IF(AM66+IF($B$1+37&lt;=$B66,12*$B$7,-12*MAX(0,$B$6-IF($B$1+37&gt;=$B$23,$B$22,0))*(1+$B$4)^37)&gt;0,1+$B$3,1))</f>
        <v/>
      </c>
      <c r="AO66">
        <f>IF($B$1+38&gt;90,AN66,(AN66+IF($B$1+38&lt;=$B66,12*$B$7,-12*MAX(0,$B$6-IF($B$1+38&gt;=$B$23,$B$22,0))*(1+$B$4)^38))*IF(AN66+IF($B$1+38&lt;=$B66,12*$B$7,-12*MAX(0,$B$6-IF($B$1+38&gt;=$B$23,$B$22,0))*(1+$B$4)^38)&gt;0,1+$B$3,1))</f>
        <v/>
      </c>
      <c r="AP66">
        <f>IF($B$1+39&gt;90,AO66,(AO66+IF($B$1+39&lt;=$B66,12*$B$7,-12*MAX(0,$B$6-IF($B$1+39&gt;=$B$23,$B$22,0))*(1+$B$4)^39))*IF(AO66+IF($B$1+39&lt;=$B66,12*$B$7,-12*MAX(0,$B$6-IF($B$1+39&gt;=$B$23,$B$22,0))*(1+$B$4)^39)&gt;0,1+$B$3,1))</f>
        <v/>
      </c>
      <c r="AQ66">
        <f>IF($B$1+40&gt;90,AP66,(AP66+IF($B$1+40&lt;=$B66,12*$B$7,-12*MAX(0,$B$6-IF($B$1+40&gt;=$B$23,$B$22,0))*(1+$B$4)^40))*IF(AP66+IF($B$1+40&lt;=$B66,12*$B$7,-12*MAX(0,$B$6-IF($B$1+40&gt;=$B$23,$B$22,0))*(1+$B$4)^40)&gt;0,1+$B$3,1))</f>
        <v/>
      </c>
      <c r="AR66">
        <f>IF($B$1+41&gt;90,AQ66,(AQ66+IF($B$1+41&lt;=$B66,12*$B$7,-12*MAX(0,$B$6-IF($B$1+41&gt;=$B$23,$B$22,0))*(1+$B$4)^41))*IF(AQ66+IF($B$1+41&lt;=$B66,12*$B$7,-12*MAX(0,$B$6-IF($B$1+41&gt;=$B$23,$B$22,0))*(1+$B$4)^41)&gt;0,1+$B$3,1))</f>
        <v/>
      </c>
      <c r="AS66">
        <f>IF($B$1+42&gt;90,AR66,(AR66+IF($B$1+42&lt;=$B66,12*$B$7,-12*MAX(0,$B$6-IF($B$1+42&gt;=$B$23,$B$22,0))*(1+$B$4)^42))*IF(AR66+IF($B$1+42&lt;=$B66,12*$B$7,-12*MAX(0,$B$6-IF($B$1+42&gt;=$B$23,$B$22,0))*(1+$B$4)^42)&gt;0,1+$B$3,1))</f>
        <v/>
      </c>
      <c r="AT66">
        <f>IF($B$1+43&gt;90,AS66,(AS66+IF($B$1+43&lt;=$B66,12*$B$7,-12*MAX(0,$B$6-IF($B$1+43&gt;=$B$23,$B$22,0))*(1+$B$4)^43))*IF(AS66+IF($B$1+43&lt;=$B66,12*$B$7,-12*MAX(0,$B$6-IF($B$1+43&gt;=$B$23,$B$22,0))*(1+$B$4)^43)&gt;0,1+$B$3,1))</f>
        <v/>
      </c>
      <c r="AU66">
        <f>IF($B$1+44&gt;90,AT66,(AT66+IF($B$1+44&lt;=$B66,12*$B$7,-12*MAX(0,$B$6-IF($B$1+44&gt;=$B$23,$B$22,0))*(1+$B$4)^44))*IF(AT66+IF($B$1+44&lt;=$B66,12*$B$7,-12*MAX(0,$B$6-IF($B$1+44&gt;=$B$23,$B$22,0))*(1+$B$4)^44)&gt;0,1+$B$3,1))</f>
        <v/>
      </c>
      <c r="AV66">
        <f>IF($B$1+45&gt;90,AU66,(AU66+IF($B$1+45&lt;=$B66,12*$B$7,-12*MAX(0,$B$6-IF($B$1+45&gt;=$B$23,$B$22,0))*(1+$B$4)^45))*IF(AU66+IF($B$1+45&lt;=$B66,12*$B$7,-12*MAX(0,$B$6-IF($B$1+45&gt;=$B$23,$B$22,0))*(1+$B$4)^45)&gt;0,1+$B$3,1))</f>
        <v/>
      </c>
      <c r="AW66">
        <f>IF($B$1+46&gt;90,AV66,(AV66+IF($B$1+46&lt;=$B66,12*$B$7,-12*MAX(0,$B$6-IF($B$1+46&gt;=$B$23,$B$22,0))*(1+$B$4)^46))*IF(AV66+IF($B$1+46&lt;=$B66,12*$B$7,-12*MAX(0,$B$6-IF($B$1+46&gt;=$B$23,$B$22,0))*(1+$B$4)^46)&gt;0,1+$B$3,1))</f>
        <v/>
      </c>
      <c r="AX66">
        <f>IF($B$1+47&gt;90,AW66,(AW66+IF($B$1+47&lt;=$B66,12*$B$7,-12*MAX(0,$B$6-IF($B$1+47&gt;=$B$23,$B$22,0))*(1+$B$4)^47))*IF(AW66+IF($B$1+47&lt;=$B66,12*$B$7,-12*MAX(0,$B$6-IF($B$1+47&gt;=$B$23,$B$22,0))*(1+$B$4)^47)&gt;0,1+$B$3,1))</f>
        <v/>
      </c>
      <c r="AY66">
        <f>IF($B$1+48&gt;90,AX66,(AX66+IF($B$1+48&lt;=$B66,12*$B$7,-12*MAX(0,$B$6-IF($B$1+48&gt;=$B$23,$B$22,0))*(1+$B$4)^48))*IF(AX66+IF($B$1+48&lt;=$B66,12*$B$7,-12*MAX(0,$B$6-IF($B$1+48&gt;=$B$23,$B$22,0))*(1+$B$4)^48)&gt;0,1+$B$3,1))</f>
        <v/>
      </c>
      <c r="AZ66">
        <f>IF($B$1+49&gt;90,AY66,(AY66+IF($B$1+49&lt;=$B66,12*$B$7,-12*MAX(0,$B$6-IF($B$1+49&gt;=$B$23,$B$22,0))*(1+$B$4)^49))*IF(AY66+IF($B$1+49&lt;=$B66,12*$B$7,-12*MAX(0,$B$6-IF($B$1+49&gt;=$B$23,$B$22,0))*(1+$B$4)^49)&gt;0,1+$B$3,1))</f>
        <v/>
      </c>
      <c r="BA66">
        <f>IF($B$1+50&gt;90,AZ66,(AZ66+IF($B$1+50&lt;=$B66,12*$B$7,-12*MAX(0,$B$6-IF($B$1+50&gt;=$B$23,$B$22,0))*(1+$B$4)^50))*IF(AZ66+IF($B$1+50&lt;=$B66,12*$B$7,-12*MAX(0,$B$6-IF($B$1+50&gt;=$B$23,$B$22,0))*(1+$B$4)^50)&gt;0,1+$B$3,1))</f>
        <v/>
      </c>
      <c r="BB66">
        <f>IF($B$1+51&gt;90,BA66,(BA66+IF($B$1+51&lt;=$B66,12*$B$7,-12*MAX(0,$B$6-IF($B$1+51&gt;=$B$23,$B$22,0))*(1+$B$4)^51))*IF(BA66+IF($B$1+51&lt;=$B66,12*$B$7,-12*MAX(0,$B$6-IF($B$1+51&gt;=$B$23,$B$22,0))*(1+$B$4)^51)&gt;0,1+$B$3,1))</f>
        <v/>
      </c>
      <c r="BC66">
        <f>IF($B$1+52&gt;90,BB66,(BB66+IF($B$1+52&lt;=$B66,12*$B$7,-12*MAX(0,$B$6-IF($B$1+52&gt;=$B$23,$B$22,0))*(1+$B$4)^52))*IF(BB66+IF($B$1+52&lt;=$B66,12*$B$7,-12*MAX(0,$B$6-IF($B$1+52&gt;=$B$23,$B$22,0))*(1+$B$4)^52)&gt;0,1+$B$3,1))</f>
        <v/>
      </c>
      <c r="BD66">
        <f>IF($B$1+53&gt;90,BC66,(BC66+IF($B$1+53&lt;=$B66,12*$B$7,-12*MAX(0,$B$6-IF($B$1+53&gt;=$B$23,$B$22,0))*(1+$B$4)^53))*IF(BC66+IF($B$1+53&lt;=$B66,12*$B$7,-12*MAX(0,$B$6-IF($B$1+53&gt;=$B$23,$B$22,0))*(1+$B$4)^53)&gt;0,1+$B$3,1))</f>
        <v/>
      </c>
      <c r="BE66">
        <f>IF($B$1+54&gt;90,BD66,(BD66+IF($B$1+54&lt;=$B66,12*$B$7,-12*MAX(0,$B$6-IF($B$1+54&gt;=$B$23,$B$22,0))*(1+$B$4)^54))*IF(BD66+IF($B$1+54&lt;=$B66,12*$B$7,-12*MAX(0,$B$6-IF($B$1+54&gt;=$B$23,$B$22,0))*(1+$B$4)^54)&gt;0,1+$B$3,1))</f>
        <v/>
      </c>
      <c r="BF66">
        <f>IF($B$1+55&gt;90,BE66,(BE66+IF($B$1+55&lt;=$B66,12*$B$7,-12*MAX(0,$B$6-IF($B$1+55&gt;=$B$23,$B$22,0))*(1+$B$4)^55))*IF(BE66+IF($B$1+55&lt;=$B66,12*$B$7,-12*MAX(0,$B$6-IF($B$1+55&gt;=$B$23,$B$22,0))*(1+$B$4)^55)&gt;0,1+$B$3,1))</f>
        <v/>
      </c>
      <c r="BG66">
        <f>IF($B$1+56&gt;90,BF66,(BF66+IF($B$1+56&lt;=$B66,12*$B$7,-12*MAX(0,$B$6-IF($B$1+56&gt;=$B$23,$B$22,0))*(1+$B$4)^56))*IF(BF66+IF($B$1+56&lt;=$B66,12*$B$7,-12*MAX(0,$B$6-IF($B$1+56&gt;=$B$23,$B$22,0))*(1+$B$4)^56)&gt;0,1+$B$3,1))</f>
        <v/>
      </c>
      <c r="BH66">
        <f>IF($B$1+57&gt;90,BG66,(BG66+IF($B$1+57&lt;=$B66,12*$B$7,-12*MAX(0,$B$6-IF($B$1+57&gt;=$B$23,$B$22,0))*(1+$B$4)^57))*IF(BG66+IF($B$1+57&lt;=$B66,12*$B$7,-12*MAX(0,$B$6-IF($B$1+57&gt;=$B$23,$B$22,0))*(1+$B$4)^57)&gt;0,1+$B$3,1))</f>
        <v/>
      </c>
      <c r="BI66">
        <f>IF($B$1+58&gt;90,BH66,(BH66+IF($B$1+58&lt;=$B66,12*$B$7,-12*MAX(0,$B$6-IF($B$1+58&gt;=$B$23,$B$22,0))*(1+$B$4)^58))*IF(BH66+IF($B$1+58&lt;=$B66,12*$B$7,-12*MAX(0,$B$6-IF($B$1+58&gt;=$B$23,$B$22,0))*(1+$B$4)^58)&gt;0,1+$B$3,1))</f>
        <v/>
      </c>
      <c r="BJ66">
        <f>IF($B$1+59&gt;90,BI66,(BI66+IF($B$1+59&lt;=$B66,12*$B$7,-12*MAX(0,$B$6-IF($B$1+59&gt;=$B$23,$B$22,0))*(1+$B$4)^59))*IF(BI66+IF($B$1+59&lt;=$B66,12*$B$7,-12*MAX(0,$B$6-IF($B$1+59&gt;=$B$23,$B$22,0))*(1+$B$4)^59)&gt;0,1+$B$3,1))</f>
        <v/>
      </c>
      <c r="BK66">
        <f>IF($B$1+60&gt;90,BJ66,(BJ66+IF($B$1+60&lt;=$B66,12*$B$7,-12*MAX(0,$B$6-IF($B$1+60&gt;=$B$23,$B$22,0))*(1+$B$4)^60))*IF(BJ66+IF($B$1+60&lt;=$B66,12*$B$7,-12*MAX(0,$B$6-IF($B$1+60&gt;=$B$23,$B$22,0))*(1+$B$4)^60)&gt;0,1+$B$3,1))</f>
        <v/>
      </c>
      <c r="BL66">
        <f>IF($B$1+61&gt;90,BK66,(BK66+IF($B$1+61&lt;=$B66,12*$B$7,-12*MAX(0,$B$6-IF($B$1+61&gt;=$B$23,$B$22,0))*(1+$B$4)^61))*IF(BK66+IF($B$1+61&lt;=$B66,12*$B$7,-12*MAX(0,$B$6-IF($B$1+61&gt;=$B$23,$B$22,0))*(1+$B$4)^61)&gt;0,1+$B$3,1))</f>
        <v/>
      </c>
      <c r="BM66">
        <f>IF($B$1+62&gt;90,BL66,(BL66+IF($B$1+62&lt;=$B66,12*$B$7,-12*MAX(0,$B$6-IF($B$1+62&gt;=$B$23,$B$22,0))*(1+$B$4)^62))*IF(BL66+IF($B$1+62&lt;=$B66,12*$B$7,-12*MAX(0,$B$6-IF($B$1+62&gt;=$B$23,$B$22,0))*(1+$B$4)^62)&gt;0,1+$B$3,1))</f>
        <v/>
      </c>
      <c r="BN66">
        <f>IF($B$1+63&gt;90,BM66,(BM66+IF($B$1+63&lt;=$B66,12*$B$7,-12*MAX(0,$B$6-IF($B$1+63&gt;=$B$23,$B$22,0))*(1+$B$4)^63))*IF(BM66+IF($B$1+63&lt;=$B66,12*$B$7,-12*MAX(0,$B$6-IF($B$1+63&gt;=$B$23,$B$22,0))*(1+$B$4)^63)&gt;0,1+$B$3,1))</f>
        <v/>
      </c>
      <c r="BO66">
        <f>IF($B$1+64&gt;90,BN66,(BN66+IF($B$1+64&lt;=$B66,12*$B$7,-12*MAX(0,$B$6-IF($B$1+64&gt;=$B$23,$B$22,0))*(1+$B$4)^64))*IF(BN66+IF($B$1+64&lt;=$B66,12*$B$7,-12*MAX(0,$B$6-IF($B$1+64&gt;=$B$23,$B$22,0))*(1+$B$4)^64)&gt;0,1+$B$3,1))</f>
        <v/>
      </c>
      <c r="BP66">
        <f>IF($B$1+65&gt;90,BO66,(BO66+IF($B$1+65&lt;=$B66,12*$B$7,-12*MAX(0,$B$6-IF($B$1+65&gt;=$B$23,$B$22,0))*(1+$B$4)^65))*IF(BO66+IF($B$1+65&lt;=$B66,12*$B$7,-12*MAX(0,$B$6-IF($B$1+65&gt;=$B$23,$B$22,0))*(1+$B$4)^65)&gt;0,1+$B$3,1))</f>
        <v/>
      </c>
      <c r="BQ66">
        <f>IF($B$1+66&gt;90,BP66,(BP66+IF($B$1+66&lt;=$B66,12*$B$7,-12*MAX(0,$B$6-IF($B$1+66&gt;=$B$23,$B$22,0))*(1+$B$4)^66))*IF(BP66+IF($B$1+66&lt;=$B66,12*$B$7,-12*MAX(0,$B$6-IF($B$1+66&gt;=$B$23,$B$22,0))*(1+$B$4)^66)&gt;0,1+$B$3,1))</f>
        <v/>
      </c>
      <c r="BR66">
        <f>IF($B$1+67&gt;90,BQ66,(BQ66+IF($B$1+67&lt;=$B66,12*$B$7,-12*MAX(0,$B$6-IF($B$1+67&gt;=$B$23,$B$22,0))*(1+$B$4)^67))*IF(BQ66+IF($B$1+67&lt;=$B66,12*$B$7,-12*MAX(0,$B$6-IF($B$1+67&gt;=$B$23,$B$22,0))*(1+$B$4)^67)&gt;0,1+$B$3,1))</f>
        <v/>
      </c>
      <c r="BS66">
        <f>IF($B$1+68&gt;90,BR66,(BR66+IF($B$1+68&lt;=$B66,12*$B$7,-12*MAX(0,$B$6-IF($B$1+68&gt;=$B$23,$B$22,0))*(1+$B$4)^68))*IF(BR66+IF($B$1+68&lt;=$B66,12*$B$7,-12*MAX(0,$B$6-IF($B$1+68&gt;=$B$23,$B$22,0))*(1+$B$4)^68)&gt;0,1+$B$3,1))</f>
        <v/>
      </c>
      <c r="BT66">
        <f>IF($B$1+69&gt;90,BS66,(BS66+IF($B$1+69&lt;=$B66,12*$B$7,-12*MAX(0,$B$6-IF($B$1+69&gt;=$B$23,$B$22,0))*(1+$B$4)^69))*IF(BS66+IF($B$1+69&lt;=$B66,12*$B$7,-12*MAX(0,$B$6-IF($B$1+69&gt;=$B$23,$B$22,0))*(1+$B$4)^69)&gt;0,1+$B$3,1))</f>
        <v/>
      </c>
      <c r="BU66">
        <f>IF($B$1+70&gt;90,BT66,(BT66+IF($B$1+70&lt;=$B66,12*$B$7,-12*MAX(0,$B$6-IF($B$1+70&gt;=$B$23,$B$22,0))*(1+$B$4)^70))*IF(BT66+IF($B$1+70&lt;=$B66,12*$B$7,-12*MAX(0,$B$6-IF($B$1+70&gt;=$B$23,$B$22,0))*(1+$B$4)^70)&gt;0,1+$B$3,1))</f>
        <v/>
      </c>
      <c r="BV66">
        <f>BU66</f>
        <v/>
      </c>
      <c r="BW66">
        <f>IF(AND($B66&lt;=70,BV66&gt;0),$B66,999)</f>
        <v/>
      </c>
      <c r="CB66" t="n">
        <v>65</v>
      </c>
      <c r="CC66">
        <f>IF($B$1+CB66&gt;90,0,12*MAX(0,$B$6-IF($B$1+CB66&gt;=$B$23,$B$22,0))*(1+$B$4)^CB66/(1+$B$3)^(CB66-1))</f>
        <v/>
      </c>
      <c r="CE66">
        <f>IF($B$1+64&gt;90,NA(),$B$1+64)</f>
        <v/>
      </c>
      <c r="CF66">
        <f>IF(OR($B$21="",$B$1+64&gt;90),NA(),INDEX($C$40:$BU$90,$B$21-$B$1+1,65))</f>
        <v/>
      </c>
      <c r="CH66">
        <f>IF(ISTEXT('월 가계부'!A66),SUBSTITUTE(SUBSTITUTE(SUBSTITUTE(SUBSTITUTE(SUBSTITUTE(SUBSTITUTE(SUBSTITUTE(SUBSTITUTE(SUBSTITUTE(TRIM('월 가계부'!A66),"년","-"),"월","-"),"일",""),".","-"),"/","-")," ","-"),"--","-"),"--","-"),"--","-")&amp;"-","")</f>
        <v/>
      </c>
      <c r="CI66">
        <f>IFERROR(IF('월 가계부'!A66="","",IF(ISNUMBER('월 가계부'!A66),IF(AND('월 가계부'!A66&gt;=19000101,'월 가계부'!A66&lt;=21001231),IF(AND(MOD(INT('월 가계부'!A66/100),100)&gt;=1,MOD(INT('월 가계부'!A66/100),100)&lt;=12,MOD(INT('월 가계부'!A66),100)&gt;=1,MOD(INT('월 가계부'!A66),100)&lt;=31),IF(MONTH(DATE(INT('월 가계부'!A66/10000),MOD(INT('월 가계부'!A66/100),100),MOD(INT('월 가계부'!A66),100)))=MOD(INT('월 가계부'!A66/100),100),DATE(INT('월 가계부'!A66/10000),MOD(INT('월 가계부'!A66/100),100),MOD(INT('월 가계부'!A66),100)),""),""),IF(AND('월 가계부'!A66&gt;=36526,'월 가계부'!A66&lt;73051),INT('월 가계부'!A66),"")),IF(OR(CM66="",CN66="",CO66=""),"",IF(AND(CM66&gt;=2000,CM66&lt;=2099,CN66&gt;=1,CN66&lt;=12,CO66&gt;=1,CO66&lt;=31),IF(MONTH(DATE(CM66,CN66,CO66))=CN66,DATE(CM66,CN66,CO66),""),"")))),"")</f>
        <v/>
      </c>
      <c r="CJ66">
        <f>IFERROR(IF('월 가계부'!C66="","",IF(ISNUMBER('월 가계부'!C66),'월 가계부'!C66,VALUE(SUBSTITUTE(SUBSTITUTE(SUBSTITUTE(SUBSTITUTE(TRIM('월 가계부'!C66),",",""),"원","")," ",""),"−","-")))),"")</f>
        <v/>
      </c>
      <c r="CK66">
        <f>IF(ISNUMBER(CI66),IF(CI66&lt;$B$13,CI66,""),"")</f>
        <v/>
      </c>
      <c r="CM66">
        <f>IF(CH66="","",IFERROR(IF(IF(AND(LEN(CH66)=9,ISERROR(FIND("-",LEFT(CH66,8))),ISNUMBER(-LEFT(CH66,8))),VALUE(LEFT(CH66,4)),VALUE(LEFT(CH66,FIND("-",CH66)-1)))&lt;100,IF(AND(LEN(CH66)=9,ISERROR(FIND("-",LEFT(CH66,8))),ISNUMBER(-LEFT(CH66,8))),VALUE(LEFT(CH66,4)),VALUE(LEFT(CH66,FIND("-",CH66)-1)))+2000,IF(AND(LEN(CH66)=9,ISERROR(FIND("-",LEFT(CH66,8))),ISNUMBER(-LEFT(CH66,8))),VALUE(LEFT(CH66,4)),VALUE(LEFT(CH66,FIND("-",CH66)-1)))),""))</f>
        <v/>
      </c>
      <c r="CN66">
        <f>IF(CH66="","",IFERROR(IF(AND(LEN(CH66)=9,ISERROR(FIND("-",LEFT(CH66,8))),ISNUMBER(-LEFT(CH66,8))),VALUE(MID(CH66,5,2)),VALUE(MID(CH66,FIND("-",CH66)+1,FIND("-",CH66,FIND("-",CH66)+1)-FIND("-",CH66)-1))),""))</f>
        <v/>
      </c>
      <c r="CO66">
        <f>IF(CH66="","",IFERROR(IF(AND(LEN(CH66)=9,ISERROR(FIND("-",LEFT(CH66,8))),ISNUMBER(-LEFT(CH66,8))),VALUE(MID(CH66,7,2)),VALUE(MID(CH66,FIND("-",CH66,FIND("-",CH66)+1)+1,FIND("-",CH66,FIND("-",CH66,FIND("-",CH66)+1)+1)-FIND("-",CH66,FIND("-",CH66)+1)-1))),""))</f>
        <v/>
      </c>
    </row>
    <row r="67">
      <c r="A67" t="n">
        <v>27</v>
      </c>
      <c r="B67">
        <f>$B$1+27</f>
        <v/>
      </c>
      <c r="C67">
        <f>$B$2</f>
        <v/>
      </c>
      <c r="D67">
        <f>IF($B$1+1&gt;90,C67,(C67+IF($B$1+1&lt;=$B67,12*$B$7,-12*MAX(0,$B$6-IF($B$1+1&gt;=$B$23,$B$22,0))*(1+$B$4)^1))*IF(C67+IF($B$1+1&lt;=$B67,12*$B$7,-12*MAX(0,$B$6-IF($B$1+1&gt;=$B$23,$B$22,0))*(1+$B$4)^1)&gt;0,1+$B$3,1))</f>
        <v/>
      </c>
      <c r="E67">
        <f>IF($B$1+2&gt;90,D67,(D67+IF($B$1+2&lt;=$B67,12*$B$7,-12*MAX(0,$B$6-IF($B$1+2&gt;=$B$23,$B$22,0))*(1+$B$4)^2))*IF(D67+IF($B$1+2&lt;=$B67,12*$B$7,-12*MAX(0,$B$6-IF($B$1+2&gt;=$B$23,$B$22,0))*(1+$B$4)^2)&gt;0,1+$B$3,1))</f>
        <v/>
      </c>
      <c r="F67">
        <f>IF($B$1+3&gt;90,E67,(E67+IF($B$1+3&lt;=$B67,12*$B$7,-12*MAX(0,$B$6-IF($B$1+3&gt;=$B$23,$B$22,0))*(1+$B$4)^3))*IF(E67+IF($B$1+3&lt;=$B67,12*$B$7,-12*MAX(0,$B$6-IF($B$1+3&gt;=$B$23,$B$22,0))*(1+$B$4)^3)&gt;0,1+$B$3,1))</f>
        <v/>
      </c>
      <c r="G67">
        <f>IF($B$1+4&gt;90,F67,(F67+IF($B$1+4&lt;=$B67,12*$B$7,-12*MAX(0,$B$6-IF($B$1+4&gt;=$B$23,$B$22,0))*(1+$B$4)^4))*IF(F67+IF($B$1+4&lt;=$B67,12*$B$7,-12*MAX(0,$B$6-IF($B$1+4&gt;=$B$23,$B$22,0))*(1+$B$4)^4)&gt;0,1+$B$3,1))</f>
        <v/>
      </c>
      <c r="H67">
        <f>IF($B$1+5&gt;90,G67,(G67+IF($B$1+5&lt;=$B67,12*$B$7,-12*MAX(0,$B$6-IF($B$1+5&gt;=$B$23,$B$22,0))*(1+$B$4)^5))*IF(G67+IF($B$1+5&lt;=$B67,12*$B$7,-12*MAX(0,$B$6-IF($B$1+5&gt;=$B$23,$B$22,0))*(1+$B$4)^5)&gt;0,1+$B$3,1))</f>
        <v/>
      </c>
      <c r="I67">
        <f>IF($B$1+6&gt;90,H67,(H67+IF($B$1+6&lt;=$B67,12*$B$7,-12*MAX(0,$B$6-IF($B$1+6&gt;=$B$23,$B$22,0))*(1+$B$4)^6))*IF(H67+IF($B$1+6&lt;=$B67,12*$B$7,-12*MAX(0,$B$6-IF($B$1+6&gt;=$B$23,$B$22,0))*(1+$B$4)^6)&gt;0,1+$B$3,1))</f>
        <v/>
      </c>
      <c r="J67">
        <f>IF($B$1+7&gt;90,I67,(I67+IF($B$1+7&lt;=$B67,12*$B$7,-12*MAX(0,$B$6-IF($B$1+7&gt;=$B$23,$B$22,0))*(1+$B$4)^7))*IF(I67+IF($B$1+7&lt;=$B67,12*$B$7,-12*MAX(0,$B$6-IF($B$1+7&gt;=$B$23,$B$22,0))*(1+$B$4)^7)&gt;0,1+$B$3,1))</f>
        <v/>
      </c>
      <c r="K67">
        <f>IF($B$1+8&gt;90,J67,(J67+IF($B$1+8&lt;=$B67,12*$B$7,-12*MAX(0,$B$6-IF($B$1+8&gt;=$B$23,$B$22,0))*(1+$B$4)^8))*IF(J67+IF($B$1+8&lt;=$B67,12*$B$7,-12*MAX(0,$B$6-IF($B$1+8&gt;=$B$23,$B$22,0))*(1+$B$4)^8)&gt;0,1+$B$3,1))</f>
        <v/>
      </c>
      <c r="L67">
        <f>IF($B$1+9&gt;90,K67,(K67+IF($B$1+9&lt;=$B67,12*$B$7,-12*MAX(0,$B$6-IF($B$1+9&gt;=$B$23,$B$22,0))*(1+$B$4)^9))*IF(K67+IF($B$1+9&lt;=$B67,12*$B$7,-12*MAX(0,$B$6-IF($B$1+9&gt;=$B$23,$B$22,0))*(1+$B$4)^9)&gt;0,1+$B$3,1))</f>
        <v/>
      </c>
      <c r="M67">
        <f>IF($B$1+10&gt;90,L67,(L67+IF($B$1+10&lt;=$B67,12*$B$7,-12*MAX(0,$B$6-IF($B$1+10&gt;=$B$23,$B$22,0))*(1+$B$4)^10))*IF(L67+IF($B$1+10&lt;=$B67,12*$B$7,-12*MAX(0,$B$6-IF($B$1+10&gt;=$B$23,$B$22,0))*(1+$B$4)^10)&gt;0,1+$B$3,1))</f>
        <v/>
      </c>
      <c r="N67">
        <f>IF($B$1+11&gt;90,M67,(M67+IF($B$1+11&lt;=$B67,12*$B$7,-12*MAX(0,$B$6-IF($B$1+11&gt;=$B$23,$B$22,0))*(1+$B$4)^11))*IF(M67+IF($B$1+11&lt;=$B67,12*$B$7,-12*MAX(0,$B$6-IF($B$1+11&gt;=$B$23,$B$22,0))*(1+$B$4)^11)&gt;0,1+$B$3,1))</f>
        <v/>
      </c>
      <c r="O67">
        <f>IF($B$1+12&gt;90,N67,(N67+IF($B$1+12&lt;=$B67,12*$B$7,-12*MAX(0,$B$6-IF($B$1+12&gt;=$B$23,$B$22,0))*(1+$B$4)^12))*IF(N67+IF($B$1+12&lt;=$B67,12*$B$7,-12*MAX(0,$B$6-IF($B$1+12&gt;=$B$23,$B$22,0))*(1+$B$4)^12)&gt;0,1+$B$3,1))</f>
        <v/>
      </c>
      <c r="P67">
        <f>IF($B$1+13&gt;90,O67,(O67+IF($B$1+13&lt;=$B67,12*$B$7,-12*MAX(0,$B$6-IF($B$1+13&gt;=$B$23,$B$22,0))*(1+$B$4)^13))*IF(O67+IF($B$1+13&lt;=$B67,12*$B$7,-12*MAX(0,$B$6-IF($B$1+13&gt;=$B$23,$B$22,0))*(1+$B$4)^13)&gt;0,1+$B$3,1))</f>
        <v/>
      </c>
      <c r="Q67">
        <f>IF($B$1+14&gt;90,P67,(P67+IF($B$1+14&lt;=$B67,12*$B$7,-12*MAX(0,$B$6-IF($B$1+14&gt;=$B$23,$B$22,0))*(1+$B$4)^14))*IF(P67+IF($B$1+14&lt;=$B67,12*$B$7,-12*MAX(0,$B$6-IF($B$1+14&gt;=$B$23,$B$22,0))*(1+$B$4)^14)&gt;0,1+$B$3,1))</f>
        <v/>
      </c>
      <c r="R67">
        <f>IF($B$1+15&gt;90,Q67,(Q67+IF($B$1+15&lt;=$B67,12*$B$7,-12*MAX(0,$B$6-IF($B$1+15&gt;=$B$23,$B$22,0))*(1+$B$4)^15))*IF(Q67+IF($B$1+15&lt;=$B67,12*$B$7,-12*MAX(0,$B$6-IF($B$1+15&gt;=$B$23,$B$22,0))*(1+$B$4)^15)&gt;0,1+$B$3,1))</f>
        <v/>
      </c>
      <c r="S67">
        <f>IF($B$1+16&gt;90,R67,(R67+IF($B$1+16&lt;=$B67,12*$B$7,-12*MAX(0,$B$6-IF($B$1+16&gt;=$B$23,$B$22,0))*(1+$B$4)^16))*IF(R67+IF($B$1+16&lt;=$B67,12*$B$7,-12*MAX(0,$B$6-IF($B$1+16&gt;=$B$23,$B$22,0))*(1+$B$4)^16)&gt;0,1+$B$3,1))</f>
        <v/>
      </c>
      <c r="T67">
        <f>IF($B$1+17&gt;90,S67,(S67+IF($B$1+17&lt;=$B67,12*$B$7,-12*MAX(0,$B$6-IF($B$1+17&gt;=$B$23,$B$22,0))*(1+$B$4)^17))*IF(S67+IF($B$1+17&lt;=$B67,12*$B$7,-12*MAX(0,$B$6-IF($B$1+17&gt;=$B$23,$B$22,0))*(1+$B$4)^17)&gt;0,1+$B$3,1))</f>
        <v/>
      </c>
      <c r="U67">
        <f>IF($B$1+18&gt;90,T67,(T67+IF($B$1+18&lt;=$B67,12*$B$7,-12*MAX(0,$B$6-IF($B$1+18&gt;=$B$23,$B$22,0))*(1+$B$4)^18))*IF(T67+IF($B$1+18&lt;=$B67,12*$B$7,-12*MAX(0,$B$6-IF($B$1+18&gt;=$B$23,$B$22,0))*(1+$B$4)^18)&gt;0,1+$B$3,1))</f>
        <v/>
      </c>
      <c r="V67">
        <f>IF($B$1+19&gt;90,U67,(U67+IF($B$1+19&lt;=$B67,12*$B$7,-12*MAX(0,$B$6-IF($B$1+19&gt;=$B$23,$B$22,0))*(1+$B$4)^19))*IF(U67+IF($B$1+19&lt;=$B67,12*$B$7,-12*MAX(0,$B$6-IF($B$1+19&gt;=$B$23,$B$22,0))*(1+$B$4)^19)&gt;0,1+$B$3,1))</f>
        <v/>
      </c>
      <c r="W67">
        <f>IF($B$1+20&gt;90,V67,(V67+IF($B$1+20&lt;=$B67,12*$B$7,-12*MAX(0,$B$6-IF($B$1+20&gt;=$B$23,$B$22,0))*(1+$B$4)^20))*IF(V67+IF($B$1+20&lt;=$B67,12*$B$7,-12*MAX(0,$B$6-IF($B$1+20&gt;=$B$23,$B$22,0))*(1+$B$4)^20)&gt;0,1+$B$3,1))</f>
        <v/>
      </c>
      <c r="X67">
        <f>IF($B$1+21&gt;90,W67,(W67+IF($B$1+21&lt;=$B67,12*$B$7,-12*MAX(0,$B$6-IF($B$1+21&gt;=$B$23,$B$22,0))*(1+$B$4)^21))*IF(W67+IF($B$1+21&lt;=$B67,12*$B$7,-12*MAX(0,$B$6-IF($B$1+21&gt;=$B$23,$B$22,0))*(1+$B$4)^21)&gt;0,1+$B$3,1))</f>
        <v/>
      </c>
      <c r="Y67">
        <f>IF($B$1+22&gt;90,X67,(X67+IF($B$1+22&lt;=$B67,12*$B$7,-12*MAX(0,$B$6-IF($B$1+22&gt;=$B$23,$B$22,0))*(1+$B$4)^22))*IF(X67+IF($B$1+22&lt;=$B67,12*$B$7,-12*MAX(0,$B$6-IF($B$1+22&gt;=$B$23,$B$22,0))*(1+$B$4)^22)&gt;0,1+$B$3,1))</f>
        <v/>
      </c>
      <c r="Z67">
        <f>IF($B$1+23&gt;90,Y67,(Y67+IF($B$1+23&lt;=$B67,12*$B$7,-12*MAX(0,$B$6-IF($B$1+23&gt;=$B$23,$B$22,0))*(1+$B$4)^23))*IF(Y67+IF($B$1+23&lt;=$B67,12*$B$7,-12*MAX(0,$B$6-IF($B$1+23&gt;=$B$23,$B$22,0))*(1+$B$4)^23)&gt;0,1+$B$3,1))</f>
        <v/>
      </c>
      <c r="AA67">
        <f>IF($B$1+24&gt;90,Z67,(Z67+IF($B$1+24&lt;=$B67,12*$B$7,-12*MAX(0,$B$6-IF($B$1+24&gt;=$B$23,$B$22,0))*(1+$B$4)^24))*IF(Z67+IF($B$1+24&lt;=$B67,12*$B$7,-12*MAX(0,$B$6-IF($B$1+24&gt;=$B$23,$B$22,0))*(1+$B$4)^24)&gt;0,1+$B$3,1))</f>
        <v/>
      </c>
      <c r="AB67">
        <f>IF($B$1+25&gt;90,AA67,(AA67+IF($B$1+25&lt;=$B67,12*$B$7,-12*MAX(0,$B$6-IF($B$1+25&gt;=$B$23,$B$22,0))*(1+$B$4)^25))*IF(AA67+IF($B$1+25&lt;=$B67,12*$B$7,-12*MAX(0,$B$6-IF($B$1+25&gt;=$B$23,$B$22,0))*(1+$B$4)^25)&gt;0,1+$B$3,1))</f>
        <v/>
      </c>
      <c r="AC67">
        <f>IF($B$1+26&gt;90,AB67,(AB67+IF($B$1+26&lt;=$B67,12*$B$7,-12*MAX(0,$B$6-IF($B$1+26&gt;=$B$23,$B$22,0))*(1+$B$4)^26))*IF(AB67+IF($B$1+26&lt;=$B67,12*$B$7,-12*MAX(0,$B$6-IF($B$1+26&gt;=$B$23,$B$22,0))*(1+$B$4)^26)&gt;0,1+$B$3,1))</f>
        <v/>
      </c>
      <c r="AD67">
        <f>IF($B$1+27&gt;90,AC67,(AC67+IF($B$1+27&lt;=$B67,12*$B$7,-12*MAX(0,$B$6-IF($B$1+27&gt;=$B$23,$B$22,0))*(1+$B$4)^27))*IF(AC67+IF($B$1+27&lt;=$B67,12*$B$7,-12*MAX(0,$B$6-IF($B$1+27&gt;=$B$23,$B$22,0))*(1+$B$4)^27)&gt;0,1+$B$3,1))</f>
        <v/>
      </c>
      <c r="AE67">
        <f>IF($B$1+28&gt;90,AD67,(AD67+IF($B$1+28&lt;=$B67,12*$B$7,-12*MAX(0,$B$6-IF($B$1+28&gt;=$B$23,$B$22,0))*(1+$B$4)^28))*IF(AD67+IF($B$1+28&lt;=$B67,12*$B$7,-12*MAX(0,$B$6-IF($B$1+28&gt;=$B$23,$B$22,0))*(1+$B$4)^28)&gt;0,1+$B$3,1))</f>
        <v/>
      </c>
      <c r="AF67">
        <f>IF($B$1+29&gt;90,AE67,(AE67+IF($B$1+29&lt;=$B67,12*$B$7,-12*MAX(0,$B$6-IF($B$1+29&gt;=$B$23,$B$22,0))*(1+$B$4)^29))*IF(AE67+IF($B$1+29&lt;=$B67,12*$B$7,-12*MAX(0,$B$6-IF($B$1+29&gt;=$B$23,$B$22,0))*(1+$B$4)^29)&gt;0,1+$B$3,1))</f>
        <v/>
      </c>
      <c r="AG67">
        <f>IF($B$1+30&gt;90,AF67,(AF67+IF($B$1+30&lt;=$B67,12*$B$7,-12*MAX(0,$B$6-IF($B$1+30&gt;=$B$23,$B$22,0))*(1+$B$4)^30))*IF(AF67+IF($B$1+30&lt;=$B67,12*$B$7,-12*MAX(0,$B$6-IF($B$1+30&gt;=$B$23,$B$22,0))*(1+$B$4)^30)&gt;0,1+$B$3,1))</f>
        <v/>
      </c>
      <c r="AH67">
        <f>IF($B$1+31&gt;90,AG67,(AG67+IF($B$1+31&lt;=$B67,12*$B$7,-12*MAX(0,$B$6-IF($B$1+31&gt;=$B$23,$B$22,0))*(1+$B$4)^31))*IF(AG67+IF($B$1+31&lt;=$B67,12*$B$7,-12*MAX(0,$B$6-IF($B$1+31&gt;=$B$23,$B$22,0))*(1+$B$4)^31)&gt;0,1+$B$3,1))</f>
        <v/>
      </c>
      <c r="AI67">
        <f>IF($B$1+32&gt;90,AH67,(AH67+IF($B$1+32&lt;=$B67,12*$B$7,-12*MAX(0,$B$6-IF($B$1+32&gt;=$B$23,$B$22,0))*(1+$B$4)^32))*IF(AH67+IF($B$1+32&lt;=$B67,12*$B$7,-12*MAX(0,$B$6-IF($B$1+32&gt;=$B$23,$B$22,0))*(1+$B$4)^32)&gt;0,1+$B$3,1))</f>
        <v/>
      </c>
      <c r="AJ67">
        <f>IF($B$1+33&gt;90,AI67,(AI67+IF($B$1+33&lt;=$B67,12*$B$7,-12*MAX(0,$B$6-IF($B$1+33&gt;=$B$23,$B$22,0))*(1+$B$4)^33))*IF(AI67+IF($B$1+33&lt;=$B67,12*$B$7,-12*MAX(0,$B$6-IF($B$1+33&gt;=$B$23,$B$22,0))*(1+$B$4)^33)&gt;0,1+$B$3,1))</f>
        <v/>
      </c>
      <c r="AK67">
        <f>IF($B$1+34&gt;90,AJ67,(AJ67+IF($B$1+34&lt;=$B67,12*$B$7,-12*MAX(0,$B$6-IF($B$1+34&gt;=$B$23,$B$22,0))*(1+$B$4)^34))*IF(AJ67+IF($B$1+34&lt;=$B67,12*$B$7,-12*MAX(0,$B$6-IF($B$1+34&gt;=$B$23,$B$22,0))*(1+$B$4)^34)&gt;0,1+$B$3,1))</f>
        <v/>
      </c>
      <c r="AL67">
        <f>IF($B$1+35&gt;90,AK67,(AK67+IF($B$1+35&lt;=$B67,12*$B$7,-12*MAX(0,$B$6-IF($B$1+35&gt;=$B$23,$B$22,0))*(1+$B$4)^35))*IF(AK67+IF($B$1+35&lt;=$B67,12*$B$7,-12*MAX(0,$B$6-IF($B$1+35&gt;=$B$23,$B$22,0))*(1+$B$4)^35)&gt;0,1+$B$3,1))</f>
        <v/>
      </c>
      <c r="AM67">
        <f>IF($B$1+36&gt;90,AL67,(AL67+IF($B$1+36&lt;=$B67,12*$B$7,-12*MAX(0,$B$6-IF($B$1+36&gt;=$B$23,$B$22,0))*(1+$B$4)^36))*IF(AL67+IF($B$1+36&lt;=$B67,12*$B$7,-12*MAX(0,$B$6-IF($B$1+36&gt;=$B$23,$B$22,0))*(1+$B$4)^36)&gt;0,1+$B$3,1))</f>
        <v/>
      </c>
      <c r="AN67">
        <f>IF($B$1+37&gt;90,AM67,(AM67+IF($B$1+37&lt;=$B67,12*$B$7,-12*MAX(0,$B$6-IF($B$1+37&gt;=$B$23,$B$22,0))*(1+$B$4)^37))*IF(AM67+IF($B$1+37&lt;=$B67,12*$B$7,-12*MAX(0,$B$6-IF($B$1+37&gt;=$B$23,$B$22,0))*(1+$B$4)^37)&gt;0,1+$B$3,1))</f>
        <v/>
      </c>
      <c r="AO67">
        <f>IF($B$1+38&gt;90,AN67,(AN67+IF($B$1+38&lt;=$B67,12*$B$7,-12*MAX(0,$B$6-IF($B$1+38&gt;=$B$23,$B$22,0))*(1+$B$4)^38))*IF(AN67+IF($B$1+38&lt;=$B67,12*$B$7,-12*MAX(0,$B$6-IF($B$1+38&gt;=$B$23,$B$22,0))*(1+$B$4)^38)&gt;0,1+$B$3,1))</f>
        <v/>
      </c>
      <c r="AP67">
        <f>IF($B$1+39&gt;90,AO67,(AO67+IF($B$1+39&lt;=$B67,12*$B$7,-12*MAX(0,$B$6-IF($B$1+39&gt;=$B$23,$B$22,0))*(1+$B$4)^39))*IF(AO67+IF($B$1+39&lt;=$B67,12*$B$7,-12*MAX(0,$B$6-IF($B$1+39&gt;=$B$23,$B$22,0))*(1+$B$4)^39)&gt;0,1+$B$3,1))</f>
        <v/>
      </c>
      <c r="AQ67">
        <f>IF($B$1+40&gt;90,AP67,(AP67+IF($B$1+40&lt;=$B67,12*$B$7,-12*MAX(0,$B$6-IF($B$1+40&gt;=$B$23,$B$22,0))*(1+$B$4)^40))*IF(AP67+IF($B$1+40&lt;=$B67,12*$B$7,-12*MAX(0,$B$6-IF($B$1+40&gt;=$B$23,$B$22,0))*(1+$B$4)^40)&gt;0,1+$B$3,1))</f>
        <v/>
      </c>
      <c r="AR67">
        <f>IF($B$1+41&gt;90,AQ67,(AQ67+IF($B$1+41&lt;=$B67,12*$B$7,-12*MAX(0,$B$6-IF($B$1+41&gt;=$B$23,$B$22,0))*(1+$B$4)^41))*IF(AQ67+IF($B$1+41&lt;=$B67,12*$B$7,-12*MAX(0,$B$6-IF($B$1+41&gt;=$B$23,$B$22,0))*(1+$B$4)^41)&gt;0,1+$B$3,1))</f>
        <v/>
      </c>
      <c r="AS67">
        <f>IF($B$1+42&gt;90,AR67,(AR67+IF($B$1+42&lt;=$B67,12*$B$7,-12*MAX(0,$B$6-IF($B$1+42&gt;=$B$23,$B$22,0))*(1+$B$4)^42))*IF(AR67+IF($B$1+42&lt;=$B67,12*$B$7,-12*MAX(0,$B$6-IF($B$1+42&gt;=$B$23,$B$22,0))*(1+$B$4)^42)&gt;0,1+$B$3,1))</f>
        <v/>
      </c>
      <c r="AT67">
        <f>IF($B$1+43&gt;90,AS67,(AS67+IF($B$1+43&lt;=$B67,12*$B$7,-12*MAX(0,$B$6-IF($B$1+43&gt;=$B$23,$B$22,0))*(1+$B$4)^43))*IF(AS67+IF($B$1+43&lt;=$B67,12*$B$7,-12*MAX(0,$B$6-IF($B$1+43&gt;=$B$23,$B$22,0))*(1+$B$4)^43)&gt;0,1+$B$3,1))</f>
        <v/>
      </c>
      <c r="AU67">
        <f>IF($B$1+44&gt;90,AT67,(AT67+IF($B$1+44&lt;=$B67,12*$B$7,-12*MAX(0,$B$6-IF($B$1+44&gt;=$B$23,$B$22,0))*(1+$B$4)^44))*IF(AT67+IF($B$1+44&lt;=$B67,12*$B$7,-12*MAX(0,$B$6-IF($B$1+44&gt;=$B$23,$B$22,0))*(1+$B$4)^44)&gt;0,1+$B$3,1))</f>
        <v/>
      </c>
      <c r="AV67">
        <f>IF($B$1+45&gt;90,AU67,(AU67+IF($B$1+45&lt;=$B67,12*$B$7,-12*MAX(0,$B$6-IF($B$1+45&gt;=$B$23,$B$22,0))*(1+$B$4)^45))*IF(AU67+IF($B$1+45&lt;=$B67,12*$B$7,-12*MAX(0,$B$6-IF($B$1+45&gt;=$B$23,$B$22,0))*(1+$B$4)^45)&gt;0,1+$B$3,1))</f>
        <v/>
      </c>
      <c r="AW67">
        <f>IF($B$1+46&gt;90,AV67,(AV67+IF($B$1+46&lt;=$B67,12*$B$7,-12*MAX(0,$B$6-IF($B$1+46&gt;=$B$23,$B$22,0))*(1+$B$4)^46))*IF(AV67+IF($B$1+46&lt;=$B67,12*$B$7,-12*MAX(0,$B$6-IF($B$1+46&gt;=$B$23,$B$22,0))*(1+$B$4)^46)&gt;0,1+$B$3,1))</f>
        <v/>
      </c>
      <c r="AX67">
        <f>IF($B$1+47&gt;90,AW67,(AW67+IF($B$1+47&lt;=$B67,12*$B$7,-12*MAX(0,$B$6-IF($B$1+47&gt;=$B$23,$B$22,0))*(1+$B$4)^47))*IF(AW67+IF($B$1+47&lt;=$B67,12*$B$7,-12*MAX(0,$B$6-IF($B$1+47&gt;=$B$23,$B$22,0))*(1+$B$4)^47)&gt;0,1+$B$3,1))</f>
        <v/>
      </c>
      <c r="AY67">
        <f>IF($B$1+48&gt;90,AX67,(AX67+IF($B$1+48&lt;=$B67,12*$B$7,-12*MAX(0,$B$6-IF($B$1+48&gt;=$B$23,$B$22,0))*(1+$B$4)^48))*IF(AX67+IF($B$1+48&lt;=$B67,12*$B$7,-12*MAX(0,$B$6-IF($B$1+48&gt;=$B$23,$B$22,0))*(1+$B$4)^48)&gt;0,1+$B$3,1))</f>
        <v/>
      </c>
      <c r="AZ67">
        <f>IF($B$1+49&gt;90,AY67,(AY67+IF($B$1+49&lt;=$B67,12*$B$7,-12*MAX(0,$B$6-IF($B$1+49&gt;=$B$23,$B$22,0))*(1+$B$4)^49))*IF(AY67+IF($B$1+49&lt;=$B67,12*$B$7,-12*MAX(0,$B$6-IF($B$1+49&gt;=$B$23,$B$22,0))*(1+$B$4)^49)&gt;0,1+$B$3,1))</f>
        <v/>
      </c>
      <c r="BA67">
        <f>IF($B$1+50&gt;90,AZ67,(AZ67+IF($B$1+50&lt;=$B67,12*$B$7,-12*MAX(0,$B$6-IF($B$1+50&gt;=$B$23,$B$22,0))*(1+$B$4)^50))*IF(AZ67+IF($B$1+50&lt;=$B67,12*$B$7,-12*MAX(0,$B$6-IF($B$1+50&gt;=$B$23,$B$22,0))*(1+$B$4)^50)&gt;0,1+$B$3,1))</f>
        <v/>
      </c>
      <c r="BB67">
        <f>IF($B$1+51&gt;90,BA67,(BA67+IF($B$1+51&lt;=$B67,12*$B$7,-12*MAX(0,$B$6-IF($B$1+51&gt;=$B$23,$B$22,0))*(1+$B$4)^51))*IF(BA67+IF($B$1+51&lt;=$B67,12*$B$7,-12*MAX(0,$B$6-IF($B$1+51&gt;=$B$23,$B$22,0))*(1+$B$4)^51)&gt;0,1+$B$3,1))</f>
        <v/>
      </c>
      <c r="BC67">
        <f>IF($B$1+52&gt;90,BB67,(BB67+IF($B$1+52&lt;=$B67,12*$B$7,-12*MAX(0,$B$6-IF($B$1+52&gt;=$B$23,$B$22,0))*(1+$B$4)^52))*IF(BB67+IF($B$1+52&lt;=$B67,12*$B$7,-12*MAX(0,$B$6-IF($B$1+52&gt;=$B$23,$B$22,0))*(1+$B$4)^52)&gt;0,1+$B$3,1))</f>
        <v/>
      </c>
      <c r="BD67">
        <f>IF($B$1+53&gt;90,BC67,(BC67+IF($B$1+53&lt;=$B67,12*$B$7,-12*MAX(0,$B$6-IF($B$1+53&gt;=$B$23,$B$22,0))*(1+$B$4)^53))*IF(BC67+IF($B$1+53&lt;=$B67,12*$B$7,-12*MAX(0,$B$6-IF($B$1+53&gt;=$B$23,$B$22,0))*(1+$B$4)^53)&gt;0,1+$B$3,1))</f>
        <v/>
      </c>
      <c r="BE67">
        <f>IF($B$1+54&gt;90,BD67,(BD67+IF($B$1+54&lt;=$B67,12*$B$7,-12*MAX(0,$B$6-IF($B$1+54&gt;=$B$23,$B$22,0))*(1+$B$4)^54))*IF(BD67+IF($B$1+54&lt;=$B67,12*$B$7,-12*MAX(0,$B$6-IF($B$1+54&gt;=$B$23,$B$22,0))*(1+$B$4)^54)&gt;0,1+$B$3,1))</f>
        <v/>
      </c>
      <c r="BF67">
        <f>IF($B$1+55&gt;90,BE67,(BE67+IF($B$1+55&lt;=$B67,12*$B$7,-12*MAX(0,$B$6-IF($B$1+55&gt;=$B$23,$B$22,0))*(1+$B$4)^55))*IF(BE67+IF($B$1+55&lt;=$B67,12*$B$7,-12*MAX(0,$B$6-IF($B$1+55&gt;=$B$23,$B$22,0))*(1+$B$4)^55)&gt;0,1+$B$3,1))</f>
        <v/>
      </c>
      <c r="BG67">
        <f>IF($B$1+56&gt;90,BF67,(BF67+IF($B$1+56&lt;=$B67,12*$B$7,-12*MAX(0,$B$6-IF($B$1+56&gt;=$B$23,$B$22,0))*(1+$B$4)^56))*IF(BF67+IF($B$1+56&lt;=$B67,12*$B$7,-12*MAX(0,$B$6-IF($B$1+56&gt;=$B$23,$B$22,0))*(1+$B$4)^56)&gt;0,1+$B$3,1))</f>
        <v/>
      </c>
      <c r="BH67">
        <f>IF($B$1+57&gt;90,BG67,(BG67+IF($B$1+57&lt;=$B67,12*$B$7,-12*MAX(0,$B$6-IF($B$1+57&gt;=$B$23,$B$22,0))*(1+$B$4)^57))*IF(BG67+IF($B$1+57&lt;=$B67,12*$B$7,-12*MAX(0,$B$6-IF($B$1+57&gt;=$B$23,$B$22,0))*(1+$B$4)^57)&gt;0,1+$B$3,1))</f>
        <v/>
      </c>
      <c r="BI67">
        <f>IF($B$1+58&gt;90,BH67,(BH67+IF($B$1+58&lt;=$B67,12*$B$7,-12*MAX(0,$B$6-IF($B$1+58&gt;=$B$23,$B$22,0))*(1+$B$4)^58))*IF(BH67+IF($B$1+58&lt;=$B67,12*$B$7,-12*MAX(0,$B$6-IF($B$1+58&gt;=$B$23,$B$22,0))*(1+$B$4)^58)&gt;0,1+$B$3,1))</f>
        <v/>
      </c>
      <c r="BJ67">
        <f>IF($B$1+59&gt;90,BI67,(BI67+IF($B$1+59&lt;=$B67,12*$B$7,-12*MAX(0,$B$6-IF($B$1+59&gt;=$B$23,$B$22,0))*(1+$B$4)^59))*IF(BI67+IF($B$1+59&lt;=$B67,12*$B$7,-12*MAX(0,$B$6-IF($B$1+59&gt;=$B$23,$B$22,0))*(1+$B$4)^59)&gt;0,1+$B$3,1))</f>
        <v/>
      </c>
      <c r="BK67">
        <f>IF($B$1+60&gt;90,BJ67,(BJ67+IF($B$1+60&lt;=$B67,12*$B$7,-12*MAX(0,$B$6-IF($B$1+60&gt;=$B$23,$B$22,0))*(1+$B$4)^60))*IF(BJ67+IF($B$1+60&lt;=$B67,12*$B$7,-12*MAX(0,$B$6-IF($B$1+60&gt;=$B$23,$B$22,0))*(1+$B$4)^60)&gt;0,1+$B$3,1))</f>
        <v/>
      </c>
      <c r="BL67">
        <f>IF($B$1+61&gt;90,BK67,(BK67+IF($B$1+61&lt;=$B67,12*$B$7,-12*MAX(0,$B$6-IF($B$1+61&gt;=$B$23,$B$22,0))*(1+$B$4)^61))*IF(BK67+IF($B$1+61&lt;=$B67,12*$B$7,-12*MAX(0,$B$6-IF($B$1+61&gt;=$B$23,$B$22,0))*(1+$B$4)^61)&gt;0,1+$B$3,1))</f>
        <v/>
      </c>
      <c r="BM67">
        <f>IF($B$1+62&gt;90,BL67,(BL67+IF($B$1+62&lt;=$B67,12*$B$7,-12*MAX(0,$B$6-IF($B$1+62&gt;=$B$23,$B$22,0))*(1+$B$4)^62))*IF(BL67+IF($B$1+62&lt;=$B67,12*$B$7,-12*MAX(0,$B$6-IF($B$1+62&gt;=$B$23,$B$22,0))*(1+$B$4)^62)&gt;0,1+$B$3,1))</f>
        <v/>
      </c>
      <c r="BN67">
        <f>IF($B$1+63&gt;90,BM67,(BM67+IF($B$1+63&lt;=$B67,12*$B$7,-12*MAX(0,$B$6-IF($B$1+63&gt;=$B$23,$B$22,0))*(1+$B$4)^63))*IF(BM67+IF($B$1+63&lt;=$B67,12*$B$7,-12*MAX(0,$B$6-IF($B$1+63&gt;=$B$23,$B$22,0))*(1+$B$4)^63)&gt;0,1+$B$3,1))</f>
        <v/>
      </c>
      <c r="BO67">
        <f>IF($B$1+64&gt;90,BN67,(BN67+IF($B$1+64&lt;=$B67,12*$B$7,-12*MAX(0,$B$6-IF($B$1+64&gt;=$B$23,$B$22,0))*(1+$B$4)^64))*IF(BN67+IF($B$1+64&lt;=$B67,12*$B$7,-12*MAX(0,$B$6-IF($B$1+64&gt;=$B$23,$B$22,0))*(1+$B$4)^64)&gt;0,1+$B$3,1))</f>
        <v/>
      </c>
      <c r="BP67">
        <f>IF($B$1+65&gt;90,BO67,(BO67+IF($B$1+65&lt;=$B67,12*$B$7,-12*MAX(0,$B$6-IF($B$1+65&gt;=$B$23,$B$22,0))*(1+$B$4)^65))*IF(BO67+IF($B$1+65&lt;=$B67,12*$B$7,-12*MAX(0,$B$6-IF($B$1+65&gt;=$B$23,$B$22,0))*(1+$B$4)^65)&gt;0,1+$B$3,1))</f>
        <v/>
      </c>
      <c r="BQ67">
        <f>IF($B$1+66&gt;90,BP67,(BP67+IF($B$1+66&lt;=$B67,12*$B$7,-12*MAX(0,$B$6-IF($B$1+66&gt;=$B$23,$B$22,0))*(1+$B$4)^66))*IF(BP67+IF($B$1+66&lt;=$B67,12*$B$7,-12*MAX(0,$B$6-IF($B$1+66&gt;=$B$23,$B$22,0))*(1+$B$4)^66)&gt;0,1+$B$3,1))</f>
        <v/>
      </c>
      <c r="BR67">
        <f>IF($B$1+67&gt;90,BQ67,(BQ67+IF($B$1+67&lt;=$B67,12*$B$7,-12*MAX(0,$B$6-IF($B$1+67&gt;=$B$23,$B$22,0))*(1+$B$4)^67))*IF(BQ67+IF($B$1+67&lt;=$B67,12*$B$7,-12*MAX(0,$B$6-IF($B$1+67&gt;=$B$23,$B$22,0))*(1+$B$4)^67)&gt;0,1+$B$3,1))</f>
        <v/>
      </c>
      <c r="BS67">
        <f>IF($B$1+68&gt;90,BR67,(BR67+IF($B$1+68&lt;=$B67,12*$B$7,-12*MAX(0,$B$6-IF($B$1+68&gt;=$B$23,$B$22,0))*(1+$B$4)^68))*IF(BR67+IF($B$1+68&lt;=$B67,12*$B$7,-12*MAX(0,$B$6-IF($B$1+68&gt;=$B$23,$B$22,0))*(1+$B$4)^68)&gt;0,1+$B$3,1))</f>
        <v/>
      </c>
      <c r="BT67">
        <f>IF($B$1+69&gt;90,BS67,(BS67+IF($B$1+69&lt;=$B67,12*$B$7,-12*MAX(0,$B$6-IF($B$1+69&gt;=$B$23,$B$22,0))*(1+$B$4)^69))*IF(BS67+IF($B$1+69&lt;=$B67,12*$B$7,-12*MAX(0,$B$6-IF($B$1+69&gt;=$B$23,$B$22,0))*(1+$B$4)^69)&gt;0,1+$B$3,1))</f>
        <v/>
      </c>
      <c r="BU67">
        <f>IF($B$1+70&gt;90,BT67,(BT67+IF($B$1+70&lt;=$B67,12*$B$7,-12*MAX(0,$B$6-IF($B$1+70&gt;=$B$23,$B$22,0))*(1+$B$4)^70))*IF(BT67+IF($B$1+70&lt;=$B67,12*$B$7,-12*MAX(0,$B$6-IF($B$1+70&gt;=$B$23,$B$22,0))*(1+$B$4)^70)&gt;0,1+$B$3,1))</f>
        <v/>
      </c>
      <c r="BV67">
        <f>BU67</f>
        <v/>
      </c>
      <c r="BW67">
        <f>IF(AND($B67&lt;=70,BV67&gt;0),$B67,999)</f>
        <v/>
      </c>
      <c r="CB67" t="n">
        <v>66</v>
      </c>
      <c r="CC67">
        <f>IF($B$1+CB67&gt;90,0,12*MAX(0,$B$6-IF($B$1+CB67&gt;=$B$23,$B$22,0))*(1+$B$4)^CB67/(1+$B$3)^(CB67-1))</f>
        <v/>
      </c>
      <c r="CE67">
        <f>IF($B$1+65&gt;90,NA(),$B$1+65)</f>
        <v/>
      </c>
      <c r="CF67">
        <f>IF(OR($B$21="",$B$1+65&gt;90),NA(),INDEX($C$40:$BU$90,$B$21-$B$1+1,66))</f>
        <v/>
      </c>
      <c r="CH67">
        <f>IF(ISTEXT('월 가계부'!A67),SUBSTITUTE(SUBSTITUTE(SUBSTITUTE(SUBSTITUTE(SUBSTITUTE(SUBSTITUTE(SUBSTITUTE(SUBSTITUTE(SUBSTITUTE(TRIM('월 가계부'!A67),"년","-"),"월","-"),"일",""),".","-"),"/","-")," ","-"),"--","-"),"--","-"),"--","-")&amp;"-","")</f>
        <v/>
      </c>
      <c r="CI67">
        <f>IFERROR(IF('월 가계부'!A67="","",IF(ISNUMBER('월 가계부'!A67),IF(AND('월 가계부'!A67&gt;=19000101,'월 가계부'!A67&lt;=21001231),IF(AND(MOD(INT('월 가계부'!A67/100),100)&gt;=1,MOD(INT('월 가계부'!A67/100),100)&lt;=12,MOD(INT('월 가계부'!A67),100)&gt;=1,MOD(INT('월 가계부'!A67),100)&lt;=31),IF(MONTH(DATE(INT('월 가계부'!A67/10000),MOD(INT('월 가계부'!A67/100),100),MOD(INT('월 가계부'!A67),100)))=MOD(INT('월 가계부'!A67/100),100),DATE(INT('월 가계부'!A67/10000),MOD(INT('월 가계부'!A67/100),100),MOD(INT('월 가계부'!A67),100)),""),""),IF(AND('월 가계부'!A67&gt;=36526,'월 가계부'!A67&lt;73051),INT('월 가계부'!A67),"")),IF(OR(CM67="",CN67="",CO67=""),"",IF(AND(CM67&gt;=2000,CM67&lt;=2099,CN67&gt;=1,CN67&lt;=12,CO67&gt;=1,CO67&lt;=31),IF(MONTH(DATE(CM67,CN67,CO67))=CN67,DATE(CM67,CN67,CO67),""),"")))),"")</f>
        <v/>
      </c>
      <c r="CJ67">
        <f>IFERROR(IF('월 가계부'!C67="","",IF(ISNUMBER('월 가계부'!C67),'월 가계부'!C67,VALUE(SUBSTITUTE(SUBSTITUTE(SUBSTITUTE(SUBSTITUTE(TRIM('월 가계부'!C67),",",""),"원","")," ",""),"−","-")))),"")</f>
        <v/>
      </c>
      <c r="CK67">
        <f>IF(ISNUMBER(CI67),IF(CI67&lt;$B$13,CI67,""),"")</f>
        <v/>
      </c>
      <c r="CM67">
        <f>IF(CH67="","",IFERROR(IF(IF(AND(LEN(CH67)=9,ISERROR(FIND("-",LEFT(CH67,8))),ISNUMBER(-LEFT(CH67,8))),VALUE(LEFT(CH67,4)),VALUE(LEFT(CH67,FIND("-",CH67)-1)))&lt;100,IF(AND(LEN(CH67)=9,ISERROR(FIND("-",LEFT(CH67,8))),ISNUMBER(-LEFT(CH67,8))),VALUE(LEFT(CH67,4)),VALUE(LEFT(CH67,FIND("-",CH67)-1)))+2000,IF(AND(LEN(CH67)=9,ISERROR(FIND("-",LEFT(CH67,8))),ISNUMBER(-LEFT(CH67,8))),VALUE(LEFT(CH67,4)),VALUE(LEFT(CH67,FIND("-",CH67)-1)))),""))</f>
        <v/>
      </c>
      <c r="CN67">
        <f>IF(CH67="","",IFERROR(IF(AND(LEN(CH67)=9,ISERROR(FIND("-",LEFT(CH67,8))),ISNUMBER(-LEFT(CH67,8))),VALUE(MID(CH67,5,2)),VALUE(MID(CH67,FIND("-",CH67)+1,FIND("-",CH67,FIND("-",CH67)+1)-FIND("-",CH67)-1))),""))</f>
        <v/>
      </c>
      <c r="CO67">
        <f>IF(CH67="","",IFERROR(IF(AND(LEN(CH67)=9,ISERROR(FIND("-",LEFT(CH67,8))),ISNUMBER(-LEFT(CH67,8))),VALUE(MID(CH67,7,2)),VALUE(MID(CH67,FIND("-",CH67,FIND("-",CH67)+1)+1,FIND("-",CH67,FIND("-",CH67,FIND("-",CH67)+1)+1)-FIND("-",CH67,FIND("-",CH67)+1)-1))),""))</f>
        <v/>
      </c>
    </row>
    <row r="68">
      <c r="A68" t="n">
        <v>28</v>
      </c>
      <c r="B68">
        <f>$B$1+28</f>
        <v/>
      </c>
      <c r="C68">
        <f>$B$2</f>
        <v/>
      </c>
      <c r="D68">
        <f>IF($B$1+1&gt;90,C68,(C68+IF($B$1+1&lt;=$B68,12*$B$7,-12*MAX(0,$B$6-IF($B$1+1&gt;=$B$23,$B$22,0))*(1+$B$4)^1))*IF(C68+IF($B$1+1&lt;=$B68,12*$B$7,-12*MAX(0,$B$6-IF($B$1+1&gt;=$B$23,$B$22,0))*(1+$B$4)^1)&gt;0,1+$B$3,1))</f>
        <v/>
      </c>
      <c r="E68">
        <f>IF($B$1+2&gt;90,D68,(D68+IF($B$1+2&lt;=$B68,12*$B$7,-12*MAX(0,$B$6-IF($B$1+2&gt;=$B$23,$B$22,0))*(1+$B$4)^2))*IF(D68+IF($B$1+2&lt;=$B68,12*$B$7,-12*MAX(0,$B$6-IF($B$1+2&gt;=$B$23,$B$22,0))*(1+$B$4)^2)&gt;0,1+$B$3,1))</f>
        <v/>
      </c>
      <c r="F68">
        <f>IF($B$1+3&gt;90,E68,(E68+IF($B$1+3&lt;=$B68,12*$B$7,-12*MAX(0,$B$6-IF($B$1+3&gt;=$B$23,$B$22,0))*(1+$B$4)^3))*IF(E68+IF($B$1+3&lt;=$B68,12*$B$7,-12*MAX(0,$B$6-IF($B$1+3&gt;=$B$23,$B$22,0))*(1+$B$4)^3)&gt;0,1+$B$3,1))</f>
        <v/>
      </c>
      <c r="G68">
        <f>IF($B$1+4&gt;90,F68,(F68+IF($B$1+4&lt;=$B68,12*$B$7,-12*MAX(0,$B$6-IF($B$1+4&gt;=$B$23,$B$22,0))*(1+$B$4)^4))*IF(F68+IF($B$1+4&lt;=$B68,12*$B$7,-12*MAX(0,$B$6-IF($B$1+4&gt;=$B$23,$B$22,0))*(1+$B$4)^4)&gt;0,1+$B$3,1))</f>
        <v/>
      </c>
      <c r="H68">
        <f>IF($B$1+5&gt;90,G68,(G68+IF($B$1+5&lt;=$B68,12*$B$7,-12*MAX(0,$B$6-IF($B$1+5&gt;=$B$23,$B$22,0))*(1+$B$4)^5))*IF(G68+IF($B$1+5&lt;=$B68,12*$B$7,-12*MAX(0,$B$6-IF($B$1+5&gt;=$B$23,$B$22,0))*(1+$B$4)^5)&gt;0,1+$B$3,1))</f>
        <v/>
      </c>
      <c r="I68">
        <f>IF($B$1+6&gt;90,H68,(H68+IF($B$1+6&lt;=$B68,12*$B$7,-12*MAX(0,$B$6-IF($B$1+6&gt;=$B$23,$B$22,0))*(1+$B$4)^6))*IF(H68+IF($B$1+6&lt;=$B68,12*$B$7,-12*MAX(0,$B$6-IF($B$1+6&gt;=$B$23,$B$22,0))*(1+$B$4)^6)&gt;0,1+$B$3,1))</f>
        <v/>
      </c>
      <c r="J68">
        <f>IF($B$1+7&gt;90,I68,(I68+IF($B$1+7&lt;=$B68,12*$B$7,-12*MAX(0,$B$6-IF($B$1+7&gt;=$B$23,$B$22,0))*(1+$B$4)^7))*IF(I68+IF($B$1+7&lt;=$B68,12*$B$7,-12*MAX(0,$B$6-IF($B$1+7&gt;=$B$23,$B$22,0))*(1+$B$4)^7)&gt;0,1+$B$3,1))</f>
        <v/>
      </c>
      <c r="K68">
        <f>IF($B$1+8&gt;90,J68,(J68+IF($B$1+8&lt;=$B68,12*$B$7,-12*MAX(0,$B$6-IF($B$1+8&gt;=$B$23,$B$22,0))*(1+$B$4)^8))*IF(J68+IF($B$1+8&lt;=$B68,12*$B$7,-12*MAX(0,$B$6-IF($B$1+8&gt;=$B$23,$B$22,0))*(1+$B$4)^8)&gt;0,1+$B$3,1))</f>
        <v/>
      </c>
      <c r="L68">
        <f>IF($B$1+9&gt;90,K68,(K68+IF($B$1+9&lt;=$B68,12*$B$7,-12*MAX(0,$B$6-IF($B$1+9&gt;=$B$23,$B$22,0))*(1+$B$4)^9))*IF(K68+IF($B$1+9&lt;=$B68,12*$B$7,-12*MAX(0,$B$6-IF($B$1+9&gt;=$B$23,$B$22,0))*(1+$B$4)^9)&gt;0,1+$B$3,1))</f>
        <v/>
      </c>
      <c r="M68">
        <f>IF($B$1+10&gt;90,L68,(L68+IF($B$1+10&lt;=$B68,12*$B$7,-12*MAX(0,$B$6-IF($B$1+10&gt;=$B$23,$B$22,0))*(1+$B$4)^10))*IF(L68+IF($B$1+10&lt;=$B68,12*$B$7,-12*MAX(0,$B$6-IF($B$1+10&gt;=$B$23,$B$22,0))*(1+$B$4)^10)&gt;0,1+$B$3,1))</f>
        <v/>
      </c>
      <c r="N68">
        <f>IF($B$1+11&gt;90,M68,(M68+IF($B$1+11&lt;=$B68,12*$B$7,-12*MAX(0,$B$6-IF($B$1+11&gt;=$B$23,$B$22,0))*(1+$B$4)^11))*IF(M68+IF($B$1+11&lt;=$B68,12*$B$7,-12*MAX(0,$B$6-IF($B$1+11&gt;=$B$23,$B$22,0))*(1+$B$4)^11)&gt;0,1+$B$3,1))</f>
        <v/>
      </c>
      <c r="O68">
        <f>IF($B$1+12&gt;90,N68,(N68+IF($B$1+12&lt;=$B68,12*$B$7,-12*MAX(0,$B$6-IF($B$1+12&gt;=$B$23,$B$22,0))*(1+$B$4)^12))*IF(N68+IF($B$1+12&lt;=$B68,12*$B$7,-12*MAX(0,$B$6-IF($B$1+12&gt;=$B$23,$B$22,0))*(1+$B$4)^12)&gt;0,1+$B$3,1))</f>
        <v/>
      </c>
      <c r="P68">
        <f>IF($B$1+13&gt;90,O68,(O68+IF($B$1+13&lt;=$B68,12*$B$7,-12*MAX(0,$B$6-IF($B$1+13&gt;=$B$23,$B$22,0))*(1+$B$4)^13))*IF(O68+IF($B$1+13&lt;=$B68,12*$B$7,-12*MAX(0,$B$6-IF($B$1+13&gt;=$B$23,$B$22,0))*(1+$B$4)^13)&gt;0,1+$B$3,1))</f>
        <v/>
      </c>
      <c r="Q68">
        <f>IF($B$1+14&gt;90,P68,(P68+IF($B$1+14&lt;=$B68,12*$B$7,-12*MAX(0,$B$6-IF($B$1+14&gt;=$B$23,$B$22,0))*(1+$B$4)^14))*IF(P68+IF($B$1+14&lt;=$B68,12*$B$7,-12*MAX(0,$B$6-IF($B$1+14&gt;=$B$23,$B$22,0))*(1+$B$4)^14)&gt;0,1+$B$3,1))</f>
        <v/>
      </c>
      <c r="R68">
        <f>IF($B$1+15&gt;90,Q68,(Q68+IF($B$1+15&lt;=$B68,12*$B$7,-12*MAX(0,$B$6-IF($B$1+15&gt;=$B$23,$B$22,0))*(1+$B$4)^15))*IF(Q68+IF($B$1+15&lt;=$B68,12*$B$7,-12*MAX(0,$B$6-IF($B$1+15&gt;=$B$23,$B$22,0))*(1+$B$4)^15)&gt;0,1+$B$3,1))</f>
        <v/>
      </c>
      <c r="S68">
        <f>IF($B$1+16&gt;90,R68,(R68+IF($B$1+16&lt;=$B68,12*$B$7,-12*MAX(0,$B$6-IF($B$1+16&gt;=$B$23,$B$22,0))*(1+$B$4)^16))*IF(R68+IF($B$1+16&lt;=$B68,12*$B$7,-12*MAX(0,$B$6-IF($B$1+16&gt;=$B$23,$B$22,0))*(1+$B$4)^16)&gt;0,1+$B$3,1))</f>
        <v/>
      </c>
      <c r="T68">
        <f>IF($B$1+17&gt;90,S68,(S68+IF($B$1+17&lt;=$B68,12*$B$7,-12*MAX(0,$B$6-IF($B$1+17&gt;=$B$23,$B$22,0))*(1+$B$4)^17))*IF(S68+IF($B$1+17&lt;=$B68,12*$B$7,-12*MAX(0,$B$6-IF($B$1+17&gt;=$B$23,$B$22,0))*(1+$B$4)^17)&gt;0,1+$B$3,1))</f>
        <v/>
      </c>
      <c r="U68">
        <f>IF($B$1+18&gt;90,T68,(T68+IF($B$1+18&lt;=$B68,12*$B$7,-12*MAX(0,$B$6-IF($B$1+18&gt;=$B$23,$B$22,0))*(1+$B$4)^18))*IF(T68+IF($B$1+18&lt;=$B68,12*$B$7,-12*MAX(0,$B$6-IF($B$1+18&gt;=$B$23,$B$22,0))*(1+$B$4)^18)&gt;0,1+$B$3,1))</f>
        <v/>
      </c>
      <c r="V68">
        <f>IF($B$1+19&gt;90,U68,(U68+IF($B$1+19&lt;=$B68,12*$B$7,-12*MAX(0,$B$6-IF($B$1+19&gt;=$B$23,$B$22,0))*(1+$B$4)^19))*IF(U68+IF($B$1+19&lt;=$B68,12*$B$7,-12*MAX(0,$B$6-IF($B$1+19&gt;=$B$23,$B$22,0))*(1+$B$4)^19)&gt;0,1+$B$3,1))</f>
        <v/>
      </c>
      <c r="W68">
        <f>IF($B$1+20&gt;90,V68,(V68+IF($B$1+20&lt;=$B68,12*$B$7,-12*MAX(0,$B$6-IF($B$1+20&gt;=$B$23,$B$22,0))*(1+$B$4)^20))*IF(V68+IF($B$1+20&lt;=$B68,12*$B$7,-12*MAX(0,$B$6-IF($B$1+20&gt;=$B$23,$B$22,0))*(1+$B$4)^20)&gt;0,1+$B$3,1))</f>
        <v/>
      </c>
      <c r="X68">
        <f>IF($B$1+21&gt;90,W68,(W68+IF($B$1+21&lt;=$B68,12*$B$7,-12*MAX(0,$B$6-IF($B$1+21&gt;=$B$23,$B$22,0))*(1+$B$4)^21))*IF(W68+IF($B$1+21&lt;=$B68,12*$B$7,-12*MAX(0,$B$6-IF($B$1+21&gt;=$B$23,$B$22,0))*(1+$B$4)^21)&gt;0,1+$B$3,1))</f>
        <v/>
      </c>
      <c r="Y68">
        <f>IF($B$1+22&gt;90,X68,(X68+IF($B$1+22&lt;=$B68,12*$B$7,-12*MAX(0,$B$6-IF($B$1+22&gt;=$B$23,$B$22,0))*(1+$B$4)^22))*IF(X68+IF($B$1+22&lt;=$B68,12*$B$7,-12*MAX(0,$B$6-IF($B$1+22&gt;=$B$23,$B$22,0))*(1+$B$4)^22)&gt;0,1+$B$3,1))</f>
        <v/>
      </c>
      <c r="Z68">
        <f>IF($B$1+23&gt;90,Y68,(Y68+IF($B$1+23&lt;=$B68,12*$B$7,-12*MAX(0,$B$6-IF($B$1+23&gt;=$B$23,$B$22,0))*(1+$B$4)^23))*IF(Y68+IF($B$1+23&lt;=$B68,12*$B$7,-12*MAX(0,$B$6-IF($B$1+23&gt;=$B$23,$B$22,0))*(1+$B$4)^23)&gt;0,1+$B$3,1))</f>
        <v/>
      </c>
      <c r="AA68">
        <f>IF($B$1+24&gt;90,Z68,(Z68+IF($B$1+24&lt;=$B68,12*$B$7,-12*MAX(0,$B$6-IF($B$1+24&gt;=$B$23,$B$22,0))*(1+$B$4)^24))*IF(Z68+IF($B$1+24&lt;=$B68,12*$B$7,-12*MAX(0,$B$6-IF($B$1+24&gt;=$B$23,$B$22,0))*(1+$B$4)^24)&gt;0,1+$B$3,1))</f>
        <v/>
      </c>
      <c r="AB68">
        <f>IF($B$1+25&gt;90,AA68,(AA68+IF($B$1+25&lt;=$B68,12*$B$7,-12*MAX(0,$B$6-IF($B$1+25&gt;=$B$23,$B$22,0))*(1+$B$4)^25))*IF(AA68+IF($B$1+25&lt;=$B68,12*$B$7,-12*MAX(0,$B$6-IF($B$1+25&gt;=$B$23,$B$22,0))*(1+$B$4)^25)&gt;0,1+$B$3,1))</f>
        <v/>
      </c>
      <c r="AC68">
        <f>IF($B$1+26&gt;90,AB68,(AB68+IF($B$1+26&lt;=$B68,12*$B$7,-12*MAX(0,$B$6-IF($B$1+26&gt;=$B$23,$B$22,0))*(1+$B$4)^26))*IF(AB68+IF($B$1+26&lt;=$B68,12*$B$7,-12*MAX(0,$B$6-IF($B$1+26&gt;=$B$23,$B$22,0))*(1+$B$4)^26)&gt;0,1+$B$3,1))</f>
        <v/>
      </c>
      <c r="AD68">
        <f>IF($B$1+27&gt;90,AC68,(AC68+IF($B$1+27&lt;=$B68,12*$B$7,-12*MAX(0,$B$6-IF($B$1+27&gt;=$B$23,$B$22,0))*(1+$B$4)^27))*IF(AC68+IF($B$1+27&lt;=$B68,12*$B$7,-12*MAX(0,$B$6-IF($B$1+27&gt;=$B$23,$B$22,0))*(1+$B$4)^27)&gt;0,1+$B$3,1))</f>
        <v/>
      </c>
      <c r="AE68">
        <f>IF($B$1+28&gt;90,AD68,(AD68+IF($B$1+28&lt;=$B68,12*$B$7,-12*MAX(0,$B$6-IF($B$1+28&gt;=$B$23,$B$22,0))*(1+$B$4)^28))*IF(AD68+IF($B$1+28&lt;=$B68,12*$B$7,-12*MAX(0,$B$6-IF($B$1+28&gt;=$B$23,$B$22,0))*(1+$B$4)^28)&gt;0,1+$B$3,1))</f>
        <v/>
      </c>
      <c r="AF68">
        <f>IF($B$1+29&gt;90,AE68,(AE68+IF($B$1+29&lt;=$B68,12*$B$7,-12*MAX(0,$B$6-IF($B$1+29&gt;=$B$23,$B$22,0))*(1+$B$4)^29))*IF(AE68+IF($B$1+29&lt;=$B68,12*$B$7,-12*MAX(0,$B$6-IF($B$1+29&gt;=$B$23,$B$22,0))*(1+$B$4)^29)&gt;0,1+$B$3,1))</f>
        <v/>
      </c>
      <c r="AG68">
        <f>IF($B$1+30&gt;90,AF68,(AF68+IF($B$1+30&lt;=$B68,12*$B$7,-12*MAX(0,$B$6-IF($B$1+30&gt;=$B$23,$B$22,0))*(1+$B$4)^30))*IF(AF68+IF($B$1+30&lt;=$B68,12*$B$7,-12*MAX(0,$B$6-IF($B$1+30&gt;=$B$23,$B$22,0))*(1+$B$4)^30)&gt;0,1+$B$3,1))</f>
        <v/>
      </c>
      <c r="AH68">
        <f>IF($B$1+31&gt;90,AG68,(AG68+IF($B$1+31&lt;=$B68,12*$B$7,-12*MAX(0,$B$6-IF($B$1+31&gt;=$B$23,$B$22,0))*(1+$B$4)^31))*IF(AG68+IF($B$1+31&lt;=$B68,12*$B$7,-12*MAX(0,$B$6-IF($B$1+31&gt;=$B$23,$B$22,0))*(1+$B$4)^31)&gt;0,1+$B$3,1))</f>
        <v/>
      </c>
      <c r="AI68">
        <f>IF($B$1+32&gt;90,AH68,(AH68+IF($B$1+32&lt;=$B68,12*$B$7,-12*MAX(0,$B$6-IF($B$1+32&gt;=$B$23,$B$22,0))*(1+$B$4)^32))*IF(AH68+IF($B$1+32&lt;=$B68,12*$B$7,-12*MAX(0,$B$6-IF($B$1+32&gt;=$B$23,$B$22,0))*(1+$B$4)^32)&gt;0,1+$B$3,1))</f>
        <v/>
      </c>
      <c r="AJ68">
        <f>IF($B$1+33&gt;90,AI68,(AI68+IF($B$1+33&lt;=$B68,12*$B$7,-12*MAX(0,$B$6-IF($B$1+33&gt;=$B$23,$B$22,0))*(1+$B$4)^33))*IF(AI68+IF($B$1+33&lt;=$B68,12*$B$7,-12*MAX(0,$B$6-IF($B$1+33&gt;=$B$23,$B$22,0))*(1+$B$4)^33)&gt;0,1+$B$3,1))</f>
        <v/>
      </c>
      <c r="AK68">
        <f>IF($B$1+34&gt;90,AJ68,(AJ68+IF($B$1+34&lt;=$B68,12*$B$7,-12*MAX(0,$B$6-IF($B$1+34&gt;=$B$23,$B$22,0))*(1+$B$4)^34))*IF(AJ68+IF($B$1+34&lt;=$B68,12*$B$7,-12*MAX(0,$B$6-IF($B$1+34&gt;=$B$23,$B$22,0))*(1+$B$4)^34)&gt;0,1+$B$3,1))</f>
        <v/>
      </c>
      <c r="AL68">
        <f>IF($B$1+35&gt;90,AK68,(AK68+IF($B$1+35&lt;=$B68,12*$B$7,-12*MAX(0,$B$6-IF($B$1+35&gt;=$B$23,$B$22,0))*(1+$B$4)^35))*IF(AK68+IF($B$1+35&lt;=$B68,12*$B$7,-12*MAX(0,$B$6-IF($B$1+35&gt;=$B$23,$B$22,0))*(1+$B$4)^35)&gt;0,1+$B$3,1))</f>
        <v/>
      </c>
      <c r="AM68">
        <f>IF($B$1+36&gt;90,AL68,(AL68+IF($B$1+36&lt;=$B68,12*$B$7,-12*MAX(0,$B$6-IF($B$1+36&gt;=$B$23,$B$22,0))*(1+$B$4)^36))*IF(AL68+IF($B$1+36&lt;=$B68,12*$B$7,-12*MAX(0,$B$6-IF($B$1+36&gt;=$B$23,$B$22,0))*(1+$B$4)^36)&gt;0,1+$B$3,1))</f>
        <v/>
      </c>
      <c r="AN68">
        <f>IF($B$1+37&gt;90,AM68,(AM68+IF($B$1+37&lt;=$B68,12*$B$7,-12*MAX(0,$B$6-IF($B$1+37&gt;=$B$23,$B$22,0))*(1+$B$4)^37))*IF(AM68+IF($B$1+37&lt;=$B68,12*$B$7,-12*MAX(0,$B$6-IF($B$1+37&gt;=$B$23,$B$22,0))*(1+$B$4)^37)&gt;0,1+$B$3,1))</f>
        <v/>
      </c>
      <c r="AO68">
        <f>IF($B$1+38&gt;90,AN68,(AN68+IF($B$1+38&lt;=$B68,12*$B$7,-12*MAX(0,$B$6-IF($B$1+38&gt;=$B$23,$B$22,0))*(1+$B$4)^38))*IF(AN68+IF($B$1+38&lt;=$B68,12*$B$7,-12*MAX(0,$B$6-IF($B$1+38&gt;=$B$23,$B$22,0))*(1+$B$4)^38)&gt;0,1+$B$3,1))</f>
        <v/>
      </c>
      <c r="AP68">
        <f>IF($B$1+39&gt;90,AO68,(AO68+IF($B$1+39&lt;=$B68,12*$B$7,-12*MAX(0,$B$6-IF($B$1+39&gt;=$B$23,$B$22,0))*(1+$B$4)^39))*IF(AO68+IF($B$1+39&lt;=$B68,12*$B$7,-12*MAX(0,$B$6-IF($B$1+39&gt;=$B$23,$B$22,0))*(1+$B$4)^39)&gt;0,1+$B$3,1))</f>
        <v/>
      </c>
      <c r="AQ68">
        <f>IF($B$1+40&gt;90,AP68,(AP68+IF($B$1+40&lt;=$B68,12*$B$7,-12*MAX(0,$B$6-IF($B$1+40&gt;=$B$23,$B$22,0))*(1+$B$4)^40))*IF(AP68+IF($B$1+40&lt;=$B68,12*$B$7,-12*MAX(0,$B$6-IF($B$1+40&gt;=$B$23,$B$22,0))*(1+$B$4)^40)&gt;0,1+$B$3,1))</f>
        <v/>
      </c>
      <c r="AR68">
        <f>IF($B$1+41&gt;90,AQ68,(AQ68+IF($B$1+41&lt;=$B68,12*$B$7,-12*MAX(0,$B$6-IF($B$1+41&gt;=$B$23,$B$22,0))*(1+$B$4)^41))*IF(AQ68+IF($B$1+41&lt;=$B68,12*$B$7,-12*MAX(0,$B$6-IF($B$1+41&gt;=$B$23,$B$22,0))*(1+$B$4)^41)&gt;0,1+$B$3,1))</f>
        <v/>
      </c>
      <c r="AS68">
        <f>IF($B$1+42&gt;90,AR68,(AR68+IF($B$1+42&lt;=$B68,12*$B$7,-12*MAX(0,$B$6-IF($B$1+42&gt;=$B$23,$B$22,0))*(1+$B$4)^42))*IF(AR68+IF($B$1+42&lt;=$B68,12*$B$7,-12*MAX(0,$B$6-IF($B$1+42&gt;=$B$23,$B$22,0))*(1+$B$4)^42)&gt;0,1+$B$3,1))</f>
        <v/>
      </c>
      <c r="AT68">
        <f>IF($B$1+43&gt;90,AS68,(AS68+IF($B$1+43&lt;=$B68,12*$B$7,-12*MAX(0,$B$6-IF($B$1+43&gt;=$B$23,$B$22,0))*(1+$B$4)^43))*IF(AS68+IF($B$1+43&lt;=$B68,12*$B$7,-12*MAX(0,$B$6-IF($B$1+43&gt;=$B$23,$B$22,0))*(1+$B$4)^43)&gt;0,1+$B$3,1))</f>
        <v/>
      </c>
      <c r="AU68">
        <f>IF($B$1+44&gt;90,AT68,(AT68+IF($B$1+44&lt;=$B68,12*$B$7,-12*MAX(0,$B$6-IF($B$1+44&gt;=$B$23,$B$22,0))*(1+$B$4)^44))*IF(AT68+IF($B$1+44&lt;=$B68,12*$B$7,-12*MAX(0,$B$6-IF($B$1+44&gt;=$B$23,$B$22,0))*(1+$B$4)^44)&gt;0,1+$B$3,1))</f>
        <v/>
      </c>
      <c r="AV68">
        <f>IF($B$1+45&gt;90,AU68,(AU68+IF($B$1+45&lt;=$B68,12*$B$7,-12*MAX(0,$B$6-IF($B$1+45&gt;=$B$23,$B$22,0))*(1+$B$4)^45))*IF(AU68+IF($B$1+45&lt;=$B68,12*$B$7,-12*MAX(0,$B$6-IF($B$1+45&gt;=$B$23,$B$22,0))*(1+$B$4)^45)&gt;0,1+$B$3,1))</f>
        <v/>
      </c>
      <c r="AW68">
        <f>IF($B$1+46&gt;90,AV68,(AV68+IF($B$1+46&lt;=$B68,12*$B$7,-12*MAX(0,$B$6-IF($B$1+46&gt;=$B$23,$B$22,0))*(1+$B$4)^46))*IF(AV68+IF($B$1+46&lt;=$B68,12*$B$7,-12*MAX(0,$B$6-IF($B$1+46&gt;=$B$23,$B$22,0))*(1+$B$4)^46)&gt;0,1+$B$3,1))</f>
        <v/>
      </c>
      <c r="AX68">
        <f>IF($B$1+47&gt;90,AW68,(AW68+IF($B$1+47&lt;=$B68,12*$B$7,-12*MAX(0,$B$6-IF($B$1+47&gt;=$B$23,$B$22,0))*(1+$B$4)^47))*IF(AW68+IF($B$1+47&lt;=$B68,12*$B$7,-12*MAX(0,$B$6-IF($B$1+47&gt;=$B$23,$B$22,0))*(1+$B$4)^47)&gt;0,1+$B$3,1))</f>
        <v/>
      </c>
      <c r="AY68">
        <f>IF($B$1+48&gt;90,AX68,(AX68+IF($B$1+48&lt;=$B68,12*$B$7,-12*MAX(0,$B$6-IF($B$1+48&gt;=$B$23,$B$22,0))*(1+$B$4)^48))*IF(AX68+IF($B$1+48&lt;=$B68,12*$B$7,-12*MAX(0,$B$6-IF($B$1+48&gt;=$B$23,$B$22,0))*(1+$B$4)^48)&gt;0,1+$B$3,1))</f>
        <v/>
      </c>
      <c r="AZ68">
        <f>IF($B$1+49&gt;90,AY68,(AY68+IF($B$1+49&lt;=$B68,12*$B$7,-12*MAX(0,$B$6-IF($B$1+49&gt;=$B$23,$B$22,0))*(1+$B$4)^49))*IF(AY68+IF($B$1+49&lt;=$B68,12*$B$7,-12*MAX(0,$B$6-IF($B$1+49&gt;=$B$23,$B$22,0))*(1+$B$4)^49)&gt;0,1+$B$3,1))</f>
        <v/>
      </c>
      <c r="BA68">
        <f>IF($B$1+50&gt;90,AZ68,(AZ68+IF($B$1+50&lt;=$B68,12*$B$7,-12*MAX(0,$B$6-IF($B$1+50&gt;=$B$23,$B$22,0))*(1+$B$4)^50))*IF(AZ68+IF($B$1+50&lt;=$B68,12*$B$7,-12*MAX(0,$B$6-IF($B$1+50&gt;=$B$23,$B$22,0))*(1+$B$4)^50)&gt;0,1+$B$3,1))</f>
        <v/>
      </c>
      <c r="BB68">
        <f>IF($B$1+51&gt;90,BA68,(BA68+IF($B$1+51&lt;=$B68,12*$B$7,-12*MAX(0,$B$6-IF($B$1+51&gt;=$B$23,$B$22,0))*(1+$B$4)^51))*IF(BA68+IF($B$1+51&lt;=$B68,12*$B$7,-12*MAX(0,$B$6-IF($B$1+51&gt;=$B$23,$B$22,0))*(1+$B$4)^51)&gt;0,1+$B$3,1))</f>
        <v/>
      </c>
      <c r="BC68">
        <f>IF($B$1+52&gt;90,BB68,(BB68+IF($B$1+52&lt;=$B68,12*$B$7,-12*MAX(0,$B$6-IF($B$1+52&gt;=$B$23,$B$22,0))*(1+$B$4)^52))*IF(BB68+IF($B$1+52&lt;=$B68,12*$B$7,-12*MAX(0,$B$6-IF($B$1+52&gt;=$B$23,$B$22,0))*(1+$B$4)^52)&gt;0,1+$B$3,1))</f>
        <v/>
      </c>
      <c r="BD68">
        <f>IF($B$1+53&gt;90,BC68,(BC68+IF($B$1+53&lt;=$B68,12*$B$7,-12*MAX(0,$B$6-IF($B$1+53&gt;=$B$23,$B$22,0))*(1+$B$4)^53))*IF(BC68+IF($B$1+53&lt;=$B68,12*$B$7,-12*MAX(0,$B$6-IF($B$1+53&gt;=$B$23,$B$22,0))*(1+$B$4)^53)&gt;0,1+$B$3,1))</f>
        <v/>
      </c>
      <c r="BE68">
        <f>IF($B$1+54&gt;90,BD68,(BD68+IF($B$1+54&lt;=$B68,12*$B$7,-12*MAX(0,$B$6-IF($B$1+54&gt;=$B$23,$B$22,0))*(1+$B$4)^54))*IF(BD68+IF($B$1+54&lt;=$B68,12*$B$7,-12*MAX(0,$B$6-IF($B$1+54&gt;=$B$23,$B$22,0))*(1+$B$4)^54)&gt;0,1+$B$3,1))</f>
        <v/>
      </c>
      <c r="BF68">
        <f>IF($B$1+55&gt;90,BE68,(BE68+IF($B$1+55&lt;=$B68,12*$B$7,-12*MAX(0,$B$6-IF($B$1+55&gt;=$B$23,$B$22,0))*(1+$B$4)^55))*IF(BE68+IF($B$1+55&lt;=$B68,12*$B$7,-12*MAX(0,$B$6-IF($B$1+55&gt;=$B$23,$B$22,0))*(1+$B$4)^55)&gt;0,1+$B$3,1))</f>
        <v/>
      </c>
      <c r="BG68">
        <f>IF($B$1+56&gt;90,BF68,(BF68+IF($B$1+56&lt;=$B68,12*$B$7,-12*MAX(0,$B$6-IF($B$1+56&gt;=$B$23,$B$22,0))*(1+$B$4)^56))*IF(BF68+IF($B$1+56&lt;=$B68,12*$B$7,-12*MAX(0,$B$6-IF($B$1+56&gt;=$B$23,$B$22,0))*(1+$B$4)^56)&gt;0,1+$B$3,1))</f>
        <v/>
      </c>
      <c r="BH68">
        <f>IF($B$1+57&gt;90,BG68,(BG68+IF($B$1+57&lt;=$B68,12*$B$7,-12*MAX(0,$B$6-IF($B$1+57&gt;=$B$23,$B$22,0))*(1+$B$4)^57))*IF(BG68+IF($B$1+57&lt;=$B68,12*$B$7,-12*MAX(0,$B$6-IF($B$1+57&gt;=$B$23,$B$22,0))*(1+$B$4)^57)&gt;0,1+$B$3,1))</f>
        <v/>
      </c>
      <c r="BI68">
        <f>IF($B$1+58&gt;90,BH68,(BH68+IF($B$1+58&lt;=$B68,12*$B$7,-12*MAX(0,$B$6-IF($B$1+58&gt;=$B$23,$B$22,0))*(1+$B$4)^58))*IF(BH68+IF($B$1+58&lt;=$B68,12*$B$7,-12*MAX(0,$B$6-IF($B$1+58&gt;=$B$23,$B$22,0))*(1+$B$4)^58)&gt;0,1+$B$3,1))</f>
        <v/>
      </c>
      <c r="BJ68">
        <f>IF($B$1+59&gt;90,BI68,(BI68+IF($B$1+59&lt;=$B68,12*$B$7,-12*MAX(0,$B$6-IF($B$1+59&gt;=$B$23,$B$22,0))*(1+$B$4)^59))*IF(BI68+IF($B$1+59&lt;=$B68,12*$B$7,-12*MAX(0,$B$6-IF($B$1+59&gt;=$B$23,$B$22,0))*(1+$B$4)^59)&gt;0,1+$B$3,1))</f>
        <v/>
      </c>
      <c r="BK68">
        <f>IF($B$1+60&gt;90,BJ68,(BJ68+IF($B$1+60&lt;=$B68,12*$B$7,-12*MAX(0,$B$6-IF($B$1+60&gt;=$B$23,$B$22,0))*(1+$B$4)^60))*IF(BJ68+IF($B$1+60&lt;=$B68,12*$B$7,-12*MAX(0,$B$6-IF($B$1+60&gt;=$B$23,$B$22,0))*(1+$B$4)^60)&gt;0,1+$B$3,1))</f>
        <v/>
      </c>
      <c r="BL68">
        <f>IF($B$1+61&gt;90,BK68,(BK68+IF($B$1+61&lt;=$B68,12*$B$7,-12*MAX(0,$B$6-IF($B$1+61&gt;=$B$23,$B$22,0))*(1+$B$4)^61))*IF(BK68+IF($B$1+61&lt;=$B68,12*$B$7,-12*MAX(0,$B$6-IF($B$1+61&gt;=$B$23,$B$22,0))*(1+$B$4)^61)&gt;0,1+$B$3,1))</f>
        <v/>
      </c>
      <c r="BM68">
        <f>IF($B$1+62&gt;90,BL68,(BL68+IF($B$1+62&lt;=$B68,12*$B$7,-12*MAX(0,$B$6-IF($B$1+62&gt;=$B$23,$B$22,0))*(1+$B$4)^62))*IF(BL68+IF($B$1+62&lt;=$B68,12*$B$7,-12*MAX(0,$B$6-IF($B$1+62&gt;=$B$23,$B$22,0))*(1+$B$4)^62)&gt;0,1+$B$3,1))</f>
        <v/>
      </c>
      <c r="BN68">
        <f>IF($B$1+63&gt;90,BM68,(BM68+IF($B$1+63&lt;=$B68,12*$B$7,-12*MAX(0,$B$6-IF($B$1+63&gt;=$B$23,$B$22,0))*(1+$B$4)^63))*IF(BM68+IF($B$1+63&lt;=$B68,12*$B$7,-12*MAX(0,$B$6-IF($B$1+63&gt;=$B$23,$B$22,0))*(1+$B$4)^63)&gt;0,1+$B$3,1))</f>
        <v/>
      </c>
      <c r="BO68">
        <f>IF($B$1+64&gt;90,BN68,(BN68+IF($B$1+64&lt;=$B68,12*$B$7,-12*MAX(0,$B$6-IF($B$1+64&gt;=$B$23,$B$22,0))*(1+$B$4)^64))*IF(BN68+IF($B$1+64&lt;=$B68,12*$B$7,-12*MAX(0,$B$6-IF($B$1+64&gt;=$B$23,$B$22,0))*(1+$B$4)^64)&gt;0,1+$B$3,1))</f>
        <v/>
      </c>
      <c r="BP68">
        <f>IF($B$1+65&gt;90,BO68,(BO68+IF($B$1+65&lt;=$B68,12*$B$7,-12*MAX(0,$B$6-IF($B$1+65&gt;=$B$23,$B$22,0))*(1+$B$4)^65))*IF(BO68+IF($B$1+65&lt;=$B68,12*$B$7,-12*MAX(0,$B$6-IF($B$1+65&gt;=$B$23,$B$22,0))*(1+$B$4)^65)&gt;0,1+$B$3,1))</f>
        <v/>
      </c>
      <c r="BQ68">
        <f>IF($B$1+66&gt;90,BP68,(BP68+IF($B$1+66&lt;=$B68,12*$B$7,-12*MAX(0,$B$6-IF($B$1+66&gt;=$B$23,$B$22,0))*(1+$B$4)^66))*IF(BP68+IF($B$1+66&lt;=$B68,12*$B$7,-12*MAX(0,$B$6-IF($B$1+66&gt;=$B$23,$B$22,0))*(1+$B$4)^66)&gt;0,1+$B$3,1))</f>
        <v/>
      </c>
      <c r="BR68">
        <f>IF($B$1+67&gt;90,BQ68,(BQ68+IF($B$1+67&lt;=$B68,12*$B$7,-12*MAX(0,$B$6-IF($B$1+67&gt;=$B$23,$B$22,0))*(1+$B$4)^67))*IF(BQ68+IF($B$1+67&lt;=$B68,12*$B$7,-12*MAX(0,$B$6-IF($B$1+67&gt;=$B$23,$B$22,0))*(1+$B$4)^67)&gt;0,1+$B$3,1))</f>
        <v/>
      </c>
      <c r="BS68">
        <f>IF($B$1+68&gt;90,BR68,(BR68+IF($B$1+68&lt;=$B68,12*$B$7,-12*MAX(0,$B$6-IF($B$1+68&gt;=$B$23,$B$22,0))*(1+$B$4)^68))*IF(BR68+IF($B$1+68&lt;=$B68,12*$B$7,-12*MAX(0,$B$6-IF($B$1+68&gt;=$B$23,$B$22,0))*(1+$B$4)^68)&gt;0,1+$B$3,1))</f>
        <v/>
      </c>
      <c r="BT68">
        <f>IF($B$1+69&gt;90,BS68,(BS68+IF($B$1+69&lt;=$B68,12*$B$7,-12*MAX(0,$B$6-IF($B$1+69&gt;=$B$23,$B$22,0))*(1+$B$4)^69))*IF(BS68+IF($B$1+69&lt;=$B68,12*$B$7,-12*MAX(0,$B$6-IF($B$1+69&gt;=$B$23,$B$22,0))*(1+$B$4)^69)&gt;0,1+$B$3,1))</f>
        <v/>
      </c>
      <c r="BU68">
        <f>IF($B$1+70&gt;90,BT68,(BT68+IF($B$1+70&lt;=$B68,12*$B$7,-12*MAX(0,$B$6-IF($B$1+70&gt;=$B$23,$B$22,0))*(1+$B$4)^70))*IF(BT68+IF($B$1+70&lt;=$B68,12*$B$7,-12*MAX(0,$B$6-IF($B$1+70&gt;=$B$23,$B$22,0))*(1+$B$4)^70)&gt;0,1+$B$3,1))</f>
        <v/>
      </c>
      <c r="BV68">
        <f>BU68</f>
        <v/>
      </c>
      <c r="BW68">
        <f>IF(AND($B68&lt;=70,BV68&gt;0),$B68,999)</f>
        <v/>
      </c>
      <c r="CB68" t="n">
        <v>67</v>
      </c>
      <c r="CC68">
        <f>IF($B$1+CB68&gt;90,0,12*MAX(0,$B$6-IF($B$1+CB68&gt;=$B$23,$B$22,0))*(1+$B$4)^CB68/(1+$B$3)^(CB68-1))</f>
        <v/>
      </c>
      <c r="CE68">
        <f>IF($B$1+66&gt;90,NA(),$B$1+66)</f>
        <v/>
      </c>
      <c r="CF68">
        <f>IF(OR($B$21="",$B$1+66&gt;90),NA(),INDEX($C$40:$BU$90,$B$21-$B$1+1,67))</f>
        <v/>
      </c>
      <c r="CH68">
        <f>IF(ISTEXT('월 가계부'!A68),SUBSTITUTE(SUBSTITUTE(SUBSTITUTE(SUBSTITUTE(SUBSTITUTE(SUBSTITUTE(SUBSTITUTE(SUBSTITUTE(SUBSTITUTE(TRIM('월 가계부'!A68),"년","-"),"월","-"),"일",""),".","-"),"/","-")," ","-"),"--","-"),"--","-"),"--","-")&amp;"-","")</f>
        <v/>
      </c>
      <c r="CI68">
        <f>IFERROR(IF('월 가계부'!A68="","",IF(ISNUMBER('월 가계부'!A68),IF(AND('월 가계부'!A68&gt;=19000101,'월 가계부'!A68&lt;=21001231),IF(AND(MOD(INT('월 가계부'!A68/100),100)&gt;=1,MOD(INT('월 가계부'!A68/100),100)&lt;=12,MOD(INT('월 가계부'!A68),100)&gt;=1,MOD(INT('월 가계부'!A68),100)&lt;=31),IF(MONTH(DATE(INT('월 가계부'!A68/10000),MOD(INT('월 가계부'!A68/100),100),MOD(INT('월 가계부'!A68),100)))=MOD(INT('월 가계부'!A68/100),100),DATE(INT('월 가계부'!A68/10000),MOD(INT('월 가계부'!A68/100),100),MOD(INT('월 가계부'!A68),100)),""),""),IF(AND('월 가계부'!A68&gt;=36526,'월 가계부'!A68&lt;73051),INT('월 가계부'!A68),"")),IF(OR(CM68="",CN68="",CO68=""),"",IF(AND(CM68&gt;=2000,CM68&lt;=2099,CN68&gt;=1,CN68&lt;=12,CO68&gt;=1,CO68&lt;=31),IF(MONTH(DATE(CM68,CN68,CO68))=CN68,DATE(CM68,CN68,CO68),""),"")))),"")</f>
        <v/>
      </c>
      <c r="CJ68">
        <f>IFERROR(IF('월 가계부'!C68="","",IF(ISNUMBER('월 가계부'!C68),'월 가계부'!C68,VALUE(SUBSTITUTE(SUBSTITUTE(SUBSTITUTE(SUBSTITUTE(TRIM('월 가계부'!C68),",",""),"원","")," ",""),"−","-")))),"")</f>
        <v/>
      </c>
      <c r="CK68">
        <f>IF(ISNUMBER(CI68),IF(CI68&lt;$B$13,CI68,""),"")</f>
        <v/>
      </c>
      <c r="CM68">
        <f>IF(CH68="","",IFERROR(IF(IF(AND(LEN(CH68)=9,ISERROR(FIND("-",LEFT(CH68,8))),ISNUMBER(-LEFT(CH68,8))),VALUE(LEFT(CH68,4)),VALUE(LEFT(CH68,FIND("-",CH68)-1)))&lt;100,IF(AND(LEN(CH68)=9,ISERROR(FIND("-",LEFT(CH68,8))),ISNUMBER(-LEFT(CH68,8))),VALUE(LEFT(CH68,4)),VALUE(LEFT(CH68,FIND("-",CH68)-1)))+2000,IF(AND(LEN(CH68)=9,ISERROR(FIND("-",LEFT(CH68,8))),ISNUMBER(-LEFT(CH68,8))),VALUE(LEFT(CH68,4)),VALUE(LEFT(CH68,FIND("-",CH68)-1)))),""))</f>
        <v/>
      </c>
      <c r="CN68">
        <f>IF(CH68="","",IFERROR(IF(AND(LEN(CH68)=9,ISERROR(FIND("-",LEFT(CH68,8))),ISNUMBER(-LEFT(CH68,8))),VALUE(MID(CH68,5,2)),VALUE(MID(CH68,FIND("-",CH68)+1,FIND("-",CH68,FIND("-",CH68)+1)-FIND("-",CH68)-1))),""))</f>
        <v/>
      </c>
      <c r="CO68">
        <f>IF(CH68="","",IFERROR(IF(AND(LEN(CH68)=9,ISERROR(FIND("-",LEFT(CH68,8))),ISNUMBER(-LEFT(CH68,8))),VALUE(MID(CH68,7,2)),VALUE(MID(CH68,FIND("-",CH68,FIND("-",CH68)+1)+1,FIND("-",CH68,FIND("-",CH68,FIND("-",CH68)+1)+1)-FIND("-",CH68,FIND("-",CH68)+1)-1))),""))</f>
        <v/>
      </c>
    </row>
    <row r="69">
      <c r="A69" t="n">
        <v>29</v>
      </c>
      <c r="B69">
        <f>$B$1+29</f>
        <v/>
      </c>
      <c r="C69">
        <f>$B$2</f>
        <v/>
      </c>
      <c r="D69">
        <f>IF($B$1+1&gt;90,C69,(C69+IF($B$1+1&lt;=$B69,12*$B$7,-12*MAX(0,$B$6-IF($B$1+1&gt;=$B$23,$B$22,0))*(1+$B$4)^1))*IF(C69+IF($B$1+1&lt;=$B69,12*$B$7,-12*MAX(0,$B$6-IF($B$1+1&gt;=$B$23,$B$22,0))*(1+$B$4)^1)&gt;0,1+$B$3,1))</f>
        <v/>
      </c>
      <c r="E69">
        <f>IF($B$1+2&gt;90,D69,(D69+IF($B$1+2&lt;=$B69,12*$B$7,-12*MAX(0,$B$6-IF($B$1+2&gt;=$B$23,$B$22,0))*(1+$B$4)^2))*IF(D69+IF($B$1+2&lt;=$B69,12*$B$7,-12*MAX(0,$B$6-IF($B$1+2&gt;=$B$23,$B$22,0))*(1+$B$4)^2)&gt;0,1+$B$3,1))</f>
        <v/>
      </c>
      <c r="F69">
        <f>IF($B$1+3&gt;90,E69,(E69+IF($B$1+3&lt;=$B69,12*$B$7,-12*MAX(0,$B$6-IF($B$1+3&gt;=$B$23,$B$22,0))*(1+$B$4)^3))*IF(E69+IF($B$1+3&lt;=$B69,12*$B$7,-12*MAX(0,$B$6-IF($B$1+3&gt;=$B$23,$B$22,0))*(1+$B$4)^3)&gt;0,1+$B$3,1))</f>
        <v/>
      </c>
      <c r="G69">
        <f>IF($B$1+4&gt;90,F69,(F69+IF($B$1+4&lt;=$B69,12*$B$7,-12*MAX(0,$B$6-IF($B$1+4&gt;=$B$23,$B$22,0))*(1+$B$4)^4))*IF(F69+IF($B$1+4&lt;=$B69,12*$B$7,-12*MAX(0,$B$6-IF($B$1+4&gt;=$B$23,$B$22,0))*(1+$B$4)^4)&gt;0,1+$B$3,1))</f>
        <v/>
      </c>
      <c r="H69">
        <f>IF($B$1+5&gt;90,G69,(G69+IF($B$1+5&lt;=$B69,12*$B$7,-12*MAX(0,$B$6-IF($B$1+5&gt;=$B$23,$B$22,0))*(1+$B$4)^5))*IF(G69+IF($B$1+5&lt;=$B69,12*$B$7,-12*MAX(0,$B$6-IF($B$1+5&gt;=$B$23,$B$22,0))*(1+$B$4)^5)&gt;0,1+$B$3,1))</f>
        <v/>
      </c>
      <c r="I69">
        <f>IF($B$1+6&gt;90,H69,(H69+IF($B$1+6&lt;=$B69,12*$B$7,-12*MAX(0,$B$6-IF($B$1+6&gt;=$B$23,$B$22,0))*(1+$B$4)^6))*IF(H69+IF($B$1+6&lt;=$B69,12*$B$7,-12*MAX(0,$B$6-IF($B$1+6&gt;=$B$23,$B$22,0))*(1+$B$4)^6)&gt;0,1+$B$3,1))</f>
        <v/>
      </c>
      <c r="J69">
        <f>IF($B$1+7&gt;90,I69,(I69+IF($B$1+7&lt;=$B69,12*$B$7,-12*MAX(0,$B$6-IF($B$1+7&gt;=$B$23,$B$22,0))*(1+$B$4)^7))*IF(I69+IF($B$1+7&lt;=$B69,12*$B$7,-12*MAX(0,$B$6-IF($B$1+7&gt;=$B$23,$B$22,0))*(1+$B$4)^7)&gt;0,1+$B$3,1))</f>
        <v/>
      </c>
      <c r="K69">
        <f>IF($B$1+8&gt;90,J69,(J69+IF($B$1+8&lt;=$B69,12*$B$7,-12*MAX(0,$B$6-IF($B$1+8&gt;=$B$23,$B$22,0))*(1+$B$4)^8))*IF(J69+IF($B$1+8&lt;=$B69,12*$B$7,-12*MAX(0,$B$6-IF($B$1+8&gt;=$B$23,$B$22,0))*(1+$B$4)^8)&gt;0,1+$B$3,1))</f>
        <v/>
      </c>
      <c r="L69">
        <f>IF($B$1+9&gt;90,K69,(K69+IF($B$1+9&lt;=$B69,12*$B$7,-12*MAX(0,$B$6-IF($B$1+9&gt;=$B$23,$B$22,0))*(1+$B$4)^9))*IF(K69+IF($B$1+9&lt;=$B69,12*$B$7,-12*MAX(0,$B$6-IF($B$1+9&gt;=$B$23,$B$22,0))*(1+$B$4)^9)&gt;0,1+$B$3,1))</f>
        <v/>
      </c>
      <c r="M69">
        <f>IF($B$1+10&gt;90,L69,(L69+IF($B$1+10&lt;=$B69,12*$B$7,-12*MAX(0,$B$6-IF($B$1+10&gt;=$B$23,$B$22,0))*(1+$B$4)^10))*IF(L69+IF($B$1+10&lt;=$B69,12*$B$7,-12*MAX(0,$B$6-IF($B$1+10&gt;=$B$23,$B$22,0))*(1+$B$4)^10)&gt;0,1+$B$3,1))</f>
        <v/>
      </c>
      <c r="N69">
        <f>IF($B$1+11&gt;90,M69,(M69+IF($B$1+11&lt;=$B69,12*$B$7,-12*MAX(0,$B$6-IF($B$1+11&gt;=$B$23,$B$22,0))*(1+$B$4)^11))*IF(M69+IF($B$1+11&lt;=$B69,12*$B$7,-12*MAX(0,$B$6-IF($B$1+11&gt;=$B$23,$B$22,0))*(1+$B$4)^11)&gt;0,1+$B$3,1))</f>
        <v/>
      </c>
      <c r="O69">
        <f>IF($B$1+12&gt;90,N69,(N69+IF($B$1+12&lt;=$B69,12*$B$7,-12*MAX(0,$B$6-IF($B$1+12&gt;=$B$23,$B$22,0))*(1+$B$4)^12))*IF(N69+IF($B$1+12&lt;=$B69,12*$B$7,-12*MAX(0,$B$6-IF($B$1+12&gt;=$B$23,$B$22,0))*(1+$B$4)^12)&gt;0,1+$B$3,1))</f>
        <v/>
      </c>
      <c r="P69">
        <f>IF($B$1+13&gt;90,O69,(O69+IF($B$1+13&lt;=$B69,12*$B$7,-12*MAX(0,$B$6-IF($B$1+13&gt;=$B$23,$B$22,0))*(1+$B$4)^13))*IF(O69+IF($B$1+13&lt;=$B69,12*$B$7,-12*MAX(0,$B$6-IF($B$1+13&gt;=$B$23,$B$22,0))*(1+$B$4)^13)&gt;0,1+$B$3,1))</f>
        <v/>
      </c>
      <c r="Q69">
        <f>IF($B$1+14&gt;90,P69,(P69+IF($B$1+14&lt;=$B69,12*$B$7,-12*MAX(0,$B$6-IF($B$1+14&gt;=$B$23,$B$22,0))*(1+$B$4)^14))*IF(P69+IF($B$1+14&lt;=$B69,12*$B$7,-12*MAX(0,$B$6-IF($B$1+14&gt;=$B$23,$B$22,0))*(1+$B$4)^14)&gt;0,1+$B$3,1))</f>
        <v/>
      </c>
      <c r="R69">
        <f>IF($B$1+15&gt;90,Q69,(Q69+IF($B$1+15&lt;=$B69,12*$B$7,-12*MAX(0,$B$6-IF($B$1+15&gt;=$B$23,$B$22,0))*(1+$B$4)^15))*IF(Q69+IF($B$1+15&lt;=$B69,12*$B$7,-12*MAX(0,$B$6-IF($B$1+15&gt;=$B$23,$B$22,0))*(1+$B$4)^15)&gt;0,1+$B$3,1))</f>
        <v/>
      </c>
      <c r="S69">
        <f>IF($B$1+16&gt;90,R69,(R69+IF($B$1+16&lt;=$B69,12*$B$7,-12*MAX(0,$B$6-IF($B$1+16&gt;=$B$23,$B$22,0))*(1+$B$4)^16))*IF(R69+IF($B$1+16&lt;=$B69,12*$B$7,-12*MAX(0,$B$6-IF($B$1+16&gt;=$B$23,$B$22,0))*(1+$B$4)^16)&gt;0,1+$B$3,1))</f>
        <v/>
      </c>
      <c r="T69">
        <f>IF($B$1+17&gt;90,S69,(S69+IF($B$1+17&lt;=$B69,12*$B$7,-12*MAX(0,$B$6-IF($B$1+17&gt;=$B$23,$B$22,0))*(1+$B$4)^17))*IF(S69+IF($B$1+17&lt;=$B69,12*$B$7,-12*MAX(0,$B$6-IF($B$1+17&gt;=$B$23,$B$22,0))*(1+$B$4)^17)&gt;0,1+$B$3,1))</f>
        <v/>
      </c>
      <c r="U69">
        <f>IF($B$1+18&gt;90,T69,(T69+IF($B$1+18&lt;=$B69,12*$B$7,-12*MAX(0,$B$6-IF($B$1+18&gt;=$B$23,$B$22,0))*(1+$B$4)^18))*IF(T69+IF($B$1+18&lt;=$B69,12*$B$7,-12*MAX(0,$B$6-IF($B$1+18&gt;=$B$23,$B$22,0))*(1+$B$4)^18)&gt;0,1+$B$3,1))</f>
        <v/>
      </c>
      <c r="V69">
        <f>IF($B$1+19&gt;90,U69,(U69+IF($B$1+19&lt;=$B69,12*$B$7,-12*MAX(0,$B$6-IF($B$1+19&gt;=$B$23,$B$22,0))*(1+$B$4)^19))*IF(U69+IF($B$1+19&lt;=$B69,12*$B$7,-12*MAX(0,$B$6-IF($B$1+19&gt;=$B$23,$B$22,0))*(1+$B$4)^19)&gt;0,1+$B$3,1))</f>
        <v/>
      </c>
      <c r="W69">
        <f>IF($B$1+20&gt;90,V69,(V69+IF($B$1+20&lt;=$B69,12*$B$7,-12*MAX(0,$B$6-IF($B$1+20&gt;=$B$23,$B$22,0))*(1+$B$4)^20))*IF(V69+IF($B$1+20&lt;=$B69,12*$B$7,-12*MAX(0,$B$6-IF($B$1+20&gt;=$B$23,$B$22,0))*(1+$B$4)^20)&gt;0,1+$B$3,1))</f>
        <v/>
      </c>
      <c r="X69">
        <f>IF($B$1+21&gt;90,W69,(W69+IF($B$1+21&lt;=$B69,12*$B$7,-12*MAX(0,$B$6-IF($B$1+21&gt;=$B$23,$B$22,0))*(1+$B$4)^21))*IF(W69+IF($B$1+21&lt;=$B69,12*$B$7,-12*MAX(0,$B$6-IF($B$1+21&gt;=$B$23,$B$22,0))*(1+$B$4)^21)&gt;0,1+$B$3,1))</f>
        <v/>
      </c>
      <c r="Y69">
        <f>IF($B$1+22&gt;90,X69,(X69+IF($B$1+22&lt;=$B69,12*$B$7,-12*MAX(0,$B$6-IF($B$1+22&gt;=$B$23,$B$22,0))*(1+$B$4)^22))*IF(X69+IF($B$1+22&lt;=$B69,12*$B$7,-12*MAX(0,$B$6-IF($B$1+22&gt;=$B$23,$B$22,0))*(1+$B$4)^22)&gt;0,1+$B$3,1))</f>
        <v/>
      </c>
      <c r="Z69">
        <f>IF($B$1+23&gt;90,Y69,(Y69+IF($B$1+23&lt;=$B69,12*$B$7,-12*MAX(0,$B$6-IF($B$1+23&gt;=$B$23,$B$22,0))*(1+$B$4)^23))*IF(Y69+IF($B$1+23&lt;=$B69,12*$B$7,-12*MAX(0,$B$6-IF($B$1+23&gt;=$B$23,$B$22,0))*(1+$B$4)^23)&gt;0,1+$B$3,1))</f>
        <v/>
      </c>
      <c r="AA69">
        <f>IF($B$1+24&gt;90,Z69,(Z69+IF($B$1+24&lt;=$B69,12*$B$7,-12*MAX(0,$B$6-IF($B$1+24&gt;=$B$23,$B$22,0))*(1+$B$4)^24))*IF(Z69+IF($B$1+24&lt;=$B69,12*$B$7,-12*MAX(0,$B$6-IF($B$1+24&gt;=$B$23,$B$22,0))*(1+$B$4)^24)&gt;0,1+$B$3,1))</f>
        <v/>
      </c>
      <c r="AB69">
        <f>IF($B$1+25&gt;90,AA69,(AA69+IF($B$1+25&lt;=$B69,12*$B$7,-12*MAX(0,$B$6-IF($B$1+25&gt;=$B$23,$B$22,0))*(1+$B$4)^25))*IF(AA69+IF($B$1+25&lt;=$B69,12*$B$7,-12*MAX(0,$B$6-IF($B$1+25&gt;=$B$23,$B$22,0))*(1+$B$4)^25)&gt;0,1+$B$3,1))</f>
        <v/>
      </c>
      <c r="AC69">
        <f>IF($B$1+26&gt;90,AB69,(AB69+IF($B$1+26&lt;=$B69,12*$B$7,-12*MAX(0,$B$6-IF($B$1+26&gt;=$B$23,$B$22,0))*(1+$B$4)^26))*IF(AB69+IF($B$1+26&lt;=$B69,12*$B$7,-12*MAX(0,$B$6-IF($B$1+26&gt;=$B$23,$B$22,0))*(1+$B$4)^26)&gt;0,1+$B$3,1))</f>
        <v/>
      </c>
      <c r="AD69">
        <f>IF($B$1+27&gt;90,AC69,(AC69+IF($B$1+27&lt;=$B69,12*$B$7,-12*MAX(0,$B$6-IF($B$1+27&gt;=$B$23,$B$22,0))*(1+$B$4)^27))*IF(AC69+IF($B$1+27&lt;=$B69,12*$B$7,-12*MAX(0,$B$6-IF($B$1+27&gt;=$B$23,$B$22,0))*(1+$B$4)^27)&gt;0,1+$B$3,1))</f>
        <v/>
      </c>
      <c r="AE69">
        <f>IF($B$1+28&gt;90,AD69,(AD69+IF($B$1+28&lt;=$B69,12*$B$7,-12*MAX(0,$B$6-IF($B$1+28&gt;=$B$23,$B$22,0))*(1+$B$4)^28))*IF(AD69+IF($B$1+28&lt;=$B69,12*$B$7,-12*MAX(0,$B$6-IF($B$1+28&gt;=$B$23,$B$22,0))*(1+$B$4)^28)&gt;0,1+$B$3,1))</f>
        <v/>
      </c>
      <c r="AF69">
        <f>IF($B$1+29&gt;90,AE69,(AE69+IF($B$1+29&lt;=$B69,12*$B$7,-12*MAX(0,$B$6-IF($B$1+29&gt;=$B$23,$B$22,0))*(1+$B$4)^29))*IF(AE69+IF($B$1+29&lt;=$B69,12*$B$7,-12*MAX(0,$B$6-IF($B$1+29&gt;=$B$23,$B$22,0))*(1+$B$4)^29)&gt;0,1+$B$3,1))</f>
        <v/>
      </c>
      <c r="AG69">
        <f>IF($B$1+30&gt;90,AF69,(AF69+IF($B$1+30&lt;=$B69,12*$B$7,-12*MAX(0,$B$6-IF($B$1+30&gt;=$B$23,$B$22,0))*(1+$B$4)^30))*IF(AF69+IF($B$1+30&lt;=$B69,12*$B$7,-12*MAX(0,$B$6-IF($B$1+30&gt;=$B$23,$B$22,0))*(1+$B$4)^30)&gt;0,1+$B$3,1))</f>
        <v/>
      </c>
      <c r="AH69">
        <f>IF($B$1+31&gt;90,AG69,(AG69+IF($B$1+31&lt;=$B69,12*$B$7,-12*MAX(0,$B$6-IF($B$1+31&gt;=$B$23,$B$22,0))*(1+$B$4)^31))*IF(AG69+IF($B$1+31&lt;=$B69,12*$B$7,-12*MAX(0,$B$6-IF($B$1+31&gt;=$B$23,$B$22,0))*(1+$B$4)^31)&gt;0,1+$B$3,1))</f>
        <v/>
      </c>
      <c r="AI69">
        <f>IF($B$1+32&gt;90,AH69,(AH69+IF($B$1+32&lt;=$B69,12*$B$7,-12*MAX(0,$B$6-IF($B$1+32&gt;=$B$23,$B$22,0))*(1+$B$4)^32))*IF(AH69+IF($B$1+32&lt;=$B69,12*$B$7,-12*MAX(0,$B$6-IF($B$1+32&gt;=$B$23,$B$22,0))*(1+$B$4)^32)&gt;0,1+$B$3,1))</f>
        <v/>
      </c>
      <c r="AJ69">
        <f>IF($B$1+33&gt;90,AI69,(AI69+IF($B$1+33&lt;=$B69,12*$B$7,-12*MAX(0,$B$6-IF($B$1+33&gt;=$B$23,$B$22,0))*(1+$B$4)^33))*IF(AI69+IF($B$1+33&lt;=$B69,12*$B$7,-12*MAX(0,$B$6-IF($B$1+33&gt;=$B$23,$B$22,0))*(1+$B$4)^33)&gt;0,1+$B$3,1))</f>
        <v/>
      </c>
      <c r="AK69">
        <f>IF($B$1+34&gt;90,AJ69,(AJ69+IF($B$1+34&lt;=$B69,12*$B$7,-12*MAX(0,$B$6-IF($B$1+34&gt;=$B$23,$B$22,0))*(1+$B$4)^34))*IF(AJ69+IF($B$1+34&lt;=$B69,12*$B$7,-12*MAX(0,$B$6-IF($B$1+34&gt;=$B$23,$B$22,0))*(1+$B$4)^34)&gt;0,1+$B$3,1))</f>
        <v/>
      </c>
      <c r="AL69">
        <f>IF($B$1+35&gt;90,AK69,(AK69+IF($B$1+35&lt;=$B69,12*$B$7,-12*MAX(0,$B$6-IF($B$1+35&gt;=$B$23,$B$22,0))*(1+$B$4)^35))*IF(AK69+IF($B$1+35&lt;=$B69,12*$B$7,-12*MAX(0,$B$6-IF($B$1+35&gt;=$B$23,$B$22,0))*(1+$B$4)^35)&gt;0,1+$B$3,1))</f>
        <v/>
      </c>
      <c r="AM69">
        <f>IF($B$1+36&gt;90,AL69,(AL69+IF($B$1+36&lt;=$B69,12*$B$7,-12*MAX(0,$B$6-IF($B$1+36&gt;=$B$23,$B$22,0))*(1+$B$4)^36))*IF(AL69+IF($B$1+36&lt;=$B69,12*$B$7,-12*MAX(0,$B$6-IF($B$1+36&gt;=$B$23,$B$22,0))*(1+$B$4)^36)&gt;0,1+$B$3,1))</f>
        <v/>
      </c>
      <c r="AN69">
        <f>IF($B$1+37&gt;90,AM69,(AM69+IF($B$1+37&lt;=$B69,12*$B$7,-12*MAX(0,$B$6-IF($B$1+37&gt;=$B$23,$B$22,0))*(1+$B$4)^37))*IF(AM69+IF($B$1+37&lt;=$B69,12*$B$7,-12*MAX(0,$B$6-IF($B$1+37&gt;=$B$23,$B$22,0))*(1+$B$4)^37)&gt;0,1+$B$3,1))</f>
        <v/>
      </c>
      <c r="AO69">
        <f>IF($B$1+38&gt;90,AN69,(AN69+IF($B$1+38&lt;=$B69,12*$B$7,-12*MAX(0,$B$6-IF($B$1+38&gt;=$B$23,$B$22,0))*(1+$B$4)^38))*IF(AN69+IF($B$1+38&lt;=$B69,12*$B$7,-12*MAX(0,$B$6-IF($B$1+38&gt;=$B$23,$B$22,0))*(1+$B$4)^38)&gt;0,1+$B$3,1))</f>
        <v/>
      </c>
      <c r="AP69">
        <f>IF($B$1+39&gt;90,AO69,(AO69+IF($B$1+39&lt;=$B69,12*$B$7,-12*MAX(0,$B$6-IF($B$1+39&gt;=$B$23,$B$22,0))*(1+$B$4)^39))*IF(AO69+IF($B$1+39&lt;=$B69,12*$B$7,-12*MAX(0,$B$6-IF($B$1+39&gt;=$B$23,$B$22,0))*(1+$B$4)^39)&gt;0,1+$B$3,1))</f>
        <v/>
      </c>
      <c r="AQ69">
        <f>IF($B$1+40&gt;90,AP69,(AP69+IF($B$1+40&lt;=$B69,12*$B$7,-12*MAX(0,$B$6-IF($B$1+40&gt;=$B$23,$B$22,0))*(1+$B$4)^40))*IF(AP69+IF($B$1+40&lt;=$B69,12*$B$7,-12*MAX(0,$B$6-IF($B$1+40&gt;=$B$23,$B$22,0))*(1+$B$4)^40)&gt;0,1+$B$3,1))</f>
        <v/>
      </c>
      <c r="AR69">
        <f>IF($B$1+41&gt;90,AQ69,(AQ69+IF($B$1+41&lt;=$B69,12*$B$7,-12*MAX(0,$B$6-IF($B$1+41&gt;=$B$23,$B$22,0))*(1+$B$4)^41))*IF(AQ69+IF($B$1+41&lt;=$B69,12*$B$7,-12*MAX(0,$B$6-IF($B$1+41&gt;=$B$23,$B$22,0))*(1+$B$4)^41)&gt;0,1+$B$3,1))</f>
        <v/>
      </c>
      <c r="AS69">
        <f>IF($B$1+42&gt;90,AR69,(AR69+IF($B$1+42&lt;=$B69,12*$B$7,-12*MAX(0,$B$6-IF($B$1+42&gt;=$B$23,$B$22,0))*(1+$B$4)^42))*IF(AR69+IF($B$1+42&lt;=$B69,12*$B$7,-12*MAX(0,$B$6-IF($B$1+42&gt;=$B$23,$B$22,0))*(1+$B$4)^42)&gt;0,1+$B$3,1))</f>
        <v/>
      </c>
      <c r="AT69">
        <f>IF($B$1+43&gt;90,AS69,(AS69+IF($B$1+43&lt;=$B69,12*$B$7,-12*MAX(0,$B$6-IF($B$1+43&gt;=$B$23,$B$22,0))*(1+$B$4)^43))*IF(AS69+IF($B$1+43&lt;=$B69,12*$B$7,-12*MAX(0,$B$6-IF($B$1+43&gt;=$B$23,$B$22,0))*(1+$B$4)^43)&gt;0,1+$B$3,1))</f>
        <v/>
      </c>
      <c r="AU69">
        <f>IF($B$1+44&gt;90,AT69,(AT69+IF($B$1+44&lt;=$B69,12*$B$7,-12*MAX(0,$B$6-IF($B$1+44&gt;=$B$23,$B$22,0))*(1+$B$4)^44))*IF(AT69+IF($B$1+44&lt;=$B69,12*$B$7,-12*MAX(0,$B$6-IF($B$1+44&gt;=$B$23,$B$22,0))*(1+$B$4)^44)&gt;0,1+$B$3,1))</f>
        <v/>
      </c>
      <c r="AV69">
        <f>IF($B$1+45&gt;90,AU69,(AU69+IF($B$1+45&lt;=$B69,12*$B$7,-12*MAX(0,$B$6-IF($B$1+45&gt;=$B$23,$B$22,0))*(1+$B$4)^45))*IF(AU69+IF($B$1+45&lt;=$B69,12*$B$7,-12*MAX(0,$B$6-IF($B$1+45&gt;=$B$23,$B$22,0))*(1+$B$4)^45)&gt;0,1+$B$3,1))</f>
        <v/>
      </c>
      <c r="AW69">
        <f>IF($B$1+46&gt;90,AV69,(AV69+IF($B$1+46&lt;=$B69,12*$B$7,-12*MAX(0,$B$6-IF($B$1+46&gt;=$B$23,$B$22,0))*(1+$B$4)^46))*IF(AV69+IF($B$1+46&lt;=$B69,12*$B$7,-12*MAX(0,$B$6-IF($B$1+46&gt;=$B$23,$B$22,0))*(1+$B$4)^46)&gt;0,1+$B$3,1))</f>
        <v/>
      </c>
      <c r="AX69">
        <f>IF($B$1+47&gt;90,AW69,(AW69+IF($B$1+47&lt;=$B69,12*$B$7,-12*MAX(0,$B$6-IF($B$1+47&gt;=$B$23,$B$22,0))*(1+$B$4)^47))*IF(AW69+IF($B$1+47&lt;=$B69,12*$B$7,-12*MAX(0,$B$6-IF($B$1+47&gt;=$B$23,$B$22,0))*(1+$B$4)^47)&gt;0,1+$B$3,1))</f>
        <v/>
      </c>
      <c r="AY69">
        <f>IF($B$1+48&gt;90,AX69,(AX69+IF($B$1+48&lt;=$B69,12*$B$7,-12*MAX(0,$B$6-IF($B$1+48&gt;=$B$23,$B$22,0))*(1+$B$4)^48))*IF(AX69+IF($B$1+48&lt;=$B69,12*$B$7,-12*MAX(0,$B$6-IF($B$1+48&gt;=$B$23,$B$22,0))*(1+$B$4)^48)&gt;0,1+$B$3,1))</f>
        <v/>
      </c>
      <c r="AZ69">
        <f>IF($B$1+49&gt;90,AY69,(AY69+IF($B$1+49&lt;=$B69,12*$B$7,-12*MAX(0,$B$6-IF($B$1+49&gt;=$B$23,$B$22,0))*(1+$B$4)^49))*IF(AY69+IF($B$1+49&lt;=$B69,12*$B$7,-12*MAX(0,$B$6-IF($B$1+49&gt;=$B$23,$B$22,0))*(1+$B$4)^49)&gt;0,1+$B$3,1))</f>
        <v/>
      </c>
      <c r="BA69">
        <f>IF($B$1+50&gt;90,AZ69,(AZ69+IF($B$1+50&lt;=$B69,12*$B$7,-12*MAX(0,$B$6-IF($B$1+50&gt;=$B$23,$B$22,0))*(1+$B$4)^50))*IF(AZ69+IF($B$1+50&lt;=$B69,12*$B$7,-12*MAX(0,$B$6-IF($B$1+50&gt;=$B$23,$B$22,0))*(1+$B$4)^50)&gt;0,1+$B$3,1))</f>
        <v/>
      </c>
      <c r="BB69">
        <f>IF($B$1+51&gt;90,BA69,(BA69+IF($B$1+51&lt;=$B69,12*$B$7,-12*MAX(0,$B$6-IF($B$1+51&gt;=$B$23,$B$22,0))*(1+$B$4)^51))*IF(BA69+IF($B$1+51&lt;=$B69,12*$B$7,-12*MAX(0,$B$6-IF($B$1+51&gt;=$B$23,$B$22,0))*(1+$B$4)^51)&gt;0,1+$B$3,1))</f>
        <v/>
      </c>
      <c r="BC69">
        <f>IF($B$1+52&gt;90,BB69,(BB69+IF($B$1+52&lt;=$B69,12*$B$7,-12*MAX(0,$B$6-IF($B$1+52&gt;=$B$23,$B$22,0))*(1+$B$4)^52))*IF(BB69+IF($B$1+52&lt;=$B69,12*$B$7,-12*MAX(0,$B$6-IF($B$1+52&gt;=$B$23,$B$22,0))*(1+$B$4)^52)&gt;0,1+$B$3,1))</f>
        <v/>
      </c>
      <c r="BD69">
        <f>IF($B$1+53&gt;90,BC69,(BC69+IF($B$1+53&lt;=$B69,12*$B$7,-12*MAX(0,$B$6-IF($B$1+53&gt;=$B$23,$B$22,0))*(1+$B$4)^53))*IF(BC69+IF($B$1+53&lt;=$B69,12*$B$7,-12*MAX(0,$B$6-IF($B$1+53&gt;=$B$23,$B$22,0))*(1+$B$4)^53)&gt;0,1+$B$3,1))</f>
        <v/>
      </c>
      <c r="BE69">
        <f>IF($B$1+54&gt;90,BD69,(BD69+IF($B$1+54&lt;=$B69,12*$B$7,-12*MAX(0,$B$6-IF($B$1+54&gt;=$B$23,$B$22,0))*(1+$B$4)^54))*IF(BD69+IF($B$1+54&lt;=$B69,12*$B$7,-12*MAX(0,$B$6-IF($B$1+54&gt;=$B$23,$B$22,0))*(1+$B$4)^54)&gt;0,1+$B$3,1))</f>
        <v/>
      </c>
      <c r="BF69">
        <f>IF($B$1+55&gt;90,BE69,(BE69+IF($B$1+55&lt;=$B69,12*$B$7,-12*MAX(0,$B$6-IF($B$1+55&gt;=$B$23,$B$22,0))*(1+$B$4)^55))*IF(BE69+IF($B$1+55&lt;=$B69,12*$B$7,-12*MAX(0,$B$6-IF($B$1+55&gt;=$B$23,$B$22,0))*(1+$B$4)^55)&gt;0,1+$B$3,1))</f>
        <v/>
      </c>
      <c r="BG69">
        <f>IF($B$1+56&gt;90,BF69,(BF69+IF($B$1+56&lt;=$B69,12*$B$7,-12*MAX(0,$B$6-IF($B$1+56&gt;=$B$23,$B$22,0))*(1+$B$4)^56))*IF(BF69+IF($B$1+56&lt;=$B69,12*$B$7,-12*MAX(0,$B$6-IF($B$1+56&gt;=$B$23,$B$22,0))*(1+$B$4)^56)&gt;0,1+$B$3,1))</f>
        <v/>
      </c>
      <c r="BH69">
        <f>IF($B$1+57&gt;90,BG69,(BG69+IF($B$1+57&lt;=$B69,12*$B$7,-12*MAX(0,$B$6-IF($B$1+57&gt;=$B$23,$B$22,0))*(1+$B$4)^57))*IF(BG69+IF($B$1+57&lt;=$B69,12*$B$7,-12*MAX(0,$B$6-IF($B$1+57&gt;=$B$23,$B$22,0))*(1+$B$4)^57)&gt;0,1+$B$3,1))</f>
        <v/>
      </c>
      <c r="BI69">
        <f>IF($B$1+58&gt;90,BH69,(BH69+IF($B$1+58&lt;=$B69,12*$B$7,-12*MAX(0,$B$6-IF($B$1+58&gt;=$B$23,$B$22,0))*(1+$B$4)^58))*IF(BH69+IF($B$1+58&lt;=$B69,12*$B$7,-12*MAX(0,$B$6-IF($B$1+58&gt;=$B$23,$B$22,0))*(1+$B$4)^58)&gt;0,1+$B$3,1))</f>
        <v/>
      </c>
      <c r="BJ69">
        <f>IF($B$1+59&gt;90,BI69,(BI69+IF($B$1+59&lt;=$B69,12*$B$7,-12*MAX(0,$B$6-IF($B$1+59&gt;=$B$23,$B$22,0))*(1+$B$4)^59))*IF(BI69+IF($B$1+59&lt;=$B69,12*$B$7,-12*MAX(0,$B$6-IF($B$1+59&gt;=$B$23,$B$22,0))*(1+$B$4)^59)&gt;0,1+$B$3,1))</f>
        <v/>
      </c>
      <c r="BK69">
        <f>IF($B$1+60&gt;90,BJ69,(BJ69+IF($B$1+60&lt;=$B69,12*$B$7,-12*MAX(0,$B$6-IF($B$1+60&gt;=$B$23,$B$22,0))*(1+$B$4)^60))*IF(BJ69+IF($B$1+60&lt;=$B69,12*$B$7,-12*MAX(0,$B$6-IF($B$1+60&gt;=$B$23,$B$22,0))*(1+$B$4)^60)&gt;0,1+$B$3,1))</f>
        <v/>
      </c>
      <c r="BL69">
        <f>IF($B$1+61&gt;90,BK69,(BK69+IF($B$1+61&lt;=$B69,12*$B$7,-12*MAX(0,$B$6-IF($B$1+61&gt;=$B$23,$B$22,0))*(1+$B$4)^61))*IF(BK69+IF($B$1+61&lt;=$B69,12*$B$7,-12*MAX(0,$B$6-IF($B$1+61&gt;=$B$23,$B$22,0))*(1+$B$4)^61)&gt;0,1+$B$3,1))</f>
        <v/>
      </c>
      <c r="BM69">
        <f>IF($B$1+62&gt;90,BL69,(BL69+IF($B$1+62&lt;=$B69,12*$B$7,-12*MAX(0,$B$6-IF($B$1+62&gt;=$B$23,$B$22,0))*(1+$B$4)^62))*IF(BL69+IF($B$1+62&lt;=$B69,12*$B$7,-12*MAX(0,$B$6-IF($B$1+62&gt;=$B$23,$B$22,0))*(1+$B$4)^62)&gt;0,1+$B$3,1))</f>
        <v/>
      </c>
      <c r="BN69">
        <f>IF($B$1+63&gt;90,BM69,(BM69+IF($B$1+63&lt;=$B69,12*$B$7,-12*MAX(0,$B$6-IF($B$1+63&gt;=$B$23,$B$22,0))*(1+$B$4)^63))*IF(BM69+IF($B$1+63&lt;=$B69,12*$B$7,-12*MAX(0,$B$6-IF($B$1+63&gt;=$B$23,$B$22,0))*(1+$B$4)^63)&gt;0,1+$B$3,1))</f>
        <v/>
      </c>
      <c r="BO69">
        <f>IF($B$1+64&gt;90,BN69,(BN69+IF($B$1+64&lt;=$B69,12*$B$7,-12*MAX(0,$B$6-IF($B$1+64&gt;=$B$23,$B$22,0))*(1+$B$4)^64))*IF(BN69+IF($B$1+64&lt;=$B69,12*$B$7,-12*MAX(0,$B$6-IF($B$1+64&gt;=$B$23,$B$22,0))*(1+$B$4)^64)&gt;0,1+$B$3,1))</f>
        <v/>
      </c>
      <c r="BP69">
        <f>IF($B$1+65&gt;90,BO69,(BO69+IF($B$1+65&lt;=$B69,12*$B$7,-12*MAX(0,$B$6-IF($B$1+65&gt;=$B$23,$B$22,0))*(1+$B$4)^65))*IF(BO69+IF($B$1+65&lt;=$B69,12*$B$7,-12*MAX(0,$B$6-IF($B$1+65&gt;=$B$23,$B$22,0))*(1+$B$4)^65)&gt;0,1+$B$3,1))</f>
        <v/>
      </c>
      <c r="BQ69">
        <f>IF($B$1+66&gt;90,BP69,(BP69+IF($B$1+66&lt;=$B69,12*$B$7,-12*MAX(0,$B$6-IF($B$1+66&gt;=$B$23,$B$22,0))*(1+$B$4)^66))*IF(BP69+IF($B$1+66&lt;=$B69,12*$B$7,-12*MAX(0,$B$6-IF($B$1+66&gt;=$B$23,$B$22,0))*(1+$B$4)^66)&gt;0,1+$B$3,1))</f>
        <v/>
      </c>
      <c r="BR69">
        <f>IF($B$1+67&gt;90,BQ69,(BQ69+IF($B$1+67&lt;=$B69,12*$B$7,-12*MAX(0,$B$6-IF($B$1+67&gt;=$B$23,$B$22,0))*(1+$B$4)^67))*IF(BQ69+IF($B$1+67&lt;=$B69,12*$B$7,-12*MAX(0,$B$6-IF($B$1+67&gt;=$B$23,$B$22,0))*(1+$B$4)^67)&gt;0,1+$B$3,1))</f>
        <v/>
      </c>
      <c r="BS69">
        <f>IF($B$1+68&gt;90,BR69,(BR69+IF($B$1+68&lt;=$B69,12*$B$7,-12*MAX(0,$B$6-IF($B$1+68&gt;=$B$23,$B$22,0))*(1+$B$4)^68))*IF(BR69+IF($B$1+68&lt;=$B69,12*$B$7,-12*MAX(0,$B$6-IF($B$1+68&gt;=$B$23,$B$22,0))*(1+$B$4)^68)&gt;0,1+$B$3,1))</f>
        <v/>
      </c>
      <c r="BT69">
        <f>IF($B$1+69&gt;90,BS69,(BS69+IF($B$1+69&lt;=$B69,12*$B$7,-12*MAX(0,$B$6-IF($B$1+69&gt;=$B$23,$B$22,0))*(1+$B$4)^69))*IF(BS69+IF($B$1+69&lt;=$B69,12*$B$7,-12*MAX(0,$B$6-IF($B$1+69&gt;=$B$23,$B$22,0))*(1+$B$4)^69)&gt;0,1+$B$3,1))</f>
        <v/>
      </c>
      <c r="BU69">
        <f>IF($B$1+70&gt;90,BT69,(BT69+IF($B$1+70&lt;=$B69,12*$B$7,-12*MAX(0,$B$6-IF($B$1+70&gt;=$B$23,$B$22,0))*(1+$B$4)^70))*IF(BT69+IF($B$1+70&lt;=$B69,12*$B$7,-12*MAX(0,$B$6-IF($B$1+70&gt;=$B$23,$B$22,0))*(1+$B$4)^70)&gt;0,1+$B$3,1))</f>
        <v/>
      </c>
      <c r="BV69">
        <f>BU69</f>
        <v/>
      </c>
      <c r="BW69">
        <f>IF(AND($B69&lt;=70,BV69&gt;0),$B69,999)</f>
        <v/>
      </c>
      <c r="CB69" t="n">
        <v>68</v>
      </c>
      <c r="CC69">
        <f>IF($B$1+CB69&gt;90,0,12*MAX(0,$B$6-IF($B$1+CB69&gt;=$B$23,$B$22,0))*(1+$B$4)^CB69/(1+$B$3)^(CB69-1))</f>
        <v/>
      </c>
      <c r="CE69">
        <f>IF($B$1+67&gt;90,NA(),$B$1+67)</f>
        <v/>
      </c>
      <c r="CF69">
        <f>IF(OR($B$21="",$B$1+67&gt;90),NA(),INDEX($C$40:$BU$90,$B$21-$B$1+1,68))</f>
        <v/>
      </c>
      <c r="CH69">
        <f>IF(ISTEXT('월 가계부'!A69),SUBSTITUTE(SUBSTITUTE(SUBSTITUTE(SUBSTITUTE(SUBSTITUTE(SUBSTITUTE(SUBSTITUTE(SUBSTITUTE(SUBSTITUTE(TRIM('월 가계부'!A69),"년","-"),"월","-"),"일",""),".","-"),"/","-")," ","-"),"--","-"),"--","-"),"--","-")&amp;"-","")</f>
        <v/>
      </c>
      <c r="CI69">
        <f>IFERROR(IF('월 가계부'!A69="","",IF(ISNUMBER('월 가계부'!A69),IF(AND('월 가계부'!A69&gt;=19000101,'월 가계부'!A69&lt;=21001231),IF(AND(MOD(INT('월 가계부'!A69/100),100)&gt;=1,MOD(INT('월 가계부'!A69/100),100)&lt;=12,MOD(INT('월 가계부'!A69),100)&gt;=1,MOD(INT('월 가계부'!A69),100)&lt;=31),IF(MONTH(DATE(INT('월 가계부'!A69/10000),MOD(INT('월 가계부'!A69/100),100),MOD(INT('월 가계부'!A69),100)))=MOD(INT('월 가계부'!A69/100),100),DATE(INT('월 가계부'!A69/10000),MOD(INT('월 가계부'!A69/100),100),MOD(INT('월 가계부'!A69),100)),""),""),IF(AND('월 가계부'!A69&gt;=36526,'월 가계부'!A69&lt;73051),INT('월 가계부'!A69),"")),IF(OR(CM69="",CN69="",CO69=""),"",IF(AND(CM69&gt;=2000,CM69&lt;=2099,CN69&gt;=1,CN69&lt;=12,CO69&gt;=1,CO69&lt;=31),IF(MONTH(DATE(CM69,CN69,CO69))=CN69,DATE(CM69,CN69,CO69),""),"")))),"")</f>
        <v/>
      </c>
      <c r="CJ69">
        <f>IFERROR(IF('월 가계부'!C69="","",IF(ISNUMBER('월 가계부'!C69),'월 가계부'!C69,VALUE(SUBSTITUTE(SUBSTITUTE(SUBSTITUTE(SUBSTITUTE(TRIM('월 가계부'!C69),",",""),"원","")," ",""),"−","-")))),"")</f>
        <v/>
      </c>
      <c r="CK69">
        <f>IF(ISNUMBER(CI69),IF(CI69&lt;$B$13,CI69,""),"")</f>
        <v/>
      </c>
      <c r="CM69">
        <f>IF(CH69="","",IFERROR(IF(IF(AND(LEN(CH69)=9,ISERROR(FIND("-",LEFT(CH69,8))),ISNUMBER(-LEFT(CH69,8))),VALUE(LEFT(CH69,4)),VALUE(LEFT(CH69,FIND("-",CH69)-1)))&lt;100,IF(AND(LEN(CH69)=9,ISERROR(FIND("-",LEFT(CH69,8))),ISNUMBER(-LEFT(CH69,8))),VALUE(LEFT(CH69,4)),VALUE(LEFT(CH69,FIND("-",CH69)-1)))+2000,IF(AND(LEN(CH69)=9,ISERROR(FIND("-",LEFT(CH69,8))),ISNUMBER(-LEFT(CH69,8))),VALUE(LEFT(CH69,4)),VALUE(LEFT(CH69,FIND("-",CH69)-1)))),""))</f>
        <v/>
      </c>
      <c r="CN69">
        <f>IF(CH69="","",IFERROR(IF(AND(LEN(CH69)=9,ISERROR(FIND("-",LEFT(CH69,8))),ISNUMBER(-LEFT(CH69,8))),VALUE(MID(CH69,5,2)),VALUE(MID(CH69,FIND("-",CH69)+1,FIND("-",CH69,FIND("-",CH69)+1)-FIND("-",CH69)-1))),""))</f>
        <v/>
      </c>
      <c r="CO69">
        <f>IF(CH69="","",IFERROR(IF(AND(LEN(CH69)=9,ISERROR(FIND("-",LEFT(CH69,8))),ISNUMBER(-LEFT(CH69,8))),VALUE(MID(CH69,7,2)),VALUE(MID(CH69,FIND("-",CH69,FIND("-",CH69)+1)+1,FIND("-",CH69,FIND("-",CH69,FIND("-",CH69)+1)+1)-FIND("-",CH69,FIND("-",CH69)+1)-1))),""))</f>
        <v/>
      </c>
    </row>
    <row r="70">
      <c r="A70" t="n">
        <v>30</v>
      </c>
      <c r="B70">
        <f>$B$1+30</f>
        <v/>
      </c>
      <c r="C70">
        <f>$B$2</f>
        <v/>
      </c>
      <c r="D70">
        <f>IF($B$1+1&gt;90,C70,(C70+IF($B$1+1&lt;=$B70,12*$B$7,-12*MAX(0,$B$6-IF($B$1+1&gt;=$B$23,$B$22,0))*(1+$B$4)^1))*IF(C70+IF($B$1+1&lt;=$B70,12*$B$7,-12*MAX(0,$B$6-IF($B$1+1&gt;=$B$23,$B$22,0))*(1+$B$4)^1)&gt;0,1+$B$3,1))</f>
        <v/>
      </c>
      <c r="E70">
        <f>IF($B$1+2&gt;90,D70,(D70+IF($B$1+2&lt;=$B70,12*$B$7,-12*MAX(0,$B$6-IF($B$1+2&gt;=$B$23,$B$22,0))*(1+$B$4)^2))*IF(D70+IF($B$1+2&lt;=$B70,12*$B$7,-12*MAX(0,$B$6-IF($B$1+2&gt;=$B$23,$B$22,0))*(1+$B$4)^2)&gt;0,1+$B$3,1))</f>
        <v/>
      </c>
      <c r="F70">
        <f>IF($B$1+3&gt;90,E70,(E70+IF($B$1+3&lt;=$B70,12*$B$7,-12*MAX(0,$B$6-IF($B$1+3&gt;=$B$23,$B$22,0))*(1+$B$4)^3))*IF(E70+IF($B$1+3&lt;=$B70,12*$B$7,-12*MAX(0,$B$6-IF($B$1+3&gt;=$B$23,$B$22,0))*(1+$B$4)^3)&gt;0,1+$B$3,1))</f>
        <v/>
      </c>
      <c r="G70">
        <f>IF($B$1+4&gt;90,F70,(F70+IF($B$1+4&lt;=$B70,12*$B$7,-12*MAX(0,$B$6-IF($B$1+4&gt;=$B$23,$B$22,0))*(1+$B$4)^4))*IF(F70+IF($B$1+4&lt;=$B70,12*$B$7,-12*MAX(0,$B$6-IF($B$1+4&gt;=$B$23,$B$22,0))*(1+$B$4)^4)&gt;0,1+$B$3,1))</f>
        <v/>
      </c>
      <c r="H70">
        <f>IF($B$1+5&gt;90,G70,(G70+IF($B$1+5&lt;=$B70,12*$B$7,-12*MAX(0,$B$6-IF($B$1+5&gt;=$B$23,$B$22,0))*(1+$B$4)^5))*IF(G70+IF($B$1+5&lt;=$B70,12*$B$7,-12*MAX(0,$B$6-IF($B$1+5&gt;=$B$23,$B$22,0))*(1+$B$4)^5)&gt;0,1+$B$3,1))</f>
        <v/>
      </c>
      <c r="I70">
        <f>IF($B$1+6&gt;90,H70,(H70+IF($B$1+6&lt;=$B70,12*$B$7,-12*MAX(0,$B$6-IF($B$1+6&gt;=$B$23,$B$22,0))*(1+$B$4)^6))*IF(H70+IF($B$1+6&lt;=$B70,12*$B$7,-12*MAX(0,$B$6-IF($B$1+6&gt;=$B$23,$B$22,0))*(1+$B$4)^6)&gt;0,1+$B$3,1))</f>
        <v/>
      </c>
      <c r="J70">
        <f>IF($B$1+7&gt;90,I70,(I70+IF($B$1+7&lt;=$B70,12*$B$7,-12*MAX(0,$B$6-IF($B$1+7&gt;=$B$23,$B$22,0))*(1+$B$4)^7))*IF(I70+IF($B$1+7&lt;=$B70,12*$B$7,-12*MAX(0,$B$6-IF($B$1+7&gt;=$B$23,$B$22,0))*(1+$B$4)^7)&gt;0,1+$B$3,1))</f>
        <v/>
      </c>
      <c r="K70">
        <f>IF($B$1+8&gt;90,J70,(J70+IF($B$1+8&lt;=$B70,12*$B$7,-12*MAX(0,$B$6-IF($B$1+8&gt;=$B$23,$B$22,0))*(1+$B$4)^8))*IF(J70+IF($B$1+8&lt;=$B70,12*$B$7,-12*MAX(0,$B$6-IF($B$1+8&gt;=$B$23,$B$22,0))*(1+$B$4)^8)&gt;0,1+$B$3,1))</f>
        <v/>
      </c>
      <c r="L70">
        <f>IF($B$1+9&gt;90,K70,(K70+IF($B$1+9&lt;=$B70,12*$B$7,-12*MAX(0,$B$6-IF($B$1+9&gt;=$B$23,$B$22,0))*(1+$B$4)^9))*IF(K70+IF($B$1+9&lt;=$B70,12*$B$7,-12*MAX(0,$B$6-IF($B$1+9&gt;=$B$23,$B$22,0))*(1+$B$4)^9)&gt;0,1+$B$3,1))</f>
        <v/>
      </c>
      <c r="M70">
        <f>IF($B$1+10&gt;90,L70,(L70+IF($B$1+10&lt;=$B70,12*$B$7,-12*MAX(0,$B$6-IF($B$1+10&gt;=$B$23,$B$22,0))*(1+$B$4)^10))*IF(L70+IF($B$1+10&lt;=$B70,12*$B$7,-12*MAX(0,$B$6-IF($B$1+10&gt;=$B$23,$B$22,0))*(1+$B$4)^10)&gt;0,1+$B$3,1))</f>
        <v/>
      </c>
      <c r="N70">
        <f>IF($B$1+11&gt;90,M70,(M70+IF($B$1+11&lt;=$B70,12*$B$7,-12*MAX(0,$B$6-IF($B$1+11&gt;=$B$23,$B$22,0))*(1+$B$4)^11))*IF(M70+IF($B$1+11&lt;=$B70,12*$B$7,-12*MAX(0,$B$6-IF($B$1+11&gt;=$B$23,$B$22,0))*(1+$B$4)^11)&gt;0,1+$B$3,1))</f>
        <v/>
      </c>
      <c r="O70">
        <f>IF($B$1+12&gt;90,N70,(N70+IF($B$1+12&lt;=$B70,12*$B$7,-12*MAX(0,$B$6-IF($B$1+12&gt;=$B$23,$B$22,0))*(1+$B$4)^12))*IF(N70+IF($B$1+12&lt;=$B70,12*$B$7,-12*MAX(0,$B$6-IF($B$1+12&gt;=$B$23,$B$22,0))*(1+$B$4)^12)&gt;0,1+$B$3,1))</f>
        <v/>
      </c>
      <c r="P70">
        <f>IF($B$1+13&gt;90,O70,(O70+IF($B$1+13&lt;=$B70,12*$B$7,-12*MAX(0,$B$6-IF($B$1+13&gt;=$B$23,$B$22,0))*(1+$B$4)^13))*IF(O70+IF($B$1+13&lt;=$B70,12*$B$7,-12*MAX(0,$B$6-IF($B$1+13&gt;=$B$23,$B$22,0))*(1+$B$4)^13)&gt;0,1+$B$3,1))</f>
        <v/>
      </c>
      <c r="Q70">
        <f>IF($B$1+14&gt;90,P70,(P70+IF($B$1+14&lt;=$B70,12*$B$7,-12*MAX(0,$B$6-IF($B$1+14&gt;=$B$23,$B$22,0))*(1+$B$4)^14))*IF(P70+IF($B$1+14&lt;=$B70,12*$B$7,-12*MAX(0,$B$6-IF($B$1+14&gt;=$B$23,$B$22,0))*(1+$B$4)^14)&gt;0,1+$B$3,1))</f>
        <v/>
      </c>
      <c r="R70">
        <f>IF($B$1+15&gt;90,Q70,(Q70+IF($B$1+15&lt;=$B70,12*$B$7,-12*MAX(0,$B$6-IF($B$1+15&gt;=$B$23,$B$22,0))*(1+$B$4)^15))*IF(Q70+IF($B$1+15&lt;=$B70,12*$B$7,-12*MAX(0,$B$6-IF($B$1+15&gt;=$B$23,$B$22,0))*(1+$B$4)^15)&gt;0,1+$B$3,1))</f>
        <v/>
      </c>
      <c r="S70">
        <f>IF($B$1+16&gt;90,R70,(R70+IF($B$1+16&lt;=$B70,12*$B$7,-12*MAX(0,$B$6-IF($B$1+16&gt;=$B$23,$B$22,0))*(1+$B$4)^16))*IF(R70+IF($B$1+16&lt;=$B70,12*$B$7,-12*MAX(0,$B$6-IF($B$1+16&gt;=$B$23,$B$22,0))*(1+$B$4)^16)&gt;0,1+$B$3,1))</f>
        <v/>
      </c>
      <c r="T70">
        <f>IF($B$1+17&gt;90,S70,(S70+IF($B$1+17&lt;=$B70,12*$B$7,-12*MAX(0,$B$6-IF($B$1+17&gt;=$B$23,$B$22,0))*(1+$B$4)^17))*IF(S70+IF($B$1+17&lt;=$B70,12*$B$7,-12*MAX(0,$B$6-IF($B$1+17&gt;=$B$23,$B$22,0))*(1+$B$4)^17)&gt;0,1+$B$3,1))</f>
        <v/>
      </c>
      <c r="U70">
        <f>IF($B$1+18&gt;90,T70,(T70+IF($B$1+18&lt;=$B70,12*$B$7,-12*MAX(0,$B$6-IF($B$1+18&gt;=$B$23,$B$22,0))*(1+$B$4)^18))*IF(T70+IF($B$1+18&lt;=$B70,12*$B$7,-12*MAX(0,$B$6-IF($B$1+18&gt;=$B$23,$B$22,0))*(1+$B$4)^18)&gt;0,1+$B$3,1))</f>
        <v/>
      </c>
      <c r="V70">
        <f>IF($B$1+19&gt;90,U70,(U70+IF($B$1+19&lt;=$B70,12*$B$7,-12*MAX(0,$B$6-IF($B$1+19&gt;=$B$23,$B$22,0))*(1+$B$4)^19))*IF(U70+IF($B$1+19&lt;=$B70,12*$B$7,-12*MAX(0,$B$6-IF($B$1+19&gt;=$B$23,$B$22,0))*(1+$B$4)^19)&gt;0,1+$B$3,1))</f>
        <v/>
      </c>
      <c r="W70">
        <f>IF($B$1+20&gt;90,V70,(V70+IF($B$1+20&lt;=$B70,12*$B$7,-12*MAX(0,$B$6-IF($B$1+20&gt;=$B$23,$B$22,0))*(1+$B$4)^20))*IF(V70+IF($B$1+20&lt;=$B70,12*$B$7,-12*MAX(0,$B$6-IF($B$1+20&gt;=$B$23,$B$22,0))*(1+$B$4)^20)&gt;0,1+$B$3,1))</f>
        <v/>
      </c>
      <c r="X70">
        <f>IF($B$1+21&gt;90,W70,(W70+IF($B$1+21&lt;=$B70,12*$B$7,-12*MAX(0,$B$6-IF($B$1+21&gt;=$B$23,$B$22,0))*(1+$B$4)^21))*IF(W70+IF($B$1+21&lt;=$B70,12*$B$7,-12*MAX(0,$B$6-IF($B$1+21&gt;=$B$23,$B$22,0))*(1+$B$4)^21)&gt;0,1+$B$3,1))</f>
        <v/>
      </c>
      <c r="Y70">
        <f>IF($B$1+22&gt;90,X70,(X70+IF($B$1+22&lt;=$B70,12*$B$7,-12*MAX(0,$B$6-IF($B$1+22&gt;=$B$23,$B$22,0))*(1+$B$4)^22))*IF(X70+IF($B$1+22&lt;=$B70,12*$B$7,-12*MAX(0,$B$6-IF($B$1+22&gt;=$B$23,$B$22,0))*(1+$B$4)^22)&gt;0,1+$B$3,1))</f>
        <v/>
      </c>
      <c r="Z70">
        <f>IF($B$1+23&gt;90,Y70,(Y70+IF($B$1+23&lt;=$B70,12*$B$7,-12*MAX(0,$B$6-IF($B$1+23&gt;=$B$23,$B$22,0))*(1+$B$4)^23))*IF(Y70+IF($B$1+23&lt;=$B70,12*$B$7,-12*MAX(0,$B$6-IF($B$1+23&gt;=$B$23,$B$22,0))*(1+$B$4)^23)&gt;0,1+$B$3,1))</f>
        <v/>
      </c>
      <c r="AA70">
        <f>IF($B$1+24&gt;90,Z70,(Z70+IF($B$1+24&lt;=$B70,12*$B$7,-12*MAX(0,$B$6-IF($B$1+24&gt;=$B$23,$B$22,0))*(1+$B$4)^24))*IF(Z70+IF($B$1+24&lt;=$B70,12*$B$7,-12*MAX(0,$B$6-IF($B$1+24&gt;=$B$23,$B$22,0))*(1+$B$4)^24)&gt;0,1+$B$3,1))</f>
        <v/>
      </c>
      <c r="AB70">
        <f>IF($B$1+25&gt;90,AA70,(AA70+IF($B$1+25&lt;=$B70,12*$B$7,-12*MAX(0,$B$6-IF($B$1+25&gt;=$B$23,$B$22,0))*(1+$B$4)^25))*IF(AA70+IF($B$1+25&lt;=$B70,12*$B$7,-12*MAX(0,$B$6-IF($B$1+25&gt;=$B$23,$B$22,0))*(1+$B$4)^25)&gt;0,1+$B$3,1))</f>
        <v/>
      </c>
      <c r="AC70">
        <f>IF($B$1+26&gt;90,AB70,(AB70+IF($B$1+26&lt;=$B70,12*$B$7,-12*MAX(0,$B$6-IF($B$1+26&gt;=$B$23,$B$22,0))*(1+$B$4)^26))*IF(AB70+IF($B$1+26&lt;=$B70,12*$B$7,-12*MAX(0,$B$6-IF($B$1+26&gt;=$B$23,$B$22,0))*(1+$B$4)^26)&gt;0,1+$B$3,1))</f>
        <v/>
      </c>
      <c r="AD70">
        <f>IF($B$1+27&gt;90,AC70,(AC70+IF($B$1+27&lt;=$B70,12*$B$7,-12*MAX(0,$B$6-IF($B$1+27&gt;=$B$23,$B$22,0))*(1+$B$4)^27))*IF(AC70+IF($B$1+27&lt;=$B70,12*$B$7,-12*MAX(0,$B$6-IF($B$1+27&gt;=$B$23,$B$22,0))*(1+$B$4)^27)&gt;0,1+$B$3,1))</f>
        <v/>
      </c>
      <c r="AE70">
        <f>IF($B$1+28&gt;90,AD70,(AD70+IF($B$1+28&lt;=$B70,12*$B$7,-12*MAX(0,$B$6-IF($B$1+28&gt;=$B$23,$B$22,0))*(1+$B$4)^28))*IF(AD70+IF($B$1+28&lt;=$B70,12*$B$7,-12*MAX(0,$B$6-IF($B$1+28&gt;=$B$23,$B$22,0))*(1+$B$4)^28)&gt;0,1+$B$3,1))</f>
        <v/>
      </c>
      <c r="AF70">
        <f>IF($B$1+29&gt;90,AE70,(AE70+IF($B$1+29&lt;=$B70,12*$B$7,-12*MAX(0,$B$6-IF($B$1+29&gt;=$B$23,$B$22,0))*(1+$B$4)^29))*IF(AE70+IF($B$1+29&lt;=$B70,12*$B$7,-12*MAX(0,$B$6-IF($B$1+29&gt;=$B$23,$B$22,0))*(1+$B$4)^29)&gt;0,1+$B$3,1))</f>
        <v/>
      </c>
      <c r="AG70">
        <f>IF($B$1+30&gt;90,AF70,(AF70+IF($B$1+30&lt;=$B70,12*$B$7,-12*MAX(0,$B$6-IF($B$1+30&gt;=$B$23,$B$22,0))*(1+$B$4)^30))*IF(AF70+IF($B$1+30&lt;=$B70,12*$B$7,-12*MAX(0,$B$6-IF($B$1+30&gt;=$B$23,$B$22,0))*(1+$B$4)^30)&gt;0,1+$B$3,1))</f>
        <v/>
      </c>
      <c r="AH70">
        <f>IF($B$1+31&gt;90,AG70,(AG70+IF($B$1+31&lt;=$B70,12*$B$7,-12*MAX(0,$B$6-IF($B$1+31&gt;=$B$23,$B$22,0))*(1+$B$4)^31))*IF(AG70+IF($B$1+31&lt;=$B70,12*$B$7,-12*MAX(0,$B$6-IF($B$1+31&gt;=$B$23,$B$22,0))*(1+$B$4)^31)&gt;0,1+$B$3,1))</f>
        <v/>
      </c>
      <c r="AI70">
        <f>IF($B$1+32&gt;90,AH70,(AH70+IF($B$1+32&lt;=$B70,12*$B$7,-12*MAX(0,$B$6-IF($B$1+32&gt;=$B$23,$B$22,0))*(1+$B$4)^32))*IF(AH70+IF($B$1+32&lt;=$B70,12*$B$7,-12*MAX(0,$B$6-IF($B$1+32&gt;=$B$23,$B$22,0))*(1+$B$4)^32)&gt;0,1+$B$3,1))</f>
        <v/>
      </c>
      <c r="AJ70">
        <f>IF($B$1+33&gt;90,AI70,(AI70+IF($B$1+33&lt;=$B70,12*$B$7,-12*MAX(0,$B$6-IF($B$1+33&gt;=$B$23,$B$22,0))*(1+$B$4)^33))*IF(AI70+IF($B$1+33&lt;=$B70,12*$B$7,-12*MAX(0,$B$6-IF($B$1+33&gt;=$B$23,$B$22,0))*(1+$B$4)^33)&gt;0,1+$B$3,1))</f>
        <v/>
      </c>
      <c r="AK70">
        <f>IF($B$1+34&gt;90,AJ70,(AJ70+IF($B$1+34&lt;=$B70,12*$B$7,-12*MAX(0,$B$6-IF($B$1+34&gt;=$B$23,$B$22,0))*(1+$B$4)^34))*IF(AJ70+IF($B$1+34&lt;=$B70,12*$B$7,-12*MAX(0,$B$6-IF($B$1+34&gt;=$B$23,$B$22,0))*(1+$B$4)^34)&gt;0,1+$B$3,1))</f>
        <v/>
      </c>
      <c r="AL70">
        <f>IF($B$1+35&gt;90,AK70,(AK70+IF($B$1+35&lt;=$B70,12*$B$7,-12*MAX(0,$B$6-IF($B$1+35&gt;=$B$23,$B$22,0))*(1+$B$4)^35))*IF(AK70+IF($B$1+35&lt;=$B70,12*$B$7,-12*MAX(0,$B$6-IF($B$1+35&gt;=$B$23,$B$22,0))*(1+$B$4)^35)&gt;0,1+$B$3,1))</f>
        <v/>
      </c>
      <c r="AM70">
        <f>IF($B$1+36&gt;90,AL70,(AL70+IF($B$1+36&lt;=$B70,12*$B$7,-12*MAX(0,$B$6-IF($B$1+36&gt;=$B$23,$B$22,0))*(1+$B$4)^36))*IF(AL70+IF($B$1+36&lt;=$B70,12*$B$7,-12*MAX(0,$B$6-IF($B$1+36&gt;=$B$23,$B$22,0))*(1+$B$4)^36)&gt;0,1+$B$3,1))</f>
        <v/>
      </c>
      <c r="AN70">
        <f>IF($B$1+37&gt;90,AM70,(AM70+IF($B$1+37&lt;=$B70,12*$B$7,-12*MAX(0,$B$6-IF($B$1+37&gt;=$B$23,$B$22,0))*(1+$B$4)^37))*IF(AM70+IF($B$1+37&lt;=$B70,12*$B$7,-12*MAX(0,$B$6-IF($B$1+37&gt;=$B$23,$B$22,0))*(1+$B$4)^37)&gt;0,1+$B$3,1))</f>
        <v/>
      </c>
      <c r="AO70">
        <f>IF($B$1+38&gt;90,AN70,(AN70+IF($B$1+38&lt;=$B70,12*$B$7,-12*MAX(0,$B$6-IF($B$1+38&gt;=$B$23,$B$22,0))*(1+$B$4)^38))*IF(AN70+IF($B$1+38&lt;=$B70,12*$B$7,-12*MAX(0,$B$6-IF($B$1+38&gt;=$B$23,$B$22,0))*(1+$B$4)^38)&gt;0,1+$B$3,1))</f>
        <v/>
      </c>
      <c r="AP70">
        <f>IF($B$1+39&gt;90,AO70,(AO70+IF($B$1+39&lt;=$B70,12*$B$7,-12*MAX(0,$B$6-IF($B$1+39&gt;=$B$23,$B$22,0))*(1+$B$4)^39))*IF(AO70+IF($B$1+39&lt;=$B70,12*$B$7,-12*MAX(0,$B$6-IF($B$1+39&gt;=$B$23,$B$22,0))*(1+$B$4)^39)&gt;0,1+$B$3,1))</f>
        <v/>
      </c>
      <c r="AQ70">
        <f>IF($B$1+40&gt;90,AP70,(AP70+IF($B$1+40&lt;=$B70,12*$B$7,-12*MAX(0,$B$6-IF($B$1+40&gt;=$B$23,$B$22,0))*(1+$B$4)^40))*IF(AP70+IF($B$1+40&lt;=$B70,12*$B$7,-12*MAX(0,$B$6-IF($B$1+40&gt;=$B$23,$B$22,0))*(1+$B$4)^40)&gt;0,1+$B$3,1))</f>
        <v/>
      </c>
      <c r="AR70">
        <f>IF($B$1+41&gt;90,AQ70,(AQ70+IF($B$1+41&lt;=$B70,12*$B$7,-12*MAX(0,$B$6-IF($B$1+41&gt;=$B$23,$B$22,0))*(1+$B$4)^41))*IF(AQ70+IF($B$1+41&lt;=$B70,12*$B$7,-12*MAX(0,$B$6-IF($B$1+41&gt;=$B$23,$B$22,0))*(1+$B$4)^41)&gt;0,1+$B$3,1))</f>
        <v/>
      </c>
      <c r="AS70">
        <f>IF($B$1+42&gt;90,AR70,(AR70+IF($B$1+42&lt;=$B70,12*$B$7,-12*MAX(0,$B$6-IF($B$1+42&gt;=$B$23,$B$22,0))*(1+$B$4)^42))*IF(AR70+IF($B$1+42&lt;=$B70,12*$B$7,-12*MAX(0,$B$6-IF($B$1+42&gt;=$B$23,$B$22,0))*(1+$B$4)^42)&gt;0,1+$B$3,1))</f>
        <v/>
      </c>
      <c r="AT70">
        <f>IF($B$1+43&gt;90,AS70,(AS70+IF($B$1+43&lt;=$B70,12*$B$7,-12*MAX(0,$B$6-IF($B$1+43&gt;=$B$23,$B$22,0))*(1+$B$4)^43))*IF(AS70+IF($B$1+43&lt;=$B70,12*$B$7,-12*MAX(0,$B$6-IF($B$1+43&gt;=$B$23,$B$22,0))*(1+$B$4)^43)&gt;0,1+$B$3,1))</f>
        <v/>
      </c>
      <c r="AU70">
        <f>IF($B$1+44&gt;90,AT70,(AT70+IF($B$1+44&lt;=$B70,12*$B$7,-12*MAX(0,$B$6-IF($B$1+44&gt;=$B$23,$B$22,0))*(1+$B$4)^44))*IF(AT70+IF($B$1+44&lt;=$B70,12*$B$7,-12*MAX(0,$B$6-IF($B$1+44&gt;=$B$23,$B$22,0))*(1+$B$4)^44)&gt;0,1+$B$3,1))</f>
        <v/>
      </c>
      <c r="AV70">
        <f>IF($B$1+45&gt;90,AU70,(AU70+IF($B$1+45&lt;=$B70,12*$B$7,-12*MAX(0,$B$6-IF($B$1+45&gt;=$B$23,$B$22,0))*(1+$B$4)^45))*IF(AU70+IF($B$1+45&lt;=$B70,12*$B$7,-12*MAX(0,$B$6-IF($B$1+45&gt;=$B$23,$B$22,0))*(1+$B$4)^45)&gt;0,1+$B$3,1))</f>
        <v/>
      </c>
      <c r="AW70">
        <f>IF($B$1+46&gt;90,AV70,(AV70+IF($B$1+46&lt;=$B70,12*$B$7,-12*MAX(0,$B$6-IF($B$1+46&gt;=$B$23,$B$22,0))*(1+$B$4)^46))*IF(AV70+IF($B$1+46&lt;=$B70,12*$B$7,-12*MAX(0,$B$6-IF($B$1+46&gt;=$B$23,$B$22,0))*(1+$B$4)^46)&gt;0,1+$B$3,1))</f>
        <v/>
      </c>
      <c r="AX70">
        <f>IF($B$1+47&gt;90,AW70,(AW70+IF($B$1+47&lt;=$B70,12*$B$7,-12*MAX(0,$B$6-IF($B$1+47&gt;=$B$23,$B$22,0))*(1+$B$4)^47))*IF(AW70+IF($B$1+47&lt;=$B70,12*$B$7,-12*MAX(0,$B$6-IF($B$1+47&gt;=$B$23,$B$22,0))*(1+$B$4)^47)&gt;0,1+$B$3,1))</f>
        <v/>
      </c>
      <c r="AY70">
        <f>IF($B$1+48&gt;90,AX70,(AX70+IF($B$1+48&lt;=$B70,12*$B$7,-12*MAX(0,$B$6-IF($B$1+48&gt;=$B$23,$B$22,0))*(1+$B$4)^48))*IF(AX70+IF($B$1+48&lt;=$B70,12*$B$7,-12*MAX(0,$B$6-IF($B$1+48&gt;=$B$23,$B$22,0))*(1+$B$4)^48)&gt;0,1+$B$3,1))</f>
        <v/>
      </c>
      <c r="AZ70">
        <f>IF($B$1+49&gt;90,AY70,(AY70+IF($B$1+49&lt;=$B70,12*$B$7,-12*MAX(0,$B$6-IF($B$1+49&gt;=$B$23,$B$22,0))*(1+$B$4)^49))*IF(AY70+IF($B$1+49&lt;=$B70,12*$B$7,-12*MAX(0,$B$6-IF($B$1+49&gt;=$B$23,$B$22,0))*(1+$B$4)^49)&gt;0,1+$B$3,1))</f>
        <v/>
      </c>
      <c r="BA70">
        <f>IF($B$1+50&gt;90,AZ70,(AZ70+IF($B$1+50&lt;=$B70,12*$B$7,-12*MAX(0,$B$6-IF($B$1+50&gt;=$B$23,$B$22,0))*(1+$B$4)^50))*IF(AZ70+IF($B$1+50&lt;=$B70,12*$B$7,-12*MAX(0,$B$6-IF($B$1+50&gt;=$B$23,$B$22,0))*(1+$B$4)^50)&gt;0,1+$B$3,1))</f>
        <v/>
      </c>
      <c r="BB70">
        <f>IF($B$1+51&gt;90,BA70,(BA70+IF($B$1+51&lt;=$B70,12*$B$7,-12*MAX(0,$B$6-IF($B$1+51&gt;=$B$23,$B$22,0))*(1+$B$4)^51))*IF(BA70+IF($B$1+51&lt;=$B70,12*$B$7,-12*MAX(0,$B$6-IF($B$1+51&gt;=$B$23,$B$22,0))*(1+$B$4)^51)&gt;0,1+$B$3,1))</f>
        <v/>
      </c>
      <c r="BC70">
        <f>IF($B$1+52&gt;90,BB70,(BB70+IF($B$1+52&lt;=$B70,12*$B$7,-12*MAX(0,$B$6-IF($B$1+52&gt;=$B$23,$B$22,0))*(1+$B$4)^52))*IF(BB70+IF($B$1+52&lt;=$B70,12*$B$7,-12*MAX(0,$B$6-IF($B$1+52&gt;=$B$23,$B$22,0))*(1+$B$4)^52)&gt;0,1+$B$3,1))</f>
        <v/>
      </c>
      <c r="BD70">
        <f>IF($B$1+53&gt;90,BC70,(BC70+IF($B$1+53&lt;=$B70,12*$B$7,-12*MAX(0,$B$6-IF($B$1+53&gt;=$B$23,$B$22,0))*(1+$B$4)^53))*IF(BC70+IF($B$1+53&lt;=$B70,12*$B$7,-12*MAX(0,$B$6-IF($B$1+53&gt;=$B$23,$B$22,0))*(1+$B$4)^53)&gt;0,1+$B$3,1))</f>
        <v/>
      </c>
      <c r="BE70">
        <f>IF($B$1+54&gt;90,BD70,(BD70+IF($B$1+54&lt;=$B70,12*$B$7,-12*MAX(0,$B$6-IF($B$1+54&gt;=$B$23,$B$22,0))*(1+$B$4)^54))*IF(BD70+IF($B$1+54&lt;=$B70,12*$B$7,-12*MAX(0,$B$6-IF($B$1+54&gt;=$B$23,$B$22,0))*(1+$B$4)^54)&gt;0,1+$B$3,1))</f>
        <v/>
      </c>
      <c r="BF70">
        <f>IF($B$1+55&gt;90,BE70,(BE70+IF($B$1+55&lt;=$B70,12*$B$7,-12*MAX(0,$B$6-IF($B$1+55&gt;=$B$23,$B$22,0))*(1+$B$4)^55))*IF(BE70+IF($B$1+55&lt;=$B70,12*$B$7,-12*MAX(0,$B$6-IF($B$1+55&gt;=$B$23,$B$22,0))*(1+$B$4)^55)&gt;0,1+$B$3,1))</f>
        <v/>
      </c>
      <c r="BG70">
        <f>IF($B$1+56&gt;90,BF70,(BF70+IF($B$1+56&lt;=$B70,12*$B$7,-12*MAX(0,$B$6-IF($B$1+56&gt;=$B$23,$B$22,0))*(1+$B$4)^56))*IF(BF70+IF($B$1+56&lt;=$B70,12*$B$7,-12*MAX(0,$B$6-IF($B$1+56&gt;=$B$23,$B$22,0))*(1+$B$4)^56)&gt;0,1+$B$3,1))</f>
        <v/>
      </c>
      <c r="BH70">
        <f>IF($B$1+57&gt;90,BG70,(BG70+IF($B$1+57&lt;=$B70,12*$B$7,-12*MAX(0,$B$6-IF($B$1+57&gt;=$B$23,$B$22,0))*(1+$B$4)^57))*IF(BG70+IF($B$1+57&lt;=$B70,12*$B$7,-12*MAX(0,$B$6-IF($B$1+57&gt;=$B$23,$B$22,0))*(1+$B$4)^57)&gt;0,1+$B$3,1))</f>
        <v/>
      </c>
      <c r="BI70">
        <f>IF($B$1+58&gt;90,BH70,(BH70+IF($B$1+58&lt;=$B70,12*$B$7,-12*MAX(0,$B$6-IF($B$1+58&gt;=$B$23,$B$22,0))*(1+$B$4)^58))*IF(BH70+IF($B$1+58&lt;=$B70,12*$B$7,-12*MAX(0,$B$6-IF($B$1+58&gt;=$B$23,$B$22,0))*(1+$B$4)^58)&gt;0,1+$B$3,1))</f>
        <v/>
      </c>
      <c r="BJ70">
        <f>IF($B$1+59&gt;90,BI70,(BI70+IF($B$1+59&lt;=$B70,12*$B$7,-12*MAX(0,$B$6-IF($B$1+59&gt;=$B$23,$B$22,0))*(1+$B$4)^59))*IF(BI70+IF($B$1+59&lt;=$B70,12*$B$7,-12*MAX(0,$B$6-IF($B$1+59&gt;=$B$23,$B$22,0))*(1+$B$4)^59)&gt;0,1+$B$3,1))</f>
        <v/>
      </c>
      <c r="BK70">
        <f>IF($B$1+60&gt;90,BJ70,(BJ70+IF($B$1+60&lt;=$B70,12*$B$7,-12*MAX(0,$B$6-IF($B$1+60&gt;=$B$23,$B$22,0))*(1+$B$4)^60))*IF(BJ70+IF($B$1+60&lt;=$B70,12*$B$7,-12*MAX(0,$B$6-IF($B$1+60&gt;=$B$23,$B$22,0))*(1+$B$4)^60)&gt;0,1+$B$3,1))</f>
        <v/>
      </c>
      <c r="BL70">
        <f>IF($B$1+61&gt;90,BK70,(BK70+IF($B$1+61&lt;=$B70,12*$B$7,-12*MAX(0,$B$6-IF($B$1+61&gt;=$B$23,$B$22,0))*(1+$B$4)^61))*IF(BK70+IF($B$1+61&lt;=$B70,12*$B$7,-12*MAX(0,$B$6-IF($B$1+61&gt;=$B$23,$B$22,0))*(1+$B$4)^61)&gt;0,1+$B$3,1))</f>
        <v/>
      </c>
      <c r="BM70">
        <f>IF($B$1+62&gt;90,BL70,(BL70+IF($B$1+62&lt;=$B70,12*$B$7,-12*MAX(0,$B$6-IF($B$1+62&gt;=$B$23,$B$22,0))*(1+$B$4)^62))*IF(BL70+IF($B$1+62&lt;=$B70,12*$B$7,-12*MAX(0,$B$6-IF($B$1+62&gt;=$B$23,$B$22,0))*(1+$B$4)^62)&gt;0,1+$B$3,1))</f>
        <v/>
      </c>
      <c r="BN70">
        <f>IF($B$1+63&gt;90,BM70,(BM70+IF($B$1+63&lt;=$B70,12*$B$7,-12*MAX(0,$B$6-IF($B$1+63&gt;=$B$23,$B$22,0))*(1+$B$4)^63))*IF(BM70+IF($B$1+63&lt;=$B70,12*$B$7,-12*MAX(0,$B$6-IF($B$1+63&gt;=$B$23,$B$22,0))*(1+$B$4)^63)&gt;0,1+$B$3,1))</f>
        <v/>
      </c>
      <c r="BO70">
        <f>IF($B$1+64&gt;90,BN70,(BN70+IF($B$1+64&lt;=$B70,12*$B$7,-12*MAX(0,$B$6-IF($B$1+64&gt;=$B$23,$B$22,0))*(1+$B$4)^64))*IF(BN70+IF($B$1+64&lt;=$B70,12*$B$7,-12*MAX(0,$B$6-IF($B$1+64&gt;=$B$23,$B$22,0))*(1+$B$4)^64)&gt;0,1+$B$3,1))</f>
        <v/>
      </c>
      <c r="BP70">
        <f>IF($B$1+65&gt;90,BO70,(BO70+IF($B$1+65&lt;=$B70,12*$B$7,-12*MAX(0,$B$6-IF($B$1+65&gt;=$B$23,$B$22,0))*(1+$B$4)^65))*IF(BO70+IF($B$1+65&lt;=$B70,12*$B$7,-12*MAX(0,$B$6-IF($B$1+65&gt;=$B$23,$B$22,0))*(1+$B$4)^65)&gt;0,1+$B$3,1))</f>
        <v/>
      </c>
      <c r="BQ70">
        <f>IF($B$1+66&gt;90,BP70,(BP70+IF($B$1+66&lt;=$B70,12*$B$7,-12*MAX(0,$B$6-IF($B$1+66&gt;=$B$23,$B$22,0))*(1+$B$4)^66))*IF(BP70+IF($B$1+66&lt;=$B70,12*$B$7,-12*MAX(0,$B$6-IF($B$1+66&gt;=$B$23,$B$22,0))*(1+$B$4)^66)&gt;0,1+$B$3,1))</f>
        <v/>
      </c>
      <c r="BR70">
        <f>IF($B$1+67&gt;90,BQ70,(BQ70+IF($B$1+67&lt;=$B70,12*$B$7,-12*MAX(0,$B$6-IF($B$1+67&gt;=$B$23,$B$22,0))*(1+$B$4)^67))*IF(BQ70+IF($B$1+67&lt;=$B70,12*$B$7,-12*MAX(0,$B$6-IF($B$1+67&gt;=$B$23,$B$22,0))*(1+$B$4)^67)&gt;0,1+$B$3,1))</f>
        <v/>
      </c>
      <c r="BS70">
        <f>IF($B$1+68&gt;90,BR70,(BR70+IF($B$1+68&lt;=$B70,12*$B$7,-12*MAX(0,$B$6-IF($B$1+68&gt;=$B$23,$B$22,0))*(1+$B$4)^68))*IF(BR70+IF($B$1+68&lt;=$B70,12*$B$7,-12*MAX(0,$B$6-IF($B$1+68&gt;=$B$23,$B$22,0))*(1+$B$4)^68)&gt;0,1+$B$3,1))</f>
        <v/>
      </c>
      <c r="BT70">
        <f>IF($B$1+69&gt;90,BS70,(BS70+IF($B$1+69&lt;=$B70,12*$B$7,-12*MAX(0,$B$6-IF($B$1+69&gt;=$B$23,$B$22,0))*(1+$B$4)^69))*IF(BS70+IF($B$1+69&lt;=$B70,12*$B$7,-12*MAX(0,$B$6-IF($B$1+69&gt;=$B$23,$B$22,0))*(1+$B$4)^69)&gt;0,1+$B$3,1))</f>
        <v/>
      </c>
      <c r="BU70">
        <f>IF($B$1+70&gt;90,BT70,(BT70+IF($B$1+70&lt;=$B70,12*$B$7,-12*MAX(0,$B$6-IF($B$1+70&gt;=$B$23,$B$22,0))*(1+$B$4)^70))*IF(BT70+IF($B$1+70&lt;=$B70,12*$B$7,-12*MAX(0,$B$6-IF($B$1+70&gt;=$B$23,$B$22,0))*(1+$B$4)^70)&gt;0,1+$B$3,1))</f>
        <v/>
      </c>
      <c r="BV70">
        <f>BU70</f>
        <v/>
      </c>
      <c r="BW70">
        <f>IF(AND($B70&lt;=70,BV70&gt;0),$B70,999)</f>
        <v/>
      </c>
      <c r="CB70" t="n">
        <v>69</v>
      </c>
      <c r="CC70">
        <f>IF($B$1+CB70&gt;90,0,12*MAX(0,$B$6-IF($B$1+CB70&gt;=$B$23,$B$22,0))*(1+$B$4)^CB70/(1+$B$3)^(CB70-1))</f>
        <v/>
      </c>
      <c r="CE70">
        <f>IF($B$1+68&gt;90,NA(),$B$1+68)</f>
        <v/>
      </c>
      <c r="CF70">
        <f>IF(OR($B$21="",$B$1+68&gt;90),NA(),INDEX($C$40:$BU$90,$B$21-$B$1+1,69))</f>
        <v/>
      </c>
      <c r="CH70">
        <f>IF(ISTEXT('월 가계부'!A70),SUBSTITUTE(SUBSTITUTE(SUBSTITUTE(SUBSTITUTE(SUBSTITUTE(SUBSTITUTE(SUBSTITUTE(SUBSTITUTE(SUBSTITUTE(TRIM('월 가계부'!A70),"년","-"),"월","-"),"일",""),".","-"),"/","-")," ","-"),"--","-"),"--","-"),"--","-")&amp;"-","")</f>
        <v/>
      </c>
      <c r="CI70">
        <f>IFERROR(IF('월 가계부'!A70="","",IF(ISNUMBER('월 가계부'!A70),IF(AND('월 가계부'!A70&gt;=19000101,'월 가계부'!A70&lt;=21001231),IF(AND(MOD(INT('월 가계부'!A70/100),100)&gt;=1,MOD(INT('월 가계부'!A70/100),100)&lt;=12,MOD(INT('월 가계부'!A70),100)&gt;=1,MOD(INT('월 가계부'!A70),100)&lt;=31),IF(MONTH(DATE(INT('월 가계부'!A70/10000),MOD(INT('월 가계부'!A70/100),100),MOD(INT('월 가계부'!A70),100)))=MOD(INT('월 가계부'!A70/100),100),DATE(INT('월 가계부'!A70/10000),MOD(INT('월 가계부'!A70/100),100),MOD(INT('월 가계부'!A70),100)),""),""),IF(AND('월 가계부'!A70&gt;=36526,'월 가계부'!A70&lt;73051),INT('월 가계부'!A70),"")),IF(OR(CM70="",CN70="",CO70=""),"",IF(AND(CM70&gt;=2000,CM70&lt;=2099,CN70&gt;=1,CN70&lt;=12,CO70&gt;=1,CO70&lt;=31),IF(MONTH(DATE(CM70,CN70,CO70))=CN70,DATE(CM70,CN70,CO70),""),"")))),"")</f>
        <v/>
      </c>
      <c r="CJ70">
        <f>IFERROR(IF('월 가계부'!C70="","",IF(ISNUMBER('월 가계부'!C70),'월 가계부'!C70,VALUE(SUBSTITUTE(SUBSTITUTE(SUBSTITUTE(SUBSTITUTE(TRIM('월 가계부'!C70),",",""),"원","")," ",""),"−","-")))),"")</f>
        <v/>
      </c>
      <c r="CK70">
        <f>IF(ISNUMBER(CI70),IF(CI70&lt;$B$13,CI70,""),"")</f>
        <v/>
      </c>
      <c r="CM70">
        <f>IF(CH70="","",IFERROR(IF(IF(AND(LEN(CH70)=9,ISERROR(FIND("-",LEFT(CH70,8))),ISNUMBER(-LEFT(CH70,8))),VALUE(LEFT(CH70,4)),VALUE(LEFT(CH70,FIND("-",CH70)-1)))&lt;100,IF(AND(LEN(CH70)=9,ISERROR(FIND("-",LEFT(CH70,8))),ISNUMBER(-LEFT(CH70,8))),VALUE(LEFT(CH70,4)),VALUE(LEFT(CH70,FIND("-",CH70)-1)))+2000,IF(AND(LEN(CH70)=9,ISERROR(FIND("-",LEFT(CH70,8))),ISNUMBER(-LEFT(CH70,8))),VALUE(LEFT(CH70,4)),VALUE(LEFT(CH70,FIND("-",CH70)-1)))),""))</f>
        <v/>
      </c>
      <c r="CN70">
        <f>IF(CH70="","",IFERROR(IF(AND(LEN(CH70)=9,ISERROR(FIND("-",LEFT(CH70,8))),ISNUMBER(-LEFT(CH70,8))),VALUE(MID(CH70,5,2)),VALUE(MID(CH70,FIND("-",CH70)+1,FIND("-",CH70,FIND("-",CH70)+1)-FIND("-",CH70)-1))),""))</f>
        <v/>
      </c>
      <c r="CO70">
        <f>IF(CH70="","",IFERROR(IF(AND(LEN(CH70)=9,ISERROR(FIND("-",LEFT(CH70,8))),ISNUMBER(-LEFT(CH70,8))),VALUE(MID(CH70,7,2)),VALUE(MID(CH70,FIND("-",CH70,FIND("-",CH70)+1)+1,FIND("-",CH70,FIND("-",CH70,FIND("-",CH70)+1)+1)-FIND("-",CH70,FIND("-",CH70)+1)-1))),""))</f>
        <v/>
      </c>
    </row>
    <row r="71">
      <c r="A71" t="n">
        <v>31</v>
      </c>
      <c r="B71">
        <f>$B$1+31</f>
        <v/>
      </c>
      <c r="C71">
        <f>$B$2</f>
        <v/>
      </c>
      <c r="D71">
        <f>IF($B$1+1&gt;90,C71,(C71+IF($B$1+1&lt;=$B71,12*$B$7,-12*MAX(0,$B$6-IF($B$1+1&gt;=$B$23,$B$22,0))*(1+$B$4)^1))*IF(C71+IF($B$1+1&lt;=$B71,12*$B$7,-12*MAX(0,$B$6-IF($B$1+1&gt;=$B$23,$B$22,0))*(1+$B$4)^1)&gt;0,1+$B$3,1))</f>
        <v/>
      </c>
      <c r="E71">
        <f>IF($B$1+2&gt;90,D71,(D71+IF($B$1+2&lt;=$B71,12*$B$7,-12*MAX(0,$B$6-IF($B$1+2&gt;=$B$23,$B$22,0))*(1+$B$4)^2))*IF(D71+IF($B$1+2&lt;=$B71,12*$B$7,-12*MAX(0,$B$6-IF($B$1+2&gt;=$B$23,$B$22,0))*(1+$B$4)^2)&gt;0,1+$B$3,1))</f>
        <v/>
      </c>
      <c r="F71">
        <f>IF($B$1+3&gt;90,E71,(E71+IF($B$1+3&lt;=$B71,12*$B$7,-12*MAX(0,$B$6-IF($B$1+3&gt;=$B$23,$B$22,0))*(1+$B$4)^3))*IF(E71+IF($B$1+3&lt;=$B71,12*$B$7,-12*MAX(0,$B$6-IF($B$1+3&gt;=$B$23,$B$22,0))*(1+$B$4)^3)&gt;0,1+$B$3,1))</f>
        <v/>
      </c>
      <c r="G71">
        <f>IF($B$1+4&gt;90,F71,(F71+IF($B$1+4&lt;=$B71,12*$B$7,-12*MAX(0,$B$6-IF($B$1+4&gt;=$B$23,$B$22,0))*(1+$B$4)^4))*IF(F71+IF($B$1+4&lt;=$B71,12*$B$7,-12*MAX(0,$B$6-IF($B$1+4&gt;=$B$23,$B$22,0))*(1+$B$4)^4)&gt;0,1+$B$3,1))</f>
        <v/>
      </c>
      <c r="H71">
        <f>IF($B$1+5&gt;90,G71,(G71+IF($B$1+5&lt;=$B71,12*$B$7,-12*MAX(0,$B$6-IF($B$1+5&gt;=$B$23,$B$22,0))*(1+$B$4)^5))*IF(G71+IF($B$1+5&lt;=$B71,12*$B$7,-12*MAX(0,$B$6-IF($B$1+5&gt;=$B$23,$B$22,0))*(1+$B$4)^5)&gt;0,1+$B$3,1))</f>
        <v/>
      </c>
      <c r="I71">
        <f>IF($B$1+6&gt;90,H71,(H71+IF($B$1+6&lt;=$B71,12*$B$7,-12*MAX(0,$B$6-IF($B$1+6&gt;=$B$23,$B$22,0))*(1+$B$4)^6))*IF(H71+IF($B$1+6&lt;=$B71,12*$B$7,-12*MAX(0,$B$6-IF($B$1+6&gt;=$B$23,$B$22,0))*(1+$B$4)^6)&gt;0,1+$B$3,1))</f>
        <v/>
      </c>
      <c r="J71">
        <f>IF($B$1+7&gt;90,I71,(I71+IF($B$1+7&lt;=$B71,12*$B$7,-12*MAX(0,$B$6-IF($B$1+7&gt;=$B$23,$B$22,0))*(1+$B$4)^7))*IF(I71+IF($B$1+7&lt;=$B71,12*$B$7,-12*MAX(0,$B$6-IF($B$1+7&gt;=$B$23,$B$22,0))*(1+$B$4)^7)&gt;0,1+$B$3,1))</f>
        <v/>
      </c>
      <c r="K71">
        <f>IF($B$1+8&gt;90,J71,(J71+IF($B$1+8&lt;=$B71,12*$B$7,-12*MAX(0,$B$6-IF($B$1+8&gt;=$B$23,$B$22,0))*(1+$B$4)^8))*IF(J71+IF($B$1+8&lt;=$B71,12*$B$7,-12*MAX(0,$B$6-IF($B$1+8&gt;=$B$23,$B$22,0))*(1+$B$4)^8)&gt;0,1+$B$3,1))</f>
        <v/>
      </c>
      <c r="L71">
        <f>IF($B$1+9&gt;90,K71,(K71+IF($B$1+9&lt;=$B71,12*$B$7,-12*MAX(0,$B$6-IF($B$1+9&gt;=$B$23,$B$22,0))*(1+$B$4)^9))*IF(K71+IF($B$1+9&lt;=$B71,12*$B$7,-12*MAX(0,$B$6-IF($B$1+9&gt;=$B$23,$B$22,0))*(1+$B$4)^9)&gt;0,1+$B$3,1))</f>
        <v/>
      </c>
      <c r="M71">
        <f>IF($B$1+10&gt;90,L71,(L71+IF($B$1+10&lt;=$B71,12*$B$7,-12*MAX(0,$B$6-IF($B$1+10&gt;=$B$23,$B$22,0))*(1+$B$4)^10))*IF(L71+IF($B$1+10&lt;=$B71,12*$B$7,-12*MAX(0,$B$6-IF($B$1+10&gt;=$B$23,$B$22,0))*(1+$B$4)^10)&gt;0,1+$B$3,1))</f>
        <v/>
      </c>
      <c r="N71">
        <f>IF($B$1+11&gt;90,M71,(M71+IF($B$1+11&lt;=$B71,12*$B$7,-12*MAX(0,$B$6-IF($B$1+11&gt;=$B$23,$B$22,0))*(1+$B$4)^11))*IF(M71+IF($B$1+11&lt;=$B71,12*$B$7,-12*MAX(0,$B$6-IF($B$1+11&gt;=$B$23,$B$22,0))*(1+$B$4)^11)&gt;0,1+$B$3,1))</f>
        <v/>
      </c>
      <c r="O71">
        <f>IF($B$1+12&gt;90,N71,(N71+IF($B$1+12&lt;=$B71,12*$B$7,-12*MAX(0,$B$6-IF($B$1+12&gt;=$B$23,$B$22,0))*(1+$B$4)^12))*IF(N71+IF($B$1+12&lt;=$B71,12*$B$7,-12*MAX(0,$B$6-IF($B$1+12&gt;=$B$23,$B$22,0))*(1+$B$4)^12)&gt;0,1+$B$3,1))</f>
        <v/>
      </c>
      <c r="P71">
        <f>IF($B$1+13&gt;90,O71,(O71+IF($B$1+13&lt;=$B71,12*$B$7,-12*MAX(0,$B$6-IF($B$1+13&gt;=$B$23,$B$22,0))*(1+$B$4)^13))*IF(O71+IF($B$1+13&lt;=$B71,12*$B$7,-12*MAX(0,$B$6-IF($B$1+13&gt;=$B$23,$B$22,0))*(1+$B$4)^13)&gt;0,1+$B$3,1))</f>
        <v/>
      </c>
      <c r="Q71">
        <f>IF($B$1+14&gt;90,P71,(P71+IF($B$1+14&lt;=$B71,12*$B$7,-12*MAX(0,$B$6-IF($B$1+14&gt;=$B$23,$B$22,0))*(1+$B$4)^14))*IF(P71+IF($B$1+14&lt;=$B71,12*$B$7,-12*MAX(0,$B$6-IF($B$1+14&gt;=$B$23,$B$22,0))*(1+$B$4)^14)&gt;0,1+$B$3,1))</f>
        <v/>
      </c>
      <c r="R71">
        <f>IF($B$1+15&gt;90,Q71,(Q71+IF($B$1+15&lt;=$B71,12*$B$7,-12*MAX(0,$B$6-IF($B$1+15&gt;=$B$23,$B$22,0))*(1+$B$4)^15))*IF(Q71+IF($B$1+15&lt;=$B71,12*$B$7,-12*MAX(0,$B$6-IF($B$1+15&gt;=$B$23,$B$22,0))*(1+$B$4)^15)&gt;0,1+$B$3,1))</f>
        <v/>
      </c>
      <c r="S71">
        <f>IF($B$1+16&gt;90,R71,(R71+IF($B$1+16&lt;=$B71,12*$B$7,-12*MAX(0,$B$6-IF($B$1+16&gt;=$B$23,$B$22,0))*(1+$B$4)^16))*IF(R71+IF($B$1+16&lt;=$B71,12*$B$7,-12*MAX(0,$B$6-IF($B$1+16&gt;=$B$23,$B$22,0))*(1+$B$4)^16)&gt;0,1+$B$3,1))</f>
        <v/>
      </c>
      <c r="T71">
        <f>IF($B$1+17&gt;90,S71,(S71+IF($B$1+17&lt;=$B71,12*$B$7,-12*MAX(0,$B$6-IF($B$1+17&gt;=$B$23,$B$22,0))*(1+$B$4)^17))*IF(S71+IF($B$1+17&lt;=$B71,12*$B$7,-12*MAX(0,$B$6-IF($B$1+17&gt;=$B$23,$B$22,0))*(1+$B$4)^17)&gt;0,1+$B$3,1))</f>
        <v/>
      </c>
      <c r="U71">
        <f>IF($B$1+18&gt;90,T71,(T71+IF($B$1+18&lt;=$B71,12*$B$7,-12*MAX(0,$B$6-IF($B$1+18&gt;=$B$23,$B$22,0))*(1+$B$4)^18))*IF(T71+IF($B$1+18&lt;=$B71,12*$B$7,-12*MAX(0,$B$6-IF($B$1+18&gt;=$B$23,$B$22,0))*(1+$B$4)^18)&gt;0,1+$B$3,1))</f>
        <v/>
      </c>
      <c r="V71">
        <f>IF($B$1+19&gt;90,U71,(U71+IF($B$1+19&lt;=$B71,12*$B$7,-12*MAX(0,$B$6-IF($B$1+19&gt;=$B$23,$B$22,0))*(1+$B$4)^19))*IF(U71+IF($B$1+19&lt;=$B71,12*$B$7,-12*MAX(0,$B$6-IF($B$1+19&gt;=$B$23,$B$22,0))*(1+$B$4)^19)&gt;0,1+$B$3,1))</f>
        <v/>
      </c>
      <c r="W71">
        <f>IF($B$1+20&gt;90,V71,(V71+IF($B$1+20&lt;=$B71,12*$B$7,-12*MAX(0,$B$6-IF($B$1+20&gt;=$B$23,$B$22,0))*(1+$B$4)^20))*IF(V71+IF($B$1+20&lt;=$B71,12*$B$7,-12*MAX(0,$B$6-IF($B$1+20&gt;=$B$23,$B$22,0))*(1+$B$4)^20)&gt;0,1+$B$3,1))</f>
        <v/>
      </c>
      <c r="X71">
        <f>IF($B$1+21&gt;90,W71,(W71+IF($B$1+21&lt;=$B71,12*$B$7,-12*MAX(0,$B$6-IF($B$1+21&gt;=$B$23,$B$22,0))*(1+$B$4)^21))*IF(W71+IF($B$1+21&lt;=$B71,12*$B$7,-12*MAX(0,$B$6-IF($B$1+21&gt;=$B$23,$B$22,0))*(1+$B$4)^21)&gt;0,1+$B$3,1))</f>
        <v/>
      </c>
      <c r="Y71">
        <f>IF($B$1+22&gt;90,X71,(X71+IF($B$1+22&lt;=$B71,12*$B$7,-12*MAX(0,$B$6-IF($B$1+22&gt;=$B$23,$B$22,0))*(1+$B$4)^22))*IF(X71+IF($B$1+22&lt;=$B71,12*$B$7,-12*MAX(0,$B$6-IF($B$1+22&gt;=$B$23,$B$22,0))*(1+$B$4)^22)&gt;0,1+$B$3,1))</f>
        <v/>
      </c>
      <c r="Z71">
        <f>IF($B$1+23&gt;90,Y71,(Y71+IF($B$1+23&lt;=$B71,12*$B$7,-12*MAX(0,$B$6-IF($B$1+23&gt;=$B$23,$B$22,0))*(1+$B$4)^23))*IF(Y71+IF($B$1+23&lt;=$B71,12*$B$7,-12*MAX(0,$B$6-IF($B$1+23&gt;=$B$23,$B$22,0))*(1+$B$4)^23)&gt;0,1+$B$3,1))</f>
        <v/>
      </c>
      <c r="AA71">
        <f>IF($B$1+24&gt;90,Z71,(Z71+IF($B$1+24&lt;=$B71,12*$B$7,-12*MAX(0,$B$6-IF($B$1+24&gt;=$B$23,$B$22,0))*(1+$B$4)^24))*IF(Z71+IF($B$1+24&lt;=$B71,12*$B$7,-12*MAX(0,$B$6-IF($B$1+24&gt;=$B$23,$B$22,0))*(1+$B$4)^24)&gt;0,1+$B$3,1))</f>
        <v/>
      </c>
      <c r="AB71">
        <f>IF($B$1+25&gt;90,AA71,(AA71+IF($B$1+25&lt;=$B71,12*$B$7,-12*MAX(0,$B$6-IF($B$1+25&gt;=$B$23,$B$22,0))*(1+$B$4)^25))*IF(AA71+IF($B$1+25&lt;=$B71,12*$B$7,-12*MAX(0,$B$6-IF($B$1+25&gt;=$B$23,$B$22,0))*(1+$B$4)^25)&gt;0,1+$B$3,1))</f>
        <v/>
      </c>
      <c r="AC71">
        <f>IF($B$1+26&gt;90,AB71,(AB71+IF($B$1+26&lt;=$B71,12*$B$7,-12*MAX(0,$B$6-IF($B$1+26&gt;=$B$23,$B$22,0))*(1+$B$4)^26))*IF(AB71+IF($B$1+26&lt;=$B71,12*$B$7,-12*MAX(0,$B$6-IF($B$1+26&gt;=$B$23,$B$22,0))*(1+$B$4)^26)&gt;0,1+$B$3,1))</f>
        <v/>
      </c>
      <c r="AD71">
        <f>IF($B$1+27&gt;90,AC71,(AC71+IF($B$1+27&lt;=$B71,12*$B$7,-12*MAX(0,$B$6-IF($B$1+27&gt;=$B$23,$B$22,0))*(1+$B$4)^27))*IF(AC71+IF($B$1+27&lt;=$B71,12*$B$7,-12*MAX(0,$B$6-IF($B$1+27&gt;=$B$23,$B$22,0))*(1+$B$4)^27)&gt;0,1+$B$3,1))</f>
        <v/>
      </c>
      <c r="AE71">
        <f>IF($B$1+28&gt;90,AD71,(AD71+IF($B$1+28&lt;=$B71,12*$B$7,-12*MAX(0,$B$6-IF($B$1+28&gt;=$B$23,$B$22,0))*(1+$B$4)^28))*IF(AD71+IF($B$1+28&lt;=$B71,12*$B$7,-12*MAX(0,$B$6-IF($B$1+28&gt;=$B$23,$B$22,0))*(1+$B$4)^28)&gt;0,1+$B$3,1))</f>
        <v/>
      </c>
      <c r="AF71">
        <f>IF($B$1+29&gt;90,AE71,(AE71+IF($B$1+29&lt;=$B71,12*$B$7,-12*MAX(0,$B$6-IF($B$1+29&gt;=$B$23,$B$22,0))*(1+$B$4)^29))*IF(AE71+IF($B$1+29&lt;=$B71,12*$B$7,-12*MAX(0,$B$6-IF($B$1+29&gt;=$B$23,$B$22,0))*(1+$B$4)^29)&gt;0,1+$B$3,1))</f>
        <v/>
      </c>
      <c r="AG71">
        <f>IF($B$1+30&gt;90,AF71,(AF71+IF($B$1+30&lt;=$B71,12*$B$7,-12*MAX(0,$B$6-IF($B$1+30&gt;=$B$23,$B$22,0))*(1+$B$4)^30))*IF(AF71+IF($B$1+30&lt;=$B71,12*$B$7,-12*MAX(0,$B$6-IF($B$1+30&gt;=$B$23,$B$22,0))*(1+$B$4)^30)&gt;0,1+$B$3,1))</f>
        <v/>
      </c>
      <c r="AH71">
        <f>IF($B$1+31&gt;90,AG71,(AG71+IF($B$1+31&lt;=$B71,12*$B$7,-12*MAX(0,$B$6-IF($B$1+31&gt;=$B$23,$B$22,0))*(1+$B$4)^31))*IF(AG71+IF($B$1+31&lt;=$B71,12*$B$7,-12*MAX(0,$B$6-IF($B$1+31&gt;=$B$23,$B$22,0))*(1+$B$4)^31)&gt;0,1+$B$3,1))</f>
        <v/>
      </c>
      <c r="AI71">
        <f>IF($B$1+32&gt;90,AH71,(AH71+IF($B$1+32&lt;=$B71,12*$B$7,-12*MAX(0,$B$6-IF($B$1+32&gt;=$B$23,$B$22,0))*(1+$B$4)^32))*IF(AH71+IF($B$1+32&lt;=$B71,12*$B$7,-12*MAX(0,$B$6-IF($B$1+32&gt;=$B$23,$B$22,0))*(1+$B$4)^32)&gt;0,1+$B$3,1))</f>
        <v/>
      </c>
      <c r="AJ71">
        <f>IF($B$1+33&gt;90,AI71,(AI71+IF($B$1+33&lt;=$B71,12*$B$7,-12*MAX(0,$B$6-IF($B$1+33&gt;=$B$23,$B$22,0))*(1+$B$4)^33))*IF(AI71+IF($B$1+33&lt;=$B71,12*$B$7,-12*MAX(0,$B$6-IF($B$1+33&gt;=$B$23,$B$22,0))*(1+$B$4)^33)&gt;0,1+$B$3,1))</f>
        <v/>
      </c>
      <c r="AK71">
        <f>IF($B$1+34&gt;90,AJ71,(AJ71+IF($B$1+34&lt;=$B71,12*$B$7,-12*MAX(0,$B$6-IF($B$1+34&gt;=$B$23,$B$22,0))*(1+$B$4)^34))*IF(AJ71+IF($B$1+34&lt;=$B71,12*$B$7,-12*MAX(0,$B$6-IF($B$1+34&gt;=$B$23,$B$22,0))*(1+$B$4)^34)&gt;0,1+$B$3,1))</f>
        <v/>
      </c>
      <c r="AL71">
        <f>IF($B$1+35&gt;90,AK71,(AK71+IF($B$1+35&lt;=$B71,12*$B$7,-12*MAX(0,$B$6-IF($B$1+35&gt;=$B$23,$B$22,0))*(1+$B$4)^35))*IF(AK71+IF($B$1+35&lt;=$B71,12*$B$7,-12*MAX(0,$B$6-IF($B$1+35&gt;=$B$23,$B$22,0))*(1+$B$4)^35)&gt;0,1+$B$3,1))</f>
        <v/>
      </c>
      <c r="AM71">
        <f>IF($B$1+36&gt;90,AL71,(AL71+IF($B$1+36&lt;=$B71,12*$B$7,-12*MAX(0,$B$6-IF($B$1+36&gt;=$B$23,$B$22,0))*(1+$B$4)^36))*IF(AL71+IF($B$1+36&lt;=$B71,12*$B$7,-12*MAX(0,$B$6-IF($B$1+36&gt;=$B$23,$B$22,0))*(1+$B$4)^36)&gt;0,1+$B$3,1))</f>
        <v/>
      </c>
      <c r="AN71">
        <f>IF($B$1+37&gt;90,AM71,(AM71+IF($B$1+37&lt;=$B71,12*$B$7,-12*MAX(0,$B$6-IF($B$1+37&gt;=$B$23,$B$22,0))*(1+$B$4)^37))*IF(AM71+IF($B$1+37&lt;=$B71,12*$B$7,-12*MAX(0,$B$6-IF($B$1+37&gt;=$B$23,$B$22,0))*(1+$B$4)^37)&gt;0,1+$B$3,1))</f>
        <v/>
      </c>
      <c r="AO71">
        <f>IF($B$1+38&gt;90,AN71,(AN71+IF($B$1+38&lt;=$B71,12*$B$7,-12*MAX(0,$B$6-IF($B$1+38&gt;=$B$23,$B$22,0))*(1+$B$4)^38))*IF(AN71+IF($B$1+38&lt;=$B71,12*$B$7,-12*MAX(0,$B$6-IF($B$1+38&gt;=$B$23,$B$22,0))*(1+$B$4)^38)&gt;0,1+$B$3,1))</f>
        <v/>
      </c>
      <c r="AP71">
        <f>IF($B$1+39&gt;90,AO71,(AO71+IF($B$1+39&lt;=$B71,12*$B$7,-12*MAX(0,$B$6-IF($B$1+39&gt;=$B$23,$B$22,0))*(1+$B$4)^39))*IF(AO71+IF($B$1+39&lt;=$B71,12*$B$7,-12*MAX(0,$B$6-IF($B$1+39&gt;=$B$23,$B$22,0))*(1+$B$4)^39)&gt;0,1+$B$3,1))</f>
        <v/>
      </c>
      <c r="AQ71">
        <f>IF($B$1+40&gt;90,AP71,(AP71+IF($B$1+40&lt;=$B71,12*$B$7,-12*MAX(0,$B$6-IF($B$1+40&gt;=$B$23,$B$22,0))*(1+$B$4)^40))*IF(AP71+IF($B$1+40&lt;=$B71,12*$B$7,-12*MAX(0,$B$6-IF($B$1+40&gt;=$B$23,$B$22,0))*(1+$B$4)^40)&gt;0,1+$B$3,1))</f>
        <v/>
      </c>
      <c r="AR71">
        <f>IF($B$1+41&gt;90,AQ71,(AQ71+IF($B$1+41&lt;=$B71,12*$B$7,-12*MAX(0,$B$6-IF($B$1+41&gt;=$B$23,$B$22,0))*(1+$B$4)^41))*IF(AQ71+IF($B$1+41&lt;=$B71,12*$B$7,-12*MAX(0,$B$6-IF($B$1+41&gt;=$B$23,$B$22,0))*(1+$B$4)^41)&gt;0,1+$B$3,1))</f>
        <v/>
      </c>
      <c r="AS71">
        <f>IF($B$1+42&gt;90,AR71,(AR71+IF($B$1+42&lt;=$B71,12*$B$7,-12*MAX(0,$B$6-IF($B$1+42&gt;=$B$23,$B$22,0))*(1+$B$4)^42))*IF(AR71+IF($B$1+42&lt;=$B71,12*$B$7,-12*MAX(0,$B$6-IF($B$1+42&gt;=$B$23,$B$22,0))*(1+$B$4)^42)&gt;0,1+$B$3,1))</f>
        <v/>
      </c>
      <c r="AT71">
        <f>IF($B$1+43&gt;90,AS71,(AS71+IF($B$1+43&lt;=$B71,12*$B$7,-12*MAX(0,$B$6-IF($B$1+43&gt;=$B$23,$B$22,0))*(1+$B$4)^43))*IF(AS71+IF($B$1+43&lt;=$B71,12*$B$7,-12*MAX(0,$B$6-IF($B$1+43&gt;=$B$23,$B$22,0))*(1+$B$4)^43)&gt;0,1+$B$3,1))</f>
        <v/>
      </c>
      <c r="AU71">
        <f>IF($B$1+44&gt;90,AT71,(AT71+IF($B$1+44&lt;=$B71,12*$B$7,-12*MAX(0,$B$6-IF($B$1+44&gt;=$B$23,$B$22,0))*(1+$B$4)^44))*IF(AT71+IF($B$1+44&lt;=$B71,12*$B$7,-12*MAX(0,$B$6-IF($B$1+44&gt;=$B$23,$B$22,0))*(1+$B$4)^44)&gt;0,1+$B$3,1))</f>
        <v/>
      </c>
      <c r="AV71">
        <f>IF($B$1+45&gt;90,AU71,(AU71+IF($B$1+45&lt;=$B71,12*$B$7,-12*MAX(0,$B$6-IF($B$1+45&gt;=$B$23,$B$22,0))*(1+$B$4)^45))*IF(AU71+IF($B$1+45&lt;=$B71,12*$B$7,-12*MAX(0,$B$6-IF($B$1+45&gt;=$B$23,$B$22,0))*(1+$B$4)^45)&gt;0,1+$B$3,1))</f>
        <v/>
      </c>
      <c r="AW71">
        <f>IF($B$1+46&gt;90,AV71,(AV71+IF($B$1+46&lt;=$B71,12*$B$7,-12*MAX(0,$B$6-IF($B$1+46&gt;=$B$23,$B$22,0))*(1+$B$4)^46))*IF(AV71+IF($B$1+46&lt;=$B71,12*$B$7,-12*MAX(0,$B$6-IF($B$1+46&gt;=$B$23,$B$22,0))*(1+$B$4)^46)&gt;0,1+$B$3,1))</f>
        <v/>
      </c>
      <c r="AX71">
        <f>IF($B$1+47&gt;90,AW71,(AW71+IF($B$1+47&lt;=$B71,12*$B$7,-12*MAX(0,$B$6-IF($B$1+47&gt;=$B$23,$B$22,0))*(1+$B$4)^47))*IF(AW71+IF($B$1+47&lt;=$B71,12*$B$7,-12*MAX(0,$B$6-IF($B$1+47&gt;=$B$23,$B$22,0))*(1+$B$4)^47)&gt;0,1+$B$3,1))</f>
        <v/>
      </c>
      <c r="AY71">
        <f>IF($B$1+48&gt;90,AX71,(AX71+IF($B$1+48&lt;=$B71,12*$B$7,-12*MAX(0,$B$6-IF($B$1+48&gt;=$B$23,$B$22,0))*(1+$B$4)^48))*IF(AX71+IF($B$1+48&lt;=$B71,12*$B$7,-12*MAX(0,$B$6-IF($B$1+48&gt;=$B$23,$B$22,0))*(1+$B$4)^48)&gt;0,1+$B$3,1))</f>
        <v/>
      </c>
      <c r="AZ71">
        <f>IF($B$1+49&gt;90,AY71,(AY71+IF($B$1+49&lt;=$B71,12*$B$7,-12*MAX(0,$B$6-IF($B$1+49&gt;=$B$23,$B$22,0))*(1+$B$4)^49))*IF(AY71+IF($B$1+49&lt;=$B71,12*$B$7,-12*MAX(0,$B$6-IF($B$1+49&gt;=$B$23,$B$22,0))*(1+$B$4)^49)&gt;0,1+$B$3,1))</f>
        <v/>
      </c>
      <c r="BA71">
        <f>IF($B$1+50&gt;90,AZ71,(AZ71+IF($B$1+50&lt;=$B71,12*$B$7,-12*MAX(0,$B$6-IF($B$1+50&gt;=$B$23,$B$22,0))*(1+$B$4)^50))*IF(AZ71+IF($B$1+50&lt;=$B71,12*$B$7,-12*MAX(0,$B$6-IF($B$1+50&gt;=$B$23,$B$22,0))*(1+$B$4)^50)&gt;0,1+$B$3,1))</f>
        <v/>
      </c>
      <c r="BB71">
        <f>IF($B$1+51&gt;90,BA71,(BA71+IF($B$1+51&lt;=$B71,12*$B$7,-12*MAX(0,$B$6-IF($B$1+51&gt;=$B$23,$B$22,0))*(1+$B$4)^51))*IF(BA71+IF($B$1+51&lt;=$B71,12*$B$7,-12*MAX(0,$B$6-IF($B$1+51&gt;=$B$23,$B$22,0))*(1+$B$4)^51)&gt;0,1+$B$3,1))</f>
        <v/>
      </c>
      <c r="BC71">
        <f>IF($B$1+52&gt;90,BB71,(BB71+IF($B$1+52&lt;=$B71,12*$B$7,-12*MAX(0,$B$6-IF($B$1+52&gt;=$B$23,$B$22,0))*(1+$B$4)^52))*IF(BB71+IF($B$1+52&lt;=$B71,12*$B$7,-12*MAX(0,$B$6-IF($B$1+52&gt;=$B$23,$B$22,0))*(1+$B$4)^52)&gt;0,1+$B$3,1))</f>
        <v/>
      </c>
      <c r="BD71">
        <f>IF($B$1+53&gt;90,BC71,(BC71+IF($B$1+53&lt;=$B71,12*$B$7,-12*MAX(0,$B$6-IF($B$1+53&gt;=$B$23,$B$22,0))*(1+$B$4)^53))*IF(BC71+IF($B$1+53&lt;=$B71,12*$B$7,-12*MAX(0,$B$6-IF($B$1+53&gt;=$B$23,$B$22,0))*(1+$B$4)^53)&gt;0,1+$B$3,1))</f>
        <v/>
      </c>
      <c r="BE71">
        <f>IF($B$1+54&gt;90,BD71,(BD71+IF($B$1+54&lt;=$B71,12*$B$7,-12*MAX(0,$B$6-IF($B$1+54&gt;=$B$23,$B$22,0))*(1+$B$4)^54))*IF(BD71+IF($B$1+54&lt;=$B71,12*$B$7,-12*MAX(0,$B$6-IF($B$1+54&gt;=$B$23,$B$22,0))*(1+$B$4)^54)&gt;0,1+$B$3,1))</f>
        <v/>
      </c>
      <c r="BF71">
        <f>IF($B$1+55&gt;90,BE71,(BE71+IF($B$1+55&lt;=$B71,12*$B$7,-12*MAX(0,$B$6-IF($B$1+55&gt;=$B$23,$B$22,0))*(1+$B$4)^55))*IF(BE71+IF($B$1+55&lt;=$B71,12*$B$7,-12*MAX(0,$B$6-IF($B$1+55&gt;=$B$23,$B$22,0))*(1+$B$4)^55)&gt;0,1+$B$3,1))</f>
        <v/>
      </c>
      <c r="BG71">
        <f>IF($B$1+56&gt;90,BF71,(BF71+IF($B$1+56&lt;=$B71,12*$B$7,-12*MAX(0,$B$6-IF($B$1+56&gt;=$B$23,$B$22,0))*(1+$B$4)^56))*IF(BF71+IF($B$1+56&lt;=$B71,12*$B$7,-12*MAX(0,$B$6-IF($B$1+56&gt;=$B$23,$B$22,0))*(1+$B$4)^56)&gt;0,1+$B$3,1))</f>
        <v/>
      </c>
      <c r="BH71">
        <f>IF($B$1+57&gt;90,BG71,(BG71+IF($B$1+57&lt;=$B71,12*$B$7,-12*MAX(0,$B$6-IF($B$1+57&gt;=$B$23,$B$22,0))*(1+$B$4)^57))*IF(BG71+IF($B$1+57&lt;=$B71,12*$B$7,-12*MAX(0,$B$6-IF($B$1+57&gt;=$B$23,$B$22,0))*(1+$B$4)^57)&gt;0,1+$B$3,1))</f>
        <v/>
      </c>
      <c r="BI71">
        <f>IF($B$1+58&gt;90,BH71,(BH71+IF($B$1+58&lt;=$B71,12*$B$7,-12*MAX(0,$B$6-IF($B$1+58&gt;=$B$23,$B$22,0))*(1+$B$4)^58))*IF(BH71+IF($B$1+58&lt;=$B71,12*$B$7,-12*MAX(0,$B$6-IF($B$1+58&gt;=$B$23,$B$22,0))*(1+$B$4)^58)&gt;0,1+$B$3,1))</f>
        <v/>
      </c>
      <c r="BJ71">
        <f>IF($B$1+59&gt;90,BI71,(BI71+IF($B$1+59&lt;=$B71,12*$B$7,-12*MAX(0,$B$6-IF($B$1+59&gt;=$B$23,$B$22,0))*(1+$B$4)^59))*IF(BI71+IF($B$1+59&lt;=$B71,12*$B$7,-12*MAX(0,$B$6-IF($B$1+59&gt;=$B$23,$B$22,0))*(1+$B$4)^59)&gt;0,1+$B$3,1))</f>
        <v/>
      </c>
      <c r="BK71">
        <f>IF($B$1+60&gt;90,BJ71,(BJ71+IF($B$1+60&lt;=$B71,12*$B$7,-12*MAX(0,$B$6-IF($B$1+60&gt;=$B$23,$B$22,0))*(1+$B$4)^60))*IF(BJ71+IF($B$1+60&lt;=$B71,12*$B$7,-12*MAX(0,$B$6-IF($B$1+60&gt;=$B$23,$B$22,0))*(1+$B$4)^60)&gt;0,1+$B$3,1))</f>
        <v/>
      </c>
      <c r="BL71">
        <f>IF($B$1+61&gt;90,BK71,(BK71+IF($B$1+61&lt;=$B71,12*$B$7,-12*MAX(0,$B$6-IF($B$1+61&gt;=$B$23,$B$22,0))*(1+$B$4)^61))*IF(BK71+IF($B$1+61&lt;=$B71,12*$B$7,-12*MAX(0,$B$6-IF($B$1+61&gt;=$B$23,$B$22,0))*(1+$B$4)^61)&gt;0,1+$B$3,1))</f>
        <v/>
      </c>
      <c r="BM71">
        <f>IF($B$1+62&gt;90,BL71,(BL71+IF($B$1+62&lt;=$B71,12*$B$7,-12*MAX(0,$B$6-IF($B$1+62&gt;=$B$23,$B$22,0))*(1+$B$4)^62))*IF(BL71+IF($B$1+62&lt;=$B71,12*$B$7,-12*MAX(0,$B$6-IF($B$1+62&gt;=$B$23,$B$22,0))*(1+$B$4)^62)&gt;0,1+$B$3,1))</f>
        <v/>
      </c>
      <c r="BN71">
        <f>IF($B$1+63&gt;90,BM71,(BM71+IF($B$1+63&lt;=$B71,12*$B$7,-12*MAX(0,$B$6-IF($B$1+63&gt;=$B$23,$B$22,0))*(1+$B$4)^63))*IF(BM71+IF($B$1+63&lt;=$B71,12*$B$7,-12*MAX(0,$B$6-IF($B$1+63&gt;=$B$23,$B$22,0))*(1+$B$4)^63)&gt;0,1+$B$3,1))</f>
        <v/>
      </c>
      <c r="BO71">
        <f>IF($B$1+64&gt;90,BN71,(BN71+IF($B$1+64&lt;=$B71,12*$B$7,-12*MAX(0,$B$6-IF($B$1+64&gt;=$B$23,$B$22,0))*(1+$B$4)^64))*IF(BN71+IF($B$1+64&lt;=$B71,12*$B$7,-12*MAX(0,$B$6-IF($B$1+64&gt;=$B$23,$B$22,0))*(1+$B$4)^64)&gt;0,1+$B$3,1))</f>
        <v/>
      </c>
      <c r="BP71">
        <f>IF($B$1+65&gt;90,BO71,(BO71+IF($B$1+65&lt;=$B71,12*$B$7,-12*MAX(0,$B$6-IF($B$1+65&gt;=$B$23,$B$22,0))*(1+$B$4)^65))*IF(BO71+IF($B$1+65&lt;=$B71,12*$B$7,-12*MAX(0,$B$6-IF($B$1+65&gt;=$B$23,$B$22,0))*(1+$B$4)^65)&gt;0,1+$B$3,1))</f>
        <v/>
      </c>
      <c r="BQ71">
        <f>IF($B$1+66&gt;90,BP71,(BP71+IF($B$1+66&lt;=$B71,12*$B$7,-12*MAX(0,$B$6-IF($B$1+66&gt;=$B$23,$B$22,0))*(1+$B$4)^66))*IF(BP71+IF($B$1+66&lt;=$B71,12*$B$7,-12*MAX(0,$B$6-IF($B$1+66&gt;=$B$23,$B$22,0))*(1+$B$4)^66)&gt;0,1+$B$3,1))</f>
        <v/>
      </c>
      <c r="BR71">
        <f>IF($B$1+67&gt;90,BQ71,(BQ71+IF($B$1+67&lt;=$B71,12*$B$7,-12*MAX(0,$B$6-IF($B$1+67&gt;=$B$23,$B$22,0))*(1+$B$4)^67))*IF(BQ71+IF($B$1+67&lt;=$B71,12*$B$7,-12*MAX(0,$B$6-IF($B$1+67&gt;=$B$23,$B$22,0))*(1+$B$4)^67)&gt;0,1+$B$3,1))</f>
        <v/>
      </c>
      <c r="BS71">
        <f>IF($B$1+68&gt;90,BR71,(BR71+IF($B$1+68&lt;=$B71,12*$B$7,-12*MAX(0,$B$6-IF($B$1+68&gt;=$B$23,$B$22,0))*(1+$B$4)^68))*IF(BR71+IF($B$1+68&lt;=$B71,12*$B$7,-12*MAX(0,$B$6-IF($B$1+68&gt;=$B$23,$B$22,0))*(1+$B$4)^68)&gt;0,1+$B$3,1))</f>
        <v/>
      </c>
      <c r="BT71">
        <f>IF($B$1+69&gt;90,BS71,(BS71+IF($B$1+69&lt;=$B71,12*$B$7,-12*MAX(0,$B$6-IF($B$1+69&gt;=$B$23,$B$22,0))*(1+$B$4)^69))*IF(BS71+IF($B$1+69&lt;=$B71,12*$B$7,-12*MAX(0,$B$6-IF($B$1+69&gt;=$B$23,$B$22,0))*(1+$B$4)^69)&gt;0,1+$B$3,1))</f>
        <v/>
      </c>
      <c r="BU71">
        <f>IF($B$1+70&gt;90,BT71,(BT71+IF($B$1+70&lt;=$B71,12*$B$7,-12*MAX(0,$B$6-IF($B$1+70&gt;=$B$23,$B$22,0))*(1+$B$4)^70))*IF(BT71+IF($B$1+70&lt;=$B71,12*$B$7,-12*MAX(0,$B$6-IF($B$1+70&gt;=$B$23,$B$22,0))*(1+$B$4)^70)&gt;0,1+$B$3,1))</f>
        <v/>
      </c>
      <c r="BV71">
        <f>BU71</f>
        <v/>
      </c>
      <c r="BW71">
        <f>IF(AND($B71&lt;=70,BV71&gt;0),$B71,999)</f>
        <v/>
      </c>
      <c r="CB71" t="n">
        <v>70</v>
      </c>
      <c r="CC71">
        <f>IF($B$1+CB71&gt;90,0,12*MAX(0,$B$6-IF($B$1+CB71&gt;=$B$23,$B$22,0))*(1+$B$4)^CB71/(1+$B$3)^(CB71-1))</f>
        <v/>
      </c>
      <c r="CE71">
        <f>IF($B$1+69&gt;90,NA(),$B$1+69)</f>
        <v/>
      </c>
      <c r="CF71">
        <f>IF(OR($B$21="",$B$1+69&gt;90),NA(),INDEX($C$40:$BU$90,$B$21-$B$1+1,70))</f>
        <v/>
      </c>
      <c r="CH71">
        <f>IF(ISTEXT('월 가계부'!A71),SUBSTITUTE(SUBSTITUTE(SUBSTITUTE(SUBSTITUTE(SUBSTITUTE(SUBSTITUTE(SUBSTITUTE(SUBSTITUTE(SUBSTITUTE(TRIM('월 가계부'!A71),"년","-"),"월","-"),"일",""),".","-"),"/","-")," ","-"),"--","-"),"--","-"),"--","-")&amp;"-","")</f>
        <v/>
      </c>
      <c r="CI71">
        <f>IFERROR(IF('월 가계부'!A71="","",IF(ISNUMBER('월 가계부'!A71),IF(AND('월 가계부'!A71&gt;=19000101,'월 가계부'!A71&lt;=21001231),IF(AND(MOD(INT('월 가계부'!A71/100),100)&gt;=1,MOD(INT('월 가계부'!A71/100),100)&lt;=12,MOD(INT('월 가계부'!A71),100)&gt;=1,MOD(INT('월 가계부'!A71),100)&lt;=31),IF(MONTH(DATE(INT('월 가계부'!A71/10000),MOD(INT('월 가계부'!A71/100),100),MOD(INT('월 가계부'!A71),100)))=MOD(INT('월 가계부'!A71/100),100),DATE(INT('월 가계부'!A71/10000),MOD(INT('월 가계부'!A71/100),100),MOD(INT('월 가계부'!A71),100)),""),""),IF(AND('월 가계부'!A71&gt;=36526,'월 가계부'!A71&lt;73051),INT('월 가계부'!A71),"")),IF(OR(CM71="",CN71="",CO71=""),"",IF(AND(CM71&gt;=2000,CM71&lt;=2099,CN71&gt;=1,CN71&lt;=12,CO71&gt;=1,CO71&lt;=31),IF(MONTH(DATE(CM71,CN71,CO71))=CN71,DATE(CM71,CN71,CO71),""),"")))),"")</f>
        <v/>
      </c>
      <c r="CJ71">
        <f>IFERROR(IF('월 가계부'!C71="","",IF(ISNUMBER('월 가계부'!C71),'월 가계부'!C71,VALUE(SUBSTITUTE(SUBSTITUTE(SUBSTITUTE(SUBSTITUTE(TRIM('월 가계부'!C71),",",""),"원","")," ",""),"−","-")))),"")</f>
        <v/>
      </c>
      <c r="CK71">
        <f>IF(ISNUMBER(CI71),IF(CI71&lt;$B$13,CI71,""),"")</f>
        <v/>
      </c>
      <c r="CM71">
        <f>IF(CH71="","",IFERROR(IF(IF(AND(LEN(CH71)=9,ISERROR(FIND("-",LEFT(CH71,8))),ISNUMBER(-LEFT(CH71,8))),VALUE(LEFT(CH71,4)),VALUE(LEFT(CH71,FIND("-",CH71)-1)))&lt;100,IF(AND(LEN(CH71)=9,ISERROR(FIND("-",LEFT(CH71,8))),ISNUMBER(-LEFT(CH71,8))),VALUE(LEFT(CH71,4)),VALUE(LEFT(CH71,FIND("-",CH71)-1)))+2000,IF(AND(LEN(CH71)=9,ISERROR(FIND("-",LEFT(CH71,8))),ISNUMBER(-LEFT(CH71,8))),VALUE(LEFT(CH71,4)),VALUE(LEFT(CH71,FIND("-",CH71)-1)))),""))</f>
        <v/>
      </c>
      <c r="CN71">
        <f>IF(CH71="","",IFERROR(IF(AND(LEN(CH71)=9,ISERROR(FIND("-",LEFT(CH71,8))),ISNUMBER(-LEFT(CH71,8))),VALUE(MID(CH71,5,2)),VALUE(MID(CH71,FIND("-",CH71)+1,FIND("-",CH71,FIND("-",CH71)+1)-FIND("-",CH71)-1))),""))</f>
        <v/>
      </c>
      <c r="CO71">
        <f>IF(CH71="","",IFERROR(IF(AND(LEN(CH71)=9,ISERROR(FIND("-",LEFT(CH71,8))),ISNUMBER(-LEFT(CH71,8))),VALUE(MID(CH71,7,2)),VALUE(MID(CH71,FIND("-",CH71,FIND("-",CH71)+1)+1,FIND("-",CH71,FIND("-",CH71,FIND("-",CH71)+1)+1)-FIND("-",CH71,FIND("-",CH71)+1)-1))),""))</f>
        <v/>
      </c>
    </row>
    <row r="72">
      <c r="A72" t="n">
        <v>32</v>
      </c>
      <c r="B72">
        <f>$B$1+32</f>
        <v/>
      </c>
      <c r="C72">
        <f>$B$2</f>
        <v/>
      </c>
      <c r="D72">
        <f>IF($B$1+1&gt;90,C72,(C72+IF($B$1+1&lt;=$B72,12*$B$7,-12*MAX(0,$B$6-IF($B$1+1&gt;=$B$23,$B$22,0))*(1+$B$4)^1))*IF(C72+IF($B$1+1&lt;=$B72,12*$B$7,-12*MAX(0,$B$6-IF($B$1+1&gt;=$B$23,$B$22,0))*(1+$B$4)^1)&gt;0,1+$B$3,1))</f>
        <v/>
      </c>
      <c r="E72">
        <f>IF($B$1+2&gt;90,D72,(D72+IF($B$1+2&lt;=$B72,12*$B$7,-12*MAX(0,$B$6-IF($B$1+2&gt;=$B$23,$B$22,0))*(1+$B$4)^2))*IF(D72+IF($B$1+2&lt;=$B72,12*$B$7,-12*MAX(0,$B$6-IF($B$1+2&gt;=$B$23,$B$22,0))*(1+$B$4)^2)&gt;0,1+$B$3,1))</f>
        <v/>
      </c>
      <c r="F72">
        <f>IF($B$1+3&gt;90,E72,(E72+IF($B$1+3&lt;=$B72,12*$B$7,-12*MAX(0,$B$6-IF($B$1+3&gt;=$B$23,$B$22,0))*(1+$B$4)^3))*IF(E72+IF($B$1+3&lt;=$B72,12*$B$7,-12*MAX(0,$B$6-IF($B$1+3&gt;=$B$23,$B$22,0))*(1+$B$4)^3)&gt;0,1+$B$3,1))</f>
        <v/>
      </c>
      <c r="G72">
        <f>IF($B$1+4&gt;90,F72,(F72+IF($B$1+4&lt;=$B72,12*$B$7,-12*MAX(0,$B$6-IF($B$1+4&gt;=$B$23,$B$22,0))*(1+$B$4)^4))*IF(F72+IF($B$1+4&lt;=$B72,12*$B$7,-12*MAX(0,$B$6-IF($B$1+4&gt;=$B$23,$B$22,0))*(1+$B$4)^4)&gt;0,1+$B$3,1))</f>
        <v/>
      </c>
      <c r="H72">
        <f>IF($B$1+5&gt;90,G72,(G72+IF($B$1+5&lt;=$B72,12*$B$7,-12*MAX(0,$B$6-IF($B$1+5&gt;=$B$23,$B$22,0))*(1+$B$4)^5))*IF(G72+IF($B$1+5&lt;=$B72,12*$B$7,-12*MAX(0,$B$6-IF($B$1+5&gt;=$B$23,$B$22,0))*(1+$B$4)^5)&gt;0,1+$B$3,1))</f>
        <v/>
      </c>
      <c r="I72">
        <f>IF($B$1+6&gt;90,H72,(H72+IF($B$1+6&lt;=$B72,12*$B$7,-12*MAX(0,$B$6-IF($B$1+6&gt;=$B$23,$B$22,0))*(1+$B$4)^6))*IF(H72+IF($B$1+6&lt;=$B72,12*$B$7,-12*MAX(0,$B$6-IF($B$1+6&gt;=$B$23,$B$22,0))*(1+$B$4)^6)&gt;0,1+$B$3,1))</f>
        <v/>
      </c>
      <c r="J72">
        <f>IF($B$1+7&gt;90,I72,(I72+IF($B$1+7&lt;=$B72,12*$B$7,-12*MAX(0,$B$6-IF($B$1+7&gt;=$B$23,$B$22,0))*(1+$B$4)^7))*IF(I72+IF($B$1+7&lt;=$B72,12*$B$7,-12*MAX(0,$B$6-IF($B$1+7&gt;=$B$23,$B$22,0))*(1+$B$4)^7)&gt;0,1+$B$3,1))</f>
        <v/>
      </c>
      <c r="K72">
        <f>IF($B$1+8&gt;90,J72,(J72+IF($B$1+8&lt;=$B72,12*$B$7,-12*MAX(0,$B$6-IF($B$1+8&gt;=$B$23,$B$22,0))*(1+$B$4)^8))*IF(J72+IF($B$1+8&lt;=$B72,12*$B$7,-12*MAX(0,$B$6-IF($B$1+8&gt;=$B$23,$B$22,0))*(1+$B$4)^8)&gt;0,1+$B$3,1))</f>
        <v/>
      </c>
      <c r="L72">
        <f>IF($B$1+9&gt;90,K72,(K72+IF($B$1+9&lt;=$B72,12*$B$7,-12*MAX(0,$B$6-IF($B$1+9&gt;=$B$23,$B$22,0))*(1+$B$4)^9))*IF(K72+IF($B$1+9&lt;=$B72,12*$B$7,-12*MAX(0,$B$6-IF($B$1+9&gt;=$B$23,$B$22,0))*(1+$B$4)^9)&gt;0,1+$B$3,1))</f>
        <v/>
      </c>
      <c r="M72">
        <f>IF($B$1+10&gt;90,L72,(L72+IF($B$1+10&lt;=$B72,12*$B$7,-12*MAX(0,$B$6-IF($B$1+10&gt;=$B$23,$B$22,0))*(1+$B$4)^10))*IF(L72+IF($B$1+10&lt;=$B72,12*$B$7,-12*MAX(0,$B$6-IF($B$1+10&gt;=$B$23,$B$22,0))*(1+$B$4)^10)&gt;0,1+$B$3,1))</f>
        <v/>
      </c>
      <c r="N72">
        <f>IF($B$1+11&gt;90,M72,(M72+IF($B$1+11&lt;=$B72,12*$B$7,-12*MAX(0,$B$6-IF($B$1+11&gt;=$B$23,$B$22,0))*(1+$B$4)^11))*IF(M72+IF($B$1+11&lt;=$B72,12*$B$7,-12*MAX(0,$B$6-IF($B$1+11&gt;=$B$23,$B$22,0))*(1+$B$4)^11)&gt;0,1+$B$3,1))</f>
        <v/>
      </c>
      <c r="O72">
        <f>IF($B$1+12&gt;90,N72,(N72+IF($B$1+12&lt;=$B72,12*$B$7,-12*MAX(0,$B$6-IF($B$1+12&gt;=$B$23,$B$22,0))*(1+$B$4)^12))*IF(N72+IF($B$1+12&lt;=$B72,12*$B$7,-12*MAX(0,$B$6-IF($B$1+12&gt;=$B$23,$B$22,0))*(1+$B$4)^12)&gt;0,1+$B$3,1))</f>
        <v/>
      </c>
      <c r="P72">
        <f>IF($B$1+13&gt;90,O72,(O72+IF($B$1+13&lt;=$B72,12*$B$7,-12*MAX(0,$B$6-IF($B$1+13&gt;=$B$23,$B$22,0))*(1+$B$4)^13))*IF(O72+IF($B$1+13&lt;=$B72,12*$B$7,-12*MAX(0,$B$6-IF($B$1+13&gt;=$B$23,$B$22,0))*(1+$B$4)^13)&gt;0,1+$B$3,1))</f>
        <v/>
      </c>
      <c r="Q72">
        <f>IF($B$1+14&gt;90,P72,(P72+IF($B$1+14&lt;=$B72,12*$B$7,-12*MAX(0,$B$6-IF($B$1+14&gt;=$B$23,$B$22,0))*(1+$B$4)^14))*IF(P72+IF($B$1+14&lt;=$B72,12*$B$7,-12*MAX(0,$B$6-IF($B$1+14&gt;=$B$23,$B$22,0))*(1+$B$4)^14)&gt;0,1+$B$3,1))</f>
        <v/>
      </c>
      <c r="R72">
        <f>IF($B$1+15&gt;90,Q72,(Q72+IF($B$1+15&lt;=$B72,12*$B$7,-12*MAX(0,$B$6-IF($B$1+15&gt;=$B$23,$B$22,0))*(1+$B$4)^15))*IF(Q72+IF($B$1+15&lt;=$B72,12*$B$7,-12*MAX(0,$B$6-IF($B$1+15&gt;=$B$23,$B$22,0))*(1+$B$4)^15)&gt;0,1+$B$3,1))</f>
        <v/>
      </c>
      <c r="S72">
        <f>IF($B$1+16&gt;90,R72,(R72+IF($B$1+16&lt;=$B72,12*$B$7,-12*MAX(0,$B$6-IF($B$1+16&gt;=$B$23,$B$22,0))*(1+$B$4)^16))*IF(R72+IF($B$1+16&lt;=$B72,12*$B$7,-12*MAX(0,$B$6-IF($B$1+16&gt;=$B$23,$B$22,0))*(1+$B$4)^16)&gt;0,1+$B$3,1))</f>
        <v/>
      </c>
      <c r="T72">
        <f>IF($B$1+17&gt;90,S72,(S72+IF($B$1+17&lt;=$B72,12*$B$7,-12*MAX(0,$B$6-IF($B$1+17&gt;=$B$23,$B$22,0))*(1+$B$4)^17))*IF(S72+IF($B$1+17&lt;=$B72,12*$B$7,-12*MAX(0,$B$6-IF($B$1+17&gt;=$B$23,$B$22,0))*(1+$B$4)^17)&gt;0,1+$B$3,1))</f>
        <v/>
      </c>
      <c r="U72">
        <f>IF($B$1+18&gt;90,T72,(T72+IF($B$1+18&lt;=$B72,12*$B$7,-12*MAX(0,$B$6-IF($B$1+18&gt;=$B$23,$B$22,0))*(1+$B$4)^18))*IF(T72+IF($B$1+18&lt;=$B72,12*$B$7,-12*MAX(0,$B$6-IF($B$1+18&gt;=$B$23,$B$22,0))*(1+$B$4)^18)&gt;0,1+$B$3,1))</f>
        <v/>
      </c>
      <c r="V72">
        <f>IF($B$1+19&gt;90,U72,(U72+IF($B$1+19&lt;=$B72,12*$B$7,-12*MAX(0,$B$6-IF($B$1+19&gt;=$B$23,$B$22,0))*(1+$B$4)^19))*IF(U72+IF($B$1+19&lt;=$B72,12*$B$7,-12*MAX(0,$B$6-IF($B$1+19&gt;=$B$23,$B$22,0))*(1+$B$4)^19)&gt;0,1+$B$3,1))</f>
        <v/>
      </c>
      <c r="W72">
        <f>IF($B$1+20&gt;90,V72,(V72+IF($B$1+20&lt;=$B72,12*$B$7,-12*MAX(0,$B$6-IF($B$1+20&gt;=$B$23,$B$22,0))*(1+$B$4)^20))*IF(V72+IF($B$1+20&lt;=$B72,12*$B$7,-12*MAX(0,$B$6-IF($B$1+20&gt;=$B$23,$B$22,0))*(1+$B$4)^20)&gt;0,1+$B$3,1))</f>
        <v/>
      </c>
      <c r="X72">
        <f>IF($B$1+21&gt;90,W72,(W72+IF($B$1+21&lt;=$B72,12*$B$7,-12*MAX(0,$B$6-IF($B$1+21&gt;=$B$23,$B$22,0))*(1+$B$4)^21))*IF(W72+IF($B$1+21&lt;=$B72,12*$B$7,-12*MAX(0,$B$6-IF($B$1+21&gt;=$B$23,$B$22,0))*(1+$B$4)^21)&gt;0,1+$B$3,1))</f>
        <v/>
      </c>
      <c r="Y72">
        <f>IF($B$1+22&gt;90,X72,(X72+IF($B$1+22&lt;=$B72,12*$B$7,-12*MAX(0,$B$6-IF($B$1+22&gt;=$B$23,$B$22,0))*(1+$B$4)^22))*IF(X72+IF($B$1+22&lt;=$B72,12*$B$7,-12*MAX(0,$B$6-IF($B$1+22&gt;=$B$23,$B$22,0))*(1+$B$4)^22)&gt;0,1+$B$3,1))</f>
        <v/>
      </c>
      <c r="Z72">
        <f>IF($B$1+23&gt;90,Y72,(Y72+IF($B$1+23&lt;=$B72,12*$B$7,-12*MAX(0,$B$6-IF($B$1+23&gt;=$B$23,$B$22,0))*(1+$B$4)^23))*IF(Y72+IF($B$1+23&lt;=$B72,12*$B$7,-12*MAX(0,$B$6-IF($B$1+23&gt;=$B$23,$B$22,0))*(1+$B$4)^23)&gt;0,1+$B$3,1))</f>
        <v/>
      </c>
      <c r="AA72">
        <f>IF($B$1+24&gt;90,Z72,(Z72+IF($B$1+24&lt;=$B72,12*$B$7,-12*MAX(0,$B$6-IF($B$1+24&gt;=$B$23,$B$22,0))*(1+$B$4)^24))*IF(Z72+IF($B$1+24&lt;=$B72,12*$B$7,-12*MAX(0,$B$6-IF($B$1+24&gt;=$B$23,$B$22,0))*(1+$B$4)^24)&gt;0,1+$B$3,1))</f>
        <v/>
      </c>
      <c r="AB72">
        <f>IF($B$1+25&gt;90,AA72,(AA72+IF($B$1+25&lt;=$B72,12*$B$7,-12*MAX(0,$B$6-IF($B$1+25&gt;=$B$23,$B$22,0))*(1+$B$4)^25))*IF(AA72+IF($B$1+25&lt;=$B72,12*$B$7,-12*MAX(0,$B$6-IF($B$1+25&gt;=$B$23,$B$22,0))*(1+$B$4)^25)&gt;0,1+$B$3,1))</f>
        <v/>
      </c>
      <c r="AC72">
        <f>IF($B$1+26&gt;90,AB72,(AB72+IF($B$1+26&lt;=$B72,12*$B$7,-12*MAX(0,$B$6-IF($B$1+26&gt;=$B$23,$B$22,0))*(1+$B$4)^26))*IF(AB72+IF($B$1+26&lt;=$B72,12*$B$7,-12*MAX(0,$B$6-IF($B$1+26&gt;=$B$23,$B$22,0))*(1+$B$4)^26)&gt;0,1+$B$3,1))</f>
        <v/>
      </c>
      <c r="AD72">
        <f>IF($B$1+27&gt;90,AC72,(AC72+IF($B$1+27&lt;=$B72,12*$B$7,-12*MAX(0,$B$6-IF($B$1+27&gt;=$B$23,$B$22,0))*(1+$B$4)^27))*IF(AC72+IF($B$1+27&lt;=$B72,12*$B$7,-12*MAX(0,$B$6-IF($B$1+27&gt;=$B$23,$B$22,0))*(1+$B$4)^27)&gt;0,1+$B$3,1))</f>
        <v/>
      </c>
      <c r="AE72">
        <f>IF($B$1+28&gt;90,AD72,(AD72+IF($B$1+28&lt;=$B72,12*$B$7,-12*MAX(0,$B$6-IF($B$1+28&gt;=$B$23,$B$22,0))*(1+$B$4)^28))*IF(AD72+IF($B$1+28&lt;=$B72,12*$B$7,-12*MAX(0,$B$6-IF($B$1+28&gt;=$B$23,$B$22,0))*(1+$B$4)^28)&gt;0,1+$B$3,1))</f>
        <v/>
      </c>
      <c r="AF72">
        <f>IF($B$1+29&gt;90,AE72,(AE72+IF($B$1+29&lt;=$B72,12*$B$7,-12*MAX(0,$B$6-IF($B$1+29&gt;=$B$23,$B$22,0))*(1+$B$4)^29))*IF(AE72+IF($B$1+29&lt;=$B72,12*$B$7,-12*MAX(0,$B$6-IF($B$1+29&gt;=$B$23,$B$22,0))*(1+$B$4)^29)&gt;0,1+$B$3,1))</f>
        <v/>
      </c>
      <c r="AG72">
        <f>IF($B$1+30&gt;90,AF72,(AF72+IF($B$1+30&lt;=$B72,12*$B$7,-12*MAX(0,$B$6-IF($B$1+30&gt;=$B$23,$B$22,0))*(1+$B$4)^30))*IF(AF72+IF($B$1+30&lt;=$B72,12*$B$7,-12*MAX(0,$B$6-IF($B$1+30&gt;=$B$23,$B$22,0))*(1+$B$4)^30)&gt;0,1+$B$3,1))</f>
        <v/>
      </c>
      <c r="AH72">
        <f>IF($B$1+31&gt;90,AG72,(AG72+IF($B$1+31&lt;=$B72,12*$B$7,-12*MAX(0,$B$6-IF($B$1+31&gt;=$B$23,$B$22,0))*(1+$B$4)^31))*IF(AG72+IF($B$1+31&lt;=$B72,12*$B$7,-12*MAX(0,$B$6-IF($B$1+31&gt;=$B$23,$B$22,0))*(1+$B$4)^31)&gt;0,1+$B$3,1))</f>
        <v/>
      </c>
      <c r="AI72">
        <f>IF($B$1+32&gt;90,AH72,(AH72+IF($B$1+32&lt;=$B72,12*$B$7,-12*MAX(0,$B$6-IF($B$1+32&gt;=$B$23,$B$22,0))*(1+$B$4)^32))*IF(AH72+IF($B$1+32&lt;=$B72,12*$B$7,-12*MAX(0,$B$6-IF($B$1+32&gt;=$B$23,$B$22,0))*(1+$B$4)^32)&gt;0,1+$B$3,1))</f>
        <v/>
      </c>
      <c r="AJ72">
        <f>IF($B$1+33&gt;90,AI72,(AI72+IF($B$1+33&lt;=$B72,12*$B$7,-12*MAX(0,$B$6-IF($B$1+33&gt;=$B$23,$B$22,0))*(1+$B$4)^33))*IF(AI72+IF($B$1+33&lt;=$B72,12*$B$7,-12*MAX(0,$B$6-IF($B$1+33&gt;=$B$23,$B$22,0))*(1+$B$4)^33)&gt;0,1+$B$3,1))</f>
        <v/>
      </c>
      <c r="AK72">
        <f>IF($B$1+34&gt;90,AJ72,(AJ72+IF($B$1+34&lt;=$B72,12*$B$7,-12*MAX(0,$B$6-IF($B$1+34&gt;=$B$23,$B$22,0))*(1+$B$4)^34))*IF(AJ72+IF($B$1+34&lt;=$B72,12*$B$7,-12*MAX(0,$B$6-IF($B$1+34&gt;=$B$23,$B$22,0))*(1+$B$4)^34)&gt;0,1+$B$3,1))</f>
        <v/>
      </c>
      <c r="AL72">
        <f>IF($B$1+35&gt;90,AK72,(AK72+IF($B$1+35&lt;=$B72,12*$B$7,-12*MAX(0,$B$6-IF($B$1+35&gt;=$B$23,$B$22,0))*(1+$B$4)^35))*IF(AK72+IF($B$1+35&lt;=$B72,12*$B$7,-12*MAX(0,$B$6-IF($B$1+35&gt;=$B$23,$B$22,0))*(1+$B$4)^35)&gt;0,1+$B$3,1))</f>
        <v/>
      </c>
      <c r="AM72">
        <f>IF($B$1+36&gt;90,AL72,(AL72+IF($B$1+36&lt;=$B72,12*$B$7,-12*MAX(0,$B$6-IF($B$1+36&gt;=$B$23,$B$22,0))*(1+$B$4)^36))*IF(AL72+IF($B$1+36&lt;=$B72,12*$B$7,-12*MAX(0,$B$6-IF($B$1+36&gt;=$B$23,$B$22,0))*(1+$B$4)^36)&gt;0,1+$B$3,1))</f>
        <v/>
      </c>
      <c r="AN72">
        <f>IF($B$1+37&gt;90,AM72,(AM72+IF($B$1+37&lt;=$B72,12*$B$7,-12*MAX(0,$B$6-IF($B$1+37&gt;=$B$23,$B$22,0))*(1+$B$4)^37))*IF(AM72+IF($B$1+37&lt;=$B72,12*$B$7,-12*MAX(0,$B$6-IF($B$1+37&gt;=$B$23,$B$22,0))*(1+$B$4)^37)&gt;0,1+$B$3,1))</f>
        <v/>
      </c>
      <c r="AO72">
        <f>IF($B$1+38&gt;90,AN72,(AN72+IF($B$1+38&lt;=$B72,12*$B$7,-12*MAX(0,$B$6-IF($B$1+38&gt;=$B$23,$B$22,0))*(1+$B$4)^38))*IF(AN72+IF($B$1+38&lt;=$B72,12*$B$7,-12*MAX(0,$B$6-IF($B$1+38&gt;=$B$23,$B$22,0))*(1+$B$4)^38)&gt;0,1+$B$3,1))</f>
        <v/>
      </c>
      <c r="AP72">
        <f>IF($B$1+39&gt;90,AO72,(AO72+IF($B$1+39&lt;=$B72,12*$B$7,-12*MAX(0,$B$6-IF($B$1+39&gt;=$B$23,$B$22,0))*(1+$B$4)^39))*IF(AO72+IF($B$1+39&lt;=$B72,12*$B$7,-12*MAX(0,$B$6-IF($B$1+39&gt;=$B$23,$B$22,0))*(1+$B$4)^39)&gt;0,1+$B$3,1))</f>
        <v/>
      </c>
      <c r="AQ72">
        <f>IF($B$1+40&gt;90,AP72,(AP72+IF($B$1+40&lt;=$B72,12*$B$7,-12*MAX(0,$B$6-IF($B$1+40&gt;=$B$23,$B$22,0))*(1+$B$4)^40))*IF(AP72+IF($B$1+40&lt;=$B72,12*$B$7,-12*MAX(0,$B$6-IF($B$1+40&gt;=$B$23,$B$22,0))*(1+$B$4)^40)&gt;0,1+$B$3,1))</f>
        <v/>
      </c>
      <c r="AR72">
        <f>IF($B$1+41&gt;90,AQ72,(AQ72+IF($B$1+41&lt;=$B72,12*$B$7,-12*MAX(0,$B$6-IF($B$1+41&gt;=$B$23,$B$22,0))*(1+$B$4)^41))*IF(AQ72+IF($B$1+41&lt;=$B72,12*$B$7,-12*MAX(0,$B$6-IF($B$1+41&gt;=$B$23,$B$22,0))*(1+$B$4)^41)&gt;0,1+$B$3,1))</f>
        <v/>
      </c>
      <c r="AS72">
        <f>IF($B$1+42&gt;90,AR72,(AR72+IF($B$1+42&lt;=$B72,12*$B$7,-12*MAX(0,$B$6-IF($B$1+42&gt;=$B$23,$B$22,0))*(1+$B$4)^42))*IF(AR72+IF($B$1+42&lt;=$B72,12*$B$7,-12*MAX(0,$B$6-IF($B$1+42&gt;=$B$23,$B$22,0))*(1+$B$4)^42)&gt;0,1+$B$3,1))</f>
        <v/>
      </c>
      <c r="AT72">
        <f>IF($B$1+43&gt;90,AS72,(AS72+IF($B$1+43&lt;=$B72,12*$B$7,-12*MAX(0,$B$6-IF($B$1+43&gt;=$B$23,$B$22,0))*(1+$B$4)^43))*IF(AS72+IF($B$1+43&lt;=$B72,12*$B$7,-12*MAX(0,$B$6-IF($B$1+43&gt;=$B$23,$B$22,0))*(1+$B$4)^43)&gt;0,1+$B$3,1))</f>
        <v/>
      </c>
      <c r="AU72">
        <f>IF($B$1+44&gt;90,AT72,(AT72+IF($B$1+44&lt;=$B72,12*$B$7,-12*MAX(0,$B$6-IF($B$1+44&gt;=$B$23,$B$22,0))*(1+$B$4)^44))*IF(AT72+IF($B$1+44&lt;=$B72,12*$B$7,-12*MAX(0,$B$6-IF($B$1+44&gt;=$B$23,$B$22,0))*(1+$B$4)^44)&gt;0,1+$B$3,1))</f>
        <v/>
      </c>
      <c r="AV72">
        <f>IF($B$1+45&gt;90,AU72,(AU72+IF($B$1+45&lt;=$B72,12*$B$7,-12*MAX(0,$B$6-IF($B$1+45&gt;=$B$23,$B$22,0))*(1+$B$4)^45))*IF(AU72+IF($B$1+45&lt;=$B72,12*$B$7,-12*MAX(0,$B$6-IF($B$1+45&gt;=$B$23,$B$22,0))*(1+$B$4)^45)&gt;0,1+$B$3,1))</f>
        <v/>
      </c>
      <c r="AW72">
        <f>IF($B$1+46&gt;90,AV72,(AV72+IF($B$1+46&lt;=$B72,12*$B$7,-12*MAX(0,$B$6-IF($B$1+46&gt;=$B$23,$B$22,0))*(1+$B$4)^46))*IF(AV72+IF($B$1+46&lt;=$B72,12*$B$7,-12*MAX(0,$B$6-IF($B$1+46&gt;=$B$23,$B$22,0))*(1+$B$4)^46)&gt;0,1+$B$3,1))</f>
        <v/>
      </c>
      <c r="AX72">
        <f>IF($B$1+47&gt;90,AW72,(AW72+IF($B$1+47&lt;=$B72,12*$B$7,-12*MAX(0,$B$6-IF($B$1+47&gt;=$B$23,$B$22,0))*(1+$B$4)^47))*IF(AW72+IF($B$1+47&lt;=$B72,12*$B$7,-12*MAX(0,$B$6-IF($B$1+47&gt;=$B$23,$B$22,0))*(1+$B$4)^47)&gt;0,1+$B$3,1))</f>
        <v/>
      </c>
      <c r="AY72">
        <f>IF($B$1+48&gt;90,AX72,(AX72+IF($B$1+48&lt;=$B72,12*$B$7,-12*MAX(0,$B$6-IF($B$1+48&gt;=$B$23,$B$22,0))*(1+$B$4)^48))*IF(AX72+IF($B$1+48&lt;=$B72,12*$B$7,-12*MAX(0,$B$6-IF($B$1+48&gt;=$B$23,$B$22,0))*(1+$B$4)^48)&gt;0,1+$B$3,1))</f>
        <v/>
      </c>
      <c r="AZ72">
        <f>IF($B$1+49&gt;90,AY72,(AY72+IF($B$1+49&lt;=$B72,12*$B$7,-12*MAX(0,$B$6-IF($B$1+49&gt;=$B$23,$B$22,0))*(1+$B$4)^49))*IF(AY72+IF($B$1+49&lt;=$B72,12*$B$7,-12*MAX(0,$B$6-IF($B$1+49&gt;=$B$23,$B$22,0))*(1+$B$4)^49)&gt;0,1+$B$3,1))</f>
        <v/>
      </c>
      <c r="BA72">
        <f>IF($B$1+50&gt;90,AZ72,(AZ72+IF($B$1+50&lt;=$B72,12*$B$7,-12*MAX(0,$B$6-IF($B$1+50&gt;=$B$23,$B$22,0))*(1+$B$4)^50))*IF(AZ72+IF($B$1+50&lt;=$B72,12*$B$7,-12*MAX(0,$B$6-IF($B$1+50&gt;=$B$23,$B$22,0))*(1+$B$4)^50)&gt;0,1+$B$3,1))</f>
        <v/>
      </c>
      <c r="BB72">
        <f>IF($B$1+51&gt;90,BA72,(BA72+IF($B$1+51&lt;=$B72,12*$B$7,-12*MAX(0,$B$6-IF($B$1+51&gt;=$B$23,$B$22,0))*(1+$B$4)^51))*IF(BA72+IF($B$1+51&lt;=$B72,12*$B$7,-12*MAX(0,$B$6-IF($B$1+51&gt;=$B$23,$B$22,0))*(1+$B$4)^51)&gt;0,1+$B$3,1))</f>
        <v/>
      </c>
      <c r="BC72">
        <f>IF($B$1+52&gt;90,BB72,(BB72+IF($B$1+52&lt;=$B72,12*$B$7,-12*MAX(0,$B$6-IF($B$1+52&gt;=$B$23,$B$22,0))*(1+$B$4)^52))*IF(BB72+IF($B$1+52&lt;=$B72,12*$B$7,-12*MAX(0,$B$6-IF($B$1+52&gt;=$B$23,$B$22,0))*(1+$B$4)^52)&gt;0,1+$B$3,1))</f>
        <v/>
      </c>
      <c r="BD72">
        <f>IF($B$1+53&gt;90,BC72,(BC72+IF($B$1+53&lt;=$B72,12*$B$7,-12*MAX(0,$B$6-IF($B$1+53&gt;=$B$23,$B$22,0))*(1+$B$4)^53))*IF(BC72+IF($B$1+53&lt;=$B72,12*$B$7,-12*MAX(0,$B$6-IF($B$1+53&gt;=$B$23,$B$22,0))*(1+$B$4)^53)&gt;0,1+$B$3,1))</f>
        <v/>
      </c>
      <c r="BE72">
        <f>IF($B$1+54&gt;90,BD72,(BD72+IF($B$1+54&lt;=$B72,12*$B$7,-12*MAX(0,$B$6-IF($B$1+54&gt;=$B$23,$B$22,0))*(1+$B$4)^54))*IF(BD72+IF($B$1+54&lt;=$B72,12*$B$7,-12*MAX(0,$B$6-IF($B$1+54&gt;=$B$23,$B$22,0))*(1+$B$4)^54)&gt;0,1+$B$3,1))</f>
        <v/>
      </c>
      <c r="BF72">
        <f>IF($B$1+55&gt;90,BE72,(BE72+IF($B$1+55&lt;=$B72,12*$B$7,-12*MAX(0,$B$6-IF($B$1+55&gt;=$B$23,$B$22,0))*(1+$B$4)^55))*IF(BE72+IF($B$1+55&lt;=$B72,12*$B$7,-12*MAX(0,$B$6-IF($B$1+55&gt;=$B$23,$B$22,0))*(1+$B$4)^55)&gt;0,1+$B$3,1))</f>
        <v/>
      </c>
      <c r="BG72">
        <f>IF($B$1+56&gt;90,BF72,(BF72+IF($B$1+56&lt;=$B72,12*$B$7,-12*MAX(0,$B$6-IF($B$1+56&gt;=$B$23,$B$22,0))*(1+$B$4)^56))*IF(BF72+IF($B$1+56&lt;=$B72,12*$B$7,-12*MAX(0,$B$6-IF($B$1+56&gt;=$B$23,$B$22,0))*(1+$B$4)^56)&gt;0,1+$B$3,1))</f>
        <v/>
      </c>
      <c r="BH72">
        <f>IF($B$1+57&gt;90,BG72,(BG72+IF($B$1+57&lt;=$B72,12*$B$7,-12*MAX(0,$B$6-IF($B$1+57&gt;=$B$23,$B$22,0))*(1+$B$4)^57))*IF(BG72+IF($B$1+57&lt;=$B72,12*$B$7,-12*MAX(0,$B$6-IF($B$1+57&gt;=$B$23,$B$22,0))*(1+$B$4)^57)&gt;0,1+$B$3,1))</f>
        <v/>
      </c>
      <c r="BI72">
        <f>IF($B$1+58&gt;90,BH72,(BH72+IF($B$1+58&lt;=$B72,12*$B$7,-12*MAX(0,$B$6-IF($B$1+58&gt;=$B$23,$B$22,0))*(1+$B$4)^58))*IF(BH72+IF($B$1+58&lt;=$B72,12*$B$7,-12*MAX(0,$B$6-IF($B$1+58&gt;=$B$23,$B$22,0))*(1+$B$4)^58)&gt;0,1+$B$3,1))</f>
        <v/>
      </c>
      <c r="BJ72">
        <f>IF($B$1+59&gt;90,BI72,(BI72+IF($B$1+59&lt;=$B72,12*$B$7,-12*MAX(0,$B$6-IF($B$1+59&gt;=$B$23,$B$22,0))*(1+$B$4)^59))*IF(BI72+IF($B$1+59&lt;=$B72,12*$B$7,-12*MAX(0,$B$6-IF($B$1+59&gt;=$B$23,$B$22,0))*(1+$B$4)^59)&gt;0,1+$B$3,1))</f>
        <v/>
      </c>
      <c r="BK72">
        <f>IF($B$1+60&gt;90,BJ72,(BJ72+IF($B$1+60&lt;=$B72,12*$B$7,-12*MAX(0,$B$6-IF($B$1+60&gt;=$B$23,$B$22,0))*(1+$B$4)^60))*IF(BJ72+IF($B$1+60&lt;=$B72,12*$B$7,-12*MAX(0,$B$6-IF($B$1+60&gt;=$B$23,$B$22,0))*(1+$B$4)^60)&gt;0,1+$B$3,1))</f>
        <v/>
      </c>
      <c r="BL72">
        <f>IF($B$1+61&gt;90,BK72,(BK72+IF($B$1+61&lt;=$B72,12*$B$7,-12*MAX(0,$B$6-IF($B$1+61&gt;=$B$23,$B$22,0))*(1+$B$4)^61))*IF(BK72+IF($B$1+61&lt;=$B72,12*$B$7,-12*MAX(0,$B$6-IF($B$1+61&gt;=$B$23,$B$22,0))*(1+$B$4)^61)&gt;0,1+$B$3,1))</f>
        <v/>
      </c>
      <c r="BM72">
        <f>IF($B$1+62&gt;90,BL72,(BL72+IF($B$1+62&lt;=$B72,12*$B$7,-12*MAX(0,$B$6-IF($B$1+62&gt;=$B$23,$B$22,0))*(1+$B$4)^62))*IF(BL72+IF($B$1+62&lt;=$B72,12*$B$7,-12*MAX(0,$B$6-IF($B$1+62&gt;=$B$23,$B$22,0))*(1+$B$4)^62)&gt;0,1+$B$3,1))</f>
        <v/>
      </c>
      <c r="BN72">
        <f>IF($B$1+63&gt;90,BM72,(BM72+IF($B$1+63&lt;=$B72,12*$B$7,-12*MAX(0,$B$6-IF($B$1+63&gt;=$B$23,$B$22,0))*(1+$B$4)^63))*IF(BM72+IF($B$1+63&lt;=$B72,12*$B$7,-12*MAX(0,$B$6-IF($B$1+63&gt;=$B$23,$B$22,0))*(1+$B$4)^63)&gt;0,1+$B$3,1))</f>
        <v/>
      </c>
      <c r="BO72">
        <f>IF($B$1+64&gt;90,BN72,(BN72+IF($B$1+64&lt;=$B72,12*$B$7,-12*MAX(0,$B$6-IF($B$1+64&gt;=$B$23,$B$22,0))*(1+$B$4)^64))*IF(BN72+IF($B$1+64&lt;=$B72,12*$B$7,-12*MAX(0,$B$6-IF($B$1+64&gt;=$B$23,$B$22,0))*(1+$B$4)^64)&gt;0,1+$B$3,1))</f>
        <v/>
      </c>
      <c r="BP72">
        <f>IF($B$1+65&gt;90,BO72,(BO72+IF($B$1+65&lt;=$B72,12*$B$7,-12*MAX(0,$B$6-IF($B$1+65&gt;=$B$23,$B$22,0))*(1+$B$4)^65))*IF(BO72+IF($B$1+65&lt;=$B72,12*$B$7,-12*MAX(0,$B$6-IF($B$1+65&gt;=$B$23,$B$22,0))*(1+$B$4)^65)&gt;0,1+$B$3,1))</f>
        <v/>
      </c>
      <c r="BQ72">
        <f>IF($B$1+66&gt;90,BP72,(BP72+IF($B$1+66&lt;=$B72,12*$B$7,-12*MAX(0,$B$6-IF($B$1+66&gt;=$B$23,$B$22,0))*(1+$B$4)^66))*IF(BP72+IF($B$1+66&lt;=$B72,12*$B$7,-12*MAX(0,$B$6-IF($B$1+66&gt;=$B$23,$B$22,0))*(1+$B$4)^66)&gt;0,1+$B$3,1))</f>
        <v/>
      </c>
      <c r="BR72">
        <f>IF($B$1+67&gt;90,BQ72,(BQ72+IF($B$1+67&lt;=$B72,12*$B$7,-12*MAX(0,$B$6-IF($B$1+67&gt;=$B$23,$B$22,0))*(1+$B$4)^67))*IF(BQ72+IF($B$1+67&lt;=$B72,12*$B$7,-12*MAX(0,$B$6-IF($B$1+67&gt;=$B$23,$B$22,0))*(1+$B$4)^67)&gt;0,1+$B$3,1))</f>
        <v/>
      </c>
      <c r="BS72">
        <f>IF($B$1+68&gt;90,BR72,(BR72+IF($B$1+68&lt;=$B72,12*$B$7,-12*MAX(0,$B$6-IF($B$1+68&gt;=$B$23,$B$22,0))*(1+$B$4)^68))*IF(BR72+IF($B$1+68&lt;=$B72,12*$B$7,-12*MAX(0,$B$6-IF($B$1+68&gt;=$B$23,$B$22,0))*(1+$B$4)^68)&gt;0,1+$B$3,1))</f>
        <v/>
      </c>
      <c r="BT72">
        <f>IF($B$1+69&gt;90,BS72,(BS72+IF($B$1+69&lt;=$B72,12*$B$7,-12*MAX(0,$B$6-IF($B$1+69&gt;=$B$23,$B$22,0))*(1+$B$4)^69))*IF(BS72+IF($B$1+69&lt;=$B72,12*$B$7,-12*MAX(0,$B$6-IF($B$1+69&gt;=$B$23,$B$22,0))*(1+$B$4)^69)&gt;0,1+$B$3,1))</f>
        <v/>
      </c>
      <c r="BU72">
        <f>IF($B$1+70&gt;90,BT72,(BT72+IF($B$1+70&lt;=$B72,12*$B$7,-12*MAX(0,$B$6-IF($B$1+70&gt;=$B$23,$B$22,0))*(1+$B$4)^70))*IF(BT72+IF($B$1+70&lt;=$B72,12*$B$7,-12*MAX(0,$B$6-IF($B$1+70&gt;=$B$23,$B$22,0))*(1+$B$4)^70)&gt;0,1+$B$3,1))</f>
        <v/>
      </c>
      <c r="BV72">
        <f>BU72</f>
        <v/>
      </c>
      <c r="BW72">
        <f>IF(AND($B72&lt;=70,BV72&gt;0),$B72,999)</f>
        <v/>
      </c>
      <c r="CE72">
        <f>IF($B$1+70&gt;90,NA(),$B$1+70)</f>
        <v/>
      </c>
      <c r="CF72">
        <f>IF(OR($B$21="",$B$1+70&gt;90),NA(),INDEX($C$40:$BU$90,$B$21-$B$1+1,71))</f>
        <v/>
      </c>
      <c r="CH72">
        <f>IF(ISTEXT('월 가계부'!A72),SUBSTITUTE(SUBSTITUTE(SUBSTITUTE(SUBSTITUTE(SUBSTITUTE(SUBSTITUTE(SUBSTITUTE(SUBSTITUTE(SUBSTITUTE(TRIM('월 가계부'!A72),"년","-"),"월","-"),"일",""),".","-"),"/","-")," ","-"),"--","-"),"--","-"),"--","-")&amp;"-","")</f>
        <v/>
      </c>
      <c r="CI72">
        <f>IFERROR(IF('월 가계부'!A72="","",IF(ISNUMBER('월 가계부'!A72),IF(AND('월 가계부'!A72&gt;=19000101,'월 가계부'!A72&lt;=21001231),IF(AND(MOD(INT('월 가계부'!A72/100),100)&gt;=1,MOD(INT('월 가계부'!A72/100),100)&lt;=12,MOD(INT('월 가계부'!A72),100)&gt;=1,MOD(INT('월 가계부'!A72),100)&lt;=31),IF(MONTH(DATE(INT('월 가계부'!A72/10000),MOD(INT('월 가계부'!A72/100),100),MOD(INT('월 가계부'!A72),100)))=MOD(INT('월 가계부'!A72/100),100),DATE(INT('월 가계부'!A72/10000),MOD(INT('월 가계부'!A72/100),100),MOD(INT('월 가계부'!A72),100)),""),""),IF(AND('월 가계부'!A72&gt;=36526,'월 가계부'!A72&lt;73051),INT('월 가계부'!A72),"")),IF(OR(CM72="",CN72="",CO72=""),"",IF(AND(CM72&gt;=2000,CM72&lt;=2099,CN72&gt;=1,CN72&lt;=12,CO72&gt;=1,CO72&lt;=31),IF(MONTH(DATE(CM72,CN72,CO72))=CN72,DATE(CM72,CN72,CO72),""),"")))),"")</f>
        <v/>
      </c>
      <c r="CJ72">
        <f>IFERROR(IF('월 가계부'!C72="","",IF(ISNUMBER('월 가계부'!C72),'월 가계부'!C72,VALUE(SUBSTITUTE(SUBSTITUTE(SUBSTITUTE(SUBSTITUTE(TRIM('월 가계부'!C72),",",""),"원","")," ",""),"−","-")))),"")</f>
        <v/>
      </c>
      <c r="CK72">
        <f>IF(ISNUMBER(CI72),IF(CI72&lt;$B$13,CI72,""),"")</f>
        <v/>
      </c>
      <c r="CM72">
        <f>IF(CH72="","",IFERROR(IF(IF(AND(LEN(CH72)=9,ISERROR(FIND("-",LEFT(CH72,8))),ISNUMBER(-LEFT(CH72,8))),VALUE(LEFT(CH72,4)),VALUE(LEFT(CH72,FIND("-",CH72)-1)))&lt;100,IF(AND(LEN(CH72)=9,ISERROR(FIND("-",LEFT(CH72,8))),ISNUMBER(-LEFT(CH72,8))),VALUE(LEFT(CH72,4)),VALUE(LEFT(CH72,FIND("-",CH72)-1)))+2000,IF(AND(LEN(CH72)=9,ISERROR(FIND("-",LEFT(CH72,8))),ISNUMBER(-LEFT(CH72,8))),VALUE(LEFT(CH72,4)),VALUE(LEFT(CH72,FIND("-",CH72)-1)))),""))</f>
        <v/>
      </c>
      <c r="CN72">
        <f>IF(CH72="","",IFERROR(IF(AND(LEN(CH72)=9,ISERROR(FIND("-",LEFT(CH72,8))),ISNUMBER(-LEFT(CH72,8))),VALUE(MID(CH72,5,2)),VALUE(MID(CH72,FIND("-",CH72)+1,FIND("-",CH72,FIND("-",CH72)+1)-FIND("-",CH72)-1))),""))</f>
        <v/>
      </c>
      <c r="CO72">
        <f>IF(CH72="","",IFERROR(IF(AND(LEN(CH72)=9,ISERROR(FIND("-",LEFT(CH72,8))),ISNUMBER(-LEFT(CH72,8))),VALUE(MID(CH72,7,2)),VALUE(MID(CH72,FIND("-",CH72,FIND("-",CH72)+1)+1,FIND("-",CH72,FIND("-",CH72,FIND("-",CH72)+1)+1)-FIND("-",CH72,FIND("-",CH72)+1)-1))),""))</f>
        <v/>
      </c>
    </row>
    <row r="73">
      <c r="A73" t="n">
        <v>33</v>
      </c>
      <c r="B73">
        <f>$B$1+33</f>
        <v/>
      </c>
      <c r="C73">
        <f>$B$2</f>
        <v/>
      </c>
      <c r="D73">
        <f>IF($B$1+1&gt;90,C73,(C73+IF($B$1+1&lt;=$B73,12*$B$7,-12*MAX(0,$B$6-IF($B$1+1&gt;=$B$23,$B$22,0))*(1+$B$4)^1))*IF(C73+IF($B$1+1&lt;=$B73,12*$B$7,-12*MAX(0,$B$6-IF($B$1+1&gt;=$B$23,$B$22,0))*(1+$B$4)^1)&gt;0,1+$B$3,1))</f>
        <v/>
      </c>
      <c r="E73">
        <f>IF($B$1+2&gt;90,D73,(D73+IF($B$1+2&lt;=$B73,12*$B$7,-12*MAX(0,$B$6-IF($B$1+2&gt;=$B$23,$B$22,0))*(1+$B$4)^2))*IF(D73+IF($B$1+2&lt;=$B73,12*$B$7,-12*MAX(0,$B$6-IF($B$1+2&gt;=$B$23,$B$22,0))*(1+$B$4)^2)&gt;0,1+$B$3,1))</f>
        <v/>
      </c>
      <c r="F73">
        <f>IF($B$1+3&gt;90,E73,(E73+IF($B$1+3&lt;=$B73,12*$B$7,-12*MAX(0,$B$6-IF($B$1+3&gt;=$B$23,$B$22,0))*(1+$B$4)^3))*IF(E73+IF($B$1+3&lt;=$B73,12*$B$7,-12*MAX(0,$B$6-IF($B$1+3&gt;=$B$23,$B$22,0))*(1+$B$4)^3)&gt;0,1+$B$3,1))</f>
        <v/>
      </c>
      <c r="G73">
        <f>IF($B$1+4&gt;90,F73,(F73+IF($B$1+4&lt;=$B73,12*$B$7,-12*MAX(0,$B$6-IF($B$1+4&gt;=$B$23,$B$22,0))*(1+$B$4)^4))*IF(F73+IF($B$1+4&lt;=$B73,12*$B$7,-12*MAX(0,$B$6-IF($B$1+4&gt;=$B$23,$B$22,0))*(1+$B$4)^4)&gt;0,1+$B$3,1))</f>
        <v/>
      </c>
      <c r="H73">
        <f>IF($B$1+5&gt;90,G73,(G73+IF($B$1+5&lt;=$B73,12*$B$7,-12*MAX(0,$B$6-IF($B$1+5&gt;=$B$23,$B$22,0))*(1+$B$4)^5))*IF(G73+IF($B$1+5&lt;=$B73,12*$B$7,-12*MAX(0,$B$6-IF($B$1+5&gt;=$B$23,$B$22,0))*(1+$B$4)^5)&gt;0,1+$B$3,1))</f>
        <v/>
      </c>
      <c r="I73">
        <f>IF($B$1+6&gt;90,H73,(H73+IF($B$1+6&lt;=$B73,12*$B$7,-12*MAX(0,$B$6-IF($B$1+6&gt;=$B$23,$B$22,0))*(1+$B$4)^6))*IF(H73+IF($B$1+6&lt;=$B73,12*$B$7,-12*MAX(0,$B$6-IF($B$1+6&gt;=$B$23,$B$22,0))*(1+$B$4)^6)&gt;0,1+$B$3,1))</f>
        <v/>
      </c>
      <c r="J73">
        <f>IF($B$1+7&gt;90,I73,(I73+IF($B$1+7&lt;=$B73,12*$B$7,-12*MAX(0,$B$6-IF($B$1+7&gt;=$B$23,$B$22,0))*(1+$B$4)^7))*IF(I73+IF($B$1+7&lt;=$B73,12*$B$7,-12*MAX(0,$B$6-IF($B$1+7&gt;=$B$23,$B$22,0))*(1+$B$4)^7)&gt;0,1+$B$3,1))</f>
        <v/>
      </c>
      <c r="K73">
        <f>IF($B$1+8&gt;90,J73,(J73+IF($B$1+8&lt;=$B73,12*$B$7,-12*MAX(0,$B$6-IF($B$1+8&gt;=$B$23,$B$22,0))*(1+$B$4)^8))*IF(J73+IF($B$1+8&lt;=$B73,12*$B$7,-12*MAX(0,$B$6-IF($B$1+8&gt;=$B$23,$B$22,0))*(1+$B$4)^8)&gt;0,1+$B$3,1))</f>
        <v/>
      </c>
      <c r="L73">
        <f>IF($B$1+9&gt;90,K73,(K73+IF($B$1+9&lt;=$B73,12*$B$7,-12*MAX(0,$B$6-IF($B$1+9&gt;=$B$23,$B$22,0))*(1+$B$4)^9))*IF(K73+IF($B$1+9&lt;=$B73,12*$B$7,-12*MAX(0,$B$6-IF($B$1+9&gt;=$B$23,$B$22,0))*(1+$B$4)^9)&gt;0,1+$B$3,1))</f>
        <v/>
      </c>
      <c r="M73">
        <f>IF($B$1+10&gt;90,L73,(L73+IF($B$1+10&lt;=$B73,12*$B$7,-12*MAX(0,$B$6-IF($B$1+10&gt;=$B$23,$B$22,0))*(1+$B$4)^10))*IF(L73+IF($B$1+10&lt;=$B73,12*$B$7,-12*MAX(0,$B$6-IF($B$1+10&gt;=$B$23,$B$22,0))*(1+$B$4)^10)&gt;0,1+$B$3,1))</f>
        <v/>
      </c>
      <c r="N73">
        <f>IF($B$1+11&gt;90,M73,(M73+IF($B$1+11&lt;=$B73,12*$B$7,-12*MAX(0,$B$6-IF($B$1+11&gt;=$B$23,$B$22,0))*(1+$B$4)^11))*IF(M73+IF($B$1+11&lt;=$B73,12*$B$7,-12*MAX(0,$B$6-IF($B$1+11&gt;=$B$23,$B$22,0))*(1+$B$4)^11)&gt;0,1+$B$3,1))</f>
        <v/>
      </c>
      <c r="O73">
        <f>IF($B$1+12&gt;90,N73,(N73+IF($B$1+12&lt;=$B73,12*$B$7,-12*MAX(0,$B$6-IF($B$1+12&gt;=$B$23,$B$22,0))*(1+$B$4)^12))*IF(N73+IF($B$1+12&lt;=$B73,12*$B$7,-12*MAX(0,$B$6-IF($B$1+12&gt;=$B$23,$B$22,0))*(1+$B$4)^12)&gt;0,1+$B$3,1))</f>
        <v/>
      </c>
      <c r="P73">
        <f>IF($B$1+13&gt;90,O73,(O73+IF($B$1+13&lt;=$B73,12*$B$7,-12*MAX(0,$B$6-IF($B$1+13&gt;=$B$23,$B$22,0))*(1+$B$4)^13))*IF(O73+IF($B$1+13&lt;=$B73,12*$B$7,-12*MAX(0,$B$6-IF($B$1+13&gt;=$B$23,$B$22,0))*(1+$B$4)^13)&gt;0,1+$B$3,1))</f>
        <v/>
      </c>
      <c r="Q73">
        <f>IF($B$1+14&gt;90,P73,(P73+IF($B$1+14&lt;=$B73,12*$B$7,-12*MAX(0,$B$6-IF($B$1+14&gt;=$B$23,$B$22,0))*(1+$B$4)^14))*IF(P73+IF($B$1+14&lt;=$B73,12*$B$7,-12*MAX(0,$B$6-IF($B$1+14&gt;=$B$23,$B$22,0))*(1+$B$4)^14)&gt;0,1+$B$3,1))</f>
        <v/>
      </c>
      <c r="R73">
        <f>IF($B$1+15&gt;90,Q73,(Q73+IF($B$1+15&lt;=$B73,12*$B$7,-12*MAX(0,$B$6-IF($B$1+15&gt;=$B$23,$B$22,0))*(1+$B$4)^15))*IF(Q73+IF($B$1+15&lt;=$B73,12*$B$7,-12*MAX(0,$B$6-IF($B$1+15&gt;=$B$23,$B$22,0))*(1+$B$4)^15)&gt;0,1+$B$3,1))</f>
        <v/>
      </c>
      <c r="S73">
        <f>IF($B$1+16&gt;90,R73,(R73+IF($B$1+16&lt;=$B73,12*$B$7,-12*MAX(0,$B$6-IF($B$1+16&gt;=$B$23,$B$22,0))*(1+$B$4)^16))*IF(R73+IF($B$1+16&lt;=$B73,12*$B$7,-12*MAX(0,$B$6-IF($B$1+16&gt;=$B$23,$B$22,0))*(1+$B$4)^16)&gt;0,1+$B$3,1))</f>
        <v/>
      </c>
      <c r="T73">
        <f>IF($B$1+17&gt;90,S73,(S73+IF($B$1+17&lt;=$B73,12*$B$7,-12*MAX(0,$B$6-IF($B$1+17&gt;=$B$23,$B$22,0))*(1+$B$4)^17))*IF(S73+IF($B$1+17&lt;=$B73,12*$B$7,-12*MAX(0,$B$6-IF($B$1+17&gt;=$B$23,$B$22,0))*(1+$B$4)^17)&gt;0,1+$B$3,1))</f>
        <v/>
      </c>
      <c r="U73">
        <f>IF($B$1+18&gt;90,T73,(T73+IF($B$1+18&lt;=$B73,12*$B$7,-12*MAX(0,$B$6-IF($B$1+18&gt;=$B$23,$B$22,0))*(1+$B$4)^18))*IF(T73+IF($B$1+18&lt;=$B73,12*$B$7,-12*MAX(0,$B$6-IF($B$1+18&gt;=$B$23,$B$22,0))*(1+$B$4)^18)&gt;0,1+$B$3,1))</f>
        <v/>
      </c>
      <c r="V73">
        <f>IF($B$1+19&gt;90,U73,(U73+IF($B$1+19&lt;=$B73,12*$B$7,-12*MAX(0,$B$6-IF($B$1+19&gt;=$B$23,$B$22,0))*(1+$B$4)^19))*IF(U73+IF($B$1+19&lt;=$B73,12*$B$7,-12*MAX(0,$B$6-IF($B$1+19&gt;=$B$23,$B$22,0))*(1+$B$4)^19)&gt;0,1+$B$3,1))</f>
        <v/>
      </c>
      <c r="W73">
        <f>IF($B$1+20&gt;90,V73,(V73+IF($B$1+20&lt;=$B73,12*$B$7,-12*MAX(0,$B$6-IF($B$1+20&gt;=$B$23,$B$22,0))*(1+$B$4)^20))*IF(V73+IF($B$1+20&lt;=$B73,12*$B$7,-12*MAX(0,$B$6-IF($B$1+20&gt;=$B$23,$B$22,0))*(1+$B$4)^20)&gt;0,1+$B$3,1))</f>
        <v/>
      </c>
      <c r="X73">
        <f>IF($B$1+21&gt;90,W73,(W73+IF($B$1+21&lt;=$B73,12*$B$7,-12*MAX(0,$B$6-IF($B$1+21&gt;=$B$23,$B$22,0))*(1+$B$4)^21))*IF(W73+IF($B$1+21&lt;=$B73,12*$B$7,-12*MAX(0,$B$6-IF($B$1+21&gt;=$B$23,$B$22,0))*(1+$B$4)^21)&gt;0,1+$B$3,1))</f>
        <v/>
      </c>
      <c r="Y73">
        <f>IF($B$1+22&gt;90,X73,(X73+IF($B$1+22&lt;=$B73,12*$B$7,-12*MAX(0,$B$6-IF($B$1+22&gt;=$B$23,$B$22,0))*(1+$B$4)^22))*IF(X73+IF($B$1+22&lt;=$B73,12*$B$7,-12*MAX(0,$B$6-IF($B$1+22&gt;=$B$23,$B$22,0))*(1+$B$4)^22)&gt;0,1+$B$3,1))</f>
        <v/>
      </c>
      <c r="Z73">
        <f>IF($B$1+23&gt;90,Y73,(Y73+IF($B$1+23&lt;=$B73,12*$B$7,-12*MAX(0,$B$6-IF($B$1+23&gt;=$B$23,$B$22,0))*(1+$B$4)^23))*IF(Y73+IF($B$1+23&lt;=$B73,12*$B$7,-12*MAX(0,$B$6-IF($B$1+23&gt;=$B$23,$B$22,0))*(1+$B$4)^23)&gt;0,1+$B$3,1))</f>
        <v/>
      </c>
      <c r="AA73">
        <f>IF($B$1+24&gt;90,Z73,(Z73+IF($B$1+24&lt;=$B73,12*$B$7,-12*MAX(0,$B$6-IF($B$1+24&gt;=$B$23,$B$22,0))*(1+$B$4)^24))*IF(Z73+IF($B$1+24&lt;=$B73,12*$B$7,-12*MAX(0,$B$6-IF($B$1+24&gt;=$B$23,$B$22,0))*(1+$B$4)^24)&gt;0,1+$B$3,1))</f>
        <v/>
      </c>
      <c r="AB73">
        <f>IF($B$1+25&gt;90,AA73,(AA73+IF($B$1+25&lt;=$B73,12*$B$7,-12*MAX(0,$B$6-IF($B$1+25&gt;=$B$23,$B$22,0))*(1+$B$4)^25))*IF(AA73+IF($B$1+25&lt;=$B73,12*$B$7,-12*MAX(0,$B$6-IF($B$1+25&gt;=$B$23,$B$22,0))*(1+$B$4)^25)&gt;0,1+$B$3,1))</f>
        <v/>
      </c>
      <c r="AC73">
        <f>IF($B$1+26&gt;90,AB73,(AB73+IF($B$1+26&lt;=$B73,12*$B$7,-12*MAX(0,$B$6-IF($B$1+26&gt;=$B$23,$B$22,0))*(1+$B$4)^26))*IF(AB73+IF($B$1+26&lt;=$B73,12*$B$7,-12*MAX(0,$B$6-IF($B$1+26&gt;=$B$23,$B$22,0))*(1+$B$4)^26)&gt;0,1+$B$3,1))</f>
        <v/>
      </c>
      <c r="AD73">
        <f>IF($B$1+27&gt;90,AC73,(AC73+IF($B$1+27&lt;=$B73,12*$B$7,-12*MAX(0,$B$6-IF($B$1+27&gt;=$B$23,$B$22,0))*(1+$B$4)^27))*IF(AC73+IF($B$1+27&lt;=$B73,12*$B$7,-12*MAX(0,$B$6-IF($B$1+27&gt;=$B$23,$B$22,0))*(1+$B$4)^27)&gt;0,1+$B$3,1))</f>
        <v/>
      </c>
      <c r="AE73">
        <f>IF($B$1+28&gt;90,AD73,(AD73+IF($B$1+28&lt;=$B73,12*$B$7,-12*MAX(0,$B$6-IF($B$1+28&gt;=$B$23,$B$22,0))*(1+$B$4)^28))*IF(AD73+IF($B$1+28&lt;=$B73,12*$B$7,-12*MAX(0,$B$6-IF($B$1+28&gt;=$B$23,$B$22,0))*(1+$B$4)^28)&gt;0,1+$B$3,1))</f>
        <v/>
      </c>
      <c r="AF73">
        <f>IF($B$1+29&gt;90,AE73,(AE73+IF($B$1+29&lt;=$B73,12*$B$7,-12*MAX(0,$B$6-IF($B$1+29&gt;=$B$23,$B$22,0))*(1+$B$4)^29))*IF(AE73+IF($B$1+29&lt;=$B73,12*$B$7,-12*MAX(0,$B$6-IF($B$1+29&gt;=$B$23,$B$22,0))*(1+$B$4)^29)&gt;0,1+$B$3,1))</f>
        <v/>
      </c>
      <c r="AG73">
        <f>IF($B$1+30&gt;90,AF73,(AF73+IF($B$1+30&lt;=$B73,12*$B$7,-12*MAX(0,$B$6-IF($B$1+30&gt;=$B$23,$B$22,0))*(1+$B$4)^30))*IF(AF73+IF($B$1+30&lt;=$B73,12*$B$7,-12*MAX(0,$B$6-IF($B$1+30&gt;=$B$23,$B$22,0))*(1+$B$4)^30)&gt;0,1+$B$3,1))</f>
        <v/>
      </c>
      <c r="AH73">
        <f>IF($B$1+31&gt;90,AG73,(AG73+IF($B$1+31&lt;=$B73,12*$B$7,-12*MAX(0,$B$6-IF($B$1+31&gt;=$B$23,$B$22,0))*(1+$B$4)^31))*IF(AG73+IF($B$1+31&lt;=$B73,12*$B$7,-12*MAX(0,$B$6-IF($B$1+31&gt;=$B$23,$B$22,0))*(1+$B$4)^31)&gt;0,1+$B$3,1))</f>
        <v/>
      </c>
      <c r="AI73">
        <f>IF($B$1+32&gt;90,AH73,(AH73+IF($B$1+32&lt;=$B73,12*$B$7,-12*MAX(0,$B$6-IF($B$1+32&gt;=$B$23,$B$22,0))*(1+$B$4)^32))*IF(AH73+IF($B$1+32&lt;=$B73,12*$B$7,-12*MAX(0,$B$6-IF($B$1+32&gt;=$B$23,$B$22,0))*(1+$B$4)^32)&gt;0,1+$B$3,1))</f>
        <v/>
      </c>
      <c r="AJ73">
        <f>IF($B$1+33&gt;90,AI73,(AI73+IF($B$1+33&lt;=$B73,12*$B$7,-12*MAX(0,$B$6-IF($B$1+33&gt;=$B$23,$B$22,0))*(1+$B$4)^33))*IF(AI73+IF($B$1+33&lt;=$B73,12*$B$7,-12*MAX(0,$B$6-IF($B$1+33&gt;=$B$23,$B$22,0))*(1+$B$4)^33)&gt;0,1+$B$3,1))</f>
        <v/>
      </c>
      <c r="AK73">
        <f>IF($B$1+34&gt;90,AJ73,(AJ73+IF($B$1+34&lt;=$B73,12*$B$7,-12*MAX(0,$B$6-IF($B$1+34&gt;=$B$23,$B$22,0))*(1+$B$4)^34))*IF(AJ73+IF($B$1+34&lt;=$B73,12*$B$7,-12*MAX(0,$B$6-IF($B$1+34&gt;=$B$23,$B$22,0))*(1+$B$4)^34)&gt;0,1+$B$3,1))</f>
        <v/>
      </c>
      <c r="AL73">
        <f>IF($B$1+35&gt;90,AK73,(AK73+IF($B$1+35&lt;=$B73,12*$B$7,-12*MAX(0,$B$6-IF($B$1+35&gt;=$B$23,$B$22,0))*(1+$B$4)^35))*IF(AK73+IF($B$1+35&lt;=$B73,12*$B$7,-12*MAX(0,$B$6-IF($B$1+35&gt;=$B$23,$B$22,0))*(1+$B$4)^35)&gt;0,1+$B$3,1))</f>
        <v/>
      </c>
      <c r="AM73">
        <f>IF($B$1+36&gt;90,AL73,(AL73+IF($B$1+36&lt;=$B73,12*$B$7,-12*MAX(0,$B$6-IF($B$1+36&gt;=$B$23,$B$22,0))*(1+$B$4)^36))*IF(AL73+IF($B$1+36&lt;=$B73,12*$B$7,-12*MAX(0,$B$6-IF($B$1+36&gt;=$B$23,$B$22,0))*(1+$B$4)^36)&gt;0,1+$B$3,1))</f>
        <v/>
      </c>
      <c r="AN73">
        <f>IF($B$1+37&gt;90,AM73,(AM73+IF($B$1+37&lt;=$B73,12*$B$7,-12*MAX(0,$B$6-IF($B$1+37&gt;=$B$23,$B$22,0))*(1+$B$4)^37))*IF(AM73+IF($B$1+37&lt;=$B73,12*$B$7,-12*MAX(0,$B$6-IF($B$1+37&gt;=$B$23,$B$22,0))*(1+$B$4)^37)&gt;0,1+$B$3,1))</f>
        <v/>
      </c>
      <c r="AO73">
        <f>IF($B$1+38&gt;90,AN73,(AN73+IF($B$1+38&lt;=$B73,12*$B$7,-12*MAX(0,$B$6-IF($B$1+38&gt;=$B$23,$B$22,0))*(1+$B$4)^38))*IF(AN73+IF($B$1+38&lt;=$B73,12*$B$7,-12*MAX(0,$B$6-IF($B$1+38&gt;=$B$23,$B$22,0))*(1+$B$4)^38)&gt;0,1+$B$3,1))</f>
        <v/>
      </c>
      <c r="AP73">
        <f>IF($B$1+39&gt;90,AO73,(AO73+IF($B$1+39&lt;=$B73,12*$B$7,-12*MAX(0,$B$6-IF($B$1+39&gt;=$B$23,$B$22,0))*(1+$B$4)^39))*IF(AO73+IF($B$1+39&lt;=$B73,12*$B$7,-12*MAX(0,$B$6-IF($B$1+39&gt;=$B$23,$B$22,0))*(1+$B$4)^39)&gt;0,1+$B$3,1))</f>
        <v/>
      </c>
      <c r="AQ73">
        <f>IF($B$1+40&gt;90,AP73,(AP73+IF($B$1+40&lt;=$B73,12*$B$7,-12*MAX(0,$B$6-IF($B$1+40&gt;=$B$23,$B$22,0))*(1+$B$4)^40))*IF(AP73+IF($B$1+40&lt;=$B73,12*$B$7,-12*MAX(0,$B$6-IF($B$1+40&gt;=$B$23,$B$22,0))*(1+$B$4)^40)&gt;0,1+$B$3,1))</f>
        <v/>
      </c>
      <c r="AR73">
        <f>IF($B$1+41&gt;90,AQ73,(AQ73+IF($B$1+41&lt;=$B73,12*$B$7,-12*MAX(0,$B$6-IF($B$1+41&gt;=$B$23,$B$22,0))*(1+$B$4)^41))*IF(AQ73+IF($B$1+41&lt;=$B73,12*$B$7,-12*MAX(0,$B$6-IF($B$1+41&gt;=$B$23,$B$22,0))*(1+$B$4)^41)&gt;0,1+$B$3,1))</f>
        <v/>
      </c>
      <c r="AS73">
        <f>IF($B$1+42&gt;90,AR73,(AR73+IF($B$1+42&lt;=$B73,12*$B$7,-12*MAX(0,$B$6-IF($B$1+42&gt;=$B$23,$B$22,0))*(1+$B$4)^42))*IF(AR73+IF($B$1+42&lt;=$B73,12*$B$7,-12*MAX(0,$B$6-IF($B$1+42&gt;=$B$23,$B$22,0))*(1+$B$4)^42)&gt;0,1+$B$3,1))</f>
        <v/>
      </c>
      <c r="AT73">
        <f>IF($B$1+43&gt;90,AS73,(AS73+IF($B$1+43&lt;=$B73,12*$B$7,-12*MAX(0,$B$6-IF($B$1+43&gt;=$B$23,$B$22,0))*(1+$B$4)^43))*IF(AS73+IF($B$1+43&lt;=$B73,12*$B$7,-12*MAX(0,$B$6-IF($B$1+43&gt;=$B$23,$B$22,0))*(1+$B$4)^43)&gt;0,1+$B$3,1))</f>
        <v/>
      </c>
      <c r="AU73">
        <f>IF($B$1+44&gt;90,AT73,(AT73+IF($B$1+44&lt;=$B73,12*$B$7,-12*MAX(0,$B$6-IF($B$1+44&gt;=$B$23,$B$22,0))*(1+$B$4)^44))*IF(AT73+IF($B$1+44&lt;=$B73,12*$B$7,-12*MAX(0,$B$6-IF($B$1+44&gt;=$B$23,$B$22,0))*(1+$B$4)^44)&gt;0,1+$B$3,1))</f>
        <v/>
      </c>
      <c r="AV73">
        <f>IF($B$1+45&gt;90,AU73,(AU73+IF($B$1+45&lt;=$B73,12*$B$7,-12*MAX(0,$B$6-IF($B$1+45&gt;=$B$23,$B$22,0))*(1+$B$4)^45))*IF(AU73+IF($B$1+45&lt;=$B73,12*$B$7,-12*MAX(0,$B$6-IF($B$1+45&gt;=$B$23,$B$22,0))*(1+$B$4)^45)&gt;0,1+$B$3,1))</f>
        <v/>
      </c>
      <c r="AW73">
        <f>IF($B$1+46&gt;90,AV73,(AV73+IF($B$1+46&lt;=$B73,12*$B$7,-12*MAX(0,$B$6-IF($B$1+46&gt;=$B$23,$B$22,0))*(1+$B$4)^46))*IF(AV73+IF($B$1+46&lt;=$B73,12*$B$7,-12*MAX(0,$B$6-IF($B$1+46&gt;=$B$23,$B$22,0))*(1+$B$4)^46)&gt;0,1+$B$3,1))</f>
        <v/>
      </c>
      <c r="AX73">
        <f>IF($B$1+47&gt;90,AW73,(AW73+IF($B$1+47&lt;=$B73,12*$B$7,-12*MAX(0,$B$6-IF($B$1+47&gt;=$B$23,$B$22,0))*(1+$B$4)^47))*IF(AW73+IF($B$1+47&lt;=$B73,12*$B$7,-12*MAX(0,$B$6-IF($B$1+47&gt;=$B$23,$B$22,0))*(1+$B$4)^47)&gt;0,1+$B$3,1))</f>
        <v/>
      </c>
      <c r="AY73">
        <f>IF($B$1+48&gt;90,AX73,(AX73+IF($B$1+48&lt;=$B73,12*$B$7,-12*MAX(0,$B$6-IF($B$1+48&gt;=$B$23,$B$22,0))*(1+$B$4)^48))*IF(AX73+IF($B$1+48&lt;=$B73,12*$B$7,-12*MAX(0,$B$6-IF($B$1+48&gt;=$B$23,$B$22,0))*(1+$B$4)^48)&gt;0,1+$B$3,1))</f>
        <v/>
      </c>
      <c r="AZ73">
        <f>IF($B$1+49&gt;90,AY73,(AY73+IF($B$1+49&lt;=$B73,12*$B$7,-12*MAX(0,$B$6-IF($B$1+49&gt;=$B$23,$B$22,0))*(1+$B$4)^49))*IF(AY73+IF($B$1+49&lt;=$B73,12*$B$7,-12*MAX(0,$B$6-IF($B$1+49&gt;=$B$23,$B$22,0))*(1+$B$4)^49)&gt;0,1+$B$3,1))</f>
        <v/>
      </c>
      <c r="BA73">
        <f>IF($B$1+50&gt;90,AZ73,(AZ73+IF($B$1+50&lt;=$B73,12*$B$7,-12*MAX(0,$B$6-IF($B$1+50&gt;=$B$23,$B$22,0))*(1+$B$4)^50))*IF(AZ73+IF($B$1+50&lt;=$B73,12*$B$7,-12*MAX(0,$B$6-IF($B$1+50&gt;=$B$23,$B$22,0))*(1+$B$4)^50)&gt;0,1+$B$3,1))</f>
        <v/>
      </c>
      <c r="BB73">
        <f>IF($B$1+51&gt;90,BA73,(BA73+IF($B$1+51&lt;=$B73,12*$B$7,-12*MAX(0,$B$6-IF($B$1+51&gt;=$B$23,$B$22,0))*(1+$B$4)^51))*IF(BA73+IF($B$1+51&lt;=$B73,12*$B$7,-12*MAX(0,$B$6-IF($B$1+51&gt;=$B$23,$B$22,0))*(1+$B$4)^51)&gt;0,1+$B$3,1))</f>
        <v/>
      </c>
      <c r="BC73">
        <f>IF($B$1+52&gt;90,BB73,(BB73+IF($B$1+52&lt;=$B73,12*$B$7,-12*MAX(0,$B$6-IF($B$1+52&gt;=$B$23,$B$22,0))*(1+$B$4)^52))*IF(BB73+IF($B$1+52&lt;=$B73,12*$B$7,-12*MAX(0,$B$6-IF($B$1+52&gt;=$B$23,$B$22,0))*(1+$B$4)^52)&gt;0,1+$B$3,1))</f>
        <v/>
      </c>
      <c r="BD73">
        <f>IF($B$1+53&gt;90,BC73,(BC73+IF($B$1+53&lt;=$B73,12*$B$7,-12*MAX(0,$B$6-IF($B$1+53&gt;=$B$23,$B$22,0))*(1+$B$4)^53))*IF(BC73+IF($B$1+53&lt;=$B73,12*$B$7,-12*MAX(0,$B$6-IF($B$1+53&gt;=$B$23,$B$22,0))*(1+$B$4)^53)&gt;0,1+$B$3,1))</f>
        <v/>
      </c>
      <c r="BE73">
        <f>IF($B$1+54&gt;90,BD73,(BD73+IF($B$1+54&lt;=$B73,12*$B$7,-12*MAX(0,$B$6-IF($B$1+54&gt;=$B$23,$B$22,0))*(1+$B$4)^54))*IF(BD73+IF($B$1+54&lt;=$B73,12*$B$7,-12*MAX(0,$B$6-IF($B$1+54&gt;=$B$23,$B$22,0))*(1+$B$4)^54)&gt;0,1+$B$3,1))</f>
        <v/>
      </c>
      <c r="BF73">
        <f>IF($B$1+55&gt;90,BE73,(BE73+IF($B$1+55&lt;=$B73,12*$B$7,-12*MAX(0,$B$6-IF($B$1+55&gt;=$B$23,$B$22,0))*(1+$B$4)^55))*IF(BE73+IF($B$1+55&lt;=$B73,12*$B$7,-12*MAX(0,$B$6-IF($B$1+55&gt;=$B$23,$B$22,0))*(1+$B$4)^55)&gt;0,1+$B$3,1))</f>
        <v/>
      </c>
      <c r="BG73">
        <f>IF($B$1+56&gt;90,BF73,(BF73+IF($B$1+56&lt;=$B73,12*$B$7,-12*MAX(0,$B$6-IF($B$1+56&gt;=$B$23,$B$22,0))*(1+$B$4)^56))*IF(BF73+IF($B$1+56&lt;=$B73,12*$B$7,-12*MAX(0,$B$6-IF($B$1+56&gt;=$B$23,$B$22,0))*(1+$B$4)^56)&gt;0,1+$B$3,1))</f>
        <v/>
      </c>
      <c r="BH73">
        <f>IF($B$1+57&gt;90,BG73,(BG73+IF($B$1+57&lt;=$B73,12*$B$7,-12*MAX(0,$B$6-IF($B$1+57&gt;=$B$23,$B$22,0))*(1+$B$4)^57))*IF(BG73+IF($B$1+57&lt;=$B73,12*$B$7,-12*MAX(0,$B$6-IF($B$1+57&gt;=$B$23,$B$22,0))*(1+$B$4)^57)&gt;0,1+$B$3,1))</f>
        <v/>
      </c>
      <c r="BI73">
        <f>IF($B$1+58&gt;90,BH73,(BH73+IF($B$1+58&lt;=$B73,12*$B$7,-12*MAX(0,$B$6-IF($B$1+58&gt;=$B$23,$B$22,0))*(1+$B$4)^58))*IF(BH73+IF($B$1+58&lt;=$B73,12*$B$7,-12*MAX(0,$B$6-IF($B$1+58&gt;=$B$23,$B$22,0))*(1+$B$4)^58)&gt;0,1+$B$3,1))</f>
        <v/>
      </c>
      <c r="BJ73">
        <f>IF($B$1+59&gt;90,BI73,(BI73+IF($B$1+59&lt;=$B73,12*$B$7,-12*MAX(0,$B$6-IF($B$1+59&gt;=$B$23,$B$22,0))*(1+$B$4)^59))*IF(BI73+IF($B$1+59&lt;=$B73,12*$B$7,-12*MAX(0,$B$6-IF($B$1+59&gt;=$B$23,$B$22,0))*(1+$B$4)^59)&gt;0,1+$B$3,1))</f>
        <v/>
      </c>
      <c r="BK73">
        <f>IF($B$1+60&gt;90,BJ73,(BJ73+IF($B$1+60&lt;=$B73,12*$B$7,-12*MAX(0,$B$6-IF($B$1+60&gt;=$B$23,$B$22,0))*(1+$B$4)^60))*IF(BJ73+IF($B$1+60&lt;=$B73,12*$B$7,-12*MAX(0,$B$6-IF($B$1+60&gt;=$B$23,$B$22,0))*(1+$B$4)^60)&gt;0,1+$B$3,1))</f>
        <v/>
      </c>
      <c r="BL73">
        <f>IF($B$1+61&gt;90,BK73,(BK73+IF($B$1+61&lt;=$B73,12*$B$7,-12*MAX(0,$B$6-IF($B$1+61&gt;=$B$23,$B$22,0))*(1+$B$4)^61))*IF(BK73+IF($B$1+61&lt;=$B73,12*$B$7,-12*MAX(0,$B$6-IF($B$1+61&gt;=$B$23,$B$22,0))*(1+$B$4)^61)&gt;0,1+$B$3,1))</f>
        <v/>
      </c>
      <c r="BM73">
        <f>IF($B$1+62&gt;90,BL73,(BL73+IF($B$1+62&lt;=$B73,12*$B$7,-12*MAX(0,$B$6-IF($B$1+62&gt;=$B$23,$B$22,0))*(1+$B$4)^62))*IF(BL73+IF($B$1+62&lt;=$B73,12*$B$7,-12*MAX(0,$B$6-IF($B$1+62&gt;=$B$23,$B$22,0))*(1+$B$4)^62)&gt;0,1+$B$3,1))</f>
        <v/>
      </c>
      <c r="BN73">
        <f>IF($B$1+63&gt;90,BM73,(BM73+IF($B$1+63&lt;=$B73,12*$B$7,-12*MAX(0,$B$6-IF($B$1+63&gt;=$B$23,$B$22,0))*(1+$B$4)^63))*IF(BM73+IF($B$1+63&lt;=$B73,12*$B$7,-12*MAX(0,$B$6-IF($B$1+63&gt;=$B$23,$B$22,0))*(1+$B$4)^63)&gt;0,1+$B$3,1))</f>
        <v/>
      </c>
      <c r="BO73">
        <f>IF($B$1+64&gt;90,BN73,(BN73+IF($B$1+64&lt;=$B73,12*$B$7,-12*MAX(0,$B$6-IF($B$1+64&gt;=$B$23,$B$22,0))*(1+$B$4)^64))*IF(BN73+IF($B$1+64&lt;=$B73,12*$B$7,-12*MAX(0,$B$6-IF($B$1+64&gt;=$B$23,$B$22,0))*(1+$B$4)^64)&gt;0,1+$B$3,1))</f>
        <v/>
      </c>
      <c r="BP73">
        <f>IF($B$1+65&gt;90,BO73,(BO73+IF($B$1+65&lt;=$B73,12*$B$7,-12*MAX(0,$B$6-IF($B$1+65&gt;=$B$23,$B$22,0))*(1+$B$4)^65))*IF(BO73+IF($B$1+65&lt;=$B73,12*$B$7,-12*MAX(0,$B$6-IF($B$1+65&gt;=$B$23,$B$22,0))*(1+$B$4)^65)&gt;0,1+$B$3,1))</f>
        <v/>
      </c>
      <c r="BQ73">
        <f>IF($B$1+66&gt;90,BP73,(BP73+IF($B$1+66&lt;=$B73,12*$B$7,-12*MAX(0,$B$6-IF($B$1+66&gt;=$B$23,$B$22,0))*(1+$B$4)^66))*IF(BP73+IF($B$1+66&lt;=$B73,12*$B$7,-12*MAX(0,$B$6-IF($B$1+66&gt;=$B$23,$B$22,0))*(1+$B$4)^66)&gt;0,1+$B$3,1))</f>
        <v/>
      </c>
      <c r="BR73">
        <f>IF($B$1+67&gt;90,BQ73,(BQ73+IF($B$1+67&lt;=$B73,12*$B$7,-12*MAX(0,$B$6-IF($B$1+67&gt;=$B$23,$B$22,0))*(1+$B$4)^67))*IF(BQ73+IF($B$1+67&lt;=$B73,12*$B$7,-12*MAX(0,$B$6-IF($B$1+67&gt;=$B$23,$B$22,0))*(1+$B$4)^67)&gt;0,1+$B$3,1))</f>
        <v/>
      </c>
      <c r="BS73">
        <f>IF($B$1+68&gt;90,BR73,(BR73+IF($B$1+68&lt;=$B73,12*$B$7,-12*MAX(0,$B$6-IF($B$1+68&gt;=$B$23,$B$22,0))*(1+$B$4)^68))*IF(BR73+IF($B$1+68&lt;=$B73,12*$B$7,-12*MAX(0,$B$6-IF($B$1+68&gt;=$B$23,$B$22,0))*(1+$B$4)^68)&gt;0,1+$B$3,1))</f>
        <v/>
      </c>
      <c r="BT73">
        <f>IF($B$1+69&gt;90,BS73,(BS73+IF($B$1+69&lt;=$B73,12*$B$7,-12*MAX(0,$B$6-IF($B$1+69&gt;=$B$23,$B$22,0))*(1+$B$4)^69))*IF(BS73+IF($B$1+69&lt;=$B73,12*$B$7,-12*MAX(0,$B$6-IF($B$1+69&gt;=$B$23,$B$22,0))*(1+$B$4)^69)&gt;0,1+$B$3,1))</f>
        <v/>
      </c>
      <c r="BU73">
        <f>IF($B$1+70&gt;90,BT73,(BT73+IF($B$1+70&lt;=$B73,12*$B$7,-12*MAX(0,$B$6-IF($B$1+70&gt;=$B$23,$B$22,0))*(1+$B$4)^70))*IF(BT73+IF($B$1+70&lt;=$B73,12*$B$7,-12*MAX(0,$B$6-IF($B$1+70&gt;=$B$23,$B$22,0))*(1+$B$4)^70)&gt;0,1+$B$3,1))</f>
        <v/>
      </c>
      <c r="BV73">
        <f>BU73</f>
        <v/>
      </c>
      <c r="BW73">
        <f>IF(AND($B73&lt;=70,BV73&gt;0),$B73,999)</f>
        <v/>
      </c>
      <c r="CH73">
        <f>IF(ISTEXT('월 가계부'!A73),SUBSTITUTE(SUBSTITUTE(SUBSTITUTE(SUBSTITUTE(SUBSTITUTE(SUBSTITUTE(SUBSTITUTE(SUBSTITUTE(SUBSTITUTE(TRIM('월 가계부'!A73),"년","-"),"월","-"),"일",""),".","-"),"/","-")," ","-"),"--","-"),"--","-"),"--","-")&amp;"-","")</f>
        <v/>
      </c>
      <c r="CI73">
        <f>IFERROR(IF('월 가계부'!A73="","",IF(ISNUMBER('월 가계부'!A73),IF(AND('월 가계부'!A73&gt;=19000101,'월 가계부'!A73&lt;=21001231),IF(AND(MOD(INT('월 가계부'!A73/100),100)&gt;=1,MOD(INT('월 가계부'!A73/100),100)&lt;=12,MOD(INT('월 가계부'!A73),100)&gt;=1,MOD(INT('월 가계부'!A73),100)&lt;=31),IF(MONTH(DATE(INT('월 가계부'!A73/10000),MOD(INT('월 가계부'!A73/100),100),MOD(INT('월 가계부'!A73),100)))=MOD(INT('월 가계부'!A73/100),100),DATE(INT('월 가계부'!A73/10000),MOD(INT('월 가계부'!A73/100),100),MOD(INT('월 가계부'!A73),100)),""),""),IF(AND('월 가계부'!A73&gt;=36526,'월 가계부'!A73&lt;73051),INT('월 가계부'!A73),"")),IF(OR(CM73="",CN73="",CO73=""),"",IF(AND(CM73&gt;=2000,CM73&lt;=2099,CN73&gt;=1,CN73&lt;=12,CO73&gt;=1,CO73&lt;=31),IF(MONTH(DATE(CM73,CN73,CO73))=CN73,DATE(CM73,CN73,CO73),""),"")))),"")</f>
        <v/>
      </c>
      <c r="CJ73">
        <f>IFERROR(IF('월 가계부'!C73="","",IF(ISNUMBER('월 가계부'!C73),'월 가계부'!C73,VALUE(SUBSTITUTE(SUBSTITUTE(SUBSTITUTE(SUBSTITUTE(TRIM('월 가계부'!C73),",",""),"원","")," ",""),"−","-")))),"")</f>
        <v/>
      </c>
      <c r="CK73">
        <f>IF(ISNUMBER(CI73),IF(CI73&lt;$B$13,CI73,""),"")</f>
        <v/>
      </c>
      <c r="CM73">
        <f>IF(CH73="","",IFERROR(IF(IF(AND(LEN(CH73)=9,ISERROR(FIND("-",LEFT(CH73,8))),ISNUMBER(-LEFT(CH73,8))),VALUE(LEFT(CH73,4)),VALUE(LEFT(CH73,FIND("-",CH73)-1)))&lt;100,IF(AND(LEN(CH73)=9,ISERROR(FIND("-",LEFT(CH73,8))),ISNUMBER(-LEFT(CH73,8))),VALUE(LEFT(CH73,4)),VALUE(LEFT(CH73,FIND("-",CH73)-1)))+2000,IF(AND(LEN(CH73)=9,ISERROR(FIND("-",LEFT(CH73,8))),ISNUMBER(-LEFT(CH73,8))),VALUE(LEFT(CH73,4)),VALUE(LEFT(CH73,FIND("-",CH73)-1)))),""))</f>
        <v/>
      </c>
      <c r="CN73">
        <f>IF(CH73="","",IFERROR(IF(AND(LEN(CH73)=9,ISERROR(FIND("-",LEFT(CH73,8))),ISNUMBER(-LEFT(CH73,8))),VALUE(MID(CH73,5,2)),VALUE(MID(CH73,FIND("-",CH73)+1,FIND("-",CH73,FIND("-",CH73)+1)-FIND("-",CH73)-1))),""))</f>
        <v/>
      </c>
      <c r="CO73">
        <f>IF(CH73="","",IFERROR(IF(AND(LEN(CH73)=9,ISERROR(FIND("-",LEFT(CH73,8))),ISNUMBER(-LEFT(CH73,8))),VALUE(MID(CH73,7,2)),VALUE(MID(CH73,FIND("-",CH73,FIND("-",CH73)+1)+1,FIND("-",CH73,FIND("-",CH73,FIND("-",CH73)+1)+1)-FIND("-",CH73,FIND("-",CH73)+1)-1))),""))</f>
        <v/>
      </c>
    </row>
    <row r="74">
      <c r="A74" t="n">
        <v>34</v>
      </c>
      <c r="B74">
        <f>$B$1+34</f>
        <v/>
      </c>
      <c r="C74">
        <f>$B$2</f>
        <v/>
      </c>
      <c r="D74">
        <f>IF($B$1+1&gt;90,C74,(C74+IF($B$1+1&lt;=$B74,12*$B$7,-12*MAX(0,$B$6-IF($B$1+1&gt;=$B$23,$B$22,0))*(1+$B$4)^1))*IF(C74+IF($B$1+1&lt;=$B74,12*$B$7,-12*MAX(0,$B$6-IF($B$1+1&gt;=$B$23,$B$22,0))*(1+$B$4)^1)&gt;0,1+$B$3,1))</f>
        <v/>
      </c>
      <c r="E74">
        <f>IF($B$1+2&gt;90,D74,(D74+IF($B$1+2&lt;=$B74,12*$B$7,-12*MAX(0,$B$6-IF($B$1+2&gt;=$B$23,$B$22,0))*(1+$B$4)^2))*IF(D74+IF($B$1+2&lt;=$B74,12*$B$7,-12*MAX(0,$B$6-IF($B$1+2&gt;=$B$23,$B$22,0))*(1+$B$4)^2)&gt;0,1+$B$3,1))</f>
        <v/>
      </c>
      <c r="F74">
        <f>IF($B$1+3&gt;90,E74,(E74+IF($B$1+3&lt;=$B74,12*$B$7,-12*MAX(0,$B$6-IF($B$1+3&gt;=$B$23,$B$22,0))*(1+$B$4)^3))*IF(E74+IF($B$1+3&lt;=$B74,12*$B$7,-12*MAX(0,$B$6-IF($B$1+3&gt;=$B$23,$B$22,0))*(1+$B$4)^3)&gt;0,1+$B$3,1))</f>
        <v/>
      </c>
      <c r="G74">
        <f>IF($B$1+4&gt;90,F74,(F74+IF($B$1+4&lt;=$B74,12*$B$7,-12*MAX(0,$B$6-IF($B$1+4&gt;=$B$23,$B$22,0))*(1+$B$4)^4))*IF(F74+IF($B$1+4&lt;=$B74,12*$B$7,-12*MAX(0,$B$6-IF($B$1+4&gt;=$B$23,$B$22,0))*(1+$B$4)^4)&gt;0,1+$B$3,1))</f>
        <v/>
      </c>
      <c r="H74">
        <f>IF($B$1+5&gt;90,G74,(G74+IF($B$1+5&lt;=$B74,12*$B$7,-12*MAX(0,$B$6-IF($B$1+5&gt;=$B$23,$B$22,0))*(1+$B$4)^5))*IF(G74+IF($B$1+5&lt;=$B74,12*$B$7,-12*MAX(0,$B$6-IF($B$1+5&gt;=$B$23,$B$22,0))*(1+$B$4)^5)&gt;0,1+$B$3,1))</f>
        <v/>
      </c>
      <c r="I74">
        <f>IF($B$1+6&gt;90,H74,(H74+IF($B$1+6&lt;=$B74,12*$B$7,-12*MAX(0,$B$6-IF($B$1+6&gt;=$B$23,$B$22,0))*(1+$B$4)^6))*IF(H74+IF($B$1+6&lt;=$B74,12*$B$7,-12*MAX(0,$B$6-IF($B$1+6&gt;=$B$23,$B$22,0))*(1+$B$4)^6)&gt;0,1+$B$3,1))</f>
        <v/>
      </c>
      <c r="J74">
        <f>IF($B$1+7&gt;90,I74,(I74+IF($B$1+7&lt;=$B74,12*$B$7,-12*MAX(0,$B$6-IF($B$1+7&gt;=$B$23,$B$22,0))*(1+$B$4)^7))*IF(I74+IF($B$1+7&lt;=$B74,12*$B$7,-12*MAX(0,$B$6-IF($B$1+7&gt;=$B$23,$B$22,0))*(1+$B$4)^7)&gt;0,1+$B$3,1))</f>
        <v/>
      </c>
      <c r="K74">
        <f>IF($B$1+8&gt;90,J74,(J74+IF($B$1+8&lt;=$B74,12*$B$7,-12*MAX(0,$B$6-IF($B$1+8&gt;=$B$23,$B$22,0))*(1+$B$4)^8))*IF(J74+IF($B$1+8&lt;=$B74,12*$B$7,-12*MAX(0,$B$6-IF($B$1+8&gt;=$B$23,$B$22,0))*(1+$B$4)^8)&gt;0,1+$B$3,1))</f>
        <v/>
      </c>
      <c r="L74">
        <f>IF($B$1+9&gt;90,K74,(K74+IF($B$1+9&lt;=$B74,12*$B$7,-12*MAX(0,$B$6-IF($B$1+9&gt;=$B$23,$B$22,0))*(1+$B$4)^9))*IF(K74+IF($B$1+9&lt;=$B74,12*$B$7,-12*MAX(0,$B$6-IF($B$1+9&gt;=$B$23,$B$22,0))*(1+$B$4)^9)&gt;0,1+$B$3,1))</f>
        <v/>
      </c>
      <c r="M74">
        <f>IF($B$1+10&gt;90,L74,(L74+IF($B$1+10&lt;=$B74,12*$B$7,-12*MAX(0,$B$6-IF($B$1+10&gt;=$B$23,$B$22,0))*(1+$B$4)^10))*IF(L74+IF($B$1+10&lt;=$B74,12*$B$7,-12*MAX(0,$B$6-IF($B$1+10&gt;=$B$23,$B$22,0))*(1+$B$4)^10)&gt;0,1+$B$3,1))</f>
        <v/>
      </c>
      <c r="N74">
        <f>IF($B$1+11&gt;90,M74,(M74+IF($B$1+11&lt;=$B74,12*$B$7,-12*MAX(0,$B$6-IF($B$1+11&gt;=$B$23,$B$22,0))*(1+$B$4)^11))*IF(M74+IF($B$1+11&lt;=$B74,12*$B$7,-12*MAX(0,$B$6-IF($B$1+11&gt;=$B$23,$B$22,0))*(1+$B$4)^11)&gt;0,1+$B$3,1))</f>
        <v/>
      </c>
      <c r="O74">
        <f>IF($B$1+12&gt;90,N74,(N74+IF($B$1+12&lt;=$B74,12*$B$7,-12*MAX(0,$B$6-IF($B$1+12&gt;=$B$23,$B$22,0))*(1+$B$4)^12))*IF(N74+IF($B$1+12&lt;=$B74,12*$B$7,-12*MAX(0,$B$6-IF($B$1+12&gt;=$B$23,$B$22,0))*(1+$B$4)^12)&gt;0,1+$B$3,1))</f>
        <v/>
      </c>
      <c r="P74">
        <f>IF($B$1+13&gt;90,O74,(O74+IF($B$1+13&lt;=$B74,12*$B$7,-12*MAX(0,$B$6-IF($B$1+13&gt;=$B$23,$B$22,0))*(1+$B$4)^13))*IF(O74+IF($B$1+13&lt;=$B74,12*$B$7,-12*MAX(0,$B$6-IF($B$1+13&gt;=$B$23,$B$22,0))*(1+$B$4)^13)&gt;0,1+$B$3,1))</f>
        <v/>
      </c>
      <c r="Q74">
        <f>IF($B$1+14&gt;90,P74,(P74+IF($B$1+14&lt;=$B74,12*$B$7,-12*MAX(0,$B$6-IF($B$1+14&gt;=$B$23,$B$22,0))*(1+$B$4)^14))*IF(P74+IF($B$1+14&lt;=$B74,12*$B$7,-12*MAX(0,$B$6-IF($B$1+14&gt;=$B$23,$B$22,0))*(1+$B$4)^14)&gt;0,1+$B$3,1))</f>
        <v/>
      </c>
      <c r="R74">
        <f>IF($B$1+15&gt;90,Q74,(Q74+IF($B$1+15&lt;=$B74,12*$B$7,-12*MAX(0,$B$6-IF($B$1+15&gt;=$B$23,$B$22,0))*(1+$B$4)^15))*IF(Q74+IF($B$1+15&lt;=$B74,12*$B$7,-12*MAX(0,$B$6-IF($B$1+15&gt;=$B$23,$B$22,0))*(1+$B$4)^15)&gt;0,1+$B$3,1))</f>
        <v/>
      </c>
      <c r="S74">
        <f>IF($B$1+16&gt;90,R74,(R74+IF($B$1+16&lt;=$B74,12*$B$7,-12*MAX(0,$B$6-IF($B$1+16&gt;=$B$23,$B$22,0))*(1+$B$4)^16))*IF(R74+IF($B$1+16&lt;=$B74,12*$B$7,-12*MAX(0,$B$6-IF($B$1+16&gt;=$B$23,$B$22,0))*(1+$B$4)^16)&gt;0,1+$B$3,1))</f>
        <v/>
      </c>
      <c r="T74">
        <f>IF($B$1+17&gt;90,S74,(S74+IF($B$1+17&lt;=$B74,12*$B$7,-12*MAX(0,$B$6-IF($B$1+17&gt;=$B$23,$B$22,0))*(1+$B$4)^17))*IF(S74+IF($B$1+17&lt;=$B74,12*$B$7,-12*MAX(0,$B$6-IF($B$1+17&gt;=$B$23,$B$22,0))*(1+$B$4)^17)&gt;0,1+$B$3,1))</f>
        <v/>
      </c>
      <c r="U74">
        <f>IF($B$1+18&gt;90,T74,(T74+IF($B$1+18&lt;=$B74,12*$B$7,-12*MAX(0,$B$6-IF($B$1+18&gt;=$B$23,$B$22,0))*(1+$B$4)^18))*IF(T74+IF($B$1+18&lt;=$B74,12*$B$7,-12*MAX(0,$B$6-IF($B$1+18&gt;=$B$23,$B$22,0))*(1+$B$4)^18)&gt;0,1+$B$3,1))</f>
        <v/>
      </c>
      <c r="V74">
        <f>IF($B$1+19&gt;90,U74,(U74+IF($B$1+19&lt;=$B74,12*$B$7,-12*MAX(0,$B$6-IF($B$1+19&gt;=$B$23,$B$22,0))*(1+$B$4)^19))*IF(U74+IF($B$1+19&lt;=$B74,12*$B$7,-12*MAX(0,$B$6-IF($B$1+19&gt;=$B$23,$B$22,0))*(1+$B$4)^19)&gt;0,1+$B$3,1))</f>
        <v/>
      </c>
      <c r="W74">
        <f>IF($B$1+20&gt;90,V74,(V74+IF($B$1+20&lt;=$B74,12*$B$7,-12*MAX(0,$B$6-IF($B$1+20&gt;=$B$23,$B$22,0))*(1+$B$4)^20))*IF(V74+IF($B$1+20&lt;=$B74,12*$B$7,-12*MAX(0,$B$6-IF($B$1+20&gt;=$B$23,$B$22,0))*(1+$B$4)^20)&gt;0,1+$B$3,1))</f>
        <v/>
      </c>
      <c r="X74">
        <f>IF($B$1+21&gt;90,W74,(W74+IF($B$1+21&lt;=$B74,12*$B$7,-12*MAX(0,$B$6-IF($B$1+21&gt;=$B$23,$B$22,0))*(1+$B$4)^21))*IF(W74+IF($B$1+21&lt;=$B74,12*$B$7,-12*MAX(0,$B$6-IF($B$1+21&gt;=$B$23,$B$22,0))*(1+$B$4)^21)&gt;0,1+$B$3,1))</f>
        <v/>
      </c>
      <c r="Y74">
        <f>IF($B$1+22&gt;90,X74,(X74+IF($B$1+22&lt;=$B74,12*$B$7,-12*MAX(0,$B$6-IF($B$1+22&gt;=$B$23,$B$22,0))*(1+$B$4)^22))*IF(X74+IF($B$1+22&lt;=$B74,12*$B$7,-12*MAX(0,$B$6-IF($B$1+22&gt;=$B$23,$B$22,0))*(1+$B$4)^22)&gt;0,1+$B$3,1))</f>
        <v/>
      </c>
      <c r="Z74">
        <f>IF($B$1+23&gt;90,Y74,(Y74+IF($B$1+23&lt;=$B74,12*$B$7,-12*MAX(0,$B$6-IF($B$1+23&gt;=$B$23,$B$22,0))*(1+$B$4)^23))*IF(Y74+IF($B$1+23&lt;=$B74,12*$B$7,-12*MAX(0,$B$6-IF($B$1+23&gt;=$B$23,$B$22,0))*(1+$B$4)^23)&gt;0,1+$B$3,1))</f>
        <v/>
      </c>
      <c r="AA74">
        <f>IF($B$1+24&gt;90,Z74,(Z74+IF($B$1+24&lt;=$B74,12*$B$7,-12*MAX(0,$B$6-IF($B$1+24&gt;=$B$23,$B$22,0))*(1+$B$4)^24))*IF(Z74+IF($B$1+24&lt;=$B74,12*$B$7,-12*MAX(0,$B$6-IF($B$1+24&gt;=$B$23,$B$22,0))*(1+$B$4)^24)&gt;0,1+$B$3,1))</f>
        <v/>
      </c>
      <c r="AB74">
        <f>IF($B$1+25&gt;90,AA74,(AA74+IF($B$1+25&lt;=$B74,12*$B$7,-12*MAX(0,$B$6-IF($B$1+25&gt;=$B$23,$B$22,0))*(1+$B$4)^25))*IF(AA74+IF($B$1+25&lt;=$B74,12*$B$7,-12*MAX(0,$B$6-IF($B$1+25&gt;=$B$23,$B$22,0))*(1+$B$4)^25)&gt;0,1+$B$3,1))</f>
        <v/>
      </c>
      <c r="AC74">
        <f>IF($B$1+26&gt;90,AB74,(AB74+IF($B$1+26&lt;=$B74,12*$B$7,-12*MAX(0,$B$6-IF($B$1+26&gt;=$B$23,$B$22,0))*(1+$B$4)^26))*IF(AB74+IF($B$1+26&lt;=$B74,12*$B$7,-12*MAX(0,$B$6-IF($B$1+26&gt;=$B$23,$B$22,0))*(1+$B$4)^26)&gt;0,1+$B$3,1))</f>
        <v/>
      </c>
      <c r="AD74">
        <f>IF($B$1+27&gt;90,AC74,(AC74+IF($B$1+27&lt;=$B74,12*$B$7,-12*MAX(0,$B$6-IF($B$1+27&gt;=$B$23,$B$22,0))*(1+$B$4)^27))*IF(AC74+IF($B$1+27&lt;=$B74,12*$B$7,-12*MAX(0,$B$6-IF($B$1+27&gt;=$B$23,$B$22,0))*(1+$B$4)^27)&gt;0,1+$B$3,1))</f>
        <v/>
      </c>
      <c r="AE74">
        <f>IF($B$1+28&gt;90,AD74,(AD74+IF($B$1+28&lt;=$B74,12*$B$7,-12*MAX(0,$B$6-IF($B$1+28&gt;=$B$23,$B$22,0))*(1+$B$4)^28))*IF(AD74+IF($B$1+28&lt;=$B74,12*$B$7,-12*MAX(0,$B$6-IF($B$1+28&gt;=$B$23,$B$22,0))*(1+$B$4)^28)&gt;0,1+$B$3,1))</f>
        <v/>
      </c>
      <c r="AF74">
        <f>IF($B$1+29&gt;90,AE74,(AE74+IF($B$1+29&lt;=$B74,12*$B$7,-12*MAX(0,$B$6-IF($B$1+29&gt;=$B$23,$B$22,0))*(1+$B$4)^29))*IF(AE74+IF($B$1+29&lt;=$B74,12*$B$7,-12*MAX(0,$B$6-IF($B$1+29&gt;=$B$23,$B$22,0))*(1+$B$4)^29)&gt;0,1+$B$3,1))</f>
        <v/>
      </c>
      <c r="AG74">
        <f>IF($B$1+30&gt;90,AF74,(AF74+IF($B$1+30&lt;=$B74,12*$B$7,-12*MAX(0,$B$6-IF($B$1+30&gt;=$B$23,$B$22,0))*(1+$B$4)^30))*IF(AF74+IF($B$1+30&lt;=$B74,12*$B$7,-12*MAX(0,$B$6-IF($B$1+30&gt;=$B$23,$B$22,0))*(1+$B$4)^30)&gt;0,1+$B$3,1))</f>
        <v/>
      </c>
      <c r="AH74">
        <f>IF($B$1+31&gt;90,AG74,(AG74+IF($B$1+31&lt;=$B74,12*$B$7,-12*MAX(0,$B$6-IF($B$1+31&gt;=$B$23,$B$22,0))*(1+$B$4)^31))*IF(AG74+IF($B$1+31&lt;=$B74,12*$B$7,-12*MAX(0,$B$6-IF($B$1+31&gt;=$B$23,$B$22,0))*(1+$B$4)^31)&gt;0,1+$B$3,1))</f>
        <v/>
      </c>
      <c r="AI74">
        <f>IF($B$1+32&gt;90,AH74,(AH74+IF($B$1+32&lt;=$B74,12*$B$7,-12*MAX(0,$B$6-IF($B$1+32&gt;=$B$23,$B$22,0))*(1+$B$4)^32))*IF(AH74+IF($B$1+32&lt;=$B74,12*$B$7,-12*MAX(0,$B$6-IF($B$1+32&gt;=$B$23,$B$22,0))*(1+$B$4)^32)&gt;0,1+$B$3,1))</f>
        <v/>
      </c>
      <c r="AJ74">
        <f>IF($B$1+33&gt;90,AI74,(AI74+IF($B$1+33&lt;=$B74,12*$B$7,-12*MAX(0,$B$6-IF($B$1+33&gt;=$B$23,$B$22,0))*(1+$B$4)^33))*IF(AI74+IF($B$1+33&lt;=$B74,12*$B$7,-12*MAX(0,$B$6-IF($B$1+33&gt;=$B$23,$B$22,0))*(1+$B$4)^33)&gt;0,1+$B$3,1))</f>
        <v/>
      </c>
      <c r="AK74">
        <f>IF($B$1+34&gt;90,AJ74,(AJ74+IF($B$1+34&lt;=$B74,12*$B$7,-12*MAX(0,$B$6-IF($B$1+34&gt;=$B$23,$B$22,0))*(1+$B$4)^34))*IF(AJ74+IF($B$1+34&lt;=$B74,12*$B$7,-12*MAX(0,$B$6-IF($B$1+34&gt;=$B$23,$B$22,0))*(1+$B$4)^34)&gt;0,1+$B$3,1))</f>
        <v/>
      </c>
      <c r="AL74">
        <f>IF($B$1+35&gt;90,AK74,(AK74+IF($B$1+35&lt;=$B74,12*$B$7,-12*MAX(0,$B$6-IF($B$1+35&gt;=$B$23,$B$22,0))*(1+$B$4)^35))*IF(AK74+IF($B$1+35&lt;=$B74,12*$B$7,-12*MAX(0,$B$6-IF($B$1+35&gt;=$B$23,$B$22,0))*(1+$B$4)^35)&gt;0,1+$B$3,1))</f>
        <v/>
      </c>
      <c r="AM74">
        <f>IF($B$1+36&gt;90,AL74,(AL74+IF($B$1+36&lt;=$B74,12*$B$7,-12*MAX(0,$B$6-IF($B$1+36&gt;=$B$23,$B$22,0))*(1+$B$4)^36))*IF(AL74+IF($B$1+36&lt;=$B74,12*$B$7,-12*MAX(0,$B$6-IF($B$1+36&gt;=$B$23,$B$22,0))*(1+$B$4)^36)&gt;0,1+$B$3,1))</f>
        <v/>
      </c>
      <c r="AN74">
        <f>IF($B$1+37&gt;90,AM74,(AM74+IF($B$1+37&lt;=$B74,12*$B$7,-12*MAX(0,$B$6-IF($B$1+37&gt;=$B$23,$B$22,0))*(1+$B$4)^37))*IF(AM74+IF($B$1+37&lt;=$B74,12*$B$7,-12*MAX(0,$B$6-IF($B$1+37&gt;=$B$23,$B$22,0))*(1+$B$4)^37)&gt;0,1+$B$3,1))</f>
        <v/>
      </c>
      <c r="AO74">
        <f>IF($B$1+38&gt;90,AN74,(AN74+IF($B$1+38&lt;=$B74,12*$B$7,-12*MAX(0,$B$6-IF($B$1+38&gt;=$B$23,$B$22,0))*(1+$B$4)^38))*IF(AN74+IF($B$1+38&lt;=$B74,12*$B$7,-12*MAX(0,$B$6-IF($B$1+38&gt;=$B$23,$B$22,0))*(1+$B$4)^38)&gt;0,1+$B$3,1))</f>
        <v/>
      </c>
      <c r="AP74">
        <f>IF($B$1+39&gt;90,AO74,(AO74+IF($B$1+39&lt;=$B74,12*$B$7,-12*MAX(0,$B$6-IF($B$1+39&gt;=$B$23,$B$22,0))*(1+$B$4)^39))*IF(AO74+IF($B$1+39&lt;=$B74,12*$B$7,-12*MAX(0,$B$6-IF($B$1+39&gt;=$B$23,$B$22,0))*(1+$B$4)^39)&gt;0,1+$B$3,1))</f>
        <v/>
      </c>
      <c r="AQ74">
        <f>IF($B$1+40&gt;90,AP74,(AP74+IF($B$1+40&lt;=$B74,12*$B$7,-12*MAX(0,$B$6-IF($B$1+40&gt;=$B$23,$B$22,0))*(1+$B$4)^40))*IF(AP74+IF($B$1+40&lt;=$B74,12*$B$7,-12*MAX(0,$B$6-IF($B$1+40&gt;=$B$23,$B$22,0))*(1+$B$4)^40)&gt;0,1+$B$3,1))</f>
        <v/>
      </c>
      <c r="AR74">
        <f>IF($B$1+41&gt;90,AQ74,(AQ74+IF($B$1+41&lt;=$B74,12*$B$7,-12*MAX(0,$B$6-IF($B$1+41&gt;=$B$23,$B$22,0))*(1+$B$4)^41))*IF(AQ74+IF($B$1+41&lt;=$B74,12*$B$7,-12*MAX(0,$B$6-IF($B$1+41&gt;=$B$23,$B$22,0))*(1+$B$4)^41)&gt;0,1+$B$3,1))</f>
        <v/>
      </c>
      <c r="AS74">
        <f>IF($B$1+42&gt;90,AR74,(AR74+IF($B$1+42&lt;=$B74,12*$B$7,-12*MAX(0,$B$6-IF($B$1+42&gt;=$B$23,$B$22,0))*(1+$B$4)^42))*IF(AR74+IF($B$1+42&lt;=$B74,12*$B$7,-12*MAX(0,$B$6-IF($B$1+42&gt;=$B$23,$B$22,0))*(1+$B$4)^42)&gt;0,1+$B$3,1))</f>
        <v/>
      </c>
      <c r="AT74">
        <f>IF($B$1+43&gt;90,AS74,(AS74+IF($B$1+43&lt;=$B74,12*$B$7,-12*MAX(0,$B$6-IF($B$1+43&gt;=$B$23,$B$22,0))*(1+$B$4)^43))*IF(AS74+IF($B$1+43&lt;=$B74,12*$B$7,-12*MAX(0,$B$6-IF($B$1+43&gt;=$B$23,$B$22,0))*(1+$B$4)^43)&gt;0,1+$B$3,1))</f>
        <v/>
      </c>
      <c r="AU74">
        <f>IF($B$1+44&gt;90,AT74,(AT74+IF($B$1+44&lt;=$B74,12*$B$7,-12*MAX(0,$B$6-IF($B$1+44&gt;=$B$23,$B$22,0))*(1+$B$4)^44))*IF(AT74+IF($B$1+44&lt;=$B74,12*$B$7,-12*MAX(0,$B$6-IF($B$1+44&gt;=$B$23,$B$22,0))*(1+$B$4)^44)&gt;0,1+$B$3,1))</f>
        <v/>
      </c>
      <c r="AV74">
        <f>IF($B$1+45&gt;90,AU74,(AU74+IF($B$1+45&lt;=$B74,12*$B$7,-12*MAX(0,$B$6-IF($B$1+45&gt;=$B$23,$B$22,0))*(1+$B$4)^45))*IF(AU74+IF($B$1+45&lt;=$B74,12*$B$7,-12*MAX(0,$B$6-IF($B$1+45&gt;=$B$23,$B$22,0))*(1+$B$4)^45)&gt;0,1+$B$3,1))</f>
        <v/>
      </c>
      <c r="AW74">
        <f>IF($B$1+46&gt;90,AV74,(AV74+IF($B$1+46&lt;=$B74,12*$B$7,-12*MAX(0,$B$6-IF($B$1+46&gt;=$B$23,$B$22,0))*(1+$B$4)^46))*IF(AV74+IF($B$1+46&lt;=$B74,12*$B$7,-12*MAX(0,$B$6-IF($B$1+46&gt;=$B$23,$B$22,0))*(1+$B$4)^46)&gt;0,1+$B$3,1))</f>
        <v/>
      </c>
      <c r="AX74">
        <f>IF($B$1+47&gt;90,AW74,(AW74+IF($B$1+47&lt;=$B74,12*$B$7,-12*MAX(0,$B$6-IF($B$1+47&gt;=$B$23,$B$22,0))*(1+$B$4)^47))*IF(AW74+IF($B$1+47&lt;=$B74,12*$B$7,-12*MAX(0,$B$6-IF($B$1+47&gt;=$B$23,$B$22,0))*(1+$B$4)^47)&gt;0,1+$B$3,1))</f>
        <v/>
      </c>
      <c r="AY74">
        <f>IF($B$1+48&gt;90,AX74,(AX74+IF($B$1+48&lt;=$B74,12*$B$7,-12*MAX(0,$B$6-IF($B$1+48&gt;=$B$23,$B$22,0))*(1+$B$4)^48))*IF(AX74+IF($B$1+48&lt;=$B74,12*$B$7,-12*MAX(0,$B$6-IF($B$1+48&gt;=$B$23,$B$22,0))*(1+$B$4)^48)&gt;0,1+$B$3,1))</f>
        <v/>
      </c>
      <c r="AZ74">
        <f>IF($B$1+49&gt;90,AY74,(AY74+IF($B$1+49&lt;=$B74,12*$B$7,-12*MAX(0,$B$6-IF($B$1+49&gt;=$B$23,$B$22,0))*(1+$B$4)^49))*IF(AY74+IF($B$1+49&lt;=$B74,12*$B$7,-12*MAX(0,$B$6-IF($B$1+49&gt;=$B$23,$B$22,0))*(1+$B$4)^49)&gt;0,1+$B$3,1))</f>
        <v/>
      </c>
      <c r="BA74">
        <f>IF($B$1+50&gt;90,AZ74,(AZ74+IF($B$1+50&lt;=$B74,12*$B$7,-12*MAX(0,$B$6-IF($B$1+50&gt;=$B$23,$B$22,0))*(1+$B$4)^50))*IF(AZ74+IF($B$1+50&lt;=$B74,12*$B$7,-12*MAX(0,$B$6-IF($B$1+50&gt;=$B$23,$B$22,0))*(1+$B$4)^50)&gt;0,1+$B$3,1))</f>
        <v/>
      </c>
      <c r="BB74">
        <f>IF($B$1+51&gt;90,BA74,(BA74+IF($B$1+51&lt;=$B74,12*$B$7,-12*MAX(0,$B$6-IF($B$1+51&gt;=$B$23,$B$22,0))*(1+$B$4)^51))*IF(BA74+IF($B$1+51&lt;=$B74,12*$B$7,-12*MAX(0,$B$6-IF($B$1+51&gt;=$B$23,$B$22,0))*(1+$B$4)^51)&gt;0,1+$B$3,1))</f>
        <v/>
      </c>
      <c r="BC74">
        <f>IF($B$1+52&gt;90,BB74,(BB74+IF($B$1+52&lt;=$B74,12*$B$7,-12*MAX(0,$B$6-IF($B$1+52&gt;=$B$23,$B$22,0))*(1+$B$4)^52))*IF(BB74+IF($B$1+52&lt;=$B74,12*$B$7,-12*MAX(0,$B$6-IF($B$1+52&gt;=$B$23,$B$22,0))*(1+$B$4)^52)&gt;0,1+$B$3,1))</f>
        <v/>
      </c>
      <c r="BD74">
        <f>IF($B$1+53&gt;90,BC74,(BC74+IF($B$1+53&lt;=$B74,12*$B$7,-12*MAX(0,$B$6-IF($B$1+53&gt;=$B$23,$B$22,0))*(1+$B$4)^53))*IF(BC74+IF($B$1+53&lt;=$B74,12*$B$7,-12*MAX(0,$B$6-IF($B$1+53&gt;=$B$23,$B$22,0))*(1+$B$4)^53)&gt;0,1+$B$3,1))</f>
        <v/>
      </c>
      <c r="BE74">
        <f>IF($B$1+54&gt;90,BD74,(BD74+IF($B$1+54&lt;=$B74,12*$B$7,-12*MAX(0,$B$6-IF($B$1+54&gt;=$B$23,$B$22,0))*(1+$B$4)^54))*IF(BD74+IF($B$1+54&lt;=$B74,12*$B$7,-12*MAX(0,$B$6-IF($B$1+54&gt;=$B$23,$B$22,0))*(1+$B$4)^54)&gt;0,1+$B$3,1))</f>
        <v/>
      </c>
      <c r="BF74">
        <f>IF($B$1+55&gt;90,BE74,(BE74+IF($B$1+55&lt;=$B74,12*$B$7,-12*MAX(0,$B$6-IF($B$1+55&gt;=$B$23,$B$22,0))*(1+$B$4)^55))*IF(BE74+IF($B$1+55&lt;=$B74,12*$B$7,-12*MAX(0,$B$6-IF($B$1+55&gt;=$B$23,$B$22,0))*(1+$B$4)^55)&gt;0,1+$B$3,1))</f>
        <v/>
      </c>
      <c r="BG74">
        <f>IF($B$1+56&gt;90,BF74,(BF74+IF($B$1+56&lt;=$B74,12*$B$7,-12*MAX(0,$B$6-IF($B$1+56&gt;=$B$23,$B$22,0))*(1+$B$4)^56))*IF(BF74+IF($B$1+56&lt;=$B74,12*$B$7,-12*MAX(0,$B$6-IF($B$1+56&gt;=$B$23,$B$22,0))*(1+$B$4)^56)&gt;0,1+$B$3,1))</f>
        <v/>
      </c>
      <c r="BH74">
        <f>IF($B$1+57&gt;90,BG74,(BG74+IF($B$1+57&lt;=$B74,12*$B$7,-12*MAX(0,$B$6-IF($B$1+57&gt;=$B$23,$B$22,0))*(1+$B$4)^57))*IF(BG74+IF($B$1+57&lt;=$B74,12*$B$7,-12*MAX(0,$B$6-IF($B$1+57&gt;=$B$23,$B$22,0))*(1+$B$4)^57)&gt;0,1+$B$3,1))</f>
        <v/>
      </c>
      <c r="BI74">
        <f>IF($B$1+58&gt;90,BH74,(BH74+IF($B$1+58&lt;=$B74,12*$B$7,-12*MAX(0,$B$6-IF($B$1+58&gt;=$B$23,$B$22,0))*(1+$B$4)^58))*IF(BH74+IF($B$1+58&lt;=$B74,12*$B$7,-12*MAX(0,$B$6-IF($B$1+58&gt;=$B$23,$B$22,0))*(1+$B$4)^58)&gt;0,1+$B$3,1))</f>
        <v/>
      </c>
      <c r="BJ74">
        <f>IF($B$1+59&gt;90,BI74,(BI74+IF($B$1+59&lt;=$B74,12*$B$7,-12*MAX(0,$B$6-IF($B$1+59&gt;=$B$23,$B$22,0))*(1+$B$4)^59))*IF(BI74+IF($B$1+59&lt;=$B74,12*$B$7,-12*MAX(0,$B$6-IF($B$1+59&gt;=$B$23,$B$22,0))*(1+$B$4)^59)&gt;0,1+$B$3,1))</f>
        <v/>
      </c>
      <c r="BK74">
        <f>IF($B$1+60&gt;90,BJ74,(BJ74+IF($B$1+60&lt;=$B74,12*$B$7,-12*MAX(0,$B$6-IF($B$1+60&gt;=$B$23,$B$22,0))*(1+$B$4)^60))*IF(BJ74+IF($B$1+60&lt;=$B74,12*$B$7,-12*MAX(0,$B$6-IF($B$1+60&gt;=$B$23,$B$22,0))*(1+$B$4)^60)&gt;0,1+$B$3,1))</f>
        <v/>
      </c>
      <c r="BL74">
        <f>IF($B$1+61&gt;90,BK74,(BK74+IF($B$1+61&lt;=$B74,12*$B$7,-12*MAX(0,$B$6-IF($B$1+61&gt;=$B$23,$B$22,0))*(1+$B$4)^61))*IF(BK74+IF($B$1+61&lt;=$B74,12*$B$7,-12*MAX(0,$B$6-IF($B$1+61&gt;=$B$23,$B$22,0))*(1+$B$4)^61)&gt;0,1+$B$3,1))</f>
        <v/>
      </c>
      <c r="BM74">
        <f>IF($B$1+62&gt;90,BL74,(BL74+IF($B$1+62&lt;=$B74,12*$B$7,-12*MAX(0,$B$6-IF($B$1+62&gt;=$B$23,$B$22,0))*(1+$B$4)^62))*IF(BL74+IF($B$1+62&lt;=$B74,12*$B$7,-12*MAX(0,$B$6-IF($B$1+62&gt;=$B$23,$B$22,0))*(1+$B$4)^62)&gt;0,1+$B$3,1))</f>
        <v/>
      </c>
      <c r="BN74">
        <f>IF($B$1+63&gt;90,BM74,(BM74+IF($B$1+63&lt;=$B74,12*$B$7,-12*MAX(0,$B$6-IF($B$1+63&gt;=$B$23,$B$22,0))*(1+$B$4)^63))*IF(BM74+IF($B$1+63&lt;=$B74,12*$B$7,-12*MAX(0,$B$6-IF($B$1+63&gt;=$B$23,$B$22,0))*(1+$B$4)^63)&gt;0,1+$B$3,1))</f>
        <v/>
      </c>
      <c r="BO74">
        <f>IF($B$1+64&gt;90,BN74,(BN74+IF($B$1+64&lt;=$B74,12*$B$7,-12*MAX(0,$B$6-IF($B$1+64&gt;=$B$23,$B$22,0))*(1+$B$4)^64))*IF(BN74+IF($B$1+64&lt;=$B74,12*$B$7,-12*MAX(0,$B$6-IF($B$1+64&gt;=$B$23,$B$22,0))*(1+$B$4)^64)&gt;0,1+$B$3,1))</f>
        <v/>
      </c>
      <c r="BP74">
        <f>IF($B$1+65&gt;90,BO74,(BO74+IF($B$1+65&lt;=$B74,12*$B$7,-12*MAX(0,$B$6-IF($B$1+65&gt;=$B$23,$B$22,0))*(1+$B$4)^65))*IF(BO74+IF($B$1+65&lt;=$B74,12*$B$7,-12*MAX(0,$B$6-IF($B$1+65&gt;=$B$23,$B$22,0))*(1+$B$4)^65)&gt;0,1+$B$3,1))</f>
        <v/>
      </c>
      <c r="BQ74">
        <f>IF($B$1+66&gt;90,BP74,(BP74+IF($B$1+66&lt;=$B74,12*$B$7,-12*MAX(0,$B$6-IF($B$1+66&gt;=$B$23,$B$22,0))*(1+$B$4)^66))*IF(BP74+IF($B$1+66&lt;=$B74,12*$B$7,-12*MAX(0,$B$6-IF($B$1+66&gt;=$B$23,$B$22,0))*(1+$B$4)^66)&gt;0,1+$B$3,1))</f>
        <v/>
      </c>
      <c r="BR74">
        <f>IF($B$1+67&gt;90,BQ74,(BQ74+IF($B$1+67&lt;=$B74,12*$B$7,-12*MAX(0,$B$6-IF($B$1+67&gt;=$B$23,$B$22,0))*(1+$B$4)^67))*IF(BQ74+IF($B$1+67&lt;=$B74,12*$B$7,-12*MAX(0,$B$6-IF($B$1+67&gt;=$B$23,$B$22,0))*(1+$B$4)^67)&gt;0,1+$B$3,1))</f>
        <v/>
      </c>
      <c r="BS74">
        <f>IF($B$1+68&gt;90,BR74,(BR74+IF($B$1+68&lt;=$B74,12*$B$7,-12*MAX(0,$B$6-IF($B$1+68&gt;=$B$23,$B$22,0))*(1+$B$4)^68))*IF(BR74+IF($B$1+68&lt;=$B74,12*$B$7,-12*MAX(0,$B$6-IF($B$1+68&gt;=$B$23,$B$22,0))*(1+$B$4)^68)&gt;0,1+$B$3,1))</f>
        <v/>
      </c>
      <c r="BT74">
        <f>IF($B$1+69&gt;90,BS74,(BS74+IF($B$1+69&lt;=$B74,12*$B$7,-12*MAX(0,$B$6-IF($B$1+69&gt;=$B$23,$B$22,0))*(1+$B$4)^69))*IF(BS74+IF($B$1+69&lt;=$B74,12*$B$7,-12*MAX(0,$B$6-IF($B$1+69&gt;=$B$23,$B$22,0))*(1+$B$4)^69)&gt;0,1+$B$3,1))</f>
        <v/>
      </c>
      <c r="BU74">
        <f>IF($B$1+70&gt;90,BT74,(BT74+IF($B$1+70&lt;=$B74,12*$B$7,-12*MAX(0,$B$6-IF($B$1+70&gt;=$B$23,$B$22,0))*(1+$B$4)^70))*IF(BT74+IF($B$1+70&lt;=$B74,12*$B$7,-12*MAX(0,$B$6-IF($B$1+70&gt;=$B$23,$B$22,0))*(1+$B$4)^70)&gt;0,1+$B$3,1))</f>
        <v/>
      </c>
      <c r="BV74">
        <f>BU74</f>
        <v/>
      </c>
      <c r="BW74">
        <f>IF(AND($B74&lt;=70,BV74&gt;0),$B74,999)</f>
        <v/>
      </c>
      <c r="CH74">
        <f>IF(ISTEXT('월 가계부'!A74),SUBSTITUTE(SUBSTITUTE(SUBSTITUTE(SUBSTITUTE(SUBSTITUTE(SUBSTITUTE(SUBSTITUTE(SUBSTITUTE(SUBSTITUTE(TRIM('월 가계부'!A74),"년","-"),"월","-"),"일",""),".","-"),"/","-")," ","-"),"--","-"),"--","-"),"--","-")&amp;"-","")</f>
        <v/>
      </c>
      <c r="CI74">
        <f>IFERROR(IF('월 가계부'!A74="","",IF(ISNUMBER('월 가계부'!A74),IF(AND('월 가계부'!A74&gt;=19000101,'월 가계부'!A74&lt;=21001231),IF(AND(MOD(INT('월 가계부'!A74/100),100)&gt;=1,MOD(INT('월 가계부'!A74/100),100)&lt;=12,MOD(INT('월 가계부'!A74),100)&gt;=1,MOD(INT('월 가계부'!A74),100)&lt;=31),IF(MONTH(DATE(INT('월 가계부'!A74/10000),MOD(INT('월 가계부'!A74/100),100),MOD(INT('월 가계부'!A74),100)))=MOD(INT('월 가계부'!A74/100),100),DATE(INT('월 가계부'!A74/10000),MOD(INT('월 가계부'!A74/100),100),MOD(INT('월 가계부'!A74),100)),""),""),IF(AND('월 가계부'!A74&gt;=36526,'월 가계부'!A74&lt;73051),INT('월 가계부'!A74),"")),IF(OR(CM74="",CN74="",CO74=""),"",IF(AND(CM74&gt;=2000,CM74&lt;=2099,CN74&gt;=1,CN74&lt;=12,CO74&gt;=1,CO74&lt;=31),IF(MONTH(DATE(CM74,CN74,CO74))=CN74,DATE(CM74,CN74,CO74),""),"")))),"")</f>
        <v/>
      </c>
      <c r="CJ74">
        <f>IFERROR(IF('월 가계부'!C74="","",IF(ISNUMBER('월 가계부'!C74),'월 가계부'!C74,VALUE(SUBSTITUTE(SUBSTITUTE(SUBSTITUTE(SUBSTITUTE(TRIM('월 가계부'!C74),",",""),"원","")," ",""),"−","-")))),"")</f>
        <v/>
      </c>
      <c r="CK74">
        <f>IF(ISNUMBER(CI74),IF(CI74&lt;$B$13,CI74,""),"")</f>
        <v/>
      </c>
      <c r="CM74">
        <f>IF(CH74="","",IFERROR(IF(IF(AND(LEN(CH74)=9,ISERROR(FIND("-",LEFT(CH74,8))),ISNUMBER(-LEFT(CH74,8))),VALUE(LEFT(CH74,4)),VALUE(LEFT(CH74,FIND("-",CH74)-1)))&lt;100,IF(AND(LEN(CH74)=9,ISERROR(FIND("-",LEFT(CH74,8))),ISNUMBER(-LEFT(CH74,8))),VALUE(LEFT(CH74,4)),VALUE(LEFT(CH74,FIND("-",CH74)-1)))+2000,IF(AND(LEN(CH74)=9,ISERROR(FIND("-",LEFT(CH74,8))),ISNUMBER(-LEFT(CH74,8))),VALUE(LEFT(CH74,4)),VALUE(LEFT(CH74,FIND("-",CH74)-1)))),""))</f>
        <v/>
      </c>
      <c r="CN74">
        <f>IF(CH74="","",IFERROR(IF(AND(LEN(CH74)=9,ISERROR(FIND("-",LEFT(CH74,8))),ISNUMBER(-LEFT(CH74,8))),VALUE(MID(CH74,5,2)),VALUE(MID(CH74,FIND("-",CH74)+1,FIND("-",CH74,FIND("-",CH74)+1)-FIND("-",CH74)-1))),""))</f>
        <v/>
      </c>
      <c r="CO74">
        <f>IF(CH74="","",IFERROR(IF(AND(LEN(CH74)=9,ISERROR(FIND("-",LEFT(CH74,8))),ISNUMBER(-LEFT(CH74,8))),VALUE(MID(CH74,7,2)),VALUE(MID(CH74,FIND("-",CH74,FIND("-",CH74)+1)+1,FIND("-",CH74,FIND("-",CH74,FIND("-",CH74)+1)+1)-FIND("-",CH74,FIND("-",CH74)+1)-1))),""))</f>
        <v/>
      </c>
    </row>
    <row r="75">
      <c r="A75" t="n">
        <v>35</v>
      </c>
      <c r="B75">
        <f>$B$1+35</f>
        <v/>
      </c>
      <c r="C75">
        <f>$B$2</f>
        <v/>
      </c>
      <c r="D75">
        <f>IF($B$1+1&gt;90,C75,(C75+IF($B$1+1&lt;=$B75,12*$B$7,-12*MAX(0,$B$6-IF($B$1+1&gt;=$B$23,$B$22,0))*(1+$B$4)^1))*IF(C75+IF($B$1+1&lt;=$B75,12*$B$7,-12*MAX(0,$B$6-IF($B$1+1&gt;=$B$23,$B$22,0))*(1+$B$4)^1)&gt;0,1+$B$3,1))</f>
        <v/>
      </c>
      <c r="E75">
        <f>IF($B$1+2&gt;90,D75,(D75+IF($B$1+2&lt;=$B75,12*$B$7,-12*MAX(0,$B$6-IF($B$1+2&gt;=$B$23,$B$22,0))*(1+$B$4)^2))*IF(D75+IF($B$1+2&lt;=$B75,12*$B$7,-12*MAX(0,$B$6-IF($B$1+2&gt;=$B$23,$B$22,0))*(1+$B$4)^2)&gt;0,1+$B$3,1))</f>
        <v/>
      </c>
      <c r="F75">
        <f>IF($B$1+3&gt;90,E75,(E75+IF($B$1+3&lt;=$B75,12*$B$7,-12*MAX(0,$B$6-IF($B$1+3&gt;=$B$23,$B$22,0))*(1+$B$4)^3))*IF(E75+IF($B$1+3&lt;=$B75,12*$B$7,-12*MAX(0,$B$6-IF($B$1+3&gt;=$B$23,$B$22,0))*(1+$B$4)^3)&gt;0,1+$B$3,1))</f>
        <v/>
      </c>
      <c r="G75">
        <f>IF($B$1+4&gt;90,F75,(F75+IF($B$1+4&lt;=$B75,12*$B$7,-12*MAX(0,$B$6-IF($B$1+4&gt;=$B$23,$B$22,0))*(1+$B$4)^4))*IF(F75+IF($B$1+4&lt;=$B75,12*$B$7,-12*MAX(0,$B$6-IF($B$1+4&gt;=$B$23,$B$22,0))*(1+$B$4)^4)&gt;0,1+$B$3,1))</f>
        <v/>
      </c>
      <c r="H75">
        <f>IF($B$1+5&gt;90,G75,(G75+IF($B$1+5&lt;=$B75,12*$B$7,-12*MAX(0,$B$6-IF($B$1+5&gt;=$B$23,$B$22,0))*(1+$B$4)^5))*IF(G75+IF($B$1+5&lt;=$B75,12*$B$7,-12*MAX(0,$B$6-IF($B$1+5&gt;=$B$23,$B$22,0))*(1+$B$4)^5)&gt;0,1+$B$3,1))</f>
        <v/>
      </c>
      <c r="I75">
        <f>IF($B$1+6&gt;90,H75,(H75+IF($B$1+6&lt;=$B75,12*$B$7,-12*MAX(0,$B$6-IF($B$1+6&gt;=$B$23,$B$22,0))*(1+$B$4)^6))*IF(H75+IF($B$1+6&lt;=$B75,12*$B$7,-12*MAX(0,$B$6-IF($B$1+6&gt;=$B$23,$B$22,0))*(1+$B$4)^6)&gt;0,1+$B$3,1))</f>
        <v/>
      </c>
      <c r="J75">
        <f>IF($B$1+7&gt;90,I75,(I75+IF($B$1+7&lt;=$B75,12*$B$7,-12*MAX(0,$B$6-IF($B$1+7&gt;=$B$23,$B$22,0))*(1+$B$4)^7))*IF(I75+IF($B$1+7&lt;=$B75,12*$B$7,-12*MAX(0,$B$6-IF($B$1+7&gt;=$B$23,$B$22,0))*(1+$B$4)^7)&gt;0,1+$B$3,1))</f>
        <v/>
      </c>
      <c r="K75">
        <f>IF($B$1+8&gt;90,J75,(J75+IF($B$1+8&lt;=$B75,12*$B$7,-12*MAX(0,$B$6-IF($B$1+8&gt;=$B$23,$B$22,0))*(1+$B$4)^8))*IF(J75+IF($B$1+8&lt;=$B75,12*$B$7,-12*MAX(0,$B$6-IF($B$1+8&gt;=$B$23,$B$22,0))*(1+$B$4)^8)&gt;0,1+$B$3,1))</f>
        <v/>
      </c>
      <c r="L75">
        <f>IF($B$1+9&gt;90,K75,(K75+IF($B$1+9&lt;=$B75,12*$B$7,-12*MAX(0,$B$6-IF($B$1+9&gt;=$B$23,$B$22,0))*(1+$B$4)^9))*IF(K75+IF($B$1+9&lt;=$B75,12*$B$7,-12*MAX(0,$B$6-IF($B$1+9&gt;=$B$23,$B$22,0))*(1+$B$4)^9)&gt;0,1+$B$3,1))</f>
        <v/>
      </c>
      <c r="M75">
        <f>IF($B$1+10&gt;90,L75,(L75+IF($B$1+10&lt;=$B75,12*$B$7,-12*MAX(0,$B$6-IF($B$1+10&gt;=$B$23,$B$22,0))*(1+$B$4)^10))*IF(L75+IF($B$1+10&lt;=$B75,12*$B$7,-12*MAX(0,$B$6-IF($B$1+10&gt;=$B$23,$B$22,0))*(1+$B$4)^10)&gt;0,1+$B$3,1))</f>
        <v/>
      </c>
      <c r="N75">
        <f>IF($B$1+11&gt;90,M75,(M75+IF($B$1+11&lt;=$B75,12*$B$7,-12*MAX(0,$B$6-IF($B$1+11&gt;=$B$23,$B$22,0))*(1+$B$4)^11))*IF(M75+IF($B$1+11&lt;=$B75,12*$B$7,-12*MAX(0,$B$6-IF($B$1+11&gt;=$B$23,$B$22,0))*(1+$B$4)^11)&gt;0,1+$B$3,1))</f>
        <v/>
      </c>
      <c r="O75">
        <f>IF($B$1+12&gt;90,N75,(N75+IF($B$1+12&lt;=$B75,12*$B$7,-12*MAX(0,$B$6-IF($B$1+12&gt;=$B$23,$B$22,0))*(1+$B$4)^12))*IF(N75+IF($B$1+12&lt;=$B75,12*$B$7,-12*MAX(0,$B$6-IF($B$1+12&gt;=$B$23,$B$22,0))*(1+$B$4)^12)&gt;0,1+$B$3,1))</f>
        <v/>
      </c>
      <c r="P75">
        <f>IF($B$1+13&gt;90,O75,(O75+IF($B$1+13&lt;=$B75,12*$B$7,-12*MAX(0,$B$6-IF($B$1+13&gt;=$B$23,$B$22,0))*(1+$B$4)^13))*IF(O75+IF($B$1+13&lt;=$B75,12*$B$7,-12*MAX(0,$B$6-IF($B$1+13&gt;=$B$23,$B$22,0))*(1+$B$4)^13)&gt;0,1+$B$3,1))</f>
        <v/>
      </c>
      <c r="Q75">
        <f>IF($B$1+14&gt;90,P75,(P75+IF($B$1+14&lt;=$B75,12*$B$7,-12*MAX(0,$B$6-IF($B$1+14&gt;=$B$23,$B$22,0))*(1+$B$4)^14))*IF(P75+IF($B$1+14&lt;=$B75,12*$B$7,-12*MAX(0,$B$6-IF($B$1+14&gt;=$B$23,$B$22,0))*(1+$B$4)^14)&gt;0,1+$B$3,1))</f>
        <v/>
      </c>
      <c r="R75">
        <f>IF($B$1+15&gt;90,Q75,(Q75+IF($B$1+15&lt;=$B75,12*$B$7,-12*MAX(0,$B$6-IF($B$1+15&gt;=$B$23,$B$22,0))*(1+$B$4)^15))*IF(Q75+IF($B$1+15&lt;=$B75,12*$B$7,-12*MAX(0,$B$6-IF($B$1+15&gt;=$B$23,$B$22,0))*(1+$B$4)^15)&gt;0,1+$B$3,1))</f>
        <v/>
      </c>
      <c r="S75">
        <f>IF($B$1+16&gt;90,R75,(R75+IF($B$1+16&lt;=$B75,12*$B$7,-12*MAX(0,$B$6-IF($B$1+16&gt;=$B$23,$B$22,0))*(1+$B$4)^16))*IF(R75+IF($B$1+16&lt;=$B75,12*$B$7,-12*MAX(0,$B$6-IF($B$1+16&gt;=$B$23,$B$22,0))*(1+$B$4)^16)&gt;0,1+$B$3,1))</f>
        <v/>
      </c>
      <c r="T75">
        <f>IF($B$1+17&gt;90,S75,(S75+IF($B$1+17&lt;=$B75,12*$B$7,-12*MAX(0,$B$6-IF($B$1+17&gt;=$B$23,$B$22,0))*(1+$B$4)^17))*IF(S75+IF($B$1+17&lt;=$B75,12*$B$7,-12*MAX(0,$B$6-IF($B$1+17&gt;=$B$23,$B$22,0))*(1+$B$4)^17)&gt;0,1+$B$3,1))</f>
        <v/>
      </c>
      <c r="U75">
        <f>IF($B$1+18&gt;90,T75,(T75+IF($B$1+18&lt;=$B75,12*$B$7,-12*MAX(0,$B$6-IF($B$1+18&gt;=$B$23,$B$22,0))*(1+$B$4)^18))*IF(T75+IF($B$1+18&lt;=$B75,12*$B$7,-12*MAX(0,$B$6-IF($B$1+18&gt;=$B$23,$B$22,0))*(1+$B$4)^18)&gt;0,1+$B$3,1))</f>
        <v/>
      </c>
      <c r="V75">
        <f>IF($B$1+19&gt;90,U75,(U75+IF($B$1+19&lt;=$B75,12*$B$7,-12*MAX(0,$B$6-IF($B$1+19&gt;=$B$23,$B$22,0))*(1+$B$4)^19))*IF(U75+IF($B$1+19&lt;=$B75,12*$B$7,-12*MAX(0,$B$6-IF($B$1+19&gt;=$B$23,$B$22,0))*(1+$B$4)^19)&gt;0,1+$B$3,1))</f>
        <v/>
      </c>
      <c r="W75">
        <f>IF($B$1+20&gt;90,V75,(V75+IF($B$1+20&lt;=$B75,12*$B$7,-12*MAX(0,$B$6-IF($B$1+20&gt;=$B$23,$B$22,0))*(1+$B$4)^20))*IF(V75+IF($B$1+20&lt;=$B75,12*$B$7,-12*MAX(0,$B$6-IF($B$1+20&gt;=$B$23,$B$22,0))*(1+$B$4)^20)&gt;0,1+$B$3,1))</f>
        <v/>
      </c>
      <c r="X75">
        <f>IF($B$1+21&gt;90,W75,(W75+IF($B$1+21&lt;=$B75,12*$B$7,-12*MAX(0,$B$6-IF($B$1+21&gt;=$B$23,$B$22,0))*(1+$B$4)^21))*IF(W75+IF($B$1+21&lt;=$B75,12*$B$7,-12*MAX(0,$B$6-IF($B$1+21&gt;=$B$23,$B$22,0))*(1+$B$4)^21)&gt;0,1+$B$3,1))</f>
        <v/>
      </c>
      <c r="Y75">
        <f>IF($B$1+22&gt;90,X75,(X75+IF($B$1+22&lt;=$B75,12*$B$7,-12*MAX(0,$B$6-IF($B$1+22&gt;=$B$23,$B$22,0))*(1+$B$4)^22))*IF(X75+IF($B$1+22&lt;=$B75,12*$B$7,-12*MAX(0,$B$6-IF($B$1+22&gt;=$B$23,$B$22,0))*(1+$B$4)^22)&gt;0,1+$B$3,1))</f>
        <v/>
      </c>
      <c r="Z75">
        <f>IF($B$1+23&gt;90,Y75,(Y75+IF($B$1+23&lt;=$B75,12*$B$7,-12*MAX(0,$B$6-IF($B$1+23&gt;=$B$23,$B$22,0))*(1+$B$4)^23))*IF(Y75+IF($B$1+23&lt;=$B75,12*$B$7,-12*MAX(0,$B$6-IF($B$1+23&gt;=$B$23,$B$22,0))*(1+$B$4)^23)&gt;0,1+$B$3,1))</f>
        <v/>
      </c>
      <c r="AA75">
        <f>IF($B$1+24&gt;90,Z75,(Z75+IF($B$1+24&lt;=$B75,12*$B$7,-12*MAX(0,$B$6-IF($B$1+24&gt;=$B$23,$B$22,0))*(1+$B$4)^24))*IF(Z75+IF($B$1+24&lt;=$B75,12*$B$7,-12*MAX(0,$B$6-IF($B$1+24&gt;=$B$23,$B$22,0))*(1+$B$4)^24)&gt;0,1+$B$3,1))</f>
        <v/>
      </c>
      <c r="AB75">
        <f>IF($B$1+25&gt;90,AA75,(AA75+IF($B$1+25&lt;=$B75,12*$B$7,-12*MAX(0,$B$6-IF($B$1+25&gt;=$B$23,$B$22,0))*(1+$B$4)^25))*IF(AA75+IF($B$1+25&lt;=$B75,12*$B$7,-12*MAX(0,$B$6-IF($B$1+25&gt;=$B$23,$B$22,0))*(1+$B$4)^25)&gt;0,1+$B$3,1))</f>
        <v/>
      </c>
      <c r="AC75">
        <f>IF($B$1+26&gt;90,AB75,(AB75+IF($B$1+26&lt;=$B75,12*$B$7,-12*MAX(0,$B$6-IF($B$1+26&gt;=$B$23,$B$22,0))*(1+$B$4)^26))*IF(AB75+IF($B$1+26&lt;=$B75,12*$B$7,-12*MAX(0,$B$6-IF($B$1+26&gt;=$B$23,$B$22,0))*(1+$B$4)^26)&gt;0,1+$B$3,1))</f>
        <v/>
      </c>
      <c r="AD75">
        <f>IF($B$1+27&gt;90,AC75,(AC75+IF($B$1+27&lt;=$B75,12*$B$7,-12*MAX(0,$B$6-IF($B$1+27&gt;=$B$23,$B$22,0))*(1+$B$4)^27))*IF(AC75+IF($B$1+27&lt;=$B75,12*$B$7,-12*MAX(0,$B$6-IF($B$1+27&gt;=$B$23,$B$22,0))*(1+$B$4)^27)&gt;0,1+$B$3,1))</f>
        <v/>
      </c>
      <c r="AE75">
        <f>IF($B$1+28&gt;90,AD75,(AD75+IF($B$1+28&lt;=$B75,12*$B$7,-12*MAX(0,$B$6-IF($B$1+28&gt;=$B$23,$B$22,0))*(1+$B$4)^28))*IF(AD75+IF($B$1+28&lt;=$B75,12*$B$7,-12*MAX(0,$B$6-IF($B$1+28&gt;=$B$23,$B$22,0))*(1+$B$4)^28)&gt;0,1+$B$3,1))</f>
        <v/>
      </c>
      <c r="AF75">
        <f>IF($B$1+29&gt;90,AE75,(AE75+IF($B$1+29&lt;=$B75,12*$B$7,-12*MAX(0,$B$6-IF($B$1+29&gt;=$B$23,$B$22,0))*(1+$B$4)^29))*IF(AE75+IF($B$1+29&lt;=$B75,12*$B$7,-12*MAX(0,$B$6-IF($B$1+29&gt;=$B$23,$B$22,0))*(1+$B$4)^29)&gt;0,1+$B$3,1))</f>
        <v/>
      </c>
      <c r="AG75">
        <f>IF($B$1+30&gt;90,AF75,(AF75+IF($B$1+30&lt;=$B75,12*$B$7,-12*MAX(0,$B$6-IF($B$1+30&gt;=$B$23,$B$22,0))*(1+$B$4)^30))*IF(AF75+IF($B$1+30&lt;=$B75,12*$B$7,-12*MAX(0,$B$6-IF($B$1+30&gt;=$B$23,$B$22,0))*(1+$B$4)^30)&gt;0,1+$B$3,1))</f>
        <v/>
      </c>
      <c r="AH75">
        <f>IF($B$1+31&gt;90,AG75,(AG75+IF($B$1+31&lt;=$B75,12*$B$7,-12*MAX(0,$B$6-IF($B$1+31&gt;=$B$23,$B$22,0))*(1+$B$4)^31))*IF(AG75+IF($B$1+31&lt;=$B75,12*$B$7,-12*MAX(0,$B$6-IF($B$1+31&gt;=$B$23,$B$22,0))*(1+$B$4)^31)&gt;0,1+$B$3,1))</f>
        <v/>
      </c>
      <c r="AI75">
        <f>IF($B$1+32&gt;90,AH75,(AH75+IF($B$1+32&lt;=$B75,12*$B$7,-12*MAX(0,$B$6-IF($B$1+32&gt;=$B$23,$B$22,0))*(1+$B$4)^32))*IF(AH75+IF($B$1+32&lt;=$B75,12*$B$7,-12*MAX(0,$B$6-IF($B$1+32&gt;=$B$23,$B$22,0))*(1+$B$4)^32)&gt;0,1+$B$3,1))</f>
        <v/>
      </c>
      <c r="AJ75">
        <f>IF($B$1+33&gt;90,AI75,(AI75+IF($B$1+33&lt;=$B75,12*$B$7,-12*MAX(0,$B$6-IF($B$1+33&gt;=$B$23,$B$22,0))*(1+$B$4)^33))*IF(AI75+IF($B$1+33&lt;=$B75,12*$B$7,-12*MAX(0,$B$6-IF($B$1+33&gt;=$B$23,$B$22,0))*(1+$B$4)^33)&gt;0,1+$B$3,1))</f>
        <v/>
      </c>
      <c r="AK75">
        <f>IF($B$1+34&gt;90,AJ75,(AJ75+IF($B$1+34&lt;=$B75,12*$B$7,-12*MAX(0,$B$6-IF($B$1+34&gt;=$B$23,$B$22,0))*(1+$B$4)^34))*IF(AJ75+IF($B$1+34&lt;=$B75,12*$B$7,-12*MAX(0,$B$6-IF($B$1+34&gt;=$B$23,$B$22,0))*(1+$B$4)^34)&gt;0,1+$B$3,1))</f>
        <v/>
      </c>
      <c r="AL75">
        <f>IF($B$1+35&gt;90,AK75,(AK75+IF($B$1+35&lt;=$B75,12*$B$7,-12*MAX(0,$B$6-IF($B$1+35&gt;=$B$23,$B$22,0))*(1+$B$4)^35))*IF(AK75+IF($B$1+35&lt;=$B75,12*$B$7,-12*MAX(0,$B$6-IF($B$1+35&gt;=$B$23,$B$22,0))*(1+$B$4)^35)&gt;0,1+$B$3,1))</f>
        <v/>
      </c>
      <c r="AM75">
        <f>IF($B$1+36&gt;90,AL75,(AL75+IF($B$1+36&lt;=$B75,12*$B$7,-12*MAX(0,$B$6-IF($B$1+36&gt;=$B$23,$B$22,0))*(1+$B$4)^36))*IF(AL75+IF($B$1+36&lt;=$B75,12*$B$7,-12*MAX(0,$B$6-IF($B$1+36&gt;=$B$23,$B$22,0))*(1+$B$4)^36)&gt;0,1+$B$3,1))</f>
        <v/>
      </c>
      <c r="AN75">
        <f>IF($B$1+37&gt;90,AM75,(AM75+IF($B$1+37&lt;=$B75,12*$B$7,-12*MAX(0,$B$6-IF($B$1+37&gt;=$B$23,$B$22,0))*(1+$B$4)^37))*IF(AM75+IF($B$1+37&lt;=$B75,12*$B$7,-12*MAX(0,$B$6-IF($B$1+37&gt;=$B$23,$B$22,0))*(1+$B$4)^37)&gt;0,1+$B$3,1))</f>
        <v/>
      </c>
      <c r="AO75">
        <f>IF($B$1+38&gt;90,AN75,(AN75+IF($B$1+38&lt;=$B75,12*$B$7,-12*MAX(0,$B$6-IF($B$1+38&gt;=$B$23,$B$22,0))*(1+$B$4)^38))*IF(AN75+IF($B$1+38&lt;=$B75,12*$B$7,-12*MAX(0,$B$6-IF($B$1+38&gt;=$B$23,$B$22,0))*(1+$B$4)^38)&gt;0,1+$B$3,1))</f>
        <v/>
      </c>
      <c r="AP75">
        <f>IF($B$1+39&gt;90,AO75,(AO75+IF($B$1+39&lt;=$B75,12*$B$7,-12*MAX(0,$B$6-IF($B$1+39&gt;=$B$23,$B$22,0))*(1+$B$4)^39))*IF(AO75+IF($B$1+39&lt;=$B75,12*$B$7,-12*MAX(0,$B$6-IF($B$1+39&gt;=$B$23,$B$22,0))*(1+$B$4)^39)&gt;0,1+$B$3,1))</f>
        <v/>
      </c>
      <c r="AQ75">
        <f>IF($B$1+40&gt;90,AP75,(AP75+IF($B$1+40&lt;=$B75,12*$B$7,-12*MAX(0,$B$6-IF($B$1+40&gt;=$B$23,$B$22,0))*(1+$B$4)^40))*IF(AP75+IF($B$1+40&lt;=$B75,12*$B$7,-12*MAX(0,$B$6-IF($B$1+40&gt;=$B$23,$B$22,0))*(1+$B$4)^40)&gt;0,1+$B$3,1))</f>
        <v/>
      </c>
      <c r="AR75">
        <f>IF($B$1+41&gt;90,AQ75,(AQ75+IF($B$1+41&lt;=$B75,12*$B$7,-12*MAX(0,$B$6-IF($B$1+41&gt;=$B$23,$B$22,0))*(1+$B$4)^41))*IF(AQ75+IF($B$1+41&lt;=$B75,12*$B$7,-12*MAX(0,$B$6-IF($B$1+41&gt;=$B$23,$B$22,0))*(1+$B$4)^41)&gt;0,1+$B$3,1))</f>
        <v/>
      </c>
      <c r="AS75">
        <f>IF($B$1+42&gt;90,AR75,(AR75+IF($B$1+42&lt;=$B75,12*$B$7,-12*MAX(0,$B$6-IF($B$1+42&gt;=$B$23,$B$22,0))*(1+$B$4)^42))*IF(AR75+IF($B$1+42&lt;=$B75,12*$B$7,-12*MAX(0,$B$6-IF($B$1+42&gt;=$B$23,$B$22,0))*(1+$B$4)^42)&gt;0,1+$B$3,1))</f>
        <v/>
      </c>
      <c r="AT75">
        <f>IF($B$1+43&gt;90,AS75,(AS75+IF($B$1+43&lt;=$B75,12*$B$7,-12*MAX(0,$B$6-IF($B$1+43&gt;=$B$23,$B$22,0))*(1+$B$4)^43))*IF(AS75+IF($B$1+43&lt;=$B75,12*$B$7,-12*MAX(0,$B$6-IF($B$1+43&gt;=$B$23,$B$22,0))*(1+$B$4)^43)&gt;0,1+$B$3,1))</f>
        <v/>
      </c>
      <c r="AU75">
        <f>IF($B$1+44&gt;90,AT75,(AT75+IF($B$1+44&lt;=$B75,12*$B$7,-12*MAX(0,$B$6-IF($B$1+44&gt;=$B$23,$B$22,0))*(1+$B$4)^44))*IF(AT75+IF($B$1+44&lt;=$B75,12*$B$7,-12*MAX(0,$B$6-IF($B$1+44&gt;=$B$23,$B$22,0))*(1+$B$4)^44)&gt;0,1+$B$3,1))</f>
        <v/>
      </c>
      <c r="AV75">
        <f>IF($B$1+45&gt;90,AU75,(AU75+IF($B$1+45&lt;=$B75,12*$B$7,-12*MAX(0,$B$6-IF($B$1+45&gt;=$B$23,$B$22,0))*(1+$B$4)^45))*IF(AU75+IF($B$1+45&lt;=$B75,12*$B$7,-12*MAX(0,$B$6-IF($B$1+45&gt;=$B$23,$B$22,0))*(1+$B$4)^45)&gt;0,1+$B$3,1))</f>
        <v/>
      </c>
      <c r="AW75">
        <f>IF($B$1+46&gt;90,AV75,(AV75+IF($B$1+46&lt;=$B75,12*$B$7,-12*MAX(0,$B$6-IF($B$1+46&gt;=$B$23,$B$22,0))*(1+$B$4)^46))*IF(AV75+IF($B$1+46&lt;=$B75,12*$B$7,-12*MAX(0,$B$6-IF($B$1+46&gt;=$B$23,$B$22,0))*(1+$B$4)^46)&gt;0,1+$B$3,1))</f>
        <v/>
      </c>
      <c r="AX75">
        <f>IF($B$1+47&gt;90,AW75,(AW75+IF($B$1+47&lt;=$B75,12*$B$7,-12*MAX(0,$B$6-IF($B$1+47&gt;=$B$23,$B$22,0))*(1+$B$4)^47))*IF(AW75+IF($B$1+47&lt;=$B75,12*$B$7,-12*MAX(0,$B$6-IF($B$1+47&gt;=$B$23,$B$22,0))*(1+$B$4)^47)&gt;0,1+$B$3,1))</f>
        <v/>
      </c>
      <c r="AY75">
        <f>IF($B$1+48&gt;90,AX75,(AX75+IF($B$1+48&lt;=$B75,12*$B$7,-12*MAX(0,$B$6-IF($B$1+48&gt;=$B$23,$B$22,0))*(1+$B$4)^48))*IF(AX75+IF($B$1+48&lt;=$B75,12*$B$7,-12*MAX(0,$B$6-IF($B$1+48&gt;=$B$23,$B$22,0))*(1+$B$4)^48)&gt;0,1+$B$3,1))</f>
        <v/>
      </c>
      <c r="AZ75">
        <f>IF($B$1+49&gt;90,AY75,(AY75+IF($B$1+49&lt;=$B75,12*$B$7,-12*MAX(0,$B$6-IF($B$1+49&gt;=$B$23,$B$22,0))*(1+$B$4)^49))*IF(AY75+IF($B$1+49&lt;=$B75,12*$B$7,-12*MAX(0,$B$6-IF($B$1+49&gt;=$B$23,$B$22,0))*(1+$B$4)^49)&gt;0,1+$B$3,1))</f>
        <v/>
      </c>
      <c r="BA75">
        <f>IF($B$1+50&gt;90,AZ75,(AZ75+IF($B$1+50&lt;=$B75,12*$B$7,-12*MAX(0,$B$6-IF($B$1+50&gt;=$B$23,$B$22,0))*(1+$B$4)^50))*IF(AZ75+IF($B$1+50&lt;=$B75,12*$B$7,-12*MAX(0,$B$6-IF($B$1+50&gt;=$B$23,$B$22,0))*(1+$B$4)^50)&gt;0,1+$B$3,1))</f>
        <v/>
      </c>
      <c r="BB75">
        <f>IF($B$1+51&gt;90,BA75,(BA75+IF($B$1+51&lt;=$B75,12*$B$7,-12*MAX(0,$B$6-IF($B$1+51&gt;=$B$23,$B$22,0))*(1+$B$4)^51))*IF(BA75+IF($B$1+51&lt;=$B75,12*$B$7,-12*MAX(0,$B$6-IF($B$1+51&gt;=$B$23,$B$22,0))*(1+$B$4)^51)&gt;0,1+$B$3,1))</f>
        <v/>
      </c>
      <c r="BC75">
        <f>IF($B$1+52&gt;90,BB75,(BB75+IF($B$1+52&lt;=$B75,12*$B$7,-12*MAX(0,$B$6-IF($B$1+52&gt;=$B$23,$B$22,0))*(1+$B$4)^52))*IF(BB75+IF($B$1+52&lt;=$B75,12*$B$7,-12*MAX(0,$B$6-IF($B$1+52&gt;=$B$23,$B$22,0))*(1+$B$4)^52)&gt;0,1+$B$3,1))</f>
        <v/>
      </c>
      <c r="BD75">
        <f>IF($B$1+53&gt;90,BC75,(BC75+IF($B$1+53&lt;=$B75,12*$B$7,-12*MAX(0,$B$6-IF($B$1+53&gt;=$B$23,$B$22,0))*(1+$B$4)^53))*IF(BC75+IF($B$1+53&lt;=$B75,12*$B$7,-12*MAX(0,$B$6-IF($B$1+53&gt;=$B$23,$B$22,0))*(1+$B$4)^53)&gt;0,1+$B$3,1))</f>
        <v/>
      </c>
      <c r="BE75">
        <f>IF($B$1+54&gt;90,BD75,(BD75+IF($B$1+54&lt;=$B75,12*$B$7,-12*MAX(0,$B$6-IF($B$1+54&gt;=$B$23,$B$22,0))*(1+$B$4)^54))*IF(BD75+IF($B$1+54&lt;=$B75,12*$B$7,-12*MAX(0,$B$6-IF($B$1+54&gt;=$B$23,$B$22,0))*(1+$B$4)^54)&gt;0,1+$B$3,1))</f>
        <v/>
      </c>
      <c r="BF75">
        <f>IF($B$1+55&gt;90,BE75,(BE75+IF($B$1+55&lt;=$B75,12*$B$7,-12*MAX(0,$B$6-IF($B$1+55&gt;=$B$23,$B$22,0))*(1+$B$4)^55))*IF(BE75+IF($B$1+55&lt;=$B75,12*$B$7,-12*MAX(0,$B$6-IF($B$1+55&gt;=$B$23,$B$22,0))*(1+$B$4)^55)&gt;0,1+$B$3,1))</f>
        <v/>
      </c>
      <c r="BG75">
        <f>IF($B$1+56&gt;90,BF75,(BF75+IF($B$1+56&lt;=$B75,12*$B$7,-12*MAX(0,$B$6-IF($B$1+56&gt;=$B$23,$B$22,0))*(1+$B$4)^56))*IF(BF75+IF($B$1+56&lt;=$B75,12*$B$7,-12*MAX(0,$B$6-IF($B$1+56&gt;=$B$23,$B$22,0))*(1+$B$4)^56)&gt;0,1+$B$3,1))</f>
        <v/>
      </c>
      <c r="BH75">
        <f>IF($B$1+57&gt;90,BG75,(BG75+IF($B$1+57&lt;=$B75,12*$B$7,-12*MAX(0,$B$6-IF($B$1+57&gt;=$B$23,$B$22,0))*(1+$B$4)^57))*IF(BG75+IF($B$1+57&lt;=$B75,12*$B$7,-12*MAX(0,$B$6-IF($B$1+57&gt;=$B$23,$B$22,0))*(1+$B$4)^57)&gt;0,1+$B$3,1))</f>
        <v/>
      </c>
      <c r="BI75">
        <f>IF($B$1+58&gt;90,BH75,(BH75+IF($B$1+58&lt;=$B75,12*$B$7,-12*MAX(0,$B$6-IF($B$1+58&gt;=$B$23,$B$22,0))*(1+$B$4)^58))*IF(BH75+IF($B$1+58&lt;=$B75,12*$B$7,-12*MAX(0,$B$6-IF($B$1+58&gt;=$B$23,$B$22,0))*(1+$B$4)^58)&gt;0,1+$B$3,1))</f>
        <v/>
      </c>
      <c r="BJ75">
        <f>IF($B$1+59&gt;90,BI75,(BI75+IF($B$1+59&lt;=$B75,12*$B$7,-12*MAX(0,$B$6-IF($B$1+59&gt;=$B$23,$B$22,0))*(1+$B$4)^59))*IF(BI75+IF($B$1+59&lt;=$B75,12*$B$7,-12*MAX(0,$B$6-IF($B$1+59&gt;=$B$23,$B$22,0))*(1+$B$4)^59)&gt;0,1+$B$3,1))</f>
        <v/>
      </c>
      <c r="BK75">
        <f>IF($B$1+60&gt;90,BJ75,(BJ75+IF($B$1+60&lt;=$B75,12*$B$7,-12*MAX(0,$B$6-IF($B$1+60&gt;=$B$23,$B$22,0))*(1+$B$4)^60))*IF(BJ75+IF($B$1+60&lt;=$B75,12*$B$7,-12*MAX(0,$B$6-IF($B$1+60&gt;=$B$23,$B$22,0))*(1+$B$4)^60)&gt;0,1+$B$3,1))</f>
        <v/>
      </c>
      <c r="BL75">
        <f>IF($B$1+61&gt;90,BK75,(BK75+IF($B$1+61&lt;=$B75,12*$B$7,-12*MAX(0,$B$6-IF($B$1+61&gt;=$B$23,$B$22,0))*(1+$B$4)^61))*IF(BK75+IF($B$1+61&lt;=$B75,12*$B$7,-12*MAX(0,$B$6-IF($B$1+61&gt;=$B$23,$B$22,0))*(1+$B$4)^61)&gt;0,1+$B$3,1))</f>
        <v/>
      </c>
      <c r="BM75">
        <f>IF($B$1+62&gt;90,BL75,(BL75+IF($B$1+62&lt;=$B75,12*$B$7,-12*MAX(0,$B$6-IF($B$1+62&gt;=$B$23,$B$22,0))*(1+$B$4)^62))*IF(BL75+IF($B$1+62&lt;=$B75,12*$B$7,-12*MAX(0,$B$6-IF($B$1+62&gt;=$B$23,$B$22,0))*(1+$B$4)^62)&gt;0,1+$B$3,1))</f>
        <v/>
      </c>
      <c r="BN75">
        <f>IF($B$1+63&gt;90,BM75,(BM75+IF($B$1+63&lt;=$B75,12*$B$7,-12*MAX(0,$B$6-IF($B$1+63&gt;=$B$23,$B$22,0))*(1+$B$4)^63))*IF(BM75+IF($B$1+63&lt;=$B75,12*$B$7,-12*MAX(0,$B$6-IF($B$1+63&gt;=$B$23,$B$22,0))*(1+$B$4)^63)&gt;0,1+$B$3,1))</f>
        <v/>
      </c>
      <c r="BO75">
        <f>IF($B$1+64&gt;90,BN75,(BN75+IF($B$1+64&lt;=$B75,12*$B$7,-12*MAX(0,$B$6-IF($B$1+64&gt;=$B$23,$B$22,0))*(1+$B$4)^64))*IF(BN75+IF($B$1+64&lt;=$B75,12*$B$7,-12*MAX(0,$B$6-IF($B$1+64&gt;=$B$23,$B$22,0))*(1+$B$4)^64)&gt;0,1+$B$3,1))</f>
        <v/>
      </c>
      <c r="BP75">
        <f>IF($B$1+65&gt;90,BO75,(BO75+IF($B$1+65&lt;=$B75,12*$B$7,-12*MAX(0,$B$6-IF($B$1+65&gt;=$B$23,$B$22,0))*(1+$B$4)^65))*IF(BO75+IF($B$1+65&lt;=$B75,12*$B$7,-12*MAX(0,$B$6-IF($B$1+65&gt;=$B$23,$B$22,0))*(1+$B$4)^65)&gt;0,1+$B$3,1))</f>
        <v/>
      </c>
      <c r="BQ75">
        <f>IF($B$1+66&gt;90,BP75,(BP75+IF($B$1+66&lt;=$B75,12*$B$7,-12*MAX(0,$B$6-IF($B$1+66&gt;=$B$23,$B$22,0))*(1+$B$4)^66))*IF(BP75+IF($B$1+66&lt;=$B75,12*$B$7,-12*MAX(0,$B$6-IF($B$1+66&gt;=$B$23,$B$22,0))*(1+$B$4)^66)&gt;0,1+$B$3,1))</f>
        <v/>
      </c>
      <c r="BR75">
        <f>IF($B$1+67&gt;90,BQ75,(BQ75+IF($B$1+67&lt;=$B75,12*$B$7,-12*MAX(0,$B$6-IF($B$1+67&gt;=$B$23,$B$22,0))*(1+$B$4)^67))*IF(BQ75+IF($B$1+67&lt;=$B75,12*$B$7,-12*MAX(0,$B$6-IF($B$1+67&gt;=$B$23,$B$22,0))*(1+$B$4)^67)&gt;0,1+$B$3,1))</f>
        <v/>
      </c>
      <c r="BS75">
        <f>IF($B$1+68&gt;90,BR75,(BR75+IF($B$1+68&lt;=$B75,12*$B$7,-12*MAX(0,$B$6-IF($B$1+68&gt;=$B$23,$B$22,0))*(1+$B$4)^68))*IF(BR75+IF($B$1+68&lt;=$B75,12*$B$7,-12*MAX(0,$B$6-IF($B$1+68&gt;=$B$23,$B$22,0))*(1+$B$4)^68)&gt;0,1+$B$3,1))</f>
        <v/>
      </c>
      <c r="BT75">
        <f>IF($B$1+69&gt;90,BS75,(BS75+IF($B$1+69&lt;=$B75,12*$B$7,-12*MAX(0,$B$6-IF($B$1+69&gt;=$B$23,$B$22,0))*(1+$B$4)^69))*IF(BS75+IF($B$1+69&lt;=$B75,12*$B$7,-12*MAX(0,$B$6-IF($B$1+69&gt;=$B$23,$B$22,0))*(1+$B$4)^69)&gt;0,1+$B$3,1))</f>
        <v/>
      </c>
      <c r="BU75">
        <f>IF($B$1+70&gt;90,BT75,(BT75+IF($B$1+70&lt;=$B75,12*$B$7,-12*MAX(0,$B$6-IF($B$1+70&gt;=$B$23,$B$22,0))*(1+$B$4)^70))*IF(BT75+IF($B$1+70&lt;=$B75,12*$B$7,-12*MAX(0,$B$6-IF($B$1+70&gt;=$B$23,$B$22,0))*(1+$B$4)^70)&gt;0,1+$B$3,1))</f>
        <v/>
      </c>
      <c r="BV75">
        <f>BU75</f>
        <v/>
      </c>
      <c r="BW75">
        <f>IF(AND($B75&lt;=70,BV75&gt;0),$B75,999)</f>
        <v/>
      </c>
      <c r="CH75">
        <f>IF(ISTEXT('월 가계부'!A75),SUBSTITUTE(SUBSTITUTE(SUBSTITUTE(SUBSTITUTE(SUBSTITUTE(SUBSTITUTE(SUBSTITUTE(SUBSTITUTE(SUBSTITUTE(TRIM('월 가계부'!A75),"년","-"),"월","-"),"일",""),".","-"),"/","-")," ","-"),"--","-"),"--","-"),"--","-")&amp;"-","")</f>
        <v/>
      </c>
      <c r="CI75">
        <f>IFERROR(IF('월 가계부'!A75="","",IF(ISNUMBER('월 가계부'!A75),IF(AND('월 가계부'!A75&gt;=19000101,'월 가계부'!A75&lt;=21001231),IF(AND(MOD(INT('월 가계부'!A75/100),100)&gt;=1,MOD(INT('월 가계부'!A75/100),100)&lt;=12,MOD(INT('월 가계부'!A75),100)&gt;=1,MOD(INT('월 가계부'!A75),100)&lt;=31),IF(MONTH(DATE(INT('월 가계부'!A75/10000),MOD(INT('월 가계부'!A75/100),100),MOD(INT('월 가계부'!A75),100)))=MOD(INT('월 가계부'!A75/100),100),DATE(INT('월 가계부'!A75/10000),MOD(INT('월 가계부'!A75/100),100),MOD(INT('월 가계부'!A75),100)),""),""),IF(AND('월 가계부'!A75&gt;=36526,'월 가계부'!A75&lt;73051),INT('월 가계부'!A75),"")),IF(OR(CM75="",CN75="",CO75=""),"",IF(AND(CM75&gt;=2000,CM75&lt;=2099,CN75&gt;=1,CN75&lt;=12,CO75&gt;=1,CO75&lt;=31),IF(MONTH(DATE(CM75,CN75,CO75))=CN75,DATE(CM75,CN75,CO75),""),"")))),"")</f>
        <v/>
      </c>
      <c r="CJ75">
        <f>IFERROR(IF('월 가계부'!C75="","",IF(ISNUMBER('월 가계부'!C75),'월 가계부'!C75,VALUE(SUBSTITUTE(SUBSTITUTE(SUBSTITUTE(SUBSTITUTE(TRIM('월 가계부'!C75),",",""),"원","")," ",""),"−","-")))),"")</f>
        <v/>
      </c>
      <c r="CK75">
        <f>IF(ISNUMBER(CI75),IF(CI75&lt;$B$13,CI75,""),"")</f>
        <v/>
      </c>
      <c r="CM75">
        <f>IF(CH75="","",IFERROR(IF(IF(AND(LEN(CH75)=9,ISERROR(FIND("-",LEFT(CH75,8))),ISNUMBER(-LEFT(CH75,8))),VALUE(LEFT(CH75,4)),VALUE(LEFT(CH75,FIND("-",CH75)-1)))&lt;100,IF(AND(LEN(CH75)=9,ISERROR(FIND("-",LEFT(CH75,8))),ISNUMBER(-LEFT(CH75,8))),VALUE(LEFT(CH75,4)),VALUE(LEFT(CH75,FIND("-",CH75)-1)))+2000,IF(AND(LEN(CH75)=9,ISERROR(FIND("-",LEFT(CH75,8))),ISNUMBER(-LEFT(CH75,8))),VALUE(LEFT(CH75,4)),VALUE(LEFT(CH75,FIND("-",CH75)-1)))),""))</f>
        <v/>
      </c>
      <c r="CN75">
        <f>IF(CH75="","",IFERROR(IF(AND(LEN(CH75)=9,ISERROR(FIND("-",LEFT(CH75,8))),ISNUMBER(-LEFT(CH75,8))),VALUE(MID(CH75,5,2)),VALUE(MID(CH75,FIND("-",CH75)+1,FIND("-",CH75,FIND("-",CH75)+1)-FIND("-",CH75)-1))),""))</f>
        <v/>
      </c>
      <c r="CO75">
        <f>IF(CH75="","",IFERROR(IF(AND(LEN(CH75)=9,ISERROR(FIND("-",LEFT(CH75,8))),ISNUMBER(-LEFT(CH75,8))),VALUE(MID(CH75,7,2)),VALUE(MID(CH75,FIND("-",CH75,FIND("-",CH75)+1)+1,FIND("-",CH75,FIND("-",CH75,FIND("-",CH75)+1)+1)-FIND("-",CH75,FIND("-",CH75)+1)-1))),""))</f>
        <v/>
      </c>
    </row>
    <row r="76">
      <c r="A76" t="n">
        <v>36</v>
      </c>
      <c r="B76">
        <f>$B$1+36</f>
        <v/>
      </c>
      <c r="C76">
        <f>$B$2</f>
        <v/>
      </c>
      <c r="D76">
        <f>IF($B$1+1&gt;90,C76,(C76+IF($B$1+1&lt;=$B76,12*$B$7,-12*MAX(0,$B$6-IF($B$1+1&gt;=$B$23,$B$22,0))*(1+$B$4)^1))*IF(C76+IF($B$1+1&lt;=$B76,12*$B$7,-12*MAX(0,$B$6-IF($B$1+1&gt;=$B$23,$B$22,0))*(1+$B$4)^1)&gt;0,1+$B$3,1))</f>
        <v/>
      </c>
      <c r="E76">
        <f>IF($B$1+2&gt;90,D76,(D76+IF($B$1+2&lt;=$B76,12*$B$7,-12*MAX(0,$B$6-IF($B$1+2&gt;=$B$23,$B$22,0))*(1+$B$4)^2))*IF(D76+IF($B$1+2&lt;=$B76,12*$B$7,-12*MAX(0,$B$6-IF($B$1+2&gt;=$B$23,$B$22,0))*(1+$B$4)^2)&gt;0,1+$B$3,1))</f>
        <v/>
      </c>
      <c r="F76">
        <f>IF($B$1+3&gt;90,E76,(E76+IF($B$1+3&lt;=$B76,12*$B$7,-12*MAX(0,$B$6-IF($B$1+3&gt;=$B$23,$B$22,0))*(1+$B$4)^3))*IF(E76+IF($B$1+3&lt;=$B76,12*$B$7,-12*MAX(0,$B$6-IF($B$1+3&gt;=$B$23,$B$22,0))*(1+$B$4)^3)&gt;0,1+$B$3,1))</f>
        <v/>
      </c>
      <c r="G76">
        <f>IF($B$1+4&gt;90,F76,(F76+IF($B$1+4&lt;=$B76,12*$B$7,-12*MAX(0,$B$6-IF($B$1+4&gt;=$B$23,$B$22,0))*(1+$B$4)^4))*IF(F76+IF($B$1+4&lt;=$B76,12*$B$7,-12*MAX(0,$B$6-IF($B$1+4&gt;=$B$23,$B$22,0))*(1+$B$4)^4)&gt;0,1+$B$3,1))</f>
        <v/>
      </c>
      <c r="H76">
        <f>IF($B$1+5&gt;90,G76,(G76+IF($B$1+5&lt;=$B76,12*$B$7,-12*MAX(0,$B$6-IF($B$1+5&gt;=$B$23,$B$22,0))*(1+$B$4)^5))*IF(G76+IF($B$1+5&lt;=$B76,12*$B$7,-12*MAX(0,$B$6-IF($B$1+5&gt;=$B$23,$B$22,0))*(1+$B$4)^5)&gt;0,1+$B$3,1))</f>
        <v/>
      </c>
      <c r="I76">
        <f>IF($B$1+6&gt;90,H76,(H76+IF($B$1+6&lt;=$B76,12*$B$7,-12*MAX(0,$B$6-IF($B$1+6&gt;=$B$23,$B$22,0))*(1+$B$4)^6))*IF(H76+IF($B$1+6&lt;=$B76,12*$B$7,-12*MAX(0,$B$6-IF($B$1+6&gt;=$B$23,$B$22,0))*(1+$B$4)^6)&gt;0,1+$B$3,1))</f>
        <v/>
      </c>
      <c r="J76">
        <f>IF($B$1+7&gt;90,I76,(I76+IF($B$1+7&lt;=$B76,12*$B$7,-12*MAX(0,$B$6-IF($B$1+7&gt;=$B$23,$B$22,0))*(1+$B$4)^7))*IF(I76+IF($B$1+7&lt;=$B76,12*$B$7,-12*MAX(0,$B$6-IF($B$1+7&gt;=$B$23,$B$22,0))*(1+$B$4)^7)&gt;0,1+$B$3,1))</f>
        <v/>
      </c>
      <c r="K76">
        <f>IF($B$1+8&gt;90,J76,(J76+IF($B$1+8&lt;=$B76,12*$B$7,-12*MAX(0,$B$6-IF($B$1+8&gt;=$B$23,$B$22,0))*(1+$B$4)^8))*IF(J76+IF($B$1+8&lt;=$B76,12*$B$7,-12*MAX(0,$B$6-IF($B$1+8&gt;=$B$23,$B$22,0))*(1+$B$4)^8)&gt;0,1+$B$3,1))</f>
        <v/>
      </c>
      <c r="L76">
        <f>IF($B$1+9&gt;90,K76,(K76+IF($B$1+9&lt;=$B76,12*$B$7,-12*MAX(0,$B$6-IF($B$1+9&gt;=$B$23,$B$22,0))*(1+$B$4)^9))*IF(K76+IF($B$1+9&lt;=$B76,12*$B$7,-12*MAX(0,$B$6-IF($B$1+9&gt;=$B$23,$B$22,0))*(1+$B$4)^9)&gt;0,1+$B$3,1))</f>
        <v/>
      </c>
      <c r="M76">
        <f>IF($B$1+10&gt;90,L76,(L76+IF($B$1+10&lt;=$B76,12*$B$7,-12*MAX(0,$B$6-IF($B$1+10&gt;=$B$23,$B$22,0))*(1+$B$4)^10))*IF(L76+IF($B$1+10&lt;=$B76,12*$B$7,-12*MAX(0,$B$6-IF($B$1+10&gt;=$B$23,$B$22,0))*(1+$B$4)^10)&gt;0,1+$B$3,1))</f>
        <v/>
      </c>
      <c r="N76">
        <f>IF($B$1+11&gt;90,M76,(M76+IF($B$1+11&lt;=$B76,12*$B$7,-12*MAX(0,$B$6-IF($B$1+11&gt;=$B$23,$B$22,0))*(1+$B$4)^11))*IF(M76+IF($B$1+11&lt;=$B76,12*$B$7,-12*MAX(0,$B$6-IF($B$1+11&gt;=$B$23,$B$22,0))*(1+$B$4)^11)&gt;0,1+$B$3,1))</f>
        <v/>
      </c>
      <c r="O76">
        <f>IF($B$1+12&gt;90,N76,(N76+IF($B$1+12&lt;=$B76,12*$B$7,-12*MAX(0,$B$6-IF($B$1+12&gt;=$B$23,$B$22,0))*(1+$B$4)^12))*IF(N76+IF($B$1+12&lt;=$B76,12*$B$7,-12*MAX(0,$B$6-IF($B$1+12&gt;=$B$23,$B$22,0))*(1+$B$4)^12)&gt;0,1+$B$3,1))</f>
        <v/>
      </c>
      <c r="P76">
        <f>IF($B$1+13&gt;90,O76,(O76+IF($B$1+13&lt;=$B76,12*$B$7,-12*MAX(0,$B$6-IF($B$1+13&gt;=$B$23,$B$22,0))*(1+$B$4)^13))*IF(O76+IF($B$1+13&lt;=$B76,12*$B$7,-12*MAX(0,$B$6-IF($B$1+13&gt;=$B$23,$B$22,0))*(1+$B$4)^13)&gt;0,1+$B$3,1))</f>
        <v/>
      </c>
      <c r="Q76">
        <f>IF($B$1+14&gt;90,P76,(P76+IF($B$1+14&lt;=$B76,12*$B$7,-12*MAX(0,$B$6-IF($B$1+14&gt;=$B$23,$B$22,0))*(1+$B$4)^14))*IF(P76+IF($B$1+14&lt;=$B76,12*$B$7,-12*MAX(0,$B$6-IF($B$1+14&gt;=$B$23,$B$22,0))*(1+$B$4)^14)&gt;0,1+$B$3,1))</f>
        <v/>
      </c>
      <c r="R76">
        <f>IF($B$1+15&gt;90,Q76,(Q76+IF($B$1+15&lt;=$B76,12*$B$7,-12*MAX(0,$B$6-IF($B$1+15&gt;=$B$23,$B$22,0))*(1+$B$4)^15))*IF(Q76+IF($B$1+15&lt;=$B76,12*$B$7,-12*MAX(0,$B$6-IF($B$1+15&gt;=$B$23,$B$22,0))*(1+$B$4)^15)&gt;0,1+$B$3,1))</f>
        <v/>
      </c>
      <c r="S76">
        <f>IF($B$1+16&gt;90,R76,(R76+IF($B$1+16&lt;=$B76,12*$B$7,-12*MAX(0,$B$6-IF($B$1+16&gt;=$B$23,$B$22,0))*(1+$B$4)^16))*IF(R76+IF($B$1+16&lt;=$B76,12*$B$7,-12*MAX(0,$B$6-IF($B$1+16&gt;=$B$23,$B$22,0))*(1+$B$4)^16)&gt;0,1+$B$3,1))</f>
        <v/>
      </c>
      <c r="T76">
        <f>IF($B$1+17&gt;90,S76,(S76+IF($B$1+17&lt;=$B76,12*$B$7,-12*MAX(0,$B$6-IF($B$1+17&gt;=$B$23,$B$22,0))*(1+$B$4)^17))*IF(S76+IF($B$1+17&lt;=$B76,12*$B$7,-12*MAX(0,$B$6-IF($B$1+17&gt;=$B$23,$B$22,0))*(1+$B$4)^17)&gt;0,1+$B$3,1))</f>
        <v/>
      </c>
      <c r="U76">
        <f>IF($B$1+18&gt;90,T76,(T76+IF($B$1+18&lt;=$B76,12*$B$7,-12*MAX(0,$B$6-IF($B$1+18&gt;=$B$23,$B$22,0))*(1+$B$4)^18))*IF(T76+IF($B$1+18&lt;=$B76,12*$B$7,-12*MAX(0,$B$6-IF($B$1+18&gt;=$B$23,$B$22,0))*(1+$B$4)^18)&gt;0,1+$B$3,1))</f>
        <v/>
      </c>
      <c r="V76">
        <f>IF($B$1+19&gt;90,U76,(U76+IF($B$1+19&lt;=$B76,12*$B$7,-12*MAX(0,$B$6-IF($B$1+19&gt;=$B$23,$B$22,0))*(1+$B$4)^19))*IF(U76+IF($B$1+19&lt;=$B76,12*$B$7,-12*MAX(0,$B$6-IF($B$1+19&gt;=$B$23,$B$22,0))*(1+$B$4)^19)&gt;0,1+$B$3,1))</f>
        <v/>
      </c>
      <c r="W76">
        <f>IF($B$1+20&gt;90,V76,(V76+IF($B$1+20&lt;=$B76,12*$B$7,-12*MAX(0,$B$6-IF($B$1+20&gt;=$B$23,$B$22,0))*(1+$B$4)^20))*IF(V76+IF($B$1+20&lt;=$B76,12*$B$7,-12*MAX(0,$B$6-IF($B$1+20&gt;=$B$23,$B$22,0))*(1+$B$4)^20)&gt;0,1+$B$3,1))</f>
        <v/>
      </c>
      <c r="X76">
        <f>IF($B$1+21&gt;90,W76,(W76+IF($B$1+21&lt;=$B76,12*$B$7,-12*MAX(0,$B$6-IF($B$1+21&gt;=$B$23,$B$22,0))*(1+$B$4)^21))*IF(W76+IF($B$1+21&lt;=$B76,12*$B$7,-12*MAX(0,$B$6-IF($B$1+21&gt;=$B$23,$B$22,0))*(1+$B$4)^21)&gt;0,1+$B$3,1))</f>
        <v/>
      </c>
      <c r="Y76">
        <f>IF($B$1+22&gt;90,X76,(X76+IF($B$1+22&lt;=$B76,12*$B$7,-12*MAX(0,$B$6-IF($B$1+22&gt;=$B$23,$B$22,0))*(1+$B$4)^22))*IF(X76+IF($B$1+22&lt;=$B76,12*$B$7,-12*MAX(0,$B$6-IF($B$1+22&gt;=$B$23,$B$22,0))*(1+$B$4)^22)&gt;0,1+$B$3,1))</f>
        <v/>
      </c>
      <c r="Z76">
        <f>IF($B$1+23&gt;90,Y76,(Y76+IF($B$1+23&lt;=$B76,12*$B$7,-12*MAX(0,$B$6-IF($B$1+23&gt;=$B$23,$B$22,0))*(1+$B$4)^23))*IF(Y76+IF($B$1+23&lt;=$B76,12*$B$7,-12*MAX(0,$B$6-IF($B$1+23&gt;=$B$23,$B$22,0))*(1+$B$4)^23)&gt;0,1+$B$3,1))</f>
        <v/>
      </c>
      <c r="AA76">
        <f>IF($B$1+24&gt;90,Z76,(Z76+IF($B$1+24&lt;=$B76,12*$B$7,-12*MAX(0,$B$6-IF($B$1+24&gt;=$B$23,$B$22,0))*(1+$B$4)^24))*IF(Z76+IF($B$1+24&lt;=$B76,12*$B$7,-12*MAX(0,$B$6-IF($B$1+24&gt;=$B$23,$B$22,0))*(1+$B$4)^24)&gt;0,1+$B$3,1))</f>
        <v/>
      </c>
      <c r="AB76">
        <f>IF($B$1+25&gt;90,AA76,(AA76+IF($B$1+25&lt;=$B76,12*$B$7,-12*MAX(0,$B$6-IF($B$1+25&gt;=$B$23,$B$22,0))*(1+$B$4)^25))*IF(AA76+IF($B$1+25&lt;=$B76,12*$B$7,-12*MAX(0,$B$6-IF($B$1+25&gt;=$B$23,$B$22,0))*(1+$B$4)^25)&gt;0,1+$B$3,1))</f>
        <v/>
      </c>
      <c r="AC76">
        <f>IF($B$1+26&gt;90,AB76,(AB76+IF($B$1+26&lt;=$B76,12*$B$7,-12*MAX(0,$B$6-IF($B$1+26&gt;=$B$23,$B$22,0))*(1+$B$4)^26))*IF(AB76+IF($B$1+26&lt;=$B76,12*$B$7,-12*MAX(0,$B$6-IF($B$1+26&gt;=$B$23,$B$22,0))*(1+$B$4)^26)&gt;0,1+$B$3,1))</f>
        <v/>
      </c>
      <c r="AD76">
        <f>IF($B$1+27&gt;90,AC76,(AC76+IF($B$1+27&lt;=$B76,12*$B$7,-12*MAX(0,$B$6-IF($B$1+27&gt;=$B$23,$B$22,0))*(1+$B$4)^27))*IF(AC76+IF($B$1+27&lt;=$B76,12*$B$7,-12*MAX(0,$B$6-IF($B$1+27&gt;=$B$23,$B$22,0))*(1+$B$4)^27)&gt;0,1+$B$3,1))</f>
        <v/>
      </c>
      <c r="AE76">
        <f>IF($B$1+28&gt;90,AD76,(AD76+IF($B$1+28&lt;=$B76,12*$B$7,-12*MAX(0,$B$6-IF($B$1+28&gt;=$B$23,$B$22,0))*(1+$B$4)^28))*IF(AD76+IF($B$1+28&lt;=$B76,12*$B$7,-12*MAX(0,$B$6-IF($B$1+28&gt;=$B$23,$B$22,0))*(1+$B$4)^28)&gt;0,1+$B$3,1))</f>
        <v/>
      </c>
      <c r="AF76">
        <f>IF($B$1+29&gt;90,AE76,(AE76+IF($B$1+29&lt;=$B76,12*$B$7,-12*MAX(0,$B$6-IF($B$1+29&gt;=$B$23,$B$22,0))*(1+$B$4)^29))*IF(AE76+IF($B$1+29&lt;=$B76,12*$B$7,-12*MAX(0,$B$6-IF($B$1+29&gt;=$B$23,$B$22,0))*(1+$B$4)^29)&gt;0,1+$B$3,1))</f>
        <v/>
      </c>
      <c r="AG76">
        <f>IF($B$1+30&gt;90,AF76,(AF76+IF($B$1+30&lt;=$B76,12*$B$7,-12*MAX(0,$B$6-IF($B$1+30&gt;=$B$23,$B$22,0))*(1+$B$4)^30))*IF(AF76+IF($B$1+30&lt;=$B76,12*$B$7,-12*MAX(0,$B$6-IF($B$1+30&gt;=$B$23,$B$22,0))*(1+$B$4)^30)&gt;0,1+$B$3,1))</f>
        <v/>
      </c>
      <c r="AH76">
        <f>IF($B$1+31&gt;90,AG76,(AG76+IF($B$1+31&lt;=$B76,12*$B$7,-12*MAX(0,$B$6-IF($B$1+31&gt;=$B$23,$B$22,0))*(1+$B$4)^31))*IF(AG76+IF($B$1+31&lt;=$B76,12*$B$7,-12*MAX(0,$B$6-IF($B$1+31&gt;=$B$23,$B$22,0))*(1+$B$4)^31)&gt;0,1+$B$3,1))</f>
        <v/>
      </c>
      <c r="AI76">
        <f>IF($B$1+32&gt;90,AH76,(AH76+IF($B$1+32&lt;=$B76,12*$B$7,-12*MAX(0,$B$6-IF($B$1+32&gt;=$B$23,$B$22,0))*(1+$B$4)^32))*IF(AH76+IF($B$1+32&lt;=$B76,12*$B$7,-12*MAX(0,$B$6-IF($B$1+32&gt;=$B$23,$B$22,0))*(1+$B$4)^32)&gt;0,1+$B$3,1))</f>
        <v/>
      </c>
      <c r="AJ76">
        <f>IF($B$1+33&gt;90,AI76,(AI76+IF($B$1+33&lt;=$B76,12*$B$7,-12*MAX(0,$B$6-IF($B$1+33&gt;=$B$23,$B$22,0))*(1+$B$4)^33))*IF(AI76+IF($B$1+33&lt;=$B76,12*$B$7,-12*MAX(0,$B$6-IF($B$1+33&gt;=$B$23,$B$22,0))*(1+$B$4)^33)&gt;0,1+$B$3,1))</f>
        <v/>
      </c>
      <c r="AK76">
        <f>IF($B$1+34&gt;90,AJ76,(AJ76+IF($B$1+34&lt;=$B76,12*$B$7,-12*MAX(0,$B$6-IF($B$1+34&gt;=$B$23,$B$22,0))*(1+$B$4)^34))*IF(AJ76+IF($B$1+34&lt;=$B76,12*$B$7,-12*MAX(0,$B$6-IF($B$1+34&gt;=$B$23,$B$22,0))*(1+$B$4)^34)&gt;0,1+$B$3,1))</f>
        <v/>
      </c>
      <c r="AL76">
        <f>IF($B$1+35&gt;90,AK76,(AK76+IF($B$1+35&lt;=$B76,12*$B$7,-12*MAX(0,$B$6-IF($B$1+35&gt;=$B$23,$B$22,0))*(1+$B$4)^35))*IF(AK76+IF($B$1+35&lt;=$B76,12*$B$7,-12*MAX(0,$B$6-IF($B$1+35&gt;=$B$23,$B$22,0))*(1+$B$4)^35)&gt;0,1+$B$3,1))</f>
        <v/>
      </c>
      <c r="AM76">
        <f>IF($B$1+36&gt;90,AL76,(AL76+IF($B$1+36&lt;=$B76,12*$B$7,-12*MAX(0,$B$6-IF($B$1+36&gt;=$B$23,$B$22,0))*(1+$B$4)^36))*IF(AL76+IF($B$1+36&lt;=$B76,12*$B$7,-12*MAX(0,$B$6-IF($B$1+36&gt;=$B$23,$B$22,0))*(1+$B$4)^36)&gt;0,1+$B$3,1))</f>
        <v/>
      </c>
      <c r="AN76">
        <f>IF($B$1+37&gt;90,AM76,(AM76+IF($B$1+37&lt;=$B76,12*$B$7,-12*MAX(0,$B$6-IF($B$1+37&gt;=$B$23,$B$22,0))*(1+$B$4)^37))*IF(AM76+IF($B$1+37&lt;=$B76,12*$B$7,-12*MAX(0,$B$6-IF($B$1+37&gt;=$B$23,$B$22,0))*(1+$B$4)^37)&gt;0,1+$B$3,1))</f>
        <v/>
      </c>
      <c r="AO76">
        <f>IF($B$1+38&gt;90,AN76,(AN76+IF($B$1+38&lt;=$B76,12*$B$7,-12*MAX(0,$B$6-IF($B$1+38&gt;=$B$23,$B$22,0))*(1+$B$4)^38))*IF(AN76+IF($B$1+38&lt;=$B76,12*$B$7,-12*MAX(0,$B$6-IF($B$1+38&gt;=$B$23,$B$22,0))*(1+$B$4)^38)&gt;0,1+$B$3,1))</f>
        <v/>
      </c>
      <c r="AP76">
        <f>IF($B$1+39&gt;90,AO76,(AO76+IF($B$1+39&lt;=$B76,12*$B$7,-12*MAX(0,$B$6-IF($B$1+39&gt;=$B$23,$B$22,0))*(1+$B$4)^39))*IF(AO76+IF($B$1+39&lt;=$B76,12*$B$7,-12*MAX(0,$B$6-IF($B$1+39&gt;=$B$23,$B$22,0))*(1+$B$4)^39)&gt;0,1+$B$3,1))</f>
        <v/>
      </c>
      <c r="AQ76">
        <f>IF($B$1+40&gt;90,AP76,(AP76+IF($B$1+40&lt;=$B76,12*$B$7,-12*MAX(0,$B$6-IF($B$1+40&gt;=$B$23,$B$22,0))*(1+$B$4)^40))*IF(AP76+IF($B$1+40&lt;=$B76,12*$B$7,-12*MAX(0,$B$6-IF($B$1+40&gt;=$B$23,$B$22,0))*(1+$B$4)^40)&gt;0,1+$B$3,1))</f>
        <v/>
      </c>
      <c r="AR76">
        <f>IF($B$1+41&gt;90,AQ76,(AQ76+IF($B$1+41&lt;=$B76,12*$B$7,-12*MAX(0,$B$6-IF($B$1+41&gt;=$B$23,$B$22,0))*(1+$B$4)^41))*IF(AQ76+IF($B$1+41&lt;=$B76,12*$B$7,-12*MAX(0,$B$6-IF($B$1+41&gt;=$B$23,$B$22,0))*(1+$B$4)^41)&gt;0,1+$B$3,1))</f>
        <v/>
      </c>
      <c r="AS76">
        <f>IF($B$1+42&gt;90,AR76,(AR76+IF($B$1+42&lt;=$B76,12*$B$7,-12*MAX(0,$B$6-IF($B$1+42&gt;=$B$23,$B$22,0))*(1+$B$4)^42))*IF(AR76+IF($B$1+42&lt;=$B76,12*$B$7,-12*MAX(0,$B$6-IF($B$1+42&gt;=$B$23,$B$22,0))*(1+$B$4)^42)&gt;0,1+$B$3,1))</f>
        <v/>
      </c>
      <c r="AT76">
        <f>IF($B$1+43&gt;90,AS76,(AS76+IF($B$1+43&lt;=$B76,12*$B$7,-12*MAX(0,$B$6-IF($B$1+43&gt;=$B$23,$B$22,0))*(1+$B$4)^43))*IF(AS76+IF($B$1+43&lt;=$B76,12*$B$7,-12*MAX(0,$B$6-IF($B$1+43&gt;=$B$23,$B$22,0))*(1+$B$4)^43)&gt;0,1+$B$3,1))</f>
        <v/>
      </c>
      <c r="AU76">
        <f>IF($B$1+44&gt;90,AT76,(AT76+IF($B$1+44&lt;=$B76,12*$B$7,-12*MAX(0,$B$6-IF($B$1+44&gt;=$B$23,$B$22,0))*(1+$B$4)^44))*IF(AT76+IF($B$1+44&lt;=$B76,12*$B$7,-12*MAX(0,$B$6-IF($B$1+44&gt;=$B$23,$B$22,0))*(1+$B$4)^44)&gt;0,1+$B$3,1))</f>
        <v/>
      </c>
      <c r="AV76">
        <f>IF($B$1+45&gt;90,AU76,(AU76+IF($B$1+45&lt;=$B76,12*$B$7,-12*MAX(0,$B$6-IF($B$1+45&gt;=$B$23,$B$22,0))*(1+$B$4)^45))*IF(AU76+IF($B$1+45&lt;=$B76,12*$B$7,-12*MAX(0,$B$6-IF($B$1+45&gt;=$B$23,$B$22,0))*(1+$B$4)^45)&gt;0,1+$B$3,1))</f>
        <v/>
      </c>
      <c r="AW76">
        <f>IF($B$1+46&gt;90,AV76,(AV76+IF($B$1+46&lt;=$B76,12*$B$7,-12*MAX(0,$B$6-IF($B$1+46&gt;=$B$23,$B$22,0))*(1+$B$4)^46))*IF(AV76+IF($B$1+46&lt;=$B76,12*$B$7,-12*MAX(0,$B$6-IF($B$1+46&gt;=$B$23,$B$22,0))*(1+$B$4)^46)&gt;0,1+$B$3,1))</f>
        <v/>
      </c>
      <c r="AX76">
        <f>IF($B$1+47&gt;90,AW76,(AW76+IF($B$1+47&lt;=$B76,12*$B$7,-12*MAX(0,$B$6-IF($B$1+47&gt;=$B$23,$B$22,0))*(1+$B$4)^47))*IF(AW76+IF($B$1+47&lt;=$B76,12*$B$7,-12*MAX(0,$B$6-IF($B$1+47&gt;=$B$23,$B$22,0))*(1+$B$4)^47)&gt;0,1+$B$3,1))</f>
        <v/>
      </c>
      <c r="AY76">
        <f>IF($B$1+48&gt;90,AX76,(AX76+IF($B$1+48&lt;=$B76,12*$B$7,-12*MAX(0,$B$6-IF($B$1+48&gt;=$B$23,$B$22,0))*(1+$B$4)^48))*IF(AX76+IF($B$1+48&lt;=$B76,12*$B$7,-12*MAX(0,$B$6-IF($B$1+48&gt;=$B$23,$B$22,0))*(1+$B$4)^48)&gt;0,1+$B$3,1))</f>
        <v/>
      </c>
      <c r="AZ76">
        <f>IF($B$1+49&gt;90,AY76,(AY76+IF($B$1+49&lt;=$B76,12*$B$7,-12*MAX(0,$B$6-IF($B$1+49&gt;=$B$23,$B$22,0))*(1+$B$4)^49))*IF(AY76+IF($B$1+49&lt;=$B76,12*$B$7,-12*MAX(0,$B$6-IF($B$1+49&gt;=$B$23,$B$22,0))*(1+$B$4)^49)&gt;0,1+$B$3,1))</f>
        <v/>
      </c>
      <c r="BA76">
        <f>IF($B$1+50&gt;90,AZ76,(AZ76+IF($B$1+50&lt;=$B76,12*$B$7,-12*MAX(0,$B$6-IF($B$1+50&gt;=$B$23,$B$22,0))*(1+$B$4)^50))*IF(AZ76+IF($B$1+50&lt;=$B76,12*$B$7,-12*MAX(0,$B$6-IF($B$1+50&gt;=$B$23,$B$22,0))*(1+$B$4)^50)&gt;0,1+$B$3,1))</f>
        <v/>
      </c>
      <c r="BB76">
        <f>IF($B$1+51&gt;90,BA76,(BA76+IF($B$1+51&lt;=$B76,12*$B$7,-12*MAX(0,$B$6-IF($B$1+51&gt;=$B$23,$B$22,0))*(1+$B$4)^51))*IF(BA76+IF($B$1+51&lt;=$B76,12*$B$7,-12*MAX(0,$B$6-IF($B$1+51&gt;=$B$23,$B$22,0))*(1+$B$4)^51)&gt;0,1+$B$3,1))</f>
        <v/>
      </c>
      <c r="BC76">
        <f>IF($B$1+52&gt;90,BB76,(BB76+IF($B$1+52&lt;=$B76,12*$B$7,-12*MAX(0,$B$6-IF($B$1+52&gt;=$B$23,$B$22,0))*(1+$B$4)^52))*IF(BB76+IF($B$1+52&lt;=$B76,12*$B$7,-12*MAX(0,$B$6-IF($B$1+52&gt;=$B$23,$B$22,0))*(1+$B$4)^52)&gt;0,1+$B$3,1))</f>
        <v/>
      </c>
      <c r="BD76">
        <f>IF($B$1+53&gt;90,BC76,(BC76+IF($B$1+53&lt;=$B76,12*$B$7,-12*MAX(0,$B$6-IF($B$1+53&gt;=$B$23,$B$22,0))*(1+$B$4)^53))*IF(BC76+IF($B$1+53&lt;=$B76,12*$B$7,-12*MAX(0,$B$6-IF($B$1+53&gt;=$B$23,$B$22,0))*(1+$B$4)^53)&gt;0,1+$B$3,1))</f>
        <v/>
      </c>
      <c r="BE76">
        <f>IF($B$1+54&gt;90,BD76,(BD76+IF($B$1+54&lt;=$B76,12*$B$7,-12*MAX(0,$B$6-IF($B$1+54&gt;=$B$23,$B$22,0))*(1+$B$4)^54))*IF(BD76+IF($B$1+54&lt;=$B76,12*$B$7,-12*MAX(0,$B$6-IF($B$1+54&gt;=$B$23,$B$22,0))*(1+$B$4)^54)&gt;0,1+$B$3,1))</f>
        <v/>
      </c>
      <c r="BF76">
        <f>IF($B$1+55&gt;90,BE76,(BE76+IF($B$1+55&lt;=$B76,12*$B$7,-12*MAX(0,$B$6-IF($B$1+55&gt;=$B$23,$B$22,0))*(1+$B$4)^55))*IF(BE76+IF($B$1+55&lt;=$B76,12*$B$7,-12*MAX(0,$B$6-IF($B$1+55&gt;=$B$23,$B$22,0))*(1+$B$4)^55)&gt;0,1+$B$3,1))</f>
        <v/>
      </c>
      <c r="BG76">
        <f>IF($B$1+56&gt;90,BF76,(BF76+IF($B$1+56&lt;=$B76,12*$B$7,-12*MAX(0,$B$6-IF($B$1+56&gt;=$B$23,$B$22,0))*(1+$B$4)^56))*IF(BF76+IF($B$1+56&lt;=$B76,12*$B$7,-12*MAX(0,$B$6-IF($B$1+56&gt;=$B$23,$B$22,0))*(1+$B$4)^56)&gt;0,1+$B$3,1))</f>
        <v/>
      </c>
      <c r="BH76">
        <f>IF($B$1+57&gt;90,BG76,(BG76+IF($B$1+57&lt;=$B76,12*$B$7,-12*MAX(0,$B$6-IF($B$1+57&gt;=$B$23,$B$22,0))*(1+$B$4)^57))*IF(BG76+IF($B$1+57&lt;=$B76,12*$B$7,-12*MAX(0,$B$6-IF($B$1+57&gt;=$B$23,$B$22,0))*(1+$B$4)^57)&gt;0,1+$B$3,1))</f>
        <v/>
      </c>
      <c r="BI76">
        <f>IF($B$1+58&gt;90,BH76,(BH76+IF($B$1+58&lt;=$B76,12*$B$7,-12*MAX(0,$B$6-IF($B$1+58&gt;=$B$23,$B$22,0))*(1+$B$4)^58))*IF(BH76+IF($B$1+58&lt;=$B76,12*$B$7,-12*MAX(0,$B$6-IF($B$1+58&gt;=$B$23,$B$22,0))*(1+$B$4)^58)&gt;0,1+$B$3,1))</f>
        <v/>
      </c>
      <c r="BJ76">
        <f>IF($B$1+59&gt;90,BI76,(BI76+IF($B$1+59&lt;=$B76,12*$B$7,-12*MAX(0,$B$6-IF($B$1+59&gt;=$B$23,$B$22,0))*(1+$B$4)^59))*IF(BI76+IF($B$1+59&lt;=$B76,12*$B$7,-12*MAX(0,$B$6-IF($B$1+59&gt;=$B$23,$B$22,0))*(1+$B$4)^59)&gt;0,1+$B$3,1))</f>
        <v/>
      </c>
      <c r="BK76">
        <f>IF($B$1+60&gt;90,BJ76,(BJ76+IF($B$1+60&lt;=$B76,12*$B$7,-12*MAX(0,$B$6-IF($B$1+60&gt;=$B$23,$B$22,0))*(1+$B$4)^60))*IF(BJ76+IF($B$1+60&lt;=$B76,12*$B$7,-12*MAX(0,$B$6-IF($B$1+60&gt;=$B$23,$B$22,0))*(1+$B$4)^60)&gt;0,1+$B$3,1))</f>
        <v/>
      </c>
      <c r="BL76">
        <f>IF($B$1+61&gt;90,BK76,(BK76+IF($B$1+61&lt;=$B76,12*$B$7,-12*MAX(0,$B$6-IF($B$1+61&gt;=$B$23,$B$22,0))*(1+$B$4)^61))*IF(BK76+IF($B$1+61&lt;=$B76,12*$B$7,-12*MAX(0,$B$6-IF($B$1+61&gt;=$B$23,$B$22,0))*(1+$B$4)^61)&gt;0,1+$B$3,1))</f>
        <v/>
      </c>
      <c r="BM76">
        <f>IF($B$1+62&gt;90,BL76,(BL76+IF($B$1+62&lt;=$B76,12*$B$7,-12*MAX(0,$B$6-IF($B$1+62&gt;=$B$23,$B$22,0))*(1+$B$4)^62))*IF(BL76+IF($B$1+62&lt;=$B76,12*$B$7,-12*MAX(0,$B$6-IF($B$1+62&gt;=$B$23,$B$22,0))*(1+$B$4)^62)&gt;0,1+$B$3,1))</f>
        <v/>
      </c>
      <c r="BN76">
        <f>IF($B$1+63&gt;90,BM76,(BM76+IF($B$1+63&lt;=$B76,12*$B$7,-12*MAX(0,$B$6-IF($B$1+63&gt;=$B$23,$B$22,0))*(1+$B$4)^63))*IF(BM76+IF($B$1+63&lt;=$B76,12*$B$7,-12*MAX(0,$B$6-IF($B$1+63&gt;=$B$23,$B$22,0))*(1+$B$4)^63)&gt;0,1+$B$3,1))</f>
        <v/>
      </c>
      <c r="BO76">
        <f>IF($B$1+64&gt;90,BN76,(BN76+IF($B$1+64&lt;=$B76,12*$B$7,-12*MAX(0,$B$6-IF($B$1+64&gt;=$B$23,$B$22,0))*(1+$B$4)^64))*IF(BN76+IF($B$1+64&lt;=$B76,12*$B$7,-12*MAX(0,$B$6-IF($B$1+64&gt;=$B$23,$B$22,0))*(1+$B$4)^64)&gt;0,1+$B$3,1))</f>
        <v/>
      </c>
      <c r="BP76">
        <f>IF($B$1+65&gt;90,BO76,(BO76+IF($B$1+65&lt;=$B76,12*$B$7,-12*MAX(0,$B$6-IF($B$1+65&gt;=$B$23,$B$22,0))*(1+$B$4)^65))*IF(BO76+IF($B$1+65&lt;=$B76,12*$B$7,-12*MAX(0,$B$6-IF($B$1+65&gt;=$B$23,$B$22,0))*(1+$B$4)^65)&gt;0,1+$B$3,1))</f>
        <v/>
      </c>
      <c r="BQ76">
        <f>IF($B$1+66&gt;90,BP76,(BP76+IF($B$1+66&lt;=$B76,12*$B$7,-12*MAX(0,$B$6-IF($B$1+66&gt;=$B$23,$B$22,0))*(1+$B$4)^66))*IF(BP76+IF($B$1+66&lt;=$B76,12*$B$7,-12*MAX(0,$B$6-IF($B$1+66&gt;=$B$23,$B$22,0))*(1+$B$4)^66)&gt;0,1+$B$3,1))</f>
        <v/>
      </c>
      <c r="BR76">
        <f>IF($B$1+67&gt;90,BQ76,(BQ76+IF($B$1+67&lt;=$B76,12*$B$7,-12*MAX(0,$B$6-IF($B$1+67&gt;=$B$23,$B$22,0))*(1+$B$4)^67))*IF(BQ76+IF($B$1+67&lt;=$B76,12*$B$7,-12*MAX(0,$B$6-IF($B$1+67&gt;=$B$23,$B$22,0))*(1+$B$4)^67)&gt;0,1+$B$3,1))</f>
        <v/>
      </c>
      <c r="BS76">
        <f>IF($B$1+68&gt;90,BR76,(BR76+IF($B$1+68&lt;=$B76,12*$B$7,-12*MAX(0,$B$6-IF($B$1+68&gt;=$B$23,$B$22,0))*(1+$B$4)^68))*IF(BR76+IF($B$1+68&lt;=$B76,12*$B$7,-12*MAX(0,$B$6-IF($B$1+68&gt;=$B$23,$B$22,0))*(1+$B$4)^68)&gt;0,1+$B$3,1))</f>
        <v/>
      </c>
      <c r="BT76">
        <f>IF($B$1+69&gt;90,BS76,(BS76+IF($B$1+69&lt;=$B76,12*$B$7,-12*MAX(0,$B$6-IF($B$1+69&gt;=$B$23,$B$22,0))*(1+$B$4)^69))*IF(BS76+IF($B$1+69&lt;=$B76,12*$B$7,-12*MAX(0,$B$6-IF($B$1+69&gt;=$B$23,$B$22,0))*(1+$B$4)^69)&gt;0,1+$B$3,1))</f>
        <v/>
      </c>
      <c r="BU76">
        <f>IF($B$1+70&gt;90,BT76,(BT76+IF($B$1+70&lt;=$B76,12*$B$7,-12*MAX(0,$B$6-IF($B$1+70&gt;=$B$23,$B$22,0))*(1+$B$4)^70))*IF(BT76+IF($B$1+70&lt;=$B76,12*$B$7,-12*MAX(0,$B$6-IF($B$1+70&gt;=$B$23,$B$22,0))*(1+$B$4)^70)&gt;0,1+$B$3,1))</f>
        <v/>
      </c>
      <c r="BV76">
        <f>BU76</f>
        <v/>
      </c>
      <c r="BW76">
        <f>IF(AND($B76&lt;=70,BV76&gt;0),$B76,999)</f>
        <v/>
      </c>
      <c r="CH76">
        <f>IF(ISTEXT('월 가계부'!A76),SUBSTITUTE(SUBSTITUTE(SUBSTITUTE(SUBSTITUTE(SUBSTITUTE(SUBSTITUTE(SUBSTITUTE(SUBSTITUTE(SUBSTITUTE(TRIM('월 가계부'!A76),"년","-"),"월","-"),"일",""),".","-"),"/","-")," ","-"),"--","-"),"--","-"),"--","-")&amp;"-","")</f>
        <v/>
      </c>
      <c r="CI76">
        <f>IFERROR(IF('월 가계부'!A76="","",IF(ISNUMBER('월 가계부'!A76),IF(AND('월 가계부'!A76&gt;=19000101,'월 가계부'!A76&lt;=21001231),IF(AND(MOD(INT('월 가계부'!A76/100),100)&gt;=1,MOD(INT('월 가계부'!A76/100),100)&lt;=12,MOD(INT('월 가계부'!A76),100)&gt;=1,MOD(INT('월 가계부'!A76),100)&lt;=31),IF(MONTH(DATE(INT('월 가계부'!A76/10000),MOD(INT('월 가계부'!A76/100),100),MOD(INT('월 가계부'!A76),100)))=MOD(INT('월 가계부'!A76/100),100),DATE(INT('월 가계부'!A76/10000),MOD(INT('월 가계부'!A76/100),100),MOD(INT('월 가계부'!A76),100)),""),""),IF(AND('월 가계부'!A76&gt;=36526,'월 가계부'!A76&lt;73051),INT('월 가계부'!A76),"")),IF(OR(CM76="",CN76="",CO76=""),"",IF(AND(CM76&gt;=2000,CM76&lt;=2099,CN76&gt;=1,CN76&lt;=12,CO76&gt;=1,CO76&lt;=31),IF(MONTH(DATE(CM76,CN76,CO76))=CN76,DATE(CM76,CN76,CO76),""),"")))),"")</f>
        <v/>
      </c>
      <c r="CJ76">
        <f>IFERROR(IF('월 가계부'!C76="","",IF(ISNUMBER('월 가계부'!C76),'월 가계부'!C76,VALUE(SUBSTITUTE(SUBSTITUTE(SUBSTITUTE(SUBSTITUTE(TRIM('월 가계부'!C76),",",""),"원","")," ",""),"−","-")))),"")</f>
        <v/>
      </c>
      <c r="CK76">
        <f>IF(ISNUMBER(CI76),IF(CI76&lt;$B$13,CI76,""),"")</f>
        <v/>
      </c>
      <c r="CM76">
        <f>IF(CH76="","",IFERROR(IF(IF(AND(LEN(CH76)=9,ISERROR(FIND("-",LEFT(CH76,8))),ISNUMBER(-LEFT(CH76,8))),VALUE(LEFT(CH76,4)),VALUE(LEFT(CH76,FIND("-",CH76)-1)))&lt;100,IF(AND(LEN(CH76)=9,ISERROR(FIND("-",LEFT(CH76,8))),ISNUMBER(-LEFT(CH76,8))),VALUE(LEFT(CH76,4)),VALUE(LEFT(CH76,FIND("-",CH76)-1)))+2000,IF(AND(LEN(CH76)=9,ISERROR(FIND("-",LEFT(CH76,8))),ISNUMBER(-LEFT(CH76,8))),VALUE(LEFT(CH76,4)),VALUE(LEFT(CH76,FIND("-",CH76)-1)))),""))</f>
        <v/>
      </c>
      <c r="CN76">
        <f>IF(CH76="","",IFERROR(IF(AND(LEN(CH76)=9,ISERROR(FIND("-",LEFT(CH76,8))),ISNUMBER(-LEFT(CH76,8))),VALUE(MID(CH76,5,2)),VALUE(MID(CH76,FIND("-",CH76)+1,FIND("-",CH76,FIND("-",CH76)+1)-FIND("-",CH76)-1))),""))</f>
        <v/>
      </c>
      <c r="CO76">
        <f>IF(CH76="","",IFERROR(IF(AND(LEN(CH76)=9,ISERROR(FIND("-",LEFT(CH76,8))),ISNUMBER(-LEFT(CH76,8))),VALUE(MID(CH76,7,2)),VALUE(MID(CH76,FIND("-",CH76,FIND("-",CH76)+1)+1,FIND("-",CH76,FIND("-",CH76,FIND("-",CH76)+1)+1)-FIND("-",CH76,FIND("-",CH76)+1)-1))),""))</f>
        <v/>
      </c>
    </row>
    <row r="77">
      <c r="A77" t="n">
        <v>37</v>
      </c>
      <c r="B77">
        <f>$B$1+37</f>
        <v/>
      </c>
      <c r="C77">
        <f>$B$2</f>
        <v/>
      </c>
      <c r="D77">
        <f>IF($B$1+1&gt;90,C77,(C77+IF($B$1+1&lt;=$B77,12*$B$7,-12*MAX(0,$B$6-IF($B$1+1&gt;=$B$23,$B$22,0))*(1+$B$4)^1))*IF(C77+IF($B$1+1&lt;=$B77,12*$B$7,-12*MAX(0,$B$6-IF($B$1+1&gt;=$B$23,$B$22,0))*(1+$B$4)^1)&gt;0,1+$B$3,1))</f>
        <v/>
      </c>
      <c r="E77">
        <f>IF($B$1+2&gt;90,D77,(D77+IF($B$1+2&lt;=$B77,12*$B$7,-12*MAX(0,$B$6-IF($B$1+2&gt;=$B$23,$B$22,0))*(1+$B$4)^2))*IF(D77+IF($B$1+2&lt;=$B77,12*$B$7,-12*MAX(0,$B$6-IF($B$1+2&gt;=$B$23,$B$22,0))*(1+$B$4)^2)&gt;0,1+$B$3,1))</f>
        <v/>
      </c>
      <c r="F77">
        <f>IF($B$1+3&gt;90,E77,(E77+IF($B$1+3&lt;=$B77,12*$B$7,-12*MAX(0,$B$6-IF($B$1+3&gt;=$B$23,$B$22,0))*(1+$B$4)^3))*IF(E77+IF($B$1+3&lt;=$B77,12*$B$7,-12*MAX(0,$B$6-IF($B$1+3&gt;=$B$23,$B$22,0))*(1+$B$4)^3)&gt;0,1+$B$3,1))</f>
        <v/>
      </c>
      <c r="G77">
        <f>IF($B$1+4&gt;90,F77,(F77+IF($B$1+4&lt;=$B77,12*$B$7,-12*MAX(0,$B$6-IF($B$1+4&gt;=$B$23,$B$22,0))*(1+$B$4)^4))*IF(F77+IF($B$1+4&lt;=$B77,12*$B$7,-12*MAX(0,$B$6-IF($B$1+4&gt;=$B$23,$B$22,0))*(1+$B$4)^4)&gt;0,1+$B$3,1))</f>
        <v/>
      </c>
      <c r="H77">
        <f>IF($B$1+5&gt;90,G77,(G77+IF($B$1+5&lt;=$B77,12*$B$7,-12*MAX(0,$B$6-IF($B$1+5&gt;=$B$23,$B$22,0))*(1+$B$4)^5))*IF(G77+IF($B$1+5&lt;=$B77,12*$B$7,-12*MAX(0,$B$6-IF($B$1+5&gt;=$B$23,$B$22,0))*(1+$B$4)^5)&gt;0,1+$B$3,1))</f>
        <v/>
      </c>
      <c r="I77">
        <f>IF($B$1+6&gt;90,H77,(H77+IF($B$1+6&lt;=$B77,12*$B$7,-12*MAX(0,$B$6-IF($B$1+6&gt;=$B$23,$B$22,0))*(1+$B$4)^6))*IF(H77+IF($B$1+6&lt;=$B77,12*$B$7,-12*MAX(0,$B$6-IF($B$1+6&gt;=$B$23,$B$22,0))*(1+$B$4)^6)&gt;0,1+$B$3,1))</f>
        <v/>
      </c>
      <c r="J77">
        <f>IF($B$1+7&gt;90,I77,(I77+IF($B$1+7&lt;=$B77,12*$B$7,-12*MAX(0,$B$6-IF($B$1+7&gt;=$B$23,$B$22,0))*(1+$B$4)^7))*IF(I77+IF($B$1+7&lt;=$B77,12*$B$7,-12*MAX(0,$B$6-IF($B$1+7&gt;=$B$23,$B$22,0))*(1+$B$4)^7)&gt;0,1+$B$3,1))</f>
        <v/>
      </c>
      <c r="K77">
        <f>IF($B$1+8&gt;90,J77,(J77+IF($B$1+8&lt;=$B77,12*$B$7,-12*MAX(0,$B$6-IF($B$1+8&gt;=$B$23,$B$22,0))*(1+$B$4)^8))*IF(J77+IF($B$1+8&lt;=$B77,12*$B$7,-12*MAX(0,$B$6-IF($B$1+8&gt;=$B$23,$B$22,0))*(1+$B$4)^8)&gt;0,1+$B$3,1))</f>
        <v/>
      </c>
      <c r="L77">
        <f>IF($B$1+9&gt;90,K77,(K77+IF($B$1+9&lt;=$B77,12*$B$7,-12*MAX(0,$B$6-IF($B$1+9&gt;=$B$23,$B$22,0))*(1+$B$4)^9))*IF(K77+IF($B$1+9&lt;=$B77,12*$B$7,-12*MAX(0,$B$6-IF($B$1+9&gt;=$B$23,$B$22,0))*(1+$B$4)^9)&gt;0,1+$B$3,1))</f>
        <v/>
      </c>
      <c r="M77">
        <f>IF($B$1+10&gt;90,L77,(L77+IF($B$1+10&lt;=$B77,12*$B$7,-12*MAX(0,$B$6-IF($B$1+10&gt;=$B$23,$B$22,0))*(1+$B$4)^10))*IF(L77+IF($B$1+10&lt;=$B77,12*$B$7,-12*MAX(0,$B$6-IF($B$1+10&gt;=$B$23,$B$22,0))*(1+$B$4)^10)&gt;0,1+$B$3,1))</f>
        <v/>
      </c>
      <c r="N77">
        <f>IF($B$1+11&gt;90,M77,(M77+IF($B$1+11&lt;=$B77,12*$B$7,-12*MAX(0,$B$6-IF($B$1+11&gt;=$B$23,$B$22,0))*(1+$B$4)^11))*IF(M77+IF($B$1+11&lt;=$B77,12*$B$7,-12*MAX(0,$B$6-IF($B$1+11&gt;=$B$23,$B$22,0))*(1+$B$4)^11)&gt;0,1+$B$3,1))</f>
        <v/>
      </c>
      <c r="O77">
        <f>IF($B$1+12&gt;90,N77,(N77+IF($B$1+12&lt;=$B77,12*$B$7,-12*MAX(0,$B$6-IF($B$1+12&gt;=$B$23,$B$22,0))*(1+$B$4)^12))*IF(N77+IF($B$1+12&lt;=$B77,12*$B$7,-12*MAX(0,$B$6-IF($B$1+12&gt;=$B$23,$B$22,0))*(1+$B$4)^12)&gt;0,1+$B$3,1))</f>
        <v/>
      </c>
      <c r="P77">
        <f>IF($B$1+13&gt;90,O77,(O77+IF($B$1+13&lt;=$B77,12*$B$7,-12*MAX(0,$B$6-IF($B$1+13&gt;=$B$23,$B$22,0))*(1+$B$4)^13))*IF(O77+IF($B$1+13&lt;=$B77,12*$B$7,-12*MAX(0,$B$6-IF($B$1+13&gt;=$B$23,$B$22,0))*(1+$B$4)^13)&gt;0,1+$B$3,1))</f>
        <v/>
      </c>
      <c r="Q77">
        <f>IF($B$1+14&gt;90,P77,(P77+IF($B$1+14&lt;=$B77,12*$B$7,-12*MAX(0,$B$6-IF($B$1+14&gt;=$B$23,$B$22,0))*(1+$B$4)^14))*IF(P77+IF($B$1+14&lt;=$B77,12*$B$7,-12*MAX(0,$B$6-IF($B$1+14&gt;=$B$23,$B$22,0))*(1+$B$4)^14)&gt;0,1+$B$3,1))</f>
        <v/>
      </c>
      <c r="R77">
        <f>IF($B$1+15&gt;90,Q77,(Q77+IF($B$1+15&lt;=$B77,12*$B$7,-12*MAX(0,$B$6-IF($B$1+15&gt;=$B$23,$B$22,0))*(1+$B$4)^15))*IF(Q77+IF($B$1+15&lt;=$B77,12*$B$7,-12*MAX(0,$B$6-IF($B$1+15&gt;=$B$23,$B$22,0))*(1+$B$4)^15)&gt;0,1+$B$3,1))</f>
        <v/>
      </c>
      <c r="S77">
        <f>IF($B$1+16&gt;90,R77,(R77+IF($B$1+16&lt;=$B77,12*$B$7,-12*MAX(0,$B$6-IF($B$1+16&gt;=$B$23,$B$22,0))*(1+$B$4)^16))*IF(R77+IF($B$1+16&lt;=$B77,12*$B$7,-12*MAX(0,$B$6-IF($B$1+16&gt;=$B$23,$B$22,0))*(1+$B$4)^16)&gt;0,1+$B$3,1))</f>
        <v/>
      </c>
      <c r="T77">
        <f>IF($B$1+17&gt;90,S77,(S77+IF($B$1+17&lt;=$B77,12*$B$7,-12*MAX(0,$B$6-IF($B$1+17&gt;=$B$23,$B$22,0))*(1+$B$4)^17))*IF(S77+IF($B$1+17&lt;=$B77,12*$B$7,-12*MAX(0,$B$6-IF($B$1+17&gt;=$B$23,$B$22,0))*(1+$B$4)^17)&gt;0,1+$B$3,1))</f>
        <v/>
      </c>
      <c r="U77">
        <f>IF($B$1+18&gt;90,T77,(T77+IF($B$1+18&lt;=$B77,12*$B$7,-12*MAX(0,$B$6-IF($B$1+18&gt;=$B$23,$B$22,0))*(1+$B$4)^18))*IF(T77+IF($B$1+18&lt;=$B77,12*$B$7,-12*MAX(0,$B$6-IF($B$1+18&gt;=$B$23,$B$22,0))*(1+$B$4)^18)&gt;0,1+$B$3,1))</f>
        <v/>
      </c>
      <c r="V77">
        <f>IF($B$1+19&gt;90,U77,(U77+IF($B$1+19&lt;=$B77,12*$B$7,-12*MAX(0,$B$6-IF($B$1+19&gt;=$B$23,$B$22,0))*(1+$B$4)^19))*IF(U77+IF($B$1+19&lt;=$B77,12*$B$7,-12*MAX(0,$B$6-IF($B$1+19&gt;=$B$23,$B$22,0))*(1+$B$4)^19)&gt;0,1+$B$3,1))</f>
        <v/>
      </c>
      <c r="W77">
        <f>IF($B$1+20&gt;90,V77,(V77+IF($B$1+20&lt;=$B77,12*$B$7,-12*MAX(0,$B$6-IF($B$1+20&gt;=$B$23,$B$22,0))*(1+$B$4)^20))*IF(V77+IF($B$1+20&lt;=$B77,12*$B$7,-12*MAX(0,$B$6-IF($B$1+20&gt;=$B$23,$B$22,0))*(1+$B$4)^20)&gt;0,1+$B$3,1))</f>
        <v/>
      </c>
      <c r="X77">
        <f>IF($B$1+21&gt;90,W77,(W77+IF($B$1+21&lt;=$B77,12*$B$7,-12*MAX(0,$B$6-IF($B$1+21&gt;=$B$23,$B$22,0))*(1+$B$4)^21))*IF(W77+IF($B$1+21&lt;=$B77,12*$B$7,-12*MAX(0,$B$6-IF($B$1+21&gt;=$B$23,$B$22,0))*(1+$B$4)^21)&gt;0,1+$B$3,1))</f>
        <v/>
      </c>
      <c r="Y77">
        <f>IF($B$1+22&gt;90,X77,(X77+IF($B$1+22&lt;=$B77,12*$B$7,-12*MAX(0,$B$6-IF($B$1+22&gt;=$B$23,$B$22,0))*(1+$B$4)^22))*IF(X77+IF($B$1+22&lt;=$B77,12*$B$7,-12*MAX(0,$B$6-IF($B$1+22&gt;=$B$23,$B$22,0))*(1+$B$4)^22)&gt;0,1+$B$3,1))</f>
        <v/>
      </c>
      <c r="Z77">
        <f>IF($B$1+23&gt;90,Y77,(Y77+IF($B$1+23&lt;=$B77,12*$B$7,-12*MAX(0,$B$6-IF($B$1+23&gt;=$B$23,$B$22,0))*(1+$B$4)^23))*IF(Y77+IF($B$1+23&lt;=$B77,12*$B$7,-12*MAX(0,$B$6-IF($B$1+23&gt;=$B$23,$B$22,0))*(1+$B$4)^23)&gt;0,1+$B$3,1))</f>
        <v/>
      </c>
      <c r="AA77">
        <f>IF($B$1+24&gt;90,Z77,(Z77+IF($B$1+24&lt;=$B77,12*$B$7,-12*MAX(0,$B$6-IF($B$1+24&gt;=$B$23,$B$22,0))*(1+$B$4)^24))*IF(Z77+IF($B$1+24&lt;=$B77,12*$B$7,-12*MAX(0,$B$6-IF($B$1+24&gt;=$B$23,$B$22,0))*(1+$B$4)^24)&gt;0,1+$B$3,1))</f>
        <v/>
      </c>
      <c r="AB77">
        <f>IF($B$1+25&gt;90,AA77,(AA77+IF($B$1+25&lt;=$B77,12*$B$7,-12*MAX(0,$B$6-IF($B$1+25&gt;=$B$23,$B$22,0))*(1+$B$4)^25))*IF(AA77+IF($B$1+25&lt;=$B77,12*$B$7,-12*MAX(0,$B$6-IF($B$1+25&gt;=$B$23,$B$22,0))*(1+$B$4)^25)&gt;0,1+$B$3,1))</f>
        <v/>
      </c>
      <c r="AC77">
        <f>IF($B$1+26&gt;90,AB77,(AB77+IF($B$1+26&lt;=$B77,12*$B$7,-12*MAX(0,$B$6-IF($B$1+26&gt;=$B$23,$B$22,0))*(1+$B$4)^26))*IF(AB77+IF($B$1+26&lt;=$B77,12*$B$7,-12*MAX(0,$B$6-IF($B$1+26&gt;=$B$23,$B$22,0))*(1+$B$4)^26)&gt;0,1+$B$3,1))</f>
        <v/>
      </c>
      <c r="AD77">
        <f>IF($B$1+27&gt;90,AC77,(AC77+IF($B$1+27&lt;=$B77,12*$B$7,-12*MAX(0,$B$6-IF($B$1+27&gt;=$B$23,$B$22,0))*(1+$B$4)^27))*IF(AC77+IF($B$1+27&lt;=$B77,12*$B$7,-12*MAX(0,$B$6-IF($B$1+27&gt;=$B$23,$B$22,0))*(1+$B$4)^27)&gt;0,1+$B$3,1))</f>
        <v/>
      </c>
      <c r="AE77">
        <f>IF($B$1+28&gt;90,AD77,(AD77+IF($B$1+28&lt;=$B77,12*$B$7,-12*MAX(0,$B$6-IF($B$1+28&gt;=$B$23,$B$22,0))*(1+$B$4)^28))*IF(AD77+IF($B$1+28&lt;=$B77,12*$B$7,-12*MAX(0,$B$6-IF($B$1+28&gt;=$B$23,$B$22,0))*(1+$B$4)^28)&gt;0,1+$B$3,1))</f>
        <v/>
      </c>
      <c r="AF77">
        <f>IF($B$1+29&gt;90,AE77,(AE77+IF($B$1+29&lt;=$B77,12*$B$7,-12*MAX(0,$B$6-IF($B$1+29&gt;=$B$23,$B$22,0))*(1+$B$4)^29))*IF(AE77+IF($B$1+29&lt;=$B77,12*$B$7,-12*MAX(0,$B$6-IF($B$1+29&gt;=$B$23,$B$22,0))*(1+$B$4)^29)&gt;0,1+$B$3,1))</f>
        <v/>
      </c>
      <c r="AG77">
        <f>IF($B$1+30&gt;90,AF77,(AF77+IF($B$1+30&lt;=$B77,12*$B$7,-12*MAX(0,$B$6-IF($B$1+30&gt;=$B$23,$B$22,0))*(1+$B$4)^30))*IF(AF77+IF($B$1+30&lt;=$B77,12*$B$7,-12*MAX(0,$B$6-IF($B$1+30&gt;=$B$23,$B$22,0))*(1+$B$4)^30)&gt;0,1+$B$3,1))</f>
        <v/>
      </c>
      <c r="AH77">
        <f>IF($B$1+31&gt;90,AG77,(AG77+IF($B$1+31&lt;=$B77,12*$B$7,-12*MAX(0,$B$6-IF($B$1+31&gt;=$B$23,$B$22,0))*(1+$B$4)^31))*IF(AG77+IF($B$1+31&lt;=$B77,12*$B$7,-12*MAX(0,$B$6-IF($B$1+31&gt;=$B$23,$B$22,0))*(1+$B$4)^31)&gt;0,1+$B$3,1))</f>
        <v/>
      </c>
      <c r="AI77">
        <f>IF($B$1+32&gt;90,AH77,(AH77+IF($B$1+32&lt;=$B77,12*$B$7,-12*MAX(0,$B$6-IF($B$1+32&gt;=$B$23,$B$22,0))*(1+$B$4)^32))*IF(AH77+IF($B$1+32&lt;=$B77,12*$B$7,-12*MAX(0,$B$6-IF($B$1+32&gt;=$B$23,$B$22,0))*(1+$B$4)^32)&gt;0,1+$B$3,1))</f>
        <v/>
      </c>
      <c r="AJ77">
        <f>IF($B$1+33&gt;90,AI77,(AI77+IF($B$1+33&lt;=$B77,12*$B$7,-12*MAX(0,$B$6-IF($B$1+33&gt;=$B$23,$B$22,0))*(1+$B$4)^33))*IF(AI77+IF($B$1+33&lt;=$B77,12*$B$7,-12*MAX(0,$B$6-IF($B$1+33&gt;=$B$23,$B$22,0))*(1+$B$4)^33)&gt;0,1+$B$3,1))</f>
        <v/>
      </c>
      <c r="AK77">
        <f>IF($B$1+34&gt;90,AJ77,(AJ77+IF($B$1+34&lt;=$B77,12*$B$7,-12*MAX(0,$B$6-IF($B$1+34&gt;=$B$23,$B$22,0))*(1+$B$4)^34))*IF(AJ77+IF($B$1+34&lt;=$B77,12*$B$7,-12*MAX(0,$B$6-IF($B$1+34&gt;=$B$23,$B$22,0))*(1+$B$4)^34)&gt;0,1+$B$3,1))</f>
        <v/>
      </c>
      <c r="AL77">
        <f>IF($B$1+35&gt;90,AK77,(AK77+IF($B$1+35&lt;=$B77,12*$B$7,-12*MAX(0,$B$6-IF($B$1+35&gt;=$B$23,$B$22,0))*(1+$B$4)^35))*IF(AK77+IF($B$1+35&lt;=$B77,12*$B$7,-12*MAX(0,$B$6-IF($B$1+35&gt;=$B$23,$B$22,0))*(1+$B$4)^35)&gt;0,1+$B$3,1))</f>
        <v/>
      </c>
      <c r="AM77">
        <f>IF($B$1+36&gt;90,AL77,(AL77+IF($B$1+36&lt;=$B77,12*$B$7,-12*MAX(0,$B$6-IF($B$1+36&gt;=$B$23,$B$22,0))*(1+$B$4)^36))*IF(AL77+IF($B$1+36&lt;=$B77,12*$B$7,-12*MAX(0,$B$6-IF($B$1+36&gt;=$B$23,$B$22,0))*(1+$B$4)^36)&gt;0,1+$B$3,1))</f>
        <v/>
      </c>
      <c r="AN77">
        <f>IF($B$1+37&gt;90,AM77,(AM77+IF($B$1+37&lt;=$B77,12*$B$7,-12*MAX(0,$B$6-IF($B$1+37&gt;=$B$23,$B$22,0))*(1+$B$4)^37))*IF(AM77+IF($B$1+37&lt;=$B77,12*$B$7,-12*MAX(0,$B$6-IF($B$1+37&gt;=$B$23,$B$22,0))*(1+$B$4)^37)&gt;0,1+$B$3,1))</f>
        <v/>
      </c>
      <c r="AO77">
        <f>IF($B$1+38&gt;90,AN77,(AN77+IF($B$1+38&lt;=$B77,12*$B$7,-12*MAX(0,$B$6-IF($B$1+38&gt;=$B$23,$B$22,0))*(1+$B$4)^38))*IF(AN77+IF($B$1+38&lt;=$B77,12*$B$7,-12*MAX(0,$B$6-IF($B$1+38&gt;=$B$23,$B$22,0))*(1+$B$4)^38)&gt;0,1+$B$3,1))</f>
        <v/>
      </c>
      <c r="AP77">
        <f>IF($B$1+39&gt;90,AO77,(AO77+IF($B$1+39&lt;=$B77,12*$B$7,-12*MAX(0,$B$6-IF($B$1+39&gt;=$B$23,$B$22,0))*(1+$B$4)^39))*IF(AO77+IF($B$1+39&lt;=$B77,12*$B$7,-12*MAX(0,$B$6-IF($B$1+39&gt;=$B$23,$B$22,0))*(1+$B$4)^39)&gt;0,1+$B$3,1))</f>
        <v/>
      </c>
      <c r="AQ77">
        <f>IF($B$1+40&gt;90,AP77,(AP77+IF($B$1+40&lt;=$B77,12*$B$7,-12*MAX(0,$B$6-IF($B$1+40&gt;=$B$23,$B$22,0))*(1+$B$4)^40))*IF(AP77+IF($B$1+40&lt;=$B77,12*$B$7,-12*MAX(0,$B$6-IF($B$1+40&gt;=$B$23,$B$22,0))*(1+$B$4)^40)&gt;0,1+$B$3,1))</f>
        <v/>
      </c>
      <c r="AR77">
        <f>IF($B$1+41&gt;90,AQ77,(AQ77+IF($B$1+41&lt;=$B77,12*$B$7,-12*MAX(0,$B$6-IF($B$1+41&gt;=$B$23,$B$22,0))*(1+$B$4)^41))*IF(AQ77+IF($B$1+41&lt;=$B77,12*$B$7,-12*MAX(0,$B$6-IF($B$1+41&gt;=$B$23,$B$22,0))*(1+$B$4)^41)&gt;0,1+$B$3,1))</f>
        <v/>
      </c>
      <c r="AS77">
        <f>IF($B$1+42&gt;90,AR77,(AR77+IF($B$1+42&lt;=$B77,12*$B$7,-12*MAX(0,$B$6-IF($B$1+42&gt;=$B$23,$B$22,0))*(1+$B$4)^42))*IF(AR77+IF($B$1+42&lt;=$B77,12*$B$7,-12*MAX(0,$B$6-IF($B$1+42&gt;=$B$23,$B$22,0))*(1+$B$4)^42)&gt;0,1+$B$3,1))</f>
        <v/>
      </c>
      <c r="AT77">
        <f>IF($B$1+43&gt;90,AS77,(AS77+IF($B$1+43&lt;=$B77,12*$B$7,-12*MAX(0,$B$6-IF($B$1+43&gt;=$B$23,$B$22,0))*(1+$B$4)^43))*IF(AS77+IF($B$1+43&lt;=$B77,12*$B$7,-12*MAX(0,$B$6-IF($B$1+43&gt;=$B$23,$B$22,0))*(1+$B$4)^43)&gt;0,1+$B$3,1))</f>
        <v/>
      </c>
      <c r="AU77">
        <f>IF($B$1+44&gt;90,AT77,(AT77+IF($B$1+44&lt;=$B77,12*$B$7,-12*MAX(0,$B$6-IF($B$1+44&gt;=$B$23,$B$22,0))*(1+$B$4)^44))*IF(AT77+IF($B$1+44&lt;=$B77,12*$B$7,-12*MAX(0,$B$6-IF($B$1+44&gt;=$B$23,$B$22,0))*(1+$B$4)^44)&gt;0,1+$B$3,1))</f>
        <v/>
      </c>
      <c r="AV77">
        <f>IF($B$1+45&gt;90,AU77,(AU77+IF($B$1+45&lt;=$B77,12*$B$7,-12*MAX(0,$B$6-IF($B$1+45&gt;=$B$23,$B$22,0))*(1+$B$4)^45))*IF(AU77+IF($B$1+45&lt;=$B77,12*$B$7,-12*MAX(0,$B$6-IF($B$1+45&gt;=$B$23,$B$22,0))*(1+$B$4)^45)&gt;0,1+$B$3,1))</f>
        <v/>
      </c>
      <c r="AW77">
        <f>IF($B$1+46&gt;90,AV77,(AV77+IF($B$1+46&lt;=$B77,12*$B$7,-12*MAX(0,$B$6-IF($B$1+46&gt;=$B$23,$B$22,0))*(1+$B$4)^46))*IF(AV77+IF($B$1+46&lt;=$B77,12*$B$7,-12*MAX(0,$B$6-IF($B$1+46&gt;=$B$23,$B$22,0))*(1+$B$4)^46)&gt;0,1+$B$3,1))</f>
        <v/>
      </c>
      <c r="AX77">
        <f>IF($B$1+47&gt;90,AW77,(AW77+IF($B$1+47&lt;=$B77,12*$B$7,-12*MAX(0,$B$6-IF($B$1+47&gt;=$B$23,$B$22,0))*(1+$B$4)^47))*IF(AW77+IF($B$1+47&lt;=$B77,12*$B$7,-12*MAX(0,$B$6-IF($B$1+47&gt;=$B$23,$B$22,0))*(1+$B$4)^47)&gt;0,1+$B$3,1))</f>
        <v/>
      </c>
      <c r="AY77">
        <f>IF($B$1+48&gt;90,AX77,(AX77+IF($B$1+48&lt;=$B77,12*$B$7,-12*MAX(0,$B$6-IF($B$1+48&gt;=$B$23,$B$22,0))*(1+$B$4)^48))*IF(AX77+IF($B$1+48&lt;=$B77,12*$B$7,-12*MAX(0,$B$6-IF($B$1+48&gt;=$B$23,$B$22,0))*(1+$B$4)^48)&gt;0,1+$B$3,1))</f>
        <v/>
      </c>
      <c r="AZ77">
        <f>IF($B$1+49&gt;90,AY77,(AY77+IF($B$1+49&lt;=$B77,12*$B$7,-12*MAX(0,$B$6-IF($B$1+49&gt;=$B$23,$B$22,0))*(1+$B$4)^49))*IF(AY77+IF($B$1+49&lt;=$B77,12*$B$7,-12*MAX(0,$B$6-IF($B$1+49&gt;=$B$23,$B$22,0))*(1+$B$4)^49)&gt;0,1+$B$3,1))</f>
        <v/>
      </c>
      <c r="BA77">
        <f>IF($B$1+50&gt;90,AZ77,(AZ77+IF($B$1+50&lt;=$B77,12*$B$7,-12*MAX(0,$B$6-IF($B$1+50&gt;=$B$23,$B$22,0))*(1+$B$4)^50))*IF(AZ77+IF($B$1+50&lt;=$B77,12*$B$7,-12*MAX(0,$B$6-IF($B$1+50&gt;=$B$23,$B$22,0))*(1+$B$4)^50)&gt;0,1+$B$3,1))</f>
        <v/>
      </c>
      <c r="BB77">
        <f>IF($B$1+51&gt;90,BA77,(BA77+IF($B$1+51&lt;=$B77,12*$B$7,-12*MAX(0,$B$6-IF($B$1+51&gt;=$B$23,$B$22,0))*(1+$B$4)^51))*IF(BA77+IF($B$1+51&lt;=$B77,12*$B$7,-12*MAX(0,$B$6-IF($B$1+51&gt;=$B$23,$B$22,0))*(1+$B$4)^51)&gt;0,1+$B$3,1))</f>
        <v/>
      </c>
      <c r="BC77">
        <f>IF($B$1+52&gt;90,BB77,(BB77+IF($B$1+52&lt;=$B77,12*$B$7,-12*MAX(0,$B$6-IF($B$1+52&gt;=$B$23,$B$22,0))*(1+$B$4)^52))*IF(BB77+IF($B$1+52&lt;=$B77,12*$B$7,-12*MAX(0,$B$6-IF($B$1+52&gt;=$B$23,$B$22,0))*(1+$B$4)^52)&gt;0,1+$B$3,1))</f>
        <v/>
      </c>
      <c r="BD77">
        <f>IF($B$1+53&gt;90,BC77,(BC77+IF($B$1+53&lt;=$B77,12*$B$7,-12*MAX(0,$B$6-IF($B$1+53&gt;=$B$23,$B$22,0))*(1+$B$4)^53))*IF(BC77+IF($B$1+53&lt;=$B77,12*$B$7,-12*MAX(0,$B$6-IF($B$1+53&gt;=$B$23,$B$22,0))*(1+$B$4)^53)&gt;0,1+$B$3,1))</f>
        <v/>
      </c>
      <c r="BE77">
        <f>IF($B$1+54&gt;90,BD77,(BD77+IF($B$1+54&lt;=$B77,12*$B$7,-12*MAX(0,$B$6-IF($B$1+54&gt;=$B$23,$B$22,0))*(1+$B$4)^54))*IF(BD77+IF($B$1+54&lt;=$B77,12*$B$7,-12*MAX(0,$B$6-IF($B$1+54&gt;=$B$23,$B$22,0))*(1+$B$4)^54)&gt;0,1+$B$3,1))</f>
        <v/>
      </c>
      <c r="BF77">
        <f>IF($B$1+55&gt;90,BE77,(BE77+IF($B$1+55&lt;=$B77,12*$B$7,-12*MAX(0,$B$6-IF($B$1+55&gt;=$B$23,$B$22,0))*(1+$B$4)^55))*IF(BE77+IF($B$1+55&lt;=$B77,12*$B$7,-12*MAX(0,$B$6-IF($B$1+55&gt;=$B$23,$B$22,0))*(1+$B$4)^55)&gt;0,1+$B$3,1))</f>
        <v/>
      </c>
      <c r="BG77">
        <f>IF($B$1+56&gt;90,BF77,(BF77+IF($B$1+56&lt;=$B77,12*$B$7,-12*MAX(0,$B$6-IF($B$1+56&gt;=$B$23,$B$22,0))*(1+$B$4)^56))*IF(BF77+IF($B$1+56&lt;=$B77,12*$B$7,-12*MAX(0,$B$6-IF($B$1+56&gt;=$B$23,$B$22,0))*(1+$B$4)^56)&gt;0,1+$B$3,1))</f>
        <v/>
      </c>
      <c r="BH77">
        <f>IF($B$1+57&gt;90,BG77,(BG77+IF($B$1+57&lt;=$B77,12*$B$7,-12*MAX(0,$B$6-IF($B$1+57&gt;=$B$23,$B$22,0))*(1+$B$4)^57))*IF(BG77+IF($B$1+57&lt;=$B77,12*$B$7,-12*MAX(0,$B$6-IF($B$1+57&gt;=$B$23,$B$22,0))*(1+$B$4)^57)&gt;0,1+$B$3,1))</f>
        <v/>
      </c>
      <c r="BI77">
        <f>IF($B$1+58&gt;90,BH77,(BH77+IF($B$1+58&lt;=$B77,12*$B$7,-12*MAX(0,$B$6-IF($B$1+58&gt;=$B$23,$B$22,0))*(1+$B$4)^58))*IF(BH77+IF($B$1+58&lt;=$B77,12*$B$7,-12*MAX(0,$B$6-IF($B$1+58&gt;=$B$23,$B$22,0))*(1+$B$4)^58)&gt;0,1+$B$3,1))</f>
        <v/>
      </c>
      <c r="BJ77">
        <f>IF($B$1+59&gt;90,BI77,(BI77+IF($B$1+59&lt;=$B77,12*$B$7,-12*MAX(0,$B$6-IF($B$1+59&gt;=$B$23,$B$22,0))*(1+$B$4)^59))*IF(BI77+IF($B$1+59&lt;=$B77,12*$B$7,-12*MAX(0,$B$6-IF($B$1+59&gt;=$B$23,$B$22,0))*(1+$B$4)^59)&gt;0,1+$B$3,1))</f>
        <v/>
      </c>
      <c r="BK77">
        <f>IF($B$1+60&gt;90,BJ77,(BJ77+IF($B$1+60&lt;=$B77,12*$B$7,-12*MAX(0,$B$6-IF($B$1+60&gt;=$B$23,$B$22,0))*(1+$B$4)^60))*IF(BJ77+IF($B$1+60&lt;=$B77,12*$B$7,-12*MAX(0,$B$6-IF($B$1+60&gt;=$B$23,$B$22,0))*(1+$B$4)^60)&gt;0,1+$B$3,1))</f>
        <v/>
      </c>
      <c r="BL77">
        <f>IF($B$1+61&gt;90,BK77,(BK77+IF($B$1+61&lt;=$B77,12*$B$7,-12*MAX(0,$B$6-IF($B$1+61&gt;=$B$23,$B$22,0))*(1+$B$4)^61))*IF(BK77+IF($B$1+61&lt;=$B77,12*$B$7,-12*MAX(0,$B$6-IF($B$1+61&gt;=$B$23,$B$22,0))*(1+$B$4)^61)&gt;0,1+$B$3,1))</f>
        <v/>
      </c>
      <c r="BM77">
        <f>IF($B$1+62&gt;90,BL77,(BL77+IF($B$1+62&lt;=$B77,12*$B$7,-12*MAX(0,$B$6-IF($B$1+62&gt;=$B$23,$B$22,0))*(1+$B$4)^62))*IF(BL77+IF($B$1+62&lt;=$B77,12*$B$7,-12*MAX(0,$B$6-IF($B$1+62&gt;=$B$23,$B$22,0))*(1+$B$4)^62)&gt;0,1+$B$3,1))</f>
        <v/>
      </c>
      <c r="BN77">
        <f>IF($B$1+63&gt;90,BM77,(BM77+IF($B$1+63&lt;=$B77,12*$B$7,-12*MAX(0,$B$6-IF($B$1+63&gt;=$B$23,$B$22,0))*(1+$B$4)^63))*IF(BM77+IF($B$1+63&lt;=$B77,12*$B$7,-12*MAX(0,$B$6-IF($B$1+63&gt;=$B$23,$B$22,0))*(1+$B$4)^63)&gt;0,1+$B$3,1))</f>
        <v/>
      </c>
      <c r="BO77">
        <f>IF($B$1+64&gt;90,BN77,(BN77+IF($B$1+64&lt;=$B77,12*$B$7,-12*MAX(0,$B$6-IF($B$1+64&gt;=$B$23,$B$22,0))*(1+$B$4)^64))*IF(BN77+IF($B$1+64&lt;=$B77,12*$B$7,-12*MAX(0,$B$6-IF($B$1+64&gt;=$B$23,$B$22,0))*(1+$B$4)^64)&gt;0,1+$B$3,1))</f>
        <v/>
      </c>
      <c r="BP77">
        <f>IF($B$1+65&gt;90,BO77,(BO77+IF($B$1+65&lt;=$B77,12*$B$7,-12*MAX(0,$B$6-IF($B$1+65&gt;=$B$23,$B$22,0))*(1+$B$4)^65))*IF(BO77+IF($B$1+65&lt;=$B77,12*$B$7,-12*MAX(0,$B$6-IF($B$1+65&gt;=$B$23,$B$22,0))*(1+$B$4)^65)&gt;0,1+$B$3,1))</f>
        <v/>
      </c>
      <c r="BQ77">
        <f>IF($B$1+66&gt;90,BP77,(BP77+IF($B$1+66&lt;=$B77,12*$B$7,-12*MAX(0,$B$6-IF($B$1+66&gt;=$B$23,$B$22,0))*(1+$B$4)^66))*IF(BP77+IF($B$1+66&lt;=$B77,12*$B$7,-12*MAX(0,$B$6-IF($B$1+66&gt;=$B$23,$B$22,0))*(1+$B$4)^66)&gt;0,1+$B$3,1))</f>
        <v/>
      </c>
      <c r="BR77">
        <f>IF($B$1+67&gt;90,BQ77,(BQ77+IF($B$1+67&lt;=$B77,12*$B$7,-12*MAX(0,$B$6-IF($B$1+67&gt;=$B$23,$B$22,0))*(1+$B$4)^67))*IF(BQ77+IF($B$1+67&lt;=$B77,12*$B$7,-12*MAX(0,$B$6-IF($B$1+67&gt;=$B$23,$B$22,0))*(1+$B$4)^67)&gt;0,1+$B$3,1))</f>
        <v/>
      </c>
      <c r="BS77">
        <f>IF($B$1+68&gt;90,BR77,(BR77+IF($B$1+68&lt;=$B77,12*$B$7,-12*MAX(0,$B$6-IF($B$1+68&gt;=$B$23,$B$22,0))*(1+$B$4)^68))*IF(BR77+IF($B$1+68&lt;=$B77,12*$B$7,-12*MAX(0,$B$6-IF($B$1+68&gt;=$B$23,$B$22,0))*(1+$B$4)^68)&gt;0,1+$B$3,1))</f>
        <v/>
      </c>
      <c r="BT77">
        <f>IF($B$1+69&gt;90,BS77,(BS77+IF($B$1+69&lt;=$B77,12*$B$7,-12*MAX(0,$B$6-IF($B$1+69&gt;=$B$23,$B$22,0))*(1+$B$4)^69))*IF(BS77+IF($B$1+69&lt;=$B77,12*$B$7,-12*MAX(0,$B$6-IF($B$1+69&gt;=$B$23,$B$22,0))*(1+$B$4)^69)&gt;0,1+$B$3,1))</f>
        <v/>
      </c>
      <c r="BU77">
        <f>IF($B$1+70&gt;90,BT77,(BT77+IF($B$1+70&lt;=$B77,12*$B$7,-12*MAX(0,$B$6-IF($B$1+70&gt;=$B$23,$B$22,0))*(1+$B$4)^70))*IF(BT77+IF($B$1+70&lt;=$B77,12*$B$7,-12*MAX(0,$B$6-IF($B$1+70&gt;=$B$23,$B$22,0))*(1+$B$4)^70)&gt;0,1+$B$3,1))</f>
        <v/>
      </c>
      <c r="BV77">
        <f>BU77</f>
        <v/>
      </c>
      <c r="BW77">
        <f>IF(AND($B77&lt;=70,BV77&gt;0),$B77,999)</f>
        <v/>
      </c>
      <c r="CH77">
        <f>IF(ISTEXT('월 가계부'!A77),SUBSTITUTE(SUBSTITUTE(SUBSTITUTE(SUBSTITUTE(SUBSTITUTE(SUBSTITUTE(SUBSTITUTE(SUBSTITUTE(SUBSTITUTE(TRIM('월 가계부'!A77),"년","-"),"월","-"),"일",""),".","-"),"/","-")," ","-"),"--","-"),"--","-"),"--","-")&amp;"-","")</f>
        <v/>
      </c>
      <c r="CI77">
        <f>IFERROR(IF('월 가계부'!A77="","",IF(ISNUMBER('월 가계부'!A77),IF(AND('월 가계부'!A77&gt;=19000101,'월 가계부'!A77&lt;=21001231),IF(AND(MOD(INT('월 가계부'!A77/100),100)&gt;=1,MOD(INT('월 가계부'!A77/100),100)&lt;=12,MOD(INT('월 가계부'!A77),100)&gt;=1,MOD(INT('월 가계부'!A77),100)&lt;=31),IF(MONTH(DATE(INT('월 가계부'!A77/10000),MOD(INT('월 가계부'!A77/100),100),MOD(INT('월 가계부'!A77),100)))=MOD(INT('월 가계부'!A77/100),100),DATE(INT('월 가계부'!A77/10000),MOD(INT('월 가계부'!A77/100),100),MOD(INT('월 가계부'!A77),100)),""),""),IF(AND('월 가계부'!A77&gt;=36526,'월 가계부'!A77&lt;73051),INT('월 가계부'!A77),"")),IF(OR(CM77="",CN77="",CO77=""),"",IF(AND(CM77&gt;=2000,CM77&lt;=2099,CN77&gt;=1,CN77&lt;=12,CO77&gt;=1,CO77&lt;=31),IF(MONTH(DATE(CM77,CN77,CO77))=CN77,DATE(CM77,CN77,CO77),""),"")))),"")</f>
        <v/>
      </c>
      <c r="CJ77">
        <f>IFERROR(IF('월 가계부'!C77="","",IF(ISNUMBER('월 가계부'!C77),'월 가계부'!C77,VALUE(SUBSTITUTE(SUBSTITUTE(SUBSTITUTE(SUBSTITUTE(TRIM('월 가계부'!C77),",",""),"원","")," ",""),"−","-")))),"")</f>
        <v/>
      </c>
      <c r="CK77">
        <f>IF(ISNUMBER(CI77),IF(CI77&lt;$B$13,CI77,""),"")</f>
        <v/>
      </c>
      <c r="CM77">
        <f>IF(CH77="","",IFERROR(IF(IF(AND(LEN(CH77)=9,ISERROR(FIND("-",LEFT(CH77,8))),ISNUMBER(-LEFT(CH77,8))),VALUE(LEFT(CH77,4)),VALUE(LEFT(CH77,FIND("-",CH77)-1)))&lt;100,IF(AND(LEN(CH77)=9,ISERROR(FIND("-",LEFT(CH77,8))),ISNUMBER(-LEFT(CH77,8))),VALUE(LEFT(CH77,4)),VALUE(LEFT(CH77,FIND("-",CH77)-1)))+2000,IF(AND(LEN(CH77)=9,ISERROR(FIND("-",LEFT(CH77,8))),ISNUMBER(-LEFT(CH77,8))),VALUE(LEFT(CH77,4)),VALUE(LEFT(CH77,FIND("-",CH77)-1)))),""))</f>
        <v/>
      </c>
      <c r="CN77">
        <f>IF(CH77="","",IFERROR(IF(AND(LEN(CH77)=9,ISERROR(FIND("-",LEFT(CH77,8))),ISNUMBER(-LEFT(CH77,8))),VALUE(MID(CH77,5,2)),VALUE(MID(CH77,FIND("-",CH77)+1,FIND("-",CH77,FIND("-",CH77)+1)-FIND("-",CH77)-1))),""))</f>
        <v/>
      </c>
      <c r="CO77">
        <f>IF(CH77="","",IFERROR(IF(AND(LEN(CH77)=9,ISERROR(FIND("-",LEFT(CH77,8))),ISNUMBER(-LEFT(CH77,8))),VALUE(MID(CH77,7,2)),VALUE(MID(CH77,FIND("-",CH77,FIND("-",CH77)+1)+1,FIND("-",CH77,FIND("-",CH77,FIND("-",CH77)+1)+1)-FIND("-",CH77,FIND("-",CH77)+1)-1))),""))</f>
        <v/>
      </c>
    </row>
    <row r="78">
      <c r="A78" t="n">
        <v>38</v>
      </c>
      <c r="B78">
        <f>$B$1+38</f>
        <v/>
      </c>
      <c r="C78">
        <f>$B$2</f>
        <v/>
      </c>
      <c r="D78">
        <f>IF($B$1+1&gt;90,C78,(C78+IF($B$1+1&lt;=$B78,12*$B$7,-12*MAX(0,$B$6-IF($B$1+1&gt;=$B$23,$B$22,0))*(1+$B$4)^1))*IF(C78+IF($B$1+1&lt;=$B78,12*$B$7,-12*MAX(0,$B$6-IF($B$1+1&gt;=$B$23,$B$22,0))*(1+$B$4)^1)&gt;0,1+$B$3,1))</f>
        <v/>
      </c>
      <c r="E78">
        <f>IF($B$1+2&gt;90,D78,(D78+IF($B$1+2&lt;=$B78,12*$B$7,-12*MAX(0,$B$6-IF($B$1+2&gt;=$B$23,$B$22,0))*(1+$B$4)^2))*IF(D78+IF($B$1+2&lt;=$B78,12*$B$7,-12*MAX(0,$B$6-IF($B$1+2&gt;=$B$23,$B$22,0))*(1+$B$4)^2)&gt;0,1+$B$3,1))</f>
        <v/>
      </c>
      <c r="F78">
        <f>IF($B$1+3&gt;90,E78,(E78+IF($B$1+3&lt;=$B78,12*$B$7,-12*MAX(0,$B$6-IF($B$1+3&gt;=$B$23,$B$22,0))*(1+$B$4)^3))*IF(E78+IF($B$1+3&lt;=$B78,12*$B$7,-12*MAX(0,$B$6-IF($B$1+3&gt;=$B$23,$B$22,0))*(1+$B$4)^3)&gt;0,1+$B$3,1))</f>
        <v/>
      </c>
      <c r="G78">
        <f>IF($B$1+4&gt;90,F78,(F78+IF($B$1+4&lt;=$B78,12*$B$7,-12*MAX(0,$B$6-IF($B$1+4&gt;=$B$23,$B$22,0))*(1+$B$4)^4))*IF(F78+IF($B$1+4&lt;=$B78,12*$B$7,-12*MAX(0,$B$6-IF($B$1+4&gt;=$B$23,$B$22,0))*(1+$B$4)^4)&gt;0,1+$B$3,1))</f>
        <v/>
      </c>
      <c r="H78">
        <f>IF($B$1+5&gt;90,G78,(G78+IF($B$1+5&lt;=$B78,12*$B$7,-12*MAX(0,$B$6-IF($B$1+5&gt;=$B$23,$B$22,0))*(1+$B$4)^5))*IF(G78+IF($B$1+5&lt;=$B78,12*$B$7,-12*MAX(0,$B$6-IF($B$1+5&gt;=$B$23,$B$22,0))*(1+$B$4)^5)&gt;0,1+$B$3,1))</f>
        <v/>
      </c>
      <c r="I78">
        <f>IF($B$1+6&gt;90,H78,(H78+IF($B$1+6&lt;=$B78,12*$B$7,-12*MAX(0,$B$6-IF($B$1+6&gt;=$B$23,$B$22,0))*(1+$B$4)^6))*IF(H78+IF($B$1+6&lt;=$B78,12*$B$7,-12*MAX(0,$B$6-IF($B$1+6&gt;=$B$23,$B$22,0))*(1+$B$4)^6)&gt;0,1+$B$3,1))</f>
        <v/>
      </c>
      <c r="J78">
        <f>IF($B$1+7&gt;90,I78,(I78+IF($B$1+7&lt;=$B78,12*$B$7,-12*MAX(0,$B$6-IF($B$1+7&gt;=$B$23,$B$22,0))*(1+$B$4)^7))*IF(I78+IF($B$1+7&lt;=$B78,12*$B$7,-12*MAX(0,$B$6-IF($B$1+7&gt;=$B$23,$B$22,0))*(1+$B$4)^7)&gt;0,1+$B$3,1))</f>
        <v/>
      </c>
      <c r="K78">
        <f>IF($B$1+8&gt;90,J78,(J78+IF($B$1+8&lt;=$B78,12*$B$7,-12*MAX(0,$B$6-IF($B$1+8&gt;=$B$23,$B$22,0))*(1+$B$4)^8))*IF(J78+IF($B$1+8&lt;=$B78,12*$B$7,-12*MAX(0,$B$6-IF($B$1+8&gt;=$B$23,$B$22,0))*(1+$B$4)^8)&gt;0,1+$B$3,1))</f>
        <v/>
      </c>
      <c r="L78">
        <f>IF($B$1+9&gt;90,K78,(K78+IF($B$1+9&lt;=$B78,12*$B$7,-12*MAX(0,$B$6-IF($B$1+9&gt;=$B$23,$B$22,0))*(1+$B$4)^9))*IF(K78+IF($B$1+9&lt;=$B78,12*$B$7,-12*MAX(0,$B$6-IF($B$1+9&gt;=$B$23,$B$22,0))*(1+$B$4)^9)&gt;0,1+$B$3,1))</f>
        <v/>
      </c>
      <c r="M78">
        <f>IF($B$1+10&gt;90,L78,(L78+IF($B$1+10&lt;=$B78,12*$B$7,-12*MAX(0,$B$6-IF($B$1+10&gt;=$B$23,$B$22,0))*(1+$B$4)^10))*IF(L78+IF($B$1+10&lt;=$B78,12*$B$7,-12*MAX(0,$B$6-IF($B$1+10&gt;=$B$23,$B$22,0))*(1+$B$4)^10)&gt;0,1+$B$3,1))</f>
        <v/>
      </c>
      <c r="N78">
        <f>IF($B$1+11&gt;90,M78,(M78+IF($B$1+11&lt;=$B78,12*$B$7,-12*MAX(0,$B$6-IF($B$1+11&gt;=$B$23,$B$22,0))*(1+$B$4)^11))*IF(M78+IF($B$1+11&lt;=$B78,12*$B$7,-12*MAX(0,$B$6-IF($B$1+11&gt;=$B$23,$B$22,0))*(1+$B$4)^11)&gt;0,1+$B$3,1))</f>
        <v/>
      </c>
      <c r="O78">
        <f>IF($B$1+12&gt;90,N78,(N78+IF($B$1+12&lt;=$B78,12*$B$7,-12*MAX(0,$B$6-IF($B$1+12&gt;=$B$23,$B$22,0))*(1+$B$4)^12))*IF(N78+IF($B$1+12&lt;=$B78,12*$B$7,-12*MAX(0,$B$6-IF($B$1+12&gt;=$B$23,$B$22,0))*(1+$B$4)^12)&gt;0,1+$B$3,1))</f>
        <v/>
      </c>
      <c r="P78">
        <f>IF($B$1+13&gt;90,O78,(O78+IF($B$1+13&lt;=$B78,12*$B$7,-12*MAX(0,$B$6-IF($B$1+13&gt;=$B$23,$B$22,0))*(1+$B$4)^13))*IF(O78+IF($B$1+13&lt;=$B78,12*$B$7,-12*MAX(0,$B$6-IF($B$1+13&gt;=$B$23,$B$22,0))*(1+$B$4)^13)&gt;0,1+$B$3,1))</f>
        <v/>
      </c>
      <c r="Q78">
        <f>IF($B$1+14&gt;90,P78,(P78+IF($B$1+14&lt;=$B78,12*$B$7,-12*MAX(0,$B$6-IF($B$1+14&gt;=$B$23,$B$22,0))*(1+$B$4)^14))*IF(P78+IF($B$1+14&lt;=$B78,12*$B$7,-12*MAX(0,$B$6-IF($B$1+14&gt;=$B$23,$B$22,0))*(1+$B$4)^14)&gt;0,1+$B$3,1))</f>
        <v/>
      </c>
      <c r="R78">
        <f>IF($B$1+15&gt;90,Q78,(Q78+IF($B$1+15&lt;=$B78,12*$B$7,-12*MAX(0,$B$6-IF($B$1+15&gt;=$B$23,$B$22,0))*(1+$B$4)^15))*IF(Q78+IF($B$1+15&lt;=$B78,12*$B$7,-12*MAX(0,$B$6-IF($B$1+15&gt;=$B$23,$B$22,0))*(1+$B$4)^15)&gt;0,1+$B$3,1))</f>
        <v/>
      </c>
      <c r="S78">
        <f>IF($B$1+16&gt;90,R78,(R78+IF($B$1+16&lt;=$B78,12*$B$7,-12*MAX(0,$B$6-IF($B$1+16&gt;=$B$23,$B$22,0))*(1+$B$4)^16))*IF(R78+IF($B$1+16&lt;=$B78,12*$B$7,-12*MAX(0,$B$6-IF($B$1+16&gt;=$B$23,$B$22,0))*(1+$B$4)^16)&gt;0,1+$B$3,1))</f>
        <v/>
      </c>
      <c r="T78">
        <f>IF($B$1+17&gt;90,S78,(S78+IF($B$1+17&lt;=$B78,12*$B$7,-12*MAX(0,$B$6-IF($B$1+17&gt;=$B$23,$B$22,0))*(1+$B$4)^17))*IF(S78+IF($B$1+17&lt;=$B78,12*$B$7,-12*MAX(0,$B$6-IF($B$1+17&gt;=$B$23,$B$22,0))*(1+$B$4)^17)&gt;0,1+$B$3,1))</f>
        <v/>
      </c>
      <c r="U78">
        <f>IF($B$1+18&gt;90,T78,(T78+IF($B$1+18&lt;=$B78,12*$B$7,-12*MAX(0,$B$6-IF($B$1+18&gt;=$B$23,$B$22,0))*(1+$B$4)^18))*IF(T78+IF($B$1+18&lt;=$B78,12*$B$7,-12*MAX(0,$B$6-IF($B$1+18&gt;=$B$23,$B$22,0))*(1+$B$4)^18)&gt;0,1+$B$3,1))</f>
        <v/>
      </c>
      <c r="V78">
        <f>IF($B$1+19&gt;90,U78,(U78+IF($B$1+19&lt;=$B78,12*$B$7,-12*MAX(0,$B$6-IF($B$1+19&gt;=$B$23,$B$22,0))*(1+$B$4)^19))*IF(U78+IF($B$1+19&lt;=$B78,12*$B$7,-12*MAX(0,$B$6-IF($B$1+19&gt;=$B$23,$B$22,0))*(1+$B$4)^19)&gt;0,1+$B$3,1))</f>
        <v/>
      </c>
      <c r="W78">
        <f>IF($B$1+20&gt;90,V78,(V78+IF($B$1+20&lt;=$B78,12*$B$7,-12*MAX(0,$B$6-IF($B$1+20&gt;=$B$23,$B$22,0))*(1+$B$4)^20))*IF(V78+IF($B$1+20&lt;=$B78,12*$B$7,-12*MAX(0,$B$6-IF($B$1+20&gt;=$B$23,$B$22,0))*(1+$B$4)^20)&gt;0,1+$B$3,1))</f>
        <v/>
      </c>
      <c r="X78">
        <f>IF($B$1+21&gt;90,W78,(W78+IF($B$1+21&lt;=$B78,12*$B$7,-12*MAX(0,$B$6-IF($B$1+21&gt;=$B$23,$B$22,0))*(1+$B$4)^21))*IF(W78+IF($B$1+21&lt;=$B78,12*$B$7,-12*MAX(0,$B$6-IF($B$1+21&gt;=$B$23,$B$22,0))*(1+$B$4)^21)&gt;0,1+$B$3,1))</f>
        <v/>
      </c>
      <c r="Y78">
        <f>IF($B$1+22&gt;90,X78,(X78+IF($B$1+22&lt;=$B78,12*$B$7,-12*MAX(0,$B$6-IF($B$1+22&gt;=$B$23,$B$22,0))*(1+$B$4)^22))*IF(X78+IF($B$1+22&lt;=$B78,12*$B$7,-12*MAX(0,$B$6-IF($B$1+22&gt;=$B$23,$B$22,0))*(1+$B$4)^22)&gt;0,1+$B$3,1))</f>
        <v/>
      </c>
      <c r="Z78">
        <f>IF($B$1+23&gt;90,Y78,(Y78+IF($B$1+23&lt;=$B78,12*$B$7,-12*MAX(0,$B$6-IF($B$1+23&gt;=$B$23,$B$22,0))*(1+$B$4)^23))*IF(Y78+IF($B$1+23&lt;=$B78,12*$B$7,-12*MAX(0,$B$6-IF($B$1+23&gt;=$B$23,$B$22,0))*(1+$B$4)^23)&gt;0,1+$B$3,1))</f>
        <v/>
      </c>
      <c r="AA78">
        <f>IF($B$1+24&gt;90,Z78,(Z78+IF($B$1+24&lt;=$B78,12*$B$7,-12*MAX(0,$B$6-IF($B$1+24&gt;=$B$23,$B$22,0))*(1+$B$4)^24))*IF(Z78+IF($B$1+24&lt;=$B78,12*$B$7,-12*MAX(0,$B$6-IF($B$1+24&gt;=$B$23,$B$22,0))*(1+$B$4)^24)&gt;0,1+$B$3,1))</f>
        <v/>
      </c>
      <c r="AB78">
        <f>IF($B$1+25&gt;90,AA78,(AA78+IF($B$1+25&lt;=$B78,12*$B$7,-12*MAX(0,$B$6-IF($B$1+25&gt;=$B$23,$B$22,0))*(1+$B$4)^25))*IF(AA78+IF($B$1+25&lt;=$B78,12*$B$7,-12*MAX(0,$B$6-IF($B$1+25&gt;=$B$23,$B$22,0))*(1+$B$4)^25)&gt;0,1+$B$3,1))</f>
        <v/>
      </c>
      <c r="AC78">
        <f>IF($B$1+26&gt;90,AB78,(AB78+IF($B$1+26&lt;=$B78,12*$B$7,-12*MAX(0,$B$6-IF($B$1+26&gt;=$B$23,$B$22,0))*(1+$B$4)^26))*IF(AB78+IF($B$1+26&lt;=$B78,12*$B$7,-12*MAX(0,$B$6-IF($B$1+26&gt;=$B$23,$B$22,0))*(1+$B$4)^26)&gt;0,1+$B$3,1))</f>
        <v/>
      </c>
      <c r="AD78">
        <f>IF($B$1+27&gt;90,AC78,(AC78+IF($B$1+27&lt;=$B78,12*$B$7,-12*MAX(0,$B$6-IF($B$1+27&gt;=$B$23,$B$22,0))*(1+$B$4)^27))*IF(AC78+IF($B$1+27&lt;=$B78,12*$B$7,-12*MAX(0,$B$6-IF($B$1+27&gt;=$B$23,$B$22,0))*(1+$B$4)^27)&gt;0,1+$B$3,1))</f>
        <v/>
      </c>
      <c r="AE78">
        <f>IF($B$1+28&gt;90,AD78,(AD78+IF($B$1+28&lt;=$B78,12*$B$7,-12*MAX(0,$B$6-IF($B$1+28&gt;=$B$23,$B$22,0))*(1+$B$4)^28))*IF(AD78+IF($B$1+28&lt;=$B78,12*$B$7,-12*MAX(0,$B$6-IF($B$1+28&gt;=$B$23,$B$22,0))*(1+$B$4)^28)&gt;0,1+$B$3,1))</f>
        <v/>
      </c>
      <c r="AF78">
        <f>IF($B$1+29&gt;90,AE78,(AE78+IF($B$1+29&lt;=$B78,12*$B$7,-12*MAX(0,$B$6-IF($B$1+29&gt;=$B$23,$B$22,0))*(1+$B$4)^29))*IF(AE78+IF($B$1+29&lt;=$B78,12*$B$7,-12*MAX(0,$B$6-IF($B$1+29&gt;=$B$23,$B$22,0))*(1+$B$4)^29)&gt;0,1+$B$3,1))</f>
        <v/>
      </c>
      <c r="AG78">
        <f>IF($B$1+30&gt;90,AF78,(AF78+IF($B$1+30&lt;=$B78,12*$B$7,-12*MAX(0,$B$6-IF($B$1+30&gt;=$B$23,$B$22,0))*(1+$B$4)^30))*IF(AF78+IF($B$1+30&lt;=$B78,12*$B$7,-12*MAX(0,$B$6-IF($B$1+30&gt;=$B$23,$B$22,0))*(1+$B$4)^30)&gt;0,1+$B$3,1))</f>
        <v/>
      </c>
      <c r="AH78">
        <f>IF($B$1+31&gt;90,AG78,(AG78+IF($B$1+31&lt;=$B78,12*$B$7,-12*MAX(0,$B$6-IF($B$1+31&gt;=$B$23,$B$22,0))*(1+$B$4)^31))*IF(AG78+IF($B$1+31&lt;=$B78,12*$B$7,-12*MAX(0,$B$6-IF($B$1+31&gt;=$B$23,$B$22,0))*(1+$B$4)^31)&gt;0,1+$B$3,1))</f>
        <v/>
      </c>
      <c r="AI78">
        <f>IF($B$1+32&gt;90,AH78,(AH78+IF($B$1+32&lt;=$B78,12*$B$7,-12*MAX(0,$B$6-IF($B$1+32&gt;=$B$23,$B$22,0))*(1+$B$4)^32))*IF(AH78+IF($B$1+32&lt;=$B78,12*$B$7,-12*MAX(0,$B$6-IF($B$1+32&gt;=$B$23,$B$22,0))*(1+$B$4)^32)&gt;0,1+$B$3,1))</f>
        <v/>
      </c>
      <c r="AJ78">
        <f>IF($B$1+33&gt;90,AI78,(AI78+IF($B$1+33&lt;=$B78,12*$B$7,-12*MAX(0,$B$6-IF($B$1+33&gt;=$B$23,$B$22,0))*(1+$B$4)^33))*IF(AI78+IF($B$1+33&lt;=$B78,12*$B$7,-12*MAX(0,$B$6-IF($B$1+33&gt;=$B$23,$B$22,0))*(1+$B$4)^33)&gt;0,1+$B$3,1))</f>
        <v/>
      </c>
      <c r="AK78">
        <f>IF($B$1+34&gt;90,AJ78,(AJ78+IF($B$1+34&lt;=$B78,12*$B$7,-12*MAX(0,$B$6-IF($B$1+34&gt;=$B$23,$B$22,0))*(1+$B$4)^34))*IF(AJ78+IF($B$1+34&lt;=$B78,12*$B$7,-12*MAX(0,$B$6-IF($B$1+34&gt;=$B$23,$B$22,0))*(1+$B$4)^34)&gt;0,1+$B$3,1))</f>
        <v/>
      </c>
      <c r="AL78">
        <f>IF($B$1+35&gt;90,AK78,(AK78+IF($B$1+35&lt;=$B78,12*$B$7,-12*MAX(0,$B$6-IF($B$1+35&gt;=$B$23,$B$22,0))*(1+$B$4)^35))*IF(AK78+IF($B$1+35&lt;=$B78,12*$B$7,-12*MAX(0,$B$6-IF($B$1+35&gt;=$B$23,$B$22,0))*(1+$B$4)^35)&gt;0,1+$B$3,1))</f>
        <v/>
      </c>
      <c r="AM78">
        <f>IF($B$1+36&gt;90,AL78,(AL78+IF($B$1+36&lt;=$B78,12*$B$7,-12*MAX(0,$B$6-IF($B$1+36&gt;=$B$23,$B$22,0))*(1+$B$4)^36))*IF(AL78+IF($B$1+36&lt;=$B78,12*$B$7,-12*MAX(0,$B$6-IF($B$1+36&gt;=$B$23,$B$22,0))*(1+$B$4)^36)&gt;0,1+$B$3,1))</f>
        <v/>
      </c>
      <c r="AN78">
        <f>IF($B$1+37&gt;90,AM78,(AM78+IF($B$1+37&lt;=$B78,12*$B$7,-12*MAX(0,$B$6-IF($B$1+37&gt;=$B$23,$B$22,0))*(1+$B$4)^37))*IF(AM78+IF($B$1+37&lt;=$B78,12*$B$7,-12*MAX(0,$B$6-IF($B$1+37&gt;=$B$23,$B$22,0))*(1+$B$4)^37)&gt;0,1+$B$3,1))</f>
        <v/>
      </c>
      <c r="AO78">
        <f>IF($B$1+38&gt;90,AN78,(AN78+IF($B$1+38&lt;=$B78,12*$B$7,-12*MAX(0,$B$6-IF($B$1+38&gt;=$B$23,$B$22,0))*(1+$B$4)^38))*IF(AN78+IF($B$1+38&lt;=$B78,12*$B$7,-12*MAX(0,$B$6-IF($B$1+38&gt;=$B$23,$B$22,0))*(1+$B$4)^38)&gt;0,1+$B$3,1))</f>
        <v/>
      </c>
      <c r="AP78">
        <f>IF($B$1+39&gt;90,AO78,(AO78+IF($B$1+39&lt;=$B78,12*$B$7,-12*MAX(0,$B$6-IF($B$1+39&gt;=$B$23,$B$22,0))*(1+$B$4)^39))*IF(AO78+IF($B$1+39&lt;=$B78,12*$B$7,-12*MAX(0,$B$6-IF($B$1+39&gt;=$B$23,$B$22,0))*(1+$B$4)^39)&gt;0,1+$B$3,1))</f>
        <v/>
      </c>
      <c r="AQ78">
        <f>IF($B$1+40&gt;90,AP78,(AP78+IF($B$1+40&lt;=$B78,12*$B$7,-12*MAX(0,$B$6-IF($B$1+40&gt;=$B$23,$B$22,0))*(1+$B$4)^40))*IF(AP78+IF($B$1+40&lt;=$B78,12*$B$7,-12*MAX(0,$B$6-IF($B$1+40&gt;=$B$23,$B$22,0))*(1+$B$4)^40)&gt;0,1+$B$3,1))</f>
        <v/>
      </c>
      <c r="AR78">
        <f>IF($B$1+41&gt;90,AQ78,(AQ78+IF($B$1+41&lt;=$B78,12*$B$7,-12*MAX(0,$B$6-IF($B$1+41&gt;=$B$23,$B$22,0))*(1+$B$4)^41))*IF(AQ78+IF($B$1+41&lt;=$B78,12*$B$7,-12*MAX(0,$B$6-IF($B$1+41&gt;=$B$23,$B$22,0))*(1+$B$4)^41)&gt;0,1+$B$3,1))</f>
        <v/>
      </c>
      <c r="AS78">
        <f>IF($B$1+42&gt;90,AR78,(AR78+IF($B$1+42&lt;=$B78,12*$B$7,-12*MAX(0,$B$6-IF($B$1+42&gt;=$B$23,$B$22,0))*(1+$B$4)^42))*IF(AR78+IF($B$1+42&lt;=$B78,12*$B$7,-12*MAX(0,$B$6-IF($B$1+42&gt;=$B$23,$B$22,0))*(1+$B$4)^42)&gt;0,1+$B$3,1))</f>
        <v/>
      </c>
      <c r="AT78">
        <f>IF($B$1+43&gt;90,AS78,(AS78+IF($B$1+43&lt;=$B78,12*$B$7,-12*MAX(0,$B$6-IF($B$1+43&gt;=$B$23,$B$22,0))*(1+$B$4)^43))*IF(AS78+IF($B$1+43&lt;=$B78,12*$B$7,-12*MAX(0,$B$6-IF($B$1+43&gt;=$B$23,$B$22,0))*(1+$B$4)^43)&gt;0,1+$B$3,1))</f>
        <v/>
      </c>
      <c r="AU78">
        <f>IF($B$1+44&gt;90,AT78,(AT78+IF($B$1+44&lt;=$B78,12*$B$7,-12*MAX(0,$B$6-IF($B$1+44&gt;=$B$23,$B$22,0))*(1+$B$4)^44))*IF(AT78+IF($B$1+44&lt;=$B78,12*$B$7,-12*MAX(0,$B$6-IF($B$1+44&gt;=$B$23,$B$22,0))*(1+$B$4)^44)&gt;0,1+$B$3,1))</f>
        <v/>
      </c>
      <c r="AV78">
        <f>IF($B$1+45&gt;90,AU78,(AU78+IF($B$1+45&lt;=$B78,12*$B$7,-12*MAX(0,$B$6-IF($B$1+45&gt;=$B$23,$B$22,0))*(1+$B$4)^45))*IF(AU78+IF($B$1+45&lt;=$B78,12*$B$7,-12*MAX(0,$B$6-IF($B$1+45&gt;=$B$23,$B$22,0))*(1+$B$4)^45)&gt;0,1+$B$3,1))</f>
        <v/>
      </c>
      <c r="AW78">
        <f>IF($B$1+46&gt;90,AV78,(AV78+IF($B$1+46&lt;=$B78,12*$B$7,-12*MAX(0,$B$6-IF($B$1+46&gt;=$B$23,$B$22,0))*(1+$B$4)^46))*IF(AV78+IF($B$1+46&lt;=$B78,12*$B$7,-12*MAX(0,$B$6-IF($B$1+46&gt;=$B$23,$B$22,0))*(1+$B$4)^46)&gt;0,1+$B$3,1))</f>
        <v/>
      </c>
      <c r="AX78">
        <f>IF($B$1+47&gt;90,AW78,(AW78+IF($B$1+47&lt;=$B78,12*$B$7,-12*MAX(0,$B$6-IF($B$1+47&gt;=$B$23,$B$22,0))*(1+$B$4)^47))*IF(AW78+IF($B$1+47&lt;=$B78,12*$B$7,-12*MAX(0,$B$6-IF($B$1+47&gt;=$B$23,$B$22,0))*(1+$B$4)^47)&gt;0,1+$B$3,1))</f>
        <v/>
      </c>
      <c r="AY78">
        <f>IF($B$1+48&gt;90,AX78,(AX78+IF($B$1+48&lt;=$B78,12*$B$7,-12*MAX(0,$B$6-IF($B$1+48&gt;=$B$23,$B$22,0))*(1+$B$4)^48))*IF(AX78+IF($B$1+48&lt;=$B78,12*$B$7,-12*MAX(0,$B$6-IF($B$1+48&gt;=$B$23,$B$22,0))*(1+$B$4)^48)&gt;0,1+$B$3,1))</f>
        <v/>
      </c>
      <c r="AZ78">
        <f>IF($B$1+49&gt;90,AY78,(AY78+IF($B$1+49&lt;=$B78,12*$B$7,-12*MAX(0,$B$6-IF($B$1+49&gt;=$B$23,$B$22,0))*(1+$B$4)^49))*IF(AY78+IF($B$1+49&lt;=$B78,12*$B$7,-12*MAX(0,$B$6-IF($B$1+49&gt;=$B$23,$B$22,0))*(1+$B$4)^49)&gt;0,1+$B$3,1))</f>
        <v/>
      </c>
      <c r="BA78">
        <f>IF($B$1+50&gt;90,AZ78,(AZ78+IF($B$1+50&lt;=$B78,12*$B$7,-12*MAX(0,$B$6-IF($B$1+50&gt;=$B$23,$B$22,0))*(1+$B$4)^50))*IF(AZ78+IF($B$1+50&lt;=$B78,12*$B$7,-12*MAX(0,$B$6-IF($B$1+50&gt;=$B$23,$B$22,0))*(1+$B$4)^50)&gt;0,1+$B$3,1))</f>
        <v/>
      </c>
      <c r="BB78">
        <f>IF($B$1+51&gt;90,BA78,(BA78+IF($B$1+51&lt;=$B78,12*$B$7,-12*MAX(0,$B$6-IF($B$1+51&gt;=$B$23,$B$22,0))*(1+$B$4)^51))*IF(BA78+IF($B$1+51&lt;=$B78,12*$B$7,-12*MAX(0,$B$6-IF($B$1+51&gt;=$B$23,$B$22,0))*(1+$B$4)^51)&gt;0,1+$B$3,1))</f>
        <v/>
      </c>
      <c r="BC78">
        <f>IF($B$1+52&gt;90,BB78,(BB78+IF($B$1+52&lt;=$B78,12*$B$7,-12*MAX(0,$B$6-IF($B$1+52&gt;=$B$23,$B$22,0))*(1+$B$4)^52))*IF(BB78+IF($B$1+52&lt;=$B78,12*$B$7,-12*MAX(0,$B$6-IF($B$1+52&gt;=$B$23,$B$22,0))*(1+$B$4)^52)&gt;0,1+$B$3,1))</f>
        <v/>
      </c>
      <c r="BD78">
        <f>IF($B$1+53&gt;90,BC78,(BC78+IF($B$1+53&lt;=$B78,12*$B$7,-12*MAX(0,$B$6-IF($B$1+53&gt;=$B$23,$B$22,0))*(1+$B$4)^53))*IF(BC78+IF($B$1+53&lt;=$B78,12*$B$7,-12*MAX(0,$B$6-IF($B$1+53&gt;=$B$23,$B$22,0))*(1+$B$4)^53)&gt;0,1+$B$3,1))</f>
        <v/>
      </c>
      <c r="BE78">
        <f>IF($B$1+54&gt;90,BD78,(BD78+IF($B$1+54&lt;=$B78,12*$B$7,-12*MAX(0,$B$6-IF($B$1+54&gt;=$B$23,$B$22,0))*(1+$B$4)^54))*IF(BD78+IF($B$1+54&lt;=$B78,12*$B$7,-12*MAX(0,$B$6-IF($B$1+54&gt;=$B$23,$B$22,0))*(1+$B$4)^54)&gt;0,1+$B$3,1))</f>
        <v/>
      </c>
      <c r="BF78">
        <f>IF($B$1+55&gt;90,BE78,(BE78+IF($B$1+55&lt;=$B78,12*$B$7,-12*MAX(0,$B$6-IF($B$1+55&gt;=$B$23,$B$22,0))*(1+$B$4)^55))*IF(BE78+IF($B$1+55&lt;=$B78,12*$B$7,-12*MAX(0,$B$6-IF($B$1+55&gt;=$B$23,$B$22,0))*(1+$B$4)^55)&gt;0,1+$B$3,1))</f>
        <v/>
      </c>
      <c r="BG78">
        <f>IF($B$1+56&gt;90,BF78,(BF78+IF($B$1+56&lt;=$B78,12*$B$7,-12*MAX(0,$B$6-IF($B$1+56&gt;=$B$23,$B$22,0))*(1+$B$4)^56))*IF(BF78+IF($B$1+56&lt;=$B78,12*$B$7,-12*MAX(0,$B$6-IF($B$1+56&gt;=$B$23,$B$22,0))*(1+$B$4)^56)&gt;0,1+$B$3,1))</f>
        <v/>
      </c>
      <c r="BH78">
        <f>IF($B$1+57&gt;90,BG78,(BG78+IF($B$1+57&lt;=$B78,12*$B$7,-12*MAX(0,$B$6-IF($B$1+57&gt;=$B$23,$B$22,0))*(1+$B$4)^57))*IF(BG78+IF($B$1+57&lt;=$B78,12*$B$7,-12*MAX(0,$B$6-IF($B$1+57&gt;=$B$23,$B$22,0))*(1+$B$4)^57)&gt;0,1+$B$3,1))</f>
        <v/>
      </c>
      <c r="BI78">
        <f>IF($B$1+58&gt;90,BH78,(BH78+IF($B$1+58&lt;=$B78,12*$B$7,-12*MAX(0,$B$6-IF($B$1+58&gt;=$B$23,$B$22,0))*(1+$B$4)^58))*IF(BH78+IF($B$1+58&lt;=$B78,12*$B$7,-12*MAX(0,$B$6-IF($B$1+58&gt;=$B$23,$B$22,0))*(1+$B$4)^58)&gt;0,1+$B$3,1))</f>
        <v/>
      </c>
      <c r="BJ78">
        <f>IF($B$1+59&gt;90,BI78,(BI78+IF($B$1+59&lt;=$B78,12*$B$7,-12*MAX(0,$B$6-IF($B$1+59&gt;=$B$23,$B$22,0))*(1+$B$4)^59))*IF(BI78+IF($B$1+59&lt;=$B78,12*$B$7,-12*MAX(0,$B$6-IF($B$1+59&gt;=$B$23,$B$22,0))*(1+$B$4)^59)&gt;0,1+$B$3,1))</f>
        <v/>
      </c>
      <c r="BK78">
        <f>IF($B$1+60&gt;90,BJ78,(BJ78+IF($B$1+60&lt;=$B78,12*$B$7,-12*MAX(0,$B$6-IF($B$1+60&gt;=$B$23,$B$22,0))*(1+$B$4)^60))*IF(BJ78+IF($B$1+60&lt;=$B78,12*$B$7,-12*MAX(0,$B$6-IF($B$1+60&gt;=$B$23,$B$22,0))*(1+$B$4)^60)&gt;0,1+$B$3,1))</f>
        <v/>
      </c>
      <c r="BL78">
        <f>IF($B$1+61&gt;90,BK78,(BK78+IF($B$1+61&lt;=$B78,12*$B$7,-12*MAX(0,$B$6-IF($B$1+61&gt;=$B$23,$B$22,0))*(1+$B$4)^61))*IF(BK78+IF($B$1+61&lt;=$B78,12*$B$7,-12*MAX(0,$B$6-IF($B$1+61&gt;=$B$23,$B$22,0))*(1+$B$4)^61)&gt;0,1+$B$3,1))</f>
        <v/>
      </c>
      <c r="BM78">
        <f>IF($B$1+62&gt;90,BL78,(BL78+IF($B$1+62&lt;=$B78,12*$B$7,-12*MAX(0,$B$6-IF($B$1+62&gt;=$B$23,$B$22,0))*(1+$B$4)^62))*IF(BL78+IF($B$1+62&lt;=$B78,12*$B$7,-12*MAX(0,$B$6-IF($B$1+62&gt;=$B$23,$B$22,0))*(1+$B$4)^62)&gt;0,1+$B$3,1))</f>
        <v/>
      </c>
      <c r="BN78">
        <f>IF($B$1+63&gt;90,BM78,(BM78+IF($B$1+63&lt;=$B78,12*$B$7,-12*MAX(0,$B$6-IF($B$1+63&gt;=$B$23,$B$22,0))*(1+$B$4)^63))*IF(BM78+IF($B$1+63&lt;=$B78,12*$B$7,-12*MAX(0,$B$6-IF($B$1+63&gt;=$B$23,$B$22,0))*(1+$B$4)^63)&gt;0,1+$B$3,1))</f>
        <v/>
      </c>
      <c r="BO78">
        <f>IF($B$1+64&gt;90,BN78,(BN78+IF($B$1+64&lt;=$B78,12*$B$7,-12*MAX(0,$B$6-IF($B$1+64&gt;=$B$23,$B$22,0))*(1+$B$4)^64))*IF(BN78+IF($B$1+64&lt;=$B78,12*$B$7,-12*MAX(0,$B$6-IF($B$1+64&gt;=$B$23,$B$22,0))*(1+$B$4)^64)&gt;0,1+$B$3,1))</f>
        <v/>
      </c>
      <c r="BP78">
        <f>IF($B$1+65&gt;90,BO78,(BO78+IF($B$1+65&lt;=$B78,12*$B$7,-12*MAX(0,$B$6-IF($B$1+65&gt;=$B$23,$B$22,0))*(1+$B$4)^65))*IF(BO78+IF($B$1+65&lt;=$B78,12*$B$7,-12*MAX(0,$B$6-IF($B$1+65&gt;=$B$23,$B$22,0))*(1+$B$4)^65)&gt;0,1+$B$3,1))</f>
        <v/>
      </c>
      <c r="BQ78">
        <f>IF($B$1+66&gt;90,BP78,(BP78+IF($B$1+66&lt;=$B78,12*$B$7,-12*MAX(0,$B$6-IF($B$1+66&gt;=$B$23,$B$22,0))*(1+$B$4)^66))*IF(BP78+IF($B$1+66&lt;=$B78,12*$B$7,-12*MAX(0,$B$6-IF($B$1+66&gt;=$B$23,$B$22,0))*(1+$B$4)^66)&gt;0,1+$B$3,1))</f>
        <v/>
      </c>
      <c r="BR78">
        <f>IF($B$1+67&gt;90,BQ78,(BQ78+IF($B$1+67&lt;=$B78,12*$B$7,-12*MAX(0,$B$6-IF($B$1+67&gt;=$B$23,$B$22,0))*(1+$B$4)^67))*IF(BQ78+IF($B$1+67&lt;=$B78,12*$B$7,-12*MAX(0,$B$6-IF($B$1+67&gt;=$B$23,$B$22,0))*(1+$B$4)^67)&gt;0,1+$B$3,1))</f>
        <v/>
      </c>
      <c r="BS78">
        <f>IF($B$1+68&gt;90,BR78,(BR78+IF($B$1+68&lt;=$B78,12*$B$7,-12*MAX(0,$B$6-IF($B$1+68&gt;=$B$23,$B$22,0))*(1+$B$4)^68))*IF(BR78+IF($B$1+68&lt;=$B78,12*$B$7,-12*MAX(0,$B$6-IF($B$1+68&gt;=$B$23,$B$22,0))*(1+$B$4)^68)&gt;0,1+$B$3,1))</f>
        <v/>
      </c>
      <c r="BT78">
        <f>IF($B$1+69&gt;90,BS78,(BS78+IF($B$1+69&lt;=$B78,12*$B$7,-12*MAX(0,$B$6-IF($B$1+69&gt;=$B$23,$B$22,0))*(1+$B$4)^69))*IF(BS78+IF($B$1+69&lt;=$B78,12*$B$7,-12*MAX(0,$B$6-IF($B$1+69&gt;=$B$23,$B$22,0))*(1+$B$4)^69)&gt;0,1+$B$3,1))</f>
        <v/>
      </c>
      <c r="BU78">
        <f>IF($B$1+70&gt;90,BT78,(BT78+IF($B$1+70&lt;=$B78,12*$B$7,-12*MAX(0,$B$6-IF($B$1+70&gt;=$B$23,$B$22,0))*(1+$B$4)^70))*IF(BT78+IF($B$1+70&lt;=$B78,12*$B$7,-12*MAX(0,$B$6-IF($B$1+70&gt;=$B$23,$B$22,0))*(1+$B$4)^70)&gt;0,1+$B$3,1))</f>
        <v/>
      </c>
      <c r="BV78">
        <f>BU78</f>
        <v/>
      </c>
      <c r="BW78">
        <f>IF(AND($B78&lt;=70,BV78&gt;0),$B78,999)</f>
        <v/>
      </c>
      <c r="CH78">
        <f>IF(ISTEXT('월 가계부'!A78),SUBSTITUTE(SUBSTITUTE(SUBSTITUTE(SUBSTITUTE(SUBSTITUTE(SUBSTITUTE(SUBSTITUTE(SUBSTITUTE(SUBSTITUTE(TRIM('월 가계부'!A78),"년","-"),"월","-"),"일",""),".","-"),"/","-")," ","-"),"--","-"),"--","-"),"--","-")&amp;"-","")</f>
        <v/>
      </c>
      <c r="CI78">
        <f>IFERROR(IF('월 가계부'!A78="","",IF(ISNUMBER('월 가계부'!A78),IF(AND('월 가계부'!A78&gt;=19000101,'월 가계부'!A78&lt;=21001231),IF(AND(MOD(INT('월 가계부'!A78/100),100)&gt;=1,MOD(INT('월 가계부'!A78/100),100)&lt;=12,MOD(INT('월 가계부'!A78),100)&gt;=1,MOD(INT('월 가계부'!A78),100)&lt;=31),IF(MONTH(DATE(INT('월 가계부'!A78/10000),MOD(INT('월 가계부'!A78/100),100),MOD(INT('월 가계부'!A78),100)))=MOD(INT('월 가계부'!A78/100),100),DATE(INT('월 가계부'!A78/10000),MOD(INT('월 가계부'!A78/100),100),MOD(INT('월 가계부'!A78),100)),""),""),IF(AND('월 가계부'!A78&gt;=36526,'월 가계부'!A78&lt;73051),INT('월 가계부'!A78),"")),IF(OR(CM78="",CN78="",CO78=""),"",IF(AND(CM78&gt;=2000,CM78&lt;=2099,CN78&gt;=1,CN78&lt;=12,CO78&gt;=1,CO78&lt;=31),IF(MONTH(DATE(CM78,CN78,CO78))=CN78,DATE(CM78,CN78,CO78),""),"")))),"")</f>
        <v/>
      </c>
      <c r="CJ78">
        <f>IFERROR(IF('월 가계부'!C78="","",IF(ISNUMBER('월 가계부'!C78),'월 가계부'!C78,VALUE(SUBSTITUTE(SUBSTITUTE(SUBSTITUTE(SUBSTITUTE(TRIM('월 가계부'!C78),",",""),"원","")," ",""),"−","-")))),"")</f>
        <v/>
      </c>
      <c r="CK78">
        <f>IF(ISNUMBER(CI78),IF(CI78&lt;$B$13,CI78,""),"")</f>
        <v/>
      </c>
      <c r="CM78">
        <f>IF(CH78="","",IFERROR(IF(IF(AND(LEN(CH78)=9,ISERROR(FIND("-",LEFT(CH78,8))),ISNUMBER(-LEFT(CH78,8))),VALUE(LEFT(CH78,4)),VALUE(LEFT(CH78,FIND("-",CH78)-1)))&lt;100,IF(AND(LEN(CH78)=9,ISERROR(FIND("-",LEFT(CH78,8))),ISNUMBER(-LEFT(CH78,8))),VALUE(LEFT(CH78,4)),VALUE(LEFT(CH78,FIND("-",CH78)-1)))+2000,IF(AND(LEN(CH78)=9,ISERROR(FIND("-",LEFT(CH78,8))),ISNUMBER(-LEFT(CH78,8))),VALUE(LEFT(CH78,4)),VALUE(LEFT(CH78,FIND("-",CH78)-1)))),""))</f>
        <v/>
      </c>
      <c r="CN78">
        <f>IF(CH78="","",IFERROR(IF(AND(LEN(CH78)=9,ISERROR(FIND("-",LEFT(CH78,8))),ISNUMBER(-LEFT(CH78,8))),VALUE(MID(CH78,5,2)),VALUE(MID(CH78,FIND("-",CH78)+1,FIND("-",CH78,FIND("-",CH78)+1)-FIND("-",CH78)-1))),""))</f>
        <v/>
      </c>
      <c r="CO78">
        <f>IF(CH78="","",IFERROR(IF(AND(LEN(CH78)=9,ISERROR(FIND("-",LEFT(CH78,8))),ISNUMBER(-LEFT(CH78,8))),VALUE(MID(CH78,7,2)),VALUE(MID(CH78,FIND("-",CH78,FIND("-",CH78)+1)+1,FIND("-",CH78,FIND("-",CH78,FIND("-",CH78)+1)+1)-FIND("-",CH78,FIND("-",CH78)+1)-1))),""))</f>
        <v/>
      </c>
    </row>
    <row r="79">
      <c r="A79" t="n">
        <v>39</v>
      </c>
      <c r="B79">
        <f>$B$1+39</f>
        <v/>
      </c>
      <c r="C79">
        <f>$B$2</f>
        <v/>
      </c>
      <c r="D79">
        <f>IF($B$1+1&gt;90,C79,(C79+IF($B$1+1&lt;=$B79,12*$B$7,-12*MAX(0,$B$6-IF($B$1+1&gt;=$B$23,$B$22,0))*(1+$B$4)^1))*IF(C79+IF($B$1+1&lt;=$B79,12*$B$7,-12*MAX(0,$B$6-IF($B$1+1&gt;=$B$23,$B$22,0))*(1+$B$4)^1)&gt;0,1+$B$3,1))</f>
        <v/>
      </c>
      <c r="E79">
        <f>IF($B$1+2&gt;90,D79,(D79+IF($B$1+2&lt;=$B79,12*$B$7,-12*MAX(0,$B$6-IF($B$1+2&gt;=$B$23,$B$22,0))*(1+$B$4)^2))*IF(D79+IF($B$1+2&lt;=$B79,12*$B$7,-12*MAX(0,$B$6-IF($B$1+2&gt;=$B$23,$B$22,0))*(1+$B$4)^2)&gt;0,1+$B$3,1))</f>
        <v/>
      </c>
      <c r="F79">
        <f>IF($B$1+3&gt;90,E79,(E79+IF($B$1+3&lt;=$B79,12*$B$7,-12*MAX(0,$B$6-IF($B$1+3&gt;=$B$23,$B$22,0))*(1+$B$4)^3))*IF(E79+IF($B$1+3&lt;=$B79,12*$B$7,-12*MAX(0,$B$6-IF($B$1+3&gt;=$B$23,$B$22,0))*(1+$B$4)^3)&gt;0,1+$B$3,1))</f>
        <v/>
      </c>
      <c r="G79">
        <f>IF($B$1+4&gt;90,F79,(F79+IF($B$1+4&lt;=$B79,12*$B$7,-12*MAX(0,$B$6-IF($B$1+4&gt;=$B$23,$B$22,0))*(1+$B$4)^4))*IF(F79+IF($B$1+4&lt;=$B79,12*$B$7,-12*MAX(0,$B$6-IF($B$1+4&gt;=$B$23,$B$22,0))*(1+$B$4)^4)&gt;0,1+$B$3,1))</f>
        <v/>
      </c>
      <c r="H79">
        <f>IF($B$1+5&gt;90,G79,(G79+IF($B$1+5&lt;=$B79,12*$B$7,-12*MAX(0,$B$6-IF($B$1+5&gt;=$B$23,$B$22,0))*(1+$B$4)^5))*IF(G79+IF($B$1+5&lt;=$B79,12*$B$7,-12*MAX(0,$B$6-IF($B$1+5&gt;=$B$23,$B$22,0))*(1+$B$4)^5)&gt;0,1+$B$3,1))</f>
        <v/>
      </c>
      <c r="I79">
        <f>IF($B$1+6&gt;90,H79,(H79+IF($B$1+6&lt;=$B79,12*$B$7,-12*MAX(0,$B$6-IF($B$1+6&gt;=$B$23,$B$22,0))*(1+$B$4)^6))*IF(H79+IF($B$1+6&lt;=$B79,12*$B$7,-12*MAX(0,$B$6-IF($B$1+6&gt;=$B$23,$B$22,0))*(1+$B$4)^6)&gt;0,1+$B$3,1))</f>
        <v/>
      </c>
      <c r="J79">
        <f>IF($B$1+7&gt;90,I79,(I79+IF($B$1+7&lt;=$B79,12*$B$7,-12*MAX(0,$B$6-IF($B$1+7&gt;=$B$23,$B$22,0))*(1+$B$4)^7))*IF(I79+IF($B$1+7&lt;=$B79,12*$B$7,-12*MAX(0,$B$6-IF($B$1+7&gt;=$B$23,$B$22,0))*(1+$B$4)^7)&gt;0,1+$B$3,1))</f>
        <v/>
      </c>
      <c r="K79">
        <f>IF($B$1+8&gt;90,J79,(J79+IF($B$1+8&lt;=$B79,12*$B$7,-12*MAX(0,$B$6-IF($B$1+8&gt;=$B$23,$B$22,0))*(1+$B$4)^8))*IF(J79+IF($B$1+8&lt;=$B79,12*$B$7,-12*MAX(0,$B$6-IF($B$1+8&gt;=$B$23,$B$22,0))*(1+$B$4)^8)&gt;0,1+$B$3,1))</f>
        <v/>
      </c>
      <c r="L79">
        <f>IF($B$1+9&gt;90,K79,(K79+IF($B$1+9&lt;=$B79,12*$B$7,-12*MAX(0,$B$6-IF($B$1+9&gt;=$B$23,$B$22,0))*(1+$B$4)^9))*IF(K79+IF($B$1+9&lt;=$B79,12*$B$7,-12*MAX(0,$B$6-IF($B$1+9&gt;=$B$23,$B$22,0))*(1+$B$4)^9)&gt;0,1+$B$3,1))</f>
        <v/>
      </c>
      <c r="M79">
        <f>IF($B$1+10&gt;90,L79,(L79+IF($B$1+10&lt;=$B79,12*$B$7,-12*MAX(0,$B$6-IF($B$1+10&gt;=$B$23,$B$22,0))*(1+$B$4)^10))*IF(L79+IF($B$1+10&lt;=$B79,12*$B$7,-12*MAX(0,$B$6-IF($B$1+10&gt;=$B$23,$B$22,0))*(1+$B$4)^10)&gt;0,1+$B$3,1))</f>
        <v/>
      </c>
      <c r="N79">
        <f>IF($B$1+11&gt;90,M79,(M79+IF($B$1+11&lt;=$B79,12*$B$7,-12*MAX(0,$B$6-IF($B$1+11&gt;=$B$23,$B$22,0))*(1+$B$4)^11))*IF(M79+IF($B$1+11&lt;=$B79,12*$B$7,-12*MAX(0,$B$6-IF($B$1+11&gt;=$B$23,$B$22,0))*(1+$B$4)^11)&gt;0,1+$B$3,1))</f>
        <v/>
      </c>
      <c r="O79">
        <f>IF($B$1+12&gt;90,N79,(N79+IF($B$1+12&lt;=$B79,12*$B$7,-12*MAX(0,$B$6-IF($B$1+12&gt;=$B$23,$B$22,0))*(1+$B$4)^12))*IF(N79+IF($B$1+12&lt;=$B79,12*$B$7,-12*MAX(0,$B$6-IF($B$1+12&gt;=$B$23,$B$22,0))*(1+$B$4)^12)&gt;0,1+$B$3,1))</f>
        <v/>
      </c>
      <c r="P79">
        <f>IF($B$1+13&gt;90,O79,(O79+IF($B$1+13&lt;=$B79,12*$B$7,-12*MAX(0,$B$6-IF($B$1+13&gt;=$B$23,$B$22,0))*(1+$B$4)^13))*IF(O79+IF($B$1+13&lt;=$B79,12*$B$7,-12*MAX(0,$B$6-IF($B$1+13&gt;=$B$23,$B$22,0))*(1+$B$4)^13)&gt;0,1+$B$3,1))</f>
        <v/>
      </c>
      <c r="Q79">
        <f>IF($B$1+14&gt;90,P79,(P79+IF($B$1+14&lt;=$B79,12*$B$7,-12*MAX(0,$B$6-IF($B$1+14&gt;=$B$23,$B$22,0))*(1+$B$4)^14))*IF(P79+IF($B$1+14&lt;=$B79,12*$B$7,-12*MAX(0,$B$6-IF($B$1+14&gt;=$B$23,$B$22,0))*(1+$B$4)^14)&gt;0,1+$B$3,1))</f>
        <v/>
      </c>
      <c r="R79">
        <f>IF($B$1+15&gt;90,Q79,(Q79+IF($B$1+15&lt;=$B79,12*$B$7,-12*MAX(0,$B$6-IF($B$1+15&gt;=$B$23,$B$22,0))*(1+$B$4)^15))*IF(Q79+IF($B$1+15&lt;=$B79,12*$B$7,-12*MAX(0,$B$6-IF($B$1+15&gt;=$B$23,$B$22,0))*(1+$B$4)^15)&gt;0,1+$B$3,1))</f>
        <v/>
      </c>
      <c r="S79">
        <f>IF($B$1+16&gt;90,R79,(R79+IF($B$1+16&lt;=$B79,12*$B$7,-12*MAX(0,$B$6-IF($B$1+16&gt;=$B$23,$B$22,0))*(1+$B$4)^16))*IF(R79+IF($B$1+16&lt;=$B79,12*$B$7,-12*MAX(0,$B$6-IF($B$1+16&gt;=$B$23,$B$22,0))*(1+$B$4)^16)&gt;0,1+$B$3,1))</f>
        <v/>
      </c>
      <c r="T79">
        <f>IF($B$1+17&gt;90,S79,(S79+IF($B$1+17&lt;=$B79,12*$B$7,-12*MAX(0,$B$6-IF($B$1+17&gt;=$B$23,$B$22,0))*(1+$B$4)^17))*IF(S79+IF($B$1+17&lt;=$B79,12*$B$7,-12*MAX(0,$B$6-IF($B$1+17&gt;=$B$23,$B$22,0))*(1+$B$4)^17)&gt;0,1+$B$3,1))</f>
        <v/>
      </c>
      <c r="U79">
        <f>IF($B$1+18&gt;90,T79,(T79+IF($B$1+18&lt;=$B79,12*$B$7,-12*MAX(0,$B$6-IF($B$1+18&gt;=$B$23,$B$22,0))*(1+$B$4)^18))*IF(T79+IF($B$1+18&lt;=$B79,12*$B$7,-12*MAX(0,$B$6-IF($B$1+18&gt;=$B$23,$B$22,0))*(1+$B$4)^18)&gt;0,1+$B$3,1))</f>
        <v/>
      </c>
      <c r="V79">
        <f>IF($B$1+19&gt;90,U79,(U79+IF($B$1+19&lt;=$B79,12*$B$7,-12*MAX(0,$B$6-IF($B$1+19&gt;=$B$23,$B$22,0))*(1+$B$4)^19))*IF(U79+IF($B$1+19&lt;=$B79,12*$B$7,-12*MAX(0,$B$6-IF($B$1+19&gt;=$B$23,$B$22,0))*(1+$B$4)^19)&gt;0,1+$B$3,1))</f>
        <v/>
      </c>
      <c r="W79">
        <f>IF($B$1+20&gt;90,V79,(V79+IF($B$1+20&lt;=$B79,12*$B$7,-12*MAX(0,$B$6-IF($B$1+20&gt;=$B$23,$B$22,0))*(1+$B$4)^20))*IF(V79+IF($B$1+20&lt;=$B79,12*$B$7,-12*MAX(0,$B$6-IF($B$1+20&gt;=$B$23,$B$22,0))*(1+$B$4)^20)&gt;0,1+$B$3,1))</f>
        <v/>
      </c>
      <c r="X79">
        <f>IF($B$1+21&gt;90,W79,(W79+IF($B$1+21&lt;=$B79,12*$B$7,-12*MAX(0,$B$6-IF($B$1+21&gt;=$B$23,$B$22,0))*(1+$B$4)^21))*IF(W79+IF($B$1+21&lt;=$B79,12*$B$7,-12*MAX(0,$B$6-IF($B$1+21&gt;=$B$23,$B$22,0))*(1+$B$4)^21)&gt;0,1+$B$3,1))</f>
        <v/>
      </c>
      <c r="Y79">
        <f>IF($B$1+22&gt;90,X79,(X79+IF($B$1+22&lt;=$B79,12*$B$7,-12*MAX(0,$B$6-IF($B$1+22&gt;=$B$23,$B$22,0))*(1+$B$4)^22))*IF(X79+IF($B$1+22&lt;=$B79,12*$B$7,-12*MAX(0,$B$6-IF($B$1+22&gt;=$B$23,$B$22,0))*(1+$B$4)^22)&gt;0,1+$B$3,1))</f>
        <v/>
      </c>
      <c r="Z79">
        <f>IF($B$1+23&gt;90,Y79,(Y79+IF($B$1+23&lt;=$B79,12*$B$7,-12*MAX(0,$B$6-IF($B$1+23&gt;=$B$23,$B$22,0))*(1+$B$4)^23))*IF(Y79+IF($B$1+23&lt;=$B79,12*$B$7,-12*MAX(0,$B$6-IF($B$1+23&gt;=$B$23,$B$22,0))*(1+$B$4)^23)&gt;0,1+$B$3,1))</f>
        <v/>
      </c>
      <c r="AA79">
        <f>IF($B$1+24&gt;90,Z79,(Z79+IF($B$1+24&lt;=$B79,12*$B$7,-12*MAX(0,$B$6-IF($B$1+24&gt;=$B$23,$B$22,0))*(1+$B$4)^24))*IF(Z79+IF($B$1+24&lt;=$B79,12*$B$7,-12*MAX(0,$B$6-IF($B$1+24&gt;=$B$23,$B$22,0))*(1+$B$4)^24)&gt;0,1+$B$3,1))</f>
        <v/>
      </c>
      <c r="AB79">
        <f>IF($B$1+25&gt;90,AA79,(AA79+IF($B$1+25&lt;=$B79,12*$B$7,-12*MAX(0,$B$6-IF($B$1+25&gt;=$B$23,$B$22,0))*(1+$B$4)^25))*IF(AA79+IF($B$1+25&lt;=$B79,12*$B$7,-12*MAX(0,$B$6-IF($B$1+25&gt;=$B$23,$B$22,0))*(1+$B$4)^25)&gt;0,1+$B$3,1))</f>
        <v/>
      </c>
      <c r="AC79">
        <f>IF($B$1+26&gt;90,AB79,(AB79+IF($B$1+26&lt;=$B79,12*$B$7,-12*MAX(0,$B$6-IF($B$1+26&gt;=$B$23,$B$22,0))*(1+$B$4)^26))*IF(AB79+IF($B$1+26&lt;=$B79,12*$B$7,-12*MAX(0,$B$6-IF($B$1+26&gt;=$B$23,$B$22,0))*(1+$B$4)^26)&gt;0,1+$B$3,1))</f>
        <v/>
      </c>
      <c r="AD79">
        <f>IF($B$1+27&gt;90,AC79,(AC79+IF($B$1+27&lt;=$B79,12*$B$7,-12*MAX(0,$B$6-IF($B$1+27&gt;=$B$23,$B$22,0))*(1+$B$4)^27))*IF(AC79+IF($B$1+27&lt;=$B79,12*$B$7,-12*MAX(0,$B$6-IF($B$1+27&gt;=$B$23,$B$22,0))*(1+$B$4)^27)&gt;0,1+$B$3,1))</f>
        <v/>
      </c>
      <c r="AE79">
        <f>IF($B$1+28&gt;90,AD79,(AD79+IF($B$1+28&lt;=$B79,12*$B$7,-12*MAX(0,$B$6-IF($B$1+28&gt;=$B$23,$B$22,0))*(1+$B$4)^28))*IF(AD79+IF($B$1+28&lt;=$B79,12*$B$7,-12*MAX(0,$B$6-IF($B$1+28&gt;=$B$23,$B$22,0))*(1+$B$4)^28)&gt;0,1+$B$3,1))</f>
        <v/>
      </c>
      <c r="AF79">
        <f>IF($B$1+29&gt;90,AE79,(AE79+IF($B$1+29&lt;=$B79,12*$B$7,-12*MAX(0,$B$6-IF($B$1+29&gt;=$B$23,$B$22,0))*(1+$B$4)^29))*IF(AE79+IF($B$1+29&lt;=$B79,12*$B$7,-12*MAX(0,$B$6-IF($B$1+29&gt;=$B$23,$B$22,0))*(1+$B$4)^29)&gt;0,1+$B$3,1))</f>
        <v/>
      </c>
      <c r="AG79">
        <f>IF($B$1+30&gt;90,AF79,(AF79+IF($B$1+30&lt;=$B79,12*$B$7,-12*MAX(0,$B$6-IF($B$1+30&gt;=$B$23,$B$22,0))*(1+$B$4)^30))*IF(AF79+IF($B$1+30&lt;=$B79,12*$B$7,-12*MAX(0,$B$6-IF($B$1+30&gt;=$B$23,$B$22,0))*(1+$B$4)^30)&gt;0,1+$B$3,1))</f>
        <v/>
      </c>
      <c r="AH79">
        <f>IF($B$1+31&gt;90,AG79,(AG79+IF($B$1+31&lt;=$B79,12*$B$7,-12*MAX(0,$B$6-IF($B$1+31&gt;=$B$23,$B$22,0))*(1+$B$4)^31))*IF(AG79+IF($B$1+31&lt;=$B79,12*$B$7,-12*MAX(0,$B$6-IF($B$1+31&gt;=$B$23,$B$22,0))*(1+$B$4)^31)&gt;0,1+$B$3,1))</f>
        <v/>
      </c>
      <c r="AI79">
        <f>IF($B$1+32&gt;90,AH79,(AH79+IF($B$1+32&lt;=$B79,12*$B$7,-12*MAX(0,$B$6-IF($B$1+32&gt;=$B$23,$B$22,0))*(1+$B$4)^32))*IF(AH79+IF($B$1+32&lt;=$B79,12*$B$7,-12*MAX(0,$B$6-IF($B$1+32&gt;=$B$23,$B$22,0))*(1+$B$4)^32)&gt;0,1+$B$3,1))</f>
        <v/>
      </c>
      <c r="AJ79">
        <f>IF($B$1+33&gt;90,AI79,(AI79+IF($B$1+33&lt;=$B79,12*$B$7,-12*MAX(0,$B$6-IF($B$1+33&gt;=$B$23,$B$22,0))*(1+$B$4)^33))*IF(AI79+IF($B$1+33&lt;=$B79,12*$B$7,-12*MAX(0,$B$6-IF($B$1+33&gt;=$B$23,$B$22,0))*(1+$B$4)^33)&gt;0,1+$B$3,1))</f>
        <v/>
      </c>
      <c r="AK79">
        <f>IF($B$1+34&gt;90,AJ79,(AJ79+IF($B$1+34&lt;=$B79,12*$B$7,-12*MAX(0,$B$6-IF($B$1+34&gt;=$B$23,$B$22,0))*(1+$B$4)^34))*IF(AJ79+IF($B$1+34&lt;=$B79,12*$B$7,-12*MAX(0,$B$6-IF($B$1+34&gt;=$B$23,$B$22,0))*(1+$B$4)^34)&gt;0,1+$B$3,1))</f>
        <v/>
      </c>
      <c r="AL79">
        <f>IF($B$1+35&gt;90,AK79,(AK79+IF($B$1+35&lt;=$B79,12*$B$7,-12*MAX(0,$B$6-IF($B$1+35&gt;=$B$23,$B$22,0))*(1+$B$4)^35))*IF(AK79+IF($B$1+35&lt;=$B79,12*$B$7,-12*MAX(0,$B$6-IF($B$1+35&gt;=$B$23,$B$22,0))*(1+$B$4)^35)&gt;0,1+$B$3,1))</f>
        <v/>
      </c>
      <c r="AM79">
        <f>IF($B$1+36&gt;90,AL79,(AL79+IF($B$1+36&lt;=$B79,12*$B$7,-12*MAX(0,$B$6-IF($B$1+36&gt;=$B$23,$B$22,0))*(1+$B$4)^36))*IF(AL79+IF($B$1+36&lt;=$B79,12*$B$7,-12*MAX(0,$B$6-IF($B$1+36&gt;=$B$23,$B$22,0))*(1+$B$4)^36)&gt;0,1+$B$3,1))</f>
        <v/>
      </c>
      <c r="AN79">
        <f>IF($B$1+37&gt;90,AM79,(AM79+IF($B$1+37&lt;=$B79,12*$B$7,-12*MAX(0,$B$6-IF($B$1+37&gt;=$B$23,$B$22,0))*(1+$B$4)^37))*IF(AM79+IF($B$1+37&lt;=$B79,12*$B$7,-12*MAX(0,$B$6-IF($B$1+37&gt;=$B$23,$B$22,0))*(1+$B$4)^37)&gt;0,1+$B$3,1))</f>
        <v/>
      </c>
      <c r="AO79">
        <f>IF($B$1+38&gt;90,AN79,(AN79+IF($B$1+38&lt;=$B79,12*$B$7,-12*MAX(0,$B$6-IF($B$1+38&gt;=$B$23,$B$22,0))*(1+$B$4)^38))*IF(AN79+IF($B$1+38&lt;=$B79,12*$B$7,-12*MAX(0,$B$6-IF($B$1+38&gt;=$B$23,$B$22,0))*(1+$B$4)^38)&gt;0,1+$B$3,1))</f>
        <v/>
      </c>
      <c r="AP79">
        <f>IF($B$1+39&gt;90,AO79,(AO79+IF($B$1+39&lt;=$B79,12*$B$7,-12*MAX(0,$B$6-IF($B$1+39&gt;=$B$23,$B$22,0))*(1+$B$4)^39))*IF(AO79+IF($B$1+39&lt;=$B79,12*$B$7,-12*MAX(0,$B$6-IF($B$1+39&gt;=$B$23,$B$22,0))*(1+$B$4)^39)&gt;0,1+$B$3,1))</f>
        <v/>
      </c>
      <c r="AQ79">
        <f>IF($B$1+40&gt;90,AP79,(AP79+IF($B$1+40&lt;=$B79,12*$B$7,-12*MAX(0,$B$6-IF($B$1+40&gt;=$B$23,$B$22,0))*(1+$B$4)^40))*IF(AP79+IF($B$1+40&lt;=$B79,12*$B$7,-12*MAX(0,$B$6-IF($B$1+40&gt;=$B$23,$B$22,0))*(1+$B$4)^40)&gt;0,1+$B$3,1))</f>
        <v/>
      </c>
      <c r="AR79">
        <f>IF($B$1+41&gt;90,AQ79,(AQ79+IF($B$1+41&lt;=$B79,12*$B$7,-12*MAX(0,$B$6-IF($B$1+41&gt;=$B$23,$B$22,0))*(1+$B$4)^41))*IF(AQ79+IF($B$1+41&lt;=$B79,12*$B$7,-12*MAX(0,$B$6-IF($B$1+41&gt;=$B$23,$B$22,0))*(1+$B$4)^41)&gt;0,1+$B$3,1))</f>
        <v/>
      </c>
      <c r="AS79">
        <f>IF($B$1+42&gt;90,AR79,(AR79+IF($B$1+42&lt;=$B79,12*$B$7,-12*MAX(0,$B$6-IF($B$1+42&gt;=$B$23,$B$22,0))*(1+$B$4)^42))*IF(AR79+IF($B$1+42&lt;=$B79,12*$B$7,-12*MAX(0,$B$6-IF($B$1+42&gt;=$B$23,$B$22,0))*(1+$B$4)^42)&gt;0,1+$B$3,1))</f>
        <v/>
      </c>
      <c r="AT79">
        <f>IF($B$1+43&gt;90,AS79,(AS79+IF($B$1+43&lt;=$B79,12*$B$7,-12*MAX(0,$B$6-IF($B$1+43&gt;=$B$23,$B$22,0))*(1+$B$4)^43))*IF(AS79+IF($B$1+43&lt;=$B79,12*$B$7,-12*MAX(0,$B$6-IF($B$1+43&gt;=$B$23,$B$22,0))*(1+$B$4)^43)&gt;0,1+$B$3,1))</f>
        <v/>
      </c>
      <c r="AU79">
        <f>IF($B$1+44&gt;90,AT79,(AT79+IF($B$1+44&lt;=$B79,12*$B$7,-12*MAX(0,$B$6-IF($B$1+44&gt;=$B$23,$B$22,0))*(1+$B$4)^44))*IF(AT79+IF($B$1+44&lt;=$B79,12*$B$7,-12*MAX(0,$B$6-IF($B$1+44&gt;=$B$23,$B$22,0))*(1+$B$4)^44)&gt;0,1+$B$3,1))</f>
        <v/>
      </c>
      <c r="AV79">
        <f>IF($B$1+45&gt;90,AU79,(AU79+IF($B$1+45&lt;=$B79,12*$B$7,-12*MAX(0,$B$6-IF($B$1+45&gt;=$B$23,$B$22,0))*(1+$B$4)^45))*IF(AU79+IF($B$1+45&lt;=$B79,12*$B$7,-12*MAX(0,$B$6-IF($B$1+45&gt;=$B$23,$B$22,0))*(1+$B$4)^45)&gt;0,1+$B$3,1))</f>
        <v/>
      </c>
      <c r="AW79">
        <f>IF($B$1+46&gt;90,AV79,(AV79+IF($B$1+46&lt;=$B79,12*$B$7,-12*MAX(0,$B$6-IF($B$1+46&gt;=$B$23,$B$22,0))*(1+$B$4)^46))*IF(AV79+IF($B$1+46&lt;=$B79,12*$B$7,-12*MAX(0,$B$6-IF($B$1+46&gt;=$B$23,$B$22,0))*(1+$B$4)^46)&gt;0,1+$B$3,1))</f>
        <v/>
      </c>
      <c r="AX79">
        <f>IF($B$1+47&gt;90,AW79,(AW79+IF($B$1+47&lt;=$B79,12*$B$7,-12*MAX(0,$B$6-IF($B$1+47&gt;=$B$23,$B$22,0))*(1+$B$4)^47))*IF(AW79+IF($B$1+47&lt;=$B79,12*$B$7,-12*MAX(0,$B$6-IF($B$1+47&gt;=$B$23,$B$22,0))*(1+$B$4)^47)&gt;0,1+$B$3,1))</f>
        <v/>
      </c>
      <c r="AY79">
        <f>IF($B$1+48&gt;90,AX79,(AX79+IF($B$1+48&lt;=$B79,12*$B$7,-12*MAX(0,$B$6-IF($B$1+48&gt;=$B$23,$B$22,0))*(1+$B$4)^48))*IF(AX79+IF($B$1+48&lt;=$B79,12*$B$7,-12*MAX(0,$B$6-IF($B$1+48&gt;=$B$23,$B$22,0))*(1+$B$4)^48)&gt;0,1+$B$3,1))</f>
        <v/>
      </c>
      <c r="AZ79">
        <f>IF($B$1+49&gt;90,AY79,(AY79+IF($B$1+49&lt;=$B79,12*$B$7,-12*MAX(0,$B$6-IF($B$1+49&gt;=$B$23,$B$22,0))*(1+$B$4)^49))*IF(AY79+IF($B$1+49&lt;=$B79,12*$B$7,-12*MAX(0,$B$6-IF($B$1+49&gt;=$B$23,$B$22,0))*(1+$B$4)^49)&gt;0,1+$B$3,1))</f>
        <v/>
      </c>
      <c r="BA79">
        <f>IF($B$1+50&gt;90,AZ79,(AZ79+IF($B$1+50&lt;=$B79,12*$B$7,-12*MAX(0,$B$6-IF($B$1+50&gt;=$B$23,$B$22,0))*(1+$B$4)^50))*IF(AZ79+IF($B$1+50&lt;=$B79,12*$B$7,-12*MAX(0,$B$6-IF($B$1+50&gt;=$B$23,$B$22,0))*(1+$B$4)^50)&gt;0,1+$B$3,1))</f>
        <v/>
      </c>
      <c r="BB79">
        <f>IF($B$1+51&gt;90,BA79,(BA79+IF($B$1+51&lt;=$B79,12*$B$7,-12*MAX(0,$B$6-IF($B$1+51&gt;=$B$23,$B$22,0))*(1+$B$4)^51))*IF(BA79+IF($B$1+51&lt;=$B79,12*$B$7,-12*MAX(0,$B$6-IF($B$1+51&gt;=$B$23,$B$22,0))*(1+$B$4)^51)&gt;0,1+$B$3,1))</f>
        <v/>
      </c>
      <c r="BC79">
        <f>IF($B$1+52&gt;90,BB79,(BB79+IF($B$1+52&lt;=$B79,12*$B$7,-12*MAX(0,$B$6-IF($B$1+52&gt;=$B$23,$B$22,0))*(1+$B$4)^52))*IF(BB79+IF($B$1+52&lt;=$B79,12*$B$7,-12*MAX(0,$B$6-IF($B$1+52&gt;=$B$23,$B$22,0))*(1+$B$4)^52)&gt;0,1+$B$3,1))</f>
        <v/>
      </c>
      <c r="BD79">
        <f>IF($B$1+53&gt;90,BC79,(BC79+IF($B$1+53&lt;=$B79,12*$B$7,-12*MAX(0,$B$6-IF($B$1+53&gt;=$B$23,$B$22,0))*(1+$B$4)^53))*IF(BC79+IF($B$1+53&lt;=$B79,12*$B$7,-12*MAX(0,$B$6-IF($B$1+53&gt;=$B$23,$B$22,0))*(1+$B$4)^53)&gt;0,1+$B$3,1))</f>
        <v/>
      </c>
      <c r="BE79">
        <f>IF($B$1+54&gt;90,BD79,(BD79+IF($B$1+54&lt;=$B79,12*$B$7,-12*MAX(0,$B$6-IF($B$1+54&gt;=$B$23,$B$22,0))*(1+$B$4)^54))*IF(BD79+IF($B$1+54&lt;=$B79,12*$B$7,-12*MAX(0,$B$6-IF($B$1+54&gt;=$B$23,$B$22,0))*(1+$B$4)^54)&gt;0,1+$B$3,1))</f>
        <v/>
      </c>
      <c r="BF79">
        <f>IF($B$1+55&gt;90,BE79,(BE79+IF($B$1+55&lt;=$B79,12*$B$7,-12*MAX(0,$B$6-IF($B$1+55&gt;=$B$23,$B$22,0))*(1+$B$4)^55))*IF(BE79+IF($B$1+55&lt;=$B79,12*$B$7,-12*MAX(0,$B$6-IF($B$1+55&gt;=$B$23,$B$22,0))*(1+$B$4)^55)&gt;0,1+$B$3,1))</f>
        <v/>
      </c>
      <c r="BG79">
        <f>IF($B$1+56&gt;90,BF79,(BF79+IF($B$1+56&lt;=$B79,12*$B$7,-12*MAX(0,$B$6-IF($B$1+56&gt;=$B$23,$B$22,0))*(1+$B$4)^56))*IF(BF79+IF($B$1+56&lt;=$B79,12*$B$7,-12*MAX(0,$B$6-IF($B$1+56&gt;=$B$23,$B$22,0))*(1+$B$4)^56)&gt;0,1+$B$3,1))</f>
        <v/>
      </c>
      <c r="BH79">
        <f>IF($B$1+57&gt;90,BG79,(BG79+IF($B$1+57&lt;=$B79,12*$B$7,-12*MAX(0,$B$6-IF($B$1+57&gt;=$B$23,$B$22,0))*(1+$B$4)^57))*IF(BG79+IF($B$1+57&lt;=$B79,12*$B$7,-12*MAX(0,$B$6-IF($B$1+57&gt;=$B$23,$B$22,0))*(1+$B$4)^57)&gt;0,1+$B$3,1))</f>
        <v/>
      </c>
      <c r="BI79">
        <f>IF($B$1+58&gt;90,BH79,(BH79+IF($B$1+58&lt;=$B79,12*$B$7,-12*MAX(0,$B$6-IF($B$1+58&gt;=$B$23,$B$22,0))*(1+$B$4)^58))*IF(BH79+IF($B$1+58&lt;=$B79,12*$B$7,-12*MAX(0,$B$6-IF($B$1+58&gt;=$B$23,$B$22,0))*(1+$B$4)^58)&gt;0,1+$B$3,1))</f>
        <v/>
      </c>
      <c r="BJ79">
        <f>IF($B$1+59&gt;90,BI79,(BI79+IF($B$1+59&lt;=$B79,12*$B$7,-12*MAX(0,$B$6-IF($B$1+59&gt;=$B$23,$B$22,0))*(1+$B$4)^59))*IF(BI79+IF($B$1+59&lt;=$B79,12*$B$7,-12*MAX(0,$B$6-IF($B$1+59&gt;=$B$23,$B$22,0))*(1+$B$4)^59)&gt;0,1+$B$3,1))</f>
        <v/>
      </c>
      <c r="BK79">
        <f>IF($B$1+60&gt;90,BJ79,(BJ79+IF($B$1+60&lt;=$B79,12*$B$7,-12*MAX(0,$B$6-IF($B$1+60&gt;=$B$23,$B$22,0))*(1+$B$4)^60))*IF(BJ79+IF($B$1+60&lt;=$B79,12*$B$7,-12*MAX(0,$B$6-IF($B$1+60&gt;=$B$23,$B$22,0))*(1+$B$4)^60)&gt;0,1+$B$3,1))</f>
        <v/>
      </c>
      <c r="BL79">
        <f>IF($B$1+61&gt;90,BK79,(BK79+IF($B$1+61&lt;=$B79,12*$B$7,-12*MAX(0,$B$6-IF($B$1+61&gt;=$B$23,$B$22,0))*(1+$B$4)^61))*IF(BK79+IF($B$1+61&lt;=$B79,12*$B$7,-12*MAX(0,$B$6-IF($B$1+61&gt;=$B$23,$B$22,0))*(1+$B$4)^61)&gt;0,1+$B$3,1))</f>
        <v/>
      </c>
      <c r="BM79">
        <f>IF($B$1+62&gt;90,BL79,(BL79+IF($B$1+62&lt;=$B79,12*$B$7,-12*MAX(0,$B$6-IF($B$1+62&gt;=$B$23,$B$22,0))*(1+$B$4)^62))*IF(BL79+IF($B$1+62&lt;=$B79,12*$B$7,-12*MAX(0,$B$6-IF($B$1+62&gt;=$B$23,$B$22,0))*(1+$B$4)^62)&gt;0,1+$B$3,1))</f>
        <v/>
      </c>
      <c r="BN79">
        <f>IF($B$1+63&gt;90,BM79,(BM79+IF($B$1+63&lt;=$B79,12*$B$7,-12*MAX(0,$B$6-IF($B$1+63&gt;=$B$23,$B$22,0))*(1+$B$4)^63))*IF(BM79+IF($B$1+63&lt;=$B79,12*$B$7,-12*MAX(0,$B$6-IF($B$1+63&gt;=$B$23,$B$22,0))*(1+$B$4)^63)&gt;0,1+$B$3,1))</f>
        <v/>
      </c>
      <c r="BO79">
        <f>IF($B$1+64&gt;90,BN79,(BN79+IF($B$1+64&lt;=$B79,12*$B$7,-12*MAX(0,$B$6-IF($B$1+64&gt;=$B$23,$B$22,0))*(1+$B$4)^64))*IF(BN79+IF($B$1+64&lt;=$B79,12*$B$7,-12*MAX(0,$B$6-IF($B$1+64&gt;=$B$23,$B$22,0))*(1+$B$4)^64)&gt;0,1+$B$3,1))</f>
        <v/>
      </c>
      <c r="BP79">
        <f>IF($B$1+65&gt;90,BO79,(BO79+IF($B$1+65&lt;=$B79,12*$B$7,-12*MAX(0,$B$6-IF($B$1+65&gt;=$B$23,$B$22,0))*(1+$B$4)^65))*IF(BO79+IF($B$1+65&lt;=$B79,12*$B$7,-12*MAX(0,$B$6-IF($B$1+65&gt;=$B$23,$B$22,0))*(1+$B$4)^65)&gt;0,1+$B$3,1))</f>
        <v/>
      </c>
      <c r="BQ79">
        <f>IF($B$1+66&gt;90,BP79,(BP79+IF($B$1+66&lt;=$B79,12*$B$7,-12*MAX(0,$B$6-IF($B$1+66&gt;=$B$23,$B$22,0))*(1+$B$4)^66))*IF(BP79+IF($B$1+66&lt;=$B79,12*$B$7,-12*MAX(0,$B$6-IF($B$1+66&gt;=$B$23,$B$22,0))*(1+$B$4)^66)&gt;0,1+$B$3,1))</f>
        <v/>
      </c>
      <c r="BR79">
        <f>IF($B$1+67&gt;90,BQ79,(BQ79+IF($B$1+67&lt;=$B79,12*$B$7,-12*MAX(0,$B$6-IF($B$1+67&gt;=$B$23,$B$22,0))*(1+$B$4)^67))*IF(BQ79+IF($B$1+67&lt;=$B79,12*$B$7,-12*MAX(0,$B$6-IF($B$1+67&gt;=$B$23,$B$22,0))*(1+$B$4)^67)&gt;0,1+$B$3,1))</f>
        <v/>
      </c>
      <c r="BS79">
        <f>IF($B$1+68&gt;90,BR79,(BR79+IF($B$1+68&lt;=$B79,12*$B$7,-12*MAX(0,$B$6-IF($B$1+68&gt;=$B$23,$B$22,0))*(1+$B$4)^68))*IF(BR79+IF($B$1+68&lt;=$B79,12*$B$7,-12*MAX(0,$B$6-IF($B$1+68&gt;=$B$23,$B$22,0))*(1+$B$4)^68)&gt;0,1+$B$3,1))</f>
        <v/>
      </c>
      <c r="BT79">
        <f>IF($B$1+69&gt;90,BS79,(BS79+IF($B$1+69&lt;=$B79,12*$B$7,-12*MAX(0,$B$6-IF($B$1+69&gt;=$B$23,$B$22,0))*(1+$B$4)^69))*IF(BS79+IF($B$1+69&lt;=$B79,12*$B$7,-12*MAX(0,$B$6-IF($B$1+69&gt;=$B$23,$B$22,0))*(1+$B$4)^69)&gt;0,1+$B$3,1))</f>
        <v/>
      </c>
      <c r="BU79">
        <f>IF($B$1+70&gt;90,BT79,(BT79+IF($B$1+70&lt;=$B79,12*$B$7,-12*MAX(0,$B$6-IF($B$1+70&gt;=$B$23,$B$22,0))*(1+$B$4)^70))*IF(BT79+IF($B$1+70&lt;=$B79,12*$B$7,-12*MAX(0,$B$6-IF($B$1+70&gt;=$B$23,$B$22,0))*(1+$B$4)^70)&gt;0,1+$B$3,1))</f>
        <v/>
      </c>
      <c r="BV79">
        <f>BU79</f>
        <v/>
      </c>
      <c r="BW79">
        <f>IF(AND($B79&lt;=70,BV79&gt;0),$B79,999)</f>
        <v/>
      </c>
      <c r="CH79">
        <f>IF(ISTEXT('월 가계부'!A79),SUBSTITUTE(SUBSTITUTE(SUBSTITUTE(SUBSTITUTE(SUBSTITUTE(SUBSTITUTE(SUBSTITUTE(SUBSTITUTE(SUBSTITUTE(TRIM('월 가계부'!A79),"년","-"),"월","-"),"일",""),".","-"),"/","-")," ","-"),"--","-"),"--","-"),"--","-")&amp;"-","")</f>
        <v/>
      </c>
      <c r="CI79">
        <f>IFERROR(IF('월 가계부'!A79="","",IF(ISNUMBER('월 가계부'!A79),IF(AND('월 가계부'!A79&gt;=19000101,'월 가계부'!A79&lt;=21001231),IF(AND(MOD(INT('월 가계부'!A79/100),100)&gt;=1,MOD(INT('월 가계부'!A79/100),100)&lt;=12,MOD(INT('월 가계부'!A79),100)&gt;=1,MOD(INT('월 가계부'!A79),100)&lt;=31),IF(MONTH(DATE(INT('월 가계부'!A79/10000),MOD(INT('월 가계부'!A79/100),100),MOD(INT('월 가계부'!A79),100)))=MOD(INT('월 가계부'!A79/100),100),DATE(INT('월 가계부'!A79/10000),MOD(INT('월 가계부'!A79/100),100),MOD(INT('월 가계부'!A79),100)),""),""),IF(AND('월 가계부'!A79&gt;=36526,'월 가계부'!A79&lt;73051),INT('월 가계부'!A79),"")),IF(OR(CM79="",CN79="",CO79=""),"",IF(AND(CM79&gt;=2000,CM79&lt;=2099,CN79&gt;=1,CN79&lt;=12,CO79&gt;=1,CO79&lt;=31),IF(MONTH(DATE(CM79,CN79,CO79))=CN79,DATE(CM79,CN79,CO79),""),"")))),"")</f>
        <v/>
      </c>
      <c r="CJ79">
        <f>IFERROR(IF('월 가계부'!C79="","",IF(ISNUMBER('월 가계부'!C79),'월 가계부'!C79,VALUE(SUBSTITUTE(SUBSTITUTE(SUBSTITUTE(SUBSTITUTE(TRIM('월 가계부'!C79),",",""),"원","")," ",""),"−","-")))),"")</f>
        <v/>
      </c>
      <c r="CK79">
        <f>IF(ISNUMBER(CI79),IF(CI79&lt;$B$13,CI79,""),"")</f>
        <v/>
      </c>
      <c r="CM79">
        <f>IF(CH79="","",IFERROR(IF(IF(AND(LEN(CH79)=9,ISERROR(FIND("-",LEFT(CH79,8))),ISNUMBER(-LEFT(CH79,8))),VALUE(LEFT(CH79,4)),VALUE(LEFT(CH79,FIND("-",CH79)-1)))&lt;100,IF(AND(LEN(CH79)=9,ISERROR(FIND("-",LEFT(CH79,8))),ISNUMBER(-LEFT(CH79,8))),VALUE(LEFT(CH79,4)),VALUE(LEFT(CH79,FIND("-",CH79)-1)))+2000,IF(AND(LEN(CH79)=9,ISERROR(FIND("-",LEFT(CH79,8))),ISNUMBER(-LEFT(CH79,8))),VALUE(LEFT(CH79,4)),VALUE(LEFT(CH79,FIND("-",CH79)-1)))),""))</f>
        <v/>
      </c>
      <c r="CN79">
        <f>IF(CH79="","",IFERROR(IF(AND(LEN(CH79)=9,ISERROR(FIND("-",LEFT(CH79,8))),ISNUMBER(-LEFT(CH79,8))),VALUE(MID(CH79,5,2)),VALUE(MID(CH79,FIND("-",CH79)+1,FIND("-",CH79,FIND("-",CH79)+1)-FIND("-",CH79)-1))),""))</f>
        <v/>
      </c>
      <c r="CO79">
        <f>IF(CH79="","",IFERROR(IF(AND(LEN(CH79)=9,ISERROR(FIND("-",LEFT(CH79,8))),ISNUMBER(-LEFT(CH79,8))),VALUE(MID(CH79,7,2)),VALUE(MID(CH79,FIND("-",CH79,FIND("-",CH79)+1)+1,FIND("-",CH79,FIND("-",CH79,FIND("-",CH79)+1)+1)-FIND("-",CH79,FIND("-",CH79)+1)-1))),""))</f>
        <v/>
      </c>
    </row>
    <row r="80">
      <c r="A80" t="n">
        <v>40</v>
      </c>
      <c r="B80">
        <f>$B$1+40</f>
        <v/>
      </c>
      <c r="C80">
        <f>$B$2</f>
        <v/>
      </c>
      <c r="D80">
        <f>IF($B$1+1&gt;90,C80,(C80+IF($B$1+1&lt;=$B80,12*$B$7,-12*MAX(0,$B$6-IF($B$1+1&gt;=$B$23,$B$22,0))*(1+$B$4)^1))*IF(C80+IF($B$1+1&lt;=$B80,12*$B$7,-12*MAX(0,$B$6-IF($B$1+1&gt;=$B$23,$B$22,0))*(1+$B$4)^1)&gt;0,1+$B$3,1))</f>
        <v/>
      </c>
      <c r="E80">
        <f>IF($B$1+2&gt;90,D80,(D80+IF($B$1+2&lt;=$B80,12*$B$7,-12*MAX(0,$B$6-IF($B$1+2&gt;=$B$23,$B$22,0))*(1+$B$4)^2))*IF(D80+IF($B$1+2&lt;=$B80,12*$B$7,-12*MAX(0,$B$6-IF($B$1+2&gt;=$B$23,$B$22,0))*(1+$B$4)^2)&gt;0,1+$B$3,1))</f>
        <v/>
      </c>
      <c r="F80">
        <f>IF($B$1+3&gt;90,E80,(E80+IF($B$1+3&lt;=$B80,12*$B$7,-12*MAX(0,$B$6-IF($B$1+3&gt;=$B$23,$B$22,0))*(1+$B$4)^3))*IF(E80+IF($B$1+3&lt;=$B80,12*$B$7,-12*MAX(0,$B$6-IF($B$1+3&gt;=$B$23,$B$22,0))*(1+$B$4)^3)&gt;0,1+$B$3,1))</f>
        <v/>
      </c>
      <c r="G80">
        <f>IF($B$1+4&gt;90,F80,(F80+IF($B$1+4&lt;=$B80,12*$B$7,-12*MAX(0,$B$6-IF($B$1+4&gt;=$B$23,$B$22,0))*(1+$B$4)^4))*IF(F80+IF($B$1+4&lt;=$B80,12*$B$7,-12*MAX(0,$B$6-IF($B$1+4&gt;=$B$23,$B$22,0))*(1+$B$4)^4)&gt;0,1+$B$3,1))</f>
        <v/>
      </c>
      <c r="H80">
        <f>IF($B$1+5&gt;90,G80,(G80+IF($B$1+5&lt;=$B80,12*$B$7,-12*MAX(0,$B$6-IF($B$1+5&gt;=$B$23,$B$22,0))*(1+$B$4)^5))*IF(G80+IF($B$1+5&lt;=$B80,12*$B$7,-12*MAX(0,$B$6-IF($B$1+5&gt;=$B$23,$B$22,0))*(1+$B$4)^5)&gt;0,1+$B$3,1))</f>
        <v/>
      </c>
      <c r="I80">
        <f>IF($B$1+6&gt;90,H80,(H80+IF($B$1+6&lt;=$B80,12*$B$7,-12*MAX(0,$B$6-IF($B$1+6&gt;=$B$23,$B$22,0))*(1+$B$4)^6))*IF(H80+IF($B$1+6&lt;=$B80,12*$B$7,-12*MAX(0,$B$6-IF($B$1+6&gt;=$B$23,$B$22,0))*(1+$B$4)^6)&gt;0,1+$B$3,1))</f>
        <v/>
      </c>
      <c r="J80">
        <f>IF($B$1+7&gt;90,I80,(I80+IF($B$1+7&lt;=$B80,12*$B$7,-12*MAX(0,$B$6-IF($B$1+7&gt;=$B$23,$B$22,0))*(1+$B$4)^7))*IF(I80+IF($B$1+7&lt;=$B80,12*$B$7,-12*MAX(0,$B$6-IF($B$1+7&gt;=$B$23,$B$22,0))*(1+$B$4)^7)&gt;0,1+$B$3,1))</f>
        <v/>
      </c>
      <c r="K80">
        <f>IF($B$1+8&gt;90,J80,(J80+IF($B$1+8&lt;=$B80,12*$B$7,-12*MAX(0,$B$6-IF($B$1+8&gt;=$B$23,$B$22,0))*(1+$B$4)^8))*IF(J80+IF($B$1+8&lt;=$B80,12*$B$7,-12*MAX(0,$B$6-IF($B$1+8&gt;=$B$23,$B$22,0))*(1+$B$4)^8)&gt;0,1+$B$3,1))</f>
        <v/>
      </c>
      <c r="L80">
        <f>IF($B$1+9&gt;90,K80,(K80+IF($B$1+9&lt;=$B80,12*$B$7,-12*MAX(0,$B$6-IF($B$1+9&gt;=$B$23,$B$22,0))*(1+$B$4)^9))*IF(K80+IF($B$1+9&lt;=$B80,12*$B$7,-12*MAX(0,$B$6-IF($B$1+9&gt;=$B$23,$B$22,0))*(1+$B$4)^9)&gt;0,1+$B$3,1))</f>
        <v/>
      </c>
      <c r="M80">
        <f>IF($B$1+10&gt;90,L80,(L80+IF($B$1+10&lt;=$B80,12*$B$7,-12*MAX(0,$B$6-IF($B$1+10&gt;=$B$23,$B$22,0))*(1+$B$4)^10))*IF(L80+IF($B$1+10&lt;=$B80,12*$B$7,-12*MAX(0,$B$6-IF($B$1+10&gt;=$B$23,$B$22,0))*(1+$B$4)^10)&gt;0,1+$B$3,1))</f>
        <v/>
      </c>
      <c r="N80">
        <f>IF($B$1+11&gt;90,M80,(M80+IF($B$1+11&lt;=$B80,12*$B$7,-12*MAX(0,$B$6-IF($B$1+11&gt;=$B$23,$B$22,0))*(1+$B$4)^11))*IF(M80+IF($B$1+11&lt;=$B80,12*$B$7,-12*MAX(0,$B$6-IF($B$1+11&gt;=$B$23,$B$22,0))*(1+$B$4)^11)&gt;0,1+$B$3,1))</f>
        <v/>
      </c>
      <c r="O80">
        <f>IF($B$1+12&gt;90,N80,(N80+IF($B$1+12&lt;=$B80,12*$B$7,-12*MAX(0,$B$6-IF($B$1+12&gt;=$B$23,$B$22,0))*(1+$B$4)^12))*IF(N80+IF($B$1+12&lt;=$B80,12*$B$7,-12*MAX(0,$B$6-IF($B$1+12&gt;=$B$23,$B$22,0))*(1+$B$4)^12)&gt;0,1+$B$3,1))</f>
        <v/>
      </c>
      <c r="P80">
        <f>IF($B$1+13&gt;90,O80,(O80+IF($B$1+13&lt;=$B80,12*$B$7,-12*MAX(0,$B$6-IF($B$1+13&gt;=$B$23,$B$22,0))*(1+$B$4)^13))*IF(O80+IF($B$1+13&lt;=$B80,12*$B$7,-12*MAX(0,$B$6-IF($B$1+13&gt;=$B$23,$B$22,0))*(1+$B$4)^13)&gt;0,1+$B$3,1))</f>
        <v/>
      </c>
      <c r="Q80">
        <f>IF($B$1+14&gt;90,P80,(P80+IF($B$1+14&lt;=$B80,12*$B$7,-12*MAX(0,$B$6-IF($B$1+14&gt;=$B$23,$B$22,0))*(1+$B$4)^14))*IF(P80+IF($B$1+14&lt;=$B80,12*$B$7,-12*MAX(0,$B$6-IF($B$1+14&gt;=$B$23,$B$22,0))*(1+$B$4)^14)&gt;0,1+$B$3,1))</f>
        <v/>
      </c>
      <c r="R80">
        <f>IF($B$1+15&gt;90,Q80,(Q80+IF($B$1+15&lt;=$B80,12*$B$7,-12*MAX(0,$B$6-IF($B$1+15&gt;=$B$23,$B$22,0))*(1+$B$4)^15))*IF(Q80+IF($B$1+15&lt;=$B80,12*$B$7,-12*MAX(0,$B$6-IF($B$1+15&gt;=$B$23,$B$22,0))*(1+$B$4)^15)&gt;0,1+$B$3,1))</f>
        <v/>
      </c>
      <c r="S80">
        <f>IF($B$1+16&gt;90,R80,(R80+IF($B$1+16&lt;=$B80,12*$B$7,-12*MAX(0,$B$6-IF($B$1+16&gt;=$B$23,$B$22,0))*(1+$B$4)^16))*IF(R80+IF($B$1+16&lt;=$B80,12*$B$7,-12*MAX(0,$B$6-IF($B$1+16&gt;=$B$23,$B$22,0))*(1+$B$4)^16)&gt;0,1+$B$3,1))</f>
        <v/>
      </c>
      <c r="T80">
        <f>IF($B$1+17&gt;90,S80,(S80+IF($B$1+17&lt;=$B80,12*$B$7,-12*MAX(0,$B$6-IF($B$1+17&gt;=$B$23,$B$22,0))*(1+$B$4)^17))*IF(S80+IF($B$1+17&lt;=$B80,12*$B$7,-12*MAX(0,$B$6-IF($B$1+17&gt;=$B$23,$B$22,0))*(1+$B$4)^17)&gt;0,1+$B$3,1))</f>
        <v/>
      </c>
      <c r="U80">
        <f>IF($B$1+18&gt;90,T80,(T80+IF($B$1+18&lt;=$B80,12*$B$7,-12*MAX(0,$B$6-IF($B$1+18&gt;=$B$23,$B$22,0))*(1+$B$4)^18))*IF(T80+IF($B$1+18&lt;=$B80,12*$B$7,-12*MAX(0,$B$6-IF($B$1+18&gt;=$B$23,$B$22,0))*(1+$B$4)^18)&gt;0,1+$B$3,1))</f>
        <v/>
      </c>
      <c r="V80">
        <f>IF($B$1+19&gt;90,U80,(U80+IF($B$1+19&lt;=$B80,12*$B$7,-12*MAX(0,$B$6-IF($B$1+19&gt;=$B$23,$B$22,0))*(1+$B$4)^19))*IF(U80+IF($B$1+19&lt;=$B80,12*$B$7,-12*MAX(0,$B$6-IF($B$1+19&gt;=$B$23,$B$22,0))*(1+$B$4)^19)&gt;0,1+$B$3,1))</f>
        <v/>
      </c>
      <c r="W80">
        <f>IF($B$1+20&gt;90,V80,(V80+IF($B$1+20&lt;=$B80,12*$B$7,-12*MAX(0,$B$6-IF($B$1+20&gt;=$B$23,$B$22,0))*(1+$B$4)^20))*IF(V80+IF($B$1+20&lt;=$B80,12*$B$7,-12*MAX(0,$B$6-IF($B$1+20&gt;=$B$23,$B$22,0))*(1+$B$4)^20)&gt;0,1+$B$3,1))</f>
        <v/>
      </c>
      <c r="X80">
        <f>IF($B$1+21&gt;90,W80,(W80+IF($B$1+21&lt;=$B80,12*$B$7,-12*MAX(0,$B$6-IF($B$1+21&gt;=$B$23,$B$22,0))*(1+$B$4)^21))*IF(W80+IF($B$1+21&lt;=$B80,12*$B$7,-12*MAX(0,$B$6-IF($B$1+21&gt;=$B$23,$B$22,0))*(1+$B$4)^21)&gt;0,1+$B$3,1))</f>
        <v/>
      </c>
      <c r="Y80">
        <f>IF($B$1+22&gt;90,X80,(X80+IF($B$1+22&lt;=$B80,12*$B$7,-12*MAX(0,$B$6-IF($B$1+22&gt;=$B$23,$B$22,0))*(1+$B$4)^22))*IF(X80+IF($B$1+22&lt;=$B80,12*$B$7,-12*MAX(0,$B$6-IF($B$1+22&gt;=$B$23,$B$22,0))*(1+$B$4)^22)&gt;0,1+$B$3,1))</f>
        <v/>
      </c>
      <c r="Z80">
        <f>IF($B$1+23&gt;90,Y80,(Y80+IF($B$1+23&lt;=$B80,12*$B$7,-12*MAX(0,$B$6-IF($B$1+23&gt;=$B$23,$B$22,0))*(1+$B$4)^23))*IF(Y80+IF($B$1+23&lt;=$B80,12*$B$7,-12*MAX(0,$B$6-IF($B$1+23&gt;=$B$23,$B$22,0))*(1+$B$4)^23)&gt;0,1+$B$3,1))</f>
        <v/>
      </c>
      <c r="AA80">
        <f>IF($B$1+24&gt;90,Z80,(Z80+IF($B$1+24&lt;=$B80,12*$B$7,-12*MAX(0,$B$6-IF($B$1+24&gt;=$B$23,$B$22,0))*(1+$B$4)^24))*IF(Z80+IF($B$1+24&lt;=$B80,12*$B$7,-12*MAX(0,$B$6-IF($B$1+24&gt;=$B$23,$B$22,0))*(1+$B$4)^24)&gt;0,1+$B$3,1))</f>
        <v/>
      </c>
      <c r="AB80">
        <f>IF($B$1+25&gt;90,AA80,(AA80+IF($B$1+25&lt;=$B80,12*$B$7,-12*MAX(0,$B$6-IF($B$1+25&gt;=$B$23,$B$22,0))*(1+$B$4)^25))*IF(AA80+IF($B$1+25&lt;=$B80,12*$B$7,-12*MAX(0,$B$6-IF($B$1+25&gt;=$B$23,$B$22,0))*(1+$B$4)^25)&gt;0,1+$B$3,1))</f>
        <v/>
      </c>
      <c r="AC80">
        <f>IF($B$1+26&gt;90,AB80,(AB80+IF($B$1+26&lt;=$B80,12*$B$7,-12*MAX(0,$B$6-IF($B$1+26&gt;=$B$23,$B$22,0))*(1+$B$4)^26))*IF(AB80+IF($B$1+26&lt;=$B80,12*$B$7,-12*MAX(0,$B$6-IF($B$1+26&gt;=$B$23,$B$22,0))*(1+$B$4)^26)&gt;0,1+$B$3,1))</f>
        <v/>
      </c>
      <c r="AD80">
        <f>IF($B$1+27&gt;90,AC80,(AC80+IF($B$1+27&lt;=$B80,12*$B$7,-12*MAX(0,$B$6-IF($B$1+27&gt;=$B$23,$B$22,0))*(1+$B$4)^27))*IF(AC80+IF($B$1+27&lt;=$B80,12*$B$7,-12*MAX(0,$B$6-IF($B$1+27&gt;=$B$23,$B$22,0))*(1+$B$4)^27)&gt;0,1+$B$3,1))</f>
        <v/>
      </c>
      <c r="AE80">
        <f>IF($B$1+28&gt;90,AD80,(AD80+IF($B$1+28&lt;=$B80,12*$B$7,-12*MAX(0,$B$6-IF($B$1+28&gt;=$B$23,$B$22,0))*(1+$B$4)^28))*IF(AD80+IF($B$1+28&lt;=$B80,12*$B$7,-12*MAX(0,$B$6-IF($B$1+28&gt;=$B$23,$B$22,0))*(1+$B$4)^28)&gt;0,1+$B$3,1))</f>
        <v/>
      </c>
      <c r="AF80">
        <f>IF($B$1+29&gt;90,AE80,(AE80+IF($B$1+29&lt;=$B80,12*$B$7,-12*MAX(0,$B$6-IF($B$1+29&gt;=$B$23,$B$22,0))*(1+$B$4)^29))*IF(AE80+IF($B$1+29&lt;=$B80,12*$B$7,-12*MAX(0,$B$6-IF($B$1+29&gt;=$B$23,$B$22,0))*(1+$B$4)^29)&gt;0,1+$B$3,1))</f>
        <v/>
      </c>
      <c r="AG80">
        <f>IF($B$1+30&gt;90,AF80,(AF80+IF($B$1+30&lt;=$B80,12*$B$7,-12*MAX(0,$B$6-IF($B$1+30&gt;=$B$23,$B$22,0))*(1+$B$4)^30))*IF(AF80+IF($B$1+30&lt;=$B80,12*$B$7,-12*MAX(0,$B$6-IF($B$1+30&gt;=$B$23,$B$22,0))*(1+$B$4)^30)&gt;0,1+$B$3,1))</f>
        <v/>
      </c>
      <c r="AH80">
        <f>IF($B$1+31&gt;90,AG80,(AG80+IF($B$1+31&lt;=$B80,12*$B$7,-12*MAX(0,$B$6-IF($B$1+31&gt;=$B$23,$B$22,0))*(1+$B$4)^31))*IF(AG80+IF($B$1+31&lt;=$B80,12*$B$7,-12*MAX(0,$B$6-IF($B$1+31&gt;=$B$23,$B$22,0))*(1+$B$4)^31)&gt;0,1+$B$3,1))</f>
        <v/>
      </c>
      <c r="AI80">
        <f>IF($B$1+32&gt;90,AH80,(AH80+IF($B$1+32&lt;=$B80,12*$B$7,-12*MAX(0,$B$6-IF($B$1+32&gt;=$B$23,$B$22,0))*(1+$B$4)^32))*IF(AH80+IF($B$1+32&lt;=$B80,12*$B$7,-12*MAX(0,$B$6-IF($B$1+32&gt;=$B$23,$B$22,0))*(1+$B$4)^32)&gt;0,1+$B$3,1))</f>
        <v/>
      </c>
      <c r="AJ80">
        <f>IF($B$1+33&gt;90,AI80,(AI80+IF($B$1+33&lt;=$B80,12*$B$7,-12*MAX(0,$B$6-IF($B$1+33&gt;=$B$23,$B$22,0))*(1+$B$4)^33))*IF(AI80+IF($B$1+33&lt;=$B80,12*$B$7,-12*MAX(0,$B$6-IF($B$1+33&gt;=$B$23,$B$22,0))*(1+$B$4)^33)&gt;0,1+$B$3,1))</f>
        <v/>
      </c>
      <c r="AK80">
        <f>IF($B$1+34&gt;90,AJ80,(AJ80+IF($B$1+34&lt;=$B80,12*$B$7,-12*MAX(0,$B$6-IF($B$1+34&gt;=$B$23,$B$22,0))*(1+$B$4)^34))*IF(AJ80+IF($B$1+34&lt;=$B80,12*$B$7,-12*MAX(0,$B$6-IF($B$1+34&gt;=$B$23,$B$22,0))*(1+$B$4)^34)&gt;0,1+$B$3,1))</f>
        <v/>
      </c>
      <c r="AL80">
        <f>IF($B$1+35&gt;90,AK80,(AK80+IF($B$1+35&lt;=$B80,12*$B$7,-12*MAX(0,$B$6-IF($B$1+35&gt;=$B$23,$B$22,0))*(1+$B$4)^35))*IF(AK80+IF($B$1+35&lt;=$B80,12*$B$7,-12*MAX(0,$B$6-IF($B$1+35&gt;=$B$23,$B$22,0))*(1+$B$4)^35)&gt;0,1+$B$3,1))</f>
        <v/>
      </c>
      <c r="AM80">
        <f>IF($B$1+36&gt;90,AL80,(AL80+IF($B$1+36&lt;=$B80,12*$B$7,-12*MAX(0,$B$6-IF($B$1+36&gt;=$B$23,$B$22,0))*(1+$B$4)^36))*IF(AL80+IF($B$1+36&lt;=$B80,12*$B$7,-12*MAX(0,$B$6-IF($B$1+36&gt;=$B$23,$B$22,0))*(1+$B$4)^36)&gt;0,1+$B$3,1))</f>
        <v/>
      </c>
      <c r="AN80">
        <f>IF($B$1+37&gt;90,AM80,(AM80+IF($B$1+37&lt;=$B80,12*$B$7,-12*MAX(0,$B$6-IF($B$1+37&gt;=$B$23,$B$22,0))*(1+$B$4)^37))*IF(AM80+IF($B$1+37&lt;=$B80,12*$B$7,-12*MAX(0,$B$6-IF($B$1+37&gt;=$B$23,$B$22,0))*(1+$B$4)^37)&gt;0,1+$B$3,1))</f>
        <v/>
      </c>
      <c r="AO80">
        <f>IF($B$1+38&gt;90,AN80,(AN80+IF($B$1+38&lt;=$B80,12*$B$7,-12*MAX(0,$B$6-IF($B$1+38&gt;=$B$23,$B$22,0))*(1+$B$4)^38))*IF(AN80+IF($B$1+38&lt;=$B80,12*$B$7,-12*MAX(0,$B$6-IF($B$1+38&gt;=$B$23,$B$22,0))*(1+$B$4)^38)&gt;0,1+$B$3,1))</f>
        <v/>
      </c>
      <c r="AP80">
        <f>IF($B$1+39&gt;90,AO80,(AO80+IF($B$1+39&lt;=$B80,12*$B$7,-12*MAX(0,$B$6-IF($B$1+39&gt;=$B$23,$B$22,0))*(1+$B$4)^39))*IF(AO80+IF($B$1+39&lt;=$B80,12*$B$7,-12*MAX(0,$B$6-IF($B$1+39&gt;=$B$23,$B$22,0))*(1+$B$4)^39)&gt;0,1+$B$3,1))</f>
        <v/>
      </c>
      <c r="AQ80">
        <f>IF($B$1+40&gt;90,AP80,(AP80+IF($B$1+40&lt;=$B80,12*$B$7,-12*MAX(0,$B$6-IF($B$1+40&gt;=$B$23,$B$22,0))*(1+$B$4)^40))*IF(AP80+IF($B$1+40&lt;=$B80,12*$B$7,-12*MAX(0,$B$6-IF($B$1+40&gt;=$B$23,$B$22,0))*(1+$B$4)^40)&gt;0,1+$B$3,1))</f>
        <v/>
      </c>
      <c r="AR80">
        <f>IF($B$1+41&gt;90,AQ80,(AQ80+IF($B$1+41&lt;=$B80,12*$B$7,-12*MAX(0,$B$6-IF($B$1+41&gt;=$B$23,$B$22,0))*(1+$B$4)^41))*IF(AQ80+IF($B$1+41&lt;=$B80,12*$B$7,-12*MAX(0,$B$6-IF($B$1+41&gt;=$B$23,$B$22,0))*(1+$B$4)^41)&gt;0,1+$B$3,1))</f>
        <v/>
      </c>
      <c r="AS80">
        <f>IF($B$1+42&gt;90,AR80,(AR80+IF($B$1+42&lt;=$B80,12*$B$7,-12*MAX(0,$B$6-IF($B$1+42&gt;=$B$23,$B$22,0))*(1+$B$4)^42))*IF(AR80+IF($B$1+42&lt;=$B80,12*$B$7,-12*MAX(0,$B$6-IF($B$1+42&gt;=$B$23,$B$22,0))*(1+$B$4)^42)&gt;0,1+$B$3,1))</f>
        <v/>
      </c>
      <c r="AT80">
        <f>IF($B$1+43&gt;90,AS80,(AS80+IF($B$1+43&lt;=$B80,12*$B$7,-12*MAX(0,$B$6-IF($B$1+43&gt;=$B$23,$B$22,0))*(1+$B$4)^43))*IF(AS80+IF($B$1+43&lt;=$B80,12*$B$7,-12*MAX(0,$B$6-IF($B$1+43&gt;=$B$23,$B$22,0))*(1+$B$4)^43)&gt;0,1+$B$3,1))</f>
        <v/>
      </c>
      <c r="AU80">
        <f>IF($B$1+44&gt;90,AT80,(AT80+IF($B$1+44&lt;=$B80,12*$B$7,-12*MAX(0,$B$6-IF($B$1+44&gt;=$B$23,$B$22,0))*(1+$B$4)^44))*IF(AT80+IF($B$1+44&lt;=$B80,12*$B$7,-12*MAX(0,$B$6-IF($B$1+44&gt;=$B$23,$B$22,0))*(1+$B$4)^44)&gt;0,1+$B$3,1))</f>
        <v/>
      </c>
      <c r="AV80">
        <f>IF($B$1+45&gt;90,AU80,(AU80+IF($B$1+45&lt;=$B80,12*$B$7,-12*MAX(0,$B$6-IF($B$1+45&gt;=$B$23,$B$22,0))*(1+$B$4)^45))*IF(AU80+IF($B$1+45&lt;=$B80,12*$B$7,-12*MAX(0,$B$6-IF($B$1+45&gt;=$B$23,$B$22,0))*(1+$B$4)^45)&gt;0,1+$B$3,1))</f>
        <v/>
      </c>
      <c r="AW80">
        <f>IF($B$1+46&gt;90,AV80,(AV80+IF($B$1+46&lt;=$B80,12*$B$7,-12*MAX(0,$B$6-IF($B$1+46&gt;=$B$23,$B$22,0))*(1+$B$4)^46))*IF(AV80+IF($B$1+46&lt;=$B80,12*$B$7,-12*MAX(0,$B$6-IF($B$1+46&gt;=$B$23,$B$22,0))*(1+$B$4)^46)&gt;0,1+$B$3,1))</f>
        <v/>
      </c>
      <c r="AX80">
        <f>IF($B$1+47&gt;90,AW80,(AW80+IF($B$1+47&lt;=$B80,12*$B$7,-12*MAX(0,$B$6-IF($B$1+47&gt;=$B$23,$B$22,0))*(1+$B$4)^47))*IF(AW80+IF($B$1+47&lt;=$B80,12*$B$7,-12*MAX(0,$B$6-IF($B$1+47&gt;=$B$23,$B$22,0))*(1+$B$4)^47)&gt;0,1+$B$3,1))</f>
        <v/>
      </c>
      <c r="AY80">
        <f>IF($B$1+48&gt;90,AX80,(AX80+IF($B$1+48&lt;=$B80,12*$B$7,-12*MAX(0,$B$6-IF($B$1+48&gt;=$B$23,$B$22,0))*(1+$B$4)^48))*IF(AX80+IF($B$1+48&lt;=$B80,12*$B$7,-12*MAX(0,$B$6-IF($B$1+48&gt;=$B$23,$B$22,0))*(1+$B$4)^48)&gt;0,1+$B$3,1))</f>
        <v/>
      </c>
      <c r="AZ80">
        <f>IF($B$1+49&gt;90,AY80,(AY80+IF($B$1+49&lt;=$B80,12*$B$7,-12*MAX(0,$B$6-IF($B$1+49&gt;=$B$23,$B$22,0))*(1+$B$4)^49))*IF(AY80+IF($B$1+49&lt;=$B80,12*$B$7,-12*MAX(0,$B$6-IF($B$1+49&gt;=$B$23,$B$22,0))*(1+$B$4)^49)&gt;0,1+$B$3,1))</f>
        <v/>
      </c>
      <c r="BA80">
        <f>IF($B$1+50&gt;90,AZ80,(AZ80+IF($B$1+50&lt;=$B80,12*$B$7,-12*MAX(0,$B$6-IF($B$1+50&gt;=$B$23,$B$22,0))*(1+$B$4)^50))*IF(AZ80+IF($B$1+50&lt;=$B80,12*$B$7,-12*MAX(0,$B$6-IF($B$1+50&gt;=$B$23,$B$22,0))*(1+$B$4)^50)&gt;0,1+$B$3,1))</f>
        <v/>
      </c>
      <c r="BB80">
        <f>IF($B$1+51&gt;90,BA80,(BA80+IF($B$1+51&lt;=$B80,12*$B$7,-12*MAX(0,$B$6-IF($B$1+51&gt;=$B$23,$B$22,0))*(1+$B$4)^51))*IF(BA80+IF($B$1+51&lt;=$B80,12*$B$7,-12*MAX(0,$B$6-IF($B$1+51&gt;=$B$23,$B$22,0))*(1+$B$4)^51)&gt;0,1+$B$3,1))</f>
        <v/>
      </c>
      <c r="BC80">
        <f>IF($B$1+52&gt;90,BB80,(BB80+IF($B$1+52&lt;=$B80,12*$B$7,-12*MAX(0,$B$6-IF($B$1+52&gt;=$B$23,$B$22,0))*(1+$B$4)^52))*IF(BB80+IF($B$1+52&lt;=$B80,12*$B$7,-12*MAX(0,$B$6-IF($B$1+52&gt;=$B$23,$B$22,0))*(1+$B$4)^52)&gt;0,1+$B$3,1))</f>
        <v/>
      </c>
      <c r="BD80">
        <f>IF($B$1+53&gt;90,BC80,(BC80+IF($B$1+53&lt;=$B80,12*$B$7,-12*MAX(0,$B$6-IF($B$1+53&gt;=$B$23,$B$22,0))*(1+$B$4)^53))*IF(BC80+IF($B$1+53&lt;=$B80,12*$B$7,-12*MAX(0,$B$6-IF($B$1+53&gt;=$B$23,$B$22,0))*(1+$B$4)^53)&gt;0,1+$B$3,1))</f>
        <v/>
      </c>
      <c r="BE80">
        <f>IF($B$1+54&gt;90,BD80,(BD80+IF($B$1+54&lt;=$B80,12*$B$7,-12*MAX(0,$B$6-IF($B$1+54&gt;=$B$23,$B$22,0))*(1+$B$4)^54))*IF(BD80+IF($B$1+54&lt;=$B80,12*$B$7,-12*MAX(0,$B$6-IF($B$1+54&gt;=$B$23,$B$22,0))*(1+$B$4)^54)&gt;0,1+$B$3,1))</f>
        <v/>
      </c>
      <c r="BF80">
        <f>IF($B$1+55&gt;90,BE80,(BE80+IF($B$1+55&lt;=$B80,12*$B$7,-12*MAX(0,$B$6-IF($B$1+55&gt;=$B$23,$B$22,0))*(1+$B$4)^55))*IF(BE80+IF($B$1+55&lt;=$B80,12*$B$7,-12*MAX(0,$B$6-IF($B$1+55&gt;=$B$23,$B$22,0))*(1+$B$4)^55)&gt;0,1+$B$3,1))</f>
        <v/>
      </c>
      <c r="BG80">
        <f>IF($B$1+56&gt;90,BF80,(BF80+IF($B$1+56&lt;=$B80,12*$B$7,-12*MAX(0,$B$6-IF($B$1+56&gt;=$B$23,$B$22,0))*(1+$B$4)^56))*IF(BF80+IF($B$1+56&lt;=$B80,12*$B$7,-12*MAX(0,$B$6-IF($B$1+56&gt;=$B$23,$B$22,0))*(1+$B$4)^56)&gt;0,1+$B$3,1))</f>
        <v/>
      </c>
      <c r="BH80">
        <f>IF($B$1+57&gt;90,BG80,(BG80+IF($B$1+57&lt;=$B80,12*$B$7,-12*MAX(0,$B$6-IF($B$1+57&gt;=$B$23,$B$22,0))*(1+$B$4)^57))*IF(BG80+IF($B$1+57&lt;=$B80,12*$B$7,-12*MAX(0,$B$6-IF($B$1+57&gt;=$B$23,$B$22,0))*(1+$B$4)^57)&gt;0,1+$B$3,1))</f>
        <v/>
      </c>
      <c r="BI80">
        <f>IF($B$1+58&gt;90,BH80,(BH80+IF($B$1+58&lt;=$B80,12*$B$7,-12*MAX(0,$B$6-IF($B$1+58&gt;=$B$23,$B$22,0))*(1+$B$4)^58))*IF(BH80+IF($B$1+58&lt;=$B80,12*$B$7,-12*MAX(0,$B$6-IF($B$1+58&gt;=$B$23,$B$22,0))*(1+$B$4)^58)&gt;0,1+$B$3,1))</f>
        <v/>
      </c>
      <c r="BJ80">
        <f>IF($B$1+59&gt;90,BI80,(BI80+IF($B$1+59&lt;=$B80,12*$B$7,-12*MAX(0,$B$6-IF($B$1+59&gt;=$B$23,$B$22,0))*(1+$B$4)^59))*IF(BI80+IF($B$1+59&lt;=$B80,12*$B$7,-12*MAX(0,$B$6-IF($B$1+59&gt;=$B$23,$B$22,0))*(1+$B$4)^59)&gt;0,1+$B$3,1))</f>
        <v/>
      </c>
      <c r="BK80">
        <f>IF($B$1+60&gt;90,BJ80,(BJ80+IF($B$1+60&lt;=$B80,12*$B$7,-12*MAX(0,$B$6-IF($B$1+60&gt;=$B$23,$B$22,0))*(1+$B$4)^60))*IF(BJ80+IF($B$1+60&lt;=$B80,12*$B$7,-12*MAX(0,$B$6-IF($B$1+60&gt;=$B$23,$B$22,0))*(1+$B$4)^60)&gt;0,1+$B$3,1))</f>
        <v/>
      </c>
      <c r="BL80">
        <f>IF($B$1+61&gt;90,BK80,(BK80+IF($B$1+61&lt;=$B80,12*$B$7,-12*MAX(0,$B$6-IF($B$1+61&gt;=$B$23,$B$22,0))*(1+$B$4)^61))*IF(BK80+IF($B$1+61&lt;=$B80,12*$B$7,-12*MAX(0,$B$6-IF($B$1+61&gt;=$B$23,$B$22,0))*(1+$B$4)^61)&gt;0,1+$B$3,1))</f>
        <v/>
      </c>
      <c r="BM80">
        <f>IF($B$1+62&gt;90,BL80,(BL80+IF($B$1+62&lt;=$B80,12*$B$7,-12*MAX(0,$B$6-IF($B$1+62&gt;=$B$23,$B$22,0))*(1+$B$4)^62))*IF(BL80+IF($B$1+62&lt;=$B80,12*$B$7,-12*MAX(0,$B$6-IF($B$1+62&gt;=$B$23,$B$22,0))*(1+$B$4)^62)&gt;0,1+$B$3,1))</f>
        <v/>
      </c>
      <c r="BN80">
        <f>IF($B$1+63&gt;90,BM80,(BM80+IF($B$1+63&lt;=$B80,12*$B$7,-12*MAX(0,$B$6-IF($B$1+63&gt;=$B$23,$B$22,0))*(1+$B$4)^63))*IF(BM80+IF($B$1+63&lt;=$B80,12*$B$7,-12*MAX(0,$B$6-IF($B$1+63&gt;=$B$23,$B$22,0))*(1+$B$4)^63)&gt;0,1+$B$3,1))</f>
        <v/>
      </c>
      <c r="BO80">
        <f>IF($B$1+64&gt;90,BN80,(BN80+IF($B$1+64&lt;=$B80,12*$B$7,-12*MAX(0,$B$6-IF($B$1+64&gt;=$B$23,$B$22,0))*(1+$B$4)^64))*IF(BN80+IF($B$1+64&lt;=$B80,12*$B$7,-12*MAX(0,$B$6-IF($B$1+64&gt;=$B$23,$B$22,0))*(1+$B$4)^64)&gt;0,1+$B$3,1))</f>
        <v/>
      </c>
      <c r="BP80">
        <f>IF($B$1+65&gt;90,BO80,(BO80+IF($B$1+65&lt;=$B80,12*$B$7,-12*MAX(0,$B$6-IF($B$1+65&gt;=$B$23,$B$22,0))*(1+$B$4)^65))*IF(BO80+IF($B$1+65&lt;=$B80,12*$B$7,-12*MAX(0,$B$6-IF($B$1+65&gt;=$B$23,$B$22,0))*(1+$B$4)^65)&gt;0,1+$B$3,1))</f>
        <v/>
      </c>
      <c r="BQ80">
        <f>IF($B$1+66&gt;90,BP80,(BP80+IF($B$1+66&lt;=$B80,12*$B$7,-12*MAX(0,$B$6-IF($B$1+66&gt;=$B$23,$B$22,0))*(1+$B$4)^66))*IF(BP80+IF($B$1+66&lt;=$B80,12*$B$7,-12*MAX(0,$B$6-IF($B$1+66&gt;=$B$23,$B$22,0))*(1+$B$4)^66)&gt;0,1+$B$3,1))</f>
        <v/>
      </c>
      <c r="BR80">
        <f>IF($B$1+67&gt;90,BQ80,(BQ80+IF($B$1+67&lt;=$B80,12*$B$7,-12*MAX(0,$B$6-IF($B$1+67&gt;=$B$23,$B$22,0))*(1+$B$4)^67))*IF(BQ80+IF($B$1+67&lt;=$B80,12*$B$7,-12*MAX(0,$B$6-IF($B$1+67&gt;=$B$23,$B$22,0))*(1+$B$4)^67)&gt;0,1+$B$3,1))</f>
        <v/>
      </c>
      <c r="BS80">
        <f>IF($B$1+68&gt;90,BR80,(BR80+IF($B$1+68&lt;=$B80,12*$B$7,-12*MAX(0,$B$6-IF($B$1+68&gt;=$B$23,$B$22,0))*(1+$B$4)^68))*IF(BR80+IF($B$1+68&lt;=$B80,12*$B$7,-12*MAX(0,$B$6-IF($B$1+68&gt;=$B$23,$B$22,0))*(1+$B$4)^68)&gt;0,1+$B$3,1))</f>
        <v/>
      </c>
      <c r="BT80">
        <f>IF($B$1+69&gt;90,BS80,(BS80+IF($B$1+69&lt;=$B80,12*$B$7,-12*MAX(0,$B$6-IF($B$1+69&gt;=$B$23,$B$22,0))*(1+$B$4)^69))*IF(BS80+IF($B$1+69&lt;=$B80,12*$B$7,-12*MAX(0,$B$6-IF($B$1+69&gt;=$B$23,$B$22,0))*(1+$B$4)^69)&gt;0,1+$B$3,1))</f>
        <v/>
      </c>
      <c r="BU80">
        <f>IF($B$1+70&gt;90,BT80,(BT80+IF($B$1+70&lt;=$B80,12*$B$7,-12*MAX(0,$B$6-IF($B$1+70&gt;=$B$23,$B$22,0))*(1+$B$4)^70))*IF(BT80+IF($B$1+70&lt;=$B80,12*$B$7,-12*MAX(0,$B$6-IF($B$1+70&gt;=$B$23,$B$22,0))*(1+$B$4)^70)&gt;0,1+$B$3,1))</f>
        <v/>
      </c>
      <c r="BV80">
        <f>BU80</f>
        <v/>
      </c>
      <c r="BW80">
        <f>IF(AND($B80&lt;=70,BV80&gt;0),$B80,999)</f>
        <v/>
      </c>
      <c r="CH80">
        <f>IF(ISTEXT('월 가계부'!A80),SUBSTITUTE(SUBSTITUTE(SUBSTITUTE(SUBSTITUTE(SUBSTITUTE(SUBSTITUTE(SUBSTITUTE(SUBSTITUTE(SUBSTITUTE(TRIM('월 가계부'!A80),"년","-"),"월","-"),"일",""),".","-"),"/","-")," ","-"),"--","-"),"--","-"),"--","-")&amp;"-","")</f>
        <v/>
      </c>
      <c r="CI80">
        <f>IFERROR(IF('월 가계부'!A80="","",IF(ISNUMBER('월 가계부'!A80),IF(AND('월 가계부'!A80&gt;=19000101,'월 가계부'!A80&lt;=21001231),IF(AND(MOD(INT('월 가계부'!A80/100),100)&gt;=1,MOD(INT('월 가계부'!A80/100),100)&lt;=12,MOD(INT('월 가계부'!A80),100)&gt;=1,MOD(INT('월 가계부'!A80),100)&lt;=31),IF(MONTH(DATE(INT('월 가계부'!A80/10000),MOD(INT('월 가계부'!A80/100),100),MOD(INT('월 가계부'!A80),100)))=MOD(INT('월 가계부'!A80/100),100),DATE(INT('월 가계부'!A80/10000),MOD(INT('월 가계부'!A80/100),100),MOD(INT('월 가계부'!A80),100)),""),""),IF(AND('월 가계부'!A80&gt;=36526,'월 가계부'!A80&lt;73051),INT('월 가계부'!A80),"")),IF(OR(CM80="",CN80="",CO80=""),"",IF(AND(CM80&gt;=2000,CM80&lt;=2099,CN80&gt;=1,CN80&lt;=12,CO80&gt;=1,CO80&lt;=31),IF(MONTH(DATE(CM80,CN80,CO80))=CN80,DATE(CM80,CN80,CO80),""),"")))),"")</f>
        <v/>
      </c>
      <c r="CJ80">
        <f>IFERROR(IF('월 가계부'!C80="","",IF(ISNUMBER('월 가계부'!C80),'월 가계부'!C80,VALUE(SUBSTITUTE(SUBSTITUTE(SUBSTITUTE(SUBSTITUTE(TRIM('월 가계부'!C80),",",""),"원","")," ",""),"−","-")))),"")</f>
        <v/>
      </c>
      <c r="CK80">
        <f>IF(ISNUMBER(CI80),IF(CI80&lt;$B$13,CI80,""),"")</f>
        <v/>
      </c>
      <c r="CM80">
        <f>IF(CH80="","",IFERROR(IF(IF(AND(LEN(CH80)=9,ISERROR(FIND("-",LEFT(CH80,8))),ISNUMBER(-LEFT(CH80,8))),VALUE(LEFT(CH80,4)),VALUE(LEFT(CH80,FIND("-",CH80)-1)))&lt;100,IF(AND(LEN(CH80)=9,ISERROR(FIND("-",LEFT(CH80,8))),ISNUMBER(-LEFT(CH80,8))),VALUE(LEFT(CH80,4)),VALUE(LEFT(CH80,FIND("-",CH80)-1)))+2000,IF(AND(LEN(CH80)=9,ISERROR(FIND("-",LEFT(CH80,8))),ISNUMBER(-LEFT(CH80,8))),VALUE(LEFT(CH80,4)),VALUE(LEFT(CH80,FIND("-",CH80)-1)))),""))</f>
        <v/>
      </c>
      <c r="CN80">
        <f>IF(CH80="","",IFERROR(IF(AND(LEN(CH80)=9,ISERROR(FIND("-",LEFT(CH80,8))),ISNUMBER(-LEFT(CH80,8))),VALUE(MID(CH80,5,2)),VALUE(MID(CH80,FIND("-",CH80)+1,FIND("-",CH80,FIND("-",CH80)+1)-FIND("-",CH80)-1))),""))</f>
        <v/>
      </c>
      <c r="CO80">
        <f>IF(CH80="","",IFERROR(IF(AND(LEN(CH80)=9,ISERROR(FIND("-",LEFT(CH80,8))),ISNUMBER(-LEFT(CH80,8))),VALUE(MID(CH80,7,2)),VALUE(MID(CH80,FIND("-",CH80,FIND("-",CH80)+1)+1,FIND("-",CH80,FIND("-",CH80,FIND("-",CH80)+1)+1)-FIND("-",CH80,FIND("-",CH80)+1)-1))),""))</f>
        <v/>
      </c>
    </row>
    <row r="81">
      <c r="A81" t="n">
        <v>41</v>
      </c>
      <c r="B81">
        <f>$B$1+41</f>
        <v/>
      </c>
      <c r="C81">
        <f>$B$2</f>
        <v/>
      </c>
      <c r="D81">
        <f>IF($B$1+1&gt;90,C81,(C81+IF($B$1+1&lt;=$B81,12*$B$7,-12*MAX(0,$B$6-IF($B$1+1&gt;=$B$23,$B$22,0))*(1+$B$4)^1))*IF(C81+IF($B$1+1&lt;=$B81,12*$B$7,-12*MAX(0,$B$6-IF($B$1+1&gt;=$B$23,$B$22,0))*(1+$B$4)^1)&gt;0,1+$B$3,1))</f>
        <v/>
      </c>
      <c r="E81">
        <f>IF($B$1+2&gt;90,D81,(D81+IF($B$1+2&lt;=$B81,12*$B$7,-12*MAX(0,$B$6-IF($B$1+2&gt;=$B$23,$B$22,0))*(1+$B$4)^2))*IF(D81+IF($B$1+2&lt;=$B81,12*$B$7,-12*MAX(0,$B$6-IF($B$1+2&gt;=$B$23,$B$22,0))*(1+$B$4)^2)&gt;0,1+$B$3,1))</f>
        <v/>
      </c>
      <c r="F81">
        <f>IF($B$1+3&gt;90,E81,(E81+IF($B$1+3&lt;=$B81,12*$B$7,-12*MAX(0,$B$6-IF($B$1+3&gt;=$B$23,$B$22,0))*(1+$B$4)^3))*IF(E81+IF($B$1+3&lt;=$B81,12*$B$7,-12*MAX(0,$B$6-IF($B$1+3&gt;=$B$23,$B$22,0))*(1+$B$4)^3)&gt;0,1+$B$3,1))</f>
        <v/>
      </c>
      <c r="G81">
        <f>IF($B$1+4&gt;90,F81,(F81+IF($B$1+4&lt;=$B81,12*$B$7,-12*MAX(0,$B$6-IF($B$1+4&gt;=$B$23,$B$22,0))*(1+$B$4)^4))*IF(F81+IF($B$1+4&lt;=$B81,12*$B$7,-12*MAX(0,$B$6-IF($B$1+4&gt;=$B$23,$B$22,0))*(1+$B$4)^4)&gt;0,1+$B$3,1))</f>
        <v/>
      </c>
      <c r="H81">
        <f>IF($B$1+5&gt;90,G81,(G81+IF($B$1+5&lt;=$B81,12*$B$7,-12*MAX(0,$B$6-IF($B$1+5&gt;=$B$23,$B$22,0))*(1+$B$4)^5))*IF(G81+IF($B$1+5&lt;=$B81,12*$B$7,-12*MAX(0,$B$6-IF($B$1+5&gt;=$B$23,$B$22,0))*(1+$B$4)^5)&gt;0,1+$B$3,1))</f>
        <v/>
      </c>
      <c r="I81">
        <f>IF($B$1+6&gt;90,H81,(H81+IF($B$1+6&lt;=$B81,12*$B$7,-12*MAX(0,$B$6-IF($B$1+6&gt;=$B$23,$B$22,0))*(1+$B$4)^6))*IF(H81+IF($B$1+6&lt;=$B81,12*$B$7,-12*MAX(0,$B$6-IF($B$1+6&gt;=$B$23,$B$22,0))*(1+$B$4)^6)&gt;0,1+$B$3,1))</f>
        <v/>
      </c>
      <c r="J81">
        <f>IF($B$1+7&gt;90,I81,(I81+IF($B$1+7&lt;=$B81,12*$B$7,-12*MAX(0,$B$6-IF($B$1+7&gt;=$B$23,$B$22,0))*(1+$B$4)^7))*IF(I81+IF($B$1+7&lt;=$B81,12*$B$7,-12*MAX(0,$B$6-IF($B$1+7&gt;=$B$23,$B$22,0))*(1+$B$4)^7)&gt;0,1+$B$3,1))</f>
        <v/>
      </c>
      <c r="K81">
        <f>IF($B$1+8&gt;90,J81,(J81+IF($B$1+8&lt;=$B81,12*$B$7,-12*MAX(0,$B$6-IF($B$1+8&gt;=$B$23,$B$22,0))*(1+$B$4)^8))*IF(J81+IF($B$1+8&lt;=$B81,12*$B$7,-12*MAX(0,$B$6-IF($B$1+8&gt;=$B$23,$B$22,0))*(1+$B$4)^8)&gt;0,1+$B$3,1))</f>
        <v/>
      </c>
      <c r="L81">
        <f>IF($B$1+9&gt;90,K81,(K81+IF($B$1+9&lt;=$B81,12*$B$7,-12*MAX(0,$B$6-IF($B$1+9&gt;=$B$23,$B$22,0))*(1+$B$4)^9))*IF(K81+IF($B$1+9&lt;=$B81,12*$B$7,-12*MAX(0,$B$6-IF($B$1+9&gt;=$B$23,$B$22,0))*(1+$B$4)^9)&gt;0,1+$B$3,1))</f>
        <v/>
      </c>
      <c r="M81">
        <f>IF($B$1+10&gt;90,L81,(L81+IF($B$1+10&lt;=$B81,12*$B$7,-12*MAX(0,$B$6-IF($B$1+10&gt;=$B$23,$B$22,0))*(1+$B$4)^10))*IF(L81+IF($B$1+10&lt;=$B81,12*$B$7,-12*MAX(0,$B$6-IF($B$1+10&gt;=$B$23,$B$22,0))*(1+$B$4)^10)&gt;0,1+$B$3,1))</f>
        <v/>
      </c>
      <c r="N81">
        <f>IF($B$1+11&gt;90,M81,(M81+IF($B$1+11&lt;=$B81,12*$B$7,-12*MAX(0,$B$6-IF($B$1+11&gt;=$B$23,$B$22,0))*(1+$B$4)^11))*IF(M81+IF($B$1+11&lt;=$B81,12*$B$7,-12*MAX(0,$B$6-IF($B$1+11&gt;=$B$23,$B$22,0))*(1+$B$4)^11)&gt;0,1+$B$3,1))</f>
        <v/>
      </c>
      <c r="O81">
        <f>IF($B$1+12&gt;90,N81,(N81+IF($B$1+12&lt;=$B81,12*$B$7,-12*MAX(0,$B$6-IF($B$1+12&gt;=$B$23,$B$22,0))*(1+$B$4)^12))*IF(N81+IF($B$1+12&lt;=$B81,12*$B$7,-12*MAX(0,$B$6-IF($B$1+12&gt;=$B$23,$B$22,0))*(1+$B$4)^12)&gt;0,1+$B$3,1))</f>
        <v/>
      </c>
      <c r="P81">
        <f>IF($B$1+13&gt;90,O81,(O81+IF($B$1+13&lt;=$B81,12*$B$7,-12*MAX(0,$B$6-IF($B$1+13&gt;=$B$23,$B$22,0))*(1+$B$4)^13))*IF(O81+IF($B$1+13&lt;=$B81,12*$B$7,-12*MAX(0,$B$6-IF($B$1+13&gt;=$B$23,$B$22,0))*(1+$B$4)^13)&gt;0,1+$B$3,1))</f>
        <v/>
      </c>
      <c r="Q81">
        <f>IF($B$1+14&gt;90,P81,(P81+IF($B$1+14&lt;=$B81,12*$B$7,-12*MAX(0,$B$6-IF($B$1+14&gt;=$B$23,$B$22,0))*(1+$B$4)^14))*IF(P81+IF($B$1+14&lt;=$B81,12*$B$7,-12*MAX(0,$B$6-IF($B$1+14&gt;=$B$23,$B$22,0))*(1+$B$4)^14)&gt;0,1+$B$3,1))</f>
        <v/>
      </c>
      <c r="R81">
        <f>IF($B$1+15&gt;90,Q81,(Q81+IF($B$1+15&lt;=$B81,12*$B$7,-12*MAX(0,$B$6-IF($B$1+15&gt;=$B$23,$B$22,0))*(1+$B$4)^15))*IF(Q81+IF($B$1+15&lt;=$B81,12*$B$7,-12*MAX(0,$B$6-IF($B$1+15&gt;=$B$23,$B$22,0))*(1+$B$4)^15)&gt;0,1+$B$3,1))</f>
        <v/>
      </c>
      <c r="S81">
        <f>IF($B$1+16&gt;90,R81,(R81+IF($B$1+16&lt;=$B81,12*$B$7,-12*MAX(0,$B$6-IF($B$1+16&gt;=$B$23,$B$22,0))*(1+$B$4)^16))*IF(R81+IF($B$1+16&lt;=$B81,12*$B$7,-12*MAX(0,$B$6-IF($B$1+16&gt;=$B$23,$B$22,0))*(1+$B$4)^16)&gt;0,1+$B$3,1))</f>
        <v/>
      </c>
      <c r="T81">
        <f>IF($B$1+17&gt;90,S81,(S81+IF($B$1+17&lt;=$B81,12*$B$7,-12*MAX(0,$B$6-IF($B$1+17&gt;=$B$23,$B$22,0))*(1+$B$4)^17))*IF(S81+IF($B$1+17&lt;=$B81,12*$B$7,-12*MAX(0,$B$6-IF($B$1+17&gt;=$B$23,$B$22,0))*(1+$B$4)^17)&gt;0,1+$B$3,1))</f>
        <v/>
      </c>
      <c r="U81">
        <f>IF($B$1+18&gt;90,T81,(T81+IF($B$1+18&lt;=$B81,12*$B$7,-12*MAX(0,$B$6-IF($B$1+18&gt;=$B$23,$B$22,0))*(1+$B$4)^18))*IF(T81+IF($B$1+18&lt;=$B81,12*$B$7,-12*MAX(0,$B$6-IF($B$1+18&gt;=$B$23,$B$22,0))*(1+$B$4)^18)&gt;0,1+$B$3,1))</f>
        <v/>
      </c>
      <c r="V81">
        <f>IF($B$1+19&gt;90,U81,(U81+IF($B$1+19&lt;=$B81,12*$B$7,-12*MAX(0,$B$6-IF($B$1+19&gt;=$B$23,$B$22,0))*(1+$B$4)^19))*IF(U81+IF($B$1+19&lt;=$B81,12*$B$7,-12*MAX(0,$B$6-IF($B$1+19&gt;=$B$23,$B$22,0))*(1+$B$4)^19)&gt;0,1+$B$3,1))</f>
        <v/>
      </c>
      <c r="W81">
        <f>IF($B$1+20&gt;90,V81,(V81+IF($B$1+20&lt;=$B81,12*$B$7,-12*MAX(0,$B$6-IF($B$1+20&gt;=$B$23,$B$22,0))*(1+$B$4)^20))*IF(V81+IF($B$1+20&lt;=$B81,12*$B$7,-12*MAX(0,$B$6-IF($B$1+20&gt;=$B$23,$B$22,0))*(1+$B$4)^20)&gt;0,1+$B$3,1))</f>
        <v/>
      </c>
      <c r="X81">
        <f>IF($B$1+21&gt;90,W81,(W81+IF($B$1+21&lt;=$B81,12*$B$7,-12*MAX(0,$B$6-IF($B$1+21&gt;=$B$23,$B$22,0))*(1+$B$4)^21))*IF(W81+IF($B$1+21&lt;=$B81,12*$B$7,-12*MAX(0,$B$6-IF($B$1+21&gt;=$B$23,$B$22,0))*(1+$B$4)^21)&gt;0,1+$B$3,1))</f>
        <v/>
      </c>
      <c r="Y81">
        <f>IF($B$1+22&gt;90,X81,(X81+IF($B$1+22&lt;=$B81,12*$B$7,-12*MAX(0,$B$6-IF($B$1+22&gt;=$B$23,$B$22,0))*(1+$B$4)^22))*IF(X81+IF($B$1+22&lt;=$B81,12*$B$7,-12*MAX(0,$B$6-IF($B$1+22&gt;=$B$23,$B$22,0))*(1+$B$4)^22)&gt;0,1+$B$3,1))</f>
        <v/>
      </c>
      <c r="Z81">
        <f>IF($B$1+23&gt;90,Y81,(Y81+IF($B$1+23&lt;=$B81,12*$B$7,-12*MAX(0,$B$6-IF($B$1+23&gt;=$B$23,$B$22,0))*(1+$B$4)^23))*IF(Y81+IF($B$1+23&lt;=$B81,12*$B$7,-12*MAX(0,$B$6-IF($B$1+23&gt;=$B$23,$B$22,0))*(1+$B$4)^23)&gt;0,1+$B$3,1))</f>
        <v/>
      </c>
      <c r="AA81">
        <f>IF($B$1+24&gt;90,Z81,(Z81+IF($B$1+24&lt;=$B81,12*$B$7,-12*MAX(0,$B$6-IF($B$1+24&gt;=$B$23,$B$22,0))*(1+$B$4)^24))*IF(Z81+IF($B$1+24&lt;=$B81,12*$B$7,-12*MAX(0,$B$6-IF($B$1+24&gt;=$B$23,$B$22,0))*(1+$B$4)^24)&gt;0,1+$B$3,1))</f>
        <v/>
      </c>
      <c r="AB81">
        <f>IF($B$1+25&gt;90,AA81,(AA81+IF($B$1+25&lt;=$B81,12*$B$7,-12*MAX(0,$B$6-IF($B$1+25&gt;=$B$23,$B$22,0))*(1+$B$4)^25))*IF(AA81+IF($B$1+25&lt;=$B81,12*$B$7,-12*MAX(0,$B$6-IF($B$1+25&gt;=$B$23,$B$22,0))*(1+$B$4)^25)&gt;0,1+$B$3,1))</f>
        <v/>
      </c>
      <c r="AC81">
        <f>IF($B$1+26&gt;90,AB81,(AB81+IF($B$1+26&lt;=$B81,12*$B$7,-12*MAX(0,$B$6-IF($B$1+26&gt;=$B$23,$B$22,0))*(1+$B$4)^26))*IF(AB81+IF($B$1+26&lt;=$B81,12*$B$7,-12*MAX(0,$B$6-IF($B$1+26&gt;=$B$23,$B$22,0))*(1+$B$4)^26)&gt;0,1+$B$3,1))</f>
        <v/>
      </c>
      <c r="AD81">
        <f>IF($B$1+27&gt;90,AC81,(AC81+IF($B$1+27&lt;=$B81,12*$B$7,-12*MAX(0,$B$6-IF($B$1+27&gt;=$B$23,$B$22,0))*(1+$B$4)^27))*IF(AC81+IF($B$1+27&lt;=$B81,12*$B$7,-12*MAX(0,$B$6-IF($B$1+27&gt;=$B$23,$B$22,0))*(1+$B$4)^27)&gt;0,1+$B$3,1))</f>
        <v/>
      </c>
      <c r="AE81">
        <f>IF($B$1+28&gt;90,AD81,(AD81+IF($B$1+28&lt;=$B81,12*$B$7,-12*MAX(0,$B$6-IF($B$1+28&gt;=$B$23,$B$22,0))*(1+$B$4)^28))*IF(AD81+IF($B$1+28&lt;=$B81,12*$B$7,-12*MAX(0,$B$6-IF($B$1+28&gt;=$B$23,$B$22,0))*(1+$B$4)^28)&gt;0,1+$B$3,1))</f>
        <v/>
      </c>
      <c r="AF81">
        <f>IF($B$1+29&gt;90,AE81,(AE81+IF($B$1+29&lt;=$B81,12*$B$7,-12*MAX(0,$B$6-IF($B$1+29&gt;=$B$23,$B$22,0))*(1+$B$4)^29))*IF(AE81+IF($B$1+29&lt;=$B81,12*$B$7,-12*MAX(0,$B$6-IF($B$1+29&gt;=$B$23,$B$22,0))*(1+$B$4)^29)&gt;0,1+$B$3,1))</f>
        <v/>
      </c>
      <c r="AG81">
        <f>IF($B$1+30&gt;90,AF81,(AF81+IF($B$1+30&lt;=$B81,12*$B$7,-12*MAX(0,$B$6-IF($B$1+30&gt;=$B$23,$B$22,0))*(1+$B$4)^30))*IF(AF81+IF($B$1+30&lt;=$B81,12*$B$7,-12*MAX(0,$B$6-IF($B$1+30&gt;=$B$23,$B$22,0))*(1+$B$4)^30)&gt;0,1+$B$3,1))</f>
        <v/>
      </c>
      <c r="AH81">
        <f>IF($B$1+31&gt;90,AG81,(AG81+IF($B$1+31&lt;=$B81,12*$B$7,-12*MAX(0,$B$6-IF($B$1+31&gt;=$B$23,$B$22,0))*(1+$B$4)^31))*IF(AG81+IF($B$1+31&lt;=$B81,12*$B$7,-12*MAX(0,$B$6-IF($B$1+31&gt;=$B$23,$B$22,0))*(1+$B$4)^31)&gt;0,1+$B$3,1))</f>
        <v/>
      </c>
      <c r="AI81">
        <f>IF($B$1+32&gt;90,AH81,(AH81+IF($B$1+32&lt;=$B81,12*$B$7,-12*MAX(0,$B$6-IF($B$1+32&gt;=$B$23,$B$22,0))*(1+$B$4)^32))*IF(AH81+IF($B$1+32&lt;=$B81,12*$B$7,-12*MAX(0,$B$6-IF($B$1+32&gt;=$B$23,$B$22,0))*(1+$B$4)^32)&gt;0,1+$B$3,1))</f>
        <v/>
      </c>
      <c r="AJ81">
        <f>IF($B$1+33&gt;90,AI81,(AI81+IF($B$1+33&lt;=$B81,12*$B$7,-12*MAX(0,$B$6-IF($B$1+33&gt;=$B$23,$B$22,0))*(1+$B$4)^33))*IF(AI81+IF($B$1+33&lt;=$B81,12*$B$7,-12*MAX(0,$B$6-IF($B$1+33&gt;=$B$23,$B$22,0))*(1+$B$4)^33)&gt;0,1+$B$3,1))</f>
        <v/>
      </c>
      <c r="AK81">
        <f>IF($B$1+34&gt;90,AJ81,(AJ81+IF($B$1+34&lt;=$B81,12*$B$7,-12*MAX(0,$B$6-IF($B$1+34&gt;=$B$23,$B$22,0))*(1+$B$4)^34))*IF(AJ81+IF($B$1+34&lt;=$B81,12*$B$7,-12*MAX(0,$B$6-IF($B$1+34&gt;=$B$23,$B$22,0))*(1+$B$4)^34)&gt;0,1+$B$3,1))</f>
        <v/>
      </c>
      <c r="AL81">
        <f>IF($B$1+35&gt;90,AK81,(AK81+IF($B$1+35&lt;=$B81,12*$B$7,-12*MAX(0,$B$6-IF($B$1+35&gt;=$B$23,$B$22,0))*(1+$B$4)^35))*IF(AK81+IF($B$1+35&lt;=$B81,12*$B$7,-12*MAX(0,$B$6-IF($B$1+35&gt;=$B$23,$B$22,0))*(1+$B$4)^35)&gt;0,1+$B$3,1))</f>
        <v/>
      </c>
      <c r="AM81">
        <f>IF($B$1+36&gt;90,AL81,(AL81+IF($B$1+36&lt;=$B81,12*$B$7,-12*MAX(0,$B$6-IF($B$1+36&gt;=$B$23,$B$22,0))*(1+$B$4)^36))*IF(AL81+IF($B$1+36&lt;=$B81,12*$B$7,-12*MAX(0,$B$6-IF($B$1+36&gt;=$B$23,$B$22,0))*(1+$B$4)^36)&gt;0,1+$B$3,1))</f>
        <v/>
      </c>
      <c r="AN81">
        <f>IF($B$1+37&gt;90,AM81,(AM81+IF($B$1+37&lt;=$B81,12*$B$7,-12*MAX(0,$B$6-IF($B$1+37&gt;=$B$23,$B$22,0))*(1+$B$4)^37))*IF(AM81+IF($B$1+37&lt;=$B81,12*$B$7,-12*MAX(0,$B$6-IF($B$1+37&gt;=$B$23,$B$22,0))*(1+$B$4)^37)&gt;0,1+$B$3,1))</f>
        <v/>
      </c>
      <c r="AO81">
        <f>IF($B$1+38&gt;90,AN81,(AN81+IF($B$1+38&lt;=$B81,12*$B$7,-12*MAX(0,$B$6-IF($B$1+38&gt;=$B$23,$B$22,0))*(1+$B$4)^38))*IF(AN81+IF($B$1+38&lt;=$B81,12*$B$7,-12*MAX(0,$B$6-IF($B$1+38&gt;=$B$23,$B$22,0))*(1+$B$4)^38)&gt;0,1+$B$3,1))</f>
        <v/>
      </c>
      <c r="AP81">
        <f>IF($B$1+39&gt;90,AO81,(AO81+IF($B$1+39&lt;=$B81,12*$B$7,-12*MAX(0,$B$6-IF($B$1+39&gt;=$B$23,$B$22,0))*(1+$B$4)^39))*IF(AO81+IF($B$1+39&lt;=$B81,12*$B$7,-12*MAX(0,$B$6-IF($B$1+39&gt;=$B$23,$B$22,0))*(1+$B$4)^39)&gt;0,1+$B$3,1))</f>
        <v/>
      </c>
      <c r="AQ81">
        <f>IF($B$1+40&gt;90,AP81,(AP81+IF($B$1+40&lt;=$B81,12*$B$7,-12*MAX(0,$B$6-IF($B$1+40&gt;=$B$23,$B$22,0))*(1+$B$4)^40))*IF(AP81+IF($B$1+40&lt;=$B81,12*$B$7,-12*MAX(0,$B$6-IF($B$1+40&gt;=$B$23,$B$22,0))*(1+$B$4)^40)&gt;0,1+$B$3,1))</f>
        <v/>
      </c>
      <c r="AR81">
        <f>IF($B$1+41&gt;90,AQ81,(AQ81+IF($B$1+41&lt;=$B81,12*$B$7,-12*MAX(0,$B$6-IF($B$1+41&gt;=$B$23,$B$22,0))*(1+$B$4)^41))*IF(AQ81+IF($B$1+41&lt;=$B81,12*$B$7,-12*MAX(0,$B$6-IF($B$1+41&gt;=$B$23,$B$22,0))*(1+$B$4)^41)&gt;0,1+$B$3,1))</f>
        <v/>
      </c>
      <c r="AS81">
        <f>IF($B$1+42&gt;90,AR81,(AR81+IF($B$1+42&lt;=$B81,12*$B$7,-12*MAX(0,$B$6-IF($B$1+42&gt;=$B$23,$B$22,0))*(1+$B$4)^42))*IF(AR81+IF($B$1+42&lt;=$B81,12*$B$7,-12*MAX(0,$B$6-IF($B$1+42&gt;=$B$23,$B$22,0))*(1+$B$4)^42)&gt;0,1+$B$3,1))</f>
        <v/>
      </c>
      <c r="AT81">
        <f>IF($B$1+43&gt;90,AS81,(AS81+IF($B$1+43&lt;=$B81,12*$B$7,-12*MAX(0,$B$6-IF($B$1+43&gt;=$B$23,$B$22,0))*(1+$B$4)^43))*IF(AS81+IF($B$1+43&lt;=$B81,12*$B$7,-12*MAX(0,$B$6-IF($B$1+43&gt;=$B$23,$B$22,0))*(1+$B$4)^43)&gt;0,1+$B$3,1))</f>
        <v/>
      </c>
      <c r="AU81">
        <f>IF($B$1+44&gt;90,AT81,(AT81+IF($B$1+44&lt;=$B81,12*$B$7,-12*MAX(0,$B$6-IF($B$1+44&gt;=$B$23,$B$22,0))*(1+$B$4)^44))*IF(AT81+IF($B$1+44&lt;=$B81,12*$B$7,-12*MAX(0,$B$6-IF($B$1+44&gt;=$B$23,$B$22,0))*(1+$B$4)^44)&gt;0,1+$B$3,1))</f>
        <v/>
      </c>
      <c r="AV81">
        <f>IF($B$1+45&gt;90,AU81,(AU81+IF($B$1+45&lt;=$B81,12*$B$7,-12*MAX(0,$B$6-IF($B$1+45&gt;=$B$23,$B$22,0))*(1+$B$4)^45))*IF(AU81+IF($B$1+45&lt;=$B81,12*$B$7,-12*MAX(0,$B$6-IF($B$1+45&gt;=$B$23,$B$22,0))*(1+$B$4)^45)&gt;0,1+$B$3,1))</f>
        <v/>
      </c>
      <c r="AW81">
        <f>IF($B$1+46&gt;90,AV81,(AV81+IF($B$1+46&lt;=$B81,12*$B$7,-12*MAX(0,$B$6-IF($B$1+46&gt;=$B$23,$B$22,0))*(1+$B$4)^46))*IF(AV81+IF($B$1+46&lt;=$B81,12*$B$7,-12*MAX(0,$B$6-IF($B$1+46&gt;=$B$23,$B$22,0))*(1+$B$4)^46)&gt;0,1+$B$3,1))</f>
        <v/>
      </c>
      <c r="AX81">
        <f>IF($B$1+47&gt;90,AW81,(AW81+IF($B$1+47&lt;=$B81,12*$B$7,-12*MAX(0,$B$6-IF($B$1+47&gt;=$B$23,$B$22,0))*(1+$B$4)^47))*IF(AW81+IF($B$1+47&lt;=$B81,12*$B$7,-12*MAX(0,$B$6-IF($B$1+47&gt;=$B$23,$B$22,0))*(1+$B$4)^47)&gt;0,1+$B$3,1))</f>
        <v/>
      </c>
      <c r="AY81">
        <f>IF($B$1+48&gt;90,AX81,(AX81+IF($B$1+48&lt;=$B81,12*$B$7,-12*MAX(0,$B$6-IF($B$1+48&gt;=$B$23,$B$22,0))*(1+$B$4)^48))*IF(AX81+IF($B$1+48&lt;=$B81,12*$B$7,-12*MAX(0,$B$6-IF($B$1+48&gt;=$B$23,$B$22,0))*(1+$B$4)^48)&gt;0,1+$B$3,1))</f>
        <v/>
      </c>
      <c r="AZ81">
        <f>IF($B$1+49&gt;90,AY81,(AY81+IF($B$1+49&lt;=$B81,12*$B$7,-12*MAX(0,$B$6-IF($B$1+49&gt;=$B$23,$B$22,0))*(1+$B$4)^49))*IF(AY81+IF($B$1+49&lt;=$B81,12*$B$7,-12*MAX(0,$B$6-IF($B$1+49&gt;=$B$23,$B$22,0))*(1+$B$4)^49)&gt;0,1+$B$3,1))</f>
        <v/>
      </c>
      <c r="BA81">
        <f>IF($B$1+50&gt;90,AZ81,(AZ81+IF($B$1+50&lt;=$B81,12*$B$7,-12*MAX(0,$B$6-IF($B$1+50&gt;=$B$23,$B$22,0))*(1+$B$4)^50))*IF(AZ81+IF($B$1+50&lt;=$B81,12*$B$7,-12*MAX(0,$B$6-IF($B$1+50&gt;=$B$23,$B$22,0))*(1+$B$4)^50)&gt;0,1+$B$3,1))</f>
        <v/>
      </c>
      <c r="BB81">
        <f>IF($B$1+51&gt;90,BA81,(BA81+IF($B$1+51&lt;=$B81,12*$B$7,-12*MAX(0,$B$6-IF($B$1+51&gt;=$B$23,$B$22,0))*(1+$B$4)^51))*IF(BA81+IF($B$1+51&lt;=$B81,12*$B$7,-12*MAX(0,$B$6-IF($B$1+51&gt;=$B$23,$B$22,0))*(1+$B$4)^51)&gt;0,1+$B$3,1))</f>
        <v/>
      </c>
      <c r="BC81">
        <f>IF($B$1+52&gt;90,BB81,(BB81+IF($B$1+52&lt;=$B81,12*$B$7,-12*MAX(0,$B$6-IF($B$1+52&gt;=$B$23,$B$22,0))*(1+$B$4)^52))*IF(BB81+IF($B$1+52&lt;=$B81,12*$B$7,-12*MAX(0,$B$6-IF($B$1+52&gt;=$B$23,$B$22,0))*(1+$B$4)^52)&gt;0,1+$B$3,1))</f>
        <v/>
      </c>
      <c r="BD81">
        <f>IF($B$1+53&gt;90,BC81,(BC81+IF($B$1+53&lt;=$B81,12*$B$7,-12*MAX(0,$B$6-IF($B$1+53&gt;=$B$23,$B$22,0))*(1+$B$4)^53))*IF(BC81+IF($B$1+53&lt;=$B81,12*$B$7,-12*MAX(0,$B$6-IF($B$1+53&gt;=$B$23,$B$22,0))*(1+$B$4)^53)&gt;0,1+$B$3,1))</f>
        <v/>
      </c>
      <c r="BE81">
        <f>IF($B$1+54&gt;90,BD81,(BD81+IF($B$1+54&lt;=$B81,12*$B$7,-12*MAX(0,$B$6-IF($B$1+54&gt;=$B$23,$B$22,0))*(1+$B$4)^54))*IF(BD81+IF($B$1+54&lt;=$B81,12*$B$7,-12*MAX(0,$B$6-IF($B$1+54&gt;=$B$23,$B$22,0))*(1+$B$4)^54)&gt;0,1+$B$3,1))</f>
        <v/>
      </c>
      <c r="BF81">
        <f>IF($B$1+55&gt;90,BE81,(BE81+IF($B$1+55&lt;=$B81,12*$B$7,-12*MAX(0,$B$6-IF($B$1+55&gt;=$B$23,$B$22,0))*(1+$B$4)^55))*IF(BE81+IF($B$1+55&lt;=$B81,12*$B$7,-12*MAX(0,$B$6-IF($B$1+55&gt;=$B$23,$B$22,0))*(1+$B$4)^55)&gt;0,1+$B$3,1))</f>
        <v/>
      </c>
      <c r="BG81">
        <f>IF($B$1+56&gt;90,BF81,(BF81+IF($B$1+56&lt;=$B81,12*$B$7,-12*MAX(0,$B$6-IF($B$1+56&gt;=$B$23,$B$22,0))*(1+$B$4)^56))*IF(BF81+IF($B$1+56&lt;=$B81,12*$B$7,-12*MAX(0,$B$6-IF($B$1+56&gt;=$B$23,$B$22,0))*(1+$B$4)^56)&gt;0,1+$B$3,1))</f>
        <v/>
      </c>
      <c r="BH81">
        <f>IF($B$1+57&gt;90,BG81,(BG81+IF($B$1+57&lt;=$B81,12*$B$7,-12*MAX(0,$B$6-IF($B$1+57&gt;=$B$23,$B$22,0))*(1+$B$4)^57))*IF(BG81+IF($B$1+57&lt;=$B81,12*$B$7,-12*MAX(0,$B$6-IF($B$1+57&gt;=$B$23,$B$22,0))*(1+$B$4)^57)&gt;0,1+$B$3,1))</f>
        <v/>
      </c>
      <c r="BI81">
        <f>IF($B$1+58&gt;90,BH81,(BH81+IF($B$1+58&lt;=$B81,12*$B$7,-12*MAX(0,$B$6-IF($B$1+58&gt;=$B$23,$B$22,0))*(1+$B$4)^58))*IF(BH81+IF($B$1+58&lt;=$B81,12*$B$7,-12*MAX(0,$B$6-IF($B$1+58&gt;=$B$23,$B$22,0))*(1+$B$4)^58)&gt;0,1+$B$3,1))</f>
        <v/>
      </c>
      <c r="BJ81">
        <f>IF($B$1+59&gt;90,BI81,(BI81+IF($B$1+59&lt;=$B81,12*$B$7,-12*MAX(0,$B$6-IF($B$1+59&gt;=$B$23,$B$22,0))*(1+$B$4)^59))*IF(BI81+IF($B$1+59&lt;=$B81,12*$B$7,-12*MAX(0,$B$6-IF($B$1+59&gt;=$B$23,$B$22,0))*(1+$B$4)^59)&gt;0,1+$B$3,1))</f>
        <v/>
      </c>
      <c r="BK81">
        <f>IF($B$1+60&gt;90,BJ81,(BJ81+IF($B$1+60&lt;=$B81,12*$B$7,-12*MAX(0,$B$6-IF($B$1+60&gt;=$B$23,$B$22,0))*(1+$B$4)^60))*IF(BJ81+IF($B$1+60&lt;=$B81,12*$B$7,-12*MAX(0,$B$6-IF($B$1+60&gt;=$B$23,$B$22,0))*(1+$B$4)^60)&gt;0,1+$B$3,1))</f>
        <v/>
      </c>
      <c r="BL81">
        <f>IF($B$1+61&gt;90,BK81,(BK81+IF($B$1+61&lt;=$B81,12*$B$7,-12*MAX(0,$B$6-IF($B$1+61&gt;=$B$23,$B$22,0))*(1+$B$4)^61))*IF(BK81+IF($B$1+61&lt;=$B81,12*$B$7,-12*MAX(0,$B$6-IF($B$1+61&gt;=$B$23,$B$22,0))*(1+$B$4)^61)&gt;0,1+$B$3,1))</f>
        <v/>
      </c>
      <c r="BM81">
        <f>IF($B$1+62&gt;90,BL81,(BL81+IF($B$1+62&lt;=$B81,12*$B$7,-12*MAX(0,$B$6-IF($B$1+62&gt;=$B$23,$B$22,0))*(1+$B$4)^62))*IF(BL81+IF($B$1+62&lt;=$B81,12*$B$7,-12*MAX(0,$B$6-IF($B$1+62&gt;=$B$23,$B$22,0))*(1+$B$4)^62)&gt;0,1+$B$3,1))</f>
        <v/>
      </c>
      <c r="BN81">
        <f>IF($B$1+63&gt;90,BM81,(BM81+IF($B$1+63&lt;=$B81,12*$B$7,-12*MAX(0,$B$6-IF($B$1+63&gt;=$B$23,$B$22,0))*(1+$B$4)^63))*IF(BM81+IF($B$1+63&lt;=$B81,12*$B$7,-12*MAX(0,$B$6-IF($B$1+63&gt;=$B$23,$B$22,0))*(1+$B$4)^63)&gt;0,1+$B$3,1))</f>
        <v/>
      </c>
      <c r="BO81">
        <f>IF($B$1+64&gt;90,BN81,(BN81+IF($B$1+64&lt;=$B81,12*$B$7,-12*MAX(0,$B$6-IF($B$1+64&gt;=$B$23,$B$22,0))*(1+$B$4)^64))*IF(BN81+IF($B$1+64&lt;=$B81,12*$B$7,-12*MAX(0,$B$6-IF($B$1+64&gt;=$B$23,$B$22,0))*(1+$B$4)^64)&gt;0,1+$B$3,1))</f>
        <v/>
      </c>
      <c r="BP81">
        <f>IF($B$1+65&gt;90,BO81,(BO81+IF($B$1+65&lt;=$B81,12*$B$7,-12*MAX(0,$B$6-IF($B$1+65&gt;=$B$23,$B$22,0))*(1+$B$4)^65))*IF(BO81+IF($B$1+65&lt;=$B81,12*$B$7,-12*MAX(0,$B$6-IF($B$1+65&gt;=$B$23,$B$22,0))*(1+$B$4)^65)&gt;0,1+$B$3,1))</f>
        <v/>
      </c>
      <c r="BQ81">
        <f>IF($B$1+66&gt;90,BP81,(BP81+IF($B$1+66&lt;=$B81,12*$B$7,-12*MAX(0,$B$6-IF($B$1+66&gt;=$B$23,$B$22,0))*(1+$B$4)^66))*IF(BP81+IF($B$1+66&lt;=$B81,12*$B$7,-12*MAX(0,$B$6-IF($B$1+66&gt;=$B$23,$B$22,0))*(1+$B$4)^66)&gt;0,1+$B$3,1))</f>
        <v/>
      </c>
      <c r="BR81">
        <f>IF($B$1+67&gt;90,BQ81,(BQ81+IF($B$1+67&lt;=$B81,12*$B$7,-12*MAX(0,$B$6-IF($B$1+67&gt;=$B$23,$B$22,0))*(1+$B$4)^67))*IF(BQ81+IF($B$1+67&lt;=$B81,12*$B$7,-12*MAX(0,$B$6-IF($B$1+67&gt;=$B$23,$B$22,0))*(1+$B$4)^67)&gt;0,1+$B$3,1))</f>
        <v/>
      </c>
      <c r="BS81">
        <f>IF($B$1+68&gt;90,BR81,(BR81+IF($B$1+68&lt;=$B81,12*$B$7,-12*MAX(0,$B$6-IF($B$1+68&gt;=$B$23,$B$22,0))*(1+$B$4)^68))*IF(BR81+IF($B$1+68&lt;=$B81,12*$B$7,-12*MAX(0,$B$6-IF($B$1+68&gt;=$B$23,$B$22,0))*(1+$B$4)^68)&gt;0,1+$B$3,1))</f>
        <v/>
      </c>
      <c r="BT81">
        <f>IF($B$1+69&gt;90,BS81,(BS81+IF($B$1+69&lt;=$B81,12*$B$7,-12*MAX(0,$B$6-IF($B$1+69&gt;=$B$23,$B$22,0))*(1+$B$4)^69))*IF(BS81+IF($B$1+69&lt;=$B81,12*$B$7,-12*MAX(0,$B$6-IF($B$1+69&gt;=$B$23,$B$22,0))*(1+$B$4)^69)&gt;0,1+$B$3,1))</f>
        <v/>
      </c>
      <c r="BU81">
        <f>IF($B$1+70&gt;90,BT81,(BT81+IF($B$1+70&lt;=$B81,12*$B$7,-12*MAX(0,$B$6-IF($B$1+70&gt;=$B$23,$B$22,0))*(1+$B$4)^70))*IF(BT81+IF($B$1+70&lt;=$B81,12*$B$7,-12*MAX(0,$B$6-IF($B$1+70&gt;=$B$23,$B$22,0))*(1+$B$4)^70)&gt;0,1+$B$3,1))</f>
        <v/>
      </c>
      <c r="BV81">
        <f>BU81</f>
        <v/>
      </c>
      <c r="BW81">
        <f>IF(AND($B81&lt;=70,BV81&gt;0),$B81,999)</f>
        <v/>
      </c>
      <c r="CH81">
        <f>IF(ISTEXT('월 가계부'!A81),SUBSTITUTE(SUBSTITUTE(SUBSTITUTE(SUBSTITUTE(SUBSTITUTE(SUBSTITUTE(SUBSTITUTE(SUBSTITUTE(SUBSTITUTE(TRIM('월 가계부'!A81),"년","-"),"월","-"),"일",""),".","-"),"/","-")," ","-"),"--","-"),"--","-"),"--","-")&amp;"-","")</f>
        <v/>
      </c>
      <c r="CI81">
        <f>IFERROR(IF('월 가계부'!A81="","",IF(ISNUMBER('월 가계부'!A81),IF(AND('월 가계부'!A81&gt;=19000101,'월 가계부'!A81&lt;=21001231),IF(AND(MOD(INT('월 가계부'!A81/100),100)&gt;=1,MOD(INT('월 가계부'!A81/100),100)&lt;=12,MOD(INT('월 가계부'!A81),100)&gt;=1,MOD(INT('월 가계부'!A81),100)&lt;=31),IF(MONTH(DATE(INT('월 가계부'!A81/10000),MOD(INT('월 가계부'!A81/100),100),MOD(INT('월 가계부'!A81),100)))=MOD(INT('월 가계부'!A81/100),100),DATE(INT('월 가계부'!A81/10000),MOD(INT('월 가계부'!A81/100),100),MOD(INT('월 가계부'!A81),100)),""),""),IF(AND('월 가계부'!A81&gt;=36526,'월 가계부'!A81&lt;73051),INT('월 가계부'!A81),"")),IF(OR(CM81="",CN81="",CO81=""),"",IF(AND(CM81&gt;=2000,CM81&lt;=2099,CN81&gt;=1,CN81&lt;=12,CO81&gt;=1,CO81&lt;=31),IF(MONTH(DATE(CM81,CN81,CO81))=CN81,DATE(CM81,CN81,CO81),""),"")))),"")</f>
        <v/>
      </c>
      <c r="CJ81">
        <f>IFERROR(IF('월 가계부'!C81="","",IF(ISNUMBER('월 가계부'!C81),'월 가계부'!C81,VALUE(SUBSTITUTE(SUBSTITUTE(SUBSTITUTE(SUBSTITUTE(TRIM('월 가계부'!C81),",",""),"원","")," ",""),"−","-")))),"")</f>
        <v/>
      </c>
      <c r="CK81">
        <f>IF(ISNUMBER(CI81),IF(CI81&lt;$B$13,CI81,""),"")</f>
        <v/>
      </c>
      <c r="CM81">
        <f>IF(CH81="","",IFERROR(IF(IF(AND(LEN(CH81)=9,ISERROR(FIND("-",LEFT(CH81,8))),ISNUMBER(-LEFT(CH81,8))),VALUE(LEFT(CH81,4)),VALUE(LEFT(CH81,FIND("-",CH81)-1)))&lt;100,IF(AND(LEN(CH81)=9,ISERROR(FIND("-",LEFT(CH81,8))),ISNUMBER(-LEFT(CH81,8))),VALUE(LEFT(CH81,4)),VALUE(LEFT(CH81,FIND("-",CH81)-1)))+2000,IF(AND(LEN(CH81)=9,ISERROR(FIND("-",LEFT(CH81,8))),ISNUMBER(-LEFT(CH81,8))),VALUE(LEFT(CH81,4)),VALUE(LEFT(CH81,FIND("-",CH81)-1)))),""))</f>
        <v/>
      </c>
      <c r="CN81">
        <f>IF(CH81="","",IFERROR(IF(AND(LEN(CH81)=9,ISERROR(FIND("-",LEFT(CH81,8))),ISNUMBER(-LEFT(CH81,8))),VALUE(MID(CH81,5,2)),VALUE(MID(CH81,FIND("-",CH81)+1,FIND("-",CH81,FIND("-",CH81)+1)-FIND("-",CH81)-1))),""))</f>
        <v/>
      </c>
      <c r="CO81">
        <f>IF(CH81="","",IFERROR(IF(AND(LEN(CH81)=9,ISERROR(FIND("-",LEFT(CH81,8))),ISNUMBER(-LEFT(CH81,8))),VALUE(MID(CH81,7,2)),VALUE(MID(CH81,FIND("-",CH81,FIND("-",CH81)+1)+1,FIND("-",CH81,FIND("-",CH81,FIND("-",CH81)+1)+1)-FIND("-",CH81,FIND("-",CH81)+1)-1))),""))</f>
        <v/>
      </c>
    </row>
    <row r="82">
      <c r="A82" t="n">
        <v>42</v>
      </c>
      <c r="B82">
        <f>$B$1+42</f>
        <v/>
      </c>
      <c r="C82">
        <f>$B$2</f>
        <v/>
      </c>
      <c r="D82">
        <f>IF($B$1+1&gt;90,C82,(C82+IF($B$1+1&lt;=$B82,12*$B$7,-12*MAX(0,$B$6-IF($B$1+1&gt;=$B$23,$B$22,0))*(1+$B$4)^1))*IF(C82+IF($B$1+1&lt;=$B82,12*$B$7,-12*MAX(0,$B$6-IF($B$1+1&gt;=$B$23,$B$22,0))*(1+$B$4)^1)&gt;0,1+$B$3,1))</f>
        <v/>
      </c>
      <c r="E82">
        <f>IF($B$1+2&gt;90,D82,(D82+IF($B$1+2&lt;=$B82,12*$B$7,-12*MAX(0,$B$6-IF($B$1+2&gt;=$B$23,$B$22,0))*(1+$B$4)^2))*IF(D82+IF($B$1+2&lt;=$B82,12*$B$7,-12*MAX(0,$B$6-IF($B$1+2&gt;=$B$23,$B$22,0))*(1+$B$4)^2)&gt;0,1+$B$3,1))</f>
        <v/>
      </c>
      <c r="F82">
        <f>IF($B$1+3&gt;90,E82,(E82+IF($B$1+3&lt;=$B82,12*$B$7,-12*MAX(0,$B$6-IF($B$1+3&gt;=$B$23,$B$22,0))*(1+$B$4)^3))*IF(E82+IF($B$1+3&lt;=$B82,12*$B$7,-12*MAX(0,$B$6-IF($B$1+3&gt;=$B$23,$B$22,0))*(1+$B$4)^3)&gt;0,1+$B$3,1))</f>
        <v/>
      </c>
      <c r="G82">
        <f>IF($B$1+4&gt;90,F82,(F82+IF($B$1+4&lt;=$B82,12*$B$7,-12*MAX(0,$B$6-IF($B$1+4&gt;=$B$23,$B$22,0))*(1+$B$4)^4))*IF(F82+IF($B$1+4&lt;=$B82,12*$B$7,-12*MAX(0,$B$6-IF($B$1+4&gt;=$B$23,$B$22,0))*(1+$B$4)^4)&gt;0,1+$B$3,1))</f>
        <v/>
      </c>
      <c r="H82">
        <f>IF($B$1+5&gt;90,G82,(G82+IF($B$1+5&lt;=$B82,12*$B$7,-12*MAX(0,$B$6-IF($B$1+5&gt;=$B$23,$B$22,0))*(1+$B$4)^5))*IF(G82+IF($B$1+5&lt;=$B82,12*$B$7,-12*MAX(0,$B$6-IF($B$1+5&gt;=$B$23,$B$22,0))*(1+$B$4)^5)&gt;0,1+$B$3,1))</f>
        <v/>
      </c>
      <c r="I82">
        <f>IF($B$1+6&gt;90,H82,(H82+IF($B$1+6&lt;=$B82,12*$B$7,-12*MAX(0,$B$6-IF($B$1+6&gt;=$B$23,$B$22,0))*(1+$B$4)^6))*IF(H82+IF($B$1+6&lt;=$B82,12*$B$7,-12*MAX(0,$B$6-IF($B$1+6&gt;=$B$23,$B$22,0))*(1+$B$4)^6)&gt;0,1+$B$3,1))</f>
        <v/>
      </c>
      <c r="J82">
        <f>IF($B$1+7&gt;90,I82,(I82+IF($B$1+7&lt;=$B82,12*$B$7,-12*MAX(0,$B$6-IF($B$1+7&gt;=$B$23,$B$22,0))*(1+$B$4)^7))*IF(I82+IF($B$1+7&lt;=$B82,12*$B$7,-12*MAX(0,$B$6-IF($B$1+7&gt;=$B$23,$B$22,0))*(1+$B$4)^7)&gt;0,1+$B$3,1))</f>
        <v/>
      </c>
      <c r="K82">
        <f>IF($B$1+8&gt;90,J82,(J82+IF($B$1+8&lt;=$B82,12*$B$7,-12*MAX(0,$B$6-IF($B$1+8&gt;=$B$23,$B$22,0))*(1+$B$4)^8))*IF(J82+IF($B$1+8&lt;=$B82,12*$B$7,-12*MAX(0,$B$6-IF($B$1+8&gt;=$B$23,$B$22,0))*(1+$B$4)^8)&gt;0,1+$B$3,1))</f>
        <v/>
      </c>
      <c r="L82">
        <f>IF($B$1+9&gt;90,K82,(K82+IF($B$1+9&lt;=$B82,12*$B$7,-12*MAX(0,$B$6-IF($B$1+9&gt;=$B$23,$B$22,0))*(1+$B$4)^9))*IF(K82+IF($B$1+9&lt;=$B82,12*$B$7,-12*MAX(0,$B$6-IF($B$1+9&gt;=$B$23,$B$22,0))*(1+$B$4)^9)&gt;0,1+$B$3,1))</f>
        <v/>
      </c>
      <c r="M82">
        <f>IF($B$1+10&gt;90,L82,(L82+IF($B$1+10&lt;=$B82,12*$B$7,-12*MAX(0,$B$6-IF($B$1+10&gt;=$B$23,$B$22,0))*(1+$B$4)^10))*IF(L82+IF($B$1+10&lt;=$B82,12*$B$7,-12*MAX(0,$B$6-IF($B$1+10&gt;=$B$23,$B$22,0))*(1+$B$4)^10)&gt;0,1+$B$3,1))</f>
        <v/>
      </c>
      <c r="N82">
        <f>IF($B$1+11&gt;90,M82,(M82+IF($B$1+11&lt;=$B82,12*$B$7,-12*MAX(0,$B$6-IF($B$1+11&gt;=$B$23,$B$22,0))*(1+$B$4)^11))*IF(M82+IF($B$1+11&lt;=$B82,12*$B$7,-12*MAX(0,$B$6-IF($B$1+11&gt;=$B$23,$B$22,0))*(1+$B$4)^11)&gt;0,1+$B$3,1))</f>
        <v/>
      </c>
      <c r="O82">
        <f>IF($B$1+12&gt;90,N82,(N82+IF($B$1+12&lt;=$B82,12*$B$7,-12*MAX(0,$B$6-IF($B$1+12&gt;=$B$23,$B$22,0))*(1+$B$4)^12))*IF(N82+IF($B$1+12&lt;=$B82,12*$B$7,-12*MAX(0,$B$6-IF($B$1+12&gt;=$B$23,$B$22,0))*(1+$B$4)^12)&gt;0,1+$B$3,1))</f>
        <v/>
      </c>
      <c r="P82">
        <f>IF($B$1+13&gt;90,O82,(O82+IF($B$1+13&lt;=$B82,12*$B$7,-12*MAX(0,$B$6-IF($B$1+13&gt;=$B$23,$B$22,0))*(1+$B$4)^13))*IF(O82+IF($B$1+13&lt;=$B82,12*$B$7,-12*MAX(0,$B$6-IF($B$1+13&gt;=$B$23,$B$22,0))*(1+$B$4)^13)&gt;0,1+$B$3,1))</f>
        <v/>
      </c>
      <c r="Q82">
        <f>IF($B$1+14&gt;90,P82,(P82+IF($B$1+14&lt;=$B82,12*$B$7,-12*MAX(0,$B$6-IF($B$1+14&gt;=$B$23,$B$22,0))*(1+$B$4)^14))*IF(P82+IF($B$1+14&lt;=$B82,12*$B$7,-12*MAX(0,$B$6-IF($B$1+14&gt;=$B$23,$B$22,0))*(1+$B$4)^14)&gt;0,1+$B$3,1))</f>
        <v/>
      </c>
      <c r="R82">
        <f>IF($B$1+15&gt;90,Q82,(Q82+IF($B$1+15&lt;=$B82,12*$B$7,-12*MAX(0,$B$6-IF($B$1+15&gt;=$B$23,$B$22,0))*(1+$B$4)^15))*IF(Q82+IF($B$1+15&lt;=$B82,12*$B$7,-12*MAX(0,$B$6-IF($B$1+15&gt;=$B$23,$B$22,0))*(1+$B$4)^15)&gt;0,1+$B$3,1))</f>
        <v/>
      </c>
      <c r="S82">
        <f>IF($B$1+16&gt;90,R82,(R82+IF($B$1+16&lt;=$B82,12*$B$7,-12*MAX(0,$B$6-IF($B$1+16&gt;=$B$23,$B$22,0))*(1+$B$4)^16))*IF(R82+IF($B$1+16&lt;=$B82,12*$B$7,-12*MAX(0,$B$6-IF($B$1+16&gt;=$B$23,$B$22,0))*(1+$B$4)^16)&gt;0,1+$B$3,1))</f>
        <v/>
      </c>
      <c r="T82">
        <f>IF($B$1+17&gt;90,S82,(S82+IF($B$1+17&lt;=$B82,12*$B$7,-12*MAX(0,$B$6-IF($B$1+17&gt;=$B$23,$B$22,0))*(1+$B$4)^17))*IF(S82+IF($B$1+17&lt;=$B82,12*$B$7,-12*MAX(0,$B$6-IF($B$1+17&gt;=$B$23,$B$22,0))*(1+$B$4)^17)&gt;0,1+$B$3,1))</f>
        <v/>
      </c>
      <c r="U82">
        <f>IF($B$1+18&gt;90,T82,(T82+IF($B$1+18&lt;=$B82,12*$B$7,-12*MAX(0,$B$6-IF($B$1+18&gt;=$B$23,$B$22,0))*(1+$B$4)^18))*IF(T82+IF($B$1+18&lt;=$B82,12*$B$7,-12*MAX(0,$B$6-IF($B$1+18&gt;=$B$23,$B$22,0))*(1+$B$4)^18)&gt;0,1+$B$3,1))</f>
        <v/>
      </c>
      <c r="V82">
        <f>IF($B$1+19&gt;90,U82,(U82+IF($B$1+19&lt;=$B82,12*$B$7,-12*MAX(0,$B$6-IF($B$1+19&gt;=$B$23,$B$22,0))*(1+$B$4)^19))*IF(U82+IF($B$1+19&lt;=$B82,12*$B$7,-12*MAX(0,$B$6-IF($B$1+19&gt;=$B$23,$B$22,0))*(1+$B$4)^19)&gt;0,1+$B$3,1))</f>
        <v/>
      </c>
      <c r="W82">
        <f>IF($B$1+20&gt;90,V82,(V82+IF($B$1+20&lt;=$B82,12*$B$7,-12*MAX(0,$B$6-IF($B$1+20&gt;=$B$23,$B$22,0))*(1+$B$4)^20))*IF(V82+IF($B$1+20&lt;=$B82,12*$B$7,-12*MAX(0,$B$6-IF($B$1+20&gt;=$B$23,$B$22,0))*(1+$B$4)^20)&gt;0,1+$B$3,1))</f>
        <v/>
      </c>
      <c r="X82">
        <f>IF($B$1+21&gt;90,W82,(W82+IF($B$1+21&lt;=$B82,12*$B$7,-12*MAX(0,$B$6-IF($B$1+21&gt;=$B$23,$B$22,0))*(1+$B$4)^21))*IF(W82+IF($B$1+21&lt;=$B82,12*$B$7,-12*MAX(0,$B$6-IF($B$1+21&gt;=$B$23,$B$22,0))*(1+$B$4)^21)&gt;0,1+$B$3,1))</f>
        <v/>
      </c>
      <c r="Y82">
        <f>IF($B$1+22&gt;90,X82,(X82+IF($B$1+22&lt;=$B82,12*$B$7,-12*MAX(0,$B$6-IF($B$1+22&gt;=$B$23,$B$22,0))*(1+$B$4)^22))*IF(X82+IF($B$1+22&lt;=$B82,12*$B$7,-12*MAX(0,$B$6-IF($B$1+22&gt;=$B$23,$B$22,0))*(1+$B$4)^22)&gt;0,1+$B$3,1))</f>
        <v/>
      </c>
      <c r="Z82">
        <f>IF($B$1+23&gt;90,Y82,(Y82+IF($B$1+23&lt;=$B82,12*$B$7,-12*MAX(0,$B$6-IF($B$1+23&gt;=$B$23,$B$22,0))*(1+$B$4)^23))*IF(Y82+IF($B$1+23&lt;=$B82,12*$B$7,-12*MAX(0,$B$6-IF($B$1+23&gt;=$B$23,$B$22,0))*(1+$B$4)^23)&gt;0,1+$B$3,1))</f>
        <v/>
      </c>
      <c r="AA82">
        <f>IF($B$1+24&gt;90,Z82,(Z82+IF($B$1+24&lt;=$B82,12*$B$7,-12*MAX(0,$B$6-IF($B$1+24&gt;=$B$23,$B$22,0))*(1+$B$4)^24))*IF(Z82+IF($B$1+24&lt;=$B82,12*$B$7,-12*MAX(0,$B$6-IF($B$1+24&gt;=$B$23,$B$22,0))*(1+$B$4)^24)&gt;0,1+$B$3,1))</f>
        <v/>
      </c>
      <c r="AB82">
        <f>IF($B$1+25&gt;90,AA82,(AA82+IF($B$1+25&lt;=$B82,12*$B$7,-12*MAX(0,$B$6-IF($B$1+25&gt;=$B$23,$B$22,0))*(1+$B$4)^25))*IF(AA82+IF($B$1+25&lt;=$B82,12*$B$7,-12*MAX(0,$B$6-IF($B$1+25&gt;=$B$23,$B$22,0))*(1+$B$4)^25)&gt;0,1+$B$3,1))</f>
        <v/>
      </c>
      <c r="AC82">
        <f>IF($B$1+26&gt;90,AB82,(AB82+IF($B$1+26&lt;=$B82,12*$B$7,-12*MAX(0,$B$6-IF($B$1+26&gt;=$B$23,$B$22,0))*(1+$B$4)^26))*IF(AB82+IF($B$1+26&lt;=$B82,12*$B$7,-12*MAX(0,$B$6-IF($B$1+26&gt;=$B$23,$B$22,0))*(1+$B$4)^26)&gt;0,1+$B$3,1))</f>
        <v/>
      </c>
      <c r="AD82">
        <f>IF($B$1+27&gt;90,AC82,(AC82+IF($B$1+27&lt;=$B82,12*$B$7,-12*MAX(0,$B$6-IF($B$1+27&gt;=$B$23,$B$22,0))*(1+$B$4)^27))*IF(AC82+IF($B$1+27&lt;=$B82,12*$B$7,-12*MAX(0,$B$6-IF($B$1+27&gt;=$B$23,$B$22,0))*(1+$B$4)^27)&gt;0,1+$B$3,1))</f>
        <v/>
      </c>
      <c r="AE82">
        <f>IF($B$1+28&gt;90,AD82,(AD82+IF($B$1+28&lt;=$B82,12*$B$7,-12*MAX(0,$B$6-IF($B$1+28&gt;=$B$23,$B$22,0))*(1+$B$4)^28))*IF(AD82+IF($B$1+28&lt;=$B82,12*$B$7,-12*MAX(0,$B$6-IF($B$1+28&gt;=$B$23,$B$22,0))*(1+$B$4)^28)&gt;0,1+$B$3,1))</f>
        <v/>
      </c>
      <c r="AF82">
        <f>IF($B$1+29&gt;90,AE82,(AE82+IF($B$1+29&lt;=$B82,12*$B$7,-12*MAX(0,$B$6-IF($B$1+29&gt;=$B$23,$B$22,0))*(1+$B$4)^29))*IF(AE82+IF($B$1+29&lt;=$B82,12*$B$7,-12*MAX(0,$B$6-IF($B$1+29&gt;=$B$23,$B$22,0))*(1+$B$4)^29)&gt;0,1+$B$3,1))</f>
        <v/>
      </c>
      <c r="AG82">
        <f>IF($B$1+30&gt;90,AF82,(AF82+IF($B$1+30&lt;=$B82,12*$B$7,-12*MAX(0,$B$6-IF($B$1+30&gt;=$B$23,$B$22,0))*(1+$B$4)^30))*IF(AF82+IF($B$1+30&lt;=$B82,12*$B$7,-12*MAX(0,$B$6-IF($B$1+30&gt;=$B$23,$B$22,0))*(1+$B$4)^30)&gt;0,1+$B$3,1))</f>
        <v/>
      </c>
      <c r="AH82">
        <f>IF($B$1+31&gt;90,AG82,(AG82+IF($B$1+31&lt;=$B82,12*$B$7,-12*MAX(0,$B$6-IF($B$1+31&gt;=$B$23,$B$22,0))*(1+$B$4)^31))*IF(AG82+IF($B$1+31&lt;=$B82,12*$B$7,-12*MAX(0,$B$6-IF($B$1+31&gt;=$B$23,$B$22,0))*(1+$B$4)^31)&gt;0,1+$B$3,1))</f>
        <v/>
      </c>
      <c r="AI82">
        <f>IF($B$1+32&gt;90,AH82,(AH82+IF($B$1+32&lt;=$B82,12*$B$7,-12*MAX(0,$B$6-IF($B$1+32&gt;=$B$23,$B$22,0))*(1+$B$4)^32))*IF(AH82+IF($B$1+32&lt;=$B82,12*$B$7,-12*MAX(0,$B$6-IF($B$1+32&gt;=$B$23,$B$22,0))*(1+$B$4)^32)&gt;0,1+$B$3,1))</f>
        <v/>
      </c>
      <c r="AJ82">
        <f>IF($B$1+33&gt;90,AI82,(AI82+IF($B$1+33&lt;=$B82,12*$B$7,-12*MAX(0,$B$6-IF($B$1+33&gt;=$B$23,$B$22,0))*(1+$B$4)^33))*IF(AI82+IF($B$1+33&lt;=$B82,12*$B$7,-12*MAX(0,$B$6-IF($B$1+33&gt;=$B$23,$B$22,0))*(1+$B$4)^33)&gt;0,1+$B$3,1))</f>
        <v/>
      </c>
      <c r="AK82">
        <f>IF($B$1+34&gt;90,AJ82,(AJ82+IF($B$1+34&lt;=$B82,12*$B$7,-12*MAX(0,$B$6-IF($B$1+34&gt;=$B$23,$B$22,0))*(1+$B$4)^34))*IF(AJ82+IF($B$1+34&lt;=$B82,12*$B$7,-12*MAX(0,$B$6-IF($B$1+34&gt;=$B$23,$B$22,0))*(1+$B$4)^34)&gt;0,1+$B$3,1))</f>
        <v/>
      </c>
      <c r="AL82">
        <f>IF($B$1+35&gt;90,AK82,(AK82+IF($B$1+35&lt;=$B82,12*$B$7,-12*MAX(0,$B$6-IF($B$1+35&gt;=$B$23,$B$22,0))*(1+$B$4)^35))*IF(AK82+IF($B$1+35&lt;=$B82,12*$B$7,-12*MAX(0,$B$6-IF($B$1+35&gt;=$B$23,$B$22,0))*(1+$B$4)^35)&gt;0,1+$B$3,1))</f>
        <v/>
      </c>
      <c r="AM82">
        <f>IF($B$1+36&gt;90,AL82,(AL82+IF($B$1+36&lt;=$B82,12*$B$7,-12*MAX(0,$B$6-IF($B$1+36&gt;=$B$23,$B$22,0))*(1+$B$4)^36))*IF(AL82+IF($B$1+36&lt;=$B82,12*$B$7,-12*MAX(0,$B$6-IF($B$1+36&gt;=$B$23,$B$22,0))*(1+$B$4)^36)&gt;0,1+$B$3,1))</f>
        <v/>
      </c>
      <c r="AN82">
        <f>IF($B$1+37&gt;90,AM82,(AM82+IF($B$1+37&lt;=$B82,12*$B$7,-12*MAX(0,$B$6-IF($B$1+37&gt;=$B$23,$B$22,0))*(1+$B$4)^37))*IF(AM82+IF($B$1+37&lt;=$B82,12*$B$7,-12*MAX(0,$B$6-IF($B$1+37&gt;=$B$23,$B$22,0))*(1+$B$4)^37)&gt;0,1+$B$3,1))</f>
        <v/>
      </c>
      <c r="AO82">
        <f>IF($B$1+38&gt;90,AN82,(AN82+IF($B$1+38&lt;=$B82,12*$B$7,-12*MAX(0,$B$6-IF($B$1+38&gt;=$B$23,$B$22,0))*(1+$B$4)^38))*IF(AN82+IF($B$1+38&lt;=$B82,12*$B$7,-12*MAX(0,$B$6-IF($B$1+38&gt;=$B$23,$B$22,0))*(1+$B$4)^38)&gt;0,1+$B$3,1))</f>
        <v/>
      </c>
      <c r="AP82">
        <f>IF($B$1+39&gt;90,AO82,(AO82+IF($B$1+39&lt;=$B82,12*$B$7,-12*MAX(0,$B$6-IF($B$1+39&gt;=$B$23,$B$22,0))*(1+$B$4)^39))*IF(AO82+IF($B$1+39&lt;=$B82,12*$B$7,-12*MAX(0,$B$6-IF($B$1+39&gt;=$B$23,$B$22,0))*(1+$B$4)^39)&gt;0,1+$B$3,1))</f>
        <v/>
      </c>
      <c r="AQ82">
        <f>IF($B$1+40&gt;90,AP82,(AP82+IF($B$1+40&lt;=$B82,12*$B$7,-12*MAX(0,$B$6-IF($B$1+40&gt;=$B$23,$B$22,0))*(1+$B$4)^40))*IF(AP82+IF($B$1+40&lt;=$B82,12*$B$7,-12*MAX(0,$B$6-IF($B$1+40&gt;=$B$23,$B$22,0))*(1+$B$4)^40)&gt;0,1+$B$3,1))</f>
        <v/>
      </c>
      <c r="AR82">
        <f>IF($B$1+41&gt;90,AQ82,(AQ82+IF($B$1+41&lt;=$B82,12*$B$7,-12*MAX(0,$B$6-IF($B$1+41&gt;=$B$23,$B$22,0))*(1+$B$4)^41))*IF(AQ82+IF($B$1+41&lt;=$B82,12*$B$7,-12*MAX(0,$B$6-IF($B$1+41&gt;=$B$23,$B$22,0))*(1+$B$4)^41)&gt;0,1+$B$3,1))</f>
        <v/>
      </c>
      <c r="AS82">
        <f>IF($B$1+42&gt;90,AR82,(AR82+IF($B$1+42&lt;=$B82,12*$B$7,-12*MAX(0,$B$6-IF($B$1+42&gt;=$B$23,$B$22,0))*(1+$B$4)^42))*IF(AR82+IF($B$1+42&lt;=$B82,12*$B$7,-12*MAX(0,$B$6-IF($B$1+42&gt;=$B$23,$B$22,0))*(1+$B$4)^42)&gt;0,1+$B$3,1))</f>
        <v/>
      </c>
      <c r="AT82">
        <f>IF($B$1+43&gt;90,AS82,(AS82+IF($B$1+43&lt;=$B82,12*$B$7,-12*MAX(0,$B$6-IF($B$1+43&gt;=$B$23,$B$22,0))*(1+$B$4)^43))*IF(AS82+IF($B$1+43&lt;=$B82,12*$B$7,-12*MAX(0,$B$6-IF($B$1+43&gt;=$B$23,$B$22,0))*(1+$B$4)^43)&gt;0,1+$B$3,1))</f>
        <v/>
      </c>
      <c r="AU82">
        <f>IF($B$1+44&gt;90,AT82,(AT82+IF($B$1+44&lt;=$B82,12*$B$7,-12*MAX(0,$B$6-IF($B$1+44&gt;=$B$23,$B$22,0))*(1+$B$4)^44))*IF(AT82+IF($B$1+44&lt;=$B82,12*$B$7,-12*MAX(0,$B$6-IF($B$1+44&gt;=$B$23,$B$22,0))*(1+$B$4)^44)&gt;0,1+$B$3,1))</f>
        <v/>
      </c>
      <c r="AV82">
        <f>IF($B$1+45&gt;90,AU82,(AU82+IF($B$1+45&lt;=$B82,12*$B$7,-12*MAX(0,$B$6-IF($B$1+45&gt;=$B$23,$B$22,0))*(1+$B$4)^45))*IF(AU82+IF($B$1+45&lt;=$B82,12*$B$7,-12*MAX(0,$B$6-IF($B$1+45&gt;=$B$23,$B$22,0))*(1+$B$4)^45)&gt;0,1+$B$3,1))</f>
        <v/>
      </c>
      <c r="AW82">
        <f>IF($B$1+46&gt;90,AV82,(AV82+IF($B$1+46&lt;=$B82,12*$B$7,-12*MAX(0,$B$6-IF($B$1+46&gt;=$B$23,$B$22,0))*(1+$B$4)^46))*IF(AV82+IF($B$1+46&lt;=$B82,12*$B$7,-12*MAX(0,$B$6-IF($B$1+46&gt;=$B$23,$B$22,0))*(1+$B$4)^46)&gt;0,1+$B$3,1))</f>
        <v/>
      </c>
      <c r="AX82">
        <f>IF($B$1+47&gt;90,AW82,(AW82+IF($B$1+47&lt;=$B82,12*$B$7,-12*MAX(0,$B$6-IF($B$1+47&gt;=$B$23,$B$22,0))*(1+$B$4)^47))*IF(AW82+IF($B$1+47&lt;=$B82,12*$B$7,-12*MAX(0,$B$6-IF($B$1+47&gt;=$B$23,$B$22,0))*(1+$B$4)^47)&gt;0,1+$B$3,1))</f>
        <v/>
      </c>
      <c r="AY82">
        <f>IF($B$1+48&gt;90,AX82,(AX82+IF($B$1+48&lt;=$B82,12*$B$7,-12*MAX(0,$B$6-IF($B$1+48&gt;=$B$23,$B$22,0))*(1+$B$4)^48))*IF(AX82+IF($B$1+48&lt;=$B82,12*$B$7,-12*MAX(0,$B$6-IF($B$1+48&gt;=$B$23,$B$22,0))*(1+$B$4)^48)&gt;0,1+$B$3,1))</f>
        <v/>
      </c>
      <c r="AZ82">
        <f>IF($B$1+49&gt;90,AY82,(AY82+IF($B$1+49&lt;=$B82,12*$B$7,-12*MAX(0,$B$6-IF($B$1+49&gt;=$B$23,$B$22,0))*(1+$B$4)^49))*IF(AY82+IF($B$1+49&lt;=$B82,12*$B$7,-12*MAX(0,$B$6-IF($B$1+49&gt;=$B$23,$B$22,0))*(1+$B$4)^49)&gt;0,1+$B$3,1))</f>
        <v/>
      </c>
      <c r="BA82">
        <f>IF($B$1+50&gt;90,AZ82,(AZ82+IF($B$1+50&lt;=$B82,12*$B$7,-12*MAX(0,$B$6-IF($B$1+50&gt;=$B$23,$B$22,0))*(1+$B$4)^50))*IF(AZ82+IF($B$1+50&lt;=$B82,12*$B$7,-12*MAX(0,$B$6-IF($B$1+50&gt;=$B$23,$B$22,0))*(1+$B$4)^50)&gt;0,1+$B$3,1))</f>
        <v/>
      </c>
      <c r="BB82">
        <f>IF($B$1+51&gt;90,BA82,(BA82+IF($B$1+51&lt;=$B82,12*$B$7,-12*MAX(0,$B$6-IF($B$1+51&gt;=$B$23,$B$22,0))*(1+$B$4)^51))*IF(BA82+IF($B$1+51&lt;=$B82,12*$B$7,-12*MAX(0,$B$6-IF($B$1+51&gt;=$B$23,$B$22,0))*(1+$B$4)^51)&gt;0,1+$B$3,1))</f>
        <v/>
      </c>
      <c r="BC82">
        <f>IF($B$1+52&gt;90,BB82,(BB82+IF($B$1+52&lt;=$B82,12*$B$7,-12*MAX(0,$B$6-IF($B$1+52&gt;=$B$23,$B$22,0))*(1+$B$4)^52))*IF(BB82+IF($B$1+52&lt;=$B82,12*$B$7,-12*MAX(0,$B$6-IF($B$1+52&gt;=$B$23,$B$22,0))*(1+$B$4)^52)&gt;0,1+$B$3,1))</f>
        <v/>
      </c>
      <c r="BD82">
        <f>IF($B$1+53&gt;90,BC82,(BC82+IF($B$1+53&lt;=$B82,12*$B$7,-12*MAX(0,$B$6-IF($B$1+53&gt;=$B$23,$B$22,0))*(1+$B$4)^53))*IF(BC82+IF($B$1+53&lt;=$B82,12*$B$7,-12*MAX(0,$B$6-IF($B$1+53&gt;=$B$23,$B$22,0))*(1+$B$4)^53)&gt;0,1+$B$3,1))</f>
        <v/>
      </c>
      <c r="BE82">
        <f>IF($B$1+54&gt;90,BD82,(BD82+IF($B$1+54&lt;=$B82,12*$B$7,-12*MAX(0,$B$6-IF($B$1+54&gt;=$B$23,$B$22,0))*(1+$B$4)^54))*IF(BD82+IF($B$1+54&lt;=$B82,12*$B$7,-12*MAX(0,$B$6-IF($B$1+54&gt;=$B$23,$B$22,0))*(1+$B$4)^54)&gt;0,1+$B$3,1))</f>
        <v/>
      </c>
      <c r="BF82">
        <f>IF($B$1+55&gt;90,BE82,(BE82+IF($B$1+55&lt;=$B82,12*$B$7,-12*MAX(0,$B$6-IF($B$1+55&gt;=$B$23,$B$22,0))*(1+$B$4)^55))*IF(BE82+IF($B$1+55&lt;=$B82,12*$B$7,-12*MAX(0,$B$6-IF($B$1+55&gt;=$B$23,$B$22,0))*(1+$B$4)^55)&gt;0,1+$B$3,1))</f>
        <v/>
      </c>
      <c r="BG82">
        <f>IF($B$1+56&gt;90,BF82,(BF82+IF($B$1+56&lt;=$B82,12*$B$7,-12*MAX(0,$B$6-IF($B$1+56&gt;=$B$23,$B$22,0))*(1+$B$4)^56))*IF(BF82+IF($B$1+56&lt;=$B82,12*$B$7,-12*MAX(0,$B$6-IF($B$1+56&gt;=$B$23,$B$22,0))*(1+$B$4)^56)&gt;0,1+$B$3,1))</f>
        <v/>
      </c>
      <c r="BH82">
        <f>IF($B$1+57&gt;90,BG82,(BG82+IF($B$1+57&lt;=$B82,12*$B$7,-12*MAX(0,$B$6-IF($B$1+57&gt;=$B$23,$B$22,0))*(1+$B$4)^57))*IF(BG82+IF($B$1+57&lt;=$B82,12*$B$7,-12*MAX(0,$B$6-IF($B$1+57&gt;=$B$23,$B$22,0))*(1+$B$4)^57)&gt;0,1+$B$3,1))</f>
        <v/>
      </c>
      <c r="BI82">
        <f>IF($B$1+58&gt;90,BH82,(BH82+IF($B$1+58&lt;=$B82,12*$B$7,-12*MAX(0,$B$6-IF($B$1+58&gt;=$B$23,$B$22,0))*(1+$B$4)^58))*IF(BH82+IF($B$1+58&lt;=$B82,12*$B$7,-12*MAX(0,$B$6-IF($B$1+58&gt;=$B$23,$B$22,0))*(1+$B$4)^58)&gt;0,1+$B$3,1))</f>
        <v/>
      </c>
      <c r="BJ82">
        <f>IF($B$1+59&gt;90,BI82,(BI82+IF($B$1+59&lt;=$B82,12*$B$7,-12*MAX(0,$B$6-IF($B$1+59&gt;=$B$23,$B$22,0))*(1+$B$4)^59))*IF(BI82+IF($B$1+59&lt;=$B82,12*$B$7,-12*MAX(0,$B$6-IF($B$1+59&gt;=$B$23,$B$22,0))*(1+$B$4)^59)&gt;0,1+$B$3,1))</f>
        <v/>
      </c>
      <c r="BK82">
        <f>IF($B$1+60&gt;90,BJ82,(BJ82+IF($B$1+60&lt;=$B82,12*$B$7,-12*MAX(0,$B$6-IF($B$1+60&gt;=$B$23,$B$22,0))*(1+$B$4)^60))*IF(BJ82+IF($B$1+60&lt;=$B82,12*$B$7,-12*MAX(0,$B$6-IF($B$1+60&gt;=$B$23,$B$22,0))*(1+$B$4)^60)&gt;0,1+$B$3,1))</f>
        <v/>
      </c>
      <c r="BL82">
        <f>IF($B$1+61&gt;90,BK82,(BK82+IF($B$1+61&lt;=$B82,12*$B$7,-12*MAX(0,$B$6-IF($B$1+61&gt;=$B$23,$B$22,0))*(1+$B$4)^61))*IF(BK82+IF($B$1+61&lt;=$B82,12*$B$7,-12*MAX(0,$B$6-IF($B$1+61&gt;=$B$23,$B$22,0))*(1+$B$4)^61)&gt;0,1+$B$3,1))</f>
        <v/>
      </c>
      <c r="BM82">
        <f>IF($B$1+62&gt;90,BL82,(BL82+IF($B$1+62&lt;=$B82,12*$B$7,-12*MAX(0,$B$6-IF($B$1+62&gt;=$B$23,$B$22,0))*(1+$B$4)^62))*IF(BL82+IF($B$1+62&lt;=$B82,12*$B$7,-12*MAX(0,$B$6-IF($B$1+62&gt;=$B$23,$B$22,0))*(1+$B$4)^62)&gt;0,1+$B$3,1))</f>
        <v/>
      </c>
      <c r="BN82">
        <f>IF($B$1+63&gt;90,BM82,(BM82+IF($B$1+63&lt;=$B82,12*$B$7,-12*MAX(0,$B$6-IF($B$1+63&gt;=$B$23,$B$22,0))*(1+$B$4)^63))*IF(BM82+IF($B$1+63&lt;=$B82,12*$B$7,-12*MAX(0,$B$6-IF($B$1+63&gt;=$B$23,$B$22,0))*(1+$B$4)^63)&gt;0,1+$B$3,1))</f>
        <v/>
      </c>
      <c r="BO82">
        <f>IF($B$1+64&gt;90,BN82,(BN82+IF($B$1+64&lt;=$B82,12*$B$7,-12*MAX(0,$B$6-IF($B$1+64&gt;=$B$23,$B$22,0))*(1+$B$4)^64))*IF(BN82+IF($B$1+64&lt;=$B82,12*$B$7,-12*MAX(0,$B$6-IF($B$1+64&gt;=$B$23,$B$22,0))*(1+$B$4)^64)&gt;0,1+$B$3,1))</f>
        <v/>
      </c>
      <c r="BP82">
        <f>IF($B$1+65&gt;90,BO82,(BO82+IF($B$1+65&lt;=$B82,12*$B$7,-12*MAX(0,$B$6-IF($B$1+65&gt;=$B$23,$B$22,0))*(1+$B$4)^65))*IF(BO82+IF($B$1+65&lt;=$B82,12*$B$7,-12*MAX(0,$B$6-IF($B$1+65&gt;=$B$23,$B$22,0))*(1+$B$4)^65)&gt;0,1+$B$3,1))</f>
        <v/>
      </c>
      <c r="BQ82">
        <f>IF($B$1+66&gt;90,BP82,(BP82+IF($B$1+66&lt;=$B82,12*$B$7,-12*MAX(0,$B$6-IF($B$1+66&gt;=$B$23,$B$22,0))*(1+$B$4)^66))*IF(BP82+IF($B$1+66&lt;=$B82,12*$B$7,-12*MAX(0,$B$6-IF($B$1+66&gt;=$B$23,$B$22,0))*(1+$B$4)^66)&gt;0,1+$B$3,1))</f>
        <v/>
      </c>
      <c r="BR82">
        <f>IF($B$1+67&gt;90,BQ82,(BQ82+IF($B$1+67&lt;=$B82,12*$B$7,-12*MAX(0,$B$6-IF($B$1+67&gt;=$B$23,$B$22,0))*(1+$B$4)^67))*IF(BQ82+IF($B$1+67&lt;=$B82,12*$B$7,-12*MAX(0,$B$6-IF($B$1+67&gt;=$B$23,$B$22,0))*(1+$B$4)^67)&gt;0,1+$B$3,1))</f>
        <v/>
      </c>
      <c r="BS82">
        <f>IF($B$1+68&gt;90,BR82,(BR82+IF($B$1+68&lt;=$B82,12*$B$7,-12*MAX(0,$B$6-IF($B$1+68&gt;=$B$23,$B$22,0))*(1+$B$4)^68))*IF(BR82+IF($B$1+68&lt;=$B82,12*$B$7,-12*MAX(0,$B$6-IF($B$1+68&gt;=$B$23,$B$22,0))*(1+$B$4)^68)&gt;0,1+$B$3,1))</f>
        <v/>
      </c>
      <c r="BT82">
        <f>IF($B$1+69&gt;90,BS82,(BS82+IF($B$1+69&lt;=$B82,12*$B$7,-12*MAX(0,$B$6-IF($B$1+69&gt;=$B$23,$B$22,0))*(1+$B$4)^69))*IF(BS82+IF($B$1+69&lt;=$B82,12*$B$7,-12*MAX(0,$B$6-IF($B$1+69&gt;=$B$23,$B$22,0))*(1+$B$4)^69)&gt;0,1+$B$3,1))</f>
        <v/>
      </c>
      <c r="BU82">
        <f>IF($B$1+70&gt;90,BT82,(BT82+IF($B$1+70&lt;=$B82,12*$B$7,-12*MAX(0,$B$6-IF($B$1+70&gt;=$B$23,$B$22,0))*(1+$B$4)^70))*IF(BT82+IF($B$1+70&lt;=$B82,12*$B$7,-12*MAX(0,$B$6-IF($B$1+70&gt;=$B$23,$B$22,0))*(1+$B$4)^70)&gt;0,1+$B$3,1))</f>
        <v/>
      </c>
      <c r="BV82">
        <f>BU82</f>
        <v/>
      </c>
      <c r="BW82">
        <f>IF(AND($B82&lt;=70,BV82&gt;0),$B82,999)</f>
        <v/>
      </c>
      <c r="CH82">
        <f>IF(ISTEXT('월 가계부'!A82),SUBSTITUTE(SUBSTITUTE(SUBSTITUTE(SUBSTITUTE(SUBSTITUTE(SUBSTITUTE(SUBSTITUTE(SUBSTITUTE(SUBSTITUTE(TRIM('월 가계부'!A82),"년","-"),"월","-"),"일",""),".","-"),"/","-")," ","-"),"--","-"),"--","-"),"--","-")&amp;"-","")</f>
        <v/>
      </c>
      <c r="CI82">
        <f>IFERROR(IF('월 가계부'!A82="","",IF(ISNUMBER('월 가계부'!A82),IF(AND('월 가계부'!A82&gt;=19000101,'월 가계부'!A82&lt;=21001231),IF(AND(MOD(INT('월 가계부'!A82/100),100)&gt;=1,MOD(INT('월 가계부'!A82/100),100)&lt;=12,MOD(INT('월 가계부'!A82),100)&gt;=1,MOD(INT('월 가계부'!A82),100)&lt;=31),IF(MONTH(DATE(INT('월 가계부'!A82/10000),MOD(INT('월 가계부'!A82/100),100),MOD(INT('월 가계부'!A82),100)))=MOD(INT('월 가계부'!A82/100),100),DATE(INT('월 가계부'!A82/10000),MOD(INT('월 가계부'!A82/100),100),MOD(INT('월 가계부'!A82),100)),""),""),IF(AND('월 가계부'!A82&gt;=36526,'월 가계부'!A82&lt;73051),INT('월 가계부'!A82),"")),IF(OR(CM82="",CN82="",CO82=""),"",IF(AND(CM82&gt;=2000,CM82&lt;=2099,CN82&gt;=1,CN82&lt;=12,CO82&gt;=1,CO82&lt;=31),IF(MONTH(DATE(CM82,CN82,CO82))=CN82,DATE(CM82,CN82,CO82),""),"")))),"")</f>
        <v/>
      </c>
      <c r="CJ82">
        <f>IFERROR(IF('월 가계부'!C82="","",IF(ISNUMBER('월 가계부'!C82),'월 가계부'!C82,VALUE(SUBSTITUTE(SUBSTITUTE(SUBSTITUTE(SUBSTITUTE(TRIM('월 가계부'!C82),",",""),"원","")," ",""),"−","-")))),"")</f>
        <v/>
      </c>
      <c r="CK82">
        <f>IF(ISNUMBER(CI82),IF(CI82&lt;$B$13,CI82,""),"")</f>
        <v/>
      </c>
      <c r="CM82">
        <f>IF(CH82="","",IFERROR(IF(IF(AND(LEN(CH82)=9,ISERROR(FIND("-",LEFT(CH82,8))),ISNUMBER(-LEFT(CH82,8))),VALUE(LEFT(CH82,4)),VALUE(LEFT(CH82,FIND("-",CH82)-1)))&lt;100,IF(AND(LEN(CH82)=9,ISERROR(FIND("-",LEFT(CH82,8))),ISNUMBER(-LEFT(CH82,8))),VALUE(LEFT(CH82,4)),VALUE(LEFT(CH82,FIND("-",CH82)-1)))+2000,IF(AND(LEN(CH82)=9,ISERROR(FIND("-",LEFT(CH82,8))),ISNUMBER(-LEFT(CH82,8))),VALUE(LEFT(CH82,4)),VALUE(LEFT(CH82,FIND("-",CH82)-1)))),""))</f>
        <v/>
      </c>
      <c r="CN82">
        <f>IF(CH82="","",IFERROR(IF(AND(LEN(CH82)=9,ISERROR(FIND("-",LEFT(CH82,8))),ISNUMBER(-LEFT(CH82,8))),VALUE(MID(CH82,5,2)),VALUE(MID(CH82,FIND("-",CH82)+1,FIND("-",CH82,FIND("-",CH82)+1)-FIND("-",CH82)-1))),""))</f>
        <v/>
      </c>
      <c r="CO82">
        <f>IF(CH82="","",IFERROR(IF(AND(LEN(CH82)=9,ISERROR(FIND("-",LEFT(CH82,8))),ISNUMBER(-LEFT(CH82,8))),VALUE(MID(CH82,7,2)),VALUE(MID(CH82,FIND("-",CH82,FIND("-",CH82)+1)+1,FIND("-",CH82,FIND("-",CH82,FIND("-",CH82)+1)+1)-FIND("-",CH82,FIND("-",CH82)+1)-1))),""))</f>
        <v/>
      </c>
    </row>
    <row r="83">
      <c r="A83" t="n">
        <v>43</v>
      </c>
      <c r="B83">
        <f>$B$1+43</f>
        <v/>
      </c>
      <c r="C83">
        <f>$B$2</f>
        <v/>
      </c>
      <c r="D83">
        <f>IF($B$1+1&gt;90,C83,(C83+IF($B$1+1&lt;=$B83,12*$B$7,-12*MAX(0,$B$6-IF($B$1+1&gt;=$B$23,$B$22,0))*(1+$B$4)^1))*IF(C83+IF($B$1+1&lt;=$B83,12*$B$7,-12*MAX(0,$B$6-IF($B$1+1&gt;=$B$23,$B$22,0))*(1+$B$4)^1)&gt;0,1+$B$3,1))</f>
        <v/>
      </c>
      <c r="E83">
        <f>IF($B$1+2&gt;90,D83,(D83+IF($B$1+2&lt;=$B83,12*$B$7,-12*MAX(0,$B$6-IF($B$1+2&gt;=$B$23,$B$22,0))*(1+$B$4)^2))*IF(D83+IF($B$1+2&lt;=$B83,12*$B$7,-12*MAX(0,$B$6-IF($B$1+2&gt;=$B$23,$B$22,0))*(1+$B$4)^2)&gt;0,1+$B$3,1))</f>
        <v/>
      </c>
      <c r="F83">
        <f>IF($B$1+3&gt;90,E83,(E83+IF($B$1+3&lt;=$B83,12*$B$7,-12*MAX(0,$B$6-IF($B$1+3&gt;=$B$23,$B$22,0))*(1+$B$4)^3))*IF(E83+IF($B$1+3&lt;=$B83,12*$B$7,-12*MAX(0,$B$6-IF($B$1+3&gt;=$B$23,$B$22,0))*(1+$B$4)^3)&gt;0,1+$B$3,1))</f>
        <v/>
      </c>
      <c r="G83">
        <f>IF($B$1+4&gt;90,F83,(F83+IF($B$1+4&lt;=$B83,12*$B$7,-12*MAX(0,$B$6-IF($B$1+4&gt;=$B$23,$B$22,0))*(1+$B$4)^4))*IF(F83+IF($B$1+4&lt;=$B83,12*$B$7,-12*MAX(0,$B$6-IF($B$1+4&gt;=$B$23,$B$22,0))*(1+$B$4)^4)&gt;0,1+$B$3,1))</f>
        <v/>
      </c>
      <c r="H83">
        <f>IF($B$1+5&gt;90,G83,(G83+IF($B$1+5&lt;=$B83,12*$B$7,-12*MAX(0,$B$6-IF($B$1+5&gt;=$B$23,$B$22,0))*(1+$B$4)^5))*IF(G83+IF($B$1+5&lt;=$B83,12*$B$7,-12*MAX(0,$B$6-IF($B$1+5&gt;=$B$23,$B$22,0))*(1+$B$4)^5)&gt;0,1+$B$3,1))</f>
        <v/>
      </c>
      <c r="I83">
        <f>IF($B$1+6&gt;90,H83,(H83+IF($B$1+6&lt;=$B83,12*$B$7,-12*MAX(0,$B$6-IF($B$1+6&gt;=$B$23,$B$22,0))*(1+$B$4)^6))*IF(H83+IF($B$1+6&lt;=$B83,12*$B$7,-12*MAX(0,$B$6-IF($B$1+6&gt;=$B$23,$B$22,0))*(1+$B$4)^6)&gt;0,1+$B$3,1))</f>
        <v/>
      </c>
      <c r="J83">
        <f>IF($B$1+7&gt;90,I83,(I83+IF($B$1+7&lt;=$B83,12*$B$7,-12*MAX(0,$B$6-IF($B$1+7&gt;=$B$23,$B$22,0))*(1+$B$4)^7))*IF(I83+IF($B$1+7&lt;=$B83,12*$B$7,-12*MAX(0,$B$6-IF($B$1+7&gt;=$B$23,$B$22,0))*(1+$B$4)^7)&gt;0,1+$B$3,1))</f>
        <v/>
      </c>
      <c r="K83">
        <f>IF($B$1+8&gt;90,J83,(J83+IF($B$1+8&lt;=$B83,12*$B$7,-12*MAX(0,$B$6-IF($B$1+8&gt;=$B$23,$B$22,0))*(1+$B$4)^8))*IF(J83+IF($B$1+8&lt;=$B83,12*$B$7,-12*MAX(0,$B$6-IF($B$1+8&gt;=$B$23,$B$22,0))*(1+$B$4)^8)&gt;0,1+$B$3,1))</f>
        <v/>
      </c>
      <c r="L83">
        <f>IF($B$1+9&gt;90,K83,(K83+IF($B$1+9&lt;=$B83,12*$B$7,-12*MAX(0,$B$6-IF($B$1+9&gt;=$B$23,$B$22,0))*(1+$B$4)^9))*IF(K83+IF($B$1+9&lt;=$B83,12*$B$7,-12*MAX(0,$B$6-IF($B$1+9&gt;=$B$23,$B$22,0))*(1+$B$4)^9)&gt;0,1+$B$3,1))</f>
        <v/>
      </c>
      <c r="M83">
        <f>IF($B$1+10&gt;90,L83,(L83+IF($B$1+10&lt;=$B83,12*$B$7,-12*MAX(0,$B$6-IF($B$1+10&gt;=$B$23,$B$22,0))*(1+$B$4)^10))*IF(L83+IF($B$1+10&lt;=$B83,12*$B$7,-12*MAX(0,$B$6-IF($B$1+10&gt;=$B$23,$B$22,0))*(1+$B$4)^10)&gt;0,1+$B$3,1))</f>
        <v/>
      </c>
      <c r="N83">
        <f>IF($B$1+11&gt;90,M83,(M83+IF($B$1+11&lt;=$B83,12*$B$7,-12*MAX(0,$B$6-IF($B$1+11&gt;=$B$23,$B$22,0))*(1+$B$4)^11))*IF(M83+IF($B$1+11&lt;=$B83,12*$B$7,-12*MAX(0,$B$6-IF($B$1+11&gt;=$B$23,$B$22,0))*(1+$B$4)^11)&gt;0,1+$B$3,1))</f>
        <v/>
      </c>
      <c r="O83">
        <f>IF($B$1+12&gt;90,N83,(N83+IF($B$1+12&lt;=$B83,12*$B$7,-12*MAX(0,$B$6-IF($B$1+12&gt;=$B$23,$B$22,0))*(1+$B$4)^12))*IF(N83+IF($B$1+12&lt;=$B83,12*$B$7,-12*MAX(0,$B$6-IF($B$1+12&gt;=$B$23,$B$22,0))*(1+$B$4)^12)&gt;0,1+$B$3,1))</f>
        <v/>
      </c>
      <c r="P83">
        <f>IF($B$1+13&gt;90,O83,(O83+IF($B$1+13&lt;=$B83,12*$B$7,-12*MAX(0,$B$6-IF($B$1+13&gt;=$B$23,$B$22,0))*(1+$B$4)^13))*IF(O83+IF($B$1+13&lt;=$B83,12*$B$7,-12*MAX(0,$B$6-IF($B$1+13&gt;=$B$23,$B$22,0))*(1+$B$4)^13)&gt;0,1+$B$3,1))</f>
        <v/>
      </c>
      <c r="Q83">
        <f>IF($B$1+14&gt;90,P83,(P83+IF($B$1+14&lt;=$B83,12*$B$7,-12*MAX(0,$B$6-IF($B$1+14&gt;=$B$23,$B$22,0))*(1+$B$4)^14))*IF(P83+IF($B$1+14&lt;=$B83,12*$B$7,-12*MAX(0,$B$6-IF($B$1+14&gt;=$B$23,$B$22,0))*(1+$B$4)^14)&gt;0,1+$B$3,1))</f>
        <v/>
      </c>
      <c r="R83">
        <f>IF($B$1+15&gt;90,Q83,(Q83+IF($B$1+15&lt;=$B83,12*$B$7,-12*MAX(0,$B$6-IF($B$1+15&gt;=$B$23,$B$22,0))*(1+$B$4)^15))*IF(Q83+IF($B$1+15&lt;=$B83,12*$B$7,-12*MAX(0,$B$6-IF($B$1+15&gt;=$B$23,$B$22,0))*(1+$B$4)^15)&gt;0,1+$B$3,1))</f>
        <v/>
      </c>
      <c r="S83">
        <f>IF($B$1+16&gt;90,R83,(R83+IF($B$1+16&lt;=$B83,12*$B$7,-12*MAX(0,$B$6-IF($B$1+16&gt;=$B$23,$B$22,0))*(1+$B$4)^16))*IF(R83+IF($B$1+16&lt;=$B83,12*$B$7,-12*MAX(0,$B$6-IF($B$1+16&gt;=$B$23,$B$22,0))*(1+$B$4)^16)&gt;0,1+$B$3,1))</f>
        <v/>
      </c>
      <c r="T83">
        <f>IF($B$1+17&gt;90,S83,(S83+IF($B$1+17&lt;=$B83,12*$B$7,-12*MAX(0,$B$6-IF($B$1+17&gt;=$B$23,$B$22,0))*(1+$B$4)^17))*IF(S83+IF($B$1+17&lt;=$B83,12*$B$7,-12*MAX(0,$B$6-IF($B$1+17&gt;=$B$23,$B$22,0))*(1+$B$4)^17)&gt;0,1+$B$3,1))</f>
        <v/>
      </c>
      <c r="U83">
        <f>IF($B$1+18&gt;90,T83,(T83+IF($B$1+18&lt;=$B83,12*$B$7,-12*MAX(0,$B$6-IF($B$1+18&gt;=$B$23,$B$22,0))*(1+$B$4)^18))*IF(T83+IF($B$1+18&lt;=$B83,12*$B$7,-12*MAX(0,$B$6-IF($B$1+18&gt;=$B$23,$B$22,0))*(1+$B$4)^18)&gt;0,1+$B$3,1))</f>
        <v/>
      </c>
      <c r="V83">
        <f>IF($B$1+19&gt;90,U83,(U83+IF($B$1+19&lt;=$B83,12*$B$7,-12*MAX(0,$B$6-IF($B$1+19&gt;=$B$23,$B$22,0))*(1+$B$4)^19))*IF(U83+IF($B$1+19&lt;=$B83,12*$B$7,-12*MAX(0,$B$6-IF($B$1+19&gt;=$B$23,$B$22,0))*(1+$B$4)^19)&gt;0,1+$B$3,1))</f>
        <v/>
      </c>
      <c r="W83">
        <f>IF($B$1+20&gt;90,V83,(V83+IF($B$1+20&lt;=$B83,12*$B$7,-12*MAX(0,$B$6-IF($B$1+20&gt;=$B$23,$B$22,0))*(1+$B$4)^20))*IF(V83+IF($B$1+20&lt;=$B83,12*$B$7,-12*MAX(0,$B$6-IF($B$1+20&gt;=$B$23,$B$22,0))*(1+$B$4)^20)&gt;0,1+$B$3,1))</f>
        <v/>
      </c>
      <c r="X83">
        <f>IF($B$1+21&gt;90,W83,(W83+IF($B$1+21&lt;=$B83,12*$B$7,-12*MAX(0,$B$6-IF($B$1+21&gt;=$B$23,$B$22,0))*(1+$B$4)^21))*IF(W83+IF($B$1+21&lt;=$B83,12*$B$7,-12*MAX(0,$B$6-IF($B$1+21&gt;=$B$23,$B$22,0))*(1+$B$4)^21)&gt;0,1+$B$3,1))</f>
        <v/>
      </c>
      <c r="Y83">
        <f>IF($B$1+22&gt;90,X83,(X83+IF($B$1+22&lt;=$B83,12*$B$7,-12*MAX(0,$B$6-IF($B$1+22&gt;=$B$23,$B$22,0))*(1+$B$4)^22))*IF(X83+IF($B$1+22&lt;=$B83,12*$B$7,-12*MAX(0,$B$6-IF($B$1+22&gt;=$B$23,$B$22,0))*(1+$B$4)^22)&gt;0,1+$B$3,1))</f>
        <v/>
      </c>
      <c r="Z83">
        <f>IF($B$1+23&gt;90,Y83,(Y83+IF($B$1+23&lt;=$B83,12*$B$7,-12*MAX(0,$B$6-IF($B$1+23&gt;=$B$23,$B$22,0))*(1+$B$4)^23))*IF(Y83+IF($B$1+23&lt;=$B83,12*$B$7,-12*MAX(0,$B$6-IF($B$1+23&gt;=$B$23,$B$22,0))*(1+$B$4)^23)&gt;0,1+$B$3,1))</f>
        <v/>
      </c>
      <c r="AA83">
        <f>IF($B$1+24&gt;90,Z83,(Z83+IF($B$1+24&lt;=$B83,12*$B$7,-12*MAX(0,$B$6-IF($B$1+24&gt;=$B$23,$B$22,0))*(1+$B$4)^24))*IF(Z83+IF($B$1+24&lt;=$B83,12*$B$7,-12*MAX(0,$B$6-IF($B$1+24&gt;=$B$23,$B$22,0))*(1+$B$4)^24)&gt;0,1+$B$3,1))</f>
        <v/>
      </c>
      <c r="AB83">
        <f>IF($B$1+25&gt;90,AA83,(AA83+IF($B$1+25&lt;=$B83,12*$B$7,-12*MAX(0,$B$6-IF($B$1+25&gt;=$B$23,$B$22,0))*(1+$B$4)^25))*IF(AA83+IF($B$1+25&lt;=$B83,12*$B$7,-12*MAX(0,$B$6-IF($B$1+25&gt;=$B$23,$B$22,0))*(1+$B$4)^25)&gt;0,1+$B$3,1))</f>
        <v/>
      </c>
      <c r="AC83">
        <f>IF($B$1+26&gt;90,AB83,(AB83+IF($B$1+26&lt;=$B83,12*$B$7,-12*MAX(0,$B$6-IF($B$1+26&gt;=$B$23,$B$22,0))*(1+$B$4)^26))*IF(AB83+IF($B$1+26&lt;=$B83,12*$B$7,-12*MAX(0,$B$6-IF($B$1+26&gt;=$B$23,$B$22,0))*(1+$B$4)^26)&gt;0,1+$B$3,1))</f>
        <v/>
      </c>
      <c r="AD83">
        <f>IF($B$1+27&gt;90,AC83,(AC83+IF($B$1+27&lt;=$B83,12*$B$7,-12*MAX(0,$B$6-IF($B$1+27&gt;=$B$23,$B$22,0))*(1+$B$4)^27))*IF(AC83+IF($B$1+27&lt;=$B83,12*$B$7,-12*MAX(0,$B$6-IF($B$1+27&gt;=$B$23,$B$22,0))*(1+$B$4)^27)&gt;0,1+$B$3,1))</f>
        <v/>
      </c>
      <c r="AE83">
        <f>IF($B$1+28&gt;90,AD83,(AD83+IF($B$1+28&lt;=$B83,12*$B$7,-12*MAX(0,$B$6-IF($B$1+28&gt;=$B$23,$B$22,0))*(1+$B$4)^28))*IF(AD83+IF($B$1+28&lt;=$B83,12*$B$7,-12*MAX(0,$B$6-IF($B$1+28&gt;=$B$23,$B$22,0))*(1+$B$4)^28)&gt;0,1+$B$3,1))</f>
        <v/>
      </c>
      <c r="AF83">
        <f>IF($B$1+29&gt;90,AE83,(AE83+IF($B$1+29&lt;=$B83,12*$B$7,-12*MAX(0,$B$6-IF($B$1+29&gt;=$B$23,$B$22,0))*(1+$B$4)^29))*IF(AE83+IF($B$1+29&lt;=$B83,12*$B$7,-12*MAX(0,$B$6-IF($B$1+29&gt;=$B$23,$B$22,0))*(1+$B$4)^29)&gt;0,1+$B$3,1))</f>
        <v/>
      </c>
      <c r="AG83">
        <f>IF($B$1+30&gt;90,AF83,(AF83+IF($B$1+30&lt;=$B83,12*$B$7,-12*MAX(0,$B$6-IF($B$1+30&gt;=$B$23,$B$22,0))*(1+$B$4)^30))*IF(AF83+IF($B$1+30&lt;=$B83,12*$B$7,-12*MAX(0,$B$6-IF($B$1+30&gt;=$B$23,$B$22,0))*(1+$B$4)^30)&gt;0,1+$B$3,1))</f>
        <v/>
      </c>
      <c r="AH83">
        <f>IF($B$1+31&gt;90,AG83,(AG83+IF($B$1+31&lt;=$B83,12*$B$7,-12*MAX(0,$B$6-IF($B$1+31&gt;=$B$23,$B$22,0))*(1+$B$4)^31))*IF(AG83+IF($B$1+31&lt;=$B83,12*$B$7,-12*MAX(0,$B$6-IF($B$1+31&gt;=$B$23,$B$22,0))*(1+$B$4)^31)&gt;0,1+$B$3,1))</f>
        <v/>
      </c>
      <c r="AI83">
        <f>IF($B$1+32&gt;90,AH83,(AH83+IF($B$1+32&lt;=$B83,12*$B$7,-12*MAX(0,$B$6-IF($B$1+32&gt;=$B$23,$B$22,0))*(1+$B$4)^32))*IF(AH83+IF($B$1+32&lt;=$B83,12*$B$7,-12*MAX(0,$B$6-IF($B$1+32&gt;=$B$23,$B$22,0))*(1+$B$4)^32)&gt;0,1+$B$3,1))</f>
        <v/>
      </c>
      <c r="AJ83">
        <f>IF($B$1+33&gt;90,AI83,(AI83+IF($B$1+33&lt;=$B83,12*$B$7,-12*MAX(0,$B$6-IF($B$1+33&gt;=$B$23,$B$22,0))*(1+$B$4)^33))*IF(AI83+IF($B$1+33&lt;=$B83,12*$B$7,-12*MAX(0,$B$6-IF($B$1+33&gt;=$B$23,$B$22,0))*(1+$B$4)^33)&gt;0,1+$B$3,1))</f>
        <v/>
      </c>
      <c r="AK83">
        <f>IF($B$1+34&gt;90,AJ83,(AJ83+IF($B$1+34&lt;=$B83,12*$B$7,-12*MAX(0,$B$6-IF($B$1+34&gt;=$B$23,$B$22,0))*(1+$B$4)^34))*IF(AJ83+IF($B$1+34&lt;=$B83,12*$B$7,-12*MAX(0,$B$6-IF($B$1+34&gt;=$B$23,$B$22,0))*(1+$B$4)^34)&gt;0,1+$B$3,1))</f>
        <v/>
      </c>
      <c r="AL83">
        <f>IF($B$1+35&gt;90,AK83,(AK83+IF($B$1+35&lt;=$B83,12*$B$7,-12*MAX(0,$B$6-IF($B$1+35&gt;=$B$23,$B$22,0))*(1+$B$4)^35))*IF(AK83+IF($B$1+35&lt;=$B83,12*$B$7,-12*MAX(0,$B$6-IF($B$1+35&gt;=$B$23,$B$22,0))*(1+$B$4)^35)&gt;0,1+$B$3,1))</f>
        <v/>
      </c>
      <c r="AM83">
        <f>IF($B$1+36&gt;90,AL83,(AL83+IF($B$1+36&lt;=$B83,12*$B$7,-12*MAX(0,$B$6-IF($B$1+36&gt;=$B$23,$B$22,0))*(1+$B$4)^36))*IF(AL83+IF($B$1+36&lt;=$B83,12*$B$7,-12*MAX(0,$B$6-IF($B$1+36&gt;=$B$23,$B$22,0))*(1+$B$4)^36)&gt;0,1+$B$3,1))</f>
        <v/>
      </c>
      <c r="AN83">
        <f>IF($B$1+37&gt;90,AM83,(AM83+IF($B$1+37&lt;=$B83,12*$B$7,-12*MAX(0,$B$6-IF($B$1+37&gt;=$B$23,$B$22,0))*(1+$B$4)^37))*IF(AM83+IF($B$1+37&lt;=$B83,12*$B$7,-12*MAX(0,$B$6-IF($B$1+37&gt;=$B$23,$B$22,0))*(1+$B$4)^37)&gt;0,1+$B$3,1))</f>
        <v/>
      </c>
      <c r="AO83">
        <f>IF($B$1+38&gt;90,AN83,(AN83+IF($B$1+38&lt;=$B83,12*$B$7,-12*MAX(0,$B$6-IF($B$1+38&gt;=$B$23,$B$22,0))*(1+$B$4)^38))*IF(AN83+IF($B$1+38&lt;=$B83,12*$B$7,-12*MAX(0,$B$6-IF($B$1+38&gt;=$B$23,$B$22,0))*(1+$B$4)^38)&gt;0,1+$B$3,1))</f>
        <v/>
      </c>
      <c r="AP83">
        <f>IF($B$1+39&gt;90,AO83,(AO83+IF($B$1+39&lt;=$B83,12*$B$7,-12*MAX(0,$B$6-IF($B$1+39&gt;=$B$23,$B$22,0))*(1+$B$4)^39))*IF(AO83+IF($B$1+39&lt;=$B83,12*$B$7,-12*MAX(0,$B$6-IF($B$1+39&gt;=$B$23,$B$22,0))*(1+$B$4)^39)&gt;0,1+$B$3,1))</f>
        <v/>
      </c>
      <c r="AQ83">
        <f>IF($B$1+40&gt;90,AP83,(AP83+IF($B$1+40&lt;=$B83,12*$B$7,-12*MAX(0,$B$6-IF($B$1+40&gt;=$B$23,$B$22,0))*(1+$B$4)^40))*IF(AP83+IF($B$1+40&lt;=$B83,12*$B$7,-12*MAX(0,$B$6-IF($B$1+40&gt;=$B$23,$B$22,0))*(1+$B$4)^40)&gt;0,1+$B$3,1))</f>
        <v/>
      </c>
      <c r="AR83">
        <f>IF($B$1+41&gt;90,AQ83,(AQ83+IF($B$1+41&lt;=$B83,12*$B$7,-12*MAX(0,$B$6-IF($B$1+41&gt;=$B$23,$B$22,0))*(1+$B$4)^41))*IF(AQ83+IF($B$1+41&lt;=$B83,12*$B$7,-12*MAX(0,$B$6-IF($B$1+41&gt;=$B$23,$B$22,0))*(1+$B$4)^41)&gt;0,1+$B$3,1))</f>
        <v/>
      </c>
      <c r="AS83">
        <f>IF($B$1+42&gt;90,AR83,(AR83+IF($B$1+42&lt;=$B83,12*$B$7,-12*MAX(0,$B$6-IF($B$1+42&gt;=$B$23,$B$22,0))*(1+$B$4)^42))*IF(AR83+IF($B$1+42&lt;=$B83,12*$B$7,-12*MAX(0,$B$6-IF($B$1+42&gt;=$B$23,$B$22,0))*(1+$B$4)^42)&gt;0,1+$B$3,1))</f>
        <v/>
      </c>
      <c r="AT83">
        <f>IF($B$1+43&gt;90,AS83,(AS83+IF($B$1+43&lt;=$B83,12*$B$7,-12*MAX(0,$B$6-IF($B$1+43&gt;=$B$23,$B$22,0))*(1+$B$4)^43))*IF(AS83+IF($B$1+43&lt;=$B83,12*$B$7,-12*MAX(0,$B$6-IF($B$1+43&gt;=$B$23,$B$22,0))*(1+$B$4)^43)&gt;0,1+$B$3,1))</f>
        <v/>
      </c>
      <c r="AU83">
        <f>IF($B$1+44&gt;90,AT83,(AT83+IF($B$1+44&lt;=$B83,12*$B$7,-12*MAX(0,$B$6-IF($B$1+44&gt;=$B$23,$B$22,0))*(1+$B$4)^44))*IF(AT83+IF($B$1+44&lt;=$B83,12*$B$7,-12*MAX(0,$B$6-IF($B$1+44&gt;=$B$23,$B$22,0))*(1+$B$4)^44)&gt;0,1+$B$3,1))</f>
        <v/>
      </c>
      <c r="AV83">
        <f>IF($B$1+45&gt;90,AU83,(AU83+IF($B$1+45&lt;=$B83,12*$B$7,-12*MAX(0,$B$6-IF($B$1+45&gt;=$B$23,$B$22,0))*(1+$B$4)^45))*IF(AU83+IF($B$1+45&lt;=$B83,12*$B$7,-12*MAX(0,$B$6-IF($B$1+45&gt;=$B$23,$B$22,0))*(1+$B$4)^45)&gt;0,1+$B$3,1))</f>
        <v/>
      </c>
      <c r="AW83">
        <f>IF($B$1+46&gt;90,AV83,(AV83+IF($B$1+46&lt;=$B83,12*$B$7,-12*MAX(0,$B$6-IF($B$1+46&gt;=$B$23,$B$22,0))*(1+$B$4)^46))*IF(AV83+IF($B$1+46&lt;=$B83,12*$B$7,-12*MAX(0,$B$6-IF($B$1+46&gt;=$B$23,$B$22,0))*(1+$B$4)^46)&gt;0,1+$B$3,1))</f>
        <v/>
      </c>
      <c r="AX83">
        <f>IF($B$1+47&gt;90,AW83,(AW83+IF($B$1+47&lt;=$B83,12*$B$7,-12*MAX(0,$B$6-IF($B$1+47&gt;=$B$23,$B$22,0))*(1+$B$4)^47))*IF(AW83+IF($B$1+47&lt;=$B83,12*$B$7,-12*MAX(0,$B$6-IF($B$1+47&gt;=$B$23,$B$22,0))*(1+$B$4)^47)&gt;0,1+$B$3,1))</f>
        <v/>
      </c>
      <c r="AY83">
        <f>IF($B$1+48&gt;90,AX83,(AX83+IF($B$1+48&lt;=$B83,12*$B$7,-12*MAX(0,$B$6-IF($B$1+48&gt;=$B$23,$B$22,0))*(1+$B$4)^48))*IF(AX83+IF($B$1+48&lt;=$B83,12*$B$7,-12*MAX(0,$B$6-IF($B$1+48&gt;=$B$23,$B$22,0))*(1+$B$4)^48)&gt;0,1+$B$3,1))</f>
        <v/>
      </c>
      <c r="AZ83">
        <f>IF($B$1+49&gt;90,AY83,(AY83+IF($B$1+49&lt;=$B83,12*$B$7,-12*MAX(0,$B$6-IF($B$1+49&gt;=$B$23,$B$22,0))*(1+$B$4)^49))*IF(AY83+IF($B$1+49&lt;=$B83,12*$B$7,-12*MAX(0,$B$6-IF($B$1+49&gt;=$B$23,$B$22,0))*(1+$B$4)^49)&gt;0,1+$B$3,1))</f>
        <v/>
      </c>
      <c r="BA83">
        <f>IF($B$1+50&gt;90,AZ83,(AZ83+IF($B$1+50&lt;=$B83,12*$B$7,-12*MAX(0,$B$6-IF($B$1+50&gt;=$B$23,$B$22,0))*(1+$B$4)^50))*IF(AZ83+IF($B$1+50&lt;=$B83,12*$B$7,-12*MAX(0,$B$6-IF($B$1+50&gt;=$B$23,$B$22,0))*(1+$B$4)^50)&gt;0,1+$B$3,1))</f>
        <v/>
      </c>
      <c r="BB83">
        <f>IF($B$1+51&gt;90,BA83,(BA83+IF($B$1+51&lt;=$B83,12*$B$7,-12*MAX(0,$B$6-IF($B$1+51&gt;=$B$23,$B$22,0))*(1+$B$4)^51))*IF(BA83+IF($B$1+51&lt;=$B83,12*$B$7,-12*MAX(0,$B$6-IF($B$1+51&gt;=$B$23,$B$22,0))*(1+$B$4)^51)&gt;0,1+$B$3,1))</f>
        <v/>
      </c>
      <c r="BC83">
        <f>IF($B$1+52&gt;90,BB83,(BB83+IF($B$1+52&lt;=$B83,12*$B$7,-12*MAX(0,$B$6-IF($B$1+52&gt;=$B$23,$B$22,0))*(1+$B$4)^52))*IF(BB83+IF($B$1+52&lt;=$B83,12*$B$7,-12*MAX(0,$B$6-IF($B$1+52&gt;=$B$23,$B$22,0))*(1+$B$4)^52)&gt;0,1+$B$3,1))</f>
        <v/>
      </c>
      <c r="BD83">
        <f>IF($B$1+53&gt;90,BC83,(BC83+IF($B$1+53&lt;=$B83,12*$B$7,-12*MAX(0,$B$6-IF($B$1+53&gt;=$B$23,$B$22,0))*(1+$B$4)^53))*IF(BC83+IF($B$1+53&lt;=$B83,12*$B$7,-12*MAX(0,$B$6-IF($B$1+53&gt;=$B$23,$B$22,0))*(1+$B$4)^53)&gt;0,1+$B$3,1))</f>
        <v/>
      </c>
      <c r="BE83">
        <f>IF($B$1+54&gt;90,BD83,(BD83+IF($B$1+54&lt;=$B83,12*$B$7,-12*MAX(0,$B$6-IF($B$1+54&gt;=$B$23,$B$22,0))*(1+$B$4)^54))*IF(BD83+IF($B$1+54&lt;=$B83,12*$B$7,-12*MAX(0,$B$6-IF($B$1+54&gt;=$B$23,$B$22,0))*(1+$B$4)^54)&gt;0,1+$B$3,1))</f>
        <v/>
      </c>
      <c r="BF83">
        <f>IF($B$1+55&gt;90,BE83,(BE83+IF($B$1+55&lt;=$B83,12*$B$7,-12*MAX(0,$B$6-IF($B$1+55&gt;=$B$23,$B$22,0))*(1+$B$4)^55))*IF(BE83+IF($B$1+55&lt;=$B83,12*$B$7,-12*MAX(0,$B$6-IF($B$1+55&gt;=$B$23,$B$22,0))*(1+$B$4)^55)&gt;0,1+$B$3,1))</f>
        <v/>
      </c>
      <c r="BG83">
        <f>IF($B$1+56&gt;90,BF83,(BF83+IF($B$1+56&lt;=$B83,12*$B$7,-12*MAX(0,$B$6-IF($B$1+56&gt;=$B$23,$B$22,0))*(1+$B$4)^56))*IF(BF83+IF($B$1+56&lt;=$B83,12*$B$7,-12*MAX(0,$B$6-IF($B$1+56&gt;=$B$23,$B$22,0))*(1+$B$4)^56)&gt;0,1+$B$3,1))</f>
        <v/>
      </c>
      <c r="BH83">
        <f>IF($B$1+57&gt;90,BG83,(BG83+IF($B$1+57&lt;=$B83,12*$B$7,-12*MAX(0,$B$6-IF($B$1+57&gt;=$B$23,$B$22,0))*(1+$B$4)^57))*IF(BG83+IF($B$1+57&lt;=$B83,12*$B$7,-12*MAX(0,$B$6-IF($B$1+57&gt;=$B$23,$B$22,0))*(1+$B$4)^57)&gt;0,1+$B$3,1))</f>
        <v/>
      </c>
      <c r="BI83">
        <f>IF($B$1+58&gt;90,BH83,(BH83+IF($B$1+58&lt;=$B83,12*$B$7,-12*MAX(0,$B$6-IF($B$1+58&gt;=$B$23,$B$22,0))*(1+$B$4)^58))*IF(BH83+IF($B$1+58&lt;=$B83,12*$B$7,-12*MAX(0,$B$6-IF($B$1+58&gt;=$B$23,$B$22,0))*(1+$B$4)^58)&gt;0,1+$B$3,1))</f>
        <v/>
      </c>
      <c r="BJ83">
        <f>IF($B$1+59&gt;90,BI83,(BI83+IF($B$1+59&lt;=$B83,12*$B$7,-12*MAX(0,$B$6-IF($B$1+59&gt;=$B$23,$B$22,0))*(1+$B$4)^59))*IF(BI83+IF($B$1+59&lt;=$B83,12*$B$7,-12*MAX(0,$B$6-IF($B$1+59&gt;=$B$23,$B$22,0))*(1+$B$4)^59)&gt;0,1+$B$3,1))</f>
        <v/>
      </c>
      <c r="BK83">
        <f>IF($B$1+60&gt;90,BJ83,(BJ83+IF($B$1+60&lt;=$B83,12*$B$7,-12*MAX(0,$B$6-IF($B$1+60&gt;=$B$23,$B$22,0))*(1+$B$4)^60))*IF(BJ83+IF($B$1+60&lt;=$B83,12*$B$7,-12*MAX(0,$B$6-IF($B$1+60&gt;=$B$23,$B$22,0))*(1+$B$4)^60)&gt;0,1+$B$3,1))</f>
        <v/>
      </c>
      <c r="BL83">
        <f>IF($B$1+61&gt;90,BK83,(BK83+IF($B$1+61&lt;=$B83,12*$B$7,-12*MAX(0,$B$6-IF($B$1+61&gt;=$B$23,$B$22,0))*(1+$B$4)^61))*IF(BK83+IF($B$1+61&lt;=$B83,12*$B$7,-12*MAX(0,$B$6-IF($B$1+61&gt;=$B$23,$B$22,0))*(1+$B$4)^61)&gt;0,1+$B$3,1))</f>
        <v/>
      </c>
      <c r="BM83">
        <f>IF($B$1+62&gt;90,BL83,(BL83+IF($B$1+62&lt;=$B83,12*$B$7,-12*MAX(0,$B$6-IF($B$1+62&gt;=$B$23,$B$22,0))*(1+$B$4)^62))*IF(BL83+IF($B$1+62&lt;=$B83,12*$B$7,-12*MAX(0,$B$6-IF($B$1+62&gt;=$B$23,$B$22,0))*(1+$B$4)^62)&gt;0,1+$B$3,1))</f>
        <v/>
      </c>
      <c r="BN83">
        <f>IF($B$1+63&gt;90,BM83,(BM83+IF($B$1+63&lt;=$B83,12*$B$7,-12*MAX(0,$B$6-IF($B$1+63&gt;=$B$23,$B$22,0))*(1+$B$4)^63))*IF(BM83+IF($B$1+63&lt;=$B83,12*$B$7,-12*MAX(0,$B$6-IF($B$1+63&gt;=$B$23,$B$22,0))*(1+$B$4)^63)&gt;0,1+$B$3,1))</f>
        <v/>
      </c>
      <c r="BO83">
        <f>IF($B$1+64&gt;90,BN83,(BN83+IF($B$1+64&lt;=$B83,12*$B$7,-12*MAX(0,$B$6-IF($B$1+64&gt;=$B$23,$B$22,0))*(1+$B$4)^64))*IF(BN83+IF($B$1+64&lt;=$B83,12*$B$7,-12*MAX(0,$B$6-IF($B$1+64&gt;=$B$23,$B$22,0))*(1+$B$4)^64)&gt;0,1+$B$3,1))</f>
        <v/>
      </c>
      <c r="BP83">
        <f>IF($B$1+65&gt;90,BO83,(BO83+IF($B$1+65&lt;=$B83,12*$B$7,-12*MAX(0,$B$6-IF($B$1+65&gt;=$B$23,$B$22,0))*(1+$B$4)^65))*IF(BO83+IF($B$1+65&lt;=$B83,12*$B$7,-12*MAX(0,$B$6-IF($B$1+65&gt;=$B$23,$B$22,0))*(1+$B$4)^65)&gt;0,1+$B$3,1))</f>
        <v/>
      </c>
      <c r="BQ83">
        <f>IF($B$1+66&gt;90,BP83,(BP83+IF($B$1+66&lt;=$B83,12*$B$7,-12*MAX(0,$B$6-IF($B$1+66&gt;=$B$23,$B$22,0))*(1+$B$4)^66))*IF(BP83+IF($B$1+66&lt;=$B83,12*$B$7,-12*MAX(0,$B$6-IF($B$1+66&gt;=$B$23,$B$22,0))*(1+$B$4)^66)&gt;0,1+$B$3,1))</f>
        <v/>
      </c>
      <c r="BR83">
        <f>IF($B$1+67&gt;90,BQ83,(BQ83+IF($B$1+67&lt;=$B83,12*$B$7,-12*MAX(0,$B$6-IF($B$1+67&gt;=$B$23,$B$22,0))*(1+$B$4)^67))*IF(BQ83+IF($B$1+67&lt;=$B83,12*$B$7,-12*MAX(0,$B$6-IF($B$1+67&gt;=$B$23,$B$22,0))*(1+$B$4)^67)&gt;0,1+$B$3,1))</f>
        <v/>
      </c>
      <c r="BS83">
        <f>IF($B$1+68&gt;90,BR83,(BR83+IF($B$1+68&lt;=$B83,12*$B$7,-12*MAX(0,$B$6-IF($B$1+68&gt;=$B$23,$B$22,0))*(1+$B$4)^68))*IF(BR83+IF($B$1+68&lt;=$B83,12*$B$7,-12*MAX(0,$B$6-IF($B$1+68&gt;=$B$23,$B$22,0))*(1+$B$4)^68)&gt;0,1+$B$3,1))</f>
        <v/>
      </c>
      <c r="BT83">
        <f>IF($B$1+69&gt;90,BS83,(BS83+IF($B$1+69&lt;=$B83,12*$B$7,-12*MAX(0,$B$6-IF($B$1+69&gt;=$B$23,$B$22,0))*(1+$B$4)^69))*IF(BS83+IF($B$1+69&lt;=$B83,12*$B$7,-12*MAX(0,$B$6-IF($B$1+69&gt;=$B$23,$B$22,0))*(1+$B$4)^69)&gt;0,1+$B$3,1))</f>
        <v/>
      </c>
      <c r="BU83">
        <f>IF($B$1+70&gt;90,BT83,(BT83+IF($B$1+70&lt;=$B83,12*$B$7,-12*MAX(0,$B$6-IF($B$1+70&gt;=$B$23,$B$22,0))*(1+$B$4)^70))*IF(BT83+IF($B$1+70&lt;=$B83,12*$B$7,-12*MAX(0,$B$6-IF($B$1+70&gt;=$B$23,$B$22,0))*(1+$B$4)^70)&gt;0,1+$B$3,1))</f>
        <v/>
      </c>
      <c r="BV83">
        <f>BU83</f>
        <v/>
      </c>
      <c r="BW83">
        <f>IF(AND($B83&lt;=70,BV83&gt;0),$B83,999)</f>
        <v/>
      </c>
      <c r="CH83">
        <f>IF(ISTEXT('월 가계부'!A83),SUBSTITUTE(SUBSTITUTE(SUBSTITUTE(SUBSTITUTE(SUBSTITUTE(SUBSTITUTE(SUBSTITUTE(SUBSTITUTE(SUBSTITUTE(TRIM('월 가계부'!A83),"년","-"),"월","-"),"일",""),".","-"),"/","-")," ","-"),"--","-"),"--","-"),"--","-")&amp;"-","")</f>
        <v/>
      </c>
      <c r="CI83">
        <f>IFERROR(IF('월 가계부'!A83="","",IF(ISNUMBER('월 가계부'!A83),IF(AND('월 가계부'!A83&gt;=19000101,'월 가계부'!A83&lt;=21001231),IF(AND(MOD(INT('월 가계부'!A83/100),100)&gt;=1,MOD(INT('월 가계부'!A83/100),100)&lt;=12,MOD(INT('월 가계부'!A83),100)&gt;=1,MOD(INT('월 가계부'!A83),100)&lt;=31),IF(MONTH(DATE(INT('월 가계부'!A83/10000),MOD(INT('월 가계부'!A83/100),100),MOD(INT('월 가계부'!A83),100)))=MOD(INT('월 가계부'!A83/100),100),DATE(INT('월 가계부'!A83/10000),MOD(INT('월 가계부'!A83/100),100),MOD(INT('월 가계부'!A83),100)),""),""),IF(AND('월 가계부'!A83&gt;=36526,'월 가계부'!A83&lt;73051),INT('월 가계부'!A83),"")),IF(OR(CM83="",CN83="",CO83=""),"",IF(AND(CM83&gt;=2000,CM83&lt;=2099,CN83&gt;=1,CN83&lt;=12,CO83&gt;=1,CO83&lt;=31),IF(MONTH(DATE(CM83,CN83,CO83))=CN83,DATE(CM83,CN83,CO83),""),"")))),"")</f>
        <v/>
      </c>
      <c r="CJ83">
        <f>IFERROR(IF('월 가계부'!C83="","",IF(ISNUMBER('월 가계부'!C83),'월 가계부'!C83,VALUE(SUBSTITUTE(SUBSTITUTE(SUBSTITUTE(SUBSTITUTE(TRIM('월 가계부'!C83),",",""),"원","")," ",""),"−","-")))),"")</f>
        <v/>
      </c>
      <c r="CK83">
        <f>IF(ISNUMBER(CI83),IF(CI83&lt;$B$13,CI83,""),"")</f>
        <v/>
      </c>
      <c r="CM83">
        <f>IF(CH83="","",IFERROR(IF(IF(AND(LEN(CH83)=9,ISERROR(FIND("-",LEFT(CH83,8))),ISNUMBER(-LEFT(CH83,8))),VALUE(LEFT(CH83,4)),VALUE(LEFT(CH83,FIND("-",CH83)-1)))&lt;100,IF(AND(LEN(CH83)=9,ISERROR(FIND("-",LEFT(CH83,8))),ISNUMBER(-LEFT(CH83,8))),VALUE(LEFT(CH83,4)),VALUE(LEFT(CH83,FIND("-",CH83)-1)))+2000,IF(AND(LEN(CH83)=9,ISERROR(FIND("-",LEFT(CH83,8))),ISNUMBER(-LEFT(CH83,8))),VALUE(LEFT(CH83,4)),VALUE(LEFT(CH83,FIND("-",CH83)-1)))),""))</f>
        <v/>
      </c>
      <c r="CN83">
        <f>IF(CH83="","",IFERROR(IF(AND(LEN(CH83)=9,ISERROR(FIND("-",LEFT(CH83,8))),ISNUMBER(-LEFT(CH83,8))),VALUE(MID(CH83,5,2)),VALUE(MID(CH83,FIND("-",CH83)+1,FIND("-",CH83,FIND("-",CH83)+1)-FIND("-",CH83)-1))),""))</f>
        <v/>
      </c>
      <c r="CO83">
        <f>IF(CH83="","",IFERROR(IF(AND(LEN(CH83)=9,ISERROR(FIND("-",LEFT(CH83,8))),ISNUMBER(-LEFT(CH83,8))),VALUE(MID(CH83,7,2)),VALUE(MID(CH83,FIND("-",CH83,FIND("-",CH83)+1)+1,FIND("-",CH83,FIND("-",CH83,FIND("-",CH83)+1)+1)-FIND("-",CH83,FIND("-",CH83)+1)-1))),""))</f>
        <v/>
      </c>
    </row>
    <row r="84">
      <c r="A84" t="n">
        <v>44</v>
      </c>
      <c r="B84">
        <f>$B$1+44</f>
        <v/>
      </c>
      <c r="C84">
        <f>$B$2</f>
        <v/>
      </c>
      <c r="D84">
        <f>IF($B$1+1&gt;90,C84,(C84+IF($B$1+1&lt;=$B84,12*$B$7,-12*MAX(0,$B$6-IF($B$1+1&gt;=$B$23,$B$22,0))*(1+$B$4)^1))*IF(C84+IF($B$1+1&lt;=$B84,12*$B$7,-12*MAX(0,$B$6-IF($B$1+1&gt;=$B$23,$B$22,0))*(1+$B$4)^1)&gt;0,1+$B$3,1))</f>
        <v/>
      </c>
      <c r="E84">
        <f>IF($B$1+2&gt;90,D84,(D84+IF($B$1+2&lt;=$B84,12*$B$7,-12*MAX(0,$B$6-IF($B$1+2&gt;=$B$23,$B$22,0))*(1+$B$4)^2))*IF(D84+IF($B$1+2&lt;=$B84,12*$B$7,-12*MAX(0,$B$6-IF($B$1+2&gt;=$B$23,$B$22,0))*(1+$B$4)^2)&gt;0,1+$B$3,1))</f>
        <v/>
      </c>
      <c r="F84">
        <f>IF($B$1+3&gt;90,E84,(E84+IF($B$1+3&lt;=$B84,12*$B$7,-12*MAX(0,$B$6-IF($B$1+3&gt;=$B$23,$B$22,0))*(1+$B$4)^3))*IF(E84+IF($B$1+3&lt;=$B84,12*$B$7,-12*MAX(0,$B$6-IF($B$1+3&gt;=$B$23,$B$22,0))*(1+$B$4)^3)&gt;0,1+$B$3,1))</f>
        <v/>
      </c>
      <c r="G84">
        <f>IF($B$1+4&gt;90,F84,(F84+IF($B$1+4&lt;=$B84,12*$B$7,-12*MAX(0,$B$6-IF($B$1+4&gt;=$B$23,$B$22,0))*(1+$B$4)^4))*IF(F84+IF($B$1+4&lt;=$B84,12*$B$7,-12*MAX(0,$B$6-IF($B$1+4&gt;=$B$23,$B$22,0))*(1+$B$4)^4)&gt;0,1+$B$3,1))</f>
        <v/>
      </c>
      <c r="H84">
        <f>IF($B$1+5&gt;90,G84,(G84+IF($B$1+5&lt;=$B84,12*$B$7,-12*MAX(0,$B$6-IF($B$1+5&gt;=$B$23,$B$22,0))*(1+$B$4)^5))*IF(G84+IF($B$1+5&lt;=$B84,12*$B$7,-12*MAX(0,$B$6-IF($B$1+5&gt;=$B$23,$B$22,0))*(1+$B$4)^5)&gt;0,1+$B$3,1))</f>
        <v/>
      </c>
      <c r="I84">
        <f>IF($B$1+6&gt;90,H84,(H84+IF($B$1+6&lt;=$B84,12*$B$7,-12*MAX(0,$B$6-IF($B$1+6&gt;=$B$23,$B$22,0))*(1+$B$4)^6))*IF(H84+IF($B$1+6&lt;=$B84,12*$B$7,-12*MAX(0,$B$6-IF($B$1+6&gt;=$B$23,$B$22,0))*(1+$B$4)^6)&gt;0,1+$B$3,1))</f>
        <v/>
      </c>
      <c r="J84">
        <f>IF($B$1+7&gt;90,I84,(I84+IF($B$1+7&lt;=$B84,12*$B$7,-12*MAX(0,$B$6-IF($B$1+7&gt;=$B$23,$B$22,0))*(1+$B$4)^7))*IF(I84+IF($B$1+7&lt;=$B84,12*$B$7,-12*MAX(0,$B$6-IF($B$1+7&gt;=$B$23,$B$22,0))*(1+$B$4)^7)&gt;0,1+$B$3,1))</f>
        <v/>
      </c>
      <c r="K84">
        <f>IF($B$1+8&gt;90,J84,(J84+IF($B$1+8&lt;=$B84,12*$B$7,-12*MAX(0,$B$6-IF($B$1+8&gt;=$B$23,$B$22,0))*(1+$B$4)^8))*IF(J84+IF($B$1+8&lt;=$B84,12*$B$7,-12*MAX(0,$B$6-IF($B$1+8&gt;=$B$23,$B$22,0))*(1+$B$4)^8)&gt;0,1+$B$3,1))</f>
        <v/>
      </c>
      <c r="L84">
        <f>IF($B$1+9&gt;90,K84,(K84+IF($B$1+9&lt;=$B84,12*$B$7,-12*MAX(0,$B$6-IF($B$1+9&gt;=$B$23,$B$22,0))*(1+$B$4)^9))*IF(K84+IF($B$1+9&lt;=$B84,12*$B$7,-12*MAX(0,$B$6-IF($B$1+9&gt;=$B$23,$B$22,0))*(1+$B$4)^9)&gt;0,1+$B$3,1))</f>
        <v/>
      </c>
      <c r="M84">
        <f>IF($B$1+10&gt;90,L84,(L84+IF($B$1+10&lt;=$B84,12*$B$7,-12*MAX(0,$B$6-IF($B$1+10&gt;=$B$23,$B$22,0))*(1+$B$4)^10))*IF(L84+IF($B$1+10&lt;=$B84,12*$B$7,-12*MAX(0,$B$6-IF($B$1+10&gt;=$B$23,$B$22,0))*(1+$B$4)^10)&gt;0,1+$B$3,1))</f>
        <v/>
      </c>
      <c r="N84">
        <f>IF($B$1+11&gt;90,M84,(M84+IF($B$1+11&lt;=$B84,12*$B$7,-12*MAX(0,$B$6-IF($B$1+11&gt;=$B$23,$B$22,0))*(1+$B$4)^11))*IF(M84+IF($B$1+11&lt;=$B84,12*$B$7,-12*MAX(0,$B$6-IF($B$1+11&gt;=$B$23,$B$22,0))*(1+$B$4)^11)&gt;0,1+$B$3,1))</f>
        <v/>
      </c>
      <c r="O84">
        <f>IF($B$1+12&gt;90,N84,(N84+IF($B$1+12&lt;=$B84,12*$B$7,-12*MAX(0,$B$6-IF($B$1+12&gt;=$B$23,$B$22,0))*(1+$B$4)^12))*IF(N84+IF($B$1+12&lt;=$B84,12*$B$7,-12*MAX(0,$B$6-IF($B$1+12&gt;=$B$23,$B$22,0))*(1+$B$4)^12)&gt;0,1+$B$3,1))</f>
        <v/>
      </c>
      <c r="P84">
        <f>IF($B$1+13&gt;90,O84,(O84+IF($B$1+13&lt;=$B84,12*$B$7,-12*MAX(0,$B$6-IF($B$1+13&gt;=$B$23,$B$22,0))*(1+$B$4)^13))*IF(O84+IF($B$1+13&lt;=$B84,12*$B$7,-12*MAX(0,$B$6-IF($B$1+13&gt;=$B$23,$B$22,0))*(1+$B$4)^13)&gt;0,1+$B$3,1))</f>
        <v/>
      </c>
      <c r="Q84">
        <f>IF($B$1+14&gt;90,P84,(P84+IF($B$1+14&lt;=$B84,12*$B$7,-12*MAX(0,$B$6-IF($B$1+14&gt;=$B$23,$B$22,0))*(1+$B$4)^14))*IF(P84+IF($B$1+14&lt;=$B84,12*$B$7,-12*MAX(0,$B$6-IF($B$1+14&gt;=$B$23,$B$22,0))*(1+$B$4)^14)&gt;0,1+$B$3,1))</f>
        <v/>
      </c>
      <c r="R84">
        <f>IF($B$1+15&gt;90,Q84,(Q84+IF($B$1+15&lt;=$B84,12*$B$7,-12*MAX(0,$B$6-IF($B$1+15&gt;=$B$23,$B$22,0))*(1+$B$4)^15))*IF(Q84+IF($B$1+15&lt;=$B84,12*$B$7,-12*MAX(0,$B$6-IF($B$1+15&gt;=$B$23,$B$22,0))*(1+$B$4)^15)&gt;0,1+$B$3,1))</f>
        <v/>
      </c>
      <c r="S84">
        <f>IF($B$1+16&gt;90,R84,(R84+IF($B$1+16&lt;=$B84,12*$B$7,-12*MAX(0,$B$6-IF($B$1+16&gt;=$B$23,$B$22,0))*(1+$B$4)^16))*IF(R84+IF($B$1+16&lt;=$B84,12*$B$7,-12*MAX(0,$B$6-IF($B$1+16&gt;=$B$23,$B$22,0))*(1+$B$4)^16)&gt;0,1+$B$3,1))</f>
        <v/>
      </c>
      <c r="T84">
        <f>IF($B$1+17&gt;90,S84,(S84+IF($B$1+17&lt;=$B84,12*$B$7,-12*MAX(0,$B$6-IF($B$1+17&gt;=$B$23,$B$22,0))*(1+$B$4)^17))*IF(S84+IF($B$1+17&lt;=$B84,12*$B$7,-12*MAX(0,$B$6-IF($B$1+17&gt;=$B$23,$B$22,0))*(1+$B$4)^17)&gt;0,1+$B$3,1))</f>
        <v/>
      </c>
      <c r="U84">
        <f>IF($B$1+18&gt;90,T84,(T84+IF($B$1+18&lt;=$B84,12*$B$7,-12*MAX(0,$B$6-IF($B$1+18&gt;=$B$23,$B$22,0))*(1+$B$4)^18))*IF(T84+IF($B$1+18&lt;=$B84,12*$B$7,-12*MAX(0,$B$6-IF($B$1+18&gt;=$B$23,$B$22,0))*(1+$B$4)^18)&gt;0,1+$B$3,1))</f>
        <v/>
      </c>
      <c r="V84">
        <f>IF($B$1+19&gt;90,U84,(U84+IF($B$1+19&lt;=$B84,12*$B$7,-12*MAX(0,$B$6-IF($B$1+19&gt;=$B$23,$B$22,0))*(1+$B$4)^19))*IF(U84+IF($B$1+19&lt;=$B84,12*$B$7,-12*MAX(0,$B$6-IF($B$1+19&gt;=$B$23,$B$22,0))*(1+$B$4)^19)&gt;0,1+$B$3,1))</f>
        <v/>
      </c>
      <c r="W84">
        <f>IF($B$1+20&gt;90,V84,(V84+IF($B$1+20&lt;=$B84,12*$B$7,-12*MAX(0,$B$6-IF($B$1+20&gt;=$B$23,$B$22,0))*(1+$B$4)^20))*IF(V84+IF($B$1+20&lt;=$B84,12*$B$7,-12*MAX(0,$B$6-IF($B$1+20&gt;=$B$23,$B$22,0))*(1+$B$4)^20)&gt;0,1+$B$3,1))</f>
        <v/>
      </c>
      <c r="X84">
        <f>IF($B$1+21&gt;90,W84,(W84+IF($B$1+21&lt;=$B84,12*$B$7,-12*MAX(0,$B$6-IF($B$1+21&gt;=$B$23,$B$22,0))*(1+$B$4)^21))*IF(W84+IF($B$1+21&lt;=$B84,12*$B$7,-12*MAX(0,$B$6-IF($B$1+21&gt;=$B$23,$B$22,0))*(1+$B$4)^21)&gt;0,1+$B$3,1))</f>
        <v/>
      </c>
      <c r="Y84">
        <f>IF($B$1+22&gt;90,X84,(X84+IF($B$1+22&lt;=$B84,12*$B$7,-12*MAX(0,$B$6-IF($B$1+22&gt;=$B$23,$B$22,0))*(1+$B$4)^22))*IF(X84+IF($B$1+22&lt;=$B84,12*$B$7,-12*MAX(0,$B$6-IF($B$1+22&gt;=$B$23,$B$22,0))*(1+$B$4)^22)&gt;0,1+$B$3,1))</f>
        <v/>
      </c>
      <c r="Z84">
        <f>IF($B$1+23&gt;90,Y84,(Y84+IF($B$1+23&lt;=$B84,12*$B$7,-12*MAX(0,$B$6-IF($B$1+23&gt;=$B$23,$B$22,0))*(1+$B$4)^23))*IF(Y84+IF($B$1+23&lt;=$B84,12*$B$7,-12*MAX(0,$B$6-IF($B$1+23&gt;=$B$23,$B$22,0))*(1+$B$4)^23)&gt;0,1+$B$3,1))</f>
        <v/>
      </c>
      <c r="AA84">
        <f>IF($B$1+24&gt;90,Z84,(Z84+IF($B$1+24&lt;=$B84,12*$B$7,-12*MAX(0,$B$6-IF($B$1+24&gt;=$B$23,$B$22,0))*(1+$B$4)^24))*IF(Z84+IF($B$1+24&lt;=$B84,12*$B$7,-12*MAX(0,$B$6-IF($B$1+24&gt;=$B$23,$B$22,0))*(1+$B$4)^24)&gt;0,1+$B$3,1))</f>
        <v/>
      </c>
      <c r="AB84">
        <f>IF($B$1+25&gt;90,AA84,(AA84+IF($B$1+25&lt;=$B84,12*$B$7,-12*MAX(0,$B$6-IF($B$1+25&gt;=$B$23,$B$22,0))*(1+$B$4)^25))*IF(AA84+IF($B$1+25&lt;=$B84,12*$B$7,-12*MAX(0,$B$6-IF($B$1+25&gt;=$B$23,$B$22,0))*(1+$B$4)^25)&gt;0,1+$B$3,1))</f>
        <v/>
      </c>
      <c r="AC84">
        <f>IF($B$1+26&gt;90,AB84,(AB84+IF($B$1+26&lt;=$B84,12*$B$7,-12*MAX(0,$B$6-IF($B$1+26&gt;=$B$23,$B$22,0))*(1+$B$4)^26))*IF(AB84+IF($B$1+26&lt;=$B84,12*$B$7,-12*MAX(0,$B$6-IF($B$1+26&gt;=$B$23,$B$22,0))*(1+$B$4)^26)&gt;0,1+$B$3,1))</f>
        <v/>
      </c>
      <c r="AD84">
        <f>IF($B$1+27&gt;90,AC84,(AC84+IF($B$1+27&lt;=$B84,12*$B$7,-12*MAX(0,$B$6-IF($B$1+27&gt;=$B$23,$B$22,0))*(1+$B$4)^27))*IF(AC84+IF($B$1+27&lt;=$B84,12*$B$7,-12*MAX(0,$B$6-IF($B$1+27&gt;=$B$23,$B$22,0))*(1+$B$4)^27)&gt;0,1+$B$3,1))</f>
        <v/>
      </c>
      <c r="AE84">
        <f>IF($B$1+28&gt;90,AD84,(AD84+IF($B$1+28&lt;=$B84,12*$B$7,-12*MAX(0,$B$6-IF($B$1+28&gt;=$B$23,$B$22,0))*(1+$B$4)^28))*IF(AD84+IF($B$1+28&lt;=$B84,12*$B$7,-12*MAX(0,$B$6-IF($B$1+28&gt;=$B$23,$B$22,0))*(1+$B$4)^28)&gt;0,1+$B$3,1))</f>
        <v/>
      </c>
      <c r="AF84">
        <f>IF($B$1+29&gt;90,AE84,(AE84+IF($B$1+29&lt;=$B84,12*$B$7,-12*MAX(0,$B$6-IF($B$1+29&gt;=$B$23,$B$22,0))*(1+$B$4)^29))*IF(AE84+IF($B$1+29&lt;=$B84,12*$B$7,-12*MAX(0,$B$6-IF($B$1+29&gt;=$B$23,$B$22,0))*(1+$B$4)^29)&gt;0,1+$B$3,1))</f>
        <v/>
      </c>
      <c r="AG84">
        <f>IF($B$1+30&gt;90,AF84,(AF84+IF($B$1+30&lt;=$B84,12*$B$7,-12*MAX(0,$B$6-IF($B$1+30&gt;=$B$23,$B$22,0))*(1+$B$4)^30))*IF(AF84+IF($B$1+30&lt;=$B84,12*$B$7,-12*MAX(0,$B$6-IF($B$1+30&gt;=$B$23,$B$22,0))*(1+$B$4)^30)&gt;0,1+$B$3,1))</f>
        <v/>
      </c>
      <c r="AH84">
        <f>IF($B$1+31&gt;90,AG84,(AG84+IF($B$1+31&lt;=$B84,12*$B$7,-12*MAX(0,$B$6-IF($B$1+31&gt;=$B$23,$B$22,0))*(1+$B$4)^31))*IF(AG84+IF($B$1+31&lt;=$B84,12*$B$7,-12*MAX(0,$B$6-IF($B$1+31&gt;=$B$23,$B$22,0))*(1+$B$4)^31)&gt;0,1+$B$3,1))</f>
        <v/>
      </c>
      <c r="AI84">
        <f>IF($B$1+32&gt;90,AH84,(AH84+IF($B$1+32&lt;=$B84,12*$B$7,-12*MAX(0,$B$6-IF($B$1+32&gt;=$B$23,$B$22,0))*(1+$B$4)^32))*IF(AH84+IF($B$1+32&lt;=$B84,12*$B$7,-12*MAX(0,$B$6-IF($B$1+32&gt;=$B$23,$B$22,0))*(1+$B$4)^32)&gt;0,1+$B$3,1))</f>
        <v/>
      </c>
      <c r="AJ84">
        <f>IF($B$1+33&gt;90,AI84,(AI84+IF($B$1+33&lt;=$B84,12*$B$7,-12*MAX(0,$B$6-IF($B$1+33&gt;=$B$23,$B$22,0))*(1+$B$4)^33))*IF(AI84+IF($B$1+33&lt;=$B84,12*$B$7,-12*MAX(0,$B$6-IF($B$1+33&gt;=$B$23,$B$22,0))*(1+$B$4)^33)&gt;0,1+$B$3,1))</f>
        <v/>
      </c>
      <c r="AK84">
        <f>IF($B$1+34&gt;90,AJ84,(AJ84+IF($B$1+34&lt;=$B84,12*$B$7,-12*MAX(0,$B$6-IF($B$1+34&gt;=$B$23,$B$22,0))*(1+$B$4)^34))*IF(AJ84+IF($B$1+34&lt;=$B84,12*$B$7,-12*MAX(0,$B$6-IF($B$1+34&gt;=$B$23,$B$22,0))*(1+$B$4)^34)&gt;0,1+$B$3,1))</f>
        <v/>
      </c>
      <c r="AL84">
        <f>IF($B$1+35&gt;90,AK84,(AK84+IF($B$1+35&lt;=$B84,12*$B$7,-12*MAX(0,$B$6-IF($B$1+35&gt;=$B$23,$B$22,0))*(1+$B$4)^35))*IF(AK84+IF($B$1+35&lt;=$B84,12*$B$7,-12*MAX(0,$B$6-IF($B$1+35&gt;=$B$23,$B$22,0))*(1+$B$4)^35)&gt;0,1+$B$3,1))</f>
        <v/>
      </c>
      <c r="AM84">
        <f>IF($B$1+36&gt;90,AL84,(AL84+IF($B$1+36&lt;=$B84,12*$B$7,-12*MAX(0,$B$6-IF($B$1+36&gt;=$B$23,$B$22,0))*(1+$B$4)^36))*IF(AL84+IF($B$1+36&lt;=$B84,12*$B$7,-12*MAX(0,$B$6-IF($B$1+36&gt;=$B$23,$B$22,0))*(1+$B$4)^36)&gt;0,1+$B$3,1))</f>
        <v/>
      </c>
      <c r="AN84">
        <f>IF($B$1+37&gt;90,AM84,(AM84+IF($B$1+37&lt;=$B84,12*$B$7,-12*MAX(0,$B$6-IF($B$1+37&gt;=$B$23,$B$22,0))*(1+$B$4)^37))*IF(AM84+IF($B$1+37&lt;=$B84,12*$B$7,-12*MAX(0,$B$6-IF($B$1+37&gt;=$B$23,$B$22,0))*(1+$B$4)^37)&gt;0,1+$B$3,1))</f>
        <v/>
      </c>
      <c r="AO84">
        <f>IF($B$1+38&gt;90,AN84,(AN84+IF($B$1+38&lt;=$B84,12*$B$7,-12*MAX(0,$B$6-IF($B$1+38&gt;=$B$23,$B$22,0))*(1+$B$4)^38))*IF(AN84+IF($B$1+38&lt;=$B84,12*$B$7,-12*MAX(0,$B$6-IF($B$1+38&gt;=$B$23,$B$22,0))*(1+$B$4)^38)&gt;0,1+$B$3,1))</f>
        <v/>
      </c>
      <c r="AP84">
        <f>IF($B$1+39&gt;90,AO84,(AO84+IF($B$1+39&lt;=$B84,12*$B$7,-12*MAX(0,$B$6-IF($B$1+39&gt;=$B$23,$B$22,0))*(1+$B$4)^39))*IF(AO84+IF($B$1+39&lt;=$B84,12*$B$7,-12*MAX(0,$B$6-IF($B$1+39&gt;=$B$23,$B$22,0))*(1+$B$4)^39)&gt;0,1+$B$3,1))</f>
        <v/>
      </c>
      <c r="AQ84">
        <f>IF($B$1+40&gt;90,AP84,(AP84+IF($B$1+40&lt;=$B84,12*$B$7,-12*MAX(0,$B$6-IF($B$1+40&gt;=$B$23,$B$22,0))*(1+$B$4)^40))*IF(AP84+IF($B$1+40&lt;=$B84,12*$B$7,-12*MAX(0,$B$6-IF($B$1+40&gt;=$B$23,$B$22,0))*(1+$B$4)^40)&gt;0,1+$B$3,1))</f>
        <v/>
      </c>
      <c r="AR84">
        <f>IF($B$1+41&gt;90,AQ84,(AQ84+IF($B$1+41&lt;=$B84,12*$B$7,-12*MAX(0,$B$6-IF($B$1+41&gt;=$B$23,$B$22,0))*(1+$B$4)^41))*IF(AQ84+IF($B$1+41&lt;=$B84,12*$B$7,-12*MAX(0,$B$6-IF($B$1+41&gt;=$B$23,$B$22,0))*(1+$B$4)^41)&gt;0,1+$B$3,1))</f>
        <v/>
      </c>
      <c r="AS84">
        <f>IF($B$1+42&gt;90,AR84,(AR84+IF($B$1+42&lt;=$B84,12*$B$7,-12*MAX(0,$B$6-IF($B$1+42&gt;=$B$23,$B$22,0))*(1+$B$4)^42))*IF(AR84+IF($B$1+42&lt;=$B84,12*$B$7,-12*MAX(0,$B$6-IF($B$1+42&gt;=$B$23,$B$22,0))*(1+$B$4)^42)&gt;0,1+$B$3,1))</f>
        <v/>
      </c>
      <c r="AT84">
        <f>IF($B$1+43&gt;90,AS84,(AS84+IF($B$1+43&lt;=$B84,12*$B$7,-12*MAX(0,$B$6-IF($B$1+43&gt;=$B$23,$B$22,0))*(1+$B$4)^43))*IF(AS84+IF($B$1+43&lt;=$B84,12*$B$7,-12*MAX(0,$B$6-IF($B$1+43&gt;=$B$23,$B$22,0))*(1+$B$4)^43)&gt;0,1+$B$3,1))</f>
        <v/>
      </c>
      <c r="AU84">
        <f>IF($B$1+44&gt;90,AT84,(AT84+IF($B$1+44&lt;=$B84,12*$B$7,-12*MAX(0,$B$6-IF($B$1+44&gt;=$B$23,$B$22,0))*(1+$B$4)^44))*IF(AT84+IF($B$1+44&lt;=$B84,12*$B$7,-12*MAX(0,$B$6-IF($B$1+44&gt;=$B$23,$B$22,0))*(1+$B$4)^44)&gt;0,1+$B$3,1))</f>
        <v/>
      </c>
      <c r="AV84">
        <f>IF($B$1+45&gt;90,AU84,(AU84+IF($B$1+45&lt;=$B84,12*$B$7,-12*MAX(0,$B$6-IF($B$1+45&gt;=$B$23,$B$22,0))*(1+$B$4)^45))*IF(AU84+IF($B$1+45&lt;=$B84,12*$B$7,-12*MAX(0,$B$6-IF($B$1+45&gt;=$B$23,$B$22,0))*(1+$B$4)^45)&gt;0,1+$B$3,1))</f>
        <v/>
      </c>
      <c r="AW84">
        <f>IF($B$1+46&gt;90,AV84,(AV84+IF($B$1+46&lt;=$B84,12*$B$7,-12*MAX(0,$B$6-IF($B$1+46&gt;=$B$23,$B$22,0))*(1+$B$4)^46))*IF(AV84+IF($B$1+46&lt;=$B84,12*$B$7,-12*MAX(0,$B$6-IF($B$1+46&gt;=$B$23,$B$22,0))*(1+$B$4)^46)&gt;0,1+$B$3,1))</f>
        <v/>
      </c>
      <c r="AX84">
        <f>IF($B$1+47&gt;90,AW84,(AW84+IF($B$1+47&lt;=$B84,12*$B$7,-12*MAX(0,$B$6-IF($B$1+47&gt;=$B$23,$B$22,0))*(1+$B$4)^47))*IF(AW84+IF($B$1+47&lt;=$B84,12*$B$7,-12*MAX(0,$B$6-IF($B$1+47&gt;=$B$23,$B$22,0))*(1+$B$4)^47)&gt;0,1+$B$3,1))</f>
        <v/>
      </c>
      <c r="AY84">
        <f>IF($B$1+48&gt;90,AX84,(AX84+IF($B$1+48&lt;=$B84,12*$B$7,-12*MAX(0,$B$6-IF($B$1+48&gt;=$B$23,$B$22,0))*(1+$B$4)^48))*IF(AX84+IF($B$1+48&lt;=$B84,12*$B$7,-12*MAX(0,$B$6-IF($B$1+48&gt;=$B$23,$B$22,0))*(1+$B$4)^48)&gt;0,1+$B$3,1))</f>
        <v/>
      </c>
      <c r="AZ84">
        <f>IF($B$1+49&gt;90,AY84,(AY84+IF($B$1+49&lt;=$B84,12*$B$7,-12*MAX(0,$B$6-IF($B$1+49&gt;=$B$23,$B$22,0))*(1+$B$4)^49))*IF(AY84+IF($B$1+49&lt;=$B84,12*$B$7,-12*MAX(0,$B$6-IF($B$1+49&gt;=$B$23,$B$22,0))*(1+$B$4)^49)&gt;0,1+$B$3,1))</f>
        <v/>
      </c>
      <c r="BA84">
        <f>IF($B$1+50&gt;90,AZ84,(AZ84+IF($B$1+50&lt;=$B84,12*$B$7,-12*MAX(0,$B$6-IF($B$1+50&gt;=$B$23,$B$22,0))*(1+$B$4)^50))*IF(AZ84+IF($B$1+50&lt;=$B84,12*$B$7,-12*MAX(0,$B$6-IF($B$1+50&gt;=$B$23,$B$22,0))*(1+$B$4)^50)&gt;0,1+$B$3,1))</f>
        <v/>
      </c>
      <c r="BB84">
        <f>IF($B$1+51&gt;90,BA84,(BA84+IF($B$1+51&lt;=$B84,12*$B$7,-12*MAX(0,$B$6-IF($B$1+51&gt;=$B$23,$B$22,0))*(1+$B$4)^51))*IF(BA84+IF($B$1+51&lt;=$B84,12*$B$7,-12*MAX(0,$B$6-IF($B$1+51&gt;=$B$23,$B$22,0))*(1+$B$4)^51)&gt;0,1+$B$3,1))</f>
        <v/>
      </c>
      <c r="BC84">
        <f>IF($B$1+52&gt;90,BB84,(BB84+IF($B$1+52&lt;=$B84,12*$B$7,-12*MAX(0,$B$6-IF($B$1+52&gt;=$B$23,$B$22,0))*(1+$B$4)^52))*IF(BB84+IF($B$1+52&lt;=$B84,12*$B$7,-12*MAX(0,$B$6-IF($B$1+52&gt;=$B$23,$B$22,0))*(1+$B$4)^52)&gt;0,1+$B$3,1))</f>
        <v/>
      </c>
      <c r="BD84">
        <f>IF($B$1+53&gt;90,BC84,(BC84+IF($B$1+53&lt;=$B84,12*$B$7,-12*MAX(0,$B$6-IF($B$1+53&gt;=$B$23,$B$22,0))*(1+$B$4)^53))*IF(BC84+IF($B$1+53&lt;=$B84,12*$B$7,-12*MAX(0,$B$6-IF($B$1+53&gt;=$B$23,$B$22,0))*(1+$B$4)^53)&gt;0,1+$B$3,1))</f>
        <v/>
      </c>
      <c r="BE84">
        <f>IF($B$1+54&gt;90,BD84,(BD84+IF($B$1+54&lt;=$B84,12*$B$7,-12*MAX(0,$B$6-IF($B$1+54&gt;=$B$23,$B$22,0))*(1+$B$4)^54))*IF(BD84+IF($B$1+54&lt;=$B84,12*$B$7,-12*MAX(0,$B$6-IF($B$1+54&gt;=$B$23,$B$22,0))*(1+$B$4)^54)&gt;0,1+$B$3,1))</f>
        <v/>
      </c>
      <c r="BF84">
        <f>IF($B$1+55&gt;90,BE84,(BE84+IF($B$1+55&lt;=$B84,12*$B$7,-12*MAX(0,$B$6-IF($B$1+55&gt;=$B$23,$B$22,0))*(1+$B$4)^55))*IF(BE84+IF($B$1+55&lt;=$B84,12*$B$7,-12*MAX(0,$B$6-IF($B$1+55&gt;=$B$23,$B$22,0))*(1+$B$4)^55)&gt;0,1+$B$3,1))</f>
        <v/>
      </c>
      <c r="BG84">
        <f>IF($B$1+56&gt;90,BF84,(BF84+IF($B$1+56&lt;=$B84,12*$B$7,-12*MAX(0,$B$6-IF($B$1+56&gt;=$B$23,$B$22,0))*(1+$B$4)^56))*IF(BF84+IF($B$1+56&lt;=$B84,12*$B$7,-12*MAX(0,$B$6-IF($B$1+56&gt;=$B$23,$B$22,0))*(1+$B$4)^56)&gt;0,1+$B$3,1))</f>
        <v/>
      </c>
      <c r="BH84">
        <f>IF($B$1+57&gt;90,BG84,(BG84+IF($B$1+57&lt;=$B84,12*$B$7,-12*MAX(0,$B$6-IF($B$1+57&gt;=$B$23,$B$22,0))*(1+$B$4)^57))*IF(BG84+IF($B$1+57&lt;=$B84,12*$B$7,-12*MAX(0,$B$6-IF($B$1+57&gt;=$B$23,$B$22,0))*(1+$B$4)^57)&gt;0,1+$B$3,1))</f>
        <v/>
      </c>
      <c r="BI84">
        <f>IF($B$1+58&gt;90,BH84,(BH84+IF($B$1+58&lt;=$B84,12*$B$7,-12*MAX(0,$B$6-IF($B$1+58&gt;=$B$23,$B$22,0))*(1+$B$4)^58))*IF(BH84+IF($B$1+58&lt;=$B84,12*$B$7,-12*MAX(0,$B$6-IF($B$1+58&gt;=$B$23,$B$22,0))*(1+$B$4)^58)&gt;0,1+$B$3,1))</f>
        <v/>
      </c>
      <c r="BJ84">
        <f>IF($B$1+59&gt;90,BI84,(BI84+IF($B$1+59&lt;=$B84,12*$B$7,-12*MAX(0,$B$6-IF($B$1+59&gt;=$B$23,$B$22,0))*(1+$B$4)^59))*IF(BI84+IF($B$1+59&lt;=$B84,12*$B$7,-12*MAX(0,$B$6-IF($B$1+59&gt;=$B$23,$B$22,0))*(1+$B$4)^59)&gt;0,1+$B$3,1))</f>
        <v/>
      </c>
      <c r="BK84">
        <f>IF($B$1+60&gt;90,BJ84,(BJ84+IF($B$1+60&lt;=$B84,12*$B$7,-12*MAX(0,$B$6-IF($B$1+60&gt;=$B$23,$B$22,0))*(1+$B$4)^60))*IF(BJ84+IF($B$1+60&lt;=$B84,12*$B$7,-12*MAX(0,$B$6-IF($B$1+60&gt;=$B$23,$B$22,0))*(1+$B$4)^60)&gt;0,1+$B$3,1))</f>
        <v/>
      </c>
      <c r="BL84">
        <f>IF($B$1+61&gt;90,BK84,(BK84+IF($B$1+61&lt;=$B84,12*$B$7,-12*MAX(0,$B$6-IF($B$1+61&gt;=$B$23,$B$22,0))*(1+$B$4)^61))*IF(BK84+IF($B$1+61&lt;=$B84,12*$B$7,-12*MAX(0,$B$6-IF($B$1+61&gt;=$B$23,$B$22,0))*(1+$B$4)^61)&gt;0,1+$B$3,1))</f>
        <v/>
      </c>
      <c r="BM84">
        <f>IF($B$1+62&gt;90,BL84,(BL84+IF($B$1+62&lt;=$B84,12*$B$7,-12*MAX(0,$B$6-IF($B$1+62&gt;=$B$23,$B$22,0))*(1+$B$4)^62))*IF(BL84+IF($B$1+62&lt;=$B84,12*$B$7,-12*MAX(0,$B$6-IF($B$1+62&gt;=$B$23,$B$22,0))*(1+$B$4)^62)&gt;0,1+$B$3,1))</f>
        <v/>
      </c>
      <c r="BN84">
        <f>IF($B$1+63&gt;90,BM84,(BM84+IF($B$1+63&lt;=$B84,12*$B$7,-12*MAX(0,$B$6-IF($B$1+63&gt;=$B$23,$B$22,0))*(1+$B$4)^63))*IF(BM84+IF($B$1+63&lt;=$B84,12*$B$7,-12*MAX(0,$B$6-IF($B$1+63&gt;=$B$23,$B$22,0))*(1+$B$4)^63)&gt;0,1+$B$3,1))</f>
        <v/>
      </c>
      <c r="BO84">
        <f>IF($B$1+64&gt;90,BN84,(BN84+IF($B$1+64&lt;=$B84,12*$B$7,-12*MAX(0,$B$6-IF($B$1+64&gt;=$B$23,$B$22,0))*(1+$B$4)^64))*IF(BN84+IF($B$1+64&lt;=$B84,12*$B$7,-12*MAX(0,$B$6-IF($B$1+64&gt;=$B$23,$B$22,0))*(1+$B$4)^64)&gt;0,1+$B$3,1))</f>
        <v/>
      </c>
      <c r="BP84">
        <f>IF($B$1+65&gt;90,BO84,(BO84+IF($B$1+65&lt;=$B84,12*$B$7,-12*MAX(0,$B$6-IF($B$1+65&gt;=$B$23,$B$22,0))*(1+$B$4)^65))*IF(BO84+IF($B$1+65&lt;=$B84,12*$B$7,-12*MAX(0,$B$6-IF($B$1+65&gt;=$B$23,$B$22,0))*(1+$B$4)^65)&gt;0,1+$B$3,1))</f>
        <v/>
      </c>
      <c r="BQ84">
        <f>IF($B$1+66&gt;90,BP84,(BP84+IF($B$1+66&lt;=$B84,12*$B$7,-12*MAX(0,$B$6-IF($B$1+66&gt;=$B$23,$B$22,0))*(1+$B$4)^66))*IF(BP84+IF($B$1+66&lt;=$B84,12*$B$7,-12*MAX(0,$B$6-IF($B$1+66&gt;=$B$23,$B$22,0))*(1+$B$4)^66)&gt;0,1+$B$3,1))</f>
        <v/>
      </c>
      <c r="BR84">
        <f>IF($B$1+67&gt;90,BQ84,(BQ84+IF($B$1+67&lt;=$B84,12*$B$7,-12*MAX(0,$B$6-IF($B$1+67&gt;=$B$23,$B$22,0))*(1+$B$4)^67))*IF(BQ84+IF($B$1+67&lt;=$B84,12*$B$7,-12*MAX(0,$B$6-IF($B$1+67&gt;=$B$23,$B$22,0))*(1+$B$4)^67)&gt;0,1+$B$3,1))</f>
        <v/>
      </c>
      <c r="BS84">
        <f>IF($B$1+68&gt;90,BR84,(BR84+IF($B$1+68&lt;=$B84,12*$B$7,-12*MAX(0,$B$6-IF($B$1+68&gt;=$B$23,$B$22,0))*(1+$B$4)^68))*IF(BR84+IF($B$1+68&lt;=$B84,12*$B$7,-12*MAX(0,$B$6-IF($B$1+68&gt;=$B$23,$B$22,0))*(1+$B$4)^68)&gt;0,1+$B$3,1))</f>
        <v/>
      </c>
      <c r="BT84">
        <f>IF($B$1+69&gt;90,BS84,(BS84+IF($B$1+69&lt;=$B84,12*$B$7,-12*MAX(0,$B$6-IF($B$1+69&gt;=$B$23,$B$22,0))*(1+$B$4)^69))*IF(BS84+IF($B$1+69&lt;=$B84,12*$B$7,-12*MAX(0,$B$6-IF($B$1+69&gt;=$B$23,$B$22,0))*(1+$B$4)^69)&gt;0,1+$B$3,1))</f>
        <v/>
      </c>
      <c r="BU84">
        <f>IF($B$1+70&gt;90,BT84,(BT84+IF($B$1+70&lt;=$B84,12*$B$7,-12*MAX(0,$B$6-IF($B$1+70&gt;=$B$23,$B$22,0))*(1+$B$4)^70))*IF(BT84+IF($B$1+70&lt;=$B84,12*$B$7,-12*MAX(0,$B$6-IF($B$1+70&gt;=$B$23,$B$22,0))*(1+$B$4)^70)&gt;0,1+$B$3,1))</f>
        <v/>
      </c>
      <c r="BV84">
        <f>BU84</f>
        <v/>
      </c>
      <c r="BW84">
        <f>IF(AND($B84&lt;=70,BV84&gt;0),$B84,999)</f>
        <v/>
      </c>
      <c r="CH84">
        <f>IF(ISTEXT('월 가계부'!A84),SUBSTITUTE(SUBSTITUTE(SUBSTITUTE(SUBSTITUTE(SUBSTITUTE(SUBSTITUTE(SUBSTITUTE(SUBSTITUTE(SUBSTITUTE(TRIM('월 가계부'!A84),"년","-"),"월","-"),"일",""),".","-"),"/","-")," ","-"),"--","-"),"--","-"),"--","-")&amp;"-","")</f>
        <v/>
      </c>
      <c r="CI84">
        <f>IFERROR(IF('월 가계부'!A84="","",IF(ISNUMBER('월 가계부'!A84),IF(AND('월 가계부'!A84&gt;=19000101,'월 가계부'!A84&lt;=21001231),IF(AND(MOD(INT('월 가계부'!A84/100),100)&gt;=1,MOD(INT('월 가계부'!A84/100),100)&lt;=12,MOD(INT('월 가계부'!A84),100)&gt;=1,MOD(INT('월 가계부'!A84),100)&lt;=31),IF(MONTH(DATE(INT('월 가계부'!A84/10000),MOD(INT('월 가계부'!A84/100),100),MOD(INT('월 가계부'!A84),100)))=MOD(INT('월 가계부'!A84/100),100),DATE(INT('월 가계부'!A84/10000),MOD(INT('월 가계부'!A84/100),100),MOD(INT('월 가계부'!A84),100)),""),""),IF(AND('월 가계부'!A84&gt;=36526,'월 가계부'!A84&lt;73051),INT('월 가계부'!A84),"")),IF(OR(CM84="",CN84="",CO84=""),"",IF(AND(CM84&gt;=2000,CM84&lt;=2099,CN84&gt;=1,CN84&lt;=12,CO84&gt;=1,CO84&lt;=31),IF(MONTH(DATE(CM84,CN84,CO84))=CN84,DATE(CM84,CN84,CO84),""),"")))),"")</f>
        <v/>
      </c>
      <c r="CJ84">
        <f>IFERROR(IF('월 가계부'!C84="","",IF(ISNUMBER('월 가계부'!C84),'월 가계부'!C84,VALUE(SUBSTITUTE(SUBSTITUTE(SUBSTITUTE(SUBSTITUTE(TRIM('월 가계부'!C84),",",""),"원","")," ",""),"−","-")))),"")</f>
        <v/>
      </c>
      <c r="CK84">
        <f>IF(ISNUMBER(CI84),IF(CI84&lt;$B$13,CI84,""),"")</f>
        <v/>
      </c>
      <c r="CM84">
        <f>IF(CH84="","",IFERROR(IF(IF(AND(LEN(CH84)=9,ISERROR(FIND("-",LEFT(CH84,8))),ISNUMBER(-LEFT(CH84,8))),VALUE(LEFT(CH84,4)),VALUE(LEFT(CH84,FIND("-",CH84)-1)))&lt;100,IF(AND(LEN(CH84)=9,ISERROR(FIND("-",LEFT(CH84,8))),ISNUMBER(-LEFT(CH84,8))),VALUE(LEFT(CH84,4)),VALUE(LEFT(CH84,FIND("-",CH84)-1)))+2000,IF(AND(LEN(CH84)=9,ISERROR(FIND("-",LEFT(CH84,8))),ISNUMBER(-LEFT(CH84,8))),VALUE(LEFT(CH84,4)),VALUE(LEFT(CH84,FIND("-",CH84)-1)))),""))</f>
        <v/>
      </c>
      <c r="CN84">
        <f>IF(CH84="","",IFERROR(IF(AND(LEN(CH84)=9,ISERROR(FIND("-",LEFT(CH84,8))),ISNUMBER(-LEFT(CH84,8))),VALUE(MID(CH84,5,2)),VALUE(MID(CH84,FIND("-",CH84)+1,FIND("-",CH84,FIND("-",CH84)+1)-FIND("-",CH84)-1))),""))</f>
        <v/>
      </c>
      <c r="CO84">
        <f>IF(CH84="","",IFERROR(IF(AND(LEN(CH84)=9,ISERROR(FIND("-",LEFT(CH84,8))),ISNUMBER(-LEFT(CH84,8))),VALUE(MID(CH84,7,2)),VALUE(MID(CH84,FIND("-",CH84,FIND("-",CH84)+1)+1,FIND("-",CH84,FIND("-",CH84,FIND("-",CH84)+1)+1)-FIND("-",CH84,FIND("-",CH84)+1)-1))),""))</f>
        <v/>
      </c>
    </row>
    <row r="85">
      <c r="A85" t="n">
        <v>45</v>
      </c>
      <c r="B85">
        <f>$B$1+45</f>
        <v/>
      </c>
      <c r="C85">
        <f>$B$2</f>
        <v/>
      </c>
      <c r="D85">
        <f>IF($B$1+1&gt;90,C85,(C85+IF($B$1+1&lt;=$B85,12*$B$7,-12*MAX(0,$B$6-IF($B$1+1&gt;=$B$23,$B$22,0))*(1+$B$4)^1))*IF(C85+IF($B$1+1&lt;=$B85,12*$B$7,-12*MAX(0,$B$6-IF($B$1+1&gt;=$B$23,$B$22,0))*(1+$B$4)^1)&gt;0,1+$B$3,1))</f>
        <v/>
      </c>
      <c r="E85">
        <f>IF($B$1+2&gt;90,D85,(D85+IF($B$1+2&lt;=$B85,12*$B$7,-12*MAX(0,$B$6-IF($B$1+2&gt;=$B$23,$B$22,0))*(1+$B$4)^2))*IF(D85+IF($B$1+2&lt;=$B85,12*$B$7,-12*MAX(0,$B$6-IF($B$1+2&gt;=$B$23,$B$22,0))*(1+$B$4)^2)&gt;0,1+$B$3,1))</f>
        <v/>
      </c>
      <c r="F85">
        <f>IF($B$1+3&gt;90,E85,(E85+IF($B$1+3&lt;=$B85,12*$B$7,-12*MAX(0,$B$6-IF($B$1+3&gt;=$B$23,$B$22,0))*(1+$B$4)^3))*IF(E85+IF($B$1+3&lt;=$B85,12*$B$7,-12*MAX(0,$B$6-IF($B$1+3&gt;=$B$23,$B$22,0))*(1+$B$4)^3)&gt;0,1+$B$3,1))</f>
        <v/>
      </c>
      <c r="G85">
        <f>IF($B$1+4&gt;90,F85,(F85+IF($B$1+4&lt;=$B85,12*$B$7,-12*MAX(0,$B$6-IF($B$1+4&gt;=$B$23,$B$22,0))*(1+$B$4)^4))*IF(F85+IF($B$1+4&lt;=$B85,12*$B$7,-12*MAX(0,$B$6-IF($B$1+4&gt;=$B$23,$B$22,0))*(1+$B$4)^4)&gt;0,1+$B$3,1))</f>
        <v/>
      </c>
      <c r="H85">
        <f>IF($B$1+5&gt;90,G85,(G85+IF($B$1+5&lt;=$B85,12*$B$7,-12*MAX(0,$B$6-IF($B$1+5&gt;=$B$23,$B$22,0))*(1+$B$4)^5))*IF(G85+IF($B$1+5&lt;=$B85,12*$B$7,-12*MAX(0,$B$6-IF($B$1+5&gt;=$B$23,$B$22,0))*(1+$B$4)^5)&gt;0,1+$B$3,1))</f>
        <v/>
      </c>
      <c r="I85">
        <f>IF($B$1+6&gt;90,H85,(H85+IF($B$1+6&lt;=$B85,12*$B$7,-12*MAX(0,$B$6-IF($B$1+6&gt;=$B$23,$B$22,0))*(1+$B$4)^6))*IF(H85+IF($B$1+6&lt;=$B85,12*$B$7,-12*MAX(0,$B$6-IF($B$1+6&gt;=$B$23,$B$22,0))*(1+$B$4)^6)&gt;0,1+$B$3,1))</f>
        <v/>
      </c>
      <c r="J85">
        <f>IF($B$1+7&gt;90,I85,(I85+IF($B$1+7&lt;=$B85,12*$B$7,-12*MAX(0,$B$6-IF($B$1+7&gt;=$B$23,$B$22,0))*(1+$B$4)^7))*IF(I85+IF($B$1+7&lt;=$B85,12*$B$7,-12*MAX(0,$B$6-IF($B$1+7&gt;=$B$23,$B$22,0))*(1+$B$4)^7)&gt;0,1+$B$3,1))</f>
        <v/>
      </c>
      <c r="K85">
        <f>IF($B$1+8&gt;90,J85,(J85+IF($B$1+8&lt;=$B85,12*$B$7,-12*MAX(0,$B$6-IF($B$1+8&gt;=$B$23,$B$22,0))*(1+$B$4)^8))*IF(J85+IF($B$1+8&lt;=$B85,12*$B$7,-12*MAX(0,$B$6-IF($B$1+8&gt;=$B$23,$B$22,0))*(1+$B$4)^8)&gt;0,1+$B$3,1))</f>
        <v/>
      </c>
      <c r="L85">
        <f>IF($B$1+9&gt;90,K85,(K85+IF($B$1+9&lt;=$B85,12*$B$7,-12*MAX(0,$B$6-IF($B$1+9&gt;=$B$23,$B$22,0))*(1+$B$4)^9))*IF(K85+IF($B$1+9&lt;=$B85,12*$B$7,-12*MAX(0,$B$6-IF($B$1+9&gt;=$B$23,$B$22,0))*(1+$B$4)^9)&gt;0,1+$B$3,1))</f>
        <v/>
      </c>
      <c r="M85">
        <f>IF($B$1+10&gt;90,L85,(L85+IF($B$1+10&lt;=$B85,12*$B$7,-12*MAX(0,$B$6-IF($B$1+10&gt;=$B$23,$B$22,0))*(1+$B$4)^10))*IF(L85+IF($B$1+10&lt;=$B85,12*$B$7,-12*MAX(0,$B$6-IF($B$1+10&gt;=$B$23,$B$22,0))*(1+$B$4)^10)&gt;0,1+$B$3,1))</f>
        <v/>
      </c>
      <c r="N85">
        <f>IF($B$1+11&gt;90,M85,(M85+IF($B$1+11&lt;=$B85,12*$B$7,-12*MAX(0,$B$6-IF($B$1+11&gt;=$B$23,$B$22,0))*(1+$B$4)^11))*IF(M85+IF($B$1+11&lt;=$B85,12*$B$7,-12*MAX(0,$B$6-IF($B$1+11&gt;=$B$23,$B$22,0))*(1+$B$4)^11)&gt;0,1+$B$3,1))</f>
        <v/>
      </c>
      <c r="O85">
        <f>IF($B$1+12&gt;90,N85,(N85+IF($B$1+12&lt;=$B85,12*$B$7,-12*MAX(0,$B$6-IF($B$1+12&gt;=$B$23,$B$22,0))*(1+$B$4)^12))*IF(N85+IF($B$1+12&lt;=$B85,12*$B$7,-12*MAX(0,$B$6-IF($B$1+12&gt;=$B$23,$B$22,0))*(1+$B$4)^12)&gt;0,1+$B$3,1))</f>
        <v/>
      </c>
      <c r="P85">
        <f>IF($B$1+13&gt;90,O85,(O85+IF($B$1+13&lt;=$B85,12*$B$7,-12*MAX(0,$B$6-IF($B$1+13&gt;=$B$23,$B$22,0))*(1+$B$4)^13))*IF(O85+IF($B$1+13&lt;=$B85,12*$B$7,-12*MAX(0,$B$6-IF($B$1+13&gt;=$B$23,$B$22,0))*(1+$B$4)^13)&gt;0,1+$B$3,1))</f>
        <v/>
      </c>
      <c r="Q85">
        <f>IF($B$1+14&gt;90,P85,(P85+IF($B$1+14&lt;=$B85,12*$B$7,-12*MAX(0,$B$6-IF($B$1+14&gt;=$B$23,$B$22,0))*(1+$B$4)^14))*IF(P85+IF($B$1+14&lt;=$B85,12*$B$7,-12*MAX(0,$B$6-IF($B$1+14&gt;=$B$23,$B$22,0))*(1+$B$4)^14)&gt;0,1+$B$3,1))</f>
        <v/>
      </c>
      <c r="R85">
        <f>IF($B$1+15&gt;90,Q85,(Q85+IF($B$1+15&lt;=$B85,12*$B$7,-12*MAX(0,$B$6-IF($B$1+15&gt;=$B$23,$B$22,0))*(1+$B$4)^15))*IF(Q85+IF($B$1+15&lt;=$B85,12*$B$7,-12*MAX(0,$B$6-IF($B$1+15&gt;=$B$23,$B$22,0))*(1+$B$4)^15)&gt;0,1+$B$3,1))</f>
        <v/>
      </c>
      <c r="S85">
        <f>IF($B$1+16&gt;90,R85,(R85+IF($B$1+16&lt;=$B85,12*$B$7,-12*MAX(0,$B$6-IF($B$1+16&gt;=$B$23,$B$22,0))*(1+$B$4)^16))*IF(R85+IF($B$1+16&lt;=$B85,12*$B$7,-12*MAX(0,$B$6-IF($B$1+16&gt;=$B$23,$B$22,0))*(1+$B$4)^16)&gt;0,1+$B$3,1))</f>
        <v/>
      </c>
      <c r="T85">
        <f>IF($B$1+17&gt;90,S85,(S85+IF($B$1+17&lt;=$B85,12*$B$7,-12*MAX(0,$B$6-IF($B$1+17&gt;=$B$23,$B$22,0))*(1+$B$4)^17))*IF(S85+IF($B$1+17&lt;=$B85,12*$B$7,-12*MAX(0,$B$6-IF($B$1+17&gt;=$B$23,$B$22,0))*(1+$B$4)^17)&gt;0,1+$B$3,1))</f>
        <v/>
      </c>
      <c r="U85">
        <f>IF($B$1+18&gt;90,T85,(T85+IF($B$1+18&lt;=$B85,12*$B$7,-12*MAX(0,$B$6-IF($B$1+18&gt;=$B$23,$B$22,0))*(1+$B$4)^18))*IF(T85+IF($B$1+18&lt;=$B85,12*$B$7,-12*MAX(0,$B$6-IF($B$1+18&gt;=$B$23,$B$22,0))*(1+$B$4)^18)&gt;0,1+$B$3,1))</f>
        <v/>
      </c>
      <c r="V85">
        <f>IF($B$1+19&gt;90,U85,(U85+IF($B$1+19&lt;=$B85,12*$B$7,-12*MAX(0,$B$6-IF($B$1+19&gt;=$B$23,$B$22,0))*(1+$B$4)^19))*IF(U85+IF($B$1+19&lt;=$B85,12*$B$7,-12*MAX(0,$B$6-IF($B$1+19&gt;=$B$23,$B$22,0))*(1+$B$4)^19)&gt;0,1+$B$3,1))</f>
        <v/>
      </c>
      <c r="W85">
        <f>IF($B$1+20&gt;90,V85,(V85+IF($B$1+20&lt;=$B85,12*$B$7,-12*MAX(0,$B$6-IF($B$1+20&gt;=$B$23,$B$22,0))*(1+$B$4)^20))*IF(V85+IF($B$1+20&lt;=$B85,12*$B$7,-12*MAX(0,$B$6-IF($B$1+20&gt;=$B$23,$B$22,0))*(1+$B$4)^20)&gt;0,1+$B$3,1))</f>
        <v/>
      </c>
      <c r="X85">
        <f>IF($B$1+21&gt;90,W85,(W85+IF($B$1+21&lt;=$B85,12*$B$7,-12*MAX(0,$B$6-IF($B$1+21&gt;=$B$23,$B$22,0))*(1+$B$4)^21))*IF(W85+IF($B$1+21&lt;=$B85,12*$B$7,-12*MAX(0,$B$6-IF($B$1+21&gt;=$B$23,$B$22,0))*(1+$B$4)^21)&gt;0,1+$B$3,1))</f>
        <v/>
      </c>
      <c r="Y85">
        <f>IF($B$1+22&gt;90,X85,(X85+IF($B$1+22&lt;=$B85,12*$B$7,-12*MAX(0,$B$6-IF($B$1+22&gt;=$B$23,$B$22,0))*(1+$B$4)^22))*IF(X85+IF($B$1+22&lt;=$B85,12*$B$7,-12*MAX(0,$B$6-IF($B$1+22&gt;=$B$23,$B$22,0))*(1+$B$4)^22)&gt;0,1+$B$3,1))</f>
        <v/>
      </c>
      <c r="Z85">
        <f>IF($B$1+23&gt;90,Y85,(Y85+IF($B$1+23&lt;=$B85,12*$B$7,-12*MAX(0,$B$6-IF($B$1+23&gt;=$B$23,$B$22,0))*(1+$B$4)^23))*IF(Y85+IF($B$1+23&lt;=$B85,12*$B$7,-12*MAX(0,$B$6-IF($B$1+23&gt;=$B$23,$B$22,0))*(1+$B$4)^23)&gt;0,1+$B$3,1))</f>
        <v/>
      </c>
      <c r="AA85">
        <f>IF($B$1+24&gt;90,Z85,(Z85+IF($B$1+24&lt;=$B85,12*$B$7,-12*MAX(0,$B$6-IF($B$1+24&gt;=$B$23,$B$22,0))*(1+$B$4)^24))*IF(Z85+IF($B$1+24&lt;=$B85,12*$B$7,-12*MAX(0,$B$6-IF($B$1+24&gt;=$B$23,$B$22,0))*(1+$B$4)^24)&gt;0,1+$B$3,1))</f>
        <v/>
      </c>
      <c r="AB85">
        <f>IF($B$1+25&gt;90,AA85,(AA85+IF($B$1+25&lt;=$B85,12*$B$7,-12*MAX(0,$B$6-IF($B$1+25&gt;=$B$23,$B$22,0))*(1+$B$4)^25))*IF(AA85+IF($B$1+25&lt;=$B85,12*$B$7,-12*MAX(0,$B$6-IF($B$1+25&gt;=$B$23,$B$22,0))*(1+$B$4)^25)&gt;0,1+$B$3,1))</f>
        <v/>
      </c>
      <c r="AC85">
        <f>IF($B$1+26&gt;90,AB85,(AB85+IF($B$1+26&lt;=$B85,12*$B$7,-12*MAX(0,$B$6-IF($B$1+26&gt;=$B$23,$B$22,0))*(1+$B$4)^26))*IF(AB85+IF($B$1+26&lt;=$B85,12*$B$7,-12*MAX(0,$B$6-IF($B$1+26&gt;=$B$23,$B$22,0))*(1+$B$4)^26)&gt;0,1+$B$3,1))</f>
        <v/>
      </c>
      <c r="AD85">
        <f>IF($B$1+27&gt;90,AC85,(AC85+IF($B$1+27&lt;=$B85,12*$B$7,-12*MAX(0,$B$6-IF($B$1+27&gt;=$B$23,$B$22,0))*(1+$B$4)^27))*IF(AC85+IF($B$1+27&lt;=$B85,12*$B$7,-12*MAX(0,$B$6-IF($B$1+27&gt;=$B$23,$B$22,0))*(1+$B$4)^27)&gt;0,1+$B$3,1))</f>
        <v/>
      </c>
      <c r="AE85">
        <f>IF($B$1+28&gt;90,AD85,(AD85+IF($B$1+28&lt;=$B85,12*$B$7,-12*MAX(0,$B$6-IF($B$1+28&gt;=$B$23,$B$22,0))*(1+$B$4)^28))*IF(AD85+IF($B$1+28&lt;=$B85,12*$B$7,-12*MAX(0,$B$6-IF($B$1+28&gt;=$B$23,$B$22,0))*(1+$B$4)^28)&gt;0,1+$B$3,1))</f>
        <v/>
      </c>
      <c r="AF85">
        <f>IF($B$1+29&gt;90,AE85,(AE85+IF($B$1+29&lt;=$B85,12*$B$7,-12*MAX(0,$B$6-IF($B$1+29&gt;=$B$23,$B$22,0))*(1+$B$4)^29))*IF(AE85+IF($B$1+29&lt;=$B85,12*$B$7,-12*MAX(0,$B$6-IF($B$1+29&gt;=$B$23,$B$22,0))*(1+$B$4)^29)&gt;0,1+$B$3,1))</f>
        <v/>
      </c>
      <c r="AG85">
        <f>IF($B$1+30&gt;90,AF85,(AF85+IF($B$1+30&lt;=$B85,12*$B$7,-12*MAX(0,$B$6-IF($B$1+30&gt;=$B$23,$B$22,0))*(1+$B$4)^30))*IF(AF85+IF($B$1+30&lt;=$B85,12*$B$7,-12*MAX(0,$B$6-IF($B$1+30&gt;=$B$23,$B$22,0))*(1+$B$4)^30)&gt;0,1+$B$3,1))</f>
        <v/>
      </c>
      <c r="AH85">
        <f>IF($B$1+31&gt;90,AG85,(AG85+IF($B$1+31&lt;=$B85,12*$B$7,-12*MAX(0,$B$6-IF($B$1+31&gt;=$B$23,$B$22,0))*(1+$B$4)^31))*IF(AG85+IF($B$1+31&lt;=$B85,12*$B$7,-12*MAX(0,$B$6-IF($B$1+31&gt;=$B$23,$B$22,0))*(1+$B$4)^31)&gt;0,1+$B$3,1))</f>
        <v/>
      </c>
      <c r="AI85">
        <f>IF($B$1+32&gt;90,AH85,(AH85+IF($B$1+32&lt;=$B85,12*$B$7,-12*MAX(0,$B$6-IF($B$1+32&gt;=$B$23,$B$22,0))*(1+$B$4)^32))*IF(AH85+IF($B$1+32&lt;=$B85,12*$B$7,-12*MAX(0,$B$6-IF($B$1+32&gt;=$B$23,$B$22,0))*(1+$B$4)^32)&gt;0,1+$B$3,1))</f>
        <v/>
      </c>
      <c r="AJ85">
        <f>IF($B$1+33&gt;90,AI85,(AI85+IF($B$1+33&lt;=$B85,12*$B$7,-12*MAX(0,$B$6-IF($B$1+33&gt;=$B$23,$B$22,0))*(1+$B$4)^33))*IF(AI85+IF($B$1+33&lt;=$B85,12*$B$7,-12*MAX(0,$B$6-IF($B$1+33&gt;=$B$23,$B$22,0))*(1+$B$4)^33)&gt;0,1+$B$3,1))</f>
        <v/>
      </c>
      <c r="AK85">
        <f>IF($B$1+34&gt;90,AJ85,(AJ85+IF($B$1+34&lt;=$B85,12*$B$7,-12*MAX(0,$B$6-IF($B$1+34&gt;=$B$23,$B$22,0))*(1+$B$4)^34))*IF(AJ85+IF($B$1+34&lt;=$B85,12*$B$7,-12*MAX(0,$B$6-IF($B$1+34&gt;=$B$23,$B$22,0))*(1+$B$4)^34)&gt;0,1+$B$3,1))</f>
        <v/>
      </c>
      <c r="AL85">
        <f>IF($B$1+35&gt;90,AK85,(AK85+IF($B$1+35&lt;=$B85,12*$B$7,-12*MAX(0,$B$6-IF($B$1+35&gt;=$B$23,$B$22,0))*(1+$B$4)^35))*IF(AK85+IF($B$1+35&lt;=$B85,12*$B$7,-12*MAX(0,$B$6-IF($B$1+35&gt;=$B$23,$B$22,0))*(1+$B$4)^35)&gt;0,1+$B$3,1))</f>
        <v/>
      </c>
      <c r="AM85">
        <f>IF($B$1+36&gt;90,AL85,(AL85+IF($B$1+36&lt;=$B85,12*$B$7,-12*MAX(0,$B$6-IF($B$1+36&gt;=$B$23,$B$22,0))*(1+$B$4)^36))*IF(AL85+IF($B$1+36&lt;=$B85,12*$B$7,-12*MAX(0,$B$6-IF($B$1+36&gt;=$B$23,$B$22,0))*(1+$B$4)^36)&gt;0,1+$B$3,1))</f>
        <v/>
      </c>
      <c r="AN85">
        <f>IF($B$1+37&gt;90,AM85,(AM85+IF($B$1+37&lt;=$B85,12*$B$7,-12*MAX(0,$B$6-IF($B$1+37&gt;=$B$23,$B$22,0))*(1+$B$4)^37))*IF(AM85+IF($B$1+37&lt;=$B85,12*$B$7,-12*MAX(0,$B$6-IF($B$1+37&gt;=$B$23,$B$22,0))*(1+$B$4)^37)&gt;0,1+$B$3,1))</f>
        <v/>
      </c>
      <c r="AO85">
        <f>IF($B$1+38&gt;90,AN85,(AN85+IF($B$1+38&lt;=$B85,12*$B$7,-12*MAX(0,$B$6-IF($B$1+38&gt;=$B$23,$B$22,0))*(1+$B$4)^38))*IF(AN85+IF($B$1+38&lt;=$B85,12*$B$7,-12*MAX(0,$B$6-IF($B$1+38&gt;=$B$23,$B$22,0))*(1+$B$4)^38)&gt;0,1+$B$3,1))</f>
        <v/>
      </c>
      <c r="AP85">
        <f>IF($B$1+39&gt;90,AO85,(AO85+IF($B$1+39&lt;=$B85,12*$B$7,-12*MAX(0,$B$6-IF($B$1+39&gt;=$B$23,$B$22,0))*(1+$B$4)^39))*IF(AO85+IF($B$1+39&lt;=$B85,12*$B$7,-12*MAX(0,$B$6-IF($B$1+39&gt;=$B$23,$B$22,0))*(1+$B$4)^39)&gt;0,1+$B$3,1))</f>
        <v/>
      </c>
      <c r="AQ85">
        <f>IF($B$1+40&gt;90,AP85,(AP85+IF($B$1+40&lt;=$B85,12*$B$7,-12*MAX(0,$B$6-IF($B$1+40&gt;=$B$23,$B$22,0))*(1+$B$4)^40))*IF(AP85+IF($B$1+40&lt;=$B85,12*$B$7,-12*MAX(0,$B$6-IF($B$1+40&gt;=$B$23,$B$22,0))*(1+$B$4)^40)&gt;0,1+$B$3,1))</f>
        <v/>
      </c>
      <c r="AR85">
        <f>IF($B$1+41&gt;90,AQ85,(AQ85+IF($B$1+41&lt;=$B85,12*$B$7,-12*MAX(0,$B$6-IF($B$1+41&gt;=$B$23,$B$22,0))*(1+$B$4)^41))*IF(AQ85+IF($B$1+41&lt;=$B85,12*$B$7,-12*MAX(0,$B$6-IF($B$1+41&gt;=$B$23,$B$22,0))*(1+$B$4)^41)&gt;0,1+$B$3,1))</f>
        <v/>
      </c>
      <c r="AS85">
        <f>IF($B$1+42&gt;90,AR85,(AR85+IF($B$1+42&lt;=$B85,12*$B$7,-12*MAX(0,$B$6-IF($B$1+42&gt;=$B$23,$B$22,0))*(1+$B$4)^42))*IF(AR85+IF($B$1+42&lt;=$B85,12*$B$7,-12*MAX(0,$B$6-IF($B$1+42&gt;=$B$23,$B$22,0))*(1+$B$4)^42)&gt;0,1+$B$3,1))</f>
        <v/>
      </c>
      <c r="AT85">
        <f>IF($B$1+43&gt;90,AS85,(AS85+IF($B$1+43&lt;=$B85,12*$B$7,-12*MAX(0,$B$6-IF($B$1+43&gt;=$B$23,$B$22,0))*(1+$B$4)^43))*IF(AS85+IF($B$1+43&lt;=$B85,12*$B$7,-12*MAX(0,$B$6-IF($B$1+43&gt;=$B$23,$B$22,0))*(1+$B$4)^43)&gt;0,1+$B$3,1))</f>
        <v/>
      </c>
      <c r="AU85">
        <f>IF($B$1+44&gt;90,AT85,(AT85+IF($B$1+44&lt;=$B85,12*$B$7,-12*MAX(0,$B$6-IF($B$1+44&gt;=$B$23,$B$22,0))*(1+$B$4)^44))*IF(AT85+IF($B$1+44&lt;=$B85,12*$B$7,-12*MAX(0,$B$6-IF($B$1+44&gt;=$B$23,$B$22,0))*(1+$B$4)^44)&gt;0,1+$B$3,1))</f>
        <v/>
      </c>
      <c r="AV85">
        <f>IF($B$1+45&gt;90,AU85,(AU85+IF($B$1+45&lt;=$B85,12*$B$7,-12*MAX(0,$B$6-IF($B$1+45&gt;=$B$23,$B$22,0))*(1+$B$4)^45))*IF(AU85+IF($B$1+45&lt;=$B85,12*$B$7,-12*MAX(0,$B$6-IF($B$1+45&gt;=$B$23,$B$22,0))*(1+$B$4)^45)&gt;0,1+$B$3,1))</f>
        <v/>
      </c>
      <c r="AW85">
        <f>IF($B$1+46&gt;90,AV85,(AV85+IF($B$1+46&lt;=$B85,12*$B$7,-12*MAX(0,$B$6-IF($B$1+46&gt;=$B$23,$B$22,0))*(1+$B$4)^46))*IF(AV85+IF($B$1+46&lt;=$B85,12*$B$7,-12*MAX(0,$B$6-IF($B$1+46&gt;=$B$23,$B$22,0))*(1+$B$4)^46)&gt;0,1+$B$3,1))</f>
        <v/>
      </c>
      <c r="AX85">
        <f>IF($B$1+47&gt;90,AW85,(AW85+IF($B$1+47&lt;=$B85,12*$B$7,-12*MAX(0,$B$6-IF($B$1+47&gt;=$B$23,$B$22,0))*(1+$B$4)^47))*IF(AW85+IF($B$1+47&lt;=$B85,12*$B$7,-12*MAX(0,$B$6-IF($B$1+47&gt;=$B$23,$B$22,0))*(1+$B$4)^47)&gt;0,1+$B$3,1))</f>
        <v/>
      </c>
      <c r="AY85">
        <f>IF($B$1+48&gt;90,AX85,(AX85+IF($B$1+48&lt;=$B85,12*$B$7,-12*MAX(0,$B$6-IF($B$1+48&gt;=$B$23,$B$22,0))*(1+$B$4)^48))*IF(AX85+IF($B$1+48&lt;=$B85,12*$B$7,-12*MAX(0,$B$6-IF($B$1+48&gt;=$B$23,$B$22,0))*(1+$B$4)^48)&gt;0,1+$B$3,1))</f>
        <v/>
      </c>
      <c r="AZ85">
        <f>IF($B$1+49&gt;90,AY85,(AY85+IF($B$1+49&lt;=$B85,12*$B$7,-12*MAX(0,$B$6-IF($B$1+49&gt;=$B$23,$B$22,0))*(1+$B$4)^49))*IF(AY85+IF($B$1+49&lt;=$B85,12*$B$7,-12*MAX(0,$B$6-IF($B$1+49&gt;=$B$23,$B$22,0))*(1+$B$4)^49)&gt;0,1+$B$3,1))</f>
        <v/>
      </c>
      <c r="BA85">
        <f>IF($B$1+50&gt;90,AZ85,(AZ85+IF($B$1+50&lt;=$B85,12*$B$7,-12*MAX(0,$B$6-IF($B$1+50&gt;=$B$23,$B$22,0))*(1+$B$4)^50))*IF(AZ85+IF($B$1+50&lt;=$B85,12*$B$7,-12*MAX(0,$B$6-IF($B$1+50&gt;=$B$23,$B$22,0))*(1+$B$4)^50)&gt;0,1+$B$3,1))</f>
        <v/>
      </c>
      <c r="BB85">
        <f>IF($B$1+51&gt;90,BA85,(BA85+IF($B$1+51&lt;=$B85,12*$B$7,-12*MAX(0,$B$6-IF($B$1+51&gt;=$B$23,$B$22,0))*(1+$B$4)^51))*IF(BA85+IF($B$1+51&lt;=$B85,12*$B$7,-12*MAX(0,$B$6-IF($B$1+51&gt;=$B$23,$B$22,0))*(1+$B$4)^51)&gt;0,1+$B$3,1))</f>
        <v/>
      </c>
      <c r="BC85">
        <f>IF($B$1+52&gt;90,BB85,(BB85+IF($B$1+52&lt;=$B85,12*$B$7,-12*MAX(0,$B$6-IF($B$1+52&gt;=$B$23,$B$22,0))*(1+$B$4)^52))*IF(BB85+IF($B$1+52&lt;=$B85,12*$B$7,-12*MAX(0,$B$6-IF($B$1+52&gt;=$B$23,$B$22,0))*(1+$B$4)^52)&gt;0,1+$B$3,1))</f>
        <v/>
      </c>
      <c r="BD85">
        <f>IF($B$1+53&gt;90,BC85,(BC85+IF($B$1+53&lt;=$B85,12*$B$7,-12*MAX(0,$B$6-IF($B$1+53&gt;=$B$23,$B$22,0))*(1+$B$4)^53))*IF(BC85+IF($B$1+53&lt;=$B85,12*$B$7,-12*MAX(0,$B$6-IF($B$1+53&gt;=$B$23,$B$22,0))*(1+$B$4)^53)&gt;0,1+$B$3,1))</f>
        <v/>
      </c>
      <c r="BE85">
        <f>IF($B$1+54&gt;90,BD85,(BD85+IF($B$1+54&lt;=$B85,12*$B$7,-12*MAX(0,$B$6-IF($B$1+54&gt;=$B$23,$B$22,0))*(1+$B$4)^54))*IF(BD85+IF($B$1+54&lt;=$B85,12*$B$7,-12*MAX(0,$B$6-IF($B$1+54&gt;=$B$23,$B$22,0))*(1+$B$4)^54)&gt;0,1+$B$3,1))</f>
        <v/>
      </c>
      <c r="BF85">
        <f>IF($B$1+55&gt;90,BE85,(BE85+IF($B$1+55&lt;=$B85,12*$B$7,-12*MAX(0,$B$6-IF($B$1+55&gt;=$B$23,$B$22,0))*(1+$B$4)^55))*IF(BE85+IF($B$1+55&lt;=$B85,12*$B$7,-12*MAX(0,$B$6-IF($B$1+55&gt;=$B$23,$B$22,0))*(1+$B$4)^55)&gt;0,1+$B$3,1))</f>
        <v/>
      </c>
      <c r="BG85">
        <f>IF($B$1+56&gt;90,BF85,(BF85+IF($B$1+56&lt;=$B85,12*$B$7,-12*MAX(0,$B$6-IF($B$1+56&gt;=$B$23,$B$22,0))*(1+$B$4)^56))*IF(BF85+IF($B$1+56&lt;=$B85,12*$B$7,-12*MAX(0,$B$6-IF($B$1+56&gt;=$B$23,$B$22,0))*(1+$B$4)^56)&gt;0,1+$B$3,1))</f>
        <v/>
      </c>
      <c r="BH85">
        <f>IF($B$1+57&gt;90,BG85,(BG85+IF($B$1+57&lt;=$B85,12*$B$7,-12*MAX(0,$B$6-IF($B$1+57&gt;=$B$23,$B$22,0))*(1+$B$4)^57))*IF(BG85+IF($B$1+57&lt;=$B85,12*$B$7,-12*MAX(0,$B$6-IF($B$1+57&gt;=$B$23,$B$22,0))*(1+$B$4)^57)&gt;0,1+$B$3,1))</f>
        <v/>
      </c>
      <c r="BI85">
        <f>IF($B$1+58&gt;90,BH85,(BH85+IF($B$1+58&lt;=$B85,12*$B$7,-12*MAX(0,$B$6-IF($B$1+58&gt;=$B$23,$B$22,0))*(1+$B$4)^58))*IF(BH85+IF($B$1+58&lt;=$B85,12*$B$7,-12*MAX(0,$B$6-IF($B$1+58&gt;=$B$23,$B$22,0))*(1+$B$4)^58)&gt;0,1+$B$3,1))</f>
        <v/>
      </c>
      <c r="BJ85">
        <f>IF($B$1+59&gt;90,BI85,(BI85+IF($B$1+59&lt;=$B85,12*$B$7,-12*MAX(0,$B$6-IF($B$1+59&gt;=$B$23,$B$22,0))*(1+$B$4)^59))*IF(BI85+IF($B$1+59&lt;=$B85,12*$B$7,-12*MAX(0,$B$6-IF($B$1+59&gt;=$B$23,$B$22,0))*(1+$B$4)^59)&gt;0,1+$B$3,1))</f>
        <v/>
      </c>
      <c r="BK85">
        <f>IF($B$1+60&gt;90,BJ85,(BJ85+IF($B$1+60&lt;=$B85,12*$B$7,-12*MAX(0,$B$6-IF($B$1+60&gt;=$B$23,$B$22,0))*(1+$B$4)^60))*IF(BJ85+IF($B$1+60&lt;=$B85,12*$B$7,-12*MAX(0,$B$6-IF($B$1+60&gt;=$B$23,$B$22,0))*(1+$B$4)^60)&gt;0,1+$B$3,1))</f>
        <v/>
      </c>
      <c r="BL85">
        <f>IF($B$1+61&gt;90,BK85,(BK85+IF($B$1+61&lt;=$B85,12*$B$7,-12*MAX(0,$B$6-IF($B$1+61&gt;=$B$23,$B$22,0))*(1+$B$4)^61))*IF(BK85+IF($B$1+61&lt;=$B85,12*$B$7,-12*MAX(0,$B$6-IF($B$1+61&gt;=$B$23,$B$22,0))*(1+$B$4)^61)&gt;0,1+$B$3,1))</f>
        <v/>
      </c>
      <c r="BM85">
        <f>IF($B$1+62&gt;90,BL85,(BL85+IF($B$1+62&lt;=$B85,12*$B$7,-12*MAX(0,$B$6-IF($B$1+62&gt;=$B$23,$B$22,0))*(1+$B$4)^62))*IF(BL85+IF($B$1+62&lt;=$B85,12*$B$7,-12*MAX(0,$B$6-IF($B$1+62&gt;=$B$23,$B$22,0))*(1+$B$4)^62)&gt;0,1+$B$3,1))</f>
        <v/>
      </c>
      <c r="BN85">
        <f>IF($B$1+63&gt;90,BM85,(BM85+IF($B$1+63&lt;=$B85,12*$B$7,-12*MAX(0,$B$6-IF($B$1+63&gt;=$B$23,$B$22,0))*(1+$B$4)^63))*IF(BM85+IF($B$1+63&lt;=$B85,12*$B$7,-12*MAX(0,$B$6-IF($B$1+63&gt;=$B$23,$B$22,0))*(1+$B$4)^63)&gt;0,1+$B$3,1))</f>
        <v/>
      </c>
      <c r="BO85">
        <f>IF($B$1+64&gt;90,BN85,(BN85+IF($B$1+64&lt;=$B85,12*$B$7,-12*MAX(0,$B$6-IF($B$1+64&gt;=$B$23,$B$22,0))*(1+$B$4)^64))*IF(BN85+IF($B$1+64&lt;=$B85,12*$B$7,-12*MAX(0,$B$6-IF($B$1+64&gt;=$B$23,$B$22,0))*(1+$B$4)^64)&gt;0,1+$B$3,1))</f>
        <v/>
      </c>
      <c r="BP85">
        <f>IF($B$1+65&gt;90,BO85,(BO85+IF($B$1+65&lt;=$B85,12*$B$7,-12*MAX(0,$B$6-IF($B$1+65&gt;=$B$23,$B$22,0))*(1+$B$4)^65))*IF(BO85+IF($B$1+65&lt;=$B85,12*$B$7,-12*MAX(0,$B$6-IF($B$1+65&gt;=$B$23,$B$22,0))*(1+$B$4)^65)&gt;0,1+$B$3,1))</f>
        <v/>
      </c>
      <c r="BQ85">
        <f>IF($B$1+66&gt;90,BP85,(BP85+IF($B$1+66&lt;=$B85,12*$B$7,-12*MAX(0,$B$6-IF($B$1+66&gt;=$B$23,$B$22,0))*(1+$B$4)^66))*IF(BP85+IF($B$1+66&lt;=$B85,12*$B$7,-12*MAX(0,$B$6-IF($B$1+66&gt;=$B$23,$B$22,0))*(1+$B$4)^66)&gt;0,1+$B$3,1))</f>
        <v/>
      </c>
      <c r="BR85">
        <f>IF($B$1+67&gt;90,BQ85,(BQ85+IF($B$1+67&lt;=$B85,12*$B$7,-12*MAX(0,$B$6-IF($B$1+67&gt;=$B$23,$B$22,0))*(1+$B$4)^67))*IF(BQ85+IF($B$1+67&lt;=$B85,12*$B$7,-12*MAX(0,$B$6-IF($B$1+67&gt;=$B$23,$B$22,0))*(1+$B$4)^67)&gt;0,1+$B$3,1))</f>
        <v/>
      </c>
      <c r="BS85">
        <f>IF($B$1+68&gt;90,BR85,(BR85+IF($B$1+68&lt;=$B85,12*$B$7,-12*MAX(0,$B$6-IF($B$1+68&gt;=$B$23,$B$22,0))*(1+$B$4)^68))*IF(BR85+IF($B$1+68&lt;=$B85,12*$B$7,-12*MAX(0,$B$6-IF($B$1+68&gt;=$B$23,$B$22,0))*(1+$B$4)^68)&gt;0,1+$B$3,1))</f>
        <v/>
      </c>
      <c r="BT85">
        <f>IF($B$1+69&gt;90,BS85,(BS85+IF($B$1+69&lt;=$B85,12*$B$7,-12*MAX(0,$B$6-IF($B$1+69&gt;=$B$23,$B$22,0))*(1+$B$4)^69))*IF(BS85+IF($B$1+69&lt;=$B85,12*$B$7,-12*MAX(0,$B$6-IF($B$1+69&gt;=$B$23,$B$22,0))*(1+$B$4)^69)&gt;0,1+$B$3,1))</f>
        <v/>
      </c>
      <c r="BU85">
        <f>IF($B$1+70&gt;90,BT85,(BT85+IF($B$1+70&lt;=$B85,12*$B$7,-12*MAX(0,$B$6-IF($B$1+70&gt;=$B$23,$B$22,0))*(1+$B$4)^70))*IF(BT85+IF($B$1+70&lt;=$B85,12*$B$7,-12*MAX(0,$B$6-IF($B$1+70&gt;=$B$23,$B$22,0))*(1+$B$4)^70)&gt;0,1+$B$3,1))</f>
        <v/>
      </c>
      <c r="BV85">
        <f>BU85</f>
        <v/>
      </c>
      <c r="BW85">
        <f>IF(AND($B85&lt;=70,BV85&gt;0),$B85,999)</f>
        <v/>
      </c>
      <c r="CH85">
        <f>IF(ISTEXT('월 가계부'!A85),SUBSTITUTE(SUBSTITUTE(SUBSTITUTE(SUBSTITUTE(SUBSTITUTE(SUBSTITUTE(SUBSTITUTE(SUBSTITUTE(SUBSTITUTE(TRIM('월 가계부'!A85),"년","-"),"월","-"),"일",""),".","-"),"/","-")," ","-"),"--","-"),"--","-"),"--","-")&amp;"-","")</f>
        <v/>
      </c>
      <c r="CI85">
        <f>IFERROR(IF('월 가계부'!A85="","",IF(ISNUMBER('월 가계부'!A85),IF(AND('월 가계부'!A85&gt;=19000101,'월 가계부'!A85&lt;=21001231),IF(AND(MOD(INT('월 가계부'!A85/100),100)&gt;=1,MOD(INT('월 가계부'!A85/100),100)&lt;=12,MOD(INT('월 가계부'!A85),100)&gt;=1,MOD(INT('월 가계부'!A85),100)&lt;=31),IF(MONTH(DATE(INT('월 가계부'!A85/10000),MOD(INT('월 가계부'!A85/100),100),MOD(INT('월 가계부'!A85),100)))=MOD(INT('월 가계부'!A85/100),100),DATE(INT('월 가계부'!A85/10000),MOD(INT('월 가계부'!A85/100),100),MOD(INT('월 가계부'!A85),100)),""),""),IF(AND('월 가계부'!A85&gt;=36526,'월 가계부'!A85&lt;73051),INT('월 가계부'!A85),"")),IF(OR(CM85="",CN85="",CO85=""),"",IF(AND(CM85&gt;=2000,CM85&lt;=2099,CN85&gt;=1,CN85&lt;=12,CO85&gt;=1,CO85&lt;=31),IF(MONTH(DATE(CM85,CN85,CO85))=CN85,DATE(CM85,CN85,CO85),""),"")))),"")</f>
        <v/>
      </c>
      <c r="CJ85">
        <f>IFERROR(IF('월 가계부'!C85="","",IF(ISNUMBER('월 가계부'!C85),'월 가계부'!C85,VALUE(SUBSTITUTE(SUBSTITUTE(SUBSTITUTE(SUBSTITUTE(TRIM('월 가계부'!C85),",",""),"원","")," ",""),"−","-")))),"")</f>
        <v/>
      </c>
      <c r="CK85">
        <f>IF(ISNUMBER(CI85),IF(CI85&lt;$B$13,CI85,""),"")</f>
        <v/>
      </c>
      <c r="CM85">
        <f>IF(CH85="","",IFERROR(IF(IF(AND(LEN(CH85)=9,ISERROR(FIND("-",LEFT(CH85,8))),ISNUMBER(-LEFT(CH85,8))),VALUE(LEFT(CH85,4)),VALUE(LEFT(CH85,FIND("-",CH85)-1)))&lt;100,IF(AND(LEN(CH85)=9,ISERROR(FIND("-",LEFT(CH85,8))),ISNUMBER(-LEFT(CH85,8))),VALUE(LEFT(CH85,4)),VALUE(LEFT(CH85,FIND("-",CH85)-1)))+2000,IF(AND(LEN(CH85)=9,ISERROR(FIND("-",LEFT(CH85,8))),ISNUMBER(-LEFT(CH85,8))),VALUE(LEFT(CH85,4)),VALUE(LEFT(CH85,FIND("-",CH85)-1)))),""))</f>
        <v/>
      </c>
      <c r="CN85">
        <f>IF(CH85="","",IFERROR(IF(AND(LEN(CH85)=9,ISERROR(FIND("-",LEFT(CH85,8))),ISNUMBER(-LEFT(CH85,8))),VALUE(MID(CH85,5,2)),VALUE(MID(CH85,FIND("-",CH85)+1,FIND("-",CH85,FIND("-",CH85)+1)-FIND("-",CH85)-1))),""))</f>
        <v/>
      </c>
      <c r="CO85">
        <f>IF(CH85="","",IFERROR(IF(AND(LEN(CH85)=9,ISERROR(FIND("-",LEFT(CH85,8))),ISNUMBER(-LEFT(CH85,8))),VALUE(MID(CH85,7,2)),VALUE(MID(CH85,FIND("-",CH85,FIND("-",CH85)+1)+1,FIND("-",CH85,FIND("-",CH85,FIND("-",CH85)+1)+1)-FIND("-",CH85,FIND("-",CH85)+1)-1))),""))</f>
        <v/>
      </c>
    </row>
    <row r="86">
      <c r="A86" t="n">
        <v>46</v>
      </c>
      <c r="B86">
        <f>$B$1+46</f>
        <v/>
      </c>
      <c r="C86">
        <f>$B$2</f>
        <v/>
      </c>
      <c r="D86">
        <f>IF($B$1+1&gt;90,C86,(C86+IF($B$1+1&lt;=$B86,12*$B$7,-12*MAX(0,$B$6-IF($B$1+1&gt;=$B$23,$B$22,0))*(1+$B$4)^1))*IF(C86+IF($B$1+1&lt;=$B86,12*$B$7,-12*MAX(0,$B$6-IF($B$1+1&gt;=$B$23,$B$22,0))*(1+$B$4)^1)&gt;0,1+$B$3,1))</f>
        <v/>
      </c>
      <c r="E86">
        <f>IF($B$1+2&gt;90,D86,(D86+IF($B$1+2&lt;=$B86,12*$B$7,-12*MAX(0,$B$6-IF($B$1+2&gt;=$B$23,$B$22,0))*(1+$B$4)^2))*IF(D86+IF($B$1+2&lt;=$B86,12*$B$7,-12*MAX(0,$B$6-IF($B$1+2&gt;=$B$23,$B$22,0))*(1+$B$4)^2)&gt;0,1+$B$3,1))</f>
        <v/>
      </c>
      <c r="F86">
        <f>IF($B$1+3&gt;90,E86,(E86+IF($B$1+3&lt;=$B86,12*$B$7,-12*MAX(0,$B$6-IF($B$1+3&gt;=$B$23,$B$22,0))*(1+$B$4)^3))*IF(E86+IF($B$1+3&lt;=$B86,12*$B$7,-12*MAX(0,$B$6-IF($B$1+3&gt;=$B$23,$B$22,0))*(1+$B$4)^3)&gt;0,1+$B$3,1))</f>
        <v/>
      </c>
      <c r="G86">
        <f>IF($B$1+4&gt;90,F86,(F86+IF($B$1+4&lt;=$B86,12*$B$7,-12*MAX(0,$B$6-IF($B$1+4&gt;=$B$23,$B$22,0))*(1+$B$4)^4))*IF(F86+IF($B$1+4&lt;=$B86,12*$B$7,-12*MAX(0,$B$6-IF($B$1+4&gt;=$B$23,$B$22,0))*(1+$B$4)^4)&gt;0,1+$B$3,1))</f>
        <v/>
      </c>
      <c r="H86">
        <f>IF($B$1+5&gt;90,G86,(G86+IF($B$1+5&lt;=$B86,12*$B$7,-12*MAX(0,$B$6-IF($B$1+5&gt;=$B$23,$B$22,0))*(1+$B$4)^5))*IF(G86+IF($B$1+5&lt;=$B86,12*$B$7,-12*MAX(0,$B$6-IF($B$1+5&gt;=$B$23,$B$22,0))*(1+$B$4)^5)&gt;0,1+$B$3,1))</f>
        <v/>
      </c>
      <c r="I86">
        <f>IF($B$1+6&gt;90,H86,(H86+IF($B$1+6&lt;=$B86,12*$B$7,-12*MAX(0,$B$6-IF($B$1+6&gt;=$B$23,$B$22,0))*(1+$B$4)^6))*IF(H86+IF($B$1+6&lt;=$B86,12*$B$7,-12*MAX(0,$B$6-IF($B$1+6&gt;=$B$23,$B$22,0))*(1+$B$4)^6)&gt;0,1+$B$3,1))</f>
        <v/>
      </c>
      <c r="J86">
        <f>IF($B$1+7&gt;90,I86,(I86+IF($B$1+7&lt;=$B86,12*$B$7,-12*MAX(0,$B$6-IF($B$1+7&gt;=$B$23,$B$22,0))*(1+$B$4)^7))*IF(I86+IF($B$1+7&lt;=$B86,12*$B$7,-12*MAX(0,$B$6-IF($B$1+7&gt;=$B$23,$B$22,0))*(1+$B$4)^7)&gt;0,1+$B$3,1))</f>
        <v/>
      </c>
      <c r="K86">
        <f>IF($B$1+8&gt;90,J86,(J86+IF($B$1+8&lt;=$B86,12*$B$7,-12*MAX(0,$B$6-IF($B$1+8&gt;=$B$23,$B$22,0))*(1+$B$4)^8))*IF(J86+IF($B$1+8&lt;=$B86,12*$B$7,-12*MAX(0,$B$6-IF($B$1+8&gt;=$B$23,$B$22,0))*(1+$B$4)^8)&gt;0,1+$B$3,1))</f>
        <v/>
      </c>
      <c r="L86">
        <f>IF($B$1+9&gt;90,K86,(K86+IF($B$1+9&lt;=$B86,12*$B$7,-12*MAX(0,$B$6-IF($B$1+9&gt;=$B$23,$B$22,0))*(1+$B$4)^9))*IF(K86+IF($B$1+9&lt;=$B86,12*$B$7,-12*MAX(0,$B$6-IF($B$1+9&gt;=$B$23,$B$22,0))*(1+$B$4)^9)&gt;0,1+$B$3,1))</f>
        <v/>
      </c>
      <c r="M86">
        <f>IF($B$1+10&gt;90,L86,(L86+IF($B$1+10&lt;=$B86,12*$B$7,-12*MAX(0,$B$6-IF($B$1+10&gt;=$B$23,$B$22,0))*(1+$B$4)^10))*IF(L86+IF($B$1+10&lt;=$B86,12*$B$7,-12*MAX(0,$B$6-IF($B$1+10&gt;=$B$23,$B$22,0))*(1+$B$4)^10)&gt;0,1+$B$3,1))</f>
        <v/>
      </c>
      <c r="N86">
        <f>IF($B$1+11&gt;90,M86,(M86+IF($B$1+11&lt;=$B86,12*$B$7,-12*MAX(0,$B$6-IF($B$1+11&gt;=$B$23,$B$22,0))*(1+$B$4)^11))*IF(M86+IF($B$1+11&lt;=$B86,12*$B$7,-12*MAX(0,$B$6-IF($B$1+11&gt;=$B$23,$B$22,0))*(1+$B$4)^11)&gt;0,1+$B$3,1))</f>
        <v/>
      </c>
      <c r="O86">
        <f>IF($B$1+12&gt;90,N86,(N86+IF($B$1+12&lt;=$B86,12*$B$7,-12*MAX(0,$B$6-IF($B$1+12&gt;=$B$23,$B$22,0))*(1+$B$4)^12))*IF(N86+IF($B$1+12&lt;=$B86,12*$B$7,-12*MAX(0,$B$6-IF($B$1+12&gt;=$B$23,$B$22,0))*(1+$B$4)^12)&gt;0,1+$B$3,1))</f>
        <v/>
      </c>
      <c r="P86">
        <f>IF($B$1+13&gt;90,O86,(O86+IF($B$1+13&lt;=$B86,12*$B$7,-12*MAX(0,$B$6-IF($B$1+13&gt;=$B$23,$B$22,0))*(1+$B$4)^13))*IF(O86+IF($B$1+13&lt;=$B86,12*$B$7,-12*MAX(0,$B$6-IF($B$1+13&gt;=$B$23,$B$22,0))*(1+$B$4)^13)&gt;0,1+$B$3,1))</f>
        <v/>
      </c>
      <c r="Q86">
        <f>IF($B$1+14&gt;90,P86,(P86+IF($B$1+14&lt;=$B86,12*$B$7,-12*MAX(0,$B$6-IF($B$1+14&gt;=$B$23,$B$22,0))*(1+$B$4)^14))*IF(P86+IF($B$1+14&lt;=$B86,12*$B$7,-12*MAX(0,$B$6-IF($B$1+14&gt;=$B$23,$B$22,0))*(1+$B$4)^14)&gt;0,1+$B$3,1))</f>
        <v/>
      </c>
      <c r="R86">
        <f>IF($B$1+15&gt;90,Q86,(Q86+IF($B$1+15&lt;=$B86,12*$B$7,-12*MAX(0,$B$6-IF($B$1+15&gt;=$B$23,$B$22,0))*(1+$B$4)^15))*IF(Q86+IF($B$1+15&lt;=$B86,12*$B$7,-12*MAX(0,$B$6-IF($B$1+15&gt;=$B$23,$B$22,0))*(1+$B$4)^15)&gt;0,1+$B$3,1))</f>
        <v/>
      </c>
      <c r="S86">
        <f>IF($B$1+16&gt;90,R86,(R86+IF($B$1+16&lt;=$B86,12*$B$7,-12*MAX(0,$B$6-IF($B$1+16&gt;=$B$23,$B$22,0))*(1+$B$4)^16))*IF(R86+IF($B$1+16&lt;=$B86,12*$B$7,-12*MAX(0,$B$6-IF($B$1+16&gt;=$B$23,$B$22,0))*(1+$B$4)^16)&gt;0,1+$B$3,1))</f>
        <v/>
      </c>
      <c r="T86">
        <f>IF($B$1+17&gt;90,S86,(S86+IF($B$1+17&lt;=$B86,12*$B$7,-12*MAX(0,$B$6-IF($B$1+17&gt;=$B$23,$B$22,0))*(1+$B$4)^17))*IF(S86+IF($B$1+17&lt;=$B86,12*$B$7,-12*MAX(0,$B$6-IF($B$1+17&gt;=$B$23,$B$22,0))*(1+$B$4)^17)&gt;0,1+$B$3,1))</f>
        <v/>
      </c>
      <c r="U86">
        <f>IF($B$1+18&gt;90,T86,(T86+IF($B$1+18&lt;=$B86,12*$B$7,-12*MAX(0,$B$6-IF($B$1+18&gt;=$B$23,$B$22,0))*(1+$B$4)^18))*IF(T86+IF($B$1+18&lt;=$B86,12*$B$7,-12*MAX(0,$B$6-IF($B$1+18&gt;=$B$23,$B$22,0))*(1+$B$4)^18)&gt;0,1+$B$3,1))</f>
        <v/>
      </c>
      <c r="V86">
        <f>IF($B$1+19&gt;90,U86,(U86+IF($B$1+19&lt;=$B86,12*$B$7,-12*MAX(0,$B$6-IF($B$1+19&gt;=$B$23,$B$22,0))*(1+$B$4)^19))*IF(U86+IF($B$1+19&lt;=$B86,12*$B$7,-12*MAX(0,$B$6-IF($B$1+19&gt;=$B$23,$B$22,0))*(1+$B$4)^19)&gt;0,1+$B$3,1))</f>
        <v/>
      </c>
      <c r="W86">
        <f>IF($B$1+20&gt;90,V86,(V86+IF($B$1+20&lt;=$B86,12*$B$7,-12*MAX(0,$B$6-IF($B$1+20&gt;=$B$23,$B$22,0))*(1+$B$4)^20))*IF(V86+IF($B$1+20&lt;=$B86,12*$B$7,-12*MAX(0,$B$6-IF($B$1+20&gt;=$B$23,$B$22,0))*(1+$B$4)^20)&gt;0,1+$B$3,1))</f>
        <v/>
      </c>
      <c r="X86">
        <f>IF($B$1+21&gt;90,W86,(W86+IF($B$1+21&lt;=$B86,12*$B$7,-12*MAX(0,$B$6-IF($B$1+21&gt;=$B$23,$B$22,0))*(1+$B$4)^21))*IF(W86+IF($B$1+21&lt;=$B86,12*$B$7,-12*MAX(0,$B$6-IF($B$1+21&gt;=$B$23,$B$22,0))*(1+$B$4)^21)&gt;0,1+$B$3,1))</f>
        <v/>
      </c>
      <c r="Y86">
        <f>IF($B$1+22&gt;90,X86,(X86+IF($B$1+22&lt;=$B86,12*$B$7,-12*MAX(0,$B$6-IF($B$1+22&gt;=$B$23,$B$22,0))*(1+$B$4)^22))*IF(X86+IF($B$1+22&lt;=$B86,12*$B$7,-12*MAX(0,$B$6-IF($B$1+22&gt;=$B$23,$B$22,0))*(1+$B$4)^22)&gt;0,1+$B$3,1))</f>
        <v/>
      </c>
      <c r="Z86">
        <f>IF($B$1+23&gt;90,Y86,(Y86+IF($B$1+23&lt;=$B86,12*$B$7,-12*MAX(0,$B$6-IF($B$1+23&gt;=$B$23,$B$22,0))*(1+$B$4)^23))*IF(Y86+IF($B$1+23&lt;=$B86,12*$B$7,-12*MAX(0,$B$6-IF($B$1+23&gt;=$B$23,$B$22,0))*(1+$B$4)^23)&gt;0,1+$B$3,1))</f>
        <v/>
      </c>
      <c r="AA86">
        <f>IF($B$1+24&gt;90,Z86,(Z86+IF($B$1+24&lt;=$B86,12*$B$7,-12*MAX(0,$B$6-IF($B$1+24&gt;=$B$23,$B$22,0))*(1+$B$4)^24))*IF(Z86+IF($B$1+24&lt;=$B86,12*$B$7,-12*MAX(0,$B$6-IF($B$1+24&gt;=$B$23,$B$22,0))*(1+$B$4)^24)&gt;0,1+$B$3,1))</f>
        <v/>
      </c>
      <c r="AB86">
        <f>IF($B$1+25&gt;90,AA86,(AA86+IF($B$1+25&lt;=$B86,12*$B$7,-12*MAX(0,$B$6-IF($B$1+25&gt;=$B$23,$B$22,0))*(1+$B$4)^25))*IF(AA86+IF($B$1+25&lt;=$B86,12*$B$7,-12*MAX(0,$B$6-IF($B$1+25&gt;=$B$23,$B$22,0))*(1+$B$4)^25)&gt;0,1+$B$3,1))</f>
        <v/>
      </c>
      <c r="AC86">
        <f>IF($B$1+26&gt;90,AB86,(AB86+IF($B$1+26&lt;=$B86,12*$B$7,-12*MAX(0,$B$6-IF($B$1+26&gt;=$B$23,$B$22,0))*(1+$B$4)^26))*IF(AB86+IF($B$1+26&lt;=$B86,12*$B$7,-12*MAX(0,$B$6-IF($B$1+26&gt;=$B$23,$B$22,0))*(1+$B$4)^26)&gt;0,1+$B$3,1))</f>
        <v/>
      </c>
      <c r="AD86">
        <f>IF($B$1+27&gt;90,AC86,(AC86+IF($B$1+27&lt;=$B86,12*$B$7,-12*MAX(0,$B$6-IF($B$1+27&gt;=$B$23,$B$22,0))*(1+$B$4)^27))*IF(AC86+IF($B$1+27&lt;=$B86,12*$B$7,-12*MAX(0,$B$6-IF($B$1+27&gt;=$B$23,$B$22,0))*(1+$B$4)^27)&gt;0,1+$B$3,1))</f>
        <v/>
      </c>
      <c r="AE86">
        <f>IF($B$1+28&gt;90,AD86,(AD86+IF($B$1+28&lt;=$B86,12*$B$7,-12*MAX(0,$B$6-IF($B$1+28&gt;=$B$23,$B$22,0))*(1+$B$4)^28))*IF(AD86+IF($B$1+28&lt;=$B86,12*$B$7,-12*MAX(0,$B$6-IF($B$1+28&gt;=$B$23,$B$22,0))*(1+$B$4)^28)&gt;0,1+$B$3,1))</f>
        <v/>
      </c>
      <c r="AF86">
        <f>IF($B$1+29&gt;90,AE86,(AE86+IF($B$1+29&lt;=$B86,12*$B$7,-12*MAX(0,$B$6-IF($B$1+29&gt;=$B$23,$B$22,0))*(1+$B$4)^29))*IF(AE86+IF($B$1+29&lt;=$B86,12*$B$7,-12*MAX(0,$B$6-IF($B$1+29&gt;=$B$23,$B$22,0))*(1+$B$4)^29)&gt;0,1+$B$3,1))</f>
        <v/>
      </c>
      <c r="AG86">
        <f>IF($B$1+30&gt;90,AF86,(AF86+IF($B$1+30&lt;=$B86,12*$B$7,-12*MAX(0,$B$6-IF($B$1+30&gt;=$B$23,$B$22,0))*(1+$B$4)^30))*IF(AF86+IF($B$1+30&lt;=$B86,12*$B$7,-12*MAX(0,$B$6-IF($B$1+30&gt;=$B$23,$B$22,0))*(1+$B$4)^30)&gt;0,1+$B$3,1))</f>
        <v/>
      </c>
      <c r="AH86">
        <f>IF($B$1+31&gt;90,AG86,(AG86+IF($B$1+31&lt;=$B86,12*$B$7,-12*MAX(0,$B$6-IF($B$1+31&gt;=$B$23,$B$22,0))*(1+$B$4)^31))*IF(AG86+IF($B$1+31&lt;=$B86,12*$B$7,-12*MAX(0,$B$6-IF($B$1+31&gt;=$B$23,$B$22,0))*(1+$B$4)^31)&gt;0,1+$B$3,1))</f>
        <v/>
      </c>
      <c r="AI86">
        <f>IF($B$1+32&gt;90,AH86,(AH86+IF($B$1+32&lt;=$B86,12*$B$7,-12*MAX(0,$B$6-IF($B$1+32&gt;=$B$23,$B$22,0))*(1+$B$4)^32))*IF(AH86+IF($B$1+32&lt;=$B86,12*$B$7,-12*MAX(0,$B$6-IF($B$1+32&gt;=$B$23,$B$22,0))*(1+$B$4)^32)&gt;0,1+$B$3,1))</f>
        <v/>
      </c>
      <c r="AJ86">
        <f>IF($B$1+33&gt;90,AI86,(AI86+IF($B$1+33&lt;=$B86,12*$B$7,-12*MAX(0,$B$6-IF($B$1+33&gt;=$B$23,$B$22,0))*(1+$B$4)^33))*IF(AI86+IF($B$1+33&lt;=$B86,12*$B$7,-12*MAX(0,$B$6-IF($B$1+33&gt;=$B$23,$B$22,0))*(1+$B$4)^33)&gt;0,1+$B$3,1))</f>
        <v/>
      </c>
      <c r="AK86">
        <f>IF($B$1+34&gt;90,AJ86,(AJ86+IF($B$1+34&lt;=$B86,12*$B$7,-12*MAX(0,$B$6-IF($B$1+34&gt;=$B$23,$B$22,0))*(1+$B$4)^34))*IF(AJ86+IF($B$1+34&lt;=$B86,12*$B$7,-12*MAX(0,$B$6-IF($B$1+34&gt;=$B$23,$B$22,0))*(1+$B$4)^34)&gt;0,1+$B$3,1))</f>
        <v/>
      </c>
      <c r="AL86">
        <f>IF($B$1+35&gt;90,AK86,(AK86+IF($B$1+35&lt;=$B86,12*$B$7,-12*MAX(0,$B$6-IF($B$1+35&gt;=$B$23,$B$22,0))*(1+$B$4)^35))*IF(AK86+IF($B$1+35&lt;=$B86,12*$B$7,-12*MAX(0,$B$6-IF($B$1+35&gt;=$B$23,$B$22,0))*(1+$B$4)^35)&gt;0,1+$B$3,1))</f>
        <v/>
      </c>
      <c r="AM86">
        <f>IF($B$1+36&gt;90,AL86,(AL86+IF($B$1+36&lt;=$B86,12*$B$7,-12*MAX(0,$B$6-IF($B$1+36&gt;=$B$23,$B$22,0))*(1+$B$4)^36))*IF(AL86+IF($B$1+36&lt;=$B86,12*$B$7,-12*MAX(0,$B$6-IF($B$1+36&gt;=$B$23,$B$22,0))*(1+$B$4)^36)&gt;0,1+$B$3,1))</f>
        <v/>
      </c>
      <c r="AN86">
        <f>IF($B$1+37&gt;90,AM86,(AM86+IF($B$1+37&lt;=$B86,12*$B$7,-12*MAX(0,$B$6-IF($B$1+37&gt;=$B$23,$B$22,0))*(1+$B$4)^37))*IF(AM86+IF($B$1+37&lt;=$B86,12*$B$7,-12*MAX(0,$B$6-IF($B$1+37&gt;=$B$23,$B$22,0))*(1+$B$4)^37)&gt;0,1+$B$3,1))</f>
        <v/>
      </c>
      <c r="AO86">
        <f>IF($B$1+38&gt;90,AN86,(AN86+IF($B$1+38&lt;=$B86,12*$B$7,-12*MAX(0,$B$6-IF($B$1+38&gt;=$B$23,$B$22,0))*(1+$B$4)^38))*IF(AN86+IF($B$1+38&lt;=$B86,12*$B$7,-12*MAX(0,$B$6-IF($B$1+38&gt;=$B$23,$B$22,0))*(1+$B$4)^38)&gt;0,1+$B$3,1))</f>
        <v/>
      </c>
      <c r="AP86">
        <f>IF($B$1+39&gt;90,AO86,(AO86+IF($B$1+39&lt;=$B86,12*$B$7,-12*MAX(0,$B$6-IF($B$1+39&gt;=$B$23,$B$22,0))*(1+$B$4)^39))*IF(AO86+IF($B$1+39&lt;=$B86,12*$B$7,-12*MAX(0,$B$6-IF($B$1+39&gt;=$B$23,$B$22,0))*(1+$B$4)^39)&gt;0,1+$B$3,1))</f>
        <v/>
      </c>
      <c r="AQ86">
        <f>IF($B$1+40&gt;90,AP86,(AP86+IF($B$1+40&lt;=$B86,12*$B$7,-12*MAX(0,$B$6-IF($B$1+40&gt;=$B$23,$B$22,0))*(1+$B$4)^40))*IF(AP86+IF($B$1+40&lt;=$B86,12*$B$7,-12*MAX(0,$B$6-IF($B$1+40&gt;=$B$23,$B$22,0))*(1+$B$4)^40)&gt;0,1+$B$3,1))</f>
        <v/>
      </c>
      <c r="AR86">
        <f>IF($B$1+41&gt;90,AQ86,(AQ86+IF($B$1+41&lt;=$B86,12*$B$7,-12*MAX(0,$B$6-IF($B$1+41&gt;=$B$23,$B$22,0))*(1+$B$4)^41))*IF(AQ86+IF($B$1+41&lt;=$B86,12*$B$7,-12*MAX(0,$B$6-IF($B$1+41&gt;=$B$23,$B$22,0))*(1+$B$4)^41)&gt;0,1+$B$3,1))</f>
        <v/>
      </c>
      <c r="AS86">
        <f>IF($B$1+42&gt;90,AR86,(AR86+IF($B$1+42&lt;=$B86,12*$B$7,-12*MAX(0,$B$6-IF($B$1+42&gt;=$B$23,$B$22,0))*(1+$B$4)^42))*IF(AR86+IF($B$1+42&lt;=$B86,12*$B$7,-12*MAX(0,$B$6-IF($B$1+42&gt;=$B$23,$B$22,0))*(1+$B$4)^42)&gt;0,1+$B$3,1))</f>
        <v/>
      </c>
      <c r="AT86">
        <f>IF($B$1+43&gt;90,AS86,(AS86+IF($B$1+43&lt;=$B86,12*$B$7,-12*MAX(0,$B$6-IF($B$1+43&gt;=$B$23,$B$22,0))*(1+$B$4)^43))*IF(AS86+IF($B$1+43&lt;=$B86,12*$B$7,-12*MAX(0,$B$6-IF($B$1+43&gt;=$B$23,$B$22,0))*(1+$B$4)^43)&gt;0,1+$B$3,1))</f>
        <v/>
      </c>
      <c r="AU86">
        <f>IF($B$1+44&gt;90,AT86,(AT86+IF($B$1+44&lt;=$B86,12*$B$7,-12*MAX(0,$B$6-IF($B$1+44&gt;=$B$23,$B$22,0))*(1+$B$4)^44))*IF(AT86+IF($B$1+44&lt;=$B86,12*$B$7,-12*MAX(0,$B$6-IF($B$1+44&gt;=$B$23,$B$22,0))*(1+$B$4)^44)&gt;0,1+$B$3,1))</f>
        <v/>
      </c>
      <c r="AV86">
        <f>IF($B$1+45&gt;90,AU86,(AU86+IF($B$1+45&lt;=$B86,12*$B$7,-12*MAX(0,$B$6-IF($B$1+45&gt;=$B$23,$B$22,0))*(1+$B$4)^45))*IF(AU86+IF($B$1+45&lt;=$B86,12*$B$7,-12*MAX(0,$B$6-IF($B$1+45&gt;=$B$23,$B$22,0))*(1+$B$4)^45)&gt;0,1+$B$3,1))</f>
        <v/>
      </c>
      <c r="AW86">
        <f>IF($B$1+46&gt;90,AV86,(AV86+IF($B$1+46&lt;=$B86,12*$B$7,-12*MAX(0,$B$6-IF($B$1+46&gt;=$B$23,$B$22,0))*(1+$B$4)^46))*IF(AV86+IF($B$1+46&lt;=$B86,12*$B$7,-12*MAX(0,$B$6-IF($B$1+46&gt;=$B$23,$B$22,0))*(1+$B$4)^46)&gt;0,1+$B$3,1))</f>
        <v/>
      </c>
      <c r="AX86">
        <f>IF($B$1+47&gt;90,AW86,(AW86+IF($B$1+47&lt;=$B86,12*$B$7,-12*MAX(0,$B$6-IF($B$1+47&gt;=$B$23,$B$22,0))*(1+$B$4)^47))*IF(AW86+IF($B$1+47&lt;=$B86,12*$B$7,-12*MAX(0,$B$6-IF($B$1+47&gt;=$B$23,$B$22,0))*(1+$B$4)^47)&gt;0,1+$B$3,1))</f>
        <v/>
      </c>
      <c r="AY86">
        <f>IF($B$1+48&gt;90,AX86,(AX86+IF($B$1+48&lt;=$B86,12*$B$7,-12*MAX(0,$B$6-IF($B$1+48&gt;=$B$23,$B$22,0))*(1+$B$4)^48))*IF(AX86+IF($B$1+48&lt;=$B86,12*$B$7,-12*MAX(0,$B$6-IF($B$1+48&gt;=$B$23,$B$22,0))*(1+$B$4)^48)&gt;0,1+$B$3,1))</f>
        <v/>
      </c>
      <c r="AZ86">
        <f>IF($B$1+49&gt;90,AY86,(AY86+IF($B$1+49&lt;=$B86,12*$B$7,-12*MAX(0,$B$6-IF($B$1+49&gt;=$B$23,$B$22,0))*(1+$B$4)^49))*IF(AY86+IF($B$1+49&lt;=$B86,12*$B$7,-12*MAX(0,$B$6-IF($B$1+49&gt;=$B$23,$B$22,0))*(1+$B$4)^49)&gt;0,1+$B$3,1))</f>
        <v/>
      </c>
      <c r="BA86">
        <f>IF($B$1+50&gt;90,AZ86,(AZ86+IF($B$1+50&lt;=$B86,12*$B$7,-12*MAX(0,$B$6-IF($B$1+50&gt;=$B$23,$B$22,0))*(1+$B$4)^50))*IF(AZ86+IF($B$1+50&lt;=$B86,12*$B$7,-12*MAX(0,$B$6-IF($B$1+50&gt;=$B$23,$B$22,0))*(1+$B$4)^50)&gt;0,1+$B$3,1))</f>
        <v/>
      </c>
      <c r="BB86">
        <f>IF($B$1+51&gt;90,BA86,(BA86+IF($B$1+51&lt;=$B86,12*$B$7,-12*MAX(0,$B$6-IF($B$1+51&gt;=$B$23,$B$22,0))*(1+$B$4)^51))*IF(BA86+IF($B$1+51&lt;=$B86,12*$B$7,-12*MAX(0,$B$6-IF($B$1+51&gt;=$B$23,$B$22,0))*(1+$B$4)^51)&gt;0,1+$B$3,1))</f>
        <v/>
      </c>
      <c r="BC86">
        <f>IF($B$1+52&gt;90,BB86,(BB86+IF($B$1+52&lt;=$B86,12*$B$7,-12*MAX(0,$B$6-IF($B$1+52&gt;=$B$23,$B$22,0))*(1+$B$4)^52))*IF(BB86+IF($B$1+52&lt;=$B86,12*$B$7,-12*MAX(0,$B$6-IF($B$1+52&gt;=$B$23,$B$22,0))*(1+$B$4)^52)&gt;0,1+$B$3,1))</f>
        <v/>
      </c>
      <c r="BD86">
        <f>IF($B$1+53&gt;90,BC86,(BC86+IF($B$1+53&lt;=$B86,12*$B$7,-12*MAX(0,$B$6-IF($B$1+53&gt;=$B$23,$B$22,0))*(1+$B$4)^53))*IF(BC86+IF($B$1+53&lt;=$B86,12*$B$7,-12*MAX(0,$B$6-IF($B$1+53&gt;=$B$23,$B$22,0))*(1+$B$4)^53)&gt;0,1+$B$3,1))</f>
        <v/>
      </c>
      <c r="BE86">
        <f>IF($B$1+54&gt;90,BD86,(BD86+IF($B$1+54&lt;=$B86,12*$B$7,-12*MAX(0,$B$6-IF($B$1+54&gt;=$B$23,$B$22,0))*(1+$B$4)^54))*IF(BD86+IF($B$1+54&lt;=$B86,12*$B$7,-12*MAX(0,$B$6-IF($B$1+54&gt;=$B$23,$B$22,0))*(1+$B$4)^54)&gt;0,1+$B$3,1))</f>
        <v/>
      </c>
      <c r="BF86">
        <f>IF($B$1+55&gt;90,BE86,(BE86+IF($B$1+55&lt;=$B86,12*$B$7,-12*MAX(0,$B$6-IF($B$1+55&gt;=$B$23,$B$22,0))*(1+$B$4)^55))*IF(BE86+IF($B$1+55&lt;=$B86,12*$B$7,-12*MAX(0,$B$6-IF($B$1+55&gt;=$B$23,$B$22,0))*(1+$B$4)^55)&gt;0,1+$B$3,1))</f>
        <v/>
      </c>
      <c r="BG86">
        <f>IF($B$1+56&gt;90,BF86,(BF86+IF($B$1+56&lt;=$B86,12*$B$7,-12*MAX(0,$B$6-IF($B$1+56&gt;=$B$23,$B$22,0))*(1+$B$4)^56))*IF(BF86+IF($B$1+56&lt;=$B86,12*$B$7,-12*MAX(0,$B$6-IF($B$1+56&gt;=$B$23,$B$22,0))*(1+$B$4)^56)&gt;0,1+$B$3,1))</f>
        <v/>
      </c>
      <c r="BH86">
        <f>IF($B$1+57&gt;90,BG86,(BG86+IF($B$1+57&lt;=$B86,12*$B$7,-12*MAX(0,$B$6-IF($B$1+57&gt;=$B$23,$B$22,0))*(1+$B$4)^57))*IF(BG86+IF($B$1+57&lt;=$B86,12*$B$7,-12*MAX(0,$B$6-IF($B$1+57&gt;=$B$23,$B$22,0))*(1+$B$4)^57)&gt;0,1+$B$3,1))</f>
        <v/>
      </c>
      <c r="BI86">
        <f>IF($B$1+58&gt;90,BH86,(BH86+IF($B$1+58&lt;=$B86,12*$B$7,-12*MAX(0,$B$6-IF($B$1+58&gt;=$B$23,$B$22,0))*(1+$B$4)^58))*IF(BH86+IF($B$1+58&lt;=$B86,12*$B$7,-12*MAX(0,$B$6-IF($B$1+58&gt;=$B$23,$B$22,0))*(1+$B$4)^58)&gt;0,1+$B$3,1))</f>
        <v/>
      </c>
      <c r="BJ86">
        <f>IF($B$1+59&gt;90,BI86,(BI86+IF($B$1+59&lt;=$B86,12*$B$7,-12*MAX(0,$B$6-IF($B$1+59&gt;=$B$23,$B$22,0))*(1+$B$4)^59))*IF(BI86+IF($B$1+59&lt;=$B86,12*$B$7,-12*MAX(0,$B$6-IF($B$1+59&gt;=$B$23,$B$22,0))*(1+$B$4)^59)&gt;0,1+$B$3,1))</f>
        <v/>
      </c>
      <c r="BK86">
        <f>IF($B$1+60&gt;90,BJ86,(BJ86+IF($B$1+60&lt;=$B86,12*$B$7,-12*MAX(0,$B$6-IF($B$1+60&gt;=$B$23,$B$22,0))*(1+$B$4)^60))*IF(BJ86+IF($B$1+60&lt;=$B86,12*$B$7,-12*MAX(0,$B$6-IF($B$1+60&gt;=$B$23,$B$22,0))*(1+$B$4)^60)&gt;0,1+$B$3,1))</f>
        <v/>
      </c>
      <c r="BL86">
        <f>IF($B$1+61&gt;90,BK86,(BK86+IF($B$1+61&lt;=$B86,12*$B$7,-12*MAX(0,$B$6-IF($B$1+61&gt;=$B$23,$B$22,0))*(1+$B$4)^61))*IF(BK86+IF($B$1+61&lt;=$B86,12*$B$7,-12*MAX(0,$B$6-IF($B$1+61&gt;=$B$23,$B$22,0))*(1+$B$4)^61)&gt;0,1+$B$3,1))</f>
        <v/>
      </c>
      <c r="BM86">
        <f>IF($B$1+62&gt;90,BL86,(BL86+IF($B$1+62&lt;=$B86,12*$B$7,-12*MAX(0,$B$6-IF($B$1+62&gt;=$B$23,$B$22,0))*(1+$B$4)^62))*IF(BL86+IF($B$1+62&lt;=$B86,12*$B$7,-12*MAX(0,$B$6-IF($B$1+62&gt;=$B$23,$B$22,0))*(1+$B$4)^62)&gt;0,1+$B$3,1))</f>
        <v/>
      </c>
      <c r="BN86">
        <f>IF($B$1+63&gt;90,BM86,(BM86+IF($B$1+63&lt;=$B86,12*$B$7,-12*MAX(0,$B$6-IF($B$1+63&gt;=$B$23,$B$22,0))*(1+$B$4)^63))*IF(BM86+IF($B$1+63&lt;=$B86,12*$B$7,-12*MAX(0,$B$6-IF($B$1+63&gt;=$B$23,$B$22,0))*(1+$B$4)^63)&gt;0,1+$B$3,1))</f>
        <v/>
      </c>
      <c r="BO86">
        <f>IF($B$1+64&gt;90,BN86,(BN86+IF($B$1+64&lt;=$B86,12*$B$7,-12*MAX(0,$B$6-IF($B$1+64&gt;=$B$23,$B$22,0))*(1+$B$4)^64))*IF(BN86+IF($B$1+64&lt;=$B86,12*$B$7,-12*MAX(0,$B$6-IF($B$1+64&gt;=$B$23,$B$22,0))*(1+$B$4)^64)&gt;0,1+$B$3,1))</f>
        <v/>
      </c>
      <c r="BP86">
        <f>IF($B$1+65&gt;90,BO86,(BO86+IF($B$1+65&lt;=$B86,12*$B$7,-12*MAX(0,$B$6-IF($B$1+65&gt;=$B$23,$B$22,0))*(1+$B$4)^65))*IF(BO86+IF($B$1+65&lt;=$B86,12*$B$7,-12*MAX(0,$B$6-IF($B$1+65&gt;=$B$23,$B$22,0))*(1+$B$4)^65)&gt;0,1+$B$3,1))</f>
        <v/>
      </c>
      <c r="BQ86">
        <f>IF($B$1+66&gt;90,BP86,(BP86+IF($B$1+66&lt;=$B86,12*$B$7,-12*MAX(0,$B$6-IF($B$1+66&gt;=$B$23,$B$22,0))*(1+$B$4)^66))*IF(BP86+IF($B$1+66&lt;=$B86,12*$B$7,-12*MAX(0,$B$6-IF($B$1+66&gt;=$B$23,$B$22,0))*(1+$B$4)^66)&gt;0,1+$B$3,1))</f>
        <v/>
      </c>
      <c r="BR86">
        <f>IF($B$1+67&gt;90,BQ86,(BQ86+IF($B$1+67&lt;=$B86,12*$B$7,-12*MAX(0,$B$6-IF($B$1+67&gt;=$B$23,$B$22,0))*(1+$B$4)^67))*IF(BQ86+IF($B$1+67&lt;=$B86,12*$B$7,-12*MAX(0,$B$6-IF($B$1+67&gt;=$B$23,$B$22,0))*(1+$B$4)^67)&gt;0,1+$B$3,1))</f>
        <v/>
      </c>
      <c r="BS86">
        <f>IF($B$1+68&gt;90,BR86,(BR86+IF($B$1+68&lt;=$B86,12*$B$7,-12*MAX(0,$B$6-IF($B$1+68&gt;=$B$23,$B$22,0))*(1+$B$4)^68))*IF(BR86+IF($B$1+68&lt;=$B86,12*$B$7,-12*MAX(0,$B$6-IF($B$1+68&gt;=$B$23,$B$22,0))*(1+$B$4)^68)&gt;0,1+$B$3,1))</f>
        <v/>
      </c>
      <c r="BT86">
        <f>IF($B$1+69&gt;90,BS86,(BS86+IF($B$1+69&lt;=$B86,12*$B$7,-12*MAX(0,$B$6-IF($B$1+69&gt;=$B$23,$B$22,0))*(1+$B$4)^69))*IF(BS86+IF($B$1+69&lt;=$B86,12*$B$7,-12*MAX(0,$B$6-IF($B$1+69&gt;=$B$23,$B$22,0))*(1+$B$4)^69)&gt;0,1+$B$3,1))</f>
        <v/>
      </c>
      <c r="BU86">
        <f>IF($B$1+70&gt;90,BT86,(BT86+IF($B$1+70&lt;=$B86,12*$B$7,-12*MAX(0,$B$6-IF($B$1+70&gt;=$B$23,$B$22,0))*(1+$B$4)^70))*IF(BT86+IF($B$1+70&lt;=$B86,12*$B$7,-12*MAX(0,$B$6-IF($B$1+70&gt;=$B$23,$B$22,0))*(1+$B$4)^70)&gt;0,1+$B$3,1))</f>
        <v/>
      </c>
      <c r="BV86">
        <f>BU86</f>
        <v/>
      </c>
      <c r="BW86">
        <f>IF(AND($B86&lt;=70,BV86&gt;0),$B86,999)</f>
        <v/>
      </c>
      <c r="CH86">
        <f>IF(ISTEXT('월 가계부'!A86),SUBSTITUTE(SUBSTITUTE(SUBSTITUTE(SUBSTITUTE(SUBSTITUTE(SUBSTITUTE(SUBSTITUTE(SUBSTITUTE(SUBSTITUTE(TRIM('월 가계부'!A86),"년","-"),"월","-"),"일",""),".","-"),"/","-")," ","-"),"--","-"),"--","-"),"--","-")&amp;"-","")</f>
        <v/>
      </c>
      <c r="CI86">
        <f>IFERROR(IF('월 가계부'!A86="","",IF(ISNUMBER('월 가계부'!A86),IF(AND('월 가계부'!A86&gt;=19000101,'월 가계부'!A86&lt;=21001231),IF(AND(MOD(INT('월 가계부'!A86/100),100)&gt;=1,MOD(INT('월 가계부'!A86/100),100)&lt;=12,MOD(INT('월 가계부'!A86),100)&gt;=1,MOD(INT('월 가계부'!A86),100)&lt;=31),IF(MONTH(DATE(INT('월 가계부'!A86/10000),MOD(INT('월 가계부'!A86/100),100),MOD(INT('월 가계부'!A86),100)))=MOD(INT('월 가계부'!A86/100),100),DATE(INT('월 가계부'!A86/10000),MOD(INT('월 가계부'!A86/100),100),MOD(INT('월 가계부'!A86),100)),""),""),IF(AND('월 가계부'!A86&gt;=36526,'월 가계부'!A86&lt;73051),INT('월 가계부'!A86),"")),IF(OR(CM86="",CN86="",CO86=""),"",IF(AND(CM86&gt;=2000,CM86&lt;=2099,CN86&gt;=1,CN86&lt;=12,CO86&gt;=1,CO86&lt;=31),IF(MONTH(DATE(CM86,CN86,CO86))=CN86,DATE(CM86,CN86,CO86),""),"")))),"")</f>
        <v/>
      </c>
      <c r="CJ86">
        <f>IFERROR(IF('월 가계부'!C86="","",IF(ISNUMBER('월 가계부'!C86),'월 가계부'!C86,VALUE(SUBSTITUTE(SUBSTITUTE(SUBSTITUTE(SUBSTITUTE(TRIM('월 가계부'!C86),",",""),"원","")," ",""),"−","-")))),"")</f>
        <v/>
      </c>
      <c r="CK86">
        <f>IF(ISNUMBER(CI86),IF(CI86&lt;$B$13,CI86,""),"")</f>
        <v/>
      </c>
      <c r="CM86">
        <f>IF(CH86="","",IFERROR(IF(IF(AND(LEN(CH86)=9,ISERROR(FIND("-",LEFT(CH86,8))),ISNUMBER(-LEFT(CH86,8))),VALUE(LEFT(CH86,4)),VALUE(LEFT(CH86,FIND("-",CH86)-1)))&lt;100,IF(AND(LEN(CH86)=9,ISERROR(FIND("-",LEFT(CH86,8))),ISNUMBER(-LEFT(CH86,8))),VALUE(LEFT(CH86,4)),VALUE(LEFT(CH86,FIND("-",CH86)-1)))+2000,IF(AND(LEN(CH86)=9,ISERROR(FIND("-",LEFT(CH86,8))),ISNUMBER(-LEFT(CH86,8))),VALUE(LEFT(CH86,4)),VALUE(LEFT(CH86,FIND("-",CH86)-1)))),""))</f>
        <v/>
      </c>
      <c r="CN86">
        <f>IF(CH86="","",IFERROR(IF(AND(LEN(CH86)=9,ISERROR(FIND("-",LEFT(CH86,8))),ISNUMBER(-LEFT(CH86,8))),VALUE(MID(CH86,5,2)),VALUE(MID(CH86,FIND("-",CH86)+1,FIND("-",CH86,FIND("-",CH86)+1)-FIND("-",CH86)-1))),""))</f>
        <v/>
      </c>
      <c r="CO86">
        <f>IF(CH86="","",IFERROR(IF(AND(LEN(CH86)=9,ISERROR(FIND("-",LEFT(CH86,8))),ISNUMBER(-LEFT(CH86,8))),VALUE(MID(CH86,7,2)),VALUE(MID(CH86,FIND("-",CH86,FIND("-",CH86)+1)+1,FIND("-",CH86,FIND("-",CH86,FIND("-",CH86)+1)+1)-FIND("-",CH86,FIND("-",CH86)+1)-1))),""))</f>
        <v/>
      </c>
    </row>
    <row r="87">
      <c r="A87" t="n">
        <v>47</v>
      </c>
      <c r="B87">
        <f>$B$1+47</f>
        <v/>
      </c>
      <c r="C87">
        <f>$B$2</f>
        <v/>
      </c>
      <c r="D87">
        <f>IF($B$1+1&gt;90,C87,(C87+IF($B$1+1&lt;=$B87,12*$B$7,-12*MAX(0,$B$6-IF($B$1+1&gt;=$B$23,$B$22,0))*(1+$B$4)^1))*IF(C87+IF($B$1+1&lt;=$B87,12*$B$7,-12*MAX(0,$B$6-IF($B$1+1&gt;=$B$23,$B$22,0))*(1+$B$4)^1)&gt;0,1+$B$3,1))</f>
        <v/>
      </c>
      <c r="E87">
        <f>IF($B$1+2&gt;90,D87,(D87+IF($B$1+2&lt;=$B87,12*$B$7,-12*MAX(0,$B$6-IF($B$1+2&gt;=$B$23,$B$22,0))*(1+$B$4)^2))*IF(D87+IF($B$1+2&lt;=$B87,12*$B$7,-12*MAX(0,$B$6-IF($B$1+2&gt;=$B$23,$B$22,0))*(1+$B$4)^2)&gt;0,1+$B$3,1))</f>
        <v/>
      </c>
      <c r="F87">
        <f>IF($B$1+3&gt;90,E87,(E87+IF($B$1+3&lt;=$B87,12*$B$7,-12*MAX(0,$B$6-IF($B$1+3&gt;=$B$23,$B$22,0))*(1+$B$4)^3))*IF(E87+IF($B$1+3&lt;=$B87,12*$B$7,-12*MAX(0,$B$6-IF($B$1+3&gt;=$B$23,$B$22,0))*(1+$B$4)^3)&gt;0,1+$B$3,1))</f>
        <v/>
      </c>
      <c r="G87">
        <f>IF($B$1+4&gt;90,F87,(F87+IF($B$1+4&lt;=$B87,12*$B$7,-12*MAX(0,$B$6-IF($B$1+4&gt;=$B$23,$B$22,0))*(1+$B$4)^4))*IF(F87+IF($B$1+4&lt;=$B87,12*$B$7,-12*MAX(0,$B$6-IF($B$1+4&gt;=$B$23,$B$22,0))*(1+$B$4)^4)&gt;0,1+$B$3,1))</f>
        <v/>
      </c>
      <c r="H87">
        <f>IF($B$1+5&gt;90,G87,(G87+IF($B$1+5&lt;=$B87,12*$B$7,-12*MAX(0,$B$6-IF($B$1+5&gt;=$B$23,$B$22,0))*(1+$B$4)^5))*IF(G87+IF($B$1+5&lt;=$B87,12*$B$7,-12*MAX(0,$B$6-IF($B$1+5&gt;=$B$23,$B$22,0))*(1+$B$4)^5)&gt;0,1+$B$3,1))</f>
        <v/>
      </c>
      <c r="I87">
        <f>IF($B$1+6&gt;90,H87,(H87+IF($B$1+6&lt;=$B87,12*$B$7,-12*MAX(0,$B$6-IF($B$1+6&gt;=$B$23,$B$22,0))*(1+$B$4)^6))*IF(H87+IF($B$1+6&lt;=$B87,12*$B$7,-12*MAX(0,$B$6-IF($B$1+6&gt;=$B$23,$B$22,0))*(1+$B$4)^6)&gt;0,1+$B$3,1))</f>
        <v/>
      </c>
      <c r="J87">
        <f>IF($B$1+7&gt;90,I87,(I87+IF($B$1+7&lt;=$B87,12*$B$7,-12*MAX(0,$B$6-IF($B$1+7&gt;=$B$23,$B$22,0))*(1+$B$4)^7))*IF(I87+IF($B$1+7&lt;=$B87,12*$B$7,-12*MAX(0,$B$6-IF($B$1+7&gt;=$B$23,$B$22,0))*(1+$B$4)^7)&gt;0,1+$B$3,1))</f>
        <v/>
      </c>
      <c r="K87">
        <f>IF($B$1+8&gt;90,J87,(J87+IF($B$1+8&lt;=$B87,12*$B$7,-12*MAX(0,$B$6-IF($B$1+8&gt;=$B$23,$B$22,0))*(1+$B$4)^8))*IF(J87+IF($B$1+8&lt;=$B87,12*$B$7,-12*MAX(0,$B$6-IF($B$1+8&gt;=$B$23,$B$22,0))*(1+$B$4)^8)&gt;0,1+$B$3,1))</f>
        <v/>
      </c>
      <c r="L87">
        <f>IF($B$1+9&gt;90,K87,(K87+IF($B$1+9&lt;=$B87,12*$B$7,-12*MAX(0,$B$6-IF($B$1+9&gt;=$B$23,$B$22,0))*(1+$B$4)^9))*IF(K87+IF($B$1+9&lt;=$B87,12*$B$7,-12*MAX(0,$B$6-IF($B$1+9&gt;=$B$23,$B$22,0))*(1+$B$4)^9)&gt;0,1+$B$3,1))</f>
        <v/>
      </c>
      <c r="M87">
        <f>IF($B$1+10&gt;90,L87,(L87+IF($B$1+10&lt;=$B87,12*$B$7,-12*MAX(0,$B$6-IF($B$1+10&gt;=$B$23,$B$22,0))*(1+$B$4)^10))*IF(L87+IF($B$1+10&lt;=$B87,12*$B$7,-12*MAX(0,$B$6-IF($B$1+10&gt;=$B$23,$B$22,0))*(1+$B$4)^10)&gt;0,1+$B$3,1))</f>
        <v/>
      </c>
      <c r="N87">
        <f>IF($B$1+11&gt;90,M87,(M87+IF($B$1+11&lt;=$B87,12*$B$7,-12*MAX(0,$B$6-IF($B$1+11&gt;=$B$23,$B$22,0))*(1+$B$4)^11))*IF(M87+IF($B$1+11&lt;=$B87,12*$B$7,-12*MAX(0,$B$6-IF($B$1+11&gt;=$B$23,$B$22,0))*(1+$B$4)^11)&gt;0,1+$B$3,1))</f>
        <v/>
      </c>
      <c r="O87">
        <f>IF($B$1+12&gt;90,N87,(N87+IF($B$1+12&lt;=$B87,12*$B$7,-12*MAX(0,$B$6-IF($B$1+12&gt;=$B$23,$B$22,0))*(1+$B$4)^12))*IF(N87+IF($B$1+12&lt;=$B87,12*$B$7,-12*MAX(0,$B$6-IF($B$1+12&gt;=$B$23,$B$22,0))*(1+$B$4)^12)&gt;0,1+$B$3,1))</f>
        <v/>
      </c>
      <c r="P87">
        <f>IF($B$1+13&gt;90,O87,(O87+IF($B$1+13&lt;=$B87,12*$B$7,-12*MAX(0,$B$6-IF($B$1+13&gt;=$B$23,$B$22,0))*(1+$B$4)^13))*IF(O87+IF($B$1+13&lt;=$B87,12*$B$7,-12*MAX(0,$B$6-IF($B$1+13&gt;=$B$23,$B$22,0))*(1+$B$4)^13)&gt;0,1+$B$3,1))</f>
        <v/>
      </c>
      <c r="Q87">
        <f>IF($B$1+14&gt;90,P87,(P87+IF($B$1+14&lt;=$B87,12*$B$7,-12*MAX(0,$B$6-IF($B$1+14&gt;=$B$23,$B$22,0))*(1+$B$4)^14))*IF(P87+IF($B$1+14&lt;=$B87,12*$B$7,-12*MAX(0,$B$6-IF($B$1+14&gt;=$B$23,$B$22,0))*(1+$B$4)^14)&gt;0,1+$B$3,1))</f>
        <v/>
      </c>
      <c r="R87">
        <f>IF($B$1+15&gt;90,Q87,(Q87+IF($B$1+15&lt;=$B87,12*$B$7,-12*MAX(0,$B$6-IF($B$1+15&gt;=$B$23,$B$22,0))*(1+$B$4)^15))*IF(Q87+IF($B$1+15&lt;=$B87,12*$B$7,-12*MAX(0,$B$6-IF($B$1+15&gt;=$B$23,$B$22,0))*(1+$B$4)^15)&gt;0,1+$B$3,1))</f>
        <v/>
      </c>
      <c r="S87">
        <f>IF($B$1+16&gt;90,R87,(R87+IF($B$1+16&lt;=$B87,12*$B$7,-12*MAX(0,$B$6-IF($B$1+16&gt;=$B$23,$B$22,0))*(1+$B$4)^16))*IF(R87+IF($B$1+16&lt;=$B87,12*$B$7,-12*MAX(0,$B$6-IF($B$1+16&gt;=$B$23,$B$22,0))*(1+$B$4)^16)&gt;0,1+$B$3,1))</f>
        <v/>
      </c>
      <c r="T87">
        <f>IF($B$1+17&gt;90,S87,(S87+IF($B$1+17&lt;=$B87,12*$B$7,-12*MAX(0,$B$6-IF($B$1+17&gt;=$B$23,$B$22,0))*(1+$B$4)^17))*IF(S87+IF($B$1+17&lt;=$B87,12*$B$7,-12*MAX(0,$B$6-IF($B$1+17&gt;=$B$23,$B$22,0))*(1+$B$4)^17)&gt;0,1+$B$3,1))</f>
        <v/>
      </c>
      <c r="U87">
        <f>IF($B$1+18&gt;90,T87,(T87+IF($B$1+18&lt;=$B87,12*$B$7,-12*MAX(0,$B$6-IF($B$1+18&gt;=$B$23,$B$22,0))*(1+$B$4)^18))*IF(T87+IF($B$1+18&lt;=$B87,12*$B$7,-12*MAX(0,$B$6-IF($B$1+18&gt;=$B$23,$B$22,0))*(1+$B$4)^18)&gt;0,1+$B$3,1))</f>
        <v/>
      </c>
      <c r="V87">
        <f>IF($B$1+19&gt;90,U87,(U87+IF($B$1+19&lt;=$B87,12*$B$7,-12*MAX(0,$B$6-IF($B$1+19&gt;=$B$23,$B$22,0))*(1+$B$4)^19))*IF(U87+IF($B$1+19&lt;=$B87,12*$B$7,-12*MAX(0,$B$6-IF($B$1+19&gt;=$B$23,$B$22,0))*(1+$B$4)^19)&gt;0,1+$B$3,1))</f>
        <v/>
      </c>
      <c r="W87">
        <f>IF($B$1+20&gt;90,V87,(V87+IF($B$1+20&lt;=$B87,12*$B$7,-12*MAX(0,$B$6-IF($B$1+20&gt;=$B$23,$B$22,0))*(1+$B$4)^20))*IF(V87+IF($B$1+20&lt;=$B87,12*$B$7,-12*MAX(0,$B$6-IF($B$1+20&gt;=$B$23,$B$22,0))*(1+$B$4)^20)&gt;0,1+$B$3,1))</f>
        <v/>
      </c>
      <c r="X87">
        <f>IF($B$1+21&gt;90,W87,(W87+IF($B$1+21&lt;=$B87,12*$B$7,-12*MAX(0,$B$6-IF($B$1+21&gt;=$B$23,$B$22,0))*(1+$B$4)^21))*IF(W87+IF($B$1+21&lt;=$B87,12*$B$7,-12*MAX(0,$B$6-IF($B$1+21&gt;=$B$23,$B$22,0))*(1+$B$4)^21)&gt;0,1+$B$3,1))</f>
        <v/>
      </c>
      <c r="Y87">
        <f>IF($B$1+22&gt;90,X87,(X87+IF($B$1+22&lt;=$B87,12*$B$7,-12*MAX(0,$B$6-IF($B$1+22&gt;=$B$23,$B$22,0))*(1+$B$4)^22))*IF(X87+IF($B$1+22&lt;=$B87,12*$B$7,-12*MAX(0,$B$6-IF($B$1+22&gt;=$B$23,$B$22,0))*(1+$B$4)^22)&gt;0,1+$B$3,1))</f>
        <v/>
      </c>
      <c r="Z87">
        <f>IF($B$1+23&gt;90,Y87,(Y87+IF($B$1+23&lt;=$B87,12*$B$7,-12*MAX(0,$B$6-IF($B$1+23&gt;=$B$23,$B$22,0))*(1+$B$4)^23))*IF(Y87+IF($B$1+23&lt;=$B87,12*$B$7,-12*MAX(0,$B$6-IF($B$1+23&gt;=$B$23,$B$22,0))*(1+$B$4)^23)&gt;0,1+$B$3,1))</f>
        <v/>
      </c>
      <c r="AA87">
        <f>IF($B$1+24&gt;90,Z87,(Z87+IF($B$1+24&lt;=$B87,12*$B$7,-12*MAX(0,$B$6-IF($B$1+24&gt;=$B$23,$B$22,0))*(1+$B$4)^24))*IF(Z87+IF($B$1+24&lt;=$B87,12*$B$7,-12*MAX(0,$B$6-IF($B$1+24&gt;=$B$23,$B$22,0))*(1+$B$4)^24)&gt;0,1+$B$3,1))</f>
        <v/>
      </c>
      <c r="AB87">
        <f>IF($B$1+25&gt;90,AA87,(AA87+IF($B$1+25&lt;=$B87,12*$B$7,-12*MAX(0,$B$6-IF($B$1+25&gt;=$B$23,$B$22,0))*(1+$B$4)^25))*IF(AA87+IF($B$1+25&lt;=$B87,12*$B$7,-12*MAX(0,$B$6-IF($B$1+25&gt;=$B$23,$B$22,0))*(1+$B$4)^25)&gt;0,1+$B$3,1))</f>
        <v/>
      </c>
      <c r="AC87">
        <f>IF($B$1+26&gt;90,AB87,(AB87+IF($B$1+26&lt;=$B87,12*$B$7,-12*MAX(0,$B$6-IF($B$1+26&gt;=$B$23,$B$22,0))*(1+$B$4)^26))*IF(AB87+IF($B$1+26&lt;=$B87,12*$B$7,-12*MAX(0,$B$6-IF($B$1+26&gt;=$B$23,$B$22,0))*(1+$B$4)^26)&gt;0,1+$B$3,1))</f>
        <v/>
      </c>
      <c r="AD87">
        <f>IF($B$1+27&gt;90,AC87,(AC87+IF($B$1+27&lt;=$B87,12*$B$7,-12*MAX(0,$B$6-IF($B$1+27&gt;=$B$23,$B$22,0))*(1+$B$4)^27))*IF(AC87+IF($B$1+27&lt;=$B87,12*$B$7,-12*MAX(0,$B$6-IF($B$1+27&gt;=$B$23,$B$22,0))*(1+$B$4)^27)&gt;0,1+$B$3,1))</f>
        <v/>
      </c>
      <c r="AE87">
        <f>IF($B$1+28&gt;90,AD87,(AD87+IF($B$1+28&lt;=$B87,12*$B$7,-12*MAX(0,$B$6-IF($B$1+28&gt;=$B$23,$B$22,0))*(1+$B$4)^28))*IF(AD87+IF($B$1+28&lt;=$B87,12*$B$7,-12*MAX(0,$B$6-IF($B$1+28&gt;=$B$23,$B$22,0))*(1+$B$4)^28)&gt;0,1+$B$3,1))</f>
        <v/>
      </c>
      <c r="AF87">
        <f>IF($B$1+29&gt;90,AE87,(AE87+IF($B$1+29&lt;=$B87,12*$B$7,-12*MAX(0,$B$6-IF($B$1+29&gt;=$B$23,$B$22,0))*(1+$B$4)^29))*IF(AE87+IF($B$1+29&lt;=$B87,12*$B$7,-12*MAX(0,$B$6-IF($B$1+29&gt;=$B$23,$B$22,0))*(1+$B$4)^29)&gt;0,1+$B$3,1))</f>
        <v/>
      </c>
      <c r="AG87">
        <f>IF($B$1+30&gt;90,AF87,(AF87+IF($B$1+30&lt;=$B87,12*$B$7,-12*MAX(0,$B$6-IF($B$1+30&gt;=$B$23,$B$22,0))*(1+$B$4)^30))*IF(AF87+IF($B$1+30&lt;=$B87,12*$B$7,-12*MAX(0,$B$6-IF($B$1+30&gt;=$B$23,$B$22,0))*(1+$B$4)^30)&gt;0,1+$B$3,1))</f>
        <v/>
      </c>
      <c r="AH87">
        <f>IF($B$1+31&gt;90,AG87,(AG87+IF($B$1+31&lt;=$B87,12*$B$7,-12*MAX(0,$B$6-IF($B$1+31&gt;=$B$23,$B$22,0))*(1+$B$4)^31))*IF(AG87+IF($B$1+31&lt;=$B87,12*$B$7,-12*MAX(0,$B$6-IF($B$1+31&gt;=$B$23,$B$22,0))*(1+$B$4)^31)&gt;0,1+$B$3,1))</f>
        <v/>
      </c>
      <c r="AI87">
        <f>IF($B$1+32&gt;90,AH87,(AH87+IF($B$1+32&lt;=$B87,12*$B$7,-12*MAX(0,$B$6-IF($B$1+32&gt;=$B$23,$B$22,0))*(1+$B$4)^32))*IF(AH87+IF($B$1+32&lt;=$B87,12*$B$7,-12*MAX(0,$B$6-IF($B$1+32&gt;=$B$23,$B$22,0))*(1+$B$4)^32)&gt;0,1+$B$3,1))</f>
        <v/>
      </c>
      <c r="AJ87">
        <f>IF($B$1+33&gt;90,AI87,(AI87+IF($B$1+33&lt;=$B87,12*$B$7,-12*MAX(0,$B$6-IF($B$1+33&gt;=$B$23,$B$22,0))*(1+$B$4)^33))*IF(AI87+IF($B$1+33&lt;=$B87,12*$B$7,-12*MAX(0,$B$6-IF($B$1+33&gt;=$B$23,$B$22,0))*(1+$B$4)^33)&gt;0,1+$B$3,1))</f>
        <v/>
      </c>
      <c r="AK87">
        <f>IF($B$1+34&gt;90,AJ87,(AJ87+IF($B$1+34&lt;=$B87,12*$B$7,-12*MAX(0,$B$6-IF($B$1+34&gt;=$B$23,$B$22,0))*(1+$B$4)^34))*IF(AJ87+IF($B$1+34&lt;=$B87,12*$B$7,-12*MAX(0,$B$6-IF($B$1+34&gt;=$B$23,$B$22,0))*(1+$B$4)^34)&gt;0,1+$B$3,1))</f>
        <v/>
      </c>
      <c r="AL87">
        <f>IF($B$1+35&gt;90,AK87,(AK87+IF($B$1+35&lt;=$B87,12*$B$7,-12*MAX(0,$B$6-IF($B$1+35&gt;=$B$23,$B$22,0))*(1+$B$4)^35))*IF(AK87+IF($B$1+35&lt;=$B87,12*$B$7,-12*MAX(0,$B$6-IF($B$1+35&gt;=$B$23,$B$22,0))*(1+$B$4)^35)&gt;0,1+$B$3,1))</f>
        <v/>
      </c>
      <c r="AM87">
        <f>IF($B$1+36&gt;90,AL87,(AL87+IF($B$1+36&lt;=$B87,12*$B$7,-12*MAX(0,$B$6-IF($B$1+36&gt;=$B$23,$B$22,0))*(1+$B$4)^36))*IF(AL87+IF($B$1+36&lt;=$B87,12*$B$7,-12*MAX(0,$B$6-IF($B$1+36&gt;=$B$23,$B$22,0))*(1+$B$4)^36)&gt;0,1+$B$3,1))</f>
        <v/>
      </c>
      <c r="AN87">
        <f>IF($B$1+37&gt;90,AM87,(AM87+IF($B$1+37&lt;=$B87,12*$B$7,-12*MAX(0,$B$6-IF($B$1+37&gt;=$B$23,$B$22,0))*(1+$B$4)^37))*IF(AM87+IF($B$1+37&lt;=$B87,12*$B$7,-12*MAX(0,$B$6-IF($B$1+37&gt;=$B$23,$B$22,0))*(1+$B$4)^37)&gt;0,1+$B$3,1))</f>
        <v/>
      </c>
      <c r="AO87">
        <f>IF($B$1+38&gt;90,AN87,(AN87+IF($B$1+38&lt;=$B87,12*$B$7,-12*MAX(0,$B$6-IF($B$1+38&gt;=$B$23,$B$22,0))*(1+$B$4)^38))*IF(AN87+IF($B$1+38&lt;=$B87,12*$B$7,-12*MAX(0,$B$6-IF($B$1+38&gt;=$B$23,$B$22,0))*(1+$B$4)^38)&gt;0,1+$B$3,1))</f>
        <v/>
      </c>
      <c r="AP87">
        <f>IF($B$1+39&gt;90,AO87,(AO87+IF($B$1+39&lt;=$B87,12*$B$7,-12*MAX(0,$B$6-IF($B$1+39&gt;=$B$23,$B$22,0))*(1+$B$4)^39))*IF(AO87+IF($B$1+39&lt;=$B87,12*$B$7,-12*MAX(0,$B$6-IF($B$1+39&gt;=$B$23,$B$22,0))*(1+$B$4)^39)&gt;0,1+$B$3,1))</f>
        <v/>
      </c>
      <c r="AQ87">
        <f>IF($B$1+40&gt;90,AP87,(AP87+IF($B$1+40&lt;=$B87,12*$B$7,-12*MAX(0,$B$6-IF($B$1+40&gt;=$B$23,$B$22,0))*(1+$B$4)^40))*IF(AP87+IF($B$1+40&lt;=$B87,12*$B$7,-12*MAX(0,$B$6-IF($B$1+40&gt;=$B$23,$B$22,0))*(1+$B$4)^40)&gt;0,1+$B$3,1))</f>
        <v/>
      </c>
      <c r="AR87">
        <f>IF($B$1+41&gt;90,AQ87,(AQ87+IF($B$1+41&lt;=$B87,12*$B$7,-12*MAX(0,$B$6-IF($B$1+41&gt;=$B$23,$B$22,0))*(1+$B$4)^41))*IF(AQ87+IF($B$1+41&lt;=$B87,12*$B$7,-12*MAX(0,$B$6-IF($B$1+41&gt;=$B$23,$B$22,0))*(1+$B$4)^41)&gt;0,1+$B$3,1))</f>
        <v/>
      </c>
      <c r="AS87">
        <f>IF($B$1+42&gt;90,AR87,(AR87+IF($B$1+42&lt;=$B87,12*$B$7,-12*MAX(0,$B$6-IF($B$1+42&gt;=$B$23,$B$22,0))*(1+$B$4)^42))*IF(AR87+IF($B$1+42&lt;=$B87,12*$B$7,-12*MAX(0,$B$6-IF($B$1+42&gt;=$B$23,$B$22,0))*(1+$B$4)^42)&gt;0,1+$B$3,1))</f>
        <v/>
      </c>
      <c r="AT87">
        <f>IF($B$1+43&gt;90,AS87,(AS87+IF($B$1+43&lt;=$B87,12*$B$7,-12*MAX(0,$B$6-IF($B$1+43&gt;=$B$23,$B$22,0))*(1+$B$4)^43))*IF(AS87+IF($B$1+43&lt;=$B87,12*$B$7,-12*MAX(0,$B$6-IF($B$1+43&gt;=$B$23,$B$22,0))*(1+$B$4)^43)&gt;0,1+$B$3,1))</f>
        <v/>
      </c>
      <c r="AU87">
        <f>IF($B$1+44&gt;90,AT87,(AT87+IF($B$1+44&lt;=$B87,12*$B$7,-12*MAX(0,$B$6-IF($B$1+44&gt;=$B$23,$B$22,0))*(1+$B$4)^44))*IF(AT87+IF($B$1+44&lt;=$B87,12*$B$7,-12*MAX(0,$B$6-IF($B$1+44&gt;=$B$23,$B$22,0))*(1+$B$4)^44)&gt;0,1+$B$3,1))</f>
        <v/>
      </c>
      <c r="AV87">
        <f>IF($B$1+45&gt;90,AU87,(AU87+IF($B$1+45&lt;=$B87,12*$B$7,-12*MAX(0,$B$6-IF($B$1+45&gt;=$B$23,$B$22,0))*(1+$B$4)^45))*IF(AU87+IF($B$1+45&lt;=$B87,12*$B$7,-12*MAX(0,$B$6-IF($B$1+45&gt;=$B$23,$B$22,0))*(1+$B$4)^45)&gt;0,1+$B$3,1))</f>
        <v/>
      </c>
      <c r="AW87">
        <f>IF($B$1+46&gt;90,AV87,(AV87+IF($B$1+46&lt;=$B87,12*$B$7,-12*MAX(0,$B$6-IF($B$1+46&gt;=$B$23,$B$22,0))*(1+$B$4)^46))*IF(AV87+IF($B$1+46&lt;=$B87,12*$B$7,-12*MAX(0,$B$6-IF($B$1+46&gt;=$B$23,$B$22,0))*(1+$B$4)^46)&gt;0,1+$B$3,1))</f>
        <v/>
      </c>
      <c r="AX87">
        <f>IF($B$1+47&gt;90,AW87,(AW87+IF($B$1+47&lt;=$B87,12*$B$7,-12*MAX(0,$B$6-IF($B$1+47&gt;=$B$23,$B$22,0))*(1+$B$4)^47))*IF(AW87+IF($B$1+47&lt;=$B87,12*$B$7,-12*MAX(0,$B$6-IF($B$1+47&gt;=$B$23,$B$22,0))*(1+$B$4)^47)&gt;0,1+$B$3,1))</f>
        <v/>
      </c>
      <c r="AY87">
        <f>IF($B$1+48&gt;90,AX87,(AX87+IF($B$1+48&lt;=$B87,12*$B$7,-12*MAX(0,$B$6-IF($B$1+48&gt;=$B$23,$B$22,0))*(1+$B$4)^48))*IF(AX87+IF($B$1+48&lt;=$B87,12*$B$7,-12*MAX(0,$B$6-IF($B$1+48&gt;=$B$23,$B$22,0))*(1+$B$4)^48)&gt;0,1+$B$3,1))</f>
        <v/>
      </c>
      <c r="AZ87">
        <f>IF($B$1+49&gt;90,AY87,(AY87+IF($B$1+49&lt;=$B87,12*$B$7,-12*MAX(0,$B$6-IF($B$1+49&gt;=$B$23,$B$22,0))*(1+$B$4)^49))*IF(AY87+IF($B$1+49&lt;=$B87,12*$B$7,-12*MAX(0,$B$6-IF($B$1+49&gt;=$B$23,$B$22,0))*(1+$B$4)^49)&gt;0,1+$B$3,1))</f>
        <v/>
      </c>
      <c r="BA87">
        <f>IF($B$1+50&gt;90,AZ87,(AZ87+IF($B$1+50&lt;=$B87,12*$B$7,-12*MAX(0,$B$6-IF($B$1+50&gt;=$B$23,$B$22,0))*(1+$B$4)^50))*IF(AZ87+IF($B$1+50&lt;=$B87,12*$B$7,-12*MAX(0,$B$6-IF($B$1+50&gt;=$B$23,$B$22,0))*(1+$B$4)^50)&gt;0,1+$B$3,1))</f>
        <v/>
      </c>
      <c r="BB87">
        <f>IF($B$1+51&gt;90,BA87,(BA87+IF($B$1+51&lt;=$B87,12*$B$7,-12*MAX(0,$B$6-IF($B$1+51&gt;=$B$23,$B$22,0))*(1+$B$4)^51))*IF(BA87+IF($B$1+51&lt;=$B87,12*$B$7,-12*MAX(0,$B$6-IF($B$1+51&gt;=$B$23,$B$22,0))*(1+$B$4)^51)&gt;0,1+$B$3,1))</f>
        <v/>
      </c>
      <c r="BC87">
        <f>IF($B$1+52&gt;90,BB87,(BB87+IF($B$1+52&lt;=$B87,12*$B$7,-12*MAX(0,$B$6-IF($B$1+52&gt;=$B$23,$B$22,0))*(1+$B$4)^52))*IF(BB87+IF($B$1+52&lt;=$B87,12*$B$7,-12*MAX(0,$B$6-IF($B$1+52&gt;=$B$23,$B$22,0))*(1+$B$4)^52)&gt;0,1+$B$3,1))</f>
        <v/>
      </c>
      <c r="BD87">
        <f>IF($B$1+53&gt;90,BC87,(BC87+IF($B$1+53&lt;=$B87,12*$B$7,-12*MAX(0,$B$6-IF($B$1+53&gt;=$B$23,$B$22,0))*(1+$B$4)^53))*IF(BC87+IF($B$1+53&lt;=$B87,12*$B$7,-12*MAX(0,$B$6-IF($B$1+53&gt;=$B$23,$B$22,0))*(1+$B$4)^53)&gt;0,1+$B$3,1))</f>
        <v/>
      </c>
      <c r="BE87">
        <f>IF($B$1+54&gt;90,BD87,(BD87+IF($B$1+54&lt;=$B87,12*$B$7,-12*MAX(0,$B$6-IF($B$1+54&gt;=$B$23,$B$22,0))*(1+$B$4)^54))*IF(BD87+IF($B$1+54&lt;=$B87,12*$B$7,-12*MAX(0,$B$6-IF($B$1+54&gt;=$B$23,$B$22,0))*(1+$B$4)^54)&gt;0,1+$B$3,1))</f>
        <v/>
      </c>
      <c r="BF87">
        <f>IF($B$1+55&gt;90,BE87,(BE87+IF($B$1+55&lt;=$B87,12*$B$7,-12*MAX(0,$B$6-IF($B$1+55&gt;=$B$23,$B$22,0))*(1+$B$4)^55))*IF(BE87+IF($B$1+55&lt;=$B87,12*$B$7,-12*MAX(0,$B$6-IF($B$1+55&gt;=$B$23,$B$22,0))*(1+$B$4)^55)&gt;0,1+$B$3,1))</f>
        <v/>
      </c>
      <c r="BG87">
        <f>IF($B$1+56&gt;90,BF87,(BF87+IF($B$1+56&lt;=$B87,12*$B$7,-12*MAX(0,$B$6-IF($B$1+56&gt;=$B$23,$B$22,0))*(1+$B$4)^56))*IF(BF87+IF($B$1+56&lt;=$B87,12*$B$7,-12*MAX(0,$B$6-IF($B$1+56&gt;=$B$23,$B$22,0))*(1+$B$4)^56)&gt;0,1+$B$3,1))</f>
        <v/>
      </c>
      <c r="BH87">
        <f>IF($B$1+57&gt;90,BG87,(BG87+IF($B$1+57&lt;=$B87,12*$B$7,-12*MAX(0,$B$6-IF($B$1+57&gt;=$B$23,$B$22,0))*(1+$B$4)^57))*IF(BG87+IF($B$1+57&lt;=$B87,12*$B$7,-12*MAX(0,$B$6-IF($B$1+57&gt;=$B$23,$B$22,0))*(1+$B$4)^57)&gt;0,1+$B$3,1))</f>
        <v/>
      </c>
      <c r="BI87">
        <f>IF($B$1+58&gt;90,BH87,(BH87+IF($B$1+58&lt;=$B87,12*$B$7,-12*MAX(0,$B$6-IF($B$1+58&gt;=$B$23,$B$22,0))*(1+$B$4)^58))*IF(BH87+IF($B$1+58&lt;=$B87,12*$B$7,-12*MAX(0,$B$6-IF($B$1+58&gt;=$B$23,$B$22,0))*(1+$B$4)^58)&gt;0,1+$B$3,1))</f>
        <v/>
      </c>
      <c r="BJ87">
        <f>IF($B$1+59&gt;90,BI87,(BI87+IF($B$1+59&lt;=$B87,12*$B$7,-12*MAX(0,$B$6-IF($B$1+59&gt;=$B$23,$B$22,0))*(1+$B$4)^59))*IF(BI87+IF($B$1+59&lt;=$B87,12*$B$7,-12*MAX(0,$B$6-IF($B$1+59&gt;=$B$23,$B$22,0))*(1+$B$4)^59)&gt;0,1+$B$3,1))</f>
        <v/>
      </c>
      <c r="BK87">
        <f>IF($B$1+60&gt;90,BJ87,(BJ87+IF($B$1+60&lt;=$B87,12*$B$7,-12*MAX(0,$B$6-IF($B$1+60&gt;=$B$23,$B$22,0))*(1+$B$4)^60))*IF(BJ87+IF($B$1+60&lt;=$B87,12*$B$7,-12*MAX(0,$B$6-IF($B$1+60&gt;=$B$23,$B$22,0))*(1+$B$4)^60)&gt;0,1+$B$3,1))</f>
        <v/>
      </c>
      <c r="BL87">
        <f>IF($B$1+61&gt;90,BK87,(BK87+IF($B$1+61&lt;=$B87,12*$B$7,-12*MAX(0,$B$6-IF($B$1+61&gt;=$B$23,$B$22,0))*(1+$B$4)^61))*IF(BK87+IF($B$1+61&lt;=$B87,12*$B$7,-12*MAX(0,$B$6-IF($B$1+61&gt;=$B$23,$B$22,0))*(1+$B$4)^61)&gt;0,1+$B$3,1))</f>
        <v/>
      </c>
      <c r="BM87">
        <f>IF($B$1+62&gt;90,BL87,(BL87+IF($B$1+62&lt;=$B87,12*$B$7,-12*MAX(0,$B$6-IF($B$1+62&gt;=$B$23,$B$22,0))*(1+$B$4)^62))*IF(BL87+IF($B$1+62&lt;=$B87,12*$B$7,-12*MAX(0,$B$6-IF($B$1+62&gt;=$B$23,$B$22,0))*(1+$B$4)^62)&gt;0,1+$B$3,1))</f>
        <v/>
      </c>
      <c r="BN87">
        <f>IF($B$1+63&gt;90,BM87,(BM87+IF($B$1+63&lt;=$B87,12*$B$7,-12*MAX(0,$B$6-IF($B$1+63&gt;=$B$23,$B$22,0))*(1+$B$4)^63))*IF(BM87+IF($B$1+63&lt;=$B87,12*$B$7,-12*MAX(0,$B$6-IF($B$1+63&gt;=$B$23,$B$22,0))*(1+$B$4)^63)&gt;0,1+$B$3,1))</f>
        <v/>
      </c>
      <c r="BO87">
        <f>IF($B$1+64&gt;90,BN87,(BN87+IF($B$1+64&lt;=$B87,12*$B$7,-12*MAX(0,$B$6-IF($B$1+64&gt;=$B$23,$B$22,0))*(1+$B$4)^64))*IF(BN87+IF($B$1+64&lt;=$B87,12*$B$7,-12*MAX(0,$B$6-IF($B$1+64&gt;=$B$23,$B$22,0))*(1+$B$4)^64)&gt;0,1+$B$3,1))</f>
        <v/>
      </c>
      <c r="BP87">
        <f>IF($B$1+65&gt;90,BO87,(BO87+IF($B$1+65&lt;=$B87,12*$B$7,-12*MAX(0,$B$6-IF($B$1+65&gt;=$B$23,$B$22,0))*(1+$B$4)^65))*IF(BO87+IF($B$1+65&lt;=$B87,12*$B$7,-12*MAX(0,$B$6-IF($B$1+65&gt;=$B$23,$B$22,0))*(1+$B$4)^65)&gt;0,1+$B$3,1))</f>
        <v/>
      </c>
      <c r="BQ87">
        <f>IF($B$1+66&gt;90,BP87,(BP87+IF($B$1+66&lt;=$B87,12*$B$7,-12*MAX(0,$B$6-IF($B$1+66&gt;=$B$23,$B$22,0))*(1+$B$4)^66))*IF(BP87+IF($B$1+66&lt;=$B87,12*$B$7,-12*MAX(0,$B$6-IF($B$1+66&gt;=$B$23,$B$22,0))*(1+$B$4)^66)&gt;0,1+$B$3,1))</f>
        <v/>
      </c>
      <c r="BR87">
        <f>IF($B$1+67&gt;90,BQ87,(BQ87+IF($B$1+67&lt;=$B87,12*$B$7,-12*MAX(0,$B$6-IF($B$1+67&gt;=$B$23,$B$22,0))*(1+$B$4)^67))*IF(BQ87+IF($B$1+67&lt;=$B87,12*$B$7,-12*MAX(0,$B$6-IF($B$1+67&gt;=$B$23,$B$22,0))*(1+$B$4)^67)&gt;0,1+$B$3,1))</f>
        <v/>
      </c>
      <c r="BS87">
        <f>IF($B$1+68&gt;90,BR87,(BR87+IF($B$1+68&lt;=$B87,12*$B$7,-12*MAX(0,$B$6-IF($B$1+68&gt;=$B$23,$B$22,0))*(1+$B$4)^68))*IF(BR87+IF($B$1+68&lt;=$B87,12*$B$7,-12*MAX(0,$B$6-IF($B$1+68&gt;=$B$23,$B$22,0))*(1+$B$4)^68)&gt;0,1+$B$3,1))</f>
        <v/>
      </c>
      <c r="BT87">
        <f>IF($B$1+69&gt;90,BS87,(BS87+IF($B$1+69&lt;=$B87,12*$B$7,-12*MAX(0,$B$6-IF($B$1+69&gt;=$B$23,$B$22,0))*(1+$B$4)^69))*IF(BS87+IF($B$1+69&lt;=$B87,12*$B$7,-12*MAX(0,$B$6-IF($B$1+69&gt;=$B$23,$B$22,0))*(1+$B$4)^69)&gt;0,1+$B$3,1))</f>
        <v/>
      </c>
      <c r="BU87">
        <f>IF($B$1+70&gt;90,BT87,(BT87+IF($B$1+70&lt;=$B87,12*$B$7,-12*MAX(0,$B$6-IF($B$1+70&gt;=$B$23,$B$22,0))*(1+$B$4)^70))*IF(BT87+IF($B$1+70&lt;=$B87,12*$B$7,-12*MAX(0,$B$6-IF($B$1+70&gt;=$B$23,$B$22,0))*(1+$B$4)^70)&gt;0,1+$B$3,1))</f>
        <v/>
      </c>
      <c r="BV87">
        <f>BU87</f>
        <v/>
      </c>
      <c r="BW87">
        <f>IF(AND($B87&lt;=70,BV87&gt;0),$B87,999)</f>
        <v/>
      </c>
      <c r="CH87">
        <f>IF(ISTEXT('월 가계부'!A87),SUBSTITUTE(SUBSTITUTE(SUBSTITUTE(SUBSTITUTE(SUBSTITUTE(SUBSTITUTE(SUBSTITUTE(SUBSTITUTE(SUBSTITUTE(TRIM('월 가계부'!A87),"년","-"),"월","-"),"일",""),".","-"),"/","-")," ","-"),"--","-"),"--","-"),"--","-")&amp;"-","")</f>
        <v/>
      </c>
      <c r="CI87">
        <f>IFERROR(IF('월 가계부'!A87="","",IF(ISNUMBER('월 가계부'!A87),IF(AND('월 가계부'!A87&gt;=19000101,'월 가계부'!A87&lt;=21001231),IF(AND(MOD(INT('월 가계부'!A87/100),100)&gt;=1,MOD(INT('월 가계부'!A87/100),100)&lt;=12,MOD(INT('월 가계부'!A87),100)&gt;=1,MOD(INT('월 가계부'!A87),100)&lt;=31),IF(MONTH(DATE(INT('월 가계부'!A87/10000),MOD(INT('월 가계부'!A87/100),100),MOD(INT('월 가계부'!A87),100)))=MOD(INT('월 가계부'!A87/100),100),DATE(INT('월 가계부'!A87/10000),MOD(INT('월 가계부'!A87/100),100),MOD(INT('월 가계부'!A87),100)),""),""),IF(AND('월 가계부'!A87&gt;=36526,'월 가계부'!A87&lt;73051),INT('월 가계부'!A87),"")),IF(OR(CM87="",CN87="",CO87=""),"",IF(AND(CM87&gt;=2000,CM87&lt;=2099,CN87&gt;=1,CN87&lt;=12,CO87&gt;=1,CO87&lt;=31),IF(MONTH(DATE(CM87,CN87,CO87))=CN87,DATE(CM87,CN87,CO87),""),"")))),"")</f>
        <v/>
      </c>
      <c r="CJ87">
        <f>IFERROR(IF('월 가계부'!C87="","",IF(ISNUMBER('월 가계부'!C87),'월 가계부'!C87,VALUE(SUBSTITUTE(SUBSTITUTE(SUBSTITUTE(SUBSTITUTE(TRIM('월 가계부'!C87),",",""),"원","")," ",""),"−","-")))),"")</f>
        <v/>
      </c>
      <c r="CK87">
        <f>IF(ISNUMBER(CI87),IF(CI87&lt;$B$13,CI87,""),"")</f>
        <v/>
      </c>
      <c r="CM87">
        <f>IF(CH87="","",IFERROR(IF(IF(AND(LEN(CH87)=9,ISERROR(FIND("-",LEFT(CH87,8))),ISNUMBER(-LEFT(CH87,8))),VALUE(LEFT(CH87,4)),VALUE(LEFT(CH87,FIND("-",CH87)-1)))&lt;100,IF(AND(LEN(CH87)=9,ISERROR(FIND("-",LEFT(CH87,8))),ISNUMBER(-LEFT(CH87,8))),VALUE(LEFT(CH87,4)),VALUE(LEFT(CH87,FIND("-",CH87)-1)))+2000,IF(AND(LEN(CH87)=9,ISERROR(FIND("-",LEFT(CH87,8))),ISNUMBER(-LEFT(CH87,8))),VALUE(LEFT(CH87,4)),VALUE(LEFT(CH87,FIND("-",CH87)-1)))),""))</f>
        <v/>
      </c>
      <c r="CN87">
        <f>IF(CH87="","",IFERROR(IF(AND(LEN(CH87)=9,ISERROR(FIND("-",LEFT(CH87,8))),ISNUMBER(-LEFT(CH87,8))),VALUE(MID(CH87,5,2)),VALUE(MID(CH87,FIND("-",CH87)+1,FIND("-",CH87,FIND("-",CH87)+1)-FIND("-",CH87)-1))),""))</f>
        <v/>
      </c>
      <c r="CO87">
        <f>IF(CH87="","",IFERROR(IF(AND(LEN(CH87)=9,ISERROR(FIND("-",LEFT(CH87,8))),ISNUMBER(-LEFT(CH87,8))),VALUE(MID(CH87,7,2)),VALUE(MID(CH87,FIND("-",CH87,FIND("-",CH87)+1)+1,FIND("-",CH87,FIND("-",CH87,FIND("-",CH87)+1)+1)-FIND("-",CH87,FIND("-",CH87)+1)-1))),""))</f>
        <v/>
      </c>
    </row>
    <row r="88">
      <c r="A88" t="n">
        <v>48</v>
      </c>
      <c r="B88">
        <f>$B$1+48</f>
        <v/>
      </c>
      <c r="C88">
        <f>$B$2</f>
        <v/>
      </c>
      <c r="D88">
        <f>IF($B$1+1&gt;90,C88,(C88+IF($B$1+1&lt;=$B88,12*$B$7,-12*MAX(0,$B$6-IF($B$1+1&gt;=$B$23,$B$22,0))*(1+$B$4)^1))*IF(C88+IF($B$1+1&lt;=$B88,12*$B$7,-12*MAX(0,$B$6-IF($B$1+1&gt;=$B$23,$B$22,0))*(1+$B$4)^1)&gt;0,1+$B$3,1))</f>
        <v/>
      </c>
      <c r="E88">
        <f>IF($B$1+2&gt;90,D88,(D88+IF($B$1+2&lt;=$B88,12*$B$7,-12*MAX(0,$B$6-IF($B$1+2&gt;=$B$23,$B$22,0))*(1+$B$4)^2))*IF(D88+IF($B$1+2&lt;=$B88,12*$B$7,-12*MAX(0,$B$6-IF($B$1+2&gt;=$B$23,$B$22,0))*(1+$B$4)^2)&gt;0,1+$B$3,1))</f>
        <v/>
      </c>
      <c r="F88">
        <f>IF($B$1+3&gt;90,E88,(E88+IF($B$1+3&lt;=$B88,12*$B$7,-12*MAX(0,$B$6-IF($B$1+3&gt;=$B$23,$B$22,0))*(1+$B$4)^3))*IF(E88+IF($B$1+3&lt;=$B88,12*$B$7,-12*MAX(0,$B$6-IF($B$1+3&gt;=$B$23,$B$22,0))*(1+$B$4)^3)&gt;0,1+$B$3,1))</f>
        <v/>
      </c>
      <c r="G88">
        <f>IF($B$1+4&gt;90,F88,(F88+IF($B$1+4&lt;=$B88,12*$B$7,-12*MAX(0,$B$6-IF($B$1+4&gt;=$B$23,$B$22,0))*(1+$B$4)^4))*IF(F88+IF($B$1+4&lt;=$B88,12*$B$7,-12*MAX(0,$B$6-IF($B$1+4&gt;=$B$23,$B$22,0))*(1+$B$4)^4)&gt;0,1+$B$3,1))</f>
        <v/>
      </c>
      <c r="H88">
        <f>IF($B$1+5&gt;90,G88,(G88+IF($B$1+5&lt;=$B88,12*$B$7,-12*MAX(0,$B$6-IF($B$1+5&gt;=$B$23,$B$22,0))*(1+$B$4)^5))*IF(G88+IF($B$1+5&lt;=$B88,12*$B$7,-12*MAX(0,$B$6-IF($B$1+5&gt;=$B$23,$B$22,0))*(1+$B$4)^5)&gt;0,1+$B$3,1))</f>
        <v/>
      </c>
      <c r="I88">
        <f>IF($B$1+6&gt;90,H88,(H88+IF($B$1+6&lt;=$B88,12*$B$7,-12*MAX(0,$B$6-IF($B$1+6&gt;=$B$23,$B$22,0))*(1+$B$4)^6))*IF(H88+IF($B$1+6&lt;=$B88,12*$B$7,-12*MAX(0,$B$6-IF($B$1+6&gt;=$B$23,$B$22,0))*(1+$B$4)^6)&gt;0,1+$B$3,1))</f>
        <v/>
      </c>
      <c r="J88">
        <f>IF($B$1+7&gt;90,I88,(I88+IF($B$1+7&lt;=$B88,12*$B$7,-12*MAX(0,$B$6-IF($B$1+7&gt;=$B$23,$B$22,0))*(1+$B$4)^7))*IF(I88+IF($B$1+7&lt;=$B88,12*$B$7,-12*MAX(0,$B$6-IF($B$1+7&gt;=$B$23,$B$22,0))*(1+$B$4)^7)&gt;0,1+$B$3,1))</f>
        <v/>
      </c>
      <c r="K88">
        <f>IF($B$1+8&gt;90,J88,(J88+IF($B$1+8&lt;=$B88,12*$B$7,-12*MAX(0,$B$6-IF($B$1+8&gt;=$B$23,$B$22,0))*(1+$B$4)^8))*IF(J88+IF($B$1+8&lt;=$B88,12*$B$7,-12*MAX(0,$B$6-IF($B$1+8&gt;=$B$23,$B$22,0))*(1+$B$4)^8)&gt;0,1+$B$3,1))</f>
        <v/>
      </c>
      <c r="L88">
        <f>IF($B$1+9&gt;90,K88,(K88+IF($B$1+9&lt;=$B88,12*$B$7,-12*MAX(0,$B$6-IF($B$1+9&gt;=$B$23,$B$22,0))*(1+$B$4)^9))*IF(K88+IF($B$1+9&lt;=$B88,12*$B$7,-12*MAX(0,$B$6-IF($B$1+9&gt;=$B$23,$B$22,0))*(1+$B$4)^9)&gt;0,1+$B$3,1))</f>
        <v/>
      </c>
      <c r="M88">
        <f>IF($B$1+10&gt;90,L88,(L88+IF($B$1+10&lt;=$B88,12*$B$7,-12*MAX(0,$B$6-IF($B$1+10&gt;=$B$23,$B$22,0))*(1+$B$4)^10))*IF(L88+IF($B$1+10&lt;=$B88,12*$B$7,-12*MAX(0,$B$6-IF($B$1+10&gt;=$B$23,$B$22,0))*(1+$B$4)^10)&gt;0,1+$B$3,1))</f>
        <v/>
      </c>
      <c r="N88">
        <f>IF($B$1+11&gt;90,M88,(M88+IF($B$1+11&lt;=$B88,12*$B$7,-12*MAX(0,$B$6-IF($B$1+11&gt;=$B$23,$B$22,0))*(1+$B$4)^11))*IF(M88+IF($B$1+11&lt;=$B88,12*$B$7,-12*MAX(0,$B$6-IF($B$1+11&gt;=$B$23,$B$22,0))*(1+$B$4)^11)&gt;0,1+$B$3,1))</f>
        <v/>
      </c>
      <c r="O88">
        <f>IF($B$1+12&gt;90,N88,(N88+IF($B$1+12&lt;=$B88,12*$B$7,-12*MAX(0,$B$6-IF($B$1+12&gt;=$B$23,$B$22,0))*(1+$B$4)^12))*IF(N88+IF($B$1+12&lt;=$B88,12*$B$7,-12*MAX(0,$B$6-IF($B$1+12&gt;=$B$23,$B$22,0))*(1+$B$4)^12)&gt;0,1+$B$3,1))</f>
        <v/>
      </c>
      <c r="P88">
        <f>IF($B$1+13&gt;90,O88,(O88+IF($B$1+13&lt;=$B88,12*$B$7,-12*MAX(0,$B$6-IF($B$1+13&gt;=$B$23,$B$22,0))*(1+$B$4)^13))*IF(O88+IF($B$1+13&lt;=$B88,12*$B$7,-12*MAX(0,$B$6-IF($B$1+13&gt;=$B$23,$B$22,0))*(1+$B$4)^13)&gt;0,1+$B$3,1))</f>
        <v/>
      </c>
      <c r="Q88">
        <f>IF($B$1+14&gt;90,P88,(P88+IF($B$1+14&lt;=$B88,12*$B$7,-12*MAX(0,$B$6-IF($B$1+14&gt;=$B$23,$B$22,0))*(1+$B$4)^14))*IF(P88+IF($B$1+14&lt;=$B88,12*$B$7,-12*MAX(0,$B$6-IF($B$1+14&gt;=$B$23,$B$22,0))*(1+$B$4)^14)&gt;0,1+$B$3,1))</f>
        <v/>
      </c>
      <c r="R88">
        <f>IF($B$1+15&gt;90,Q88,(Q88+IF($B$1+15&lt;=$B88,12*$B$7,-12*MAX(0,$B$6-IF($B$1+15&gt;=$B$23,$B$22,0))*(1+$B$4)^15))*IF(Q88+IF($B$1+15&lt;=$B88,12*$B$7,-12*MAX(0,$B$6-IF($B$1+15&gt;=$B$23,$B$22,0))*(1+$B$4)^15)&gt;0,1+$B$3,1))</f>
        <v/>
      </c>
      <c r="S88">
        <f>IF($B$1+16&gt;90,R88,(R88+IF($B$1+16&lt;=$B88,12*$B$7,-12*MAX(0,$B$6-IF($B$1+16&gt;=$B$23,$B$22,0))*(1+$B$4)^16))*IF(R88+IF($B$1+16&lt;=$B88,12*$B$7,-12*MAX(0,$B$6-IF($B$1+16&gt;=$B$23,$B$22,0))*(1+$B$4)^16)&gt;0,1+$B$3,1))</f>
        <v/>
      </c>
      <c r="T88">
        <f>IF($B$1+17&gt;90,S88,(S88+IF($B$1+17&lt;=$B88,12*$B$7,-12*MAX(0,$B$6-IF($B$1+17&gt;=$B$23,$B$22,0))*(1+$B$4)^17))*IF(S88+IF($B$1+17&lt;=$B88,12*$B$7,-12*MAX(0,$B$6-IF($B$1+17&gt;=$B$23,$B$22,0))*(1+$B$4)^17)&gt;0,1+$B$3,1))</f>
        <v/>
      </c>
      <c r="U88">
        <f>IF($B$1+18&gt;90,T88,(T88+IF($B$1+18&lt;=$B88,12*$B$7,-12*MAX(0,$B$6-IF($B$1+18&gt;=$B$23,$B$22,0))*(1+$B$4)^18))*IF(T88+IF($B$1+18&lt;=$B88,12*$B$7,-12*MAX(0,$B$6-IF($B$1+18&gt;=$B$23,$B$22,0))*(1+$B$4)^18)&gt;0,1+$B$3,1))</f>
        <v/>
      </c>
      <c r="V88">
        <f>IF($B$1+19&gt;90,U88,(U88+IF($B$1+19&lt;=$B88,12*$B$7,-12*MAX(0,$B$6-IF($B$1+19&gt;=$B$23,$B$22,0))*(1+$B$4)^19))*IF(U88+IF($B$1+19&lt;=$B88,12*$B$7,-12*MAX(0,$B$6-IF($B$1+19&gt;=$B$23,$B$22,0))*(1+$B$4)^19)&gt;0,1+$B$3,1))</f>
        <v/>
      </c>
      <c r="W88">
        <f>IF($B$1+20&gt;90,V88,(V88+IF($B$1+20&lt;=$B88,12*$B$7,-12*MAX(0,$B$6-IF($B$1+20&gt;=$B$23,$B$22,0))*(1+$B$4)^20))*IF(V88+IF($B$1+20&lt;=$B88,12*$B$7,-12*MAX(0,$B$6-IF($B$1+20&gt;=$B$23,$B$22,0))*(1+$B$4)^20)&gt;0,1+$B$3,1))</f>
        <v/>
      </c>
      <c r="X88">
        <f>IF($B$1+21&gt;90,W88,(W88+IF($B$1+21&lt;=$B88,12*$B$7,-12*MAX(0,$B$6-IF($B$1+21&gt;=$B$23,$B$22,0))*(1+$B$4)^21))*IF(W88+IF($B$1+21&lt;=$B88,12*$B$7,-12*MAX(0,$B$6-IF($B$1+21&gt;=$B$23,$B$22,0))*(1+$B$4)^21)&gt;0,1+$B$3,1))</f>
        <v/>
      </c>
      <c r="Y88">
        <f>IF($B$1+22&gt;90,X88,(X88+IF($B$1+22&lt;=$B88,12*$B$7,-12*MAX(0,$B$6-IF($B$1+22&gt;=$B$23,$B$22,0))*(1+$B$4)^22))*IF(X88+IF($B$1+22&lt;=$B88,12*$B$7,-12*MAX(0,$B$6-IF($B$1+22&gt;=$B$23,$B$22,0))*(1+$B$4)^22)&gt;0,1+$B$3,1))</f>
        <v/>
      </c>
      <c r="Z88">
        <f>IF($B$1+23&gt;90,Y88,(Y88+IF($B$1+23&lt;=$B88,12*$B$7,-12*MAX(0,$B$6-IF($B$1+23&gt;=$B$23,$B$22,0))*(1+$B$4)^23))*IF(Y88+IF($B$1+23&lt;=$B88,12*$B$7,-12*MAX(0,$B$6-IF($B$1+23&gt;=$B$23,$B$22,0))*(1+$B$4)^23)&gt;0,1+$B$3,1))</f>
        <v/>
      </c>
      <c r="AA88">
        <f>IF($B$1+24&gt;90,Z88,(Z88+IF($B$1+24&lt;=$B88,12*$B$7,-12*MAX(0,$B$6-IF($B$1+24&gt;=$B$23,$B$22,0))*(1+$B$4)^24))*IF(Z88+IF($B$1+24&lt;=$B88,12*$B$7,-12*MAX(0,$B$6-IF($B$1+24&gt;=$B$23,$B$22,0))*(1+$B$4)^24)&gt;0,1+$B$3,1))</f>
        <v/>
      </c>
      <c r="AB88">
        <f>IF($B$1+25&gt;90,AA88,(AA88+IF($B$1+25&lt;=$B88,12*$B$7,-12*MAX(0,$B$6-IF($B$1+25&gt;=$B$23,$B$22,0))*(1+$B$4)^25))*IF(AA88+IF($B$1+25&lt;=$B88,12*$B$7,-12*MAX(0,$B$6-IF($B$1+25&gt;=$B$23,$B$22,0))*(1+$B$4)^25)&gt;0,1+$B$3,1))</f>
        <v/>
      </c>
      <c r="AC88">
        <f>IF($B$1+26&gt;90,AB88,(AB88+IF($B$1+26&lt;=$B88,12*$B$7,-12*MAX(0,$B$6-IF($B$1+26&gt;=$B$23,$B$22,0))*(1+$B$4)^26))*IF(AB88+IF($B$1+26&lt;=$B88,12*$B$7,-12*MAX(0,$B$6-IF($B$1+26&gt;=$B$23,$B$22,0))*(1+$B$4)^26)&gt;0,1+$B$3,1))</f>
        <v/>
      </c>
      <c r="AD88">
        <f>IF($B$1+27&gt;90,AC88,(AC88+IF($B$1+27&lt;=$B88,12*$B$7,-12*MAX(0,$B$6-IF($B$1+27&gt;=$B$23,$B$22,0))*(1+$B$4)^27))*IF(AC88+IF($B$1+27&lt;=$B88,12*$B$7,-12*MAX(0,$B$6-IF($B$1+27&gt;=$B$23,$B$22,0))*(1+$B$4)^27)&gt;0,1+$B$3,1))</f>
        <v/>
      </c>
      <c r="AE88">
        <f>IF($B$1+28&gt;90,AD88,(AD88+IF($B$1+28&lt;=$B88,12*$B$7,-12*MAX(0,$B$6-IF($B$1+28&gt;=$B$23,$B$22,0))*(1+$B$4)^28))*IF(AD88+IF($B$1+28&lt;=$B88,12*$B$7,-12*MAX(0,$B$6-IF($B$1+28&gt;=$B$23,$B$22,0))*(1+$B$4)^28)&gt;0,1+$B$3,1))</f>
        <v/>
      </c>
      <c r="AF88">
        <f>IF($B$1+29&gt;90,AE88,(AE88+IF($B$1+29&lt;=$B88,12*$B$7,-12*MAX(0,$B$6-IF($B$1+29&gt;=$B$23,$B$22,0))*(1+$B$4)^29))*IF(AE88+IF($B$1+29&lt;=$B88,12*$B$7,-12*MAX(0,$B$6-IF($B$1+29&gt;=$B$23,$B$22,0))*(1+$B$4)^29)&gt;0,1+$B$3,1))</f>
        <v/>
      </c>
      <c r="AG88">
        <f>IF($B$1+30&gt;90,AF88,(AF88+IF($B$1+30&lt;=$B88,12*$B$7,-12*MAX(0,$B$6-IF($B$1+30&gt;=$B$23,$B$22,0))*(1+$B$4)^30))*IF(AF88+IF($B$1+30&lt;=$B88,12*$B$7,-12*MAX(0,$B$6-IF($B$1+30&gt;=$B$23,$B$22,0))*(1+$B$4)^30)&gt;0,1+$B$3,1))</f>
        <v/>
      </c>
      <c r="AH88">
        <f>IF($B$1+31&gt;90,AG88,(AG88+IF($B$1+31&lt;=$B88,12*$B$7,-12*MAX(0,$B$6-IF($B$1+31&gt;=$B$23,$B$22,0))*(1+$B$4)^31))*IF(AG88+IF($B$1+31&lt;=$B88,12*$B$7,-12*MAX(0,$B$6-IF($B$1+31&gt;=$B$23,$B$22,0))*(1+$B$4)^31)&gt;0,1+$B$3,1))</f>
        <v/>
      </c>
      <c r="AI88">
        <f>IF($B$1+32&gt;90,AH88,(AH88+IF($B$1+32&lt;=$B88,12*$B$7,-12*MAX(0,$B$6-IF($B$1+32&gt;=$B$23,$B$22,0))*(1+$B$4)^32))*IF(AH88+IF($B$1+32&lt;=$B88,12*$B$7,-12*MAX(0,$B$6-IF($B$1+32&gt;=$B$23,$B$22,0))*(1+$B$4)^32)&gt;0,1+$B$3,1))</f>
        <v/>
      </c>
      <c r="AJ88">
        <f>IF($B$1+33&gt;90,AI88,(AI88+IF($B$1+33&lt;=$B88,12*$B$7,-12*MAX(0,$B$6-IF($B$1+33&gt;=$B$23,$B$22,0))*(1+$B$4)^33))*IF(AI88+IF($B$1+33&lt;=$B88,12*$B$7,-12*MAX(0,$B$6-IF($B$1+33&gt;=$B$23,$B$22,0))*(1+$B$4)^33)&gt;0,1+$B$3,1))</f>
        <v/>
      </c>
      <c r="AK88">
        <f>IF($B$1+34&gt;90,AJ88,(AJ88+IF($B$1+34&lt;=$B88,12*$B$7,-12*MAX(0,$B$6-IF($B$1+34&gt;=$B$23,$B$22,0))*(1+$B$4)^34))*IF(AJ88+IF($B$1+34&lt;=$B88,12*$B$7,-12*MAX(0,$B$6-IF($B$1+34&gt;=$B$23,$B$22,0))*(1+$B$4)^34)&gt;0,1+$B$3,1))</f>
        <v/>
      </c>
      <c r="AL88">
        <f>IF($B$1+35&gt;90,AK88,(AK88+IF($B$1+35&lt;=$B88,12*$B$7,-12*MAX(0,$B$6-IF($B$1+35&gt;=$B$23,$B$22,0))*(1+$B$4)^35))*IF(AK88+IF($B$1+35&lt;=$B88,12*$B$7,-12*MAX(0,$B$6-IF($B$1+35&gt;=$B$23,$B$22,0))*(1+$B$4)^35)&gt;0,1+$B$3,1))</f>
        <v/>
      </c>
      <c r="AM88">
        <f>IF($B$1+36&gt;90,AL88,(AL88+IF($B$1+36&lt;=$B88,12*$B$7,-12*MAX(0,$B$6-IF($B$1+36&gt;=$B$23,$B$22,0))*(1+$B$4)^36))*IF(AL88+IF($B$1+36&lt;=$B88,12*$B$7,-12*MAX(0,$B$6-IF($B$1+36&gt;=$B$23,$B$22,0))*(1+$B$4)^36)&gt;0,1+$B$3,1))</f>
        <v/>
      </c>
      <c r="AN88">
        <f>IF($B$1+37&gt;90,AM88,(AM88+IF($B$1+37&lt;=$B88,12*$B$7,-12*MAX(0,$B$6-IF($B$1+37&gt;=$B$23,$B$22,0))*(1+$B$4)^37))*IF(AM88+IF($B$1+37&lt;=$B88,12*$B$7,-12*MAX(0,$B$6-IF($B$1+37&gt;=$B$23,$B$22,0))*(1+$B$4)^37)&gt;0,1+$B$3,1))</f>
        <v/>
      </c>
      <c r="AO88">
        <f>IF($B$1+38&gt;90,AN88,(AN88+IF($B$1+38&lt;=$B88,12*$B$7,-12*MAX(0,$B$6-IF($B$1+38&gt;=$B$23,$B$22,0))*(1+$B$4)^38))*IF(AN88+IF($B$1+38&lt;=$B88,12*$B$7,-12*MAX(0,$B$6-IF($B$1+38&gt;=$B$23,$B$22,0))*(1+$B$4)^38)&gt;0,1+$B$3,1))</f>
        <v/>
      </c>
      <c r="AP88">
        <f>IF($B$1+39&gt;90,AO88,(AO88+IF($B$1+39&lt;=$B88,12*$B$7,-12*MAX(0,$B$6-IF($B$1+39&gt;=$B$23,$B$22,0))*(1+$B$4)^39))*IF(AO88+IF($B$1+39&lt;=$B88,12*$B$7,-12*MAX(0,$B$6-IF($B$1+39&gt;=$B$23,$B$22,0))*(1+$B$4)^39)&gt;0,1+$B$3,1))</f>
        <v/>
      </c>
      <c r="AQ88">
        <f>IF($B$1+40&gt;90,AP88,(AP88+IF($B$1+40&lt;=$B88,12*$B$7,-12*MAX(0,$B$6-IF($B$1+40&gt;=$B$23,$B$22,0))*(1+$B$4)^40))*IF(AP88+IF($B$1+40&lt;=$B88,12*$B$7,-12*MAX(0,$B$6-IF($B$1+40&gt;=$B$23,$B$22,0))*(1+$B$4)^40)&gt;0,1+$B$3,1))</f>
        <v/>
      </c>
      <c r="AR88">
        <f>IF($B$1+41&gt;90,AQ88,(AQ88+IF($B$1+41&lt;=$B88,12*$B$7,-12*MAX(0,$B$6-IF($B$1+41&gt;=$B$23,$B$22,0))*(1+$B$4)^41))*IF(AQ88+IF($B$1+41&lt;=$B88,12*$B$7,-12*MAX(0,$B$6-IF($B$1+41&gt;=$B$23,$B$22,0))*(1+$B$4)^41)&gt;0,1+$B$3,1))</f>
        <v/>
      </c>
      <c r="AS88">
        <f>IF($B$1+42&gt;90,AR88,(AR88+IF($B$1+42&lt;=$B88,12*$B$7,-12*MAX(0,$B$6-IF($B$1+42&gt;=$B$23,$B$22,0))*(1+$B$4)^42))*IF(AR88+IF($B$1+42&lt;=$B88,12*$B$7,-12*MAX(0,$B$6-IF($B$1+42&gt;=$B$23,$B$22,0))*(1+$B$4)^42)&gt;0,1+$B$3,1))</f>
        <v/>
      </c>
      <c r="AT88">
        <f>IF($B$1+43&gt;90,AS88,(AS88+IF($B$1+43&lt;=$B88,12*$B$7,-12*MAX(0,$B$6-IF($B$1+43&gt;=$B$23,$B$22,0))*(1+$B$4)^43))*IF(AS88+IF($B$1+43&lt;=$B88,12*$B$7,-12*MAX(0,$B$6-IF($B$1+43&gt;=$B$23,$B$22,0))*(1+$B$4)^43)&gt;0,1+$B$3,1))</f>
        <v/>
      </c>
      <c r="AU88">
        <f>IF($B$1+44&gt;90,AT88,(AT88+IF($B$1+44&lt;=$B88,12*$B$7,-12*MAX(0,$B$6-IF($B$1+44&gt;=$B$23,$B$22,0))*(1+$B$4)^44))*IF(AT88+IF($B$1+44&lt;=$B88,12*$B$7,-12*MAX(0,$B$6-IF($B$1+44&gt;=$B$23,$B$22,0))*(1+$B$4)^44)&gt;0,1+$B$3,1))</f>
        <v/>
      </c>
      <c r="AV88">
        <f>IF($B$1+45&gt;90,AU88,(AU88+IF($B$1+45&lt;=$B88,12*$B$7,-12*MAX(0,$B$6-IF($B$1+45&gt;=$B$23,$B$22,0))*(1+$B$4)^45))*IF(AU88+IF($B$1+45&lt;=$B88,12*$B$7,-12*MAX(0,$B$6-IF($B$1+45&gt;=$B$23,$B$22,0))*(1+$B$4)^45)&gt;0,1+$B$3,1))</f>
        <v/>
      </c>
      <c r="AW88">
        <f>IF($B$1+46&gt;90,AV88,(AV88+IF($B$1+46&lt;=$B88,12*$B$7,-12*MAX(0,$B$6-IF($B$1+46&gt;=$B$23,$B$22,0))*(1+$B$4)^46))*IF(AV88+IF($B$1+46&lt;=$B88,12*$B$7,-12*MAX(0,$B$6-IF($B$1+46&gt;=$B$23,$B$22,0))*(1+$B$4)^46)&gt;0,1+$B$3,1))</f>
        <v/>
      </c>
      <c r="AX88">
        <f>IF($B$1+47&gt;90,AW88,(AW88+IF($B$1+47&lt;=$B88,12*$B$7,-12*MAX(0,$B$6-IF($B$1+47&gt;=$B$23,$B$22,0))*(1+$B$4)^47))*IF(AW88+IF($B$1+47&lt;=$B88,12*$B$7,-12*MAX(0,$B$6-IF($B$1+47&gt;=$B$23,$B$22,0))*(1+$B$4)^47)&gt;0,1+$B$3,1))</f>
        <v/>
      </c>
      <c r="AY88">
        <f>IF($B$1+48&gt;90,AX88,(AX88+IF($B$1+48&lt;=$B88,12*$B$7,-12*MAX(0,$B$6-IF($B$1+48&gt;=$B$23,$B$22,0))*(1+$B$4)^48))*IF(AX88+IF($B$1+48&lt;=$B88,12*$B$7,-12*MAX(0,$B$6-IF($B$1+48&gt;=$B$23,$B$22,0))*(1+$B$4)^48)&gt;0,1+$B$3,1))</f>
        <v/>
      </c>
      <c r="AZ88">
        <f>IF($B$1+49&gt;90,AY88,(AY88+IF($B$1+49&lt;=$B88,12*$B$7,-12*MAX(0,$B$6-IF($B$1+49&gt;=$B$23,$B$22,0))*(1+$B$4)^49))*IF(AY88+IF($B$1+49&lt;=$B88,12*$B$7,-12*MAX(0,$B$6-IF($B$1+49&gt;=$B$23,$B$22,0))*(1+$B$4)^49)&gt;0,1+$B$3,1))</f>
        <v/>
      </c>
      <c r="BA88">
        <f>IF($B$1+50&gt;90,AZ88,(AZ88+IF($B$1+50&lt;=$B88,12*$B$7,-12*MAX(0,$B$6-IF($B$1+50&gt;=$B$23,$B$22,0))*(1+$B$4)^50))*IF(AZ88+IF($B$1+50&lt;=$B88,12*$B$7,-12*MAX(0,$B$6-IF($B$1+50&gt;=$B$23,$B$22,0))*(1+$B$4)^50)&gt;0,1+$B$3,1))</f>
        <v/>
      </c>
      <c r="BB88">
        <f>IF($B$1+51&gt;90,BA88,(BA88+IF($B$1+51&lt;=$B88,12*$B$7,-12*MAX(0,$B$6-IF($B$1+51&gt;=$B$23,$B$22,0))*(1+$B$4)^51))*IF(BA88+IF($B$1+51&lt;=$B88,12*$B$7,-12*MAX(0,$B$6-IF($B$1+51&gt;=$B$23,$B$22,0))*(1+$B$4)^51)&gt;0,1+$B$3,1))</f>
        <v/>
      </c>
      <c r="BC88">
        <f>IF($B$1+52&gt;90,BB88,(BB88+IF($B$1+52&lt;=$B88,12*$B$7,-12*MAX(0,$B$6-IF($B$1+52&gt;=$B$23,$B$22,0))*(1+$B$4)^52))*IF(BB88+IF($B$1+52&lt;=$B88,12*$B$7,-12*MAX(0,$B$6-IF($B$1+52&gt;=$B$23,$B$22,0))*(1+$B$4)^52)&gt;0,1+$B$3,1))</f>
        <v/>
      </c>
      <c r="BD88">
        <f>IF($B$1+53&gt;90,BC88,(BC88+IF($B$1+53&lt;=$B88,12*$B$7,-12*MAX(0,$B$6-IF($B$1+53&gt;=$B$23,$B$22,0))*(1+$B$4)^53))*IF(BC88+IF($B$1+53&lt;=$B88,12*$B$7,-12*MAX(0,$B$6-IF($B$1+53&gt;=$B$23,$B$22,0))*(1+$B$4)^53)&gt;0,1+$B$3,1))</f>
        <v/>
      </c>
      <c r="BE88">
        <f>IF($B$1+54&gt;90,BD88,(BD88+IF($B$1+54&lt;=$B88,12*$B$7,-12*MAX(0,$B$6-IF($B$1+54&gt;=$B$23,$B$22,0))*(1+$B$4)^54))*IF(BD88+IF($B$1+54&lt;=$B88,12*$B$7,-12*MAX(0,$B$6-IF($B$1+54&gt;=$B$23,$B$22,0))*(1+$B$4)^54)&gt;0,1+$B$3,1))</f>
        <v/>
      </c>
      <c r="BF88">
        <f>IF($B$1+55&gt;90,BE88,(BE88+IF($B$1+55&lt;=$B88,12*$B$7,-12*MAX(0,$B$6-IF($B$1+55&gt;=$B$23,$B$22,0))*(1+$B$4)^55))*IF(BE88+IF($B$1+55&lt;=$B88,12*$B$7,-12*MAX(0,$B$6-IF($B$1+55&gt;=$B$23,$B$22,0))*(1+$B$4)^55)&gt;0,1+$B$3,1))</f>
        <v/>
      </c>
      <c r="BG88">
        <f>IF($B$1+56&gt;90,BF88,(BF88+IF($B$1+56&lt;=$B88,12*$B$7,-12*MAX(0,$B$6-IF($B$1+56&gt;=$B$23,$B$22,0))*(1+$B$4)^56))*IF(BF88+IF($B$1+56&lt;=$B88,12*$B$7,-12*MAX(0,$B$6-IF($B$1+56&gt;=$B$23,$B$22,0))*(1+$B$4)^56)&gt;0,1+$B$3,1))</f>
        <v/>
      </c>
      <c r="BH88">
        <f>IF($B$1+57&gt;90,BG88,(BG88+IF($B$1+57&lt;=$B88,12*$B$7,-12*MAX(0,$B$6-IF($B$1+57&gt;=$B$23,$B$22,0))*(1+$B$4)^57))*IF(BG88+IF($B$1+57&lt;=$B88,12*$B$7,-12*MAX(0,$B$6-IF($B$1+57&gt;=$B$23,$B$22,0))*(1+$B$4)^57)&gt;0,1+$B$3,1))</f>
        <v/>
      </c>
      <c r="BI88">
        <f>IF($B$1+58&gt;90,BH88,(BH88+IF($B$1+58&lt;=$B88,12*$B$7,-12*MAX(0,$B$6-IF($B$1+58&gt;=$B$23,$B$22,0))*(1+$B$4)^58))*IF(BH88+IF($B$1+58&lt;=$B88,12*$B$7,-12*MAX(0,$B$6-IF($B$1+58&gt;=$B$23,$B$22,0))*(1+$B$4)^58)&gt;0,1+$B$3,1))</f>
        <v/>
      </c>
      <c r="BJ88">
        <f>IF($B$1+59&gt;90,BI88,(BI88+IF($B$1+59&lt;=$B88,12*$B$7,-12*MAX(0,$B$6-IF($B$1+59&gt;=$B$23,$B$22,0))*(1+$B$4)^59))*IF(BI88+IF($B$1+59&lt;=$B88,12*$B$7,-12*MAX(0,$B$6-IF($B$1+59&gt;=$B$23,$B$22,0))*(1+$B$4)^59)&gt;0,1+$B$3,1))</f>
        <v/>
      </c>
      <c r="BK88">
        <f>IF($B$1+60&gt;90,BJ88,(BJ88+IF($B$1+60&lt;=$B88,12*$B$7,-12*MAX(0,$B$6-IF($B$1+60&gt;=$B$23,$B$22,0))*(1+$B$4)^60))*IF(BJ88+IF($B$1+60&lt;=$B88,12*$B$7,-12*MAX(0,$B$6-IF($B$1+60&gt;=$B$23,$B$22,0))*(1+$B$4)^60)&gt;0,1+$B$3,1))</f>
        <v/>
      </c>
      <c r="BL88">
        <f>IF($B$1+61&gt;90,BK88,(BK88+IF($B$1+61&lt;=$B88,12*$B$7,-12*MAX(0,$B$6-IF($B$1+61&gt;=$B$23,$B$22,0))*(1+$B$4)^61))*IF(BK88+IF($B$1+61&lt;=$B88,12*$B$7,-12*MAX(0,$B$6-IF($B$1+61&gt;=$B$23,$B$22,0))*(1+$B$4)^61)&gt;0,1+$B$3,1))</f>
        <v/>
      </c>
      <c r="BM88">
        <f>IF($B$1+62&gt;90,BL88,(BL88+IF($B$1+62&lt;=$B88,12*$B$7,-12*MAX(0,$B$6-IF($B$1+62&gt;=$B$23,$B$22,0))*(1+$B$4)^62))*IF(BL88+IF($B$1+62&lt;=$B88,12*$B$7,-12*MAX(0,$B$6-IF($B$1+62&gt;=$B$23,$B$22,0))*(1+$B$4)^62)&gt;0,1+$B$3,1))</f>
        <v/>
      </c>
      <c r="BN88">
        <f>IF($B$1+63&gt;90,BM88,(BM88+IF($B$1+63&lt;=$B88,12*$B$7,-12*MAX(0,$B$6-IF($B$1+63&gt;=$B$23,$B$22,0))*(1+$B$4)^63))*IF(BM88+IF($B$1+63&lt;=$B88,12*$B$7,-12*MAX(0,$B$6-IF($B$1+63&gt;=$B$23,$B$22,0))*(1+$B$4)^63)&gt;0,1+$B$3,1))</f>
        <v/>
      </c>
      <c r="BO88">
        <f>IF($B$1+64&gt;90,BN88,(BN88+IF($B$1+64&lt;=$B88,12*$B$7,-12*MAX(0,$B$6-IF($B$1+64&gt;=$B$23,$B$22,0))*(1+$B$4)^64))*IF(BN88+IF($B$1+64&lt;=$B88,12*$B$7,-12*MAX(0,$B$6-IF($B$1+64&gt;=$B$23,$B$22,0))*(1+$B$4)^64)&gt;0,1+$B$3,1))</f>
        <v/>
      </c>
      <c r="BP88">
        <f>IF($B$1+65&gt;90,BO88,(BO88+IF($B$1+65&lt;=$B88,12*$B$7,-12*MAX(0,$B$6-IF($B$1+65&gt;=$B$23,$B$22,0))*(1+$B$4)^65))*IF(BO88+IF($B$1+65&lt;=$B88,12*$B$7,-12*MAX(0,$B$6-IF($B$1+65&gt;=$B$23,$B$22,0))*(1+$B$4)^65)&gt;0,1+$B$3,1))</f>
        <v/>
      </c>
      <c r="BQ88">
        <f>IF($B$1+66&gt;90,BP88,(BP88+IF($B$1+66&lt;=$B88,12*$B$7,-12*MAX(0,$B$6-IF($B$1+66&gt;=$B$23,$B$22,0))*(1+$B$4)^66))*IF(BP88+IF($B$1+66&lt;=$B88,12*$B$7,-12*MAX(0,$B$6-IF($B$1+66&gt;=$B$23,$B$22,0))*(1+$B$4)^66)&gt;0,1+$B$3,1))</f>
        <v/>
      </c>
      <c r="BR88">
        <f>IF($B$1+67&gt;90,BQ88,(BQ88+IF($B$1+67&lt;=$B88,12*$B$7,-12*MAX(0,$B$6-IF($B$1+67&gt;=$B$23,$B$22,0))*(1+$B$4)^67))*IF(BQ88+IF($B$1+67&lt;=$B88,12*$B$7,-12*MAX(0,$B$6-IF($B$1+67&gt;=$B$23,$B$22,0))*(1+$B$4)^67)&gt;0,1+$B$3,1))</f>
        <v/>
      </c>
      <c r="BS88">
        <f>IF($B$1+68&gt;90,BR88,(BR88+IF($B$1+68&lt;=$B88,12*$B$7,-12*MAX(0,$B$6-IF($B$1+68&gt;=$B$23,$B$22,0))*(1+$B$4)^68))*IF(BR88+IF($B$1+68&lt;=$B88,12*$B$7,-12*MAX(0,$B$6-IF($B$1+68&gt;=$B$23,$B$22,0))*(1+$B$4)^68)&gt;0,1+$B$3,1))</f>
        <v/>
      </c>
      <c r="BT88">
        <f>IF($B$1+69&gt;90,BS88,(BS88+IF($B$1+69&lt;=$B88,12*$B$7,-12*MAX(0,$B$6-IF($B$1+69&gt;=$B$23,$B$22,0))*(1+$B$4)^69))*IF(BS88+IF($B$1+69&lt;=$B88,12*$B$7,-12*MAX(0,$B$6-IF($B$1+69&gt;=$B$23,$B$22,0))*(1+$B$4)^69)&gt;0,1+$B$3,1))</f>
        <v/>
      </c>
      <c r="BU88">
        <f>IF($B$1+70&gt;90,BT88,(BT88+IF($B$1+70&lt;=$B88,12*$B$7,-12*MAX(0,$B$6-IF($B$1+70&gt;=$B$23,$B$22,0))*(1+$B$4)^70))*IF(BT88+IF($B$1+70&lt;=$B88,12*$B$7,-12*MAX(0,$B$6-IF($B$1+70&gt;=$B$23,$B$22,0))*(1+$B$4)^70)&gt;0,1+$B$3,1))</f>
        <v/>
      </c>
      <c r="BV88">
        <f>BU88</f>
        <v/>
      </c>
      <c r="BW88">
        <f>IF(AND($B88&lt;=70,BV88&gt;0),$B88,999)</f>
        <v/>
      </c>
      <c r="CH88">
        <f>IF(ISTEXT('월 가계부'!A88),SUBSTITUTE(SUBSTITUTE(SUBSTITUTE(SUBSTITUTE(SUBSTITUTE(SUBSTITUTE(SUBSTITUTE(SUBSTITUTE(SUBSTITUTE(TRIM('월 가계부'!A88),"년","-"),"월","-"),"일",""),".","-"),"/","-")," ","-"),"--","-"),"--","-"),"--","-")&amp;"-","")</f>
        <v/>
      </c>
      <c r="CI88">
        <f>IFERROR(IF('월 가계부'!A88="","",IF(ISNUMBER('월 가계부'!A88),IF(AND('월 가계부'!A88&gt;=19000101,'월 가계부'!A88&lt;=21001231),IF(AND(MOD(INT('월 가계부'!A88/100),100)&gt;=1,MOD(INT('월 가계부'!A88/100),100)&lt;=12,MOD(INT('월 가계부'!A88),100)&gt;=1,MOD(INT('월 가계부'!A88),100)&lt;=31),IF(MONTH(DATE(INT('월 가계부'!A88/10000),MOD(INT('월 가계부'!A88/100),100),MOD(INT('월 가계부'!A88),100)))=MOD(INT('월 가계부'!A88/100),100),DATE(INT('월 가계부'!A88/10000),MOD(INT('월 가계부'!A88/100),100),MOD(INT('월 가계부'!A88),100)),""),""),IF(AND('월 가계부'!A88&gt;=36526,'월 가계부'!A88&lt;73051),INT('월 가계부'!A88),"")),IF(OR(CM88="",CN88="",CO88=""),"",IF(AND(CM88&gt;=2000,CM88&lt;=2099,CN88&gt;=1,CN88&lt;=12,CO88&gt;=1,CO88&lt;=31),IF(MONTH(DATE(CM88,CN88,CO88))=CN88,DATE(CM88,CN88,CO88),""),"")))),"")</f>
        <v/>
      </c>
      <c r="CJ88">
        <f>IFERROR(IF('월 가계부'!C88="","",IF(ISNUMBER('월 가계부'!C88),'월 가계부'!C88,VALUE(SUBSTITUTE(SUBSTITUTE(SUBSTITUTE(SUBSTITUTE(TRIM('월 가계부'!C88),",",""),"원","")," ",""),"−","-")))),"")</f>
        <v/>
      </c>
      <c r="CK88">
        <f>IF(ISNUMBER(CI88),IF(CI88&lt;$B$13,CI88,""),"")</f>
        <v/>
      </c>
      <c r="CM88">
        <f>IF(CH88="","",IFERROR(IF(IF(AND(LEN(CH88)=9,ISERROR(FIND("-",LEFT(CH88,8))),ISNUMBER(-LEFT(CH88,8))),VALUE(LEFT(CH88,4)),VALUE(LEFT(CH88,FIND("-",CH88)-1)))&lt;100,IF(AND(LEN(CH88)=9,ISERROR(FIND("-",LEFT(CH88,8))),ISNUMBER(-LEFT(CH88,8))),VALUE(LEFT(CH88,4)),VALUE(LEFT(CH88,FIND("-",CH88)-1)))+2000,IF(AND(LEN(CH88)=9,ISERROR(FIND("-",LEFT(CH88,8))),ISNUMBER(-LEFT(CH88,8))),VALUE(LEFT(CH88,4)),VALUE(LEFT(CH88,FIND("-",CH88)-1)))),""))</f>
        <v/>
      </c>
      <c r="CN88">
        <f>IF(CH88="","",IFERROR(IF(AND(LEN(CH88)=9,ISERROR(FIND("-",LEFT(CH88,8))),ISNUMBER(-LEFT(CH88,8))),VALUE(MID(CH88,5,2)),VALUE(MID(CH88,FIND("-",CH88)+1,FIND("-",CH88,FIND("-",CH88)+1)-FIND("-",CH88)-1))),""))</f>
        <v/>
      </c>
      <c r="CO88">
        <f>IF(CH88="","",IFERROR(IF(AND(LEN(CH88)=9,ISERROR(FIND("-",LEFT(CH88,8))),ISNUMBER(-LEFT(CH88,8))),VALUE(MID(CH88,7,2)),VALUE(MID(CH88,FIND("-",CH88,FIND("-",CH88)+1)+1,FIND("-",CH88,FIND("-",CH88,FIND("-",CH88)+1)+1)-FIND("-",CH88,FIND("-",CH88)+1)-1))),""))</f>
        <v/>
      </c>
    </row>
    <row r="89">
      <c r="A89" t="n">
        <v>49</v>
      </c>
      <c r="B89">
        <f>$B$1+49</f>
        <v/>
      </c>
      <c r="C89">
        <f>$B$2</f>
        <v/>
      </c>
      <c r="D89">
        <f>IF($B$1+1&gt;90,C89,(C89+IF($B$1+1&lt;=$B89,12*$B$7,-12*MAX(0,$B$6-IF($B$1+1&gt;=$B$23,$B$22,0))*(1+$B$4)^1))*IF(C89+IF($B$1+1&lt;=$B89,12*$B$7,-12*MAX(0,$B$6-IF($B$1+1&gt;=$B$23,$B$22,0))*(1+$B$4)^1)&gt;0,1+$B$3,1))</f>
        <v/>
      </c>
      <c r="E89">
        <f>IF($B$1+2&gt;90,D89,(D89+IF($B$1+2&lt;=$B89,12*$B$7,-12*MAX(0,$B$6-IF($B$1+2&gt;=$B$23,$B$22,0))*(1+$B$4)^2))*IF(D89+IF($B$1+2&lt;=$B89,12*$B$7,-12*MAX(0,$B$6-IF($B$1+2&gt;=$B$23,$B$22,0))*(1+$B$4)^2)&gt;0,1+$B$3,1))</f>
        <v/>
      </c>
      <c r="F89">
        <f>IF($B$1+3&gt;90,E89,(E89+IF($B$1+3&lt;=$B89,12*$B$7,-12*MAX(0,$B$6-IF($B$1+3&gt;=$B$23,$B$22,0))*(1+$B$4)^3))*IF(E89+IF($B$1+3&lt;=$B89,12*$B$7,-12*MAX(0,$B$6-IF($B$1+3&gt;=$B$23,$B$22,0))*(1+$B$4)^3)&gt;0,1+$B$3,1))</f>
        <v/>
      </c>
      <c r="G89">
        <f>IF($B$1+4&gt;90,F89,(F89+IF($B$1+4&lt;=$B89,12*$B$7,-12*MAX(0,$B$6-IF($B$1+4&gt;=$B$23,$B$22,0))*(1+$B$4)^4))*IF(F89+IF($B$1+4&lt;=$B89,12*$B$7,-12*MAX(0,$B$6-IF($B$1+4&gt;=$B$23,$B$22,0))*(1+$B$4)^4)&gt;0,1+$B$3,1))</f>
        <v/>
      </c>
      <c r="H89">
        <f>IF($B$1+5&gt;90,G89,(G89+IF($B$1+5&lt;=$B89,12*$B$7,-12*MAX(0,$B$6-IF($B$1+5&gt;=$B$23,$B$22,0))*(1+$B$4)^5))*IF(G89+IF($B$1+5&lt;=$B89,12*$B$7,-12*MAX(0,$B$6-IF($B$1+5&gt;=$B$23,$B$22,0))*(1+$B$4)^5)&gt;0,1+$B$3,1))</f>
        <v/>
      </c>
      <c r="I89">
        <f>IF($B$1+6&gt;90,H89,(H89+IF($B$1+6&lt;=$B89,12*$B$7,-12*MAX(0,$B$6-IF($B$1+6&gt;=$B$23,$B$22,0))*(1+$B$4)^6))*IF(H89+IF($B$1+6&lt;=$B89,12*$B$7,-12*MAX(0,$B$6-IF($B$1+6&gt;=$B$23,$B$22,0))*(1+$B$4)^6)&gt;0,1+$B$3,1))</f>
        <v/>
      </c>
      <c r="J89">
        <f>IF($B$1+7&gt;90,I89,(I89+IF($B$1+7&lt;=$B89,12*$B$7,-12*MAX(0,$B$6-IF($B$1+7&gt;=$B$23,$B$22,0))*(1+$B$4)^7))*IF(I89+IF($B$1+7&lt;=$B89,12*$B$7,-12*MAX(0,$B$6-IF($B$1+7&gt;=$B$23,$B$22,0))*(1+$B$4)^7)&gt;0,1+$B$3,1))</f>
        <v/>
      </c>
      <c r="K89">
        <f>IF($B$1+8&gt;90,J89,(J89+IF($B$1+8&lt;=$B89,12*$B$7,-12*MAX(0,$B$6-IF($B$1+8&gt;=$B$23,$B$22,0))*(1+$B$4)^8))*IF(J89+IF($B$1+8&lt;=$B89,12*$B$7,-12*MAX(0,$B$6-IF($B$1+8&gt;=$B$23,$B$22,0))*(1+$B$4)^8)&gt;0,1+$B$3,1))</f>
        <v/>
      </c>
      <c r="L89">
        <f>IF($B$1+9&gt;90,K89,(K89+IF($B$1+9&lt;=$B89,12*$B$7,-12*MAX(0,$B$6-IF($B$1+9&gt;=$B$23,$B$22,0))*(1+$B$4)^9))*IF(K89+IF($B$1+9&lt;=$B89,12*$B$7,-12*MAX(0,$B$6-IF($B$1+9&gt;=$B$23,$B$22,0))*(1+$B$4)^9)&gt;0,1+$B$3,1))</f>
        <v/>
      </c>
      <c r="M89">
        <f>IF($B$1+10&gt;90,L89,(L89+IF($B$1+10&lt;=$B89,12*$B$7,-12*MAX(0,$B$6-IF($B$1+10&gt;=$B$23,$B$22,0))*(1+$B$4)^10))*IF(L89+IF($B$1+10&lt;=$B89,12*$B$7,-12*MAX(0,$B$6-IF($B$1+10&gt;=$B$23,$B$22,0))*(1+$B$4)^10)&gt;0,1+$B$3,1))</f>
        <v/>
      </c>
      <c r="N89">
        <f>IF($B$1+11&gt;90,M89,(M89+IF($B$1+11&lt;=$B89,12*$B$7,-12*MAX(0,$B$6-IF($B$1+11&gt;=$B$23,$B$22,0))*(1+$B$4)^11))*IF(M89+IF($B$1+11&lt;=$B89,12*$B$7,-12*MAX(0,$B$6-IF($B$1+11&gt;=$B$23,$B$22,0))*(1+$B$4)^11)&gt;0,1+$B$3,1))</f>
        <v/>
      </c>
      <c r="O89">
        <f>IF($B$1+12&gt;90,N89,(N89+IF($B$1+12&lt;=$B89,12*$B$7,-12*MAX(0,$B$6-IF($B$1+12&gt;=$B$23,$B$22,0))*(1+$B$4)^12))*IF(N89+IF($B$1+12&lt;=$B89,12*$B$7,-12*MAX(0,$B$6-IF($B$1+12&gt;=$B$23,$B$22,0))*(1+$B$4)^12)&gt;0,1+$B$3,1))</f>
        <v/>
      </c>
      <c r="P89">
        <f>IF($B$1+13&gt;90,O89,(O89+IF($B$1+13&lt;=$B89,12*$B$7,-12*MAX(0,$B$6-IF($B$1+13&gt;=$B$23,$B$22,0))*(1+$B$4)^13))*IF(O89+IF($B$1+13&lt;=$B89,12*$B$7,-12*MAX(0,$B$6-IF($B$1+13&gt;=$B$23,$B$22,0))*(1+$B$4)^13)&gt;0,1+$B$3,1))</f>
        <v/>
      </c>
      <c r="Q89">
        <f>IF($B$1+14&gt;90,P89,(P89+IF($B$1+14&lt;=$B89,12*$B$7,-12*MAX(0,$B$6-IF($B$1+14&gt;=$B$23,$B$22,0))*(1+$B$4)^14))*IF(P89+IF($B$1+14&lt;=$B89,12*$B$7,-12*MAX(0,$B$6-IF($B$1+14&gt;=$B$23,$B$22,0))*(1+$B$4)^14)&gt;0,1+$B$3,1))</f>
        <v/>
      </c>
      <c r="R89">
        <f>IF($B$1+15&gt;90,Q89,(Q89+IF($B$1+15&lt;=$B89,12*$B$7,-12*MAX(0,$B$6-IF($B$1+15&gt;=$B$23,$B$22,0))*(1+$B$4)^15))*IF(Q89+IF($B$1+15&lt;=$B89,12*$B$7,-12*MAX(0,$B$6-IF($B$1+15&gt;=$B$23,$B$22,0))*(1+$B$4)^15)&gt;0,1+$B$3,1))</f>
        <v/>
      </c>
      <c r="S89">
        <f>IF($B$1+16&gt;90,R89,(R89+IF($B$1+16&lt;=$B89,12*$B$7,-12*MAX(0,$B$6-IF($B$1+16&gt;=$B$23,$B$22,0))*(1+$B$4)^16))*IF(R89+IF($B$1+16&lt;=$B89,12*$B$7,-12*MAX(0,$B$6-IF($B$1+16&gt;=$B$23,$B$22,0))*(1+$B$4)^16)&gt;0,1+$B$3,1))</f>
        <v/>
      </c>
      <c r="T89">
        <f>IF($B$1+17&gt;90,S89,(S89+IF($B$1+17&lt;=$B89,12*$B$7,-12*MAX(0,$B$6-IF($B$1+17&gt;=$B$23,$B$22,0))*(1+$B$4)^17))*IF(S89+IF($B$1+17&lt;=$B89,12*$B$7,-12*MAX(0,$B$6-IF($B$1+17&gt;=$B$23,$B$22,0))*(1+$B$4)^17)&gt;0,1+$B$3,1))</f>
        <v/>
      </c>
      <c r="U89">
        <f>IF($B$1+18&gt;90,T89,(T89+IF($B$1+18&lt;=$B89,12*$B$7,-12*MAX(0,$B$6-IF($B$1+18&gt;=$B$23,$B$22,0))*(1+$B$4)^18))*IF(T89+IF($B$1+18&lt;=$B89,12*$B$7,-12*MAX(0,$B$6-IF($B$1+18&gt;=$B$23,$B$22,0))*(1+$B$4)^18)&gt;0,1+$B$3,1))</f>
        <v/>
      </c>
      <c r="V89">
        <f>IF($B$1+19&gt;90,U89,(U89+IF($B$1+19&lt;=$B89,12*$B$7,-12*MAX(0,$B$6-IF($B$1+19&gt;=$B$23,$B$22,0))*(1+$B$4)^19))*IF(U89+IF($B$1+19&lt;=$B89,12*$B$7,-12*MAX(0,$B$6-IF($B$1+19&gt;=$B$23,$B$22,0))*(1+$B$4)^19)&gt;0,1+$B$3,1))</f>
        <v/>
      </c>
      <c r="W89">
        <f>IF($B$1+20&gt;90,V89,(V89+IF($B$1+20&lt;=$B89,12*$B$7,-12*MAX(0,$B$6-IF($B$1+20&gt;=$B$23,$B$22,0))*(1+$B$4)^20))*IF(V89+IF($B$1+20&lt;=$B89,12*$B$7,-12*MAX(0,$B$6-IF($B$1+20&gt;=$B$23,$B$22,0))*(1+$B$4)^20)&gt;0,1+$B$3,1))</f>
        <v/>
      </c>
      <c r="X89">
        <f>IF($B$1+21&gt;90,W89,(W89+IF($B$1+21&lt;=$B89,12*$B$7,-12*MAX(0,$B$6-IF($B$1+21&gt;=$B$23,$B$22,0))*(1+$B$4)^21))*IF(W89+IF($B$1+21&lt;=$B89,12*$B$7,-12*MAX(0,$B$6-IF($B$1+21&gt;=$B$23,$B$22,0))*(1+$B$4)^21)&gt;0,1+$B$3,1))</f>
        <v/>
      </c>
      <c r="Y89">
        <f>IF($B$1+22&gt;90,X89,(X89+IF($B$1+22&lt;=$B89,12*$B$7,-12*MAX(0,$B$6-IF($B$1+22&gt;=$B$23,$B$22,0))*(1+$B$4)^22))*IF(X89+IF($B$1+22&lt;=$B89,12*$B$7,-12*MAX(0,$B$6-IF($B$1+22&gt;=$B$23,$B$22,0))*(1+$B$4)^22)&gt;0,1+$B$3,1))</f>
        <v/>
      </c>
      <c r="Z89">
        <f>IF($B$1+23&gt;90,Y89,(Y89+IF($B$1+23&lt;=$B89,12*$B$7,-12*MAX(0,$B$6-IF($B$1+23&gt;=$B$23,$B$22,0))*(1+$B$4)^23))*IF(Y89+IF($B$1+23&lt;=$B89,12*$B$7,-12*MAX(0,$B$6-IF($B$1+23&gt;=$B$23,$B$22,0))*(1+$B$4)^23)&gt;0,1+$B$3,1))</f>
        <v/>
      </c>
      <c r="AA89">
        <f>IF($B$1+24&gt;90,Z89,(Z89+IF($B$1+24&lt;=$B89,12*$B$7,-12*MAX(0,$B$6-IF($B$1+24&gt;=$B$23,$B$22,0))*(1+$B$4)^24))*IF(Z89+IF($B$1+24&lt;=$B89,12*$B$7,-12*MAX(0,$B$6-IF($B$1+24&gt;=$B$23,$B$22,0))*(1+$B$4)^24)&gt;0,1+$B$3,1))</f>
        <v/>
      </c>
      <c r="AB89">
        <f>IF($B$1+25&gt;90,AA89,(AA89+IF($B$1+25&lt;=$B89,12*$B$7,-12*MAX(0,$B$6-IF($B$1+25&gt;=$B$23,$B$22,0))*(1+$B$4)^25))*IF(AA89+IF($B$1+25&lt;=$B89,12*$B$7,-12*MAX(0,$B$6-IF($B$1+25&gt;=$B$23,$B$22,0))*(1+$B$4)^25)&gt;0,1+$B$3,1))</f>
        <v/>
      </c>
      <c r="AC89">
        <f>IF($B$1+26&gt;90,AB89,(AB89+IF($B$1+26&lt;=$B89,12*$B$7,-12*MAX(0,$B$6-IF($B$1+26&gt;=$B$23,$B$22,0))*(1+$B$4)^26))*IF(AB89+IF($B$1+26&lt;=$B89,12*$B$7,-12*MAX(0,$B$6-IF($B$1+26&gt;=$B$23,$B$22,0))*(1+$B$4)^26)&gt;0,1+$B$3,1))</f>
        <v/>
      </c>
      <c r="AD89">
        <f>IF($B$1+27&gt;90,AC89,(AC89+IF($B$1+27&lt;=$B89,12*$B$7,-12*MAX(0,$B$6-IF($B$1+27&gt;=$B$23,$B$22,0))*(1+$B$4)^27))*IF(AC89+IF($B$1+27&lt;=$B89,12*$B$7,-12*MAX(0,$B$6-IF($B$1+27&gt;=$B$23,$B$22,0))*(1+$B$4)^27)&gt;0,1+$B$3,1))</f>
        <v/>
      </c>
      <c r="AE89">
        <f>IF($B$1+28&gt;90,AD89,(AD89+IF($B$1+28&lt;=$B89,12*$B$7,-12*MAX(0,$B$6-IF($B$1+28&gt;=$B$23,$B$22,0))*(1+$B$4)^28))*IF(AD89+IF($B$1+28&lt;=$B89,12*$B$7,-12*MAX(0,$B$6-IF($B$1+28&gt;=$B$23,$B$22,0))*(1+$B$4)^28)&gt;0,1+$B$3,1))</f>
        <v/>
      </c>
      <c r="AF89">
        <f>IF($B$1+29&gt;90,AE89,(AE89+IF($B$1+29&lt;=$B89,12*$B$7,-12*MAX(0,$B$6-IF($B$1+29&gt;=$B$23,$B$22,0))*(1+$B$4)^29))*IF(AE89+IF($B$1+29&lt;=$B89,12*$B$7,-12*MAX(0,$B$6-IF($B$1+29&gt;=$B$23,$B$22,0))*(1+$B$4)^29)&gt;0,1+$B$3,1))</f>
        <v/>
      </c>
      <c r="AG89">
        <f>IF($B$1+30&gt;90,AF89,(AF89+IF($B$1+30&lt;=$B89,12*$B$7,-12*MAX(0,$B$6-IF($B$1+30&gt;=$B$23,$B$22,0))*(1+$B$4)^30))*IF(AF89+IF($B$1+30&lt;=$B89,12*$B$7,-12*MAX(0,$B$6-IF($B$1+30&gt;=$B$23,$B$22,0))*(1+$B$4)^30)&gt;0,1+$B$3,1))</f>
        <v/>
      </c>
      <c r="AH89">
        <f>IF($B$1+31&gt;90,AG89,(AG89+IF($B$1+31&lt;=$B89,12*$B$7,-12*MAX(0,$B$6-IF($B$1+31&gt;=$B$23,$B$22,0))*(1+$B$4)^31))*IF(AG89+IF($B$1+31&lt;=$B89,12*$B$7,-12*MAX(0,$B$6-IF($B$1+31&gt;=$B$23,$B$22,0))*(1+$B$4)^31)&gt;0,1+$B$3,1))</f>
        <v/>
      </c>
      <c r="AI89">
        <f>IF($B$1+32&gt;90,AH89,(AH89+IF($B$1+32&lt;=$B89,12*$B$7,-12*MAX(0,$B$6-IF($B$1+32&gt;=$B$23,$B$22,0))*(1+$B$4)^32))*IF(AH89+IF($B$1+32&lt;=$B89,12*$B$7,-12*MAX(0,$B$6-IF($B$1+32&gt;=$B$23,$B$22,0))*(1+$B$4)^32)&gt;0,1+$B$3,1))</f>
        <v/>
      </c>
      <c r="AJ89">
        <f>IF($B$1+33&gt;90,AI89,(AI89+IF($B$1+33&lt;=$B89,12*$B$7,-12*MAX(0,$B$6-IF($B$1+33&gt;=$B$23,$B$22,0))*(1+$B$4)^33))*IF(AI89+IF($B$1+33&lt;=$B89,12*$B$7,-12*MAX(0,$B$6-IF($B$1+33&gt;=$B$23,$B$22,0))*(1+$B$4)^33)&gt;0,1+$B$3,1))</f>
        <v/>
      </c>
      <c r="AK89">
        <f>IF($B$1+34&gt;90,AJ89,(AJ89+IF($B$1+34&lt;=$B89,12*$B$7,-12*MAX(0,$B$6-IF($B$1+34&gt;=$B$23,$B$22,0))*(1+$B$4)^34))*IF(AJ89+IF($B$1+34&lt;=$B89,12*$B$7,-12*MAX(0,$B$6-IF($B$1+34&gt;=$B$23,$B$22,0))*(1+$B$4)^34)&gt;0,1+$B$3,1))</f>
        <v/>
      </c>
      <c r="AL89">
        <f>IF($B$1+35&gt;90,AK89,(AK89+IF($B$1+35&lt;=$B89,12*$B$7,-12*MAX(0,$B$6-IF($B$1+35&gt;=$B$23,$B$22,0))*(1+$B$4)^35))*IF(AK89+IF($B$1+35&lt;=$B89,12*$B$7,-12*MAX(0,$B$6-IF($B$1+35&gt;=$B$23,$B$22,0))*(1+$B$4)^35)&gt;0,1+$B$3,1))</f>
        <v/>
      </c>
      <c r="AM89">
        <f>IF($B$1+36&gt;90,AL89,(AL89+IF($B$1+36&lt;=$B89,12*$B$7,-12*MAX(0,$B$6-IF($B$1+36&gt;=$B$23,$B$22,0))*(1+$B$4)^36))*IF(AL89+IF($B$1+36&lt;=$B89,12*$B$7,-12*MAX(0,$B$6-IF($B$1+36&gt;=$B$23,$B$22,0))*(1+$B$4)^36)&gt;0,1+$B$3,1))</f>
        <v/>
      </c>
      <c r="AN89">
        <f>IF($B$1+37&gt;90,AM89,(AM89+IF($B$1+37&lt;=$B89,12*$B$7,-12*MAX(0,$B$6-IF($B$1+37&gt;=$B$23,$B$22,0))*(1+$B$4)^37))*IF(AM89+IF($B$1+37&lt;=$B89,12*$B$7,-12*MAX(0,$B$6-IF($B$1+37&gt;=$B$23,$B$22,0))*(1+$B$4)^37)&gt;0,1+$B$3,1))</f>
        <v/>
      </c>
      <c r="AO89">
        <f>IF($B$1+38&gt;90,AN89,(AN89+IF($B$1+38&lt;=$B89,12*$B$7,-12*MAX(0,$B$6-IF($B$1+38&gt;=$B$23,$B$22,0))*(1+$B$4)^38))*IF(AN89+IF($B$1+38&lt;=$B89,12*$B$7,-12*MAX(0,$B$6-IF($B$1+38&gt;=$B$23,$B$22,0))*(1+$B$4)^38)&gt;0,1+$B$3,1))</f>
        <v/>
      </c>
      <c r="AP89">
        <f>IF($B$1+39&gt;90,AO89,(AO89+IF($B$1+39&lt;=$B89,12*$B$7,-12*MAX(0,$B$6-IF($B$1+39&gt;=$B$23,$B$22,0))*(1+$B$4)^39))*IF(AO89+IF($B$1+39&lt;=$B89,12*$B$7,-12*MAX(0,$B$6-IF($B$1+39&gt;=$B$23,$B$22,0))*(1+$B$4)^39)&gt;0,1+$B$3,1))</f>
        <v/>
      </c>
      <c r="AQ89">
        <f>IF($B$1+40&gt;90,AP89,(AP89+IF($B$1+40&lt;=$B89,12*$B$7,-12*MAX(0,$B$6-IF($B$1+40&gt;=$B$23,$B$22,0))*(1+$B$4)^40))*IF(AP89+IF($B$1+40&lt;=$B89,12*$B$7,-12*MAX(0,$B$6-IF($B$1+40&gt;=$B$23,$B$22,0))*(1+$B$4)^40)&gt;0,1+$B$3,1))</f>
        <v/>
      </c>
      <c r="AR89">
        <f>IF($B$1+41&gt;90,AQ89,(AQ89+IF($B$1+41&lt;=$B89,12*$B$7,-12*MAX(0,$B$6-IF($B$1+41&gt;=$B$23,$B$22,0))*(1+$B$4)^41))*IF(AQ89+IF($B$1+41&lt;=$B89,12*$B$7,-12*MAX(0,$B$6-IF($B$1+41&gt;=$B$23,$B$22,0))*(1+$B$4)^41)&gt;0,1+$B$3,1))</f>
        <v/>
      </c>
      <c r="AS89">
        <f>IF($B$1+42&gt;90,AR89,(AR89+IF($B$1+42&lt;=$B89,12*$B$7,-12*MAX(0,$B$6-IF($B$1+42&gt;=$B$23,$B$22,0))*(1+$B$4)^42))*IF(AR89+IF($B$1+42&lt;=$B89,12*$B$7,-12*MAX(0,$B$6-IF($B$1+42&gt;=$B$23,$B$22,0))*(1+$B$4)^42)&gt;0,1+$B$3,1))</f>
        <v/>
      </c>
      <c r="AT89">
        <f>IF($B$1+43&gt;90,AS89,(AS89+IF($B$1+43&lt;=$B89,12*$B$7,-12*MAX(0,$B$6-IF($B$1+43&gt;=$B$23,$B$22,0))*(1+$B$4)^43))*IF(AS89+IF($B$1+43&lt;=$B89,12*$B$7,-12*MAX(0,$B$6-IF($B$1+43&gt;=$B$23,$B$22,0))*(1+$B$4)^43)&gt;0,1+$B$3,1))</f>
        <v/>
      </c>
      <c r="AU89">
        <f>IF($B$1+44&gt;90,AT89,(AT89+IF($B$1+44&lt;=$B89,12*$B$7,-12*MAX(0,$B$6-IF($B$1+44&gt;=$B$23,$B$22,0))*(1+$B$4)^44))*IF(AT89+IF($B$1+44&lt;=$B89,12*$B$7,-12*MAX(0,$B$6-IF($B$1+44&gt;=$B$23,$B$22,0))*(1+$B$4)^44)&gt;0,1+$B$3,1))</f>
        <v/>
      </c>
      <c r="AV89">
        <f>IF($B$1+45&gt;90,AU89,(AU89+IF($B$1+45&lt;=$B89,12*$B$7,-12*MAX(0,$B$6-IF($B$1+45&gt;=$B$23,$B$22,0))*(1+$B$4)^45))*IF(AU89+IF($B$1+45&lt;=$B89,12*$B$7,-12*MAX(0,$B$6-IF($B$1+45&gt;=$B$23,$B$22,0))*(1+$B$4)^45)&gt;0,1+$B$3,1))</f>
        <v/>
      </c>
      <c r="AW89">
        <f>IF($B$1+46&gt;90,AV89,(AV89+IF($B$1+46&lt;=$B89,12*$B$7,-12*MAX(0,$B$6-IF($B$1+46&gt;=$B$23,$B$22,0))*(1+$B$4)^46))*IF(AV89+IF($B$1+46&lt;=$B89,12*$B$7,-12*MAX(0,$B$6-IF($B$1+46&gt;=$B$23,$B$22,0))*(1+$B$4)^46)&gt;0,1+$B$3,1))</f>
        <v/>
      </c>
      <c r="AX89">
        <f>IF($B$1+47&gt;90,AW89,(AW89+IF($B$1+47&lt;=$B89,12*$B$7,-12*MAX(0,$B$6-IF($B$1+47&gt;=$B$23,$B$22,0))*(1+$B$4)^47))*IF(AW89+IF($B$1+47&lt;=$B89,12*$B$7,-12*MAX(0,$B$6-IF($B$1+47&gt;=$B$23,$B$22,0))*(1+$B$4)^47)&gt;0,1+$B$3,1))</f>
        <v/>
      </c>
      <c r="AY89">
        <f>IF($B$1+48&gt;90,AX89,(AX89+IF($B$1+48&lt;=$B89,12*$B$7,-12*MAX(0,$B$6-IF($B$1+48&gt;=$B$23,$B$22,0))*(1+$B$4)^48))*IF(AX89+IF($B$1+48&lt;=$B89,12*$B$7,-12*MAX(0,$B$6-IF($B$1+48&gt;=$B$23,$B$22,0))*(1+$B$4)^48)&gt;0,1+$B$3,1))</f>
        <v/>
      </c>
      <c r="AZ89">
        <f>IF($B$1+49&gt;90,AY89,(AY89+IF($B$1+49&lt;=$B89,12*$B$7,-12*MAX(0,$B$6-IF($B$1+49&gt;=$B$23,$B$22,0))*(1+$B$4)^49))*IF(AY89+IF($B$1+49&lt;=$B89,12*$B$7,-12*MAX(0,$B$6-IF($B$1+49&gt;=$B$23,$B$22,0))*(1+$B$4)^49)&gt;0,1+$B$3,1))</f>
        <v/>
      </c>
      <c r="BA89">
        <f>IF($B$1+50&gt;90,AZ89,(AZ89+IF($B$1+50&lt;=$B89,12*$B$7,-12*MAX(0,$B$6-IF($B$1+50&gt;=$B$23,$B$22,0))*(1+$B$4)^50))*IF(AZ89+IF($B$1+50&lt;=$B89,12*$B$7,-12*MAX(0,$B$6-IF($B$1+50&gt;=$B$23,$B$22,0))*(1+$B$4)^50)&gt;0,1+$B$3,1))</f>
        <v/>
      </c>
      <c r="BB89">
        <f>IF($B$1+51&gt;90,BA89,(BA89+IF($B$1+51&lt;=$B89,12*$B$7,-12*MAX(0,$B$6-IF($B$1+51&gt;=$B$23,$B$22,0))*(1+$B$4)^51))*IF(BA89+IF($B$1+51&lt;=$B89,12*$B$7,-12*MAX(0,$B$6-IF($B$1+51&gt;=$B$23,$B$22,0))*(1+$B$4)^51)&gt;0,1+$B$3,1))</f>
        <v/>
      </c>
      <c r="BC89">
        <f>IF($B$1+52&gt;90,BB89,(BB89+IF($B$1+52&lt;=$B89,12*$B$7,-12*MAX(0,$B$6-IF($B$1+52&gt;=$B$23,$B$22,0))*(1+$B$4)^52))*IF(BB89+IF($B$1+52&lt;=$B89,12*$B$7,-12*MAX(0,$B$6-IF($B$1+52&gt;=$B$23,$B$22,0))*(1+$B$4)^52)&gt;0,1+$B$3,1))</f>
        <v/>
      </c>
      <c r="BD89">
        <f>IF($B$1+53&gt;90,BC89,(BC89+IF($B$1+53&lt;=$B89,12*$B$7,-12*MAX(0,$B$6-IF($B$1+53&gt;=$B$23,$B$22,0))*(1+$B$4)^53))*IF(BC89+IF($B$1+53&lt;=$B89,12*$B$7,-12*MAX(0,$B$6-IF($B$1+53&gt;=$B$23,$B$22,0))*(1+$B$4)^53)&gt;0,1+$B$3,1))</f>
        <v/>
      </c>
      <c r="BE89">
        <f>IF($B$1+54&gt;90,BD89,(BD89+IF($B$1+54&lt;=$B89,12*$B$7,-12*MAX(0,$B$6-IF($B$1+54&gt;=$B$23,$B$22,0))*(1+$B$4)^54))*IF(BD89+IF($B$1+54&lt;=$B89,12*$B$7,-12*MAX(0,$B$6-IF($B$1+54&gt;=$B$23,$B$22,0))*(1+$B$4)^54)&gt;0,1+$B$3,1))</f>
        <v/>
      </c>
      <c r="BF89">
        <f>IF($B$1+55&gt;90,BE89,(BE89+IF($B$1+55&lt;=$B89,12*$B$7,-12*MAX(0,$B$6-IF($B$1+55&gt;=$B$23,$B$22,0))*(1+$B$4)^55))*IF(BE89+IF($B$1+55&lt;=$B89,12*$B$7,-12*MAX(0,$B$6-IF($B$1+55&gt;=$B$23,$B$22,0))*(1+$B$4)^55)&gt;0,1+$B$3,1))</f>
        <v/>
      </c>
      <c r="BG89">
        <f>IF($B$1+56&gt;90,BF89,(BF89+IF($B$1+56&lt;=$B89,12*$B$7,-12*MAX(0,$B$6-IF($B$1+56&gt;=$B$23,$B$22,0))*(1+$B$4)^56))*IF(BF89+IF($B$1+56&lt;=$B89,12*$B$7,-12*MAX(0,$B$6-IF($B$1+56&gt;=$B$23,$B$22,0))*(1+$B$4)^56)&gt;0,1+$B$3,1))</f>
        <v/>
      </c>
      <c r="BH89">
        <f>IF($B$1+57&gt;90,BG89,(BG89+IF($B$1+57&lt;=$B89,12*$B$7,-12*MAX(0,$B$6-IF($B$1+57&gt;=$B$23,$B$22,0))*(1+$B$4)^57))*IF(BG89+IF($B$1+57&lt;=$B89,12*$B$7,-12*MAX(0,$B$6-IF($B$1+57&gt;=$B$23,$B$22,0))*(1+$B$4)^57)&gt;0,1+$B$3,1))</f>
        <v/>
      </c>
      <c r="BI89">
        <f>IF($B$1+58&gt;90,BH89,(BH89+IF($B$1+58&lt;=$B89,12*$B$7,-12*MAX(0,$B$6-IF($B$1+58&gt;=$B$23,$B$22,0))*(1+$B$4)^58))*IF(BH89+IF($B$1+58&lt;=$B89,12*$B$7,-12*MAX(0,$B$6-IF($B$1+58&gt;=$B$23,$B$22,0))*(1+$B$4)^58)&gt;0,1+$B$3,1))</f>
        <v/>
      </c>
      <c r="BJ89">
        <f>IF($B$1+59&gt;90,BI89,(BI89+IF($B$1+59&lt;=$B89,12*$B$7,-12*MAX(0,$B$6-IF($B$1+59&gt;=$B$23,$B$22,0))*(1+$B$4)^59))*IF(BI89+IF($B$1+59&lt;=$B89,12*$B$7,-12*MAX(0,$B$6-IF($B$1+59&gt;=$B$23,$B$22,0))*(1+$B$4)^59)&gt;0,1+$B$3,1))</f>
        <v/>
      </c>
      <c r="BK89">
        <f>IF($B$1+60&gt;90,BJ89,(BJ89+IF($B$1+60&lt;=$B89,12*$B$7,-12*MAX(0,$B$6-IF($B$1+60&gt;=$B$23,$B$22,0))*(1+$B$4)^60))*IF(BJ89+IF($B$1+60&lt;=$B89,12*$B$7,-12*MAX(0,$B$6-IF($B$1+60&gt;=$B$23,$B$22,0))*(1+$B$4)^60)&gt;0,1+$B$3,1))</f>
        <v/>
      </c>
      <c r="BL89">
        <f>IF($B$1+61&gt;90,BK89,(BK89+IF($B$1+61&lt;=$B89,12*$B$7,-12*MAX(0,$B$6-IF($B$1+61&gt;=$B$23,$B$22,0))*(1+$B$4)^61))*IF(BK89+IF($B$1+61&lt;=$B89,12*$B$7,-12*MAX(0,$B$6-IF($B$1+61&gt;=$B$23,$B$22,0))*(1+$B$4)^61)&gt;0,1+$B$3,1))</f>
        <v/>
      </c>
      <c r="BM89">
        <f>IF($B$1+62&gt;90,BL89,(BL89+IF($B$1+62&lt;=$B89,12*$B$7,-12*MAX(0,$B$6-IF($B$1+62&gt;=$B$23,$B$22,0))*(1+$B$4)^62))*IF(BL89+IF($B$1+62&lt;=$B89,12*$B$7,-12*MAX(0,$B$6-IF($B$1+62&gt;=$B$23,$B$22,0))*(1+$B$4)^62)&gt;0,1+$B$3,1))</f>
        <v/>
      </c>
      <c r="BN89">
        <f>IF($B$1+63&gt;90,BM89,(BM89+IF($B$1+63&lt;=$B89,12*$B$7,-12*MAX(0,$B$6-IF($B$1+63&gt;=$B$23,$B$22,0))*(1+$B$4)^63))*IF(BM89+IF($B$1+63&lt;=$B89,12*$B$7,-12*MAX(0,$B$6-IF($B$1+63&gt;=$B$23,$B$22,0))*(1+$B$4)^63)&gt;0,1+$B$3,1))</f>
        <v/>
      </c>
      <c r="BO89">
        <f>IF($B$1+64&gt;90,BN89,(BN89+IF($B$1+64&lt;=$B89,12*$B$7,-12*MAX(0,$B$6-IF($B$1+64&gt;=$B$23,$B$22,0))*(1+$B$4)^64))*IF(BN89+IF($B$1+64&lt;=$B89,12*$B$7,-12*MAX(0,$B$6-IF($B$1+64&gt;=$B$23,$B$22,0))*(1+$B$4)^64)&gt;0,1+$B$3,1))</f>
        <v/>
      </c>
      <c r="BP89">
        <f>IF($B$1+65&gt;90,BO89,(BO89+IF($B$1+65&lt;=$B89,12*$B$7,-12*MAX(0,$B$6-IF($B$1+65&gt;=$B$23,$B$22,0))*(1+$B$4)^65))*IF(BO89+IF($B$1+65&lt;=$B89,12*$B$7,-12*MAX(0,$B$6-IF($B$1+65&gt;=$B$23,$B$22,0))*(1+$B$4)^65)&gt;0,1+$B$3,1))</f>
        <v/>
      </c>
      <c r="BQ89">
        <f>IF($B$1+66&gt;90,BP89,(BP89+IF($B$1+66&lt;=$B89,12*$B$7,-12*MAX(0,$B$6-IF($B$1+66&gt;=$B$23,$B$22,0))*(1+$B$4)^66))*IF(BP89+IF($B$1+66&lt;=$B89,12*$B$7,-12*MAX(0,$B$6-IF($B$1+66&gt;=$B$23,$B$22,0))*(1+$B$4)^66)&gt;0,1+$B$3,1))</f>
        <v/>
      </c>
      <c r="BR89">
        <f>IF($B$1+67&gt;90,BQ89,(BQ89+IF($B$1+67&lt;=$B89,12*$B$7,-12*MAX(0,$B$6-IF($B$1+67&gt;=$B$23,$B$22,0))*(1+$B$4)^67))*IF(BQ89+IF($B$1+67&lt;=$B89,12*$B$7,-12*MAX(0,$B$6-IF($B$1+67&gt;=$B$23,$B$22,0))*(1+$B$4)^67)&gt;0,1+$B$3,1))</f>
        <v/>
      </c>
      <c r="BS89">
        <f>IF($B$1+68&gt;90,BR89,(BR89+IF($B$1+68&lt;=$B89,12*$B$7,-12*MAX(0,$B$6-IF($B$1+68&gt;=$B$23,$B$22,0))*(1+$B$4)^68))*IF(BR89+IF($B$1+68&lt;=$B89,12*$B$7,-12*MAX(0,$B$6-IF($B$1+68&gt;=$B$23,$B$22,0))*(1+$B$4)^68)&gt;0,1+$B$3,1))</f>
        <v/>
      </c>
      <c r="BT89">
        <f>IF($B$1+69&gt;90,BS89,(BS89+IF($B$1+69&lt;=$B89,12*$B$7,-12*MAX(0,$B$6-IF($B$1+69&gt;=$B$23,$B$22,0))*(1+$B$4)^69))*IF(BS89+IF($B$1+69&lt;=$B89,12*$B$7,-12*MAX(0,$B$6-IF($B$1+69&gt;=$B$23,$B$22,0))*(1+$B$4)^69)&gt;0,1+$B$3,1))</f>
        <v/>
      </c>
      <c r="BU89">
        <f>IF($B$1+70&gt;90,BT89,(BT89+IF($B$1+70&lt;=$B89,12*$B$7,-12*MAX(0,$B$6-IF($B$1+70&gt;=$B$23,$B$22,0))*(1+$B$4)^70))*IF(BT89+IF($B$1+70&lt;=$B89,12*$B$7,-12*MAX(0,$B$6-IF($B$1+70&gt;=$B$23,$B$22,0))*(1+$B$4)^70)&gt;0,1+$B$3,1))</f>
        <v/>
      </c>
      <c r="BV89">
        <f>BU89</f>
        <v/>
      </c>
      <c r="BW89">
        <f>IF(AND($B89&lt;=70,BV89&gt;0),$B89,999)</f>
        <v/>
      </c>
      <c r="CH89">
        <f>IF(ISTEXT('월 가계부'!A89),SUBSTITUTE(SUBSTITUTE(SUBSTITUTE(SUBSTITUTE(SUBSTITUTE(SUBSTITUTE(SUBSTITUTE(SUBSTITUTE(SUBSTITUTE(TRIM('월 가계부'!A89),"년","-"),"월","-"),"일",""),".","-"),"/","-")," ","-"),"--","-"),"--","-"),"--","-")&amp;"-","")</f>
        <v/>
      </c>
      <c r="CI89">
        <f>IFERROR(IF('월 가계부'!A89="","",IF(ISNUMBER('월 가계부'!A89),IF(AND('월 가계부'!A89&gt;=19000101,'월 가계부'!A89&lt;=21001231),IF(AND(MOD(INT('월 가계부'!A89/100),100)&gt;=1,MOD(INT('월 가계부'!A89/100),100)&lt;=12,MOD(INT('월 가계부'!A89),100)&gt;=1,MOD(INT('월 가계부'!A89),100)&lt;=31),IF(MONTH(DATE(INT('월 가계부'!A89/10000),MOD(INT('월 가계부'!A89/100),100),MOD(INT('월 가계부'!A89),100)))=MOD(INT('월 가계부'!A89/100),100),DATE(INT('월 가계부'!A89/10000),MOD(INT('월 가계부'!A89/100),100),MOD(INT('월 가계부'!A89),100)),""),""),IF(AND('월 가계부'!A89&gt;=36526,'월 가계부'!A89&lt;73051),INT('월 가계부'!A89),"")),IF(OR(CM89="",CN89="",CO89=""),"",IF(AND(CM89&gt;=2000,CM89&lt;=2099,CN89&gt;=1,CN89&lt;=12,CO89&gt;=1,CO89&lt;=31),IF(MONTH(DATE(CM89,CN89,CO89))=CN89,DATE(CM89,CN89,CO89),""),"")))),"")</f>
        <v/>
      </c>
      <c r="CJ89">
        <f>IFERROR(IF('월 가계부'!C89="","",IF(ISNUMBER('월 가계부'!C89),'월 가계부'!C89,VALUE(SUBSTITUTE(SUBSTITUTE(SUBSTITUTE(SUBSTITUTE(TRIM('월 가계부'!C89),",",""),"원","")," ",""),"−","-")))),"")</f>
        <v/>
      </c>
      <c r="CK89">
        <f>IF(ISNUMBER(CI89),IF(CI89&lt;$B$13,CI89,""),"")</f>
        <v/>
      </c>
      <c r="CM89">
        <f>IF(CH89="","",IFERROR(IF(IF(AND(LEN(CH89)=9,ISERROR(FIND("-",LEFT(CH89,8))),ISNUMBER(-LEFT(CH89,8))),VALUE(LEFT(CH89,4)),VALUE(LEFT(CH89,FIND("-",CH89)-1)))&lt;100,IF(AND(LEN(CH89)=9,ISERROR(FIND("-",LEFT(CH89,8))),ISNUMBER(-LEFT(CH89,8))),VALUE(LEFT(CH89,4)),VALUE(LEFT(CH89,FIND("-",CH89)-1)))+2000,IF(AND(LEN(CH89)=9,ISERROR(FIND("-",LEFT(CH89,8))),ISNUMBER(-LEFT(CH89,8))),VALUE(LEFT(CH89,4)),VALUE(LEFT(CH89,FIND("-",CH89)-1)))),""))</f>
        <v/>
      </c>
      <c r="CN89">
        <f>IF(CH89="","",IFERROR(IF(AND(LEN(CH89)=9,ISERROR(FIND("-",LEFT(CH89,8))),ISNUMBER(-LEFT(CH89,8))),VALUE(MID(CH89,5,2)),VALUE(MID(CH89,FIND("-",CH89)+1,FIND("-",CH89,FIND("-",CH89)+1)-FIND("-",CH89)-1))),""))</f>
        <v/>
      </c>
      <c r="CO89">
        <f>IF(CH89="","",IFERROR(IF(AND(LEN(CH89)=9,ISERROR(FIND("-",LEFT(CH89,8))),ISNUMBER(-LEFT(CH89,8))),VALUE(MID(CH89,7,2)),VALUE(MID(CH89,FIND("-",CH89,FIND("-",CH89)+1)+1,FIND("-",CH89,FIND("-",CH89,FIND("-",CH89)+1)+1)-FIND("-",CH89,FIND("-",CH89)+1)-1))),""))</f>
        <v/>
      </c>
    </row>
    <row r="90">
      <c r="A90" t="n">
        <v>50</v>
      </c>
      <c r="B90">
        <f>$B$1+50</f>
        <v/>
      </c>
      <c r="C90">
        <f>$B$2</f>
        <v/>
      </c>
      <c r="D90">
        <f>IF($B$1+1&gt;90,C90,(C90+IF($B$1+1&lt;=$B90,12*$B$7,-12*MAX(0,$B$6-IF($B$1+1&gt;=$B$23,$B$22,0))*(1+$B$4)^1))*IF(C90+IF($B$1+1&lt;=$B90,12*$B$7,-12*MAX(0,$B$6-IF($B$1+1&gt;=$B$23,$B$22,0))*(1+$B$4)^1)&gt;0,1+$B$3,1))</f>
        <v/>
      </c>
      <c r="E90">
        <f>IF($B$1+2&gt;90,D90,(D90+IF($B$1+2&lt;=$B90,12*$B$7,-12*MAX(0,$B$6-IF($B$1+2&gt;=$B$23,$B$22,0))*(1+$B$4)^2))*IF(D90+IF($B$1+2&lt;=$B90,12*$B$7,-12*MAX(0,$B$6-IF($B$1+2&gt;=$B$23,$B$22,0))*(1+$B$4)^2)&gt;0,1+$B$3,1))</f>
        <v/>
      </c>
      <c r="F90">
        <f>IF($B$1+3&gt;90,E90,(E90+IF($B$1+3&lt;=$B90,12*$B$7,-12*MAX(0,$B$6-IF($B$1+3&gt;=$B$23,$B$22,0))*(1+$B$4)^3))*IF(E90+IF($B$1+3&lt;=$B90,12*$B$7,-12*MAX(0,$B$6-IF($B$1+3&gt;=$B$23,$B$22,0))*(1+$B$4)^3)&gt;0,1+$B$3,1))</f>
        <v/>
      </c>
      <c r="G90">
        <f>IF($B$1+4&gt;90,F90,(F90+IF($B$1+4&lt;=$B90,12*$B$7,-12*MAX(0,$B$6-IF($B$1+4&gt;=$B$23,$B$22,0))*(1+$B$4)^4))*IF(F90+IF($B$1+4&lt;=$B90,12*$B$7,-12*MAX(0,$B$6-IF($B$1+4&gt;=$B$23,$B$22,0))*(1+$B$4)^4)&gt;0,1+$B$3,1))</f>
        <v/>
      </c>
      <c r="H90">
        <f>IF($B$1+5&gt;90,G90,(G90+IF($B$1+5&lt;=$B90,12*$B$7,-12*MAX(0,$B$6-IF($B$1+5&gt;=$B$23,$B$22,0))*(1+$B$4)^5))*IF(G90+IF($B$1+5&lt;=$B90,12*$B$7,-12*MAX(0,$B$6-IF($B$1+5&gt;=$B$23,$B$22,0))*(1+$B$4)^5)&gt;0,1+$B$3,1))</f>
        <v/>
      </c>
      <c r="I90">
        <f>IF($B$1+6&gt;90,H90,(H90+IF($B$1+6&lt;=$B90,12*$B$7,-12*MAX(0,$B$6-IF($B$1+6&gt;=$B$23,$B$22,0))*(1+$B$4)^6))*IF(H90+IF($B$1+6&lt;=$B90,12*$B$7,-12*MAX(0,$B$6-IF($B$1+6&gt;=$B$23,$B$22,0))*(1+$B$4)^6)&gt;0,1+$B$3,1))</f>
        <v/>
      </c>
      <c r="J90">
        <f>IF($B$1+7&gt;90,I90,(I90+IF($B$1+7&lt;=$B90,12*$B$7,-12*MAX(0,$B$6-IF($B$1+7&gt;=$B$23,$B$22,0))*(1+$B$4)^7))*IF(I90+IF($B$1+7&lt;=$B90,12*$B$7,-12*MAX(0,$B$6-IF($B$1+7&gt;=$B$23,$B$22,0))*(1+$B$4)^7)&gt;0,1+$B$3,1))</f>
        <v/>
      </c>
      <c r="K90">
        <f>IF($B$1+8&gt;90,J90,(J90+IF($B$1+8&lt;=$B90,12*$B$7,-12*MAX(0,$B$6-IF($B$1+8&gt;=$B$23,$B$22,0))*(1+$B$4)^8))*IF(J90+IF($B$1+8&lt;=$B90,12*$B$7,-12*MAX(0,$B$6-IF($B$1+8&gt;=$B$23,$B$22,0))*(1+$B$4)^8)&gt;0,1+$B$3,1))</f>
        <v/>
      </c>
      <c r="L90">
        <f>IF($B$1+9&gt;90,K90,(K90+IF($B$1+9&lt;=$B90,12*$B$7,-12*MAX(0,$B$6-IF($B$1+9&gt;=$B$23,$B$22,0))*(1+$B$4)^9))*IF(K90+IF($B$1+9&lt;=$B90,12*$B$7,-12*MAX(0,$B$6-IF($B$1+9&gt;=$B$23,$B$22,0))*(1+$B$4)^9)&gt;0,1+$B$3,1))</f>
        <v/>
      </c>
      <c r="M90">
        <f>IF($B$1+10&gt;90,L90,(L90+IF($B$1+10&lt;=$B90,12*$B$7,-12*MAX(0,$B$6-IF($B$1+10&gt;=$B$23,$B$22,0))*(1+$B$4)^10))*IF(L90+IF($B$1+10&lt;=$B90,12*$B$7,-12*MAX(0,$B$6-IF($B$1+10&gt;=$B$23,$B$22,0))*(1+$B$4)^10)&gt;0,1+$B$3,1))</f>
        <v/>
      </c>
      <c r="N90">
        <f>IF($B$1+11&gt;90,M90,(M90+IF($B$1+11&lt;=$B90,12*$B$7,-12*MAX(0,$B$6-IF($B$1+11&gt;=$B$23,$B$22,0))*(1+$B$4)^11))*IF(M90+IF($B$1+11&lt;=$B90,12*$B$7,-12*MAX(0,$B$6-IF($B$1+11&gt;=$B$23,$B$22,0))*(1+$B$4)^11)&gt;0,1+$B$3,1))</f>
        <v/>
      </c>
      <c r="O90">
        <f>IF($B$1+12&gt;90,N90,(N90+IF($B$1+12&lt;=$B90,12*$B$7,-12*MAX(0,$B$6-IF($B$1+12&gt;=$B$23,$B$22,0))*(1+$B$4)^12))*IF(N90+IF($B$1+12&lt;=$B90,12*$B$7,-12*MAX(0,$B$6-IF($B$1+12&gt;=$B$23,$B$22,0))*(1+$B$4)^12)&gt;0,1+$B$3,1))</f>
        <v/>
      </c>
      <c r="P90">
        <f>IF($B$1+13&gt;90,O90,(O90+IF($B$1+13&lt;=$B90,12*$B$7,-12*MAX(0,$B$6-IF($B$1+13&gt;=$B$23,$B$22,0))*(1+$B$4)^13))*IF(O90+IF($B$1+13&lt;=$B90,12*$B$7,-12*MAX(0,$B$6-IF($B$1+13&gt;=$B$23,$B$22,0))*(1+$B$4)^13)&gt;0,1+$B$3,1))</f>
        <v/>
      </c>
      <c r="Q90">
        <f>IF($B$1+14&gt;90,P90,(P90+IF($B$1+14&lt;=$B90,12*$B$7,-12*MAX(0,$B$6-IF($B$1+14&gt;=$B$23,$B$22,0))*(1+$B$4)^14))*IF(P90+IF($B$1+14&lt;=$B90,12*$B$7,-12*MAX(0,$B$6-IF($B$1+14&gt;=$B$23,$B$22,0))*(1+$B$4)^14)&gt;0,1+$B$3,1))</f>
        <v/>
      </c>
      <c r="R90">
        <f>IF($B$1+15&gt;90,Q90,(Q90+IF($B$1+15&lt;=$B90,12*$B$7,-12*MAX(0,$B$6-IF($B$1+15&gt;=$B$23,$B$22,0))*(1+$B$4)^15))*IF(Q90+IF($B$1+15&lt;=$B90,12*$B$7,-12*MAX(0,$B$6-IF($B$1+15&gt;=$B$23,$B$22,0))*(1+$B$4)^15)&gt;0,1+$B$3,1))</f>
        <v/>
      </c>
      <c r="S90">
        <f>IF($B$1+16&gt;90,R90,(R90+IF($B$1+16&lt;=$B90,12*$B$7,-12*MAX(0,$B$6-IF($B$1+16&gt;=$B$23,$B$22,0))*(1+$B$4)^16))*IF(R90+IF($B$1+16&lt;=$B90,12*$B$7,-12*MAX(0,$B$6-IF($B$1+16&gt;=$B$23,$B$22,0))*(1+$B$4)^16)&gt;0,1+$B$3,1))</f>
        <v/>
      </c>
      <c r="T90">
        <f>IF($B$1+17&gt;90,S90,(S90+IF($B$1+17&lt;=$B90,12*$B$7,-12*MAX(0,$B$6-IF($B$1+17&gt;=$B$23,$B$22,0))*(1+$B$4)^17))*IF(S90+IF($B$1+17&lt;=$B90,12*$B$7,-12*MAX(0,$B$6-IF($B$1+17&gt;=$B$23,$B$22,0))*(1+$B$4)^17)&gt;0,1+$B$3,1))</f>
        <v/>
      </c>
      <c r="U90">
        <f>IF($B$1+18&gt;90,T90,(T90+IF($B$1+18&lt;=$B90,12*$B$7,-12*MAX(0,$B$6-IF($B$1+18&gt;=$B$23,$B$22,0))*(1+$B$4)^18))*IF(T90+IF($B$1+18&lt;=$B90,12*$B$7,-12*MAX(0,$B$6-IF($B$1+18&gt;=$B$23,$B$22,0))*(1+$B$4)^18)&gt;0,1+$B$3,1))</f>
        <v/>
      </c>
      <c r="V90">
        <f>IF($B$1+19&gt;90,U90,(U90+IF($B$1+19&lt;=$B90,12*$B$7,-12*MAX(0,$B$6-IF($B$1+19&gt;=$B$23,$B$22,0))*(1+$B$4)^19))*IF(U90+IF($B$1+19&lt;=$B90,12*$B$7,-12*MAX(0,$B$6-IF($B$1+19&gt;=$B$23,$B$22,0))*(1+$B$4)^19)&gt;0,1+$B$3,1))</f>
        <v/>
      </c>
      <c r="W90">
        <f>IF($B$1+20&gt;90,V90,(V90+IF($B$1+20&lt;=$B90,12*$B$7,-12*MAX(0,$B$6-IF($B$1+20&gt;=$B$23,$B$22,0))*(1+$B$4)^20))*IF(V90+IF($B$1+20&lt;=$B90,12*$B$7,-12*MAX(0,$B$6-IF($B$1+20&gt;=$B$23,$B$22,0))*(1+$B$4)^20)&gt;0,1+$B$3,1))</f>
        <v/>
      </c>
      <c r="X90">
        <f>IF($B$1+21&gt;90,W90,(W90+IF($B$1+21&lt;=$B90,12*$B$7,-12*MAX(0,$B$6-IF($B$1+21&gt;=$B$23,$B$22,0))*(1+$B$4)^21))*IF(W90+IF($B$1+21&lt;=$B90,12*$B$7,-12*MAX(0,$B$6-IF($B$1+21&gt;=$B$23,$B$22,0))*(1+$B$4)^21)&gt;0,1+$B$3,1))</f>
        <v/>
      </c>
      <c r="Y90">
        <f>IF($B$1+22&gt;90,X90,(X90+IF($B$1+22&lt;=$B90,12*$B$7,-12*MAX(0,$B$6-IF($B$1+22&gt;=$B$23,$B$22,0))*(1+$B$4)^22))*IF(X90+IF($B$1+22&lt;=$B90,12*$B$7,-12*MAX(0,$B$6-IF($B$1+22&gt;=$B$23,$B$22,0))*(1+$B$4)^22)&gt;0,1+$B$3,1))</f>
        <v/>
      </c>
      <c r="Z90">
        <f>IF($B$1+23&gt;90,Y90,(Y90+IF($B$1+23&lt;=$B90,12*$B$7,-12*MAX(0,$B$6-IF($B$1+23&gt;=$B$23,$B$22,0))*(1+$B$4)^23))*IF(Y90+IF($B$1+23&lt;=$B90,12*$B$7,-12*MAX(0,$B$6-IF($B$1+23&gt;=$B$23,$B$22,0))*(1+$B$4)^23)&gt;0,1+$B$3,1))</f>
        <v/>
      </c>
      <c r="AA90">
        <f>IF($B$1+24&gt;90,Z90,(Z90+IF($B$1+24&lt;=$B90,12*$B$7,-12*MAX(0,$B$6-IF($B$1+24&gt;=$B$23,$B$22,0))*(1+$B$4)^24))*IF(Z90+IF($B$1+24&lt;=$B90,12*$B$7,-12*MAX(0,$B$6-IF($B$1+24&gt;=$B$23,$B$22,0))*(1+$B$4)^24)&gt;0,1+$B$3,1))</f>
        <v/>
      </c>
      <c r="AB90">
        <f>IF($B$1+25&gt;90,AA90,(AA90+IF($B$1+25&lt;=$B90,12*$B$7,-12*MAX(0,$B$6-IF($B$1+25&gt;=$B$23,$B$22,0))*(1+$B$4)^25))*IF(AA90+IF($B$1+25&lt;=$B90,12*$B$7,-12*MAX(0,$B$6-IF($B$1+25&gt;=$B$23,$B$22,0))*(1+$B$4)^25)&gt;0,1+$B$3,1))</f>
        <v/>
      </c>
      <c r="AC90">
        <f>IF($B$1+26&gt;90,AB90,(AB90+IF($B$1+26&lt;=$B90,12*$B$7,-12*MAX(0,$B$6-IF($B$1+26&gt;=$B$23,$B$22,0))*(1+$B$4)^26))*IF(AB90+IF($B$1+26&lt;=$B90,12*$B$7,-12*MAX(0,$B$6-IF($B$1+26&gt;=$B$23,$B$22,0))*(1+$B$4)^26)&gt;0,1+$B$3,1))</f>
        <v/>
      </c>
      <c r="AD90">
        <f>IF($B$1+27&gt;90,AC90,(AC90+IF($B$1+27&lt;=$B90,12*$B$7,-12*MAX(0,$B$6-IF($B$1+27&gt;=$B$23,$B$22,0))*(1+$B$4)^27))*IF(AC90+IF($B$1+27&lt;=$B90,12*$B$7,-12*MAX(0,$B$6-IF($B$1+27&gt;=$B$23,$B$22,0))*(1+$B$4)^27)&gt;0,1+$B$3,1))</f>
        <v/>
      </c>
      <c r="AE90">
        <f>IF($B$1+28&gt;90,AD90,(AD90+IF($B$1+28&lt;=$B90,12*$B$7,-12*MAX(0,$B$6-IF($B$1+28&gt;=$B$23,$B$22,0))*(1+$B$4)^28))*IF(AD90+IF($B$1+28&lt;=$B90,12*$B$7,-12*MAX(0,$B$6-IF($B$1+28&gt;=$B$23,$B$22,0))*(1+$B$4)^28)&gt;0,1+$B$3,1))</f>
        <v/>
      </c>
      <c r="AF90">
        <f>IF($B$1+29&gt;90,AE90,(AE90+IF($B$1+29&lt;=$B90,12*$B$7,-12*MAX(0,$B$6-IF($B$1+29&gt;=$B$23,$B$22,0))*(1+$B$4)^29))*IF(AE90+IF($B$1+29&lt;=$B90,12*$B$7,-12*MAX(0,$B$6-IF($B$1+29&gt;=$B$23,$B$22,0))*(1+$B$4)^29)&gt;0,1+$B$3,1))</f>
        <v/>
      </c>
      <c r="AG90">
        <f>IF($B$1+30&gt;90,AF90,(AF90+IF($B$1+30&lt;=$B90,12*$B$7,-12*MAX(0,$B$6-IF($B$1+30&gt;=$B$23,$B$22,0))*(1+$B$4)^30))*IF(AF90+IF($B$1+30&lt;=$B90,12*$B$7,-12*MAX(0,$B$6-IF($B$1+30&gt;=$B$23,$B$22,0))*(1+$B$4)^30)&gt;0,1+$B$3,1))</f>
        <v/>
      </c>
      <c r="AH90">
        <f>IF($B$1+31&gt;90,AG90,(AG90+IF($B$1+31&lt;=$B90,12*$B$7,-12*MAX(0,$B$6-IF($B$1+31&gt;=$B$23,$B$22,0))*(1+$B$4)^31))*IF(AG90+IF($B$1+31&lt;=$B90,12*$B$7,-12*MAX(0,$B$6-IF($B$1+31&gt;=$B$23,$B$22,0))*(1+$B$4)^31)&gt;0,1+$B$3,1))</f>
        <v/>
      </c>
      <c r="AI90">
        <f>IF($B$1+32&gt;90,AH90,(AH90+IF($B$1+32&lt;=$B90,12*$B$7,-12*MAX(0,$B$6-IF($B$1+32&gt;=$B$23,$B$22,0))*(1+$B$4)^32))*IF(AH90+IF($B$1+32&lt;=$B90,12*$B$7,-12*MAX(0,$B$6-IF($B$1+32&gt;=$B$23,$B$22,0))*(1+$B$4)^32)&gt;0,1+$B$3,1))</f>
        <v/>
      </c>
      <c r="AJ90">
        <f>IF($B$1+33&gt;90,AI90,(AI90+IF($B$1+33&lt;=$B90,12*$B$7,-12*MAX(0,$B$6-IF($B$1+33&gt;=$B$23,$B$22,0))*(1+$B$4)^33))*IF(AI90+IF($B$1+33&lt;=$B90,12*$B$7,-12*MAX(0,$B$6-IF($B$1+33&gt;=$B$23,$B$22,0))*(1+$B$4)^33)&gt;0,1+$B$3,1))</f>
        <v/>
      </c>
      <c r="AK90">
        <f>IF($B$1+34&gt;90,AJ90,(AJ90+IF($B$1+34&lt;=$B90,12*$B$7,-12*MAX(0,$B$6-IF($B$1+34&gt;=$B$23,$B$22,0))*(1+$B$4)^34))*IF(AJ90+IF($B$1+34&lt;=$B90,12*$B$7,-12*MAX(0,$B$6-IF($B$1+34&gt;=$B$23,$B$22,0))*(1+$B$4)^34)&gt;0,1+$B$3,1))</f>
        <v/>
      </c>
      <c r="AL90">
        <f>IF($B$1+35&gt;90,AK90,(AK90+IF($B$1+35&lt;=$B90,12*$B$7,-12*MAX(0,$B$6-IF($B$1+35&gt;=$B$23,$B$22,0))*(1+$B$4)^35))*IF(AK90+IF($B$1+35&lt;=$B90,12*$B$7,-12*MAX(0,$B$6-IF($B$1+35&gt;=$B$23,$B$22,0))*(1+$B$4)^35)&gt;0,1+$B$3,1))</f>
        <v/>
      </c>
      <c r="AM90">
        <f>IF($B$1+36&gt;90,AL90,(AL90+IF($B$1+36&lt;=$B90,12*$B$7,-12*MAX(0,$B$6-IF($B$1+36&gt;=$B$23,$B$22,0))*(1+$B$4)^36))*IF(AL90+IF($B$1+36&lt;=$B90,12*$B$7,-12*MAX(0,$B$6-IF($B$1+36&gt;=$B$23,$B$22,0))*(1+$B$4)^36)&gt;0,1+$B$3,1))</f>
        <v/>
      </c>
      <c r="AN90">
        <f>IF($B$1+37&gt;90,AM90,(AM90+IF($B$1+37&lt;=$B90,12*$B$7,-12*MAX(0,$B$6-IF($B$1+37&gt;=$B$23,$B$22,0))*(1+$B$4)^37))*IF(AM90+IF($B$1+37&lt;=$B90,12*$B$7,-12*MAX(0,$B$6-IF($B$1+37&gt;=$B$23,$B$22,0))*(1+$B$4)^37)&gt;0,1+$B$3,1))</f>
        <v/>
      </c>
      <c r="AO90">
        <f>IF($B$1+38&gt;90,AN90,(AN90+IF($B$1+38&lt;=$B90,12*$B$7,-12*MAX(0,$B$6-IF($B$1+38&gt;=$B$23,$B$22,0))*(1+$B$4)^38))*IF(AN90+IF($B$1+38&lt;=$B90,12*$B$7,-12*MAX(0,$B$6-IF($B$1+38&gt;=$B$23,$B$22,0))*(1+$B$4)^38)&gt;0,1+$B$3,1))</f>
        <v/>
      </c>
      <c r="AP90">
        <f>IF($B$1+39&gt;90,AO90,(AO90+IF($B$1+39&lt;=$B90,12*$B$7,-12*MAX(0,$B$6-IF($B$1+39&gt;=$B$23,$B$22,0))*(1+$B$4)^39))*IF(AO90+IF($B$1+39&lt;=$B90,12*$B$7,-12*MAX(0,$B$6-IF($B$1+39&gt;=$B$23,$B$22,0))*(1+$B$4)^39)&gt;0,1+$B$3,1))</f>
        <v/>
      </c>
      <c r="AQ90">
        <f>IF($B$1+40&gt;90,AP90,(AP90+IF($B$1+40&lt;=$B90,12*$B$7,-12*MAX(0,$B$6-IF($B$1+40&gt;=$B$23,$B$22,0))*(1+$B$4)^40))*IF(AP90+IF($B$1+40&lt;=$B90,12*$B$7,-12*MAX(0,$B$6-IF($B$1+40&gt;=$B$23,$B$22,0))*(1+$B$4)^40)&gt;0,1+$B$3,1))</f>
        <v/>
      </c>
      <c r="AR90">
        <f>IF($B$1+41&gt;90,AQ90,(AQ90+IF($B$1+41&lt;=$B90,12*$B$7,-12*MAX(0,$B$6-IF($B$1+41&gt;=$B$23,$B$22,0))*(1+$B$4)^41))*IF(AQ90+IF($B$1+41&lt;=$B90,12*$B$7,-12*MAX(0,$B$6-IF($B$1+41&gt;=$B$23,$B$22,0))*(1+$B$4)^41)&gt;0,1+$B$3,1))</f>
        <v/>
      </c>
      <c r="AS90">
        <f>IF($B$1+42&gt;90,AR90,(AR90+IF($B$1+42&lt;=$B90,12*$B$7,-12*MAX(0,$B$6-IF($B$1+42&gt;=$B$23,$B$22,0))*(1+$B$4)^42))*IF(AR90+IF($B$1+42&lt;=$B90,12*$B$7,-12*MAX(0,$B$6-IF($B$1+42&gt;=$B$23,$B$22,0))*(1+$B$4)^42)&gt;0,1+$B$3,1))</f>
        <v/>
      </c>
      <c r="AT90">
        <f>IF($B$1+43&gt;90,AS90,(AS90+IF($B$1+43&lt;=$B90,12*$B$7,-12*MAX(0,$B$6-IF($B$1+43&gt;=$B$23,$B$22,0))*(1+$B$4)^43))*IF(AS90+IF($B$1+43&lt;=$B90,12*$B$7,-12*MAX(0,$B$6-IF($B$1+43&gt;=$B$23,$B$22,0))*(1+$B$4)^43)&gt;0,1+$B$3,1))</f>
        <v/>
      </c>
      <c r="AU90">
        <f>IF($B$1+44&gt;90,AT90,(AT90+IF($B$1+44&lt;=$B90,12*$B$7,-12*MAX(0,$B$6-IF($B$1+44&gt;=$B$23,$B$22,0))*(1+$B$4)^44))*IF(AT90+IF($B$1+44&lt;=$B90,12*$B$7,-12*MAX(0,$B$6-IF($B$1+44&gt;=$B$23,$B$22,0))*(1+$B$4)^44)&gt;0,1+$B$3,1))</f>
        <v/>
      </c>
      <c r="AV90">
        <f>IF($B$1+45&gt;90,AU90,(AU90+IF($B$1+45&lt;=$B90,12*$B$7,-12*MAX(0,$B$6-IF($B$1+45&gt;=$B$23,$B$22,0))*(1+$B$4)^45))*IF(AU90+IF($B$1+45&lt;=$B90,12*$B$7,-12*MAX(0,$B$6-IF($B$1+45&gt;=$B$23,$B$22,0))*(1+$B$4)^45)&gt;0,1+$B$3,1))</f>
        <v/>
      </c>
      <c r="AW90">
        <f>IF($B$1+46&gt;90,AV90,(AV90+IF($B$1+46&lt;=$B90,12*$B$7,-12*MAX(0,$B$6-IF($B$1+46&gt;=$B$23,$B$22,0))*(1+$B$4)^46))*IF(AV90+IF($B$1+46&lt;=$B90,12*$B$7,-12*MAX(0,$B$6-IF($B$1+46&gt;=$B$23,$B$22,0))*(1+$B$4)^46)&gt;0,1+$B$3,1))</f>
        <v/>
      </c>
      <c r="AX90">
        <f>IF($B$1+47&gt;90,AW90,(AW90+IF($B$1+47&lt;=$B90,12*$B$7,-12*MAX(0,$B$6-IF($B$1+47&gt;=$B$23,$B$22,0))*(1+$B$4)^47))*IF(AW90+IF($B$1+47&lt;=$B90,12*$B$7,-12*MAX(0,$B$6-IF($B$1+47&gt;=$B$23,$B$22,0))*(1+$B$4)^47)&gt;0,1+$B$3,1))</f>
        <v/>
      </c>
      <c r="AY90">
        <f>IF($B$1+48&gt;90,AX90,(AX90+IF($B$1+48&lt;=$B90,12*$B$7,-12*MAX(0,$B$6-IF($B$1+48&gt;=$B$23,$B$22,0))*(1+$B$4)^48))*IF(AX90+IF($B$1+48&lt;=$B90,12*$B$7,-12*MAX(0,$B$6-IF($B$1+48&gt;=$B$23,$B$22,0))*(1+$B$4)^48)&gt;0,1+$B$3,1))</f>
        <v/>
      </c>
      <c r="AZ90">
        <f>IF($B$1+49&gt;90,AY90,(AY90+IF($B$1+49&lt;=$B90,12*$B$7,-12*MAX(0,$B$6-IF($B$1+49&gt;=$B$23,$B$22,0))*(1+$B$4)^49))*IF(AY90+IF($B$1+49&lt;=$B90,12*$B$7,-12*MAX(0,$B$6-IF($B$1+49&gt;=$B$23,$B$22,0))*(1+$B$4)^49)&gt;0,1+$B$3,1))</f>
        <v/>
      </c>
      <c r="BA90">
        <f>IF($B$1+50&gt;90,AZ90,(AZ90+IF($B$1+50&lt;=$B90,12*$B$7,-12*MAX(0,$B$6-IF($B$1+50&gt;=$B$23,$B$22,0))*(1+$B$4)^50))*IF(AZ90+IF($B$1+50&lt;=$B90,12*$B$7,-12*MAX(0,$B$6-IF($B$1+50&gt;=$B$23,$B$22,0))*(1+$B$4)^50)&gt;0,1+$B$3,1))</f>
        <v/>
      </c>
      <c r="BB90">
        <f>IF($B$1+51&gt;90,BA90,(BA90+IF($B$1+51&lt;=$B90,12*$B$7,-12*MAX(0,$B$6-IF($B$1+51&gt;=$B$23,$B$22,0))*(1+$B$4)^51))*IF(BA90+IF($B$1+51&lt;=$B90,12*$B$7,-12*MAX(0,$B$6-IF($B$1+51&gt;=$B$23,$B$22,0))*(1+$B$4)^51)&gt;0,1+$B$3,1))</f>
        <v/>
      </c>
      <c r="BC90">
        <f>IF($B$1+52&gt;90,BB90,(BB90+IF($B$1+52&lt;=$B90,12*$B$7,-12*MAX(0,$B$6-IF($B$1+52&gt;=$B$23,$B$22,0))*(1+$B$4)^52))*IF(BB90+IF($B$1+52&lt;=$B90,12*$B$7,-12*MAX(0,$B$6-IF($B$1+52&gt;=$B$23,$B$22,0))*(1+$B$4)^52)&gt;0,1+$B$3,1))</f>
        <v/>
      </c>
      <c r="BD90">
        <f>IF($B$1+53&gt;90,BC90,(BC90+IF($B$1+53&lt;=$B90,12*$B$7,-12*MAX(0,$B$6-IF($B$1+53&gt;=$B$23,$B$22,0))*(1+$B$4)^53))*IF(BC90+IF($B$1+53&lt;=$B90,12*$B$7,-12*MAX(0,$B$6-IF($B$1+53&gt;=$B$23,$B$22,0))*(1+$B$4)^53)&gt;0,1+$B$3,1))</f>
        <v/>
      </c>
      <c r="BE90">
        <f>IF($B$1+54&gt;90,BD90,(BD90+IF($B$1+54&lt;=$B90,12*$B$7,-12*MAX(0,$B$6-IF($B$1+54&gt;=$B$23,$B$22,0))*(1+$B$4)^54))*IF(BD90+IF($B$1+54&lt;=$B90,12*$B$7,-12*MAX(0,$B$6-IF($B$1+54&gt;=$B$23,$B$22,0))*(1+$B$4)^54)&gt;0,1+$B$3,1))</f>
        <v/>
      </c>
      <c r="BF90">
        <f>IF($B$1+55&gt;90,BE90,(BE90+IF($B$1+55&lt;=$B90,12*$B$7,-12*MAX(0,$B$6-IF($B$1+55&gt;=$B$23,$B$22,0))*(1+$B$4)^55))*IF(BE90+IF($B$1+55&lt;=$B90,12*$B$7,-12*MAX(0,$B$6-IF($B$1+55&gt;=$B$23,$B$22,0))*(1+$B$4)^55)&gt;0,1+$B$3,1))</f>
        <v/>
      </c>
      <c r="BG90">
        <f>IF($B$1+56&gt;90,BF90,(BF90+IF($B$1+56&lt;=$B90,12*$B$7,-12*MAX(0,$B$6-IF($B$1+56&gt;=$B$23,$B$22,0))*(1+$B$4)^56))*IF(BF90+IF($B$1+56&lt;=$B90,12*$B$7,-12*MAX(0,$B$6-IF($B$1+56&gt;=$B$23,$B$22,0))*(1+$B$4)^56)&gt;0,1+$B$3,1))</f>
        <v/>
      </c>
      <c r="BH90">
        <f>IF($B$1+57&gt;90,BG90,(BG90+IF($B$1+57&lt;=$B90,12*$B$7,-12*MAX(0,$B$6-IF($B$1+57&gt;=$B$23,$B$22,0))*(1+$B$4)^57))*IF(BG90+IF($B$1+57&lt;=$B90,12*$B$7,-12*MAX(0,$B$6-IF($B$1+57&gt;=$B$23,$B$22,0))*(1+$B$4)^57)&gt;0,1+$B$3,1))</f>
        <v/>
      </c>
      <c r="BI90">
        <f>IF($B$1+58&gt;90,BH90,(BH90+IF($B$1+58&lt;=$B90,12*$B$7,-12*MAX(0,$B$6-IF($B$1+58&gt;=$B$23,$B$22,0))*(1+$B$4)^58))*IF(BH90+IF($B$1+58&lt;=$B90,12*$B$7,-12*MAX(0,$B$6-IF($B$1+58&gt;=$B$23,$B$22,0))*(1+$B$4)^58)&gt;0,1+$B$3,1))</f>
        <v/>
      </c>
      <c r="BJ90">
        <f>IF($B$1+59&gt;90,BI90,(BI90+IF($B$1+59&lt;=$B90,12*$B$7,-12*MAX(0,$B$6-IF($B$1+59&gt;=$B$23,$B$22,0))*(1+$B$4)^59))*IF(BI90+IF($B$1+59&lt;=$B90,12*$B$7,-12*MAX(0,$B$6-IF($B$1+59&gt;=$B$23,$B$22,0))*(1+$B$4)^59)&gt;0,1+$B$3,1))</f>
        <v/>
      </c>
      <c r="BK90">
        <f>IF($B$1+60&gt;90,BJ90,(BJ90+IF($B$1+60&lt;=$B90,12*$B$7,-12*MAX(0,$B$6-IF($B$1+60&gt;=$B$23,$B$22,0))*(1+$B$4)^60))*IF(BJ90+IF($B$1+60&lt;=$B90,12*$B$7,-12*MAX(0,$B$6-IF($B$1+60&gt;=$B$23,$B$22,0))*(1+$B$4)^60)&gt;0,1+$B$3,1))</f>
        <v/>
      </c>
      <c r="BL90">
        <f>IF($B$1+61&gt;90,BK90,(BK90+IF($B$1+61&lt;=$B90,12*$B$7,-12*MAX(0,$B$6-IF($B$1+61&gt;=$B$23,$B$22,0))*(1+$B$4)^61))*IF(BK90+IF($B$1+61&lt;=$B90,12*$B$7,-12*MAX(0,$B$6-IF($B$1+61&gt;=$B$23,$B$22,0))*(1+$B$4)^61)&gt;0,1+$B$3,1))</f>
        <v/>
      </c>
      <c r="BM90">
        <f>IF($B$1+62&gt;90,BL90,(BL90+IF($B$1+62&lt;=$B90,12*$B$7,-12*MAX(0,$B$6-IF($B$1+62&gt;=$B$23,$B$22,0))*(1+$B$4)^62))*IF(BL90+IF($B$1+62&lt;=$B90,12*$B$7,-12*MAX(0,$B$6-IF($B$1+62&gt;=$B$23,$B$22,0))*(1+$B$4)^62)&gt;0,1+$B$3,1))</f>
        <v/>
      </c>
      <c r="BN90">
        <f>IF($B$1+63&gt;90,BM90,(BM90+IF($B$1+63&lt;=$B90,12*$B$7,-12*MAX(0,$B$6-IF($B$1+63&gt;=$B$23,$B$22,0))*(1+$B$4)^63))*IF(BM90+IF($B$1+63&lt;=$B90,12*$B$7,-12*MAX(0,$B$6-IF($B$1+63&gt;=$B$23,$B$22,0))*(1+$B$4)^63)&gt;0,1+$B$3,1))</f>
        <v/>
      </c>
      <c r="BO90">
        <f>IF($B$1+64&gt;90,BN90,(BN90+IF($B$1+64&lt;=$B90,12*$B$7,-12*MAX(0,$B$6-IF($B$1+64&gt;=$B$23,$B$22,0))*(1+$B$4)^64))*IF(BN90+IF($B$1+64&lt;=$B90,12*$B$7,-12*MAX(0,$B$6-IF($B$1+64&gt;=$B$23,$B$22,0))*(1+$B$4)^64)&gt;0,1+$B$3,1))</f>
        <v/>
      </c>
      <c r="BP90">
        <f>IF($B$1+65&gt;90,BO90,(BO90+IF($B$1+65&lt;=$B90,12*$B$7,-12*MAX(0,$B$6-IF($B$1+65&gt;=$B$23,$B$22,0))*(1+$B$4)^65))*IF(BO90+IF($B$1+65&lt;=$B90,12*$B$7,-12*MAX(0,$B$6-IF($B$1+65&gt;=$B$23,$B$22,0))*(1+$B$4)^65)&gt;0,1+$B$3,1))</f>
        <v/>
      </c>
      <c r="BQ90">
        <f>IF($B$1+66&gt;90,BP90,(BP90+IF($B$1+66&lt;=$B90,12*$B$7,-12*MAX(0,$B$6-IF($B$1+66&gt;=$B$23,$B$22,0))*(1+$B$4)^66))*IF(BP90+IF($B$1+66&lt;=$B90,12*$B$7,-12*MAX(0,$B$6-IF($B$1+66&gt;=$B$23,$B$22,0))*(1+$B$4)^66)&gt;0,1+$B$3,1))</f>
        <v/>
      </c>
      <c r="BR90">
        <f>IF($B$1+67&gt;90,BQ90,(BQ90+IF($B$1+67&lt;=$B90,12*$B$7,-12*MAX(0,$B$6-IF($B$1+67&gt;=$B$23,$B$22,0))*(1+$B$4)^67))*IF(BQ90+IF($B$1+67&lt;=$B90,12*$B$7,-12*MAX(0,$B$6-IF($B$1+67&gt;=$B$23,$B$22,0))*(1+$B$4)^67)&gt;0,1+$B$3,1))</f>
        <v/>
      </c>
      <c r="BS90">
        <f>IF($B$1+68&gt;90,BR90,(BR90+IF($B$1+68&lt;=$B90,12*$B$7,-12*MAX(0,$B$6-IF($B$1+68&gt;=$B$23,$B$22,0))*(1+$B$4)^68))*IF(BR90+IF($B$1+68&lt;=$B90,12*$B$7,-12*MAX(0,$B$6-IF($B$1+68&gt;=$B$23,$B$22,0))*(1+$B$4)^68)&gt;0,1+$B$3,1))</f>
        <v/>
      </c>
      <c r="BT90">
        <f>IF($B$1+69&gt;90,BS90,(BS90+IF($B$1+69&lt;=$B90,12*$B$7,-12*MAX(0,$B$6-IF($B$1+69&gt;=$B$23,$B$22,0))*(1+$B$4)^69))*IF(BS90+IF($B$1+69&lt;=$B90,12*$B$7,-12*MAX(0,$B$6-IF($B$1+69&gt;=$B$23,$B$22,0))*(1+$B$4)^69)&gt;0,1+$B$3,1))</f>
        <v/>
      </c>
      <c r="BU90">
        <f>IF($B$1+70&gt;90,BT90,(BT90+IF($B$1+70&lt;=$B90,12*$B$7,-12*MAX(0,$B$6-IF($B$1+70&gt;=$B$23,$B$22,0))*(1+$B$4)^70))*IF(BT90+IF($B$1+70&lt;=$B90,12*$B$7,-12*MAX(0,$B$6-IF($B$1+70&gt;=$B$23,$B$22,0))*(1+$B$4)^70)&gt;0,1+$B$3,1))</f>
        <v/>
      </c>
      <c r="BV90">
        <f>BU90</f>
        <v/>
      </c>
      <c r="BW90">
        <f>IF(AND($B90&lt;=70,BV90&gt;0),$B90,999)</f>
        <v/>
      </c>
      <c r="CH90">
        <f>IF(ISTEXT('월 가계부'!A90),SUBSTITUTE(SUBSTITUTE(SUBSTITUTE(SUBSTITUTE(SUBSTITUTE(SUBSTITUTE(SUBSTITUTE(SUBSTITUTE(SUBSTITUTE(TRIM('월 가계부'!A90),"년","-"),"월","-"),"일",""),".","-"),"/","-")," ","-"),"--","-"),"--","-"),"--","-")&amp;"-","")</f>
        <v/>
      </c>
      <c r="CI90">
        <f>IFERROR(IF('월 가계부'!A90="","",IF(ISNUMBER('월 가계부'!A90),IF(AND('월 가계부'!A90&gt;=19000101,'월 가계부'!A90&lt;=21001231),IF(AND(MOD(INT('월 가계부'!A90/100),100)&gt;=1,MOD(INT('월 가계부'!A90/100),100)&lt;=12,MOD(INT('월 가계부'!A90),100)&gt;=1,MOD(INT('월 가계부'!A90),100)&lt;=31),IF(MONTH(DATE(INT('월 가계부'!A90/10000),MOD(INT('월 가계부'!A90/100),100),MOD(INT('월 가계부'!A90),100)))=MOD(INT('월 가계부'!A90/100),100),DATE(INT('월 가계부'!A90/10000),MOD(INT('월 가계부'!A90/100),100),MOD(INT('월 가계부'!A90),100)),""),""),IF(AND('월 가계부'!A90&gt;=36526,'월 가계부'!A90&lt;73051),INT('월 가계부'!A90),"")),IF(OR(CM90="",CN90="",CO90=""),"",IF(AND(CM90&gt;=2000,CM90&lt;=2099,CN90&gt;=1,CN90&lt;=12,CO90&gt;=1,CO90&lt;=31),IF(MONTH(DATE(CM90,CN90,CO90))=CN90,DATE(CM90,CN90,CO90),""),"")))),"")</f>
        <v/>
      </c>
      <c r="CJ90">
        <f>IFERROR(IF('월 가계부'!C90="","",IF(ISNUMBER('월 가계부'!C90),'월 가계부'!C90,VALUE(SUBSTITUTE(SUBSTITUTE(SUBSTITUTE(SUBSTITUTE(TRIM('월 가계부'!C90),",",""),"원","")," ",""),"−","-")))),"")</f>
        <v/>
      </c>
      <c r="CK90">
        <f>IF(ISNUMBER(CI90),IF(CI90&lt;$B$13,CI90,""),"")</f>
        <v/>
      </c>
      <c r="CM90">
        <f>IF(CH90="","",IFERROR(IF(IF(AND(LEN(CH90)=9,ISERROR(FIND("-",LEFT(CH90,8))),ISNUMBER(-LEFT(CH90,8))),VALUE(LEFT(CH90,4)),VALUE(LEFT(CH90,FIND("-",CH90)-1)))&lt;100,IF(AND(LEN(CH90)=9,ISERROR(FIND("-",LEFT(CH90,8))),ISNUMBER(-LEFT(CH90,8))),VALUE(LEFT(CH90,4)),VALUE(LEFT(CH90,FIND("-",CH90)-1)))+2000,IF(AND(LEN(CH90)=9,ISERROR(FIND("-",LEFT(CH90,8))),ISNUMBER(-LEFT(CH90,8))),VALUE(LEFT(CH90,4)),VALUE(LEFT(CH90,FIND("-",CH90)-1)))),""))</f>
        <v/>
      </c>
      <c r="CN90">
        <f>IF(CH90="","",IFERROR(IF(AND(LEN(CH90)=9,ISERROR(FIND("-",LEFT(CH90,8))),ISNUMBER(-LEFT(CH90,8))),VALUE(MID(CH90,5,2)),VALUE(MID(CH90,FIND("-",CH90)+1,FIND("-",CH90,FIND("-",CH90)+1)-FIND("-",CH90)-1))),""))</f>
        <v/>
      </c>
      <c r="CO90">
        <f>IF(CH90="","",IFERROR(IF(AND(LEN(CH90)=9,ISERROR(FIND("-",LEFT(CH90,8))),ISNUMBER(-LEFT(CH90,8))),VALUE(MID(CH90,7,2)),VALUE(MID(CH90,FIND("-",CH90,FIND("-",CH90)+1)+1,FIND("-",CH90,FIND("-",CH90,FIND("-",CH90)+1)+1)-FIND("-",CH90,FIND("-",CH90)+1)-1))),""))</f>
        <v/>
      </c>
    </row>
    <row r="91">
      <c r="CH91">
        <f>IF(ISTEXT('월 가계부'!A91),SUBSTITUTE(SUBSTITUTE(SUBSTITUTE(SUBSTITUTE(SUBSTITUTE(SUBSTITUTE(SUBSTITUTE(SUBSTITUTE(SUBSTITUTE(TRIM('월 가계부'!A91),"년","-"),"월","-"),"일",""),".","-"),"/","-")," ","-"),"--","-"),"--","-"),"--","-")&amp;"-","")</f>
        <v/>
      </c>
      <c r="CI91">
        <f>IFERROR(IF('월 가계부'!A91="","",IF(ISNUMBER('월 가계부'!A91),IF(AND('월 가계부'!A91&gt;=19000101,'월 가계부'!A91&lt;=21001231),IF(AND(MOD(INT('월 가계부'!A91/100),100)&gt;=1,MOD(INT('월 가계부'!A91/100),100)&lt;=12,MOD(INT('월 가계부'!A91),100)&gt;=1,MOD(INT('월 가계부'!A91),100)&lt;=31),IF(MONTH(DATE(INT('월 가계부'!A91/10000),MOD(INT('월 가계부'!A91/100),100),MOD(INT('월 가계부'!A91),100)))=MOD(INT('월 가계부'!A91/100),100),DATE(INT('월 가계부'!A91/10000),MOD(INT('월 가계부'!A91/100),100),MOD(INT('월 가계부'!A91),100)),""),""),IF(AND('월 가계부'!A91&gt;=36526,'월 가계부'!A91&lt;73051),INT('월 가계부'!A91),"")),IF(OR(CM91="",CN91="",CO91=""),"",IF(AND(CM91&gt;=2000,CM91&lt;=2099,CN91&gt;=1,CN91&lt;=12,CO91&gt;=1,CO91&lt;=31),IF(MONTH(DATE(CM91,CN91,CO91))=CN91,DATE(CM91,CN91,CO91),""),"")))),"")</f>
        <v/>
      </c>
      <c r="CJ91">
        <f>IFERROR(IF('월 가계부'!C91="","",IF(ISNUMBER('월 가계부'!C91),'월 가계부'!C91,VALUE(SUBSTITUTE(SUBSTITUTE(SUBSTITUTE(SUBSTITUTE(TRIM('월 가계부'!C91),",",""),"원","")," ",""),"−","-")))),"")</f>
        <v/>
      </c>
      <c r="CK91">
        <f>IF(ISNUMBER(CI91),IF(CI91&lt;$B$13,CI91,""),"")</f>
        <v/>
      </c>
      <c r="CM91">
        <f>IF(CH91="","",IFERROR(IF(IF(AND(LEN(CH91)=9,ISERROR(FIND("-",LEFT(CH91,8))),ISNUMBER(-LEFT(CH91,8))),VALUE(LEFT(CH91,4)),VALUE(LEFT(CH91,FIND("-",CH91)-1)))&lt;100,IF(AND(LEN(CH91)=9,ISERROR(FIND("-",LEFT(CH91,8))),ISNUMBER(-LEFT(CH91,8))),VALUE(LEFT(CH91,4)),VALUE(LEFT(CH91,FIND("-",CH91)-1)))+2000,IF(AND(LEN(CH91)=9,ISERROR(FIND("-",LEFT(CH91,8))),ISNUMBER(-LEFT(CH91,8))),VALUE(LEFT(CH91,4)),VALUE(LEFT(CH91,FIND("-",CH91)-1)))),""))</f>
        <v/>
      </c>
      <c r="CN91">
        <f>IF(CH91="","",IFERROR(IF(AND(LEN(CH91)=9,ISERROR(FIND("-",LEFT(CH91,8))),ISNUMBER(-LEFT(CH91,8))),VALUE(MID(CH91,5,2)),VALUE(MID(CH91,FIND("-",CH91)+1,FIND("-",CH91,FIND("-",CH91)+1)-FIND("-",CH91)-1))),""))</f>
        <v/>
      </c>
      <c r="CO91">
        <f>IF(CH91="","",IFERROR(IF(AND(LEN(CH91)=9,ISERROR(FIND("-",LEFT(CH91,8))),ISNUMBER(-LEFT(CH91,8))),VALUE(MID(CH91,7,2)),VALUE(MID(CH91,FIND("-",CH91,FIND("-",CH91)+1)+1,FIND("-",CH91,FIND("-",CH91,FIND("-",CH91)+1)+1)-FIND("-",CH91,FIND("-",CH91)+1)-1))),""))</f>
        <v/>
      </c>
    </row>
    <row r="92">
      <c r="CH92">
        <f>IF(ISTEXT('월 가계부'!A92),SUBSTITUTE(SUBSTITUTE(SUBSTITUTE(SUBSTITUTE(SUBSTITUTE(SUBSTITUTE(SUBSTITUTE(SUBSTITUTE(SUBSTITUTE(TRIM('월 가계부'!A92),"년","-"),"월","-"),"일",""),".","-"),"/","-")," ","-"),"--","-"),"--","-"),"--","-")&amp;"-","")</f>
        <v/>
      </c>
      <c r="CI92">
        <f>IFERROR(IF('월 가계부'!A92="","",IF(ISNUMBER('월 가계부'!A92),IF(AND('월 가계부'!A92&gt;=19000101,'월 가계부'!A92&lt;=21001231),IF(AND(MOD(INT('월 가계부'!A92/100),100)&gt;=1,MOD(INT('월 가계부'!A92/100),100)&lt;=12,MOD(INT('월 가계부'!A92),100)&gt;=1,MOD(INT('월 가계부'!A92),100)&lt;=31),IF(MONTH(DATE(INT('월 가계부'!A92/10000),MOD(INT('월 가계부'!A92/100),100),MOD(INT('월 가계부'!A92),100)))=MOD(INT('월 가계부'!A92/100),100),DATE(INT('월 가계부'!A92/10000),MOD(INT('월 가계부'!A92/100),100),MOD(INT('월 가계부'!A92),100)),""),""),IF(AND('월 가계부'!A92&gt;=36526,'월 가계부'!A92&lt;73051),INT('월 가계부'!A92),"")),IF(OR(CM92="",CN92="",CO92=""),"",IF(AND(CM92&gt;=2000,CM92&lt;=2099,CN92&gt;=1,CN92&lt;=12,CO92&gt;=1,CO92&lt;=31),IF(MONTH(DATE(CM92,CN92,CO92))=CN92,DATE(CM92,CN92,CO92),""),"")))),"")</f>
        <v/>
      </c>
      <c r="CJ92">
        <f>IFERROR(IF('월 가계부'!C92="","",IF(ISNUMBER('월 가계부'!C92),'월 가계부'!C92,VALUE(SUBSTITUTE(SUBSTITUTE(SUBSTITUTE(SUBSTITUTE(TRIM('월 가계부'!C92),",",""),"원","")," ",""),"−","-")))),"")</f>
        <v/>
      </c>
      <c r="CK92">
        <f>IF(ISNUMBER(CI92),IF(CI92&lt;$B$13,CI92,""),"")</f>
        <v/>
      </c>
      <c r="CM92">
        <f>IF(CH92="","",IFERROR(IF(IF(AND(LEN(CH92)=9,ISERROR(FIND("-",LEFT(CH92,8))),ISNUMBER(-LEFT(CH92,8))),VALUE(LEFT(CH92,4)),VALUE(LEFT(CH92,FIND("-",CH92)-1)))&lt;100,IF(AND(LEN(CH92)=9,ISERROR(FIND("-",LEFT(CH92,8))),ISNUMBER(-LEFT(CH92,8))),VALUE(LEFT(CH92,4)),VALUE(LEFT(CH92,FIND("-",CH92)-1)))+2000,IF(AND(LEN(CH92)=9,ISERROR(FIND("-",LEFT(CH92,8))),ISNUMBER(-LEFT(CH92,8))),VALUE(LEFT(CH92,4)),VALUE(LEFT(CH92,FIND("-",CH92)-1)))),""))</f>
        <v/>
      </c>
      <c r="CN92">
        <f>IF(CH92="","",IFERROR(IF(AND(LEN(CH92)=9,ISERROR(FIND("-",LEFT(CH92,8))),ISNUMBER(-LEFT(CH92,8))),VALUE(MID(CH92,5,2)),VALUE(MID(CH92,FIND("-",CH92)+1,FIND("-",CH92,FIND("-",CH92)+1)-FIND("-",CH92)-1))),""))</f>
        <v/>
      </c>
      <c r="CO92">
        <f>IF(CH92="","",IFERROR(IF(AND(LEN(CH92)=9,ISERROR(FIND("-",LEFT(CH92,8))),ISNUMBER(-LEFT(CH92,8))),VALUE(MID(CH92,7,2)),VALUE(MID(CH92,FIND("-",CH92,FIND("-",CH92)+1)+1,FIND("-",CH92,FIND("-",CH92,FIND("-",CH92)+1)+1)-FIND("-",CH92,FIND("-",CH92)+1)-1))),""))</f>
        <v/>
      </c>
    </row>
    <row r="93">
      <c r="A93" t="inlineStr">
        <is>
          <t>결과 1</t>
        </is>
      </c>
      <c r="B93">
        <f>MIN(BW96:BW146)</f>
        <v/>
      </c>
      <c r="C93">
        <f>IF(B93=999,"",IF(B93=$B$1,$B$1,B93-1+(-INDEX(BV96:BV146,B93-$B$1))/(INDEX(BV96:BV146,B93-$B$1+1)-INDEX(BV96:BV146,B93-$B$1))))</f>
        <v/>
      </c>
      <c r="D93">
        <f>IF(C93="","",ROUND(C93*12,0))</f>
        <v/>
      </c>
      <c r="CH93">
        <f>IF(ISTEXT('월 가계부'!A93),SUBSTITUTE(SUBSTITUTE(SUBSTITUTE(SUBSTITUTE(SUBSTITUTE(SUBSTITUTE(SUBSTITUTE(SUBSTITUTE(SUBSTITUTE(TRIM('월 가계부'!A93),"년","-"),"월","-"),"일",""),".","-"),"/","-")," ","-"),"--","-"),"--","-"),"--","-")&amp;"-","")</f>
        <v/>
      </c>
      <c r="CI93">
        <f>IFERROR(IF('월 가계부'!A93="","",IF(ISNUMBER('월 가계부'!A93),IF(AND('월 가계부'!A93&gt;=19000101,'월 가계부'!A93&lt;=21001231),IF(AND(MOD(INT('월 가계부'!A93/100),100)&gt;=1,MOD(INT('월 가계부'!A93/100),100)&lt;=12,MOD(INT('월 가계부'!A93),100)&gt;=1,MOD(INT('월 가계부'!A93),100)&lt;=31),IF(MONTH(DATE(INT('월 가계부'!A93/10000),MOD(INT('월 가계부'!A93/100),100),MOD(INT('월 가계부'!A93),100)))=MOD(INT('월 가계부'!A93/100),100),DATE(INT('월 가계부'!A93/10000),MOD(INT('월 가계부'!A93/100),100),MOD(INT('월 가계부'!A93),100)),""),""),IF(AND('월 가계부'!A93&gt;=36526,'월 가계부'!A93&lt;73051),INT('월 가계부'!A93),"")),IF(OR(CM93="",CN93="",CO93=""),"",IF(AND(CM93&gt;=2000,CM93&lt;=2099,CN93&gt;=1,CN93&lt;=12,CO93&gt;=1,CO93&lt;=31),IF(MONTH(DATE(CM93,CN93,CO93))=CN93,DATE(CM93,CN93,CO93),""),"")))),"")</f>
        <v/>
      </c>
      <c r="CJ93">
        <f>IFERROR(IF('월 가계부'!C93="","",IF(ISNUMBER('월 가계부'!C93),'월 가계부'!C93,VALUE(SUBSTITUTE(SUBSTITUTE(SUBSTITUTE(SUBSTITUTE(TRIM('월 가계부'!C93),",",""),"원","")," ",""),"−","-")))),"")</f>
        <v/>
      </c>
      <c r="CK93">
        <f>IF(ISNUMBER(CI93),IF(CI93&lt;$B$13,CI93,""),"")</f>
        <v/>
      </c>
      <c r="CM93">
        <f>IF(CH93="","",IFERROR(IF(IF(AND(LEN(CH93)=9,ISERROR(FIND("-",LEFT(CH93,8))),ISNUMBER(-LEFT(CH93,8))),VALUE(LEFT(CH93,4)),VALUE(LEFT(CH93,FIND("-",CH93)-1)))&lt;100,IF(AND(LEN(CH93)=9,ISERROR(FIND("-",LEFT(CH93,8))),ISNUMBER(-LEFT(CH93,8))),VALUE(LEFT(CH93,4)),VALUE(LEFT(CH93,FIND("-",CH93)-1)))+2000,IF(AND(LEN(CH93)=9,ISERROR(FIND("-",LEFT(CH93,8))),ISNUMBER(-LEFT(CH93,8))),VALUE(LEFT(CH93,4)),VALUE(LEFT(CH93,FIND("-",CH93)-1)))),""))</f>
        <v/>
      </c>
      <c r="CN93">
        <f>IF(CH93="","",IFERROR(IF(AND(LEN(CH93)=9,ISERROR(FIND("-",LEFT(CH93,8))),ISNUMBER(-LEFT(CH93,8))),VALUE(MID(CH93,5,2)),VALUE(MID(CH93,FIND("-",CH93)+1,FIND("-",CH93,FIND("-",CH93)+1)-FIND("-",CH93)-1))),""))</f>
        <v/>
      </c>
      <c r="CO93">
        <f>IF(CH93="","",IFERROR(IF(AND(LEN(CH93)=9,ISERROR(FIND("-",LEFT(CH93,8))),ISNUMBER(-LEFT(CH93,8))),VALUE(MID(CH93,7,2)),VALUE(MID(CH93,FIND("-",CH93,FIND("-",CH93)+1)+1,FIND("-",CH93,FIND("-",CH93,FIND("-",CH93)+1)+1)-FIND("-",CH93,FIND("-",CH93)+1)-1))),""))</f>
        <v/>
      </c>
    </row>
    <row r="94">
      <c r="CH94">
        <f>IF(ISTEXT('월 가계부'!A94),SUBSTITUTE(SUBSTITUTE(SUBSTITUTE(SUBSTITUTE(SUBSTITUTE(SUBSTITUTE(SUBSTITUTE(SUBSTITUTE(SUBSTITUTE(TRIM('월 가계부'!A94),"년","-"),"월","-"),"일",""),".","-"),"/","-")," ","-"),"--","-"),"--","-"),"--","-")&amp;"-","")</f>
        <v/>
      </c>
      <c r="CI94">
        <f>IFERROR(IF('월 가계부'!A94="","",IF(ISNUMBER('월 가계부'!A94),IF(AND('월 가계부'!A94&gt;=19000101,'월 가계부'!A94&lt;=21001231),IF(AND(MOD(INT('월 가계부'!A94/100),100)&gt;=1,MOD(INT('월 가계부'!A94/100),100)&lt;=12,MOD(INT('월 가계부'!A94),100)&gt;=1,MOD(INT('월 가계부'!A94),100)&lt;=31),IF(MONTH(DATE(INT('월 가계부'!A94/10000),MOD(INT('월 가계부'!A94/100),100),MOD(INT('월 가계부'!A94),100)))=MOD(INT('월 가계부'!A94/100),100),DATE(INT('월 가계부'!A94/10000),MOD(INT('월 가계부'!A94/100),100),MOD(INT('월 가계부'!A94),100)),""),""),IF(AND('월 가계부'!A94&gt;=36526,'월 가계부'!A94&lt;73051),INT('월 가계부'!A94),"")),IF(OR(CM94="",CN94="",CO94=""),"",IF(AND(CM94&gt;=2000,CM94&lt;=2099,CN94&gt;=1,CN94&lt;=12,CO94&gt;=1,CO94&lt;=31),IF(MONTH(DATE(CM94,CN94,CO94))=CN94,DATE(CM94,CN94,CO94),""),"")))),"")</f>
        <v/>
      </c>
      <c r="CJ94">
        <f>IFERROR(IF('월 가계부'!C94="","",IF(ISNUMBER('월 가계부'!C94),'월 가계부'!C94,VALUE(SUBSTITUTE(SUBSTITUTE(SUBSTITUTE(SUBSTITUTE(TRIM('월 가계부'!C94),",",""),"원","")," ",""),"−","-")))),"")</f>
        <v/>
      </c>
      <c r="CK94">
        <f>IF(ISNUMBER(CI94),IF(CI94&lt;$B$13,CI94,""),"")</f>
        <v/>
      </c>
      <c r="CM94">
        <f>IF(CH94="","",IFERROR(IF(IF(AND(LEN(CH94)=9,ISERROR(FIND("-",LEFT(CH94,8))),ISNUMBER(-LEFT(CH94,8))),VALUE(LEFT(CH94,4)),VALUE(LEFT(CH94,FIND("-",CH94)-1)))&lt;100,IF(AND(LEN(CH94)=9,ISERROR(FIND("-",LEFT(CH94,8))),ISNUMBER(-LEFT(CH94,8))),VALUE(LEFT(CH94,4)),VALUE(LEFT(CH94,FIND("-",CH94)-1)))+2000,IF(AND(LEN(CH94)=9,ISERROR(FIND("-",LEFT(CH94,8))),ISNUMBER(-LEFT(CH94,8))),VALUE(LEFT(CH94,4)),VALUE(LEFT(CH94,FIND("-",CH94)-1)))),""))</f>
        <v/>
      </c>
      <c r="CN94">
        <f>IF(CH94="","",IFERROR(IF(AND(LEN(CH94)=9,ISERROR(FIND("-",LEFT(CH94,8))),ISNUMBER(-LEFT(CH94,8))),VALUE(MID(CH94,5,2)),VALUE(MID(CH94,FIND("-",CH94)+1,FIND("-",CH94,FIND("-",CH94)+1)-FIND("-",CH94)-1))),""))</f>
        <v/>
      </c>
      <c r="CO94">
        <f>IF(CH94="","",IFERROR(IF(AND(LEN(CH94)=9,ISERROR(FIND("-",LEFT(CH94,8))),ISNUMBER(-LEFT(CH94,8))),VALUE(MID(CH94,7,2)),VALUE(MID(CH94,FIND("-",CH94,FIND("-",CH94)+1)+1,FIND("-",CH94,FIND("-",CH94,FIND("-",CH94)+1)+1)-FIND("-",CH94,FIND("-",CH94)+1)-1))),""))</f>
        <v/>
      </c>
    </row>
    <row r="95">
      <c r="A95" t="inlineStr">
        <is>
          <t>시나리오 1</t>
        </is>
      </c>
      <c r="B95" t="inlineStr">
        <is>
          <t>R</t>
        </is>
      </c>
      <c r="C95" t="n">
        <v>0</v>
      </c>
      <c r="D95" t="n">
        <v>1</v>
      </c>
      <c r="E95" t="n">
        <v>2</v>
      </c>
      <c r="F95" t="n">
        <v>3</v>
      </c>
      <c r="G95" t="n">
        <v>4</v>
      </c>
      <c r="H95" t="n">
        <v>5</v>
      </c>
      <c r="I95" t="n">
        <v>6</v>
      </c>
      <c r="J95" t="n">
        <v>7</v>
      </c>
      <c r="K95" t="n">
        <v>8</v>
      </c>
      <c r="L95" t="n">
        <v>9</v>
      </c>
      <c r="M95" t="n">
        <v>10</v>
      </c>
      <c r="N95" t="n">
        <v>11</v>
      </c>
      <c r="O95" t="n">
        <v>12</v>
      </c>
      <c r="P95" t="n">
        <v>13</v>
      </c>
      <c r="Q95" t="n">
        <v>14</v>
      </c>
      <c r="R95" t="n">
        <v>15</v>
      </c>
      <c r="S95" t="n">
        <v>16</v>
      </c>
      <c r="T95" t="n">
        <v>17</v>
      </c>
      <c r="U95" t="n">
        <v>18</v>
      </c>
      <c r="V95" t="n">
        <v>19</v>
      </c>
      <c r="W95" t="n">
        <v>20</v>
      </c>
      <c r="X95" t="n">
        <v>21</v>
      </c>
      <c r="Y95" t="n">
        <v>22</v>
      </c>
      <c r="Z95" t="n">
        <v>23</v>
      </c>
      <c r="AA95" t="n">
        <v>24</v>
      </c>
      <c r="AB95" t="n">
        <v>25</v>
      </c>
      <c r="AC95" t="n">
        <v>26</v>
      </c>
      <c r="AD95" t="n">
        <v>27</v>
      </c>
      <c r="AE95" t="n">
        <v>28</v>
      </c>
      <c r="AF95" t="n">
        <v>29</v>
      </c>
      <c r="AG95" t="n">
        <v>30</v>
      </c>
      <c r="AH95" t="n">
        <v>31</v>
      </c>
      <c r="AI95" t="n">
        <v>32</v>
      </c>
      <c r="AJ95" t="n">
        <v>33</v>
      </c>
      <c r="AK95" t="n">
        <v>34</v>
      </c>
      <c r="AL95" t="n">
        <v>35</v>
      </c>
      <c r="AM95" t="n">
        <v>36</v>
      </c>
      <c r="AN95" t="n">
        <v>37</v>
      </c>
      <c r="AO95" t="n">
        <v>38</v>
      </c>
      <c r="AP95" t="n">
        <v>39</v>
      </c>
      <c r="AQ95" t="n">
        <v>40</v>
      </c>
      <c r="AR95" t="n">
        <v>41</v>
      </c>
      <c r="AS95" t="n">
        <v>42</v>
      </c>
      <c r="AT95" t="n">
        <v>43</v>
      </c>
      <c r="AU95" t="n">
        <v>44</v>
      </c>
      <c r="AV95" t="n">
        <v>45</v>
      </c>
      <c r="AW95" t="n">
        <v>46</v>
      </c>
      <c r="AX95" t="n">
        <v>47</v>
      </c>
      <c r="AY95" t="n">
        <v>48</v>
      </c>
      <c r="AZ95" t="n">
        <v>49</v>
      </c>
      <c r="BA95" t="n">
        <v>50</v>
      </c>
      <c r="BB95" t="n">
        <v>51</v>
      </c>
      <c r="BC95" t="n">
        <v>52</v>
      </c>
      <c r="BD95" t="n">
        <v>53</v>
      </c>
      <c r="BE95" t="n">
        <v>54</v>
      </c>
      <c r="BF95" t="n">
        <v>55</v>
      </c>
      <c r="BG95" t="n">
        <v>56</v>
      </c>
      <c r="BH95" t="n">
        <v>57</v>
      </c>
      <c r="BI95" t="n">
        <v>58</v>
      </c>
      <c r="BJ95" t="n">
        <v>59</v>
      </c>
      <c r="BK95" t="n">
        <v>60</v>
      </c>
      <c r="BL95" t="n">
        <v>61</v>
      </c>
      <c r="BM95" t="n">
        <v>62</v>
      </c>
      <c r="BN95" t="n">
        <v>63</v>
      </c>
      <c r="BO95" t="n">
        <v>64</v>
      </c>
      <c r="BP95" t="n">
        <v>65</v>
      </c>
      <c r="BQ95" t="n">
        <v>66</v>
      </c>
      <c r="BR95" t="n">
        <v>67</v>
      </c>
      <c r="BS95" t="n">
        <v>68</v>
      </c>
      <c r="BT95" t="n">
        <v>69</v>
      </c>
      <c r="BU95" t="n">
        <v>70</v>
      </c>
      <c r="BV95" t="inlineStr">
        <is>
          <t>90세 자산</t>
        </is>
      </c>
      <c r="BW95" t="inlineStr">
        <is>
          <t>가능 R</t>
        </is>
      </c>
      <c r="CH95">
        <f>IF(ISTEXT('월 가계부'!A95),SUBSTITUTE(SUBSTITUTE(SUBSTITUTE(SUBSTITUTE(SUBSTITUTE(SUBSTITUTE(SUBSTITUTE(SUBSTITUTE(SUBSTITUTE(TRIM('월 가계부'!A95),"년","-"),"월","-"),"일",""),".","-"),"/","-")," ","-"),"--","-"),"--","-"),"--","-")&amp;"-","")</f>
        <v/>
      </c>
      <c r="CI95">
        <f>IFERROR(IF('월 가계부'!A95="","",IF(ISNUMBER('월 가계부'!A95),IF(AND('월 가계부'!A95&gt;=19000101,'월 가계부'!A95&lt;=21001231),IF(AND(MOD(INT('월 가계부'!A95/100),100)&gt;=1,MOD(INT('월 가계부'!A95/100),100)&lt;=12,MOD(INT('월 가계부'!A95),100)&gt;=1,MOD(INT('월 가계부'!A95),100)&lt;=31),IF(MONTH(DATE(INT('월 가계부'!A95/10000),MOD(INT('월 가계부'!A95/100),100),MOD(INT('월 가계부'!A95),100)))=MOD(INT('월 가계부'!A95/100),100),DATE(INT('월 가계부'!A95/10000),MOD(INT('월 가계부'!A95/100),100),MOD(INT('월 가계부'!A95),100)),""),""),IF(AND('월 가계부'!A95&gt;=36526,'월 가계부'!A95&lt;73051),INT('월 가계부'!A95),"")),IF(OR(CM95="",CN95="",CO95=""),"",IF(AND(CM95&gt;=2000,CM95&lt;=2099,CN95&gt;=1,CN95&lt;=12,CO95&gt;=1,CO95&lt;=31),IF(MONTH(DATE(CM95,CN95,CO95))=CN95,DATE(CM95,CN95,CO95),""),"")))),"")</f>
        <v/>
      </c>
      <c r="CJ95">
        <f>IFERROR(IF('월 가계부'!C95="","",IF(ISNUMBER('월 가계부'!C95),'월 가계부'!C95,VALUE(SUBSTITUTE(SUBSTITUTE(SUBSTITUTE(SUBSTITUTE(TRIM('월 가계부'!C95),",",""),"원","")," ",""),"−","-")))),"")</f>
        <v/>
      </c>
      <c r="CK95">
        <f>IF(ISNUMBER(CI95),IF(CI95&lt;$B$13,CI95,""),"")</f>
        <v/>
      </c>
      <c r="CM95">
        <f>IF(CH95="","",IFERROR(IF(IF(AND(LEN(CH95)=9,ISERROR(FIND("-",LEFT(CH95,8))),ISNUMBER(-LEFT(CH95,8))),VALUE(LEFT(CH95,4)),VALUE(LEFT(CH95,FIND("-",CH95)-1)))&lt;100,IF(AND(LEN(CH95)=9,ISERROR(FIND("-",LEFT(CH95,8))),ISNUMBER(-LEFT(CH95,8))),VALUE(LEFT(CH95,4)),VALUE(LEFT(CH95,FIND("-",CH95)-1)))+2000,IF(AND(LEN(CH95)=9,ISERROR(FIND("-",LEFT(CH95,8))),ISNUMBER(-LEFT(CH95,8))),VALUE(LEFT(CH95,4)),VALUE(LEFT(CH95,FIND("-",CH95)-1)))),""))</f>
        <v/>
      </c>
      <c r="CN95">
        <f>IF(CH95="","",IFERROR(IF(AND(LEN(CH95)=9,ISERROR(FIND("-",LEFT(CH95,8))),ISNUMBER(-LEFT(CH95,8))),VALUE(MID(CH95,5,2)),VALUE(MID(CH95,FIND("-",CH95)+1,FIND("-",CH95,FIND("-",CH95)+1)-FIND("-",CH95)-1))),""))</f>
        <v/>
      </c>
      <c r="CO95">
        <f>IF(CH95="","",IFERROR(IF(AND(LEN(CH95)=9,ISERROR(FIND("-",LEFT(CH95,8))),ISNUMBER(-LEFT(CH95,8))),VALUE(MID(CH95,7,2)),VALUE(MID(CH95,FIND("-",CH95,FIND("-",CH95)+1)+1,FIND("-",CH95,FIND("-",CH95,FIND("-",CH95)+1)+1)-FIND("-",CH95,FIND("-",CH95)+1)-1))),""))</f>
        <v/>
      </c>
    </row>
    <row r="96">
      <c r="A96" t="n">
        <v>0</v>
      </c>
      <c r="B96">
        <f>$B$1+0</f>
        <v/>
      </c>
      <c r="C96">
        <f>$B$2</f>
        <v/>
      </c>
      <c r="D96">
        <f>IF($B$1+1&gt;90,C96,(C96+IF($B$1+1&lt;=$B96,12*($B$7-$B$10),-12*MAX(0,($B$6+$B$10)-IF($B$1+1&gt;=$B$23,$B$22,0))*(1+$B$4)^1))*IF(C96+IF($B$1+1&lt;=$B96,12*($B$7-$B$10),-12*MAX(0,($B$6+$B$10)-IF($B$1+1&gt;=$B$23,$B$22,0))*(1+$B$4)^1)&gt;0,1+$B$3,1))</f>
        <v/>
      </c>
      <c r="E96">
        <f>IF($B$1+2&gt;90,D96,(D96+IF($B$1+2&lt;=$B96,12*($B$7-$B$10),-12*MAX(0,($B$6+$B$10)-IF($B$1+2&gt;=$B$23,$B$22,0))*(1+$B$4)^2))*IF(D96+IF($B$1+2&lt;=$B96,12*($B$7-$B$10),-12*MAX(0,($B$6+$B$10)-IF($B$1+2&gt;=$B$23,$B$22,0))*(1+$B$4)^2)&gt;0,1+$B$3,1))</f>
        <v/>
      </c>
      <c r="F96">
        <f>IF($B$1+3&gt;90,E96,(E96+IF($B$1+3&lt;=$B96,12*($B$7-$B$10),-12*MAX(0,($B$6+$B$10)-IF($B$1+3&gt;=$B$23,$B$22,0))*(1+$B$4)^3))*IF(E96+IF($B$1+3&lt;=$B96,12*($B$7-$B$10),-12*MAX(0,($B$6+$B$10)-IF($B$1+3&gt;=$B$23,$B$22,0))*(1+$B$4)^3)&gt;0,1+$B$3,1))</f>
        <v/>
      </c>
      <c r="G96">
        <f>IF($B$1+4&gt;90,F96,(F96+IF($B$1+4&lt;=$B96,12*($B$7-$B$10),-12*MAX(0,($B$6+$B$10)-IF($B$1+4&gt;=$B$23,$B$22,0))*(1+$B$4)^4))*IF(F96+IF($B$1+4&lt;=$B96,12*($B$7-$B$10),-12*MAX(0,($B$6+$B$10)-IF($B$1+4&gt;=$B$23,$B$22,0))*(1+$B$4)^4)&gt;0,1+$B$3,1))</f>
        <v/>
      </c>
      <c r="H96">
        <f>IF($B$1+5&gt;90,G96,(G96+IF($B$1+5&lt;=$B96,12*($B$7-$B$10),-12*MAX(0,($B$6+$B$10)-IF($B$1+5&gt;=$B$23,$B$22,0))*(1+$B$4)^5))*IF(G96+IF($B$1+5&lt;=$B96,12*($B$7-$B$10),-12*MAX(0,($B$6+$B$10)-IF($B$1+5&gt;=$B$23,$B$22,0))*(1+$B$4)^5)&gt;0,1+$B$3,1))</f>
        <v/>
      </c>
      <c r="I96">
        <f>IF($B$1+6&gt;90,H96,(H96+IF($B$1+6&lt;=$B96,12*($B$7-$B$10),-12*MAX(0,($B$6+$B$10)-IF($B$1+6&gt;=$B$23,$B$22,0))*(1+$B$4)^6))*IF(H96+IF($B$1+6&lt;=$B96,12*($B$7-$B$10),-12*MAX(0,($B$6+$B$10)-IF($B$1+6&gt;=$B$23,$B$22,0))*(1+$B$4)^6)&gt;0,1+$B$3,1))</f>
        <v/>
      </c>
      <c r="J96">
        <f>IF($B$1+7&gt;90,I96,(I96+IF($B$1+7&lt;=$B96,12*($B$7-$B$10),-12*MAX(0,($B$6+$B$10)-IF($B$1+7&gt;=$B$23,$B$22,0))*(1+$B$4)^7))*IF(I96+IF($B$1+7&lt;=$B96,12*($B$7-$B$10),-12*MAX(0,($B$6+$B$10)-IF($B$1+7&gt;=$B$23,$B$22,0))*(1+$B$4)^7)&gt;0,1+$B$3,1))</f>
        <v/>
      </c>
      <c r="K96">
        <f>IF($B$1+8&gt;90,J96,(J96+IF($B$1+8&lt;=$B96,12*($B$7-$B$10),-12*MAX(0,($B$6+$B$10)-IF($B$1+8&gt;=$B$23,$B$22,0))*(1+$B$4)^8))*IF(J96+IF($B$1+8&lt;=$B96,12*($B$7-$B$10),-12*MAX(0,($B$6+$B$10)-IF($B$1+8&gt;=$B$23,$B$22,0))*(1+$B$4)^8)&gt;0,1+$B$3,1))</f>
        <v/>
      </c>
      <c r="L96">
        <f>IF($B$1+9&gt;90,K96,(K96+IF($B$1+9&lt;=$B96,12*($B$7-$B$10),-12*MAX(0,($B$6+$B$10)-IF($B$1+9&gt;=$B$23,$B$22,0))*(1+$B$4)^9))*IF(K96+IF($B$1+9&lt;=$B96,12*($B$7-$B$10),-12*MAX(0,($B$6+$B$10)-IF($B$1+9&gt;=$B$23,$B$22,0))*(1+$B$4)^9)&gt;0,1+$B$3,1))</f>
        <v/>
      </c>
      <c r="M96">
        <f>IF($B$1+10&gt;90,L96,(L96+IF($B$1+10&lt;=$B96,12*($B$7-$B$10),-12*MAX(0,($B$6+$B$10)-IF($B$1+10&gt;=$B$23,$B$22,0))*(1+$B$4)^10))*IF(L96+IF($B$1+10&lt;=$B96,12*($B$7-$B$10),-12*MAX(0,($B$6+$B$10)-IF($B$1+10&gt;=$B$23,$B$22,0))*(1+$B$4)^10)&gt;0,1+$B$3,1))</f>
        <v/>
      </c>
      <c r="N96">
        <f>IF($B$1+11&gt;90,M96,(M96+IF($B$1+11&lt;=$B96,12*($B$7-$B$10),-12*MAX(0,($B$6+$B$10)-IF($B$1+11&gt;=$B$23,$B$22,0))*(1+$B$4)^11))*IF(M96+IF($B$1+11&lt;=$B96,12*($B$7-$B$10),-12*MAX(0,($B$6+$B$10)-IF($B$1+11&gt;=$B$23,$B$22,0))*(1+$B$4)^11)&gt;0,1+$B$3,1))</f>
        <v/>
      </c>
      <c r="O96">
        <f>IF($B$1+12&gt;90,N96,(N96+IF($B$1+12&lt;=$B96,12*($B$7-$B$10),-12*MAX(0,($B$6+$B$10)-IF($B$1+12&gt;=$B$23,$B$22,0))*(1+$B$4)^12))*IF(N96+IF($B$1+12&lt;=$B96,12*($B$7-$B$10),-12*MAX(0,($B$6+$B$10)-IF($B$1+12&gt;=$B$23,$B$22,0))*(1+$B$4)^12)&gt;0,1+$B$3,1))</f>
        <v/>
      </c>
      <c r="P96">
        <f>IF($B$1+13&gt;90,O96,(O96+IF($B$1+13&lt;=$B96,12*($B$7-$B$10),-12*MAX(0,($B$6+$B$10)-IF($B$1+13&gt;=$B$23,$B$22,0))*(1+$B$4)^13))*IF(O96+IF($B$1+13&lt;=$B96,12*($B$7-$B$10),-12*MAX(0,($B$6+$B$10)-IF($B$1+13&gt;=$B$23,$B$22,0))*(1+$B$4)^13)&gt;0,1+$B$3,1))</f>
        <v/>
      </c>
      <c r="Q96">
        <f>IF($B$1+14&gt;90,P96,(P96+IF($B$1+14&lt;=$B96,12*($B$7-$B$10),-12*MAX(0,($B$6+$B$10)-IF($B$1+14&gt;=$B$23,$B$22,0))*(1+$B$4)^14))*IF(P96+IF($B$1+14&lt;=$B96,12*($B$7-$B$10),-12*MAX(0,($B$6+$B$10)-IF($B$1+14&gt;=$B$23,$B$22,0))*(1+$B$4)^14)&gt;0,1+$B$3,1))</f>
        <v/>
      </c>
      <c r="R96">
        <f>IF($B$1+15&gt;90,Q96,(Q96+IF($B$1+15&lt;=$B96,12*($B$7-$B$10),-12*MAX(0,($B$6+$B$10)-IF($B$1+15&gt;=$B$23,$B$22,0))*(1+$B$4)^15))*IF(Q96+IF($B$1+15&lt;=$B96,12*($B$7-$B$10),-12*MAX(0,($B$6+$B$10)-IF($B$1+15&gt;=$B$23,$B$22,0))*(1+$B$4)^15)&gt;0,1+$B$3,1))</f>
        <v/>
      </c>
      <c r="S96">
        <f>IF($B$1+16&gt;90,R96,(R96+IF($B$1+16&lt;=$B96,12*($B$7-$B$10),-12*MAX(0,($B$6+$B$10)-IF($B$1+16&gt;=$B$23,$B$22,0))*(1+$B$4)^16))*IF(R96+IF($B$1+16&lt;=$B96,12*($B$7-$B$10),-12*MAX(0,($B$6+$B$10)-IF($B$1+16&gt;=$B$23,$B$22,0))*(1+$B$4)^16)&gt;0,1+$B$3,1))</f>
        <v/>
      </c>
      <c r="T96">
        <f>IF($B$1+17&gt;90,S96,(S96+IF($B$1+17&lt;=$B96,12*($B$7-$B$10),-12*MAX(0,($B$6+$B$10)-IF($B$1+17&gt;=$B$23,$B$22,0))*(1+$B$4)^17))*IF(S96+IF($B$1+17&lt;=$B96,12*($B$7-$B$10),-12*MAX(0,($B$6+$B$10)-IF($B$1+17&gt;=$B$23,$B$22,0))*(1+$B$4)^17)&gt;0,1+$B$3,1))</f>
        <v/>
      </c>
      <c r="U96">
        <f>IF($B$1+18&gt;90,T96,(T96+IF($B$1+18&lt;=$B96,12*($B$7-$B$10),-12*MAX(0,($B$6+$B$10)-IF($B$1+18&gt;=$B$23,$B$22,0))*(1+$B$4)^18))*IF(T96+IF($B$1+18&lt;=$B96,12*($B$7-$B$10),-12*MAX(0,($B$6+$B$10)-IF($B$1+18&gt;=$B$23,$B$22,0))*(1+$B$4)^18)&gt;0,1+$B$3,1))</f>
        <v/>
      </c>
      <c r="V96">
        <f>IF($B$1+19&gt;90,U96,(U96+IF($B$1+19&lt;=$B96,12*($B$7-$B$10),-12*MAX(0,($B$6+$B$10)-IF($B$1+19&gt;=$B$23,$B$22,0))*(1+$B$4)^19))*IF(U96+IF($B$1+19&lt;=$B96,12*($B$7-$B$10),-12*MAX(0,($B$6+$B$10)-IF($B$1+19&gt;=$B$23,$B$22,0))*(1+$B$4)^19)&gt;0,1+$B$3,1))</f>
        <v/>
      </c>
      <c r="W96">
        <f>IF($B$1+20&gt;90,V96,(V96+IF($B$1+20&lt;=$B96,12*($B$7-$B$10),-12*MAX(0,($B$6+$B$10)-IF($B$1+20&gt;=$B$23,$B$22,0))*(1+$B$4)^20))*IF(V96+IF($B$1+20&lt;=$B96,12*($B$7-$B$10),-12*MAX(0,($B$6+$B$10)-IF($B$1+20&gt;=$B$23,$B$22,0))*(1+$B$4)^20)&gt;0,1+$B$3,1))</f>
        <v/>
      </c>
      <c r="X96">
        <f>IF($B$1+21&gt;90,W96,(W96+IF($B$1+21&lt;=$B96,12*($B$7-$B$10),-12*MAX(0,($B$6+$B$10)-IF($B$1+21&gt;=$B$23,$B$22,0))*(1+$B$4)^21))*IF(W96+IF($B$1+21&lt;=$B96,12*($B$7-$B$10),-12*MAX(0,($B$6+$B$10)-IF($B$1+21&gt;=$B$23,$B$22,0))*(1+$B$4)^21)&gt;0,1+$B$3,1))</f>
        <v/>
      </c>
      <c r="Y96">
        <f>IF($B$1+22&gt;90,X96,(X96+IF($B$1+22&lt;=$B96,12*($B$7-$B$10),-12*MAX(0,($B$6+$B$10)-IF($B$1+22&gt;=$B$23,$B$22,0))*(1+$B$4)^22))*IF(X96+IF($B$1+22&lt;=$B96,12*($B$7-$B$10),-12*MAX(0,($B$6+$B$10)-IF($B$1+22&gt;=$B$23,$B$22,0))*(1+$B$4)^22)&gt;0,1+$B$3,1))</f>
        <v/>
      </c>
      <c r="Z96">
        <f>IF($B$1+23&gt;90,Y96,(Y96+IF($B$1+23&lt;=$B96,12*($B$7-$B$10),-12*MAX(0,($B$6+$B$10)-IF($B$1+23&gt;=$B$23,$B$22,0))*(1+$B$4)^23))*IF(Y96+IF($B$1+23&lt;=$B96,12*($B$7-$B$10),-12*MAX(0,($B$6+$B$10)-IF($B$1+23&gt;=$B$23,$B$22,0))*(1+$B$4)^23)&gt;0,1+$B$3,1))</f>
        <v/>
      </c>
      <c r="AA96">
        <f>IF($B$1+24&gt;90,Z96,(Z96+IF($B$1+24&lt;=$B96,12*($B$7-$B$10),-12*MAX(0,($B$6+$B$10)-IF($B$1+24&gt;=$B$23,$B$22,0))*(1+$B$4)^24))*IF(Z96+IF($B$1+24&lt;=$B96,12*($B$7-$B$10),-12*MAX(0,($B$6+$B$10)-IF($B$1+24&gt;=$B$23,$B$22,0))*(1+$B$4)^24)&gt;0,1+$B$3,1))</f>
        <v/>
      </c>
      <c r="AB96">
        <f>IF($B$1+25&gt;90,AA96,(AA96+IF($B$1+25&lt;=$B96,12*($B$7-$B$10),-12*MAX(0,($B$6+$B$10)-IF($B$1+25&gt;=$B$23,$B$22,0))*(1+$B$4)^25))*IF(AA96+IF($B$1+25&lt;=$B96,12*($B$7-$B$10),-12*MAX(0,($B$6+$B$10)-IF($B$1+25&gt;=$B$23,$B$22,0))*(1+$B$4)^25)&gt;0,1+$B$3,1))</f>
        <v/>
      </c>
      <c r="AC96">
        <f>IF($B$1+26&gt;90,AB96,(AB96+IF($B$1+26&lt;=$B96,12*($B$7-$B$10),-12*MAX(0,($B$6+$B$10)-IF($B$1+26&gt;=$B$23,$B$22,0))*(1+$B$4)^26))*IF(AB96+IF($B$1+26&lt;=$B96,12*($B$7-$B$10),-12*MAX(0,($B$6+$B$10)-IF($B$1+26&gt;=$B$23,$B$22,0))*(1+$B$4)^26)&gt;0,1+$B$3,1))</f>
        <v/>
      </c>
      <c r="AD96">
        <f>IF($B$1+27&gt;90,AC96,(AC96+IF($B$1+27&lt;=$B96,12*($B$7-$B$10),-12*MAX(0,($B$6+$B$10)-IF($B$1+27&gt;=$B$23,$B$22,0))*(1+$B$4)^27))*IF(AC96+IF($B$1+27&lt;=$B96,12*($B$7-$B$10),-12*MAX(0,($B$6+$B$10)-IF($B$1+27&gt;=$B$23,$B$22,0))*(1+$B$4)^27)&gt;0,1+$B$3,1))</f>
        <v/>
      </c>
      <c r="AE96">
        <f>IF($B$1+28&gt;90,AD96,(AD96+IF($B$1+28&lt;=$B96,12*($B$7-$B$10),-12*MAX(0,($B$6+$B$10)-IF($B$1+28&gt;=$B$23,$B$22,0))*(1+$B$4)^28))*IF(AD96+IF($B$1+28&lt;=$B96,12*($B$7-$B$10),-12*MAX(0,($B$6+$B$10)-IF($B$1+28&gt;=$B$23,$B$22,0))*(1+$B$4)^28)&gt;0,1+$B$3,1))</f>
        <v/>
      </c>
      <c r="AF96">
        <f>IF($B$1+29&gt;90,AE96,(AE96+IF($B$1+29&lt;=$B96,12*($B$7-$B$10),-12*MAX(0,($B$6+$B$10)-IF($B$1+29&gt;=$B$23,$B$22,0))*(1+$B$4)^29))*IF(AE96+IF($B$1+29&lt;=$B96,12*($B$7-$B$10),-12*MAX(0,($B$6+$B$10)-IF($B$1+29&gt;=$B$23,$B$22,0))*(1+$B$4)^29)&gt;0,1+$B$3,1))</f>
        <v/>
      </c>
      <c r="AG96">
        <f>IF($B$1+30&gt;90,AF96,(AF96+IF($B$1+30&lt;=$B96,12*($B$7-$B$10),-12*MAX(0,($B$6+$B$10)-IF($B$1+30&gt;=$B$23,$B$22,0))*(1+$B$4)^30))*IF(AF96+IF($B$1+30&lt;=$B96,12*($B$7-$B$10),-12*MAX(0,($B$6+$B$10)-IF($B$1+30&gt;=$B$23,$B$22,0))*(1+$B$4)^30)&gt;0,1+$B$3,1))</f>
        <v/>
      </c>
      <c r="AH96">
        <f>IF($B$1+31&gt;90,AG96,(AG96+IF($B$1+31&lt;=$B96,12*($B$7-$B$10),-12*MAX(0,($B$6+$B$10)-IF($B$1+31&gt;=$B$23,$B$22,0))*(1+$B$4)^31))*IF(AG96+IF($B$1+31&lt;=$B96,12*($B$7-$B$10),-12*MAX(0,($B$6+$B$10)-IF($B$1+31&gt;=$B$23,$B$22,0))*(1+$B$4)^31)&gt;0,1+$B$3,1))</f>
        <v/>
      </c>
      <c r="AI96">
        <f>IF($B$1+32&gt;90,AH96,(AH96+IF($B$1+32&lt;=$B96,12*($B$7-$B$10),-12*MAX(0,($B$6+$B$10)-IF($B$1+32&gt;=$B$23,$B$22,0))*(1+$B$4)^32))*IF(AH96+IF($B$1+32&lt;=$B96,12*($B$7-$B$10),-12*MAX(0,($B$6+$B$10)-IF($B$1+32&gt;=$B$23,$B$22,0))*(1+$B$4)^32)&gt;0,1+$B$3,1))</f>
        <v/>
      </c>
      <c r="AJ96">
        <f>IF($B$1+33&gt;90,AI96,(AI96+IF($B$1+33&lt;=$B96,12*($B$7-$B$10),-12*MAX(0,($B$6+$B$10)-IF($B$1+33&gt;=$B$23,$B$22,0))*(1+$B$4)^33))*IF(AI96+IF($B$1+33&lt;=$B96,12*($B$7-$B$10),-12*MAX(0,($B$6+$B$10)-IF($B$1+33&gt;=$B$23,$B$22,0))*(1+$B$4)^33)&gt;0,1+$B$3,1))</f>
        <v/>
      </c>
      <c r="AK96">
        <f>IF($B$1+34&gt;90,AJ96,(AJ96+IF($B$1+34&lt;=$B96,12*($B$7-$B$10),-12*MAX(0,($B$6+$B$10)-IF($B$1+34&gt;=$B$23,$B$22,0))*(1+$B$4)^34))*IF(AJ96+IF($B$1+34&lt;=$B96,12*($B$7-$B$10),-12*MAX(0,($B$6+$B$10)-IF($B$1+34&gt;=$B$23,$B$22,0))*(1+$B$4)^34)&gt;0,1+$B$3,1))</f>
        <v/>
      </c>
      <c r="AL96">
        <f>IF($B$1+35&gt;90,AK96,(AK96+IF($B$1+35&lt;=$B96,12*($B$7-$B$10),-12*MAX(0,($B$6+$B$10)-IF($B$1+35&gt;=$B$23,$B$22,0))*(1+$B$4)^35))*IF(AK96+IF($B$1+35&lt;=$B96,12*($B$7-$B$10),-12*MAX(0,($B$6+$B$10)-IF($B$1+35&gt;=$B$23,$B$22,0))*(1+$B$4)^35)&gt;0,1+$B$3,1))</f>
        <v/>
      </c>
      <c r="AM96">
        <f>IF($B$1+36&gt;90,AL96,(AL96+IF($B$1+36&lt;=$B96,12*($B$7-$B$10),-12*MAX(0,($B$6+$B$10)-IF($B$1+36&gt;=$B$23,$B$22,0))*(1+$B$4)^36))*IF(AL96+IF($B$1+36&lt;=$B96,12*($B$7-$B$10),-12*MAX(0,($B$6+$B$10)-IF($B$1+36&gt;=$B$23,$B$22,0))*(1+$B$4)^36)&gt;0,1+$B$3,1))</f>
        <v/>
      </c>
      <c r="AN96">
        <f>IF($B$1+37&gt;90,AM96,(AM96+IF($B$1+37&lt;=$B96,12*($B$7-$B$10),-12*MAX(0,($B$6+$B$10)-IF($B$1+37&gt;=$B$23,$B$22,0))*(1+$B$4)^37))*IF(AM96+IF($B$1+37&lt;=$B96,12*($B$7-$B$10),-12*MAX(0,($B$6+$B$10)-IF($B$1+37&gt;=$B$23,$B$22,0))*(1+$B$4)^37)&gt;0,1+$B$3,1))</f>
        <v/>
      </c>
      <c r="AO96">
        <f>IF($B$1+38&gt;90,AN96,(AN96+IF($B$1+38&lt;=$B96,12*($B$7-$B$10),-12*MAX(0,($B$6+$B$10)-IF($B$1+38&gt;=$B$23,$B$22,0))*(1+$B$4)^38))*IF(AN96+IF($B$1+38&lt;=$B96,12*($B$7-$B$10),-12*MAX(0,($B$6+$B$10)-IF($B$1+38&gt;=$B$23,$B$22,0))*(1+$B$4)^38)&gt;0,1+$B$3,1))</f>
        <v/>
      </c>
      <c r="AP96">
        <f>IF($B$1+39&gt;90,AO96,(AO96+IF($B$1+39&lt;=$B96,12*($B$7-$B$10),-12*MAX(0,($B$6+$B$10)-IF($B$1+39&gt;=$B$23,$B$22,0))*(1+$B$4)^39))*IF(AO96+IF($B$1+39&lt;=$B96,12*($B$7-$B$10),-12*MAX(0,($B$6+$B$10)-IF($B$1+39&gt;=$B$23,$B$22,0))*(1+$B$4)^39)&gt;0,1+$B$3,1))</f>
        <v/>
      </c>
      <c r="AQ96">
        <f>IF($B$1+40&gt;90,AP96,(AP96+IF($B$1+40&lt;=$B96,12*($B$7-$B$10),-12*MAX(0,($B$6+$B$10)-IF($B$1+40&gt;=$B$23,$B$22,0))*(1+$B$4)^40))*IF(AP96+IF($B$1+40&lt;=$B96,12*($B$7-$B$10),-12*MAX(0,($B$6+$B$10)-IF($B$1+40&gt;=$B$23,$B$22,0))*(1+$B$4)^40)&gt;0,1+$B$3,1))</f>
        <v/>
      </c>
      <c r="AR96">
        <f>IF($B$1+41&gt;90,AQ96,(AQ96+IF($B$1+41&lt;=$B96,12*($B$7-$B$10),-12*MAX(0,($B$6+$B$10)-IF($B$1+41&gt;=$B$23,$B$22,0))*(1+$B$4)^41))*IF(AQ96+IF($B$1+41&lt;=$B96,12*($B$7-$B$10),-12*MAX(0,($B$6+$B$10)-IF($B$1+41&gt;=$B$23,$B$22,0))*(1+$B$4)^41)&gt;0,1+$B$3,1))</f>
        <v/>
      </c>
      <c r="AS96">
        <f>IF($B$1+42&gt;90,AR96,(AR96+IF($B$1+42&lt;=$B96,12*($B$7-$B$10),-12*MAX(0,($B$6+$B$10)-IF($B$1+42&gt;=$B$23,$B$22,0))*(1+$B$4)^42))*IF(AR96+IF($B$1+42&lt;=$B96,12*($B$7-$B$10),-12*MAX(0,($B$6+$B$10)-IF($B$1+42&gt;=$B$23,$B$22,0))*(1+$B$4)^42)&gt;0,1+$B$3,1))</f>
        <v/>
      </c>
      <c r="AT96">
        <f>IF($B$1+43&gt;90,AS96,(AS96+IF($B$1+43&lt;=$B96,12*($B$7-$B$10),-12*MAX(0,($B$6+$B$10)-IF($B$1+43&gt;=$B$23,$B$22,0))*(1+$B$4)^43))*IF(AS96+IF($B$1+43&lt;=$B96,12*($B$7-$B$10),-12*MAX(0,($B$6+$B$10)-IF($B$1+43&gt;=$B$23,$B$22,0))*(1+$B$4)^43)&gt;0,1+$B$3,1))</f>
        <v/>
      </c>
      <c r="AU96">
        <f>IF($B$1+44&gt;90,AT96,(AT96+IF($B$1+44&lt;=$B96,12*($B$7-$B$10),-12*MAX(0,($B$6+$B$10)-IF($B$1+44&gt;=$B$23,$B$22,0))*(1+$B$4)^44))*IF(AT96+IF($B$1+44&lt;=$B96,12*($B$7-$B$10),-12*MAX(0,($B$6+$B$10)-IF($B$1+44&gt;=$B$23,$B$22,0))*(1+$B$4)^44)&gt;0,1+$B$3,1))</f>
        <v/>
      </c>
      <c r="AV96">
        <f>IF($B$1+45&gt;90,AU96,(AU96+IF($B$1+45&lt;=$B96,12*($B$7-$B$10),-12*MAX(0,($B$6+$B$10)-IF($B$1+45&gt;=$B$23,$B$22,0))*(1+$B$4)^45))*IF(AU96+IF($B$1+45&lt;=$B96,12*($B$7-$B$10),-12*MAX(0,($B$6+$B$10)-IF($B$1+45&gt;=$B$23,$B$22,0))*(1+$B$4)^45)&gt;0,1+$B$3,1))</f>
        <v/>
      </c>
      <c r="AW96">
        <f>IF($B$1+46&gt;90,AV96,(AV96+IF($B$1+46&lt;=$B96,12*($B$7-$B$10),-12*MAX(0,($B$6+$B$10)-IF($B$1+46&gt;=$B$23,$B$22,0))*(1+$B$4)^46))*IF(AV96+IF($B$1+46&lt;=$B96,12*($B$7-$B$10),-12*MAX(0,($B$6+$B$10)-IF($B$1+46&gt;=$B$23,$B$22,0))*(1+$B$4)^46)&gt;0,1+$B$3,1))</f>
        <v/>
      </c>
      <c r="AX96">
        <f>IF($B$1+47&gt;90,AW96,(AW96+IF($B$1+47&lt;=$B96,12*($B$7-$B$10),-12*MAX(0,($B$6+$B$10)-IF($B$1+47&gt;=$B$23,$B$22,0))*(1+$B$4)^47))*IF(AW96+IF($B$1+47&lt;=$B96,12*($B$7-$B$10),-12*MAX(0,($B$6+$B$10)-IF($B$1+47&gt;=$B$23,$B$22,0))*(1+$B$4)^47)&gt;0,1+$B$3,1))</f>
        <v/>
      </c>
      <c r="AY96">
        <f>IF($B$1+48&gt;90,AX96,(AX96+IF($B$1+48&lt;=$B96,12*($B$7-$B$10),-12*MAX(0,($B$6+$B$10)-IF($B$1+48&gt;=$B$23,$B$22,0))*(1+$B$4)^48))*IF(AX96+IF($B$1+48&lt;=$B96,12*($B$7-$B$10),-12*MAX(0,($B$6+$B$10)-IF($B$1+48&gt;=$B$23,$B$22,0))*(1+$B$4)^48)&gt;0,1+$B$3,1))</f>
        <v/>
      </c>
      <c r="AZ96">
        <f>IF($B$1+49&gt;90,AY96,(AY96+IF($B$1+49&lt;=$B96,12*($B$7-$B$10),-12*MAX(0,($B$6+$B$10)-IF($B$1+49&gt;=$B$23,$B$22,0))*(1+$B$4)^49))*IF(AY96+IF($B$1+49&lt;=$B96,12*($B$7-$B$10),-12*MAX(0,($B$6+$B$10)-IF($B$1+49&gt;=$B$23,$B$22,0))*(1+$B$4)^49)&gt;0,1+$B$3,1))</f>
        <v/>
      </c>
      <c r="BA96">
        <f>IF($B$1+50&gt;90,AZ96,(AZ96+IF($B$1+50&lt;=$B96,12*($B$7-$B$10),-12*MAX(0,($B$6+$B$10)-IF($B$1+50&gt;=$B$23,$B$22,0))*(1+$B$4)^50))*IF(AZ96+IF($B$1+50&lt;=$B96,12*($B$7-$B$10),-12*MAX(0,($B$6+$B$10)-IF($B$1+50&gt;=$B$23,$B$22,0))*(1+$B$4)^50)&gt;0,1+$B$3,1))</f>
        <v/>
      </c>
      <c r="BB96">
        <f>IF($B$1+51&gt;90,BA96,(BA96+IF($B$1+51&lt;=$B96,12*($B$7-$B$10),-12*MAX(0,($B$6+$B$10)-IF($B$1+51&gt;=$B$23,$B$22,0))*(1+$B$4)^51))*IF(BA96+IF($B$1+51&lt;=$B96,12*($B$7-$B$10),-12*MAX(0,($B$6+$B$10)-IF($B$1+51&gt;=$B$23,$B$22,0))*(1+$B$4)^51)&gt;0,1+$B$3,1))</f>
        <v/>
      </c>
      <c r="BC96">
        <f>IF($B$1+52&gt;90,BB96,(BB96+IF($B$1+52&lt;=$B96,12*($B$7-$B$10),-12*MAX(0,($B$6+$B$10)-IF($B$1+52&gt;=$B$23,$B$22,0))*(1+$B$4)^52))*IF(BB96+IF($B$1+52&lt;=$B96,12*($B$7-$B$10),-12*MAX(0,($B$6+$B$10)-IF($B$1+52&gt;=$B$23,$B$22,0))*(1+$B$4)^52)&gt;0,1+$B$3,1))</f>
        <v/>
      </c>
      <c r="BD96">
        <f>IF($B$1+53&gt;90,BC96,(BC96+IF($B$1+53&lt;=$B96,12*($B$7-$B$10),-12*MAX(0,($B$6+$B$10)-IF($B$1+53&gt;=$B$23,$B$22,0))*(1+$B$4)^53))*IF(BC96+IF($B$1+53&lt;=$B96,12*($B$7-$B$10),-12*MAX(0,($B$6+$B$10)-IF($B$1+53&gt;=$B$23,$B$22,0))*(1+$B$4)^53)&gt;0,1+$B$3,1))</f>
        <v/>
      </c>
      <c r="BE96">
        <f>IF($B$1+54&gt;90,BD96,(BD96+IF($B$1+54&lt;=$B96,12*($B$7-$B$10),-12*MAX(0,($B$6+$B$10)-IF($B$1+54&gt;=$B$23,$B$22,0))*(1+$B$4)^54))*IF(BD96+IF($B$1+54&lt;=$B96,12*($B$7-$B$10),-12*MAX(0,($B$6+$B$10)-IF($B$1+54&gt;=$B$23,$B$22,0))*(1+$B$4)^54)&gt;0,1+$B$3,1))</f>
        <v/>
      </c>
      <c r="BF96">
        <f>IF($B$1+55&gt;90,BE96,(BE96+IF($B$1+55&lt;=$B96,12*($B$7-$B$10),-12*MAX(0,($B$6+$B$10)-IF($B$1+55&gt;=$B$23,$B$22,0))*(1+$B$4)^55))*IF(BE96+IF($B$1+55&lt;=$B96,12*($B$7-$B$10),-12*MAX(0,($B$6+$B$10)-IF($B$1+55&gt;=$B$23,$B$22,0))*(1+$B$4)^55)&gt;0,1+$B$3,1))</f>
        <v/>
      </c>
      <c r="BG96">
        <f>IF($B$1+56&gt;90,BF96,(BF96+IF($B$1+56&lt;=$B96,12*($B$7-$B$10),-12*MAX(0,($B$6+$B$10)-IF($B$1+56&gt;=$B$23,$B$22,0))*(1+$B$4)^56))*IF(BF96+IF($B$1+56&lt;=$B96,12*($B$7-$B$10),-12*MAX(0,($B$6+$B$10)-IF($B$1+56&gt;=$B$23,$B$22,0))*(1+$B$4)^56)&gt;0,1+$B$3,1))</f>
        <v/>
      </c>
      <c r="BH96">
        <f>IF($B$1+57&gt;90,BG96,(BG96+IF($B$1+57&lt;=$B96,12*($B$7-$B$10),-12*MAX(0,($B$6+$B$10)-IF($B$1+57&gt;=$B$23,$B$22,0))*(1+$B$4)^57))*IF(BG96+IF($B$1+57&lt;=$B96,12*($B$7-$B$10),-12*MAX(0,($B$6+$B$10)-IF($B$1+57&gt;=$B$23,$B$22,0))*(1+$B$4)^57)&gt;0,1+$B$3,1))</f>
        <v/>
      </c>
      <c r="BI96">
        <f>IF($B$1+58&gt;90,BH96,(BH96+IF($B$1+58&lt;=$B96,12*($B$7-$B$10),-12*MAX(0,($B$6+$B$10)-IF($B$1+58&gt;=$B$23,$B$22,0))*(1+$B$4)^58))*IF(BH96+IF($B$1+58&lt;=$B96,12*($B$7-$B$10),-12*MAX(0,($B$6+$B$10)-IF($B$1+58&gt;=$B$23,$B$22,0))*(1+$B$4)^58)&gt;0,1+$B$3,1))</f>
        <v/>
      </c>
      <c r="BJ96">
        <f>IF($B$1+59&gt;90,BI96,(BI96+IF($B$1+59&lt;=$B96,12*($B$7-$B$10),-12*MAX(0,($B$6+$B$10)-IF($B$1+59&gt;=$B$23,$B$22,0))*(1+$B$4)^59))*IF(BI96+IF($B$1+59&lt;=$B96,12*($B$7-$B$10),-12*MAX(0,($B$6+$B$10)-IF($B$1+59&gt;=$B$23,$B$22,0))*(1+$B$4)^59)&gt;0,1+$B$3,1))</f>
        <v/>
      </c>
      <c r="BK96">
        <f>IF($B$1+60&gt;90,BJ96,(BJ96+IF($B$1+60&lt;=$B96,12*($B$7-$B$10),-12*MAX(0,($B$6+$B$10)-IF($B$1+60&gt;=$B$23,$B$22,0))*(1+$B$4)^60))*IF(BJ96+IF($B$1+60&lt;=$B96,12*($B$7-$B$10),-12*MAX(0,($B$6+$B$10)-IF($B$1+60&gt;=$B$23,$B$22,0))*(1+$B$4)^60)&gt;0,1+$B$3,1))</f>
        <v/>
      </c>
      <c r="BL96">
        <f>IF($B$1+61&gt;90,BK96,(BK96+IF($B$1+61&lt;=$B96,12*($B$7-$B$10),-12*MAX(0,($B$6+$B$10)-IF($B$1+61&gt;=$B$23,$B$22,0))*(1+$B$4)^61))*IF(BK96+IF($B$1+61&lt;=$B96,12*($B$7-$B$10),-12*MAX(0,($B$6+$B$10)-IF($B$1+61&gt;=$B$23,$B$22,0))*(1+$B$4)^61)&gt;0,1+$B$3,1))</f>
        <v/>
      </c>
      <c r="BM96">
        <f>IF($B$1+62&gt;90,BL96,(BL96+IF($B$1+62&lt;=$B96,12*($B$7-$B$10),-12*MAX(0,($B$6+$B$10)-IF($B$1+62&gt;=$B$23,$B$22,0))*(1+$B$4)^62))*IF(BL96+IF($B$1+62&lt;=$B96,12*($B$7-$B$10),-12*MAX(0,($B$6+$B$10)-IF($B$1+62&gt;=$B$23,$B$22,0))*(1+$B$4)^62)&gt;0,1+$B$3,1))</f>
        <v/>
      </c>
      <c r="BN96">
        <f>IF($B$1+63&gt;90,BM96,(BM96+IF($B$1+63&lt;=$B96,12*($B$7-$B$10),-12*MAX(0,($B$6+$B$10)-IF($B$1+63&gt;=$B$23,$B$22,0))*(1+$B$4)^63))*IF(BM96+IF($B$1+63&lt;=$B96,12*($B$7-$B$10),-12*MAX(0,($B$6+$B$10)-IF($B$1+63&gt;=$B$23,$B$22,0))*(1+$B$4)^63)&gt;0,1+$B$3,1))</f>
        <v/>
      </c>
      <c r="BO96">
        <f>IF($B$1+64&gt;90,BN96,(BN96+IF($B$1+64&lt;=$B96,12*($B$7-$B$10),-12*MAX(0,($B$6+$B$10)-IF($B$1+64&gt;=$B$23,$B$22,0))*(1+$B$4)^64))*IF(BN96+IF($B$1+64&lt;=$B96,12*($B$7-$B$10),-12*MAX(0,($B$6+$B$10)-IF($B$1+64&gt;=$B$23,$B$22,0))*(1+$B$4)^64)&gt;0,1+$B$3,1))</f>
        <v/>
      </c>
      <c r="BP96">
        <f>IF($B$1+65&gt;90,BO96,(BO96+IF($B$1+65&lt;=$B96,12*($B$7-$B$10),-12*MAX(0,($B$6+$B$10)-IF($B$1+65&gt;=$B$23,$B$22,0))*(1+$B$4)^65))*IF(BO96+IF($B$1+65&lt;=$B96,12*($B$7-$B$10),-12*MAX(0,($B$6+$B$10)-IF($B$1+65&gt;=$B$23,$B$22,0))*(1+$B$4)^65)&gt;0,1+$B$3,1))</f>
        <v/>
      </c>
      <c r="BQ96">
        <f>IF($B$1+66&gt;90,BP96,(BP96+IF($B$1+66&lt;=$B96,12*($B$7-$B$10),-12*MAX(0,($B$6+$B$10)-IF($B$1+66&gt;=$B$23,$B$22,0))*(1+$B$4)^66))*IF(BP96+IF($B$1+66&lt;=$B96,12*($B$7-$B$10),-12*MAX(0,($B$6+$B$10)-IF($B$1+66&gt;=$B$23,$B$22,0))*(1+$B$4)^66)&gt;0,1+$B$3,1))</f>
        <v/>
      </c>
      <c r="BR96">
        <f>IF($B$1+67&gt;90,BQ96,(BQ96+IF($B$1+67&lt;=$B96,12*($B$7-$B$10),-12*MAX(0,($B$6+$B$10)-IF($B$1+67&gt;=$B$23,$B$22,0))*(1+$B$4)^67))*IF(BQ96+IF($B$1+67&lt;=$B96,12*($B$7-$B$10),-12*MAX(0,($B$6+$B$10)-IF($B$1+67&gt;=$B$23,$B$22,0))*(1+$B$4)^67)&gt;0,1+$B$3,1))</f>
        <v/>
      </c>
      <c r="BS96">
        <f>IF($B$1+68&gt;90,BR96,(BR96+IF($B$1+68&lt;=$B96,12*($B$7-$B$10),-12*MAX(0,($B$6+$B$10)-IF($B$1+68&gt;=$B$23,$B$22,0))*(1+$B$4)^68))*IF(BR96+IF($B$1+68&lt;=$B96,12*($B$7-$B$10),-12*MAX(0,($B$6+$B$10)-IF($B$1+68&gt;=$B$23,$B$22,0))*(1+$B$4)^68)&gt;0,1+$B$3,1))</f>
        <v/>
      </c>
      <c r="BT96">
        <f>IF($B$1+69&gt;90,BS96,(BS96+IF($B$1+69&lt;=$B96,12*($B$7-$B$10),-12*MAX(0,($B$6+$B$10)-IF($B$1+69&gt;=$B$23,$B$22,0))*(1+$B$4)^69))*IF(BS96+IF($B$1+69&lt;=$B96,12*($B$7-$B$10),-12*MAX(0,($B$6+$B$10)-IF($B$1+69&gt;=$B$23,$B$22,0))*(1+$B$4)^69)&gt;0,1+$B$3,1))</f>
        <v/>
      </c>
      <c r="BU96">
        <f>IF($B$1+70&gt;90,BT96,(BT96+IF($B$1+70&lt;=$B96,12*($B$7-$B$10),-12*MAX(0,($B$6+$B$10)-IF($B$1+70&gt;=$B$23,$B$22,0))*(1+$B$4)^70))*IF(BT96+IF($B$1+70&lt;=$B96,12*($B$7-$B$10),-12*MAX(0,($B$6+$B$10)-IF($B$1+70&gt;=$B$23,$B$22,0))*(1+$B$4)^70)&gt;0,1+$B$3,1))</f>
        <v/>
      </c>
      <c r="BV96">
        <f>BU96</f>
        <v/>
      </c>
      <c r="BW96">
        <f>IF(AND($B96&lt;=70,BV96&gt;0),$B96,999)</f>
        <v/>
      </c>
      <c r="CH96">
        <f>IF(ISTEXT('월 가계부'!A96),SUBSTITUTE(SUBSTITUTE(SUBSTITUTE(SUBSTITUTE(SUBSTITUTE(SUBSTITUTE(SUBSTITUTE(SUBSTITUTE(SUBSTITUTE(TRIM('월 가계부'!A96),"년","-"),"월","-"),"일",""),".","-"),"/","-")," ","-"),"--","-"),"--","-"),"--","-")&amp;"-","")</f>
        <v/>
      </c>
      <c r="CI96">
        <f>IFERROR(IF('월 가계부'!A96="","",IF(ISNUMBER('월 가계부'!A96),IF(AND('월 가계부'!A96&gt;=19000101,'월 가계부'!A96&lt;=21001231),IF(AND(MOD(INT('월 가계부'!A96/100),100)&gt;=1,MOD(INT('월 가계부'!A96/100),100)&lt;=12,MOD(INT('월 가계부'!A96),100)&gt;=1,MOD(INT('월 가계부'!A96),100)&lt;=31),IF(MONTH(DATE(INT('월 가계부'!A96/10000),MOD(INT('월 가계부'!A96/100),100),MOD(INT('월 가계부'!A96),100)))=MOD(INT('월 가계부'!A96/100),100),DATE(INT('월 가계부'!A96/10000),MOD(INT('월 가계부'!A96/100),100),MOD(INT('월 가계부'!A96),100)),""),""),IF(AND('월 가계부'!A96&gt;=36526,'월 가계부'!A96&lt;73051),INT('월 가계부'!A96),"")),IF(OR(CM96="",CN96="",CO96=""),"",IF(AND(CM96&gt;=2000,CM96&lt;=2099,CN96&gt;=1,CN96&lt;=12,CO96&gt;=1,CO96&lt;=31),IF(MONTH(DATE(CM96,CN96,CO96))=CN96,DATE(CM96,CN96,CO96),""),"")))),"")</f>
        <v/>
      </c>
      <c r="CJ96">
        <f>IFERROR(IF('월 가계부'!C96="","",IF(ISNUMBER('월 가계부'!C96),'월 가계부'!C96,VALUE(SUBSTITUTE(SUBSTITUTE(SUBSTITUTE(SUBSTITUTE(TRIM('월 가계부'!C96),",",""),"원","")," ",""),"−","-")))),"")</f>
        <v/>
      </c>
      <c r="CK96">
        <f>IF(ISNUMBER(CI96),IF(CI96&lt;$B$13,CI96,""),"")</f>
        <v/>
      </c>
      <c r="CM96">
        <f>IF(CH96="","",IFERROR(IF(IF(AND(LEN(CH96)=9,ISERROR(FIND("-",LEFT(CH96,8))),ISNUMBER(-LEFT(CH96,8))),VALUE(LEFT(CH96,4)),VALUE(LEFT(CH96,FIND("-",CH96)-1)))&lt;100,IF(AND(LEN(CH96)=9,ISERROR(FIND("-",LEFT(CH96,8))),ISNUMBER(-LEFT(CH96,8))),VALUE(LEFT(CH96,4)),VALUE(LEFT(CH96,FIND("-",CH96)-1)))+2000,IF(AND(LEN(CH96)=9,ISERROR(FIND("-",LEFT(CH96,8))),ISNUMBER(-LEFT(CH96,8))),VALUE(LEFT(CH96,4)),VALUE(LEFT(CH96,FIND("-",CH96)-1)))),""))</f>
        <v/>
      </c>
      <c r="CN96">
        <f>IF(CH96="","",IFERROR(IF(AND(LEN(CH96)=9,ISERROR(FIND("-",LEFT(CH96,8))),ISNUMBER(-LEFT(CH96,8))),VALUE(MID(CH96,5,2)),VALUE(MID(CH96,FIND("-",CH96)+1,FIND("-",CH96,FIND("-",CH96)+1)-FIND("-",CH96)-1))),""))</f>
        <v/>
      </c>
      <c r="CO96">
        <f>IF(CH96="","",IFERROR(IF(AND(LEN(CH96)=9,ISERROR(FIND("-",LEFT(CH96,8))),ISNUMBER(-LEFT(CH96,8))),VALUE(MID(CH96,7,2)),VALUE(MID(CH96,FIND("-",CH96,FIND("-",CH96)+1)+1,FIND("-",CH96,FIND("-",CH96,FIND("-",CH96)+1)+1)-FIND("-",CH96,FIND("-",CH96)+1)-1))),""))</f>
        <v/>
      </c>
    </row>
    <row r="97">
      <c r="A97" t="n">
        <v>1</v>
      </c>
      <c r="B97">
        <f>$B$1+1</f>
        <v/>
      </c>
      <c r="C97">
        <f>$B$2</f>
        <v/>
      </c>
      <c r="D97">
        <f>IF($B$1+1&gt;90,C97,(C97+IF($B$1+1&lt;=$B97,12*($B$7-$B$10),-12*MAX(0,($B$6+$B$10)-IF($B$1+1&gt;=$B$23,$B$22,0))*(1+$B$4)^1))*IF(C97+IF($B$1+1&lt;=$B97,12*($B$7-$B$10),-12*MAX(0,($B$6+$B$10)-IF($B$1+1&gt;=$B$23,$B$22,0))*(1+$B$4)^1)&gt;0,1+$B$3,1))</f>
        <v/>
      </c>
      <c r="E97">
        <f>IF($B$1+2&gt;90,D97,(D97+IF($B$1+2&lt;=$B97,12*($B$7-$B$10),-12*MAX(0,($B$6+$B$10)-IF($B$1+2&gt;=$B$23,$B$22,0))*(1+$B$4)^2))*IF(D97+IF($B$1+2&lt;=$B97,12*($B$7-$B$10),-12*MAX(0,($B$6+$B$10)-IF($B$1+2&gt;=$B$23,$B$22,0))*(1+$B$4)^2)&gt;0,1+$B$3,1))</f>
        <v/>
      </c>
      <c r="F97">
        <f>IF($B$1+3&gt;90,E97,(E97+IF($B$1+3&lt;=$B97,12*($B$7-$B$10),-12*MAX(0,($B$6+$B$10)-IF($B$1+3&gt;=$B$23,$B$22,0))*(1+$B$4)^3))*IF(E97+IF($B$1+3&lt;=$B97,12*($B$7-$B$10),-12*MAX(0,($B$6+$B$10)-IF($B$1+3&gt;=$B$23,$B$22,0))*(1+$B$4)^3)&gt;0,1+$B$3,1))</f>
        <v/>
      </c>
      <c r="G97">
        <f>IF($B$1+4&gt;90,F97,(F97+IF($B$1+4&lt;=$B97,12*($B$7-$B$10),-12*MAX(0,($B$6+$B$10)-IF($B$1+4&gt;=$B$23,$B$22,0))*(1+$B$4)^4))*IF(F97+IF($B$1+4&lt;=$B97,12*($B$7-$B$10),-12*MAX(0,($B$6+$B$10)-IF($B$1+4&gt;=$B$23,$B$22,0))*(1+$B$4)^4)&gt;0,1+$B$3,1))</f>
        <v/>
      </c>
      <c r="H97">
        <f>IF($B$1+5&gt;90,G97,(G97+IF($B$1+5&lt;=$B97,12*($B$7-$B$10),-12*MAX(0,($B$6+$B$10)-IF($B$1+5&gt;=$B$23,$B$22,0))*(1+$B$4)^5))*IF(G97+IF($B$1+5&lt;=$B97,12*($B$7-$B$10),-12*MAX(0,($B$6+$B$10)-IF($B$1+5&gt;=$B$23,$B$22,0))*(1+$B$4)^5)&gt;0,1+$B$3,1))</f>
        <v/>
      </c>
      <c r="I97">
        <f>IF($B$1+6&gt;90,H97,(H97+IF($B$1+6&lt;=$B97,12*($B$7-$B$10),-12*MAX(0,($B$6+$B$10)-IF($B$1+6&gt;=$B$23,$B$22,0))*(1+$B$4)^6))*IF(H97+IF($B$1+6&lt;=$B97,12*($B$7-$B$10),-12*MAX(0,($B$6+$B$10)-IF($B$1+6&gt;=$B$23,$B$22,0))*(1+$B$4)^6)&gt;0,1+$B$3,1))</f>
        <v/>
      </c>
      <c r="J97">
        <f>IF($B$1+7&gt;90,I97,(I97+IF($B$1+7&lt;=$B97,12*($B$7-$B$10),-12*MAX(0,($B$6+$B$10)-IF($B$1+7&gt;=$B$23,$B$22,0))*(1+$B$4)^7))*IF(I97+IF($B$1+7&lt;=$B97,12*($B$7-$B$10),-12*MAX(0,($B$6+$B$10)-IF($B$1+7&gt;=$B$23,$B$22,0))*(1+$B$4)^7)&gt;0,1+$B$3,1))</f>
        <v/>
      </c>
      <c r="K97">
        <f>IF($B$1+8&gt;90,J97,(J97+IF($B$1+8&lt;=$B97,12*($B$7-$B$10),-12*MAX(0,($B$6+$B$10)-IF($B$1+8&gt;=$B$23,$B$22,0))*(1+$B$4)^8))*IF(J97+IF($B$1+8&lt;=$B97,12*($B$7-$B$10),-12*MAX(0,($B$6+$B$10)-IF($B$1+8&gt;=$B$23,$B$22,0))*(1+$B$4)^8)&gt;0,1+$B$3,1))</f>
        <v/>
      </c>
      <c r="L97">
        <f>IF($B$1+9&gt;90,K97,(K97+IF($B$1+9&lt;=$B97,12*($B$7-$B$10),-12*MAX(0,($B$6+$B$10)-IF($B$1+9&gt;=$B$23,$B$22,0))*(1+$B$4)^9))*IF(K97+IF($B$1+9&lt;=$B97,12*($B$7-$B$10),-12*MAX(0,($B$6+$B$10)-IF($B$1+9&gt;=$B$23,$B$22,0))*(1+$B$4)^9)&gt;0,1+$B$3,1))</f>
        <v/>
      </c>
      <c r="M97">
        <f>IF($B$1+10&gt;90,L97,(L97+IF($B$1+10&lt;=$B97,12*($B$7-$B$10),-12*MAX(0,($B$6+$B$10)-IF($B$1+10&gt;=$B$23,$B$22,0))*(1+$B$4)^10))*IF(L97+IF($B$1+10&lt;=$B97,12*($B$7-$B$10),-12*MAX(0,($B$6+$B$10)-IF($B$1+10&gt;=$B$23,$B$22,0))*(1+$B$4)^10)&gt;0,1+$B$3,1))</f>
        <v/>
      </c>
      <c r="N97">
        <f>IF($B$1+11&gt;90,M97,(M97+IF($B$1+11&lt;=$B97,12*($B$7-$B$10),-12*MAX(0,($B$6+$B$10)-IF($B$1+11&gt;=$B$23,$B$22,0))*(1+$B$4)^11))*IF(M97+IF($B$1+11&lt;=$B97,12*($B$7-$B$10),-12*MAX(0,($B$6+$B$10)-IF($B$1+11&gt;=$B$23,$B$22,0))*(1+$B$4)^11)&gt;0,1+$B$3,1))</f>
        <v/>
      </c>
      <c r="O97">
        <f>IF($B$1+12&gt;90,N97,(N97+IF($B$1+12&lt;=$B97,12*($B$7-$B$10),-12*MAX(0,($B$6+$B$10)-IF($B$1+12&gt;=$B$23,$B$22,0))*(1+$B$4)^12))*IF(N97+IF($B$1+12&lt;=$B97,12*($B$7-$B$10),-12*MAX(0,($B$6+$B$10)-IF($B$1+12&gt;=$B$23,$B$22,0))*(1+$B$4)^12)&gt;0,1+$B$3,1))</f>
        <v/>
      </c>
      <c r="P97">
        <f>IF($B$1+13&gt;90,O97,(O97+IF($B$1+13&lt;=$B97,12*($B$7-$B$10),-12*MAX(0,($B$6+$B$10)-IF($B$1+13&gt;=$B$23,$B$22,0))*(1+$B$4)^13))*IF(O97+IF($B$1+13&lt;=$B97,12*($B$7-$B$10),-12*MAX(0,($B$6+$B$10)-IF($B$1+13&gt;=$B$23,$B$22,0))*(1+$B$4)^13)&gt;0,1+$B$3,1))</f>
        <v/>
      </c>
      <c r="Q97">
        <f>IF($B$1+14&gt;90,P97,(P97+IF($B$1+14&lt;=$B97,12*($B$7-$B$10),-12*MAX(0,($B$6+$B$10)-IF($B$1+14&gt;=$B$23,$B$22,0))*(1+$B$4)^14))*IF(P97+IF($B$1+14&lt;=$B97,12*($B$7-$B$10),-12*MAX(0,($B$6+$B$10)-IF($B$1+14&gt;=$B$23,$B$22,0))*(1+$B$4)^14)&gt;0,1+$B$3,1))</f>
        <v/>
      </c>
      <c r="R97">
        <f>IF($B$1+15&gt;90,Q97,(Q97+IF($B$1+15&lt;=$B97,12*($B$7-$B$10),-12*MAX(0,($B$6+$B$10)-IF($B$1+15&gt;=$B$23,$B$22,0))*(1+$B$4)^15))*IF(Q97+IF($B$1+15&lt;=$B97,12*($B$7-$B$10),-12*MAX(0,($B$6+$B$10)-IF($B$1+15&gt;=$B$23,$B$22,0))*(1+$B$4)^15)&gt;0,1+$B$3,1))</f>
        <v/>
      </c>
      <c r="S97">
        <f>IF($B$1+16&gt;90,R97,(R97+IF($B$1+16&lt;=$B97,12*($B$7-$B$10),-12*MAX(0,($B$6+$B$10)-IF($B$1+16&gt;=$B$23,$B$22,0))*(1+$B$4)^16))*IF(R97+IF($B$1+16&lt;=$B97,12*($B$7-$B$10),-12*MAX(0,($B$6+$B$10)-IF($B$1+16&gt;=$B$23,$B$22,0))*(1+$B$4)^16)&gt;0,1+$B$3,1))</f>
        <v/>
      </c>
      <c r="T97">
        <f>IF($B$1+17&gt;90,S97,(S97+IF($B$1+17&lt;=$B97,12*($B$7-$B$10),-12*MAX(0,($B$6+$B$10)-IF($B$1+17&gt;=$B$23,$B$22,0))*(1+$B$4)^17))*IF(S97+IF($B$1+17&lt;=$B97,12*($B$7-$B$10),-12*MAX(0,($B$6+$B$10)-IF($B$1+17&gt;=$B$23,$B$22,0))*(1+$B$4)^17)&gt;0,1+$B$3,1))</f>
        <v/>
      </c>
      <c r="U97">
        <f>IF($B$1+18&gt;90,T97,(T97+IF($B$1+18&lt;=$B97,12*($B$7-$B$10),-12*MAX(0,($B$6+$B$10)-IF($B$1+18&gt;=$B$23,$B$22,0))*(1+$B$4)^18))*IF(T97+IF($B$1+18&lt;=$B97,12*($B$7-$B$10),-12*MAX(0,($B$6+$B$10)-IF($B$1+18&gt;=$B$23,$B$22,0))*(1+$B$4)^18)&gt;0,1+$B$3,1))</f>
        <v/>
      </c>
      <c r="V97">
        <f>IF($B$1+19&gt;90,U97,(U97+IF($B$1+19&lt;=$B97,12*($B$7-$B$10),-12*MAX(0,($B$6+$B$10)-IF($B$1+19&gt;=$B$23,$B$22,0))*(1+$B$4)^19))*IF(U97+IF($B$1+19&lt;=$B97,12*($B$7-$B$10),-12*MAX(0,($B$6+$B$10)-IF($B$1+19&gt;=$B$23,$B$22,0))*(1+$B$4)^19)&gt;0,1+$B$3,1))</f>
        <v/>
      </c>
      <c r="W97">
        <f>IF($B$1+20&gt;90,V97,(V97+IF($B$1+20&lt;=$B97,12*($B$7-$B$10),-12*MAX(0,($B$6+$B$10)-IF($B$1+20&gt;=$B$23,$B$22,0))*(1+$B$4)^20))*IF(V97+IF($B$1+20&lt;=$B97,12*($B$7-$B$10),-12*MAX(0,($B$6+$B$10)-IF($B$1+20&gt;=$B$23,$B$22,0))*(1+$B$4)^20)&gt;0,1+$B$3,1))</f>
        <v/>
      </c>
      <c r="X97">
        <f>IF($B$1+21&gt;90,W97,(W97+IF($B$1+21&lt;=$B97,12*($B$7-$B$10),-12*MAX(0,($B$6+$B$10)-IF($B$1+21&gt;=$B$23,$B$22,0))*(1+$B$4)^21))*IF(W97+IF($B$1+21&lt;=$B97,12*($B$7-$B$10),-12*MAX(0,($B$6+$B$10)-IF($B$1+21&gt;=$B$23,$B$22,0))*(1+$B$4)^21)&gt;0,1+$B$3,1))</f>
        <v/>
      </c>
      <c r="Y97">
        <f>IF($B$1+22&gt;90,X97,(X97+IF($B$1+22&lt;=$B97,12*($B$7-$B$10),-12*MAX(0,($B$6+$B$10)-IF($B$1+22&gt;=$B$23,$B$22,0))*(1+$B$4)^22))*IF(X97+IF($B$1+22&lt;=$B97,12*($B$7-$B$10),-12*MAX(0,($B$6+$B$10)-IF($B$1+22&gt;=$B$23,$B$22,0))*(1+$B$4)^22)&gt;0,1+$B$3,1))</f>
        <v/>
      </c>
      <c r="Z97">
        <f>IF($B$1+23&gt;90,Y97,(Y97+IF($B$1+23&lt;=$B97,12*($B$7-$B$10),-12*MAX(0,($B$6+$B$10)-IF($B$1+23&gt;=$B$23,$B$22,0))*(1+$B$4)^23))*IF(Y97+IF($B$1+23&lt;=$B97,12*($B$7-$B$10),-12*MAX(0,($B$6+$B$10)-IF($B$1+23&gt;=$B$23,$B$22,0))*(1+$B$4)^23)&gt;0,1+$B$3,1))</f>
        <v/>
      </c>
      <c r="AA97">
        <f>IF($B$1+24&gt;90,Z97,(Z97+IF($B$1+24&lt;=$B97,12*($B$7-$B$10),-12*MAX(0,($B$6+$B$10)-IF($B$1+24&gt;=$B$23,$B$22,0))*(1+$B$4)^24))*IF(Z97+IF($B$1+24&lt;=$B97,12*($B$7-$B$10),-12*MAX(0,($B$6+$B$10)-IF($B$1+24&gt;=$B$23,$B$22,0))*(1+$B$4)^24)&gt;0,1+$B$3,1))</f>
        <v/>
      </c>
      <c r="AB97">
        <f>IF($B$1+25&gt;90,AA97,(AA97+IF($B$1+25&lt;=$B97,12*($B$7-$B$10),-12*MAX(0,($B$6+$B$10)-IF($B$1+25&gt;=$B$23,$B$22,0))*(1+$B$4)^25))*IF(AA97+IF($B$1+25&lt;=$B97,12*($B$7-$B$10),-12*MAX(0,($B$6+$B$10)-IF($B$1+25&gt;=$B$23,$B$22,0))*(1+$B$4)^25)&gt;0,1+$B$3,1))</f>
        <v/>
      </c>
      <c r="AC97">
        <f>IF($B$1+26&gt;90,AB97,(AB97+IF($B$1+26&lt;=$B97,12*($B$7-$B$10),-12*MAX(0,($B$6+$B$10)-IF($B$1+26&gt;=$B$23,$B$22,0))*(1+$B$4)^26))*IF(AB97+IF($B$1+26&lt;=$B97,12*($B$7-$B$10),-12*MAX(0,($B$6+$B$10)-IF($B$1+26&gt;=$B$23,$B$22,0))*(1+$B$4)^26)&gt;0,1+$B$3,1))</f>
        <v/>
      </c>
      <c r="AD97">
        <f>IF($B$1+27&gt;90,AC97,(AC97+IF($B$1+27&lt;=$B97,12*($B$7-$B$10),-12*MAX(0,($B$6+$B$10)-IF($B$1+27&gt;=$B$23,$B$22,0))*(1+$B$4)^27))*IF(AC97+IF($B$1+27&lt;=$B97,12*($B$7-$B$10),-12*MAX(0,($B$6+$B$10)-IF($B$1+27&gt;=$B$23,$B$22,0))*(1+$B$4)^27)&gt;0,1+$B$3,1))</f>
        <v/>
      </c>
      <c r="AE97">
        <f>IF($B$1+28&gt;90,AD97,(AD97+IF($B$1+28&lt;=$B97,12*($B$7-$B$10),-12*MAX(0,($B$6+$B$10)-IF($B$1+28&gt;=$B$23,$B$22,0))*(1+$B$4)^28))*IF(AD97+IF($B$1+28&lt;=$B97,12*($B$7-$B$10),-12*MAX(0,($B$6+$B$10)-IF($B$1+28&gt;=$B$23,$B$22,0))*(1+$B$4)^28)&gt;0,1+$B$3,1))</f>
        <v/>
      </c>
      <c r="AF97">
        <f>IF($B$1+29&gt;90,AE97,(AE97+IF($B$1+29&lt;=$B97,12*($B$7-$B$10),-12*MAX(0,($B$6+$B$10)-IF($B$1+29&gt;=$B$23,$B$22,0))*(1+$B$4)^29))*IF(AE97+IF($B$1+29&lt;=$B97,12*($B$7-$B$10),-12*MAX(0,($B$6+$B$10)-IF($B$1+29&gt;=$B$23,$B$22,0))*(1+$B$4)^29)&gt;0,1+$B$3,1))</f>
        <v/>
      </c>
      <c r="AG97">
        <f>IF($B$1+30&gt;90,AF97,(AF97+IF($B$1+30&lt;=$B97,12*($B$7-$B$10),-12*MAX(0,($B$6+$B$10)-IF($B$1+30&gt;=$B$23,$B$22,0))*(1+$B$4)^30))*IF(AF97+IF($B$1+30&lt;=$B97,12*($B$7-$B$10),-12*MAX(0,($B$6+$B$10)-IF($B$1+30&gt;=$B$23,$B$22,0))*(1+$B$4)^30)&gt;0,1+$B$3,1))</f>
        <v/>
      </c>
      <c r="AH97">
        <f>IF($B$1+31&gt;90,AG97,(AG97+IF($B$1+31&lt;=$B97,12*($B$7-$B$10),-12*MAX(0,($B$6+$B$10)-IF($B$1+31&gt;=$B$23,$B$22,0))*(1+$B$4)^31))*IF(AG97+IF($B$1+31&lt;=$B97,12*($B$7-$B$10),-12*MAX(0,($B$6+$B$10)-IF($B$1+31&gt;=$B$23,$B$22,0))*(1+$B$4)^31)&gt;0,1+$B$3,1))</f>
        <v/>
      </c>
      <c r="AI97">
        <f>IF($B$1+32&gt;90,AH97,(AH97+IF($B$1+32&lt;=$B97,12*($B$7-$B$10),-12*MAX(0,($B$6+$B$10)-IF($B$1+32&gt;=$B$23,$B$22,0))*(1+$B$4)^32))*IF(AH97+IF($B$1+32&lt;=$B97,12*($B$7-$B$10),-12*MAX(0,($B$6+$B$10)-IF($B$1+32&gt;=$B$23,$B$22,0))*(1+$B$4)^32)&gt;0,1+$B$3,1))</f>
        <v/>
      </c>
      <c r="AJ97">
        <f>IF($B$1+33&gt;90,AI97,(AI97+IF($B$1+33&lt;=$B97,12*($B$7-$B$10),-12*MAX(0,($B$6+$B$10)-IF($B$1+33&gt;=$B$23,$B$22,0))*(1+$B$4)^33))*IF(AI97+IF($B$1+33&lt;=$B97,12*($B$7-$B$10),-12*MAX(0,($B$6+$B$10)-IF($B$1+33&gt;=$B$23,$B$22,0))*(1+$B$4)^33)&gt;0,1+$B$3,1))</f>
        <v/>
      </c>
      <c r="AK97">
        <f>IF($B$1+34&gt;90,AJ97,(AJ97+IF($B$1+34&lt;=$B97,12*($B$7-$B$10),-12*MAX(0,($B$6+$B$10)-IF($B$1+34&gt;=$B$23,$B$22,0))*(1+$B$4)^34))*IF(AJ97+IF($B$1+34&lt;=$B97,12*($B$7-$B$10),-12*MAX(0,($B$6+$B$10)-IF($B$1+34&gt;=$B$23,$B$22,0))*(1+$B$4)^34)&gt;0,1+$B$3,1))</f>
        <v/>
      </c>
      <c r="AL97">
        <f>IF($B$1+35&gt;90,AK97,(AK97+IF($B$1+35&lt;=$B97,12*($B$7-$B$10),-12*MAX(0,($B$6+$B$10)-IF($B$1+35&gt;=$B$23,$B$22,0))*(1+$B$4)^35))*IF(AK97+IF($B$1+35&lt;=$B97,12*($B$7-$B$10),-12*MAX(0,($B$6+$B$10)-IF($B$1+35&gt;=$B$23,$B$22,0))*(1+$B$4)^35)&gt;0,1+$B$3,1))</f>
        <v/>
      </c>
      <c r="AM97">
        <f>IF($B$1+36&gt;90,AL97,(AL97+IF($B$1+36&lt;=$B97,12*($B$7-$B$10),-12*MAX(0,($B$6+$B$10)-IF($B$1+36&gt;=$B$23,$B$22,0))*(1+$B$4)^36))*IF(AL97+IF($B$1+36&lt;=$B97,12*($B$7-$B$10),-12*MAX(0,($B$6+$B$10)-IF($B$1+36&gt;=$B$23,$B$22,0))*(1+$B$4)^36)&gt;0,1+$B$3,1))</f>
        <v/>
      </c>
      <c r="AN97">
        <f>IF($B$1+37&gt;90,AM97,(AM97+IF($B$1+37&lt;=$B97,12*($B$7-$B$10),-12*MAX(0,($B$6+$B$10)-IF($B$1+37&gt;=$B$23,$B$22,0))*(1+$B$4)^37))*IF(AM97+IF($B$1+37&lt;=$B97,12*($B$7-$B$10),-12*MAX(0,($B$6+$B$10)-IF($B$1+37&gt;=$B$23,$B$22,0))*(1+$B$4)^37)&gt;0,1+$B$3,1))</f>
        <v/>
      </c>
      <c r="AO97">
        <f>IF($B$1+38&gt;90,AN97,(AN97+IF($B$1+38&lt;=$B97,12*($B$7-$B$10),-12*MAX(0,($B$6+$B$10)-IF($B$1+38&gt;=$B$23,$B$22,0))*(1+$B$4)^38))*IF(AN97+IF($B$1+38&lt;=$B97,12*($B$7-$B$10),-12*MAX(0,($B$6+$B$10)-IF($B$1+38&gt;=$B$23,$B$22,0))*(1+$B$4)^38)&gt;0,1+$B$3,1))</f>
        <v/>
      </c>
      <c r="AP97">
        <f>IF($B$1+39&gt;90,AO97,(AO97+IF($B$1+39&lt;=$B97,12*($B$7-$B$10),-12*MAX(0,($B$6+$B$10)-IF($B$1+39&gt;=$B$23,$B$22,0))*(1+$B$4)^39))*IF(AO97+IF($B$1+39&lt;=$B97,12*($B$7-$B$10),-12*MAX(0,($B$6+$B$10)-IF($B$1+39&gt;=$B$23,$B$22,0))*(1+$B$4)^39)&gt;0,1+$B$3,1))</f>
        <v/>
      </c>
      <c r="AQ97">
        <f>IF($B$1+40&gt;90,AP97,(AP97+IF($B$1+40&lt;=$B97,12*($B$7-$B$10),-12*MAX(0,($B$6+$B$10)-IF($B$1+40&gt;=$B$23,$B$22,0))*(1+$B$4)^40))*IF(AP97+IF($B$1+40&lt;=$B97,12*($B$7-$B$10),-12*MAX(0,($B$6+$B$10)-IF($B$1+40&gt;=$B$23,$B$22,0))*(1+$B$4)^40)&gt;0,1+$B$3,1))</f>
        <v/>
      </c>
      <c r="AR97">
        <f>IF($B$1+41&gt;90,AQ97,(AQ97+IF($B$1+41&lt;=$B97,12*($B$7-$B$10),-12*MAX(0,($B$6+$B$10)-IF($B$1+41&gt;=$B$23,$B$22,0))*(1+$B$4)^41))*IF(AQ97+IF($B$1+41&lt;=$B97,12*($B$7-$B$10),-12*MAX(0,($B$6+$B$10)-IF($B$1+41&gt;=$B$23,$B$22,0))*(1+$B$4)^41)&gt;0,1+$B$3,1))</f>
        <v/>
      </c>
      <c r="AS97">
        <f>IF($B$1+42&gt;90,AR97,(AR97+IF($B$1+42&lt;=$B97,12*($B$7-$B$10),-12*MAX(0,($B$6+$B$10)-IF($B$1+42&gt;=$B$23,$B$22,0))*(1+$B$4)^42))*IF(AR97+IF($B$1+42&lt;=$B97,12*($B$7-$B$10),-12*MAX(0,($B$6+$B$10)-IF($B$1+42&gt;=$B$23,$B$22,0))*(1+$B$4)^42)&gt;0,1+$B$3,1))</f>
        <v/>
      </c>
      <c r="AT97">
        <f>IF($B$1+43&gt;90,AS97,(AS97+IF($B$1+43&lt;=$B97,12*($B$7-$B$10),-12*MAX(0,($B$6+$B$10)-IF($B$1+43&gt;=$B$23,$B$22,0))*(1+$B$4)^43))*IF(AS97+IF($B$1+43&lt;=$B97,12*($B$7-$B$10),-12*MAX(0,($B$6+$B$10)-IF($B$1+43&gt;=$B$23,$B$22,0))*(1+$B$4)^43)&gt;0,1+$B$3,1))</f>
        <v/>
      </c>
      <c r="AU97">
        <f>IF($B$1+44&gt;90,AT97,(AT97+IF($B$1+44&lt;=$B97,12*($B$7-$B$10),-12*MAX(0,($B$6+$B$10)-IF($B$1+44&gt;=$B$23,$B$22,0))*(1+$B$4)^44))*IF(AT97+IF($B$1+44&lt;=$B97,12*($B$7-$B$10),-12*MAX(0,($B$6+$B$10)-IF($B$1+44&gt;=$B$23,$B$22,0))*(1+$B$4)^44)&gt;0,1+$B$3,1))</f>
        <v/>
      </c>
      <c r="AV97">
        <f>IF($B$1+45&gt;90,AU97,(AU97+IF($B$1+45&lt;=$B97,12*($B$7-$B$10),-12*MAX(0,($B$6+$B$10)-IF($B$1+45&gt;=$B$23,$B$22,0))*(1+$B$4)^45))*IF(AU97+IF($B$1+45&lt;=$B97,12*($B$7-$B$10),-12*MAX(0,($B$6+$B$10)-IF($B$1+45&gt;=$B$23,$B$22,0))*(1+$B$4)^45)&gt;0,1+$B$3,1))</f>
        <v/>
      </c>
      <c r="AW97">
        <f>IF($B$1+46&gt;90,AV97,(AV97+IF($B$1+46&lt;=$B97,12*($B$7-$B$10),-12*MAX(0,($B$6+$B$10)-IF($B$1+46&gt;=$B$23,$B$22,0))*(1+$B$4)^46))*IF(AV97+IF($B$1+46&lt;=$B97,12*($B$7-$B$10),-12*MAX(0,($B$6+$B$10)-IF($B$1+46&gt;=$B$23,$B$22,0))*(1+$B$4)^46)&gt;0,1+$B$3,1))</f>
        <v/>
      </c>
      <c r="AX97">
        <f>IF($B$1+47&gt;90,AW97,(AW97+IF($B$1+47&lt;=$B97,12*($B$7-$B$10),-12*MAX(0,($B$6+$B$10)-IF($B$1+47&gt;=$B$23,$B$22,0))*(1+$B$4)^47))*IF(AW97+IF($B$1+47&lt;=$B97,12*($B$7-$B$10),-12*MAX(0,($B$6+$B$10)-IF($B$1+47&gt;=$B$23,$B$22,0))*(1+$B$4)^47)&gt;0,1+$B$3,1))</f>
        <v/>
      </c>
      <c r="AY97">
        <f>IF($B$1+48&gt;90,AX97,(AX97+IF($B$1+48&lt;=$B97,12*($B$7-$B$10),-12*MAX(0,($B$6+$B$10)-IF($B$1+48&gt;=$B$23,$B$22,0))*(1+$B$4)^48))*IF(AX97+IF($B$1+48&lt;=$B97,12*($B$7-$B$10),-12*MAX(0,($B$6+$B$10)-IF($B$1+48&gt;=$B$23,$B$22,0))*(1+$B$4)^48)&gt;0,1+$B$3,1))</f>
        <v/>
      </c>
      <c r="AZ97">
        <f>IF($B$1+49&gt;90,AY97,(AY97+IF($B$1+49&lt;=$B97,12*($B$7-$B$10),-12*MAX(0,($B$6+$B$10)-IF($B$1+49&gt;=$B$23,$B$22,0))*(1+$B$4)^49))*IF(AY97+IF($B$1+49&lt;=$B97,12*($B$7-$B$10),-12*MAX(0,($B$6+$B$10)-IF($B$1+49&gt;=$B$23,$B$22,0))*(1+$B$4)^49)&gt;0,1+$B$3,1))</f>
        <v/>
      </c>
      <c r="BA97">
        <f>IF($B$1+50&gt;90,AZ97,(AZ97+IF($B$1+50&lt;=$B97,12*($B$7-$B$10),-12*MAX(0,($B$6+$B$10)-IF($B$1+50&gt;=$B$23,$B$22,0))*(1+$B$4)^50))*IF(AZ97+IF($B$1+50&lt;=$B97,12*($B$7-$B$10),-12*MAX(0,($B$6+$B$10)-IF($B$1+50&gt;=$B$23,$B$22,0))*(1+$B$4)^50)&gt;0,1+$B$3,1))</f>
        <v/>
      </c>
      <c r="BB97">
        <f>IF($B$1+51&gt;90,BA97,(BA97+IF($B$1+51&lt;=$B97,12*($B$7-$B$10),-12*MAX(0,($B$6+$B$10)-IF($B$1+51&gt;=$B$23,$B$22,0))*(1+$B$4)^51))*IF(BA97+IF($B$1+51&lt;=$B97,12*($B$7-$B$10),-12*MAX(0,($B$6+$B$10)-IF($B$1+51&gt;=$B$23,$B$22,0))*(1+$B$4)^51)&gt;0,1+$B$3,1))</f>
        <v/>
      </c>
      <c r="BC97">
        <f>IF($B$1+52&gt;90,BB97,(BB97+IF($B$1+52&lt;=$B97,12*($B$7-$B$10),-12*MAX(0,($B$6+$B$10)-IF($B$1+52&gt;=$B$23,$B$22,0))*(1+$B$4)^52))*IF(BB97+IF($B$1+52&lt;=$B97,12*($B$7-$B$10),-12*MAX(0,($B$6+$B$10)-IF($B$1+52&gt;=$B$23,$B$22,0))*(1+$B$4)^52)&gt;0,1+$B$3,1))</f>
        <v/>
      </c>
      <c r="BD97">
        <f>IF($B$1+53&gt;90,BC97,(BC97+IF($B$1+53&lt;=$B97,12*($B$7-$B$10),-12*MAX(0,($B$6+$B$10)-IF($B$1+53&gt;=$B$23,$B$22,0))*(1+$B$4)^53))*IF(BC97+IF($B$1+53&lt;=$B97,12*($B$7-$B$10),-12*MAX(0,($B$6+$B$10)-IF($B$1+53&gt;=$B$23,$B$22,0))*(1+$B$4)^53)&gt;0,1+$B$3,1))</f>
        <v/>
      </c>
      <c r="BE97">
        <f>IF($B$1+54&gt;90,BD97,(BD97+IF($B$1+54&lt;=$B97,12*($B$7-$B$10),-12*MAX(0,($B$6+$B$10)-IF($B$1+54&gt;=$B$23,$B$22,0))*(1+$B$4)^54))*IF(BD97+IF($B$1+54&lt;=$B97,12*($B$7-$B$10),-12*MAX(0,($B$6+$B$10)-IF($B$1+54&gt;=$B$23,$B$22,0))*(1+$B$4)^54)&gt;0,1+$B$3,1))</f>
        <v/>
      </c>
      <c r="BF97">
        <f>IF($B$1+55&gt;90,BE97,(BE97+IF($B$1+55&lt;=$B97,12*($B$7-$B$10),-12*MAX(0,($B$6+$B$10)-IF($B$1+55&gt;=$B$23,$B$22,0))*(1+$B$4)^55))*IF(BE97+IF($B$1+55&lt;=$B97,12*($B$7-$B$10),-12*MAX(0,($B$6+$B$10)-IF($B$1+55&gt;=$B$23,$B$22,0))*(1+$B$4)^55)&gt;0,1+$B$3,1))</f>
        <v/>
      </c>
      <c r="BG97">
        <f>IF($B$1+56&gt;90,BF97,(BF97+IF($B$1+56&lt;=$B97,12*($B$7-$B$10),-12*MAX(0,($B$6+$B$10)-IF($B$1+56&gt;=$B$23,$B$22,0))*(1+$B$4)^56))*IF(BF97+IF($B$1+56&lt;=$B97,12*($B$7-$B$10),-12*MAX(0,($B$6+$B$10)-IF($B$1+56&gt;=$B$23,$B$22,0))*(1+$B$4)^56)&gt;0,1+$B$3,1))</f>
        <v/>
      </c>
      <c r="BH97">
        <f>IF($B$1+57&gt;90,BG97,(BG97+IF($B$1+57&lt;=$B97,12*($B$7-$B$10),-12*MAX(0,($B$6+$B$10)-IF($B$1+57&gt;=$B$23,$B$22,0))*(1+$B$4)^57))*IF(BG97+IF($B$1+57&lt;=$B97,12*($B$7-$B$10),-12*MAX(0,($B$6+$B$10)-IF($B$1+57&gt;=$B$23,$B$22,0))*(1+$B$4)^57)&gt;0,1+$B$3,1))</f>
        <v/>
      </c>
      <c r="BI97">
        <f>IF($B$1+58&gt;90,BH97,(BH97+IF($B$1+58&lt;=$B97,12*($B$7-$B$10),-12*MAX(0,($B$6+$B$10)-IF($B$1+58&gt;=$B$23,$B$22,0))*(1+$B$4)^58))*IF(BH97+IF($B$1+58&lt;=$B97,12*($B$7-$B$10),-12*MAX(0,($B$6+$B$10)-IF($B$1+58&gt;=$B$23,$B$22,0))*(1+$B$4)^58)&gt;0,1+$B$3,1))</f>
        <v/>
      </c>
      <c r="BJ97">
        <f>IF($B$1+59&gt;90,BI97,(BI97+IF($B$1+59&lt;=$B97,12*($B$7-$B$10),-12*MAX(0,($B$6+$B$10)-IF($B$1+59&gt;=$B$23,$B$22,0))*(1+$B$4)^59))*IF(BI97+IF($B$1+59&lt;=$B97,12*($B$7-$B$10),-12*MAX(0,($B$6+$B$10)-IF($B$1+59&gt;=$B$23,$B$22,0))*(1+$B$4)^59)&gt;0,1+$B$3,1))</f>
        <v/>
      </c>
      <c r="BK97">
        <f>IF($B$1+60&gt;90,BJ97,(BJ97+IF($B$1+60&lt;=$B97,12*($B$7-$B$10),-12*MAX(0,($B$6+$B$10)-IF($B$1+60&gt;=$B$23,$B$22,0))*(1+$B$4)^60))*IF(BJ97+IF($B$1+60&lt;=$B97,12*($B$7-$B$10),-12*MAX(0,($B$6+$B$10)-IF($B$1+60&gt;=$B$23,$B$22,0))*(1+$B$4)^60)&gt;0,1+$B$3,1))</f>
        <v/>
      </c>
      <c r="BL97">
        <f>IF($B$1+61&gt;90,BK97,(BK97+IF($B$1+61&lt;=$B97,12*($B$7-$B$10),-12*MAX(0,($B$6+$B$10)-IF($B$1+61&gt;=$B$23,$B$22,0))*(1+$B$4)^61))*IF(BK97+IF($B$1+61&lt;=$B97,12*($B$7-$B$10),-12*MAX(0,($B$6+$B$10)-IF($B$1+61&gt;=$B$23,$B$22,0))*(1+$B$4)^61)&gt;0,1+$B$3,1))</f>
        <v/>
      </c>
      <c r="BM97">
        <f>IF($B$1+62&gt;90,BL97,(BL97+IF($B$1+62&lt;=$B97,12*($B$7-$B$10),-12*MAX(0,($B$6+$B$10)-IF($B$1+62&gt;=$B$23,$B$22,0))*(1+$B$4)^62))*IF(BL97+IF($B$1+62&lt;=$B97,12*($B$7-$B$10),-12*MAX(0,($B$6+$B$10)-IF($B$1+62&gt;=$B$23,$B$22,0))*(1+$B$4)^62)&gt;0,1+$B$3,1))</f>
        <v/>
      </c>
      <c r="BN97">
        <f>IF($B$1+63&gt;90,BM97,(BM97+IF($B$1+63&lt;=$B97,12*($B$7-$B$10),-12*MAX(0,($B$6+$B$10)-IF($B$1+63&gt;=$B$23,$B$22,0))*(1+$B$4)^63))*IF(BM97+IF($B$1+63&lt;=$B97,12*($B$7-$B$10),-12*MAX(0,($B$6+$B$10)-IF($B$1+63&gt;=$B$23,$B$22,0))*(1+$B$4)^63)&gt;0,1+$B$3,1))</f>
        <v/>
      </c>
      <c r="BO97">
        <f>IF($B$1+64&gt;90,BN97,(BN97+IF($B$1+64&lt;=$B97,12*($B$7-$B$10),-12*MAX(0,($B$6+$B$10)-IF($B$1+64&gt;=$B$23,$B$22,0))*(1+$B$4)^64))*IF(BN97+IF($B$1+64&lt;=$B97,12*($B$7-$B$10),-12*MAX(0,($B$6+$B$10)-IF($B$1+64&gt;=$B$23,$B$22,0))*(1+$B$4)^64)&gt;0,1+$B$3,1))</f>
        <v/>
      </c>
      <c r="BP97">
        <f>IF($B$1+65&gt;90,BO97,(BO97+IF($B$1+65&lt;=$B97,12*($B$7-$B$10),-12*MAX(0,($B$6+$B$10)-IF($B$1+65&gt;=$B$23,$B$22,0))*(1+$B$4)^65))*IF(BO97+IF($B$1+65&lt;=$B97,12*($B$7-$B$10),-12*MAX(0,($B$6+$B$10)-IF($B$1+65&gt;=$B$23,$B$22,0))*(1+$B$4)^65)&gt;0,1+$B$3,1))</f>
        <v/>
      </c>
      <c r="BQ97">
        <f>IF($B$1+66&gt;90,BP97,(BP97+IF($B$1+66&lt;=$B97,12*($B$7-$B$10),-12*MAX(0,($B$6+$B$10)-IF($B$1+66&gt;=$B$23,$B$22,0))*(1+$B$4)^66))*IF(BP97+IF($B$1+66&lt;=$B97,12*($B$7-$B$10),-12*MAX(0,($B$6+$B$10)-IF($B$1+66&gt;=$B$23,$B$22,0))*(1+$B$4)^66)&gt;0,1+$B$3,1))</f>
        <v/>
      </c>
      <c r="BR97">
        <f>IF($B$1+67&gt;90,BQ97,(BQ97+IF($B$1+67&lt;=$B97,12*($B$7-$B$10),-12*MAX(0,($B$6+$B$10)-IF($B$1+67&gt;=$B$23,$B$22,0))*(1+$B$4)^67))*IF(BQ97+IF($B$1+67&lt;=$B97,12*($B$7-$B$10),-12*MAX(0,($B$6+$B$10)-IF($B$1+67&gt;=$B$23,$B$22,0))*(1+$B$4)^67)&gt;0,1+$B$3,1))</f>
        <v/>
      </c>
      <c r="BS97">
        <f>IF($B$1+68&gt;90,BR97,(BR97+IF($B$1+68&lt;=$B97,12*($B$7-$B$10),-12*MAX(0,($B$6+$B$10)-IF($B$1+68&gt;=$B$23,$B$22,0))*(1+$B$4)^68))*IF(BR97+IF($B$1+68&lt;=$B97,12*($B$7-$B$10),-12*MAX(0,($B$6+$B$10)-IF($B$1+68&gt;=$B$23,$B$22,0))*(1+$B$4)^68)&gt;0,1+$B$3,1))</f>
        <v/>
      </c>
      <c r="BT97">
        <f>IF($B$1+69&gt;90,BS97,(BS97+IF($B$1+69&lt;=$B97,12*($B$7-$B$10),-12*MAX(0,($B$6+$B$10)-IF($B$1+69&gt;=$B$23,$B$22,0))*(1+$B$4)^69))*IF(BS97+IF($B$1+69&lt;=$B97,12*($B$7-$B$10),-12*MAX(0,($B$6+$B$10)-IF($B$1+69&gt;=$B$23,$B$22,0))*(1+$B$4)^69)&gt;0,1+$B$3,1))</f>
        <v/>
      </c>
      <c r="BU97">
        <f>IF($B$1+70&gt;90,BT97,(BT97+IF($B$1+70&lt;=$B97,12*($B$7-$B$10),-12*MAX(0,($B$6+$B$10)-IF($B$1+70&gt;=$B$23,$B$22,0))*(1+$B$4)^70))*IF(BT97+IF($B$1+70&lt;=$B97,12*($B$7-$B$10),-12*MAX(0,($B$6+$B$10)-IF($B$1+70&gt;=$B$23,$B$22,0))*(1+$B$4)^70)&gt;0,1+$B$3,1))</f>
        <v/>
      </c>
      <c r="BV97">
        <f>BU97</f>
        <v/>
      </c>
      <c r="BW97">
        <f>IF(AND($B97&lt;=70,BV97&gt;0),$B97,999)</f>
        <v/>
      </c>
      <c r="CH97">
        <f>IF(ISTEXT('월 가계부'!A97),SUBSTITUTE(SUBSTITUTE(SUBSTITUTE(SUBSTITUTE(SUBSTITUTE(SUBSTITUTE(SUBSTITUTE(SUBSTITUTE(SUBSTITUTE(TRIM('월 가계부'!A97),"년","-"),"월","-"),"일",""),".","-"),"/","-")," ","-"),"--","-"),"--","-"),"--","-")&amp;"-","")</f>
        <v/>
      </c>
      <c r="CI97">
        <f>IFERROR(IF('월 가계부'!A97="","",IF(ISNUMBER('월 가계부'!A97),IF(AND('월 가계부'!A97&gt;=19000101,'월 가계부'!A97&lt;=21001231),IF(AND(MOD(INT('월 가계부'!A97/100),100)&gt;=1,MOD(INT('월 가계부'!A97/100),100)&lt;=12,MOD(INT('월 가계부'!A97),100)&gt;=1,MOD(INT('월 가계부'!A97),100)&lt;=31),IF(MONTH(DATE(INT('월 가계부'!A97/10000),MOD(INT('월 가계부'!A97/100),100),MOD(INT('월 가계부'!A97),100)))=MOD(INT('월 가계부'!A97/100),100),DATE(INT('월 가계부'!A97/10000),MOD(INT('월 가계부'!A97/100),100),MOD(INT('월 가계부'!A97),100)),""),""),IF(AND('월 가계부'!A97&gt;=36526,'월 가계부'!A97&lt;73051),INT('월 가계부'!A97),"")),IF(OR(CM97="",CN97="",CO97=""),"",IF(AND(CM97&gt;=2000,CM97&lt;=2099,CN97&gt;=1,CN97&lt;=12,CO97&gt;=1,CO97&lt;=31),IF(MONTH(DATE(CM97,CN97,CO97))=CN97,DATE(CM97,CN97,CO97),""),"")))),"")</f>
        <v/>
      </c>
      <c r="CJ97">
        <f>IFERROR(IF('월 가계부'!C97="","",IF(ISNUMBER('월 가계부'!C97),'월 가계부'!C97,VALUE(SUBSTITUTE(SUBSTITUTE(SUBSTITUTE(SUBSTITUTE(TRIM('월 가계부'!C97),",",""),"원","")," ",""),"−","-")))),"")</f>
        <v/>
      </c>
      <c r="CK97">
        <f>IF(ISNUMBER(CI97),IF(CI97&lt;$B$13,CI97,""),"")</f>
        <v/>
      </c>
      <c r="CM97">
        <f>IF(CH97="","",IFERROR(IF(IF(AND(LEN(CH97)=9,ISERROR(FIND("-",LEFT(CH97,8))),ISNUMBER(-LEFT(CH97,8))),VALUE(LEFT(CH97,4)),VALUE(LEFT(CH97,FIND("-",CH97)-1)))&lt;100,IF(AND(LEN(CH97)=9,ISERROR(FIND("-",LEFT(CH97,8))),ISNUMBER(-LEFT(CH97,8))),VALUE(LEFT(CH97,4)),VALUE(LEFT(CH97,FIND("-",CH97)-1)))+2000,IF(AND(LEN(CH97)=9,ISERROR(FIND("-",LEFT(CH97,8))),ISNUMBER(-LEFT(CH97,8))),VALUE(LEFT(CH97,4)),VALUE(LEFT(CH97,FIND("-",CH97)-1)))),""))</f>
        <v/>
      </c>
      <c r="CN97">
        <f>IF(CH97="","",IFERROR(IF(AND(LEN(CH97)=9,ISERROR(FIND("-",LEFT(CH97,8))),ISNUMBER(-LEFT(CH97,8))),VALUE(MID(CH97,5,2)),VALUE(MID(CH97,FIND("-",CH97)+1,FIND("-",CH97,FIND("-",CH97)+1)-FIND("-",CH97)-1))),""))</f>
        <v/>
      </c>
      <c r="CO97">
        <f>IF(CH97="","",IFERROR(IF(AND(LEN(CH97)=9,ISERROR(FIND("-",LEFT(CH97,8))),ISNUMBER(-LEFT(CH97,8))),VALUE(MID(CH97,7,2)),VALUE(MID(CH97,FIND("-",CH97,FIND("-",CH97)+1)+1,FIND("-",CH97,FIND("-",CH97,FIND("-",CH97)+1)+1)-FIND("-",CH97,FIND("-",CH97)+1)-1))),""))</f>
        <v/>
      </c>
    </row>
    <row r="98">
      <c r="A98" t="n">
        <v>2</v>
      </c>
      <c r="B98">
        <f>$B$1+2</f>
        <v/>
      </c>
      <c r="C98">
        <f>$B$2</f>
        <v/>
      </c>
      <c r="D98">
        <f>IF($B$1+1&gt;90,C98,(C98+IF($B$1+1&lt;=$B98,12*($B$7-$B$10),-12*MAX(0,($B$6+$B$10)-IF($B$1+1&gt;=$B$23,$B$22,0))*(1+$B$4)^1))*IF(C98+IF($B$1+1&lt;=$B98,12*($B$7-$B$10),-12*MAX(0,($B$6+$B$10)-IF($B$1+1&gt;=$B$23,$B$22,0))*(1+$B$4)^1)&gt;0,1+$B$3,1))</f>
        <v/>
      </c>
      <c r="E98">
        <f>IF($B$1+2&gt;90,D98,(D98+IF($B$1+2&lt;=$B98,12*($B$7-$B$10),-12*MAX(0,($B$6+$B$10)-IF($B$1+2&gt;=$B$23,$B$22,0))*(1+$B$4)^2))*IF(D98+IF($B$1+2&lt;=$B98,12*($B$7-$B$10),-12*MAX(0,($B$6+$B$10)-IF($B$1+2&gt;=$B$23,$B$22,0))*(1+$B$4)^2)&gt;0,1+$B$3,1))</f>
        <v/>
      </c>
      <c r="F98">
        <f>IF($B$1+3&gt;90,E98,(E98+IF($B$1+3&lt;=$B98,12*($B$7-$B$10),-12*MAX(0,($B$6+$B$10)-IF($B$1+3&gt;=$B$23,$B$22,0))*(1+$B$4)^3))*IF(E98+IF($B$1+3&lt;=$B98,12*($B$7-$B$10),-12*MAX(0,($B$6+$B$10)-IF($B$1+3&gt;=$B$23,$B$22,0))*(1+$B$4)^3)&gt;0,1+$B$3,1))</f>
        <v/>
      </c>
      <c r="G98">
        <f>IF($B$1+4&gt;90,F98,(F98+IF($B$1+4&lt;=$B98,12*($B$7-$B$10),-12*MAX(0,($B$6+$B$10)-IF($B$1+4&gt;=$B$23,$B$22,0))*(1+$B$4)^4))*IF(F98+IF($B$1+4&lt;=$B98,12*($B$7-$B$10),-12*MAX(0,($B$6+$B$10)-IF($B$1+4&gt;=$B$23,$B$22,0))*(1+$B$4)^4)&gt;0,1+$B$3,1))</f>
        <v/>
      </c>
      <c r="H98">
        <f>IF($B$1+5&gt;90,G98,(G98+IF($B$1+5&lt;=$B98,12*($B$7-$B$10),-12*MAX(0,($B$6+$B$10)-IF($B$1+5&gt;=$B$23,$B$22,0))*(1+$B$4)^5))*IF(G98+IF($B$1+5&lt;=$B98,12*($B$7-$B$10),-12*MAX(0,($B$6+$B$10)-IF($B$1+5&gt;=$B$23,$B$22,0))*(1+$B$4)^5)&gt;0,1+$B$3,1))</f>
        <v/>
      </c>
      <c r="I98">
        <f>IF($B$1+6&gt;90,H98,(H98+IF($B$1+6&lt;=$B98,12*($B$7-$B$10),-12*MAX(0,($B$6+$B$10)-IF($B$1+6&gt;=$B$23,$B$22,0))*(1+$B$4)^6))*IF(H98+IF($B$1+6&lt;=$B98,12*($B$7-$B$10),-12*MAX(0,($B$6+$B$10)-IF($B$1+6&gt;=$B$23,$B$22,0))*(1+$B$4)^6)&gt;0,1+$B$3,1))</f>
        <v/>
      </c>
      <c r="J98">
        <f>IF($B$1+7&gt;90,I98,(I98+IF($B$1+7&lt;=$B98,12*($B$7-$B$10),-12*MAX(0,($B$6+$B$10)-IF($B$1+7&gt;=$B$23,$B$22,0))*(1+$B$4)^7))*IF(I98+IF($B$1+7&lt;=$B98,12*($B$7-$B$10),-12*MAX(0,($B$6+$B$10)-IF($B$1+7&gt;=$B$23,$B$22,0))*(1+$B$4)^7)&gt;0,1+$B$3,1))</f>
        <v/>
      </c>
      <c r="K98">
        <f>IF($B$1+8&gt;90,J98,(J98+IF($B$1+8&lt;=$B98,12*($B$7-$B$10),-12*MAX(0,($B$6+$B$10)-IF($B$1+8&gt;=$B$23,$B$22,0))*(1+$B$4)^8))*IF(J98+IF($B$1+8&lt;=$B98,12*($B$7-$B$10),-12*MAX(0,($B$6+$B$10)-IF($B$1+8&gt;=$B$23,$B$22,0))*(1+$B$4)^8)&gt;0,1+$B$3,1))</f>
        <v/>
      </c>
      <c r="L98">
        <f>IF($B$1+9&gt;90,K98,(K98+IF($B$1+9&lt;=$B98,12*($B$7-$B$10),-12*MAX(0,($B$6+$B$10)-IF($B$1+9&gt;=$B$23,$B$22,0))*(1+$B$4)^9))*IF(K98+IF($B$1+9&lt;=$B98,12*($B$7-$B$10),-12*MAX(0,($B$6+$B$10)-IF($B$1+9&gt;=$B$23,$B$22,0))*(1+$B$4)^9)&gt;0,1+$B$3,1))</f>
        <v/>
      </c>
      <c r="M98">
        <f>IF($B$1+10&gt;90,L98,(L98+IF($B$1+10&lt;=$B98,12*($B$7-$B$10),-12*MAX(0,($B$6+$B$10)-IF($B$1+10&gt;=$B$23,$B$22,0))*(1+$B$4)^10))*IF(L98+IF($B$1+10&lt;=$B98,12*($B$7-$B$10),-12*MAX(0,($B$6+$B$10)-IF($B$1+10&gt;=$B$23,$B$22,0))*(1+$B$4)^10)&gt;0,1+$B$3,1))</f>
        <v/>
      </c>
      <c r="N98">
        <f>IF($B$1+11&gt;90,M98,(M98+IF($B$1+11&lt;=$B98,12*($B$7-$B$10),-12*MAX(0,($B$6+$B$10)-IF($B$1+11&gt;=$B$23,$B$22,0))*(1+$B$4)^11))*IF(M98+IF($B$1+11&lt;=$B98,12*($B$7-$B$10),-12*MAX(0,($B$6+$B$10)-IF($B$1+11&gt;=$B$23,$B$22,0))*(1+$B$4)^11)&gt;0,1+$B$3,1))</f>
        <v/>
      </c>
      <c r="O98">
        <f>IF($B$1+12&gt;90,N98,(N98+IF($B$1+12&lt;=$B98,12*($B$7-$B$10),-12*MAX(0,($B$6+$B$10)-IF($B$1+12&gt;=$B$23,$B$22,0))*(1+$B$4)^12))*IF(N98+IF($B$1+12&lt;=$B98,12*($B$7-$B$10),-12*MAX(0,($B$6+$B$10)-IF($B$1+12&gt;=$B$23,$B$22,0))*(1+$B$4)^12)&gt;0,1+$B$3,1))</f>
        <v/>
      </c>
      <c r="P98">
        <f>IF($B$1+13&gt;90,O98,(O98+IF($B$1+13&lt;=$B98,12*($B$7-$B$10),-12*MAX(0,($B$6+$B$10)-IF($B$1+13&gt;=$B$23,$B$22,0))*(1+$B$4)^13))*IF(O98+IF($B$1+13&lt;=$B98,12*($B$7-$B$10),-12*MAX(0,($B$6+$B$10)-IF($B$1+13&gt;=$B$23,$B$22,0))*(1+$B$4)^13)&gt;0,1+$B$3,1))</f>
        <v/>
      </c>
      <c r="Q98">
        <f>IF($B$1+14&gt;90,P98,(P98+IF($B$1+14&lt;=$B98,12*($B$7-$B$10),-12*MAX(0,($B$6+$B$10)-IF($B$1+14&gt;=$B$23,$B$22,0))*(1+$B$4)^14))*IF(P98+IF($B$1+14&lt;=$B98,12*($B$7-$B$10),-12*MAX(0,($B$6+$B$10)-IF($B$1+14&gt;=$B$23,$B$22,0))*(1+$B$4)^14)&gt;0,1+$B$3,1))</f>
        <v/>
      </c>
      <c r="R98">
        <f>IF($B$1+15&gt;90,Q98,(Q98+IF($B$1+15&lt;=$B98,12*($B$7-$B$10),-12*MAX(0,($B$6+$B$10)-IF($B$1+15&gt;=$B$23,$B$22,0))*(1+$B$4)^15))*IF(Q98+IF($B$1+15&lt;=$B98,12*($B$7-$B$10),-12*MAX(0,($B$6+$B$10)-IF($B$1+15&gt;=$B$23,$B$22,0))*(1+$B$4)^15)&gt;0,1+$B$3,1))</f>
        <v/>
      </c>
      <c r="S98">
        <f>IF($B$1+16&gt;90,R98,(R98+IF($B$1+16&lt;=$B98,12*($B$7-$B$10),-12*MAX(0,($B$6+$B$10)-IF($B$1+16&gt;=$B$23,$B$22,0))*(1+$B$4)^16))*IF(R98+IF($B$1+16&lt;=$B98,12*($B$7-$B$10),-12*MAX(0,($B$6+$B$10)-IF($B$1+16&gt;=$B$23,$B$22,0))*(1+$B$4)^16)&gt;0,1+$B$3,1))</f>
        <v/>
      </c>
      <c r="T98">
        <f>IF($B$1+17&gt;90,S98,(S98+IF($B$1+17&lt;=$B98,12*($B$7-$B$10),-12*MAX(0,($B$6+$B$10)-IF($B$1+17&gt;=$B$23,$B$22,0))*(1+$B$4)^17))*IF(S98+IF($B$1+17&lt;=$B98,12*($B$7-$B$10),-12*MAX(0,($B$6+$B$10)-IF($B$1+17&gt;=$B$23,$B$22,0))*(1+$B$4)^17)&gt;0,1+$B$3,1))</f>
        <v/>
      </c>
      <c r="U98">
        <f>IF($B$1+18&gt;90,T98,(T98+IF($B$1+18&lt;=$B98,12*($B$7-$B$10),-12*MAX(0,($B$6+$B$10)-IF($B$1+18&gt;=$B$23,$B$22,0))*(1+$B$4)^18))*IF(T98+IF($B$1+18&lt;=$B98,12*($B$7-$B$10),-12*MAX(0,($B$6+$B$10)-IF($B$1+18&gt;=$B$23,$B$22,0))*(1+$B$4)^18)&gt;0,1+$B$3,1))</f>
        <v/>
      </c>
      <c r="V98">
        <f>IF($B$1+19&gt;90,U98,(U98+IF($B$1+19&lt;=$B98,12*($B$7-$B$10),-12*MAX(0,($B$6+$B$10)-IF($B$1+19&gt;=$B$23,$B$22,0))*(1+$B$4)^19))*IF(U98+IF($B$1+19&lt;=$B98,12*($B$7-$B$10),-12*MAX(0,($B$6+$B$10)-IF($B$1+19&gt;=$B$23,$B$22,0))*(1+$B$4)^19)&gt;0,1+$B$3,1))</f>
        <v/>
      </c>
      <c r="W98">
        <f>IF($B$1+20&gt;90,V98,(V98+IF($B$1+20&lt;=$B98,12*($B$7-$B$10),-12*MAX(0,($B$6+$B$10)-IF($B$1+20&gt;=$B$23,$B$22,0))*(1+$B$4)^20))*IF(V98+IF($B$1+20&lt;=$B98,12*($B$7-$B$10),-12*MAX(0,($B$6+$B$10)-IF($B$1+20&gt;=$B$23,$B$22,0))*(1+$B$4)^20)&gt;0,1+$B$3,1))</f>
        <v/>
      </c>
      <c r="X98">
        <f>IF($B$1+21&gt;90,W98,(W98+IF($B$1+21&lt;=$B98,12*($B$7-$B$10),-12*MAX(0,($B$6+$B$10)-IF($B$1+21&gt;=$B$23,$B$22,0))*(1+$B$4)^21))*IF(W98+IF($B$1+21&lt;=$B98,12*($B$7-$B$10),-12*MAX(0,($B$6+$B$10)-IF($B$1+21&gt;=$B$23,$B$22,0))*(1+$B$4)^21)&gt;0,1+$B$3,1))</f>
        <v/>
      </c>
      <c r="Y98">
        <f>IF($B$1+22&gt;90,X98,(X98+IF($B$1+22&lt;=$B98,12*($B$7-$B$10),-12*MAX(0,($B$6+$B$10)-IF($B$1+22&gt;=$B$23,$B$22,0))*(1+$B$4)^22))*IF(X98+IF($B$1+22&lt;=$B98,12*($B$7-$B$10),-12*MAX(0,($B$6+$B$10)-IF($B$1+22&gt;=$B$23,$B$22,0))*(1+$B$4)^22)&gt;0,1+$B$3,1))</f>
        <v/>
      </c>
      <c r="Z98">
        <f>IF($B$1+23&gt;90,Y98,(Y98+IF($B$1+23&lt;=$B98,12*($B$7-$B$10),-12*MAX(0,($B$6+$B$10)-IF($B$1+23&gt;=$B$23,$B$22,0))*(1+$B$4)^23))*IF(Y98+IF($B$1+23&lt;=$B98,12*($B$7-$B$10),-12*MAX(0,($B$6+$B$10)-IF($B$1+23&gt;=$B$23,$B$22,0))*(1+$B$4)^23)&gt;0,1+$B$3,1))</f>
        <v/>
      </c>
      <c r="AA98">
        <f>IF($B$1+24&gt;90,Z98,(Z98+IF($B$1+24&lt;=$B98,12*($B$7-$B$10),-12*MAX(0,($B$6+$B$10)-IF($B$1+24&gt;=$B$23,$B$22,0))*(1+$B$4)^24))*IF(Z98+IF($B$1+24&lt;=$B98,12*($B$7-$B$10),-12*MAX(0,($B$6+$B$10)-IF($B$1+24&gt;=$B$23,$B$22,0))*(1+$B$4)^24)&gt;0,1+$B$3,1))</f>
        <v/>
      </c>
      <c r="AB98">
        <f>IF($B$1+25&gt;90,AA98,(AA98+IF($B$1+25&lt;=$B98,12*($B$7-$B$10),-12*MAX(0,($B$6+$B$10)-IF($B$1+25&gt;=$B$23,$B$22,0))*(1+$B$4)^25))*IF(AA98+IF($B$1+25&lt;=$B98,12*($B$7-$B$10),-12*MAX(0,($B$6+$B$10)-IF($B$1+25&gt;=$B$23,$B$22,0))*(1+$B$4)^25)&gt;0,1+$B$3,1))</f>
        <v/>
      </c>
      <c r="AC98">
        <f>IF($B$1+26&gt;90,AB98,(AB98+IF($B$1+26&lt;=$B98,12*($B$7-$B$10),-12*MAX(0,($B$6+$B$10)-IF($B$1+26&gt;=$B$23,$B$22,0))*(1+$B$4)^26))*IF(AB98+IF($B$1+26&lt;=$B98,12*($B$7-$B$10),-12*MAX(0,($B$6+$B$10)-IF($B$1+26&gt;=$B$23,$B$22,0))*(1+$B$4)^26)&gt;0,1+$B$3,1))</f>
        <v/>
      </c>
      <c r="AD98">
        <f>IF($B$1+27&gt;90,AC98,(AC98+IF($B$1+27&lt;=$B98,12*($B$7-$B$10),-12*MAX(0,($B$6+$B$10)-IF($B$1+27&gt;=$B$23,$B$22,0))*(1+$B$4)^27))*IF(AC98+IF($B$1+27&lt;=$B98,12*($B$7-$B$10),-12*MAX(0,($B$6+$B$10)-IF($B$1+27&gt;=$B$23,$B$22,0))*(1+$B$4)^27)&gt;0,1+$B$3,1))</f>
        <v/>
      </c>
      <c r="AE98">
        <f>IF($B$1+28&gt;90,AD98,(AD98+IF($B$1+28&lt;=$B98,12*($B$7-$B$10),-12*MAX(0,($B$6+$B$10)-IF($B$1+28&gt;=$B$23,$B$22,0))*(1+$B$4)^28))*IF(AD98+IF($B$1+28&lt;=$B98,12*($B$7-$B$10),-12*MAX(0,($B$6+$B$10)-IF($B$1+28&gt;=$B$23,$B$22,0))*(1+$B$4)^28)&gt;0,1+$B$3,1))</f>
        <v/>
      </c>
      <c r="AF98">
        <f>IF($B$1+29&gt;90,AE98,(AE98+IF($B$1+29&lt;=$B98,12*($B$7-$B$10),-12*MAX(0,($B$6+$B$10)-IF($B$1+29&gt;=$B$23,$B$22,0))*(1+$B$4)^29))*IF(AE98+IF($B$1+29&lt;=$B98,12*($B$7-$B$10),-12*MAX(0,($B$6+$B$10)-IF($B$1+29&gt;=$B$23,$B$22,0))*(1+$B$4)^29)&gt;0,1+$B$3,1))</f>
        <v/>
      </c>
      <c r="AG98">
        <f>IF($B$1+30&gt;90,AF98,(AF98+IF($B$1+30&lt;=$B98,12*($B$7-$B$10),-12*MAX(0,($B$6+$B$10)-IF($B$1+30&gt;=$B$23,$B$22,0))*(1+$B$4)^30))*IF(AF98+IF($B$1+30&lt;=$B98,12*($B$7-$B$10),-12*MAX(0,($B$6+$B$10)-IF($B$1+30&gt;=$B$23,$B$22,0))*(1+$B$4)^30)&gt;0,1+$B$3,1))</f>
        <v/>
      </c>
      <c r="AH98">
        <f>IF($B$1+31&gt;90,AG98,(AG98+IF($B$1+31&lt;=$B98,12*($B$7-$B$10),-12*MAX(0,($B$6+$B$10)-IF($B$1+31&gt;=$B$23,$B$22,0))*(1+$B$4)^31))*IF(AG98+IF($B$1+31&lt;=$B98,12*($B$7-$B$10),-12*MAX(0,($B$6+$B$10)-IF($B$1+31&gt;=$B$23,$B$22,0))*(1+$B$4)^31)&gt;0,1+$B$3,1))</f>
        <v/>
      </c>
      <c r="AI98">
        <f>IF($B$1+32&gt;90,AH98,(AH98+IF($B$1+32&lt;=$B98,12*($B$7-$B$10),-12*MAX(0,($B$6+$B$10)-IF($B$1+32&gt;=$B$23,$B$22,0))*(1+$B$4)^32))*IF(AH98+IF($B$1+32&lt;=$B98,12*($B$7-$B$10),-12*MAX(0,($B$6+$B$10)-IF($B$1+32&gt;=$B$23,$B$22,0))*(1+$B$4)^32)&gt;0,1+$B$3,1))</f>
        <v/>
      </c>
      <c r="AJ98">
        <f>IF($B$1+33&gt;90,AI98,(AI98+IF($B$1+33&lt;=$B98,12*($B$7-$B$10),-12*MAX(0,($B$6+$B$10)-IF($B$1+33&gt;=$B$23,$B$22,0))*(1+$B$4)^33))*IF(AI98+IF($B$1+33&lt;=$B98,12*($B$7-$B$10),-12*MAX(0,($B$6+$B$10)-IF($B$1+33&gt;=$B$23,$B$22,0))*(1+$B$4)^33)&gt;0,1+$B$3,1))</f>
        <v/>
      </c>
      <c r="AK98">
        <f>IF($B$1+34&gt;90,AJ98,(AJ98+IF($B$1+34&lt;=$B98,12*($B$7-$B$10),-12*MAX(0,($B$6+$B$10)-IF($B$1+34&gt;=$B$23,$B$22,0))*(1+$B$4)^34))*IF(AJ98+IF($B$1+34&lt;=$B98,12*($B$7-$B$10),-12*MAX(0,($B$6+$B$10)-IF($B$1+34&gt;=$B$23,$B$22,0))*(1+$B$4)^34)&gt;0,1+$B$3,1))</f>
        <v/>
      </c>
      <c r="AL98">
        <f>IF($B$1+35&gt;90,AK98,(AK98+IF($B$1+35&lt;=$B98,12*($B$7-$B$10),-12*MAX(0,($B$6+$B$10)-IF($B$1+35&gt;=$B$23,$B$22,0))*(1+$B$4)^35))*IF(AK98+IF($B$1+35&lt;=$B98,12*($B$7-$B$10),-12*MAX(0,($B$6+$B$10)-IF($B$1+35&gt;=$B$23,$B$22,0))*(1+$B$4)^35)&gt;0,1+$B$3,1))</f>
        <v/>
      </c>
      <c r="AM98">
        <f>IF($B$1+36&gt;90,AL98,(AL98+IF($B$1+36&lt;=$B98,12*($B$7-$B$10),-12*MAX(0,($B$6+$B$10)-IF($B$1+36&gt;=$B$23,$B$22,0))*(1+$B$4)^36))*IF(AL98+IF($B$1+36&lt;=$B98,12*($B$7-$B$10),-12*MAX(0,($B$6+$B$10)-IF($B$1+36&gt;=$B$23,$B$22,0))*(1+$B$4)^36)&gt;0,1+$B$3,1))</f>
        <v/>
      </c>
      <c r="AN98">
        <f>IF($B$1+37&gt;90,AM98,(AM98+IF($B$1+37&lt;=$B98,12*($B$7-$B$10),-12*MAX(0,($B$6+$B$10)-IF($B$1+37&gt;=$B$23,$B$22,0))*(1+$B$4)^37))*IF(AM98+IF($B$1+37&lt;=$B98,12*($B$7-$B$10),-12*MAX(0,($B$6+$B$10)-IF($B$1+37&gt;=$B$23,$B$22,0))*(1+$B$4)^37)&gt;0,1+$B$3,1))</f>
        <v/>
      </c>
      <c r="AO98">
        <f>IF($B$1+38&gt;90,AN98,(AN98+IF($B$1+38&lt;=$B98,12*($B$7-$B$10),-12*MAX(0,($B$6+$B$10)-IF($B$1+38&gt;=$B$23,$B$22,0))*(1+$B$4)^38))*IF(AN98+IF($B$1+38&lt;=$B98,12*($B$7-$B$10),-12*MAX(0,($B$6+$B$10)-IF($B$1+38&gt;=$B$23,$B$22,0))*(1+$B$4)^38)&gt;0,1+$B$3,1))</f>
        <v/>
      </c>
      <c r="AP98">
        <f>IF($B$1+39&gt;90,AO98,(AO98+IF($B$1+39&lt;=$B98,12*($B$7-$B$10),-12*MAX(0,($B$6+$B$10)-IF($B$1+39&gt;=$B$23,$B$22,0))*(1+$B$4)^39))*IF(AO98+IF($B$1+39&lt;=$B98,12*($B$7-$B$10),-12*MAX(0,($B$6+$B$10)-IF($B$1+39&gt;=$B$23,$B$22,0))*(1+$B$4)^39)&gt;0,1+$B$3,1))</f>
        <v/>
      </c>
      <c r="AQ98">
        <f>IF($B$1+40&gt;90,AP98,(AP98+IF($B$1+40&lt;=$B98,12*($B$7-$B$10),-12*MAX(0,($B$6+$B$10)-IF($B$1+40&gt;=$B$23,$B$22,0))*(1+$B$4)^40))*IF(AP98+IF($B$1+40&lt;=$B98,12*($B$7-$B$10),-12*MAX(0,($B$6+$B$10)-IF($B$1+40&gt;=$B$23,$B$22,0))*(1+$B$4)^40)&gt;0,1+$B$3,1))</f>
        <v/>
      </c>
      <c r="AR98">
        <f>IF($B$1+41&gt;90,AQ98,(AQ98+IF($B$1+41&lt;=$B98,12*($B$7-$B$10),-12*MAX(0,($B$6+$B$10)-IF($B$1+41&gt;=$B$23,$B$22,0))*(1+$B$4)^41))*IF(AQ98+IF($B$1+41&lt;=$B98,12*($B$7-$B$10),-12*MAX(0,($B$6+$B$10)-IF($B$1+41&gt;=$B$23,$B$22,0))*(1+$B$4)^41)&gt;0,1+$B$3,1))</f>
        <v/>
      </c>
      <c r="AS98">
        <f>IF($B$1+42&gt;90,AR98,(AR98+IF($B$1+42&lt;=$B98,12*($B$7-$B$10),-12*MAX(0,($B$6+$B$10)-IF($B$1+42&gt;=$B$23,$B$22,0))*(1+$B$4)^42))*IF(AR98+IF($B$1+42&lt;=$B98,12*($B$7-$B$10),-12*MAX(0,($B$6+$B$10)-IF($B$1+42&gt;=$B$23,$B$22,0))*(1+$B$4)^42)&gt;0,1+$B$3,1))</f>
        <v/>
      </c>
      <c r="AT98">
        <f>IF($B$1+43&gt;90,AS98,(AS98+IF($B$1+43&lt;=$B98,12*($B$7-$B$10),-12*MAX(0,($B$6+$B$10)-IF($B$1+43&gt;=$B$23,$B$22,0))*(1+$B$4)^43))*IF(AS98+IF($B$1+43&lt;=$B98,12*($B$7-$B$10),-12*MAX(0,($B$6+$B$10)-IF($B$1+43&gt;=$B$23,$B$22,0))*(1+$B$4)^43)&gt;0,1+$B$3,1))</f>
        <v/>
      </c>
      <c r="AU98">
        <f>IF($B$1+44&gt;90,AT98,(AT98+IF($B$1+44&lt;=$B98,12*($B$7-$B$10),-12*MAX(0,($B$6+$B$10)-IF($B$1+44&gt;=$B$23,$B$22,0))*(1+$B$4)^44))*IF(AT98+IF($B$1+44&lt;=$B98,12*($B$7-$B$10),-12*MAX(0,($B$6+$B$10)-IF($B$1+44&gt;=$B$23,$B$22,0))*(1+$B$4)^44)&gt;0,1+$B$3,1))</f>
        <v/>
      </c>
      <c r="AV98">
        <f>IF($B$1+45&gt;90,AU98,(AU98+IF($B$1+45&lt;=$B98,12*($B$7-$B$10),-12*MAX(0,($B$6+$B$10)-IF($B$1+45&gt;=$B$23,$B$22,0))*(1+$B$4)^45))*IF(AU98+IF($B$1+45&lt;=$B98,12*($B$7-$B$10),-12*MAX(0,($B$6+$B$10)-IF($B$1+45&gt;=$B$23,$B$22,0))*(1+$B$4)^45)&gt;0,1+$B$3,1))</f>
        <v/>
      </c>
      <c r="AW98">
        <f>IF($B$1+46&gt;90,AV98,(AV98+IF($B$1+46&lt;=$B98,12*($B$7-$B$10),-12*MAX(0,($B$6+$B$10)-IF($B$1+46&gt;=$B$23,$B$22,0))*(1+$B$4)^46))*IF(AV98+IF($B$1+46&lt;=$B98,12*($B$7-$B$10),-12*MAX(0,($B$6+$B$10)-IF($B$1+46&gt;=$B$23,$B$22,0))*(1+$B$4)^46)&gt;0,1+$B$3,1))</f>
        <v/>
      </c>
      <c r="AX98">
        <f>IF($B$1+47&gt;90,AW98,(AW98+IF($B$1+47&lt;=$B98,12*($B$7-$B$10),-12*MAX(0,($B$6+$B$10)-IF($B$1+47&gt;=$B$23,$B$22,0))*(1+$B$4)^47))*IF(AW98+IF($B$1+47&lt;=$B98,12*($B$7-$B$10),-12*MAX(0,($B$6+$B$10)-IF($B$1+47&gt;=$B$23,$B$22,0))*(1+$B$4)^47)&gt;0,1+$B$3,1))</f>
        <v/>
      </c>
      <c r="AY98">
        <f>IF($B$1+48&gt;90,AX98,(AX98+IF($B$1+48&lt;=$B98,12*($B$7-$B$10),-12*MAX(0,($B$6+$B$10)-IF($B$1+48&gt;=$B$23,$B$22,0))*(1+$B$4)^48))*IF(AX98+IF($B$1+48&lt;=$B98,12*($B$7-$B$10),-12*MAX(0,($B$6+$B$10)-IF($B$1+48&gt;=$B$23,$B$22,0))*(1+$B$4)^48)&gt;0,1+$B$3,1))</f>
        <v/>
      </c>
      <c r="AZ98">
        <f>IF($B$1+49&gt;90,AY98,(AY98+IF($B$1+49&lt;=$B98,12*($B$7-$B$10),-12*MAX(0,($B$6+$B$10)-IF($B$1+49&gt;=$B$23,$B$22,0))*(1+$B$4)^49))*IF(AY98+IF($B$1+49&lt;=$B98,12*($B$7-$B$10),-12*MAX(0,($B$6+$B$10)-IF($B$1+49&gt;=$B$23,$B$22,0))*(1+$B$4)^49)&gt;0,1+$B$3,1))</f>
        <v/>
      </c>
      <c r="BA98">
        <f>IF($B$1+50&gt;90,AZ98,(AZ98+IF($B$1+50&lt;=$B98,12*($B$7-$B$10),-12*MAX(0,($B$6+$B$10)-IF($B$1+50&gt;=$B$23,$B$22,0))*(1+$B$4)^50))*IF(AZ98+IF($B$1+50&lt;=$B98,12*($B$7-$B$10),-12*MAX(0,($B$6+$B$10)-IF($B$1+50&gt;=$B$23,$B$22,0))*(1+$B$4)^50)&gt;0,1+$B$3,1))</f>
        <v/>
      </c>
      <c r="BB98">
        <f>IF($B$1+51&gt;90,BA98,(BA98+IF($B$1+51&lt;=$B98,12*($B$7-$B$10),-12*MAX(0,($B$6+$B$10)-IF($B$1+51&gt;=$B$23,$B$22,0))*(1+$B$4)^51))*IF(BA98+IF($B$1+51&lt;=$B98,12*($B$7-$B$10),-12*MAX(0,($B$6+$B$10)-IF($B$1+51&gt;=$B$23,$B$22,0))*(1+$B$4)^51)&gt;0,1+$B$3,1))</f>
        <v/>
      </c>
      <c r="BC98">
        <f>IF($B$1+52&gt;90,BB98,(BB98+IF($B$1+52&lt;=$B98,12*($B$7-$B$10),-12*MAX(0,($B$6+$B$10)-IF($B$1+52&gt;=$B$23,$B$22,0))*(1+$B$4)^52))*IF(BB98+IF($B$1+52&lt;=$B98,12*($B$7-$B$10),-12*MAX(0,($B$6+$B$10)-IF($B$1+52&gt;=$B$23,$B$22,0))*(1+$B$4)^52)&gt;0,1+$B$3,1))</f>
        <v/>
      </c>
      <c r="BD98">
        <f>IF($B$1+53&gt;90,BC98,(BC98+IF($B$1+53&lt;=$B98,12*($B$7-$B$10),-12*MAX(0,($B$6+$B$10)-IF($B$1+53&gt;=$B$23,$B$22,0))*(1+$B$4)^53))*IF(BC98+IF($B$1+53&lt;=$B98,12*($B$7-$B$10),-12*MAX(0,($B$6+$B$10)-IF($B$1+53&gt;=$B$23,$B$22,0))*(1+$B$4)^53)&gt;0,1+$B$3,1))</f>
        <v/>
      </c>
      <c r="BE98">
        <f>IF($B$1+54&gt;90,BD98,(BD98+IF($B$1+54&lt;=$B98,12*($B$7-$B$10),-12*MAX(0,($B$6+$B$10)-IF($B$1+54&gt;=$B$23,$B$22,0))*(1+$B$4)^54))*IF(BD98+IF($B$1+54&lt;=$B98,12*($B$7-$B$10),-12*MAX(0,($B$6+$B$10)-IF($B$1+54&gt;=$B$23,$B$22,0))*(1+$B$4)^54)&gt;0,1+$B$3,1))</f>
        <v/>
      </c>
      <c r="BF98">
        <f>IF($B$1+55&gt;90,BE98,(BE98+IF($B$1+55&lt;=$B98,12*($B$7-$B$10),-12*MAX(0,($B$6+$B$10)-IF($B$1+55&gt;=$B$23,$B$22,0))*(1+$B$4)^55))*IF(BE98+IF($B$1+55&lt;=$B98,12*($B$7-$B$10),-12*MAX(0,($B$6+$B$10)-IF($B$1+55&gt;=$B$23,$B$22,0))*(1+$B$4)^55)&gt;0,1+$B$3,1))</f>
        <v/>
      </c>
      <c r="BG98">
        <f>IF($B$1+56&gt;90,BF98,(BF98+IF($B$1+56&lt;=$B98,12*($B$7-$B$10),-12*MAX(0,($B$6+$B$10)-IF($B$1+56&gt;=$B$23,$B$22,0))*(1+$B$4)^56))*IF(BF98+IF($B$1+56&lt;=$B98,12*($B$7-$B$10),-12*MAX(0,($B$6+$B$10)-IF($B$1+56&gt;=$B$23,$B$22,0))*(1+$B$4)^56)&gt;0,1+$B$3,1))</f>
        <v/>
      </c>
      <c r="BH98">
        <f>IF($B$1+57&gt;90,BG98,(BG98+IF($B$1+57&lt;=$B98,12*($B$7-$B$10),-12*MAX(0,($B$6+$B$10)-IF($B$1+57&gt;=$B$23,$B$22,0))*(1+$B$4)^57))*IF(BG98+IF($B$1+57&lt;=$B98,12*($B$7-$B$10),-12*MAX(0,($B$6+$B$10)-IF($B$1+57&gt;=$B$23,$B$22,0))*(1+$B$4)^57)&gt;0,1+$B$3,1))</f>
        <v/>
      </c>
      <c r="BI98">
        <f>IF($B$1+58&gt;90,BH98,(BH98+IF($B$1+58&lt;=$B98,12*($B$7-$B$10),-12*MAX(0,($B$6+$B$10)-IF($B$1+58&gt;=$B$23,$B$22,0))*(1+$B$4)^58))*IF(BH98+IF($B$1+58&lt;=$B98,12*($B$7-$B$10),-12*MAX(0,($B$6+$B$10)-IF($B$1+58&gt;=$B$23,$B$22,0))*(1+$B$4)^58)&gt;0,1+$B$3,1))</f>
        <v/>
      </c>
      <c r="BJ98">
        <f>IF($B$1+59&gt;90,BI98,(BI98+IF($B$1+59&lt;=$B98,12*($B$7-$B$10),-12*MAX(0,($B$6+$B$10)-IF($B$1+59&gt;=$B$23,$B$22,0))*(1+$B$4)^59))*IF(BI98+IF($B$1+59&lt;=$B98,12*($B$7-$B$10),-12*MAX(0,($B$6+$B$10)-IF($B$1+59&gt;=$B$23,$B$22,0))*(1+$B$4)^59)&gt;0,1+$B$3,1))</f>
        <v/>
      </c>
      <c r="BK98">
        <f>IF($B$1+60&gt;90,BJ98,(BJ98+IF($B$1+60&lt;=$B98,12*($B$7-$B$10),-12*MAX(0,($B$6+$B$10)-IF($B$1+60&gt;=$B$23,$B$22,0))*(1+$B$4)^60))*IF(BJ98+IF($B$1+60&lt;=$B98,12*($B$7-$B$10),-12*MAX(0,($B$6+$B$10)-IF($B$1+60&gt;=$B$23,$B$22,0))*(1+$B$4)^60)&gt;0,1+$B$3,1))</f>
        <v/>
      </c>
      <c r="BL98">
        <f>IF($B$1+61&gt;90,BK98,(BK98+IF($B$1+61&lt;=$B98,12*($B$7-$B$10),-12*MAX(0,($B$6+$B$10)-IF($B$1+61&gt;=$B$23,$B$22,0))*(1+$B$4)^61))*IF(BK98+IF($B$1+61&lt;=$B98,12*($B$7-$B$10),-12*MAX(0,($B$6+$B$10)-IF($B$1+61&gt;=$B$23,$B$22,0))*(1+$B$4)^61)&gt;0,1+$B$3,1))</f>
        <v/>
      </c>
      <c r="BM98">
        <f>IF($B$1+62&gt;90,BL98,(BL98+IF($B$1+62&lt;=$B98,12*($B$7-$B$10),-12*MAX(0,($B$6+$B$10)-IF($B$1+62&gt;=$B$23,$B$22,0))*(1+$B$4)^62))*IF(BL98+IF($B$1+62&lt;=$B98,12*($B$7-$B$10),-12*MAX(0,($B$6+$B$10)-IF($B$1+62&gt;=$B$23,$B$22,0))*(1+$B$4)^62)&gt;0,1+$B$3,1))</f>
        <v/>
      </c>
      <c r="BN98">
        <f>IF($B$1+63&gt;90,BM98,(BM98+IF($B$1+63&lt;=$B98,12*($B$7-$B$10),-12*MAX(0,($B$6+$B$10)-IF($B$1+63&gt;=$B$23,$B$22,0))*(1+$B$4)^63))*IF(BM98+IF($B$1+63&lt;=$B98,12*($B$7-$B$10),-12*MAX(0,($B$6+$B$10)-IF($B$1+63&gt;=$B$23,$B$22,0))*(1+$B$4)^63)&gt;0,1+$B$3,1))</f>
        <v/>
      </c>
      <c r="BO98">
        <f>IF($B$1+64&gt;90,BN98,(BN98+IF($B$1+64&lt;=$B98,12*($B$7-$B$10),-12*MAX(0,($B$6+$B$10)-IF($B$1+64&gt;=$B$23,$B$22,0))*(1+$B$4)^64))*IF(BN98+IF($B$1+64&lt;=$B98,12*($B$7-$B$10),-12*MAX(0,($B$6+$B$10)-IF($B$1+64&gt;=$B$23,$B$22,0))*(1+$B$4)^64)&gt;0,1+$B$3,1))</f>
        <v/>
      </c>
      <c r="BP98">
        <f>IF($B$1+65&gt;90,BO98,(BO98+IF($B$1+65&lt;=$B98,12*($B$7-$B$10),-12*MAX(0,($B$6+$B$10)-IF($B$1+65&gt;=$B$23,$B$22,0))*(1+$B$4)^65))*IF(BO98+IF($B$1+65&lt;=$B98,12*($B$7-$B$10),-12*MAX(0,($B$6+$B$10)-IF($B$1+65&gt;=$B$23,$B$22,0))*(1+$B$4)^65)&gt;0,1+$B$3,1))</f>
        <v/>
      </c>
      <c r="BQ98">
        <f>IF($B$1+66&gt;90,BP98,(BP98+IF($B$1+66&lt;=$B98,12*($B$7-$B$10),-12*MAX(0,($B$6+$B$10)-IF($B$1+66&gt;=$B$23,$B$22,0))*(1+$B$4)^66))*IF(BP98+IF($B$1+66&lt;=$B98,12*($B$7-$B$10),-12*MAX(0,($B$6+$B$10)-IF($B$1+66&gt;=$B$23,$B$22,0))*(1+$B$4)^66)&gt;0,1+$B$3,1))</f>
        <v/>
      </c>
      <c r="BR98">
        <f>IF($B$1+67&gt;90,BQ98,(BQ98+IF($B$1+67&lt;=$B98,12*($B$7-$B$10),-12*MAX(0,($B$6+$B$10)-IF($B$1+67&gt;=$B$23,$B$22,0))*(1+$B$4)^67))*IF(BQ98+IF($B$1+67&lt;=$B98,12*($B$7-$B$10),-12*MAX(0,($B$6+$B$10)-IF($B$1+67&gt;=$B$23,$B$22,0))*(1+$B$4)^67)&gt;0,1+$B$3,1))</f>
        <v/>
      </c>
      <c r="BS98">
        <f>IF($B$1+68&gt;90,BR98,(BR98+IF($B$1+68&lt;=$B98,12*($B$7-$B$10),-12*MAX(0,($B$6+$B$10)-IF($B$1+68&gt;=$B$23,$B$22,0))*(1+$B$4)^68))*IF(BR98+IF($B$1+68&lt;=$B98,12*($B$7-$B$10),-12*MAX(0,($B$6+$B$10)-IF($B$1+68&gt;=$B$23,$B$22,0))*(1+$B$4)^68)&gt;0,1+$B$3,1))</f>
        <v/>
      </c>
      <c r="BT98">
        <f>IF($B$1+69&gt;90,BS98,(BS98+IF($B$1+69&lt;=$B98,12*($B$7-$B$10),-12*MAX(0,($B$6+$B$10)-IF($B$1+69&gt;=$B$23,$B$22,0))*(1+$B$4)^69))*IF(BS98+IF($B$1+69&lt;=$B98,12*($B$7-$B$10),-12*MAX(0,($B$6+$B$10)-IF($B$1+69&gt;=$B$23,$B$22,0))*(1+$B$4)^69)&gt;0,1+$B$3,1))</f>
        <v/>
      </c>
      <c r="BU98">
        <f>IF($B$1+70&gt;90,BT98,(BT98+IF($B$1+70&lt;=$B98,12*($B$7-$B$10),-12*MAX(0,($B$6+$B$10)-IF($B$1+70&gt;=$B$23,$B$22,0))*(1+$B$4)^70))*IF(BT98+IF($B$1+70&lt;=$B98,12*($B$7-$B$10),-12*MAX(0,($B$6+$B$10)-IF($B$1+70&gt;=$B$23,$B$22,0))*(1+$B$4)^70)&gt;0,1+$B$3,1))</f>
        <v/>
      </c>
      <c r="BV98">
        <f>BU98</f>
        <v/>
      </c>
      <c r="BW98">
        <f>IF(AND($B98&lt;=70,BV98&gt;0),$B98,999)</f>
        <v/>
      </c>
      <c r="CH98">
        <f>IF(ISTEXT('월 가계부'!A98),SUBSTITUTE(SUBSTITUTE(SUBSTITUTE(SUBSTITUTE(SUBSTITUTE(SUBSTITUTE(SUBSTITUTE(SUBSTITUTE(SUBSTITUTE(TRIM('월 가계부'!A98),"년","-"),"월","-"),"일",""),".","-"),"/","-")," ","-"),"--","-"),"--","-"),"--","-")&amp;"-","")</f>
        <v/>
      </c>
      <c r="CI98">
        <f>IFERROR(IF('월 가계부'!A98="","",IF(ISNUMBER('월 가계부'!A98),IF(AND('월 가계부'!A98&gt;=19000101,'월 가계부'!A98&lt;=21001231),IF(AND(MOD(INT('월 가계부'!A98/100),100)&gt;=1,MOD(INT('월 가계부'!A98/100),100)&lt;=12,MOD(INT('월 가계부'!A98),100)&gt;=1,MOD(INT('월 가계부'!A98),100)&lt;=31),IF(MONTH(DATE(INT('월 가계부'!A98/10000),MOD(INT('월 가계부'!A98/100),100),MOD(INT('월 가계부'!A98),100)))=MOD(INT('월 가계부'!A98/100),100),DATE(INT('월 가계부'!A98/10000),MOD(INT('월 가계부'!A98/100),100),MOD(INT('월 가계부'!A98),100)),""),""),IF(AND('월 가계부'!A98&gt;=36526,'월 가계부'!A98&lt;73051),INT('월 가계부'!A98),"")),IF(OR(CM98="",CN98="",CO98=""),"",IF(AND(CM98&gt;=2000,CM98&lt;=2099,CN98&gt;=1,CN98&lt;=12,CO98&gt;=1,CO98&lt;=31),IF(MONTH(DATE(CM98,CN98,CO98))=CN98,DATE(CM98,CN98,CO98),""),"")))),"")</f>
        <v/>
      </c>
      <c r="CJ98">
        <f>IFERROR(IF('월 가계부'!C98="","",IF(ISNUMBER('월 가계부'!C98),'월 가계부'!C98,VALUE(SUBSTITUTE(SUBSTITUTE(SUBSTITUTE(SUBSTITUTE(TRIM('월 가계부'!C98),",",""),"원","")," ",""),"−","-")))),"")</f>
        <v/>
      </c>
      <c r="CK98">
        <f>IF(ISNUMBER(CI98),IF(CI98&lt;$B$13,CI98,""),"")</f>
        <v/>
      </c>
      <c r="CM98">
        <f>IF(CH98="","",IFERROR(IF(IF(AND(LEN(CH98)=9,ISERROR(FIND("-",LEFT(CH98,8))),ISNUMBER(-LEFT(CH98,8))),VALUE(LEFT(CH98,4)),VALUE(LEFT(CH98,FIND("-",CH98)-1)))&lt;100,IF(AND(LEN(CH98)=9,ISERROR(FIND("-",LEFT(CH98,8))),ISNUMBER(-LEFT(CH98,8))),VALUE(LEFT(CH98,4)),VALUE(LEFT(CH98,FIND("-",CH98)-1)))+2000,IF(AND(LEN(CH98)=9,ISERROR(FIND("-",LEFT(CH98,8))),ISNUMBER(-LEFT(CH98,8))),VALUE(LEFT(CH98,4)),VALUE(LEFT(CH98,FIND("-",CH98)-1)))),""))</f>
        <v/>
      </c>
      <c r="CN98">
        <f>IF(CH98="","",IFERROR(IF(AND(LEN(CH98)=9,ISERROR(FIND("-",LEFT(CH98,8))),ISNUMBER(-LEFT(CH98,8))),VALUE(MID(CH98,5,2)),VALUE(MID(CH98,FIND("-",CH98)+1,FIND("-",CH98,FIND("-",CH98)+1)-FIND("-",CH98)-1))),""))</f>
        <v/>
      </c>
      <c r="CO98">
        <f>IF(CH98="","",IFERROR(IF(AND(LEN(CH98)=9,ISERROR(FIND("-",LEFT(CH98,8))),ISNUMBER(-LEFT(CH98,8))),VALUE(MID(CH98,7,2)),VALUE(MID(CH98,FIND("-",CH98,FIND("-",CH98)+1)+1,FIND("-",CH98,FIND("-",CH98,FIND("-",CH98)+1)+1)-FIND("-",CH98,FIND("-",CH98)+1)-1))),""))</f>
        <v/>
      </c>
    </row>
    <row r="99">
      <c r="A99" t="n">
        <v>3</v>
      </c>
      <c r="B99">
        <f>$B$1+3</f>
        <v/>
      </c>
      <c r="C99">
        <f>$B$2</f>
        <v/>
      </c>
      <c r="D99">
        <f>IF($B$1+1&gt;90,C99,(C99+IF($B$1+1&lt;=$B99,12*($B$7-$B$10),-12*MAX(0,($B$6+$B$10)-IF($B$1+1&gt;=$B$23,$B$22,0))*(1+$B$4)^1))*IF(C99+IF($B$1+1&lt;=$B99,12*($B$7-$B$10),-12*MAX(0,($B$6+$B$10)-IF($B$1+1&gt;=$B$23,$B$22,0))*(1+$B$4)^1)&gt;0,1+$B$3,1))</f>
        <v/>
      </c>
      <c r="E99">
        <f>IF($B$1+2&gt;90,D99,(D99+IF($B$1+2&lt;=$B99,12*($B$7-$B$10),-12*MAX(0,($B$6+$B$10)-IF($B$1+2&gt;=$B$23,$B$22,0))*(1+$B$4)^2))*IF(D99+IF($B$1+2&lt;=$B99,12*($B$7-$B$10),-12*MAX(0,($B$6+$B$10)-IF($B$1+2&gt;=$B$23,$B$22,0))*(1+$B$4)^2)&gt;0,1+$B$3,1))</f>
        <v/>
      </c>
      <c r="F99">
        <f>IF($B$1+3&gt;90,E99,(E99+IF($B$1+3&lt;=$B99,12*($B$7-$B$10),-12*MAX(0,($B$6+$B$10)-IF($B$1+3&gt;=$B$23,$B$22,0))*(1+$B$4)^3))*IF(E99+IF($B$1+3&lt;=$B99,12*($B$7-$B$10),-12*MAX(0,($B$6+$B$10)-IF($B$1+3&gt;=$B$23,$B$22,0))*(1+$B$4)^3)&gt;0,1+$B$3,1))</f>
        <v/>
      </c>
      <c r="G99">
        <f>IF($B$1+4&gt;90,F99,(F99+IF($B$1+4&lt;=$B99,12*($B$7-$B$10),-12*MAX(0,($B$6+$B$10)-IF($B$1+4&gt;=$B$23,$B$22,0))*(1+$B$4)^4))*IF(F99+IF($B$1+4&lt;=$B99,12*($B$7-$B$10),-12*MAX(0,($B$6+$B$10)-IF($B$1+4&gt;=$B$23,$B$22,0))*(1+$B$4)^4)&gt;0,1+$B$3,1))</f>
        <v/>
      </c>
      <c r="H99">
        <f>IF($B$1+5&gt;90,G99,(G99+IF($B$1+5&lt;=$B99,12*($B$7-$B$10),-12*MAX(0,($B$6+$B$10)-IF($B$1+5&gt;=$B$23,$B$22,0))*(1+$B$4)^5))*IF(G99+IF($B$1+5&lt;=$B99,12*($B$7-$B$10),-12*MAX(0,($B$6+$B$10)-IF($B$1+5&gt;=$B$23,$B$22,0))*(1+$B$4)^5)&gt;0,1+$B$3,1))</f>
        <v/>
      </c>
      <c r="I99">
        <f>IF($B$1+6&gt;90,H99,(H99+IF($B$1+6&lt;=$B99,12*($B$7-$B$10),-12*MAX(0,($B$6+$B$10)-IF($B$1+6&gt;=$B$23,$B$22,0))*(1+$B$4)^6))*IF(H99+IF($B$1+6&lt;=$B99,12*($B$7-$B$10),-12*MAX(0,($B$6+$B$10)-IF($B$1+6&gt;=$B$23,$B$22,0))*(1+$B$4)^6)&gt;0,1+$B$3,1))</f>
        <v/>
      </c>
      <c r="J99">
        <f>IF($B$1+7&gt;90,I99,(I99+IF($B$1+7&lt;=$B99,12*($B$7-$B$10),-12*MAX(0,($B$6+$B$10)-IF($B$1+7&gt;=$B$23,$B$22,0))*(1+$B$4)^7))*IF(I99+IF($B$1+7&lt;=$B99,12*($B$7-$B$10),-12*MAX(0,($B$6+$B$10)-IF($B$1+7&gt;=$B$23,$B$22,0))*(1+$B$4)^7)&gt;0,1+$B$3,1))</f>
        <v/>
      </c>
      <c r="K99">
        <f>IF($B$1+8&gt;90,J99,(J99+IF($B$1+8&lt;=$B99,12*($B$7-$B$10),-12*MAX(0,($B$6+$B$10)-IF($B$1+8&gt;=$B$23,$B$22,0))*(1+$B$4)^8))*IF(J99+IF($B$1+8&lt;=$B99,12*($B$7-$B$10),-12*MAX(0,($B$6+$B$10)-IF($B$1+8&gt;=$B$23,$B$22,0))*(1+$B$4)^8)&gt;0,1+$B$3,1))</f>
        <v/>
      </c>
      <c r="L99">
        <f>IF($B$1+9&gt;90,K99,(K99+IF($B$1+9&lt;=$B99,12*($B$7-$B$10),-12*MAX(0,($B$6+$B$10)-IF($B$1+9&gt;=$B$23,$B$22,0))*(1+$B$4)^9))*IF(K99+IF($B$1+9&lt;=$B99,12*($B$7-$B$10),-12*MAX(0,($B$6+$B$10)-IF($B$1+9&gt;=$B$23,$B$22,0))*(1+$B$4)^9)&gt;0,1+$B$3,1))</f>
        <v/>
      </c>
      <c r="M99">
        <f>IF($B$1+10&gt;90,L99,(L99+IF($B$1+10&lt;=$B99,12*($B$7-$B$10),-12*MAX(0,($B$6+$B$10)-IF($B$1+10&gt;=$B$23,$B$22,0))*(1+$B$4)^10))*IF(L99+IF($B$1+10&lt;=$B99,12*($B$7-$B$10),-12*MAX(0,($B$6+$B$10)-IF($B$1+10&gt;=$B$23,$B$22,0))*(1+$B$4)^10)&gt;0,1+$B$3,1))</f>
        <v/>
      </c>
      <c r="N99">
        <f>IF($B$1+11&gt;90,M99,(M99+IF($B$1+11&lt;=$B99,12*($B$7-$B$10),-12*MAX(0,($B$6+$B$10)-IF($B$1+11&gt;=$B$23,$B$22,0))*(1+$B$4)^11))*IF(M99+IF($B$1+11&lt;=$B99,12*($B$7-$B$10),-12*MAX(0,($B$6+$B$10)-IF($B$1+11&gt;=$B$23,$B$22,0))*(1+$B$4)^11)&gt;0,1+$B$3,1))</f>
        <v/>
      </c>
      <c r="O99">
        <f>IF($B$1+12&gt;90,N99,(N99+IF($B$1+12&lt;=$B99,12*($B$7-$B$10),-12*MAX(0,($B$6+$B$10)-IF($B$1+12&gt;=$B$23,$B$22,0))*(1+$B$4)^12))*IF(N99+IF($B$1+12&lt;=$B99,12*($B$7-$B$10),-12*MAX(0,($B$6+$B$10)-IF($B$1+12&gt;=$B$23,$B$22,0))*(1+$B$4)^12)&gt;0,1+$B$3,1))</f>
        <v/>
      </c>
      <c r="P99">
        <f>IF($B$1+13&gt;90,O99,(O99+IF($B$1+13&lt;=$B99,12*($B$7-$B$10),-12*MAX(0,($B$6+$B$10)-IF($B$1+13&gt;=$B$23,$B$22,0))*(1+$B$4)^13))*IF(O99+IF($B$1+13&lt;=$B99,12*($B$7-$B$10),-12*MAX(0,($B$6+$B$10)-IF($B$1+13&gt;=$B$23,$B$22,0))*(1+$B$4)^13)&gt;0,1+$B$3,1))</f>
        <v/>
      </c>
      <c r="Q99">
        <f>IF($B$1+14&gt;90,P99,(P99+IF($B$1+14&lt;=$B99,12*($B$7-$B$10),-12*MAX(0,($B$6+$B$10)-IF($B$1+14&gt;=$B$23,$B$22,0))*(1+$B$4)^14))*IF(P99+IF($B$1+14&lt;=$B99,12*($B$7-$B$10),-12*MAX(0,($B$6+$B$10)-IF($B$1+14&gt;=$B$23,$B$22,0))*(1+$B$4)^14)&gt;0,1+$B$3,1))</f>
        <v/>
      </c>
      <c r="R99">
        <f>IF($B$1+15&gt;90,Q99,(Q99+IF($B$1+15&lt;=$B99,12*($B$7-$B$10),-12*MAX(0,($B$6+$B$10)-IF($B$1+15&gt;=$B$23,$B$22,0))*(1+$B$4)^15))*IF(Q99+IF($B$1+15&lt;=$B99,12*($B$7-$B$10),-12*MAX(0,($B$6+$B$10)-IF($B$1+15&gt;=$B$23,$B$22,0))*(1+$B$4)^15)&gt;0,1+$B$3,1))</f>
        <v/>
      </c>
      <c r="S99">
        <f>IF($B$1+16&gt;90,R99,(R99+IF($B$1+16&lt;=$B99,12*($B$7-$B$10),-12*MAX(0,($B$6+$B$10)-IF($B$1+16&gt;=$B$23,$B$22,0))*(1+$B$4)^16))*IF(R99+IF($B$1+16&lt;=$B99,12*($B$7-$B$10),-12*MAX(0,($B$6+$B$10)-IF($B$1+16&gt;=$B$23,$B$22,0))*(1+$B$4)^16)&gt;0,1+$B$3,1))</f>
        <v/>
      </c>
      <c r="T99">
        <f>IF($B$1+17&gt;90,S99,(S99+IF($B$1+17&lt;=$B99,12*($B$7-$B$10),-12*MAX(0,($B$6+$B$10)-IF($B$1+17&gt;=$B$23,$B$22,0))*(1+$B$4)^17))*IF(S99+IF($B$1+17&lt;=$B99,12*($B$7-$B$10),-12*MAX(0,($B$6+$B$10)-IF($B$1+17&gt;=$B$23,$B$22,0))*(1+$B$4)^17)&gt;0,1+$B$3,1))</f>
        <v/>
      </c>
      <c r="U99">
        <f>IF($B$1+18&gt;90,T99,(T99+IF($B$1+18&lt;=$B99,12*($B$7-$B$10),-12*MAX(0,($B$6+$B$10)-IF($B$1+18&gt;=$B$23,$B$22,0))*(1+$B$4)^18))*IF(T99+IF($B$1+18&lt;=$B99,12*($B$7-$B$10),-12*MAX(0,($B$6+$B$10)-IF($B$1+18&gt;=$B$23,$B$22,0))*(1+$B$4)^18)&gt;0,1+$B$3,1))</f>
        <v/>
      </c>
      <c r="V99">
        <f>IF($B$1+19&gt;90,U99,(U99+IF($B$1+19&lt;=$B99,12*($B$7-$B$10),-12*MAX(0,($B$6+$B$10)-IF($B$1+19&gt;=$B$23,$B$22,0))*(1+$B$4)^19))*IF(U99+IF($B$1+19&lt;=$B99,12*($B$7-$B$10),-12*MAX(0,($B$6+$B$10)-IF($B$1+19&gt;=$B$23,$B$22,0))*(1+$B$4)^19)&gt;0,1+$B$3,1))</f>
        <v/>
      </c>
      <c r="W99">
        <f>IF($B$1+20&gt;90,V99,(V99+IF($B$1+20&lt;=$B99,12*($B$7-$B$10),-12*MAX(0,($B$6+$B$10)-IF($B$1+20&gt;=$B$23,$B$22,0))*(1+$B$4)^20))*IF(V99+IF($B$1+20&lt;=$B99,12*($B$7-$B$10),-12*MAX(0,($B$6+$B$10)-IF($B$1+20&gt;=$B$23,$B$22,0))*(1+$B$4)^20)&gt;0,1+$B$3,1))</f>
        <v/>
      </c>
      <c r="X99">
        <f>IF($B$1+21&gt;90,W99,(W99+IF($B$1+21&lt;=$B99,12*($B$7-$B$10),-12*MAX(0,($B$6+$B$10)-IF($B$1+21&gt;=$B$23,$B$22,0))*(1+$B$4)^21))*IF(W99+IF($B$1+21&lt;=$B99,12*($B$7-$B$10),-12*MAX(0,($B$6+$B$10)-IF($B$1+21&gt;=$B$23,$B$22,0))*(1+$B$4)^21)&gt;0,1+$B$3,1))</f>
        <v/>
      </c>
      <c r="Y99">
        <f>IF($B$1+22&gt;90,X99,(X99+IF($B$1+22&lt;=$B99,12*($B$7-$B$10),-12*MAX(0,($B$6+$B$10)-IF($B$1+22&gt;=$B$23,$B$22,0))*(1+$B$4)^22))*IF(X99+IF($B$1+22&lt;=$B99,12*($B$7-$B$10),-12*MAX(0,($B$6+$B$10)-IF($B$1+22&gt;=$B$23,$B$22,0))*(1+$B$4)^22)&gt;0,1+$B$3,1))</f>
        <v/>
      </c>
      <c r="Z99">
        <f>IF($B$1+23&gt;90,Y99,(Y99+IF($B$1+23&lt;=$B99,12*($B$7-$B$10),-12*MAX(0,($B$6+$B$10)-IF($B$1+23&gt;=$B$23,$B$22,0))*(1+$B$4)^23))*IF(Y99+IF($B$1+23&lt;=$B99,12*($B$7-$B$10),-12*MAX(0,($B$6+$B$10)-IF($B$1+23&gt;=$B$23,$B$22,0))*(1+$B$4)^23)&gt;0,1+$B$3,1))</f>
        <v/>
      </c>
      <c r="AA99">
        <f>IF($B$1+24&gt;90,Z99,(Z99+IF($B$1+24&lt;=$B99,12*($B$7-$B$10),-12*MAX(0,($B$6+$B$10)-IF($B$1+24&gt;=$B$23,$B$22,0))*(1+$B$4)^24))*IF(Z99+IF($B$1+24&lt;=$B99,12*($B$7-$B$10),-12*MAX(0,($B$6+$B$10)-IF($B$1+24&gt;=$B$23,$B$22,0))*(1+$B$4)^24)&gt;0,1+$B$3,1))</f>
        <v/>
      </c>
      <c r="AB99">
        <f>IF($B$1+25&gt;90,AA99,(AA99+IF($B$1+25&lt;=$B99,12*($B$7-$B$10),-12*MAX(0,($B$6+$B$10)-IF($B$1+25&gt;=$B$23,$B$22,0))*(1+$B$4)^25))*IF(AA99+IF($B$1+25&lt;=$B99,12*($B$7-$B$10),-12*MAX(0,($B$6+$B$10)-IF($B$1+25&gt;=$B$23,$B$22,0))*(1+$B$4)^25)&gt;0,1+$B$3,1))</f>
        <v/>
      </c>
      <c r="AC99">
        <f>IF($B$1+26&gt;90,AB99,(AB99+IF($B$1+26&lt;=$B99,12*($B$7-$B$10),-12*MAX(0,($B$6+$B$10)-IF($B$1+26&gt;=$B$23,$B$22,0))*(1+$B$4)^26))*IF(AB99+IF($B$1+26&lt;=$B99,12*($B$7-$B$10),-12*MAX(0,($B$6+$B$10)-IF($B$1+26&gt;=$B$23,$B$22,0))*(1+$B$4)^26)&gt;0,1+$B$3,1))</f>
        <v/>
      </c>
      <c r="AD99">
        <f>IF($B$1+27&gt;90,AC99,(AC99+IF($B$1+27&lt;=$B99,12*($B$7-$B$10),-12*MAX(0,($B$6+$B$10)-IF($B$1+27&gt;=$B$23,$B$22,0))*(1+$B$4)^27))*IF(AC99+IF($B$1+27&lt;=$B99,12*($B$7-$B$10),-12*MAX(0,($B$6+$B$10)-IF($B$1+27&gt;=$B$23,$B$22,0))*(1+$B$4)^27)&gt;0,1+$B$3,1))</f>
        <v/>
      </c>
      <c r="AE99">
        <f>IF($B$1+28&gt;90,AD99,(AD99+IF($B$1+28&lt;=$B99,12*($B$7-$B$10),-12*MAX(0,($B$6+$B$10)-IF($B$1+28&gt;=$B$23,$B$22,0))*(1+$B$4)^28))*IF(AD99+IF($B$1+28&lt;=$B99,12*($B$7-$B$10),-12*MAX(0,($B$6+$B$10)-IF($B$1+28&gt;=$B$23,$B$22,0))*(1+$B$4)^28)&gt;0,1+$B$3,1))</f>
        <v/>
      </c>
      <c r="AF99">
        <f>IF($B$1+29&gt;90,AE99,(AE99+IF($B$1+29&lt;=$B99,12*($B$7-$B$10),-12*MAX(0,($B$6+$B$10)-IF($B$1+29&gt;=$B$23,$B$22,0))*(1+$B$4)^29))*IF(AE99+IF($B$1+29&lt;=$B99,12*($B$7-$B$10),-12*MAX(0,($B$6+$B$10)-IF($B$1+29&gt;=$B$23,$B$22,0))*(1+$B$4)^29)&gt;0,1+$B$3,1))</f>
        <v/>
      </c>
      <c r="AG99">
        <f>IF($B$1+30&gt;90,AF99,(AF99+IF($B$1+30&lt;=$B99,12*($B$7-$B$10),-12*MAX(0,($B$6+$B$10)-IF($B$1+30&gt;=$B$23,$B$22,0))*(1+$B$4)^30))*IF(AF99+IF($B$1+30&lt;=$B99,12*($B$7-$B$10),-12*MAX(0,($B$6+$B$10)-IF($B$1+30&gt;=$B$23,$B$22,0))*(1+$B$4)^30)&gt;0,1+$B$3,1))</f>
        <v/>
      </c>
      <c r="AH99">
        <f>IF($B$1+31&gt;90,AG99,(AG99+IF($B$1+31&lt;=$B99,12*($B$7-$B$10),-12*MAX(0,($B$6+$B$10)-IF($B$1+31&gt;=$B$23,$B$22,0))*(1+$B$4)^31))*IF(AG99+IF($B$1+31&lt;=$B99,12*($B$7-$B$10),-12*MAX(0,($B$6+$B$10)-IF($B$1+31&gt;=$B$23,$B$22,0))*(1+$B$4)^31)&gt;0,1+$B$3,1))</f>
        <v/>
      </c>
      <c r="AI99">
        <f>IF($B$1+32&gt;90,AH99,(AH99+IF($B$1+32&lt;=$B99,12*($B$7-$B$10),-12*MAX(0,($B$6+$B$10)-IF($B$1+32&gt;=$B$23,$B$22,0))*(1+$B$4)^32))*IF(AH99+IF($B$1+32&lt;=$B99,12*($B$7-$B$10),-12*MAX(0,($B$6+$B$10)-IF($B$1+32&gt;=$B$23,$B$22,0))*(1+$B$4)^32)&gt;0,1+$B$3,1))</f>
        <v/>
      </c>
      <c r="AJ99">
        <f>IF($B$1+33&gt;90,AI99,(AI99+IF($B$1+33&lt;=$B99,12*($B$7-$B$10),-12*MAX(0,($B$6+$B$10)-IF($B$1+33&gt;=$B$23,$B$22,0))*(1+$B$4)^33))*IF(AI99+IF($B$1+33&lt;=$B99,12*($B$7-$B$10),-12*MAX(0,($B$6+$B$10)-IF($B$1+33&gt;=$B$23,$B$22,0))*(1+$B$4)^33)&gt;0,1+$B$3,1))</f>
        <v/>
      </c>
      <c r="AK99">
        <f>IF($B$1+34&gt;90,AJ99,(AJ99+IF($B$1+34&lt;=$B99,12*($B$7-$B$10),-12*MAX(0,($B$6+$B$10)-IF($B$1+34&gt;=$B$23,$B$22,0))*(1+$B$4)^34))*IF(AJ99+IF($B$1+34&lt;=$B99,12*($B$7-$B$10),-12*MAX(0,($B$6+$B$10)-IF($B$1+34&gt;=$B$23,$B$22,0))*(1+$B$4)^34)&gt;0,1+$B$3,1))</f>
        <v/>
      </c>
      <c r="AL99">
        <f>IF($B$1+35&gt;90,AK99,(AK99+IF($B$1+35&lt;=$B99,12*($B$7-$B$10),-12*MAX(0,($B$6+$B$10)-IF($B$1+35&gt;=$B$23,$B$22,0))*(1+$B$4)^35))*IF(AK99+IF($B$1+35&lt;=$B99,12*($B$7-$B$10),-12*MAX(0,($B$6+$B$10)-IF($B$1+35&gt;=$B$23,$B$22,0))*(1+$B$4)^35)&gt;0,1+$B$3,1))</f>
        <v/>
      </c>
      <c r="AM99">
        <f>IF($B$1+36&gt;90,AL99,(AL99+IF($B$1+36&lt;=$B99,12*($B$7-$B$10),-12*MAX(0,($B$6+$B$10)-IF($B$1+36&gt;=$B$23,$B$22,0))*(1+$B$4)^36))*IF(AL99+IF($B$1+36&lt;=$B99,12*($B$7-$B$10),-12*MAX(0,($B$6+$B$10)-IF($B$1+36&gt;=$B$23,$B$22,0))*(1+$B$4)^36)&gt;0,1+$B$3,1))</f>
        <v/>
      </c>
      <c r="AN99">
        <f>IF($B$1+37&gt;90,AM99,(AM99+IF($B$1+37&lt;=$B99,12*($B$7-$B$10),-12*MAX(0,($B$6+$B$10)-IF($B$1+37&gt;=$B$23,$B$22,0))*(1+$B$4)^37))*IF(AM99+IF($B$1+37&lt;=$B99,12*($B$7-$B$10),-12*MAX(0,($B$6+$B$10)-IF($B$1+37&gt;=$B$23,$B$22,0))*(1+$B$4)^37)&gt;0,1+$B$3,1))</f>
        <v/>
      </c>
      <c r="AO99">
        <f>IF($B$1+38&gt;90,AN99,(AN99+IF($B$1+38&lt;=$B99,12*($B$7-$B$10),-12*MAX(0,($B$6+$B$10)-IF($B$1+38&gt;=$B$23,$B$22,0))*(1+$B$4)^38))*IF(AN99+IF($B$1+38&lt;=$B99,12*($B$7-$B$10),-12*MAX(0,($B$6+$B$10)-IF($B$1+38&gt;=$B$23,$B$22,0))*(1+$B$4)^38)&gt;0,1+$B$3,1))</f>
        <v/>
      </c>
      <c r="AP99">
        <f>IF($B$1+39&gt;90,AO99,(AO99+IF($B$1+39&lt;=$B99,12*($B$7-$B$10),-12*MAX(0,($B$6+$B$10)-IF($B$1+39&gt;=$B$23,$B$22,0))*(1+$B$4)^39))*IF(AO99+IF($B$1+39&lt;=$B99,12*($B$7-$B$10),-12*MAX(0,($B$6+$B$10)-IF($B$1+39&gt;=$B$23,$B$22,0))*(1+$B$4)^39)&gt;0,1+$B$3,1))</f>
        <v/>
      </c>
      <c r="AQ99">
        <f>IF($B$1+40&gt;90,AP99,(AP99+IF($B$1+40&lt;=$B99,12*($B$7-$B$10),-12*MAX(0,($B$6+$B$10)-IF($B$1+40&gt;=$B$23,$B$22,0))*(1+$B$4)^40))*IF(AP99+IF($B$1+40&lt;=$B99,12*($B$7-$B$10),-12*MAX(0,($B$6+$B$10)-IF($B$1+40&gt;=$B$23,$B$22,0))*(1+$B$4)^40)&gt;0,1+$B$3,1))</f>
        <v/>
      </c>
      <c r="AR99">
        <f>IF($B$1+41&gt;90,AQ99,(AQ99+IF($B$1+41&lt;=$B99,12*($B$7-$B$10),-12*MAX(0,($B$6+$B$10)-IF($B$1+41&gt;=$B$23,$B$22,0))*(1+$B$4)^41))*IF(AQ99+IF($B$1+41&lt;=$B99,12*($B$7-$B$10),-12*MAX(0,($B$6+$B$10)-IF($B$1+41&gt;=$B$23,$B$22,0))*(1+$B$4)^41)&gt;0,1+$B$3,1))</f>
        <v/>
      </c>
      <c r="AS99">
        <f>IF($B$1+42&gt;90,AR99,(AR99+IF($B$1+42&lt;=$B99,12*($B$7-$B$10),-12*MAX(0,($B$6+$B$10)-IF($B$1+42&gt;=$B$23,$B$22,0))*(1+$B$4)^42))*IF(AR99+IF($B$1+42&lt;=$B99,12*($B$7-$B$10),-12*MAX(0,($B$6+$B$10)-IF($B$1+42&gt;=$B$23,$B$22,0))*(1+$B$4)^42)&gt;0,1+$B$3,1))</f>
        <v/>
      </c>
      <c r="AT99">
        <f>IF($B$1+43&gt;90,AS99,(AS99+IF($B$1+43&lt;=$B99,12*($B$7-$B$10),-12*MAX(0,($B$6+$B$10)-IF($B$1+43&gt;=$B$23,$B$22,0))*(1+$B$4)^43))*IF(AS99+IF($B$1+43&lt;=$B99,12*($B$7-$B$10),-12*MAX(0,($B$6+$B$10)-IF($B$1+43&gt;=$B$23,$B$22,0))*(1+$B$4)^43)&gt;0,1+$B$3,1))</f>
        <v/>
      </c>
      <c r="AU99">
        <f>IF($B$1+44&gt;90,AT99,(AT99+IF($B$1+44&lt;=$B99,12*($B$7-$B$10),-12*MAX(0,($B$6+$B$10)-IF($B$1+44&gt;=$B$23,$B$22,0))*(1+$B$4)^44))*IF(AT99+IF($B$1+44&lt;=$B99,12*($B$7-$B$10),-12*MAX(0,($B$6+$B$10)-IF($B$1+44&gt;=$B$23,$B$22,0))*(1+$B$4)^44)&gt;0,1+$B$3,1))</f>
        <v/>
      </c>
      <c r="AV99">
        <f>IF($B$1+45&gt;90,AU99,(AU99+IF($B$1+45&lt;=$B99,12*($B$7-$B$10),-12*MAX(0,($B$6+$B$10)-IF($B$1+45&gt;=$B$23,$B$22,0))*(1+$B$4)^45))*IF(AU99+IF($B$1+45&lt;=$B99,12*($B$7-$B$10),-12*MAX(0,($B$6+$B$10)-IF($B$1+45&gt;=$B$23,$B$22,0))*(1+$B$4)^45)&gt;0,1+$B$3,1))</f>
        <v/>
      </c>
      <c r="AW99">
        <f>IF($B$1+46&gt;90,AV99,(AV99+IF($B$1+46&lt;=$B99,12*($B$7-$B$10),-12*MAX(0,($B$6+$B$10)-IF($B$1+46&gt;=$B$23,$B$22,0))*(1+$B$4)^46))*IF(AV99+IF($B$1+46&lt;=$B99,12*($B$7-$B$10),-12*MAX(0,($B$6+$B$10)-IF($B$1+46&gt;=$B$23,$B$22,0))*(1+$B$4)^46)&gt;0,1+$B$3,1))</f>
        <v/>
      </c>
      <c r="AX99">
        <f>IF($B$1+47&gt;90,AW99,(AW99+IF($B$1+47&lt;=$B99,12*($B$7-$B$10),-12*MAX(0,($B$6+$B$10)-IF($B$1+47&gt;=$B$23,$B$22,0))*(1+$B$4)^47))*IF(AW99+IF($B$1+47&lt;=$B99,12*($B$7-$B$10),-12*MAX(0,($B$6+$B$10)-IF($B$1+47&gt;=$B$23,$B$22,0))*(1+$B$4)^47)&gt;0,1+$B$3,1))</f>
        <v/>
      </c>
      <c r="AY99">
        <f>IF($B$1+48&gt;90,AX99,(AX99+IF($B$1+48&lt;=$B99,12*($B$7-$B$10),-12*MAX(0,($B$6+$B$10)-IF($B$1+48&gt;=$B$23,$B$22,0))*(1+$B$4)^48))*IF(AX99+IF($B$1+48&lt;=$B99,12*($B$7-$B$10),-12*MAX(0,($B$6+$B$10)-IF($B$1+48&gt;=$B$23,$B$22,0))*(1+$B$4)^48)&gt;0,1+$B$3,1))</f>
        <v/>
      </c>
      <c r="AZ99">
        <f>IF($B$1+49&gt;90,AY99,(AY99+IF($B$1+49&lt;=$B99,12*($B$7-$B$10),-12*MAX(0,($B$6+$B$10)-IF($B$1+49&gt;=$B$23,$B$22,0))*(1+$B$4)^49))*IF(AY99+IF($B$1+49&lt;=$B99,12*($B$7-$B$10),-12*MAX(0,($B$6+$B$10)-IF($B$1+49&gt;=$B$23,$B$22,0))*(1+$B$4)^49)&gt;0,1+$B$3,1))</f>
        <v/>
      </c>
      <c r="BA99">
        <f>IF($B$1+50&gt;90,AZ99,(AZ99+IF($B$1+50&lt;=$B99,12*($B$7-$B$10),-12*MAX(0,($B$6+$B$10)-IF($B$1+50&gt;=$B$23,$B$22,0))*(1+$B$4)^50))*IF(AZ99+IF($B$1+50&lt;=$B99,12*($B$7-$B$10),-12*MAX(0,($B$6+$B$10)-IF($B$1+50&gt;=$B$23,$B$22,0))*(1+$B$4)^50)&gt;0,1+$B$3,1))</f>
        <v/>
      </c>
      <c r="BB99">
        <f>IF($B$1+51&gt;90,BA99,(BA99+IF($B$1+51&lt;=$B99,12*($B$7-$B$10),-12*MAX(0,($B$6+$B$10)-IF($B$1+51&gt;=$B$23,$B$22,0))*(1+$B$4)^51))*IF(BA99+IF($B$1+51&lt;=$B99,12*($B$7-$B$10),-12*MAX(0,($B$6+$B$10)-IF($B$1+51&gt;=$B$23,$B$22,0))*(1+$B$4)^51)&gt;0,1+$B$3,1))</f>
        <v/>
      </c>
      <c r="BC99">
        <f>IF($B$1+52&gt;90,BB99,(BB99+IF($B$1+52&lt;=$B99,12*($B$7-$B$10),-12*MAX(0,($B$6+$B$10)-IF($B$1+52&gt;=$B$23,$B$22,0))*(1+$B$4)^52))*IF(BB99+IF($B$1+52&lt;=$B99,12*($B$7-$B$10),-12*MAX(0,($B$6+$B$10)-IF($B$1+52&gt;=$B$23,$B$22,0))*(1+$B$4)^52)&gt;0,1+$B$3,1))</f>
        <v/>
      </c>
      <c r="BD99">
        <f>IF($B$1+53&gt;90,BC99,(BC99+IF($B$1+53&lt;=$B99,12*($B$7-$B$10),-12*MAX(0,($B$6+$B$10)-IF($B$1+53&gt;=$B$23,$B$22,0))*(1+$B$4)^53))*IF(BC99+IF($B$1+53&lt;=$B99,12*($B$7-$B$10),-12*MAX(0,($B$6+$B$10)-IF($B$1+53&gt;=$B$23,$B$22,0))*(1+$B$4)^53)&gt;0,1+$B$3,1))</f>
        <v/>
      </c>
      <c r="BE99">
        <f>IF($B$1+54&gt;90,BD99,(BD99+IF($B$1+54&lt;=$B99,12*($B$7-$B$10),-12*MAX(0,($B$6+$B$10)-IF($B$1+54&gt;=$B$23,$B$22,0))*(1+$B$4)^54))*IF(BD99+IF($B$1+54&lt;=$B99,12*($B$7-$B$10),-12*MAX(0,($B$6+$B$10)-IF($B$1+54&gt;=$B$23,$B$22,0))*(1+$B$4)^54)&gt;0,1+$B$3,1))</f>
        <v/>
      </c>
      <c r="BF99">
        <f>IF($B$1+55&gt;90,BE99,(BE99+IF($B$1+55&lt;=$B99,12*($B$7-$B$10),-12*MAX(0,($B$6+$B$10)-IF($B$1+55&gt;=$B$23,$B$22,0))*(1+$B$4)^55))*IF(BE99+IF($B$1+55&lt;=$B99,12*($B$7-$B$10),-12*MAX(0,($B$6+$B$10)-IF($B$1+55&gt;=$B$23,$B$22,0))*(1+$B$4)^55)&gt;0,1+$B$3,1))</f>
        <v/>
      </c>
      <c r="BG99">
        <f>IF($B$1+56&gt;90,BF99,(BF99+IF($B$1+56&lt;=$B99,12*($B$7-$B$10),-12*MAX(0,($B$6+$B$10)-IF($B$1+56&gt;=$B$23,$B$22,0))*(1+$B$4)^56))*IF(BF99+IF($B$1+56&lt;=$B99,12*($B$7-$B$10),-12*MAX(0,($B$6+$B$10)-IF($B$1+56&gt;=$B$23,$B$22,0))*(1+$B$4)^56)&gt;0,1+$B$3,1))</f>
        <v/>
      </c>
      <c r="BH99">
        <f>IF($B$1+57&gt;90,BG99,(BG99+IF($B$1+57&lt;=$B99,12*($B$7-$B$10),-12*MAX(0,($B$6+$B$10)-IF($B$1+57&gt;=$B$23,$B$22,0))*(1+$B$4)^57))*IF(BG99+IF($B$1+57&lt;=$B99,12*($B$7-$B$10),-12*MAX(0,($B$6+$B$10)-IF($B$1+57&gt;=$B$23,$B$22,0))*(1+$B$4)^57)&gt;0,1+$B$3,1))</f>
        <v/>
      </c>
      <c r="BI99">
        <f>IF($B$1+58&gt;90,BH99,(BH99+IF($B$1+58&lt;=$B99,12*($B$7-$B$10),-12*MAX(0,($B$6+$B$10)-IF($B$1+58&gt;=$B$23,$B$22,0))*(1+$B$4)^58))*IF(BH99+IF($B$1+58&lt;=$B99,12*($B$7-$B$10),-12*MAX(0,($B$6+$B$10)-IF($B$1+58&gt;=$B$23,$B$22,0))*(1+$B$4)^58)&gt;0,1+$B$3,1))</f>
        <v/>
      </c>
      <c r="BJ99">
        <f>IF($B$1+59&gt;90,BI99,(BI99+IF($B$1+59&lt;=$B99,12*($B$7-$B$10),-12*MAX(0,($B$6+$B$10)-IF($B$1+59&gt;=$B$23,$B$22,0))*(1+$B$4)^59))*IF(BI99+IF($B$1+59&lt;=$B99,12*($B$7-$B$10),-12*MAX(0,($B$6+$B$10)-IF($B$1+59&gt;=$B$23,$B$22,0))*(1+$B$4)^59)&gt;0,1+$B$3,1))</f>
        <v/>
      </c>
      <c r="BK99">
        <f>IF($B$1+60&gt;90,BJ99,(BJ99+IF($B$1+60&lt;=$B99,12*($B$7-$B$10),-12*MAX(0,($B$6+$B$10)-IF($B$1+60&gt;=$B$23,$B$22,0))*(1+$B$4)^60))*IF(BJ99+IF($B$1+60&lt;=$B99,12*($B$7-$B$10),-12*MAX(0,($B$6+$B$10)-IF($B$1+60&gt;=$B$23,$B$22,0))*(1+$B$4)^60)&gt;0,1+$B$3,1))</f>
        <v/>
      </c>
      <c r="BL99">
        <f>IF($B$1+61&gt;90,BK99,(BK99+IF($B$1+61&lt;=$B99,12*($B$7-$B$10),-12*MAX(0,($B$6+$B$10)-IF($B$1+61&gt;=$B$23,$B$22,0))*(1+$B$4)^61))*IF(BK99+IF($B$1+61&lt;=$B99,12*($B$7-$B$10),-12*MAX(0,($B$6+$B$10)-IF($B$1+61&gt;=$B$23,$B$22,0))*(1+$B$4)^61)&gt;0,1+$B$3,1))</f>
        <v/>
      </c>
      <c r="BM99">
        <f>IF($B$1+62&gt;90,BL99,(BL99+IF($B$1+62&lt;=$B99,12*($B$7-$B$10),-12*MAX(0,($B$6+$B$10)-IF($B$1+62&gt;=$B$23,$B$22,0))*(1+$B$4)^62))*IF(BL99+IF($B$1+62&lt;=$B99,12*($B$7-$B$10),-12*MAX(0,($B$6+$B$10)-IF($B$1+62&gt;=$B$23,$B$22,0))*(1+$B$4)^62)&gt;0,1+$B$3,1))</f>
        <v/>
      </c>
      <c r="BN99">
        <f>IF($B$1+63&gt;90,BM99,(BM99+IF($B$1+63&lt;=$B99,12*($B$7-$B$10),-12*MAX(0,($B$6+$B$10)-IF($B$1+63&gt;=$B$23,$B$22,0))*(1+$B$4)^63))*IF(BM99+IF($B$1+63&lt;=$B99,12*($B$7-$B$10),-12*MAX(0,($B$6+$B$10)-IF($B$1+63&gt;=$B$23,$B$22,0))*(1+$B$4)^63)&gt;0,1+$B$3,1))</f>
        <v/>
      </c>
      <c r="BO99">
        <f>IF($B$1+64&gt;90,BN99,(BN99+IF($B$1+64&lt;=$B99,12*($B$7-$B$10),-12*MAX(0,($B$6+$B$10)-IF($B$1+64&gt;=$B$23,$B$22,0))*(1+$B$4)^64))*IF(BN99+IF($B$1+64&lt;=$B99,12*($B$7-$B$10),-12*MAX(0,($B$6+$B$10)-IF($B$1+64&gt;=$B$23,$B$22,0))*(1+$B$4)^64)&gt;0,1+$B$3,1))</f>
        <v/>
      </c>
      <c r="BP99">
        <f>IF($B$1+65&gt;90,BO99,(BO99+IF($B$1+65&lt;=$B99,12*($B$7-$B$10),-12*MAX(0,($B$6+$B$10)-IF($B$1+65&gt;=$B$23,$B$22,0))*(1+$B$4)^65))*IF(BO99+IF($B$1+65&lt;=$B99,12*($B$7-$B$10),-12*MAX(0,($B$6+$B$10)-IF($B$1+65&gt;=$B$23,$B$22,0))*(1+$B$4)^65)&gt;0,1+$B$3,1))</f>
        <v/>
      </c>
      <c r="BQ99">
        <f>IF($B$1+66&gt;90,BP99,(BP99+IF($B$1+66&lt;=$B99,12*($B$7-$B$10),-12*MAX(0,($B$6+$B$10)-IF($B$1+66&gt;=$B$23,$B$22,0))*(1+$B$4)^66))*IF(BP99+IF($B$1+66&lt;=$B99,12*($B$7-$B$10),-12*MAX(0,($B$6+$B$10)-IF($B$1+66&gt;=$B$23,$B$22,0))*(1+$B$4)^66)&gt;0,1+$B$3,1))</f>
        <v/>
      </c>
      <c r="BR99">
        <f>IF($B$1+67&gt;90,BQ99,(BQ99+IF($B$1+67&lt;=$B99,12*($B$7-$B$10),-12*MAX(0,($B$6+$B$10)-IF($B$1+67&gt;=$B$23,$B$22,0))*(1+$B$4)^67))*IF(BQ99+IF($B$1+67&lt;=$B99,12*($B$7-$B$10),-12*MAX(0,($B$6+$B$10)-IF($B$1+67&gt;=$B$23,$B$22,0))*(1+$B$4)^67)&gt;0,1+$B$3,1))</f>
        <v/>
      </c>
      <c r="BS99">
        <f>IF($B$1+68&gt;90,BR99,(BR99+IF($B$1+68&lt;=$B99,12*($B$7-$B$10),-12*MAX(0,($B$6+$B$10)-IF($B$1+68&gt;=$B$23,$B$22,0))*(1+$B$4)^68))*IF(BR99+IF($B$1+68&lt;=$B99,12*($B$7-$B$10),-12*MAX(0,($B$6+$B$10)-IF($B$1+68&gt;=$B$23,$B$22,0))*(1+$B$4)^68)&gt;0,1+$B$3,1))</f>
        <v/>
      </c>
      <c r="BT99">
        <f>IF($B$1+69&gt;90,BS99,(BS99+IF($B$1+69&lt;=$B99,12*($B$7-$B$10),-12*MAX(0,($B$6+$B$10)-IF($B$1+69&gt;=$B$23,$B$22,0))*(1+$B$4)^69))*IF(BS99+IF($B$1+69&lt;=$B99,12*($B$7-$B$10),-12*MAX(0,($B$6+$B$10)-IF($B$1+69&gt;=$B$23,$B$22,0))*(1+$B$4)^69)&gt;0,1+$B$3,1))</f>
        <v/>
      </c>
      <c r="BU99">
        <f>IF($B$1+70&gt;90,BT99,(BT99+IF($B$1+70&lt;=$B99,12*($B$7-$B$10),-12*MAX(0,($B$6+$B$10)-IF($B$1+70&gt;=$B$23,$B$22,0))*(1+$B$4)^70))*IF(BT99+IF($B$1+70&lt;=$B99,12*($B$7-$B$10),-12*MAX(0,($B$6+$B$10)-IF($B$1+70&gt;=$B$23,$B$22,0))*(1+$B$4)^70)&gt;0,1+$B$3,1))</f>
        <v/>
      </c>
      <c r="BV99">
        <f>BU99</f>
        <v/>
      </c>
      <c r="BW99">
        <f>IF(AND($B99&lt;=70,BV99&gt;0),$B99,999)</f>
        <v/>
      </c>
      <c r="CH99">
        <f>IF(ISTEXT('월 가계부'!A99),SUBSTITUTE(SUBSTITUTE(SUBSTITUTE(SUBSTITUTE(SUBSTITUTE(SUBSTITUTE(SUBSTITUTE(SUBSTITUTE(SUBSTITUTE(TRIM('월 가계부'!A99),"년","-"),"월","-"),"일",""),".","-"),"/","-")," ","-"),"--","-"),"--","-"),"--","-")&amp;"-","")</f>
        <v/>
      </c>
      <c r="CI99">
        <f>IFERROR(IF('월 가계부'!A99="","",IF(ISNUMBER('월 가계부'!A99),IF(AND('월 가계부'!A99&gt;=19000101,'월 가계부'!A99&lt;=21001231),IF(AND(MOD(INT('월 가계부'!A99/100),100)&gt;=1,MOD(INT('월 가계부'!A99/100),100)&lt;=12,MOD(INT('월 가계부'!A99),100)&gt;=1,MOD(INT('월 가계부'!A99),100)&lt;=31),IF(MONTH(DATE(INT('월 가계부'!A99/10000),MOD(INT('월 가계부'!A99/100),100),MOD(INT('월 가계부'!A99),100)))=MOD(INT('월 가계부'!A99/100),100),DATE(INT('월 가계부'!A99/10000),MOD(INT('월 가계부'!A99/100),100),MOD(INT('월 가계부'!A99),100)),""),""),IF(AND('월 가계부'!A99&gt;=36526,'월 가계부'!A99&lt;73051),INT('월 가계부'!A99),"")),IF(OR(CM99="",CN99="",CO99=""),"",IF(AND(CM99&gt;=2000,CM99&lt;=2099,CN99&gt;=1,CN99&lt;=12,CO99&gt;=1,CO99&lt;=31),IF(MONTH(DATE(CM99,CN99,CO99))=CN99,DATE(CM99,CN99,CO99),""),"")))),"")</f>
        <v/>
      </c>
      <c r="CJ99">
        <f>IFERROR(IF('월 가계부'!C99="","",IF(ISNUMBER('월 가계부'!C99),'월 가계부'!C99,VALUE(SUBSTITUTE(SUBSTITUTE(SUBSTITUTE(SUBSTITUTE(TRIM('월 가계부'!C99),",",""),"원","")," ",""),"−","-")))),"")</f>
        <v/>
      </c>
      <c r="CK99">
        <f>IF(ISNUMBER(CI99),IF(CI99&lt;$B$13,CI99,""),"")</f>
        <v/>
      </c>
      <c r="CM99">
        <f>IF(CH99="","",IFERROR(IF(IF(AND(LEN(CH99)=9,ISERROR(FIND("-",LEFT(CH99,8))),ISNUMBER(-LEFT(CH99,8))),VALUE(LEFT(CH99,4)),VALUE(LEFT(CH99,FIND("-",CH99)-1)))&lt;100,IF(AND(LEN(CH99)=9,ISERROR(FIND("-",LEFT(CH99,8))),ISNUMBER(-LEFT(CH99,8))),VALUE(LEFT(CH99,4)),VALUE(LEFT(CH99,FIND("-",CH99)-1)))+2000,IF(AND(LEN(CH99)=9,ISERROR(FIND("-",LEFT(CH99,8))),ISNUMBER(-LEFT(CH99,8))),VALUE(LEFT(CH99,4)),VALUE(LEFT(CH99,FIND("-",CH99)-1)))),""))</f>
        <v/>
      </c>
      <c r="CN99">
        <f>IF(CH99="","",IFERROR(IF(AND(LEN(CH99)=9,ISERROR(FIND("-",LEFT(CH99,8))),ISNUMBER(-LEFT(CH99,8))),VALUE(MID(CH99,5,2)),VALUE(MID(CH99,FIND("-",CH99)+1,FIND("-",CH99,FIND("-",CH99)+1)-FIND("-",CH99)-1))),""))</f>
        <v/>
      </c>
      <c r="CO99">
        <f>IF(CH99="","",IFERROR(IF(AND(LEN(CH99)=9,ISERROR(FIND("-",LEFT(CH99,8))),ISNUMBER(-LEFT(CH99,8))),VALUE(MID(CH99,7,2)),VALUE(MID(CH99,FIND("-",CH99,FIND("-",CH99)+1)+1,FIND("-",CH99,FIND("-",CH99,FIND("-",CH99)+1)+1)-FIND("-",CH99,FIND("-",CH99)+1)-1))),""))</f>
        <v/>
      </c>
    </row>
    <row r="100">
      <c r="A100" t="n">
        <v>4</v>
      </c>
      <c r="B100">
        <f>$B$1+4</f>
        <v/>
      </c>
      <c r="C100">
        <f>$B$2</f>
        <v/>
      </c>
      <c r="D100">
        <f>IF($B$1+1&gt;90,C100,(C100+IF($B$1+1&lt;=$B100,12*($B$7-$B$10),-12*MAX(0,($B$6+$B$10)-IF($B$1+1&gt;=$B$23,$B$22,0))*(1+$B$4)^1))*IF(C100+IF($B$1+1&lt;=$B100,12*($B$7-$B$10),-12*MAX(0,($B$6+$B$10)-IF($B$1+1&gt;=$B$23,$B$22,0))*(1+$B$4)^1)&gt;0,1+$B$3,1))</f>
        <v/>
      </c>
      <c r="E100">
        <f>IF($B$1+2&gt;90,D100,(D100+IF($B$1+2&lt;=$B100,12*($B$7-$B$10),-12*MAX(0,($B$6+$B$10)-IF($B$1+2&gt;=$B$23,$B$22,0))*(1+$B$4)^2))*IF(D100+IF($B$1+2&lt;=$B100,12*($B$7-$B$10),-12*MAX(0,($B$6+$B$10)-IF($B$1+2&gt;=$B$23,$B$22,0))*(1+$B$4)^2)&gt;0,1+$B$3,1))</f>
        <v/>
      </c>
      <c r="F100">
        <f>IF($B$1+3&gt;90,E100,(E100+IF($B$1+3&lt;=$B100,12*($B$7-$B$10),-12*MAX(0,($B$6+$B$10)-IF($B$1+3&gt;=$B$23,$B$22,0))*(1+$B$4)^3))*IF(E100+IF($B$1+3&lt;=$B100,12*($B$7-$B$10),-12*MAX(0,($B$6+$B$10)-IF($B$1+3&gt;=$B$23,$B$22,0))*(1+$B$4)^3)&gt;0,1+$B$3,1))</f>
        <v/>
      </c>
      <c r="G100">
        <f>IF($B$1+4&gt;90,F100,(F100+IF($B$1+4&lt;=$B100,12*($B$7-$B$10),-12*MAX(0,($B$6+$B$10)-IF($B$1+4&gt;=$B$23,$B$22,0))*(1+$B$4)^4))*IF(F100+IF($B$1+4&lt;=$B100,12*($B$7-$B$10),-12*MAX(0,($B$6+$B$10)-IF($B$1+4&gt;=$B$23,$B$22,0))*(1+$B$4)^4)&gt;0,1+$B$3,1))</f>
        <v/>
      </c>
      <c r="H100">
        <f>IF($B$1+5&gt;90,G100,(G100+IF($B$1+5&lt;=$B100,12*($B$7-$B$10),-12*MAX(0,($B$6+$B$10)-IF($B$1+5&gt;=$B$23,$B$22,0))*(1+$B$4)^5))*IF(G100+IF($B$1+5&lt;=$B100,12*($B$7-$B$10),-12*MAX(0,($B$6+$B$10)-IF($B$1+5&gt;=$B$23,$B$22,0))*(1+$B$4)^5)&gt;0,1+$B$3,1))</f>
        <v/>
      </c>
      <c r="I100">
        <f>IF($B$1+6&gt;90,H100,(H100+IF($B$1+6&lt;=$B100,12*($B$7-$B$10),-12*MAX(0,($B$6+$B$10)-IF($B$1+6&gt;=$B$23,$B$22,0))*(1+$B$4)^6))*IF(H100+IF($B$1+6&lt;=$B100,12*($B$7-$B$10),-12*MAX(0,($B$6+$B$10)-IF($B$1+6&gt;=$B$23,$B$22,0))*(1+$B$4)^6)&gt;0,1+$B$3,1))</f>
        <v/>
      </c>
      <c r="J100">
        <f>IF($B$1+7&gt;90,I100,(I100+IF($B$1+7&lt;=$B100,12*($B$7-$B$10),-12*MAX(0,($B$6+$B$10)-IF($B$1+7&gt;=$B$23,$B$22,0))*(1+$B$4)^7))*IF(I100+IF($B$1+7&lt;=$B100,12*($B$7-$B$10),-12*MAX(0,($B$6+$B$10)-IF($B$1+7&gt;=$B$23,$B$22,0))*(1+$B$4)^7)&gt;0,1+$B$3,1))</f>
        <v/>
      </c>
      <c r="K100">
        <f>IF($B$1+8&gt;90,J100,(J100+IF($B$1+8&lt;=$B100,12*($B$7-$B$10),-12*MAX(0,($B$6+$B$10)-IF($B$1+8&gt;=$B$23,$B$22,0))*(1+$B$4)^8))*IF(J100+IF($B$1+8&lt;=$B100,12*($B$7-$B$10),-12*MAX(0,($B$6+$B$10)-IF($B$1+8&gt;=$B$23,$B$22,0))*(1+$B$4)^8)&gt;0,1+$B$3,1))</f>
        <v/>
      </c>
      <c r="L100">
        <f>IF($B$1+9&gt;90,K100,(K100+IF($B$1+9&lt;=$B100,12*($B$7-$B$10),-12*MAX(0,($B$6+$B$10)-IF($B$1+9&gt;=$B$23,$B$22,0))*(1+$B$4)^9))*IF(K100+IF($B$1+9&lt;=$B100,12*($B$7-$B$10),-12*MAX(0,($B$6+$B$10)-IF($B$1+9&gt;=$B$23,$B$22,0))*(1+$B$4)^9)&gt;0,1+$B$3,1))</f>
        <v/>
      </c>
      <c r="M100">
        <f>IF($B$1+10&gt;90,L100,(L100+IF($B$1+10&lt;=$B100,12*($B$7-$B$10),-12*MAX(0,($B$6+$B$10)-IF($B$1+10&gt;=$B$23,$B$22,0))*(1+$B$4)^10))*IF(L100+IF($B$1+10&lt;=$B100,12*($B$7-$B$10),-12*MAX(0,($B$6+$B$10)-IF($B$1+10&gt;=$B$23,$B$22,0))*(1+$B$4)^10)&gt;0,1+$B$3,1))</f>
        <v/>
      </c>
      <c r="N100">
        <f>IF($B$1+11&gt;90,M100,(M100+IF($B$1+11&lt;=$B100,12*($B$7-$B$10),-12*MAX(0,($B$6+$B$10)-IF($B$1+11&gt;=$B$23,$B$22,0))*(1+$B$4)^11))*IF(M100+IF($B$1+11&lt;=$B100,12*($B$7-$B$10),-12*MAX(0,($B$6+$B$10)-IF($B$1+11&gt;=$B$23,$B$22,0))*(1+$B$4)^11)&gt;0,1+$B$3,1))</f>
        <v/>
      </c>
      <c r="O100">
        <f>IF($B$1+12&gt;90,N100,(N100+IF($B$1+12&lt;=$B100,12*($B$7-$B$10),-12*MAX(0,($B$6+$B$10)-IF($B$1+12&gt;=$B$23,$B$22,0))*(1+$B$4)^12))*IF(N100+IF($B$1+12&lt;=$B100,12*($B$7-$B$10),-12*MAX(0,($B$6+$B$10)-IF($B$1+12&gt;=$B$23,$B$22,0))*(1+$B$4)^12)&gt;0,1+$B$3,1))</f>
        <v/>
      </c>
      <c r="P100">
        <f>IF($B$1+13&gt;90,O100,(O100+IF($B$1+13&lt;=$B100,12*($B$7-$B$10),-12*MAX(0,($B$6+$B$10)-IF($B$1+13&gt;=$B$23,$B$22,0))*(1+$B$4)^13))*IF(O100+IF($B$1+13&lt;=$B100,12*($B$7-$B$10),-12*MAX(0,($B$6+$B$10)-IF($B$1+13&gt;=$B$23,$B$22,0))*(1+$B$4)^13)&gt;0,1+$B$3,1))</f>
        <v/>
      </c>
      <c r="Q100">
        <f>IF($B$1+14&gt;90,P100,(P100+IF($B$1+14&lt;=$B100,12*($B$7-$B$10),-12*MAX(0,($B$6+$B$10)-IF($B$1+14&gt;=$B$23,$B$22,0))*(1+$B$4)^14))*IF(P100+IF($B$1+14&lt;=$B100,12*($B$7-$B$10),-12*MAX(0,($B$6+$B$10)-IF($B$1+14&gt;=$B$23,$B$22,0))*(1+$B$4)^14)&gt;0,1+$B$3,1))</f>
        <v/>
      </c>
      <c r="R100">
        <f>IF($B$1+15&gt;90,Q100,(Q100+IF($B$1+15&lt;=$B100,12*($B$7-$B$10),-12*MAX(0,($B$6+$B$10)-IF($B$1+15&gt;=$B$23,$B$22,0))*(1+$B$4)^15))*IF(Q100+IF($B$1+15&lt;=$B100,12*($B$7-$B$10),-12*MAX(0,($B$6+$B$10)-IF($B$1+15&gt;=$B$23,$B$22,0))*(1+$B$4)^15)&gt;0,1+$B$3,1))</f>
        <v/>
      </c>
      <c r="S100">
        <f>IF($B$1+16&gt;90,R100,(R100+IF($B$1+16&lt;=$B100,12*($B$7-$B$10),-12*MAX(0,($B$6+$B$10)-IF($B$1+16&gt;=$B$23,$B$22,0))*(1+$B$4)^16))*IF(R100+IF($B$1+16&lt;=$B100,12*($B$7-$B$10),-12*MAX(0,($B$6+$B$10)-IF($B$1+16&gt;=$B$23,$B$22,0))*(1+$B$4)^16)&gt;0,1+$B$3,1))</f>
        <v/>
      </c>
      <c r="T100">
        <f>IF($B$1+17&gt;90,S100,(S100+IF($B$1+17&lt;=$B100,12*($B$7-$B$10),-12*MAX(0,($B$6+$B$10)-IF($B$1+17&gt;=$B$23,$B$22,0))*(1+$B$4)^17))*IF(S100+IF($B$1+17&lt;=$B100,12*($B$7-$B$10),-12*MAX(0,($B$6+$B$10)-IF($B$1+17&gt;=$B$23,$B$22,0))*(1+$B$4)^17)&gt;0,1+$B$3,1))</f>
        <v/>
      </c>
      <c r="U100">
        <f>IF($B$1+18&gt;90,T100,(T100+IF($B$1+18&lt;=$B100,12*($B$7-$B$10),-12*MAX(0,($B$6+$B$10)-IF($B$1+18&gt;=$B$23,$B$22,0))*(1+$B$4)^18))*IF(T100+IF($B$1+18&lt;=$B100,12*($B$7-$B$10),-12*MAX(0,($B$6+$B$10)-IF($B$1+18&gt;=$B$23,$B$22,0))*(1+$B$4)^18)&gt;0,1+$B$3,1))</f>
        <v/>
      </c>
      <c r="V100">
        <f>IF($B$1+19&gt;90,U100,(U100+IF($B$1+19&lt;=$B100,12*($B$7-$B$10),-12*MAX(0,($B$6+$B$10)-IF($B$1+19&gt;=$B$23,$B$22,0))*(1+$B$4)^19))*IF(U100+IF($B$1+19&lt;=$B100,12*($B$7-$B$10),-12*MAX(0,($B$6+$B$10)-IF($B$1+19&gt;=$B$23,$B$22,0))*(1+$B$4)^19)&gt;0,1+$B$3,1))</f>
        <v/>
      </c>
      <c r="W100">
        <f>IF($B$1+20&gt;90,V100,(V100+IF($B$1+20&lt;=$B100,12*($B$7-$B$10),-12*MAX(0,($B$6+$B$10)-IF($B$1+20&gt;=$B$23,$B$22,0))*(1+$B$4)^20))*IF(V100+IF($B$1+20&lt;=$B100,12*($B$7-$B$10),-12*MAX(0,($B$6+$B$10)-IF($B$1+20&gt;=$B$23,$B$22,0))*(1+$B$4)^20)&gt;0,1+$B$3,1))</f>
        <v/>
      </c>
      <c r="X100">
        <f>IF($B$1+21&gt;90,W100,(W100+IF($B$1+21&lt;=$B100,12*($B$7-$B$10),-12*MAX(0,($B$6+$B$10)-IF($B$1+21&gt;=$B$23,$B$22,0))*(1+$B$4)^21))*IF(W100+IF($B$1+21&lt;=$B100,12*($B$7-$B$10),-12*MAX(0,($B$6+$B$10)-IF($B$1+21&gt;=$B$23,$B$22,0))*(1+$B$4)^21)&gt;0,1+$B$3,1))</f>
        <v/>
      </c>
      <c r="Y100">
        <f>IF($B$1+22&gt;90,X100,(X100+IF($B$1+22&lt;=$B100,12*($B$7-$B$10),-12*MAX(0,($B$6+$B$10)-IF($B$1+22&gt;=$B$23,$B$22,0))*(1+$B$4)^22))*IF(X100+IF($B$1+22&lt;=$B100,12*($B$7-$B$10),-12*MAX(0,($B$6+$B$10)-IF($B$1+22&gt;=$B$23,$B$22,0))*(1+$B$4)^22)&gt;0,1+$B$3,1))</f>
        <v/>
      </c>
      <c r="Z100">
        <f>IF($B$1+23&gt;90,Y100,(Y100+IF($B$1+23&lt;=$B100,12*($B$7-$B$10),-12*MAX(0,($B$6+$B$10)-IF($B$1+23&gt;=$B$23,$B$22,0))*(1+$B$4)^23))*IF(Y100+IF($B$1+23&lt;=$B100,12*($B$7-$B$10),-12*MAX(0,($B$6+$B$10)-IF($B$1+23&gt;=$B$23,$B$22,0))*(1+$B$4)^23)&gt;0,1+$B$3,1))</f>
        <v/>
      </c>
      <c r="AA100">
        <f>IF($B$1+24&gt;90,Z100,(Z100+IF($B$1+24&lt;=$B100,12*($B$7-$B$10),-12*MAX(0,($B$6+$B$10)-IF($B$1+24&gt;=$B$23,$B$22,0))*(1+$B$4)^24))*IF(Z100+IF($B$1+24&lt;=$B100,12*($B$7-$B$10),-12*MAX(0,($B$6+$B$10)-IF($B$1+24&gt;=$B$23,$B$22,0))*(1+$B$4)^24)&gt;0,1+$B$3,1))</f>
        <v/>
      </c>
      <c r="AB100">
        <f>IF($B$1+25&gt;90,AA100,(AA100+IF($B$1+25&lt;=$B100,12*($B$7-$B$10),-12*MAX(0,($B$6+$B$10)-IF($B$1+25&gt;=$B$23,$B$22,0))*(1+$B$4)^25))*IF(AA100+IF($B$1+25&lt;=$B100,12*($B$7-$B$10),-12*MAX(0,($B$6+$B$10)-IF($B$1+25&gt;=$B$23,$B$22,0))*(1+$B$4)^25)&gt;0,1+$B$3,1))</f>
        <v/>
      </c>
      <c r="AC100">
        <f>IF($B$1+26&gt;90,AB100,(AB100+IF($B$1+26&lt;=$B100,12*($B$7-$B$10),-12*MAX(0,($B$6+$B$10)-IF($B$1+26&gt;=$B$23,$B$22,0))*(1+$B$4)^26))*IF(AB100+IF($B$1+26&lt;=$B100,12*($B$7-$B$10),-12*MAX(0,($B$6+$B$10)-IF($B$1+26&gt;=$B$23,$B$22,0))*(1+$B$4)^26)&gt;0,1+$B$3,1))</f>
        <v/>
      </c>
      <c r="AD100">
        <f>IF($B$1+27&gt;90,AC100,(AC100+IF($B$1+27&lt;=$B100,12*($B$7-$B$10),-12*MAX(0,($B$6+$B$10)-IF($B$1+27&gt;=$B$23,$B$22,0))*(1+$B$4)^27))*IF(AC100+IF($B$1+27&lt;=$B100,12*($B$7-$B$10),-12*MAX(0,($B$6+$B$10)-IF($B$1+27&gt;=$B$23,$B$22,0))*(1+$B$4)^27)&gt;0,1+$B$3,1))</f>
        <v/>
      </c>
      <c r="AE100">
        <f>IF($B$1+28&gt;90,AD100,(AD100+IF($B$1+28&lt;=$B100,12*($B$7-$B$10),-12*MAX(0,($B$6+$B$10)-IF($B$1+28&gt;=$B$23,$B$22,0))*(1+$B$4)^28))*IF(AD100+IF($B$1+28&lt;=$B100,12*($B$7-$B$10),-12*MAX(0,($B$6+$B$10)-IF($B$1+28&gt;=$B$23,$B$22,0))*(1+$B$4)^28)&gt;0,1+$B$3,1))</f>
        <v/>
      </c>
      <c r="AF100">
        <f>IF($B$1+29&gt;90,AE100,(AE100+IF($B$1+29&lt;=$B100,12*($B$7-$B$10),-12*MAX(0,($B$6+$B$10)-IF($B$1+29&gt;=$B$23,$B$22,0))*(1+$B$4)^29))*IF(AE100+IF($B$1+29&lt;=$B100,12*($B$7-$B$10),-12*MAX(0,($B$6+$B$10)-IF($B$1+29&gt;=$B$23,$B$22,0))*(1+$B$4)^29)&gt;0,1+$B$3,1))</f>
        <v/>
      </c>
      <c r="AG100">
        <f>IF($B$1+30&gt;90,AF100,(AF100+IF($B$1+30&lt;=$B100,12*($B$7-$B$10),-12*MAX(0,($B$6+$B$10)-IF($B$1+30&gt;=$B$23,$B$22,0))*(1+$B$4)^30))*IF(AF100+IF($B$1+30&lt;=$B100,12*($B$7-$B$10),-12*MAX(0,($B$6+$B$10)-IF($B$1+30&gt;=$B$23,$B$22,0))*(1+$B$4)^30)&gt;0,1+$B$3,1))</f>
        <v/>
      </c>
      <c r="AH100">
        <f>IF($B$1+31&gt;90,AG100,(AG100+IF($B$1+31&lt;=$B100,12*($B$7-$B$10),-12*MAX(0,($B$6+$B$10)-IF($B$1+31&gt;=$B$23,$B$22,0))*(1+$B$4)^31))*IF(AG100+IF($B$1+31&lt;=$B100,12*($B$7-$B$10),-12*MAX(0,($B$6+$B$10)-IF($B$1+31&gt;=$B$23,$B$22,0))*(1+$B$4)^31)&gt;0,1+$B$3,1))</f>
        <v/>
      </c>
      <c r="AI100">
        <f>IF($B$1+32&gt;90,AH100,(AH100+IF($B$1+32&lt;=$B100,12*($B$7-$B$10),-12*MAX(0,($B$6+$B$10)-IF($B$1+32&gt;=$B$23,$B$22,0))*(1+$B$4)^32))*IF(AH100+IF($B$1+32&lt;=$B100,12*($B$7-$B$10),-12*MAX(0,($B$6+$B$10)-IF($B$1+32&gt;=$B$23,$B$22,0))*(1+$B$4)^32)&gt;0,1+$B$3,1))</f>
        <v/>
      </c>
      <c r="AJ100">
        <f>IF($B$1+33&gt;90,AI100,(AI100+IF($B$1+33&lt;=$B100,12*($B$7-$B$10),-12*MAX(0,($B$6+$B$10)-IF($B$1+33&gt;=$B$23,$B$22,0))*(1+$B$4)^33))*IF(AI100+IF($B$1+33&lt;=$B100,12*($B$7-$B$10),-12*MAX(0,($B$6+$B$10)-IF($B$1+33&gt;=$B$23,$B$22,0))*(1+$B$4)^33)&gt;0,1+$B$3,1))</f>
        <v/>
      </c>
      <c r="AK100">
        <f>IF($B$1+34&gt;90,AJ100,(AJ100+IF($B$1+34&lt;=$B100,12*($B$7-$B$10),-12*MAX(0,($B$6+$B$10)-IF($B$1+34&gt;=$B$23,$B$22,0))*(1+$B$4)^34))*IF(AJ100+IF($B$1+34&lt;=$B100,12*($B$7-$B$10),-12*MAX(0,($B$6+$B$10)-IF($B$1+34&gt;=$B$23,$B$22,0))*(1+$B$4)^34)&gt;0,1+$B$3,1))</f>
        <v/>
      </c>
      <c r="AL100">
        <f>IF($B$1+35&gt;90,AK100,(AK100+IF($B$1+35&lt;=$B100,12*($B$7-$B$10),-12*MAX(0,($B$6+$B$10)-IF($B$1+35&gt;=$B$23,$B$22,0))*(1+$B$4)^35))*IF(AK100+IF($B$1+35&lt;=$B100,12*($B$7-$B$10),-12*MAX(0,($B$6+$B$10)-IF($B$1+35&gt;=$B$23,$B$22,0))*(1+$B$4)^35)&gt;0,1+$B$3,1))</f>
        <v/>
      </c>
      <c r="AM100">
        <f>IF($B$1+36&gt;90,AL100,(AL100+IF($B$1+36&lt;=$B100,12*($B$7-$B$10),-12*MAX(0,($B$6+$B$10)-IF($B$1+36&gt;=$B$23,$B$22,0))*(1+$B$4)^36))*IF(AL100+IF($B$1+36&lt;=$B100,12*($B$7-$B$10),-12*MAX(0,($B$6+$B$10)-IF($B$1+36&gt;=$B$23,$B$22,0))*(1+$B$4)^36)&gt;0,1+$B$3,1))</f>
        <v/>
      </c>
      <c r="AN100">
        <f>IF($B$1+37&gt;90,AM100,(AM100+IF($B$1+37&lt;=$B100,12*($B$7-$B$10),-12*MAX(0,($B$6+$B$10)-IF($B$1+37&gt;=$B$23,$B$22,0))*(1+$B$4)^37))*IF(AM100+IF($B$1+37&lt;=$B100,12*($B$7-$B$10),-12*MAX(0,($B$6+$B$10)-IF($B$1+37&gt;=$B$23,$B$22,0))*(1+$B$4)^37)&gt;0,1+$B$3,1))</f>
        <v/>
      </c>
      <c r="AO100">
        <f>IF($B$1+38&gt;90,AN100,(AN100+IF($B$1+38&lt;=$B100,12*($B$7-$B$10),-12*MAX(0,($B$6+$B$10)-IF($B$1+38&gt;=$B$23,$B$22,0))*(1+$B$4)^38))*IF(AN100+IF($B$1+38&lt;=$B100,12*($B$7-$B$10),-12*MAX(0,($B$6+$B$10)-IF($B$1+38&gt;=$B$23,$B$22,0))*(1+$B$4)^38)&gt;0,1+$B$3,1))</f>
        <v/>
      </c>
      <c r="AP100">
        <f>IF($B$1+39&gt;90,AO100,(AO100+IF($B$1+39&lt;=$B100,12*($B$7-$B$10),-12*MAX(0,($B$6+$B$10)-IF($B$1+39&gt;=$B$23,$B$22,0))*(1+$B$4)^39))*IF(AO100+IF($B$1+39&lt;=$B100,12*($B$7-$B$10),-12*MAX(0,($B$6+$B$10)-IF($B$1+39&gt;=$B$23,$B$22,0))*(1+$B$4)^39)&gt;0,1+$B$3,1))</f>
        <v/>
      </c>
      <c r="AQ100">
        <f>IF($B$1+40&gt;90,AP100,(AP100+IF($B$1+40&lt;=$B100,12*($B$7-$B$10),-12*MAX(0,($B$6+$B$10)-IF($B$1+40&gt;=$B$23,$B$22,0))*(1+$B$4)^40))*IF(AP100+IF($B$1+40&lt;=$B100,12*($B$7-$B$10),-12*MAX(0,($B$6+$B$10)-IF($B$1+40&gt;=$B$23,$B$22,0))*(1+$B$4)^40)&gt;0,1+$B$3,1))</f>
        <v/>
      </c>
      <c r="AR100">
        <f>IF($B$1+41&gt;90,AQ100,(AQ100+IF($B$1+41&lt;=$B100,12*($B$7-$B$10),-12*MAX(0,($B$6+$B$10)-IF($B$1+41&gt;=$B$23,$B$22,0))*(1+$B$4)^41))*IF(AQ100+IF($B$1+41&lt;=$B100,12*($B$7-$B$10),-12*MAX(0,($B$6+$B$10)-IF($B$1+41&gt;=$B$23,$B$22,0))*(1+$B$4)^41)&gt;0,1+$B$3,1))</f>
        <v/>
      </c>
      <c r="AS100">
        <f>IF($B$1+42&gt;90,AR100,(AR100+IF($B$1+42&lt;=$B100,12*($B$7-$B$10),-12*MAX(0,($B$6+$B$10)-IF($B$1+42&gt;=$B$23,$B$22,0))*(1+$B$4)^42))*IF(AR100+IF($B$1+42&lt;=$B100,12*($B$7-$B$10),-12*MAX(0,($B$6+$B$10)-IF($B$1+42&gt;=$B$23,$B$22,0))*(1+$B$4)^42)&gt;0,1+$B$3,1))</f>
        <v/>
      </c>
      <c r="AT100">
        <f>IF($B$1+43&gt;90,AS100,(AS100+IF($B$1+43&lt;=$B100,12*($B$7-$B$10),-12*MAX(0,($B$6+$B$10)-IF($B$1+43&gt;=$B$23,$B$22,0))*(1+$B$4)^43))*IF(AS100+IF($B$1+43&lt;=$B100,12*($B$7-$B$10),-12*MAX(0,($B$6+$B$10)-IF($B$1+43&gt;=$B$23,$B$22,0))*(1+$B$4)^43)&gt;0,1+$B$3,1))</f>
        <v/>
      </c>
      <c r="AU100">
        <f>IF($B$1+44&gt;90,AT100,(AT100+IF($B$1+44&lt;=$B100,12*($B$7-$B$10),-12*MAX(0,($B$6+$B$10)-IF($B$1+44&gt;=$B$23,$B$22,0))*(1+$B$4)^44))*IF(AT100+IF($B$1+44&lt;=$B100,12*($B$7-$B$10),-12*MAX(0,($B$6+$B$10)-IF($B$1+44&gt;=$B$23,$B$22,0))*(1+$B$4)^44)&gt;0,1+$B$3,1))</f>
        <v/>
      </c>
      <c r="AV100">
        <f>IF($B$1+45&gt;90,AU100,(AU100+IF($B$1+45&lt;=$B100,12*($B$7-$B$10),-12*MAX(0,($B$6+$B$10)-IF($B$1+45&gt;=$B$23,$B$22,0))*(1+$B$4)^45))*IF(AU100+IF($B$1+45&lt;=$B100,12*($B$7-$B$10),-12*MAX(0,($B$6+$B$10)-IF($B$1+45&gt;=$B$23,$B$22,0))*(1+$B$4)^45)&gt;0,1+$B$3,1))</f>
        <v/>
      </c>
      <c r="AW100">
        <f>IF($B$1+46&gt;90,AV100,(AV100+IF($B$1+46&lt;=$B100,12*($B$7-$B$10),-12*MAX(0,($B$6+$B$10)-IF($B$1+46&gt;=$B$23,$B$22,0))*(1+$B$4)^46))*IF(AV100+IF($B$1+46&lt;=$B100,12*($B$7-$B$10),-12*MAX(0,($B$6+$B$10)-IF($B$1+46&gt;=$B$23,$B$22,0))*(1+$B$4)^46)&gt;0,1+$B$3,1))</f>
        <v/>
      </c>
      <c r="AX100">
        <f>IF($B$1+47&gt;90,AW100,(AW100+IF($B$1+47&lt;=$B100,12*($B$7-$B$10),-12*MAX(0,($B$6+$B$10)-IF($B$1+47&gt;=$B$23,$B$22,0))*(1+$B$4)^47))*IF(AW100+IF($B$1+47&lt;=$B100,12*($B$7-$B$10),-12*MAX(0,($B$6+$B$10)-IF($B$1+47&gt;=$B$23,$B$22,0))*(1+$B$4)^47)&gt;0,1+$B$3,1))</f>
        <v/>
      </c>
      <c r="AY100">
        <f>IF($B$1+48&gt;90,AX100,(AX100+IF($B$1+48&lt;=$B100,12*($B$7-$B$10),-12*MAX(0,($B$6+$B$10)-IF($B$1+48&gt;=$B$23,$B$22,0))*(1+$B$4)^48))*IF(AX100+IF($B$1+48&lt;=$B100,12*($B$7-$B$10),-12*MAX(0,($B$6+$B$10)-IF($B$1+48&gt;=$B$23,$B$22,0))*(1+$B$4)^48)&gt;0,1+$B$3,1))</f>
        <v/>
      </c>
      <c r="AZ100">
        <f>IF($B$1+49&gt;90,AY100,(AY100+IF($B$1+49&lt;=$B100,12*($B$7-$B$10),-12*MAX(0,($B$6+$B$10)-IF($B$1+49&gt;=$B$23,$B$22,0))*(1+$B$4)^49))*IF(AY100+IF($B$1+49&lt;=$B100,12*($B$7-$B$10),-12*MAX(0,($B$6+$B$10)-IF($B$1+49&gt;=$B$23,$B$22,0))*(1+$B$4)^49)&gt;0,1+$B$3,1))</f>
        <v/>
      </c>
      <c r="BA100">
        <f>IF($B$1+50&gt;90,AZ100,(AZ100+IF($B$1+50&lt;=$B100,12*($B$7-$B$10),-12*MAX(0,($B$6+$B$10)-IF($B$1+50&gt;=$B$23,$B$22,0))*(1+$B$4)^50))*IF(AZ100+IF($B$1+50&lt;=$B100,12*($B$7-$B$10),-12*MAX(0,($B$6+$B$10)-IF($B$1+50&gt;=$B$23,$B$22,0))*(1+$B$4)^50)&gt;0,1+$B$3,1))</f>
        <v/>
      </c>
      <c r="BB100">
        <f>IF($B$1+51&gt;90,BA100,(BA100+IF($B$1+51&lt;=$B100,12*($B$7-$B$10),-12*MAX(0,($B$6+$B$10)-IF($B$1+51&gt;=$B$23,$B$22,0))*(1+$B$4)^51))*IF(BA100+IF($B$1+51&lt;=$B100,12*($B$7-$B$10),-12*MAX(0,($B$6+$B$10)-IF($B$1+51&gt;=$B$23,$B$22,0))*(1+$B$4)^51)&gt;0,1+$B$3,1))</f>
        <v/>
      </c>
      <c r="BC100">
        <f>IF($B$1+52&gt;90,BB100,(BB100+IF($B$1+52&lt;=$B100,12*($B$7-$B$10),-12*MAX(0,($B$6+$B$10)-IF($B$1+52&gt;=$B$23,$B$22,0))*(1+$B$4)^52))*IF(BB100+IF($B$1+52&lt;=$B100,12*($B$7-$B$10),-12*MAX(0,($B$6+$B$10)-IF($B$1+52&gt;=$B$23,$B$22,0))*(1+$B$4)^52)&gt;0,1+$B$3,1))</f>
        <v/>
      </c>
      <c r="BD100">
        <f>IF($B$1+53&gt;90,BC100,(BC100+IF($B$1+53&lt;=$B100,12*($B$7-$B$10),-12*MAX(0,($B$6+$B$10)-IF($B$1+53&gt;=$B$23,$B$22,0))*(1+$B$4)^53))*IF(BC100+IF($B$1+53&lt;=$B100,12*($B$7-$B$10),-12*MAX(0,($B$6+$B$10)-IF($B$1+53&gt;=$B$23,$B$22,0))*(1+$B$4)^53)&gt;0,1+$B$3,1))</f>
        <v/>
      </c>
      <c r="BE100">
        <f>IF($B$1+54&gt;90,BD100,(BD100+IF($B$1+54&lt;=$B100,12*($B$7-$B$10),-12*MAX(0,($B$6+$B$10)-IF($B$1+54&gt;=$B$23,$B$22,0))*(1+$B$4)^54))*IF(BD100+IF($B$1+54&lt;=$B100,12*($B$7-$B$10),-12*MAX(0,($B$6+$B$10)-IF($B$1+54&gt;=$B$23,$B$22,0))*(1+$B$4)^54)&gt;0,1+$B$3,1))</f>
        <v/>
      </c>
      <c r="BF100">
        <f>IF($B$1+55&gt;90,BE100,(BE100+IF($B$1+55&lt;=$B100,12*($B$7-$B$10),-12*MAX(0,($B$6+$B$10)-IF($B$1+55&gt;=$B$23,$B$22,0))*(1+$B$4)^55))*IF(BE100+IF($B$1+55&lt;=$B100,12*($B$7-$B$10),-12*MAX(0,($B$6+$B$10)-IF($B$1+55&gt;=$B$23,$B$22,0))*(1+$B$4)^55)&gt;0,1+$B$3,1))</f>
        <v/>
      </c>
      <c r="BG100">
        <f>IF($B$1+56&gt;90,BF100,(BF100+IF($B$1+56&lt;=$B100,12*($B$7-$B$10),-12*MAX(0,($B$6+$B$10)-IF($B$1+56&gt;=$B$23,$B$22,0))*(1+$B$4)^56))*IF(BF100+IF($B$1+56&lt;=$B100,12*($B$7-$B$10),-12*MAX(0,($B$6+$B$10)-IF($B$1+56&gt;=$B$23,$B$22,0))*(1+$B$4)^56)&gt;0,1+$B$3,1))</f>
        <v/>
      </c>
      <c r="BH100">
        <f>IF($B$1+57&gt;90,BG100,(BG100+IF($B$1+57&lt;=$B100,12*($B$7-$B$10),-12*MAX(0,($B$6+$B$10)-IF($B$1+57&gt;=$B$23,$B$22,0))*(1+$B$4)^57))*IF(BG100+IF($B$1+57&lt;=$B100,12*($B$7-$B$10),-12*MAX(0,($B$6+$B$10)-IF($B$1+57&gt;=$B$23,$B$22,0))*(1+$B$4)^57)&gt;0,1+$B$3,1))</f>
        <v/>
      </c>
      <c r="BI100">
        <f>IF($B$1+58&gt;90,BH100,(BH100+IF($B$1+58&lt;=$B100,12*($B$7-$B$10),-12*MAX(0,($B$6+$B$10)-IF($B$1+58&gt;=$B$23,$B$22,0))*(1+$B$4)^58))*IF(BH100+IF($B$1+58&lt;=$B100,12*($B$7-$B$10),-12*MAX(0,($B$6+$B$10)-IF($B$1+58&gt;=$B$23,$B$22,0))*(1+$B$4)^58)&gt;0,1+$B$3,1))</f>
        <v/>
      </c>
      <c r="BJ100">
        <f>IF($B$1+59&gt;90,BI100,(BI100+IF($B$1+59&lt;=$B100,12*($B$7-$B$10),-12*MAX(0,($B$6+$B$10)-IF($B$1+59&gt;=$B$23,$B$22,0))*(1+$B$4)^59))*IF(BI100+IF($B$1+59&lt;=$B100,12*($B$7-$B$10),-12*MAX(0,($B$6+$B$10)-IF($B$1+59&gt;=$B$23,$B$22,0))*(1+$B$4)^59)&gt;0,1+$B$3,1))</f>
        <v/>
      </c>
      <c r="BK100">
        <f>IF($B$1+60&gt;90,BJ100,(BJ100+IF($B$1+60&lt;=$B100,12*($B$7-$B$10),-12*MAX(0,($B$6+$B$10)-IF($B$1+60&gt;=$B$23,$B$22,0))*(1+$B$4)^60))*IF(BJ100+IF($B$1+60&lt;=$B100,12*($B$7-$B$10),-12*MAX(0,($B$6+$B$10)-IF($B$1+60&gt;=$B$23,$B$22,0))*(1+$B$4)^60)&gt;0,1+$B$3,1))</f>
        <v/>
      </c>
      <c r="BL100">
        <f>IF($B$1+61&gt;90,BK100,(BK100+IF($B$1+61&lt;=$B100,12*($B$7-$B$10),-12*MAX(0,($B$6+$B$10)-IF($B$1+61&gt;=$B$23,$B$22,0))*(1+$B$4)^61))*IF(BK100+IF($B$1+61&lt;=$B100,12*($B$7-$B$10),-12*MAX(0,($B$6+$B$10)-IF($B$1+61&gt;=$B$23,$B$22,0))*(1+$B$4)^61)&gt;0,1+$B$3,1))</f>
        <v/>
      </c>
      <c r="BM100">
        <f>IF($B$1+62&gt;90,BL100,(BL100+IF($B$1+62&lt;=$B100,12*($B$7-$B$10),-12*MAX(0,($B$6+$B$10)-IF($B$1+62&gt;=$B$23,$B$22,0))*(1+$B$4)^62))*IF(BL100+IF($B$1+62&lt;=$B100,12*($B$7-$B$10),-12*MAX(0,($B$6+$B$10)-IF($B$1+62&gt;=$B$23,$B$22,0))*(1+$B$4)^62)&gt;0,1+$B$3,1))</f>
        <v/>
      </c>
      <c r="BN100">
        <f>IF($B$1+63&gt;90,BM100,(BM100+IF($B$1+63&lt;=$B100,12*($B$7-$B$10),-12*MAX(0,($B$6+$B$10)-IF($B$1+63&gt;=$B$23,$B$22,0))*(1+$B$4)^63))*IF(BM100+IF($B$1+63&lt;=$B100,12*($B$7-$B$10),-12*MAX(0,($B$6+$B$10)-IF($B$1+63&gt;=$B$23,$B$22,0))*(1+$B$4)^63)&gt;0,1+$B$3,1))</f>
        <v/>
      </c>
      <c r="BO100">
        <f>IF($B$1+64&gt;90,BN100,(BN100+IF($B$1+64&lt;=$B100,12*($B$7-$B$10),-12*MAX(0,($B$6+$B$10)-IF($B$1+64&gt;=$B$23,$B$22,0))*(1+$B$4)^64))*IF(BN100+IF($B$1+64&lt;=$B100,12*($B$7-$B$10),-12*MAX(0,($B$6+$B$10)-IF($B$1+64&gt;=$B$23,$B$22,0))*(1+$B$4)^64)&gt;0,1+$B$3,1))</f>
        <v/>
      </c>
      <c r="BP100">
        <f>IF($B$1+65&gt;90,BO100,(BO100+IF($B$1+65&lt;=$B100,12*($B$7-$B$10),-12*MAX(0,($B$6+$B$10)-IF($B$1+65&gt;=$B$23,$B$22,0))*(1+$B$4)^65))*IF(BO100+IF($B$1+65&lt;=$B100,12*($B$7-$B$10),-12*MAX(0,($B$6+$B$10)-IF($B$1+65&gt;=$B$23,$B$22,0))*(1+$B$4)^65)&gt;0,1+$B$3,1))</f>
        <v/>
      </c>
      <c r="BQ100">
        <f>IF($B$1+66&gt;90,BP100,(BP100+IF($B$1+66&lt;=$B100,12*($B$7-$B$10),-12*MAX(0,($B$6+$B$10)-IF($B$1+66&gt;=$B$23,$B$22,0))*(1+$B$4)^66))*IF(BP100+IF($B$1+66&lt;=$B100,12*($B$7-$B$10),-12*MAX(0,($B$6+$B$10)-IF($B$1+66&gt;=$B$23,$B$22,0))*(1+$B$4)^66)&gt;0,1+$B$3,1))</f>
        <v/>
      </c>
      <c r="BR100">
        <f>IF($B$1+67&gt;90,BQ100,(BQ100+IF($B$1+67&lt;=$B100,12*($B$7-$B$10),-12*MAX(0,($B$6+$B$10)-IF($B$1+67&gt;=$B$23,$B$22,0))*(1+$B$4)^67))*IF(BQ100+IF($B$1+67&lt;=$B100,12*($B$7-$B$10),-12*MAX(0,($B$6+$B$10)-IF($B$1+67&gt;=$B$23,$B$22,0))*(1+$B$4)^67)&gt;0,1+$B$3,1))</f>
        <v/>
      </c>
      <c r="BS100">
        <f>IF($B$1+68&gt;90,BR100,(BR100+IF($B$1+68&lt;=$B100,12*($B$7-$B$10),-12*MAX(0,($B$6+$B$10)-IF($B$1+68&gt;=$B$23,$B$22,0))*(1+$B$4)^68))*IF(BR100+IF($B$1+68&lt;=$B100,12*($B$7-$B$10),-12*MAX(0,($B$6+$B$10)-IF($B$1+68&gt;=$B$23,$B$22,0))*(1+$B$4)^68)&gt;0,1+$B$3,1))</f>
        <v/>
      </c>
      <c r="BT100">
        <f>IF($B$1+69&gt;90,BS100,(BS100+IF($B$1+69&lt;=$B100,12*($B$7-$B$10),-12*MAX(0,($B$6+$B$10)-IF($B$1+69&gt;=$B$23,$B$22,0))*(1+$B$4)^69))*IF(BS100+IF($B$1+69&lt;=$B100,12*($B$7-$B$10),-12*MAX(0,($B$6+$B$10)-IF($B$1+69&gt;=$B$23,$B$22,0))*(1+$B$4)^69)&gt;0,1+$B$3,1))</f>
        <v/>
      </c>
      <c r="BU100">
        <f>IF($B$1+70&gt;90,BT100,(BT100+IF($B$1+70&lt;=$B100,12*($B$7-$B$10),-12*MAX(0,($B$6+$B$10)-IF($B$1+70&gt;=$B$23,$B$22,0))*(1+$B$4)^70))*IF(BT100+IF($B$1+70&lt;=$B100,12*($B$7-$B$10),-12*MAX(0,($B$6+$B$10)-IF($B$1+70&gt;=$B$23,$B$22,0))*(1+$B$4)^70)&gt;0,1+$B$3,1))</f>
        <v/>
      </c>
      <c r="BV100">
        <f>BU100</f>
        <v/>
      </c>
      <c r="BW100">
        <f>IF(AND($B100&lt;=70,BV100&gt;0),$B100,999)</f>
        <v/>
      </c>
      <c r="CH100">
        <f>IF(ISTEXT('월 가계부'!A100),SUBSTITUTE(SUBSTITUTE(SUBSTITUTE(SUBSTITUTE(SUBSTITUTE(SUBSTITUTE(SUBSTITUTE(SUBSTITUTE(SUBSTITUTE(TRIM('월 가계부'!A100),"년","-"),"월","-"),"일",""),".","-"),"/","-")," ","-"),"--","-"),"--","-"),"--","-")&amp;"-","")</f>
        <v/>
      </c>
      <c r="CI100">
        <f>IFERROR(IF('월 가계부'!A100="","",IF(ISNUMBER('월 가계부'!A100),IF(AND('월 가계부'!A100&gt;=19000101,'월 가계부'!A100&lt;=21001231),IF(AND(MOD(INT('월 가계부'!A100/100),100)&gt;=1,MOD(INT('월 가계부'!A100/100),100)&lt;=12,MOD(INT('월 가계부'!A100),100)&gt;=1,MOD(INT('월 가계부'!A100),100)&lt;=31),IF(MONTH(DATE(INT('월 가계부'!A100/10000),MOD(INT('월 가계부'!A100/100),100),MOD(INT('월 가계부'!A100),100)))=MOD(INT('월 가계부'!A100/100),100),DATE(INT('월 가계부'!A100/10000),MOD(INT('월 가계부'!A100/100),100),MOD(INT('월 가계부'!A100),100)),""),""),IF(AND('월 가계부'!A100&gt;=36526,'월 가계부'!A100&lt;73051),INT('월 가계부'!A100),"")),IF(OR(CM100="",CN100="",CO100=""),"",IF(AND(CM100&gt;=2000,CM100&lt;=2099,CN100&gt;=1,CN100&lt;=12,CO100&gt;=1,CO100&lt;=31),IF(MONTH(DATE(CM100,CN100,CO100))=CN100,DATE(CM100,CN100,CO100),""),"")))),"")</f>
        <v/>
      </c>
      <c r="CJ100">
        <f>IFERROR(IF('월 가계부'!C100="","",IF(ISNUMBER('월 가계부'!C100),'월 가계부'!C100,VALUE(SUBSTITUTE(SUBSTITUTE(SUBSTITUTE(SUBSTITUTE(TRIM('월 가계부'!C100),",",""),"원","")," ",""),"−","-")))),"")</f>
        <v/>
      </c>
      <c r="CK100">
        <f>IF(ISNUMBER(CI100),IF(CI100&lt;$B$13,CI100,""),"")</f>
        <v/>
      </c>
      <c r="CM100">
        <f>IF(CH100="","",IFERROR(IF(IF(AND(LEN(CH100)=9,ISERROR(FIND("-",LEFT(CH100,8))),ISNUMBER(-LEFT(CH100,8))),VALUE(LEFT(CH100,4)),VALUE(LEFT(CH100,FIND("-",CH100)-1)))&lt;100,IF(AND(LEN(CH100)=9,ISERROR(FIND("-",LEFT(CH100,8))),ISNUMBER(-LEFT(CH100,8))),VALUE(LEFT(CH100,4)),VALUE(LEFT(CH100,FIND("-",CH100)-1)))+2000,IF(AND(LEN(CH100)=9,ISERROR(FIND("-",LEFT(CH100,8))),ISNUMBER(-LEFT(CH100,8))),VALUE(LEFT(CH100,4)),VALUE(LEFT(CH100,FIND("-",CH100)-1)))),""))</f>
        <v/>
      </c>
      <c r="CN100">
        <f>IF(CH100="","",IFERROR(IF(AND(LEN(CH100)=9,ISERROR(FIND("-",LEFT(CH100,8))),ISNUMBER(-LEFT(CH100,8))),VALUE(MID(CH100,5,2)),VALUE(MID(CH100,FIND("-",CH100)+1,FIND("-",CH100,FIND("-",CH100)+1)-FIND("-",CH100)-1))),""))</f>
        <v/>
      </c>
      <c r="CO100">
        <f>IF(CH100="","",IFERROR(IF(AND(LEN(CH100)=9,ISERROR(FIND("-",LEFT(CH100,8))),ISNUMBER(-LEFT(CH100,8))),VALUE(MID(CH100,7,2)),VALUE(MID(CH100,FIND("-",CH100,FIND("-",CH100)+1)+1,FIND("-",CH100,FIND("-",CH100,FIND("-",CH100)+1)+1)-FIND("-",CH100,FIND("-",CH100)+1)-1))),""))</f>
        <v/>
      </c>
    </row>
    <row r="101">
      <c r="A101" t="n">
        <v>5</v>
      </c>
      <c r="B101">
        <f>$B$1+5</f>
        <v/>
      </c>
      <c r="C101">
        <f>$B$2</f>
        <v/>
      </c>
      <c r="D101">
        <f>IF($B$1+1&gt;90,C101,(C101+IF($B$1+1&lt;=$B101,12*($B$7-$B$10),-12*MAX(0,($B$6+$B$10)-IF($B$1+1&gt;=$B$23,$B$22,0))*(1+$B$4)^1))*IF(C101+IF($B$1+1&lt;=$B101,12*($B$7-$B$10),-12*MAX(0,($B$6+$B$10)-IF($B$1+1&gt;=$B$23,$B$22,0))*(1+$B$4)^1)&gt;0,1+$B$3,1))</f>
        <v/>
      </c>
      <c r="E101">
        <f>IF($B$1+2&gt;90,D101,(D101+IF($B$1+2&lt;=$B101,12*($B$7-$B$10),-12*MAX(0,($B$6+$B$10)-IF($B$1+2&gt;=$B$23,$B$22,0))*(1+$B$4)^2))*IF(D101+IF($B$1+2&lt;=$B101,12*($B$7-$B$10),-12*MAX(0,($B$6+$B$10)-IF($B$1+2&gt;=$B$23,$B$22,0))*(1+$B$4)^2)&gt;0,1+$B$3,1))</f>
        <v/>
      </c>
      <c r="F101">
        <f>IF($B$1+3&gt;90,E101,(E101+IF($B$1+3&lt;=$B101,12*($B$7-$B$10),-12*MAX(0,($B$6+$B$10)-IF($B$1+3&gt;=$B$23,$B$22,0))*(1+$B$4)^3))*IF(E101+IF($B$1+3&lt;=$B101,12*($B$7-$B$10),-12*MAX(0,($B$6+$B$10)-IF($B$1+3&gt;=$B$23,$B$22,0))*(1+$B$4)^3)&gt;0,1+$B$3,1))</f>
        <v/>
      </c>
      <c r="G101">
        <f>IF($B$1+4&gt;90,F101,(F101+IF($B$1+4&lt;=$B101,12*($B$7-$B$10),-12*MAX(0,($B$6+$B$10)-IF($B$1+4&gt;=$B$23,$B$22,0))*(1+$B$4)^4))*IF(F101+IF($B$1+4&lt;=$B101,12*($B$7-$B$10),-12*MAX(0,($B$6+$B$10)-IF($B$1+4&gt;=$B$23,$B$22,0))*(1+$B$4)^4)&gt;0,1+$B$3,1))</f>
        <v/>
      </c>
      <c r="H101">
        <f>IF($B$1+5&gt;90,G101,(G101+IF($B$1+5&lt;=$B101,12*($B$7-$B$10),-12*MAX(0,($B$6+$B$10)-IF($B$1+5&gt;=$B$23,$B$22,0))*(1+$B$4)^5))*IF(G101+IF($B$1+5&lt;=$B101,12*($B$7-$B$10),-12*MAX(0,($B$6+$B$10)-IF($B$1+5&gt;=$B$23,$B$22,0))*(1+$B$4)^5)&gt;0,1+$B$3,1))</f>
        <v/>
      </c>
      <c r="I101">
        <f>IF($B$1+6&gt;90,H101,(H101+IF($B$1+6&lt;=$B101,12*($B$7-$B$10),-12*MAX(0,($B$6+$B$10)-IF($B$1+6&gt;=$B$23,$B$22,0))*(1+$B$4)^6))*IF(H101+IF($B$1+6&lt;=$B101,12*($B$7-$B$10),-12*MAX(0,($B$6+$B$10)-IF($B$1+6&gt;=$B$23,$B$22,0))*(1+$B$4)^6)&gt;0,1+$B$3,1))</f>
        <v/>
      </c>
      <c r="J101">
        <f>IF($B$1+7&gt;90,I101,(I101+IF($B$1+7&lt;=$B101,12*($B$7-$B$10),-12*MAX(0,($B$6+$B$10)-IF($B$1+7&gt;=$B$23,$B$22,0))*(1+$B$4)^7))*IF(I101+IF($B$1+7&lt;=$B101,12*($B$7-$B$10),-12*MAX(0,($B$6+$B$10)-IF($B$1+7&gt;=$B$23,$B$22,0))*(1+$B$4)^7)&gt;0,1+$B$3,1))</f>
        <v/>
      </c>
      <c r="K101">
        <f>IF($B$1+8&gt;90,J101,(J101+IF($B$1+8&lt;=$B101,12*($B$7-$B$10),-12*MAX(0,($B$6+$B$10)-IF($B$1+8&gt;=$B$23,$B$22,0))*(1+$B$4)^8))*IF(J101+IF($B$1+8&lt;=$B101,12*($B$7-$B$10),-12*MAX(0,($B$6+$B$10)-IF($B$1+8&gt;=$B$23,$B$22,0))*(1+$B$4)^8)&gt;0,1+$B$3,1))</f>
        <v/>
      </c>
      <c r="L101">
        <f>IF($B$1+9&gt;90,K101,(K101+IF($B$1+9&lt;=$B101,12*($B$7-$B$10),-12*MAX(0,($B$6+$B$10)-IF($B$1+9&gt;=$B$23,$B$22,0))*(1+$B$4)^9))*IF(K101+IF($B$1+9&lt;=$B101,12*($B$7-$B$10),-12*MAX(0,($B$6+$B$10)-IF($B$1+9&gt;=$B$23,$B$22,0))*(1+$B$4)^9)&gt;0,1+$B$3,1))</f>
        <v/>
      </c>
      <c r="M101">
        <f>IF($B$1+10&gt;90,L101,(L101+IF($B$1+10&lt;=$B101,12*($B$7-$B$10),-12*MAX(0,($B$6+$B$10)-IF($B$1+10&gt;=$B$23,$B$22,0))*(1+$B$4)^10))*IF(L101+IF($B$1+10&lt;=$B101,12*($B$7-$B$10),-12*MAX(0,($B$6+$B$10)-IF($B$1+10&gt;=$B$23,$B$22,0))*(1+$B$4)^10)&gt;0,1+$B$3,1))</f>
        <v/>
      </c>
      <c r="N101">
        <f>IF($B$1+11&gt;90,M101,(M101+IF($B$1+11&lt;=$B101,12*($B$7-$B$10),-12*MAX(0,($B$6+$B$10)-IF($B$1+11&gt;=$B$23,$B$22,0))*(1+$B$4)^11))*IF(M101+IF($B$1+11&lt;=$B101,12*($B$7-$B$10),-12*MAX(0,($B$6+$B$10)-IF($B$1+11&gt;=$B$23,$B$22,0))*(1+$B$4)^11)&gt;0,1+$B$3,1))</f>
        <v/>
      </c>
      <c r="O101">
        <f>IF($B$1+12&gt;90,N101,(N101+IF($B$1+12&lt;=$B101,12*($B$7-$B$10),-12*MAX(0,($B$6+$B$10)-IF($B$1+12&gt;=$B$23,$B$22,0))*(1+$B$4)^12))*IF(N101+IF($B$1+12&lt;=$B101,12*($B$7-$B$10),-12*MAX(0,($B$6+$B$10)-IF($B$1+12&gt;=$B$23,$B$22,0))*(1+$B$4)^12)&gt;0,1+$B$3,1))</f>
        <v/>
      </c>
      <c r="P101">
        <f>IF($B$1+13&gt;90,O101,(O101+IF($B$1+13&lt;=$B101,12*($B$7-$B$10),-12*MAX(0,($B$6+$B$10)-IF($B$1+13&gt;=$B$23,$B$22,0))*(1+$B$4)^13))*IF(O101+IF($B$1+13&lt;=$B101,12*($B$7-$B$10),-12*MAX(0,($B$6+$B$10)-IF($B$1+13&gt;=$B$23,$B$22,0))*(1+$B$4)^13)&gt;0,1+$B$3,1))</f>
        <v/>
      </c>
      <c r="Q101">
        <f>IF($B$1+14&gt;90,P101,(P101+IF($B$1+14&lt;=$B101,12*($B$7-$B$10),-12*MAX(0,($B$6+$B$10)-IF($B$1+14&gt;=$B$23,$B$22,0))*(1+$B$4)^14))*IF(P101+IF($B$1+14&lt;=$B101,12*($B$7-$B$10),-12*MAX(0,($B$6+$B$10)-IF($B$1+14&gt;=$B$23,$B$22,0))*(1+$B$4)^14)&gt;0,1+$B$3,1))</f>
        <v/>
      </c>
      <c r="R101">
        <f>IF($B$1+15&gt;90,Q101,(Q101+IF($B$1+15&lt;=$B101,12*($B$7-$B$10),-12*MAX(0,($B$6+$B$10)-IF($B$1+15&gt;=$B$23,$B$22,0))*(1+$B$4)^15))*IF(Q101+IF($B$1+15&lt;=$B101,12*($B$7-$B$10),-12*MAX(0,($B$6+$B$10)-IF($B$1+15&gt;=$B$23,$B$22,0))*(1+$B$4)^15)&gt;0,1+$B$3,1))</f>
        <v/>
      </c>
      <c r="S101">
        <f>IF($B$1+16&gt;90,R101,(R101+IF($B$1+16&lt;=$B101,12*($B$7-$B$10),-12*MAX(0,($B$6+$B$10)-IF($B$1+16&gt;=$B$23,$B$22,0))*(1+$B$4)^16))*IF(R101+IF($B$1+16&lt;=$B101,12*($B$7-$B$10),-12*MAX(0,($B$6+$B$10)-IF($B$1+16&gt;=$B$23,$B$22,0))*(1+$B$4)^16)&gt;0,1+$B$3,1))</f>
        <v/>
      </c>
      <c r="T101">
        <f>IF($B$1+17&gt;90,S101,(S101+IF($B$1+17&lt;=$B101,12*($B$7-$B$10),-12*MAX(0,($B$6+$B$10)-IF($B$1+17&gt;=$B$23,$B$22,0))*(1+$B$4)^17))*IF(S101+IF($B$1+17&lt;=$B101,12*($B$7-$B$10),-12*MAX(0,($B$6+$B$10)-IF($B$1+17&gt;=$B$23,$B$22,0))*(1+$B$4)^17)&gt;0,1+$B$3,1))</f>
        <v/>
      </c>
      <c r="U101">
        <f>IF($B$1+18&gt;90,T101,(T101+IF($B$1+18&lt;=$B101,12*($B$7-$B$10),-12*MAX(0,($B$6+$B$10)-IF($B$1+18&gt;=$B$23,$B$22,0))*(1+$B$4)^18))*IF(T101+IF($B$1+18&lt;=$B101,12*($B$7-$B$10),-12*MAX(0,($B$6+$B$10)-IF($B$1+18&gt;=$B$23,$B$22,0))*(1+$B$4)^18)&gt;0,1+$B$3,1))</f>
        <v/>
      </c>
      <c r="V101">
        <f>IF($B$1+19&gt;90,U101,(U101+IF($B$1+19&lt;=$B101,12*($B$7-$B$10),-12*MAX(0,($B$6+$B$10)-IF($B$1+19&gt;=$B$23,$B$22,0))*(1+$B$4)^19))*IF(U101+IF($B$1+19&lt;=$B101,12*($B$7-$B$10),-12*MAX(0,($B$6+$B$10)-IF($B$1+19&gt;=$B$23,$B$22,0))*(1+$B$4)^19)&gt;0,1+$B$3,1))</f>
        <v/>
      </c>
      <c r="W101">
        <f>IF($B$1+20&gt;90,V101,(V101+IF($B$1+20&lt;=$B101,12*($B$7-$B$10),-12*MAX(0,($B$6+$B$10)-IF($B$1+20&gt;=$B$23,$B$22,0))*(1+$B$4)^20))*IF(V101+IF($B$1+20&lt;=$B101,12*($B$7-$B$10),-12*MAX(0,($B$6+$B$10)-IF($B$1+20&gt;=$B$23,$B$22,0))*(1+$B$4)^20)&gt;0,1+$B$3,1))</f>
        <v/>
      </c>
      <c r="X101">
        <f>IF($B$1+21&gt;90,W101,(W101+IF($B$1+21&lt;=$B101,12*($B$7-$B$10),-12*MAX(0,($B$6+$B$10)-IF($B$1+21&gt;=$B$23,$B$22,0))*(1+$B$4)^21))*IF(W101+IF($B$1+21&lt;=$B101,12*($B$7-$B$10),-12*MAX(0,($B$6+$B$10)-IF($B$1+21&gt;=$B$23,$B$22,0))*(1+$B$4)^21)&gt;0,1+$B$3,1))</f>
        <v/>
      </c>
      <c r="Y101">
        <f>IF($B$1+22&gt;90,X101,(X101+IF($B$1+22&lt;=$B101,12*($B$7-$B$10),-12*MAX(0,($B$6+$B$10)-IF($B$1+22&gt;=$B$23,$B$22,0))*(1+$B$4)^22))*IF(X101+IF($B$1+22&lt;=$B101,12*($B$7-$B$10),-12*MAX(0,($B$6+$B$10)-IF($B$1+22&gt;=$B$23,$B$22,0))*(1+$B$4)^22)&gt;0,1+$B$3,1))</f>
        <v/>
      </c>
      <c r="Z101">
        <f>IF($B$1+23&gt;90,Y101,(Y101+IF($B$1+23&lt;=$B101,12*($B$7-$B$10),-12*MAX(0,($B$6+$B$10)-IF($B$1+23&gt;=$B$23,$B$22,0))*(1+$B$4)^23))*IF(Y101+IF($B$1+23&lt;=$B101,12*($B$7-$B$10),-12*MAX(0,($B$6+$B$10)-IF($B$1+23&gt;=$B$23,$B$22,0))*(1+$B$4)^23)&gt;0,1+$B$3,1))</f>
        <v/>
      </c>
      <c r="AA101">
        <f>IF($B$1+24&gt;90,Z101,(Z101+IF($B$1+24&lt;=$B101,12*($B$7-$B$10),-12*MAX(0,($B$6+$B$10)-IF($B$1+24&gt;=$B$23,$B$22,0))*(1+$B$4)^24))*IF(Z101+IF($B$1+24&lt;=$B101,12*($B$7-$B$10),-12*MAX(0,($B$6+$B$10)-IF($B$1+24&gt;=$B$23,$B$22,0))*(1+$B$4)^24)&gt;0,1+$B$3,1))</f>
        <v/>
      </c>
      <c r="AB101">
        <f>IF($B$1+25&gt;90,AA101,(AA101+IF($B$1+25&lt;=$B101,12*($B$7-$B$10),-12*MAX(0,($B$6+$B$10)-IF($B$1+25&gt;=$B$23,$B$22,0))*(1+$B$4)^25))*IF(AA101+IF($B$1+25&lt;=$B101,12*($B$7-$B$10),-12*MAX(0,($B$6+$B$10)-IF($B$1+25&gt;=$B$23,$B$22,0))*(1+$B$4)^25)&gt;0,1+$B$3,1))</f>
        <v/>
      </c>
      <c r="AC101">
        <f>IF($B$1+26&gt;90,AB101,(AB101+IF($B$1+26&lt;=$B101,12*($B$7-$B$10),-12*MAX(0,($B$6+$B$10)-IF($B$1+26&gt;=$B$23,$B$22,0))*(1+$B$4)^26))*IF(AB101+IF($B$1+26&lt;=$B101,12*($B$7-$B$10),-12*MAX(0,($B$6+$B$10)-IF($B$1+26&gt;=$B$23,$B$22,0))*(1+$B$4)^26)&gt;0,1+$B$3,1))</f>
        <v/>
      </c>
      <c r="AD101">
        <f>IF($B$1+27&gt;90,AC101,(AC101+IF($B$1+27&lt;=$B101,12*($B$7-$B$10),-12*MAX(0,($B$6+$B$10)-IF($B$1+27&gt;=$B$23,$B$22,0))*(1+$B$4)^27))*IF(AC101+IF($B$1+27&lt;=$B101,12*($B$7-$B$10),-12*MAX(0,($B$6+$B$10)-IF($B$1+27&gt;=$B$23,$B$22,0))*(1+$B$4)^27)&gt;0,1+$B$3,1))</f>
        <v/>
      </c>
      <c r="AE101">
        <f>IF($B$1+28&gt;90,AD101,(AD101+IF($B$1+28&lt;=$B101,12*($B$7-$B$10),-12*MAX(0,($B$6+$B$10)-IF($B$1+28&gt;=$B$23,$B$22,0))*(1+$B$4)^28))*IF(AD101+IF($B$1+28&lt;=$B101,12*($B$7-$B$10),-12*MAX(0,($B$6+$B$10)-IF($B$1+28&gt;=$B$23,$B$22,0))*(1+$B$4)^28)&gt;0,1+$B$3,1))</f>
        <v/>
      </c>
      <c r="AF101">
        <f>IF($B$1+29&gt;90,AE101,(AE101+IF($B$1+29&lt;=$B101,12*($B$7-$B$10),-12*MAX(0,($B$6+$B$10)-IF($B$1+29&gt;=$B$23,$B$22,0))*(1+$B$4)^29))*IF(AE101+IF($B$1+29&lt;=$B101,12*($B$7-$B$10),-12*MAX(0,($B$6+$B$10)-IF($B$1+29&gt;=$B$23,$B$22,0))*(1+$B$4)^29)&gt;0,1+$B$3,1))</f>
        <v/>
      </c>
      <c r="AG101">
        <f>IF($B$1+30&gt;90,AF101,(AF101+IF($B$1+30&lt;=$B101,12*($B$7-$B$10),-12*MAX(0,($B$6+$B$10)-IF($B$1+30&gt;=$B$23,$B$22,0))*(1+$B$4)^30))*IF(AF101+IF($B$1+30&lt;=$B101,12*($B$7-$B$10),-12*MAX(0,($B$6+$B$10)-IF($B$1+30&gt;=$B$23,$B$22,0))*(1+$B$4)^30)&gt;0,1+$B$3,1))</f>
        <v/>
      </c>
      <c r="AH101">
        <f>IF($B$1+31&gt;90,AG101,(AG101+IF($B$1+31&lt;=$B101,12*($B$7-$B$10),-12*MAX(0,($B$6+$B$10)-IF($B$1+31&gt;=$B$23,$B$22,0))*(1+$B$4)^31))*IF(AG101+IF($B$1+31&lt;=$B101,12*($B$7-$B$10),-12*MAX(0,($B$6+$B$10)-IF($B$1+31&gt;=$B$23,$B$22,0))*(1+$B$4)^31)&gt;0,1+$B$3,1))</f>
        <v/>
      </c>
      <c r="AI101">
        <f>IF($B$1+32&gt;90,AH101,(AH101+IF($B$1+32&lt;=$B101,12*($B$7-$B$10),-12*MAX(0,($B$6+$B$10)-IF($B$1+32&gt;=$B$23,$B$22,0))*(1+$B$4)^32))*IF(AH101+IF($B$1+32&lt;=$B101,12*($B$7-$B$10),-12*MAX(0,($B$6+$B$10)-IF($B$1+32&gt;=$B$23,$B$22,0))*(1+$B$4)^32)&gt;0,1+$B$3,1))</f>
        <v/>
      </c>
      <c r="AJ101">
        <f>IF($B$1+33&gt;90,AI101,(AI101+IF($B$1+33&lt;=$B101,12*($B$7-$B$10),-12*MAX(0,($B$6+$B$10)-IF($B$1+33&gt;=$B$23,$B$22,0))*(1+$B$4)^33))*IF(AI101+IF($B$1+33&lt;=$B101,12*($B$7-$B$10),-12*MAX(0,($B$6+$B$10)-IF($B$1+33&gt;=$B$23,$B$22,0))*(1+$B$4)^33)&gt;0,1+$B$3,1))</f>
        <v/>
      </c>
      <c r="AK101">
        <f>IF($B$1+34&gt;90,AJ101,(AJ101+IF($B$1+34&lt;=$B101,12*($B$7-$B$10),-12*MAX(0,($B$6+$B$10)-IF($B$1+34&gt;=$B$23,$B$22,0))*(1+$B$4)^34))*IF(AJ101+IF($B$1+34&lt;=$B101,12*($B$7-$B$10),-12*MAX(0,($B$6+$B$10)-IF($B$1+34&gt;=$B$23,$B$22,0))*(1+$B$4)^34)&gt;0,1+$B$3,1))</f>
        <v/>
      </c>
      <c r="AL101">
        <f>IF($B$1+35&gt;90,AK101,(AK101+IF($B$1+35&lt;=$B101,12*($B$7-$B$10),-12*MAX(0,($B$6+$B$10)-IF($B$1+35&gt;=$B$23,$B$22,0))*(1+$B$4)^35))*IF(AK101+IF($B$1+35&lt;=$B101,12*($B$7-$B$10),-12*MAX(0,($B$6+$B$10)-IF($B$1+35&gt;=$B$23,$B$22,0))*(1+$B$4)^35)&gt;0,1+$B$3,1))</f>
        <v/>
      </c>
      <c r="AM101">
        <f>IF($B$1+36&gt;90,AL101,(AL101+IF($B$1+36&lt;=$B101,12*($B$7-$B$10),-12*MAX(0,($B$6+$B$10)-IF($B$1+36&gt;=$B$23,$B$22,0))*(1+$B$4)^36))*IF(AL101+IF($B$1+36&lt;=$B101,12*($B$7-$B$10),-12*MAX(0,($B$6+$B$10)-IF($B$1+36&gt;=$B$23,$B$22,0))*(1+$B$4)^36)&gt;0,1+$B$3,1))</f>
        <v/>
      </c>
      <c r="AN101">
        <f>IF($B$1+37&gt;90,AM101,(AM101+IF($B$1+37&lt;=$B101,12*($B$7-$B$10),-12*MAX(0,($B$6+$B$10)-IF($B$1+37&gt;=$B$23,$B$22,0))*(1+$B$4)^37))*IF(AM101+IF($B$1+37&lt;=$B101,12*($B$7-$B$10),-12*MAX(0,($B$6+$B$10)-IF($B$1+37&gt;=$B$23,$B$22,0))*(1+$B$4)^37)&gt;0,1+$B$3,1))</f>
        <v/>
      </c>
      <c r="AO101">
        <f>IF($B$1+38&gt;90,AN101,(AN101+IF($B$1+38&lt;=$B101,12*($B$7-$B$10),-12*MAX(0,($B$6+$B$10)-IF($B$1+38&gt;=$B$23,$B$22,0))*(1+$B$4)^38))*IF(AN101+IF($B$1+38&lt;=$B101,12*($B$7-$B$10),-12*MAX(0,($B$6+$B$10)-IF($B$1+38&gt;=$B$23,$B$22,0))*(1+$B$4)^38)&gt;0,1+$B$3,1))</f>
        <v/>
      </c>
      <c r="AP101">
        <f>IF($B$1+39&gt;90,AO101,(AO101+IF($B$1+39&lt;=$B101,12*($B$7-$B$10),-12*MAX(0,($B$6+$B$10)-IF($B$1+39&gt;=$B$23,$B$22,0))*(1+$B$4)^39))*IF(AO101+IF($B$1+39&lt;=$B101,12*($B$7-$B$10),-12*MAX(0,($B$6+$B$10)-IF($B$1+39&gt;=$B$23,$B$22,0))*(1+$B$4)^39)&gt;0,1+$B$3,1))</f>
        <v/>
      </c>
      <c r="AQ101">
        <f>IF($B$1+40&gt;90,AP101,(AP101+IF($B$1+40&lt;=$B101,12*($B$7-$B$10),-12*MAX(0,($B$6+$B$10)-IF($B$1+40&gt;=$B$23,$B$22,0))*(1+$B$4)^40))*IF(AP101+IF($B$1+40&lt;=$B101,12*($B$7-$B$10),-12*MAX(0,($B$6+$B$10)-IF($B$1+40&gt;=$B$23,$B$22,0))*(1+$B$4)^40)&gt;0,1+$B$3,1))</f>
        <v/>
      </c>
      <c r="AR101">
        <f>IF($B$1+41&gt;90,AQ101,(AQ101+IF($B$1+41&lt;=$B101,12*($B$7-$B$10),-12*MAX(0,($B$6+$B$10)-IF($B$1+41&gt;=$B$23,$B$22,0))*(1+$B$4)^41))*IF(AQ101+IF($B$1+41&lt;=$B101,12*($B$7-$B$10),-12*MAX(0,($B$6+$B$10)-IF($B$1+41&gt;=$B$23,$B$22,0))*(1+$B$4)^41)&gt;0,1+$B$3,1))</f>
        <v/>
      </c>
      <c r="AS101">
        <f>IF($B$1+42&gt;90,AR101,(AR101+IF($B$1+42&lt;=$B101,12*($B$7-$B$10),-12*MAX(0,($B$6+$B$10)-IF($B$1+42&gt;=$B$23,$B$22,0))*(1+$B$4)^42))*IF(AR101+IF($B$1+42&lt;=$B101,12*($B$7-$B$10),-12*MAX(0,($B$6+$B$10)-IF($B$1+42&gt;=$B$23,$B$22,0))*(1+$B$4)^42)&gt;0,1+$B$3,1))</f>
        <v/>
      </c>
      <c r="AT101">
        <f>IF($B$1+43&gt;90,AS101,(AS101+IF($B$1+43&lt;=$B101,12*($B$7-$B$10),-12*MAX(0,($B$6+$B$10)-IF($B$1+43&gt;=$B$23,$B$22,0))*(1+$B$4)^43))*IF(AS101+IF($B$1+43&lt;=$B101,12*($B$7-$B$10),-12*MAX(0,($B$6+$B$10)-IF($B$1+43&gt;=$B$23,$B$22,0))*(1+$B$4)^43)&gt;0,1+$B$3,1))</f>
        <v/>
      </c>
      <c r="AU101">
        <f>IF($B$1+44&gt;90,AT101,(AT101+IF($B$1+44&lt;=$B101,12*($B$7-$B$10),-12*MAX(0,($B$6+$B$10)-IF($B$1+44&gt;=$B$23,$B$22,0))*(1+$B$4)^44))*IF(AT101+IF($B$1+44&lt;=$B101,12*($B$7-$B$10),-12*MAX(0,($B$6+$B$10)-IF($B$1+44&gt;=$B$23,$B$22,0))*(1+$B$4)^44)&gt;0,1+$B$3,1))</f>
        <v/>
      </c>
      <c r="AV101">
        <f>IF($B$1+45&gt;90,AU101,(AU101+IF($B$1+45&lt;=$B101,12*($B$7-$B$10),-12*MAX(0,($B$6+$B$10)-IF($B$1+45&gt;=$B$23,$B$22,0))*(1+$B$4)^45))*IF(AU101+IF($B$1+45&lt;=$B101,12*($B$7-$B$10),-12*MAX(0,($B$6+$B$10)-IF($B$1+45&gt;=$B$23,$B$22,0))*(1+$B$4)^45)&gt;0,1+$B$3,1))</f>
        <v/>
      </c>
      <c r="AW101">
        <f>IF($B$1+46&gt;90,AV101,(AV101+IF($B$1+46&lt;=$B101,12*($B$7-$B$10),-12*MAX(0,($B$6+$B$10)-IF($B$1+46&gt;=$B$23,$B$22,0))*(1+$B$4)^46))*IF(AV101+IF($B$1+46&lt;=$B101,12*($B$7-$B$10),-12*MAX(0,($B$6+$B$10)-IF($B$1+46&gt;=$B$23,$B$22,0))*(1+$B$4)^46)&gt;0,1+$B$3,1))</f>
        <v/>
      </c>
      <c r="AX101">
        <f>IF($B$1+47&gt;90,AW101,(AW101+IF($B$1+47&lt;=$B101,12*($B$7-$B$10),-12*MAX(0,($B$6+$B$10)-IF($B$1+47&gt;=$B$23,$B$22,0))*(1+$B$4)^47))*IF(AW101+IF($B$1+47&lt;=$B101,12*($B$7-$B$10),-12*MAX(0,($B$6+$B$10)-IF($B$1+47&gt;=$B$23,$B$22,0))*(1+$B$4)^47)&gt;0,1+$B$3,1))</f>
        <v/>
      </c>
      <c r="AY101">
        <f>IF($B$1+48&gt;90,AX101,(AX101+IF($B$1+48&lt;=$B101,12*($B$7-$B$10),-12*MAX(0,($B$6+$B$10)-IF($B$1+48&gt;=$B$23,$B$22,0))*(1+$B$4)^48))*IF(AX101+IF($B$1+48&lt;=$B101,12*($B$7-$B$10),-12*MAX(0,($B$6+$B$10)-IF($B$1+48&gt;=$B$23,$B$22,0))*(1+$B$4)^48)&gt;0,1+$B$3,1))</f>
        <v/>
      </c>
      <c r="AZ101">
        <f>IF($B$1+49&gt;90,AY101,(AY101+IF($B$1+49&lt;=$B101,12*($B$7-$B$10),-12*MAX(0,($B$6+$B$10)-IF($B$1+49&gt;=$B$23,$B$22,0))*(1+$B$4)^49))*IF(AY101+IF($B$1+49&lt;=$B101,12*($B$7-$B$10),-12*MAX(0,($B$6+$B$10)-IF($B$1+49&gt;=$B$23,$B$22,0))*(1+$B$4)^49)&gt;0,1+$B$3,1))</f>
        <v/>
      </c>
      <c r="BA101">
        <f>IF($B$1+50&gt;90,AZ101,(AZ101+IF($B$1+50&lt;=$B101,12*($B$7-$B$10),-12*MAX(0,($B$6+$B$10)-IF($B$1+50&gt;=$B$23,$B$22,0))*(1+$B$4)^50))*IF(AZ101+IF($B$1+50&lt;=$B101,12*($B$7-$B$10),-12*MAX(0,($B$6+$B$10)-IF($B$1+50&gt;=$B$23,$B$22,0))*(1+$B$4)^50)&gt;0,1+$B$3,1))</f>
        <v/>
      </c>
      <c r="BB101">
        <f>IF($B$1+51&gt;90,BA101,(BA101+IF($B$1+51&lt;=$B101,12*($B$7-$B$10),-12*MAX(0,($B$6+$B$10)-IF($B$1+51&gt;=$B$23,$B$22,0))*(1+$B$4)^51))*IF(BA101+IF($B$1+51&lt;=$B101,12*($B$7-$B$10),-12*MAX(0,($B$6+$B$10)-IF($B$1+51&gt;=$B$23,$B$22,0))*(1+$B$4)^51)&gt;0,1+$B$3,1))</f>
        <v/>
      </c>
      <c r="BC101">
        <f>IF($B$1+52&gt;90,BB101,(BB101+IF($B$1+52&lt;=$B101,12*($B$7-$B$10),-12*MAX(0,($B$6+$B$10)-IF($B$1+52&gt;=$B$23,$B$22,0))*(1+$B$4)^52))*IF(BB101+IF($B$1+52&lt;=$B101,12*($B$7-$B$10),-12*MAX(0,($B$6+$B$10)-IF($B$1+52&gt;=$B$23,$B$22,0))*(1+$B$4)^52)&gt;0,1+$B$3,1))</f>
        <v/>
      </c>
      <c r="BD101">
        <f>IF($B$1+53&gt;90,BC101,(BC101+IF($B$1+53&lt;=$B101,12*($B$7-$B$10),-12*MAX(0,($B$6+$B$10)-IF($B$1+53&gt;=$B$23,$B$22,0))*(1+$B$4)^53))*IF(BC101+IF($B$1+53&lt;=$B101,12*($B$7-$B$10),-12*MAX(0,($B$6+$B$10)-IF($B$1+53&gt;=$B$23,$B$22,0))*(1+$B$4)^53)&gt;0,1+$B$3,1))</f>
        <v/>
      </c>
      <c r="BE101">
        <f>IF($B$1+54&gt;90,BD101,(BD101+IF($B$1+54&lt;=$B101,12*($B$7-$B$10),-12*MAX(0,($B$6+$B$10)-IF($B$1+54&gt;=$B$23,$B$22,0))*(1+$B$4)^54))*IF(BD101+IF($B$1+54&lt;=$B101,12*($B$7-$B$10),-12*MAX(0,($B$6+$B$10)-IF($B$1+54&gt;=$B$23,$B$22,0))*(1+$B$4)^54)&gt;0,1+$B$3,1))</f>
        <v/>
      </c>
      <c r="BF101">
        <f>IF($B$1+55&gt;90,BE101,(BE101+IF($B$1+55&lt;=$B101,12*($B$7-$B$10),-12*MAX(0,($B$6+$B$10)-IF($B$1+55&gt;=$B$23,$B$22,0))*(1+$B$4)^55))*IF(BE101+IF($B$1+55&lt;=$B101,12*($B$7-$B$10),-12*MAX(0,($B$6+$B$10)-IF($B$1+55&gt;=$B$23,$B$22,0))*(1+$B$4)^55)&gt;0,1+$B$3,1))</f>
        <v/>
      </c>
      <c r="BG101">
        <f>IF($B$1+56&gt;90,BF101,(BF101+IF($B$1+56&lt;=$B101,12*($B$7-$B$10),-12*MAX(0,($B$6+$B$10)-IF($B$1+56&gt;=$B$23,$B$22,0))*(1+$B$4)^56))*IF(BF101+IF($B$1+56&lt;=$B101,12*($B$7-$B$10),-12*MAX(0,($B$6+$B$10)-IF($B$1+56&gt;=$B$23,$B$22,0))*(1+$B$4)^56)&gt;0,1+$B$3,1))</f>
        <v/>
      </c>
      <c r="BH101">
        <f>IF($B$1+57&gt;90,BG101,(BG101+IF($B$1+57&lt;=$B101,12*($B$7-$B$10),-12*MAX(0,($B$6+$B$10)-IF($B$1+57&gt;=$B$23,$B$22,0))*(1+$B$4)^57))*IF(BG101+IF($B$1+57&lt;=$B101,12*($B$7-$B$10),-12*MAX(0,($B$6+$B$10)-IF($B$1+57&gt;=$B$23,$B$22,0))*(1+$B$4)^57)&gt;0,1+$B$3,1))</f>
        <v/>
      </c>
      <c r="BI101">
        <f>IF($B$1+58&gt;90,BH101,(BH101+IF($B$1+58&lt;=$B101,12*($B$7-$B$10),-12*MAX(0,($B$6+$B$10)-IF($B$1+58&gt;=$B$23,$B$22,0))*(1+$B$4)^58))*IF(BH101+IF($B$1+58&lt;=$B101,12*($B$7-$B$10),-12*MAX(0,($B$6+$B$10)-IF($B$1+58&gt;=$B$23,$B$22,0))*(1+$B$4)^58)&gt;0,1+$B$3,1))</f>
        <v/>
      </c>
      <c r="BJ101">
        <f>IF($B$1+59&gt;90,BI101,(BI101+IF($B$1+59&lt;=$B101,12*($B$7-$B$10),-12*MAX(0,($B$6+$B$10)-IF($B$1+59&gt;=$B$23,$B$22,0))*(1+$B$4)^59))*IF(BI101+IF($B$1+59&lt;=$B101,12*($B$7-$B$10),-12*MAX(0,($B$6+$B$10)-IF($B$1+59&gt;=$B$23,$B$22,0))*(1+$B$4)^59)&gt;0,1+$B$3,1))</f>
        <v/>
      </c>
      <c r="BK101">
        <f>IF($B$1+60&gt;90,BJ101,(BJ101+IF($B$1+60&lt;=$B101,12*($B$7-$B$10),-12*MAX(0,($B$6+$B$10)-IF($B$1+60&gt;=$B$23,$B$22,0))*(1+$B$4)^60))*IF(BJ101+IF($B$1+60&lt;=$B101,12*($B$7-$B$10),-12*MAX(0,($B$6+$B$10)-IF($B$1+60&gt;=$B$23,$B$22,0))*(1+$B$4)^60)&gt;0,1+$B$3,1))</f>
        <v/>
      </c>
      <c r="BL101">
        <f>IF($B$1+61&gt;90,BK101,(BK101+IF($B$1+61&lt;=$B101,12*($B$7-$B$10),-12*MAX(0,($B$6+$B$10)-IF($B$1+61&gt;=$B$23,$B$22,0))*(1+$B$4)^61))*IF(BK101+IF($B$1+61&lt;=$B101,12*($B$7-$B$10),-12*MAX(0,($B$6+$B$10)-IF($B$1+61&gt;=$B$23,$B$22,0))*(1+$B$4)^61)&gt;0,1+$B$3,1))</f>
        <v/>
      </c>
      <c r="BM101">
        <f>IF($B$1+62&gt;90,BL101,(BL101+IF($B$1+62&lt;=$B101,12*($B$7-$B$10),-12*MAX(0,($B$6+$B$10)-IF($B$1+62&gt;=$B$23,$B$22,0))*(1+$B$4)^62))*IF(BL101+IF($B$1+62&lt;=$B101,12*($B$7-$B$10),-12*MAX(0,($B$6+$B$10)-IF($B$1+62&gt;=$B$23,$B$22,0))*(1+$B$4)^62)&gt;0,1+$B$3,1))</f>
        <v/>
      </c>
      <c r="BN101">
        <f>IF($B$1+63&gt;90,BM101,(BM101+IF($B$1+63&lt;=$B101,12*($B$7-$B$10),-12*MAX(0,($B$6+$B$10)-IF($B$1+63&gt;=$B$23,$B$22,0))*(1+$B$4)^63))*IF(BM101+IF($B$1+63&lt;=$B101,12*($B$7-$B$10),-12*MAX(0,($B$6+$B$10)-IF($B$1+63&gt;=$B$23,$B$22,0))*(1+$B$4)^63)&gt;0,1+$B$3,1))</f>
        <v/>
      </c>
      <c r="BO101">
        <f>IF($B$1+64&gt;90,BN101,(BN101+IF($B$1+64&lt;=$B101,12*($B$7-$B$10),-12*MAX(0,($B$6+$B$10)-IF($B$1+64&gt;=$B$23,$B$22,0))*(1+$B$4)^64))*IF(BN101+IF($B$1+64&lt;=$B101,12*($B$7-$B$10),-12*MAX(0,($B$6+$B$10)-IF($B$1+64&gt;=$B$23,$B$22,0))*(1+$B$4)^64)&gt;0,1+$B$3,1))</f>
        <v/>
      </c>
      <c r="BP101">
        <f>IF($B$1+65&gt;90,BO101,(BO101+IF($B$1+65&lt;=$B101,12*($B$7-$B$10),-12*MAX(0,($B$6+$B$10)-IF($B$1+65&gt;=$B$23,$B$22,0))*(1+$B$4)^65))*IF(BO101+IF($B$1+65&lt;=$B101,12*($B$7-$B$10),-12*MAX(0,($B$6+$B$10)-IF($B$1+65&gt;=$B$23,$B$22,0))*(1+$B$4)^65)&gt;0,1+$B$3,1))</f>
        <v/>
      </c>
      <c r="BQ101">
        <f>IF($B$1+66&gt;90,BP101,(BP101+IF($B$1+66&lt;=$B101,12*($B$7-$B$10),-12*MAX(0,($B$6+$B$10)-IF($B$1+66&gt;=$B$23,$B$22,0))*(1+$B$4)^66))*IF(BP101+IF($B$1+66&lt;=$B101,12*($B$7-$B$10),-12*MAX(0,($B$6+$B$10)-IF($B$1+66&gt;=$B$23,$B$22,0))*(1+$B$4)^66)&gt;0,1+$B$3,1))</f>
        <v/>
      </c>
      <c r="BR101">
        <f>IF($B$1+67&gt;90,BQ101,(BQ101+IF($B$1+67&lt;=$B101,12*($B$7-$B$10),-12*MAX(0,($B$6+$B$10)-IF($B$1+67&gt;=$B$23,$B$22,0))*(1+$B$4)^67))*IF(BQ101+IF($B$1+67&lt;=$B101,12*($B$7-$B$10),-12*MAX(0,($B$6+$B$10)-IF($B$1+67&gt;=$B$23,$B$22,0))*(1+$B$4)^67)&gt;0,1+$B$3,1))</f>
        <v/>
      </c>
      <c r="BS101">
        <f>IF($B$1+68&gt;90,BR101,(BR101+IF($B$1+68&lt;=$B101,12*($B$7-$B$10),-12*MAX(0,($B$6+$B$10)-IF($B$1+68&gt;=$B$23,$B$22,0))*(1+$B$4)^68))*IF(BR101+IF($B$1+68&lt;=$B101,12*($B$7-$B$10),-12*MAX(0,($B$6+$B$10)-IF($B$1+68&gt;=$B$23,$B$22,0))*(1+$B$4)^68)&gt;0,1+$B$3,1))</f>
        <v/>
      </c>
      <c r="BT101">
        <f>IF($B$1+69&gt;90,BS101,(BS101+IF($B$1+69&lt;=$B101,12*($B$7-$B$10),-12*MAX(0,($B$6+$B$10)-IF($B$1+69&gt;=$B$23,$B$22,0))*(1+$B$4)^69))*IF(BS101+IF($B$1+69&lt;=$B101,12*($B$7-$B$10),-12*MAX(0,($B$6+$B$10)-IF($B$1+69&gt;=$B$23,$B$22,0))*(1+$B$4)^69)&gt;0,1+$B$3,1))</f>
        <v/>
      </c>
      <c r="BU101">
        <f>IF($B$1+70&gt;90,BT101,(BT101+IF($B$1+70&lt;=$B101,12*($B$7-$B$10),-12*MAX(0,($B$6+$B$10)-IF($B$1+70&gt;=$B$23,$B$22,0))*(1+$B$4)^70))*IF(BT101+IF($B$1+70&lt;=$B101,12*($B$7-$B$10),-12*MAX(0,($B$6+$B$10)-IF($B$1+70&gt;=$B$23,$B$22,0))*(1+$B$4)^70)&gt;0,1+$B$3,1))</f>
        <v/>
      </c>
      <c r="BV101">
        <f>BU101</f>
        <v/>
      </c>
      <c r="BW101">
        <f>IF(AND($B101&lt;=70,BV101&gt;0),$B101,999)</f>
        <v/>
      </c>
      <c r="CH101">
        <f>IF(ISTEXT('월 가계부'!A101),SUBSTITUTE(SUBSTITUTE(SUBSTITUTE(SUBSTITUTE(SUBSTITUTE(SUBSTITUTE(SUBSTITUTE(SUBSTITUTE(SUBSTITUTE(TRIM('월 가계부'!A101),"년","-"),"월","-"),"일",""),".","-"),"/","-")," ","-"),"--","-"),"--","-"),"--","-")&amp;"-","")</f>
        <v/>
      </c>
      <c r="CI101">
        <f>IFERROR(IF('월 가계부'!A101="","",IF(ISNUMBER('월 가계부'!A101),IF(AND('월 가계부'!A101&gt;=19000101,'월 가계부'!A101&lt;=21001231),IF(AND(MOD(INT('월 가계부'!A101/100),100)&gt;=1,MOD(INT('월 가계부'!A101/100),100)&lt;=12,MOD(INT('월 가계부'!A101),100)&gt;=1,MOD(INT('월 가계부'!A101),100)&lt;=31),IF(MONTH(DATE(INT('월 가계부'!A101/10000),MOD(INT('월 가계부'!A101/100),100),MOD(INT('월 가계부'!A101),100)))=MOD(INT('월 가계부'!A101/100),100),DATE(INT('월 가계부'!A101/10000),MOD(INT('월 가계부'!A101/100),100),MOD(INT('월 가계부'!A101),100)),""),""),IF(AND('월 가계부'!A101&gt;=36526,'월 가계부'!A101&lt;73051),INT('월 가계부'!A101),"")),IF(OR(CM101="",CN101="",CO101=""),"",IF(AND(CM101&gt;=2000,CM101&lt;=2099,CN101&gt;=1,CN101&lt;=12,CO101&gt;=1,CO101&lt;=31),IF(MONTH(DATE(CM101,CN101,CO101))=CN101,DATE(CM101,CN101,CO101),""),"")))),"")</f>
        <v/>
      </c>
      <c r="CJ101">
        <f>IFERROR(IF('월 가계부'!C101="","",IF(ISNUMBER('월 가계부'!C101),'월 가계부'!C101,VALUE(SUBSTITUTE(SUBSTITUTE(SUBSTITUTE(SUBSTITUTE(TRIM('월 가계부'!C101),",",""),"원","")," ",""),"−","-")))),"")</f>
        <v/>
      </c>
      <c r="CK101">
        <f>IF(ISNUMBER(CI101),IF(CI101&lt;$B$13,CI101,""),"")</f>
        <v/>
      </c>
      <c r="CM101">
        <f>IF(CH101="","",IFERROR(IF(IF(AND(LEN(CH101)=9,ISERROR(FIND("-",LEFT(CH101,8))),ISNUMBER(-LEFT(CH101,8))),VALUE(LEFT(CH101,4)),VALUE(LEFT(CH101,FIND("-",CH101)-1)))&lt;100,IF(AND(LEN(CH101)=9,ISERROR(FIND("-",LEFT(CH101,8))),ISNUMBER(-LEFT(CH101,8))),VALUE(LEFT(CH101,4)),VALUE(LEFT(CH101,FIND("-",CH101)-1)))+2000,IF(AND(LEN(CH101)=9,ISERROR(FIND("-",LEFT(CH101,8))),ISNUMBER(-LEFT(CH101,8))),VALUE(LEFT(CH101,4)),VALUE(LEFT(CH101,FIND("-",CH101)-1)))),""))</f>
        <v/>
      </c>
      <c r="CN101">
        <f>IF(CH101="","",IFERROR(IF(AND(LEN(CH101)=9,ISERROR(FIND("-",LEFT(CH101,8))),ISNUMBER(-LEFT(CH101,8))),VALUE(MID(CH101,5,2)),VALUE(MID(CH101,FIND("-",CH101)+1,FIND("-",CH101,FIND("-",CH101)+1)-FIND("-",CH101)-1))),""))</f>
        <v/>
      </c>
      <c r="CO101">
        <f>IF(CH101="","",IFERROR(IF(AND(LEN(CH101)=9,ISERROR(FIND("-",LEFT(CH101,8))),ISNUMBER(-LEFT(CH101,8))),VALUE(MID(CH101,7,2)),VALUE(MID(CH101,FIND("-",CH101,FIND("-",CH101)+1)+1,FIND("-",CH101,FIND("-",CH101,FIND("-",CH101)+1)+1)-FIND("-",CH101,FIND("-",CH101)+1)-1))),""))</f>
        <v/>
      </c>
    </row>
    <row r="102">
      <c r="A102" t="n">
        <v>6</v>
      </c>
      <c r="B102">
        <f>$B$1+6</f>
        <v/>
      </c>
      <c r="C102">
        <f>$B$2</f>
        <v/>
      </c>
      <c r="D102">
        <f>IF($B$1+1&gt;90,C102,(C102+IF($B$1+1&lt;=$B102,12*($B$7-$B$10),-12*MAX(0,($B$6+$B$10)-IF($B$1+1&gt;=$B$23,$B$22,0))*(1+$B$4)^1))*IF(C102+IF($B$1+1&lt;=$B102,12*($B$7-$B$10),-12*MAX(0,($B$6+$B$10)-IF($B$1+1&gt;=$B$23,$B$22,0))*(1+$B$4)^1)&gt;0,1+$B$3,1))</f>
        <v/>
      </c>
      <c r="E102">
        <f>IF($B$1+2&gt;90,D102,(D102+IF($B$1+2&lt;=$B102,12*($B$7-$B$10),-12*MAX(0,($B$6+$B$10)-IF($B$1+2&gt;=$B$23,$B$22,0))*(1+$B$4)^2))*IF(D102+IF($B$1+2&lt;=$B102,12*($B$7-$B$10),-12*MAX(0,($B$6+$B$10)-IF($B$1+2&gt;=$B$23,$B$22,0))*(1+$B$4)^2)&gt;0,1+$B$3,1))</f>
        <v/>
      </c>
      <c r="F102">
        <f>IF($B$1+3&gt;90,E102,(E102+IF($B$1+3&lt;=$B102,12*($B$7-$B$10),-12*MAX(0,($B$6+$B$10)-IF($B$1+3&gt;=$B$23,$B$22,0))*(1+$B$4)^3))*IF(E102+IF($B$1+3&lt;=$B102,12*($B$7-$B$10),-12*MAX(0,($B$6+$B$10)-IF($B$1+3&gt;=$B$23,$B$22,0))*(1+$B$4)^3)&gt;0,1+$B$3,1))</f>
        <v/>
      </c>
      <c r="G102">
        <f>IF($B$1+4&gt;90,F102,(F102+IF($B$1+4&lt;=$B102,12*($B$7-$B$10),-12*MAX(0,($B$6+$B$10)-IF($B$1+4&gt;=$B$23,$B$22,0))*(1+$B$4)^4))*IF(F102+IF($B$1+4&lt;=$B102,12*($B$7-$B$10),-12*MAX(0,($B$6+$B$10)-IF($B$1+4&gt;=$B$23,$B$22,0))*(1+$B$4)^4)&gt;0,1+$B$3,1))</f>
        <v/>
      </c>
      <c r="H102">
        <f>IF($B$1+5&gt;90,G102,(G102+IF($B$1+5&lt;=$B102,12*($B$7-$B$10),-12*MAX(0,($B$6+$B$10)-IF($B$1+5&gt;=$B$23,$B$22,0))*(1+$B$4)^5))*IF(G102+IF($B$1+5&lt;=$B102,12*($B$7-$B$10),-12*MAX(0,($B$6+$B$10)-IF($B$1+5&gt;=$B$23,$B$22,0))*(1+$B$4)^5)&gt;0,1+$B$3,1))</f>
        <v/>
      </c>
      <c r="I102">
        <f>IF($B$1+6&gt;90,H102,(H102+IF($B$1+6&lt;=$B102,12*($B$7-$B$10),-12*MAX(0,($B$6+$B$10)-IF($B$1+6&gt;=$B$23,$B$22,0))*(1+$B$4)^6))*IF(H102+IF($B$1+6&lt;=$B102,12*($B$7-$B$10),-12*MAX(0,($B$6+$B$10)-IF($B$1+6&gt;=$B$23,$B$22,0))*(1+$B$4)^6)&gt;0,1+$B$3,1))</f>
        <v/>
      </c>
      <c r="J102">
        <f>IF($B$1+7&gt;90,I102,(I102+IF($B$1+7&lt;=$B102,12*($B$7-$B$10),-12*MAX(0,($B$6+$B$10)-IF($B$1+7&gt;=$B$23,$B$22,0))*(1+$B$4)^7))*IF(I102+IF($B$1+7&lt;=$B102,12*($B$7-$B$10),-12*MAX(0,($B$6+$B$10)-IF($B$1+7&gt;=$B$23,$B$22,0))*(1+$B$4)^7)&gt;0,1+$B$3,1))</f>
        <v/>
      </c>
      <c r="K102">
        <f>IF($B$1+8&gt;90,J102,(J102+IF($B$1+8&lt;=$B102,12*($B$7-$B$10),-12*MAX(0,($B$6+$B$10)-IF($B$1+8&gt;=$B$23,$B$22,0))*(1+$B$4)^8))*IF(J102+IF($B$1+8&lt;=$B102,12*($B$7-$B$10),-12*MAX(0,($B$6+$B$10)-IF($B$1+8&gt;=$B$23,$B$22,0))*(1+$B$4)^8)&gt;0,1+$B$3,1))</f>
        <v/>
      </c>
      <c r="L102">
        <f>IF($B$1+9&gt;90,K102,(K102+IF($B$1+9&lt;=$B102,12*($B$7-$B$10),-12*MAX(0,($B$6+$B$10)-IF($B$1+9&gt;=$B$23,$B$22,0))*(1+$B$4)^9))*IF(K102+IF($B$1+9&lt;=$B102,12*($B$7-$B$10),-12*MAX(0,($B$6+$B$10)-IF($B$1+9&gt;=$B$23,$B$22,0))*(1+$B$4)^9)&gt;0,1+$B$3,1))</f>
        <v/>
      </c>
      <c r="M102">
        <f>IF($B$1+10&gt;90,L102,(L102+IF($B$1+10&lt;=$B102,12*($B$7-$B$10),-12*MAX(0,($B$6+$B$10)-IF($B$1+10&gt;=$B$23,$B$22,0))*(1+$B$4)^10))*IF(L102+IF($B$1+10&lt;=$B102,12*($B$7-$B$10),-12*MAX(0,($B$6+$B$10)-IF($B$1+10&gt;=$B$23,$B$22,0))*(1+$B$4)^10)&gt;0,1+$B$3,1))</f>
        <v/>
      </c>
      <c r="N102">
        <f>IF($B$1+11&gt;90,M102,(M102+IF($B$1+11&lt;=$B102,12*($B$7-$B$10),-12*MAX(0,($B$6+$B$10)-IF($B$1+11&gt;=$B$23,$B$22,0))*(1+$B$4)^11))*IF(M102+IF($B$1+11&lt;=$B102,12*($B$7-$B$10),-12*MAX(0,($B$6+$B$10)-IF($B$1+11&gt;=$B$23,$B$22,0))*(1+$B$4)^11)&gt;0,1+$B$3,1))</f>
        <v/>
      </c>
      <c r="O102">
        <f>IF($B$1+12&gt;90,N102,(N102+IF($B$1+12&lt;=$B102,12*($B$7-$B$10),-12*MAX(0,($B$6+$B$10)-IF($B$1+12&gt;=$B$23,$B$22,0))*(1+$B$4)^12))*IF(N102+IF($B$1+12&lt;=$B102,12*($B$7-$B$10),-12*MAX(0,($B$6+$B$10)-IF($B$1+12&gt;=$B$23,$B$22,0))*(1+$B$4)^12)&gt;0,1+$B$3,1))</f>
        <v/>
      </c>
      <c r="P102">
        <f>IF($B$1+13&gt;90,O102,(O102+IF($B$1+13&lt;=$B102,12*($B$7-$B$10),-12*MAX(0,($B$6+$B$10)-IF($B$1+13&gt;=$B$23,$B$22,0))*(1+$B$4)^13))*IF(O102+IF($B$1+13&lt;=$B102,12*($B$7-$B$10),-12*MAX(0,($B$6+$B$10)-IF($B$1+13&gt;=$B$23,$B$22,0))*(1+$B$4)^13)&gt;0,1+$B$3,1))</f>
        <v/>
      </c>
      <c r="Q102">
        <f>IF($B$1+14&gt;90,P102,(P102+IF($B$1+14&lt;=$B102,12*($B$7-$B$10),-12*MAX(0,($B$6+$B$10)-IF($B$1+14&gt;=$B$23,$B$22,0))*(1+$B$4)^14))*IF(P102+IF($B$1+14&lt;=$B102,12*($B$7-$B$10),-12*MAX(0,($B$6+$B$10)-IF($B$1+14&gt;=$B$23,$B$22,0))*(1+$B$4)^14)&gt;0,1+$B$3,1))</f>
        <v/>
      </c>
      <c r="R102">
        <f>IF($B$1+15&gt;90,Q102,(Q102+IF($B$1+15&lt;=$B102,12*($B$7-$B$10),-12*MAX(0,($B$6+$B$10)-IF($B$1+15&gt;=$B$23,$B$22,0))*(1+$B$4)^15))*IF(Q102+IF($B$1+15&lt;=$B102,12*($B$7-$B$10),-12*MAX(0,($B$6+$B$10)-IF($B$1+15&gt;=$B$23,$B$22,0))*(1+$B$4)^15)&gt;0,1+$B$3,1))</f>
        <v/>
      </c>
      <c r="S102">
        <f>IF($B$1+16&gt;90,R102,(R102+IF($B$1+16&lt;=$B102,12*($B$7-$B$10),-12*MAX(0,($B$6+$B$10)-IF($B$1+16&gt;=$B$23,$B$22,0))*(1+$B$4)^16))*IF(R102+IF($B$1+16&lt;=$B102,12*($B$7-$B$10),-12*MAX(0,($B$6+$B$10)-IF($B$1+16&gt;=$B$23,$B$22,0))*(1+$B$4)^16)&gt;0,1+$B$3,1))</f>
        <v/>
      </c>
      <c r="T102">
        <f>IF($B$1+17&gt;90,S102,(S102+IF($B$1+17&lt;=$B102,12*($B$7-$B$10),-12*MAX(0,($B$6+$B$10)-IF($B$1+17&gt;=$B$23,$B$22,0))*(1+$B$4)^17))*IF(S102+IF($B$1+17&lt;=$B102,12*($B$7-$B$10),-12*MAX(0,($B$6+$B$10)-IF($B$1+17&gt;=$B$23,$B$22,0))*(1+$B$4)^17)&gt;0,1+$B$3,1))</f>
        <v/>
      </c>
      <c r="U102">
        <f>IF($B$1+18&gt;90,T102,(T102+IF($B$1+18&lt;=$B102,12*($B$7-$B$10),-12*MAX(0,($B$6+$B$10)-IF($B$1+18&gt;=$B$23,$B$22,0))*(1+$B$4)^18))*IF(T102+IF($B$1+18&lt;=$B102,12*($B$7-$B$10),-12*MAX(0,($B$6+$B$10)-IF($B$1+18&gt;=$B$23,$B$22,0))*(1+$B$4)^18)&gt;0,1+$B$3,1))</f>
        <v/>
      </c>
      <c r="V102">
        <f>IF($B$1+19&gt;90,U102,(U102+IF($B$1+19&lt;=$B102,12*($B$7-$B$10),-12*MAX(0,($B$6+$B$10)-IF($B$1+19&gt;=$B$23,$B$22,0))*(1+$B$4)^19))*IF(U102+IF($B$1+19&lt;=$B102,12*($B$7-$B$10),-12*MAX(0,($B$6+$B$10)-IF($B$1+19&gt;=$B$23,$B$22,0))*(1+$B$4)^19)&gt;0,1+$B$3,1))</f>
        <v/>
      </c>
      <c r="W102">
        <f>IF($B$1+20&gt;90,V102,(V102+IF($B$1+20&lt;=$B102,12*($B$7-$B$10),-12*MAX(0,($B$6+$B$10)-IF($B$1+20&gt;=$B$23,$B$22,0))*(1+$B$4)^20))*IF(V102+IF($B$1+20&lt;=$B102,12*($B$7-$B$10),-12*MAX(0,($B$6+$B$10)-IF($B$1+20&gt;=$B$23,$B$22,0))*(1+$B$4)^20)&gt;0,1+$B$3,1))</f>
        <v/>
      </c>
      <c r="X102">
        <f>IF($B$1+21&gt;90,W102,(W102+IF($B$1+21&lt;=$B102,12*($B$7-$B$10),-12*MAX(0,($B$6+$B$10)-IF($B$1+21&gt;=$B$23,$B$22,0))*(1+$B$4)^21))*IF(W102+IF($B$1+21&lt;=$B102,12*($B$7-$B$10),-12*MAX(0,($B$6+$B$10)-IF($B$1+21&gt;=$B$23,$B$22,0))*(1+$B$4)^21)&gt;0,1+$B$3,1))</f>
        <v/>
      </c>
      <c r="Y102">
        <f>IF($B$1+22&gt;90,X102,(X102+IF($B$1+22&lt;=$B102,12*($B$7-$B$10),-12*MAX(0,($B$6+$B$10)-IF($B$1+22&gt;=$B$23,$B$22,0))*(1+$B$4)^22))*IF(X102+IF($B$1+22&lt;=$B102,12*($B$7-$B$10),-12*MAX(0,($B$6+$B$10)-IF($B$1+22&gt;=$B$23,$B$22,0))*(1+$B$4)^22)&gt;0,1+$B$3,1))</f>
        <v/>
      </c>
      <c r="Z102">
        <f>IF($B$1+23&gt;90,Y102,(Y102+IF($B$1+23&lt;=$B102,12*($B$7-$B$10),-12*MAX(0,($B$6+$B$10)-IF($B$1+23&gt;=$B$23,$B$22,0))*(1+$B$4)^23))*IF(Y102+IF($B$1+23&lt;=$B102,12*($B$7-$B$10),-12*MAX(0,($B$6+$B$10)-IF($B$1+23&gt;=$B$23,$B$22,0))*(1+$B$4)^23)&gt;0,1+$B$3,1))</f>
        <v/>
      </c>
      <c r="AA102">
        <f>IF($B$1+24&gt;90,Z102,(Z102+IF($B$1+24&lt;=$B102,12*($B$7-$B$10),-12*MAX(0,($B$6+$B$10)-IF($B$1+24&gt;=$B$23,$B$22,0))*(1+$B$4)^24))*IF(Z102+IF($B$1+24&lt;=$B102,12*($B$7-$B$10),-12*MAX(0,($B$6+$B$10)-IF($B$1+24&gt;=$B$23,$B$22,0))*(1+$B$4)^24)&gt;0,1+$B$3,1))</f>
        <v/>
      </c>
      <c r="AB102">
        <f>IF($B$1+25&gt;90,AA102,(AA102+IF($B$1+25&lt;=$B102,12*($B$7-$B$10),-12*MAX(0,($B$6+$B$10)-IF($B$1+25&gt;=$B$23,$B$22,0))*(1+$B$4)^25))*IF(AA102+IF($B$1+25&lt;=$B102,12*($B$7-$B$10),-12*MAX(0,($B$6+$B$10)-IF($B$1+25&gt;=$B$23,$B$22,0))*(1+$B$4)^25)&gt;0,1+$B$3,1))</f>
        <v/>
      </c>
      <c r="AC102">
        <f>IF($B$1+26&gt;90,AB102,(AB102+IF($B$1+26&lt;=$B102,12*($B$7-$B$10),-12*MAX(0,($B$6+$B$10)-IF($B$1+26&gt;=$B$23,$B$22,0))*(1+$B$4)^26))*IF(AB102+IF($B$1+26&lt;=$B102,12*($B$7-$B$10),-12*MAX(0,($B$6+$B$10)-IF($B$1+26&gt;=$B$23,$B$22,0))*(1+$B$4)^26)&gt;0,1+$B$3,1))</f>
        <v/>
      </c>
      <c r="AD102">
        <f>IF($B$1+27&gt;90,AC102,(AC102+IF($B$1+27&lt;=$B102,12*($B$7-$B$10),-12*MAX(0,($B$6+$B$10)-IF($B$1+27&gt;=$B$23,$B$22,0))*(1+$B$4)^27))*IF(AC102+IF($B$1+27&lt;=$B102,12*($B$7-$B$10),-12*MAX(0,($B$6+$B$10)-IF($B$1+27&gt;=$B$23,$B$22,0))*(1+$B$4)^27)&gt;0,1+$B$3,1))</f>
        <v/>
      </c>
      <c r="AE102">
        <f>IF($B$1+28&gt;90,AD102,(AD102+IF($B$1+28&lt;=$B102,12*($B$7-$B$10),-12*MAX(0,($B$6+$B$10)-IF($B$1+28&gt;=$B$23,$B$22,0))*(1+$B$4)^28))*IF(AD102+IF($B$1+28&lt;=$B102,12*($B$7-$B$10),-12*MAX(0,($B$6+$B$10)-IF($B$1+28&gt;=$B$23,$B$22,0))*(1+$B$4)^28)&gt;0,1+$B$3,1))</f>
        <v/>
      </c>
      <c r="AF102">
        <f>IF($B$1+29&gt;90,AE102,(AE102+IF($B$1+29&lt;=$B102,12*($B$7-$B$10),-12*MAX(0,($B$6+$B$10)-IF($B$1+29&gt;=$B$23,$B$22,0))*(1+$B$4)^29))*IF(AE102+IF($B$1+29&lt;=$B102,12*($B$7-$B$10),-12*MAX(0,($B$6+$B$10)-IF($B$1+29&gt;=$B$23,$B$22,0))*(1+$B$4)^29)&gt;0,1+$B$3,1))</f>
        <v/>
      </c>
      <c r="AG102">
        <f>IF($B$1+30&gt;90,AF102,(AF102+IF($B$1+30&lt;=$B102,12*($B$7-$B$10),-12*MAX(0,($B$6+$B$10)-IF($B$1+30&gt;=$B$23,$B$22,0))*(1+$B$4)^30))*IF(AF102+IF($B$1+30&lt;=$B102,12*($B$7-$B$10),-12*MAX(0,($B$6+$B$10)-IF($B$1+30&gt;=$B$23,$B$22,0))*(1+$B$4)^30)&gt;0,1+$B$3,1))</f>
        <v/>
      </c>
      <c r="AH102">
        <f>IF($B$1+31&gt;90,AG102,(AG102+IF($B$1+31&lt;=$B102,12*($B$7-$B$10),-12*MAX(0,($B$6+$B$10)-IF($B$1+31&gt;=$B$23,$B$22,0))*(1+$B$4)^31))*IF(AG102+IF($B$1+31&lt;=$B102,12*($B$7-$B$10),-12*MAX(0,($B$6+$B$10)-IF($B$1+31&gt;=$B$23,$B$22,0))*(1+$B$4)^31)&gt;0,1+$B$3,1))</f>
        <v/>
      </c>
      <c r="AI102">
        <f>IF($B$1+32&gt;90,AH102,(AH102+IF($B$1+32&lt;=$B102,12*($B$7-$B$10),-12*MAX(0,($B$6+$B$10)-IF($B$1+32&gt;=$B$23,$B$22,0))*(1+$B$4)^32))*IF(AH102+IF($B$1+32&lt;=$B102,12*($B$7-$B$10),-12*MAX(0,($B$6+$B$10)-IF($B$1+32&gt;=$B$23,$B$22,0))*(1+$B$4)^32)&gt;0,1+$B$3,1))</f>
        <v/>
      </c>
      <c r="AJ102">
        <f>IF($B$1+33&gt;90,AI102,(AI102+IF($B$1+33&lt;=$B102,12*($B$7-$B$10),-12*MAX(0,($B$6+$B$10)-IF($B$1+33&gt;=$B$23,$B$22,0))*(1+$B$4)^33))*IF(AI102+IF($B$1+33&lt;=$B102,12*($B$7-$B$10),-12*MAX(0,($B$6+$B$10)-IF($B$1+33&gt;=$B$23,$B$22,0))*(1+$B$4)^33)&gt;0,1+$B$3,1))</f>
        <v/>
      </c>
      <c r="AK102">
        <f>IF($B$1+34&gt;90,AJ102,(AJ102+IF($B$1+34&lt;=$B102,12*($B$7-$B$10),-12*MAX(0,($B$6+$B$10)-IF($B$1+34&gt;=$B$23,$B$22,0))*(1+$B$4)^34))*IF(AJ102+IF($B$1+34&lt;=$B102,12*($B$7-$B$10),-12*MAX(0,($B$6+$B$10)-IF($B$1+34&gt;=$B$23,$B$22,0))*(1+$B$4)^34)&gt;0,1+$B$3,1))</f>
        <v/>
      </c>
      <c r="AL102">
        <f>IF($B$1+35&gt;90,AK102,(AK102+IF($B$1+35&lt;=$B102,12*($B$7-$B$10),-12*MAX(0,($B$6+$B$10)-IF($B$1+35&gt;=$B$23,$B$22,0))*(1+$B$4)^35))*IF(AK102+IF($B$1+35&lt;=$B102,12*($B$7-$B$10),-12*MAX(0,($B$6+$B$10)-IF($B$1+35&gt;=$B$23,$B$22,0))*(1+$B$4)^35)&gt;0,1+$B$3,1))</f>
        <v/>
      </c>
      <c r="AM102">
        <f>IF($B$1+36&gt;90,AL102,(AL102+IF($B$1+36&lt;=$B102,12*($B$7-$B$10),-12*MAX(0,($B$6+$B$10)-IF($B$1+36&gt;=$B$23,$B$22,0))*(1+$B$4)^36))*IF(AL102+IF($B$1+36&lt;=$B102,12*($B$7-$B$10),-12*MAX(0,($B$6+$B$10)-IF($B$1+36&gt;=$B$23,$B$22,0))*(1+$B$4)^36)&gt;0,1+$B$3,1))</f>
        <v/>
      </c>
      <c r="AN102">
        <f>IF($B$1+37&gt;90,AM102,(AM102+IF($B$1+37&lt;=$B102,12*($B$7-$B$10),-12*MAX(0,($B$6+$B$10)-IF($B$1+37&gt;=$B$23,$B$22,0))*(1+$B$4)^37))*IF(AM102+IF($B$1+37&lt;=$B102,12*($B$7-$B$10),-12*MAX(0,($B$6+$B$10)-IF($B$1+37&gt;=$B$23,$B$22,0))*(1+$B$4)^37)&gt;0,1+$B$3,1))</f>
        <v/>
      </c>
      <c r="AO102">
        <f>IF($B$1+38&gt;90,AN102,(AN102+IF($B$1+38&lt;=$B102,12*($B$7-$B$10),-12*MAX(0,($B$6+$B$10)-IF($B$1+38&gt;=$B$23,$B$22,0))*(1+$B$4)^38))*IF(AN102+IF($B$1+38&lt;=$B102,12*($B$7-$B$10),-12*MAX(0,($B$6+$B$10)-IF($B$1+38&gt;=$B$23,$B$22,0))*(1+$B$4)^38)&gt;0,1+$B$3,1))</f>
        <v/>
      </c>
      <c r="AP102">
        <f>IF($B$1+39&gt;90,AO102,(AO102+IF($B$1+39&lt;=$B102,12*($B$7-$B$10),-12*MAX(0,($B$6+$B$10)-IF($B$1+39&gt;=$B$23,$B$22,0))*(1+$B$4)^39))*IF(AO102+IF($B$1+39&lt;=$B102,12*($B$7-$B$10),-12*MAX(0,($B$6+$B$10)-IF($B$1+39&gt;=$B$23,$B$22,0))*(1+$B$4)^39)&gt;0,1+$B$3,1))</f>
        <v/>
      </c>
      <c r="AQ102">
        <f>IF($B$1+40&gt;90,AP102,(AP102+IF($B$1+40&lt;=$B102,12*($B$7-$B$10),-12*MAX(0,($B$6+$B$10)-IF($B$1+40&gt;=$B$23,$B$22,0))*(1+$B$4)^40))*IF(AP102+IF($B$1+40&lt;=$B102,12*($B$7-$B$10),-12*MAX(0,($B$6+$B$10)-IF($B$1+40&gt;=$B$23,$B$22,0))*(1+$B$4)^40)&gt;0,1+$B$3,1))</f>
        <v/>
      </c>
      <c r="AR102">
        <f>IF($B$1+41&gt;90,AQ102,(AQ102+IF($B$1+41&lt;=$B102,12*($B$7-$B$10),-12*MAX(0,($B$6+$B$10)-IF($B$1+41&gt;=$B$23,$B$22,0))*(1+$B$4)^41))*IF(AQ102+IF($B$1+41&lt;=$B102,12*($B$7-$B$10),-12*MAX(0,($B$6+$B$10)-IF($B$1+41&gt;=$B$23,$B$22,0))*(1+$B$4)^41)&gt;0,1+$B$3,1))</f>
        <v/>
      </c>
      <c r="AS102">
        <f>IF($B$1+42&gt;90,AR102,(AR102+IF($B$1+42&lt;=$B102,12*($B$7-$B$10),-12*MAX(0,($B$6+$B$10)-IF($B$1+42&gt;=$B$23,$B$22,0))*(1+$B$4)^42))*IF(AR102+IF($B$1+42&lt;=$B102,12*($B$7-$B$10),-12*MAX(0,($B$6+$B$10)-IF($B$1+42&gt;=$B$23,$B$22,0))*(1+$B$4)^42)&gt;0,1+$B$3,1))</f>
        <v/>
      </c>
      <c r="AT102">
        <f>IF($B$1+43&gt;90,AS102,(AS102+IF($B$1+43&lt;=$B102,12*($B$7-$B$10),-12*MAX(0,($B$6+$B$10)-IF($B$1+43&gt;=$B$23,$B$22,0))*(1+$B$4)^43))*IF(AS102+IF($B$1+43&lt;=$B102,12*($B$7-$B$10),-12*MAX(0,($B$6+$B$10)-IF($B$1+43&gt;=$B$23,$B$22,0))*(1+$B$4)^43)&gt;0,1+$B$3,1))</f>
        <v/>
      </c>
      <c r="AU102">
        <f>IF($B$1+44&gt;90,AT102,(AT102+IF($B$1+44&lt;=$B102,12*($B$7-$B$10),-12*MAX(0,($B$6+$B$10)-IF($B$1+44&gt;=$B$23,$B$22,0))*(1+$B$4)^44))*IF(AT102+IF($B$1+44&lt;=$B102,12*($B$7-$B$10),-12*MAX(0,($B$6+$B$10)-IF($B$1+44&gt;=$B$23,$B$22,0))*(1+$B$4)^44)&gt;0,1+$B$3,1))</f>
        <v/>
      </c>
      <c r="AV102">
        <f>IF($B$1+45&gt;90,AU102,(AU102+IF($B$1+45&lt;=$B102,12*($B$7-$B$10),-12*MAX(0,($B$6+$B$10)-IF($B$1+45&gt;=$B$23,$B$22,0))*(1+$B$4)^45))*IF(AU102+IF($B$1+45&lt;=$B102,12*($B$7-$B$10),-12*MAX(0,($B$6+$B$10)-IF($B$1+45&gt;=$B$23,$B$22,0))*(1+$B$4)^45)&gt;0,1+$B$3,1))</f>
        <v/>
      </c>
      <c r="AW102">
        <f>IF($B$1+46&gt;90,AV102,(AV102+IF($B$1+46&lt;=$B102,12*($B$7-$B$10),-12*MAX(0,($B$6+$B$10)-IF($B$1+46&gt;=$B$23,$B$22,0))*(1+$B$4)^46))*IF(AV102+IF($B$1+46&lt;=$B102,12*($B$7-$B$10),-12*MAX(0,($B$6+$B$10)-IF($B$1+46&gt;=$B$23,$B$22,0))*(1+$B$4)^46)&gt;0,1+$B$3,1))</f>
        <v/>
      </c>
      <c r="AX102">
        <f>IF($B$1+47&gt;90,AW102,(AW102+IF($B$1+47&lt;=$B102,12*($B$7-$B$10),-12*MAX(0,($B$6+$B$10)-IF($B$1+47&gt;=$B$23,$B$22,0))*(1+$B$4)^47))*IF(AW102+IF($B$1+47&lt;=$B102,12*($B$7-$B$10),-12*MAX(0,($B$6+$B$10)-IF($B$1+47&gt;=$B$23,$B$22,0))*(1+$B$4)^47)&gt;0,1+$B$3,1))</f>
        <v/>
      </c>
      <c r="AY102">
        <f>IF($B$1+48&gt;90,AX102,(AX102+IF($B$1+48&lt;=$B102,12*($B$7-$B$10),-12*MAX(0,($B$6+$B$10)-IF($B$1+48&gt;=$B$23,$B$22,0))*(1+$B$4)^48))*IF(AX102+IF($B$1+48&lt;=$B102,12*($B$7-$B$10),-12*MAX(0,($B$6+$B$10)-IF($B$1+48&gt;=$B$23,$B$22,0))*(1+$B$4)^48)&gt;0,1+$B$3,1))</f>
        <v/>
      </c>
      <c r="AZ102">
        <f>IF($B$1+49&gt;90,AY102,(AY102+IF($B$1+49&lt;=$B102,12*($B$7-$B$10),-12*MAX(0,($B$6+$B$10)-IF($B$1+49&gt;=$B$23,$B$22,0))*(1+$B$4)^49))*IF(AY102+IF($B$1+49&lt;=$B102,12*($B$7-$B$10),-12*MAX(0,($B$6+$B$10)-IF($B$1+49&gt;=$B$23,$B$22,0))*(1+$B$4)^49)&gt;0,1+$B$3,1))</f>
        <v/>
      </c>
      <c r="BA102">
        <f>IF($B$1+50&gt;90,AZ102,(AZ102+IF($B$1+50&lt;=$B102,12*($B$7-$B$10),-12*MAX(0,($B$6+$B$10)-IF($B$1+50&gt;=$B$23,$B$22,0))*(1+$B$4)^50))*IF(AZ102+IF($B$1+50&lt;=$B102,12*($B$7-$B$10),-12*MAX(0,($B$6+$B$10)-IF($B$1+50&gt;=$B$23,$B$22,0))*(1+$B$4)^50)&gt;0,1+$B$3,1))</f>
        <v/>
      </c>
      <c r="BB102">
        <f>IF($B$1+51&gt;90,BA102,(BA102+IF($B$1+51&lt;=$B102,12*($B$7-$B$10),-12*MAX(0,($B$6+$B$10)-IF($B$1+51&gt;=$B$23,$B$22,0))*(1+$B$4)^51))*IF(BA102+IF($B$1+51&lt;=$B102,12*($B$7-$B$10),-12*MAX(0,($B$6+$B$10)-IF($B$1+51&gt;=$B$23,$B$22,0))*(1+$B$4)^51)&gt;0,1+$B$3,1))</f>
        <v/>
      </c>
      <c r="BC102">
        <f>IF($B$1+52&gt;90,BB102,(BB102+IF($B$1+52&lt;=$B102,12*($B$7-$B$10),-12*MAX(0,($B$6+$B$10)-IF($B$1+52&gt;=$B$23,$B$22,0))*(1+$B$4)^52))*IF(BB102+IF($B$1+52&lt;=$B102,12*($B$7-$B$10),-12*MAX(0,($B$6+$B$10)-IF($B$1+52&gt;=$B$23,$B$22,0))*(1+$B$4)^52)&gt;0,1+$B$3,1))</f>
        <v/>
      </c>
      <c r="BD102">
        <f>IF($B$1+53&gt;90,BC102,(BC102+IF($B$1+53&lt;=$B102,12*($B$7-$B$10),-12*MAX(0,($B$6+$B$10)-IF($B$1+53&gt;=$B$23,$B$22,0))*(1+$B$4)^53))*IF(BC102+IF($B$1+53&lt;=$B102,12*($B$7-$B$10),-12*MAX(0,($B$6+$B$10)-IF($B$1+53&gt;=$B$23,$B$22,0))*(1+$B$4)^53)&gt;0,1+$B$3,1))</f>
        <v/>
      </c>
      <c r="BE102">
        <f>IF($B$1+54&gt;90,BD102,(BD102+IF($B$1+54&lt;=$B102,12*($B$7-$B$10),-12*MAX(0,($B$6+$B$10)-IF($B$1+54&gt;=$B$23,$B$22,0))*(1+$B$4)^54))*IF(BD102+IF($B$1+54&lt;=$B102,12*($B$7-$B$10),-12*MAX(0,($B$6+$B$10)-IF($B$1+54&gt;=$B$23,$B$22,0))*(1+$B$4)^54)&gt;0,1+$B$3,1))</f>
        <v/>
      </c>
      <c r="BF102">
        <f>IF($B$1+55&gt;90,BE102,(BE102+IF($B$1+55&lt;=$B102,12*($B$7-$B$10),-12*MAX(0,($B$6+$B$10)-IF($B$1+55&gt;=$B$23,$B$22,0))*(1+$B$4)^55))*IF(BE102+IF($B$1+55&lt;=$B102,12*($B$7-$B$10),-12*MAX(0,($B$6+$B$10)-IF($B$1+55&gt;=$B$23,$B$22,0))*(1+$B$4)^55)&gt;0,1+$B$3,1))</f>
        <v/>
      </c>
      <c r="BG102">
        <f>IF($B$1+56&gt;90,BF102,(BF102+IF($B$1+56&lt;=$B102,12*($B$7-$B$10),-12*MAX(0,($B$6+$B$10)-IF($B$1+56&gt;=$B$23,$B$22,0))*(1+$B$4)^56))*IF(BF102+IF($B$1+56&lt;=$B102,12*($B$7-$B$10),-12*MAX(0,($B$6+$B$10)-IF($B$1+56&gt;=$B$23,$B$22,0))*(1+$B$4)^56)&gt;0,1+$B$3,1))</f>
        <v/>
      </c>
      <c r="BH102">
        <f>IF($B$1+57&gt;90,BG102,(BG102+IF($B$1+57&lt;=$B102,12*($B$7-$B$10),-12*MAX(0,($B$6+$B$10)-IF($B$1+57&gt;=$B$23,$B$22,0))*(1+$B$4)^57))*IF(BG102+IF($B$1+57&lt;=$B102,12*($B$7-$B$10),-12*MAX(0,($B$6+$B$10)-IF($B$1+57&gt;=$B$23,$B$22,0))*(1+$B$4)^57)&gt;0,1+$B$3,1))</f>
        <v/>
      </c>
      <c r="BI102">
        <f>IF($B$1+58&gt;90,BH102,(BH102+IF($B$1+58&lt;=$B102,12*($B$7-$B$10),-12*MAX(0,($B$6+$B$10)-IF($B$1+58&gt;=$B$23,$B$22,0))*(1+$B$4)^58))*IF(BH102+IF($B$1+58&lt;=$B102,12*($B$7-$B$10),-12*MAX(0,($B$6+$B$10)-IF($B$1+58&gt;=$B$23,$B$22,0))*(1+$B$4)^58)&gt;0,1+$B$3,1))</f>
        <v/>
      </c>
      <c r="BJ102">
        <f>IF($B$1+59&gt;90,BI102,(BI102+IF($B$1+59&lt;=$B102,12*($B$7-$B$10),-12*MAX(0,($B$6+$B$10)-IF($B$1+59&gt;=$B$23,$B$22,0))*(1+$B$4)^59))*IF(BI102+IF($B$1+59&lt;=$B102,12*($B$7-$B$10),-12*MAX(0,($B$6+$B$10)-IF($B$1+59&gt;=$B$23,$B$22,0))*(1+$B$4)^59)&gt;0,1+$B$3,1))</f>
        <v/>
      </c>
      <c r="BK102">
        <f>IF($B$1+60&gt;90,BJ102,(BJ102+IF($B$1+60&lt;=$B102,12*($B$7-$B$10),-12*MAX(0,($B$6+$B$10)-IF($B$1+60&gt;=$B$23,$B$22,0))*(1+$B$4)^60))*IF(BJ102+IF($B$1+60&lt;=$B102,12*($B$7-$B$10),-12*MAX(0,($B$6+$B$10)-IF($B$1+60&gt;=$B$23,$B$22,0))*(1+$B$4)^60)&gt;0,1+$B$3,1))</f>
        <v/>
      </c>
      <c r="BL102">
        <f>IF($B$1+61&gt;90,BK102,(BK102+IF($B$1+61&lt;=$B102,12*($B$7-$B$10),-12*MAX(0,($B$6+$B$10)-IF($B$1+61&gt;=$B$23,$B$22,0))*(1+$B$4)^61))*IF(BK102+IF($B$1+61&lt;=$B102,12*($B$7-$B$10),-12*MAX(0,($B$6+$B$10)-IF($B$1+61&gt;=$B$23,$B$22,0))*(1+$B$4)^61)&gt;0,1+$B$3,1))</f>
        <v/>
      </c>
      <c r="BM102">
        <f>IF($B$1+62&gt;90,BL102,(BL102+IF($B$1+62&lt;=$B102,12*($B$7-$B$10),-12*MAX(0,($B$6+$B$10)-IF($B$1+62&gt;=$B$23,$B$22,0))*(1+$B$4)^62))*IF(BL102+IF($B$1+62&lt;=$B102,12*($B$7-$B$10),-12*MAX(0,($B$6+$B$10)-IF($B$1+62&gt;=$B$23,$B$22,0))*(1+$B$4)^62)&gt;0,1+$B$3,1))</f>
        <v/>
      </c>
      <c r="BN102">
        <f>IF($B$1+63&gt;90,BM102,(BM102+IF($B$1+63&lt;=$B102,12*($B$7-$B$10),-12*MAX(0,($B$6+$B$10)-IF($B$1+63&gt;=$B$23,$B$22,0))*(1+$B$4)^63))*IF(BM102+IF($B$1+63&lt;=$B102,12*($B$7-$B$10),-12*MAX(0,($B$6+$B$10)-IF($B$1+63&gt;=$B$23,$B$22,0))*(1+$B$4)^63)&gt;0,1+$B$3,1))</f>
        <v/>
      </c>
      <c r="BO102">
        <f>IF($B$1+64&gt;90,BN102,(BN102+IF($B$1+64&lt;=$B102,12*($B$7-$B$10),-12*MAX(0,($B$6+$B$10)-IF($B$1+64&gt;=$B$23,$B$22,0))*(1+$B$4)^64))*IF(BN102+IF($B$1+64&lt;=$B102,12*($B$7-$B$10),-12*MAX(0,($B$6+$B$10)-IF($B$1+64&gt;=$B$23,$B$22,0))*(1+$B$4)^64)&gt;0,1+$B$3,1))</f>
        <v/>
      </c>
      <c r="BP102">
        <f>IF($B$1+65&gt;90,BO102,(BO102+IF($B$1+65&lt;=$B102,12*($B$7-$B$10),-12*MAX(0,($B$6+$B$10)-IF($B$1+65&gt;=$B$23,$B$22,0))*(1+$B$4)^65))*IF(BO102+IF($B$1+65&lt;=$B102,12*($B$7-$B$10),-12*MAX(0,($B$6+$B$10)-IF($B$1+65&gt;=$B$23,$B$22,0))*(1+$B$4)^65)&gt;0,1+$B$3,1))</f>
        <v/>
      </c>
      <c r="BQ102">
        <f>IF($B$1+66&gt;90,BP102,(BP102+IF($B$1+66&lt;=$B102,12*($B$7-$B$10),-12*MAX(0,($B$6+$B$10)-IF($B$1+66&gt;=$B$23,$B$22,0))*(1+$B$4)^66))*IF(BP102+IF($B$1+66&lt;=$B102,12*($B$7-$B$10),-12*MAX(0,($B$6+$B$10)-IF($B$1+66&gt;=$B$23,$B$22,0))*(1+$B$4)^66)&gt;0,1+$B$3,1))</f>
        <v/>
      </c>
      <c r="BR102">
        <f>IF($B$1+67&gt;90,BQ102,(BQ102+IF($B$1+67&lt;=$B102,12*($B$7-$B$10),-12*MAX(0,($B$6+$B$10)-IF($B$1+67&gt;=$B$23,$B$22,0))*(1+$B$4)^67))*IF(BQ102+IF($B$1+67&lt;=$B102,12*($B$7-$B$10),-12*MAX(0,($B$6+$B$10)-IF($B$1+67&gt;=$B$23,$B$22,0))*(1+$B$4)^67)&gt;0,1+$B$3,1))</f>
        <v/>
      </c>
      <c r="BS102">
        <f>IF($B$1+68&gt;90,BR102,(BR102+IF($B$1+68&lt;=$B102,12*($B$7-$B$10),-12*MAX(0,($B$6+$B$10)-IF($B$1+68&gt;=$B$23,$B$22,0))*(1+$B$4)^68))*IF(BR102+IF($B$1+68&lt;=$B102,12*($B$7-$B$10),-12*MAX(0,($B$6+$B$10)-IF($B$1+68&gt;=$B$23,$B$22,0))*(1+$B$4)^68)&gt;0,1+$B$3,1))</f>
        <v/>
      </c>
      <c r="BT102">
        <f>IF($B$1+69&gt;90,BS102,(BS102+IF($B$1+69&lt;=$B102,12*($B$7-$B$10),-12*MAX(0,($B$6+$B$10)-IF($B$1+69&gt;=$B$23,$B$22,0))*(1+$B$4)^69))*IF(BS102+IF($B$1+69&lt;=$B102,12*($B$7-$B$10),-12*MAX(0,($B$6+$B$10)-IF($B$1+69&gt;=$B$23,$B$22,0))*(1+$B$4)^69)&gt;0,1+$B$3,1))</f>
        <v/>
      </c>
      <c r="BU102">
        <f>IF($B$1+70&gt;90,BT102,(BT102+IF($B$1+70&lt;=$B102,12*($B$7-$B$10),-12*MAX(0,($B$6+$B$10)-IF($B$1+70&gt;=$B$23,$B$22,0))*(1+$B$4)^70))*IF(BT102+IF($B$1+70&lt;=$B102,12*($B$7-$B$10),-12*MAX(0,($B$6+$B$10)-IF($B$1+70&gt;=$B$23,$B$22,0))*(1+$B$4)^70)&gt;0,1+$B$3,1))</f>
        <v/>
      </c>
      <c r="BV102">
        <f>BU102</f>
        <v/>
      </c>
      <c r="BW102">
        <f>IF(AND($B102&lt;=70,BV102&gt;0),$B102,999)</f>
        <v/>
      </c>
      <c r="CH102">
        <f>IF(ISTEXT('월 가계부'!A102),SUBSTITUTE(SUBSTITUTE(SUBSTITUTE(SUBSTITUTE(SUBSTITUTE(SUBSTITUTE(SUBSTITUTE(SUBSTITUTE(SUBSTITUTE(TRIM('월 가계부'!A102),"년","-"),"월","-"),"일",""),".","-"),"/","-")," ","-"),"--","-"),"--","-"),"--","-")&amp;"-","")</f>
        <v/>
      </c>
      <c r="CI102">
        <f>IFERROR(IF('월 가계부'!A102="","",IF(ISNUMBER('월 가계부'!A102),IF(AND('월 가계부'!A102&gt;=19000101,'월 가계부'!A102&lt;=21001231),IF(AND(MOD(INT('월 가계부'!A102/100),100)&gt;=1,MOD(INT('월 가계부'!A102/100),100)&lt;=12,MOD(INT('월 가계부'!A102),100)&gt;=1,MOD(INT('월 가계부'!A102),100)&lt;=31),IF(MONTH(DATE(INT('월 가계부'!A102/10000),MOD(INT('월 가계부'!A102/100),100),MOD(INT('월 가계부'!A102),100)))=MOD(INT('월 가계부'!A102/100),100),DATE(INT('월 가계부'!A102/10000),MOD(INT('월 가계부'!A102/100),100),MOD(INT('월 가계부'!A102),100)),""),""),IF(AND('월 가계부'!A102&gt;=36526,'월 가계부'!A102&lt;73051),INT('월 가계부'!A102),"")),IF(OR(CM102="",CN102="",CO102=""),"",IF(AND(CM102&gt;=2000,CM102&lt;=2099,CN102&gt;=1,CN102&lt;=12,CO102&gt;=1,CO102&lt;=31),IF(MONTH(DATE(CM102,CN102,CO102))=CN102,DATE(CM102,CN102,CO102),""),"")))),"")</f>
        <v/>
      </c>
      <c r="CJ102">
        <f>IFERROR(IF('월 가계부'!C102="","",IF(ISNUMBER('월 가계부'!C102),'월 가계부'!C102,VALUE(SUBSTITUTE(SUBSTITUTE(SUBSTITUTE(SUBSTITUTE(TRIM('월 가계부'!C102),",",""),"원","")," ",""),"−","-")))),"")</f>
        <v/>
      </c>
      <c r="CK102">
        <f>IF(ISNUMBER(CI102),IF(CI102&lt;$B$13,CI102,""),"")</f>
        <v/>
      </c>
      <c r="CM102">
        <f>IF(CH102="","",IFERROR(IF(IF(AND(LEN(CH102)=9,ISERROR(FIND("-",LEFT(CH102,8))),ISNUMBER(-LEFT(CH102,8))),VALUE(LEFT(CH102,4)),VALUE(LEFT(CH102,FIND("-",CH102)-1)))&lt;100,IF(AND(LEN(CH102)=9,ISERROR(FIND("-",LEFT(CH102,8))),ISNUMBER(-LEFT(CH102,8))),VALUE(LEFT(CH102,4)),VALUE(LEFT(CH102,FIND("-",CH102)-1)))+2000,IF(AND(LEN(CH102)=9,ISERROR(FIND("-",LEFT(CH102,8))),ISNUMBER(-LEFT(CH102,8))),VALUE(LEFT(CH102,4)),VALUE(LEFT(CH102,FIND("-",CH102)-1)))),""))</f>
        <v/>
      </c>
      <c r="CN102">
        <f>IF(CH102="","",IFERROR(IF(AND(LEN(CH102)=9,ISERROR(FIND("-",LEFT(CH102,8))),ISNUMBER(-LEFT(CH102,8))),VALUE(MID(CH102,5,2)),VALUE(MID(CH102,FIND("-",CH102)+1,FIND("-",CH102,FIND("-",CH102)+1)-FIND("-",CH102)-1))),""))</f>
        <v/>
      </c>
      <c r="CO102">
        <f>IF(CH102="","",IFERROR(IF(AND(LEN(CH102)=9,ISERROR(FIND("-",LEFT(CH102,8))),ISNUMBER(-LEFT(CH102,8))),VALUE(MID(CH102,7,2)),VALUE(MID(CH102,FIND("-",CH102,FIND("-",CH102)+1)+1,FIND("-",CH102,FIND("-",CH102,FIND("-",CH102)+1)+1)-FIND("-",CH102,FIND("-",CH102)+1)-1))),""))</f>
        <v/>
      </c>
    </row>
    <row r="103">
      <c r="A103" t="n">
        <v>7</v>
      </c>
      <c r="B103">
        <f>$B$1+7</f>
        <v/>
      </c>
      <c r="C103">
        <f>$B$2</f>
        <v/>
      </c>
      <c r="D103">
        <f>IF($B$1+1&gt;90,C103,(C103+IF($B$1+1&lt;=$B103,12*($B$7-$B$10),-12*MAX(0,($B$6+$B$10)-IF($B$1+1&gt;=$B$23,$B$22,0))*(1+$B$4)^1))*IF(C103+IF($B$1+1&lt;=$B103,12*($B$7-$B$10),-12*MAX(0,($B$6+$B$10)-IF($B$1+1&gt;=$B$23,$B$22,0))*(1+$B$4)^1)&gt;0,1+$B$3,1))</f>
        <v/>
      </c>
      <c r="E103">
        <f>IF($B$1+2&gt;90,D103,(D103+IF($B$1+2&lt;=$B103,12*($B$7-$B$10),-12*MAX(0,($B$6+$B$10)-IF($B$1+2&gt;=$B$23,$B$22,0))*(1+$B$4)^2))*IF(D103+IF($B$1+2&lt;=$B103,12*($B$7-$B$10),-12*MAX(0,($B$6+$B$10)-IF($B$1+2&gt;=$B$23,$B$22,0))*(1+$B$4)^2)&gt;0,1+$B$3,1))</f>
        <v/>
      </c>
      <c r="F103">
        <f>IF($B$1+3&gt;90,E103,(E103+IF($B$1+3&lt;=$B103,12*($B$7-$B$10),-12*MAX(0,($B$6+$B$10)-IF($B$1+3&gt;=$B$23,$B$22,0))*(1+$B$4)^3))*IF(E103+IF($B$1+3&lt;=$B103,12*($B$7-$B$10),-12*MAX(0,($B$6+$B$10)-IF($B$1+3&gt;=$B$23,$B$22,0))*(1+$B$4)^3)&gt;0,1+$B$3,1))</f>
        <v/>
      </c>
      <c r="G103">
        <f>IF($B$1+4&gt;90,F103,(F103+IF($B$1+4&lt;=$B103,12*($B$7-$B$10),-12*MAX(0,($B$6+$B$10)-IF($B$1+4&gt;=$B$23,$B$22,0))*(1+$B$4)^4))*IF(F103+IF($B$1+4&lt;=$B103,12*($B$7-$B$10),-12*MAX(0,($B$6+$B$10)-IF($B$1+4&gt;=$B$23,$B$22,0))*(1+$B$4)^4)&gt;0,1+$B$3,1))</f>
        <v/>
      </c>
      <c r="H103">
        <f>IF($B$1+5&gt;90,G103,(G103+IF($B$1+5&lt;=$B103,12*($B$7-$B$10),-12*MAX(0,($B$6+$B$10)-IF($B$1+5&gt;=$B$23,$B$22,0))*(1+$B$4)^5))*IF(G103+IF($B$1+5&lt;=$B103,12*($B$7-$B$10),-12*MAX(0,($B$6+$B$10)-IF($B$1+5&gt;=$B$23,$B$22,0))*(1+$B$4)^5)&gt;0,1+$B$3,1))</f>
        <v/>
      </c>
      <c r="I103">
        <f>IF($B$1+6&gt;90,H103,(H103+IF($B$1+6&lt;=$B103,12*($B$7-$B$10),-12*MAX(0,($B$6+$B$10)-IF($B$1+6&gt;=$B$23,$B$22,0))*(1+$B$4)^6))*IF(H103+IF($B$1+6&lt;=$B103,12*($B$7-$B$10),-12*MAX(0,($B$6+$B$10)-IF($B$1+6&gt;=$B$23,$B$22,0))*(1+$B$4)^6)&gt;0,1+$B$3,1))</f>
        <v/>
      </c>
      <c r="J103">
        <f>IF($B$1+7&gt;90,I103,(I103+IF($B$1+7&lt;=$B103,12*($B$7-$B$10),-12*MAX(0,($B$6+$B$10)-IF($B$1+7&gt;=$B$23,$B$22,0))*(1+$B$4)^7))*IF(I103+IF($B$1+7&lt;=$B103,12*($B$7-$B$10),-12*MAX(0,($B$6+$B$10)-IF($B$1+7&gt;=$B$23,$B$22,0))*(1+$B$4)^7)&gt;0,1+$B$3,1))</f>
        <v/>
      </c>
      <c r="K103">
        <f>IF($B$1+8&gt;90,J103,(J103+IF($B$1+8&lt;=$B103,12*($B$7-$B$10),-12*MAX(0,($B$6+$B$10)-IF($B$1+8&gt;=$B$23,$B$22,0))*(1+$B$4)^8))*IF(J103+IF($B$1+8&lt;=$B103,12*($B$7-$B$10),-12*MAX(0,($B$6+$B$10)-IF($B$1+8&gt;=$B$23,$B$22,0))*(1+$B$4)^8)&gt;0,1+$B$3,1))</f>
        <v/>
      </c>
      <c r="L103">
        <f>IF($B$1+9&gt;90,K103,(K103+IF($B$1+9&lt;=$B103,12*($B$7-$B$10),-12*MAX(0,($B$6+$B$10)-IF($B$1+9&gt;=$B$23,$B$22,0))*(1+$B$4)^9))*IF(K103+IF($B$1+9&lt;=$B103,12*($B$7-$B$10),-12*MAX(0,($B$6+$B$10)-IF($B$1+9&gt;=$B$23,$B$22,0))*(1+$B$4)^9)&gt;0,1+$B$3,1))</f>
        <v/>
      </c>
      <c r="M103">
        <f>IF($B$1+10&gt;90,L103,(L103+IF($B$1+10&lt;=$B103,12*($B$7-$B$10),-12*MAX(0,($B$6+$B$10)-IF($B$1+10&gt;=$B$23,$B$22,0))*(1+$B$4)^10))*IF(L103+IF($B$1+10&lt;=$B103,12*($B$7-$B$10),-12*MAX(0,($B$6+$B$10)-IF($B$1+10&gt;=$B$23,$B$22,0))*(1+$B$4)^10)&gt;0,1+$B$3,1))</f>
        <v/>
      </c>
      <c r="N103">
        <f>IF($B$1+11&gt;90,M103,(M103+IF($B$1+11&lt;=$B103,12*($B$7-$B$10),-12*MAX(0,($B$6+$B$10)-IF($B$1+11&gt;=$B$23,$B$22,0))*(1+$B$4)^11))*IF(M103+IF($B$1+11&lt;=$B103,12*($B$7-$B$10),-12*MAX(0,($B$6+$B$10)-IF($B$1+11&gt;=$B$23,$B$22,0))*(1+$B$4)^11)&gt;0,1+$B$3,1))</f>
        <v/>
      </c>
      <c r="O103">
        <f>IF($B$1+12&gt;90,N103,(N103+IF($B$1+12&lt;=$B103,12*($B$7-$B$10),-12*MAX(0,($B$6+$B$10)-IF($B$1+12&gt;=$B$23,$B$22,0))*(1+$B$4)^12))*IF(N103+IF($B$1+12&lt;=$B103,12*($B$7-$B$10),-12*MAX(0,($B$6+$B$10)-IF($B$1+12&gt;=$B$23,$B$22,0))*(1+$B$4)^12)&gt;0,1+$B$3,1))</f>
        <v/>
      </c>
      <c r="P103">
        <f>IF($B$1+13&gt;90,O103,(O103+IF($B$1+13&lt;=$B103,12*($B$7-$B$10),-12*MAX(0,($B$6+$B$10)-IF($B$1+13&gt;=$B$23,$B$22,0))*(1+$B$4)^13))*IF(O103+IF($B$1+13&lt;=$B103,12*($B$7-$B$10),-12*MAX(0,($B$6+$B$10)-IF($B$1+13&gt;=$B$23,$B$22,0))*(1+$B$4)^13)&gt;0,1+$B$3,1))</f>
        <v/>
      </c>
      <c r="Q103">
        <f>IF($B$1+14&gt;90,P103,(P103+IF($B$1+14&lt;=$B103,12*($B$7-$B$10),-12*MAX(0,($B$6+$B$10)-IF($B$1+14&gt;=$B$23,$B$22,0))*(1+$B$4)^14))*IF(P103+IF($B$1+14&lt;=$B103,12*($B$7-$B$10),-12*MAX(0,($B$6+$B$10)-IF($B$1+14&gt;=$B$23,$B$22,0))*(1+$B$4)^14)&gt;0,1+$B$3,1))</f>
        <v/>
      </c>
      <c r="R103">
        <f>IF($B$1+15&gt;90,Q103,(Q103+IF($B$1+15&lt;=$B103,12*($B$7-$B$10),-12*MAX(0,($B$6+$B$10)-IF($B$1+15&gt;=$B$23,$B$22,0))*(1+$B$4)^15))*IF(Q103+IF($B$1+15&lt;=$B103,12*($B$7-$B$10),-12*MAX(0,($B$6+$B$10)-IF($B$1+15&gt;=$B$23,$B$22,0))*(1+$B$4)^15)&gt;0,1+$B$3,1))</f>
        <v/>
      </c>
      <c r="S103">
        <f>IF($B$1+16&gt;90,R103,(R103+IF($B$1+16&lt;=$B103,12*($B$7-$B$10),-12*MAX(0,($B$6+$B$10)-IF($B$1+16&gt;=$B$23,$B$22,0))*(1+$B$4)^16))*IF(R103+IF($B$1+16&lt;=$B103,12*($B$7-$B$10),-12*MAX(0,($B$6+$B$10)-IF($B$1+16&gt;=$B$23,$B$22,0))*(1+$B$4)^16)&gt;0,1+$B$3,1))</f>
        <v/>
      </c>
      <c r="T103">
        <f>IF($B$1+17&gt;90,S103,(S103+IF($B$1+17&lt;=$B103,12*($B$7-$B$10),-12*MAX(0,($B$6+$B$10)-IF($B$1+17&gt;=$B$23,$B$22,0))*(1+$B$4)^17))*IF(S103+IF($B$1+17&lt;=$B103,12*($B$7-$B$10),-12*MAX(0,($B$6+$B$10)-IF($B$1+17&gt;=$B$23,$B$22,0))*(1+$B$4)^17)&gt;0,1+$B$3,1))</f>
        <v/>
      </c>
      <c r="U103">
        <f>IF($B$1+18&gt;90,T103,(T103+IF($B$1+18&lt;=$B103,12*($B$7-$B$10),-12*MAX(0,($B$6+$B$10)-IF($B$1+18&gt;=$B$23,$B$22,0))*(1+$B$4)^18))*IF(T103+IF($B$1+18&lt;=$B103,12*($B$7-$B$10),-12*MAX(0,($B$6+$B$10)-IF($B$1+18&gt;=$B$23,$B$22,0))*(1+$B$4)^18)&gt;0,1+$B$3,1))</f>
        <v/>
      </c>
      <c r="V103">
        <f>IF($B$1+19&gt;90,U103,(U103+IF($B$1+19&lt;=$B103,12*($B$7-$B$10),-12*MAX(0,($B$6+$B$10)-IF($B$1+19&gt;=$B$23,$B$22,0))*(1+$B$4)^19))*IF(U103+IF($B$1+19&lt;=$B103,12*($B$7-$B$10),-12*MAX(0,($B$6+$B$10)-IF($B$1+19&gt;=$B$23,$B$22,0))*(1+$B$4)^19)&gt;0,1+$B$3,1))</f>
        <v/>
      </c>
      <c r="W103">
        <f>IF($B$1+20&gt;90,V103,(V103+IF($B$1+20&lt;=$B103,12*($B$7-$B$10),-12*MAX(0,($B$6+$B$10)-IF($B$1+20&gt;=$B$23,$B$22,0))*(1+$B$4)^20))*IF(V103+IF($B$1+20&lt;=$B103,12*($B$7-$B$10),-12*MAX(0,($B$6+$B$10)-IF($B$1+20&gt;=$B$23,$B$22,0))*(1+$B$4)^20)&gt;0,1+$B$3,1))</f>
        <v/>
      </c>
      <c r="X103">
        <f>IF($B$1+21&gt;90,W103,(W103+IF($B$1+21&lt;=$B103,12*($B$7-$B$10),-12*MAX(0,($B$6+$B$10)-IF($B$1+21&gt;=$B$23,$B$22,0))*(1+$B$4)^21))*IF(W103+IF($B$1+21&lt;=$B103,12*($B$7-$B$10),-12*MAX(0,($B$6+$B$10)-IF($B$1+21&gt;=$B$23,$B$22,0))*(1+$B$4)^21)&gt;0,1+$B$3,1))</f>
        <v/>
      </c>
      <c r="Y103">
        <f>IF($B$1+22&gt;90,X103,(X103+IF($B$1+22&lt;=$B103,12*($B$7-$B$10),-12*MAX(0,($B$6+$B$10)-IF($B$1+22&gt;=$B$23,$B$22,0))*(1+$B$4)^22))*IF(X103+IF($B$1+22&lt;=$B103,12*($B$7-$B$10),-12*MAX(0,($B$6+$B$10)-IF($B$1+22&gt;=$B$23,$B$22,0))*(1+$B$4)^22)&gt;0,1+$B$3,1))</f>
        <v/>
      </c>
      <c r="Z103">
        <f>IF($B$1+23&gt;90,Y103,(Y103+IF($B$1+23&lt;=$B103,12*($B$7-$B$10),-12*MAX(0,($B$6+$B$10)-IF($B$1+23&gt;=$B$23,$B$22,0))*(1+$B$4)^23))*IF(Y103+IF($B$1+23&lt;=$B103,12*($B$7-$B$10),-12*MAX(0,($B$6+$B$10)-IF($B$1+23&gt;=$B$23,$B$22,0))*(1+$B$4)^23)&gt;0,1+$B$3,1))</f>
        <v/>
      </c>
      <c r="AA103">
        <f>IF($B$1+24&gt;90,Z103,(Z103+IF($B$1+24&lt;=$B103,12*($B$7-$B$10),-12*MAX(0,($B$6+$B$10)-IF($B$1+24&gt;=$B$23,$B$22,0))*(1+$B$4)^24))*IF(Z103+IF($B$1+24&lt;=$B103,12*($B$7-$B$10),-12*MAX(0,($B$6+$B$10)-IF($B$1+24&gt;=$B$23,$B$22,0))*(1+$B$4)^24)&gt;0,1+$B$3,1))</f>
        <v/>
      </c>
      <c r="AB103">
        <f>IF($B$1+25&gt;90,AA103,(AA103+IF($B$1+25&lt;=$B103,12*($B$7-$B$10),-12*MAX(0,($B$6+$B$10)-IF($B$1+25&gt;=$B$23,$B$22,0))*(1+$B$4)^25))*IF(AA103+IF($B$1+25&lt;=$B103,12*($B$7-$B$10),-12*MAX(0,($B$6+$B$10)-IF($B$1+25&gt;=$B$23,$B$22,0))*(1+$B$4)^25)&gt;0,1+$B$3,1))</f>
        <v/>
      </c>
      <c r="AC103">
        <f>IF($B$1+26&gt;90,AB103,(AB103+IF($B$1+26&lt;=$B103,12*($B$7-$B$10),-12*MAX(0,($B$6+$B$10)-IF($B$1+26&gt;=$B$23,$B$22,0))*(1+$B$4)^26))*IF(AB103+IF($B$1+26&lt;=$B103,12*($B$7-$B$10),-12*MAX(0,($B$6+$B$10)-IF($B$1+26&gt;=$B$23,$B$22,0))*(1+$B$4)^26)&gt;0,1+$B$3,1))</f>
        <v/>
      </c>
      <c r="AD103">
        <f>IF($B$1+27&gt;90,AC103,(AC103+IF($B$1+27&lt;=$B103,12*($B$7-$B$10),-12*MAX(0,($B$6+$B$10)-IF($B$1+27&gt;=$B$23,$B$22,0))*(1+$B$4)^27))*IF(AC103+IF($B$1+27&lt;=$B103,12*($B$7-$B$10),-12*MAX(0,($B$6+$B$10)-IF($B$1+27&gt;=$B$23,$B$22,0))*(1+$B$4)^27)&gt;0,1+$B$3,1))</f>
        <v/>
      </c>
      <c r="AE103">
        <f>IF($B$1+28&gt;90,AD103,(AD103+IF($B$1+28&lt;=$B103,12*($B$7-$B$10),-12*MAX(0,($B$6+$B$10)-IF($B$1+28&gt;=$B$23,$B$22,0))*(1+$B$4)^28))*IF(AD103+IF($B$1+28&lt;=$B103,12*($B$7-$B$10),-12*MAX(0,($B$6+$B$10)-IF($B$1+28&gt;=$B$23,$B$22,0))*(1+$B$4)^28)&gt;0,1+$B$3,1))</f>
        <v/>
      </c>
      <c r="AF103">
        <f>IF($B$1+29&gt;90,AE103,(AE103+IF($B$1+29&lt;=$B103,12*($B$7-$B$10),-12*MAX(0,($B$6+$B$10)-IF($B$1+29&gt;=$B$23,$B$22,0))*(1+$B$4)^29))*IF(AE103+IF($B$1+29&lt;=$B103,12*($B$7-$B$10),-12*MAX(0,($B$6+$B$10)-IF($B$1+29&gt;=$B$23,$B$22,0))*(1+$B$4)^29)&gt;0,1+$B$3,1))</f>
        <v/>
      </c>
      <c r="AG103">
        <f>IF($B$1+30&gt;90,AF103,(AF103+IF($B$1+30&lt;=$B103,12*($B$7-$B$10),-12*MAX(0,($B$6+$B$10)-IF($B$1+30&gt;=$B$23,$B$22,0))*(1+$B$4)^30))*IF(AF103+IF($B$1+30&lt;=$B103,12*($B$7-$B$10),-12*MAX(0,($B$6+$B$10)-IF($B$1+30&gt;=$B$23,$B$22,0))*(1+$B$4)^30)&gt;0,1+$B$3,1))</f>
        <v/>
      </c>
      <c r="AH103">
        <f>IF($B$1+31&gt;90,AG103,(AG103+IF($B$1+31&lt;=$B103,12*($B$7-$B$10),-12*MAX(0,($B$6+$B$10)-IF($B$1+31&gt;=$B$23,$B$22,0))*(1+$B$4)^31))*IF(AG103+IF($B$1+31&lt;=$B103,12*($B$7-$B$10),-12*MAX(0,($B$6+$B$10)-IF($B$1+31&gt;=$B$23,$B$22,0))*(1+$B$4)^31)&gt;0,1+$B$3,1))</f>
        <v/>
      </c>
      <c r="AI103">
        <f>IF($B$1+32&gt;90,AH103,(AH103+IF($B$1+32&lt;=$B103,12*($B$7-$B$10),-12*MAX(0,($B$6+$B$10)-IF($B$1+32&gt;=$B$23,$B$22,0))*(1+$B$4)^32))*IF(AH103+IF($B$1+32&lt;=$B103,12*($B$7-$B$10),-12*MAX(0,($B$6+$B$10)-IF($B$1+32&gt;=$B$23,$B$22,0))*(1+$B$4)^32)&gt;0,1+$B$3,1))</f>
        <v/>
      </c>
      <c r="AJ103">
        <f>IF($B$1+33&gt;90,AI103,(AI103+IF($B$1+33&lt;=$B103,12*($B$7-$B$10),-12*MAX(0,($B$6+$B$10)-IF($B$1+33&gt;=$B$23,$B$22,0))*(1+$B$4)^33))*IF(AI103+IF($B$1+33&lt;=$B103,12*($B$7-$B$10),-12*MAX(0,($B$6+$B$10)-IF($B$1+33&gt;=$B$23,$B$22,0))*(1+$B$4)^33)&gt;0,1+$B$3,1))</f>
        <v/>
      </c>
      <c r="AK103">
        <f>IF($B$1+34&gt;90,AJ103,(AJ103+IF($B$1+34&lt;=$B103,12*($B$7-$B$10),-12*MAX(0,($B$6+$B$10)-IF($B$1+34&gt;=$B$23,$B$22,0))*(1+$B$4)^34))*IF(AJ103+IF($B$1+34&lt;=$B103,12*($B$7-$B$10),-12*MAX(0,($B$6+$B$10)-IF($B$1+34&gt;=$B$23,$B$22,0))*(1+$B$4)^34)&gt;0,1+$B$3,1))</f>
        <v/>
      </c>
      <c r="AL103">
        <f>IF($B$1+35&gt;90,AK103,(AK103+IF($B$1+35&lt;=$B103,12*($B$7-$B$10),-12*MAX(0,($B$6+$B$10)-IF($B$1+35&gt;=$B$23,$B$22,0))*(1+$B$4)^35))*IF(AK103+IF($B$1+35&lt;=$B103,12*($B$7-$B$10),-12*MAX(0,($B$6+$B$10)-IF($B$1+35&gt;=$B$23,$B$22,0))*(1+$B$4)^35)&gt;0,1+$B$3,1))</f>
        <v/>
      </c>
      <c r="AM103">
        <f>IF($B$1+36&gt;90,AL103,(AL103+IF($B$1+36&lt;=$B103,12*($B$7-$B$10),-12*MAX(0,($B$6+$B$10)-IF($B$1+36&gt;=$B$23,$B$22,0))*(1+$B$4)^36))*IF(AL103+IF($B$1+36&lt;=$B103,12*($B$7-$B$10),-12*MAX(0,($B$6+$B$10)-IF($B$1+36&gt;=$B$23,$B$22,0))*(1+$B$4)^36)&gt;0,1+$B$3,1))</f>
        <v/>
      </c>
      <c r="AN103">
        <f>IF($B$1+37&gt;90,AM103,(AM103+IF($B$1+37&lt;=$B103,12*($B$7-$B$10),-12*MAX(0,($B$6+$B$10)-IF($B$1+37&gt;=$B$23,$B$22,0))*(1+$B$4)^37))*IF(AM103+IF($B$1+37&lt;=$B103,12*($B$7-$B$10),-12*MAX(0,($B$6+$B$10)-IF($B$1+37&gt;=$B$23,$B$22,0))*(1+$B$4)^37)&gt;0,1+$B$3,1))</f>
        <v/>
      </c>
      <c r="AO103">
        <f>IF($B$1+38&gt;90,AN103,(AN103+IF($B$1+38&lt;=$B103,12*($B$7-$B$10),-12*MAX(0,($B$6+$B$10)-IF($B$1+38&gt;=$B$23,$B$22,0))*(1+$B$4)^38))*IF(AN103+IF($B$1+38&lt;=$B103,12*($B$7-$B$10),-12*MAX(0,($B$6+$B$10)-IF($B$1+38&gt;=$B$23,$B$22,0))*(1+$B$4)^38)&gt;0,1+$B$3,1))</f>
        <v/>
      </c>
      <c r="AP103">
        <f>IF($B$1+39&gt;90,AO103,(AO103+IF($B$1+39&lt;=$B103,12*($B$7-$B$10),-12*MAX(0,($B$6+$B$10)-IF($B$1+39&gt;=$B$23,$B$22,0))*(1+$B$4)^39))*IF(AO103+IF($B$1+39&lt;=$B103,12*($B$7-$B$10),-12*MAX(0,($B$6+$B$10)-IF($B$1+39&gt;=$B$23,$B$22,0))*(1+$B$4)^39)&gt;0,1+$B$3,1))</f>
        <v/>
      </c>
      <c r="AQ103">
        <f>IF($B$1+40&gt;90,AP103,(AP103+IF($B$1+40&lt;=$B103,12*($B$7-$B$10),-12*MAX(0,($B$6+$B$10)-IF($B$1+40&gt;=$B$23,$B$22,0))*(1+$B$4)^40))*IF(AP103+IF($B$1+40&lt;=$B103,12*($B$7-$B$10),-12*MAX(0,($B$6+$B$10)-IF($B$1+40&gt;=$B$23,$B$22,0))*(1+$B$4)^40)&gt;0,1+$B$3,1))</f>
        <v/>
      </c>
      <c r="AR103">
        <f>IF($B$1+41&gt;90,AQ103,(AQ103+IF($B$1+41&lt;=$B103,12*($B$7-$B$10),-12*MAX(0,($B$6+$B$10)-IF($B$1+41&gt;=$B$23,$B$22,0))*(1+$B$4)^41))*IF(AQ103+IF($B$1+41&lt;=$B103,12*($B$7-$B$10),-12*MAX(0,($B$6+$B$10)-IF($B$1+41&gt;=$B$23,$B$22,0))*(1+$B$4)^41)&gt;0,1+$B$3,1))</f>
        <v/>
      </c>
      <c r="AS103">
        <f>IF($B$1+42&gt;90,AR103,(AR103+IF($B$1+42&lt;=$B103,12*($B$7-$B$10),-12*MAX(0,($B$6+$B$10)-IF($B$1+42&gt;=$B$23,$B$22,0))*(1+$B$4)^42))*IF(AR103+IF($B$1+42&lt;=$B103,12*($B$7-$B$10),-12*MAX(0,($B$6+$B$10)-IF($B$1+42&gt;=$B$23,$B$22,0))*(1+$B$4)^42)&gt;0,1+$B$3,1))</f>
        <v/>
      </c>
      <c r="AT103">
        <f>IF($B$1+43&gt;90,AS103,(AS103+IF($B$1+43&lt;=$B103,12*($B$7-$B$10),-12*MAX(0,($B$6+$B$10)-IF($B$1+43&gt;=$B$23,$B$22,0))*(1+$B$4)^43))*IF(AS103+IF($B$1+43&lt;=$B103,12*($B$7-$B$10),-12*MAX(0,($B$6+$B$10)-IF($B$1+43&gt;=$B$23,$B$22,0))*(1+$B$4)^43)&gt;0,1+$B$3,1))</f>
        <v/>
      </c>
      <c r="AU103">
        <f>IF($B$1+44&gt;90,AT103,(AT103+IF($B$1+44&lt;=$B103,12*($B$7-$B$10),-12*MAX(0,($B$6+$B$10)-IF($B$1+44&gt;=$B$23,$B$22,0))*(1+$B$4)^44))*IF(AT103+IF($B$1+44&lt;=$B103,12*($B$7-$B$10),-12*MAX(0,($B$6+$B$10)-IF($B$1+44&gt;=$B$23,$B$22,0))*(1+$B$4)^44)&gt;0,1+$B$3,1))</f>
        <v/>
      </c>
      <c r="AV103">
        <f>IF($B$1+45&gt;90,AU103,(AU103+IF($B$1+45&lt;=$B103,12*($B$7-$B$10),-12*MAX(0,($B$6+$B$10)-IF($B$1+45&gt;=$B$23,$B$22,0))*(1+$B$4)^45))*IF(AU103+IF($B$1+45&lt;=$B103,12*($B$7-$B$10),-12*MAX(0,($B$6+$B$10)-IF($B$1+45&gt;=$B$23,$B$22,0))*(1+$B$4)^45)&gt;0,1+$B$3,1))</f>
        <v/>
      </c>
      <c r="AW103">
        <f>IF($B$1+46&gt;90,AV103,(AV103+IF($B$1+46&lt;=$B103,12*($B$7-$B$10),-12*MAX(0,($B$6+$B$10)-IF($B$1+46&gt;=$B$23,$B$22,0))*(1+$B$4)^46))*IF(AV103+IF($B$1+46&lt;=$B103,12*($B$7-$B$10),-12*MAX(0,($B$6+$B$10)-IF($B$1+46&gt;=$B$23,$B$22,0))*(1+$B$4)^46)&gt;0,1+$B$3,1))</f>
        <v/>
      </c>
      <c r="AX103">
        <f>IF($B$1+47&gt;90,AW103,(AW103+IF($B$1+47&lt;=$B103,12*($B$7-$B$10),-12*MAX(0,($B$6+$B$10)-IF($B$1+47&gt;=$B$23,$B$22,0))*(1+$B$4)^47))*IF(AW103+IF($B$1+47&lt;=$B103,12*($B$7-$B$10),-12*MAX(0,($B$6+$B$10)-IF($B$1+47&gt;=$B$23,$B$22,0))*(1+$B$4)^47)&gt;0,1+$B$3,1))</f>
        <v/>
      </c>
      <c r="AY103">
        <f>IF($B$1+48&gt;90,AX103,(AX103+IF($B$1+48&lt;=$B103,12*($B$7-$B$10),-12*MAX(0,($B$6+$B$10)-IF($B$1+48&gt;=$B$23,$B$22,0))*(1+$B$4)^48))*IF(AX103+IF($B$1+48&lt;=$B103,12*($B$7-$B$10),-12*MAX(0,($B$6+$B$10)-IF($B$1+48&gt;=$B$23,$B$22,0))*(1+$B$4)^48)&gt;0,1+$B$3,1))</f>
        <v/>
      </c>
      <c r="AZ103">
        <f>IF($B$1+49&gt;90,AY103,(AY103+IF($B$1+49&lt;=$B103,12*($B$7-$B$10),-12*MAX(0,($B$6+$B$10)-IF($B$1+49&gt;=$B$23,$B$22,0))*(1+$B$4)^49))*IF(AY103+IF($B$1+49&lt;=$B103,12*($B$7-$B$10),-12*MAX(0,($B$6+$B$10)-IF($B$1+49&gt;=$B$23,$B$22,0))*(1+$B$4)^49)&gt;0,1+$B$3,1))</f>
        <v/>
      </c>
      <c r="BA103">
        <f>IF($B$1+50&gt;90,AZ103,(AZ103+IF($B$1+50&lt;=$B103,12*($B$7-$B$10),-12*MAX(0,($B$6+$B$10)-IF($B$1+50&gt;=$B$23,$B$22,0))*(1+$B$4)^50))*IF(AZ103+IF($B$1+50&lt;=$B103,12*($B$7-$B$10),-12*MAX(0,($B$6+$B$10)-IF($B$1+50&gt;=$B$23,$B$22,0))*(1+$B$4)^50)&gt;0,1+$B$3,1))</f>
        <v/>
      </c>
      <c r="BB103">
        <f>IF($B$1+51&gt;90,BA103,(BA103+IF($B$1+51&lt;=$B103,12*($B$7-$B$10),-12*MAX(0,($B$6+$B$10)-IF($B$1+51&gt;=$B$23,$B$22,0))*(1+$B$4)^51))*IF(BA103+IF($B$1+51&lt;=$B103,12*($B$7-$B$10),-12*MAX(0,($B$6+$B$10)-IF($B$1+51&gt;=$B$23,$B$22,0))*(1+$B$4)^51)&gt;0,1+$B$3,1))</f>
        <v/>
      </c>
      <c r="BC103">
        <f>IF($B$1+52&gt;90,BB103,(BB103+IF($B$1+52&lt;=$B103,12*($B$7-$B$10),-12*MAX(0,($B$6+$B$10)-IF($B$1+52&gt;=$B$23,$B$22,0))*(1+$B$4)^52))*IF(BB103+IF($B$1+52&lt;=$B103,12*($B$7-$B$10),-12*MAX(0,($B$6+$B$10)-IF($B$1+52&gt;=$B$23,$B$22,0))*(1+$B$4)^52)&gt;0,1+$B$3,1))</f>
        <v/>
      </c>
      <c r="BD103">
        <f>IF($B$1+53&gt;90,BC103,(BC103+IF($B$1+53&lt;=$B103,12*($B$7-$B$10),-12*MAX(0,($B$6+$B$10)-IF($B$1+53&gt;=$B$23,$B$22,0))*(1+$B$4)^53))*IF(BC103+IF($B$1+53&lt;=$B103,12*($B$7-$B$10),-12*MAX(0,($B$6+$B$10)-IF($B$1+53&gt;=$B$23,$B$22,0))*(1+$B$4)^53)&gt;0,1+$B$3,1))</f>
        <v/>
      </c>
      <c r="BE103">
        <f>IF($B$1+54&gt;90,BD103,(BD103+IF($B$1+54&lt;=$B103,12*($B$7-$B$10),-12*MAX(0,($B$6+$B$10)-IF($B$1+54&gt;=$B$23,$B$22,0))*(1+$B$4)^54))*IF(BD103+IF($B$1+54&lt;=$B103,12*($B$7-$B$10),-12*MAX(0,($B$6+$B$10)-IF($B$1+54&gt;=$B$23,$B$22,0))*(1+$B$4)^54)&gt;0,1+$B$3,1))</f>
        <v/>
      </c>
      <c r="BF103">
        <f>IF($B$1+55&gt;90,BE103,(BE103+IF($B$1+55&lt;=$B103,12*($B$7-$B$10),-12*MAX(0,($B$6+$B$10)-IF($B$1+55&gt;=$B$23,$B$22,0))*(1+$B$4)^55))*IF(BE103+IF($B$1+55&lt;=$B103,12*($B$7-$B$10),-12*MAX(0,($B$6+$B$10)-IF($B$1+55&gt;=$B$23,$B$22,0))*(1+$B$4)^55)&gt;0,1+$B$3,1))</f>
        <v/>
      </c>
      <c r="BG103">
        <f>IF($B$1+56&gt;90,BF103,(BF103+IF($B$1+56&lt;=$B103,12*($B$7-$B$10),-12*MAX(0,($B$6+$B$10)-IF($B$1+56&gt;=$B$23,$B$22,0))*(1+$B$4)^56))*IF(BF103+IF($B$1+56&lt;=$B103,12*($B$7-$B$10),-12*MAX(0,($B$6+$B$10)-IF($B$1+56&gt;=$B$23,$B$22,0))*(1+$B$4)^56)&gt;0,1+$B$3,1))</f>
        <v/>
      </c>
      <c r="BH103">
        <f>IF($B$1+57&gt;90,BG103,(BG103+IF($B$1+57&lt;=$B103,12*($B$7-$B$10),-12*MAX(0,($B$6+$B$10)-IF($B$1+57&gt;=$B$23,$B$22,0))*(1+$B$4)^57))*IF(BG103+IF($B$1+57&lt;=$B103,12*($B$7-$B$10),-12*MAX(0,($B$6+$B$10)-IF($B$1+57&gt;=$B$23,$B$22,0))*(1+$B$4)^57)&gt;0,1+$B$3,1))</f>
        <v/>
      </c>
      <c r="BI103">
        <f>IF($B$1+58&gt;90,BH103,(BH103+IF($B$1+58&lt;=$B103,12*($B$7-$B$10),-12*MAX(0,($B$6+$B$10)-IF($B$1+58&gt;=$B$23,$B$22,0))*(1+$B$4)^58))*IF(BH103+IF($B$1+58&lt;=$B103,12*($B$7-$B$10),-12*MAX(0,($B$6+$B$10)-IF($B$1+58&gt;=$B$23,$B$22,0))*(1+$B$4)^58)&gt;0,1+$B$3,1))</f>
        <v/>
      </c>
      <c r="BJ103">
        <f>IF($B$1+59&gt;90,BI103,(BI103+IF($B$1+59&lt;=$B103,12*($B$7-$B$10),-12*MAX(0,($B$6+$B$10)-IF($B$1+59&gt;=$B$23,$B$22,0))*(1+$B$4)^59))*IF(BI103+IF($B$1+59&lt;=$B103,12*($B$7-$B$10),-12*MAX(0,($B$6+$B$10)-IF($B$1+59&gt;=$B$23,$B$22,0))*(1+$B$4)^59)&gt;0,1+$B$3,1))</f>
        <v/>
      </c>
      <c r="BK103">
        <f>IF($B$1+60&gt;90,BJ103,(BJ103+IF($B$1+60&lt;=$B103,12*($B$7-$B$10),-12*MAX(0,($B$6+$B$10)-IF($B$1+60&gt;=$B$23,$B$22,0))*(1+$B$4)^60))*IF(BJ103+IF($B$1+60&lt;=$B103,12*($B$7-$B$10),-12*MAX(0,($B$6+$B$10)-IF($B$1+60&gt;=$B$23,$B$22,0))*(1+$B$4)^60)&gt;0,1+$B$3,1))</f>
        <v/>
      </c>
      <c r="BL103">
        <f>IF($B$1+61&gt;90,BK103,(BK103+IF($B$1+61&lt;=$B103,12*($B$7-$B$10),-12*MAX(0,($B$6+$B$10)-IF($B$1+61&gt;=$B$23,$B$22,0))*(1+$B$4)^61))*IF(BK103+IF($B$1+61&lt;=$B103,12*($B$7-$B$10),-12*MAX(0,($B$6+$B$10)-IF($B$1+61&gt;=$B$23,$B$22,0))*(1+$B$4)^61)&gt;0,1+$B$3,1))</f>
        <v/>
      </c>
      <c r="BM103">
        <f>IF($B$1+62&gt;90,BL103,(BL103+IF($B$1+62&lt;=$B103,12*($B$7-$B$10),-12*MAX(0,($B$6+$B$10)-IF($B$1+62&gt;=$B$23,$B$22,0))*(1+$B$4)^62))*IF(BL103+IF($B$1+62&lt;=$B103,12*($B$7-$B$10),-12*MAX(0,($B$6+$B$10)-IF($B$1+62&gt;=$B$23,$B$22,0))*(1+$B$4)^62)&gt;0,1+$B$3,1))</f>
        <v/>
      </c>
      <c r="BN103">
        <f>IF($B$1+63&gt;90,BM103,(BM103+IF($B$1+63&lt;=$B103,12*($B$7-$B$10),-12*MAX(0,($B$6+$B$10)-IF($B$1+63&gt;=$B$23,$B$22,0))*(1+$B$4)^63))*IF(BM103+IF($B$1+63&lt;=$B103,12*($B$7-$B$10),-12*MAX(0,($B$6+$B$10)-IF($B$1+63&gt;=$B$23,$B$22,0))*(1+$B$4)^63)&gt;0,1+$B$3,1))</f>
        <v/>
      </c>
      <c r="BO103">
        <f>IF($B$1+64&gt;90,BN103,(BN103+IF($B$1+64&lt;=$B103,12*($B$7-$B$10),-12*MAX(0,($B$6+$B$10)-IF($B$1+64&gt;=$B$23,$B$22,0))*(1+$B$4)^64))*IF(BN103+IF($B$1+64&lt;=$B103,12*($B$7-$B$10),-12*MAX(0,($B$6+$B$10)-IF($B$1+64&gt;=$B$23,$B$22,0))*(1+$B$4)^64)&gt;0,1+$B$3,1))</f>
        <v/>
      </c>
      <c r="BP103">
        <f>IF($B$1+65&gt;90,BO103,(BO103+IF($B$1+65&lt;=$B103,12*($B$7-$B$10),-12*MAX(0,($B$6+$B$10)-IF($B$1+65&gt;=$B$23,$B$22,0))*(1+$B$4)^65))*IF(BO103+IF($B$1+65&lt;=$B103,12*($B$7-$B$10),-12*MAX(0,($B$6+$B$10)-IF($B$1+65&gt;=$B$23,$B$22,0))*(1+$B$4)^65)&gt;0,1+$B$3,1))</f>
        <v/>
      </c>
      <c r="BQ103">
        <f>IF($B$1+66&gt;90,BP103,(BP103+IF($B$1+66&lt;=$B103,12*($B$7-$B$10),-12*MAX(0,($B$6+$B$10)-IF($B$1+66&gt;=$B$23,$B$22,0))*(1+$B$4)^66))*IF(BP103+IF($B$1+66&lt;=$B103,12*($B$7-$B$10),-12*MAX(0,($B$6+$B$10)-IF($B$1+66&gt;=$B$23,$B$22,0))*(1+$B$4)^66)&gt;0,1+$B$3,1))</f>
        <v/>
      </c>
      <c r="BR103">
        <f>IF($B$1+67&gt;90,BQ103,(BQ103+IF($B$1+67&lt;=$B103,12*($B$7-$B$10),-12*MAX(0,($B$6+$B$10)-IF($B$1+67&gt;=$B$23,$B$22,0))*(1+$B$4)^67))*IF(BQ103+IF($B$1+67&lt;=$B103,12*($B$7-$B$10),-12*MAX(0,($B$6+$B$10)-IF($B$1+67&gt;=$B$23,$B$22,0))*(1+$B$4)^67)&gt;0,1+$B$3,1))</f>
        <v/>
      </c>
      <c r="BS103">
        <f>IF($B$1+68&gt;90,BR103,(BR103+IF($B$1+68&lt;=$B103,12*($B$7-$B$10),-12*MAX(0,($B$6+$B$10)-IF($B$1+68&gt;=$B$23,$B$22,0))*(1+$B$4)^68))*IF(BR103+IF($B$1+68&lt;=$B103,12*($B$7-$B$10),-12*MAX(0,($B$6+$B$10)-IF($B$1+68&gt;=$B$23,$B$22,0))*(1+$B$4)^68)&gt;0,1+$B$3,1))</f>
        <v/>
      </c>
      <c r="BT103">
        <f>IF($B$1+69&gt;90,BS103,(BS103+IF($B$1+69&lt;=$B103,12*($B$7-$B$10),-12*MAX(0,($B$6+$B$10)-IF($B$1+69&gt;=$B$23,$B$22,0))*(1+$B$4)^69))*IF(BS103+IF($B$1+69&lt;=$B103,12*($B$7-$B$10),-12*MAX(0,($B$6+$B$10)-IF($B$1+69&gt;=$B$23,$B$22,0))*(1+$B$4)^69)&gt;0,1+$B$3,1))</f>
        <v/>
      </c>
      <c r="BU103">
        <f>IF($B$1+70&gt;90,BT103,(BT103+IF($B$1+70&lt;=$B103,12*($B$7-$B$10),-12*MAX(0,($B$6+$B$10)-IF($B$1+70&gt;=$B$23,$B$22,0))*(1+$B$4)^70))*IF(BT103+IF($B$1+70&lt;=$B103,12*($B$7-$B$10),-12*MAX(0,($B$6+$B$10)-IF($B$1+70&gt;=$B$23,$B$22,0))*(1+$B$4)^70)&gt;0,1+$B$3,1))</f>
        <v/>
      </c>
      <c r="BV103">
        <f>BU103</f>
        <v/>
      </c>
      <c r="BW103">
        <f>IF(AND($B103&lt;=70,BV103&gt;0),$B103,999)</f>
        <v/>
      </c>
      <c r="CH103">
        <f>IF(ISTEXT('월 가계부'!A103),SUBSTITUTE(SUBSTITUTE(SUBSTITUTE(SUBSTITUTE(SUBSTITUTE(SUBSTITUTE(SUBSTITUTE(SUBSTITUTE(SUBSTITUTE(TRIM('월 가계부'!A103),"년","-"),"월","-"),"일",""),".","-"),"/","-")," ","-"),"--","-"),"--","-"),"--","-")&amp;"-","")</f>
        <v/>
      </c>
      <c r="CI103">
        <f>IFERROR(IF('월 가계부'!A103="","",IF(ISNUMBER('월 가계부'!A103),IF(AND('월 가계부'!A103&gt;=19000101,'월 가계부'!A103&lt;=21001231),IF(AND(MOD(INT('월 가계부'!A103/100),100)&gt;=1,MOD(INT('월 가계부'!A103/100),100)&lt;=12,MOD(INT('월 가계부'!A103),100)&gt;=1,MOD(INT('월 가계부'!A103),100)&lt;=31),IF(MONTH(DATE(INT('월 가계부'!A103/10000),MOD(INT('월 가계부'!A103/100),100),MOD(INT('월 가계부'!A103),100)))=MOD(INT('월 가계부'!A103/100),100),DATE(INT('월 가계부'!A103/10000),MOD(INT('월 가계부'!A103/100),100),MOD(INT('월 가계부'!A103),100)),""),""),IF(AND('월 가계부'!A103&gt;=36526,'월 가계부'!A103&lt;73051),INT('월 가계부'!A103),"")),IF(OR(CM103="",CN103="",CO103=""),"",IF(AND(CM103&gt;=2000,CM103&lt;=2099,CN103&gt;=1,CN103&lt;=12,CO103&gt;=1,CO103&lt;=31),IF(MONTH(DATE(CM103,CN103,CO103))=CN103,DATE(CM103,CN103,CO103),""),"")))),"")</f>
        <v/>
      </c>
      <c r="CJ103">
        <f>IFERROR(IF('월 가계부'!C103="","",IF(ISNUMBER('월 가계부'!C103),'월 가계부'!C103,VALUE(SUBSTITUTE(SUBSTITUTE(SUBSTITUTE(SUBSTITUTE(TRIM('월 가계부'!C103),",",""),"원","")," ",""),"−","-")))),"")</f>
        <v/>
      </c>
      <c r="CK103">
        <f>IF(ISNUMBER(CI103),IF(CI103&lt;$B$13,CI103,""),"")</f>
        <v/>
      </c>
      <c r="CM103">
        <f>IF(CH103="","",IFERROR(IF(IF(AND(LEN(CH103)=9,ISERROR(FIND("-",LEFT(CH103,8))),ISNUMBER(-LEFT(CH103,8))),VALUE(LEFT(CH103,4)),VALUE(LEFT(CH103,FIND("-",CH103)-1)))&lt;100,IF(AND(LEN(CH103)=9,ISERROR(FIND("-",LEFT(CH103,8))),ISNUMBER(-LEFT(CH103,8))),VALUE(LEFT(CH103,4)),VALUE(LEFT(CH103,FIND("-",CH103)-1)))+2000,IF(AND(LEN(CH103)=9,ISERROR(FIND("-",LEFT(CH103,8))),ISNUMBER(-LEFT(CH103,8))),VALUE(LEFT(CH103,4)),VALUE(LEFT(CH103,FIND("-",CH103)-1)))),""))</f>
        <v/>
      </c>
      <c r="CN103">
        <f>IF(CH103="","",IFERROR(IF(AND(LEN(CH103)=9,ISERROR(FIND("-",LEFT(CH103,8))),ISNUMBER(-LEFT(CH103,8))),VALUE(MID(CH103,5,2)),VALUE(MID(CH103,FIND("-",CH103)+1,FIND("-",CH103,FIND("-",CH103)+1)-FIND("-",CH103)-1))),""))</f>
        <v/>
      </c>
      <c r="CO103">
        <f>IF(CH103="","",IFERROR(IF(AND(LEN(CH103)=9,ISERROR(FIND("-",LEFT(CH103,8))),ISNUMBER(-LEFT(CH103,8))),VALUE(MID(CH103,7,2)),VALUE(MID(CH103,FIND("-",CH103,FIND("-",CH103)+1)+1,FIND("-",CH103,FIND("-",CH103,FIND("-",CH103)+1)+1)-FIND("-",CH103,FIND("-",CH103)+1)-1))),""))</f>
        <v/>
      </c>
    </row>
    <row r="104">
      <c r="A104" t="n">
        <v>8</v>
      </c>
      <c r="B104">
        <f>$B$1+8</f>
        <v/>
      </c>
      <c r="C104">
        <f>$B$2</f>
        <v/>
      </c>
      <c r="D104">
        <f>IF($B$1+1&gt;90,C104,(C104+IF($B$1+1&lt;=$B104,12*($B$7-$B$10),-12*MAX(0,($B$6+$B$10)-IF($B$1+1&gt;=$B$23,$B$22,0))*(1+$B$4)^1))*IF(C104+IF($B$1+1&lt;=$B104,12*($B$7-$B$10),-12*MAX(0,($B$6+$B$10)-IF($B$1+1&gt;=$B$23,$B$22,0))*(1+$B$4)^1)&gt;0,1+$B$3,1))</f>
        <v/>
      </c>
      <c r="E104">
        <f>IF($B$1+2&gt;90,D104,(D104+IF($B$1+2&lt;=$B104,12*($B$7-$B$10),-12*MAX(0,($B$6+$B$10)-IF($B$1+2&gt;=$B$23,$B$22,0))*(1+$B$4)^2))*IF(D104+IF($B$1+2&lt;=$B104,12*($B$7-$B$10),-12*MAX(0,($B$6+$B$10)-IF($B$1+2&gt;=$B$23,$B$22,0))*(1+$B$4)^2)&gt;0,1+$B$3,1))</f>
        <v/>
      </c>
      <c r="F104">
        <f>IF($B$1+3&gt;90,E104,(E104+IF($B$1+3&lt;=$B104,12*($B$7-$B$10),-12*MAX(0,($B$6+$B$10)-IF($B$1+3&gt;=$B$23,$B$22,0))*(1+$B$4)^3))*IF(E104+IF($B$1+3&lt;=$B104,12*($B$7-$B$10),-12*MAX(0,($B$6+$B$10)-IF($B$1+3&gt;=$B$23,$B$22,0))*(1+$B$4)^3)&gt;0,1+$B$3,1))</f>
        <v/>
      </c>
      <c r="G104">
        <f>IF($B$1+4&gt;90,F104,(F104+IF($B$1+4&lt;=$B104,12*($B$7-$B$10),-12*MAX(0,($B$6+$B$10)-IF($B$1+4&gt;=$B$23,$B$22,0))*(1+$B$4)^4))*IF(F104+IF($B$1+4&lt;=$B104,12*($B$7-$B$10),-12*MAX(0,($B$6+$B$10)-IF($B$1+4&gt;=$B$23,$B$22,0))*(1+$B$4)^4)&gt;0,1+$B$3,1))</f>
        <v/>
      </c>
      <c r="H104">
        <f>IF($B$1+5&gt;90,G104,(G104+IF($B$1+5&lt;=$B104,12*($B$7-$B$10),-12*MAX(0,($B$6+$B$10)-IF($B$1+5&gt;=$B$23,$B$22,0))*(1+$B$4)^5))*IF(G104+IF($B$1+5&lt;=$B104,12*($B$7-$B$10),-12*MAX(0,($B$6+$B$10)-IF($B$1+5&gt;=$B$23,$B$22,0))*(1+$B$4)^5)&gt;0,1+$B$3,1))</f>
        <v/>
      </c>
      <c r="I104">
        <f>IF($B$1+6&gt;90,H104,(H104+IF($B$1+6&lt;=$B104,12*($B$7-$B$10),-12*MAX(0,($B$6+$B$10)-IF($B$1+6&gt;=$B$23,$B$22,0))*(1+$B$4)^6))*IF(H104+IF($B$1+6&lt;=$B104,12*($B$7-$B$10),-12*MAX(0,($B$6+$B$10)-IF($B$1+6&gt;=$B$23,$B$22,0))*(1+$B$4)^6)&gt;0,1+$B$3,1))</f>
        <v/>
      </c>
      <c r="J104">
        <f>IF($B$1+7&gt;90,I104,(I104+IF($B$1+7&lt;=$B104,12*($B$7-$B$10),-12*MAX(0,($B$6+$B$10)-IF($B$1+7&gt;=$B$23,$B$22,0))*(1+$B$4)^7))*IF(I104+IF($B$1+7&lt;=$B104,12*($B$7-$B$10),-12*MAX(0,($B$6+$B$10)-IF($B$1+7&gt;=$B$23,$B$22,0))*(1+$B$4)^7)&gt;0,1+$B$3,1))</f>
        <v/>
      </c>
      <c r="K104">
        <f>IF($B$1+8&gt;90,J104,(J104+IF($B$1+8&lt;=$B104,12*($B$7-$B$10),-12*MAX(0,($B$6+$B$10)-IF($B$1+8&gt;=$B$23,$B$22,0))*(1+$B$4)^8))*IF(J104+IF($B$1+8&lt;=$B104,12*($B$7-$B$10),-12*MAX(0,($B$6+$B$10)-IF($B$1+8&gt;=$B$23,$B$22,0))*(1+$B$4)^8)&gt;0,1+$B$3,1))</f>
        <v/>
      </c>
      <c r="L104">
        <f>IF($B$1+9&gt;90,K104,(K104+IF($B$1+9&lt;=$B104,12*($B$7-$B$10),-12*MAX(0,($B$6+$B$10)-IF($B$1+9&gt;=$B$23,$B$22,0))*(1+$B$4)^9))*IF(K104+IF($B$1+9&lt;=$B104,12*($B$7-$B$10),-12*MAX(0,($B$6+$B$10)-IF($B$1+9&gt;=$B$23,$B$22,0))*(1+$B$4)^9)&gt;0,1+$B$3,1))</f>
        <v/>
      </c>
      <c r="M104">
        <f>IF($B$1+10&gt;90,L104,(L104+IF($B$1+10&lt;=$B104,12*($B$7-$B$10),-12*MAX(0,($B$6+$B$10)-IF($B$1+10&gt;=$B$23,$B$22,0))*(1+$B$4)^10))*IF(L104+IF($B$1+10&lt;=$B104,12*($B$7-$B$10),-12*MAX(0,($B$6+$B$10)-IF($B$1+10&gt;=$B$23,$B$22,0))*(1+$B$4)^10)&gt;0,1+$B$3,1))</f>
        <v/>
      </c>
      <c r="N104">
        <f>IF($B$1+11&gt;90,M104,(M104+IF($B$1+11&lt;=$B104,12*($B$7-$B$10),-12*MAX(0,($B$6+$B$10)-IF($B$1+11&gt;=$B$23,$B$22,0))*(1+$B$4)^11))*IF(M104+IF($B$1+11&lt;=$B104,12*($B$7-$B$10),-12*MAX(0,($B$6+$B$10)-IF($B$1+11&gt;=$B$23,$B$22,0))*(1+$B$4)^11)&gt;0,1+$B$3,1))</f>
        <v/>
      </c>
      <c r="O104">
        <f>IF($B$1+12&gt;90,N104,(N104+IF($B$1+12&lt;=$B104,12*($B$7-$B$10),-12*MAX(0,($B$6+$B$10)-IF($B$1+12&gt;=$B$23,$B$22,0))*(1+$B$4)^12))*IF(N104+IF($B$1+12&lt;=$B104,12*($B$7-$B$10),-12*MAX(0,($B$6+$B$10)-IF($B$1+12&gt;=$B$23,$B$22,0))*(1+$B$4)^12)&gt;0,1+$B$3,1))</f>
        <v/>
      </c>
      <c r="P104">
        <f>IF($B$1+13&gt;90,O104,(O104+IF($B$1+13&lt;=$B104,12*($B$7-$B$10),-12*MAX(0,($B$6+$B$10)-IF($B$1+13&gt;=$B$23,$B$22,0))*(1+$B$4)^13))*IF(O104+IF($B$1+13&lt;=$B104,12*($B$7-$B$10),-12*MAX(0,($B$6+$B$10)-IF($B$1+13&gt;=$B$23,$B$22,0))*(1+$B$4)^13)&gt;0,1+$B$3,1))</f>
        <v/>
      </c>
      <c r="Q104">
        <f>IF($B$1+14&gt;90,P104,(P104+IF($B$1+14&lt;=$B104,12*($B$7-$B$10),-12*MAX(0,($B$6+$B$10)-IF($B$1+14&gt;=$B$23,$B$22,0))*(1+$B$4)^14))*IF(P104+IF($B$1+14&lt;=$B104,12*($B$7-$B$10),-12*MAX(0,($B$6+$B$10)-IF($B$1+14&gt;=$B$23,$B$22,0))*(1+$B$4)^14)&gt;0,1+$B$3,1))</f>
        <v/>
      </c>
      <c r="R104">
        <f>IF($B$1+15&gt;90,Q104,(Q104+IF($B$1+15&lt;=$B104,12*($B$7-$B$10),-12*MAX(0,($B$6+$B$10)-IF($B$1+15&gt;=$B$23,$B$22,0))*(1+$B$4)^15))*IF(Q104+IF($B$1+15&lt;=$B104,12*($B$7-$B$10),-12*MAX(0,($B$6+$B$10)-IF($B$1+15&gt;=$B$23,$B$22,0))*(1+$B$4)^15)&gt;0,1+$B$3,1))</f>
        <v/>
      </c>
      <c r="S104">
        <f>IF($B$1+16&gt;90,R104,(R104+IF($B$1+16&lt;=$B104,12*($B$7-$B$10),-12*MAX(0,($B$6+$B$10)-IF($B$1+16&gt;=$B$23,$B$22,0))*(1+$B$4)^16))*IF(R104+IF($B$1+16&lt;=$B104,12*($B$7-$B$10),-12*MAX(0,($B$6+$B$10)-IF($B$1+16&gt;=$B$23,$B$22,0))*(1+$B$4)^16)&gt;0,1+$B$3,1))</f>
        <v/>
      </c>
      <c r="T104">
        <f>IF($B$1+17&gt;90,S104,(S104+IF($B$1+17&lt;=$B104,12*($B$7-$B$10),-12*MAX(0,($B$6+$B$10)-IF($B$1+17&gt;=$B$23,$B$22,0))*(1+$B$4)^17))*IF(S104+IF($B$1+17&lt;=$B104,12*($B$7-$B$10),-12*MAX(0,($B$6+$B$10)-IF($B$1+17&gt;=$B$23,$B$22,0))*(1+$B$4)^17)&gt;0,1+$B$3,1))</f>
        <v/>
      </c>
      <c r="U104">
        <f>IF($B$1+18&gt;90,T104,(T104+IF($B$1+18&lt;=$B104,12*($B$7-$B$10),-12*MAX(0,($B$6+$B$10)-IF($B$1+18&gt;=$B$23,$B$22,0))*(1+$B$4)^18))*IF(T104+IF($B$1+18&lt;=$B104,12*($B$7-$B$10),-12*MAX(0,($B$6+$B$10)-IF($B$1+18&gt;=$B$23,$B$22,0))*(1+$B$4)^18)&gt;0,1+$B$3,1))</f>
        <v/>
      </c>
      <c r="V104">
        <f>IF($B$1+19&gt;90,U104,(U104+IF($B$1+19&lt;=$B104,12*($B$7-$B$10),-12*MAX(0,($B$6+$B$10)-IF($B$1+19&gt;=$B$23,$B$22,0))*(1+$B$4)^19))*IF(U104+IF($B$1+19&lt;=$B104,12*($B$7-$B$10),-12*MAX(0,($B$6+$B$10)-IF($B$1+19&gt;=$B$23,$B$22,0))*(1+$B$4)^19)&gt;0,1+$B$3,1))</f>
        <v/>
      </c>
      <c r="W104">
        <f>IF($B$1+20&gt;90,V104,(V104+IF($B$1+20&lt;=$B104,12*($B$7-$B$10),-12*MAX(0,($B$6+$B$10)-IF($B$1+20&gt;=$B$23,$B$22,0))*(1+$B$4)^20))*IF(V104+IF($B$1+20&lt;=$B104,12*($B$7-$B$10),-12*MAX(0,($B$6+$B$10)-IF($B$1+20&gt;=$B$23,$B$22,0))*(1+$B$4)^20)&gt;0,1+$B$3,1))</f>
        <v/>
      </c>
      <c r="X104">
        <f>IF($B$1+21&gt;90,W104,(W104+IF($B$1+21&lt;=$B104,12*($B$7-$B$10),-12*MAX(0,($B$6+$B$10)-IF($B$1+21&gt;=$B$23,$B$22,0))*(1+$B$4)^21))*IF(W104+IF($B$1+21&lt;=$B104,12*($B$7-$B$10),-12*MAX(0,($B$6+$B$10)-IF($B$1+21&gt;=$B$23,$B$22,0))*(1+$B$4)^21)&gt;0,1+$B$3,1))</f>
        <v/>
      </c>
      <c r="Y104">
        <f>IF($B$1+22&gt;90,X104,(X104+IF($B$1+22&lt;=$B104,12*($B$7-$B$10),-12*MAX(0,($B$6+$B$10)-IF($B$1+22&gt;=$B$23,$B$22,0))*(1+$B$4)^22))*IF(X104+IF($B$1+22&lt;=$B104,12*($B$7-$B$10),-12*MAX(0,($B$6+$B$10)-IF($B$1+22&gt;=$B$23,$B$22,0))*(1+$B$4)^22)&gt;0,1+$B$3,1))</f>
        <v/>
      </c>
      <c r="Z104">
        <f>IF($B$1+23&gt;90,Y104,(Y104+IF($B$1+23&lt;=$B104,12*($B$7-$B$10),-12*MAX(0,($B$6+$B$10)-IF($B$1+23&gt;=$B$23,$B$22,0))*(1+$B$4)^23))*IF(Y104+IF($B$1+23&lt;=$B104,12*($B$7-$B$10),-12*MAX(0,($B$6+$B$10)-IF($B$1+23&gt;=$B$23,$B$22,0))*(1+$B$4)^23)&gt;0,1+$B$3,1))</f>
        <v/>
      </c>
      <c r="AA104">
        <f>IF($B$1+24&gt;90,Z104,(Z104+IF($B$1+24&lt;=$B104,12*($B$7-$B$10),-12*MAX(0,($B$6+$B$10)-IF($B$1+24&gt;=$B$23,$B$22,0))*(1+$B$4)^24))*IF(Z104+IF($B$1+24&lt;=$B104,12*($B$7-$B$10),-12*MAX(0,($B$6+$B$10)-IF($B$1+24&gt;=$B$23,$B$22,0))*(1+$B$4)^24)&gt;0,1+$B$3,1))</f>
        <v/>
      </c>
      <c r="AB104">
        <f>IF($B$1+25&gt;90,AA104,(AA104+IF($B$1+25&lt;=$B104,12*($B$7-$B$10),-12*MAX(0,($B$6+$B$10)-IF($B$1+25&gt;=$B$23,$B$22,0))*(1+$B$4)^25))*IF(AA104+IF($B$1+25&lt;=$B104,12*($B$7-$B$10),-12*MAX(0,($B$6+$B$10)-IF($B$1+25&gt;=$B$23,$B$22,0))*(1+$B$4)^25)&gt;0,1+$B$3,1))</f>
        <v/>
      </c>
      <c r="AC104">
        <f>IF($B$1+26&gt;90,AB104,(AB104+IF($B$1+26&lt;=$B104,12*($B$7-$B$10),-12*MAX(0,($B$6+$B$10)-IF($B$1+26&gt;=$B$23,$B$22,0))*(1+$B$4)^26))*IF(AB104+IF($B$1+26&lt;=$B104,12*($B$7-$B$10),-12*MAX(0,($B$6+$B$10)-IF($B$1+26&gt;=$B$23,$B$22,0))*(1+$B$4)^26)&gt;0,1+$B$3,1))</f>
        <v/>
      </c>
      <c r="AD104">
        <f>IF($B$1+27&gt;90,AC104,(AC104+IF($B$1+27&lt;=$B104,12*($B$7-$B$10),-12*MAX(0,($B$6+$B$10)-IF($B$1+27&gt;=$B$23,$B$22,0))*(1+$B$4)^27))*IF(AC104+IF($B$1+27&lt;=$B104,12*($B$7-$B$10),-12*MAX(0,($B$6+$B$10)-IF($B$1+27&gt;=$B$23,$B$22,0))*(1+$B$4)^27)&gt;0,1+$B$3,1))</f>
        <v/>
      </c>
      <c r="AE104">
        <f>IF($B$1+28&gt;90,AD104,(AD104+IF($B$1+28&lt;=$B104,12*($B$7-$B$10),-12*MAX(0,($B$6+$B$10)-IF($B$1+28&gt;=$B$23,$B$22,0))*(1+$B$4)^28))*IF(AD104+IF($B$1+28&lt;=$B104,12*($B$7-$B$10),-12*MAX(0,($B$6+$B$10)-IF($B$1+28&gt;=$B$23,$B$22,0))*(1+$B$4)^28)&gt;0,1+$B$3,1))</f>
        <v/>
      </c>
      <c r="AF104">
        <f>IF($B$1+29&gt;90,AE104,(AE104+IF($B$1+29&lt;=$B104,12*($B$7-$B$10),-12*MAX(0,($B$6+$B$10)-IF($B$1+29&gt;=$B$23,$B$22,0))*(1+$B$4)^29))*IF(AE104+IF($B$1+29&lt;=$B104,12*($B$7-$B$10),-12*MAX(0,($B$6+$B$10)-IF($B$1+29&gt;=$B$23,$B$22,0))*(1+$B$4)^29)&gt;0,1+$B$3,1))</f>
        <v/>
      </c>
      <c r="AG104">
        <f>IF($B$1+30&gt;90,AF104,(AF104+IF($B$1+30&lt;=$B104,12*($B$7-$B$10),-12*MAX(0,($B$6+$B$10)-IF($B$1+30&gt;=$B$23,$B$22,0))*(1+$B$4)^30))*IF(AF104+IF($B$1+30&lt;=$B104,12*($B$7-$B$10),-12*MAX(0,($B$6+$B$10)-IF($B$1+30&gt;=$B$23,$B$22,0))*(1+$B$4)^30)&gt;0,1+$B$3,1))</f>
        <v/>
      </c>
      <c r="AH104">
        <f>IF($B$1+31&gt;90,AG104,(AG104+IF($B$1+31&lt;=$B104,12*($B$7-$B$10),-12*MAX(0,($B$6+$B$10)-IF($B$1+31&gt;=$B$23,$B$22,0))*(1+$B$4)^31))*IF(AG104+IF($B$1+31&lt;=$B104,12*($B$7-$B$10),-12*MAX(0,($B$6+$B$10)-IF($B$1+31&gt;=$B$23,$B$22,0))*(1+$B$4)^31)&gt;0,1+$B$3,1))</f>
        <v/>
      </c>
      <c r="AI104">
        <f>IF($B$1+32&gt;90,AH104,(AH104+IF($B$1+32&lt;=$B104,12*($B$7-$B$10),-12*MAX(0,($B$6+$B$10)-IF($B$1+32&gt;=$B$23,$B$22,0))*(1+$B$4)^32))*IF(AH104+IF($B$1+32&lt;=$B104,12*($B$7-$B$10),-12*MAX(0,($B$6+$B$10)-IF($B$1+32&gt;=$B$23,$B$22,0))*(1+$B$4)^32)&gt;0,1+$B$3,1))</f>
        <v/>
      </c>
      <c r="AJ104">
        <f>IF($B$1+33&gt;90,AI104,(AI104+IF($B$1+33&lt;=$B104,12*($B$7-$B$10),-12*MAX(0,($B$6+$B$10)-IF($B$1+33&gt;=$B$23,$B$22,0))*(1+$B$4)^33))*IF(AI104+IF($B$1+33&lt;=$B104,12*($B$7-$B$10),-12*MAX(0,($B$6+$B$10)-IF($B$1+33&gt;=$B$23,$B$22,0))*(1+$B$4)^33)&gt;0,1+$B$3,1))</f>
        <v/>
      </c>
      <c r="AK104">
        <f>IF($B$1+34&gt;90,AJ104,(AJ104+IF($B$1+34&lt;=$B104,12*($B$7-$B$10),-12*MAX(0,($B$6+$B$10)-IF($B$1+34&gt;=$B$23,$B$22,0))*(1+$B$4)^34))*IF(AJ104+IF($B$1+34&lt;=$B104,12*($B$7-$B$10),-12*MAX(0,($B$6+$B$10)-IF($B$1+34&gt;=$B$23,$B$22,0))*(1+$B$4)^34)&gt;0,1+$B$3,1))</f>
        <v/>
      </c>
      <c r="AL104">
        <f>IF($B$1+35&gt;90,AK104,(AK104+IF($B$1+35&lt;=$B104,12*($B$7-$B$10),-12*MAX(0,($B$6+$B$10)-IF($B$1+35&gt;=$B$23,$B$22,0))*(1+$B$4)^35))*IF(AK104+IF($B$1+35&lt;=$B104,12*($B$7-$B$10),-12*MAX(0,($B$6+$B$10)-IF($B$1+35&gt;=$B$23,$B$22,0))*(1+$B$4)^35)&gt;0,1+$B$3,1))</f>
        <v/>
      </c>
      <c r="AM104">
        <f>IF($B$1+36&gt;90,AL104,(AL104+IF($B$1+36&lt;=$B104,12*($B$7-$B$10),-12*MAX(0,($B$6+$B$10)-IF($B$1+36&gt;=$B$23,$B$22,0))*(1+$B$4)^36))*IF(AL104+IF($B$1+36&lt;=$B104,12*($B$7-$B$10),-12*MAX(0,($B$6+$B$10)-IF($B$1+36&gt;=$B$23,$B$22,0))*(1+$B$4)^36)&gt;0,1+$B$3,1))</f>
        <v/>
      </c>
      <c r="AN104">
        <f>IF($B$1+37&gt;90,AM104,(AM104+IF($B$1+37&lt;=$B104,12*($B$7-$B$10),-12*MAX(0,($B$6+$B$10)-IF($B$1+37&gt;=$B$23,$B$22,0))*(1+$B$4)^37))*IF(AM104+IF($B$1+37&lt;=$B104,12*($B$7-$B$10),-12*MAX(0,($B$6+$B$10)-IF($B$1+37&gt;=$B$23,$B$22,0))*(1+$B$4)^37)&gt;0,1+$B$3,1))</f>
        <v/>
      </c>
      <c r="AO104">
        <f>IF($B$1+38&gt;90,AN104,(AN104+IF($B$1+38&lt;=$B104,12*($B$7-$B$10),-12*MAX(0,($B$6+$B$10)-IF($B$1+38&gt;=$B$23,$B$22,0))*(1+$B$4)^38))*IF(AN104+IF($B$1+38&lt;=$B104,12*($B$7-$B$10),-12*MAX(0,($B$6+$B$10)-IF($B$1+38&gt;=$B$23,$B$22,0))*(1+$B$4)^38)&gt;0,1+$B$3,1))</f>
        <v/>
      </c>
      <c r="AP104">
        <f>IF($B$1+39&gt;90,AO104,(AO104+IF($B$1+39&lt;=$B104,12*($B$7-$B$10),-12*MAX(0,($B$6+$B$10)-IF($B$1+39&gt;=$B$23,$B$22,0))*(1+$B$4)^39))*IF(AO104+IF($B$1+39&lt;=$B104,12*($B$7-$B$10),-12*MAX(0,($B$6+$B$10)-IF($B$1+39&gt;=$B$23,$B$22,0))*(1+$B$4)^39)&gt;0,1+$B$3,1))</f>
        <v/>
      </c>
      <c r="AQ104">
        <f>IF($B$1+40&gt;90,AP104,(AP104+IF($B$1+40&lt;=$B104,12*($B$7-$B$10),-12*MAX(0,($B$6+$B$10)-IF($B$1+40&gt;=$B$23,$B$22,0))*(1+$B$4)^40))*IF(AP104+IF($B$1+40&lt;=$B104,12*($B$7-$B$10),-12*MAX(0,($B$6+$B$10)-IF($B$1+40&gt;=$B$23,$B$22,0))*(1+$B$4)^40)&gt;0,1+$B$3,1))</f>
        <v/>
      </c>
      <c r="AR104">
        <f>IF($B$1+41&gt;90,AQ104,(AQ104+IF($B$1+41&lt;=$B104,12*($B$7-$B$10),-12*MAX(0,($B$6+$B$10)-IF($B$1+41&gt;=$B$23,$B$22,0))*(1+$B$4)^41))*IF(AQ104+IF($B$1+41&lt;=$B104,12*($B$7-$B$10),-12*MAX(0,($B$6+$B$10)-IF($B$1+41&gt;=$B$23,$B$22,0))*(1+$B$4)^41)&gt;0,1+$B$3,1))</f>
        <v/>
      </c>
      <c r="AS104">
        <f>IF($B$1+42&gt;90,AR104,(AR104+IF($B$1+42&lt;=$B104,12*($B$7-$B$10),-12*MAX(0,($B$6+$B$10)-IF($B$1+42&gt;=$B$23,$B$22,0))*(1+$B$4)^42))*IF(AR104+IF($B$1+42&lt;=$B104,12*($B$7-$B$10),-12*MAX(0,($B$6+$B$10)-IF($B$1+42&gt;=$B$23,$B$22,0))*(1+$B$4)^42)&gt;0,1+$B$3,1))</f>
        <v/>
      </c>
      <c r="AT104">
        <f>IF($B$1+43&gt;90,AS104,(AS104+IF($B$1+43&lt;=$B104,12*($B$7-$B$10),-12*MAX(0,($B$6+$B$10)-IF($B$1+43&gt;=$B$23,$B$22,0))*(1+$B$4)^43))*IF(AS104+IF($B$1+43&lt;=$B104,12*($B$7-$B$10),-12*MAX(0,($B$6+$B$10)-IF($B$1+43&gt;=$B$23,$B$22,0))*(1+$B$4)^43)&gt;0,1+$B$3,1))</f>
        <v/>
      </c>
      <c r="AU104">
        <f>IF($B$1+44&gt;90,AT104,(AT104+IF($B$1+44&lt;=$B104,12*($B$7-$B$10),-12*MAX(0,($B$6+$B$10)-IF($B$1+44&gt;=$B$23,$B$22,0))*(1+$B$4)^44))*IF(AT104+IF($B$1+44&lt;=$B104,12*($B$7-$B$10),-12*MAX(0,($B$6+$B$10)-IF($B$1+44&gt;=$B$23,$B$22,0))*(1+$B$4)^44)&gt;0,1+$B$3,1))</f>
        <v/>
      </c>
      <c r="AV104">
        <f>IF($B$1+45&gt;90,AU104,(AU104+IF($B$1+45&lt;=$B104,12*($B$7-$B$10),-12*MAX(0,($B$6+$B$10)-IF($B$1+45&gt;=$B$23,$B$22,0))*(1+$B$4)^45))*IF(AU104+IF($B$1+45&lt;=$B104,12*($B$7-$B$10),-12*MAX(0,($B$6+$B$10)-IF($B$1+45&gt;=$B$23,$B$22,0))*(1+$B$4)^45)&gt;0,1+$B$3,1))</f>
        <v/>
      </c>
      <c r="AW104">
        <f>IF($B$1+46&gt;90,AV104,(AV104+IF($B$1+46&lt;=$B104,12*($B$7-$B$10),-12*MAX(0,($B$6+$B$10)-IF($B$1+46&gt;=$B$23,$B$22,0))*(1+$B$4)^46))*IF(AV104+IF($B$1+46&lt;=$B104,12*($B$7-$B$10),-12*MAX(0,($B$6+$B$10)-IF($B$1+46&gt;=$B$23,$B$22,0))*(1+$B$4)^46)&gt;0,1+$B$3,1))</f>
        <v/>
      </c>
      <c r="AX104">
        <f>IF($B$1+47&gt;90,AW104,(AW104+IF($B$1+47&lt;=$B104,12*($B$7-$B$10),-12*MAX(0,($B$6+$B$10)-IF($B$1+47&gt;=$B$23,$B$22,0))*(1+$B$4)^47))*IF(AW104+IF($B$1+47&lt;=$B104,12*($B$7-$B$10),-12*MAX(0,($B$6+$B$10)-IF($B$1+47&gt;=$B$23,$B$22,0))*(1+$B$4)^47)&gt;0,1+$B$3,1))</f>
        <v/>
      </c>
      <c r="AY104">
        <f>IF($B$1+48&gt;90,AX104,(AX104+IF($B$1+48&lt;=$B104,12*($B$7-$B$10),-12*MAX(0,($B$6+$B$10)-IF($B$1+48&gt;=$B$23,$B$22,0))*(1+$B$4)^48))*IF(AX104+IF($B$1+48&lt;=$B104,12*($B$7-$B$10),-12*MAX(0,($B$6+$B$10)-IF($B$1+48&gt;=$B$23,$B$22,0))*(1+$B$4)^48)&gt;0,1+$B$3,1))</f>
        <v/>
      </c>
      <c r="AZ104">
        <f>IF($B$1+49&gt;90,AY104,(AY104+IF($B$1+49&lt;=$B104,12*($B$7-$B$10),-12*MAX(0,($B$6+$B$10)-IF($B$1+49&gt;=$B$23,$B$22,0))*(1+$B$4)^49))*IF(AY104+IF($B$1+49&lt;=$B104,12*($B$7-$B$10),-12*MAX(0,($B$6+$B$10)-IF($B$1+49&gt;=$B$23,$B$22,0))*(1+$B$4)^49)&gt;0,1+$B$3,1))</f>
        <v/>
      </c>
      <c r="BA104">
        <f>IF($B$1+50&gt;90,AZ104,(AZ104+IF($B$1+50&lt;=$B104,12*($B$7-$B$10),-12*MAX(0,($B$6+$B$10)-IF($B$1+50&gt;=$B$23,$B$22,0))*(1+$B$4)^50))*IF(AZ104+IF($B$1+50&lt;=$B104,12*($B$7-$B$10),-12*MAX(0,($B$6+$B$10)-IF($B$1+50&gt;=$B$23,$B$22,0))*(1+$B$4)^50)&gt;0,1+$B$3,1))</f>
        <v/>
      </c>
      <c r="BB104">
        <f>IF($B$1+51&gt;90,BA104,(BA104+IF($B$1+51&lt;=$B104,12*($B$7-$B$10),-12*MAX(0,($B$6+$B$10)-IF($B$1+51&gt;=$B$23,$B$22,0))*(1+$B$4)^51))*IF(BA104+IF($B$1+51&lt;=$B104,12*($B$7-$B$10),-12*MAX(0,($B$6+$B$10)-IF($B$1+51&gt;=$B$23,$B$22,0))*(1+$B$4)^51)&gt;0,1+$B$3,1))</f>
        <v/>
      </c>
      <c r="BC104">
        <f>IF($B$1+52&gt;90,BB104,(BB104+IF($B$1+52&lt;=$B104,12*($B$7-$B$10),-12*MAX(0,($B$6+$B$10)-IF($B$1+52&gt;=$B$23,$B$22,0))*(1+$B$4)^52))*IF(BB104+IF($B$1+52&lt;=$B104,12*($B$7-$B$10),-12*MAX(0,($B$6+$B$10)-IF($B$1+52&gt;=$B$23,$B$22,0))*(1+$B$4)^52)&gt;0,1+$B$3,1))</f>
        <v/>
      </c>
      <c r="BD104">
        <f>IF($B$1+53&gt;90,BC104,(BC104+IF($B$1+53&lt;=$B104,12*($B$7-$B$10),-12*MAX(0,($B$6+$B$10)-IF($B$1+53&gt;=$B$23,$B$22,0))*(1+$B$4)^53))*IF(BC104+IF($B$1+53&lt;=$B104,12*($B$7-$B$10),-12*MAX(0,($B$6+$B$10)-IF($B$1+53&gt;=$B$23,$B$22,0))*(1+$B$4)^53)&gt;0,1+$B$3,1))</f>
        <v/>
      </c>
      <c r="BE104">
        <f>IF($B$1+54&gt;90,BD104,(BD104+IF($B$1+54&lt;=$B104,12*($B$7-$B$10),-12*MAX(0,($B$6+$B$10)-IF($B$1+54&gt;=$B$23,$B$22,0))*(1+$B$4)^54))*IF(BD104+IF($B$1+54&lt;=$B104,12*($B$7-$B$10),-12*MAX(0,($B$6+$B$10)-IF($B$1+54&gt;=$B$23,$B$22,0))*(1+$B$4)^54)&gt;0,1+$B$3,1))</f>
        <v/>
      </c>
      <c r="BF104">
        <f>IF($B$1+55&gt;90,BE104,(BE104+IF($B$1+55&lt;=$B104,12*($B$7-$B$10),-12*MAX(0,($B$6+$B$10)-IF($B$1+55&gt;=$B$23,$B$22,0))*(1+$B$4)^55))*IF(BE104+IF($B$1+55&lt;=$B104,12*($B$7-$B$10),-12*MAX(0,($B$6+$B$10)-IF($B$1+55&gt;=$B$23,$B$22,0))*(1+$B$4)^55)&gt;0,1+$B$3,1))</f>
        <v/>
      </c>
      <c r="BG104">
        <f>IF($B$1+56&gt;90,BF104,(BF104+IF($B$1+56&lt;=$B104,12*($B$7-$B$10),-12*MAX(0,($B$6+$B$10)-IF($B$1+56&gt;=$B$23,$B$22,0))*(1+$B$4)^56))*IF(BF104+IF($B$1+56&lt;=$B104,12*($B$7-$B$10),-12*MAX(0,($B$6+$B$10)-IF($B$1+56&gt;=$B$23,$B$22,0))*(1+$B$4)^56)&gt;0,1+$B$3,1))</f>
        <v/>
      </c>
      <c r="BH104">
        <f>IF($B$1+57&gt;90,BG104,(BG104+IF($B$1+57&lt;=$B104,12*($B$7-$B$10),-12*MAX(0,($B$6+$B$10)-IF($B$1+57&gt;=$B$23,$B$22,0))*(1+$B$4)^57))*IF(BG104+IF($B$1+57&lt;=$B104,12*($B$7-$B$10),-12*MAX(0,($B$6+$B$10)-IF($B$1+57&gt;=$B$23,$B$22,0))*(1+$B$4)^57)&gt;0,1+$B$3,1))</f>
        <v/>
      </c>
      <c r="BI104">
        <f>IF($B$1+58&gt;90,BH104,(BH104+IF($B$1+58&lt;=$B104,12*($B$7-$B$10),-12*MAX(0,($B$6+$B$10)-IF($B$1+58&gt;=$B$23,$B$22,0))*(1+$B$4)^58))*IF(BH104+IF($B$1+58&lt;=$B104,12*($B$7-$B$10),-12*MAX(0,($B$6+$B$10)-IF($B$1+58&gt;=$B$23,$B$22,0))*(1+$B$4)^58)&gt;0,1+$B$3,1))</f>
        <v/>
      </c>
      <c r="BJ104">
        <f>IF($B$1+59&gt;90,BI104,(BI104+IF($B$1+59&lt;=$B104,12*($B$7-$B$10),-12*MAX(0,($B$6+$B$10)-IF($B$1+59&gt;=$B$23,$B$22,0))*(1+$B$4)^59))*IF(BI104+IF($B$1+59&lt;=$B104,12*($B$7-$B$10),-12*MAX(0,($B$6+$B$10)-IF($B$1+59&gt;=$B$23,$B$22,0))*(1+$B$4)^59)&gt;0,1+$B$3,1))</f>
        <v/>
      </c>
      <c r="BK104">
        <f>IF($B$1+60&gt;90,BJ104,(BJ104+IF($B$1+60&lt;=$B104,12*($B$7-$B$10),-12*MAX(0,($B$6+$B$10)-IF($B$1+60&gt;=$B$23,$B$22,0))*(1+$B$4)^60))*IF(BJ104+IF($B$1+60&lt;=$B104,12*($B$7-$B$10),-12*MAX(0,($B$6+$B$10)-IF($B$1+60&gt;=$B$23,$B$22,0))*(1+$B$4)^60)&gt;0,1+$B$3,1))</f>
        <v/>
      </c>
      <c r="BL104">
        <f>IF($B$1+61&gt;90,BK104,(BK104+IF($B$1+61&lt;=$B104,12*($B$7-$B$10),-12*MAX(0,($B$6+$B$10)-IF($B$1+61&gt;=$B$23,$B$22,0))*(1+$B$4)^61))*IF(BK104+IF($B$1+61&lt;=$B104,12*($B$7-$B$10),-12*MAX(0,($B$6+$B$10)-IF($B$1+61&gt;=$B$23,$B$22,0))*(1+$B$4)^61)&gt;0,1+$B$3,1))</f>
        <v/>
      </c>
      <c r="BM104">
        <f>IF($B$1+62&gt;90,BL104,(BL104+IF($B$1+62&lt;=$B104,12*($B$7-$B$10),-12*MAX(0,($B$6+$B$10)-IF($B$1+62&gt;=$B$23,$B$22,0))*(1+$B$4)^62))*IF(BL104+IF($B$1+62&lt;=$B104,12*($B$7-$B$10),-12*MAX(0,($B$6+$B$10)-IF($B$1+62&gt;=$B$23,$B$22,0))*(1+$B$4)^62)&gt;0,1+$B$3,1))</f>
        <v/>
      </c>
      <c r="BN104">
        <f>IF($B$1+63&gt;90,BM104,(BM104+IF($B$1+63&lt;=$B104,12*($B$7-$B$10),-12*MAX(0,($B$6+$B$10)-IF($B$1+63&gt;=$B$23,$B$22,0))*(1+$B$4)^63))*IF(BM104+IF($B$1+63&lt;=$B104,12*($B$7-$B$10),-12*MAX(0,($B$6+$B$10)-IF($B$1+63&gt;=$B$23,$B$22,0))*(1+$B$4)^63)&gt;0,1+$B$3,1))</f>
        <v/>
      </c>
      <c r="BO104">
        <f>IF($B$1+64&gt;90,BN104,(BN104+IF($B$1+64&lt;=$B104,12*($B$7-$B$10),-12*MAX(0,($B$6+$B$10)-IF($B$1+64&gt;=$B$23,$B$22,0))*(1+$B$4)^64))*IF(BN104+IF($B$1+64&lt;=$B104,12*($B$7-$B$10),-12*MAX(0,($B$6+$B$10)-IF($B$1+64&gt;=$B$23,$B$22,0))*(1+$B$4)^64)&gt;0,1+$B$3,1))</f>
        <v/>
      </c>
      <c r="BP104">
        <f>IF($B$1+65&gt;90,BO104,(BO104+IF($B$1+65&lt;=$B104,12*($B$7-$B$10),-12*MAX(0,($B$6+$B$10)-IF($B$1+65&gt;=$B$23,$B$22,0))*(1+$B$4)^65))*IF(BO104+IF($B$1+65&lt;=$B104,12*($B$7-$B$10),-12*MAX(0,($B$6+$B$10)-IF($B$1+65&gt;=$B$23,$B$22,0))*(1+$B$4)^65)&gt;0,1+$B$3,1))</f>
        <v/>
      </c>
      <c r="BQ104">
        <f>IF($B$1+66&gt;90,BP104,(BP104+IF($B$1+66&lt;=$B104,12*($B$7-$B$10),-12*MAX(0,($B$6+$B$10)-IF($B$1+66&gt;=$B$23,$B$22,0))*(1+$B$4)^66))*IF(BP104+IF($B$1+66&lt;=$B104,12*($B$7-$B$10),-12*MAX(0,($B$6+$B$10)-IF($B$1+66&gt;=$B$23,$B$22,0))*(1+$B$4)^66)&gt;0,1+$B$3,1))</f>
        <v/>
      </c>
      <c r="BR104">
        <f>IF($B$1+67&gt;90,BQ104,(BQ104+IF($B$1+67&lt;=$B104,12*($B$7-$B$10),-12*MAX(0,($B$6+$B$10)-IF($B$1+67&gt;=$B$23,$B$22,0))*(1+$B$4)^67))*IF(BQ104+IF($B$1+67&lt;=$B104,12*($B$7-$B$10),-12*MAX(0,($B$6+$B$10)-IF($B$1+67&gt;=$B$23,$B$22,0))*(1+$B$4)^67)&gt;0,1+$B$3,1))</f>
        <v/>
      </c>
      <c r="BS104">
        <f>IF($B$1+68&gt;90,BR104,(BR104+IF($B$1+68&lt;=$B104,12*($B$7-$B$10),-12*MAX(0,($B$6+$B$10)-IF($B$1+68&gt;=$B$23,$B$22,0))*(1+$B$4)^68))*IF(BR104+IF($B$1+68&lt;=$B104,12*($B$7-$B$10),-12*MAX(0,($B$6+$B$10)-IF($B$1+68&gt;=$B$23,$B$22,0))*(1+$B$4)^68)&gt;0,1+$B$3,1))</f>
        <v/>
      </c>
      <c r="BT104">
        <f>IF($B$1+69&gt;90,BS104,(BS104+IF($B$1+69&lt;=$B104,12*($B$7-$B$10),-12*MAX(0,($B$6+$B$10)-IF($B$1+69&gt;=$B$23,$B$22,0))*(1+$B$4)^69))*IF(BS104+IF($B$1+69&lt;=$B104,12*($B$7-$B$10),-12*MAX(0,($B$6+$B$10)-IF($B$1+69&gt;=$B$23,$B$22,0))*(1+$B$4)^69)&gt;0,1+$B$3,1))</f>
        <v/>
      </c>
      <c r="BU104">
        <f>IF($B$1+70&gt;90,BT104,(BT104+IF($B$1+70&lt;=$B104,12*($B$7-$B$10),-12*MAX(0,($B$6+$B$10)-IF($B$1+70&gt;=$B$23,$B$22,0))*(1+$B$4)^70))*IF(BT104+IF($B$1+70&lt;=$B104,12*($B$7-$B$10),-12*MAX(0,($B$6+$B$10)-IF($B$1+70&gt;=$B$23,$B$22,0))*(1+$B$4)^70)&gt;0,1+$B$3,1))</f>
        <v/>
      </c>
      <c r="BV104">
        <f>BU104</f>
        <v/>
      </c>
      <c r="BW104">
        <f>IF(AND($B104&lt;=70,BV104&gt;0),$B104,999)</f>
        <v/>
      </c>
      <c r="CH104">
        <f>IF(ISTEXT('월 가계부'!A104),SUBSTITUTE(SUBSTITUTE(SUBSTITUTE(SUBSTITUTE(SUBSTITUTE(SUBSTITUTE(SUBSTITUTE(SUBSTITUTE(SUBSTITUTE(TRIM('월 가계부'!A104),"년","-"),"월","-"),"일",""),".","-"),"/","-")," ","-"),"--","-"),"--","-"),"--","-")&amp;"-","")</f>
        <v/>
      </c>
      <c r="CI104">
        <f>IFERROR(IF('월 가계부'!A104="","",IF(ISNUMBER('월 가계부'!A104),IF(AND('월 가계부'!A104&gt;=19000101,'월 가계부'!A104&lt;=21001231),IF(AND(MOD(INT('월 가계부'!A104/100),100)&gt;=1,MOD(INT('월 가계부'!A104/100),100)&lt;=12,MOD(INT('월 가계부'!A104),100)&gt;=1,MOD(INT('월 가계부'!A104),100)&lt;=31),IF(MONTH(DATE(INT('월 가계부'!A104/10000),MOD(INT('월 가계부'!A104/100),100),MOD(INT('월 가계부'!A104),100)))=MOD(INT('월 가계부'!A104/100),100),DATE(INT('월 가계부'!A104/10000),MOD(INT('월 가계부'!A104/100),100),MOD(INT('월 가계부'!A104),100)),""),""),IF(AND('월 가계부'!A104&gt;=36526,'월 가계부'!A104&lt;73051),INT('월 가계부'!A104),"")),IF(OR(CM104="",CN104="",CO104=""),"",IF(AND(CM104&gt;=2000,CM104&lt;=2099,CN104&gt;=1,CN104&lt;=12,CO104&gt;=1,CO104&lt;=31),IF(MONTH(DATE(CM104,CN104,CO104))=CN104,DATE(CM104,CN104,CO104),""),"")))),"")</f>
        <v/>
      </c>
      <c r="CJ104">
        <f>IFERROR(IF('월 가계부'!C104="","",IF(ISNUMBER('월 가계부'!C104),'월 가계부'!C104,VALUE(SUBSTITUTE(SUBSTITUTE(SUBSTITUTE(SUBSTITUTE(TRIM('월 가계부'!C104),",",""),"원","")," ",""),"−","-")))),"")</f>
        <v/>
      </c>
      <c r="CK104">
        <f>IF(ISNUMBER(CI104),IF(CI104&lt;$B$13,CI104,""),"")</f>
        <v/>
      </c>
      <c r="CM104">
        <f>IF(CH104="","",IFERROR(IF(IF(AND(LEN(CH104)=9,ISERROR(FIND("-",LEFT(CH104,8))),ISNUMBER(-LEFT(CH104,8))),VALUE(LEFT(CH104,4)),VALUE(LEFT(CH104,FIND("-",CH104)-1)))&lt;100,IF(AND(LEN(CH104)=9,ISERROR(FIND("-",LEFT(CH104,8))),ISNUMBER(-LEFT(CH104,8))),VALUE(LEFT(CH104,4)),VALUE(LEFT(CH104,FIND("-",CH104)-1)))+2000,IF(AND(LEN(CH104)=9,ISERROR(FIND("-",LEFT(CH104,8))),ISNUMBER(-LEFT(CH104,8))),VALUE(LEFT(CH104,4)),VALUE(LEFT(CH104,FIND("-",CH104)-1)))),""))</f>
        <v/>
      </c>
      <c r="CN104">
        <f>IF(CH104="","",IFERROR(IF(AND(LEN(CH104)=9,ISERROR(FIND("-",LEFT(CH104,8))),ISNUMBER(-LEFT(CH104,8))),VALUE(MID(CH104,5,2)),VALUE(MID(CH104,FIND("-",CH104)+1,FIND("-",CH104,FIND("-",CH104)+1)-FIND("-",CH104)-1))),""))</f>
        <v/>
      </c>
      <c r="CO104">
        <f>IF(CH104="","",IFERROR(IF(AND(LEN(CH104)=9,ISERROR(FIND("-",LEFT(CH104,8))),ISNUMBER(-LEFT(CH104,8))),VALUE(MID(CH104,7,2)),VALUE(MID(CH104,FIND("-",CH104,FIND("-",CH104)+1)+1,FIND("-",CH104,FIND("-",CH104,FIND("-",CH104)+1)+1)-FIND("-",CH104,FIND("-",CH104)+1)-1))),""))</f>
        <v/>
      </c>
    </row>
    <row r="105">
      <c r="A105" t="n">
        <v>9</v>
      </c>
      <c r="B105">
        <f>$B$1+9</f>
        <v/>
      </c>
      <c r="C105">
        <f>$B$2</f>
        <v/>
      </c>
      <c r="D105">
        <f>IF($B$1+1&gt;90,C105,(C105+IF($B$1+1&lt;=$B105,12*($B$7-$B$10),-12*MAX(0,($B$6+$B$10)-IF($B$1+1&gt;=$B$23,$B$22,0))*(1+$B$4)^1))*IF(C105+IF($B$1+1&lt;=$B105,12*($B$7-$B$10),-12*MAX(0,($B$6+$B$10)-IF($B$1+1&gt;=$B$23,$B$22,0))*(1+$B$4)^1)&gt;0,1+$B$3,1))</f>
        <v/>
      </c>
      <c r="E105">
        <f>IF($B$1+2&gt;90,D105,(D105+IF($B$1+2&lt;=$B105,12*($B$7-$B$10),-12*MAX(0,($B$6+$B$10)-IF($B$1+2&gt;=$B$23,$B$22,0))*(1+$B$4)^2))*IF(D105+IF($B$1+2&lt;=$B105,12*($B$7-$B$10),-12*MAX(0,($B$6+$B$10)-IF($B$1+2&gt;=$B$23,$B$22,0))*(1+$B$4)^2)&gt;0,1+$B$3,1))</f>
        <v/>
      </c>
      <c r="F105">
        <f>IF($B$1+3&gt;90,E105,(E105+IF($B$1+3&lt;=$B105,12*($B$7-$B$10),-12*MAX(0,($B$6+$B$10)-IF($B$1+3&gt;=$B$23,$B$22,0))*(1+$B$4)^3))*IF(E105+IF($B$1+3&lt;=$B105,12*($B$7-$B$10),-12*MAX(0,($B$6+$B$10)-IF($B$1+3&gt;=$B$23,$B$22,0))*(1+$B$4)^3)&gt;0,1+$B$3,1))</f>
        <v/>
      </c>
      <c r="G105">
        <f>IF($B$1+4&gt;90,F105,(F105+IF($B$1+4&lt;=$B105,12*($B$7-$B$10),-12*MAX(0,($B$6+$B$10)-IF($B$1+4&gt;=$B$23,$B$22,0))*(1+$B$4)^4))*IF(F105+IF($B$1+4&lt;=$B105,12*($B$7-$B$10),-12*MAX(0,($B$6+$B$10)-IF($B$1+4&gt;=$B$23,$B$22,0))*(1+$B$4)^4)&gt;0,1+$B$3,1))</f>
        <v/>
      </c>
      <c r="H105">
        <f>IF($B$1+5&gt;90,G105,(G105+IF($B$1+5&lt;=$B105,12*($B$7-$B$10),-12*MAX(0,($B$6+$B$10)-IF($B$1+5&gt;=$B$23,$B$22,0))*(1+$B$4)^5))*IF(G105+IF($B$1+5&lt;=$B105,12*($B$7-$B$10),-12*MAX(0,($B$6+$B$10)-IF($B$1+5&gt;=$B$23,$B$22,0))*(1+$B$4)^5)&gt;0,1+$B$3,1))</f>
        <v/>
      </c>
      <c r="I105">
        <f>IF($B$1+6&gt;90,H105,(H105+IF($B$1+6&lt;=$B105,12*($B$7-$B$10),-12*MAX(0,($B$6+$B$10)-IF($B$1+6&gt;=$B$23,$B$22,0))*(1+$B$4)^6))*IF(H105+IF($B$1+6&lt;=$B105,12*($B$7-$B$10),-12*MAX(0,($B$6+$B$10)-IF($B$1+6&gt;=$B$23,$B$22,0))*(1+$B$4)^6)&gt;0,1+$B$3,1))</f>
        <v/>
      </c>
      <c r="J105">
        <f>IF($B$1+7&gt;90,I105,(I105+IF($B$1+7&lt;=$B105,12*($B$7-$B$10),-12*MAX(0,($B$6+$B$10)-IF($B$1+7&gt;=$B$23,$B$22,0))*(1+$B$4)^7))*IF(I105+IF($B$1+7&lt;=$B105,12*($B$7-$B$10),-12*MAX(0,($B$6+$B$10)-IF($B$1+7&gt;=$B$23,$B$22,0))*(1+$B$4)^7)&gt;0,1+$B$3,1))</f>
        <v/>
      </c>
      <c r="K105">
        <f>IF($B$1+8&gt;90,J105,(J105+IF($B$1+8&lt;=$B105,12*($B$7-$B$10),-12*MAX(0,($B$6+$B$10)-IF($B$1+8&gt;=$B$23,$B$22,0))*(1+$B$4)^8))*IF(J105+IF($B$1+8&lt;=$B105,12*($B$7-$B$10),-12*MAX(0,($B$6+$B$10)-IF($B$1+8&gt;=$B$23,$B$22,0))*(1+$B$4)^8)&gt;0,1+$B$3,1))</f>
        <v/>
      </c>
      <c r="L105">
        <f>IF($B$1+9&gt;90,K105,(K105+IF($B$1+9&lt;=$B105,12*($B$7-$B$10),-12*MAX(0,($B$6+$B$10)-IF($B$1+9&gt;=$B$23,$B$22,0))*(1+$B$4)^9))*IF(K105+IF($B$1+9&lt;=$B105,12*($B$7-$B$10),-12*MAX(0,($B$6+$B$10)-IF($B$1+9&gt;=$B$23,$B$22,0))*(1+$B$4)^9)&gt;0,1+$B$3,1))</f>
        <v/>
      </c>
      <c r="M105">
        <f>IF($B$1+10&gt;90,L105,(L105+IF($B$1+10&lt;=$B105,12*($B$7-$B$10),-12*MAX(0,($B$6+$B$10)-IF($B$1+10&gt;=$B$23,$B$22,0))*(1+$B$4)^10))*IF(L105+IF($B$1+10&lt;=$B105,12*($B$7-$B$10),-12*MAX(0,($B$6+$B$10)-IF($B$1+10&gt;=$B$23,$B$22,0))*(1+$B$4)^10)&gt;0,1+$B$3,1))</f>
        <v/>
      </c>
      <c r="N105">
        <f>IF($B$1+11&gt;90,M105,(M105+IF($B$1+11&lt;=$B105,12*($B$7-$B$10),-12*MAX(0,($B$6+$B$10)-IF($B$1+11&gt;=$B$23,$B$22,0))*(1+$B$4)^11))*IF(M105+IF($B$1+11&lt;=$B105,12*($B$7-$B$10),-12*MAX(0,($B$6+$B$10)-IF($B$1+11&gt;=$B$23,$B$22,0))*(1+$B$4)^11)&gt;0,1+$B$3,1))</f>
        <v/>
      </c>
      <c r="O105">
        <f>IF($B$1+12&gt;90,N105,(N105+IF($B$1+12&lt;=$B105,12*($B$7-$B$10),-12*MAX(0,($B$6+$B$10)-IF($B$1+12&gt;=$B$23,$B$22,0))*(1+$B$4)^12))*IF(N105+IF($B$1+12&lt;=$B105,12*($B$7-$B$10),-12*MAX(0,($B$6+$B$10)-IF($B$1+12&gt;=$B$23,$B$22,0))*(1+$B$4)^12)&gt;0,1+$B$3,1))</f>
        <v/>
      </c>
      <c r="P105">
        <f>IF($B$1+13&gt;90,O105,(O105+IF($B$1+13&lt;=$B105,12*($B$7-$B$10),-12*MAX(0,($B$6+$B$10)-IF($B$1+13&gt;=$B$23,$B$22,0))*(1+$B$4)^13))*IF(O105+IF($B$1+13&lt;=$B105,12*($B$7-$B$10),-12*MAX(0,($B$6+$B$10)-IF($B$1+13&gt;=$B$23,$B$22,0))*(1+$B$4)^13)&gt;0,1+$B$3,1))</f>
        <v/>
      </c>
      <c r="Q105">
        <f>IF($B$1+14&gt;90,P105,(P105+IF($B$1+14&lt;=$B105,12*($B$7-$B$10),-12*MAX(0,($B$6+$B$10)-IF($B$1+14&gt;=$B$23,$B$22,0))*(1+$B$4)^14))*IF(P105+IF($B$1+14&lt;=$B105,12*($B$7-$B$10),-12*MAX(0,($B$6+$B$10)-IF($B$1+14&gt;=$B$23,$B$22,0))*(1+$B$4)^14)&gt;0,1+$B$3,1))</f>
        <v/>
      </c>
      <c r="R105">
        <f>IF($B$1+15&gt;90,Q105,(Q105+IF($B$1+15&lt;=$B105,12*($B$7-$B$10),-12*MAX(0,($B$6+$B$10)-IF($B$1+15&gt;=$B$23,$B$22,0))*(1+$B$4)^15))*IF(Q105+IF($B$1+15&lt;=$B105,12*($B$7-$B$10),-12*MAX(0,($B$6+$B$10)-IF($B$1+15&gt;=$B$23,$B$22,0))*(1+$B$4)^15)&gt;0,1+$B$3,1))</f>
        <v/>
      </c>
      <c r="S105">
        <f>IF($B$1+16&gt;90,R105,(R105+IF($B$1+16&lt;=$B105,12*($B$7-$B$10),-12*MAX(0,($B$6+$B$10)-IF($B$1+16&gt;=$B$23,$B$22,0))*(1+$B$4)^16))*IF(R105+IF($B$1+16&lt;=$B105,12*($B$7-$B$10),-12*MAX(0,($B$6+$B$10)-IF($B$1+16&gt;=$B$23,$B$22,0))*(1+$B$4)^16)&gt;0,1+$B$3,1))</f>
        <v/>
      </c>
      <c r="T105">
        <f>IF($B$1+17&gt;90,S105,(S105+IF($B$1+17&lt;=$B105,12*($B$7-$B$10),-12*MAX(0,($B$6+$B$10)-IF($B$1+17&gt;=$B$23,$B$22,0))*(1+$B$4)^17))*IF(S105+IF($B$1+17&lt;=$B105,12*($B$7-$B$10),-12*MAX(0,($B$6+$B$10)-IF($B$1+17&gt;=$B$23,$B$22,0))*(1+$B$4)^17)&gt;0,1+$B$3,1))</f>
        <v/>
      </c>
      <c r="U105">
        <f>IF($B$1+18&gt;90,T105,(T105+IF($B$1+18&lt;=$B105,12*($B$7-$B$10),-12*MAX(0,($B$6+$B$10)-IF($B$1+18&gt;=$B$23,$B$22,0))*(1+$B$4)^18))*IF(T105+IF($B$1+18&lt;=$B105,12*($B$7-$B$10),-12*MAX(0,($B$6+$B$10)-IF($B$1+18&gt;=$B$23,$B$22,0))*(1+$B$4)^18)&gt;0,1+$B$3,1))</f>
        <v/>
      </c>
      <c r="V105">
        <f>IF($B$1+19&gt;90,U105,(U105+IF($B$1+19&lt;=$B105,12*($B$7-$B$10),-12*MAX(0,($B$6+$B$10)-IF($B$1+19&gt;=$B$23,$B$22,0))*(1+$B$4)^19))*IF(U105+IF($B$1+19&lt;=$B105,12*($B$7-$B$10),-12*MAX(0,($B$6+$B$10)-IF($B$1+19&gt;=$B$23,$B$22,0))*(1+$B$4)^19)&gt;0,1+$B$3,1))</f>
        <v/>
      </c>
      <c r="W105">
        <f>IF($B$1+20&gt;90,V105,(V105+IF($B$1+20&lt;=$B105,12*($B$7-$B$10),-12*MAX(0,($B$6+$B$10)-IF($B$1+20&gt;=$B$23,$B$22,0))*(1+$B$4)^20))*IF(V105+IF($B$1+20&lt;=$B105,12*($B$7-$B$10),-12*MAX(0,($B$6+$B$10)-IF($B$1+20&gt;=$B$23,$B$22,0))*(1+$B$4)^20)&gt;0,1+$B$3,1))</f>
        <v/>
      </c>
      <c r="X105">
        <f>IF($B$1+21&gt;90,W105,(W105+IF($B$1+21&lt;=$B105,12*($B$7-$B$10),-12*MAX(0,($B$6+$B$10)-IF($B$1+21&gt;=$B$23,$B$22,0))*(1+$B$4)^21))*IF(W105+IF($B$1+21&lt;=$B105,12*($B$7-$B$10),-12*MAX(0,($B$6+$B$10)-IF($B$1+21&gt;=$B$23,$B$22,0))*(1+$B$4)^21)&gt;0,1+$B$3,1))</f>
        <v/>
      </c>
      <c r="Y105">
        <f>IF($B$1+22&gt;90,X105,(X105+IF($B$1+22&lt;=$B105,12*($B$7-$B$10),-12*MAX(0,($B$6+$B$10)-IF($B$1+22&gt;=$B$23,$B$22,0))*(1+$B$4)^22))*IF(X105+IF($B$1+22&lt;=$B105,12*($B$7-$B$10),-12*MAX(0,($B$6+$B$10)-IF($B$1+22&gt;=$B$23,$B$22,0))*(1+$B$4)^22)&gt;0,1+$B$3,1))</f>
        <v/>
      </c>
      <c r="Z105">
        <f>IF($B$1+23&gt;90,Y105,(Y105+IF($B$1+23&lt;=$B105,12*($B$7-$B$10),-12*MAX(0,($B$6+$B$10)-IF($B$1+23&gt;=$B$23,$B$22,0))*(1+$B$4)^23))*IF(Y105+IF($B$1+23&lt;=$B105,12*($B$7-$B$10),-12*MAX(0,($B$6+$B$10)-IF($B$1+23&gt;=$B$23,$B$22,0))*(1+$B$4)^23)&gt;0,1+$B$3,1))</f>
        <v/>
      </c>
      <c r="AA105">
        <f>IF($B$1+24&gt;90,Z105,(Z105+IF($B$1+24&lt;=$B105,12*($B$7-$B$10),-12*MAX(0,($B$6+$B$10)-IF($B$1+24&gt;=$B$23,$B$22,0))*(1+$B$4)^24))*IF(Z105+IF($B$1+24&lt;=$B105,12*($B$7-$B$10),-12*MAX(0,($B$6+$B$10)-IF($B$1+24&gt;=$B$23,$B$22,0))*(1+$B$4)^24)&gt;0,1+$B$3,1))</f>
        <v/>
      </c>
      <c r="AB105">
        <f>IF($B$1+25&gt;90,AA105,(AA105+IF($B$1+25&lt;=$B105,12*($B$7-$B$10),-12*MAX(0,($B$6+$B$10)-IF($B$1+25&gt;=$B$23,$B$22,0))*(1+$B$4)^25))*IF(AA105+IF($B$1+25&lt;=$B105,12*($B$7-$B$10),-12*MAX(0,($B$6+$B$10)-IF($B$1+25&gt;=$B$23,$B$22,0))*(1+$B$4)^25)&gt;0,1+$B$3,1))</f>
        <v/>
      </c>
      <c r="AC105">
        <f>IF($B$1+26&gt;90,AB105,(AB105+IF($B$1+26&lt;=$B105,12*($B$7-$B$10),-12*MAX(0,($B$6+$B$10)-IF($B$1+26&gt;=$B$23,$B$22,0))*(1+$B$4)^26))*IF(AB105+IF($B$1+26&lt;=$B105,12*($B$7-$B$10),-12*MAX(0,($B$6+$B$10)-IF($B$1+26&gt;=$B$23,$B$22,0))*(1+$B$4)^26)&gt;0,1+$B$3,1))</f>
        <v/>
      </c>
      <c r="AD105">
        <f>IF($B$1+27&gt;90,AC105,(AC105+IF($B$1+27&lt;=$B105,12*($B$7-$B$10),-12*MAX(0,($B$6+$B$10)-IF($B$1+27&gt;=$B$23,$B$22,0))*(1+$B$4)^27))*IF(AC105+IF($B$1+27&lt;=$B105,12*($B$7-$B$10),-12*MAX(0,($B$6+$B$10)-IF($B$1+27&gt;=$B$23,$B$22,0))*(1+$B$4)^27)&gt;0,1+$B$3,1))</f>
        <v/>
      </c>
      <c r="AE105">
        <f>IF($B$1+28&gt;90,AD105,(AD105+IF($B$1+28&lt;=$B105,12*($B$7-$B$10),-12*MAX(0,($B$6+$B$10)-IF($B$1+28&gt;=$B$23,$B$22,0))*(1+$B$4)^28))*IF(AD105+IF($B$1+28&lt;=$B105,12*($B$7-$B$10),-12*MAX(0,($B$6+$B$10)-IF($B$1+28&gt;=$B$23,$B$22,0))*(1+$B$4)^28)&gt;0,1+$B$3,1))</f>
        <v/>
      </c>
      <c r="AF105">
        <f>IF($B$1+29&gt;90,AE105,(AE105+IF($B$1+29&lt;=$B105,12*($B$7-$B$10),-12*MAX(0,($B$6+$B$10)-IF($B$1+29&gt;=$B$23,$B$22,0))*(1+$B$4)^29))*IF(AE105+IF($B$1+29&lt;=$B105,12*($B$7-$B$10),-12*MAX(0,($B$6+$B$10)-IF($B$1+29&gt;=$B$23,$B$22,0))*(1+$B$4)^29)&gt;0,1+$B$3,1))</f>
        <v/>
      </c>
      <c r="AG105">
        <f>IF($B$1+30&gt;90,AF105,(AF105+IF($B$1+30&lt;=$B105,12*($B$7-$B$10),-12*MAX(0,($B$6+$B$10)-IF($B$1+30&gt;=$B$23,$B$22,0))*(1+$B$4)^30))*IF(AF105+IF($B$1+30&lt;=$B105,12*($B$7-$B$10),-12*MAX(0,($B$6+$B$10)-IF($B$1+30&gt;=$B$23,$B$22,0))*(1+$B$4)^30)&gt;0,1+$B$3,1))</f>
        <v/>
      </c>
      <c r="AH105">
        <f>IF($B$1+31&gt;90,AG105,(AG105+IF($B$1+31&lt;=$B105,12*($B$7-$B$10),-12*MAX(0,($B$6+$B$10)-IF($B$1+31&gt;=$B$23,$B$22,0))*(1+$B$4)^31))*IF(AG105+IF($B$1+31&lt;=$B105,12*($B$7-$B$10),-12*MAX(0,($B$6+$B$10)-IF($B$1+31&gt;=$B$23,$B$22,0))*(1+$B$4)^31)&gt;0,1+$B$3,1))</f>
        <v/>
      </c>
      <c r="AI105">
        <f>IF($B$1+32&gt;90,AH105,(AH105+IF($B$1+32&lt;=$B105,12*($B$7-$B$10),-12*MAX(0,($B$6+$B$10)-IF($B$1+32&gt;=$B$23,$B$22,0))*(1+$B$4)^32))*IF(AH105+IF($B$1+32&lt;=$B105,12*($B$7-$B$10),-12*MAX(0,($B$6+$B$10)-IF($B$1+32&gt;=$B$23,$B$22,0))*(1+$B$4)^32)&gt;0,1+$B$3,1))</f>
        <v/>
      </c>
      <c r="AJ105">
        <f>IF($B$1+33&gt;90,AI105,(AI105+IF($B$1+33&lt;=$B105,12*($B$7-$B$10),-12*MAX(0,($B$6+$B$10)-IF($B$1+33&gt;=$B$23,$B$22,0))*(1+$B$4)^33))*IF(AI105+IF($B$1+33&lt;=$B105,12*($B$7-$B$10),-12*MAX(0,($B$6+$B$10)-IF($B$1+33&gt;=$B$23,$B$22,0))*(1+$B$4)^33)&gt;0,1+$B$3,1))</f>
        <v/>
      </c>
      <c r="AK105">
        <f>IF($B$1+34&gt;90,AJ105,(AJ105+IF($B$1+34&lt;=$B105,12*($B$7-$B$10),-12*MAX(0,($B$6+$B$10)-IF($B$1+34&gt;=$B$23,$B$22,0))*(1+$B$4)^34))*IF(AJ105+IF($B$1+34&lt;=$B105,12*($B$7-$B$10),-12*MAX(0,($B$6+$B$10)-IF($B$1+34&gt;=$B$23,$B$22,0))*(1+$B$4)^34)&gt;0,1+$B$3,1))</f>
        <v/>
      </c>
      <c r="AL105">
        <f>IF($B$1+35&gt;90,AK105,(AK105+IF($B$1+35&lt;=$B105,12*($B$7-$B$10),-12*MAX(0,($B$6+$B$10)-IF($B$1+35&gt;=$B$23,$B$22,0))*(1+$B$4)^35))*IF(AK105+IF($B$1+35&lt;=$B105,12*($B$7-$B$10),-12*MAX(0,($B$6+$B$10)-IF($B$1+35&gt;=$B$23,$B$22,0))*(1+$B$4)^35)&gt;0,1+$B$3,1))</f>
        <v/>
      </c>
      <c r="AM105">
        <f>IF($B$1+36&gt;90,AL105,(AL105+IF($B$1+36&lt;=$B105,12*($B$7-$B$10),-12*MAX(0,($B$6+$B$10)-IF($B$1+36&gt;=$B$23,$B$22,0))*(1+$B$4)^36))*IF(AL105+IF($B$1+36&lt;=$B105,12*($B$7-$B$10),-12*MAX(0,($B$6+$B$10)-IF($B$1+36&gt;=$B$23,$B$22,0))*(1+$B$4)^36)&gt;0,1+$B$3,1))</f>
        <v/>
      </c>
      <c r="AN105">
        <f>IF($B$1+37&gt;90,AM105,(AM105+IF($B$1+37&lt;=$B105,12*($B$7-$B$10),-12*MAX(0,($B$6+$B$10)-IF($B$1+37&gt;=$B$23,$B$22,0))*(1+$B$4)^37))*IF(AM105+IF($B$1+37&lt;=$B105,12*($B$7-$B$10),-12*MAX(0,($B$6+$B$10)-IF($B$1+37&gt;=$B$23,$B$22,0))*(1+$B$4)^37)&gt;0,1+$B$3,1))</f>
        <v/>
      </c>
      <c r="AO105">
        <f>IF($B$1+38&gt;90,AN105,(AN105+IF($B$1+38&lt;=$B105,12*($B$7-$B$10),-12*MAX(0,($B$6+$B$10)-IF($B$1+38&gt;=$B$23,$B$22,0))*(1+$B$4)^38))*IF(AN105+IF($B$1+38&lt;=$B105,12*($B$7-$B$10),-12*MAX(0,($B$6+$B$10)-IF($B$1+38&gt;=$B$23,$B$22,0))*(1+$B$4)^38)&gt;0,1+$B$3,1))</f>
        <v/>
      </c>
      <c r="AP105">
        <f>IF($B$1+39&gt;90,AO105,(AO105+IF($B$1+39&lt;=$B105,12*($B$7-$B$10),-12*MAX(0,($B$6+$B$10)-IF($B$1+39&gt;=$B$23,$B$22,0))*(1+$B$4)^39))*IF(AO105+IF($B$1+39&lt;=$B105,12*($B$7-$B$10),-12*MAX(0,($B$6+$B$10)-IF($B$1+39&gt;=$B$23,$B$22,0))*(1+$B$4)^39)&gt;0,1+$B$3,1))</f>
        <v/>
      </c>
      <c r="AQ105">
        <f>IF($B$1+40&gt;90,AP105,(AP105+IF($B$1+40&lt;=$B105,12*($B$7-$B$10),-12*MAX(0,($B$6+$B$10)-IF($B$1+40&gt;=$B$23,$B$22,0))*(1+$B$4)^40))*IF(AP105+IF($B$1+40&lt;=$B105,12*($B$7-$B$10),-12*MAX(0,($B$6+$B$10)-IF($B$1+40&gt;=$B$23,$B$22,0))*(1+$B$4)^40)&gt;0,1+$B$3,1))</f>
        <v/>
      </c>
      <c r="AR105">
        <f>IF($B$1+41&gt;90,AQ105,(AQ105+IF($B$1+41&lt;=$B105,12*($B$7-$B$10),-12*MAX(0,($B$6+$B$10)-IF($B$1+41&gt;=$B$23,$B$22,0))*(1+$B$4)^41))*IF(AQ105+IF($B$1+41&lt;=$B105,12*($B$7-$B$10),-12*MAX(0,($B$6+$B$10)-IF($B$1+41&gt;=$B$23,$B$22,0))*(1+$B$4)^41)&gt;0,1+$B$3,1))</f>
        <v/>
      </c>
      <c r="AS105">
        <f>IF($B$1+42&gt;90,AR105,(AR105+IF($B$1+42&lt;=$B105,12*($B$7-$B$10),-12*MAX(0,($B$6+$B$10)-IF($B$1+42&gt;=$B$23,$B$22,0))*(1+$B$4)^42))*IF(AR105+IF($B$1+42&lt;=$B105,12*($B$7-$B$10),-12*MAX(0,($B$6+$B$10)-IF($B$1+42&gt;=$B$23,$B$22,0))*(1+$B$4)^42)&gt;0,1+$B$3,1))</f>
        <v/>
      </c>
      <c r="AT105">
        <f>IF($B$1+43&gt;90,AS105,(AS105+IF($B$1+43&lt;=$B105,12*($B$7-$B$10),-12*MAX(0,($B$6+$B$10)-IF($B$1+43&gt;=$B$23,$B$22,0))*(1+$B$4)^43))*IF(AS105+IF($B$1+43&lt;=$B105,12*($B$7-$B$10),-12*MAX(0,($B$6+$B$10)-IF($B$1+43&gt;=$B$23,$B$22,0))*(1+$B$4)^43)&gt;0,1+$B$3,1))</f>
        <v/>
      </c>
      <c r="AU105">
        <f>IF($B$1+44&gt;90,AT105,(AT105+IF($B$1+44&lt;=$B105,12*($B$7-$B$10),-12*MAX(0,($B$6+$B$10)-IF($B$1+44&gt;=$B$23,$B$22,0))*(1+$B$4)^44))*IF(AT105+IF($B$1+44&lt;=$B105,12*($B$7-$B$10),-12*MAX(0,($B$6+$B$10)-IF($B$1+44&gt;=$B$23,$B$22,0))*(1+$B$4)^44)&gt;0,1+$B$3,1))</f>
        <v/>
      </c>
      <c r="AV105">
        <f>IF($B$1+45&gt;90,AU105,(AU105+IF($B$1+45&lt;=$B105,12*($B$7-$B$10),-12*MAX(0,($B$6+$B$10)-IF($B$1+45&gt;=$B$23,$B$22,0))*(1+$B$4)^45))*IF(AU105+IF($B$1+45&lt;=$B105,12*($B$7-$B$10),-12*MAX(0,($B$6+$B$10)-IF($B$1+45&gt;=$B$23,$B$22,0))*(1+$B$4)^45)&gt;0,1+$B$3,1))</f>
        <v/>
      </c>
      <c r="AW105">
        <f>IF($B$1+46&gt;90,AV105,(AV105+IF($B$1+46&lt;=$B105,12*($B$7-$B$10),-12*MAX(0,($B$6+$B$10)-IF($B$1+46&gt;=$B$23,$B$22,0))*(1+$B$4)^46))*IF(AV105+IF($B$1+46&lt;=$B105,12*($B$7-$B$10),-12*MAX(0,($B$6+$B$10)-IF($B$1+46&gt;=$B$23,$B$22,0))*(1+$B$4)^46)&gt;0,1+$B$3,1))</f>
        <v/>
      </c>
      <c r="AX105">
        <f>IF($B$1+47&gt;90,AW105,(AW105+IF($B$1+47&lt;=$B105,12*($B$7-$B$10),-12*MAX(0,($B$6+$B$10)-IF($B$1+47&gt;=$B$23,$B$22,0))*(1+$B$4)^47))*IF(AW105+IF($B$1+47&lt;=$B105,12*($B$7-$B$10),-12*MAX(0,($B$6+$B$10)-IF($B$1+47&gt;=$B$23,$B$22,0))*(1+$B$4)^47)&gt;0,1+$B$3,1))</f>
        <v/>
      </c>
      <c r="AY105">
        <f>IF($B$1+48&gt;90,AX105,(AX105+IF($B$1+48&lt;=$B105,12*($B$7-$B$10),-12*MAX(0,($B$6+$B$10)-IF($B$1+48&gt;=$B$23,$B$22,0))*(1+$B$4)^48))*IF(AX105+IF($B$1+48&lt;=$B105,12*($B$7-$B$10),-12*MAX(0,($B$6+$B$10)-IF($B$1+48&gt;=$B$23,$B$22,0))*(1+$B$4)^48)&gt;0,1+$B$3,1))</f>
        <v/>
      </c>
      <c r="AZ105">
        <f>IF($B$1+49&gt;90,AY105,(AY105+IF($B$1+49&lt;=$B105,12*($B$7-$B$10),-12*MAX(0,($B$6+$B$10)-IF($B$1+49&gt;=$B$23,$B$22,0))*(1+$B$4)^49))*IF(AY105+IF($B$1+49&lt;=$B105,12*($B$7-$B$10),-12*MAX(0,($B$6+$B$10)-IF($B$1+49&gt;=$B$23,$B$22,0))*(1+$B$4)^49)&gt;0,1+$B$3,1))</f>
        <v/>
      </c>
      <c r="BA105">
        <f>IF($B$1+50&gt;90,AZ105,(AZ105+IF($B$1+50&lt;=$B105,12*($B$7-$B$10),-12*MAX(0,($B$6+$B$10)-IF($B$1+50&gt;=$B$23,$B$22,0))*(1+$B$4)^50))*IF(AZ105+IF($B$1+50&lt;=$B105,12*($B$7-$B$10),-12*MAX(0,($B$6+$B$10)-IF($B$1+50&gt;=$B$23,$B$22,0))*(1+$B$4)^50)&gt;0,1+$B$3,1))</f>
        <v/>
      </c>
      <c r="BB105">
        <f>IF($B$1+51&gt;90,BA105,(BA105+IF($B$1+51&lt;=$B105,12*($B$7-$B$10),-12*MAX(0,($B$6+$B$10)-IF($B$1+51&gt;=$B$23,$B$22,0))*(1+$B$4)^51))*IF(BA105+IF($B$1+51&lt;=$B105,12*($B$7-$B$10),-12*MAX(0,($B$6+$B$10)-IF($B$1+51&gt;=$B$23,$B$22,0))*(1+$B$4)^51)&gt;0,1+$B$3,1))</f>
        <v/>
      </c>
      <c r="BC105">
        <f>IF($B$1+52&gt;90,BB105,(BB105+IF($B$1+52&lt;=$B105,12*($B$7-$B$10),-12*MAX(0,($B$6+$B$10)-IF($B$1+52&gt;=$B$23,$B$22,0))*(1+$B$4)^52))*IF(BB105+IF($B$1+52&lt;=$B105,12*($B$7-$B$10),-12*MAX(0,($B$6+$B$10)-IF($B$1+52&gt;=$B$23,$B$22,0))*(1+$B$4)^52)&gt;0,1+$B$3,1))</f>
        <v/>
      </c>
      <c r="BD105">
        <f>IF($B$1+53&gt;90,BC105,(BC105+IF($B$1+53&lt;=$B105,12*($B$7-$B$10),-12*MAX(0,($B$6+$B$10)-IF($B$1+53&gt;=$B$23,$B$22,0))*(1+$B$4)^53))*IF(BC105+IF($B$1+53&lt;=$B105,12*($B$7-$B$10),-12*MAX(0,($B$6+$B$10)-IF($B$1+53&gt;=$B$23,$B$22,0))*(1+$B$4)^53)&gt;0,1+$B$3,1))</f>
        <v/>
      </c>
      <c r="BE105">
        <f>IF($B$1+54&gt;90,BD105,(BD105+IF($B$1+54&lt;=$B105,12*($B$7-$B$10),-12*MAX(0,($B$6+$B$10)-IF($B$1+54&gt;=$B$23,$B$22,0))*(1+$B$4)^54))*IF(BD105+IF($B$1+54&lt;=$B105,12*($B$7-$B$10),-12*MAX(0,($B$6+$B$10)-IF($B$1+54&gt;=$B$23,$B$22,0))*(1+$B$4)^54)&gt;0,1+$B$3,1))</f>
        <v/>
      </c>
      <c r="BF105">
        <f>IF($B$1+55&gt;90,BE105,(BE105+IF($B$1+55&lt;=$B105,12*($B$7-$B$10),-12*MAX(0,($B$6+$B$10)-IF($B$1+55&gt;=$B$23,$B$22,0))*(1+$B$4)^55))*IF(BE105+IF($B$1+55&lt;=$B105,12*($B$7-$B$10),-12*MAX(0,($B$6+$B$10)-IF($B$1+55&gt;=$B$23,$B$22,0))*(1+$B$4)^55)&gt;0,1+$B$3,1))</f>
        <v/>
      </c>
      <c r="BG105">
        <f>IF($B$1+56&gt;90,BF105,(BF105+IF($B$1+56&lt;=$B105,12*($B$7-$B$10),-12*MAX(0,($B$6+$B$10)-IF($B$1+56&gt;=$B$23,$B$22,0))*(1+$B$4)^56))*IF(BF105+IF($B$1+56&lt;=$B105,12*($B$7-$B$10),-12*MAX(0,($B$6+$B$10)-IF($B$1+56&gt;=$B$23,$B$22,0))*(1+$B$4)^56)&gt;0,1+$B$3,1))</f>
        <v/>
      </c>
      <c r="BH105">
        <f>IF($B$1+57&gt;90,BG105,(BG105+IF($B$1+57&lt;=$B105,12*($B$7-$B$10),-12*MAX(0,($B$6+$B$10)-IF($B$1+57&gt;=$B$23,$B$22,0))*(1+$B$4)^57))*IF(BG105+IF($B$1+57&lt;=$B105,12*($B$7-$B$10),-12*MAX(0,($B$6+$B$10)-IF($B$1+57&gt;=$B$23,$B$22,0))*(1+$B$4)^57)&gt;0,1+$B$3,1))</f>
        <v/>
      </c>
      <c r="BI105">
        <f>IF($B$1+58&gt;90,BH105,(BH105+IF($B$1+58&lt;=$B105,12*($B$7-$B$10),-12*MAX(0,($B$6+$B$10)-IF($B$1+58&gt;=$B$23,$B$22,0))*(1+$B$4)^58))*IF(BH105+IF($B$1+58&lt;=$B105,12*($B$7-$B$10),-12*MAX(0,($B$6+$B$10)-IF($B$1+58&gt;=$B$23,$B$22,0))*(1+$B$4)^58)&gt;0,1+$B$3,1))</f>
        <v/>
      </c>
      <c r="BJ105">
        <f>IF($B$1+59&gt;90,BI105,(BI105+IF($B$1+59&lt;=$B105,12*($B$7-$B$10),-12*MAX(0,($B$6+$B$10)-IF($B$1+59&gt;=$B$23,$B$22,0))*(1+$B$4)^59))*IF(BI105+IF($B$1+59&lt;=$B105,12*($B$7-$B$10),-12*MAX(0,($B$6+$B$10)-IF($B$1+59&gt;=$B$23,$B$22,0))*(1+$B$4)^59)&gt;0,1+$B$3,1))</f>
        <v/>
      </c>
      <c r="BK105">
        <f>IF($B$1+60&gt;90,BJ105,(BJ105+IF($B$1+60&lt;=$B105,12*($B$7-$B$10),-12*MAX(0,($B$6+$B$10)-IF($B$1+60&gt;=$B$23,$B$22,0))*(1+$B$4)^60))*IF(BJ105+IF($B$1+60&lt;=$B105,12*($B$7-$B$10),-12*MAX(0,($B$6+$B$10)-IF($B$1+60&gt;=$B$23,$B$22,0))*(1+$B$4)^60)&gt;0,1+$B$3,1))</f>
        <v/>
      </c>
      <c r="BL105">
        <f>IF($B$1+61&gt;90,BK105,(BK105+IF($B$1+61&lt;=$B105,12*($B$7-$B$10),-12*MAX(0,($B$6+$B$10)-IF($B$1+61&gt;=$B$23,$B$22,0))*(1+$B$4)^61))*IF(BK105+IF($B$1+61&lt;=$B105,12*($B$7-$B$10),-12*MAX(0,($B$6+$B$10)-IF($B$1+61&gt;=$B$23,$B$22,0))*(1+$B$4)^61)&gt;0,1+$B$3,1))</f>
        <v/>
      </c>
      <c r="BM105">
        <f>IF($B$1+62&gt;90,BL105,(BL105+IF($B$1+62&lt;=$B105,12*($B$7-$B$10),-12*MAX(0,($B$6+$B$10)-IF($B$1+62&gt;=$B$23,$B$22,0))*(1+$B$4)^62))*IF(BL105+IF($B$1+62&lt;=$B105,12*($B$7-$B$10),-12*MAX(0,($B$6+$B$10)-IF($B$1+62&gt;=$B$23,$B$22,0))*(1+$B$4)^62)&gt;0,1+$B$3,1))</f>
        <v/>
      </c>
      <c r="BN105">
        <f>IF($B$1+63&gt;90,BM105,(BM105+IF($B$1+63&lt;=$B105,12*($B$7-$B$10),-12*MAX(0,($B$6+$B$10)-IF($B$1+63&gt;=$B$23,$B$22,0))*(1+$B$4)^63))*IF(BM105+IF($B$1+63&lt;=$B105,12*($B$7-$B$10),-12*MAX(0,($B$6+$B$10)-IF($B$1+63&gt;=$B$23,$B$22,0))*(1+$B$4)^63)&gt;0,1+$B$3,1))</f>
        <v/>
      </c>
      <c r="BO105">
        <f>IF($B$1+64&gt;90,BN105,(BN105+IF($B$1+64&lt;=$B105,12*($B$7-$B$10),-12*MAX(0,($B$6+$B$10)-IF($B$1+64&gt;=$B$23,$B$22,0))*(1+$B$4)^64))*IF(BN105+IF($B$1+64&lt;=$B105,12*($B$7-$B$10),-12*MAX(0,($B$6+$B$10)-IF($B$1+64&gt;=$B$23,$B$22,0))*(1+$B$4)^64)&gt;0,1+$B$3,1))</f>
        <v/>
      </c>
      <c r="BP105">
        <f>IF($B$1+65&gt;90,BO105,(BO105+IF($B$1+65&lt;=$B105,12*($B$7-$B$10),-12*MAX(0,($B$6+$B$10)-IF($B$1+65&gt;=$B$23,$B$22,0))*(1+$B$4)^65))*IF(BO105+IF($B$1+65&lt;=$B105,12*($B$7-$B$10),-12*MAX(0,($B$6+$B$10)-IF($B$1+65&gt;=$B$23,$B$22,0))*(1+$B$4)^65)&gt;0,1+$B$3,1))</f>
        <v/>
      </c>
      <c r="BQ105">
        <f>IF($B$1+66&gt;90,BP105,(BP105+IF($B$1+66&lt;=$B105,12*($B$7-$B$10),-12*MAX(0,($B$6+$B$10)-IF($B$1+66&gt;=$B$23,$B$22,0))*(1+$B$4)^66))*IF(BP105+IF($B$1+66&lt;=$B105,12*($B$7-$B$10),-12*MAX(0,($B$6+$B$10)-IF($B$1+66&gt;=$B$23,$B$22,0))*(1+$B$4)^66)&gt;0,1+$B$3,1))</f>
        <v/>
      </c>
      <c r="BR105">
        <f>IF($B$1+67&gt;90,BQ105,(BQ105+IF($B$1+67&lt;=$B105,12*($B$7-$B$10),-12*MAX(0,($B$6+$B$10)-IF($B$1+67&gt;=$B$23,$B$22,0))*(1+$B$4)^67))*IF(BQ105+IF($B$1+67&lt;=$B105,12*($B$7-$B$10),-12*MAX(0,($B$6+$B$10)-IF($B$1+67&gt;=$B$23,$B$22,0))*(1+$B$4)^67)&gt;0,1+$B$3,1))</f>
        <v/>
      </c>
      <c r="BS105">
        <f>IF($B$1+68&gt;90,BR105,(BR105+IF($B$1+68&lt;=$B105,12*($B$7-$B$10),-12*MAX(0,($B$6+$B$10)-IF($B$1+68&gt;=$B$23,$B$22,0))*(1+$B$4)^68))*IF(BR105+IF($B$1+68&lt;=$B105,12*($B$7-$B$10),-12*MAX(0,($B$6+$B$10)-IF($B$1+68&gt;=$B$23,$B$22,0))*(1+$B$4)^68)&gt;0,1+$B$3,1))</f>
        <v/>
      </c>
      <c r="BT105">
        <f>IF($B$1+69&gt;90,BS105,(BS105+IF($B$1+69&lt;=$B105,12*($B$7-$B$10),-12*MAX(0,($B$6+$B$10)-IF($B$1+69&gt;=$B$23,$B$22,0))*(1+$B$4)^69))*IF(BS105+IF($B$1+69&lt;=$B105,12*($B$7-$B$10),-12*MAX(0,($B$6+$B$10)-IF($B$1+69&gt;=$B$23,$B$22,0))*(1+$B$4)^69)&gt;0,1+$B$3,1))</f>
        <v/>
      </c>
      <c r="BU105">
        <f>IF($B$1+70&gt;90,BT105,(BT105+IF($B$1+70&lt;=$B105,12*($B$7-$B$10),-12*MAX(0,($B$6+$B$10)-IF($B$1+70&gt;=$B$23,$B$22,0))*(1+$B$4)^70))*IF(BT105+IF($B$1+70&lt;=$B105,12*($B$7-$B$10),-12*MAX(0,($B$6+$B$10)-IF($B$1+70&gt;=$B$23,$B$22,0))*(1+$B$4)^70)&gt;0,1+$B$3,1))</f>
        <v/>
      </c>
      <c r="BV105">
        <f>BU105</f>
        <v/>
      </c>
      <c r="BW105">
        <f>IF(AND($B105&lt;=70,BV105&gt;0),$B105,999)</f>
        <v/>
      </c>
      <c r="CH105">
        <f>IF(ISTEXT('월 가계부'!A105),SUBSTITUTE(SUBSTITUTE(SUBSTITUTE(SUBSTITUTE(SUBSTITUTE(SUBSTITUTE(SUBSTITUTE(SUBSTITUTE(SUBSTITUTE(TRIM('월 가계부'!A105),"년","-"),"월","-"),"일",""),".","-"),"/","-")," ","-"),"--","-"),"--","-"),"--","-")&amp;"-","")</f>
        <v/>
      </c>
      <c r="CI105">
        <f>IFERROR(IF('월 가계부'!A105="","",IF(ISNUMBER('월 가계부'!A105),IF(AND('월 가계부'!A105&gt;=19000101,'월 가계부'!A105&lt;=21001231),IF(AND(MOD(INT('월 가계부'!A105/100),100)&gt;=1,MOD(INT('월 가계부'!A105/100),100)&lt;=12,MOD(INT('월 가계부'!A105),100)&gt;=1,MOD(INT('월 가계부'!A105),100)&lt;=31),IF(MONTH(DATE(INT('월 가계부'!A105/10000),MOD(INT('월 가계부'!A105/100),100),MOD(INT('월 가계부'!A105),100)))=MOD(INT('월 가계부'!A105/100),100),DATE(INT('월 가계부'!A105/10000),MOD(INT('월 가계부'!A105/100),100),MOD(INT('월 가계부'!A105),100)),""),""),IF(AND('월 가계부'!A105&gt;=36526,'월 가계부'!A105&lt;73051),INT('월 가계부'!A105),"")),IF(OR(CM105="",CN105="",CO105=""),"",IF(AND(CM105&gt;=2000,CM105&lt;=2099,CN105&gt;=1,CN105&lt;=12,CO105&gt;=1,CO105&lt;=31),IF(MONTH(DATE(CM105,CN105,CO105))=CN105,DATE(CM105,CN105,CO105),""),"")))),"")</f>
        <v/>
      </c>
      <c r="CJ105">
        <f>IFERROR(IF('월 가계부'!C105="","",IF(ISNUMBER('월 가계부'!C105),'월 가계부'!C105,VALUE(SUBSTITUTE(SUBSTITUTE(SUBSTITUTE(SUBSTITUTE(TRIM('월 가계부'!C105),",",""),"원","")," ",""),"−","-")))),"")</f>
        <v/>
      </c>
      <c r="CK105">
        <f>IF(ISNUMBER(CI105),IF(CI105&lt;$B$13,CI105,""),"")</f>
        <v/>
      </c>
      <c r="CM105">
        <f>IF(CH105="","",IFERROR(IF(IF(AND(LEN(CH105)=9,ISERROR(FIND("-",LEFT(CH105,8))),ISNUMBER(-LEFT(CH105,8))),VALUE(LEFT(CH105,4)),VALUE(LEFT(CH105,FIND("-",CH105)-1)))&lt;100,IF(AND(LEN(CH105)=9,ISERROR(FIND("-",LEFT(CH105,8))),ISNUMBER(-LEFT(CH105,8))),VALUE(LEFT(CH105,4)),VALUE(LEFT(CH105,FIND("-",CH105)-1)))+2000,IF(AND(LEN(CH105)=9,ISERROR(FIND("-",LEFT(CH105,8))),ISNUMBER(-LEFT(CH105,8))),VALUE(LEFT(CH105,4)),VALUE(LEFT(CH105,FIND("-",CH105)-1)))),""))</f>
        <v/>
      </c>
      <c r="CN105">
        <f>IF(CH105="","",IFERROR(IF(AND(LEN(CH105)=9,ISERROR(FIND("-",LEFT(CH105,8))),ISNUMBER(-LEFT(CH105,8))),VALUE(MID(CH105,5,2)),VALUE(MID(CH105,FIND("-",CH105)+1,FIND("-",CH105,FIND("-",CH105)+1)-FIND("-",CH105)-1))),""))</f>
        <v/>
      </c>
      <c r="CO105">
        <f>IF(CH105="","",IFERROR(IF(AND(LEN(CH105)=9,ISERROR(FIND("-",LEFT(CH105,8))),ISNUMBER(-LEFT(CH105,8))),VALUE(MID(CH105,7,2)),VALUE(MID(CH105,FIND("-",CH105,FIND("-",CH105)+1)+1,FIND("-",CH105,FIND("-",CH105,FIND("-",CH105)+1)+1)-FIND("-",CH105,FIND("-",CH105)+1)-1))),""))</f>
        <v/>
      </c>
    </row>
    <row r="106">
      <c r="A106" t="n">
        <v>10</v>
      </c>
      <c r="B106">
        <f>$B$1+10</f>
        <v/>
      </c>
      <c r="C106">
        <f>$B$2</f>
        <v/>
      </c>
      <c r="D106">
        <f>IF($B$1+1&gt;90,C106,(C106+IF($B$1+1&lt;=$B106,12*($B$7-$B$10),-12*MAX(0,($B$6+$B$10)-IF($B$1+1&gt;=$B$23,$B$22,0))*(1+$B$4)^1))*IF(C106+IF($B$1+1&lt;=$B106,12*($B$7-$B$10),-12*MAX(0,($B$6+$B$10)-IF($B$1+1&gt;=$B$23,$B$22,0))*(1+$B$4)^1)&gt;0,1+$B$3,1))</f>
        <v/>
      </c>
      <c r="E106">
        <f>IF($B$1+2&gt;90,D106,(D106+IF($B$1+2&lt;=$B106,12*($B$7-$B$10),-12*MAX(0,($B$6+$B$10)-IF($B$1+2&gt;=$B$23,$B$22,0))*(1+$B$4)^2))*IF(D106+IF($B$1+2&lt;=$B106,12*($B$7-$B$10),-12*MAX(0,($B$6+$B$10)-IF($B$1+2&gt;=$B$23,$B$22,0))*(1+$B$4)^2)&gt;0,1+$B$3,1))</f>
        <v/>
      </c>
      <c r="F106">
        <f>IF($B$1+3&gt;90,E106,(E106+IF($B$1+3&lt;=$B106,12*($B$7-$B$10),-12*MAX(0,($B$6+$B$10)-IF($B$1+3&gt;=$B$23,$B$22,0))*(1+$B$4)^3))*IF(E106+IF($B$1+3&lt;=$B106,12*($B$7-$B$10),-12*MAX(0,($B$6+$B$10)-IF($B$1+3&gt;=$B$23,$B$22,0))*(1+$B$4)^3)&gt;0,1+$B$3,1))</f>
        <v/>
      </c>
      <c r="G106">
        <f>IF($B$1+4&gt;90,F106,(F106+IF($B$1+4&lt;=$B106,12*($B$7-$B$10),-12*MAX(0,($B$6+$B$10)-IF($B$1+4&gt;=$B$23,$B$22,0))*(1+$B$4)^4))*IF(F106+IF($B$1+4&lt;=$B106,12*($B$7-$B$10),-12*MAX(0,($B$6+$B$10)-IF($B$1+4&gt;=$B$23,$B$22,0))*(1+$B$4)^4)&gt;0,1+$B$3,1))</f>
        <v/>
      </c>
      <c r="H106">
        <f>IF($B$1+5&gt;90,G106,(G106+IF($B$1+5&lt;=$B106,12*($B$7-$B$10),-12*MAX(0,($B$6+$B$10)-IF($B$1+5&gt;=$B$23,$B$22,0))*(1+$B$4)^5))*IF(G106+IF($B$1+5&lt;=$B106,12*($B$7-$B$10),-12*MAX(0,($B$6+$B$10)-IF($B$1+5&gt;=$B$23,$B$22,0))*(1+$B$4)^5)&gt;0,1+$B$3,1))</f>
        <v/>
      </c>
      <c r="I106">
        <f>IF($B$1+6&gt;90,H106,(H106+IF($B$1+6&lt;=$B106,12*($B$7-$B$10),-12*MAX(0,($B$6+$B$10)-IF($B$1+6&gt;=$B$23,$B$22,0))*(1+$B$4)^6))*IF(H106+IF($B$1+6&lt;=$B106,12*($B$7-$B$10),-12*MAX(0,($B$6+$B$10)-IF($B$1+6&gt;=$B$23,$B$22,0))*(1+$B$4)^6)&gt;0,1+$B$3,1))</f>
        <v/>
      </c>
      <c r="J106">
        <f>IF($B$1+7&gt;90,I106,(I106+IF($B$1+7&lt;=$B106,12*($B$7-$B$10),-12*MAX(0,($B$6+$B$10)-IF($B$1+7&gt;=$B$23,$B$22,0))*(1+$B$4)^7))*IF(I106+IF($B$1+7&lt;=$B106,12*($B$7-$B$10),-12*MAX(0,($B$6+$B$10)-IF($B$1+7&gt;=$B$23,$B$22,0))*(1+$B$4)^7)&gt;0,1+$B$3,1))</f>
        <v/>
      </c>
      <c r="K106">
        <f>IF($B$1+8&gt;90,J106,(J106+IF($B$1+8&lt;=$B106,12*($B$7-$B$10),-12*MAX(0,($B$6+$B$10)-IF($B$1+8&gt;=$B$23,$B$22,0))*(1+$B$4)^8))*IF(J106+IF($B$1+8&lt;=$B106,12*($B$7-$B$10),-12*MAX(0,($B$6+$B$10)-IF($B$1+8&gt;=$B$23,$B$22,0))*(1+$B$4)^8)&gt;0,1+$B$3,1))</f>
        <v/>
      </c>
      <c r="L106">
        <f>IF($B$1+9&gt;90,K106,(K106+IF($B$1+9&lt;=$B106,12*($B$7-$B$10),-12*MAX(0,($B$6+$B$10)-IF($B$1+9&gt;=$B$23,$B$22,0))*(1+$B$4)^9))*IF(K106+IF($B$1+9&lt;=$B106,12*($B$7-$B$10),-12*MAX(0,($B$6+$B$10)-IF($B$1+9&gt;=$B$23,$B$22,0))*(1+$B$4)^9)&gt;0,1+$B$3,1))</f>
        <v/>
      </c>
      <c r="M106">
        <f>IF($B$1+10&gt;90,L106,(L106+IF($B$1+10&lt;=$B106,12*($B$7-$B$10),-12*MAX(0,($B$6+$B$10)-IF($B$1+10&gt;=$B$23,$B$22,0))*(1+$B$4)^10))*IF(L106+IF($B$1+10&lt;=$B106,12*($B$7-$B$10),-12*MAX(0,($B$6+$B$10)-IF($B$1+10&gt;=$B$23,$B$22,0))*(1+$B$4)^10)&gt;0,1+$B$3,1))</f>
        <v/>
      </c>
      <c r="N106">
        <f>IF($B$1+11&gt;90,M106,(M106+IF($B$1+11&lt;=$B106,12*($B$7-$B$10),-12*MAX(0,($B$6+$B$10)-IF($B$1+11&gt;=$B$23,$B$22,0))*(1+$B$4)^11))*IF(M106+IF($B$1+11&lt;=$B106,12*($B$7-$B$10),-12*MAX(0,($B$6+$B$10)-IF($B$1+11&gt;=$B$23,$B$22,0))*(1+$B$4)^11)&gt;0,1+$B$3,1))</f>
        <v/>
      </c>
      <c r="O106">
        <f>IF($B$1+12&gt;90,N106,(N106+IF($B$1+12&lt;=$B106,12*($B$7-$B$10),-12*MAX(0,($B$6+$B$10)-IF($B$1+12&gt;=$B$23,$B$22,0))*(1+$B$4)^12))*IF(N106+IF($B$1+12&lt;=$B106,12*($B$7-$B$10),-12*MAX(0,($B$6+$B$10)-IF($B$1+12&gt;=$B$23,$B$22,0))*(1+$B$4)^12)&gt;0,1+$B$3,1))</f>
        <v/>
      </c>
      <c r="P106">
        <f>IF($B$1+13&gt;90,O106,(O106+IF($B$1+13&lt;=$B106,12*($B$7-$B$10),-12*MAX(0,($B$6+$B$10)-IF($B$1+13&gt;=$B$23,$B$22,0))*(1+$B$4)^13))*IF(O106+IF($B$1+13&lt;=$B106,12*($B$7-$B$10),-12*MAX(0,($B$6+$B$10)-IF($B$1+13&gt;=$B$23,$B$22,0))*(1+$B$4)^13)&gt;0,1+$B$3,1))</f>
        <v/>
      </c>
      <c r="Q106">
        <f>IF($B$1+14&gt;90,P106,(P106+IF($B$1+14&lt;=$B106,12*($B$7-$B$10),-12*MAX(0,($B$6+$B$10)-IF($B$1+14&gt;=$B$23,$B$22,0))*(1+$B$4)^14))*IF(P106+IF($B$1+14&lt;=$B106,12*($B$7-$B$10),-12*MAX(0,($B$6+$B$10)-IF($B$1+14&gt;=$B$23,$B$22,0))*(1+$B$4)^14)&gt;0,1+$B$3,1))</f>
        <v/>
      </c>
      <c r="R106">
        <f>IF($B$1+15&gt;90,Q106,(Q106+IF($B$1+15&lt;=$B106,12*($B$7-$B$10),-12*MAX(0,($B$6+$B$10)-IF($B$1+15&gt;=$B$23,$B$22,0))*(1+$B$4)^15))*IF(Q106+IF($B$1+15&lt;=$B106,12*($B$7-$B$10),-12*MAX(0,($B$6+$B$10)-IF($B$1+15&gt;=$B$23,$B$22,0))*(1+$B$4)^15)&gt;0,1+$B$3,1))</f>
        <v/>
      </c>
      <c r="S106">
        <f>IF($B$1+16&gt;90,R106,(R106+IF($B$1+16&lt;=$B106,12*($B$7-$B$10),-12*MAX(0,($B$6+$B$10)-IF($B$1+16&gt;=$B$23,$B$22,0))*(1+$B$4)^16))*IF(R106+IF($B$1+16&lt;=$B106,12*($B$7-$B$10),-12*MAX(0,($B$6+$B$10)-IF($B$1+16&gt;=$B$23,$B$22,0))*(1+$B$4)^16)&gt;0,1+$B$3,1))</f>
        <v/>
      </c>
      <c r="T106">
        <f>IF($B$1+17&gt;90,S106,(S106+IF($B$1+17&lt;=$B106,12*($B$7-$B$10),-12*MAX(0,($B$6+$B$10)-IF($B$1+17&gt;=$B$23,$B$22,0))*(1+$B$4)^17))*IF(S106+IF($B$1+17&lt;=$B106,12*($B$7-$B$10),-12*MAX(0,($B$6+$B$10)-IF($B$1+17&gt;=$B$23,$B$22,0))*(1+$B$4)^17)&gt;0,1+$B$3,1))</f>
        <v/>
      </c>
      <c r="U106">
        <f>IF($B$1+18&gt;90,T106,(T106+IF($B$1+18&lt;=$B106,12*($B$7-$B$10),-12*MAX(0,($B$6+$B$10)-IF($B$1+18&gt;=$B$23,$B$22,0))*(1+$B$4)^18))*IF(T106+IF($B$1+18&lt;=$B106,12*($B$7-$B$10),-12*MAX(0,($B$6+$B$10)-IF($B$1+18&gt;=$B$23,$B$22,0))*(1+$B$4)^18)&gt;0,1+$B$3,1))</f>
        <v/>
      </c>
      <c r="V106">
        <f>IF($B$1+19&gt;90,U106,(U106+IF($B$1+19&lt;=$B106,12*($B$7-$B$10),-12*MAX(0,($B$6+$B$10)-IF($B$1+19&gt;=$B$23,$B$22,0))*(1+$B$4)^19))*IF(U106+IF($B$1+19&lt;=$B106,12*($B$7-$B$10),-12*MAX(0,($B$6+$B$10)-IF($B$1+19&gt;=$B$23,$B$22,0))*(1+$B$4)^19)&gt;0,1+$B$3,1))</f>
        <v/>
      </c>
      <c r="W106">
        <f>IF($B$1+20&gt;90,V106,(V106+IF($B$1+20&lt;=$B106,12*($B$7-$B$10),-12*MAX(0,($B$6+$B$10)-IF($B$1+20&gt;=$B$23,$B$22,0))*(1+$B$4)^20))*IF(V106+IF($B$1+20&lt;=$B106,12*($B$7-$B$10),-12*MAX(0,($B$6+$B$10)-IF($B$1+20&gt;=$B$23,$B$22,0))*(1+$B$4)^20)&gt;0,1+$B$3,1))</f>
        <v/>
      </c>
      <c r="X106">
        <f>IF($B$1+21&gt;90,W106,(W106+IF($B$1+21&lt;=$B106,12*($B$7-$B$10),-12*MAX(0,($B$6+$B$10)-IF($B$1+21&gt;=$B$23,$B$22,0))*(1+$B$4)^21))*IF(W106+IF($B$1+21&lt;=$B106,12*($B$7-$B$10),-12*MAX(0,($B$6+$B$10)-IF($B$1+21&gt;=$B$23,$B$22,0))*(1+$B$4)^21)&gt;0,1+$B$3,1))</f>
        <v/>
      </c>
      <c r="Y106">
        <f>IF($B$1+22&gt;90,X106,(X106+IF($B$1+22&lt;=$B106,12*($B$7-$B$10),-12*MAX(0,($B$6+$B$10)-IF($B$1+22&gt;=$B$23,$B$22,0))*(1+$B$4)^22))*IF(X106+IF($B$1+22&lt;=$B106,12*($B$7-$B$10),-12*MAX(0,($B$6+$B$10)-IF($B$1+22&gt;=$B$23,$B$22,0))*(1+$B$4)^22)&gt;0,1+$B$3,1))</f>
        <v/>
      </c>
      <c r="Z106">
        <f>IF($B$1+23&gt;90,Y106,(Y106+IF($B$1+23&lt;=$B106,12*($B$7-$B$10),-12*MAX(0,($B$6+$B$10)-IF($B$1+23&gt;=$B$23,$B$22,0))*(1+$B$4)^23))*IF(Y106+IF($B$1+23&lt;=$B106,12*($B$7-$B$10),-12*MAX(0,($B$6+$B$10)-IF($B$1+23&gt;=$B$23,$B$22,0))*(1+$B$4)^23)&gt;0,1+$B$3,1))</f>
        <v/>
      </c>
      <c r="AA106">
        <f>IF($B$1+24&gt;90,Z106,(Z106+IF($B$1+24&lt;=$B106,12*($B$7-$B$10),-12*MAX(0,($B$6+$B$10)-IF($B$1+24&gt;=$B$23,$B$22,0))*(1+$B$4)^24))*IF(Z106+IF($B$1+24&lt;=$B106,12*($B$7-$B$10),-12*MAX(0,($B$6+$B$10)-IF($B$1+24&gt;=$B$23,$B$22,0))*(1+$B$4)^24)&gt;0,1+$B$3,1))</f>
        <v/>
      </c>
      <c r="AB106">
        <f>IF($B$1+25&gt;90,AA106,(AA106+IF($B$1+25&lt;=$B106,12*($B$7-$B$10),-12*MAX(0,($B$6+$B$10)-IF($B$1+25&gt;=$B$23,$B$22,0))*(1+$B$4)^25))*IF(AA106+IF($B$1+25&lt;=$B106,12*($B$7-$B$10),-12*MAX(0,($B$6+$B$10)-IF($B$1+25&gt;=$B$23,$B$22,0))*(1+$B$4)^25)&gt;0,1+$B$3,1))</f>
        <v/>
      </c>
      <c r="AC106">
        <f>IF($B$1+26&gt;90,AB106,(AB106+IF($B$1+26&lt;=$B106,12*($B$7-$B$10),-12*MAX(0,($B$6+$B$10)-IF($B$1+26&gt;=$B$23,$B$22,0))*(1+$B$4)^26))*IF(AB106+IF($B$1+26&lt;=$B106,12*($B$7-$B$10),-12*MAX(0,($B$6+$B$10)-IF($B$1+26&gt;=$B$23,$B$22,0))*(1+$B$4)^26)&gt;0,1+$B$3,1))</f>
        <v/>
      </c>
      <c r="AD106">
        <f>IF($B$1+27&gt;90,AC106,(AC106+IF($B$1+27&lt;=$B106,12*($B$7-$B$10),-12*MAX(0,($B$6+$B$10)-IF($B$1+27&gt;=$B$23,$B$22,0))*(1+$B$4)^27))*IF(AC106+IF($B$1+27&lt;=$B106,12*($B$7-$B$10),-12*MAX(0,($B$6+$B$10)-IF($B$1+27&gt;=$B$23,$B$22,0))*(1+$B$4)^27)&gt;0,1+$B$3,1))</f>
        <v/>
      </c>
      <c r="AE106">
        <f>IF($B$1+28&gt;90,AD106,(AD106+IF($B$1+28&lt;=$B106,12*($B$7-$B$10),-12*MAX(0,($B$6+$B$10)-IF($B$1+28&gt;=$B$23,$B$22,0))*(1+$B$4)^28))*IF(AD106+IF($B$1+28&lt;=$B106,12*($B$7-$B$10),-12*MAX(0,($B$6+$B$10)-IF($B$1+28&gt;=$B$23,$B$22,0))*(1+$B$4)^28)&gt;0,1+$B$3,1))</f>
        <v/>
      </c>
      <c r="AF106">
        <f>IF($B$1+29&gt;90,AE106,(AE106+IF($B$1+29&lt;=$B106,12*($B$7-$B$10),-12*MAX(0,($B$6+$B$10)-IF($B$1+29&gt;=$B$23,$B$22,0))*(1+$B$4)^29))*IF(AE106+IF($B$1+29&lt;=$B106,12*($B$7-$B$10),-12*MAX(0,($B$6+$B$10)-IF($B$1+29&gt;=$B$23,$B$22,0))*(1+$B$4)^29)&gt;0,1+$B$3,1))</f>
        <v/>
      </c>
      <c r="AG106">
        <f>IF($B$1+30&gt;90,AF106,(AF106+IF($B$1+30&lt;=$B106,12*($B$7-$B$10),-12*MAX(0,($B$6+$B$10)-IF($B$1+30&gt;=$B$23,$B$22,0))*(1+$B$4)^30))*IF(AF106+IF($B$1+30&lt;=$B106,12*($B$7-$B$10),-12*MAX(0,($B$6+$B$10)-IF($B$1+30&gt;=$B$23,$B$22,0))*(1+$B$4)^30)&gt;0,1+$B$3,1))</f>
        <v/>
      </c>
      <c r="AH106">
        <f>IF($B$1+31&gt;90,AG106,(AG106+IF($B$1+31&lt;=$B106,12*($B$7-$B$10),-12*MAX(0,($B$6+$B$10)-IF($B$1+31&gt;=$B$23,$B$22,0))*(1+$B$4)^31))*IF(AG106+IF($B$1+31&lt;=$B106,12*($B$7-$B$10),-12*MAX(0,($B$6+$B$10)-IF($B$1+31&gt;=$B$23,$B$22,0))*(1+$B$4)^31)&gt;0,1+$B$3,1))</f>
        <v/>
      </c>
      <c r="AI106">
        <f>IF($B$1+32&gt;90,AH106,(AH106+IF($B$1+32&lt;=$B106,12*($B$7-$B$10),-12*MAX(0,($B$6+$B$10)-IF($B$1+32&gt;=$B$23,$B$22,0))*(1+$B$4)^32))*IF(AH106+IF($B$1+32&lt;=$B106,12*($B$7-$B$10),-12*MAX(0,($B$6+$B$10)-IF($B$1+32&gt;=$B$23,$B$22,0))*(1+$B$4)^32)&gt;0,1+$B$3,1))</f>
        <v/>
      </c>
      <c r="AJ106">
        <f>IF($B$1+33&gt;90,AI106,(AI106+IF($B$1+33&lt;=$B106,12*($B$7-$B$10),-12*MAX(0,($B$6+$B$10)-IF($B$1+33&gt;=$B$23,$B$22,0))*(1+$B$4)^33))*IF(AI106+IF($B$1+33&lt;=$B106,12*($B$7-$B$10),-12*MAX(0,($B$6+$B$10)-IF($B$1+33&gt;=$B$23,$B$22,0))*(1+$B$4)^33)&gt;0,1+$B$3,1))</f>
        <v/>
      </c>
      <c r="AK106">
        <f>IF($B$1+34&gt;90,AJ106,(AJ106+IF($B$1+34&lt;=$B106,12*($B$7-$B$10),-12*MAX(0,($B$6+$B$10)-IF($B$1+34&gt;=$B$23,$B$22,0))*(1+$B$4)^34))*IF(AJ106+IF($B$1+34&lt;=$B106,12*($B$7-$B$10),-12*MAX(0,($B$6+$B$10)-IF($B$1+34&gt;=$B$23,$B$22,0))*(1+$B$4)^34)&gt;0,1+$B$3,1))</f>
        <v/>
      </c>
      <c r="AL106">
        <f>IF($B$1+35&gt;90,AK106,(AK106+IF($B$1+35&lt;=$B106,12*($B$7-$B$10),-12*MAX(0,($B$6+$B$10)-IF($B$1+35&gt;=$B$23,$B$22,0))*(1+$B$4)^35))*IF(AK106+IF($B$1+35&lt;=$B106,12*($B$7-$B$10),-12*MAX(0,($B$6+$B$10)-IF($B$1+35&gt;=$B$23,$B$22,0))*(1+$B$4)^35)&gt;0,1+$B$3,1))</f>
        <v/>
      </c>
      <c r="AM106">
        <f>IF($B$1+36&gt;90,AL106,(AL106+IF($B$1+36&lt;=$B106,12*($B$7-$B$10),-12*MAX(0,($B$6+$B$10)-IF($B$1+36&gt;=$B$23,$B$22,0))*(1+$B$4)^36))*IF(AL106+IF($B$1+36&lt;=$B106,12*($B$7-$B$10),-12*MAX(0,($B$6+$B$10)-IF($B$1+36&gt;=$B$23,$B$22,0))*(1+$B$4)^36)&gt;0,1+$B$3,1))</f>
        <v/>
      </c>
      <c r="AN106">
        <f>IF($B$1+37&gt;90,AM106,(AM106+IF($B$1+37&lt;=$B106,12*($B$7-$B$10),-12*MAX(0,($B$6+$B$10)-IF($B$1+37&gt;=$B$23,$B$22,0))*(1+$B$4)^37))*IF(AM106+IF($B$1+37&lt;=$B106,12*($B$7-$B$10),-12*MAX(0,($B$6+$B$10)-IF($B$1+37&gt;=$B$23,$B$22,0))*(1+$B$4)^37)&gt;0,1+$B$3,1))</f>
        <v/>
      </c>
      <c r="AO106">
        <f>IF($B$1+38&gt;90,AN106,(AN106+IF($B$1+38&lt;=$B106,12*($B$7-$B$10),-12*MAX(0,($B$6+$B$10)-IF($B$1+38&gt;=$B$23,$B$22,0))*(1+$B$4)^38))*IF(AN106+IF($B$1+38&lt;=$B106,12*($B$7-$B$10),-12*MAX(0,($B$6+$B$10)-IF($B$1+38&gt;=$B$23,$B$22,0))*(1+$B$4)^38)&gt;0,1+$B$3,1))</f>
        <v/>
      </c>
      <c r="AP106">
        <f>IF($B$1+39&gt;90,AO106,(AO106+IF($B$1+39&lt;=$B106,12*($B$7-$B$10),-12*MAX(0,($B$6+$B$10)-IF($B$1+39&gt;=$B$23,$B$22,0))*(1+$B$4)^39))*IF(AO106+IF($B$1+39&lt;=$B106,12*($B$7-$B$10),-12*MAX(0,($B$6+$B$10)-IF($B$1+39&gt;=$B$23,$B$22,0))*(1+$B$4)^39)&gt;0,1+$B$3,1))</f>
        <v/>
      </c>
      <c r="AQ106">
        <f>IF($B$1+40&gt;90,AP106,(AP106+IF($B$1+40&lt;=$B106,12*($B$7-$B$10),-12*MAX(0,($B$6+$B$10)-IF($B$1+40&gt;=$B$23,$B$22,0))*(1+$B$4)^40))*IF(AP106+IF($B$1+40&lt;=$B106,12*($B$7-$B$10),-12*MAX(0,($B$6+$B$10)-IF($B$1+40&gt;=$B$23,$B$22,0))*(1+$B$4)^40)&gt;0,1+$B$3,1))</f>
        <v/>
      </c>
      <c r="AR106">
        <f>IF($B$1+41&gt;90,AQ106,(AQ106+IF($B$1+41&lt;=$B106,12*($B$7-$B$10),-12*MAX(0,($B$6+$B$10)-IF($B$1+41&gt;=$B$23,$B$22,0))*(1+$B$4)^41))*IF(AQ106+IF($B$1+41&lt;=$B106,12*($B$7-$B$10),-12*MAX(0,($B$6+$B$10)-IF($B$1+41&gt;=$B$23,$B$22,0))*(1+$B$4)^41)&gt;0,1+$B$3,1))</f>
        <v/>
      </c>
      <c r="AS106">
        <f>IF($B$1+42&gt;90,AR106,(AR106+IF($B$1+42&lt;=$B106,12*($B$7-$B$10),-12*MAX(0,($B$6+$B$10)-IF($B$1+42&gt;=$B$23,$B$22,0))*(1+$B$4)^42))*IF(AR106+IF($B$1+42&lt;=$B106,12*($B$7-$B$10),-12*MAX(0,($B$6+$B$10)-IF($B$1+42&gt;=$B$23,$B$22,0))*(1+$B$4)^42)&gt;0,1+$B$3,1))</f>
        <v/>
      </c>
      <c r="AT106">
        <f>IF($B$1+43&gt;90,AS106,(AS106+IF($B$1+43&lt;=$B106,12*($B$7-$B$10),-12*MAX(0,($B$6+$B$10)-IF($B$1+43&gt;=$B$23,$B$22,0))*(1+$B$4)^43))*IF(AS106+IF($B$1+43&lt;=$B106,12*($B$7-$B$10),-12*MAX(0,($B$6+$B$10)-IF($B$1+43&gt;=$B$23,$B$22,0))*(1+$B$4)^43)&gt;0,1+$B$3,1))</f>
        <v/>
      </c>
      <c r="AU106">
        <f>IF($B$1+44&gt;90,AT106,(AT106+IF($B$1+44&lt;=$B106,12*($B$7-$B$10),-12*MAX(0,($B$6+$B$10)-IF($B$1+44&gt;=$B$23,$B$22,0))*(1+$B$4)^44))*IF(AT106+IF($B$1+44&lt;=$B106,12*($B$7-$B$10),-12*MAX(0,($B$6+$B$10)-IF($B$1+44&gt;=$B$23,$B$22,0))*(1+$B$4)^44)&gt;0,1+$B$3,1))</f>
        <v/>
      </c>
      <c r="AV106">
        <f>IF($B$1+45&gt;90,AU106,(AU106+IF($B$1+45&lt;=$B106,12*($B$7-$B$10),-12*MAX(0,($B$6+$B$10)-IF($B$1+45&gt;=$B$23,$B$22,0))*(1+$B$4)^45))*IF(AU106+IF($B$1+45&lt;=$B106,12*($B$7-$B$10),-12*MAX(0,($B$6+$B$10)-IF($B$1+45&gt;=$B$23,$B$22,0))*(1+$B$4)^45)&gt;0,1+$B$3,1))</f>
        <v/>
      </c>
      <c r="AW106">
        <f>IF($B$1+46&gt;90,AV106,(AV106+IF($B$1+46&lt;=$B106,12*($B$7-$B$10),-12*MAX(0,($B$6+$B$10)-IF($B$1+46&gt;=$B$23,$B$22,0))*(1+$B$4)^46))*IF(AV106+IF($B$1+46&lt;=$B106,12*($B$7-$B$10),-12*MAX(0,($B$6+$B$10)-IF($B$1+46&gt;=$B$23,$B$22,0))*(1+$B$4)^46)&gt;0,1+$B$3,1))</f>
        <v/>
      </c>
      <c r="AX106">
        <f>IF($B$1+47&gt;90,AW106,(AW106+IF($B$1+47&lt;=$B106,12*($B$7-$B$10),-12*MAX(0,($B$6+$B$10)-IF($B$1+47&gt;=$B$23,$B$22,0))*(1+$B$4)^47))*IF(AW106+IF($B$1+47&lt;=$B106,12*($B$7-$B$10),-12*MAX(0,($B$6+$B$10)-IF($B$1+47&gt;=$B$23,$B$22,0))*(1+$B$4)^47)&gt;0,1+$B$3,1))</f>
        <v/>
      </c>
      <c r="AY106">
        <f>IF($B$1+48&gt;90,AX106,(AX106+IF($B$1+48&lt;=$B106,12*($B$7-$B$10),-12*MAX(0,($B$6+$B$10)-IF($B$1+48&gt;=$B$23,$B$22,0))*(1+$B$4)^48))*IF(AX106+IF($B$1+48&lt;=$B106,12*($B$7-$B$10),-12*MAX(0,($B$6+$B$10)-IF($B$1+48&gt;=$B$23,$B$22,0))*(1+$B$4)^48)&gt;0,1+$B$3,1))</f>
        <v/>
      </c>
      <c r="AZ106">
        <f>IF($B$1+49&gt;90,AY106,(AY106+IF($B$1+49&lt;=$B106,12*($B$7-$B$10),-12*MAX(0,($B$6+$B$10)-IF($B$1+49&gt;=$B$23,$B$22,0))*(1+$B$4)^49))*IF(AY106+IF($B$1+49&lt;=$B106,12*($B$7-$B$10),-12*MAX(0,($B$6+$B$10)-IF($B$1+49&gt;=$B$23,$B$22,0))*(1+$B$4)^49)&gt;0,1+$B$3,1))</f>
        <v/>
      </c>
      <c r="BA106">
        <f>IF($B$1+50&gt;90,AZ106,(AZ106+IF($B$1+50&lt;=$B106,12*($B$7-$B$10),-12*MAX(0,($B$6+$B$10)-IF($B$1+50&gt;=$B$23,$B$22,0))*(1+$B$4)^50))*IF(AZ106+IF($B$1+50&lt;=$B106,12*($B$7-$B$10),-12*MAX(0,($B$6+$B$10)-IF($B$1+50&gt;=$B$23,$B$22,0))*(1+$B$4)^50)&gt;0,1+$B$3,1))</f>
        <v/>
      </c>
      <c r="BB106">
        <f>IF($B$1+51&gt;90,BA106,(BA106+IF($B$1+51&lt;=$B106,12*($B$7-$B$10),-12*MAX(0,($B$6+$B$10)-IF($B$1+51&gt;=$B$23,$B$22,0))*(1+$B$4)^51))*IF(BA106+IF($B$1+51&lt;=$B106,12*($B$7-$B$10),-12*MAX(0,($B$6+$B$10)-IF($B$1+51&gt;=$B$23,$B$22,0))*(1+$B$4)^51)&gt;0,1+$B$3,1))</f>
        <v/>
      </c>
      <c r="BC106">
        <f>IF($B$1+52&gt;90,BB106,(BB106+IF($B$1+52&lt;=$B106,12*($B$7-$B$10),-12*MAX(0,($B$6+$B$10)-IF($B$1+52&gt;=$B$23,$B$22,0))*(1+$B$4)^52))*IF(BB106+IF($B$1+52&lt;=$B106,12*($B$7-$B$10),-12*MAX(0,($B$6+$B$10)-IF($B$1+52&gt;=$B$23,$B$22,0))*(1+$B$4)^52)&gt;0,1+$B$3,1))</f>
        <v/>
      </c>
      <c r="BD106">
        <f>IF($B$1+53&gt;90,BC106,(BC106+IF($B$1+53&lt;=$B106,12*($B$7-$B$10),-12*MAX(0,($B$6+$B$10)-IF($B$1+53&gt;=$B$23,$B$22,0))*(1+$B$4)^53))*IF(BC106+IF($B$1+53&lt;=$B106,12*($B$7-$B$10),-12*MAX(0,($B$6+$B$10)-IF($B$1+53&gt;=$B$23,$B$22,0))*(1+$B$4)^53)&gt;0,1+$B$3,1))</f>
        <v/>
      </c>
      <c r="BE106">
        <f>IF($B$1+54&gt;90,BD106,(BD106+IF($B$1+54&lt;=$B106,12*($B$7-$B$10),-12*MAX(0,($B$6+$B$10)-IF($B$1+54&gt;=$B$23,$B$22,0))*(1+$B$4)^54))*IF(BD106+IF($B$1+54&lt;=$B106,12*($B$7-$B$10),-12*MAX(0,($B$6+$B$10)-IF($B$1+54&gt;=$B$23,$B$22,0))*(1+$B$4)^54)&gt;0,1+$B$3,1))</f>
        <v/>
      </c>
      <c r="BF106">
        <f>IF($B$1+55&gt;90,BE106,(BE106+IF($B$1+55&lt;=$B106,12*($B$7-$B$10),-12*MAX(0,($B$6+$B$10)-IF($B$1+55&gt;=$B$23,$B$22,0))*(1+$B$4)^55))*IF(BE106+IF($B$1+55&lt;=$B106,12*($B$7-$B$10),-12*MAX(0,($B$6+$B$10)-IF($B$1+55&gt;=$B$23,$B$22,0))*(1+$B$4)^55)&gt;0,1+$B$3,1))</f>
        <v/>
      </c>
      <c r="BG106">
        <f>IF($B$1+56&gt;90,BF106,(BF106+IF($B$1+56&lt;=$B106,12*($B$7-$B$10),-12*MAX(0,($B$6+$B$10)-IF($B$1+56&gt;=$B$23,$B$22,0))*(1+$B$4)^56))*IF(BF106+IF($B$1+56&lt;=$B106,12*($B$7-$B$10),-12*MAX(0,($B$6+$B$10)-IF($B$1+56&gt;=$B$23,$B$22,0))*(1+$B$4)^56)&gt;0,1+$B$3,1))</f>
        <v/>
      </c>
      <c r="BH106">
        <f>IF($B$1+57&gt;90,BG106,(BG106+IF($B$1+57&lt;=$B106,12*($B$7-$B$10),-12*MAX(0,($B$6+$B$10)-IF($B$1+57&gt;=$B$23,$B$22,0))*(1+$B$4)^57))*IF(BG106+IF($B$1+57&lt;=$B106,12*($B$7-$B$10),-12*MAX(0,($B$6+$B$10)-IF($B$1+57&gt;=$B$23,$B$22,0))*(1+$B$4)^57)&gt;0,1+$B$3,1))</f>
        <v/>
      </c>
      <c r="BI106">
        <f>IF($B$1+58&gt;90,BH106,(BH106+IF($B$1+58&lt;=$B106,12*($B$7-$B$10),-12*MAX(0,($B$6+$B$10)-IF($B$1+58&gt;=$B$23,$B$22,0))*(1+$B$4)^58))*IF(BH106+IF($B$1+58&lt;=$B106,12*($B$7-$B$10),-12*MAX(0,($B$6+$B$10)-IF($B$1+58&gt;=$B$23,$B$22,0))*(1+$B$4)^58)&gt;0,1+$B$3,1))</f>
        <v/>
      </c>
      <c r="BJ106">
        <f>IF($B$1+59&gt;90,BI106,(BI106+IF($B$1+59&lt;=$B106,12*($B$7-$B$10),-12*MAX(0,($B$6+$B$10)-IF($B$1+59&gt;=$B$23,$B$22,0))*(1+$B$4)^59))*IF(BI106+IF($B$1+59&lt;=$B106,12*($B$7-$B$10),-12*MAX(0,($B$6+$B$10)-IF($B$1+59&gt;=$B$23,$B$22,0))*(1+$B$4)^59)&gt;0,1+$B$3,1))</f>
        <v/>
      </c>
      <c r="BK106">
        <f>IF($B$1+60&gt;90,BJ106,(BJ106+IF($B$1+60&lt;=$B106,12*($B$7-$B$10),-12*MAX(0,($B$6+$B$10)-IF($B$1+60&gt;=$B$23,$B$22,0))*(1+$B$4)^60))*IF(BJ106+IF($B$1+60&lt;=$B106,12*($B$7-$B$10),-12*MAX(0,($B$6+$B$10)-IF($B$1+60&gt;=$B$23,$B$22,0))*(1+$B$4)^60)&gt;0,1+$B$3,1))</f>
        <v/>
      </c>
      <c r="BL106">
        <f>IF($B$1+61&gt;90,BK106,(BK106+IF($B$1+61&lt;=$B106,12*($B$7-$B$10),-12*MAX(0,($B$6+$B$10)-IF($B$1+61&gt;=$B$23,$B$22,0))*(1+$B$4)^61))*IF(BK106+IF($B$1+61&lt;=$B106,12*($B$7-$B$10),-12*MAX(0,($B$6+$B$10)-IF($B$1+61&gt;=$B$23,$B$22,0))*(1+$B$4)^61)&gt;0,1+$B$3,1))</f>
        <v/>
      </c>
      <c r="BM106">
        <f>IF($B$1+62&gt;90,BL106,(BL106+IF($B$1+62&lt;=$B106,12*($B$7-$B$10),-12*MAX(0,($B$6+$B$10)-IF($B$1+62&gt;=$B$23,$B$22,0))*(1+$B$4)^62))*IF(BL106+IF($B$1+62&lt;=$B106,12*($B$7-$B$10),-12*MAX(0,($B$6+$B$10)-IF($B$1+62&gt;=$B$23,$B$22,0))*(1+$B$4)^62)&gt;0,1+$B$3,1))</f>
        <v/>
      </c>
      <c r="BN106">
        <f>IF($B$1+63&gt;90,BM106,(BM106+IF($B$1+63&lt;=$B106,12*($B$7-$B$10),-12*MAX(0,($B$6+$B$10)-IF($B$1+63&gt;=$B$23,$B$22,0))*(1+$B$4)^63))*IF(BM106+IF($B$1+63&lt;=$B106,12*($B$7-$B$10),-12*MAX(0,($B$6+$B$10)-IF($B$1+63&gt;=$B$23,$B$22,0))*(1+$B$4)^63)&gt;0,1+$B$3,1))</f>
        <v/>
      </c>
      <c r="BO106">
        <f>IF($B$1+64&gt;90,BN106,(BN106+IF($B$1+64&lt;=$B106,12*($B$7-$B$10),-12*MAX(0,($B$6+$B$10)-IF($B$1+64&gt;=$B$23,$B$22,0))*(1+$B$4)^64))*IF(BN106+IF($B$1+64&lt;=$B106,12*($B$7-$B$10),-12*MAX(0,($B$6+$B$10)-IF($B$1+64&gt;=$B$23,$B$22,0))*(1+$B$4)^64)&gt;0,1+$B$3,1))</f>
        <v/>
      </c>
      <c r="BP106">
        <f>IF($B$1+65&gt;90,BO106,(BO106+IF($B$1+65&lt;=$B106,12*($B$7-$B$10),-12*MAX(0,($B$6+$B$10)-IF($B$1+65&gt;=$B$23,$B$22,0))*(1+$B$4)^65))*IF(BO106+IF($B$1+65&lt;=$B106,12*($B$7-$B$10),-12*MAX(0,($B$6+$B$10)-IF($B$1+65&gt;=$B$23,$B$22,0))*(1+$B$4)^65)&gt;0,1+$B$3,1))</f>
        <v/>
      </c>
      <c r="BQ106">
        <f>IF($B$1+66&gt;90,BP106,(BP106+IF($B$1+66&lt;=$B106,12*($B$7-$B$10),-12*MAX(0,($B$6+$B$10)-IF($B$1+66&gt;=$B$23,$B$22,0))*(1+$B$4)^66))*IF(BP106+IF($B$1+66&lt;=$B106,12*($B$7-$B$10),-12*MAX(0,($B$6+$B$10)-IF($B$1+66&gt;=$B$23,$B$22,0))*(1+$B$4)^66)&gt;0,1+$B$3,1))</f>
        <v/>
      </c>
      <c r="BR106">
        <f>IF($B$1+67&gt;90,BQ106,(BQ106+IF($B$1+67&lt;=$B106,12*($B$7-$B$10),-12*MAX(0,($B$6+$B$10)-IF($B$1+67&gt;=$B$23,$B$22,0))*(1+$B$4)^67))*IF(BQ106+IF($B$1+67&lt;=$B106,12*($B$7-$B$10),-12*MAX(0,($B$6+$B$10)-IF($B$1+67&gt;=$B$23,$B$22,0))*(1+$B$4)^67)&gt;0,1+$B$3,1))</f>
        <v/>
      </c>
      <c r="BS106">
        <f>IF($B$1+68&gt;90,BR106,(BR106+IF($B$1+68&lt;=$B106,12*($B$7-$B$10),-12*MAX(0,($B$6+$B$10)-IF($B$1+68&gt;=$B$23,$B$22,0))*(1+$B$4)^68))*IF(BR106+IF($B$1+68&lt;=$B106,12*($B$7-$B$10),-12*MAX(0,($B$6+$B$10)-IF($B$1+68&gt;=$B$23,$B$22,0))*(1+$B$4)^68)&gt;0,1+$B$3,1))</f>
        <v/>
      </c>
      <c r="BT106">
        <f>IF($B$1+69&gt;90,BS106,(BS106+IF($B$1+69&lt;=$B106,12*($B$7-$B$10),-12*MAX(0,($B$6+$B$10)-IF($B$1+69&gt;=$B$23,$B$22,0))*(1+$B$4)^69))*IF(BS106+IF($B$1+69&lt;=$B106,12*($B$7-$B$10),-12*MAX(0,($B$6+$B$10)-IF($B$1+69&gt;=$B$23,$B$22,0))*(1+$B$4)^69)&gt;0,1+$B$3,1))</f>
        <v/>
      </c>
      <c r="BU106">
        <f>IF($B$1+70&gt;90,BT106,(BT106+IF($B$1+70&lt;=$B106,12*($B$7-$B$10),-12*MAX(0,($B$6+$B$10)-IF($B$1+70&gt;=$B$23,$B$22,0))*(1+$B$4)^70))*IF(BT106+IF($B$1+70&lt;=$B106,12*($B$7-$B$10),-12*MAX(0,($B$6+$B$10)-IF($B$1+70&gt;=$B$23,$B$22,0))*(1+$B$4)^70)&gt;0,1+$B$3,1))</f>
        <v/>
      </c>
      <c r="BV106">
        <f>BU106</f>
        <v/>
      </c>
      <c r="BW106">
        <f>IF(AND($B106&lt;=70,BV106&gt;0),$B106,999)</f>
        <v/>
      </c>
      <c r="CH106">
        <f>IF(ISTEXT('월 가계부'!A106),SUBSTITUTE(SUBSTITUTE(SUBSTITUTE(SUBSTITUTE(SUBSTITUTE(SUBSTITUTE(SUBSTITUTE(SUBSTITUTE(SUBSTITUTE(TRIM('월 가계부'!A106),"년","-"),"월","-"),"일",""),".","-"),"/","-")," ","-"),"--","-"),"--","-"),"--","-")&amp;"-","")</f>
        <v/>
      </c>
      <c r="CI106">
        <f>IFERROR(IF('월 가계부'!A106="","",IF(ISNUMBER('월 가계부'!A106),IF(AND('월 가계부'!A106&gt;=19000101,'월 가계부'!A106&lt;=21001231),IF(AND(MOD(INT('월 가계부'!A106/100),100)&gt;=1,MOD(INT('월 가계부'!A106/100),100)&lt;=12,MOD(INT('월 가계부'!A106),100)&gt;=1,MOD(INT('월 가계부'!A106),100)&lt;=31),IF(MONTH(DATE(INT('월 가계부'!A106/10000),MOD(INT('월 가계부'!A106/100),100),MOD(INT('월 가계부'!A106),100)))=MOD(INT('월 가계부'!A106/100),100),DATE(INT('월 가계부'!A106/10000),MOD(INT('월 가계부'!A106/100),100),MOD(INT('월 가계부'!A106),100)),""),""),IF(AND('월 가계부'!A106&gt;=36526,'월 가계부'!A106&lt;73051),INT('월 가계부'!A106),"")),IF(OR(CM106="",CN106="",CO106=""),"",IF(AND(CM106&gt;=2000,CM106&lt;=2099,CN106&gt;=1,CN106&lt;=12,CO106&gt;=1,CO106&lt;=31),IF(MONTH(DATE(CM106,CN106,CO106))=CN106,DATE(CM106,CN106,CO106),""),"")))),"")</f>
        <v/>
      </c>
      <c r="CJ106">
        <f>IFERROR(IF('월 가계부'!C106="","",IF(ISNUMBER('월 가계부'!C106),'월 가계부'!C106,VALUE(SUBSTITUTE(SUBSTITUTE(SUBSTITUTE(SUBSTITUTE(TRIM('월 가계부'!C106),",",""),"원","")," ",""),"−","-")))),"")</f>
        <v/>
      </c>
      <c r="CK106">
        <f>IF(ISNUMBER(CI106),IF(CI106&lt;$B$13,CI106,""),"")</f>
        <v/>
      </c>
      <c r="CM106">
        <f>IF(CH106="","",IFERROR(IF(IF(AND(LEN(CH106)=9,ISERROR(FIND("-",LEFT(CH106,8))),ISNUMBER(-LEFT(CH106,8))),VALUE(LEFT(CH106,4)),VALUE(LEFT(CH106,FIND("-",CH106)-1)))&lt;100,IF(AND(LEN(CH106)=9,ISERROR(FIND("-",LEFT(CH106,8))),ISNUMBER(-LEFT(CH106,8))),VALUE(LEFT(CH106,4)),VALUE(LEFT(CH106,FIND("-",CH106)-1)))+2000,IF(AND(LEN(CH106)=9,ISERROR(FIND("-",LEFT(CH106,8))),ISNUMBER(-LEFT(CH106,8))),VALUE(LEFT(CH106,4)),VALUE(LEFT(CH106,FIND("-",CH106)-1)))),""))</f>
        <v/>
      </c>
      <c r="CN106">
        <f>IF(CH106="","",IFERROR(IF(AND(LEN(CH106)=9,ISERROR(FIND("-",LEFT(CH106,8))),ISNUMBER(-LEFT(CH106,8))),VALUE(MID(CH106,5,2)),VALUE(MID(CH106,FIND("-",CH106)+1,FIND("-",CH106,FIND("-",CH106)+1)-FIND("-",CH106)-1))),""))</f>
        <v/>
      </c>
      <c r="CO106">
        <f>IF(CH106="","",IFERROR(IF(AND(LEN(CH106)=9,ISERROR(FIND("-",LEFT(CH106,8))),ISNUMBER(-LEFT(CH106,8))),VALUE(MID(CH106,7,2)),VALUE(MID(CH106,FIND("-",CH106,FIND("-",CH106)+1)+1,FIND("-",CH106,FIND("-",CH106,FIND("-",CH106)+1)+1)-FIND("-",CH106,FIND("-",CH106)+1)-1))),""))</f>
        <v/>
      </c>
    </row>
    <row r="107">
      <c r="A107" t="n">
        <v>11</v>
      </c>
      <c r="B107">
        <f>$B$1+11</f>
        <v/>
      </c>
      <c r="C107">
        <f>$B$2</f>
        <v/>
      </c>
      <c r="D107">
        <f>IF($B$1+1&gt;90,C107,(C107+IF($B$1+1&lt;=$B107,12*($B$7-$B$10),-12*MAX(0,($B$6+$B$10)-IF($B$1+1&gt;=$B$23,$B$22,0))*(1+$B$4)^1))*IF(C107+IF($B$1+1&lt;=$B107,12*($B$7-$B$10),-12*MAX(0,($B$6+$B$10)-IF($B$1+1&gt;=$B$23,$B$22,0))*(1+$B$4)^1)&gt;0,1+$B$3,1))</f>
        <v/>
      </c>
      <c r="E107">
        <f>IF($B$1+2&gt;90,D107,(D107+IF($B$1+2&lt;=$B107,12*($B$7-$B$10),-12*MAX(0,($B$6+$B$10)-IF($B$1+2&gt;=$B$23,$B$22,0))*(1+$B$4)^2))*IF(D107+IF($B$1+2&lt;=$B107,12*($B$7-$B$10),-12*MAX(0,($B$6+$B$10)-IF($B$1+2&gt;=$B$23,$B$22,0))*(1+$B$4)^2)&gt;0,1+$B$3,1))</f>
        <v/>
      </c>
      <c r="F107">
        <f>IF($B$1+3&gt;90,E107,(E107+IF($B$1+3&lt;=$B107,12*($B$7-$B$10),-12*MAX(0,($B$6+$B$10)-IF($B$1+3&gt;=$B$23,$B$22,0))*(1+$B$4)^3))*IF(E107+IF($B$1+3&lt;=$B107,12*($B$7-$B$10),-12*MAX(0,($B$6+$B$10)-IF($B$1+3&gt;=$B$23,$B$22,0))*(1+$B$4)^3)&gt;0,1+$B$3,1))</f>
        <v/>
      </c>
      <c r="G107">
        <f>IF($B$1+4&gt;90,F107,(F107+IF($B$1+4&lt;=$B107,12*($B$7-$B$10),-12*MAX(0,($B$6+$B$10)-IF($B$1+4&gt;=$B$23,$B$22,0))*(1+$B$4)^4))*IF(F107+IF($B$1+4&lt;=$B107,12*($B$7-$B$10),-12*MAX(0,($B$6+$B$10)-IF($B$1+4&gt;=$B$23,$B$22,0))*(1+$B$4)^4)&gt;0,1+$B$3,1))</f>
        <v/>
      </c>
      <c r="H107">
        <f>IF($B$1+5&gt;90,G107,(G107+IF($B$1+5&lt;=$B107,12*($B$7-$B$10),-12*MAX(0,($B$6+$B$10)-IF($B$1+5&gt;=$B$23,$B$22,0))*(1+$B$4)^5))*IF(G107+IF($B$1+5&lt;=$B107,12*($B$7-$B$10),-12*MAX(0,($B$6+$B$10)-IF($B$1+5&gt;=$B$23,$B$22,0))*(1+$B$4)^5)&gt;0,1+$B$3,1))</f>
        <v/>
      </c>
      <c r="I107">
        <f>IF($B$1+6&gt;90,H107,(H107+IF($B$1+6&lt;=$B107,12*($B$7-$B$10),-12*MAX(0,($B$6+$B$10)-IF($B$1+6&gt;=$B$23,$B$22,0))*(1+$B$4)^6))*IF(H107+IF($B$1+6&lt;=$B107,12*($B$7-$B$10),-12*MAX(0,($B$6+$B$10)-IF($B$1+6&gt;=$B$23,$B$22,0))*(1+$B$4)^6)&gt;0,1+$B$3,1))</f>
        <v/>
      </c>
      <c r="J107">
        <f>IF($B$1+7&gt;90,I107,(I107+IF($B$1+7&lt;=$B107,12*($B$7-$B$10),-12*MAX(0,($B$6+$B$10)-IF($B$1+7&gt;=$B$23,$B$22,0))*(1+$B$4)^7))*IF(I107+IF($B$1+7&lt;=$B107,12*($B$7-$B$10),-12*MAX(0,($B$6+$B$10)-IF($B$1+7&gt;=$B$23,$B$22,0))*(1+$B$4)^7)&gt;0,1+$B$3,1))</f>
        <v/>
      </c>
      <c r="K107">
        <f>IF($B$1+8&gt;90,J107,(J107+IF($B$1+8&lt;=$B107,12*($B$7-$B$10),-12*MAX(0,($B$6+$B$10)-IF($B$1+8&gt;=$B$23,$B$22,0))*(1+$B$4)^8))*IF(J107+IF($B$1+8&lt;=$B107,12*($B$7-$B$10),-12*MAX(0,($B$6+$B$10)-IF($B$1+8&gt;=$B$23,$B$22,0))*(1+$B$4)^8)&gt;0,1+$B$3,1))</f>
        <v/>
      </c>
      <c r="L107">
        <f>IF($B$1+9&gt;90,K107,(K107+IF($B$1+9&lt;=$B107,12*($B$7-$B$10),-12*MAX(0,($B$6+$B$10)-IF($B$1+9&gt;=$B$23,$B$22,0))*(1+$B$4)^9))*IF(K107+IF($B$1+9&lt;=$B107,12*($B$7-$B$10),-12*MAX(0,($B$6+$B$10)-IF($B$1+9&gt;=$B$23,$B$22,0))*(1+$B$4)^9)&gt;0,1+$B$3,1))</f>
        <v/>
      </c>
      <c r="M107">
        <f>IF($B$1+10&gt;90,L107,(L107+IF($B$1+10&lt;=$B107,12*($B$7-$B$10),-12*MAX(0,($B$6+$B$10)-IF($B$1+10&gt;=$B$23,$B$22,0))*(1+$B$4)^10))*IF(L107+IF($B$1+10&lt;=$B107,12*($B$7-$B$10),-12*MAX(0,($B$6+$B$10)-IF($B$1+10&gt;=$B$23,$B$22,0))*(1+$B$4)^10)&gt;0,1+$B$3,1))</f>
        <v/>
      </c>
      <c r="N107">
        <f>IF($B$1+11&gt;90,M107,(M107+IF($B$1+11&lt;=$B107,12*($B$7-$B$10),-12*MAX(0,($B$6+$B$10)-IF($B$1+11&gt;=$B$23,$B$22,0))*(1+$B$4)^11))*IF(M107+IF($B$1+11&lt;=$B107,12*($B$7-$B$10),-12*MAX(0,($B$6+$B$10)-IF($B$1+11&gt;=$B$23,$B$22,0))*(1+$B$4)^11)&gt;0,1+$B$3,1))</f>
        <v/>
      </c>
      <c r="O107">
        <f>IF($B$1+12&gt;90,N107,(N107+IF($B$1+12&lt;=$B107,12*($B$7-$B$10),-12*MAX(0,($B$6+$B$10)-IF($B$1+12&gt;=$B$23,$B$22,0))*(1+$B$4)^12))*IF(N107+IF($B$1+12&lt;=$B107,12*($B$7-$B$10),-12*MAX(0,($B$6+$B$10)-IF($B$1+12&gt;=$B$23,$B$22,0))*(1+$B$4)^12)&gt;0,1+$B$3,1))</f>
        <v/>
      </c>
      <c r="P107">
        <f>IF($B$1+13&gt;90,O107,(O107+IF($B$1+13&lt;=$B107,12*($B$7-$B$10),-12*MAX(0,($B$6+$B$10)-IF($B$1+13&gt;=$B$23,$B$22,0))*(1+$B$4)^13))*IF(O107+IF($B$1+13&lt;=$B107,12*($B$7-$B$10),-12*MAX(0,($B$6+$B$10)-IF($B$1+13&gt;=$B$23,$B$22,0))*(1+$B$4)^13)&gt;0,1+$B$3,1))</f>
        <v/>
      </c>
      <c r="Q107">
        <f>IF($B$1+14&gt;90,P107,(P107+IF($B$1+14&lt;=$B107,12*($B$7-$B$10),-12*MAX(0,($B$6+$B$10)-IF($B$1+14&gt;=$B$23,$B$22,0))*(1+$B$4)^14))*IF(P107+IF($B$1+14&lt;=$B107,12*($B$7-$B$10),-12*MAX(0,($B$6+$B$10)-IF($B$1+14&gt;=$B$23,$B$22,0))*(1+$B$4)^14)&gt;0,1+$B$3,1))</f>
        <v/>
      </c>
      <c r="R107">
        <f>IF($B$1+15&gt;90,Q107,(Q107+IF($B$1+15&lt;=$B107,12*($B$7-$B$10),-12*MAX(0,($B$6+$B$10)-IF($B$1+15&gt;=$B$23,$B$22,0))*(1+$B$4)^15))*IF(Q107+IF($B$1+15&lt;=$B107,12*($B$7-$B$10),-12*MAX(0,($B$6+$B$10)-IF($B$1+15&gt;=$B$23,$B$22,0))*(1+$B$4)^15)&gt;0,1+$B$3,1))</f>
        <v/>
      </c>
      <c r="S107">
        <f>IF($B$1+16&gt;90,R107,(R107+IF($B$1+16&lt;=$B107,12*($B$7-$B$10),-12*MAX(0,($B$6+$B$10)-IF($B$1+16&gt;=$B$23,$B$22,0))*(1+$B$4)^16))*IF(R107+IF($B$1+16&lt;=$B107,12*($B$7-$B$10),-12*MAX(0,($B$6+$B$10)-IF($B$1+16&gt;=$B$23,$B$22,0))*(1+$B$4)^16)&gt;0,1+$B$3,1))</f>
        <v/>
      </c>
      <c r="T107">
        <f>IF($B$1+17&gt;90,S107,(S107+IF($B$1+17&lt;=$B107,12*($B$7-$B$10),-12*MAX(0,($B$6+$B$10)-IF($B$1+17&gt;=$B$23,$B$22,0))*(1+$B$4)^17))*IF(S107+IF($B$1+17&lt;=$B107,12*($B$7-$B$10),-12*MAX(0,($B$6+$B$10)-IF($B$1+17&gt;=$B$23,$B$22,0))*(1+$B$4)^17)&gt;0,1+$B$3,1))</f>
        <v/>
      </c>
      <c r="U107">
        <f>IF($B$1+18&gt;90,T107,(T107+IF($B$1+18&lt;=$B107,12*($B$7-$B$10),-12*MAX(0,($B$6+$B$10)-IF($B$1+18&gt;=$B$23,$B$22,0))*(1+$B$4)^18))*IF(T107+IF($B$1+18&lt;=$B107,12*($B$7-$B$10),-12*MAX(0,($B$6+$B$10)-IF($B$1+18&gt;=$B$23,$B$22,0))*(1+$B$4)^18)&gt;0,1+$B$3,1))</f>
        <v/>
      </c>
      <c r="V107">
        <f>IF($B$1+19&gt;90,U107,(U107+IF($B$1+19&lt;=$B107,12*($B$7-$B$10),-12*MAX(0,($B$6+$B$10)-IF($B$1+19&gt;=$B$23,$B$22,0))*(1+$B$4)^19))*IF(U107+IF($B$1+19&lt;=$B107,12*($B$7-$B$10),-12*MAX(0,($B$6+$B$10)-IF($B$1+19&gt;=$B$23,$B$22,0))*(1+$B$4)^19)&gt;0,1+$B$3,1))</f>
        <v/>
      </c>
      <c r="W107">
        <f>IF($B$1+20&gt;90,V107,(V107+IF($B$1+20&lt;=$B107,12*($B$7-$B$10),-12*MAX(0,($B$6+$B$10)-IF($B$1+20&gt;=$B$23,$B$22,0))*(1+$B$4)^20))*IF(V107+IF($B$1+20&lt;=$B107,12*($B$7-$B$10),-12*MAX(0,($B$6+$B$10)-IF($B$1+20&gt;=$B$23,$B$22,0))*(1+$B$4)^20)&gt;0,1+$B$3,1))</f>
        <v/>
      </c>
      <c r="X107">
        <f>IF($B$1+21&gt;90,W107,(W107+IF($B$1+21&lt;=$B107,12*($B$7-$B$10),-12*MAX(0,($B$6+$B$10)-IF($B$1+21&gt;=$B$23,$B$22,0))*(1+$B$4)^21))*IF(W107+IF($B$1+21&lt;=$B107,12*($B$7-$B$10),-12*MAX(0,($B$6+$B$10)-IF($B$1+21&gt;=$B$23,$B$22,0))*(1+$B$4)^21)&gt;0,1+$B$3,1))</f>
        <v/>
      </c>
      <c r="Y107">
        <f>IF($B$1+22&gt;90,X107,(X107+IF($B$1+22&lt;=$B107,12*($B$7-$B$10),-12*MAX(0,($B$6+$B$10)-IF($B$1+22&gt;=$B$23,$B$22,0))*(1+$B$4)^22))*IF(X107+IF($B$1+22&lt;=$B107,12*($B$7-$B$10),-12*MAX(0,($B$6+$B$10)-IF($B$1+22&gt;=$B$23,$B$22,0))*(1+$B$4)^22)&gt;0,1+$B$3,1))</f>
        <v/>
      </c>
      <c r="Z107">
        <f>IF($B$1+23&gt;90,Y107,(Y107+IF($B$1+23&lt;=$B107,12*($B$7-$B$10),-12*MAX(0,($B$6+$B$10)-IF($B$1+23&gt;=$B$23,$B$22,0))*(1+$B$4)^23))*IF(Y107+IF($B$1+23&lt;=$B107,12*($B$7-$B$10),-12*MAX(0,($B$6+$B$10)-IF($B$1+23&gt;=$B$23,$B$22,0))*(1+$B$4)^23)&gt;0,1+$B$3,1))</f>
        <v/>
      </c>
      <c r="AA107">
        <f>IF($B$1+24&gt;90,Z107,(Z107+IF($B$1+24&lt;=$B107,12*($B$7-$B$10),-12*MAX(0,($B$6+$B$10)-IF($B$1+24&gt;=$B$23,$B$22,0))*(1+$B$4)^24))*IF(Z107+IF($B$1+24&lt;=$B107,12*($B$7-$B$10),-12*MAX(0,($B$6+$B$10)-IF($B$1+24&gt;=$B$23,$B$22,0))*(1+$B$4)^24)&gt;0,1+$B$3,1))</f>
        <v/>
      </c>
      <c r="AB107">
        <f>IF($B$1+25&gt;90,AA107,(AA107+IF($B$1+25&lt;=$B107,12*($B$7-$B$10),-12*MAX(0,($B$6+$B$10)-IF($B$1+25&gt;=$B$23,$B$22,0))*(1+$B$4)^25))*IF(AA107+IF($B$1+25&lt;=$B107,12*($B$7-$B$10),-12*MAX(0,($B$6+$B$10)-IF($B$1+25&gt;=$B$23,$B$22,0))*(1+$B$4)^25)&gt;0,1+$B$3,1))</f>
        <v/>
      </c>
      <c r="AC107">
        <f>IF($B$1+26&gt;90,AB107,(AB107+IF($B$1+26&lt;=$B107,12*($B$7-$B$10),-12*MAX(0,($B$6+$B$10)-IF($B$1+26&gt;=$B$23,$B$22,0))*(1+$B$4)^26))*IF(AB107+IF($B$1+26&lt;=$B107,12*($B$7-$B$10),-12*MAX(0,($B$6+$B$10)-IF($B$1+26&gt;=$B$23,$B$22,0))*(1+$B$4)^26)&gt;0,1+$B$3,1))</f>
        <v/>
      </c>
      <c r="AD107">
        <f>IF($B$1+27&gt;90,AC107,(AC107+IF($B$1+27&lt;=$B107,12*($B$7-$B$10),-12*MAX(0,($B$6+$B$10)-IF($B$1+27&gt;=$B$23,$B$22,0))*(1+$B$4)^27))*IF(AC107+IF($B$1+27&lt;=$B107,12*($B$7-$B$10),-12*MAX(0,($B$6+$B$10)-IF($B$1+27&gt;=$B$23,$B$22,0))*(1+$B$4)^27)&gt;0,1+$B$3,1))</f>
        <v/>
      </c>
      <c r="AE107">
        <f>IF($B$1+28&gt;90,AD107,(AD107+IF($B$1+28&lt;=$B107,12*($B$7-$B$10),-12*MAX(0,($B$6+$B$10)-IF($B$1+28&gt;=$B$23,$B$22,0))*(1+$B$4)^28))*IF(AD107+IF($B$1+28&lt;=$B107,12*($B$7-$B$10),-12*MAX(0,($B$6+$B$10)-IF($B$1+28&gt;=$B$23,$B$22,0))*(1+$B$4)^28)&gt;0,1+$B$3,1))</f>
        <v/>
      </c>
      <c r="AF107">
        <f>IF($B$1+29&gt;90,AE107,(AE107+IF($B$1+29&lt;=$B107,12*($B$7-$B$10),-12*MAX(0,($B$6+$B$10)-IF($B$1+29&gt;=$B$23,$B$22,0))*(1+$B$4)^29))*IF(AE107+IF($B$1+29&lt;=$B107,12*($B$7-$B$10),-12*MAX(0,($B$6+$B$10)-IF($B$1+29&gt;=$B$23,$B$22,0))*(1+$B$4)^29)&gt;0,1+$B$3,1))</f>
        <v/>
      </c>
      <c r="AG107">
        <f>IF($B$1+30&gt;90,AF107,(AF107+IF($B$1+30&lt;=$B107,12*($B$7-$B$10),-12*MAX(0,($B$6+$B$10)-IF($B$1+30&gt;=$B$23,$B$22,0))*(1+$B$4)^30))*IF(AF107+IF($B$1+30&lt;=$B107,12*($B$7-$B$10),-12*MAX(0,($B$6+$B$10)-IF($B$1+30&gt;=$B$23,$B$22,0))*(1+$B$4)^30)&gt;0,1+$B$3,1))</f>
        <v/>
      </c>
      <c r="AH107">
        <f>IF($B$1+31&gt;90,AG107,(AG107+IF($B$1+31&lt;=$B107,12*($B$7-$B$10),-12*MAX(0,($B$6+$B$10)-IF($B$1+31&gt;=$B$23,$B$22,0))*(1+$B$4)^31))*IF(AG107+IF($B$1+31&lt;=$B107,12*($B$7-$B$10),-12*MAX(0,($B$6+$B$10)-IF($B$1+31&gt;=$B$23,$B$22,0))*(1+$B$4)^31)&gt;0,1+$B$3,1))</f>
        <v/>
      </c>
      <c r="AI107">
        <f>IF($B$1+32&gt;90,AH107,(AH107+IF($B$1+32&lt;=$B107,12*($B$7-$B$10),-12*MAX(0,($B$6+$B$10)-IF($B$1+32&gt;=$B$23,$B$22,0))*(1+$B$4)^32))*IF(AH107+IF($B$1+32&lt;=$B107,12*($B$7-$B$10),-12*MAX(0,($B$6+$B$10)-IF($B$1+32&gt;=$B$23,$B$22,0))*(1+$B$4)^32)&gt;0,1+$B$3,1))</f>
        <v/>
      </c>
      <c r="AJ107">
        <f>IF($B$1+33&gt;90,AI107,(AI107+IF($B$1+33&lt;=$B107,12*($B$7-$B$10),-12*MAX(0,($B$6+$B$10)-IF($B$1+33&gt;=$B$23,$B$22,0))*(1+$B$4)^33))*IF(AI107+IF($B$1+33&lt;=$B107,12*($B$7-$B$10),-12*MAX(0,($B$6+$B$10)-IF($B$1+33&gt;=$B$23,$B$22,0))*(1+$B$4)^33)&gt;0,1+$B$3,1))</f>
        <v/>
      </c>
      <c r="AK107">
        <f>IF($B$1+34&gt;90,AJ107,(AJ107+IF($B$1+34&lt;=$B107,12*($B$7-$B$10),-12*MAX(0,($B$6+$B$10)-IF($B$1+34&gt;=$B$23,$B$22,0))*(1+$B$4)^34))*IF(AJ107+IF($B$1+34&lt;=$B107,12*($B$7-$B$10),-12*MAX(0,($B$6+$B$10)-IF($B$1+34&gt;=$B$23,$B$22,0))*(1+$B$4)^34)&gt;0,1+$B$3,1))</f>
        <v/>
      </c>
      <c r="AL107">
        <f>IF($B$1+35&gt;90,AK107,(AK107+IF($B$1+35&lt;=$B107,12*($B$7-$B$10),-12*MAX(0,($B$6+$B$10)-IF($B$1+35&gt;=$B$23,$B$22,0))*(1+$B$4)^35))*IF(AK107+IF($B$1+35&lt;=$B107,12*($B$7-$B$10),-12*MAX(0,($B$6+$B$10)-IF($B$1+35&gt;=$B$23,$B$22,0))*(1+$B$4)^35)&gt;0,1+$B$3,1))</f>
        <v/>
      </c>
      <c r="AM107">
        <f>IF($B$1+36&gt;90,AL107,(AL107+IF($B$1+36&lt;=$B107,12*($B$7-$B$10),-12*MAX(0,($B$6+$B$10)-IF($B$1+36&gt;=$B$23,$B$22,0))*(1+$B$4)^36))*IF(AL107+IF($B$1+36&lt;=$B107,12*($B$7-$B$10),-12*MAX(0,($B$6+$B$10)-IF($B$1+36&gt;=$B$23,$B$22,0))*(1+$B$4)^36)&gt;0,1+$B$3,1))</f>
        <v/>
      </c>
      <c r="AN107">
        <f>IF($B$1+37&gt;90,AM107,(AM107+IF($B$1+37&lt;=$B107,12*($B$7-$B$10),-12*MAX(0,($B$6+$B$10)-IF($B$1+37&gt;=$B$23,$B$22,0))*(1+$B$4)^37))*IF(AM107+IF($B$1+37&lt;=$B107,12*($B$7-$B$10),-12*MAX(0,($B$6+$B$10)-IF($B$1+37&gt;=$B$23,$B$22,0))*(1+$B$4)^37)&gt;0,1+$B$3,1))</f>
        <v/>
      </c>
      <c r="AO107">
        <f>IF($B$1+38&gt;90,AN107,(AN107+IF($B$1+38&lt;=$B107,12*($B$7-$B$10),-12*MAX(0,($B$6+$B$10)-IF($B$1+38&gt;=$B$23,$B$22,0))*(1+$B$4)^38))*IF(AN107+IF($B$1+38&lt;=$B107,12*($B$7-$B$10),-12*MAX(0,($B$6+$B$10)-IF($B$1+38&gt;=$B$23,$B$22,0))*(1+$B$4)^38)&gt;0,1+$B$3,1))</f>
        <v/>
      </c>
      <c r="AP107">
        <f>IF($B$1+39&gt;90,AO107,(AO107+IF($B$1+39&lt;=$B107,12*($B$7-$B$10),-12*MAX(0,($B$6+$B$10)-IF($B$1+39&gt;=$B$23,$B$22,0))*(1+$B$4)^39))*IF(AO107+IF($B$1+39&lt;=$B107,12*($B$7-$B$10),-12*MAX(0,($B$6+$B$10)-IF($B$1+39&gt;=$B$23,$B$22,0))*(1+$B$4)^39)&gt;0,1+$B$3,1))</f>
        <v/>
      </c>
      <c r="AQ107">
        <f>IF($B$1+40&gt;90,AP107,(AP107+IF($B$1+40&lt;=$B107,12*($B$7-$B$10),-12*MAX(0,($B$6+$B$10)-IF($B$1+40&gt;=$B$23,$B$22,0))*(1+$B$4)^40))*IF(AP107+IF($B$1+40&lt;=$B107,12*($B$7-$B$10),-12*MAX(0,($B$6+$B$10)-IF($B$1+40&gt;=$B$23,$B$22,0))*(1+$B$4)^40)&gt;0,1+$B$3,1))</f>
        <v/>
      </c>
      <c r="AR107">
        <f>IF($B$1+41&gt;90,AQ107,(AQ107+IF($B$1+41&lt;=$B107,12*($B$7-$B$10),-12*MAX(0,($B$6+$B$10)-IF($B$1+41&gt;=$B$23,$B$22,0))*(1+$B$4)^41))*IF(AQ107+IF($B$1+41&lt;=$B107,12*($B$7-$B$10),-12*MAX(0,($B$6+$B$10)-IF($B$1+41&gt;=$B$23,$B$22,0))*(1+$B$4)^41)&gt;0,1+$B$3,1))</f>
        <v/>
      </c>
      <c r="AS107">
        <f>IF($B$1+42&gt;90,AR107,(AR107+IF($B$1+42&lt;=$B107,12*($B$7-$B$10),-12*MAX(0,($B$6+$B$10)-IF($B$1+42&gt;=$B$23,$B$22,0))*(1+$B$4)^42))*IF(AR107+IF($B$1+42&lt;=$B107,12*($B$7-$B$10),-12*MAX(0,($B$6+$B$10)-IF($B$1+42&gt;=$B$23,$B$22,0))*(1+$B$4)^42)&gt;0,1+$B$3,1))</f>
        <v/>
      </c>
      <c r="AT107">
        <f>IF($B$1+43&gt;90,AS107,(AS107+IF($B$1+43&lt;=$B107,12*($B$7-$B$10),-12*MAX(0,($B$6+$B$10)-IF($B$1+43&gt;=$B$23,$B$22,0))*(1+$B$4)^43))*IF(AS107+IF($B$1+43&lt;=$B107,12*($B$7-$B$10),-12*MAX(0,($B$6+$B$10)-IF($B$1+43&gt;=$B$23,$B$22,0))*(1+$B$4)^43)&gt;0,1+$B$3,1))</f>
        <v/>
      </c>
      <c r="AU107">
        <f>IF($B$1+44&gt;90,AT107,(AT107+IF($B$1+44&lt;=$B107,12*($B$7-$B$10),-12*MAX(0,($B$6+$B$10)-IF($B$1+44&gt;=$B$23,$B$22,0))*(1+$B$4)^44))*IF(AT107+IF($B$1+44&lt;=$B107,12*($B$7-$B$10),-12*MAX(0,($B$6+$B$10)-IF($B$1+44&gt;=$B$23,$B$22,0))*(1+$B$4)^44)&gt;0,1+$B$3,1))</f>
        <v/>
      </c>
      <c r="AV107">
        <f>IF($B$1+45&gt;90,AU107,(AU107+IF($B$1+45&lt;=$B107,12*($B$7-$B$10),-12*MAX(0,($B$6+$B$10)-IF($B$1+45&gt;=$B$23,$B$22,0))*(1+$B$4)^45))*IF(AU107+IF($B$1+45&lt;=$B107,12*($B$7-$B$10),-12*MAX(0,($B$6+$B$10)-IF($B$1+45&gt;=$B$23,$B$22,0))*(1+$B$4)^45)&gt;0,1+$B$3,1))</f>
        <v/>
      </c>
      <c r="AW107">
        <f>IF($B$1+46&gt;90,AV107,(AV107+IF($B$1+46&lt;=$B107,12*($B$7-$B$10),-12*MAX(0,($B$6+$B$10)-IF($B$1+46&gt;=$B$23,$B$22,0))*(1+$B$4)^46))*IF(AV107+IF($B$1+46&lt;=$B107,12*($B$7-$B$10),-12*MAX(0,($B$6+$B$10)-IF($B$1+46&gt;=$B$23,$B$22,0))*(1+$B$4)^46)&gt;0,1+$B$3,1))</f>
        <v/>
      </c>
      <c r="AX107">
        <f>IF($B$1+47&gt;90,AW107,(AW107+IF($B$1+47&lt;=$B107,12*($B$7-$B$10),-12*MAX(0,($B$6+$B$10)-IF($B$1+47&gt;=$B$23,$B$22,0))*(1+$B$4)^47))*IF(AW107+IF($B$1+47&lt;=$B107,12*($B$7-$B$10),-12*MAX(0,($B$6+$B$10)-IF($B$1+47&gt;=$B$23,$B$22,0))*(1+$B$4)^47)&gt;0,1+$B$3,1))</f>
        <v/>
      </c>
      <c r="AY107">
        <f>IF($B$1+48&gt;90,AX107,(AX107+IF($B$1+48&lt;=$B107,12*($B$7-$B$10),-12*MAX(0,($B$6+$B$10)-IF($B$1+48&gt;=$B$23,$B$22,0))*(1+$B$4)^48))*IF(AX107+IF($B$1+48&lt;=$B107,12*($B$7-$B$10),-12*MAX(0,($B$6+$B$10)-IF($B$1+48&gt;=$B$23,$B$22,0))*(1+$B$4)^48)&gt;0,1+$B$3,1))</f>
        <v/>
      </c>
      <c r="AZ107">
        <f>IF($B$1+49&gt;90,AY107,(AY107+IF($B$1+49&lt;=$B107,12*($B$7-$B$10),-12*MAX(0,($B$6+$B$10)-IF($B$1+49&gt;=$B$23,$B$22,0))*(1+$B$4)^49))*IF(AY107+IF($B$1+49&lt;=$B107,12*($B$7-$B$10),-12*MAX(0,($B$6+$B$10)-IF($B$1+49&gt;=$B$23,$B$22,0))*(1+$B$4)^49)&gt;0,1+$B$3,1))</f>
        <v/>
      </c>
      <c r="BA107">
        <f>IF($B$1+50&gt;90,AZ107,(AZ107+IF($B$1+50&lt;=$B107,12*($B$7-$B$10),-12*MAX(0,($B$6+$B$10)-IF($B$1+50&gt;=$B$23,$B$22,0))*(1+$B$4)^50))*IF(AZ107+IF($B$1+50&lt;=$B107,12*($B$7-$B$10),-12*MAX(0,($B$6+$B$10)-IF($B$1+50&gt;=$B$23,$B$22,0))*(1+$B$4)^50)&gt;0,1+$B$3,1))</f>
        <v/>
      </c>
      <c r="BB107">
        <f>IF($B$1+51&gt;90,BA107,(BA107+IF($B$1+51&lt;=$B107,12*($B$7-$B$10),-12*MAX(0,($B$6+$B$10)-IF($B$1+51&gt;=$B$23,$B$22,0))*(1+$B$4)^51))*IF(BA107+IF($B$1+51&lt;=$B107,12*($B$7-$B$10),-12*MAX(0,($B$6+$B$10)-IF($B$1+51&gt;=$B$23,$B$22,0))*(1+$B$4)^51)&gt;0,1+$B$3,1))</f>
        <v/>
      </c>
      <c r="BC107">
        <f>IF($B$1+52&gt;90,BB107,(BB107+IF($B$1+52&lt;=$B107,12*($B$7-$B$10),-12*MAX(0,($B$6+$B$10)-IF($B$1+52&gt;=$B$23,$B$22,0))*(1+$B$4)^52))*IF(BB107+IF($B$1+52&lt;=$B107,12*($B$7-$B$10),-12*MAX(0,($B$6+$B$10)-IF($B$1+52&gt;=$B$23,$B$22,0))*(1+$B$4)^52)&gt;0,1+$B$3,1))</f>
        <v/>
      </c>
      <c r="BD107">
        <f>IF($B$1+53&gt;90,BC107,(BC107+IF($B$1+53&lt;=$B107,12*($B$7-$B$10),-12*MAX(0,($B$6+$B$10)-IF($B$1+53&gt;=$B$23,$B$22,0))*(1+$B$4)^53))*IF(BC107+IF($B$1+53&lt;=$B107,12*($B$7-$B$10),-12*MAX(0,($B$6+$B$10)-IF($B$1+53&gt;=$B$23,$B$22,0))*(1+$B$4)^53)&gt;0,1+$B$3,1))</f>
        <v/>
      </c>
      <c r="BE107">
        <f>IF($B$1+54&gt;90,BD107,(BD107+IF($B$1+54&lt;=$B107,12*($B$7-$B$10),-12*MAX(0,($B$6+$B$10)-IF($B$1+54&gt;=$B$23,$B$22,0))*(1+$B$4)^54))*IF(BD107+IF($B$1+54&lt;=$B107,12*($B$7-$B$10),-12*MAX(0,($B$6+$B$10)-IF($B$1+54&gt;=$B$23,$B$22,0))*(1+$B$4)^54)&gt;0,1+$B$3,1))</f>
        <v/>
      </c>
      <c r="BF107">
        <f>IF($B$1+55&gt;90,BE107,(BE107+IF($B$1+55&lt;=$B107,12*($B$7-$B$10),-12*MAX(0,($B$6+$B$10)-IF($B$1+55&gt;=$B$23,$B$22,0))*(1+$B$4)^55))*IF(BE107+IF($B$1+55&lt;=$B107,12*($B$7-$B$10),-12*MAX(0,($B$6+$B$10)-IF($B$1+55&gt;=$B$23,$B$22,0))*(1+$B$4)^55)&gt;0,1+$B$3,1))</f>
        <v/>
      </c>
      <c r="BG107">
        <f>IF($B$1+56&gt;90,BF107,(BF107+IF($B$1+56&lt;=$B107,12*($B$7-$B$10),-12*MAX(0,($B$6+$B$10)-IF($B$1+56&gt;=$B$23,$B$22,0))*(1+$B$4)^56))*IF(BF107+IF($B$1+56&lt;=$B107,12*($B$7-$B$10),-12*MAX(0,($B$6+$B$10)-IF($B$1+56&gt;=$B$23,$B$22,0))*(1+$B$4)^56)&gt;0,1+$B$3,1))</f>
        <v/>
      </c>
      <c r="BH107">
        <f>IF($B$1+57&gt;90,BG107,(BG107+IF($B$1+57&lt;=$B107,12*($B$7-$B$10),-12*MAX(0,($B$6+$B$10)-IF($B$1+57&gt;=$B$23,$B$22,0))*(1+$B$4)^57))*IF(BG107+IF($B$1+57&lt;=$B107,12*($B$7-$B$10),-12*MAX(0,($B$6+$B$10)-IF($B$1+57&gt;=$B$23,$B$22,0))*(1+$B$4)^57)&gt;0,1+$B$3,1))</f>
        <v/>
      </c>
      <c r="BI107">
        <f>IF($B$1+58&gt;90,BH107,(BH107+IF($B$1+58&lt;=$B107,12*($B$7-$B$10),-12*MAX(0,($B$6+$B$10)-IF($B$1+58&gt;=$B$23,$B$22,0))*(1+$B$4)^58))*IF(BH107+IF($B$1+58&lt;=$B107,12*($B$7-$B$10),-12*MAX(0,($B$6+$B$10)-IF($B$1+58&gt;=$B$23,$B$22,0))*(1+$B$4)^58)&gt;0,1+$B$3,1))</f>
        <v/>
      </c>
      <c r="BJ107">
        <f>IF($B$1+59&gt;90,BI107,(BI107+IF($B$1+59&lt;=$B107,12*($B$7-$B$10),-12*MAX(0,($B$6+$B$10)-IF($B$1+59&gt;=$B$23,$B$22,0))*(1+$B$4)^59))*IF(BI107+IF($B$1+59&lt;=$B107,12*($B$7-$B$10),-12*MAX(0,($B$6+$B$10)-IF($B$1+59&gt;=$B$23,$B$22,0))*(1+$B$4)^59)&gt;0,1+$B$3,1))</f>
        <v/>
      </c>
      <c r="BK107">
        <f>IF($B$1+60&gt;90,BJ107,(BJ107+IF($B$1+60&lt;=$B107,12*($B$7-$B$10),-12*MAX(0,($B$6+$B$10)-IF($B$1+60&gt;=$B$23,$B$22,0))*(1+$B$4)^60))*IF(BJ107+IF($B$1+60&lt;=$B107,12*($B$7-$B$10),-12*MAX(0,($B$6+$B$10)-IF($B$1+60&gt;=$B$23,$B$22,0))*(1+$B$4)^60)&gt;0,1+$B$3,1))</f>
        <v/>
      </c>
      <c r="BL107">
        <f>IF($B$1+61&gt;90,BK107,(BK107+IF($B$1+61&lt;=$B107,12*($B$7-$B$10),-12*MAX(0,($B$6+$B$10)-IF($B$1+61&gt;=$B$23,$B$22,0))*(1+$B$4)^61))*IF(BK107+IF($B$1+61&lt;=$B107,12*($B$7-$B$10),-12*MAX(0,($B$6+$B$10)-IF($B$1+61&gt;=$B$23,$B$22,0))*(1+$B$4)^61)&gt;0,1+$B$3,1))</f>
        <v/>
      </c>
      <c r="BM107">
        <f>IF($B$1+62&gt;90,BL107,(BL107+IF($B$1+62&lt;=$B107,12*($B$7-$B$10),-12*MAX(0,($B$6+$B$10)-IF($B$1+62&gt;=$B$23,$B$22,0))*(1+$B$4)^62))*IF(BL107+IF($B$1+62&lt;=$B107,12*($B$7-$B$10),-12*MAX(0,($B$6+$B$10)-IF($B$1+62&gt;=$B$23,$B$22,0))*(1+$B$4)^62)&gt;0,1+$B$3,1))</f>
        <v/>
      </c>
      <c r="BN107">
        <f>IF($B$1+63&gt;90,BM107,(BM107+IF($B$1+63&lt;=$B107,12*($B$7-$B$10),-12*MAX(0,($B$6+$B$10)-IF($B$1+63&gt;=$B$23,$B$22,0))*(1+$B$4)^63))*IF(BM107+IF($B$1+63&lt;=$B107,12*($B$7-$B$10),-12*MAX(0,($B$6+$B$10)-IF($B$1+63&gt;=$B$23,$B$22,0))*(1+$B$4)^63)&gt;0,1+$B$3,1))</f>
        <v/>
      </c>
      <c r="BO107">
        <f>IF($B$1+64&gt;90,BN107,(BN107+IF($B$1+64&lt;=$B107,12*($B$7-$B$10),-12*MAX(0,($B$6+$B$10)-IF($B$1+64&gt;=$B$23,$B$22,0))*(1+$B$4)^64))*IF(BN107+IF($B$1+64&lt;=$B107,12*($B$7-$B$10),-12*MAX(0,($B$6+$B$10)-IF($B$1+64&gt;=$B$23,$B$22,0))*(1+$B$4)^64)&gt;0,1+$B$3,1))</f>
        <v/>
      </c>
      <c r="BP107">
        <f>IF($B$1+65&gt;90,BO107,(BO107+IF($B$1+65&lt;=$B107,12*($B$7-$B$10),-12*MAX(0,($B$6+$B$10)-IF($B$1+65&gt;=$B$23,$B$22,0))*(1+$B$4)^65))*IF(BO107+IF($B$1+65&lt;=$B107,12*($B$7-$B$10),-12*MAX(0,($B$6+$B$10)-IF($B$1+65&gt;=$B$23,$B$22,0))*(1+$B$4)^65)&gt;0,1+$B$3,1))</f>
        <v/>
      </c>
      <c r="BQ107">
        <f>IF($B$1+66&gt;90,BP107,(BP107+IF($B$1+66&lt;=$B107,12*($B$7-$B$10),-12*MAX(0,($B$6+$B$10)-IF($B$1+66&gt;=$B$23,$B$22,0))*(1+$B$4)^66))*IF(BP107+IF($B$1+66&lt;=$B107,12*($B$7-$B$10),-12*MAX(0,($B$6+$B$10)-IF($B$1+66&gt;=$B$23,$B$22,0))*(1+$B$4)^66)&gt;0,1+$B$3,1))</f>
        <v/>
      </c>
      <c r="BR107">
        <f>IF($B$1+67&gt;90,BQ107,(BQ107+IF($B$1+67&lt;=$B107,12*($B$7-$B$10),-12*MAX(0,($B$6+$B$10)-IF($B$1+67&gt;=$B$23,$B$22,0))*(1+$B$4)^67))*IF(BQ107+IF($B$1+67&lt;=$B107,12*($B$7-$B$10),-12*MAX(0,($B$6+$B$10)-IF($B$1+67&gt;=$B$23,$B$22,0))*(1+$B$4)^67)&gt;0,1+$B$3,1))</f>
        <v/>
      </c>
      <c r="BS107">
        <f>IF($B$1+68&gt;90,BR107,(BR107+IF($B$1+68&lt;=$B107,12*($B$7-$B$10),-12*MAX(0,($B$6+$B$10)-IF($B$1+68&gt;=$B$23,$B$22,0))*(1+$B$4)^68))*IF(BR107+IF($B$1+68&lt;=$B107,12*($B$7-$B$10),-12*MAX(0,($B$6+$B$10)-IF($B$1+68&gt;=$B$23,$B$22,0))*(1+$B$4)^68)&gt;0,1+$B$3,1))</f>
        <v/>
      </c>
      <c r="BT107">
        <f>IF($B$1+69&gt;90,BS107,(BS107+IF($B$1+69&lt;=$B107,12*($B$7-$B$10),-12*MAX(0,($B$6+$B$10)-IF($B$1+69&gt;=$B$23,$B$22,0))*(1+$B$4)^69))*IF(BS107+IF($B$1+69&lt;=$B107,12*($B$7-$B$10),-12*MAX(0,($B$6+$B$10)-IF($B$1+69&gt;=$B$23,$B$22,0))*(1+$B$4)^69)&gt;0,1+$B$3,1))</f>
        <v/>
      </c>
      <c r="BU107">
        <f>IF($B$1+70&gt;90,BT107,(BT107+IF($B$1+70&lt;=$B107,12*($B$7-$B$10),-12*MAX(0,($B$6+$B$10)-IF($B$1+70&gt;=$B$23,$B$22,0))*(1+$B$4)^70))*IF(BT107+IF($B$1+70&lt;=$B107,12*($B$7-$B$10),-12*MAX(0,($B$6+$B$10)-IF($B$1+70&gt;=$B$23,$B$22,0))*(1+$B$4)^70)&gt;0,1+$B$3,1))</f>
        <v/>
      </c>
      <c r="BV107">
        <f>BU107</f>
        <v/>
      </c>
      <c r="BW107">
        <f>IF(AND($B107&lt;=70,BV107&gt;0),$B107,999)</f>
        <v/>
      </c>
      <c r="CH107">
        <f>IF(ISTEXT('월 가계부'!A107),SUBSTITUTE(SUBSTITUTE(SUBSTITUTE(SUBSTITUTE(SUBSTITUTE(SUBSTITUTE(SUBSTITUTE(SUBSTITUTE(SUBSTITUTE(TRIM('월 가계부'!A107),"년","-"),"월","-"),"일",""),".","-"),"/","-")," ","-"),"--","-"),"--","-"),"--","-")&amp;"-","")</f>
        <v/>
      </c>
      <c r="CI107">
        <f>IFERROR(IF('월 가계부'!A107="","",IF(ISNUMBER('월 가계부'!A107),IF(AND('월 가계부'!A107&gt;=19000101,'월 가계부'!A107&lt;=21001231),IF(AND(MOD(INT('월 가계부'!A107/100),100)&gt;=1,MOD(INT('월 가계부'!A107/100),100)&lt;=12,MOD(INT('월 가계부'!A107),100)&gt;=1,MOD(INT('월 가계부'!A107),100)&lt;=31),IF(MONTH(DATE(INT('월 가계부'!A107/10000),MOD(INT('월 가계부'!A107/100),100),MOD(INT('월 가계부'!A107),100)))=MOD(INT('월 가계부'!A107/100),100),DATE(INT('월 가계부'!A107/10000),MOD(INT('월 가계부'!A107/100),100),MOD(INT('월 가계부'!A107),100)),""),""),IF(AND('월 가계부'!A107&gt;=36526,'월 가계부'!A107&lt;73051),INT('월 가계부'!A107),"")),IF(OR(CM107="",CN107="",CO107=""),"",IF(AND(CM107&gt;=2000,CM107&lt;=2099,CN107&gt;=1,CN107&lt;=12,CO107&gt;=1,CO107&lt;=31),IF(MONTH(DATE(CM107,CN107,CO107))=CN107,DATE(CM107,CN107,CO107),""),"")))),"")</f>
        <v/>
      </c>
      <c r="CJ107">
        <f>IFERROR(IF('월 가계부'!C107="","",IF(ISNUMBER('월 가계부'!C107),'월 가계부'!C107,VALUE(SUBSTITUTE(SUBSTITUTE(SUBSTITUTE(SUBSTITUTE(TRIM('월 가계부'!C107),",",""),"원","")," ",""),"−","-")))),"")</f>
        <v/>
      </c>
      <c r="CK107">
        <f>IF(ISNUMBER(CI107),IF(CI107&lt;$B$13,CI107,""),"")</f>
        <v/>
      </c>
      <c r="CM107">
        <f>IF(CH107="","",IFERROR(IF(IF(AND(LEN(CH107)=9,ISERROR(FIND("-",LEFT(CH107,8))),ISNUMBER(-LEFT(CH107,8))),VALUE(LEFT(CH107,4)),VALUE(LEFT(CH107,FIND("-",CH107)-1)))&lt;100,IF(AND(LEN(CH107)=9,ISERROR(FIND("-",LEFT(CH107,8))),ISNUMBER(-LEFT(CH107,8))),VALUE(LEFT(CH107,4)),VALUE(LEFT(CH107,FIND("-",CH107)-1)))+2000,IF(AND(LEN(CH107)=9,ISERROR(FIND("-",LEFT(CH107,8))),ISNUMBER(-LEFT(CH107,8))),VALUE(LEFT(CH107,4)),VALUE(LEFT(CH107,FIND("-",CH107)-1)))),""))</f>
        <v/>
      </c>
      <c r="CN107">
        <f>IF(CH107="","",IFERROR(IF(AND(LEN(CH107)=9,ISERROR(FIND("-",LEFT(CH107,8))),ISNUMBER(-LEFT(CH107,8))),VALUE(MID(CH107,5,2)),VALUE(MID(CH107,FIND("-",CH107)+1,FIND("-",CH107,FIND("-",CH107)+1)-FIND("-",CH107)-1))),""))</f>
        <v/>
      </c>
      <c r="CO107">
        <f>IF(CH107="","",IFERROR(IF(AND(LEN(CH107)=9,ISERROR(FIND("-",LEFT(CH107,8))),ISNUMBER(-LEFT(CH107,8))),VALUE(MID(CH107,7,2)),VALUE(MID(CH107,FIND("-",CH107,FIND("-",CH107)+1)+1,FIND("-",CH107,FIND("-",CH107,FIND("-",CH107)+1)+1)-FIND("-",CH107,FIND("-",CH107)+1)-1))),""))</f>
        <v/>
      </c>
    </row>
    <row r="108">
      <c r="A108" t="n">
        <v>12</v>
      </c>
      <c r="B108">
        <f>$B$1+12</f>
        <v/>
      </c>
      <c r="C108">
        <f>$B$2</f>
        <v/>
      </c>
      <c r="D108">
        <f>IF($B$1+1&gt;90,C108,(C108+IF($B$1+1&lt;=$B108,12*($B$7-$B$10),-12*MAX(0,($B$6+$B$10)-IF($B$1+1&gt;=$B$23,$B$22,0))*(1+$B$4)^1))*IF(C108+IF($B$1+1&lt;=$B108,12*($B$7-$B$10),-12*MAX(0,($B$6+$B$10)-IF($B$1+1&gt;=$B$23,$B$22,0))*(1+$B$4)^1)&gt;0,1+$B$3,1))</f>
        <v/>
      </c>
      <c r="E108">
        <f>IF($B$1+2&gt;90,D108,(D108+IF($B$1+2&lt;=$B108,12*($B$7-$B$10),-12*MAX(0,($B$6+$B$10)-IF($B$1+2&gt;=$B$23,$B$22,0))*(1+$B$4)^2))*IF(D108+IF($B$1+2&lt;=$B108,12*($B$7-$B$10),-12*MAX(0,($B$6+$B$10)-IF($B$1+2&gt;=$B$23,$B$22,0))*(1+$B$4)^2)&gt;0,1+$B$3,1))</f>
        <v/>
      </c>
      <c r="F108">
        <f>IF($B$1+3&gt;90,E108,(E108+IF($B$1+3&lt;=$B108,12*($B$7-$B$10),-12*MAX(0,($B$6+$B$10)-IF($B$1+3&gt;=$B$23,$B$22,0))*(1+$B$4)^3))*IF(E108+IF($B$1+3&lt;=$B108,12*($B$7-$B$10),-12*MAX(0,($B$6+$B$10)-IF($B$1+3&gt;=$B$23,$B$22,0))*(1+$B$4)^3)&gt;0,1+$B$3,1))</f>
        <v/>
      </c>
      <c r="G108">
        <f>IF($B$1+4&gt;90,F108,(F108+IF($B$1+4&lt;=$B108,12*($B$7-$B$10),-12*MAX(0,($B$6+$B$10)-IF($B$1+4&gt;=$B$23,$B$22,0))*(1+$B$4)^4))*IF(F108+IF($B$1+4&lt;=$B108,12*($B$7-$B$10),-12*MAX(0,($B$6+$B$10)-IF($B$1+4&gt;=$B$23,$B$22,0))*(1+$B$4)^4)&gt;0,1+$B$3,1))</f>
        <v/>
      </c>
      <c r="H108">
        <f>IF($B$1+5&gt;90,G108,(G108+IF($B$1+5&lt;=$B108,12*($B$7-$B$10),-12*MAX(0,($B$6+$B$10)-IF($B$1+5&gt;=$B$23,$B$22,0))*(1+$B$4)^5))*IF(G108+IF($B$1+5&lt;=$B108,12*($B$7-$B$10),-12*MAX(0,($B$6+$B$10)-IF($B$1+5&gt;=$B$23,$B$22,0))*(1+$B$4)^5)&gt;0,1+$B$3,1))</f>
        <v/>
      </c>
      <c r="I108">
        <f>IF($B$1+6&gt;90,H108,(H108+IF($B$1+6&lt;=$B108,12*($B$7-$B$10),-12*MAX(0,($B$6+$B$10)-IF($B$1+6&gt;=$B$23,$B$22,0))*(1+$B$4)^6))*IF(H108+IF($B$1+6&lt;=$B108,12*($B$7-$B$10),-12*MAX(0,($B$6+$B$10)-IF($B$1+6&gt;=$B$23,$B$22,0))*(1+$B$4)^6)&gt;0,1+$B$3,1))</f>
        <v/>
      </c>
      <c r="J108">
        <f>IF($B$1+7&gt;90,I108,(I108+IF($B$1+7&lt;=$B108,12*($B$7-$B$10),-12*MAX(0,($B$6+$B$10)-IF($B$1+7&gt;=$B$23,$B$22,0))*(1+$B$4)^7))*IF(I108+IF($B$1+7&lt;=$B108,12*($B$7-$B$10),-12*MAX(0,($B$6+$B$10)-IF($B$1+7&gt;=$B$23,$B$22,0))*(1+$B$4)^7)&gt;0,1+$B$3,1))</f>
        <v/>
      </c>
      <c r="K108">
        <f>IF($B$1+8&gt;90,J108,(J108+IF($B$1+8&lt;=$B108,12*($B$7-$B$10),-12*MAX(0,($B$6+$B$10)-IF($B$1+8&gt;=$B$23,$B$22,0))*(1+$B$4)^8))*IF(J108+IF($B$1+8&lt;=$B108,12*($B$7-$B$10),-12*MAX(0,($B$6+$B$10)-IF($B$1+8&gt;=$B$23,$B$22,0))*(1+$B$4)^8)&gt;0,1+$B$3,1))</f>
        <v/>
      </c>
      <c r="L108">
        <f>IF($B$1+9&gt;90,K108,(K108+IF($B$1+9&lt;=$B108,12*($B$7-$B$10),-12*MAX(0,($B$6+$B$10)-IF($B$1+9&gt;=$B$23,$B$22,0))*(1+$B$4)^9))*IF(K108+IF($B$1+9&lt;=$B108,12*($B$7-$B$10),-12*MAX(0,($B$6+$B$10)-IF($B$1+9&gt;=$B$23,$B$22,0))*(1+$B$4)^9)&gt;0,1+$B$3,1))</f>
        <v/>
      </c>
      <c r="M108">
        <f>IF($B$1+10&gt;90,L108,(L108+IF($B$1+10&lt;=$B108,12*($B$7-$B$10),-12*MAX(0,($B$6+$B$10)-IF($B$1+10&gt;=$B$23,$B$22,0))*(1+$B$4)^10))*IF(L108+IF($B$1+10&lt;=$B108,12*($B$7-$B$10),-12*MAX(0,($B$6+$B$10)-IF($B$1+10&gt;=$B$23,$B$22,0))*(1+$B$4)^10)&gt;0,1+$B$3,1))</f>
        <v/>
      </c>
      <c r="N108">
        <f>IF($B$1+11&gt;90,M108,(M108+IF($B$1+11&lt;=$B108,12*($B$7-$B$10),-12*MAX(0,($B$6+$B$10)-IF($B$1+11&gt;=$B$23,$B$22,0))*(1+$B$4)^11))*IF(M108+IF($B$1+11&lt;=$B108,12*($B$7-$B$10),-12*MAX(0,($B$6+$B$10)-IF($B$1+11&gt;=$B$23,$B$22,0))*(1+$B$4)^11)&gt;0,1+$B$3,1))</f>
        <v/>
      </c>
      <c r="O108">
        <f>IF($B$1+12&gt;90,N108,(N108+IF($B$1+12&lt;=$B108,12*($B$7-$B$10),-12*MAX(0,($B$6+$B$10)-IF($B$1+12&gt;=$B$23,$B$22,0))*(1+$B$4)^12))*IF(N108+IF($B$1+12&lt;=$B108,12*($B$7-$B$10),-12*MAX(0,($B$6+$B$10)-IF($B$1+12&gt;=$B$23,$B$22,0))*(1+$B$4)^12)&gt;0,1+$B$3,1))</f>
        <v/>
      </c>
      <c r="P108">
        <f>IF($B$1+13&gt;90,O108,(O108+IF($B$1+13&lt;=$B108,12*($B$7-$B$10),-12*MAX(0,($B$6+$B$10)-IF($B$1+13&gt;=$B$23,$B$22,0))*(1+$B$4)^13))*IF(O108+IF($B$1+13&lt;=$B108,12*($B$7-$B$10),-12*MAX(0,($B$6+$B$10)-IF($B$1+13&gt;=$B$23,$B$22,0))*(1+$B$4)^13)&gt;0,1+$B$3,1))</f>
        <v/>
      </c>
      <c r="Q108">
        <f>IF($B$1+14&gt;90,P108,(P108+IF($B$1+14&lt;=$B108,12*($B$7-$B$10),-12*MAX(0,($B$6+$B$10)-IF($B$1+14&gt;=$B$23,$B$22,0))*(1+$B$4)^14))*IF(P108+IF($B$1+14&lt;=$B108,12*($B$7-$B$10),-12*MAX(0,($B$6+$B$10)-IF($B$1+14&gt;=$B$23,$B$22,0))*(1+$B$4)^14)&gt;0,1+$B$3,1))</f>
        <v/>
      </c>
      <c r="R108">
        <f>IF($B$1+15&gt;90,Q108,(Q108+IF($B$1+15&lt;=$B108,12*($B$7-$B$10),-12*MAX(0,($B$6+$B$10)-IF($B$1+15&gt;=$B$23,$B$22,0))*(1+$B$4)^15))*IF(Q108+IF($B$1+15&lt;=$B108,12*($B$7-$B$10),-12*MAX(0,($B$6+$B$10)-IF($B$1+15&gt;=$B$23,$B$22,0))*(1+$B$4)^15)&gt;0,1+$B$3,1))</f>
        <v/>
      </c>
      <c r="S108">
        <f>IF($B$1+16&gt;90,R108,(R108+IF($B$1+16&lt;=$B108,12*($B$7-$B$10),-12*MAX(0,($B$6+$B$10)-IF($B$1+16&gt;=$B$23,$B$22,0))*(1+$B$4)^16))*IF(R108+IF($B$1+16&lt;=$B108,12*($B$7-$B$10),-12*MAX(0,($B$6+$B$10)-IF($B$1+16&gt;=$B$23,$B$22,0))*(1+$B$4)^16)&gt;0,1+$B$3,1))</f>
        <v/>
      </c>
      <c r="T108">
        <f>IF($B$1+17&gt;90,S108,(S108+IF($B$1+17&lt;=$B108,12*($B$7-$B$10),-12*MAX(0,($B$6+$B$10)-IF($B$1+17&gt;=$B$23,$B$22,0))*(1+$B$4)^17))*IF(S108+IF($B$1+17&lt;=$B108,12*($B$7-$B$10),-12*MAX(0,($B$6+$B$10)-IF($B$1+17&gt;=$B$23,$B$22,0))*(1+$B$4)^17)&gt;0,1+$B$3,1))</f>
        <v/>
      </c>
      <c r="U108">
        <f>IF($B$1+18&gt;90,T108,(T108+IF($B$1+18&lt;=$B108,12*($B$7-$B$10),-12*MAX(0,($B$6+$B$10)-IF($B$1+18&gt;=$B$23,$B$22,0))*(1+$B$4)^18))*IF(T108+IF($B$1+18&lt;=$B108,12*($B$7-$B$10),-12*MAX(0,($B$6+$B$10)-IF($B$1+18&gt;=$B$23,$B$22,0))*(1+$B$4)^18)&gt;0,1+$B$3,1))</f>
        <v/>
      </c>
      <c r="V108">
        <f>IF($B$1+19&gt;90,U108,(U108+IF($B$1+19&lt;=$B108,12*($B$7-$B$10),-12*MAX(0,($B$6+$B$10)-IF($B$1+19&gt;=$B$23,$B$22,0))*(1+$B$4)^19))*IF(U108+IF($B$1+19&lt;=$B108,12*($B$7-$B$10),-12*MAX(0,($B$6+$B$10)-IF($B$1+19&gt;=$B$23,$B$22,0))*(1+$B$4)^19)&gt;0,1+$B$3,1))</f>
        <v/>
      </c>
      <c r="W108">
        <f>IF($B$1+20&gt;90,V108,(V108+IF($B$1+20&lt;=$B108,12*($B$7-$B$10),-12*MAX(0,($B$6+$B$10)-IF($B$1+20&gt;=$B$23,$B$22,0))*(1+$B$4)^20))*IF(V108+IF($B$1+20&lt;=$B108,12*($B$7-$B$10),-12*MAX(0,($B$6+$B$10)-IF($B$1+20&gt;=$B$23,$B$22,0))*(1+$B$4)^20)&gt;0,1+$B$3,1))</f>
        <v/>
      </c>
      <c r="X108">
        <f>IF($B$1+21&gt;90,W108,(W108+IF($B$1+21&lt;=$B108,12*($B$7-$B$10),-12*MAX(0,($B$6+$B$10)-IF($B$1+21&gt;=$B$23,$B$22,0))*(1+$B$4)^21))*IF(W108+IF($B$1+21&lt;=$B108,12*($B$7-$B$10),-12*MAX(0,($B$6+$B$10)-IF($B$1+21&gt;=$B$23,$B$22,0))*(1+$B$4)^21)&gt;0,1+$B$3,1))</f>
        <v/>
      </c>
      <c r="Y108">
        <f>IF($B$1+22&gt;90,X108,(X108+IF($B$1+22&lt;=$B108,12*($B$7-$B$10),-12*MAX(0,($B$6+$B$10)-IF($B$1+22&gt;=$B$23,$B$22,0))*(1+$B$4)^22))*IF(X108+IF($B$1+22&lt;=$B108,12*($B$7-$B$10),-12*MAX(0,($B$6+$B$10)-IF($B$1+22&gt;=$B$23,$B$22,0))*(1+$B$4)^22)&gt;0,1+$B$3,1))</f>
        <v/>
      </c>
      <c r="Z108">
        <f>IF($B$1+23&gt;90,Y108,(Y108+IF($B$1+23&lt;=$B108,12*($B$7-$B$10),-12*MAX(0,($B$6+$B$10)-IF($B$1+23&gt;=$B$23,$B$22,0))*(1+$B$4)^23))*IF(Y108+IF($B$1+23&lt;=$B108,12*($B$7-$B$10),-12*MAX(0,($B$6+$B$10)-IF($B$1+23&gt;=$B$23,$B$22,0))*(1+$B$4)^23)&gt;0,1+$B$3,1))</f>
        <v/>
      </c>
      <c r="AA108">
        <f>IF($B$1+24&gt;90,Z108,(Z108+IF($B$1+24&lt;=$B108,12*($B$7-$B$10),-12*MAX(0,($B$6+$B$10)-IF($B$1+24&gt;=$B$23,$B$22,0))*(1+$B$4)^24))*IF(Z108+IF($B$1+24&lt;=$B108,12*($B$7-$B$10),-12*MAX(0,($B$6+$B$10)-IF($B$1+24&gt;=$B$23,$B$22,0))*(1+$B$4)^24)&gt;0,1+$B$3,1))</f>
        <v/>
      </c>
      <c r="AB108">
        <f>IF($B$1+25&gt;90,AA108,(AA108+IF($B$1+25&lt;=$B108,12*($B$7-$B$10),-12*MAX(0,($B$6+$B$10)-IF($B$1+25&gt;=$B$23,$B$22,0))*(1+$B$4)^25))*IF(AA108+IF($B$1+25&lt;=$B108,12*($B$7-$B$10),-12*MAX(0,($B$6+$B$10)-IF($B$1+25&gt;=$B$23,$B$22,0))*(1+$B$4)^25)&gt;0,1+$B$3,1))</f>
        <v/>
      </c>
      <c r="AC108">
        <f>IF($B$1+26&gt;90,AB108,(AB108+IF($B$1+26&lt;=$B108,12*($B$7-$B$10),-12*MAX(0,($B$6+$B$10)-IF($B$1+26&gt;=$B$23,$B$22,0))*(1+$B$4)^26))*IF(AB108+IF($B$1+26&lt;=$B108,12*($B$7-$B$10),-12*MAX(0,($B$6+$B$10)-IF($B$1+26&gt;=$B$23,$B$22,0))*(1+$B$4)^26)&gt;0,1+$B$3,1))</f>
        <v/>
      </c>
      <c r="AD108">
        <f>IF($B$1+27&gt;90,AC108,(AC108+IF($B$1+27&lt;=$B108,12*($B$7-$B$10),-12*MAX(0,($B$6+$B$10)-IF($B$1+27&gt;=$B$23,$B$22,0))*(1+$B$4)^27))*IF(AC108+IF($B$1+27&lt;=$B108,12*($B$7-$B$10),-12*MAX(0,($B$6+$B$10)-IF($B$1+27&gt;=$B$23,$B$22,0))*(1+$B$4)^27)&gt;0,1+$B$3,1))</f>
        <v/>
      </c>
      <c r="AE108">
        <f>IF($B$1+28&gt;90,AD108,(AD108+IF($B$1+28&lt;=$B108,12*($B$7-$B$10),-12*MAX(0,($B$6+$B$10)-IF($B$1+28&gt;=$B$23,$B$22,0))*(1+$B$4)^28))*IF(AD108+IF($B$1+28&lt;=$B108,12*($B$7-$B$10),-12*MAX(0,($B$6+$B$10)-IF($B$1+28&gt;=$B$23,$B$22,0))*(1+$B$4)^28)&gt;0,1+$B$3,1))</f>
        <v/>
      </c>
      <c r="AF108">
        <f>IF($B$1+29&gt;90,AE108,(AE108+IF($B$1+29&lt;=$B108,12*($B$7-$B$10),-12*MAX(0,($B$6+$B$10)-IF($B$1+29&gt;=$B$23,$B$22,0))*(1+$B$4)^29))*IF(AE108+IF($B$1+29&lt;=$B108,12*($B$7-$B$10),-12*MAX(0,($B$6+$B$10)-IF($B$1+29&gt;=$B$23,$B$22,0))*(1+$B$4)^29)&gt;0,1+$B$3,1))</f>
        <v/>
      </c>
      <c r="AG108">
        <f>IF($B$1+30&gt;90,AF108,(AF108+IF($B$1+30&lt;=$B108,12*($B$7-$B$10),-12*MAX(0,($B$6+$B$10)-IF($B$1+30&gt;=$B$23,$B$22,0))*(1+$B$4)^30))*IF(AF108+IF($B$1+30&lt;=$B108,12*($B$7-$B$10),-12*MAX(0,($B$6+$B$10)-IF($B$1+30&gt;=$B$23,$B$22,0))*(1+$B$4)^30)&gt;0,1+$B$3,1))</f>
        <v/>
      </c>
      <c r="AH108">
        <f>IF($B$1+31&gt;90,AG108,(AG108+IF($B$1+31&lt;=$B108,12*($B$7-$B$10),-12*MAX(0,($B$6+$B$10)-IF($B$1+31&gt;=$B$23,$B$22,0))*(1+$B$4)^31))*IF(AG108+IF($B$1+31&lt;=$B108,12*($B$7-$B$10),-12*MAX(0,($B$6+$B$10)-IF($B$1+31&gt;=$B$23,$B$22,0))*(1+$B$4)^31)&gt;0,1+$B$3,1))</f>
        <v/>
      </c>
      <c r="AI108">
        <f>IF($B$1+32&gt;90,AH108,(AH108+IF($B$1+32&lt;=$B108,12*($B$7-$B$10),-12*MAX(0,($B$6+$B$10)-IF($B$1+32&gt;=$B$23,$B$22,0))*(1+$B$4)^32))*IF(AH108+IF($B$1+32&lt;=$B108,12*($B$7-$B$10),-12*MAX(0,($B$6+$B$10)-IF($B$1+32&gt;=$B$23,$B$22,0))*(1+$B$4)^32)&gt;0,1+$B$3,1))</f>
        <v/>
      </c>
      <c r="AJ108">
        <f>IF($B$1+33&gt;90,AI108,(AI108+IF($B$1+33&lt;=$B108,12*($B$7-$B$10),-12*MAX(0,($B$6+$B$10)-IF($B$1+33&gt;=$B$23,$B$22,0))*(1+$B$4)^33))*IF(AI108+IF($B$1+33&lt;=$B108,12*($B$7-$B$10),-12*MAX(0,($B$6+$B$10)-IF($B$1+33&gt;=$B$23,$B$22,0))*(1+$B$4)^33)&gt;0,1+$B$3,1))</f>
        <v/>
      </c>
      <c r="AK108">
        <f>IF($B$1+34&gt;90,AJ108,(AJ108+IF($B$1+34&lt;=$B108,12*($B$7-$B$10),-12*MAX(0,($B$6+$B$10)-IF($B$1+34&gt;=$B$23,$B$22,0))*(1+$B$4)^34))*IF(AJ108+IF($B$1+34&lt;=$B108,12*($B$7-$B$10),-12*MAX(0,($B$6+$B$10)-IF($B$1+34&gt;=$B$23,$B$22,0))*(1+$B$4)^34)&gt;0,1+$B$3,1))</f>
        <v/>
      </c>
      <c r="AL108">
        <f>IF($B$1+35&gt;90,AK108,(AK108+IF($B$1+35&lt;=$B108,12*($B$7-$B$10),-12*MAX(0,($B$6+$B$10)-IF($B$1+35&gt;=$B$23,$B$22,0))*(1+$B$4)^35))*IF(AK108+IF($B$1+35&lt;=$B108,12*($B$7-$B$10),-12*MAX(0,($B$6+$B$10)-IF($B$1+35&gt;=$B$23,$B$22,0))*(1+$B$4)^35)&gt;0,1+$B$3,1))</f>
        <v/>
      </c>
      <c r="AM108">
        <f>IF($B$1+36&gt;90,AL108,(AL108+IF($B$1+36&lt;=$B108,12*($B$7-$B$10),-12*MAX(0,($B$6+$B$10)-IF($B$1+36&gt;=$B$23,$B$22,0))*(1+$B$4)^36))*IF(AL108+IF($B$1+36&lt;=$B108,12*($B$7-$B$10),-12*MAX(0,($B$6+$B$10)-IF($B$1+36&gt;=$B$23,$B$22,0))*(1+$B$4)^36)&gt;0,1+$B$3,1))</f>
        <v/>
      </c>
      <c r="AN108">
        <f>IF($B$1+37&gt;90,AM108,(AM108+IF($B$1+37&lt;=$B108,12*($B$7-$B$10),-12*MAX(0,($B$6+$B$10)-IF($B$1+37&gt;=$B$23,$B$22,0))*(1+$B$4)^37))*IF(AM108+IF($B$1+37&lt;=$B108,12*($B$7-$B$10),-12*MAX(0,($B$6+$B$10)-IF($B$1+37&gt;=$B$23,$B$22,0))*(1+$B$4)^37)&gt;0,1+$B$3,1))</f>
        <v/>
      </c>
      <c r="AO108">
        <f>IF($B$1+38&gt;90,AN108,(AN108+IF($B$1+38&lt;=$B108,12*($B$7-$B$10),-12*MAX(0,($B$6+$B$10)-IF($B$1+38&gt;=$B$23,$B$22,0))*(1+$B$4)^38))*IF(AN108+IF($B$1+38&lt;=$B108,12*($B$7-$B$10),-12*MAX(0,($B$6+$B$10)-IF($B$1+38&gt;=$B$23,$B$22,0))*(1+$B$4)^38)&gt;0,1+$B$3,1))</f>
        <v/>
      </c>
      <c r="AP108">
        <f>IF($B$1+39&gt;90,AO108,(AO108+IF($B$1+39&lt;=$B108,12*($B$7-$B$10),-12*MAX(0,($B$6+$B$10)-IF($B$1+39&gt;=$B$23,$B$22,0))*(1+$B$4)^39))*IF(AO108+IF($B$1+39&lt;=$B108,12*($B$7-$B$10),-12*MAX(0,($B$6+$B$10)-IF($B$1+39&gt;=$B$23,$B$22,0))*(1+$B$4)^39)&gt;0,1+$B$3,1))</f>
        <v/>
      </c>
      <c r="AQ108">
        <f>IF($B$1+40&gt;90,AP108,(AP108+IF($B$1+40&lt;=$B108,12*($B$7-$B$10),-12*MAX(0,($B$6+$B$10)-IF($B$1+40&gt;=$B$23,$B$22,0))*(1+$B$4)^40))*IF(AP108+IF($B$1+40&lt;=$B108,12*($B$7-$B$10),-12*MAX(0,($B$6+$B$10)-IF($B$1+40&gt;=$B$23,$B$22,0))*(1+$B$4)^40)&gt;0,1+$B$3,1))</f>
        <v/>
      </c>
      <c r="AR108">
        <f>IF($B$1+41&gt;90,AQ108,(AQ108+IF($B$1+41&lt;=$B108,12*($B$7-$B$10),-12*MAX(0,($B$6+$B$10)-IF($B$1+41&gt;=$B$23,$B$22,0))*(1+$B$4)^41))*IF(AQ108+IF($B$1+41&lt;=$B108,12*($B$7-$B$10),-12*MAX(0,($B$6+$B$10)-IF($B$1+41&gt;=$B$23,$B$22,0))*(1+$B$4)^41)&gt;0,1+$B$3,1))</f>
        <v/>
      </c>
      <c r="AS108">
        <f>IF($B$1+42&gt;90,AR108,(AR108+IF($B$1+42&lt;=$B108,12*($B$7-$B$10),-12*MAX(0,($B$6+$B$10)-IF($B$1+42&gt;=$B$23,$B$22,0))*(1+$B$4)^42))*IF(AR108+IF($B$1+42&lt;=$B108,12*($B$7-$B$10),-12*MAX(0,($B$6+$B$10)-IF($B$1+42&gt;=$B$23,$B$22,0))*(1+$B$4)^42)&gt;0,1+$B$3,1))</f>
        <v/>
      </c>
      <c r="AT108">
        <f>IF($B$1+43&gt;90,AS108,(AS108+IF($B$1+43&lt;=$B108,12*($B$7-$B$10),-12*MAX(0,($B$6+$B$10)-IF($B$1+43&gt;=$B$23,$B$22,0))*(1+$B$4)^43))*IF(AS108+IF($B$1+43&lt;=$B108,12*($B$7-$B$10),-12*MAX(0,($B$6+$B$10)-IF($B$1+43&gt;=$B$23,$B$22,0))*(1+$B$4)^43)&gt;0,1+$B$3,1))</f>
        <v/>
      </c>
      <c r="AU108">
        <f>IF($B$1+44&gt;90,AT108,(AT108+IF($B$1+44&lt;=$B108,12*($B$7-$B$10),-12*MAX(0,($B$6+$B$10)-IF($B$1+44&gt;=$B$23,$B$22,0))*(1+$B$4)^44))*IF(AT108+IF($B$1+44&lt;=$B108,12*($B$7-$B$10),-12*MAX(0,($B$6+$B$10)-IF($B$1+44&gt;=$B$23,$B$22,0))*(1+$B$4)^44)&gt;0,1+$B$3,1))</f>
        <v/>
      </c>
      <c r="AV108">
        <f>IF($B$1+45&gt;90,AU108,(AU108+IF($B$1+45&lt;=$B108,12*($B$7-$B$10),-12*MAX(0,($B$6+$B$10)-IF($B$1+45&gt;=$B$23,$B$22,0))*(1+$B$4)^45))*IF(AU108+IF($B$1+45&lt;=$B108,12*($B$7-$B$10),-12*MAX(0,($B$6+$B$10)-IF($B$1+45&gt;=$B$23,$B$22,0))*(1+$B$4)^45)&gt;0,1+$B$3,1))</f>
        <v/>
      </c>
      <c r="AW108">
        <f>IF($B$1+46&gt;90,AV108,(AV108+IF($B$1+46&lt;=$B108,12*($B$7-$B$10),-12*MAX(0,($B$6+$B$10)-IF($B$1+46&gt;=$B$23,$B$22,0))*(1+$B$4)^46))*IF(AV108+IF($B$1+46&lt;=$B108,12*($B$7-$B$10),-12*MAX(0,($B$6+$B$10)-IF($B$1+46&gt;=$B$23,$B$22,0))*(1+$B$4)^46)&gt;0,1+$B$3,1))</f>
        <v/>
      </c>
      <c r="AX108">
        <f>IF($B$1+47&gt;90,AW108,(AW108+IF($B$1+47&lt;=$B108,12*($B$7-$B$10),-12*MAX(0,($B$6+$B$10)-IF($B$1+47&gt;=$B$23,$B$22,0))*(1+$B$4)^47))*IF(AW108+IF($B$1+47&lt;=$B108,12*($B$7-$B$10),-12*MAX(0,($B$6+$B$10)-IF($B$1+47&gt;=$B$23,$B$22,0))*(1+$B$4)^47)&gt;0,1+$B$3,1))</f>
        <v/>
      </c>
      <c r="AY108">
        <f>IF($B$1+48&gt;90,AX108,(AX108+IF($B$1+48&lt;=$B108,12*($B$7-$B$10),-12*MAX(0,($B$6+$B$10)-IF($B$1+48&gt;=$B$23,$B$22,0))*(1+$B$4)^48))*IF(AX108+IF($B$1+48&lt;=$B108,12*($B$7-$B$10),-12*MAX(0,($B$6+$B$10)-IF($B$1+48&gt;=$B$23,$B$22,0))*(1+$B$4)^48)&gt;0,1+$B$3,1))</f>
        <v/>
      </c>
      <c r="AZ108">
        <f>IF($B$1+49&gt;90,AY108,(AY108+IF($B$1+49&lt;=$B108,12*($B$7-$B$10),-12*MAX(0,($B$6+$B$10)-IF($B$1+49&gt;=$B$23,$B$22,0))*(1+$B$4)^49))*IF(AY108+IF($B$1+49&lt;=$B108,12*($B$7-$B$10),-12*MAX(0,($B$6+$B$10)-IF($B$1+49&gt;=$B$23,$B$22,0))*(1+$B$4)^49)&gt;0,1+$B$3,1))</f>
        <v/>
      </c>
      <c r="BA108">
        <f>IF($B$1+50&gt;90,AZ108,(AZ108+IF($B$1+50&lt;=$B108,12*($B$7-$B$10),-12*MAX(0,($B$6+$B$10)-IF($B$1+50&gt;=$B$23,$B$22,0))*(1+$B$4)^50))*IF(AZ108+IF($B$1+50&lt;=$B108,12*($B$7-$B$10),-12*MAX(0,($B$6+$B$10)-IF($B$1+50&gt;=$B$23,$B$22,0))*(1+$B$4)^50)&gt;0,1+$B$3,1))</f>
        <v/>
      </c>
      <c r="BB108">
        <f>IF($B$1+51&gt;90,BA108,(BA108+IF($B$1+51&lt;=$B108,12*($B$7-$B$10),-12*MAX(0,($B$6+$B$10)-IF($B$1+51&gt;=$B$23,$B$22,0))*(1+$B$4)^51))*IF(BA108+IF($B$1+51&lt;=$B108,12*($B$7-$B$10),-12*MAX(0,($B$6+$B$10)-IF($B$1+51&gt;=$B$23,$B$22,0))*(1+$B$4)^51)&gt;0,1+$B$3,1))</f>
        <v/>
      </c>
      <c r="BC108">
        <f>IF($B$1+52&gt;90,BB108,(BB108+IF($B$1+52&lt;=$B108,12*($B$7-$B$10),-12*MAX(0,($B$6+$B$10)-IF($B$1+52&gt;=$B$23,$B$22,0))*(1+$B$4)^52))*IF(BB108+IF($B$1+52&lt;=$B108,12*($B$7-$B$10),-12*MAX(0,($B$6+$B$10)-IF($B$1+52&gt;=$B$23,$B$22,0))*(1+$B$4)^52)&gt;0,1+$B$3,1))</f>
        <v/>
      </c>
      <c r="BD108">
        <f>IF($B$1+53&gt;90,BC108,(BC108+IF($B$1+53&lt;=$B108,12*($B$7-$B$10),-12*MAX(0,($B$6+$B$10)-IF($B$1+53&gt;=$B$23,$B$22,0))*(1+$B$4)^53))*IF(BC108+IF($B$1+53&lt;=$B108,12*($B$7-$B$10),-12*MAX(0,($B$6+$B$10)-IF($B$1+53&gt;=$B$23,$B$22,0))*(1+$B$4)^53)&gt;0,1+$B$3,1))</f>
        <v/>
      </c>
      <c r="BE108">
        <f>IF($B$1+54&gt;90,BD108,(BD108+IF($B$1+54&lt;=$B108,12*($B$7-$B$10),-12*MAX(0,($B$6+$B$10)-IF($B$1+54&gt;=$B$23,$B$22,0))*(1+$B$4)^54))*IF(BD108+IF($B$1+54&lt;=$B108,12*($B$7-$B$10),-12*MAX(0,($B$6+$B$10)-IF($B$1+54&gt;=$B$23,$B$22,0))*(1+$B$4)^54)&gt;0,1+$B$3,1))</f>
        <v/>
      </c>
      <c r="BF108">
        <f>IF($B$1+55&gt;90,BE108,(BE108+IF($B$1+55&lt;=$B108,12*($B$7-$B$10),-12*MAX(0,($B$6+$B$10)-IF($B$1+55&gt;=$B$23,$B$22,0))*(1+$B$4)^55))*IF(BE108+IF($B$1+55&lt;=$B108,12*($B$7-$B$10),-12*MAX(0,($B$6+$B$10)-IF($B$1+55&gt;=$B$23,$B$22,0))*(1+$B$4)^55)&gt;0,1+$B$3,1))</f>
        <v/>
      </c>
      <c r="BG108">
        <f>IF($B$1+56&gt;90,BF108,(BF108+IF($B$1+56&lt;=$B108,12*($B$7-$B$10),-12*MAX(0,($B$6+$B$10)-IF($B$1+56&gt;=$B$23,$B$22,0))*(1+$B$4)^56))*IF(BF108+IF($B$1+56&lt;=$B108,12*($B$7-$B$10),-12*MAX(0,($B$6+$B$10)-IF($B$1+56&gt;=$B$23,$B$22,0))*(1+$B$4)^56)&gt;0,1+$B$3,1))</f>
        <v/>
      </c>
      <c r="BH108">
        <f>IF($B$1+57&gt;90,BG108,(BG108+IF($B$1+57&lt;=$B108,12*($B$7-$B$10),-12*MAX(0,($B$6+$B$10)-IF($B$1+57&gt;=$B$23,$B$22,0))*(1+$B$4)^57))*IF(BG108+IF($B$1+57&lt;=$B108,12*($B$7-$B$10),-12*MAX(0,($B$6+$B$10)-IF($B$1+57&gt;=$B$23,$B$22,0))*(1+$B$4)^57)&gt;0,1+$B$3,1))</f>
        <v/>
      </c>
      <c r="BI108">
        <f>IF($B$1+58&gt;90,BH108,(BH108+IF($B$1+58&lt;=$B108,12*($B$7-$B$10),-12*MAX(0,($B$6+$B$10)-IF($B$1+58&gt;=$B$23,$B$22,0))*(1+$B$4)^58))*IF(BH108+IF($B$1+58&lt;=$B108,12*($B$7-$B$10),-12*MAX(0,($B$6+$B$10)-IF($B$1+58&gt;=$B$23,$B$22,0))*(1+$B$4)^58)&gt;0,1+$B$3,1))</f>
        <v/>
      </c>
      <c r="BJ108">
        <f>IF($B$1+59&gt;90,BI108,(BI108+IF($B$1+59&lt;=$B108,12*($B$7-$B$10),-12*MAX(0,($B$6+$B$10)-IF($B$1+59&gt;=$B$23,$B$22,0))*(1+$B$4)^59))*IF(BI108+IF($B$1+59&lt;=$B108,12*($B$7-$B$10),-12*MAX(0,($B$6+$B$10)-IF($B$1+59&gt;=$B$23,$B$22,0))*(1+$B$4)^59)&gt;0,1+$B$3,1))</f>
        <v/>
      </c>
      <c r="BK108">
        <f>IF($B$1+60&gt;90,BJ108,(BJ108+IF($B$1+60&lt;=$B108,12*($B$7-$B$10),-12*MAX(0,($B$6+$B$10)-IF($B$1+60&gt;=$B$23,$B$22,0))*(1+$B$4)^60))*IF(BJ108+IF($B$1+60&lt;=$B108,12*($B$7-$B$10),-12*MAX(0,($B$6+$B$10)-IF($B$1+60&gt;=$B$23,$B$22,0))*(1+$B$4)^60)&gt;0,1+$B$3,1))</f>
        <v/>
      </c>
      <c r="BL108">
        <f>IF($B$1+61&gt;90,BK108,(BK108+IF($B$1+61&lt;=$B108,12*($B$7-$B$10),-12*MAX(0,($B$6+$B$10)-IF($B$1+61&gt;=$B$23,$B$22,0))*(1+$B$4)^61))*IF(BK108+IF($B$1+61&lt;=$B108,12*($B$7-$B$10),-12*MAX(0,($B$6+$B$10)-IF($B$1+61&gt;=$B$23,$B$22,0))*(1+$B$4)^61)&gt;0,1+$B$3,1))</f>
        <v/>
      </c>
      <c r="BM108">
        <f>IF($B$1+62&gt;90,BL108,(BL108+IF($B$1+62&lt;=$B108,12*($B$7-$B$10),-12*MAX(0,($B$6+$B$10)-IF($B$1+62&gt;=$B$23,$B$22,0))*(1+$B$4)^62))*IF(BL108+IF($B$1+62&lt;=$B108,12*($B$7-$B$10),-12*MAX(0,($B$6+$B$10)-IF($B$1+62&gt;=$B$23,$B$22,0))*(1+$B$4)^62)&gt;0,1+$B$3,1))</f>
        <v/>
      </c>
      <c r="BN108">
        <f>IF($B$1+63&gt;90,BM108,(BM108+IF($B$1+63&lt;=$B108,12*($B$7-$B$10),-12*MAX(0,($B$6+$B$10)-IF($B$1+63&gt;=$B$23,$B$22,0))*(1+$B$4)^63))*IF(BM108+IF($B$1+63&lt;=$B108,12*($B$7-$B$10),-12*MAX(0,($B$6+$B$10)-IF($B$1+63&gt;=$B$23,$B$22,0))*(1+$B$4)^63)&gt;0,1+$B$3,1))</f>
        <v/>
      </c>
      <c r="BO108">
        <f>IF($B$1+64&gt;90,BN108,(BN108+IF($B$1+64&lt;=$B108,12*($B$7-$B$10),-12*MAX(0,($B$6+$B$10)-IF($B$1+64&gt;=$B$23,$B$22,0))*(1+$B$4)^64))*IF(BN108+IF($B$1+64&lt;=$B108,12*($B$7-$B$10),-12*MAX(0,($B$6+$B$10)-IF($B$1+64&gt;=$B$23,$B$22,0))*(1+$B$4)^64)&gt;0,1+$B$3,1))</f>
        <v/>
      </c>
      <c r="BP108">
        <f>IF($B$1+65&gt;90,BO108,(BO108+IF($B$1+65&lt;=$B108,12*($B$7-$B$10),-12*MAX(0,($B$6+$B$10)-IF($B$1+65&gt;=$B$23,$B$22,0))*(1+$B$4)^65))*IF(BO108+IF($B$1+65&lt;=$B108,12*($B$7-$B$10),-12*MAX(0,($B$6+$B$10)-IF($B$1+65&gt;=$B$23,$B$22,0))*(1+$B$4)^65)&gt;0,1+$B$3,1))</f>
        <v/>
      </c>
      <c r="BQ108">
        <f>IF($B$1+66&gt;90,BP108,(BP108+IF($B$1+66&lt;=$B108,12*($B$7-$B$10),-12*MAX(0,($B$6+$B$10)-IF($B$1+66&gt;=$B$23,$B$22,0))*(1+$B$4)^66))*IF(BP108+IF($B$1+66&lt;=$B108,12*($B$7-$B$10),-12*MAX(0,($B$6+$B$10)-IF($B$1+66&gt;=$B$23,$B$22,0))*(1+$B$4)^66)&gt;0,1+$B$3,1))</f>
        <v/>
      </c>
      <c r="BR108">
        <f>IF($B$1+67&gt;90,BQ108,(BQ108+IF($B$1+67&lt;=$B108,12*($B$7-$B$10),-12*MAX(0,($B$6+$B$10)-IF($B$1+67&gt;=$B$23,$B$22,0))*(1+$B$4)^67))*IF(BQ108+IF($B$1+67&lt;=$B108,12*($B$7-$B$10),-12*MAX(0,($B$6+$B$10)-IF($B$1+67&gt;=$B$23,$B$22,0))*(1+$B$4)^67)&gt;0,1+$B$3,1))</f>
        <v/>
      </c>
      <c r="BS108">
        <f>IF($B$1+68&gt;90,BR108,(BR108+IF($B$1+68&lt;=$B108,12*($B$7-$B$10),-12*MAX(0,($B$6+$B$10)-IF($B$1+68&gt;=$B$23,$B$22,0))*(1+$B$4)^68))*IF(BR108+IF($B$1+68&lt;=$B108,12*($B$7-$B$10),-12*MAX(0,($B$6+$B$10)-IF($B$1+68&gt;=$B$23,$B$22,0))*(1+$B$4)^68)&gt;0,1+$B$3,1))</f>
        <v/>
      </c>
      <c r="BT108">
        <f>IF($B$1+69&gt;90,BS108,(BS108+IF($B$1+69&lt;=$B108,12*($B$7-$B$10),-12*MAX(0,($B$6+$B$10)-IF($B$1+69&gt;=$B$23,$B$22,0))*(1+$B$4)^69))*IF(BS108+IF($B$1+69&lt;=$B108,12*($B$7-$B$10),-12*MAX(0,($B$6+$B$10)-IF($B$1+69&gt;=$B$23,$B$22,0))*(1+$B$4)^69)&gt;0,1+$B$3,1))</f>
        <v/>
      </c>
      <c r="BU108">
        <f>IF($B$1+70&gt;90,BT108,(BT108+IF($B$1+70&lt;=$B108,12*($B$7-$B$10),-12*MAX(0,($B$6+$B$10)-IF($B$1+70&gt;=$B$23,$B$22,0))*(1+$B$4)^70))*IF(BT108+IF($B$1+70&lt;=$B108,12*($B$7-$B$10),-12*MAX(0,($B$6+$B$10)-IF($B$1+70&gt;=$B$23,$B$22,0))*(1+$B$4)^70)&gt;0,1+$B$3,1))</f>
        <v/>
      </c>
      <c r="BV108">
        <f>BU108</f>
        <v/>
      </c>
      <c r="BW108">
        <f>IF(AND($B108&lt;=70,BV108&gt;0),$B108,999)</f>
        <v/>
      </c>
      <c r="CH108">
        <f>IF(ISTEXT('월 가계부'!A108),SUBSTITUTE(SUBSTITUTE(SUBSTITUTE(SUBSTITUTE(SUBSTITUTE(SUBSTITUTE(SUBSTITUTE(SUBSTITUTE(SUBSTITUTE(TRIM('월 가계부'!A108),"년","-"),"월","-"),"일",""),".","-"),"/","-")," ","-"),"--","-"),"--","-"),"--","-")&amp;"-","")</f>
        <v/>
      </c>
      <c r="CI108">
        <f>IFERROR(IF('월 가계부'!A108="","",IF(ISNUMBER('월 가계부'!A108),IF(AND('월 가계부'!A108&gt;=19000101,'월 가계부'!A108&lt;=21001231),IF(AND(MOD(INT('월 가계부'!A108/100),100)&gt;=1,MOD(INT('월 가계부'!A108/100),100)&lt;=12,MOD(INT('월 가계부'!A108),100)&gt;=1,MOD(INT('월 가계부'!A108),100)&lt;=31),IF(MONTH(DATE(INT('월 가계부'!A108/10000),MOD(INT('월 가계부'!A108/100),100),MOD(INT('월 가계부'!A108),100)))=MOD(INT('월 가계부'!A108/100),100),DATE(INT('월 가계부'!A108/10000),MOD(INT('월 가계부'!A108/100),100),MOD(INT('월 가계부'!A108),100)),""),""),IF(AND('월 가계부'!A108&gt;=36526,'월 가계부'!A108&lt;73051),INT('월 가계부'!A108),"")),IF(OR(CM108="",CN108="",CO108=""),"",IF(AND(CM108&gt;=2000,CM108&lt;=2099,CN108&gt;=1,CN108&lt;=12,CO108&gt;=1,CO108&lt;=31),IF(MONTH(DATE(CM108,CN108,CO108))=CN108,DATE(CM108,CN108,CO108),""),"")))),"")</f>
        <v/>
      </c>
      <c r="CJ108">
        <f>IFERROR(IF('월 가계부'!C108="","",IF(ISNUMBER('월 가계부'!C108),'월 가계부'!C108,VALUE(SUBSTITUTE(SUBSTITUTE(SUBSTITUTE(SUBSTITUTE(TRIM('월 가계부'!C108),",",""),"원","")," ",""),"−","-")))),"")</f>
        <v/>
      </c>
      <c r="CK108">
        <f>IF(ISNUMBER(CI108),IF(CI108&lt;$B$13,CI108,""),"")</f>
        <v/>
      </c>
      <c r="CM108">
        <f>IF(CH108="","",IFERROR(IF(IF(AND(LEN(CH108)=9,ISERROR(FIND("-",LEFT(CH108,8))),ISNUMBER(-LEFT(CH108,8))),VALUE(LEFT(CH108,4)),VALUE(LEFT(CH108,FIND("-",CH108)-1)))&lt;100,IF(AND(LEN(CH108)=9,ISERROR(FIND("-",LEFT(CH108,8))),ISNUMBER(-LEFT(CH108,8))),VALUE(LEFT(CH108,4)),VALUE(LEFT(CH108,FIND("-",CH108)-1)))+2000,IF(AND(LEN(CH108)=9,ISERROR(FIND("-",LEFT(CH108,8))),ISNUMBER(-LEFT(CH108,8))),VALUE(LEFT(CH108,4)),VALUE(LEFT(CH108,FIND("-",CH108)-1)))),""))</f>
        <v/>
      </c>
      <c r="CN108">
        <f>IF(CH108="","",IFERROR(IF(AND(LEN(CH108)=9,ISERROR(FIND("-",LEFT(CH108,8))),ISNUMBER(-LEFT(CH108,8))),VALUE(MID(CH108,5,2)),VALUE(MID(CH108,FIND("-",CH108)+1,FIND("-",CH108,FIND("-",CH108)+1)-FIND("-",CH108)-1))),""))</f>
        <v/>
      </c>
      <c r="CO108">
        <f>IF(CH108="","",IFERROR(IF(AND(LEN(CH108)=9,ISERROR(FIND("-",LEFT(CH108,8))),ISNUMBER(-LEFT(CH108,8))),VALUE(MID(CH108,7,2)),VALUE(MID(CH108,FIND("-",CH108,FIND("-",CH108)+1)+1,FIND("-",CH108,FIND("-",CH108,FIND("-",CH108)+1)+1)-FIND("-",CH108,FIND("-",CH108)+1)-1))),""))</f>
        <v/>
      </c>
    </row>
    <row r="109">
      <c r="A109" t="n">
        <v>13</v>
      </c>
      <c r="B109">
        <f>$B$1+13</f>
        <v/>
      </c>
      <c r="C109">
        <f>$B$2</f>
        <v/>
      </c>
      <c r="D109">
        <f>IF($B$1+1&gt;90,C109,(C109+IF($B$1+1&lt;=$B109,12*($B$7-$B$10),-12*MAX(0,($B$6+$B$10)-IF($B$1+1&gt;=$B$23,$B$22,0))*(1+$B$4)^1))*IF(C109+IF($B$1+1&lt;=$B109,12*($B$7-$B$10),-12*MAX(0,($B$6+$B$10)-IF($B$1+1&gt;=$B$23,$B$22,0))*(1+$B$4)^1)&gt;0,1+$B$3,1))</f>
        <v/>
      </c>
      <c r="E109">
        <f>IF($B$1+2&gt;90,D109,(D109+IF($B$1+2&lt;=$B109,12*($B$7-$B$10),-12*MAX(0,($B$6+$B$10)-IF($B$1+2&gt;=$B$23,$B$22,0))*(1+$B$4)^2))*IF(D109+IF($B$1+2&lt;=$B109,12*($B$7-$B$10),-12*MAX(0,($B$6+$B$10)-IF($B$1+2&gt;=$B$23,$B$22,0))*(1+$B$4)^2)&gt;0,1+$B$3,1))</f>
        <v/>
      </c>
      <c r="F109">
        <f>IF($B$1+3&gt;90,E109,(E109+IF($B$1+3&lt;=$B109,12*($B$7-$B$10),-12*MAX(0,($B$6+$B$10)-IF($B$1+3&gt;=$B$23,$B$22,0))*(1+$B$4)^3))*IF(E109+IF($B$1+3&lt;=$B109,12*($B$7-$B$10),-12*MAX(0,($B$6+$B$10)-IF($B$1+3&gt;=$B$23,$B$22,0))*(1+$B$4)^3)&gt;0,1+$B$3,1))</f>
        <v/>
      </c>
      <c r="G109">
        <f>IF($B$1+4&gt;90,F109,(F109+IF($B$1+4&lt;=$B109,12*($B$7-$B$10),-12*MAX(0,($B$6+$B$10)-IF($B$1+4&gt;=$B$23,$B$22,0))*(1+$B$4)^4))*IF(F109+IF($B$1+4&lt;=$B109,12*($B$7-$B$10),-12*MAX(0,($B$6+$B$10)-IF($B$1+4&gt;=$B$23,$B$22,0))*(1+$B$4)^4)&gt;0,1+$B$3,1))</f>
        <v/>
      </c>
      <c r="H109">
        <f>IF($B$1+5&gt;90,G109,(G109+IF($B$1+5&lt;=$B109,12*($B$7-$B$10),-12*MAX(0,($B$6+$B$10)-IF($B$1+5&gt;=$B$23,$B$22,0))*(1+$B$4)^5))*IF(G109+IF($B$1+5&lt;=$B109,12*($B$7-$B$10),-12*MAX(0,($B$6+$B$10)-IF($B$1+5&gt;=$B$23,$B$22,0))*(1+$B$4)^5)&gt;0,1+$B$3,1))</f>
        <v/>
      </c>
      <c r="I109">
        <f>IF($B$1+6&gt;90,H109,(H109+IF($B$1+6&lt;=$B109,12*($B$7-$B$10),-12*MAX(0,($B$6+$B$10)-IF($B$1+6&gt;=$B$23,$B$22,0))*(1+$B$4)^6))*IF(H109+IF($B$1+6&lt;=$B109,12*($B$7-$B$10),-12*MAX(0,($B$6+$B$10)-IF($B$1+6&gt;=$B$23,$B$22,0))*(1+$B$4)^6)&gt;0,1+$B$3,1))</f>
        <v/>
      </c>
      <c r="J109">
        <f>IF($B$1+7&gt;90,I109,(I109+IF($B$1+7&lt;=$B109,12*($B$7-$B$10),-12*MAX(0,($B$6+$B$10)-IF($B$1+7&gt;=$B$23,$B$22,0))*(1+$B$4)^7))*IF(I109+IF($B$1+7&lt;=$B109,12*($B$7-$B$10),-12*MAX(0,($B$6+$B$10)-IF($B$1+7&gt;=$B$23,$B$22,0))*(1+$B$4)^7)&gt;0,1+$B$3,1))</f>
        <v/>
      </c>
      <c r="K109">
        <f>IF($B$1+8&gt;90,J109,(J109+IF($B$1+8&lt;=$B109,12*($B$7-$B$10),-12*MAX(0,($B$6+$B$10)-IF($B$1+8&gt;=$B$23,$B$22,0))*(1+$B$4)^8))*IF(J109+IF($B$1+8&lt;=$B109,12*($B$7-$B$10),-12*MAX(0,($B$6+$B$10)-IF($B$1+8&gt;=$B$23,$B$22,0))*(1+$B$4)^8)&gt;0,1+$B$3,1))</f>
        <v/>
      </c>
      <c r="L109">
        <f>IF($B$1+9&gt;90,K109,(K109+IF($B$1+9&lt;=$B109,12*($B$7-$B$10),-12*MAX(0,($B$6+$B$10)-IF($B$1+9&gt;=$B$23,$B$22,0))*(1+$B$4)^9))*IF(K109+IF($B$1+9&lt;=$B109,12*($B$7-$B$10),-12*MAX(0,($B$6+$B$10)-IF($B$1+9&gt;=$B$23,$B$22,0))*(1+$B$4)^9)&gt;0,1+$B$3,1))</f>
        <v/>
      </c>
      <c r="M109">
        <f>IF($B$1+10&gt;90,L109,(L109+IF($B$1+10&lt;=$B109,12*($B$7-$B$10),-12*MAX(0,($B$6+$B$10)-IF($B$1+10&gt;=$B$23,$B$22,0))*(1+$B$4)^10))*IF(L109+IF($B$1+10&lt;=$B109,12*($B$7-$B$10),-12*MAX(0,($B$6+$B$10)-IF($B$1+10&gt;=$B$23,$B$22,0))*(1+$B$4)^10)&gt;0,1+$B$3,1))</f>
        <v/>
      </c>
      <c r="N109">
        <f>IF($B$1+11&gt;90,M109,(M109+IF($B$1+11&lt;=$B109,12*($B$7-$B$10),-12*MAX(0,($B$6+$B$10)-IF($B$1+11&gt;=$B$23,$B$22,0))*(1+$B$4)^11))*IF(M109+IF($B$1+11&lt;=$B109,12*($B$7-$B$10),-12*MAX(0,($B$6+$B$10)-IF($B$1+11&gt;=$B$23,$B$22,0))*(1+$B$4)^11)&gt;0,1+$B$3,1))</f>
        <v/>
      </c>
      <c r="O109">
        <f>IF($B$1+12&gt;90,N109,(N109+IF($B$1+12&lt;=$B109,12*($B$7-$B$10),-12*MAX(0,($B$6+$B$10)-IF($B$1+12&gt;=$B$23,$B$22,0))*(1+$B$4)^12))*IF(N109+IF($B$1+12&lt;=$B109,12*($B$7-$B$10),-12*MAX(0,($B$6+$B$10)-IF($B$1+12&gt;=$B$23,$B$22,0))*(1+$B$4)^12)&gt;0,1+$B$3,1))</f>
        <v/>
      </c>
      <c r="P109">
        <f>IF($B$1+13&gt;90,O109,(O109+IF($B$1+13&lt;=$B109,12*($B$7-$B$10),-12*MAX(0,($B$6+$B$10)-IF($B$1+13&gt;=$B$23,$B$22,0))*(1+$B$4)^13))*IF(O109+IF($B$1+13&lt;=$B109,12*($B$7-$B$10),-12*MAX(0,($B$6+$B$10)-IF($B$1+13&gt;=$B$23,$B$22,0))*(1+$B$4)^13)&gt;0,1+$B$3,1))</f>
        <v/>
      </c>
      <c r="Q109">
        <f>IF($B$1+14&gt;90,P109,(P109+IF($B$1+14&lt;=$B109,12*($B$7-$B$10),-12*MAX(0,($B$6+$B$10)-IF($B$1+14&gt;=$B$23,$B$22,0))*(1+$B$4)^14))*IF(P109+IF($B$1+14&lt;=$B109,12*($B$7-$B$10),-12*MAX(0,($B$6+$B$10)-IF($B$1+14&gt;=$B$23,$B$22,0))*(1+$B$4)^14)&gt;0,1+$B$3,1))</f>
        <v/>
      </c>
      <c r="R109">
        <f>IF($B$1+15&gt;90,Q109,(Q109+IF($B$1+15&lt;=$B109,12*($B$7-$B$10),-12*MAX(0,($B$6+$B$10)-IF($B$1+15&gt;=$B$23,$B$22,0))*(1+$B$4)^15))*IF(Q109+IF($B$1+15&lt;=$B109,12*($B$7-$B$10),-12*MAX(0,($B$6+$B$10)-IF($B$1+15&gt;=$B$23,$B$22,0))*(1+$B$4)^15)&gt;0,1+$B$3,1))</f>
        <v/>
      </c>
      <c r="S109">
        <f>IF($B$1+16&gt;90,R109,(R109+IF($B$1+16&lt;=$B109,12*($B$7-$B$10),-12*MAX(0,($B$6+$B$10)-IF($B$1+16&gt;=$B$23,$B$22,0))*(1+$B$4)^16))*IF(R109+IF($B$1+16&lt;=$B109,12*($B$7-$B$10),-12*MAX(0,($B$6+$B$10)-IF($B$1+16&gt;=$B$23,$B$22,0))*(1+$B$4)^16)&gt;0,1+$B$3,1))</f>
        <v/>
      </c>
      <c r="T109">
        <f>IF($B$1+17&gt;90,S109,(S109+IF($B$1+17&lt;=$B109,12*($B$7-$B$10),-12*MAX(0,($B$6+$B$10)-IF($B$1+17&gt;=$B$23,$B$22,0))*(1+$B$4)^17))*IF(S109+IF($B$1+17&lt;=$B109,12*($B$7-$B$10),-12*MAX(0,($B$6+$B$10)-IF($B$1+17&gt;=$B$23,$B$22,0))*(1+$B$4)^17)&gt;0,1+$B$3,1))</f>
        <v/>
      </c>
      <c r="U109">
        <f>IF($B$1+18&gt;90,T109,(T109+IF($B$1+18&lt;=$B109,12*($B$7-$B$10),-12*MAX(0,($B$6+$B$10)-IF($B$1+18&gt;=$B$23,$B$22,0))*(1+$B$4)^18))*IF(T109+IF($B$1+18&lt;=$B109,12*($B$7-$B$10),-12*MAX(0,($B$6+$B$10)-IF($B$1+18&gt;=$B$23,$B$22,0))*(1+$B$4)^18)&gt;0,1+$B$3,1))</f>
        <v/>
      </c>
      <c r="V109">
        <f>IF($B$1+19&gt;90,U109,(U109+IF($B$1+19&lt;=$B109,12*($B$7-$B$10),-12*MAX(0,($B$6+$B$10)-IF($B$1+19&gt;=$B$23,$B$22,0))*(1+$B$4)^19))*IF(U109+IF($B$1+19&lt;=$B109,12*($B$7-$B$10),-12*MAX(0,($B$6+$B$10)-IF($B$1+19&gt;=$B$23,$B$22,0))*(1+$B$4)^19)&gt;0,1+$B$3,1))</f>
        <v/>
      </c>
      <c r="W109">
        <f>IF($B$1+20&gt;90,V109,(V109+IF($B$1+20&lt;=$B109,12*($B$7-$B$10),-12*MAX(0,($B$6+$B$10)-IF($B$1+20&gt;=$B$23,$B$22,0))*(1+$B$4)^20))*IF(V109+IF($B$1+20&lt;=$B109,12*($B$7-$B$10),-12*MAX(0,($B$6+$B$10)-IF($B$1+20&gt;=$B$23,$B$22,0))*(1+$B$4)^20)&gt;0,1+$B$3,1))</f>
        <v/>
      </c>
      <c r="X109">
        <f>IF($B$1+21&gt;90,W109,(W109+IF($B$1+21&lt;=$B109,12*($B$7-$B$10),-12*MAX(0,($B$6+$B$10)-IF($B$1+21&gt;=$B$23,$B$22,0))*(1+$B$4)^21))*IF(W109+IF($B$1+21&lt;=$B109,12*($B$7-$B$10),-12*MAX(0,($B$6+$B$10)-IF($B$1+21&gt;=$B$23,$B$22,0))*(1+$B$4)^21)&gt;0,1+$B$3,1))</f>
        <v/>
      </c>
      <c r="Y109">
        <f>IF($B$1+22&gt;90,X109,(X109+IF($B$1+22&lt;=$B109,12*($B$7-$B$10),-12*MAX(0,($B$6+$B$10)-IF($B$1+22&gt;=$B$23,$B$22,0))*(1+$B$4)^22))*IF(X109+IF($B$1+22&lt;=$B109,12*($B$7-$B$10),-12*MAX(0,($B$6+$B$10)-IF($B$1+22&gt;=$B$23,$B$22,0))*(1+$B$4)^22)&gt;0,1+$B$3,1))</f>
        <v/>
      </c>
      <c r="Z109">
        <f>IF($B$1+23&gt;90,Y109,(Y109+IF($B$1+23&lt;=$B109,12*($B$7-$B$10),-12*MAX(0,($B$6+$B$10)-IF($B$1+23&gt;=$B$23,$B$22,0))*(1+$B$4)^23))*IF(Y109+IF($B$1+23&lt;=$B109,12*($B$7-$B$10),-12*MAX(0,($B$6+$B$10)-IF($B$1+23&gt;=$B$23,$B$22,0))*(1+$B$4)^23)&gt;0,1+$B$3,1))</f>
        <v/>
      </c>
      <c r="AA109">
        <f>IF($B$1+24&gt;90,Z109,(Z109+IF($B$1+24&lt;=$B109,12*($B$7-$B$10),-12*MAX(0,($B$6+$B$10)-IF($B$1+24&gt;=$B$23,$B$22,0))*(1+$B$4)^24))*IF(Z109+IF($B$1+24&lt;=$B109,12*($B$7-$B$10),-12*MAX(0,($B$6+$B$10)-IF($B$1+24&gt;=$B$23,$B$22,0))*(1+$B$4)^24)&gt;0,1+$B$3,1))</f>
        <v/>
      </c>
      <c r="AB109">
        <f>IF($B$1+25&gt;90,AA109,(AA109+IF($B$1+25&lt;=$B109,12*($B$7-$B$10),-12*MAX(0,($B$6+$B$10)-IF($B$1+25&gt;=$B$23,$B$22,0))*(1+$B$4)^25))*IF(AA109+IF($B$1+25&lt;=$B109,12*($B$7-$B$10),-12*MAX(0,($B$6+$B$10)-IF($B$1+25&gt;=$B$23,$B$22,0))*(1+$B$4)^25)&gt;0,1+$B$3,1))</f>
        <v/>
      </c>
      <c r="AC109">
        <f>IF($B$1+26&gt;90,AB109,(AB109+IF($B$1+26&lt;=$B109,12*($B$7-$B$10),-12*MAX(0,($B$6+$B$10)-IF($B$1+26&gt;=$B$23,$B$22,0))*(1+$B$4)^26))*IF(AB109+IF($B$1+26&lt;=$B109,12*($B$7-$B$10),-12*MAX(0,($B$6+$B$10)-IF($B$1+26&gt;=$B$23,$B$22,0))*(1+$B$4)^26)&gt;0,1+$B$3,1))</f>
        <v/>
      </c>
      <c r="AD109">
        <f>IF($B$1+27&gt;90,AC109,(AC109+IF($B$1+27&lt;=$B109,12*($B$7-$B$10),-12*MAX(0,($B$6+$B$10)-IF($B$1+27&gt;=$B$23,$B$22,0))*(1+$B$4)^27))*IF(AC109+IF($B$1+27&lt;=$B109,12*($B$7-$B$10),-12*MAX(0,($B$6+$B$10)-IF($B$1+27&gt;=$B$23,$B$22,0))*(1+$B$4)^27)&gt;0,1+$B$3,1))</f>
        <v/>
      </c>
      <c r="AE109">
        <f>IF($B$1+28&gt;90,AD109,(AD109+IF($B$1+28&lt;=$B109,12*($B$7-$B$10),-12*MAX(0,($B$6+$B$10)-IF($B$1+28&gt;=$B$23,$B$22,0))*(1+$B$4)^28))*IF(AD109+IF($B$1+28&lt;=$B109,12*($B$7-$B$10),-12*MAX(0,($B$6+$B$10)-IF($B$1+28&gt;=$B$23,$B$22,0))*(1+$B$4)^28)&gt;0,1+$B$3,1))</f>
        <v/>
      </c>
      <c r="AF109">
        <f>IF($B$1+29&gt;90,AE109,(AE109+IF($B$1+29&lt;=$B109,12*($B$7-$B$10),-12*MAX(0,($B$6+$B$10)-IF($B$1+29&gt;=$B$23,$B$22,0))*(1+$B$4)^29))*IF(AE109+IF($B$1+29&lt;=$B109,12*($B$7-$B$10),-12*MAX(0,($B$6+$B$10)-IF($B$1+29&gt;=$B$23,$B$22,0))*(1+$B$4)^29)&gt;0,1+$B$3,1))</f>
        <v/>
      </c>
      <c r="AG109">
        <f>IF($B$1+30&gt;90,AF109,(AF109+IF($B$1+30&lt;=$B109,12*($B$7-$B$10),-12*MAX(0,($B$6+$B$10)-IF($B$1+30&gt;=$B$23,$B$22,0))*(1+$B$4)^30))*IF(AF109+IF($B$1+30&lt;=$B109,12*($B$7-$B$10),-12*MAX(0,($B$6+$B$10)-IF($B$1+30&gt;=$B$23,$B$22,0))*(1+$B$4)^30)&gt;0,1+$B$3,1))</f>
        <v/>
      </c>
      <c r="AH109">
        <f>IF($B$1+31&gt;90,AG109,(AG109+IF($B$1+31&lt;=$B109,12*($B$7-$B$10),-12*MAX(0,($B$6+$B$10)-IF($B$1+31&gt;=$B$23,$B$22,0))*(1+$B$4)^31))*IF(AG109+IF($B$1+31&lt;=$B109,12*($B$7-$B$10),-12*MAX(0,($B$6+$B$10)-IF($B$1+31&gt;=$B$23,$B$22,0))*(1+$B$4)^31)&gt;0,1+$B$3,1))</f>
        <v/>
      </c>
      <c r="AI109">
        <f>IF($B$1+32&gt;90,AH109,(AH109+IF($B$1+32&lt;=$B109,12*($B$7-$B$10),-12*MAX(0,($B$6+$B$10)-IF($B$1+32&gt;=$B$23,$B$22,0))*(1+$B$4)^32))*IF(AH109+IF($B$1+32&lt;=$B109,12*($B$7-$B$10),-12*MAX(0,($B$6+$B$10)-IF($B$1+32&gt;=$B$23,$B$22,0))*(1+$B$4)^32)&gt;0,1+$B$3,1))</f>
        <v/>
      </c>
      <c r="AJ109">
        <f>IF($B$1+33&gt;90,AI109,(AI109+IF($B$1+33&lt;=$B109,12*($B$7-$B$10),-12*MAX(0,($B$6+$B$10)-IF($B$1+33&gt;=$B$23,$B$22,0))*(1+$B$4)^33))*IF(AI109+IF($B$1+33&lt;=$B109,12*($B$7-$B$10),-12*MAX(0,($B$6+$B$10)-IF($B$1+33&gt;=$B$23,$B$22,0))*(1+$B$4)^33)&gt;0,1+$B$3,1))</f>
        <v/>
      </c>
      <c r="AK109">
        <f>IF($B$1+34&gt;90,AJ109,(AJ109+IF($B$1+34&lt;=$B109,12*($B$7-$B$10),-12*MAX(0,($B$6+$B$10)-IF($B$1+34&gt;=$B$23,$B$22,0))*(1+$B$4)^34))*IF(AJ109+IF($B$1+34&lt;=$B109,12*($B$7-$B$10),-12*MAX(0,($B$6+$B$10)-IF($B$1+34&gt;=$B$23,$B$22,0))*(1+$B$4)^34)&gt;0,1+$B$3,1))</f>
        <v/>
      </c>
      <c r="AL109">
        <f>IF($B$1+35&gt;90,AK109,(AK109+IF($B$1+35&lt;=$B109,12*($B$7-$B$10),-12*MAX(0,($B$6+$B$10)-IF($B$1+35&gt;=$B$23,$B$22,0))*(1+$B$4)^35))*IF(AK109+IF($B$1+35&lt;=$B109,12*($B$7-$B$10),-12*MAX(0,($B$6+$B$10)-IF($B$1+35&gt;=$B$23,$B$22,0))*(1+$B$4)^35)&gt;0,1+$B$3,1))</f>
        <v/>
      </c>
      <c r="AM109">
        <f>IF($B$1+36&gt;90,AL109,(AL109+IF($B$1+36&lt;=$B109,12*($B$7-$B$10),-12*MAX(0,($B$6+$B$10)-IF($B$1+36&gt;=$B$23,$B$22,0))*(1+$B$4)^36))*IF(AL109+IF($B$1+36&lt;=$B109,12*($B$7-$B$10),-12*MAX(0,($B$6+$B$10)-IF($B$1+36&gt;=$B$23,$B$22,0))*(1+$B$4)^36)&gt;0,1+$B$3,1))</f>
        <v/>
      </c>
      <c r="AN109">
        <f>IF($B$1+37&gt;90,AM109,(AM109+IF($B$1+37&lt;=$B109,12*($B$7-$B$10),-12*MAX(0,($B$6+$B$10)-IF($B$1+37&gt;=$B$23,$B$22,0))*(1+$B$4)^37))*IF(AM109+IF($B$1+37&lt;=$B109,12*($B$7-$B$10),-12*MAX(0,($B$6+$B$10)-IF($B$1+37&gt;=$B$23,$B$22,0))*(1+$B$4)^37)&gt;0,1+$B$3,1))</f>
        <v/>
      </c>
      <c r="AO109">
        <f>IF($B$1+38&gt;90,AN109,(AN109+IF($B$1+38&lt;=$B109,12*($B$7-$B$10),-12*MAX(0,($B$6+$B$10)-IF($B$1+38&gt;=$B$23,$B$22,0))*(1+$B$4)^38))*IF(AN109+IF($B$1+38&lt;=$B109,12*($B$7-$B$10),-12*MAX(0,($B$6+$B$10)-IF($B$1+38&gt;=$B$23,$B$22,0))*(1+$B$4)^38)&gt;0,1+$B$3,1))</f>
        <v/>
      </c>
      <c r="AP109">
        <f>IF($B$1+39&gt;90,AO109,(AO109+IF($B$1+39&lt;=$B109,12*($B$7-$B$10),-12*MAX(0,($B$6+$B$10)-IF($B$1+39&gt;=$B$23,$B$22,0))*(1+$B$4)^39))*IF(AO109+IF($B$1+39&lt;=$B109,12*($B$7-$B$10),-12*MAX(0,($B$6+$B$10)-IF($B$1+39&gt;=$B$23,$B$22,0))*(1+$B$4)^39)&gt;0,1+$B$3,1))</f>
        <v/>
      </c>
      <c r="AQ109">
        <f>IF($B$1+40&gt;90,AP109,(AP109+IF($B$1+40&lt;=$B109,12*($B$7-$B$10),-12*MAX(0,($B$6+$B$10)-IF($B$1+40&gt;=$B$23,$B$22,0))*(1+$B$4)^40))*IF(AP109+IF($B$1+40&lt;=$B109,12*($B$7-$B$10),-12*MAX(0,($B$6+$B$10)-IF($B$1+40&gt;=$B$23,$B$22,0))*(1+$B$4)^40)&gt;0,1+$B$3,1))</f>
        <v/>
      </c>
      <c r="AR109">
        <f>IF($B$1+41&gt;90,AQ109,(AQ109+IF($B$1+41&lt;=$B109,12*($B$7-$B$10),-12*MAX(0,($B$6+$B$10)-IF($B$1+41&gt;=$B$23,$B$22,0))*(1+$B$4)^41))*IF(AQ109+IF($B$1+41&lt;=$B109,12*($B$7-$B$10),-12*MAX(0,($B$6+$B$10)-IF($B$1+41&gt;=$B$23,$B$22,0))*(1+$B$4)^41)&gt;0,1+$B$3,1))</f>
        <v/>
      </c>
      <c r="AS109">
        <f>IF($B$1+42&gt;90,AR109,(AR109+IF($B$1+42&lt;=$B109,12*($B$7-$B$10),-12*MAX(0,($B$6+$B$10)-IF($B$1+42&gt;=$B$23,$B$22,0))*(1+$B$4)^42))*IF(AR109+IF($B$1+42&lt;=$B109,12*($B$7-$B$10),-12*MAX(0,($B$6+$B$10)-IF($B$1+42&gt;=$B$23,$B$22,0))*(1+$B$4)^42)&gt;0,1+$B$3,1))</f>
        <v/>
      </c>
      <c r="AT109">
        <f>IF($B$1+43&gt;90,AS109,(AS109+IF($B$1+43&lt;=$B109,12*($B$7-$B$10),-12*MAX(0,($B$6+$B$10)-IF($B$1+43&gt;=$B$23,$B$22,0))*(1+$B$4)^43))*IF(AS109+IF($B$1+43&lt;=$B109,12*($B$7-$B$10),-12*MAX(0,($B$6+$B$10)-IF($B$1+43&gt;=$B$23,$B$22,0))*(1+$B$4)^43)&gt;0,1+$B$3,1))</f>
        <v/>
      </c>
      <c r="AU109">
        <f>IF($B$1+44&gt;90,AT109,(AT109+IF($B$1+44&lt;=$B109,12*($B$7-$B$10),-12*MAX(0,($B$6+$B$10)-IF($B$1+44&gt;=$B$23,$B$22,0))*(1+$B$4)^44))*IF(AT109+IF($B$1+44&lt;=$B109,12*($B$7-$B$10),-12*MAX(0,($B$6+$B$10)-IF($B$1+44&gt;=$B$23,$B$22,0))*(1+$B$4)^44)&gt;0,1+$B$3,1))</f>
        <v/>
      </c>
      <c r="AV109">
        <f>IF($B$1+45&gt;90,AU109,(AU109+IF($B$1+45&lt;=$B109,12*($B$7-$B$10),-12*MAX(0,($B$6+$B$10)-IF($B$1+45&gt;=$B$23,$B$22,0))*(1+$B$4)^45))*IF(AU109+IF($B$1+45&lt;=$B109,12*($B$7-$B$10),-12*MAX(0,($B$6+$B$10)-IF($B$1+45&gt;=$B$23,$B$22,0))*(1+$B$4)^45)&gt;0,1+$B$3,1))</f>
        <v/>
      </c>
      <c r="AW109">
        <f>IF($B$1+46&gt;90,AV109,(AV109+IF($B$1+46&lt;=$B109,12*($B$7-$B$10),-12*MAX(0,($B$6+$B$10)-IF($B$1+46&gt;=$B$23,$B$22,0))*(1+$B$4)^46))*IF(AV109+IF($B$1+46&lt;=$B109,12*($B$7-$B$10),-12*MAX(0,($B$6+$B$10)-IF($B$1+46&gt;=$B$23,$B$22,0))*(1+$B$4)^46)&gt;0,1+$B$3,1))</f>
        <v/>
      </c>
      <c r="AX109">
        <f>IF($B$1+47&gt;90,AW109,(AW109+IF($B$1+47&lt;=$B109,12*($B$7-$B$10),-12*MAX(0,($B$6+$B$10)-IF($B$1+47&gt;=$B$23,$B$22,0))*(1+$B$4)^47))*IF(AW109+IF($B$1+47&lt;=$B109,12*($B$7-$B$10),-12*MAX(0,($B$6+$B$10)-IF($B$1+47&gt;=$B$23,$B$22,0))*(1+$B$4)^47)&gt;0,1+$B$3,1))</f>
        <v/>
      </c>
      <c r="AY109">
        <f>IF($B$1+48&gt;90,AX109,(AX109+IF($B$1+48&lt;=$B109,12*($B$7-$B$10),-12*MAX(0,($B$6+$B$10)-IF($B$1+48&gt;=$B$23,$B$22,0))*(1+$B$4)^48))*IF(AX109+IF($B$1+48&lt;=$B109,12*($B$7-$B$10),-12*MAX(0,($B$6+$B$10)-IF($B$1+48&gt;=$B$23,$B$22,0))*(1+$B$4)^48)&gt;0,1+$B$3,1))</f>
        <v/>
      </c>
      <c r="AZ109">
        <f>IF($B$1+49&gt;90,AY109,(AY109+IF($B$1+49&lt;=$B109,12*($B$7-$B$10),-12*MAX(0,($B$6+$B$10)-IF($B$1+49&gt;=$B$23,$B$22,0))*(1+$B$4)^49))*IF(AY109+IF($B$1+49&lt;=$B109,12*($B$7-$B$10),-12*MAX(0,($B$6+$B$10)-IF($B$1+49&gt;=$B$23,$B$22,0))*(1+$B$4)^49)&gt;0,1+$B$3,1))</f>
        <v/>
      </c>
      <c r="BA109">
        <f>IF($B$1+50&gt;90,AZ109,(AZ109+IF($B$1+50&lt;=$B109,12*($B$7-$B$10),-12*MAX(0,($B$6+$B$10)-IF($B$1+50&gt;=$B$23,$B$22,0))*(1+$B$4)^50))*IF(AZ109+IF($B$1+50&lt;=$B109,12*($B$7-$B$10),-12*MAX(0,($B$6+$B$10)-IF($B$1+50&gt;=$B$23,$B$22,0))*(1+$B$4)^50)&gt;0,1+$B$3,1))</f>
        <v/>
      </c>
      <c r="BB109">
        <f>IF($B$1+51&gt;90,BA109,(BA109+IF($B$1+51&lt;=$B109,12*($B$7-$B$10),-12*MAX(0,($B$6+$B$10)-IF($B$1+51&gt;=$B$23,$B$22,0))*(1+$B$4)^51))*IF(BA109+IF($B$1+51&lt;=$B109,12*($B$7-$B$10),-12*MAX(0,($B$6+$B$10)-IF($B$1+51&gt;=$B$23,$B$22,0))*(1+$B$4)^51)&gt;0,1+$B$3,1))</f>
        <v/>
      </c>
      <c r="BC109">
        <f>IF($B$1+52&gt;90,BB109,(BB109+IF($B$1+52&lt;=$B109,12*($B$7-$B$10),-12*MAX(0,($B$6+$B$10)-IF($B$1+52&gt;=$B$23,$B$22,0))*(1+$B$4)^52))*IF(BB109+IF($B$1+52&lt;=$B109,12*($B$7-$B$10),-12*MAX(0,($B$6+$B$10)-IF($B$1+52&gt;=$B$23,$B$22,0))*(1+$B$4)^52)&gt;0,1+$B$3,1))</f>
        <v/>
      </c>
      <c r="BD109">
        <f>IF($B$1+53&gt;90,BC109,(BC109+IF($B$1+53&lt;=$B109,12*($B$7-$B$10),-12*MAX(0,($B$6+$B$10)-IF($B$1+53&gt;=$B$23,$B$22,0))*(1+$B$4)^53))*IF(BC109+IF($B$1+53&lt;=$B109,12*($B$7-$B$10),-12*MAX(0,($B$6+$B$10)-IF($B$1+53&gt;=$B$23,$B$22,0))*(1+$B$4)^53)&gt;0,1+$B$3,1))</f>
        <v/>
      </c>
      <c r="BE109">
        <f>IF($B$1+54&gt;90,BD109,(BD109+IF($B$1+54&lt;=$B109,12*($B$7-$B$10),-12*MAX(0,($B$6+$B$10)-IF($B$1+54&gt;=$B$23,$B$22,0))*(1+$B$4)^54))*IF(BD109+IF($B$1+54&lt;=$B109,12*($B$7-$B$10),-12*MAX(0,($B$6+$B$10)-IF($B$1+54&gt;=$B$23,$B$22,0))*(1+$B$4)^54)&gt;0,1+$B$3,1))</f>
        <v/>
      </c>
      <c r="BF109">
        <f>IF($B$1+55&gt;90,BE109,(BE109+IF($B$1+55&lt;=$B109,12*($B$7-$B$10),-12*MAX(0,($B$6+$B$10)-IF($B$1+55&gt;=$B$23,$B$22,0))*(1+$B$4)^55))*IF(BE109+IF($B$1+55&lt;=$B109,12*($B$7-$B$10),-12*MAX(0,($B$6+$B$10)-IF($B$1+55&gt;=$B$23,$B$22,0))*(1+$B$4)^55)&gt;0,1+$B$3,1))</f>
        <v/>
      </c>
      <c r="BG109">
        <f>IF($B$1+56&gt;90,BF109,(BF109+IF($B$1+56&lt;=$B109,12*($B$7-$B$10),-12*MAX(0,($B$6+$B$10)-IF($B$1+56&gt;=$B$23,$B$22,0))*(1+$B$4)^56))*IF(BF109+IF($B$1+56&lt;=$B109,12*($B$7-$B$10),-12*MAX(0,($B$6+$B$10)-IF($B$1+56&gt;=$B$23,$B$22,0))*(1+$B$4)^56)&gt;0,1+$B$3,1))</f>
        <v/>
      </c>
      <c r="BH109">
        <f>IF($B$1+57&gt;90,BG109,(BG109+IF($B$1+57&lt;=$B109,12*($B$7-$B$10),-12*MAX(0,($B$6+$B$10)-IF($B$1+57&gt;=$B$23,$B$22,0))*(1+$B$4)^57))*IF(BG109+IF($B$1+57&lt;=$B109,12*($B$7-$B$10),-12*MAX(0,($B$6+$B$10)-IF($B$1+57&gt;=$B$23,$B$22,0))*(1+$B$4)^57)&gt;0,1+$B$3,1))</f>
        <v/>
      </c>
      <c r="BI109">
        <f>IF($B$1+58&gt;90,BH109,(BH109+IF($B$1+58&lt;=$B109,12*($B$7-$B$10),-12*MAX(0,($B$6+$B$10)-IF($B$1+58&gt;=$B$23,$B$22,0))*(1+$B$4)^58))*IF(BH109+IF($B$1+58&lt;=$B109,12*($B$7-$B$10),-12*MAX(0,($B$6+$B$10)-IF($B$1+58&gt;=$B$23,$B$22,0))*(1+$B$4)^58)&gt;0,1+$B$3,1))</f>
        <v/>
      </c>
      <c r="BJ109">
        <f>IF($B$1+59&gt;90,BI109,(BI109+IF($B$1+59&lt;=$B109,12*($B$7-$B$10),-12*MAX(0,($B$6+$B$10)-IF($B$1+59&gt;=$B$23,$B$22,0))*(1+$B$4)^59))*IF(BI109+IF($B$1+59&lt;=$B109,12*($B$7-$B$10),-12*MAX(0,($B$6+$B$10)-IF($B$1+59&gt;=$B$23,$B$22,0))*(1+$B$4)^59)&gt;0,1+$B$3,1))</f>
        <v/>
      </c>
      <c r="BK109">
        <f>IF($B$1+60&gt;90,BJ109,(BJ109+IF($B$1+60&lt;=$B109,12*($B$7-$B$10),-12*MAX(0,($B$6+$B$10)-IF($B$1+60&gt;=$B$23,$B$22,0))*(1+$B$4)^60))*IF(BJ109+IF($B$1+60&lt;=$B109,12*($B$7-$B$10),-12*MAX(0,($B$6+$B$10)-IF($B$1+60&gt;=$B$23,$B$22,0))*(1+$B$4)^60)&gt;0,1+$B$3,1))</f>
        <v/>
      </c>
      <c r="BL109">
        <f>IF($B$1+61&gt;90,BK109,(BK109+IF($B$1+61&lt;=$B109,12*($B$7-$B$10),-12*MAX(0,($B$6+$B$10)-IF($B$1+61&gt;=$B$23,$B$22,0))*(1+$B$4)^61))*IF(BK109+IF($B$1+61&lt;=$B109,12*($B$7-$B$10),-12*MAX(0,($B$6+$B$10)-IF($B$1+61&gt;=$B$23,$B$22,0))*(1+$B$4)^61)&gt;0,1+$B$3,1))</f>
        <v/>
      </c>
      <c r="BM109">
        <f>IF($B$1+62&gt;90,BL109,(BL109+IF($B$1+62&lt;=$B109,12*($B$7-$B$10),-12*MAX(0,($B$6+$B$10)-IF($B$1+62&gt;=$B$23,$B$22,0))*(1+$B$4)^62))*IF(BL109+IF($B$1+62&lt;=$B109,12*($B$7-$B$10),-12*MAX(0,($B$6+$B$10)-IF($B$1+62&gt;=$B$23,$B$22,0))*(1+$B$4)^62)&gt;0,1+$B$3,1))</f>
        <v/>
      </c>
      <c r="BN109">
        <f>IF($B$1+63&gt;90,BM109,(BM109+IF($B$1+63&lt;=$B109,12*($B$7-$B$10),-12*MAX(0,($B$6+$B$10)-IF($B$1+63&gt;=$B$23,$B$22,0))*(1+$B$4)^63))*IF(BM109+IF($B$1+63&lt;=$B109,12*($B$7-$B$10),-12*MAX(0,($B$6+$B$10)-IF($B$1+63&gt;=$B$23,$B$22,0))*(1+$B$4)^63)&gt;0,1+$B$3,1))</f>
        <v/>
      </c>
      <c r="BO109">
        <f>IF($B$1+64&gt;90,BN109,(BN109+IF($B$1+64&lt;=$B109,12*($B$7-$B$10),-12*MAX(0,($B$6+$B$10)-IF($B$1+64&gt;=$B$23,$B$22,0))*(1+$B$4)^64))*IF(BN109+IF($B$1+64&lt;=$B109,12*($B$7-$B$10),-12*MAX(0,($B$6+$B$10)-IF($B$1+64&gt;=$B$23,$B$22,0))*(1+$B$4)^64)&gt;0,1+$B$3,1))</f>
        <v/>
      </c>
      <c r="BP109">
        <f>IF($B$1+65&gt;90,BO109,(BO109+IF($B$1+65&lt;=$B109,12*($B$7-$B$10),-12*MAX(0,($B$6+$B$10)-IF($B$1+65&gt;=$B$23,$B$22,0))*(1+$B$4)^65))*IF(BO109+IF($B$1+65&lt;=$B109,12*($B$7-$B$10),-12*MAX(0,($B$6+$B$10)-IF($B$1+65&gt;=$B$23,$B$22,0))*(1+$B$4)^65)&gt;0,1+$B$3,1))</f>
        <v/>
      </c>
      <c r="BQ109">
        <f>IF($B$1+66&gt;90,BP109,(BP109+IF($B$1+66&lt;=$B109,12*($B$7-$B$10),-12*MAX(0,($B$6+$B$10)-IF($B$1+66&gt;=$B$23,$B$22,0))*(1+$B$4)^66))*IF(BP109+IF($B$1+66&lt;=$B109,12*($B$7-$B$10),-12*MAX(0,($B$6+$B$10)-IF($B$1+66&gt;=$B$23,$B$22,0))*(1+$B$4)^66)&gt;0,1+$B$3,1))</f>
        <v/>
      </c>
      <c r="BR109">
        <f>IF($B$1+67&gt;90,BQ109,(BQ109+IF($B$1+67&lt;=$B109,12*($B$7-$B$10),-12*MAX(0,($B$6+$B$10)-IF($B$1+67&gt;=$B$23,$B$22,0))*(1+$B$4)^67))*IF(BQ109+IF($B$1+67&lt;=$B109,12*($B$7-$B$10),-12*MAX(0,($B$6+$B$10)-IF($B$1+67&gt;=$B$23,$B$22,0))*(1+$B$4)^67)&gt;0,1+$B$3,1))</f>
        <v/>
      </c>
      <c r="BS109">
        <f>IF($B$1+68&gt;90,BR109,(BR109+IF($B$1+68&lt;=$B109,12*($B$7-$B$10),-12*MAX(0,($B$6+$B$10)-IF($B$1+68&gt;=$B$23,$B$22,0))*(1+$B$4)^68))*IF(BR109+IF($B$1+68&lt;=$B109,12*($B$7-$B$10),-12*MAX(0,($B$6+$B$10)-IF($B$1+68&gt;=$B$23,$B$22,0))*(1+$B$4)^68)&gt;0,1+$B$3,1))</f>
        <v/>
      </c>
      <c r="BT109">
        <f>IF($B$1+69&gt;90,BS109,(BS109+IF($B$1+69&lt;=$B109,12*($B$7-$B$10),-12*MAX(0,($B$6+$B$10)-IF($B$1+69&gt;=$B$23,$B$22,0))*(1+$B$4)^69))*IF(BS109+IF($B$1+69&lt;=$B109,12*($B$7-$B$10),-12*MAX(0,($B$6+$B$10)-IF($B$1+69&gt;=$B$23,$B$22,0))*(1+$B$4)^69)&gt;0,1+$B$3,1))</f>
        <v/>
      </c>
      <c r="BU109">
        <f>IF($B$1+70&gt;90,BT109,(BT109+IF($B$1+70&lt;=$B109,12*($B$7-$B$10),-12*MAX(0,($B$6+$B$10)-IF($B$1+70&gt;=$B$23,$B$22,0))*(1+$B$4)^70))*IF(BT109+IF($B$1+70&lt;=$B109,12*($B$7-$B$10),-12*MAX(0,($B$6+$B$10)-IF($B$1+70&gt;=$B$23,$B$22,0))*(1+$B$4)^70)&gt;0,1+$B$3,1))</f>
        <v/>
      </c>
      <c r="BV109">
        <f>BU109</f>
        <v/>
      </c>
      <c r="BW109">
        <f>IF(AND($B109&lt;=70,BV109&gt;0),$B109,999)</f>
        <v/>
      </c>
      <c r="CH109">
        <f>IF(ISTEXT('월 가계부'!A109),SUBSTITUTE(SUBSTITUTE(SUBSTITUTE(SUBSTITUTE(SUBSTITUTE(SUBSTITUTE(SUBSTITUTE(SUBSTITUTE(SUBSTITUTE(TRIM('월 가계부'!A109),"년","-"),"월","-"),"일",""),".","-"),"/","-")," ","-"),"--","-"),"--","-"),"--","-")&amp;"-","")</f>
        <v/>
      </c>
      <c r="CI109">
        <f>IFERROR(IF('월 가계부'!A109="","",IF(ISNUMBER('월 가계부'!A109),IF(AND('월 가계부'!A109&gt;=19000101,'월 가계부'!A109&lt;=21001231),IF(AND(MOD(INT('월 가계부'!A109/100),100)&gt;=1,MOD(INT('월 가계부'!A109/100),100)&lt;=12,MOD(INT('월 가계부'!A109),100)&gt;=1,MOD(INT('월 가계부'!A109),100)&lt;=31),IF(MONTH(DATE(INT('월 가계부'!A109/10000),MOD(INT('월 가계부'!A109/100),100),MOD(INT('월 가계부'!A109),100)))=MOD(INT('월 가계부'!A109/100),100),DATE(INT('월 가계부'!A109/10000),MOD(INT('월 가계부'!A109/100),100),MOD(INT('월 가계부'!A109),100)),""),""),IF(AND('월 가계부'!A109&gt;=36526,'월 가계부'!A109&lt;73051),INT('월 가계부'!A109),"")),IF(OR(CM109="",CN109="",CO109=""),"",IF(AND(CM109&gt;=2000,CM109&lt;=2099,CN109&gt;=1,CN109&lt;=12,CO109&gt;=1,CO109&lt;=31),IF(MONTH(DATE(CM109,CN109,CO109))=CN109,DATE(CM109,CN109,CO109),""),"")))),"")</f>
        <v/>
      </c>
      <c r="CJ109">
        <f>IFERROR(IF('월 가계부'!C109="","",IF(ISNUMBER('월 가계부'!C109),'월 가계부'!C109,VALUE(SUBSTITUTE(SUBSTITUTE(SUBSTITUTE(SUBSTITUTE(TRIM('월 가계부'!C109),",",""),"원","")," ",""),"−","-")))),"")</f>
        <v/>
      </c>
      <c r="CK109">
        <f>IF(ISNUMBER(CI109),IF(CI109&lt;$B$13,CI109,""),"")</f>
        <v/>
      </c>
      <c r="CM109">
        <f>IF(CH109="","",IFERROR(IF(IF(AND(LEN(CH109)=9,ISERROR(FIND("-",LEFT(CH109,8))),ISNUMBER(-LEFT(CH109,8))),VALUE(LEFT(CH109,4)),VALUE(LEFT(CH109,FIND("-",CH109)-1)))&lt;100,IF(AND(LEN(CH109)=9,ISERROR(FIND("-",LEFT(CH109,8))),ISNUMBER(-LEFT(CH109,8))),VALUE(LEFT(CH109,4)),VALUE(LEFT(CH109,FIND("-",CH109)-1)))+2000,IF(AND(LEN(CH109)=9,ISERROR(FIND("-",LEFT(CH109,8))),ISNUMBER(-LEFT(CH109,8))),VALUE(LEFT(CH109,4)),VALUE(LEFT(CH109,FIND("-",CH109)-1)))),""))</f>
        <v/>
      </c>
      <c r="CN109">
        <f>IF(CH109="","",IFERROR(IF(AND(LEN(CH109)=9,ISERROR(FIND("-",LEFT(CH109,8))),ISNUMBER(-LEFT(CH109,8))),VALUE(MID(CH109,5,2)),VALUE(MID(CH109,FIND("-",CH109)+1,FIND("-",CH109,FIND("-",CH109)+1)-FIND("-",CH109)-1))),""))</f>
        <v/>
      </c>
      <c r="CO109">
        <f>IF(CH109="","",IFERROR(IF(AND(LEN(CH109)=9,ISERROR(FIND("-",LEFT(CH109,8))),ISNUMBER(-LEFT(CH109,8))),VALUE(MID(CH109,7,2)),VALUE(MID(CH109,FIND("-",CH109,FIND("-",CH109)+1)+1,FIND("-",CH109,FIND("-",CH109,FIND("-",CH109)+1)+1)-FIND("-",CH109,FIND("-",CH109)+1)-1))),""))</f>
        <v/>
      </c>
    </row>
    <row r="110">
      <c r="A110" t="n">
        <v>14</v>
      </c>
      <c r="B110">
        <f>$B$1+14</f>
        <v/>
      </c>
      <c r="C110">
        <f>$B$2</f>
        <v/>
      </c>
      <c r="D110">
        <f>IF($B$1+1&gt;90,C110,(C110+IF($B$1+1&lt;=$B110,12*($B$7-$B$10),-12*MAX(0,($B$6+$B$10)-IF($B$1+1&gt;=$B$23,$B$22,0))*(1+$B$4)^1))*IF(C110+IF($B$1+1&lt;=$B110,12*($B$7-$B$10),-12*MAX(0,($B$6+$B$10)-IF($B$1+1&gt;=$B$23,$B$22,0))*(1+$B$4)^1)&gt;0,1+$B$3,1))</f>
        <v/>
      </c>
      <c r="E110">
        <f>IF($B$1+2&gt;90,D110,(D110+IF($B$1+2&lt;=$B110,12*($B$7-$B$10),-12*MAX(0,($B$6+$B$10)-IF($B$1+2&gt;=$B$23,$B$22,0))*(1+$B$4)^2))*IF(D110+IF($B$1+2&lt;=$B110,12*($B$7-$B$10),-12*MAX(0,($B$6+$B$10)-IF($B$1+2&gt;=$B$23,$B$22,0))*(1+$B$4)^2)&gt;0,1+$B$3,1))</f>
        <v/>
      </c>
      <c r="F110">
        <f>IF($B$1+3&gt;90,E110,(E110+IF($B$1+3&lt;=$B110,12*($B$7-$B$10),-12*MAX(0,($B$6+$B$10)-IF($B$1+3&gt;=$B$23,$B$22,0))*(1+$B$4)^3))*IF(E110+IF($B$1+3&lt;=$B110,12*($B$7-$B$10),-12*MAX(0,($B$6+$B$10)-IF($B$1+3&gt;=$B$23,$B$22,0))*(1+$B$4)^3)&gt;0,1+$B$3,1))</f>
        <v/>
      </c>
      <c r="G110">
        <f>IF($B$1+4&gt;90,F110,(F110+IF($B$1+4&lt;=$B110,12*($B$7-$B$10),-12*MAX(0,($B$6+$B$10)-IF($B$1+4&gt;=$B$23,$B$22,0))*(1+$B$4)^4))*IF(F110+IF($B$1+4&lt;=$B110,12*($B$7-$B$10),-12*MAX(0,($B$6+$B$10)-IF($B$1+4&gt;=$B$23,$B$22,0))*(1+$B$4)^4)&gt;0,1+$B$3,1))</f>
        <v/>
      </c>
      <c r="H110">
        <f>IF($B$1+5&gt;90,G110,(G110+IF($B$1+5&lt;=$B110,12*($B$7-$B$10),-12*MAX(0,($B$6+$B$10)-IF($B$1+5&gt;=$B$23,$B$22,0))*(1+$B$4)^5))*IF(G110+IF($B$1+5&lt;=$B110,12*($B$7-$B$10),-12*MAX(0,($B$6+$B$10)-IF($B$1+5&gt;=$B$23,$B$22,0))*(1+$B$4)^5)&gt;0,1+$B$3,1))</f>
        <v/>
      </c>
      <c r="I110">
        <f>IF($B$1+6&gt;90,H110,(H110+IF($B$1+6&lt;=$B110,12*($B$7-$B$10),-12*MAX(0,($B$6+$B$10)-IF($B$1+6&gt;=$B$23,$B$22,0))*(1+$B$4)^6))*IF(H110+IF($B$1+6&lt;=$B110,12*($B$7-$B$10),-12*MAX(0,($B$6+$B$10)-IF($B$1+6&gt;=$B$23,$B$22,0))*(1+$B$4)^6)&gt;0,1+$B$3,1))</f>
        <v/>
      </c>
      <c r="J110">
        <f>IF($B$1+7&gt;90,I110,(I110+IF($B$1+7&lt;=$B110,12*($B$7-$B$10),-12*MAX(0,($B$6+$B$10)-IF($B$1+7&gt;=$B$23,$B$22,0))*(1+$B$4)^7))*IF(I110+IF($B$1+7&lt;=$B110,12*($B$7-$B$10),-12*MAX(0,($B$6+$B$10)-IF($B$1+7&gt;=$B$23,$B$22,0))*(1+$B$4)^7)&gt;0,1+$B$3,1))</f>
        <v/>
      </c>
      <c r="K110">
        <f>IF($B$1+8&gt;90,J110,(J110+IF($B$1+8&lt;=$B110,12*($B$7-$B$10),-12*MAX(0,($B$6+$B$10)-IF($B$1+8&gt;=$B$23,$B$22,0))*(1+$B$4)^8))*IF(J110+IF($B$1+8&lt;=$B110,12*($B$7-$B$10),-12*MAX(0,($B$6+$B$10)-IF($B$1+8&gt;=$B$23,$B$22,0))*(1+$B$4)^8)&gt;0,1+$B$3,1))</f>
        <v/>
      </c>
      <c r="L110">
        <f>IF($B$1+9&gt;90,K110,(K110+IF($B$1+9&lt;=$B110,12*($B$7-$B$10),-12*MAX(0,($B$6+$B$10)-IF($B$1+9&gt;=$B$23,$B$22,0))*(1+$B$4)^9))*IF(K110+IF($B$1+9&lt;=$B110,12*($B$7-$B$10),-12*MAX(0,($B$6+$B$10)-IF($B$1+9&gt;=$B$23,$B$22,0))*(1+$B$4)^9)&gt;0,1+$B$3,1))</f>
        <v/>
      </c>
      <c r="M110">
        <f>IF($B$1+10&gt;90,L110,(L110+IF($B$1+10&lt;=$B110,12*($B$7-$B$10),-12*MAX(0,($B$6+$B$10)-IF($B$1+10&gt;=$B$23,$B$22,0))*(1+$B$4)^10))*IF(L110+IF($B$1+10&lt;=$B110,12*($B$7-$B$10),-12*MAX(0,($B$6+$B$10)-IF($B$1+10&gt;=$B$23,$B$22,0))*(1+$B$4)^10)&gt;0,1+$B$3,1))</f>
        <v/>
      </c>
      <c r="N110">
        <f>IF($B$1+11&gt;90,M110,(M110+IF($B$1+11&lt;=$B110,12*($B$7-$B$10),-12*MAX(0,($B$6+$B$10)-IF($B$1+11&gt;=$B$23,$B$22,0))*(1+$B$4)^11))*IF(M110+IF($B$1+11&lt;=$B110,12*($B$7-$B$10),-12*MAX(0,($B$6+$B$10)-IF($B$1+11&gt;=$B$23,$B$22,0))*(1+$B$4)^11)&gt;0,1+$B$3,1))</f>
        <v/>
      </c>
      <c r="O110">
        <f>IF($B$1+12&gt;90,N110,(N110+IF($B$1+12&lt;=$B110,12*($B$7-$B$10),-12*MAX(0,($B$6+$B$10)-IF($B$1+12&gt;=$B$23,$B$22,0))*(1+$B$4)^12))*IF(N110+IF($B$1+12&lt;=$B110,12*($B$7-$B$10),-12*MAX(0,($B$6+$B$10)-IF($B$1+12&gt;=$B$23,$B$22,0))*(1+$B$4)^12)&gt;0,1+$B$3,1))</f>
        <v/>
      </c>
      <c r="P110">
        <f>IF($B$1+13&gt;90,O110,(O110+IF($B$1+13&lt;=$B110,12*($B$7-$B$10),-12*MAX(0,($B$6+$B$10)-IF($B$1+13&gt;=$B$23,$B$22,0))*(1+$B$4)^13))*IF(O110+IF($B$1+13&lt;=$B110,12*($B$7-$B$10),-12*MAX(0,($B$6+$B$10)-IF($B$1+13&gt;=$B$23,$B$22,0))*(1+$B$4)^13)&gt;0,1+$B$3,1))</f>
        <v/>
      </c>
      <c r="Q110">
        <f>IF($B$1+14&gt;90,P110,(P110+IF($B$1+14&lt;=$B110,12*($B$7-$B$10),-12*MAX(0,($B$6+$B$10)-IF($B$1+14&gt;=$B$23,$B$22,0))*(1+$B$4)^14))*IF(P110+IF($B$1+14&lt;=$B110,12*($B$7-$B$10),-12*MAX(0,($B$6+$B$10)-IF($B$1+14&gt;=$B$23,$B$22,0))*(1+$B$4)^14)&gt;0,1+$B$3,1))</f>
        <v/>
      </c>
      <c r="R110">
        <f>IF($B$1+15&gt;90,Q110,(Q110+IF($B$1+15&lt;=$B110,12*($B$7-$B$10),-12*MAX(0,($B$6+$B$10)-IF($B$1+15&gt;=$B$23,$B$22,0))*(1+$B$4)^15))*IF(Q110+IF($B$1+15&lt;=$B110,12*($B$7-$B$10),-12*MAX(0,($B$6+$B$10)-IF($B$1+15&gt;=$B$23,$B$22,0))*(1+$B$4)^15)&gt;0,1+$B$3,1))</f>
        <v/>
      </c>
      <c r="S110">
        <f>IF($B$1+16&gt;90,R110,(R110+IF($B$1+16&lt;=$B110,12*($B$7-$B$10),-12*MAX(0,($B$6+$B$10)-IF($B$1+16&gt;=$B$23,$B$22,0))*(1+$B$4)^16))*IF(R110+IF($B$1+16&lt;=$B110,12*($B$7-$B$10),-12*MAX(0,($B$6+$B$10)-IF($B$1+16&gt;=$B$23,$B$22,0))*(1+$B$4)^16)&gt;0,1+$B$3,1))</f>
        <v/>
      </c>
      <c r="T110">
        <f>IF($B$1+17&gt;90,S110,(S110+IF($B$1+17&lt;=$B110,12*($B$7-$B$10),-12*MAX(0,($B$6+$B$10)-IF($B$1+17&gt;=$B$23,$B$22,0))*(1+$B$4)^17))*IF(S110+IF($B$1+17&lt;=$B110,12*($B$7-$B$10),-12*MAX(0,($B$6+$B$10)-IF($B$1+17&gt;=$B$23,$B$22,0))*(1+$B$4)^17)&gt;0,1+$B$3,1))</f>
        <v/>
      </c>
      <c r="U110">
        <f>IF($B$1+18&gt;90,T110,(T110+IF($B$1+18&lt;=$B110,12*($B$7-$B$10),-12*MAX(0,($B$6+$B$10)-IF($B$1+18&gt;=$B$23,$B$22,0))*(1+$B$4)^18))*IF(T110+IF($B$1+18&lt;=$B110,12*($B$7-$B$10),-12*MAX(0,($B$6+$B$10)-IF($B$1+18&gt;=$B$23,$B$22,0))*(1+$B$4)^18)&gt;0,1+$B$3,1))</f>
        <v/>
      </c>
      <c r="V110">
        <f>IF($B$1+19&gt;90,U110,(U110+IF($B$1+19&lt;=$B110,12*($B$7-$B$10),-12*MAX(0,($B$6+$B$10)-IF($B$1+19&gt;=$B$23,$B$22,0))*(1+$B$4)^19))*IF(U110+IF($B$1+19&lt;=$B110,12*($B$7-$B$10),-12*MAX(0,($B$6+$B$10)-IF($B$1+19&gt;=$B$23,$B$22,0))*(1+$B$4)^19)&gt;0,1+$B$3,1))</f>
        <v/>
      </c>
      <c r="W110">
        <f>IF($B$1+20&gt;90,V110,(V110+IF($B$1+20&lt;=$B110,12*($B$7-$B$10),-12*MAX(0,($B$6+$B$10)-IF($B$1+20&gt;=$B$23,$B$22,0))*(1+$B$4)^20))*IF(V110+IF($B$1+20&lt;=$B110,12*($B$7-$B$10),-12*MAX(0,($B$6+$B$10)-IF($B$1+20&gt;=$B$23,$B$22,0))*(1+$B$4)^20)&gt;0,1+$B$3,1))</f>
        <v/>
      </c>
      <c r="X110">
        <f>IF($B$1+21&gt;90,W110,(W110+IF($B$1+21&lt;=$B110,12*($B$7-$B$10),-12*MAX(0,($B$6+$B$10)-IF($B$1+21&gt;=$B$23,$B$22,0))*(1+$B$4)^21))*IF(W110+IF($B$1+21&lt;=$B110,12*($B$7-$B$10),-12*MAX(0,($B$6+$B$10)-IF($B$1+21&gt;=$B$23,$B$22,0))*(1+$B$4)^21)&gt;0,1+$B$3,1))</f>
        <v/>
      </c>
      <c r="Y110">
        <f>IF($B$1+22&gt;90,X110,(X110+IF($B$1+22&lt;=$B110,12*($B$7-$B$10),-12*MAX(0,($B$6+$B$10)-IF($B$1+22&gt;=$B$23,$B$22,0))*(1+$B$4)^22))*IF(X110+IF($B$1+22&lt;=$B110,12*($B$7-$B$10),-12*MAX(0,($B$6+$B$10)-IF($B$1+22&gt;=$B$23,$B$22,0))*(1+$B$4)^22)&gt;0,1+$B$3,1))</f>
        <v/>
      </c>
      <c r="Z110">
        <f>IF($B$1+23&gt;90,Y110,(Y110+IF($B$1+23&lt;=$B110,12*($B$7-$B$10),-12*MAX(0,($B$6+$B$10)-IF($B$1+23&gt;=$B$23,$B$22,0))*(1+$B$4)^23))*IF(Y110+IF($B$1+23&lt;=$B110,12*($B$7-$B$10),-12*MAX(0,($B$6+$B$10)-IF($B$1+23&gt;=$B$23,$B$22,0))*(1+$B$4)^23)&gt;0,1+$B$3,1))</f>
        <v/>
      </c>
      <c r="AA110">
        <f>IF($B$1+24&gt;90,Z110,(Z110+IF($B$1+24&lt;=$B110,12*($B$7-$B$10),-12*MAX(0,($B$6+$B$10)-IF($B$1+24&gt;=$B$23,$B$22,0))*(1+$B$4)^24))*IF(Z110+IF($B$1+24&lt;=$B110,12*($B$7-$B$10),-12*MAX(0,($B$6+$B$10)-IF($B$1+24&gt;=$B$23,$B$22,0))*(1+$B$4)^24)&gt;0,1+$B$3,1))</f>
        <v/>
      </c>
      <c r="AB110">
        <f>IF($B$1+25&gt;90,AA110,(AA110+IF($B$1+25&lt;=$B110,12*($B$7-$B$10),-12*MAX(0,($B$6+$B$10)-IF($B$1+25&gt;=$B$23,$B$22,0))*(1+$B$4)^25))*IF(AA110+IF($B$1+25&lt;=$B110,12*($B$7-$B$10),-12*MAX(0,($B$6+$B$10)-IF($B$1+25&gt;=$B$23,$B$22,0))*(1+$B$4)^25)&gt;0,1+$B$3,1))</f>
        <v/>
      </c>
      <c r="AC110">
        <f>IF($B$1+26&gt;90,AB110,(AB110+IF($B$1+26&lt;=$B110,12*($B$7-$B$10),-12*MAX(0,($B$6+$B$10)-IF($B$1+26&gt;=$B$23,$B$22,0))*(1+$B$4)^26))*IF(AB110+IF($B$1+26&lt;=$B110,12*($B$7-$B$10),-12*MAX(0,($B$6+$B$10)-IF($B$1+26&gt;=$B$23,$B$22,0))*(1+$B$4)^26)&gt;0,1+$B$3,1))</f>
        <v/>
      </c>
      <c r="AD110">
        <f>IF($B$1+27&gt;90,AC110,(AC110+IF($B$1+27&lt;=$B110,12*($B$7-$B$10),-12*MAX(0,($B$6+$B$10)-IF($B$1+27&gt;=$B$23,$B$22,0))*(1+$B$4)^27))*IF(AC110+IF($B$1+27&lt;=$B110,12*($B$7-$B$10),-12*MAX(0,($B$6+$B$10)-IF($B$1+27&gt;=$B$23,$B$22,0))*(1+$B$4)^27)&gt;0,1+$B$3,1))</f>
        <v/>
      </c>
      <c r="AE110">
        <f>IF($B$1+28&gt;90,AD110,(AD110+IF($B$1+28&lt;=$B110,12*($B$7-$B$10),-12*MAX(0,($B$6+$B$10)-IF($B$1+28&gt;=$B$23,$B$22,0))*(1+$B$4)^28))*IF(AD110+IF($B$1+28&lt;=$B110,12*($B$7-$B$10),-12*MAX(0,($B$6+$B$10)-IF($B$1+28&gt;=$B$23,$B$22,0))*(1+$B$4)^28)&gt;0,1+$B$3,1))</f>
        <v/>
      </c>
      <c r="AF110">
        <f>IF($B$1+29&gt;90,AE110,(AE110+IF($B$1+29&lt;=$B110,12*($B$7-$B$10),-12*MAX(0,($B$6+$B$10)-IF($B$1+29&gt;=$B$23,$B$22,0))*(1+$B$4)^29))*IF(AE110+IF($B$1+29&lt;=$B110,12*($B$7-$B$10),-12*MAX(0,($B$6+$B$10)-IF($B$1+29&gt;=$B$23,$B$22,0))*(1+$B$4)^29)&gt;0,1+$B$3,1))</f>
        <v/>
      </c>
      <c r="AG110">
        <f>IF($B$1+30&gt;90,AF110,(AF110+IF($B$1+30&lt;=$B110,12*($B$7-$B$10),-12*MAX(0,($B$6+$B$10)-IF($B$1+30&gt;=$B$23,$B$22,0))*(1+$B$4)^30))*IF(AF110+IF($B$1+30&lt;=$B110,12*($B$7-$B$10),-12*MAX(0,($B$6+$B$10)-IF($B$1+30&gt;=$B$23,$B$22,0))*(1+$B$4)^30)&gt;0,1+$B$3,1))</f>
        <v/>
      </c>
      <c r="AH110">
        <f>IF($B$1+31&gt;90,AG110,(AG110+IF($B$1+31&lt;=$B110,12*($B$7-$B$10),-12*MAX(0,($B$6+$B$10)-IF($B$1+31&gt;=$B$23,$B$22,0))*(1+$B$4)^31))*IF(AG110+IF($B$1+31&lt;=$B110,12*($B$7-$B$10),-12*MAX(0,($B$6+$B$10)-IF($B$1+31&gt;=$B$23,$B$22,0))*(1+$B$4)^31)&gt;0,1+$B$3,1))</f>
        <v/>
      </c>
      <c r="AI110">
        <f>IF($B$1+32&gt;90,AH110,(AH110+IF($B$1+32&lt;=$B110,12*($B$7-$B$10),-12*MAX(0,($B$6+$B$10)-IF($B$1+32&gt;=$B$23,$B$22,0))*(1+$B$4)^32))*IF(AH110+IF($B$1+32&lt;=$B110,12*($B$7-$B$10),-12*MAX(0,($B$6+$B$10)-IF($B$1+32&gt;=$B$23,$B$22,0))*(1+$B$4)^32)&gt;0,1+$B$3,1))</f>
        <v/>
      </c>
      <c r="AJ110">
        <f>IF($B$1+33&gt;90,AI110,(AI110+IF($B$1+33&lt;=$B110,12*($B$7-$B$10),-12*MAX(0,($B$6+$B$10)-IF($B$1+33&gt;=$B$23,$B$22,0))*(1+$B$4)^33))*IF(AI110+IF($B$1+33&lt;=$B110,12*($B$7-$B$10),-12*MAX(0,($B$6+$B$10)-IF($B$1+33&gt;=$B$23,$B$22,0))*(1+$B$4)^33)&gt;0,1+$B$3,1))</f>
        <v/>
      </c>
      <c r="AK110">
        <f>IF($B$1+34&gt;90,AJ110,(AJ110+IF($B$1+34&lt;=$B110,12*($B$7-$B$10),-12*MAX(0,($B$6+$B$10)-IF($B$1+34&gt;=$B$23,$B$22,0))*(1+$B$4)^34))*IF(AJ110+IF($B$1+34&lt;=$B110,12*($B$7-$B$10),-12*MAX(0,($B$6+$B$10)-IF($B$1+34&gt;=$B$23,$B$22,0))*(1+$B$4)^34)&gt;0,1+$B$3,1))</f>
        <v/>
      </c>
      <c r="AL110">
        <f>IF($B$1+35&gt;90,AK110,(AK110+IF($B$1+35&lt;=$B110,12*($B$7-$B$10),-12*MAX(0,($B$6+$B$10)-IF($B$1+35&gt;=$B$23,$B$22,0))*(1+$B$4)^35))*IF(AK110+IF($B$1+35&lt;=$B110,12*($B$7-$B$10),-12*MAX(0,($B$6+$B$10)-IF($B$1+35&gt;=$B$23,$B$22,0))*(1+$B$4)^35)&gt;0,1+$B$3,1))</f>
        <v/>
      </c>
      <c r="AM110">
        <f>IF($B$1+36&gt;90,AL110,(AL110+IF($B$1+36&lt;=$B110,12*($B$7-$B$10),-12*MAX(0,($B$6+$B$10)-IF($B$1+36&gt;=$B$23,$B$22,0))*(1+$B$4)^36))*IF(AL110+IF($B$1+36&lt;=$B110,12*($B$7-$B$10),-12*MAX(0,($B$6+$B$10)-IF($B$1+36&gt;=$B$23,$B$22,0))*(1+$B$4)^36)&gt;0,1+$B$3,1))</f>
        <v/>
      </c>
      <c r="AN110">
        <f>IF($B$1+37&gt;90,AM110,(AM110+IF($B$1+37&lt;=$B110,12*($B$7-$B$10),-12*MAX(0,($B$6+$B$10)-IF($B$1+37&gt;=$B$23,$B$22,0))*(1+$B$4)^37))*IF(AM110+IF($B$1+37&lt;=$B110,12*($B$7-$B$10),-12*MAX(0,($B$6+$B$10)-IF($B$1+37&gt;=$B$23,$B$22,0))*(1+$B$4)^37)&gt;0,1+$B$3,1))</f>
        <v/>
      </c>
      <c r="AO110">
        <f>IF($B$1+38&gt;90,AN110,(AN110+IF($B$1+38&lt;=$B110,12*($B$7-$B$10),-12*MAX(0,($B$6+$B$10)-IF($B$1+38&gt;=$B$23,$B$22,0))*(1+$B$4)^38))*IF(AN110+IF($B$1+38&lt;=$B110,12*($B$7-$B$10),-12*MAX(0,($B$6+$B$10)-IF($B$1+38&gt;=$B$23,$B$22,0))*(1+$B$4)^38)&gt;0,1+$B$3,1))</f>
        <v/>
      </c>
      <c r="AP110">
        <f>IF($B$1+39&gt;90,AO110,(AO110+IF($B$1+39&lt;=$B110,12*($B$7-$B$10),-12*MAX(0,($B$6+$B$10)-IF($B$1+39&gt;=$B$23,$B$22,0))*(1+$B$4)^39))*IF(AO110+IF($B$1+39&lt;=$B110,12*($B$7-$B$10),-12*MAX(0,($B$6+$B$10)-IF($B$1+39&gt;=$B$23,$B$22,0))*(1+$B$4)^39)&gt;0,1+$B$3,1))</f>
        <v/>
      </c>
      <c r="AQ110">
        <f>IF($B$1+40&gt;90,AP110,(AP110+IF($B$1+40&lt;=$B110,12*($B$7-$B$10),-12*MAX(0,($B$6+$B$10)-IF($B$1+40&gt;=$B$23,$B$22,0))*(1+$B$4)^40))*IF(AP110+IF($B$1+40&lt;=$B110,12*($B$7-$B$10),-12*MAX(0,($B$6+$B$10)-IF($B$1+40&gt;=$B$23,$B$22,0))*(1+$B$4)^40)&gt;0,1+$B$3,1))</f>
        <v/>
      </c>
      <c r="AR110">
        <f>IF($B$1+41&gt;90,AQ110,(AQ110+IF($B$1+41&lt;=$B110,12*($B$7-$B$10),-12*MAX(0,($B$6+$B$10)-IF($B$1+41&gt;=$B$23,$B$22,0))*(1+$B$4)^41))*IF(AQ110+IF($B$1+41&lt;=$B110,12*($B$7-$B$10),-12*MAX(0,($B$6+$B$10)-IF($B$1+41&gt;=$B$23,$B$22,0))*(1+$B$4)^41)&gt;0,1+$B$3,1))</f>
        <v/>
      </c>
      <c r="AS110">
        <f>IF($B$1+42&gt;90,AR110,(AR110+IF($B$1+42&lt;=$B110,12*($B$7-$B$10),-12*MAX(0,($B$6+$B$10)-IF($B$1+42&gt;=$B$23,$B$22,0))*(1+$B$4)^42))*IF(AR110+IF($B$1+42&lt;=$B110,12*($B$7-$B$10),-12*MAX(0,($B$6+$B$10)-IF($B$1+42&gt;=$B$23,$B$22,0))*(1+$B$4)^42)&gt;0,1+$B$3,1))</f>
        <v/>
      </c>
      <c r="AT110">
        <f>IF($B$1+43&gt;90,AS110,(AS110+IF($B$1+43&lt;=$B110,12*($B$7-$B$10),-12*MAX(0,($B$6+$B$10)-IF($B$1+43&gt;=$B$23,$B$22,0))*(1+$B$4)^43))*IF(AS110+IF($B$1+43&lt;=$B110,12*($B$7-$B$10),-12*MAX(0,($B$6+$B$10)-IF($B$1+43&gt;=$B$23,$B$22,0))*(1+$B$4)^43)&gt;0,1+$B$3,1))</f>
        <v/>
      </c>
      <c r="AU110">
        <f>IF($B$1+44&gt;90,AT110,(AT110+IF($B$1+44&lt;=$B110,12*($B$7-$B$10),-12*MAX(0,($B$6+$B$10)-IF($B$1+44&gt;=$B$23,$B$22,0))*(1+$B$4)^44))*IF(AT110+IF($B$1+44&lt;=$B110,12*($B$7-$B$10),-12*MAX(0,($B$6+$B$10)-IF($B$1+44&gt;=$B$23,$B$22,0))*(1+$B$4)^44)&gt;0,1+$B$3,1))</f>
        <v/>
      </c>
      <c r="AV110">
        <f>IF($B$1+45&gt;90,AU110,(AU110+IF($B$1+45&lt;=$B110,12*($B$7-$B$10),-12*MAX(0,($B$6+$B$10)-IF($B$1+45&gt;=$B$23,$B$22,0))*(1+$B$4)^45))*IF(AU110+IF($B$1+45&lt;=$B110,12*($B$7-$B$10),-12*MAX(0,($B$6+$B$10)-IF($B$1+45&gt;=$B$23,$B$22,0))*(1+$B$4)^45)&gt;0,1+$B$3,1))</f>
        <v/>
      </c>
      <c r="AW110">
        <f>IF($B$1+46&gt;90,AV110,(AV110+IF($B$1+46&lt;=$B110,12*($B$7-$B$10),-12*MAX(0,($B$6+$B$10)-IF($B$1+46&gt;=$B$23,$B$22,0))*(1+$B$4)^46))*IF(AV110+IF($B$1+46&lt;=$B110,12*($B$7-$B$10),-12*MAX(0,($B$6+$B$10)-IF($B$1+46&gt;=$B$23,$B$22,0))*(1+$B$4)^46)&gt;0,1+$B$3,1))</f>
        <v/>
      </c>
      <c r="AX110">
        <f>IF($B$1+47&gt;90,AW110,(AW110+IF($B$1+47&lt;=$B110,12*($B$7-$B$10),-12*MAX(0,($B$6+$B$10)-IF($B$1+47&gt;=$B$23,$B$22,0))*(1+$B$4)^47))*IF(AW110+IF($B$1+47&lt;=$B110,12*($B$7-$B$10),-12*MAX(0,($B$6+$B$10)-IF($B$1+47&gt;=$B$23,$B$22,0))*(1+$B$4)^47)&gt;0,1+$B$3,1))</f>
        <v/>
      </c>
      <c r="AY110">
        <f>IF($B$1+48&gt;90,AX110,(AX110+IF($B$1+48&lt;=$B110,12*($B$7-$B$10),-12*MAX(0,($B$6+$B$10)-IF($B$1+48&gt;=$B$23,$B$22,0))*(1+$B$4)^48))*IF(AX110+IF($B$1+48&lt;=$B110,12*($B$7-$B$10),-12*MAX(0,($B$6+$B$10)-IF($B$1+48&gt;=$B$23,$B$22,0))*(1+$B$4)^48)&gt;0,1+$B$3,1))</f>
        <v/>
      </c>
      <c r="AZ110">
        <f>IF($B$1+49&gt;90,AY110,(AY110+IF($B$1+49&lt;=$B110,12*($B$7-$B$10),-12*MAX(0,($B$6+$B$10)-IF($B$1+49&gt;=$B$23,$B$22,0))*(1+$B$4)^49))*IF(AY110+IF($B$1+49&lt;=$B110,12*($B$7-$B$10),-12*MAX(0,($B$6+$B$10)-IF($B$1+49&gt;=$B$23,$B$22,0))*(1+$B$4)^49)&gt;0,1+$B$3,1))</f>
        <v/>
      </c>
      <c r="BA110">
        <f>IF($B$1+50&gt;90,AZ110,(AZ110+IF($B$1+50&lt;=$B110,12*($B$7-$B$10),-12*MAX(0,($B$6+$B$10)-IF($B$1+50&gt;=$B$23,$B$22,0))*(1+$B$4)^50))*IF(AZ110+IF($B$1+50&lt;=$B110,12*($B$7-$B$10),-12*MAX(0,($B$6+$B$10)-IF($B$1+50&gt;=$B$23,$B$22,0))*(1+$B$4)^50)&gt;0,1+$B$3,1))</f>
        <v/>
      </c>
      <c r="BB110">
        <f>IF($B$1+51&gt;90,BA110,(BA110+IF($B$1+51&lt;=$B110,12*($B$7-$B$10),-12*MAX(0,($B$6+$B$10)-IF($B$1+51&gt;=$B$23,$B$22,0))*(1+$B$4)^51))*IF(BA110+IF($B$1+51&lt;=$B110,12*($B$7-$B$10),-12*MAX(0,($B$6+$B$10)-IF($B$1+51&gt;=$B$23,$B$22,0))*(1+$B$4)^51)&gt;0,1+$B$3,1))</f>
        <v/>
      </c>
      <c r="BC110">
        <f>IF($B$1+52&gt;90,BB110,(BB110+IF($B$1+52&lt;=$B110,12*($B$7-$B$10),-12*MAX(0,($B$6+$B$10)-IF($B$1+52&gt;=$B$23,$B$22,0))*(1+$B$4)^52))*IF(BB110+IF($B$1+52&lt;=$B110,12*($B$7-$B$10),-12*MAX(0,($B$6+$B$10)-IF($B$1+52&gt;=$B$23,$B$22,0))*(1+$B$4)^52)&gt;0,1+$B$3,1))</f>
        <v/>
      </c>
      <c r="BD110">
        <f>IF($B$1+53&gt;90,BC110,(BC110+IF($B$1+53&lt;=$B110,12*($B$7-$B$10),-12*MAX(0,($B$6+$B$10)-IF($B$1+53&gt;=$B$23,$B$22,0))*(1+$B$4)^53))*IF(BC110+IF($B$1+53&lt;=$B110,12*($B$7-$B$10),-12*MAX(0,($B$6+$B$10)-IF($B$1+53&gt;=$B$23,$B$22,0))*(1+$B$4)^53)&gt;0,1+$B$3,1))</f>
        <v/>
      </c>
      <c r="BE110">
        <f>IF($B$1+54&gt;90,BD110,(BD110+IF($B$1+54&lt;=$B110,12*($B$7-$B$10),-12*MAX(0,($B$6+$B$10)-IF($B$1+54&gt;=$B$23,$B$22,0))*(1+$B$4)^54))*IF(BD110+IF($B$1+54&lt;=$B110,12*($B$7-$B$10),-12*MAX(0,($B$6+$B$10)-IF($B$1+54&gt;=$B$23,$B$22,0))*(1+$B$4)^54)&gt;0,1+$B$3,1))</f>
        <v/>
      </c>
      <c r="BF110">
        <f>IF($B$1+55&gt;90,BE110,(BE110+IF($B$1+55&lt;=$B110,12*($B$7-$B$10),-12*MAX(0,($B$6+$B$10)-IF($B$1+55&gt;=$B$23,$B$22,0))*(1+$B$4)^55))*IF(BE110+IF($B$1+55&lt;=$B110,12*($B$7-$B$10),-12*MAX(0,($B$6+$B$10)-IF($B$1+55&gt;=$B$23,$B$22,0))*(1+$B$4)^55)&gt;0,1+$B$3,1))</f>
        <v/>
      </c>
      <c r="BG110">
        <f>IF($B$1+56&gt;90,BF110,(BF110+IF($B$1+56&lt;=$B110,12*($B$7-$B$10),-12*MAX(0,($B$6+$B$10)-IF($B$1+56&gt;=$B$23,$B$22,0))*(1+$B$4)^56))*IF(BF110+IF($B$1+56&lt;=$B110,12*($B$7-$B$10),-12*MAX(0,($B$6+$B$10)-IF($B$1+56&gt;=$B$23,$B$22,0))*(1+$B$4)^56)&gt;0,1+$B$3,1))</f>
        <v/>
      </c>
      <c r="BH110">
        <f>IF($B$1+57&gt;90,BG110,(BG110+IF($B$1+57&lt;=$B110,12*($B$7-$B$10),-12*MAX(0,($B$6+$B$10)-IF($B$1+57&gt;=$B$23,$B$22,0))*(1+$B$4)^57))*IF(BG110+IF($B$1+57&lt;=$B110,12*($B$7-$B$10),-12*MAX(0,($B$6+$B$10)-IF($B$1+57&gt;=$B$23,$B$22,0))*(1+$B$4)^57)&gt;0,1+$B$3,1))</f>
        <v/>
      </c>
      <c r="BI110">
        <f>IF($B$1+58&gt;90,BH110,(BH110+IF($B$1+58&lt;=$B110,12*($B$7-$B$10),-12*MAX(0,($B$6+$B$10)-IF($B$1+58&gt;=$B$23,$B$22,0))*(1+$B$4)^58))*IF(BH110+IF($B$1+58&lt;=$B110,12*($B$7-$B$10),-12*MAX(0,($B$6+$B$10)-IF($B$1+58&gt;=$B$23,$B$22,0))*(1+$B$4)^58)&gt;0,1+$B$3,1))</f>
        <v/>
      </c>
      <c r="BJ110">
        <f>IF($B$1+59&gt;90,BI110,(BI110+IF($B$1+59&lt;=$B110,12*($B$7-$B$10),-12*MAX(0,($B$6+$B$10)-IF($B$1+59&gt;=$B$23,$B$22,0))*(1+$B$4)^59))*IF(BI110+IF($B$1+59&lt;=$B110,12*($B$7-$B$10),-12*MAX(0,($B$6+$B$10)-IF($B$1+59&gt;=$B$23,$B$22,0))*(1+$B$4)^59)&gt;0,1+$B$3,1))</f>
        <v/>
      </c>
      <c r="BK110">
        <f>IF($B$1+60&gt;90,BJ110,(BJ110+IF($B$1+60&lt;=$B110,12*($B$7-$B$10),-12*MAX(0,($B$6+$B$10)-IF($B$1+60&gt;=$B$23,$B$22,0))*(1+$B$4)^60))*IF(BJ110+IF($B$1+60&lt;=$B110,12*($B$7-$B$10),-12*MAX(0,($B$6+$B$10)-IF($B$1+60&gt;=$B$23,$B$22,0))*(1+$B$4)^60)&gt;0,1+$B$3,1))</f>
        <v/>
      </c>
      <c r="BL110">
        <f>IF($B$1+61&gt;90,BK110,(BK110+IF($B$1+61&lt;=$B110,12*($B$7-$B$10),-12*MAX(0,($B$6+$B$10)-IF($B$1+61&gt;=$B$23,$B$22,0))*(1+$B$4)^61))*IF(BK110+IF($B$1+61&lt;=$B110,12*($B$7-$B$10),-12*MAX(0,($B$6+$B$10)-IF($B$1+61&gt;=$B$23,$B$22,0))*(1+$B$4)^61)&gt;0,1+$B$3,1))</f>
        <v/>
      </c>
      <c r="BM110">
        <f>IF($B$1+62&gt;90,BL110,(BL110+IF($B$1+62&lt;=$B110,12*($B$7-$B$10),-12*MAX(0,($B$6+$B$10)-IF($B$1+62&gt;=$B$23,$B$22,0))*(1+$B$4)^62))*IF(BL110+IF($B$1+62&lt;=$B110,12*($B$7-$B$10),-12*MAX(0,($B$6+$B$10)-IF($B$1+62&gt;=$B$23,$B$22,0))*(1+$B$4)^62)&gt;0,1+$B$3,1))</f>
        <v/>
      </c>
      <c r="BN110">
        <f>IF($B$1+63&gt;90,BM110,(BM110+IF($B$1+63&lt;=$B110,12*($B$7-$B$10),-12*MAX(0,($B$6+$B$10)-IF($B$1+63&gt;=$B$23,$B$22,0))*(1+$B$4)^63))*IF(BM110+IF($B$1+63&lt;=$B110,12*($B$7-$B$10),-12*MAX(0,($B$6+$B$10)-IF($B$1+63&gt;=$B$23,$B$22,0))*(1+$B$4)^63)&gt;0,1+$B$3,1))</f>
        <v/>
      </c>
      <c r="BO110">
        <f>IF($B$1+64&gt;90,BN110,(BN110+IF($B$1+64&lt;=$B110,12*($B$7-$B$10),-12*MAX(0,($B$6+$B$10)-IF($B$1+64&gt;=$B$23,$B$22,0))*(1+$B$4)^64))*IF(BN110+IF($B$1+64&lt;=$B110,12*($B$7-$B$10),-12*MAX(0,($B$6+$B$10)-IF($B$1+64&gt;=$B$23,$B$22,0))*(1+$B$4)^64)&gt;0,1+$B$3,1))</f>
        <v/>
      </c>
      <c r="BP110">
        <f>IF($B$1+65&gt;90,BO110,(BO110+IF($B$1+65&lt;=$B110,12*($B$7-$B$10),-12*MAX(0,($B$6+$B$10)-IF($B$1+65&gt;=$B$23,$B$22,0))*(1+$B$4)^65))*IF(BO110+IF($B$1+65&lt;=$B110,12*($B$7-$B$10),-12*MAX(0,($B$6+$B$10)-IF($B$1+65&gt;=$B$23,$B$22,0))*(1+$B$4)^65)&gt;0,1+$B$3,1))</f>
        <v/>
      </c>
      <c r="BQ110">
        <f>IF($B$1+66&gt;90,BP110,(BP110+IF($B$1+66&lt;=$B110,12*($B$7-$B$10),-12*MAX(0,($B$6+$B$10)-IF($B$1+66&gt;=$B$23,$B$22,0))*(1+$B$4)^66))*IF(BP110+IF($B$1+66&lt;=$B110,12*($B$7-$B$10),-12*MAX(0,($B$6+$B$10)-IF($B$1+66&gt;=$B$23,$B$22,0))*(1+$B$4)^66)&gt;0,1+$B$3,1))</f>
        <v/>
      </c>
      <c r="BR110">
        <f>IF($B$1+67&gt;90,BQ110,(BQ110+IF($B$1+67&lt;=$B110,12*($B$7-$B$10),-12*MAX(0,($B$6+$B$10)-IF($B$1+67&gt;=$B$23,$B$22,0))*(1+$B$4)^67))*IF(BQ110+IF($B$1+67&lt;=$B110,12*($B$7-$B$10),-12*MAX(0,($B$6+$B$10)-IF($B$1+67&gt;=$B$23,$B$22,0))*(1+$B$4)^67)&gt;0,1+$B$3,1))</f>
        <v/>
      </c>
      <c r="BS110">
        <f>IF($B$1+68&gt;90,BR110,(BR110+IF($B$1+68&lt;=$B110,12*($B$7-$B$10),-12*MAX(0,($B$6+$B$10)-IF($B$1+68&gt;=$B$23,$B$22,0))*(1+$B$4)^68))*IF(BR110+IF($B$1+68&lt;=$B110,12*($B$7-$B$10),-12*MAX(0,($B$6+$B$10)-IF($B$1+68&gt;=$B$23,$B$22,0))*(1+$B$4)^68)&gt;0,1+$B$3,1))</f>
        <v/>
      </c>
      <c r="BT110">
        <f>IF($B$1+69&gt;90,BS110,(BS110+IF($B$1+69&lt;=$B110,12*($B$7-$B$10),-12*MAX(0,($B$6+$B$10)-IF($B$1+69&gt;=$B$23,$B$22,0))*(1+$B$4)^69))*IF(BS110+IF($B$1+69&lt;=$B110,12*($B$7-$B$10),-12*MAX(0,($B$6+$B$10)-IF($B$1+69&gt;=$B$23,$B$22,0))*(1+$B$4)^69)&gt;0,1+$B$3,1))</f>
        <v/>
      </c>
      <c r="BU110">
        <f>IF($B$1+70&gt;90,BT110,(BT110+IF($B$1+70&lt;=$B110,12*($B$7-$B$10),-12*MAX(0,($B$6+$B$10)-IF($B$1+70&gt;=$B$23,$B$22,0))*(1+$B$4)^70))*IF(BT110+IF($B$1+70&lt;=$B110,12*($B$7-$B$10),-12*MAX(0,($B$6+$B$10)-IF($B$1+70&gt;=$B$23,$B$22,0))*(1+$B$4)^70)&gt;0,1+$B$3,1))</f>
        <v/>
      </c>
      <c r="BV110">
        <f>BU110</f>
        <v/>
      </c>
      <c r="BW110">
        <f>IF(AND($B110&lt;=70,BV110&gt;0),$B110,999)</f>
        <v/>
      </c>
      <c r="CH110">
        <f>IF(ISTEXT('월 가계부'!A110),SUBSTITUTE(SUBSTITUTE(SUBSTITUTE(SUBSTITUTE(SUBSTITUTE(SUBSTITUTE(SUBSTITUTE(SUBSTITUTE(SUBSTITUTE(TRIM('월 가계부'!A110),"년","-"),"월","-"),"일",""),".","-"),"/","-")," ","-"),"--","-"),"--","-"),"--","-")&amp;"-","")</f>
        <v/>
      </c>
      <c r="CI110">
        <f>IFERROR(IF('월 가계부'!A110="","",IF(ISNUMBER('월 가계부'!A110),IF(AND('월 가계부'!A110&gt;=19000101,'월 가계부'!A110&lt;=21001231),IF(AND(MOD(INT('월 가계부'!A110/100),100)&gt;=1,MOD(INT('월 가계부'!A110/100),100)&lt;=12,MOD(INT('월 가계부'!A110),100)&gt;=1,MOD(INT('월 가계부'!A110),100)&lt;=31),IF(MONTH(DATE(INT('월 가계부'!A110/10000),MOD(INT('월 가계부'!A110/100),100),MOD(INT('월 가계부'!A110),100)))=MOD(INT('월 가계부'!A110/100),100),DATE(INT('월 가계부'!A110/10000),MOD(INT('월 가계부'!A110/100),100),MOD(INT('월 가계부'!A110),100)),""),""),IF(AND('월 가계부'!A110&gt;=36526,'월 가계부'!A110&lt;73051),INT('월 가계부'!A110),"")),IF(OR(CM110="",CN110="",CO110=""),"",IF(AND(CM110&gt;=2000,CM110&lt;=2099,CN110&gt;=1,CN110&lt;=12,CO110&gt;=1,CO110&lt;=31),IF(MONTH(DATE(CM110,CN110,CO110))=CN110,DATE(CM110,CN110,CO110),""),"")))),"")</f>
        <v/>
      </c>
      <c r="CJ110">
        <f>IFERROR(IF('월 가계부'!C110="","",IF(ISNUMBER('월 가계부'!C110),'월 가계부'!C110,VALUE(SUBSTITUTE(SUBSTITUTE(SUBSTITUTE(SUBSTITUTE(TRIM('월 가계부'!C110),",",""),"원","")," ",""),"−","-")))),"")</f>
        <v/>
      </c>
      <c r="CK110">
        <f>IF(ISNUMBER(CI110),IF(CI110&lt;$B$13,CI110,""),"")</f>
        <v/>
      </c>
      <c r="CM110">
        <f>IF(CH110="","",IFERROR(IF(IF(AND(LEN(CH110)=9,ISERROR(FIND("-",LEFT(CH110,8))),ISNUMBER(-LEFT(CH110,8))),VALUE(LEFT(CH110,4)),VALUE(LEFT(CH110,FIND("-",CH110)-1)))&lt;100,IF(AND(LEN(CH110)=9,ISERROR(FIND("-",LEFT(CH110,8))),ISNUMBER(-LEFT(CH110,8))),VALUE(LEFT(CH110,4)),VALUE(LEFT(CH110,FIND("-",CH110)-1)))+2000,IF(AND(LEN(CH110)=9,ISERROR(FIND("-",LEFT(CH110,8))),ISNUMBER(-LEFT(CH110,8))),VALUE(LEFT(CH110,4)),VALUE(LEFT(CH110,FIND("-",CH110)-1)))),""))</f>
        <v/>
      </c>
      <c r="CN110">
        <f>IF(CH110="","",IFERROR(IF(AND(LEN(CH110)=9,ISERROR(FIND("-",LEFT(CH110,8))),ISNUMBER(-LEFT(CH110,8))),VALUE(MID(CH110,5,2)),VALUE(MID(CH110,FIND("-",CH110)+1,FIND("-",CH110,FIND("-",CH110)+1)-FIND("-",CH110)-1))),""))</f>
        <v/>
      </c>
      <c r="CO110">
        <f>IF(CH110="","",IFERROR(IF(AND(LEN(CH110)=9,ISERROR(FIND("-",LEFT(CH110,8))),ISNUMBER(-LEFT(CH110,8))),VALUE(MID(CH110,7,2)),VALUE(MID(CH110,FIND("-",CH110,FIND("-",CH110)+1)+1,FIND("-",CH110,FIND("-",CH110,FIND("-",CH110)+1)+1)-FIND("-",CH110,FIND("-",CH110)+1)-1))),""))</f>
        <v/>
      </c>
    </row>
    <row r="111">
      <c r="A111" t="n">
        <v>15</v>
      </c>
      <c r="B111">
        <f>$B$1+15</f>
        <v/>
      </c>
      <c r="C111">
        <f>$B$2</f>
        <v/>
      </c>
      <c r="D111">
        <f>IF($B$1+1&gt;90,C111,(C111+IF($B$1+1&lt;=$B111,12*($B$7-$B$10),-12*MAX(0,($B$6+$B$10)-IF($B$1+1&gt;=$B$23,$B$22,0))*(1+$B$4)^1))*IF(C111+IF($B$1+1&lt;=$B111,12*($B$7-$B$10),-12*MAX(0,($B$6+$B$10)-IF($B$1+1&gt;=$B$23,$B$22,0))*(1+$B$4)^1)&gt;0,1+$B$3,1))</f>
        <v/>
      </c>
      <c r="E111">
        <f>IF($B$1+2&gt;90,D111,(D111+IF($B$1+2&lt;=$B111,12*($B$7-$B$10),-12*MAX(0,($B$6+$B$10)-IF($B$1+2&gt;=$B$23,$B$22,0))*(1+$B$4)^2))*IF(D111+IF($B$1+2&lt;=$B111,12*($B$7-$B$10),-12*MAX(0,($B$6+$B$10)-IF($B$1+2&gt;=$B$23,$B$22,0))*(1+$B$4)^2)&gt;0,1+$B$3,1))</f>
        <v/>
      </c>
      <c r="F111">
        <f>IF($B$1+3&gt;90,E111,(E111+IF($B$1+3&lt;=$B111,12*($B$7-$B$10),-12*MAX(0,($B$6+$B$10)-IF($B$1+3&gt;=$B$23,$B$22,0))*(1+$B$4)^3))*IF(E111+IF($B$1+3&lt;=$B111,12*($B$7-$B$10),-12*MAX(0,($B$6+$B$10)-IF($B$1+3&gt;=$B$23,$B$22,0))*(1+$B$4)^3)&gt;0,1+$B$3,1))</f>
        <v/>
      </c>
      <c r="G111">
        <f>IF($B$1+4&gt;90,F111,(F111+IF($B$1+4&lt;=$B111,12*($B$7-$B$10),-12*MAX(0,($B$6+$B$10)-IF($B$1+4&gt;=$B$23,$B$22,0))*(1+$B$4)^4))*IF(F111+IF($B$1+4&lt;=$B111,12*($B$7-$B$10),-12*MAX(0,($B$6+$B$10)-IF($B$1+4&gt;=$B$23,$B$22,0))*(1+$B$4)^4)&gt;0,1+$B$3,1))</f>
        <v/>
      </c>
      <c r="H111">
        <f>IF($B$1+5&gt;90,G111,(G111+IF($B$1+5&lt;=$B111,12*($B$7-$B$10),-12*MAX(0,($B$6+$B$10)-IF($B$1+5&gt;=$B$23,$B$22,0))*(1+$B$4)^5))*IF(G111+IF($B$1+5&lt;=$B111,12*($B$7-$B$10),-12*MAX(0,($B$6+$B$10)-IF($B$1+5&gt;=$B$23,$B$22,0))*(1+$B$4)^5)&gt;0,1+$B$3,1))</f>
        <v/>
      </c>
      <c r="I111">
        <f>IF($B$1+6&gt;90,H111,(H111+IF($B$1+6&lt;=$B111,12*($B$7-$B$10),-12*MAX(0,($B$6+$B$10)-IF($B$1+6&gt;=$B$23,$B$22,0))*(1+$B$4)^6))*IF(H111+IF($B$1+6&lt;=$B111,12*($B$7-$B$10),-12*MAX(0,($B$6+$B$10)-IF($B$1+6&gt;=$B$23,$B$22,0))*(1+$B$4)^6)&gt;0,1+$B$3,1))</f>
        <v/>
      </c>
      <c r="J111">
        <f>IF($B$1+7&gt;90,I111,(I111+IF($B$1+7&lt;=$B111,12*($B$7-$B$10),-12*MAX(0,($B$6+$B$10)-IF($B$1+7&gt;=$B$23,$B$22,0))*(1+$B$4)^7))*IF(I111+IF($B$1+7&lt;=$B111,12*($B$7-$B$10),-12*MAX(0,($B$6+$B$10)-IF($B$1+7&gt;=$B$23,$B$22,0))*(1+$B$4)^7)&gt;0,1+$B$3,1))</f>
        <v/>
      </c>
      <c r="K111">
        <f>IF($B$1+8&gt;90,J111,(J111+IF($B$1+8&lt;=$B111,12*($B$7-$B$10),-12*MAX(0,($B$6+$B$10)-IF($B$1+8&gt;=$B$23,$B$22,0))*(1+$B$4)^8))*IF(J111+IF($B$1+8&lt;=$B111,12*($B$7-$B$10),-12*MAX(0,($B$6+$B$10)-IF($B$1+8&gt;=$B$23,$B$22,0))*(1+$B$4)^8)&gt;0,1+$B$3,1))</f>
        <v/>
      </c>
      <c r="L111">
        <f>IF($B$1+9&gt;90,K111,(K111+IF($B$1+9&lt;=$B111,12*($B$7-$B$10),-12*MAX(0,($B$6+$B$10)-IF($B$1+9&gt;=$B$23,$B$22,0))*(1+$B$4)^9))*IF(K111+IF($B$1+9&lt;=$B111,12*($B$7-$B$10),-12*MAX(0,($B$6+$B$10)-IF($B$1+9&gt;=$B$23,$B$22,0))*(1+$B$4)^9)&gt;0,1+$B$3,1))</f>
        <v/>
      </c>
      <c r="M111">
        <f>IF($B$1+10&gt;90,L111,(L111+IF($B$1+10&lt;=$B111,12*($B$7-$B$10),-12*MAX(0,($B$6+$B$10)-IF($B$1+10&gt;=$B$23,$B$22,0))*(1+$B$4)^10))*IF(L111+IF($B$1+10&lt;=$B111,12*($B$7-$B$10),-12*MAX(0,($B$6+$B$10)-IF($B$1+10&gt;=$B$23,$B$22,0))*(1+$B$4)^10)&gt;0,1+$B$3,1))</f>
        <v/>
      </c>
      <c r="N111">
        <f>IF($B$1+11&gt;90,M111,(M111+IF($B$1+11&lt;=$B111,12*($B$7-$B$10),-12*MAX(0,($B$6+$B$10)-IF($B$1+11&gt;=$B$23,$B$22,0))*(1+$B$4)^11))*IF(M111+IF($B$1+11&lt;=$B111,12*($B$7-$B$10),-12*MAX(0,($B$6+$B$10)-IF($B$1+11&gt;=$B$23,$B$22,0))*(1+$B$4)^11)&gt;0,1+$B$3,1))</f>
        <v/>
      </c>
      <c r="O111">
        <f>IF($B$1+12&gt;90,N111,(N111+IF($B$1+12&lt;=$B111,12*($B$7-$B$10),-12*MAX(0,($B$6+$B$10)-IF($B$1+12&gt;=$B$23,$B$22,0))*(1+$B$4)^12))*IF(N111+IF($B$1+12&lt;=$B111,12*($B$7-$B$10),-12*MAX(0,($B$6+$B$10)-IF($B$1+12&gt;=$B$23,$B$22,0))*(1+$B$4)^12)&gt;0,1+$B$3,1))</f>
        <v/>
      </c>
      <c r="P111">
        <f>IF($B$1+13&gt;90,O111,(O111+IF($B$1+13&lt;=$B111,12*($B$7-$B$10),-12*MAX(0,($B$6+$B$10)-IF($B$1+13&gt;=$B$23,$B$22,0))*(1+$B$4)^13))*IF(O111+IF($B$1+13&lt;=$B111,12*($B$7-$B$10),-12*MAX(0,($B$6+$B$10)-IF($B$1+13&gt;=$B$23,$B$22,0))*(1+$B$4)^13)&gt;0,1+$B$3,1))</f>
        <v/>
      </c>
      <c r="Q111">
        <f>IF($B$1+14&gt;90,P111,(P111+IF($B$1+14&lt;=$B111,12*($B$7-$B$10),-12*MAX(0,($B$6+$B$10)-IF($B$1+14&gt;=$B$23,$B$22,0))*(1+$B$4)^14))*IF(P111+IF($B$1+14&lt;=$B111,12*($B$7-$B$10),-12*MAX(0,($B$6+$B$10)-IF($B$1+14&gt;=$B$23,$B$22,0))*(1+$B$4)^14)&gt;0,1+$B$3,1))</f>
        <v/>
      </c>
      <c r="R111">
        <f>IF($B$1+15&gt;90,Q111,(Q111+IF($B$1+15&lt;=$B111,12*($B$7-$B$10),-12*MAX(0,($B$6+$B$10)-IF($B$1+15&gt;=$B$23,$B$22,0))*(1+$B$4)^15))*IF(Q111+IF($B$1+15&lt;=$B111,12*($B$7-$B$10),-12*MAX(0,($B$6+$B$10)-IF($B$1+15&gt;=$B$23,$B$22,0))*(1+$B$4)^15)&gt;0,1+$B$3,1))</f>
        <v/>
      </c>
      <c r="S111">
        <f>IF($B$1+16&gt;90,R111,(R111+IF($B$1+16&lt;=$B111,12*($B$7-$B$10),-12*MAX(0,($B$6+$B$10)-IF($B$1+16&gt;=$B$23,$B$22,0))*(1+$B$4)^16))*IF(R111+IF($B$1+16&lt;=$B111,12*($B$7-$B$10),-12*MAX(0,($B$6+$B$10)-IF($B$1+16&gt;=$B$23,$B$22,0))*(1+$B$4)^16)&gt;0,1+$B$3,1))</f>
        <v/>
      </c>
      <c r="T111">
        <f>IF($B$1+17&gt;90,S111,(S111+IF($B$1+17&lt;=$B111,12*($B$7-$B$10),-12*MAX(0,($B$6+$B$10)-IF($B$1+17&gt;=$B$23,$B$22,0))*(1+$B$4)^17))*IF(S111+IF($B$1+17&lt;=$B111,12*($B$7-$B$10),-12*MAX(0,($B$6+$B$10)-IF($B$1+17&gt;=$B$23,$B$22,0))*(1+$B$4)^17)&gt;0,1+$B$3,1))</f>
        <v/>
      </c>
      <c r="U111">
        <f>IF($B$1+18&gt;90,T111,(T111+IF($B$1+18&lt;=$B111,12*($B$7-$B$10),-12*MAX(0,($B$6+$B$10)-IF($B$1+18&gt;=$B$23,$B$22,0))*(1+$B$4)^18))*IF(T111+IF($B$1+18&lt;=$B111,12*($B$7-$B$10),-12*MAX(0,($B$6+$B$10)-IF($B$1+18&gt;=$B$23,$B$22,0))*(1+$B$4)^18)&gt;0,1+$B$3,1))</f>
        <v/>
      </c>
      <c r="V111">
        <f>IF($B$1+19&gt;90,U111,(U111+IF($B$1+19&lt;=$B111,12*($B$7-$B$10),-12*MAX(0,($B$6+$B$10)-IF($B$1+19&gt;=$B$23,$B$22,0))*(1+$B$4)^19))*IF(U111+IF($B$1+19&lt;=$B111,12*($B$7-$B$10),-12*MAX(0,($B$6+$B$10)-IF($B$1+19&gt;=$B$23,$B$22,0))*(1+$B$4)^19)&gt;0,1+$B$3,1))</f>
        <v/>
      </c>
      <c r="W111">
        <f>IF($B$1+20&gt;90,V111,(V111+IF($B$1+20&lt;=$B111,12*($B$7-$B$10),-12*MAX(0,($B$6+$B$10)-IF($B$1+20&gt;=$B$23,$B$22,0))*(1+$B$4)^20))*IF(V111+IF($B$1+20&lt;=$B111,12*($B$7-$B$10),-12*MAX(0,($B$6+$B$10)-IF($B$1+20&gt;=$B$23,$B$22,0))*(1+$B$4)^20)&gt;0,1+$B$3,1))</f>
        <v/>
      </c>
      <c r="X111">
        <f>IF($B$1+21&gt;90,W111,(W111+IF($B$1+21&lt;=$B111,12*($B$7-$B$10),-12*MAX(0,($B$6+$B$10)-IF($B$1+21&gt;=$B$23,$B$22,0))*(1+$B$4)^21))*IF(W111+IF($B$1+21&lt;=$B111,12*($B$7-$B$10),-12*MAX(0,($B$6+$B$10)-IF($B$1+21&gt;=$B$23,$B$22,0))*(1+$B$4)^21)&gt;0,1+$B$3,1))</f>
        <v/>
      </c>
      <c r="Y111">
        <f>IF($B$1+22&gt;90,X111,(X111+IF($B$1+22&lt;=$B111,12*($B$7-$B$10),-12*MAX(0,($B$6+$B$10)-IF($B$1+22&gt;=$B$23,$B$22,0))*(1+$B$4)^22))*IF(X111+IF($B$1+22&lt;=$B111,12*($B$7-$B$10),-12*MAX(0,($B$6+$B$10)-IF($B$1+22&gt;=$B$23,$B$22,0))*(1+$B$4)^22)&gt;0,1+$B$3,1))</f>
        <v/>
      </c>
      <c r="Z111">
        <f>IF($B$1+23&gt;90,Y111,(Y111+IF($B$1+23&lt;=$B111,12*($B$7-$B$10),-12*MAX(0,($B$6+$B$10)-IF($B$1+23&gt;=$B$23,$B$22,0))*(1+$B$4)^23))*IF(Y111+IF($B$1+23&lt;=$B111,12*($B$7-$B$10),-12*MAX(0,($B$6+$B$10)-IF($B$1+23&gt;=$B$23,$B$22,0))*(1+$B$4)^23)&gt;0,1+$B$3,1))</f>
        <v/>
      </c>
      <c r="AA111">
        <f>IF($B$1+24&gt;90,Z111,(Z111+IF($B$1+24&lt;=$B111,12*($B$7-$B$10),-12*MAX(0,($B$6+$B$10)-IF($B$1+24&gt;=$B$23,$B$22,0))*(1+$B$4)^24))*IF(Z111+IF($B$1+24&lt;=$B111,12*($B$7-$B$10),-12*MAX(0,($B$6+$B$10)-IF($B$1+24&gt;=$B$23,$B$22,0))*(1+$B$4)^24)&gt;0,1+$B$3,1))</f>
        <v/>
      </c>
      <c r="AB111">
        <f>IF($B$1+25&gt;90,AA111,(AA111+IF($B$1+25&lt;=$B111,12*($B$7-$B$10),-12*MAX(0,($B$6+$B$10)-IF($B$1+25&gt;=$B$23,$B$22,0))*(1+$B$4)^25))*IF(AA111+IF($B$1+25&lt;=$B111,12*($B$7-$B$10),-12*MAX(0,($B$6+$B$10)-IF($B$1+25&gt;=$B$23,$B$22,0))*(1+$B$4)^25)&gt;0,1+$B$3,1))</f>
        <v/>
      </c>
      <c r="AC111">
        <f>IF($B$1+26&gt;90,AB111,(AB111+IF($B$1+26&lt;=$B111,12*($B$7-$B$10),-12*MAX(0,($B$6+$B$10)-IF($B$1+26&gt;=$B$23,$B$22,0))*(1+$B$4)^26))*IF(AB111+IF($B$1+26&lt;=$B111,12*($B$7-$B$10),-12*MAX(0,($B$6+$B$10)-IF($B$1+26&gt;=$B$23,$B$22,0))*(1+$B$4)^26)&gt;0,1+$B$3,1))</f>
        <v/>
      </c>
      <c r="AD111">
        <f>IF($B$1+27&gt;90,AC111,(AC111+IF($B$1+27&lt;=$B111,12*($B$7-$B$10),-12*MAX(0,($B$6+$B$10)-IF($B$1+27&gt;=$B$23,$B$22,0))*(1+$B$4)^27))*IF(AC111+IF($B$1+27&lt;=$B111,12*($B$7-$B$10),-12*MAX(0,($B$6+$B$10)-IF($B$1+27&gt;=$B$23,$B$22,0))*(1+$B$4)^27)&gt;0,1+$B$3,1))</f>
        <v/>
      </c>
      <c r="AE111">
        <f>IF($B$1+28&gt;90,AD111,(AD111+IF($B$1+28&lt;=$B111,12*($B$7-$B$10),-12*MAX(0,($B$6+$B$10)-IF($B$1+28&gt;=$B$23,$B$22,0))*(1+$B$4)^28))*IF(AD111+IF($B$1+28&lt;=$B111,12*($B$7-$B$10),-12*MAX(0,($B$6+$B$10)-IF($B$1+28&gt;=$B$23,$B$22,0))*(1+$B$4)^28)&gt;0,1+$B$3,1))</f>
        <v/>
      </c>
      <c r="AF111">
        <f>IF($B$1+29&gt;90,AE111,(AE111+IF($B$1+29&lt;=$B111,12*($B$7-$B$10),-12*MAX(0,($B$6+$B$10)-IF($B$1+29&gt;=$B$23,$B$22,0))*(1+$B$4)^29))*IF(AE111+IF($B$1+29&lt;=$B111,12*($B$7-$B$10),-12*MAX(0,($B$6+$B$10)-IF($B$1+29&gt;=$B$23,$B$22,0))*(1+$B$4)^29)&gt;0,1+$B$3,1))</f>
        <v/>
      </c>
      <c r="AG111">
        <f>IF($B$1+30&gt;90,AF111,(AF111+IF($B$1+30&lt;=$B111,12*($B$7-$B$10),-12*MAX(0,($B$6+$B$10)-IF($B$1+30&gt;=$B$23,$B$22,0))*(1+$B$4)^30))*IF(AF111+IF($B$1+30&lt;=$B111,12*($B$7-$B$10),-12*MAX(0,($B$6+$B$10)-IF($B$1+30&gt;=$B$23,$B$22,0))*(1+$B$4)^30)&gt;0,1+$B$3,1))</f>
        <v/>
      </c>
      <c r="AH111">
        <f>IF($B$1+31&gt;90,AG111,(AG111+IF($B$1+31&lt;=$B111,12*($B$7-$B$10),-12*MAX(0,($B$6+$B$10)-IF($B$1+31&gt;=$B$23,$B$22,0))*(1+$B$4)^31))*IF(AG111+IF($B$1+31&lt;=$B111,12*($B$7-$B$10),-12*MAX(0,($B$6+$B$10)-IF($B$1+31&gt;=$B$23,$B$22,0))*(1+$B$4)^31)&gt;0,1+$B$3,1))</f>
        <v/>
      </c>
      <c r="AI111">
        <f>IF($B$1+32&gt;90,AH111,(AH111+IF($B$1+32&lt;=$B111,12*($B$7-$B$10),-12*MAX(0,($B$6+$B$10)-IF($B$1+32&gt;=$B$23,$B$22,0))*(1+$B$4)^32))*IF(AH111+IF($B$1+32&lt;=$B111,12*($B$7-$B$10),-12*MAX(0,($B$6+$B$10)-IF($B$1+32&gt;=$B$23,$B$22,0))*(1+$B$4)^32)&gt;0,1+$B$3,1))</f>
        <v/>
      </c>
      <c r="AJ111">
        <f>IF($B$1+33&gt;90,AI111,(AI111+IF($B$1+33&lt;=$B111,12*($B$7-$B$10),-12*MAX(0,($B$6+$B$10)-IF($B$1+33&gt;=$B$23,$B$22,0))*(1+$B$4)^33))*IF(AI111+IF($B$1+33&lt;=$B111,12*($B$7-$B$10),-12*MAX(0,($B$6+$B$10)-IF($B$1+33&gt;=$B$23,$B$22,0))*(1+$B$4)^33)&gt;0,1+$B$3,1))</f>
        <v/>
      </c>
      <c r="AK111">
        <f>IF($B$1+34&gt;90,AJ111,(AJ111+IF($B$1+34&lt;=$B111,12*($B$7-$B$10),-12*MAX(0,($B$6+$B$10)-IF($B$1+34&gt;=$B$23,$B$22,0))*(1+$B$4)^34))*IF(AJ111+IF($B$1+34&lt;=$B111,12*($B$7-$B$10),-12*MAX(0,($B$6+$B$10)-IF($B$1+34&gt;=$B$23,$B$22,0))*(1+$B$4)^34)&gt;0,1+$B$3,1))</f>
        <v/>
      </c>
      <c r="AL111">
        <f>IF($B$1+35&gt;90,AK111,(AK111+IF($B$1+35&lt;=$B111,12*($B$7-$B$10),-12*MAX(0,($B$6+$B$10)-IF($B$1+35&gt;=$B$23,$B$22,0))*(1+$B$4)^35))*IF(AK111+IF($B$1+35&lt;=$B111,12*($B$7-$B$10),-12*MAX(0,($B$6+$B$10)-IF($B$1+35&gt;=$B$23,$B$22,0))*(1+$B$4)^35)&gt;0,1+$B$3,1))</f>
        <v/>
      </c>
      <c r="AM111">
        <f>IF($B$1+36&gt;90,AL111,(AL111+IF($B$1+36&lt;=$B111,12*($B$7-$B$10),-12*MAX(0,($B$6+$B$10)-IF($B$1+36&gt;=$B$23,$B$22,0))*(1+$B$4)^36))*IF(AL111+IF($B$1+36&lt;=$B111,12*($B$7-$B$10),-12*MAX(0,($B$6+$B$10)-IF($B$1+36&gt;=$B$23,$B$22,0))*(1+$B$4)^36)&gt;0,1+$B$3,1))</f>
        <v/>
      </c>
      <c r="AN111">
        <f>IF($B$1+37&gt;90,AM111,(AM111+IF($B$1+37&lt;=$B111,12*($B$7-$B$10),-12*MAX(0,($B$6+$B$10)-IF($B$1+37&gt;=$B$23,$B$22,0))*(1+$B$4)^37))*IF(AM111+IF($B$1+37&lt;=$B111,12*($B$7-$B$10),-12*MAX(0,($B$6+$B$10)-IF($B$1+37&gt;=$B$23,$B$22,0))*(1+$B$4)^37)&gt;0,1+$B$3,1))</f>
        <v/>
      </c>
      <c r="AO111">
        <f>IF($B$1+38&gt;90,AN111,(AN111+IF($B$1+38&lt;=$B111,12*($B$7-$B$10),-12*MAX(0,($B$6+$B$10)-IF($B$1+38&gt;=$B$23,$B$22,0))*(1+$B$4)^38))*IF(AN111+IF($B$1+38&lt;=$B111,12*($B$7-$B$10),-12*MAX(0,($B$6+$B$10)-IF($B$1+38&gt;=$B$23,$B$22,0))*(1+$B$4)^38)&gt;0,1+$B$3,1))</f>
        <v/>
      </c>
      <c r="AP111">
        <f>IF($B$1+39&gt;90,AO111,(AO111+IF($B$1+39&lt;=$B111,12*($B$7-$B$10),-12*MAX(0,($B$6+$B$10)-IF($B$1+39&gt;=$B$23,$B$22,0))*(1+$B$4)^39))*IF(AO111+IF($B$1+39&lt;=$B111,12*($B$7-$B$10),-12*MAX(0,($B$6+$B$10)-IF($B$1+39&gt;=$B$23,$B$22,0))*(1+$B$4)^39)&gt;0,1+$B$3,1))</f>
        <v/>
      </c>
      <c r="AQ111">
        <f>IF($B$1+40&gt;90,AP111,(AP111+IF($B$1+40&lt;=$B111,12*($B$7-$B$10),-12*MAX(0,($B$6+$B$10)-IF($B$1+40&gt;=$B$23,$B$22,0))*(1+$B$4)^40))*IF(AP111+IF($B$1+40&lt;=$B111,12*($B$7-$B$10),-12*MAX(0,($B$6+$B$10)-IF($B$1+40&gt;=$B$23,$B$22,0))*(1+$B$4)^40)&gt;0,1+$B$3,1))</f>
        <v/>
      </c>
      <c r="AR111">
        <f>IF($B$1+41&gt;90,AQ111,(AQ111+IF($B$1+41&lt;=$B111,12*($B$7-$B$10),-12*MAX(0,($B$6+$B$10)-IF($B$1+41&gt;=$B$23,$B$22,0))*(1+$B$4)^41))*IF(AQ111+IF($B$1+41&lt;=$B111,12*($B$7-$B$10),-12*MAX(0,($B$6+$B$10)-IF($B$1+41&gt;=$B$23,$B$22,0))*(1+$B$4)^41)&gt;0,1+$B$3,1))</f>
        <v/>
      </c>
      <c r="AS111">
        <f>IF($B$1+42&gt;90,AR111,(AR111+IF($B$1+42&lt;=$B111,12*($B$7-$B$10),-12*MAX(0,($B$6+$B$10)-IF($B$1+42&gt;=$B$23,$B$22,0))*(1+$B$4)^42))*IF(AR111+IF($B$1+42&lt;=$B111,12*($B$7-$B$10),-12*MAX(0,($B$6+$B$10)-IF($B$1+42&gt;=$B$23,$B$22,0))*(1+$B$4)^42)&gt;0,1+$B$3,1))</f>
        <v/>
      </c>
      <c r="AT111">
        <f>IF($B$1+43&gt;90,AS111,(AS111+IF($B$1+43&lt;=$B111,12*($B$7-$B$10),-12*MAX(0,($B$6+$B$10)-IF($B$1+43&gt;=$B$23,$B$22,0))*(1+$B$4)^43))*IF(AS111+IF($B$1+43&lt;=$B111,12*($B$7-$B$10),-12*MAX(0,($B$6+$B$10)-IF($B$1+43&gt;=$B$23,$B$22,0))*(1+$B$4)^43)&gt;0,1+$B$3,1))</f>
        <v/>
      </c>
      <c r="AU111">
        <f>IF($B$1+44&gt;90,AT111,(AT111+IF($B$1+44&lt;=$B111,12*($B$7-$B$10),-12*MAX(0,($B$6+$B$10)-IF($B$1+44&gt;=$B$23,$B$22,0))*(1+$B$4)^44))*IF(AT111+IF($B$1+44&lt;=$B111,12*($B$7-$B$10),-12*MAX(0,($B$6+$B$10)-IF($B$1+44&gt;=$B$23,$B$22,0))*(1+$B$4)^44)&gt;0,1+$B$3,1))</f>
        <v/>
      </c>
      <c r="AV111">
        <f>IF($B$1+45&gt;90,AU111,(AU111+IF($B$1+45&lt;=$B111,12*($B$7-$B$10),-12*MAX(0,($B$6+$B$10)-IF($B$1+45&gt;=$B$23,$B$22,0))*(1+$B$4)^45))*IF(AU111+IF($B$1+45&lt;=$B111,12*($B$7-$B$10),-12*MAX(0,($B$6+$B$10)-IF($B$1+45&gt;=$B$23,$B$22,0))*(1+$B$4)^45)&gt;0,1+$B$3,1))</f>
        <v/>
      </c>
      <c r="AW111">
        <f>IF($B$1+46&gt;90,AV111,(AV111+IF($B$1+46&lt;=$B111,12*($B$7-$B$10),-12*MAX(0,($B$6+$B$10)-IF($B$1+46&gt;=$B$23,$B$22,0))*(1+$B$4)^46))*IF(AV111+IF($B$1+46&lt;=$B111,12*($B$7-$B$10),-12*MAX(0,($B$6+$B$10)-IF($B$1+46&gt;=$B$23,$B$22,0))*(1+$B$4)^46)&gt;0,1+$B$3,1))</f>
        <v/>
      </c>
      <c r="AX111">
        <f>IF($B$1+47&gt;90,AW111,(AW111+IF($B$1+47&lt;=$B111,12*($B$7-$B$10),-12*MAX(0,($B$6+$B$10)-IF($B$1+47&gt;=$B$23,$B$22,0))*(1+$B$4)^47))*IF(AW111+IF($B$1+47&lt;=$B111,12*($B$7-$B$10),-12*MAX(0,($B$6+$B$10)-IF($B$1+47&gt;=$B$23,$B$22,0))*(1+$B$4)^47)&gt;0,1+$B$3,1))</f>
        <v/>
      </c>
      <c r="AY111">
        <f>IF($B$1+48&gt;90,AX111,(AX111+IF($B$1+48&lt;=$B111,12*($B$7-$B$10),-12*MAX(0,($B$6+$B$10)-IF($B$1+48&gt;=$B$23,$B$22,0))*(1+$B$4)^48))*IF(AX111+IF($B$1+48&lt;=$B111,12*($B$7-$B$10),-12*MAX(0,($B$6+$B$10)-IF($B$1+48&gt;=$B$23,$B$22,0))*(1+$B$4)^48)&gt;0,1+$B$3,1))</f>
        <v/>
      </c>
      <c r="AZ111">
        <f>IF($B$1+49&gt;90,AY111,(AY111+IF($B$1+49&lt;=$B111,12*($B$7-$B$10),-12*MAX(0,($B$6+$B$10)-IF($B$1+49&gt;=$B$23,$B$22,0))*(1+$B$4)^49))*IF(AY111+IF($B$1+49&lt;=$B111,12*($B$7-$B$10),-12*MAX(0,($B$6+$B$10)-IF($B$1+49&gt;=$B$23,$B$22,0))*(1+$B$4)^49)&gt;0,1+$B$3,1))</f>
        <v/>
      </c>
      <c r="BA111">
        <f>IF($B$1+50&gt;90,AZ111,(AZ111+IF($B$1+50&lt;=$B111,12*($B$7-$B$10),-12*MAX(0,($B$6+$B$10)-IF($B$1+50&gt;=$B$23,$B$22,0))*(1+$B$4)^50))*IF(AZ111+IF($B$1+50&lt;=$B111,12*($B$7-$B$10),-12*MAX(0,($B$6+$B$10)-IF($B$1+50&gt;=$B$23,$B$22,0))*(1+$B$4)^50)&gt;0,1+$B$3,1))</f>
        <v/>
      </c>
      <c r="BB111">
        <f>IF($B$1+51&gt;90,BA111,(BA111+IF($B$1+51&lt;=$B111,12*($B$7-$B$10),-12*MAX(0,($B$6+$B$10)-IF($B$1+51&gt;=$B$23,$B$22,0))*(1+$B$4)^51))*IF(BA111+IF($B$1+51&lt;=$B111,12*($B$7-$B$10),-12*MAX(0,($B$6+$B$10)-IF($B$1+51&gt;=$B$23,$B$22,0))*(1+$B$4)^51)&gt;0,1+$B$3,1))</f>
        <v/>
      </c>
      <c r="BC111">
        <f>IF($B$1+52&gt;90,BB111,(BB111+IF($B$1+52&lt;=$B111,12*($B$7-$B$10),-12*MAX(0,($B$6+$B$10)-IF($B$1+52&gt;=$B$23,$B$22,0))*(1+$B$4)^52))*IF(BB111+IF($B$1+52&lt;=$B111,12*($B$7-$B$10),-12*MAX(0,($B$6+$B$10)-IF($B$1+52&gt;=$B$23,$B$22,0))*(1+$B$4)^52)&gt;0,1+$B$3,1))</f>
        <v/>
      </c>
      <c r="BD111">
        <f>IF($B$1+53&gt;90,BC111,(BC111+IF($B$1+53&lt;=$B111,12*($B$7-$B$10),-12*MAX(0,($B$6+$B$10)-IF($B$1+53&gt;=$B$23,$B$22,0))*(1+$B$4)^53))*IF(BC111+IF($B$1+53&lt;=$B111,12*($B$7-$B$10),-12*MAX(0,($B$6+$B$10)-IF($B$1+53&gt;=$B$23,$B$22,0))*(1+$B$4)^53)&gt;0,1+$B$3,1))</f>
        <v/>
      </c>
      <c r="BE111">
        <f>IF($B$1+54&gt;90,BD111,(BD111+IF($B$1+54&lt;=$B111,12*($B$7-$B$10),-12*MAX(0,($B$6+$B$10)-IF($B$1+54&gt;=$B$23,$B$22,0))*(1+$B$4)^54))*IF(BD111+IF($B$1+54&lt;=$B111,12*($B$7-$B$10),-12*MAX(0,($B$6+$B$10)-IF($B$1+54&gt;=$B$23,$B$22,0))*(1+$B$4)^54)&gt;0,1+$B$3,1))</f>
        <v/>
      </c>
      <c r="BF111">
        <f>IF($B$1+55&gt;90,BE111,(BE111+IF($B$1+55&lt;=$B111,12*($B$7-$B$10),-12*MAX(0,($B$6+$B$10)-IF($B$1+55&gt;=$B$23,$B$22,0))*(1+$B$4)^55))*IF(BE111+IF($B$1+55&lt;=$B111,12*($B$7-$B$10),-12*MAX(0,($B$6+$B$10)-IF($B$1+55&gt;=$B$23,$B$22,0))*(1+$B$4)^55)&gt;0,1+$B$3,1))</f>
        <v/>
      </c>
      <c r="BG111">
        <f>IF($B$1+56&gt;90,BF111,(BF111+IF($B$1+56&lt;=$B111,12*($B$7-$B$10),-12*MAX(0,($B$6+$B$10)-IF($B$1+56&gt;=$B$23,$B$22,0))*(1+$B$4)^56))*IF(BF111+IF($B$1+56&lt;=$B111,12*($B$7-$B$10),-12*MAX(0,($B$6+$B$10)-IF($B$1+56&gt;=$B$23,$B$22,0))*(1+$B$4)^56)&gt;0,1+$B$3,1))</f>
        <v/>
      </c>
      <c r="BH111">
        <f>IF($B$1+57&gt;90,BG111,(BG111+IF($B$1+57&lt;=$B111,12*($B$7-$B$10),-12*MAX(0,($B$6+$B$10)-IF($B$1+57&gt;=$B$23,$B$22,0))*(1+$B$4)^57))*IF(BG111+IF($B$1+57&lt;=$B111,12*($B$7-$B$10),-12*MAX(0,($B$6+$B$10)-IF($B$1+57&gt;=$B$23,$B$22,0))*(1+$B$4)^57)&gt;0,1+$B$3,1))</f>
        <v/>
      </c>
      <c r="BI111">
        <f>IF($B$1+58&gt;90,BH111,(BH111+IF($B$1+58&lt;=$B111,12*($B$7-$B$10),-12*MAX(0,($B$6+$B$10)-IF($B$1+58&gt;=$B$23,$B$22,0))*(1+$B$4)^58))*IF(BH111+IF($B$1+58&lt;=$B111,12*($B$7-$B$10),-12*MAX(0,($B$6+$B$10)-IF($B$1+58&gt;=$B$23,$B$22,0))*(1+$B$4)^58)&gt;0,1+$B$3,1))</f>
        <v/>
      </c>
      <c r="BJ111">
        <f>IF($B$1+59&gt;90,BI111,(BI111+IF($B$1+59&lt;=$B111,12*($B$7-$B$10),-12*MAX(0,($B$6+$B$10)-IF($B$1+59&gt;=$B$23,$B$22,0))*(1+$B$4)^59))*IF(BI111+IF($B$1+59&lt;=$B111,12*($B$7-$B$10),-12*MAX(0,($B$6+$B$10)-IF($B$1+59&gt;=$B$23,$B$22,0))*(1+$B$4)^59)&gt;0,1+$B$3,1))</f>
        <v/>
      </c>
      <c r="BK111">
        <f>IF($B$1+60&gt;90,BJ111,(BJ111+IF($B$1+60&lt;=$B111,12*($B$7-$B$10),-12*MAX(0,($B$6+$B$10)-IF($B$1+60&gt;=$B$23,$B$22,0))*(1+$B$4)^60))*IF(BJ111+IF($B$1+60&lt;=$B111,12*($B$7-$B$10),-12*MAX(0,($B$6+$B$10)-IF($B$1+60&gt;=$B$23,$B$22,0))*(1+$B$4)^60)&gt;0,1+$B$3,1))</f>
        <v/>
      </c>
      <c r="BL111">
        <f>IF($B$1+61&gt;90,BK111,(BK111+IF($B$1+61&lt;=$B111,12*($B$7-$B$10),-12*MAX(0,($B$6+$B$10)-IF($B$1+61&gt;=$B$23,$B$22,0))*(1+$B$4)^61))*IF(BK111+IF($B$1+61&lt;=$B111,12*($B$7-$B$10),-12*MAX(0,($B$6+$B$10)-IF($B$1+61&gt;=$B$23,$B$22,0))*(1+$B$4)^61)&gt;0,1+$B$3,1))</f>
        <v/>
      </c>
      <c r="BM111">
        <f>IF($B$1+62&gt;90,BL111,(BL111+IF($B$1+62&lt;=$B111,12*($B$7-$B$10),-12*MAX(0,($B$6+$B$10)-IF($B$1+62&gt;=$B$23,$B$22,0))*(1+$B$4)^62))*IF(BL111+IF($B$1+62&lt;=$B111,12*($B$7-$B$10),-12*MAX(0,($B$6+$B$10)-IF($B$1+62&gt;=$B$23,$B$22,0))*(1+$B$4)^62)&gt;0,1+$B$3,1))</f>
        <v/>
      </c>
      <c r="BN111">
        <f>IF($B$1+63&gt;90,BM111,(BM111+IF($B$1+63&lt;=$B111,12*($B$7-$B$10),-12*MAX(0,($B$6+$B$10)-IF($B$1+63&gt;=$B$23,$B$22,0))*(1+$B$4)^63))*IF(BM111+IF($B$1+63&lt;=$B111,12*($B$7-$B$10),-12*MAX(0,($B$6+$B$10)-IF($B$1+63&gt;=$B$23,$B$22,0))*(1+$B$4)^63)&gt;0,1+$B$3,1))</f>
        <v/>
      </c>
      <c r="BO111">
        <f>IF($B$1+64&gt;90,BN111,(BN111+IF($B$1+64&lt;=$B111,12*($B$7-$B$10),-12*MAX(0,($B$6+$B$10)-IF($B$1+64&gt;=$B$23,$B$22,0))*(1+$B$4)^64))*IF(BN111+IF($B$1+64&lt;=$B111,12*($B$7-$B$10),-12*MAX(0,($B$6+$B$10)-IF($B$1+64&gt;=$B$23,$B$22,0))*(1+$B$4)^64)&gt;0,1+$B$3,1))</f>
        <v/>
      </c>
      <c r="BP111">
        <f>IF($B$1+65&gt;90,BO111,(BO111+IF($B$1+65&lt;=$B111,12*($B$7-$B$10),-12*MAX(0,($B$6+$B$10)-IF($B$1+65&gt;=$B$23,$B$22,0))*(1+$B$4)^65))*IF(BO111+IF($B$1+65&lt;=$B111,12*($B$7-$B$10),-12*MAX(0,($B$6+$B$10)-IF($B$1+65&gt;=$B$23,$B$22,0))*(1+$B$4)^65)&gt;0,1+$B$3,1))</f>
        <v/>
      </c>
      <c r="BQ111">
        <f>IF($B$1+66&gt;90,BP111,(BP111+IF($B$1+66&lt;=$B111,12*($B$7-$B$10),-12*MAX(0,($B$6+$B$10)-IF($B$1+66&gt;=$B$23,$B$22,0))*(1+$B$4)^66))*IF(BP111+IF($B$1+66&lt;=$B111,12*($B$7-$B$10),-12*MAX(0,($B$6+$B$10)-IF($B$1+66&gt;=$B$23,$B$22,0))*(1+$B$4)^66)&gt;0,1+$B$3,1))</f>
        <v/>
      </c>
      <c r="BR111">
        <f>IF($B$1+67&gt;90,BQ111,(BQ111+IF($B$1+67&lt;=$B111,12*($B$7-$B$10),-12*MAX(0,($B$6+$B$10)-IF($B$1+67&gt;=$B$23,$B$22,0))*(1+$B$4)^67))*IF(BQ111+IF($B$1+67&lt;=$B111,12*($B$7-$B$10),-12*MAX(0,($B$6+$B$10)-IF($B$1+67&gt;=$B$23,$B$22,0))*(1+$B$4)^67)&gt;0,1+$B$3,1))</f>
        <v/>
      </c>
      <c r="BS111">
        <f>IF($B$1+68&gt;90,BR111,(BR111+IF($B$1+68&lt;=$B111,12*($B$7-$B$10),-12*MAX(0,($B$6+$B$10)-IF($B$1+68&gt;=$B$23,$B$22,0))*(1+$B$4)^68))*IF(BR111+IF($B$1+68&lt;=$B111,12*($B$7-$B$10),-12*MAX(0,($B$6+$B$10)-IF($B$1+68&gt;=$B$23,$B$22,0))*(1+$B$4)^68)&gt;0,1+$B$3,1))</f>
        <v/>
      </c>
      <c r="BT111">
        <f>IF($B$1+69&gt;90,BS111,(BS111+IF($B$1+69&lt;=$B111,12*($B$7-$B$10),-12*MAX(0,($B$6+$B$10)-IF($B$1+69&gt;=$B$23,$B$22,0))*(1+$B$4)^69))*IF(BS111+IF($B$1+69&lt;=$B111,12*($B$7-$B$10),-12*MAX(0,($B$6+$B$10)-IF($B$1+69&gt;=$B$23,$B$22,0))*(1+$B$4)^69)&gt;0,1+$B$3,1))</f>
        <v/>
      </c>
      <c r="BU111">
        <f>IF($B$1+70&gt;90,BT111,(BT111+IF($B$1+70&lt;=$B111,12*($B$7-$B$10),-12*MAX(0,($B$6+$B$10)-IF($B$1+70&gt;=$B$23,$B$22,0))*(1+$B$4)^70))*IF(BT111+IF($B$1+70&lt;=$B111,12*($B$7-$B$10),-12*MAX(0,($B$6+$B$10)-IF($B$1+70&gt;=$B$23,$B$22,0))*(1+$B$4)^70)&gt;0,1+$B$3,1))</f>
        <v/>
      </c>
      <c r="BV111">
        <f>BU111</f>
        <v/>
      </c>
      <c r="BW111">
        <f>IF(AND($B111&lt;=70,BV111&gt;0),$B111,999)</f>
        <v/>
      </c>
      <c r="CH111">
        <f>IF(ISTEXT('월 가계부'!A111),SUBSTITUTE(SUBSTITUTE(SUBSTITUTE(SUBSTITUTE(SUBSTITUTE(SUBSTITUTE(SUBSTITUTE(SUBSTITUTE(SUBSTITUTE(TRIM('월 가계부'!A111),"년","-"),"월","-"),"일",""),".","-"),"/","-")," ","-"),"--","-"),"--","-"),"--","-")&amp;"-","")</f>
        <v/>
      </c>
      <c r="CI111">
        <f>IFERROR(IF('월 가계부'!A111="","",IF(ISNUMBER('월 가계부'!A111),IF(AND('월 가계부'!A111&gt;=19000101,'월 가계부'!A111&lt;=21001231),IF(AND(MOD(INT('월 가계부'!A111/100),100)&gt;=1,MOD(INT('월 가계부'!A111/100),100)&lt;=12,MOD(INT('월 가계부'!A111),100)&gt;=1,MOD(INT('월 가계부'!A111),100)&lt;=31),IF(MONTH(DATE(INT('월 가계부'!A111/10000),MOD(INT('월 가계부'!A111/100),100),MOD(INT('월 가계부'!A111),100)))=MOD(INT('월 가계부'!A111/100),100),DATE(INT('월 가계부'!A111/10000),MOD(INT('월 가계부'!A111/100),100),MOD(INT('월 가계부'!A111),100)),""),""),IF(AND('월 가계부'!A111&gt;=36526,'월 가계부'!A111&lt;73051),INT('월 가계부'!A111),"")),IF(OR(CM111="",CN111="",CO111=""),"",IF(AND(CM111&gt;=2000,CM111&lt;=2099,CN111&gt;=1,CN111&lt;=12,CO111&gt;=1,CO111&lt;=31),IF(MONTH(DATE(CM111,CN111,CO111))=CN111,DATE(CM111,CN111,CO111),""),"")))),"")</f>
        <v/>
      </c>
      <c r="CJ111">
        <f>IFERROR(IF('월 가계부'!C111="","",IF(ISNUMBER('월 가계부'!C111),'월 가계부'!C111,VALUE(SUBSTITUTE(SUBSTITUTE(SUBSTITUTE(SUBSTITUTE(TRIM('월 가계부'!C111),",",""),"원","")," ",""),"−","-")))),"")</f>
        <v/>
      </c>
      <c r="CK111">
        <f>IF(ISNUMBER(CI111),IF(CI111&lt;$B$13,CI111,""),"")</f>
        <v/>
      </c>
      <c r="CM111">
        <f>IF(CH111="","",IFERROR(IF(IF(AND(LEN(CH111)=9,ISERROR(FIND("-",LEFT(CH111,8))),ISNUMBER(-LEFT(CH111,8))),VALUE(LEFT(CH111,4)),VALUE(LEFT(CH111,FIND("-",CH111)-1)))&lt;100,IF(AND(LEN(CH111)=9,ISERROR(FIND("-",LEFT(CH111,8))),ISNUMBER(-LEFT(CH111,8))),VALUE(LEFT(CH111,4)),VALUE(LEFT(CH111,FIND("-",CH111)-1)))+2000,IF(AND(LEN(CH111)=9,ISERROR(FIND("-",LEFT(CH111,8))),ISNUMBER(-LEFT(CH111,8))),VALUE(LEFT(CH111,4)),VALUE(LEFT(CH111,FIND("-",CH111)-1)))),""))</f>
        <v/>
      </c>
      <c r="CN111">
        <f>IF(CH111="","",IFERROR(IF(AND(LEN(CH111)=9,ISERROR(FIND("-",LEFT(CH111,8))),ISNUMBER(-LEFT(CH111,8))),VALUE(MID(CH111,5,2)),VALUE(MID(CH111,FIND("-",CH111)+1,FIND("-",CH111,FIND("-",CH111)+1)-FIND("-",CH111)-1))),""))</f>
        <v/>
      </c>
      <c r="CO111">
        <f>IF(CH111="","",IFERROR(IF(AND(LEN(CH111)=9,ISERROR(FIND("-",LEFT(CH111,8))),ISNUMBER(-LEFT(CH111,8))),VALUE(MID(CH111,7,2)),VALUE(MID(CH111,FIND("-",CH111,FIND("-",CH111)+1)+1,FIND("-",CH111,FIND("-",CH111,FIND("-",CH111)+1)+1)-FIND("-",CH111,FIND("-",CH111)+1)-1))),""))</f>
        <v/>
      </c>
    </row>
    <row r="112">
      <c r="A112" t="n">
        <v>16</v>
      </c>
      <c r="B112">
        <f>$B$1+16</f>
        <v/>
      </c>
      <c r="C112">
        <f>$B$2</f>
        <v/>
      </c>
      <c r="D112">
        <f>IF($B$1+1&gt;90,C112,(C112+IF($B$1+1&lt;=$B112,12*($B$7-$B$10),-12*MAX(0,($B$6+$B$10)-IF($B$1+1&gt;=$B$23,$B$22,0))*(1+$B$4)^1))*IF(C112+IF($B$1+1&lt;=$B112,12*($B$7-$B$10),-12*MAX(0,($B$6+$B$10)-IF($B$1+1&gt;=$B$23,$B$22,0))*(1+$B$4)^1)&gt;0,1+$B$3,1))</f>
        <v/>
      </c>
      <c r="E112">
        <f>IF($B$1+2&gt;90,D112,(D112+IF($B$1+2&lt;=$B112,12*($B$7-$B$10),-12*MAX(0,($B$6+$B$10)-IF($B$1+2&gt;=$B$23,$B$22,0))*(1+$B$4)^2))*IF(D112+IF($B$1+2&lt;=$B112,12*($B$7-$B$10),-12*MAX(0,($B$6+$B$10)-IF($B$1+2&gt;=$B$23,$B$22,0))*(1+$B$4)^2)&gt;0,1+$B$3,1))</f>
        <v/>
      </c>
      <c r="F112">
        <f>IF($B$1+3&gt;90,E112,(E112+IF($B$1+3&lt;=$B112,12*($B$7-$B$10),-12*MAX(0,($B$6+$B$10)-IF($B$1+3&gt;=$B$23,$B$22,0))*(1+$B$4)^3))*IF(E112+IF($B$1+3&lt;=$B112,12*($B$7-$B$10),-12*MAX(0,($B$6+$B$10)-IF($B$1+3&gt;=$B$23,$B$22,0))*(1+$B$4)^3)&gt;0,1+$B$3,1))</f>
        <v/>
      </c>
      <c r="G112">
        <f>IF($B$1+4&gt;90,F112,(F112+IF($B$1+4&lt;=$B112,12*($B$7-$B$10),-12*MAX(0,($B$6+$B$10)-IF($B$1+4&gt;=$B$23,$B$22,0))*(1+$B$4)^4))*IF(F112+IF($B$1+4&lt;=$B112,12*($B$7-$B$10),-12*MAX(0,($B$6+$B$10)-IF($B$1+4&gt;=$B$23,$B$22,0))*(1+$B$4)^4)&gt;0,1+$B$3,1))</f>
        <v/>
      </c>
      <c r="H112">
        <f>IF($B$1+5&gt;90,G112,(G112+IF($B$1+5&lt;=$B112,12*($B$7-$B$10),-12*MAX(0,($B$6+$B$10)-IF($B$1+5&gt;=$B$23,$B$22,0))*(1+$B$4)^5))*IF(G112+IF($B$1+5&lt;=$B112,12*($B$7-$B$10),-12*MAX(0,($B$6+$B$10)-IF($B$1+5&gt;=$B$23,$B$22,0))*(1+$B$4)^5)&gt;0,1+$B$3,1))</f>
        <v/>
      </c>
      <c r="I112">
        <f>IF($B$1+6&gt;90,H112,(H112+IF($B$1+6&lt;=$B112,12*($B$7-$B$10),-12*MAX(0,($B$6+$B$10)-IF($B$1+6&gt;=$B$23,$B$22,0))*(1+$B$4)^6))*IF(H112+IF($B$1+6&lt;=$B112,12*($B$7-$B$10),-12*MAX(0,($B$6+$B$10)-IF($B$1+6&gt;=$B$23,$B$22,0))*(1+$B$4)^6)&gt;0,1+$B$3,1))</f>
        <v/>
      </c>
      <c r="J112">
        <f>IF($B$1+7&gt;90,I112,(I112+IF($B$1+7&lt;=$B112,12*($B$7-$B$10),-12*MAX(0,($B$6+$B$10)-IF($B$1+7&gt;=$B$23,$B$22,0))*(1+$B$4)^7))*IF(I112+IF($B$1+7&lt;=$B112,12*($B$7-$B$10),-12*MAX(0,($B$6+$B$10)-IF($B$1+7&gt;=$B$23,$B$22,0))*(1+$B$4)^7)&gt;0,1+$B$3,1))</f>
        <v/>
      </c>
      <c r="K112">
        <f>IF($B$1+8&gt;90,J112,(J112+IF($B$1+8&lt;=$B112,12*($B$7-$B$10),-12*MAX(0,($B$6+$B$10)-IF($B$1+8&gt;=$B$23,$B$22,0))*(1+$B$4)^8))*IF(J112+IF($B$1+8&lt;=$B112,12*($B$7-$B$10),-12*MAX(0,($B$6+$B$10)-IF($B$1+8&gt;=$B$23,$B$22,0))*(1+$B$4)^8)&gt;0,1+$B$3,1))</f>
        <v/>
      </c>
      <c r="L112">
        <f>IF($B$1+9&gt;90,K112,(K112+IF($B$1+9&lt;=$B112,12*($B$7-$B$10),-12*MAX(0,($B$6+$B$10)-IF($B$1+9&gt;=$B$23,$B$22,0))*(1+$B$4)^9))*IF(K112+IF($B$1+9&lt;=$B112,12*($B$7-$B$10),-12*MAX(0,($B$6+$B$10)-IF($B$1+9&gt;=$B$23,$B$22,0))*(1+$B$4)^9)&gt;0,1+$B$3,1))</f>
        <v/>
      </c>
      <c r="M112">
        <f>IF($B$1+10&gt;90,L112,(L112+IF($B$1+10&lt;=$B112,12*($B$7-$B$10),-12*MAX(0,($B$6+$B$10)-IF($B$1+10&gt;=$B$23,$B$22,0))*(1+$B$4)^10))*IF(L112+IF($B$1+10&lt;=$B112,12*($B$7-$B$10),-12*MAX(0,($B$6+$B$10)-IF($B$1+10&gt;=$B$23,$B$22,0))*(1+$B$4)^10)&gt;0,1+$B$3,1))</f>
        <v/>
      </c>
      <c r="N112">
        <f>IF($B$1+11&gt;90,M112,(M112+IF($B$1+11&lt;=$B112,12*($B$7-$B$10),-12*MAX(0,($B$6+$B$10)-IF($B$1+11&gt;=$B$23,$B$22,0))*(1+$B$4)^11))*IF(M112+IF($B$1+11&lt;=$B112,12*($B$7-$B$10),-12*MAX(0,($B$6+$B$10)-IF($B$1+11&gt;=$B$23,$B$22,0))*(1+$B$4)^11)&gt;0,1+$B$3,1))</f>
        <v/>
      </c>
      <c r="O112">
        <f>IF($B$1+12&gt;90,N112,(N112+IF($B$1+12&lt;=$B112,12*($B$7-$B$10),-12*MAX(0,($B$6+$B$10)-IF($B$1+12&gt;=$B$23,$B$22,0))*(1+$B$4)^12))*IF(N112+IF($B$1+12&lt;=$B112,12*($B$7-$B$10),-12*MAX(0,($B$6+$B$10)-IF($B$1+12&gt;=$B$23,$B$22,0))*(1+$B$4)^12)&gt;0,1+$B$3,1))</f>
        <v/>
      </c>
      <c r="P112">
        <f>IF($B$1+13&gt;90,O112,(O112+IF($B$1+13&lt;=$B112,12*($B$7-$B$10),-12*MAX(0,($B$6+$B$10)-IF($B$1+13&gt;=$B$23,$B$22,0))*(1+$B$4)^13))*IF(O112+IF($B$1+13&lt;=$B112,12*($B$7-$B$10),-12*MAX(0,($B$6+$B$10)-IF($B$1+13&gt;=$B$23,$B$22,0))*(1+$B$4)^13)&gt;0,1+$B$3,1))</f>
        <v/>
      </c>
      <c r="Q112">
        <f>IF($B$1+14&gt;90,P112,(P112+IF($B$1+14&lt;=$B112,12*($B$7-$B$10),-12*MAX(0,($B$6+$B$10)-IF($B$1+14&gt;=$B$23,$B$22,0))*(1+$B$4)^14))*IF(P112+IF($B$1+14&lt;=$B112,12*($B$7-$B$10),-12*MAX(0,($B$6+$B$10)-IF($B$1+14&gt;=$B$23,$B$22,0))*(1+$B$4)^14)&gt;0,1+$B$3,1))</f>
        <v/>
      </c>
      <c r="R112">
        <f>IF($B$1+15&gt;90,Q112,(Q112+IF($B$1+15&lt;=$B112,12*($B$7-$B$10),-12*MAX(0,($B$6+$B$10)-IF($B$1+15&gt;=$B$23,$B$22,0))*(1+$B$4)^15))*IF(Q112+IF($B$1+15&lt;=$B112,12*($B$7-$B$10),-12*MAX(0,($B$6+$B$10)-IF($B$1+15&gt;=$B$23,$B$22,0))*(1+$B$4)^15)&gt;0,1+$B$3,1))</f>
        <v/>
      </c>
      <c r="S112">
        <f>IF($B$1+16&gt;90,R112,(R112+IF($B$1+16&lt;=$B112,12*($B$7-$B$10),-12*MAX(0,($B$6+$B$10)-IF($B$1+16&gt;=$B$23,$B$22,0))*(1+$B$4)^16))*IF(R112+IF($B$1+16&lt;=$B112,12*($B$7-$B$10),-12*MAX(0,($B$6+$B$10)-IF($B$1+16&gt;=$B$23,$B$22,0))*(1+$B$4)^16)&gt;0,1+$B$3,1))</f>
        <v/>
      </c>
      <c r="T112">
        <f>IF($B$1+17&gt;90,S112,(S112+IF($B$1+17&lt;=$B112,12*($B$7-$B$10),-12*MAX(0,($B$6+$B$10)-IF($B$1+17&gt;=$B$23,$B$22,0))*(1+$B$4)^17))*IF(S112+IF($B$1+17&lt;=$B112,12*($B$7-$B$10),-12*MAX(0,($B$6+$B$10)-IF($B$1+17&gt;=$B$23,$B$22,0))*(1+$B$4)^17)&gt;0,1+$B$3,1))</f>
        <v/>
      </c>
      <c r="U112">
        <f>IF($B$1+18&gt;90,T112,(T112+IF($B$1+18&lt;=$B112,12*($B$7-$B$10),-12*MAX(0,($B$6+$B$10)-IF($B$1+18&gt;=$B$23,$B$22,0))*(1+$B$4)^18))*IF(T112+IF($B$1+18&lt;=$B112,12*($B$7-$B$10),-12*MAX(0,($B$6+$B$10)-IF($B$1+18&gt;=$B$23,$B$22,0))*(1+$B$4)^18)&gt;0,1+$B$3,1))</f>
        <v/>
      </c>
      <c r="V112">
        <f>IF($B$1+19&gt;90,U112,(U112+IF($B$1+19&lt;=$B112,12*($B$7-$B$10),-12*MAX(0,($B$6+$B$10)-IF($B$1+19&gt;=$B$23,$B$22,0))*(1+$B$4)^19))*IF(U112+IF($B$1+19&lt;=$B112,12*($B$7-$B$10),-12*MAX(0,($B$6+$B$10)-IF($B$1+19&gt;=$B$23,$B$22,0))*(1+$B$4)^19)&gt;0,1+$B$3,1))</f>
        <v/>
      </c>
      <c r="W112">
        <f>IF($B$1+20&gt;90,V112,(V112+IF($B$1+20&lt;=$B112,12*($B$7-$B$10),-12*MAX(0,($B$6+$B$10)-IF($B$1+20&gt;=$B$23,$B$22,0))*(1+$B$4)^20))*IF(V112+IF($B$1+20&lt;=$B112,12*($B$7-$B$10),-12*MAX(0,($B$6+$B$10)-IF($B$1+20&gt;=$B$23,$B$22,0))*(1+$B$4)^20)&gt;0,1+$B$3,1))</f>
        <v/>
      </c>
      <c r="X112">
        <f>IF($B$1+21&gt;90,W112,(W112+IF($B$1+21&lt;=$B112,12*($B$7-$B$10),-12*MAX(0,($B$6+$B$10)-IF($B$1+21&gt;=$B$23,$B$22,0))*(1+$B$4)^21))*IF(W112+IF($B$1+21&lt;=$B112,12*($B$7-$B$10),-12*MAX(0,($B$6+$B$10)-IF($B$1+21&gt;=$B$23,$B$22,0))*(1+$B$4)^21)&gt;0,1+$B$3,1))</f>
        <v/>
      </c>
      <c r="Y112">
        <f>IF($B$1+22&gt;90,X112,(X112+IF($B$1+22&lt;=$B112,12*($B$7-$B$10),-12*MAX(0,($B$6+$B$10)-IF($B$1+22&gt;=$B$23,$B$22,0))*(1+$B$4)^22))*IF(X112+IF($B$1+22&lt;=$B112,12*($B$7-$B$10),-12*MAX(0,($B$6+$B$10)-IF($B$1+22&gt;=$B$23,$B$22,0))*(1+$B$4)^22)&gt;0,1+$B$3,1))</f>
        <v/>
      </c>
      <c r="Z112">
        <f>IF($B$1+23&gt;90,Y112,(Y112+IF($B$1+23&lt;=$B112,12*($B$7-$B$10),-12*MAX(0,($B$6+$B$10)-IF($B$1+23&gt;=$B$23,$B$22,0))*(1+$B$4)^23))*IF(Y112+IF($B$1+23&lt;=$B112,12*($B$7-$B$10),-12*MAX(0,($B$6+$B$10)-IF($B$1+23&gt;=$B$23,$B$22,0))*(1+$B$4)^23)&gt;0,1+$B$3,1))</f>
        <v/>
      </c>
      <c r="AA112">
        <f>IF($B$1+24&gt;90,Z112,(Z112+IF($B$1+24&lt;=$B112,12*($B$7-$B$10),-12*MAX(0,($B$6+$B$10)-IF($B$1+24&gt;=$B$23,$B$22,0))*(1+$B$4)^24))*IF(Z112+IF($B$1+24&lt;=$B112,12*($B$7-$B$10),-12*MAX(0,($B$6+$B$10)-IF($B$1+24&gt;=$B$23,$B$22,0))*(1+$B$4)^24)&gt;0,1+$B$3,1))</f>
        <v/>
      </c>
      <c r="AB112">
        <f>IF($B$1+25&gt;90,AA112,(AA112+IF($B$1+25&lt;=$B112,12*($B$7-$B$10),-12*MAX(0,($B$6+$B$10)-IF($B$1+25&gt;=$B$23,$B$22,0))*(1+$B$4)^25))*IF(AA112+IF($B$1+25&lt;=$B112,12*($B$7-$B$10),-12*MAX(0,($B$6+$B$10)-IF($B$1+25&gt;=$B$23,$B$22,0))*(1+$B$4)^25)&gt;0,1+$B$3,1))</f>
        <v/>
      </c>
      <c r="AC112">
        <f>IF($B$1+26&gt;90,AB112,(AB112+IF($B$1+26&lt;=$B112,12*($B$7-$B$10),-12*MAX(0,($B$6+$B$10)-IF($B$1+26&gt;=$B$23,$B$22,0))*(1+$B$4)^26))*IF(AB112+IF($B$1+26&lt;=$B112,12*($B$7-$B$10),-12*MAX(0,($B$6+$B$10)-IF($B$1+26&gt;=$B$23,$B$22,0))*(1+$B$4)^26)&gt;0,1+$B$3,1))</f>
        <v/>
      </c>
      <c r="AD112">
        <f>IF($B$1+27&gt;90,AC112,(AC112+IF($B$1+27&lt;=$B112,12*($B$7-$B$10),-12*MAX(0,($B$6+$B$10)-IF($B$1+27&gt;=$B$23,$B$22,0))*(1+$B$4)^27))*IF(AC112+IF($B$1+27&lt;=$B112,12*($B$7-$B$10),-12*MAX(0,($B$6+$B$10)-IF($B$1+27&gt;=$B$23,$B$22,0))*(1+$B$4)^27)&gt;0,1+$B$3,1))</f>
        <v/>
      </c>
      <c r="AE112">
        <f>IF($B$1+28&gt;90,AD112,(AD112+IF($B$1+28&lt;=$B112,12*($B$7-$B$10),-12*MAX(0,($B$6+$B$10)-IF($B$1+28&gt;=$B$23,$B$22,0))*(1+$B$4)^28))*IF(AD112+IF($B$1+28&lt;=$B112,12*($B$7-$B$10),-12*MAX(0,($B$6+$B$10)-IF($B$1+28&gt;=$B$23,$B$22,0))*(1+$B$4)^28)&gt;0,1+$B$3,1))</f>
        <v/>
      </c>
      <c r="AF112">
        <f>IF($B$1+29&gt;90,AE112,(AE112+IF($B$1+29&lt;=$B112,12*($B$7-$B$10),-12*MAX(0,($B$6+$B$10)-IF($B$1+29&gt;=$B$23,$B$22,0))*(1+$B$4)^29))*IF(AE112+IF($B$1+29&lt;=$B112,12*($B$7-$B$10),-12*MAX(0,($B$6+$B$10)-IF($B$1+29&gt;=$B$23,$B$22,0))*(1+$B$4)^29)&gt;0,1+$B$3,1))</f>
        <v/>
      </c>
      <c r="AG112">
        <f>IF($B$1+30&gt;90,AF112,(AF112+IF($B$1+30&lt;=$B112,12*($B$7-$B$10),-12*MAX(0,($B$6+$B$10)-IF($B$1+30&gt;=$B$23,$B$22,0))*(1+$B$4)^30))*IF(AF112+IF($B$1+30&lt;=$B112,12*($B$7-$B$10),-12*MAX(0,($B$6+$B$10)-IF($B$1+30&gt;=$B$23,$B$22,0))*(1+$B$4)^30)&gt;0,1+$B$3,1))</f>
        <v/>
      </c>
      <c r="AH112">
        <f>IF($B$1+31&gt;90,AG112,(AG112+IF($B$1+31&lt;=$B112,12*($B$7-$B$10),-12*MAX(0,($B$6+$B$10)-IF($B$1+31&gt;=$B$23,$B$22,0))*(1+$B$4)^31))*IF(AG112+IF($B$1+31&lt;=$B112,12*($B$7-$B$10),-12*MAX(0,($B$6+$B$10)-IF($B$1+31&gt;=$B$23,$B$22,0))*(1+$B$4)^31)&gt;0,1+$B$3,1))</f>
        <v/>
      </c>
      <c r="AI112">
        <f>IF($B$1+32&gt;90,AH112,(AH112+IF($B$1+32&lt;=$B112,12*($B$7-$B$10),-12*MAX(0,($B$6+$B$10)-IF($B$1+32&gt;=$B$23,$B$22,0))*(1+$B$4)^32))*IF(AH112+IF($B$1+32&lt;=$B112,12*($B$7-$B$10),-12*MAX(0,($B$6+$B$10)-IF($B$1+32&gt;=$B$23,$B$22,0))*(1+$B$4)^32)&gt;0,1+$B$3,1))</f>
        <v/>
      </c>
      <c r="AJ112">
        <f>IF($B$1+33&gt;90,AI112,(AI112+IF($B$1+33&lt;=$B112,12*($B$7-$B$10),-12*MAX(0,($B$6+$B$10)-IF($B$1+33&gt;=$B$23,$B$22,0))*(1+$B$4)^33))*IF(AI112+IF($B$1+33&lt;=$B112,12*($B$7-$B$10),-12*MAX(0,($B$6+$B$10)-IF($B$1+33&gt;=$B$23,$B$22,0))*(1+$B$4)^33)&gt;0,1+$B$3,1))</f>
        <v/>
      </c>
      <c r="AK112">
        <f>IF($B$1+34&gt;90,AJ112,(AJ112+IF($B$1+34&lt;=$B112,12*($B$7-$B$10),-12*MAX(0,($B$6+$B$10)-IF($B$1+34&gt;=$B$23,$B$22,0))*(1+$B$4)^34))*IF(AJ112+IF($B$1+34&lt;=$B112,12*($B$7-$B$10),-12*MAX(0,($B$6+$B$10)-IF($B$1+34&gt;=$B$23,$B$22,0))*(1+$B$4)^34)&gt;0,1+$B$3,1))</f>
        <v/>
      </c>
      <c r="AL112">
        <f>IF($B$1+35&gt;90,AK112,(AK112+IF($B$1+35&lt;=$B112,12*($B$7-$B$10),-12*MAX(0,($B$6+$B$10)-IF($B$1+35&gt;=$B$23,$B$22,0))*(1+$B$4)^35))*IF(AK112+IF($B$1+35&lt;=$B112,12*($B$7-$B$10),-12*MAX(0,($B$6+$B$10)-IF($B$1+35&gt;=$B$23,$B$22,0))*(1+$B$4)^35)&gt;0,1+$B$3,1))</f>
        <v/>
      </c>
      <c r="AM112">
        <f>IF($B$1+36&gt;90,AL112,(AL112+IF($B$1+36&lt;=$B112,12*($B$7-$B$10),-12*MAX(0,($B$6+$B$10)-IF($B$1+36&gt;=$B$23,$B$22,0))*(1+$B$4)^36))*IF(AL112+IF($B$1+36&lt;=$B112,12*($B$7-$B$10),-12*MAX(0,($B$6+$B$10)-IF($B$1+36&gt;=$B$23,$B$22,0))*(1+$B$4)^36)&gt;0,1+$B$3,1))</f>
        <v/>
      </c>
      <c r="AN112">
        <f>IF($B$1+37&gt;90,AM112,(AM112+IF($B$1+37&lt;=$B112,12*($B$7-$B$10),-12*MAX(0,($B$6+$B$10)-IF($B$1+37&gt;=$B$23,$B$22,0))*(1+$B$4)^37))*IF(AM112+IF($B$1+37&lt;=$B112,12*($B$7-$B$10),-12*MAX(0,($B$6+$B$10)-IF($B$1+37&gt;=$B$23,$B$22,0))*(1+$B$4)^37)&gt;0,1+$B$3,1))</f>
        <v/>
      </c>
      <c r="AO112">
        <f>IF($B$1+38&gt;90,AN112,(AN112+IF($B$1+38&lt;=$B112,12*($B$7-$B$10),-12*MAX(0,($B$6+$B$10)-IF($B$1+38&gt;=$B$23,$B$22,0))*(1+$B$4)^38))*IF(AN112+IF($B$1+38&lt;=$B112,12*($B$7-$B$10),-12*MAX(0,($B$6+$B$10)-IF($B$1+38&gt;=$B$23,$B$22,0))*(1+$B$4)^38)&gt;0,1+$B$3,1))</f>
        <v/>
      </c>
      <c r="AP112">
        <f>IF($B$1+39&gt;90,AO112,(AO112+IF($B$1+39&lt;=$B112,12*($B$7-$B$10),-12*MAX(0,($B$6+$B$10)-IF($B$1+39&gt;=$B$23,$B$22,0))*(1+$B$4)^39))*IF(AO112+IF($B$1+39&lt;=$B112,12*($B$7-$B$10),-12*MAX(0,($B$6+$B$10)-IF($B$1+39&gt;=$B$23,$B$22,0))*(1+$B$4)^39)&gt;0,1+$B$3,1))</f>
        <v/>
      </c>
      <c r="AQ112">
        <f>IF($B$1+40&gt;90,AP112,(AP112+IF($B$1+40&lt;=$B112,12*($B$7-$B$10),-12*MAX(0,($B$6+$B$10)-IF($B$1+40&gt;=$B$23,$B$22,0))*(1+$B$4)^40))*IF(AP112+IF($B$1+40&lt;=$B112,12*($B$7-$B$10),-12*MAX(0,($B$6+$B$10)-IF($B$1+40&gt;=$B$23,$B$22,0))*(1+$B$4)^40)&gt;0,1+$B$3,1))</f>
        <v/>
      </c>
      <c r="AR112">
        <f>IF($B$1+41&gt;90,AQ112,(AQ112+IF($B$1+41&lt;=$B112,12*($B$7-$B$10),-12*MAX(0,($B$6+$B$10)-IF($B$1+41&gt;=$B$23,$B$22,0))*(1+$B$4)^41))*IF(AQ112+IF($B$1+41&lt;=$B112,12*($B$7-$B$10),-12*MAX(0,($B$6+$B$10)-IF($B$1+41&gt;=$B$23,$B$22,0))*(1+$B$4)^41)&gt;0,1+$B$3,1))</f>
        <v/>
      </c>
      <c r="AS112">
        <f>IF($B$1+42&gt;90,AR112,(AR112+IF($B$1+42&lt;=$B112,12*($B$7-$B$10),-12*MAX(0,($B$6+$B$10)-IF($B$1+42&gt;=$B$23,$B$22,0))*(1+$B$4)^42))*IF(AR112+IF($B$1+42&lt;=$B112,12*($B$7-$B$10),-12*MAX(0,($B$6+$B$10)-IF($B$1+42&gt;=$B$23,$B$22,0))*(1+$B$4)^42)&gt;0,1+$B$3,1))</f>
        <v/>
      </c>
      <c r="AT112">
        <f>IF($B$1+43&gt;90,AS112,(AS112+IF($B$1+43&lt;=$B112,12*($B$7-$B$10),-12*MAX(0,($B$6+$B$10)-IF($B$1+43&gt;=$B$23,$B$22,0))*(1+$B$4)^43))*IF(AS112+IF($B$1+43&lt;=$B112,12*($B$7-$B$10),-12*MAX(0,($B$6+$B$10)-IF($B$1+43&gt;=$B$23,$B$22,0))*(1+$B$4)^43)&gt;0,1+$B$3,1))</f>
        <v/>
      </c>
      <c r="AU112">
        <f>IF($B$1+44&gt;90,AT112,(AT112+IF($B$1+44&lt;=$B112,12*($B$7-$B$10),-12*MAX(0,($B$6+$B$10)-IF($B$1+44&gt;=$B$23,$B$22,0))*(1+$B$4)^44))*IF(AT112+IF($B$1+44&lt;=$B112,12*($B$7-$B$10),-12*MAX(0,($B$6+$B$10)-IF($B$1+44&gt;=$B$23,$B$22,0))*(1+$B$4)^44)&gt;0,1+$B$3,1))</f>
        <v/>
      </c>
      <c r="AV112">
        <f>IF($B$1+45&gt;90,AU112,(AU112+IF($B$1+45&lt;=$B112,12*($B$7-$B$10),-12*MAX(0,($B$6+$B$10)-IF($B$1+45&gt;=$B$23,$B$22,0))*(1+$B$4)^45))*IF(AU112+IF($B$1+45&lt;=$B112,12*($B$7-$B$10),-12*MAX(0,($B$6+$B$10)-IF($B$1+45&gt;=$B$23,$B$22,0))*(1+$B$4)^45)&gt;0,1+$B$3,1))</f>
        <v/>
      </c>
      <c r="AW112">
        <f>IF($B$1+46&gt;90,AV112,(AV112+IF($B$1+46&lt;=$B112,12*($B$7-$B$10),-12*MAX(0,($B$6+$B$10)-IF($B$1+46&gt;=$B$23,$B$22,0))*(1+$B$4)^46))*IF(AV112+IF($B$1+46&lt;=$B112,12*($B$7-$B$10),-12*MAX(0,($B$6+$B$10)-IF($B$1+46&gt;=$B$23,$B$22,0))*(1+$B$4)^46)&gt;0,1+$B$3,1))</f>
        <v/>
      </c>
      <c r="AX112">
        <f>IF($B$1+47&gt;90,AW112,(AW112+IF($B$1+47&lt;=$B112,12*($B$7-$B$10),-12*MAX(0,($B$6+$B$10)-IF($B$1+47&gt;=$B$23,$B$22,0))*(1+$B$4)^47))*IF(AW112+IF($B$1+47&lt;=$B112,12*($B$7-$B$10),-12*MAX(0,($B$6+$B$10)-IF($B$1+47&gt;=$B$23,$B$22,0))*(1+$B$4)^47)&gt;0,1+$B$3,1))</f>
        <v/>
      </c>
      <c r="AY112">
        <f>IF($B$1+48&gt;90,AX112,(AX112+IF($B$1+48&lt;=$B112,12*($B$7-$B$10),-12*MAX(0,($B$6+$B$10)-IF($B$1+48&gt;=$B$23,$B$22,0))*(1+$B$4)^48))*IF(AX112+IF($B$1+48&lt;=$B112,12*($B$7-$B$10),-12*MAX(0,($B$6+$B$10)-IF($B$1+48&gt;=$B$23,$B$22,0))*(1+$B$4)^48)&gt;0,1+$B$3,1))</f>
        <v/>
      </c>
      <c r="AZ112">
        <f>IF($B$1+49&gt;90,AY112,(AY112+IF($B$1+49&lt;=$B112,12*($B$7-$B$10),-12*MAX(0,($B$6+$B$10)-IF($B$1+49&gt;=$B$23,$B$22,0))*(1+$B$4)^49))*IF(AY112+IF($B$1+49&lt;=$B112,12*($B$7-$B$10),-12*MAX(0,($B$6+$B$10)-IF($B$1+49&gt;=$B$23,$B$22,0))*(1+$B$4)^49)&gt;0,1+$B$3,1))</f>
        <v/>
      </c>
      <c r="BA112">
        <f>IF($B$1+50&gt;90,AZ112,(AZ112+IF($B$1+50&lt;=$B112,12*($B$7-$B$10),-12*MAX(0,($B$6+$B$10)-IF($B$1+50&gt;=$B$23,$B$22,0))*(1+$B$4)^50))*IF(AZ112+IF($B$1+50&lt;=$B112,12*($B$7-$B$10),-12*MAX(0,($B$6+$B$10)-IF($B$1+50&gt;=$B$23,$B$22,0))*(1+$B$4)^50)&gt;0,1+$B$3,1))</f>
        <v/>
      </c>
      <c r="BB112">
        <f>IF($B$1+51&gt;90,BA112,(BA112+IF($B$1+51&lt;=$B112,12*($B$7-$B$10),-12*MAX(0,($B$6+$B$10)-IF($B$1+51&gt;=$B$23,$B$22,0))*(1+$B$4)^51))*IF(BA112+IF($B$1+51&lt;=$B112,12*($B$7-$B$10),-12*MAX(0,($B$6+$B$10)-IF($B$1+51&gt;=$B$23,$B$22,0))*(1+$B$4)^51)&gt;0,1+$B$3,1))</f>
        <v/>
      </c>
      <c r="BC112">
        <f>IF($B$1+52&gt;90,BB112,(BB112+IF($B$1+52&lt;=$B112,12*($B$7-$B$10),-12*MAX(0,($B$6+$B$10)-IF($B$1+52&gt;=$B$23,$B$22,0))*(1+$B$4)^52))*IF(BB112+IF($B$1+52&lt;=$B112,12*($B$7-$B$10),-12*MAX(0,($B$6+$B$10)-IF($B$1+52&gt;=$B$23,$B$22,0))*(1+$B$4)^52)&gt;0,1+$B$3,1))</f>
        <v/>
      </c>
      <c r="BD112">
        <f>IF($B$1+53&gt;90,BC112,(BC112+IF($B$1+53&lt;=$B112,12*($B$7-$B$10),-12*MAX(0,($B$6+$B$10)-IF($B$1+53&gt;=$B$23,$B$22,0))*(1+$B$4)^53))*IF(BC112+IF($B$1+53&lt;=$B112,12*($B$7-$B$10),-12*MAX(0,($B$6+$B$10)-IF($B$1+53&gt;=$B$23,$B$22,0))*(1+$B$4)^53)&gt;0,1+$B$3,1))</f>
        <v/>
      </c>
      <c r="BE112">
        <f>IF($B$1+54&gt;90,BD112,(BD112+IF($B$1+54&lt;=$B112,12*($B$7-$B$10),-12*MAX(0,($B$6+$B$10)-IF($B$1+54&gt;=$B$23,$B$22,0))*(1+$B$4)^54))*IF(BD112+IF($B$1+54&lt;=$B112,12*($B$7-$B$10),-12*MAX(0,($B$6+$B$10)-IF($B$1+54&gt;=$B$23,$B$22,0))*(1+$B$4)^54)&gt;0,1+$B$3,1))</f>
        <v/>
      </c>
      <c r="BF112">
        <f>IF($B$1+55&gt;90,BE112,(BE112+IF($B$1+55&lt;=$B112,12*($B$7-$B$10),-12*MAX(0,($B$6+$B$10)-IF($B$1+55&gt;=$B$23,$B$22,0))*(1+$B$4)^55))*IF(BE112+IF($B$1+55&lt;=$B112,12*($B$7-$B$10),-12*MAX(0,($B$6+$B$10)-IF($B$1+55&gt;=$B$23,$B$22,0))*(1+$B$4)^55)&gt;0,1+$B$3,1))</f>
        <v/>
      </c>
      <c r="BG112">
        <f>IF($B$1+56&gt;90,BF112,(BF112+IF($B$1+56&lt;=$B112,12*($B$7-$B$10),-12*MAX(0,($B$6+$B$10)-IF($B$1+56&gt;=$B$23,$B$22,0))*(1+$B$4)^56))*IF(BF112+IF($B$1+56&lt;=$B112,12*($B$7-$B$10),-12*MAX(0,($B$6+$B$10)-IF($B$1+56&gt;=$B$23,$B$22,0))*(1+$B$4)^56)&gt;0,1+$B$3,1))</f>
        <v/>
      </c>
      <c r="BH112">
        <f>IF($B$1+57&gt;90,BG112,(BG112+IF($B$1+57&lt;=$B112,12*($B$7-$B$10),-12*MAX(0,($B$6+$B$10)-IF($B$1+57&gt;=$B$23,$B$22,0))*(1+$B$4)^57))*IF(BG112+IF($B$1+57&lt;=$B112,12*($B$7-$B$10),-12*MAX(0,($B$6+$B$10)-IF($B$1+57&gt;=$B$23,$B$22,0))*(1+$B$4)^57)&gt;0,1+$B$3,1))</f>
        <v/>
      </c>
      <c r="BI112">
        <f>IF($B$1+58&gt;90,BH112,(BH112+IF($B$1+58&lt;=$B112,12*($B$7-$B$10),-12*MAX(0,($B$6+$B$10)-IF($B$1+58&gt;=$B$23,$B$22,0))*(1+$B$4)^58))*IF(BH112+IF($B$1+58&lt;=$B112,12*($B$7-$B$10),-12*MAX(0,($B$6+$B$10)-IF($B$1+58&gt;=$B$23,$B$22,0))*(1+$B$4)^58)&gt;0,1+$B$3,1))</f>
        <v/>
      </c>
      <c r="BJ112">
        <f>IF($B$1+59&gt;90,BI112,(BI112+IF($B$1+59&lt;=$B112,12*($B$7-$B$10),-12*MAX(0,($B$6+$B$10)-IF($B$1+59&gt;=$B$23,$B$22,0))*(1+$B$4)^59))*IF(BI112+IF($B$1+59&lt;=$B112,12*($B$7-$B$10),-12*MAX(0,($B$6+$B$10)-IF($B$1+59&gt;=$B$23,$B$22,0))*(1+$B$4)^59)&gt;0,1+$B$3,1))</f>
        <v/>
      </c>
      <c r="BK112">
        <f>IF($B$1+60&gt;90,BJ112,(BJ112+IF($B$1+60&lt;=$B112,12*($B$7-$B$10),-12*MAX(0,($B$6+$B$10)-IF($B$1+60&gt;=$B$23,$B$22,0))*(1+$B$4)^60))*IF(BJ112+IF($B$1+60&lt;=$B112,12*($B$7-$B$10),-12*MAX(0,($B$6+$B$10)-IF($B$1+60&gt;=$B$23,$B$22,0))*(1+$B$4)^60)&gt;0,1+$B$3,1))</f>
        <v/>
      </c>
      <c r="BL112">
        <f>IF($B$1+61&gt;90,BK112,(BK112+IF($B$1+61&lt;=$B112,12*($B$7-$B$10),-12*MAX(0,($B$6+$B$10)-IF($B$1+61&gt;=$B$23,$B$22,0))*(1+$B$4)^61))*IF(BK112+IF($B$1+61&lt;=$B112,12*($B$7-$B$10),-12*MAX(0,($B$6+$B$10)-IF($B$1+61&gt;=$B$23,$B$22,0))*(1+$B$4)^61)&gt;0,1+$B$3,1))</f>
        <v/>
      </c>
      <c r="BM112">
        <f>IF($B$1+62&gt;90,BL112,(BL112+IF($B$1+62&lt;=$B112,12*($B$7-$B$10),-12*MAX(0,($B$6+$B$10)-IF($B$1+62&gt;=$B$23,$B$22,0))*(1+$B$4)^62))*IF(BL112+IF($B$1+62&lt;=$B112,12*($B$7-$B$10),-12*MAX(0,($B$6+$B$10)-IF($B$1+62&gt;=$B$23,$B$22,0))*(1+$B$4)^62)&gt;0,1+$B$3,1))</f>
        <v/>
      </c>
      <c r="BN112">
        <f>IF($B$1+63&gt;90,BM112,(BM112+IF($B$1+63&lt;=$B112,12*($B$7-$B$10),-12*MAX(0,($B$6+$B$10)-IF($B$1+63&gt;=$B$23,$B$22,0))*(1+$B$4)^63))*IF(BM112+IF($B$1+63&lt;=$B112,12*($B$7-$B$10),-12*MAX(0,($B$6+$B$10)-IF($B$1+63&gt;=$B$23,$B$22,0))*(1+$B$4)^63)&gt;0,1+$B$3,1))</f>
        <v/>
      </c>
      <c r="BO112">
        <f>IF($B$1+64&gt;90,BN112,(BN112+IF($B$1+64&lt;=$B112,12*($B$7-$B$10),-12*MAX(0,($B$6+$B$10)-IF($B$1+64&gt;=$B$23,$B$22,0))*(1+$B$4)^64))*IF(BN112+IF($B$1+64&lt;=$B112,12*($B$7-$B$10),-12*MAX(0,($B$6+$B$10)-IF($B$1+64&gt;=$B$23,$B$22,0))*(1+$B$4)^64)&gt;0,1+$B$3,1))</f>
        <v/>
      </c>
      <c r="BP112">
        <f>IF($B$1+65&gt;90,BO112,(BO112+IF($B$1+65&lt;=$B112,12*($B$7-$B$10),-12*MAX(0,($B$6+$B$10)-IF($B$1+65&gt;=$B$23,$B$22,0))*(1+$B$4)^65))*IF(BO112+IF($B$1+65&lt;=$B112,12*($B$7-$B$10),-12*MAX(0,($B$6+$B$10)-IF($B$1+65&gt;=$B$23,$B$22,0))*(1+$B$4)^65)&gt;0,1+$B$3,1))</f>
        <v/>
      </c>
      <c r="BQ112">
        <f>IF($B$1+66&gt;90,BP112,(BP112+IF($B$1+66&lt;=$B112,12*($B$7-$B$10),-12*MAX(0,($B$6+$B$10)-IF($B$1+66&gt;=$B$23,$B$22,0))*(1+$B$4)^66))*IF(BP112+IF($B$1+66&lt;=$B112,12*($B$7-$B$10),-12*MAX(0,($B$6+$B$10)-IF($B$1+66&gt;=$B$23,$B$22,0))*(1+$B$4)^66)&gt;0,1+$B$3,1))</f>
        <v/>
      </c>
      <c r="BR112">
        <f>IF($B$1+67&gt;90,BQ112,(BQ112+IF($B$1+67&lt;=$B112,12*($B$7-$B$10),-12*MAX(0,($B$6+$B$10)-IF($B$1+67&gt;=$B$23,$B$22,0))*(1+$B$4)^67))*IF(BQ112+IF($B$1+67&lt;=$B112,12*($B$7-$B$10),-12*MAX(0,($B$6+$B$10)-IF($B$1+67&gt;=$B$23,$B$22,0))*(1+$B$4)^67)&gt;0,1+$B$3,1))</f>
        <v/>
      </c>
      <c r="BS112">
        <f>IF($B$1+68&gt;90,BR112,(BR112+IF($B$1+68&lt;=$B112,12*($B$7-$B$10),-12*MAX(0,($B$6+$B$10)-IF($B$1+68&gt;=$B$23,$B$22,0))*(1+$B$4)^68))*IF(BR112+IF($B$1+68&lt;=$B112,12*($B$7-$B$10),-12*MAX(0,($B$6+$B$10)-IF($B$1+68&gt;=$B$23,$B$22,0))*(1+$B$4)^68)&gt;0,1+$B$3,1))</f>
        <v/>
      </c>
      <c r="BT112">
        <f>IF($B$1+69&gt;90,BS112,(BS112+IF($B$1+69&lt;=$B112,12*($B$7-$B$10),-12*MAX(0,($B$6+$B$10)-IF($B$1+69&gt;=$B$23,$B$22,0))*(1+$B$4)^69))*IF(BS112+IF($B$1+69&lt;=$B112,12*($B$7-$B$10),-12*MAX(0,($B$6+$B$10)-IF($B$1+69&gt;=$B$23,$B$22,0))*(1+$B$4)^69)&gt;0,1+$B$3,1))</f>
        <v/>
      </c>
      <c r="BU112">
        <f>IF($B$1+70&gt;90,BT112,(BT112+IF($B$1+70&lt;=$B112,12*($B$7-$B$10),-12*MAX(0,($B$6+$B$10)-IF($B$1+70&gt;=$B$23,$B$22,0))*(1+$B$4)^70))*IF(BT112+IF($B$1+70&lt;=$B112,12*($B$7-$B$10),-12*MAX(0,($B$6+$B$10)-IF($B$1+70&gt;=$B$23,$B$22,0))*(1+$B$4)^70)&gt;0,1+$B$3,1))</f>
        <v/>
      </c>
      <c r="BV112">
        <f>BU112</f>
        <v/>
      </c>
      <c r="BW112">
        <f>IF(AND($B112&lt;=70,BV112&gt;0),$B112,999)</f>
        <v/>
      </c>
      <c r="CH112">
        <f>IF(ISTEXT('월 가계부'!A112),SUBSTITUTE(SUBSTITUTE(SUBSTITUTE(SUBSTITUTE(SUBSTITUTE(SUBSTITUTE(SUBSTITUTE(SUBSTITUTE(SUBSTITUTE(TRIM('월 가계부'!A112),"년","-"),"월","-"),"일",""),".","-"),"/","-")," ","-"),"--","-"),"--","-"),"--","-")&amp;"-","")</f>
        <v/>
      </c>
      <c r="CI112">
        <f>IFERROR(IF('월 가계부'!A112="","",IF(ISNUMBER('월 가계부'!A112),IF(AND('월 가계부'!A112&gt;=19000101,'월 가계부'!A112&lt;=21001231),IF(AND(MOD(INT('월 가계부'!A112/100),100)&gt;=1,MOD(INT('월 가계부'!A112/100),100)&lt;=12,MOD(INT('월 가계부'!A112),100)&gt;=1,MOD(INT('월 가계부'!A112),100)&lt;=31),IF(MONTH(DATE(INT('월 가계부'!A112/10000),MOD(INT('월 가계부'!A112/100),100),MOD(INT('월 가계부'!A112),100)))=MOD(INT('월 가계부'!A112/100),100),DATE(INT('월 가계부'!A112/10000),MOD(INT('월 가계부'!A112/100),100),MOD(INT('월 가계부'!A112),100)),""),""),IF(AND('월 가계부'!A112&gt;=36526,'월 가계부'!A112&lt;73051),INT('월 가계부'!A112),"")),IF(OR(CM112="",CN112="",CO112=""),"",IF(AND(CM112&gt;=2000,CM112&lt;=2099,CN112&gt;=1,CN112&lt;=12,CO112&gt;=1,CO112&lt;=31),IF(MONTH(DATE(CM112,CN112,CO112))=CN112,DATE(CM112,CN112,CO112),""),"")))),"")</f>
        <v/>
      </c>
      <c r="CJ112">
        <f>IFERROR(IF('월 가계부'!C112="","",IF(ISNUMBER('월 가계부'!C112),'월 가계부'!C112,VALUE(SUBSTITUTE(SUBSTITUTE(SUBSTITUTE(SUBSTITUTE(TRIM('월 가계부'!C112),",",""),"원","")," ",""),"−","-")))),"")</f>
        <v/>
      </c>
      <c r="CK112">
        <f>IF(ISNUMBER(CI112),IF(CI112&lt;$B$13,CI112,""),"")</f>
        <v/>
      </c>
      <c r="CM112">
        <f>IF(CH112="","",IFERROR(IF(IF(AND(LEN(CH112)=9,ISERROR(FIND("-",LEFT(CH112,8))),ISNUMBER(-LEFT(CH112,8))),VALUE(LEFT(CH112,4)),VALUE(LEFT(CH112,FIND("-",CH112)-1)))&lt;100,IF(AND(LEN(CH112)=9,ISERROR(FIND("-",LEFT(CH112,8))),ISNUMBER(-LEFT(CH112,8))),VALUE(LEFT(CH112,4)),VALUE(LEFT(CH112,FIND("-",CH112)-1)))+2000,IF(AND(LEN(CH112)=9,ISERROR(FIND("-",LEFT(CH112,8))),ISNUMBER(-LEFT(CH112,8))),VALUE(LEFT(CH112,4)),VALUE(LEFT(CH112,FIND("-",CH112)-1)))),""))</f>
        <v/>
      </c>
      <c r="CN112">
        <f>IF(CH112="","",IFERROR(IF(AND(LEN(CH112)=9,ISERROR(FIND("-",LEFT(CH112,8))),ISNUMBER(-LEFT(CH112,8))),VALUE(MID(CH112,5,2)),VALUE(MID(CH112,FIND("-",CH112)+1,FIND("-",CH112,FIND("-",CH112)+1)-FIND("-",CH112)-1))),""))</f>
        <v/>
      </c>
      <c r="CO112">
        <f>IF(CH112="","",IFERROR(IF(AND(LEN(CH112)=9,ISERROR(FIND("-",LEFT(CH112,8))),ISNUMBER(-LEFT(CH112,8))),VALUE(MID(CH112,7,2)),VALUE(MID(CH112,FIND("-",CH112,FIND("-",CH112)+1)+1,FIND("-",CH112,FIND("-",CH112,FIND("-",CH112)+1)+1)-FIND("-",CH112,FIND("-",CH112)+1)-1))),""))</f>
        <v/>
      </c>
    </row>
    <row r="113">
      <c r="A113" t="n">
        <v>17</v>
      </c>
      <c r="B113">
        <f>$B$1+17</f>
        <v/>
      </c>
      <c r="C113">
        <f>$B$2</f>
        <v/>
      </c>
      <c r="D113">
        <f>IF($B$1+1&gt;90,C113,(C113+IF($B$1+1&lt;=$B113,12*($B$7-$B$10),-12*MAX(0,($B$6+$B$10)-IF($B$1+1&gt;=$B$23,$B$22,0))*(1+$B$4)^1))*IF(C113+IF($B$1+1&lt;=$B113,12*($B$7-$B$10),-12*MAX(0,($B$6+$B$10)-IF($B$1+1&gt;=$B$23,$B$22,0))*(1+$B$4)^1)&gt;0,1+$B$3,1))</f>
        <v/>
      </c>
      <c r="E113">
        <f>IF($B$1+2&gt;90,D113,(D113+IF($B$1+2&lt;=$B113,12*($B$7-$B$10),-12*MAX(0,($B$6+$B$10)-IF($B$1+2&gt;=$B$23,$B$22,0))*(1+$B$4)^2))*IF(D113+IF($B$1+2&lt;=$B113,12*($B$7-$B$10),-12*MAX(0,($B$6+$B$10)-IF($B$1+2&gt;=$B$23,$B$22,0))*(1+$B$4)^2)&gt;0,1+$B$3,1))</f>
        <v/>
      </c>
      <c r="F113">
        <f>IF($B$1+3&gt;90,E113,(E113+IF($B$1+3&lt;=$B113,12*($B$7-$B$10),-12*MAX(0,($B$6+$B$10)-IF($B$1+3&gt;=$B$23,$B$22,0))*(1+$B$4)^3))*IF(E113+IF($B$1+3&lt;=$B113,12*($B$7-$B$10),-12*MAX(0,($B$6+$B$10)-IF($B$1+3&gt;=$B$23,$B$22,0))*(1+$B$4)^3)&gt;0,1+$B$3,1))</f>
        <v/>
      </c>
      <c r="G113">
        <f>IF($B$1+4&gt;90,F113,(F113+IF($B$1+4&lt;=$B113,12*($B$7-$B$10),-12*MAX(0,($B$6+$B$10)-IF($B$1+4&gt;=$B$23,$B$22,0))*(1+$B$4)^4))*IF(F113+IF($B$1+4&lt;=$B113,12*($B$7-$B$10),-12*MAX(0,($B$6+$B$10)-IF($B$1+4&gt;=$B$23,$B$22,0))*(1+$B$4)^4)&gt;0,1+$B$3,1))</f>
        <v/>
      </c>
      <c r="H113">
        <f>IF($B$1+5&gt;90,G113,(G113+IF($B$1+5&lt;=$B113,12*($B$7-$B$10),-12*MAX(0,($B$6+$B$10)-IF($B$1+5&gt;=$B$23,$B$22,0))*(1+$B$4)^5))*IF(G113+IF($B$1+5&lt;=$B113,12*($B$7-$B$10),-12*MAX(0,($B$6+$B$10)-IF($B$1+5&gt;=$B$23,$B$22,0))*(1+$B$4)^5)&gt;0,1+$B$3,1))</f>
        <v/>
      </c>
      <c r="I113">
        <f>IF($B$1+6&gt;90,H113,(H113+IF($B$1+6&lt;=$B113,12*($B$7-$B$10),-12*MAX(0,($B$6+$B$10)-IF($B$1+6&gt;=$B$23,$B$22,0))*(1+$B$4)^6))*IF(H113+IF($B$1+6&lt;=$B113,12*($B$7-$B$10),-12*MAX(0,($B$6+$B$10)-IF($B$1+6&gt;=$B$23,$B$22,0))*(1+$B$4)^6)&gt;0,1+$B$3,1))</f>
        <v/>
      </c>
      <c r="J113">
        <f>IF($B$1+7&gt;90,I113,(I113+IF($B$1+7&lt;=$B113,12*($B$7-$B$10),-12*MAX(0,($B$6+$B$10)-IF($B$1+7&gt;=$B$23,$B$22,0))*(1+$B$4)^7))*IF(I113+IF($B$1+7&lt;=$B113,12*($B$7-$B$10),-12*MAX(0,($B$6+$B$10)-IF($B$1+7&gt;=$B$23,$B$22,0))*(1+$B$4)^7)&gt;0,1+$B$3,1))</f>
        <v/>
      </c>
      <c r="K113">
        <f>IF($B$1+8&gt;90,J113,(J113+IF($B$1+8&lt;=$B113,12*($B$7-$B$10),-12*MAX(0,($B$6+$B$10)-IF($B$1+8&gt;=$B$23,$B$22,0))*(1+$B$4)^8))*IF(J113+IF($B$1+8&lt;=$B113,12*($B$7-$B$10),-12*MAX(0,($B$6+$B$10)-IF($B$1+8&gt;=$B$23,$B$22,0))*(1+$B$4)^8)&gt;0,1+$B$3,1))</f>
        <v/>
      </c>
      <c r="L113">
        <f>IF($B$1+9&gt;90,K113,(K113+IF($B$1+9&lt;=$B113,12*($B$7-$B$10),-12*MAX(0,($B$6+$B$10)-IF($B$1+9&gt;=$B$23,$B$22,0))*(1+$B$4)^9))*IF(K113+IF($B$1+9&lt;=$B113,12*($B$7-$B$10),-12*MAX(0,($B$6+$B$10)-IF($B$1+9&gt;=$B$23,$B$22,0))*(1+$B$4)^9)&gt;0,1+$B$3,1))</f>
        <v/>
      </c>
      <c r="M113">
        <f>IF($B$1+10&gt;90,L113,(L113+IF($B$1+10&lt;=$B113,12*($B$7-$B$10),-12*MAX(0,($B$6+$B$10)-IF($B$1+10&gt;=$B$23,$B$22,0))*(1+$B$4)^10))*IF(L113+IF($B$1+10&lt;=$B113,12*($B$7-$B$10),-12*MAX(0,($B$6+$B$10)-IF($B$1+10&gt;=$B$23,$B$22,0))*(1+$B$4)^10)&gt;0,1+$B$3,1))</f>
        <v/>
      </c>
      <c r="N113">
        <f>IF($B$1+11&gt;90,M113,(M113+IF($B$1+11&lt;=$B113,12*($B$7-$B$10),-12*MAX(0,($B$6+$B$10)-IF($B$1+11&gt;=$B$23,$B$22,0))*(1+$B$4)^11))*IF(M113+IF($B$1+11&lt;=$B113,12*($B$7-$B$10),-12*MAX(0,($B$6+$B$10)-IF($B$1+11&gt;=$B$23,$B$22,0))*(1+$B$4)^11)&gt;0,1+$B$3,1))</f>
        <v/>
      </c>
      <c r="O113">
        <f>IF($B$1+12&gt;90,N113,(N113+IF($B$1+12&lt;=$B113,12*($B$7-$B$10),-12*MAX(0,($B$6+$B$10)-IF($B$1+12&gt;=$B$23,$B$22,0))*(1+$B$4)^12))*IF(N113+IF($B$1+12&lt;=$B113,12*($B$7-$B$10),-12*MAX(0,($B$6+$B$10)-IF($B$1+12&gt;=$B$23,$B$22,0))*(1+$B$4)^12)&gt;0,1+$B$3,1))</f>
        <v/>
      </c>
      <c r="P113">
        <f>IF($B$1+13&gt;90,O113,(O113+IF($B$1+13&lt;=$B113,12*($B$7-$B$10),-12*MAX(0,($B$6+$B$10)-IF($B$1+13&gt;=$B$23,$B$22,0))*(1+$B$4)^13))*IF(O113+IF($B$1+13&lt;=$B113,12*($B$7-$B$10),-12*MAX(0,($B$6+$B$10)-IF($B$1+13&gt;=$B$23,$B$22,0))*(1+$B$4)^13)&gt;0,1+$B$3,1))</f>
        <v/>
      </c>
      <c r="Q113">
        <f>IF($B$1+14&gt;90,P113,(P113+IF($B$1+14&lt;=$B113,12*($B$7-$B$10),-12*MAX(0,($B$6+$B$10)-IF($B$1+14&gt;=$B$23,$B$22,0))*(1+$B$4)^14))*IF(P113+IF($B$1+14&lt;=$B113,12*($B$7-$B$10),-12*MAX(0,($B$6+$B$10)-IF($B$1+14&gt;=$B$23,$B$22,0))*(1+$B$4)^14)&gt;0,1+$B$3,1))</f>
        <v/>
      </c>
      <c r="R113">
        <f>IF($B$1+15&gt;90,Q113,(Q113+IF($B$1+15&lt;=$B113,12*($B$7-$B$10),-12*MAX(0,($B$6+$B$10)-IF($B$1+15&gt;=$B$23,$B$22,0))*(1+$B$4)^15))*IF(Q113+IF($B$1+15&lt;=$B113,12*($B$7-$B$10),-12*MAX(0,($B$6+$B$10)-IF($B$1+15&gt;=$B$23,$B$22,0))*(1+$B$4)^15)&gt;0,1+$B$3,1))</f>
        <v/>
      </c>
      <c r="S113">
        <f>IF($B$1+16&gt;90,R113,(R113+IF($B$1+16&lt;=$B113,12*($B$7-$B$10),-12*MAX(0,($B$6+$B$10)-IF($B$1+16&gt;=$B$23,$B$22,0))*(1+$B$4)^16))*IF(R113+IF($B$1+16&lt;=$B113,12*($B$7-$B$10),-12*MAX(0,($B$6+$B$10)-IF($B$1+16&gt;=$B$23,$B$22,0))*(1+$B$4)^16)&gt;0,1+$B$3,1))</f>
        <v/>
      </c>
      <c r="T113">
        <f>IF($B$1+17&gt;90,S113,(S113+IF($B$1+17&lt;=$B113,12*($B$7-$B$10),-12*MAX(0,($B$6+$B$10)-IF($B$1+17&gt;=$B$23,$B$22,0))*(1+$B$4)^17))*IF(S113+IF($B$1+17&lt;=$B113,12*($B$7-$B$10),-12*MAX(0,($B$6+$B$10)-IF($B$1+17&gt;=$B$23,$B$22,0))*(1+$B$4)^17)&gt;0,1+$B$3,1))</f>
        <v/>
      </c>
      <c r="U113">
        <f>IF($B$1+18&gt;90,T113,(T113+IF($B$1+18&lt;=$B113,12*($B$7-$B$10),-12*MAX(0,($B$6+$B$10)-IF($B$1+18&gt;=$B$23,$B$22,0))*(1+$B$4)^18))*IF(T113+IF($B$1+18&lt;=$B113,12*($B$7-$B$10),-12*MAX(0,($B$6+$B$10)-IF($B$1+18&gt;=$B$23,$B$22,0))*(1+$B$4)^18)&gt;0,1+$B$3,1))</f>
        <v/>
      </c>
      <c r="V113">
        <f>IF($B$1+19&gt;90,U113,(U113+IF($B$1+19&lt;=$B113,12*($B$7-$B$10),-12*MAX(0,($B$6+$B$10)-IF($B$1+19&gt;=$B$23,$B$22,0))*(1+$B$4)^19))*IF(U113+IF($B$1+19&lt;=$B113,12*($B$7-$B$10),-12*MAX(0,($B$6+$B$10)-IF($B$1+19&gt;=$B$23,$B$22,0))*(1+$B$4)^19)&gt;0,1+$B$3,1))</f>
        <v/>
      </c>
      <c r="W113">
        <f>IF($B$1+20&gt;90,V113,(V113+IF($B$1+20&lt;=$B113,12*($B$7-$B$10),-12*MAX(0,($B$6+$B$10)-IF($B$1+20&gt;=$B$23,$B$22,0))*(1+$B$4)^20))*IF(V113+IF($B$1+20&lt;=$B113,12*($B$7-$B$10),-12*MAX(0,($B$6+$B$10)-IF($B$1+20&gt;=$B$23,$B$22,0))*(1+$B$4)^20)&gt;0,1+$B$3,1))</f>
        <v/>
      </c>
      <c r="X113">
        <f>IF($B$1+21&gt;90,W113,(W113+IF($B$1+21&lt;=$B113,12*($B$7-$B$10),-12*MAX(0,($B$6+$B$10)-IF($B$1+21&gt;=$B$23,$B$22,0))*(1+$B$4)^21))*IF(W113+IF($B$1+21&lt;=$B113,12*($B$7-$B$10),-12*MAX(0,($B$6+$B$10)-IF($B$1+21&gt;=$B$23,$B$22,0))*(1+$B$4)^21)&gt;0,1+$B$3,1))</f>
        <v/>
      </c>
      <c r="Y113">
        <f>IF($B$1+22&gt;90,X113,(X113+IF($B$1+22&lt;=$B113,12*($B$7-$B$10),-12*MAX(0,($B$6+$B$10)-IF($B$1+22&gt;=$B$23,$B$22,0))*(1+$B$4)^22))*IF(X113+IF($B$1+22&lt;=$B113,12*($B$7-$B$10),-12*MAX(0,($B$6+$B$10)-IF($B$1+22&gt;=$B$23,$B$22,0))*(1+$B$4)^22)&gt;0,1+$B$3,1))</f>
        <v/>
      </c>
      <c r="Z113">
        <f>IF($B$1+23&gt;90,Y113,(Y113+IF($B$1+23&lt;=$B113,12*($B$7-$B$10),-12*MAX(0,($B$6+$B$10)-IF($B$1+23&gt;=$B$23,$B$22,0))*(1+$B$4)^23))*IF(Y113+IF($B$1+23&lt;=$B113,12*($B$7-$B$10),-12*MAX(0,($B$6+$B$10)-IF($B$1+23&gt;=$B$23,$B$22,0))*(1+$B$4)^23)&gt;0,1+$B$3,1))</f>
        <v/>
      </c>
      <c r="AA113">
        <f>IF($B$1+24&gt;90,Z113,(Z113+IF($B$1+24&lt;=$B113,12*($B$7-$B$10),-12*MAX(0,($B$6+$B$10)-IF($B$1+24&gt;=$B$23,$B$22,0))*(1+$B$4)^24))*IF(Z113+IF($B$1+24&lt;=$B113,12*($B$7-$B$10),-12*MAX(0,($B$6+$B$10)-IF($B$1+24&gt;=$B$23,$B$22,0))*(1+$B$4)^24)&gt;0,1+$B$3,1))</f>
        <v/>
      </c>
      <c r="AB113">
        <f>IF($B$1+25&gt;90,AA113,(AA113+IF($B$1+25&lt;=$B113,12*($B$7-$B$10),-12*MAX(0,($B$6+$B$10)-IF($B$1+25&gt;=$B$23,$B$22,0))*(1+$B$4)^25))*IF(AA113+IF($B$1+25&lt;=$B113,12*($B$7-$B$10),-12*MAX(0,($B$6+$B$10)-IF($B$1+25&gt;=$B$23,$B$22,0))*(1+$B$4)^25)&gt;0,1+$B$3,1))</f>
        <v/>
      </c>
      <c r="AC113">
        <f>IF($B$1+26&gt;90,AB113,(AB113+IF($B$1+26&lt;=$B113,12*($B$7-$B$10),-12*MAX(0,($B$6+$B$10)-IF($B$1+26&gt;=$B$23,$B$22,0))*(1+$B$4)^26))*IF(AB113+IF($B$1+26&lt;=$B113,12*($B$7-$B$10),-12*MAX(0,($B$6+$B$10)-IF($B$1+26&gt;=$B$23,$B$22,0))*(1+$B$4)^26)&gt;0,1+$B$3,1))</f>
        <v/>
      </c>
      <c r="AD113">
        <f>IF($B$1+27&gt;90,AC113,(AC113+IF($B$1+27&lt;=$B113,12*($B$7-$B$10),-12*MAX(0,($B$6+$B$10)-IF($B$1+27&gt;=$B$23,$B$22,0))*(1+$B$4)^27))*IF(AC113+IF($B$1+27&lt;=$B113,12*($B$7-$B$10),-12*MAX(0,($B$6+$B$10)-IF($B$1+27&gt;=$B$23,$B$22,0))*(1+$B$4)^27)&gt;0,1+$B$3,1))</f>
        <v/>
      </c>
      <c r="AE113">
        <f>IF($B$1+28&gt;90,AD113,(AD113+IF($B$1+28&lt;=$B113,12*($B$7-$B$10),-12*MAX(0,($B$6+$B$10)-IF($B$1+28&gt;=$B$23,$B$22,0))*(1+$B$4)^28))*IF(AD113+IF($B$1+28&lt;=$B113,12*($B$7-$B$10),-12*MAX(0,($B$6+$B$10)-IF($B$1+28&gt;=$B$23,$B$22,0))*(1+$B$4)^28)&gt;0,1+$B$3,1))</f>
        <v/>
      </c>
      <c r="AF113">
        <f>IF($B$1+29&gt;90,AE113,(AE113+IF($B$1+29&lt;=$B113,12*($B$7-$B$10),-12*MAX(0,($B$6+$B$10)-IF($B$1+29&gt;=$B$23,$B$22,0))*(1+$B$4)^29))*IF(AE113+IF($B$1+29&lt;=$B113,12*($B$7-$B$10),-12*MAX(0,($B$6+$B$10)-IF($B$1+29&gt;=$B$23,$B$22,0))*(1+$B$4)^29)&gt;0,1+$B$3,1))</f>
        <v/>
      </c>
      <c r="AG113">
        <f>IF($B$1+30&gt;90,AF113,(AF113+IF($B$1+30&lt;=$B113,12*($B$7-$B$10),-12*MAX(0,($B$6+$B$10)-IF($B$1+30&gt;=$B$23,$B$22,0))*(1+$B$4)^30))*IF(AF113+IF($B$1+30&lt;=$B113,12*($B$7-$B$10),-12*MAX(0,($B$6+$B$10)-IF($B$1+30&gt;=$B$23,$B$22,0))*(1+$B$4)^30)&gt;0,1+$B$3,1))</f>
        <v/>
      </c>
      <c r="AH113">
        <f>IF($B$1+31&gt;90,AG113,(AG113+IF($B$1+31&lt;=$B113,12*($B$7-$B$10),-12*MAX(0,($B$6+$B$10)-IF($B$1+31&gt;=$B$23,$B$22,0))*(1+$B$4)^31))*IF(AG113+IF($B$1+31&lt;=$B113,12*($B$7-$B$10),-12*MAX(0,($B$6+$B$10)-IF($B$1+31&gt;=$B$23,$B$22,0))*(1+$B$4)^31)&gt;0,1+$B$3,1))</f>
        <v/>
      </c>
      <c r="AI113">
        <f>IF($B$1+32&gt;90,AH113,(AH113+IF($B$1+32&lt;=$B113,12*($B$7-$B$10),-12*MAX(0,($B$6+$B$10)-IF($B$1+32&gt;=$B$23,$B$22,0))*(1+$B$4)^32))*IF(AH113+IF($B$1+32&lt;=$B113,12*($B$7-$B$10),-12*MAX(0,($B$6+$B$10)-IF($B$1+32&gt;=$B$23,$B$22,0))*(1+$B$4)^32)&gt;0,1+$B$3,1))</f>
        <v/>
      </c>
      <c r="AJ113">
        <f>IF($B$1+33&gt;90,AI113,(AI113+IF($B$1+33&lt;=$B113,12*($B$7-$B$10),-12*MAX(0,($B$6+$B$10)-IF($B$1+33&gt;=$B$23,$B$22,0))*(1+$B$4)^33))*IF(AI113+IF($B$1+33&lt;=$B113,12*($B$7-$B$10),-12*MAX(0,($B$6+$B$10)-IF($B$1+33&gt;=$B$23,$B$22,0))*(1+$B$4)^33)&gt;0,1+$B$3,1))</f>
        <v/>
      </c>
      <c r="AK113">
        <f>IF($B$1+34&gt;90,AJ113,(AJ113+IF($B$1+34&lt;=$B113,12*($B$7-$B$10),-12*MAX(0,($B$6+$B$10)-IF($B$1+34&gt;=$B$23,$B$22,0))*(1+$B$4)^34))*IF(AJ113+IF($B$1+34&lt;=$B113,12*($B$7-$B$10),-12*MAX(0,($B$6+$B$10)-IF($B$1+34&gt;=$B$23,$B$22,0))*(1+$B$4)^34)&gt;0,1+$B$3,1))</f>
        <v/>
      </c>
      <c r="AL113">
        <f>IF($B$1+35&gt;90,AK113,(AK113+IF($B$1+35&lt;=$B113,12*($B$7-$B$10),-12*MAX(0,($B$6+$B$10)-IF($B$1+35&gt;=$B$23,$B$22,0))*(1+$B$4)^35))*IF(AK113+IF($B$1+35&lt;=$B113,12*($B$7-$B$10),-12*MAX(0,($B$6+$B$10)-IF($B$1+35&gt;=$B$23,$B$22,0))*(1+$B$4)^35)&gt;0,1+$B$3,1))</f>
        <v/>
      </c>
      <c r="AM113">
        <f>IF($B$1+36&gt;90,AL113,(AL113+IF($B$1+36&lt;=$B113,12*($B$7-$B$10),-12*MAX(0,($B$6+$B$10)-IF($B$1+36&gt;=$B$23,$B$22,0))*(1+$B$4)^36))*IF(AL113+IF($B$1+36&lt;=$B113,12*($B$7-$B$10),-12*MAX(0,($B$6+$B$10)-IF($B$1+36&gt;=$B$23,$B$22,0))*(1+$B$4)^36)&gt;0,1+$B$3,1))</f>
        <v/>
      </c>
      <c r="AN113">
        <f>IF($B$1+37&gt;90,AM113,(AM113+IF($B$1+37&lt;=$B113,12*($B$7-$B$10),-12*MAX(0,($B$6+$B$10)-IF($B$1+37&gt;=$B$23,$B$22,0))*(1+$B$4)^37))*IF(AM113+IF($B$1+37&lt;=$B113,12*($B$7-$B$10),-12*MAX(0,($B$6+$B$10)-IF($B$1+37&gt;=$B$23,$B$22,0))*(1+$B$4)^37)&gt;0,1+$B$3,1))</f>
        <v/>
      </c>
      <c r="AO113">
        <f>IF($B$1+38&gt;90,AN113,(AN113+IF($B$1+38&lt;=$B113,12*($B$7-$B$10),-12*MAX(0,($B$6+$B$10)-IF($B$1+38&gt;=$B$23,$B$22,0))*(1+$B$4)^38))*IF(AN113+IF($B$1+38&lt;=$B113,12*($B$7-$B$10),-12*MAX(0,($B$6+$B$10)-IF($B$1+38&gt;=$B$23,$B$22,0))*(1+$B$4)^38)&gt;0,1+$B$3,1))</f>
        <v/>
      </c>
      <c r="AP113">
        <f>IF($B$1+39&gt;90,AO113,(AO113+IF($B$1+39&lt;=$B113,12*($B$7-$B$10),-12*MAX(0,($B$6+$B$10)-IF($B$1+39&gt;=$B$23,$B$22,0))*(1+$B$4)^39))*IF(AO113+IF($B$1+39&lt;=$B113,12*($B$7-$B$10),-12*MAX(0,($B$6+$B$10)-IF($B$1+39&gt;=$B$23,$B$22,0))*(1+$B$4)^39)&gt;0,1+$B$3,1))</f>
        <v/>
      </c>
      <c r="AQ113">
        <f>IF($B$1+40&gt;90,AP113,(AP113+IF($B$1+40&lt;=$B113,12*($B$7-$B$10),-12*MAX(0,($B$6+$B$10)-IF($B$1+40&gt;=$B$23,$B$22,0))*(1+$B$4)^40))*IF(AP113+IF($B$1+40&lt;=$B113,12*($B$7-$B$10),-12*MAX(0,($B$6+$B$10)-IF($B$1+40&gt;=$B$23,$B$22,0))*(1+$B$4)^40)&gt;0,1+$B$3,1))</f>
        <v/>
      </c>
      <c r="AR113">
        <f>IF($B$1+41&gt;90,AQ113,(AQ113+IF($B$1+41&lt;=$B113,12*($B$7-$B$10),-12*MAX(0,($B$6+$B$10)-IF($B$1+41&gt;=$B$23,$B$22,0))*(1+$B$4)^41))*IF(AQ113+IF($B$1+41&lt;=$B113,12*($B$7-$B$10),-12*MAX(0,($B$6+$B$10)-IF($B$1+41&gt;=$B$23,$B$22,0))*(1+$B$4)^41)&gt;0,1+$B$3,1))</f>
        <v/>
      </c>
      <c r="AS113">
        <f>IF($B$1+42&gt;90,AR113,(AR113+IF($B$1+42&lt;=$B113,12*($B$7-$B$10),-12*MAX(0,($B$6+$B$10)-IF($B$1+42&gt;=$B$23,$B$22,0))*(1+$B$4)^42))*IF(AR113+IF($B$1+42&lt;=$B113,12*($B$7-$B$10),-12*MAX(0,($B$6+$B$10)-IF($B$1+42&gt;=$B$23,$B$22,0))*(1+$B$4)^42)&gt;0,1+$B$3,1))</f>
        <v/>
      </c>
      <c r="AT113">
        <f>IF($B$1+43&gt;90,AS113,(AS113+IF($B$1+43&lt;=$B113,12*($B$7-$B$10),-12*MAX(0,($B$6+$B$10)-IF($B$1+43&gt;=$B$23,$B$22,0))*(1+$B$4)^43))*IF(AS113+IF($B$1+43&lt;=$B113,12*($B$7-$B$10),-12*MAX(0,($B$6+$B$10)-IF($B$1+43&gt;=$B$23,$B$22,0))*(1+$B$4)^43)&gt;0,1+$B$3,1))</f>
        <v/>
      </c>
      <c r="AU113">
        <f>IF($B$1+44&gt;90,AT113,(AT113+IF($B$1+44&lt;=$B113,12*($B$7-$B$10),-12*MAX(0,($B$6+$B$10)-IF($B$1+44&gt;=$B$23,$B$22,0))*(1+$B$4)^44))*IF(AT113+IF($B$1+44&lt;=$B113,12*($B$7-$B$10),-12*MAX(0,($B$6+$B$10)-IF($B$1+44&gt;=$B$23,$B$22,0))*(1+$B$4)^44)&gt;0,1+$B$3,1))</f>
        <v/>
      </c>
      <c r="AV113">
        <f>IF($B$1+45&gt;90,AU113,(AU113+IF($B$1+45&lt;=$B113,12*($B$7-$B$10),-12*MAX(0,($B$6+$B$10)-IF($B$1+45&gt;=$B$23,$B$22,0))*(1+$B$4)^45))*IF(AU113+IF($B$1+45&lt;=$B113,12*($B$7-$B$10),-12*MAX(0,($B$6+$B$10)-IF($B$1+45&gt;=$B$23,$B$22,0))*(1+$B$4)^45)&gt;0,1+$B$3,1))</f>
        <v/>
      </c>
      <c r="AW113">
        <f>IF($B$1+46&gt;90,AV113,(AV113+IF($B$1+46&lt;=$B113,12*($B$7-$B$10),-12*MAX(0,($B$6+$B$10)-IF($B$1+46&gt;=$B$23,$B$22,0))*(1+$B$4)^46))*IF(AV113+IF($B$1+46&lt;=$B113,12*($B$7-$B$10),-12*MAX(0,($B$6+$B$10)-IF($B$1+46&gt;=$B$23,$B$22,0))*(1+$B$4)^46)&gt;0,1+$B$3,1))</f>
        <v/>
      </c>
      <c r="AX113">
        <f>IF($B$1+47&gt;90,AW113,(AW113+IF($B$1+47&lt;=$B113,12*($B$7-$B$10),-12*MAX(0,($B$6+$B$10)-IF($B$1+47&gt;=$B$23,$B$22,0))*(1+$B$4)^47))*IF(AW113+IF($B$1+47&lt;=$B113,12*($B$7-$B$10),-12*MAX(0,($B$6+$B$10)-IF($B$1+47&gt;=$B$23,$B$22,0))*(1+$B$4)^47)&gt;0,1+$B$3,1))</f>
        <v/>
      </c>
      <c r="AY113">
        <f>IF($B$1+48&gt;90,AX113,(AX113+IF($B$1+48&lt;=$B113,12*($B$7-$B$10),-12*MAX(0,($B$6+$B$10)-IF($B$1+48&gt;=$B$23,$B$22,0))*(1+$B$4)^48))*IF(AX113+IF($B$1+48&lt;=$B113,12*($B$7-$B$10),-12*MAX(0,($B$6+$B$10)-IF($B$1+48&gt;=$B$23,$B$22,0))*(1+$B$4)^48)&gt;0,1+$B$3,1))</f>
        <v/>
      </c>
      <c r="AZ113">
        <f>IF($B$1+49&gt;90,AY113,(AY113+IF($B$1+49&lt;=$B113,12*($B$7-$B$10),-12*MAX(0,($B$6+$B$10)-IF($B$1+49&gt;=$B$23,$B$22,0))*(1+$B$4)^49))*IF(AY113+IF($B$1+49&lt;=$B113,12*($B$7-$B$10),-12*MAX(0,($B$6+$B$10)-IF($B$1+49&gt;=$B$23,$B$22,0))*(1+$B$4)^49)&gt;0,1+$B$3,1))</f>
        <v/>
      </c>
      <c r="BA113">
        <f>IF($B$1+50&gt;90,AZ113,(AZ113+IF($B$1+50&lt;=$B113,12*($B$7-$B$10),-12*MAX(0,($B$6+$B$10)-IF($B$1+50&gt;=$B$23,$B$22,0))*(1+$B$4)^50))*IF(AZ113+IF($B$1+50&lt;=$B113,12*($B$7-$B$10),-12*MAX(0,($B$6+$B$10)-IF($B$1+50&gt;=$B$23,$B$22,0))*(1+$B$4)^50)&gt;0,1+$B$3,1))</f>
        <v/>
      </c>
      <c r="BB113">
        <f>IF($B$1+51&gt;90,BA113,(BA113+IF($B$1+51&lt;=$B113,12*($B$7-$B$10),-12*MAX(0,($B$6+$B$10)-IF($B$1+51&gt;=$B$23,$B$22,0))*(1+$B$4)^51))*IF(BA113+IF($B$1+51&lt;=$B113,12*($B$7-$B$10),-12*MAX(0,($B$6+$B$10)-IF($B$1+51&gt;=$B$23,$B$22,0))*(1+$B$4)^51)&gt;0,1+$B$3,1))</f>
        <v/>
      </c>
      <c r="BC113">
        <f>IF($B$1+52&gt;90,BB113,(BB113+IF($B$1+52&lt;=$B113,12*($B$7-$B$10),-12*MAX(0,($B$6+$B$10)-IF($B$1+52&gt;=$B$23,$B$22,0))*(1+$B$4)^52))*IF(BB113+IF($B$1+52&lt;=$B113,12*($B$7-$B$10),-12*MAX(0,($B$6+$B$10)-IF($B$1+52&gt;=$B$23,$B$22,0))*(1+$B$4)^52)&gt;0,1+$B$3,1))</f>
        <v/>
      </c>
      <c r="BD113">
        <f>IF($B$1+53&gt;90,BC113,(BC113+IF($B$1+53&lt;=$B113,12*($B$7-$B$10),-12*MAX(0,($B$6+$B$10)-IF($B$1+53&gt;=$B$23,$B$22,0))*(1+$B$4)^53))*IF(BC113+IF($B$1+53&lt;=$B113,12*($B$7-$B$10),-12*MAX(0,($B$6+$B$10)-IF($B$1+53&gt;=$B$23,$B$22,0))*(1+$B$4)^53)&gt;0,1+$B$3,1))</f>
        <v/>
      </c>
      <c r="BE113">
        <f>IF($B$1+54&gt;90,BD113,(BD113+IF($B$1+54&lt;=$B113,12*($B$7-$B$10),-12*MAX(0,($B$6+$B$10)-IF($B$1+54&gt;=$B$23,$B$22,0))*(1+$B$4)^54))*IF(BD113+IF($B$1+54&lt;=$B113,12*($B$7-$B$10),-12*MAX(0,($B$6+$B$10)-IF($B$1+54&gt;=$B$23,$B$22,0))*(1+$B$4)^54)&gt;0,1+$B$3,1))</f>
        <v/>
      </c>
      <c r="BF113">
        <f>IF($B$1+55&gt;90,BE113,(BE113+IF($B$1+55&lt;=$B113,12*($B$7-$B$10),-12*MAX(0,($B$6+$B$10)-IF($B$1+55&gt;=$B$23,$B$22,0))*(1+$B$4)^55))*IF(BE113+IF($B$1+55&lt;=$B113,12*($B$7-$B$10),-12*MAX(0,($B$6+$B$10)-IF($B$1+55&gt;=$B$23,$B$22,0))*(1+$B$4)^55)&gt;0,1+$B$3,1))</f>
        <v/>
      </c>
      <c r="BG113">
        <f>IF($B$1+56&gt;90,BF113,(BF113+IF($B$1+56&lt;=$B113,12*($B$7-$B$10),-12*MAX(0,($B$6+$B$10)-IF($B$1+56&gt;=$B$23,$B$22,0))*(1+$B$4)^56))*IF(BF113+IF($B$1+56&lt;=$B113,12*($B$7-$B$10),-12*MAX(0,($B$6+$B$10)-IF($B$1+56&gt;=$B$23,$B$22,0))*(1+$B$4)^56)&gt;0,1+$B$3,1))</f>
        <v/>
      </c>
      <c r="BH113">
        <f>IF($B$1+57&gt;90,BG113,(BG113+IF($B$1+57&lt;=$B113,12*($B$7-$B$10),-12*MAX(0,($B$6+$B$10)-IF($B$1+57&gt;=$B$23,$B$22,0))*(1+$B$4)^57))*IF(BG113+IF($B$1+57&lt;=$B113,12*($B$7-$B$10),-12*MAX(0,($B$6+$B$10)-IF($B$1+57&gt;=$B$23,$B$22,0))*(1+$B$4)^57)&gt;0,1+$B$3,1))</f>
        <v/>
      </c>
      <c r="BI113">
        <f>IF($B$1+58&gt;90,BH113,(BH113+IF($B$1+58&lt;=$B113,12*($B$7-$B$10),-12*MAX(0,($B$6+$B$10)-IF($B$1+58&gt;=$B$23,$B$22,0))*(1+$B$4)^58))*IF(BH113+IF($B$1+58&lt;=$B113,12*($B$7-$B$10),-12*MAX(0,($B$6+$B$10)-IF($B$1+58&gt;=$B$23,$B$22,0))*(1+$B$4)^58)&gt;0,1+$B$3,1))</f>
        <v/>
      </c>
      <c r="BJ113">
        <f>IF($B$1+59&gt;90,BI113,(BI113+IF($B$1+59&lt;=$B113,12*($B$7-$B$10),-12*MAX(0,($B$6+$B$10)-IF($B$1+59&gt;=$B$23,$B$22,0))*(1+$B$4)^59))*IF(BI113+IF($B$1+59&lt;=$B113,12*($B$7-$B$10),-12*MAX(0,($B$6+$B$10)-IF($B$1+59&gt;=$B$23,$B$22,0))*(1+$B$4)^59)&gt;0,1+$B$3,1))</f>
        <v/>
      </c>
      <c r="BK113">
        <f>IF($B$1+60&gt;90,BJ113,(BJ113+IF($B$1+60&lt;=$B113,12*($B$7-$B$10),-12*MAX(0,($B$6+$B$10)-IF($B$1+60&gt;=$B$23,$B$22,0))*(1+$B$4)^60))*IF(BJ113+IF($B$1+60&lt;=$B113,12*($B$7-$B$10),-12*MAX(0,($B$6+$B$10)-IF($B$1+60&gt;=$B$23,$B$22,0))*(1+$B$4)^60)&gt;0,1+$B$3,1))</f>
        <v/>
      </c>
      <c r="BL113">
        <f>IF($B$1+61&gt;90,BK113,(BK113+IF($B$1+61&lt;=$B113,12*($B$7-$B$10),-12*MAX(0,($B$6+$B$10)-IF($B$1+61&gt;=$B$23,$B$22,0))*(1+$B$4)^61))*IF(BK113+IF($B$1+61&lt;=$B113,12*($B$7-$B$10),-12*MAX(0,($B$6+$B$10)-IF($B$1+61&gt;=$B$23,$B$22,0))*(1+$B$4)^61)&gt;0,1+$B$3,1))</f>
        <v/>
      </c>
      <c r="BM113">
        <f>IF($B$1+62&gt;90,BL113,(BL113+IF($B$1+62&lt;=$B113,12*($B$7-$B$10),-12*MAX(0,($B$6+$B$10)-IF($B$1+62&gt;=$B$23,$B$22,0))*(1+$B$4)^62))*IF(BL113+IF($B$1+62&lt;=$B113,12*($B$7-$B$10),-12*MAX(0,($B$6+$B$10)-IF($B$1+62&gt;=$B$23,$B$22,0))*(1+$B$4)^62)&gt;0,1+$B$3,1))</f>
        <v/>
      </c>
      <c r="BN113">
        <f>IF($B$1+63&gt;90,BM113,(BM113+IF($B$1+63&lt;=$B113,12*($B$7-$B$10),-12*MAX(0,($B$6+$B$10)-IF($B$1+63&gt;=$B$23,$B$22,0))*(1+$B$4)^63))*IF(BM113+IF($B$1+63&lt;=$B113,12*($B$7-$B$10),-12*MAX(0,($B$6+$B$10)-IF($B$1+63&gt;=$B$23,$B$22,0))*(1+$B$4)^63)&gt;0,1+$B$3,1))</f>
        <v/>
      </c>
      <c r="BO113">
        <f>IF($B$1+64&gt;90,BN113,(BN113+IF($B$1+64&lt;=$B113,12*($B$7-$B$10),-12*MAX(0,($B$6+$B$10)-IF($B$1+64&gt;=$B$23,$B$22,0))*(1+$B$4)^64))*IF(BN113+IF($B$1+64&lt;=$B113,12*($B$7-$B$10),-12*MAX(0,($B$6+$B$10)-IF($B$1+64&gt;=$B$23,$B$22,0))*(1+$B$4)^64)&gt;0,1+$B$3,1))</f>
        <v/>
      </c>
      <c r="BP113">
        <f>IF($B$1+65&gt;90,BO113,(BO113+IF($B$1+65&lt;=$B113,12*($B$7-$B$10),-12*MAX(0,($B$6+$B$10)-IF($B$1+65&gt;=$B$23,$B$22,0))*(1+$B$4)^65))*IF(BO113+IF($B$1+65&lt;=$B113,12*($B$7-$B$10),-12*MAX(0,($B$6+$B$10)-IF($B$1+65&gt;=$B$23,$B$22,0))*(1+$B$4)^65)&gt;0,1+$B$3,1))</f>
        <v/>
      </c>
      <c r="BQ113">
        <f>IF($B$1+66&gt;90,BP113,(BP113+IF($B$1+66&lt;=$B113,12*($B$7-$B$10),-12*MAX(0,($B$6+$B$10)-IF($B$1+66&gt;=$B$23,$B$22,0))*(1+$B$4)^66))*IF(BP113+IF($B$1+66&lt;=$B113,12*($B$7-$B$10),-12*MAX(0,($B$6+$B$10)-IF($B$1+66&gt;=$B$23,$B$22,0))*(1+$B$4)^66)&gt;0,1+$B$3,1))</f>
        <v/>
      </c>
      <c r="BR113">
        <f>IF($B$1+67&gt;90,BQ113,(BQ113+IF($B$1+67&lt;=$B113,12*($B$7-$B$10),-12*MAX(0,($B$6+$B$10)-IF($B$1+67&gt;=$B$23,$B$22,0))*(1+$B$4)^67))*IF(BQ113+IF($B$1+67&lt;=$B113,12*($B$7-$B$10),-12*MAX(0,($B$6+$B$10)-IF($B$1+67&gt;=$B$23,$B$22,0))*(1+$B$4)^67)&gt;0,1+$B$3,1))</f>
        <v/>
      </c>
      <c r="BS113">
        <f>IF($B$1+68&gt;90,BR113,(BR113+IF($B$1+68&lt;=$B113,12*($B$7-$B$10),-12*MAX(0,($B$6+$B$10)-IF($B$1+68&gt;=$B$23,$B$22,0))*(1+$B$4)^68))*IF(BR113+IF($B$1+68&lt;=$B113,12*($B$7-$B$10),-12*MAX(0,($B$6+$B$10)-IF($B$1+68&gt;=$B$23,$B$22,0))*(1+$B$4)^68)&gt;0,1+$B$3,1))</f>
        <v/>
      </c>
      <c r="BT113">
        <f>IF($B$1+69&gt;90,BS113,(BS113+IF($B$1+69&lt;=$B113,12*($B$7-$B$10),-12*MAX(0,($B$6+$B$10)-IF($B$1+69&gt;=$B$23,$B$22,0))*(1+$B$4)^69))*IF(BS113+IF($B$1+69&lt;=$B113,12*($B$7-$B$10),-12*MAX(0,($B$6+$B$10)-IF($B$1+69&gt;=$B$23,$B$22,0))*(1+$B$4)^69)&gt;0,1+$B$3,1))</f>
        <v/>
      </c>
      <c r="BU113">
        <f>IF($B$1+70&gt;90,BT113,(BT113+IF($B$1+70&lt;=$B113,12*($B$7-$B$10),-12*MAX(0,($B$6+$B$10)-IF($B$1+70&gt;=$B$23,$B$22,0))*(1+$B$4)^70))*IF(BT113+IF($B$1+70&lt;=$B113,12*($B$7-$B$10),-12*MAX(0,($B$6+$B$10)-IF($B$1+70&gt;=$B$23,$B$22,0))*(1+$B$4)^70)&gt;0,1+$B$3,1))</f>
        <v/>
      </c>
      <c r="BV113">
        <f>BU113</f>
        <v/>
      </c>
      <c r="BW113">
        <f>IF(AND($B113&lt;=70,BV113&gt;0),$B113,999)</f>
        <v/>
      </c>
      <c r="CH113">
        <f>IF(ISTEXT('월 가계부'!A113),SUBSTITUTE(SUBSTITUTE(SUBSTITUTE(SUBSTITUTE(SUBSTITUTE(SUBSTITUTE(SUBSTITUTE(SUBSTITUTE(SUBSTITUTE(TRIM('월 가계부'!A113),"년","-"),"월","-"),"일",""),".","-"),"/","-")," ","-"),"--","-"),"--","-"),"--","-")&amp;"-","")</f>
        <v/>
      </c>
      <c r="CI113">
        <f>IFERROR(IF('월 가계부'!A113="","",IF(ISNUMBER('월 가계부'!A113),IF(AND('월 가계부'!A113&gt;=19000101,'월 가계부'!A113&lt;=21001231),IF(AND(MOD(INT('월 가계부'!A113/100),100)&gt;=1,MOD(INT('월 가계부'!A113/100),100)&lt;=12,MOD(INT('월 가계부'!A113),100)&gt;=1,MOD(INT('월 가계부'!A113),100)&lt;=31),IF(MONTH(DATE(INT('월 가계부'!A113/10000),MOD(INT('월 가계부'!A113/100),100),MOD(INT('월 가계부'!A113),100)))=MOD(INT('월 가계부'!A113/100),100),DATE(INT('월 가계부'!A113/10000),MOD(INT('월 가계부'!A113/100),100),MOD(INT('월 가계부'!A113),100)),""),""),IF(AND('월 가계부'!A113&gt;=36526,'월 가계부'!A113&lt;73051),INT('월 가계부'!A113),"")),IF(OR(CM113="",CN113="",CO113=""),"",IF(AND(CM113&gt;=2000,CM113&lt;=2099,CN113&gt;=1,CN113&lt;=12,CO113&gt;=1,CO113&lt;=31),IF(MONTH(DATE(CM113,CN113,CO113))=CN113,DATE(CM113,CN113,CO113),""),"")))),"")</f>
        <v/>
      </c>
      <c r="CJ113">
        <f>IFERROR(IF('월 가계부'!C113="","",IF(ISNUMBER('월 가계부'!C113),'월 가계부'!C113,VALUE(SUBSTITUTE(SUBSTITUTE(SUBSTITUTE(SUBSTITUTE(TRIM('월 가계부'!C113),",",""),"원","")," ",""),"−","-")))),"")</f>
        <v/>
      </c>
      <c r="CK113">
        <f>IF(ISNUMBER(CI113),IF(CI113&lt;$B$13,CI113,""),"")</f>
        <v/>
      </c>
      <c r="CM113">
        <f>IF(CH113="","",IFERROR(IF(IF(AND(LEN(CH113)=9,ISERROR(FIND("-",LEFT(CH113,8))),ISNUMBER(-LEFT(CH113,8))),VALUE(LEFT(CH113,4)),VALUE(LEFT(CH113,FIND("-",CH113)-1)))&lt;100,IF(AND(LEN(CH113)=9,ISERROR(FIND("-",LEFT(CH113,8))),ISNUMBER(-LEFT(CH113,8))),VALUE(LEFT(CH113,4)),VALUE(LEFT(CH113,FIND("-",CH113)-1)))+2000,IF(AND(LEN(CH113)=9,ISERROR(FIND("-",LEFT(CH113,8))),ISNUMBER(-LEFT(CH113,8))),VALUE(LEFT(CH113,4)),VALUE(LEFT(CH113,FIND("-",CH113)-1)))),""))</f>
        <v/>
      </c>
      <c r="CN113">
        <f>IF(CH113="","",IFERROR(IF(AND(LEN(CH113)=9,ISERROR(FIND("-",LEFT(CH113,8))),ISNUMBER(-LEFT(CH113,8))),VALUE(MID(CH113,5,2)),VALUE(MID(CH113,FIND("-",CH113)+1,FIND("-",CH113,FIND("-",CH113)+1)-FIND("-",CH113)-1))),""))</f>
        <v/>
      </c>
      <c r="CO113">
        <f>IF(CH113="","",IFERROR(IF(AND(LEN(CH113)=9,ISERROR(FIND("-",LEFT(CH113,8))),ISNUMBER(-LEFT(CH113,8))),VALUE(MID(CH113,7,2)),VALUE(MID(CH113,FIND("-",CH113,FIND("-",CH113)+1)+1,FIND("-",CH113,FIND("-",CH113,FIND("-",CH113)+1)+1)-FIND("-",CH113,FIND("-",CH113)+1)-1))),""))</f>
        <v/>
      </c>
    </row>
    <row r="114">
      <c r="A114" t="n">
        <v>18</v>
      </c>
      <c r="B114">
        <f>$B$1+18</f>
        <v/>
      </c>
      <c r="C114">
        <f>$B$2</f>
        <v/>
      </c>
      <c r="D114">
        <f>IF($B$1+1&gt;90,C114,(C114+IF($B$1+1&lt;=$B114,12*($B$7-$B$10),-12*MAX(0,($B$6+$B$10)-IF($B$1+1&gt;=$B$23,$B$22,0))*(1+$B$4)^1))*IF(C114+IF($B$1+1&lt;=$B114,12*($B$7-$B$10),-12*MAX(0,($B$6+$B$10)-IF($B$1+1&gt;=$B$23,$B$22,0))*(1+$B$4)^1)&gt;0,1+$B$3,1))</f>
        <v/>
      </c>
      <c r="E114">
        <f>IF($B$1+2&gt;90,D114,(D114+IF($B$1+2&lt;=$B114,12*($B$7-$B$10),-12*MAX(0,($B$6+$B$10)-IF($B$1+2&gt;=$B$23,$B$22,0))*(1+$B$4)^2))*IF(D114+IF($B$1+2&lt;=$B114,12*($B$7-$B$10),-12*MAX(0,($B$6+$B$10)-IF($B$1+2&gt;=$B$23,$B$22,0))*(1+$B$4)^2)&gt;0,1+$B$3,1))</f>
        <v/>
      </c>
      <c r="F114">
        <f>IF($B$1+3&gt;90,E114,(E114+IF($B$1+3&lt;=$B114,12*($B$7-$B$10),-12*MAX(0,($B$6+$B$10)-IF($B$1+3&gt;=$B$23,$B$22,0))*(1+$B$4)^3))*IF(E114+IF($B$1+3&lt;=$B114,12*($B$7-$B$10),-12*MAX(0,($B$6+$B$10)-IF($B$1+3&gt;=$B$23,$B$22,0))*(1+$B$4)^3)&gt;0,1+$B$3,1))</f>
        <v/>
      </c>
      <c r="G114">
        <f>IF($B$1+4&gt;90,F114,(F114+IF($B$1+4&lt;=$B114,12*($B$7-$B$10),-12*MAX(0,($B$6+$B$10)-IF($B$1+4&gt;=$B$23,$B$22,0))*(1+$B$4)^4))*IF(F114+IF($B$1+4&lt;=$B114,12*($B$7-$B$10),-12*MAX(0,($B$6+$B$10)-IF($B$1+4&gt;=$B$23,$B$22,0))*(1+$B$4)^4)&gt;0,1+$B$3,1))</f>
        <v/>
      </c>
      <c r="H114">
        <f>IF($B$1+5&gt;90,G114,(G114+IF($B$1+5&lt;=$B114,12*($B$7-$B$10),-12*MAX(0,($B$6+$B$10)-IF($B$1+5&gt;=$B$23,$B$22,0))*(1+$B$4)^5))*IF(G114+IF($B$1+5&lt;=$B114,12*($B$7-$B$10),-12*MAX(0,($B$6+$B$10)-IF($B$1+5&gt;=$B$23,$B$22,0))*(1+$B$4)^5)&gt;0,1+$B$3,1))</f>
        <v/>
      </c>
      <c r="I114">
        <f>IF($B$1+6&gt;90,H114,(H114+IF($B$1+6&lt;=$B114,12*($B$7-$B$10),-12*MAX(0,($B$6+$B$10)-IF($B$1+6&gt;=$B$23,$B$22,0))*(1+$B$4)^6))*IF(H114+IF($B$1+6&lt;=$B114,12*($B$7-$B$10),-12*MAX(0,($B$6+$B$10)-IF($B$1+6&gt;=$B$23,$B$22,0))*(1+$B$4)^6)&gt;0,1+$B$3,1))</f>
        <v/>
      </c>
      <c r="J114">
        <f>IF($B$1+7&gt;90,I114,(I114+IF($B$1+7&lt;=$B114,12*($B$7-$B$10),-12*MAX(0,($B$6+$B$10)-IF($B$1+7&gt;=$B$23,$B$22,0))*(1+$B$4)^7))*IF(I114+IF($B$1+7&lt;=$B114,12*($B$7-$B$10),-12*MAX(0,($B$6+$B$10)-IF($B$1+7&gt;=$B$23,$B$22,0))*(1+$B$4)^7)&gt;0,1+$B$3,1))</f>
        <v/>
      </c>
      <c r="K114">
        <f>IF($B$1+8&gt;90,J114,(J114+IF($B$1+8&lt;=$B114,12*($B$7-$B$10),-12*MAX(0,($B$6+$B$10)-IF($B$1+8&gt;=$B$23,$B$22,0))*(1+$B$4)^8))*IF(J114+IF($B$1+8&lt;=$B114,12*($B$7-$B$10),-12*MAX(0,($B$6+$B$10)-IF($B$1+8&gt;=$B$23,$B$22,0))*(1+$B$4)^8)&gt;0,1+$B$3,1))</f>
        <v/>
      </c>
      <c r="L114">
        <f>IF($B$1+9&gt;90,K114,(K114+IF($B$1+9&lt;=$B114,12*($B$7-$B$10),-12*MAX(0,($B$6+$B$10)-IF($B$1+9&gt;=$B$23,$B$22,0))*(1+$B$4)^9))*IF(K114+IF($B$1+9&lt;=$B114,12*($B$7-$B$10),-12*MAX(0,($B$6+$B$10)-IF($B$1+9&gt;=$B$23,$B$22,0))*(1+$B$4)^9)&gt;0,1+$B$3,1))</f>
        <v/>
      </c>
      <c r="M114">
        <f>IF($B$1+10&gt;90,L114,(L114+IF($B$1+10&lt;=$B114,12*($B$7-$B$10),-12*MAX(0,($B$6+$B$10)-IF($B$1+10&gt;=$B$23,$B$22,0))*(1+$B$4)^10))*IF(L114+IF($B$1+10&lt;=$B114,12*($B$7-$B$10),-12*MAX(0,($B$6+$B$10)-IF($B$1+10&gt;=$B$23,$B$22,0))*(1+$B$4)^10)&gt;0,1+$B$3,1))</f>
        <v/>
      </c>
      <c r="N114">
        <f>IF($B$1+11&gt;90,M114,(M114+IF($B$1+11&lt;=$B114,12*($B$7-$B$10),-12*MAX(0,($B$6+$B$10)-IF($B$1+11&gt;=$B$23,$B$22,0))*(1+$B$4)^11))*IF(M114+IF($B$1+11&lt;=$B114,12*($B$7-$B$10),-12*MAX(0,($B$6+$B$10)-IF($B$1+11&gt;=$B$23,$B$22,0))*(1+$B$4)^11)&gt;0,1+$B$3,1))</f>
        <v/>
      </c>
      <c r="O114">
        <f>IF($B$1+12&gt;90,N114,(N114+IF($B$1+12&lt;=$B114,12*($B$7-$B$10),-12*MAX(0,($B$6+$B$10)-IF($B$1+12&gt;=$B$23,$B$22,0))*(1+$B$4)^12))*IF(N114+IF($B$1+12&lt;=$B114,12*($B$7-$B$10),-12*MAX(0,($B$6+$B$10)-IF($B$1+12&gt;=$B$23,$B$22,0))*(1+$B$4)^12)&gt;0,1+$B$3,1))</f>
        <v/>
      </c>
      <c r="P114">
        <f>IF($B$1+13&gt;90,O114,(O114+IF($B$1+13&lt;=$B114,12*($B$7-$B$10),-12*MAX(0,($B$6+$B$10)-IF($B$1+13&gt;=$B$23,$B$22,0))*(1+$B$4)^13))*IF(O114+IF($B$1+13&lt;=$B114,12*($B$7-$B$10),-12*MAX(0,($B$6+$B$10)-IF($B$1+13&gt;=$B$23,$B$22,0))*(1+$B$4)^13)&gt;0,1+$B$3,1))</f>
        <v/>
      </c>
      <c r="Q114">
        <f>IF($B$1+14&gt;90,P114,(P114+IF($B$1+14&lt;=$B114,12*($B$7-$B$10),-12*MAX(0,($B$6+$B$10)-IF($B$1+14&gt;=$B$23,$B$22,0))*(1+$B$4)^14))*IF(P114+IF($B$1+14&lt;=$B114,12*($B$7-$B$10),-12*MAX(0,($B$6+$B$10)-IF($B$1+14&gt;=$B$23,$B$22,0))*(1+$B$4)^14)&gt;0,1+$B$3,1))</f>
        <v/>
      </c>
      <c r="R114">
        <f>IF($B$1+15&gt;90,Q114,(Q114+IF($B$1+15&lt;=$B114,12*($B$7-$B$10),-12*MAX(0,($B$6+$B$10)-IF($B$1+15&gt;=$B$23,$B$22,0))*(1+$B$4)^15))*IF(Q114+IF($B$1+15&lt;=$B114,12*($B$7-$B$10),-12*MAX(0,($B$6+$B$10)-IF($B$1+15&gt;=$B$23,$B$22,0))*(1+$B$4)^15)&gt;0,1+$B$3,1))</f>
        <v/>
      </c>
      <c r="S114">
        <f>IF($B$1+16&gt;90,R114,(R114+IF($B$1+16&lt;=$B114,12*($B$7-$B$10),-12*MAX(0,($B$6+$B$10)-IF($B$1+16&gt;=$B$23,$B$22,0))*(1+$B$4)^16))*IF(R114+IF($B$1+16&lt;=$B114,12*($B$7-$B$10),-12*MAX(0,($B$6+$B$10)-IF($B$1+16&gt;=$B$23,$B$22,0))*(1+$B$4)^16)&gt;0,1+$B$3,1))</f>
        <v/>
      </c>
      <c r="T114">
        <f>IF($B$1+17&gt;90,S114,(S114+IF($B$1+17&lt;=$B114,12*($B$7-$B$10),-12*MAX(0,($B$6+$B$10)-IF($B$1+17&gt;=$B$23,$B$22,0))*(1+$B$4)^17))*IF(S114+IF($B$1+17&lt;=$B114,12*($B$7-$B$10),-12*MAX(0,($B$6+$B$10)-IF($B$1+17&gt;=$B$23,$B$22,0))*(1+$B$4)^17)&gt;0,1+$B$3,1))</f>
        <v/>
      </c>
      <c r="U114">
        <f>IF($B$1+18&gt;90,T114,(T114+IF($B$1+18&lt;=$B114,12*($B$7-$B$10),-12*MAX(0,($B$6+$B$10)-IF($B$1+18&gt;=$B$23,$B$22,0))*(1+$B$4)^18))*IF(T114+IF($B$1+18&lt;=$B114,12*($B$7-$B$10),-12*MAX(0,($B$6+$B$10)-IF($B$1+18&gt;=$B$23,$B$22,0))*(1+$B$4)^18)&gt;0,1+$B$3,1))</f>
        <v/>
      </c>
      <c r="V114">
        <f>IF($B$1+19&gt;90,U114,(U114+IF($B$1+19&lt;=$B114,12*($B$7-$B$10),-12*MAX(0,($B$6+$B$10)-IF($B$1+19&gt;=$B$23,$B$22,0))*(1+$B$4)^19))*IF(U114+IF($B$1+19&lt;=$B114,12*($B$7-$B$10),-12*MAX(0,($B$6+$B$10)-IF($B$1+19&gt;=$B$23,$B$22,0))*(1+$B$4)^19)&gt;0,1+$B$3,1))</f>
        <v/>
      </c>
      <c r="W114">
        <f>IF($B$1+20&gt;90,V114,(V114+IF($B$1+20&lt;=$B114,12*($B$7-$B$10),-12*MAX(0,($B$6+$B$10)-IF($B$1+20&gt;=$B$23,$B$22,0))*(1+$B$4)^20))*IF(V114+IF($B$1+20&lt;=$B114,12*($B$7-$B$10),-12*MAX(0,($B$6+$B$10)-IF($B$1+20&gt;=$B$23,$B$22,0))*(1+$B$4)^20)&gt;0,1+$B$3,1))</f>
        <v/>
      </c>
      <c r="X114">
        <f>IF($B$1+21&gt;90,W114,(W114+IF($B$1+21&lt;=$B114,12*($B$7-$B$10),-12*MAX(0,($B$6+$B$10)-IF($B$1+21&gt;=$B$23,$B$22,0))*(1+$B$4)^21))*IF(W114+IF($B$1+21&lt;=$B114,12*($B$7-$B$10),-12*MAX(0,($B$6+$B$10)-IF($B$1+21&gt;=$B$23,$B$22,0))*(1+$B$4)^21)&gt;0,1+$B$3,1))</f>
        <v/>
      </c>
      <c r="Y114">
        <f>IF($B$1+22&gt;90,X114,(X114+IF($B$1+22&lt;=$B114,12*($B$7-$B$10),-12*MAX(0,($B$6+$B$10)-IF($B$1+22&gt;=$B$23,$B$22,0))*(1+$B$4)^22))*IF(X114+IF($B$1+22&lt;=$B114,12*($B$7-$B$10),-12*MAX(0,($B$6+$B$10)-IF($B$1+22&gt;=$B$23,$B$22,0))*(1+$B$4)^22)&gt;0,1+$B$3,1))</f>
        <v/>
      </c>
      <c r="Z114">
        <f>IF($B$1+23&gt;90,Y114,(Y114+IF($B$1+23&lt;=$B114,12*($B$7-$B$10),-12*MAX(0,($B$6+$B$10)-IF($B$1+23&gt;=$B$23,$B$22,0))*(1+$B$4)^23))*IF(Y114+IF($B$1+23&lt;=$B114,12*($B$7-$B$10),-12*MAX(0,($B$6+$B$10)-IF($B$1+23&gt;=$B$23,$B$22,0))*(1+$B$4)^23)&gt;0,1+$B$3,1))</f>
        <v/>
      </c>
      <c r="AA114">
        <f>IF($B$1+24&gt;90,Z114,(Z114+IF($B$1+24&lt;=$B114,12*($B$7-$B$10),-12*MAX(0,($B$6+$B$10)-IF($B$1+24&gt;=$B$23,$B$22,0))*(1+$B$4)^24))*IF(Z114+IF($B$1+24&lt;=$B114,12*($B$7-$B$10),-12*MAX(0,($B$6+$B$10)-IF($B$1+24&gt;=$B$23,$B$22,0))*(1+$B$4)^24)&gt;0,1+$B$3,1))</f>
        <v/>
      </c>
      <c r="AB114">
        <f>IF($B$1+25&gt;90,AA114,(AA114+IF($B$1+25&lt;=$B114,12*($B$7-$B$10),-12*MAX(0,($B$6+$B$10)-IF($B$1+25&gt;=$B$23,$B$22,0))*(1+$B$4)^25))*IF(AA114+IF($B$1+25&lt;=$B114,12*($B$7-$B$10),-12*MAX(0,($B$6+$B$10)-IF($B$1+25&gt;=$B$23,$B$22,0))*(1+$B$4)^25)&gt;0,1+$B$3,1))</f>
        <v/>
      </c>
      <c r="AC114">
        <f>IF($B$1+26&gt;90,AB114,(AB114+IF($B$1+26&lt;=$B114,12*($B$7-$B$10),-12*MAX(0,($B$6+$B$10)-IF($B$1+26&gt;=$B$23,$B$22,0))*(1+$B$4)^26))*IF(AB114+IF($B$1+26&lt;=$B114,12*($B$7-$B$10),-12*MAX(0,($B$6+$B$10)-IF($B$1+26&gt;=$B$23,$B$22,0))*(1+$B$4)^26)&gt;0,1+$B$3,1))</f>
        <v/>
      </c>
      <c r="AD114">
        <f>IF($B$1+27&gt;90,AC114,(AC114+IF($B$1+27&lt;=$B114,12*($B$7-$B$10),-12*MAX(0,($B$6+$B$10)-IF($B$1+27&gt;=$B$23,$B$22,0))*(1+$B$4)^27))*IF(AC114+IF($B$1+27&lt;=$B114,12*($B$7-$B$10),-12*MAX(0,($B$6+$B$10)-IF($B$1+27&gt;=$B$23,$B$22,0))*(1+$B$4)^27)&gt;0,1+$B$3,1))</f>
        <v/>
      </c>
      <c r="AE114">
        <f>IF($B$1+28&gt;90,AD114,(AD114+IF($B$1+28&lt;=$B114,12*($B$7-$B$10),-12*MAX(0,($B$6+$B$10)-IF($B$1+28&gt;=$B$23,$B$22,0))*(1+$B$4)^28))*IF(AD114+IF($B$1+28&lt;=$B114,12*($B$7-$B$10),-12*MAX(0,($B$6+$B$10)-IF($B$1+28&gt;=$B$23,$B$22,0))*(1+$B$4)^28)&gt;0,1+$B$3,1))</f>
        <v/>
      </c>
      <c r="AF114">
        <f>IF($B$1+29&gt;90,AE114,(AE114+IF($B$1+29&lt;=$B114,12*($B$7-$B$10),-12*MAX(0,($B$6+$B$10)-IF($B$1+29&gt;=$B$23,$B$22,0))*(1+$B$4)^29))*IF(AE114+IF($B$1+29&lt;=$B114,12*($B$7-$B$10),-12*MAX(0,($B$6+$B$10)-IF($B$1+29&gt;=$B$23,$B$22,0))*(1+$B$4)^29)&gt;0,1+$B$3,1))</f>
        <v/>
      </c>
      <c r="AG114">
        <f>IF($B$1+30&gt;90,AF114,(AF114+IF($B$1+30&lt;=$B114,12*($B$7-$B$10),-12*MAX(0,($B$6+$B$10)-IF($B$1+30&gt;=$B$23,$B$22,0))*(1+$B$4)^30))*IF(AF114+IF($B$1+30&lt;=$B114,12*($B$7-$B$10),-12*MAX(0,($B$6+$B$10)-IF($B$1+30&gt;=$B$23,$B$22,0))*(1+$B$4)^30)&gt;0,1+$B$3,1))</f>
        <v/>
      </c>
      <c r="AH114">
        <f>IF($B$1+31&gt;90,AG114,(AG114+IF($B$1+31&lt;=$B114,12*($B$7-$B$10),-12*MAX(0,($B$6+$B$10)-IF($B$1+31&gt;=$B$23,$B$22,0))*(1+$B$4)^31))*IF(AG114+IF($B$1+31&lt;=$B114,12*($B$7-$B$10),-12*MAX(0,($B$6+$B$10)-IF($B$1+31&gt;=$B$23,$B$22,0))*(1+$B$4)^31)&gt;0,1+$B$3,1))</f>
        <v/>
      </c>
      <c r="AI114">
        <f>IF($B$1+32&gt;90,AH114,(AH114+IF($B$1+32&lt;=$B114,12*($B$7-$B$10),-12*MAX(0,($B$6+$B$10)-IF($B$1+32&gt;=$B$23,$B$22,0))*(1+$B$4)^32))*IF(AH114+IF($B$1+32&lt;=$B114,12*($B$7-$B$10),-12*MAX(0,($B$6+$B$10)-IF($B$1+32&gt;=$B$23,$B$22,0))*(1+$B$4)^32)&gt;0,1+$B$3,1))</f>
        <v/>
      </c>
      <c r="AJ114">
        <f>IF($B$1+33&gt;90,AI114,(AI114+IF($B$1+33&lt;=$B114,12*($B$7-$B$10),-12*MAX(0,($B$6+$B$10)-IF($B$1+33&gt;=$B$23,$B$22,0))*(1+$B$4)^33))*IF(AI114+IF($B$1+33&lt;=$B114,12*($B$7-$B$10),-12*MAX(0,($B$6+$B$10)-IF($B$1+33&gt;=$B$23,$B$22,0))*(1+$B$4)^33)&gt;0,1+$B$3,1))</f>
        <v/>
      </c>
      <c r="AK114">
        <f>IF($B$1+34&gt;90,AJ114,(AJ114+IF($B$1+34&lt;=$B114,12*($B$7-$B$10),-12*MAX(0,($B$6+$B$10)-IF($B$1+34&gt;=$B$23,$B$22,0))*(1+$B$4)^34))*IF(AJ114+IF($B$1+34&lt;=$B114,12*($B$7-$B$10),-12*MAX(0,($B$6+$B$10)-IF($B$1+34&gt;=$B$23,$B$22,0))*(1+$B$4)^34)&gt;0,1+$B$3,1))</f>
        <v/>
      </c>
      <c r="AL114">
        <f>IF($B$1+35&gt;90,AK114,(AK114+IF($B$1+35&lt;=$B114,12*($B$7-$B$10),-12*MAX(0,($B$6+$B$10)-IF($B$1+35&gt;=$B$23,$B$22,0))*(1+$B$4)^35))*IF(AK114+IF($B$1+35&lt;=$B114,12*($B$7-$B$10),-12*MAX(0,($B$6+$B$10)-IF($B$1+35&gt;=$B$23,$B$22,0))*(1+$B$4)^35)&gt;0,1+$B$3,1))</f>
        <v/>
      </c>
      <c r="AM114">
        <f>IF($B$1+36&gt;90,AL114,(AL114+IF($B$1+36&lt;=$B114,12*($B$7-$B$10),-12*MAX(0,($B$6+$B$10)-IF($B$1+36&gt;=$B$23,$B$22,0))*(1+$B$4)^36))*IF(AL114+IF($B$1+36&lt;=$B114,12*($B$7-$B$10),-12*MAX(0,($B$6+$B$10)-IF($B$1+36&gt;=$B$23,$B$22,0))*(1+$B$4)^36)&gt;0,1+$B$3,1))</f>
        <v/>
      </c>
      <c r="AN114">
        <f>IF($B$1+37&gt;90,AM114,(AM114+IF($B$1+37&lt;=$B114,12*($B$7-$B$10),-12*MAX(0,($B$6+$B$10)-IF($B$1+37&gt;=$B$23,$B$22,0))*(1+$B$4)^37))*IF(AM114+IF($B$1+37&lt;=$B114,12*($B$7-$B$10),-12*MAX(0,($B$6+$B$10)-IF($B$1+37&gt;=$B$23,$B$22,0))*(1+$B$4)^37)&gt;0,1+$B$3,1))</f>
        <v/>
      </c>
      <c r="AO114">
        <f>IF($B$1+38&gt;90,AN114,(AN114+IF($B$1+38&lt;=$B114,12*($B$7-$B$10),-12*MAX(0,($B$6+$B$10)-IF($B$1+38&gt;=$B$23,$B$22,0))*(1+$B$4)^38))*IF(AN114+IF($B$1+38&lt;=$B114,12*($B$7-$B$10),-12*MAX(0,($B$6+$B$10)-IF($B$1+38&gt;=$B$23,$B$22,0))*(1+$B$4)^38)&gt;0,1+$B$3,1))</f>
        <v/>
      </c>
      <c r="AP114">
        <f>IF($B$1+39&gt;90,AO114,(AO114+IF($B$1+39&lt;=$B114,12*($B$7-$B$10),-12*MAX(0,($B$6+$B$10)-IF($B$1+39&gt;=$B$23,$B$22,0))*(1+$B$4)^39))*IF(AO114+IF($B$1+39&lt;=$B114,12*($B$7-$B$10),-12*MAX(0,($B$6+$B$10)-IF($B$1+39&gt;=$B$23,$B$22,0))*(1+$B$4)^39)&gt;0,1+$B$3,1))</f>
        <v/>
      </c>
      <c r="AQ114">
        <f>IF($B$1+40&gt;90,AP114,(AP114+IF($B$1+40&lt;=$B114,12*($B$7-$B$10),-12*MAX(0,($B$6+$B$10)-IF($B$1+40&gt;=$B$23,$B$22,0))*(1+$B$4)^40))*IF(AP114+IF($B$1+40&lt;=$B114,12*($B$7-$B$10),-12*MAX(0,($B$6+$B$10)-IF($B$1+40&gt;=$B$23,$B$22,0))*(1+$B$4)^40)&gt;0,1+$B$3,1))</f>
        <v/>
      </c>
      <c r="AR114">
        <f>IF($B$1+41&gt;90,AQ114,(AQ114+IF($B$1+41&lt;=$B114,12*($B$7-$B$10),-12*MAX(0,($B$6+$B$10)-IF($B$1+41&gt;=$B$23,$B$22,0))*(1+$B$4)^41))*IF(AQ114+IF($B$1+41&lt;=$B114,12*($B$7-$B$10),-12*MAX(0,($B$6+$B$10)-IF($B$1+41&gt;=$B$23,$B$22,0))*(1+$B$4)^41)&gt;0,1+$B$3,1))</f>
        <v/>
      </c>
      <c r="AS114">
        <f>IF($B$1+42&gt;90,AR114,(AR114+IF($B$1+42&lt;=$B114,12*($B$7-$B$10),-12*MAX(0,($B$6+$B$10)-IF($B$1+42&gt;=$B$23,$B$22,0))*(1+$B$4)^42))*IF(AR114+IF($B$1+42&lt;=$B114,12*($B$7-$B$10),-12*MAX(0,($B$6+$B$10)-IF($B$1+42&gt;=$B$23,$B$22,0))*(1+$B$4)^42)&gt;0,1+$B$3,1))</f>
        <v/>
      </c>
      <c r="AT114">
        <f>IF($B$1+43&gt;90,AS114,(AS114+IF($B$1+43&lt;=$B114,12*($B$7-$B$10),-12*MAX(0,($B$6+$B$10)-IF($B$1+43&gt;=$B$23,$B$22,0))*(1+$B$4)^43))*IF(AS114+IF($B$1+43&lt;=$B114,12*($B$7-$B$10),-12*MAX(0,($B$6+$B$10)-IF($B$1+43&gt;=$B$23,$B$22,0))*(1+$B$4)^43)&gt;0,1+$B$3,1))</f>
        <v/>
      </c>
      <c r="AU114">
        <f>IF($B$1+44&gt;90,AT114,(AT114+IF($B$1+44&lt;=$B114,12*($B$7-$B$10),-12*MAX(0,($B$6+$B$10)-IF($B$1+44&gt;=$B$23,$B$22,0))*(1+$B$4)^44))*IF(AT114+IF($B$1+44&lt;=$B114,12*($B$7-$B$10),-12*MAX(0,($B$6+$B$10)-IF($B$1+44&gt;=$B$23,$B$22,0))*(1+$B$4)^44)&gt;0,1+$B$3,1))</f>
        <v/>
      </c>
      <c r="AV114">
        <f>IF($B$1+45&gt;90,AU114,(AU114+IF($B$1+45&lt;=$B114,12*($B$7-$B$10),-12*MAX(0,($B$6+$B$10)-IF($B$1+45&gt;=$B$23,$B$22,0))*(1+$B$4)^45))*IF(AU114+IF($B$1+45&lt;=$B114,12*($B$7-$B$10),-12*MAX(0,($B$6+$B$10)-IF($B$1+45&gt;=$B$23,$B$22,0))*(1+$B$4)^45)&gt;0,1+$B$3,1))</f>
        <v/>
      </c>
      <c r="AW114">
        <f>IF($B$1+46&gt;90,AV114,(AV114+IF($B$1+46&lt;=$B114,12*($B$7-$B$10),-12*MAX(0,($B$6+$B$10)-IF($B$1+46&gt;=$B$23,$B$22,0))*(1+$B$4)^46))*IF(AV114+IF($B$1+46&lt;=$B114,12*($B$7-$B$10),-12*MAX(0,($B$6+$B$10)-IF($B$1+46&gt;=$B$23,$B$22,0))*(1+$B$4)^46)&gt;0,1+$B$3,1))</f>
        <v/>
      </c>
      <c r="AX114">
        <f>IF($B$1+47&gt;90,AW114,(AW114+IF($B$1+47&lt;=$B114,12*($B$7-$B$10),-12*MAX(0,($B$6+$B$10)-IF($B$1+47&gt;=$B$23,$B$22,0))*(1+$B$4)^47))*IF(AW114+IF($B$1+47&lt;=$B114,12*($B$7-$B$10),-12*MAX(0,($B$6+$B$10)-IF($B$1+47&gt;=$B$23,$B$22,0))*(1+$B$4)^47)&gt;0,1+$B$3,1))</f>
        <v/>
      </c>
      <c r="AY114">
        <f>IF($B$1+48&gt;90,AX114,(AX114+IF($B$1+48&lt;=$B114,12*($B$7-$B$10),-12*MAX(0,($B$6+$B$10)-IF($B$1+48&gt;=$B$23,$B$22,0))*(1+$B$4)^48))*IF(AX114+IF($B$1+48&lt;=$B114,12*($B$7-$B$10),-12*MAX(0,($B$6+$B$10)-IF($B$1+48&gt;=$B$23,$B$22,0))*(1+$B$4)^48)&gt;0,1+$B$3,1))</f>
        <v/>
      </c>
      <c r="AZ114">
        <f>IF($B$1+49&gt;90,AY114,(AY114+IF($B$1+49&lt;=$B114,12*($B$7-$B$10),-12*MAX(0,($B$6+$B$10)-IF($B$1+49&gt;=$B$23,$B$22,0))*(1+$B$4)^49))*IF(AY114+IF($B$1+49&lt;=$B114,12*($B$7-$B$10),-12*MAX(0,($B$6+$B$10)-IF($B$1+49&gt;=$B$23,$B$22,0))*(1+$B$4)^49)&gt;0,1+$B$3,1))</f>
        <v/>
      </c>
      <c r="BA114">
        <f>IF($B$1+50&gt;90,AZ114,(AZ114+IF($B$1+50&lt;=$B114,12*($B$7-$B$10),-12*MAX(0,($B$6+$B$10)-IF($B$1+50&gt;=$B$23,$B$22,0))*(1+$B$4)^50))*IF(AZ114+IF($B$1+50&lt;=$B114,12*($B$7-$B$10),-12*MAX(0,($B$6+$B$10)-IF($B$1+50&gt;=$B$23,$B$22,0))*(1+$B$4)^50)&gt;0,1+$B$3,1))</f>
        <v/>
      </c>
      <c r="BB114">
        <f>IF($B$1+51&gt;90,BA114,(BA114+IF($B$1+51&lt;=$B114,12*($B$7-$B$10),-12*MAX(0,($B$6+$B$10)-IF($B$1+51&gt;=$B$23,$B$22,0))*(1+$B$4)^51))*IF(BA114+IF($B$1+51&lt;=$B114,12*($B$7-$B$10),-12*MAX(0,($B$6+$B$10)-IF($B$1+51&gt;=$B$23,$B$22,0))*(1+$B$4)^51)&gt;0,1+$B$3,1))</f>
        <v/>
      </c>
      <c r="BC114">
        <f>IF($B$1+52&gt;90,BB114,(BB114+IF($B$1+52&lt;=$B114,12*($B$7-$B$10),-12*MAX(0,($B$6+$B$10)-IF($B$1+52&gt;=$B$23,$B$22,0))*(1+$B$4)^52))*IF(BB114+IF($B$1+52&lt;=$B114,12*($B$7-$B$10),-12*MAX(0,($B$6+$B$10)-IF($B$1+52&gt;=$B$23,$B$22,0))*(1+$B$4)^52)&gt;0,1+$B$3,1))</f>
        <v/>
      </c>
      <c r="BD114">
        <f>IF($B$1+53&gt;90,BC114,(BC114+IF($B$1+53&lt;=$B114,12*($B$7-$B$10),-12*MAX(0,($B$6+$B$10)-IF($B$1+53&gt;=$B$23,$B$22,0))*(1+$B$4)^53))*IF(BC114+IF($B$1+53&lt;=$B114,12*($B$7-$B$10),-12*MAX(0,($B$6+$B$10)-IF($B$1+53&gt;=$B$23,$B$22,0))*(1+$B$4)^53)&gt;0,1+$B$3,1))</f>
        <v/>
      </c>
      <c r="BE114">
        <f>IF($B$1+54&gt;90,BD114,(BD114+IF($B$1+54&lt;=$B114,12*($B$7-$B$10),-12*MAX(0,($B$6+$B$10)-IF($B$1+54&gt;=$B$23,$B$22,0))*(1+$B$4)^54))*IF(BD114+IF($B$1+54&lt;=$B114,12*($B$7-$B$10),-12*MAX(0,($B$6+$B$10)-IF($B$1+54&gt;=$B$23,$B$22,0))*(1+$B$4)^54)&gt;0,1+$B$3,1))</f>
        <v/>
      </c>
      <c r="BF114">
        <f>IF($B$1+55&gt;90,BE114,(BE114+IF($B$1+55&lt;=$B114,12*($B$7-$B$10),-12*MAX(0,($B$6+$B$10)-IF($B$1+55&gt;=$B$23,$B$22,0))*(1+$B$4)^55))*IF(BE114+IF($B$1+55&lt;=$B114,12*($B$7-$B$10),-12*MAX(0,($B$6+$B$10)-IF($B$1+55&gt;=$B$23,$B$22,0))*(1+$B$4)^55)&gt;0,1+$B$3,1))</f>
        <v/>
      </c>
      <c r="BG114">
        <f>IF($B$1+56&gt;90,BF114,(BF114+IF($B$1+56&lt;=$B114,12*($B$7-$B$10),-12*MAX(0,($B$6+$B$10)-IF($B$1+56&gt;=$B$23,$B$22,0))*(1+$B$4)^56))*IF(BF114+IF($B$1+56&lt;=$B114,12*($B$7-$B$10),-12*MAX(0,($B$6+$B$10)-IF($B$1+56&gt;=$B$23,$B$22,0))*(1+$B$4)^56)&gt;0,1+$B$3,1))</f>
        <v/>
      </c>
      <c r="BH114">
        <f>IF($B$1+57&gt;90,BG114,(BG114+IF($B$1+57&lt;=$B114,12*($B$7-$B$10),-12*MAX(0,($B$6+$B$10)-IF($B$1+57&gt;=$B$23,$B$22,0))*(1+$B$4)^57))*IF(BG114+IF($B$1+57&lt;=$B114,12*($B$7-$B$10),-12*MAX(0,($B$6+$B$10)-IF($B$1+57&gt;=$B$23,$B$22,0))*(1+$B$4)^57)&gt;0,1+$B$3,1))</f>
        <v/>
      </c>
      <c r="BI114">
        <f>IF($B$1+58&gt;90,BH114,(BH114+IF($B$1+58&lt;=$B114,12*($B$7-$B$10),-12*MAX(0,($B$6+$B$10)-IF($B$1+58&gt;=$B$23,$B$22,0))*(1+$B$4)^58))*IF(BH114+IF($B$1+58&lt;=$B114,12*($B$7-$B$10),-12*MAX(0,($B$6+$B$10)-IF($B$1+58&gt;=$B$23,$B$22,0))*(1+$B$4)^58)&gt;0,1+$B$3,1))</f>
        <v/>
      </c>
      <c r="BJ114">
        <f>IF($B$1+59&gt;90,BI114,(BI114+IF($B$1+59&lt;=$B114,12*($B$7-$B$10),-12*MAX(0,($B$6+$B$10)-IF($B$1+59&gt;=$B$23,$B$22,0))*(1+$B$4)^59))*IF(BI114+IF($B$1+59&lt;=$B114,12*($B$7-$B$10),-12*MAX(0,($B$6+$B$10)-IF($B$1+59&gt;=$B$23,$B$22,0))*(1+$B$4)^59)&gt;0,1+$B$3,1))</f>
        <v/>
      </c>
      <c r="BK114">
        <f>IF($B$1+60&gt;90,BJ114,(BJ114+IF($B$1+60&lt;=$B114,12*($B$7-$B$10),-12*MAX(0,($B$6+$B$10)-IF($B$1+60&gt;=$B$23,$B$22,0))*(1+$B$4)^60))*IF(BJ114+IF($B$1+60&lt;=$B114,12*($B$7-$B$10),-12*MAX(0,($B$6+$B$10)-IF($B$1+60&gt;=$B$23,$B$22,0))*(1+$B$4)^60)&gt;0,1+$B$3,1))</f>
        <v/>
      </c>
      <c r="BL114">
        <f>IF($B$1+61&gt;90,BK114,(BK114+IF($B$1+61&lt;=$B114,12*($B$7-$B$10),-12*MAX(0,($B$6+$B$10)-IF($B$1+61&gt;=$B$23,$B$22,0))*(1+$B$4)^61))*IF(BK114+IF($B$1+61&lt;=$B114,12*($B$7-$B$10),-12*MAX(0,($B$6+$B$10)-IF($B$1+61&gt;=$B$23,$B$22,0))*(1+$B$4)^61)&gt;0,1+$B$3,1))</f>
        <v/>
      </c>
      <c r="BM114">
        <f>IF($B$1+62&gt;90,BL114,(BL114+IF($B$1+62&lt;=$B114,12*($B$7-$B$10),-12*MAX(0,($B$6+$B$10)-IF($B$1+62&gt;=$B$23,$B$22,0))*(1+$B$4)^62))*IF(BL114+IF($B$1+62&lt;=$B114,12*($B$7-$B$10),-12*MAX(0,($B$6+$B$10)-IF($B$1+62&gt;=$B$23,$B$22,0))*(1+$B$4)^62)&gt;0,1+$B$3,1))</f>
        <v/>
      </c>
      <c r="BN114">
        <f>IF($B$1+63&gt;90,BM114,(BM114+IF($B$1+63&lt;=$B114,12*($B$7-$B$10),-12*MAX(0,($B$6+$B$10)-IF($B$1+63&gt;=$B$23,$B$22,0))*(1+$B$4)^63))*IF(BM114+IF($B$1+63&lt;=$B114,12*($B$7-$B$10),-12*MAX(0,($B$6+$B$10)-IF($B$1+63&gt;=$B$23,$B$22,0))*(1+$B$4)^63)&gt;0,1+$B$3,1))</f>
        <v/>
      </c>
      <c r="BO114">
        <f>IF($B$1+64&gt;90,BN114,(BN114+IF($B$1+64&lt;=$B114,12*($B$7-$B$10),-12*MAX(0,($B$6+$B$10)-IF($B$1+64&gt;=$B$23,$B$22,0))*(1+$B$4)^64))*IF(BN114+IF($B$1+64&lt;=$B114,12*($B$7-$B$10),-12*MAX(0,($B$6+$B$10)-IF($B$1+64&gt;=$B$23,$B$22,0))*(1+$B$4)^64)&gt;0,1+$B$3,1))</f>
        <v/>
      </c>
      <c r="BP114">
        <f>IF($B$1+65&gt;90,BO114,(BO114+IF($B$1+65&lt;=$B114,12*($B$7-$B$10),-12*MAX(0,($B$6+$B$10)-IF($B$1+65&gt;=$B$23,$B$22,0))*(1+$B$4)^65))*IF(BO114+IF($B$1+65&lt;=$B114,12*($B$7-$B$10),-12*MAX(0,($B$6+$B$10)-IF($B$1+65&gt;=$B$23,$B$22,0))*(1+$B$4)^65)&gt;0,1+$B$3,1))</f>
        <v/>
      </c>
      <c r="BQ114">
        <f>IF($B$1+66&gt;90,BP114,(BP114+IF($B$1+66&lt;=$B114,12*($B$7-$B$10),-12*MAX(0,($B$6+$B$10)-IF($B$1+66&gt;=$B$23,$B$22,0))*(1+$B$4)^66))*IF(BP114+IF($B$1+66&lt;=$B114,12*($B$7-$B$10),-12*MAX(0,($B$6+$B$10)-IF($B$1+66&gt;=$B$23,$B$22,0))*(1+$B$4)^66)&gt;0,1+$B$3,1))</f>
        <v/>
      </c>
      <c r="BR114">
        <f>IF($B$1+67&gt;90,BQ114,(BQ114+IF($B$1+67&lt;=$B114,12*($B$7-$B$10),-12*MAX(0,($B$6+$B$10)-IF($B$1+67&gt;=$B$23,$B$22,0))*(1+$B$4)^67))*IF(BQ114+IF($B$1+67&lt;=$B114,12*($B$7-$B$10),-12*MAX(0,($B$6+$B$10)-IF($B$1+67&gt;=$B$23,$B$22,0))*(1+$B$4)^67)&gt;0,1+$B$3,1))</f>
        <v/>
      </c>
      <c r="BS114">
        <f>IF($B$1+68&gt;90,BR114,(BR114+IF($B$1+68&lt;=$B114,12*($B$7-$B$10),-12*MAX(0,($B$6+$B$10)-IF($B$1+68&gt;=$B$23,$B$22,0))*(1+$B$4)^68))*IF(BR114+IF($B$1+68&lt;=$B114,12*($B$7-$B$10),-12*MAX(0,($B$6+$B$10)-IF($B$1+68&gt;=$B$23,$B$22,0))*(1+$B$4)^68)&gt;0,1+$B$3,1))</f>
        <v/>
      </c>
      <c r="BT114">
        <f>IF($B$1+69&gt;90,BS114,(BS114+IF($B$1+69&lt;=$B114,12*($B$7-$B$10),-12*MAX(0,($B$6+$B$10)-IF($B$1+69&gt;=$B$23,$B$22,0))*(1+$B$4)^69))*IF(BS114+IF($B$1+69&lt;=$B114,12*($B$7-$B$10),-12*MAX(0,($B$6+$B$10)-IF($B$1+69&gt;=$B$23,$B$22,0))*(1+$B$4)^69)&gt;0,1+$B$3,1))</f>
        <v/>
      </c>
      <c r="BU114">
        <f>IF($B$1+70&gt;90,BT114,(BT114+IF($B$1+70&lt;=$B114,12*($B$7-$B$10),-12*MAX(0,($B$6+$B$10)-IF($B$1+70&gt;=$B$23,$B$22,0))*(1+$B$4)^70))*IF(BT114+IF($B$1+70&lt;=$B114,12*($B$7-$B$10),-12*MAX(0,($B$6+$B$10)-IF($B$1+70&gt;=$B$23,$B$22,0))*(1+$B$4)^70)&gt;0,1+$B$3,1))</f>
        <v/>
      </c>
      <c r="BV114">
        <f>BU114</f>
        <v/>
      </c>
      <c r="BW114">
        <f>IF(AND($B114&lt;=70,BV114&gt;0),$B114,999)</f>
        <v/>
      </c>
      <c r="CH114">
        <f>IF(ISTEXT('월 가계부'!A114),SUBSTITUTE(SUBSTITUTE(SUBSTITUTE(SUBSTITUTE(SUBSTITUTE(SUBSTITUTE(SUBSTITUTE(SUBSTITUTE(SUBSTITUTE(TRIM('월 가계부'!A114),"년","-"),"월","-"),"일",""),".","-"),"/","-")," ","-"),"--","-"),"--","-"),"--","-")&amp;"-","")</f>
        <v/>
      </c>
      <c r="CI114">
        <f>IFERROR(IF('월 가계부'!A114="","",IF(ISNUMBER('월 가계부'!A114),IF(AND('월 가계부'!A114&gt;=19000101,'월 가계부'!A114&lt;=21001231),IF(AND(MOD(INT('월 가계부'!A114/100),100)&gt;=1,MOD(INT('월 가계부'!A114/100),100)&lt;=12,MOD(INT('월 가계부'!A114),100)&gt;=1,MOD(INT('월 가계부'!A114),100)&lt;=31),IF(MONTH(DATE(INT('월 가계부'!A114/10000),MOD(INT('월 가계부'!A114/100),100),MOD(INT('월 가계부'!A114),100)))=MOD(INT('월 가계부'!A114/100),100),DATE(INT('월 가계부'!A114/10000),MOD(INT('월 가계부'!A114/100),100),MOD(INT('월 가계부'!A114),100)),""),""),IF(AND('월 가계부'!A114&gt;=36526,'월 가계부'!A114&lt;73051),INT('월 가계부'!A114),"")),IF(OR(CM114="",CN114="",CO114=""),"",IF(AND(CM114&gt;=2000,CM114&lt;=2099,CN114&gt;=1,CN114&lt;=12,CO114&gt;=1,CO114&lt;=31),IF(MONTH(DATE(CM114,CN114,CO114))=CN114,DATE(CM114,CN114,CO114),""),"")))),"")</f>
        <v/>
      </c>
      <c r="CJ114">
        <f>IFERROR(IF('월 가계부'!C114="","",IF(ISNUMBER('월 가계부'!C114),'월 가계부'!C114,VALUE(SUBSTITUTE(SUBSTITUTE(SUBSTITUTE(SUBSTITUTE(TRIM('월 가계부'!C114),",",""),"원","")," ",""),"−","-")))),"")</f>
        <v/>
      </c>
      <c r="CK114">
        <f>IF(ISNUMBER(CI114),IF(CI114&lt;$B$13,CI114,""),"")</f>
        <v/>
      </c>
      <c r="CM114">
        <f>IF(CH114="","",IFERROR(IF(IF(AND(LEN(CH114)=9,ISERROR(FIND("-",LEFT(CH114,8))),ISNUMBER(-LEFT(CH114,8))),VALUE(LEFT(CH114,4)),VALUE(LEFT(CH114,FIND("-",CH114)-1)))&lt;100,IF(AND(LEN(CH114)=9,ISERROR(FIND("-",LEFT(CH114,8))),ISNUMBER(-LEFT(CH114,8))),VALUE(LEFT(CH114,4)),VALUE(LEFT(CH114,FIND("-",CH114)-1)))+2000,IF(AND(LEN(CH114)=9,ISERROR(FIND("-",LEFT(CH114,8))),ISNUMBER(-LEFT(CH114,8))),VALUE(LEFT(CH114,4)),VALUE(LEFT(CH114,FIND("-",CH114)-1)))),""))</f>
        <v/>
      </c>
      <c r="CN114">
        <f>IF(CH114="","",IFERROR(IF(AND(LEN(CH114)=9,ISERROR(FIND("-",LEFT(CH114,8))),ISNUMBER(-LEFT(CH114,8))),VALUE(MID(CH114,5,2)),VALUE(MID(CH114,FIND("-",CH114)+1,FIND("-",CH114,FIND("-",CH114)+1)-FIND("-",CH114)-1))),""))</f>
        <v/>
      </c>
      <c r="CO114">
        <f>IF(CH114="","",IFERROR(IF(AND(LEN(CH114)=9,ISERROR(FIND("-",LEFT(CH114,8))),ISNUMBER(-LEFT(CH114,8))),VALUE(MID(CH114,7,2)),VALUE(MID(CH114,FIND("-",CH114,FIND("-",CH114)+1)+1,FIND("-",CH114,FIND("-",CH114,FIND("-",CH114)+1)+1)-FIND("-",CH114,FIND("-",CH114)+1)-1))),""))</f>
        <v/>
      </c>
    </row>
    <row r="115">
      <c r="A115" t="n">
        <v>19</v>
      </c>
      <c r="B115">
        <f>$B$1+19</f>
        <v/>
      </c>
      <c r="C115">
        <f>$B$2</f>
        <v/>
      </c>
      <c r="D115">
        <f>IF($B$1+1&gt;90,C115,(C115+IF($B$1+1&lt;=$B115,12*($B$7-$B$10),-12*MAX(0,($B$6+$B$10)-IF($B$1+1&gt;=$B$23,$B$22,0))*(1+$B$4)^1))*IF(C115+IF($B$1+1&lt;=$B115,12*($B$7-$B$10),-12*MAX(0,($B$6+$B$10)-IF($B$1+1&gt;=$B$23,$B$22,0))*(1+$B$4)^1)&gt;0,1+$B$3,1))</f>
        <v/>
      </c>
      <c r="E115">
        <f>IF($B$1+2&gt;90,D115,(D115+IF($B$1+2&lt;=$B115,12*($B$7-$B$10),-12*MAX(0,($B$6+$B$10)-IF($B$1+2&gt;=$B$23,$B$22,0))*(1+$B$4)^2))*IF(D115+IF($B$1+2&lt;=$B115,12*($B$7-$B$10),-12*MAX(0,($B$6+$B$10)-IF($B$1+2&gt;=$B$23,$B$22,0))*(1+$B$4)^2)&gt;0,1+$B$3,1))</f>
        <v/>
      </c>
      <c r="F115">
        <f>IF($B$1+3&gt;90,E115,(E115+IF($B$1+3&lt;=$B115,12*($B$7-$B$10),-12*MAX(0,($B$6+$B$10)-IF($B$1+3&gt;=$B$23,$B$22,0))*(1+$B$4)^3))*IF(E115+IF($B$1+3&lt;=$B115,12*($B$7-$B$10),-12*MAX(0,($B$6+$B$10)-IF($B$1+3&gt;=$B$23,$B$22,0))*(1+$B$4)^3)&gt;0,1+$B$3,1))</f>
        <v/>
      </c>
      <c r="G115">
        <f>IF($B$1+4&gt;90,F115,(F115+IF($B$1+4&lt;=$B115,12*($B$7-$B$10),-12*MAX(0,($B$6+$B$10)-IF($B$1+4&gt;=$B$23,$B$22,0))*(1+$B$4)^4))*IF(F115+IF($B$1+4&lt;=$B115,12*($B$7-$B$10),-12*MAX(0,($B$6+$B$10)-IF($B$1+4&gt;=$B$23,$B$22,0))*(1+$B$4)^4)&gt;0,1+$B$3,1))</f>
        <v/>
      </c>
      <c r="H115">
        <f>IF($B$1+5&gt;90,G115,(G115+IF($B$1+5&lt;=$B115,12*($B$7-$B$10),-12*MAX(0,($B$6+$B$10)-IF($B$1+5&gt;=$B$23,$B$22,0))*(1+$B$4)^5))*IF(G115+IF($B$1+5&lt;=$B115,12*($B$7-$B$10),-12*MAX(0,($B$6+$B$10)-IF($B$1+5&gt;=$B$23,$B$22,0))*(1+$B$4)^5)&gt;0,1+$B$3,1))</f>
        <v/>
      </c>
      <c r="I115">
        <f>IF($B$1+6&gt;90,H115,(H115+IF($B$1+6&lt;=$B115,12*($B$7-$B$10),-12*MAX(0,($B$6+$B$10)-IF($B$1+6&gt;=$B$23,$B$22,0))*(1+$B$4)^6))*IF(H115+IF($B$1+6&lt;=$B115,12*($B$7-$B$10),-12*MAX(0,($B$6+$B$10)-IF($B$1+6&gt;=$B$23,$B$22,0))*(1+$B$4)^6)&gt;0,1+$B$3,1))</f>
        <v/>
      </c>
      <c r="J115">
        <f>IF($B$1+7&gt;90,I115,(I115+IF($B$1+7&lt;=$B115,12*($B$7-$B$10),-12*MAX(0,($B$6+$B$10)-IF($B$1+7&gt;=$B$23,$B$22,0))*(1+$B$4)^7))*IF(I115+IF($B$1+7&lt;=$B115,12*($B$7-$B$10),-12*MAX(0,($B$6+$B$10)-IF($B$1+7&gt;=$B$23,$B$22,0))*(1+$B$4)^7)&gt;0,1+$B$3,1))</f>
        <v/>
      </c>
      <c r="K115">
        <f>IF($B$1+8&gt;90,J115,(J115+IF($B$1+8&lt;=$B115,12*($B$7-$B$10),-12*MAX(0,($B$6+$B$10)-IF($B$1+8&gt;=$B$23,$B$22,0))*(1+$B$4)^8))*IF(J115+IF($B$1+8&lt;=$B115,12*($B$7-$B$10),-12*MAX(0,($B$6+$B$10)-IF($B$1+8&gt;=$B$23,$B$22,0))*(1+$B$4)^8)&gt;0,1+$B$3,1))</f>
        <v/>
      </c>
      <c r="L115">
        <f>IF($B$1+9&gt;90,K115,(K115+IF($B$1+9&lt;=$B115,12*($B$7-$B$10),-12*MAX(0,($B$6+$B$10)-IF($B$1+9&gt;=$B$23,$B$22,0))*(1+$B$4)^9))*IF(K115+IF($B$1+9&lt;=$B115,12*($B$7-$B$10),-12*MAX(0,($B$6+$B$10)-IF($B$1+9&gt;=$B$23,$B$22,0))*(1+$B$4)^9)&gt;0,1+$B$3,1))</f>
        <v/>
      </c>
      <c r="M115">
        <f>IF($B$1+10&gt;90,L115,(L115+IF($B$1+10&lt;=$B115,12*($B$7-$B$10),-12*MAX(0,($B$6+$B$10)-IF($B$1+10&gt;=$B$23,$B$22,0))*(1+$B$4)^10))*IF(L115+IF($B$1+10&lt;=$B115,12*($B$7-$B$10),-12*MAX(0,($B$6+$B$10)-IF($B$1+10&gt;=$B$23,$B$22,0))*(1+$B$4)^10)&gt;0,1+$B$3,1))</f>
        <v/>
      </c>
      <c r="N115">
        <f>IF($B$1+11&gt;90,M115,(M115+IF($B$1+11&lt;=$B115,12*($B$7-$B$10),-12*MAX(0,($B$6+$B$10)-IF($B$1+11&gt;=$B$23,$B$22,0))*(1+$B$4)^11))*IF(M115+IF($B$1+11&lt;=$B115,12*($B$7-$B$10),-12*MAX(0,($B$6+$B$10)-IF($B$1+11&gt;=$B$23,$B$22,0))*(1+$B$4)^11)&gt;0,1+$B$3,1))</f>
        <v/>
      </c>
      <c r="O115">
        <f>IF($B$1+12&gt;90,N115,(N115+IF($B$1+12&lt;=$B115,12*($B$7-$B$10),-12*MAX(0,($B$6+$B$10)-IF($B$1+12&gt;=$B$23,$B$22,0))*(1+$B$4)^12))*IF(N115+IF($B$1+12&lt;=$B115,12*($B$7-$B$10),-12*MAX(0,($B$6+$B$10)-IF($B$1+12&gt;=$B$23,$B$22,0))*(1+$B$4)^12)&gt;0,1+$B$3,1))</f>
        <v/>
      </c>
      <c r="P115">
        <f>IF($B$1+13&gt;90,O115,(O115+IF($B$1+13&lt;=$B115,12*($B$7-$B$10),-12*MAX(0,($B$6+$B$10)-IF($B$1+13&gt;=$B$23,$B$22,0))*(1+$B$4)^13))*IF(O115+IF($B$1+13&lt;=$B115,12*($B$7-$B$10),-12*MAX(0,($B$6+$B$10)-IF($B$1+13&gt;=$B$23,$B$22,0))*(1+$B$4)^13)&gt;0,1+$B$3,1))</f>
        <v/>
      </c>
      <c r="Q115">
        <f>IF($B$1+14&gt;90,P115,(P115+IF($B$1+14&lt;=$B115,12*($B$7-$B$10),-12*MAX(0,($B$6+$B$10)-IF($B$1+14&gt;=$B$23,$B$22,0))*(1+$B$4)^14))*IF(P115+IF($B$1+14&lt;=$B115,12*($B$7-$B$10),-12*MAX(0,($B$6+$B$10)-IF($B$1+14&gt;=$B$23,$B$22,0))*(1+$B$4)^14)&gt;0,1+$B$3,1))</f>
        <v/>
      </c>
      <c r="R115">
        <f>IF($B$1+15&gt;90,Q115,(Q115+IF($B$1+15&lt;=$B115,12*($B$7-$B$10),-12*MAX(0,($B$6+$B$10)-IF($B$1+15&gt;=$B$23,$B$22,0))*(1+$B$4)^15))*IF(Q115+IF($B$1+15&lt;=$B115,12*($B$7-$B$10),-12*MAX(0,($B$6+$B$10)-IF($B$1+15&gt;=$B$23,$B$22,0))*(1+$B$4)^15)&gt;0,1+$B$3,1))</f>
        <v/>
      </c>
      <c r="S115">
        <f>IF($B$1+16&gt;90,R115,(R115+IF($B$1+16&lt;=$B115,12*($B$7-$B$10),-12*MAX(0,($B$6+$B$10)-IF($B$1+16&gt;=$B$23,$B$22,0))*(1+$B$4)^16))*IF(R115+IF($B$1+16&lt;=$B115,12*($B$7-$B$10),-12*MAX(0,($B$6+$B$10)-IF($B$1+16&gt;=$B$23,$B$22,0))*(1+$B$4)^16)&gt;0,1+$B$3,1))</f>
        <v/>
      </c>
      <c r="T115">
        <f>IF($B$1+17&gt;90,S115,(S115+IF($B$1+17&lt;=$B115,12*($B$7-$B$10),-12*MAX(0,($B$6+$B$10)-IF($B$1+17&gt;=$B$23,$B$22,0))*(1+$B$4)^17))*IF(S115+IF($B$1+17&lt;=$B115,12*($B$7-$B$10),-12*MAX(0,($B$6+$B$10)-IF($B$1+17&gt;=$B$23,$B$22,0))*(1+$B$4)^17)&gt;0,1+$B$3,1))</f>
        <v/>
      </c>
      <c r="U115">
        <f>IF($B$1+18&gt;90,T115,(T115+IF($B$1+18&lt;=$B115,12*($B$7-$B$10),-12*MAX(0,($B$6+$B$10)-IF($B$1+18&gt;=$B$23,$B$22,0))*(1+$B$4)^18))*IF(T115+IF($B$1+18&lt;=$B115,12*($B$7-$B$10),-12*MAX(0,($B$6+$B$10)-IF($B$1+18&gt;=$B$23,$B$22,0))*(1+$B$4)^18)&gt;0,1+$B$3,1))</f>
        <v/>
      </c>
      <c r="V115">
        <f>IF($B$1+19&gt;90,U115,(U115+IF($B$1+19&lt;=$B115,12*($B$7-$B$10),-12*MAX(0,($B$6+$B$10)-IF($B$1+19&gt;=$B$23,$B$22,0))*(1+$B$4)^19))*IF(U115+IF($B$1+19&lt;=$B115,12*($B$7-$B$10),-12*MAX(0,($B$6+$B$10)-IF($B$1+19&gt;=$B$23,$B$22,0))*(1+$B$4)^19)&gt;0,1+$B$3,1))</f>
        <v/>
      </c>
      <c r="W115">
        <f>IF($B$1+20&gt;90,V115,(V115+IF($B$1+20&lt;=$B115,12*($B$7-$B$10),-12*MAX(0,($B$6+$B$10)-IF($B$1+20&gt;=$B$23,$B$22,0))*(1+$B$4)^20))*IF(V115+IF($B$1+20&lt;=$B115,12*($B$7-$B$10),-12*MAX(0,($B$6+$B$10)-IF($B$1+20&gt;=$B$23,$B$22,0))*(1+$B$4)^20)&gt;0,1+$B$3,1))</f>
        <v/>
      </c>
      <c r="X115">
        <f>IF($B$1+21&gt;90,W115,(W115+IF($B$1+21&lt;=$B115,12*($B$7-$B$10),-12*MAX(0,($B$6+$B$10)-IF($B$1+21&gt;=$B$23,$B$22,0))*(1+$B$4)^21))*IF(W115+IF($B$1+21&lt;=$B115,12*($B$7-$B$10),-12*MAX(0,($B$6+$B$10)-IF($B$1+21&gt;=$B$23,$B$22,0))*(1+$B$4)^21)&gt;0,1+$B$3,1))</f>
        <v/>
      </c>
      <c r="Y115">
        <f>IF($B$1+22&gt;90,X115,(X115+IF($B$1+22&lt;=$B115,12*($B$7-$B$10),-12*MAX(0,($B$6+$B$10)-IF($B$1+22&gt;=$B$23,$B$22,0))*(1+$B$4)^22))*IF(X115+IF($B$1+22&lt;=$B115,12*($B$7-$B$10),-12*MAX(0,($B$6+$B$10)-IF($B$1+22&gt;=$B$23,$B$22,0))*(1+$B$4)^22)&gt;0,1+$B$3,1))</f>
        <v/>
      </c>
      <c r="Z115">
        <f>IF($B$1+23&gt;90,Y115,(Y115+IF($B$1+23&lt;=$B115,12*($B$7-$B$10),-12*MAX(0,($B$6+$B$10)-IF($B$1+23&gt;=$B$23,$B$22,0))*(1+$B$4)^23))*IF(Y115+IF($B$1+23&lt;=$B115,12*($B$7-$B$10),-12*MAX(0,($B$6+$B$10)-IF($B$1+23&gt;=$B$23,$B$22,0))*(1+$B$4)^23)&gt;0,1+$B$3,1))</f>
        <v/>
      </c>
      <c r="AA115">
        <f>IF($B$1+24&gt;90,Z115,(Z115+IF($B$1+24&lt;=$B115,12*($B$7-$B$10),-12*MAX(0,($B$6+$B$10)-IF($B$1+24&gt;=$B$23,$B$22,0))*(1+$B$4)^24))*IF(Z115+IF($B$1+24&lt;=$B115,12*($B$7-$B$10),-12*MAX(0,($B$6+$B$10)-IF($B$1+24&gt;=$B$23,$B$22,0))*(1+$B$4)^24)&gt;0,1+$B$3,1))</f>
        <v/>
      </c>
      <c r="AB115">
        <f>IF($B$1+25&gt;90,AA115,(AA115+IF($B$1+25&lt;=$B115,12*($B$7-$B$10),-12*MAX(0,($B$6+$B$10)-IF($B$1+25&gt;=$B$23,$B$22,0))*(1+$B$4)^25))*IF(AA115+IF($B$1+25&lt;=$B115,12*($B$7-$B$10),-12*MAX(0,($B$6+$B$10)-IF($B$1+25&gt;=$B$23,$B$22,0))*(1+$B$4)^25)&gt;0,1+$B$3,1))</f>
        <v/>
      </c>
      <c r="AC115">
        <f>IF($B$1+26&gt;90,AB115,(AB115+IF($B$1+26&lt;=$B115,12*($B$7-$B$10),-12*MAX(0,($B$6+$B$10)-IF($B$1+26&gt;=$B$23,$B$22,0))*(1+$B$4)^26))*IF(AB115+IF($B$1+26&lt;=$B115,12*($B$7-$B$10),-12*MAX(0,($B$6+$B$10)-IF($B$1+26&gt;=$B$23,$B$22,0))*(1+$B$4)^26)&gt;0,1+$B$3,1))</f>
        <v/>
      </c>
      <c r="AD115">
        <f>IF($B$1+27&gt;90,AC115,(AC115+IF($B$1+27&lt;=$B115,12*($B$7-$B$10),-12*MAX(0,($B$6+$B$10)-IF($B$1+27&gt;=$B$23,$B$22,0))*(1+$B$4)^27))*IF(AC115+IF($B$1+27&lt;=$B115,12*($B$7-$B$10),-12*MAX(0,($B$6+$B$10)-IF($B$1+27&gt;=$B$23,$B$22,0))*(1+$B$4)^27)&gt;0,1+$B$3,1))</f>
        <v/>
      </c>
      <c r="AE115">
        <f>IF($B$1+28&gt;90,AD115,(AD115+IF($B$1+28&lt;=$B115,12*($B$7-$B$10),-12*MAX(0,($B$6+$B$10)-IF($B$1+28&gt;=$B$23,$B$22,0))*(1+$B$4)^28))*IF(AD115+IF($B$1+28&lt;=$B115,12*($B$7-$B$10),-12*MAX(0,($B$6+$B$10)-IF($B$1+28&gt;=$B$23,$B$22,0))*(1+$B$4)^28)&gt;0,1+$B$3,1))</f>
        <v/>
      </c>
      <c r="AF115">
        <f>IF($B$1+29&gt;90,AE115,(AE115+IF($B$1+29&lt;=$B115,12*($B$7-$B$10),-12*MAX(0,($B$6+$B$10)-IF($B$1+29&gt;=$B$23,$B$22,0))*(1+$B$4)^29))*IF(AE115+IF($B$1+29&lt;=$B115,12*($B$7-$B$10),-12*MAX(0,($B$6+$B$10)-IF($B$1+29&gt;=$B$23,$B$22,0))*(1+$B$4)^29)&gt;0,1+$B$3,1))</f>
        <v/>
      </c>
      <c r="AG115">
        <f>IF($B$1+30&gt;90,AF115,(AF115+IF($B$1+30&lt;=$B115,12*($B$7-$B$10),-12*MAX(0,($B$6+$B$10)-IF($B$1+30&gt;=$B$23,$B$22,0))*(1+$B$4)^30))*IF(AF115+IF($B$1+30&lt;=$B115,12*($B$7-$B$10),-12*MAX(0,($B$6+$B$10)-IF($B$1+30&gt;=$B$23,$B$22,0))*(1+$B$4)^30)&gt;0,1+$B$3,1))</f>
        <v/>
      </c>
      <c r="AH115">
        <f>IF($B$1+31&gt;90,AG115,(AG115+IF($B$1+31&lt;=$B115,12*($B$7-$B$10),-12*MAX(0,($B$6+$B$10)-IF($B$1+31&gt;=$B$23,$B$22,0))*(1+$B$4)^31))*IF(AG115+IF($B$1+31&lt;=$B115,12*($B$7-$B$10),-12*MAX(0,($B$6+$B$10)-IF($B$1+31&gt;=$B$23,$B$22,0))*(1+$B$4)^31)&gt;0,1+$B$3,1))</f>
        <v/>
      </c>
      <c r="AI115">
        <f>IF($B$1+32&gt;90,AH115,(AH115+IF($B$1+32&lt;=$B115,12*($B$7-$B$10),-12*MAX(0,($B$6+$B$10)-IF($B$1+32&gt;=$B$23,$B$22,0))*(1+$B$4)^32))*IF(AH115+IF($B$1+32&lt;=$B115,12*($B$7-$B$10),-12*MAX(0,($B$6+$B$10)-IF($B$1+32&gt;=$B$23,$B$22,0))*(1+$B$4)^32)&gt;0,1+$B$3,1))</f>
        <v/>
      </c>
      <c r="AJ115">
        <f>IF($B$1+33&gt;90,AI115,(AI115+IF($B$1+33&lt;=$B115,12*($B$7-$B$10),-12*MAX(0,($B$6+$B$10)-IF($B$1+33&gt;=$B$23,$B$22,0))*(1+$B$4)^33))*IF(AI115+IF($B$1+33&lt;=$B115,12*($B$7-$B$10),-12*MAX(0,($B$6+$B$10)-IF($B$1+33&gt;=$B$23,$B$22,0))*(1+$B$4)^33)&gt;0,1+$B$3,1))</f>
        <v/>
      </c>
      <c r="AK115">
        <f>IF($B$1+34&gt;90,AJ115,(AJ115+IF($B$1+34&lt;=$B115,12*($B$7-$B$10),-12*MAX(0,($B$6+$B$10)-IF($B$1+34&gt;=$B$23,$B$22,0))*(1+$B$4)^34))*IF(AJ115+IF($B$1+34&lt;=$B115,12*($B$7-$B$10),-12*MAX(0,($B$6+$B$10)-IF($B$1+34&gt;=$B$23,$B$22,0))*(1+$B$4)^34)&gt;0,1+$B$3,1))</f>
        <v/>
      </c>
      <c r="AL115">
        <f>IF($B$1+35&gt;90,AK115,(AK115+IF($B$1+35&lt;=$B115,12*($B$7-$B$10),-12*MAX(0,($B$6+$B$10)-IF($B$1+35&gt;=$B$23,$B$22,0))*(1+$B$4)^35))*IF(AK115+IF($B$1+35&lt;=$B115,12*($B$7-$B$10),-12*MAX(0,($B$6+$B$10)-IF($B$1+35&gt;=$B$23,$B$22,0))*(1+$B$4)^35)&gt;0,1+$B$3,1))</f>
        <v/>
      </c>
      <c r="AM115">
        <f>IF($B$1+36&gt;90,AL115,(AL115+IF($B$1+36&lt;=$B115,12*($B$7-$B$10),-12*MAX(0,($B$6+$B$10)-IF($B$1+36&gt;=$B$23,$B$22,0))*(1+$B$4)^36))*IF(AL115+IF($B$1+36&lt;=$B115,12*($B$7-$B$10),-12*MAX(0,($B$6+$B$10)-IF($B$1+36&gt;=$B$23,$B$22,0))*(1+$B$4)^36)&gt;0,1+$B$3,1))</f>
        <v/>
      </c>
      <c r="AN115">
        <f>IF($B$1+37&gt;90,AM115,(AM115+IF($B$1+37&lt;=$B115,12*($B$7-$B$10),-12*MAX(0,($B$6+$B$10)-IF($B$1+37&gt;=$B$23,$B$22,0))*(1+$B$4)^37))*IF(AM115+IF($B$1+37&lt;=$B115,12*($B$7-$B$10),-12*MAX(0,($B$6+$B$10)-IF($B$1+37&gt;=$B$23,$B$22,0))*(1+$B$4)^37)&gt;0,1+$B$3,1))</f>
        <v/>
      </c>
      <c r="AO115">
        <f>IF($B$1+38&gt;90,AN115,(AN115+IF($B$1+38&lt;=$B115,12*($B$7-$B$10),-12*MAX(0,($B$6+$B$10)-IF($B$1+38&gt;=$B$23,$B$22,0))*(1+$B$4)^38))*IF(AN115+IF($B$1+38&lt;=$B115,12*($B$7-$B$10),-12*MAX(0,($B$6+$B$10)-IF($B$1+38&gt;=$B$23,$B$22,0))*(1+$B$4)^38)&gt;0,1+$B$3,1))</f>
        <v/>
      </c>
      <c r="AP115">
        <f>IF($B$1+39&gt;90,AO115,(AO115+IF($B$1+39&lt;=$B115,12*($B$7-$B$10),-12*MAX(0,($B$6+$B$10)-IF($B$1+39&gt;=$B$23,$B$22,0))*(1+$B$4)^39))*IF(AO115+IF($B$1+39&lt;=$B115,12*($B$7-$B$10),-12*MAX(0,($B$6+$B$10)-IF($B$1+39&gt;=$B$23,$B$22,0))*(1+$B$4)^39)&gt;0,1+$B$3,1))</f>
        <v/>
      </c>
      <c r="AQ115">
        <f>IF($B$1+40&gt;90,AP115,(AP115+IF($B$1+40&lt;=$B115,12*($B$7-$B$10),-12*MAX(0,($B$6+$B$10)-IF($B$1+40&gt;=$B$23,$B$22,0))*(1+$B$4)^40))*IF(AP115+IF($B$1+40&lt;=$B115,12*($B$7-$B$10),-12*MAX(0,($B$6+$B$10)-IF($B$1+40&gt;=$B$23,$B$22,0))*(1+$B$4)^40)&gt;0,1+$B$3,1))</f>
        <v/>
      </c>
      <c r="AR115">
        <f>IF($B$1+41&gt;90,AQ115,(AQ115+IF($B$1+41&lt;=$B115,12*($B$7-$B$10),-12*MAX(0,($B$6+$B$10)-IF($B$1+41&gt;=$B$23,$B$22,0))*(1+$B$4)^41))*IF(AQ115+IF($B$1+41&lt;=$B115,12*($B$7-$B$10),-12*MAX(0,($B$6+$B$10)-IF($B$1+41&gt;=$B$23,$B$22,0))*(1+$B$4)^41)&gt;0,1+$B$3,1))</f>
        <v/>
      </c>
      <c r="AS115">
        <f>IF($B$1+42&gt;90,AR115,(AR115+IF($B$1+42&lt;=$B115,12*($B$7-$B$10),-12*MAX(0,($B$6+$B$10)-IF($B$1+42&gt;=$B$23,$B$22,0))*(1+$B$4)^42))*IF(AR115+IF($B$1+42&lt;=$B115,12*($B$7-$B$10),-12*MAX(0,($B$6+$B$10)-IF($B$1+42&gt;=$B$23,$B$22,0))*(1+$B$4)^42)&gt;0,1+$B$3,1))</f>
        <v/>
      </c>
      <c r="AT115">
        <f>IF($B$1+43&gt;90,AS115,(AS115+IF($B$1+43&lt;=$B115,12*($B$7-$B$10),-12*MAX(0,($B$6+$B$10)-IF($B$1+43&gt;=$B$23,$B$22,0))*(1+$B$4)^43))*IF(AS115+IF($B$1+43&lt;=$B115,12*($B$7-$B$10),-12*MAX(0,($B$6+$B$10)-IF($B$1+43&gt;=$B$23,$B$22,0))*(1+$B$4)^43)&gt;0,1+$B$3,1))</f>
        <v/>
      </c>
      <c r="AU115">
        <f>IF($B$1+44&gt;90,AT115,(AT115+IF($B$1+44&lt;=$B115,12*($B$7-$B$10),-12*MAX(0,($B$6+$B$10)-IF($B$1+44&gt;=$B$23,$B$22,0))*(1+$B$4)^44))*IF(AT115+IF($B$1+44&lt;=$B115,12*($B$7-$B$10),-12*MAX(0,($B$6+$B$10)-IF($B$1+44&gt;=$B$23,$B$22,0))*(1+$B$4)^44)&gt;0,1+$B$3,1))</f>
        <v/>
      </c>
      <c r="AV115">
        <f>IF($B$1+45&gt;90,AU115,(AU115+IF($B$1+45&lt;=$B115,12*($B$7-$B$10),-12*MAX(0,($B$6+$B$10)-IF($B$1+45&gt;=$B$23,$B$22,0))*(1+$B$4)^45))*IF(AU115+IF($B$1+45&lt;=$B115,12*($B$7-$B$10),-12*MAX(0,($B$6+$B$10)-IF($B$1+45&gt;=$B$23,$B$22,0))*(1+$B$4)^45)&gt;0,1+$B$3,1))</f>
        <v/>
      </c>
      <c r="AW115">
        <f>IF($B$1+46&gt;90,AV115,(AV115+IF($B$1+46&lt;=$B115,12*($B$7-$B$10),-12*MAX(0,($B$6+$B$10)-IF($B$1+46&gt;=$B$23,$B$22,0))*(1+$B$4)^46))*IF(AV115+IF($B$1+46&lt;=$B115,12*($B$7-$B$10),-12*MAX(0,($B$6+$B$10)-IF($B$1+46&gt;=$B$23,$B$22,0))*(1+$B$4)^46)&gt;0,1+$B$3,1))</f>
        <v/>
      </c>
      <c r="AX115">
        <f>IF($B$1+47&gt;90,AW115,(AW115+IF($B$1+47&lt;=$B115,12*($B$7-$B$10),-12*MAX(0,($B$6+$B$10)-IF($B$1+47&gt;=$B$23,$B$22,0))*(1+$B$4)^47))*IF(AW115+IF($B$1+47&lt;=$B115,12*($B$7-$B$10),-12*MAX(0,($B$6+$B$10)-IF($B$1+47&gt;=$B$23,$B$22,0))*(1+$B$4)^47)&gt;0,1+$B$3,1))</f>
        <v/>
      </c>
      <c r="AY115">
        <f>IF($B$1+48&gt;90,AX115,(AX115+IF($B$1+48&lt;=$B115,12*($B$7-$B$10),-12*MAX(0,($B$6+$B$10)-IF($B$1+48&gt;=$B$23,$B$22,0))*(1+$B$4)^48))*IF(AX115+IF($B$1+48&lt;=$B115,12*($B$7-$B$10),-12*MAX(0,($B$6+$B$10)-IF($B$1+48&gt;=$B$23,$B$22,0))*(1+$B$4)^48)&gt;0,1+$B$3,1))</f>
        <v/>
      </c>
      <c r="AZ115">
        <f>IF($B$1+49&gt;90,AY115,(AY115+IF($B$1+49&lt;=$B115,12*($B$7-$B$10),-12*MAX(0,($B$6+$B$10)-IF($B$1+49&gt;=$B$23,$B$22,0))*(1+$B$4)^49))*IF(AY115+IF($B$1+49&lt;=$B115,12*($B$7-$B$10),-12*MAX(0,($B$6+$B$10)-IF($B$1+49&gt;=$B$23,$B$22,0))*(1+$B$4)^49)&gt;0,1+$B$3,1))</f>
        <v/>
      </c>
      <c r="BA115">
        <f>IF($B$1+50&gt;90,AZ115,(AZ115+IF($B$1+50&lt;=$B115,12*($B$7-$B$10),-12*MAX(0,($B$6+$B$10)-IF($B$1+50&gt;=$B$23,$B$22,0))*(1+$B$4)^50))*IF(AZ115+IF($B$1+50&lt;=$B115,12*($B$7-$B$10),-12*MAX(0,($B$6+$B$10)-IF($B$1+50&gt;=$B$23,$B$22,0))*(1+$B$4)^50)&gt;0,1+$B$3,1))</f>
        <v/>
      </c>
      <c r="BB115">
        <f>IF($B$1+51&gt;90,BA115,(BA115+IF($B$1+51&lt;=$B115,12*($B$7-$B$10),-12*MAX(0,($B$6+$B$10)-IF($B$1+51&gt;=$B$23,$B$22,0))*(1+$B$4)^51))*IF(BA115+IF($B$1+51&lt;=$B115,12*($B$7-$B$10),-12*MAX(0,($B$6+$B$10)-IF($B$1+51&gt;=$B$23,$B$22,0))*(1+$B$4)^51)&gt;0,1+$B$3,1))</f>
        <v/>
      </c>
      <c r="BC115">
        <f>IF($B$1+52&gt;90,BB115,(BB115+IF($B$1+52&lt;=$B115,12*($B$7-$B$10),-12*MAX(0,($B$6+$B$10)-IF($B$1+52&gt;=$B$23,$B$22,0))*(1+$B$4)^52))*IF(BB115+IF($B$1+52&lt;=$B115,12*($B$7-$B$10),-12*MAX(0,($B$6+$B$10)-IF($B$1+52&gt;=$B$23,$B$22,0))*(1+$B$4)^52)&gt;0,1+$B$3,1))</f>
        <v/>
      </c>
      <c r="BD115">
        <f>IF($B$1+53&gt;90,BC115,(BC115+IF($B$1+53&lt;=$B115,12*($B$7-$B$10),-12*MAX(0,($B$6+$B$10)-IF($B$1+53&gt;=$B$23,$B$22,0))*(1+$B$4)^53))*IF(BC115+IF($B$1+53&lt;=$B115,12*($B$7-$B$10),-12*MAX(0,($B$6+$B$10)-IF($B$1+53&gt;=$B$23,$B$22,0))*(1+$B$4)^53)&gt;0,1+$B$3,1))</f>
        <v/>
      </c>
      <c r="BE115">
        <f>IF($B$1+54&gt;90,BD115,(BD115+IF($B$1+54&lt;=$B115,12*($B$7-$B$10),-12*MAX(0,($B$6+$B$10)-IF($B$1+54&gt;=$B$23,$B$22,0))*(1+$B$4)^54))*IF(BD115+IF($B$1+54&lt;=$B115,12*($B$7-$B$10),-12*MAX(0,($B$6+$B$10)-IF($B$1+54&gt;=$B$23,$B$22,0))*(1+$B$4)^54)&gt;0,1+$B$3,1))</f>
        <v/>
      </c>
      <c r="BF115">
        <f>IF($B$1+55&gt;90,BE115,(BE115+IF($B$1+55&lt;=$B115,12*($B$7-$B$10),-12*MAX(0,($B$6+$B$10)-IF($B$1+55&gt;=$B$23,$B$22,0))*(1+$B$4)^55))*IF(BE115+IF($B$1+55&lt;=$B115,12*($B$7-$B$10),-12*MAX(0,($B$6+$B$10)-IF($B$1+55&gt;=$B$23,$B$22,0))*(1+$B$4)^55)&gt;0,1+$B$3,1))</f>
        <v/>
      </c>
      <c r="BG115">
        <f>IF($B$1+56&gt;90,BF115,(BF115+IF($B$1+56&lt;=$B115,12*($B$7-$B$10),-12*MAX(0,($B$6+$B$10)-IF($B$1+56&gt;=$B$23,$B$22,0))*(1+$B$4)^56))*IF(BF115+IF($B$1+56&lt;=$B115,12*($B$7-$B$10),-12*MAX(0,($B$6+$B$10)-IF($B$1+56&gt;=$B$23,$B$22,0))*(1+$B$4)^56)&gt;0,1+$B$3,1))</f>
        <v/>
      </c>
      <c r="BH115">
        <f>IF($B$1+57&gt;90,BG115,(BG115+IF($B$1+57&lt;=$B115,12*($B$7-$B$10),-12*MAX(0,($B$6+$B$10)-IF($B$1+57&gt;=$B$23,$B$22,0))*(1+$B$4)^57))*IF(BG115+IF($B$1+57&lt;=$B115,12*($B$7-$B$10),-12*MAX(0,($B$6+$B$10)-IF($B$1+57&gt;=$B$23,$B$22,0))*(1+$B$4)^57)&gt;0,1+$B$3,1))</f>
        <v/>
      </c>
      <c r="BI115">
        <f>IF($B$1+58&gt;90,BH115,(BH115+IF($B$1+58&lt;=$B115,12*($B$7-$B$10),-12*MAX(0,($B$6+$B$10)-IF($B$1+58&gt;=$B$23,$B$22,0))*(1+$B$4)^58))*IF(BH115+IF($B$1+58&lt;=$B115,12*($B$7-$B$10),-12*MAX(0,($B$6+$B$10)-IF($B$1+58&gt;=$B$23,$B$22,0))*(1+$B$4)^58)&gt;0,1+$B$3,1))</f>
        <v/>
      </c>
      <c r="BJ115">
        <f>IF($B$1+59&gt;90,BI115,(BI115+IF($B$1+59&lt;=$B115,12*($B$7-$B$10),-12*MAX(0,($B$6+$B$10)-IF($B$1+59&gt;=$B$23,$B$22,0))*(1+$B$4)^59))*IF(BI115+IF($B$1+59&lt;=$B115,12*($B$7-$B$10),-12*MAX(0,($B$6+$B$10)-IF($B$1+59&gt;=$B$23,$B$22,0))*(1+$B$4)^59)&gt;0,1+$B$3,1))</f>
        <v/>
      </c>
      <c r="BK115">
        <f>IF($B$1+60&gt;90,BJ115,(BJ115+IF($B$1+60&lt;=$B115,12*($B$7-$B$10),-12*MAX(0,($B$6+$B$10)-IF($B$1+60&gt;=$B$23,$B$22,0))*(1+$B$4)^60))*IF(BJ115+IF($B$1+60&lt;=$B115,12*($B$7-$B$10),-12*MAX(0,($B$6+$B$10)-IF($B$1+60&gt;=$B$23,$B$22,0))*(1+$B$4)^60)&gt;0,1+$B$3,1))</f>
        <v/>
      </c>
      <c r="BL115">
        <f>IF($B$1+61&gt;90,BK115,(BK115+IF($B$1+61&lt;=$B115,12*($B$7-$B$10),-12*MAX(0,($B$6+$B$10)-IF($B$1+61&gt;=$B$23,$B$22,0))*(1+$B$4)^61))*IF(BK115+IF($B$1+61&lt;=$B115,12*($B$7-$B$10),-12*MAX(0,($B$6+$B$10)-IF($B$1+61&gt;=$B$23,$B$22,0))*(1+$B$4)^61)&gt;0,1+$B$3,1))</f>
        <v/>
      </c>
      <c r="BM115">
        <f>IF($B$1+62&gt;90,BL115,(BL115+IF($B$1+62&lt;=$B115,12*($B$7-$B$10),-12*MAX(0,($B$6+$B$10)-IF($B$1+62&gt;=$B$23,$B$22,0))*(1+$B$4)^62))*IF(BL115+IF($B$1+62&lt;=$B115,12*($B$7-$B$10),-12*MAX(0,($B$6+$B$10)-IF($B$1+62&gt;=$B$23,$B$22,0))*(1+$B$4)^62)&gt;0,1+$B$3,1))</f>
        <v/>
      </c>
      <c r="BN115">
        <f>IF($B$1+63&gt;90,BM115,(BM115+IF($B$1+63&lt;=$B115,12*($B$7-$B$10),-12*MAX(0,($B$6+$B$10)-IF($B$1+63&gt;=$B$23,$B$22,0))*(1+$B$4)^63))*IF(BM115+IF($B$1+63&lt;=$B115,12*($B$7-$B$10),-12*MAX(0,($B$6+$B$10)-IF($B$1+63&gt;=$B$23,$B$22,0))*(1+$B$4)^63)&gt;0,1+$B$3,1))</f>
        <v/>
      </c>
      <c r="BO115">
        <f>IF($B$1+64&gt;90,BN115,(BN115+IF($B$1+64&lt;=$B115,12*($B$7-$B$10),-12*MAX(0,($B$6+$B$10)-IF($B$1+64&gt;=$B$23,$B$22,0))*(1+$B$4)^64))*IF(BN115+IF($B$1+64&lt;=$B115,12*($B$7-$B$10),-12*MAX(0,($B$6+$B$10)-IF($B$1+64&gt;=$B$23,$B$22,0))*(1+$B$4)^64)&gt;0,1+$B$3,1))</f>
        <v/>
      </c>
      <c r="BP115">
        <f>IF($B$1+65&gt;90,BO115,(BO115+IF($B$1+65&lt;=$B115,12*($B$7-$B$10),-12*MAX(0,($B$6+$B$10)-IF($B$1+65&gt;=$B$23,$B$22,0))*(1+$B$4)^65))*IF(BO115+IF($B$1+65&lt;=$B115,12*($B$7-$B$10),-12*MAX(0,($B$6+$B$10)-IF($B$1+65&gt;=$B$23,$B$22,0))*(1+$B$4)^65)&gt;0,1+$B$3,1))</f>
        <v/>
      </c>
      <c r="BQ115">
        <f>IF($B$1+66&gt;90,BP115,(BP115+IF($B$1+66&lt;=$B115,12*($B$7-$B$10),-12*MAX(0,($B$6+$B$10)-IF($B$1+66&gt;=$B$23,$B$22,0))*(1+$B$4)^66))*IF(BP115+IF($B$1+66&lt;=$B115,12*($B$7-$B$10),-12*MAX(0,($B$6+$B$10)-IF($B$1+66&gt;=$B$23,$B$22,0))*(1+$B$4)^66)&gt;0,1+$B$3,1))</f>
        <v/>
      </c>
      <c r="BR115">
        <f>IF($B$1+67&gt;90,BQ115,(BQ115+IF($B$1+67&lt;=$B115,12*($B$7-$B$10),-12*MAX(0,($B$6+$B$10)-IF($B$1+67&gt;=$B$23,$B$22,0))*(1+$B$4)^67))*IF(BQ115+IF($B$1+67&lt;=$B115,12*($B$7-$B$10),-12*MAX(0,($B$6+$B$10)-IF($B$1+67&gt;=$B$23,$B$22,0))*(1+$B$4)^67)&gt;0,1+$B$3,1))</f>
        <v/>
      </c>
      <c r="BS115">
        <f>IF($B$1+68&gt;90,BR115,(BR115+IF($B$1+68&lt;=$B115,12*($B$7-$B$10),-12*MAX(0,($B$6+$B$10)-IF($B$1+68&gt;=$B$23,$B$22,0))*(1+$B$4)^68))*IF(BR115+IF($B$1+68&lt;=$B115,12*($B$7-$B$10),-12*MAX(0,($B$6+$B$10)-IF($B$1+68&gt;=$B$23,$B$22,0))*(1+$B$4)^68)&gt;0,1+$B$3,1))</f>
        <v/>
      </c>
      <c r="BT115">
        <f>IF($B$1+69&gt;90,BS115,(BS115+IF($B$1+69&lt;=$B115,12*($B$7-$B$10),-12*MAX(0,($B$6+$B$10)-IF($B$1+69&gt;=$B$23,$B$22,0))*(1+$B$4)^69))*IF(BS115+IF($B$1+69&lt;=$B115,12*($B$7-$B$10),-12*MAX(0,($B$6+$B$10)-IF($B$1+69&gt;=$B$23,$B$22,0))*(1+$B$4)^69)&gt;0,1+$B$3,1))</f>
        <v/>
      </c>
      <c r="BU115">
        <f>IF($B$1+70&gt;90,BT115,(BT115+IF($B$1+70&lt;=$B115,12*($B$7-$B$10),-12*MAX(0,($B$6+$B$10)-IF($B$1+70&gt;=$B$23,$B$22,0))*(1+$B$4)^70))*IF(BT115+IF($B$1+70&lt;=$B115,12*($B$7-$B$10),-12*MAX(0,($B$6+$B$10)-IF($B$1+70&gt;=$B$23,$B$22,0))*(1+$B$4)^70)&gt;0,1+$B$3,1))</f>
        <v/>
      </c>
      <c r="BV115">
        <f>BU115</f>
        <v/>
      </c>
      <c r="BW115">
        <f>IF(AND($B115&lt;=70,BV115&gt;0),$B115,999)</f>
        <v/>
      </c>
      <c r="CH115">
        <f>IF(ISTEXT('월 가계부'!A115),SUBSTITUTE(SUBSTITUTE(SUBSTITUTE(SUBSTITUTE(SUBSTITUTE(SUBSTITUTE(SUBSTITUTE(SUBSTITUTE(SUBSTITUTE(TRIM('월 가계부'!A115),"년","-"),"월","-"),"일",""),".","-"),"/","-")," ","-"),"--","-"),"--","-"),"--","-")&amp;"-","")</f>
        <v/>
      </c>
      <c r="CI115">
        <f>IFERROR(IF('월 가계부'!A115="","",IF(ISNUMBER('월 가계부'!A115),IF(AND('월 가계부'!A115&gt;=19000101,'월 가계부'!A115&lt;=21001231),IF(AND(MOD(INT('월 가계부'!A115/100),100)&gt;=1,MOD(INT('월 가계부'!A115/100),100)&lt;=12,MOD(INT('월 가계부'!A115),100)&gt;=1,MOD(INT('월 가계부'!A115),100)&lt;=31),IF(MONTH(DATE(INT('월 가계부'!A115/10000),MOD(INT('월 가계부'!A115/100),100),MOD(INT('월 가계부'!A115),100)))=MOD(INT('월 가계부'!A115/100),100),DATE(INT('월 가계부'!A115/10000),MOD(INT('월 가계부'!A115/100),100),MOD(INT('월 가계부'!A115),100)),""),""),IF(AND('월 가계부'!A115&gt;=36526,'월 가계부'!A115&lt;73051),INT('월 가계부'!A115),"")),IF(OR(CM115="",CN115="",CO115=""),"",IF(AND(CM115&gt;=2000,CM115&lt;=2099,CN115&gt;=1,CN115&lt;=12,CO115&gt;=1,CO115&lt;=31),IF(MONTH(DATE(CM115,CN115,CO115))=CN115,DATE(CM115,CN115,CO115),""),"")))),"")</f>
        <v/>
      </c>
      <c r="CJ115">
        <f>IFERROR(IF('월 가계부'!C115="","",IF(ISNUMBER('월 가계부'!C115),'월 가계부'!C115,VALUE(SUBSTITUTE(SUBSTITUTE(SUBSTITUTE(SUBSTITUTE(TRIM('월 가계부'!C115),",",""),"원","")," ",""),"−","-")))),"")</f>
        <v/>
      </c>
      <c r="CK115">
        <f>IF(ISNUMBER(CI115),IF(CI115&lt;$B$13,CI115,""),"")</f>
        <v/>
      </c>
      <c r="CM115">
        <f>IF(CH115="","",IFERROR(IF(IF(AND(LEN(CH115)=9,ISERROR(FIND("-",LEFT(CH115,8))),ISNUMBER(-LEFT(CH115,8))),VALUE(LEFT(CH115,4)),VALUE(LEFT(CH115,FIND("-",CH115)-1)))&lt;100,IF(AND(LEN(CH115)=9,ISERROR(FIND("-",LEFT(CH115,8))),ISNUMBER(-LEFT(CH115,8))),VALUE(LEFT(CH115,4)),VALUE(LEFT(CH115,FIND("-",CH115)-1)))+2000,IF(AND(LEN(CH115)=9,ISERROR(FIND("-",LEFT(CH115,8))),ISNUMBER(-LEFT(CH115,8))),VALUE(LEFT(CH115,4)),VALUE(LEFT(CH115,FIND("-",CH115)-1)))),""))</f>
        <v/>
      </c>
      <c r="CN115">
        <f>IF(CH115="","",IFERROR(IF(AND(LEN(CH115)=9,ISERROR(FIND("-",LEFT(CH115,8))),ISNUMBER(-LEFT(CH115,8))),VALUE(MID(CH115,5,2)),VALUE(MID(CH115,FIND("-",CH115)+1,FIND("-",CH115,FIND("-",CH115)+1)-FIND("-",CH115)-1))),""))</f>
        <v/>
      </c>
      <c r="CO115">
        <f>IF(CH115="","",IFERROR(IF(AND(LEN(CH115)=9,ISERROR(FIND("-",LEFT(CH115,8))),ISNUMBER(-LEFT(CH115,8))),VALUE(MID(CH115,7,2)),VALUE(MID(CH115,FIND("-",CH115,FIND("-",CH115)+1)+1,FIND("-",CH115,FIND("-",CH115,FIND("-",CH115)+1)+1)-FIND("-",CH115,FIND("-",CH115)+1)-1))),""))</f>
        <v/>
      </c>
    </row>
    <row r="116">
      <c r="A116" t="n">
        <v>20</v>
      </c>
      <c r="B116">
        <f>$B$1+20</f>
        <v/>
      </c>
      <c r="C116">
        <f>$B$2</f>
        <v/>
      </c>
      <c r="D116">
        <f>IF($B$1+1&gt;90,C116,(C116+IF($B$1+1&lt;=$B116,12*($B$7-$B$10),-12*MAX(0,($B$6+$B$10)-IF($B$1+1&gt;=$B$23,$B$22,0))*(1+$B$4)^1))*IF(C116+IF($B$1+1&lt;=$B116,12*($B$7-$B$10),-12*MAX(0,($B$6+$B$10)-IF($B$1+1&gt;=$B$23,$B$22,0))*(1+$B$4)^1)&gt;0,1+$B$3,1))</f>
        <v/>
      </c>
      <c r="E116">
        <f>IF($B$1+2&gt;90,D116,(D116+IF($B$1+2&lt;=$B116,12*($B$7-$B$10),-12*MAX(0,($B$6+$B$10)-IF($B$1+2&gt;=$B$23,$B$22,0))*(1+$B$4)^2))*IF(D116+IF($B$1+2&lt;=$B116,12*($B$7-$B$10),-12*MAX(0,($B$6+$B$10)-IF($B$1+2&gt;=$B$23,$B$22,0))*(1+$B$4)^2)&gt;0,1+$B$3,1))</f>
        <v/>
      </c>
      <c r="F116">
        <f>IF($B$1+3&gt;90,E116,(E116+IF($B$1+3&lt;=$B116,12*($B$7-$B$10),-12*MAX(0,($B$6+$B$10)-IF($B$1+3&gt;=$B$23,$B$22,0))*(1+$B$4)^3))*IF(E116+IF($B$1+3&lt;=$B116,12*($B$7-$B$10),-12*MAX(0,($B$6+$B$10)-IF($B$1+3&gt;=$B$23,$B$22,0))*(1+$B$4)^3)&gt;0,1+$B$3,1))</f>
        <v/>
      </c>
      <c r="G116">
        <f>IF($B$1+4&gt;90,F116,(F116+IF($B$1+4&lt;=$B116,12*($B$7-$B$10),-12*MAX(0,($B$6+$B$10)-IF($B$1+4&gt;=$B$23,$B$22,0))*(1+$B$4)^4))*IF(F116+IF($B$1+4&lt;=$B116,12*($B$7-$B$10),-12*MAX(0,($B$6+$B$10)-IF($B$1+4&gt;=$B$23,$B$22,0))*(1+$B$4)^4)&gt;0,1+$B$3,1))</f>
        <v/>
      </c>
      <c r="H116">
        <f>IF($B$1+5&gt;90,G116,(G116+IF($B$1+5&lt;=$B116,12*($B$7-$B$10),-12*MAX(0,($B$6+$B$10)-IF($B$1+5&gt;=$B$23,$B$22,0))*(1+$B$4)^5))*IF(G116+IF($B$1+5&lt;=$B116,12*($B$7-$B$10),-12*MAX(0,($B$6+$B$10)-IF($B$1+5&gt;=$B$23,$B$22,0))*(1+$B$4)^5)&gt;0,1+$B$3,1))</f>
        <v/>
      </c>
      <c r="I116">
        <f>IF($B$1+6&gt;90,H116,(H116+IF($B$1+6&lt;=$B116,12*($B$7-$B$10),-12*MAX(0,($B$6+$B$10)-IF($B$1+6&gt;=$B$23,$B$22,0))*(1+$B$4)^6))*IF(H116+IF($B$1+6&lt;=$B116,12*($B$7-$B$10),-12*MAX(0,($B$6+$B$10)-IF($B$1+6&gt;=$B$23,$B$22,0))*(1+$B$4)^6)&gt;0,1+$B$3,1))</f>
        <v/>
      </c>
      <c r="J116">
        <f>IF($B$1+7&gt;90,I116,(I116+IF($B$1+7&lt;=$B116,12*($B$7-$B$10),-12*MAX(0,($B$6+$B$10)-IF($B$1+7&gt;=$B$23,$B$22,0))*(1+$B$4)^7))*IF(I116+IF($B$1+7&lt;=$B116,12*($B$7-$B$10),-12*MAX(0,($B$6+$B$10)-IF($B$1+7&gt;=$B$23,$B$22,0))*(1+$B$4)^7)&gt;0,1+$B$3,1))</f>
        <v/>
      </c>
      <c r="K116">
        <f>IF($B$1+8&gt;90,J116,(J116+IF($B$1+8&lt;=$B116,12*($B$7-$B$10),-12*MAX(0,($B$6+$B$10)-IF($B$1+8&gt;=$B$23,$B$22,0))*(1+$B$4)^8))*IF(J116+IF($B$1+8&lt;=$B116,12*($B$7-$B$10),-12*MAX(0,($B$6+$B$10)-IF($B$1+8&gt;=$B$23,$B$22,0))*(1+$B$4)^8)&gt;0,1+$B$3,1))</f>
        <v/>
      </c>
      <c r="L116">
        <f>IF($B$1+9&gt;90,K116,(K116+IF($B$1+9&lt;=$B116,12*($B$7-$B$10),-12*MAX(0,($B$6+$B$10)-IF($B$1+9&gt;=$B$23,$B$22,0))*(1+$B$4)^9))*IF(K116+IF($B$1+9&lt;=$B116,12*($B$7-$B$10),-12*MAX(0,($B$6+$B$10)-IF($B$1+9&gt;=$B$23,$B$22,0))*(1+$B$4)^9)&gt;0,1+$B$3,1))</f>
        <v/>
      </c>
      <c r="M116">
        <f>IF($B$1+10&gt;90,L116,(L116+IF($B$1+10&lt;=$B116,12*($B$7-$B$10),-12*MAX(0,($B$6+$B$10)-IF($B$1+10&gt;=$B$23,$B$22,0))*(1+$B$4)^10))*IF(L116+IF($B$1+10&lt;=$B116,12*($B$7-$B$10),-12*MAX(0,($B$6+$B$10)-IF($B$1+10&gt;=$B$23,$B$22,0))*(1+$B$4)^10)&gt;0,1+$B$3,1))</f>
        <v/>
      </c>
      <c r="N116">
        <f>IF($B$1+11&gt;90,M116,(M116+IF($B$1+11&lt;=$B116,12*($B$7-$B$10),-12*MAX(0,($B$6+$B$10)-IF($B$1+11&gt;=$B$23,$B$22,0))*(1+$B$4)^11))*IF(M116+IF($B$1+11&lt;=$B116,12*($B$7-$B$10),-12*MAX(0,($B$6+$B$10)-IF($B$1+11&gt;=$B$23,$B$22,0))*(1+$B$4)^11)&gt;0,1+$B$3,1))</f>
        <v/>
      </c>
      <c r="O116">
        <f>IF($B$1+12&gt;90,N116,(N116+IF($B$1+12&lt;=$B116,12*($B$7-$B$10),-12*MAX(0,($B$6+$B$10)-IF($B$1+12&gt;=$B$23,$B$22,0))*(1+$B$4)^12))*IF(N116+IF($B$1+12&lt;=$B116,12*($B$7-$B$10),-12*MAX(0,($B$6+$B$10)-IF($B$1+12&gt;=$B$23,$B$22,0))*(1+$B$4)^12)&gt;0,1+$B$3,1))</f>
        <v/>
      </c>
      <c r="P116">
        <f>IF($B$1+13&gt;90,O116,(O116+IF($B$1+13&lt;=$B116,12*($B$7-$B$10),-12*MAX(0,($B$6+$B$10)-IF($B$1+13&gt;=$B$23,$B$22,0))*(1+$B$4)^13))*IF(O116+IF($B$1+13&lt;=$B116,12*($B$7-$B$10),-12*MAX(0,($B$6+$B$10)-IF($B$1+13&gt;=$B$23,$B$22,0))*(1+$B$4)^13)&gt;0,1+$B$3,1))</f>
        <v/>
      </c>
      <c r="Q116">
        <f>IF($B$1+14&gt;90,P116,(P116+IF($B$1+14&lt;=$B116,12*($B$7-$B$10),-12*MAX(0,($B$6+$B$10)-IF($B$1+14&gt;=$B$23,$B$22,0))*(1+$B$4)^14))*IF(P116+IF($B$1+14&lt;=$B116,12*($B$7-$B$10),-12*MAX(0,($B$6+$B$10)-IF($B$1+14&gt;=$B$23,$B$22,0))*(1+$B$4)^14)&gt;0,1+$B$3,1))</f>
        <v/>
      </c>
      <c r="R116">
        <f>IF($B$1+15&gt;90,Q116,(Q116+IF($B$1+15&lt;=$B116,12*($B$7-$B$10),-12*MAX(0,($B$6+$B$10)-IF($B$1+15&gt;=$B$23,$B$22,0))*(1+$B$4)^15))*IF(Q116+IF($B$1+15&lt;=$B116,12*($B$7-$B$10),-12*MAX(0,($B$6+$B$10)-IF($B$1+15&gt;=$B$23,$B$22,0))*(1+$B$4)^15)&gt;0,1+$B$3,1))</f>
        <v/>
      </c>
      <c r="S116">
        <f>IF($B$1+16&gt;90,R116,(R116+IF($B$1+16&lt;=$B116,12*($B$7-$B$10),-12*MAX(0,($B$6+$B$10)-IF($B$1+16&gt;=$B$23,$B$22,0))*(1+$B$4)^16))*IF(R116+IF($B$1+16&lt;=$B116,12*($B$7-$B$10),-12*MAX(0,($B$6+$B$10)-IF($B$1+16&gt;=$B$23,$B$22,0))*(1+$B$4)^16)&gt;0,1+$B$3,1))</f>
        <v/>
      </c>
      <c r="T116">
        <f>IF($B$1+17&gt;90,S116,(S116+IF($B$1+17&lt;=$B116,12*($B$7-$B$10),-12*MAX(0,($B$6+$B$10)-IF($B$1+17&gt;=$B$23,$B$22,0))*(1+$B$4)^17))*IF(S116+IF($B$1+17&lt;=$B116,12*($B$7-$B$10),-12*MAX(0,($B$6+$B$10)-IF($B$1+17&gt;=$B$23,$B$22,0))*(1+$B$4)^17)&gt;0,1+$B$3,1))</f>
        <v/>
      </c>
      <c r="U116">
        <f>IF($B$1+18&gt;90,T116,(T116+IF($B$1+18&lt;=$B116,12*($B$7-$B$10),-12*MAX(0,($B$6+$B$10)-IF($B$1+18&gt;=$B$23,$B$22,0))*(1+$B$4)^18))*IF(T116+IF($B$1+18&lt;=$B116,12*($B$7-$B$10),-12*MAX(0,($B$6+$B$10)-IF($B$1+18&gt;=$B$23,$B$22,0))*(1+$B$4)^18)&gt;0,1+$B$3,1))</f>
        <v/>
      </c>
      <c r="V116">
        <f>IF($B$1+19&gt;90,U116,(U116+IF($B$1+19&lt;=$B116,12*($B$7-$B$10),-12*MAX(0,($B$6+$B$10)-IF($B$1+19&gt;=$B$23,$B$22,0))*(1+$B$4)^19))*IF(U116+IF($B$1+19&lt;=$B116,12*($B$7-$B$10),-12*MAX(0,($B$6+$B$10)-IF($B$1+19&gt;=$B$23,$B$22,0))*(1+$B$4)^19)&gt;0,1+$B$3,1))</f>
        <v/>
      </c>
      <c r="W116">
        <f>IF($B$1+20&gt;90,V116,(V116+IF($B$1+20&lt;=$B116,12*($B$7-$B$10),-12*MAX(0,($B$6+$B$10)-IF($B$1+20&gt;=$B$23,$B$22,0))*(1+$B$4)^20))*IF(V116+IF($B$1+20&lt;=$B116,12*($B$7-$B$10),-12*MAX(0,($B$6+$B$10)-IF($B$1+20&gt;=$B$23,$B$22,0))*(1+$B$4)^20)&gt;0,1+$B$3,1))</f>
        <v/>
      </c>
      <c r="X116">
        <f>IF($B$1+21&gt;90,W116,(W116+IF($B$1+21&lt;=$B116,12*($B$7-$B$10),-12*MAX(0,($B$6+$B$10)-IF($B$1+21&gt;=$B$23,$B$22,0))*(1+$B$4)^21))*IF(W116+IF($B$1+21&lt;=$B116,12*($B$7-$B$10),-12*MAX(0,($B$6+$B$10)-IF($B$1+21&gt;=$B$23,$B$22,0))*(1+$B$4)^21)&gt;0,1+$B$3,1))</f>
        <v/>
      </c>
      <c r="Y116">
        <f>IF($B$1+22&gt;90,X116,(X116+IF($B$1+22&lt;=$B116,12*($B$7-$B$10),-12*MAX(0,($B$6+$B$10)-IF($B$1+22&gt;=$B$23,$B$22,0))*(1+$B$4)^22))*IF(X116+IF($B$1+22&lt;=$B116,12*($B$7-$B$10),-12*MAX(0,($B$6+$B$10)-IF($B$1+22&gt;=$B$23,$B$22,0))*(1+$B$4)^22)&gt;0,1+$B$3,1))</f>
        <v/>
      </c>
      <c r="Z116">
        <f>IF($B$1+23&gt;90,Y116,(Y116+IF($B$1+23&lt;=$B116,12*($B$7-$B$10),-12*MAX(0,($B$6+$B$10)-IF($B$1+23&gt;=$B$23,$B$22,0))*(1+$B$4)^23))*IF(Y116+IF($B$1+23&lt;=$B116,12*($B$7-$B$10),-12*MAX(0,($B$6+$B$10)-IF($B$1+23&gt;=$B$23,$B$22,0))*(1+$B$4)^23)&gt;0,1+$B$3,1))</f>
        <v/>
      </c>
      <c r="AA116">
        <f>IF($B$1+24&gt;90,Z116,(Z116+IF($B$1+24&lt;=$B116,12*($B$7-$B$10),-12*MAX(0,($B$6+$B$10)-IF($B$1+24&gt;=$B$23,$B$22,0))*(1+$B$4)^24))*IF(Z116+IF($B$1+24&lt;=$B116,12*($B$7-$B$10),-12*MAX(0,($B$6+$B$10)-IF($B$1+24&gt;=$B$23,$B$22,0))*(1+$B$4)^24)&gt;0,1+$B$3,1))</f>
        <v/>
      </c>
      <c r="AB116">
        <f>IF($B$1+25&gt;90,AA116,(AA116+IF($B$1+25&lt;=$B116,12*($B$7-$B$10),-12*MAX(0,($B$6+$B$10)-IF($B$1+25&gt;=$B$23,$B$22,0))*(1+$B$4)^25))*IF(AA116+IF($B$1+25&lt;=$B116,12*($B$7-$B$10),-12*MAX(0,($B$6+$B$10)-IF($B$1+25&gt;=$B$23,$B$22,0))*(1+$B$4)^25)&gt;0,1+$B$3,1))</f>
        <v/>
      </c>
      <c r="AC116">
        <f>IF($B$1+26&gt;90,AB116,(AB116+IF($B$1+26&lt;=$B116,12*($B$7-$B$10),-12*MAX(0,($B$6+$B$10)-IF($B$1+26&gt;=$B$23,$B$22,0))*(1+$B$4)^26))*IF(AB116+IF($B$1+26&lt;=$B116,12*($B$7-$B$10),-12*MAX(0,($B$6+$B$10)-IF($B$1+26&gt;=$B$23,$B$22,0))*(1+$B$4)^26)&gt;0,1+$B$3,1))</f>
        <v/>
      </c>
      <c r="AD116">
        <f>IF($B$1+27&gt;90,AC116,(AC116+IF($B$1+27&lt;=$B116,12*($B$7-$B$10),-12*MAX(0,($B$6+$B$10)-IF($B$1+27&gt;=$B$23,$B$22,0))*(1+$B$4)^27))*IF(AC116+IF($B$1+27&lt;=$B116,12*($B$7-$B$10),-12*MAX(0,($B$6+$B$10)-IF($B$1+27&gt;=$B$23,$B$22,0))*(1+$B$4)^27)&gt;0,1+$B$3,1))</f>
        <v/>
      </c>
      <c r="AE116">
        <f>IF($B$1+28&gt;90,AD116,(AD116+IF($B$1+28&lt;=$B116,12*($B$7-$B$10),-12*MAX(0,($B$6+$B$10)-IF($B$1+28&gt;=$B$23,$B$22,0))*(1+$B$4)^28))*IF(AD116+IF($B$1+28&lt;=$B116,12*($B$7-$B$10),-12*MAX(0,($B$6+$B$10)-IF($B$1+28&gt;=$B$23,$B$22,0))*(1+$B$4)^28)&gt;0,1+$B$3,1))</f>
        <v/>
      </c>
      <c r="AF116">
        <f>IF($B$1+29&gt;90,AE116,(AE116+IF($B$1+29&lt;=$B116,12*($B$7-$B$10),-12*MAX(0,($B$6+$B$10)-IF($B$1+29&gt;=$B$23,$B$22,0))*(1+$B$4)^29))*IF(AE116+IF($B$1+29&lt;=$B116,12*($B$7-$B$10),-12*MAX(0,($B$6+$B$10)-IF($B$1+29&gt;=$B$23,$B$22,0))*(1+$B$4)^29)&gt;0,1+$B$3,1))</f>
        <v/>
      </c>
      <c r="AG116">
        <f>IF($B$1+30&gt;90,AF116,(AF116+IF($B$1+30&lt;=$B116,12*($B$7-$B$10),-12*MAX(0,($B$6+$B$10)-IF($B$1+30&gt;=$B$23,$B$22,0))*(1+$B$4)^30))*IF(AF116+IF($B$1+30&lt;=$B116,12*($B$7-$B$10),-12*MAX(0,($B$6+$B$10)-IF($B$1+30&gt;=$B$23,$B$22,0))*(1+$B$4)^30)&gt;0,1+$B$3,1))</f>
        <v/>
      </c>
      <c r="AH116">
        <f>IF($B$1+31&gt;90,AG116,(AG116+IF($B$1+31&lt;=$B116,12*($B$7-$B$10),-12*MAX(0,($B$6+$B$10)-IF($B$1+31&gt;=$B$23,$B$22,0))*(1+$B$4)^31))*IF(AG116+IF($B$1+31&lt;=$B116,12*($B$7-$B$10),-12*MAX(0,($B$6+$B$10)-IF($B$1+31&gt;=$B$23,$B$22,0))*(1+$B$4)^31)&gt;0,1+$B$3,1))</f>
        <v/>
      </c>
      <c r="AI116">
        <f>IF($B$1+32&gt;90,AH116,(AH116+IF($B$1+32&lt;=$B116,12*($B$7-$B$10),-12*MAX(0,($B$6+$B$10)-IF($B$1+32&gt;=$B$23,$B$22,0))*(1+$B$4)^32))*IF(AH116+IF($B$1+32&lt;=$B116,12*($B$7-$B$10),-12*MAX(0,($B$6+$B$10)-IF($B$1+32&gt;=$B$23,$B$22,0))*(1+$B$4)^32)&gt;0,1+$B$3,1))</f>
        <v/>
      </c>
      <c r="AJ116">
        <f>IF($B$1+33&gt;90,AI116,(AI116+IF($B$1+33&lt;=$B116,12*($B$7-$B$10),-12*MAX(0,($B$6+$B$10)-IF($B$1+33&gt;=$B$23,$B$22,0))*(1+$B$4)^33))*IF(AI116+IF($B$1+33&lt;=$B116,12*($B$7-$B$10),-12*MAX(0,($B$6+$B$10)-IF($B$1+33&gt;=$B$23,$B$22,0))*(1+$B$4)^33)&gt;0,1+$B$3,1))</f>
        <v/>
      </c>
      <c r="AK116">
        <f>IF($B$1+34&gt;90,AJ116,(AJ116+IF($B$1+34&lt;=$B116,12*($B$7-$B$10),-12*MAX(0,($B$6+$B$10)-IF($B$1+34&gt;=$B$23,$B$22,0))*(1+$B$4)^34))*IF(AJ116+IF($B$1+34&lt;=$B116,12*($B$7-$B$10),-12*MAX(0,($B$6+$B$10)-IF($B$1+34&gt;=$B$23,$B$22,0))*(1+$B$4)^34)&gt;0,1+$B$3,1))</f>
        <v/>
      </c>
      <c r="AL116">
        <f>IF($B$1+35&gt;90,AK116,(AK116+IF($B$1+35&lt;=$B116,12*($B$7-$B$10),-12*MAX(0,($B$6+$B$10)-IF($B$1+35&gt;=$B$23,$B$22,0))*(1+$B$4)^35))*IF(AK116+IF($B$1+35&lt;=$B116,12*($B$7-$B$10),-12*MAX(0,($B$6+$B$10)-IF($B$1+35&gt;=$B$23,$B$22,0))*(1+$B$4)^35)&gt;0,1+$B$3,1))</f>
        <v/>
      </c>
      <c r="AM116">
        <f>IF($B$1+36&gt;90,AL116,(AL116+IF($B$1+36&lt;=$B116,12*($B$7-$B$10),-12*MAX(0,($B$6+$B$10)-IF($B$1+36&gt;=$B$23,$B$22,0))*(1+$B$4)^36))*IF(AL116+IF($B$1+36&lt;=$B116,12*($B$7-$B$10),-12*MAX(0,($B$6+$B$10)-IF($B$1+36&gt;=$B$23,$B$22,0))*(1+$B$4)^36)&gt;0,1+$B$3,1))</f>
        <v/>
      </c>
      <c r="AN116">
        <f>IF($B$1+37&gt;90,AM116,(AM116+IF($B$1+37&lt;=$B116,12*($B$7-$B$10),-12*MAX(0,($B$6+$B$10)-IF($B$1+37&gt;=$B$23,$B$22,0))*(1+$B$4)^37))*IF(AM116+IF($B$1+37&lt;=$B116,12*($B$7-$B$10),-12*MAX(0,($B$6+$B$10)-IF($B$1+37&gt;=$B$23,$B$22,0))*(1+$B$4)^37)&gt;0,1+$B$3,1))</f>
        <v/>
      </c>
      <c r="AO116">
        <f>IF($B$1+38&gt;90,AN116,(AN116+IF($B$1+38&lt;=$B116,12*($B$7-$B$10),-12*MAX(0,($B$6+$B$10)-IF($B$1+38&gt;=$B$23,$B$22,0))*(1+$B$4)^38))*IF(AN116+IF($B$1+38&lt;=$B116,12*($B$7-$B$10),-12*MAX(0,($B$6+$B$10)-IF($B$1+38&gt;=$B$23,$B$22,0))*(1+$B$4)^38)&gt;0,1+$B$3,1))</f>
        <v/>
      </c>
      <c r="AP116">
        <f>IF($B$1+39&gt;90,AO116,(AO116+IF($B$1+39&lt;=$B116,12*($B$7-$B$10),-12*MAX(0,($B$6+$B$10)-IF($B$1+39&gt;=$B$23,$B$22,0))*(1+$B$4)^39))*IF(AO116+IF($B$1+39&lt;=$B116,12*($B$7-$B$10),-12*MAX(0,($B$6+$B$10)-IF($B$1+39&gt;=$B$23,$B$22,0))*(1+$B$4)^39)&gt;0,1+$B$3,1))</f>
        <v/>
      </c>
      <c r="AQ116">
        <f>IF($B$1+40&gt;90,AP116,(AP116+IF($B$1+40&lt;=$B116,12*($B$7-$B$10),-12*MAX(0,($B$6+$B$10)-IF($B$1+40&gt;=$B$23,$B$22,0))*(1+$B$4)^40))*IF(AP116+IF($B$1+40&lt;=$B116,12*($B$7-$B$10),-12*MAX(0,($B$6+$B$10)-IF($B$1+40&gt;=$B$23,$B$22,0))*(1+$B$4)^40)&gt;0,1+$B$3,1))</f>
        <v/>
      </c>
      <c r="AR116">
        <f>IF($B$1+41&gt;90,AQ116,(AQ116+IF($B$1+41&lt;=$B116,12*($B$7-$B$10),-12*MAX(0,($B$6+$B$10)-IF($B$1+41&gt;=$B$23,$B$22,0))*(1+$B$4)^41))*IF(AQ116+IF($B$1+41&lt;=$B116,12*($B$7-$B$10),-12*MAX(0,($B$6+$B$10)-IF($B$1+41&gt;=$B$23,$B$22,0))*(1+$B$4)^41)&gt;0,1+$B$3,1))</f>
        <v/>
      </c>
      <c r="AS116">
        <f>IF($B$1+42&gt;90,AR116,(AR116+IF($B$1+42&lt;=$B116,12*($B$7-$B$10),-12*MAX(0,($B$6+$B$10)-IF($B$1+42&gt;=$B$23,$B$22,0))*(1+$B$4)^42))*IF(AR116+IF($B$1+42&lt;=$B116,12*($B$7-$B$10),-12*MAX(0,($B$6+$B$10)-IF($B$1+42&gt;=$B$23,$B$22,0))*(1+$B$4)^42)&gt;0,1+$B$3,1))</f>
        <v/>
      </c>
      <c r="AT116">
        <f>IF($B$1+43&gt;90,AS116,(AS116+IF($B$1+43&lt;=$B116,12*($B$7-$B$10),-12*MAX(0,($B$6+$B$10)-IF($B$1+43&gt;=$B$23,$B$22,0))*(1+$B$4)^43))*IF(AS116+IF($B$1+43&lt;=$B116,12*($B$7-$B$10),-12*MAX(0,($B$6+$B$10)-IF($B$1+43&gt;=$B$23,$B$22,0))*(1+$B$4)^43)&gt;0,1+$B$3,1))</f>
        <v/>
      </c>
      <c r="AU116">
        <f>IF($B$1+44&gt;90,AT116,(AT116+IF($B$1+44&lt;=$B116,12*($B$7-$B$10),-12*MAX(0,($B$6+$B$10)-IF($B$1+44&gt;=$B$23,$B$22,0))*(1+$B$4)^44))*IF(AT116+IF($B$1+44&lt;=$B116,12*($B$7-$B$10),-12*MAX(0,($B$6+$B$10)-IF($B$1+44&gt;=$B$23,$B$22,0))*(1+$B$4)^44)&gt;0,1+$B$3,1))</f>
        <v/>
      </c>
      <c r="AV116">
        <f>IF($B$1+45&gt;90,AU116,(AU116+IF($B$1+45&lt;=$B116,12*($B$7-$B$10),-12*MAX(0,($B$6+$B$10)-IF($B$1+45&gt;=$B$23,$B$22,0))*(1+$B$4)^45))*IF(AU116+IF($B$1+45&lt;=$B116,12*($B$7-$B$10),-12*MAX(0,($B$6+$B$10)-IF($B$1+45&gt;=$B$23,$B$22,0))*(1+$B$4)^45)&gt;0,1+$B$3,1))</f>
        <v/>
      </c>
      <c r="AW116">
        <f>IF($B$1+46&gt;90,AV116,(AV116+IF($B$1+46&lt;=$B116,12*($B$7-$B$10),-12*MAX(0,($B$6+$B$10)-IF($B$1+46&gt;=$B$23,$B$22,0))*(1+$B$4)^46))*IF(AV116+IF($B$1+46&lt;=$B116,12*($B$7-$B$10),-12*MAX(0,($B$6+$B$10)-IF($B$1+46&gt;=$B$23,$B$22,0))*(1+$B$4)^46)&gt;0,1+$B$3,1))</f>
        <v/>
      </c>
      <c r="AX116">
        <f>IF($B$1+47&gt;90,AW116,(AW116+IF($B$1+47&lt;=$B116,12*($B$7-$B$10),-12*MAX(0,($B$6+$B$10)-IF($B$1+47&gt;=$B$23,$B$22,0))*(1+$B$4)^47))*IF(AW116+IF($B$1+47&lt;=$B116,12*($B$7-$B$10),-12*MAX(0,($B$6+$B$10)-IF($B$1+47&gt;=$B$23,$B$22,0))*(1+$B$4)^47)&gt;0,1+$B$3,1))</f>
        <v/>
      </c>
      <c r="AY116">
        <f>IF($B$1+48&gt;90,AX116,(AX116+IF($B$1+48&lt;=$B116,12*($B$7-$B$10),-12*MAX(0,($B$6+$B$10)-IF($B$1+48&gt;=$B$23,$B$22,0))*(1+$B$4)^48))*IF(AX116+IF($B$1+48&lt;=$B116,12*($B$7-$B$10),-12*MAX(0,($B$6+$B$10)-IF($B$1+48&gt;=$B$23,$B$22,0))*(1+$B$4)^48)&gt;0,1+$B$3,1))</f>
        <v/>
      </c>
      <c r="AZ116">
        <f>IF($B$1+49&gt;90,AY116,(AY116+IF($B$1+49&lt;=$B116,12*($B$7-$B$10),-12*MAX(0,($B$6+$B$10)-IF($B$1+49&gt;=$B$23,$B$22,0))*(1+$B$4)^49))*IF(AY116+IF($B$1+49&lt;=$B116,12*($B$7-$B$10),-12*MAX(0,($B$6+$B$10)-IF($B$1+49&gt;=$B$23,$B$22,0))*(1+$B$4)^49)&gt;0,1+$B$3,1))</f>
        <v/>
      </c>
      <c r="BA116">
        <f>IF($B$1+50&gt;90,AZ116,(AZ116+IF($B$1+50&lt;=$B116,12*($B$7-$B$10),-12*MAX(0,($B$6+$B$10)-IF($B$1+50&gt;=$B$23,$B$22,0))*(1+$B$4)^50))*IF(AZ116+IF($B$1+50&lt;=$B116,12*($B$7-$B$10),-12*MAX(0,($B$6+$B$10)-IF($B$1+50&gt;=$B$23,$B$22,0))*(1+$B$4)^50)&gt;0,1+$B$3,1))</f>
        <v/>
      </c>
      <c r="BB116">
        <f>IF($B$1+51&gt;90,BA116,(BA116+IF($B$1+51&lt;=$B116,12*($B$7-$B$10),-12*MAX(0,($B$6+$B$10)-IF($B$1+51&gt;=$B$23,$B$22,0))*(1+$B$4)^51))*IF(BA116+IF($B$1+51&lt;=$B116,12*($B$7-$B$10),-12*MAX(0,($B$6+$B$10)-IF($B$1+51&gt;=$B$23,$B$22,0))*(1+$B$4)^51)&gt;0,1+$B$3,1))</f>
        <v/>
      </c>
      <c r="BC116">
        <f>IF($B$1+52&gt;90,BB116,(BB116+IF($B$1+52&lt;=$B116,12*($B$7-$B$10),-12*MAX(0,($B$6+$B$10)-IF($B$1+52&gt;=$B$23,$B$22,0))*(1+$B$4)^52))*IF(BB116+IF($B$1+52&lt;=$B116,12*($B$7-$B$10),-12*MAX(0,($B$6+$B$10)-IF($B$1+52&gt;=$B$23,$B$22,0))*(1+$B$4)^52)&gt;0,1+$B$3,1))</f>
        <v/>
      </c>
      <c r="BD116">
        <f>IF($B$1+53&gt;90,BC116,(BC116+IF($B$1+53&lt;=$B116,12*($B$7-$B$10),-12*MAX(0,($B$6+$B$10)-IF($B$1+53&gt;=$B$23,$B$22,0))*(1+$B$4)^53))*IF(BC116+IF($B$1+53&lt;=$B116,12*($B$7-$B$10),-12*MAX(0,($B$6+$B$10)-IF($B$1+53&gt;=$B$23,$B$22,0))*(1+$B$4)^53)&gt;0,1+$B$3,1))</f>
        <v/>
      </c>
      <c r="BE116">
        <f>IF($B$1+54&gt;90,BD116,(BD116+IF($B$1+54&lt;=$B116,12*($B$7-$B$10),-12*MAX(0,($B$6+$B$10)-IF($B$1+54&gt;=$B$23,$B$22,0))*(1+$B$4)^54))*IF(BD116+IF($B$1+54&lt;=$B116,12*($B$7-$B$10),-12*MAX(0,($B$6+$B$10)-IF($B$1+54&gt;=$B$23,$B$22,0))*(1+$B$4)^54)&gt;0,1+$B$3,1))</f>
        <v/>
      </c>
      <c r="BF116">
        <f>IF($B$1+55&gt;90,BE116,(BE116+IF($B$1+55&lt;=$B116,12*($B$7-$B$10),-12*MAX(0,($B$6+$B$10)-IF($B$1+55&gt;=$B$23,$B$22,0))*(1+$B$4)^55))*IF(BE116+IF($B$1+55&lt;=$B116,12*($B$7-$B$10),-12*MAX(0,($B$6+$B$10)-IF($B$1+55&gt;=$B$23,$B$22,0))*(1+$B$4)^55)&gt;0,1+$B$3,1))</f>
        <v/>
      </c>
      <c r="BG116">
        <f>IF($B$1+56&gt;90,BF116,(BF116+IF($B$1+56&lt;=$B116,12*($B$7-$B$10),-12*MAX(0,($B$6+$B$10)-IF($B$1+56&gt;=$B$23,$B$22,0))*(1+$B$4)^56))*IF(BF116+IF($B$1+56&lt;=$B116,12*($B$7-$B$10),-12*MAX(0,($B$6+$B$10)-IF($B$1+56&gt;=$B$23,$B$22,0))*(1+$B$4)^56)&gt;0,1+$B$3,1))</f>
        <v/>
      </c>
      <c r="BH116">
        <f>IF($B$1+57&gt;90,BG116,(BG116+IF($B$1+57&lt;=$B116,12*($B$7-$B$10),-12*MAX(0,($B$6+$B$10)-IF($B$1+57&gt;=$B$23,$B$22,0))*(1+$B$4)^57))*IF(BG116+IF($B$1+57&lt;=$B116,12*($B$7-$B$10),-12*MAX(0,($B$6+$B$10)-IF($B$1+57&gt;=$B$23,$B$22,0))*(1+$B$4)^57)&gt;0,1+$B$3,1))</f>
        <v/>
      </c>
      <c r="BI116">
        <f>IF($B$1+58&gt;90,BH116,(BH116+IF($B$1+58&lt;=$B116,12*($B$7-$B$10),-12*MAX(0,($B$6+$B$10)-IF($B$1+58&gt;=$B$23,$B$22,0))*(1+$B$4)^58))*IF(BH116+IF($B$1+58&lt;=$B116,12*($B$7-$B$10),-12*MAX(0,($B$6+$B$10)-IF($B$1+58&gt;=$B$23,$B$22,0))*(1+$B$4)^58)&gt;0,1+$B$3,1))</f>
        <v/>
      </c>
      <c r="BJ116">
        <f>IF($B$1+59&gt;90,BI116,(BI116+IF($B$1+59&lt;=$B116,12*($B$7-$B$10),-12*MAX(0,($B$6+$B$10)-IF($B$1+59&gt;=$B$23,$B$22,0))*(1+$B$4)^59))*IF(BI116+IF($B$1+59&lt;=$B116,12*($B$7-$B$10),-12*MAX(0,($B$6+$B$10)-IF($B$1+59&gt;=$B$23,$B$22,0))*(1+$B$4)^59)&gt;0,1+$B$3,1))</f>
        <v/>
      </c>
      <c r="BK116">
        <f>IF($B$1+60&gt;90,BJ116,(BJ116+IF($B$1+60&lt;=$B116,12*($B$7-$B$10),-12*MAX(0,($B$6+$B$10)-IF($B$1+60&gt;=$B$23,$B$22,0))*(1+$B$4)^60))*IF(BJ116+IF($B$1+60&lt;=$B116,12*($B$7-$B$10),-12*MAX(0,($B$6+$B$10)-IF($B$1+60&gt;=$B$23,$B$22,0))*(1+$B$4)^60)&gt;0,1+$B$3,1))</f>
        <v/>
      </c>
      <c r="BL116">
        <f>IF($B$1+61&gt;90,BK116,(BK116+IF($B$1+61&lt;=$B116,12*($B$7-$B$10),-12*MAX(0,($B$6+$B$10)-IF($B$1+61&gt;=$B$23,$B$22,0))*(1+$B$4)^61))*IF(BK116+IF($B$1+61&lt;=$B116,12*($B$7-$B$10),-12*MAX(0,($B$6+$B$10)-IF($B$1+61&gt;=$B$23,$B$22,0))*(1+$B$4)^61)&gt;0,1+$B$3,1))</f>
        <v/>
      </c>
      <c r="BM116">
        <f>IF($B$1+62&gt;90,BL116,(BL116+IF($B$1+62&lt;=$B116,12*($B$7-$B$10),-12*MAX(0,($B$6+$B$10)-IF($B$1+62&gt;=$B$23,$B$22,0))*(1+$B$4)^62))*IF(BL116+IF($B$1+62&lt;=$B116,12*($B$7-$B$10),-12*MAX(0,($B$6+$B$10)-IF($B$1+62&gt;=$B$23,$B$22,0))*(1+$B$4)^62)&gt;0,1+$B$3,1))</f>
        <v/>
      </c>
      <c r="BN116">
        <f>IF($B$1+63&gt;90,BM116,(BM116+IF($B$1+63&lt;=$B116,12*($B$7-$B$10),-12*MAX(0,($B$6+$B$10)-IF($B$1+63&gt;=$B$23,$B$22,0))*(1+$B$4)^63))*IF(BM116+IF($B$1+63&lt;=$B116,12*($B$7-$B$10),-12*MAX(0,($B$6+$B$10)-IF($B$1+63&gt;=$B$23,$B$22,0))*(1+$B$4)^63)&gt;0,1+$B$3,1))</f>
        <v/>
      </c>
      <c r="BO116">
        <f>IF($B$1+64&gt;90,BN116,(BN116+IF($B$1+64&lt;=$B116,12*($B$7-$B$10),-12*MAX(0,($B$6+$B$10)-IF($B$1+64&gt;=$B$23,$B$22,0))*(1+$B$4)^64))*IF(BN116+IF($B$1+64&lt;=$B116,12*($B$7-$B$10),-12*MAX(0,($B$6+$B$10)-IF($B$1+64&gt;=$B$23,$B$22,0))*(1+$B$4)^64)&gt;0,1+$B$3,1))</f>
        <v/>
      </c>
      <c r="BP116">
        <f>IF($B$1+65&gt;90,BO116,(BO116+IF($B$1+65&lt;=$B116,12*($B$7-$B$10),-12*MAX(0,($B$6+$B$10)-IF($B$1+65&gt;=$B$23,$B$22,0))*(1+$B$4)^65))*IF(BO116+IF($B$1+65&lt;=$B116,12*($B$7-$B$10),-12*MAX(0,($B$6+$B$10)-IF($B$1+65&gt;=$B$23,$B$22,0))*(1+$B$4)^65)&gt;0,1+$B$3,1))</f>
        <v/>
      </c>
      <c r="BQ116">
        <f>IF($B$1+66&gt;90,BP116,(BP116+IF($B$1+66&lt;=$B116,12*($B$7-$B$10),-12*MAX(0,($B$6+$B$10)-IF($B$1+66&gt;=$B$23,$B$22,0))*(1+$B$4)^66))*IF(BP116+IF($B$1+66&lt;=$B116,12*($B$7-$B$10),-12*MAX(0,($B$6+$B$10)-IF($B$1+66&gt;=$B$23,$B$22,0))*(1+$B$4)^66)&gt;0,1+$B$3,1))</f>
        <v/>
      </c>
      <c r="BR116">
        <f>IF($B$1+67&gt;90,BQ116,(BQ116+IF($B$1+67&lt;=$B116,12*($B$7-$B$10),-12*MAX(0,($B$6+$B$10)-IF($B$1+67&gt;=$B$23,$B$22,0))*(1+$B$4)^67))*IF(BQ116+IF($B$1+67&lt;=$B116,12*($B$7-$B$10),-12*MAX(0,($B$6+$B$10)-IF($B$1+67&gt;=$B$23,$B$22,0))*(1+$B$4)^67)&gt;0,1+$B$3,1))</f>
        <v/>
      </c>
      <c r="BS116">
        <f>IF($B$1+68&gt;90,BR116,(BR116+IF($B$1+68&lt;=$B116,12*($B$7-$B$10),-12*MAX(0,($B$6+$B$10)-IF($B$1+68&gt;=$B$23,$B$22,0))*(1+$B$4)^68))*IF(BR116+IF($B$1+68&lt;=$B116,12*($B$7-$B$10),-12*MAX(0,($B$6+$B$10)-IF($B$1+68&gt;=$B$23,$B$22,0))*(1+$B$4)^68)&gt;0,1+$B$3,1))</f>
        <v/>
      </c>
      <c r="BT116">
        <f>IF($B$1+69&gt;90,BS116,(BS116+IF($B$1+69&lt;=$B116,12*($B$7-$B$10),-12*MAX(0,($B$6+$B$10)-IF($B$1+69&gt;=$B$23,$B$22,0))*(1+$B$4)^69))*IF(BS116+IF($B$1+69&lt;=$B116,12*($B$7-$B$10),-12*MAX(0,($B$6+$B$10)-IF($B$1+69&gt;=$B$23,$B$22,0))*(1+$B$4)^69)&gt;0,1+$B$3,1))</f>
        <v/>
      </c>
      <c r="BU116">
        <f>IF($B$1+70&gt;90,BT116,(BT116+IF($B$1+70&lt;=$B116,12*($B$7-$B$10),-12*MAX(0,($B$6+$B$10)-IF($B$1+70&gt;=$B$23,$B$22,0))*(1+$B$4)^70))*IF(BT116+IF($B$1+70&lt;=$B116,12*($B$7-$B$10),-12*MAX(0,($B$6+$B$10)-IF($B$1+70&gt;=$B$23,$B$22,0))*(1+$B$4)^70)&gt;0,1+$B$3,1))</f>
        <v/>
      </c>
      <c r="BV116">
        <f>BU116</f>
        <v/>
      </c>
      <c r="BW116">
        <f>IF(AND($B116&lt;=70,BV116&gt;0),$B116,999)</f>
        <v/>
      </c>
      <c r="CH116">
        <f>IF(ISTEXT('월 가계부'!A116),SUBSTITUTE(SUBSTITUTE(SUBSTITUTE(SUBSTITUTE(SUBSTITUTE(SUBSTITUTE(SUBSTITUTE(SUBSTITUTE(SUBSTITUTE(TRIM('월 가계부'!A116),"년","-"),"월","-"),"일",""),".","-"),"/","-")," ","-"),"--","-"),"--","-"),"--","-")&amp;"-","")</f>
        <v/>
      </c>
      <c r="CI116">
        <f>IFERROR(IF('월 가계부'!A116="","",IF(ISNUMBER('월 가계부'!A116),IF(AND('월 가계부'!A116&gt;=19000101,'월 가계부'!A116&lt;=21001231),IF(AND(MOD(INT('월 가계부'!A116/100),100)&gt;=1,MOD(INT('월 가계부'!A116/100),100)&lt;=12,MOD(INT('월 가계부'!A116),100)&gt;=1,MOD(INT('월 가계부'!A116),100)&lt;=31),IF(MONTH(DATE(INT('월 가계부'!A116/10000),MOD(INT('월 가계부'!A116/100),100),MOD(INT('월 가계부'!A116),100)))=MOD(INT('월 가계부'!A116/100),100),DATE(INT('월 가계부'!A116/10000),MOD(INT('월 가계부'!A116/100),100),MOD(INT('월 가계부'!A116),100)),""),""),IF(AND('월 가계부'!A116&gt;=36526,'월 가계부'!A116&lt;73051),INT('월 가계부'!A116),"")),IF(OR(CM116="",CN116="",CO116=""),"",IF(AND(CM116&gt;=2000,CM116&lt;=2099,CN116&gt;=1,CN116&lt;=12,CO116&gt;=1,CO116&lt;=31),IF(MONTH(DATE(CM116,CN116,CO116))=CN116,DATE(CM116,CN116,CO116),""),"")))),"")</f>
        <v/>
      </c>
      <c r="CJ116">
        <f>IFERROR(IF('월 가계부'!C116="","",IF(ISNUMBER('월 가계부'!C116),'월 가계부'!C116,VALUE(SUBSTITUTE(SUBSTITUTE(SUBSTITUTE(SUBSTITUTE(TRIM('월 가계부'!C116),",",""),"원","")," ",""),"−","-")))),"")</f>
        <v/>
      </c>
      <c r="CK116">
        <f>IF(ISNUMBER(CI116),IF(CI116&lt;$B$13,CI116,""),"")</f>
        <v/>
      </c>
      <c r="CM116">
        <f>IF(CH116="","",IFERROR(IF(IF(AND(LEN(CH116)=9,ISERROR(FIND("-",LEFT(CH116,8))),ISNUMBER(-LEFT(CH116,8))),VALUE(LEFT(CH116,4)),VALUE(LEFT(CH116,FIND("-",CH116)-1)))&lt;100,IF(AND(LEN(CH116)=9,ISERROR(FIND("-",LEFT(CH116,8))),ISNUMBER(-LEFT(CH116,8))),VALUE(LEFT(CH116,4)),VALUE(LEFT(CH116,FIND("-",CH116)-1)))+2000,IF(AND(LEN(CH116)=9,ISERROR(FIND("-",LEFT(CH116,8))),ISNUMBER(-LEFT(CH116,8))),VALUE(LEFT(CH116,4)),VALUE(LEFT(CH116,FIND("-",CH116)-1)))),""))</f>
        <v/>
      </c>
      <c r="CN116">
        <f>IF(CH116="","",IFERROR(IF(AND(LEN(CH116)=9,ISERROR(FIND("-",LEFT(CH116,8))),ISNUMBER(-LEFT(CH116,8))),VALUE(MID(CH116,5,2)),VALUE(MID(CH116,FIND("-",CH116)+1,FIND("-",CH116,FIND("-",CH116)+1)-FIND("-",CH116)-1))),""))</f>
        <v/>
      </c>
      <c r="CO116">
        <f>IF(CH116="","",IFERROR(IF(AND(LEN(CH116)=9,ISERROR(FIND("-",LEFT(CH116,8))),ISNUMBER(-LEFT(CH116,8))),VALUE(MID(CH116,7,2)),VALUE(MID(CH116,FIND("-",CH116,FIND("-",CH116)+1)+1,FIND("-",CH116,FIND("-",CH116,FIND("-",CH116)+1)+1)-FIND("-",CH116,FIND("-",CH116)+1)-1))),""))</f>
        <v/>
      </c>
    </row>
    <row r="117">
      <c r="A117" t="n">
        <v>21</v>
      </c>
      <c r="B117">
        <f>$B$1+21</f>
        <v/>
      </c>
      <c r="C117">
        <f>$B$2</f>
        <v/>
      </c>
      <c r="D117">
        <f>IF($B$1+1&gt;90,C117,(C117+IF($B$1+1&lt;=$B117,12*($B$7-$B$10),-12*MAX(0,($B$6+$B$10)-IF($B$1+1&gt;=$B$23,$B$22,0))*(1+$B$4)^1))*IF(C117+IF($B$1+1&lt;=$B117,12*($B$7-$B$10),-12*MAX(0,($B$6+$B$10)-IF($B$1+1&gt;=$B$23,$B$22,0))*(1+$B$4)^1)&gt;0,1+$B$3,1))</f>
        <v/>
      </c>
      <c r="E117">
        <f>IF($B$1+2&gt;90,D117,(D117+IF($B$1+2&lt;=$B117,12*($B$7-$B$10),-12*MAX(0,($B$6+$B$10)-IF($B$1+2&gt;=$B$23,$B$22,0))*(1+$B$4)^2))*IF(D117+IF($B$1+2&lt;=$B117,12*($B$7-$B$10),-12*MAX(0,($B$6+$B$10)-IF($B$1+2&gt;=$B$23,$B$22,0))*(1+$B$4)^2)&gt;0,1+$B$3,1))</f>
        <v/>
      </c>
      <c r="F117">
        <f>IF($B$1+3&gt;90,E117,(E117+IF($B$1+3&lt;=$B117,12*($B$7-$B$10),-12*MAX(0,($B$6+$B$10)-IF($B$1+3&gt;=$B$23,$B$22,0))*(1+$B$4)^3))*IF(E117+IF($B$1+3&lt;=$B117,12*($B$7-$B$10),-12*MAX(0,($B$6+$B$10)-IF($B$1+3&gt;=$B$23,$B$22,0))*(1+$B$4)^3)&gt;0,1+$B$3,1))</f>
        <v/>
      </c>
      <c r="G117">
        <f>IF($B$1+4&gt;90,F117,(F117+IF($B$1+4&lt;=$B117,12*($B$7-$B$10),-12*MAX(0,($B$6+$B$10)-IF($B$1+4&gt;=$B$23,$B$22,0))*(1+$B$4)^4))*IF(F117+IF($B$1+4&lt;=$B117,12*($B$7-$B$10),-12*MAX(0,($B$6+$B$10)-IF($B$1+4&gt;=$B$23,$B$22,0))*(1+$B$4)^4)&gt;0,1+$B$3,1))</f>
        <v/>
      </c>
      <c r="H117">
        <f>IF($B$1+5&gt;90,G117,(G117+IF($B$1+5&lt;=$B117,12*($B$7-$B$10),-12*MAX(0,($B$6+$B$10)-IF($B$1+5&gt;=$B$23,$B$22,0))*(1+$B$4)^5))*IF(G117+IF($B$1+5&lt;=$B117,12*($B$7-$B$10),-12*MAX(0,($B$6+$B$10)-IF($B$1+5&gt;=$B$23,$B$22,0))*(1+$B$4)^5)&gt;0,1+$B$3,1))</f>
        <v/>
      </c>
      <c r="I117">
        <f>IF($B$1+6&gt;90,H117,(H117+IF($B$1+6&lt;=$B117,12*($B$7-$B$10),-12*MAX(0,($B$6+$B$10)-IF($B$1+6&gt;=$B$23,$B$22,0))*(1+$B$4)^6))*IF(H117+IF($B$1+6&lt;=$B117,12*($B$7-$B$10),-12*MAX(0,($B$6+$B$10)-IF($B$1+6&gt;=$B$23,$B$22,0))*(1+$B$4)^6)&gt;0,1+$B$3,1))</f>
        <v/>
      </c>
      <c r="J117">
        <f>IF($B$1+7&gt;90,I117,(I117+IF($B$1+7&lt;=$B117,12*($B$7-$B$10),-12*MAX(0,($B$6+$B$10)-IF($B$1+7&gt;=$B$23,$B$22,0))*(1+$B$4)^7))*IF(I117+IF($B$1+7&lt;=$B117,12*($B$7-$B$10),-12*MAX(0,($B$6+$B$10)-IF($B$1+7&gt;=$B$23,$B$22,0))*(1+$B$4)^7)&gt;0,1+$B$3,1))</f>
        <v/>
      </c>
      <c r="K117">
        <f>IF($B$1+8&gt;90,J117,(J117+IF($B$1+8&lt;=$B117,12*($B$7-$B$10),-12*MAX(0,($B$6+$B$10)-IF($B$1+8&gt;=$B$23,$B$22,0))*(1+$B$4)^8))*IF(J117+IF($B$1+8&lt;=$B117,12*($B$7-$B$10),-12*MAX(0,($B$6+$B$10)-IF($B$1+8&gt;=$B$23,$B$22,0))*(1+$B$4)^8)&gt;0,1+$B$3,1))</f>
        <v/>
      </c>
      <c r="L117">
        <f>IF($B$1+9&gt;90,K117,(K117+IF($B$1+9&lt;=$B117,12*($B$7-$B$10),-12*MAX(0,($B$6+$B$10)-IF($B$1+9&gt;=$B$23,$B$22,0))*(1+$B$4)^9))*IF(K117+IF($B$1+9&lt;=$B117,12*($B$7-$B$10),-12*MAX(0,($B$6+$B$10)-IF($B$1+9&gt;=$B$23,$B$22,0))*(1+$B$4)^9)&gt;0,1+$B$3,1))</f>
        <v/>
      </c>
      <c r="M117">
        <f>IF($B$1+10&gt;90,L117,(L117+IF($B$1+10&lt;=$B117,12*($B$7-$B$10),-12*MAX(0,($B$6+$B$10)-IF($B$1+10&gt;=$B$23,$B$22,0))*(1+$B$4)^10))*IF(L117+IF($B$1+10&lt;=$B117,12*($B$7-$B$10),-12*MAX(0,($B$6+$B$10)-IF($B$1+10&gt;=$B$23,$B$22,0))*(1+$B$4)^10)&gt;0,1+$B$3,1))</f>
        <v/>
      </c>
      <c r="N117">
        <f>IF($B$1+11&gt;90,M117,(M117+IF($B$1+11&lt;=$B117,12*($B$7-$B$10),-12*MAX(0,($B$6+$B$10)-IF($B$1+11&gt;=$B$23,$B$22,0))*(1+$B$4)^11))*IF(M117+IF($B$1+11&lt;=$B117,12*($B$7-$B$10),-12*MAX(0,($B$6+$B$10)-IF($B$1+11&gt;=$B$23,$B$22,0))*(1+$B$4)^11)&gt;0,1+$B$3,1))</f>
        <v/>
      </c>
      <c r="O117">
        <f>IF($B$1+12&gt;90,N117,(N117+IF($B$1+12&lt;=$B117,12*($B$7-$B$10),-12*MAX(0,($B$6+$B$10)-IF($B$1+12&gt;=$B$23,$B$22,0))*(1+$B$4)^12))*IF(N117+IF($B$1+12&lt;=$B117,12*($B$7-$B$10),-12*MAX(0,($B$6+$B$10)-IF($B$1+12&gt;=$B$23,$B$22,0))*(1+$B$4)^12)&gt;0,1+$B$3,1))</f>
        <v/>
      </c>
      <c r="P117">
        <f>IF($B$1+13&gt;90,O117,(O117+IF($B$1+13&lt;=$B117,12*($B$7-$B$10),-12*MAX(0,($B$6+$B$10)-IF($B$1+13&gt;=$B$23,$B$22,0))*(1+$B$4)^13))*IF(O117+IF($B$1+13&lt;=$B117,12*($B$7-$B$10),-12*MAX(0,($B$6+$B$10)-IF($B$1+13&gt;=$B$23,$B$22,0))*(1+$B$4)^13)&gt;0,1+$B$3,1))</f>
        <v/>
      </c>
      <c r="Q117">
        <f>IF($B$1+14&gt;90,P117,(P117+IF($B$1+14&lt;=$B117,12*($B$7-$B$10),-12*MAX(0,($B$6+$B$10)-IF($B$1+14&gt;=$B$23,$B$22,0))*(1+$B$4)^14))*IF(P117+IF($B$1+14&lt;=$B117,12*($B$7-$B$10),-12*MAX(0,($B$6+$B$10)-IF($B$1+14&gt;=$B$23,$B$22,0))*(1+$B$4)^14)&gt;0,1+$B$3,1))</f>
        <v/>
      </c>
      <c r="R117">
        <f>IF($B$1+15&gt;90,Q117,(Q117+IF($B$1+15&lt;=$B117,12*($B$7-$B$10),-12*MAX(0,($B$6+$B$10)-IF($B$1+15&gt;=$B$23,$B$22,0))*(1+$B$4)^15))*IF(Q117+IF($B$1+15&lt;=$B117,12*($B$7-$B$10),-12*MAX(0,($B$6+$B$10)-IF($B$1+15&gt;=$B$23,$B$22,0))*(1+$B$4)^15)&gt;0,1+$B$3,1))</f>
        <v/>
      </c>
      <c r="S117">
        <f>IF($B$1+16&gt;90,R117,(R117+IF($B$1+16&lt;=$B117,12*($B$7-$B$10),-12*MAX(0,($B$6+$B$10)-IF($B$1+16&gt;=$B$23,$B$22,0))*(1+$B$4)^16))*IF(R117+IF($B$1+16&lt;=$B117,12*($B$7-$B$10),-12*MAX(0,($B$6+$B$10)-IF($B$1+16&gt;=$B$23,$B$22,0))*(1+$B$4)^16)&gt;0,1+$B$3,1))</f>
        <v/>
      </c>
      <c r="T117">
        <f>IF($B$1+17&gt;90,S117,(S117+IF($B$1+17&lt;=$B117,12*($B$7-$B$10),-12*MAX(0,($B$6+$B$10)-IF($B$1+17&gt;=$B$23,$B$22,0))*(1+$B$4)^17))*IF(S117+IF($B$1+17&lt;=$B117,12*($B$7-$B$10),-12*MAX(0,($B$6+$B$10)-IF($B$1+17&gt;=$B$23,$B$22,0))*(1+$B$4)^17)&gt;0,1+$B$3,1))</f>
        <v/>
      </c>
      <c r="U117">
        <f>IF($B$1+18&gt;90,T117,(T117+IF($B$1+18&lt;=$B117,12*($B$7-$B$10),-12*MAX(0,($B$6+$B$10)-IF($B$1+18&gt;=$B$23,$B$22,0))*(1+$B$4)^18))*IF(T117+IF($B$1+18&lt;=$B117,12*($B$7-$B$10),-12*MAX(0,($B$6+$B$10)-IF($B$1+18&gt;=$B$23,$B$22,0))*(1+$B$4)^18)&gt;0,1+$B$3,1))</f>
        <v/>
      </c>
      <c r="V117">
        <f>IF($B$1+19&gt;90,U117,(U117+IF($B$1+19&lt;=$B117,12*($B$7-$B$10),-12*MAX(0,($B$6+$B$10)-IF($B$1+19&gt;=$B$23,$B$22,0))*(1+$B$4)^19))*IF(U117+IF($B$1+19&lt;=$B117,12*($B$7-$B$10),-12*MAX(0,($B$6+$B$10)-IF($B$1+19&gt;=$B$23,$B$22,0))*(1+$B$4)^19)&gt;0,1+$B$3,1))</f>
        <v/>
      </c>
      <c r="W117">
        <f>IF($B$1+20&gt;90,V117,(V117+IF($B$1+20&lt;=$B117,12*($B$7-$B$10),-12*MAX(0,($B$6+$B$10)-IF($B$1+20&gt;=$B$23,$B$22,0))*(1+$B$4)^20))*IF(V117+IF($B$1+20&lt;=$B117,12*($B$7-$B$10),-12*MAX(0,($B$6+$B$10)-IF($B$1+20&gt;=$B$23,$B$22,0))*(1+$B$4)^20)&gt;0,1+$B$3,1))</f>
        <v/>
      </c>
      <c r="X117">
        <f>IF($B$1+21&gt;90,W117,(W117+IF($B$1+21&lt;=$B117,12*($B$7-$B$10),-12*MAX(0,($B$6+$B$10)-IF($B$1+21&gt;=$B$23,$B$22,0))*(1+$B$4)^21))*IF(W117+IF($B$1+21&lt;=$B117,12*($B$7-$B$10),-12*MAX(0,($B$6+$B$10)-IF($B$1+21&gt;=$B$23,$B$22,0))*(1+$B$4)^21)&gt;0,1+$B$3,1))</f>
        <v/>
      </c>
      <c r="Y117">
        <f>IF($B$1+22&gt;90,X117,(X117+IF($B$1+22&lt;=$B117,12*($B$7-$B$10),-12*MAX(0,($B$6+$B$10)-IF($B$1+22&gt;=$B$23,$B$22,0))*(1+$B$4)^22))*IF(X117+IF($B$1+22&lt;=$B117,12*($B$7-$B$10),-12*MAX(0,($B$6+$B$10)-IF($B$1+22&gt;=$B$23,$B$22,0))*(1+$B$4)^22)&gt;0,1+$B$3,1))</f>
        <v/>
      </c>
      <c r="Z117">
        <f>IF($B$1+23&gt;90,Y117,(Y117+IF($B$1+23&lt;=$B117,12*($B$7-$B$10),-12*MAX(0,($B$6+$B$10)-IF($B$1+23&gt;=$B$23,$B$22,0))*(1+$B$4)^23))*IF(Y117+IF($B$1+23&lt;=$B117,12*($B$7-$B$10),-12*MAX(0,($B$6+$B$10)-IF($B$1+23&gt;=$B$23,$B$22,0))*(1+$B$4)^23)&gt;0,1+$B$3,1))</f>
        <v/>
      </c>
      <c r="AA117">
        <f>IF($B$1+24&gt;90,Z117,(Z117+IF($B$1+24&lt;=$B117,12*($B$7-$B$10),-12*MAX(0,($B$6+$B$10)-IF($B$1+24&gt;=$B$23,$B$22,0))*(1+$B$4)^24))*IF(Z117+IF($B$1+24&lt;=$B117,12*($B$7-$B$10),-12*MAX(0,($B$6+$B$10)-IF($B$1+24&gt;=$B$23,$B$22,0))*(1+$B$4)^24)&gt;0,1+$B$3,1))</f>
        <v/>
      </c>
      <c r="AB117">
        <f>IF($B$1+25&gt;90,AA117,(AA117+IF($B$1+25&lt;=$B117,12*($B$7-$B$10),-12*MAX(0,($B$6+$B$10)-IF($B$1+25&gt;=$B$23,$B$22,0))*(1+$B$4)^25))*IF(AA117+IF($B$1+25&lt;=$B117,12*($B$7-$B$10),-12*MAX(0,($B$6+$B$10)-IF($B$1+25&gt;=$B$23,$B$22,0))*(1+$B$4)^25)&gt;0,1+$B$3,1))</f>
        <v/>
      </c>
      <c r="AC117">
        <f>IF($B$1+26&gt;90,AB117,(AB117+IF($B$1+26&lt;=$B117,12*($B$7-$B$10),-12*MAX(0,($B$6+$B$10)-IF($B$1+26&gt;=$B$23,$B$22,0))*(1+$B$4)^26))*IF(AB117+IF($B$1+26&lt;=$B117,12*($B$7-$B$10),-12*MAX(0,($B$6+$B$10)-IF($B$1+26&gt;=$B$23,$B$22,0))*(1+$B$4)^26)&gt;0,1+$B$3,1))</f>
        <v/>
      </c>
      <c r="AD117">
        <f>IF($B$1+27&gt;90,AC117,(AC117+IF($B$1+27&lt;=$B117,12*($B$7-$B$10),-12*MAX(0,($B$6+$B$10)-IF($B$1+27&gt;=$B$23,$B$22,0))*(1+$B$4)^27))*IF(AC117+IF($B$1+27&lt;=$B117,12*($B$7-$B$10),-12*MAX(0,($B$6+$B$10)-IF($B$1+27&gt;=$B$23,$B$22,0))*(1+$B$4)^27)&gt;0,1+$B$3,1))</f>
        <v/>
      </c>
      <c r="AE117">
        <f>IF($B$1+28&gt;90,AD117,(AD117+IF($B$1+28&lt;=$B117,12*($B$7-$B$10),-12*MAX(0,($B$6+$B$10)-IF($B$1+28&gt;=$B$23,$B$22,0))*(1+$B$4)^28))*IF(AD117+IF($B$1+28&lt;=$B117,12*($B$7-$B$10),-12*MAX(0,($B$6+$B$10)-IF($B$1+28&gt;=$B$23,$B$22,0))*(1+$B$4)^28)&gt;0,1+$B$3,1))</f>
        <v/>
      </c>
      <c r="AF117">
        <f>IF($B$1+29&gt;90,AE117,(AE117+IF($B$1+29&lt;=$B117,12*($B$7-$B$10),-12*MAX(0,($B$6+$B$10)-IF($B$1+29&gt;=$B$23,$B$22,0))*(1+$B$4)^29))*IF(AE117+IF($B$1+29&lt;=$B117,12*($B$7-$B$10),-12*MAX(0,($B$6+$B$10)-IF($B$1+29&gt;=$B$23,$B$22,0))*(1+$B$4)^29)&gt;0,1+$B$3,1))</f>
        <v/>
      </c>
      <c r="AG117">
        <f>IF($B$1+30&gt;90,AF117,(AF117+IF($B$1+30&lt;=$B117,12*($B$7-$B$10),-12*MAX(0,($B$6+$B$10)-IF($B$1+30&gt;=$B$23,$B$22,0))*(1+$B$4)^30))*IF(AF117+IF($B$1+30&lt;=$B117,12*($B$7-$B$10),-12*MAX(0,($B$6+$B$10)-IF($B$1+30&gt;=$B$23,$B$22,0))*(1+$B$4)^30)&gt;0,1+$B$3,1))</f>
        <v/>
      </c>
      <c r="AH117">
        <f>IF($B$1+31&gt;90,AG117,(AG117+IF($B$1+31&lt;=$B117,12*($B$7-$B$10),-12*MAX(0,($B$6+$B$10)-IF($B$1+31&gt;=$B$23,$B$22,0))*(1+$B$4)^31))*IF(AG117+IF($B$1+31&lt;=$B117,12*($B$7-$B$10),-12*MAX(0,($B$6+$B$10)-IF($B$1+31&gt;=$B$23,$B$22,0))*(1+$B$4)^31)&gt;0,1+$B$3,1))</f>
        <v/>
      </c>
      <c r="AI117">
        <f>IF($B$1+32&gt;90,AH117,(AH117+IF($B$1+32&lt;=$B117,12*($B$7-$B$10),-12*MAX(0,($B$6+$B$10)-IF($B$1+32&gt;=$B$23,$B$22,0))*(1+$B$4)^32))*IF(AH117+IF($B$1+32&lt;=$B117,12*($B$7-$B$10),-12*MAX(0,($B$6+$B$10)-IF($B$1+32&gt;=$B$23,$B$22,0))*(1+$B$4)^32)&gt;0,1+$B$3,1))</f>
        <v/>
      </c>
      <c r="AJ117">
        <f>IF($B$1+33&gt;90,AI117,(AI117+IF($B$1+33&lt;=$B117,12*($B$7-$B$10),-12*MAX(0,($B$6+$B$10)-IF($B$1+33&gt;=$B$23,$B$22,0))*(1+$B$4)^33))*IF(AI117+IF($B$1+33&lt;=$B117,12*($B$7-$B$10),-12*MAX(0,($B$6+$B$10)-IF($B$1+33&gt;=$B$23,$B$22,0))*(1+$B$4)^33)&gt;0,1+$B$3,1))</f>
        <v/>
      </c>
      <c r="AK117">
        <f>IF($B$1+34&gt;90,AJ117,(AJ117+IF($B$1+34&lt;=$B117,12*($B$7-$B$10),-12*MAX(0,($B$6+$B$10)-IF($B$1+34&gt;=$B$23,$B$22,0))*(1+$B$4)^34))*IF(AJ117+IF($B$1+34&lt;=$B117,12*($B$7-$B$10),-12*MAX(0,($B$6+$B$10)-IF($B$1+34&gt;=$B$23,$B$22,0))*(1+$B$4)^34)&gt;0,1+$B$3,1))</f>
        <v/>
      </c>
      <c r="AL117">
        <f>IF($B$1+35&gt;90,AK117,(AK117+IF($B$1+35&lt;=$B117,12*($B$7-$B$10),-12*MAX(0,($B$6+$B$10)-IF($B$1+35&gt;=$B$23,$B$22,0))*(1+$B$4)^35))*IF(AK117+IF($B$1+35&lt;=$B117,12*($B$7-$B$10),-12*MAX(0,($B$6+$B$10)-IF($B$1+35&gt;=$B$23,$B$22,0))*(1+$B$4)^35)&gt;0,1+$B$3,1))</f>
        <v/>
      </c>
      <c r="AM117">
        <f>IF($B$1+36&gt;90,AL117,(AL117+IF($B$1+36&lt;=$B117,12*($B$7-$B$10),-12*MAX(0,($B$6+$B$10)-IF($B$1+36&gt;=$B$23,$B$22,0))*(1+$B$4)^36))*IF(AL117+IF($B$1+36&lt;=$B117,12*($B$7-$B$10),-12*MAX(0,($B$6+$B$10)-IF($B$1+36&gt;=$B$23,$B$22,0))*(1+$B$4)^36)&gt;0,1+$B$3,1))</f>
        <v/>
      </c>
      <c r="AN117">
        <f>IF($B$1+37&gt;90,AM117,(AM117+IF($B$1+37&lt;=$B117,12*($B$7-$B$10),-12*MAX(0,($B$6+$B$10)-IF($B$1+37&gt;=$B$23,$B$22,0))*(1+$B$4)^37))*IF(AM117+IF($B$1+37&lt;=$B117,12*($B$7-$B$10),-12*MAX(0,($B$6+$B$10)-IF($B$1+37&gt;=$B$23,$B$22,0))*(1+$B$4)^37)&gt;0,1+$B$3,1))</f>
        <v/>
      </c>
      <c r="AO117">
        <f>IF($B$1+38&gt;90,AN117,(AN117+IF($B$1+38&lt;=$B117,12*($B$7-$B$10),-12*MAX(0,($B$6+$B$10)-IF($B$1+38&gt;=$B$23,$B$22,0))*(1+$B$4)^38))*IF(AN117+IF($B$1+38&lt;=$B117,12*($B$7-$B$10),-12*MAX(0,($B$6+$B$10)-IF($B$1+38&gt;=$B$23,$B$22,0))*(1+$B$4)^38)&gt;0,1+$B$3,1))</f>
        <v/>
      </c>
      <c r="AP117">
        <f>IF($B$1+39&gt;90,AO117,(AO117+IF($B$1+39&lt;=$B117,12*($B$7-$B$10),-12*MAX(0,($B$6+$B$10)-IF($B$1+39&gt;=$B$23,$B$22,0))*(1+$B$4)^39))*IF(AO117+IF($B$1+39&lt;=$B117,12*($B$7-$B$10),-12*MAX(0,($B$6+$B$10)-IF($B$1+39&gt;=$B$23,$B$22,0))*(1+$B$4)^39)&gt;0,1+$B$3,1))</f>
        <v/>
      </c>
      <c r="AQ117">
        <f>IF($B$1+40&gt;90,AP117,(AP117+IF($B$1+40&lt;=$B117,12*($B$7-$B$10),-12*MAX(0,($B$6+$B$10)-IF($B$1+40&gt;=$B$23,$B$22,0))*(1+$B$4)^40))*IF(AP117+IF($B$1+40&lt;=$B117,12*($B$7-$B$10),-12*MAX(0,($B$6+$B$10)-IF($B$1+40&gt;=$B$23,$B$22,0))*(1+$B$4)^40)&gt;0,1+$B$3,1))</f>
        <v/>
      </c>
      <c r="AR117">
        <f>IF($B$1+41&gt;90,AQ117,(AQ117+IF($B$1+41&lt;=$B117,12*($B$7-$B$10),-12*MAX(0,($B$6+$B$10)-IF($B$1+41&gt;=$B$23,$B$22,0))*(1+$B$4)^41))*IF(AQ117+IF($B$1+41&lt;=$B117,12*($B$7-$B$10),-12*MAX(0,($B$6+$B$10)-IF($B$1+41&gt;=$B$23,$B$22,0))*(1+$B$4)^41)&gt;0,1+$B$3,1))</f>
        <v/>
      </c>
      <c r="AS117">
        <f>IF($B$1+42&gt;90,AR117,(AR117+IF($B$1+42&lt;=$B117,12*($B$7-$B$10),-12*MAX(0,($B$6+$B$10)-IF($B$1+42&gt;=$B$23,$B$22,0))*(1+$B$4)^42))*IF(AR117+IF($B$1+42&lt;=$B117,12*($B$7-$B$10),-12*MAX(0,($B$6+$B$10)-IF($B$1+42&gt;=$B$23,$B$22,0))*(1+$B$4)^42)&gt;0,1+$B$3,1))</f>
        <v/>
      </c>
      <c r="AT117">
        <f>IF($B$1+43&gt;90,AS117,(AS117+IF($B$1+43&lt;=$B117,12*($B$7-$B$10),-12*MAX(0,($B$6+$B$10)-IF($B$1+43&gt;=$B$23,$B$22,0))*(1+$B$4)^43))*IF(AS117+IF($B$1+43&lt;=$B117,12*($B$7-$B$10),-12*MAX(0,($B$6+$B$10)-IF($B$1+43&gt;=$B$23,$B$22,0))*(1+$B$4)^43)&gt;0,1+$B$3,1))</f>
        <v/>
      </c>
      <c r="AU117">
        <f>IF($B$1+44&gt;90,AT117,(AT117+IF($B$1+44&lt;=$B117,12*($B$7-$B$10),-12*MAX(0,($B$6+$B$10)-IF($B$1+44&gt;=$B$23,$B$22,0))*(1+$B$4)^44))*IF(AT117+IF($B$1+44&lt;=$B117,12*($B$7-$B$10),-12*MAX(0,($B$6+$B$10)-IF($B$1+44&gt;=$B$23,$B$22,0))*(1+$B$4)^44)&gt;0,1+$B$3,1))</f>
        <v/>
      </c>
      <c r="AV117">
        <f>IF($B$1+45&gt;90,AU117,(AU117+IF($B$1+45&lt;=$B117,12*($B$7-$B$10),-12*MAX(0,($B$6+$B$10)-IF($B$1+45&gt;=$B$23,$B$22,0))*(1+$B$4)^45))*IF(AU117+IF($B$1+45&lt;=$B117,12*($B$7-$B$10),-12*MAX(0,($B$6+$B$10)-IF($B$1+45&gt;=$B$23,$B$22,0))*(1+$B$4)^45)&gt;0,1+$B$3,1))</f>
        <v/>
      </c>
      <c r="AW117">
        <f>IF($B$1+46&gt;90,AV117,(AV117+IF($B$1+46&lt;=$B117,12*($B$7-$B$10),-12*MAX(0,($B$6+$B$10)-IF($B$1+46&gt;=$B$23,$B$22,0))*(1+$B$4)^46))*IF(AV117+IF($B$1+46&lt;=$B117,12*($B$7-$B$10),-12*MAX(0,($B$6+$B$10)-IF($B$1+46&gt;=$B$23,$B$22,0))*(1+$B$4)^46)&gt;0,1+$B$3,1))</f>
        <v/>
      </c>
      <c r="AX117">
        <f>IF($B$1+47&gt;90,AW117,(AW117+IF($B$1+47&lt;=$B117,12*($B$7-$B$10),-12*MAX(0,($B$6+$B$10)-IF($B$1+47&gt;=$B$23,$B$22,0))*(1+$B$4)^47))*IF(AW117+IF($B$1+47&lt;=$B117,12*($B$7-$B$10),-12*MAX(0,($B$6+$B$10)-IF($B$1+47&gt;=$B$23,$B$22,0))*(1+$B$4)^47)&gt;0,1+$B$3,1))</f>
        <v/>
      </c>
      <c r="AY117">
        <f>IF($B$1+48&gt;90,AX117,(AX117+IF($B$1+48&lt;=$B117,12*($B$7-$B$10),-12*MAX(0,($B$6+$B$10)-IF($B$1+48&gt;=$B$23,$B$22,0))*(1+$B$4)^48))*IF(AX117+IF($B$1+48&lt;=$B117,12*($B$7-$B$10),-12*MAX(0,($B$6+$B$10)-IF($B$1+48&gt;=$B$23,$B$22,0))*(1+$B$4)^48)&gt;0,1+$B$3,1))</f>
        <v/>
      </c>
      <c r="AZ117">
        <f>IF($B$1+49&gt;90,AY117,(AY117+IF($B$1+49&lt;=$B117,12*($B$7-$B$10),-12*MAX(0,($B$6+$B$10)-IF($B$1+49&gt;=$B$23,$B$22,0))*(1+$B$4)^49))*IF(AY117+IF($B$1+49&lt;=$B117,12*($B$7-$B$10),-12*MAX(0,($B$6+$B$10)-IF($B$1+49&gt;=$B$23,$B$22,0))*(1+$B$4)^49)&gt;0,1+$B$3,1))</f>
        <v/>
      </c>
      <c r="BA117">
        <f>IF($B$1+50&gt;90,AZ117,(AZ117+IF($B$1+50&lt;=$B117,12*($B$7-$B$10),-12*MAX(0,($B$6+$B$10)-IF($B$1+50&gt;=$B$23,$B$22,0))*(1+$B$4)^50))*IF(AZ117+IF($B$1+50&lt;=$B117,12*($B$7-$B$10),-12*MAX(0,($B$6+$B$10)-IF($B$1+50&gt;=$B$23,$B$22,0))*(1+$B$4)^50)&gt;0,1+$B$3,1))</f>
        <v/>
      </c>
      <c r="BB117">
        <f>IF($B$1+51&gt;90,BA117,(BA117+IF($B$1+51&lt;=$B117,12*($B$7-$B$10),-12*MAX(0,($B$6+$B$10)-IF($B$1+51&gt;=$B$23,$B$22,0))*(1+$B$4)^51))*IF(BA117+IF($B$1+51&lt;=$B117,12*($B$7-$B$10),-12*MAX(0,($B$6+$B$10)-IF($B$1+51&gt;=$B$23,$B$22,0))*(1+$B$4)^51)&gt;0,1+$B$3,1))</f>
        <v/>
      </c>
      <c r="BC117">
        <f>IF($B$1+52&gt;90,BB117,(BB117+IF($B$1+52&lt;=$B117,12*($B$7-$B$10),-12*MAX(0,($B$6+$B$10)-IF($B$1+52&gt;=$B$23,$B$22,0))*(1+$B$4)^52))*IF(BB117+IF($B$1+52&lt;=$B117,12*($B$7-$B$10),-12*MAX(0,($B$6+$B$10)-IF($B$1+52&gt;=$B$23,$B$22,0))*(1+$B$4)^52)&gt;0,1+$B$3,1))</f>
        <v/>
      </c>
      <c r="BD117">
        <f>IF($B$1+53&gt;90,BC117,(BC117+IF($B$1+53&lt;=$B117,12*($B$7-$B$10),-12*MAX(0,($B$6+$B$10)-IF($B$1+53&gt;=$B$23,$B$22,0))*(1+$B$4)^53))*IF(BC117+IF($B$1+53&lt;=$B117,12*($B$7-$B$10),-12*MAX(0,($B$6+$B$10)-IF($B$1+53&gt;=$B$23,$B$22,0))*(1+$B$4)^53)&gt;0,1+$B$3,1))</f>
        <v/>
      </c>
      <c r="BE117">
        <f>IF($B$1+54&gt;90,BD117,(BD117+IF($B$1+54&lt;=$B117,12*($B$7-$B$10),-12*MAX(0,($B$6+$B$10)-IF($B$1+54&gt;=$B$23,$B$22,0))*(1+$B$4)^54))*IF(BD117+IF($B$1+54&lt;=$B117,12*($B$7-$B$10),-12*MAX(0,($B$6+$B$10)-IF($B$1+54&gt;=$B$23,$B$22,0))*(1+$B$4)^54)&gt;0,1+$B$3,1))</f>
        <v/>
      </c>
      <c r="BF117">
        <f>IF($B$1+55&gt;90,BE117,(BE117+IF($B$1+55&lt;=$B117,12*($B$7-$B$10),-12*MAX(0,($B$6+$B$10)-IF($B$1+55&gt;=$B$23,$B$22,0))*(1+$B$4)^55))*IF(BE117+IF($B$1+55&lt;=$B117,12*($B$7-$B$10),-12*MAX(0,($B$6+$B$10)-IF($B$1+55&gt;=$B$23,$B$22,0))*(1+$B$4)^55)&gt;0,1+$B$3,1))</f>
        <v/>
      </c>
      <c r="BG117">
        <f>IF($B$1+56&gt;90,BF117,(BF117+IF($B$1+56&lt;=$B117,12*($B$7-$B$10),-12*MAX(0,($B$6+$B$10)-IF($B$1+56&gt;=$B$23,$B$22,0))*(1+$B$4)^56))*IF(BF117+IF($B$1+56&lt;=$B117,12*($B$7-$B$10),-12*MAX(0,($B$6+$B$10)-IF($B$1+56&gt;=$B$23,$B$22,0))*(1+$B$4)^56)&gt;0,1+$B$3,1))</f>
        <v/>
      </c>
      <c r="BH117">
        <f>IF($B$1+57&gt;90,BG117,(BG117+IF($B$1+57&lt;=$B117,12*($B$7-$B$10),-12*MAX(0,($B$6+$B$10)-IF($B$1+57&gt;=$B$23,$B$22,0))*(1+$B$4)^57))*IF(BG117+IF($B$1+57&lt;=$B117,12*($B$7-$B$10),-12*MAX(0,($B$6+$B$10)-IF($B$1+57&gt;=$B$23,$B$22,0))*(1+$B$4)^57)&gt;0,1+$B$3,1))</f>
        <v/>
      </c>
      <c r="BI117">
        <f>IF($B$1+58&gt;90,BH117,(BH117+IF($B$1+58&lt;=$B117,12*($B$7-$B$10),-12*MAX(0,($B$6+$B$10)-IF($B$1+58&gt;=$B$23,$B$22,0))*(1+$B$4)^58))*IF(BH117+IF($B$1+58&lt;=$B117,12*($B$7-$B$10),-12*MAX(0,($B$6+$B$10)-IF($B$1+58&gt;=$B$23,$B$22,0))*(1+$B$4)^58)&gt;0,1+$B$3,1))</f>
        <v/>
      </c>
      <c r="BJ117">
        <f>IF($B$1+59&gt;90,BI117,(BI117+IF($B$1+59&lt;=$B117,12*($B$7-$B$10),-12*MAX(0,($B$6+$B$10)-IF($B$1+59&gt;=$B$23,$B$22,0))*(1+$B$4)^59))*IF(BI117+IF($B$1+59&lt;=$B117,12*($B$7-$B$10),-12*MAX(0,($B$6+$B$10)-IF($B$1+59&gt;=$B$23,$B$22,0))*(1+$B$4)^59)&gt;0,1+$B$3,1))</f>
        <v/>
      </c>
      <c r="BK117">
        <f>IF($B$1+60&gt;90,BJ117,(BJ117+IF($B$1+60&lt;=$B117,12*($B$7-$B$10),-12*MAX(0,($B$6+$B$10)-IF($B$1+60&gt;=$B$23,$B$22,0))*(1+$B$4)^60))*IF(BJ117+IF($B$1+60&lt;=$B117,12*($B$7-$B$10),-12*MAX(0,($B$6+$B$10)-IF($B$1+60&gt;=$B$23,$B$22,0))*(1+$B$4)^60)&gt;0,1+$B$3,1))</f>
        <v/>
      </c>
      <c r="BL117">
        <f>IF($B$1+61&gt;90,BK117,(BK117+IF($B$1+61&lt;=$B117,12*($B$7-$B$10),-12*MAX(0,($B$6+$B$10)-IF($B$1+61&gt;=$B$23,$B$22,0))*(1+$B$4)^61))*IF(BK117+IF($B$1+61&lt;=$B117,12*($B$7-$B$10),-12*MAX(0,($B$6+$B$10)-IF($B$1+61&gt;=$B$23,$B$22,0))*(1+$B$4)^61)&gt;0,1+$B$3,1))</f>
        <v/>
      </c>
      <c r="BM117">
        <f>IF($B$1+62&gt;90,BL117,(BL117+IF($B$1+62&lt;=$B117,12*($B$7-$B$10),-12*MAX(0,($B$6+$B$10)-IF($B$1+62&gt;=$B$23,$B$22,0))*(1+$B$4)^62))*IF(BL117+IF($B$1+62&lt;=$B117,12*($B$7-$B$10),-12*MAX(0,($B$6+$B$10)-IF($B$1+62&gt;=$B$23,$B$22,0))*(1+$B$4)^62)&gt;0,1+$B$3,1))</f>
        <v/>
      </c>
      <c r="BN117">
        <f>IF($B$1+63&gt;90,BM117,(BM117+IF($B$1+63&lt;=$B117,12*($B$7-$B$10),-12*MAX(0,($B$6+$B$10)-IF($B$1+63&gt;=$B$23,$B$22,0))*(1+$B$4)^63))*IF(BM117+IF($B$1+63&lt;=$B117,12*($B$7-$B$10),-12*MAX(0,($B$6+$B$10)-IF($B$1+63&gt;=$B$23,$B$22,0))*(1+$B$4)^63)&gt;0,1+$B$3,1))</f>
        <v/>
      </c>
      <c r="BO117">
        <f>IF($B$1+64&gt;90,BN117,(BN117+IF($B$1+64&lt;=$B117,12*($B$7-$B$10),-12*MAX(0,($B$6+$B$10)-IF($B$1+64&gt;=$B$23,$B$22,0))*(1+$B$4)^64))*IF(BN117+IF($B$1+64&lt;=$B117,12*($B$7-$B$10),-12*MAX(0,($B$6+$B$10)-IF($B$1+64&gt;=$B$23,$B$22,0))*(1+$B$4)^64)&gt;0,1+$B$3,1))</f>
        <v/>
      </c>
      <c r="BP117">
        <f>IF($B$1+65&gt;90,BO117,(BO117+IF($B$1+65&lt;=$B117,12*($B$7-$B$10),-12*MAX(0,($B$6+$B$10)-IF($B$1+65&gt;=$B$23,$B$22,0))*(1+$B$4)^65))*IF(BO117+IF($B$1+65&lt;=$B117,12*($B$7-$B$10),-12*MAX(0,($B$6+$B$10)-IF($B$1+65&gt;=$B$23,$B$22,0))*(1+$B$4)^65)&gt;0,1+$B$3,1))</f>
        <v/>
      </c>
      <c r="BQ117">
        <f>IF($B$1+66&gt;90,BP117,(BP117+IF($B$1+66&lt;=$B117,12*($B$7-$B$10),-12*MAX(0,($B$6+$B$10)-IF($B$1+66&gt;=$B$23,$B$22,0))*(1+$B$4)^66))*IF(BP117+IF($B$1+66&lt;=$B117,12*($B$7-$B$10),-12*MAX(0,($B$6+$B$10)-IF($B$1+66&gt;=$B$23,$B$22,0))*(1+$B$4)^66)&gt;0,1+$B$3,1))</f>
        <v/>
      </c>
      <c r="BR117">
        <f>IF($B$1+67&gt;90,BQ117,(BQ117+IF($B$1+67&lt;=$B117,12*($B$7-$B$10),-12*MAX(0,($B$6+$B$10)-IF($B$1+67&gt;=$B$23,$B$22,0))*(1+$B$4)^67))*IF(BQ117+IF($B$1+67&lt;=$B117,12*($B$7-$B$10),-12*MAX(0,($B$6+$B$10)-IF($B$1+67&gt;=$B$23,$B$22,0))*(1+$B$4)^67)&gt;0,1+$B$3,1))</f>
        <v/>
      </c>
      <c r="BS117">
        <f>IF($B$1+68&gt;90,BR117,(BR117+IF($B$1+68&lt;=$B117,12*($B$7-$B$10),-12*MAX(0,($B$6+$B$10)-IF($B$1+68&gt;=$B$23,$B$22,0))*(1+$B$4)^68))*IF(BR117+IF($B$1+68&lt;=$B117,12*($B$7-$B$10),-12*MAX(0,($B$6+$B$10)-IF($B$1+68&gt;=$B$23,$B$22,0))*(1+$B$4)^68)&gt;0,1+$B$3,1))</f>
        <v/>
      </c>
      <c r="BT117">
        <f>IF($B$1+69&gt;90,BS117,(BS117+IF($B$1+69&lt;=$B117,12*($B$7-$B$10),-12*MAX(0,($B$6+$B$10)-IF($B$1+69&gt;=$B$23,$B$22,0))*(1+$B$4)^69))*IF(BS117+IF($B$1+69&lt;=$B117,12*($B$7-$B$10),-12*MAX(0,($B$6+$B$10)-IF($B$1+69&gt;=$B$23,$B$22,0))*(1+$B$4)^69)&gt;0,1+$B$3,1))</f>
        <v/>
      </c>
      <c r="BU117">
        <f>IF($B$1+70&gt;90,BT117,(BT117+IF($B$1+70&lt;=$B117,12*($B$7-$B$10),-12*MAX(0,($B$6+$B$10)-IF($B$1+70&gt;=$B$23,$B$22,0))*(1+$B$4)^70))*IF(BT117+IF($B$1+70&lt;=$B117,12*($B$7-$B$10),-12*MAX(0,($B$6+$B$10)-IF($B$1+70&gt;=$B$23,$B$22,0))*(1+$B$4)^70)&gt;0,1+$B$3,1))</f>
        <v/>
      </c>
      <c r="BV117">
        <f>BU117</f>
        <v/>
      </c>
      <c r="BW117">
        <f>IF(AND($B117&lt;=70,BV117&gt;0),$B117,999)</f>
        <v/>
      </c>
      <c r="CH117">
        <f>IF(ISTEXT('월 가계부'!A117),SUBSTITUTE(SUBSTITUTE(SUBSTITUTE(SUBSTITUTE(SUBSTITUTE(SUBSTITUTE(SUBSTITUTE(SUBSTITUTE(SUBSTITUTE(TRIM('월 가계부'!A117),"년","-"),"월","-"),"일",""),".","-"),"/","-")," ","-"),"--","-"),"--","-"),"--","-")&amp;"-","")</f>
        <v/>
      </c>
      <c r="CI117">
        <f>IFERROR(IF('월 가계부'!A117="","",IF(ISNUMBER('월 가계부'!A117),IF(AND('월 가계부'!A117&gt;=19000101,'월 가계부'!A117&lt;=21001231),IF(AND(MOD(INT('월 가계부'!A117/100),100)&gt;=1,MOD(INT('월 가계부'!A117/100),100)&lt;=12,MOD(INT('월 가계부'!A117),100)&gt;=1,MOD(INT('월 가계부'!A117),100)&lt;=31),IF(MONTH(DATE(INT('월 가계부'!A117/10000),MOD(INT('월 가계부'!A117/100),100),MOD(INT('월 가계부'!A117),100)))=MOD(INT('월 가계부'!A117/100),100),DATE(INT('월 가계부'!A117/10000),MOD(INT('월 가계부'!A117/100),100),MOD(INT('월 가계부'!A117),100)),""),""),IF(AND('월 가계부'!A117&gt;=36526,'월 가계부'!A117&lt;73051),INT('월 가계부'!A117),"")),IF(OR(CM117="",CN117="",CO117=""),"",IF(AND(CM117&gt;=2000,CM117&lt;=2099,CN117&gt;=1,CN117&lt;=12,CO117&gt;=1,CO117&lt;=31),IF(MONTH(DATE(CM117,CN117,CO117))=CN117,DATE(CM117,CN117,CO117),""),"")))),"")</f>
        <v/>
      </c>
      <c r="CJ117">
        <f>IFERROR(IF('월 가계부'!C117="","",IF(ISNUMBER('월 가계부'!C117),'월 가계부'!C117,VALUE(SUBSTITUTE(SUBSTITUTE(SUBSTITUTE(SUBSTITUTE(TRIM('월 가계부'!C117),",",""),"원","")," ",""),"−","-")))),"")</f>
        <v/>
      </c>
      <c r="CK117">
        <f>IF(ISNUMBER(CI117),IF(CI117&lt;$B$13,CI117,""),"")</f>
        <v/>
      </c>
      <c r="CM117">
        <f>IF(CH117="","",IFERROR(IF(IF(AND(LEN(CH117)=9,ISERROR(FIND("-",LEFT(CH117,8))),ISNUMBER(-LEFT(CH117,8))),VALUE(LEFT(CH117,4)),VALUE(LEFT(CH117,FIND("-",CH117)-1)))&lt;100,IF(AND(LEN(CH117)=9,ISERROR(FIND("-",LEFT(CH117,8))),ISNUMBER(-LEFT(CH117,8))),VALUE(LEFT(CH117,4)),VALUE(LEFT(CH117,FIND("-",CH117)-1)))+2000,IF(AND(LEN(CH117)=9,ISERROR(FIND("-",LEFT(CH117,8))),ISNUMBER(-LEFT(CH117,8))),VALUE(LEFT(CH117,4)),VALUE(LEFT(CH117,FIND("-",CH117)-1)))),""))</f>
        <v/>
      </c>
      <c r="CN117">
        <f>IF(CH117="","",IFERROR(IF(AND(LEN(CH117)=9,ISERROR(FIND("-",LEFT(CH117,8))),ISNUMBER(-LEFT(CH117,8))),VALUE(MID(CH117,5,2)),VALUE(MID(CH117,FIND("-",CH117)+1,FIND("-",CH117,FIND("-",CH117)+1)-FIND("-",CH117)-1))),""))</f>
        <v/>
      </c>
      <c r="CO117">
        <f>IF(CH117="","",IFERROR(IF(AND(LEN(CH117)=9,ISERROR(FIND("-",LEFT(CH117,8))),ISNUMBER(-LEFT(CH117,8))),VALUE(MID(CH117,7,2)),VALUE(MID(CH117,FIND("-",CH117,FIND("-",CH117)+1)+1,FIND("-",CH117,FIND("-",CH117,FIND("-",CH117)+1)+1)-FIND("-",CH117,FIND("-",CH117)+1)-1))),""))</f>
        <v/>
      </c>
    </row>
    <row r="118">
      <c r="A118" t="n">
        <v>22</v>
      </c>
      <c r="B118">
        <f>$B$1+22</f>
        <v/>
      </c>
      <c r="C118">
        <f>$B$2</f>
        <v/>
      </c>
      <c r="D118">
        <f>IF($B$1+1&gt;90,C118,(C118+IF($B$1+1&lt;=$B118,12*($B$7-$B$10),-12*MAX(0,($B$6+$B$10)-IF($B$1+1&gt;=$B$23,$B$22,0))*(1+$B$4)^1))*IF(C118+IF($B$1+1&lt;=$B118,12*($B$7-$B$10),-12*MAX(0,($B$6+$B$10)-IF($B$1+1&gt;=$B$23,$B$22,0))*(1+$B$4)^1)&gt;0,1+$B$3,1))</f>
        <v/>
      </c>
      <c r="E118">
        <f>IF($B$1+2&gt;90,D118,(D118+IF($B$1+2&lt;=$B118,12*($B$7-$B$10),-12*MAX(0,($B$6+$B$10)-IF($B$1+2&gt;=$B$23,$B$22,0))*(1+$B$4)^2))*IF(D118+IF($B$1+2&lt;=$B118,12*($B$7-$B$10),-12*MAX(0,($B$6+$B$10)-IF($B$1+2&gt;=$B$23,$B$22,0))*(1+$B$4)^2)&gt;0,1+$B$3,1))</f>
        <v/>
      </c>
      <c r="F118">
        <f>IF($B$1+3&gt;90,E118,(E118+IF($B$1+3&lt;=$B118,12*($B$7-$B$10),-12*MAX(0,($B$6+$B$10)-IF($B$1+3&gt;=$B$23,$B$22,0))*(1+$B$4)^3))*IF(E118+IF($B$1+3&lt;=$B118,12*($B$7-$B$10),-12*MAX(0,($B$6+$B$10)-IF($B$1+3&gt;=$B$23,$B$22,0))*(1+$B$4)^3)&gt;0,1+$B$3,1))</f>
        <v/>
      </c>
      <c r="G118">
        <f>IF($B$1+4&gt;90,F118,(F118+IF($B$1+4&lt;=$B118,12*($B$7-$B$10),-12*MAX(0,($B$6+$B$10)-IF($B$1+4&gt;=$B$23,$B$22,0))*(1+$B$4)^4))*IF(F118+IF($B$1+4&lt;=$B118,12*($B$7-$B$10),-12*MAX(0,($B$6+$B$10)-IF($B$1+4&gt;=$B$23,$B$22,0))*(1+$B$4)^4)&gt;0,1+$B$3,1))</f>
        <v/>
      </c>
      <c r="H118">
        <f>IF($B$1+5&gt;90,G118,(G118+IF($B$1+5&lt;=$B118,12*($B$7-$B$10),-12*MAX(0,($B$6+$B$10)-IF($B$1+5&gt;=$B$23,$B$22,0))*(1+$B$4)^5))*IF(G118+IF($B$1+5&lt;=$B118,12*($B$7-$B$10),-12*MAX(0,($B$6+$B$10)-IF($B$1+5&gt;=$B$23,$B$22,0))*(1+$B$4)^5)&gt;0,1+$B$3,1))</f>
        <v/>
      </c>
      <c r="I118">
        <f>IF($B$1+6&gt;90,H118,(H118+IF($B$1+6&lt;=$B118,12*($B$7-$B$10),-12*MAX(0,($B$6+$B$10)-IF($B$1+6&gt;=$B$23,$B$22,0))*(1+$B$4)^6))*IF(H118+IF($B$1+6&lt;=$B118,12*($B$7-$B$10),-12*MAX(0,($B$6+$B$10)-IF($B$1+6&gt;=$B$23,$B$22,0))*(1+$B$4)^6)&gt;0,1+$B$3,1))</f>
        <v/>
      </c>
      <c r="J118">
        <f>IF($B$1+7&gt;90,I118,(I118+IF($B$1+7&lt;=$B118,12*($B$7-$B$10),-12*MAX(0,($B$6+$B$10)-IF($B$1+7&gt;=$B$23,$B$22,0))*(1+$B$4)^7))*IF(I118+IF($B$1+7&lt;=$B118,12*($B$7-$B$10),-12*MAX(0,($B$6+$B$10)-IF($B$1+7&gt;=$B$23,$B$22,0))*(1+$B$4)^7)&gt;0,1+$B$3,1))</f>
        <v/>
      </c>
      <c r="K118">
        <f>IF($B$1+8&gt;90,J118,(J118+IF($B$1+8&lt;=$B118,12*($B$7-$B$10),-12*MAX(0,($B$6+$B$10)-IF($B$1+8&gt;=$B$23,$B$22,0))*(1+$B$4)^8))*IF(J118+IF($B$1+8&lt;=$B118,12*($B$7-$B$10),-12*MAX(0,($B$6+$B$10)-IF($B$1+8&gt;=$B$23,$B$22,0))*(1+$B$4)^8)&gt;0,1+$B$3,1))</f>
        <v/>
      </c>
      <c r="L118">
        <f>IF($B$1+9&gt;90,K118,(K118+IF($B$1+9&lt;=$B118,12*($B$7-$B$10),-12*MAX(0,($B$6+$B$10)-IF($B$1+9&gt;=$B$23,$B$22,0))*(1+$B$4)^9))*IF(K118+IF($B$1+9&lt;=$B118,12*($B$7-$B$10),-12*MAX(0,($B$6+$B$10)-IF($B$1+9&gt;=$B$23,$B$22,0))*(1+$B$4)^9)&gt;0,1+$B$3,1))</f>
        <v/>
      </c>
      <c r="M118">
        <f>IF($B$1+10&gt;90,L118,(L118+IF($B$1+10&lt;=$B118,12*($B$7-$B$10),-12*MAX(0,($B$6+$B$10)-IF($B$1+10&gt;=$B$23,$B$22,0))*(1+$B$4)^10))*IF(L118+IF($B$1+10&lt;=$B118,12*($B$7-$B$10),-12*MAX(0,($B$6+$B$10)-IF($B$1+10&gt;=$B$23,$B$22,0))*(1+$B$4)^10)&gt;0,1+$B$3,1))</f>
        <v/>
      </c>
      <c r="N118">
        <f>IF($B$1+11&gt;90,M118,(M118+IF($B$1+11&lt;=$B118,12*($B$7-$B$10),-12*MAX(0,($B$6+$B$10)-IF($B$1+11&gt;=$B$23,$B$22,0))*(1+$B$4)^11))*IF(M118+IF($B$1+11&lt;=$B118,12*($B$7-$B$10),-12*MAX(0,($B$6+$B$10)-IF($B$1+11&gt;=$B$23,$B$22,0))*(1+$B$4)^11)&gt;0,1+$B$3,1))</f>
        <v/>
      </c>
      <c r="O118">
        <f>IF($B$1+12&gt;90,N118,(N118+IF($B$1+12&lt;=$B118,12*($B$7-$B$10),-12*MAX(0,($B$6+$B$10)-IF($B$1+12&gt;=$B$23,$B$22,0))*(1+$B$4)^12))*IF(N118+IF($B$1+12&lt;=$B118,12*($B$7-$B$10),-12*MAX(0,($B$6+$B$10)-IF($B$1+12&gt;=$B$23,$B$22,0))*(1+$B$4)^12)&gt;0,1+$B$3,1))</f>
        <v/>
      </c>
      <c r="P118">
        <f>IF($B$1+13&gt;90,O118,(O118+IF($B$1+13&lt;=$B118,12*($B$7-$B$10),-12*MAX(0,($B$6+$B$10)-IF($B$1+13&gt;=$B$23,$B$22,0))*(1+$B$4)^13))*IF(O118+IF($B$1+13&lt;=$B118,12*($B$7-$B$10),-12*MAX(0,($B$6+$B$10)-IF($B$1+13&gt;=$B$23,$B$22,0))*(1+$B$4)^13)&gt;0,1+$B$3,1))</f>
        <v/>
      </c>
      <c r="Q118">
        <f>IF($B$1+14&gt;90,P118,(P118+IF($B$1+14&lt;=$B118,12*($B$7-$B$10),-12*MAX(0,($B$6+$B$10)-IF($B$1+14&gt;=$B$23,$B$22,0))*(1+$B$4)^14))*IF(P118+IF($B$1+14&lt;=$B118,12*($B$7-$B$10),-12*MAX(0,($B$6+$B$10)-IF($B$1+14&gt;=$B$23,$B$22,0))*(1+$B$4)^14)&gt;0,1+$B$3,1))</f>
        <v/>
      </c>
      <c r="R118">
        <f>IF($B$1+15&gt;90,Q118,(Q118+IF($B$1+15&lt;=$B118,12*($B$7-$B$10),-12*MAX(0,($B$6+$B$10)-IF($B$1+15&gt;=$B$23,$B$22,0))*(1+$B$4)^15))*IF(Q118+IF($B$1+15&lt;=$B118,12*($B$7-$B$10),-12*MAX(0,($B$6+$B$10)-IF($B$1+15&gt;=$B$23,$B$22,0))*(1+$B$4)^15)&gt;0,1+$B$3,1))</f>
        <v/>
      </c>
      <c r="S118">
        <f>IF($B$1+16&gt;90,R118,(R118+IF($B$1+16&lt;=$B118,12*($B$7-$B$10),-12*MAX(0,($B$6+$B$10)-IF($B$1+16&gt;=$B$23,$B$22,0))*(1+$B$4)^16))*IF(R118+IF($B$1+16&lt;=$B118,12*($B$7-$B$10),-12*MAX(0,($B$6+$B$10)-IF($B$1+16&gt;=$B$23,$B$22,0))*(1+$B$4)^16)&gt;0,1+$B$3,1))</f>
        <v/>
      </c>
      <c r="T118">
        <f>IF($B$1+17&gt;90,S118,(S118+IF($B$1+17&lt;=$B118,12*($B$7-$B$10),-12*MAX(0,($B$6+$B$10)-IF($B$1+17&gt;=$B$23,$B$22,0))*(1+$B$4)^17))*IF(S118+IF($B$1+17&lt;=$B118,12*($B$7-$B$10),-12*MAX(0,($B$6+$B$10)-IF($B$1+17&gt;=$B$23,$B$22,0))*(1+$B$4)^17)&gt;0,1+$B$3,1))</f>
        <v/>
      </c>
      <c r="U118">
        <f>IF($B$1+18&gt;90,T118,(T118+IF($B$1+18&lt;=$B118,12*($B$7-$B$10),-12*MAX(0,($B$6+$B$10)-IF($B$1+18&gt;=$B$23,$B$22,0))*(1+$B$4)^18))*IF(T118+IF($B$1+18&lt;=$B118,12*($B$7-$B$10),-12*MAX(0,($B$6+$B$10)-IF($B$1+18&gt;=$B$23,$B$22,0))*(1+$B$4)^18)&gt;0,1+$B$3,1))</f>
        <v/>
      </c>
      <c r="V118">
        <f>IF($B$1+19&gt;90,U118,(U118+IF($B$1+19&lt;=$B118,12*($B$7-$B$10),-12*MAX(0,($B$6+$B$10)-IF($B$1+19&gt;=$B$23,$B$22,0))*(1+$B$4)^19))*IF(U118+IF($B$1+19&lt;=$B118,12*($B$7-$B$10),-12*MAX(0,($B$6+$B$10)-IF($B$1+19&gt;=$B$23,$B$22,0))*(1+$B$4)^19)&gt;0,1+$B$3,1))</f>
        <v/>
      </c>
      <c r="W118">
        <f>IF($B$1+20&gt;90,V118,(V118+IF($B$1+20&lt;=$B118,12*($B$7-$B$10),-12*MAX(0,($B$6+$B$10)-IF($B$1+20&gt;=$B$23,$B$22,0))*(1+$B$4)^20))*IF(V118+IF($B$1+20&lt;=$B118,12*($B$7-$B$10),-12*MAX(0,($B$6+$B$10)-IF($B$1+20&gt;=$B$23,$B$22,0))*(1+$B$4)^20)&gt;0,1+$B$3,1))</f>
        <v/>
      </c>
      <c r="X118">
        <f>IF($B$1+21&gt;90,W118,(W118+IF($B$1+21&lt;=$B118,12*($B$7-$B$10),-12*MAX(0,($B$6+$B$10)-IF($B$1+21&gt;=$B$23,$B$22,0))*(1+$B$4)^21))*IF(W118+IF($B$1+21&lt;=$B118,12*($B$7-$B$10),-12*MAX(0,($B$6+$B$10)-IF($B$1+21&gt;=$B$23,$B$22,0))*(1+$B$4)^21)&gt;0,1+$B$3,1))</f>
        <v/>
      </c>
      <c r="Y118">
        <f>IF($B$1+22&gt;90,X118,(X118+IF($B$1+22&lt;=$B118,12*($B$7-$B$10),-12*MAX(0,($B$6+$B$10)-IF($B$1+22&gt;=$B$23,$B$22,0))*(1+$B$4)^22))*IF(X118+IF($B$1+22&lt;=$B118,12*($B$7-$B$10),-12*MAX(0,($B$6+$B$10)-IF($B$1+22&gt;=$B$23,$B$22,0))*(1+$B$4)^22)&gt;0,1+$B$3,1))</f>
        <v/>
      </c>
      <c r="Z118">
        <f>IF($B$1+23&gt;90,Y118,(Y118+IF($B$1+23&lt;=$B118,12*($B$7-$B$10),-12*MAX(0,($B$6+$B$10)-IF($B$1+23&gt;=$B$23,$B$22,0))*(1+$B$4)^23))*IF(Y118+IF($B$1+23&lt;=$B118,12*($B$7-$B$10),-12*MAX(0,($B$6+$B$10)-IF($B$1+23&gt;=$B$23,$B$22,0))*(1+$B$4)^23)&gt;0,1+$B$3,1))</f>
        <v/>
      </c>
      <c r="AA118">
        <f>IF($B$1+24&gt;90,Z118,(Z118+IF($B$1+24&lt;=$B118,12*($B$7-$B$10),-12*MAX(0,($B$6+$B$10)-IF($B$1+24&gt;=$B$23,$B$22,0))*(1+$B$4)^24))*IF(Z118+IF($B$1+24&lt;=$B118,12*($B$7-$B$10),-12*MAX(0,($B$6+$B$10)-IF($B$1+24&gt;=$B$23,$B$22,0))*(1+$B$4)^24)&gt;0,1+$B$3,1))</f>
        <v/>
      </c>
      <c r="AB118">
        <f>IF($B$1+25&gt;90,AA118,(AA118+IF($B$1+25&lt;=$B118,12*($B$7-$B$10),-12*MAX(0,($B$6+$B$10)-IF($B$1+25&gt;=$B$23,$B$22,0))*(1+$B$4)^25))*IF(AA118+IF($B$1+25&lt;=$B118,12*($B$7-$B$10),-12*MAX(0,($B$6+$B$10)-IF($B$1+25&gt;=$B$23,$B$22,0))*(1+$B$4)^25)&gt;0,1+$B$3,1))</f>
        <v/>
      </c>
      <c r="AC118">
        <f>IF($B$1+26&gt;90,AB118,(AB118+IF($B$1+26&lt;=$B118,12*($B$7-$B$10),-12*MAX(0,($B$6+$B$10)-IF($B$1+26&gt;=$B$23,$B$22,0))*(1+$B$4)^26))*IF(AB118+IF($B$1+26&lt;=$B118,12*($B$7-$B$10),-12*MAX(0,($B$6+$B$10)-IF($B$1+26&gt;=$B$23,$B$22,0))*(1+$B$4)^26)&gt;0,1+$B$3,1))</f>
        <v/>
      </c>
      <c r="AD118">
        <f>IF($B$1+27&gt;90,AC118,(AC118+IF($B$1+27&lt;=$B118,12*($B$7-$B$10),-12*MAX(0,($B$6+$B$10)-IF($B$1+27&gt;=$B$23,$B$22,0))*(1+$B$4)^27))*IF(AC118+IF($B$1+27&lt;=$B118,12*($B$7-$B$10),-12*MAX(0,($B$6+$B$10)-IF($B$1+27&gt;=$B$23,$B$22,0))*(1+$B$4)^27)&gt;0,1+$B$3,1))</f>
        <v/>
      </c>
      <c r="AE118">
        <f>IF($B$1+28&gt;90,AD118,(AD118+IF($B$1+28&lt;=$B118,12*($B$7-$B$10),-12*MAX(0,($B$6+$B$10)-IF($B$1+28&gt;=$B$23,$B$22,0))*(1+$B$4)^28))*IF(AD118+IF($B$1+28&lt;=$B118,12*($B$7-$B$10),-12*MAX(0,($B$6+$B$10)-IF($B$1+28&gt;=$B$23,$B$22,0))*(1+$B$4)^28)&gt;0,1+$B$3,1))</f>
        <v/>
      </c>
      <c r="AF118">
        <f>IF($B$1+29&gt;90,AE118,(AE118+IF($B$1+29&lt;=$B118,12*($B$7-$B$10),-12*MAX(0,($B$6+$B$10)-IF($B$1+29&gt;=$B$23,$B$22,0))*(1+$B$4)^29))*IF(AE118+IF($B$1+29&lt;=$B118,12*($B$7-$B$10),-12*MAX(0,($B$6+$B$10)-IF($B$1+29&gt;=$B$23,$B$22,0))*(1+$B$4)^29)&gt;0,1+$B$3,1))</f>
        <v/>
      </c>
      <c r="AG118">
        <f>IF($B$1+30&gt;90,AF118,(AF118+IF($B$1+30&lt;=$B118,12*($B$7-$B$10),-12*MAX(0,($B$6+$B$10)-IF($B$1+30&gt;=$B$23,$B$22,0))*(1+$B$4)^30))*IF(AF118+IF($B$1+30&lt;=$B118,12*($B$7-$B$10),-12*MAX(0,($B$6+$B$10)-IF($B$1+30&gt;=$B$23,$B$22,0))*(1+$B$4)^30)&gt;0,1+$B$3,1))</f>
        <v/>
      </c>
      <c r="AH118">
        <f>IF($B$1+31&gt;90,AG118,(AG118+IF($B$1+31&lt;=$B118,12*($B$7-$B$10),-12*MAX(0,($B$6+$B$10)-IF($B$1+31&gt;=$B$23,$B$22,0))*(1+$B$4)^31))*IF(AG118+IF($B$1+31&lt;=$B118,12*($B$7-$B$10),-12*MAX(0,($B$6+$B$10)-IF($B$1+31&gt;=$B$23,$B$22,0))*(1+$B$4)^31)&gt;0,1+$B$3,1))</f>
        <v/>
      </c>
      <c r="AI118">
        <f>IF($B$1+32&gt;90,AH118,(AH118+IF($B$1+32&lt;=$B118,12*($B$7-$B$10),-12*MAX(0,($B$6+$B$10)-IF($B$1+32&gt;=$B$23,$B$22,0))*(1+$B$4)^32))*IF(AH118+IF($B$1+32&lt;=$B118,12*($B$7-$B$10),-12*MAX(0,($B$6+$B$10)-IF($B$1+32&gt;=$B$23,$B$22,0))*(1+$B$4)^32)&gt;0,1+$B$3,1))</f>
        <v/>
      </c>
      <c r="AJ118">
        <f>IF($B$1+33&gt;90,AI118,(AI118+IF($B$1+33&lt;=$B118,12*($B$7-$B$10),-12*MAX(0,($B$6+$B$10)-IF($B$1+33&gt;=$B$23,$B$22,0))*(1+$B$4)^33))*IF(AI118+IF($B$1+33&lt;=$B118,12*($B$7-$B$10),-12*MAX(0,($B$6+$B$10)-IF($B$1+33&gt;=$B$23,$B$22,0))*(1+$B$4)^33)&gt;0,1+$B$3,1))</f>
        <v/>
      </c>
      <c r="AK118">
        <f>IF($B$1+34&gt;90,AJ118,(AJ118+IF($B$1+34&lt;=$B118,12*($B$7-$B$10),-12*MAX(0,($B$6+$B$10)-IF($B$1+34&gt;=$B$23,$B$22,0))*(1+$B$4)^34))*IF(AJ118+IF($B$1+34&lt;=$B118,12*($B$7-$B$10),-12*MAX(0,($B$6+$B$10)-IF($B$1+34&gt;=$B$23,$B$22,0))*(1+$B$4)^34)&gt;0,1+$B$3,1))</f>
        <v/>
      </c>
      <c r="AL118">
        <f>IF($B$1+35&gt;90,AK118,(AK118+IF($B$1+35&lt;=$B118,12*($B$7-$B$10),-12*MAX(0,($B$6+$B$10)-IF($B$1+35&gt;=$B$23,$B$22,0))*(1+$B$4)^35))*IF(AK118+IF($B$1+35&lt;=$B118,12*($B$7-$B$10),-12*MAX(0,($B$6+$B$10)-IF($B$1+35&gt;=$B$23,$B$22,0))*(1+$B$4)^35)&gt;0,1+$B$3,1))</f>
        <v/>
      </c>
      <c r="AM118">
        <f>IF($B$1+36&gt;90,AL118,(AL118+IF($B$1+36&lt;=$B118,12*($B$7-$B$10),-12*MAX(0,($B$6+$B$10)-IF($B$1+36&gt;=$B$23,$B$22,0))*(1+$B$4)^36))*IF(AL118+IF($B$1+36&lt;=$B118,12*($B$7-$B$10),-12*MAX(0,($B$6+$B$10)-IF($B$1+36&gt;=$B$23,$B$22,0))*(1+$B$4)^36)&gt;0,1+$B$3,1))</f>
        <v/>
      </c>
      <c r="AN118">
        <f>IF($B$1+37&gt;90,AM118,(AM118+IF($B$1+37&lt;=$B118,12*($B$7-$B$10),-12*MAX(0,($B$6+$B$10)-IF($B$1+37&gt;=$B$23,$B$22,0))*(1+$B$4)^37))*IF(AM118+IF($B$1+37&lt;=$B118,12*($B$7-$B$10),-12*MAX(0,($B$6+$B$10)-IF($B$1+37&gt;=$B$23,$B$22,0))*(1+$B$4)^37)&gt;0,1+$B$3,1))</f>
        <v/>
      </c>
      <c r="AO118">
        <f>IF($B$1+38&gt;90,AN118,(AN118+IF($B$1+38&lt;=$B118,12*($B$7-$B$10),-12*MAX(0,($B$6+$B$10)-IF($B$1+38&gt;=$B$23,$B$22,0))*(1+$B$4)^38))*IF(AN118+IF($B$1+38&lt;=$B118,12*($B$7-$B$10),-12*MAX(0,($B$6+$B$10)-IF($B$1+38&gt;=$B$23,$B$22,0))*(1+$B$4)^38)&gt;0,1+$B$3,1))</f>
        <v/>
      </c>
      <c r="AP118">
        <f>IF($B$1+39&gt;90,AO118,(AO118+IF($B$1+39&lt;=$B118,12*($B$7-$B$10),-12*MAX(0,($B$6+$B$10)-IF($B$1+39&gt;=$B$23,$B$22,0))*(1+$B$4)^39))*IF(AO118+IF($B$1+39&lt;=$B118,12*($B$7-$B$10),-12*MAX(0,($B$6+$B$10)-IF($B$1+39&gt;=$B$23,$B$22,0))*(1+$B$4)^39)&gt;0,1+$B$3,1))</f>
        <v/>
      </c>
      <c r="AQ118">
        <f>IF($B$1+40&gt;90,AP118,(AP118+IF($B$1+40&lt;=$B118,12*($B$7-$B$10),-12*MAX(0,($B$6+$B$10)-IF($B$1+40&gt;=$B$23,$B$22,0))*(1+$B$4)^40))*IF(AP118+IF($B$1+40&lt;=$B118,12*($B$7-$B$10),-12*MAX(0,($B$6+$B$10)-IF($B$1+40&gt;=$B$23,$B$22,0))*(1+$B$4)^40)&gt;0,1+$B$3,1))</f>
        <v/>
      </c>
      <c r="AR118">
        <f>IF($B$1+41&gt;90,AQ118,(AQ118+IF($B$1+41&lt;=$B118,12*($B$7-$B$10),-12*MAX(0,($B$6+$B$10)-IF($B$1+41&gt;=$B$23,$B$22,0))*(1+$B$4)^41))*IF(AQ118+IF($B$1+41&lt;=$B118,12*($B$7-$B$10),-12*MAX(0,($B$6+$B$10)-IF($B$1+41&gt;=$B$23,$B$22,0))*(1+$B$4)^41)&gt;0,1+$B$3,1))</f>
        <v/>
      </c>
      <c r="AS118">
        <f>IF($B$1+42&gt;90,AR118,(AR118+IF($B$1+42&lt;=$B118,12*($B$7-$B$10),-12*MAX(0,($B$6+$B$10)-IF($B$1+42&gt;=$B$23,$B$22,0))*(1+$B$4)^42))*IF(AR118+IF($B$1+42&lt;=$B118,12*($B$7-$B$10),-12*MAX(0,($B$6+$B$10)-IF($B$1+42&gt;=$B$23,$B$22,0))*(1+$B$4)^42)&gt;0,1+$B$3,1))</f>
        <v/>
      </c>
      <c r="AT118">
        <f>IF($B$1+43&gt;90,AS118,(AS118+IF($B$1+43&lt;=$B118,12*($B$7-$B$10),-12*MAX(0,($B$6+$B$10)-IF($B$1+43&gt;=$B$23,$B$22,0))*(1+$B$4)^43))*IF(AS118+IF($B$1+43&lt;=$B118,12*($B$7-$B$10),-12*MAX(0,($B$6+$B$10)-IF($B$1+43&gt;=$B$23,$B$22,0))*(1+$B$4)^43)&gt;0,1+$B$3,1))</f>
        <v/>
      </c>
      <c r="AU118">
        <f>IF($B$1+44&gt;90,AT118,(AT118+IF($B$1+44&lt;=$B118,12*($B$7-$B$10),-12*MAX(0,($B$6+$B$10)-IF($B$1+44&gt;=$B$23,$B$22,0))*(1+$B$4)^44))*IF(AT118+IF($B$1+44&lt;=$B118,12*($B$7-$B$10),-12*MAX(0,($B$6+$B$10)-IF($B$1+44&gt;=$B$23,$B$22,0))*(1+$B$4)^44)&gt;0,1+$B$3,1))</f>
        <v/>
      </c>
      <c r="AV118">
        <f>IF($B$1+45&gt;90,AU118,(AU118+IF($B$1+45&lt;=$B118,12*($B$7-$B$10),-12*MAX(0,($B$6+$B$10)-IF($B$1+45&gt;=$B$23,$B$22,0))*(1+$B$4)^45))*IF(AU118+IF($B$1+45&lt;=$B118,12*($B$7-$B$10),-12*MAX(0,($B$6+$B$10)-IF($B$1+45&gt;=$B$23,$B$22,0))*(1+$B$4)^45)&gt;0,1+$B$3,1))</f>
        <v/>
      </c>
      <c r="AW118">
        <f>IF($B$1+46&gt;90,AV118,(AV118+IF($B$1+46&lt;=$B118,12*($B$7-$B$10),-12*MAX(0,($B$6+$B$10)-IF($B$1+46&gt;=$B$23,$B$22,0))*(1+$B$4)^46))*IF(AV118+IF($B$1+46&lt;=$B118,12*($B$7-$B$10),-12*MAX(0,($B$6+$B$10)-IF($B$1+46&gt;=$B$23,$B$22,0))*(1+$B$4)^46)&gt;0,1+$B$3,1))</f>
        <v/>
      </c>
      <c r="AX118">
        <f>IF($B$1+47&gt;90,AW118,(AW118+IF($B$1+47&lt;=$B118,12*($B$7-$B$10),-12*MAX(0,($B$6+$B$10)-IF($B$1+47&gt;=$B$23,$B$22,0))*(1+$B$4)^47))*IF(AW118+IF($B$1+47&lt;=$B118,12*($B$7-$B$10),-12*MAX(0,($B$6+$B$10)-IF($B$1+47&gt;=$B$23,$B$22,0))*(1+$B$4)^47)&gt;0,1+$B$3,1))</f>
        <v/>
      </c>
      <c r="AY118">
        <f>IF($B$1+48&gt;90,AX118,(AX118+IF($B$1+48&lt;=$B118,12*($B$7-$B$10),-12*MAX(0,($B$6+$B$10)-IF($B$1+48&gt;=$B$23,$B$22,0))*(1+$B$4)^48))*IF(AX118+IF($B$1+48&lt;=$B118,12*($B$7-$B$10),-12*MAX(0,($B$6+$B$10)-IF($B$1+48&gt;=$B$23,$B$22,0))*(1+$B$4)^48)&gt;0,1+$B$3,1))</f>
        <v/>
      </c>
      <c r="AZ118">
        <f>IF($B$1+49&gt;90,AY118,(AY118+IF($B$1+49&lt;=$B118,12*($B$7-$B$10),-12*MAX(0,($B$6+$B$10)-IF($B$1+49&gt;=$B$23,$B$22,0))*(1+$B$4)^49))*IF(AY118+IF($B$1+49&lt;=$B118,12*($B$7-$B$10),-12*MAX(0,($B$6+$B$10)-IF($B$1+49&gt;=$B$23,$B$22,0))*(1+$B$4)^49)&gt;0,1+$B$3,1))</f>
        <v/>
      </c>
      <c r="BA118">
        <f>IF($B$1+50&gt;90,AZ118,(AZ118+IF($B$1+50&lt;=$B118,12*($B$7-$B$10),-12*MAX(0,($B$6+$B$10)-IF($B$1+50&gt;=$B$23,$B$22,0))*(1+$B$4)^50))*IF(AZ118+IF($B$1+50&lt;=$B118,12*($B$7-$B$10),-12*MAX(0,($B$6+$B$10)-IF($B$1+50&gt;=$B$23,$B$22,0))*(1+$B$4)^50)&gt;0,1+$B$3,1))</f>
        <v/>
      </c>
      <c r="BB118">
        <f>IF($B$1+51&gt;90,BA118,(BA118+IF($B$1+51&lt;=$B118,12*($B$7-$B$10),-12*MAX(0,($B$6+$B$10)-IF($B$1+51&gt;=$B$23,$B$22,0))*(1+$B$4)^51))*IF(BA118+IF($B$1+51&lt;=$B118,12*($B$7-$B$10),-12*MAX(0,($B$6+$B$10)-IF($B$1+51&gt;=$B$23,$B$22,0))*(1+$B$4)^51)&gt;0,1+$B$3,1))</f>
        <v/>
      </c>
      <c r="BC118">
        <f>IF($B$1+52&gt;90,BB118,(BB118+IF($B$1+52&lt;=$B118,12*($B$7-$B$10),-12*MAX(0,($B$6+$B$10)-IF($B$1+52&gt;=$B$23,$B$22,0))*(1+$B$4)^52))*IF(BB118+IF($B$1+52&lt;=$B118,12*($B$7-$B$10),-12*MAX(0,($B$6+$B$10)-IF($B$1+52&gt;=$B$23,$B$22,0))*(1+$B$4)^52)&gt;0,1+$B$3,1))</f>
        <v/>
      </c>
      <c r="BD118">
        <f>IF($B$1+53&gt;90,BC118,(BC118+IF($B$1+53&lt;=$B118,12*($B$7-$B$10),-12*MAX(0,($B$6+$B$10)-IF($B$1+53&gt;=$B$23,$B$22,0))*(1+$B$4)^53))*IF(BC118+IF($B$1+53&lt;=$B118,12*($B$7-$B$10),-12*MAX(0,($B$6+$B$10)-IF($B$1+53&gt;=$B$23,$B$22,0))*(1+$B$4)^53)&gt;0,1+$B$3,1))</f>
        <v/>
      </c>
      <c r="BE118">
        <f>IF($B$1+54&gt;90,BD118,(BD118+IF($B$1+54&lt;=$B118,12*($B$7-$B$10),-12*MAX(0,($B$6+$B$10)-IF($B$1+54&gt;=$B$23,$B$22,0))*(1+$B$4)^54))*IF(BD118+IF($B$1+54&lt;=$B118,12*($B$7-$B$10),-12*MAX(0,($B$6+$B$10)-IF($B$1+54&gt;=$B$23,$B$22,0))*(1+$B$4)^54)&gt;0,1+$B$3,1))</f>
        <v/>
      </c>
      <c r="BF118">
        <f>IF($B$1+55&gt;90,BE118,(BE118+IF($B$1+55&lt;=$B118,12*($B$7-$B$10),-12*MAX(0,($B$6+$B$10)-IF($B$1+55&gt;=$B$23,$B$22,0))*(1+$B$4)^55))*IF(BE118+IF($B$1+55&lt;=$B118,12*($B$7-$B$10),-12*MAX(0,($B$6+$B$10)-IF($B$1+55&gt;=$B$23,$B$22,0))*(1+$B$4)^55)&gt;0,1+$B$3,1))</f>
        <v/>
      </c>
      <c r="BG118">
        <f>IF($B$1+56&gt;90,BF118,(BF118+IF($B$1+56&lt;=$B118,12*($B$7-$B$10),-12*MAX(0,($B$6+$B$10)-IF($B$1+56&gt;=$B$23,$B$22,0))*(1+$B$4)^56))*IF(BF118+IF($B$1+56&lt;=$B118,12*($B$7-$B$10),-12*MAX(0,($B$6+$B$10)-IF($B$1+56&gt;=$B$23,$B$22,0))*(1+$B$4)^56)&gt;0,1+$B$3,1))</f>
        <v/>
      </c>
      <c r="BH118">
        <f>IF($B$1+57&gt;90,BG118,(BG118+IF($B$1+57&lt;=$B118,12*($B$7-$B$10),-12*MAX(0,($B$6+$B$10)-IF($B$1+57&gt;=$B$23,$B$22,0))*(1+$B$4)^57))*IF(BG118+IF($B$1+57&lt;=$B118,12*($B$7-$B$10),-12*MAX(0,($B$6+$B$10)-IF($B$1+57&gt;=$B$23,$B$22,0))*(1+$B$4)^57)&gt;0,1+$B$3,1))</f>
        <v/>
      </c>
      <c r="BI118">
        <f>IF($B$1+58&gt;90,BH118,(BH118+IF($B$1+58&lt;=$B118,12*($B$7-$B$10),-12*MAX(0,($B$6+$B$10)-IF($B$1+58&gt;=$B$23,$B$22,0))*(1+$B$4)^58))*IF(BH118+IF($B$1+58&lt;=$B118,12*($B$7-$B$10),-12*MAX(0,($B$6+$B$10)-IF($B$1+58&gt;=$B$23,$B$22,0))*(1+$B$4)^58)&gt;0,1+$B$3,1))</f>
        <v/>
      </c>
      <c r="BJ118">
        <f>IF($B$1+59&gt;90,BI118,(BI118+IF($B$1+59&lt;=$B118,12*($B$7-$B$10),-12*MAX(0,($B$6+$B$10)-IF($B$1+59&gt;=$B$23,$B$22,0))*(1+$B$4)^59))*IF(BI118+IF($B$1+59&lt;=$B118,12*($B$7-$B$10),-12*MAX(0,($B$6+$B$10)-IF($B$1+59&gt;=$B$23,$B$22,0))*(1+$B$4)^59)&gt;0,1+$B$3,1))</f>
        <v/>
      </c>
      <c r="BK118">
        <f>IF($B$1+60&gt;90,BJ118,(BJ118+IF($B$1+60&lt;=$B118,12*($B$7-$B$10),-12*MAX(0,($B$6+$B$10)-IF($B$1+60&gt;=$B$23,$B$22,0))*(1+$B$4)^60))*IF(BJ118+IF($B$1+60&lt;=$B118,12*($B$7-$B$10),-12*MAX(0,($B$6+$B$10)-IF($B$1+60&gt;=$B$23,$B$22,0))*(1+$B$4)^60)&gt;0,1+$B$3,1))</f>
        <v/>
      </c>
      <c r="BL118">
        <f>IF($B$1+61&gt;90,BK118,(BK118+IF($B$1+61&lt;=$B118,12*($B$7-$B$10),-12*MAX(0,($B$6+$B$10)-IF($B$1+61&gt;=$B$23,$B$22,0))*(1+$B$4)^61))*IF(BK118+IF($B$1+61&lt;=$B118,12*($B$7-$B$10),-12*MAX(0,($B$6+$B$10)-IF($B$1+61&gt;=$B$23,$B$22,0))*(1+$B$4)^61)&gt;0,1+$B$3,1))</f>
        <v/>
      </c>
      <c r="BM118">
        <f>IF($B$1+62&gt;90,BL118,(BL118+IF($B$1+62&lt;=$B118,12*($B$7-$B$10),-12*MAX(0,($B$6+$B$10)-IF($B$1+62&gt;=$B$23,$B$22,0))*(1+$B$4)^62))*IF(BL118+IF($B$1+62&lt;=$B118,12*($B$7-$B$10),-12*MAX(0,($B$6+$B$10)-IF($B$1+62&gt;=$B$23,$B$22,0))*(1+$B$4)^62)&gt;0,1+$B$3,1))</f>
        <v/>
      </c>
      <c r="BN118">
        <f>IF($B$1+63&gt;90,BM118,(BM118+IF($B$1+63&lt;=$B118,12*($B$7-$B$10),-12*MAX(0,($B$6+$B$10)-IF($B$1+63&gt;=$B$23,$B$22,0))*(1+$B$4)^63))*IF(BM118+IF($B$1+63&lt;=$B118,12*($B$7-$B$10),-12*MAX(0,($B$6+$B$10)-IF($B$1+63&gt;=$B$23,$B$22,0))*(1+$B$4)^63)&gt;0,1+$B$3,1))</f>
        <v/>
      </c>
      <c r="BO118">
        <f>IF($B$1+64&gt;90,BN118,(BN118+IF($B$1+64&lt;=$B118,12*($B$7-$B$10),-12*MAX(0,($B$6+$B$10)-IF($B$1+64&gt;=$B$23,$B$22,0))*(1+$B$4)^64))*IF(BN118+IF($B$1+64&lt;=$B118,12*($B$7-$B$10),-12*MAX(0,($B$6+$B$10)-IF($B$1+64&gt;=$B$23,$B$22,0))*(1+$B$4)^64)&gt;0,1+$B$3,1))</f>
        <v/>
      </c>
      <c r="BP118">
        <f>IF($B$1+65&gt;90,BO118,(BO118+IF($B$1+65&lt;=$B118,12*($B$7-$B$10),-12*MAX(0,($B$6+$B$10)-IF($B$1+65&gt;=$B$23,$B$22,0))*(1+$B$4)^65))*IF(BO118+IF($B$1+65&lt;=$B118,12*($B$7-$B$10),-12*MAX(0,($B$6+$B$10)-IF($B$1+65&gt;=$B$23,$B$22,0))*(1+$B$4)^65)&gt;0,1+$B$3,1))</f>
        <v/>
      </c>
      <c r="BQ118">
        <f>IF($B$1+66&gt;90,BP118,(BP118+IF($B$1+66&lt;=$B118,12*($B$7-$B$10),-12*MAX(0,($B$6+$B$10)-IF($B$1+66&gt;=$B$23,$B$22,0))*(1+$B$4)^66))*IF(BP118+IF($B$1+66&lt;=$B118,12*($B$7-$B$10),-12*MAX(0,($B$6+$B$10)-IF($B$1+66&gt;=$B$23,$B$22,0))*(1+$B$4)^66)&gt;0,1+$B$3,1))</f>
        <v/>
      </c>
      <c r="BR118">
        <f>IF($B$1+67&gt;90,BQ118,(BQ118+IF($B$1+67&lt;=$B118,12*($B$7-$B$10),-12*MAX(0,($B$6+$B$10)-IF($B$1+67&gt;=$B$23,$B$22,0))*(1+$B$4)^67))*IF(BQ118+IF($B$1+67&lt;=$B118,12*($B$7-$B$10),-12*MAX(0,($B$6+$B$10)-IF($B$1+67&gt;=$B$23,$B$22,0))*(1+$B$4)^67)&gt;0,1+$B$3,1))</f>
        <v/>
      </c>
      <c r="BS118">
        <f>IF($B$1+68&gt;90,BR118,(BR118+IF($B$1+68&lt;=$B118,12*($B$7-$B$10),-12*MAX(0,($B$6+$B$10)-IF($B$1+68&gt;=$B$23,$B$22,0))*(1+$B$4)^68))*IF(BR118+IF($B$1+68&lt;=$B118,12*($B$7-$B$10),-12*MAX(0,($B$6+$B$10)-IF($B$1+68&gt;=$B$23,$B$22,0))*(1+$B$4)^68)&gt;0,1+$B$3,1))</f>
        <v/>
      </c>
      <c r="BT118">
        <f>IF($B$1+69&gt;90,BS118,(BS118+IF($B$1+69&lt;=$B118,12*($B$7-$B$10),-12*MAX(0,($B$6+$B$10)-IF($B$1+69&gt;=$B$23,$B$22,0))*(1+$B$4)^69))*IF(BS118+IF($B$1+69&lt;=$B118,12*($B$7-$B$10),-12*MAX(0,($B$6+$B$10)-IF($B$1+69&gt;=$B$23,$B$22,0))*(1+$B$4)^69)&gt;0,1+$B$3,1))</f>
        <v/>
      </c>
      <c r="BU118">
        <f>IF($B$1+70&gt;90,BT118,(BT118+IF($B$1+70&lt;=$B118,12*($B$7-$B$10),-12*MAX(0,($B$6+$B$10)-IF($B$1+70&gt;=$B$23,$B$22,0))*(1+$B$4)^70))*IF(BT118+IF($B$1+70&lt;=$B118,12*($B$7-$B$10),-12*MAX(0,($B$6+$B$10)-IF($B$1+70&gt;=$B$23,$B$22,0))*(1+$B$4)^70)&gt;0,1+$B$3,1))</f>
        <v/>
      </c>
      <c r="BV118">
        <f>BU118</f>
        <v/>
      </c>
      <c r="BW118">
        <f>IF(AND($B118&lt;=70,BV118&gt;0),$B118,999)</f>
        <v/>
      </c>
      <c r="CH118">
        <f>IF(ISTEXT('월 가계부'!A118),SUBSTITUTE(SUBSTITUTE(SUBSTITUTE(SUBSTITUTE(SUBSTITUTE(SUBSTITUTE(SUBSTITUTE(SUBSTITUTE(SUBSTITUTE(TRIM('월 가계부'!A118),"년","-"),"월","-"),"일",""),".","-"),"/","-")," ","-"),"--","-"),"--","-"),"--","-")&amp;"-","")</f>
        <v/>
      </c>
      <c r="CI118">
        <f>IFERROR(IF('월 가계부'!A118="","",IF(ISNUMBER('월 가계부'!A118),IF(AND('월 가계부'!A118&gt;=19000101,'월 가계부'!A118&lt;=21001231),IF(AND(MOD(INT('월 가계부'!A118/100),100)&gt;=1,MOD(INT('월 가계부'!A118/100),100)&lt;=12,MOD(INT('월 가계부'!A118),100)&gt;=1,MOD(INT('월 가계부'!A118),100)&lt;=31),IF(MONTH(DATE(INT('월 가계부'!A118/10000),MOD(INT('월 가계부'!A118/100),100),MOD(INT('월 가계부'!A118),100)))=MOD(INT('월 가계부'!A118/100),100),DATE(INT('월 가계부'!A118/10000),MOD(INT('월 가계부'!A118/100),100),MOD(INT('월 가계부'!A118),100)),""),""),IF(AND('월 가계부'!A118&gt;=36526,'월 가계부'!A118&lt;73051),INT('월 가계부'!A118),"")),IF(OR(CM118="",CN118="",CO118=""),"",IF(AND(CM118&gt;=2000,CM118&lt;=2099,CN118&gt;=1,CN118&lt;=12,CO118&gt;=1,CO118&lt;=31),IF(MONTH(DATE(CM118,CN118,CO118))=CN118,DATE(CM118,CN118,CO118),""),"")))),"")</f>
        <v/>
      </c>
      <c r="CJ118">
        <f>IFERROR(IF('월 가계부'!C118="","",IF(ISNUMBER('월 가계부'!C118),'월 가계부'!C118,VALUE(SUBSTITUTE(SUBSTITUTE(SUBSTITUTE(SUBSTITUTE(TRIM('월 가계부'!C118),",",""),"원","")," ",""),"−","-")))),"")</f>
        <v/>
      </c>
      <c r="CK118">
        <f>IF(ISNUMBER(CI118),IF(CI118&lt;$B$13,CI118,""),"")</f>
        <v/>
      </c>
      <c r="CM118">
        <f>IF(CH118="","",IFERROR(IF(IF(AND(LEN(CH118)=9,ISERROR(FIND("-",LEFT(CH118,8))),ISNUMBER(-LEFT(CH118,8))),VALUE(LEFT(CH118,4)),VALUE(LEFT(CH118,FIND("-",CH118)-1)))&lt;100,IF(AND(LEN(CH118)=9,ISERROR(FIND("-",LEFT(CH118,8))),ISNUMBER(-LEFT(CH118,8))),VALUE(LEFT(CH118,4)),VALUE(LEFT(CH118,FIND("-",CH118)-1)))+2000,IF(AND(LEN(CH118)=9,ISERROR(FIND("-",LEFT(CH118,8))),ISNUMBER(-LEFT(CH118,8))),VALUE(LEFT(CH118,4)),VALUE(LEFT(CH118,FIND("-",CH118)-1)))),""))</f>
        <v/>
      </c>
      <c r="CN118">
        <f>IF(CH118="","",IFERROR(IF(AND(LEN(CH118)=9,ISERROR(FIND("-",LEFT(CH118,8))),ISNUMBER(-LEFT(CH118,8))),VALUE(MID(CH118,5,2)),VALUE(MID(CH118,FIND("-",CH118)+1,FIND("-",CH118,FIND("-",CH118)+1)-FIND("-",CH118)-1))),""))</f>
        <v/>
      </c>
      <c r="CO118">
        <f>IF(CH118="","",IFERROR(IF(AND(LEN(CH118)=9,ISERROR(FIND("-",LEFT(CH118,8))),ISNUMBER(-LEFT(CH118,8))),VALUE(MID(CH118,7,2)),VALUE(MID(CH118,FIND("-",CH118,FIND("-",CH118)+1)+1,FIND("-",CH118,FIND("-",CH118,FIND("-",CH118)+1)+1)-FIND("-",CH118,FIND("-",CH118)+1)-1))),""))</f>
        <v/>
      </c>
    </row>
    <row r="119">
      <c r="A119" t="n">
        <v>23</v>
      </c>
      <c r="B119">
        <f>$B$1+23</f>
        <v/>
      </c>
      <c r="C119">
        <f>$B$2</f>
        <v/>
      </c>
      <c r="D119">
        <f>IF($B$1+1&gt;90,C119,(C119+IF($B$1+1&lt;=$B119,12*($B$7-$B$10),-12*MAX(0,($B$6+$B$10)-IF($B$1+1&gt;=$B$23,$B$22,0))*(1+$B$4)^1))*IF(C119+IF($B$1+1&lt;=$B119,12*($B$7-$B$10),-12*MAX(0,($B$6+$B$10)-IF($B$1+1&gt;=$B$23,$B$22,0))*(1+$B$4)^1)&gt;0,1+$B$3,1))</f>
        <v/>
      </c>
      <c r="E119">
        <f>IF($B$1+2&gt;90,D119,(D119+IF($B$1+2&lt;=$B119,12*($B$7-$B$10),-12*MAX(0,($B$6+$B$10)-IF($B$1+2&gt;=$B$23,$B$22,0))*(1+$B$4)^2))*IF(D119+IF($B$1+2&lt;=$B119,12*($B$7-$B$10),-12*MAX(0,($B$6+$B$10)-IF($B$1+2&gt;=$B$23,$B$22,0))*(1+$B$4)^2)&gt;0,1+$B$3,1))</f>
        <v/>
      </c>
      <c r="F119">
        <f>IF($B$1+3&gt;90,E119,(E119+IF($B$1+3&lt;=$B119,12*($B$7-$B$10),-12*MAX(0,($B$6+$B$10)-IF($B$1+3&gt;=$B$23,$B$22,0))*(1+$B$4)^3))*IF(E119+IF($B$1+3&lt;=$B119,12*($B$7-$B$10),-12*MAX(0,($B$6+$B$10)-IF($B$1+3&gt;=$B$23,$B$22,0))*(1+$B$4)^3)&gt;0,1+$B$3,1))</f>
        <v/>
      </c>
      <c r="G119">
        <f>IF($B$1+4&gt;90,F119,(F119+IF($B$1+4&lt;=$B119,12*($B$7-$B$10),-12*MAX(0,($B$6+$B$10)-IF($B$1+4&gt;=$B$23,$B$22,0))*(1+$B$4)^4))*IF(F119+IF($B$1+4&lt;=$B119,12*($B$7-$B$10),-12*MAX(0,($B$6+$B$10)-IF($B$1+4&gt;=$B$23,$B$22,0))*(1+$B$4)^4)&gt;0,1+$B$3,1))</f>
        <v/>
      </c>
      <c r="H119">
        <f>IF($B$1+5&gt;90,G119,(G119+IF($B$1+5&lt;=$B119,12*($B$7-$B$10),-12*MAX(0,($B$6+$B$10)-IF($B$1+5&gt;=$B$23,$B$22,0))*(1+$B$4)^5))*IF(G119+IF($B$1+5&lt;=$B119,12*($B$7-$B$10),-12*MAX(0,($B$6+$B$10)-IF($B$1+5&gt;=$B$23,$B$22,0))*(1+$B$4)^5)&gt;0,1+$B$3,1))</f>
        <v/>
      </c>
      <c r="I119">
        <f>IF($B$1+6&gt;90,H119,(H119+IF($B$1+6&lt;=$B119,12*($B$7-$B$10),-12*MAX(0,($B$6+$B$10)-IF($B$1+6&gt;=$B$23,$B$22,0))*(1+$B$4)^6))*IF(H119+IF($B$1+6&lt;=$B119,12*($B$7-$B$10),-12*MAX(0,($B$6+$B$10)-IF($B$1+6&gt;=$B$23,$B$22,0))*(1+$B$4)^6)&gt;0,1+$B$3,1))</f>
        <v/>
      </c>
      <c r="J119">
        <f>IF($B$1+7&gt;90,I119,(I119+IF($B$1+7&lt;=$B119,12*($B$7-$B$10),-12*MAX(0,($B$6+$B$10)-IF($B$1+7&gt;=$B$23,$B$22,0))*(1+$B$4)^7))*IF(I119+IF($B$1+7&lt;=$B119,12*($B$7-$B$10),-12*MAX(0,($B$6+$B$10)-IF($B$1+7&gt;=$B$23,$B$22,0))*(1+$B$4)^7)&gt;0,1+$B$3,1))</f>
        <v/>
      </c>
      <c r="K119">
        <f>IF($B$1+8&gt;90,J119,(J119+IF($B$1+8&lt;=$B119,12*($B$7-$B$10),-12*MAX(0,($B$6+$B$10)-IF($B$1+8&gt;=$B$23,$B$22,0))*(1+$B$4)^8))*IF(J119+IF($B$1+8&lt;=$B119,12*($B$7-$B$10),-12*MAX(0,($B$6+$B$10)-IF($B$1+8&gt;=$B$23,$B$22,0))*(1+$B$4)^8)&gt;0,1+$B$3,1))</f>
        <v/>
      </c>
      <c r="L119">
        <f>IF($B$1+9&gt;90,K119,(K119+IF($B$1+9&lt;=$B119,12*($B$7-$B$10),-12*MAX(0,($B$6+$B$10)-IF($B$1+9&gt;=$B$23,$B$22,0))*(1+$B$4)^9))*IF(K119+IF($B$1+9&lt;=$B119,12*($B$7-$B$10),-12*MAX(0,($B$6+$B$10)-IF($B$1+9&gt;=$B$23,$B$22,0))*(1+$B$4)^9)&gt;0,1+$B$3,1))</f>
        <v/>
      </c>
      <c r="M119">
        <f>IF($B$1+10&gt;90,L119,(L119+IF($B$1+10&lt;=$B119,12*($B$7-$B$10),-12*MAX(0,($B$6+$B$10)-IF($B$1+10&gt;=$B$23,$B$22,0))*(1+$B$4)^10))*IF(L119+IF($B$1+10&lt;=$B119,12*($B$7-$B$10),-12*MAX(0,($B$6+$B$10)-IF($B$1+10&gt;=$B$23,$B$22,0))*(1+$B$4)^10)&gt;0,1+$B$3,1))</f>
        <v/>
      </c>
      <c r="N119">
        <f>IF($B$1+11&gt;90,M119,(M119+IF($B$1+11&lt;=$B119,12*($B$7-$B$10),-12*MAX(0,($B$6+$B$10)-IF($B$1+11&gt;=$B$23,$B$22,0))*(1+$B$4)^11))*IF(M119+IF($B$1+11&lt;=$B119,12*($B$7-$B$10),-12*MAX(0,($B$6+$B$10)-IF($B$1+11&gt;=$B$23,$B$22,0))*(1+$B$4)^11)&gt;0,1+$B$3,1))</f>
        <v/>
      </c>
      <c r="O119">
        <f>IF($B$1+12&gt;90,N119,(N119+IF($B$1+12&lt;=$B119,12*($B$7-$B$10),-12*MAX(0,($B$6+$B$10)-IF($B$1+12&gt;=$B$23,$B$22,0))*(1+$B$4)^12))*IF(N119+IF($B$1+12&lt;=$B119,12*($B$7-$B$10),-12*MAX(0,($B$6+$B$10)-IF($B$1+12&gt;=$B$23,$B$22,0))*(1+$B$4)^12)&gt;0,1+$B$3,1))</f>
        <v/>
      </c>
      <c r="P119">
        <f>IF($B$1+13&gt;90,O119,(O119+IF($B$1+13&lt;=$B119,12*($B$7-$B$10),-12*MAX(0,($B$6+$B$10)-IF($B$1+13&gt;=$B$23,$B$22,0))*(1+$B$4)^13))*IF(O119+IF($B$1+13&lt;=$B119,12*($B$7-$B$10),-12*MAX(0,($B$6+$B$10)-IF($B$1+13&gt;=$B$23,$B$22,0))*(1+$B$4)^13)&gt;0,1+$B$3,1))</f>
        <v/>
      </c>
      <c r="Q119">
        <f>IF($B$1+14&gt;90,P119,(P119+IF($B$1+14&lt;=$B119,12*($B$7-$B$10),-12*MAX(0,($B$6+$B$10)-IF($B$1+14&gt;=$B$23,$B$22,0))*(1+$B$4)^14))*IF(P119+IF($B$1+14&lt;=$B119,12*($B$7-$B$10),-12*MAX(0,($B$6+$B$10)-IF($B$1+14&gt;=$B$23,$B$22,0))*(1+$B$4)^14)&gt;0,1+$B$3,1))</f>
        <v/>
      </c>
      <c r="R119">
        <f>IF($B$1+15&gt;90,Q119,(Q119+IF($B$1+15&lt;=$B119,12*($B$7-$B$10),-12*MAX(0,($B$6+$B$10)-IF($B$1+15&gt;=$B$23,$B$22,0))*(1+$B$4)^15))*IF(Q119+IF($B$1+15&lt;=$B119,12*($B$7-$B$10),-12*MAX(0,($B$6+$B$10)-IF($B$1+15&gt;=$B$23,$B$22,0))*(1+$B$4)^15)&gt;0,1+$B$3,1))</f>
        <v/>
      </c>
      <c r="S119">
        <f>IF($B$1+16&gt;90,R119,(R119+IF($B$1+16&lt;=$B119,12*($B$7-$B$10),-12*MAX(0,($B$6+$B$10)-IF($B$1+16&gt;=$B$23,$B$22,0))*(1+$B$4)^16))*IF(R119+IF($B$1+16&lt;=$B119,12*($B$7-$B$10),-12*MAX(0,($B$6+$B$10)-IF($B$1+16&gt;=$B$23,$B$22,0))*(1+$B$4)^16)&gt;0,1+$B$3,1))</f>
        <v/>
      </c>
      <c r="T119">
        <f>IF($B$1+17&gt;90,S119,(S119+IF($B$1+17&lt;=$B119,12*($B$7-$B$10),-12*MAX(0,($B$6+$B$10)-IF($B$1+17&gt;=$B$23,$B$22,0))*(1+$B$4)^17))*IF(S119+IF($B$1+17&lt;=$B119,12*($B$7-$B$10),-12*MAX(0,($B$6+$B$10)-IF($B$1+17&gt;=$B$23,$B$22,0))*(1+$B$4)^17)&gt;0,1+$B$3,1))</f>
        <v/>
      </c>
      <c r="U119">
        <f>IF($B$1+18&gt;90,T119,(T119+IF($B$1+18&lt;=$B119,12*($B$7-$B$10),-12*MAX(0,($B$6+$B$10)-IF($B$1+18&gt;=$B$23,$B$22,0))*(1+$B$4)^18))*IF(T119+IF($B$1+18&lt;=$B119,12*($B$7-$B$10),-12*MAX(0,($B$6+$B$10)-IF($B$1+18&gt;=$B$23,$B$22,0))*(1+$B$4)^18)&gt;0,1+$B$3,1))</f>
        <v/>
      </c>
      <c r="V119">
        <f>IF($B$1+19&gt;90,U119,(U119+IF($B$1+19&lt;=$B119,12*($B$7-$B$10),-12*MAX(0,($B$6+$B$10)-IF($B$1+19&gt;=$B$23,$B$22,0))*(1+$B$4)^19))*IF(U119+IF($B$1+19&lt;=$B119,12*($B$7-$B$10),-12*MAX(0,($B$6+$B$10)-IF($B$1+19&gt;=$B$23,$B$22,0))*(1+$B$4)^19)&gt;0,1+$B$3,1))</f>
        <v/>
      </c>
      <c r="W119">
        <f>IF($B$1+20&gt;90,V119,(V119+IF($B$1+20&lt;=$B119,12*($B$7-$B$10),-12*MAX(0,($B$6+$B$10)-IF($B$1+20&gt;=$B$23,$B$22,0))*(1+$B$4)^20))*IF(V119+IF($B$1+20&lt;=$B119,12*($B$7-$B$10),-12*MAX(0,($B$6+$B$10)-IF($B$1+20&gt;=$B$23,$B$22,0))*(1+$B$4)^20)&gt;0,1+$B$3,1))</f>
        <v/>
      </c>
      <c r="X119">
        <f>IF($B$1+21&gt;90,W119,(W119+IF($B$1+21&lt;=$B119,12*($B$7-$B$10),-12*MAX(0,($B$6+$B$10)-IF($B$1+21&gt;=$B$23,$B$22,0))*(1+$B$4)^21))*IF(W119+IF($B$1+21&lt;=$B119,12*($B$7-$B$10),-12*MAX(0,($B$6+$B$10)-IF($B$1+21&gt;=$B$23,$B$22,0))*(1+$B$4)^21)&gt;0,1+$B$3,1))</f>
        <v/>
      </c>
      <c r="Y119">
        <f>IF($B$1+22&gt;90,X119,(X119+IF($B$1+22&lt;=$B119,12*($B$7-$B$10),-12*MAX(0,($B$6+$B$10)-IF($B$1+22&gt;=$B$23,$B$22,0))*(1+$B$4)^22))*IF(X119+IF($B$1+22&lt;=$B119,12*($B$7-$B$10),-12*MAX(0,($B$6+$B$10)-IF($B$1+22&gt;=$B$23,$B$22,0))*(1+$B$4)^22)&gt;0,1+$B$3,1))</f>
        <v/>
      </c>
      <c r="Z119">
        <f>IF($B$1+23&gt;90,Y119,(Y119+IF($B$1+23&lt;=$B119,12*($B$7-$B$10),-12*MAX(0,($B$6+$B$10)-IF($B$1+23&gt;=$B$23,$B$22,0))*(1+$B$4)^23))*IF(Y119+IF($B$1+23&lt;=$B119,12*($B$7-$B$10),-12*MAX(0,($B$6+$B$10)-IF($B$1+23&gt;=$B$23,$B$22,0))*(1+$B$4)^23)&gt;0,1+$B$3,1))</f>
        <v/>
      </c>
      <c r="AA119">
        <f>IF($B$1+24&gt;90,Z119,(Z119+IF($B$1+24&lt;=$B119,12*($B$7-$B$10),-12*MAX(0,($B$6+$B$10)-IF($B$1+24&gt;=$B$23,$B$22,0))*(1+$B$4)^24))*IF(Z119+IF($B$1+24&lt;=$B119,12*($B$7-$B$10),-12*MAX(0,($B$6+$B$10)-IF($B$1+24&gt;=$B$23,$B$22,0))*(1+$B$4)^24)&gt;0,1+$B$3,1))</f>
        <v/>
      </c>
      <c r="AB119">
        <f>IF($B$1+25&gt;90,AA119,(AA119+IF($B$1+25&lt;=$B119,12*($B$7-$B$10),-12*MAX(0,($B$6+$B$10)-IF($B$1+25&gt;=$B$23,$B$22,0))*(1+$B$4)^25))*IF(AA119+IF($B$1+25&lt;=$B119,12*($B$7-$B$10),-12*MAX(0,($B$6+$B$10)-IF($B$1+25&gt;=$B$23,$B$22,0))*(1+$B$4)^25)&gt;0,1+$B$3,1))</f>
        <v/>
      </c>
      <c r="AC119">
        <f>IF($B$1+26&gt;90,AB119,(AB119+IF($B$1+26&lt;=$B119,12*($B$7-$B$10),-12*MAX(0,($B$6+$B$10)-IF($B$1+26&gt;=$B$23,$B$22,0))*(1+$B$4)^26))*IF(AB119+IF($B$1+26&lt;=$B119,12*($B$7-$B$10),-12*MAX(0,($B$6+$B$10)-IF($B$1+26&gt;=$B$23,$B$22,0))*(1+$B$4)^26)&gt;0,1+$B$3,1))</f>
        <v/>
      </c>
      <c r="AD119">
        <f>IF($B$1+27&gt;90,AC119,(AC119+IF($B$1+27&lt;=$B119,12*($B$7-$B$10),-12*MAX(0,($B$6+$B$10)-IF($B$1+27&gt;=$B$23,$B$22,0))*(1+$B$4)^27))*IF(AC119+IF($B$1+27&lt;=$B119,12*($B$7-$B$10),-12*MAX(0,($B$6+$B$10)-IF($B$1+27&gt;=$B$23,$B$22,0))*(1+$B$4)^27)&gt;0,1+$B$3,1))</f>
        <v/>
      </c>
      <c r="AE119">
        <f>IF($B$1+28&gt;90,AD119,(AD119+IF($B$1+28&lt;=$B119,12*($B$7-$B$10),-12*MAX(0,($B$6+$B$10)-IF($B$1+28&gt;=$B$23,$B$22,0))*(1+$B$4)^28))*IF(AD119+IF($B$1+28&lt;=$B119,12*($B$7-$B$10),-12*MAX(0,($B$6+$B$10)-IF($B$1+28&gt;=$B$23,$B$22,0))*(1+$B$4)^28)&gt;0,1+$B$3,1))</f>
        <v/>
      </c>
      <c r="AF119">
        <f>IF($B$1+29&gt;90,AE119,(AE119+IF($B$1+29&lt;=$B119,12*($B$7-$B$10),-12*MAX(0,($B$6+$B$10)-IF($B$1+29&gt;=$B$23,$B$22,0))*(1+$B$4)^29))*IF(AE119+IF($B$1+29&lt;=$B119,12*($B$7-$B$10),-12*MAX(0,($B$6+$B$10)-IF($B$1+29&gt;=$B$23,$B$22,0))*(1+$B$4)^29)&gt;0,1+$B$3,1))</f>
        <v/>
      </c>
      <c r="AG119">
        <f>IF($B$1+30&gt;90,AF119,(AF119+IF($B$1+30&lt;=$B119,12*($B$7-$B$10),-12*MAX(0,($B$6+$B$10)-IF($B$1+30&gt;=$B$23,$B$22,0))*(1+$B$4)^30))*IF(AF119+IF($B$1+30&lt;=$B119,12*($B$7-$B$10),-12*MAX(0,($B$6+$B$10)-IF($B$1+30&gt;=$B$23,$B$22,0))*(1+$B$4)^30)&gt;0,1+$B$3,1))</f>
        <v/>
      </c>
      <c r="AH119">
        <f>IF($B$1+31&gt;90,AG119,(AG119+IF($B$1+31&lt;=$B119,12*($B$7-$B$10),-12*MAX(0,($B$6+$B$10)-IF($B$1+31&gt;=$B$23,$B$22,0))*(1+$B$4)^31))*IF(AG119+IF($B$1+31&lt;=$B119,12*($B$7-$B$10),-12*MAX(0,($B$6+$B$10)-IF($B$1+31&gt;=$B$23,$B$22,0))*(1+$B$4)^31)&gt;0,1+$B$3,1))</f>
        <v/>
      </c>
      <c r="AI119">
        <f>IF($B$1+32&gt;90,AH119,(AH119+IF($B$1+32&lt;=$B119,12*($B$7-$B$10),-12*MAX(0,($B$6+$B$10)-IF($B$1+32&gt;=$B$23,$B$22,0))*(1+$B$4)^32))*IF(AH119+IF($B$1+32&lt;=$B119,12*($B$7-$B$10),-12*MAX(0,($B$6+$B$10)-IF($B$1+32&gt;=$B$23,$B$22,0))*(1+$B$4)^32)&gt;0,1+$B$3,1))</f>
        <v/>
      </c>
      <c r="AJ119">
        <f>IF($B$1+33&gt;90,AI119,(AI119+IF($B$1+33&lt;=$B119,12*($B$7-$B$10),-12*MAX(0,($B$6+$B$10)-IF($B$1+33&gt;=$B$23,$B$22,0))*(1+$B$4)^33))*IF(AI119+IF($B$1+33&lt;=$B119,12*($B$7-$B$10),-12*MAX(0,($B$6+$B$10)-IF($B$1+33&gt;=$B$23,$B$22,0))*(1+$B$4)^33)&gt;0,1+$B$3,1))</f>
        <v/>
      </c>
      <c r="AK119">
        <f>IF($B$1+34&gt;90,AJ119,(AJ119+IF($B$1+34&lt;=$B119,12*($B$7-$B$10),-12*MAX(0,($B$6+$B$10)-IF($B$1+34&gt;=$B$23,$B$22,0))*(1+$B$4)^34))*IF(AJ119+IF($B$1+34&lt;=$B119,12*($B$7-$B$10),-12*MAX(0,($B$6+$B$10)-IF($B$1+34&gt;=$B$23,$B$22,0))*(1+$B$4)^34)&gt;0,1+$B$3,1))</f>
        <v/>
      </c>
      <c r="AL119">
        <f>IF($B$1+35&gt;90,AK119,(AK119+IF($B$1+35&lt;=$B119,12*($B$7-$B$10),-12*MAX(0,($B$6+$B$10)-IF($B$1+35&gt;=$B$23,$B$22,0))*(1+$B$4)^35))*IF(AK119+IF($B$1+35&lt;=$B119,12*($B$7-$B$10),-12*MAX(0,($B$6+$B$10)-IF($B$1+35&gt;=$B$23,$B$22,0))*(1+$B$4)^35)&gt;0,1+$B$3,1))</f>
        <v/>
      </c>
      <c r="AM119">
        <f>IF($B$1+36&gt;90,AL119,(AL119+IF($B$1+36&lt;=$B119,12*($B$7-$B$10),-12*MAX(0,($B$6+$B$10)-IF($B$1+36&gt;=$B$23,$B$22,0))*(1+$B$4)^36))*IF(AL119+IF($B$1+36&lt;=$B119,12*($B$7-$B$10),-12*MAX(0,($B$6+$B$10)-IF($B$1+36&gt;=$B$23,$B$22,0))*(1+$B$4)^36)&gt;0,1+$B$3,1))</f>
        <v/>
      </c>
      <c r="AN119">
        <f>IF($B$1+37&gt;90,AM119,(AM119+IF($B$1+37&lt;=$B119,12*($B$7-$B$10),-12*MAX(0,($B$6+$B$10)-IF($B$1+37&gt;=$B$23,$B$22,0))*(1+$B$4)^37))*IF(AM119+IF($B$1+37&lt;=$B119,12*($B$7-$B$10),-12*MAX(0,($B$6+$B$10)-IF($B$1+37&gt;=$B$23,$B$22,0))*(1+$B$4)^37)&gt;0,1+$B$3,1))</f>
        <v/>
      </c>
      <c r="AO119">
        <f>IF($B$1+38&gt;90,AN119,(AN119+IF($B$1+38&lt;=$B119,12*($B$7-$B$10),-12*MAX(0,($B$6+$B$10)-IF($B$1+38&gt;=$B$23,$B$22,0))*(1+$B$4)^38))*IF(AN119+IF($B$1+38&lt;=$B119,12*($B$7-$B$10),-12*MAX(0,($B$6+$B$10)-IF($B$1+38&gt;=$B$23,$B$22,0))*(1+$B$4)^38)&gt;0,1+$B$3,1))</f>
        <v/>
      </c>
      <c r="AP119">
        <f>IF($B$1+39&gt;90,AO119,(AO119+IF($B$1+39&lt;=$B119,12*($B$7-$B$10),-12*MAX(0,($B$6+$B$10)-IF($B$1+39&gt;=$B$23,$B$22,0))*(1+$B$4)^39))*IF(AO119+IF($B$1+39&lt;=$B119,12*($B$7-$B$10),-12*MAX(0,($B$6+$B$10)-IF($B$1+39&gt;=$B$23,$B$22,0))*(1+$B$4)^39)&gt;0,1+$B$3,1))</f>
        <v/>
      </c>
      <c r="AQ119">
        <f>IF($B$1+40&gt;90,AP119,(AP119+IF($B$1+40&lt;=$B119,12*($B$7-$B$10),-12*MAX(0,($B$6+$B$10)-IF($B$1+40&gt;=$B$23,$B$22,0))*(1+$B$4)^40))*IF(AP119+IF($B$1+40&lt;=$B119,12*($B$7-$B$10),-12*MAX(0,($B$6+$B$10)-IF($B$1+40&gt;=$B$23,$B$22,0))*(1+$B$4)^40)&gt;0,1+$B$3,1))</f>
        <v/>
      </c>
      <c r="AR119">
        <f>IF($B$1+41&gt;90,AQ119,(AQ119+IF($B$1+41&lt;=$B119,12*($B$7-$B$10),-12*MAX(0,($B$6+$B$10)-IF($B$1+41&gt;=$B$23,$B$22,0))*(1+$B$4)^41))*IF(AQ119+IF($B$1+41&lt;=$B119,12*($B$7-$B$10),-12*MAX(0,($B$6+$B$10)-IF($B$1+41&gt;=$B$23,$B$22,0))*(1+$B$4)^41)&gt;0,1+$B$3,1))</f>
        <v/>
      </c>
      <c r="AS119">
        <f>IF($B$1+42&gt;90,AR119,(AR119+IF($B$1+42&lt;=$B119,12*($B$7-$B$10),-12*MAX(0,($B$6+$B$10)-IF($B$1+42&gt;=$B$23,$B$22,0))*(1+$B$4)^42))*IF(AR119+IF($B$1+42&lt;=$B119,12*($B$7-$B$10),-12*MAX(0,($B$6+$B$10)-IF($B$1+42&gt;=$B$23,$B$22,0))*(1+$B$4)^42)&gt;0,1+$B$3,1))</f>
        <v/>
      </c>
      <c r="AT119">
        <f>IF($B$1+43&gt;90,AS119,(AS119+IF($B$1+43&lt;=$B119,12*($B$7-$B$10),-12*MAX(0,($B$6+$B$10)-IF($B$1+43&gt;=$B$23,$B$22,0))*(1+$B$4)^43))*IF(AS119+IF($B$1+43&lt;=$B119,12*($B$7-$B$10),-12*MAX(0,($B$6+$B$10)-IF($B$1+43&gt;=$B$23,$B$22,0))*(1+$B$4)^43)&gt;0,1+$B$3,1))</f>
        <v/>
      </c>
      <c r="AU119">
        <f>IF($B$1+44&gt;90,AT119,(AT119+IF($B$1+44&lt;=$B119,12*($B$7-$B$10),-12*MAX(0,($B$6+$B$10)-IF($B$1+44&gt;=$B$23,$B$22,0))*(1+$B$4)^44))*IF(AT119+IF($B$1+44&lt;=$B119,12*($B$7-$B$10),-12*MAX(0,($B$6+$B$10)-IF($B$1+44&gt;=$B$23,$B$22,0))*(1+$B$4)^44)&gt;0,1+$B$3,1))</f>
        <v/>
      </c>
      <c r="AV119">
        <f>IF($B$1+45&gt;90,AU119,(AU119+IF($B$1+45&lt;=$B119,12*($B$7-$B$10),-12*MAX(0,($B$6+$B$10)-IF($B$1+45&gt;=$B$23,$B$22,0))*(1+$B$4)^45))*IF(AU119+IF($B$1+45&lt;=$B119,12*($B$7-$B$10),-12*MAX(0,($B$6+$B$10)-IF($B$1+45&gt;=$B$23,$B$22,0))*(1+$B$4)^45)&gt;0,1+$B$3,1))</f>
        <v/>
      </c>
      <c r="AW119">
        <f>IF($B$1+46&gt;90,AV119,(AV119+IF($B$1+46&lt;=$B119,12*($B$7-$B$10),-12*MAX(0,($B$6+$B$10)-IF($B$1+46&gt;=$B$23,$B$22,0))*(1+$B$4)^46))*IF(AV119+IF($B$1+46&lt;=$B119,12*($B$7-$B$10),-12*MAX(0,($B$6+$B$10)-IF($B$1+46&gt;=$B$23,$B$22,0))*(1+$B$4)^46)&gt;0,1+$B$3,1))</f>
        <v/>
      </c>
      <c r="AX119">
        <f>IF($B$1+47&gt;90,AW119,(AW119+IF($B$1+47&lt;=$B119,12*($B$7-$B$10),-12*MAX(0,($B$6+$B$10)-IF($B$1+47&gt;=$B$23,$B$22,0))*(1+$B$4)^47))*IF(AW119+IF($B$1+47&lt;=$B119,12*($B$7-$B$10),-12*MAX(0,($B$6+$B$10)-IF($B$1+47&gt;=$B$23,$B$22,0))*(1+$B$4)^47)&gt;0,1+$B$3,1))</f>
        <v/>
      </c>
      <c r="AY119">
        <f>IF($B$1+48&gt;90,AX119,(AX119+IF($B$1+48&lt;=$B119,12*($B$7-$B$10),-12*MAX(0,($B$6+$B$10)-IF($B$1+48&gt;=$B$23,$B$22,0))*(1+$B$4)^48))*IF(AX119+IF($B$1+48&lt;=$B119,12*($B$7-$B$10),-12*MAX(0,($B$6+$B$10)-IF($B$1+48&gt;=$B$23,$B$22,0))*(1+$B$4)^48)&gt;0,1+$B$3,1))</f>
        <v/>
      </c>
      <c r="AZ119">
        <f>IF($B$1+49&gt;90,AY119,(AY119+IF($B$1+49&lt;=$B119,12*($B$7-$B$10),-12*MAX(0,($B$6+$B$10)-IF($B$1+49&gt;=$B$23,$B$22,0))*(1+$B$4)^49))*IF(AY119+IF($B$1+49&lt;=$B119,12*($B$7-$B$10),-12*MAX(0,($B$6+$B$10)-IF($B$1+49&gt;=$B$23,$B$22,0))*(1+$B$4)^49)&gt;0,1+$B$3,1))</f>
        <v/>
      </c>
      <c r="BA119">
        <f>IF($B$1+50&gt;90,AZ119,(AZ119+IF($B$1+50&lt;=$B119,12*($B$7-$B$10),-12*MAX(0,($B$6+$B$10)-IF($B$1+50&gt;=$B$23,$B$22,0))*(1+$B$4)^50))*IF(AZ119+IF($B$1+50&lt;=$B119,12*($B$7-$B$10),-12*MAX(0,($B$6+$B$10)-IF($B$1+50&gt;=$B$23,$B$22,0))*(1+$B$4)^50)&gt;0,1+$B$3,1))</f>
        <v/>
      </c>
      <c r="BB119">
        <f>IF($B$1+51&gt;90,BA119,(BA119+IF($B$1+51&lt;=$B119,12*($B$7-$B$10),-12*MAX(0,($B$6+$B$10)-IF($B$1+51&gt;=$B$23,$B$22,0))*(1+$B$4)^51))*IF(BA119+IF($B$1+51&lt;=$B119,12*($B$7-$B$10),-12*MAX(0,($B$6+$B$10)-IF($B$1+51&gt;=$B$23,$B$22,0))*(1+$B$4)^51)&gt;0,1+$B$3,1))</f>
        <v/>
      </c>
      <c r="BC119">
        <f>IF($B$1+52&gt;90,BB119,(BB119+IF($B$1+52&lt;=$B119,12*($B$7-$B$10),-12*MAX(0,($B$6+$B$10)-IF($B$1+52&gt;=$B$23,$B$22,0))*(1+$B$4)^52))*IF(BB119+IF($B$1+52&lt;=$B119,12*($B$7-$B$10),-12*MAX(0,($B$6+$B$10)-IF($B$1+52&gt;=$B$23,$B$22,0))*(1+$B$4)^52)&gt;0,1+$B$3,1))</f>
        <v/>
      </c>
      <c r="BD119">
        <f>IF($B$1+53&gt;90,BC119,(BC119+IF($B$1+53&lt;=$B119,12*($B$7-$B$10),-12*MAX(0,($B$6+$B$10)-IF($B$1+53&gt;=$B$23,$B$22,0))*(1+$B$4)^53))*IF(BC119+IF($B$1+53&lt;=$B119,12*($B$7-$B$10),-12*MAX(0,($B$6+$B$10)-IF($B$1+53&gt;=$B$23,$B$22,0))*(1+$B$4)^53)&gt;0,1+$B$3,1))</f>
        <v/>
      </c>
      <c r="BE119">
        <f>IF($B$1+54&gt;90,BD119,(BD119+IF($B$1+54&lt;=$B119,12*($B$7-$B$10),-12*MAX(0,($B$6+$B$10)-IF($B$1+54&gt;=$B$23,$B$22,0))*(1+$B$4)^54))*IF(BD119+IF($B$1+54&lt;=$B119,12*($B$7-$B$10),-12*MAX(0,($B$6+$B$10)-IF($B$1+54&gt;=$B$23,$B$22,0))*(1+$B$4)^54)&gt;0,1+$B$3,1))</f>
        <v/>
      </c>
      <c r="BF119">
        <f>IF($B$1+55&gt;90,BE119,(BE119+IF($B$1+55&lt;=$B119,12*($B$7-$B$10),-12*MAX(0,($B$6+$B$10)-IF($B$1+55&gt;=$B$23,$B$22,0))*(1+$B$4)^55))*IF(BE119+IF($B$1+55&lt;=$B119,12*($B$7-$B$10),-12*MAX(0,($B$6+$B$10)-IF($B$1+55&gt;=$B$23,$B$22,0))*(1+$B$4)^55)&gt;0,1+$B$3,1))</f>
        <v/>
      </c>
      <c r="BG119">
        <f>IF($B$1+56&gt;90,BF119,(BF119+IF($B$1+56&lt;=$B119,12*($B$7-$B$10),-12*MAX(0,($B$6+$B$10)-IF($B$1+56&gt;=$B$23,$B$22,0))*(1+$B$4)^56))*IF(BF119+IF($B$1+56&lt;=$B119,12*($B$7-$B$10),-12*MAX(0,($B$6+$B$10)-IF($B$1+56&gt;=$B$23,$B$22,0))*(1+$B$4)^56)&gt;0,1+$B$3,1))</f>
        <v/>
      </c>
      <c r="BH119">
        <f>IF($B$1+57&gt;90,BG119,(BG119+IF($B$1+57&lt;=$B119,12*($B$7-$B$10),-12*MAX(0,($B$6+$B$10)-IF($B$1+57&gt;=$B$23,$B$22,0))*(1+$B$4)^57))*IF(BG119+IF($B$1+57&lt;=$B119,12*($B$7-$B$10),-12*MAX(0,($B$6+$B$10)-IF($B$1+57&gt;=$B$23,$B$22,0))*(1+$B$4)^57)&gt;0,1+$B$3,1))</f>
        <v/>
      </c>
      <c r="BI119">
        <f>IF($B$1+58&gt;90,BH119,(BH119+IF($B$1+58&lt;=$B119,12*($B$7-$B$10),-12*MAX(0,($B$6+$B$10)-IF($B$1+58&gt;=$B$23,$B$22,0))*(1+$B$4)^58))*IF(BH119+IF($B$1+58&lt;=$B119,12*($B$7-$B$10),-12*MAX(0,($B$6+$B$10)-IF($B$1+58&gt;=$B$23,$B$22,0))*(1+$B$4)^58)&gt;0,1+$B$3,1))</f>
        <v/>
      </c>
      <c r="BJ119">
        <f>IF($B$1+59&gt;90,BI119,(BI119+IF($B$1+59&lt;=$B119,12*($B$7-$B$10),-12*MAX(0,($B$6+$B$10)-IF($B$1+59&gt;=$B$23,$B$22,0))*(1+$B$4)^59))*IF(BI119+IF($B$1+59&lt;=$B119,12*($B$7-$B$10),-12*MAX(0,($B$6+$B$10)-IF($B$1+59&gt;=$B$23,$B$22,0))*(1+$B$4)^59)&gt;0,1+$B$3,1))</f>
        <v/>
      </c>
      <c r="BK119">
        <f>IF($B$1+60&gt;90,BJ119,(BJ119+IF($B$1+60&lt;=$B119,12*($B$7-$B$10),-12*MAX(0,($B$6+$B$10)-IF($B$1+60&gt;=$B$23,$B$22,0))*(1+$B$4)^60))*IF(BJ119+IF($B$1+60&lt;=$B119,12*($B$7-$B$10),-12*MAX(0,($B$6+$B$10)-IF($B$1+60&gt;=$B$23,$B$22,0))*(1+$B$4)^60)&gt;0,1+$B$3,1))</f>
        <v/>
      </c>
      <c r="BL119">
        <f>IF($B$1+61&gt;90,BK119,(BK119+IF($B$1+61&lt;=$B119,12*($B$7-$B$10),-12*MAX(0,($B$6+$B$10)-IF($B$1+61&gt;=$B$23,$B$22,0))*(1+$B$4)^61))*IF(BK119+IF($B$1+61&lt;=$B119,12*($B$7-$B$10),-12*MAX(0,($B$6+$B$10)-IF($B$1+61&gt;=$B$23,$B$22,0))*(1+$B$4)^61)&gt;0,1+$B$3,1))</f>
        <v/>
      </c>
      <c r="BM119">
        <f>IF($B$1+62&gt;90,BL119,(BL119+IF($B$1+62&lt;=$B119,12*($B$7-$B$10),-12*MAX(0,($B$6+$B$10)-IF($B$1+62&gt;=$B$23,$B$22,0))*(1+$B$4)^62))*IF(BL119+IF($B$1+62&lt;=$B119,12*($B$7-$B$10),-12*MAX(0,($B$6+$B$10)-IF($B$1+62&gt;=$B$23,$B$22,0))*(1+$B$4)^62)&gt;0,1+$B$3,1))</f>
        <v/>
      </c>
      <c r="BN119">
        <f>IF($B$1+63&gt;90,BM119,(BM119+IF($B$1+63&lt;=$B119,12*($B$7-$B$10),-12*MAX(0,($B$6+$B$10)-IF($B$1+63&gt;=$B$23,$B$22,0))*(1+$B$4)^63))*IF(BM119+IF($B$1+63&lt;=$B119,12*($B$7-$B$10),-12*MAX(0,($B$6+$B$10)-IF($B$1+63&gt;=$B$23,$B$22,0))*(1+$B$4)^63)&gt;0,1+$B$3,1))</f>
        <v/>
      </c>
      <c r="BO119">
        <f>IF($B$1+64&gt;90,BN119,(BN119+IF($B$1+64&lt;=$B119,12*($B$7-$B$10),-12*MAX(0,($B$6+$B$10)-IF($B$1+64&gt;=$B$23,$B$22,0))*(1+$B$4)^64))*IF(BN119+IF($B$1+64&lt;=$B119,12*($B$7-$B$10),-12*MAX(0,($B$6+$B$10)-IF($B$1+64&gt;=$B$23,$B$22,0))*(1+$B$4)^64)&gt;0,1+$B$3,1))</f>
        <v/>
      </c>
      <c r="BP119">
        <f>IF($B$1+65&gt;90,BO119,(BO119+IF($B$1+65&lt;=$B119,12*($B$7-$B$10),-12*MAX(0,($B$6+$B$10)-IF($B$1+65&gt;=$B$23,$B$22,0))*(1+$B$4)^65))*IF(BO119+IF($B$1+65&lt;=$B119,12*($B$7-$B$10),-12*MAX(0,($B$6+$B$10)-IF($B$1+65&gt;=$B$23,$B$22,0))*(1+$B$4)^65)&gt;0,1+$B$3,1))</f>
        <v/>
      </c>
      <c r="BQ119">
        <f>IF($B$1+66&gt;90,BP119,(BP119+IF($B$1+66&lt;=$B119,12*($B$7-$B$10),-12*MAX(0,($B$6+$B$10)-IF($B$1+66&gt;=$B$23,$B$22,0))*(1+$B$4)^66))*IF(BP119+IF($B$1+66&lt;=$B119,12*($B$7-$B$10),-12*MAX(0,($B$6+$B$10)-IF($B$1+66&gt;=$B$23,$B$22,0))*(1+$B$4)^66)&gt;0,1+$B$3,1))</f>
        <v/>
      </c>
      <c r="BR119">
        <f>IF($B$1+67&gt;90,BQ119,(BQ119+IF($B$1+67&lt;=$B119,12*($B$7-$B$10),-12*MAX(0,($B$6+$B$10)-IF($B$1+67&gt;=$B$23,$B$22,0))*(1+$B$4)^67))*IF(BQ119+IF($B$1+67&lt;=$B119,12*($B$7-$B$10),-12*MAX(0,($B$6+$B$10)-IF($B$1+67&gt;=$B$23,$B$22,0))*(1+$B$4)^67)&gt;0,1+$B$3,1))</f>
        <v/>
      </c>
      <c r="BS119">
        <f>IF($B$1+68&gt;90,BR119,(BR119+IF($B$1+68&lt;=$B119,12*($B$7-$B$10),-12*MAX(0,($B$6+$B$10)-IF($B$1+68&gt;=$B$23,$B$22,0))*(1+$B$4)^68))*IF(BR119+IF($B$1+68&lt;=$B119,12*($B$7-$B$10),-12*MAX(0,($B$6+$B$10)-IF($B$1+68&gt;=$B$23,$B$22,0))*(1+$B$4)^68)&gt;0,1+$B$3,1))</f>
        <v/>
      </c>
      <c r="BT119">
        <f>IF($B$1+69&gt;90,BS119,(BS119+IF($B$1+69&lt;=$B119,12*($B$7-$B$10),-12*MAX(0,($B$6+$B$10)-IF($B$1+69&gt;=$B$23,$B$22,0))*(1+$B$4)^69))*IF(BS119+IF($B$1+69&lt;=$B119,12*($B$7-$B$10),-12*MAX(0,($B$6+$B$10)-IF($B$1+69&gt;=$B$23,$B$22,0))*(1+$B$4)^69)&gt;0,1+$B$3,1))</f>
        <v/>
      </c>
      <c r="BU119">
        <f>IF($B$1+70&gt;90,BT119,(BT119+IF($B$1+70&lt;=$B119,12*($B$7-$B$10),-12*MAX(0,($B$6+$B$10)-IF($B$1+70&gt;=$B$23,$B$22,0))*(1+$B$4)^70))*IF(BT119+IF($B$1+70&lt;=$B119,12*($B$7-$B$10),-12*MAX(0,($B$6+$B$10)-IF($B$1+70&gt;=$B$23,$B$22,0))*(1+$B$4)^70)&gt;0,1+$B$3,1))</f>
        <v/>
      </c>
      <c r="BV119">
        <f>BU119</f>
        <v/>
      </c>
      <c r="BW119">
        <f>IF(AND($B119&lt;=70,BV119&gt;0),$B119,999)</f>
        <v/>
      </c>
      <c r="CH119">
        <f>IF(ISTEXT('월 가계부'!A119),SUBSTITUTE(SUBSTITUTE(SUBSTITUTE(SUBSTITUTE(SUBSTITUTE(SUBSTITUTE(SUBSTITUTE(SUBSTITUTE(SUBSTITUTE(TRIM('월 가계부'!A119),"년","-"),"월","-"),"일",""),".","-"),"/","-")," ","-"),"--","-"),"--","-"),"--","-")&amp;"-","")</f>
        <v/>
      </c>
      <c r="CI119">
        <f>IFERROR(IF('월 가계부'!A119="","",IF(ISNUMBER('월 가계부'!A119),IF(AND('월 가계부'!A119&gt;=19000101,'월 가계부'!A119&lt;=21001231),IF(AND(MOD(INT('월 가계부'!A119/100),100)&gt;=1,MOD(INT('월 가계부'!A119/100),100)&lt;=12,MOD(INT('월 가계부'!A119),100)&gt;=1,MOD(INT('월 가계부'!A119),100)&lt;=31),IF(MONTH(DATE(INT('월 가계부'!A119/10000),MOD(INT('월 가계부'!A119/100),100),MOD(INT('월 가계부'!A119),100)))=MOD(INT('월 가계부'!A119/100),100),DATE(INT('월 가계부'!A119/10000),MOD(INT('월 가계부'!A119/100),100),MOD(INT('월 가계부'!A119),100)),""),""),IF(AND('월 가계부'!A119&gt;=36526,'월 가계부'!A119&lt;73051),INT('월 가계부'!A119),"")),IF(OR(CM119="",CN119="",CO119=""),"",IF(AND(CM119&gt;=2000,CM119&lt;=2099,CN119&gt;=1,CN119&lt;=12,CO119&gt;=1,CO119&lt;=31),IF(MONTH(DATE(CM119,CN119,CO119))=CN119,DATE(CM119,CN119,CO119),""),"")))),"")</f>
        <v/>
      </c>
      <c r="CJ119">
        <f>IFERROR(IF('월 가계부'!C119="","",IF(ISNUMBER('월 가계부'!C119),'월 가계부'!C119,VALUE(SUBSTITUTE(SUBSTITUTE(SUBSTITUTE(SUBSTITUTE(TRIM('월 가계부'!C119),",",""),"원","")," ",""),"−","-")))),"")</f>
        <v/>
      </c>
      <c r="CK119">
        <f>IF(ISNUMBER(CI119),IF(CI119&lt;$B$13,CI119,""),"")</f>
        <v/>
      </c>
      <c r="CM119">
        <f>IF(CH119="","",IFERROR(IF(IF(AND(LEN(CH119)=9,ISERROR(FIND("-",LEFT(CH119,8))),ISNUMBER(-LEFT(CH119,8))),VALUE(LEFT(CH119,4)),VALUE(LEFT(CH119,FIND("-",CH119)-1)))&lt;100,IF(AND(LEN(CH119)=9,ISERROR(FIND("-",LEFT(CH119,8))),ISNUMBER(-LEFT(CH119,8))),VALUE(LEFT(CH119,4)),VALUE(LEFT(CH119,FIND("-",CH119)-1)))+2000,IF(AND(LEN(CH119)=9,ISERROR(FIND("-",LEFT(CH119,8))),ISNUMBER(-LEFT(CH119,8))),VALUE(LEFT(CH119,4)),VALUE(LEFT(CH119,FIND("-",CH119)-1)))),""))</f>
        <v/>
      </c>
      <c r="CN119">
        <f>IF(CH119="","",IFERROR(IF(AND(LEN(CH119)=9,ISERROR(FIND("-",LEFT(CH119,8))),ISNUMBER(-LEFT(CH119,8))),VALUE(MID(CH119,5,2)),VALUE(MID(CH119,FIND("-",CH119)+1,FIND("-",CH119,FIND("-",CH119)+1)-FIND("-",CH119)-1))),""))</f>
        <v/>
      </c>
      <c r="CO119">
        <f>IF(CH119="","",IFERROR(IF(AND(LEN(CH119)=9,ISERROR(FIND("-",LEFT(CH119,8))),ISNUMBER(-LEFT(CH119,8))),VALUE(MID(CH119,7,2)),VALUE(MID(CH119,FIND("-",CH119,FIND("-",CH119)+1)+1,FIND("-",CH119,FIND("-",CH119,FIND("-",CH119)+1)+1)-FIND("-",CH119,FIND("-",CH119)+1)-1))),""))</f>
        <v/>
      </c>
    </row>
    <row r="120">
      <c r="A120" t="n">
        <v>24</v>
      </c>
      <c r="B120">
        <f>$B$1+24</f>
        <v/>
      </c>
      <c r="C120">
        <f>$B$2</f>
        <v/>
      </c>
      <c r="D120">
        <f>IF($B$1+1&gt;90,C120,(C120+IF($B$1+1&lt;=$B120,12*($B$7-$B$10),-12*MAX(0,($B$6+$B$10)-IF($B$1+1&gt;=$B$23,$B$22,0))*(1+$B$4)^1))*IF(C120+IF($B$1+1&lt;=$B120,12*($B$7-$B$10),-12*MAX(0,($B$6+$B$10)-IF($B$1+1&gt;=$B$23,$B$22,0))*(1+$B$4)^1)&gt;0,1+$B$3,1))</f>
        <v/>
      </c>
      <c r="E120">
        <f>IF($B$1+2&gt;90,D120,(D120+IF($B$1+2&lt;=$B120,12*($B$7-$B$10),-12*MAX(0,($B$6+$B$10)-IF($B$1+2&gt;=$B$23,$B$22,0))*(1+$B$4)^2))*IF(D120+IF($B$1+2&lt;=$B120,12*($B$7-$B$10),-12*MAX(0,($B$6+$B$10)-IF($B$1+2&gt;=$B$23,$B$22,0))*(1+$B$4)^2)&gt;0,1+$B$3,1))</f>
        <v/>
      </c>
      <c r="F120">
        <f>IF($B$1+3&gt;90,E120,(E120+IF($B$1+3&lt;=$B120,12*($B$7-$B$10),-12*MAX(0,($B$6+$B$10)-IF($B$1+3&gt;=$B$23,$B$22,0))*(1+$B$4)^3))*IF(E120+IF($B$1+3&lt;=$B120,12*($B$7-$B$10),-12*MAX(0,($B$6+$B$10)-IF($B$1+3&gt;=$B$23,$B$22,0))*(1+$B$4)^3)&gt;0,1+$B$3,1))</f>
        <v/>
      </c>
      <c r="G120">
        <f>IF($B$1+4&gt;90,F120,(F120+IF($B$1+4&lt;=$B120,12*($B$7-$B$10),-12*MAX(0,($B$6+$B$10)-IF($B$1+4&gt;=$B$23,$B$22,0))*(1+$B$4)^4))*IF(F120+IF($B$1+4&lt;=$B120,12*($B$7-$B$10),-12*MAX(0,($B$6+$B$10)-IF($B$1+4&gt;=$B$23,$B$22,0))*(1+$B$4)^4)&gt;0,1+$B$3,1))</f>
        <v/>
      </c>
      <c r="H120">
        <f>IF($B$1+5&gt;90,G120,(G120+IF($B$1+5&lt;=$B120,12*($B$7-$B$10),-12*MAX(0,($B$6+$B$10)-IF($B$1+5&gt;=$B$23,$B$22,0))*(1+$B$4)^5))*IF(G120+IF($B$1+5&lt;=$B120,12*($B$7-$B$10),-12*MAX(0,($B$6+$B$10)-IF($B$1+5&gt;=$B$23,$B$22,0))*(1+$B$4)^5)&gt;0,1+$B$3,1))</f>
        <v/>
      </c>
      <c r="I120">
        <f>IF($B$1+6&gt;90,H120,(H120+IF($B$1+6&lt;=$B120,12*($B$7-$B$10),-12*MAX(0,($B$6+$B$10)-IF($B$1+6&gt;=$B$23,$B$22,0))*(1+$B$4)^6))*IF(H120+IF($B$1+6&lt;=$B120,12*($B$7-$B$10),-12*MAX(0,($B$6+$B$10)-IF($B$1+6&gt;=$B$23,$B$22,0))*(1+$B$4)^6)&gt;0,1+$B$3,1))</f>
        <v/>
      </c>
      <c r="J120">
        <f>IF($B$1+7&gt;90,I120,(I120+IF($B$1+7&lt;=$B120,12*($B$7-$B$10),-12*MAX(0,($B$6+$B$10)-IF($B$1+7&gt;=$B$23,$B$22,0))*(1+$B$4)^7))*IF(I120+IF($B$1+7&lt;=$B120,12*($B$7-$B$10),-12*MAX(0,($B$6+$B$10)-IF($B$1+7&gt;=$B$23,$B$22,0))*(1+$B$4)^7)&gt;0,1+$B$3,1))</f>
        <v/>
      </c>
      <c r="K120">
        <f>IF($B$1+8&gt;90,J120,(J120+IF($B$1+8&lt;=$B120,12*($B$7-$B$10),-12*MAX(0,($B$6+$B$10)-IF($B$1+8&gt;=$B$23,$B$22,0))*(1+$B$4)^8))*IF(J120+IF($B$1+8&lt;=$B120,12*($B$7-$B$10),-12*MAX(0,($B$6+$B$10)-IF($B$1+8&gt;=$B$23,$B$22,0))*(1+$B$4)^8)&gt;0,1+$B$3,1))</f>
        <v/>
      </c>
      <c r="L120">
        <f>IF($B$1+9&gt;90,K120,(K120+IF($B$1+9&lt;=$B120,12*($B$7-$B$10),-12*MAX(0,($B$6+$B$10)-IF($B$1+9&gt;=$B$23,$B$22,0))*(1+$B$4)^9))*IF(K120+IF($B$1+9&lt;=$B120,12*($B$7-$B$10),-12*MAX(0,($B$6+$B$10)-IF($B$1+9&gt;=$B$23,$B$22,0))*(1+$B$4)^9)&gt;0,1+$B$3,1))</f>
        <v/>
      </c>
      <c r="M120">
        <f>IF($B$1+10&gt;90,L120,(L120+IF($B$1+10&lt;=$B120,12*($B$7-$B$10),-12*MAX(0,($B$6+$B$10)-IF($B$1+10&gt;=$B$23,$B$22,0))*(1+$B$4)^10))*IF(L120+IF($B$1+10&lt;=$B120,12*($B$7-$B$10),-12*MAX(0,($B$6+$B$10)-IF($B$1+10&gt;=$B$23,$B$22,0))*(1+$B$4)^10)&gt;0,1+$B$3,1))</f>
        <v/>
      </c>
      <c r="N120">
        <f>IF($B$1+11&gt;90,M120,(M120+IF($B$1+11&lt;=$B120,12*($B$7-$B$10),-12*MAX(0,($B$6+$B$10)-IF($B$1+11&gt;=$B$23,$B$22,0))*(1+$B$4)^11))*IF(M120+IF($B$1+11&lt;=$B120,12*($B$7-$B$10),-12*MAX(0,($B$6+$B$10)-IF($B$1+11&gt;=$B$23,$B$22,0))*(1+$B$4)^11)&gt;0,1+$B$3,1))</f>
        <v/>
      </c>
      <c r="O120">
        <f>IF($B$1+12&gt;90,N120,(N120+IF($B$1+12&lt;=$B120,12*($B$7-$B$10),-12*MAX(0,($B$6+$B$10)-IF($B$1+12&gt;=$B$23,$B$22,0))*(1+$B$4)^12))*IF(N120+IF($B$1+12&lt;=$B120,12*($B$7-$B$10),-12*MAX(0,($B$6+$B$10)-IF($B$1+12&gt;=$B$23,$B$22,0))*(1+$B$4)^12)&gt;0,1+$B$3,1))</f>
        <v/>
      </c>
      <c r="P120">
        <f>IF($B$1+13&gt;90,O120,(O120+IF($B$1+13&lt;=$B120,12*($B$7-$B$10),-12*MAX(0,($B$6+$B$10)-IF($B$1+13&gt;=$B$23,$B$22,0))*(1+$B$4)^13))*IF(O120+IF($B$1+13&lt;=$B120,12*($B$7-$B$10),-12*MAX(0,($B$6+$B$10)-IF($B$1+13&gt;=$B$23,$B$22,0))*(1+$B$4)^13)&gt;0,1+$B$3,1))</f>
        <v/>
      </c>
      <c r="Q120">
        <f>IF($B$1+14&gt;90,P120,(P120+IF($B$1+14&lt;=$B120,12*($B$7-$B$10),-12*MAX(0,($B$6+$B$10)-IF($B$1+14&gt;=$B$23,$B$22,0))*(1+$B$4)^14))*IF(P120+IF($B$1+14&lt;=$B120,12*($B$7-$B$10),-12*MAX(0,($B$6+$B$10)-IF($B$1+14&gt;=$B$23,$B$22,0))*(1+$B$4)^14)&gt;0,1+$B$3,1))</f>
        <v/>
      </c>
      <c r="R120">
        <f>IF($B$1+15&gt;90,Q120,(Q120+IF($B$1+15&lt;=$B120,12*($B$7-$B$10),-12*MAX(0,($B$6+$B$10)-IF($B$1+15&gt;=$B$23,$B$22,0))*(1+$B$4)^15))*IF(Q120+IF($B$1+15&lt;=$B120,12*($B$7-$B$10),-12*MAX(0,($B$6+$B$10)-IF($B$1+15&gt;=$B$23,$B$22,0))*(1+$B$4)^15)&gt;0,1+$B$3,1))</f>
        <v/>
      </c>
      <c r="S120">
        <f>IF($B$1+16&gt;90,R120,(R120+IF($B$1+16&lt;=$B120,12*($B$7-$B$10),-12*MAX(0,($B$6+$B$10)-IF($B$1+16&gt;=$B$23,$B$22,0))*(1+$B$4)^16))*IF(R120+IF($B$1+16&lt;=$B120,12*($B$7-$B$10),-12*MAX(0,($B$6+$B$10)-IF($B$1+16&gt;=$B$23,$B$22,0))*(1+$B$4)^16)&gt;0,1+$B$3,1))</f>
        <v/>
      </c>
      <c r="T120">
        <f>IF($B$1+17&gt;90,S120,(S120+IF($B$1+17&lt;=$B120,12*($B$7-$B$10),-12*MAX(0,($B$6+$B$10)-IF($B$1+17&gt;=$B$23,$B$22,0))*(1+$B$4)^17))*IF(S120+IF($B$1+17&lt;=$B120,12*($B$7-$B$10),-12*MAX(0,($B$6+$B$10)-IF($B$1+17&gt;=$B$23,$B$22,0))*(1+$B$4)^17)&gt;0,1+$B$3,1))</f>
        <v/>
      </c>
      <c r="U120">
        <f>IF($B$1+18&gt;90,T120,(T120+IF($B$1+18&lt;=$B120,12*($B$7-$B$10),-12*MAX(0,($B$6+$B$10)-IF($B$1+18&gt;=$B$23,$B$22,0))*(1+$B$4)^18))*IF(T120+IF($B$1+18&lt;=$B120,12*($B$7-$B$10),-12*MAX(0,($B$6+$B$10)-IF($B$1+18&gt;=$B$23,$B$22,0))*(1+$B$4)^18)&gt;0,1+$B$3,1))</f>
        <v/>
      </c>
      <c r="V120">
        <f>IF($B$1+19&gt;90,U120,(U120+IF($B$1+19&lt;=$B120,12*($B$7-$B$10),-12*MAX(0,($B$6+$B$10)-IF($B$1+19&gt;=$B$23,$B$22,0))*(1+$B$4)^19))*IF(U120+IF($B$1+19&lt;=$B120,12*($B$7-$B$10),-12*MAX(0,($B$6+$B$10)-IF($B$1+19&gt;=$B$23,$B$22,0))*(1+$B$4)^19)&gt;0,1+$B$3,1))</f>
        <v/>
      </c>
      <c r="W120">
        <f>IF($B$1+20&gt;90,V120,(V120+IF($B$1+20&lt;=$B120,12*($B$7-$B$10),-12*MAX(0,($B$6+$B$10)-IF($B$1+20&gt;=$B$23,$B$22,0))*(1+$B$4)^20))*IF(V120+IF($B$1+20&lt;=$B120,12*($B$7-$B$10),-12*MAX(0,($B$6+$B$10)-IF($B$1+20&gt;=$B$23,$B$22,0))*(1+$B$4)^20)&gt;0,1+$B$3,1))</f>
        <v/>
      </c>
      <c r="X120">
        <f>IF($B$1+21&gt;90,W120,(W120+IF($B$1+21&lt;=$B120,12*($B$7-$B$10),-12*MAX(0,($B$6+$B$10)-IF($B$1+21&gt;=$B$23,$B$22,0))*(1+$B$4)^21))*IF(W120+IF($B$1+21&lt;=$B120,12*($B$7-$B$10),-12*MAX(0,($B$6+$B$10)-IF($B$1+21&gt;=$B$23,$B$22,0))*(1+$B$4)^21)&gt;0,1+$B$3,1))</f>
        <v/>
      </c>
      <c r="Y120">
        <f>IF($B$1+22&gt;90,X120,(X120+IF($B$1+22&lt;=$B120,12*($B$7-$B$10),-12*MAX(0,($B$6+$B$10)-IF($B$1+22&gt;=$B$23,$B$22,0))*(1+$B$4)^22))*IF(X120+IF($B$1+22&lt;=$B120,12*($B$7-$B$10),-12*MAX(0,($B$6+$B$10)-IF($B$1+22&gt;=$B$23,$B$22,0))*(1+$B$4)^22)&gt;0,1+$B$3,1))</f>
        <v/>
      </c>
      <c r="Z120">
        <f>IF($B$1+23&gt;90,Y120,(Y120+IF($B$1+23&lt;=$B120,12*($B$7-$B$10),-12*MAX(0,($B$6+$B$10)-IF($B$1+23&gt;=$B$23,$B$22,0))*(1+$B$4)^23))*IF(Y120+IF($B$1+23&lt;=$B120,12*($B$7-$B$10),-12*MAX(0,($B$6+$B$10)-IF($B$1+23&gt;=$B$23,$B$22,0))*(1+$B$4)^23)&gt;0,1+$B$3,1))</f>
        <v/>
      </c>
      <c r="AA120">
        <f>IF($B$1+24&gt;90,Z120,(Z120+IF($B$1+24&lt;=$B120,12*($B$7-$B$10),-12*MAX(0,($B$6+$B$10)-IF($B$1+24&gt;=$B$23,$B$22,0))*(1+$B$4)^24))*IF(Z120+IF($B$1+24&lt;=$B120,12*($B$7-$B$10),-12*MAX(0,($B$6+$B$10)-IF($B$1+24&gt;=$B$23,$B$22,0))*(1+$B$4)^24)&gt;0,1+$B$3,1))</f>
        <v/>
      </c>
      <c r="AB120">
        <f>IF($B$1+25&gt;90,AA120,(AA120+IF($B$1+25&lt;=$B120,12*($B$7-$B$10),-12*MAX(0,($B$6+$B$10)-IF($B$1+25&gt;=$B$23,$B$22,0))*(1+$B$4)^25))*IF(AA120+IF($B$1+25&lt;=$B120,12*($B$7-$B$10),-12*MAX(0,($B$6+$B$10)-IF($B$1+25&gt;=$B$23,$B$22,0))*(1+$B$4)^25)&gt;0,1+$B$3,1))</f>
        <v/>
      </c>
      <c r="AC120">
        <f>IF($B$1+26&gt;90,AB120,(AB120+IF($B$1+26&lt;=$B120,12*($B$7-$B$10),-12*MAX(0,($B$6+$B$10)-IF($B$1+26&gt;=$B$23,$B$22,0))*(1+$B$4)^26))*IF(AB120+IF($B$1+26&lt;=$B120,12*($B$7-$B$10),-12*MAX(0,($B$6+$B$10)-IF($B$1+26&gt;=$B$23,$B$22,0))*(1+$B$4)^26)&gt;0,1+$B$3,1))</f>
        <v/>
      </c>
      <c r="AD120">
        <f>IF($B$1+27&gt;90,AC120,(AC120+IF($B$1+27&lt;=$B120,12*($B$7-$B$10),-12*MAX(0,($B$6+$B$10)-IF($B$1+27&gt;=$B$23,$B$22,0))*(1+$B$4)^27))*IF(AC120+IF($B$1+27&lt;=$B120,12*($B$7-$B$10),-12*MAX(0,($B$6+$B$10)-IF($B$1+27&gt;=$B$23,$B$22,0))*(1+$B$4)^27)&gt;0,1+$B$3,1))</f>
        <v/>
      </c>
      <c r="AE120">
        <f>IF($B$1+28&gt;90,AD120,(AD120+IF($B$1+28&lt;=$B120,12*($B$7-$B$10),-12*MAX(0,($B$6+$B$10)-IF($B$1+28&gt;=$B$23,$B$22,0))*(1+$B$4)^28))*IF(AD120+IF($B$1+28&lt;=$B120,12*($B$7-$B$10),-12*MAX(0,($B$6+$B$10)-IF($B$1+28&gt;=$B$23,$B$22,0))*(1+$B$4)^28)&gt;0,1+$B$3,1))</f>
        <v/>
      </c>
      <c r="AF120">
        <f>IF($B$1+29&gt;90,AE120,(AE120+IF($B$1+29&lt;=$B120,12*($B$7-$B$10),-12*MAX(0,($B$6+$B$10)-IF($B$1+29&gt;=$B$23,$B$22,0))*(1+$B$4)^29))*IF(AE120+IF($B$1+29&lt;=$B120,12*($B$7-$B$10),-12*MAX(0,($B$6+$B$10)-IF($B$1+29&gt;=$B$23,$B$22,0))*(1+$B$4)^29)&gt;0,1+$B$3,1))</f>
        <v/>
      </c>
      <c r="AG120">
        <f>IF($B$1+30&gt;90,AF120,(AF120+IF($B$1+30&lt;=$B120,12*($B$7-$B$10),-12*MAX(0,($B$6+$B$10)-IF($B$1+30&gt;=$B$23,$B$22,0))*(1+$B$4)^30))*IF(AF120+IF($B$1+30&lt;=$B120,12*($B$7-$B$10),-12*MAX(0,($B$6+$B$10)-IF($B$1+30&gt;=$B$23,$B$22,0))*(1+$B$4)^30)&gt;0,1+$B$3,1))</f>
        <v/>
      </c>
      <c r="AH120">
        <f>IF($B$1+31&gt;90,AG120,(AG120+IF($B$1+31&lt;=$B120,12*($B$7-$B$10),-12*MAX(0,($B$6+$B$10)-IF($B$1+31&gt;=$B$23,$B$22,0))*(1+$B$4)^31))*IF(AG120+IF($B$1+31&lt;=$B120,12*($B$7-$B$10),-12*MAX(0,($B$6+$B$10)-IF($B$1+31&gt;=$B$23,$B$22,0))*(1+$B$4)^31)&gt;0,1+$B$3,1))</f>
        <v/>
      </c>
      <c r="AI120">
        <f>IF($B$1+32&gt;90,AH120,(AH120+IF($B$1+32&lt;=$B120,12*($B$7-$B$10),-12*MAX(0,($B$6+$B$10)-IF($B$1+32&gt;=$B$23,$B$22,0))*(1+$B$4)^32))*IF(AH120+IF($B$1+32&lt;=$B120,12*($B$7-$B$10),-12*MAX(0,($B$6+$B$10)-IF($B$1+32&gt;=$B$23,$B$22,0))*(1+$B$4)^32)&gt;0,1+$B$3,1))</f>
        <v/>
      </c>
      <c r="AJ120">
        <f>IF($B$1+33&gt;90,AI120,(AI120+IF($B$1+33&lt;=$B120,12*($B$7-$B$10),-12*MAX(0,($B$6+$B$10)-IF($B$1+33&gt;=$B$23,$B$22,0))*(1+$B$4)^33))*IF(AI120+IF($B$1+33&lt;=$B120,12*($B$7-$B$10),-12*MAX(0,($B$6+$B$10)-IF($B$1+33&gt;=$B$23,$B$22,0))*(1+$B$4)^33)&gt;0,1+$B$3,1))</f>
        <v/>
      </c>
      <c r="AK120">
        <f>IF($B$1+34&gt;90,AJ120,(AJ120+IF($B$1+34&lt;=$B120,12*($B$7-$B$10),-12*MAX(0,($B$6+$B$10)-IF($B$1+34&gt;=$B$23,$B$22,0))*(1+$B$4)^34))*IF(AJ120+IF($B$1+34&lt;=$B120,12*($B$7-$B$10),-12*MAX(0,($B$6+$B$10)-IF($B$1+34&gt;=$B$23,$B$22,0))*(1+$B$4)^34)&gt;0,1+$B$3,1))</f>
        <v/>
      </c>
      <c r="AL120">
        <f>IF($B$1+35&gt;90,AK120,(AK120+IF($B$1+35&lt;=$B120,12*($B$7-$B$10),-12*MAX(0,($B$6+$B$10)-IF($B$1+35&gt;=$B$23,$B$22,0))*(1+$B$4)^35))*IF(AK120+IF($B$1+35&lt;=$B120,12*($B$7-$B$10),-12*MAX(0,($B$6+$B$10)-IF($B$1+35&gt;=$B$23,$B$22,0))*(1+$B$4)^35)&gt;0,1+$B$3,1))</f>
        <v/>
      </c>
      <c r="AM120">
        <f>IF($B$1+36&gt;90,AL120,(AL120+IF($B$1+36&lt;=$B120,12*($B$7-$B$10),-12*MAX(0,($B$6+$B$10)-IF($B$1+36&gt;=$B$23,$B$22,0))*(1+$B$4)^36))*IF(AL120+IF($B$1+36&lt;=$B120,12*($B$7-$B$10),-12*MAX(0,($B$6+$B$10)-IF($B$1+36&gt;=$B$23,$B$22,0))*(1+$B$4)^36)&gt;0,1+$B$3,1))</f>
        <v/>
      </c>
      <c r="AN120">
        <f>IF($B$1+37&gt;90,AM120,(AM120+IF($B$1+37&lt;=$B120,12*($B$7-$B$10),-12*MAX(0,($B$6+$B$10)-IF($B$1+37&gt;=$B$23,$B$22,0))*(1+$B$4)^37))*IF(AM120+IF($B$1+37&lt;=$B120,12*($B$7-$B$10),-12*MAX(0,($B$6+$B$10)-IF($B$1+37&gt;=$B$23,$B$22,0))*(1+$B$4)^37)&gt;0,1+$B$3,1))</f>
        <v/>
      </c>
      <c r="AO120">
        <f>IF($B$1+38&gt;90,AN120,(AN120+IF($B$1+38&lt;=$B120,12*($B$7-$B$10),-12*MAX(0,($B$6+$B$10)-IF($B$1+38&gt;=$B$23,$B$22,0))*(1+$B$4)^38))*IF(AN120+IF($B$1+38&lt;=$B120,12*($B$7-$B$10),-12*MAX(0,($B$6+$B$10)-IF($B$1+38&gt;=$B$23,$B$22,0))*(1+$B$4)^38)&gt;0,1+$B$3,1))</f>
        <v/>
      </c>
      <c r="AP120">
        <f>IF($B$1+39&gt;90,AO120,(AO120+IF($B$1+39&lt;=$B120,12*($B$7-$B$10),-12*MAX(0,($B$6+$B$10)-IF($B$1+39&gt;=$B$23,$B$22,0))*(1+$B$4)^39))*IF(AO120+IF($B$1+39&lt;=$B120,12*($B$7-$B$10),-12*MAX(0,($B$6+$B$10)-IF($B$1+39&gt;=$B$23,$B$22,0))*(1+$B$4)^39)&gt;0,1+$B$3,1))</f>
        <v/>
      </c>
      <c r="AQ120">
        <f>IF($B$1+40&gt;90,AP120,(AP120+IF($B$1+40&lt;=$B120,12*($B$7-$B$10),-12*MAX(0,($B$6+$B$10)-IF($B$1+40&gt;=$B$23,$B$22,0))*(1+$B$4)^40))*IF(AP120+IF($B$1+40&lt;=$B120,12*($B$7-$B$10),-12*MAX(0,($B$6+$B$10)-IF($B$1+40&gt;=$B$23,$B$22,0))*(1+$B$4)^40)&gt;0,1+$B$3,1))</f>
        <v/>
      </c>
      <c r="AR120">
        <f>IF($B$1+41&gt;90,AQ120,(AQ120+IF($B$1+41&lt;=$B120,12*($B$7-$B$10),-12*MAX(0,($B$6+$B$10)-IF($B$1+41&gt;=$B$23,$B$22,0))*(1+$B$4)^41))*IF(AQ120+IF($B$1+41&lt;=$B120,12*($B$7-$B$10),-12*MAX(0,($B$6+$B$10)-IF($B$1+41&gt;=$B$23,$B$22,0))*(1+$B$4)^41)&gt;0,1+$B$3,1))</f>
        <v/>
      </c>
      <c r="AS120">
        <f>IF($B$1+42&gt;90,AR120,(AR120+IF($B$1+42&lt;=$B120,12*($B$7-$B$10),-12*MAX(0,($B$6+$B$10)-IF($B$1+42&gt;=$B$23,$B$22,0))*(1+$B$4)^42))*IF(AR120+IF($B$1+42&lt;=$B120,12*($B$7-$B$10),-12*MAX(0,($B$6+$B$10)-IF($B$1+42&gt;=$B$23,$B$22,0))*(1+$B$4)^42)&gt;0,1+$B$3,1))</f>
        <v/>
      </c>
      <c r="AT120">
        <f>IF($B$1+43&gt;90,AS120,(AS120+IF($B$1+43&lt;=$B120,12*($B$7-$B$10),-12*MAX(0,($B$6+$B$10)-IF($B$1+43&gt;=$B$23,$B$22,0))*(1+$B$4)^43))*IF(AS120+IF($B$1+43&lt;=$B120,12*($B$7-$B$10),-12*MAX(0,($B$6+$B$10)-IF($B$1+43&gt;=$B$23,$B$22,0))*(1+$B$4)^43)&gt;0,1+$B$3,1))</f>
        <v/>
      </c>
      <c r="AU120">
        <f>IF($B$1+44&gt;90,AT120,(AT120+IF($B$1+44&lt;=$B120,12*($B$7-$B$10),-12*MAX(0,($B$6+$B$10)-IF($B$1+44&gt;=$B$23,$B$22,0))*(1+$B$4)^44))*IF(AT120+IF($B$1+44&lt;=$B120,12*($B$7-$B$10),-12*MAX(0,($B$6+$B$10)-IF($B$1+44&gt;=$B$23,$B$22,0))*(1+$B$4)^44)&gt;0,1+$B$3,1))</f>
        <v/>
      </c>
      <c r="AV120">
        <f>IF($B$1+45&gt;90,AU120,(AU120+IF($B$1+45&lt;=$B120,12*($B$7-$B$10),-12*MAX(0,($B$6+$B$10)-IF($B$1+45&gt;=$B$23,$B$22,0))*(1+$B$4)^45))*IF(AU120+IF($B$1+45&lt;=$B120,12*($B$7-$B$10),-12*MAX(0,($B$6+$B$10)-IF($B$1+45&gt;=$B$23,$B$22,0))*(1+$B$4)^45)&gt;0,1+$B$3,1))</f>
        <v/>
      </c>
      <c r="AW120">
        <f>IF($B$1+46&gt;90,AV120,(AV120+IF($B$1+46&lt;=$B120,12*($B$7-$B$10),-12*MAX(0,($B$6+$B$10)-IF($B$1+46&gt;=$B$23,$B$22,0))*(1+$B$4)^46))*IF(AV120+IF($B$1+46&lt;=$B120,12*($B$7-$B$10),-12*MAX(0,($B$6+$B$10)-IF($B$1+46&gt;=$B$23,$B$22,0))*(1+$B$4)^46)&gt;0,1+$B$3,1))</f>
        <v/>
      </c>
      <c r="AX120">
        <f>IF($B$1+47&gt;90,AW120,(AW120+IF($B$1+47&lt;=$B120,12*($B$7-$B$10),-12*MAX(0,($B$6+$B$10)-IF($B$1+47&gt;=$B$23,$B$22,0))*(1+$B$4)^47))*IF(AW120+IF($B$1+47&lt;=$B120,12*($B$7-$B$10),-12*MAX(0,($B$6+$B$10)-IF($B$1+47&gt;=$B$23,$B$22,0))*(1+$B$4)^47)&gt;0,1+$B$3,1))</f>
        <v/>
      </c>
      <c r="AY120">
        <f>IF($B$1+48&gt;90,AX120,(AX120+IF($B$1+48&lt;=$B120,12*($B$7-$B$10),-12*MAX(0,($B$6+$B$10)-IF($B$1+48&gt;=$B$23,$B$22,0))*(1+$B$4)^48))*IF(AX120+IF($B$1+48&lt;=$B120,12*($B$7-$B$10),-12*MAX(0,($B$6+$B$10)-IF($B$1+48&gt;=$B$23,$B$22,0))*(1+$B$4)^48)&gt;0,1+$B$3,1))</f>
        <v/>
      </c>
      <c r="AZ120">
        <f>IF($B$1+49&gt;90,AY120,(AY120+IF($B$1+49&lt;=$B120,12*($B$7-$B$10),-12*MAX(0,($B$6+$B$10)-IF($B$1+49&gt;=$B$23,$B$22,0))*(1+$B$4)^49))*IF(AY120+IF($B$1+49&lt;=$B120,12*($B$7-$B$10),-12*MAX(0,($B$6+$B$10)-IF($B$1+49&gt;=$B$23,$B$22,0))*(1+$B$4)^49)&gt;0,1+$B$3,1))</f>
        <v/>
      </c>
      <c r="BA120">
        <f>IF($B$1+50&gt;90,AZ120,(AZ120+IF($B$1+50&lt;=$B120,12*($B$7-$B$10),-12*MAX(0,($B$6+$B$10)-IF($B$1+50&gt;=$B$23,$B$22,0))*(1+$B$4)^50))*IF(AZ120+IF($B$1+50&lt;=$B120,12*($B$7-$B$10),-12*MAX(0,($B$6+$B$10)-IF($B$1+50&gt;=$B$23,$B$22,0))*(1+$B$4)^50)&gt;0,1+$B$3,1))</f>
        <v/>
      </c>
      <c r="BB120">
        <f>IF($B$1+51&gt;90,BA120,(BA120+IF($B$1+51&lt;=$B120,12*($B$7-$B$10),-12*MAX(0,($B$6+$B$10)-IF($B$1+51&gt;=$B$23,$B$22,0))*(1+$B$4)^51))*IF(BA120+IF($B$1+51&lt;=$B120,12*($B$7-$B$10),-12*MAX(0,($B$6+$B$10)-IF($B$1+51&gt;=$B$23,$B$22,0))*(1+$B$4)^51)&gt;0,1+$B$3,1))</f>
        <v/>
      </c>
      <c r="BC120">
        <f>IF($B$1+52&gt;90,BB120,(BB120+IF($B$1+52&lt;=$B120,12*($B$7-$B$10),-12*MAX(0,($B$6+$B$10)-IF($B$1+52&gt;=$B$23,$B$22,0))*(1+$B$4)^52))*IF(BB120+IF($B$1+52&lt;=$B120,12*($B$7-$B$10),-12*MAX(0,($B$6+$B$10)-IF($B$1+52&gt;=$B$23,$B$22,0))*(1+$B$4)^52)&gt;0,1+$B$3,1))</f>
        <v/>
      </c>
      <c r="BD120">
        <f>IF($B$1+53&gt;90,BC120,(BC120+IF($B$1+53&lt;=$B120,12*($B$7-$B$10),-12*MAX(0,($B$6+$B$10)-IF($B$1+53&gt;=$B$23,$B$22,0))*(1+$B$4)^53))*IF(BC120+IF($B$1+53&lt;=$B120,12*($B$7-$B$10),-12*MAX(0,($B$6+$B$10)-IF($B$1+53&gt;=$B$23,$B$22,0))*(1+$B$4)^53)&gt;0,1+$B$3,1))</f>
        <v/>
      </c>
      <c r="BE120">
        <f>IF($B$1+54&gt;90,BD120,(BD120+IF($B$1+54&lt;=$B120,12*($B$7-$B$10),-12*MAX(0,($B$6+$B$10)-IF($B$1+54&gt;=$B$23,$B$22,0))*(1+$B$4)^54))*IF(BD120+IF($B$1+54&lt;=$B120,12*($B$7-$B$10),-12*MAX(0,($B$6+$B$10)-IF($B$1+54&gt;=$B$23,$B$22,0))*(1+$B$4)^54)&gt;0,1+$B$3,1))</f>
        <v/>
      </c>
      <c r="BF120">
        <f>IF($B$1+55&gt;90,BE120,(BE120+IF($B$1+55&lt;=$B120,12*($B$7-$B$10),-12*MAX(0,($B$6+$B$10)-IF($B$1+55&gt;=$B$23,$B$22,0))*(1+$B$4)^55))*IF(BE120+IF($B$1+55&lt;=$B120,12*($B$7-$B$10),-12*MAX(0,($B$6+$B$10)-IF($B$1+55&gt;=$B$23,$B$22,0))*(1+$B$4)^55)&gt;0,1+$B$3,1))</f>
        <v/>
      </c>
      <c r="BG120">
        <f>IF($B$1+56&gt;90,BF120,(BF120+IF($B$1+56&lt;=$B120,12*($B$7-$B$10),-12*MAX(0,($B$6+$B$10)-IF($B$1+56&gt;=$B$23,$B$22,0))*(1+$B$4)^56))*IF(BF120+IF($B$1+56&lt;=$B120,12*($B$7-$B$10),-12*MAX(0,($B$6+$B$10)-IF($B$1+56&gt;=$B$23,$B$22,0))*(1+$B$4)^56)&gt;0,1+$B$3,1))</f>
        <v/>
      </c>
      <c r="BH120">
        <f>IF($B$1+57&gt;90,BG120,(BG120+IF($B$1+57&lt;=$B120,12*($B$7-$B$10),-12*MAX(0,($B$6+$B$10)-IF($B$1+57&gt;=$B$23,$B$22,0))*(1+$B$4)^57))*IF(BG120+IF($B$1+57&lt;=$B120,12*($B$7-$B$10),-12*MAX(0,($B$6+$B$10)-IF($B$1+57&gt;=$B$23,$B$22,0))*(1+$B$4)^57)&gt;0,1+$B$3,1))</f>
        <v/>
      </c>
      <c r="BI120">
        <f>IF($B$1+58&gt;90,BH120,(BH120+IF($B$1+58&lt;=$B120,12*($B$7-$B$10),-12*MAX(0,($B$6+$B$10)-IF($B$1+58&gt;=$B$23,$B$22,0))*(1+$B$4)^58))*IF(BH120+IF($B$1+58&lt;=$B120,12*($B$7-$B$10),-12*MAX(0,($B$6+$B$10)-IF($B$1+58&gt;=$B$23,$B$22,0))*(1+$B$4)^58)&gt;0,1+$B$3,1))</f>
        <v/>
      </c>
      <c r="BJ120">
        <f>IF($B$1+59&gt;90,BI120,(BI120+IF($B$1+59&lt;=$B120,12*($B$7-$B$10),-12*MAX(0,($B$6+$B$10)-IF($B$1+59&gt;=$B$23,$B$22,0))*(1+$B$4)^59))*IF(BI120+IF($B$1+59&lt;=$B120,12*($B$7-$B$10),-12*MAX(0,($B$6+$B$10)-IF($B$1+59&gt;=$B$23,$B$22,0))*(1+$B$4)^59)&gt;0,1+$B$3,1))</f>
        <v/>
      </c>
      <c r="BK120">
        <f>IF($B$1+60&gt;90,BJ120,(BJ120+IF($B$1+60&lt;=$B120,12*($B$7-$B$10),-12*MAX(0,($B$6+$B$10)-IF($B$1+60&gt;=$B$23,$B$22,0))*(1+$B$4)^60))*IF(BJ120+IF($B$1+60&lt;=$B120,12*($B$7-$B$10),-12*MAX(0,($B$6+$B$10)-IF($B$1+60&gt;=$B$23,$B$22,0))*(1+$B$4)^60)&gt;0,1+$B$3,1))</f>
        <v/>
      </c>
      <c r="BL120">
        <f>IF($B$1+61&gt;90,BK120,(BK120+IF($B$1+61&lt;=$B120,12*($B$7-$B$10),-12*MAX(0,($B$6+$B$10)-IF($B$1+61&gt;=$B$23,$B$22,0))*(1+$B$4)^61))*IF(BK120+IF($B$1+61&lt;=$B120,12*($B$7-$B$10),-12*MAX(0,($B$6+$B$10)-IF($B$1+61&gt;=$B$23,$B$22,0))*(1+$B$4)^61)&gt;0,1+$B$3,1))</f>
        <v/>
      </c>
      <c r="BM120">
        <f>IF($B$1+62&gt;90,BL120,(BL120+IF($B$1+62&lt;=$B120,12*($B$7-$B$10),-12*MAX(0,($B$6+$B$10)-IF($B$1+62&gt;=$B$23,$B$22,0))*(1+$B$4)^62))*IF(BL120+IF($B$1+62&lt;=$B120,12*($B$7-$B$10),-12*MAX(0,($B$6+$B$10)-IF($B$1+62&gt;=$B$23,$B$22,0))*(1+$B$4)^62)&gt;0,1+$B$3,1))</f>
        <v/>
      </c>
      <c r="BN120">
        <f>IF($B$1+63&gt;90,BM120,(BM120+IF($B$1+63&lt;=$B120,12*($B$7-$B$10),-12*MAX(0,($B$6+$B$10)-IF($B$1+63&gt;=$B$23,$B$22,0))*(1+$B$4)^63))*IF(BM120+IF($B$1+63&lt;=$B120,12*($B$7-$B$10),-12*MAX(0,($B$6+$B$10)-IF($B$1+63&gt;=$B$23,$B$22,0))*(1+$B$4)^63)&gt;0,1+$B$3,1))</f>
        <v/>
      </c>
      <c r="BO120">
        <f>IF($B$1+64&gt;90,BN120,(BN120+IF($B$1+64&lt;=$B120,12*($B$7-$B$10),-12*MAX(0,($B$6+$B$10)-IF($B$1+64&gt;=$B$23,$B$22,0))*(1+$B$4)^64))*IF(BN120+IF($B$1+64&lt;=$B120,12*($B$7-$B$10),-12*MAX(0,($B$6+$B$10)-IF($B$1+64&gt;=$B$23,$B$22,0))*(1+$B$4)^64)&gt;0,1+$B$3,1))</f>
        <v/>
      </c>
      <c r="BP120">
        <f>IF($B$1+65&gt;90,BO120,(BO120+IF($B$1+65&lt;=$B120,12*($B$7-$B$10),-12*MAX(0,($B$6+$B$10)-IF($B$1+65&gt;=$B$23,$B$22,0))*(1+$B$4)^65))*IF(BO120+IF($B$1+65&lt;=$B120,12*($B$7-$B$10),-12*MAX(0,($B$6+$B$10)-IF($B$1+65&gt;=$B$23,$B$22,0))*(1+$B$4)^65)&gt;0,1+$B$3,1))</f>
        <v/>
      </c>
      <c r="BQ120">
        <f>IF($B$1+66&gt;90,BP120,(BP120+IF($B$1+66&lt;=$B120,12*($B$7-$B$10),-12*MAX(0,($B$6+$B$10)-IF($B$1+66&gt;=$B$23,$B$22,0))*(1+$B$4)^66))*IF(BP120+IF($B$1+66&lt;=$B120,12*($B$7-$B$10),-12*MAX(0,($B$6+$B$10)-IF($B$1+66&gt;=$B$23,$B$22,0))*(1+$B$4)^66)&gt;0,1+$B$3,1))</f>
        <v/>
      </c>
      <c r="BR120">
        <f>IF($B$1+67&gt;90,BQ120,(BQ120+IF($B$1+67&lt;=$B120,12*($B$7-$B$10),-12*MAX(0,($B$6+$B$10)-IF($B$1+67&gt;=$B$23,$B$22,0))*(1+$B$4)^67))*IF(BQ120+IF($B$1+67&lt;=$B120,12*($B$7-$B$10),-12*MAX(0,($B$6+$B$10)-IF($B$1+67&gt;=$B$23,$B$22,0))*(1+$B$4)^67)&gt;0,1+$B$3,1))</f>
        <v/>
      </c>
      <c r="BS120">
        <f>IF($B$1+68&gt;90,BR120,(BR120+IF($B$1+68&lt;=$B120,12*($B$7-$B$10),-12*MAX(0,($B$6+$B$10)-IF($B$1+68&gt;=$B$23,$B$22,0))*(1+$B$4)^68))*IF(BR120+IF($B$1+68&lt;=$B120,12*($B$7-$B$10),-12*MAX(0,($B$6+$B$10)-IF($B$1+68&gt;=$B$23,$B$22,0))*(1+$B$4)^68)&gt;0,1+$B$3,1))</f>
        <v/>
      </c>
      <c r="BT120">
        <f>IF($B$1+69&gt;90,BS120,(BS120+IF($B$1+69&lt;=$B120,12*($B$7-$B$10),-12*MAX(0,($B$6+$B$10)-IF($B$1+69&gt;=$B$23,$B$22,0))*(1+$B$4)^69))*IF(BS120+IF($B$1+69&lt;=$B120,12*($B$7-$B$10),-12*MAX(0,($B$6+$B$10)-IF($B$1+69&gt;=$B$23,$B$22,0))*(1+$B$4)^69)&gt;0,1+$B$3,1))</f>
        <v/>
      </c>
      <c r="BU120">
        <f>IF($B$1+70&gt;90,BT120,(BT120+IF($B$1+70&lt;=$B120,12*($B$7-$B$10),-12*MAX(0,($B$6+$B$10)-IF($B$1+70&gt;=$B$23,$B$22,0))*(1+$B$4)^70))*IF(BT120+IF($B$1+70&lt;=$B120,12*($B$7-$B$10),-12*MAX(0,($B$6+$B$10)-IF($B$1+70&gt;=$B$23,$B$22,0))*(1+$B$4)^70)&gt;0,1+$B$3,1))</f>
        <v/>
      </c>
      <c r="BV120">
        <f>BU120</f>
        <v/>
      </c>
      <c r="BW120">
        <f>IF(AND($B120&lt;=70,BV120&gt;0),$B120,999)</f>
        <v/>
      </c>
      <c r="CH120">
        <f>IF(ISTEXT('월 가계부'!A120),SUBSTITUTE(SUBSTITUTE(SUBSTITUTE(SUBSTITUTE(SUBSTITUTE(SUBSTITUTE(SUBSTITUTE(SUBSTITUTE(SUBSTITUTE(TRIM('월 가계부'!A120),"년","-"),"월","-"),"일",""),".","-"),"/","-")," ","-"),"--","-"),"--","-"),"--","-")&amp;"-","")</f>
        <v/>
      </c>
      <c r="CI120">
        <f>IFERROR(IF('월 가계부'!A120="","",IF(ISNUMBER('월 가계부'!A120),IF(AND('월 가계부'!A120&gt;=19000101,'월 가계부'!A120&lt;=21001231),IF(AND(MOD(INT('월 가계부'!A120/100),100)&gt;=1,MOD(INT('월 가계부'!A120/100),100)&lt;=12,MOD(INT('월 가계부'!A120),100)&gt;=1,MOD(INT('월 가계부'!A120),100)&lt;=31),IF(MONTH(DATE(INT('월 가계부'!A120/10000),MOD(INT('월 가계부'!A120/100),100),MOD(INT('월 가계부'!A120),100)))=MOD(INT('월 가계부'!A120/100),100),DATE(INT('월 가계부'!A120/10000),MOD(INT('월 가계부'!A120/100),100),MOD(INT('월 가계부'!A120),100)),""),""),IF(AND('월 가계부'!A120&gt;=36526,'월 가계부'!A120&lt;73051),INT('월 가계부'!A120),"")),IF(OR(CM120="",CN120="",CO120=""),"",IF(AND(CM120&gt;=2000,CM120&lt;=2099,CN120&gt;=1,CN120&lt;=12,CO120&gt;=1,CO120&lt;=31),IF(MONTH(DATE(CM120,CN120,CO120))=CN120,DATE(CM120,CN120,CO120),""),"")))),"")</f>
        <v/>
      </c>
      <c r="CJ120">
        <f>IFERROR(IF('월 가계부'!C120="","",IF(ISNUMBER('월 가계부'!C120),'월 가계부'!C120,VALUE(SUBSTITUTE(SUBSTITUTE(SUBSTITUTE(SUBSTITUTE(TRIM('월 가계부'!C120),",",""),"원","")," ",""),"−","-")))),"")</f>
        <v/>
      </c>
      <c r="CK120">
        <f>IF(ISNUMBER(CI120),IF(CI120&lt;$B$13,CI120,""),"")</f>
        <v/>
      </c>
      <c r="CM120">
        <f>IF(CH120="","",IFERROR(IF(IF(AND(LEN(CH120)=9,ISERROR(FIND("-",LEFT(CH120,8))),ISNUMBER(-LEFT(CH120,8))),VALUE(LEFT(CH120,4)),VALUE(LEFT(CH120,FIND("-",CH120)-1)))&lt;100,IF(AND(LEN(CH120)=9,ISERROR(FIND("-",LEFT(CH120,8))),ISNUMBER(-LEFT(CH120,8))),VALUE(LEFT(CH120,4)),VALUE(LEFT(CH120,FIND("-",CH120)-1)))+2000,IF(AND(LEN(CH120)=9,ISERROR(FIND("-",LEFT(CH120,8))),ISNUMBER(-LEFT(CH120,8))),VALUE(LEFT(CH120,4)),VALUE(LEFT(CH120,FIND("-",CH120)-1)))),""))</f>
        <v/>
      </c>
      <c r="CN120">
        <f>IF(CH120="","",IFERROR(IF(AND(LEN(CH120)=9,ISERROR(FIND("-",LEFT(CH120,8))),ISNUMBER(-LEFT(CH120,8))),VALUE(MID(CH120,5,2)),VALUE(MID(CH120,FIND("-",CH120)+1,FIND("-",CH120,FIND("-",CH120)+1)-FIND("-",CH120)-1))),""))</f>
        <v/>
      </c>
      <c r="CO120">
        <f>IF(CH120="","",IFERROR(IF(AND(LEN(CH120)=9,ISERROR(FIND("-",LEFT(CH120,8))),ISNUMBER(-LEFT(CH120,8))),VALUE(MID(CH120,7,2)),VALUE(MID(CH120,FIND("-",CH120,FIND("-",CH120)+1)+1,FIND("-",CH120,FIND("-",CH120,FIND("-",CH120)+1)+1)-FIND("-",CH120,FIND("-",CH120)+1)-1))),""))</f>
        <v/>
      </c>
    </row>
    <row r="121">
      <c r="A121" t="n">
        <v>25</v>
      </c>
      <c r="B121">
        <f>$B$1+25</f>
        <v/>
      </c>
      <c r="C121">
        <f>$B$2</f>
        <v/>
      </c>
      <c r="D121">
        <f>IF($B$1+1&gt;90,C121,(C121+IF($B$1+1&lt;=$B121,12*($B$7-$B$10),-12*MAX(0,($B$6+$B$10)-IF($B$1+1&gt;=$B$23,$B$22,0))*(1+$B$4)^1))*IF(C121+IF($B$1+1&lt;=$B121,12*($B$7-$B$10),-12*MAX(0,($B$6+$B$10)-IF($B$1+1&gt;=$B$23,$B$22,0))*(1+$B$4)^1)&gt;0,1+$B$3,1))</f>
        <v/>
      </c>
      <c r="E121">
        <f>IF($B$1+2&gt;90,D121,(D121+IF($B$1+2&lt;=$B121,12*($B$7-$B$10),-12*MAX(0,($B$6+$B$10)-IF($B$1+2&gt;=$B$23,$B$22,0))*(1+$B$4)^2))*IF(D121+IF($B$1+2&lt;=$B121,12*($B$7-$B$10),-12*MAX(0,($B$6+$B$10)-IF($B$1+2&gt;=$B$23,$B$22,0))*(1+$B$4)^2)&gt;0,1+$B$3,1))</f>
        <v/>
      </c>
      <c r="F121">
        <f>IF($B$1+3&gt;90,E121,(E121+IF($B$1+3&lt;=$B121,12*($B$7-$B$10),-12*MAX(0,($B$6+$B$10)-IF($B$1+3&gt;=$B$23,$B$22,0))*(1+$B$4)^3))*IF(E121+IF($B$1+3&lt;=$B121,12*($B$7-$B$10),-12*MAX(0,($B$6+$B$10)-IF($B$1+3&gt;=$B$23,$B$22,0))*(1+$B$4)^3)&gt;0,1+$B$3,1))</f>
        <v/>
      </c>
      <c r="G121">
        <f>IF($B$1+4&gt;90,F121,(F121+IF($B$1+4&lt;=$B121,12*($B$7-$B$10),-12*MAX(0,($B$6+$B$10)-IF($B$1+4&gt;=$B$23,$B$22,0))*(1+$B$4)^4))*IF(F121+IF($B$1+4&lt;=$B121,12*($B$7-$B$10),-12*MAX(0,($B$6+$B$10)-IF($B$1+4&gt;=$B$23,$B$22,0))*(1+$B$4)^4)&gt;0,1+$B$3,1))</f>
        <v/>
      </c>
      <c r="H121">
        <f>IF($B$1+5&gt;90,G121,(G121+IF($B$1+5&lt;=$B121,12*($B$7-$B$10),-12*MAX(0,($B$6+$B$10)-IF($B$1+5&gt;=$B$23,$B$22,0))*(1+$B$4)^5))*IF(G121+IF($B$1+5&lt;=$B121,12*($B$7-$B$10),-12*MAX(0,($B$6+$B$10)-IF($B$1+5&gt;=$B$23,$B$22,0))*(1+$B$4)^5)&gt;0,1+$B$3,1))</f>
        <v/>
      </c>
      <c r="I121">
        <f>IF($B$1+6&gt;90,H121,(H121+IF($B$1+6&lt;=$B121,12*($B$7-$B$10),-12*MAX(0,($B$6+$B$10)-IF($B$1+6&gt;=$B$23,$B$22,0))*(1+$B$4)^6))*IF(H121+IF($B$1+6&lt;=$B121,12*($B$7-$B$10),-12*MAX(0,($B$6+$B$10)-IF($B$1+6&gt;=$B$23,$B$22,0))*(1+$B$4)^6)&gt;0,1+$B$3,1))</f>
        <v/>
      </c>
      <c r="J121">
        <f>IF($B$1+7&gt;90,I121,(I121+IF($B$1+7&lt;=$B121,12*($B$7-$B$10),-12*MAX(0,($B$6+$B$10)-IF($B$1+7&gt;=$B$23,$B$22,0))*(1+$B$4)^7))*IF(I121+IF($B$1+7&lt;=$B121,12*($B$7-$B$10),-12*MAX(0,($B$6+$B$10)-IF($B$1+7&gt;=$B$23,$B$22,0))*(1+$B$4)^7)&gt;0,1+$B$3,1))</f>
        <v/>
      </c>
      <c r="K121">
        <f>IF($B$1+8&gt;90,J121,(J121+IF($B$1+8&lt;=$B121,12*($B$7-$B$10),-12*MAX(0,($B$6+$B$10)-IF($B$1+8&gt;=$B$23,$B$22,0))*(1+$B$4)^8))*IF(J121+IF($B$1+8&lt;=$B121,12*($B$7-$B$10),-12*MAX(0,($B$6+$B$10)-IF($B$1+8&gt;=$B$23,$B$22,0))*(1+$B$4)^8)&gt;0,1+$B$3,1))</f>
        <v/>
      </c>
      <c r="L121">
        <f>IF($B$1+9&gt;90,K121,(K121+IF($B$1+9&lt;=$B121,12*($B$7-$B$10),-12*MAX(0,($B$6+$B$10)-IF($B$1+9&gt;=$B$23,$B$22,0))*(1+$B$4)^9))*IF(K121+IF($B$1+9&lt;=$B121,12*($B$7-$B$10),-12*MAX(0,($B$6+$B$10)-IF($B$1+9&gt;=$B$23,$B$22,0))*(1+$B$4)^9)&gt;0,1+$B$3,1))</f>
        <v/>
      </c>
      <c r="M121">
        <f>IF($B$1+10&gt;90,L121,(L121+IF($B$1+10&lt;=$B121,12*($B$7-$B$10),-12*MAX(0,($B$6+$B$10)-IF($B$1+10&gt;=$B$23,$B$22,0))*(1+$B$4)^10))*IF(L121+IF($B$1+10&lt;=$B121,12*($B$7-$B$10),-12*MAX(0,($B$6+$B$10)-IF($B$1+10&gt;=$B$23,$B$22,0))*(1+$B$4)^10)&gt;0,1+$B$3,1))</f>
        <v/>
      </c>
      <c r="N121">
        <f>IF($B$1+11&gt;90,M121,(M121+IF($B$1+11&lt;=$B121,12*($B$7-$B$10),-12*MAX(0,($B$6+$B$10)-IF($B$1+11&gt;=$B$23,$B$22,0))*(1+$B$4)^11))*IF(M121+IF($B$1+11&lt;=$B121,12*($B$7-$B$10),-12*MAX(0,($B$6+$B$10)-IF($B$1+11&gt;=$B$23,$B$22,0))*(1+$B$4)^11)&gt;0,1+$B$3,1))</f>
        <v/>
      </c>
      <c r="O121">
        <f>IF($B$1+12&gt;90,N121,(N121+IF($B$1+12&lt;=$B121,12*($B$7-$B$10),-12*MAX(0,($B$6+$B$10)-IF($B$1+12&gt;=$B$23,$B$22,0))*(1+$B$4)^12))*IF(N121+IF($B$1+12&lt;=$B121,12*($B$7-$B$10),-12*MAX(0,($B$6+$B$10)-IF($B$1+12&gt;=$B$23,$B$22,0))*(1+$B$4)^12)&gt;0,1+$B$3,1))</f>
        <v/>
      </c>
      <c r="P121">
        <f>IF($B$1+13&gt;90,O121,(O121+IF($B$1+13&lt;=$B121,12*($B$7-$B$10),-12*MAX(0,($B$6+$B$10)-IF($B$1+13&gt;=$B$23,$B$22,0))*(1+$B$4)^13))*IF(O121+IF($B$1+13&lt;=$B121,12*($B$7-$B$10),-12*MAX(0,($B$6+$B$10)-IF($B$1+13&gt;=$B$23,$B$22,0))*(1+$B$4)^13)&gt;0,1+$B$3,1))</f>
        <v/>
      </c>
      <c r="Q121">
        <f>IF($B$1+14&gt;90,P121,(P121+IF($B$1+14&lt;=$B121,12*($B$7-$B$10),-12*MAX(0,($B$6+$B$10)-IF($B$1+14&gt;=$B$23,$B$22,0))*(1+$B$4)^14))*IF(P121+IF($B$1+14&lt;=$B121,12*($B$7-$B$10),-12*MAX(0,($B$6+$B$10)-IF($B$1+14&gt;=$B$23,$B$22,0))*(1+$B$4)^14)&gt;0,1+$B$3,1))</f>
        <v/>
      </c>
      <c r="R121">
        <f>IF($B$1+15&gt;90,Q121,(Q121+IF($B$1+15&lt;=$B121,12*($B$7-$B$10),-12*MAX(0,($B$6+$B$10)-IF($B$1+15&gt;=$B$23,$B$22,0))*(1+$B$4)^15))*IF(Q121+IF($B$1+15&lt;=$B121,12*($B$7-$B$10),-12*MAX(0,($B$6+$B$10)-IF($B$1+15&gt;=$B$23,$B$22,0))*(1+$B$4)^15)&gt;0,1+$B$3,1))</f>
        <v/>
      </c>
      <c r="S121">
        <f>IF($B$1+16&gt;90,R121,(R121+IF($B$1+16&lt;=$B121,12*($B$7-$B$10),-12*MAX(0,($B$6+$B$10)-IF($B$1+16&gt;=$B$23,$B$22,0))*(1+$B$4)^16))*IF(R121+IF($B$1+16&lt;=$B121,12*($B$7-$B$10),-12*MAX(0,($B$6+$B$10)-IF($B$1+16&gt;=$B$23,$B$22,0))*(1+$B$4)^16)&gt;0,1+$B$3,1))</f>
        <v/>
      </c>
      <c r="T121">
        <f>IF($B$1+17&gt;90,S121,(S121+IF($B$1+17&lt;=$B121,12*($B$7-$B$10),-12*MAX(0,($B$6+$B$10)-IF($B$1+17&gt;=$B$23,$B$22,0))*(1+$B$4)^17))*IF(S121+IF($B$1+17&lt;=$B121,12*($B$7-$B$10),-12*MAX(0,($B$6+$B$10)-IF($B$1+17&gt;=$B$23,$B$22,0))*(1+$B$4)^17)&gt;0,1+$B$3,1))</f>
        <v/>
      </c>
      <c r="U121">
        <f>IF($B$1+18&gt;90,T121,(T121+IF($B$1+18&lt;=$B121,12*($B$7-$B$10),-12*MAX(0,($B$6+$B$10)-IF($B$1+18&gt;=$B$23,$B$22,0))*(1+$B$4)^18))*IF(T121+IF($B$1+18&lt;=$B121,12*($B$7-$B$10),-12*MAX(0,($B$6+$B$10)-IF($B$1+18&gt;=$B$23,$B$22,0))*(1+$B$4)^18)&gt;0,1+$B$3,1))</f>
        <v/>
      </c>
      <c r="V121">
        <f>IF($B$1+19&gt;90,U121,(U121+IF($B$1+19&lt;=$B121,12*($B$7-$B$10),-12*MAX(0,($B$6+$B$10)-IF($B$1+19&gt;=$B$23,$B$22,0))*(1+$B$4)^19))*IF(U121+IF($B$1+19&lt;=$B121,12*($B$7-$B$10),-12*MAX(0,($B$6+$B$10)-IF($B$1+19&gt;=$B$23,$B$22,0))*(1+$B$4)^19)&gt;0,1+$B$3,1))</f>
        <v/>
      </c>
      <c r="W121">
        <f>IF($B$1+20&gt;90,V121,(V121+IF($B$1+20&lt;=$B121,12*($B$7-$B$10),-12*MAX(0,($B$6+$B$10)-IF($B$1+20&gt;=$B$23,$B$22,0))*(1+$B$4)^20))*IF(V121+IF($B$1+20&lt;=$B121,12*($B$7-$B$10),-12*MAX(0,($B$6+$B$10)-IF($B$1+20&gt;=$B$23,$B$22,0))*(1+$B$4)^20)&gt;0,1+$B$3,1))</f>
        <v/>
      </c>
      <c r="X121">
        <f>IF($B$1+21&gt;90,W121,(W121+IF($B$1+21&lt;=$B121,12*($B$7-$B$10),-12*MAX(0,($B$6+$B$10)-IF($B$1+21&gt;=$B$23,$B$22,0))*(1+$B$4)^21))*IF(W121+IF($B$1+21&lt;=$B121,12*($B$7-$B$10),-12*MAX(0,($B$6+$B$10)-IF($B$1+21&gt;=$B$23,$B$22,0))*(1+$B$4)^21)&gt;0,1+$B$3,1))</f>
        <v/>
      </c>
      <c r="Y121">
        <f>IF($B$1+22&gt;90,X121,(X121+IF($B$1+22&lt;=$B121,12*($B$7-$B$10),-12*MAX(0,($B$6+$B$10)-IF($B$1+22&gt;=$B$23,$B$22,0))*(1+$B$4)^22))*IF(X121+IF($B$1+22&lt;=$B121,12*($B$7-$B$10),-12*MAX(0,($B$6+$B$10)-IF($B$1+22&gt;=$B$23,$B$22,0))*(1+$B$4)^22)&gt;0,1+$B$3,1))</f>
        <v/>
      </c>
      <c r="Z121">
        <f>IF($B$1+23&gt;90,Y121,(Y121+IF($B$1+23&lt;=$B121,12*($B$7-$B$10),-12*MAX(0,($B$6+$B$10)-IF($B$1+23&gt;=$B$23,$B$22,0))*(1+$B$4)^23))*IF(Y121+IF($B$1+23&lt;=$B121,12*($B$7-$B$10),-12*MAX(0,($B$6+$B$10)-IF($B$1+23&gt;=$B$23,$B$22,0))*(1+$B$4)^23)&gt;0,1+$B$3,1))</f>
        <v/>
      </c>
      <c r="AA121">
        <f>IF($B$1+24&gt;90,Z121,(Z121+IF($B$1+24&lt;=$B121,12*($B$7-$B$10),-12*MAX(0,($B$6+$B$10)-IF($B$1+24&gt;=$B$23,$B$22,0))*(1+$B$4)^24))*IF(Z121+IF($B$1+24&lt;=$B121,12*($B$7-$B$10),-12*MAX(0,($B$6+$B$10)-IF($B$1+24&gt;=$B$23,$B$22,0))*(1+$B$4)^24)&gt;0,1+$B$3,1))</f>
        <v/>
      </c>
      <c r="AB121">
        <f>IF($B$1+25&gt;90,AA121,(AA121+IF($B$1+25&lt;=$B121,12*($B$7-$B$10),-12*MAX(0,($B$6+$B$10)-IF($B$1+25&gt;=$B$23,$B$22,0))*(1+$B$4)^25))*IF(AA121+IF($B$1+25&lt;=$B121,12*($B$7-$B$10),-12*MAX(0,($B$6+$B$10)-IF($B$1+25&gt;=$B$23,$B$22,0))*(1+$B$4)^25)&gt;0,1+$B$3,1))</f>
        <v/>
      </c>
      <c r="AC121">
        <f>IF($B$1+26&gt;90,AB121,(AB121+IF($B$1+26&lt;=$B121,12*($B$7-$B$10),-12*MAX(0,($B$6+$B$10)-IF($B$1+26&gt;=$B$23,$B$22,0))*(1+$B$4)^26))*IF(AB121+IF($B$1+26&lt;=$B121,12*($B$7-$B$10),-12*MAX(0,($B$6+$B$10)-IF($B$1+26&gt;=$B$23,$B$22,0))*(1+$B$4)^26)&gt;0,1+$B$3,1))</f>
        <v/>
      </c>
      <c r="AD121">
        <f>IF($B$1+27&gt;90,AC121,(AC121+IF($B$1+27&lt;=$B121,12*($B$7-$B$10),-12*MAX(0,($B$6+$B$10)-IF($B$1+27&gt;=$B$23,$B$22,0))*(1+$B$4)^27))*IF(AC121+IF($B$1+27&lt;=$B121,12*($B$7-$B$10),-12*MAX(0,($B$6+$B$10)-IF($B$1+27&gt;=$B$23,$B$22,0))*(1+$B$4)^27)&gt;0,1+$B$3,1))</f>
        <v/>
      </c>
      <c r="AE121">
        <f>IF($B$1+28&gt;90,AD121,(AD121+IF($B$1+28&lt;=$B121,12*($B$7-$B$10),-12*MAX(0,($B$6+$B$10)-IF($B$1+28&gt;=$B$23,$B$22,0))*(1+$B$4)^28))*IF(AD121+IF($B$1+28&lt;=$B121,12*($B$7-$B$10),-12*MAX(0,($B$6+$B$10)-IF($B$1+28&gt;=$B$23,$B$22,0))*(1+$B$4)^28)&gt;0,1+$B$3,1))</f>
        <v/>
      </c>
      <c r="AF121">
        <f>IF($B$1+29&gt;90,AE121,(AE121+IF($B$1+29&lt;=$B121,12*($B$7-$B$10),-12*MAX(0,($B$6+$B$10)-IF($B$1+29&gt;=$B$23,$B$22,0))*(1+$B$4)^29))*IF(AE121+IF($B$1+29&lt;=$B121,12*($B$7-$B$10),-12*MAX(0,($B$6+$B$10)-IF($B$1+29&gt;=$B$23,$B$22,0))*(1+$B$4)^29)&gt;0,1+$B$3,1))</f>
        <v/>
      </c>
      <c r="AG121">
        <f>IF($B$1+30&gt;90,AF121,(AF121+IF($B$1+30&lt;=$B121,12*($B$7-$B$10),-12*MAX(0,($B$6+$B$10)-IF($B$1+30&gt;=$B$23,$B$22,0))*(1+$B$4)^30))*IF(AF121+IF($B$1+30&lt;=$B121,12*($B$7-$B$10),-12*MAX(0,($B$6+$B$10)-IF($B$1+30&gt;=$B$23,$B$22,0))*(1+$B$4)^30)&gt;0,1+$B$3,1))</f>
        <v/>
      </c>
      <c r="AH121">
        <f>IF($B$1+31&gt;90,AG121,(AG121+IF($B$1+31&lt;=$B121,12*($B$7-$B$10),-12*MAX(0,($B$6+$B$10)-IF($B$1+31&gt;=$B$23,$B$22,0))*(1+$B$4)^31))*IF(AG121+IF($B$1+31&lt;=$B121,12*($B$7-$B$10),-12*MAX(0,($B$6+$B$10)-IF($B$1+31&gt;=$B$23,$B$22,0))*(1+$B$4)^31)&gt;0,1+$B$3,1))</f>
        <v/>
      </c>
      <c r="AI121">
        <f>IF($B$1+32&gt;90,AH121,(AH121+IF($B$1+32&lt;=$B121,12*($B$7-$B$10),-12*MAX(0,($B$6+$B$10)-IF($B$1+32&gt;=$B$23,$B$22,0))*(1+$B$4)^32))*IF(AH121+IF($B$1+32&lt;=$B121,12*($B$7-$B$10),-12*MAX(0,($B$6+$B$10)-IF($B$1+32&gt;=$B$23,$B$22,0))*(1+$B$4)^32)&gt;0,1+$B$3,1))</f>
        <v/>
      </c>
      <c r="AJ121">
        <f>IF($B$1+33&gt;90,AI121,(AI121+IF($B$1+33&lt;=$B121,12*($B$7-$B$10),-12*MAX(0,($B$6+$B$10)-IF($B$1+33&gt;=$B$23,$B$22,0))*(1+$B$4)^33))*IF(AI121+IF($B$1+33&lt;=$B121,12*($B$7-$B$10),-12*MAX(0,($B$6+$B$10)-IF($B$1+33&gt;=$B$23,$B$22,0))*(1+$B$4)^33)&gt;0,1+$B$3,1))</f>
        <v/>
      </c>
      <c r="AK121">
        <f>IF($B$1+34&gt;90,AJ121,(AJ121+IF($B$1+34&lt;=$B121,12*($B$7-$B$10),-12*MAX(0,($B$6+$B$10)-IF($B$1+34&gt;=$B$23,$B$22,0))*(1+$B$4)^34))*IF(AJ121+IF($B$1+34&lt;=$B121,12*($B$7-$B$10),-12*MAX(0,($B$6+$B$10)-IF($B$1+34&gt;=$B$23,$B$22,0))*(1+$B$4)^34)&gt;0,1+$B$3,1))</f>
        <v/>
      </c>
      <c r="AL121">
        <f>IF($B$1+35&gt;90,AK121,(AK121+IF($B$1+35&lt;=$B121,12*($B$7-$B$10),-12*MAX(0,($B$6+$B$10)-IF($B$1+35&gt;=$B$23,$B$22,0))*(1+$B$4)^35))*IF(AK121+IF($B$1+35&lt;=$B121,12*($B$7-$B$10),-12*MAX(0,($B$6+$B$10)-IF($B$1+35&gt;=$B$23,$B$22,0))*(1+$B$4)^35)&gt;0,1+$B$3,1))</f>
        <v/>
      </c>
      <c r="AM121">
        <f>IF($B$1+36&gt;90,AL121,(AL121+IF($B$1+36&lt;=$B121,12*($B$7-$B$10),-12*MAX(0,($B$6+$B$10)-IF($B$1+36&gt;=$B$23,$B$22,0))*(1+$B$4)^36))*IF(AL121+IF($B$1+36&lt;=$B121,12*($B$7-$B$10),-12*MAX(0,($B$6+$B$10)-IF($B$1+36&gt;=$B$23,$B$22,0))*(1+$B$4)^36)&gt;0,1+$B$3,1))</f>
        <v/>
      </c>
      <c r="AN121">
        <f>IF($B$1+37&gt;90,AM121,(AM121+IF($B$1+37&lt;=$B121,12*($B$7-$B$10),-12*MAX(0,($B$6+$B$10)-IF($B$1+37&gt;=$B$23,$B$22,0))*(1+$B$4)^37))*IF(AM121+IF($B$1+37&lt;=$B121,12*($B$7-$B$10),-12*MAX(0,($B$6+$B$10)-IF($B$1+37&gt;=$B$23,$B$22,0))*(1+$B$4)^37)&gt;0,1+$B$3,1))</f>
        <v/>
      </c>
      <c r="AO121">
        <f>IF($B$1+38&gt;90,AN121,(AN121+IF($B$1+38&lt;=$B121,12*($B$7-$B$10),-12*MAX(0,($B$6+$B$10)-IF($B$1+38&gt;=$B$23,$B$22,0))*(1+$B$4)^38))*IF(AN121+IF($B$1+38&lt;=$B121,12*($B$7-$B$10),-12*MAX(0,($B$6+$B$10)-IF($B$1+38&gt;=$B$23,$B$22,0))*(1+$B$4)^38)&gt;0,1+$B$3,1))</f>
        <v/>
      </c>
      <c r="AP121">
        <f>IF($B$1+39&gt;90,AO121,(AO121+IF($B$1+39&lt;=$B121,12*($B$7-$B$10),-12*MAX(0,($B$6+$B$10)-IF($B$1+39&gt;=$B$23,$B$22,0))*(1+$B$4)^39))*IF(AO121+IF($B$1+39&lt;=$B121,12*($B$7-$B$10),-12*MAX(0,($B$6+$B$10)-IF($B$1+39&gt;=$B$23,$B$22,0))*(1+$B$4)^39)&gt;0,1+$B$3,1))</f>
        <v/>
      </c>
      <c r="AQ121">
        <f>IF($B$1+40&gt;90,AP121,(AP121+IF($B$1+40&lt;=$B121,12*($B$7-$B$10),-12*MAX(0,($B$6+$B$10)-IF($B$1+40&gt;=$B$23,$B$22,0))*(1+$B$4)^40))*IF(AP121+IF($B$1+40&lt;=$B121,12*($B$7-$B$10),-12*MAX(0,($B$6+$B$10)-IF($B$1+40&gt;=$B$23,$B$22,0))*(1+$B$4)^40)&gt;0,1+$B$3,1))</f>
        <v/>
      </c>
      <c r="AR121">
        <f>IF($B$1+41&gt;90,AQ121,(AQ121+IF($B$1+41&lt;=$B121,12*($B$7-$B$10),-12*MAX(0,($B$6+$B$10)-IF($B$1+41&gt;=$B$23,$B$22,0))*(1+$B$4)^41))*IF(AQ121+IF($B$1+41&lt;=$B121,12*($B$7-$B$10),-12*MAX(0,($B$6+$B$10)-IF($B$1+41&gt;=$B$23,$B$22,0))*(1+$B$4)^41)&gt;0,1+$B$3,1))</f>
        <v/>
      </c>
      <c r="AS121">
        <f>IF($B$1+42&gt;90,AR121,(AR121+IF($B$1+42&lt;=$B121,12*($B$7-$B$10),-12*MAX(0,($B$6+$B$10)-IF($B$1+42&gt;=$B$23,$B$22,0))*(1+$B$4)^42))*IF(AR121+IF($B$1+42&lt;=$B121,12*($B$7-$B$10),-12*MAX(0,($B$6+$B$10)-IF($B$1+42&gt;=$B$23,$B$22,0))*(1+$B$4)^42)&gt;0,1+$B$3,1))</f>
        <v/>
      </c>
      <c r="AT121">
        <f>IF($B$1+43&gt;90,AS121,(AS121+IF($B$1+43&lt;=$B121,12*($B$7-$B$10),-12*MAX(0,($B$6+$B$10)-IF($B$1+43&gt;=$B$23,$B$22,0))*(1+$B$4)^43))*IF(AS121+IF($B$1+43&lt;=$B121,12*($B$7-$B$10),-12*MAX(0,($B$6+$B$10)-IF($B$1+43&gt;=$B$23,$B$22,0))*(1+$B$4)^43)&gt;0,1+$B$3,1))</f>
        <v/>
      </c>
      <c r="AU121">
        <f>IF($B$1+44&gt;90,AT121,(AT121+IF($B$1+44&lt;=$B121,12*($B$7-$B$10),-12*MAX(0,($B$6+$B$10)-IF($B$1+44&gt;=$B$23,$B$22,0))*(1+$B$4)^44))*IF(AT121+IF($B$1+44&lt;=$B121,12*($B$7-$B$10),-12*MAX(0,($B$6+$B$10)-IF($B$1+44&gt;=$B$23,$B$22,0))*(1+$B$4)^44)&gt;0,1+$B$3,1))</f>
        <v/>
      </c>
      <c r="AV121">
        <f>IF($B$1+45&gt;90,AU121,(AU121+IF($B$1+45&lt;=$B121,12*($B$7-$B$10),-12*MAX(0,($B$6+$B$10)-IF($B$1+45&gt;=$B$23,$B$22,0))*(1+$B$4)^45))*IF(AU121+IF($B$1+45&lt;=$B121,12*($B$7-$B$10),-12*MAX(0,($B$6+$B$10)-IF($B$1+45&gt;=$B$23,$B$22,0))*(1+$B$4)^45)&gt;0,1+$B$3,1))</f>
        <v/>
      </c>
      <c r="AW121">
        <f>IF($B$1+46&gt;90,AV121,(AV121+IF($B$1+46&lt;=$B121,12*($B$7-$B$10),-12*MAX(0,($B$6+$B$10)-IF($B$1+46&gt;=$B$23,$B$22,0))*(1+$B$4)^46))*IF(AV121+IF($B$1+46&lt;=$B121,12*($B$7-$B$10),-12*MAX(0,($B$6+$B$10)-IF($B$1+46&gt;=$B$23,$B$22,0))*(1+$B$4)^46)&gt;0,1+$B$3,1))</f>
        <v/>
      </c>
      <c r="AX121">
        <f>IF($B$1+47&gt;90,AW121,(AW121+IF($B$1+47&lt;=$B121,12*($B$7-$B$10),-12*MAX(0,($B$6+$B$10)-IF($B$1+47&gt;=$B$23,$B$22,0))*(1+$B$4)^47))*IF(AW121+IF($B$1+47&lt;=$B121,12*($B$7-$B$10),-12*MAX(0,($B$6+$B$10)-IF($B$1+47&gt;=$B$23,$B$22,0))*(1+$B$4)^47)&gt;0,1+$B$3,1))</f>
        <v/>
      </c>
      <c r="AY121">
        <f>IF($B$1+48&gt;90,AX121,(AX121+IF($B$1+48&lt;=$B121,12*($B$7-$B$10),-12*MAX(0,($B$6+$B$10)-IF($B$1+48&gt;=$B$23,$B$22,0))*(1+$B$4)^48))*IF(AX121+IF($B$1+48&lt;=$B121,12*($B$7-$B$10),-12*MAX(0,($B$6+$B$10)-IF($B$1+48&gt;=$B$23,$B$22,0))*(1+$B$4)^48)&gt;0,1+$B$3,1))</f>
        <v/>
      </c>
      <c r="AZ121">
        <f>IF($B$1+49&gt;90,AY121,(AY121+IF($B$1+49&lt;=$B121,12*($B$7-$B$10),-12*MAX(0,($B$6+$B$10)-IF($B$1+49&gt;=$B$23,$B$22,0))*(1+$B$4)^49))*IF(AY121+IF($B$1+49&lt;=$B121,12*($B$7-$B$10),-12*MAX(0,($B$6+$B$10)-IF($B$1+49&gt;=$B$23,$B$22,0))*(1+$B$4)^49)&gt;0,1+$B$3,1))</f>
        <v/>
      </c>
      <c r="BA121">
        <f>IF($B$1+50&gt;90,AZ121,(AZ121+IF($B$1+50&lt;=$B121,12*($B$7-$B$10),-12*MAX(0,($B$6+$B$10)-IF($B$1+50&gt;=$B$23,$B$22,0))*(1+$B$4)^50))*IF(AZ121+IF($B$1+50&lt;=$B121,12*($B$7-$B$10),-12*MAX(0,($B$6+$B$10)-IF($B$1+50&gt;=$B$23,$B$22,0))*(1+$B$4)^50)&gt;0,1+$B$3,1))</f>
        <v/>
      </c>
      <c r="BB121">
        <f>IF($B$1+51&gt;90,BA121,(BA121+IF($B$1+51&lt;=$B121,12*($B$7-$B$10),-12*MAX(0,($B$6+$B$10)-IF($B$1+51&gt;=$B$23,$B$22,0))*(1+$B$4)^51))*IF(BA121+IF($B$1+51&lt;=$B121,12*($B$7-$B$10),-12*MAX(0,($B$6+$B$10)-IF($B$1+51&gt;=$B$23,$B$22,0))*(1+$B$4)^51)&gt;0,1+$B$3,1))</f>
        <v/>
      </c>
      <c r="BC121">
        <f>IF($B$1+52&gt;90,BB121,(BB121+IF($B$1+52&lt;=$B121,12*($B$7-$B$10),-12*MAX(0,($B$6+$B$10)-IF($B$1+52&gt;=$B$23,$B$22,0))*(1+$B$4)^52))*IF(BB121+IF($B$1+52&lt;=$B121,12*($B$7-$B$10),-12*MAX(0,($B$6+$B$10)-IF($B$1+52&gt;=$B$23,$B$22,0))*(1+$B$4)^52)&gt;0,1+$B$3,1))</f>
        <v/>
      </c>
      <c r="BD121">
        <f>IF($B$1+53&gt;90,BC121,(BC121+IF($B$1+53&lt;=$B121,12*($B$7-$B$10),-12*MAX(0,($B$6+$B$10)-IF($B$1+53&gt;=$B$23,$B$22,0))*(1+$B$4)^53))*IF(BC121+IF($B$1+53&lt;=$B121,12*($B$7-$B$10),-12*MAX(0,($B$6+$B$10)-IF($B$1+53&gt;=$B$23,$B$22,0))*(1+$B$4)^53)&gt;0,1+$B$3,1))</f>
        <v/>
      </c>
      <c r="BE121">
        <f>IF($B$1+54&gt;90,BD121,(BD121+IF($B$1+54&lt;=$B121,12*($B$7-$B$10),-12*MAX(0,($B$6+$B$10)-IF($B$1+54&gt;=$B$23,$B$22,0))*(1+$B$4)^54))*IF(BD121+IF($B$1+54&lt;=$B121,12*($B$7-$B$10),-12*MAX(0,($B$6+$B$10)-IF($B$1+54&gt;=$B$23,$B$22,0))*(1+$B$4)^54)&gt;0,1+$B$3,1))</f>
        <v/>
      </c>
      <c r="BF121">
        <f>IF($B$1+55&gt;90,BE121,(BE121+IF($B$1+55&lt;=$B121,12*($B$7-$B$10),-12*MAX(0,($B$6+$B$10)-IF($B$1+55&gt;=$B$23,$B$22,0))*(1+$B$4)^55))*IF(BE121+IF($B$1+55&lt;=$B121,12*($B$7-$B$10),-12*MAX(0,($B$6+$B$10)-IF($B$1+55&gt;=$B$23,$B$22,0))*(1+$B$4)^55)&gt;0,1+$B$3,1))</f>
        <v/>
      </c>
      <c r="BG121">
        <f>IF($B$1+56&gt;90,BF121,(BF121+IF($B$1+56&lt;=$B121,12*($B$7-$B$10),-12*MAX(0,($B$6+$B$10)-IF($B$1+56&gt;=$B$23,$B$22,0))*(1+$B$4)^56))*IF(BF121+IF($B$1+56&lt;=$B121,12*($B$7-$B$10),-12*MAX(0,($B$6+$B$10)-IF($B$1+56&gt;=$B$23,$B$22,0))*(1+$B$4)^56)&gt;0,1+$B$3,1))</f>
        <v/>
      </c>
      <c r="BH121">
        <f>IF($B$1+57&gt;90,BG121,(BG121+IF($B$1+57&lt;=$B121,12*($B$7-$B$10),-12*MAX(0,($B$6+$B$10)-IF($B$1+57&gt;=$B$23,$B$22,0))*(1+$B$4)^57))*IF(BG121+IF($B$1+57&lt;=$B121,12*($B$7-$B$10),-12*MAX(0,($B$6+$B$10)-IF($B$1+57&gt;=$B$23,$B$22,0))*(1+$B$4)^57)&gt;0,1+$B$3,1))</f>
        <v/>
      </c>
      <c r="BI121">
        <f>IF($B$1+58&gt;90,BH121,(BH121+IF($B$1+58&lt;=$B121,12*($B$7-$B$10),-12*MAX(0,($B$6+$B$10)-IF($B$1+58&gt;=$B$23,$B$22,0))*(1+$B$4)^58))*IF(BH121+IF($B$1+58&lt;=$B121,12*($B$7-$B$10),-12*MAX(0,($B$6+$B$10)-IF($B$1+58&gt;=$B$23,$B$22,0))*(1+$B$4)^58)&gt;0,1+$B$3,1))</f>
        <v/>
      </c>
      <c r="BJ121">
        <f>IF($B$1+59&gt;90,BI121,(BI121+IF($B$1+59&lt;=$B121,12*($B$7-$B$10),-12*MAX(0,($B$6+$B$10)-IF($B$1+59&gt;=$B$23,$B$22,0))*(1+$B$4)^59))*IF(BI121+IF($B$1+59&lt;=$B121,12*($B$7-$B$10),-12*MAX(0,($B$6+$B$10)-IF($B$1+59&gt;=$B$23,$B$22,0))*(1+$B$4)^59)&gt;0,1+$B$3,1))</f>
        <v/>
      </c>
      <c r="BK121">
        <f>IF($B$1+60&gt;90,BJ121,(BJ121+IF($B$1+60&lt;=$B121,12*($B$7-$B$10),-12*MAX(0,($B$6+$B$10)-IF($B$1+60&gt;=$B$23,$B$22,0))*(1+$B$4)^60))*IF(BJ121+IF($B$1+60&lt;=$B121,12*($B$7-$B$10),-12*MAX(0,($B$6+$B$10)-IF($B$1+60&gt;=$B$23,$B$22,0))*(1+$B$4)^60)&gt;0,1+$B$3,1))</f>
        <v/>
      </c>
      <c r="BL121">
        <f>IF($B$1+61&gt;90,BK121,(BK121+IF($B$1+61&lt;=$B121,12*($B$7-$B$10),-12*MAX(0,($B$6+$B$10)-IF($B$1+61&gt;=$B$23,$B$22,0))*(1+$B$4)^61))*IF(BK121+IF($B$1+61&lt;=$B121,12*($B$7-$B$10),-12*MAX(0,($B$6+$B$10)-IF($B$1+61&gt;=$B$23,$B$22,0))*(1+$B$4)^61)&gt;0,1+$B$3,1))</f>
        <v/>
      </c>
      <c r="BM121">
        <f>IF($B$1+62&gt;90,BL121,(BL121+IF($B$1+62&lt;=$B121,12*($B$7-$B$10),-12*MAX(0,($B$6+$B$10)-IF($B$1+62&gt;=$B$23,$B$22,0))*(1+$B$4)^62))*IF(BL121+IF($B$1+62&lt;=$B121,12*($B$7-$B$10),-12*MAX(0,($B$6+$B$10)-IF($B$1+62&gt;=$B$23,$B$22,0))*(1+$B$4)^62)&gt;0,1+$B$3,1))</f>
        <v/>
      </c>
      <c r="BN121">
        <f>IF($B$1+63&gt;90,BM121,(BM121+IF($B$1+63&lt;=$B121,12*($B$7-$B$10),-12*MAX(0,($B$6+$B$10)-IF($B$1+63&gt;=$B$23,$B$22,0))*(1+$B$4)^63))*IF(BM121+IF($B$1+63&lt;=$B121,12*($B$7-$B$10),-12*MAX(0,($B$6+$B$10)-IF($B$1+63&gt;=$B$23,$B$22,0))*(1+$B$4)^63)&gt;0,1+$B$3,1))</f>
        <v/>
      </c>
      <c r="BO121">
        <f>IF($B$1+64&gt;90,BN121,(BN121+IF($B$1+64&lt;=$B121,12*($B$7-$B$10),-12*MAX(0,($B$6+$B$10)-IF($B$1+64&gt;=$B$23,$B$22,0))*(1+$B$4)^64))*IF(BN121+IF($B$1+64&lt;=$B121,12*($B$7-$B$10),-12*MAX(0,($B$6+$B$10)-IF($B$1+64&gt;=$B$23,$B$22,0))*(1+$B$4)^64)&gt;0,1+$B$3,1))</f>
        <v/>
      </c>
      <c r="BP121">
        <f>IF($B$1+65&gt;90,BO121,(BO121+IF($B$1+65&lt;=$B121,12*($B$7-$B$10),-12*MAX(0,($B$6+$B$10)-IF($B$1+65&gt;=$B$23,$B$22,0))*(1+$B$4)^65))*IF(BO121+IF($B$1+65&lt;=$B121,12*($B$7-$B$10),-12*MAX(0,($B$6+$B$10)-IF($B$1+65&gt;=$B$23,$B$22,0))*(1+$B$4)^65)&gt;0,1+$B$3,1))</f>
        <v/>
      </c>
      <c r="BQ121">
        <f>IF($B$1+66&gt;90,BP121,(BP121+IF($B$1+66&lt;=$B121,12*($B$7-$B$10),-12*MAX(0,($B$6+$B$10)-IF($B$1+66&gt;=$B$23,$B$22,0))*(1+$B$4)^66))*IF(BP121+IF($B$1+66&lt;=$B121,12*($B$7-$B$10),-12*MAX(0,($B$6+$B$10)-IF($B$1+66&gt;=$B$23,$B$22,0))*(1+$B$4)^66)&gt;0,1+$B$3,1))</f>
        <v/>
      </c>
      <c r="BR121">
        <f>IF($B$1+67&gt;90,BQ121,(BQ121+IF($B$1+67&lt;=$B121,12*($B$7-$B$10),-12*MAX(0,($B$6+$B$10)-IF($B$1+67&gt;=$B$23,$B$22,0))*(1+$B$4)^67))*IF(BQ121+IF($B$1+67&lt;=$B121,12*($B$7-$B$10),-12*MAX(0,($B$6+$B$10)-IF($B$1+67&gt;=$B$23,$B$22,0))*(1+$B$4)^67)&gt;0,1+$B$3,1))</f>
        <v/>
      </c>
      <c r="BS121">
        <f>IF($B$1+68&gt;90,BR121,(BR121+IF($B$1+68&lt;=$B121,12*($B$7-$B$10),-12*MAX(0,($B$6+$B$10)-IF($B$1+68&gt;=$B$23,$B$22,0))*(1+$B$4)^68))*IF(BR121+IF($B$1+68&lt;=$B121,12*($B$7-$B$10),-12*MAX(0,($B$6+$B$10)-IF($B$1+68&gt;=$B$23,$B$22,0))*(1+$B$4)^68)&gt;0,1+$B$3,1))</f>
        <v/>
      </c>
      <c r="BT121">
        <f>IF($B$1+69&gt;90,BS121,(BS121+IF($B$1+69&lt;=$B121,12*($B$7-$B$10),-12*MAX(0,($B$6+$B$10)-IF($B$1+69&gt;=$B$23,$B$22,0))*(1+$B$4)^69))*IF(BS121+IF($B$1+69&lt;=$B121,12*($B$7-$B$10),-12*MAX(0,($B$6+$B$10)-IF($B$1+69&gt;=$B$23,$B$22,0))*(1+$B$4)^69)&gt;0,1+$B$3,1))</f>
        <v/>
      </c>
      <c r="BU121">
        <f>IF($B$1+70&gt;90,BT121,(BT121+IF($B$1+70&lt;=$B121,12*($B$7-$B$10),-12*MAX(0,($B$6+$B$10)-IF($B$1+70&gt;=$B$23,$B$22,0))*(1+$B$4)^70))*IF(BT121+IF($B$1+70&lt;=$B121,12*($B$7-$B$10),-12*MAX(0,($B$6+$B$10)-IF($B$1+70&gt;=$B$23,$B$22,0))*(1+$B$4)^70)&gt;0,1+$B$3,1))</f>
        <v/>
      </c>
      <c r="BV121">
        <f>BU121</f>
        <v/>
      </c>
      <c r="BW121">
        <f>IF(AND($B121&lt;=70,BV121&gt;0),$B121,999)</f>
        <v/>
      </c>
      <c r="CH121">
        <f>IF(ISTEXT('월 가계부'!A121),SUBSTITUTE(SUBSTITUTE(SUBSTITUTE(SUBSTITUTE(SUBSTITUTE(SUBSTITUTE(SUBSTITUTE(SUBSTITUTE(SUBSTITUTE(TRIM('월 가계부'!A121),"년","-"),"월","-"),"일",""),".","-"),"/","-")," ","-"),"--","-"),"--","-"),"--","-")&amp;"-","")</f>
        <v/>
      </c>
      <c r="CI121">
        <f>IFERROR(IF('월 가계부'!A121="","",IF(ISNUMBER('월 가계부'!A121),IF(AND('월 가계부'!A121&gt;=19000101,'월 가계부'!A121&lt;=21001231),IF(AND(MOD(INT('월 가계부'!A121/100),100)&gt;=1,MOD(INT('월 가계부'!A121/100),100)&lt;=12,MOD(INT('월 가계부'!A121),100)&gt;=1,MOD(INT('월 가계부'!A121),100)&lt;=31),IF(MONTH(DATE(INT('월 가계부'!A121/10000),MOD(INT('월 가계부'!A121/100),100),MOD(INT('월 가계부'!A121),100)))=MOD(INT('월 가계부'!A121/100),100),DATE(INT('월 가계부'!A121/10000),MOD(INT('월 가계부'!A121/100),100),MOD(INT('월 가계부'!A121),100)),""),""),IF(AND('월 가계부'!A121&gt;=36526,'월 가계부'!A121&lt;73051),INT('월 가계부'!A121),"")),IF(OR(CM121="",CN121="",CO121=""),"",IF(AND(CM121&gt;=2000,CM121&lt;=2099,CN121&gt;=1,CN121&lt;=12,CO121&gt;=1,CO121&lt;=31),IF(MONTH(DATE(CM121,CN121,CO121))=CN121,DATE(CM121,CN121,CO121),""),"")))),"")</f>
        <v/>
      </c>
      <c r="CJ121">
        <f>IFERROR(IF('월 가계부'!C121="","",IF(ISNUMBER('월 가계부'!C121),'월 가계부'!C121,VALUE(SUBSTITUTE(SUBSTITUTE(SUBSTITUTE(SUBSTITUTE(TRIM('월 가계부'!C121),",",""),"원","")," ",""),"−","-")))),"")</f>
        <v/>
      </c>
      <c r="CK121">
        <f>IF(ISNUMBER(CI121),IF(CI121&lt;$B$13,CI121,""),"")</f>
        <v/>
      </c>
      <c r="CM121">
        <f>IF(CH121="","",IFERROR(IF(IF(AND(LEN(CH121)=9,ISERROR(FIND("-",LEFT(CH121,8))),ISNUMBER(-LEFT(CH121,8))),VALUE(LEFT(CH121,4)),VALUE(LEFT(CH121,FIND("-",CH121)-1)))&lt;100,IF(AND(LEN(CH121)=9,ISERROR(FIND("-",LEFT(CH121,8))),ISNUMBER(-LEFT(CH121,8))),VALUE(LEFT(CH121,4)),VALUE(LEFT(CH121,FIND("-",CH121)-1)))+2000,IF(AND(LEN(CH121)=9,ISERROR(FIND("-",LEFT(CH121,8))),ISNUMBER(-LEFT(CH121,8))),VALUE(LEFT(CH121,4)),VALUE(LEFT(CH121,FIND("-",CH121)-1)))),""))</f>
        <v/>
      </c>
      <c r="CN121">
        <f>IF(CH121="","",IFERROR(IF(AND(LEN(CH121)=9,ISERROR(FIND("-",LEFT(CH121,8))),ISNUMBER(-LEFT(CH121,8))),VALUE(MID(CH121,5,2)),VALUE(MID(CH121,FIND("-",CH121)+1,FIND("-",CH121,FIND("-",CH121)+1)-FIND("-",CH121)-1))),""))</f>
        <v/>
      </c>
      <c r="CO121">
        <f>IF(CH121="","",IFERROR(IF(AND(LEN(CH121)=9,ISERROR(FIND("-",LEFT(CH121,8))),ISNUMBER(-LEFT(CH121,8))),VALUE(MID(CH121,7,2)),VALUE(MID(CH121,FIND("-",CH121,FIND("-",CH121)+1)+1,FIND("-",CH121,FIND("-",CH121,FIND("-",CH121)+1)+1)-FIND("-",CH121,FIND("-",CH121)+1)-1))),""))</f>
        <v/>
      </c>
    </row>
    <row r="122">
      <c r="A122" t="n">
        <v>26</v>
      </c>
      <c r="B122">
        <f>$B$1+26</f>
        <v/>
      </c>
      <c r="C122">
        <f>$B$2</f>
        <v/>
      </c>
      <c r="D122">
        <f>IF($B$1+1&gt;90,C122,(C122+IF($B$1+1&lt;=$B122,12*($B$7-$B$10),-12*MAX(0,($B$6+$B$10)-IF($B$1+1&gt;=$B$23,$B$22,0))*(1+$B$4)^1))*IF(C122+IF($B$1+1&lt;=$B122,12*($B$7-$B$10),-12*MAX(0,($B$6+$B$10)-IF($B$1+1&gt;=$B$23,$B$22,0))*(1+$B$4)^1)&gt;0,1+$B$3,1))</f>
        <v/>
      </c>
      <c r="E122">
        <f>IF($B$1+2&gt;90,D122,(D122+IF($B$1+2&lt;=$B122,12*($B$7-$B$10),-12*MAX(0,($B$6+$B$10)-IF($B$1+2&gt;=$B$23,$B$22,0))*(1+$B$4)^2))*IF(D122+IF($B$1+2&lt;=$B122,12*($B$7-$B$10),-12*MAX(0,($B$6+$B$10)-IF($B$1+2&gt;=$B$23,$B$22,0))*(1+$B$4)^2)&gt;0,1+$B$3,1))</f>
        <v/>
      </c>
      <c r="F122">
        <f>IF($B$1+3&gt;90,E122,(E122+IF($B$1+3&lt;=$B122,12*($B$7-$B$10),-12*MAX(0,($B$6+$B$10)-IF($B$1+3&gt;=$B$23,$B$22,0))*(1+$B$4)^3))*IF(E122+IF($B$1+3&lt;=$B122,12*($B$7-$B$10),-12*MAX(0,($B$6+$B$10)-IF($B$1+3&gt;=$B$23,$B$22,0))*(1+$B$4)^3)&gt;0,1+$B$3,1))</f>
        <v/>
      </c>
      <c r="G122">
        <f>IF($B$1+4&gt;90,F122,(F122+IF($B$1+4&lt;=$B122,12*($B$7-$B$10),-12*MAX(0,($B$6+$B$10)-IF($B$1+4&gt;=$B$23,$B$22,0))*(1+$B$4)^4))*IF(F122+IF($B$1+4&lt;=$B122,12*($B$7-$B$10),-12*MAX(0,($B$6+$B$10)-IF($B$1+4&gt;=$B$23,$B$22,0))*(1+$B$4)^4)&gt;0,1+$B$3,1))</f>
        <v/>
      </c>
      <c r="H122">
        <f>IF($B$1+5&gt;90,G122,(G122+IF($B$1+5&lt;=$B122,12*($B$7-$B$10),-12*MAX(0,($B$6+$B$10)-IF($B$1+5&gt;=$B$23,$B$22,0))*(1+$B$4)^5))*IF(G122+IF($B$1+5&lt;=$B122,12*($B$7-$B$10),-12*MAX(0,($B$6+$B$10)-IF($B$1+5&gt;=$B$23,$B$22,0))*(1+$B$4)^5)&gt;0,1+$B$3,1))</f>
        <v/>
      </c>
      <c r="I122">
        <f>IF($B$1+6&gt;90,H122,(H122+IF($B$1+6&lt;=$B122,12*($B$7-$B$10),-12*MAX(0,($B$6+$B$10)-IF($B$1+6&gt;=$B$23,$B$22,0))*(1+$B$4)^6))*IF(H122+IF($B$1+6&lt;=$B122,12*($B$7-$B$10),-12*MAX(0,($B$6+$B$10)-IF($B$1+6&gt;=$B$23,$B$22,0))*(1+$B$4)^6)&gt;0,1+$B$3,1))</f>
        <v/>
      </c>
      <c r="J122">
        <f>IF($B$1+7&gt;90,I122,(I122+IF($B$1+7&lt;=$B122,12*($B$7-$B$10),-12*MAX(0,($B$6+$B$10)-IF($B$1+7&gt;=$B$23,$B$22,0))*(1+$B$4)^7))*IF(I122+IF($B$1+7&lt;=$B122,12*($B$7-$B$10),-12*MAX(0,($B$6+$B$10)-IF($B$1+7&gt;=$B$23,$B$22,0))*(1+$B$4)^7)&gt;0,1+$B$3,1))</f>
        <v/>
      </c>
      <c r="K122">
        <f>IF($B$1+8&gt;90,J122,(J122+IF($B$1+8&lt;=$B122,12*($B$7-$B$10),-12*MAX(0,($B$6+$B$10)-IF($B$1+8&gt;=$B$23,$B$22,0))*(1+$B$4)^8))*IF(J122+IF($B$1+8&lt;=$B122,12*($B$7-$B$10),-12*MAX(0,($B$6+$B$10)-IF($B$1+8&gt;=$B$23,$B$22,0))*(1+$B$4)^8)&gt;0,1+$B$3,1))</f>
        <v/>
      </c>
      <c r="L122">
        <f>IF($B$1+9&gt;90,K122,(K122+IF($B$1+9&lt;=$B122,12*($B$7-$B$10),-12*MAX(0,($B$6+$B$10)-IF($B$1+9&gt;=$B$23,$B$22,0))*(1+$B$4)^9))*IF(K122+IF($B$1+9&lt;=$B122,12*($B$7-$B$10),-12*MAX(0,($B$6+$B$10)-IF($B$1+9&gt;=$B$23,$B$22,0))*(1+$B$4)^9)&gt;0,1+$B$3,1))</f>
        <v/>
      </c>
      <c r="M122">
        <f>IF($B$1+10&gt;90,L122,(L122+IF($B$1+10&lt;=$B122,12*($B$7-$B$10),-12*MAX(0,($B$6+$B$10)-IF($B$1+10&gt;=$B$23,$B$22,0))*(1+$B$4)^10))*IF(L122+IF($B$1+10&lt;=$B122,12*($B$7-$B$10),-12*MAX(0,($B$6+$B$10)-IF($B$1+10&gt;=$B$23,$B$22,0))*(1+$B$4)^10)&gt;0,1+$B$3,1))</f>
        <v/>
      </c>
      <c r="N122">
        <f>IF($B$1+11&gt;90,M122,(M122+IF($B$1+11&lt;=$B122,12*($B$7-$B$10),-12*MAX(0,($B$6+$B$10)-IF($B$1+11&gt;=$B$23,$B$22,0))*(1+$B$4)^11))*IF(M122+IF($B$1+11&lt;=$B122,12*($B$7-$B$10),-12*MAX(0,($B$6+$B$10)-IF($B$1+11&gt;=$B$23,$B$22,0))*(1+$B$4)^11)&gt;0,1+$B$3,1))</f>
        <v/>
      </c>
      <c r="O122">
        <f>IF($B$1+12&gt;90,N122,(N122+IF($B$1+12&lt;=$B122,12*($B$7-$B$10),-12*MAX(0,($B$6+$B$10)-IF($B$1+12&gt;=$B$23,$B$22,0))*(1+$B$4)^12))*IF(N122+IF($B$1+12&lt;=$B122,12*($B$7-$B$10),-12*MAX(0,($B$6+$B$10)-IF($B$1+12&gt;=$B$23,$B$22,0))*(1+$B$4)^12)&gt;0,1+$B$3,1))</f>
        <v/>
      </c>
      <c r="P122">
        <f>IF($B$1+13&gt;90,O122,(O122+IF($B$1+13&lt;=$B122,12*($B$7-$B$10),-12*MAX(0,($B$6+$B$10)-IF($B$1+13&gt;=$B$23,$B$22,0))*(1+$B$4)^13))*IF(O122+IF($B$1+13&lt;=$B122,12*($B$7-$B$10),-12*MAX(0,($B$6+$B$10)-IF($B$1+13&gt;=$B$23,$B$22,0))*(1+$B$4)^13)&gt;0,1+$B$3,1))</f>
        <v/>
      </c>
      <c r="Q122">
        <f>IF($B$1+14&gt;90,P122,(P122+IF($B$1+14&lt;=$B122,12*($B$7-$B$10),-12*MAX(0,($B$6+$B$10)-IF($B$1+14&gt;=$B$23,$B$22,0))*(1+$B$4)^14))*IF(P122+IF($B$1+14&lt;=$B122,12*($B$7-$B$10),-12*MAX(0,($B$6+$B$10)-IF($B$1+14&gt;=$B$23,$B$22,0))*(1+$B$4)^14)&gt;0,1+$B$3,1))</f>
        <v/>
      </c>
      <c r="R122">
        <f>IF($B$1+15&gt;90,Q122,(Q122+IF($B$1+15&lt;=$B122,12*($B$7-$B$10),-12*MAX(0,($B$6+$B$10)-IF($B$1+15&gt;=$B$23,$B$22,0))*(1+$B$4)^15))*IF(Q122+IF($B$1+15&lt;=$B122,12*($B$7-$B$10),-12*MAX(0,($B$6+$B$10)-IF($B$1+15&gt;=$B$23,$B$22,0))*(1+$B$4)^15)&gt;0,1+$B$3,1))</f>
        <v/>
      </c>
      <c r="S122">
        <f>IF($B$1+16&gt;90,R122,(R122+IF($B$1+16&lt;=$B122,12*($B$7-$B$10),-12*MAX(0,($B$6+$B$10)-IF($B$1+16&gt;=$B$23,$B$22,0))*(1+$B$4)^16))*IF(R122+IF($B$1+16&lt;=$B122,12*($B$7-$B$10),-12*MAX(0,($B$6+$B$10)-IF($B$1+16&gt;=$B$23,$B$22,0))*(1+$B$4)^16)&gt;0,1+$B$3,1))</f>
        <v/>
      </c>
      <c r="T122">
        <f>IF($B$1+17&gt;90,S122,(S122+IF($B$1+17&lt;=$B122,12*($B$7-$B$10),-12*MAX(0,($B$6+$B$10)-IF($B$1+17&gt;=$B$23,$B$22,0))*(1+$B$4)^17))*IF(S122+IF($B$1+17&lt;=$B122,12*($B$7-$B$10),-12*MAX(0,($B$6+$B$10)-IF($B$1+17&gt;=$B$23,$B$22,0))*(1+$B$4)^17)&gt;0,1+$B$3,1))</f>
        <v/>
      </c>
      <c r="U122">
        <f>IF($B$1+18&gt;90,T122,(T122+IF($B$1+18&lt;=$B122,12*($B$7-$B$10),-12*MAX(0,($B$6+$B$10)-IF($B$1+18&gt;=$B$23,$B$22,0))*(1+$B$4)^18))*IF(T122+IF($B$1+18&lt;=$B122,12*($B$7-$B$10),-12*MAX(0,($B$6+$B$10)-IF($B$1+18&gt;=$B$23,$B$22,0))*(1+$B$4)^18)&gt;0,1+$B$3,1))</f>
        <v/>
      </c>
      <c r="V122">
        <f>IF($B$1+19&gt;90,U122,(U122+IF($B$1+19&lt;=$B122,12*($B$7-$B$10),-12*MAX(0,($B$6+$B$10)-IF($B$1+19&gt;=$B$23,$B$22,0))*(1+$B$4)^19))*IF(U122+IF($B$1+19&lt;=$B122,12*($B$7-$B$10),-12*MAX(0,($B$6+$B$10)-IF($B$1+19&gt;=$B$23,$B$22,0))*(1+$B$4)^19)&gt;0,1+$B$3,1))</f>
        <v/>
      </c>
      <c r="W122">
        <f>IF($B$1+20&gt;90,V122,(V122+IF($B$1+20&lt;=$B122,12*($B$7-$B$10),-12*MAX(0,($B$6+$B$10)-IF($B$1+20&gt;=$B$23,$B$22,0))*(1+$B$4)^20))*IF(V122+IF($B$1+20&lt;=$B122,12*($B$7-$B$10),-12*MAX(0,($B$6+$B$10)-IF($B$1+20&gt;=$B$23,$B$22,0))*(1+$B$4)^20)&gt;0,1+$B$3,1))</f>
        <v/>
      </c>
      <c r="X122">
        <f>IF($B$1+21&gt;90,W122,(W122+IF($B$1+21&lt;=$B122,12*($B$7-$B$10),-12*MAX(0,($B$6+$B$10)-IF($B$1+21&gt;=$B$23,$B$22,0))*(1+$B$4)^21))*IF(W122+IF($B$1+21&lt;=$B122,12*($B$7-$B$10),-12*MAX(0,($B$6+$B$10)-IF($B$1+21&gt;=$B$23,$B$22,0))*(1+$B$4)^21)&gt;0,1+$B$3,1))</f>
        <v/>
      </c>
      <c r="Y122">
        <f>IF($B$1+22&gt;90,X122,(X122+IF($B$1+22&lt;=$B122,12*($B$7-$B$10),-12*MAX(0,($B$6+$B$10)-IF($B$1+22&gt;=$B$23,$B$22,0))*(1+$B$4)^22))*IF(X122+IF($B$1+22&lt;=$B122,12*($B$7-$B$10),-12*MAX(0,($B$6+$B$10)-IF($B$1+22&gt;=$B$23,$B$22,0))*(1+$B$4)^22)&gt;0,1+$B$3,1))</f>
        <v/>
      </c>
      <c r="Z122">
        <f>IF($B$1+23&gt;90,Y122,(Y122+IF($B$1+23&lt;=$B122,12*($B$7-$B$10),-12*MAX(0,($B$6+$B$10)-IF($B$1+23&gt;=$B$23,$B$22,0))*(1+$B$4)^23))*IF(Y122+IF($B$1+23&lt;=$B122,12*($B$7-$B$10),-12*MAX(0,($B$6+$B$10)-IF($B$1+23&gt;=$B$23,$B$22,0))*(1+$B$4)^23)&gt;0,1+$B$3,1))</f>
        <v/>
      </c>
      <c r="AA122">
        <f>IF($B$1+24&gt;90,Z122,(Z122+IF($B$1+24&lt;=$B122,12*($B$7-$B$10),-12*MAX(0,($B$6+$B$10)-IF($B$1+24&gt;=$B$23,$B$22,0))*(1+$B$4)^24))*IF(Z122+IF($B$1+24&lt;=$B122,12*($B$7-$B$10),-12*MAX(0,($B$6+$B$10)-IF($B$1+24&gt;=$B$23,$B$22,0))*(1+$B$4)^24)&gt;0,1+$B$3,1))</f>
        <v/>
      </c>
      <c r="AB122">
        <f>IF($B$1+25&gt;90,AA122,(AA122+IF($B$1+25&lt;=$B122,12*($B$7-$B$10),-12*MAX(0,($B$6+$B$10)-IF($B$1+25&gt;=$B$23,$B$22,0))*(1+$B$4)^25))*IF(AA122+IF($B$1+25&lt;=$B122,12*($B$7-$B$10),-12*MAX(0,($B$6+$B$10)-IF($B$1+25&gt;=$B$23,$B$22,0))*(1+$B$4)^25)&gt;0,1+$B$3,1))</f>
        <v/>
      </c>
      <c r="AC122">
        <f>IF($B$1+26&gt;90,AB122,(AB122+IF($B$1+26&lt;=$B122,12*($B$7-$B$10),-12*MAX(0,($B$6+$B$10)-IF($B$1+26&gt;=$B$23,$B$22,0))*(1+$B$4)^26))*IF(AB122+IF($B$1+26&lt;=$B122,12*($B$7-$B$10),-12*MAX(0,($B$6+$B$10)-IF($B$1+26&gt;=$B$23,$B$22,0))*(1+$B$4)^26)&gt;0,1+$B$3,1))</f>
        <v/>
      </c>
      <c r="AD122">
        <f>IF($B$1+27&gt;90,AC122,(AC122+IF($B$1+27&lt;=$B122,12*($B$7-$B$10),-12*MAX(0,($B$6+$B$10)-IF($B$1+27&gt;=$B$23,$B$22,0))*(1+$B$4)^27))*IF(AC122+IF($B$1+27&lt;=$B122,12*($B$7-$B$10),-12*MAX(0,($B$6+$B$10)-IF($B$1+27&gt;=$B$23,$B$22,0))*(1+$B$4)^27)&gt;0,1+$B$3,1))</f>
        <v/>
      </c>
      <c r="AE122">
        <f>IF($B$1+28&gt;90,AD122,(AD122+IF($B$1+28&lt;=$B122,12*($B$7-$B$10),-12*MAX(0,($B$6+$B$10)-IF($B$1+28&gt;=$B$23,$B$22,0))*(1+$B$4)^28))*IF(AD122+IF($B$1+28&lt;=$B122,12*($B$7-$B$10),-12*MAX(0,($B$6+$B$10)-IF($B$1+28&gt;=$B$23,$B$22,0))*(1+$B$4)^28)&gt;0,1+$B$3,1))</f>
        <v/>
      </c>
      <c r="AF122">
        <f>IF($B$1+29&gt;90,AE122,(AE122+IF($B$1+29&lt;=$B122,12*($B$7-$B$10),-12*MAX(0,($B$6+$B$10)-IF($B$1+29&gt;=$B$23,$B$22,0))*(1+$B$4)^29))*IF(AE122+IF($B$1+29&lt;=$B122,12*($B$7-$B$10),-12*MAX(0,($B$6+$B$10)-IF($B$1+29&gt;=$B$23,$B$22,0))*(1+$B$4)^29)&gt;0,1+$B$3,1))</f>
        <v/>
      </c>
      <c r="AG122">
        <f>IF($B$1+30&gt;90,AF122,(AF122+IF($B$1+30&lt;=$B122,12*($B$7-$B$10),-12*MAX(0,($B$6+$B$10)-IF($B$1+30&gt;=$B$23,$B$22,0))*(1+$B$4)^30))*IF(AF122+IF($B$1+30&lt;=$B122,12*($B$7-$B$10),-12*MAX(0,($B$6+$B$10)-IF($B$1+30&gt;=$B$23,$B$22,0))*(1+$B$4)^30)&gt;0,1+$B$3,1))</f>
        <v/>
      </c>
      <c r="AH122">
        <f>IF($B$1+31&gt;90,AG122,(AG122+IF($B$1+31&lt;=$B122,12*($B$7-$B$10),-12*MAX(0,($B$6+$B$10)-IF($B$1+31&gt;=$B$23,$B$22,0))*(1+$B$4)^31))*IF(AG122+IF($B$1+31&lt;=$B122,12*($B$7-$B$10),-12*MAX(0,($B$6+$B$10)-IF($B$1+31&gt;=$B$23,$B$22,0))*(1+$B$4)^31)&gt;0,1+$B$3,1))</f>
        <v/>
      </c>
      <c r="AI122">
        <f>IF($B$1+32&gt;90,AH122,(AH122+IF($B$1+32&lt;=$B122,12*($B$7-$B$10),-12*MAX(0,($B$6+$B$10)-IF($B$1+32&gt;=$B$23,$B$22,0))*(1+$B$4)^32))*IF(AH122+IF($B$1+32&lt;=$B122,12*($B$7-$B$10),-12*MAX(0,($B$6+$B$10)-IF($B$1+32&gt;=$B$23,$B$22,0))*(1+$B$4)^32)&gt;0,1+$B$3,1))</f>
        <v/>
      </c>
      <c r="AJ122">
        <f>IF($B$1+33&gt;90,AI122,(AI122+IF($B$1+33&lt;=$B122,12*($B$7-$B$10),-12*MAX(0,($B$6+$B$10)-IF($B$1+33&gt;=$B$23,$B$22,0))*(1+$B$4)^33))*IF(AI122+IF($B$1+33&lt;=$B122,12*($B$7-$B$10),-12*MAX(0,($B$6+$B$10)-IF($B$1+33&gt;=$B$23,$B$22,0))*(1+$B$4)^33)&gt;0,1+$B$3,1))</f>
        <v/>
      </c>
      <c r="AK122">
        <f>IF($B$1+34&gt;90,AJ122,(AJ122+IF($B$1+34&lt;=$B122,12*($B$7-$B$10),-12*MAX(0,($B$6+$B$10)-IF($B$1+34&gt;=$B$23,$B$22,0))*(1+$B$4)^34))*IF(AJ122+IF($B$1+34&lt;=$B122,12*($B$7-$B$10),-12*MAX(0,($B$6+$B$10)-IF($B$1+34&gt;=$B$23,$B$22,0))*(1+$B$4)^34)&gt;0,1+$B$3,1))</f>
        <v/>
      </c>
      <c r="AL122">
        <f>IF($B$1+35&gt;90,AK122,(AK122+IF($B$1+35&lt;=$B122,12*($B$7-$B$10),-12*MAX(0,($B$6+$B$10)-IF($B$1+35&gt;=$B$23,$B$22,0))*(1+$B$4)^35))*IF(AK122+IF($B$1+35&lt;=$B122,12*($B$7-$B$10),-12*MAX(0,($B$6+$B$10)-IF($B$1+35&gt;=$B$23,$B$22,0))*(1+$B$4)^35)&gt;0,1+$B$3,1))</f>
        <v/>
      </c>
      <c r="AM122">
        <f>IF($B$1+36&gt;90,AL122,(AL122+IF($B$1+36&lt;=$B122,12*($B$7-$B$10),-12*MAX(0,($B$6+$B$10)-IF($B$1+36&gt;=$B$23,$B$22,0))*(1+$B$4)^36))*IF(AL122+IF($B$1+36&lt;=$B122,12*($B$7-$B$10),-12*MAX(0,($B$6+$B$10)-IF($B$1+36&gt;=$B$23,$B$22,0))*(1+$B$4)^36)&gt;0,1+$B$3,1))</f>
        <v/>
      </c>
      <c r="AN122">
        <f>IF($B$1+37&gt;90,AM122,(AM122+IF($B$1+37&lt;=$B122,12*($B$7-$B$10),-12*MAX(0,($B$6+$B$10)-IF($B$1+37&gt;=$B$23,$B$22,0))*(1+$B$4)^37))*IF(AM122+IF($B$1+37&lt;=$B122,12*($B$7-$B$10),-12*MAX(0,($B$6+$B$10)-IF($B$1+37&gt;=$B$23,$B$22,0))*(1+$B$4)^37)&gt;0,1+$B$3,1))</f>
        <v/>
      </c>
      <c r="AO122">
        <f>IF($B$1+38&gt;90,AN122,(AN122+IF($B$1+38&lt;=$B122,12*($B$7-$B$10),-12*MAX(0,($B$6+$B$10)-IF($B$1+38&gt;=$B$23,$B$22,0))*(1+$B$4)^38))*IF(AN122+IF($B$1+38&lt;=$B122,12*($B$7-$B$10),-12*MAX(0,($B$6+$B$10)-IF($B$1+38&gt;=$B$23,$B$22,0))*(1+$B$4)^38)&gt;0,1+$B$3,1))</f>
        <v/>
      </c>
      <c r="AP122">
        <f>IF($B$1+39&gt;90,AO122,(AO122+IF($B$1+39&lt;=$B122,12*($B$7-$B$10),-12*MAX(0,($B$6+$B$10)-IF($B$1+39&gt;=$B$23,$B$22,0))*(1+$B$4)^39))*IF(AO122+IF($B$1+39&lt;=$B122,12*($B$7-$B$10),-12*MAX(0,($B$6+$B$10)-IF($B$1+39&gt;=$B$23,$B$22,0))*(1+$B$4)^39)&gt;0,1+$B$3,1))</f>
        <v/>
      </c>
      <c r="AQ122">
        <f>IF($B$1+40&gt;90,AP122,(AP122+IF($B$1+40&lt;=$B122,12*($B$7-$B$10),-12*MAX(0,($B$6+$B$10)-IF($B$1+40&gt;=$B$23,$B$22,0))*(1+$B$4)^40))*IF(AP122+IF($B$1+40&lt;=$B122,12*($B$7-$B$10),-12*MAX(0,($B$6+$B$10)-IF($B$1+40&gt;=$B$23,$B$22,0))*(1+$B$4)^40)&gt;0,1+$B$3,1))</f>
        <v/>
      </c>
      <c r="AR122">
        <f>IF($B$1+41&gt;90,AQ122,(AQ122+IF($B$1+41&lt;=$B122,12*($B$7-$B$10),-12*MAX(0,($B$6+$B$10)-IF($B$1+41&gt;=$B$23,$B$22,0))*(1+$B$4)^41))*IF(AQ122+IF($B$1+41&lt;=$B122,12*($B$7-$B$10),-12*MAX(0,($B$6+$B$10)-IF($B$1+41&gt;=$B$23,$B$22,0))*(1+$B$4)^41)&gt;0,1+$B$3,1))</f>
        <v/>
      </c>
      <c r="AS122">
        <f>IF($B$1+42&gt;90,AR122,(AR122+IF($B$1+42&lt;=$B122,12*($B$7-$B$10),-12*MAX(0,($B$6+$B$10)-IF($B$1+42&gt;=$B$23,$B$22,0))*(1+$B$4)^42))*IF(AR122+IF($B$1+42&lt;=$B122,12*($B$7-$B$10),-12*MAX(0,($B$6+$B$10)-IF($B$1+42&gt;=$B$23,$B$22,0))*(1+$B$4)^42)&gt;0,1+$B$3,1))</f>
        <v/>
      </c>
      <c r="AT122">
        <f>IF($B$1+43&gt;90,AS122,(AS122+IF($B$1+43&lt;=$B122,12*($B$7-$B$10),-12*MAX(0,($B$6+$B$10)-IF($B$1+43&gt;=$B$23,$B$22,0))*(1+$B$4)^43))*IF(AS122+IF($B$1+43&lt;=$B122,12*($B$7-$B$10),-12*MAX(0,($B$6+$B$10)-IF($B$1+43&gt;=$B$23,$B$22,0))*(1+$B$4)^43)&gt;0,1+$B$3,1))</f>
        <v/>
      </c>
      <c r="AU122">
        <f>IF($B$1+44&gt;90,AT122,(AT122+IF($B$1+44&lt;=$B122,12*($B$7-$B$10),-12*MAX(0,($B$6+$B$10)-IF($B$1+44&gt;=$B$23,$B$22,0))*(1+$B$4)^44))*IF(AT122+IF($B$1+44&lt;=$B122,12*($B$7-$B$10),-12*MAX(0,($B$6+$B$10)-IF($B$1+44&gt;=$B$23,$B$22,0))*(1+$B$4)^44)&gt;0,1+$B$3,1))</f>
        <v/>
      </c>
      <c r="AV122">
        <f>IF($B$1+45&gt;90,AU122,(AU122+IF($B$1+45&lt;=$B122,12*($B$7-$B$10),-12*MAX(0,($B$6+$B$10)-IF($B$1+45&gt;=$B$23,$B$22,0))*(1+$B$4)^45))*IF(AU122+IF($B$1+45&lt;=$B122,12*($B$7-$B$10),-12*MAX(0,($B$6+$B$10)-IF($B$1+45&gt;=$B$23,$B$22,0))*(1+$B$4)^45)&gt;0,1+$B$3,1))</f>
        <v/>
      </c>
      <c r="AW122">
        <f>IF($B$1+46&gt;90,AV122,(AV122+IF($B$1+46&lt;=$B122,12*($B$7-$B$10),-12*MAX(0,($B$6+$B$10)-IF($B$1+46&gt;=$B$23,$B$22,0))*(1+$B$4)^46))*IF(AV122+IF($B$1+46&lt;=$B122,12*($B$7-$B$10),-12*MAX(0,($B$6+$B$10)-IF($B$1+46&gt;=$B$23,$B$22,0))*(1+$B$4)^46)&gt;0,1+$B$3,1))</f>
        <v/>
      </c>
      <c r="AX122">
        <f>IF($B$1+47&gt;90,AW122,(AW122+IF($B$1+47&lt;=$B122,12*($B$7-$B$10),-12*MAX(0,($B$6+$B$10)-IF($B$1+47&gt;=$B$23,$B$22,0))*(1+$B$4)^47))*IF(AW122+IF($B$1+47&lt;=$B122,12*($B$7-$B$10),-12*MAX(0,($B$6+$B$10)-IF($B$1+47&gt;=$B$23,$B$22,0))*(1+$B$4)^47)&gt;0,1+$B$3,1))</f>
        <v/>
      </c>
      <c r="AY122">
        <f>IF($B$1+48&gt;90,AX122,(AX122+IF($B$1+48&lt;=$B122,12*($B$7-$B$10),-12*MAX(0,($B$6+$B$10)-IF($B$1+48&gt;=$B$23,$B$22,0))*(1+$B$4)^48))*IF(AX122+IF($B$1+48&lt;=$B122,12*($B$7-$B$10),-12*MAX(0,($B$6+$B$10)-IF($B$1+48&gt;=$B$23,$B$22,0))*(1+$B$4)^48)&gt;0,1+$B$3,1))</f>
        <v/>
      </c>
      <c r="AZ122">
        <f>IF($B$1+49&gt;90,AY122,(AY122+IF($B$1+49&lt;=$B122,12*($B$7-$B$10),-12*MAX(0,($B$6+$B$10)-IF($B$1+49&gt;=$B$23,$B$22,0))*(1+$B$4)^49))*IF(AY122+IF($B$1+49&lt;=$B122,12*($B$7-$B$10),-12*MAX(0,($B$6+$B$10)-IF($B$1+49&gt;=$B$23,$B$22,0))*(1+$B$4)^49)&gt;0,1+$B$3,1))</f>
        <v/>
      </c>
      <c r="BA122">
        <f>IF($B$1+50&gt;90,AZ122,(AZ122+IF($B$1+50&lt;=$B122,12*($B$7-$B$10),-12*MAX(0,($B$6+$B$10)-IF($B$1+50&gt;=$B$23,$B$22,0))*(1+$B$4)^50))*IF(AZ122+IF($B$1+50&lt;=$B122,12*($B$7-$B$10),-12*MAX(0,($B$6+$B$10)-IF($B$1+50&gt;=$B$23,$B$22,0))*(1+$B$4)^50)&gt;0,1+$B$3,1))</f>
        <v/>
      </c>
      <c r="BB122">
        <f>IF($B$1+51&gt;90,BA122,(BA122+IF($B$1+51&lt;=$B122,12*($B$7-$B$10),-12*MAX(0,($B$6+$B$10)-IF($B$1+51&gt;=$B$23,$B$22,0))*(1+$B$4)^51))*IF(BA122+IF($B$1+51&lt;=$B122,12*($B$7-$B$10),-12*MAX(0,($B$6+$B$10)-IF($B$1+51&gt;=$B$23,$B$22,0))*(1+$B$4)^51)&gt;0,1+$B$3,1))</f>
        <v/>
      </c>
      <c r="BC122">
        <f>IF($B$1+52&gt;90,BB122,(BB122+IF($B$1+52&lt;=$B122,12*($B$7-$B$10),-12*MAX(0,($B$6+$B$10)-IF($B$1+52&gt;=$B$23,$B$22,0))*(1+$B$4)^52))*IF(BB122+IF($B$1+52&lt;=$B122,12*($B$7-$B$10),-12*MAX(0,($B$6+$B$10)-IF($B$1+52&gt;=$B$23,$B$22,0))*(1+$B$4)^52)&gt;0,1+$B$3,1))</f>
        <v/>
      </c>
      <c r="BD122">
        <f>IF($B$1+53&gt;90,BC122,(BC122+IF($B$1+53&lt;=$B122,12*($B$7-$B$10),-12*MAX(0,($B$6+$B$10)-IF($B$1+53&gt;=$B$23,$B$22,0))*(1+$B$4)^53))*IF(BC122+IF($B$1+53&lt;=$B122,12*($B$7-$B$10),-12*MAX(0,($B$6+$B$10)-IF($B$1+53&gt;=$B$23,$B$22,0))*(1+$B$4)^53)&gt;0,1+$B$3,1))</f>
        <v/>
      </c>
      <c r="BE122">
        <f>IF($B$1+54&gt;90,BD122,(BD122+IF($B$1+54&lt;=$B122,12*($B$7-$B$10),-12*MAX(0,($B$6+$B$10)-IF($B$1+54&gt;=$B$23,$B$22,0))*(1+$B$4)^54))*IF(BD122+IF($B$1+54&lt;=$B122,12*($B$7-$B$10),-12*MAX(0,($B$6+$B$10)-IF($B$1+54&gt;=$B$23,$B$22,0))*(1+$B$4)^54)&gt;0,1+$B$3,1))</f>
        <v/>
      </c>
      <c r="BF122">
        <f>IF($B$1+55&gt;90,BE122,(BE122+IF($B$1+55&lt;=$B122,12*($B$7-$B$10),-12*MAX(0,($B$6+$B$10)-IF($B$1+55&gt;=$B$23,$B$22,0))*(1+$B$4)^55))*IF(BE122+IF($B$1+55&lt;=$B122,12*($B$7-$B$10),-12*MAX(0,($B$6+$B$10)-IF($B$1+55&gt;=$B$23,$B$22,0))*(1+$B$4)^55)&gt;0,1+$B$3,1))</f>
        <v/>
      </c>
      <c r="BG122">
        <f>IF($B$1+56&gt;90,BF122,(BF122+IF($B$1+56&lt;=$B122,12*($B$7-$B$10),-12*MAX(0,($B$6+$B$10)-IF($B$1+56&gt;=$B$23,$B$22,0))*(1+$B$4)^56))*IF(BF122+IF($B$1+56&lt;=$B122,12*($B$7-$B$10),-12*MAX(0,($B$6+$B$10)-IF($B$1+56&gt;=$B$23,$B$22,0))*(1+$B$4)^56)&gt;0,1+$B$3,1))</f>
        <v/>
      </c>
      <c r="BH122">
        <f>IF($B$1+57&gt;90,BG122,(BG122+IF($B$1+57&lt;=$B122,12*($B$7-$B$10),-12*MAX(0,($B$6+$B$10)-IF($B$1+57&gt;=$B$23,$B$22,0))*(1+$B$4)^57))*IF(BG122+IF($B$1+57&lt;=$B122,12*($B$7-$B$10),-12*MAX(0,($B$6+$B$10)-IF($B$1+57&gt;=$B$23,$B$22,0))*(1+$B$4)^57)&gt;0,1+$B$3,1))</f>
        <v/>
      </c>
      <c r="BI122">
        <f>IF($B$1+58&gt;90,BH122,(BH122+IF($B$1+58&lt;=$B122,12*($B$7-$B$10),-12*MAX(0,($B$6+$B$10)-IF($B$1+58&gt;=$B$23,$B$22,0))*(1+$B$4)^58))*IF(BH122+IF($B$1+58&lt;=$B122,12*($B$7-$B$10),-12*MAX(0,($B$6+$B$10)-IF($B$1+58&gt;=$B$23,$B$22,0))*(1+$B$4)^58)&gt;0,1+$B$3,1))</f>
        <v/>
      </c>
      <c r="BJ122">
        <f>IF($B$1+59&gt;90,BI122,(BI122+IF($B$1+59&lt;=$B122,12*($B$7-$B$10),-12*MAX(0,($B$6+$B$10)-IF($B$1+59&gt;=$B$23,$B$22,0))*(1+$B$4)^59))*IF(BI122+IF($B$1+59&lt;=$B122,12*($B$7-$B$10),-12*MAX(0,($B$6+$B$10)-IF($B$1+59&gt;=$B$23,$B$22,0))*(1+$B$4)^59)&gt;0,1+$B$3,1))</f>
        <v/>
      </c>
      <c r="BK122">
        <f>IF($B$1+60&gt;90,BJ122,(BJ122+IF($B$1+60&lt;=$B122,12*($B$7-$B$10),-12*MAX(0,($B$6+$B$10)-IF($B$1+60&gt;=$B$23,$B$22,0))*(1+$B$4)^60))*IF(BJ122+IF($B$1+60&lt;=$B122,12*($B$7-$B$10),-12*MAX(0,($B$6+$B$10)-IF($B$1+60&gt;=$B$23,$B$22,0))*(1+$B$4)^60)&gt;0,1+$B$3,1))</f>
        <v/>
      </c>
      <c r="BL122">
        <f>IF($B$1+61&gt;90,BK122,(BK122+IF($B$1+61&lt;=$B122,12*($B$7-$B$10),-12*MAX(0,($B$6+$B$10)-IF($B$1+61&gt;=$B$23,$B$22,0))*(1+$B$4)^61))*IF(BK122+IF($B$1+61&lt;=$B122,12*($B$7-$B$10),-12*MAX(0,($B$6+$B$10)-IF($B$1+61&gt;=$B$23,$B$22,0))*(1+$B$4)^61)&gt;0,1+$B$3,1))</f>
        <v/>
      </c>
      <c r="BM122">
        <f>IF($B$1+62&gt;90,BL122,(BL122+IF($B$1+62&lt;=$B122,12*($B$7-$B$10),-12*MAX(0,($B$6+$B$10)-IF($B$1+62&gt;=$B$23,$B$22,0))*(1+$B$4)^62))*IF(BL122+IF($B$1+62&lt;=$B122,12*($B$7-$B$10),-12*MAX(0,($B$6+$B$10)-IF($B$1+62&gt;=$B$23,$B$22,0))*(1+$B$4)^62)&gt;0,1+$B$3,1))</f>
        <v/>
      </c>
      <c r="BN122">
        <f>IF($B$1+63&gt;90,BM122,(BM122+IF($B$1+63&lt;=$B122,12*($B$7-$B$10),-12*MAX(0,($B$6+$B$10)-IF($B$1+63&gt;=$B$23,$B$22,0))*(1+$B$4)^63))*IF(BM122+IF($B$1+63&lt;=$B122,12*($B$7-$B$10),-12*MAX(0,($B$6+$B$10)-IF($B$1+63&gt;=$B$23,$B$22,0))*(1+$B$4)^63)&gt;0,1+$B$3,1))</f>
        <v/>
      </c>
      <c r="BO122">
        <f>IF($B$1+64&gt;90,BN122,(BN122+IF($B$1+64&lt;=$B122,12*($B$7-$B$10),-12*MAX(0,($B$6+$B$10)-IF($B$1+64&gt;=$B$23,$B$22,0))*(1+$B$4)^64))*IF(BN122+IF($B$1+64&lt;=$B122,12*($B$7-$B$10),-12*MAX(0,($B$6+$B$10)-IF($B$1+64&gt;=$B$23,$B$22,0))*(1+$B$4)^64)&gt;0,1+$B$3,1))</f>
        <v/>
      </c>
      <c r="BP122">
        <f>IF($B$1+65&gt;90,BO122,(BO122+IF($B$1+65&lt;=$B122,12*($B$7-$B$10),-12*MAX(0,($B$6+$B$10)-IF($B$1+65&gt;=$B$23,$B$22,0))*(1+$B$4)^65))*IF(BO122+IF($B$1+65&lt;=$B122,12*($B$7-$B$10),-12*MAX(0,($B$6+$B$10)-IF($B$1+65&gt;=$B$23,$B$22,0))*(1+$B$4)^65)&gt;0,1+$B$3,1))</f>
        <v/>
      </c>
      <c r="BQ122">
        <f>IF($B$1+66&gt;90,BP122,(BP122+IF($B$1+66&lt;=$B122,12*($B$7-$B$10),-12*MAX(0,($B$6+$B$10)-IF($B$1+66&gt;=$B$23,$B$22,0))*(1+$B$4)^66))*IF(BP122+IF($B$1+66&lt;=$B122,12*($B$7-$B$10),-12*MAX(0,($B$6+$B$10)-IF($B$1+66&gt;=$B$23,$B$22,0))*(1+$B$4)^66)&gt;0,1+$B$3,1))</f>
        <v/>
      </c>
      <c r="BR122">
        <f>IF($B$1+67&gt;90,BQ122,(BQ122+IF($B$1+67&lt;=$B122,12*($B$7-$B$10),-12*MAX(0,($B$6+$B$10)-IF($B$1+67&gt;=$B$23,$B$22,0))*(1+$B$4)^67))*IF(BQ122+IF($B$1+67&lt;=$B122,12*($B$7-$B$10),-12*MAX(0,($B$6+$B$10)-IF($B$1+67&gt;=$B$23,$B$22,0))*(1+$B$4)^67)&gt;0,1+$B$3,1))</f>
        <v/>
      </c>
      <c r="BS122">
        <f>IF($B$1+68&gt;90,BR122,(BR122+IF($B$1+68&lt;=$B122,12*($B$7-$B$10),-12*MAX(0,($B$6+$B$10)-IF($B$1+68&gt;=$B$23,$B$22,0))*(1+$B$4)^68))*IF(BR122+IF($B$1+68&lt;=$B122,12*($B$7-$B$10),-12*MAX(0,($B$6+$B$10)-IF($B$1+68&gt;=$B$23,$B$22,0))*(1+$B$4)^68)&gt;0,1+$B$3,1))</f>
        <v/>
      </c>
      <c r="BT122">
        <f>IF($B$1+69&gt;90,BS122,(BS122+IF($B$1+69&lt;=$B122,12*($B$7-$B$10),-12*MAX(0,($B$6+$B$10)-IF($B$1+69&gt;=$B$23,$B$22,0))*(1+$B$4)^69))*IF(BS122+IF($B$1+69&lt;=$B122,12*($B$7-$B$10),-12*MAX(0,($B$6+$B$10)-IF($B$1+69&gt;=$B$23,$B$22,0))*(1+$B$4)^69)&gt;0,1+$B$3,1))</f>
        <v/>
      </c>
      <c r="BU122">
        <f>IF($B$1+70&gt;90,BT122,(BT122+IF($B$1+70&lt;=$B122,12*($B$7-$B$10),-12*MAX(0,($B$6+$B$10)-IF($B$1+70&gt;=$B$23,$B$22,0))*(1+$B$4)^70))*IF(BT122+IF($B$1+70&lt;=$B122,12*($B$7-$B$10),-12*MAX(0,($B$6+$B$10)-IF($B$1+70&gt;=$B$23,$B$22,0))*(1+$B$4)^70)&gt;0,1+$B$3,1))</f>
        <v/>
      </c>
      <c r="BV122">
        <f>BU122</f>
        <v/>
      </c>
      <c r="BW122">
        <f>IF(AND($B122&lt;=70,BV122&gt;0),$B122,999)</f>
        <v/>
      </c>
      <c r="CH122">
        <f>IF(ISTEXT('월 가계부'!A122),SUBSTITUTE(SUBSTITUTE(SUBSTITUTE(SUBSTITUTE(SUBSTITUTE(SUBSTITUTE(SUBSTITUTE(SUBSTITUTE(SUBSTITUTE(TRIM('월 가계부'!A122),"년","-"),"월","-"),"일",""),".","-"),"/","-")," ","-"),"--","-"),"--","-"),"--","-")&amp;"-","")</f>
        <v/>
      </c>
      <c r="CI122">
        <f>IFERROR(IF('월 가계부'!A122="","",IF(ISNUMBER('월 가계부'!A122),IF(AND('월 가계부'!A122&gt;=19000101,'월 가계부'!A122&lt;=21001231),IF(AND(MOD(INT('월 가계부'!A122/100),100)&gt;=1,MOD(INT('월 가계부'!A122/100),100)&lt;=12,MOD(INT('월 가계부'!A122),100)&gt;=1,MOD(INT('월 가계부'!A122),100)&lt;=31),IF(MONTH(DATE(INT('월 가계부'!A122/10000),MOD(INT('월 가계부'!A122/100),100),MOD(INT('월 가계부'!A122),100)))=MOD(INT('월 가계부'!A122/100),100),DATE(INT('월 가계부'!A122/10000),MOD(INT('월 가계부'!A122/100),100),MOD(INT('월 가계부'!A122),100)),""),""),IF(AND('월 가계부'!A122&gt;=36526,'월 가계부'!A122&lt;73051),INT('월 가계부'!A122),"")),IF(OR(CM122="",CN122="",CO122=""),"",IF(AND(CM122&gt;=2000,CM122&lt;=2099,CN122&gt;=1,CN122&lt;=12,CO122&gt;=1,CO122&lt;=31),IF(MONTH(DATE(CM122,CN122,CO122))=CN122,DATE(CM122,CN122,CO122),""),"")))),"")</f>
        <v/>
      </c>
      <c r="CJ122">
        <f>IFERROR(IF('월 가계부'!C122="","",IF(ISNUMBER('월 가계부'!C122),'월 가계부'!C122,VALUE(SUBSTITUTE(SUBSTITUTE(SUBSTITUTE(SUBSTITUTE(TRIM('월 가계부'!C122),",",""),"원","")," ",""),"−","-")))),"")</f>
        <v/>
      </c>
      <c r="CK122">
        <f>IF(ISNUMBER(CI122),IF(CI122&lt;$B$13,CI122,""),"")</f>
        <v/>
      </c>
      <c r="CM122">
        <f>IF(CH122="","",IFERROR(IF(IF(AND(LEN(CH122)=9,ISERROR(FIND("-",LEFT(CH122,8))),ISNUMBER(-LEFT(CH122,8))),VALUE(LEFT(CH122,4)),VALUE(LEFT(CH122,FIND("-",CH122)-1)))&lt;100,IF(AND(LEN(CH122)=9,ISERROR(FIND("-",LEFT(CH122,8))),ISNUMBER(-LEFT(CH122,8))),VALUE(LEFT(CH122,4)),VALUE(LEFT(CH122,FIND("-",CH122)-1)))+2000,IF(AND(LEN(CH122)=9,ISERROR(FIND("-",LEFT(CH122,8))),ISNUMBER(-LEFT(CH122,8))),VALUE(LEFT(CH122,4)),VALUE(LEFT(CH122,FIND("-",CH122)-1)))),""))</f>
        <v/>
      </c>
      <c r="CN122">
        <f>IF(CH122="","",IFERROR(IF(AND(LEN(CH122)=9,ISERROR(FIND("-",LEFT(CH122,8))),ISNUMBER(-LEFT(CH122,8))),VALUE(MID(CH122,5,2)),VALUE(MID(CH122,FIND("-",CH122)+1,FIND("-",CH122,FIND("-",CH122)+1)-FIND("-",CH122)-1))),""))</f>
        <v/>
      </c>
      <c r="CO122">
        <f>IF(CH122="","",IFERROR(IF(AND(LEN(CH122)=9,ISERROR(FIND("-",LEFT(CH122,8))),ISNUMBER(-LEFT(CH122,8))),VALUE(MID(CH122,7,2)),VALUE(MID(CH122,FIND("-",CH122,FIND("-",CH122)+1)+1,FIND("-",CH122,FIND("-",CH122,FIND("-",CH122)+1)+1)-FIND("-",CH122,FIND("-",CH122)+1)-1))),""))</f>
        <v/>
      </c>
    </row>
    <row r="123">
      <c r="A123" t="n">
        <v>27</v>
      </c>
      <c r="B123">
        <f>$B$1+27</f>
        <v/>
      </c>
      <c r="C123">
        <f>$B$2</f>
        <v/>
      </c>
      <c r="D123">
        <f>IF($B$1+1&gt;90,C123,(C123+IF($B$1+1&lt;=$B123,12*($B$7-$B$10),-12*MAX(0,($B$6+$B$10)-IF($B$1+1&gt;=$B$23,$B$22,0))*(1+$B$4)^1))*IF(C123+IF($B$1+1&lt;=$B123,12*($B$7-$B$10),-12*MAX(0,($B$6+$B$10)-IF($B$1+1&gt;=$B$23,$B$22,0))*(1+$B$4)^1)&gt;0,1+$B$3,1))</f>
        <v/>
      </c>
      <c r="E123">
        <f>IF($B$1+2&gt;90,D123,(D123+IF($B$1+2&lt;=$B123,12*($B$7-$B$10),-12*MAX(0,($B$6+$B$10)-IF($B$1+2&gt;=$B$23,$B$22,0))*(1+$B$4)^2))*IF(D123+IF($B$1+2&lt;=$B123,12*($B$7-$B$10),-12*MAX(0,($B$6+$B$10)-IF($B$1+2&gt;=$B$23,$B$22,0))*(1+$B$4)^2)&gt;0,1+$B$3,1))</f>
        <v/>
      </c>
      <c r="F123">
        <f>IF($B$1+3&gt;90,E123,(E123+IF($B$1+3&lt;=$B123,12*($B$7-$B$10),-12*MAX(0,($B$6+$B$10)-IF($B$1+3&gt;=$B$23,$B$22,0))*(1+$B$4)^3))*IF(E123+IF($B$1+3&lt;=$B123,12*($B$7-$B$10),-12*MAX(0,($B$6+$B$10)-IF($B$1+3&gt;=$B$23,$B$22,0))*(1+$B$4)^3)&gt;0,1+$B$3,1))</f>
        <v/>
      </c>
      <c r="G123">
        <f>IF($B$1+4&gt;90,F123,(F123+IF($B$1+4&lt;=$B123,12*($B$7-$B$10),-12*MAX(0,($B$6+$B$10)-IF($B$1+4&gt;=$B$23,$B$22,0))*(1+$B$4)^4))*IF(F123+IF($B$1+4&lt;=$B123,12*($B$7-$B$10),-12*MAX(0,($B$6+$B$10)-IF($B$1+4&gt;=$B$23,$B$22,0))*(1+$B$4)^4)&gt;0,1+$B$3,1))</f>
        <v/>
      </c>
      <c r="H123">
        <f>IF($B$1+5&gt;90,G123,(G123+IF($B$1+5&lt;=$B123,12*($B$7-$B$10),-12*MAX(0,($B$6+$B$10)-IF($B$1+5&gt;=$B$23,$B$22,0))*(1+$B$4)^5))*IF(G123+IF($B$1+5&lt;=$B123,12*($B$7-$B$10),-12*MAX(0,($B$6+$B$10)-IF($B$1+5&gt;=$B$23,$B$22,0))*(1+$B$4)^5)&gt;0,1+$B$3,1))</f>
        <v/>
      </c>
      <c r="I123">
        <f>IF($B$1+6&gt;90,H123,(H123+IF($B$1+6&lt;=$B123,12*($B$7-$B$10),-12*MAX(0,($B$6+$B$10)-IF($B$1+6&gt;=$B$23,$B$22,0))*(1+$B$4)^6))*IF(H123+IF($B$1+6&lt;=$B123,12*($B$7-$B$10),-12*MAX(0,($B$6+$B$10)-IF($B$1+6&gt;=$B$23,$B$22,0))*(1+$B$4)^6)&gt;0,1+$B$3,1))</f>
        <v/>
      </c>
      <c r="J123">
        <f>IF($B$1+7&gt;90,I123,(I123+IF($B$1+7&lt;=$B123,12*($B$7-$B$10),-12*MAX(0,($B$6+$B$10)-IF($B$1+7&gt;=$B$23,$B$22,0))*(1+$B$4)^7))*IF(I123+IF($B$1+7&lt;=$B123,12*($B$7-$B$10),-12*MAX(0,($B$6+$B$10)-IF($B$1+7&gt;=$B$23,$B$22,0))*(1+$B$4)^7)&gt;0,1+$B$3,1))</f>
        <v/>
      </c>
      <c r="K123">
        <f>IF($B$1+8&gt;90,J123,(J123+IF($B$1+8&lt;=$B123,12*($B$7-$B$10),-12*MAX(0,($B$6+$B$10)-IF($B$1+8&gt;=$B$23,$B$22,0))*(1+$B$4)^8))*IF(J123+IF($B$1+8&lt;=$B123,12*($B$7-$B$10),-12*MAX(0,($B$6+$B$10)-IF($B$1+8&gt;=$B$23,$B$22,0))*(1+$B$4)^8)&gt;0,1+$B$3,1))</f>
        <v/>
      </c>
      <c r="L123">
        <f>IF($B$1+9&gt;90,K123,(K123+IF($B$1+9&lt;=$B123,12*($B$7-$B$10),-12*MAX(0,($B$6+$B$10)-IF($B$1+9&gt;=$B$23,$B$22,0))*(1+$B$4)^9))*IF(K123+IF($B$1+9&lt;=$B123,12*($B$7-$B$10),-12*MAX(0,($B$6+$B$10)-IF($B$1+9&gt;=$B$23,$B$22,0))*(1+$B$4)^9)&gt;0,1+$B$3,1))</f>
        <v/>
      </c>
      <c r="M123">
        <f>IF($B$1+10&gt;90,L123,(L123+IF($B$1+10&lt;=$B123,12*($B$7-$B$10),-12*MAX(0,($B$6+$B$10)-IF($B$1+10&gt;=$B$23,$B$22,0))*(1+$B$4)^10))*IF(L123+IF($B$1+10&lt;=$B123,12*($B$7-$B$10),-12*MAX(0,($B$6+$B$10)-IF($B$1+10&gt;=$B$23,$B$22,0))*(1+$B$4)^10)&gt;0,1+$B$3,1))</f>
        <v/>
      </c>
      <c r="N123">
        <f>IF($B$1+11&gt;90,M123,(M123+IF($B$1+11&lt;=$B123,12*($B$7-$B$10),-12*MAX(0,($B$6+$B$10)-IF($B$1+11&gt;=$B$23,$B$22,0))*(1+$B$4)^11))*IF(M123+IF($B$1+11&lt;=$B123,12*($B$7-$B$10),-12*MAX(0,($B$6+$B$10)-IF($B$1+11&gt;=$B$23,$B$22,0))*(1+$B$4)^11)&gt;0,1+$B$3,1))</f>
        <v/>
      </c>
      <c r="O123">
        <f>IF($B$1+12&gt;90,N123,(N123+IF($B$1+12&lt;=$B123,12*($B$7-$B$10),-12*MAX(0,($B$6+$B$10)-IF($B$1+12&gt;=$B$23,$B$22,0))*(1+$B$4)^12))*IF(N123+IF($B$1+12&lt;=$B123,12*($B$7-$B$10),-12*MAX(0,($B$6+$B$10)-IF($B$1+12&gt;=$B$23,$B$22,0))*(1+$B$4)^12)&gt;0,1+$B$3,1))</f>
        <v/>
      </c>
      <c r="P123">
        <f>IF($B$1+13&gt;90,O123,(O123+IF($B$1+13&lt;=$B123,12*($B$7-$B$10),-12*MAX(0,($B$6+$B$10)-IF($B$1+13&gt;=$B$23,$B$22,0))*(1+$B$4)^13))*IF(O123+IF($B$1+13&lt;=$B123,12*($B$7-$B$10),-12*MAX(0,($B$6+$B$10)-IF($B$1+13&gt;=$B$23,$B$22,0))*(1+$B$4)^13)&gt;0,1+$B$3,1))</f>
        <v/>
      </c>
      <c r="Q123">
        <f>IF($B$1+14&gt;90,P123,(P123+IF($B$1+14&lt;=$B123,12*($B$7-$B$10),-12*MAX(0,($B$6+$B$10)-IF($B$1+14&gt;=$B$23,$B$22,0))*(1+$B$4)^14))*IF(P123+IF($B$1+14&lt;=$B123,12*($B$7-$B$10),-12*MAX(0,($B$6+$B$10)-IF($B$1+14&gt;=$B$23,$B$22,0))*(1+$B$4)^14)&gt;0,1+$B$3,1))</f>
        <v/>
      </c>
      <c r="R123">
        <f>IF($B$1+15&gt;90,Q123,(Q123+IF($B$1+15&lt;=$B123,12*($B$7-$B$10),-12*MAX(0,($B$6+$B$10)-IF($B$1+15&gt;=$B$23,$B$22,0))*(1+$B$4)^15))*IF(Q123+IF($B$1+15&lt;=$B123,12*($B$7-$B$10),-12*MAX(0,($B$6+$B$10)-IF($B$1+15&gt;=$B$23,$B$22,0))*(1+$B$4)^15)&gt;0,1+$B$3,1))</f>
        <v/>
      </c>
      <c r="S123">
        <f>IF($B$1+16&gt;90,R123,(R123+IF($B$1+16&lt;=$B123,12*($B$7-$B$10),-12*MAX(0,($B$6+$B$10)-IF($B$1+16&gt;=$B$23,$B$22,0))*(1+$B$4)^16))*IF(R123+IF($B$1+16&lt;=$B123,12*($B$7-$B$10),-12*MAX(0,($B$6+$B$10)-IF($B$1+16&gt;=$B$23,$B$22,0))*(1+$B$4)^16)&gt;0,1+$B$3,1))</f>
        <v/>
      </c>
      <c r="T123">
        <f>IF($B$1+17&gt;90,S123,(S123+IF($B$1+17&lt;=$B123,12*($B$7-$B$10),-12*MAX(0,($B$6+$B$10)-IF($B$1+17&gt;=$B$23,$B$22,0))*(1+$B$4)^17))*IF(S123+IF($B$1+17&lt;=$B123,12*($B$7-$B$10),-12*MAX(0,($B$6+$B$10)-IF($B$1+17&gt;=$B$23,$B$22,0))*(1+$B$4)^17)&gt;0,1+$B$3,1))</f>
        <v/>
      </c>
      <c r="U123">
        <f>IF($B$1+18&gt;90,T123,(T123+IF($B$1+18&lt;=$B123,12*($B$7-$B$10),-12*MAX(0,($B$6+$B$10)-IF($B$1+18&gt;=$B$23,$B$22,0))*(1+$B$4)^18))*IF(T123+IF($B$1+18&lt;=$B123,12*($B$7-$B$10),-12*MAX(0,($B$6+$B$10)-IF($B$1+18&gt;=$B$23,$B$22,0))*(1+$B$4)^18)&gt;0,1+$B$3,1))</f>
        <v/>
      </c>
      <c r="V123">
        <f>IF($B$1+19&gt;90,U123,(U123+IF($B$1+19&lt;=$B123,12*($B$7-$B$10),-12*MAX(0,($B$6+$B$10)-IF($B$1+19&gt;=$B$23,$B$22,0))*(1+$B$4)^19))*IF(U123+IF($B$1+19&lt;=$B123,12*($B$7-$B$10),-12*MAX(0,($B$6+$B$10)-IF($B$1+19&gt;=$B$23,$B$22,0))*(1+$B$4)^19)&gt;0,1+$B$3,1))</f>
        <v/>
      </c>
      <c r="W123">
        <f>IF($B$1+20&gt;90,V123,(V123+IF($B$1+20&lt;=$B123,12*($B$7-$B$10),-12*MAX(0,($B$6+$B$10)-IF($B$1+20&gt;=$B$23,$B$22,0))*(1+$B$4)^20))*IF(V123+IF($B$1+20&lt;=$B123,12*($B$7-$B$10),-12*MAX(0,($B$6+$B$10)-IF($B$1+20&gt;=$B$23,$B$22,0))*(1+$B$4)^20)&gt;0,1+$B$3,1))</f>
        <v/>
      </c>
      <c r="X123">
        <f>IF($B$1+21&gt;90,W123,(W123+IF($B$1+21&lt;=$B123,12*($B$7-$B$10),-12*MAX(0,($B$6+$B$10)-IF($B$1+21&gt;=$B$23,$B$22,0))*(1+$B$4)^21))*IF(W123+IF($B$1+21&lt;=$B123,12*($B$7-$B$10),-12*MAX(0,($B$6+$B$10)-IF($B$1+21&gt;=$B$23,$B$22,0))*(1+$B$4)^21)&gt;0,1+$B$3,1))</f>
        <v/>
      </c>
      <c r="Y123">
        <f>IF($B$1+22&gt;90,X123,(X123+IF($B$1+22&lt;=$B123,12*($B$7-$B$10),-12*MAX(0,($B$6+$B$10)-IF($B$1+22&gt;=$B$23,$B$22,0))*(1+$B$4)^22))*IF(X123+IF($B$1+22&lt;=$B123,12*($B$7-$B$10),-12*MAX(0,($B$6+$B$10)-IF($B$1+22&gt;=$B$23,$B$22,0))*(1+$B$4)^22)&gt;0,1+$B$3,1))</f>
        <v/>
      </c>
      <c r="Z123">
        <f>IF($B$1+23&gt;90,Y123,(Y123+IF($B$1+23&lt;=$B123,12*($B$7-$B$10),-12*MAX(0,($B$6+$B$10)-IF($B$1+23&gt;=$B$23,$B$22,0))*(1+$B$4)^23))*IF(Y123+IF($B$1+23&lt;=$B123,12*($B$7-$B$10),-12*MAX(0,($B$6+$B$10)-IF($B$1+23&gt;=$B$23,$B$22,0))*(1+$B$4)^23)&gt;0,1+$B$3,1))</f>
        <v/>
      </c>
      <c r="AA123">
        <f>IF($B$1+24&gt;90,Z123,(Z123+IF($B$1+24&lt;=$B123,12*($B$7-$B$10),-12*MAX(0,($B$6+$B$10)-IF($B$1+24&gt;=$B$23,$B$22,0))*(1+$B$4)^24))*IF(Z123+IF($B$1+24&lt;=$B123,12*($B$7-$B$10),-12*MAX(0,($B$6+$B$10)-IF($B$1+24&gt;=$B$23,$B$22,0))*(1+$B$4)^24)&gt;0,1+$B$3,1))</f>
        <v/>
      </c>
      <c r="AB123">
        <f>IF($B$1+25&gt;90,AA123,(AA123+IF($B$1+25&lt;=$B123,12*($B$7-$B$10),-12*MAX(0,($B$6+$B$10)-IF($B$1+25&gt;=$B$23,$B$22,0))*(1+$B$4)^25))*IF(AA123+IF($B$1+25&lt;=$B123,12*($B$7-$B$10),-12*MAX(0,($B$6+$B$10)-IF($B$1+25&gt;=$B$23,$B$22,0))*(1+$B$4)^25)&gt;0,1+$B$3,1))</f>
        <v/>
      </c>
      <c r="AC123">
        <f>IF($B$1+26&gt;90,AB123,(AB123+IF($B$1+26&lt;=$B123,12*($B$7-$B$10),-12*MAX(0,($B$6+$B$10)-IF($B$1+26&gt;=$B$23,$B$22,0))*(1+$B$4)^26))*IF(AB123+IF($B$1+26&lt;=$B123,12*($B$7-$B$10),-12*MAX(0,($B$6+$B$10)-IF($B$1+26&gt;=$B$23,$B$22,0))*(1+$B$4)^26)&gt;0,1+$B$3,1))</f>
        <v/>
      </c>
      <c r="AD123">
        <f>IF($B$1+27&gt;90,AC123,(AC123+IF($B$1+27&lt;=$B123,12*($B$7-$B$10),-12*MAX(0,($B$6+$B$10)-IF($B$1+27&gt;=$B$23,$B$22,0))*(1+$B$4)^27))*IF(AC123+IF($B$1+27&lt;=$B123,12*($B$7-$B$10),-12*MAX(0,($B$6+$B$10)-IF($B$1+27&gt;=$B$23,$B$22,0))*(1+$B$4)^27)&gt;0,1+$B$3,1))</f>
        <v/>
      </c>
      <c r="AE123">
        <f>IF($B$1+28&gt;90,AD123,(AD123+IF($B$1+28&lt;=$B123,12*($B$7-$B$10),-12*MAX(0,($B$6+$B$10)-IF($B$1+28&gt;=$B$23,$B$22,0))*(1+$B$4)^28))*IF(AD123+IF($B$1+28&lt;=$B123,12*($B$7-$B$10),-12*MAX(0,($B$6+$B$10)-IF($B$1+28&gt;=$B$23,$B$22,0))*(1+$B$4)^28)&gt;0,1+$B$3,1))</f>
        <v/>
      </c>
      <c r="AF123">
        <f>IF($B$1+29&gt;90,AE123,(AE123+IF($B$1+29&lt;=$B123,12*($B$7-$B$10),-12*MAX(0,($B$6+$B$10)-IF($B$1+29&gt;=$B$23,$B$22,0))*(1+$B$4)^29))*IF(AE123+IF($B$1+29&lt;=$B123,12*($B$7-$B$10),-12*MAX(0,($B$6+$B$10)-IF($B$1+29&gt;=$B$23,$B$22,0))*(1+$B$4)^29)&gt;0,1+$B$3,1))</f>
        <v/>
      </c>
      <c r="AG123">
        <f>IF($B$1+30&gt;90,AF123,(AF123+IF($B$1+30&lt;=$B123,12*($B$7-$B$10),-12*MAX(0,($B$6+$B$10)-IF($B$1+30&gt;=$B$23,$B$22,0))*(1+$B$4)^30))*IF(AF123+IF($B$1+30&lt;=$B123,12*($B$7-$B$10),-12*MAX(0,($B$6+$B$10)-IF($B$1+30&gt;=$B$23,$B$22,0))*(1+$B$4)^30)&gt;0,1+$B$3,1))</f>
        <v/>
      </c>
      <c r="AH123">
        <f>IF($B$1+31&gt;90,AG123,(AG123+IF($B$1+31&lt;=$B123,12*($B$7-$B$10),-12*MAX(0,($B$6+$B$10)-IF($B$1+31&gt;=$B$23,$B$22,0))*(1+$B$4)^31))*IF(AG123+IF($B$1+31&lt;=$B123,12*($B$7-$B$10),-12*MAX(0,($B$6+$B$10)-IF($B$1+31&gt;=$B$23,$B$22,0))*(1+$B$4)^31)&gt;0,1+$B$3,1))</f>
        <v/>
      </c>
      <c r="AI123">
        <f>IF($B$1+32&gt;90,AH123,(AH123+IF($B$1+32&lt;=$B123,12*($B$7-$B$10),-12*MAX(0,($B$6+$B$10)-IF($B$1+32&gt;=$B$23,$B$22,0))*(1+$B$4)^32))*IF(AH123+IF($B$1+32&lt;=$B123,12*($B$7-$B$10),-12*MAX(0,($B$6+$B$10)-IF($B$1+32&gt;=$B$23,$B$22,0))*(1+$B$4)^32)&gt;0,1+$B$3,1))</f>
        <v/>
      </c>
      <c r="AJ123">
        <f>IF($B$1+33&gt;90,AI123,(AI123+IF($B$1+33&lt;=$B123,12*($B$7-$B$10),-12*MAX(0,($B$6+$B$10)-IF($B$1+33&gt;=$B$23,$B$22,0))*(1+$B$4)^33))*IF(AI123+IF($B$1+33&lt;=$B123,12*($B$7-$B$10),-12*MAX(0,($B$6+$B$10)-IF($B$1+33&gt;=$B$23,$B$22,0))*(1+$B$4)^33)&gt;0,1+$B$3,1))</f>
        <v/>
      </c>
      <c r="AK123">
        <f>IF($B$1+34&gt;90,AJ123,(AJ123+IF($B$1+34&lt;=$B123,12*($B$7-$B$10),-12*MAX(0,($B$6+$B$10)-IF($B$1+34&gt;=$B$23,$B$22,0))*(1+$B$4)^34))*IF(AJ123+IF($B$1+34&lt;=$B123,12*($B$7-$B$10),-12*MAX(0,($B$6+$B$10)-IF($B$1+34&gt;=$B$23,$B$22,0))*(1+$B$4)^34)&gt;0,1+$B$3,1))</f>
        <v/>
      </c>
      <c r="AL123">
        <f>IF($B$1+35&gt;90,AK123,(AK123+IF($B$1+35&lt;=$B123,12*($B$7-$B$10),-12*MAX(0,($B$6+$B$10)-IF($B$1+35&gt;=$B$23,$B$22,0))*(1+$B$4)^35))*IF(AK123+IF($B$1+35&lt;=$B123,12*($B$7-$B$10),-12*MAX(0,($B$6+$B$10)-IF($B$1+35&gt;=$B$23,$B$22,0))*(1+$B$4)^35)&gt;0,1+$B$3,1))</f>
        <v/>
      </c>
      <c r="AM123">
        <f>IF($B$1+36&gt;90,AL123,(AL123+IF($B$1+36&lt;=$B123,12*($B$7-$B$10),-12*MAX(0,($B$6+$B$10)-IF($B$1+36&gt;=$B$23,$B$22,0))*(1+$B$4)^36))*IF(AL123+IF($B$1+36&lt;=$B123,12*($B$7-$B$10),-12*MAX(0,($B$6+$B$10)-IF($B$1+36&gt;=$B$23,$B$22,0))*(1+$B$4)^36)&gt;0,1+$B$3,1))</f>
        <v/>
      </c>
      <c r="AN123">
        <f>IF($B$1+37&gt;90,AM123,(AM123+IF($B$1+37&lt;=$B123,12*($B$7-$B$10),-12*MAX(0,($B$6+$B$10)-IF($B$1+37&gt;=$B$23,$B$22,0))*(1+$B$4)^37))*IF(AM123+IF($B$1+37&lt;=$B123,12*($B$7-$B$10),-12*MAX(0,($B$6+$B$10)-IF($B$1+37&gt;=$B$23,$B$22,0))*(1+$B$4)^37)&gt;0,1+$B$3,1))</f>
        <v/>
      </c>
      <c r="AO123">
        <f>IF($B$1+38&gt;90,AN123,(AN123+IF($B$1+38&lt;=$B123,12*($B$7-$B$10),-12*MAX(0,($B$6+$B$10)-IF($B$1+38&gt;=$B$23,$B$22,0))*(1+$B$4)^38))*IF(AN123+IF($B$1+38&lt;=$B123,12*($B$7-$B$10),-12*MAX(0,($B$6+$B$10)-IF($B$1+38&gt;=$B$23,$B$22,0))*(1+$B$4)^38)&gt;0,1+$B$3,1))</f>
        <v/>
      </c>
      <c r="AP123">
        <f>IF($B$1+39&gt;90,AO123,(AO123+IF($B$1+39&lt;=$B123,12*($B$7-$B$10),-12*MAX(0,($B$6+$B$10)-IF($B$1+39&gt;=$B$23,$B$22,0))*(1+$B$4)^39))*IF(AO123+IF($B$1+39&lt;=$B123,12*($B$7-$B$10),-12*MAX(0,($B$6+$B$10)-IF($B$1+39&gt;=$B$23,$B$22,0))*(1+$B$4)^39)&gt;0,1+$B$3,1))</f>
        <v/>
      </c>
      <c r="AQ123">
        <f>IF($B$1+40&gt;90,AP123,(AP123+IF($B$1+40&lt;=$B123,12*($B$7-$B$10),-12*MAX(0,($B$6+$B$10)-IF($B$1+40&gt;=$B$23,$B$22,0))*(1+$B$4)^40))*IF(AP123+IF($B$1+40&lt;=$B123,12*($B$7-$B$10),-12*MAX(0,($B$6+$B$10)-IF($B$1+40&gt;=$B$23,$B$22,0))*(1+$B$4)^40)&gt;0,1+$B$3,1))</f>
        <v/>
      </c>
      <c r="AR123">
        <f>IF($B$1+41&gt;90,AQ123,(AQ123+IF($B$1+41&lt;=$B123,12*($B$7-$B$10),-12*MAX(0,($B$6+$B$10)-IF($B$1+41&gt;=$B$23,$B$22,0))*(1+$B$4)^41))*IF(AQ123+IF($B$1+41&lt;=$B123,12*($B$7-$B$10),-12*MAX(0,($B$6+$B$10)-IF($B$1+41&gt;=$B$23,$B$22,0))*(1+$B$4)^41)&gt;0,1+$B$3,1))</f>
        <v/>
      </c>
      <c r="AS123">
        <f>IF($B$1+42&gt;90,AR123,(AR123+IF($B$1+42&lt;=$B123,12*($B$7-$B$10),-12*MAX(0,($B$6+$B$10)-IF($B$1+42&gt;=$B$23,$B$22,0))*(1+$B$4)^42))*IF(AR123+IF($B$1+42&lt;=$B123,12*($B$7-$B$10),-12*MAX(0,($B$6+$B$10)-IF($B$1+42&gt;=$B$23,$B$22,0))*(1+$B$4)^42)&gt;0,1+$B$3,1))</f>
        <v/>
      </c>
      <c r="AT123">
        <f>IF($B$1+43&gt;90,AS123,(AS123+IF($B$1+43&lt;=$B123,12*($B$7-$B$10),-12*MAX(0,($B$6+$B$10)-IF($B$1+43&gt;=$B$23,$B$22,0))*(1+$B$4)^43))*IF(AS123+IF($B$1+43&lt;=$B123,12*($B$7-$B$10),-12*MAX(0,($B$6+$B$10)-IF($B$1+43&gt;=$B$23,$B$22,0))*(1+$B$4)^43)&gt;0,1+$B$3,1))</f>
        <v/>
      </c>
      <c r="AU123">
        <f>IF($B$1+44&gt;90,AT123,(AT123+IF($B$1+44&lt;=$B123,12*($B$7-$B$10),-12*MAX(0,($B$6+$B$10)-IF($B$1+44&gt;=$B$23,$B$22,0))*(1+$B$4)^44))*IF(AT123+IF($B$1+44&lt;=$B123,12*($B$7-$B$10),-12*MAX(0,($B$6+$B$10)-IF($B$1+44&gt;=$B$23,$B$22,0))*(1+$B$4)^44)&gt;0,1+$B$3,1))</f>
        <v/>
      </c>
      <c r="AV123">
        <f>IF($B$1+45&gt;90,AU123,(AU123+IF($B$1+45&lt;=$B123,12*($B$7-$B$10),-12*MAX(0,($B$6+$B$10)-IF($B$1+45&gt;=$B$23,$B$22,0))*(1+$B$4)^45))*IF(AU123+IF($B$1+45&lt;=$B123,12*($B$7-$B$10),-12*MAX(0,($B$6+$B$10)-IF($B$1+45&gt;=$B$23,$B$22,0))*(1+$B$4)^45)&gt;0,1+$B$3,1))</f>
        <v/>
      </c>
      <c r="AW123">
        <f>IF($B$1+46&gt;90,AV123,(AV123+IF($B$1+46&lt;=$B123,12*($B$7-$B$10),-12*MAX(0,($B$6+$B$10)-IF($B$1+46&gt;=$B$23,$B$22,0))*(1+$B$4)^46))*IF(AV123+IF($B$1+46&lt;=$B123,12*($B$7-$B$10),-12*MAX(0,($B$6+$B$10)-IF($B$1+46&gt;=$B$23,$B$22,0))*(1+$B$4)^46)&gt;0,1+$B$3,1))</f>
        <v/>
      </c>
      <c r="AX123">
        <f>IF($B$1+47&gt;90,AW123,(AW123+IF($B$1+47&lt;=$B123,12*($B$7-$B$10),-12*MAX(0,($B$6+$B$10)-IF($B$1+47&gt;=$B$23,$B$22,0))*(1+$B$4)^47))*IF(AW123+IF($B$1+47&lt;=$B123,12*($B$7-$B$10),-12*MAX(0,($B$6+$B$10)-IF($B$1+47&gt;=$B$23,$B$22,0))*(1+$B$4)^47)&gt;0,1+$B$3,1))</f>
        <v/>
      </c>
      <c r="AY123">
        <f>IF($B$1+48&gt;90,AX123,(AX123+IF($B$1+48&lt;=$B123,12*($B$7-$B$10),-12*MAX(0,($B$6+$B$10)-IF($B$1+48&gt;=$B$23,$B$22,0))*(1+$B$4)^48))*IF(AX123+IF($B$1+48&lt;=$B123,12*($B$7-$B$10),-12*MAX(0,($B$6+$B$10)-IF($B$1+48&gt;=$B$23,$B$22,0))*(1+$B$4)^48)&gt;0,1+$B$3,1))</f>
        <v/>
      </c>
      <c r="AZ123">
        <f>IF($B$1+49&gt;90,AY123,(AY123+IF($B$1+49&lt;=$B123,12*($B$7-$B$10),-12*MAX(0,($B$6+$B$10)-IF($B$1+49&gt;=$B$23,$B$22,0))*(1+$B$4)^49))*IF(AY123+IF($B$1+49&lt;=$B123,12*($B$7-$B$10),-12*MAX(0,($B$6+$B$10)-IF($B$1+49&gt;=$B$23,$B$22,0))*(1+$B$4)^49)&gt;0,1+$B$3,1))</f>
        <v/>
      </c>
      <c r="BA123">
        <f>IF($B$1+50&gt;90,AZ123,(AZ123+IF($B$1+50&lt;=$B123,12*($B$7-$B$10),-12*MAX(0,($B$6+$B$10)-IF($B$1+50&gt;=$B$23,$B$22,0))*(1+$B$4)^50))*IF(AZ123+IF($B$1+50&lt;=$B123,12*($B$7-$B$10),-12*MAX(0,($B$6+$B$10)-IF($B$1+50&gt;=$B$23,$B$22,0))*(1+$B$4)^50)&gt;0,1+$B$3,1))</f>
        <v/>
      </c>
      <c r="BB123">
        <f>IF($B$1+51&gt;90,BA123,(BA123+IF($B$1+51&lt;=$B123,12*($B$7-$B$10),-12*MAX(0,($B$6+$B$10)-IF($B$1+51&gt;=$B$23,$B$22,0))*(1+$B$4)^51))*IF(BA123+IF($B$1+51&lt;=$B123,12*($B$7-$B$10),-12*MAX(0,($B$6+$B$10)-IF($B$1+51&gt;=$B$23,$B$22,0))*(1+$B$4)^51)&gt;0,1+$B$3,1))</f>
        <v/>
      </c>
      <c r="BC123">
        <f>IF($B$1+52&gt;90,BB123,(BB123+IF($B$1+52&lt;=$B123,12*($B$7-$B$10),-12*MAX(0,($B$6+$B$10)-IF($B$1+52&gt;=$B$23,$B$22,0))*(1+$B$4)^52))*IF(BB123+IF($B$1+52&lt;=$B123,12*($B$7-$B$10),-12*MAX(0,($B$6+$B$10)-IF($B$1+52&gt;=$B$23,$B$22,0))*(1+$B$4)^52)&gt;0,1+$B$3,1))</f>
        <v/>
      </c>
      <c r="BD123">
        <f>IF($B$1+53&gt;90,BC123,(BC123+IF($B$1+53&lt;=$B123,12*($B$7-$B$10),-12*MAX(0,($B$6+$B$10)-IF($B$1+53&gt;=$B$23,$B$22,0))*(1+$B$4)^53))*IF(BC123+IF($B$1+53&lt;=$B123,12*($B$7-$B$10),-12*MAX(0,($B$6+$B$10)-IF($B$1+53&gt;=$B$23,$B$22,0))*(1+$B$4)^53)&gt;0,1+$B$3,1))</f>
        <v/>
      </c>
      <c r="BE123">
        <f>IF($B$1+54&gt;90,BD123,(BD123+IF($B$1+54&lt;=$B123,12*($B$7-$B$10),-12*MAX(0,($B$6+$B$10)-IF($B$1+54&gt;=$B$23,$B$22,0))*(1+$B$4)^54))*IF(BD123+IF($B$1+54&lt;=$B123,12*($B$7-$B$10),-12*MAX(0,($B$6+$B$10)-IF($B$1+54&gt;=$B$23,$B$22,0))*(1+$B$4)^54)&gt;0,1+$B$3,1))</f>
        <v/>
      </c>
      <c r="BF123">
        <f>IF($B$1+55&gt;90,BE123,(BE123+IF($B$1+55&lt;=$B123,12*($B$7-$B$10),-12*MAX(0,($B$6+$B$10)-IF($B$1+55&gt;=$B$23,$B$22,0))*(1+$B$4)^55))*IF(BE123+IF($B$1+55&lt;=$B123,12*($B$7-$B$10),-12*MAX(0,($B$6+$B$10)-IF($B$1+55&gt;=$B$23,$B$22,0))*(1+$B$4)^55)&gt;0,1+$B$3,1))</f>
        <v/>
      </c>
      <c r="BG123">
        <f>IF($B$1+56&gt;90,BF123,(BF123+IF($B$1+56&lt;=$B123,12*($B$7-$B$10),-12*MAX(0,($B$6+$B$10)-IF($B$1+56&gt;=$B$23,$B$22,0))*(1+$B$4)^56))*IF(BF123+IF($B$1+56&lt;=$B123,12*($B$7-$B$10),-12*MAX(0,($B$6+$B$10)-IF($B$1+56&gt;=$B$23,$B$22,0))*(1+$B$4)^56)&gt;0,1+$B$3,1))</f>
        <v/>
      </c>
      <c r="BH123">
        <f>IF($B$1+57&gt;90,BG123,(BG123+IF($B$1+57&lt;=$B123,12*($B$7-$B$10),-12*MAX(0,($B$6+$B$10)-IF($B$1+57&gt;=$B$23,$B$22,0))*(1+$B$4)^57))*IF(BG123+IF($B$1+57&lt;=$B123,12*($B$7-$B$10),-12*MAX(0,($B$6+$B$10)-IF($B$1+57&gt;=$B$23,$B$22,0))*(1+$B$4)^57)&gt;0,1+$B$3,1))</f>
        <v/>
      </c>
      <c r="BI123">
        <f>IF($B$1+58&gt;90,BH123,(BH123+IF($B$1+58&lt;=$B123,12*($B$7-$B$10),-12*MAX(0,($B$6+$B$10)-IF($B$1+58&gt;=$B$23,$B$22,0))*(1+$B$4)^58))*IF(BH123+IF($B$1+58&lt;=$B123,12*($B$7-$B$10),-12*MAX(0,($B$6+$B$10)-IF($B$1+58&gt;=$B$23,$B$22,0))*(1+$B$4)^58)&gt;0,1+$B$3,1))</f>
        <v/>
      </c>
      <c r="BJ123">
        <f>IF($B$1+59&gt;90,BI123,(BI123+IF($B$1+59&lt;=$B123,12*($B$7-$B$10),-12*MAX(0,($B$6+$B$10)-IF($B$1+59&gt;=$B$23,$B$22,0))*(1+$B$4)^59))*IF(BI123+IF($B$1+59&lt;=$B123,12*($B$7-$B$10),-12*MAX(0,($B$6+$B$10)-IF($B$1+59&gt;=$B$23,$B$22,0))*(1+$B$4)^59)&gt;0,1+$B$3,1))</f>
        <v/>
      </c>
      <c r="BK123">
        <f>IF($B$1+60&gt;90,BJ123,(BJ123+IF($B$1+60&lt;=$B123,12*($B$7-$B$10),-12*MAX(0,($B$6+$B$10)-IF($B$1+60&gt;=$B$23,$B$22,0))*(1+$B$4)^60))*IF(BJ123+IF($B$1+60&lt;=$B123,12*($B$7-$B$10),-12*MAX(0,($B$6+$B$10)-IF($B$1+60&gt;=$B$23,$B$22,0))*(1+$B$4)^60)&gt;0,1+$B$3,1))</f>
        <v/>
      </c>
      <c r="BL123">
        <f>IF($B$1+61&gt;90,BK123,(BK123+IF($B$1+61&lt;=$B123,12*($B$7-$B$10),-12*MAX(0,($B$6+$B$10)-IF($B$1+61&gt;=$B$23,$B$22,0))*(1+$B$4)^61))*IF(BK123+IF($B$1+61&lt;=$B123,12*($B$7-$B$10),-12*MAX(0,($B$6+$B$10)-IF($B$1+61&gt;=$B$23,$B$22,0))*(1+$B$4)^61)&gt;0,1+$B$3,1))</f>
        <v/>
      </c>
      <c r="BM123">
        <f>IF($B$1+62&gt;90,BL123,(BL123+IF($B$1+62&lt;=$B123,12*($B$7-$B$10),-12*MAX(0,($B$6+$B$10)-IF($B$1+62&gt;=$B$23,$B$22,0))*(1+$B$4)^62))*IF(BL123+IF($B$1+62&lt;=$B123,12*($B$7-$B$10),-12*MAX(0,($B$6+$B$10)-IF($B$1+62&gt;=$B$23,$B$22,0))*(1+$B$4)^62)&gt;0,1+$B$3,1))</f>
        <v/>
      </c>
      <c r="BN123">
        <f>IF($B$1+63&gt;90,BM123,(BM123+IF($B$1+63&lt;=$B123,12*($B$7-$B$10),-12*MAX(0,($B$6+$B$10)-IF($B$1+63&gt;=$B$23,$B$22,0))*(1+$B$4)^63))*IF(BM123+IF($B$1+63&lt;=$B123,12*($B$7-$B$10),-12*MAX(0,($B$6+$B$10)-IF($B$1+63&gt;=$B$23,$B$22,0))*(1+$B$4)^63)&gt;0,1+$B$3,1))</f>
        <v/>
      </c>
      <c r="BO123">
        <f>IF($B$1+64&gt;90,BN123,(BN123+IF($B$1+64&lt;=$B123,12*($B$7-$B$10),-12*MAX(0,($B$6+$B$10)-IF($B$1+64&gt;=$B$23,$B$22,0))*(1+$B$4)^64))*IF(BN123+IF($B$1+64&lt;=$B123,12*($B$7-$B$10),-12*MAX(0,($B$6+$B$10)-IF($B$1+64&gt;=$B$23,$B$22,0))*(1+$B$4)^64)&gt;0,1+$B$3,1))</f>
        <v/>
      </c>
      <c r="BP123">
        <f>IF($B$1+65&gt;90,BO123,(BO123+IF($B$1+65&lt;=$B123,12*($B$7-$B$10),-12*MAX(0,($B$6+$B$10)-IF($B$1+65&gt;=$B$23,$B$22,0))*(1+$B$4)^65))*IF(BO123+IF($B$1+65&lt;=$B123,12*($B$7-$B$10),-12*MAX(0,($B$6+$B$10)-IF($B$1+65&gt;=$B$23,$B$22,0))*(1+$B$4)^65)&gt;0,1+$B$3,1))</f>
        <v/>
      </c>
      <c r="BQ123">
        <f>IF($B$1+66&gt;90,BP123,(BP123+IF($B$1+66&lt;=$B123,12*($B$7-$B$10),-12*MAX(0,($B$6+$B$10)-IF($B$1+66&gt;=$B$23,$B$22,0))*(1+$B$4)^66))*IF(BP123+IF($B$1+66&lt;=$B123,12*($B$7-$B$10),-12*MAX(0,($B$6+$B$10)-IF($B$1+66&gt;=$B$23,$B$22,0))*(1+$B$4)^66)&gt;0,1+$B$3,1))</f>
        <v/>
      </c>
      <c r="BR123">
        <f>IF($B$1+67&gt;90,BQ123,(BQ123+IF($B$1+67&lt;=$B123,12*($B$7-$B$10),-12*MAX(0,($B$6+$B$10)-IF($B$1+67&gt;=$B$23,$B$22,0))*(1+$B$4)^67))*IF(BQ123+IF($B$1+67&lt;=$B123,12*($B$7-$B$10),-12*MAX(0,($B$6+$B$10)-IF($B$1+67&gt;=$B$23,$B$22,0))*(1+$B$4)^67)&gt;0,1+$B$3,1))</f>
        <v/>
      </c>
      <c r="BS123">
        <f>IF($B$1+68&gt;90,BR123,(BR123+IF($B$1+68&lt;=$B123,12*($B$7-$B$10),-12*MAX(0,($B$6+$B$10)-IF($B$1+68&gt;=$B$23,$B$22,0))*(1+$B$4)^68))*IF(BR123+IF($B$1+68&lt;=$B123,12*($B$7-$B$10),-12*MAX(0,($B$6+$B$10)-IF($B$1+68&gt;=$B$23,$B$22,0))*(1+$B$4)^68)&gt;0,1+$B$3,1))</f>
        <v/>
      </c>
      <c r="BT123">
        <f>IF($B$1+69&gt;90,BS123,(BS123+IF($B$1+69&lt;=$B123,12*($B$7-$B$10),-12*MAX(0,($B$6+$B$10)-IF($B$1+69&gt;=$B$23,$B$22,0))*(1+$B$4)^69))*IF(BS123+IF($B$1+69&lt;=$B123,12*($B$7-$B$10),-12*MAX(0,($B$6+$B$10)-IF($B$1+69&gt;=$B$23,$B$22,0))*(1+$B$4)^69)&gt;0,1+$B$3,1))</f>
        <v/>
      </c>
      <c r="BU123">
        <f>IF($B$1+70&gt;90,BT123,(BT123+IF($B$1+70&lt;=$B123,12*($B$7-$B$10),-12*MAX(0,($B$6+$B$10)-IF($B$1+70&gt;=$B$23,$B$22,0))*(1+$B$4)^70))*IF(BT123+IF($B$1+70&lt;=$B123,12*($B$7-$B$10),-12*MAX(0,($B$6+$B$10)-IF($B$1+70&gt;=$B$23,$B$22,0))*(1+$B$4)^70)&gt;0,1+$B$3,1))</f>
        <v/>
      </c>
      <c r="BV123">
        <f>BU123</f>
        <v/>
      </c>
      <c r="BW123">
        <f>IF(AND($B123&lt;=70,BV123&gt;0),$B123,999)</f>
        <v/>
      </c>
      <c r="CH123">
        <f>IF(ISTEXT('월 가계부'!A123),SUBSTITUTE(SUBSTITUTE(SUBSTITUTE(SUBSTITUTE(SUBSTITUTE(SUBSTITUTE(SUBSTITUTE(SUBSTITUTE(SUBSTITUTE(TRIM('월 가계부'!A123),"년","-"),"월","-"),"일",""),".","-"),"/","-")," ","-"),"--","-"),"--","-"),"--","-")&amp;"-","")</f>
        <v/>
      </c>
      <c r="CI123">
        <f>IFERROR(IF('월 가계부'!A123="","",IF(ISNUMBER('월 가계부'!A123),IF(AND('월 가계부'!A123&gt;=19000101,'월 가계부'!A123&lt;=21001231),IF(AND(MOD(INT('월 가계부'!A123/100),100)&gt;=1,MOD(INT('월 가계부'!A123/100),100)&lt;=12,MOD(INT('월 가계부'!A123),100)&gt;=1,MOD(INT('월 가계부'!A123),100)&lt;=31),IF(MONTH(DATE(INT('월 가계부'!A123/10000),MOD(INT('월 가계부'!A123/100),100),MOD(INT('월 가계부'!A123),100)))=MOD(INT('월 가계부'!A123/100),100),DATE(INT('월 가계부'!A123/10000),MOD(INT('월 가계부'!A123/100),100),MOD(INT('월 가계부'!A123),100)),""),""),IF(AND('월 가계부'!A123&gt;=36526,'월 가계부'!A123&lt;73051),INT('월 가계부'!A123),"")),IF(OR(CM123="",CN123="",CO123=""),"",IF(AND(CM123&gt;=2000,CM123&lt;=2099,CN123&gt;=1,CN123&lt;=12,CO123&gt;=1,CO123&lt;=31),IF(MONTH(DATE(CM123,CN123,CO123))=CN123,DATE(CM123,CN123,CO123),""),"")))),"")</f>
        <v/>
      </c>
      <c r="CJ123">
        <f>IFERROR(IF('월 가계부'!C123="","",IF(ISNUMBER('월 가계부'!C123),'월 가계부'!C123,VALUE(SUBSTITUTE(SUBSTITUTE(SUBSTITUTE(SUBSTITUTE(TRIM('월 가계부'!C123),",",""),"원","")," ",""),"−","-")))),"")</f>
        <v/>
      </c>
      <c r="CK123">
        <f>IF(ISNUMBER(CI123),IF(CI123&lt;$B$13,CI123,""),"")</f>
        <v/>
      </c>
      <c r="CM123">
        <f>IF(CH123="","",IFERROR(IF(IF(AND(LEN(CH123)=9,ISERROR(FIND("-",LEFT(CH123,8))),ISNUMBER(-LEFT(CH123,8))),VALUE(LEFT(CH123,4)),VALUE(LEFT(CH123,FIND("-",CH123)-1)))&lt;100,IF(AND(LEN(CH123)=9,ISERROR(FIND("-",LEFT(CH123,8))),ISNUMBER(-LEFT(CH123,8))),VALUE(LEFT(CH123,4)),VALUE(LEFT(CH123,FIND("-",CH123)-1)))+2000,IF(AND(LEN(CH123)=9,ISERROR(FIND("-",LEFT(CH123,8))),ISNUMBER(-LEFT(CH123,8))),VALUE(LEFT(CH123,4)),VALUE(LEFT(CH123,FIND("-",CH123)-1)))),""))</f>
        <v/>
      </c>
      <c r="CN123">
        <f>IF(CH123="","",IFERROR(IF(AND(LEN(CH123)=9,ISERROR(FIND("-",LEFT(CH123,8))),ISNUMBER(-LEFT(CH123,8))),VALUE(MID(CH123,5,2)),VALUE(MID(CH123,FIND("-",CH123)+1,FIND("-",CH123,FIND("-",CH123)+1)-FIND("-",CH123)-1))),""))</f>
        <v/>
      </c>
      <c r="CO123">
        <f>IF(CH123="","",IFERROR(IF(AND(LEN(CH123)=9,ISERROR(FIND("-",LEFT(CH123,8))),ISNUMBER(-LEFT(CH123,8))),VALUE(MID(CH123,7,2)),VALUE(MID(CH123,FIND("-",CH123,FIND("-",CH123)+1)+1,FIND("-",CH123,FIND("-",CH123,FIND("-",CH123)+1)+1)-FIND("-",CH123,FIND("-",CH123)+1)-1))),""))</f>
        <v/>
      </c>
    </row>
    <row r="124">
      <c r="A124" t="n">
        <v>28</v>
      </c>
      <c r="B124">
        <f>$B$1+28</f>
        <v/>
      </c>
      <c r="C124">
        <f>$B$2</f>
        <v/>
      </c>
      <c r="D124">
        <f>IF($B$1+1&gt;90,C124,(C124+IF($B$1+1&lt;=$B124,12*($B$7-$B$10),-12*MAX(0,($B$6+$B$10)-IF($B$1+1&gt;=$B$23,$B$22,0))*(1+$B$4)^1))*IF(C124+IF($B$1+1&lt;=$B124,12*($B$7-$B$10),-12*MAX(0,($B$6+$B$10)-IF($B$1+1&gt;=$B$23,$B$22,0))*(1+$B$4)^1)&gt;0,1+$B$3,1))</f>
        <v/>
      </c>
      <c r="E124">
        <f>IF($B$1+2&gt;90,D124,(D124+IF($B$1+2&lt;=$B124,12*($B$7-$B$10),-12*MAX(0,($B$6+$B$10)-IF($B$1+2&gt;=$B$23,$B$22,0))*(1+$B$4)^2))*IF(D124+IF($B$1+2&lt;=$B124,12*($B$7-$B$10),-12*MAX(0,($B$6+$B$10)-IF($B$1+2&gt;=$B$23,$B$22,0))*(1+$B$4)^2)&gt;0,1+$B$3,1))</f>
        <v/>
      </c>
      <c r="F124">
        <f>IF($B$1+3&gt;90,E124,(E124+IF($B$1+3&lt;=$B124,12*($B$7-$B$10),-12*MAX(0,($B$6+$B$10)-IF($B$1+3&gt;=$B$23,$B$22,0))*(1+$B$4)^3))*IF(E124+IF($B$1+3&lt;=$B124,12*($B$7-$B$10),-12*MAX(0,($B$6+$B$10)-IF($B$1+3&gt;=$B$23,$B$22,0))*(1+$B$4)^3)&gt;0,1+$B$3,1))</f>
        <v/>
      </c>
      <c r="G124">
        <f>IF($B$1+4&gt;90,F124,(F124+IF($B$1+4&lt;=$B124,12*($B$7-$B$10),-12*MAX(0,($B$6+$B$10)-IF($B$1+4&gt;=$B$23,$B$22,0))*(1+$B$4)^4))*IF(F124+IF($B$1+4&lt;=$B124,12*($B$7-$B$10),-12*MAX(0,($B$6+$B$10)-IF($B$1+4&gt;=$B$23,$B$22,0))*(1+$B$4)^4)&gt;0,1+$B$3,1))</f>
        <v/>
      </c>
      <c r="H124">
        <f>IF($B$1+5&gt;90,G124,(G124+IF($B$1+5&lt;=$B124,12*($B$7-$B$10),-12*MAX(0,($B$6+$B$10)-IF($B$1+5&gt;=$B$23,$B$22,0))*(1+$B$4)^5))*IF(G124+IF($B$1+5&lt;=$B124,12*($B$7-$B$10),-12*MAX(0,($B$6+$B$10)-IF($B$1+5&gt;=$B$23,$B$22,0))*(1+$B$4)^5)&gt;0,1+$B$3,1))</f>
        <v/>
      </c>
      <c r="I124">
        <f>IF($B$1+6&gt;90,H124,(H124+IF($B$1+6&lt;=$B124,12*($B$7-$B$10),-12*MAX(0,($B$6+$B$10)-IF($B$1+6&gt;=$B$23,$B$22,0))*(1+$B$4)^6))*IF(H124+IF($B$1+6&lt;=$B124,12*($B$7-$B$10),-12*MAX(0,($B$6+$B$10)-IF($B$1+6&gt;=$B$23,$B$22,0))*(1+$B$4)^6)&gt;0,1+$B$3,1))</f>
        <v/>
      </c>
      <c r="J124">
        <f>IF($B$1+7&gt;90,I124,(I124+IF($B$1+7&lt;=$B124,12*($B$7-$B$10),-12*MAX(0,($B$6+$B$10)-IF($B$1+7&gt;=$B$23,$B$22,0))*(1+$B$4)^7))*IF(I124+IF($B$1+7&lt;=$B124,12*($B$7-$B$10),-12*MAX(0,($B$6+$B$10)-IF($B$1+7&gt;=$B$23,$B$22,0))*(1+$B$4)^7)&gt;0,1+$B$3,1))</f>
        <v/>
      </c>
      <c r="K124">
        <f>IF($B$1+8&gt;90,J124,(J124+IF($B$1+8&lt;=$B124,12*($B$7-$B$10),-12*MAX(0,($B$6+$B$10)-IF($B$1+8&gt;=$B$23,$B$22,0))*(1+$B$4)^8))*IF(J124+IF($B$1+8&lt;=$B124,12*($B$7-$B$10),-12*MAX(0,($B$6+$B$10)-IF($B$1+8&gt;=$B$23,$B$22,0))*(1+$B$4)^8)&gt;0,1+$B$3,1))</f>
        <v/>
      </c>
      <c r="L124">
        <f>IF($B$1+9&gt;90,K124,(K124+IF($B$1+9&lt;=$B124,12*($B$7-$B$10),-12*MAX(0,($B$6+$B$10)-IF($B$1+9&gt;=$B$23,$B$22,0))*(1+$B$4)^9))*IF(K124+IF($B$1+9&lt;=$B124,12*($B$7-$B$10),-12*MAX(0,($B$6+$B$10)-IF($B$1+9&gt;=$B$23,$B$22,0))*(1+$B$4)^9)&gt;0,1+$B$3,1))</f>
        <v/>
      </c>
      <c r="M124">
        <f>IF($B$1+10&gt;90,L124,(L124+IF($B$1+10&lt;=$B124,12*($B$7-$B$10),-12*MAX(0,($B$6+$B$10)-IF($B$1+10&gt;=$B$23,$B$22,0))*(1+$B$4)^10))*IF(L124+IF($B$1+10&lt;=$B124,12*($B$7-$B$10),-12*MAX(0,($B$6+$B$10)-IF($B$1+10&gt;=$B$23,$B$22,0))*(1+$B$4)^10)&gt;0,1+$B$3,1))</f>
        <v/>
      </c>
      <c r="N124">
        <f>IF($B$1+11&gt;90,M124,(M124+IF($B$1+11&lt;=$B124,12*($B$7-$B$10),-12*MAX(0,($B$6+$B$10)-IF($B$1+11&gt;=$B$23,$B$22,0))*(1+$B$4)^11))*IF(M124+IF($B$1+11&lt;=$B124,12*($B$7-$B$10),-12*MAX(0,($B$6+$B$10)-IF($B$1+11&gt;=$B$23,$B$22,0))*(1+$B$4)^11)&gt;0,1+$B$3,1))</f>
        <v/>
      </c>
      <c r="O124">
        <f>IF($B$1+12&gt;90,N124,(N124+IF($B$1+12&lt;=$B124,12*($B$7-$B$10),-12*MAX(0,($B$6+$B$10)-IF($B$1+12&gt;=$B$23,$B$22,0))*(1+$B$4)^12))*IF(N124+IF($B$1+12&lt;=$B124,12*($B$7-$B$10),-12*MAX(0,($B$6+$B$10)-IF($B$1+12&gt;=$B$23,$B$22,0))*(1+$B$4)^12)&gt;0,1+$B$3,1))</f>
        <v/>
      </c>
      <c r="P124">
        <f>IF($B$1+13&gt;90,O124,(O124+IF($B$1+13&lt;=$B124,12*($B$7-$B$10),-12*MAX(0,($B$6+$B$10)-IF($B$1+13&gt;=$B$23,$B$22,0))*(1+$B$4)^13))*IF(O124+IF($B$1+13&lt;=$B124,12*($B$7-$B$10),-12*MAX(0,($B$6+$B$10)-IF($B$1+13&gt;=$B$23,$B$22,0))*(1+$B$4)^13)&gt;0,1+$B$3,1))</f>
        <v/>
      </c>
      <c r="Q124">
        <f>IF($B$1+14&gt;90,P124,(P124+IF($B$1+14&lt;=$B124,12*($B$7-$B$10),-12*MAX(0,($B$6+$B$10)-IF($B$1+14&gt;=$B$23,$B$22,0))*(1+$B$4)^14))*IF(P124+IF($B$1+14&lt;=$B124,12*($B$7-$B$10),-12*MAX(0,($B$6+$B$10)-IF($B$1+14&gt;=$B$23,$B$22,0))*(1+$B$4)^14)&gt;0,1+$B$3,1))</f>
        <v/>
      </c>
      <c r="R124">
        <f>IF($B$1+15&gt;90,Q124,(Q124+IF($B$1+15&lt;=$B124,12*($B$7-$B$10),-12*MAX(0,($B$6+$B$10)-IF($B$1+15&gt;=$B$23,$B$22,0))*(1+$B$4)^15))*IF(Q124+IF($B$1+15&lt;=$B124,12*($B$7-$B$10),-12*MAX(0,($B$6+$B$10)-IF($B$1+15&gt;=$B$23,$B$22,0))*(1+$B$4)^15)&gt;0,1+$B$3,1))</f>
        <v/>
      </c>
      <c r="S124">
        <f>IF($B$1+16&gt;90,R124,(R124+IF($B$1+16&lt;=$B124,12*($B$7-$B$10),-12*MAX(0,($B$6+$B$10)-IF($B$1+16&gt;=$B$23,$B$22,0))*(1+$B$4)^16))*IF(R124+IF($B$1+16&lt;=$B124,12*($B$7-$B$10),-12*MAX(0,($B$6+$B$10)-IF($B$1+16&gt;=$B$23,$B$22,0))*(1+$B$4)^16)&gt;0,1+$B$3,1))</f>
        <v/>
      </c>
      <c r="T124">
        <f>IF($B$1+17&gt;90,S124,(S124+IF($B$1+17&lt;=$B124,12*($B$7-$B$10),-12*MAX(0,($B$6+$B$10)-IF($B$1+17&gt;=$B$23,$B$22,0))*(1+$B$4)^17))*IF(S124+IF($B$1+17&lt;=$B124,12*($B$7-$B$10),-12*MAX(0,($B$6+$B$10)-IF($B$1+17&gt;=$B$23,$B$22,0))*(1+$B$4)^17)&gt;0,1+$B$3,1))</f>
        <v/>
      </c>
      <c r="U124">
        <f>IF($B$1+18&gt;90,T124,(T124+IF($B$1+18&lt;=$B124,12*($B$7-$B$10),-12*MAX(0,($B$6+$B$10)-IF($B$1+18&gt;=$B$23,$B$22,0))*(1+$B$4)^18))*IF(T124+IF($B$1+18&lt;=$B124,12*($B$7-$B$10),-12*MAX(0,($B$6+$B$10)-IF($B$1+18&gt;=$B$23,$B$22,0))*(1+$B$4)^18)&gt;0,1+$B$3,1))</f>
        <v/>
      </c>
      <c r="V124">
        <f>IF($B$1+19&gt;90,U124,(U124+IF($B$1+19&lt;=$B124,12*($B$7-$B$10),-12*MAX(0,($B$6+$B$10)-IF($B$1+19&gt;=$B$23,$B$22,0))*(1+$B$4)^19))*IF(U124+IF($B$1+19&lt;=$B124,12*($B$7-$B$10),-12*MAX(0,($B$6+$B$10)-IF($B$1+19&gt;=$B$23,$B$22,0))*(1+$B$4)^19)&gt;0,1+$B$3,1))</f>
        <v/>
      </c>
      <c r="W124">
        <f>IF($B$1+20&gt;90,V124,(V124+IF($B$1+20&lt;=$B124,12*($B$7-$B$10),-12*MAX(0,($B$6+$B$10)-IF($B$1+20&gt;=$B$23,$B$22,0))*(1+$B$4)^20))*IF(V124+IF($B$1+20&lt;=$B124,12*($B$7-$B$10),-12*MAX(0,($B$6+$B$10)-IF($B$1+20&gt;=$B$23,$B$22,0))*(1+$B$4)^20)&gt;0,1+$B$3,1))</f>
        <v/>
      </c>
      <c r="X124">
        <f>IF($B$1+21&gt;90,W124,(W124+IF($B$1+21&lt;=$B124,12*($B$7-$B$10),-12*MAX(0,($B$6+$B$10)-IF($B$1+21&gt;=$B$23,$B$22,0))*(1+$B$4)^21))*IF(W124+IF($B$1+21&lt;=$B124,12*($B$7-$B$10),-12*MAX(0,($B$6+$B$10)-IF($B$1+21&gt;=$B$23,$B$22,0))*(1+$B$4)^21)&gt;0,1+$B$3,1))</f>
        <v/>
      </c>
      <c r="Y124">
        <f>IF($B$1+22&gt;90,X124,(X124+IF($B$1+22&lt;=$B124,12*($B$7-$B$10),-12*MAX(0,($B$6+$B$10)-IF($B$1+22&gt;=$B$23,$B$22,0))*(1+$B$4)^22))*IF(X124+IF($B$1+22&lt;=$B124,12*($B$7-$B$10),-12*MAX(0,($B$6+$B$10)-IF($B$1+22&gt;=$B$23,$B$22,0))*(1+$B$4)^22)&gt;0,1+$B$3,1))</f>
        <v/>
      </c>
      <c r="Z124">
        <f>IF($B$1+23&gt;90,Y124,(Y124+IF($B$1+23&lt;=$B124,12*($B$7-$B$10),-12*MAX(0,($B$6+$B$10)-IF($B$1+23&gt;=$B$23,$B$22,0))*(1+$B$4)^23))*IF(Y124+IF($B$1+23&lt;=$B124,12*($B$7-$B$10),-12*MAX(0,($B$6+$B$10)-IF($B$1+23&gt;=$B$23,$B$22,0))*(1+$B$4)^23)&gt;0,1+$B$3,1))</f>
        <v/>
      </c>
      <c r="AA124">
        <f>IF($B$1+24&gt;90,Z124,(Z124+IF($B$1+24&lt;=$B124,12*($B$7-$B$10),-12*MAX(0,($B$6+$B$10)-IF($B$1+24&gt;=$B$23,$B$22,0))*(1+$B$4)^24))*IF(Z124+IF($B$1+24&lt;=$B124,12*($B$7-$B$10),-12*MAX(0,($B$6+$B$10)-IF($B$1+24&gt;=$B$23,$B$22,0))*(1+$B$4)^24)&gt;0,1+$B$3,1))</f>
        <v/>
      </c>
      <c r="AB124">
        <f>IF($B$1+25&gt;90,AA124,(AA124+IF($B$1+25&lt;=$B124,12*($B$7-$B$10),-12*MAX(0,($B$6+$B$10)-IF($B$1+25&gt;=$B$23,$B$22,0))*(1+$B$4)^25))*IF(AA124+IF($B$1+25&lt;=$B124,12*($B$7-$B$10),-12*MAX(0,($B$6+$B$10)-IF($B$1+25&gt;=$B$23,$B$22,0))*(1+$B$4)^25)&gt;0,1+$B$3,1))</f>
        <v/>
      </c>
      <c r="AC124">
        <f>IF($B$1+26&gt;90,AB124,(AB124+IF($B$1+26&lt;=$B124,12*($B$7-$B$10),-12*MAX(0,($B$6+$B$10)-IF($B$1+26&gt;=$B$23,$B$22,0))*(1+$B$4)^26))*IF(AB124+IF($B$1+26&lt;=$B124,12*($B$7-$B$10),-12*MAX(0,($B$6+$B$10)-IF($B$1+26&gt;=$B$23,$B$22,0))*(1+$B$4)^26)&gt;0,1+$B$3,1))</f>
        <v/>
      </c>
      <c r="AD124">
        <f>IF($B$1+27&gt;90,AC124,(AC124+IF($B$1+27&lt;=$B124,12*($B$7-$B$10),-12*MAX(0,($B$6+$B$10)-IF($B$1+27&gt;=$B$23,$B$22,0))*(1+$B$4)^27))*IF(AC124+IF($B$1+27&lt;=$B124,12*($B$7-$B$10),-12*MAX(0,($B$6+$B$10)-IF($B$1+27&gt;=$B$23,$B$22,0))*(1+$B$4)^27)&gt;0,1+$B$3,1))</f>
        <v/>
      </c>
      <c r="AE124">
        <f>IF($B$1+28&gt;90,AD124,(AD124+IF($B$1+28&lt;=$B124,12*($B$7-$B$10),-12*MAX(0,($B$6+$B$10)-IF($B$1+28&gt;=$B$23,$B$22,0))*(1+$B$4)^28))*IF(AD124+IF($B$1+28&lt;=$B124,12*($B$7-$B$10),-12*MAX(0,($B$6+$B$10)-IF($B$1+28&gt;=$B$23,$B$22,0))*(1+$B$4)^28)&gt;0,1+$B$3,1))</f>
        <v/>
      </c>
      <c r="AF124">
        <f>IF($B$1+29&gt;90,AE124,(AE124+IF($B$1+29&lt;=$B124,12*($B$7-$B$10),-12*MAX(0,($B$6+$B$10)-IF($B$1+29&gt;=$B$23,$B$22,0))*(1+$B$4)^29))*IF(AE124+IF($B$1+29&lt;=$B124,12*($B$7-$B$10),-12*MAX(0,($B$6+$B$10)-IF($B$1+29&gt;=$B$23,$B$22,0))*(1+$B$4)^29)&gt;0,1+$B$3,1))</f>
        <v/>
      </c>
      <c r="AG124">
        <f>IF($B$1+30&gt;90,AF124,(AF124+IF($B$1+30&lt;=$B124,12*($B$7-$B$10),-12*MAX(0,($B$6+$B$10)-IF($B$1+30&gt;=$B$23,$B$22,0))*(1+$B$4)^30))*IF(AF124+IF($B$1+30&lt;=$B124,12*($B$7-$B$10),-12*MAX(0,($B$6+$B$10)-IF($B$1+30&gt;=$B$23,$B$22,0))*(1+$B$4)^30)&gt;0,1+$B$3,1))</f>
        <v/>
      </c>
      <c r="AH124">
        <f>IF($B$1+31&gt;90,AG124,(AG124+IF($B$1+31&lt;=$B124,12*($B$7-$B$10),-12*MAX(0,($B$6+$B$10)-IF($B$1+31&gt;=$B$23,$B$22,0))*(1+$B$4)^31))*IF(AG124+IF($B$1+31&lt;=$B124,12*($B$7-$B$10),-12*MAX(0,($B$6+$B$10)-IF($B$1+31&gt;=$B$23,$B$22,0))*(1+$B$4)^31)&gt;0,1+$B$3,1))</f>
        <v/>
      </c>
      <c r="AI124">
        <f>IF($B$1+32&gt;90,AH124,(AH124+IF($B$1+32&lt;=$B124,12*($B$7-$B$10),-12*MAX(0,($B$6+$B$10)-IF($B$1+32&gt;=$B$23,$B$22,0))*(1+$B$4)^32))*IF(AH124+IF($B$1+32&lt;=$B124,12*($B$7-$B$10),-12*MAX(0,($B$6+$B$10)-IF($B$1+32&gt;=$B$23,$B$22,0))*(1+$B$4)^32)&gt;0,1+$B$3,1))</f>
        <v/>
      </c>
      <c r="AJ124">
        <f>IF($B$1+33&gt;90,AI124,(AI124+IF($B$1+33&lt;=$B124,12*($B$7-$B$10),-12*MAX(0,($B$6+$B$10)-IF($B$1+33&gt;=$B$23,$B$22,0))*(1+$B$4)^33))*IF(AI124+IF($B$1+33&lt;=$B124,12*($B$7-$B$10),-12*MAX(0,($B$6+$B$10)-IF($B$1+33&gt;=$B$23,$B$22,0))*(1+$B$4)^33)&gt;0,1+$B$3,1))</f>
        <v/>
      </c>
      <c r="AK124">
        <f>IF($B$1+34&gt;90,AJ124,(AJ124+IF($B$1+34&lt;=$B124,12*($B$7-$B$10),-12*MAX(0,($B$6+$B$10)-IF($B$1+34&gt;=$B$23,$B$22,0))*(1+$B$4)^34))*IF(AJ124+IF($B$1+34&lt;=$B124,12*($B$7-$B$10),-12*MAX(0,($B$6+$B$10)-IF($B$1+34&gt;=$B$23,$B$22,0))*(1+$B$4)^34)&gt;0,1+$B$3,1))</f>
        <v/>
      </c>
      <c r="AL124">
        <f>IF($B$1+35&gt;90,AK124,(AK124+IF($B$1+35&lt;=$B124,12*($B$7-$B$10),-12*MAX(0,($B$6+$B$10)-IF($B$1+35&gt;=$B$23,$B$22,0))*(1+$B$4)^35))*IF(AK124+IF($B$1+35&lt;=$B124,12*($B$7-$B$10),-12*MAX(0,($B$6+$B$10)-IF($B$1+35&gt;=$B$23,$B$22,0))*(1+$B$4)^35)&gt;0,1+$B$3,1))</f>
        <v/>
      </c>
      <c r="AM124">
        <f>IF($B$1+36&gt;90,AL124,(AL124+IF($B$1+36&lt;=$B124,12*($B$7-$B$10),-12*MAX(0,($B$6+$B$10)-IF($B$1+36&gt;=$B$23,$B$22,0))*(1+$B$4)^36))*IF(AL124+IF($B$1+36&lt;=$B124,12*($B$7-$B$10),-12*MAX(0,($B$6+$B$10)-IF($B$1+36&gt;=$B$23,$B$22,0))*(1+$B$4)^36)&gt;0,1+$B$3,1))</f>
        <v/>
      </c>
      <c r="AN124">
        <f>IF($B$1+37&gt;90,AM124,(AM124+IF($B$1+37&lt;=$B124,12*($B$7-$B$10),-12*MAX(0,($B$6+$B$10)-IF($B$1+37&gt;=$B$23,$B$22,0))*(1+$B$4)^37))*IF(AM124+IF($B$1+37&lt;=$B124,12*($B$7-$B$10),-12*MAX(0,($B$6+$B$10)-IF($B$1+37&gt;=$B$23,$B$22,0))*(1+$B$4)^37)&gt;0,1+$B$3,1))</f>
        <v/>
      </c>
      <c r="AO124">
        <f>IF($B$1+38&gt;90,AN124,(AN124+IF($B$1+38&lt;=$B124,12*($B$7-$B$10),-12*MAX(0,($B$6+$B$10)-IF($B$1+38&gt;=$B$23,$B$22,0))*(1+$B$4)^38))*IF(AN124+IF($B$1+38&lt;=$B124,12*($B$7-$B$10),-12*MAX(0,($B$6+$B$10)-IF($B$1+38&gt;=$B$23,$B$22,0))*(1+$B$4)^38)&gt;0,1+$B$3,1))</f>
        <v/>
      </c>
      <c r="AP124">
        <f>IF($B$1+39&gt;90,AO124,(AO124+IF($B$1+39&lt;=$B124,12*($B$7-$B$10),-12*MAX(0,($B$6+$B$10)-IF($B$1+39&gt;=$B$23,$B$22,0))*(1+$B$4)^39))*IF(AO124+IF($B$1+39&lt;=$B124,12*($B$7-$B$10),-12*MAX(0,($B$6+$B$10)-IF($B$1+39&gt;=$B$23,$B$22,0))*(1+$B$4)^39)&gt;0,1+$B$3,1))</f>
        <v/>
      </c>
      <c r="AQ124">
        <f>IF($B$1+40&gt;90,AP124,(AP124+IF($B$1+40&lt;=$B124,12*($B$7-$B$10),-12*MAX(0,($B$6+$B$10)-IF($B$1+40&gt;=$B$23,$B$22,0))*(1+$B$4)^40))*IF(AP124+IF($B$1+40&lt;=$B124,12*($B$7-$B$10),-12*MAX(0,($B$6+$B$10)-IF($B$1+40&gt;=$B$23,$B$22,0))*(1+$B$4)^40)&gt;0,1+$B$3,1))</f>
        <v/>
      </c>
      <c r="AR124">
        <f>IF($B$1+41&gt;90,AQ124,(AQ124+IF($B$1+41&lt;=$B124,12*($B$7-$B$10),-12*MAX(0,($B$6+$B$10)-IF($B$1+41&gt;=$B$23,$B$22,0))*(1+$B$4)^41))*IF(AQ124+IF($B$1+41&lt;=$B124,12*($B$7-$B$10),-12*MAX(0,($B$6+$B$10)-IF($B$1+41&gt;=$B$23,$B$22,0))*(1+$B$4)^41)&gt;0,1+$B$3,1))</f>
        <v/>
      </c>
      <c r="AS124">
        <f>IF($B$1+42&gt;90,AR124,(AR124+IF($B$1+42&lt;=$B124,12*($B$7-$B$10),-12*MAX(0,($B$6+$B$10)-IF($B$1+42&gt;=$B$23,$B$22,0))*(1+$B$4)^42))*IF(AR124+IF($B$1+42&lt;=$B124,12*($B$7-$B$10),-12*MAX(0,($B$6+$B$10)-IF($B$1+42&gt;=$B$23,$B$22,0))*(1+$B$4)^42)&gt;0,1+$B$3,1))</f>
        <v/>
      </c>
      <c r="AT124">
        <f>IF($B$1+43&gt;90,AS124,(AS124+IF($B$1+43&lt;=$B124,12*($B$7-$B$10),-12*MAX(0,($B$6+$B$10)-IF($B$1+43&gt;=$B$23,$B$22,0))*(1+$B$4)^43))*IF(AS124+IF($B$1+43&lt;=$B124,12*($B$7-$B$10),-12*MAX(0,($B$6+$B$10)-IF($B$1+43&gt;=$B$23,$B$22,0))*(1+$B$4)^43)&gt;0,1+$B$3,1))</f>
        <v/>
      </c>
      <c r="AU124">
        <f>IF($B$1+44&gt;90,AT124,(AT124+IF($B$1+44&lt;=$B124,12*($B$7-$B$10),-12*MAX(0,($B$6+$B$10)-IF($B$1+44&gt;=$B$23,$B$22,0))*(1+$B$4)^44))*IF(AT124+IF($B$1+44&lt;=$B124,12*($B$7-$B$10),-12*MAX(0,($B$6+$B$10)-IF($B$1+44&gt;=$B$23,$B$22,0))*(1+$B$4)^44)&gt;0,1+$B$3,1))</f>
        <v/>
      </c>
      <c r="AV124">
        <f>IF($B$1+45&gt;90,AU124,(AU124+IF($B$1+45&lt;=$B124,12*($B$7-$B$10),-12*MAX(0,($B$6+$B$10)-IF($B$1+45&gt;=$B$23,$B$22,0))*(1+$B$4)^45))*IF(AU124+IF($B$1+45&lt;=$B124,12*($B$7-$B$10),-12*MAX(0,($B$6+$B$10)-IF($B$1+45&gt;=$B$23,$B$22,0))*(1+$B$4)^45)&gt;0,1+$B$3,1))</f>
        <v/>
      </c>
      <c r="AW124">
        <f>IF($B$1+46&gt;90,AV124,(AV124+IF($B$1+46&lt;=$B124,12*($B$7-$B$10),-12*MAX(0,($B$6+$B$10)-IF($B$1+46&gt;=$B$23,$B$22,0))*(1+$B$4)^46))*IF(AV124+IF($B$1+46&lt;=$B124,12*($B$7-$B$10),-12*MAX(0,($B$6+$B$10)-IF($B$1+46&gt;=$B$23,$B$22,0))*(1+$B$4)^46)&gt;0,1+$B$3,1))</f>
        <v/>
      </c>
      <c r="AX124">
        <f>IF($B$1+47&gt;90,AW124,(AW124+IF($B$1+47&lt;=$B124,12*($B$7-$B$10),-12*MAX(0,($B$6+$B$10)-IF($B$1+47&gt;=$B$23,$B$22,0))*(1+$B$4)^47))*IF(AW124+IF($B$1+47&lt;=$B124,12*($B$7-$B$10),-12*MAX(0,($B$6+$B$10)-IF($B$1+47&gt;=$B$23,$B$22,0))*(1+$B$4)^47)&gt;0,1+$B$3,1))</f>
        <v/>
      </c>
      <c r="AY124">
        <f>IF($B$1+48&gt;90,AX124,(AX124+IF($B$1+48&lt;=$B124,12*($B$7-$B$10),-12*MAX(0,($B$6+$B$10)-IF($B$1+48&gt;=$B$23,$B$22,0))*(1+$B$4)^48))*IF(AX124+IF($B$1+48&lt;=$B124,12*($B$7-$B$10),-12*MAX(0,($B$6+$B$10)-IF($B$1+48&gt;=$B$23,$B$22,0))*(1+$B$4)^48)&gt;0,1+$B$3,1))</f>
        <v/>
      </c>
      <c r="AZ124">
        <f>IF($B$1+49&gt;90,AY124,(AY124+IF($B$1+49&lt;=$B124,12*($B$7-$B$10),-12*MAX(0,($B$6+$B$10)-IF($B$1+49&gt;=$B$23,$B$22,0))*(1+$B$4)^49))*IF(AY124+IF($B$1+49&lt;=$B124,12*($B$7-$B$10),-12*MAX(0,($B$6+$B$10)-IF($B$1+49&gt;=$B$23,$B$22,0))*(1+$B$4)^49)&gt;0,1+$B$3,1))</f>
        <v/>
      </c>
      <c r="BA124">
        <f>IF($B$1+50&gt;90,AZ124,(AZ124+IF($B$1+50&lt;=$B124,12*($B$7-$B$10),-12*MAX(0,($B$6+$B$10)-IF($B$1+50&gt;=$B$23,$B$22,0))*(1+$B$4)^50))*IF(AZ124+IF($B$1+50&lt;=$B124,12*($B$7-$B$10),-12*MAX(0,($B$6+$B$10)-IF($B$1+50&gt;=$B$23,$B$22,0))*(1+$B$4)^50)&gt;0,1+$B$3,1))</f>
        <v/>
      </c>
      <c r="BB124">
        <f>IF($B$1+51&gt;90,BA124,(BA124+IF($B$1+51&lt;=$B124,12*($B$7-$B$10),-12*MAX(0,($B$6+$B$10)-IF($B$1+51&gt;=$B$23,$B$22,0))*(1+$B$4)^51))*IF(BA124+IF($B$1+51&lt;=$B124,12*($B$7-$B$10),-12*MAX(0,($B$6+$B$10)-IF($B$1+51&gt;=$B$23,$B$22,0))*(1+$B$4)^51)&gt;0,1+$B$3,1))</f>
        <v/>
      </c>
      <c r="BC124">
        <f>IF($B$1+52&gt;90,BB124,(BB124+IF($B$1+52&lt;=$B124,12*($B$7-$B$10),-12*MAX(0,($B$6+$B$10)-IF($B$1+52&gt;=$B$23,$B$22,0))*(1+$B$4)^52))*IF(BB124+IF($B$1+52&lt;=$B124,12*($B$7-$B$10),-12*MAX(0,($B$6+$B$10)-IF($B$1+52&gt;=$B$23,$B$22,0))*(1+$B$4)^52)&gt;0,1+$B$3,1))</f>
        <v/>
      </c>
      <c r="BD124">
        <f>IF($B$1+53&gt;90,BC124,(BC124+IF($B$1+53&lt;=$B124,12*($B$7-$B$10),-12*MAX(0,($B$6+$B$10)-IF($B$1+53&gt;=$B$23,$B$22,0))*(1+$B$4)^53))*IF(BC124+IF($B$1+53&lt;=$B124,12*($B$7-$B$10),-12*MAX(0,($B$6+$B$10)-IF($B$1+53&gt;=$B$23,$B$22,0))*(1+$B$4)^53)&gt;0,1+$B$3,1))</f>
        <v/>
      </c>
      <c r="BE124">
        <f>IF($B$1+54&gt;90,BD124,(BD124+IF($B$1+54&lt;=$B124,12*($B$7-$B$10),-12*MAX(0,($B$6+$B$10)-IF($B$1+54&gt;=$B$23,$B$22,0))*(1+$B$4)^54))*IF(BD124+IF($B$1+54&lt;=$B124,12*($B$7-$B$10),-12*MAX(0,($B$6+$B$10)-IF($B$1+54&gt;=$B$23,$B$22,0))*(1+$B$4)^54)&gt;0,1+$B$3,1))</f>
        <v/>
      </c>
      <c r="BF124">
        <f>IF($B$1+55&gt;90,BE124,(BE124+IF($B$1+55&lt;=$B124,12*($B$7-$B$10),-12*MAX(0,($B$6+$B$10)-IF($B$1+55&gt;=$B$23,$B$22,0))*(1+$B$4)^55))*IF(BE124+IF($B$1+55&lt;=$B124,12*($B$7-$B$10),-12*MAX(0,($B$6+$B$10)-IF($B$1+55&gt;=$B$23,$B$22,0))*(1+$B$4)^55)&gt;0,1+$B$3,1))</f>
        <v/>
      </c>
      <c r="BG124">
        <f>IF($B$1+56&gt;90,BF124,(BF124+IF($B$1+56&lt;=$B124,12*($B$7-$B$10),-12*MAX(0,($B$6+$B$10)-IF($B$1+56&gt;=$B$23,$B$22,0))*(1+$B$4)^56))*IF(BF124+IF($B$1+56&lt;=$B124,12*($B$7-$B$10),-12*MAX(0,($B$6+$B$10)-IF($B$1+56&gt;=$B$23,$B$22,0))*(1+$B$4)^56)&gt;0,1+$B$3,1))</f>
        <v/>
      </c>
      <c r="BH124">
        <f>IF($B$1+57&gt;90,BG124,(BG124+IF($B$1+57&lt;=$B124,12*($B$7-$B$10),-12*MAX(0,($B$6+$B$10)-IF($B$1+57&gt;=$B$23,$B$22,0))*(1+$B$4)^57))*IF(BG124+IF($B$1+57&lt;=$B124,12*($B$7-$B$10),-12*MAX(0,($B$6+$B$10)-IF($B$1+57&gt;=$B$23,$B$22,0))*(1+$B$4)^57)&gt;0,1+$B$3,1))</f>
        <v/>
      </c>
      <c r="BI124">
        <f>IF($B$1+58&gt;90,BH124,(BH124+IF($B$1+58&lt;=$B124,12*($B$7-$B$10),-12*MAX(0,($B$6+$B$10)-IF($B$1+58&gt;=$B$23,$B$22,0))*(1+$B$4)^58))*IF(BH124+IF($B$1+58&lt;=$B124,12*($B$7-$B$10),-12*MAX(0,($B$6+$B$10)-IF($B$1+58&gt;=$B$23,$B$22,0))*(1+$B$4)^58)&gt;0,1+$B$3,1))</f>
        <v/>
      </c>
      <c r="BJ124">
        <f>IF($B$1+59&gt;90,BI124,(BI124+IF($B$1+59&lt;=$B124,12*($B$7-$B$10),-12*MAX(0,($B$6+$B$10)-IF($B$1+59&gt;=$B$23,$B$22,0))*(1+$B$4)^59))*IF(BI124+IF($B$1+59&lt;=$B124,12*($B$7-$B$10),-12*MAX(0,($B$6+$B$10)-IF($B$1+59&gt;=$B$23,$B$22,0))*(1+$B$4)^59)&gt;0,1+$B$3,1))</f>
        <v/>
      </c>
      <c r="BK124">
        <f>IF($B$1+60&gt;90,BJ124,(BJ124+IF($B$1+60&lt;=$B124,12*($B$7-$B$10),-12*MAX(0,($B$6+$B$10)-IF($B$1+60&gt;=$B$23,$B$22,0))*(1+$B$4)^60))*IF(BJ124+IF($B$1+60&lt;=$B124,12*($B$7-$B$10),-12*MAX(0,($B$6+$B$10)-IF($B$1+60&gt;=$B$23,$B$22,0))*(1+$B$4)^60)&gt;0,1+$B$3,1))</f>
        <v/>
      </c>
      <c r="BL124">
        <f>IF($B$1+61&gt;90,BK124,(BK124+IF($B$1+61&lt;=$B124,12*($B$7-$B$10),-12*MAX(0,($B$6+$B$10)-IF($B$1+61&gt;=$B$23,$B$22,0))*(1+$B$4)^61))*IF(BK124+IF($B$1+61&lt;=$B124,12*($B$7-$B$10),-12*MAX(0,($B$6+$B$10)-IF($B$1+61&gt;=$B$23,$B$22,0))*(1+$B$4)^61)&gt;0,1+$B$3,1))</f>
        <v/>
      </c>
      <c r="BM124">
        <f>IF($B$1+62&gt;90,BL124,(BL124+IF($B$1+62&lt;=$B124,12*($B$7-$B$10),-12*MAX(0,($B$6+$B$10)-IF($B$1+62&gt;=$B$23,$B$22,0))*(1+$B$4)^62))*IF(BL124+IF($B$1+62&lt;=$B124,12*($B$7-$B$10),-12*MAX(0,($B$6+$B$10)-IF($B$1+62&gt;=$B$23,$B$22,0))*(1+$B$4)^62)&gt;0,1+$B$3,1))</f>
        <v/>
      </c>
      <c r="BN124">
        <f>IF($B$1+63&gt;90,BM124,(BM124+IF($B$1+63&lt;=$B124,12*($B$7-$B$10),-12*MAX(0,($B$6+$B$10)-IF($B$1+63&gt;=$B$23,$B$22,0))*(1+$B$4)^63))*IF(BM124+IF($B$1+63&lt;=$B124,12*($B$7-$B$10),-12*MAX(0,($B$6+$B$10)-IF($B$1+63&gt;=$B$23,$B$22,0))*(1+$B$4)^63)&gt;0,1+$B$3,1))</f>
        <v/>
      </c>
      <c r="BO124">
        <f>IF($B$1+64&gt;90,BN124,(BN124+IF($B$1+64&lt;=$B124,12*($B$7-$B$10),-12*MAX(0,($B$6+$B$10)-IF($B$1+64&gt;=$B$23,$B$22,0))*(1+$B$4)^64))*IF(BN124+IF($B$1+64&lt;=$B124,12*($B$7-$B$10),-12*MAX(0,($B$6+$B$10)-IF($B$1+64&gt;=$B$23,$B$22,0))*(1+$B$4)^64)&gt;0,1+$B$3,1))</f>
        <v/>
      </c>
      <c r="BP124">
        <f>IF($B$1+65&gt;90,BO124,(BO124+IF($B$1+65&lt;=$B124,12*($B$7-$B$10),-12*MAX(0,($B$6+$B$10)-IF($B$1+65&gt;=$B$23,$B$22,0))*(1+$B$4)^65))*IF(BO124+IF($B$1+65&lt;=$B124,12*($B$7-$B$10),-12*MAX(0,($B$6+$B$10)-IF($B$1+65&gt;=$B$23,$B$22,0))*(1+$B$4)^65)&gt;0,1+$B$3,1))</f>
        <v/>
      </c>
      <c r="BQ124">
        <f>IF($B$1+66&gt;90,BP124,(BP124+IF($B$1+66&lt;=$B124,12*($B$7-$B$10),-12*MAX(0,($B$6+$B$10)-IF($B$1+66&gt;=$B$23,$B$22,0))*(1+$B$4)^66))*IF(BP124+IF($B$1+66&lt;=$B124,12*($B$7-$B$10),-12*MAX(0,($B$6+$B$10)-IF($B$1+66&gt;=$B$23,$B$22,0))*(1+$B$4)^66)&gt;0,1+$B$3,1))</f>
        <v/>
      </c>
      <c r="BR124">
        <f>IF($B$1+67&gt;90,BQ124,(BQ124+IF($B$1+67&lt;=$B124,12*($B$7-$B$10),-12*MAX(0,($B$6+$B$10)-IF($B$1+67&gt;=$B$23,$B$22,0))*(1+$B$4)^67))*IF(BQ124+IF($B$1+67&lt;=$B124,12*($B$7-$B$10),-12*MAX(0,($B$6+$B$10)-IF($B$1+67&gt;=$B$23,$B$22,0))*(1+$B$4)^67)&gt;0,1+$B$3,1))</f>
        <v/>
      </c>
      <c r="BS124">
        <f>IF($B$1+68&gt;90,BR124,(BR124+IF($B$1+68&lt;=$B124,12*($B$7-$B$10),-12*MAX(0,($B$6+$B$10)-IF($B$1+68&gt;=$B$23,$B$22,0))*(1+$B$4)^68))*IF(BR124+IF($B$1+68&lt;=$B124,12*($B$7-$B$10),-12*MAX(0,($B$6+$B$10)-IF($B$1+68&gt;=$B$23,$B$22,0))*(1+$B$4)^68)&gt;0,1+$B$3,1))</f>
        <v/>
      </c>
      <c r="BT124">
        <f>IF($B$1+69&gt;90,BS124,(BS124+IF($B$1+69&lt;=$B124,12*($B$7-$B$10),-12*MAX(0,($B$6+$B$10)-IF($B$1+69&gt;=$B$23,$B$22,0))*(1+$B$4)^69))*IF(BS124+IF($B$1+69&lt;=$B124,12*($B$7-$B$10),-12*MAX(0,($B$6+$B$10)-IF($B$1+69&gt;=$B$23,$B$22,0))*(1+$B$4)^69)&gt;0,1+$B$3,1))</f>
        <v/>
      </c>
      <c r="BU124">
        <f>IF($B$1+70&gt;90,BT124,(BT124+IF($B$1+70&lt;=$B124,12*($B$7-$B$10),-12*MAX(0,($B$6+$B$10)-IF($B$1+70&gt;=$B$23,$B$22,0))*(1+$B$4)^70))*IF(BT124+IF($B$1+70&lt;=$B124,12*($B$7-$B$10),-12*MAX(0,($B$6+$B$10)-IF($B$1+70&gt;=$B$23,$B$22,0))*(1+$B$4)^70)&gt;0,1+$B$3,1))</f>
        <v/>
      </c>
      <c r="BV124">
        <f>BU124</f>
        <v/>
      </c>
      <c r="BW124">
        <f>IF(AND($B124&lt;=70,BV124&gt;0),$B124,999)</f>
        <v/>
      </c>
      <c r="CH124">
        <f>IF(ISTEXT('월 가계부'!A124),SUBSTITUTE(SUBSTITUTE(SUBSTITUTE(SUBSTITUTE(SUBSTITUTE(SUBSTITUTE(SUBSTITUTE(SUBSTITUTE(SUBSTITUTE(TRIM('월 가계부'!A124),"년","-"),"월","-"),"일",""),".","-"),"/","-")," ","-"),"--","-"),"--","-"),"--","-")&amp;"-","")</f>
        <v/>
      </c>
      <c r="CI124">
        <f>IFERROR(IF('월 가계부'!A124="","",IF(ISNUMBER('월 가계부'!A124),IF(AND('월 가계부'!A124&gt;=19000101,'월 가계부'!A124&lt;=21001231),IF(AND(MOD(INT('월 가계부'!A124/100),100)&gt;=1,MOD(INT('월 가계부'!A124/100),100)&lt;=12,MOD(INT('월 가계부'!A124),100)&gt;=1,MOD(INT('월 가계부'!A124),100)&lt;=31),IF(MONTH(DATE(INT('월 가계부'!A124/10000),MOD(INT('월 가계부'!A124/100),100),MOD(INT('월 가계부'!A124),100)))=MOD(INT('월 가계부'!A124/100),100),DATE(INT('월 가계부'!A124/10000),MOD(INT('월 가계부'!A124/100),100),MOD(INT('월 가계부'!A124),100)),""),""),IF(AND('월 가계부'!A124&gt;=36526,'월 가계부'!A124&lt;73051),INT('월 가계부'!A124),"")),IF(OR(CM124="",CN124="",CO124=""),"",IF(AND(CM124&gt;=2000,CM124&lt;=2099,CN124&gt;=1,CN124&lt;=12,CO124&gt;=1,CO124&lt;=31),IF(MONTH(DATE(CM124,CN124,CO124))=CN124,DATE(CM124,CN124,CO124),""),"")))),"")</f>
        <v/>
      </c>
      <c r="CJ124">
        <f>IFERROR(IF('월 가계부'!C124="","",IF(ISNUMBER('월 가계부'!C124),'월 가계부'!C124,VALUE(SUBSTITUTE(SUBSTITUTE(SUBSTITUTE(SUBSTITUTE(TRIM('월 가계부'!C124),",",""),"원","")," ",""),"−","-")))),"")</f>
        <v/>
      </c>
      <c r="CK124">
        <f>IF(ISNUMBER(CI124),IF(CI124&lt;$B$13,CI124,""),"")</f>
        <v/>
      </c>
      <c r="CM124">
        <f>IF(CH124="","",IFERROR(IF(IF(AND(LEN(CH124)=9,ISERROR(FIND("-",LEFT(CH124,8))),ISNUMBER(-LEFT(CH124,8))),VALUE(LEFT(CH124,4)),VALUE(LEFT(CH124,FIND("-",CH124)-1)))&lt;100,IF(AND(LEN(CH124)=9,ISERROR(FIND("-",LEFT(CH124,8))),ISNUMBER(-LEFT(CH124,8))),VALUE(LEFT(CH124,4)),VALUE(LEFT(CH124,FIND("-",CH124)-1)))+2000,IF(AND(LEN(CH124)=9,ISERROR(FIND("-",LEFT(CH124,8))),ISNUMBER(-LEFT(CH124,8))),VALUE(LEFT(CH124,4)),VALUE(LEFT(CH124,FIND("-",CH124)-1)))),""))</f>
        <v/>
      </c>
      <c r="CN124">
        <f>IF(CH124="","",IFERROR(IF(AND(LEN(CH124)=9,ISERROR(FIND("-",LEFT(CH124,8))),ISNUMBER(-LEFT(CH124,8))),VALUE(MID(CH124,5,2)),VALUE(MID(CH124,FIND("-",CH124)+1,FIND("-",CH124,FIND("-",CH124)+1)-FIND("-",CH124)-1))),""))</f>
        <v/>
      </c>
      <c r="CO124">
        <f>IF(CH124="","",IFERROR(IF(AND(LEN(CH124)=9,ISERROR(FIND("-",LEFT(CH124,8))),ISNUMBER(-LEFT(CH124,8))),VALUE(MID(CH124,7,2)),VALUE(MID(CH124,FIND("-",CH124,FIND("-",CH124)+1)+1,FIND("-",CH124,FIND("-",CH124,FIND("-",CH124)+1)+1)-FIND("-",CH124,FIND("-",CH124)+1)-1))),""))</f>
        <v/>
      </c>
    </row>
    <row r="125">
      <c r="A125" t="n">
        <v>29</v>
      </c>
      <c r="B125">
        <f>$B$1+29</f>
        <v/>
      </c>
      <c r="C125">
        <f>$B$2</f>
        <v/>
      </c>
      <c r="D125">
        <f>IF($B$1+1&gt;90,C125,(C125+IF($B$1+1&lt;=$B125,12*($B$7-$B$10),-12*MAX(0,($B$6+$B$10)-IF($B$1+1&gt;=$B$23,$B$22,0))*(1+$B$4)^1))*IF(C125+IF($B$1+1&lt;=$B125,12*($B$7-$B$10),-12*MAX(0,($B$6+$B$10)-IF($B$1+1&gt;=$B$23,$B$22,0))*(1+$B$4)^1)&gt;0,1+$B$3,1))</f>
        <v/>
      </c>
      <c r="E125">
        <f>IF($B$1+2&gt;90,D125,(D125+IF($B$1+2&lt;=$B125,12*($B$7-$B$10),-12*MAX(0,($B$6+$B$10)-IF($B$1+2&gt;=$B$23,$B$22,0))*(1+$B$4)^2))*IF(D125+IF($B$1+2&lt;=$B125,12*($B$7-$B$10),-12*MAX(0,($B$6+$B$10)-IF($B$1+2&gt;=$B$23,$B$22,0))*(1+$B$4)^2)&gt;0,1+$B$3,1))</f>
        <v/>
      </c>
      <c r="F125">
        <f>IF($B$1+3&gt;90,E125,(E125+IF($B$1+3&lt;=$B125,12*($B$7-$B$10),-12*MAX(0,($B$6+$B$10)-IF($B$1+3&gt;=$B$23,$B$22,0))*(1+$B$4)^3))*IF(E125+IF($B$1+3&lt;=$B125,12*($B$7-$B$10),-12*MAX(0,($B$6+$B$10)-IF($B$1+3&gt;=$B$23,$B$22,0))*(1+$B$4)^3)&gt;0,1+$B$3,1))</f>
        <v/>
      </c>
      <c r="G125">
        <f>IF($B$1+4&gt;90,F125,(F125+IF($B$1+4&lt;=$B125,12*($B$7-$B$10),-12*MAX(0,($B$6+$B$10)-IF($B$1+4&gt;=$B$23,$B$22,0))*(1+$B$4)^4))*IF(F125+IF($B$1+4&lt;=$B125,12*($B$7-$B$10),-12*MAX(0,($B$6+$B$10)-IF($B$1+4&gt;=$B$23,$B$22,0))*(1+$B$4)^4)&gt;0,1+$B$3,1))</f>
        <v/>
      </c>
      <c r="H125">
        <f>IF($B$1+5&gt;90,G125,(G125+IF($B$1+5&lt;=$B125,12*($B$7-$B$10),-12*MAX(0,($B$6+$B$10)-IF($B$1+5&gt;=$B$23,$B$22,0))*(1+$B$4)^5))*IF(G125+IF($B$1+5&lt;=$B125,12*($B$7-$B$10),-12*MAX(0,($B$6+$B$10)-IF($B$1+5&gt;=$B$23,$B$22,0))*(1+$B$4)^5)&gt;0,1+$B$3,1))</f>
        <v/>
      </c>
      <c r="I125">
        <f>IF($B$1+6&gt;90,H125,(H125+IF($B$1+6&lt;=$B125,12*($B$7-$B$10),-12*MAX(0,($B$6+$B$10)-IF($B$1+6&gt;=$B$23,$B$22,0))*(1+$B$4)^6))*IF(H125+IF($B$1+6&lt;=$B125,12*($B$7-$B$10),-12*MAX(0,($B$6+$B$10)-IF($B$1+6&gt;=$B$23,$B$22,0))*(1+$B$4)^6)&gt;0,1+$B$3,1))</f>
        <v/>
      </c>
      <c r="J125">
        <f>IF($B$1+7&gt;90,I125,(I125+IF($B$1+7&lt;=$B125,12*($B$7-$B$10),-12*MAX(0,($B$6+$B$10)-IF($B$1+7&gt;=$B$23,$B$22,0))*(1+$B$4)^7))*IF(I125+IF($B$1+7&lt;=$B125,12*($B$7-$B$10),-12*MAX(0,($B$6+$B$10)-IF($B$1+7&gt;=$B$23,$B$22,0))*(1+$B$4)^7)&gt;0,1+$B$3,1))</f>
        <v/>
      </c>
      <c r="K125">
        <f>IF($B$1+8&gt;90,J125,(J125+IF($B$1+8&lt;=$B125,12*($B$7-$B$10),-12*MAX(0,($B$6+$B$10)-IF($B$1+8&gt;=$B$23,$B$22,0))*(1+$B$4)^8))*IF(J125+IF($B$1+8&lt;=$B125,12*($B$7-$B$10),-12*MAX(0,($B$6+$B$10)-IF($B$1+8&gt;=$B$23,$B$22,0))*(1+$B$4)^8)&gt;0,1+$B$3,1))</f>
        <v/>
      </c>
      <c r="L125">
        <f>IF($B$1+9&gt;90,K125,(K125+IF($B$1+9&lt;=$B125,12*($B$7-$B$10),-12*MAX(0,($B$6+$B$10)-IF($B$1+9&gt;=$B$23,$B$22,0))*(1+$B$4)^9))*IF(K125+IF($B$1+9&lt;=$B125,12*($B$7-$B$10),-12*MAX(0,($B$6+$B$10)-IF($B$1+9&gt;=$B$23,$B$22,0))*(1+$B$4)^9)&gt;0,1+$B$3,1))</f>
        <v/>
      </c>
      <c r="M125">
        <f>IF($B$1+10&gt;90,L125,(L125+IF($B$1+10&lt;=$B125,12*($B$7-$B$10),-12*MAX(0,($B$6+$B$10)-IF($B$1+10&gt;=$B$23,$B$22,0))*(1+$B$4)^10))*IF(L125+IF($B$1+10&lt;=$B125,12*($B$7-$B$10),-12*MAX(0,($B$6+$B$10)-IF($B$1+10&gt;=$B$23,$B$22,0))*(1+$B$4)^10)&gt;0,1+$B$3,1))</f>
        <v/>
      </c>
      <c r="N125">
        <f>IF($B$1+11&gt;90,M125,(M125+IF($B$1+11&lt;=$B125,12*($B$7-$B$10),-12*MAX(0,($B$6+$B$10)-IF($B$1+11&gt;=$B$23,$B$22,0))*(1+$B$4)^11))*IF(M125+IF($B$1+11&lt;=$B125,12*($B$7-$B$10),-12*MAX(0,($B$6+$B$10)-IF($B$1+11&gt;=$B$23,$B$22,0))*(1+$B$4)^11)&gt;0,1+$B$3,1))</f>
        <v/>
      </c>
      <c r="O125">
        <f>IF($B$1+12&gt;90,N125,(N125+IF($B$1+12&lt;=$B125,12*($B$7-$B$10),-12*MAX(0,($B$6+$B$10)-IF($B$1+12&gt;=$B$23,$B$22,0))*(1+$B$4)^12))*IF(N125+IF($B$1+12&lt;=$B125,12*($B$7-$B$10),-12*MAX(0,($B$6+$B$10)-IF($B$1+12&gt;=$B$23,$B$22,0))*(1+$B$4)^12)&gt;0,1+$B$3,1))</f>
        <v/>
      </c>
      <c r="P125">
        <f>IF($B$1+13&gt;90,O125,(O125+IF($B$1+13&lt;=$B125,12*($B$7-$B$10),-12*MAX(0,($B$6+$B$10)-IF($B$1+13&gt;=$B$23,$B$22,0))*(1+$B$4)^13))*IF(O125+IF($B$1+13&lt;=$B125,12*($B$7-$B$10),-12*MAX(0,($B$6+$B$10)-IF($B$1+13&gt;=$B$23,$B$22,0))*(1+$B$4)^13)&gt;0,1+$B$3,1))</f>
        <v/>
      </c>
      <c r="Q125">
        <f>IF($B$1+14&gt;90,P125,(P125+IF($B$1+14&lt;=$B125,12*($B$7-$B$10),-12*MAX(0,($B$6+$B$10)-IF($B$1+14&gt;=$B$23,$B$22,0))*(1+$B$4)^14))*IF(P125+IF($B$1+14&lt;=$B125,12*($B$7-$B$10),-12*MAX(0,($B$6+$B$10)-IF($B$1+14&gt;=$B$23,$B$22,0))*(1+$B$4)^14)&gt;0,1+$B$3,1))</f>
        <v/>
      </c>
      <c r="R125">
        <f>IF($B$1+15&gt;90,Q125,(Q125+IF($B$1+15&lt;=$B125,12*($B$7-$B$10),-12*MAX(0,($B$6+$B$10)-IF($B$1+15&gt;=$B$23,$B$22,0))*(1+$B$4)^15))*IF(Q125+IF($B$1+15&lt;=$B125,12*($B$7-$B$10),-12*MAX(0,($B$6+$B$10)-IF($B$1+15&gt;=$B$23,$B$22,0))*(1+$B$4)^15)&gt;0,1+$B$3,1))</f>
        <v/>
      </c>
      <c r="S125">
        <f>IF($B$1+16&gt;90,R125,(R125+IF($B$1+16&lt;=$B125,12*($B$7-$B$10),-12*MAX(0,($B$6+$B$10)-IF($B$1+16&gt;=$B$23,$B$22,0))*(1+$B$4)^16))*IF(R125+IF($B$1+16&lt;=$B125,12*($B$7-$B$10),-12*MAX(0,($B$6+$B$10)-IF($B$1+16&gt;=$B$23,$B$22,0))*(1+$B$4)^16)&gt;0,1+$B$3,1))</f>
        <v/>
      </c>
      <c r="T125">
        <f>IF($B$1+17&gt;90,S125,(S125+IF($B$1+17&lt;=$B125,12*($B$7-$B$10),-12*MAX(0,($B$6+$B$10)-IF($B$1+17&gt;=$B$23,$B$22,0))*(1+$B$4)^17))*IF(S125+IF($B$1+17&lt;=$B125,12*($B$7-$B$10),-12*MAX(0,($B$6+$B$10)-IF($B$1+17&gt;=$B$23,$B$22,0))*(1+$B$4)^17)&gt;0,1+$B$3,1))</f>
        <v/>
      </c>
      <c r="U125">
        <f>IF($B$1+18&gt;90,T125,(T125+IF($B$1+18&lt;=$B125,12*($B$7-$B$10),-12*MAX(0,($B$6+$B$10)-IF($B$1+18&gt;=$B$23,$B$22,0))*(1+$B$4)^18))*IF(T125+IF($B$1+18&lt;=$B125,12*($B$7-$B$10),-12*MAX(0,($B$6+$B$10)-IF($B$1+18&gt;=$B$23,$B$22,0))*(1+$B$4)^18)&gt;0,1+$B$3,1))</f>
        <v/>
      </c>
      <c r="V125">
        <f>IF($B$1+19&gt;90,U125,(U125+IF($B$1+19&lt;=$B125,12*($B$7-$B$10),-12*MAX(0,($B$6+$B$10)-IF($B$1+19&gt;=$B$23,$B$22,0))*(1+$B$4)^19))*IF(U125+IF($B$1+19&lt;=$B125,12*($B$7-$B$10),-12*MAX(0,($B$6+$B$10)-IF($B$1+19&gt;=$B$23,$B$22,0))*(1+$B$4)^19)&gt;0,1+$B$3,1))</f>
        <v/>
      </c>
      <c r="W125">
        <f>IF($B$1+20&gt;90,V125,(V125+IF($B$1+20&lt;=$B125,12*($B$7-$B$10),-12*MAX(0,($B$6+$B$10)-IF($B$1+20&gt;=$B$23,$B$22,0))*(1+$B$4)^20))*IF(V125+IF($B$1+20&lt;=$B125,12*($B$7-$B$10),-12*MAX(0,($B$6+$B$10)-IF($B$1+20&gt;=$B$23,$B$22,0))*(1+$B$4)^20)&gt;0,1+$B$3,1))</f>
        <v/>
      </c>
      <c r="X125">
        <f>IF($B$1+21&gt;90,W125,(W125+IF($B$1+21&lt;=$B125,12*($B$7-$B$10),-12*MAX(0,($B$6+$B$10)-IF($B$1+21&gt;=$B$23,$B$22,0))*(1+$B$4)^21))*IF(W125+IF($B$1+21&lt;=$B125,12*($B$7-$B$10),-12*MAX(0,($B$6+$B$10)-IF($B$1+21&gt;=$B$23,$B$22,0))*(1+$B$4)^21)&gt;0,1+$B$3,1))</f>
        <v/>
      </c>
      <c r="Y125">
        <f>IF($B$1+22&gt;90,X125,(X125+IF($B$1+22&lt;=$B125,12*($B$7-$B$10),-12*MAX(0,($B$6+$B$10)-IF($B$1+22&gt;=$B$23,$B$22,0))*(1+$B$4)^22))*IF(X125+IF($B$1+22&lt;=$B125,12*($B$7-$B$10),-12*MAX(0,($B$6+$B$10)-IF($B$1+22&gt;=$B$23,$B$22,0))*(1+$B$4)^22)&gt;0,1+$B$3,1))</f>
        <v/>
      </c>
      <c r="Z125">
        <f>IF($B$1+23&gt;90,Y125,(Y125+IF($B$1+23&lt;=$B125,12*($B$7-$B$10),-12*MAX(0,($B$6+$B$10)-IF($B$1+23&gt;=$B$23,$B$22,0))*(1+$B$4)^23))*IF(Y125+IF($B$1+23&lt;=$B125,12*($B$7-$B$10),-12*MAX(0,($B$6+$B$10)-IF($B$1+23&gt;=$B$23,$B$22,0))*(1+$B$4)^23)&gt;0,1+$B$3,1))</f>
        <v/>
      </c>
      <c r="AA125">
        <f>IF($B$1+24&gt;90,Z125,(Z125+IF($B$1+24&lt;=$B125,12*($B$7-$B$10),-12*MAX(0,($B$6+$B$10)-IF($B$1+24&gt;=$B$23,$B$22,0))*(1+$B$4)^24))*IF(Z125+IF($B$1+24&lt;=$B125,12*($B$7-$B$10),-12*MAX(0,($B$6+$B$10)-IF($B$1+24&gt;=$B$23,$B$22,0))*(1+$B$4)^24)&gt;0,1+$B$3,1))</f>
        <v/>
      </c>
      <c r="AB125">
        <f>IF($B$1+25&gt;90,AA125,(AA125+IF($B$1+25&lt;=$B125,12*($B$7-$B$10),-12*MAX(0,($B$6+$B$10)-IF($B$1+25&gt;=$B$23,$B$22,0))*(1+$B$4)^25))*IF(AA125+IF($B$1+25&lt;=$B125,12*($B$7-$B$10),-12*MAX(0,($B$6+$B$10)-IF($B$1+25&gt;=$B$23,$B$22,0))*(1+$B$4)^25)&gt;0,1+$B$3,1))</f>
        <v/>
      </c>
      <c r="AC125">
        <f>IF($B$1+26&gt;90,AB125,(AB125+IF($B$1+26&lt;=$B125,12*($B$7-$B$10),-12*MAX(0,($B$6+$B$10)-IF($B$1+26&gt;=$B$23,$B$22,0))*(1+$B$4)^26))*IF(AB125+IF($B$1+26&lt;=$B125,12*($B$7-$B$10),-12*MAX(0,($B$6+$B$10)-IF($B$1+26&gt;=$B$23,$B$22,0))*(1+$B$4)^26)&gt;0,1+$B$3,1))</f>
        <v/>
      </c>
      <c r="AD125">
        <f>IF($B$1+27&gt;90,AC125,(AC125+IF($B$1+27&lt;=$B125,12*($B$7-$B$10),-12*MAX(0,($B$6+$B$10)-IF($B$1+27&gt;=$B$23,$B$22,0))*(1+$B$4)^27))*IF(AC125+IF($B$1+27&lt;=$B125,12*($B$7-$B$10),-12*MAX(0,($B$6+$B$10)-IF($B$1+27&gt;=$B$23,$B$22,0))*(1+$B$4)^27)&gt;0,1+$B$3,1))</f>
        <v/>
      </c>
      <c r="AE125">
        <f>IF($B$1+28&gt;90,AD125,(AD125+IF($B$1+28&lt;=$B125,12*($B$7-$B$10),-12*MAX(0,($B$6+$B$10)-IF($B$1+28&gt;=$B$23,$B$22,0))*(1+$B$4)^28))*IF(AD125+IF($B$1+28&lt;=$B125,12*($B$7-$B$10),-12*MAX(0,($B$6+$B$10)-IF($B$1+28&gt;=$B$23,$B$22,0))*(1+$B$4)^28)&gt;0,1+$B$3,1))</f>
        <v/>
      </c>
      <c r="AF125">
        <f>IF($B$1+29&gt;90,AE125,(AE125+IF($B$1+29&lt;=$B125,12*($B$7-$B$10),-12*MAX(0,($B$6+$B$10)-IF($B$1+29&gt;=$B$23,$B$22,0))*(1+$B$4)^29))*IF(AE125+IF($B$1+29&lt;=$B125,12*($B$7-$B$10),-12*MAX(0,($B$6+$B$10)-IF($B$1+29&gt;=$B$23,$B$22,0))*(1+$B$4)^29)&gt;0,1+$B$3,1))</f>
        <v/>
      </c>
      <c r="AG125">
        <f>IF($B$1+30&gt;90,AF125,(AF125+IF($B$1+30&lt;=$B125,12*($B$7-$B$10),-12*MAX(0,($B$6+$B$10)-IF($B$1+30&gt;=$B$23,$B$22,0))*(1+$B$4)^30))*IF(AF125+IF($B$1+30&lt;=$B125,12*($B$7-$B$10),-12*MAX(0,($B$6+$B$10)-IF($B$1+30&gt;=$B$23,$B$22,0))*(1+$B$4)^30)&gt;0,1+$B$3,1))</f>
        <v/>
      </c>
      <c r="AH125">
        <f>IF($B$1+31&gt;90,AG125,(AG125+IF($B$1+31&lt;=$B125,12*($B$7-$B$10),-12*MAX(0,($B$6+$B$10)-IF($B$1+31&gt;=$B$23,$B$22,0))*(1+$B$4)^31))*IF(AG125+IF($B$1+31&lt;=$B125,12*($B$7-$B$10),-12*MAX(0,($B$6+$B$10)-IF($B$1+31&gt;=$B$23,$B$22,0))*(1+$B$4)^31)&gt;0,1+$B$3,1))</f>
        <v/>
      </c>
      <c r="AI125">
        <f>IF($B$1+32&gt;90,AH125,(AH125+IF($B$1+32&lt;=$B125,12*($B$7-$B$10),-12*MAX(0,($B$6+$B$10)-IF($B$1+32&gt;=$B$23,$B$22,0))*(1+$B$4)^32))*IF(AH125+IF($B$1+32&lt;=$B125,12*($B$7-$B$10),-12*MAX(0,($B$6+$B$10)-IF($B$1+32&gt;=$B$23,$B$22,0))*(1+$B$4)^32)&gt;0,1+$B$3,1))</f>
        <v/>
      </c>
      <c r="AJ125">
        <f>IF($B$1+33&gt;90,AI125,(AI125+IF($B$1+33&lt;=$B125,12*($B$7-$B$10),-12*MAX(0,($B$6+$B$10)-IF($B$1+33&gt;=$B$23,$B$22,0))*(1+$B$4)^33))*IF(AI125+IF($B$1+33&lt;=$B125,12*($B$7-$B$10),-12*MAX(0,($B$6+$B$10)-IF($B$1+33&gt;=$B$23,$B$22,0))*(1+$B$4)^33)&gt;0,1+$B$3,1))</f>
        <v/>
      </c>
      <c r="AK125">
        <f>IF($B$1+34&gt;90,AJ125,(AJ125+IF($B$1+34&lt;=$B125,12*($B$7-$B$10),-12*MAX(0,($B$6+$B$10)-IF($B$1+34&gt;=$B$23,$B$22,0))*(1+$B$4)^34))*IF(AJ125+IF($B$1+34&lt;=$B125,12*($B$7-$B$10),-12*MAX(0,($B$6+$B$10)-IF($B$1+34&gt;=$B$23,$B$22,0))*(1+$B$4)^34)&gt;0,1+$B$3,1))</f>
        <v/>
      </c>
      <c r="AL125">
        <f>IF($B$1+35&gt;90,AK125,(AK125+IF($B$1+35&lt;=$B125,12*($B$7-$B$10),-12*MAX(0,($B$6+$B$10)-IF($B$1+35&gt;=$B$23,$B$22,0))*(1+$B$4)^35))*IF(AK125+IF($B$1+35&lt;=$B125,12*($B$7-$B$10),-12*MAX(0,($B$6+$B$10)-IF($B$1+35&gt;=$B$23,$B$22,0))*(1+$B$4)^35)&gt;0,1+$B$3,1))</f>
        <v/>
      </c>
      <c r="AM125">
        <f>IF($B$1+36&gt;90,AL125,(AL125+IF($B$1+36&lt;=$B125,12*($B$7-$B$10),-12*MAX(0,($B$6+$B$10)-IF($B$1+36&gt;=$B$23,$B$22,0))*(1+$B$4)^36))*IF(AL125+IF($B$1+36&lt;=$B125,12*($B$7-$B$10),-12*MAX(0,($B$6+$B$10)-IF($B$1+36&gt;=$B$23,$B$22,0))*(1+$B$4)^36)&gt;0,1+$B$3,1))</f>
        <v/>
      </c>
      <c r="AN125">
        <f>IF($B$1+37&gt;90,AM125,(AM125+IF($B$1+37&lt;=$B125,12*($B$7-$B$10),-12*MAX(0,($B$6+$B$10)-IF($B$1+37&gt;=$B$23,$B$22,0))*(1+$B$4)^37))*IF(AM125+IF($B$1+37&lt;=$B125,12*($B$7-$B$10),-12*MAX(0,($B$6+$B$10)-IF($B$1+37&gt;=$B$23,$B$22,0))*(1+$B$4)^37)&gt;0,1+$B$3,1))</f>
        <v/>
      </c>
      <c r="AO125">
        <f>IF($B$1+38&gt;90,AN125,(AN125+IF($B$1+38&lt;=$B125,12*($B$7-$B$10),-12*MAX(0,($B$6+$B$10)-IF($B$1+38&gt;=$B$23,$B$22,0))*(1+$B$4)^38))*IF(AN125+IF($B$1+38&lt;=$B125,12*($B$7-$B$10),-12*MAX(0,($B$6+$B$10)-IF($B$1+38&gt;=$B$23,$B$22,0))*(1+$B$4)^38)&gt;0,1+$B$3,1))</f>
        <v/>
      </c>
      <c r="AP125">
        <f>IF($B$1+39&gt;90,AO125,(AO125+IF($B$1+39&lt;=$B125,12*($B$7-$B$10),-12*MAX(0,($B$6+$B$10)-IF($B$1+39&gt;=$B$23,$B$22,0))*(1+$B$4)^39))*IF(AO125+IF($B$1+39&lt;=$B125,12*($B$7-$B$10),-12*MAX(0,($B$6+$B$10)-IF($B$1+39&gt;=$B$23,$B$22,0))*(1+$B$4)^39)&gt;0,1+$B$3,1))</f>
        <v/>
      </c>
      <c r="AQ125">
        <f>IF($B$1+40&gt;90,AP125,(AP125+IF($B$1+40&lt;=$B125,12*($B$7-$B$10),-12*MAX(0,($B$6+$B$10)-IF($B$1+40&gt;=$B$23,$B$22,0))*(1+$B$4)^40))*IF(AP125+IF($B$1+40&lt;=$B125,12*($B$7-$B$10),-12*MAX(0,($B$6+$B$10)-IF($B$1+40&gt;=$B$23,$B$22,0))*(1+$B$4)^40)&gt;0,1+$B$3,1))</f>
        <v/>
      </c>
      <c r="AR125">
        <f>IF($B$1+41&gt;90,AQ125,(AQ125+IF($B$1+41&lt;=$B125,12*($B$7-$B$10),-12*MAX(0,($B$6+$B$10)-IF($B$1+41&gt;=$B$23,$B$22,0))*(1+$B$4)^41))*IF(AQ125+IF($B$1+41&lt;=$B125,12*($B$7-$B$10),-12*MAX(0,($B$6+$B$10)-IF($B$1+41&gt;=$B$23,$B$22,0))*(1+$B$4)^41)&gt;0,1+$B$3,1))</f>
        <v/>
      </c>
      <c r="AS125">
        <f>IF($B$1+42&gt;90,AR125,(AR125+IF($B$1+42&lt;=$B125,12*($B$7-$B$10),-12*MAX(0,($B$6+$B$10)-IF($B$1+42&gt;=$B$23,$B$22,0))*(1+$B$4)^42))*IF(AR125+IF($B$1+42&lt;=$B125,12*($B$7-$B$10),-12*MAX(0,($B$6+$B$10)-IF($B$1+42&gt;=$B$23,$B$22,0))*(1+$B$4)^42)&gt;0,1+$B$3,1))</f>
        <v/>
      </c>
      <c r="AT125">
        <f>IF($B$1+43&gt;90,AS125,(AS125+IF($B$1+43&lt;=$B125,12*($B$7-$B$10),-12*MAX(0,($B$6+$B$10)-IF($B$1+43&gt;=$B$23,$B$22,0))*(1+$B$4)^43))*IF(AS125+IF($B$1+43&lt;=$B125,12*($B$7-$B$10),-12*MAX(0,($B$6+$B$10)-IF($B$1+43&gt;=$B$23,$B$22,0))*(1+$B$4)^43)&gt;0,1+$B$3,1))</f>
        <v/>
      </c>
      <c r="AU125">
        <f>IF($B$1+44&gt;90,AT125,(AT125+IF($B$1+44&lt;=$B125,12*($B$7-$B$10),-12*MAX(0,($B$6+$B$10)-IF($B$1+44&gt;=$B$23,$B$22,0))*(1+$B$4)^44))*IF(AT125+IF($B$1+44&lt;=$B125,12*($B$7-$B$10),-12*MAX(0,($B$6+$B$10)-IF($B$1+44&gt;=$B$23,$B$22,0))*(1+$B$4)^44)&gt;0,1+$B$3,1))</f>
        <v/>
      </c>
      <c r="AV125">
        <f>IF($B$1+45&gt;90,AU125,(AU125+IF($B$1+45&lt;=$B125,12*($B$7-$B$10),-12*MAX(0,($B$6+$B$10)-IF($B$1+45&gt;=$B$23,$B$22,0))*(1+$B$4)^45))*IF(AU125+IF($B$1+45&lt;=$B125,12*($B$7-$B$10),-12*MAX(0,($B$6+$B$10)-IF($B$1+45&gt;=$B$23,$B$22,0))*(1+$B$4)^45)&gt;0,1+$B$3,1))</f>
        <v/>
      </c>
      <c r="AW125">
        <f>IF($B$1+46&gt;90,AV125,(AV125+IF($B$1+46&lt;=$B125,12*($B$7-$B$10),-12*MAX(0,($B$6+$B$10)-IF($B$1+46&gt;=$B$23,$B$22,0))*(1+$B$4)^46))*IF(AV125+IF($B$1+46&lt;=$B125,12*($B$7-$B$10),-12*MAX(0,($B$6+$B$10)-IF($B$1+46&gt;=$B$23,$B$22,0))*(1+$B$4)^46)&gt;0,1+$B$3,1))</f>
        <v/>
      </c>
      <c r="AX125">
        <f>IF($B$1+47&gt;90,AW125,(AW125+IF($B$1+47&lt;=$B125,12*($B$7-$B$10),-12*MAX(0,($B$6+$B$10)-IF($B$1+47&gt;=$B$23,$B$22,0))*(1+$B$4)^47))*IF(AW125+IF($B$1+47&lt;=$B125,12*($B$7-$B$10),-12*MAX(0,($B$6+$B$10)-IF($B$1+47&gt;=$B$23,$B$22,0))*(1+$B$4)^47)&gt;0,1+$B$3,1))</f>
        <v/>
      </c>
      <c r="AY125">
        <f>IF($B$1+48&gt;90,AX125,(AX125+IF($B$1+48&lt;=$B125,12*($B$7-$B$10),-12*MAX(0,($B$6+$B$10)-IF($B$1+48&gt;=$B$23,$B$22,0))*(1+$B$4)^48))*IF(AX125+IF($B$1+48&lt;=$B125,12*($B$7-$B$10),-12*MAX(0,($B$6+$B$10)-IF($B$1+48&gt;=$B$23,$B$22,0))*(1+$B$4)^48)&gt;0,1+$B$3,1))</f>
        <v/>
      </c>
      <c r="AZ125">
        <f>IF($B$1+49&gt;90,AY125,(AY125+IF($B$1+49&lt;=$B125,12*($B$7-$B$10),-12*MAX(0,($B$6+$B$10)-IF($B$1+49&gt;=$B$23,$B$22,0))*(1+$B$4)^49))*IF(AY125+IF($B$1+49&lt;=$B125,12*($B$7-$B$10),-12*MAX(0,($B$6+$B$10)-IF($B$1+49&gt;=$B$23,$B$22,0))*(1+$B$4)^49)&gt;0,1+$B$3,1))</f>
        <v/>
      </c>
      <c r="BA125">
        <f>IF($B$1+50&gt;90,AZ125,(AZ125+IF($B$1+50&lt;=$B125,12*($B$7-$B$10),-12*MAX(0,($B$6+$B$10)-IF($B$1+50&gt;=$B$23,$B$22,0))*(1+$B$4)^50))*IF(AZ125+IF($B$1+50&lt;=$B125,12*($B$7-$B$10),-12*MAX(0,($B$6+$B$10)-IF($B$1+50&gt;=$B$23,$B$22,0))*(1+$B$4)^50)&gt;0,1+$B$3,1))</f>
        <v/>
      </c>
      <c r="BB125">
        <f>IF($B$1+51&gt;90,BA125,(BA125+IF($B$1+51&lt;=$B125,12*($B$7-$B$10),-12*MAX(0,($B$6+$B$10)-IF($B$1+51&gt;=$B$23,$B$22,0))*(1+$B$4)^51))*IF(BA125+IF($B$1+51&lt;=$B125,12*($B$7-$B$10),-12*MAX(0,($B$6+$B$10)-IF($B$1+51&gt;=$B$23,$B$22,0))*(1+$B$4)^51)&gt;0,1+$B$3,1))</f>
        <v/>
      </c>
      <c r="BC125">
        <f>IF($B$1+52&gt;90,BB125,(BB125+IF($B$1+52&lt;=$B125,12*($B$7-$B$10),-12*MAX(0,($B$6+$B$10)-IF($B$1+52&gt;=$B$23,$B$22,0))*(1+$B$4)^52))*IF(BB125+IF($B$1+52&lt;=$B125,12*($B$7-$B$10),-12*MAX(0,($B$6+$B$10)-IF($B$1+52&gt;=$B$23,$B$22,0))*(1+$B$4)^52)&gt;0,1+$B$3,1))</f>
        <v/>
      </c>
      <c r="BD125">
        <f>IF($B$1+53&gt;90,BC125,(BC125+IF($B$1+53&lt;=$B125,12*($B$7-$B$10),-12*MAX(0,($B$6+$B$10)-IF($B$1+53&gt;=$B$23,$B$22,0))*(1+$B$4)^53))*IF(BC125+IF($B$1+53&lt;=$B125,12*($B$7-$B$10),-12*MAX(0,($B$6+$B$10)-IF($B$1+53&gt;=$B$23,$B$22,0))*(1+$B$4)^53)&gt;0,1+$B$3,1))</f>
        <v/>
      </c>
      <c r="BE125">
        <f>IF($B$1+54&gt;90,BD125,(BD125+IF($B$1+54&lt;=$B125,12*($B$7-$B$10),-12*MAX(0,($B$6+$B$10)-IF($B$1+54&gt;=$B$23,$B$22,0))*(1+$B$4)^54))*IF(BD125+IF($B$1+54&lt;=$B125,12*($B$7-$B$10),-12*MAX(0,($B$6+$B$10)-IF($B$1+54&gt;=$B$23,$B$22,0))*(1+$B$4)^54)&gt;0,1+$B$3,1))</f>
        <v/>
      </c>
      <c r="BF125">
        <f>IF($B$1+55&gt;90,BE125,(BE125+IF($B$1+55&lt;=$B125,12*($B$7-$B$10),-12*MAX(0,($B$6+$B$10)-IF($B$1+55&gt;=$B$23,$B$22,0))*(1+$B$4)^55))*IF(BE125+IF($B$1+55&lt;=$B125,12*($B$7-$B$10),-12*MAX(0,($B$6+$B$10)-IF($B$1+55&gt;=$B$23,$B$22,0))*(1+$B$4)^55)&gt;0,1+$B$3,1))</f>
        <v/>
      </c>
      <c r="BG125">
        <f>IF($B$1+56&gt;90,BF125,(BF125+IF($B$1+56&lt;=$B125,12*($B$7-$B$10),-12*MAX(0,($B$6+$B$10)-IF($B$1+56&gt;=$B$23,$B$22,0))*(1+$B$4)^56))*IF(BF125+IF($B$1+56&lt;=$B125,12*($B$7-$B$10),-12*MAX(0,($B$6+$B$10)-IF($B$1+56&gt;=$B$23,$B$22,0))*(1+$B$4)^56)&gt;0,1+$B$3,1))</f>
        <v/>
      </c>
      <c r="BH125">
        <f>IF($B$1+57&gt;90,BG125,(BG125+IF($B$1+57&lt;=$B125,12*($B$7-$B$10),-12*MAX(0,($B$6+$B$10)-IF($B$1+57&gt;=$B$23,$B$22,0))*(1+$B$4)^57))*IF(BG125+IF($B$1+57&lt;=$B125,12*($B$7-$B$10),-12*MAX(0,($B$6+$B$10)-IF($B$1+57&gt;=$B$23,$B$22,0))*(1+$B$4)^57)&gt;0,1+$B$3,1))</f>
        <v/>
      </c>
      <c r="BI125">
        <f>IF($B$1+58&gt;90,BH125,(BH125+IF($B$1+58&lt;=$B125,12*($B$7-$B$10),-12*MAX(0,($B$6+$B$10)-IF($B$1+58&gt;=$B$23,$B$22,0))*(1+$B$4)^58))*IF(BH125+IF($B$1+58&lt;=$B125,12*($B$7-$B$10),-12*MAX(0,($B$6+$B$10)-IF($B$1+58&gt;=$B$23,$B$22,0))*(1+$B$4)^58)&gt;0,1+$B$3,1))</f>
        <v/>
      </c>
      <c r="BJ125">
        <f>IF($B$1+59&gt;90,BI125,(BI125+IF($B$1+59&lt;=$B125,12*($B$7-$B$10),-12*MAX(0,($B$6+$B$10)-IF($B$1+59&gt;=$B$23,$B$22,0))*(1+$B$4)^59))*IF(BI125+IF($B$1+59&lt;=$B125,12*($B$7-$B$10),-12*MAX(0,($B$6+$B$10)-IF($B$1+59&gt;=$B$23,$B$22,0))*(1+$B$4)^59)&gt;0,1+$B$3,1))</f>
        <v/>
      </c>
      <c r="BK125">
        <f>IF($B$1+60&gt;90,BJ125,(BJ125+IF($B$1+60&lt;=$B125,12*($B$7-$B$10),-12*MAX(0,($B$6+$B$10)-IF($B$1+60&gt;=$B$23,$B$22,0))*(1+$B$4)^60))*IF(BJ125+IF($B$1+60&lt;=$B125,12*($B$7-$B$10),-12*MAX(0,($B$6+$B$10)-IF($B$1+60&gt;=$B$23,$B$22,0))*(1+$B$4)^60)&gt;0,1+$B$3,1))</f>
        <v/>
      </c>
      <c r="BL125">
        <f>IF($B$1+61&gt;90,BK125,(BK125+IF($B$1+61&lt;=$B125,12*($B$7-$B$10),-12*MAX(0,($B$6+$B$10)-IF($B$1+61&gt;=$B$23,$B$22,0))*(1+$B$4)^61))*IF(BK125+IF($B$1+61&lt;=$B125,12*($B$7-$B$10),-12*MAX(0,($B$6+$B$10)-IF($B$1+61&gt;=$B$23,$B$22,0))*(1+$B$4)^61)&gt;0,1+$B$3,1))</f>
        <v/>
      </c>
      <c r="BM125">
        <f>IF($B$1+62&gt;90,BL125,(BL125+IF($B$1+62&lt;=$B125,12*($B$7-$B$10),-12*MAX(0,($B$6+$B$10)-IF($B$1+62&gt;=$B$23,$B$22,0))*(1+$B$4)^62))*IF(BL125+IF($B$1+62&lt;=$B125,12*($B$7-$B$10),-12*MAX(0,($B$6+$B$10)-IF($B$1+62&gt;=$B$23,$B$22,0))*(1+$B$4)^62)&gt;0,1+$B$3,1))</f>
        <v/>
      </c>
      <c r="BN125">
        <f>IF($B$1+63&gt;90,BM125,(BM125+IF($B$1+63&lt;=$B125,12*($B$7-$B$10),-12*MAX(0,($B$6+$B$10)-IF($B$1+63&gt;=$B$23,$B$22,0))*(1+$B$4)^63))*IF(BM125+IF($B$1+63&lt;=$B125,12*($B$7-$B$10),-12*MAX(0,($B$6+$B$10)-IF($B$1+63&gt;=$B$23,$B$22,0))*(1+$B$4)^63)&gt;0,1+$B$3,1))</f>
        <v/>
      </c>
      <c r="BO125">
        <f>IF($B$1+64&gt;90,BN125,(BN125+IF($B$1+64&lt;=$B125,12*($B$7-$B$10),-12*MAX(0,($B$6+$B$10)-IF($B$1+64&gt;=$B$23,$B$22,0))*(1+$B$4)^64))*IF(BN125+IF($B$1+64&lt;=$B125,12*($B$7-$B$10),-12*MAX(0,($B$6+$B$10)-IF($B$1+64&gt;=$B$23,$B$22,0))*(1+$B$4)^64)&gt;0,1+$B$3,1))</f>
        <v/>
      </c>
      <c r="BP125">
        <f>IF($B$1+65&gt;90,BO125,(BO125+IF($B$1+65&lt;=$B125,12*($B$7-$B$10),-12*MAX(0,($B$6+$B$10)-IF($B$1+65&gt;=$B$23,$B$22,0))*(1+$B$4)^65))*IF(BO125+IF($B$1+65&lt;=$B125,12*($B$7-$B$10),-12*MAX(0,($B$6+$B$10)-IF($B$1+65&gt;=$B$23,$B$22,0))*(1+$B$4)^65)&gt;0,1+$B$3,1))</f>
        <v/>
      </c>
      <c r="BQ125">
        <f>IF($B$1+66&gt;90,BP125,(BP125+IF($B$1+66&lt;=$B125,12*($B$7-$B$10),-12*MAX(0,($B$6+$B$10)-IF($B$1+66&gt;=$B$23,$B$22,0))*(1+$B$4)^66))*IF(BP125+IF($B$1+66&lt;=$B125,12*($B$7-$B$10),-12*MAX(0,($B$6+$B$10)-IF($B$1+66&gt;=$B$23,$B$22,0))*(1+$B$4)^66)&gt;0,1+$B$3,1))</f>
        <v/>
      </c>
      <c r="BR125">
        <f>IF($B$1+67&gt;90,BQ125,(BQ125+IF($B$1+67&lt;=$B125,12*($B$7-$B$10),-12*MAX(0,($B$6+$B$10)-IF($B$1+67&gt;=$B$23,$B$22,0))*(1+$B$4)^67))*IF(BQ125+IF($B$1+67&lt;=$B125,12*($B$7-$B$10),-12*MAX(0,($B$6+$B$10)-IF($B$1+67&gt;=$B$23,$B$22,0))*(1+$B$4)^67)&gt;0,1+$B$3,1))</f>
        <v/>
      </c>
      <c r="BS125">
        <f>IF($B$1+68&gt;90,BR125,(BR125+IF($B$1+68&lt;=$B125,12*($B$7-$B$10),-12*MAX(0,($B$6+$B$10)-IF($B$1+68&gt;=$B$23,$B$22,0))*(1+$B$4)^68))*IF(BR125+IF($B$1+68&lt;=$B125,12*($B$7-$B$10),-12*MAX(0,($B$6+$B$10)-IF($B$1+68&gt;=$B$23,$B$22,0))*(1+$B$4)^68)&gt;0,1+$B$3,1))</f>
        <v/>
      </c>
      <c r="BT125">
        <f>IF($B$1+69&gt;90,BS125,(BS125+IF($B$1+69&lt;=$B125,12*($B$7-$B$10),-12*MAX(0,($B$6+$B$10)-IF($B$1+69&gt;=$B$23,$B$22,0))*(1+$B$4)^69))*IF(BS125+IF($B$1+69&lt;=$B125,12*($B$7-$B$10),-12*MAX(0,($B$6+$B$10)-IF($B$1+69&gt;=$B$23,$B$22,0))*(1+$B$4)^69)&gt;0,1+$B$3,1))</f>
        <v/>
      </c>
      <c r="BU125">
        <f>IF($B$1+70&gt;90,BT125,(BT125+IF($B$1+70&lt;=$B125,12*($B$7-$B$10),-12*MAX(0,($B$6+$B$10)-IF($B$1+70&gt;=$B$23,$B$22,0))*(1+$B$4)^70))*IF(BT125+IF($B$1+70&lt;=$B125,12*($B$7-$B$10),-12*MAX(0,($B$6+$B$10)-IF($B$1+70&gt;=$B$23,$B$22,0))*(1+$B$4)^70)&gt;0,1+$B$3,1))</f>
        <v/>
      </c>
      <c r="BV125">
        <f>BU125</f>
        <v/>
      </c>
      <c r="BW125">
        <f>IF(AND($B125&lt;=70,BV125&gt;0),$B125,999)</f>
        <v/>
      </c>
      <c r="CH125">
        <f>IF(ISTEXT('월 가계부'!A125),SUBSTITUTE(SUBSTITUTE(SUBSTITUTE(SUBSTITUTE(SUBSTITUTE(SUBSTITUTE(SUBSTITUTE(SUBSTITUTE(SUBSTITUTE(TRIM('월 가계부'!A125),"년","-"),"월","-"),"일",""),".","-"),"/","-")," ","-"),"--","-"),"--","-"),"--","-")&amp;"-","")</f>
        <v/>
      </c>
      <c r="CI125">
        <f>IFERROR(IF('월 가계부'!A125="","",IF(ISNUMBER('월 가계부'!A125),IF(AND('월 가계부'!A125&gt;=19000101,'월 가계부'!A125&lt;=21001231),IF(AND(MOD(INT('월 가계부'!A125/100),100)&gt;=1,MOD(INT('월 가계부'!A125/100),100)&lt;=12,MOD(INT('월 가계부'!A125),100)&gt;=1,MOD(INT('월 가계부'!A125),100)&lt;=31),IF(MONTH(DATE(INT('월 가계부'!A125/10000),MOD(INT('월 가계부'!A125/100),100),MOD(INT('월 가계부'!A125),100)))=MOD(INT('월 가계부'!A125/100),100),DATE(INT('월 가계부'!A125/10000),MOD(INT('월 가계부'!A125/100),100),MOD(INT('월 가계부'!A125),100)),""),""),IF(AND('월 가계부'!A125&gt;=36526,'월 가계부'!A125&lt;73051),INT('월 가계부'!A125),"")),IF(OR(CM125="",CN125="",CO125=""),"",IF(AND(CM125&gt;=2000,CM125&lt;=2099,CN125&gt;=1,CN125&lt;=12,CO125&gt;=1,CO125&lt;=31),IF(MONTH(DATE(CM125,CN125,CO125))=CN125,DATE(CM125,CN125,CO125),""),"")))),"")</f>
        <v/>
      </c>
      <c r="CJ125">
        <f>IFERROR(IF('월 가계부'!C125="","",IF(ISNUMBER('월 가계부'!C125),'월 가계부'!C125,VALUE(SUBSTITUTE(SUBSTITUTE(SUBSTITUTE(SUBSTITUTE(TRIM('월 가계부'!C125),",",""),"원","")," ",""),"−","-")))),"")</f>
        <v/>
      </c>
      <c r="CK125">
        <f>IF(ISNUMBER(CI125),IF(CI125&lt;$B$13,CI125,""),"")</f>
        <v/>
      </c>
      <c r="CM125">
        <f>IF(CH125="","",IFERROR(IF(IF(AND(LEN(CH125)=9,ISERROR(FIND("-",LEFT(CH125,8))),ISNUMBER(-LEFT(CH125,8))),VALUE(LEFT(CH125,4)),VALUE(LEFT(CH125,FIND("-",CH125)-1)))&lt;100,IF(AND(LEN(CH125)=9,ISERROR(FIND("-",LEFT(CH125,8))),ISNUMBER(-LEFT(CH125,8))),VALUE(LEFT(CH125,4)),VALUE(LEFT(CH125,FIND("-",CH125)-1)))+2000,IF(AND(LEN(CH125)=9,ISERROR(FIND("-",LEFT(CH125,8))),ISNUMBER(-LEFT(CH125,8))),VALUE(LEFT(CH125,4)),VALUE(LEFT(CH125,FIND("-",CH125)-1)))),""))</f>
        <v/>
      </c>
      <c r="CN125">
        <f>IF(CH125="","",IFERROR(IF(AND(LEN(CH125)=9,ISERROR(FIND("-",LEFT(CH125,8))),ISNUMBER(-LEFT(CH125,8))),VALUE(MID(CH125,5,2)),VALUE(MID(CH125,FIND("-",CH125)+1,FIND("-",CH125,FIND("-",CH125)+1)-FIND("-",CH125)-1))),""))</f>
        <v/>
      </c>
      <c r="CO125">
        <f>IF(CH125="","",IFERROR(IF(AND(LEN(CH125)=9,ISERROR(FIND("-",LEFT(CH125,8))),ISNUMBER(-LEFT(CH125,8))),VALUE(MID(CH125,7,2)),VALUE(MID(CH125,FIND("-",CH125,FIND("-",CH125)+1)+1,FIND("-",CH125,FIND("-",CH125,FIND("-",CH125)+1)+1)-FIND("-",CH125,FIND("-",CH125)+1)-1))),""))</f>
        <v/>
      </c>
    </row>
    <row r="126">
      <c r="A126" t="n">
        <v>30</v>
      </c>
      <c r="B126">
        <f>$B$1+30</f>
        <v/>
      </c>
      <c r="C126">
        <f>$B$2</f>
        <v/>
      </c>
      <c r="D126">
        <f>IF($B$1+1&gt;90,C126,(C126+IF($B$1+1&lt;=$B126,12*($B$7-$B$10),-12*MAX(0,($B$6+$B$10)-IF($B$1+1&gt;=$B$23,$B$22,0))*(1+$B$4)^1))*IF(C126+IF($B$1+1&lt;=$B126,12*($B$7-$B$10),-12*MAX(0,($B$6+$B$10)-IF($B$1+1&gt;=$B$23,$B$22,0))*(1+$B$4)^1)&gt;0,1+$B$3,1))</f>
        <v/>
      </c>
      <c r="E126">
        <f>IF($B$1+2&gt;90,D126,(D126+IF($B$1+2&lt;=$B126,12*($B$7-$B$10),-12*MAX(0,($B$6+$B$10)-IF($B$1+2&gt;=$B$23,$B$22,0))*(1+$B$4)^2))*IF(D126+IF($B$1+2&lt;=$B126,12*($B$7-$B$10),-12*MAX(0,($B$6+$B$10)-IF($B$1+2&gt;=$B$23,$B$22,0))*(1+$B$4)^2)&gt;0,1+$B$3,1))</f>
        <v/>
      </c>
      <c r="F126">
        <f>IF($B$1+3&gt;90,E126,(E126+IF($B$1+3&lt;=$B126,12*($B$7-$B$10),-12*MAX(0,($B$6+$B$10)-IF($B$1+3&gt;=$B$23,$B$22,0))*(1+$B$4)^3))*IF(E126+IF($B$1+3&lt;=$B126,12*($B$7-$B$10),-12*MAX(0,($B$6+$B$10)-IF($B$1+3&gt;=$B$23,$B$22,0))*(1+$B$4)^3)&gt;0,1+$B$3,1))</f>
        <v/>
      </c>
      <c r="G126">
        <f>IF($B$1+4&gt;90,F126,(F126+IF($B$1+4&lt;=$B126,12*($B$7-$B$10),-12*MAX(0,($B$6+$B$10)-IF($B$1+4&gt;=$B$23,$B$22,0))*(1+$B$4)^4))*IF(F126+IF($B$1+4&lt;=$B126,12*($B$7-$B$10),-12*MAX(0,($B$6+$B$10)-IF($B$1+4&gt;=$B$23,$B$22,0))*(1+$B$4)^4)&gt;0,1+$B$3,1))</f>
        <v/>
      </c>
      <c r="H126">
        <f>IF($B$1+5&gt;90,G126,(G126+IF($B$1+5&lt;=$B126,12*($B$7-$B$10),-12*MAX(0,($B$6+$B$10)-IF($B$1+5&gt;=$B$23,$B$22,0))*(1+$B$4)^5))*IF(G126+IF($B$1+5&lt;=$B126,12*($B$7-$B$10),-12*MAX(0,($B$6+$B$10)-IF($B$1+5&gt;=$B$23,$B$22,0))*(1+$B$4)^5)&gt;0,1+$B$3,1))</f>
        <v/>
      </c>
      <c r="I126">
        <f>IF($B$1+6&gt;90,H126,(H126+IF($B$1+6&lt;=$B126,12*($B$7-$B$10),-12*MAX(0,($B$6+$B$10)-IF($B$1+6&gt;=$B$23,$B$22,0))*(1+$B$4)^6))*IF(H126+IF($B$1+6&lt;=$B126,12*($B$7-$B$10),-12*MAX(0,($B$6+$B$10)-IF($B$1+6&gt;=$B$23,$B$22,0))*(1+$B$4)^6)&gt;0,1+$B$3,1))</f>
        <v/>
      </c>
      <c r="J126">
        <f>IF($B$1+7&gt;90,I126,(I126+IF($B$1+7&lt;=$B126,12*($B$7-$B$10),-12*MAX(0,($B$6+$B$10)-IF($B$1+7&gt;=$B$23,$B$22,0))*(1+$B$4)^7))*IF(I126+IF($B$1+7&lt;=$B126,12*($B$7-$B$10),-12*MAX(0,($B$6+$B$10)-IF($B$1+7&gt;=$B$23,$B$22,0))*(1+$B$4)^7)&gt;0,1+$B$3,1))</f>
        <v/>
      </c>
      <c r="K126">
        <f>IF($B$1+8&gt;90,J126,(J126+IF($B$1+8&lt;=$B126,12*($B$7-$B$10),-12*MAX(0,($B$6+$B$10)-IF($B$1+8&gt;=$B$23,$B$22,0))*(1+$B$4)^8))*IF(J126+IF($B$1+8&lt;=$B126,12*($B$7-$B$10),-12*MAX(0,($B$6+$B$10)-IF($B$1+8&gt;=$B$23,$B$22,0))*(1+$B$4)^8)&gt;0,1+$B$3,1))</f>
        <v/>
      </c>
      <c r="L126">
        <f>IF($B$1+9&gt;90,K126,(K126+IF($B$1+9&lt;=$B126,12*($B$7-$B$10),-12*MAX(0,($B$6+$B$10)-IF($B$1+9&gt;=$B$23,$B$22,0))*(1+$B$4)^9))*IF(K126+IF($B$1+9&lt;=$B126,12*($B$7-$B$10),-12*MAX(0,($B$6+$B$10)-IF($B$1+9&gt;=$B$23,$B$22,0))*(1+$B$4)^9)&gt;0,1+$B$3,1))</f>
        <v/>
      </c>
      <c r="M126">
        <f>IF($B$1+10&gt;90,L126,(L126+IF($B$1+10&lt;=$B126,12*($B$7-$B$10),-12*MAX(0,($B$6+$B$10)-IF($B$1+10&gt;=$B$23,$B$22,0))*(1+$B$4)^10))*IF(L126+IF($B$1+10&lt;=$B126,12*($B$7-$B$10),-12*MAX(0,($B$6+$B$10)-IF($B$1+10&gt;=$B$23,$B$22,0))*(1+$B$4)^10)&gt;0,1+$B$3,1))</f>
        <v/>
      </c>
      <c r="N126">
        <f>IF($B$1+11&gt;90,M126,(M126+IF($B$1+11&lt;=$B126,12*($B$7-$B$10),-12*MAX(0,($B$6+$B$10)-IF($B$1+11&gt;=$B$23,$B$22,0))*(1+$B$4)^11))*IF(M126+IF($B$1+11&lt;=$B126,12*($B$7-$B$10),-12*MAX(0,($B$6+$B$10)-IF($B$1+11&gt;=$B$23,$B$22,0))*(1+$B$4)^11)&gt;0,1+$B$3,1))</f>
        <v/>
      </c>
      <c r="O126">
        <f>IF($B$1+12&gt;90,N126,(N126+IF($B$1+12&lt;=$B126,12*($B$7-$B$10),-12*MAX(0,($B$6+$B$10)-IF($B$1+12&gt;=$B$23,$B$22,0))*(1+$B$4)^12))*IF(N126+IF($B$1+12&lt;=$B126,12*($B$7-$B$10),-12*MAX(0,($B$6+$B$10)-IF($B$1+12&gt;=$B$23,$B$22,0))*(1+$B$4)^12)&gt;0,1+$B$3,1))</f>
        <v/>
      </c>
      <c r="P126">
        <f>IF($B$1+13&gt;90,O126,(O126+IF($B$1+13&lt;=$B126,12*($B$7-$B$10),-12*MAX(0,($B$6+$B$10)-IF($B$1+13&gt;=$B$23,$B$22,0))*(1+$B$4)^13))*IF(O126+IF($B$1+13&lt;=$B126,12*($B$7-$B$10),-12*MAX(0,($B$6+$B$10)-IF($B$1+13&gt;=$B$23,$B$22,0))*(1+$B$4)^13)&gt;0,1+$B$3,1))</f>
        <v/>
      </c>
      <c r="Q126">
        <f>IF($B$1+14&gt;90,P126,(P126+IF($B$1+14&lt;=$B126,12*($B$7-$B$10),-12*MAX(0,($B$6+$B$10)-IF($B$1+14&gt;=$B$23,$B$22,0))*(1+$B$4)^14))*IF(P126+IF($B$1+14&lt;=$B126,12*($B$7-$B$10),-12*MAX(0,($B$6+$B$10)-IF($B$1+14&gt;=$B$23,$B$22,0))*(1+$B$4)^14)&gt;0,1+$B$3,1))</f>
        <v/>
      </c>
      <c r="R126">
        <f>IF($B$1+15&gt;90,Q126,(Q126+IF($B$1+15&lt;=$B126,12*($B$7-$B$10),-12*MAX(0,($B$6+$B$10)-IF($B$1+15&gt;=$B$23,$B$22,0))*(1+$B$4)^15))*IF(Q126+IF($B$1+15&lt;=$B126,12*($B$7-$B$10),-12*MAX(0,($B$6+$B$10)-IF($B$1+15&gt;=$B$23,$B$22,0))*(1+$B$4)^15)&gt;0,1+$B$3,1))</f>
        <v/>
      </c>
      <c r="S126">
        <f>IF($B$1+16&gt;90,R126,(R126+IF($B$1+16&lt;=$B126,12*($B$7-$B$10),-12*MAX(0,($B$6+$B$10)-IF($B$1+16&gt;=$B$23,$B$22,0))*(1+$B$4)^16))*IF(R126+IF($B$1+16&lt;=$B126,12*($B$7-$B$10),-12*MAX(0,($B$6+$B$10)-IF($B$1+16&gt;=$B$23,$B$22,0))*(1+$B$4)^16)&gt;0,1+$B$3,1))</f>
        <v/>
      </c>
      <c r="T126">
        <f>IF($B$1+17&gt;90,S126,(S126+IF($B$1+17&lt;=$B126,12*($B$7-$B$10),-12*MAX(0,($B$6+$B$10)-IF($B$1+17&gt;=$B$23,$B$22,0))*(1+$B$4)^17))*IF(S126+IF($B$1+17&lt;=$B126,12*($B$7-$B$10),-12*MAX(0,($B$6+$B$10)-IF($B$1+17&gt;=$B$23,$B$22,0))*(1+$B$4)^17)&gt;0,1+$B$3,1))</f>
        <v/>
      </c>
      <c r="U126">
        <f>IF($B$1+18&gt;90,T126,(T126+IF($B$1+18&lt;=$B126,12*($B$7-$B$10),-12*MAX(0,($B$6+$B$10)-IF($B$1+18&gt;=$B$23,$B$22,0))*(1+$B$4)^18))*IF(T126+IF($B$1+18&lt;=$B126,12*($B$7-$B$10),-12*MAX(0,($B$6+$B$10)-IF($B$1+18&gt;=$B$23,$B$22,0))*(1+$B$4)^18)&gt;0,1+$B$3,1))</f>
        <v/>
      </c>
      <c r="V126">
        <f>IF($B$1+19&gt;90,U126,(U126+IF($B$1+19&lt;=$B126,12*($B$7-$B$10),-12*MAX(0,($B$6+$B$10)-IF($B$1+19&gt;=$B$23,$B$22,0))*(1+$B$4)^19))*IF(U126+IF($B$1+19&lt;=$B126,12*($B$7-$B$10),-12*MAX(0,($B$6+$B$10)-IF($B$1+19&gt;=$B$23,$B$22,0))*(1+$B$4)^19)&gt;0,1+$B$3,1))</f>
        <v/>
      </c>
      <c r="W126">
        <f>IF($B$1+20&gt;90,V126,(V126+IF($B$1+20&lt;=$B126,12*($B$7-$B$10),-12*MAX(0,($B$6+$B$10)-IF($B$1+20&gt;=$B$23,$B$22,0))*(1+$B$4)^20))*IF(V126+IF($B$1+20&lt;=$B126,12*($B$7-$B$10),-12*MAX(0,($B$6+$B$10)-IF($B$1+20&gt;=$B$23,$B$22,0))*(1+$B$4)^20)&gt;0,1+$B$3,1))</f>
        <v/>
      </c>
      <c r="X126">
        <f>IF($B$1+21&gt;90,W126,(W126+IF($B$1+21&lt;=$B126,12*($B$7-$B$10),-12*MAX(0,($B$6+$B$10)-IF($B$1+21&gt;=$B$23,$B$22,0))*(1+$B$4)^21))*IF(W126+IF($B$1+21&lt;=$B126,12*($B$7-$B$10),-12*MAX(0,($B$6+$B$10)-IF($B$1+21&gt;=$B$23,$B$22,0))*(1+$B$4)^21)&gt;0,1+$B$3,1))</f>
        <v/>
      </c>
      <c r="Y126">
        <f>IF($B$1+22&gt;90,X126,(X126+IF($B$1+22&lt;=$B126,12*($B$7-$B$10),-12*MAX(0,($B$6+$B$10)-IF($B$1+22&gt;=$B$23,$B$22,0))*(1+$B$4)^22))*IF(X126+IF($B$1+22&lt;=$B126,12*($B$7-$B$10),-12*MAX(0,($B$6+$B$10)-IF($B$1+22&gt;=$B$23,$B$22,0))*(1+$B$4)^22)&gt;0,1+$B$3,1))</f>
        <v/>
      </c>
      <c r="Z126">
        <f>IF($B$1+23&gt;90,Y126,(Y126+IF($B$1+23&lt;=$B126,12*($B$7-$B$10),-12*MAX(0,($B$6+$B$10)-IF($B$1+23&gt;=$B$23,$B$22,0))*(1+$B$4)^23))*IF(Y126+IF($B$1+23&lt;=$B126,12*($B$7-$B$10),-12*MAX(0,($B$6+$B$10)-IF($B$1+23&gt;=$B$23,$B$22,0))*(1+$B$4)^23)&gt;0,1+$B$3,1))</f>
        <v/>
      </c>
      <c r="AA126">
        <f>IF($B$1+24&gt;90,Z126,(Z126+IF($B$1+24&lt;=$B126,12*($B$7-$B$10),-12*MAX(0,($B$6+$B$10)-IF($B$1+24&gt;=$B$23,$B$22,0))*(1+$B$4)^24))*IF(Z126+IF($B$1+24&lt;=$B126,12*($B$7-$B$10),-12*MAX(0,($B$6+$B$10)-IF($B$1+24&gt;=$B$23,$B$22,0))*(1+$B$4)^24)&gt;0,1+$B$3,1))</f>
        <v/>
      </c>
      <c r="AB126">
        <f>IF($B$1+25&gt;90,AA126,(AA126+IF($B$1+25&lt;=$B126,12*($B$7-$B$10),-12*MAX(0,($B$6+$B$10)-IF($B$1+25&gt;=$B$23,$B$22,0))*(1+$B$4)^25))*IF(AA126+IF($B$1+25&lt;=$B126,12*($B$7-$B$10),-12*MAX(0,($B$6+$B$10)-IF($B$1+25&gt;=$B$23,$B$22,0))*(1+$B$4)^25)&gt;0,1+$B$3,1))</f>
        <v/>
      </c>
      <c r="AC126">
        <f>IF($B$1+26&gt;90,AB126,(AB126+IF($B$1+26&lt;=$B126,12*($B$7-$B$10),-12*MAX(0,($B$6+$B$10)-IF($B$1+26&gt;=$B$23,$B$22,0))*(1+$B$4)^26))*IF(AB126+IF($B$1+26&lt;=$B126,12*($B$7-$B$10),-12*MAX(0,($B$6+$B$10)-IF($B$1+26&gt;=$B$23,$B$22,0))*(1+$B$4)^26)&gt;0,1+$B$3,1))</f>
        <v/>
      </c>
      <c r="AD126">
        <f>IF($B$1+27&gt;90,AC126,(AC126+IF($B$1+27&lt;=$B126,12*($B$7-$B$10),-12*MAX(0,($B$6+$B$10)-IF($B$1+27&gt;=$B$23,$B$22,0))*(1+$B$4)^27))*IF(AC126+IF($B$1+27&lt;=$B126,12*($B$7-$B$10),-12*MAX(0,($B$6+$B$10)-IF($B$1+27&gt;=$B$23,$B$22,0))*(1+$B$4)^27)&gt;0,1+$B$3,1))</f>
        <v/>
      </c>
      <c r="AE126">
        <f>IF($B$1+28&gt;90,AD126,(AD126+IF($B$1+28&lt;=$B126,12*($B$7-$B$10),-12*MAX(0,($B$6+$B$10)-IF($B$1+28&gt;=$B$23,$B$22,0))*(1+$B$4)^28))*IF(AD126+IF($B$1+28&lt;=$B126,12*($B$7-$B$10),-12*MAX(0,($B$6+$B$10)-IF($B$1+28&gt;=$B$23,$B$22,0))*(1+$B$4)^28)&gt;0,1+$B$3,1))</f>
        <v/>
      </c>
      <c r="AF126">
        <f>IF($B$1+29&gt;90,AE126,(AE126+IF($B$1+29&lt;=$B126,12*($B$7-$B$10),-12*MAX(0,($B$6+$B$10)-IF($B$1+29&gt;=$B$23,$B$22,0))*(1+$B$4)^29))*IF(AE126+IF($B$1+29&lt;=$B126,12*($B$7-$B$10),-12*MAX(0,($B$6+$B$10)-IF($B$1+29&gt;=$B$23,$B$22,0))*(1+$B$4)^29)&gt;0,1+$B$3,1))</f>
        <v/>
      </c>
      <c r="AG126">
        <f>IF($B$1+30&gt;90,AF126,(AF126+IF($B$1+30&lt;=$B126,12*($B$7-$B$10),-12*MAX(0,($B$6+$B$10)-IF($B$1+30&gt;=$B$23,$B$22,0))*(1+$B$4)^30))*IF(AF126+IF($B$1+30&lt;=$B126,12*($B$7-$B$10),-12*MAX(0,($B$6+$B$10)-IF($B$1+30&gt;=$B$23,$B$22,0))*(1+$B$4)^30)&gt;0,1+$B$3,1))</f>
        <v/>
      </c>
      <c r="AH126">
        <f>IF($B$1+31&gt;90,AG126,(AG126+IF($B$1+31&lt;=$B126,12*($B$7-$B$10),-12*MAX(0,($B$6+$B$10)-IF($B$1+31&gt;=$B$23,$B$22,0))*(1+$B$4)^31))*IF(AG126+IF($B$1+31&lt;=$B126,12*($B$7-$B$10),-12*MAX(0,($B$6+$B$10)-IF($B$1+31&gt;=$B$23,$B$22,0))*(1+$B$4)^31)&gt;0,1+$B$3,1))</f>
        <v/>
      </c>
      <c r="AI126">
        <f>IF($B$1+32&gt;90,AH126,(AH126+IF($B$1+32&lt;=$B126,12*($B$7-$B$10),-12*MAX(0,($B$6+$B$10)-IF($B$1+32&gt;=$B$23,$B$22,0))*(1+$B$4)^32))*IF(AH126+IF($B$1+32&lt;=$B126,12*($B$7-$B$10),-12*MAX(0,($B$6+$B$10)-IF($B$1+32&gt;=$B$23,$B$22,0))*(1+$B$4)^32)&gt;0,1+$B$3,1))</f>
        <v/>
      </c>
      <c r="AJ126">
        <f>IF($B$1+33&gt;90,AI126,(AI126+IF($B$1+33&lt;=$B126,12*($B$7-$B$10),-12*MAX(0,($B$6+$B$10)-IF($B$1+33&gt;=$B$23,$B$22,0))*(1+$B$4)^33))*IF(AI126+IF($B$1+33&lt;=$B126,12*($B$7-$B$10),-12*MAX(0,($B$6+$B$10)-IF($B$1+33&gt;=$B$23,$B$22,0))*(1+$B$4)^33)&gt;0,1+$B$3,1))</f>
        <v/>
      </c>
      <c r="AK126">
        <f>IF($B$1+34&gt;90,AJ126,(AJ126+IF($B$1+34&lt;=$B126,12*($B$7-$B$10),-12*MAX(0,($B$6+$B$10)-IF($B$1+34&gt;=$B$23,$B$22,0))*(1+$B$4)^34))*IF(AJ126+IF($B$1+34&lt;=$B126,12*($B$7-$B$10),-12*MAX(0,($B$6+$B$10)-IF($B$1+34&gt;=$B$23,$B$22,0))*(1+$B$4)^34)&gt;0,1+$B$3,1))</f>
        <v/>
      </c>
      <c r="AL126">
        <f>IF($B$1+35&gt;90,AK126,(AK126+IF($B$1+35&lt;=$B126,12*($B$7-$B$10),-12*MAX(0,($B$6+$B$10)-IF($B$1+35&gt;=$B$23,$B$22,0))*(1+$B$4)^35))*IF(AK126+IF($B$1+35&lt;=$B126,12*($B$7-$B$10),-12*MAX(0,($B$6+$B$10)-IF($B$1+35&gt;=$B$23,$B$22,0))*(1+$B$4)^35)&gt;0,1+$B$3,1))</f>
        <v/>
      </c>
      <c r="AM126">
        <f>IF($B$1+36&gt;90,AL126,(AL126+IF($B$1+36&lt;=$B126,12*($B$7-$B$10),-12*MAX(0,($B$6+$B$10)-IF($B$1+36&gt;=$B$23,$B$22,0))*(1+$B$4)^36))*IF(AL126+IF($B$1+36&lt;=$B126,12*($B$7-$B$10),-12*MAX(0,($B$6+$B$10)-IF($B$1+36&gt;=$B$23,$B$22,0))*(1+$B$4)^36)&gt;0,1+$B$3,1))</f>
        <v/>
      </c>
      <c r="AN126">
        <f>IF($B$1+37&gt;90,AM126,(AM126+IF($B$1+37&lt;=$B126,12*($B$7-$B$10),-12*MAX(0,($B$6+$B$10)-IF($B$1+37&gt;=$B$23,$B$22,0))*(1+$B$4)^37))*IF(AM126+IF($B$1+37&lt;=$B126,12*($B$7-$B$10),-12*MAX(0,($B$6+$B$10)-IF($B$1+37&gt;=$B$23,$B$22,0))*(1+$B$4)^37)&gt;0,1+$B$3,1))</f>
        <v/>
      </c>
      <c r="AO126">
        <f>IF($B$1+38&gt;90,AN126,(AN126+IF($B$1+38&lt;=$B126,12*($B$7-$B$10),-12*MAX(0,($B$6+$B$10)-IF($B$1+38&gt;=$B$23,$B$22,0))*(1+$B$4)^38))*IF(AN126+IF($B$1+38&lt;=$B126,12*($B$7-$B$10),-12*MAX(0,($B$6+$B$10)-IF($B$1+38&gt;=$B$23,$B$22,0))*(1+$B$4)^38)&gt;0,1+$B$3,1))</f>
        <v/>
      </c>
      <c r="AP126">
        <f>IF($B$1+39&gt;90,AO126,(AO126+IF($B$1+39&lt;=$B126,12*($B$7-$B$10),-12*MAX(0,($B$6+$B$10)-IF($B$1+39&gt;=$B$23,$B$22,0))*(1+$B$4)^39))*IF(AO126+IF($B$1+39&lt;=$B126,12*($B$7-$B$10),-12*MAX(0,($B$6+$B$10)-IF($B$1+39&gt;=$B$23,$B$22,0))*(1+$B$4)^39)&gt;0,1+$B$3,1))</f>
        <v/>
      </c>
      <c r="AQ126">
        <f>IF($B$1+40&gt;90,AP126,(AP126+IF($B$1+40&lt;=$B126,12*($B$7-$B$10),-12*MAX(0,($B$6+$B$10)-IF($B$1+40&gt;=$B$23,$B$22,0))*(1+$B$4)^40))*IF(AP126+IF($B$1+40&lt;=$B126,12*($B$7-$B$10),-12*MAX(0,($B$6+$B$10)-IF($B$1+40&gt;=$B$23,$B$22,0))*(1+$B$4)^40)&gt;0,1+$B$3,1))</f>
        <v/>
      </c>
      <c r="AR126">
        <f>IF($B$1+41&gt;90,AQ126,(AQ126+IF($B$1+41&lt;=$B126,12*($B$7-$B$10),-12*MAX(0,($B$6+$B$10)-IF($B$1+41&gt;=$B$23,$B$22,0))*(1+$B$4)^41))*IF(AQ126+IF($B$1+41&lt;=$B126,12*($B$7-$B$10),-12*MAX(0,($B$6+$B$10)-IF($B$1+41&gt;=$B$23,$B$22,0))*(1+$B$4)^41)&gt;0,1+$B$3,1))</f>
        <v/>
      </c>
      <c r="AS126">
        <f>IF($B$1+42&gt;90,AR126,(AR126+IF($B$1+42&lt;=$B126,12*($B$7-$B$10),-12*MAX(0,($B$6+$B$10)-IF($B$1+42&gt;=$B$23,$B$22,0))*(1+$B$4)^42))*IF(AR126+IF($B$1+42&lt;=$B126,12*($B$7-$B$10),-12*MAX(0,($B$6+$B$10)-IF($B$1+42&gt;=$B$23,$B$22,0))*(1+$B$4)^42)&gt;0,1+$B$3,1))</f>
        <v/>
      </c>
      <c r="AT126">
        <f>IF($B$1+43&gt;90,AS126,(AS126+IF($B$1+43&lt;=$B126,12*($B$7-$B$10),-12*MAX(0,($B$6+$B$10)-IF($B$1+43&gt;=$B$23,$B$22,0))*(1+$B$4)^43))*IF(AS126+IF($B$1+43&lt;=$B126,12*($B$7-$B$10),-12*MAX(0,($B$6+$B$10)-IF($B$1+43&gt;=$B$23,$B$22,0))*(1+$B$4)^43)&gt;0,1+$B$3,1))</f>
        <v/>
      </c>
      <c r="AU126">
        <f>IF($B$1+44&gt;90,AT126,(AT126+IF($B$1+44&lt;=$B126,12*($B$7-$B$10),-12*MAX(0,($B$6+$B$10)-IF($B$1+44&gt;=$B$23,$B$22,0))*(1+$B$4)^44))*IF(AT126+IF($B$1+44&lt;=$B126,12*($B$7-$B$10),-12*MAX(0,($B$6+$B$10)-IF($B$1+44&gt;=$B$23,$B$22,0))*(1+$B$4)^44)&gt;0,1+$B$3,1))</f>
        <v/>
      </c>
      <c r="AV126">
        <f>IF($B$1+45&gt;90,AU126,(AU126+IF($B$1+45&lt;=$B126,12*($B$7-$B$10),-12*MAX(0,($B$6+$B$10)-IF($B$1+45&gt;=$B$23,$B$22,0))*(1+$B$4)^45))*IF(AU126+IF($B$1+45&lt;=$B126,12*($B$7-$B$10),-12*MAX(0,($B$6+$B$10)-IF($B$1+45&gt;=$B$23,$B$22,0))*(1+$B$4)^45)&gt;0,1+$B$3,1))</f>
        <v/>
      </c>
      <c r="AW126">
        <f>IF($B$1+46&gt;90,AV126,(AV126+IF($B$1+46&lt;=$B126,12*($B$7-$B$10),-12*MAX(0,($B$6+$B$10)-IF($B$1+46&gt;=$B$23,$B$22,0))*(1+$B$4)^46))*IF(AV126+IF($B$1+46&lt;=$B126,12*($B$7-$B$10),-12*MAX(0,($B$6+$B$10)-IF($B$1+46&gt;=$B$23,$B$22,0))*(1+$B$4)^46)&gt;0,1+$B$3,1))</f>
        <v/>
      </c>
      <c r="AX126">
        <f>IF($B$1+47&gt;90,AW126,(AW126+IF($B$1+47&lt;=$B126,12*($B$7-$B$10),-12*MAX(0,($B$6+$B$10)-IF($B$1+47&gt;=$B$23,$B$22,0))*(1+$B$4)^47))*IF(AW126+IF($B$1+47&lt;=$B126,12*($B$7-$B$10),-12*MAX(0,($B$6+$B$10)-IF($B$1+47&gt;=$B$23,$B$22,0))*(1+$B$4)^47)&gt;0,1+$B$3,1))</f>
        <v/>
      </c>
      <c r="AY126">
        <f>IF($B$1+48&gt;90,AX126,(AX126+IF($B$1+48&lt;=$B126,12*($B$7-$B$10),-12*MAX(0,($B$6+$B$10)-IF($B$1+48&gt;=$B$23,$B$22,0))*(1+$B$4)^48))*IF(AX126+IF($B$1+48&lt;=$B126,12*($B$7-$B$10),-12*MAX(0,($B$6+$B$10)-IF($B$1+48&gt;=$B$23,$B$22,0))*(1+$B$4)^48)&gt;0,1+$B$3,1))</f>
        <v/>
      </c>
      <c r="AZ126">
        <f>IF($B$1+49&gt;90,AY126,(AY126+IF($B$1+49&lt;=$B126,12*($B$7-$B$10),-12*MAX(0,($B$6+$B$10)-IF($B$1+49&gt;=$B$23,$B$22,0))*(1+$B$4)^49))*IF(AY126+IF($B$1+49&lt;=$B126,12*($B$7-$B$10),-12*MAX(0,($B$6+$B$10)-IF($B$1+49&gt;=$B$23,$B$22,0))*(1+$B$4)^49)&gt;0,1+$B$3,1))</f>
        <v/>
      </c>
      <c r="BA126">
        <f>IF($B$1+50&gt;90,AZ126,(AZ126+IF($B$1+50&lt;=$B126,12*($B$7-$B$10),-12*MAX(0,($B$6+$B$10)-IF($B$1+50&gt;=$B$23,$B$22,0))*(1+$B$4)^50))*IF(AZ126+IF($B$1+50&lt;=$B126,12*($B$7-$B$10),-12*MAX(0,($B$6+$B$10)-IF($B$1+50&gt;=$B$23,$B$22,0))*(1+$B$4)^50)&gt;0,1+$B$3,1))</f>
        <v/>
      </c>
      <c r="BB126">
        <f>IF($B$1+51&gt;90,BA126,(BA126+IF($B$1+51&lt;=$B126,12*($B$7-$B$10),-12*MAX(0,($B$6+$B$10)-IF($B$1+51&gt;=$B$23,$B$22,0))*(1+$B$4)^51))*IF(BA126+IF($B$1+51&lt;=$B126,12*($B$7-$B$10),-12*MAX(0,($B$6+$B$10)-IF($B$1+51&gt;=$B$23,$B$22,0))*(1+$B$4)^51)&gt;0,1+$B$3,1))</f>
        <v/>
      </c>
      <c r="BC126">
        <f>IF($B$1+52&gt;90,BB126,(BB126+IF($B$1+52&lt;=$B126,12*($B$7-$B$10),-12*MAX(0,($B$6+$B$10)-IF($B$1+52&gt;=$B$23,$B$22,0))*(1+$B$4)^52))*IF(BB126+IF($B$1+52&lt;=$B126,12*($B$7-$B$10),-12*MAX(0,($B$6+$B$10)-IF($B$1+52&gt;=$B$23,$B$22,0))*(1+$B$4)^52)&gt;0,1+$B$3,1))</f>
        <v/>
      </c>
      <c r="BD126">
        <f>IF($B$1+53&gt;90,BC126,(BC126+IF($B$1+53&lt;=$B126,12*($B$7-$B$10),-12*MAX(0,($B$6+$B$10)-IF($B$1+53&gt;=$B$23,$B$22,0))*(1+$B$4)^53))*IF(BC126+IF($B$1+53&lt;=$B126,12*($B$7-$B$10),-12*MAX(0,($B$6+$B$10)-IF($B$1+53&gt;=$B$23,$B$22,0))*(1+$B$4)^53)&gt;0,1+$B$3,1))</f>
        <v/>
      </c>
      <c r="BE126">
        <f>IF($B$1+54&gt;90,BD126,(BD126+IF($B$1+54&lt;=$B126,12*($B$7-$B$10),-12*MAX(0,($B$6+$B$10)-IF($B$1+54&gt;=$B$23,$B$22,0))*(1+$B$4)^54))*IF(BD126+IF($B$1+54&lt;=$B126,12*($B$7-$B$10),-12*MAX(0,($B$6+$B$10)-IF($B$1+54&gt;=$B$23,$B$22,0))*(1+$B$4)^54)&gt;0,1+$B$3,1))</f>
        <v/>
      </c>
      <c r="BF126">
        <f>IF($B$1+55&gt;90,BE126,(BE126+IF($B$1+55&lt;=$B126,12*($B$7-$B$10),-12*MAX(0,($B$6+$B$10)-IF($B$1+55&gt;=$B$23,$B$22,0))*(1+$B$4)^55))*IF(BE126+IF($B$1+55&lt;=$B126,12*($B$7-$B$10),-12*MAX(0,($B$6+$B$10)-IF($B$1+55&gt;=$B$23,$B$22,0))*(1+$B$4)^55)&gt;0,1+$B$3,1))</f>
        <v/>
      </c>
      <c r="BG126">
        <f>IF($B$1+56&gt;90,BF126,(BF126+IF($B$1+56&lt;=$B126,12*($B$7-$B$10),-12*MAX(0,($B$6+$B$10)-IF($B$1+56&gt;=$B$23,$B$22,0))*(1+$B$4)^56))*IF(BF126+IF($B$1+56&lt;=$B126,12*($B$7-$B$10),-12*MAX(0,($B$6+$B$10)-IF($B$1+56&gt;=$B$23,$B$22,0))*(1+$B$4)^56)&gt;0,1+$B$3,1))</f>
        <v/>
      </c>
      <c r="BH126">
        <f>IF($B$1+57&gt;90,BG126,(BG126+IF($B$1+57&lt;=$B126,12*($B$7-$B$10),-12*MAX(0,($B$6+$B$10)-IF($B$1+57&gt;=$B$23,$B$22,0))*(1+$B$4)^57))*IF(BG126+IF($B$1+57&lt;=$B126,12*($B$7-$B$10),-12*MAX(0,($B$6+$B$10)-IF($B$1+57&gt;=$B$23,$B$22,0))*(1+$B$4)^57)&gt;0,1+$B$3,1))</f>
        <v/>
      </c>
      <c r="BI126">
        <f>IF($B$1+58&gt;90,BH126,(BH126+IF($B$1+58&lt;=$B126,12*($B$7-$B$10),-12*MAX(0,($B$6+$B$10)-IF($B$1+58&gt;=$B$23,$B$22,0))*(1+$B$4)^58))*IF(BH126+IF($B$1+58&lt;=$B126,12*($B$7-$B$10),-12*MAX(0,($B$6+$B$10)-IF($B$1+58&gt;=$B$23,$B$22,0))*(1+$B$4)^58)&gt;0,1+$B$3,1))</f>
        <v/>
      </c>
      <c r="BJ126">
        <f>IF($B$1+59&gt;90,BI126,(BI126+IF($B$1+59&lt;=$B126,12*($B$7-$B$10),-12*MAX(0,($B$6+$B$10)-IF($B$1+59&gt;=$B$23,$B$22,0))*(1+$B$4)^59))*IF(BI126+IF($B$1+59&lt;=$B126,12*($B$7-$B$10),-12*MAX(0,($B$6+$B$10)-IF($B$1+59&gt;=$B$23,$B$22,0))*(1+$B$4)^59)&gt;0,1+$B$3,1))</f>
        <v/>
      </c>
      <c r="BK126">
        <f>IF($B$1+60&gt;90,BJ126,(BJ126+IF($B$1+60&lt;=$B126,12*($B$7-$B$10),-12*MAX(0,($B$6+$B$10)-IF($B$1+60&gt;=$B$23,$B$22,0))*(1+$B$4)^60))*IF(BJ126+IF($B$1+60&lt;=$B126,12*($B$7-$B$10),-12*MAX(0,($B$6+$B$10)-IF($B$1+60&gt;=$B$23,$B$22,0))*(1+$B$4)^60)&gt;0,1+$B$3,1))</f>
        <v/>
      </c>
      <c r="BL126">
        <f>IF($B$1+61&gt;90,BK126,(BK126+IF($B$1+61&lt;=$B126,12*($B$7-$B$10),-12*MAX(0,($B$6+$B$10)-IF($B$1+61&gt;=$B$23,$B$22,0))*(1+$B$4)^61))*IF(BK126+IF($B$1+61&lt;=$B126,12*($B$7-$B$10),-12*MAX(0,($B$6+$B$10)-IF($B$1+61&gt;=$B$23,$B$22,0))*(1+$B$4)^61)&gt;0,1+$B$3,1))</f>
        <v/>
      </c>
      <c r="BM126">
        <f>IF($B$1+62&gt;90,BL126,(BL126+IF($B$1+62&lt;=$B126,12*($B$7-$B$10),-12*MAX(0,($B$6+$B$10)-IF($B$1+62&gt;=$B$23,$B$22,0))*(1+$B$4)^62))*IF(BL126+IF($B$1+62&lt;=$B126,12*($B$7-$B$10),-12*MAX(0,($B$6+$B$10)-IF($B$1+62&gt;=$B$23,$B$22,0))*(1+$B$4)^62)&gt;0,1+$B$3,1))</f>
        <v/>
      </c>
      <c r="BN126">
        <f>IF($B$1+63&gt;90,BM126,(BM126+IF($B$1+63&lt;=$B126,12*($B$7-$B$10),-12*MAX(0,($B$6+$B$10)-IF($B$1+63&gt;=$B$23,$B$22,0))*(1+$B$4)^63))*IF(BM126+IF($B$1+63&lt;=$B126,12*($B$7-$B$10),-12*MAX(0,($B$6+$B$10)-IF($B$1+63&gt;=$B$23,$B$22,0))*(1+$B$4)^63)&gt;0,1+$B$3,1))</f>
        <v/>
      </c>
      <c r="BO126">
        <f>IF($B$1+64&gt;90,BN126,(BN126+IF($B$1+64&lt;=$B126,12*($B$7-$B$10),-12*MAX(0,($B$6+$B$10)-IF($B$1+64&gt;=$B$23,$B$22,0))*(1+$B$4)^64))*IF(BN126+IF($B$1+64&lt;=$B126,12*($B$7-$B$10),-12*MAX(0,($B$6+$B$10)-IF($B$1+64&gt;=$B$23,$B$22,0))*(1+$B$4)^64)&gt;0,1+$B$3,1))</f>
        <v/>
      </c>
      <c r="BP126">
        <f>IF($B$1+65&gt;90,BO126,(BO126+IF($B$1+65&lt;=$B126,12*($B$7-$B$10),-12*MAX(0,($B$6+$B$10)-IF($B$1+65&gt;=$B$23,$B$22,0))*(1+$B$4)^65))*IF(BO126+IF($B$1+65&lt;=$B126,12*($B$7-$B$10),-12*MAX(0,($B$6+$B$10)-IF($B$1+65&gt;=$B$23,$B$22,0))*(1+$B$4)^65)&gt;0,1+$B$3,1))</f>
        <v/>
      </c>
      <c r="BQ126">
        <f>IF($B$1+66&gt;90,BP126,(BP126+IF($B$1+66&lt;=$B126,12*($B$7-$B$10),-12*MAX(0,($B$6+$B$10)-IF($B$1+66&gt;=$B$23,$B$22,0))*(1+$B$4)^66))*IF(BP126+IF($B$1+66&lt;=$B126,12*($B$7-$B$10),-12*MAX(0,($B$6+$B$10)-IF($B$1+66&gt;=$B$23,$B$22,0))*(1+$B$4)^66)&gt;0,1+$B$3,1))</f>
        <v/>
      </c>
      <c r="BR126">
        <f>IF($B$1+67&gt;90,BQ126,(BQ126+IF($B$1+67&lt;=$B126,12*($B$7-$B$10),-12*MAX(0,($B$6+$B$10)-IF($B$1+67&gt;=$B$23,$B$22,0))*(1+$B$4)^67))*IF(BQ126+IF($B$1+67&lt;=$B126,12*($B$7-$B$10),-12*MAX(0,($B$6+$B$10)-IF($B$1+67&gt;=$B$23,$B$22,0))*(1+$B$4)^67)&gt;0,1+$B$3,1))</f>
        <v/>
      </c>
      <c r="BS126">
        <f>IF($B$1+68&gt;90,BR126,(BR126+IF($B$1+68&lt;=$B126,12*($B$7-$B$10),-12*MAX(0,($B$6+$B$10)-IF($B$1+68&gt;=$B$23,$B$22,0))*(1+$B$4)^68))*IF(BR126+IF($B$1+68&lt;=$B126,12*($B$7-$B$10),-12*MAX(0,($B$6+$B$10)-IF($B$1+68&gt;=$B$23,$B$22,0))*(1+$B$4)^68)&gt;0,1+$B$3,1))</f>
        <v/>
      </c>
      <c r="BT126">
        <f>IF($B$1+69&gt;90,BS126,(BS126+IF($B$1+69&lt;=$B126,12*($B$7-$B$10),-12*MAX(0,($B$6+$B$10)-IF($B$1+69&gt;=$B$23,$B$22,0))*(1+$B$4)^69))*IF(BS126+IF($B$1+69&lt;=$B126,12*($B$7-$B$10),-12*MAX(0,($B$6+$B$10)-IF($B$1+69&gt;=$B$23,$B$22,0))*(1+$B$4)^69)&gt;0,1+$B$3,1))</f>
        <v/>
      </c>
      <c r="BU126">
        <f>IF($B$1+70&gt;90,BT126,(BT126+IF($B$1+70&lt;=$B126,12*($B$7-$B$10),-12*MAX(0,($B$6+$B$10)-IF($B$1+70&gt;=$B$23,$B$22,0))*(1+$B$4)^70))*IF(BT126+IF($B$1+70&lt;=$B126,12*($B$7-$B$10),-12*MAX(0,($B$6+$B$10)-IF($B$1+70&gt;=$B$23,$B$22,0))*(1+$B$4)^70)&gt;0,1+$B$3,1))</f>
        <v/>
      </c>
      <c r="BV126">
        <f>BU126</f>
        <v/>
      </c>
      <c r="BW126">
        <f>IF(AND($B126&lt;=70,BV126&gt;0),$B126,999)</f>
        <v/>
      </c>
      <c r="CH126">
        <f>IF(ISTEXT('월 가계부'!A126),SUBSTITUTE(SUBSTITUTE(SUBSTITUTE(SUBSTITUTE(SUBSTITUTE(SUBSTITUTE(SUBSTITUTE(SUBSTITUTE(SUBSTITUTE(TRIM('월 가계부'!A126),"년","-"),"월","-"),"일",""),".","-"),"/","-")," ","-"),"--","-"),"--","-"),"--","-")&amp;"-","")</f>
        <v/>
      </c>
      <c r="CI126">
        <f>IFERROR(IF('월 가계부'!A126="","",IF(ISNUMBER('월 가계부'!A126),IF(AND('월 가계부'!A126&gt;=19000101,'월 가계부'!A126&lt;=21001231),IF(AND(MOD(INT('월 가계부'!A126/100),100)&gt;=1,MOD(INT('월 가계부'!A126/100),100)&lt;=12,MOD(INT('월 가계부'!A126),100)&gt;=1,MOD(INT('월 가계부'!A126),100)&lt;=31),IF(MONTH(DATE(INT('월 가계부'!A126/10000),MOD(INT('월 가계부'!A126/100),100),MOD(INT('월 가계부'!A126),100)))=MOD(INT('월 가계부'!A126/100),100),DATE(INT('월 가계부'!A126/10000),MOD(INT('월 가계부'!A126/100),100),MOD(INT('월 가계부'!A126),100)),""),""),IF(AND('월 가계부'!A126&gt;=36526,'월 가계부'!A126&lt;73051),INT('월 가계부'!A126),"")),IF(OR(CM126="",CN126="",CO126=""),"",IF(AND(CM126&gt;=2000,CM126&lt;=2099,CN126&gt;=1,CN126&lt;=12,CO126&gt;=1,CO126&lt;=31),IF(MONTH(DATE(CM126,CN126,CO126))=CN126,DATE(CM126,CN126,CO126),""),"")))),"")</f>
        <v/>
      </c>
      <c r="CJ126">
        <f>IFERROR(IF('월 가계부'!C126="","",IF(ISNUMBER('월 가계부'!C126),'월 가계부'!C126,VALUE(SUBSTITUTE(SUBSTITUTE(SUBSTITUTE(SUBSTITUTE(TRIM('월 가계부'!C126),",",""),"원","")," ",""),"−","-")))),"")</f>
        <v/>
      </c>
      <c r="CK126">
        <f>IF(ISNUMBER(CI126),IF(CI126&lt;$B$13,CI126,""),"")</f>
        <v/>
      </c>
      <c r="CM126">
        <f>IF(CH126="","",IFERROR(IF(IF(AND(LEN(CH126)=9,ISERROR(FIND("-",LEFT(CH126,8))),ISNUMBER(-LEFT(CH126,8))),VALUE(LEFT(CH126,4)),VALUE(LEFT(CH126,FIND("-",CH126)-1)))&lt;100,IF(AND(LEN(CH126)=9,ISERROR(FIND("-",LEFT(CH126,8))),ISNUMBER(-LEFT(CH126,8))),VALUE(LEFT(CH126,4)),VALUE(LEFT(CH126,FIND("-",CH126)-1)))+2000,IF(AND(LEN(CH126)=9,ISERROR(FIND("-",LEFT(CH126,8))),ISNUMBER(-LEFT(CH126,8))),VALUE(LEFT(CH126,4)),VALUE(LEFT(CH126,FIND("-",CH126)-1)))),""))</f>
        <v/>
      </c>
      <c r="CN126">
        <f>IF(CH126="","",IFERROR(IF(AND(LEN(CH126)=9,ISERROR(FIND("-",LEFT(CH126,8))),ISNUMBER(-LEFT(CH126,8))),VALUE(MID(CH126,5,2)),VALUE(MID(CH126,FIND("-",CH126)+1,FIND("-",CH126,FIND("-",CH126)+1)-FIND("-",CH126)-1))),""))</f>
        <v/>
      </c>
      <c r="CO126">
        <f>IF(CH126="","",IFERROR(IF(AND(LEN(CH126)=9,ISERROR(FIND("-",LEFT(CH126,8))),ISNUMBER(-LEFT(CH126,8))),VALUE(MID(CH126,7,2)),VALUE(MID(CH126,FIND("-",CH126,FIND("-",CH126)+1)+1,FIND("-",CH126,FIND("-",CH126,FIND("-",CH126)+1)+1)-FIND("-",CH126,FIND("-",CH126)+1)-1))),""))</f>
        <v/>
      </c>
    </row>
    <row r="127">
      <c r="A127" t="n">
        <v>31</v>
      </c>
      <c r="B127">
        <f>$B$1+31</f>
        <v/>
      </c>
      <c r="C127">
        <f>$B$2</f>
        <v/>
      </c>
      <c r="D127">
        <f>IF($B$1+1&gt;90,C127,(C127+IF($B$1+1&lt;=$B127,12*($B$7-$B$10),-12*MAX(0,($B$6+$B$10)-IF($B$1+1&gt;=$B$23,$B$22,0))*(1+$B$4)^1))*IF(C127+IF($B$1+1&lt;=$B127,12*($B$7-$B$10),-12*MAX(0,($B$6+$B$10)-IF($B$1+1&gt;=$B$23,$B$22,0))*(1+$B$4)^1)&gt;0,1+$B$3,1))</f>
        <v/>
      </c>
      <c r="E127">
        <f>IF($B$1+2&gt;90,D127,(D127+IF($B$1+2&lt;=$B127,12*($B$7-$B$10),-12*MAX(0,($B$6+$B$10)-IF($B$1+2&gt;=$B$23,$B$22,0))*(1+$B$4)^2))*IF(D127+IF($B$1+2&lt;=$B127,12*($B$7-$B$10),-12*MAX(0,($B$6+$B$10)-IF($B$1+2&gt;=$B$23,$B$22,0))*(1+$B$4)^2)&gt;0,1+$B$3,1))</f>
        <v/>
      </c>
      <c r="F127">
        <f>IF($B$1+3&gt;90,E127,(E127+IF($B$1+3&lt;=$B127,12*($B$7-$B$10),-12*MAX(0,($B$6+$B$10)-IF($B$1+3&gt;=$B$23,$B$22,0))*(1+$B$4)^3))*IF(E127+IF($B$1+3&lt;=$B127,12*($B$7-$B$10),-12*MAX(0,($B$6+$B$10)-IF($B$1+3&gt;=$B$23,$B$22,0))*(1+$B$4)^3)&gt;0,1+$B$3,1))</f>
        <v/>
      </c>
      <c r="G127">
        <f>IF($B$1+4&gt;90,F127,(F127+IF($B$1+4&lt;=$B127,12*($B$7-$B$10),-12*MAX(0,($B$6+$B$10)-IF($B$1+4&gt;=$B$23,$B$22,0))*(1+$B$4)^4))*IF(F127+IF($B$1+4&lt;=$B127,12*($B$7-$B$10),-12*MAX(0,($B$6+$B$10)-IF($B$1+4&gt;=$B$23,$B$22,0))*(1+$B$4)^4)&gt;0,1+$B$3,1))</f>
        <v/>
      </c>
      <c r="H127">
        <f>IF($B$1+5&gt;90,G127,(G127+IF($B$1+5&lt;=$B127,12*($B$7-$B$10),-12*MAX(0,($B$6+$B$10)-IF($B$1+5&gt;=$B$23,$B$22,0))*(1+$B$4)^5))*IF(G127+IF($B$1+5&lt;=$B127,12*($B$7-$B$10),-12*MAX(0,($B$6+$B$10)-IF($B$1+5&gt;=$B$23,$B$22,0))*(1+$B$4)^5)&gt;0,1+$B$3,1))</f>
        <v/>
      </c>
      <c r="I127">
        <f>IF($B$1+6&gt;90,H127,(H127+IF($B$1+6&lt;=$B127,12*($B$7-$B$10),-12*MAX(0,($B$6+$B$10)-IF($B$1+6&gt;=$B$23,$B$22,0))*(1+$B$4)^6))*IF(H127+IF($B$1+6&lt;=$B127,12*($B$7-$B$10),-12*MAX(0,($B$6+$B$10)-IF($B$1+6&gt;=$B$23,$B$22,0))*(1+$B$4)^6)&gt;0,1+$B$3,1))</f>
        <v/>
      </c>
      <c r="J127">
        <f>IF($B$1+7&gt;90,I127,(I127+IF($B$1+7&lt;=$B127,12*($B$7-$B$10),-12*MAX(0,($B$6+$B$10)-IF($B$1+7&gt;=$B$23,$B$22,0))*(1+$B$4)^7))*IF(I127+IF($B$1+7&lt;=$B127,12*($B$7-$B$10),-12*MAX(0,($B$6+$B$10)-IF($B$1+7&gt;=$B$23,$B$22,0))*(1+$B$4)^7)&gt;0,1+$B$3,1))</f>
        <v/>
      </c>
      <c r="K127">
        <f>IF($B$1+8&gt;90,J127,(J127+IF($B$1+8&lt;=$B127,12*($B$7-$B$10),-12*MAX(0,($B$6+$B$10)-IF($B$1+8&gt;=$B$23,$B$22,0))*(1+$B$4)^8))*IF(J127+IF($B$1+8&lt;=$B127,12*($B$7-$B$10),-12*MAX(0,($B$6+$B$10)-IF($B$1+8&gt;=$B$23,$B$22,0))*(1+$B$4)^8)&gt;0,1+$B$3,1))</f>
        <v/>
      </c>
      <c r="L127">
        <f>IF($B$1+9&gt;90,K127,(K127+IF($B$1+9&lt;=$B127,12*($B$7-$B$10),-12*MAX(0,($B$6+$B$10)-IF($B$1+9&gt;=$B$23,$B$22,0))*(1+$B$4)^9))*IF(K127+IF($B$1+9&lt;=$B127,12*($B$7-$B$10),-12*MAX(0,($B$6+$B$10)-IF($B$1+9&gt;=$B$23,$B$22,0))*(1+$B$4)^9)&gt;0,1+$B$3,1))</f>
        <v/>
      </c>
      <c r="M127">
        <f>IF($B$1+10&gt;90,L127,(L127+IF($B$1+10&lt;=$B127,12*($B$7-$B$10),-12*MAX(0,($B$6+$B$10)-IF($B$1+10&gt;=$B$23,$B$22,0))*(1+$B$4)^10))*IF(L127+IF($B$1+10&lt;=$B127,12*($B$7-$B$10),-12*MAX(0,($B$6+$B$10)-IF($B$1+10&gt;=$B$23,$B$22,0))*(1+$B$4)^10)&gt;0,1+$B$3,1))</f>
        <v/>
      </c>
      <c r="N127">
        <f>IF($B$1+11&gt;90,M127,(M127+IF($B$1+11&lt;=$B127,12*($B$7-$B$10),-12*MAX(0,($B$6+$B$10)-IF($B$1+11&gt;=$B$23,$B$22,0))*(1+$B$4)^11))*IF(M127+IF($B$1+11&lt;=$B127,12*($B$7-$B$10),-12*MAX(0,($B$6+$B$10)-IF($B$1+11&gt;=$B$23,$B$22,0))*(1+$B$4)^11)&gt;0,1+$B$3,1))</f>
        <v/>
      </c>
      <c r="O127">
        <f>IF($B$1+12&gt;90,N127,(N127+IF($B$1+12&lt;=$B127,12*($B$7-$B$10),-12*MAX(0,($B$6+$B$10)-IF($B$1+12&gt;=$B$23,$B$22,0))*(1+$B$4)^12))*IF(N127+IF($B$1+12&lt;=$B127,12*($B$7-$B$10),-12*MAX(0,($B$6+$B$10)-IF($B$1+12&gt;=$B$23,$B$22,0))*(1+$B$4)^12)&gt;0,1+$B$3,1))</f>
        <v/>
      </c>
      <c r="P127">
        <f>IF($B$1+13&gt;90,O127,(O127+IF($B$1+13&lt;=$B127,12*($B$7-$B$10),-12*MAX(0,($B$6+$B$10)-IF($B$1+13&gt;=$B$23,$B$22,0))*(1+$B$4)^13))*IF(O127+IF($B$1+13&lt;=$B127,12*($B$7-$B$10),-12*MAX(0,($B$6+$B$10)-IF($B$1+13&gt;=$B$23,$B$22,0))*(1+$B$4)^13)&gt;0,1+$B$3,1))</f>
        <v/>
      </c>
      <c r="Q127">
        <f>IF($B$1+14&gt;90,P127,(P127+IF($B$1+14&lt;=$B127,12*($B$7-$B$10),-12*MAX(0,($B$6+$B$10)-IF($B$1+14&gt;=$B$23,$B$22,0))*(1+$B$4)^14))*IF(P127+IF($B$1+14&lt;=$B127,12*($B$7-$B$10),-12*MAX(0,($B$6+$B$10)-IF($B$1+14&gt;=$B$23,$B$22,0))*(1+$B$4)^14)&gt;0,1+$B$3,1))</f>
        <v/>
      </c>
      <c r="R127">
        <f>IF($B$1+15&gt;90,Q127,(Q127+IF($B$1+15&lt;=$B127,12*($B$7-$B$10),-12*MAX(0,($B$6+$B$10)-IF($B$1+15&gt;=$B$23,$B$22,0))*(1+$B$4)^15))*IF(Q127+IF($B$1+15&lt;=$B127,12*($B$7-$B$10),-12*MAX(0,($B$6+$B$10)-IF($B$1+15&gt;=$B$23,$B$22,0))*(1+$B$4)^15)&gt;0,1+$B$3,1))</f>
        <v/>
      </c>
      <c r="S127">
        <f>IF($B$1+16&gt;90,R127,(R127+IF($B$1+16&lt;=$B127,12*($B$7-$B$10),-12*MAX(0,($B$6+$B$10)-IF($B$1+16&gt;=$B$23,$B$22,0))*(1+$B$4)^16))*IF(R127+IF($B$1+16&lt;=$B127,12*($B$7-$B$10),-12*MAX(0,($B$6+$B$10)-IF($B$1+16&gt;=$B$23,$B$22,0))*(1+$B$4)^16)&gt;0,1+$B$3,1))</f>
        <v/>
      </c>
      <c r="T127">
        <f>IF($B$1+17&gt;90,S127,(S127+IF($B$1+17&lt;=$B127,12*($B$7-$B$10),-12*MAX(0,($B$6+$B$10)-IF($B$1+17&gt;=$B$23,$B$22,0))*(1+$B$4)^17))*IF(S127+IF($B$1+17&lt;=$B127,12*($B$7-$B$10),-12*MAX(0,($B$6+$B$10)-IF($B$1+17&gt;=$B$23,$B$22,0))*(1+$B$4)^17)&gt;0,1+$B$3,1))</f>
        <v/>
      </c>
      <c r="U127">
        <f>IF($B$1+18&gt;90,T127,(T127+IF($B$1+18&lt;=$B127,12*($B$7-$B$10),-12*MAX(0,($B$6+$B$10)-IF($B$1+18&gt;=$B$23,$B$22,0))*(1+$B$4)^18))*IF(T127+IF($B$1+18&lt;=$B127,12*($B$7-$B$10),-12*MAX(0,($B$6+$B$10)-IF($B$1+18&gt;=$B$23,$B$22,0))*(1+$B$4)^18)&gt;0,1+$B$3,1))</f>
        <v/>
      </c>
      <c r="V127">
        <f>IF($B$1+19&gt;90,U127,(U127+IF($B$1+19&lt;=$B127,12*($B$7-$B$10),-12*MAX(0,($B$6+$B$10)-IF($B$1+19&gt;=$B$23,$B$22,0))*(1+$B$4)^19))*IF(U127+IF($B$1+19&lt;=$B127,12*($B$7-$B$10),-12*MAX(0,($B$6+$B$10)-IF($B$1+19&gt;=$B$23,$B$22,0))*(1+$B$4)^19)&gt;0,1+$B$3,1))</f>
        <v/>
      </c>
      <c r="W127">
        <f>IF($B$1+20&gt;90,V127,(V127+IF($B$1+20&lt;=$B127,12*($B$7-$B$10),-12*MAX(0,($B$6+$B$10)-IF($B$1+20&gt;=$B$23,$B$22,0))*(1+$B$4)^20))*IF(V127+IF($B$1+20&lt;=$B127,12*($B$7-$B$10),-12*MAX(0,($B$6+$B$10)-IF($B$1+20&gt;=$B$23,$B$22,0))*(1+$B$4)^20)&gt;0,1+$B$3,1))</f>
        <v/>
      </c>
      <c r="X127">
        <f>IF($B$1+21&gt;90,W127,(W127+IF($B$1+21&lt;=$B127,12*($B$7-$B$10),-12*MAX(0,($B$6+$B$10)-IF($B$1+21&gt;=$B$23,$B$22,0))*(1+$B$4)^21))*IF(W127+IF($B$1+21&lt;=$B127,12*($B$7-$B$10),-12*MAX(0,($B$6+$B$10)-IF($B$1+21&gt;=$B$23,$B$22,0))*(1+$B$4)^21)&gt;0,1+$B$3,1))</f>
        <v/>
      </c>
      <c r="Y127">
        <f>IF($B$1+22&gt;90,X127,(X127+IF($B$1+22&lt;=$B127,12*($B$7-$B$10),-12*MAX(0,($B$6+$B$10)-IF($B$1+22&gt;=$B$23,$B$22,0))*(1+$B$4)^22))*IF(X127+IF($B$1+22&lt;=$B127,12*($B$7-$B$10),-12*MAX(0,($B$6+$B$10)-IF($B$1+22&gt;=$B$23,$B$22,0))*(1+$B$4)^22)&gt;0,1+$B$3,1))</f>
        <v/>
      </c>
      <c r="Z127">
        <f>IF($B$1+23&gt;90,Y127,(Y127+IF($B$1+23&lt;=$B127,12*($B$7-$B$10),-12*MAX(0,($B$6+$B$10)-IF($B$1+23&gt;=$B$23,$B$22,0))*(1+$B$4)^23))*IF(Y127+IF($B$1+23&lt;=$B127,12*($B$7-$B$10),-12*MAX(0,($B$6+$B$10)-IF($B$1+23&gt;=$B$23,$B$22,0))*(1+$B$4)^23)&gt;0,1+$B$3,1))</f>
        <v/>
      </c>
      <c r="AA127">
        <f>IF($B$1+24&gt;90,Z127,(Z127+IF($B$1+24&lt;=$B127,12*($B$7-$B$10),-12*MAX(0,($B$6+$B$10)-IF($B$1+24&gt;=$B$23,$B$22,0))*(1+$B$4)^24))*IF(Z127+IF($B$1+24&lt;=$B127,12*($B$7-$B$10),-12*MAX(0,($B$6+$B$10)-IF($B$1+24&gt;=$B$23,$B$22,0))*(1+$B$4)^24)&gt;0,1+$B$3,1))</f>
        <v/>
      </c>
      <c r="AB127">
        <f>IF($B$1+25&gt;90,AA127,(AA127+IF($B$1+25&lt;=$B127,12*($B$7-$B$10),-12*MAX(0,($B$6+$B$10)-IF($B$1+25&gt;=$B$23,$B$22,0))*(1+$B$4)^25))*IF(AA127+IF($B$1+25&lt;=$B127,12*($B$7-$B$10),-12*MAX(0,($B$6+$B$10)-IF($B$1+25&gt;=$B$23,$B$22,0))*(1+$B$4)^25)&gt;0,1+$B$3,1))</f>
        <v/>
      </c>
      <c r="AC127">
        <f>IF($B$1+26&gt;90,AB127,(AB127+IF($B$1+26&lt;=$B127,12*($B$7-$B$10),-12*MAX(0,($B$6+$B$10)-IF($B$1+26&gt;=$B$23,$B$22,0))*(1+$B$4)^26))*IF(AB127+IF($B$1+26&lt;=$B127,12*($B$7-$B$10),-12*MAX(0,($B$6+$B$10)-IF($B$1+26&gt;=$B$23,$B$22,0))*(1+$B$4)^26)&gt;0,1+$B$3,1))</f>
        <v/>
      </c>
      <c r="AD127">
        <f>IF($B$1+27&gt;90,AC127,(AC127+IF($B$1+27&lt;=$B127,12*($B$7-$B$10),-12*MAX(0,($B$6+$B$10)-IF($B$1+27&gt;=$B$23,$B$22,0))*(1+$B$4)^27))*IF(AC127+IF($B$1+27&lt;=$B127,12*($B$7-$B$10),-12*MAX(0,($B$6+$B$10)-IF($B$1+27&gt;=$B$23,$B$22,0))*(1+$B$4)^27)&gt;0,1+$B$3,1))</f>
        <v/>
      </c>
      <c r="AE127">
        <f>IF($B$1+28&gt;90,AD127,(AD127+IF($B$1+28&lt;=$B127,12*($B$7-$B$10),-12*MAX(0,($B$6+$B$10)-IF($B$1+28&gt;=$B$23,$B$22,0))*(1+$B$4)^28))*IF(AD127+IF($B$1+28&lt;=$B127,12*($B$7-$B$10),-12*MAX(0,($B$6+$B$10)-IF($B$1+28&gt;=$B$23,$B$22,0))*(1+$B$4)^28)&gt;0,1+$B$3,1))</f>
        <v/>
      </c>
      <c r="AF127">
        <f>IF($B$1+29&gt;90,AE127,(AE127+IF($B$1+29&lt;=$B127,12*($B$7-$B$10),-12*MAX(0,($B$6+$B$10)-IF($B$1+29&gt;=$B$23,$B$22,0))*(1+$B$4)^29))*IF(AE127+IF($B$1+29&lt;=$B127,12*($B$7-$B$10),-12*MAX(0,($B$6+$B$10)-IF($B$1+29&gt;=$B$23,$B$22,0))*(1+$B$4)^29)&gt;0,1+$B$3,1))</f>
        <v/>
      </c>
      <c r="AG127">
        <f>IF($B$1+30&gt;90,AF127,(AF127+IF($B$1+30&lt;=$B127,12*($B$7-$B$10),-12*MAX(0,($B$6+$B$10)-IF($B$1+30&gt;=$B$23,$B$22,0))*(1+$B$4)^30))*IF(AF127+IF($B$1+30&lt;=$B127,12*($B$7-$B$10),-12*MAX(0,($B$6+$B$10)-IF($B$1+30&gt;=$B$23,$B$22,0))*(1+$B$4)^30)&gt;0,1+$B$3,1))</f>
        <v/>
      </c>
      <c r="AH127">
        <f>IF($B$1+31&gt;90,AG127,(AG127+IF($B$1+31&lt;=$B127,12*($B$7-$B$10),-12*MAX(0,($B$6+$B$10)-IF($B$1+31&gt;=$B$23,$B$22,0))*(1+$B$4)^31))*IF(AG127+IF($B$1+31&lt;=$B127,12*($B$7-$B$10),-12*MAX(0,($B$6+$B$10)-IF($B$1+31&gt;=$B$23,$B$22,0))*(1+$B$4)^31)&gt;0,1+$B$3,1))</f>
        <v/>
      </c>
      <c r="AI127">
        <f>IF($B$1+32&gt;90,AH127,(AH127+IF($B$1+32&lt;=$B127,12*($B$7-$B$10),-12*MAX(0,($B$6+$B$10)-IF($B$1+32&gt;=$B$23,$B$22,0))*(1+$B$4)^32))*IF(AH127+IF($B$1+32&lt;=$B127,12*($B$7-$B$10),-12*MAX(0,($B$6+$B$10)-IF($B$1+32&gt;=$B$23,$B$22,0))*(1+$B$4)^32)&gt;0,1+$B$3,1))</f>
        <v/>
      </c>
      <c r="AJ127">
        <f>IF($B$1+33&gt;90,AI127,(AI127+IF($B$1+33&lt;=$B127,12*($B$7-$B$10),-12*MAX(0,($B$6+$B$10)-IF($B$1+33&gt;=$B$23,$B$22,0))*(1+$B$4)^33))*IF(AI127+IF($B$1+33&lt;=$B127,12*($B$7-$B$10),-12*MAX(0,($B$6+$B$10)-IF($B$1+33&gt;=$B$23,$B$22,0))*(1+$B$4)^33)&gt;0,1+$B$3,1))</f>
        <v/>
      </c>
      <c r="AK127">
        <f>IF($B$1+34&gt;90,AJ127,(AJ127+IF($B$1+34&lt;=$B127,12*($B$7-$B$10),-12*MAX(0,($B$6+$B$10)-IF($B$1+34&gt;=$B$23,$B$22,0))*(1+$B$4)^34))*IF(AJ127+IF($B$1+34&lt;=$B127,12*($B$7-$B$10),-12*MAX(0,($B$6+$B$10)-IF($B$1+34&gt;=$B$23,$B$22,0))*(1+$B$4)^34)&gt;0,1+$B$3,1))</f>
        <v/>
      </c>
      <c r="AL127">
        <f>IF($B$1+35&gt;90,AK127,(AK127+IF($B$1+35&lt;=$B127,12*($B$7-$B$10),-12*MAX(0,($B$6+$B$10)-IF($B$1+35&gt;=$B$23,$B$22,0))*(1+$B$4)^35))*IF(AK127+IF($B$1+35&lt;=$B127,12*($B$7-$B$10),-12*MAX(0,($B$6+$B$10)-IF($B$1+35&gt;=$B$23,$B$22,0))*(1+$B$4)^35)&gt;0,1+$B$3,1))</f>
        <v/>
      </c>
      <c r="AM127">
        <f>IF($B$1+36&gt;90,AL127,(AL127+IF($B$1+36&lt;=$B127,12*($B$7-$B$10),-12*MAX(0,($B$6+$B$10)-IF($B$1+36&gt;=$B$23,$B$22,0))*(1+$B$4)^36))*IF(AL127+IF($B$1+36&lt;=$B127,12*($B$7-$B$10),-12*MAX(0,($B$6+$B$10)-IF($B$1+36&gt;=$B$23,$B$22,0))*(1+$B$4)^36)&gt;0,1+$B$3,1))</f>
        <v/>
      </c>
      <c r="AN127">
        <f>IF($B$1+37&gt;90,AM127,(AM127+IF($B$1+37&lt;=$B127,12*($B$7-$B$10),-12*MAX(0,($B$6+$B$10)-IF($B$1+37&gt;=$B$23,$B$22,0))*(1+$B$4)^37))*IF(AM127+IF($B$1+37&lt;=$B127,12*($B$7-$B$10),-12*MAX(0,($B$6+$B$10)-IF($B$1+37&gt;=$B$23,$B$22,0))*(1+$B$4)^37)&gt;0,1+$B$3,1))</f>
        <v/>
      </c>
      <c r="AO127">
        <f>IF($B$1+38&gt;90,AN127,(AN127+IF($B$1+38&lt;=$B127,12*($B$7-$B$10),-12*MAX(0,($B$6+$B$10)-IF($B$1+38&gt;=$B$23,$B$22,0))*(1+$B$4)^38))*IF(AN127+IF($B$1+38&lt;=$B127,12*($B$7-$B$10),-12*MAX(0,($B$6+$B$10)-IF($B$1+38&gt;=$B$23,$B$22,0))*(1+$B$4)^38)&gt;0,1+$B$3,1))</f>
        <v/>
      </c>
      <c r="AP127">
        <f>IF($B$1+39&gt;90,AO127,(AO127+IF($B$1+39&lt;=$B127,12*($B$7-$B$10),-12*MAX(0,($B$6+$B$10)-IF($B$1+39&gt;=$B$23,$B$22,0))*(1+$B$4)^39))*IF(AO127+IF($B$1+39&lt;=$B127,12*($B$7-$B$10),-12*MAX(0,($B$6+$B$10)-IF($B$1+39&gt;=$B$23,$B$22,0))*(1+$B$4)^39)&gt;0,1+$B$3,1))</f>
        <v/>
      </c>
      <c r="AQ127">
        <f>IF($B$1+40&gt;90,AP127,(AP127+IF($B$1+40&lt;=$B127,12*($B$7-$B$10),-12*MAX(0,($B$6+$B$10)-IF($B$1+40&gt;=$B$23,$B$22,0))*(1+$B$4)^40))*IF(AP127+IF($B$1+40&lt;=$B127,12*($B$7-$B$10),-12*MAX(0,($B$6+$B$10)-IF($B$1+40&gt;=$B$23,$B$22,0))*(1+$B$4)^40)&gt;0,1+$B$3,1))</f>
        <v/>
      </c>
      <c r="AR127">
        <f>IF($B$1+41&gt;90,AQ127,(AQ127+IF($B$1+41&lt;=$B127,12*($B$7-$B$10),-12*MAX(0,($B$6+$B$10)-IF($B$1+41&gt;=$B$23,$B$22,0))*(1+$B$4)^41))*IF(AQ127+IF($B$1+41&lt;=$B127,12*($B$7-$B$10),-12*MAX(0,($B$6+$B$10)-IF($B$1+41&gt;=$B$23,$B$22,0))*(1+$B$4)^41)&gt;0,1+$B$3,1))</f>
        <v/>
      </c>
      <c r="AS127">
        <f>IF($B$1+42&gt;90,AR127,(AR127+IF($B$1+42&lt;=$B127,12*($B$7-$B$10),-12*MAX(0,($B$6+$B$10)-IF($B$1+42&gt;=$B$23,$B$22,0))*(1+$B$4)^42))*IF(AR127+IF($B$1+42&lt;=$B127,12*($B$7-$B$10),-12*MAX(0,($B$6+$B$10)-IF($B$1+42&gt;=$B$23,$B$22,0))*(1+$B$4)^42)&gt;0,1+$B$3,1))</f>
        <v/>
      </c>
      <c r="AT127">
        <f>IF($B$1+43&gt;90,AS127,(AS127+IF($B$1+43&lt;=$B127,12*($B$7-$B$10),-12*MAX(0,($B$6+$B$10)-IF($B$1+43&gt;=$B$23,$B$22,0))*(1+$B$4)^43))*IF(AS127+IF($B$1+43&lt;=$B127,12*($B$7-$B$10),-12*MAX(0,($B$6+$B$10)-IF($B$1+43&gt;=$B$23,$B$22,0))*(1+$B$4)^43)&gt;0,1+$B$3,1))</f>
        <v/>
      </c>
      <c r="AU127">
        <f>IF($B$1+44&gt;90,AT127,(AT127+IF($B$1+44&lt;=$B127,12*($B$7-$B$10),-12*MAX(0,($B$6+$B$10)-IF($B$1+44&gt;=$B$23,$B$22,0))*(1+$B$4)^44))*IF(AT127+IF($B$1+44&lt;=$B127,12*($B$7-$B$10),-12*MAX(0,($B$6+$B$10)-IF($B$1+44&gt;=$B$23,$B$22,0))*(1+$B$4)^44)&gt;0,1+$B$3,1))</f>
        <v/>
      </c>
      <c r="AV127">
        <f>IF($B$1+45&gt;90,AU127,(AU127+IF($B$1+45&lt;=$B127,12*($B$7-$B$10),-12*MAX(0,($B$6+$B$10)-IF($B$1+45&gt;=$B$23,$B$22,0))*(1+$B$4)^45))*IF(AU127+IF($B$1+45&lt;=$B127,12*($B$7-$B$10),-12*MAX(0,($B$6+$B$10)-IF($B$1+45&gt;=$B$23,$B$22,0))*(1+$B$4)^45)&gt;0,1+$B$3,1))</f>
        <v/>
      </c>
      <c r="AW127">
        <f>IF($B$1+46&gt;90,AV127,(AV127+IF($B$1+46&lt;=$B127,12*($B$7-$B$10),-12*MAX(0,($B$6+$B$10)-IF($B$1+46&gt;=$B$23,$B$22,0))*(1+$B$4)^46))*IF(AV127+IF($B$1+46&lt;=$B127,12*($B$7-$B$10),-12*MAX(0,($B$6+$B$10)-IF($B$1+46&gt;=$B$23,$B$22,0))*(1+$B$4)^46)&gt;0,1+$B$3,1))</f>
        <v/>
      </c>
      <c r="AX127">
        <f>IF($B$1+47&gt;90,AW127,(AW127+IF($B$1+47&lt;=$B127,12*($B$7-$B$10),-12*MAX(0,($B$6+$B$10)-IF($B$1+47&gt;=$B$23,$B$22,0))*(1+$B$4)^47))*IF(AW127+IF($B$1+47&lt;=$B127,12*($B$7-$B$10),-12*MAX(0,($B$6+$B$10)-IF($B$1+47&gt;=$B$23,$B$22,0))*(1+$B$4)^47)&gt;0,1+$B$3,1))</f>
        <v/>
      </c>
      <c r="AY127">
        <f>IF($B$1+48&gt;90,AX127,(AX127+IF($B$1+48&lt;=$B127,12*($B$7-$B$10),-12*MAX(0,($B$6+$B$10)-IF($B$1+48&gt;=$B$23,$B$22,0))*(1+$B$4)^48))*IF(AX127+IF($B$1+48&lt;=$B127,12*($B$7-$B$10),-12*MAX(0,($B$6+$B$10)-IF($B$1+48&gt;=$B$23,$B$22,0))*(1+$B$4)^48)&gt;0,1+$B$3,1))</f>
        <v/>
      </c>
      <c r="AZ127">
        <f>IF($B$1+49&gt;90,AY127,(AY127+IF($B$1+49&lt;=$B127,12*($B$7-$B$10),-12*MAX(0,($B$6+$B$10)-IF($B$1+49&gt;=$B$23,$B$22,0))*(1+$B$4)^49))*IF(AY127+IF($B$1+49&lt;=$B127,12*($B$7-$B$10),-12*MAX(0,($B$6+$B$10)-IF($B$1+49&gt;=$B$23,$B$22,0))*(1+$B$4)^49)&gt;0,1+$B$3,1))</f>
        <v/>
      </c>
      <c r="BA127">
        <f>IF($B$1+50&gt;90,AZ127,(AZ127+IF($B$1+50&lt;=$B127,12*($B$7-$B$10),-12*MAX(0,($B$6+$B$10)-IF($B$1+50&gt;=$B$23,$B$22,0))*(1+$B$4)^50))*IF(AZ127+IF($B$1+50&lt;=$B127,12*($B$7-$B$10),-12*MAX(0,($B$6+$B$10)-IF($B$1+50&gt;=$B$23,$B$22,0))*(1+$B$4)^50)&gt;0,1+$B$3,1))</f>
        <v/>
      </c>
      <c r="BB127">
        <f>IF($B$1+51&gt;90,BA127,(BA127+IF($B$1+51&lt;=$B127,12*($B$7-$B$10),-12*MAX(0,($B$6+$B$10)-IF($B$1+51&gt;=$B$23,$B$22,0))*(1+$B$4)^51))*IF(BA127+IF($B$1+51&lt;=$B127,12*($B$7-$B$10),-12*MAX(0,($B$6+$B$10)-IF($B$1+51&gt;=$B$23,$B$22,0))*(1+$B$4)^51)&gt;0,1+$B$3,1))</f>
        <v/>
      </c>
      <c r="BC127">
        <f>IF($B$1+52&gt;90,BB127,(BB127+IF($B$1+52&lt;=$B127,12*($B$7-$B$10),-12*MAX(0,($B$6+$B$10)-IF($B$1+52&gt;=$B$23,$B$22,0))*(1+$B$4)^52))*IF(BB127+IF($B$1+52&lt;=$B127,12*($B$7-$B$10),-12*MAX(0,($B$6+$B$10)-IF($B$1+52&gt;=$B$23,$B$22,0))*(1+$B$4)^52)&gt;0,1+$B$3,1))</f>
        <v/>
      </c>
      <c r="BD127">
        <f>IF($B$1+53&gt;90,BC127,(BC127+IF($B$1+53&lt;=$B127,12*($B$7-$B$10),-12*MAX(0,($B$6+$B$10)-IF($B$1+53&gt;=$B$23,$B$22,0))*(1+$B$4)^53))*IF(BC127+IF($B$1+53&lt;=$B127,12*($B$7-$B$10),-12*MAX(0,($B$6+$B$10)-IF($B$1+53&gt;=$B$23,$B$22,0))*(1+$B$4)^53)&gt;0,1+$B$3,1))</f>
        <v/>
      </c>
      <c r="BE127">
        <f>IF($B$1+54&gt;90,BD127,(BD127+IF($B$1+54&lt;=$B127,12*($B$7-$B$10),-12*MAX(0,($B$6+$B$10)-IF($B$1+54&gt;=$B$23,$B$22,0))*(1+$B$4)^54))*IF(BD127+IF($B$1+54&lt;=$B127,12*($B$7-$B$10),-12*MAX(0,($B$6+$B$10)-IF($B$1+54&gt;=$B$23,$B$22,0))*(1+$B$4)^54)&gt;0,1+$B$3,1))</f>
        <v/>
      </c>
      <c r="BF127">
        <f>IF($B$1+55&gt;90,BE127,(BE127+IF($B$1+55&lt;=$B127,12*($B$7-$B$10),-12*MAX(0,($B$6+$B$10)-IF($B$1+55&gt;=$B$23,$B$22,0))*(1+$B$4)^55))*IF(BE127+IF($B$1+55&lt;=$B127,12*($B$7-$B$10),-12*MAX(0,($B$6+$B$10)-IF($B$1+55&gt;=$B$23,$B$22,0))*(1+$B$4)^55)&gt;0,1+$B$3,1))</f>
        <v/>
      </c>
      <c r="BG127">
        <f>IF($B$1+56&gt;90,BF127,(BF127+IF($B$1+56&lt;=$B127,12*($B$7-$B$10),-12*MAX(0,($B$6+$B$10)-IF($B$1+56&gt;=$B$23,$B$22,0))*(1+$B$4)^56))*IF(BF127+IF($B$1+56&lt;=$B127,12*($B$7-$B$10),-12*MAX(0,($B$6+$B$10)-IF($B$1+56&gt;=$B$23,$B$22,0))*(1+$B$4)^56)&gt;0,1+$B$3,1))</f>
        <v/>
      </c>
      <c r="BH127">
        <f>IF($B$1+57&gt;90,BG127,(BG127+IF($B$1+57&lt;=$B127,12*($B$7-$B$10),-12*MAX(0,($B$6+$B$10)-IF($B$1+57&gt;=$B$23,$B$22,0))*(1+$B$4)^57))*IF(BG127+IF($B$1+57&lt;=$B127,12*($B$7-$B$10),-12*MAX(0,($B$6+$B$10)-IF($B$1+57&gt;=$B$23,$B$22,0))*(1+$B$4)^57)&gt;0,1+$B$3,1))</f>
        <v/>
      </c>
      <c r="BI127">
        <f>IF($B$1+58&gt;90,BH127,(BH127+IF($B$1+58&lt;=$B127,12*($B$7-$B$10),-12*MAX(0,($B$6+$B$10)-IF($B$1+58&gt;=$B$23,$B$22,0))*(1+$B$4)^58))*IF(BH127+IF($B$1+58&lt;=$B127,12*($B$7-$B$10),-12*MAX(0,($B$6+$B$10)-IF($B$1+58&gt;=$B$23,$B$22,0))*(1+$B$4)^58)&gt;0,1+$B$3,1))</f>
        <v/>
      </c>
      <c r="BJ127">
        <f>IF($B$1+59&gt;90,BI127,(BI127+IF($B$1+59&lt;=$B127,12*($B$7-$B$10),-12*MAX(0,($B$6+$B$10)-IF($B$1+59&gt;=$B$23,$B$22,0))*(1+$B$4)^59))*IF(BI127+IF($B$1+59&lt;=$B127,12*($B$7-$B$10),-12*MAX(0,($B$6+$B$10)-IF($B$1+59&gt;=$B$23,$B$22,0))*(1+$B$4)^59)&gt;0,1+$B$3,1))</f>
        <v/>
      </c>
      <c r="BK127">
        <f>IF($B$1+60&gt;90,BJ127,(BJ127+IF($B$1+60&lt;=$B127,12*($B$7-$B$10),-12*MAX(0,($B$6+$B$10)-IF($B$1+60&gt;=$B$23,$B$22,0))*(1+$B$4)^60))*IF(BJ127+IF($B$1+60&lt;=$B127,12*($B$7-$B$10),-12*MAX(0,($B$6+$B$10)-IF($B$1+60&gt;=$B$23,$B$22,0))*(1+$B$4)^60)&gt;0,1+$B$3,1))</f>
        <v/>
      </c>
      <c r="BL127">
        <f>IF($B$1+61&gt;90,BK127,(BK127+IF($B$1+61&lt;=$B127,12*($B$7-$B$10),-12*MAX(0,($B$6+$B$10)-IF($B$1+61&gt;=$B$23,$B$22,0))*(1+$B$4)^61))*IF(BK127+IF($B$1+61&lt;=$B127,12*($B$7-$B$10),-12*MAX(0,($B$6+$B$10)-IF($B$1+61&gt;=$B$23,$B$22,0))*(1+$B$4)^61)&gt;0,1+$B$3,1))</f>
        <v/>
      </c>
      <c r="BM127">
        <f>IF($B$1+62&gt;90,BL127,(BL127+IF($B$1+62&lt;=$B127,12*($B$7-$B$10),-12*MAX(0,($B$6+$B$10)-IF($B$1+62&gt;=$B$23,$B$22,0))*(1+$B$4)^62))*IF(BL127+IF($B$1+62&lt;=$B127,12*($B$7-$B$10),-12*MAX(0,($B$6+$B$10)-IF($B$1+62&gt;=$B$23,$B$22,0))*(1+$B$4)^62)&gt;0,1+$B$3,1))</f>
        <v/>
      </c>
      <c r="BN127">
        <f>IF($B$1+63&gt;90,BM127,(BM127+IF($B$1+63&lt;=$B127,12*($B$7-$B$10),-12*MAX(0,($B$6+$B$10)-IF($B$1+63&gt;=$B$23,$B$22,0))*(1+$B$4)^63))*IF(BM127+IF($B$1+63&lt;=$B127,12*($B$7-$B$10),-12*MAX(0,($B$6+$B$10)-IF($B$1+63&gt;=$B$23,$B$22,0))*(1+$B$4)^63)&gt;0,1+$B$3,1))</f>
        <v/>
      </c>
      <c r="BO127">
        <f>IF($B$1+64&gt;90,BN127,(BN127+IF($B$1+64&lt;=$B127,12*($B$7-$B$10),-12*MAX(0,($B$6+$B$10)-IF($B$1+64&gt;=$B$23,$B$22,0))*(1+$B$4)^64))*IF(BN127+IF($B$1+64&lt;=$B127,12*($B$7-$B$10),-12*MAX(0,($B$6+$B$10)-IF($B$1+64&gt;=$B$23,$B$22,0))*(1+$B$4)^64)&gt;0,1+$B$3,1))</f>
        <v/>
      </c>
      <c r="BP127">
        <f>IF($B$1+65&gt;90,BO127,(BO127+IF($B$1+65&lt;=$B127,12*($B$7-$B$10),-12*MAX(0,($B$6+$B$10)-IF($B$1+65&gt;=$B$23,$B$22,0))*(1+$B$4)^65))*IF(BO127+IF($B$1+65&lt;=$B127,12*($B$7-$B$10),-12*MAX(0,($B$6+$B$10)-IF($B$1+65&gt;=$B$23,$B$22,0))*(1+$B$4)^65)&gt;0,1+$B$3,1))</f>
        <v/>
      </c>
      <c r="BQ127">
        <f>IF($B$1+66&gt;90,BP127,(BP127+IF($B$1+66&lt;=$B127,12*($B$7-$B$10),-12*MAX(0,($B$6+$B$10)-IF($B$1+66&gt;=$B$23,$B$22,0))*(1+$B$4)^66))*IF(BP127+IF($B$1+66&lt;=$B127,12*($B$7-$B$10),-12*MAX(0,($B$6+$B$10)-IF($B$1+66&gt;=$B$23,$B$22,0))*(1+$B$4)^66)&gt;0,1+$B$3,1))</f>
        <v/>
      </c>
      <c r="BR127">
        <f>IF($B$1+67&gt;90,BQ127,(BQ127+IF($B$1+67&lt;=$B127,12*($B$7-$B$10),-12*MAX(0,($B$6+$B$10)-IF($B$1+67&gt;=$B$23,$B$22,0))*(1+$B$4)^67))*IF(BQ127+IF($B$1+67&lt;=$B127,12*($B$7-$B$10),-12*MAX(0,($B$6+$B$10)-IF($B$1+67&gt;=$B$23,$B$22,0))*(1+$B$4)^67)&gt;0,1+$B$3,1))</f>
        <v/>
      </c>
      <c r="BS127">
        <f>IF($B$1+68&gt;90,BR127,(BR127+IF($B$1+68&lt;=$B127,12*($B$7-$B$10),-12*MAX(0,($B$6+$B$10)-IF($B$1+68&gt;=$B$23,$B$22,0))*(1+$B$4)^68))*IF(BR127+IF($B$1+68&lt;=$B127,12*($B$7-$B$10),-12*MAX(0,($B$6+$B$10)-IF($B$1+68&gt;=$B$23,$B$22,0))*(1+$B$4)^68)&gt;0,1+$B$3,1))</f>
        <v/>
      </c>
      <c r="BT127">
        <f>IF($B$1+69&gt;90,BS127,(BS127+IF($B$1+69&lt;=$B127,12*($B$7-$B$10),-12*MAX(0,($B$6+$B$10)-IF($B$1+69&gt;=$B$23,$B$22,0))*(1+$B$4)^69))*IF(BS127+IF($B$1+69&lt;=$B127,12*($B$7-$B$10),-12*MAX(0,($B$6+$B$10)-IF($B$1+69&gt;=$B$23,$B$22,0))*(1+$B$4)^69)&gt;0,1+$B$3,1))</f>
        <v/>
      </c>
      <c r="BU127">
        <f>IF($B$1+70&gt;90,BT127,(BT127+IF($B$1+70&lt;=$B127,12*($B$7-$B$10),-12*MAX(0,($B$6+$B$10)-IF($B$1+70&gt;=$B$23,$B$22,0))*(1+$B$4)^70))*IF(BT127+IF($B$1+70&lt;=$B127,12*($B$7-$B$10),-12*MAX(0,($B$6+$B$10)-IF($B$1+70&gt;=$B$23,$B$22,0))*(1+$B$4)^70)&gt;0,1+$B$3,1))</f>
        <v/>
      </c>
      <c r="BV127">
        <f>BU127</f>
        <v/>
      </c>
      <c r="BW127">
        <f>IF(AND($B127&lt;=70,BV127&gt;0),$B127,999)</f>
        <v/>
      </c>
      <c r="CH127">
        <f>IF(ISTEXT('월 가계부'!A127),SUBSTITUTE(SUBSTITUTE(SUBSTITUTE(SUBSTITUTE(SUBSTITUTE(SUBSTITUTE(SUBSTITUTE(SUBSTITUTE(SUBSTITUTE(TRIM('월 가계부'!A127),"년","-"),"월","-"),"일",""),".","-"),"/","-")," ","-"),"--","-"),"--","-"),"--","-")&amp;"-","")</f>
        <v/>
      </c>
      <c r="CI127">
        <f>IFERROR(IF('월 가계부'!A127="","",IF(ISNUMBER('월 가계부'!A127),IF(AND('월 가계부'!A127&gt;=19000101,'월 가계부'!A127&lt;=21001231),IF(AND(MOD(INT('월 가계부'!A127/100),100)&gt;=1,MOD(INT('월 가계부'!A127/100),100)&lt;=12,MOD(INT('월 가계부'!A127),100)&gt;=1,MOD(INT('월 가계부'!A127),100)&lt;=31),IF(MONTH(DATE(INT('월 가계부'!A127/10000),MOD(INT('월 가계부'!A127/100),100),MOD(INT('월 가계부'!A127),100)))=MOD(INT('월 가계부'!A127/100),100),DATE(INT('월 가계부'!A127/10000),MOD(INT('월 가계부'!A127/100),100),MOD(INT('월 가계부'!A127),100)),""),""),IF(AND('월 가계부'!A127&gt;=36526,'월 가계부'!A127&lt;73051),INT('월 가계부'!A127),"")),IF(OR(CM127="",CN127="",CO127=""),"",IF(AND(CM127&gt;=2000,CM127&lt;=2099,CN127&gt;=1,CN127&lt;=12,CO127&gt;=1,CO127&lt;=31),IF(MONTH(DATE(CM127,CN127,CO127))=CN127,DATE(CM127,CN127,CO127),""),"")))),"")</f>
        <v/>
      </c>
      <c r="CJ127">
        <f>IFERROR(IF('월 가계부'!C127="","",IF(ISNUMBER('월 가계부'!C127),'월 가계부'!C127,VALUE(SUBSTITUTE(SUBSTITUTE(SUBSTITUTE(SUBSTITUTE(TRIM('월 가계부'!C127),",",""),"원","")," ",""),"−","-")))),"")</f>
        <v/>
      </c>
      <c r="CK127">
        <f>IF(ISNUMBER(CI127),IF(CI127&lt;$B$13,CI127,""),"")</f>
        <v/>
      </c>
      <c r="CM127">
        <f>IF(CH127="","",IFERROR(IF(IF(AND(LEN(CH127)=9,ISERROR(FIND("-",LEFT(CH127,8))),ISNUMBER(-LEFT(CH127,8))),VALUE(LEFT(CH127,4)),VALUE(LEFT(CH127,FIND("-",CH127)-1)))&lt;100,IF(AND(LEN(CH127)=9,ISERROR(FIND("-",LEFT(CH127,8))),ISNUMBER(-LEFT(CH127,8))),VALUE(LEFT(CH127,4)),VALUE(LEFT(CH127,FIND("-",CH127)-1)))+2000,IF(AND(LEN(CH127)=9,ISERROR(FIND("-",LEFT(CH127,8))),ISNUMBER(-LEFT(CH127,8))),VALUE(LEFT(CH127,4)),VALUE(LEFT(CH127,FIND("-",CH127)-1)))),""))</f>
        <v/>
      </c>
      <c r="CN127">
        <f>IF(CH127="","",IFERROR(IF(AND(LEN(CH127)=9,ISERROR(FIND("-",LEFT(CH127,8))),ISNUMBER(-LEFT(CH127,8))),VALUE(MID(CH127,5,2)),VALUE(MID(CH127,FIND("-",CH127)+1,FIND("-",CH127,FIND("-",CH127)+1)-FIND("-",CH127)-1))),""))</f>
        <v/>
      </c>
      <c r="CO127">
        <f>IF(CH127="","",IFERROR(IF(AND(LEN(CH127)=9,ISERROR(FIND("-",LEFT(CH127,8))),ISNUMBER(-LEFT(CH127,8))),VALUE(MID(CH127,7,2)),VALUE(MID(CH127,FIND("-",CH127,FIND("-",CH127)+1)+1,FIND("-",CH127,FIND("-",CH127,FIND("-",CH127)+1)+1)-FIND("-",CH127,FIND("-",CH127)+1)-1))),""))</f>
        <v/>
      </c>
    </row>
    <row r="128">
      <c r="A128" t="n">
        <v>32</v>
      </c>
      <c r="B128">
        <f>$B$1+32</f>
        <v/>
      </c>
      <c r="C128">
        <f>$B$2</f>
        <v/>
      </c>
      <c r="D128">
        <f>IF($B$1+1&gt;90,C128,(C128+IF($B$1+1&lt;=$B128,12*($B$7-$B$10),-12*MAX(0,($B$6+$B$10)-IF($B$1+1&gt;=$B$23,$B$22,0))*(1+$B$4)^1))*IF(C128+IF($B$1+1&lt;=$B128,12*($B$7-$B$10),-12*MAX(0,($B$6+$B$10)-IF($B$1+1&gt;=$B$23,$B$22,0))*(1+$B$4)^1)&gt;0,1+$B$3,1))</f>
        <v/>
      </c>
      <c r="E128">
        <f>IF($B$1+2&gt;90,D128,(D128+IF($B$1+2&lt;=$B128,12*($B$7-$B$10),-12*MAX(0,($B$6+$B$10)-IF($B$1+2&gt;=$B$23,$B$22,0))*(1+$B$4)^2))*IF(D128+IF($B$1+2&lt;=$B128,12*($B$7-$B$10),-12*MAX(0,($B$6+$B$10)-IF($B$1+2&gt;=$B$23,$B$22,0))*(1+$B$4)^2)&gt;0,1+$B$3,1))</f>
        <v/>
      </c>
      <c r="F128">
        <f>IF($B$1+3&gt;90,E128,(E128+IF($B$1+3&lt;=$B128,12*($B$7-$B$10),-12*MAX(0,($B$6+$B$10)-IF($B$1+3&gt;=$B$23,$B$22,0))*(1+$B$4)^3))*IF(E128+IF($B$1+3&lt;=$B128,12*($B$7-$B$10),-12*MAX(0,($B$6+$B$10)-IF($B$1+3&gt;=$B$23,$B$22,0))*(1+$B$4)^3)&gt;0,1+$B$3,1))</f>
        <v/>
      </c>
      <c r="G128">
        <f>IF($B$1+4&gt;90,F128,(F128+IF($B$1+4&lt;=$B128,12*($B$7-$B$10),-12*MAX(0,($B$6+$B$10)-IF($B$1+4&gt;=$B$23,$B$22,0))*(1+$B$4)^4))*IF(F128+IF($B$1+4&lt;=$B128,12*($B$7-$B$10),-12*MAX(0,($B$6+$B$10)-IF($B$1+4&gt;=$B$23,$B$22,0))*(1+$B$4)^4)&gt;0,1+$B$3,1))</f>
        <v/>
      </c>
      <c r="H128">
        <f>IF($B$1+5&gt;90,G128,(G128+IF($B$1+5&lt;=$B128,12*($B$7-$B$10),-12*MAX(0,($B$6+$B$10)-IF($B$1+5&gt;=$B$23,$B$22,0))*(1+$B$4)^5))*IF(G128+IF($B$1+5&lt;=$B128,12*($B$7-$B$10),-12*MAX(0,($B$6+$B$10)-IF($B$1+5&gt;=$B$23,$B$22,0))*(1+$B$4)^5)&gt;0,1+$B$3,1))</f>
        <v/>
      </c>
      <c r="I128">
        <f>IF($B$1+6&gt;90,H128,(H128+IF($B$1+6&lt;=$B128,12*($B$7-$B$10),-12*MAX(0,($B$6+$B$10)-IF($B$1+6&gt;=$B$23,$B$22,0))*(1+$B$4)^6))*IF(H128+IF($B$1+6&lt;=$B128,12*($B$7-$B$10),-12*MAX(0,($B$6+$B$10)-IF($B$1+6&gt;=$B$23,$B$22,0))*(1+$B$4)^6)&gt;0,1+$B$3,1))</f>
        <v/>
      </c>
      <c r="J128">
        <f>IF($B$1+7&gt;90,I128,(I128+IF($B$1+7&lt;=$B128,12*($B$7-$B$10),-12*MAX(0,($B$6+$B$10)-IF($B$1+7&gt;=$B$23,$B$22,0))*(1+$B$4)^7))*IF(I128+IF($B$1+7&lt;=$B128,12*($B$7-$B$10),-12*MAX(0,($B$6+$B$10)-IF($B$1+7&gt;=$B$23,$B$22,0))*(1+$B$4)^7)&gt;0,1+$B$3,1))</f>
        <v/>
      </c>
      <c r="K128">
        <f>IF($B$1+8&gt;90,J128,(J128+IF($B$1+8&lt;=$B128,12*($B$7-$B$10),-12*MAX(0,($B$6+$B$10)-IF($B$1+8&gt;=$B$23,$B$22,0))*(1+$B$4)^8))*IF(J128+IF($B$1+8&lt;=$B128,12*($B$7-$B$10),-12*MAX(0,($B$6+$B$10)-IF($B$1+8&gt;=$B$23,$B$22,0))*(1+$B$4)^8)&gt;0,1+$B$3,1))</f>
        <v/>
      </c>
      <c r="L128">
        <f>IF($B$1+9&gt;90,K128,(K128+IF($B$1+9&lt;=$B128,12*($B$7-$B$10),-12*MAX(0,($B$6+$B$10)-IF($B$1+9&gt;=$B$23,$B$22,0))*(1+$B$4)^9))*IF(K128+IF($B$1+9&lt;=$B128,12*($B$7-$B$10),-12*MAX(0,($B$6+$B$10)-IF($B$1+9&gt;=$B$23,$B$22,0))*(1+$B$4)^9)&gt;0,1+$B$3,1))</f>
        <v/>
      </c>
      <c r="M128">
        <f>IF($B$1+10&gt;90,L128,(L128+IF($B$1+10&lt;=$B128,12*($B$7-$B$10),-12*MAX(0,($B$6+$B$10)-IF($B$1+10&gt;=$B$23,$B$22,0))*(1+$B$4)^10))*IF(L128+IF($B$1+10&lt;=$B128,12*($B$7-$B$10),-12*MAX(0,($B$6+$B$10)-IF($B$1+10&gt;=$B$23,$B$22,0))*(1+$B$4)^10)&gt;0,1+$B$3,1))</f>
        <v/>
      </c>
      <c r="N128">
        <f>IF($B$1+11&gt;90,M128,(M128+IF($B$1+11&lt;=$B128,12*($B$7-$B$10),-12*MAX(0,($B$6+$B$10)-IF($B$1+11&gt;=$B$23,$B$22,0))*(1+$B$4)^11))*IF(M128+IF($B$1+11&lt;=$B128,12*($B$7-$B$10),-12*MAX(0,($B$6+$B$10)-IF($B$1+11&gt;=$B$23,$B$22,0))*(1+$B$4)^11)&gt;0,1+$B$3,1))</f>
        <v/>
      </c>
      <c r="O128">
        <f>IF($B$1+12&gt;90,N128,(N128+IF($B$1+12&lt;=$B128,12*($B$7-$B$10),-12*MAX(0,($B$6+$B$10)-IF($B$1+12&gt;=$B$23,$B$22,0))*(1+$B$4)^12))*IF(N128+IF($B$1+12&lt;=$B128,12*($B$7-$B$10),-12*MAX(0,($B$6+$B$10)-IF($B$1+12&gt;=$B$23,$B$22,0))*(1+$B$4)^12)&gt;0,1+$B$3,1))</f>
        <v/>
      </c>
      <c r="P128">
        <f>IF($B$1+13&gt;90,O128,(O128+IF($B$1+13&lt;=$B128,12*($B$7-$B$10),-12*MAX(0,($B$6+$B$10)-IF($B$1+13&gt;=$B$23,$B$22,0))*(1+$B$4)^13))*IF(O128+IF($B$1+13&lt;=$B128,12*($B$7-$B$10),-12*MAX(0,($B$6+$B$10)-IF($B$1+13&gt;=$B$23,$B$22,0))*(1+$B$4)^13)&gt;0,1+$B$3,1))</f>
        <v/>
      </c>
      <c r="Q128">
        <f>IF($B$1+14&gt;90,P128,(P128+IF($B$1+14&lt;=$B128,12*($B$7-$B$10),-12*MAX(0,($B$6+$B$10)-IF($B$1+14&gt;=$B$23,$B$22,0))*(1+$B$4)^14))*IF(P128+IF($B$1+14&lt;=$B128,12*($B$7-$B$10),-12*MAX(0,($B$6+$B$10)-IF($B$1+14&gt;=$B$23,$B$22,0))*(1+$B$4)^14)&gt;0,1+$B$3,1))</f>
        <v/>
      </c>
      <c r="R128">
        <f>IF($B$1+15&gt;90,Q128,(Q128+IF($B$1+15&lt;=$B128,12*($B$7-$B$10),-12*MAX(0,($B$6+$B$10)-IF($B$1+15&gt;=$B$23,$B$22,0))*(1+$B$4)^15))*IF(Q128+IF($B$1+15&lt;=$B128,12*($B$7-$B$10),-12*MAX(0,($B$6+$B$10)-IF($B$1+15&gt;=$B$23,$B$22,0))*(1+$B$4)^15)&gt;0,1+$B$3,1))</f>
        <v/>
      </c>
      <c r="S128">
        <f>IF($B$1+16&gt;90,R128,(R128+IF($B$1+16&lt;=$B128,12*($B$7-$B$10),-12*MAX(0,($B$6+$B$10)-IF($B$1+16&gt;=$B$23,$B$22,0))*(1+$B$4)^16))*IF(R128+IF($B$1+16&lt;=$B128,12*($B$7-$B$10),-12*MAX(0,($B$6+$B$10)-IF($B$1+16&gt;=$B$23,$B$22,0))*(1+$B$4)^16)&gt;0,1+$B$3,1))</f>
        <v/>
      </c>
      <c r="T128">
        <f>IF($B$1+17&gt;90,S128,(S128+IF($B$1+17&lt;=$B128,12*($B$7-$B$10),-12*MAX(0,($B$6+$B$10)-IF($B$1+17&gt;=$B$23,$B$22,0))*(1+$B$4)^17))*IF(S128+IF($B$1+17&lt;=$B128,12*($B$7-$B$10),-12*MAX(0,($B$6+$B$10)-IF($B$1+17&gt;=$B$23,$B$22,0))*(1+$B$4)^17)&gt;0,1+$B$3,1))</f>
        <v/>
      </c>
      <c r="U128">
        <f>IF($B$1+18&gt;90,T128,(T128+IF($B$1+18&lt;=$B128,12*($B$7-$B$10),-12*MAX(0,($B$6+$B$10)-IF($B$1+18&gt;=$B$23,$B$22,0))*(1+$B$4)^18))*IF(T128+IF($B$1+18&lt;=$B128,12*($B$7-$B$10),-12*MAX(0,($B$6+$B$10)-IF($B$1+18&gt;=$B$23,$B$22,0))*(1+$B$4)^18)&gt;0,1+$B$3,1))</f>
        <v/>
      </c>
      <c r="V128">
        <f>IF($B$1+19&gt;90,U128,(U128+IF($B$1+19&lt;=$B128,12*($B$7-$B$10),-12*MAX(0,($B$6+$B$10)-IF($B$1+19&gt;=$B$23,$B$22,0))*(1+$B$4)^19))*IF(U128+IF($B$1+19&lt;=$B128,12*($B$7-$B$10),-12*MAX(0,($B$6+$B$10)-IF($B$1+19&gt;=$B$23,$B$22,0))*(1+$B$4)^19)&gt;0,1+$B$3,1))</f>
        <v/>
      </c>
      <c r="W128">
        <f>IF($B$1+20&gt;90,V128,(V128+IF($B$1+20&lt;=$B128,12*($B$7-$B$10),-12*MAX(0,($B$6+$B$10)-IF($B$1+20&gt;=$B$23,$B$22,0))*(1+$B$4)^20))*IF(V128+IF($B$1+20&lt;=$B128,12*($B$7-$B$10),-12*MAX(0,($B$6+$B$10)-IF($B$1+20&gt;=$B$23,$B$22,0))*(1+$B$4)^20)&gt;0,1+$B$3,1))</f>
        <v/>
      </c>
      <c r="X128">
        <f>IF($B$1+21&gt;90,W128,(W128+IF($B$1+21&lt;=$B128,12*($B$7-$B$10),-12*MAX(0,($B$6+$B$10)-IF($B$1+21&gt;=$B$23,$B$22,0))*(1+$B$4)^21))*IF(W128+IF($B$1+21&lt;=$B128,12*($B$7-$B$10),-12*MAX(0,($B$6+$B$10)-IF($B$1+21&gt;=$B$23,$B$22,0))*(1+$B$4)^21)&gt;0,1+$B$3,1))</f>
        <v/>
      </c>
      <c r="Y128">
        <f>IF($B$1+22&gt;90,X128,(X128+IF($B$1+22&lt;=$B128,12*($B$7-$B$10),-12*MAX(0,($B$6+$B$10)-IF($B$1+22&gt;=$B$23,$B$22,0))*(1+$B$4)^22))*IF(X128+IF($B$1+22&lt;=$B128,12*($B$7-$B$10),-12*MAX(0,($B$6+$B$10)-IF($B$1+22&gt;=$B$23,$B$22,0))*(1+$B$4)^22)&gt;0,1+$B$3,1))</f>
        <v/>
      </c>
      <c r="Z128">
        <f>IF($B$1+23&gt;90,Y128,(Y128+IF($B$1+23&lt;=$B128,12*($B$7-$B$10),-12*MAX(0,($B$6+$B$10)-IF($B$1+23&gt;=$B$23,$B$22,0))*(1+$B$4)^23))*IF(Y128+IF($B$1+23&lt;=$B128,12*($B$7-$B$10),-12*MAX(0,($B$6+$B$10)-IF($B$1+23&gt;=$B$23,$B$22,0))*(1+$B$4)^23)&gt;0,1+$B$3,1))</f>
        <v/>
      </c>
      <c r="AA128">
        <f>IF($B$1+24&gt;90,Z128,(Z128+IF($B$1+24&lt;=$B128,12*($B$7-$B$10),-12*MAX(0,($B$6+$B$10)-IF($B$1+24&gt;=$B$23,$B$22,0))*(1+$B$4)^24))*IF(Z128+IF($B$1+24&lt;=$B128,12*($B$7-$B$10),-12*MAX(0,($B$6+$B$10)-IF($B$1+24&gt;=$B$23,$B$22,0))*(1+$B$4)^24)&gt;0,1+$B$3,1))</f>
        <v/>
      </c>
      <c r="AB128">
        <f>IF($B$1+25&gt;90,AA128,(AA128+IF($B$1+25&lt;=$B128,12*($B$7-$B$10),-12*MAX(0,($B$6+$B$10)-IF($B$1+25&gt;=$B$23,$B$22,0))*(1+$B$4)^25))*IF(AA128+IF($B$1+25&lt;=$B128,12*($B$7-$B$10),-12*MAX(0,($B$6+$B$10)-IF($B$1+25&gt;=$B$23,$B$22,0))*(1+$B$4)^25)&gt;0,1+$B$3,1))</f>
        <v/>
      </c>
      <c r="AC128">
        <f>IF($B$1+26&gt;90,AB128,(AB128+IF($B$1+26&lt;=$B128,12*($B$7-$B$10),-12*MAX(0,($B$6+$B$10)-IF($B$1+26&gt;=$B$23,$B$22,0))*(1+$B$4)^26))*IF(AB128+IF($B$1+26&lt;=$B128,12*($B$7-$B$10),-12*MAX(0,($B$6+$B$10)-IF($B$1+26&gt;=$B$23,$B$22,0))*(1+$B$4)^26)&gt;0,1+$B$3,1))</f>
        <v/>
      </c>
      <c r="AD128">
        <f>IF($B$1+27&gt;90,AC128,(AC128+IF($B$1+27&lt;=$B128,12*($B$7-$B$10),-12*MAX(0,($B$6+$B$10)-IF($B$1+27&gt;=$B$23,$B$22,0))*(1+$B$4)^27))*IF(AC128+IF($B$1+27&lt;=$B128,12*($B$7-$B$10),-12*MAX(0,($B$6+$B$10)-IF($B$1+27&gt;=$B$23,$B$22,0))*(1+$B$4)^27)&gt;0,1+$B$3,1))</f>
        <v/>
      </c>
      <c r="AE128">
        <f>IF($B$1+28&gt;90,AD128,(AD128+IF($B$1+28&lt;=$B128,12*($B$7-$B$10),-12*MAX(0,($B$6+$B$10)-IF($B$1+28&gt;=$B$23,$B$22,0))*(1+$B$4)^28))*IF(AD128+IF($B$1+28&lt;=$B128,12*($B$7-$B$10),-12*MAX(0,($B$6+$B$10)-IF($B$1+28&gt;=$B$23,$B$22,0))*(1+$B$4)^28)&gt;0,1+$B$3,1))</f>
        <v/>
      </c>
      <c r="AF128">
        <f>IF($B$1+29&gt;90,AE128,(AE128+IF($B$1+29&lt;=$B128,12*($B$7-$B$10),-12*MAX(0,($B$6+$B$10)-IF($B$1+29&gt;=$B$23,$B$22,0))*(1+$B$4)^29))*IF(AE128+IF($B$1+29&lt;=$B128,12*($B$7-$B$10),-12*MAX(0,($B$6+$B$10)-IF($B$1+29&gt;=$B$23,$B$22,0))*(1+$B$4)^29)&gt;0,1+$B$3,1))</f>
        <v/>
      </c>
      <c r="AG128">
        <f>IF($B$1+30&gt;90,AF128,(AF128+IF($B$1+30&lt;=$B128,12*($B$7-$B$10),-12*MAX(0,($B$6+$B$10)-IF($B$1+30&gt;=$B$23,$B$22,0))*(1+$B$4)^30))*IF(AF128+IF($B$1+30&lt;=$B128,12*($B$7-$B$10),-12*MAX(0,($B$6+$B$10)-IF($B$1+30&gt;=$B$23,$B$22,0))*(1+$B$4)^30)&gt;0,1+$B$3,1))</f>
        <v/>
      </c>
      <c r="AH128">
        <f>IF($B$1+31&gt;90,AG128,(AG128+IF($B$1+31&lt;=$B128,12*($B$7-$B$10),-12*MAX(0,($B$6+$B$10)-IF($B$1+31&gt;=$B$23,$B$22,0))*(1+$B$4)^31))*IF(AG128+IF($B$1+31&lt;=$B128,12*($B$7-$B$10),-12*MAX(0,($B$6+$B$10)-IF($B$1+31&gt;=$B$23,$B$22,0))*(1+$B$4)^31)&gt;0,1+$B$3,1))</f>
        <v/>
      </c>
      <c r="AI128">
        <f>IF($B$1+32&gt;90,AH128,(AH128+IF($B$1+32&lt;=$B128,12*($B$7-$B$10),-12*MAX(0,($B$6+$B$10)-IF($B$1+32&gt;=$B$23,$B$22,0))*(1+$B$4)^32))*IF(AH128+IF($B$1+32&lt;=$B128,12*($B$7-$B$10),-12*MAX(0,($B$6+$B$10)-IF($B$1+32&gt;=$B$23,$B$22,0))*(1+$B$4)^32)&gt;0,1+$B$3,1))</f>
        <v/>
      </c>
      <c r="AJ128">
        <f>IF($B$1+33&gt;90,AI128,(AI128+IF($B$1+33&lt;=$B128,12*($B$7-$B$10),-12*MAX(0,($B$6+$B$10)-IF($B$1+33&gt;=$B$23,$B$22,0))*(1+$B$4)^33))*IF(AI128+IF($B$1+33&lt;=$B128,12*($B$7-$B$10),-12*MAX(0,($B$6+$B$10)-IF($B$1+33&gt;=$B$23,$B$22,0))*(1+$B$4)^33)&gt;0,1+$B$3,1))</f>
        <v/>
      </c>
      <c r="AK128">
        <f>IF($B$1+34&gt;90,AJ128,(AJ128+IF($B$1+34&lt;=$B128,12*($B$7-$B$10),-12*MAX(0,($B$6+$B$10)-IF($B$1+34&gt;=$B$23,$B$22,0))*(1+$B$4)^34))*IF(AJ128+IF($B$1+34&lt;=$B128,12*($B$7-$B$10),-12*MAX(0,($B$6+$B$10)-IF($B$1+34&gt;=$B$23,$B$22,0))*(1+$B$4)^34)&gt;0,1+$B$3,1))</f>
        <v/>
      </c>
      <c r="AL128">
        <f>IF($B$1+35&gt;90,AK128,(AK128+IF($B$1+35&lt;=$B128,12*($B$7-$B$10),-12*MAX(0,($B$6+$B$10)-IF($B$1+35&gt;=$B$23,$B$22,0))*(1+$B$4)^35))*IF(AK128+IF($B$1+35&lt;=$B128,12*($B$7-$B$10),-12*MAX(0,($B$6+$B$10)-IF($B$1+35&gt;=$B$23,$B$22,0))*(1+$B$4)^35)&gt;0,1+$B$3,1))</f>
        <v/>
      </c>
      <c r="AM128">
        <f>IF($B$1+36&gt;90,AL128,(AL128+IF($B$1+36&lt;=$B128,12*($B$7-$B$10),-12*MAX(0,($B$6+$B$10)-IF($B$1+36&gt;=$B$23,$B$22,0))*(1+$B$4)^36))*IF(AL128+IF($B$1+36&lt;=$B128,12*($B$7-$B$10),-12*MAX(0,($B$6+$B$10)-IF($B$1+36&gt;=$B$23,$B$22,0))*(1+$B$4)^36)&gt;0,1+$B$3,1))</f>
        <v/>
      </c>
      <c r="AN128">
        <f>IF($B$1+37&gt;90,AM128,(AM128+IF($B$1+37&lt;=$B128,12*($B$7-$B$10),-12*MAX(0,($B$6+$B$10)-IF($B$1+37&gt;=$B$23,$B$22,0))*(1+$B$4)^37))*IF(AM128+IF($B$1+37&lt;=$B128,12*($B$7-$B$10),-12*MAX(0,($B$6+$B$10)-IF($B$1+37&gt;=$B$23,$B$22,0))*(1+$B$4)^37)&gt;0,1+$B$3,1))</f>
        <v/>
      </c>
      <c r="AO128">
        <f>IF($B$1+38&gt;90,AN128,(AN128+IF($B$1+38&lt;=$B128,12*($B$7-$B$10),-12*MAX(0,($B$6+$B$10)-IF($B$1+38&gt;=$B$23,$B$22,0))*(1+$B$4)^38))*IF(AN128+IF($B$1+38&lt;=$B128,12*($B$7-$B$10),-12*MAX(0,($B$6+$B$10)-IF($B$1+38&gt;=$B$23,$B$22,0))*(1+$B$4)^38)&gt;0,1+$B$3,1))</f>
        <v/>
      </c>
      <c r="AP128">
        <f>IF($B$1+39&gt;90,AO128,(AO128+IF($B$1+39&lt;=$B128,12*($B$7-$B$10),-12*MAX(0,($B$6+$B$10)-IF($B$1+39&gt;=$B$23,$B$22,0))*(1+$B$4)^39))*IF(AO128+IF($B$1+39&lt;=$B128,12*($B$7-$B$10),-12*MAX(0,($B$6+$B$10)-IF($B$1+39&gt;=$B$23,$B$22,0))*(1+$B$4)^39)&gt;0,1+$B$3,1))</f>
        <v/>
      </c>
      <c r="AQ128">
        <f>IF($B$1+40&gt;90,AP128,(AP128+IF($B$1+40&lt;=$B128,12*($B$7-$B$10),-12*MAX(0,($B$6+$B$10)-IF($B$1+40&gt;=$B$23,$B$22,0))*(1+$B$4)^40))*IF(AP128+IF($B$1+40&lt;=$B128,12*($B$7-$B$10),-12*MAX(0,($B$6+$B$10)-IF($B$1+40&gt;=$B$23,$B$22,0))*(1+$B$4)^40)&gt;0,1+$B$3,1))</f>
        <v/>
      </c>
      <c r="AR128">
        <f>IF($B$1+41&gt;90,AQ128,(AQ128+IF($B$1+41&lt;=$B128,12*($B$7-$B$10),-12*MAX(0,($B$6+$B$10)-IF($B$1+41&gt;=$B$23,$B$22,0))*(1+$B$4)^41))*IF(AQ128+IF($B$1+41&lt;=$B128,12*($B$7-$B$10),-12*MAX(0,($B$6+$B$10)-IF($B$1+41&gt;=$B$23,$B$22,0))*(1+$B$4)^41)&gt;0,1+$B$3,1))</f>
        <v/>
      </c>
      <c r="AS128">
        <f>IF($B$1+42&gt;90,AR128,(AR128+IF($B$1+42&lt;=$B128,12*($B$7-$B$10),-12*MAX(0,($B$6+$B$10)-IF($B$1+42&gt;=$B$23,$B$22,0))*(1+$B$4)^42))*IF(AR128+IF($B$1+42&lt;=$B128,12*($B$7-$B$10),-12*MAX(0,($B$6+$B$10)-IF($B$1+42&gt;=$B$23,$B$22,0))*(1+$B$4)^42)&gt;0,1+$B$3,1))</f>
        <v/>
      </c>
      <c r="AT128">
        <f>IF($B$1+43&gt;90,AS128,(AS128+IF($B$1+43&lt;=$B128,12*($B$7-$B$10),-12*MAX(0,($B$6+$B$10)-IF($B$1+43&gt;=$B$23,$B$22,0))*(1+$B$4)^43))*IF(AS128+IF($B$1+43&lt;=$B128,12*($B$7-$B$10),-12*MAX(0,($B$6+$B$10)-IF($B$1+43&gt;=$B$23,$B$22,0))*(1+$B$4)^43)&gt;0,1+$B$3,1))</f>
        <v/>
      </c>
      <c r="AU128">
        <f>IF($B$1+44&gt;90,AT128,(AT128+IF($B$1+44&lt;=$B128,12*($B$7-$B$10),-12*MAX(0,($B$6+$B$10)-IF($B$1+44&gt;=$B$23,$B$22,0))*(1+$B$4)^44))*IF(AT128+IF($B$1+44&lt;=$B128,12*($B$7-$B$10),-12*MAX(0,($B$6+$B$10)-IF($B$1+44&gt;=$B$23,$B$22,0))*(1+$B$4)^44)&gt;0,1+$B$3,1))</f>
        <v/>
      </c>
      <c r="AV128">
        <f>IF($B$1+45&gt;90,AU128,(AU128+IF($B$1+45&lt;=$B128,12*($B$7-$B$10),-12*MAX(0,($B$6+$B$10)-IF($B$1+45&gt;=$B$23,$B$22,0))*(1+$B$4)^45))*IF(AU128+IF($B$1+45&lt;=$B128,12*($B$7-$B$10),-12*MAX(0,($B$6+$B$10)-IF($B$1+45&gt;=$B$23,$B$22,0))*(1+$B$4)^45)&gt;0,1+$B$3,1))</f>
        <v/>
      </c>
      <c r="AW128">
        <f>IF($B$1+46&gt;90,AV128,(AV128+IF($B$1+46&lt;=$B128,12*($B$7-$B$10),-12*MAX(0,($B$6+$B$10)-IF($B$1+46&gt;=$B$23,$B$22,0))*(1+$B$4)^46))*IF(AV128+IF($B$1+46&lt;=$B128,12*($B$7-$B$10),-12*MAX(0,($B$6+$B$10)-IF($B$1+46&gt;=$B$23,$B$22,0))*(1+$B$4)^46)&gt;0,1+$B$3,1))</f>
        <v/>
      </c>
      <c r="AX128">
        <f>IF($B$1+47&gt;90,AW128,(AW128+IF($B$1+47&lt;=$B128,12*($B$7-$B$10),-12*MAX(0,($B$6+$B$10)-IF($B$1+47&gt;=$B$23,$B$22,0))*(1+$B$4)^47))*IF(AW128+IF($B$1+47&lt;=$B128,12*($B$7-$B$10),-12*MAX(0,($B$6+$B$10)-IF($B$1+47&gt;=$B$23,$B$22,0))*(1+$B$4)^47)&gt;0,1+$B$3,1))</f>
        <v/>
      </c>
      <c r="AY128">
        <f>IF($B$1+48&gt;90,AX128,(AX128+IF($B$1+48&lt;=$B128,12*($B$7-$B$10),-12*MAX(0,($B$6+$B$10)-IF($B$1+48&gt;=$B$23,$B$22,0))*(1+$B$4)^48))*IF(AX128+IF($B$1+48&lt;=$B128,12*($B$7-$B$10),-12*MAX(0,($B$6+$B$10)-IF($B$1+48&gt;=$B$23,$B$22,0))*(1+$B$4)^48)&gt;0,1+$B$3,1))</f>
        <v/>
      </c>
      <c r="AZ128">
        <f>IF($B$1+49&gt;90,AY128,(AY128+IF($B$1+49&lt;=$B128,12*($B$7-$B$10),-12*MAX(0,($B$6+$B$10)-IF($B$1+49&gt;=$B$23,$B$22,0))*(1+$B$4)^49))*IF(AY128+IF($B$1+49&lt;=$B128,12*($B$7-$B$10),-12*MAX(0,($B$6+$B$10)-IF($B$1+49&gt;=$B$23,$B$22,0))*(1+$B$4)^49)&gt;0,1+$B$3,1))</f>
        <v/>
      </c>
      <c r="BA128">
        <f>IF($B$1+50&gt;90,AZ128,(AZ128+IF($B$1+50&lt;=$B128,12*($B$7-$B$10),-12*MAX(0,($B$6+$B$10)-IF($B$1+50&gt;=$B$23,$B$22,0))*(1+$B$4)^50))*IF(AZ128+IF($B$1+50&lt;=$B128,12*($B$7-$B$10),-12*MAX(0,($B$6+$B$10)-IF($B$1+50&gt;=$B$23,$B$22,0))*(1+$B$4)^50)&gt;0,1+$B$3,1))</f>
        <v/>
      </c>
      <c r="BB128">
        <f>IF($B$1+51&gt;90,BA128,(BA128+IF($B$1+51&lt;=$B128,12*($B$7-$B$10),-12*MAX(0,($B$6+$B$10)-IF($B$1+51&gt;=$B$23,$B$22,0))*(1+$B$4)^51))*IF(BA128+IF($B$1+51&lt;=$B128,12*($B$7-$B$10),-12*MAX(0,($B$6+$B$10)-IF($B$1+51&gt;=$B$23,$B$22,0))*(1+$B$4)^51)&gt;0,1+$B$3,1))</f>
        <v/>
      </c>
      <c r="BC128">
        <f>IF($B$1+52&gt;90,BB128,(BB128+IF($B$1+52&lt;=$B128,12*($B$7-$B$10),-12*MAX(0,($B$6+$B$10)-IF($B$1+52&gt;=$B$23,$B$22,0))*(1+$B$4)^52))*IF(BB128+IF($B$1+52&lt;=$B128,12*($B$7-$B$10),-12*MAX(0,($B$6+$B$10)-IF($B$1+52&gt;=$B$23,$B$22,0))*(1+$B$4)^52)&gt;0,1+$B$3,1))</f>
        <v/>
      </c>
      <c r="BD128">
        <f>IF($B$1+53&gt;90,BC128,(BC128+IF($B$1+53&lt;=$B128,12*($B$7-$B$10),-12*MAX(0,($B$6+$B$10)-IF($B$1+53&gt;=$B$23,$B$22,0))*(1+$B$4)^53))*IF(BC128+IF($B$1+53&lt;=$B128,12*($B$7-$B$10),-12*MAX(0,($B$6+$B$10)-IF($B$1+53&gt;=$B$23,$B$22,0))*(1+$B$4)^53)&gt;0,1+$B$3,1))</f>
        <v/>
      </c>
      <c r="BE128">
        <f>IF($B$1+54&gt;90,BD128,(BD128+IF($B$1+54&lt;=$B128,12*($B$7-$B$10),-12*MAX(0,($B$6+$B$10)-IF($B$1+54&gt;=$B$23,$B$22,0))*(1+$B$4)^54))*IF(BD128+IF($B$1+54&lt;=$B128,12*($B$7-$B$10),-12*MAX(0,($B$6+$B$10)-IF($B$1+54&gt;=$B$23,$B$22,0))*(1+$B$4)^54)&gt;0,1+$B$3,1))</f>
        <v/>
      </c>
      <c r="BF128">
        <f>IF($B$1+55&gt;90,BE128,(BE128+IF($B$1+55&lt;=$B128,12*($B$7-$B$10),-12*MAX(0,($B$6+$B$10)-IF($B$1+55&gt;=$B$23,$B$22,0))*(1+$B$4)^55))*IF(BE128+IF($B$1+55&lt;=$B128,12*($B$7-$B$10),-12*MAX(0,($B$6+$B$10)-IF($B$1+55&gt;=$B$23,$B$22,0))*(1+$B$4)^55)&gt;0,1+$B$3,1))</f>
        <v/>
      </c>
      <c r="BG128">
        <f>IF($B$1+56&gt;90,BF128,(BF128+IF($B$1+56&lt;=$B128,12*($B$7-$B$10),-12*MAX(0,($B$6+$B$10)-IF($B$1+56&gt;=$B$23,$B$22,0))*(1+$B$4)^56))*IF(BF128+IF($B$1+56&lt;=$B128,12*($B$7-$B$10),-12*MAX(0,($B$6+$B$10)-IF($B$1+56&gt;=$B$23,$B$22,0))*(1+$B$4)^56)&gt;0,1+$B$3,1))</f>
        <v/>
      </c>
      <c r="BH128">
        <f>IF($B$1+57&gt;90,BG128,(BG128+IF($B$1+57&lt;=$B128,12*($B$7-$B$10),-12*MAX(0,($B$6+$B$10)-IF($B$1+57&gt;=$B$23,$B$22,0))*(1+$B$4)^57))*IF(BG128+IF($B$1+57&lt;=$B128,12*($B$7-$B$10),-12*MAX(0,($B$6+$B$10)-IF($B$1+57&gt;=$B$23,$B$22,0))*(1+$B$4)^57)&gt;0,1+$B$3,1))</f>
        <v/>
      </c>
      <c r="BI128">
        <f>IF($B$1+58&gt;90,BH128,(BH128+IF($B$1+58&lt;=$B128,12*($B$7-$B$10),-12*MAX(0,($B$6+$B$10)-IF($B$1+58&gt;=$B$23,$B$22,0))*(1+$B$4)^58))*IF(BH128+IF($B$1+58&lt;=$B128,12*($B$7-$B$10),-12*MAX(0,($B$6+$B$10)-IF($B$1+58&gt;=$B$23,$B$22,0))*(1+$B$4)^58)&gt;0,1+$B$3,1))</f>
        <v/>
      </c>
      <c r="BJ128">
        <f>IF($B$1+59&gt;90,BI128,(BI128+IF($B$1+59&lt;=$B128,12*($B$7-$B$10),-12*MAX(0,($B$6+$B$10)-IF($B$1+59&gt;=$B$23,$B$22,0))*(1+$B$4)^59))*IF(BI128+IF($B$1+59&lt;=$B128,12*($B$7-$B$10),-12*MAX(0,($B$6+$B$10)-IF($B$1+59&gt;=$B$23,$B$22,0))*(1+$B$4)^59)&gt;0,1+$B$3,1))</f>
        <v/>
      </c>
      <c r="BK128">
        <f>IF($B$1+60&gt;90,BJ128,(BJ128+IF($B$1+60&lt;=$B128,12*($B$7-$B$10),-12*MAX(0,($B$6+$B$10)-IF($B$1+60&gt;=$B$23,$B$22,0))*(1+$B$4)^60))*IF(BJ128+IF($B$1+60&lt;=$B128,12*($B$7-$B$10),-12*MAX(0,($B$6+$B$10)-IF($B$1+60&gt;=$B$23,$B$22,0))*(1+$B$4)^60)&gt;0,1+$B$3,1))</f>
        <v/>
      </c>
      <c r="BL128">
        <f>IF($B$1+61&gt;90,BK128,(BK128+IF($B$1+61&lt;=$B128,12*($B$7-$B$10),-12*MAX(0,($B$6+$B$10)-IF($B$1+61&gt;=$B$23,$B$22,0))*(1+$B$4)^61))*IF(BK128+IF($B$1+61&lt;=$B128,12*($B$7-$B$10),-12*MAX(0,($B$6+$B$10)-IF($B$1+61&gt;=$B$23,$B$22,0))*(1+$B$4)^61)&gt;0,1+$B$3,1))</f>
        <v/>
      </c>
      <c r="BM128">
        <f>IF($B$1+62&gt;90,BL128,(BL128+IF($B$1+62&lt;=$B128,12*($B$7-$B$10),-12*MAX(0,($B$6+$B$10)-IF($B$1+62&gt;=$B$23,$B$22,0))*(1+$B$4)^62))*IF(BL128+IF($B$1+62&lt;=$B128,12*($B$7-$B$10),-12*MAX(0,($B$6+$B$10)-IF($B$1+62&gt;=$B$23,$B$22,0))*(1+$B$4)^62)&gt;0,1+$B$3,1))</f>
        <v/>
      </c>
      <c r="BN128">
        <f>IF($B$1+63&gt;90,BM128,(BM128+IF($B$1+63&lt;=$B128,12*($B$7-$B$10),-12*MAX(0,($B$6+$B$10)-IF($B$1+63&gt;=$B$23,$B$22,0))*(1+$B$4)^63))*IF(BM128+IF($B$1+63&lt;=$B128,12*($B$7-$B$10),-12*MAX(0,($B$6+$B$10)-IF($B$1+63&gt;=$B$23,$B$22,0))*(1+$B$4)^63)&gt;0,1+$B$3,1))</f>
        <v/>
      </c>
      <c r="BO128">
        <f>IF($B$1+64&gt;90,BN128,(BN128+IF($B$1+64&lt;=$B128,12*($B$7-$B$10),-12*MAX(0,($B$6+$B$10)-IF($B$1+64&gt;=$B$23,$B$22,0))*(1+$B$4)^64))*IF(BN128+IF($B$1+64&lt;=$B128,12*($B$7-$B$10),-12*MAX(0,($B$6+$B$10)-IF($B$1+64&gt;=$B$23,$B$22,0))*(1+$B$4)^64)&gt;0,1+$B$3,1))</f>
        <v/>
      </c>
      <c r="BP128">
        <f>IF($B$1+65&gt;90,BO128,(BO128+IF($B$1+65&lt;=$B128,12*($B$7-$B$10),-12*MAX(0,($B$6+$B$10)-IF($B$1+65&gt;=$B$23,$B$22,0))*(1+$B$4)^65))*IF(BO128+IF($B$1+65&lt;=$B128,12*($B$7-$B$10),-12*MAX(0,($B$6+$B$10)-IF($B$1+65&gt;=$B$23,$B$22,0))*(1+$B$4)^65)&gt;0,1+$B$3,1))</f>
        <v/>
      </c>
      <c r="BQ128">
        <f>IF($B$1+66&gt;90,BP128,(BP128+IF($B$1+66&lt;=$B128,12*($B$7-$B$10),-12*MAX(0,($B$6+$B$10)-IF($B$1+66&gt;=$B$23,$B$22,0))*(1+$B$4)^66))*IF(BP128+IF($B$1+66&lt;=$B128,12*($B$7-$B$10),-12*MAX(0,($B$6+$B$10)-IF($B$1+66&gt;=$B$23,$B$22,0))*(1+$B$4)^66)&gt;0,1+$B$3,1))</f>
        <v/>
      </c>
      <c r="BR128">
        <f>IF($B$1+67&gt;90,BQ128,(BQ128+IF($B$1+67&lt;=$B128,12*($B$7-$B$10),-12*MAX(0,($B$6+$B$10)-IF($B$1+67&gt;=$B$23,$B$22,0))*(1+$B$4)^67))*IF(BQ128+IF($B$1+67&lt;=$B128,12*($B$7-$B$10),-12*MAX(0,($B$6+$B$10)-IF($B$1+67&gt;=$B$23,$B$22,0))*(1+$B$4)^67)&gt;0,1+$B$3,1))</f>
        <v/>
      </c>
      <c r="BS128">
        <f>IF($B$1+68&gt;90,BR128,(BR128+IF($B$1+68&lt;=$B128,12*($B$7-$B$10),-12*MAX(0,($B$6+$B$10)-IF($B$1+68&gt;=$B$23,$B$22,0))*(1+$B$4)^68))*IF(BR128+IF($B$1+68&lt;=$B128,12*($B$7-$B$10),-12*MAX(0,($B$6+$B$10)-IF($B$1+68&gt;=$B$23,$B$22,0))*(1+$B$4)^68)&gt;0,1+$B$3,1))</f>
        <v/>
      </c>
      <c r="BT128">
        <f>IF($B$1+69&gt;90,BS128,(BS128+IF($B$1+69&lt;=$B128,12*($B$7-$B$10),-12*MAX(0,($B$6+$B$10)-IF($B$1+69&gt;=$B$23,$B$22,0))*(1+$B$4)^69))*IF(BS128+IF($B$1+69&lt;=$B128,12*($B$7-$B$10),-12*MAX(0,($B$6+$B$10)-IF($B$1+69&gt;=$B$23,$B$22,0))*(1+$B$4)^69)&gt;0,1+$B$3,1))</f>
        <v/>
      </c>
      <c r="BU128">
        <f>IF($B$1+70&gt;90,BT128,(BT128+IF($B$1+70&lt;=$B128,12*($B$7-$B$10),-12*MAX(0,($B$6+$B$10)-IF($B$1+70&gt;=$B$23,$B$22,0))*(1+$B$4)^70))*IF(BT128+IF($B$1+70&lt;=$B128,12*($B$7-$B$10),-12*MAX(0,($B$6+$B$10)-IF($B$1+70&gt;=$B$23,$B$22,0))*(1+$B$4)^70)&gt;0,1+$B$3,1))</f>
        <v/>
      </c>
      <c r="BV128">
        <f>BU128</f>
        <v/>
      </c>
      <c r="BW128">
        <f>IF(AND($B128&lt;=70,BV128&gt;0),$B128,999)</f>
        <v/>
      </c>
      <c r="CH128">
        <f>IF(ISTEXT('월 가계부'!A128),SUBSTITUTE(SUBSTITUTE(SUBSTITUTE(SUBSTITUTE(SUBSTITUTE(SUBSTITUTE(SUBSTITUTE(SUBSTITUTE(SUBSTITUTE(TRIM('월 가계부'!A128),"년","-"),"월","-"),"일",""),".","-"),"/","-")," ","-"),"--","-"),"--","-"),"--","-")&amp;"-","")</f>
        <v/>
      </c>
      <c r="CI128">
        <f>IFERROR(IF('월 가계부'!A128="","",IF(ISNUMBER('월 가계부'!A128),IF(AND('월 가계부'!A128&gt;=19000101,'월 가계부'!A128&lt;=21001231),IF(AND(MOD(INT('월 가계부'!A128/100),100)&gt;=1,MOD(INT('월 가계부'!A128/100),100)&lt;=12,MOD(INT('월 가계부'!A128),100)&gt;=1,MOD(INT('월 가계부'!A128),100)&lt;=31),IF(MONTH(DATE(INT('월 가계부'!A128/10000),MOD(INT('월 가계부'!A128/100),100),MOD(INT('월 가계부'!A128),100)))=MOD(INT('월 가계부'!A128/100),100),DATE(INT('월 가계부'!A128/10000),MOD(INT('월 가계부'!A128/100),100),MOD(INT('월 가계부'!A128),100)),""),""),IF(AND('월 가계부'!A128&gt;=36526,'월 가계부'!A128&lt;73051),INT('월 가계부'!A128),"")),IF(OR(CM128="",CN128="",CO128=""),"",IF(AND(CM128&gt;=2000,CM128&lt;=2099,CN128&gt;=1,CN128&lt;=12,CO128&gt;=1,CO128&lt;=31),IF(MONTH(DATE(CM128,CN128,CO128))=CN128,DATE(CM128,CN128,CO128),""),"")))),"")</f>
        <v/>
      </c>
      <c r="CJ128">
        <f>IFERROR(IF('월 가계부'!C128="","",IF(ISNUMBER('월 가계부'!C128),'월 가계부'!C128,VALUE(SUBSTITUTE(SUBSTITUTE(SUBSTITUTE(SUBSTITUTE(TRIM('월 가계부'!C128),",",""),"원","")," ",""),"−","-")))),"")</f>
        <v/>
      </c>
      <c r="CK128">
        <f>IF(ISNUMBER(CI128),IF(CI128&lt;$B$13,CI128,""),"")</f>
        <v/>
      </c>
      <c r="CM128">
        <f>IF(CH128="","",IFERROR(IF(IF(AND(LEN(CH128)=9,ISERROR(FIND("-",LEFT(CH128,8))),ISNUMBER(-LEFT(CH128,8))),VALUE(LEFT(CH128,4)),VALUE(LEFT(CH128,FIND("-",CH128)-1)))&lt;100,IF(AND(LEN(CH128)=9,ISERROR(FIND("-",LEFT(CH128,8))),ISNUMBER(-LEFT(CH128,8))),VALUE(LEFT(CH128,4)),VALUE(LEFT(CH128,FIND("-",CH128)-1)))+2000,IF(AND(LEN(CH128)=9,ISERROR(FIND("-",LEFT(CH128,8))),ISNUMBER(-LEFT(CH128,8))),VALUE(LEFT(CH128,4)),VALUE(LEFT(CH128,FIND("-",CH128)-1)))),""))</f>
        <v/>
      </c>
      <c r="CN128">
        <f>IF(CH128="","",IFERROR(IF(AND(LEN(CH128)=9,ISERROR(FIND("-",LEFT(CH128,8))),ISNUMBER(-LEFT(CH128,8))),VALUE(MID(CH128,5,2)),VALUE(MID(CH128,FIND("-",CH128)+1,FIND("-",CH128,FIND("-",CH128)+1)-FIND("-",CH128)-1))),""))</f>
        <v/>
      </c>
      <c r="CO128">
        <f>IF(CH128="","",IFERROR(IF(AND(LEN(CH128)=9,ISERROR(FIND("-",LEFT(CH128,8))),ISNUMBER(-LEFT(CH128,8))),VALUE(MID(CH128,7,2)),VALUE(MID(CH128,FIND("-",CH128,FIND("-",CH128)+1)+1,FIND("-",CH128,FIND("-",CH128,FIND("-",CH128)+1)+1)-FIND("-",CH128,FIND("-",CH128)+1)-1))),""))</f>
        <v/>
      </c>
    </row>
    <row r="129">
      <c r="A129" t="n">
        <v>33</v>
      </c>
      <c r="B129">
        <f>$B$1+33</f>
        <v/>
      </c>
      <c r="C129">
        <f>$B$2</f>
        <v/>
      </c>
      <c r="D129">
        <f>IF($B$1+1&gt;90,C129,(C129+IF($B$1+1&lt;=$B129,12*($B$7-$B$10),-12*MAX(0,($B$6+$B$10)-IF($B$1+1&gt;=$B$23,$B$22,0))*(1+$B$4)^1))*IF(C129+IF($B$1+1&lt;=$B129,12*($B$7-$B$10),-12*MAX(0,($B$6+$B$10)-IF($B$1+1&gt;=$B$23,$B$22,0))*(1+$B$4)^1)&gt;0,1+$B$3,1))</f>
        <v/>
      </c>
      <c r="E129">
        <f>IF($B$1+2&gt;90,D129,(D129+IF($B$1+2&lt;=$B129,12*($B$7-$B$10),-12*MAX(0,($B$6+$B$10)-IF($B$1+2&gt;=$B$23,$B$22,0))*(1+$B$4)^2))*IF(D129+IF($B$1+2&lt;=$B129,12*($B$7-$B$10),-12*MAX(0,($B$6+$B$10)-IF($B$1+2&gt;=$B$23,$B$22,0))*(1+$B$4)^2)&gt;0,1+$B$3,1))</f>
        <v/>
      </c>
      <c r="F129">
        <f>IF($B$1+3&gt;90,E129,(E129+IF($B$1+3&lt;=$B129,12*($B$7-$B$10),-12*MAX(0,($B$6+$B$10)-IF($B$1+3&gt;=$B$23,$B$22,0))*(1+$B$4)^3))*IF(E129+IF($B$1+3&lt;=$B129,12*($B$7-$B$10),-12*MAX(0,($B$6+$B$10)-IF($B$1+3&gt;=$B$23,$B$22,0))*(1+$B$4)^3)&gt;0,1+$B$3,1))</f>
        <v/>
      </c>
      <c r="G129">
        <f>IF($B$1+4&gt;90,F129,(F129+IF($B$1+4&lt;=$B129,12*($B$7-$B$10),-12*MAX(0,($B$6+$B$10)-IF($B$1+4&gt;=$B$23,$B$22,0))*(1+$B$4)^4))*IF(F129+IF($B$1+4&lt;=$B129,12*($B$7-$B$10),-12*MAX(0,($B$6+$B$10)-IF($B$1+4&gt;=$B$23,$B$22,0))*(1+$B$4)^4)&gt;0,1+$B$3,1))</f>
        <v/>
      </c>
      <c r="H129">
        <f>IF($B$1+5&gt;90,G129,(G129+IF($B$1+5&lt;=$B129,12*($B$7-$B$10),-12*MAX(0,($B$6+$B$10)-IF($B$1+5&gt;=$B$23,$B$22,0))*(1+$B$4)^5))*IF(G129+IF($B$1+5&lt;=$B129,12*($B$7-$B$10),-12*MAX(0,($B$6+$B$10)-IF($B$1+5&gt;=$B$23,$B$22,0))*(1+$B$4)^5)&gt;0,1+$B$3,1))</f>
        <v/>
      </c>
      <c r="I129">
        <f>IF($B$1+6&gt;90,H129,(H129+IF($B$1+6&lt;=$B129,12*($B$7-$B$10),-12*MAX(0,($B$6+$B$10)-IF($B$1+6&gt;=$B$23,$B$22,0))*(1+$B$4)^6))*IF(H129+IF($B$1+6&lt;=$B129,12*($B$7-$B$10),-12*MAX(0,($B$6+$B$10)-IF($B$1+6&gt;=$B$23,$B$22,0))*(1+$B$4)^6)&gt;0,1+$B$3,1))</f>
        <v/>
      </c>
      <c r="J129">
        <f>IF($B$1+7&gt;90,I129,(I129+IF($B$1+7&lt;=$B129,12*($B$7-$B$10),-12*MAX(0,($B$6+$B$10)-IF($B$1+7&gt;=$B$23,$B$22,0))*(1+$B$4)^7))*IF(I129+IF($B$1+7&lt;=$B129,12*($B$7-$B$10),-12*MAX(0,($B$6+$B$10)-IF($B$1+7&gt;=$B$23,$B$22,0))*(1+$B$4)^7)&gt;0,1+$B$3,1))</f>
        <v/>
      </c>
      <c r="K129">
        <f>IF($B$1+8&gt;90,J129,(J129+IF($B$1+8&lt;=$B129,12*($B$7-$B$10),-12*MAX(0,($B$6+$B$10)-IF($B$1+8&gt;=$B$23,$B$22,0))*(1+$B$4)^8))*IF(J129+IF($B$1+8&lt;=$B129,12*($B$7-$B$10),-12*MAX(0,($B$6+$B$10)-IF($B$1+8&gt;=$B$23,$B$22,0))*(1+$B$4)^8)&gt;0,1+$B$3,1))</f>
        <v/>
      </c>
      <c r="L129">
        <f>IF($B$1+9&gt;90,K129,(K129+IF($B$1+9&lt;=$B129,12*($B$7-$B$10),-12*MAX(0,($B$6+$B$10)-IF($B$1+9&gt;=$B$23,$B$22,0))*(1+$B$4)^9))*IF(K129+IF($B$1+9&lt;=$B129,12*($B$7-$B$10),-12*MAX(0,($B$6+$B$10)-IF($B$1+9&gt;=$B$23,$B$22,0))*(1+$B$4)^9)&gt;0,1+$B$3,1))</f>
        <v/>
      </c>
      <c r="M129">
        <f>IF($B$1+10&gt;90,L129,(L129+IF($B$1+10&lt;=$B129,12*($B$7-$B$10),-12*MAX(0,($B$6+$B$10)-IF($B$1+10&gt;=$B$23,$B$22,0))*(1+$B$4)^10))*IF(L129+IF($B$1+10&lt;=$B129,12*($B$7-$B$10),-12*MAX(0,($B$6+$B$10)-IF($B$1+10&gt;=$B$23,$B$22,0))*(1+$B$4)^10)&gt;0,1+$B$3,1))</f>
        <v/>
      </c>
      <c r="N129">
        <f>IF($B$1+11&gt;90,M129,(M129+IF($B$1+11&lt;=$B129,12*($B$7-$B$10),-12*MAX(0,($B$6+$B$10)-IF($B$1+11&gt;=$B$23,$B$22,0))*(1+$B$4)^11))*IF(M129+IF($B$1+11&lt;=$B129,12*($B$7-$B$10),-12*MAX(0,($B$6+$B$10)-IF($B$1+11&gt;=$B$23,$B$22,0))*(1+$B$4)^11)&gt;0,1+$B$3,1))</f>
        <v/>
      </c>
      <c r="O129">
        <f>IF($B$1+12&gt;90,N129,(N129+IF($B$1+12&lt;=$B129,12*($B$7-$B$10),-12*MAX(0,($B$6+$B$10)-IF($B$1+12&gt;=$B$23,$B$22,0))*(1+$B$4)^12))*IF(N129+IF($B$1+12&lt;=$B129,12*($B$7-$B$10),-12*MAX(0,($B$6+$B$10)-IF($B$1+12&gt;=$B$23,$B$22,0))*(1+$B$4)^12)&gt;0,1+$B$3,1))</f>
        <v/>
      </c>
      <c r="P129">
        <f>IF($B$1+13&gt;90,O129,(O129+IF($B$1+13&lt;=$B129,12*($B$7-$B$10),-12*MAX(0,($B$6+$B$10)-IF($B$1+13&gt;=$B$23,$B$22,0))*(1+$B$4)^13))*IF(O129+IF($B$1+13&lt;=$B129,12*($B$7-$B$10),-12*MAX(0,($B$6+$B$10)-IF($B$1+13&gt;=$B$23,$B$22,0))*(1+$B$4)^13)&gt;0,1+$B$3,1))</f>
        <v/>
      </c>
      <c r="Q129">
        <f>IF($B$1+14&gt;90,P129,(P129+IF($B$1+14&lt;=$B129,12*($B$7-$B$10),-12*MAX(0,($B$6+$B$10)-IF($B$1+14&gt;=$B$23,$B$22,0))*(1+$B$4)^14))*IF(P129+IF($B$1+14&lt;=$B129,12*($B$7-$B$10),-12*MAX(0,($B$6+$B$10)-IF($B$1+14&gt;=$B$23,$B$22,0))*(1+$B$4)^14)&gt;0,1+$B$3,1))</f>
        <v/>
      </c>
      <c r="R129">
        <f>IF($B$1+15&gt;90,Q129,(Q129+IF($B$1+15&lt;=$B129,12*($B$7-$B$10),-12*MAX(0,($B$6+$B$10)-IF($B$1+15&gt;=$B$23,$B$22,0))*(1+$B$4)^15))*IF(Q129+IF($B$1+15&lt;=$B129,12*($B$7-$B$10),-12*MAX(0,($B$6+$B$10)-IF($B$1+15&gt;=$B$23,$B$22,0))*(1+$B$4)^15)&gt;0,1+$B$3,1))</f>
        <v/>
      </c>
      <c r="S129">
        <f>IF($B$1+16&gt;90,R129,(R129+IF($B$1+16&lt;=$B129,12*($B$7-$B$10),-12*MAX(0,($B$6+$B$10)-IF($B$1+16&gt;=$B$23,$B$22,0))*(1+$B$4)^16))*IF(R129+IF($B$1+16&lt;=$B129,12*($B$7-$B$10),-12*MAX(0,($B$6+$B$10)-IF($B$1+16&gt;=$B$23,$B$22,0))*(1+$B$4)^16)&gt;0,1+$B$3,1))</f>
        <v/>
      </c>
      <c r="T129">
        <f>IF($B$1+17&gt;90,S129,(S129+IF($B$1+17&lt;=$B129,12*($B$7-$B$10),-12*MAX(0,($B$6+$B$10)-IF($B$1+17&gt;=$B$23,$B$22,0))*(1+$B$4)^17))*IF(S129+IF($B$1+17&lt;=$B129,12*($B$7-$B$10),-12*MAX(0,($B$6+$B$10)-IF($B$1+17&gt;=$B$23,$B$22,0))*(1+$B$4)^17)&gt;0,1+$B$3,1))</f>
        <v/>
      </c>
      <c r="U129">
        <f>IF($B$1+18&gt;90,T129,(T129+IF($B$1+18&lt;=$B129,12*($B$7-$B$10),-12*MAX(0,($B$6+$B$10)-IF($B$1+18&gt;=$B$23,$B$22,0))*(1+$B$4)^18))*IF(T129+IF($B$1+18&lt;=$B129,12*($B$7-$B$10),-12*MAX(0,($B$6+$B$10)-IF($B$1+18&gt;=$B$23,$B$22,0))*(1+$B$4)^18)&gt;0,1+$B$3,1))</f>
        <v/>
      </c>
      <c r="V129">
        <f>IF($B$1+19&gt;90,U129,(U129+IF($B$1+19&lt;=$B129,12*($B$7-$B$10),-12*MAX(0,($B$6+$B$10)-IF($B$1+19&gt;=$B$23,$B$22,0))*(1+$B$4)^19))*IF(U129+IF($B$1+19&lt;=$B129,12*($B$7-$B$10),-12*MAX(0,($B$6+$B$10)-IF($B$1+19&gt;=$B$23,$B$22,0))*(1+$B$4)^19)&gt;0,1+$B$3,1))</f>
        <v/>
      </c>
      <c r="W129">
        <f>IF($B$1+20&gt;90,V129,(V129+IF($B$1+20&lt;=$B129,12*($B$7-$B$10),-12*MAX(0,($B$6+$B$10)-IF($B$1+20&gt;=$B$23,$B$22,0))*(1+$B$4)^20))*IF(V129+IF($B$1+20&lt;=$B129,12*($B$7-$B$10),-12*MAX(0,($B$6+$B$10)-IF($B$1+20&gt;=$B$23,$B$22,0))*(1+$B$4)^20)&gt;0,1+$B$3,1))</f>
        <v/>
      </c>
      <c r="X129">
        <f>IF($B$1+21&gt;90,W129,(W129+IF($B$1+21&lt;=$B129,12*($B$7-$B$10),-12*MAX(0,($B$6+$B$10)-IF($B$1+21&gt;=$B$23,$B$22,0))*(1+$B$4)^21))*IF(W129+IF($B$1+21&lt;=$B129,12*($B$7-$B$10),-12*MAX(0,($B$6+$B$10)-IF($B$1+21&gt;=$B$23,$B$22,0))*(1+$B$4)^21)&gt;0,1+$B$3,1))</f>
        <v/>
      </c>
      <c r="Y129">
        <f>IF($B$1+22&gt;90,X129,(X129+IF($B$1+22&lt;=$B129,12*($B$7-$B$10),-12*MAX(0,($B$6+$B$10)-IF($B$1+22&gt;=$B$23,$B$22,0))*(1+$B$4)^22))*IF(X129+IF($B$1+22&lt;=$B129,12*($B$7-$B$10),-12*MAX(0,($B$6+$B$10)-IF($B$1+22&gt;=$B$23,$B$22,0))*(1+$B$4)^22)&gt;0,1+$B$3,1))</f>
        <v/>
      </c>
      <c r="Z129">
        <f>IF($B$1+23&gt;90,Y129,(Y129+IF($B$1+23&lt;=$B129,12*($B$7-$B$10),-12*MAX(0,($B$6+$B$10)-IF($B$1+23&gt;=$B$23,$B$22,0))*(1+$B$4)^23))*IF(Y129+IF($B$1+23&lt;=$B129,12*($B$7-$B$10),-12*MAX(0,($B$6+$B$10)-IF($B$1+23&gt;=$B$23,$B$22,0))*(1+$B$4)^23)&gt;0,1+$B$3,1))</f>
        <v/>
      </c>
      <c r="AA129">
        <f>IF($B$1+24&gt;90,Z129,(Z129+IF($B$1+24&lt;=$B129,12*($B$7-$B$10),-12*MAX(0,($B$6+$B$10)-IF($B$1+24&gt;=$B$23,$B$22,0))*(1+$B$4)^24))*IF(Z129+IF($B$1+24&lt;=$B129,12*($B$7-$B$10),-12*MAX(0,($B$6+$B$10)-IF($B$1+24&gt;=$B$23,$B$22,0))*(1+$B$4)^24)&gt;0,1+$B$3,1))</f>
        <v/>
      </c>
      <c r="AB129">
        <f>IF($B$1+25&gt;90,AA129,(AA129+IF($B$1+25&lt;=$B129,12*($B$7-$B$10),-12*MAX(0,($B$6+$B$10)-IF($B$1+25&gt;=$B$23,$B$22,0))*(1+$B$4)^25))*IF(AA129+IF($B$1+25&lt;=$B129,12*($B$7-$B$10),-12*MAX(0,($B$6+$B$10)-IF($B$1+25&gt;=$B$23,$B$22,0))*(1+$B$4)^25)&gt;0,1+$B$3,1))</f>
        <v/>
      </c>
      <c r="AC129">
        <f>IF($B$1+26&gt;90,AB129,(AB129+IF($B$1+26&lt;=$B129,12*($B$7-$B$10),-12*MAX(0,($B$6+$B$10)-IF($B$1+26&gt;=$B$23,$B$22,0))*(1+$B$4)^26))*IF(AB129+IF($B$1+26&lt;=$B129,12*($B$7-$B$10),-12*MAX(0,($B$6+$B$10)-IF($B$1+26&gt;=$B$23,$B$22,0))*(1+$B$4)^26)&gt;0,1+$B$3,1))</f>
        <v/>
      </c>
      <c r="AD129">
        <f>IF($B$1+27&gt;90,AC129,(AC129+IF($B$1+27&lt;=$B129,12*($B$7-$B$10),-12*MAX(0,($B$6+$B$10)-IF($B$1+27&gt;=$B$23,$B$22,0))*(1+$B$4)^27))*IF(AC129+IF($B$1+27&lt;=$B129,12*($B$7-$B$10),-12*MAX(0,($B$6+$B$10)-IF($B$1+27&gt;=$B$23,$B$22,0))*(1+$B$4)^27)&gt;0,1+$B$3,1))</f>
        <v/>
      </c>
      <c r="AE129">
        <f>IF($B$1+28&gt;90,AD129,(AD129+IF($B$1+28&lt;=$B129,12*($B$7-$B$10),-12*MAX(0,($B$6+$B$10)-IF($B$1+28&gt;=$B$23,$B$22,0))*(1+$B$4)^28))*IF(AD129+IF($B$1+28&lt;=$B129,12*($B$7-$B$10),-12*MAX(0,($B$6+$B$10)-IF($B$1+28&gt;=$B$23,$B$22,0))*(1+$B$4)^28)&gt;0,1+$B$3,1))</f>
        <v/>
      </c>
      <c r="AF129">
        <f>IF($B$1+29&gt;90,AE129,(AE129+IF($B$1+29&lt;=$B129,12*($B$7-$B$10),-12*MAX(0,($B$6+$B$10)-IF($B$1+29&gt;=$B$23,$B$22,0))*(1+$B$4)^29))*IF(AE129+IF($B$1+29&lt;=$B129,12*($B$7-$B$10),-12*MAX(0,($B$6+$B$10)-IF($B$1+29&gt;=$B$23,$B$22,0))*(1+$B$4)^29)&gt;0,1+$B$3,1))</f>
        <v/>
      </c>
      <c r="AG129">
        <f>IF($B$1+30&gt;90,AF129,(AF129+IF($B$1+30&lt;=$B129,12*($B$7-$B$10),-12*MAX(0,($B$6+$B$10)-IF($B$1+30&gt;=$B$23,$B$22,0))*(1+$B$4)^30))*IF(AF129+IF($B$1+30&lt;=$B129,12*($B$7-$B$10),-12*MAX(0,($B$6+$B$10)-IF($B$1+30&gt;=$B$23,$B$22,0))*(1+$B$4)^30)&gt;0,1+$B$3,1))</f>
        <v/>
      </c>
      <c r="AH129">
        <f>IF($B$1+31&gt;90,AG129,(AG129+IF($B$1+31&lt;=$B129,12*($B$7-$B$10),-12*MAX(0,($B$6+$B$10)-IF($B$1+31&gt;=$B$23,$B$22,0))*(1+$B$4)^31))*IF(AG129+IF($B$1+31&lt;=$B129,12*($B$7-$B$10),-12*MAX(0,($B$6+$B$10)-IF($B$1+31&gt;=$B$23,$B$22,0))*(1+$B$4)^31)&gt;0,1+$B$3,1))</f>
        <v/>
      </c>
      <c r="AI129">
        <f>IF($B$1+32&gt;90,AH129,(AH129+IF($B$1+32&lt;=$B129,12*($B$7-$B$10),-12*MAX(0,($B$6+$B$10)-IF($B$1+32&gt;=$B$23,$B$22,0))*(1+$B$4)^32))*IF(AH129+IF($B$1+32&lt;=$B129,12*($B$7-$B$10),-12*MAX(0,($B$6+$B$10)-IF($B$1+32&gt;=$B$23,$B$22,0))*(1+$B$4)^32)&gt;0,1+$B$3,1))</f>
        <v/>
      </c>
      <c r="AJ129">
        <f>IF($B$1+33&gt;90,AI129,(AI129+IF($B$1+33&lt;=$B129,12*($B$7-$B$10),-12*MAX(0,($B$6+$B$10)-IF($B$1+33&gt;=$B$23,$B$22,0))*(1+$B$4)^33))*IF(AI129+IF($B$1+33&lt;=$B129,12*($B$7-$B$10),-12*MAX(0,($B$6+$B$10)-IF($B$1+33&gt;=$B$23,$B$22,0))*(1+$B$4)^33)&gt;0,1+$B$3,1))</f>
        <v/>
      </c>
      <c r="AK129">
        <f>IF($B$1+34&gt;90,AJ129,(AJ129+IF($B$1+34&lt;=$B129,12*($B$7-$B$10),-12*MAX(0,($B$6+$B$10)-IF($B$1+34&gt;=$B$23,$B$22,0))*(1+$B$4)^34))*IF(AJ129+IF($B$1+34&lt;=$B129,12*($B$7-$B$10),-12*MAX(0,($B$6+$B$10)-IF($B$1+34&gt;=$B$23,$B$22,0))*(1+$B$4)^34)&gt;0,1+$B$3,1))</f>
        <v/>
      </c>
      <c r="AL129">
        <f>IF($B$1+35&gt;90,AK129,(AK129+IF($B$1+35&lt;=$B129,12*($B$7-$B$10),-12*MAX(0,($B$6+$B$10)-IF($B$1+35&gt;=$B$23,$B$22,0))*(1+$B$4)^35))*IF(AK129+IF($B$1+35&lt;=$B129,12*($B$7-$B$10),-12*MAX(0,($B$6+$B$10)-IF($B$1+35&gt;=$B$23,$B$22,0))*(1+$B$4)^35)&gt;0,1+$B$3,1))</f>
        <v/>
      </c>
      <c r="AM129">
        <f>IF($B$1+36&gt;90,AL129,(AL129+IF($B$1+36&lt;=$B129,12*($B$7-$B$10),-12*MAX(0,($B$6+$B$10)-IF($B$1+36&gt;=$B$23,$B$22,0))*(1+$B$4)^36))*IF(AL129+IF($B$1+36&lt;=$B129,12*($B$7-$B$10),-12*MAX(0,($B$6+$B$10)-IF($B$1+36&gt;=$B$23,$B$22,0))*(1+$B$4)^36)&gt;0,1+$B$3,1))</f>
        <v/>
      </c>
      <c r="AN129">
        <f>IF($B$1+37&gt;90,AM129,(AM129+IF($B$1+37&lt;=$B129,12*($B$7-$B$10),-12*MAX(0,($B$6+$B$10)-IF($B$1+37&gt;=$B$23,$B$22,0))*(1+$B$4)^37))*IF(AM129+IF($B$1+37&lt;=$B129,12*($B$7-$B$10),-12*MAX(0,($B$6+$B$10)-IF($B$1+37&gt;=$B$23,$B$22,0))*(1+$B$4)^37)&gt;0,1+$B$3,1))</f>
        <v/>
      </c>
      <c r="AO129">
        <f>IF($B$1+38&gt;90,AN129,(AN129+IF($B$1+38&lt;=$B129,12*($B$7-$B$10),-12*MAX(0,($B$6+$B$10)-IF($B$1+38&gt;=$B$23,$B$22,0))*(1+$B$4)^38))*IF(AN129+IF($B$1+38&lt;=$B129,12*($B$7-$B$10),-12*MAX(0,($B$6+$B$10)-IF($B$1+38&gt;=$B$23,$B$22,0))*(1+$B$4)^38)&gt;0,1+$B$3,1))</f>
        <v/>
      </c>
      <c r="AP129">
        <f>IF($B$1+39&gt;90,AO129,(AO129+IF($B$1+39&lt;=$B129,12*($B$7-$B$10),-12*MAX(0,($B$6+$B$10)-IF($B$1+39&gt;=$B$23,$B$22,0))*(1+$B$4)^39))*IF(AO129+IF($B$1+39&lt;=$B129,12*($B$7-$B$10),-12*MAX(0,($B$6+$B$10)-IF($B$1+39&gt;=$B$23,$B$22,0))*(1+$B$4)^39)&gt;0,1+$B$3,1))</f>
        <v/>
      </c>
      <c r="AQ129">
        <f>IF($B$1+40&gt;90,AP129,(AP129+IF($B$1+40&lt;=$B129,12*($B$7-$B$10),-12*MAX(0,($B$6+$B$10)-IF($B$1+40&gt;=$B$23,$B$22,0))*(1+$B$4)^40))*IF(AP129+IF($B$1+40&lt;=$B129,12*($B$7-$B$10),-12*MAX(0,($B$6+$B$10)-IF($B$1+40&gt;=$B$23,$B$22,0))*(1+$B$4)^40)&gt;0,1+$B$3,1))</f>
        <v/>
      </c>
      <c r="AR129">
        <f>IF($B$1+41&gt;90,AQ129,(AQ129+IF($B$1+41&lt;=$B129,12*($B$7-$B$10),-12*MAX(0,($B$6+$B$10)-IF($B$1+41&gt;=$B$23,$B$22,0))*(1+$B$4)^41))*IF(AQ129+IF($B$1+41&lt;=$B129,12*($B$7-$B$10),-12*MAX(0,($B$6+$B$10)-IF($B$1+41&gt;=$B$23,$B$22,0))*(1+$B$4)^41)&gt;0,1+$B$3,1))</f>
        <v/>
      </c>
      <c r="AS129">
        <f>IF($B$1+42&gt;90,AR129,(AR129+IF($B$1+42&lt;=$B129,12*($B$7-$B$10),-12*MAX(0,($B$6+$B$10)-IF($B$1+42&gt;=$B$23,$B$22,0))*(1+$B$4)^42))*IF(AR129+IF($B$1+42&lt;=$B129,12*($B$7-$B$10),-12*MAX(0,($B$6+$B$10)-IF($B$1+42&gt;=$B$23,$B$22,0))*(1+$B$4)^42)&gt;0,1+$B$3,1))</f>
        <v/>
      </c>
      <c r="AT129">
        <f>IF($B$1+43&gt;90,AS129,(AS129+IF($B$1+43&lt;=$B129,12*($B$7-$B$10),-12*MAX(0,($B$6+$B$10)-IF($B$1+43&gt;=$B$23,$B$22,0))*(1+$B$4)^43))*IF(AS129+IF($B$1+43&lt;=$B129,12*($B$7-$B$10),-12*MAX(0,($B$6+$B$10)-IF($B$1+43&gt;=$B$23,$B$22,0))*(1+$B$4)^43)&gt;0,1+$B$3,1))</f>
        <v/>
      </c>
      <c r="AU129">
        <f>IF($B$1+44&gt;90,AT129,(AT129+IF($B$1+44&lt;=$B129,12*($B$7-$B$10),-12*MAX(0,($B$6+$B$10)-IF($B$1+44&gt;=$B$23,$B$22,0))*(1+$B$4)^44))*IF(AT129+IF($B$1+44&lt;=$B129,12*($B$7-$B$10),-12*MAX(0,($B$6+$B$10)-IF($B$1+44&gt;=$B$23,$B$22,0))*(1+$B$4)^44)&gt;0,1+$B$3,1))</f>
        <v/>
      </c>
      <c r="AV129">
        <f>IF($B$1+45&gt;90,AU129,(AU129+IF($B$1+45&lt;=$B129,12*($B$7-$B$10),-12*MAX(0,($B$6+$B$10)-IF($B$1+45&gt;=$B$23,$B$22,0))*(1+$B$4)^45))*IF(AU129+IF($B$1+45&lt;=$B129,12*($B$7-$B$10),-12*MAX(0,($B$6+$B$10)-IF($B$1+45&gt;=$B$23,$B$22,0))*(1+$B$4)^45)&gt;0,1+$B$3,1))</f>
        <v/>
      </c>
      <c r="AW129">
        <f>IF($B$1+46&gt;90,AV129,(AV129+IF($B$1+46&lt;=$B129,12*($B$7-$B$10),-12*MAX(0,($B$6+$B$10)-IF($B$1+46&gt;=$B$23,$B$22,0))*(1+$B$4)^46))*IF(AV129+IF($B$1+46&lt;=$B129,12*($B$7-$B$10),-12*MAX(0,($B$6+$B$10)-IF($B$1+46&gt;=$B$23,$B$22,0))*(1+$B$4)^46)&gt;0,1+$B$3,1))</f>
        <v/>
      </c>
      <c r="AX129">
        <f>IF($B$1+47&gt;90,AW129,(AW129+IF($B$1+47&lt;=$B129,12*($B$7-$B$10),-12*MAX(0,($B$6+$B$10)-IF($B$1+47&gt;=$B$23,$B$22,0))*(1+$B$4)^47))*IF(AW129+IF($B$1+47&lt;=$B129,12*($B$7-$B$10),-12*MAX(0,($B$6+$B$10)-IF($B$1+47&gt;=$B$23,$B$22,0))*(1+$B$4)^47)&gt;0,1+$B$3,1))</f>
        <v/>
      </c>
      <c r="AY129">
        <f>IF($B$1+48&gt;90,AX129,(AX129+IF($B$1+48&lt;=$B129,12*($B$7-$B$10),-12*MAX(0,($B$6+$B$10)-IF($B$1+48&gt;=$B$23,$B$22,0))*(1+$B$4)^48))*IF(AX129+IF($B$1+48&lt;=$B129,12*($B$7-$B$10),-12*MAX(0,($B$6+$B$10)-IF($B$1+48&gt;=$B$23,$B$22,0))*(1+$B$4)^48)&gt;0,1+$B$3,1))</f>
        <v/>
      </c>
      <c r="AZ129">
        <f>IF($B$1+49&gt;90,AY129,(AY129+IF($B$1+49&lt;=$B129,12*($B$7-$B$10),-12*MAX(0,($B$6+$B$10)-IF($B$1+49&gt;=$B$23,$B$22,0))*(1+$B$4)^49))*IF(AY129+IF($B$1+49&lt;=$B129,12*($B$7-$B$10),-12*MAX(0,($B$6+$B$10)-IF($B$1+49&gt;=$B$23,$B$22,0))*(1+$B$4)^49)&gt;0,1+$B$3,1))</f>
        <v/>
      </c>
      <c r="BA129">
        <f>IF($B$1+50&gt;90,AZ129,(AZ129+IF($B$1+50&lt;=$B129,12*($B$7-$B$10),-12*MAX(0,($B$6+$B$10)-IF($B$1+50&gt;=$B$23,$B$22,0))*(1+$B$4)^50))*IF(AZ129+IF($B$1+50&lt;=$B129,12*($B$7-$B$10),-12*MAX(0,($B$6+$B$10)-IF($B$1+50&gt;=$B$23,$B$22,0))*(1+$B$4)^50)&gt;0,1+$B$3,1))</f>
        <v/>
      </c>
      <c r="BB129">
        <f>IF($B$1+51&gt;90,BA129,(BA129+IF($B$1+51&lt;=$B129,12*($B$7-$B$10),-12*MAX(0,($B$6+$B$10)-IF($B$1+51&gt;=$B$23,$B$22,0))*(1+$B$4)^51))*IF(BA129+IF($B$1+51&lt;=$B129,12*($B$7-$B$10),-12*MAX(0,($B$6+$B$10)-IF($B$1+51&gt;=$B$23,$B$22,0))*(1+$B$4)^51)&gt;0,1+$B$3,1))</f>
        <v/>
      </c>
      <c r="BC129">
        <f>IF($B$1+52&gt;90,BB129,(BB129+IF($B$1+52&lt;=$B129,12*($B$7-$B$10),-12*MAX(0,($B$6+$B$10)-IF($B$1+52&gt;=$B$23,$B$22,0))*(1+$B$4)^52))*IF(BB129+IF($B$1+52&lt;=$B129,12*($B$7-$B$10),-12*MAX(0,($B$6+$B$10)-IF($B$1+52&gt;=$B$23,$B$22,0))*(1+$B$4)^52)&gt;0,1+$B$3,1))</f>
        <v/>
      </c>
      <c r="BD129">
        <f>IF($B$1+53&gt;90,BC129,(BC129+IF($B$1+53&lt;=$B129,12*($B$7-$B$10),-12*MAX(0,($B$6+$B$10)-IF($B$1+53&gt;=$B$23,$B$22,0))*(1+$B$4)^53))*IF(BC129+IF($B$1+53&lt;=$B129,12*($B$7-$B$10),-12*MAX(0,($B$6+$B$10)-IF($B$1+53&gt;=$B$23,$B$22,0))*(1+$B$4)^53)&gt;0,1+$B$3,1))</f>
        <v/>
      </c>
      <c r="BE129">
        <f>IF($B$1+54&gt;90,BD129,(BD129+IF($B$1+54&lt;=$B129,12*($B$7-$B$10),-12*MAX(0,($B$6+$B$10)-IF($B$1+54&gt;=$B$23,$B$22,0))*(1+$B$4)^54))*IF(BD129+IF($B$1+54&lt;=$B129,12*($B$7-$B$10),-12*MAX(0,($B$6+$B$10)-IF($B$1+54&gt;=$B$23,$B$22,0))*(1+$B$4)^54)&gt;0,1+$B$3,1))</f>
        <v/>
      </c>
      <c r="BF129">
        <f>IF($B$1+55&gt;90,BE129,(BE129+IF($B$1+55&lt;=$B129,12*($B$7-$B$10),-12*MAX(0,($B$6+$B$10)-IF($B$1+55&gt;=$B$23,$B$22,0))*(1+$B$4)^55))*IF(BE129+IF($B$1+55&lt;=$B129,12*($B$7-$B$10),-12*MAX(0,($B$6+$B$10)-IF($B$1+55&gt;=$B$23,$B$22,0))*(1+$B$4)^55)&gt;0,1+$B$3,1))</f>
        <v/>
      </c>
      <c r="BG129">
        <f>IF($B$1+56&gt;90,BF129,(BF129+IF($B$1+56&lt;=$B129,12*($B$7-$B$10),-12*MAX(0,($B$6+$B$10)-IF($B$1+56&gt;=$B$23,$B$22,0))*(1+$B$4)^56))*IF(BF129+IF($B$1+56&lt;=$B129,12*($B$7-$B$10),-12*MAX(0,($B$6+$B$10)-IF($B$1+56&gt;=$B$23,$B$22,0))*(1+$B$4)^56)&gt;0,1+$B$3,1))</f>
        <v/>
      </c>
      <c r="BH129">
        <f>IF($B$1+57&gt;90,BG129,(BG129+IF($B$1+57&lt;=$B129,12*($B$7-$B$10),-12*MAX(0,($B$6+$B$10)-IF($B$1+57&gt;=$B$23,$B$22,0))*(1+$B$4)^57))*IF(BG129+IF($B$1+57&lt;=$B129,12*($B$7-$B$10),-12*MAX(0,($B$6+$B$10)-IF($B$1+57&gt;=$B$23,$B$22,0))*(1+$B$4)^57)&gt;0,1+$B$3,1))</f>
        <v/>
      </c>
      <c r="BI129">
        <f>IF($B$1+58&gt;90,BH129,(BH129+IF($B$1+58&lt;=$B129,12*($B$7-$B$10),-12*MAX(0,($B$6+$B$10)-IF($B$1+58&gt;=$B$23,$B$22,0))*(1+$B$4)^58))*IF(BH129+IF($B$1+58&lt;=$B129,12*($B$7-$B$10),-12*MAX(0,($B$6+$B$10)-IF($B$1+58&gt;=$B$23,$B$22,0))*(1+$B$4)^58)&gt;0,1+$B$3,1))</f>
        <v/>
      </c>
      <c r="BJ129">
        <f>IF($B$1+59&gt;90,BI129,(BI129+IF($B$1+59&lt;=$B129,12*($B$7-$B$10),-12*MAX(0,($B$6+$B$10)-IF($B$1+59&gt;=$B$23,$B$22,0))*(1+$B$4)^59))*IF(BI129+IF($B$1+59&lt;=$B129,12*($B$7-$B$10),-12*MAX(0,($B$6+$B$10)-IF($B$1+59&gt;=$B$23,$B$22,0))*(1+$B$4)^59)&gt;0,1+$B$3,1))</f>
        <v/>
      </c>
      <c r="BK129">
        <f>IF($B$1+60&gt;90,BJ129,(BJ129+IF($B$1+60&lt;=$B129,12*($B$7-$B$10),-12*MAX(0,($B$6+$B$10)-IF($B$1+60&gt;=$B$23,$B$22,0))*(1+$B$4)^60))*IF(BJ129+IF($B$1+60&lt;=$B129,12*($B$7-$B$10),-12*MAX(0,($B$6+$B$10)-IF($B$1+60&gt;=$B$23,$B$22,0))*(1+$B$4)^60)&gt;0,1+$B$3,1))</f>
        <v/>
      </c>
      <c r="BL129">
        <f>IF($B$1+61&gt;90,BK129,(BK129+IF($B$1+61&lt;=$B129,12*($B$7-$B$10),-12*MAX(0,($B$6+$B$10)-IF($B$1+61&gt;=$B$23,$B$22,0))*(1+$B$4)^61))*IF(BK129+IF($B$1+61&lt;=$B129,12*($B$7-$B$10),-12*MAX(0,($B$6+$B$10)-IF($B$1+61&gt;=$B$23,$B$22,0))*(1+$B$4)^61)&gt;0,1+$B$3,1))</f>
        <v/>
      </c>
      <c r="BM129">
        <f>IF($B$1+62&gt;90,BL129,(BL129+IF($B$1+62&lt;=$B129,12*($B$7-$B$10),-12*MAX(0,($B$6+$B$10)-IF($B$1+62&gt;=$B$23,$B$22,0))*(1+$B$4)^62))*IF(BL129+IF($B$1+62&lt;=$B129,12*($B$7-$B$10),-12*MAX(0,($B$6+$B$10)-IF($B$1+62&gt;=$B$23,$B$22,0))*(1+$B$4)^62)&gt;0,1+$B$3,1))</f>
        <v/>
      </c>
      <c r="BN129">
        <f>IF($B$1+63&gt;90,BM129,(BM129+IF($B$1+63&lt;=$B129,12*($B$7-$B$10),-12*MAX(0,($B$6+$B$10)-IF($B$1+63&gt;=$B$23,$B$22,0))*(1+$B$4)^63))*IF(BM129+IF($B$1+63&lt;=$B129,12*($B$7-$B$10),-12*MAX(0,($B$6+$B$10)-IF($B$1+63&gt;=$B$23,$B$22,0))*(1+$B$4)^63)&gt;0,1+$B$3,1))</f>
        <v/>
      </c>
      <c r="BO129">
        <f>IF($B$1+64&gt;90,BN129,(BN129+IF($B$1+64&lt;=$B129,12*($B$7-$B$10),-12*MAX(0,($B$6+$B$10)-IF($B$1+64&gt;=$B$23,$B$22,0))*(1+$B$4)^64))*IF(BN129+IF($B$1+64&lt;=$B129,12*($B$7-$B$10),-12*MAX(0,($B$6+$B$10)-IF($B$1+64&gt;=$B$23,$B$22,0))*(1+$B$4)^64)&gt;0,1+$B$3,1))</f>
        <v/>
      </c>
      <c r="BP129">
        <f>IF($B$1+65&gt;90,BO129,(BO129+IF($B$1+65&lt;=$B129,12*($B$7-$B$10),-12*MAX(0,($B$6+$B$10)-IF($B$1+65&gt;=$B$23,$B$22,0))*(1+$B$4)^65))*IF(BO129+IF($B$1+65&lt;=$B129,12*($B$7-$B$10),-12*MAX(0,($B$6+$B$10)-IF($B$1+65&gt;=$B$23,$B$22,0))*(1+$B$4)^65)&gt;0,1+$B$3,1))</f>
        <v/>
      </c>
      <c r="BQ129">
        <f>IF($B$1+66&gt;90,BP129,(BP129+IF($B$1+66&lt;=$B129,12*($B$7-$B$10),-12*MAX(0,($B$6+$B$10)-IF($B$1+66&gt;=$B$23,$B$22,0))*(1+$B$4)^66))*IF(BP129+IF($B$1+66&lt;=$B129,12*($B$7-$B$10),-12*MAX(0,($B$6+$B$10)-IF($B$1+66&gt;=$B$23,$B$22,0))*(1+$B$4)^66)&gt;0,1+$B$3,1))</f>
        <v/>
      </c>
      <c r="BR129">
        <f>IF($B$1+67&gt;90,BQ129,(BQ129+IF($B$1+67&lt;=$B129,12*($B$7-$B$10),-12*MAX(0,($B$6+$B$10)-IF($B$1+67&gt;=$B$23,$B$22,0))*(1+$B$4)^67))*IF(BQ129+IF($B$1+67&lt;=$B129,12*($B$7-$B$10),-12*MAX(0,($B$6+$B$10)-IF($B$1+67&gt;=$B$23,$B$22,0))*(1+$B$4)^67)&gt;0,1+$B$3,1))</f>
        <v/>
      </c>
      <c r="BS129">
        <f>IF($B$1+68&gt;90,BR129,(BR129+IF($B$1+68&lt;=$B129,12*($B$7-$B$10),-12*MAX(0,($B$6+$B$10)-IF($B$1+68&gt;=$B$23,$B$22,0))*(1+$B$4)^68))*IF(BR129+IF($B$1+68&lt;=$B129,12*($B$7-$B$10),-12*MAX(0,($B$6+$B$10)-IF($B$1+68&gt;=$B$23,$B$22,0))*(1+$B$4)^68)&gt;0,1+$B$3,1))</f>
        <v/>
      </c>
      <c r="BT129">
        <f>IF($B$1+69&gt;90,BS129,(BS129+IF($B$1+69&lt;=$B129,12*($B$7-$B$10),-12*MAX(0,($B$6+$B$10)-IF($B$1+69&gt;=$B$23,$B$22,0))*(1+$B$4)^69))*IF(BS129+IF($B$1+69&lt;=$B129,12*($B$7-$B$10),-12*MAX(0,($B$6+$B$10)-IF($B$1+69&gt;=$B$23,$B$22,0))*(1+$B$4)^69)&gt;0,1+$B$3,1))</f>
        <v/>
      </c>
      <c r="BU129">
        <f>IF($B$1+70&gt;90,BT129,(BT129+IF($B$1+70&lt;=$B129,12*($B$7-$B$10),-12*MAX(0,($B$6+$B$10)-IF($B$1+70&gt;=$B$23,$B$22,0))*(1+$B$4)^70))*IF(BT129+IF($B$1+70&lt;=$B129,12*($B$7-$B$10),-12*MAX(0,($B$6+$B$10)-IF($B$1+70&gt;=$B$23,$B$22,0))*(1+$B$4)^70)&gt;0,1+$B$3,1))</f>
        <v/>
      </c>
      <c r="BV129">
        <f>BU129</f>
        <v/>
      </c>
      <c r="BW129">
        <f>IF(AND($B129&lt;=70,BV129&gt;0),$B129,999)</f>
        <v/>
      </c>
      <c r="CH129">
        <f>IF(ISTEXT('월 가계부'!A129),SUBSTITUTE(SUBSTITUTE(SUBSTITUTE(SUBSTITUTE(SUBSTITUTE(SUBSTITUTE(SUBSTITUTE(SUBSTITUTE(SUBSTITUTE(TRIM('월 가계부'!A129),"년","-"),"월","-"),"일",""),".","-"),"/","-")," ","-"),"--","-"),"--","-"),"--","-")&amp;"-","")</f>
        <v/>
      </c>
      <c r="CI129">
        <f>IFERROR(IF('월 가계부'!A129="","",IF(ISNUMBER('월 가계부'!A129),IF(AND('월 가계부'!A129&gt;=19000101,'월 가계부'!A129&lt;=21001231),IF(AND(MOD(INT('월 가계부'!A129/100),100)&gt;=1,MOD(INT('월 가계부'!A129/100),100)&lt;=12,MOD(INT('월 가계부'!A129),100)&gt;=1,MOD(INT('월 가계부'!A129),100)&lt;=31),IF(MONTH(DATE(INT('월 가계부'!A129/10000),MOD(INT('월 가계부'!A129/100),100),MOD(INT('월 가계부'!A129),100)))=MOD(INT('월 가계부'!A129/100),100),DATE(INT('월 가계부'!A129/10000),MOD(INT('월 가계부'!A129/100),100),MOD(INT('월 가계부'!A129),100)),""),""),IF(AND('월 가계부'!A129&gt;=36526,'월 가계부'!A129&lt;73051),INT('월 가계부'!A129),"")),IF(OR(CM129="",CN129="",CO129=""),"",IF(AND(CM129&gt;=2000,CM129&lt;=2099,CN129&gt;=1,CN129&lt;=12,CO129&gt;=1,CO129&lt;=31),IF(MONTH(DATE(CM129,CN129,CO129))=CN129,DATE(CM129,CN129,CO129),""),"")))),"")</f>
        <v/>
      </c>
      <c r="CJ129">
        <f>IFERROR(IF('월 가계부'!C129="","",IF(ISNUMBER('월 가계부'!C129),'월 가계부'!C129,VALUE(SUBSTITUTE(SUBSTITUTE(SUBSTITUTE(SUBSTITUTE(TRIM('월 가계부'!C129),",",""),"원","")," ",""),"−","-")))),"")</f>
        <v/>
      </c>
      <c r="CK129">
        <f>IF(ISNUMBER(CI129),IF(CI129&lt;$B$13,CI129,""),"")</f>
        <v/>
      </c>
      <c r="CM129">
        <f>IF(CH129="","",IFERROR(IF(IF(AND(LEN(CH129)=9,ISERROR(FIND("-",LEFT(CH129,8))),ISNUMBER(-LEFT(CH129,8))),VALUE(LEFT(CH129,4)),VALUE(LEFT(CH129,FIND("-",CH129)-1)))&lt;100,IF(AND(LEN(CH129)=9,ISERROR(FIND("-",LEFT(CH129,8))),ISNUMBER(-LEFT(CH129,8))),VALUE(LEFT(CH129,4)),VALUE(LEFT(CH129,FIND("-",CH129)-1)))+2000,IF(AND(LEN(CH129)=9,ISERROR(FIND("-",LEFT(CH129,8))),ISNUMBER(-LEFT(CH129,8))),VALUE(LEFT(CH129,4)),VALUE(LEFT(CH129,FIND("-",CH129)-1)))),""))</f>
        <v/>
      </c>
      <c r="CN129">
        <f>IF(CH129="","",IFERROR(IF(AND(LEN(CH129)=9,ISERROR(FIND("-",LEFT(CH129,8))),ISNUMBER(-LEFT(CH129,8))),VALUE(MID(CH129,5,2)),VALUE(MID(CH129,FIND("-",CH129)+1,FIND("-",CH129,FIND("-",CH129)+1)-FIND("-",CH129)-1))),""))</f>
        <v/>
      </c>
      <c r="CO129">
        <f>IF(CH129="","",IFERROR(IF(AND(LEN(CH129)=9,ISERROR(FIND("-",LEFT(CH129,8))),ISNUMBER(-LEFT(CH129,8))),VALUE(MID(CH129,7,2)),VALUE(MID(CH129,FIND("-",CH129,FIND("-",CH129)+1)+1,FIND("-",CH129,FIND("-",CH129,FIND("-",CH129)+1)+1)-FIND("-",CH129,FIND("-",CH129)+1)-1))),""))</f>
        <v/>
      </c>
    </row>
    <row r="130">
      <c r="A130" t="n">
        <v>34</v>
      </c>
      <c r="B130">
        <f>$B$1+34</f>
        <v/>
      </c>
      <c r="C130">
        <f>$B$2</f>
        <v/>
      </c>
      <c r="D130">
        <f>IF($B$1+1&gt;90,C130,(C130+IF($B$1+1&lt;=$B130,12*($B$7-$B$10),-12*MAX(0,($B$6+$B$10)-IF($B$1+1&gt;=$B$23,$B$22,0))*(1+$B$4)^1))*IF(C130+IF($B$1+1&lt;=$B130,12*($B$7-$B$10),-12*MAX(0,($B$6+$B$10)-IF($B$1+1&gt;=$B$23,$B$22,0))*(1+$B$4)^1)&gt;0,1+$B$3,1))</f>
        <v/>
      </c>
      <c r="E130">
        <f>IF($B$1+2&gt;90,D130,(D130+IF($B$1+2&lt;=$B130,12*($B$7-$B$10),-12*MAX(0,($B$6+$B$10)-IF($B$1+2&gt;=$B$23,$B$22,0))*(1+$B$4)^2))*IF(D130+IF($B$1+2&lt;=$B130,12*($B$7-$B$10),-12*MAX(0,($B$6+$B$10)-IF($B$1+2&gt;=$B$23,$B$22,0))*(1+$B$4)^2)&gt;0,1+$B$3,1))</f>
        <v/>
      </c>
      <c r="F130">
        <f>IF($B$1+3&gt;90,E130,(E130+IF($B$1+3&lt;=$B130,12*($B$7-$B$10),-12*MAX(0,($B$6+$B$10)-IF($B$1+3&gt;=$B$23,$B$22,0))*(1+$B$4)^3))*IF(E130+IF($B$1+3&lt;=$B130,12*($B$7-$B$10),-12*MAX(0,($B$6+$B$10)-IF($B$1+3&gt;=$B$23,$B$22,0))*(1+$B$4)^3)&gt;0,1+$B$3,1))</f>
        <v/>
      </c>
      <c r="G130">
        <f>IF($B$1+4&gt;90,F130,(F130+IF($B$1+4&lt;=$B130,12*($B$7-$B$10),-12*MAX(0,($B$6+$B$10)-IF($B$1+4&gt;=$B$23,$B$22,0))*(1+$B$4)^4))*IF(F130+IF($B$1+4&lt;=$B130,12*($B$7-$B$10),-12*MAX(0,($B$6+$B$10)-IF($B$1+4&gt;=$B$23,$B$22,0))*(1+$B$4)^4)&gt;0,1+$B$3,1))</f>
        <v/>
      </c>
      <c r="H130">
        <f>IF($B$1+5&gt;90,G130,(G130+IF($B$1+5&lt;=$B130,12*($B$7-$B$10),-12*MAX(0,($B$6+$B$10)-IF($B$1+5&gt;=$B$23,$B$22,0))*(1+$B$4)^5))*IF(G130+IF($B$1+5&lt;=$B130,12*($B$7-$B$10),-12*MAX(0,($B$6+$B$10)-IF($B$1+5&gt;=$B$23,$B$22,0))*(1+$B$4)^5)&gt;0,1+$B$3,1))</f>
        <v/>
      </c>
      <c r="I130">
        <f>IF($B$1+6&gt;90,H130,(H130+IF($B$1+6&lt;=$B130,12*($B$7-$B$10),-12*MAX(0,($B$6+$B$10)-IF($B$1+6&gt;=$B$23,$B$22,0))*(1+$B$4)^6))*IF(H130+IF($B$1+6&lt;=$B130,12*($B$7-$B$10),-12*MAX(0,($B$6+$B$10)-IF($B$1+6&gt;=$B$23,$B$22,0))*(1+$B$4)^6)&gt;0,1+$B$3,1))</f>
        <v/>
      </c>
      <c r="J130">
        <f>IF($B$1+7&gt;90,I130,(I130+IF($B$1+7&lt;=$B130,12*($B$7-$B$10),-12*MAX(0,($B$6+$B$10)-IF($B$1+7&gt;=$B$23,$B$22,0))*(1+$B$4)^7))*IF(I130+IF($B$1+7&lt;=$B130,12*($B$7-$B$10),-12*MAX(0,($B$6+$B$10)-IF($B$1+7&gt;=$B$23,$B$22,0))*(1+$B$4)^7)&gt;0,1+$B$3,1))</f>
        <v/>
      </c>
      <c r="K130">
        <f>IF($B$1+8&gt;90,J130,(J130+IF($B$1+8&lt;=$B130,12*($B$7-$B$10),-12*MAX(0,($B$6+$B$10)-IF($B$1+8&gt;=$B$23,$B$22,0))*(1+$B$4)^8))*IF(J130+IF($B$1+8&lt;=$B130,12*($B$7-$B$10),-12*MAX(0,($B$6+$B$10)-IF($B$1+8&gt;=$B$23,$B$22,0))*(1+$B$4)^8)&gt;0,1+$B$3,1))</f>
        <v/>
      </c>
      <c r="L130">
        <f>IF($B$1+9&gt;90,K130,(K130+IF($B$1+9&lt;=$B130,12*($B$7-$B$10),-12*MAX(0,($B$6+$B$10)-IF($B$1+9&gt;=$B$23,$B$22,0))*(1+$B$4)^9))*IF(K130+IF($B$1+9&lt;=$B130,12*($B$7-$B$10),-12*MAX(0,($B$6+$B$10)-IF($B$1+9&gt;=$B$23,$B$22,0))*(1+$B$4)^9)&gt;0,1+$B$3,1))</f>
        <v/>
      </c>
      <c r="M130">
        <f>IF($B$1+10&gt;90,L130,(L130+IF($B$1+10&lt;=$B130,12*($B$7-$B$10),-12*MAX(0,($B$6+$B$10)-IF($B$1+10&gt;=$B$23,$B$22,0))*(1+$B$4)^10))*IF(L130+IF($B$1+10&lt;=$B130,12*($B$7-$B$10),-12*MAX(0,($B$6+$B$10)-IF($B$1+10&gt;=$B$23,$B$22,0))*(1+$B$4)^10)&gt;0,1+$B$3,1))</f>
        <v/>
      </c>
      <c r="N130">
        <f>IF($B$1+11&gt;90,M130,(M130+IF($B$1+11&lt;=$B130,12*($B$7-$B$10),-12*MAX(0,($B$6+$B$10)-IF($B$1+11&gt;=$B$23,$B$22,0))*(1+$B$4)^11))*IF(M130+IF($B$1+11&lt;=$B130,12*($B$7-$B$10),-12*MAX(0,($B$6+$B$10)-IF($B$1+11&gt;=$B$23,$B$22,0))*(1+$B$4)^11)&gt;0,1+$B$3,1))</f>
        <v/>
      </c>
      <c r="O130">
        <f>IF($B$1+12&gt;90,N130,(N130+IF($B$1+12&lt;=$B130,12*($B$7-$B$10),-12*MAX(0,($B$6+$B$10)-IF($B$1+12&gt;=$B$23,$B$22,0))*(1+$B$4)^12))*IF(N130+IF($B$1+12&lt;=$B130,12*($B$7-$B$10),-12*MAX(0,($B$6+$B$10)-IF($B$1+12&gt;=$B$23,$B$22,0))*(1+$B$4)^12)&gt;0,1+$B$3,1))</f>
        <v/>
      </c>
      <c r="P130">
        <f>IF($B$1+13&gt;90,O130,(O130+IF($B$1+13&lt;=$B130,12*($B$7-$B$10),-12*MAX(0,($B$6+$B$10)-IF($B$1+13&gt;=$B$23,$B$22,0))*(1+$B$4)^13))*IF(O130+IF($B$1+13&lt;=$B130,12*($B$7-$B$10),-12*MAX(0,($B$6+$B$10)-IF($B$1+13&gt;=$B$23,$B$22,0))*(1+$B$4)^13)&gt;0,1+$B$3,1))</f>
        <v/>
      </c>
      <c r="Q130">
        <f>IF($B$1+14&gt;90,P130,(P130+IF($B$1+14&lt;=$B130,12*($B$7-$B$10),-12*MAX(0,($B$6+$B$10)-IF($B$1+14&gt;=$B$23,$B$22,0))*(1+$B$4)^14))*IF(P130+IF($B$1+14&lt;=$B130,12*($B$7-$B$10),-12*MAX(0,($B$6+$B$10)-IF($B$1+14&gt;=$B$23,$B$22,0))*(1+$B$4)^14)&gt;0,1+$B$3,1))</f>
        <v/>
      </c>
      <c r="R130">
        <f>IF($B$1+15&gt;90,Q130,(Q130+IF($B$1+15&lt;=$B130,12*($B$7-$B$10),-12*MAX(0,($B$6+$B$10)-IF($B$1+15&gt;=$B$23,$B$22,0))*(1+$B$4)^15))*IF(Q130+IF($B$1+15&lt;=$B130,12*($B$7-$B$10),-12*MAX(0,($B$6+$B$10)-IF($B$1+15&gt;=$B$23,$B$22,0))*(1+$B$4)^15)&gt;0,1+$B$3,1))</f>
        <v/>
      </c>
      <c r="S130">
        <f>IF($B$1+16&gt;90,R130,(R130+IF($B$1+16&lt;=$B130,12*($B$7-$B$10),-12*MAX(0,($B$6+$B$10)-IF($B$1+16&gt;=$B$23,$B$22,0))*(1+$B$4)^16))*IF(R130+IF($B$1+16&lt;=$B130,12*($B$7-$B$10),-12*MAX(0,($B$6+$B$10)-IF($B$1+16&gt;=$B$23,$B$22,0))*(1+$B$4)^16)&gt;0,1+$B$3,1))</f>
        <v/>
      </c>
      <c r="T130">
        <f>IF($B$1+17&gt;90,S130,(S130+IF($B$1+17&lt;=$B130,12*($B$7-$B$10),-12*MAX(0,($B$6+$B$10)-IF($B$1+17&gt;=$B$23,$B$22,0))*(1+$B$4)^17))*IF(S130+IF($B$1+17&lt;=$B130,12*($B$7-$B$10),-12*MAX(0,($B$6+$B$10)-IF($B$1+17&gt;=$B$23,$B$22,0))*(1+$B$4)^17)&gt;0,1+$B$3,1))</f>
        <v/>
      </c>
      <c r="U130">
        <f>IF($B$1+18&gt;90,T130,(T130+IF($B$1+18&lt;=$B130,12*($B$7-$B$10),-12*MAX(0,($B$6+$B$10)-IF($B$1+18&gt;=$B$23,$B$22,0))*(1+$B$4)^18))*IF(T130+IF($B$1+18&lt;=$B130,12*($B$7-$B$10),-12*MAX(0,($B$6+$B$10)-IF($B$1+18&gt;=$B$23,$B$22,0))*(1+$B$4)^18)&gt;0,1+$B$3,1))</f>
        <v/>
      </c>
      <c r="V130">
        <f>IF($B$1+19&gt;90,U130,(U130+IF($B$1+19&lt;=$B130,12*($B$7-$B$10),-12*MAX(0,($B$6+$B$10)-IF($B$1+19&gt;=$B$23,$B$22,0))*(1+$B$4)^19))*IF(U130+IF($B$1+19&lt;=$B130,12*($B$7-$B$10),-12*MAX(0,($B$6+$B$10)-IF($B$1+19&gt;=$B$23,$B$22,0))*(1+$B$4)^19)&gt;0,1+$B$3,1))</f>
        <v/>
      </c>
      <c r="W130">
        <f>IF($B$1+20&gt;90,V130,(V130+IF($B$1+20&lt;=$B130,12*($B$7-$B$10),-12*MAX(0,($B$6+$B$10)-IF($B$1+20&gt;=$B$23,$B$22,0))*(1+$B$4)^20))*IF(V130+IF($B$1+20&lt;=$B130,12*($B$7-$B$10),-12*MAX(0,($B$6+$B$10)-IF($B$1+20&gt;=$B$23,$B$22,0))*(1+$B$4)^20)&gt;0,1+$B$3,1))</f>
        <v/>
      </c>
      <c r="X130">
        <f>IF($B$1+21&gt;90,W130,(W130+IF($B$1+21&lt;=$B130,12*($B$7-$B$10),-12*MAX(0,($B$6+$B$10)-IF($B$1+21&gt;=$B$23,$B$22,0))*(1+$B$4)^21))*IF(W130+IF($B$1+21&lt;=$B130,12*($B$7-$B$10),-12*MAX(0,($B$6+$B$10)-IF($B$1+21&gt;=$B$23,$B$22,0))*(1+$B$4)^21)&gt;0,1+$B$3,1))</f>
        <v/>
      </c>
      <c r="Y130">
        <f>IF($B$1+22&gt;90,X130,(X130+IF($B$1+22&lt;=$B130,12*($B$7-$B$10),-12*MAX(0,($B$6+$B$10)-IF($B$1+22&gt;=$B$23,$B$22,0))*(1+$B$4)^22))*IF(X130+IF($B$1+22&lt;=$B130,12*($B$7-$B$10),-12*MAX(0,($B$6+$B$10)-IF($B$1+22&gt;=$B$23,$B$22,0))*(1+$B$4)^22)&gt;0,1+$B$3,1))</f>
        <v/>
      </c>
      <c r="Z130">
        <f>IF($B$1+23&gt;90,Y130,(Y130+IF($B$1+23&lt;=$B130,12*($B$7-$B$10),-12*MAX(0,($B$6+$B$10)-IF($B$1+23&gt;=$B$23,$B$22,0))*(1+$B$4)^23))*IF(Y130+IF($B$1+23&lt;=$B130,12*($B$7-$B$10),-12*MAX(0,($B$6+$B$10)-IF($B$1+23&gt;=$B$23,$B$22,0))*(1+$B$4)^23)&gt;0,1+$B$3,1))</f>
        <v/>
      </c>
      <c r="AA130">
        <f>IF($B$1+24&gt;90,Z130,(Z130+IF($B$1+24&lt;=$B130,12*($B$7-$B$10),-12*MAX(0,($B$6+$B$10)-IF($B$1+24&gt;=$B$23,$B$22,0))*(1+$B$4)^24))*IF(Z130+IF($B$1+24&lt;=$B130,12*($B$7-$B$10),-12*MAX(0,($B$6+$B$10)-IF($B$1+24&gt;=$B$23,$B$22,0))*(1+$B$4)^24)&gt;0,1+$B$3,1))</f>
        <v/>
      </c>
      <c r="AB130">
        <f>IF($B$1+25&gt;90,AA130,(AA130+IF($B$1+25&lt;=$B130,12*($B$7-$B$10),-12*MAX(0,($B$6+$B$10)-IF($B$1+25&gt;=$B$23,$B$22,0))*(1+$B$4)^25))*IF(AA130+IF($B$1+25&lt;=$B130,12*($B$7-$B$10),-12*MAX(0,($B$6+$B$10)-IF($B$1+25&gt;=$B$23,$B$22,0))*(1+$B$4)^25)&gt;0,1+$B$3,1))</f>
        <v/>
      </c>
      <c r="AC130">
        <f>IF($B$1+26&gt;90,AB130,(AB130+IF($B$1+26&lt;=$B130,12*($B$7-$B$10),-12*MAX(0,($B$6+$B$10)-IF($B$1+26&gt;=$B$23,$B$22,0))*(1+$B$4)^26))*IF(AB130+IF($B$1+26&lt;=$B130,12*($B$7-$B$10),-12*MAX(0,($B$6+$B$10)-IF($B$1+26&gt;=$B$23,$B$22,0))*(1+$B$4)^26)&gt;0,1+$B$3,1))</f>
        <v/>
      </c>
      <c r="AD130">
        <f>IF($B$1+27&gt;90,AC130,(AC130+IF($B$1+27&lt;=$B130,12*($B$7-$B$10),-12*MAX(0,($B$6+$B$10)-IF($B$1+27&gt;=$B$23,$B$22,0))*(1+$B$4)^27))*IF(AC130+IF($B$1+27&lt;=$B130,12*($B$7-$B$10),-12*MAX(0,($B$6+$B$10)-IF($B$1+27&gt;=$B$23,$B$22,0))*(1+$B$4)^27)&gt;0,1+$B$3,1))</f>
        <v/>
      </c>
      <c r="AE130">
        <f>IF($B$1+28&gt;90,AD130,(AD130+IF($B$1+28&lt;=$B130,12*($B$7-$B$10),-12*MAX(0,($B$6+$B$10)-IF($B$1+28&gt;=$B$23,$B$22,0))*(1+$B$4)^28))*IF(AD130+IF($B$1+28&lt;=$B130,12*($B$7-$B$10),-12*MAX(0,($B$6+$B$10)-IF($B$1+28&gt;=$B$23,$B$22,0))*(1+$B$4)^28)&gt;0,1+$B$3,1))</f>
        <v/>
      </c>
      <c r="AF130">
        <f>IF($B$1+29&gt;90,AE130,(AE130+IF($B$1+29&lt;=$B130,12*($B$7-$B$10),-12*MAX(0,($B$6+$B$10)-IF($B$1+29&gt;=$B$23,$B$22,0))*(1+$B$4)^29))*IF(AE130+IF($B$1+29&lt;=$B130,12*($B$7-$B$10),-12*MAX(0,($B$6+$B$10)-IF($B$1+29&gt;=$B$23,$B$22,0))*(1+$B$4)^29)&gt;0,1+$B$3,1))</f>
        <v/>
      </c>
      <c r="AG130">
        <f>IF($B$1+30&gt;90,AF130,(AF130+IF($B$1+30&lt;=$B130,12*($B$7-$B$10),-12*MAX(0,($B$6+$B$10)-IF($B$1+30&gt;=$B$23,$B$22,0))*(1+$B$4)^30))*IF(AF130+IF($B$1+30&lt;=$B130,12*($B$7-$B$10),-12*MAX(0,($B$6+$B$10)-IF($B$1+30&gt;=$B$23,$B$22,0))*(1+$B$4)^30)&gt;0,1+$B$3,1))</f>
        <v/>
      </c>
      <c r="AH130">
        <f>IF($B$1+31&gt;90,AG130,(AG130+IF($B$1+31&lt;=$B130,12*($B$7-$B$10),-12*MAX(0,($B$6+$B$10)-IF($B$1+31&gt;=$B$23,$B$22,0))*(1+$B$4)^31))*IF(AG130+IF($B$1+31&lt;=$B130,12*($B$7-$B$10),-12*MAX(0,($B$6+$B$10)-IF($B$1+31&gt;=$B$23,$B$22,0))*(1+$B$4)^31)&gt;0,1+$B$3,1))</f>
        <v/>
      </c>
      <c r="AI130">
        <f>IF($B$1+32&gt;90,AH130,(AH130+IF($B$1+32&lt;=$B130,12*($B$7-$B$10),-12*MAX(0,($B$6+$B$10)-IF($B$1+32&gt;=$B$23,$B$22,0))*(1+$B$4)^32))*IF(AH130+IF($B$1+32&lt;=$B130,12*($B$7-$B$10),-12*MAX(0,($B$6+$B$10)-IF($B$1+32&gt;=$B$23,$B$22,0))*(1+$B$4)^32)&gt;0,1+$B$3,1))</f>
        <v/>
      </c>
      <c r="AJ130">
        <f>IF($B$1+33&gt;90,AI130,(AI130+IF($B$1+33&lt;=$B130,12*($B$7-$B$10),-12*MAX(0,($B$6+$B$10)-IF($B$1+33&gt;=$B$23,$B$22,0))*(1+$B$4)^33))*IF(AI130+IF($B$1+33&lt;=$B130,12*($B$7-$B$10),-12*MAX(0,($B$6+$B$10)-IF($B$1+33&gt;=$B$23,$B$22,0))*(1+$B$4)^33)&gt;0,1+$B$3,1))</f>
        <v/>
      </c>
      <c r="AK130">
        <f>IF($B$1+34&gt;90,AJ130,(AJ130+IF($B$1+34&lt;=$B130,12*($B$7-$B$10),-12*MAX(0,($B$6+$B$10)-IF($B$1+34&gt;=$B$23,$B$22,0))*(1+$B$4)^34))*IF(AJ130+IF($B$1+34&lt;=$B130,12*($B$7-$B$10),-12*MAX(0,($B$6+$B$10)-IF($B$1+34&gt;=$B$23,$B$22,0))*(1+$B$4)^34)&gt;0,1+$B$3,1))</f>
        <v/>
      </c>
      <c r="AL130">
        <f>IF($B$1+35&gt;90,AK130,(AK130+IF($B$1+35&lt;=$B130,12*($B$7-$B$10),-12*MAX(0,($B$6+$B$10)-IF($B$1+35&gt;=$B$23,$B$22,0))*(1+$B$4)^35))*IF(AK130+IF($B$1+35&lt;=$B130,12*($B$7-$B$10),-12*MAX(0,($B$6+$B$10)-IF($B$1+35&gt;=$B$23,$B$22,0))*(1+$B$4)^35)&gt;0,1+$B$3,1))</f>
        <v/>
      </c>
      <c r="AM130">
        <f>IF($B$1+36&gt;90,AL130,(AL130+IF($B$1+36&lt;=$B130,12*($B$7-$B$10),-12*MAX(0,($B$6+$B$10)-IF($B$1+36&gt;=$B$23,$B$22,0))*(1+$B$4)^36))*IF(AL130+IF($B$1+36&lt;=$B130,12*($B$7-$B$10),-12*MAX(0,($B$6+$B$10)-IF($B$1+36&gt;=$B$23,$B$22,0))*(1+$B$4)^36)&gt;0,1+$B$3,1))</f>
        <v/>
      </c>
      <c r="AN130">
        <f>IF($B$1+37&gt;90,AM130,(AM130+IF($B$1+37&lt;=$B130,12*($B$7-$B$10),-12*MAX(0,($B$6+$B$10)-IF($B$1+37&gt;=$B$23,$B$22,0))*(1+$B$4)^37))*IF(AM130+IF($B$1+37&lt;=$B130,12*($B$7-$B$10),-12*MAX(0,($B$6+$B$10)-IF($B$1+37&gt;=$B$23,$B$22,0))*(1+$B$4)^37)&gt;0,1+$B$3,1))</f>
        <v/>
      </c>
      <c r="AO130">
        <f>IF($B$1+38&gt;90,AN130,(AN130+IF($B$1+38&lt;=$B130,12*($B$7-$B$10),-12*MAX(0,($B$6+$B$10)-IF($B$1+38&gt;=$B$23,$B$22,0))*(1+$B$4)^38))*IF(AN130+IF($B$1+38&lt;=$B130,12*($B$7-$B$10),-12*MAX(0,($B$6+$B$10)-IF($B$1+38&gt;=$B$23,$B$22,0))*(1+$B$4)^38)&gt;0,1+$B$3,1))</f>
        <v/>
      </c>
      <c r="AP130">
        <f>IF($B$1+39&gt;90,AO130,(AO130+IF($B$1+39&lt;=$B130,12*($B$7-$B$10),-12*MAX(0,($B$6+$B$10)-IF($B$1+39&gt;=$B$23,$B$22,0))*(1+$B$4)^39))*IF(AO130+IF($B$1+39&lt;=$B130,12*($B$7-$B$10),-12*MAX(0,($B$6+$B$10)-IF($B$1+39&gt;=$B$23,$B$22,0))*(1+$B$4)^39)&gt;0,1+$B$3,1))</f>
        <v/>
      </c>
      <c r="AQ130">
        <f>IF($B$1+40&gt;90,AP130,(AP130+IF($B$1+40&lt;=$B130,12*($B$7-$B$10),-12*MAX(0,($B$6+$B$10)-IF($B$1+40&gt;=$B$23,$B$22,0))*(1+$B$4)^40))*IF(AP130+IF($B$1+40&lt;=$B130,12*($B$7-$B$10),-12*MAX(0,($B$6+$B$10)-IF($B$1+40&gt;=$B$23,$B$22,0))*(1+$B$4)^40)&gt;0,1+$B$3,1))</f>
        <v/>
      </c>
      <c r="AR130">
        <f>IF($B$1+41&gt;90,AQ130,(AQ130+IF($B$1+41&lt;=$B130,12*($B$7-$B$10),-12*MAX(0,($B$6+$B$10)-IF($B$1+41&gt;=$B$23,$B$22,0))*(1+$B$4)^41))*IF(AQ130+IF($B$1+41&lt;=$B130,12*($B$7-$B$10),-12*MAX(0,($B$6+$B$10)-IF($B$1+41&gt;=$B$23,$B$22,0))*(1+$B$4)^41)&gt;0,1+$B$3,1))</f>
        <v/>
      </c>
      <c r="AS130">
        <f>IF($B$1+42&gt;90,AR130,(AR130+IF($B$1+42&lt;=$B130,12*($B$7-$B$10),-12*MAX(0,($B$6+$B$10)-IF($B$1+42&gt;=$B$23,$B$22,0))*(1+$B$4)^42))*IF(AR130+IF($B$1+42&lt;=$B130,12*($B$7-$B$10),-12*MAX(0,($B$6+$B$10)-IF($B$1+42&gt;=$B$23,$B$22,0))*(1+$B$4)^42)&gt;0,1+$B$3,1))</f>
        <v/>
      </c>
      <c r="AT130">
        <f>IF($B$1+43&gt;90,AS130,(AS130+IF($B$1+43&lt;=$B130,12*($B$7-$B$10),-12*MAX(0,($B$6+$B$10)-IF($B$1+43&gt;=$B$23,$B$22,0))*(1+$B$4)^43))*IF(AS130+IF($B$1+43&lt;=$B130,12*($B$7-$B$10),-12*MAX(0,($B$6+$B$10)-IF($B$1+43&gt;=$B$23,$B$22,0))*(1+$B$4)^43)&gt;0,1+$B$3,1))</f>
        <v/>
      </c>
      <c r="AU130">
        <f>IF($B$1+44&gt;90,AT130,(AT130+IF($B$1+44&lt;=$B130,12*($B$7-$B$10),-12*MAX(0,($B$6+$B$10)-IF($B$1+44&gt;=$B$23,$B$22,0))*(1+$B$4)^44))*IF(AT130+IF($B$1+44&lt;=$B130,12*($B$7-$B$10),-12*MAX(0,($B$6+$B$10)-IF($B$1+44&gt;=$B$23,$B$22,0))*(1+$B$4)^44)&gt;0,1+$B$3,1))</f>
        <v/>
      </c>
      <c r="AV130">
        <f>IF($B$1+45&gt;90,AU130,(AU130+IF($B$1+45&lt;=$B130,12*($B$7-$B$10),-12*MAX(0,($B$6+$B$10)-IF($B$1+45&gt;=$B$23,$B$22,0))*(1+$B$4)^45))*IF(AU130+IF($B$1+45&lt;=$B130,12*($B$7-$B$10),-12*MAX(0,($B$6+$B$10)-IF($B$1+45&gt;=$B$23,$B$22,0))*(1+$B$4)^45)&gt;0,1+$B$3,1))</f>
        <v/>
      </c>
      <c r="AW130">
        <f>IF($B$1+46&gt;90,AV130,(AV130+IF($B$1+46&lt;=$B130,12*($B$7-$B$10),-12*MAX(0,($B$6+$B$10)-IF($B$1+46&gt;=$B$23,$B$22,0))*(1+$B$4)^46))*IF(AV130+IF($B$1+46&lt;=$B130,12*($B$7-$B$10),-12*MAX(0,($B$6+$B$10)-IF($B$1+46&gt;=$B$23,$B$22,0))*(1+$B$4)^46)&gt;0,1+$B$3,1))</f>
        <v/>
      </c>
      <c r="AX130">
        <f>IF($B$1+47&gt;90,AW130,(AW130+IF($B$1+47&lt;=$B130,12*($B$7-$B$10),-12*MAX(0,($B$6+$B$10)-IF($B$1+47&gt;=$B$23,$B$22,0))*(1+$B$4)^47))*IF(AW130+IF($B$1+47&lt;=$B130,12*($B$7-$B$10),-12*MAX(0,($B$6+$B$10)-IF($B$1+47&gt;=$B$23,$B$22,0))*(1+$B$4)^47)&gt;0,1+$B$3,1))</f>
        <v/>
      </c>
      <c r="AY130">
        <f>IF($B$1+48&gt;90,AX130,(AX130+IF($B$1+48&lt;=$B130,12*($B$7-$B$10),-12*MAX(0,($B$6+$B$10)-IF($B$1+48&gt;=$B$23,$B$22,0))*(1+$B$4)^48))*IF(AX130+IF($B$1+48&lt;=$B130,12*($B$7-$B$10),-12*MAX(0,($B$6+$B$10)-IF($B$1+48&gt;=$B$23,$B$22,0))*(1+$B$4)^48)&gt;0,1+$B$3,1))</f>
        <v/>
      </c>
      <c r="AZ130">
        <f>IF($B$1+49&gt;90,AY130,(AY130+IF($B$1+49&lt;=$B130,12*($B$7-$B$10),-12*MAX(0,($B$6+$B$10)-IF($B$1+49&gt;=$B$23,$B$22,0))*(1+$B$4)^49))*IF(AY130+IF($B$1+49&lt;=$B130,12*($B$7-$B$10),-12*MAX(0,($B$6+$B$10)-IF($B$1+49&gt;=$B$23,$B$22,0))*(1+$B$4)^49)&gt;0,1+$B$3,1))</f>
        <v/>
      </c>
      <c r="BA130">
        <f>IF($B$1+50&gt;90,AZ130,(AZ130+IF($B$1+50&lt;=$B130,12*($B$7-$B$10),-12*MAX(0,($B$6+$B$10)-IF($B$1+50&gt;=$B$23,$B$22,0))*(1+$B$4)^50))*IF(AZ130+IF($B$1+50&lt;=$B130,12*($B$7-$B$10),-12*MAX(0,($B$6+$B$10)-IF($B$1+50&gt;=$B$23,$B$22,0))*(1+$B$4)^50)&gt;0,1+$B$3,1))</f>
        <v/>
      </c>
      <c r="BB130">
        <f>IF($B$1+51&gt;90,BA130,(BA130+IF($B$1+51&lt;=$B130,12*($B$7-$B$10),-12*MAX(0,($B$6+$B$10)-IF($B$1+51&gt;=$B$23,$B$22,0))*(1+$B$4)^51))*IF(BA130+IF($B$1+51&lt;=$B130,12*($B$7-$B$10),-12*MAX(0,($B$6+$B$10)-IF($B$1+51&gt;=$B$23,$B$22,0))*(1+$B$4)^51)&gt;0,1+$B$3,1))</f>
        <v/>
      </c>
      <c r="BC130">
        <f>IF($B$1+52&gt;90,BB130,(BB130+IF($B$1+52&lt;=$B130,12*($B$7-$B$10),-12*MAX(0,($B$6+$B$10)-IF($B$1+52&gt;=$B$23,$B$22,0))*(1+$B$4)^52))*IF(BB130+IF($B$1+52&lt;=$B130,12*($B$7-$B$10),-12*MAX(0,($B$6+$B$10)-IF($B$1+52&gt;=$B$23,$B$22,0))*(1+$B$4)^52)&gt;0,1+$B$3,1))</f>
        <v/>
      </c>
      <c r="BD130">
        <f>IF($B$1+53&gt;90,BC130,(BC130+IF($B$1+53&lt;=$B130,12*($B$7-$B$10),-12*MAX(0,($B$6+$B$10)-IF($B$1+53&gt;=$B$23,$B$22,0))*(1+$B$4)^53))*IF(BC130+IF($B$1+53&lt;=$B130,12*($B$7-$B$10),-12*MAX(0,($B$6+$B$10)-IF($B$1+53&gt;=$B$23,$B$22,0))*(1+$B$4)^53)&gt;0,1+$B$3,1))</f>
        <v/>
      </c>
      <c r="BE130">
        <f>IF($B$1+54&gt;90,BD130,(BD130+IF($B$1+54&lt;=$B130,12*($B$7-$B$10),-12*MAX(0,($B$6+$B$10)-IF($B$1+54&gt;=$B$23,$B$22,0))*(1+$B$4)^54))*IF(BD130+IF($B$1+54&lt;=$B130,12*($B$7-$B$10),-12*MAX(0,($B$6+$B$10)-IF($B$1+54&gt;=$B$23,$B$22,0))*(1+$B$4)^54)&gt;0,1+$B$3,1))</f>
        <v/>
      </c>
      <c r="BF130">
        <f>IF($B$1+55&gt;90,BE130,(BE130+IF($B$1+55&lt;=$B130,12*($B$7-$B$10),-12*MAX(0,($B$6+$B$10)-IF($B$1+55&gt;=$B$23,$B$22,0))*(1+$B$4)^55))*IF(BE130+IF($B$1+55&lt;=$B130,12*($B$7-$B$10),-12*MAX(0,($B$6+$B$10)-IF($B$1+55&gt;=$B$23,$B$22,0))*(1+$B$4)^55)&gt;0,1+$B$3,1))</f>
        <v/>
      </c>
      <c r="BG130">
        <f>IF($B$1+56&gt;90,BF130,(BF130+IF($B$1+56&lt;=$B130,12*($B$7-$B$10),-12*MAX(0,($B$6+$B$10)-IF($B$1+56&gt;=$B$23,$B$22,0))*(1+$B$4)^56))*IF(BF130+IF($B$1+56&lt;=$B130,12*($B$7-$B$10),-12*MAX(0,($B$6+$B$10)-IF($B$1+56&gt;=$B$23,$B$22,0))*(1+$B$4)^56)&gt;0,1+$B$3,1))</f>
        <v/>
      </c>
      <c r="BH130">
        <f>IF($B$1+57&gt;90,BG130,(BG130+IF($B$1+57&lt;=$B130,12*($B$7-$B$10),-12*MAX(0,($B$6+$B$10)-IF($B$1+57&gt;=$B$23,$B$22,0))*(1+$B$4)^57))*IF(BG130+IF($B$1+57&lt;=$B130,12*($B$7-$B$10),-12*MAX(0,($B$6+$B$10)-IF($B$1+57&gt;=$B$23,$B$22,0))*(1+$B$4)^57)&gt;0,1+$B$3,1))</f>
        <v/>
      </c>
      <c r="BI130">
        <f>IF($B$1+58&gt;90,BH130,(BH130+IF($B$1+58&lt;=$B130,12*($B$7-$B$10),-12*MAX(0,($B$6+$B$10)-IF($B$1+58&gt;=$B$23,$B$22,0))*(1+$B$4)^58))*IF(BH130+IF($B$1+58&lt;=$B130,12*($B$7-$B$10),-12*MAX(0,($B$6+$B$10)-IF($B$1+58&gt;=$B$23,$B$22,0))*(1+$B$4)^58)&gt;0,1+$B$3,1))</f>
        <v/>
      </c>
      <c r="BJ130">
        <f>IF($B$1+59&gt;90,BI130,(BI130+IF($B$1+59&lt;=$B130,12*($B$7-$B$10),-12*MAX(0,($B$6+$B$10)-IF($B$1+59&gt;=$B$23,$B$22,0))*(1+$B$4)^59))*IF(BI130+IF($B$1+59&lt;=$B130,12*($B$7-$B$10),-12*MAX(0,($B$6+$B$10)-IF($B$1+59&gt;=$B$23,$B$22,0))*(1+$B$4)^59)&gt;0,1+$B$3,1))</f>
        <v/>
      </c>
      <c r="BK130">
        <f>IF($B$1+60&gt;90,BJ130,(BJ130+IF($B$1+60&lt;=$B130,12*($B$7-$B$10),-12*MAX(0,($B$6+$B$10)-IF($B$1+60&gt;=$B$23,$B$22,0))*(1+$B$4)^60))*IF(BJ130+IF($B$1+60&lt;=$B130,12*($B$7-$B$10),-12*MAX(0,($B$6+$B$10)-IF($B$1+60&gt;=$B$23,$B$22,0))*(1+$B$4)^60)&gt;0,1+$B$3,1))</f>
        <v/>
      </c>
      <c r="BL130">
        <f>IF($B$1+61&gt;90,BK130,(BK130+IF($B$1+61&lt;=$B130,12*($B$7-$B$10),-12*MAX(0,($B$6+$B$10)-IF($B$1+61&gt;=$B$23,$B$22,0))*(1+$B$4)^61))*IF(BK130+IF($B$1+61&lt;=$B130,12*($B$7-$B$10),-12*MAX(0,($B$6+$B$10)-IF($B$1+61&gt;=$B$23,$B$22,0))*(1+$B$4)^61)&gt;0,1+$B$3,1))</f>
        <v/>
      </c>
      <c r="BM130">
        <f>IF($B$1+62&gt;90,BL130,(BL130+IF($B$1+62&lt;=$B130,12*($B$7-$B$10),-12*MAX(0,($B$6+$B$10)-IF($B$1+62&gt;=$B$23,$B$22,0))*(1+$B$4)^62))*IF(BL130+IF($B$1+62&lt;=$B130,12*($B$7-$B$10),-12*MAX(0,($B$6+$B$10)-IF($B$1+62&gt;=$B$23,$B$22,0))*(1+$B$4)^62)&gt;0,1+$B$3,1))</f>
        <v/>
      </c>
      <c r="BN130">
        <f>IF($B$1+63&gt;90,BM130,(BM130+IF($B$1+63&lt;=$B130,12*($B$7-$B$10),-12*MAX(0,($B$6+$B$10)-IF($B$1+63&gt;=$B$23,$B$22,0))*(1+$B$4)^63))*IF(BM130+IF($B$1+63&lt;=$B130,12*($B$7-$B$10),-12*MAX(0,($B$6+$B$10)-IF($B$1+63&gt;=$B$23,$B$22,0))*(1+$B$4)^63)&gt;0,1+$B$3,1))</f>
        <v/>
      </c>
      <c r="BO130">
        <f>IF($B$1+64&gt;90,BN130,(BN130+IF($B$1+64&lt;=$B130,12*($B$7-$B$10),-12*MAX(0,($B$6+$B$10)-IF($B$1+64&gt;=$B$23,$B$22,0))*(1+$B$4)^64))*IF(BN130+IF($B$1+64&lt;=$B130,12*($B$7-$B$10),-12*MAX(0,($B$6+$B$10)-IF($B$1+64&gt;=$B$23,$B$22,0))*(1+$B$4)^64)&gt;0,1+$B$3,1))</f>
        <v/>
      </c>
      <c r="BP130">
        <f>IF($B$1+65&gt;90,BO130,(BO130+IF($B$1+65&lt;=$B130,12*($B$7-$B$10),-12*MAX(0,($B$6+$B$10)-IF($B$1+65&gt;=$B$23,$B$22,0))*(1+$B$4)^65))*IF(BO130+IF($B$1+65&lt;=$B130,12*($B$7-$B$10),-12*MAX(0,($B$6+$B$10)-IF($B$1+65&gt;=$B$23,$B$22,0))*(1+$B$4)^65)&gt;0,1+$B$3,1))</f>
        <v/>
      </c>
      <c r="BQ130">
        <f>IF($B$1+66&gt;90,BP130,(BP130+IF($B$1+66&lt;=$B130,12*($B$7-$B$10),-12*MAX(0,($B$6+$B$10)-IF($B$1+66&gt;=$B$23,$B$22,0))*(1+$B$4)^66))*IF(BP130+IF($B$1+66&lt;=$B130,12*($B$7-$B$10),-12*MAX(0,($B$6+$B$10)-IF($B$1+66&gt;=$B$23,$B$22,0))*(1+$B$4)^66)&gt;0,1+$B$3,1))</f>
        <v/>
      </c>
      <c r="BR130">
        <f>IF($B$1+67&gt;90,BQ130,(BQ130+IF($B$1+67&lt;=$B130,12*($B$7-$B$10),-12*MAX(0,($B$6+$B$10)-IF($B$1+67&gt;=$B$23,$B$22,0))*(1+$B$4)^67))*IF(BQ130+IF($B$1+67&lt;=$B130,12*($B$7-$B$10),-12*MAX(0,($B$6+$B$10)-IF($B$1+67&gt;=$B$23,$B$22,0))*(1+$B$4)^67)&gt;0,1+$B$3,1))</f>
        <v/>
      </c>
      <c r="BS130">
        <f>IF($B$1+68&gt;90,BR130,(BR130+IF($B$1+68&lt;=$B130,12*($B$7-$B$10),-12*MAX(0,($B$6+$B$10)-IF($B$1+68&gt;=$B$23,$B$22,0))*(1+$B$4)^68))*IF(BR130+IF($B$1+68&lt;=$B130,12*($B$7-$B$10),-12*MAX(0,($B$6+$B$10)-IF($B$1+68&gt;=$B$23,$B$22,0))*(1+$B$4)^68)&gt;0,1+$B$3,1))</f>
        <v/>
      </c>
      <c r="BT130">
        <f>IF($B$1+69&gt;90,BS130,(BS130+IF($B$1+69&lt;=$B130,12*($B$7-$B$10),-12*MAX(0,($B$6+$B$10)-IF($B$1+69&gt;=$B$23,$B$22,0))*(1+$B$4)^69))*IF(BS130+IF($B$1+69&lt;=$B130,12*($B$7-$B$10),-12*MAX(0,($B$6+$B$10)-IF($B$1+69&gt;=$B$23,$B$22,0))*(1+$B$4)^69)&gt;0,1+$B$3,1))</f>
        <v/>
      </c>
      <c r="BU130">
        <f>IF($B$1+70&gt;90,BT130,(BT130+IF($B$1+70&lt;=$B130,12*($B$7-$B$10),-12*MAX(0,($B$6+$B$10)-IF($B$1+70&gt;=$B$23,$B$22,0))*(1+$B$4)^70))*IF(BT130+IF($B$1+70&lt;=$B130,12*($B$7-$B$10),-12*MAX(0,($B$6+$B$10)-IF($B$1+70&gt;=$B$23,$B$22,0))*(1+$B$4)^70)&gt;0,1+$B$3,1))</f>
        <v/>
      </c>
      <c r="BV130">
        <f>BU130</f>
        <v/>
      </c>
      <c r="BW130">
        <f>IF(AND($B130&lt;=70,BV130&gt;0),$B130,999)</f>
        <v/>
      </c>
      <c r="CH130">
        <f>IF(ISTEXT('월 가계부'!A130),SUBSTITUTE(SUBSTITUTE(SUBSTITUTE(SUBSTITUTE(SUBSTITUTE(SUBSTITUTE(SUBSTITUTE(SUBSTITUTE(SUBSTITUTE(TRIM('월 가계부'!A130),"년","-"),"월","-"),"일",""),".","-"),"/","-")," ","-"),"--","-"),"--","-"),"--","-")&amp;"-","")</f>
        <v/>
      </c>
      <c r="CI130">
        <f>IFERROR(IF('월 가계부'!A130="","",IF(ISNUMBER('월 가계부'!A130),IF(AND('월 가계부'!A130&gt;=19000101,'월 가계부'!A130&lt;=21001231),IF(AND(MOD(INT('월 가계부'!A130/100),100)&gt;=1,MOD(INT('월 가계부'!A130/100),100)&lt;=12,MOD(INT('월 가계부'!A130),100)&gt;=1,MOD(INT('월 가계부'!A130),100)&lt;=31),IF(MONTH(DATE(INT('월 가계부'!A130/10000),MOD(INT('월 가계부'!A130/100),100),MOD(INT('월 가계부'!A130),100)))=MOD(INT('월 가계부'!A130/100),100),DATE(INT('월 가계부'!A130/10000),MOD(INT('월 가계부'!A130/100),100),MOD(INT('월 가계부'!A130),100)),""),""),IF(AND('월 가계부'!A130&gt;=36526,'월 가계부'!A130&lt;73051),INT('월 가계부'!A130),"")),IF(OR(CM130="",CN130="",CO130=""),"",IF(AND(CM130&gt;=2000,CM130&lt;=2099,CN130&gt;=1,CN130&lt;=12,CO130&gt;=1,CO130&lt;=31),IF(MONTH(DATE(CM130,CN130,CO130))=CN130,DATE(CM130,CN130,CO130),""),"")))),"")</f>
        <v/>
      </c>
      <c r="CJ130">
        <f>IFERROR(IF('월 가계부'!C130="","",IF(ISNUMBER('월 가계부'!C130),'월 가계부'!C130,VALUE(SUBSTITUTE(SUBSTITUTE(SUBSTITUTE(SUBSTITUTE(TRIM('월 가계부'!C130),",",""),"원","")," ",""),"−","-")))),"")</f>
        <v/>
      </c>
      <c r="CK130">
        <f>IF(ISNUMBER(CI130),IF(CI130&lt;$B$13,CI130,""),"")</f>
        <v/>
      </c>
      <c r="CM130">
        <f>IF(CH130="","",IFERROR(IF(IF(AND(LEN(CH130)=9,ISERROR(FIND("-",LEFT(CH130,8))),ISNUMBER(-LEFT(CH130,8))),VALUE(LEFT(CH130,4)),VALUE(LEFT(CH130,FIND("-",CH130)-1)))&lt;100,IF(AND(LEN(CH130)=9,ISERROR(FIND("-",LEFT(CH130,8))),ISNUMBER(-LEFT(CH130,8))),VALUE(LEFT(CH130,4)),VALUE(LEFT(CH130,FIND("-",CH130)-1)))+2000,IF(AND(LEN(CH130)=9,ISERROR(FIND("-",LEFT(CH130,8))),ISNUMBER(-LEFT(CH130,8))),VALUE(LEFT(CH130,4)),VALUE(LEFT(CH130,FIND("-",CH130)-1)))),""))</f>
        <v/>
      </c>
      <c r="CN130">
        <f>IF(CH130="","",IFERROR(IF(AND(LEN(CH130)=9,ISERROR(FIND("-",LEFT(CH130,8))),ISNUMBER(-LEFT(CH130,8))),VALUE(MID(CH130,5,2)),VALUE(MID(CH130,FIND("-",CH130)+1,FIND("-",CH130,FIND("-",CH130)+1)-FIND("-",CH130)-1))),""))</f>
        <v/>
      </c>
      <c r="CO130">
        <f>IF(CH130="","",IFERROR(IF(AND(LEN(CH130)=9,ISERROR(FIND("-",LEFT(CH130,8))),ISNUMBER(-LEFT(CH130,8))),VALUE(MID(CH130,7,2)),VALUE(MID(CH130,FIND("-",CH130,FIND("-",CH130)+1)+1,FIND("-",CH130,FIND("-",CH130,FIND("-",CH130)+1)+1)-FIND("-",CH130,FIND("-",CH130)+1)-1))),""))</f>
        <v/>
      </c>
    </row>
    <row r="131">
      <c r="A131" t="n">
        <v>35</v>
      </c>
      <c r="B131">
        <f>$B$1+35</f>
        <v/>
      </c>
      <c r="C131">
        <f>$B$2</f>
        <v/>
      </c>
      <c r="D131">
        <f>IF($B$1+1&gt;90,C131,(C131+IF($B$1+1&lt;=$B131,12*($B$7-$B$10),-12*MAX(0,($B$6+$B$10)-IF($B$1+1&gt;=$B$23,$B$22,0))*(1+$B$4)^1))*IF(C131+IF($B$1+1&lt;=$B131,12*($B$7-$B$10),-12*MAX(0,($B$6+$B$10)-IF($B$1+1&gt;=$B$23,$B$22,0))*(1+$B$4)^1)&gt;0,1+$B$3,1))</f>
        <v/>
      </c>
      <c r="E131">
        <f>IF($B$1+2&gt;90,D131,(D131+IF($B$1+2&lt;=$B131,12*($B$7-$B$10),-12*MAX(0,($B$6+$B$10)-IF($B$1+2&gt;=$B$23,$B$22,0))*(1+$B$4)^2))*IF(D131+IF($B$1+2&lt;=$B131,12*($B$7-$B$10),-12*MAX(0,($B$6+$B$10)-IF($B$1+2&gt;=$B$23,$B$22,0))*(1+$B$4)^2)&gt;0,1+$B$3,1))</f>
        <v/>
      </c>
      <c r="F131">
        <f>IF($B$1+3&gt;90,E131,(E131+IF($B$1+3&lt;=$B131,12*($B$7-$B$10),-12*MAX(0,($B$6+$B$10)-IF($B$1+3&gt;=$B$23,$B$22,0))*(1+$B$4)^3))*IF(E131+IF($B$1+3&lt;=$B131,12*($B$7-$B$10),-12*MAX(0,($B$6+$B$10)-IF($B$1+3&gt;=$B$23,$B$22,0))*(1+$B$4)^3)&gt;0,1+$B$3,1))</f>
        <v/>
      </c>
      <c r="G131">
        <f>IF($B$1+4&gt;90,F131,(F131+IF($B$1+4&lt;=$B131,12*($B$7-$B$10),-12*MAX(0,($B$6+$B$10)-IF($B$1+4&gt;=$B$23,$B$22,0))*(1+$B$4)^4))*IF(F131+IF($B$1+4&lt;=$B131,12*($B$7-$B$10),-12*MAX(0,($B$6+$B$10)-IF($B$1+4&gt;=$B$23,$B$22,0))*(1+$B$4)^4)&gt;0,1+$B$3,1))</f>
        <v/>
      </c>
      <c r="H131">
        <f>IF($B$1+5&gt;90,G131,(G131+IF($B$1+5&lt;=$B131,12*($B$7-$B$10),-12*MAX(0,($B$6+$B$10)-IF($B$1+5&gt;=$B$23,$B$22,0))*(1+$B$4)^5))*IF(G131+IF($B$1+5&lt;=$B131,12*($B$7-$B$10),-12*MAX(0,($B$6+$B$10)-IF($B$1+5&gt;=$B$23,$B$22,0))*(1+$B$4)^5)&gt;0,1+$B$3,1))</f>
        <v/>
      </c>
      <c r="I131">
        <f>IF($B$1+6&gt;90,H131,(H131+IF($B$1+6&lt;=$B131,12*($B$7-$B$10),-12*MAX(0,($B$6+$B$10)-IF($B$1+6&gt;=$B$23,$B$22,0))*(1+$B$4)^6))*IF(H131+IF($B$1+6&lt;=$B131,12*($B$7-$B$10),-12*MAX(0,($B$6+$B$10)-IF($B$1+6&gt;=$B$23,$B$22,0))*(1+$B$4)^6)&gt;0,1+$B$3,1))</f>
        <v/>
      </c>
      <c r="J131">
        <f>IF($B$1+7&gt;90,I131,(I131+IF($B$1+7&lt;=$B131,12*($B$7-$B$10),-12*MAX(0,($B$6+$B$10)-IF($B$1+7&gt;=$B$23,$B$22,0))*(1+$B$4)^7))*IF(I131+IF($B$1+7&lt;=$B131,12*($B$7-$B$10),-12*MAX(0,($B$6+$B$10)-IF($B$1+7&gt;=$B$23,$B$22,0))*(1+$B$4)^7)&gt;0,1+$B$3,1))</f>
        <v/>
      </c>
      <c r="K131">
        <f>IF($B$1+8&gt;90,J131,(J131+IF($B$1+8&lt;=$B131,12*($B$7-$B$10),-12*MAX(0,($B$6+$B$10)-IF($B$1+8&gt;=$B$23,$B$22,0))*(1+$B$4)^8))*IF(J131+IF($B$1+8&lt;=$B131,12*($B$7-$B$10),-12*MAX(0,($B$6+$B$10)-IF($B$1+8&gt;=$B$23,$B$22,0))*(1+$B$4)^8)&gt;0,1+$B$3,1))</f>
        <v/>
      </c>
      <c r="L131">
        <f>IF($B$1+9&gt;90,K131,(K131+IF($B$1+9&lt;=$B131,12*($B$7-$B$10),-12*MAX(0,($B$6+$B$10)-IF($B$1+9&gt;=$B$23,$B$22,0))*(1+$B$4)^9))*IF(K131+IF($B$1+9&lt;=$B131,12*($B$7-$B$10),-12*MAX(0,($B$6+$B$10)-IF($B$1+9&gt;=$B$23,$B$22,0))*(1+$B$4)^9)&gt;0,1+$B$3,1))</f>
        <v/>
      </c>
      <c r="M131">
        <f>IF($B$1+10&gt;90,L131,(L131+IF($B$1+10&lt;=$B131,12*($B$7-$B$10),-12*MAX(0,($B$6+$B$10)-IF($B$1+10&gt;=$B$23,$B$22,0))*(1+$B$4)^10))*IF(L131+IF($B$1+10&lt;=$B131,12*($B$7-$B$10),-12*MAX(0,($B$6+$B$10)-IF($B$1+10&gt;=$B$23,$B$22,0))*(1+$B$4)^10)&gt;0,1+$B$3,1))</f>
        <v/>
      </c>
      <c r="N131">
        <f>IF($B$1+11&gt;90,M131,(M131+IF($B$1+11&lt;=$B131,12*($B$7-$B$10),-12*MAX(0,($B$6+$B$10)-IF($B$1+11&gt;=$B$23,$B$22,0))*(1+$B$4)^11))*IF(M131+IF($B$1+11&lt;=$B131,12*($B$7-$B$10),-12*MAX(0,($B$6+$B$10)-IF($B$1+11&gt;=$B$23,$B$22,0))*(1+$B$4)^11)&gt;0,1+$B$3,1))</f>
        <v/>
      </c>
      <c r="O131">
        <f>IF($B$1+12&gt;90,N131,(N131+IF($B$1+12&lt;=$B131,12*($B$7-$B$10),-12*MAX(0,($B$6+$B$10)-IF($B$1+12&gt;=$B$23,$B$22,0))*(1+$B$4)^12))*IF(N131+IF($B$1+12&lt;=$B131,12*($B$7-$B$10),-12*MAX(0,($B$6+$B$10)-IF($B$1+12&gt;=$B$23,$B$22,0))*(1+$B$4)^12)&gt;0,1+$B$3,1))</f>
        <v/>
      </c>
      <c r="P131">
        <f>IF($B$1+13&gt;90,O131,(O131+IF($B$1+13&lt;=$B131,12*($B$7-$B$10),-12*MAX(0,($B$6+$B$10)-IF($B$1+13&gt;=$B$23,$B$22,0))*(1+$B$4)^13))*IF(O131+IF($B$1+13&lt;=$B131,12*($B$7-$B$10),-12*MAX(0,($B$6+$B$10)-IF($B$1+13&gt;=$B$23,$B$22,0))*(1+$B$4)^13)&gt;0,1+$B$3,1))</f>
        <v/>
      </c>
      <c r="Q131">
        <f>IF($B$1+14&gt;90,P131,(P131+IF($B$1+14&lt;=$B131,12*($B$7-$B$10),-12*MAX(0,($B$6+$B$10)-IF($B$1+14&gt;=$B$23,$B$22,0))*(1+$B$4)^14))*IF(P131+IF($B$1+14&lt;=$B131,12*($B$7-$B$10),-12*MAX(0,($B$6+$B$10)-IF($B$1+14&gt;=$B$23,$B$22,0))*(1+$B$4)^14)&gt;0,1+$B$3,1))</f>
        <v/>
      </c>
      <c r="R131">
        <f>IF($B$1+15&gt;90,Q131,(Q131+IF($B$1+15&lt;=$B131,12*($B$7-$B$10),-12*MAX(0,($B$6+$B$10)-IF($B$1+15&gt;=$B$23,$B$22,0))*(1+$B$4)^15))*IF(Q131+IF($B$1+15&lt;=$B131,12*($B$7-$B$10),-12*MAX(0,($B$6+$B$10)-IF($B$1+15&gt;=$B$23,$B$22,0))*(1+$B$4)^15)&gt;0,1+$B$3,1))</f>
        <v/>
      </c>
      <c r="S131">
        <f>IF($B$1+16&gt;90,R131,(R131+IF($B$1+16&lt;=$B131,12*($B$7-$B$10),-12*MAX(0,($B$6+$B$10)-IF($B$1+16&gt;=$B$23,$B$22,0))*(1+$B$4)^16))*IF(R131+IF($B$1+16&lt;=$B131,12*($B$7-$B$10),-12*MAX(0,($B$6+$B$10)-IF($B$1+16&gt;=$B$23,$B$22,0))*(1+$B$4)^16)&gt;0,1+$B$3,1))</f>
        <v/>
      </c>
      <c r="T131">
        <f>IF($B$1+17&gt;90,S131,(S131+IF($B$1+17&lt;=$B131,12*($B$7-$B$10),-12*MAX(0,($B$6+$B$10)-IF($B$1+17&gt;=$B$23,$B$22,0))*(1+$B$4)^17))*IF(S131+IF($B$1+17&lt;=$B131,12*($B$7-$B$10),-12*MAX(0,($B$6+$B$10)-IF($B$1+17&gt;=$B$23,$B$22,0))*(1+$B$4)^17)&gt;0,1+$B$3,1))</f>
        <v/>
      </c>
      <c r="U131">
        <f>IF($B$1+18&gt;90,T131,(T131+IF($B$1+18&lt;=$B131,12*($B$7-$B$10),-12*MAX(0,($B$6+$B$10)-IF($B$1+18&gt;=$B$23,$B$22,0))*(1+$B$4)^18))*IF(T131+IF($B$1+18&lt;=$B131,12*($B$7-$B$10),-12*MAX(0,($B$6+$B$10)-IF($B$1+18&gt;=$B$23,$B$22,0))*(1+$B$4)^18)&gt;0,1+$B$3,1))</f>
        <v/>
      </c>
      <c r="V131">
        <f>IF($B$1+19&gt;90,U131,(U131+IF($B$1+19&lt;=$B131,12*($B$7-$B$10),-12*MAX(0,($B$6+$B$10)-IF($B$1+19&gt;=$B$23,$B$22,0))*(1+$B$4)^19))*IF(U131+IF($B$1+19&lt;=$B131,12*($B$7-$B$10),-12*MAX(0,($B$6+$B$10)-IF($B$1+19&gt;=$B$23,$B$22,0))*(1+$B$4)^19)&gt;0,1+$B$3,1))</f>
        <v/>
      </c>
      <c r="W131">
        <f>IF($B$1+20&gt;90,V131,(V131+IF($B$1+20&lt;=$B131,12*($B$7-$B$10),-12*MAX(0,($B$6+$B$10)-IF($B$1+20&gt;=$B$23,$B$22,0))*(1+$B$4)^20))*IF(V131+IF($B$1+20&lt;=$B131,12*($B$7-$B$10),-12*MAX(0,($B$6+$B$10)-IF($B$1+20&gt;=$B$23,$B$22,0))*(1+$B$4)^20)&gt;0,1+$B$3,1))</f>
        <v/>
      </c>
      <c r="X131">
        <f>IF($B$1+21&gt;90,W131,(W131+IF($B$1+21&lt;=$B131,12*($B$7-$B$10),-12*MAX(0,($B$6+$B$10)-IF($B$1+21&gt;=$B$23,$B$22,0))*(1+$B$4)^21))*IF(W131+IF($B$1+21&lt;=$B131,12*($B$7-$B$10),-12*MAX(0,($B$6+$B$10)-IF($B$1+21&gt;=$B$23,$B$22,0))*(1+$B$4)^21)&gt;0,1+$B$3,1))</f>
        <v/>
      </c>
      <c r="Y131">
        <f>IF($B$1+22&gt;90,X131,(X131+IF($B$1+22&lt;=$B131,12*($B$7-$B$10),-12*MAX(0,($B$6+$B$10)-IF($B$1+22&gt;=$B$23,$B$22,0))*(1+$B$4)^22))*IF(X131+IF($B$1+22&lt;=$B131,12*($B$7-$B$10),-12*MAX(0,($B$6+$B$10)-IF($B$1+22&gt;=$B$23,$B$22,0))*(1+$B$4)^22)&gt;0,1+$B$3,1))</f>
        <v/>
      </c>
      <c r="Z131">
        <f>IF($B$1+23&gt;90,Y131,(Y131+IF($B$1+23&lt;=$B131,12*($B$7-$B$10),-12*MAX(0,($B$6+$B$10)-IF($B$1+23&gt;=$B$23,$B$22,0))*(1+$B$4)^23))*IF(Y131+IF($B$1+23&lt;=$B131,12*($B$7-$B$10),-12*MAX(0,($B$6+$B$10)-IF($B$1+23&gt;=$B$23,$B$22,0))*(1+$B$4)^23)&gt;0,1+$B$3,1))</f>
        <v/>
      </c>
      <c r="AA131">
        <f>IF($B$1+24&gt;90,Z131,(Z131+IF($B$1+24&lt;=$B131,12*($B$7-$B$10),-12*MAX(0,($B$6+$B$10)-IF($B$1+24&gt;=$B$23,$B$22,0))*(1+$B$4)^24))*IF(Z131+IF($B$1+24&lt;=$B131,12*($B$7-$B$10),-12*MAX(0,($B$6+$B$10)-IF($B$1+24&gt;=$B$23,$B$22,0))*(1+$B$4)^24)&gt;0,1+$B$3,1))</f>
        <v/>
      </c>
      <c r="AB131">
        <f>IF($B$1+25&gt;90,AA131,(AA131+IF($B$1+25&lt;=$B131,12*($B$7-$B$10),-12*MAX(0,($B$6+$B$10)-IF($B$1+25&gt;=$B$23,$B$22,0))*(1+$B$4)^25))*IF(AA131+IF($B$1+25&lt;=$B131,12*($B$7-$B$10),-12*MAX(0,($B$6+$B$10)-IF($B$1+25&gt;=$B$23,$B$22,0))*(1+$B$4)^25)&gt;0,1+$B$3,1))</f>
        <v/>
      </c>
      <c r="AC131">
        <f>IF($B$1+26&gt;90,AB131,(AB131+IF($B$1+26&lt;=$B131,12*($B$7-$B$10),-12*MAX(0,($B$6+$B$10)-IF($B$1+26&gt;=$B$23,$B$22,0))*(1+$B$4)^26))*IF(AB131+IF($B$1+26&lt;=$B131,12*($B$7-$B$10),-12*MAX(0,($B$6+$B$10)-IF($B$1+26&gt;=$B$23,$B$22,0))*(1+$B$4)^26)&gt;0,1+$B$3,1))</f>
        <v/>
      </c>
      <c r="AD131">
        <f>IF($B$1+27&gt;90,AC131,(AC131+IF($B$1+27&lt;=$B131,12*($B$7-$B$10),-12*MAX(0,($B$6+$B$10)-IF($B$1+27&gt;=$B$23,$B$22,0))*(1+$B$4)^27))*IF(AC131+IF($B$1+27&lt;=$B131,12*($B$7-$B$10),-12*MAX(0,($B$6+$B$10)-IF($B$1+27&gt;=$B$23,$B$22,0))*(1+$B$4)^27)&gt;0,1+$B$3,1))</f>
        <v/>
      </c>
      <c r="AE131">
        <f>IF($B$1+28&gt;90,AD131,(AD131+IF($B$1+28&lt;=$B131,12*($B$7-$B$10),-12*MAX(0,($B$6+$B$10)-IF($B$1+28&gt;=$B$23,$B$22,0))*(1+$B$4)^28))*IF(AD131+IF($B$1+28&lt;=$B131,12*($B$7-$B$10),-12*MAX(0,($B$6+$B$10)-IF($B$1+28&gt;=$B$23,$B$22,0))*(1+$B$4)^28)&gt;0,1+$B$3,1))</f>
        <v/>
      </c>
      <c r="AF131">
        <f>IF($B$1+29&gt;90,AE131,(AE131+IF($B$1+29&lt;=$B131,12*($B$7-$B$10),-12*MAX(0,($B$6+$B$10)-IF($B$1+29&gt;=$B$23,$B$22,0))*(1+$B$4)^29))*IF(AE131+IF($B$1+29&lt;=$B131,12*($B$7-$B$10),-12*MAX(0,($B$6+$B$10)-IF($B$1+29&gt;=$B$23,$B$22,0))*(1+$B$4)^29)&gt;0,1+$B$3,1))</f>
        <v/>
      </c>
      <c r="AG131">
        <f>IF($B$1+30&gt;90,AF131,(AF131+IF($B$1+30&lt;=$B131,12*($B$7-$B$10),-12*MAX(0,($B$6+$B$10)-IF($B$1+30&gt;=$B$23,$B$22,0))*(1+$B$4)^30))*IF(AF131+IF($B$1+30&lt;=$B131,12*($B$7-$B$10),-12*MAX(0,($B$6+$B$10)-IF($B$1+30&gt;=$B$23,$B$22,0))*(1+$B$4)^30)&gt;0,1+$B$3,1))</f>
        <v/>
      </c>
      <c r="AH131">
        <f>IF($B$1+31&gt;90,AG131,(AG131+IF($B$1+31&lt;=$B131,12*($B$7-$B$10),-12*MAX(0,($B$6+$B$10)-IF($B$1+31&gt;=$B$23,$B$22,0))*(1+$B$4)^31))*IF(AG131+IF($B$1+31&lt;=$B131,12*($B$7-$B$10),-12*MAX(0,($B$6+$B$10)-IF($B$1+31&gt;=$B$23,$B$22,0))*(1+$B$4)^31)&gt;0,1+$B$3,1))</f>
        <v/>
      </c>
      <c r="AI131">
        <f>IF($B$1+32&gt;90,AH131,(AH131+IF($B$1+32&lt;=$B131,12*($B$7-$B$10),-12*MAX(0,($B$6+$B$10)-IF($B$1+32&gt;=$B$23,$B$22,0))*(1+$B$4)^32))*IF(AH131+IF($B$1+32&lt;=$B131,12*($B$7-$B$10),-12*MAX(0,($B$6+$B$10)-IF($B$1+32&gt;=$B$23,$B$22,0))*(1+$B$4)^32)&gt;0,1+$B$3,1))</f>
        <v/>
      </c>
      <c r="AJ131">
        <f>IF($B$1+33&gt;90,AI131,(AI131+IF($B$1+33&lt;=$B131,12*($B$7-$B$10),-12*MAX(0,($B$6+$B$10)-IF($B$1+33&gt;=$B$23,$B$22,0))*(1+$B$4)^33))*IF(AI131+IF($B$1+33&lt;=$B131,12*($B$7-$B$10),-12*MAX(0,($B$6+$B$10)-IF($B$1+33&gt;=$B$23,$B$22,0))*(1+$B$4)^33)&gt;0,1+$B$3,1))</f>
        <v/>
      </c>
      <c r="AK131">
        <f>IF($B$1+34&gt;90,AJ131,(AJ131+IF($B$1+34&lt;=$B131,12*($B$7-$B$10),-12*MAX(0,($B$6+$B$10)-IF($B$1+34&gt;=$B$23,$B$22,0))*(1+$B$4)^34))*IF(AJ131+IF($B$1+34&lt;=$B131,12*($B$7-$B$10),-12*MAX(0,($B$6+$B$10)-IF($B$1+34&gt;=$B$23,$B$22,0))*(1+$B$4)^34)&gt;0,1+$B$3,1))</f>
        <v/>
      </c>
      <c r="AL131">
        <f>IF($B$1+35&gt;90,AK131,(AK131+IF($B$1+35&lt;=$B131,12*($B$7-$B$10),-12*MAX(0,($B$6+$B$10)-IF($B$1+35&gt;=$B$23,$B$22,0))*(1+$B$4)^35))*IF(AK131+IF($B$1+35&lt;=$B131,12*($B$7-$B$10),-12*MAX(0,($B$6+$B$10)-IF($B$1+35&gt;=$B$23,$B$22,0))*(1+$B$4)^35)&gt;0,1+$B$3,1))</f>
        <v/>
      </c>
      <c r="AM131">
        <f>IF($B$1+36&gt;90,AL131,(AL131+IF($B$1+36&lt;=$B131,12*($B$7-$B$10),-12*MAX(0,($B$6+$B$10)-IF($B$1+36&gt;=$B$23,$B$22,0))*(1+$B$4)^36))*IF(AL131+IF($B$1+36&lt;=$B131,12*($B$7-$B$10),-12*MAX(0,($B$6+$B$10)-IF($B$1+36&gt;=$B$23,$B$22,0))*(1+$B$4)^36)&gt;0,1+$B$3,1))</f>
        <v/>
      </c>
      <c r="AN131">
        <f>IF($B$1+37&gt;90,AM131,(AM131+IF($B$1+37&lt;=$B131,12*($B$7-$B$10),-12*MAX(0,($B$6+$B$10)-IF($B$1+37&gt;=$B$23,$B$22,0))*(1+$B$4)^37))*IF(AM131+IF($B$1+37&lt;=$B131,12*($B$7-$B$10),-12*MAX(0,($B$6+$B$10)-IF($B$1+37&gt;=$B$23,$B$22,0))*(1+$B$4)^37)&gt;0,1+$B$3,1))</f>
        <v/>
      </c>
      <c r="AO131">
        <f>IF($B$1+38&gt;90,AN131,(AN131+IF($B$1+38&lt;=$B131,12*($B$7-$B$10),-12*MAX(0,($B$6+$B$10)-IF($B$1+38&gt;=$B$23,$B$22,0))*(1+$B$4)^38))*IF(AN131+IF($B$1+38&lt;=$B131,12*($B$7-$B$10),-12*MAX(0,($B$6+$B$10)-IF($B$1+38&gt;=$B$23,$B$22,0))*(1+$B$4)^38)&gt;0,1+$B$3,1))</f>
        <v/>
      </c>
      <c r="AP131">
        <f>IF($B$1+39&gt;90,AO131,(AO131+IF($B$1+39&lt;=$B131,12*($B$7-$B$10),-12*MAX(0,($B$6+$B$10)-IF($B$1+39&gt;=$B$23,$B$22,0))*(1+$B$4)^39))*IF(AO131+IF($B$1+39&lt;=$B131,12*($B$7-$B$10),-12*MAX(0,($B$6+$B$10)-IF($B$1+39&gt;=$B$23,$B$22,0))*(1+$B$4)^39)&gt;0,1+$B$3,1))</f>
        <v/>
      </c>
      <c r="AQ131">
        <f>IF($B$1+40&gt;90,AP131,(AP131+IF($B$1+40&lt;=$B131,12*($B$7-$B$10),-12*MAX(0,($B$6+$B$10)-IF($B$1+40&gt;=$B$23,$B$22,0))*(1+$B$4)^40))*IF(AP131+IF($B$1+40&lt;=$B131,12*($B$7-$B$10),-12*MAX(0,($B$6+$B$10)-IF($B$1+40&gt;=$B$23,$B$22,0))*(1+$B$4)^40)&gt;0,1+$B$3,1))</f>
        <v/>
      </c>
      <c r="AR131">
        <f>IF($B$1+41&gt;90,AQ131,(AQ131+IF($B$1+41&lt;=$B131,12*($B$7-$B$10),-12*MAX(0,($B$6+$B$10)-IF($B$1+41&gt;=$B$23,$B$22,0))*(1+$B$4)^41))*IF(AQ131+IF($B$1+41&lt;=$B131,12*($B$7-$B$10),-12*MAX(0,($B$6+$B$10)-IF($B$1+41&gt;=$B$23,$B$22,0))*(1+$B$4)^41)&gt;0,1+$B$3,1))</f>
        <v/>
      </c>
      <c r="AS131">
        <f>IF($B$1+42&gt;90,AR131,(AR131+IF($B$1+42&lt;=$B131,12*($B$7-$B$10),-12*MAX(0,($B$6+$B$10)-IF($B$1+42&gt;=$B$23,$B$22,0))*(1+$B$4)^42))*IF(AR131+IF($B$1+42&lt;=$B131,12*($B$7-$B$10),-12*MAX(0,($B$6+$B$10)-IF($B$1+42&gt;=$B$23,$B$22,0))*(1+$B$4)^42)&gt;0,1+$B$3,1))</f>
        <v/>
      </c>
      <c r="AT131">
        <f>IF($B$1+43&gt;90,AS131,(AS131+IF($B$1+43&lt;=$B131,12*($B$7-$B$10),-12*MAX(0,($B$6+$B$10)-IF($B$1+43&gt;=$B$23,$B$22,0))*(1+$B$4)^43))*IF(AS131+IF($B$1+43&lt;=$B131,12*($B$7-$B$10),-12*MAX(0,($B$6+$B$10)-IF($B$1+43&gt;=$B$23,$B$22,0))*(1+$B$4)^43)&gt;0,1+$B$3,1))</f>
        <v/>
      </c>
      <c r="AU131">
        <f>IF($B$1+44&gt;90,AT131,(AT131+IF($B$1+44&lt;=$B131,12*($B$7-$B$10),-12*MAX(0,($B$6+$B$10)-IF($B$1+44&gt;=$B$23,$B$22,0))*(1+$B$4)^44))*IF(AT131+IF($B$1+44&lt;=$B131,12*($B$7-$B$10),-12*MAX(0,($B$6+$B$10)-IF($B$1+44&gt;=$B$23,$B$22,0))*(1+$B$4)^44)&gt;0,1+$B$3,1))</f>
        <v/>
      </c>
      <c r="AV131">
        <f>IF($B$1+45&gt;90,AU131,(AU131+IF($B$1+45&lt;=$B131,12*($B$7-$B$10),-12*MAX(0,($B$6+$B$10)-IF($B$1+45&gt;=$B$23,$B$22,0))*(1+$B$4)^45))*IF(AU131+IF($B$1+45&lt;=$B131,12*($B$7-$B$10),-12*MAX(0,($B$6+$B$10)-IF($B$1+45&gt;=$B$23,$B$22,0))*(1+$B$4)^45)&gt;0,1+$B$3,1))</f>
        <v/>
      </c>
      <c r="AW131">
        <f>IF($B$1+46&gt;90,AV131,(AV131+IF($B$1+46&lt;=$B131,12*($B$7-$B$10),-12*MAX(0,($B$6+$B$10)-IF($B$1+46&gt;=$B$23,$B$22,0))*(1+$B$4)^46))*IF(AV131+IF($B$1+46&lt;=$B131,12*($B$7-$B$10),-12*MAX(0,($B$6+$B$10)-IF($B$1+46&gt;=$B$23,$B$22,0))*(1+$B$4)^46)&gt;0,1+$B$3,1))</f>
        <v/>
      </c>
      <c r="AX131">
        <f>IF($B$1+47&gt;90,AW131,(AW131+IF($B$1+47&lt;=$B131,12*($B$7-$B$10),-12*MAX(0,($B$6+$B$10)-IF($B$1+47&gt;=$B$23,$B$22,0))*(1+$B$4)^47))*IF(AW131+IF($B$1+47&lt;=$B131,12*($B$7-$B$10),-12*MAX(0,($B$6+$B$10)-IF($B$1+47&gt;=$B$23,$B$22,0))*(1+$B$4)^47)&gt;0,1+$B$3,1))</f>
        <v/>
      </c>
      <c r="AY131">
        <f>IF($B$1+48&gt;90,AX131,(AX131+IF($B$1+48&lt;=$B131,12*($B$7-$B$10),-12*MAX(0,($B$6+$B$10)-IF($B$1+48&gt;=$B$23,$B$22,0))*(1+$B$4)^48))*IF(AX131+IF($B$1+48&lt;=$B131,12*($B$7-$B$10),-12*MAX(0,($B$6+$B$10)-IF($B$1+48&gt;=$B$23,$B$22,0))*(1+$B$4)^48)&gt;0,1+$B$3,1))</f>
        <v/>
      </c>
      <c r="AZ131">
        <f>IF($B$1+49&gt;90,AY131,(AY131+IF($B$1+49&lt;=$B131,12*($B$7-$B$10),-12*MAX(0,($B$6+$B$10)-IF($B$1+49&gt;=$B$23,$B$22,0))*(1+$B$4)^49))*IF(AY131+IF($B$1+49&lt;=$B131,12*($B$7-$B$10),-12*MAX(0,($B$6+$B$10)-IF($B$1+49&gt;=$B$23,$B$22,0))*(1+$B$4)^49)&gt;0,1+$B$3,1))</f>
        <v/>
      </c>
      <c r="BA131">
        <f>IF($B$1+50&gt;90,AZ131,(AZ131+IF($B$1+50&lt;=$B131,12*($B$7-$B$10),-12*MAX(0,($B$6+$B$10)-IF($B$1+50&gt;=$B$23,$B$22,0))*(1+$B$4)^50))*IF(AZ131+IF($B$1+50&lt;=$B131,12*($B$7-$B$10),-12*MAX(0,($B$6+$B$10)-IF($B$1+50&gt;=$B$23,$B$22,0))*(1+$B$4)^50)&gt;0,1+$B$3,1))</f>
        <v/>
      </c>
      <c r="BB131">
        <f>IF($B$1+51&gt;90,BA131,(BA131+IF($B$1+51&lt;=$B131,12*($B$7-$B$10),-12*MAX(0,($B$6+$B$10)-IF($B$1+51&gt;=$B$23,$B$22,0))*(1+$B$4)^51))*IF(BA131+IF($B$1+51&lt;=$B131,12*($B$7-$B$10),-12*MAX(0,($B$6+$B$10)-IF($B$1+51&gt;=$B$23,$B$22,0))*(1+$B$4)^51)&gt;0,1+$B$3,1))</f>
        <v/>
      </c>
      <c r="BC131">
        <f>IF($B$1+52&gt;90,BB131,(BB131+IF($B$1+52&lt;=$B131,12*($B$7-$B$10),-12*MAX(0,($B$6+$B$10)-IF($B$1+52&gt;=$B$23,$B$22,0))*(1+$B$4)^52))*IF(BB131+IF($B$1+52&lt;=$B131,12*($B$7-$B$10),-12*MAX(0,($B$6+$B$10)-IF($B$1+52&gt;=$B$23,$B$22,0))*(1+$B$4)^52)&gt;0,1+$B$3,1))</f>
        <v/>
      </c>
      <c r="BD131">
        <f>IF($B$1+53&gt;90,BC131,(BC131+IF($B$1+53&lt;=$B131,12*($B$7-$B$10),-12*MAX(0,($B$6+$B$10)-IF($B$1+53&gt;=$B$23,$B$22,0))*(1+$B$4)^53))*IF(BC131+IF($B$1+53&lt;=$B131,12*($B$7-$B$10),-12*MAX(0,($B$6+$B$10)-IF($B$1+53&gt;=$B$23,$B$22,0))*(1+$B$4)^53)&gt;0,1+$B$3,1))</f>
        <v/>
      </c>
      <c r="BE131">
        <f>IF($B$1+54&gt;90,BD131,(BD131+IF($B$1+54&lt;=$B131,12*($B$7-$B$10),-12*MAX(0,($B$6+$B$10)-IF($B$1+54&gt;=$B$23,$B$22,0))*(1+$B$4)^54))*IF(BD131+IF($B$1+54&lt;=$B131,12*($B$7-$B$10),-12*MAX(0,($B$6+$B$10)-IF($B$1+54&gt;=$B$23,$B$22,0))*(1+$B$4)^54)&gt;0,1+$B$3,1))</f>
        <v/>
      </c>
      <c r="BF131">
        <f>IF($B$1+55&gt;90,BE131,(BE131+IF($B$1+55&lt;=$B131,12*($B$7-$B$10),-12*MAX(0,($B$6+$B$10)-IF($B$1+55&gt;=$B$23,$B$22,0))*(1+$B$4)^55))*IF(BE131+IF($B$1+55&lt;=$B131,12*($B$7-$B$10),-12*MAX(0,($B$6+$B$10)-IF($B$1+55&gt;=$B$23,$B$22,0))*(1+$B$4)^55)&gt;0,1+$B$3,1))</f>
        <v/>
      </c>
      <c r="BG131">
        <f>IF($B$1+56&gt;90,BF131,(BF131+IF($B$1+56&lt;=$B131,12*($B$7-$B$10),-12*MAX(0,($B$6+$B$10)-IF($B$1+56&gt;=$B$23,$B$22,0))*(1+$B$4)^56))*IF(BF131+IF($B$1+56&lt;=$B131,12*($B$7-$B$10),-12*MAX(0,($B$6+$B$10)-IF($B$1+56&gt;=$B$23,$B$22,0))*(1+$B$4)^56)&gt;0,1+$B$3,1))</f>
        <v/>
      </c>
      <c r="BH131">
        <f>IF($B$1+57&gt;90,BG131,(BG131+IF($B$1+57&lt;=$B131,12*($B$7-$B$10),-12*MAX(0,($B$6+$B$10)-IF($B$1+57&gt;=$B$23,$B$22,0))*(1+$B$4)^57))*IF(BG131+IF($B$1+57&lt;=$B131,12*($B$7-$B$10),-12*MAX(0,($B$6+$B$10)-IF($B$1+57&gt;=$B$23,$B$22,0))*(1+$B$4)^57)&gt;0,1+$B$3,1))</f>
        <v/>
      </c>
      <c r="BI131">
        <f>IF($B$1+58&gt;90,BH131,(BH131+IF($B$1+58&lt;=$B131,12*($B$7-$B$10),-12*MAX(0,($B$6+$B$10)-IF($B$1+58&gt;=$B$23,$B$22,0))*(1+$B$4)^58))*IF(BH131+IF($B$1+58&lt;=$B131,12*($B$7-$B$10),-12*MAX(0,($B$6+$B$10)-IF($B$1+58&gt;=$B$23,$B$22,0))*(1+$B$4)^58)&gt;0,1+$B$3,1))</f>
        <v/>
      </c>
      <c r="BJ131">
        <f>IF($B$1+59&gt;90,BI131,(BI131+IF($B$1+59&lt;=$B131,12*($B$7-$B$10),-12*MAX(0,($B$6+$B$10)-IF($B$1+59&gt;=$B$23,$B$22,0))*(1+$B$4)^59))*IF(BI131+IF($B$1+59&lt;=$B131,12*($B$7-$B$10),-12*MAX(0,($B$6+$B$10)-IF($B$1+59&gt;=$B$23,$B$22,0))*(1+$B$4)^59)&gt;0,1+$B$3,1))</f>
        <v/>
      </c>
      <c r="BK131">
        <f>IF($B$1+60&gt;90,BJ131,(BJ131+IF($B$1+60&lt;=$B131,12*($B$7-$B$10),-12*MAX(0,($B$6+$B$10)-IF($B$1+60&gt;=$B$23,$B$22,0))*(1+$B$4)^60))*IF(BJ131+IF($B$1+60&lt;=$B131,12*($B$7-$B$10),-12*MAX(0,($B$6+$B$10)-IF($B$1+60&gt;=$B$23,$B$22,0))*(1+$B$4)^60)&gt;0,1+$B$3,1))</f>
        <v/>
      </c>
      <c r="BL131">
        <f>IF($B$1+61&gt;90,BK131,(BK131+IF($B$1+61&lt;=$B131,12*($B$7-$B$10),-12*MAX(0,($B$6+$B$10)-IF($B$1+61&gt;=$B$23,$B$22,0))*(1+$B$4)^61))*IF(BK131+IF($B$1+61&lt;=$B131,12*($B$7-$B$10),-12*MAX(0,($B$6+$B$10)-IF($B$1+61&gt;=$B$23,$B$22,0))*(1+$B$4)^61)&gt;0,1+$B$3,1))</f>
        <v/>
      </c>
      <c r="BM131">
        <f>IF($B$1+62&gt;90,BL131,(BL131+IF($B$1+62&lt;=$B131,12*($B$7-$B$10),-12*MAX(0,($B$6+$B$10)-IF($B$1+62&gt;=$B$23,$B$22,0))*(1+$B$4)^62))*IF(BL131+IF($B$1+62&lt;=$B131,12*($B$7-$B$10),-12*MAX(0,($B$6+$B$10)-IF($B$1+62&gt;=$B$23,$B$22,0))*(1+$B$4)^62)&gt;0,1+$B$3,1))</f>
        <v/>
      </c>
      <c r="BN131">
        <f>IF($B$1+63&gt;90,BM131,(BM131+IF($B$1+63&lt;=$B131,12*($B$7-$B$10),-12*MAX(0,($B$6+$B$10)-IF($B$1+63&gt;=$B$23,$B$22,0))*(1+$B$4)^63))*IF(BM131+IF($B$1+63&lt;=$B131,12*($B$7-$B$10),-12*MAX(0,($B$6+$B$10)-IF($B$1+63&gt;=$B$23,$B$22,0))*(1+$B$4)^63)&gt;0,1+$B$3,1))</f>
        <v/>
      </c>
      <c r="BO131">
        <f>IF($B$1+64&gt;90,BN131,(BN131+IF($B$1+64&lt;=$B131,12*($B$7-$B$10),-12*MAX(0,($B$6+$B$10)-IF($B$1+64&gt;=$B$23,$B$22,0))*(1+$B$4)^64))*IF(BN131+IF($B$1+64&lt;=$B131,12*($B$7-$B$10),-12*MAX(0,($B$6+$B$10)-IF($B$1+64&gt;=$B$23,$B$22,0))*(1+$B$4)^64)&gt;0,1+$B$3,1))</f>
        <v/>
      </c>
      <c r="BP131">
        <f>IF($B$1+65&gt;90,BO131,(BO131+IF($B$1+65&lt;=$B131,12*($B$7-$B$10),-12*MAX(0,($B$6+$B$10)-IF($B$1+65&gt;=$B$23,$B$22,0))*(1+$B$4)^65))*IF(BO131+IF($B$1+65&lt;=$B131,12*($B$7-$B$10),-12*MAX(0,($B$6+$B$10)-IF($B$1+65&gt;=$B$23,$B$22,0))*(1+$B$4)^65)&gt;0,1+$B$3,1))</f>
        <v/>
      </c>
      <c r="BQ131">
        <f>IF($B$1+66&gt;90,BP131,(BP131+IF($B$1+66&lt;=$B131,12*($B$7-$B$10),-12*MAX(0,($B$6+$B$10)-IF($B$1+66&gt;=$B$23,$B$22,0))*(1+$B$4)^66))*IF(BP131+IF($B$1+66&lt;=$B131,12*($B$7-$B$10),-12*MAX(0,($B$6+$B$10)-IF($B$1+66&gt;=$B$23,$B$22,0))*(1+$B$4)^66)&gt;0,1+$B$3,1))</f>
        <v/>
      </c>
      <c r="BR131">
        <f>IF($B$1+67&gt;90,BQ131,(BQ131+IF($B$1+67&lt;=$B131,12*($B$7-$B$10),-12*MAX(0,($B$6+$B$10)-IF($B$1+67&gt;=$B$23,$B$22,0))*(1+$B$4)^67))*IF(BQ131+IF($B$1+67&lt;=$B131,12*($B$7-$B$10),-12*MAX(0,($B$6+$B$10)-IF($B$1+67&gt;=$B$23,$B$22,0))*(1+$B$4)^67)&gt;0,1+$B$3,1))</f>
        <v/>
      </c>
      <c r="BS131">
        <f>IF($B$1+68&gt;90,BR131,(BR131+IF($B$1+68&lt;=$B131,12*($B$7-$B$10),-12*MAX(0,($B$6+$B$10)-IF($B$1+68&gt;=$B$23,$B$22,0))*(1+$B$4)^68))*IF(BR131+IF($B$1+68&lt;=$B131,12*($B$7-$B$10),-12*MAX(0,($B$6+$B$10)-IF($B$1+68&gt;=$B$23,$B$22,0))*(1+$B$4)^68)&gt;0,1+$B$3,1))</f>
        <v/>
      </c>
      <c r="BT131">
        <f>IF($B$1+69&gt;90,BS131,(BS131+IF($B$1+69&lt;=$B131,12*($B$7-$B$10),-12*MAX(0,($B$6+$B$10)-IF($B$1+69&gt;=$B$23,$B$22,0))*(1+$B$4)^69))*IF(BS131+IF($B$1+69&lt;=$B131,12*($B$7-$B$10),-12*MAX(0,($B$6+$B$10)-IF($B$1+69&gt;=$B$23,$B$22,0))*(1+$B$4)^69)&gt;0,1+$B$3,1))</f>
        <v/>
      </c>
      <c r="BU131">
        <f>IF($B$1+70&gt;90,BT131,(BT131+IF($B$1+70&lt;=$B131,12*($B$7-$B$10),-12*MAX(0,($B$6+$B$10)-IF($B$1+70&gt;=$B$23,$B$22,0))*(1+$B$4)^70))*IF(BT131+IF($B$1+70&lt;=$B131,12*($B$7-$B$10),-12*MAX(0,($B$6+$B$10)-IF($B$1+70&gt;=$B$23,$B$22,0))*(1+$B$4)^70)&gt;0,1+$B$3,1))</f>
        <v/>
      </c>
      <c r="BV131">
        <f>BU131</f>
        <v/>
      </c>
      <c r="BW131">
        <f>IF(AND($B131&lt;=70,BV131&gt;0),$B131,999)</f>
        <v/>
      </c>
      <c r="CH131">
        <f>IF(ISTEXT('월 가계부'!A131),SUBSTITUTE(SUBSTITUTE(SUBSTITUTE(SUBSTITUTE(SUBSTITUTE(SUBSTITUTE(SUBSTITUTE(SUBSTITUTE(SUBSTITUTE(TRIM('월 가계부'!A131),"년","-"),"월","-"),"일",""),".","-"),"/","-")," ","-"),"--","-"),"--","-"),"--","-")&amp;"-","")</f>
        <v/>
      </c>
      <c r="CI131">
        <f>IFERROR(IF('월 가계부'!A131="","",IF(ISNUMBER('월 가계부'!A131),IF(AND('월 가계부'!A131&gt;=19000101,'월 가계부'!A131&lt;=21001231),IF(AND(MOD(INT('월 가계부'!A131/100),100)&gt;=1,MOD(INT('월 가계부'!A131/100),100)&lt;=12,MOD(INT('월 가계부'!A131),100)&gt;=1,MOD(INT('월 가계부'!A131),100)&lt;=31),IF(MONTH(DATE(INT('월 가계부'!A131/10000),MOD(INT('월 가계부'!A131/100),100),MOD(INT('월 가계부'!A131),100)))=MOD(INT('월 가계부'!A131/100),100),DATE(INT('월 가계부'!A131/10000),MOD(INT('월 가계부'!A131/100),100),MOD(INT('월 가계부'!A131),100)),""),""),IF(AND('월 가계부'!A131&gt;=36526,'월 가계부'!A131&lt;73051),INT('월 가계부'!A131),"")),IF(OR(CM131="",CN131="",CO131=""),"",IF(AND(CM131&gt;=2000,CM131&lt;=2099,CN131&gt;=1,CN131&lt;=12,CO131&gt;=1,CO131&lt;=31),IF(MONTH(DATE(CM131,CN131,CO131))=CN131,DATE(CM131,CN131,CO131),""),"")))),"")</f>
        <v/>
      </c>
      <c r="CJ131">
        <f>IFERROR(IF('월 가계부'!C131="","",IF(ISNUMBER('월 가계부'!C131),'월 가계부'!C131,VALUE(SUBSTITUTE(SUBSTITUTE(SUBSTITUTE(SUBSTITUTE(TRIM('월 가계부'!C131),",",""),"원","")," ",""),"−","-")))),"")</f>
        <v/>
      </c>
      <c r="CK131">
        <f>IF(ISNUMBER(CI131),IF(CI131&lt;$B$13,CI131,""),"")</f>
        <v/>
      </c>
      <c r="CM131">
        <f>IF(CH131="","",IFERROR(IF(IF(AND(LEN(CH131)=9,ISERROR(FIND("-",LEFT(CH131,8))),ISNUMBER(-LEFT(CH131,8))),VALUE(LEFT(CH131,4)),VALUE(LEFT(CH131,FIND("-",CH131)-1)))&lt;100,IF(AND(LEN(CH131)=9,ISERROR(FIND("-",LEFT(CH131,8))),ISNUMBER(-LEFT(CH131,8))),VALUE(LEFT(CH131,4)),VALUE(LEFT(CH131,FIND("-",CH131)-1)))+2000,IF(AND(LEN(CH131)=9,ISERROR(FIND("-",LEFT(CH131,8))),ISNUMBER(-LEFT(CH131,8))),VALUE(LEFT(CH131,4)),VALUE(LEFT(CH131,FIND("-",CH131)-1)))),""))</f>
        <v/>
      </c>
      <c r="CN131">
        <f>IF(CH131="","",IFERROR(IF(AND(LEN(CH131)=9,ISERROR(FIND("-",LEFT(CH131,8))),ISNUMBER(-LEFT(CH131,8))),VALUE(MID(CH131,5,2)),VALUE(MID(CH131,FIND("-",CH131)+1,FIND("-",CH131,FIND("-",CH131)+1)-FIND("-",CH131)-1))),""))</f>
        <v/>
      </c>
      <c r="CO131">
        <f>IF(CH131="","",IFERROR(IF(AND(LEN(CH131)=9,ISERROR(FIND("-",LEFT(CH131,8))),ISNUMBER(-LEFT(CH131,8))),VALUE(MID(CH131,7,2)),VALUE(MID(CH131,FIND("-",CH131,FIND("-",CH131)+1)+1,FIND("-",CH131,FIND("-",CH131,FIND("-",CH131)+1)+1)-FIND("-",CH131,FIND("-",CH131)+1)-1))),""))</f>
        <v/>
      </c>
    </row>
    <row r="132">
      <c r="A132" t="n">
        <v>36</v>
      </c>
      <c r="B132">
        <f>$B$1+36</f>
        <v/>
      </c>
      <c r="C132">
        <f>$B$2</f>
        <v/>
      </c>
      <c r="D132">
        <f>IF($B$1+1&gt;90,C132,(C132+IF($B$1+1&lt;=$B132,12*($B$7-$B$10),-12*MAX(0,($B$6+$B$10)-IF($B$1+1&gt;=$B$23,$B$22,0))*(1+$B$4)^1))*IF(C132+IF($B$1+1&lt;=$B132,12*($B$7-$B$10),-12*MAX(0,($B$6+$B$10)-IF($B$1+1&gt;=$B$23,$B$22,0))*(1+$B$4)^1)&gt;0,1+$B$3,1))</f>
        <v/>
      </c>
      <c r="E132">
        <f>IF($B$1+2&gt;90,D132,(D132+IF($B$1+2&lt;=$B132,12*($B$7-$B$10),-12*MAX(0,($B$6+$B$10)-IF($B$1+2&gt;=$B$23,$B$22,0))*(1+$B$4)^2))*IF(D132+IF($B$1+2&lt;=$B132,12*($B$7-$B$10),-12*MAX(0,($B$6+$B$10)-IF($B$1+2&gt;=$B$23,$B$22,0))*(1+$B$4)^2)&gt;0,1+$B$3,1))</f>
        <v/>
      </c>
      <c r="F132">
        <f>IF($B$1+3&gt;90,E132,(E132+IF($B$1+3&lt;=$B132,12*($B$7-$B$10),-12*MAX(0,($B$6+$B$10)-IF($B$1+3&gt;=$B$23,$B$22,0))*(1+$B$4)^3))*IF(E132+IF($B$1+3&lt;=$B132,12*($B$7-$B$10),-12*MAX(0,($B$6+$B$10)-IF($B$1+3&gt;=$B$23,$B$22,0))*(1+$B$4)^3)&gt;0,1+$B$3,1))</f>
        <v/>
      </c>
      <c r="G132">
        <f>IF($B$1+4&gt;90,F132,(F132+IF($B$1+4&lt;=$B132,12*($B$7-$B$10),-12*MAX(0,($B$6+$B$10)-IF($B$1+4&gt;=$B$23,$B$22,0))*(1+$B$4)^4))*IF(F132+IF($B$1+4&lt;=$B132,12*($B$7-$B$10),-12*MAX(0,($B$6+$B$10)-IF($B$1+4&gt;=$B$23,$B$22,0))*(1+$B$4)^4)&gt;0,1+$B$3,1))</f>
        <v/>
      </c>
      <c r="H132">
        <f>IF($B$1+5&gt;90,G132,(G132+IF($B$1+5&lt;=$B132,12*($B$7-$B$10),-12*MAX(0,($B$6+$B$10)-IF($B$1+5&gt;=$B$23,$B$22,0))*(1+$B$4)^5))*IF(G132+IF($B$1+5&lt;=$B132,12*($B$7-$B$10),-12*MAX(0,($B$6+$B$10)-IF($B$1+5&gt;=$B$23,$B$22,0))*(1+$B$4)^5)&gt;0,1+$B$3,1))</f>
        <v/>
      </c>
      <c r="I132">
        <f>IF($B$1+6&gt;90,H132,(H132+IF($B$1+6&lt;=$B132,12*($B$7-$B$10),-12*MAX(0,($B$6+$B$10)-IF($B$1+6&gt;=$B$23,$B$22,0))*(1+$B$4)^6))*IF(H132+IF($B$1+6&lt;=$B132,12*($B$7-$B$10),-12*MAX(0,($B$6+$B$10)-IF($B$1+6&gt;=$B$23,$B$22,0))*(1+$B$4)^6)&gt;0,1+$B$3,1))</f>
        <v/>
      </c>
      <c r="J132">
        <f>IF($B$1+7&gt;90,I132,(I132+IF($B$1+7&lt;=$B132,12*($B$7-$B$10),-12*MAX(0,($B$6+$B$10)-IF($B$1+7&gt;=$B$23,$B$22,0))*(1+$B$4)^7))*IF(I132+IF($B$1+7&lt;=$B132,12*($B$7-$B$10),-12*MAX(0,($B$6+$B$10)-IF($B$1+7&gt;=$B$23,$B$22,0))*(1+$B$4)^7)&gt;0,1+$B$3,1))</f>
        <v/>
      </c>
      <c r="K132">
        <f>IF($B$1+8&gt;90,J132,(J132+IF($B$1+8&lt;=$B132,12*($B$7-$B$10),-12*MAX(0,($B$6+$B$10)-IF($B$1+8&gt;=$B$23,$B$22,0))*(1+$B$4)^8))*IF(J132+IF($B$1+8&lt;=$B132,12*($B$7-$B$10),-12*MAX(0,($B$6+$B$10)-IF($B$1+8&gt;=$B$23,$B$22,0))*(1+$B$4)^8)&gt;0,1+$B$3,1))</f>
        <v/>
      </c>
      <c r="L132">
        <f>IF($B$1+9&gt;90,K132,(K132+IF($B$1+9&lt;=$B132,12*($B$7-$B$10),-12*MAX(0,($B$6+$B$10)-IF($B$1+9&gt;=$B$23,$B$22,0))*(1+$B$4)^9))*IF(K132+IF($B$1+9&lt;=$B132,12*($B$7-$B$10),-12*MAX(0,($B$6+$B$10)-IF($B$1+9&gt;=$B$23,$B$22,0))*(1+$B$4)^9)&gt;0,1+$B$3,1))</f>
        <v/>
      </c>
      <c r="M132">
        <f>IF($B$1+10&gt;90,L132,(L132+IF($B$1+10&lt;=$B132,12*($B$7-$B$10),-12*MAX(0,($B$6+$B$10)-IF($B$1+10&gt;=$B$23,$B$22,0))*(1+$B$4)^10))*IF(L132+IF($B$1+10&lt;=$B132,12*($B$7-$B$10),-12*MAX(0,($B$6+$B$10)-IF($B$1+10&gt;=$B$23,$B$22,0))*(1+$B$4)^10)&gt;0,1+$B$3,1))</f>
        <v/>
      </c>
      <c r="N132">
        <f>IF($B$1+11&gt;90,M132,(M132+IF($B$1+11&lt;=$B132,12*($B$7-$B$10),-12*MAX(0,($B$6+$B$10)-IF($B$1+11&gt;=$B$23,$B$22,0))*(1+$B$4)^11))*IF(M132+IF($B$1+11&lt;=$B132,12*($B$7-$B$10),-12*MAX(0,($B$6+$B$10)-IF($B$1+11&gt;=$B$23,$B$22,0))*(1+$B$4)^11)&gt;0,1+$B$3,1))</f>
        <v/>
      </c>
      <c r="O132">
        <f>IF($B$1+12&gt;90,N132,(N132+IF($B$1+12&lt;=$B132,12*($B$7-$B$10),-12*MAX(0,($B$6+$B$10)-IF($B$1+12&gt;=$B$23,$B$22,0))*(1+$B$4)^12))*IF(N132+IF($B$1+12&lt;=$B132,12*($B$7-$B$10),-12*MAX(0,($B$6+$B$10)-IF($B$1+12&gt;=$B$23,$B$22,0))*(1+$B$4)^12)&gt;0,1+$B$3,1))</f>
        <v/>
      </c>
      <c r="P132">
        <f>IF($B$1+13&gt;90,O132,(O132+IF($B$1+13&lt;=$B132,12*($B$7-$B$10),-12*MAX(0,($B$6+$B$10)-IF($B$1+13&gt;=$B$23,$B$22,0))*(1+$B$4)^13))*IF(O132+IF($B$1+13&lt;=$B132,12*($B$7-$B$10),-12*MAX(0,($B$6+$B$10)-IF($B$1+13&gt;=$B$23,$B$22,0))*(1+$B$4)^13)&gt;0,1+$B$3,1))</f>
        <v/>
      </c>
      <c r="Q132">
        <f>IF($B$1+14&gt;90,P132,(P132+IF($B$1+14&lt;=$B132,12*($B$7-$B$10),-12*MAX(0,($B$6+$B$10)-IF($B$1+14&gt;=$B$23,$B$22,0))*(1+$B$4)^14))*IF(P132+IF($B$1+14&lt;=$B132,12*($B$7-$B$10),-12*MAX(0,($B$6+$B$10)-IF($B$1+14&gt;=$B$23,$B$22,0))*(1+$B$4)^14)&gt;0,1+$B$3,1))</f>
        <v/>
      </c>
      <c r="R132">
        <f>IF($B$1+15&gt;90,Q132,(Q132+IF($B$1+15&lt;=$B132,12*($B$7-$B$10),-12*MAX(0,($B$6+$B$10)-IF($B$1+15&gt;=$B$23,$B$22,0))*(1+$B$4)^15))*IF(Q132+IF($B$1+15&lt;=$B132,12*($B$7-$B$10),-12*MAX(0,($B$6+$B$10)-IF($B$1+15&gt;=$B$23,$B$22,0))*(1+$B$4)^15)&gt;0,1+$B$3,1))</f>
        <v/>
      </c>
      <c r="S132">
        <f>IF($B$1+16&gt;90,R132,(R132+IF($B$1+16&lt;=$B132,12*($B$7-$B$10),-12*MAX(0,($B$6+$B$10)-IF($B$1+16&gt;=$B$23,$B$22,0))*(1+$B$4)^16))*IF(R132+IF($B$1+16&lt;=$B132,12*($B$7-$B$10),-12*MAX(0,($B$6+$B$10)-IF($B$1+16&gt;=$B$23,$B$22,0))*(1+$B$4)^16)&gt;0,1+$B$3,1))</f>
        <v/>
      </c>
      <c r="T132">
        <f>IF($B$1+17&gt;90,S132,(S132+IF($B$1+17&lt;=$B132,12*($B$7-$B$10),-12*MAX(0,($B$6+$B$10)-IF($B$1+17&gt;=$B$23,$B$22,0))*(1+$B$4)^17))*IF(S132+IF($B$1+17&lt;=$B132,12*($B$7-$B$10),-12*MAX(0,($B$6+$B$10)-IF($B$1+17&gt;=$B$23,$B$22,0))*(1+$B$4)^17)&gt;0,1+$B$3,1))</f>
        <v/>
      </c>
      <c r="U132">
        <f>IF($B$1+18&gt;90,T132,(T132+IF($B$1+18&lt;=$B132,12*($B$7-$B$10),-12*MAX(0,($B$6+$B$10)-IF($B$1+18&gt;=$B$23,$B$22,0))*(1+$B$4)^18))*IF(T132+IF($B$1+18&lt;=$B132,12*($B$7-$B$10),-12*MAX(0,($B$6+$B$10)-IF($B$1+18&gt;=$B$23,$B$22,0))*(1+$B$4)^18)&gt;0,1+$B$3,1))</f>
        <v/>
      </c>
      <c r="V132">
        <f>IF($B$1+19&gt;90,U132,(U132+IF($B$1+19&lt;=$B132,12*($B$7-$B$10),-12*MAX(0,($B$6+$B$10)-IF($B$1+19&gt;=$B$23,$B$22,0))*(1+$B$4)^19))*IF(U132+IF($B$1+19&lt;=$B132,12*($B$7-$B$10),-12*MAX(0,($B$6+$B$10)-IF($B$1+19&gt;=$B$23,$B$22,0))*(1+$B$4)^19)&gt;0,1+$B$3,1))</f>
        <v/>
      </c>
      <c r="W132">
        <f>IF($B$1+20&gt;90,V132,(V132+IF($B$1+20&lt;=$B132,12*($B$7-$B$10),-12*MAX(0,($B$6+$B$10)-IF($B$1+20&gt;=$B$23,$B$22,0))*(1+$B$4)^20))*IF(V132+IF($B$1+20&lt;=$B132,12*($B$7-$B$10),-12*MAX(0,($B$6+$B$10)-IF($B$1+20&gt;=$B$23,$B$22,0))*(1+$B$4)^20)&gt;0,1+$B$3,1))</f>
        <v/>
      </c>
      <c r="X132">
        <f>IF($B$1+21&gt;90,W132,(W132+IF($B$1+21&lt;=$B132,12*($B$7-$B$10),-12*MAX(0,($B$6+$B$10)-IF($B$1+21&gt;=$B$23,$B$22,0))*(1+$B$4)^21))*IF(W132+IF($B$1+21&lt;=$B132,12*($B$7-$B$10),-12*MAX(0,($B$6+$B$10)-IF($B$1+21&gt;=$B$23,$B$22,0))*(1+$B$4)^21)&gt;0,1+$B$3,1))</f>
        <v/>
      </c>
      <c r="Y132">
        <f>IF($B$1+22&gt;90,X132,(X132+IF($B$1+22&lt;=$B132,12*($B$7-$B$10),-12*MAX(0,($B$6+$B$10)-IF($B$1+22&gt;=$B$23,$B$22,0))*(1+$B$4)^22))*IF(X132+IF($B$1+22&lt;=$B132,12*($B$7-$B$10),-12*MAX(0,($B$6+$B$10)-IF($B$1+22&gt;=$B$23,$B$22,0))*(1+$B$4)^22)&gt;0,1+$B$3,1))</f>
        <v/>
      </c>
      <c r="Z132">
        <f>IF($B$1+23&gt;90,Y132,(Y132+IF($B$1+23&lt;=$B132,12*($B$7-$B$10),-12*MAX(0,($B$6+$B$10)-IF($B$1+23&gt;=$B$23,$B$22,0))*(1+$B$4)^23))*IF(Y132+IF($B$1+23&lt;=$B132,12*($B$7-$B$10),-12*MAX(0,($B$6+$B$10)-IF($B$1+23&gt;=$B$23,$B$22,0))*(1+$B$4)^23)&gt;0,1+$B$3,1))</f>
        <v/>
      </c>
      <c r="AA132">
        <f>IF($B$1+24&gt;90,Z132,(Z132+IF($B$1+24&lt;=$B132,12*($B$7-$B$10),-12*MAX(0,($B$6+$B$10)-IF($B$1+24&gt;=$B$23,$B$22,0))*(1+$B$4)^24))*IF(Z132+IF($B$1+24&lt;=$B132,12*($B$7-$B$10),-12*MAX(0,($B$6+$B$10)-IF($B$1+24&gt;=$B$23,$B$22,0))*(1+$B$4)^24)&gt;0,1+$B$3,1))</f>
        <v/>
      </c>
      <c r="AB132">
        <f>IF($B$1+25&gt;90,AA132,(AA132+IF($B$1+25&lt;=$B132,12*($B$7-$B$10),-12*MAX(0,($B$6+$B$10)-IF($B$1+25&gt;=$B$23,$B$22,0))*(1+$B$4)^25))*IF(AA132+IF($B$1+25&lt;=$B132,12*($B$7-$B$10),-12*MAX(0,($B$6+$B$10)-IF($B$1+25&gt;=$B$23,$B$22,0))*(1+$B$4)^25)&gt;0,1+$B$3,1))</f>
        <v/>
      </c>
      <c r="AC132">
        <f>IF($B$1+26&gt;90,AB132,(AB132+IF($B$1+26&lt;=$B132,12*($B$7-$B$10),-12*MAX(0,($B$6+$B$10)-IF($B$1+26&gt;=$B$23,$B$22,0))*(1+$B$4)^26))*IF(AB132+IF($B$1+26&lt;=$B132,12*($B$7-$B$10),-12*MAX(0,($B$6+$B$10)-IF($B$1+26&gt;=$B$23,$B$22,0))*(1+$B$4)^26)&gt;0,1+$B$3,1))</f>
        <v/>
      </c>
      <c r="AD132">
        <f>IF($B$1+27&gt;90,AC132,(AC132+IF($B$1+27&lt;=$B132,12*($B$7-$B$10),-12*MAX(0,($B$6+$B$10)-IF($B$1+27&gt;=$B$23,$B$22,0))*(1+$B$4)^27))*IF(AC132+IF($B$1+27&lt;=$B132,12*($B$7-$B$10),-12*MAX(0,($B$6+$B$10)-IF($B$1+27&gt;=$B$23,$B$22,0))*(1+$B$4)^27)&gt;0,1+$B$3,1))</f>
        <v/>
      </c>
      <c r="AE132">
        <f>IF($B$1+28&gt;90,AD132,(AD132+IF($B$1+28&lt;=$B132,12*($B$7-$B$10),-12*MAX(0,($B$6+$B$10)-IF($B$1+28&gt;=$B$23,$B$22,0))*(1+$B$4)^28))*IF(AD132+IF($B$1+28&lt;=$B132,12*($B$7-$B$10),-12*MAX(0,($B$6+$B$10)-IF($B$1+28&gt;=$B$23,$B$22,0))*(1+$B$4)^28)&gt;0,1+$B$3,1))</f>
        <v/>
      </c>
      <c r="AF132">
        <f>IF($B$1+29&gt;90,AE132,(AE132+IF($B$1+29&lt;=$B132,12*($B$7-$B$10),-12*MAX(0,($B$6+$B$10)-IF($B$1+29&gt;=$B$23,$B$22,0))*(1+$B$4)^29))*IF(AE132+IF($B$1+29&lt;=$B132,12*($B$7-$B$10),-12*MAX(0,($B$6+$B$10)-IF($B$1+29&gt;=$B$23,$B$22,0))*(1+$B$4)^29)&gt;0,1+$B$3,1))</f>
        <v/>
      </c>
      <c r="AG132">
        <f>IF($B$1+30&gt;90,AF132,(AF132+IF($B$1+30&lt;=$B132,12*($B$7-$B$10),-12*MAX(0,($B$6+$B$10)-IF($B$1+30&gt;=$B$23,$B$22,0))*(1+$B$4)^30))*IF(AF132+IF($B$1+30&lt;=$B132,12*($B$7-$B$10),-12*MAX(0,($B$6+$B$10)-IF($B$1+30&gt;=$B$23,$B$22,0))*(1+$B$4)^30)&gt;0,1+$B$3,1))</f>
        <v/>
      </c>
      <c r="AH132">
        <f>IF($B$1+31&gt;90,AG132,(AG132+IF($B$1+31&lt;=$B132,12*($B$7-$B$10),-12*MAX(0,($B$6+$B$10)-IF($B$1+31&gt;=$B$23,$B$22,0))*(1+$B$4)^31))*IF(AG132+IF($B$1+31&lt;=$B132,12*($B$7-$B$10),-12*MAX(0,($B$6+$B$10)-IF($B$1+31&gt;=$B$23,$B$22,0))*(1+$B$4)^31)&gt;0,1+$B$3,1))</f>
        <v/>
      </c>
      <c r="AI132">
        <f>IF($B$1+32&gt;90,AH132,(AH132+IF($B$1+32&lt;=$B132,12*($B$7-$B$10),-12*MAX(0,($B$6+$B$10)-IF($B$1+32&gt;=$B$23,$B$22,0))*(1+$B$4)^32))*IF(AH132+IF($B$1+32&lt;=$B132,12*($B$7-$B$10),-12*MAX(0,($B$6+$B$10)-IF($B$1+32&gt;=$B$23,$B$22,0))*(1+$B$4)^32)&gt;0,1+$B$3,1))</f>
        <v/>
      </c>
      <c r="AJ132">
        <f>IF($B$1+33&gt;90,AI132,(AI132+IF($B$1+33&lt;=$B132,12*($B$7-$B$10),-12*MAX(0,($B$6+$B$10)-IF($B$1+33&gt;=$B$23,$B$22,0))*(1+$B$4)^33))*IF(AI132+IF($B$1+33&lt;=$B132,12*($B$7-$B$10),-12*MAX(0,($B$6+$B$10)-IF($B$1+33&gt;=$B$23,$B$22,0))*(1+$B$4)^33)&gt;0,1+$B$3,1))</f>
        <v/>
      </c>
      <c r="AK132">
        <f>IF($B$1+34&gt;90,AJ132,(AJ132+IF($B$1+34&lt;=$B132,12*($B$7-$B$10),-12*MAX(0,($B$6+$B$10)-IF($B$1+34&gt;=$B$23,$B$22,0))*(1+$B$4)^34))*IF(AJ132+IF($B$1+34&lt;=$B132,12*($B$7-$B$10),-12*MAX(0,($B$6+$B$10)-IF($B$1+34&gt;=$B$23,$B$22,0))*(1+$B$4)^34)&gt;0,1+$B$3,1))</f>
        <v/>
      </c>
      <c r="AL132">
        <f>IF($B$1+35&gt;90,AK132,(AK132+IF($B$1+35&lt;=$B132,12*($B$7-$B$10),-12*MAX(0,($B$6+$B$10)-IF($B$1+35&gt;=$B$23,$B$22,0))*(1+$B$4)^35))*IF(AK132+IF($B$1+35&lt;=$B132,12*($B$7-$B$10),-12*MAX(0,($B$6+$B$10)-IF($B$1+35&gt;=$B$23,$B$22,0))*(1+$B$4)^35)&gt;0,1+$B$3,1))</f>
        <v/>
      </c>
      <c r="AM132">
        <f>IF($B$1+36&gt;90,AL132,(AL132+IF($B$1+36&lt;=$B132,12*($B$7-$B$10),-12*MAX(0,($B$6+$B$10)-IF($B$1+36&gt;=$B$23,$B$22,0))*(1+$B$4)^36))*IF(AL132+IF($B$1+36&lt;=$B132,12*($B$7-$B$10),-12*MAX(0,($B$6+$B$10)-IF($B$1+36&gt;=$B$23,$B$22,0))*(1+$B$4)^36)&gt;0,1+$B$3,1))</f>
        <v/>
      </c>
      <c r="AN132">
        <f>IF($B$1+37&gt;90,AM132,(AM132+IF($B$1+37&lt;=$B132,12*($B$7-$B$10),-12*MAX(0,($B$6+$B$10)-IF($B$1+37&gt;=$B$23,$B$22,0))*(1+$B$4)^37))*IF(AM132+IF($B$1+37&lt;=$B132,12*($B$7-$B$10),-12*MAX(0,($B$6+$B$10)-IF($B$1+37&gt;=$B$23,$B$22,0))*(1+$B$4)^37)&gt;0,1+$B$3,1))</f>
        <v/>
      </c>
      <c r="AO132">
        <f>IF($B$1+38&gt;90,AN132,(AN132+IF($B$1+38&lt;=$B132,12*($B$7-$B$10),-12*MAX(0,($B$6+$B$10)-IF($B$1+38&gt;=$B$23,$B$22,0))*(1+$B$4)^38))*IF(AN132+IF($B$1+38&lt;=$B132,12*($B$7-$B$10),-12*MAX(0,($B$6+$B$10)-IF($B$1+38&gt;=$B$23,$B$22,0))*(1+$B$4)^38)&gt;0,1+$B$3,1))</f>
        <v/>
      </c>
      <c r="AP132">
        <f>IF($B$1+39&gt;90,AO132,(AO132+IF($B$1+39&lt;=$B132,12*($B$7-$B$10),-12*MAX(0,($B$6+$B$10)-IF($B$1+39&gt;=$B$23,$B$22,0))*(1+$B$4)^39))*IF(AO132+IF($B$1+39&lt;=$B132,12*($B$7-$B$10),-12*MAX(0,($B$6+$B$10)-IF($B$1+39&gt;=$B$23,$B$22,0))*(1+$B$4)^39)&gt;0,1+$B$3,1))</f>
        <v/>
      </c>
      <c r="AQ132">
        <f>IF($B$1+40&gt;90,AP132,(AP132+IF($B$1+40&lt;=$B132,12*($B$7-$B$10),-12*MAX(0,($B$6+$B$10)-IF($B$1+40&gt;=$B$23,$B$22,0))*(1+$B$4)^40))*IF(AP132+IF($B$1+40&lt;=$B132,12*($B$7-$B$10),-12*MAX(0,($B$6+$B$10)-IF($B$1+40&gt;=$B$23,$B$22,0))*(1+$B$4)^40)&gt;0,1+$B$3,1))</f>
        <v/>
      </c>
      <c r="AR132">
        <f>IF($B$1+41&gt;90,AQ132,(AQ132+IF($B$1+41&lt;=$B132,12*($B$7-$B$10),-12*MAX(0,($B$6+$B$10)-IF($B$1+41&gt;=$B$23,$B$22,0))*(1+$B$4)^41))*IF(AQ132+IF($B$1+41&lt;=$B132,12*($B$7-$B$10),-12*MAX(0,($B$6+$B$10)-IF($B$1+41&gt;=$B$23,$B$22,0))*(1+$B$4)^41)&gt;0,1+$B$3,1))</f>
        <v/>
      </c>
      <c r="AS132">
        <f>IF($B$1+42&gt;90,AR132,(AR132+IF($B$1+42&lt;=$B132,12*($B$7-$B$10),-12*MAX(0,($B$6+$B$10)-IF($B$1+42&gt;=$B$23,$B$22,0))*(1+$B$4)^42))*IF(AR132+IF($B$1+42&lt;=$B132,12*($B$7-$B$10),-12*MAX(0,($B$6+$B$10)-IF($B$1+42&gt;=$B$23,$B$22,0))*(1+$B$4)^42)&gt;0,1+$B$3,1))</f>
        <v/>
      </c>
      <c r="AT132">
        <f>IF($B$1+43&gt;90,AS132,(AS132+IF($B$1+43&lt;=$B132,12*($B$7-$B$10),-12*MAX(0,($B$6+$B$10)-IF($B$1+43&gt;=$B$23,$B$22,0))*(1+$B$4)^43))*IF(AS132+IF($B$1+43&lt;=$B132,12*($B$7-$B$10),-12*MAX(0,($B$6+$B$10)-IF($B$1+43&gt;=$B$23,$B$22,0))*(1+$B$4)^43)&gt;0,1+$B$3,1))</f>
        <v/>
      </c>
      <c r="AU132">
        <f>IF($B$1+44&gt;90,AT132,(AT132+IF($B$1+44&lt;=$B132,12*($B$7-$B$10),-12*MAX(0,($B$6+$B$10)-IF($B$1+44&gt;=$B$23,$B$22,0))*(1+$B$4)^44))*IF(AT132+IF($B$1+44&lt;=$B132,12*($B$7-$B$10),-12*MAX(0,($B$6+$B$10)-IF($B$1+44&gt;=$B$23,$B$22,0))*(1+$B$4)^44)&gt;0,1+$B$3,1))</f>
        <v/>
      </c>
      <c r="AV132">
        <f>IF($B$1+45&gt;90,AU132,(AU132+IF($B$1+45&lt;=$B132,12*($B$7-$B$10),-12*MAX(0,($B$6+$B$10)-IF($B$1+45&gt;=$B$23,$B$22,0))*(1+$B$4)^45))*IF(AU132+IF($B$1+45&lt;=$B132,12*($B$7-$B$10),-12*MAX(0,($B$6+$B$10)-IF($B$1+45&gt;=$B$23,$B$22,0))*(1+$B$4)^45)&gt;0,1+$B$3,1))</f>
        <v/>
      </c>
      <c r="AW132">
        <f>IF($B$1+46&gt;90,AV132,(AV132+IF($B$1+46&lt;=$B132,12*($B$7-$B$10),-12*MAX(0,($B$6+$B$10)-IF($B$1+46&gt;=$B$23,$B$22,0))*(1+$B$4)^46))*IF(AV132+IF($B$1+46&lt;=$B132,12*($B$7-$B$10),-12*MAX(0,($B$6+$B$10)-IF($B$1+46&gt;=$B$23,$B$22,0))*(1+$B$4)^46)&gt;0,1+$B$3,1))</f>
        <v/>
      </c>
      <c r="AX132">
        <f>IF($B$1+47&gt;90,AW132,(AW132+IF($B$1+47&lt;=$B132,12*($B$7-$B$10),-12*MAX(0,($B$6+$B$10)-IF($B$1+47&gt;=$B$23,$B$22,0))*(1+$B$4)^47))*IF(AW132+IF($B$1+47&lt;=$B132,12*($B$7-$B$10),-12*MAX(0,($B$6+$B$10)-IF($B$1+47&gt;=$B$23,$B$22,0))*(1+$B$4)^47)&gt;0,1+$B$3,1))</f>
        <v/>
      </c>
      <c r="AY132">
        <f>IF($B$1+48&gt;90,AX132,(AX132+IF($B$1+48&lt;=$B132,12*($B$7-$B$10),-12*MAX(0,($B$6+$B$10)-IF($B$1+48&gt;=$B$23,$B$22,0))*(1+$B$4)^48))*IF(AX132+IF($B$1+48&lt;=$B132,12*($B$7-$B$10),-12*MAX(0,($B$6+$B$10)-IF($B$1+48&gt;=$B$23,$B$22,0))*(1+$B$4)^48)&gt;0,1+$B$3,1))</f>
        <v/>
      </c>
      <c r="AZ132">
        <f>IF($B$1+49&gt;90,AY132,(AY132+IF($B$1+49&lt;=$B132,12*($B$7-$B$10),-12*MAX(0,($B$6+$B$10)-IF($B$1+49&gt;=$B$23,$B$22,0))*(1+$B$4)^49))*IF(AY132+IF($B$1+49&lt;=$B132,12*($B$7-$B$10),-12*MAX(0,($B$6+$B$10)-IF($B$1+49&gt;=$B$23,$B$22,0))*(1+$B$4)^49)&gt;0,1+$B$3,1))</f>
        <v/>
      </c>
      <c r="BA132">
        <f>IF($B$1+50&gt;90,AZ132,(AZ132+IF($B$1+50&lt;=$B132,12*($B$7-$B$10),-12*MAX(0,($B$6+$B$10)-IF($B$1+50&gt;=$B$23,$B$22,0))*(1+$B$4)^50))*IF(AZ132+IF($B$1+50&lt;=$B132,12*($B$7-$B$10),-12*MAX(0,($B$6+$B$10)-IF($B$1+50&gt;=$B$23,$B$22,0))*(1+$B$4)^50)&gt;0,1+$B$3,1))</f>
        <v/>
      </c>
      <c r="BB132">
        <f>IF($B$1+51&gt;90,BA132,(BA132+IF($B$1+51&lt;=$B132,12*($B$7-$B$10),-12*MAX(0,($B$6+$B$10)-IF($B$1+51&gt;=$B$23,$B$22,0))*(1+$B$4)^51))*IF(BA132+IF($B$1+51&lt;=$B132,12*($B$7-$B$10),-12*MAX(0,($B$6+$B$10)-IF($B$1+51&gt;=$B$23,$B$22,0))*(1+$B$4)^51)&gt;0,1+$B$3,1))</f>
        <v/>
      </c>
      <c r="BC132">
        <f>IF($B$1+52&gt;90,BB132,(BB132+IF($B$1+52&lt;=$B132,12*($B$7-$B$10),-12*MAX(0,($B$6+$B$10)-IF($B$1+52&gt;=$B$23,$B$22,0))*(1+$B$4)^52))*IF(BB132+IF($B$1+52&lt;=$B132,12*($B$7-$B$10),-12*MAX(0,($B$6+$B$10)-IF($B$1+52&gt;=$B$23,$B$22,0))*(1+$B$4)^52)&gt;0,1+$B$3,1))</f>
        <v/>
      </c>
      <c r="BD132">
        <f>IF($B$1+53&gt;90,BC132,(BC132+IF($B$1+53&lt;=$B132,12*($B$7-$B$10),-12*MAX(0,($B$6+$B$10)-IF($B$1+53&gt;=$B$23,$B$22,0))*(1+$B$4)^53))*IF(BC132+IF($B$1+53&lt;=$B132,12*($B$7-$B$10),-12*MAX(0,($B$6+$B$10)-IF($B$1+53&gt;=$B$23,$B$22,0))*(1+$B$4)^53)&gt;0,1+$B$3,1))</f>
        <v/>
      </c>
      <c r="BE132">
        <f>IF($B$1+54&gt;90,BD132,(BD132+IF($B$1+54&lt;=$B132,12*($B$7-$B$10),-12*MAX(0,($B$6+$B$10)-IF($B$1+54&gt;=$B$23,$B$22,0))*(1+$B$4)^54))*IF(BD132+IF($B$1+54&lt;=$B132,12*($B$7-$B$10),-12*MAX(0,($B$6+$B$10)-IF($B$1+54&gt;=$B$23,$B$22,0))*(1+$B$4)^54)&gt;0,1+$B$3,1))</f>
        <v/>
      </c>
      <c r="BF132">
        <f>IF($B$1+55&gt;90,BE132,(BE132+IF($B$1+55&lt;=$B132,12*($B$7-$B$10),-12*MAX(0,($B$6+$B$10)-IF($B$1+55&gt;=$B$23,$B$22,0))*(1+$B$4)^55))*IF(BE132+IF($B$1+55&lt;=$B132,12*($B$7-$B$10),-12*MAX(0,($B$6+$B$10)-IF($B$1+55&gt;=$B$23,$B$22,0))*(1+$B$4)^55)&gt;0,1+$B$3,1))</f>
        <v/>
      </c>
      <c r="BG132">
        <f>IF($B$1+56&gt;90,BF132,(BF132+IF($B$1+56&lt;=$B132,12*($B$7-$B$10),-12*MAX(0,($B$6+$B$10)-IF($B$1+56&gt;=$B$23,$B$22,0))*(1+$B$4)^56))*IF(BF132+IF($B$1+56&lt;=$B132,12*($B$7-$B$10),-12*MAX(0,($B$6+$B$10)-IF($B$1+56&gt;=$B$23,$B$22,0))*(1+$B$4)^56)&gt;0,1+$B$3,1))</f>
        <v/>
      </c>
      <c r="BH132">
        <f>IF($B$1+57&gt;90,BG132,(BG132+IF($B$1+57&lt;=$B132,12*($B$7-$B$10),-12*MAX(0,($B$6+$B$10)-IF($B$1+57&gt;=$B$23,$B$22,0))*(1+$B$4)^57))*IF(BG132+IF($B$1+57&lt;=$B132,12*($B$7-$B$10),-12*MAX(0,($B$6+$B$10)-IF($B$1+57&gt;=$B$23,$B$22,0))*(1+$B$4)^57)&gt;0,1+$B$3,1))</f>
        <v/>
      </c>
      <c r="BI132">
        <f>IF($B$1+58&gt;90,BH132,(BH132+IF($B$1+58&lt;=$B132,12*($B$7-$B$10),-12*MAX(0,($B$6+$B$10)-IF($B$1+58&gt;=$B$23,$B$22,0))*(1+$B$4)^58))*IF(BH132+IF($B$1+58&lt;=$B132,12*($B$7-$B$10),-12*MAX(0,($B$6+$B$10)-IF($B$1+58&gt;=$B$23,$B$22,0))*(1+$B$4)^58)&gt;0,1+$B$3,1))</f>
        <v/>
      </c>
      <c r="BJ132">
        <f>IF($B$1+59&gt;90,BI132,(BI132+IF($B$1+59&lt;=$B132,12*($B$7-$B$10),-12*MAX(0,($B$6+$B$10)-IF($B$1+59&gt;=$B$23,$B$22,0))*(1+$B$4)^59))*IF(BI132+IF($B$1+59&lt;=$B132,12*($B$7-$B$10),-12*MAX(0,($B$6+$B$10)-IF($B$1+59&gt;=$B$23,$B$22,0))*(1+$B$4)^59)&gt;0,1+$B$3,1))</f>
        <v/>
      </c>
      <c r="BK132">
        <f>IF($B$1+60&gt;90,BJ132,(BJ132+IF($B$1+60&lt;=$B132,12*($B$7-$B$10),-12*MAX(0,($B$6+$B$10)-IF($B$1+60&gt;=$B$23,$B$22,0))*(1+$B$4)^60))*IF(BJ132+IF($B$1+60&lt;=$B132,12*($B$7-$B$10),-12*MAX(0,($B$6+$B$10)-IF($B$1+60&gt;=$B$23,$B$22,0))*(1+$B$4)^60)&gt;0,1+$B$3,1))</f>
        <v/>
      </c>
      <c r="BL132">
        <f>IF($B$1+61&gt;90,BK132,(BK132+IF($B$1+61&lt;=$B132,12*($B$7-$B$10),-12*MAX(0,($B$6+$B$10)-IF($B$1+61&gt;=$B$23,$B$22,0))*(1+$B$4)^61))*IF(BK132+IF($B$1+61&lt;=$B132,12*($B$7-$B$10),-12*MAX(0,($B$6+$B$10)-IF($B$1+61&gt;=$B$23,$B$22,0))*(1+$B$4)^61)&gt;0,1+$B$3,1))</f>
        <v/>
      </c>
      <c r="BM132">
        <f>IF($B$1+62&gt;90,BL132,(BL132+IF($B$1+62&lt;=$B132,12*($B$7-$B$10),-12*MAX(0,($B$6+$B$10)-IF($B$1+62&gt;=$B$23,$B$22,0))*(1+$B$4)^62))*IF(BL132+IF($B$1+62&lt;=$B132,12*($B$7-$B$10),-12*MAX(0,($B$6+$B$10)-IF($B$1+62&gt;=$B$23,$B$22,0))*(1+$B$4)^62)&gt;0,1+$B$3,1))</f>
        <v/>
      </c>
      <c r="BN132">
        <f>IF($B$1+63&gt;90,BM132,(BM132+IF($B$1+63&lt;=$B132,12*($B$7-$B$10),-12*MAX(0,($B$6+$B$10)-IF($B$1+63&gt;=$B$23,$B$22,0))*(1+$B$4)^63))*IF(BM132+IF($B$1+63&lt;=$B132,12*($B$7-$B$10),-12*MAX(0,($B$6+$B$10)-IF($B$1+63&gt;=$B$23,$B$22,0))*(1+$B$4)^63)&gt;0,1+$B$3,1))</f>
        <v/>
      </c>
      <c r="BO132">
        <f>IF($B$1+64&gt;90,BN132,(BN132+IF($B$1+64&lt;=$B132,12*($B$7-$B$10),-12*MAX(0,($B$6+$B$10)-IF($B$1+64&gt;=$B$23,$B$22,0))*(1+$B$4)^64))*IF(BN132+IF($B$1+64&lt;=$B132,12*($B$7-$B$10),-12*MAX(0,($B$6+$B$10)-IF($B$1+64&gt;=$B$23,$B$22,0))*(1+$B$4)^64)&gt;0,1+$B$3,1))</f>
        <v/>
      </c>
      <c r="BP132">
        <f>IF($B$1+65&gt;90,BO132,(BO132+IF($B$1+65&lt;=$B132,12*($B$7-$B$10),-12*MAX(0,($B$6+$B$10)-IF($B$1+65&gt;=$B$23,$B$22,0))*(1+$B$4)^65))*IF(BO132+IF($B$1+65&lt;=$B132,12*($B$7-$B$10),-12*MAX(0,($B$6+$B$10)-IF($B$1+65&gt;=$B$23,$B$22,0))*(1+$B$4)^65)&gt;0,1+$B$3,1))</f>
        <v/>
      </c>
      <c r="BQ132">
        <f>IF($B$1+66&gt;90,BP132,(BP132+IF($B$1+66&lt;=$B132,12*($B$7-$B$10),-12*MAX(0,($B$6+$B$10)-IF($B$1+66&gt;=$B$23,$B$22,0))*(1+$B$4)^66))*IF(BP132+IF($B$1+66&lt;=$B132,12*($B$7-$B$10),-12*MAX(0,($B$6+$B$10)-IF($B$1+66&gt;=$B$23,$B$22,0))*(1+$B$4)^66)&gt;0,1+$B$3,1))</f>
        <v/>
      </c>
      <c r="BR132">
        <f>IF($B$1+67&gt;90,BQ132,(BQ132+IF($B$1+67&lt;=$B132,12*($B$7-$B$10),-12*MAX(0,($B$6+$B$10)-IF($B$1+67&gt;=$B$23,$B$22,0))*(1+$B$4)^67))*IF(BQ132+IF($B$1+67&lt;=$B132,12*($B$7-$B$10),-12*MAX(0,($B$6+$B$10)-IF($B$1+67&gt;=$B$23,$B$22,0))*(1+$B$4)^67)&gt;0,1+$B$3,1))</f>
        <v/>
      </c>
      <c r="BS132">
        <f>IF($B$1+68&gt;90,BR132,(BR132+IF($B$1+68&lt;=$B132,12*($B$7-$B$10),-12*MAX(0,($B$6+$B$10)-IF($B$1+68&gt;=$B$23,$B$22,0))*(1+$B$4)^68))*IF(BR132+IF($B$1+68&lt;=$B132,12*($B$7-$B$10),-12*MAX(0,($B$6+$B$10)-IF($B$1+68&gt;=$B$23,$B$22,0))*(1+$B$4)^68)&gt;0,1+$B$3,1))</f>
        <v/>
      </c>
      <c r="BT132">
        <f>IF($B$1+69&gt;90,BS132,(BS132+IF($B$1+69&lt;=$B132,12*($B$7-$B$10),-12*MAX(0,($B$6+$B$10)-IF($B$1+69&gt;=$B$23,$B$22,0))*(1+$B$4)^69))*IF(BS132+IF($B$1+69&lt;=$B132,12*($B$7-$B$10),-12*MAX(0,($B$6+$B$10)-IF($B$1+69&gt;=$B$23,$B$22,0))*(1+$B$4)^69)&gt;0,1+$B$3,1))</f>
        <v/>
      </c>
      <c r="BU132">
        <f>IF($B$1+70&gt;90,BT132,(BT132+IF($B$1+70&lt;=$B132,12*($B$7-$B$10),-12*MAX(0,($B$6+$B$10)-IF($B$1+70&gt;=$B$23,$B$22,0))*(1+$B$4)^70))*IF(BT132+IF($B$1+70&lt;=$B132,12*($B$7-$B$10),-12*MAX(0,($B$6+$B$10)-IF($B$1+70&gt;=$B$23,$B$22,0))*(1+$B$4)^70)&gt;0,1+$B$3,1))</f>
        <v/>
      </c>
      <c r="BV132">
        <f>BU132</f>
        <v/>
      </c>
      <c r="BW132">
        <f>IF(AND($B132&lt;=70,BV132&gt;0),$B132,999)</f>
        <v/>
      </c>
      <c r="CH132">
        <f>IF(ISTEXT('월 가계부'!A132),SUBSTITUTE(SUBSTITUTE(SUBSTITUTE(SUBSTITUTE(SUBSTITUTE(SUBSTITUTE(SUBSTITUTE(SUBSTITUTE(SUBSTITUTE(TRIM('월 가계부'!A132),"년","-"),"월","-"),"일",""),".","-"),"/","-")," ","-"),"--","-"),"--","-"),"--","-")&amp;"-","")</f>
        <v/>
      </c>
      <c r="CI132">
        <f>IFERROR(IF('월 가계부'!A132="","",IF(ISNUMBER('월 가계부'!A132),IF(AND('월 가계부'!A132&gt;=19000101,'월 가계부'!A132&lt;=21001231),IF(AND(MOD(INT('월 가계부'!A132/100),100)&gt;=1,MOD(INT('월 가계부'!A132/100),100)&lt;=12,MOD(INT('월 가계부'!A132),100)&gt;=1,MOD(INT('월 가계부'!A132),100)&lt;=31),IF(MONTH(DATE(INT('월 가계부'!A132/10000),MOD(INT('월 가계부'!A132/100),100),MOD(INT('월 가계부'!A132),100)))=MOD(INT('월 가계부'!A132/100),100),DATE(INT('월 가계부'!A132/10000),MOD(INT('월 가계부'!A132/100),100),MOD(INT('월 가계부'!A132),100)),""),""),IF(AND('월 가계부'!A132&gt;=36526,'월 가계부'!A132&lt;73051),INT('월 가계부'!A132),"")),IF(OR(CM132="",CN132="",CO132=""),"",IF(AND(CM132&gt;=2000,CM132&lt;=2099,CN132&gt;=1,CN132&lt;=12,CO132&gt;=1,CO132&lt;=31),IF(MONTH(DATE(CM132,CN132,CO132))=CN132,DATE(CM132,CN132,CO132),""),"")))),"")</f>
        <v/>
      </c>
      <c r="CJ132">
        <f>IFERROR(IF('월 가계부'!C132="","",IF(ISNUMBER('월 가계부'!C132),'월 가계부'!C132,VALUE(SUBSTITUTE(SUBSTITUTE(SUBSTITUTE(SUBSTITUTE(TRIM('월 가계부'!C132),",",""),"원","")," ",""),"−","-")))),"")</f>
        <v/>
      </c>
      <c r="CK132">
        <f>IF(ISNUMBER(CI132),IF(CI132&lt;$B$13,CI132,""),"")</f>
        <v/>
      </c>
      <c r="CM132">
        <f>IF(CH132="","",IFERROR(IF(IF(AND(LEN(CH132)=9,ISERROR(FIND("-",LEFT(CH132,8))),ISNUMBER(-LEFT(CH132,8))),VALUE(LEFT(CH132,4)),VALUE(LEFT(CH132,FIND("-",CH132)-1)))&lt;100,IF(AND(LEN(CH132)=9,ISERROR(FIND("-",LEFT(CH132,8))),ISNUMBER(-LEFT(CH132,8))),VALUE(LEFT(CH132,4)),VALUE(LEFT(CH132,FIND("-",CH132)-1)))+2000,IF(AND(LEN(CH132)=9,ISERROR(FIND("-",LEFT(CH132,8))),ISNUMBER(-LEFT(CH132,8))),VALUE(LEFT(CH132,4)),VALUE(LEFT(CH132,FIND("-",CH132)-1)))),""))</f>
        <v/>
      </c>
      <c r="CN132">
        <f>IF(CH132="","",IFERROR(IF(AND(LEN(CH132)=9,ISERROR(FIND("-",LEFT(CH132,8))),ISNUMBER(-LEFT(CH132,8))),VALUE(MID(CH132,5,2)),VALUE(MID(CH132,FIND("-",CH132)+1,FIND("-",CH132,FIND("-",CH132)+1)-FIND("-",CH132)-1))),""))</f>
        <v/>
      </c>
      <c r="CO132">
        <f>IF(CH132="","",IFERROR(IF(AND(LEN(CH132)=9,ISERROR(FIND("-",LEFT(CH132,8))),ISNUMBER(-LEFT(CH132,8))),VALUE(MID(CH132,7,2)),VALUE(MID(CH132,FIND("-",CH132,FIND("-",CH132)+1)+1,FIND("-",CH132,FIND("-",CH132,FIND("-",CH132)+1)+1)-FIND("-",CH132,FIND("-",CH132)+1)-1))),""))</f>
        <v/>
      </c>
    </row>
    <row r="133">
      <c r="A133" t="n">
        <v>37</v>
      </c>
      <c r="B133">
        <f>$B$1+37</f>
        <v/>
      </c>
      <c r="C133">
        <f>$B$2</f>
        <v/>
      </c>
      <c r="D133">
        <f>IF($B$1+1&gt;90,C133,(C133+IF($B$1+1&lt;=$B133,12*($B$7-$B$10),-12*MAX(0,($B$6+$B$10)-IF($B$1+1&gt;=$B$23,$B$22,0))*(1+$B$4)^1))*IF(C133+IF($B$1+1&lt;=$B133,12*($B$7-$B$10),-12*MAX(0,($B$6+$B$10)-IF($B$1+1&gt;=$B$23,$B$22,0))*(1+$B$4)^1)&gt;0,1+$B$3,1))</f>
        <v/>
      </c>
      <c r="E133">
        <f>IF($B$1+2&gt;90,D133,(D133+IF($B$1+2&lt;=$B133,12*($B$7-$B$10),-12*MAX(0,($B$6+$B$10)-IF($B$1+2&gt;=$B$23,$B$22,0))*(1+$B$4)^2))*IF(D133+IF($B$1+2&lt;=$B133,12*($B$7-$B$10),-12*MAX(0,($B$6+$B$10)-IF($B$1+2&gt;=$B$23,$B$22,0))*(1+$B$4)^2)&gt;0,1+$B$3,1))</f>
        <v/>
      </c>
      <c r="F133">
        <f>IF($B$1+3&gt;90,E133,(E133+IF($B$1+3&lt;=$B133,12*($B$7-$B$10),-12*MAX(0,($B$6+$B$10)-IF($B$1+3&gt;=$B$23,$B$22,0))*(1+$B$4)^3))*IF(E133+IF($B$1+3&lt;=$B133,12*($B$7-$B$10),-12*MAX(0,($B$6+$B$10)-IF($B$1+3&gt;=$B$23,$B$22,0))*(1+$B$4)^3)&gt;0,1+$B$3,1))</f>
        <v/>
      </c>
      <c r="G133">
        <f>IF($B$1+4&gt;90,F133,(F133+IF($B$1+4&lt;=$B133,12*($B$7-$B$10),-12*MAX(0,($B$6+$B$10)-IF($B$1+4&gt;=$B$23,$B$22,0))*(1+$B$4)^4))*IF(F133+IF($B$1+4&lt;=$B133,12*($B$7-$B$10),-12*MAX(0,($B$6+$B$10)-IF($B$1+4&gt;=$B$23,$B$22,0))*(1+$B$4)^4)&gt;0,1+$B$3,1))</f>
        <v/>
      </c>
      <c r="H133">
        <f>IF($B$1+5&gt;90,G133,(G133+IF($B$1+5&lt;=$B133,12*($B$7-$B$10),-12*MAX(0,($B$6+$B$10)-IF($B$1+5&gt;=$B$23,$B$22,0))*(1+$B$4)^5))*IF(G133+IF($B$1+5&lt;=$B133,12*($B$7-$B$10),-12*MAX(0,($B$6+$B$10)-IF($B$1+5&gt;=$B$23,$B$22,0))*(1+$B$4)^5)&gt;0,1+$B$3,1))</f>
        <v/>
      </c>
      <c r="I133">
        <f>IF($B$1+6&gt;90,H133,(H133+IF($B$1+6&lt;=$B133,12*($B$7-$B$10),-12*MAX(0,($B$6+$B$10)-IF($B$1+6&gt;=$B$23,$B$22,0))*(1+$B$4)^6))*IF(H133+IF($B$1+6&lt;=$B133,12*($B$7-$B$10),-12*MAX(0,($B$6+$B$10)-IF($B$1+6&gt;=$B$23,$B$22,0))*(1+$B$4)^6)&gt;0,1+$B$3,1))</f>
        <v/>
      </c>
      <c r="J133">
        <f>IF($B$1+7&gt;90,I133,(I133+IF($B$1+7&lt;=$B133,12*($B$7-$B$10),-12*MAX(0,($B$6+$B$10)-IF($B$1+7&gt;=$B$23,$B$22,0))*(1+$B$4)^7))*IF(I133+IF($B$1+7&lt;=$B133,12*($B$7-$B$10),-12*MAX(0,($B$6+$B$10)-IF($B$1+7&gt;=$B$23,$B$22,0))*(1+$B$4)^7)&gt;0,1+$B$3,1))</f>
        <v/>
      </c>
      <c r="K133">
        <f>IF($B$1+8&gt;90,J133,(J133+IF($B$1+8&lt;=$B133,12*($B$7-$B$10),-12*MAX(0,($B$6+$B$10)-IF($B$1+8&gt;=$B$23,$B$22,0))*(1+$B$4)^8))*IF(J133+IF($B$1+8&lt;=$B133,12*($B$7-$B$10),-12*MAX(0,($B$6+$B$10)-IF($B$1+8&gt;=$B$23,$B$22,0))*(1+$B$4)^8)&gt;0,1+$B$3,1))</f>
        <v/>
      </c>
      <c r="L133">
        <f>IF($B$1+9&gt;90,K133,(K133+IF($B$1+9&lt;=$B133,12*($B$7-$B$10),-12*MAX(0,($B$6+$B$10)-IF($B$1+9&gt;=$B$23,$B$22,0))*(1+$B$4)^9))*IF(K133+IF($B$1+9&lt;=$B133,12*($B$7-$B$10),-12*MAX(0,($B$6+$B$10)-IF($B$1+9&gt;=$B$23,$B$22,0))*(1+$B$4)^9)&gt;0,1+$B$3,1))</f>
        <v/>
      </c>
      <c r="M133">
        <f>IF($B$1+10&gt;90,L133,(L133+IF($B$1+10&lt;=$B133,12*($B$7-$B$10),-12*MAX(0,($B$6+$B$10)-IF($B$1+10&gt;=$B$23,$B$22,0))*(1+$B$4)^10))*IF(L133+IF($B$1+10&lt;=$B133,12*($B$7-$B$10),-12*MAX(0,($B$6+$B$10)-IF($B$1+10&gt;=$B$23,$B$22,0))*(1+$B$4)^10)&gt;0,1+$B$3,1))</f>
        <v/>
      </c>
      <c r="N133">
        <f>IF($B$1+11&gt;90,M133,(M133+IF($B$1+11&lt;=$B133,12*($B$7-$B$10),-12*MAX(0,($B$6+$B$10)-IF($B$1+11&gt;=$B$23,$B$22,0))*(1+$B$4)^11))*IF(M133+IF($B$1+11&lt;=$B133,12*($B$7-$B$10),-12*MAX(0,($B$6+$B$10)-IF($B$1+11&gt;=$B$23,$B$22,0))*(1+$B$4)^11)&gt;0,1+$B$3,1))</f>
        <v/>
      </c>
      <c r="O133">
        <f>IF($B$1+12&gt;90,N133,(N133+IF($B$1+12&lt;=$B133,12*($B$7-$B$10),-12*MAX(0,($B$6+$B$10)-IF($B$1+12&gt;=$B$23,$B$22,0))*(1+$B$4)^12))*IF(N133+IF($B$1+12&lt;=$B133,12*($B$7-$B$10),-12*MAX(0,($B$6+$B$10)-IF($B$1+12&gt;=$B$23,$B$22,0))*(1+$B$4)^12)&gt;0,1+$B$3,1))</f>
        <v/>
      </c>
      <c r="P133">
        <f>IF($B$1+13&gt;90,O133,(O133+IF($B$1+13&lt;=$B133,12*($B$7-$B$10),-12*MAX(0,($B$6+$B$10)-IF($B$1+13&gt;=$B$23,$B$22,0))*(1+$B$4)^13))*IF(O133+IF($B$1+13&lt;=$B133,12*($B$7-$B$10),-12*MAX(0,($B$6+$B$10)-IF($B$1+13&gt;=$B$23,$B$22,0))*(1+$B$4)^13)&gt;0,1+$B$3,1))</f>
        <v/>
      </c>
      <c r="Q133">
        <f>IF($B$1+14&gt;90,P133,(P133+IF($B$1+14&lt;=$B133,12*($B$7-$B$10),-12*MAX(0,($B$6+$B$10)-IF($B$1+14&gt;=$B$23,$B$22,0))*(1+$B$4)^14))*IF(P133+IF($B$1+14&lt;=$B133,12*($B$7-$B$10),-12*MAX(0,($B$6+$B$10)-IF($B$1+14&gt;=$B$23,$B$22,0))*(1+$B$4)^14)&gt;0,1+$B$3,1))</f>
        <v/>
      </c>
      <c r="R133">
        <f>IF($B$1+15&gt;90,Q133,(Q133+IF($B$1+15&lt;=$B133,12*($B$7-$B$10),-12*MAX(0,($B$6+$B$10)-IF($B$1+15&gt;=$B$23,$B$22,0))*(1+$B$4)^15))*IF(Q133+IF($B$1+15&lt;=$B133,12*($B$7-$B$10),-12*MAX(0,($B$6+$B$10)-IF($B$1+15&gt;=$B$23,$B$22,0))*(1+$B$4)^15)&gt;0,1+$B$3,1))</f>
        <v/>
      </c>
      <c r="S133">
        <f>IF($B$1+16&gt;90,R133,(R133+IF($B$1+16&lt;=$B133,12*($B$7-$B$10),-12*MAX(0,($B$6+$B$10)-IF($B$1+16&gt;=$B$23,$B$22,0))*(1+$B$4)^16))*IF(R133+IF($B$1+16&lt;=$B133,12*($B$7-$B$10),-12*MAX(0,($B$6+$B$10)-IF($B$1+16&gt;=$B$23,$B$22,0))*(1+$B$4)^16)&gt;0,1+$B$3,1))</f>
        <v/>
      </c>
      <c r="T133">
        <f>IF($B$1+17&gt;90,S133,(S133+IF($B$1+17&lt;=$B133,12*($B$7-$B$10),-12*MAX(0,($B$6+$B$10)-IF($B$1+17&gt;=$B$23,$B$22,0))*(1+$B$4)^17))*IF(S133+IF($B$1+17&lt;=$B133,12*($B$7-$B$10),-12*MAX(0,($B$6+$B$10)-IF($B$1+17&gt;=$B$23,$B$22,0))*(1+$B$4)^17)&gt;0,1+$B$3,1))</f>
        <v/>
      </c>
      <c r="U133">
        <f>IF($B$1+18&gt;90,T133,(T133+IF($B$1+18&lt;=$B133,12*($B$7-$B$10),-12*MAX(0,($B$6+$B$10)-IF($B$1+18&gt;=$B$23,$B$22,0))*(1+$B$4)^18))*IF(T133+IF($B$1+18&lt;=$B133,12*($B$7-$B$10),-12*MAX(0,($B$6+$B$10)-IF($B$1+18&gt;=$B$23,$B$22,0))*(1+$B$4)^18)&gt;0,1+$B$3,1))</f>
        <v/>
      </c>
      <c r="V133">
        <f>IF($B$1+19&gt;90,U133,(U133+IF($B$1+19&lt;=$B133,12*($B$7-$B$10),-12*MAX(0,($B$6+$B$10)-IF($B$1+19&gt;=$B$23,$B$22,0))*(1+$B$4)^19))*IF(U133+IF($B$1+19&lt;=$B133,12*($B$7-$B$10),-12*MAX(0,($B$6+$B$10)-IF($B$1+19&gt;=$B$23,$B$22,0))*(1+$B$4)^19)&gt;0,1+$B$3,1))</f>
        <v/>
      </c>
      <c r="W133">
        <f>IF($B$1+20&gt;90,V133,(V133+IF($B$1+20&lt;=$B133,12*($B$7-$B$10),-12*MAX(0,($B$6+$B$10)-IF($B$1+20&gt;=$B$23,$B$22,0))*(1+$B$4)^20))*IF(V133+IF($B$1+20&lt;=$B133,12*($B$7-$B$10),-12*MAX(0,($B$6+$B$10)-IF($B$1+20&gt;=$B$23,$B$22,0))*(1+$B$4)^20)&gt;0,1+$B$3,1))</f>
        <v/>
      </c>
      <c r="X133">
        <f>IF($B$1+21&gt;90,W133,(W133+IF($B$1+21&lt;=$B133,12*($B$7-$B$10),-12*MAX(0,($B$6+$B$10)-IF($B$1+21&gt;=$B$23,$B$22,0))*(1+$B$4)^21))*IF(W133+IF($B$1+21&lt;=$B133,12*($B$7-$B$10),-12*MAX(0,($B$6+$B$10)-IF($B$1+21&gt;=$B$23,$B$22,0))*(1+$B$4)^21)&gt;0,1+$B$3,1))</f>
        <v/>
      </c>
      <c r="Y133">
        <f>IF($B$1+22&gt;90,X133,(X133+IF($B$1+22&lt;=$B133,12*($B$7-$B$10),-12*MAX(0,($B$6+$B$10)-IF($B$1+22&gt;=$B$23,$B$22,0))*(1+$B$4)^22))*IF(X133+IF($B$1+22&lt;=$B133,12*($B$7-$B$10),-12*MAX(0,($B$6+$B$10)-IF($B$1+22&gt;=$B$23,$B$22,0))*(1+$B$4)^22)&gt;0,1+$B$3,1))</f>
        <v/>
      </c>
      <c r="Z133">
        <f>IF($B$1+23&gt;90,Y133,(Y133+IF($B$1+23&lt;=$B133,12*($B$7-$B$10),-12*MAX(0,($B$6+$B$10)-IF($B$1+23&gt;=$B$23,$B$22,0))*(1+$B$4)^23))*IF(Y133+IF($B$1+23&lt;=$B133,12*($B$7-$B$10),-12*MAX(0,($B$6+$B$10)-IF($B$1+23&gt;=$B$23,$B$22,0))*(1+$B$4)^23)&gt;0,1+$B$3,1))</f>
        <v/>
      </c>
      <c r="AA133">
        <f>IF($B$1+24&gt;90,Z133,(Z133+IF($B$1+24&lt;=$B133,12*($B$7-$B$10),-12*MAX(0,($B$6+$B$10)-IF($B$1+24&gt;=$B$23,$B$22,0))*(1+$B$4)^24))*IF(Z133+IF($B$1+24&lt;=$B133,12*($B$7-$B$10),-12*MAX(0,($B$6+$B$10)-IF($B$1+24&gt;=$B$23,$B$22,0))*(1+$B$4)^24)&gt;0,1+$B$3,1))</f>
        <v/>
      </c>
      <c r="AB133">
        <f>IF($B$1+25&gt;90,AA133,(AA133+IF($B$1+25&lt;=$B133,12*($B$7-$B$10),-12*MAX(0,($B$6+$B$10)-IF($B$1+25&gt;=$B$23,$B$22,0))*(1+$B$4)^25))*IF(AA133+IF($B$1+25&lt;=$B133,12*($B$7-$B$10),-12*MAX(0,($B$6+$B$10)-IF($B$1+25&gt;=$B$23,$B$22,0))*(1+$B$4)^25)&gt;0,1+$B$3,1))</f>
        <v/>
      </c>
      <c r="AC133">
        <f>IF($B$1+26&gt;90,AB133,(AB133+IF($B$1+26&lt;=$B133,12*($B$7-$B$10),-12*MAX(0,($B$6+$B$10)-IF($B$1+26&gt;=$B$23,$B$22,0))*(1+$B$4)^26))*IF(AB133+IF($B$1+26&lt;=$B133,12*($B$7-$B$10),-12*MAX(0,($B$6+$B$10)-IF($B$1+26&gt;=$B$23,$B$22,0))*(1+$B$4)^26)&gt;0,1+$B$3,1))</f>
        <v/>
      </c>
      <c r="AD133">
        <f>IF($B$1+27&gt;90,AC133,(AC133+IF($B$1+27&lt;=$B133,12*($B$7-$B$10),-12*MAX(0,($B$6+$B$10)-IF($B$1+27&gt;=$B$23,$B$22,0))*(1+$B$4)^27))*IF(AC133+IF($B$1+27&lt;=$B133,12*($B$7-$B$10),-12*MAX(0,($B$6+$B$10)-IF($B$1+27&gt;=$B$23,$B$22,0))*(1+$B$4)^27)&gt;0,1+$B$3,1))</f>
        <v/>
      </c>
      <c r="AE133">
        <f>IF($B$1+28&gt;90,AD133,(AD133+IF($B$1+28&lt;=$B133,12*($B$7-$B$10),-12*MAX(0,($B$6+$B$10)-IF($B$1+28&gt;=$B$23,$B$22,0))*(1+$B$4)^28))*IF(AD133+IF($B$1+28&lt;=$B133,12*($B$7-$B$10),-12*MAX(0,($B$6+$B$10)-IF($B$1+28&gt;=$B$23,$B$22,0))*(1+$B$4)^28)&gt;0,1+$B$3,1))</f>
        <v/>
      </c>
      <c r="AF133">
        <f>IF($B$1+29&gt;90,AE133,(AE133+IF($B$1+29&lt;=$B133,12*($B$7-$B$10),-12*MAX(0,($B$6+$B$10)-IF($B$1+29&gt;=$B$23,$B$22,0))*(1+$B$4)^29))*IF(AE133+IF($B$1+29&lt;=$B133,12*($B$7-$B$10),-12*MAX(0,($B$6+$B$10)-IF($B$1+29&gt;=$B$23,$B$22,0))*(1+$B$4)^29)&gt;0,1+$B$3,1))</f>
        <v/>
      </c>
      <c r="AG133">
        <f>IF($B$1+30&gt;90,AF133,(AF133+IF($B$1+30&lt;=$B133,12*($B$7-$B$10),-12*MAX(0,($B$6+$B$10)-IF($B$1+30&gt;=$B$23,$B$22,0))*(1+$B$4)^30))*IF(AF133+IF($B$1+30&lt;=$B133,12*($B$7-$B$10),-12*MAX(0,($B$6+$B$10)-IF($B$1+30&gt;=$B$23,$B$22,0))*(1+$B$4)^30)&gt;0,1+$B$3,1))</f>
        <v/>
      </c>
      <c r="AH133">
        <f>IF($B$1+31&gt;90,AG133,(AG133+IF($B$1+31&lt;=$B133,12*($B$7-$B$10),-12*MAX(0,($B$6+$B$10)-IF($B$1+31&gt;=$B$23,$B$22,0))*(1+$B$4)^31))*IF(AG133+IF($B$1+31&lt;=$B133,12*($B$7-$B$10),-12*MAX(0,($B$6+$B$10)-IF($B$1+31&gt;=$B$23,$B$22,0))*(1+$B$4)^31)&gt;0,1+$B$3,1))</f>
        <v/>
      </c>
      <c r="AI133">
        <f>IF($B$1+32&gt;90,AH133,(AH133+IF($B$1+32&lt;=$B133,12*($B$7-$B$10),-12*MAX(0,($B$6+$B$10)-IF($B$1+32&gt;=$B$23,$B$22,0))*(1+$B$4)^32))*IF(AH133+IF($B$1+32&lt;=$B133,12*($B$7-$B$10),-12*MAX(0,($B$6+$B$10)-IF($B$1+32&gt;=$B$23,$B$22,0))*(1+$B$4)^32)&gt;0,1+$B$3,1))</f>
        <v/>
      </c>
      <c r="AJ133">
        <f>IF($B$1+33&gt;90,AI133,(AI133+IF($B$1+33&lt;=$B133,12*($B$7-$B$10),-12*MAX(0,($B$6+$B$10)-IF($B$1+33&gt;=$B$23,$B$22,0))*(1+$B$4)^33))*IF(AI133+IF($B$1+33&lt;=$B133,12*($B$7-$B$10),-12*MAX(0,($B$6+$B$10)-IF($B$1+33&gt;=$B$23,$B$22,0))*(1+$B$4)^33)&gt;0,1+$B$3,1))</f>
        <v/>
      </c>
      <c r="AK133">
        <f>IF($B$1+34&gt;90,AJ133,(AJ133+IF($B$1+34&lt;=$B133,12*($B$7-$B$10),-12*MAX(0,($B$6+$B$10)-IF($B$1+34&gt;=$B$23,$B$22,0))*(1+$B$4)^34))*IF(AJ133+IF($B$1+34&lt;=$B133,12*($B$7-$B$10),-12*MAX(0,($B$6+$B$10)-IF($B$1+34&gt;=$B$23,$B$22,0))*(1+$B$4)^34)&gt;0,1+$B$3,1))</f>
        <v/>
      </c>
      <c r="AL133">
        <f>IF($B$1+35&gt;90,AK133,(AK133+IF($B$1+35&lt;=$B133,12*($B$7-$B$10),-12*MAX(0,($B$6+$B$10)-IF($B$1+35&gt;=$B$23,$B$22,0))*(1+$B$4)^35))*IF(AK133+IF($B$1+35&lt;=$B133,12*($B$7-$B$10),-12*MAX(0,($B$6+$B$10)-IF($B$1+35&gt;=$B$23,$B$22,0))*(1+$B$4)^35)&gt;0,1+$B$3,1))</f>
        <v/>
      </c>
      <c r="AM133">
        <f>IF($B$1+36&gt;90,AL133,(AL133+IF($B$1+36&lt;=$B133,12*($B$7-$B$10),-12*MAX(0,($B$6+$B$10)-IF($B$1+36&gt;=$B$23,$B$22,0))*(1+$B$4)^36))*IF(AL133+IF($B$1+36&lt;=$B133,12*($B$7-$B$10),-12*MAX(0,($B$6+$B$10)-IF($B$1+36&gt;=$B$23,$B$22,0))*(1+$B$4)^36)&gt;0,1+$B$3,1))</f>
        <v/>
      </c>
      <c r="AN133">
        <f>IF($B$1+37&gt;90,AM133,(AM133+IF($B$1+37&lt;=$B133,12*($B$7-$B$10),-12*MAX(0,($B$6+$B$10)-IF($B$1+37&gt;=$B$23,$B$22,0))*(1+$B$4)^37))*IF(AM133+IF($B$1+37&lt;=$B133,12*($B$7-$B$10),-12*MAX(0,($B$6+$B$10)-IF($B$1+37&gt;=$B$23,$B$22,0))*(1+$B$4)^37)&gt;0,1+$B$3,1))</f>
        <v/>
      </c>
      <c r="AO133">
        <f>IF($B$1+38&gt;90,AN133,(AN133+IF($B$1+38&lt;=$B133,12*($B$7-$B$10),-12*MAX(0,($B$6+$B$10)-IF($B$1+38&gt;=$B$23,$B$22,0))*(1+$B$4)^38))*IF(AN133+IF($B$1+38&lt;=$B133,12*($B$7-$B$10),-12*MAX(0,($B$6+$B$10)-IF($B$1+38&gt;=$B$23,$B$22,0))*(1+$B$4)^38)&gt;0,1+$B$3,1))</f>
        <v/>
      </c>
      <c r="AP133">
        <f>IF($B$1+39&gt;90,AO133,(AO133+IF($B$1+39&lt;=$B133,12*($B$7-$B$10),-12*MAX(0,($B$6+$B$10)-IF($B$1+39&gt;=$B$23,$B$22,0))*(1+$B$4)^39))*IF(AO133+IF($B$1+39&lt;=$B133,12*($B$7-$B$10),-12*MAX(0,($B$6+$B$10)-IF($B$1+39&gt;=$B$23,$B$22,0))*(1+$B$4)^39)&gt;0,1+$B$3,1))</f>
        <v/>
      </c>
      <c r="AQ133">
        <f>IF($B$1+40&gt;90,AP133,(AP133+IF($B$1+40&lt;=$B133,12*($B$7-$B$10),-12*MAX(0,($B$6+$B$10)-IF($B$1+40&gt;=$B$23,$B$22,0))*(1+$B$4)^40))*IF(AP133+IF($B$1+40&lt;=$B133,12*($B$7-$B$10),-12*MAX(0,($B$6+$B$10)-IF($B$1+40&gt;=$B$23,$B$22,0))*(1+$B$4)^40)&gt;0,1+$B$3,1))</f>
        <v/>
      </c>
      <c r="AR133">
        <f>IF($B$1+41&gt;90,AQ133,(AQ133+IF($B$1+41&lt;=$B133,12*($B$7-$B$10),-12*MAX(0,($B$6+$B$10)-IF($B$1+41&gt;=$B$23,$B$22,0))*(1+$B$4)^41))*IF(AQ133+IF($B$1+41&lt;=$B133,12*($B$7-$B$10),-12*MAX(0,($B$6+$B$10)-IF($B$1+41&gt;=$B$23,$B$22,0))*(1+$B$4)^41)&gt;0,1+$B$3,1))</f>
        <v/>
      </c>
      <c r="AS133">
        <f>IF($B$1+42&gt;90,AR133,(AR133+IF($B$1+42&lt;=$B133,12*($B$7-$B$10),-12*MAX(0,($B$6+$B$10)-IF($B$1+42&gt;=$B$23,$B$22,0))*(1+$B$4)^42))*IF(AR133+IF($B$1+42&lt;=$B133,12*($B$7-$B$10),-12*MAX(0,($B$6+$B$10)-IF($B$1+42&gt;=$B$23,$B$22,0))*(1+$B$4)^42)&gt;0,1+$B$3,1))</f>
        <v/>
      </c>
      <c r="AT133">
        <f>IF($B$1+43&gt;90,AS133,(AS133+IF($B$1+43&lt;=$B133,12*($B$7-$B$10),-12*MAX(0,($B$6+$B$10)-IF($B$1+43&gt;=$B$23,$B$22,0))*(1+$B$4)^43))*IF(AS133+IF($B$1+43&lt;=$B133,12*($B$7-$B$10),-12*MAX(0,($B$6+$B$10)-IF($B$1+43&gt;=$B$23,$B$22,0))*(1+$B$4)^43)&gt;0,1+$B$3,1))</f>
        <v/>
      </c>
      <c r="AU133">
        <f>IF($B$1+44&gt;90,AT133,(AT133+IF($B$1+44&lt;=$B133,12*($B$7-$B$10),-12*MAX(0,($B$6+$B$10)-IF($B$1+44&gt;=$B$23,$B$22,0))*(1+$B$4)^44))*IF(AT133+IF($B$1+44&lt;=$B133,12*($B$7-$B$10),-12*MAX(0,($B$6+$B$10)-IF($B$1+44&gt;=$B$23,$B$22,0))*(1+$B$4)^44)&gt;0,1+$B$3,1))</f>
        <v/>
      </c>
      <c r="AV133">
        <f>IF($B$1+45&gt;90,AU133,(AU133+IF($B$1+45&lt;=$B133,12*($B$7-$B$10),-12*MAX(0,($B$6+$B$10)-IF($B$1+45&gt;=$B$23,$B$22,0))*(1+$B$4)^45))*IF(AU133+IF($B$1+45&lt;=$B133,12*($B$7-$B$10),-12*MAX(0,($B$6+$B$10)-IF($B$1+45&gt;=$B$23,$B$22,0))*(1+$B$4)^45)&gt;0,1+$B$3,1))</f>
        <v/>
      </c>
      <c r="AW133">
        <f>IF($B$1+46&gt;90,AV133,(AV133+IF($B$1+46&lt;=$B133,12*($B$7-$B$10),-12*MAX(0,($B$6+$B$10)-IF($B$1+46&gt;=$B$23,$B$22,0))*(1+$B$4)^46))*IF(AV133+IF($B$1+46&lt;=$B133,12*($B$7-$B$10),-12*MAX(0,($B$6+$B$10)-IF($B$1+46&gt;=$B$23,$B$22,0))*(1+$B$4)^46)&gt;0,1+$B$3,1))</f>
        <v/>
      </c>
      <c r="AX133">
        <f>IF($B$1+47&gt;90,AW133,(AW133+IF($B$1+47&lt;=$B133,12*($B$7-$B$10),-12*MAX(0,($B$6+$B$10)-IF($B$1+47&gt;=$B$23,$B$22,0))*(1+$B$4)^47))*IF(AW133+IF($B$1+47&lt;=$B133,12*($B$7-$B$10),-12*MAX(0,($B$6+$B$10)-IF($B$1+47&gt;=$B$23,$B$22,0))*(1+$B$4)^47)&gt;0,1+$B$3,1))</f>
        <v/>
      </c>
      <c r="AY133">
        <f>IF($B$1+48&gt;90,AX133,(AX133+IF($B$1+48&lt;=$B133,12*($B$7-$B$10),-12*MAX(0,($B$6+$B$10)-IF($B$1+48&gt;=$B$23,$B$22,0))*(1+$B$4)^48))*IF(AX133+IF($B$1+48&lt;=$B133,12*($B$7-$B$10),-12*MAX(0,($B$6+$B$10)-IF($B$1+48&gt;=$B$23,$B$22,0))*(1+$B$4)^48)&gt;0,1+$B$3,1))</f>
        <v/>
      </c>
      <c r="AZ133">
        <f>IF($B$1+49&gt;90,AY133,(AY133+IF($B$1+49&lt;=$B133,12*($B$7-$B$10),-12*MAX(0,($B$6+$B$10)-IF($B$1+49&gt;=$B$23,$B$22,0))*(1+$B$4)^49))*IF(AY133+IF($B$1+49&lt;=$B133,12*($B$7-$B$10),-12*MAX(0,($B$6+$B$10)-IF($B$1+49&gt;=$B$23,$B$22,0))*(1+$B$4)^49)&gt;0,1+$B$3,1))</f>
        <v/>
      </c>
      <c r="BA133">
        <f>IF($B$1+50&gt;90,AZ133,(AZ133+IF($B$1+50&lt;=$B133,12*($B$7-$B$10),-12*MAX(0,($B$6+$B$10)-IF($B$1+50&gt;=$B$23,$B$22,0))*(1+$B$4)^50))*IF(AZ133+IF($B$1+50&lt;=$B133,12*($B$7-$B$10),-12*MAX(0,($B$6+$B$10)-IF($B$1+50&gt;=$B$23,$B$22,0))*(1+$B$4)^50)&gt;0,1+$B$3,1))</f>
        <v/>
      </c>
      <c r="BB133">
        <f>IF($B$1+51&gt;90,BA133,(BA133+IF($B$1+51&lt;=$B133,12*($B$7-$B$10),-12*MAX(0,($B$6+$B$10)-IF($B$1+51&gt;=$B$23,$B$22,0))*(1+$B$4)^51))*IF(BA133+IF($B$1+51&lt;=$B133,12*($B$7-$B$10),-12*MAX(0,($B$6+$B$10)-IF($B$1+51&gt;=$B$23,$B$22,0))*(1+$B$4)^51)&gt;0,1+$B$3,1))</f>
        <v/>
      </c>
      <c r="BC133">
        <f>IF($B$1+52&gt;90,BB133,(BB133+IF($B$1+52&lt;=$B133,12*($B$7-$B$10),-12*MAX(0,($B$6+$B$10)-IF($B$1+52&gt;=$B$23,$B$22,0))*(1+$B$4)^52))*IF(BB133+IF($B$1+52&lt;=$B133,12*($B$7-$B$10),-12*MAX(0,($B$6+$B$10)-IF($B$1+52&gt;=$B$23,$B$22,0))*(1+$B$4)^52)&gt;0,1+$B$3,1))</f>
        <v/>
      </c>
      <c r="BD133">
        <f>IF($B$1+53&gt;90,BC133,(BC133+IF($B$1+53&lt;=$B133,12*($B$7-$B$10),-12*MAX(0,($B$6+$B$10)-IF($B$1+53&gt;=$B$23,$B$22,0))*(1+$B$4)^53))*IF(BC133+IF($B$1+53&lt;=$B133,12*($B$7-$B$10),-12*MAX(0,($B$6+$B$10)-IF($B$1+53&gt;=$B$23,$B$22,0))*(1+$B$4)^53)&gt;0,1+$B$3,1))</f>
        <v/>
      </c>
      <c r="BE133">
        <f>IF($B$1+54&gt;90,BD133,(BD133+IF($B$1+54&lt;=$B133,12*($B$7-$B$10),-12*MAX(0,($B$6+$B$10)-IF($B$1+54&gt;=$B$23,$B$22,0))*(1+$B$4)^54))*IF(BD133+IF($B$1+54&lt;=$B133,12*($B$7-$B$10),-12*MAX(0,($B$6+$B$10)-IF($B$1+54&gt;=$B$23,$B$22,0))*(1+$B$4)^54)&gt;0,1+$B$3,1))</f>
        <v/>
      </c>
      <c r="BF133">
        <f>IF($B$1+55&gt;90,BE133,(BE133+IF($B$1+55&lt;=$B133,12*($B$7-$B$10),-12*MAX(0,($B$6+$B$10)-IF($B$1+55&gt;=$B$23,$B$22,0))*(1+$B$4)^55))*IF(BE133+IF($B$1+55&lt;=$B133,12*($B$7-$B$10),-12*MAX(0,($B$6+$B$10)-IF($B$1+55&gt;=$B$23,$B$22,0))*(1+$B$4)^55)&gt;0,1+$B$3,1))</f>
        <v/>
      </c>
      <c r="BG133">
        <f>IF($B$1+56&gt;90,BF133,(BF133+IF($B$1+56&lt;=$B133,12*($B$7-$B$10),-12*MAX(0,($B$6+$B$10)-IF($B$1+56&gt;=$B$23,$B$22,0))*(1+$B$4)^56))*IF(BF133+IF($B$1+56&lt;=$B133,12*($B$7-$B$10),-12*MAX(0,($B$6+$B$10)-IF($B$1+56&gt;=$B$23,$B$22,0))*(1+$B$4)^56)&gt;0,1+$B$3,1))</f>
        <v/>
      </c>
      <c r="BH133">
        <f>IF($B$1+57&gt;90,BG133,(BG133+IF($B$1+57&lt;=$B133,12*($B$7-$B$10),-12*MAX(0,($B$6+$B$10)-IF($B$1+57&gt;=$B$23,$B$22,0))*(1+$B$4)^57))*IF(BG133+IF($B$1+57&lt;=$B133,12*($B$7-$B$10),-12*MAX(0,($B$6+$B$10)-IF($B$1+57&gt;=$B$23,$B$22,0))*(1+$B$4)^57)&gt;0,1+$B$3,1))</f>
        <v/>
      </c>
      <c r="BI133">
        <f>IF($B$1+58&gt;90,BH133,(BH133+IF($B$1+58&lt;=$B133,12*($B$7-$B$10),-12*MAX(0,($B$6+$B$10)-IF($B$1+58&gt;=$B$23,$B$22,0))*(1+$B$4)^58))*IF(BH133+IF($B$1+58&lt;=$B133,12*($B$7-$B$10),-12*MAX(0,($B$6+$B$10)-IF($B$1+58&gt;=$B$23,$B$22,0))*(1+$B$4)^58)&gt;0,1+$B$3,1))</f>
        <v/>
      </c>
      <c r="BJ133">
        <f>IF($B$1+59&gt;90,BI133,(BI133+IF($B$1+59&lt;=$B133,12*($B$7-$B$10),-12*MAX(0,($B$6+$B$10)-IF($B$1+59&gt;=$B$23,$B$22,0))*(1+$B$4)^59))*IF(BI133+IF($B$1+59&lt;=$B133,12*($B$7-$B$10),-12*MAX(0,($B$6+$B$10)-IF($B$1+59&gt;=$B$23,$B$22,0))*(1+$B$4)^59)&gt;0,1+$B$3,1))</f>
        <v/>
      </c>
      <c r="BK133">
        <f>IF($B$1+60&gt;90,BJ133,(BJ133+IF($B$1+60&lt;=$B133,12*($B$7-$B$10),-12*MAX(0,($B$6+$B$10)-IF($B$1+60&gt;=$B$23,$B$22,0))*(1+$B$4)^60))*IF(BJ133+IF($B$1+60&lt;=$B133,12*($B$7-$B$10),-12*MAX(0,($B$6+$B$10)-IF($B$1+60&gt;=$B$23,$B$22,0))*(1+$B$4)^60)&gt;0,1+$B$3,1))</f>
        <v/>
      </c>
      <c r="BL133">
        <f>IF($B$1+61&gt;90,BK133,(BK133+IF($B$1+61&lt;=$B133,12*($B$7-$B$10),-12*MAX(0,($B$6+$B$10)-IF($B$1+61&gt;=$B$23,$B$22,0))*(1+$B$4)^61))*IF(BK133+IF($B$1+61&lt;=$B133,12*($B$7-$B$10),-12*MAX(0,($B$6+$B$10)-IF($B$1+61&gt;=$B$23,$B$22,0))*(1+$B$4)^61)&gt;0,1+$B$3,1))</f>
        <v/>
      </c>
      <c r="BM133">
        <f>IF($B$1+62&gt;90,BL133,(BL133+IF($B$1+62&lt;=$B133,12*($B$7-$B$10),-12*MAX(0,($B$6+$B$10)-IF($B$1+62&gt;=$B$23,$B$22,0))*(1+$B$4)^62))*IF(BL133+IF($B$1+62&lt;=$B133,12*($B$7-$B$10),-12*MAX(0,($B$6+$B$10)-IF($B$1+62&gt;=$B$23,$B$22,0))*(1+$B$4)^62)&gt;0,1+$B$3,1))</f>
        <v/>
      </c>
      <c r="BN133">
        <f>IF($B$1+63&gt;90,BM133,(BM133+IF($B$1+63&lt;=$B133,12*($B$7-$B$10),-12*MAX(0,($B$6+$B$10)-IF($B$1+63&gt;=$B$23,$B$22,0))*(1+$B$4)^63))*IF(BM133+IF($B$1+63&lt;=$B133,12*($B$7-$B$10),-12*MAX(0,($B$6+$B$10)-IF($B$1+63&gt;=$B$23,$B$22,0))*(1+$B$4)^63)&gt;0,1+$B$3,1))</f>
        <v/>
      </c>
      <c r="BO133">
        <f>IF($B$1+64&gt;90,BN133,(BN133+IF($B$1+64&lt;=$B133,12*($B$7-$B$10),-12*MAX(0,($B$6+$B$10)-IF($B$1+64&gt;=$B$23,$B$22,0))*(1+$B$4)^64))*IF(BN133+IF($B$1+64&lt;=$B133,12*($B$7-$B$10),-12*MAX(0,($B$6+$B$10)-IF($B$1+64&gt;=$B$23,$B$22,0))*(1+$B$4)^64)&gt;0,1+$B$3,1))</f>
        <v/>
      </c>
      <c r="BP133">
        <f>IF($B$1+65&gt;90,BO133,(BO133+IF($B$1+65&lt;=$B133,12*($B$7-$B$10),-12*MAX(0,($B$6+$B$10)-IF($B$1+65&gt;=$B$23,$B$22,0))*(1+$B$4)^65))*IF(BO133+IF($B$1+65&lt;=$B133,12*($B$7-$B$10),-12*MAX(0,($B$6+$B$10)-IF($B$1+65&gt;=$B$23,$B$22,0))*(1+$B$4)^65)&gt;0,1+$B$3,1))</f>
        <v/>
      </c>
      <c r="BQ133">
        <f>IF($B$1+66&gt;90,BP133,(BP133+IF($B$1+66&lt;=$B133,12*($B$7-$B$10),-12*MAX(0,($B$6+$B$10)-IF($B$1+66&gt;=$B$23,$B$22,0))*(1+$B$4)^66))*IF(BP133+IF($B$1+66&lt;=$B133,12*($B$7-$B$10),-12*MAX(0,($B$6+$B$10)-IF($B$1+66&gt;=$B$23,$B$22,0))*(1+$B$4)^66)&gt;0,1+$B$3,1))</f>
        <v/>
      </c>
      <c r="BR133">
        <f>IF($B$1+67&gt;90,BQ133,(BQ133+IF($B$1+67&lt;=$B133,12*($B$7-$B$10),-12*MAX(0,($B$6+$B$10)-IF($B$1+67&gt;=$B$23,$B$22,0))*(1+$B$4)^67))*IF(BQ133+IF($B$1+67&lt;=$B133,12*($B$7-$B$10),-12*MAX(0,($B$6+$B$10)-IF($B$1+67&gt;=$B$23,$B$22,0))*(1+$B$4)^67)&gt;0,1+$B$3,1))</f>
        <v/>
      </c>
      <c r="BS133">
        <f>IF($B$1+68&gt;90,BR133,(BR133+IF($B$1+68&lt;=$B133,12*($B$7-$B$10),-12*MAX(0,($B$6+$B$10)-IF($B$1+68&gt;=$B$23,$B$22,0))*(1+$B$4)^68))*IF(BR133+IF($B$1+68&lt;=$B133,12*($B$7-$B$10),-12*MAX(0,($B$6+$B$10)-IF($B$1+68&gt;=$B$23,$B$22,0))*(1+$B$4)^68)&gt;0,1+$B$3,1))</f>
        <v/>
      </c>
      <c r="BT133">
        <f>IF($B$1+69&gt;90,BS133,(BS133+IF($B$1+69&lt;=$B133,12*($B$7-$B$10),-12*MAX(0,($B$6+$B$10)-IF($B$1+69&gt;=$B$23,$B$22,0))*(1+$B$4)^69))*IF(BS133+IF($B$1+69&lt;=$B133,12*($B$7-$B$10),-12*MAX(0,($B$6+$B$10)-IF($B$1+69&gt;=$B$23,$B$22,0))*(1+$B$4)^69)&gt;0,1+$B$3,1))</f>
        <v/>
      </c>
      <c r="BU133">
        <f>IF($B$1+70&gt;90,BT133,(BT133+IF($B$1+70&lt;=$B133,12*($B$7-$B$10),-12*MAX(0,($B$6+$B$10)-IF($B$1+70&gt;=$B$23,$B$22,0))*(1+$B$4)^70))*IF(BT133+IF($B$1+70&lt;=$B133,12*($B$7-$B$10),-12*MAX(0,($B$6+$B$10)-IF($B$1+70&gt;=$B$23,$B$22,0))*(1+$B$4)^70)&gt;0,1+$B$3,1))</f>
        <v/>
      </c>
      <c r="BV133">
        <f>BU133</f>
        <v/>
      </c>
      <c r="BW133">
        <f>IF(AND($B133&lt;=70,BV133&gt;0),$B133,999)</f>
        <v/>
      </c>
      <c r="CH133">
        <f>IF(ISTEXT('월 가계부'!A133),SUBSTITUTE(SUBSTITUTE(SUBSTITUTE(SUBSTITUTE(SUBSTITUTE(SUBSTITUTE(SUBSTITUTE(SUBSTITUTE(SUBSTITUTE(TRIM('월 가계부'!A133),"년","-"),"월","-"),"일",""),".","-"),"/","-")," ","-"),"--","-"),"--","-"),"--","-")&amp;"-","")</f>
        <v/>
      </c>
      <c r="CI133">
        <f>IFERROR(IF('월 가계부'!A133="","",IF(ISNUMBER('월 가계부'!A133),IF(AND('월 가계부'!A133&gt;=19000101,'월 가계부'!A133&lt;=21001231),IF(AND(MOD(INT('월 가계부'!A133/100),100)&gt;=1,MOD(INT('월 가계부'!A133/100),100)&lt;=12,MOD(INT('월 가계부'!A133),100)&gt;=1,MOD(INT('월 가계부'!A133),100)&lt;=31),IF(MONTH(DATE(INT('월 가계부'!A133/10000),MOD(INT('월 가계부'!A133/100),100),MOD(INT('월 가계부'!A133),100)))=MOD(INT('월 가계부'!A133/100),100),DATE(INT('월 가계부'!A133/10000),MOD(INT('월 가계부'!A133/100),100),MOD(INT('월 가계부'!A133),100)),""),""),IF(AND('월 가계부'!A133&gt;=36526,'월 가계부'!A133&lt;73051),INT('월 가계부'!A133),"")),IF(OR(CM133="",CN133="",CO133=""),"",IF(AND(CM133&gt;=2000,CM133&lt;=2099,CN133&gt;=1,CN133&lt;=12,CO133&gt;=1,CO133&lt;=31),IF(MONTH(DATE(CM133,CN133,CO133))=CN133,DATE(CM133,CN133,CO133),""),"")))),"")</f>
        <v/>
      </c>
      <c r="CJ133">
        <f>IFERROR(IF('월 가계부'!C133="","",IF(ISNUMBER('월 가계부'!C133),'월 가계부'!C133,VALUE(SUBSTITUTE(SUBSTITUTE(SUBSTITUTE(SUBSTITUTE(TRIM('월 가계부'!C133),",",""),"원","")," ",""),"−","-")))),"")</f>
        <v/>
      </c>
      <c r="CK133">
        <f>IF(ISNUMBER(CI133),IF(CI133&lt;$B$13,CI133,""),"")</f>
        <v/>
      </c>
      <c r="CM133">
        <f>IF(CH133="","",IFERROR(IF(IF(AND(LEN(CH133)=9,ISERROR(FIND("-",LEFT(CH133,8))),ISNUMBER(-LEFT(CH133,8))),VALUE(LEFT(CH133,4)),VALUE(LEFT(CH133,FIND("-",CH133)-1)))&lt;100,IF(AND(LEN(CH133)=9,ISERROR(FIND("-",LEFT(CH133,8))),ISNUMBER(-LEFT(CH133,8))),VALUE(LEFT(CH133,4)),VALUE(LEFT(CH133,FIND("-",CH133)-1)))+2000,IF(AND(LEN(CH133)=9,ISERROR(FIND("-",LEFT(CH133,8))),ISNUMBER(-LEFT(CH133,8))),VALUE(LEFT(CH133,4)),VALUE(LEFT(CH133,FIND("-",CH133)-1)))),""))</f>
        <v/>
      </c>
      <c r="CN133">
        <f>IF(CH133="","",IFERROR(IF(AND(LEN(CH133)=9,ISERROR(FIND("-",LEFT(CH133,8))),ISNUMBER(-LEFT(CH133,8))),VALUE(MID(CH133,5,2)),VALUE(MID(CH133,FIND("-",CH133)+1,FIND("-",CH133,FIND("-",CH133)+1)-FIND("-",CH133)-1))),""))</f>
        <v/>
      </c>
      <c r="CO133">
        <f>IF(CH133="","",IFERROR(IF(AND(LEN(CH133)=9,ISERROR(FIND("-",LEFT(CH133,8))),ISNUMBER(-LEFT(CH133,8))),VALUE(MID(CH133,7,2)),VALUE(MID(CH133,FIND("-",CH133,FIND("-",CH133)+1)+1,FIND("-",CH133,FIND("-",CH133,FIND("-",CH133)+1)+1)-FIND("-",CH133,FIND("-",CH133)+1)-1))),""))</f>
        <v/>
      </c>
    </row>
    <row r="134">
      <c r="A134" t="n">
        <v>38</v>
      </c>
      <c r="B134">
        <f>$B$1+38</f>
        <v/>
      </c>
      <c r="C134">
        <f>$B$2</f>
        <v/>
      </c>
      <c r="D134">
        <f>IF($B$1+1&gt;90,C134,(C134+IF($B$1+1&lt;=$B134,12*($B$7-$B$10),-12*MAX(0,($B$6+$B$10)-IF($B$1+1&gt;=$B$23,$B$22,0))*(1+$B$4)^1))*IF(C134+IF($B$1+1&lt;=$B134,12*($B$7-$B$10),-12*MAX(0,($B$6+$B$10)-IF($B$1+1&gt;=$B$23,$B$22,0))*(1+$B$4)^1)&gt;0,1+$B$3,1))</f>
        <v/>
      </c>
      <c r="E134">
        <f>IF($B$1+2&gt;90,D134,(D134+IF($B$1+2&lt;=$B134,12*($B$7-$B$10),-12*MAX(0,($B$6+$B$10)-IF($B$1+2&gt;=$B$23,$B$22,0))*(1+$B$4)^2))*IF(D134+IF($B$1+2&lt;=$B134,12*($B$7-$B$10),-12*MAX(0,($B$6+$B$10)-IF($B$1+2&gt;=$B$23,$B$22,0))*(1+$B$4)^2)&gt;0,1+$B$3,1))</f>
        <v/>
      </c>
      <c r="F134">
        <f>IF($B$1+3&gt;90,E134,(E134+IF($B$1+3&lt;=$B134,12*($B$7-$B$10),-12*MAX(0,($B$6+$B$10)-IF($B$1+3&gt;=$B$23,$B$22,0))*(1+$B$4)^3))*IF(E134+IF($B$1+3&lt;=$B134,12*($B$7-$B$10),-12*MAX(0,($B$6+$B$10)-IF($B$1+3&gt;=$B$23,$B$22,0))*(1+$B$4)^3)&gt;0,1+$B$3,1))</f>
        <v/>
      </c>
      <c r="G134">
        <f>IF($B$1+4&gt;90,F134,(F134+IF($B$1+4&lt;=$B134,12*($B$7-$B$10),-12*MAX(0,($B$6+$B$10)-IF($B$1+4&gt;=$B$23,$B$22,0))*(1+$B$4)^4))*IF(F134+IF($B$1+4&lt;=$B134,12*($B$7-$B$10),-12*MAX(0,($B$6+$B$10)-IF($B$1+4&gt;=$B$23,$B$22,0))*(1+$B$4)^4)&gt;0,1+$B$3,1))</f>
        <v/>
      </c>
      <c r="H134">
        <f>IF($B$1+5&gt;90,G134,(G134+IF($B$1+5&lt;=$B134,12*($B$7-$B$10),-12*MAX(0,($B$6+$B$10)-IF($B$1+5&gt;=$B$23,$B$22,0))*(1+$B$4)^5))*IF(G134+IF($B$1+5&lt;=$B134,12*($B$7-$B$10),-12*MAX(0,($B$6+$B$10)-IF($B$1+5&gt;=$B$23,$B$22,0))*(1+$B$4)^5)&gt;0,1+$B$3,1))</f>
        <v/>
      </c>
      <c r="I134">
        <f>IF($B$1+6&gt;90,H134,(H134+IF($B$1+6&lt;=$B134,12*($B$7-$B$10),-12*MAX(0,($B$6+$B$10)-IF($B$1+6&gt;=$B$23,$B$22,0))*(1+$B$4)^6))*IF(H134+IF($B$1+6&lt;=$B134,12*($B$7-$B$10),-12*MAX(0,($B$6+$B$10)-IF($B$1+6&gt;=$B$23,$B$22,0))*(1+$B$4)^6)&gt;0,1+$B$3,1))</f>
        <v/>
      </c>
      <c r="J134">
        <f>IF($B$1+7&gt;90,I134,(I134+IF($B$1+7&lt;=$B134,12*($B$7-$B$10),-12*MAX(0,($B$6+$B$10)-IF($B$1+7&gt;=$B$23,$B$22,0))*(1+$B$4)^7))*IF(I134+IF($B$1+7&lt;=$B134,12*($B$7-$B$10),-12*MAX(0,($B$6+$B$10)-IF($B$1+7&gt;=$B$23,$B$22,0))*(1+$B$4)^7)&gt;0,1+$B$3,1))</f>
        <v/>
      </c>
      <c r="K134">
        <f>IF($B$1+8&gt;90,J134,(J134+IF($B$1+8&lt;=$B134,12*($B$7-$B$10),-12*MAX(0,($B$6+$B$10)-IF($B$1+8&gt;=$B$23,$B$22,0))*(1+$B$4)^8))*IF(J134+IF($B$1+8&lt;=$B134,12*($B$7-$B$10),-12*MAX(0,($B$6+$B$10)-IF($B$1+8&gt;=$B$23,$B$22,0))*(1+$B$4)^8)&gt;0,1+$B$3,1))</f>
        <v/>
      </c>
      <c r="L134">
        <f>IF($B$1+9&gt;90,K134,(K134+IF($B$1+9&lt;=$B134,12*($B$7-$B$10),-12*MAX(0,($B$6+$B$10)-IF($B$1+9&gt;=$B$23,$B$22,0))*(1+$B$4)^9))*IF(K134+IF($B$1+9&lt;=$B134,12*($B$7-$B$10),-12*MAX(0,($B$6+$B$10)-IF($B$1+9&gt;=$B$23,$B$22,0))*(1+$B$4)^9)&gt;0,1+$B$3,1))</f>
        <v/>
      </c>
      <c r="M134">
        <f>IF($B$1+10&gt;90,L134,(L134+IF($B$1+10&lt;=$B134,12*($B$7-$B$10),-12*MAX(0,($B$6+$B$10)-IF($B$1+10&gt;=$B$23,$B$22,0))*(1+$B$4)^10))*IF(L134+IF($B$1+10&lt;=$B134,12*($B$7-$B$10),-12*MAX(0,($B$6+$B$10)-IF($B$1+10&gt;=$B$23,$B$22,0))*(1+$B$4)^10)&gt;0,1+$B$3,1))</f>
        <v/>
      </c>
      <c r="N134">
        <f>IF($B$1+11&gt;90,M134,(M134+IF($B$1+11&lt;=$B134,12*($B$7-$B$10),-12*MAX(0,($B$6+$B$10)-IF($B$1+11&gt;=$B$23,$B$22,0))*(1+$B$4)^11))*IF(M134+IF($B$1+11&lt;=$B134,12*($B$7-$B$10),-12*MAX(0,($B$6+$B$10)-IF($B$1+11&gt;=$B$23,$B$22,0))*(1+$B$4)^11)&gt;0,1+$B$3,1))</f>
        <v/>
      </c>
      <c r="O134">
        <f>IF($B$1+12&gt;90,N134,(N134+IF($B$1+12&lt;=$B134,12*($B$7-$B$10),-12*MAX(0,($B$6+$B$10)-IF($B$1+12&gt;=$B$23,$B$22,0))*(1+$B$4)^12))*IF(N134+IF($B$1+12&lt;=$B134,12*($B$7-$B$10),-12*MAX(0,($B$6+$B$10)-IF($B$1+12&gt;=$B$23,$B$22,0))*(1+$B$4)^12)&gt;0,1+$B$3,1))</f>
        <v/>
      </c>
      <c r="P134">
        <f>IF($B$1+13&gt;90,O134,(O134+IF($B$1+13&lt;=$B134,12*($B$7-$B$10),-12*MAX(0,($B$6+$B$10)-IF($B$1+13&gt;=$B$23,$B$22,0))*(1+$B$4)^13))*IF(O134+IF($B$1+13&lt;=$B134,12*($B$7-$B$10),-12*MAX(0,($B$6+$B$10)-IF($B$1+13&gt;=$B$23,$B$22,0))*(1+$B$4)^13)&gt;0,1+$B$3,1))</f>
        <v/>
      </c>
      <c r="Q134">
        <f>IF($B$1+14&gt;90,P134,(P134+IF($B$1+14&lt;=$B134,12*($B$7-$B$10),-12*MAX(0,($B$6+$B$10)-IF($B$1+14&gt;=$B$23,$B$22,0))*(1+$B$4)^14))*IF(P134+IF($B$1+14&lt;=$B134,12*($B$7-$B$10),-12*MAX(0,($B$6+$B$10)-IF($B$1+14&gt;=$B$23,$B$22,0))*(1+$B$4)^14)&gt;0,1+$B$3,1))</f>
        <v/>
      </c>
      <c r="R134">
        <f>IF($B$1+15&gt;90,Q134,(Q134+IF($B$1+15&lt;=$B134,12*($B$7-$B$10),-12*MAX(0,($B$6+$B$10)-IF($B$1+15&gt;=$B$23,$B$22,0))*(1+$B$4)^15))*IF(Q134+IF($B$1+15&lt;=$B134,12*($B$7-$B$10),-12*MAX(0,($B$6+$B$10)-IF($B$1+15&gt;=$B$23,$B$22,0))*(1+$B$4)^15)&gt;0,1+$B$3,1))</f>
        <v/>
      </c>
      <c r="S134">
        <f>IF($B$1+16&gt;90,R134,(R134+IF($B$1+16&lt;=$B134,12*($B$7-$B$10),-12*MAX(0,($B$6+$B$10)-IF($B$1+16&gt;=$B$23,$B$22,0))*(1+$B$4)^16))*IF(R134+IF($B$1+16&lt;=$B134,12*($B$7-$B$10),-12*MAX(0,($B$6+$B$10)-IF($B$1+16&gt;=$B$23,$B$22,0))*(1+$B$4)^16)&gt;0,1+$B$3,1))</f>
        <v/>
      </c>
      <c r="T134">
        <f>IF($B$1+17&gt;90,S134,(S134+IF($B$1+17&lt;=$B134,12*($B$7-$B$10),-12*MAX(0,($B$6+$B$10)-IF($B$1+17&gt;=$B$23,$B$22,0))*(1+$B$4)^17))*IF(S134+IF($B$1+17&lt;=$B134,12*($B$7-$B$10),-12*MAX(0,($B$6+$B$10)-IF($B$1+17&gt;=$B$23,$B$22,0))*(1+$B$4)^17)&gt;0,1+$B$3,1))</f>
        <v/>
      </c>
      <c r="U134">
        <f>IF($B$1+18&gt;90,T134,(T134+IF($B$1+18&lt;=$B134,12*($B$7-$B$10),-12*MAX(0,($B$6+$B$10)-IF($B$1+18&gt;=$B$23,$B$22,0))*(1+$B$4)^18))*IF(T134+IF($B$1+18&lt;=$B134,12*($B$7-$B$10),-12*MAX(0,($B$6+$B$10)-IF($B$1+18&gt;=$B$23,$B$22,0))*(1+$B$4)^18)&gt;0,1+$B$3,1))</f>
        <v/>
      </c>
      <c r="V134">
        <f>IF($B$1+19&gt;90,U134,(U134+IF($B$1+19&lt;=$B134,12*($B$7-$B$10),-12*MAX(0,($B$6+$B$10)-IF($B$1+19&gt;=$B$23,$B$22,0))*(1+$B$4)^19))*IF(U134+IF($B$1+19&lt;=$B134,12*($B$7-$B$10),-12*MAX(0,($B$6+$B$10)-IF($B$1+19&gt;=$B$23,$B$22,0))*(1+$B$4)^19)&gt;0,1+$B$3,1))</f>
        <v/>
      </c>
      <c r="W134">
        <f>IF($B$1+20&gt;90,V134,(V134+IF($B$1+20&lt;=$B134,12*($B$7-$B$10),-12*MAX(0,($B$6+$B$10)-IF($B$1+20&gt;=$B$23,$B$22,0))*(1+$B$4)^20))*IF(V134+IF($B$1+20&lt;=$B134,12*($B$7-$B$10),-12*MAX(0,($B$6+$B$10)-IF($B$1+20&gt;=$B$23,$B$22,0))*(1+$B$4)^20)&gt;0,1+$B$3,1))</f>
        <v/>
      </c>
      <c r="X134">
        <f>IF($B$1+21&gt;90,W134,(W134+IF($B$1+21&lt;=$B134,12*($B$7-$B$10),-12*MAX(0,($B$6+$B$10)-IF($B$1+21&gt;=$B$23,$B$22,0))*(1+$B$4)^21))*IF(W134+IF($B$1+21&lt;=$B134,12*($B$7-$B$10),-12*MAX(0,($B$6+$B$10)-IF($B$1+21&gt;=$B$23,$B$22,0))*(1+$B$4)^21)&gt;0,1+$B$3,1))</f>
        <v/>
      </c>
      <c r="Y134">
        <f>IF($B$1+22&gt;90,X134,(X134+IF($B$1+22&lt;=$B134,12*($B$7-$B$10),-12*MAX(0,($B$6+$B$10)-IF($B$1+22&gt;=$B$23,$B$22,0))*(1+$B$4)^22))*IF(X134+IF($B$1+22&lt;=$B134,12*($B$7-$B$10),-12*MAX(0,($B$6+$B$10)-IF($B$1+22&gt;=$B$23,$B$22,0))*(1+$B$4)^22)&gt;0,1+$B$3,1))</f>
        <v/>
      </c>
      <c r="Z134">
        <f>IF($B$1+23&gt;90,Y134,(Y134+IF($B$1+23&lt;=$B134,12*($B$7-$B$10),-12*MAX(0,($B$6+$B$10)-IF($B$1+23&gt;=$B$23,$B$22,0))*(1+$B$4)^23))*IF(Y134+IF($B$1+23&lt;=$B134,12*($B$7-$B$10),-12*MAX(0,($B$6+$B$10)-IF($B$1+23&gt;=$B$23,$B$22,0))*(1+$B$4)^23)&gt;0,1+$B$3,1))</f>
        <v/>
      </c>
      <c r="AA134">
        <f>IF($B$1+24&gt;90,Z134,(Z134+IF($B$1+24&lt;=$B134,12*($B$7-$B$10),-12*MAX(0,($B$6+$B$10)-IF($B$1+24&gt;=$B$23,$B$22,0))*(1+$B$4)^24))*IF(Z134+IF($B$1+24&lt;=$B134,12*($B$7-$B$10),-12*MAX(0,($B$6+$B$10)-IF($B$1+24&gt;=$B$23,$B$22,0))*(1+$B$4)^24)&gt;0,1+$B$3,1))</f>
        <v/>
      </c>
      <c r="AB134">
        <f>IF($B$1+25&gt;90,AA134,(AA134+IF($B$1+25&lt;=$B134,12*($B$7-$B$10),-12*MAX(0,($B$6+$B$10)-IF($B$1+25&gt;=$B$23,$B$22,0))*(1+$B$4)^25))*IF(AA134+IF($B$1+25&lt;=$B134,12*($B$7-$B$10),-12*MAX(0,($B$6+$B$10)-IF($B$1+25&gt;=$B$23,$B$22,0))*(1+$B$4)^25)&gt;0,1+$B$3,1))</f>
        <v/>
      </c>
      <c r="AC134">
        <f>IF($B$1+26&gt;90,AB134,(AB134+IF($B$1+26&lt;=$B134,12*($B$7-$B$10),-12*MAX(0,($B$6+$B$10)-IF($B$1+26&gt;=$B$23,$B$22,0))*(1+$B$4)^26))*IF(AB134+IF($B$1+26&lt;=$B134,12*($B$7-$B$10),-12*MAX(0,($B$6+$B$10)-IF($B$1+26&gt;=$B$23,$B$22,0))*(1+$B$4)^26)&gt;0,1+$B$3,1))</f>
        <v/>
      </c>
      <c r="AD134">
        <f>IF($B$1+27&gt;90,AC134,(AC134+IF($B$1+27&lt;=$B134,12*($B$7-$B$10),-12*MAX(0,($B$6+$B$10)-IF($B$1+27&gt;=$B$23,$B$22,0))*(1+$B$4)^27))*IF(AC134+IF($B$1+27&lt;=$B134,12*($B$7-$B$10),-12*MAX(0,($B$6+$B$10)-IF($B$1+27&gt;=$B$23,$B$22,0))*(1+$B$4)^27)&gt;0,1+$B$3,1))</f>
        <v/>
      </c>
      <c r="AE134">
        <f>IF($B$1+28&gt;90,AD134,(AD134+IF($B$1+28&lt;=$B134,12*($B$7-$B$10),-12*MAX(0,($B$6+$B$10)-IF($B$1+28&gt;=$B$23,$B$22,0))*(1+$B$4)^28))*IF(AD134+IF($B$1+28&lt;=$B134,12*($B$7-$B$10),-12*MAX(0,($B$6+$B$10)-IF($B$1+28&gt;=$B$23,$B$22,0))*(1+$B$4)^28)&gt;0,1+$B$3,1))</f>
        <v/>
      </c>
      <c r="AF134">
        <f>IF($B$1+29&gt;90,AE134,(AE134+IF($B$1+29&lt;=$B134,12*($B$7-$B$10),-12*MAX(0,($B$6+$B$10)-IF($B$1+29&gt;=$B$23,$B$22,0))*(1+$B$4)^29))*IF(AE134+IF($B$1+29&lt;=$B134,12*($B$7-$B$10),-12*MAX(0,($B$6+$B$10)-IF($B$1+29&gt;=$B$23,$B$22,0))*(1+$B$4)^29)&gt;0,1+$B$3,1))</f>
        <v/>
      </c>
      <c r="AG134">
        <f>IF($B$1+30&gt;90,AF134,(AF134+IF($B$1+30&lt;=$B134,12*($B$7-$B$10),-12*MAX(0,($B$6+$B$10)-IF($B$1+30&gt;=$B$23,$B$22,0))*(1+$B$4)^30))*IF(AF134+IF($B$1+30&lt;=$B134,12*($B$7-$B$10),-12*MAX(0,($B$6+$B$10)-IF($B$1+30&gt;=$B$23,$B$22,0))*(1+$B$4)^30)&gt;0,1+$B$3,1))</f>
        <v/>
      </c>
      <c r="AH134">
        <f>IF($B$1+31&gt;90,AG134,(AG134+IF($B$1+31&lt;=$B134,12*($B$7-$B$10),-12*MAX(0,($B$6+$B$10)-IF($B$1+31&gt;=$B$23,$B$22,0))*(1+$B$4)^31))*IF(AG134+IF($B$1+31&lt;=$B134,12*($B$7-$B$10),-12*MAX(0,($B$6+$B$10)-IF($B$1+31&gt;=$B$23,$B$22,0))*(1+$B$4)^31)&gt;0,1+$B$3,1))</f>
        <v/>
      </c>
      <c r="AI134">
        <f>IF($B$1+32&gt;90,AH134,(AH134+IF($B$1+32&lt;=$B134,12*($B$7-$B$10),-12*MAX(0,($B$6+$B$10)-IF($B$1+32&gt;=$B$23,$B$22,0))*(1+$B$4)^32))*IF(AH134+IF($B$1+32&lt;=$B134,12*($B$7-$B$10),-12*MAX(0,($B$6+$B$10)-IF($B$1+32&gt;=$B$23,$B$22,0))*(1+$B$4)^32)&gt;0,1+$B$3,1))</f>
        <v/>
      </c>
      <c r="AJ134">
        <f>IF($B$1+33&gt;90,AI134,(AI134+IF($B$1+33&lt;=$B134,12*($B$7-$B$10),-12*MAX(0,($B$6+$B$10)-IF($B$1+33&gt;=$B$23,$B$22,0))*(1+$B$4)^33))*IF(AI134+IF($B$1+33&lt;=$B134,12*($B$7-$B$10),-12*MAX(0,($B$6+$B$10)-IF($B$1+33&gt;=$B$23,$B$22,0))*(1+$B$4)^33)&gt;0,1+$B$3,1))</f>
        <v/>
      </c>
      <c r="AK134">
        <f>IF($B$1+34&gt;90,AJ134,(AJ134+IF($B$1+34&lt;=$B134,12*($B$7-$B$10),-12*MAX(0,($B$6+$B$10)-IF($B$1+34&gt;=$B$23,$B$22,0))*(1+$B$4)^34))*IF(AJ134+IF($B$1+34&lt;=$B134,12*($B$7-$B$10),-12*MAX(0,($B$6+$B$10)-IF($B$1+34&gt;=$B$23,$B$22,0))*(1+$B$4)^34)&gt;0,1+$B$3,1))</f>
        <v/>
      </c>
      <c r="AL134">
        <f>IF($B$1+35&gt;90,AK134,(AK134+IF($B$1+35&lt;=$B134,12*($B$7-$B$10),-12*MAX(0,($B$6+$B$10)-IF($B$1+35&gt;=$B$23,$B$22,0))*(1+$B$4)^35))*IF(AK134+IF($B$1+35&lt;=$B134,12*($B$7-$B$10),-12*MAX(0,($B$6+$B$10)-IF($B$1+35&gt;=$B$23,$B$22,0))*(1+$B$4)^35)&gt;0,1+$B$3,1))</f>
        <v/>
      </c>
      <c r="AM134">
        <f>IF($B$1+36&gt;90,AL134,(AL134+IF($B$1+36&lt;=$B134,12*($B$7-$B$10),-12*MAX(0,($B$6+$B$10)-IF($B$1+36&gt;=$B$23,$B$22,0))*(1+$B$4)^36))*IF(AL134+IF($B$1+36&lt;=$B134,12*($B$7-$B$10),-12*MAX(0,($B$6+$B$10)-IF($B$1+36&gt;=$B$23,$B$22,0))*(1+$B$4)^36)&gt;0,1+$B$3,1))</f>
        <v/>
      </c>
      <c r="AN134">
        <f>IF($B$1+37&gt;90,AM134,(AM134+IF($B$1+37&lt;=$B134,12*($B$7-$B$10),-12*MAX(0,($B$6+$B$10)-IF($B$1+37&gt;=$B$23,$B$22,0))*(1+$B$4)^37))*IF(AM134+IF($B$1+37&lt;=$B134,12*($B$7-$B$10),-12*MAX(0,($B$6+$B$10)-IF($B$1+37&gt;=$B$23,$B$22,0))*(1+$B$4)^37)&gt;0,1+$B$3,1))</f>
        <v/>
      </c>
      <c r="AO134">
        <f>IF($B$1+38&gt;90,AN134,(AN134+IF($B$1+38&lt;=$B134,12*($B$7-$B$10),-12*MAX(0,($B$6+$B$10)-IF($B$1+38&gt;=$B$23,$B$22,0))*(1+$B$4)^38))*IF(AN134+IF($B$1+38&lt;=$B134,12*($B$7-$B$10),-12*MAX(0,($B$6+$B$10)-IF($B$1+38&gt;=$B$23,$B$22,0))*(1+$B$4)^38)&gt;0,1+$B$3,1))</f>
        <v/>
      </c>
      <c r="AP134">
        <f>IF($B$1+39&gt;90,AO134,(AO134+IF($B$1+39&lt;=$B134,12*($B$7-$B$10),-12*MAX(0,($B$6+$B$10)-IF($B$1+39&gt;=$B$23,$B$22,0))*(1+$B$4)^39))*IF(AO134+IF($B$1+39&lt;=$B134,12*($B$7-$B$10),-12*MAX(0,($B$6+$B$10)-IF($B$1+39&gt;=$B$23,$B$22,0))*(1+$B$4)^39)&gt;0,1+$B$3,1))</f>
        <v/>
      </c>
      <c r="AQ134">
        <f>IF($B$1+40&gt;90,AP134,(AP134+IF($B$1+40&lt;=$B134,12*($B$7-$B$10),-12*MAX(0,($B$6+$B$10)-IF($B$1+40&gt;=$B$23,$B$22,0))*(1+$B$4)^40))*IF(AP134+IF($B$1+40&lt;=$B134,12*($B$7-$B$10),-12*MAX(0,($B$6+$B$10)-IF($B$1+40&gt;=$B$23,$B$22,0))*(1+$B$4)^40)&gt;0,1+$B$3,1))</f>
        <v/>
      </c>
      <c r="AR134">
        <f>IF($B$1+41&gt;90,AQ134,(AQ134+IF($B$1+41&lt;=$B134,12*($B$7-$B$10),-12*MAX(0,($B$6+$B$10)-IF($B$1+41&gt;=$B$23,$B$22,0))*(1+$B$4)^41))*IF(AQ134+IF($B$1+41&lt;=$B134,12*($B$7-$B$10),-12*MAX(0,($B$6+$B$10)-IF($B$1+41&gt;=$B$23,$B$22,0))*(1+$B$4)^41)&gt;0,1+$B$3,1))</f>
        <v/>
      </c>
      <c r="AS134">
        <f>IF($B$1+42&gt;90,AR134,(AR134+IF($B$1+42&lt;=$B134,12*($B$7-$B$10),-12*MAX(0,($B$6+$B$10)-IF($B$1+42&gt;=$B$23,$B$22,0))*(1+$B$4)^42))*IF(AR134+IF($B$1+42&lt;=$B134,12*($B$7-$B$10),-12*MAX(0,($B$6+$B$10)-IF($B$1+42&gt;=$B$23,$B$22,0))*(1+$B$4)^42)&gt;0,1+$B$3,1))</f>
        <v/>
      </c>
      <c r="AT134">
        <f>IF($B$1+43&gt;90,AS134,(AS134+IF($B$1+43&lt;=$B134,12*($B$7-$B$10),-12*MAX(0,($B$6+$B$10)-IF($B$1+43&gt;=$B$23,$B$22,0))*(1+$B$4)^43))*IF(AS134+IF($B$1+43&lt;=$B134,12*($B$7-$B$10),-12*MAX(0,($B$6+$B$10)-IF($B$1+43&gt;=$B$23,$B$22,0))*(1+$B$4)^43)&gt;0,1+$B$3,1))</f>
        <v/>
      </c>
      <c r="AU134">
        <f>IF($B$1+44&gt;90,AT134,(AT134+IF($B$1+44&lt;=$B134,12*($B$7-$B$10),-12*MAX(0,($B$6+$B$10)-IF($B$1+44&gt;=$B$23,$B$22,0))*(1+$B$4)^44))*IF(AT134+IF($B$1+44&lt;=$B134,12*($B$7-$B$10),-12*MAX(0,($B$6+$B$10)-IF($B$1+44&gt;=$B$23,$B$22,0))*(1+$B$4)^44)&gt;0,1+$B$3,1))</f>
        <v/>
      </c>
      <c r="AV134">
        <f>IF($B$1+45&gt;90,AU134,(AU134+IF($B$1+45&lt;=$B134,12*($B$7-$B$10),-12*MAX(0,($B$6+$B$10)-IF($B$1+45&gt;=$B$23,$B$22,0))*(1+$B$4)^45))*IF(AU134+IF($B$1+45&lt;=$B134,12*($B$7-$B$10),-12*MAX(0,($B$6+$B$10)-IF($B$1+45&gt;=$B$23,$B$22,0))*(1+$B$4)^45)&gt;0,1+$B$3,1))</f>
        <v/>
      </c>
      <c r="AW134">
        <f>IF($B$1+46&gt;90,AV134,(AV134+IF($B$1+46&lt;=$B134,12*($B$7-$B$10),-12*MAX(0,($B$6+$B$10)-IF($B$1+46&gt;=$B$23,$B$22,0))*(1+$B$4)^46))*IF(AV134+IF($B$1+46&lt;=$B134,12*($B$7-$B$10),-12*MAX(0,($B$6+$B$10)-IF($B$1+46&gt;=$B$23,$B$22,0))*(1+$B$4)^46)&gt;0,1+$B$3,1))</f>
        <v/>
      </c>
      <c r="AX134">
        <f>IF($B$1+47&gt;90,AW134,(AW134+IF($B$1+47&lt;=$B134,12*($B$7-$B$10),-12*MAX(0,($B$6+$B$10)-IF($B$1+47&gt;=$B$23,$B$22,0))*(1+$B$4)^47))*IF(AW134+IF($B$1+47&lt;=$B134,12*($B$7-$B$10),-12*MAX(0,($B$6+$B$10)-IF($B$1+47&gt;=$B$23,$B$22,0))*(1+$B$4)^47)&gt;0,1+$B$3,1))</f>
        <v/>
      </c>
      <c r="AY134">
        <f>IF($B$1+48&gt;90,AX134,(AX134+IF($B$1+48&lt;=$B134,12*($B$7-$B$10),-12*MAX(0,($B$6+$B$10)-IF($B$1+48&gt;=$B$23,$B$22,0))*(1+$B$4)^48))*IF(AX134+IF($B$1+48&lt;=$B134,12*($B$7-$B$10),-12*MAX(0,($B$6+$B$10)-IF($B$1+48&gt;=$B$23,$B$22,0))*(1+$B$4)^48)&gt;0,1+$B$3,1))</f>
        <v/>
      </c>
      <c r="AZ134">
        <f>IF($B$1+49&gt;90,AY134,(AY134+IF($B$1+49&lt;=$B134,12*($B$7-$B$10),-12*MAX(0,($B$6+$B$10)-IF($B$1+49&gt;=$B$23,$B$22,0))*(1+$B$4)^49))*IF(AY134+IF($B$1+49&lt;=$B134,12*($B$7-$B$10),-12*MAX(0,($B$6+$B$10)-IF($B$1+49&gt;=$B$23,$B$22,0))*(1+$B$4)^49)&gt;0,1+$B$3,1))</f>
        <v/>
      </c>
      <c r="BA134">
        <f>IF($B$1+50&gt;90,AZ134,(AZ134+IF($B$1+50&lt;=$B134,12*($B$7-$B$10),-12*MAX(0,($B$6+$B$10)-IF($B$1+50&gt;=$B$23,$B$22,0))*(1+$B$4)^50))*IF(AZ134+IF($B$1+50&lt;=$B134,12*($B$7-$B$10),-12*MAX(0,($B$6+$B$10)-IF($B$1+50&gt;=$B$23,$B$22,0))*(1+$B$4)^50)&gt;0,1+$B$3,1))</f>
        <v/>
      </c>
      <c r="BB134">
        <f>IF($B$1+51&gt;90,BA134,(BA134+IF($B$1+51&lt;=$B134,12*($B$7-$B$10),-12*MAX(0,($B$6+$B$10)-IF($B$1+51&gt;=$B$23,$B$22,0))*(1+$B$4)^51))*IF(BA134+IF($B$1+51&lt;=$B134,12*($B$7-$B$10),-12*MAX(0,($B$6+$B$10)-IF($B$1+51&gt;=$B$23,$B$22,0))*(1+$B$4)^51)&gt;0,1+$B$3,1))</f>
        <v/>
      </c>
      <c r="BC134">
        <f>IF($B$1+52&gt;90,BB134,(BB134+IF($B$1+52&lt;=$B134,12*($B$7-$B$10),-12*MAX(0,($B$6+$B$10)-IF($B$1+52&gt;=$B$23,$B$22,0))*(1+$B$4)^52))*IF(BB134+IF($B$1+52&lt;=$B134,12*($B$7-$B$10),-12*MAX(0,($B$6+$B$10)-IF($B$1+52&gt;=$B$23,$B$22,0))*(1+$B$4)^52)&gt;0,1+$B$3,1))</f>
        <v/>
      </c>
      <c r="BD134">
        <f>IF($B$1+53&gt;90,BC134,(BC134+IF($B$1+53&lt;=$B134,12*($B$7-$B$10),-12*MAX(0,($B$6+$B$10)-IF($B$1+53&gt;=$B$23,$B$22,0))*(1+$B$4)^53))*IF(BC134+IF($B$1+53&lt;=$B134,12*($B$7-$B$10),-12*MAX(0,($B$6+$B$10)-IF($B$1+53&gt;=$B$23,$B$22,0))*(1+$B$4)^53)&gt;0,1+$B$3,1))</f>
        <v/>
      </c>
      <c r="BE134">
        <f>IF($B$1+54&gt;90,BD134,(BD134+IF($B$1+54&lt;=$B134,12*($B$7-$B$10),-12*MAX(0,($B$6+$B$10)-IF($B$1+54&gt;=$B$23,$B$22,0))*(1+$B$4)^54))*IF(BD134+IF($B$1+54&lt;=$B134,12*($B$7-$B$10),-12*MAX(0,($B$6+$B$10)-IF($B$1+54&gt;=$B$23,$B$22,0))*(1+$B$4)^54)&gt;0,1+$B$3,1))</f>
        <v/>
      </c>
      <c r="BF134">
        <f>IF($B$1+55&gt;90,BE134,(BE134+IF($B$1+55&lt;=$B134,12*($B$7-$B$10),-12*MAX(0,($B$6+$B$10)-IF($B$1+55&gt;=$B$23,$B$22,0))*(1+$B$4)^55))*IF(BE134+IF($B$1+55&lt;=$B134,12*($B$7-$B$10),-12*MAX(0,($B$6+$B$10)-IF($B$1+55&gt;=$B$23,$B$22,0))*(1+$B$4)^55)&gt;0,1+$B$3,1))</f>
        <v/>
      </c>
      <c r="BG134">
        <f>IF($B$1+56&gt;90,BF134,(BF134+IF($B$1+56&lt;=$B134,12*($B$7-$B$10),-12*MAX(0,($B$6+$B$10)-IF($B$1+56&gt;=$B$23,$B$22,0))*(1+$B$4)^56))*IF(BF134+IF($B$1+56&lt;=$B134,12*($B$7-$B$10),-12*MAX(0,($B$6+$B$10)-IF($B$1+56&gt;=$B$23,$B$22,0))*(1+$B$4)^56)&gt;0,1+$B$3,1))</f>
        <v/>
      </c>
      <c r="BH134">
        <f>IF($B$1+57&gt;90,BG134,(BG134+IF($B$1+57&lt;=$B134,12*($B$7-$B$10),-12*MAX(0,($B$6+$B$10)-IF($B$1+57&gt;=$B$23,$B$22,0))*(1+$B$4)^57))*IF(BG134+IF($B$1+57&lt;=$B134,12*($B$7-$B$10),-12*MAX(0,($B$6+$B$10)-IF($B$1+57&gt;=$B$23,$B$22,0))*(1+$B$4)^57)&gt;0,1+$B$3,1))</f>
        <v/>
      </c>
      <c r="BI134">
        <f>IF($B$1+58&gt;90,BH134,(BH134+IF($B$1+58&lt;=$B134,12*($B$7-$B$10),-12*MAX(0,($B$6+$B$10)-IF($B$1+58&gt;=$B$23,$B$22,0))*(1+$B$4)^58))*IF(BH134+IF($B$1+58&lt;=$B134,12*($B$7-$B$10),-12*MAX(0,($B$6+$B$10)-IF($B$1+58&gt;=$B$23,$B$22,0))*(1+$B$4)^58)&gt;0,1+$B$3,1))</f>
        <v/>
      </c>
      <c r="BJ134">
        <f>IF($B$1+59&gt;90,BI134,(BI134+IF($B$1+59&lt;=$B134,12*($B$7-$B$10),-12*MAX(0,($B$6+$B$10)-IF($B$1+59&gt;=$B$23,$B$22,0))*(1+$B$4)^59))*IF(BI134+IF($B$1+59&lt;=$B134,12*($B$7-$B$10),-12*MAX(0,($B$6+$B$10)-IF($B$1+59&gt;=$B$23,$B$22,0))*(1+$B$4)^59)&gt;0,1+$B$3,1))</f>
        <v/>
      </c>
      <c r="BK134">
        <f>IF($B$1+60&gt;90,BJ134,(BJ134+IF($B$1+60&lt;=$B134,12*($B$7-$B$10),-12*MAX(0,($B$6+$B$10)-IF($B$1+60&gt;=$B$23,$B$22,0))*(1+$B$4)^60))*IF(BJ134+IF($B$1+60&lt;=$B134,12*($B$7-$B$10),-12*MAX(0,($B$6+$B$10)-IF($B$1+60&gt;=$B$23,$B$22,0))*(1+$B$4)^60)&gt;0,1+$B$3,1))</f>
        <v/>
      </c>
      <c r="BL134">
        <f>IF($B$1+61&gt;90,BK134,(BK134+IF($B$1+61&lt;=$B134,12*($B$7-$B$10),-12*MAX(0,($B$6+$B$10)-IF($B$1+61&gt;=$B$23,$B$22,0))*(1+$B$4)^61))*IF(BK134+IF($B$1+61&lt;=$B134,12*($B$7-$B$10),-12*MAX(0,($B$6+$B$10)-IF($B$1+61&gt;=$B$23,$B$22,0))*(1+$B$4)^61)&gt;0,1+$B$3,1))</f>
        <v/>
      </c>
      <c r="BM134">
        <f>IF($B$1+62&gt;90,BL134,(BL134+IF($B$1+62&lt;=$B134,12*($B$7-$B$10),-12*MAX(0,($B$6+$B$10)-IF($B$1+62&gt;=$B$23,$B$22,0))*(1+$B$4)^62))*IF(BL134+IF($B$1+62&lt;=$B134,12*($B$7-$B$10),-12*MAX(0,($B$6+$B$10)-IF($B$1+62&gt;=$B$23,$B$22,0))*(1+$B$4)^62)&gt;0,1+$B$3,1))</f>
        <v/>
      </c>
      <c r="BN134">
        <f>IF($B$1+63&gt;90,BM134,(BM134+IF($B$1+63&lt;=$B134,12*($B$7-$B$10),-12*MAX(0,($B$6+$B$10)-IF($B$1+63&gt;=$B$23,$B$22,0))*(1+$B$4)^63))*IF(BM134+IF($B$1+63&lt;=$B134,12*($B$7-$B$10),-12*MAX(0,($B$6+$B$10)-IF($B$1+63&gt;=$B$23,$B$22,0))*(1+$B$4)^63)&gt;0,1+$B$3,1))</f>
        <v/>
      </c>
      <c r="BO134">
        <f>IF($B$1+64&gt;90,BN134,(BN134+IF($B$1+64&lt;=$B134,12*($B$7-$B$10),-12*MAX(0,($B$6+$B$10)-IF($B$1+64&gt;=$B$23,$B$22,0))*(1+$B$4)^64))*IF(BN134+IF($B$1+64&lt;=$B134,12*($B$7-$B$10),-12*MAX(0,($B$6+$B$10)-IF($B$1+64&gt;=$B$23,$B$22,0))*(1+$B$4)^64)&gt;0,1+$B$3,1))</f>
        <v/>
      </c>
      <c r="BP134">
        <f>IF($B$1+65&gt;90,BO134,(BO134+IF($B$1+65&lt;=$B134,12*($B$7-$B$10),-12*MAX(0,($B$6+$B$10)-IF($B$1+65&gt;=$B$23,$B$22,0))*(1+$B$4)^65))*IF(BO134+IF($B$1+65&lt;=$B134,12*($B$7-$B$10),-12*MAX(0,($B$6+$B$10)-IF($B$1+65&gt;=$B$23,$B$22,0))*(1+$B$4)^65)&gt;0,1+$B$3,1))</f>
        <v/>
      </c>
      <c r="BQ134">
        <f>IF($B$1+66&gt;90,BP134,(BP134+IF($B$1+66&lt;=$B134,12*($B$7-$B$10),-12*MAX(0,($B$6+$B$10)-IF($B$1+66&gt;=$B$23,$B$22,0))*(1+$B$4)^66))*IF(BP134+IF($B$1+66&lt;=$B134,12*($B$7-$B$10),-12*MAX(0,($B$6+$B$10)-IF($B$1+66&gt;=$B$23,$B$22,0))*(1+$B$4)^66)&gt;0,1+$B$3,1))</f>
        <v/>
      </c>
      <c r="BR134">
        <f>IF($B$1+67&gt;90,BQ134,(BQ134+IF($B$1+67&lt;=$B134,12*($B$7-$B$10),-12*MAX(0,($B$6+$B$10)-IF($B$1+67&gt;=$B$23,$B$22,0))*(1+$B$4)^67))*IF(BQ134+IF($B$1+67&lt;=$B134,12*($B$7-$B$10),-12*MAX(0,($B$6+$B$10)-IF($B$1+67&gt;=$B$23,$B$22,0))*(1+$B$4)^67)&gt;0,1+$B$3,1))</f>
        <v/>
      </c>
      <c r="BS134">
        <f>IF($B$1+68&gt;90,BR134,(BR134+IF($B$1+68&lt;=$B134,12*($B$7-$B$10),-12*MAX(0,($B$6+$B$10)-IF($B$1+68&gt;=$B$23,$B$22,0))*(1+$B$4)^68))*IF(BR134+IF($B$1+68&lt;=$B134,12*($B$7-$B$10),-12*MAX(0,($B$6+$B$10)-IF($B$1+68&gt;=$B$23,$B$22,0))*(1+$B$4)^68)&gt;0,1+$B$3,1))</f>
        <v/>
      </c>
      <c r="BT134">
        <f>IF($B$1+69&gt;90,BS134,(BS134+IF($B$1+69&lt;=$B134,12*($B$7-$B$10),-12*MAX(0,($B$6+$B$10)-IF($B$1+69&gt;=$B$23,$B$22,0))*(1+$B$4)^69))*IF(BS134+IF($B$1+69&lt;=$B134,12*($B$7-$B$10),-12*MAX(0,($B$6+$B$10)-IF($B$1+69&gt;=$B$23,$B$22,0))*(1+$B$4)^69)&gt;0,1+$B$3,1))</f>
        <v/>
      </c>
      <c r="BU134">
        <f>IF($B$1+70&gt;90,BT134,(BT134+IF($B$1+70&lt;=$B134,12*($B$7-$B$10),-12*MAX(0,($B$6+$B$10)-IF($B$1+70&gt;=$B$23,$B$22,0))*(1+$B$4)^70))*IF(BT134+IF($B$1+70&lt;=$B134,12*($B$7-$B$10),-12*MAX(0,($B$6+$B$10)-IF($B$1+70&gt;=$B$23,$B$22,0))*(1+$B$4)^70)&gt;0,1+$B$3,1))</f>
        <v/>
      </c>
      <c r="BV134">
        <f>BU134</f>
        <v/>
      </c>
      <c r="BW134">
        <f>IF(AND($B134&lt;=70,BV134&gt;0),$B134,999)</f>
        <v/>
      </c>
      <c r="CH134">
        <f>IF(ISTEXT('월 가계부'!A134),SUBSTITUTE(SUBSTITUTE(SUBSTITUTE(SUBSTITUTE(SUBSTITUTE(SUBSTITUTE(SUBSTITUTE(SUBSTITUTE(SUBSTITUTE(TRIM('월 가계부'!A134),"년","-"),"월","-"),"일",""),".","-"),"/","-")," ","-"),"--","-"),"--","-"),"--","-")&amp;"-","")</f>
        <v/>
      </c>
      <c r="CI134">
        <f>IFERROR(IF('월 가계부'!A134="","",IF(ISNUMBER('월 가계부'!A134),IF(AND('월 가계부'!A134&gt;=19000101,'월 가계부'!A134&lt;=21001231),IF(AND(MOD(INT('월 가계부'!A134/100),100)&gt;=1,MOD(INT('월 가계부'!A134/100),100)&lt;=12,MOD(INT('월 가계부'!A134),100)&gt;=1,MOD(INT('월 가계부'!A134),100)&lt;=31),IF(MONTH(DATE(INT('월 가계부'!A134/10000),MOD(INT('월 가계부'!A134/100),100),MOD(INT('월 가계부'!A134),100)))=MOD(INT('월 가계부'!A134/100),100),DATE(INT('월 가계부'!A134/10000),MOD(INT('월 가계부'!A134/100),100),MOD(INT('월 가계부'!A134),100)),""),""),IF(AND('월 가계부'!A134&gt;=36526,'월 가계부'!A134&lt;73051),INT('월 가계부'!A134),"")),IF(OR(CM134="",CN134="",CO134=""),"",IF(AND(CM134&gt;=2000,CM134&lt;=2099,CN134&gt;=1,CN134&lt;=12,CO134&gt;=1,CO134&lt;=31),IF(MONTH(DATE(CM134,CN134,CO134))=CN134,DATE(CM134,CN134,CO134),""),"")))),"")</f>
        <v/>
      </c>
      <c r="CJ134">
        <f>IFERROR(IF('월 가계부'!C134="","",IF(ISNUMBER('월 가계부'!C134),'월 가계부'!C134,VALUE(SUBSTITUTE(SUBSTITUTE(SUBSTITUTE(SUBSTITUTE(TRIM('월 가계부'!C134),",",""),"원","")," ",""),"−","-")))),"")</f>
        <v/>
      </c>
      <c r="CK134">
        <f>IF(ISNUMBER(CI134),IF(CI134&lt;$B$13,CI134,""),"")</f>
        <v/>
      </c>
      <c r="CM134">
        <f>IF(CH134="","",IFERROR(IF(IF(AND(LEN(CH134)=9,ISERROR(FIND("-",LEFT(CH134,8))),ISNUMBER(-LEFT(CH134,8))),VALUE(LEFT(CH134,4)),VALUE(LEFT(CH134,FIND("-",CH134)-1)))&lt;100,IF(AND(LEN(CH134)=9,ISERROR(FIND("-",LEFT(CH134,8))),ISNUMBER(-LEFT(CH134,8))),VALUE(LEFT(CH134,4)),VALUE(LEFT(CH134,FIND("-",CH134)-1)))+2000,IF(AND(LEN(CH134)=9,ISERROR(FIND("-",LEFT(CH134,8))),ISNUMBER(-LEFT(CH134,8))),VALUE(LEFT(CH134,4)),VALUE(LEFT(CH134,FIND("-",CH134)-1)))),""))</f>
        <v/>
      </c>
      <c r="CN134">
        <f>IF(CH134="","",IFERROR(IF(AND(LEN(CH134)=9,ISERROR(FIND("-",LEFT(CH134,8))),ISNUMBER(-LEFT(CH134,8))),VALUE(MID(CH134,5,2)),VALUE(MID(CH134,FIND("-",CH134)+1,FIND("-",CH134,FIND("-",CH134)+1)-FIND("-",CH134)-1))),""))</f>
        <v/>
      </c>
      <c r="CO134">
        <f>IF(CH134="","",IFERROR(IF(AND(LEN(CH134)=9,ISERROR(FIND("-",LEFT(CH134,8))),ISNUMBER(-LEFT(CH134,8))),VALUE(MID(CH134,7,2)),VALUE(MID(CH134,FIND("-",CH134,FIND("-",CH134)+1)+1,FIND("-",CH134,FIND("-",CH134,FIND("-",CH134)+1)+1)-FIND("-",CH134,FIND("-",CH134)+1)-1))),""))</f>
        <v/>
      </c>
    </row>
    <row r="135">
      <c r="A135" t="n">
        <v>39</v>
      </c>
      <c r="B135">
        <f>$B$1+39</f>
        <v/>
      </c>
      <c r="C135">
        <f>$B$2</f>
        <v/>
      </c>
      <c r="D135">
        <f>IF($B$1+1&gt;90,C135,(C135+IF($B$1+1&lt;=$B135,12*($B$7-$B$10),-12*MAX(0,($B$6+$B$10)-IF($B$1+1&gt;=$B$23,$B$22,0))*(1+$B$4)^1))*IF(C135+IF($B$1+1&lt;=$B135,12*($B$7-$B$10),-12*MAX(0,($B$6+$B$10)-IF($B$1+1&gt;=$B$23,$B$22,0))*(1+$B$4)^1)&gt;0,1+$B$3,1))</f>
        <v/>
      </c>
      <c r="E135">
        <f>IF($B$1+2&gt;90,D135,(D135+IF($B$1+2&lt;=$B135,12*($B$7-$B$10),-12*MAX(0,($B$6+$B$10)-IF($B$1+2&gt;=$B$23,$B$22,0))*(1+$B$4)^2))*IF(D135+IF($B$1+2&lt;=$B135,12*($B$7-$B$10),-12*MAX(0,($B$6+$B$10)-IF($B$1+2&gt;=$B$23,$B$22,0))*(1+$B$4)^2)&gt;0,1+$B$3,1))</f>
        <v/>
      </c>
      <c r="F135">
        <f>IF($B$1+3&gt;90,E135,(E135+IF($B$1+3&lt;=$B135,12*($B$7-$B$10),-12*MAX(0,($B$6+$B$10)-IF($B$1+3&gt;=$B$23,$B$22,0))*(1+$B$4)^3))*IF(E135+IF($B$1+3&lt;=$B135,12*($B$7-$B$10),-12*MAX(0,($B$6+$B$10)-IF($B$1+3&gt;=$B$23,$B$22,0))*(1+$B$4)^3)&gt;0,1+$B$3,1))</f>
        <v/>
      </c>
      <c r="G135">
        <f>IF($B$1+4&gt;90,F135,(F135+IF($B$1+4&lt;=$B135,12*($B$7-$B$10),-12*MAX(0,($B$6+$B$10)-IF($B$1+4&gt;=$B$23,$B$22,0))*(1+$B$4)^4))*IF(F135+IF($B$1+4&lt;=$B135,12*($B$7-$B$10),-12*MAX(0,($B$6+$B$10)-IF($B$1+4&gt;=$B$23,$B$22,0))*(1+$B$4)^4)&gt;0,1+$B$3,1))</f>
        <v/>
      </c>
      <c r="H135">
        <f>IF($B$1+5&gt;90,G135,(G135+IF($B$1+5&lt;=$B135,12*($B$7-$B$10),-12*MAX(0,($B$6+$B$10)-IF($B$1+5&gt;=$B$23,$B$22,0))*(1+$B$4)^5))*IF(G135+IF($B$1+5&lt;=$B135,12*($B$7-$B$10),-12*MAX(0,($B$6+$B$10)-IF($B$1+5&gt;=$B$23,$B$22,0))*(1+$B$4)^5)&gt;0,1+$B$3,1))</f>
        <v/>
      </c>
      <c r="I135">
        <f>IF($B$1+6&gt;90,H135,(H135+IF($B$1+6&lt;=$B135,12*($B$7-$B$10),-12*MAX(0,($B$6+$B$10)-IF($B$1+6&gt;=$B$23,$B$22,0))*(1+$B$4)^6))*IF(H135+IF($B$1+6&lt;=$B135,12*($B$7-$B$10),-12*MAX(0,($B$6+$B$10)-IF($B$1+6&gt;=$B$23,$B$22,0))*(1+$B$4)^6)&gt;0,1+$B$3,1))</f>
        <v/>
      </c>
      <c r="J135">
        <f>IF($B$1+7&gt;90,I135,(I135+IF($B$1+7&lt;=$B135,12*($B$7-$B$10),-12*MAX(0,($B$6+$B$10)-IF($B$1+7&gt;=$B$23,$B$22,0))*(1+$B$4)^7))*IF(I135+IF($B$1+7&lt;=$B135,12*($B$7-$B$10),-12*MAX(0,($B$6+$B$10)-IF($B$1+7&gt;=$B$23,$B$22,0))*(1+$B$4)^7)&gt;0,1+$B$3,1))</f>
        <v/>
      </c>
      <c r="K135">
        <f>IF($B$1+8&gt;90,J135,(J135+IF($B$1+8&lt;=$B135,12*($B$7-$B$10),-12*MAX(0,($B$6+$B$10)-IF($B$1+8&gt;=$B$23,$B$22,0))*(1+$B$4)^8))*IF(J135+IF($B$1+8&lt;=$B135,12*($B$7-$B$10),-12*MAX(0,($B$6+$B$10)-IF($B$1+8&gt;=$B$23,$B$22,0))*(1+$B$4)^8)&gt;0,1+$B$3,1))</f>
        <v/>
      </c>
      <c r="L135">
        <f>IF($B$1+9&gt;90,K135,(K135+IF($B$1+9&lt;=$B135,12*($B$7-$B$10),-12*MAX(0,($B$6+$B$10)-IF($B$1+9&gt;=$B$23,$B$22,0))*(1+$B$4)^9))*IF(K135+IF($B$1+9&lt;=$B135,12*($B$7-$B$10),-12*MAX(0,($B$6+$B$10)-IF($B$1+9&gt;=$B$23,$B$22,0))*(1+$B$4)^9)&gt;0,1+$B$3,1))</f>
        <v/>
      </c>
      <c r="M135">
        <f>IF($B$1+10&gt;90,L135,(L135+IF($B$1+10&lt;=$B135,12*($B$7-$B$10),-12*MAX(0,($B$6+$B$10)-IF($B$1+10&gt;=$B$23,$B$22,0))*(1+$B$4)^10))*IF(L135+IF($B$1+10&lt;=$B135,12*($B$7-$B$10),-12*MAX(0,($B$6+$B$10)-IF($B$1+10&gt;=$B$23,$B$22,0))*(1+$B$4)^10)&gt;0,1+$B$3,1))</f>
        <v/>
      </c>
      <c r="N135">
        <f>IF($B$1+11&gt;90,M135,(M135+IF($B$1+11&lt;=$B135,12*($B$7-$B$10),-12*MAX(0,($B$6+$B$10)-IF($B$1+11&gt;=$B$23,$B$22,0))*(1+$B$4)^11))*IF(M135+IF($B$1+11&lt;=$B135,12*($B$7-$B$10),-12*MAX(0,($B$6+$B$10)-IF($B$1+11&gt;=$B$23,$B$22,0))*(1+$B$4)^11)&gt;0,1+$B$3,1))</f>
        <v/>
      </c>
      <c r="O135">
        <f>IF($B$1+12&gt;90,N135,(N135+IF($B$1+12&lt;=$B135,12*($B$7-$B$10),-12*MAX(0,($B$6+$B$10)-IF($B$1+12&gt;=$B$23,$B$22,0))*(1+$B$4)^12))*IF(N135+IF($B$1+12&lt;=$B135,12*($B$7-$B$10),-12*MAX(0,($B$6+$B$10)-IF($B$1+12&gt;=$B$23,$B$22,0))*(1+$B$4)^12)&gt;0,1+$B$3,1))</f>
        <v/>
      </c>
      <c r="P135">
        <f>IF($B$1+13&gt;90,O135,(O135+IF($B$1+13&lt;=$B135,12*($B$7-$B$10),-12*MAX(0,($B$6+$B$10)-IF($B$1+13&gt;=$B$23,$B$22,0))*(1+$B$4)^13))*IF(O135+IF($B$1+13&lt;=$B135,12*($B$7-$B$10),-12*MAX(0,($B$6+$B$10)-IF($B$1+13&gt;=$B$23,$B$22,0))*(1+$B$4)^13)&gt;0,1+$B$3,1))</f>
        <v/>
      </c>
      <c r="Q135">
        <f>IF($B$1+14&gt;90,P135,(P135+IF($B$1+14&lt;=$B135,12*($B$7-$B$10),-12*MAX(0,($B$6+$B$10)-IF($B$1+14&gt;=$B$23,$B$22,0))*(1+$B$4)^14))*IF(P135+IF($B$1+14&lt;=$B135,12*($B$7-$B$10),-12*MAX(0,($B$6+$B$10)-IF($B$1+14&gt;=$B$23,$B$22,0))*(1+$B$4)^14)&gt;0,1+$B$3,1))</f>
        <v/>
      </c>
      <c r="R135">
        <f>IF($B$1+15&gt;90,Q135,(Q135+IF($B$1+15&lt;=$B135,12*($B$7-$B$10),-12*MAX(0,($B$6+$B$10)-IF($B$1+15&gt;=$B$23,$B$22,0))*(1+$B$4)^15))*IF(Q135+IF($B$1+15&lt;=$B135,12*($B$7-$B$10),-12*MAX(0,($B$6+$B$10)-IF($B$1+15&gt;=$B$23,$B$22,0))*(1+$B$4)^15)&gt;0,1+$B$3,1))</f>
        <v/>
      </c>
      <c r="S135">
        <f>IF($B$1+16&gt;90,R135,(R135+IF($B$1+16&lt;=$B135,12*($B$7-$B$10),-12*MAX(0,($B$6+$B$10)-IF($B$1+16&gt;=$B$23,$B$22,0))*(1+$B$4)^16))*IF(R135+IF($B$1+16&lt;=$B135,12*($B$7-$B$10),-12*MAX(0,($B$6+$B$10)-IF($B$1+16&gt;=$B$23,$B$22,0))*(1+$B$4)^16)&gt;0,1+$B$3,1))</f>
        <v/>
      </c>
      <c r="T135">
        <f>IF($B$1+17&gt;90,S135,(S135+IF($B$1+17&lt;=$B135,12*($B$7-$B$10),-12*MAX(0,($B$6+$B$10)-IF($B$1+17&gt;=$B$23,$B$22,0))*(1+$B$4)^17))*IF(S135+IF($B$1+17&lt;=$B135,12*($B$7-$B$10),-12*MAX(0,($B$6+$B$10)-IF($B$1+17&gt;=$B$23,$B$22,0))*(1+$B$4)^17)&gt;0,1+$B$3,1))</f>
        <v/>
      </c>
      <c r="U135">
        <f>IF($B$1+18&gt;90,T135,(T135+IF($B$1+18&lt;=$B135,12*($B$7-$B$10),-12*MAX(0,($B$6+$B$10)-IF($B$1+18&gt;=$B$23,$B$22,0))*(1+$B$4)^18))*IF(T135+IF($B$1+18&lt;=$B135,12*($B$7-$B$10),-12*MAX(0,($B$6+$B$10)-IF($B$1+18&gt;=$B$23,$B$22,0))*(1+$B$4)^18)&gt;0,1+$B$3,1))</f>
        <v/>
      </c>
      <c r="V135">
        <f>IF($B$1+19&gt;90,U135,(U135+IF($B$1+19&lt;=$B135,12*($B$7-$B$10),-12*MAX(0,($B$6+$B$10)-IF($B$1+19&gt;=$B$23,$B$22,0))*(1+$B$4)^19))*IF(U135+IF($B$1+19&lt;=$B135,12*($B$7-$B$10),-12*MAX(0,($B$6+$B$10)-IF($B$1+19&gt;=$B$23,$B$22,0))*(1+$B$4)^19)&gt;0,1+$B$3,1))</f>
        <v/>
      </c>
      <c r="W135">
        <f>IF($B$1+20&gt;90,V135,(V135+IF($B$1+20&lt;=$B135,12*($B$7-$B$10),-12*MAX(0,($B$6+$B$10)-IF($B$1+20&gt;=$B$23,$B$22,0))*(1+$B$4)^20))*IF(V135+IF($B$1+20&lt;=$B135,12*($B$7-$B$10),-12*MAX(0,($B$6+$B$10)-IF($B$1+20&gt;=$B$23,$B$22,0))*(1+$B$4)^20)&gt;0,1+$B$3,1))</f>
        <v/>
      </c>
      <c r="X135">
        <f>IF($B$1+21&gt;90,W135,(W135+IF($B$1+21&lt;=$B135,12*($B$7-$B$10),-12*MAX(0,($B$6+$B$10)-IF($B$1+21&gt;=$B$23,$B$22,0))*(1+$B$4)^21))*IF(W135+IF($B$1+21&lt;=$B135,12*($B$7-$B$10),-12*MAX(0,($B$6+$B$10)-IF($B$1+21&gt;=$B$23,$B$22,0))*(1+$B$4)^21)&gt;0,1+$B$3,1))</f>
        <v/>
      </c>
      <c r="Y135">
        <f>IF($B$1+22&gt;90,X135,(X135+IF($B$1+22&lt;=$B135,12*($B$7-$B$10),-12*MAX(0,($B$6+$B$10)-IF($B$1+22&gt;=$B$23,$B$22,0))*(1+$B$4)^22))*IF(X135+IF($B$1+22&lt;=$B135,12*($B$7-$B$10),-12*MAX(0,($B$6+$B$10)-IF($B$1+22&gt;=$B$23,$B$22,0))*(1+$B$4)^22)&gt;0,1+$B$3,1))</f>
        <v/>
      </c>
      <c r="Z135">
        <f>IF($B$1+23&gt;90,Y135,(Y135+IF($B$1+23&lt;=$B135,12*($B$7-$B$10),-12*MAX(0,($B$6+$B$10)-IF($B$1+23&gt;=$B$23,$B$22,0))*(1+$B$4)^23))*IF(Y135+IF($B$1+23&lt;=$B135,12*($B$7-$B$10),-12*MAX(0,($B$6+$B$10)-IF($B$1+23&gt;=$B$23,$B$22,0))*(1+$B$4)^23)&gt;0,1+$B$3,1))</f>
        <v/>
      </c>
      <c r="AA135">
        <f>IF($B$1+24&gt;90,Z135,(Z135+IF($B$1+24&lt;=$B135,12*($B$7-$B$10),-12*MAX(0,($B$6+$B$10)-IF($B$1+24&gt;=$B$23,$B$22,0))*(1+$B$4)^24))*IF(Z135+IF($B$1+24&lt;=$B135,12*($B$7-$B$10),-12*MAX(0,($B$6+$B$10)-IF($B$1+24&gt;=$B$23,$B$22,0))*(1+$B$4)^24)&gt;0,1+$B$3,1))</f>
        <v/>
      </c>
      <c r="AB135">
        <f>IF($B$1+25&gt;90,AA135,(AA135+IF($B$1+25&lt;=$B135,12*($B$7-$B$10),-12*MAX(0,($B$6+$B$10)-IF($B$1+25&gt;=$B$23,$B$22,0))*(1+$B$4)^25))*IF(AA135+IF($B$1+25&lt;=$B135,12*($B$7-$B$10),-12*MAX(0,($B$6+$B$10)-IF($B$1+25&gt;=$B$23,$B$22,0))*(1+$B$4)^25)&gt;0,1+$B$3,1))</f>
        <v/>
      </c>
      <c r="AC135">
        <f>IF($B$1+26&gt;90,AB135,(AB135+IF($B$1+26&lt;=$B135,12*($B$7-$B$10),-12*MAX(0,($B$6+$B$10)-IF($B$1+26&gt;=$B$23,$B$22,0))*(1+$B$4)^26))*IF(AB135+IF($B$1+26&lt;=$B135,12*($B$7-$B$10),-12*MAX(0,($B$6+$B$10)-IF($B$1+26&gt;=$B$23,$B$22,0))*(1+$B$4)^26)&gt;0,1+$B$3,1))</f>
        <v/>
      </c>
      <c r="AD135">
        <f>IF($B$1+27&gt;90,AC135,(AC135+IF($B$1+27&lt;=$B135,12*($B$7-$B$10),-12*MAX(0,($B$6+$B$10)-IF($B$1+27&gt;=$B$23,$B$22,0))*(1+$B$4)^27))*IF(AC135+IF($B$1+27&lt;=$B135,12*($B$7-$B$10),-12*MAX(0,($B$6+$B$10)-IF($B$1+27&gt;=$B$23,$B$22,0))*(1+$B$4)^27)&gt;0,1+$B$3,1))</f>
        <v/>
      </c>
      <c r="AE135">
        <f>IF($B$1+28&gt;90,AD135,(AD135+IF($B$1+28&lt;=$B135,12*($B$7-$B$10),-12*MAX(0,($B$6+$B$10)-IF($B$1+28&gt;=$B$23,$B$22,0))*(1+$B$4)^28))*IF(AD135+IF($B$1+28&lt;=$B135,12*($B$7-$B$10),-12*MAX(0,($B$6+$B$10)-IF($B$1+28&gt;=$B$23,$B$22,0))*(1+$B$4)^28)&gt;0,1+$B$3,1))</f>
        <v/>
      </c>
      <c r="AF135">
        <f>IF($B$1+29&gt;90,AE135,(AE135+IF($B$1+29&lt;=$B135,12*($B$7-$B$10),-12*MAX(0,($B$6+$B$10)-IF($B$1+29&gt;=$B$23,$B$22,0))*(1+$B$4)^29))*IF(AE135+IF($B$1+29&lt;=$B135,12*($B$7-$B$10),-12*MAX(0,($B$6+$B$10)-IF($B$1+29&gt;=$B$23,$B$22,0))*(1+$B$4)^29)&gt;0,1+$B$3,1))</f>
        <v/>
      </c>
      <c r="AG135">
        <f>IF($B$1+30&gt;90,AF135,(AF135+IF($B$1+30&lt;=$B135,12*($B$7-$B$10),-12*MAX(0,($B$6+$B$10)-IF($B$1+30&gt;=$B$23,$B$22,0))*(1+$B$4)^30))*IF(AF135+IF($B$1+30&lt;=$B135,12*($B$7-$B$10),-12*MAX(0,($B$6+$B$10)-IF($B$1+30&gt;=$B$23,$B$22,0))*(1+$B$4)^30)&gt;0,1+$B$3,1))</f>
        <v/>
      </c>
      <c r="AH135">
        <f>IF($B$1+31&gt;90,AG135,(AG135+IF($B$1+31&lt;=$B135,12*($B$7-$B$10),-12*MAX(0,($B$6+$B$10)-IF($B$1+31&gt;=$B$23,$B$22,0))*(1+$B$4)^31))*IF(AG135+IF($B$1+31&lt;=$B135,12*($B$7-$B$10),-12*MAX(0,($B$6+$B$10)-IF($B$1+31&gt;=$B$23,$B$22,0))*(1+$B$4)^31)&gt;0,1+$B$3,1))</f>
        <v/>
      </c>
      <c r="AI135">
        <f>IF($B$1+32&gt;90,AH135,(AH135+IF($B$1+32&lt;=$B135,12*($B$7-$B$10),-12*MAX(0,($B$6+$B$10)-IF($B$1+32&gt;=$B$23,$B$22,0))*(1+$B$4)^32))*IF(AH135+IF($B$1+32&lt;=$B135,12*($B$7-$B$10),-12*MAX(0,($B$6+$B$10)-IF($B$1+32&gt;=$B$23,$B$22,0))*(1+$B$4)^32)&gt;0,1+$B$3,1))</f>
        <v/>
      </c>
      <c r="AJ135">
        <f>IF($B$1+33&gt;90,AI135,(AI135+IF($B$1+33&lt;=$B135,12*($B$7-$B$10),-12*MAX(0,($B$6+$B$10)-IF($B$1+33&gt;=$B$23,$B$22,0))*(1+$B$4)^33))*IF(AI135+IF($B$1+33&lt;=$B135,12*($B$7-$B$10),-12*MAX(0,($B$6+$B$10)-IF($B$1+33&gt;=$B$23,$B$22,0))*(1+$B$4)^33)&gt;0,1+$B$3,1))</f>
        <v/>
      </c>
      <c r="AK135">
        <f>IF($B$1+34&gt;90,AJ135,(AJ135+IF($B$1+34&lt;=$B135,12*($B$7-$B$10),-12*MAX(0,($B$6+$B$10)-IF($B$1+34&gt;=$B$23,$B$22,0))*(1+$B$4)^34))*IF(AJ135+IF($B$1+34&lt;=$B135,12*($B$7-$B$10),-12*MAX(0,($B$6+$B$10)-IF($B$1+34&gt;=$B$23,$B$22,0))*(1+$B$4)^34)&gt;0,1+$B$3,1))</f>
        <v/>
      </c>
      <c r="AL135">
        <f>IF($B$1+35&gt;90,AK135,(AK135+IF($B$1+35&lt;=$B135,12*($B$7-$B$10),-12*MAX(0,($B$6+$B$10)-IF($B$1+35&gt;=$B$23,$B$22,0))*(1+$B$4)^35))*IF(AK135+IF($B$1+35&lt;=$B135,12*($B$7-$B$10),-12*MAX(0,($B$6+$B$10)-IF($B$1+35&gt;=$B$23,$B$22,0))*(1+$B$4)^35)&gt;0,1+$B$3,1))</f>
        <v/>
      </c>
      <c r="AM135">
        <f>IF($B$1+36&gt;90,AL135,(AL135+IF($B$1+36&lt;=$B135,12*($B$7-$B$10),-12*MAX(0,($B$6+$B$10)-IF($B$1+36&gt;=$B$23,$B$22,0))*(1+$B$4)^36))*IF(AL135+IF($B$1+36&lt;=$B135,12*($B$7-$B$10),-12*MAX(0,($B$6+$B$10)-IF($B$1+36&gt;=$B$23,$B$22,0))*(1+$B$4)^36)&gt;0,1+$B$3,1))</f>
        <v/>
      </c>
      <c r="AN135">
        <f>IF($B$1+37&gt;90,AM135,(AM135+IF($B$1+37&lt;=$B135,12*($B$7-$B$10),-12*MAX(0,($B$6+$B$10)-IF($B$1+37&gt;=$B$23,$B$22,0))*(1+$B$4)^37))*IF(AM135+IF($B$1+37&lt;=$B135,12*($B$7-$B$10),-12*MAX(0,($B$6+$B$10)-IF($B$1+37&gt;=$B$23,$B$22,0))*(1+$B$4)^37)&gt;0,1+$B$3,1))</f>
        <v/>
      </c>
      <c r="AO135">
        <f>IF($B$1+38&gt;90,AN135,(AN135+IF($B$1+38&lt;=$B135,12*($B$7-$B$10),-12*MAX(0,($B$6+$B$10)-IF($B$1+38&gt;=$B$23,$B$22,0))*(1+$B$4)^38))*IF(AN135+IF($B$1+38&lt;=$B135,12*($B$7-$B$10),-12*MAX(0,($B$6+$B$10)-IF($B$1+38&gt;=$B$23,$B$22,0))*(1+$B$4)^38)&gt;0,1+$B$3,1))</f>
        <v/>
      </c>
      <c r="AP135">
        <f>IF($B$1+39&gt;90,AO135,(AO135+IF($B$1+39&lt;=$B135,12*($B$7-$B$10),-12*MAX(0,($B$6+$B$10)-IF($B$1+39&gt;=$B$23,$B$22,0))*(1+$B$4)^39))*IF(AO135+IF($B$1+39&lt;=$B135,12*($B$7-$B$10),-12*MAX(0,($B$6+$B$10)-IF($B$1+39&gt;=$B$23,$B$22,0))*(1+$B$4)^39)&gt;0,1+$B$3,1))</f>
        <v/>
      </c>
      <c r="AQ135">
        <f>IF($B$1+40&gt;90,AP135,(AP135+IF($B$1+40&lt;=$B135,12*($B$7-$B$10),-12*MAX(0,($B$6+$B$10)-IF($B$1+40&gt;=$B$23,$B$22,0))*(1+$B$4)^40))*IF(AP135+IF($B$1+40&lt;=$B135,12*($B$7-$B$10),-12*MAX(0,($B$6+$B$10)-IF($B$1+40&gt;=$B$23,$B$22,0))*(1+$B$4)^40)&gt;0,1+$B$3,1))</f>
        <v/>
      </c>
      <c r="AR135">
        <f>IF($B$1+41&gt;90,AQ135,(AQ135+IF($B$1+41&lt;=$B135,12*($B$7-$B$10),-12*MAX(0,($B$6+$B$10)-IF($B$1+41&gt;=$B$23,$B$22,0))*(1+$B$4)^41))*IF(AQ135+IF($B$1+41&lt;=$B135,12*($B$7-$B$10),-12*MAX(0,($B$6+$B$10)-IF($B$1+41&gt;=$B$23,$B$22,0))*(1+$B$4)^41)&gt;0,1+$B$3,1))</f>
        <v/>
      </c>
      <c r="AS135">
        <f>IF($B$1+42&gt;90,AR135,(AR135+IF($B$1+42&lt;=$B135,12*($B$7-$B$10),-12*MAX(0,($B$6+$B$10)-IF($B$1+42&gt;=$B$23,$B$22,0))*(1+$B$4)^42))*IF(AR135+IF($B$1+42&lt;=$B135,12*($B$7-$B$10),-12*MAX(0,($B$6+$B$10)-IF($B$1+42&gt;=$B$23,$B$22,0))*(1+$B$4)^42)&gt;0,1+$B$3,1))</f>
        <v/>
      </c>
      <c r="AT135">
        <f>IF($B$1+43&gt;90,AS135,(AS135+IF($B$1+43&lt;=$B135,12*($B$7-$B$10),-12*MAX(0,($B$6+$B$10)-IF($B$1+43&gt;=$B$23,$B$22,0))*(1+$B$4)^43))*IF(AS135+IF($B$1+43&lt;=$B135,12*($B$7-$B$10),-12*MAX(0,($B$6+$B$10)-IF($B$1+43&gt;=$B$23,$B$22,0))*(1+$B$4)^43)&gt;0,1+$B$3,1))</f>
        <v/>
      </c>
      <c r="AU135">
        <f>IF($B$1+44&gt;90,AT135,(AT135+IF($B$1+44&lt;=$B135,12*($B$7-$B$10),-12*MAX(0,($B$6+$B$10)-IF($B$1+44&gt;=$B$23,$B$22,0))*(1+$B$4)^44))*IF(AT135+IF($B$1+44&lt;=$B135,12*($B$7-$B$10),-12*MAX(0,($B$6+$B$10)-IF($B$1+44&gt;=$B$23,$B$22,0))*(1+$B$4)^44)&gt;0,1+$B$3,1))</f>
        <v/>
      </c>
      <c r="AV135">
        <f>IF($B$1+45&gt;90,AU135,(AU135+IF($B$1+45&lt;=$B135,12*($B$7-$B$10),-12*MAX(0,($B$6+$B$10)-IF($B$1+45&gt;=$B$23,$B$22,0))*(1+$B$4)^45))*IF(AU135+IF($B$1+45&lt;=$B135,12*($B$7-$B$10),-12*MAX(0,($B$6+$B$10)-IF($B$1+45&gt;=$B$23,$B$22,0))*(1+$B$4)^45)&gt;0,1+$B$3,1))</f>
        <v/>
      </c>
      <c r="AW135">
        <f>IF($B$1+46&gt;90,AV135,(AV135+IF($B$1+46&lt;=$B135,12*($B$7-$B$10),-12*MAX(0,($B$6+$B$10)-IF($B$1+46&gt;=$B$23,$B$22,0))*(1+$B$4)^46))*IF(AV135+IF($B$1+46&lt;=$B135,12*($B$7-$B$10),-12*MAX(0,($B$6+$B$10)-IF($B$1+46&gt;=$B$23,$B$22,0))*(1+$B$4)^46)&gt;0,1+$B$3,1))</f>
        <v/>
      </c>
      <c r="AX135">
        <f>IF($B$1+47&gt;90,AW135,(AW135+IF($B$1+47&lt;=$B135,12*($B$7-$B$10),-12*MAX(0,($B$6+$B$10)-IF($B$1+47&gt;=$B$23,$B$22,0))*(1+$B$4)^47))*IF(AW135+IF($B$1+47&lt;=$B135,12*($B$7-$B$10),-12*MAX(0,($B$6+$B$10)-IF($B$1+47&gt;=$B$23,$B$22,0))*(1+$B$4)^47)&gt;0,1+$B$3,1))</f>
        <v/>
      </c>
      <c r="AY135">
        <f>IF($B$1+48&gt;90,AX135,(AX135+IF($B$1+48&lt;=$B135,12*($B$7-$B$10),-12*MAX(0,($B$6+$B$10)-IF($B$1+48&gt;=$B$23,$B$22,0))*(1+$B$4)^48))*IF(AX135+IF($B$1+48&lt;=$B135,12*($B$7-$B$10),-12*MAX(0,($B$6+$B$10)-IF($B$1+48&gt;=$B$23,$B$22,0))*(1+$B$4)^48)&gt;0,1+$B$3,1))</f>
        <v/>
      </c>
      <c r="AZ135">
        <f>IF($B$1+49&gt;90,AY135,(AY135+IF($B$1+49&lt;=$B135,12*($B$7-$B$10),-12*MAX(0,($B$6+$B$10)-IF($B$1+49&gt;=$B$23,$B$22,0))*(1+$B$4)^49))*IF(AY135+IF($B$1+49&lt;=$B135,12*($B$7-$B$10),-12*MAX(0,($B$6+$B$10)-IF($B$1+49&gt;=$B$23,$B$22,0))*(1+$B$4)^49)&gt;0,1+$B$3,1))</f>
        <v/>
      </c>
      <c r="BA135">
        <f>IF($B$1+50&gt;90,AZ135,(AZ135+IF($B$1+50&lt;=$B135,12*($B$7-$B$10),-12*MAX(0,($B$6+$B$10)-IF($B$1+50&gt;=$B$23,$B$22,0))*(1+$B$4)^50))*IF(AZ135+IF($B$1+50&lt;=$B135,12*($B$7-$B$10),-12*MAX(0,($B$6+$B$10)-IF($B$1+50&gt;=$B$23,$B$22,0))*(1+$B$4)^50)&gt;0,1+$B$3,1))</f>
        <v/>
      </c>
      <c r="BB135">
        <f>IF($B$1+51&gt;90,BA135,(BA135+IF($B$1+51&lt;=$B135,12*($B$7-$B$10),-12*MAX(0,($B$6+$B$10)-IF($B$1+51&gt;=$B$23,$B$22,0))*(1+$B$4)^51))*IF(BA135+IF($B$1+51&lt;=$B135,12*($B$7-$B$10),-12*MAX(0,($B$6+$B$10)-IF($B$1+51&gt;=$B$23,$B$22,0))*(1+$B$4)^51)&gt;0,1+$B$3,1))</f>
        <v/>
      </c>
      <c r="BC135">
        <f>IF($B$1+52&gt;90,BB135,(BB135+IF($B$1+52&lt;=$B135,12*($B$7-$B$10),-12*MAX(0,($B$6+$B$10)-IF($B$1+52&gt;=$B$23,$B$22,0))*(1+$B$4)^52))*IF(BB135+IF($B$1+52&lt;=$B135,12*($B$7-$B$10),-12*MAX(0,($B$6+$B$10)-IF($B$1+52&gt;=$B$23,$B$22,0))*(1+$B$4)^52)&gt;0,1+$B$3,1))</f>
        <v/>
      </c>
      <c r="BD135">
        <f>IF($B$1+53&gt;90,BC135,(BC135+IF($B$1+53&lt;=$B135,12*($B$7-$B$10),-12*MAX(0,($B$6+$B$10)-IF($B$1+53&gt;=$B$23,$B$22,0))*(1+$B$4)^53))*IF(BC135+IF($B$1+53&lt;=$B135,12*($B$7-$B$10),-12*MAX(0,($B$6+$B$10)-IF($B$1+53&gt;=$B$23,$B$22,0))*(1+$B$4)^53)&gt;0,1+$B$3,1))</f>
        <v/>
      </c>
      <c r="BE135">
        <f>IF($B$1+54&gt;90,BD135,(BD135+IF($B$1+54&lt;=$B135,12*($B$7-$B$10),-12*MAX(0,($B$6+$B$10)-IF($B$1+54&gt;=$B$23,$B$22,0))*(1+$B$4)^54))*IF(BD135+IF($B$1+54&lt;=$B135,12*($B$7-$B$10),-12*MAX(0,($B$6+$B$10)-IF($B$1+54&gt;=$B$23,$B$22,0))*(1+$B$4)^54)&gt;0,1+$B$3,1))</f>
        <v/>
      </c>
      <c r="BF135">
        <f>IF($B$1+55&gt;90,BE135,(BE135+IF($B$1+55&lt;=$B135,12*($B$7-$B$10),-12*MAX(0,($B$6+$B$10)-IF($B$1+55&gt;=$B$23,$B$22,0))*(1+$B$4)^55))*IF(BE135+IF($B$1+55&lt;=$B135,12*($B$7-$B$10),-12*MAX(0,($B$6+$B$10)-IF($B$1+55&gt;=$B$23,$B$22,0))*(1+$B$4)^55)&gt;0,1+$B$3,1))</f>
        <v/>
      </c>
      <c r="BG135">
        <f>IF($B$1+56&gt;90,BF135,(BF135+IF($B$1+56&lt;=$B135,12*($B$7-$B$10),-12*MAX(0,($B$6+$B$10)-IF($B$1+56&gt;=$B$23,$B$22,0))*(1+$B$4)^56))*IF(BF135+IF($B$1+56&lt;=$B135,12*($B$7-$B$10),-12*MAX(0,($B$6+$B$10)-IF($B$1+56&gt;=$B$23,$B$22,0))*(1+$B$4)^56)&gt;0,1+$B$3,1))</f>
        <v/>
      </c>
      <c r="BH135">
        <f>IF($B$1+57&gt;90,BG135,(BG135+IF($B$1+57&lt;=$B135,12*($B$7-$B$10),-12*MAX(0,($B$6+$B$10)-IF($B$1+57&gt;=$B$23,$B$22,0))*(1+$B$4)^57))*IF(BG135+IF($B$1+57&lt;=$B135,12*($B$7-$B$10),-12*MAX(0,($B$6+$B$10)-IF($B$1+57&gt;=$B$23,$B$22,0))*(1+$B$4)^57)&gt;0,1+$B$3,1))</f>
        <v/>
      </c>
      <c r="BI135">
        <f>IF($B$1+58&gt;90,BH135,(BH135+IF($B$1+58&lt;=$B135,12*($B$7-$B$10),-12*MAX(0,($B$6+$B$10)-IF($B$1+58&gt;=$B$23,$B$22,0))*(1+$B$4)^58))*IF(BH135+IF($B$1+58&lt;=$B135,12*($B$7-$B$10),-12*MAX(0,($B$6+$B$10)-IF($B$1+58&gt;=$B$23,$B$22,0))*(1+$B$4)^58)&gt;0,1+$B$3,1))</f>
        <v/>
      </c>
      <c r="BJ135">
        <f>IF($B$1+59&gt;90,BI135,(BI135+IF($B$1+59&lt;=$B135,12*($B$7-$B$10),-12*MAX(0,($B$6+$B$10)-IF($B$1+59&gt;=$B$23,$B$22,0))*(1+$B$4)^59))*IF(BI135+IF($B$1+59&lt;=$B135,12*($B$7-$B$10),-12*MAX(0,($B$6+$B$10)-IF($B$1+59&gt;=$B$23,$B$22,0))*(1+$B$4)^59)&gt;0,1+$B$3,1))</f>
        <v/>
      </c>
      <c r="BK135">
        <f>IF($B$1+60&gt;90,BJ135,(BJ135+IF($B$1+60&lt;=$B135,12*($B$7-$B$10),-12*MAX(0,($B$6+$B$10)-IF($B$1+60&gt;=$B$23,$B$22,0))*(1+$B$4)^60))*IF(BJ135+IF($B$1+60&lt;=$B135,12*($B$7-$B$10),-12*MAX(0,($B$6+$B$10)-IF($B$1+60&gt;=$B$23,$B$22,0))*(1+$B$4)^60)&gt;0,1+$B$3,1))</f>
        <v/>
      </c>
      <c r="BL135">
        <f>IF($B$1+61&gt;90,BK135,(BK135+IF($B$1+61&lt;=$B135,12*($B$7-$B$10),-12*MAX(0,($B$6+$B$10)-IF($B$1+61&gt;=$B$23,$B$22,0))*(1+$B$4)^61))*IF(BK135+IF($B$1+61&lt;=$B135,12*($B$7-$B$10),-12*MAX(0,($B$6+$B$10)-IF($B$1+61&gt;=$B$23,$B$22,0))*(1+$B$4)^61)&gt;0,1+$B$3,1))</f>
        <v/>
      </c>
      <c r="BM135">
        <f>IF($B$1+62&gt;90,BL135,(BL135+IF($B$1+62&lt;=$B135,12*($B$7-$B$10),-12*MAX(0,($B$6+$B$10)-IF($B$1+62&gt;=$B$23,$B$22,0))*(1+$B$4)^62))*IF(BL135+IF($B$1+62&lt;=$B135,12*($B$7-$B$10),-12*MAX(0,($B$6+$B$10)-IF($B$1+62&gt;=$B$23,$B$22,0))*(1+$B$4)^62)&gt;0,1+$B$3,1))</f>
        <v/>
      </c>
      <c r="BN135">
        <f>IF($B$1+63&gt;90,BM135,(BM135+IF($B$1+63&lt;=$B135,12*($B$7-$B$10),-12*MAX(0,($B$6+$B$10)-IF($B$1+63&gt;=$B$23,$B$22,0))*(1+$B$4)^63))*IF(BM135+IF($B$1+63&lt;=$B135,12*($B$7-$B$10),-12*MAX(0,($B$6+$B$10)-IF($B$1+63&gt;=$B$23,$B$22,0))*(1+$B$4)^63)&gt;0,1+$B$3,1))</f>
        <v/>
      </c>
      <c r="BO135">
        <f>IF($B$1+64&gt;90,BN135,(BN135+IF($B$1+64&lt;=$B135,12*($B$7-$B$10),-12*MAX(0,($B$6+$B$10)-IF($B$1+64&gt;=$B$23,$B$22,0))*(1+$B$4)^64))*IF(BN135+IF($B$1+64&lt;=$B135,12*($B$7-$B$10),-12*MAX(0,($B$6+$B$10)-IF($B$1+64&gt;=$B$23,$B$22,0))*(1+$B$4)^64)&gt;0,1+$B$3,1))</f>
        <v/>
      </c>
      <c r="BP135">
        <f>IF($B$1+65&gt;90,BO135,(BO135+IF($B$1+65&lt;=$B135,12*($B$7-$B$10),-12*MAX(0,($B$6+$B$10)-IF($B$1+65&gt;=$B$23,$B$22,0))*(1+$B$4)^65))*IF(BO135+IF($B$1+65&lt;=$B135,12*($B$7-$B$10),-12*MAX(0,($B$6+$B$10)-IF($B$1+65&gt;=$B$23,$B$22,0))*(1+$B$4)^65)&gt;0,1+$B$3,1))</f>
        <v/>
      </c>
      <c r="BQ135">
        <f>IF($B$1+66&gt;90,BP135,(BP135+IF($B$1+66&lt;=$B135,12*($B$7-$B$10),-12*MAX(0,($B$6+$B$10)-IF($B$1+66&gt;=$B$23,$B$22,0))*(1+$B$4)^66))*IF(BP135+IF($B$1+66&lt;=$B135,12*($B$7-$B$10),-12*MAX(0,($B$6+$B$10)-IF($B$1+66&gt;=$B$23,$B$22,0))*(1+$B$4)^66)&gt;0,1+$B$3,1))</f>
        <v/>
      </c>
      <c r="BR135">
        <f>IF($B$1+67&gt;90,BQ135,(BQ135+IF($B$1+67&lt;=$B135,12*($B$7-$B$10),-12*MAX(0,($B$6+$B$10)-IF($B$1+67&gt;=$B$23,$B$22,0))*(1+$B$4)^67))*IF(BQ135+IF($B$1+67&lt;=$B135,12*($B$7-$B$10),-12*MAX(0,($B$6+$B$10)-IF($B$1+67&gt;=$B$23,$B$22,0))*(1+$B$4)^67)&gt;0,1+$B$3,1))</f>
        <v/>
      </c>
      <c r="BS135">
        <f>IF($B$1+68&gt;90,BR135,(BR135+IF($B$1+68&lt;=$B135,12*($B$7-$B$10),-12*MAX(0,($B$6+$B$10)-IF($B$1+68&gt;=$B$23,$B$22,0))*(1+$B$4)^68))*IF(BR135+IF($B$1+68&lt;=$B135,12*($B$7-$B$10),-12*MAX(0,($B$6+$B$10)-IF($B$1+68&gt;=$B$23,$B$22,0))*(1+$B$4)^68)&gt;0,1+$B$3,1))</f>
        <v/>
      </c>
      <c r="BT135">
        <f>IF($B$1+69&gt;90,BS135,(BS135+IF($B$1+69&lt;=$B135,12*($B$7-$B$10),-12*MAX(0,($B$6+$B$10)-IF($B$1+69&gt;=$B$23,$B$22,0))*(1+$B$4)^69))*IF(BS135+IF($B$1+69&lt;=$B135,12*($B$7-$B$10),-12*MAX(0,($B$6+$B$10)-IF($B$1+69&gt;=$B$23,$B$22,0))*(1+$B$4)^69)&gt;0,1+$B$3,1))</f>
        <v/>
      </c>
      <c r="BU135">
        <f>IF($B$1+70&gt;90,BT135,(BT135+IF($B$1+70&lt;=$B135,12*($B$7-$B$10),-12*MAX(0,($B$6+$B$10)-IF($B$1+70&gt;=$B$23,$B$22,0))*(1+$B$4)^70))*IF(BT135+IF($B$1+70&lt;=$B135,12*($B$7-$B$10),-12*MAX(0,($B$6+$B$10)-IF($B$1+70&gt;=$B$23,$B$22,0))*(1+$B$4)^70)&gt;0,1+$B$3,1))</f>
        <v/>
      </c>
      <c r="BV135">
        <f>BU135</f>
        <v/>
      </c>
      <c r="BW135">
        <f>IF(AND($B135&lt;=70,BV135&gt;0),$B135,999)</f>
        <v/>
      </c>
      <c r="CH135">
        <f>IF(ISTEXT('월 가계부'!A135),SUBSTITUTE(SUBSTITUTE(SUBSTITUTE(SUBSTITUTE(SUBSTITUTE(SUBSTITUTE(SUBSTITUTE(SUBSTITUTE(SUBSTITUTE(TRIM('월 가계부'!A135),"년","-"),"월","-"),"일",""),".","-"),"/","-")," ","-"),"--","-"),"--","-"),"--","-")&amp;"-","")</f>
        <v/>
      </c>
      <c r="CI135">
        <f>IFERROR(IF('월 가계부'!A135="","",IF(ISNUMBER('월 가계부'!A135),IF(AND('월 가계부'!A135&gt;=19000101,'월 가계부'!A135&lt;=21001231),IF(AND(MOD(INT('월 가계부'!A135/100),100)&gt;=1,MOD(INT('월 가계부'!A135/100),100)&lt;=12,MOD(INT('월 가계부'!A135),100)&gt;=1,MOD(INT('월 가계부'!A135),100)&lt;=31),IF(MONTH(DATE(INT('월 가계부'!A135/10000),MOD(INT('월 가계부'!A135/100),100),MOD(INT('월 가계부'!A135),100)))=MOD(INT('월 가계부'!A135/100),100),DATE(INT('월 가계부'!A135/10000),MOD(INT('월 가계부'!A135/100),100),MOD(INT('월 가계부'!A135),100)),""),""),IF(AND('월 가계부'!A135&gt;=36526,'월 가계부'!A135&lt;73051),INT('월 가계부'!A135),"")),IF(OR(CM135="",CN135="",CO135=""),"",IF(AND(CM135&gt;=2000,CM135&lt;=2099,CN135&gt;=1,CN135&lt;=12,CO135&gt;=1,CO135&lt;=31),IF(MONTH(DATE(CM135,CN135,CO135))=CN135,DATE(CM135,CN135,CO135),""),"")))),"")</f>
        <v/>
      </c>
      <c r="CJ135">
        <f>IFERROR(IF('월 가계부'!C135="","",IF(ISNUMBER('월 가계부'!C135),'월 가계부'!C135,VALUE(SUBSTITUTE(SUBSTITUTE(SUBSTITUTE(SUBSTITUTE(TRIM('월 가계부'!C135),",",""),"원","")," ",""),"−","-")))),"")</f>
        <v/>
      </c>
      <c r="CK135">
        <f>IF(ISNUMBER(CI135),IF(CI135&lt;$B$13,CI135,""),"")</f>
        <v/>
      </c>
      <c r="CM135">
        <f>IF(CH135="","",IFERROR(IF(IF(AND(LEN(CH135)=9,ISERROR(FIND("-",LEFT(CH135,8))),ISNUMBER(-LEFT(CH135,8))),VALUE(LEFT(CH135,4)),VALUE(LEFT(CH135,FIND("-",CH135)-1)))&lt;100,IF(AND(LEN(CH135)=9,ISERROR(FIND("-",LEFT(CH135,8))),ISNUMBER(-LEFT(CH135,8))),VALUE(LEFT(CH135,4)),VALUE(LEFT(CH135,FIND("-",CH135)-1)))+2000,IF(AND(LEN(CH135)=9,ISERROR(FIND("-",LEFT(CH135,8))),ISNUMBER(-LEFT(CH135,8))),VALUE(LEFT(CH135,4)),VALUE(LEFT(CH135,FIND("-",CH135)-1)))),""))</f>
        <v/>
      </c>
      <c r="CN135">
        <f>IF(CH135="","",IFERROR(IF(AND(LEN(CH135)=9,ISERROR(FIND("-",LEFT(CH135,8))),ISNUMBER(-LEFT(CH135,8))),VALUE(MID(CH135,5,2)),VALUE(MID(CH135,FIND("-",CH135)+1,FIND("-",CH135,FIND("-",CH135)+1)-FIND("-",CH135)-1))),""))</f>
        <v/>
      </c>
      <c r="CO135">
        <f>IF(CH135="","",IFERROR(IF(AND(LEN(CH135)=9,ISERROR(FIND("-",LEFT(CH135,8))),ISNUMBER(-LEFT(CH135,8))),VALUE(MID(CH135,7,2)),VALUE(MID(CH135,FIND("-",CH135,FIND("-",CH135)+1)+1,FIND("-",CH135,FIND("-",CH135,FIND("-",CH135)+1)+1)-FIND("-",CH135,FIND("-",CH135)+1)-1))),""))</f>
        <v/>
      </c>
    </row>
    <row r="136">
      <c r="A136" t="n">
        <v>40</v>
      </c>
      <c r="B136">
        <f>$B$1+40</f>
        <v/>
      </c>
      <c r="C136">
        <f>$B$2</f>
        <v/>
      </c>
      <c r="D136">
        <f>IF($B$1+1&gt;90,C136,(C136+IF($B$1+1&lt;=$B136,12*($B$7-$B$10),-12*MAX(0,($B$6+$B$10)-IF($B$1+1&gt;=$B$23,$B$22,0))*(1+$B$4)^1))*IF(C136+IF($B$1+1&lt;=$B136,12*($B$7-$B$10),-12*MAX(0,($B$6+$B$10)-IF($B$1+1&gt;=$B$23,$B$22,0))*(1+$B$4)^1)&gt;0,1+$B$3,1))</f>
        <v/>
      </c>
      <c r="E136">
        <f>IF($B$1+2&gt;90,D136,(D136+IF($B$1+2&lt;=$B136,12*($B$7-$B$10),-12*MAX(0,($B$6+$B$10)-IF($B$1+2&gt;=$B$23,$B$22,0))*(1+$B$4)^2))*IF(D136+IF($B$1+2&lt;=$B136,12*($B$7-$B$10),-12*MAX(0,($B$6+$B$10)-IF($B$1+2&gt;=$B$23,$B$22,0))*(1+$B$4)^2)&gt;0,1+$B$3,1))</f>
        <v/>
      </c>
      <c r="F136">
        <f>IF($B$1+3&gt;90,E136,(E136+IF($B$1+3&lt;=$B136,12*($B$7-$B$10),-12*MAX(0,($B$6+$B$10)-IF($B$1+3&gt;=$B$23,$B$22,0))*(1+$B$4)^3))*IF(E136+IF($B$1+3&lt;=$B136,12*($B$7-$B$10),-12*MAX(0,($B$6+$B$10)-IF($B$1+3&gt;=$B$23,$B$22,0))*(1+$B$4)^3)&gt;0,1+$B$3,1))</f>
        <v/>
      </c>
      <c r="G136">
        <f>IF($B$1+4&gt;90,F136,(F136+IF($B$1+4&lt;=$B136,12*($B$7-$B$10),-12*MAX(0,($B$6+$B$10)-IF($B$1+4&gt;=$B$23,$B$22,0))*(1+$B$4)^4))*IF(F136+IF($B$1+4&lt;=$B136,12*($B$7-$B$10),-12*MAX(0,($B$6+$B$10)-IF($B$1+4&gt;=$B$23,$B$22,0))*(1+$B$4)^4)&gt;0,1+$B$3,1))</f>
        <v/>
      </c>
      <c r="H136">
        <f>IF($B$1+5&gt;90,G136,(G136+IF($B$1+5&lt;=$B136,12*($B$7-$B$10),-12*MAX(0,($B$6+$B$10)-IF($B$1+5&gt;=$B$23,$B$22,0))*(1+$B$4)^5))*IF(G136+IF($B$1+5&lt;=$B136,12*($B$7-$B$10),-12*MAX(0,($B$6+$B$10)-IF($B$1+5&gt;=$B$23,$B$22,0))*(1+$B$4)^5)&gt;0,1+$B$3,1))</f>
        <v/>
      </c>
      <c r="I136">
        <f>IF($B$1+6&gt;90,H136,(H136+IF($B$1+6&lt;=$B136,12*($B$7-$B$10),-12*MAX(0,($B$6+$B$10)-IF($B$1+6&gt;=$B$23,$B$22,0))*(1+$B$4)^6))*IF(H136+IF($B$1+6&lt;=$B136,12*($B$7-$B$10),-12*MAX(0,($B$6+$B$10)-IF($B$1+6&gt;=$B$23,$B$22,0))*(1+$B$4)^6)&gt;0,1+$B$3,1))</f>
        <v/>
      </c>
      <c r="J136">
        <f>IF($B$1+7&gt;90,I136,(I136+IF($B$1+7&lt;=$B136,12*($B$7-$B$10),-12*MAX(0,($B$6+$B$10)-IF($B$1+7&gt;=$B$23,$B$22,0))*(1+$B$4)^7))*IF(I136+IF($B$1+7&lt;=$B136,12*($B$7-$B$10),-12*MAX(0,($B$6+$B$10)-IF($B$1+7&gt;=$B$23,$B$22,0))*(1+$B$4)^7)&gt;0,1+$B$3,1))</f>
        <v/>
      </c>
      <c r="K136">
        <f>IF($B$1+8&gt;90,J136,(J136+IF($B$1+8&lt;=$B136,12*($B$7-$B$10),-12*MAX(0,($B$6+$B$10)-IF($B$1+8&gt;=$B$23,$B$22,0))*(1+$B$4)^8))*IF(J136+IF($B$1+8&lt;=$B136,12*($B$7-$B$10),-12*MAX(0,($B$6+$B$10)-IF($B$1+8&gt;=$B$23,$B$22,0))*(1+$B$4)^8)&gt;0,1+$B$3,1))</f>
        <v/>
      </c>
      <c r="L136">
        <f>IF($B$1+9&gt;90,K136,(K136+IF($B$1+9&lt;=$B136,12*($B$7-$B$10),-12*MAX(0,($B$6+$B$10)-IF($B$1+9&gt;=$B$23,$B$22,0))*(1+$B$4)^9))*IF(K136+IF($B$1+9&lt;=$B136,12*($B$7-$B$10),-12*MAX(0,($B$6+$B$10)-IF($B$1+9&gt;=$B$23,$B$22,0))*(1+$B$4)^9)&gt;0,1+$B$3,1))</f>
        <v/>
      </c>
      <c r="M136">
        <f>IF($B$1+10&gt;90,L136,(L136+IF($B$1+10&lt;=$B136,12*($B$7-$B$10),-12*MAX(0,($B$6+$B$10)-IF($B$1+10&gt;=$B$23,$B$22,0))*(1+$B$4)^10))*IF(L136+IF($B$1+10&lt;=$B136,12*($B$7-$B$10),-12*MAX(0,($B$6+$B$10)-IF($B$1+10&gt;=$B$23,$B$22,0))*(1+$B$4)^10)&gt;0,1+$B$3,1))</f>
        <v/>
      </c>
      <c r="N136">
        <f>IF($B$1+11&gt;90,M136,(M136+IF($B$1+11&lt;=$B136,12*($B$7-$B$10),-12*MAX(0,($B$6+$B$10)-IF($B$1+11&gt;=$B$23,$B$22,0))*(1+$B$4)^11))*IF(M136+IF($B$1+11&lt;=$B136,12*($B$7-$B$10),-12*MAX(0,($B$6+$B$10)-IF($B$1+11&gt;=$B$23,$B$22,0))*(1+$B$4)^11)&gt;0,1+$B$3,1))</f>
        <v/>
      </c>
      <c r="O136">
        <f>IF($B$1+12&gt;90,N136,(N136+IF($B$1+12&lt;=$B136,12*($B$7-$B$10),-12*MAX(0,($B$6+$B$10)-IF($B$1+12&gt;=$B$23,$B$22,0))*(1+$B$4)^12))*IF(N136+IF($B$1+12&lt;=$B136,12*($B$7-$B$10),-12*MAX(0,($B$6+$B$10)-IF($B$1+12&gt;=$B$23,$B$22,0))*(1+$B$4)^12)&gt;0,1+$B$3,1))</f>
        <v/>
      </c>
      <c r="P136">
        <f>IF($B$1+13&gt;90,O136,(O136+IF($B$1+13&lt;=$B136,12*($B$7-$B$10),-12*MAX(0,($B$6+$B$10)-IF($B$1+13&gt;=$B$23,$B$22,0))*(1+$B$4)^13))*IF(O136+IF($B$1+13&lt;=$B136,12*($B$7-$B$10),-12*MAX(0,($B$6+$B$10)-IF($B$1+13&gt;=$B$23,$B$22,0))*(1+$B$4)^13)&gt;0,1+$B$3,1))</f>
        <v/>
      </c>
      <c r="Q136">
        <f>IF($B$1+14&gt;90,P136,(P136+IF($B$1+14&lt;=$B136,12*($B$7-$B$10),-12*MAX(0,($B$6+$B$10)-IF($B$1+14&gt;=$B$23,$B$22,0))*(1+$B$4)^14))*IF(P136+IF($B$1+14&lt;=$B136,12*($B$7-$B$10),-12*MAX(0,($B$6+$B$10)-IF($B$1+14&gt;=$B$23,$B$22,0))*(1+$B$4)^14)&gt;0,1+$B$3,1))</f>
        <v/>
      </c>
      <c r="R136">
        <f>IF($B$1+15&gt;90,Q136,(Q136+IF($B$1+15&lt;=$B136,12*($B$7-$B$10),-12*MAX(0,($B$6+$B$10)-IF($B$1+15&gt;=$B$23,$B$22,0))*(1+$B$4)^15))*IF(Q136+IF($B$1+15&lt;=$B136,12*($B$7-$B$10),-12*MAX(0,($B$6+$B$10)-IF($B$1+15&gt;=$B$23,$B$22,0))*(1+$B$4)^15)&gt;0,1+$B$3,1))</f>
        <v/>
      </c>
      <c r="S136">
        <f>IF($B$1+16&gt;90,R136,(R136+IF($B$1+16&lt;=$B136,12*($B$7-$B$10),-12*MAX(0,($B$6+$B$10)-IF($B$1+16&gt;=$B$23,$B$22,0))*(1+$B$4)^16))*IF(R136+IF($B$1+16&lt;=$B136,12*($B$7-$B$10),-12*MAX(0,($B$6+$B$10)-IF($B$1+16&gt;=$B$23,$B$22,0))*(1+$B$4)^16)&gt;0,1+$B$3,1))</f>
        <v/>
      </c>
      <c r="T136">
        <f>IF($B$1+17&gt;90,S136,(S136+IF($B$1+17&lt;=$B136,12*($B$7-$B$10),-12*MAX(0,($B$6+$B$10)-IF($B$1+17&gt;=$B$23,$B$22,0))*(1+$B$4)^17))*IF(S136+IF($B$1+17&lt;=$B136,12*($B$7-$B$10),-12*MAX(0,($B$6+$B$10)-IF($B$1+17&gt;=$B$23,$B$22,0))*(1+$B$4)^17)&gt;0,1+$B$3,1))</f>
        <v/>
      </c>
      <c r="U136">
        <f>IF($B$1+18&gt;90,T136,(T136+IF($B$1+18&lt;=$B136,12*($B$7-$B$10),-12*MAX(0,($B$6+$B$10)-IF($B$1+18&gt;=$B$23,$B$22,0))*(1+$B$4)^18))*IF(T136+IF($B$1+18&lt;=$B136,12*($B$7-$B$10),-12*MAX(0,($B$6+$B$10)-IF($B$1+18&gt;=$B$23,$B$22,0))*(1+$B$4)^18)&gt;0,1+$B$3,1))</f>
        <v/>
      </c>
      <c r="V136">
        <f>IF($B$1+19&gt;90,U136,(U136+IF($B$1+19&lt;=$B136,12*($B$7-$B$10),-12*MAX(0,($B$6+$B$10)-IF($B$1+19&gt;=$B$23,$B$22,0))*(1+$B$4)^19))*IF(U136+IF($B$1+19&lt;=$B136,12*($B$7-$B$10),-12*MAX(0,($B$6+$B$10)-IF($B$1+19&gt;=$B$23,$B$22,0))*(1+$B$4)^19)&gt;0,1+$B$3,1))</f>
        <v/>
      </c>
      <c r="W136">
        <f>IF($B$1+20&gt;90,V136,(V136+IF($B$1+20&lt;=$B136,12*($B$7-$B$10),-12*MAX(0,($B$6+$B$10)-IF($B$1+20&gt;=$B$23,$B$22,0))*(1+$B$4)^20))*IF(V136+IF($B$1+20&lt;=$B136,12*($B$7-$B$10),-12*MAX(0,($B$6+$B$10)-IF($B$1+20&gt;=$B$23,$B$22,0))*(1+$B$4)^20)&gt;0,1+$B$3,1))</f>
        <v/>
      </c>
      <c r="X136">
        <f>IF($B$1+21&gt;90,W136,(W136+IF($B$1+21&lt;=$B136,12*($B$7-$B$10),-12*MAX(0,($B$6+$B$10)-IF($B$1+21&gt;=$B$23,$B$22,0))*(1+$B$4)^21))*IF(W136+IF($B$1+21&lt;=$B136,12*($B$7-$B$10),-12*MAX(0,($B$6+$B$10)-IF($B$1+21&gt;=$B$23,$B$22,0))*(1+$B$4)^21)&gt;0,1+$B$3,1))</f>
        <v/>
      </c>
      <c r="Y136">
        <f>IF($B$1+22&gt;90,X136,(X136+IF($B$1+22&lt;=$B136,12*($B$7-$B$10),-12*MAX(0,($B$6+$B$10)-IF($B$1+22&gt;=$B$23,$B$22,0))*(1+$B$4)^22))*IF(X136+IF($B$1+22&lt;=$B136,12*($B$7-$B$10),-12*MAX(0,($B$6+$B$10)-IF($B$1+22&gt;=$B$23,$B$22,0))*(1+$B$4)^22)&gt;0,1+$B$3,1))</f>
        <v/>
      </c>
      <c r="Z136">
        <f>IF($B$1+23&gt;90,Y136,(Y136+IF($B$1+23&lt;=$B136,12*($B$7-$B$10),-12*MAX(0,($B$6+$B$10)-IF($B$1+23&gt;=$B$23,$B$22,0))*(1+$B$4)^23))*IF(Y136+IF($B$1+23&lt;=$B136,12*($B$7-$B$10),-12*MAX(0,($B$6+$B$10)-IF($B$1+23&gt;=$B$23,$B$22,0))*(1+$B$4)^23)&gt;0,1+$B$3,1))</f>
        <v/>
      </c>
      <c r="AA136">
        <f>IF($B$1+24&gt;90,Z136,(Z136+IF($B$1+24&lt;=$B136,12*($B$7-$B$10),-12*MAX(0,($B$6+$B$10)-IF($B$1+24&gt;=$B$23,$B$22,0))*(1+$B$4)^24))*IF(Z136+IF($B$1+24&lt;=$B136,12*($B$7-$B$10),-12*MAX(0,($B$6+$B$10)-IF($B$1+24&gt;=$B$23,$B$22,0))*(1+$B$4)^24)&gt;0,1+$B$3,1))</f>
        <v/>
      </c>
      <c r="AB136">
        <f>IF($B$1+25&gt;90,AA136,(AA136+IF($B$1+25&lt;=$B136,12*($B$7-$B$10),-12*MAX(0,($B$6+$B$10)-IF($B$1+25&gt;=$B$23,$B$22,0))*(1+$B$4)^25))*IF(AA136+IF($B$1+25&lt;=$B136,12*($B$7-$B$10),-12*MAX(0,($B$6+$B$10)-IF($B$1+25&gt;=$B$23,$B$22,0))*(1+$B$4)^25)&gt;0,1+$B$3,1))</f>
        <v/>
      </c>
      <c r="AC136">
        <f>IF($B$1+26&gt;90,AB136,(AB136+IF($B$1+26&lt;=$B136,12*($B$7-$B$10),-12*MAX(0,($B$6+$B$10)-IF($B$1+26&gt;=$B$23,$B$22,0))*(1+$B$4)^26))*IF(AB136+IF($B$1+26&lt;=$B136,12*($B$7-$B$10),-12*MAX(0,($B$6+$B$10)-IF($B$1+26&gt;=$B$23,$B$22,0))*(1+$B$4)^26)&gt;0,1+$B$3,1))</f>
        <v/>
      </c>
      <c r="AD136">
        <f>IF($B$1+27&gt;90,AC136,(AC136+IF($B$1+27&lt;=$B136,12*($B$7-$B$10),-12*MAX(0,($B$6+$B$10)-IF($B$1+27&gt;=$B$23,$B$22,0))*(1+$B$4)^27))*IF(AC136+IF($B$1+27&lt;=$B136,12*($B$7-$B$10),-12*MAX(0,($B$6+$B$10)-IF($B$1+27&gt;=$B$23,$B$22,0))*(1+$B$4)^27)&gt;0,1+$B$3,1))</f>
        <v/>
      </c>
      <c r="AE136">
        <f>IF($B$1+28&gt;90,AD136,(AD136+IF($B$1+28&lt;=$B136,12*($B$7-$B$10),-12*MAX(0,($B$6+$B$10)-IF($B$1+28&gt;=$B$23,$B$22,0))*(1+$B$4)^28))*IF(AD136+IF($B$1+28&lt;=$B136,12*($B$7-$B$10),-12*MAX(0,($B$6+$B$10)-IF($B$1+28&gt;=$B$23,$B$22,0))*(1+$B$4)^28)&gt;0,1+$B$3,1))</f>
        <v/>
      </c>
      <c r="AF136">
        <f>IF($B$1+29&gt;90,AE136,(AE136+IF($B$1+29&lt;=$B136,12*($B$7-$B$10),-12*MAX(0,($B$6+$B$10)-IF($B$1+29&gt;=$B$23,$B$22,0))*(1+$B$4)^29))*IF(AE136+IF($B$1+29&lt;=$B136,12*($B$7-$B$10),-12*MAX(0,($B$6+$B$10)-IF($B$1+29&gt;=$B$23,$B$22,0))*(1+$B$4)^29)&gt;0,1+$B$3,1))</f>
        <v/>
      </c>
      <c r="AG136">
        <f>IF($B$1+30&gt;90,AF136,(AF136+IF($B$1+30&lt;=$B136,12*($B$7-$B$10),-12*MAX(0,($B$6+$B$10)-IF($B$1+30&gt;=$B$23,$B$22,0))*(1+$B$4)^30))*IF(AF136+IF($B$1+30&lt;=$B136,12*($B$7-$B$10),-12*MAX(0,($B$6+$B$10)-IF($B$1+30&gt;=$B$23,$B$22,0))*(1+$B$4)^30)&gt;0,1+$B$3,1))</f>
        <v/>
      </c>
      <c r="AH136">
        <f>IF($B$1+31&gt;90,AG136,(AG136+IF($B$1+31&lt;=$B136,12*($B$7-$B$10),-12*MAX(0,($B$6+$B$10)-IF($B$1+31&gt;=$B$23,$B$22,0))*(1+$B$4)^31))*IF(AG136+IF($B$1+31&lt;=$B136,12*($B$7-$B$10),-12*MAX(0,($B$6+$B$10)-IF($B$1+31&gt;=$B$23,$B$22,0))*(1+$B$4)^31)&gt;0,1+$B$3,1))</f>
        <v/>
      </c>
      <c r="AI136">
        <f>IF($B$1+32&gt;90,AH136,(AH136+IF($B$1+32&lt;=$B136,12*($B$7-$B$10),-12*MAX(0,($B$6+$B$10)-IF($B$1+32&gt;=$B$23,$B$22,0))*(1+$B$4)^32))*IF(AH136+IF($B$1+32&lt;=$B136,12*($B$7-$B$10),-12*MAX(0,($B$6+$B$10)-IF($B$1+32&gt;=$B$23,$B$22,0))*(1+$B$4)^32)&gt;0,1+$B$3,1))</f>
        <v/>
      </c>
      <c r="AJ136">
        <f>IF($B$1+33&gt;90,AI136,(AI136+IF($B$1+33&lt;=$B136,12*($B$7-$B$10),-12*MAX(0,($B$6+$B$10)-IF($B$1+33&gt;=$B$23,$B$22,0))*(1+$B$4)^33))*IF(AI136+IF($B$1+33&lt;=$B136,12*($B$7-$B$10),-12*MAX(0,($B$6+$B$10)-IF($B$1+33&gt;=$B$23,$B$22,0))*(1+$B$4)^33)&gt;0,1+$B$3,1))</f>
        <v/>
      </c>
      <c r="AK136">
        <f>IF($B$1+34&gt;90,AJ136,(AJ136+IF($B$1+34&lt;=$B136,12*($B$7-$B$10),-12*MAX(0,($B$6+$B$10)-IF($B$1+34&gt;=$B$23,$B$22,0))*(1+$B$4)^34))*IF(AJ136+IF($B$1+34&lt;=$B136,12*($B$7-$B$10),-12*MAX(0,($B$6+$B$10)-IF($B$1+34&gt;=$B$23,$B$22,0))*(1+$B$4)^34)&gt;0,1+$B$3,1))</f>
        <v/>
      </c>
      <c r="AL136">
        <f>IF($B$1+35&gt;90,AK136,(AK136+IF($B$1+35&lt;=$B136,12*($B$7-$B$10),-12*MAX(0,($B$6+$B$10)-IF($B$1+35&gt;=$B$23,$B$22,0))*(1+$B$4)^35))*IF(AK136+IF($B$1+35&lt;=$B136,12*($B$7-$B$10),-12*MAX(0,($B$6+$B$10)-IF($B$1+35&gt;=$B$23,$B$22,0))*(1+$B$4)^35)&gt;0,1+$B$3,1))</f>
        <v/>
      </c>
      <c r="AM136">
        <f>IF($B$1+36&gt;90,AL136,(AL136+IF($B$1+36&lt;=$B136,12*($B$7-$B$10),-12*MAX(0,($B$6+$B$10)-IF($B$1+36&gt;=$B$23,$B$22,0))*(1+$B$4)^36))*IF(AL136+IF($B$1+36&lt;=$B136,12*($B$7-$B$10),-12*MAX(0,($B$6+$B$10)-IF($B$1+36&gt;=$B$23,$B$22,0))*(1+$B$4)^36)&gt;0,1+$B$3,1))</f>
        <v/>
      </c>
      <c r="AN136">
        <f>IF($B$1+37&gt;90,AM136,(AM136+IF($B$1+37&lt;=$B136,12*($B$7-$B$10),-12*MAX(0,($B$6+$B$10)-IF($B$1+37&gt;=$B$23,$B$22,0))*(1+$B$4)^37))*IF(AM136+IF($B$1+37&lt;=$B136,12*($B$7-$B$10),-12*MAX(0,($B$6+$B$10)-IF($B$1+37&gt;=$B$23,$B$22,0))*(1+$B$4)^37)&gt;0,1+$B$3,1))</f>
        <v/>
      </c>
      <c r="AO136">
        <f>IF($B$1+38&gt;90,AN136,(AN136+IF($B$1+38&lt;=$B136,12*($B$7-$B$10),-12*MAX(0,($B$6+$B$10)-IF($B$1+38&gt;=$B$23,$B$22,0))*(1+$B$4)^38))*IF(AN136+IF($B$1+38&lt;=$B136,12*($B$7-$B$10),-12*MAX(0,($B$6+$B$10)-IF($B$1+38&gt;=$B$23,$B$22,0))*(1+$B$4)^38)&gt;0,1+$B$3,1))</f>
        <v/>
      </c>
      <c r="AP136">
        <f>IF($B$1+39&gt;90,AO136,(AO136+IF($B$1+39&lt;=$B136,12*($B$7-$B$10),-12*MAX(0,($B$6+$B$10)-IF($B$1+39&gt;=$B$23,$B$22,0))*(1+$B$4)^39))*IF(AO136+IF($B$1+39&lt;=$B136,12*($B$7-$B$10),-12*MAX(0,($B$6+$B$10)-IF($B$1+39&gt;=$B$23,$B$22,0))*(1+$B$4)^39)&gt;0,1+$B$3,1))</f>
        <v/>
      </c>
      <c r="AQ136">
        <f>IF($B$1+40&gt;90,AP136,(AP136+IF($B$1+40&lt;=$B136,12*($B$7-$B$10),-12*MAX(0,($B$6+$B$10)-IF($B$1+40&gt;=$B$23,$B$22,0))*(1+$B$4)^40))*IF(AP136+IF($B$1+40&lt;=$B136,12*($B$7-$B$10),-12*MAX(0,($B$6+$B$10)-IF($B$1+40&gt;=$B$23,$B$22,0))*(1+$B$4)^40)&gt;0,1+$B$3,1))</f>
        <v/>
      </c>
      <c r="AR136">
        <f>IF($B$1+41&gt;90,AQ136,(AQ136+IF($B$1+41&lt;=$B136,12*($B$7-$B$10),-12*MAX(0,($B$6+$B$10)-IF($B$1+41&gt;=$B$23,$B$22,0))*(1+$B$4)^41))*IF(AQ136+IF($B$1+41&lt;=$B136,12*($B$7-$B$10),-12*MAX(0,($B$6+$B$10)-IF($B$1+41&gt;=$B$23,$B$22,0))*(1+$B$4)^41)&gt;0,1+$B$3,1))</f>
        <v/>
      </c>
      <c r="AS136">
        <f>IF($B$1+42&gt;90,AR136,(AR136+IF($B$1+42&lt;=$B136,12*($B$7-$B$10),-12*MAX(0,($B$6+$B$10)-IF($B$1+42&gt;=$B$23,$B$22,0))*(1+$B$4)^42))*IF(AR136+IF($B$1+42&lt;=$B136,12*($B$7-$B$10),-12*MAX(0,($B$6+$B$10)-IF($B$1+42&gt;=$B$23,$B$22,0))*(1+$B$4)^42)&gt;0,1+$B$3,1))</f>
        <v/>
      </c>
      <c r="AT136">
        <f>IF($B$1+43&gt;90,AS136,(AS136+IF($B$1+43&lt;=$B136,12*($B$7-$B$10),-12*MAX(0,($B$6+$B$10)-IF($B$1+43&gt;=$B$23,$B$22,0))*(1+$B$4)^43))*IF(AS136+IF($B$1+43&lt;=$B136,12*($B$7-$B$10),-12*MAX(0,($B$6+$B$10)-IF($B$1+43&gt;=$B$23,$B$22,0))*(1+$B$4)^43)&gt;0,1+$B$3,1))</f>
        <v/>
      </c>
      <c r="AU136">
        <f>IF($B$1+44&gt;90,AT136,(AT136+IF($B$1+44&lt;=$B136,12*($B$7-$B$10),-12*MAX(0,($B$6+$B$10)-IF($B$1+44&gt;=$B$23,$B$22,0))*(1+$B$4)^44))*IF(AT136+IF($B$1+44&lt;=$B136,12*($B$7-$B$10),-12*MAX(0,($B$6+$B$10)-IF($B$1+44&gt;=$B$23,$B$22,0))*(1+$B$4)^44)&gt;0,1+$B$3,1))</f>
        <v/>
      </c>
      <c r="AV136">
        <f>IF($B$1+45&gt;90,AU136,(AU136+IF($B$1+45&lt;=$B136,12*($B$7-$B$10),-12*MAX(0,($B$6+$B$10)-IF($B$1+45&gt;=$B$23,$B$22,0))*(1+$B$4)^45))*IF(AU136+IF($B$1+45&lt;=$B136,12*($B$7-$B$10),-12*MAX(0,($B$6+$B$10)-IF($B$1+45&gt;=$B$23,$B$22,0))*(1+$B$4)^45)&gt;0,1+$B$3,1))</f>
        <v/>
      </c>
      <c r="AW136">
        <f>IF($B$1+46&gt;90,AV136,(AV136+IF($B$1+46&lt;=$B136,12*($B$7-$B$10),-12*MAX(0,($B$6+$B$10)-IF($B$1+46&gt;=$B$23,$B$22,0))*(1+$B$4)^46))*IF(AV136+IF($B$1+46&lt;=$B136,12*($B$7-$B$10),-12*MAX(0,($B$6+$B$10)-IF($B$1+46&gt;=$B$23,$B$22,0))*(1+$B$4)^46)&gt;0,1+$B$3,1))</f>
        <v/>
      </c>
      <c r="AX136">
        <f>IF($B$1+47&gt;90,AW136,(AW136+IF($B$1+47&lt;=$B136,12*($B$7-$B$10),-12*MAX(0,($B$6+$B$10)-IF($B$1+47&gt;=$B$23,$B$22,0))*(1+$B$4)^47))*IF(AW136+IF($B$1+47&lt;=$B136,12*($B$7-$B$10),-12*MAX(0,($B$6+$B$10)-IF($B$1+47&gt;=$B$23,$B$22,0))*(1+$B$4)^47)&gt;0,1+$B$3,1))</f>
        <v/>
      </c>
      <c r="AY136">
        <f>IF($B$1+48&gt;90,AX136,(AX136+IF($B$1+48&lt;=$B136,12*($B$7-$B$10),-12*MAX(0,($B$6+$B$10)-IF($B$1+48&gt;=$B$23,$B$22,0))*(1+$B$4)^48))*IF(AX136+IF($B$1+48&lt;=$B136,12*($B$7-$B$10),-12*MAX(0,($B$6+$B$10)-IF($B$1+48&gt;=$B$23,$B$22,0))*(1+$B$4)^48)&gt;0,1+$B$3,1))</f>
        <v/>
      </c>
      <c r="AZ136">
        <f>IF($B$1+49&gt;90,AY136,(AY136+IF($B$1+49&lt;=$B136,12*($B$7-$B$10),-12*MAX(0,($B$6+$B$10)-IF($B$1+49&gt;=$B$23,$B$22,0))*(1+$B$4)^49))*IF(AY136+IF($B$1+49&lt;=$B136,12*($B$7-$B$10),-12*MAX(0,($B$6+$B$10)-IF($B$1+49&gt;=$B$23,$B$22,0))*(1+$B$4)^49)&gt;0,1+$B$3,1))</f>
        <v/>
      </c>
      <c r="BA136">
        <f>IF($B$1+50&gt;90,AZ136,(AZ136+IF($B$1+50&lt;=$B136,12*($B$7-$B$10),-12*MAX(0,($B$6+$B$10)-IF($B$1+50&gt;=$B$23,$B$22,0))*(1+$B$4)^50))*IF(AZ136+IF($B$1+50&lt;=$B136,12*($B$7-$B$10),-12*MAX(0,($B$6+$B$10)-IF($B$1+50&gt;=$B$23,$B$22,0))*(1+$B$4)^50)&gt;0,1+$B$3,1))</f>
        <v/>
      </c>
      <c r="BB136">
        <f>IF($B$1+51&gt;90,BA136,(BA136+IF($B$1+51&lt;=$B136,12*($B$7-$B$10),-12*MAX(0,($B$6+$B$10)-IF($B$1+51&gt;=$B$23,$B$22,0))*(1+$B$4)^51))*IF(BA136+IF($B$1+51&lt;=$B136,12*($B$7-$B$10),-12*MAX(0,($B$6+$B$10)-IF($B$1+51&gt;=$B$23,$B$22,0))*(1+$B$4)^51)&gt;0,1+$B$3,1))</f>
        <v/>
      </c>
      <c r="BC136">
        <f>IF($B$1+52&gt;90,BB136,(BB136+IF($B$1+52&lt;=$B136,12*($B$7-$B$10),-12*MAX(0,($B$6+$B$10)-IF($B$1+52&gt;=$B$23,$B$22,0))*(1+$B$4)^52))*IF(BB136+IF($B$1+52&lt;=$B136,12*($B$7-$B$10),-12*MAX(0,($B$6+$B$10)-IF($B$1+52&gt;=$B$23,$B$22,0))*(1+$B$4)^52)&gt;0,1+$B$3,1))</f>
        <v/>
      </c>
      <c r="BD136">
        <f>IF($B$1+53&gt;90,BC136,(BC136+IF($B$1+53&lt;=$B136,12*($B$7-$B$10),-12*MAX(0,($B$6+$B$10)-IF($B$1+53&gt;=$B$23,$B$22,0))*(1+$B$4)^53))*IF(BC136+IF($B$1+53&lt;=$B136,12*($B$7-$B$10),-12*MAX(0,($B$6+$B$10)-IF($B$1+53&gt;=$B$23,$B$22,0))*(1+$B$4)^53)&gt;0,1+$B$3,1))</f>
        <v/>
      </c>
      <c r="BE136">
        <f>IF($B$1+54&gt;90,BD136,(BD136+IF($B$1+54&lt;=$B136,12*($B$7-$B$10),-12*MAX(0,($B$6+$B$10)-IF($B$1+54&gt;=$B$23,$B$22,0))*(1+$B$4)^54))*IF(BD136+IF($B$1+54&lt;=$B136,12*($B$7-$B$10),-12*MAX(0,($B$6+$B$10)-IF($B$1+54&gt;=$B$23,$B$22,0))*(1+$B$4)^54)&gt;0,1+$B$3,1))</f>
        <v/>
      </c>
      <c r="BF136">
        <f>IF($B$1+55&gt;90,BE136,(BE136+IF($B$1+55&lt;=$B136,12*($B$7-$B$10),-12*MAX(0,($B$6+$B$10)-IF($B$1+55&gt;=$B$23,$B$22,0))*(1+$B$4)^55))*IF(BE136+IF($B$1+55&lt;=$B136,12*($B$7-$B$10),-12*MAX(0,($B$6+$B$10)-IF($B$1+55&gt;=$B$23,$B$22,0))*(1+$B$4)^55)&gt;0,1+$B$3,1))</f>
        <v/>
      </c>
      <c r="BG136">
        <f>IF($B$1+56&gt;90,BF136,(BF136+IF($B$1+56&lt;=$B136,12*($B$7-$B$10),-12*MAX(0,($B$6+$B$10)-IF($B$1+56&gt;=$B$23,$B$22,0))*(1+$B$4)^56))*IF(BF136+IF($B$1+56&lt;=$B136,12*($B$7-$B$10),-12*MAX(0,($B$6+$B$10)-IF($B$1+56&gt;=$B$23,$B$22,0))*(1+$B$4)^56)&gt;0,1+$B$3,1))</f>
        <v/>
      </c>
      <c r="BH136">
        <f>IF($B$1+57&gt;90,BG136,(BG136+IF($B$1+57&lt;=$B136,12*($B$7-$B$10),-12*MAX(0,($B$6+$B$10)-IF($B$1+57&gt;=$B$23,$B$22,0))*(1+$B$4)^57))*IF(BG136+IF($B$1+57&lt;=$B136,12*($B$7-$B$10),-12*MAX(0,($B$6+$B$10)-IF($B$1+57&gt;=$B$23,$B$22,0))*(1+$B$4)^57)&gt;0,1+$B$3,1))</f>
        <v/>
      </c>
      <c r="BI136">
        <f>IF($B$1+58&gt;90,BH136,(BH136+IF($B$1+58&lt;=$B136,12*($B$7-$B$10),-12*MAX(0,($B$6+$B$10)-IF($B$1+58&gt;=$B$23,$B$22,0))*(1+$B$4)^58))*IF(BH136+IF($B$1+58&lt;=$B136,12*($B$7-$B$10),-12*MAX(0,($B$6+$B$10)-IF($B$1+58&gt;=$B$23,$B$22,0))*(1+$B$4)^58)&gt;0,1+$B$3,1))</f>
        <v/>
      </c>
      <c r="BJ136">
        <f>IF($B$1+59&gt;90,BI136,(BI136+IF($B$1+59&lt;=$B136,12*($B$7-$B$10),-12*MAX(0,($B$6+$B$10)-IF($B$1+59&gt;=$B$23,$B$22,0))*(1+$B$4)^59))*IF(BI136+IF($B$1+59&lt;=$B136,12*($B$7-$B$10),-12*MAX(0,($B$6+$B$10)-IF($B$1+59&gt;=$B$23,$B$22,0))*(1+$B$4)^59)&gt;0,1+$B$3,1))</f>
        <v/>
      </c>
      <c r="BK136">
        <f>IF($B$1+60&gt;90,BJ136,(BJ136+IF($B$1+60&lt;=$B136,12*($B$7-$B$10),-12*MAX(0,($B$6+$B$10)-IF($B$1+60&gt;=$B$23,$B$22,0))*(1+$B$4)^60))*IF(BJ136+IF($B$1+60&lt;=$B136,12*($B$7-$B$10),-12*MAX(0,($B$6+$B$10)-IF($B$1+60&gt;=$B$23,$B$22,0))*(1+$B$4)^60)&gt;0,1+$B$3,1))</f>
        <v/>
      </c>
      <c r="BL136">
        <f>IF($B$1+61&gt;90,BK136,(BK136+IF($B$1+61&lt;=$B136,12*($B$7-$B$10),-12*MAX(0,($B$6+$B$10)-IF($B$1+61&gt;=$B$23,$B$22,0))*(1+$B$4)^61))*IF(BK136+IF($B$1+61&lt;=$B136,12*($B$7-$B$10),-12*MAX(0,($B$6+$B$10)-IF($B$1+61&gt;=$B$23,$B$22,0))*(1+$B$4)^61)&gt;0,1+$B$3,1))</f>
        <v/>
      </c>
      <c r="BM136">
        <f>IF($B$1+62&gt;90,BL136,(BL136+IF($B$1+62&lt;=$B136,12*($B$7-$B$10),-12*MAX(0,($B$6+$B$10)-IF($B$1+62&gt;=$B$23,$B$22,0))*(1+$B$4)^62))*IF(BL136+IF($B$1+62&lt;=$B136,12*($B$7-$B$10),-12*MAX(0,($B$6+$B$10)-IF($B$1+62&gt;=$B$23,$B$22,0))*(1+$B$4)^62)&gt;0,1+$B$3,1))</f>
        <v/>
      </c>
      <c r="BN136">
        <f>IF($B$1+63&gt;90,BM136,(BM136+IF($B$1+63&lt;=$B136,12*($B$7-$B$10),-12*MAX(0,($B$6+$B$10)-IF($B$1+63&gt;=$B$23,$B$22,0))*(1+$B$4)^63))*IF(BM136+IF($B$1+63&lt;=$B136,12*($B$7-$B$10),-12*MAX(0,($B$6+$B$10)-IF($B$1+63&gt;=$B$23,$B$22,0))*(1+$B$4)^63)&gt;0,1+$B$3,1))</f>
        <v/>
      </c>
      <c r="BO136">
        <f>IF($B$1+64&gt;90,BN136,(BN136+IF($B$1+64&lt;=$B136,12*($B$7-$B$10),-12*MAX(0,($B$6+$B$10)-IF($B$1+64&gt;=$B$23,$B$22,0))*(1+$B$4)^64))*IF(BN136+IF($B$1+64&lt;=$B136,12*($B$7-$B$10),-12*MAX(0,($B$6+$B$10)-IF($B$1+64&gt;=$B$23,$B$22,0))*(1+$B$4)^64)&gt;0,1+$B$3,1))</f>
        <v/>
      </c>
      <c r="BP136">
        <f>IF($B$1+65&gt;90,BO136,(BO136+IF($B$1+65&lt;=$B136,12*($B$7-$B$10),-12*MAX(0,($B$6+$B$10)-IF($B$1+65&gt;=$B$23,$B$22,0))*(1+$B$4)^65))*IF(BO136+IF($B$1+65&lt;=$B136,12*($B$7-$B$10),-12*MAX(0,($B$6+$B$10)-IF($B$1+65&gt;=$B$23,$B$22,0))*(1+$B$4)^65)&gt;0,1+$B$3,1))</f>
        <v/>
      </c>
      <c r="BQ136">
        <f>IF($B$1+66&gt;90,BP136,(BP136+IF($B$1+66&lt;=$B136,12*($B$7-$B$10),-12*MAX(0,($B$6+$B$10)-IF($B$1+66&gt;=$B$23,$B$22,0))*(1+$B$4)^66))*IF(BP136+IF($B$1+66&lt;=$B136,12*($B$7-$B$10),-12*MAX(0,($B$6+$B$10)-IF($B$1+66&gt;=$B$23,$B$22,0))*(1+$B$4)^66)&gt;0,1+$B$3,1))</f>
        <v/>
      </c>
      <c r="BR136">
        <f>IF($B$1+67&gt;90,BQ136,(BQ136+IF($B$1+67&lt;=$B136,12*($B$7-$B$10),-12*MAX(0,($B$6+$B$10)-IF($B$1+67&gt;=$B$23,$B$22,0))*(1+$B$4)^67))*IF(BQ136+IF($B$1+67&lt;=$B136,12*($B$7-$B$10),-12*MAX(0,($B$6+$B$10)-IF($B$1+67&gt;=$B$23,$B$22,0))*(1+$B$4)^67)&gt;0,1+$B$3,1))</f>
        <v/>
      </c>
      <c r="BS136">
        <f>IF($B$1+68&gt;90,BR136,(BR136+IF($B$1+68&lt;=$B136,12*($B$7-$B$10),-12*MAX(0,($B$6+$B$10)-IF($B$1+68&gt;=$B$23,$B$22,0))*(1+$B$4)^68))*IF(BR136+IF($B$1+68&lt;=$B136,12*($B$7-$B$10),-12*MAX(0,($B$6+$B$10)-IF($B$1+68&gt;=$B$23,$B$22,0))*(1+$B$4)^68)&gt;0,1+$B$3,1))</f>
        <v/>
      </c>
      <c r="BT136">
        <f>IF($B$1+69&gt;90,BS136,(BS136+IF($B$1+69&lt;=$B136,12*($B$7-$B$10),-12*MAX(0,($B$6+$B$10)-IF($B$1+69&gt;=$B$23,$B$22,0))*(1+$B$4)^69))*IF(BS136+IF($B$1+69&lt;=$B136,12*($B$7-$B$10),-12*MAX(0,($B$6+$B$10)-IF($B$1+69&gt;=$B$23,$B$22,0))*(1+$B$4)^69)&gt;0,1+$B$3,1))</f>
        <v/>
      </c>
      <c r="BU136">
        <f>IF($B$1+70&gt;90,BT136,(BT136+IF($B$1+70&lt;=$B136,12*($B$7-$B$10),-12*MAX(0,($B$6+$B$10)-IF($B$1+70&gt;=$B$23,$B$22,0))*(1+$B$4)^70))*IF(BT136+IF($B$1+70&lt;=$B136,12*($B$7-$B$10),-12*MAX(0,($B$6+$B$10)-IF($B$1+70&gt;=$B$23,$B$22,0))*(1+$B$4)^70)&gt;0,1+$B$3,1))</f>
        <v/>
      </c>
      <c r="BV136">
        <f>BU136</f>
        <v/>
      </c>
      <c r="BW136">
        <f>IF(AND($B136&lt;=70,BV136&gt;0),$B136,999)</f>
        <v/>
      </c>
      <c r="CH136">
        <f>IF(ISTEXT('월 가계부'!A136),SUBSTITUTE(SUBSTITUTE(SUBSTITUTE(SUBSTITUTE(SUBSTITUTE(SUBSTITUTE(SUBSTITUTE(SUBSTITUTE(SUBSTITUTE(TRIM('월 가계부'!A136),"년","-"),"월","-"),"일",""),".","-"),"/","-")," ","-"),"--","-"),"--","-"),"--","-")&amp;"-","")</f>
        <v/>
      </c>
      <c r="CI136">
        <f>IFERROR(IF('월 가계부'!A136="","",IF(ISNUMBER('월 가계부'!A136),IF(AND('월 가계부'!A136&gt;=19000101,'월 가계부'!A136&lt;=21001231),IF(AND(MOD(INT('월 가계부'!A136/100),100)&gt;=1,MOD(INT('월 가계부'!A136/100),100)&lt;=12,MOD(INT('월 가계부'!A136),100)&gt;=1,MOD(INT('월 가계부'!A136),100)&lt;=31),IF(MONTH(DATE(INT('월 가계부'!A136/10000),MOD(INT('월 가계부'!A136/100),100),MOD(INT('월 가계부'!A136),100)))=MOD(INT('월 가계부'!A136/100),100),DATE(INT('월 가계부'!A136/10000),MOD(INT('월 가계부'!A136/100),100),MOD(INT('월 가계부'!A136),100)),""),""),IF(AND('월 가계부'!A136&gt;=36526,'월 가계부'!A136&lt;73051),INT('월 가계부'!A136),"")),IF(OR(CM136="",CN136="",CO136=""),"",IF(AND(CM136&gt;=2000,CM136&lt;=2099,CN136&gt;=1,CN136&lt;=12,CO136&gt;=1,CO136&lt;=31),IF(MONTH(DATE(CM136,CN136,CO136))=CN136,DATE(CM136,CN136,CO136),""),"")))),"")</f>
        <v/>
      </c>
      <c r="CJ136">
        <f>IFERROR(IF('월 가계부'!C136="","",IF(ISNUMBER('월 가계부'!C136),'월 가계부'!C136,VALUE(SUBSTITUTE(SUBSTITUTE(SUBSTITUTE(SUBSTITUTE(TRIM('월 가계부'!C136),",",""),"원","")," ",""),"−","-")))),"")</f>
        <v/>
      </c>
      <c r="CK136">
        <f>IF(ISNUMBER(CI136),IF(CI136&lt;$B$13,CI136,""),"")</f>
        <v/>
      </c>
      <c r="CM136">
        <f>IF(CH136="","",IFERROR(IF(IF(AND(LEN(CH136)=9,ISERROR(FIND("-",LEFT(CH136,8))),ISNUMBER(-LEFT(CH136,8))),VALUE(LEFT(CH136,4)),VALUE(LEFT(CH136,FIND("-",CH136)-1)))&lt;100,IF(AND(LEN(CH136)=9,ISERROR(FIND("-",LEFT(CH136,8))),ISNUMBER(-LEFT(CH136,8))),VALUE(LEFT(CH136,4)),VALUE(LEFT(CH136,FIND("-",CH136)-1)))+2000,IF(AND(LEN(CH136)=9,ISERROR(FIND("-",LEFT(CH136,8))),ISNUMBER(-LEFT(CH136,8))),VALUE(LEFT(CH136,4)),VALUE(LEFT(CH136,FIND("-",CH136)-1)))),""))</f>
        <v/>
      </c>
      <c r="CN136">
        <f>IF(CH136="","",IFERROR(IF(AND(LEN(CH136)=9,ISERROR(FIND("-",LEFT(CH136,8))),ISNUMBER(-LEFT(CH136,8))),VALUE(MID(CH136,5,2)),VALUE(MID(CH136,FIND("-",CH136)+1,FIND("-",CH136,FIND("-",CH136)+1)-FIND("-",CH136)-1))),""))</f>
        <v/>
      </c>
      <c r="CO136">
        <f>IF(CH136="","",IFERROR(IF(AND(LEN(CH136)=9,ISERROR(FIND("-",LEFT(CH136,8))),ISNUMBER(-LEFT(CH136,8))),VALUE(MID(CH136,7,2)),VALUE(MID(CH136,FIND("-",CH136,FIND("-",CH136)+1)+1,FIND("-",CH136,FIND("-",CH136,FIND("-",CH136)+1)+1)-FIND("-",CH136,FIND("-",CH136)+1)-1))),""))</f>
        <v/>
      </c>
    </row>
    <row r="137">
      <c r="A137" t="n">
        <v>41</v>
      </c>
      <c r="B137">
        <f>$B$1+41</f>
        <v/>
      </c>
      <c r="C137">
        <f>$B$2</f>
        <v/>
      </c>
      <c r="D137">
        <f>IF($B$1+1&gt;90,C137,(C137+IF($B$1+1&lt;=$B137,12*($B$7-$B$10),-12*MAX(0,($B$6+$B$10)-IF($B$1+1&gt;=$B$23,$B$22,0))*(1+$B$4)^1))*IF(C137+IF($B$1+1&lt;=$B137,12*($B$7-$B$10),-12*MAX(0,($B$6+$B$10)-IF($B$1+1&gt;=$B$23,$B$22,0))*(1+$B$4)^1)&gt;0,1+$B$3,1))</f>
        <v/>
      </c>
      <c r="E137">
        <f>IF($B$1+2&gt;90,D137,(D137+IF($B$1+2&lt;=$B137,12*($B$7-$B$10),-12*MAX(0,($B$6+$B$10)-IF($B$1+2&gt;=$B$23,$B$22,0))*(1+$B$4)^2))*IF(D137+IF($B$1+2&lt;=$B137,12*($B$7-$B$10),-12*MAX(0,($B$6+$B$10)-IF($B$1+2&gt;=$B$23,$B$22,0))*(1+$B$4)^2)&gt;0,1+$B$3,1))</f>
        <v/>
      </c>
      <c r="F137">
        <f>IF($B$1+3&gt;90,E137,(E137+IF($B$1+3&lt;=$B137,12*($B$7-$B$10),-12*MAX(0,($B$6+$B$10)-IF($B$1+3&gt;=$B$23,$B$22,0))*(1+$B$4)^3))*IF(E137+IF($B$1+3&lt;=$B137,12*($B$7-$B$10),-12*MAX(0,($B$6+$B$10)-IF($B$1+3&gt;=$B$23,$B$22,0))*(1+$B$4)^3)&gt;0,1+$B$3,1))</f>
        <v/>
      </c>
      <c r="G137">
        <f>IF($B$1+4&gt;90,F137,(F137+IF($B$1+4&lt;=$B137,12*($B$7-$B$10),-12*MAX(0,($B$6+$B$10)-IF($B$1+4&gt;=$B$23,$B$22,0))*(1+$B$4)^4))*IF(F137+IF($B$1+4&lt;=$B137,12*($B$7-$B$10),-12*MAX(0,($B$6+$B$10)-IF($B$1+4&gt;=$B$23,$B$22,0))*(1+$B$4)^4)&gt;0,1+$B$3,1))</f>
        <v/>
      </c>
      <c r="H137">
        <f>IF($B$1+5&gt;90,G137,(G137+IF($B$1+5&lt;=$B137,12*($B$7-$B$10),-12*MAX(0,($B$6+$B$10)-IF($B$1+5&gt;=$B$23,$B$22,0))*(1+$B$4)^5))*IF(G137+IF($B$1+5&lt;=$B137,12*($B$7-$B$10),-12*MAX(0,($B$6+$B$10)-IF($B$1+5&gt;=$B$23,$B$22,0))*(1+$B$4)^5)&gt;0,1+$B$3,1))</f>
        <v/>
      </c>
      <c r="I137">
        <f>IF($B$1+6&gt;90,H137,(H137+IF($B$1+6&lt;=$B137,12*($B$7-$B$10),-12*MAX(0,($B$6+$B$10)-IF($B$1+6&gt;=$B$23,$B$22,0))*(1+$B$4)^6))*IF(H137+IF($B$1+6&lt;=$B137,12*($B$7-$B$10),-12*MAX(0,($B$6+$B$10)-IF($B$1+6&gt;=$B$23,$B$22,0))*(1+$B$4)^6)&gt;0,1+$B$3,1))</f>
        <v/>
      </c>
      <c r="J137">
        <f>IF($B$1+7&gt;90,I137,(I137+IF($B$1+7&lt;=$B137,12*($B$7-$B$10),-12*MAX(0,($B$6+$B$10)-IF($B$1+7&gt;=$B$23,$B$22,0))*(1+$B$4)^7))*IF(I137+IF($B$1+7&lt;=$B137,12*($B$7-$B$10),-12*MAX(0,($B$6+$B$10)-IF($B$1+7&gt;=$B$23,$B$22,0))*(1+$B$4)^7)&gt;0,1+$B$3,1))</f>
        <v/>
      </c>
      <c r="K137">
        <f>IF($B$1+8&gt;90,J137,(J137+IF($B$1+8&lt;=$B137,12*($B$7-$B$10),-12*MAX(0,($B$6+$B$10)-IF($B$1+8&gt;=$B$23,$B$22,0))*(1+$B$4)^8))*IF(J137+IF($B$1+8&lt;=$B137,12*($B$7-$B$10),-12*MAX(0,($B$6+$B$10)-IF($B$1+8&gt;=$B$23,$B$22,0))*(1+$B$4)^8)&gt;0,1+$B$3,1))</f>
        <v/>
      </c>
      <c r="L137">
        <f>IF($B$1+9&gt;90,K137,(K137+IF($B$1+9&lt;=$B137,12*($B$7-$B$10),-12*MAX(0,($B$6+$B$10)-IF($B$1+9&gt;=$B$23,$B$22,0))*(1+$B$4)^9))*IF(K137+IF($B$1+9&lt;=$B137,12*($B$7-$B$10),-12*MAX(0,($B$6+$B$10)-IF($B$1+9&gt;=$B$23,$B$22,0))*(1+$B$4)^9)&gt;0,1+$B$3,1))</f>
        <v/>
      </c>
      <c r="M137">
        <f>IF($B$1+10&gt;90,L137,(L137+IF($B$1+10&lt;=$B137,12*($B$7-$B$10),-12*MAX(0,($B$6+$B$10)-IF($B$1+10&gt;=$B$23,$B$22,0))*(1+$B$4)^10))*IF(L137+IF($B$1+10&lt;=$B137,12*($B$7-$B$10),-12*MAX(0,($B$6+$B$10)-IF($B$1+10&gt;=$B$23,$B$22,0))*(1+$B$4)^10)&gt;0,1+$B$3,1))</f>
        <v/>
      </c>
      <c r="N137">
        <f>IF($B$1+11&gt;90,M137,(M137+IF($B$1+11&lt;=$B137,12*($B$7-$B$10),-12*MAX(0,($B$6+$B$10)-IF($B$1+11&gt;=$B$23,$B$22,0))*(1+$B$4)^11))*IF(M137+IF($B$1+11&lt;=$B137,12*($B$7-$B$10),-12*MAX(0,($B$6+$B$10)-IF($B$1+11&gt;=$B$23,$B$22,0))*(1+$B$4)^11)&gt;0,1+$B$3,1))</f>
        <v/>
      </c>
      <c r="O137">
        <f>IF($B$1+12&gt;90,N137,(N137+IF($B$1+12&lt;=$B137,12*($B$7-$B$10),-12*MAX(0,($B$6+$B$10)-IF($B$1+12&gt;=$B$23,$B$22,0))*(1+$B$4)^12))*IF(N137+IF($B$1+12&lt;=$B137,12*($B$7-$B$10),-12*MAX(0,($B$6+$B$10)-IF($B$1+12&gt;=$B$23,$B$22,0))*(1+$B$4)^12)&gt;0,1+$B$3,1))</f>
        <v/>
      </c>
      <c r="P137">
        <f>IF($B$1+13&gt;90,O137,(O137+IF($B$1+13&lt;=$B137,12*($B$7-$B$10),-12*MAX(0,($B$6+$B$10)-IF($B$1+13&gt;=$B$23,$B$22,0))*(1+$B$4)^13))*IF(O137+IF($B$1+13&lt;=$B137,12*($B$7-$B$10),-12*MAX(0,($B$6+$B$10)-IF($B$1+13&gt;=$B$23,$B$22,0))*(1+$B$4)^13)&gt;0,1+$B$3,1))</f>
        <v/>
      </c>
      <c r="Q137">
        <f>IF($B$1+14&gt;90,P137,(P137+IF($B$1+14&lt;=$B137,12*($B$7-$B$10),-12*MAX(0,($B$6+$B$10)-IF($B$1+14&gt;=$B$23,$B$22,0))*(1+$B$4)^14))*IF(P137+IF($B$1+14&lt;=$B137,12*($B$7-$B$10),-12*MAX(0,($B$6+$B$10)-IF($B$1+14&gt;=$B$23,$B$22,0))*(1+$B$4)^14)&gt;0,1+$B$3,1))</f>
        <v/>
      </c>
      <c r="R137">
        <f>IF($B$1+15&gt;90,Q137,(Q137+IF($B$1+15&lt;=$B137,12*($B$7-$B$10),-12*MAX(0,($B$6+$B$10)-IF($B$1+15&gt;=$B$23,$B$22,0))*(1+$B$4)^15))*IF(Q137+IF($B$1+15&lt;=$B137,12*($B$7-$B$10),-12*MAX(0,($B$6+$B$10)-IF($B$1+15&gt;=$B$23,$B$22,0))*(1+$B$4)^15)&gt;0,1+$B$3,1))</f>
        <v/>
      </c>
      <c r="S137">
        <f>IF($B$1+16&gt;90,R137,(R137+IF($B$1+16&lt;=$B137,12*($B$7-$B$10),-12*MAX(0,($B$6+$B$10)-IF($B$1+16&gt;=$B$23,$B$22,0))*(1+$B$4)^16))*IF(R137+IF($B$1+16&lt;=$B137,12*($B$7-$B$10),-12*MAX(0,($B$6+$B$10)-IF($B$1+16&gt;=$B$23,$B$22,0))*(1+$B$4)^16)&gt;0,1+$B$3,1))</f>
        <v/>
      </c>
      <c r="T137">
        <f>IF($B$1+17&gt;90,S137,(S137+IF($B$1+17&lt;=$B137,12*($B$7-$B$10),-12*MAX(0,($B$6+$B$10)-IF($B$1+17&gt;=$B$23,$B$22,0))*(1+$B$4)^17))*IF(S137+IF($B$1+17&lt;=$B137,12*($B$7-$B$10),-12*MAX(0,($B$6+$B$10)-IF($B$1+17&gt;=$B$23,$B$22,0))*(1+$B$4)^17)&gt;0,1+$B$3,1))</f>
        <v/>
      </c>
      <c r="U137">
        <f>IF($B$1+18&gt;90,T137,(T137+IF($B$1+18&lt;=$B137,12*($B$7-$B$10),-12*MAX(0,($B$6+$B$10)-IF($B$1+18&gt;=$B$23,$B$22,0))*(1+$B$4)^18))*IF(T137+IF($B$1+18&lt;=$B137,12*($B$7-$B$10),-12*MAX(0,($B$6+$B$10)-IF($B$1+18&gt;=$B$23,$B$22,0))*(1+$B$4)^18)&gt;0,1+$B$3,1))</f>
        <v/>
      </c>
      <c r="V137">
        <f>IF($B$1+19&gt;90,U137,(U137+IF($B$1+19&lt;=$B137,12*($B$7-$B$10),-12*MAX(0,($B$6+$B$10)-IF($B$1+19&gt;=$B$23,$B$22,0))*(1+$B$4)^19))*IF(U137+IF($B$1+19&lt;=$B137,12*($B$7-$B$10),-12*MAX(0,($B$6+$B$10)-IF($B$1+19&gt;=$B$23,$B$22,0))*(1+$B$4)^19)&gt;0,1+$B$3,1))</f>
        <v/>
      </c>
      <c r="W137">
        <f>IF($B$1+20&gt;90,V137,(V137+IF($B$1+20&lt;=$B137,12*($B$7-$B$10),-12*MAX(0,($B$6+$B$10)-IF($B$1+20&gt;=$B$23,$B$22,0))*(1+$B$4)^20))*IF(V137+IF($B$1+20&lt;=$B137,12*($B$7-$B$10),-12*MAX(0,($B$6+$B$10)-IF($B$1+20&gt;=$B$23,$B$22,0))*(1+$B$4)^20)&gt;0,1+$B$3,1))</f>
        <v/>
      </c>
      <c r="X137">
        <f>IF($B$1+21&gt;90,W137,(W137+IF($B$1+21&lt;=$B137,12*($B$7-$B$10),-12*MAX(0,($B$6+$B$10)-IF($B$1+21&gt;=$B$23,$B$22,0))*(1+$B$4)^21))*IF(W137+IF($B$1+21&lt;=$B137,12*($B$7-$B$10),-12*MAX(0,($B$6+$B$10)-IF($B$1+21&gt;=$B$23,$B$22,0))*(1+$B$4)^21)&gt;0,1+$B$3,1))</f>
        <v/>
      </c>
      <c r="Y137">
        <f>IF($B$1+22&gt;90,X137,(X137+IF($B$1+22&lt;=$B137,12*($B$7-$B$10),-12*MAX(0,($B$6+$B$10)-IF($B$1+22&gt;=$B$23,$B$22,0))*(1+$B$4)^22))*IF(X137+IF($B$1+22&lt;=$B137,12*($B$7-$B$10),-12*MAX(0,($B$6+$B$10)-IF($B$1+22&gt;=$B$23,$B$22,0))*(1+$B$4)^22)&gt;0,1+$B$3,1))</f>
        <v/>
      </c>
      <c r="Z137">
        <f>IF($B$1+23&gt;90,Y137,(Y137+IF($B$1+23&lt;=$B137,12*($B$7-$B$10),-12*MAX(0,($B$6+$B$10)-IF($B$1+23&gt;=$B$23,$B$22,0))*(1+$B$4)^23))*IF(Y137+IF($B$1+23&lt;=$B137,12*($B$7-$B$10),-12*MAX(0,($B$6+$B$10)-IF($B$1+23&gt;=$B$23,$B$22,0))*(1+$B$4)^23)&gt;0,1+$B$3,1))</f>
        <v/>
      </c>
      <c r="AA137">
        <f>IF($B$1+24&gt;90,Z137,(Z137+IF($B$1+24&lt;=$B137,12*($B$7-$B$10),-12*MAX(0,($B$6+$B$10)-IF($B$1+24&gt;=$B$23,$B$22,0))*(1+$B$4)^24))*IF(Z137+IF($B$1+24&lt;=$B137,12*($B$7-$B$10),-12*MAX(0,($B$6+$B$10)-IF($B$1+24&gt;=$B$23,$B$22,0))*(1+$B$4)^24)&gt;0,1+$B$3,1))</f>
        <v/>
      </c>
      <c r="AB137">
        <f>IF($B$1+25&gt;90,AA137,(AA137+IF($B$1+25&lt;=$B137,12*($B$7-$B$10),-12*MAX(0,($B$6+$B$10)-IF($B$1+25&gt;=$B$23,$B$22,0))*(1+$B$4)^25))*IF(AA137+IF($B$1+25&lt;=$B137,12*($B$7-$B$10),-12*MAX(0,($B$6+$B$10)-IF($B$1+25&gt;=$B$23,$B$22,0))*(1+$B$4)^25)&gt;0,1+$B$3,1))</f>
        <v/>
      </c>
      <c r="AC137">
        <f>IF($B$1+26&gt;90,AB137,(AB137+IF($B$1+26&lt;=$B137,12*($B$7-$B$10),-12*MAX(0,($B$6+$B$10)-IF($B$1+26&gt;=$B$23,$B$22,0))*(1+$B$4)^26))*IF(AB137+IF($B$1+26&lt;=$B137,12*($B$7-$B$10),-12*MAX(0,($B$6+$B$10)-IF($B$1+26&gt;=$B$23,$B$22,0))*(1+$B$4)^26)&gt;0,1+$B$3,1))</f>
        <v/>
      </c>
      <c r="AD137">
        <f>IF($B$1+27&gt;90,AC137,(AC137+IF($B$1+27&lt;=$B137,12*($B$7-$B$10),-12*MAX(0,($B$6+$B$10)-IF($B$1+27&gt;=$B$23,$B$22,0))*(1+$B$4)^27))*IF(AC137+IF($B$1+27&lt;=$B137,12*($B$7-$B$10),-12*MAX(0,($B$6+$B$10)-IF($B$1+27&gt;=$B$23,$B$22,0))*(1+$B$4)^27)&gt;0,1+$B$3,1))</f>
        <v/>
      </c>
      <c r="AE137">
        <f>IF($B$1+28&gt;90,AD137,(AD137+IF($B$1+28&lt;=$B137,12*($B$7-$B$10),-12*MAX(0,($B$6+$B$10)-IF($B$1+28&gt;=$B$23,$B$22,0))*(1+$B$4)^28))*IF(AD137+IF($B$1+28&lt;=$B137,12*($B$7-$B$10),-12*MAX(0,($B$6+$B$10)-IF($B$1+28&gt;=$B$23,$B$22,0))*(1+$B$4)^28)&gt;0,1+$B$3,1))</f>
        <v/>
      </c>
      <c r="AF137">
        <f>IF($B$1+29&gt;90,AE137,(AE137+IF($B$1+29&lt;=$B137,12*($B$7-$B$10),-12*MAX(0,($B$6+$B$10)-IF($B$1+29&gt;=$B$23,$B$22,0))*(1+$B$4)^29))*IF(AE137+IF($B$1+29&lt;=$B137,12*($B$7-$B$10),-12*MAX(0,($B$6+$B$10)-IF($B$1+29&gt;=$B$23,$B$22,0))*(1+$B$4)^29)&gt;0,1+$B$3,1))</f>
        <v/>
      </c>
      <c r="AG137">
        <f>IF($B$1+30&gt;90,AF137,(AF137+IF($B$1+30&lt;=$B137,12*($B$7-$B$10),-12*MAX(0,($B$6+$B$10)-IF($B$1+30&gt;=$B$23,$B$22,0))*(1+$B$4)^30))*IF(AF137+IF($B$1+30&lt;=$B137,12*($B$7-$B$10),-12*MAX(0,($B$6+$B$10)-IF($B$1+30&gt;=$B$23,$B$22,0))*(1+$B$4)^30)&gt;0,1+$B$3,1))</f>
        <v/>
      </c>
      <c r="AH137">
        <f>IF($B$1+31&gt;90,AG137,(AG137+IF($B$1+31&lt;=$B137,12*($B$7-$B$10),-12*MAX(0,($B$6+$B$10)-IF($B$1+31&gt;=$B$23,$B$22,0))*(1+$B$4)^31))*IF(AG137+IF($B$1+31&lt;=$B137,12*($B$7-$B$10),-12*MAX(0,($B$6+$B$10)-IF($B$1+31&gt;=$B$23,$B$22,0))*(1+$B$4)^31)&gt;0,1+$B$3,1))</f>
        <v/>
      </c>
      <c r="AI137">
        <f>IF($B$1+32&gt;90,AH137,(AH137+IF($B$1+32&lt;=$B137,12*($B$7-$B$10),-12*MAX(0,($B$6+$B$10)-IF($B$1+32&gt;=$B$23,$B$22,0))*(1+$B$4)^32))*IF(AH137+IF($B$1+32&lt;=$B137,12*($B$7-$B$10),-12*MAX(0,($B$6+$B$10)-IF($B$1+32&gt;=$B$23,$B$22,0))*(1+$B$4)^32)&gt;0,1+$B$3,1))</f>
        <v/>
      </c>
      <c r="AJ137">
        <f>IF($B$1+33&gt;90,AI137,(AI137+IF($B$1+33&lt;=$B137,12*($B$7-$B$10),-12*MAX(0,($B$6+$B$10)-IF($B$1+33&gt;=$B$23,$B$22,0))*(1+$B$4)^33))*IF(AI137+IF($B$1+33&lt;=$B137,12*($B$7-$B$10),-12*MAX(0,($B$6+$B$10)-IF($B$1+33&gt;=$B$23,$B$22,0))*(1+$B$4)^33)&gt;0,1+$B$3,1))</f>
        <v/>
      </c>
      <c r="AK137">
        <f>IF($B$1+34&gt;90,AJ137,(AJ137+IF($B$1+34&lt;=$B137,12*($B$7-$B$10),-12*MAX(0,($B$6+$B$10)-IF($B$1+34&gt;=$B$23,$B$22,0))*(1+$B$4)^34))*IF(AJ137+IF($B$1+34&lt;=$B137,12*($B$7-$B$10),-12*MAX(0,($B$6+$B$10)-IF($B$1+34&gt;=$B$23,$B$22,0))*(1+$B$4)^34)&gt;0,1+$B$3,1))</f>
        <v/>
      </c>
      <c r="AL137">
        <f>IF($B$1+35&gt;90,AK137,(AK137+IF($B$1+35&lt;=$B137,12*($B$7-$B$10),-12*MAX(0,($B$6+$B$10)-IF($B$1+35&gt;=$B$23,$B$22,0))*(1+$B$4)^35))*IF(AK137+IF($B$1+35&lt;=$B137,12*($B$7-$B$10),-12*MAX(0,($B$6+$B$10)-IF($B$1+35&gt;=$B$23,$B$22,0))*(1+$B$4)^35)&gt;0,1+$B$3,1))</f>
        <v/>
      </c>
      <c r="AM137">
        <f>IF($B$1+36&gt;90,AL137,(AL137+IF($B$1+36&lt;=$B137,12*($B$7-$B$10),-12*MAX(0,($B$6+$B$10)-IF($B$1+36&gt;=$B$23,$B$22,0))*(1+$B$4)^36))*IF(AL137+IF($B$1+36&lt;=$B137,12*($B$7-$B$10),-12*MAX(0,($B$6+$B$10)-IF($B$1+36&gt;=$B$23,$B$22,0))*(1+$B$4)^36)&gt;0,1+$B$3,1))</f>
        <v/>
      </c>
      <c r="AN137">
        <f>IF($B$1+37&gt;90,AM137,(AM137+IF($B$1+37&lt;=$B137,12*($B$7-$B$10),-12*MAX(0,($B$6+$B$10)-IF($B$1+37&gt;=$B$23,$B$22,0))*(1+$B$4)^37))*IF(AM137+IF($B$1+37&lt;=$B137,12*($B$7-$B$10),-12*MAX(0,($B$6+$B$10)-IF($B$1+37&gt;=$B$23,$B$22,0))*(1+$B$4)^37)&gt;0,1+$B$3,1))</f>
        <v/>
      </c>
      <c r="AO137">
        <f>IF($B$1+38&gt;90,AN137,(AN137+IF($B$1+38&lt;=$B137,12*($B$7-$B$10),-12*MAX(0,($B$6+$B$10)-IF($B$1+38&gt;=$B$23,$B$22,0))*(1+$B$4)^38))*IF(AN137+IF($B$1+38&lt;=$B137,12*($B$7-$B$10),-12*MAX(0,($B$6+$B$10)-IF($B$1+38&gt;=$B$23,$B$22,0))*(1+$B$4)^38)&gt;0,1+$B$3,1))</f>
        <v/>
      </c>
      <c r="AP137">
        <f>IF($B$1+39&gt;90,AO137,(AO137+IF($B$1+39&lt;=$B137,12*($B$7-$B$10),-12*MAX(0,($B$6+$B$10)-IF($B$1+39&gt;=$B$23,$B$22,0))*(1+$B$4)^39))*IF(AO137+IF($B$1+39&lt;=$B137,12*($B$7-$B$10),-12*MAX(0,($B$6+$B$10)-IF($B$1+39&gt;=$B$23,$B$22,0))*(1+$B$4)^39)&gt;0,1+$B$3,1))</f>
        <v/>
      </c>
      <c r="AQ137">
        <f>IF($B$1+40&gt;90,AP137,(AP137+IF($B$1+40&lt;=$B137,12*($B$7-$B$10),-12*MAX(0,($B$6+$B$10)-IF($B$1+40&gt;=$B$23,$B$22,0))*(1+$B$4)^40))*IF(AP137+IF($B$1+40&lt;=$B137,12*($B$7-$B$10),-12*MAX(0,($B$6+$B$10)-IF($B$1+40&gt;=$B$23,$B$22,0))*(1+$B$4)^40)&gt;0,1+$B$3,1))</f>
        <v/>
      </c>
      <c r="AR137">
        <f>IF($B$1+41&gt;90,AQ137,(AQ137+IF($B$1+41&lt;=$B137,12*($B$7-$B$10),-12*MAX(0,($B$6+$B$10)-IF($B$1+41&gt;=$B$23,$B$22,0))*(1+$B$4)^41))*IF(AQ137+IF($B$1+41&lt;=$B137,12*($B$7-$B$10),-12*MAX(0,($B$6+$B$10)-IF($B$1+41&gt;=$B$23,$B$22,0))*(1+$B$4)^41)&gt;0,1+$B$3,1))</f>
        <v/>
      </c>
      <c r="AS137">
        <f>IF($B$1+42&gt;90,AR137,(AR137+IF($B$1+42&lt;=$B137,12*($B$7-$B$10),-12*MAX(0,($B$6+$B$10)-IF($B$1+42&gt;=$B$23,$B$22,0))*(1+$B$4)^42))*IF(AR137+IF($B$1+42&lt;=$B137,12*($B$7-$B$10),-12*MAX(0,($B$6+$B$10)-IF($B$1+42&gt;=$B$23,$B$22,0))*(1+$B$4)^42)&gt;0,1+$B$3,1))</f>
        <v/>
      </c>
      <c r="AT137">
        <f>IF($B$1+43&gt;90,AS137,(AS137+IF($B$1+43&lt;=$B137,12*($B$7-$B$10),-12*MAX(0,($B$6+$B$10)-IF($B$1+43&gt;=$B$23,$B$22,0))*(1+$B$4)^43))*IF(AS137+IF($B$1+43&lt;=$B137,12*($B$7-$B$10),-12*MAX(0,($B$6+$B$10)-IF($B$1+43&gt;=$B$23,$B$22,0))*(1+$B$4)^43)&gt;0,1+$B$3,1))</f>
        <v/>
      </c>
      <c r="AU137">
        <f>IF($B$1+44&gt;90,AT137,(AT137+IF($B$1+44&lt;=$B137,12*($B$7-$B$10),-12*MAX(0,($B$6+$B$10)-IF($B$1+44&gt;=$B$23,$B$22,0))*(1+$B$4)^44))*IF(AT137+IF($B$1+44&lt;=$B137,12*($B$7-$B$10),-12*MAX(0,($B$6+$B$10)-IF($B$1+44&gt;=$B$23,$B$22,0))*(1+$B$4)^44)&gt;0,1+$B$3,1))</f>
        <v/>
      </c>
      <c r="AV137">
        <f>IF($B$1+45&gt;90,AU137,(AU137+IF($B$1+45&lt;=$B137,12*($B$7-$B$10),-12*MAX(0,($B$6+$B$10)-IF($B$1+45&gt;=$B$23,$B$22,0))*(1+$B$4)^45))*IF(AU137+IF($B$1+45&lt;=$B137,12*($B$7-$B$10),-12*MAX(0,($B$6+$B$10)-IF($B$1+45&gt;=$B$23,$B$22,0))*(1+$B$4)^45)&gt;0,1+$B$3,1))</f>
        <v/>
      </c>
      <c r="AW137">
        <f>IF($B$1+46&gt;90,AV137,(AV137+IF($B$1+46&lt;=$B137,12*($B$7-$B$10),-12*MAX(0,($B$6+$B$10)-IF($B$1+46&gt;=$B$23,$B$22,0))*(1+$B$4)^46))*IF(AV137+IF($B$1+46&lt;=$B137,12*($B$7-$B$10),-12*MAX(0,($B$6+$B$10)-IF($B$1+46&gt;=$B$23,$B$22,0))*(1+$B$4)^46)&gt;0,1+$B$3,1))</f>
        <v/>
      </c>
      <c r="AX137">
        <f>IF($B$1+47&gt;90,AW137,(AW137+IF($B$1+47&lt;=$B137,12*($B$7-$B$10),-12*MAX(0,($B$6+$B$10)-IF($B$1+47&gt;=$B$23,$B$22,0))*(1+$B$4)^47))*IF(AW137+IF($B$1+47&lt;=$B137,12*($B$7-$B$10),-12*MAX(0,($B$6+$B$10)-IF($B$1+47&gt;=$B$23,$B$22,0))*(1+$B$4)^47)&gt;0,1+$B$3,1))</f>
        <v/>
      </c>
      <c r="AY137">
        <f>IF($B$1+48&gt;90,AX137,(AX137+IF($B$1+48&lt;=$B137,12*($B$7-$B$10),-12*MAX(0,($B$6+$B$10)-IF($B$1+48&gt;=$B$23,$B$22,0))*(1+$B$4)^48))*IF(AX137+IF($B$1+48&lt;=$B137,12*($B$7-$B$10),-12*MAX(0,($B$6+$B$10)-IF($B$1+48&gt;=$B$23,$B$22,0))*(1+$B$4)^48)&gt;0,1+$B$3,1))</f>
        <v/>
      </c>
      <c r="AZ137">
        <f>IF($B$1+49&gt;90,AY137,(AY137+IF($B$1+49&lt;=$B137,12*($B$7-$B$10),-12*MAX(0,($B$6+$B$10)-IF($B$1+49&gt;=$B$23,$B$22,0))*(1+$B$4)^49))*IF(AY137+IF($B$1+49&lt;=$B137,12*($B$7-$B$10),-12*MAX(0,($B$6+$B$10)-IF($B$1+49&gt;=$B$23,$B$22,0))*(1+$B$4)^49)&gt;0,1+$B$3,1))</f>
        <v/>
      </c>
      <c r="BA137">
        <f>IF($B$1+50&gt;90,AZ137,(AZ137+IF($B$1+50&lt;=$B137,12*($B$7-$B$10),-12*MAX(0,($B$6+$B$10)-IF($B$1+50&gt;=$B$23,$B$22,0))*(1+$B$4)^50))*IF(AZ137+IF($B$1+50&lt;=$B137,12*($B$7-$B$10),-12*MAX(0,($B$6+$B$10)-IF($B$1+50&gt;=$B$23,$B$22,0))*(1+$B$4)^50)&gt;0,1+$B$3,1))</f>
        <v/>
      </c>
      <c r="BB137">
        <f>IF($B$1+51&gt;90,BA137,(BA137+IF($B$1+51&lt;=$B137,12*($B$7-$B$10),-12*MAX(0,($B$6+$B$10)-IF($B$1+51&gt;=$B$23,$B$22,0))*(1+$B$4)^51))*IF(BA137+IF($B$1+51&lt;=$B137,12*($B$7-$B$10),-12*MAX(0,($B$6+$B$10)-IF($B$1+51&gt;=$B$23,$B$22,0))*(1+$B$4)^51)&gt;0,1+$B$3,1))</f>
        <v/>
      </c>
      <c r="BC137">
        <f>IF($B$1+52&gt;90,BB137,(BB137+IF($B$1+52&lt;=$B137,12*($B$7-$B$10),-12*MAX(0,($B$6+$B$10)-IF($B$1+52&gt;=$B$23,$B$22,0))*(1+$B$4)^52))*IF(BB137+IF($B$1+52&lt;=$B137,12*($B$7-$B$10),-12*MAX(0,($B$6+$B$10)-IF($B$1+52&gt;=$B$23,$B$22,0))*(1+$B$4)^52)&gt;0,1+$B$3,1))</f>
        <v/>
      </c>
      <c r="BD137">
        <f>IF($B$1+53&gt;90,BC137,(BC137+IF($B$1+53&lt;=$B137,12*($B$7-$B$10),-12*MAX(0,($B$6+$B$10)-IF($B$1+53&gt;=$B$23,$B$22,0))*(1+$B$4)^53))*IF(BC137+IF($B$1+53&lt;=$B137,12*($B$7-$B$10),-12*MAX(0,($B$6+$B$10)-IF($B$1+53&gt;=$B$23,$B$22,0))*(1+$B$4)^53)&gt;0,1+$B$3,1))</f>
        <v/>
      </c>
      <c r="BE137">
        <f>IF($B$1+54&gt;90,BD137,(BD137+IF($B$1+54&lt;=$B137,12*($B$7-$B$10),-12*MAX(0,($B$6+$B$10)-IF($B$1+54&gt;=$B$23,$B$22,0))*(1+$B$4)^54))*IF(BD137+IF($B$1+54&lt;=$B137,12*($B$7-$B$10),-12*MAX(0,($B$6+$B$10)-IF($B$1+54&gt;=$B$23,$B$22,0))*(1+$B$4)^54)&gt;0,1+$B$3,1))</f>
        <v/>
      </c>
      <c r="BF137">
        <f>IF($B$1+55&gt;90,BE137,(BE137+IF($B$1+55&lt;=$B137,12*($B$7-$B$10),-12*MAX(0,($B$6+$B$10)-IF($B$1+55&gt;=$B$23,$B$22,0))*(1+$B$4)^55))*IF(BE137+IF($B$1+55&lt;=$B137,12*($B$7-$B$10),-12*MAX(0,($B$6+$B$10)-IF($B$1+55&gt;=$B$23,$B$22,0))*(1+$B$4)^55)&gt;0,1+$B$3,1))</f>
        <v/>
      </c>
      <c r="BG137">
        <f>IF($B$1+56&gt;90,BF137,(BF137+IF($B$1+56&lt;=$B137,12*($B$7-$B$10),-12*MAX(0,($B$6+$B$10)-IF($B$1+56&gt;=$B$23,$B$22,0))*(1+$B$4)^56))*IF(BF137+IF($B$1+56&lt;=$B137,12*($B$7-$B$10),-12*MAX(0,($B$6+$B$10)-IF($B$1+56&gt;=$B$23,$B$22,0))*(1+$B$4)^56)&gt;0,1+$B$3,1))</f>
        <v/>
      </c>
      <c r="BH137">
        <f>IF($B$1+57&gt;90,BG137,(BG137+IF($B$1+57&lt;=$B137,12*($B$7-$B$10),-12*MAX(0,($B$6+$B$10)-IF($B$1+57&gt;=$B$23,$B$22,0))*(1+$B$4)^57))*IF(BG137+IF($B$1+57&lt;=$B137,12*($B$7-$B$10),-12*MAX(0,($B$6+$B$10)-IF($B$1+57&gt;=$B$23,$B$22,0))*(1+$B$4)^57)&gt;0,1+$B$3,1))</f>
        <v/>
      </c>
      <c r="BI137">
        <f>IF($B$1+58&gt;90,BH137,(BH137+IF($B$1+58&lt;=$B137,12*($B$7-$B$10),-12*MAX(0,($B$6+$B$10)-IF($B$1+58&gt;=$B$23,$B$22,0))*(1+$B$4)^58))*IF(BH137+IF($B$1+58&lt;=$B137,12*($B$7-$B$10),-12*MAX(0,($B$6+$B$10)-IF($B$1+58&gt;=$B$23,$B$22,0))*(1+$B$4)^58)&gt;0,1+$B$3,1))</f>
        <v/>
      </c>
      <c r="BJ137">
        <f>IF($B$1+59&gt;90,BI137,(BI137+IF($B$1+59&lt;=$B137,12*($B$7-$B$10),-12*MAX(0,($B$6+$B$10)-IF($B$1+59&gt;=$B$23,$B$22,0))*(1+$B$4)^59))*IF(BI137+IF($B$1+59&lt;=$B137,12*($B$7-$B$10),-12*MAX(0,($B$6+$B$10)-IF($B$1+59&gt;=$B$23,$B$22,0))*(1+$B$4)^59)&gt;0,1+$B$3,1))</f>
        <v/>
      </c>
      <c r="BK137">
        <f>IF($B$1+60&gt;90,BJ137,(BJ137+IF($B$1+60&lt;=$B137,12*($B$7-$B$10),-12*MAX(0,($B$6+$B$10)-IF($B$1+60&gt;=$B$23,$B$22,0))*(1+$B$4)^60))*IF(BJ137+IF($B$1+60&lt;=$B137,12*($B$7-$B$10),-12*MAX(0,($B$6+$B$10)-IF($B$1+60&gt;=$B$23,$B$22,0))*(1+$B$4)^60)&gt;0,1+$B$3,1))</f>
        <v/>
      </c>
      <c r="BL137">
        <f>IF($B$1+61&gt;90,BK137,(BK137+IF($B$1+61&lt;=$B137,12*($B$7-$B$10),-12*MAX(0,($B$6+$B$10)-IF($B$1+61&gt;=$B$23,$B$22,0))*(1+$B$4)^61))*IF(BK137+IF($B$1+61&lt;=$B137,12*($B$7-$B$10),-12*MAX(0,($B$6+$B$10)-IF($B$1+61&gt;=$B$23,$B$22,0))*(1+$B$4)^61)&gt;0,1+$B$3,1))</f>
        <v/>
      </c>
      <c r="BM137">
        <f>IF($B$1+62&gt;90,BL137,(BL137+IF($B$1+62&lt;=$B137,12*($B$7-$B$10),-12*MAX(0,($B$6+$B$10)-IF($B$1+62&gt;=$B$23,$B$22,0))*(1+$B$4)^62))*IF(BL137+IF($B$1+62&lt;=$B137,12*($B$7-$B$10),-12*MAX(0,($B$6+$B$10)-IF($B$1+62&gt;=$B$23,$B$22,0))*(1+$B$4)^62)&gt;0,1+$B$3,1))</f>
        <v/>
      </c>
      <c r="BN137">
        <f>IF($B$1+63&gt;90,BM137,(BM137+IF($B$1+63&lt;=$B137,12*($B$7-$B$10),-12*MAX(0,($B$6+$B$10)-IF($B$1+63&gt;=$B$23,$B$22,0))*(1+$B$4)^63))*IF(BM137+IF($B$1+63&lt;=$B137,12*($B$7-$B$10),-12*MAX(0,($B$6+$B$10)-IF($B$1+63&gt;=$B$23,$B$22,0))*(1+$B$4)^63)&gt;0,1+$B$3,1))</f>
        <v/>
      </c>
      <c r="BO137">
        <f>IF($B$1+64&gt;90,BN137,(BN137+IF($B$1+64&lt;=$B137,12*($B$7-$B$10),-12*MAX(0,($B$6+$B$10)-IF($B$1+64&gt;=$B$23,$B$22,0))*(1+$B$4)^64))*IF(BN137+IF($B$1+64&lt;=$B137,12*($B$7-$B$10),-12*MAX(0,($B$6+$B$10)-IF($B$1+64&gt;=$B$23,$B$22,0))*(1+$B$4)^64)&gt;0,1+$B$3,1))</f>
        <v/>
      </c>
      <c r="BP137">
        <f>IF($B$1+65&gt;90,BO137,(BO137+IF($B$1+65&lt;=$B137,12*($B$7-$B$10),-12*MAX(0,($B$6+$B$10)-IF($B$1+65&gt;=$B$23,$B$22,0))*(1+$B$4)^65))*IF(BO137+IF($B$1+65&lt;=$B137,12*($B$7-$B$10),-12*MAX(0,($B$6+$B$10)-IF($B$1+65&gt;=$B$23,$B$22,0))*(1+$B$4)^65)&gt;0,1+$B$3,1))</f>
        <v/>
      </c>
      <c r="BQ137">
        <f>IF($B$1+66&gt;90,BP137,(BP137+IF($B$1+66&lt;=$B137,12*($B$7-$B$10),-12*MAX(0,($B$6+$B$10)-IF($B$1+66&gt;=$B$23,$B$22,0))*(1+$B$4)^66))*IF(BP137+IF($B$1+66&lt;=$B137,12*($B$7-$B$10),-12*MAX(0,($B$6+$B$10)-IF($B$1+66&gt;=$B$23,$B$22,0))*(1+$B$4)^66)&gt;0,1+$B$3,1))</f>
        <v/>
      </c>
      <c r="BR137">
        <f>IF($B$1+67&gt;90,BQ137,(BQ137+IF($B$1+67&lt;=$B137,12*($B$7-$B$10),-12*MAX(0,($B$6+$B$10)-IF($B$1+67&gt;=$B$23,$B$22,0))*(1+$B$4)^67))*IF(BQ137+IF($B$1+67&lt;=$B137,12*($B$7-$B$10),-12*MAX(0,($B$6+$B$10)-IF($B$1+67&gt;=$B$23,$B$22,0))*(1+$B$4)^67)&gt;0,1+$B$3,1))</f>
        <v/>
      </c>
      <c r="BS137">
        <f>IF($B$1+68&gt;90,BR137,(BR137+IF($B$1+68&lt;=$B137,12*($B$7-$B$10),-12*MAX(0,($B$6+$B$10)-IF($B$1+68&gt;=$B$23,$B$22,0))*(1+$B$4)^68))*IF(BR137+IF($B$1+68&lt;=$B137,12*($B$7-$B$10),-12*MAX(0,($B$6+$B$10)-IF($B$1+68&gt;=$B$23,$B$22,0))*(1+$B$4)^68)&gt;0,1+$B$3,1))</f>
        <v/>
      </c>
      <c r="BT137">
        <f>IF($B$1+69&gt;90,BS137,(BS137+IF($B$1+69&lt;=$B137,12*($B$7-$B$10),-12*MAX(0,($B$6+$B$10)-IF($B$1+69&gt;=$B$23,$B$22,0))*(1+$B$4)^69))*IF(BS137+IF($B$1+69&lt;=$B137,12*($B$7-$B$10),-12*MAX(0,($B$6+$B$10)-IF($B$1+69&gt;=$B$23,$B$22,0))*(1+$B$4)^69)&gt;0,1+$B$3,1))</f>
        <v/>
      </c>
      <c r="BU137">
        <f>IF($B$1+70&gt;90,BT137,(BT137+IF($B$1+70&lt;=$B137,12*($B$7-$B$10),-12*MAX(0,($B$6+$B$10)-IF($B$1+70&gt;=$B$23,$B$22,0))*(1+$B$4)^70))*IF(BT137+IF($B$1+70&lt;=$B137,12*($B$7-$B$10),-12*MAX(0,($B$6+$B$10)-IF($B$1+70&gt;=$B$23,$B$22,0))*(1+$B$4)^70)&gt;0,1+$B$3,1))</f>
        <v/>
      </c>
      <c r="BV137">
        <f>BU137</f>
        <v/>
      </c>
      <c r="BW137">
        <f>IF(AND($B137&lt;=70,BV137&gt;0),$B137,999)</f>
        <v/>
      </c>
      <c r="CH137">
        <f>IF(ISTEXT('월 가계부'!A137),SUBSTITUTE(SUBSTITUTE(SUBSTITUTE(SUBSTITUTE(SUBSTITUTE(SUBSTITUTE(SUBSTITUTE(SUBSTITUTE(SUBSTITUTE(TRIM('월 가계부'!A137),"년","-"),"월","-"),"일",""),".","-"),"/","-")," ","-"),"--","-"),"--","-"),"--","-")&amp;"-","")</f>
        <v/>
      </c>
      <c r="CI137">
        <f>IFERROR(IF('월 가계부'!A137="","",IF(ISNUMBER('월 가계부'!A137),IF(AND('월 가계부'!A137&gt;=19000101,'월 가계부'!A137&lt;=21001231),IF(AND(MOD(INT('월 가계부'!A137/100),100)&gt;=1,MOD(INT('월 가계부'!A137/100),100)&lt;=12,MOD(INT('월 가계부'!A137),100)&gt;=1,MOD(INT('월 가계부'!A137),100)&lt;=31),IF(MONTH(DATE(INT('월 가계부'!A137/10000),MOD(INT('월 가계부'!A137/100),100),MOD(INT('월 가계부'!A137),100)))=MOD(INT('월 가계부'!A137/100),100),DATE(INT('월 가계부'!A137/10000),MOD(INT('월 가계부'!A137/100),100),MOD(INT('월 가계부'!A137),100)),""),""),IF(AND('월 가계부'!A137&gt;=36526,'월 가계부'!A137&lt;73051),INT('월 가계부'!A137),"")),IF(OR(CM137="",CN137="",CO137=""),"",IF(AND(CM137&gt;=2000,CM137&lt;=2099,CN137&gt;=1,CN137&lt;=12,CO137&gt;=1,CO137&lt;=31),IF(MONTH(DATE(CM137,CN137,CO137))=CN137,DATE(CM137,CN137,CO137),""),"")))),"")</f>
        <v/>
      </c>
      <c r="CJ137">
        <f>IFERROR(IF('월 가계부'!C137="","",IF(ISNUMBER('월 가계부'!C137),'월 가계부'!C137,VALUE(SUBSTITUTE(SUBSTITUTE(SUBSTITUTE(SUBSTITUTE(TRIM('월 가계부'!C137),",",""),"원","")," ",""),"−","-")))),"")</f>
        <v/>
      </c>
      <c r="CK137">
        <f>IF(ISNUMBER(CI137),IF(CI137&lt;$B$13,CI137,""),"")</f>
        <v/>
      </c>
      <c r="CM137">
        <f>IF(CH137="","",IFERROR(IF(IF(AND(LEN(CH137)=9,ISERROR(FIND("-",LEFT(CH137,8))),ISNUMBER(-LEFT(CH137,8))),VALUE(LEFT(CH137,4)),VALUE(LEFT(CH137,FIND("-",CH137)-1)))&lt;100,IF(AND(LEN(CH137)=9,ISERROR(FIND("-",LEFT(CH137,8))),ISNUMBER(-LEFT(CH137,8))),VALUE(LEFT(CH137,4)),VALUE(LEFT(CH137,FIND("-",CH137)-1)))+2000,IF(AND(LEN(CH137)=9,ISERROR(FIND("-",LEFT(CH137,8))),ISNUMBER(-LEFT(CH137,8))),VALUE(LEFT(CH137,4)),VALUE(LEFT(CH137,FIND("-",CH137)-1)))),""))</f>
        <v/>
      </c>
      <c r="CN137">
        <f>IF(CH137="","",IFERROR(IF(AND(LEN(CH137)=9,ISERROR(FIND("-",LEFT(CH137,8))),ISNUMBER(-LEFT(CH137,8))),VALUE(MID(CH137,5,2)),VALUE(MID(CH137,FIND("-",CH137)+1,FIND("-",CH137,FIND("-",CH137)+1)-FIND("-",CH137)-1))),""))</f>
        <v/>
      </c>
      <c r="CO137">
        <f>IF(CH137="","",IFERROR(IF(AND(LEN(CH137)=9,ISERROR(FIND("-",LEFT(CH137,8))),ISNUMBER(-LEFT(CH137,8))),VALUE(MID(CH137,7,2)),VALUE(MID(CH137,FIND("-",CH137,FIND("-",CH137)+1)+1,FIND("-",CH137,FIND("-",CH137,FIND("-",CH137)+1)+1)-FIND("-",CH137,FIND("-",CH137)+1)-1))),""))</f>
        <v/>
      </c>
    </row>
    <row r="138">
      <c r="A138" t="n">
        <v>42</v>
      </c>
      <c r="B138">
        <f>$B$1+42</f>
        <v/>
      </c>
      <c r="C138">
        <f>$B$2</f>
        <v/>
      </c>
      <c r="D138">
        <f>IF($B$1+1&gt;90,C138,(C138+IF($B$1+1&lt;=$B138,12*($B$7-$B$10),-12*MAX(0,($B$6+$B$10)-IF($B$1+1&gt;=$B$23,$B$22,0))*(1+$B$4)^1))*IF(C138+IF($B$1+1&lt;=$B138,12*($B$7-$B$10),-12*MAX(0,($B$6+$B$10)-IF($B$1+1&gt;=$B$23,$B$22,0))*(1+$B$4)^1)&gt;0,1+$B$3,1))</f>
        <v/>
      </c>
      <c r="E138">
        <f>IF($B$1+2&gt;90,D138,(D138+IF($B$1+2&lt;=$B138,12*($B$7-$B$10),-12*MAX(0,($B$6+$B$10)-IF($B$1+2&gt;=$B$23,$B$22,0))*(1+$B$4)^2))*IF(D138+IF($B$1+2&lt;=$B138,12*($B$7-$B$10),-12*MAX(0,($B$6+$B$10)-IF($B$1+2&gt;=$B$23,$B$22,0))*(1+$B$4)^2)&gt;0,1+$B$3,1))</f>
        <v/>
      </c>
      <c r="F138">
        <f>IF($B$1+3&gt;90,E138,(E138+IF($B$1+3&lt;=$B138,12*($B$7-$B$10),-12*MAX(0,($B$6+$B$10)-IF($B$1+3&gt;=$B$23,$B$22,0))*(1+$B$4)^3))*IF(E138+IF($B$1+3&lt;=$B138,12*($B$7-$B$10),-12*MAX(0,($B$6+$B$10)-IF($B$1+3&gt;=$B$23,$B$22,0))*(1+$B$4)^3)&gt;0,1+$B$3,1))</f>
        <v/>
      </c>
      <c r="G138">
        <f>IF($B$1+4&gt;90,F138,(F138+IF($B$1+4&lt;=$B138,12*($B$7-$B$10),-12*MAX(0,($B$6+$B$10)-IF($B$1+4&gt;=$B$23,$B$22,0))*(1+$B$4)^4))*IF(F138+IF($B$1+4&lt;=$B138,12*($B$7-$B$10),-12*MAX(0,($B$6+$B$10)-IF($B$1+4&gt;=$B$23,$B$22,0))*(1+$B$4)^4)&gt;0,1+$B$3,1))</f>
        <v/>
      </c>
      <c r="H138">
        <f>IF($B$1+5&gt;90,G138,(G138+IF($B$1+5&lt;=$B138,12*($B$7-$B$10),-12*MAX(0,($B$6+$B$10)-IF($B$1+5&gt;=$B$23,$B$22,0))*(1+$B$4)^5))*IF(G138+IF($B$1+5&lt;=$B138,12*($B$7-$B$10),-12*MAX(0,($B$6+$B$10)-IF($B$1+5&gt;=$B$23,$B$22,0))*(1+$B$4)^5)&gt;0,1+$B$3,1))</f>
        <v/>
      </c>
      <c r="I138">
        <f>IF($B$1+6&gt;90,H138,(H138+IF($B$1+6&lt;=$B138,12*($B$7-$B$10),-12*MAX(0,($B$6+$B$10)-IF($B$1+6&gt;=$B$23,$B$22,0))*(1+$B$4)^6))*IF(H138+IF($B$1+6&lt;=$B138,12*($B$7-$B$10),-12*MAX(0,($B$6+$B$10)-IF($B$1+6&gt;=$B$23,$B$22,0))*(1+$B$4)^6)&gt;0,1+$B$3,1))</f>
        <v/>
      </c>
      <c r="J138">
        <f>IF($B$1+7&gt;90,I138,(I138+IF($B$1+7&lt;=$B138,12*($B$7-$B$10),-12*MAX(0,($B$6+$B$10)-IF($B$1+7&gt;=$B$23,$B$22,0))*(1+$B$4)^7))*IF(I138+IF($B$1+7&lt;=$B138,12*($B$7-$B$10),-12*MAX(0,($B$6+$B$10)-IF($B$1+7&gt;=$B$23,$B$22,0))*(1+$B$4)^7)&gt;0,1+$B$3,1))</f>
        <v/>
      </c>
      <c r="K138">
        <f>IF($B$1+8&gt;90,J138,(J138+IF($B$1+8&lt;=$B138,12*($B$7-$B$10),-12*MAX(0,($B$6+$B$10)-IF($B$1+8&gt;=$B$23,$B$22,0))*(1+$B$4)^8))*IF(J138+IF($B$1+8&lt;=$B138,12*($B$7-$B$10),-12*MAX(0,($B$6+$B$10)-IF($B$1+8&gt;=$B$23,$B$22,0))*(1+$B$4)^8)&gt;0,1+$B$3,1))</f>
        <v/>
      </c>
      <c r="L138">
        <f>IF($B$1+9&gt;90,K138,(K138+IF($B$1+9&lt;=$B138,12*($B$7-$B$10),-12*MAX(0,($B$6+$B$10)-IF($B$1+9&gt;=$B$23,$B$22,0))*(1+$B$4)^9))*IF(K138+IF($B$1+9&lt;=$B138,12*($B$7-$B$10),-12*MAX(0,($B$6+$B$10)-IF($B$1+9&gt;=$B$23,$B$22,0))*(1+$B$4)^9)&gt;0,1+$B$3,1))</f>
        <v/>
      </c>
      <c r="M138">
        <f>IF($B$1+10&gt;90,L138,(L138+IF($B$1+10&lt;=$B138,12*($B$7-$B$10),-12*MAX(0,($B$6+$B$10)-IF($B$1+10&gt;=$B$23,$B$22,0))*(1+$B$4)^10))*IF(L138+IF($B$1+10&lt;=$B138,12*($B$7-$B$10),-12*MAX(0,($B$6+$B$10)-IF($B$1+10&gt;=$B$23,$B$22,0))*(1+$B$4)^10)&gt;0,1+$B$3,1))</f>
        <v/>
      </c>
      <c r="N138">
        <f>IF($B$1+11&gt;90,M138,(M138+IF($B$1+11&lt;=$B138,12*($B$7-$B$10),-12*MAX(0,($B$6+$B$10)-IF($B$1+11&gt;=$B$23,$B$22,0))*(1+$B$4)^11))*IF(M138+IF($B$1+11&lt;=$B138,12*($B$7-$B$10),-12*MAX(0,($B$6+$B$10)-IF($B$1+11&gt;=$B$23,$B$22,0))*(1+$B$4)^11)&gt;0,1+$B$3,1))</f>
        <v/>
      </c>
      <c r="O138">
        <f>IF($B$1+12&gt;90,N138,(N138+IF($B$1+12&lt;=$B138,12*($B$7-$B$10),-12*MAX(0,($B$6+$B$10)-IF($B$1+12&gt;=$B$23,$B$22,0))*(1+$B$4)^12))*IF(N138+IF($B$1+12&lt;=$B138,12*($B$7-$B$10),-12*MAX(0,($B$6+$B$10)-IF($B$1+12&gt;=$B$23,$B$22,0))*(1+$B$4)^12)&gt;0,1+$B$3,1))</f>
        <v/>
      </c>
      <c r="P138">
        <f>IF($B$1+13&gt;90,O138,(O138+IF($B$1+13&lt;=$B138,12*($B$7-$B$10),-12*MAX(0,($B$6+$B$10)-IF($B$1+13&gt;=$B$23,$B$22,0))*(1+$B$4)^13))*IF(O138+IF($B$1+13&lt;=$B138,12*($B$7-$B$10),-12*MAX(0,($B$6+$B$10)-IF($B$1+13&gt;=$B$23,$B$22,0))*(1+$B$4)^13)&gt;0,1+$B$3,1))</f>
        <v/>
      </c>
      <c r="Q138">
        <f>IF($B$1+14&gt;90,P138,(P138+IF($B$1+14&lt;=$B138,12*($B$7-$B$10),-12*MAX(0,($B$6+$B$10)-IF($B$1+14&gt;=$B$23,$B$22,0))*(1+$B$4)^14))*IF(P138+IF($B$1+14&lt;=$B138,12*($B$7-$B$10),-12*MAX(0,($B$6+$B$10)-IF($B$1+14&gt;=$B$23,$B$22,0))*(1+$B$4)^14)&gt;0,1+$B$3,1))</f>
        <v/>
      </c>
      <c r="R138">
        <f>IF($B$1+15&gt;90,Q138,(Q138+IF($B$1+15&lt;=$B138,12*($B$7-$B$10),-12*MAX(0,($B$6+$B$10)-IF($B$1+15&gt;=$B$23,$B$22,0))*(1+$B$4)^15))*IF(Q138+IF($B$1+15&lt;=$B138,12*($B$7-$B$10),-12*MAX(0,($B$6+$B$10)-IF($B$1+15&gt;=$B$23,$B$22,0))*(1+$B$4)^15)&gt;0,1+$B$3,1))</f>
        <v/>
      </c>
      <c r="S138">
        <f>IF($B$1+16&gt;90,R138,(R138+IF($B$1+16&lt;=$B138,12*($B$7-$B$10),-12*MAX(0,($B$6+$B$10)-IF($B$1+16&gt;=$B$23,$B$22,0))*(1+$B$4)^16))*IF(R138+IF($B$1+16&lt;=$B138,12*($B$7-$B$10),-12*MAX(0,($B$6+$B$10)-IF($B$1+16&gt;=$B$23,$B$22,0))*(1+$B$4)^16)&gt;0,1+$B$3,1))</f>
        <v/>
      </c>
      <c r="T138">
        <f>IF($B$1+17&gt;90,S138,(S138+IF($B$1+17&lt;=$B138,12*($B$7-$B$10),-12*MAX(0,($B$6+$B$10)-IF($B$1+17&gt;=$B$23,$B$22,0))*(1+$B$4)^17))*IF(S138+IF($B$1+17&lt;=$B138,12*($B$7-$B$10),-12*MAX(0,($B$6+$B$10)-IF($B$1+17&gt;=$B$23,$B$22,0))*(1+$B$4)^17)&gt;0,1+$B$3,1))</f>
        <v/>
      </c>
      <c r="U138">
        <f>IF($B$1+18&gt;90,T138,(T138+IF($B$1+18&lt;=$B138,12*($B$7-$B$10),-12*MAX(0,($B$6+$B$10)-IF($B$1+18&gt;=$B$23,$B$22,0))*(1+$B$4)^18))*IF(T138+IF($B$1+18&lt;=$B138,12*($B$7-$B$10),-12*MAX(0,($B$6+$B$10)-IF($B$1+18&gt;=$B$23,$B$22,0))*(1+$B$4)^18)&gt;0,1+$B$3,1))</f>
        <v/>
      </c>
      <c r="V138">
        <f>IF($B$1+19&gt;90,U138,(U138+IF($B$1+19&lt;=$B138,12*($B$7-$B$10),-12*MAX(0,($B$6+$B$10)-IF($B$1+19&gt;=$B$23,$B$22,0))*(1+$B$4)^19))*IF(U138+IF($B$1+19&lt;=$B138,12*($B$7-$B$10),-12*MAX(0,($B$6+$B$10)-IF($B$1+19&gt;=$B$23,$B$22,0))*(1+$B$4)^19)&gt;0,1+$B$3,1))</f>
        <v/>
      </c>
      <c r="W138">
        <f>IF($B$1+20&gt;90,V138,(V138+IF($B$1+20&lt;=$B138,12*($B$7-$B$10),-12*MAX(0,($B$6+$B$10)-IF($B$1+20&gt;=$B$23,$B$22,0))*(1+$B$4)^20))*IF(V138+IF($B$1+20&lt;=$B138,12*($B$7-$B$10),-12*MAX(0,($B$6+$B$10)-IF($B$1+20&gt;=$B$23,$B$22,0))*(1+$B$4)^20)&gt;0,1+$B$3,1))</f>
        <v/>
      </c>
      <c r="X138">
        <f>IF($B$1+21&gt;90,W138,(W138+IF($B$1+21&lt;=$B138,12*($B$7-$B$10),-12*MAX(0,($B$6+$B$10)-IF($B$1+21&gt;=$B$23,$B$22,0))*(1+$B$4)^21))*IF(W138+IF($B$1+21&lt;=$B138,12*($B$7-$B$10),-12*MAX(0,($B$6+$B$10)-IF($B$1+21&gt;=$B$23,$B$22,0))*(1+$B$4)^21)&gt;0,1+$B$3,1))</f>
        <v/>
      </c>
      <c r="Y138">
        <f>IF($B$1+22&gt;90,X138,(X138+IF($B$1+22&lt;=$B138,12*($B$7-$B$10),-12*MAX(0,($B$6+$B$10)-IF($B$1+22&gt;=$B$23,$B$22,0))*(1+$B$4)^22))*IF(X138+IF($B$1+22&lt;=$B138,12*($B$7-$B$10),-12*MAX(0,($B$6+$B$10)-IF($B$1+22&gt;=$B$23,$B$22,0))*(1+$B$4)^22)&gt;0,1+$B$3,1))</f>
        <v/>
      </c>
      <c r="Z138">
        <f>IF($B$1+23&gt;90,Y138,(Y138+IF($B$1+23&lt;=$B138,12*($B$7-$B$10),-12*MAX(0,($B$6+$B$10)-IF($B$1+23&gt;=$B$23,$B$22,0))*(1+$B$4)^23))*IF(Y138+IF($B$1+23&lt;=$B138,12*($B$7-$B$10),-12*MAX(0,($B$6+$B$10)-IF($B$1+23&gt;=$B$23,$B$22,0))*(1+$B$4)^23)&gt;0,1+$B$3,1))</f>
        <v/>
      </c>
      <c r="AA138">
        <f>IF($B$1+24&gt;90,Z138,(Z138+IF($B$1+24&lt;=$B138,12*($B$7-$B$10),-12*MAX(0,($B$6+$B$10)-IF($B$1+24&gt;=$B$23,$B$22,0))*(1+$B$4)^24))*IF(Z138+IF($B$1+24&lt;=$B138,12*($B$7-$B$10),-12*MAX(0,($B$6+$B$10)-IF($B$1+24&gt;=$B$23,$B$22,0))*(1+$B$4)^24)&gt;0,1+$B$3,1))</f>
        <v/>
      </c>
      <c r="AB138">
        <f>IF($B$1+25&gt;90,AA138,(AA138+IF($B$1+25&lt;=$B138,12*($B$7-$B$10),-12*MAX(0,($B$6+$B$10)-IF($B$1+25&gt;=$B$23,$B$22,0))*(1+$B$4)^25))*IF(AA138+IF($B$1+25&lt;=$B138,12*($B$7-$B$10),-12*MAX(0,($B$6+$B$10)-IF($B$1+25&gt;=$B$23,$B$22,0))*(1+$B$4)^25)&gt;0,1+$B$3,1))</f>
        <v/>
      </c>
      <c r="AC138">
        <f>IF($B$1+26&gt;90,AB138,(AB138+IF($B$1+26&lt;=$B138,12*($B$7-$B$10),-12*MAX(0,($B$6+$B$10)-IF($B$1+26&gt;=$B$23,$B$22,0))*(1+$B$4)^26))*IF(AB138+IF($B$1+26&lt;=$B138,12*($B$7-$B$10),-12*MAX(0,($B$6+$B$10)-IF($B$1+26&gt;=$B$23,$B$22,0))*(1+$B$4)^26)&gt;0,1+$B$3,1))</f>
        <v/>
      </c>
      <c r="AD138">
        <f>IF($B$1+27&gt;90,AC138,(AC138+IF($B$1+27&lt;=$B138,12*($B$7-$B$10),-12*MAX(0,($B$6+$B$10)-IF($B$1+27&gt;=$B$23,$B$22,0))*(1+$B$4)^27))*IF(AC138+IF($B$1+27&lt;=$B138,12*($B$7-$B$10),-12*MAX(0,($B$6+$B$10)-IF($B$1+27&gt;=$B$23,$B$22,0))*(1+$B$4)^27)&gt;0,1+$B$3,1))</f>
        <v/>
      </c>
      <c r="AE138">
        <f>IF($B$1+28&gt;90,AD138,(AD138+IF($B$1+28&lt;=$B138,12*($B$7-$B$10),-12*MAX(0,($B$6+$B$10)-IF($B$1+28&gt;=$B$23,$B$22,0))*(1+$B$4)^28))*IF(AD138+IF($B$1+28&lt;=$B138,12*($B$7-$B$10),-12*MAX(0,($B$6+$B$10)-IF($B$1+28&gt;=$B$23,$B$22,0))*(1+$B$4)^28)&gt;0,1+$B$3,1))</f>
        <v/>
      </c>
      <c r="AF138">
        <f>IF($B$1+29&gt;90,AE138,(AE138+IF($B$1+29&lt;=$B138,12*($B$7-$B$10),-12*MAX(0,($B$6+$B$10)-IF($B$1+29&gt;=$B$23,$B$22,0))*(1+$B$4)^29))*IF(AE138+IF($B$1+29&lt;=$B138,12*($B$7-$B$10),-12*MAX(0,($B$6+$B$10)-IF($B$1+29&gt;=$B$23,$B$22,0))*(1+$B$4)^29)&gt;0,1+$B$3,1))</f>
        <v/>
      </c>
      <c r="AG138">
        <f>IF($B$1+30&gt;90,AF138,(AF138+IF($B$1+30&lt;=$B138,12*($B$7-$B$10),-12*MAX(0,($B$6+$B$10)-IF($B$1+30&gt;=$B$23,$B$22,0))*(1+$B$4)^30))*IF(AF138+IF($B$1+30&lt;=$B138,12*($B$7-$B$10),-12*MAX(0,($B$6+$B$10)-IF($B$1+30&gt;=$B$23,$B$22,0))*(1+$B$4)^30)&gt;0,1+$B$3,1))</f>
        <v/>
      </c>
      <c r="AH138">
        <f>IF($B$1+31&gt;90,AG138,(AG138+IF($B$1+31&lt;=$B138,12*($B$7-$B$10),-12*MAX(0,($B$6+$B$10)-IF($B$1+31&gt;=$B$23,$B$22,0))*(1+$B$4)^31))*IF(AG138+IF($B$1+31&lt;=$B138,12*($B$7-$B$10),-12*MAX(0,($B$6+$B$10)-IF($B$1+31&gt;=$B$23,$B$22,0))*(1+$B$4)^31)&gt;0,1+$B$3,1))</f>
        <v/>
      </c>
      <c r="AI138">
        <f>IF($B$1+32&gt;90,AH138,(AH138+IF($B$1+32&lt;=$B138,12*($B$7-$B$10),-12*MAX(0,($B$6+$B$10)-IF($B$1+32&gt;=$B$23,$B$22,0))*(1+$B$4)^32))*IF(AH138+IF($B$1+32&lt;=$B138,12*($B$7-$B$10),-12*MAX(0,($B$6+$B$10)-IF($B$1+32&gt;=$B$23,$B$22,0))*(1+$B$4)^32)&gt;0,1+$B$3,1))</f>
        <v/>
      </c>
      <c r="AJ138">
        <f>IF($B$1+33&gt;90,AI138,(AI138+IF($B$1+33&lt;=$B138,12*($B$7-$B$10),-12*MAX(0,($B$6+$B$10)-IF($B$1+33&gt;=$B$23,$B$22,0))*(1+$B$4)^33))*IF(AI138+IF($B$1+33&lt;=$B138,12*($B$7-$B$10),-12*MAX(0,($B$6+$B$10)-IF($B$1+33&gt;=$B$23,$B$22,0))*(1+$B$4)^33)&gt;0,1+$B$3,1))</f>
        <v/>
      </c>
      <c r="AK138">
        <f>IF($B$1+34&gt;90,AJ138,(AJ138+IF($B$1+34&lt;=$B138,12*($B$7-$B$10),-12*MAX(0,($B$6+$B$10)-IF($B$1+34&gt;=$B$23,$B$22,0))*(1+$B$4)^34))*IF(AJ138+IF($B$1+34&lt;=$B138,12*($B$7-$B$10),-12*MAX(0,($B$6+$B$10)-IF($B$1+34&gt;=$B$23,$B$22,0))*(1+$B$4)^34)&gt;0,1+$B$3,1))</f>
        <v/>
      </c>
      <c r="AL138">
        <f>IF($B$1+35&gt;90,AK138,(AK138+IF($B$1+35&lt;=$B138,12*($B$7-$B$10),-12*MAX(0,($B$6+$B$10)-IF($B$1+35&gt;=$B$23,$B$22,0))*(1+$B$4)^35))*IF(AK138+IF($B$1+35&lt;=$B138,12*($B$7-$B$10),-12*MAX(0,($B$6+$B$10)-IF($B$1+35&gt;=$B$23,$B$22,0))*(1+$B$4)^35)&gt;0,1+$B$3,1))</f>
        <v/>
      </c>
      <c r="AM138">
        <f>IF($B$1+36&gt;90,AL138,(AL138+IF($B$1+36&lt;=$B138,12*($B$7-$B$10),-12*MAX(0,($B$6+$B$10)-IF($B$1+36&gt;=$B$23,$B$22,0))*(1+$B$4)^36))*IF(AL138+IF($B$1+36&lt;=$B138,12*($B$7-$B$10),-12*MAX(0,($B$6+$B$10)-IF($B$1+36&gt;=$B$23,$B$22,0))*(1+$B$4)^36)&gt;0,1+$B$3,1))</f>
        <v/>
      </c>
      <c r="AN138">
        <f>IF($B$1+37&gt;90,AM138,(AM138+IF($B$1+37&lt;=$B138,12*($B$7-$B$10),-12*MAX(0,($B$6+$B$10)-IF($B$1+37&gt;=$B$23,$B$22,0))*(1+$B$4)^37))*IF(AM138+IF($B$1+37&lt;=$B138,12*($B$7-$B$10),-12*MAX(0,($B$6+$B$10)-IF($B$1+37&gt;=$B$23,$B$22,0))*(1+$B$4)^37)&gt;0,1+$B$3,1))</f>
        <v/>
      </c>
      <c r="AO138">
        <f>IF($B$1+38&gt;90,AN138,(AN138+IF($B$1+38&lt;=$B138,12*($B$7-$B$10),-12*MAX(0,($B$6+$B$10)-IF($B$1+38&gt;=$B$23,$B$22,0))*(1+$B$4)^38))*IF(AN138+IF($B$1+38&lt;=$B138,12*($B$7-$B$10),-12*MAX(0,($B$6+$B$10)-IF($B$1+38&gt;=$B$23,$B$22,0))*(1+$B$4)^38)&gt;0,1+$B$3,1))</f>
        <v/>
      </c>
      <c r="AP138">
        <f>IF($B$1+39&gt;90,AO138,(AO138+IF($B$1+39&lt;=$B138,12*($B$7-$B$10),-12*MAX(0,($B$6+$B$10)-IF($B$1+39&gt;=$B$23,$B$22,0))*(1+$B$4)^39))*IF(AO138+IF($B$1+39&lt;=$B138,12*($B$7-$B$10),-12*MAX(0,($B$6+$B$10)-IF($B$1+39&gt;=$B$23,$B$22,0))*(1+$B$4)^39)&gt;0,1+$B$3,1))</f>
        <v/>
      </c>
      <c r="AQ138">
        <f>IF($B$1+40&gt;90,AP138,(AP138+IF($B$1+40&lt;=$B138,12*($B$7-$B$10),-12*MAX(0,($B$6+$B$10)-IF($B$1+40&gt;=$B$23,$B$22,0))*(1+$B$4)^40))*IF(AP138+IF($B$1+40&lt;=$B138,12*($B$7-$B$10),-12*MAX(0,($B$6+$B$10)-IF($B$1+40&gt;=$B$23,$B$22,0))*(1+$B$4)^40)&gt;0,1+$B$3,1))</f>
        <v/>
      </c>
      <c r="AR138">
        <f>IF($B$1+41&gt;90,AQ138,(AQ138+IF($B$1+41&lt;=$B138,12*($B$7-$B$10),-12*MAX(0,($B$6+$B$10)-IF($B$1+41&gt;=$B$23,$B$22,0))*(1+$B$4)^41))*IF(AQ138+IF($B$1+41&lt;=$B138,12*($B$7-$B$10),-12*MAX(0,($B$6+$B$10)-IF($B$1+41&gt;=$B$23,$B$22,0))*(1+$B$4)^41)&gt;0,1+$B$3,1))</f>
        <v/>
      </c>
      <c r="AS138">
        <f>IF($B$1+42&gt;90,AR138,(AR138+IF($B$1+42&lt;=$B138,12*($B$7-$B$10),-12*MAX(0,($B$6+$B$10)-IF($B$1+42&gt;=$B$23,$B$22,0))*(1+$B$4)^42))*IF(AR138+IF($B$1+42&lt;=$B138,12*($B$7-$B$10),-12*MAX(0,($B$6+$B$10)-IF($B$1+42&gt;=$B$23,$B$22,0))*(1+$B$4)^42)&gt;0,1+$B$3,1))</f>
        <v/>
      </c>
      <c r="AT138">
        <f>IF($B$1+43&gt;90,AS138,(AS138+IF($B$1+43&lt;=$B138,12*($B$7-$B$10),-12*MAX(0,($B$6+$B$10)-IF($B$1+43&gt;=$B$23,$B$22,0))*(1+$B$4)^43))*IF(AS138+IF($B$1+43&lt;=$B138,12*($B$7-$B$10),-12*MAX(0,($B$6+$B$10)-IF($B$1+43&gt;=$B$23,$B$22,0))*(1+$B$4)^43)&gt;0,1+$B$3,1))</f>
        <v/>
      </c>
      <c r="AU138">
        <f>IF($B$1+44&gt;90,AT138,(AT138+IF($B$1+44&lt;=$B138,12*($B$7-$B$10),-12*MAX(0,($B$6+$B$10)-IF($B$1+44&gt;=$B$23,$B$22,0))*(1+$B$4)^44))*IF(AT138+IF($B$1+44&lt;=$B138,12*($B$7-$B$10),-12*MAX(0,($B$6+$B$10)-IF($B$1+44&gt;=$B$23,$B$22,0))*(1+$B$4)^44)&gt;0,1+$B$3,1))</f>
        <v/>
      </c>
      <c r="AV138">
        <f>IF($B$1+45&gt;90,AU138,(AU138+IF($B$1+45&lt;=$B138,12*($B$7-$B$10),-12*MAX(0,($B$6+$B$10)-IF($B$1+45&gt;=$B$23,$B$22,0))*(1+$B$4)^45))*IF(AU138+IF($B$1+45&lt;=$B138,12*($B$7-$B$10),-12*MAX(0,($B$6+$B$10)-IF($B$1+45&gt;=$B$23,$B$22,0))*(1+$B$4)^45)&gt;0,1+$B$3,1))</f>
        <v/>
      </c>
      <c r="AW138">
        <f>IF($B$1+46&gt;90,AV138,(AV138+IF($B$1+46&lt;=$B138,12*($B$7-$B$10),-12*MAX(0,($B$6+$B$10)-IF($B$1+46&gt;=$B$23,$B$22,0))*(1+$B$4)^46))*IF(AV138+IF($B$1+46&lt;=$B138,12*($B$7-$B$10),-12*MAX(0,($B$6+$B$10)-IF($B$1+46&gt;=$B$23,$B$22,0))*(1+$B$4)^46)&gt;0,1+$B$3,1))</f>
        <v/>
      </c>
      <c r="AX138">
        <f>IF($B$1+47&gt;90,AW138,(AW138+IF($B$1+47&lt;=$B138,12*($B$7-$B$10),-12*MAX(0,($B$6+$B$10)-IF($B$1+47&gt;=$B$23,$B$22,0))*(1+$B$4)^47))*IF(AW138+IF($B$1+47&lt;=$B138,12*($B$7-$B$10),-12*MAX(0,($B$6+$B$10)-IF($B$1+47&gt;=$B$23,$B$22,0))*(1+$B$4)^47)&gt;0,1+$B$3,1))</f>
        <v/>
      </c>
      <c r="AY138">
        <f>IF($B$1+48&gt;90,AX138,(AX138+IF($B$1+48&lt;=$B138,12*($B$7-$B$10),-12*MAX(0,($B$6+$B$10)-IF($B$1+48&gt;=$B$23,$B$22,0))*(1+$B$4)^48))*IF(AX138+IF($B$1+48&lt;=$B138,12*($B$7-$B$10),-12*MAX(0,($B$6+$B$10)-IF($B$1+48&gt;=$B$23,$B$22,0))*(1+$B$4)^48)&gt;0,1+$B$3,1))</f>
        <v/>
      </c>
      <c r="AZ138">
        <f>IF($B$1+49&gt;90,AY138,(AY138+IF($B$1+49&lt;=$B138,12*($B$7-$B$10),-12*MAX(0,($B$6+$B$10)-IF($B$1+49&gt;=$B$23,$B$22,0))*(1+$B$4)^49))*IF(AY138+IF($B$1+49&lt;=$B138,12*($B$7-$B$10),-12*MAX(0,($B$6+$B$10)-IF($B$1+49&gt;=$B$23,$B$22,0))*(1+$B$4)^49)&gt;0,1+$B$3,1))</f>
        <v/>
      </c>
      <c r="BA138">
        <f>IF($B$1+50&gt;90,AZ138,(AZ138+IF($B$1+50&lt;=$B138,12*($B$7-$B$10),-12*MAX(0,($B$6+$B$10)-IF($B$1+50&gt;=$B$23,$B$22,0))*(1+$B$4)^50))*IF(AZ138+IF($B$1+50&lt;=$B138,12*($B$7-$B$10),-12*MAX(0,($B$6+$B$10)-IF($B$1+50&gt;=$B$23,$B$22,0))*(1+$B$4)^50)&gt;0,1+$B$3,1))</f>
        <v/>
      </c>
      <c r="BB138">
        <f>IF($B$1+51&gt;90,BA138,(BA138+IF($B$1+51&lt;=$B138,12*($B$7-$B$10),-12*MAX(0,($B$6+$B$10)-IF($B$1+51&gt;=$B$23,$B$22,0))*(1+$B$4)^51))*IF(BA138+IF($B$1+51&lt;=$B138,12*($B$7-$B$10),-12*MAX(0,($B$6+$B$10)-IF($B$1+51&gt;=$B$23,$B$22,0))*(1+$B$4)^51)&gt;0,1+$B$3,1))</f>
        <v/>
      </c>
      <c r="BC138">
        <f>IF($B$1+52&gt;90,BB138,(BB138+IF($B$1+52&lt;=$B138,12*($B$7-$B$10),-12*MAX(0,($B$6+$B$10)-IF($B$1+52&gt;=$B$23,$B$22,0))*(1+$B$4)^52))*IF(BB138+IF($B$1+52&lt;=$B138,12*($B$7-$B$10),-12*MAX(0,($B$6+$B$10)-IF($B$1+52&gt;=$B$23,$B$22,0))*(1+$B$4)^52)&gt;0,1+$B$3,1))</f>
        <v/>
      </c>
      <c r="BD138">
        <f>IF($B$1+53&gt;90,BC138,(BC138+IF($B$1+53&lt;=$B138,12*($B$7-$B$10),-12*MAX(0,($B$6+$B$10)-IF($B$1+53&gt;=$B$23,$B$22,0))*(1+$B$4)^53))*IF(BC138+IF($B$1+53&lt;=$B138,12*($B$7-$B$10),-12*MAX(0,($B$6+$B$10)-IF($B$1+53&gt;=$B$23,$B$22,0))*(1+$B$4)^53)&gt;0,1+$B$3,1))</f>
        <v/>
      </c>
      <c r="BE138">
        <f>IF($B$1+54&gt;90,BD138,(BD138+IF($B$1+54&lt;=$B138,12*($B$7-$B$10),-12*MAX(0,($B$6+$B$10)-IF($B$1+54&gt;=$B$23,$B$22,0))*(1+$B$4)^54))*IF(BD138+IF($B$1+54&lt;=$B138,12*($B$7-$B$10),-12*MAX(0,($B$6+$B$10)-IF($B$1+54&gt;=$B$23,$B$22,0))*(1+$B$4)^54)&gt;0,1+$B$3,1))</f>
        <v/>
      </c>
      <c r="BF138">
        <f>IF($B$1+55&gt;90,BE138,(BE138+IF($B$1+55&lt;=$B138,12*($B$7-$B$10),-12*MAX(0,($B$6+$B$10)-IF($B$1+55&gt;=$B$23,$B$22,0))*(1+$B$4)^55))*IF(BE138+IF($B$1+55&lt;=$B138,12*($B$7-$B$10),-12*MAX(0,($B$6+$B$10)-IF($B$1+55&gt;=$B$23,$B$22,0))*(1+$B$4)^55)&gt;0,1+$B$3,1))</f>
        <v/>
      </c>
      <c r="BG138">
        <f>IF($B$1+56&gt;90,BF138,(BF138+IF($B$1+56&lt;=$B138,12*($B$7-$B$10),-12*MAX(0,($B$6+$B$10)-IF($B$1+56&gt;=$B$23,$B$22,0))*(1+$B$4)^56))*IF(BF138+IF($B$1+56&lt;=$B138,12*($B$7-$B$10),-12*MAX(0,($B$6+$B$10)-IF($B$1+56&gt;=$B$23,$B$22,0))*(1+$B$4)^56)&gt;0,1+$B$3,1))</f>
        <v/>
      </c>
      <c r="BH138">
        <f>IF($B$1+57&gt;90,BG138,(BG138+IF($B$1+57&lt;=$B138,12*($B$7-$B$10),-12*MAX(0,($B$6+$B$10)-IF($B$1+57&gt;=$B$23,$B$22,0))*(1+$B$4)^57))*IF(BG138+IF($B$1+57&lt;=$B138,12*($B$7-$B$10),-12*MAX(0,($B$6+$B$10)-IF($B$1+57&gt;=$B$23,$B$22,0))*(1+$B$4)^57)&gt;0,1+$B$3,1))</f>
        <v/>
      </c>
      <c r="BI138">
        <f>IF($B$1+58&gt;90,BH138,(BH138+IF($B$1+58&lt;=$B138,12*($B$7-$B$10),-12*MAX(0,($B$6+$B$10)-IF($B$1+58&gt;=$B$23,$B$22,0))*(1+$B$4)^58))*IF(BH138+IF($B$1+58&lt;=$B138,12*($B$7-$B$10),-12*MAX(0,($B$6+$B$10)-IF($B$1+58&gt;=$B$23,$B$22,0))*(1+$B$4)^58)&gt;0,1+$B$3,1))</f>
        <v/>
      </c>
      <c r="BJ138">
        <f>IF($B$1+59&gt;90,BI138,(BI138+IF($B$1+59&lt;=$B138,12*($B$7-$B$10),-12*MAX(0,($B$6+$B$10)-IF($B$1+59&gt;=$B$23,$B$22,0))*(1+$B$4)^59))*IF(BI138+IF($B$1+59&lt;=$B138,12*($B$7-$B$10),-12*MAX(0,($B$6+$B$10)-IF($B$1+59&gt;=$B$23,$B$22,0))*(1+$B$4)^59)&gt;0,1+$B$3,1))</f>
        <v/>
      </c>
      <c r="BK138">
        <f>IF($B$1+60&gt;90,BJ138,(BJ138+IF($B$1+60&lt;=$B138,12*($B$7-$B$10),-12*MAX(0,($B$6+$B$10)-IF($B$1+60&gt;=$B$23,$B$22,0))*(1+$B$4)^60))*IF(BJ138+IF($B$1+60&lt;=$B138,12*($B$7-$B$10),-12*MAX(0,($B$6+$B$10)-IF($B$1+60&gt;=$B$23,$B$22,0))*(1+$B$4)^60)&gt;0,1+$B$3,1))</f>
        <v/>
      </c>
      <c r="BL138">
        <f>IF($B$1+61&gt;90,BK138,(BK138+IF($B$1+61&lt;=$B138,12*($B$7-$B$10),-12*MAX(0,($B$6+$B$10)-IF($B$1+61&gt;=$B$23,$B$22,0))*(1+$B$4)^61))*IF(BK138+IF($B$1+61&lt;=$B138,12*($B$7-$B$10),-12*MAX(0,($B$6+$B$10)-IF($B$1+61&gt;=$B$23,$B$22,0))*(1+$B$4)^61)&gt;0,1+$B$3,1))</f>
        <v/>
      </c>
      <c r="BM138">
        <f>IF($B$1+62&gt;90,BL138,(BL138+IF($B$1+62&lt;=$B138,12*($B$7-$B$10),-12*MAX(0,($B$6+$B$10)-IF($B$1+62&gt;=$B$23,$B$22,0))*(1+$B$4)^62))*IF(BL138+IF($B$1+62&lt;=$B138,12*($B$7-$B$10),-12*MAX(0,($B$6+$B$10)-IF($B$1+62&gt;=$B$23,$B$22,0))*(1+$B$4)^62)&gt;0,1+$B$3,1))</f>
        <v/>
      </c>
      <c r="BN138">
        <f>IF($B$1+63&gt;90,BM138,(BM138+IF($B$1+63&lt;=$B138,12*($B$7-$B$10),-12*MAX(0,($B$6+$B$10)-IF($B$1+63&gt;=$B$23,$B$22,0))*(1+$B$4)^63))*IF(BM138+IF($B$1+63&lt;=$B138,12*($B$7-$B$10),-12*MAX(0,($B$6+$B$10)-IF($B$1+63&gt;=$B$23,$B$22,0))*(1+$B$4)^63)&gt;0,1+$B$3,1))</f>
        <v/>
      </c>
      <c r="BO138">
        <f>IF($B$1+64&gt;90,BN138,(BN138+IF($B$1+64&lt;=$B138,12*($B$7-$B$10),-12*MAX(0,($B$6+$B$10)-IF($B$1+64&gt;=$B$23,$B$22,0))*(1+$B$4)^64))*IF(BN138+IF($B$1+64&lt;=$B138,12*($B$7-$B$10),-12*MAX(0,($B$6+$B$10)-IF($B$1+64&gt;=$B$23,$B$22,0))*(1+$B$4)^64)&gt;0,1+$B$3,1))</f>
        <v/>
      </c>
      <c r="BP138">
        <f>IF($B$1+65&gt;90,BO138,(BO138+IF($B$1+65&lt;=$B138,12*($B$7-$B$10),-12*MAX(0,($B$6+$B$10)-IF($B$1+65&gt;=$B$23,$B$22,0))*(1+$B$4)^65))*IF(BO138+IF($B$1+65&lt;=$B138,12*($B$7-$B$10),-12*MAX(0,($B$6+$B$10)-IF($B$1+65&gt;=$B$23,$B$22,0))*(1+$B$4)^65)&gt;0,1+$B$3,1))</f>
        <v/>
      </c>
      <c r="BQ138">
        <f>IF($B$1+66&gt;90,BP138,(BP138+IF($B$1+66&lt;=$B138,12*($B$7-$B$10),-12*MAX(0,($B$6+$B$10)-IF($B$1+66&gt;=$B$23,$B$22,0))*(1+$B$4)^66))*IF(BP138+IF($B$1+66&lt;=$B138,12*($B$7-$B$10),-12*MAX(0,($B$6+$B$10)-IF($B$1+66&gt;=$B$23,$B$22,0))*(1+$B$4)^66)&gt;0,1+$B$3,1))</f>
        <v/>
      </c>
      <c r="BR138">
        <f>IF($B$1+67&gt;90,BQ138,(BQ138+IF($B$1+67&lt;=$B138,12*($B$7-$B$10),-12*MAX(0,($B$6+$B$10)-IF($B$1+67&gt;=$B$23,$B$22,0))*(1+$B$4)^67))*IF(BQ138+IF($B$1+67&lt;=$B138,12*($B$7-$B$10),-12*MAX(0,($B$6+$B$10)-IF($B$1+67&gt;=$B$23,$B$22,0))*(1+$B$4)^67)&gt;0,1+$B$3,1))</f>
        <v/>
      </c>
      <c r="BS138">
        <f>IF($B$1+68&gt;90,BR138,(BR138+IF($B$1+68&lt;=$B138,12*($B$7-$B$10),-12*MAX(0,($B$6+$B$10)-IF($B$1+68&gt;=$B$23,$B$22,0))*(1+$B$4)^68))*IF(BR138+IF($B$1+68&lt;=$B138,12*($B$7-$B$10),-12*MAX(0,($B$6+$B$10)-IF($B$1+68&gt;=$B$23,$B$22,0))*(1+$B$4)^68)&gt;0,1+$B$3,1))</f>
        <v/>
      </c>
      <c r="BT138">
        <f>IF($B$1+69&gt;90,BS138,(BS138+IF($B$1+69&lt;=$B138,12*($B$7-$B$10),-12*MAX(0,($B$6+$B$10)-IF($B$1+69&gt;=$B$23,$B$22,0))*(1+$B$4)^69))*IF(BS138+IF($B$1+69&lt;=$B138,12*($B$7-$B$10),-12*MAX(0,($B$6+$B$10)-IF($B$1+69&gt;=$B$23,$B$22,0))*(1+$B$4)^69)&gt;0,1+$B$3,1))</f>
        <v/>
      </c>
      <c r="BU138">
        <f>IF($B$1+70&gt;90,BT138,(BT138+IF($B$1+70&lt;=$B138,12*($B$7-$B$10),-12*MAX(0,($B$6+$B$10)-IF($B$1+70&gt;=$B$23,$B$22,0))*(1+$B$4)^70))*IF(BT138+IF($B$1+70&lt;=$B138,12*($B$7-$B$10),-12*MAX(0,($B$6+$B$10)-IF($B$1+70&gt;=$B$23,$B$22,0))*(1+$B$4)^70)&gt;0,1+$B$3,1))</f>
        <v/>
      </c>
      <c r="BV138">
        <f>BU138</f>
        <v/>
      </c>
      <c r="BW138">
        <f>IF(AND($B138&lt;=70,BV138&gt;0),$B138,999)</f>
        <v/>
      </c>
      <c r="CH138">
        <f>IF(ISTEXT('월 가계부'!A138),SUBSTITUTE(SUBSTITUTE(SUBSTITUTE(SUBSTITUTE(SUBSTITUTE(SUBSTITUTE(SUBSTITUTE(SUBSTITUTE(SUBSTITUTE(TRIM('월 가계부'!A138),"년","-"),"월","-"),"일",""),".","-"),"/","-")," ","-"),"--","-"),"--","-"),"--","-")&amp;"-","")</f>
        <v/>
      </c>
      <c r="CI138">
        <f>IFERROR(IF('월 가계부'!A138="","",IF(ISNUMBER('월 가계부'!A138),IF(AND('월 가계부'!A138&gt;=19000101,'월 가계부'!A138&lt;=21001231),IF(AND(MOD(INT('월 가계부'!A138/100),100)&gt;=1,MOD(INT('월 가계부'!A138/100),100)&lt;=12,MOD(INT('월 가계부'!A138),100)&gt;=1,MOD(INT('월 가계부'!A138),100)&lt;=31),IF(MONTH(DATE(INT('월 가계부'!A138/10000),MOD(INT('월 가계부'!A138/100),100),MOD(INT('월 가계부'!A138),100)))=MOD(INT('월 가계부'!A138/100),100),DATE(INT('월 가계부'!A138/10000),MOD(INT('월 가계부'!A138/100),100),MOD(INT('월 가계부'!A138),100)),""),""),IF(AND('월 가계부'!A138&gt;=36526,'월 가계부'!A138&lt;73051),INT('월 가계부'!A138),"")),IF(OR(CM138="",CN138="",CO138=""),"",IF(AND(CM138&gt;=2000,CM138&lt;=2099,CN138&gt;=1,CN138&lt;=12,CO138&gt;=1,CO138&lt;=31),IF(MONTH(DATE(CM138,CN138,CO138))=CN138,DATE(CM138,CN138,CO138),""),"")))),"")</f>
        <v/>
      </c>
      <c r="CJ138">
        <f>IFERROR(IF('월 가계부'!C138="","",IF(ISNUMBER('월 가계부'!C138),'월 가계부'!C138,VALUE(SUBSTITUTE(SUBSTITUTE(SUBSTITUTE(SUBSTITUTE(TRIM('월 가계부'!C138),",",""),"원","")," ",""),"−","-")))),"")</f>
        <v/>
      </c>
      <c r="CK138">
        <f>IF(ISNUMBER(CI138),IF(CI138&lt;$B$13,CI138,""),"")</f>
        <v/>
      </c>
      <c r="CM138">
        <f>IF(CH138="","",IFERROR(IF(IF(AND(LEN(CH138)=9,ISERROR(FIND("-",LEFT(CH138,8))),ISNUMBER(-LEFT(CH138,8))),VALUE(LEFT(CH138,4)),VALUE(LEFT(CH138,FIND("-",CH138)-1)))&lt;100,IF(AND(LEN(CH138)=9,ISERROR(FIND("-",LEFT(CH138,8))),ISNUMBER(-LEFT(CH138,8))),VALUE(LEFT(CH138,4)),VALUE(LEFT(CH138,FIND("-",CH138)-1)))+2000,IF(AND(LEN(CH138)=9,ISERROR(FIND("-",LEFT(CH138,8))),ISNUMBER(-LEFT(CH138,8))),VALUE(LEFT(CH138,4)),VALUE(LEFT(CH138,FIND("-",CH138)-1)))),""))</f>
        <v/>
      </c>
      <c r="CN138">
        <f>IF(CH138="","",IFERROR(IF(AND(LEN(CH138)=9,ISERROR(FIND("-",LEFT(CH138,8))),ISNUMBER(-LEFT(CH138,8))),VALUE(MID(CH138,5,2)),VALUE(MID(CH138,FIND("-",CH138)+1,FIND("-",CH138,FIND("-",CH138)+1)-FIND("-",CH138)-1))),""))</f>
        <v/>
      </c>
      <c r="CO138">
        <f>IF(CH138="","",IFERROR(IF(AND(LEN(CH138)=9,ISERROR(FIND("-",LEFT(CH138,8))),ISNUMBER(-LEFT(CH138,8))),VALUE(MID(CH138,7,2)),VALUE(MID(CH138,FIND("-",CH138,FIND("-",CH138)+1)+1,FIND("-",CH138,FIND("-",CH138,FIND("-",CH138)+1)+1)-FIND("-",CH138,FIND("-",CH138)+1)-1))),""))</f>
        <v/>
      </c>
    </row>
    <row r="139">
      <c r="A139" t="n">
        <v>43</v>
      </c>
      <c r="B139">
        <f>$B$1+43</f>
        <v/>
      </c>
      <c r="C139">
        <f>$B$2</f>
        <v/>
      </c>
      <c r="D139">
        <f>IF($B$1+1&gt;90,C139,(C139+IF($B$1+1&lt;=$B139,12*($B$7-$B$10),-12*MAX(0,($B$6+$B$10)-IF($B$1+1&gt;=$B$23,$B$22,0))*(1+$B$4)^1))*IF(C139+IF($B$1+1&lt;=$B139,12*($B$7-$B$10),-12*MAX(0,($B$6+$B$10)-IF($B$1+1&gt;=$B$23,$B$22,0))*(1+$B$4)^1)&gt;0,1+$B$3,1))</f>
        <v/>
      </c>
      <c r="E139">
        <f>IF($B$1+2&gt;90,D139,(D139+IF($B$1+2&lt;=$B139,12*($B$7-$B$10),-12*MAX(0,($B$6+$B$10)-IF($B$1+2&gt;=$B$23,$B$22,0))*(1+$B$4)^2))*IF(D139+IF($B$1+2&lt;=$B139,12*($B$7-$B$10),-12*MAX(0,($B$6+$B$10)-IF($B$1+2&gt;=$B$23,$B$22,0))*(1+$B$4)^2)&gt;0,1+$B$3,1))</f>
        <v/>
      </c>
      <c r="F139">
        <f>IF($B$1+3&gt;90,E139,(E139+IF($B$1+3&lt;=$B139,12*($B$7-$B$10),-12*MAX(0,($B$6+$B$10)-IF($B$1+3&gt;=$B$23,$B$22,0))*(1+$B$4)^3))*IF(E139+IF($B$1+3&lt;=$B139,12*($B$7-$B$10),-12*MAX(0,($B$6+$B$10)-IF($B$1+3&gt;=$B$23,$B$22,0))*(1+$B$4)^3)&gt;0,1+$B$3,1))</f>
        <v/>
      </c>
      <c r="G139">
        <f>IF($B$1+4&gt;90,F139,(F139+IF($B$1+4&lt;=$B139,12*($B$7-$B$10),-12*MAX(0,($B$6+$B$10)-IF($B$1+4&gt;=$B$23,$B$22,0))*(1+$B$4)^4))*IF(F139+IF($B$1+4&lt;=$B139,12*($B$7-$B$10),-12*MAX(0,($B$6+$B$10)-IF($B$1+4&gt;=$B$23,$B$22,0))*(1+$B$4)^4)&gt;0,1+$B$3,1))</f>
        <v/>
      </c>
      <c r="H139">
        <f>IF($B$1+5&gt;90,G139,(G139+IF($B$1+5&lt;=$B139,12*($B$7-$B$10),-12*MAX(0,($B$6+$B$10)-IF($B$1+5&gt;=$B$23,$B$22,0))*(1+$B$4)^5))*IF(G139+IF($B$1+5&lt;=$B139,12*($B$7-$B$10),-12*MAX(0,($B$6+$B$10)-IF($B$1+5&gt;=$B$23,$B$22,0))*(1+$B$4)^5)&gt;0,1+$B$3,1))</f>
        <v/>
      </c>
      <c r="I139">
        <f>IF($B$1+6&gt;90,H139,(H139+IF($B$1+6&lt;=$B139,12*($B$7-$B$10),-12*MAX(0,($B$6+$B$10)-IF($B$1+6&gt;=$B$23,$B$22,0))*(1+$B$4)^6))*IF(H139+IF($B$1+6&lt;=$B139,12*($B$7-$B$10),-12*MAX(0,($B$6+$B$10)-IF($B$1+6&gt;=$B$23,$B$22,0))*(1+$B$4)^6)&gt;0,1+$B$3,1))</f>
        <v/>
      </c>
      <c r="J139">
        <f>IF($B$1+7&gt;90,I139,(I139+IF($B$1+7&lt;=$B139,12*($B$7-$B$10),-12*MAX(0,($B$6+$B$10)-IF($B$1+7&gt;=$B$23,$B$22,0))*(1+$B$4)^7))*IF(I139+IF($B$1+7&lt;=$B139,12*($B$7-$B$10),-12*MAX(0,($B$6+$B$10)-IF($B$1+7&gt;=$B$23,$B$22,0))*(1+$B$4)^7)&gt;0,1+$B$3,1))</f>
        <v/>
      </c>
      <c r="K139">
        <f>IF($B$1+8&gt;90,J139,(J139+IF($B$1+8&lt;=$B139,12*($B$7-$B$10),-12*MAX(0,($B$6+$B$10)-IF($B$1+8&gt;=$B$23,$B$22,0))*(1+$B$4)^8))*IF(J139+IF($B$1+8&lt;=$B139,12*($B$7-$B$10),-12*MAX(0,($B$6+$B$10)-IF($B$1+8&gt;=$B$23,$B$22,0))*(1+$B$4)^8)&gt;0,1+$B$3,1))</f>
        <v/>
      </c>
      <c r="L139">
        <f>IF($B$1+9&gt;90,K139,(K139+IF($B$1+9&lt;=$B139,12*($B$7-$B$10),-12*MAX(0,($B$6+$B$10)-IF($B$1+9&gt;=$B$23,$B$22,0))*(1+$B$4)^9))*IF(K139+IF($B$1+9&lt;=$B139,12*($B$7-$B$10),-12*MAX(0,($B$6+$B$10)-IF($B$1+9&gt;=$B$23,$B$22,0))*(1+$B$4)^9)&gt;0,1+$B$3,1))</f>
        <v/>
      </c>
      <c r="M139">
        <f>IF($B$1+10&gt;90,L139,(L139+IF($B$1+10&lt;=$B139,12*($B$7-$B$10),-12*MAX(0,($B$6+$B$10)-IF($B$1+10&gt;=$B$23,$B$22,0))*(1+$B$4)^10))*IF(L139+IF($B$1+10&lt;=$B139,12*($B$7-$B$10),-12*MAX(0,($B$6+$B$10)-IF($B$1+10&gt;=$B$23,$B$22,0))*(1+$B$4)^10)&gt;0,1+$B$3,1))</f>
        <v/>
      </c>
      <c r="N139">
        <f>IF($B$1+11&gt;90,M139,(M139+IF($B$1+11&lt;=$B139,12*($B$7-$B$10),-12*MAX(0,($B$6+$B$10)-IF($B$1+11&gt;=$B$23,$B$22,0))*(1+$B$4)^11))*IF(M139+IF($B$1+11&lt;=$B139,12*($B$7-$B$10),-12*MAX(0,($B$6+$B$10)-IF($B$1+11&gt;=$B$23,$B$22,0))*(1+$B$4)^11)&gt;0,1+$B$3,1))</f>
        <v/>
      </c>
      <c r="O139">
        <f>IF($B$1+12&gt;90,N139,(N139+IF($B$1+12&lt;=$B139,12*($B$7-$B$10),-12*MAX(0,($B$6+$B$10)-IF($B$1+12&gt;=$B$23,$B$22,0))*(1+$B$4)^12))*IF(N139+IF($B$1+12&lt;=$B139,12*($B$7-$B$10),-12*MAX(0,($B$6+$B$10)-IF($B$1+12&gt;=$B$23,$B$22,0))*(1+$B$4)^12)&gt;0,1+$B$3,1))</f>
        <v/>
      </c>
      <c r="P139">
        <f>IF($B$1+13&gt;90,O139,(O139+IF($B$1+13&lt;=$B139,12*($B$7-$B$10),-12*MAX(0,($B$6+$B$10)-IF($B$1+13&gt;=$B$23,$B$22,0))*(1+$B$4)^13))*IF(O139+IF($B$1+13&lt;=$B139,12*($B$7-$B$10),-12*MAX(0,($B$6+$B$10)-IF($B$1+13&gt;=$B$23,$B$22,0))*(1+$B$4)^13)&gt;0,1+$B$3,1))</f>
        <v/>
      </c>
      <c r="Q139">
        <f>IF($B$1+14&gt;90,P139,(P139+IF($B$1+14&lt;=$B139,12*($B$7-$B$10),-12*MAX(0,($B$6+$B$10)-IF($B$1+14&gt;=$B$23,$B$22,0))*(1+$B$4)^14))*IF(P139+IF($B$1+14&lt;=$B139,12*($B$7-$B$10),-12*MAX(0,($B$6+$B$10)-IF($B$1+14&gt;=$B$23,$B$22,0))*(1+$B$4)^14)&gt;0,1+$B$3,1))</f>
        <v/>
      </c>
      <c r="R139">
        <f>IF($B$1+15&gt;90,Q139,(Q139+IF($B$1+15&lt;=$B139,12*($B$7-$B$10),-12*MAX(0,($B$6+$B$10)-IF($B$1+15&gt;=$B$23,$B$22,0))*(1+$B$4)^15))*IF(Q139+IF($B$1+15&lt;=$B139,12*($B$7-$B$10),-12*MAX(0,($B$6+$B$10)-IF($B$1+15&gt;=$B$23,$B$22,0))*(1+$B$4)^15)&gt;0,1+$B$3,1))</f>
        <v/>
      </c>
      <c r="S139">
        <f>IF($B$1+16&gt;90,R139,(R139+IF($B$1+16&lt;=$B139,12*($B$7-$B$10),-12*MAX(0,($B$6+$B$10)-IF($B$1+16&gt;=$B$23,$B$22,0))*(1+$B$4)^16))*IF(R139+IF($B$1+16&lt;=$B139,12*($B$7-$B$10),-12*MAX(0,($B$6+$B$10)-IF($B$1+16&gt;=$B$23,$B$22,0))*(1+$B$4)^16)&gt;0,1+$B$3,1))</f>
        <v/>
      </c>
      <c r="T139">
        <f>IF($B$1+17&gt;90,S139,(S139+IF($B$1+17&lt;=$B139,12*($B$7-$B$10),-12*MAX(0,($B$6+$B$10)-IF($B$1+17&gt;=$B$23,$B$22,0))*(1+$B$4)^17))*IF(S139+IF($B$1+17&lt;=$B139,12*($B$7-$B$10),-12*MAX(0,($B$6+$B$10)-IF($B$1+17&gt;=$B$23,$B$22,0))*(1+$B$4)^17)&gt;0,1+$B$3,1))</f>
        <v/>
      </c>
      <c r="U139">
        <f>IF($B$1+18&gt;90,T139,(T139+IF($B$1+18&lt;=$B139,12*($B$7-$B$10),-12*MAX(0,($B$6+$B$10)-IF($B$1+18&gt;=$B$23,$B$22,0))*(1+$B$4)^18))*IF(T139+IF($B$1+18&lt;=$B139,12*($B$7-$B$10),-12*MAX(0,($B$6+$B$10)-IF($B$1+18&gt;=$B$23,$B$22,0))*(1+$B$4)^18)&gt;0,1+$B$3,1))</f>
        <v/>
      </c>
      <c r="V139">
        <f>IF($B$1+19&gt;90,U139,(U139+IF($B$1+19&lt;=$B139,12*($B$7-$B$10),-12*MAX(0,($B$6+$B$10)-IF($B$1+19&gt;=$B$23,$B$22,0))*(1+$B$4)^19))*IF(U139+IF($B$1+19&lt;=$B139,12*($B$7-$B$10),-12*MAX(0,($B$6+$B$10)-IF($B$1+19&gt;=$B$23,$B$22,0))*(1+$B$4)^19)&gt;0,1+$B$3,1))</f>
        <v/>
      </c>
      <c r="W139">
        <f>IF($B$1+20&gt;90,V139,(V139+IF($B$1+20&lt;=$B139,12*($B$7-$B$10),-12*MAX(0,($B$6+$B$10)-IF($B$1+20&gt;=$B$23,$B$22,0))*(1+$B$4)^20))*IF(V139+IF($B$1+20&lt;=$B139,12*($B$7-$B$10),-12*MAX(0,($B$6+$B$10)-IF($B$1+20&gt;=$B$23,$B$22,0))*(1+$B$4)^20)&gt;0,1+$B$3,1))</f>
        <v/>
      </c>
      <c r="X139">
        <f>IF($B$1+21&gt;90,W139,(W139+IF($B$1+21&lt;=$B139,12*($B$7-$B$10),-12*MAX(0,($B$6+$B$10)-IF($B$1+21&gt;=$B$23,$B$22,0))*(1+$B$4)^21))*IF(W139+IF($B$1+21&lt;=$B139,12*($B$7-$B$10),-12*MAX(0,($B$6+$B$10)-IF($B$1+21&gt;=$B$23,$B$22,0))*(1+$B$4)^21)&gt;0,1+$B$3,1))</f>
        <v/>
      </c>
      <c r="Y139">
        <f>IF($B$1+22&gt;90,X139,(X139+IF($B$1+22&lt;=$B139,12*($B$7-$B$10),-12*MAX(0,($B$6+$B$10)-IF($B$1+22&gt;=$B$23,$B$22,0))*(1+$B$4)^22))*IF(X139+IF($B$1+22&lt;=$B139,12*($B$7-$B$10),-12*MAX(0,($B$6+$B$10)-IF($B$1+22&gt;=$B$23,$B$22,0))*(1+$B$4)^22)&gt;0,1+$B$3,1))</f>
        <v/>
      </c>
      <c r="Z139">
        <f>IF($B$1+23&gt;90,Y139,(Y139+IF($B$1+23&lt;=$B139,12*($B$7-$B$10),-12*MAX(0,($B$6+$B$10)-IF($B$1+23&gt;=$B$23,$B$22,0))*(1+$B$4)^23))*IF(Y139+IF($B$1+23&lt;=$B139,12*($B$7-$B$10),-12*MAX(0,($B$6+$B$10)-IF($B$1+23&gt;=$B$23,$B$22,0))*(1+$B$4)^23)&gt;0,1+$B$3,1))</f>
        <v/>
      </c>
      <c r="AA139">
        <f>IF($B$1+24&gt;90,Z139,(Z139+IF($B$1+24&lt;=$B139,12*($B$7-$B$10),-12*MAX(0,($B$6+$B$10)-IF($B$1+24&gt;=$B$23,$B$22,0))*(1+$B$4)^24))*IF(Z139+IF($B$1+24&lt;=$B139,12*($B$7-$B$10),-12*MAX(0,($B$6+$B$10)-IF($B$1+24&gt;=$B$23,$B$22,0))*(1+$B$4)^24)&gt;0,1+$B$3,1))</f>
        <v/>
      </c>
      <c r="AB139">
        <f>IF($B$1+25&gt;90,AA139,(AA139+IF($B$1+25&lt;=$B139,12*($B$7-$B$10),-12*MAX(0,($B$6+$B$10)-IF($B$1+25&gt;=$B$23,$B$22,0))*(1+$B$4)^25))*IF(AA139+IF($B$1+25&lt;=$B139,12*($B$7-$B$10),-12*MAX(0,($B$6+$B$10)-IF($B$1+25&gt;=$B$23,$B$22,0))*(1+$B$4)^25)&gt;0,1+$B$3,1))</f>
        <v/>
      </c>
      <c r="AC139">
        <f>IF($B$1+26&gt;90,AB139,(AB139+IF($B$1+26&lt;=$B139,12*($B$7-$B$10),-12*MAX(0,($B$6+$B$10)-IF($B$1+26&gt;=$B$23,$B$22,0))*(1+$B$4)^26))*IF(AB139+IF($B$1+26&lt;=$B139,12*($B$7-$B$10),-12*MAX(0,($B$6+$B$10)-IF($B$1+26&gt;=$B$23,$B$22,0))*(1+$B$4)^26)&gt;0,1+$B$3,1))</f>
        <v/>
      </c>
      <c r="AD139">
        <f>IF($B$1+27&gt;90,AC139,(AC139+IF($B$1+27&lt;=$B139,12*($B$7-$B$10),-12*MAX(0,($B$6+$B$10)-IF($B$1+27&gt;=$B$23,$B$22,0))*(1+$B$4)^27))*IF(AC139+IF($B$1+27&lt;=$B139,12*($B$7-$B$10),-12*MAX(0,($B$6+$B$10)-IF($B$1+27&gt;=$B$23,$B$22,0))*(1+$B$4)^27)&gt;0,1+$B$3,1))</f>
        <v/>
      </c>
      <c r="AE139">
        <f>IF($B$1+28&gt;90,AD139,(AD139+IF($B$1+28&lt;=$B139,12*($B$7-$B$10),-12*MAX(0,($B$6+$B$10)-IF($B$1+28&gt;=$B$23,$B$22,0))*(1+$B$4)^28))*IF(AD139+IF($B$1+28&lt;=$B139,12*($B$7-$B$10),-12*MAX(0,($B$6+$B$10)-IF($B$1+28&gt;=$B$23,$B$22,0))*(1+$B$4)^28)&gt;0,1+$B$3,1))</f>
        <v/>
      </c>
      <c r="AF139">
        <f>IF($B$1+29&gt;90,AE139,(AE139+IF($B$1+29&lt;=$B139,12*($B$7-$B$10),-12*MAX(0,($B$6+$B$10)-IF($B$1+29&gt;=$B$23,$B$22,0))*(1+$B$4)^29))*IF(AE139+IF($B$1+29&lt;=$B139,12*($B$7-$B$10),-12*MAX(0,($B$6+$B$10)-IF($B$1+29&gt;=$B$23,$B$22,0))*(1+$B$4)^29)&gt;0,1+$B$3,1))</f>
        <v/>
      </c>
      <c r="AG139">
        <f>IF($B$1+30&gt;90,AF139,(AF139+IF($B$1+30&lt;=$B139,12*($B$7-$B$10),-12*MAX(0,($B$6+$B$10)-IF($B$1+30&gt;=$B$23,$B$22,0))*(1+$B$4)^30))*IF(AF139+IF($B$1+30&lt;=$B139,12*($B$7-$B$10),-12*MAX(0,($B$6+$B$10)-IF($B$1+30&gt;=$B$23,$B$22,0))*(1+$B$4)^30)&gt;0,1+$B$3,1))</f>
        <v/>
      </c>
      <c r="AH139">
        <f>IF($B$1+31&gt;90,AG139,(AG139+IF($B$1+31&lt;=$B139,12*($B$7-$B$10),-12*MAX(0,($B$6+$B$10)-IF($B$1+31&gt;=$B$23,$B$22,0))*(1+$B$4)^31))*IF(AG139+IF($B$1+31&lt;=$B139,12*($B$7-$B$10),-12*MAX(0,($B$6+$B$10)-IF($B$1+31&gt;=$B$23,$B$22,0))*(1+$B$4)^31)&gt;0,1+$B$3,1))</f>
        <v/>
      </c>
      <c r="AI139">
        <f>IF($B$1+32&gt;90,AH139,(AH139+IF($B$1+32&lt;=$B139,12*($B$7-$B$10),-12*MAX(0,($B$6+$B$10)-IF($B$1+32&gt;=$B$23,$B$22,0))*(1+$B$4)^32))*IF(AH139+IF($B$1+32&lt;=$B139,12*($B$7-$B$10),-12*MAX(0,($B$6+$B$10)-IF($B$1+32&gt;=$B$23,$B$22,0))*(1+$B$4)^32)&gt;0,1+$B$3,1))</f>
        <v/>
      </c>
      <c r="AJ139">
        <f>IF($B$1+33&gt;90,AI139,(AI139+IF($B$1+33&lt;=$B139,12*($B$7-$B$10),-12*MAX(0,($B$6+$B$10)-IF($B$1+33&gt;=$B$23,$B$22,0))*(1+$B$4)^33))*IF(AI139+IF($B$1+33&lt;=$B139,12*($B$7-$B$10),-12*MAX(0,($B$6+$B$10)-IF($B$1+33&gt;=$B$23,$B$22,0))*(1+$B$4)^33)&gt;0,1+$B$3,1))</f>
        <v/>
      </c>
      <c r="AK139">
        <f>IF($B$1+34&gt;90,AJ139,(AJ139+IF($B$1+34&lt;=$B139,12*($B$7-$B$10),-12*MAX(0,($B$6+$B$10)-IF($B$1+34&gt;=$B$23,$B$22,0))*(1+$B$4)^34))*IF(AJ139+IF($B$1+34&lt;=$B139,12*($B$7-$B$10),-12*MAX(0,($B$6+$B$10)-IF($B$1+34&gt;=$B$23,$B$22,0))*(1+$B$4)^34)&gt;0,1+$B$3,1))</f>
        <v/>
      </c>
      <c r="AL139">
        <f>IF($B$1+35&gt;90,AK139,(AK139+IF($B$1+35&lt;=$B139,12*($B$7-$B$10),-12*MAX(0,($B$6+$B$10)-IF($B$1+35&gt;=$B$23,$B$22,0))*(1+$B$4)^35))*IF(AK139+IF($B$1+35&lt;=$B139,12*($B$7-$B$10),-12*MAX(0,($B$6+$B$10)-IF($B$1+35&gt;=$B$23,$B$22,0))*(1+$B$4)^35)&gt;0,1+$B$3,1))</f>
        <v/>
      </c>
      <c r="AM139">
        <f>IF($B$1+36&gt;90,AL139,(AL139+IF($B$1+36&lt;=$B139,12*($B$7-$B$10),-12*MAX(0,($B$6+$B$10)-IF($B$1+36&gt;=$B$23,$B$22,0))*(1+$B$4)^36))*IF(AL139+IF($B$1+36&lt;=$B139,12*($B$7-$B$10),-12*MAX(0,($B$6+$B$10)-IF($B$1+36&gt;=$B$23,$B$22,0))*(1+$B$4)^36)&gt;0,1+$B$3,1))</f>
        <v/>
      </c>
      <c r="AN139">
        <f>IF($B$1+37&gt;90,AM139,(AM139+IF($B$1+37&lt;=$B139,12*($B$7-$B$10),-12*MAX(0,($B$6+$B$10)-IF($B$1+37&gt;=$B$23,$B$22,0))*(1+$B$4)^37))*IF(AM139+IF($B$1+37&lt;=$B139,12*($B$7-$B$10),-12*MAX(0,($B$6+$B$10)-IF($B$1+37&gt;=$B$23,$B$22,0))*(1+$B$4)^37)&gt;0,1+$B$3,1))</f>
        <v/>
      </c>
      <c r="AO139">
        <f>IF($B$1+38&gt;90,AN139,(AN139+IF($B$1+38&lt;=$B139,12*($B$7-$B$10),-12*MAX(0,($B$6+$B$10)-IF($B$1+38&gt;=$B$23,$B$22,0))*(1+$B$4)^38))*IF(AN139+IF($B$1+38&lt;=$B139,12*($B$7-$B$10),-12*MAX(0,($B$6+$B$10)-IF($B$1+38&gt;=$B$23,$B$22,0))*(1+$B$4)^38)&gt;0,1+$B$3,1))</f>
        <v/>
      </c>
      <c r="AP139">
        <f>IF($B$1+39&gt;90,AO139,(AO139+IF($B$1+39&lt;=$B139,12*($B$7-$B$10),-12*MAX(0,($B$6+$B$10)-IF($B$1+39&gt;=$B$23,$B$22,0))*(1+$B$4)^39))*IF(AO139+IF($B$1+39&lt;=$B139,12*($B$7-$B$10),-12*MAX(0,($B$6+$B$10)-IF($B$1+39&gt;=$B$23,$B$22,0))*(1+$B$4)^39)&gt;0,1+$B$3,1))</f>
        <v/>
      </c>
      <c r="AQ139">
        <f>IF($B$1+40&gt;90,AP139,(AP139+IF($B$1+40&lt;=$B139,12*($B$7-$B$10),-12*MAX(0,($B$6+$B$10)-IF($B$1+40&gt;=$B$23,$B$22,0))*(1+$B$4)^40))*IF(AP139+IF($B$1+40&lt;=$B139,12*($B$7-$B$10),-12*MAX(0,($B$6+$B$10)-IF($B$1+40&gt;=$B$23,$B$22,0))*(1+$B$4)^40)&gt;0,1+$B$3,1))</f>
        <v/>
      </c>
      <c r="AR139">
        <f>IF($B$1+41&gt;90,AQ139,(AQ139+IF($B$1+41&lt;=$B139,12*($B$7-$B$10),-12*MAX(0,($B$6+$B$10)-IF($B$1+41&gt;=$B$23,$B$22,0))*(1+$B$4)^41))*IF(AQ139+IF($B$1+41&lt;=$B139,12*($B$7-$B$10),-12*MAX(0,($B$6+$B$10)-IF($B$1+41&gt;=$B$23,$B$22,0))*(1+$B$4)^41)&gt;0,1+$B$3,1))</f>
        <v/>
      </c>
      <c r="AS139">
        <f>IF($B$1+42&gt;90,AR139,(AR139+IF($B$1+42&lt;=$B139,12*($B$7-$B$10),-12*MAX(0,($B$6+$B$10)-IF($B$1+42&gt;=$B$23,$B$22,0))*(1+$B$4)^42))*IF(AR139+IF($B$1+42&lt;=$B139,12*($B$7-$B$10),-12*MAX(0,($B$6+$B$10)-IF($B$1+42&gt;=$B$23,$B$22,0))*(1+$B$4)^42)&gt;0,1+$B$3,1))</f>
        <v/>
      </c>
      <c r="AT139">
        <f>IF($B$1+43&gt;90,AS139,(AS139+IF($B$1+43&lt;=$B139,12*($B$7-$B$10),-12*MAX(0,($B$6+$B$10)-IF($B$1+43&gt;=$B$23,$B$22,0))*(1+$B$4)^43))*IF(AS139+IF($B$1+43&lt;=$B139,12*($B$7-$B$10),-12*MAX(0,($B$6+$B$10)-IF($B$1+43&gt;=$B$23,$B$22,0))*(1+$B$4)^43)&gt;0,1+$B$3,1))</f>
        <v/>
      </c>
      <c r="AU139">
        <f>IF($B$1+44&gt;90,AT139,(AT139+IF($B$1+44&lt;=$B139,12*($B$7-$B$10),-12*MAX(0,($B$6+$B$10)-IF($B$1+44&gt;=$B$23,$B$22,0))*(1+$B$4)^44))*IF(AT139+IF($B$1+44&lt;=$B139,12*($B$7-$B$10),-12*MAX(0,($B$6+$B$10)-IF($B$1+44&gt;=$B$23,$B$22,0))*(1+$B$4)^44)&gt;0,1+$B$3,1))</f>
        <v/>
      </c>
      <c r="AV139">
        <f>IF($B$1+45&gt;90,AU139,(AU139+IF($B$1+45&lt;=$B139,12*($B$7-$B$10),-12*MAX(0,($B$6+$B$10)-IF($B$1+45&gt;=$B$23,$B$22,0))*(1+$B$4)^45))*IF(AU139+IF($B$1+45&lt;=$B139,12*($B$7-$B$10),-12*MAX(0,($B$6+$B$10)-IF($B$1+45&gt;=$B$23,$B$22,0))*(1+$B$4)^45)&gt;0,1+$B$3,1))</f>
        <v/>
      </c>
      <c r="AW139">
        <f>IF($B$1+46&gt;90,AV139,(AV139+IF($B$1+46&lt;=$B139,12*($B$7-$B$10),-12*MAX(0,($B$6+$B$10)-IF($B$1+46&gt;=$B$23,$B$22,0))*(1+$B$4)^46))*IF(AV139+IF($B$1+46&lt;=$B139,12*($B$7-$B$10),-12*MAX(0,($B$6+$B$10)-IF($B$1+46&gt;=$B$23,$B$22,0))*(1+$B$4)^46)&gt;0,1+$B$3,1))</f>
        <v/>
      </c>
      <c r="AX139">
        <f>IF($B$1+47&gt;90,AW139,(AW139+IF($B$1+47&lt;=$B139,12*($B$7-$B$10),-12*MAX(0,($B$6+$B$10)-IF($B$1+47&gt;=$B$23,$B$22,0))*(1+$B$4)^47))*IF(AW139+IF($B$1+47&lt;=$B139,12*($B$7-$B$10),-12*MAX(0,($B$6+$B$10)-IF($B$1+47&gt;=$B$23,$B$22,0))*(1+$B$4)^47)&gt;0,1+$B$3,1))</f>
        <v/>
      </c>
      <c r="AY139">
        <f>IF($B$1+48&gt;90,AX139,(AX139+IF($B$1+48&lt;=$B139,12*($B$7-$B$10),-12*MAX(0,($B$6+$B$10)-IF($B$1+48&gt;=$B$23,$B$22,0))*(1+$B$4)^48))*IF(AX139+IF($B$1+48&lt;=$B139,12*($B$7-$B$10),-12*MAX(0,($B$6+$B$10)-IF($B$1+48&gt;=$B$23,$B$22,0))*(1+$B$4)^48)&gt;0,1+$B$3,1))</f>
        <v/>
      </c>
      <c r="AZ139">
        <f>IF($B$1+49&gt;90,AY139,(AY139+IF($B$1+49&lt;=$B139,12*($B$7-$B$10),-12*MAX(0,($B$6+$B$10)-IF($B$1+49&gt;=$B$23,$B$22,0))*(1+$B$4)^49))*IF(AY139+IF($B$1+49&lt;=$B139,12*($B$7-$B$10),-12*MAX(0,($B$6+$B$10)-IF($B$1+49&gt;=$B$23,$B$22,0))*(1+$B$4)^49)&gt;0,1+$B$3,1))</f>
        <v/>
      </c>
      <c r="BA139">
        <f>IF($B$1+50&gt;90,AZ139,(AZ139+IF($B$1+50&lt;=$B139,12*($B$7-$B$10),-12*MAX(0,($B$6+$B$10)-IF($B$1+50&gt;=$B$23,$B$22,0))*(1+$B$4)^50))*IF(AZ139+IF($B$1+50&lt;=$B139,12*($B$7-$B$10),-12*MAX(0,($B$6+$B$10)-IF($B$1+50&gt;=$B$23,$B$22,0))*(1+$B$4)^50)&gt;0,1+$B$3,1))</f>
        <v/>
      </c>
      <c r="BB139">
        <f>IF($B$1+51&gt;90,BA139,(BA139+IF($B$1+51&lt;=$B139,12*($B$7-$B$10),-12*MAX(0,($B$6+$B$10)-IF($B$1+51&gt;=$B$23,$B$22,0))*(1+$B$4)^51))*IF(BA139+IF($B$1+51&lt;=$B139,12*($B$7-$B$10),-12*MAX(0,($B$6+$B$10)-IF($B$1+51&gt;=$B$23,$B$22,0))*(1+$B$4)^51)&gt;0,1+$B$3,1))</f>
        <v/>
      </c>
      <c r="BC139">
        <f>IF($B$1+52&gt;90,BB139,(BB139+IF($B$1+52&lt;=$B139,12*($B$7-$B$10),-12*MAX(0,($B$6+$B$10)-IF($B$1+52&gt;=$B$23,$B$22,0))*(1+$B$4)^52))*IF(BB139+IF($B$1+52&lt;=$B139,12*($B$7-$B$10),-12*MAX(0,($B$6+$B$10)-IF($B$1+52&gt;=$B$23,$B$22,0))*(1+$B$4)^52)&gt;0,1+$B$3,1))</f>
        <v/>
      </c>
      <c r="BD139">
        <f>IF($B$1+53&gt;90,BC139,(BC139+IF($B$1+53&lt;=$B139,12*($B$7-$B$10),-12*MAX(0,($B$6+$B$10)-IF($B$1+53&gt;=$B$23,$B$22,0))*(1+$B$4)^53))*IF(BC139+IF($B$1+53&lt;=$B139,12*($B$7-$B$10),-12*MAX(0,($B$6+$B$10)-IF($B$1+53&gt;=$B$23,$B$22,0))*(1+$B$4)^53)&gt;0,1+$B$3,1))</f>
        <v/>
      </c>
      <c r="BE139">
        <f>IF($B$1+54&gt;90,BD139,(BD139+IF($B$1+54&lt;=$B139,12*($B$7-$B$10),-12*MAX(0,($B$6+$B$10)-IF($B$1+54&gt;=$B$23,$B$22,0))*(1+$B$4)^54))*IF(BD139+IF($B$1+54&lt;=$B139,12*($B$7-$B$10),-12*MAX(0,($B$6+$B$10)-IF($B$1+54&gt;=$B$23,$B$22,0))*(1+$B$4)^54)&gt;0,1+$B$3,1))</f>
        <v/>
      </c>
      <c r="BF139">
        <f>IF($B$1+55&gt;90,BE139,(BE139+IF($B$1+55&lt;=$B139,12*($B$7-$B$10),-12*MAX(0,($B$6+$B$10)-IF($B$1+55&gt;=$B$23,$B$22,0))*(1+$B$4)^55))*IF(BE139+IF($B$1+55&lt;=$B139,12*($B$7-$B$10),-12*MAX(0,($B$6+$B$10)-IF($B$1+55&gt;=$B$23,$B$22,0))*(1+$B$4)^55)&gt;0,1+$B$3,1))</f>
        <v/>
      </c>
      <c r="BG139">
        <f>IF($B$1+56&gt;90,BF139,(BF139+IF($B$1+56&lt;=$B139,12*($B$7-$B$10),-12*MAX(0,($B$6+$B$10)-IF($B$1+56&gt;=$B$23,$B$22,0))*(1+$B$4)^56))*IF(BF139+IF($B$1+56&lt;=$B139,12*($B$7-$B$10),-12*MAX(0,($B$6+$B$10)-IF($B$1+56&gt;=$B$23,$B$22,0))*(1+$B$4)^56)&gt;0,1+$B$3,1))</f>
        <v/>
      </c>
      <c r="BH139">
        <f>IF($B$1+57&gt;90,BG139,(BG139+IF($B$1+57&lt;=$B139,12*($B$7-$B$10),-12*MAX(0,($B$6+$B$10)-IF($B$1+57&gt;=$B$23,$B$22,0))*(1+$B$4)^57))*IF(BG139+IF($B$1+57&lt;=$B139,12*($B$7-$B$10),-12*MAX(0,($B$6+$B$10)-IF($B$1+57&gt;=$B$23,$B$22,0))*(1+$B$4)^57)&gt;0,1+$B$3,1))</f>
        <v/>
      </c>
      <c r="BI139">
        <f>IF($B$1+58&gt;90,BH139,(BH139+IF($B$1+58&lt;=$B139,12*($B$7-$B$10),-12*MAX(0,($B$6+$B$10)-IF($B$1+58&gt;=$B$23,$B$22,0))*(1+$B$4)^58))*IF(BH139+IF($B$1+58&lt;=$B139,12*($B$7-$B$10),-12*MAX(0,($B$6+$B$10)-IF($B$1+58&gt;=$B$23,$B$22,0))*(1+$B$4)^58)&gt;0,1+$B$3,1))</f>
        <v/>
      </c>
      <c r="BJ139">
        <f>IF($B$1+59&gt;90,BI139,(BI139+IF($B$1+59&lt;=$B139,12*($B$7-$B$10),-12*MAX(0,($B$6+$B$10)-IF($B$1+59&gt;=$B$23,$B$22,0))*(1+$B$4)^59))*IF(BI139+IF($B$1+59&lt;=$B139,12*($B$7-$B$10),-12*MAX(0,($B$6+$B$10)-IF($B$1+59&gt;=$B$23,$B$22,0))*(1+$B$4)^59)&gt;0,1+$B$3,1))</f>
        <v/>
      </c>
      <c r="BK139">
        <f>IF($B$1+60&gt;90,BJ139,(BJ139+IF($B$1+60&lt;=$B139,12*($B$7-$B$10),-12*MAX(0,($B$6+$B$10)-IF($B$1+60&gt;=$B$23,$B$22,0))*(1+$B$4)^60))*IF(BJ139+IF($B$1+60&lt;=$B139,12*($B$7-$B$10),-12*MAX(0,($B$6+$B$10)-IF($B$1+60&gt;=$B$23,$B$22,0))*(1+$B$4)^60)&gt;0,1+$B$3,1))</f>
        <v/>
      </c>
      <c r="BL139">
        <f>IF($B$1+61&gt;90,BK139,(BK139+IF($B$1+61&lt;=$B139,12*($B$7-$B$10),-12*MAX(0,($B$6+$B$10)-IF($B$1+61&gt;=$B$23,$B$22,0))*(1+$B$4)^61))*IF(BK139+IF($B$1+61&lt;=$B139,12*($B$7-$B$10),-12*MAX(0,($B$6+$B$10)-IF($B$1+61&gt;=$B$23,$B$22,0))*(1+$B$4)^61)&gt;0,1+$B$3,1))</f>
        <v/>
      </c>
      <c r="BM139">
        <f>IF($B$1+62&gt;90,BL139,(BL139+IF($B$1+62&lt;=$B139,12*($B$7-$B$10),-12*MAX(0,($B$6+$B$10)-IF($B$1+62&gt;=$B$23,$B$22,0))*(1+$B$4)^62))*IF(BL139+IF($B$1+62&lt;=$B139,12*($B$7-$B$10),-12*MAX(0,($B$6+$B$10)-IF($B$1+62&gt;=$B$23,$B$22,0))*(1+$B$4)^62)&gt;0,1+$B$3,1))</f>
        <v/>
      </c>
      <c r="BN139">
        <f>IF($B$1+63&gt;90,BM139,(BM139+IF($B$1+63&lt;=$B139,12*($B$7-$B$10),-12*MAX(0,($B$6+$B$10)-IF($B$1+63&gt;=$B$23,$B$22,0))*(1+$B$4)^63))*IF(BM139+IF($B$1+63&lt;=$B139,12*($B$7-$B$10),-12*MAX(0,($B$6+$B$10)-IF($B$1+63&gt;=$B$23,$B$22,0))*(1+$B$4)^63)&gt;0,1+$B$3,1))</f>
        <v/>
      </c>
      <c r="BO139">
        <f>IF($B$1+64&gt;90,BN139,(BN139+IF($B$1+64&lt;=$B139,12*($B$7-$B$10),-12*MAX(0,($B$6+$B$10)-IF($B$1+64&gt;=$B$23,$B$22,0))*(1+$B$4)^64))*IF(BN139+IF($B$1+64&lt;=$B139,12*($B$7-$B$10),-12*MAX(0,($B$6+$B$10)-IF($B$1+64&gt;=$B$23,$B$22,0))*(1+$B$4)^64)&gt;0,1+$B$3,1))</f>
        <v/>
      </c>
      <c r="BP139">
        <f>IF($B$1+65&gt;90,BO139,(BO139+IF($B$1+65&lt;=$B139,12*($B$7-$B$10),-12*MAX(0,($B$6+$B$10)-IF($B$1+65&gt;=$B$23,$B$22,0))*(1+$B$4)^65))*IF(BO139+IF($B$1+65&lt;=$B139,12*($B$7-$B$10),-12*MAX(0,($B$6+$B$10)-IF($B$1+65&gt;=$B$23,$B$22,0))*(1+$B$4)^65)&gt;0,1+$B$3,1))</f>
        <v/>
      </c>
      <c r="BQ139">
        <f>IF($B$1+66&gt;90,BP139,(BP139+IF($B$1+66&lt;=$B139,12*($B$7-$B$10),-12*MAX(0,($B$6+$B$10)-IF($B$1+66&gt;=$B$23,$B$22,0))*(1+$B$4)^66))*IF(BP139+IF($B$1+66&lt;=$B139,12*($B$7-$B$10),-12*MAX(0,($B$6+$B$10)-IF($B$1+66&gt;=$B$23,$B$22,0))*(1+$B$4)^66)&gt;0,1+$B$3,1))</f>
        <v/>
      </c>
      <c r="BR139">
        <f>IF($B$1+67&gt;90,BQ139,(BQ139+IF($B$1+67&lt;=$B139,12*($B$7-$B$10),-12*MAX(0,($B$6+$B$10)-IF($B$1+67&gt;=$B$23,$B$22,0))*(1+$B$4)^67))*IF(BQ139+IF($B$1+67&lt;=$B139,12*($B$7-$B$10),-12*MAX(0,($B$6+$B$10)-IF($B$1+67&gt;=$B$23,$B$22,0))*(1+$B$4)^67)&gt;0,1+$B$3,1))</f>
        <v/>
      </c>
      <c r="BS139">
        <f>IF($B$1+68&gt;90,BR139,(BR139+IF($B$1+68&lt;=$B139,12*($B$7-$B$10),-12*MAX(0,($B$6+$B$10)-IF($B$1+68&gt;=$B$23,$B$22,0))*(1+$B$4)^68))*IF(BR139+IF($B$1+68&lt;=$B139,12*($B$7-$B$10),-12*MAX(0,($B$6+$B$10)-IF($B$1+68&gt;=$B$23,$B$22,0))*(1+$B$4)^68)&gt;0,1+$B$3,1))</f>
        <v/>
      </c>
      <c r="BT139">
        <f>IF($B$1+69&gt;90,BS139,(BS139+IF($B$1+69&lt;=$B139,12*($B$7-$B$10),-12*MAX(0,($B$6+$B$10)-IF($B$1+69&gt;=$B$23,$B$22,0))*(1+$B$4)^69))*IF(BS139+IF($B$1+69&lt;=$B139,12*($B$7-$B$10),-12*MAX(0,($B$6+$B$10)-IF($B$1+69&gt;=$B$23,$B$22,0))*(1+$B$4)^69)&gt;0,1+$B$3,1))</f>
        <v/>
      </c>
      <c r="BU139">
        <f>IF($B$1+70&gt;90,BT139,(BT139+IF($B$1+70&lt;=$B139,12*($B$7-$B$10),-12*MAX(0,($B$6+$B$10)-IF($B$1+70&gt;=$B$23,$B$22,0))*(1+$B$4)^70))*IF(BT139+IF($B$1+70&lt;=$B139,12*($B$7-$B$10),-12*MAX(0,($B$6+$B$10)-IF($B$1+70&gt;=$B$23,$B$22,0))*(1+$B$4)^70)&gt;0,1+$B$3,1))</f>
        <v/>
      </c>
      <c r="BV139">
        <f>BU139</f>
        <v/>
      </c>
      <c r="BW139">
        <f>IF(AND($B139&lt;=70,BV139&gt;0),$B139,999)</f>
        <v/>
      </c>
      <c r="CH139">
        <f>IF(ISTEXT('월 가계부'!A139),SUBSTITUTE(SUBSTITUTE(SUBSTITUTE(SUBSTITUTE(SUBSTITUTE(SUBSTITUTE(SUBSTITUTE(SUBSTITUTE(SUBSTITUTE(TRIM('월 가계부'!A139),"년","-"),"월","-"),"일",""),".","-"),"/","-")," ","-"),"--","-"),"--","-"),"--","-")&amp;"-","")</f>
        <v/>
      </c>
      <c r="CI139">
        <f>IFERROR(IF('월 가계부'!A139="","",IF(ISNUMBER('월 가계부'!A139),IF(AND('월 가계부'!A139&gt;=19000101,'월 가계부'!A139&lt;=21001231),IF(AND(MOD(INT('월 가계부'!A139/100),100)&gt;=1,MOD(INT('월 가계부'!A139/100),100)&lt;=12,MOD(INT('월 가계부'!A139),100)&gt;=1,MOD(INT('월 가계부'!A139),100)&lt;=31),IF(MONTH(DATE(INT('월 가계부'!A139/10000),MOD(INT('월 가계부'!A139/100),100),MOD(INT('월 가계부'!A139),100)))=MOD(INT('월 가계부'!A139/100),100),DATE(INT('월 가계부'!A139/10000),MOD(INT('월 가계부'!A139/100),100),MOD(INT('월 가계부'!A139),100)),""),""),IF(AND('월 가계부'!A139&gt;=36526,'월 가계부'!A139&lt;73051),INT('월 가계부'!A139),"")),IF(OR(CM139="",CN139="",CO139=""),"",IF(AND(CM139&gt;=2000,CM139&lt;=2099,CN139&gt;=1,CN139&lt;=12,CO139&gt;=1,CO139&lt;=31),IF(MONTH(DATE(CM139,CN139,CO139))=CN139,DATE(CM139,CN139,CO139),""),"")))),"")</f>
        <v/>
      </c>
      <c r="CJ139">
        <f>IFERROR(IF('월 가계부'!C139="","",IF(ISNUMBER('월 가계부'!C139),'월 가계부'!C139,VALUE(SUBSTITUTE(SUBSTITUTE(SUBSTITUTE(SUBSTITUTE(TRIM('월 가계부'!C139),",",""),"원","")," ",""),"−","-")))),"")</f>
        <v/>
      </c>
      <c r="CK139">
        <f>IF(ISNUMBER(CI139),IF(CI139&lt;$B$13,CI139,""),"")</f>
        <v/>
      </c>
      <c r="CM139">
        <f>IF(CH139="","",IFERROR(IF(IF(AND(LEN(CH139)=9,ISERROR(FIND("-",LEFT(CH139,8))),ISNUMBER(-LEFT(CH139,8))),VALUE(LEFT(CH139,4)),VALUE(LEFT(CH139,FIND("-",CH139)-1)))&lt;100,IF(AND(LEN(CH139)=9,ISERROR(FIND("-",LEFT(CH139,8))),ISNUMBER(-LEFT(CH139,8))),VALUE(LEFT(CH139,4)),VALUE(LEFT(CH139,FIND("-",CH139)-1)))+2000,IF(AND(LEN(CH139)=9,ISERROR(FIND("-",LEFT(CH139,8))),ISNUMBER(-LEFT(CH139,8))),VALUE(LEFT(CH139,4)),VALUE(LEFT(CH139,FIND("-",CH139)-1)))),""))</f>
        <v/>
      </c>
      <c r="CN139">
        <f>IF(CH139="","",IFERROR(IF(AND(LEN(CH139)=9,ISERROR(FIND("-",LEFT(CH139,8))),ISNUMBER(-LEFT(CH139,8))),VALUE(MID(CH139,5,2)),VALUE(MID(CH139,FIND("-",CH139)+1,FIND("-",CH139,FIND("-",CH139)+1)-FIND("-",CH139)-1))),""))</f>
        <v/>
      </c>
      <c r="CO139">
        <f>IF(CH139="","",IFERROR(IF(AND(LEN(CH139)=9,ISERROR(FIND("-",LEFT(CH139,8))),ISNUMBER(-LEFT(CH139,8))),VALUE(MID(CH139,7,2)),VALUE(MID(CH139,FIND("-",CH139,FIND("-",CH139)+1)+1,FIND("-",CH139,FIND("-",CH139,FIND("-",CH139)+1)+1)-FIND("-",CH139,FIND("-",CH139)+1)-1))),""))</f>
        <v/>
      </c>
    </row>
    <row r="140">
      <c r="A140" t="n">
        <v>44</v>
      </c>
      <c r="B140">
        <f>$B$1+44</f>
        <v/>
      </c>
      <c r="C140">
        <f>$B$2</f>
        <v/>
      </c>
      <c r="D140">
        <f>IF($B$1+1&gt;90,C140,(C140+IF($B$1+1&lt;=$B140,12*($B$7-$B$10),-12*MAX(0,($B$6+$B$10)-IF($B$1+1&gt;=$B$23,$B$22,0))*(1+$B$4)^1))*IF(C140+IF($B$1+1&lt;=$B140,12*($B$7-$B$10),-12*MAX(0,($B$6+$B$10)-IF($B$1+1&gt;=$B$23,$B$22,0))*(1+$B$4)^1)&gt;0,1+$B$3,1))</f>
        <v/>
      </c>
      <c r="E140">
        <f>IF($B$1+2&gt;90,D140,(D140+IF($B$1+2&lt;=$B140,12*($B$7-$B$10),-12*MAX(0,($B$6+$B$10)-IF($B$1+2&gt;=$B$23,$B$22,0))*(1+$B$4)^2))*IF(D140+IF($B$1+2&lt;=$B140,12*($B$7-$B$10),-12*MAX(0,($B$6+$B$10)-IF($B$1+2&gt;=$B$23,$B$22,0))*(1+$B$4)^2)&gt;0,1+$B$3,1))</f>
        <v/>
      </c>
      <c r="F140">
        <f>IF($B$1+3&gt;90,E140,(E140+IF($B$1+3&lt;=$B140,12*($B$7-$B$10),-12*MAX(0,($B$6+$B$10)-IF($B$1+3&gt;=$B$23,$B$22,0))*(1+$B$4)^3))*IF(E140+IF($B$1+3&lt;=$B140,12*($B$7-$B$10),-12*MAX(0,($B$6+$B$10)-IF($B$1+3&gt;=$B$23,$B$22,0))*(1+$B$4)^3)&gt;0,1+$B$3,1))</f>
        <v/>
      </c>
      <c r="G140">
        <f>IF($B$1+4&gt;90,F140,(F140+IF($B$1+4&lt;=$B140,12*($B$7-$B$10),-12*MAX(0,($B$6+$B$10)-IF($B$1+4&gt;=$B$23,$B$22,0))*(1+$B$4)^4))*IF(F140+IF($B$1+4&lt;=$B140,12*($B$7-$B$10),-12*MAX(0,($B$6+$B$10)-IF($B$1+4&gt;=$B$23,$B$22,0))*(1+$B$4)^4)&gt;0,1+$B$3,1))</f>
        <v/>
      </c>
      <c r="H140">
        <f>IF($B$1+5&gt;90,G140,(G140+IF($B$1+5&lt;=$B140,12*($B$7-$B$10),-12*MAX(0,($B$6+$B$10)-IF($B$1+5&gt;=$B$23,$B$22,0))*(1+$B$4)^5))*IF(G140+IF($B$1+5&lt;=$B140,12*($B$7-$B$10),-12*MAX(0,($B$6+$B$10)-IF($B$1+5&gt;=$B$23,$B$22,0))*(1+$B$4)^5)&gt;0,1+$B$3,1))</f>
        <v/>
      </c>
      <c r="I140">
        <f>IF($B$1+6&gt;90,H140,(H140+IF($B$1+6&lt;=$B140,12*($B$7-$B$10),-12*MAX(0,($B$6+$B$10)-IF($B$1+6&gt;=$B$23,$B$22,0))*(1+$B$4)^6))*IF(H140+IF($B$1+6&lt;=$B140,12*($B$7-$B$10),-12*MAX(0,($B$6+$B$10)-IF($B$1+6&gt;=$B$23,$B$22,0))*(1+$B$4)^6)&gt;0,1+$B$3,1))</f>
        <v/>
      </c>
      <c r="J140">
        <f>IF($B$1+7&gt;90,I140,(I140+IF($B$1+7&lt;=$B140,12*($B$7-$B$10),-12*MAX(0,($B$6+$B$10)-IF($B$1+7&gt;=$B$23,$B$22,0))*(1+$B$4)^7))*IF(I140+IF($B$1+7&lt;=$B140,12*($B$7-$B$10),-12*MAX(0,($B$6+$B$10)-IF($B$1+7&gt;=$B$23,$B$22,0))*(1+$B$4)^7)&gt;0,1+$B$3,1))</f>
        <v/>
      </c>
      <c r="K140">
        <f>IF($B$1+8&gt;90,J140,(J140+IF($B$1+8&lt;=$B140,12*($B$7-$B$10),-12*MAX(0,($B$6+$B$10)-IF($B$1+8&gt;=$B$23,$B$22,0))*(1+$B$4)^8))*IF(J140+IF($B$1+8&lt;=$B140,12*($B$7-$B$10),-12*MAX(0,($B$6+$B$10)-IF($B$1+8&gt;=$B$23,$B$22,0))*(1+$B$4)^8)&gt;0,1+$B$3,1))</f>
        <v/>
      </c>
      <c r="L140">
        <f>IF($B$1+9&gt;90,K140,(K140+IF($B$1+9&lt;=$B140,12*($B$7-$B$10),-12*MAX(0,($B$6+$B$10)-IF($B$1+9&gt;=$B$23,$B$22,0))*(1+$B$4)^9))*IF(K140+IF($B$1+9&lt;=$B140,12*($B$7-$B$10),-12*MAX(0,($B$6+$B$10)-IF($B$1+9&gt;=$B$23,$B$22,0))*(1+$B$4)^9)&gt;0,1+$B$3,1))</f>
        <v/>
      </c>
      <c r="M140">
        <f>IF($B$1+10&gt;90,L140,(L140+IF($B$1+10&lt;=$B140,12*($B$7-$B$10),-12*MAX(0,($B$6+$B$10)-IF($B$1+10&gt;=$B$23,$B$22,0))*(1+$B$4)^10))*IF(L140+IF($B$1+10&lt;=$B140,12*($B$7-$B$10),-12*MAX(0,($B$6+$B$10)-IF($B$1+10&gt;=$B$23,$B$22,0))*(1+$B$4)^10)&gt;0,1+$B$3,1))</f>
        <v/>
      </c>
      <c r="N140">
        <f>IF($B$1+11&gt;90,M140,(M140+IF($B$1+11&lt;=$B140,12*($B$7-$B$10),-12*MAX(0,($B$6+$B$10)-IF($B$1+11&gt;=$B$23,$B$22,0))*(1+$B$4)^11))*IF(M140+IF($B$1+11&lt;=$B140,12*($B$7-$B$10),-12*MAX(0,($B$6+$B$10)-IF($B$1+11&gt;=$B$23,$B$22,0))*(1+$B$4)^11)&gt;0,1+$B$3,1))</f>
        <v/>
      </c>
      <c r="O140">
        <f>IF($B$1+12&gt;90,N140,(N140+IF($B$1+12&lt;=$B140,12*($B$7-$B$10),-12*MAX(0,($B$6+$B$10)-IF($B$1+12&gt;=$B$23,$B$22,0))*(1+$B$4)^12))*IF(N140+IF($B$1+12&lt;=$B140,12*($B$7-$B$10),-12*MAX(0,($B$6+$B$10)-IF($B$1+12&gt;=$B$23,$B$22,0))*(1+$B$4)^12)&gt;0,1+$B$3,1))</f>
        <v/>
      </c>
      <c r="P140">
        <f>IF($B$1+13&gt;90,O140,(O140+IF($B$1+13&lt;=$B140,12*($B$7-$B$10),-12*MAX(0,($B$6+$B$10)-IF($B$1+13&gt;=$B$23,$B$22,0))*(1+$B$4)^13))*IF(O140+IF($B$1+13&lt;=$B140,12*($B$7-$B$10),-12*MAX(0,($B$6+$B$10)-IF($B$1+13&gt;=$B$23,$B$22,0))*(1+$B$4)^13)&gt;0,1+$B$3,1))</f>
        <v/>
      </c>
      <c r="Q140">
        <f>IF($B$1+14&gt;90,P140,(P140+IF($B$1+14&lt;=$B140,12*($B$7-$B$10),-12*MAX(0,($B$6+$B$10)-IF($B$1+14&gt;=$B$23,$B$22,0))*(1+$B$4)^14))*IF(P140+IF($B$1+14&lt;=$B140,12*($B$7-$B$10),-12*MAX(0,($B$6+$B$10)-IF($B$1+14&gt;=$B$23,$B$22,0))*(1+$B$4)^14)&gt;0,1+$B$3,1))</f>
        <v/>
      </c>
      <c r="R140">
        <f>IF($B$1+15&gt;90,Q140,(Q140+IF($B$1+15&lt;=$B140,12*($B$7-$B$10),-12*MAX(0,($B$6+$B$10)-IF($B$1+15&gt;=$B$23,$B$22,0))*(1+$B$4)^15))*IF(Q140+IF($B$1+15&lt;=$B140,12*($B$7-$B$10),-12*MAX(0,($B$6+$B$10)-IF($B$1+15&gt;=$B$23,$B$22,0))*(1+$B$4)^15)&gt;0,1+$B$3,1))</f>
        <v/>
      </c>
      <c r="S140">
        <f>IF($B$1+16&gt;90,R140,(R140+IF($B$1+16&lt;=$B140,12*($B$7-$B$10),-12*MAX(0,($B$6+$B$10)-IF($B$1+16&gt;=$B$23,$B$22,0))*(1+$B$4)^16))*IF(R140+IF($B$1+16&lt;=$B140,12*($B$7-$B$10),-12*MAX(0,($B$6+$B$10)-IF($B$1+16&gt;=$B$23,$B$22,0))*(1+$B$4)^16)&gt;0,1+$B$3,1))</f>
        <v/>
      </c>
      <c r="T140">
        <f>IF($B$1+17&gt;90,S140,(S140+IF($B$1+17&lt;=$B140,12*($B$7-$B$10),-12*MAX(0,($B$6+$B$10)-IF($B$1+17&gt;=$B$23,$B$22,0))*(1+$B$4)^17))*IF(S140+IF($B$1+17&lt;=$B140,12*($B$7-$B$10),-12*MAX(0,($B$6+$B$10)-IF($B$1+17&gt;=$B$23,$B$22,0))*(1+$B$4)^17)&gt;0,1+$B$3,1))</f>
        <v/>
      </c>
      <c r="U140">
        <f>IF($B$1+18&gt;90,T140,(T140+IF($B$1+18&lt;=$B140,12*($B$7-$B$10),-12*MAX(0,($B$6+$B$10)-IF($B$1+18&gt;=$B$23,$B$22,0))*(1+$B$4)^18))*IF(T140+IF($B$1+18&lt;=$B140,12*($B$7-$B$10),-12*MAX(0,($B$6+$B$10)-IF($B$1+18&gt;=$B$23,$B$22,0))*(1+$B$4)^18)&gt;0,1+$B$3,1))</f>
        <v/>
      </c>
      <c r="V140">
        <f>IF($B$1+19&gt;90,U140,(U140+IF($B$1+19&lt;=$B140,12*($B$7-$B$10),-12*MAX(0,($B$6+$B$10)-IF($B$1+19&gt;=$B$23,$B$22,0))*(1+$B$4)^19))*IF(U140+IF($B$1+19&lt;=$B140,12*($B$7-$B$10),-12*MAX(0,($B$6+$B$10)-IF($B$1+19&gt;=$B$23,$B$22,0))*(1+$B$4)^19)&gt;0,1+$B$3,1))</f>
        <v/>
      </c>
      <c r="W140">
        <f>IF($B$1+20&gt;90,V140,(V140+IF($B$1+20&lt;=$B140,12*($B$7-$B$10),-12*MAX(0,($B$6+$B$10)-IF($B$1+20&gt;=$B$23,$B$22,0))*(1+$B$4)^20))*IF(V140+IF($B$1+20&lt;=$B140,12*($B$7-$B$10),-12*MAX(0,($B$6+$B$10)-IF($B$1+20&gt;=$B$23,$B$22,0))*(1+$B$4)^20)&gt;0,1+$B$3,1))</f>
        <v/>
      </c>
      <c r="X140">
        <f>IF($B$1+21&gt;90,W140,(W140+IF($B$1+21&lt;=$B140,12*($B$7-$B$10),-12*MAX(0,($B$6+$B$10)-IF($B$1+21&gt;=$B$23,$B$22,0))*(1+$B$4)^21))*IF(W140+IF($B$1+21&lt;=$B140,12*($B$7-$B$10),-12*MAX(0,($B$6+$B$10)-IF($B$1+21&gt;=$B$23,$B$22,0))*(1+$B$4)^21)&gt;0,1+$B$3,1))</f>
        <v/>
      </c>
      <c r="Y140">
        <f>IF($B$1+22&gt;90,X140,(X140+IF($B$1+22&lt;=$B140,12*($B$7-$B$10),-12*MAX(0,($B$6+$B$10)-IF($B$1+22&gt;=$B$23,$B$22,0))*(1+$B$4)^22))*IF(X140+IF($B$1+22&lt;=$B140,12*($B$7-$B$10),-12*MAX(0,($B$6+$B$10)-IF($B$1+22&gt;=$B$23,$B$22,0))*(1+$B$4)^22)&gt;0,1+$B$3,1))</f>
        <v/>
      </c>
      <c r="Z140">
        <f>IF($B$1+23&gt;90,Y140,(Y140+IF($B$1+23&lt;=$B140,12*($B$7-$B$10),-12*MAX(0,($B$6+$B$10)-IF($B$1+23&gt;=$B$23,$B$22,0))*(1+$B$4)^23))*IF(Y140+IF($B$1+23&lt;=$B140,12*($B$7-$B$10),-12*MAX(0,($B$6+$B$10)-IF($B$1+23&gt;=$B$23,$B$22,0))*(1+$B$4)^23)&gt;0,1+$B$3,1))</f>
        <v/>
      </c>
      <c r="AA140">
        <f>IF($B$1+24&gt;90,Z140,(Z140+IF($B$1+24&lt;=$B140,12*($B$7-$B$10),-12*MAX(0,($B$6+$B$10)-IF($B$1+24&gt;=$B$23,$B$22,0))*(1+$B$4)^24))*IF(Z140+IF($B$1+24&lt;=$B140,12*($B$7-$B$10),-12*MAX(0,($B$6+$B$10)-IF($B$1+24&gt;=$B$23,$B$22,0))*(1+$B$4)^24)&gt;0,1+$B$3,1))</f>
        <v/>
      </c>
      <c r="AB140">
        <f>IF($B$1+25&gt;90,AA140,(AA140+IF($B$1+25&lt;=$B140,12*($B$7-$B$10),-12*MAX(0,($B$6+$B$10)-IF($B$1+25&gt;=$B$23,$B$22,0))*(1+$B$4)^25))*IF(AA140+IF($B$1+25&lt;=$B140,12*($B$7-$B$10),-12*MAX(0,($B$6+$B$10)-IF($B$1+25&gt;=$B$23,$B$22,0))*(1+$B$4)^25)&gt;0,1+$B$3,1))</f>
        <v/>
      </c>
      <c r="AC140">
        <f>IF($B$1+26&gt;90,AB140,(AB140+IF($B$1+26&lt;=$B140,12*($B$7-$B$10),-12*MAX(0,($B$6+$B$10)-IF($B$1+26&gt;=$B$23,$B$22,0))*(1+$B$4)^26))*IF(AB140+IF($B$1+26&lt;=$B140,12*($B$7-$B$10),-12*MAX(0,($B$6+$B$10)-IF($B$1+26&gt;=$B$23,$B$22,0))*(1+$B$4)^26)&gt;0,1+$B$3,1))</f>
        <v/>
      </c>
      <c r="AD140">
        <f>IF($B$1+27&gt;90,AC140,(AC140+IF($B$1+27&lt;=$B140,12*($B$7-$B$10),-12*MAX(0,($B$6+$B$10)-IF($B$1+27&gt;=$B$23,$B$22,0))*(1+$B$4)^27))*IF(AC140+IF($B$1+27&lt;=$B140,12*($B$7-$B$10),-12*MAX(0,($B$6+$B$10)-IF($B$1+27&gt;=$B$23,$B$22,0))*(1+$B$4)^27)&gt;0,1+$B$3,1))</f>
        <v/>
      </c>
      <c r="AE140">
        <f>IF($B$1+28&gt;90,AD140,(AD140+IF($B$1+28&lt;=$B140,12*($B$7-$B$10),-12*MAX(0,($B$6+$B$10)-IF($B$1+28&gt;=$B$23,$B$22,0))*(1+$B$4)^28))*IF(AD140+IF($B$1+28&lt;=$B140,12*($B$7-$B$10),-12*MAX(0,($B$6+$B$10)-IF($B$1+28&gt;=$B$23,$B$22,0))*(1+$B$4)^28)&gt;0,1+$B$3,1))</f>
        <v/>
      </c>
      <c r="AF140">
        <f>IF($B$1+29&gt;90,AE140,(AE140+IF($B$1+29&lt;=$B140,12*($B$7-$B$10),-12*MAX(0,($B$6+$B$10)-IF($B$1+29&gt;=$B$23,$B$22,0))*(1+$B$4)^29))*IF(AE140+IF($B$1+29&lt;=$B140,12*($B$7-$B$10),-12*MAX(0,($B$6+$B$10)-IF($B$1+29&gt;=$B$23,$B$22,0))*(1+$B$4)^29)&gt;0,1+$B$3,1))</f>
        <v/>
      </c>
      <c r="AG140">
        <f>IF($B$1+30&gt;90,AF140,(AF140+IF($B$1+30&lt;=$B140,12*($B$7-$B$10),-12*MAX(0,($B$6+$B$10)-IF($B$1+30&gt;=$B$23,$B$22,0))*(1+$B$4)^30))*IF(AF140+IF($B$1+30&lt;=$B140,12*($B$7-$B$10),-12*MAX(0,($B$6+$B$10)-IF($B$1+30&gt;=$B$23,$B$22,0))*(1+$B$4)^30)&gt;0,1+$B$3,1))</f>
        <v/>
      </c>
      <c r="AH140">
        <f>IF($B$1+31&gt;90,AG140,(AG140+IF($B$1+31&lt;=$B140,12*($B$7-$B$10),-12*MAX(0,($B$6+$B$10)-IF($B$1+31&gt;=$B$23,$B$22,0))*(1+$B$4)^31))*IF(AG140+IF($B$1+31&lt;=$B140,12*($B$7-$B$10),-12*MAX(0,($B$6+$B$10)-IF($B$1+31&gt;=$B$23,$B$22,0))*(1+$B$4)^31)&gt;0,1+$B$3,1))</f>
        <v/>
      </c>
      <c r="AI140">
        <f>IF($B$1+32&gt;90,AH140,(AH140+IF($B$1+32&lt;=$B140,12*($B$7-$B$10),-12*MAX(0,($B$6+$B$10)-IF($B$1+32&gt;=$B$23,$B$22,0))*(1+$B$4)^32))*IF(AH140+IF($B$1+32&lt;=$B140,12*($B$7-$B$10),-12*MAX(0,($B$6+$B$10)-IF($B$1+32&gt;=$B$23,$B$22,0))*(1+$B$4)^32)&gt;0,1+$B$3,1))</f>
        <v/>
      </c>
      <c r="AJ140">
        <f>IF($B$1+33&gt;90,AI140,(AI140+IF($B$1+33&lt;=$B140,12*($B$7-$B$10),-12*MAX(0,($B$6+$B$10)-IF($B$1+33&gt;=$B$23,$B$22,0))*(1+$B$4)^33))*IF(AI140+IF($B$1+33&lt;=$B140,12*($B$7-$B$10),-12*MAX(0,($B$6+$B$10)-IF($B$1+33&gt;=$B$23,$B$22,0))*(1+$B$4)^33)&gt;0,1+$B$3,1))</f>
        <v/>
      </c>
      <c r="AK140">
        <f>IF($B$1+34&gt;90,AJ140,(AJ140+IF($B$1+34&lt;=$B140,12*($B$7-$B$10),-12*MAX(0,($B$6+$B$10)-IF($B$1+34&gt;=$B$23,$B$22,0))*(1+$B$4)^34))*IF(AJ140+IF($B$1+34&lt;=$B140,12*($B$7-$B$10),-12*MAX(0,($B$6+$B$10)-IF($B$1+34&gt;=$B$23,$B$22,0))*(1+$B$4)^34)&gt;0,1+$B$3,1))</f>
        <v/>
      </c>
      <c r="AL140">
        <f>IF($B$1+35&gt;90,AK140,(AK140+IF($B$1+35&lt;=$B140,12*($B$7-$B$10),-12*MAX(0,($B$6+$B$10)-IF($B$1+35&gt;=$B$23,$B$22,0))*(1+$B$4)^35))*IF(AK140+IF($B$1+35&lt;=$B140,12*($B$7-$B$10),-12*MAX(0,($B$6+$B$10)-IF($B$1+35&gt;=$B$23,$B$22,0))*(1+$B$4)^35)&gt;0,1+$B$3,1))</f>
        <v/>
      </c>
      <c r="AM140">
        <f>IF($B$1+36&gt;90,AL140,(AL140+IF($B$1+36&lt;=$B140,12*($B$7-$B$10),-12*MAX(0,($B$6+$B$10)-IF($B$1+36&gt;=$B$23,$B$22,0))*(1+$B$4)^36))*IF(AL140+IF($B$1+36&lt;=$B140,12*($B$7-$B$10),-12*MAX(0,($B$6+$B$10)-IF($B$1+36&gt;=$B$23,$B$22,0))*(1+$B$4)^36)&gt;0,1+$B$3,1))</f>
        <v/>
      </c>
      <c r="AN140">
        <f>IF($B$1+37&gt;90,AM140,(AM140+IF($B$1+37&lt;=$B140,12*($B$7-$B$10),-12*MAX(0,($B$6+$B$10)-IF($B$1+37&gt;=$B$23,$B$22,0))*(1+$B$4)^37))*IF(AM140+IF($B$1+37&lt;=$B140,12*($B$7-$B$10),-12*MAX(0,($B$6+$B$10)-IF($B$1+37&gt;=$B$23,$B$22,0))*(1+$B$4)^37)&gt;0,1+$B$3,1))</f>
        <v/>
      </c>
      <c r="AO140">
        <f>IF($B$1+38&gt;90,AN140,(AN140+IF($B$1+38&lt;=$B140,12*($B$7-$B$10),-12*MAX(0,($B$6+$B$10)-IF($B$1+38&gt;=$B$23,$B$22,0))*(1+$B$4)^38))*IF(AN140+IF($B$1+38&lt;=$B140,12*($B$7-$B$10),-12*MAX(0,($B$6+$B$10)-IF($B$1+38&gt;=$B$23,$B$22,0))*(1+$B$4)^38)&gt;0,1+$B$3,1))</f>
        <v/>
      </c>
      <c r="AP140">
        <f>IF($B$1+39&gt;90,AO140,(AO140+IF($B$1+39&lt;=$B140,12*($B$7-$B$10),-12*MAX(0,($B$6+$B$10)-IF($B$1+39&gt;=$B$23,$B$22,0))*(1+$B$4)^39))*IF(AO140+IF($B$1+39&lt;=$B140,12*($B$7-$B$10),-12*MAX(0,($B$6+$B$10)-IF($B$1+39&gt;=$B$23,$B$22,0))*(1+$B$4)^39)&gt;0,1+$B$3,1))</f>
        <v/>
      </c>
      <c r="AQ140">
        <f>IF($B$1+40&gt;90,AP140,(AP140+IF($B$1+40&lt;=$B140,12*($B$7-$B$10),-12*MAX(0,($B$6+$B$10)-IF($B$1+40&gt;=$B$23,$B$22,0))*(1+$B$4)^40))*IF(AP140+IF($B$1+40&lt;=$B140,12*($B$7-$B$10),-12*MAX(0,($B$6+$B$10)-IF($B$1+40&gt;=$B$23,$B$22,0))*(1+$B$4)^40)&gt;0,1+$B$3,1))</f>
        <v/>
      </c>
      <c r="AR140">
        <f>IF($B$1+41&gt;90,AQ140,(AQ140+IF($B$1+41&lt;=$B140,12*($B$7-$B$10),-12*MAX(0,($B$6+$B$10)-IF($B$1+41&gt;=$B$23,$B$22,0))*(1+$B$4)^41))*IF(AQ140+IF($B$1+41&lt;=$B140,12*($B$7-$B$10),-12*MAX(0,($B$6+$B$10)-IF($B$1+41&gt;=$B$23,$B$22,0))*(1+$B$4)^41)&gt;0,1+$B$3,1))</f>
        <v/>
      </c>
      <c r="AS140">
        <f>IF($B$1+42&gt;90,AR140,(AR140+IF($B$1+42&lt;=$B140,12*($B$7-$B$10),-12*MAX(0,($B$6+$B$10)-IF($B$1+42&gt;=$B$23,$B$22,0))*(1+$B$4)^42))*IF(AR140+IF($B$1+42&lt;=$B140,12*($B$7-$B$10),-12*MAX(0,($B$6+$B$10)-IF($B$1+42&gt;=$B$23,$B$22,0))*(1+$B$4)^42)&gt;0,1+$B$3,1))</f>
        <v/>
      </c>
      <c r="AT140">
        <f>IF($B$1+43&gt;90,AS140,(AS140+IF($B$1+43&lt;=$B140,12*($B$7-$B$10),-12*MAX(0,($B$6+$B$10)-IF($B$1+43&gt;=$B$23,$B$22,0))*(1+$B$4)^43))*IF(AS140+IF($B$1+43&lt;=$B140,12*($B$7-$B$10),-12*MAX(0,($B$6+$B$10)-IF($B$1+43&gt;=$B$23,$B$22,0))*(1+$B$4)^43)&gt;0,1+$B$3,1))</f>
        <v/>
      </c>
      <c r="AU140">
        <f>IF($B$1+44&gt;90,AT140,(AT140+IF($B$1+44&lt;=$B140,12*($B$7-$B$10),-12*MAX(0,($B$6+$B$10)-IF($B$1+44&gt;=$B$23,$B$22,0))*(1+$B$4)^44))*IF(AT140+IF($B$1+44&lt;=$B140,12*($B$7-$B$10),-12*MAX(0,($B$6+$B$10)-IF($B$1+44&gt;=$B$23,$B$22,0))*(1+$B$4)^44)&gt;0,1+$B$3,1))</f>
        <v/>
      </c>
      <c r="AV140">
        <f>IF($B$1+45&gt;90,AU140,(AU140+IF($B$1+45&lt;=$B140,12*($B$7-$B$10),-12*MAX(0,($B$6+$B$10)-IF($B$1+45&gt;=$B$23,$B$22,0))*(1+$B$4)^45))*IF(AU140+IF($B$1+45&lt;=$B140,12*($B$7-$B$10),-12*MAX(0,($B$6+$B$10)-IF($B$1+45&gt;=$B$23,$B$22,0))*(1+$B$4)^45)&gt;0,1+$B$3,1))</f>
        <v/>
      </c>
      <c r="AW140">
        <f>IF($B$1+46&gt;90,AV140,(AV140+IF($B$1+46&lt;=$B140,12*($B$7-$B$10),-12*MAX(0,($B$6+$B$10)-IF($B$1+46&gt;=$B$23,$B$22,0))*(1+$B$4)^46))*IF(AV140+IF($B$1+46&lt;=$B140,12*($B$7-$B$10),-12*MAX(0,($B$6+$B$10)-IF($B$1+46&gt;=$B$23,$B$22,0))*(1+$B$4)^46)&gt;0,1+$B$3,1))</f>
        <v/>
      </c>
      <c r="AX140">
        <f>IF($B$1+47&gt;90,AW140,(AW140+IF($B$1+47&lt;=$B140,12*($B$7-$B$10),-12*MAX(0,($B$6+$B$10)-IF($B$1+47&gt;=$B$23,$B$22,0))*(1+$B$4)^47))*IF(AW140+IF($B$1+47&lt;=$B140,12*($B$7-$B$10),-12*MAX(0,($B$6+$B$10)-IF($B$1+47&gt;=$B$23,$B$22,0))*(1+$B$4)^47)&gt;0,1+$B$3,1))</f>
        <v/>
      </c>
      <c r="AY140">
        <f>IF($B$1+48&gt;90,AX140,(AX140+IF($B$1+48&lt;=$B140,12*($B$7-$B$10),-12*MAX(0,($B$6+$B$10)-IF($B$1+48&gt;=$B$23,$B$22,0))*(1+$B$4)^48))*IF(AX140+IF($B$1+48&lt;=$B140,12*($B$7-$B$10),-12*MAX(0,($B$6+$B$10)-IF($B$1+48&gt;=$B$23,$B$22,0))*(1+$B$4)^48)&gt;0,1+$B$3,1))</f>
        <v/>
      </c>
      <c r="AZ140">
        <f>IF($B$1+49&gt;90,AY140,(AY140+IF($B$1+49&lt;=$B140,12*($B$7-$B$10),-12*MAX(0,($B$6+$B$10)-IF($B$1+49&gt;=$B$23,$B$22,0))*(1+$B$4)^49))*IF(AY140+IF($B$1+49&lt;=$B140,12*($B$7-$B$10),-12*MAX(0,($B$6+$B$10)-IF($B$1+49&gt;=$B$23,$B$22,0))*(1+$B$4)^49)&gt;0,1+$B$3,1))</f>
        <v/>
      </c>
      <c r="BA140">
        <f>IF($B$1+50&gt;90,AZ140,(AZ140+IF($B$1+50&lt;=$B140,12*($B$7-$B$10),-12*MAX(0,($B$6+$B$10)-IF($B$1+50&gt;=$B$23,$B$22,0))*(1+$B$4)^50))*IF(AZ140+IF($B$1+50&lt;=$B140,12*($B$7-$B$10),-12*MAX(0,($B$6+$B$10)-IF($B$1+50&gt;=$B$23,$B$22,0))*(1+$B$4)^50)&gt;0,1+$B$3,1))</f>
        <v/>
      </c>
      <c r="BB140">
        <f>IF($B$1+51&gt;90,BA140,(BA140+IF($B$1+51&lt;=$B140,12*($B$7-$B$10),-12*MAX(0,($B$6+$B$10)-IF($B$1+51&gt;=$B$23,$B$22,0))*(1+$B$4)^51))*IF(BA140+IF($B$1+51&lt;=$B140,12*($B$7-$B$10),-12*MAX(0,($B$6+$B$10)-IF($B$1+51&gt;=$B$23,$B$22,0))*(1+$B$4)^51)&gt;0,1+$B$3,1))</f>
        <v/>
      </c>
      <c r="BC140">
        <f>IF($B$1+52&gt;90,BB140,(BB140+IF($B$1+52&lt;=$B140,12*($B$7-$B$10),-12*MAX(0,($B$6+$B$10)-IF($B$1+52&gt;=$B$23,$B$22,0))*(1+$B$4)^52))*IF(BB140+IF($B$1+52&lt;=$B140,12*($B$7-$B$10),-12*MAX(0,($B$6+$B$10)-IF($B$1+52&gt;=$B$23,$B$22,0))*(1+$B$4)^52)&gt;0,1+$B$3,1))</f>
        <v/>
      </c>
      <c r="BD140">
        <f>IF($B$1+53&gt;90,BC140,(BC140+IF($B$1+53&lt;=$B140,12*($B$7-$B$10),-12*MAX(0,($B$6+$B$10)-IF($B$1+53&gt;=$B$23,$B$22,0))*(1+$B$4)^53))*IF(BC140+IF($B$1+53&lt;=$B140,12*($B$7-$B$10),-12*MAX(0,($B$6+$B$10)-IF($B$1+53&gt;=$B$23,$B$22,0))*(1+$B$4)^53)&gt;0,1+$B$3,1))</f>
        <v/>
      </c>
      <c r="BE140">
        <f>IF($B$1+54&gt;90,BD140,(BD140+IF($B$1+54&lt;=$B140,12*($B$7-$B$10),-12*MAX(0,($B$6+$B$10)-IF($B$1+54&gt;=$B$23,$B$22,0))*(1+$B$4)^54))*IF(BD140+IF($B$1+54&lt;=$B140,12*($B$7-$B$10),-12*MAX(0,($B$6+$B$10)-IF($B$1+54&gt;=$B$23,$B$22,0))*(1+$B$4)^54)&gt;0,1+$B$3,1))</f>
        <v/>
      </c>
      <c r="BF140">
        <f>IF($B$1+55&gt;90,BE140,(BE140+IF($B$1+55&lt;=$B140,12*($B$7-$B$10),-12*MAX(0,($B$6+$B$10)-IF($B$1+55&gt;=$B$23,$B$22,0))*(1+$B$4)^55))*IF(BE140+IF($B$1+55&lt;=$B140,12*($B$7-$B$10),-12*MAX(0,($B$6+$B$10)-IF($B$1+55&gt;=$B$23,$B$22,0))*(1+$B$4)^55)&gt;0,1+$B$3,1))</f>
        <v/>
      </c>
      <c r="BG140">
        <f>IF($B$1+56&gt;90,BF140,(BF140+IF($B$1+56&lt;=$B140,12*($B$7-$B$10),-12*MAX(0,($B$6+$B$10)-IF($B$1+56&gt;=$B$23,$B$22,0))*(1+$B$4)^56))*IF(BF140+IF($B$1+56&lt;=$B140,12*($B$7-$B$10),-12*MAX(0,($B$6+$B$10)-IF($B$1+56&gt;=$B$23,$B$22,0))*(1+$B$4)^56)&gt;0,1+$B$3,1))</f>
        <v/>
      </c>
      <c r="BH140">
        <f>IF($B$1+57&gt;90,BG140,(BG140+IF($B$1+57&lt;=$B140,12*($B$7-$B$10),-12*MAX(0,($B$6+$B$10)-IF($B$1+57&gt;=$B$23,$B$22,0))*(1+$B$4)^57))*IF(BG140+IF($B$1+57&lt;=$B140,12*($B$7-$B$10),-12*MAX(0,($B$6+$B$10)-IF($B$1+57&gt;=$B$23,$B$22,0))*(1+$B$4)^57)&gt;0,1+$B$3,1))</f>
        <v/>
      </c>
      <c r="BI140">
        <f>IF($B$1+58&gt;90,BH140,(BH140+IF($B$1+58&lt;=$B140,12*($B$7-$B$10),-12*MAX(0,($B$6+$B$10)-IF($B$1+58&gt;=$B$23,$B$22,0))*(1+$B$4)^58))*IF(BH140+IF($B$1+58&lt;=$B140,12*($B$7-$B$10),-12*MAX(0,($B$6+$B$10)-IF($B$1+58&gt;=$B$23,$B$22,0))*(1+$B$4)^58)&gt;0,1+$B$3,1))</f>
        <v/>
      </c>
      <c r="BJ140">
        <f>IF($B$1+59&gt;90,BI140,(BI140+IF($B$1+59&lt;=$B140,12*($B$7-$B$10),-12*MAX(0,($B$6+$B$10)-IF($B$1+59&gt;=$B$23,$B$22,0))*(1+$B$4)^59))*IF(BI140+IF($B$1+59&lt;=$B140,12*($B$7-$B$10),-12*MAX(0,($B$6+$B$10)-IF($B$1+59&gt;=$B$23,$B$22,0))*(1+$B$4)^59)&gt;0,1+$B$3,1))</f>
        <v/>
      </c>
      <c r="BK140">
        <f>IF($B$1+60&gt;90,BJ140,(BJ140+IF($B$1+60&lt;=$B140,12*($B$7-$B$10),-12*MAX(0,($B$6+$B$10)-IF($B$1+60&gt;=$B$23,$B$22,0))*(1+$B$4)^60))*IF(BJ140+IF($B$1+60&lt;=$B140,12*($B$7-$B$10),-12*MAX(0,($B$6+$B$10)-IF($B$1+60&gt;=$B$23,$B$22,0))*(1+$B$4)^60)&gt;0,1+$B$3,1))</f>
        <v/>
      </c>
      <c r="BL140">
        <f>IF($B$1+61&gt;90,BK140,(BK140+IF($B$1+61&lt;=$B140,12*($B$7-$B$10),-12*MAX(0,($B$6+$B$10)-IF($B$1+61&gt;=$B$23,$B$22,0))*(1+$B$4)^61))*IF(BK140+IF($B$1+61&lt;=$B140,12*($B$7-$B$10),-12*MAX(0,($B$6+$B$10)-IF($B$1+61&gt;=$B$23,$B$22,0))*(1+$B$4)^61)&gt;0,1+$B$3,1))</f>
        <v/>
      </c>
      <c r="BM140">
        <f>IF($B$1+62&gt;90,BL140,(BL140+IF($B$1+62&lt;=$B140,12*($B$7-$B$10),-12*MAX(0,($B$6+$B$10)-IF($B$1+62&gt;=$B$23,$B$22,0))*(1+$B$4)^62))*IF(BL140+IF($B$1+62&lt;=$B140,12*($B$7-$B$10),-12*MAX(0,($B$6+$B$10)-IF($B$1+62&gt;=$B$23,$B$22,0))*(1+$B$4)^62)&gt;0,1+$B$3,1))</f>
        <v/>
      </c>
      <c r="BN140">
        <f>IF($B$1+63&gt;90,BM140,(BM140+IF($B$1+63&lt;=$B140,12*($B$7-$B$10),-12*MAX(0,($B$6+$B$10)-IF($B$1+63&gt;=$B$23,$B$22,0))*(1+$B$4)^63))*IF(BM140+IF($B$1+63&lt;=$B140,12*($B$7-$B$10),-12*MAX(0,($B$6+$B$10)-IF($B$1+63&gt;=$B$23,$B$22,0))*(1+$B$4)^63)&gt;0,1+$B$3,1))</f>
        <v/>
      </c>
      <c r="BO140">
        <f>IF($B$1+64&gt;90,BN140,(BN140+IF($B$1+64&lt;=$B140,12*($B$7-$B$10),-12*MAX(0,($B$6+$B$10)-IF($B$1+64&gt;=$B$23,$B$22,0))*(1+$B$4)^64))*IF(BN140+IF($B$1+64&lt;=$B140,12*($B$7-$B$10),-12*MAX(0,($B$6+$B$10)-IF($B$1+64&gt;=$B$23,$B$22,0))*(1+$B$4)^64)&gt;0,1+$B$3,1))</f>
        <v/>
      </c>
      <c r="BP140">
        <f>IF($B$1+65&gt;90,BO140,(BO140+IF($B$1+65&lt;=$B140,12*($B$7-$B$10),-12*MAX(0,($B$6+$B$10)-IF($B$1+65&gt;=$B$23,$B$22,0))*(1+$B$4)^65))*IF(BO140+IF($B$1+65&lt;=$B140,12*($B$7-$B$10),-12*MAX(0,($B$6+$B$10)-IF($B$1+65&gt;=$B$23,$B$22,0))*(1+$B$4)^65)&gt;0,1+$B$3,1))</f>
        <v/>
      </c>
      <c r="BQ140">
        <f>IF($B$1+66&gt;90,BP140,(BP140+IF($B$1+66&lt;=$B140,12*($B$7-$B$10),-12*MAX(0,($B$6+$B$10)-IF($B$1+66&gt;=$B$23,$B$22,0))*(1+$B$4)^66))*IF(BP140+IF($B$1+66&lt;=$B140,12*($B$7-$B$10),-12*MAX(0,($B$6+$B$10)-IF($B$1+66&gt;=$B$23,$B$22,0))*(1+$B$4)^66)&gt;0,1+$B$3,1))</f>
        <v/>
      </c>
      <c r="BR140">
        <f>IF($B$1+67&gt;90,BQ140,(BQ140+IF($B$1+67&lt;=$B140,12*($B$7-$B$10),-12*MAX(0,($B$6+$B$10)-IF($B$1+67&gt;=$B$23,$B$22,0))*(1+$B$4)^67))*IF(BQ140+IF($B$1+67&lt;=$B140,12*($B$7-$B$10),-12*MAX(0,($B$6+$B$10)-IF($B$1+67&gt;=$B$23,$B$22,0))*(1+$B$4)^67)&gt;0,1+$B$3,1))</f>
        <v/>
      </c>
      <c r="BS140">
        <f>IF($B$1+68&gt;90,BR140,(BR140+IF($B$1+68&lt;=$B140,12*($B$7-$B$10),-12*MAX(0,($B$6+$B$10)-IF($B$1+68&gt;=$B$23,$B$22,0))*(1+$B$4)^68))*IF(BR140+IF($B$1+68&lt;=$B140,12*($B$7-$B$10),-12*MAX(0,($B$6+$B$10)-IF($B$1+68&gt;=$B$23,$B$22,0))*(1+$B$4)^68)&gt;0,1+$B$3,1))</f>
        <v/>
      </c>
      <c r="BT140">
        <f>IF($B$1+69&gt;90,BS140,(BS140+IF($B$1+69&lt;=$B140,12*($B$7-$B$10),-12*MAX(0,($B$6+$B$10)-IF($B$1+69&gt;=$B$23,$B$22,0))*(1+$B$4)^69))*IF(BS140+IF($B$1+69&lt;=$B140,12*($B$7-$B$10),-12*MAX(0,($B$6+$B$10)-IF($B$1+69&gt;=$B$23,$B$22,0))*(1+$B$4)^69)&gt;0,1+$B$3,1))</f>
        <v/>
      </c>
      <c r="BU140">
        <f>IF($B$1+70&gt;90,BT140,(BT140+IF($B$1+70&lt;=$B140,12*($B$7-$B$10),-12*MAX(0,($B$6+$B$10)-IF($B$1+70&gt;=$B$23,$B$22,0))*(1+$B$4)^70))*IF(BT140+IF($B$1+70&lt;=$B140,12*($B$7-$B$10),-12*MAX(0,($B$6+$B$10)-IF($B$1+70&gt;=$B$23,$B$22,0))*(1+$B$4)^70)&gt;0,1+$B$3,1))</f>
        <v/>
      </c>
      <c r="BV140">
        <f>BU140</f>
        <v/>
      </c>
      <c r="BW140">
        <f>IF(AND($B140&lt;=70,BV140&gt;0),$B140,999)</f>
        <v/>
      </c>
      <c r="CH140">
        <f>IF(ISTEXT('월 가계부'!A140),SUBSTITUTE(SUBSTITUTE(SUBSTITUTE(SUBSTITUTE(SUBSTITUTE(SUBSTITUTE(SUBSTITUTE(SUBSTITUTE(SUBSTITUTE(TRIM('월 가계부'!A140),"년","-"),"월","-"),"일",""),".","-"),"/","-")," ","-"),"--","-"),"--","-"),"--","-")&amp;"-","")</f>
        <v/>
      </c>
      <c r="CI140">
        <f>IFERROR(IF('월 가계부'!A140="","",IF(ISNUMBER('월 가계부'!A140),IF(AND('월 가계부'!A140&gt;=19000101,'월 가계부'!A140&lt;=21001231),IF(AND(MOD(INT('월 가계부'!A140/100),100)&gt;=1,MOD(INT('월 가계부'!A140/100),100)&lt;=12,MOD(INT('월 가계부'!A140),100)&gt;=1,MOD(INT('월 가계부'!A140),100)&lt;=31),IF(MONTH(DATE(INT('월 가계부'!A140/10000),MOD(INT('월 가계부'!A140/100),100),MOD(INT('월 가계부'!A140),100)))=MOD(INT('월 가계부'!A140/100),100),DATE(INT('월 가계부'!A140/10000),MOD(INT('월 가계부'!A140/100),100),MOD(INT('월 가계부'!A140),100)),""),""),IF(AND('월 가계부'!A140&gt;=36526,'월 가계부'!A140&lt;73051),INT('월 가계부'!A140),"")),IF(OR(CM140="",CN140="",CO140=""),"",IF(AND(CM140&gt;=2000,CM140&lt;=2099,CN140&gt;=1,CN140&lt;=12,CO140&gt;=1,CO140&lt;=31),IF(MONTH(DATE(CM140,CN140,CO140))=CN140,DATE(CM140,CN140,CO140),""),"")))),"")</f>
        <v/>
      </c>
      <c r="CJ140">
        <f>IFERROR(IF('월 가계부'!C140="","",IF(ISNUMBER('월 가계부'!C140),'월 가계부'!C140,VALUE(SUBSTITUTE(SUBSTITUTE(SUBSTITUTE(SUBSTITUTE(TRIM('월 가계부'!C140),",",""),"원","")," ",""),"−","-")))),"")</f>
        <v/>
      </c>
      <c r="CK140">
        <f>IF(ISNUMBER(CI140),IF(CI140&lt;$B$13,CI140,""),"")</f>
        <v/>
      </c>
      <c r="CM140">
        <f>IF(CH140="","",IFERROR(IF(IF(AND(LEN(CH140)=9,ISERROR(FIND("-",LEFT(CH140,8))),ISNUMBER(-LEFT(CH140,8))),VALUE(LEFT(CH140,4)),VALUE(LEFT(CH140,FIND("-",CH140)-1)))&lt;100,IF(AND(LEN(CH140)=9,ISERROR(FIND("-",LEFT(CH140,8))),ISNUMBER(-LEFT(CH140,8))),VALUE(LEFT(CH140,4)),VALUE(LEFT(CH140,FIND("-",CH140)-1)))+2000,IF(AND(LEN(CH140)=9,ISERROR(FIND("-",LEFT(CH140,8))),ISNUMBER(-LEFT(CH140,8))),VALUE(LEFT(CH140,4)),VALUE(LEFT(CH140,FIND("-",CH140)-1)))),""))</f>
        <v/>
      </c>
      <c r="CN140">
        <f>IF(CH140="","",IFERROR(IF(AND(LEN(CH140)=9,ISERROR(FIND("-",LEFT(CH140,8))),ISNUMBER(-LEFT(CH140,8))),VALUE(MID(CH140,5,2)),VALUE(MID(CH140,FIND("-",CH140)+1,FIND("-",CH140,FIND("-",CH140)+1)-FIND("-",CH140)-1))),""))</f>
        <v/>
      </c>
      <c r="CO140">
        <f>IF(CH140="","",IFERROR(IF(AND(LEN(CH140)=9,ISERROR(FIND("-",LEFT(CH140,8))),ISNUMBER(-LEFT(CH140,8))),VALUE(MID(CH140,7,2)),VALUE(MID(CH140,FIND("-",CH140,FIND("-",CH140)+1)+1,FIND("-",CH140,FIND("-",CH140,FIND("-",CH140)+1)+1)-FIND("-",CH140,FIND("-",CH140)+1)-1))),""))</f>
        <v/>
      </c>
    </row>
    <row r="141">
      <c r="A141" t="n">
        <v>45</v>
      </c>
      <c r="B141">
        <f>$B$1+45</f>
        <v/>
      </c>
      <c r="C141">
        <f>$B$2</f>
        <v/>
      </c>
      <c r="D141">
        <f>IF($B$1+1&gt;90,C141,(C141+IF($B$1+1&lt;=$B141,12*($B$7-$B$10),-12*MAX(0,($B$6+$B$10)-IF($B$1+1&gt;=$B$23,$B$22,0))*(1+$B$4)^1))*IF(C141+IF($B$1+1&lt;=$B141,12*($B$7-$B$10),-12*MAX(0,($B$6+$B$10)-IF($B$1+1&gt;=$B$23,$B$22,0))*(1+$B$4)^1)&gt;0,1+$B$3,1))</f>
        <v/>
      </c>
      <c r="E141">
        <f>IF($B$1+2&gt;90,D141,(D141+IF($B$1+2&lt;=$B141,12*($B$7-$B$10),-12*MAX(0,($B$6+$B$10)-IF($B$1+2&gt;=$B$23,$B$22,0))*(1+$B$4)^2))*IF(D141+IF($B$1+2&lt;=$B141,12*($B$7-$B$10),-12*MAX(0,($B$6+$B$10)-IF($B$1+2&gt;=$B$23,$B$22,0))*(1+$B$4)^2)&gt;0,1+$B$3,1))</f>
        <v/>
      </c>
      <c r="F141">
        <f>IF($B$1+3&gt;90,E141,(E141+IF($B$1+3&lt;=$B141,12*($B$7-$B$10),-12*MAX(0,($B$6+$B$10)-IF($B$1+3&gt;=$B$23,$B$22,0))*(1+$B$4)^3))*IF(E141+IF($B$1+3&lt;=$B141,12*($B$7-$B$10),-12*MAX(0,($B$6+$B$10)-IF($B$1+3&gt;=$B$23,$B$22,0))*(1+$B$4)^3)&gt;0,1+$B$3,1))</f>
        <v/>
      </c>
      <c r="G141">
        <f>IF($B$1+4&gt;90,F141,(F141+IF($B$1+4&lt;=$B141,12*($B$7-$B$10),-12*MAX(0,($B$6+$B$10)-IF($B$1+4&gt;=$B$23,$B$22,0))*(1+$B$4)^4))*IF(F141+IF($B$1+4&lt;=$B141,12*($B$7-$B$10),-12*MAX(0,($B$6+$B$10)-IF($B$1+4&gt;=$B$23,$B$22,0))*(1+$B$4)^4)&gt;0,1+$B$3,1))</f>
        <v/>
      </c>
      <c r="H141">
        <f>IF($B$1+5&gt;90,G141,(G141+IF($B$1+5&lt;=$B141,12*($B$7-$B$10),-12*MAX(0,($B$6+$B$10)-IF($B$1+5&gt;=$B$23,$B$22,0))*(1+$B$4)^5))*IF(G141+IF($B$1+5&lt;=$B141,12*($B$7-$B$10),-12*MAX(0,($B$6+$B$10)-IF($B$1+5&gt;=$B$23,$B$22,0))*(1+$B$4)^5)&gt;0,1+$B$3,1))</f>
        <v/>
      </c>
      <c r="I141">
        <f>IF($B$1+6&gt;90,H141,(H141+IF($B$1+6&lt;=$B141,12*($B$7-$B$10),-12*MAX(0,($B$6+$B$10)-IF($B$1+6&gt;=$B$23,$B$22,0))*(1+$B$4)^6))*IF(H141+IF($B$1+6&lt;=$B141,12*($B$7-$B$10),-12*MAX(0,($B$6+$B$10)-IF($B$1+6&gt;=$B$23,$B$22,0))*(1+$B$4)^6)&gt;0,1+$B$3,1))</f>
        <v/>
      </c>
      <c r="J141">
        <f>IF($B$1+7&gt;90,I141,(I141+IF($B$1+7&lt;=$B141,12*($B$7-$B$10),-12*MAX(0,($B$6+$B$10)-IF($B$1+7&gt;=$B$23,$B$22,0))*(1+$B$4)^7))*IF(I141+IF($B$1+7&lt;=$B141,12*($B$7-$B$10),-12*MAX(0,($B$6+$B$10)-IF($B$1+7&gt;=$B$23,$B$22,0))*(1+$B$4)^7)&gt;0,1+$B$3,1))</f>
        <v/>
      </c>
      <c r="K141">
        <f>IF($B$1+8&gt;90,J141,(J141+IF($B$1+8&lt;=$B141,12*($B$7-$B$10),-12*MAX(0,($B$6+$B$10)-IF($B$1+8&gt;=$B$23,$B$22,0))*(1+$B$4)^8))*IF(J141+IF($B$1+8&lt;=$B141,12*($B$7-$B$10),-12*MAX(0,($B$6+$B$10)-IF($B$1+8&gt;=$B$23,$B$22,0))*(1+$B$4)^8)&gt;0,1+$B$3,1))</f>
        <v/>
      </c>
      <c r="L141">
        <f>IF($B$1+9&gt;90,K141,(K141+IF($B$1+9&lt;=$B141,12*($B$7-$B$10),-12*MAX(0,($B$6+$B$10)-IF($B$1+9&gt;=$B$23,$B$22,0))*(1+$B$4)^9))*IF(K141+IF($B$1+9&lt;=$B141,12*($B$7-$B$10),-12*MAX(0,($B$6+$B$10)-IF($B$1+9&gt;=$B$23,$B$22,0))*(1+$B$4)^9)&gt;0,1+$B$3,1))</f>
        <v/>
      </c>
      <c r="M141">
        <f>IF($B$1+10&gt;90,L141,(L141+IF($B$1+10&lt;=$B141,12*($B$7-$B$10),-12*MAX(0,($B$6+$B$10)-IF($B$1+10&gt;=$B$23,$B$22,0))*(1+$B$4)^10))*IF(L141+IF($B$1+10&lt;=$B141,12*($B$7-$B$10),-12*MAX(0,($B$6+$B$10)-IF($B$1+10&gt;=$B$23,$B$22,0))*(1+$B$4)^10)&gt;0,1+$B$3,1))</f>
        <v/>
      </c>
      <c r="N141">
        <f>IF($B$1+11&gt;90,M141,(M141+IF($B$1+11&lt;=$B141,12*($B$7-$B$10),-12*MAX(0,($B$6+$B$10)-IF($B$1+11&gt;=$B$23,$B$22,0))*(1+$B$4)^11))*IF(M141+IF($B$1+11&lt;=$B141,12*($B$7-$B$10),-12*MAX(0,($B$6+$B$10)-IF($B$1+11&gt;=$B$23,$B$22,0))*(1+$B$4)^11)&gt;0,1+$B$3,1))</f>
        <v/>
      </c>
      <c r="O141">
        <f>IF($B$1+12&gt;90,N141,(N141+IF($B$1+12&lt;=$B141,12*($B$7-$B$10),-12*MAX(0,($B$6+$B$10)-IF($B$1+12&gt;=$B$23,$B$22,0))*(1+$B$4)^12))*IF(N141+IF($B$1+12&lt;=$B141,12*($B$7-$B$10),-12*MAX(0,($B$6+$B$10)-IF($B$1+12&gt;=$B$23,$B$22,0))*(1+$B$4)^12)&gt;0,1+$B$3,1))</f>
        <v/>
      </c>
      <c r="P141">
        <f>IF($B$1+13&gt;90,O141,(O141+IF($B$1+13&lt;=$B141,12*($B$7-$B$10),-12*MAX(0,($B$6+$B$10)-IF($B$1+13&gt;=$B$23,$B$22,0))*(1+$B$4)^13))*IF(O141+IF($B$1+13&lt;=$B141,12*($B$7-$B$10),-12*MAX(0,($B$6+$B$10)-IF($B$1+13&gt;=$B$23,$B$22,0))*(1+$B$4)^13)&gt;0,1+$B$3,1))</f>
        <v/>
      </c>
      <c r="Q141">
        <f>IF($B$1+14&gt;90,P141,(P141+IF($B$1+14&lt;=$B141,12*($B$7-$B$10),-12*MAX(0,($B$6+$B$10)-IF($B$1+14&gt;=$B$23,$B$22,0))*(1+$B$4)^14))*IF(P141+IF($B$1+14&lt;=$B141,12*($B$7-$B$10),-12*MAX(0,($B$6+$B$10)-IF($B$1+14&gt;=$B$23,$B$22,0))*(1+$B$4)^14)&gt;0,1+$B$3,1))</f>
        <v/>
      </c>
      <c r="R141">
        <f>IF($B$1+15&gt;90,Q141,(Q141+IF($B$1+15&lt;=$B141,12*($B$7-$B$10),-12*MAX(0,($B$6+$B$10)-IF($B$1+15&gt;=$B$23,$B$22,0))*(1+$B$4)^15))*IF(Q141+IF($B$1+15&lt;=$B141,12*($B$7-$B$10),-12*MAX(0,($B$6+$B$10)-IF($B$1+15&gt;=$B$23,$B$22,0))*(1+$B$4)^15)&gt;0,1+$B$3,1))</f>
        <v/>
      </c>
      <c r="S141">
        <f>IF($B$1+16&gt;90,R141,(R141+IF($B$1+16&lt;=$B141,12*($B$7-$B$10),-12*MAX(0,($B$6+$B$10)-IF($B$1+16&gt;=$B$23,$B$22,0))*(1+$B$4)^16))*IF(R141+IF($B$1+16&lt;=$B141,12*($B$7-$B$10),-12*MAX(0,($B$6+$B$10)-IF($B$1+16&gt;=$B$23,$B$22,0))*(1+$B$4)^16)&gt;0,1+$B$3,1))</f>
        <v/>
      </c>
      <c r="T141">
        <f>IF($B$1+17&gt;90,S141,(S141+IF($B$1+17&lt;=$B141,12*($B$7-$B$10),-12*MAX(0,($B$6+$B$10)-IF($B$1+17&gt;=$B$23,$B$22,0))*(1+$B$4)^17))*IF(S141+IF($B$1+17&lt;=$B141,12*($B$7-$B$10),-12*MAX(0,($B$6+$B$10)-IF($B$1+17&gt;=$B$23,$B$22,0))*(1+$B$4)^17)&gt;0,1+$B$3,1))</f>
        <v/>
      </c>
      <c r="U141">
        <f>IF($B$1+18&gt;90,T141,(T141+IF($B$1+18&lt;=$B141,12*($B$7-$B$10),-12*MAX(0,($B$6+$B$10)-IF($B$1+18&gt;=$B$23,$B$22,0))*(1+$B$4)^18))*IF(T141+IF($B$1+18&lt;=$B141,12*($B$7-$B$10),-12*MAX(0,($B$6+$B$10)-IF($B$1+18&gt;=$B$23,$B$22,0))*(1+$B$4)^18)&gt;0,1+$B$3,1))</f>
        <v/>
      </c>
      <c r="V141">
        <f>IF($B$1+19&gt;90,U141,(U141+IF($B$1+19&lt;=$B141,12*($B$7-$B$10),-12*MAX(0,($B$6+$B$10)-IF($B$1+19&gt;=$B$23,$B$22,0))*(1+$B$4)^19))*IF(U141+IF($B$1+19&lt;=$B141,12*($B$7-$B$10),-12*MAX(0,($B$6+$B$10)-IF($B$1+19&gt;=$B$23,$B$22,0))*(1+$B$4)^19)&gt;0,1+$B$3,1))</f>
        <v/>
      </c>
      <c r="W141">
        <f>IF($B$1+20&gt;90,V141,(V141+IF($B$1+20&lt;=$B141,12*($B$7-$B$10),-12*MAX(0,($B$6+$B$10)-IF($B$1+20&gt;=$B$23,$B$22,0))*(1+$B$4)^20))*IF(V141+IF($B$1+20&lt;=$B141,12*($B$7-$B$10),-12*MAX(0,($B$6+$B$10)-IF($B$1+20&gt;=$B$23,$B$22,0))*(1+$B$4)^20)&gt;0,1+$B$3,1))</f>
        <v/>
      </c>
      <c r="X141">
        <f>IF($B$1+21&gt;90,W141,(W141+IF($B$1+21&lt;=$B141,12*($B$7-$B$10),-12*MAX(0,($B$6+$B$10)-IF($B$1+21&gt;=$B$23,$B$22,0))*(1+$B$4)^21))*IF(W141+IF($B$1+21&lt;=$B141,12*($B$7-$B$10),-12*MAX(0,($B$6+$B$10)-IF($B$1+21&gt;=$B$23,$B$22,0))*(1+$B$4)^21)&gt;0,1+$B$3,1))</f>
        <v/>
      </c>
      <c r="Y141">
        <f>IF($B$1+22&gt;90,X141,(X141+IF($B$1+22&lt;=$B141,12*($B$7-$B$10),-12*MAX(0,($B$6+$B$10)-IF($B$1+22&gt;=$B$23,$B$22,0))*(1+$B$4)^22))*IF(X141+IF($B$1+22&lt;=$B141,12*($B$7-$B$10),-12*MAX(0,($B$6+$B$10)-IF($B$1+22&gt;=$B$23,$B$22,0))*(1+$B$4)^22)&gt;0,1+$B$3,1))</f>
        <v/>
      </c>
      <c r="Z141">
        <f>IF($B$1+23&gt;90,Y141,(Y141+IF($B$1+23&lt;=$B141,12*($B$7-$B$10),-12*MAX(0,($B$6+$B$10)-IF($B$1+23&gt;=$B$23,$B$22,0))*(1+$B$4)^23))*IF(Y141+IF($B$1+23&lt;=$B141,12*($B$7-$B$10),-12*MAX(0,($B$6+$B$10)-IF($B$1+23&gt;=$B$23,$B$22,0))*(1+$B$4)^23)&gt;0,1+$B$3,1))</f>
        <v/>
      </c>
      <c r="AA141">
        <f>IF($B$1+24&gt;90,Z141,(Z141+IF($B$1+24&lt;=$B141,12*($B$7-$B$10),-12*MAX(0,($B$6+$B$10)-IF($B$1+24&gt;=$B$23,$B$22,0))*(1+$B$4)^24))*IF(Z141+IF($B$1+24&lt;=$B141,12*($B$7-$B$10),-12*MAX(0,($B$6+$B$10)-IF($B$1+24&gt;=$B$23,$B$22,0))*(1+$B$4)^24)&gt;0,1+$B$3,1))</f>
        <v/>
      </c>
      <c r="AB141">
        <f>IF($B$1+25&gt;90,AA141,(AA141+IF($B$1+25&lt;=$B141,12*($B$7-$B$10),-12*MAX(0,($B$6+$B$10)-IF($B$1+25&gt;=$B$23,$B$22,0))*(1+$B$4)^25))*IF(AA141+IF($B$1+25&lt;=$B141,12*($B$7-$B$10),-12*MAX(0,($B$6+$B$10)-IF($B$1+25&gt;=$B$23,$B$22,0))*(1+$B$4)^25)&gt;0,1+$B$3,1))</f>
        <v/>
      </c>
      <c r="AC141">
        <f>IF($B$1+26&gt;90,AB141,(AB141+IF($B$1+26&lt;=$B141,12*($B$7-$B$10),-12*MAX(0,($B$6+$B$10)-IF($B$1+26&gt;=$B$23,$B$22,0))*(1+$B$4)^26))*IF(AB141+IF($B$1+26&lt;=$B141,12*($B$7-$B$10),-12*MAX(0,($B$6+$B$10)-IF($B$1+26&gt;=$B$23,$B$22,0))*(1+$B$4)^26)&gt;0,1+$B$3,1))</f>
        <v/>
      </c>
      <c r="AD141">
        <f>IF($B$1+27&gt;90,AC141,(AC141+IF($B$1+27&lt;=$B141,12*($B$7-$B$10),-12*MAX(0,($B$6+$B$10)-IF($B$1+27&gt;=$B$23,$B$22,0))*(1+$B$4)^27))*IF(AC141+IF($B$1+27&lt;=$B141,12*($B$7-$B$10),-12*MAX(0,($B$6+$B$10)-IF($B$1+27&gt;=$B$23,$B$22,0))*(1+$B$4)^27)&gt;0,1+$B$3,1))</f>
        <v/>
      </c>
      <c r="AE141">
        <f>IF($B$1+28&gt;90,AD141,(AD141+IF($B$1+28&lt;=$B141,12*($B$7-$B$10),-12*MAX(0,($B$6+$B$10)-IF($B$1+28&gt;=$B$23,$B$22,0))*(1+$B$4)^28))*IF(AD141+IF($B$1+28&lt;=$B141,12*($B$7-$B$10),-12*MAX(0,($B$6+$B$10)-IF($B$1+28&gt;=$B$23,$B$22,0))*(1+$B$4)^28)&gt;0,1+$B$3,1))</f>
        <v/>
      </c>
      <c r="AF141">
        <f>IF($B$1+29&gt;90,AE141,(AE141+IF($B$1+29&lt;=$B141,12*($B$7-$B$10),-12*MAX(0,($B$6+$B$10)-IF($B$1+29&gt;=$B$23,$B$22,0))*(1+$B$4)^29))*IF(AE141+IF($B$1+29&lt;=$B141,12*($B$7-$B$10),-12*MAX(0,($B$6+$B$10)-IF($B$1+29&gt;=$B$23,$B$22,0))*(1+$B$4)^29)&gt;0,1+$B$3,1))</f>
        <v/>
      </c>
      <c r="AG141">
        <f>IF($B$1+30&gt;90,AF141,(AF141+IF($B$1+30&lt;=$B141,12*($B$7-$B$10),-12*MAX(0,($B$6+$B$10)-IF($B$1+30&gt;=$B$23,$B$22,0))*(1+$B$4)^30))*IF(AF141+IF($B$1+30&lt;=$B141,12*($B$7-$B$10),-12*MAX(0,($B$6+$B$10)-IF($B$1+30&gt;=$B$23,$B$22,0))*(1+$B$4)^30)&gt;0,1+$B$3,1))</f>
        <v/>
      </c>
      <c r="AH141">
        <f>IF($B$1+31&gt;90,AG141,(AG141+IF($B$1+31&lt;=$B141,12*($B$7-$B$10),-12*MAX(0,($B$6+$B$10)-IF($B$1+31&gt;=$B$23,$B$22,0))*(1+$B$4)^31))*IF(AG141+IF($B$1+31&lt;=$B141,12*($B$7-$B$10),-12*MAX(0,($B$6+$B$10)-IF($B$1+31&gt;=$B$23,$B$22,0))*(1+$B$4)^31)&gt;0,1+$B$3,1))</f>
        <v/>
      </c>
      <c r="AI141">
        <f>IF($B$1+32&gt;90,AH141,(AH141+IF($B$1+32&lt;=$B141,12*($B$7-$B$10),-12*MAX(0,($B$6+$B$10)-IF($B$1+32&gt;=$B$23,$B$22,0))*(1+$B$4)^32))*IF(AH141+IF($B$1+32&lt;=$B141,12*($B$7-$B$10),-12*MAX(0,($B$6+$B$10)-IF($B$1+32&gt;=$B$23,$B$22,0))*(1+$B$4)^32)&gt;0,1+$B$3,1))</f>
        <v/>
      </c>
      <c r="AJ141">
        <f>IF($B$1+33&gt;90,AI141,(AI141+IF($B$1+33&lt;=$B141,12*($B$7-$B$10),-12*MAX(0,($B$6+$B$10)-IF($B$1+33&gt;=$B$23,$B$22,0))*(1+$B$4)^33))*IF(AI141+IF($B$1+33&lt;=$B141,12*($B$7-$B$10),-12*MAX(0,($B$6+$B$10)-IF($B$1+33&gt;=$B$23,$B$22,0))*(1+$B$4)^33)&gt;0,1+$B$3,1))</f>
        <v/>
      </c>
      <c r="AK141">
        <f>IF($B$1+34&gt;90,AJ141,(AJ141+IF($B$1+34&lt;=$B141,12*($B$7-$B$10),-12*MAX(0,($B$6+$B$10)-IF($B$1+34&gt;=$B$23,$B$22,0))*(1+$B$4)^34))*IF(AJ141+IF($B$1+34&lt;=$B141,12*($B$7-$B$10),-12*MAX(0,($B$6+$B$10)-IF($B$1+34&gt;=$B$23,$B$22,0))*(1+$B$4)^34)&gt;0,1+$B$3,1))</f>
        <v/>
      </c>
      <c r="AL141">
        <f>IF($B$1+35&gt;90,AK141,(AK141+IF($B$1+35&lt;=$B141,12*($B$7-$B$10),-12*MAX(0,($B$6+$B$10)-IF($B$1+35&gt;=$B$23,$B$22,0))*(1+$B$4)^35))*IF(AK141+IF($B$1+35&lt;=$B141,12*($B$7-$B$10),-12*MAX(0,($B$6+$B$10)-IF($B$1+35&gt;=$B$23,$B$22,0))*(1+$B$4)^35)&gt;0,1+$B$3,1))</f>
        <v/>
      </c>
      <c r="AM141">
        <f>IF($B$1+36&gt;90,AL141,(AL141+IF($B$1+36&lt;=$B141,12*($B$7-$B$10),-12*MAX(0,($B$6+$B$10)-IF($B$1+36&gt;=$B$23,$B$22,0))*(1+$B$4)^36))*IF(AL141+IF($B$1+36&lt;=$B141,12*($B$7-$B$10),-12*MAX(0,($B$6+$B$10)-IF($B$1+36&gt;=$B$23,$B$22,0))*(1+$B$4)^36)&gt;0,1+$B$3,1))</f>
        <v/>
      </c>
      <c r="AN141">
        <f>IF($B$1+37&gt;90,AM141,(AM141+IF($B$1+37&lt;=$B141,12*($B$7-$B$10),-12*MAX(0,($B$6+$B$10)-IF($B$1+37&gt;=$B$23,$B$22,0))*(1+$B$4)^37))*IF(AM141+IF($B$1+37&lt;=$B141,12*($B$7-$B$10),-12*MAX(0,($B$6+$B$10)-IF($B$1+37&gt;=$B$23,$B$22,0))*(1+$B$4)^37)&gt;0,1+$B$3,1))</f>
        <v/>
      </c>
      <c r="AO141">
        <f>IF($B$1+38&gt;90,AN141,(AN141+IF($B$1+38&lt;=$B141,12*($B$7-$B$10),-12*MAX(0,($B$6+$B$10)-IF($B$1+38&gt;=$B$23,$B$22,0))*(1+$B$4)^38))*IF(AN141+IF($B$1+38&lt;=$B141,12*($B$7-$B$10),-12*MAX(0,($B$6+$B$10)-IF($B$1+38&gt;=$B$23,$B$22,0))*(1+$B$4)^38)&gt;0,1+$B$3,1))</f>
        <v/>
      </c>
      <c r="AP141">
        <f>IF($B$1+39&gt;90,AO141,(AO141+IF($B$1+39&lt;=$B141,12*($B$7-$B$10),-12*MAX(0,($B$6+$B$10)-IF($B$1+39&gt;=$B$23,$B$22,0))*(1+$B$4)^39))*IF(AO141+IF($B$1+39&lt;=$B141,12*($B$7-$B$10),-12*MAX(0,($B$6+$B$10)-IF($B$1+39&gt;=$B$23,$B$22,0))*(1+$B$4)^39)&gt;0,1+$B$3,1))</f>
        <v/>
      </c>
      <c r="AQ141">
        <f>IF($B$1+40&gt;90,AP141,(AP141+IF($B$1+40&lt;=$B141,12*($B$7-$B$10),-12*MAX(0,($B$6+$B$10)-IF($B$1+40&gt;=$B$23,$B$22,0))*(1+$B$4)^40))*IF(AP141+IF($B$1+40&lt;=$B141,12*($B$7-$B$10),-12*MAX(0,($B$6+$B$10)-IF($B$1+40&gt;=$B$23,$B$22,0))*(1+$B$4)^40)&gt;0,1+$B$3,1))</f>
        <v/>
      </c>
      <c r="AR141">
        <f>IF($B$1+41&gt;90,AQ141,(AQ141+IF($B$1+41&lt;=$B141,12*($B$7-$B$10),-12*MAX(0,($B$6+$B$10)-IF($B$1+41&gt;=$B$23,$B$22,0))*(1+$B$4)^41))*IF(AQ141+IF($B$1+41&lt;=$B141,12*($B$7-$B$10),-12*MAX(0,($B$6+$B$10)-IF($B$1+41&gt;=$B$23,$B$22,0))*(1+$B$4)^41)&gt;0,1+$B$3,1))</f>
        <v/>
      </c>
      <c r="AS141">
        <f>IF($B$1+42&gt;90,AR141,(AR141+IF($B$1+42&lt;=$B141,12*($B$7-$B$10),-12*MAX(0,($B$6+$B$10)-IF($B$1+42&gt;=$B$23,$B$22,0))*(1+$B$4)^42))*IF(AR141+IF($B$1+42&lt;=$B141,12*($B$7-$B$10),-12*MAX(0,($B$6+$B$10)-IF($B$1+42&gt;=$B$23,$B$22,0))*(1+$B$4)^42)&gt;0,1+$B$3,1))</f>
        <v/>
      </c>
      <c r="AT141">
        <f>IF($B$1+43&gt;90,AS141,(AS141+IF($B$1+43&lt;=$B141,12*($B$7-$B$10),-12*MAX(0,($B$6+$B$10)-IF($B$1+43&gt;=$B$23,$B$22,0))*(1+$B$4)^43))*IF(AS141+IF($B$1+43&lt;=$B141,12*($B$7-$B$10),-12*MAX(0,($B$6+$B$10)-IF($B$1+43&gt;=$B$23,$B$22,0))*(1+$B$4)^43)&gt;0,1+$B$3,1))</f>
        <v/>
      </c>
      <c r="AU141">
        <f>IF($B$1+44&gt;90,AT141,(AT141+IF($B$1+44&lt;=$B141,12*($B$7-$B$10),-12*MAX(0,($B$6+$B$10)-IF($B$1+44&gt;=$B$23,$B$22,0))*(1+$B$4)^44))*IF(AT141+IF($B$1+44&lt;=$B141,12*($B$7-$B$10),-12*MAX(0,($B$6+$B$10)-IF($B$1+44&gt;=$B$23,$B$22,0))*(1+$B$4)^44)&gt;0,1+$B$3,1))</f>
        <v/>
      </c>
      <c r="AV141">
        <f>IF($B$1+45&gt;90,AU141,(AU141+IF($B$1+45&lt;=$B141,12*($B$7-$B$10),-12*MAX(0,($B$6+$B$10)-IF($B$1+45&gt;=$B$23,$B$22,0))*(1+$B$4)^45))*IF(AU141+IF($B$1+45&lt;=$B141,12*($B$7-$B$10),-12*MAX(0,($B$6+$B$10)-IF($B$1+45&gt;=$B$23,$B$22,0))*(1+$B$4)^45)&gt;0,1+$B$3,1))</f>
        <v/>
      </c>
      <c r="AW141">
        <f>IF($B$1+46&gt;90,AV141,(AV141+IF($B$1+46&lt;=$B141,12*($B$7-$B$10),-12*MAX(0,($B$6+$B$10)-IF($B$1+46&gt;=$B$23,$B$22,0))*(1+$B$4)^46))*IF(AV141+IF($B$1+46&lt;=$B141,12*($B$7-$B$10),-12*MAX(0,($B$6+$B$10)-IF($B$1+46&gt;=$B$23,$B$22,0))*(1+$B$4)^46)&gt;0,1+$B$3,1))</f>
        <v/>
      </c>
      <c r="AX141">
        <f>IF($B$1+47&gt;90,AW141,(AW141+IF($B$1+47&lt;=$B141,12*($B$7-$B$10),-12*MAX(0,($B$6+$B$10)-IF($B$1+47&gt;=$B$23,$B$22,0))*(1+$B$4)^47))*IF(AW141+IF($B$1+47&lt;=$B141,12*($B$7-$B$10),-12*MAX(0,($B$6+$B$10)-IF($B$1+47&gt;=$B$23,$B$22,0))*(1+$B$4)^47)&gt;0,1+$B$3,1))</f>
        <v/>
      </c>
      <c r="AY141">
        <f>IF($B$1+48&gt;90,AX141,(AX141+IF($B$1+48&lt;=$B141,12*($B$7-$B$10),-12*MAX(0,($B$6+$B$10)-IF($B$1+48&gt;=$B$23,$B$22,0))*(1+$B$4)^48))*IF(AX141+IF($B$1+48&lt;=$B141,12*($B$7-$B$10),-12*MAX(0,($B$6+$B$10)-IF($B$1+48&gt;=$B$23,$B$22,0))*(1+$B$4)^48)&gt;0,1+$B$3,1))</f>
        <v/>
      </c>
      <c r="AZ141">
        <f>IF($B$1+49&gt;90,AY141,(AY141+IF($B$1+49&lt;=$B141,12*($B$7-$B$10),-12*MAX(0,($B$6+$B$10)-IF($B$1+49&gt;=$B$23,$B$22,0))*(1+$B$4)^49))*IF(AY141+IF($B$1+49&lt;=$B141,12*($B$7-$B$10),-12*MAX(0,($B$6+$B$10)-IF($B$1+49&gt;=$B$23,$B$22,0))*(1+$B$4)^49)&gt;0,1+$B$3,1))</f>
        <v/>
      </c>
      <c r="BA141">
        <f>IF($B$1+50&gt;90,AZ141,(AZ141+IF($B$1+50&lt;=$B141,12*($B$7-$B$10),-12*MAX(0,($B$6+$B$10)-IF($B$1+50&gt;=$B$23,$B$22,0))*(1+$B$4)^50))*IF(AZ141+IF($B$1+50&lt;=$B141,12*($B$7-$B$10),-12*MAX(0,($B$6+$B$10)-IF($B$1+50&gt;=$B$23,$B$22,0))*(1+$B$4)^50)&gt;0,1+$B$3,1))</f>
        <v/>
      </c>
      <c r="BB141">
        <f>IF($B$1+51&gt;90,BA141,(BA141+IF($B$1+51&lt;=$B141,12*($B$7-$B$10),-12*MAX(0,($B$6+$B$10)-IF($B$1+51&gt;=$B$23,$B$22,0))*(1+$B$4)^51))*IF(BA141+IF($B$1+51&lt;=$B141,12*($B$7-$B$10),-12*MAX(0,($B$6+$B$10)-IF($B$1+51&gt;=$B$23,$B$22,0))*(1+$B$4)^51)&gt;0,1+$B$3,1))</f>
        <v/>
      </c>
      <c r="BC141">
        <f>IF($B$1+52&gt;90,BB141,(BB141+IF($B$1+52&lt;=$B141,12*($B$7-$B$10),-12*MAX(0,($B$6+$B$10)-IF($B$1+52&gt;=$B$23,$B$22,0))*(1+$B$4)^52))*IF(BB141+IF($B$1+52&lt;=$B141,12*($B$7-$B$10),-12*MAX(0,($B$6+$B$10)-IF($B$1+52&gt;=$B$23,$B$22,0))*(1+$B$4)^52)&gt;0,1+$B$3,1))</f>
        <v/>
      </c>
      <c r="BD141">
        <f>IF($B$1+53&gt;90,BC141,(BC141+IF($B$1+53&lt;=$B141,12*($B$7-$B$10),-12*MAX(0,($B$6+$B$10)-IF($B$1+53&gt;=$B$23,$B$22,0))*(1+$B$4)^53))*IF(BC141+IF($B$1+53&lt;=$B141,12*($B$7-$B$10),-12*MAX(0,($B$6+$B$10)-IF($B$1+53&gt;=$B$23,$B$22,0))*(1+$B$4)^53)&gt;0,1+$B$3,1))</f>
        <v/>
      </c>
      <c r="BE141">
        <f>IF($B$1+54&gt;90,BD141,(BD141+IF($B$1+54&lt;=$B141,12*($B$7-$B$10),-12*MAX(0,($B$6+$B$10)-IF($B$1+54&gt;=$B$23,$B$22,0))*(1+$B$4)^54))*IF(BD141+IF($B$1+54&lt;=$B141,12*($B$7-$B$10),-12*MAX(0,($B$6+$B$10)-IF($B$1+54&gt;=$B$23,$B$22,0))*(1+$B$4)^54)&gt;0,1+$B$3,1))</f>
        <v/>
      </c>
      <c r="BF141">
        <f>IF($B$1+55&gt;90,BE141,(BE141+IF($B$1+55&lt;=$B141,12*($B$7-$B$10),-12*MAX(0,($B$6+$B$10)-IF($B$1+55&gt;=$B$23,$B$22,0))*(1+$B$4)^55))*IF(BE141+IF($B$1+55&lt;=$B141,12*($B$7-$B$10),-12*MAX(0,($B$6+$B$10)-IF($B$1+55&gt;=$B$23,$B$22,0))*(1+$B$4)^55)&gt;0,1+$B$3,1))</f>
        <v/>
      </c>
      <c r="BG141">
        <f>IF($B$1+56&gt;90,BF141,(BF141+IF($B$1+56&lt;=$B141,12*($B$7-$B$10),-12*MAX(0,($B$6+$B$10)-IF($B$1+56&gt;=$B$23,$B$22,0))*(1+$B$4)^56))*IF(BF141+IF($B$1+56&lt;=$B141,12*($B$7-$B$10),-12*MAX(0,($B$6+$B$10)-IF($B$1+56&gt;=$B$23,$B$22,0))*(1+$B$4)^56)&gt;0,1+$B$3,1))</f>
        <v/>
      </c>
      <c r="BH141">
        <f>IF($B$1+57&gt;90,BG141,(BG141+IF($B$1+57&lt;=$B141,12*($B$7-$B$10),-12*MAX(0,($B$6+$B$10)-IF($B$1+57&gt;=$B$23,$B$22,0))*(1+$B$4)^57))*IF(BG141+IF($B$1+57&lt;=$B141,12*($B$7-$B$10),-12*MAX(0,($B$6+$B$10)-IF($B$1+57&gt;=$B$23,$B$22,0))*(1+$B$4)^57)&gt;0,1+$B$3,1))</f>
        <v/>
      </c>
      <c r="BI141">
        <f>IF($B$1+58&gt;90,BH141,(BH141+IF($B$1+58&lt;=$B141,12*($B$7-$B$10),-12*MAX(0,($B$6+$B$10)-IF($B$1+58&gt;=$B$23,$B$22,0))*(1+$B$4)^58))*IF(BH141+IF($B$1+58&lt;=$B141,12*($B$7-$B$10),-12*MAX(0,($B$6+$B$10)-IF($B$1+58&gt;=$B$23,$B$22,0))*(1+$B$4)^58)&gt;0,1+$B$3,1))</f>
        <v/>
      </c>
      <c r="BJ141">
        <f>IF($B$1+59&gt;90,BI141,(BI141+IF($B$1+59&lt;=$B141,12*($B$7-$B$10),-12*MAX(0,($B$6+$B$10)-IF($B$1+59&gt;=$B$23,$B$22,0))*(1+$B$4)^59))*IF(BI141+IF($B$1+59&lt;=$B141,12*($B$7-$B$10),-12*MAX(0,($B$6+$B$10)-IF($B$1+59&gt;=$B$23,$B$22,0))*(1+$B$4)^59)&gt;0,1+$B$3,1))</f>
        <v/>
      </c>
      <c r="BK141">
        <f>IF($B$1+60&gt;90,BJ141,(BJ141+IF($B$1+60&lt;=$B141,12*($B$7-$B$10),-12*MAX(0,($B$6+$B$10)-IF($B$1+60&gt;=$B$23,$B$22,0))*(1+$B$4)^60))*IF(BJ141+IF($B$1+60&lt;=$B141,12*($B$7-$B$10),-12*MAX(0,($B$6+$B$10)-IF($B$1+60&gt;=$B$23,$B$22,0))*(1+$B$4)^60)&gt;0,1+$B$3,1))</f>
        <v/>
      </c>
      <c r="BL141">
        <f>IF($B$1+61&gt;90,BK141,(BK141+IF($B$1+61&lt;=$B141,12*($B$7-$B$10),-12*MAX(0,($B$6+$B$10)-IF($B$1+61&gt;=$B$23,$B$22,0))*(1+$B$4)^61))*IF(BK141+IF($B$1+61&lt;=$B141,12*($B$7-$B$10),-12*MAX(0,($B$6+$B$10)-IF($B$1+61&gt;=$B$23,$B$22,0))*(1+$B$4)^61)&gt;0,1+$B$3,1))</f>
        <v/>
      </c>
      <c r="BM141">
        <f>IF($B$1+62&gt;90,BL141,(BL141+IF($B$1+62&lt;=$B141,12*($B$7-$B$10),-12*MAX(0,($B$6+$B$10)-IF($B$1+62&gt;=$B$23,$B$22,0))*(1+$B$4)^62))*IF(BL141+IF($B$1+62&lt;=$B141,12*($B$7-$B$10),-12*MAX(0,($B$6+$B$10)-IF($B$1+62&gt;=$B$23,$B$22,0))*(1+$B$4)^62)&gt;0,1+$B$3,1))</f>
        <v/>
      </c>
      <c r="BN141">
        <f>IF($B$1+63&gt;90,BM141,(BM141+IF($B$1+63&lt;=$B141,12*($B$7-$B$10),-12*MAX(0,($B$6+$B$10)-IF($B$1+63&gt;=$B$23,$B$22,0))*(1+$B$4)^63))*IF(BM141+IF($B$1+63&lt;=$B141,12*($B$7-$B$10),-12*MAX(0,($B$6+$B$10)-IF($B$1+63&gt;=$B$23,$B$22,0))*(1+$B$4)^63)&gt;0,1+$B$3,1))</f>
        <v/>
      </c>
      <c r="BO141">
        <f>IF($B$1+64&gt;90,BN141,(BN141+IF($B$1+64&lt;=$B141,12*($B$7-$B$10),-12*MAX(0,($B$6+$B$10)-IF($B$1+64&gt;=$B$23,$B$22,0))*(1+$B$4)^64))*IF(BN141+IF($B$1+64&lt;=$B141,12*($B$7-$B$10),-12*MAX(0,($B$6+$B$10)-IF($B$1+64&gt;=$B$23,$B$22,0))*(1+$B$4)^64)&gt;0,1+$B$3,1))</f>
        <v/>
      </c>
      <c r="BP141">
        <f>IF($B$1+65&gt;90,BO141,(BO141+IF($B$1+65&lt;=$B141,12*($B$7-$B$10),-12*MAX(0,($B$6+$B$10)-IF($B$1+65&gt;=$B$23,$B$22,0))*(1+$B$4)^65))*IF(BO141+IF($B$1+65&lt;=$B141,12*($B$7-$B$10),-12*MAX(0,($B$6+$B$10)-IF($B$1+65&gt;=$B$23,$B$22,0))*(1+$B$4)^65)&gt;0,1+$B$3,1))</f>
        <v/>
      </c>
      <c r="BQ141">
        <f>IF($B$1+66&gt;90,BP141,(BP141+IF($B$1+66&lt;=$B141,12*($B$7-$B$10),-12*MAX(0,($B$6+$B$10)-IF($B$1+66&gt;=$B$23,$B$22,0))*(1+$B$4)^66))*IF(BP141+IF($B$1+66&lt;=$B141,12*($B$7-$B$10),-12*MAX(0,($B$6+$B$10)-IF($B$1+66&gt;=$B$23,$B$22,0))*(1+$B$4)^66)&gt;0,1+$B$3,1))</f>
        <v/>
      </c>
      <c r="BR141">
        <f>IF($B$1+67&gt;90,BQ141,(BQ141+IF($B$1+67&lt;=$B141,12*($B$7-$B$10),-12*MAX(0,($B$6+$B$10)-IF($B$1+67&gt;=$B$23,$B$22,0))*(1+$B$4)^67))*IF(BQ141+IF($B$1+67&lt;=$B141,12*($B$7-$B$10),-12*MAX(0,($B$6+$B$10)-IF($B$1+67&gt;=$B$23,$B$22,0))*(1+$B$4)^67)&gt;0,1+$B$3,1))</f>
        <v/>
      </c>
      <c r="BS141">
        <f>IF($B$1+68&gt;90,BR141,(BR141+IF($B$1+68&lt;=$B141,12*($B$7-$B$10),-12*MAX(0,($B$6+$B$10)-IF($B$1+68&gt;=$B$23,$B$22,0))*(1+$B$4)^68))*IF(BR141+IF($B$1+68&lt;=$B141,12*($B$7-$B$10),-12*MAX(0,($B$6+$B$10)-IF($B$1+68&gt;=$B$23,$B$22,0))*(1+$B$4)^68)&gt;0,1+$B$3,1))</f>
        <v/>
      </c>
      <c r="BT141">
        <f>IF($B$1+69&gt;90,BS141,(BS141+IF($B$1+69&lt;=$B141,12*($B$7-$B$10),-12*MAX(0,($B$6+$B$10)-IF($B$1+69&gt;=$B$23,$B$22,0))*(1+$B$4)^69))*IF(BS141+IF($B$1+69&lt;=$B141,12*($B$7-$B$10),-12*MAX(0,($B$6+$B$10)-IF($B$1+69&gt;=$B$23,$B$22,0))*(1+$B$4)^69)&gt;0,1+$B$3,1))</f>
        <v/>
      </c>
      <c r="BU141">
        <f>IF($B$1+70&gt;90,BT141,(BT141+IF($B$1+70&lt;=$B141,12*($B$7-$B$10),-12*MAX(0,($B$6+$B$10)-IF($B$1+70&gt;=$B$23,$B$22,0))*(1+$B$4)^70))*IF(BT141+IF($B$1+70&lt;=$B141,12*($B$7-$B$10),-12*MAX(0,($B$6+$B$10)-IF($B$1+70&gt;=$B$23,$B$22,0))*(1+$B$4)^70)&gt;0,1+$B$3,1))</f>
        <v/>
      </c>
      <c r="BV141">
        <f>BU141</f>
        <v/>
      </c>
      <c r="BW141">
        <f>IF(AND($B141&lt;=70,BV141&gt;0),$B141,999)</f>
        <v/>
      </c>
      <c r="CH141">
        <f>IF(ISTEXT('월 가계부'!A141),SUBSTITUTE(SUBSTITUTE(SUBSTITUTE(SUBSTITUTE(SUBSTITUTE(SUBSTITUTE(SUBSTITUTE(SUBSTITUTE(SUBSTITUTE(TRIM('월 가계부'!A141),"년","-"),"월","-"),"일",""),".","-"),"/","-")," ","-"),"--","-"),"--","-"),"--","-")&amp;"-","")</f>
        <v/>
      </c>
      <c r="CI141">
        <f>IFERROR(IF('월 가계부'!A141="","",IF(ISNUMBER('월 가계부'!A141),IF(AND('월 가계부'!A141&gt;=19000101,'월 가계부'!A141&lt;=21001231),IF(AND(MOD(INT('월 가계부'!A141/100),100)&gt;=1,MOD(INT('월 가계부'!A141/100),100)&lt;=12,MOD(INT('월 가계부'!A141),100)&gt;=1,MOD(INT('월 가계부'!A141),100)&lt;=31),IF(MONTH(DATE(INT('월 가계부'!A141/10000),MOD(INT('월 가계부'!A141/100),100),MOD(INT('월 가계부'!A141),100)))=MOD(INT('월 가계부'!A141/100),100),DATE(INT('월 가계부'!A141/10000),MOD(INT('월 가계부'!A141/100),100),MOD(INT('월 가계부'!A141),100)),""),""),IF(AND('월 가계부'!A141&gt;=36526,'월 가계부'!A141&lt;73051),INT('월 가계부'!A141),"")),IF(OR(CM141="",CN141="",CO141=""),"",IF(AND(CM141&gt;=2000,CM141&lt;=2099,CN141&gt;=1,CN141&lt;=12,CO141&gt;=1,CO141&lt;=31),IF(MONTH(DATE(CM141,CN141,CO141))=CN141,DATE(CM141,CN141,CO141),""),"")))),"")</f>
        <v/>
      </c>
      <c r="CJ141">
        <f>IFERROR(IF('월 가계부'!C141="","",IF(ISNUMBER('월 가계부'!C141),'월 가계부'!C141,VALUE(SUBSTITUTE(SUBSTITUTE(SUBSTITUTE(SUBSTITUTE(TRIM('월 가계부'!C141),",",""),"원","")," ",""),"−","-")))),"")</f>
        <v/>
      </c>
      <c r="CK141">
        <f>IF(ISNUMBER(CI141),IF(CI141&lt;$B$13,CI141,""),"")</f>
        <v/>
      </c>
      <c r="CM141">
        <f>IF(CH141="","",IFERROR(IF(IF(AND(LEN(CH141)=9,ISERROR(FIND("-",LEFT(CH141,8))),ISNUMBER(-LEFT(CH141,8))),VALUE(LEFT(CH141,4)),VALUE(LEFT(CH141,FIND("-",CH141)-1)))&lt;100,IF(AND(LEN(CH141)=9,ISERROR(FIND("-",LEFT(CH141,8))),ISNUMBER(-LEFT(CH141,8))),VALUE(LEFT(CH141,4)),VALUE(LEFT(CH141,FIND("-",CH141)-1)))+2000,IF(AND(LEN(CH141)=9,ISERROR(FIND("-",LEFT(CH141,8))),ISNUMBER(-LEFT(CH141,8))),VALUE(LEFT(CH141,4)),VALUE(LEFT(CH141,FIND("-",CH141)-1)))),""))</f>
        <v/>
      </c>
      <c r="CN141">
        <f>IF(CH141="","",IFERROR(IF(AND(LEN(CH141)=9,ISERROR(FIND("-",LEFT(CH141,8))),ISNUMBER(-LEFT(CH141,8))),VALUE(MID(CH141,5,2)),VALUE(MID(CH141,FIND("-",CH141)+1,FIND("-",CH141,FIND("-",CH141)+1)-FIND("-",CH141)-1))),""))</f>
        <v/>
      </c>
      <c r="CO141">
        <f>IF(CH141="","",IFERROR(IF(AND(LEN(CH141)=9,ISERROR(FIND("-",LEFT(CH141,8))),ISNUMBER(-LEFT(CH141,8))),VALUE(MID(CH141,7,2)),VALUE(MID(CH141,FIND("-",CH141,FIND("-",CH141)+1)+1,FIND("-",CH141,FIND("-",CH141,FIND("-",CH141)+1)+1)-FIND("-",CH141,FIND("-",CH141)+1)-1))),""))</f>
        <v/>
      </c>
    </row>
    <row r="142">
      <c r="A142" t="n">
        <v>46</v>
      </c>
      <c r="B142">
        <f>$B$1+46</f>
        <v/>
      </c>
      <c r="C142">
        <f>$B$2</f>
        <v/>
      </c>
      <c r="D142">
        <f>IF($B$1+1&gt;90,C142,(C142+IF($B$1+1&lt;=$B142,12*($B$7-$B$10),-12*MAX(0,($B$6+$B$10)-IF($B$1+1&gt;=$B$23,$B$22,0))*(1+$B$4)^1))*IF(C142+IF($B$1+1&lt;=$B142,12*($B$7-$B$10),-12*MAX(0,($B$6+$B$10)-IF($B$1+1&gt;=$B$23,$B$22,0))*(1+$B$4)^1)&gt;0,1+$B$3,1))</f>
        <v/>
      </c>
      <c r="E142">
        <f>IF($B$1+2&gt;90,D142,(D142+IF($B$1+2&lt;=$B142,12*($B$7-$B$10),-12*MAX(0,($B$6+$B$10)-IF($B$1+2&gt;=$B$23,$B$22,0))*(1+$B$4)^2))*IF(D142+IF($B$1+2&lt;=$B142,12*($B$7-$B$10),-12*MAX(0,($B$6+$B$10)-IF($B$1+2&gt;=$B$23,$B$22,0))*(1+$B$4)^2)&gt;0,1+$B$3,1))</f>
        <v/>
      </c>
      <c r="F142">
        <f>IF($B$1+3&gt;90,E142,(E142+IF($B$1+3&lt;=$B142,12*($B$7-$B$10),-12*MAX(0,($B$6+$B$10)-IF($B$1+3&gt;=$B$23,$B$22,0))*(1+$B$4)^3))*IF(E142+IF($B$1+3&lt;=$B142,12*($B$7-$B$10),-12*MAX(0,($B$6+$B$10)-IF($B$1+3&gt;=$B$23,$B$22,0))*(1+$B$4)^3)&gt;0,1+$B$3,1))</f>
        <v/>
      </c>
      <c r="G142">
        <f>IF($B$1+4&gt;90,F142,(F142+IF($B$1+4&lt;=$B142,12*($B$7-$B$10),-12*MAX(0,($B$6+$B$10)-IF($B$1+4&gt;=$B$23,$B$22,0))*(1+$B$4)^4))*IF(F142+IF($B$1+4&lt;=$B142,12*($B$7-$B$10),-12*MAX(0,($B$6+$B$10)-IF($B$1+4&gt;=$B$23,$B$22,0))*(1+$B$4)^4)&gt;0,1+$B$3,1))</f>
        <v/>
      </c>
      <c r="H142">
        <f>IF($B$1+5&gt;90,G142,(G142+IF($B$1+5&lt;=$B142,12*($B$7-$B$10),-12*MAX(0,($B$6+$B$10)-IF($B$1+5&gt;=$B$23,$B$22,0))*(1+$B$4)^5))*IF(G142+IF($B$1+5&lt;=$B142,12*($B$7-$B$10),-12*MAX(0,($B$6+$B$10)-IF($B$1+5&gt;=$B$23,$B$22,0))*(1+$B$4)^5)&gt;0,1+$B$3,1))</f>
        <v/>
      </c>
      <c r="I142">
        <f>IF($B$1+6&gt;90,H142,(H142+IF($B$1+6&lt;=$B142,12*($B$7-$B$10),-12*MAX(0,($B$6+$B$10)-IF($B$1+6&gt;=$B$23,$B$22,0))*(1+$B$4)^6))*IF(H142+IF($B$1+6&lt;=$B142,12*($B$7-$B$10),-12*MAX(0,($B$6+$B$10)-IF($B$1+6&gt;=$B$23,$B$22,0))*(1+$B$4)^6)&gt;0,1+$B$3,1))</f>
        <v/>
      </c>
      <c r="J142">
        <f>IF($B$1+7&gt;90,I142,(I142+IF($B$1+7&lt;=$B142,12*($B$7-$B$10),-12*MAX(0,($B$6+$B$10)-IF($B$1+7&gt;=$B$23,$B$22,0))*(1+$B$4)^7))*IF(I142+IF($B$1+7&lt;=$B142,12*($B$7-$B$10),-12*MAX(0,($B$6+$B$10)-IF($B$1+7&gt;=$B$23,$B$22,0))*(1+$B$4)^7)&gt;0,1+$B$3,1))</f>
        <v/>
      </c>
      <c r="K142">
        <f>IF($B$1+8&gt;90,J142,(J142+IF($B$1+8&lt;=$B142,12*($B$7-$B$10),-12*MAX(0,($B$6+$B$10)-IF($B$1+8&gt;=$B$23,$B$22,0))*(1+$B$4)^8))*IF(J142+IF($B$1+8&lt;=$B142,12*($B$7-$B$10),-12*MAX(0,($B$6+$B$10)-IF($B$1+8&gt;=$B$23,$B$22,0))*(1+$B$4)^8)&gt;0,1+$B$3,1))</f>
        <v/>
      </c>
      <c r="L142">
        <f>IF($B$1+9&gt;90,K142,(K142+IF($B$1+9&lt;=$B142,12*($B$7-$B$10),-12*MAX(0,($B$6+$B$10)-IF($B$1+9&gt;=$B$23,$B$22,0))*(1+$B$4)^9))*IF(K142+IF($B$1+9&lt;=$B142,12*($B$7-$B$10),-12*MAX(0,($B$6+$B$10)-IF($B$1+9&gt;=$B$23,$B$22,0))*(1+$B$4)^9)&gt;0,1+$B$3,1))</f>
        <v/>
      </c>
      <c r="M142">
        <f>IF($B$1+10&gt;90,L142,(L142+IF($B$1+10&lt;=$B142,12*($B$7-$B$10),-12*MAX(0,($B$6+$B$10)-IF($B$1+10&gt;=$B$23,$B$22,0))*(1+$B$4)^10))*IF(L142+IF($B$1+10&lt;=$B142,12*($B$7-$B$10),-12*MAX(0,($B$6+$B$10)-IF($B$1+10&gt;=$B$23,$B$22,0))*(1+$B$4)^10)&gt;0,1+$B$3,1))</f>
        <v/>
      </c>
      <c r="N142">
        <f>IF($B$1+11&gt;90,M142,(M142+IF($B$1+11&lt;=$B142,12*($B$7-$B$10),-12*MAX(0,($B$6+$B$10)-IF($B$1+11&gt;=$B$23,$B$22,0))*(1+$B$4)^11))*IF(M142+IF($B$1+11&lt;=$B142,12*($B$7-$B$10),-12*MAX(0,($B$6+$B$10)-IF($B$1+11&gt;=$B$23,$B$22,0))*(1+$B$4)^11)&gt;0,1+$B$3,1))</f>
        <v/>
      </c>
      <c r="O142">
        <f>IF($B$1+12&gt;90,N142,(N142+IF($B$1+12&lt;=$B142,12*($B$7-$B$10),-12*MAX(0,($B$6+$B$10)-IF($B$1+12&gt;=$B$23,$B$22,0))*(1+$B$4)^12))*IF(N142+IF($B$1+12&lt;=$B142,12*($B$7-$B$10),-12*MAX(0,($B$6+$B$10)-IF($B$1+12&gt;=$B$23,$B$22,0))*(1+$B$4)^12)&gt;0,1+$B$3,1))</f>
        <v/>
      </c>
      <c r="P142">
        <f>IF($B$1+13&gt;90,O142,(O142+IF($B$1+13&lt;=$B142,12*($B$7-$B$10),-12*MAX(0,($B$6+$B$10)-IF($B$1+13&gt;=$B$23,$B$22,0))*(1+$B$4)^13))*IF(O142+IF($B$1+13&lt;=$B142,12*($B$7-$B$10),-12*MAX(0,($B$6+$B$10)-IF($B$1+13&gt;=$B$23,$B$22,0))*(1+$B$4)^13)&gt;0,1+$B$3,1))</f>
        <v/>
      </c>
      <c r="Q142">
        <f>IF($B$1+14&gt;90,P142,(P142+IF($B$1+14&lt;=$B142,12*($B$7-$B$10),-12*MAX(0,($B$6+$B$10)-IF($B$1+14&gt;=$B$23,$B$22,0))*(1+$B$4)^14))*IF(P142+IF($B$1+14&lt;=$B142,12*($B$7-$B$10),-12*MAX(0,($B$6+$B$10)-IF($B$1+14&gt;=$B$23,$B$22,0))*(1+$B$4)^14)&gt;0,1+$B$3,1))</f>
        <v/>
      </c>
      <c r="R142">
        <f>IF($B$1+15&gt;90,Q142,(Q142+IF($B$1+15&lt;=$B142,12*($B$7-$B$10),-12*MAX(0,($B$6+$B$10)-IF($B$1+15&gt;=$B$23,$B$22,0))*(1+$B$4)^15))*IF(Q142+IF($B$1+15&lt;=$B142,12*($B$7-$B$10),-12*MAX(0,($B$6+$B$10)-IF($B$1+15&gt;=$B$23,$B$22,0))*(1+$B$4)^15)&gt;0,1+$B$3,1))</f>
        <v/>
      </c>
      <c r="S142">
        <f>IF($B$1+16&gt;90,R142,(R142+IF($B$1+16&lt;=$B142,12*($B$7-$B$10),-12*MAX(0,($B$6+$B$10)-IF($B$1+16&gt;=$B$23,$B$22,0))*(1+$B$4)^16))*IF(R142+IF($B$1+16&lt;=$B142,12*($B$7-$B$10),-12*MAX(0,($B$6+$B$10)-IF($B$1+16&gt;=$B$23,$B$22,0))*(1+$B$4)^16)&gt;0,1+$B$3,1))</f>
        <v/>
      </c>
      <c r="T142">
        <f>IF($B$1+17&gt;90,S142,(S142+IF($B$1+17&lt;=$B142,12*($B$7-$B$10),-12*MAX(0,($B$6+$B$10)-IF($B$1+17&gt;=$B$23,$B$22,0))*(1+$B$4)^17))*IF(S142+IF($B$1+17&lt;=$B142,12*($B$7-$B$10),-12*MAX(0,($B$6+$B$10)-IF($B$1+17&gt;=$B$23,$B$22,0))*(1+$B$4)^17)&gt;0,1+$B$3,1))</f>
        <v/>
      </c>
      <c r="U142">
        <f>IF($B$1+18&gt;90,T142,(T142+IF($B$1+18&lt;=$B142,12*($B$7-$B$10),-12*MAX(0,($B$6+$B$10)-IF($B$1+18&gt;=$B$23,$B$22,0))*(1+$B$4)^18))*IF(T142+IF($B$1+18&lt;=$B142,12*($B$7-$B$10),-12*MAX(0,($B$6+$B$10)-IF($B$1+18&gt;=$B$23,$B$22,0))*(1+$B$4)^18)&gt;0,1+$B$3,1))</f>
        <v/>
      </c>
      <c r="V142">
        <f>IF($B$1+19&gt;90,U142,(U142+IF($B$1+19&lt;=$B142,12*($B$7-$B$10),-12*MAX(0,($B$6+$B$10)-IF($B$1+19&gt;=$B$23,$B$22,0))*(1+$B$4)^19))*IF(U142+IF($B$1+19&lt;=$B142,12*($B$7-$B$10),-12*MAX(0,($B$6+$B$10)-IF($B$1+19&gt;=$B$23,$B$22,0))*(1+$B$4)^19)&gt;0,1+$B$3,1))</f>
        <v/>
      </c>
      <c r="W142">
        <f>IF($B$1+20&gt;90,V142,(V142+IF($B$1+20&lt;=$B142,12*($B$7-$B$10),-12*MAX(0,($B$6+$B$10)-IF($B$1+20&gt;=$B$23,$B$22,0))*(1+$B$4)^20))*IF(V142+IF($B$1+20&lt;=$B142,12*($B$7-$B$10),-12*MAX(0,($B$6+$B$10)-IF($B$1+20&gt;=$B$23,$B$22,0))*(1+$B$4)^20)&gt;0,1+$B$3,1))</f>
        <v/>
      </c>
      <c r="X142">
        <f>IF($B$1+21&gt;90,W142,(W142+IF($B$1+21&lt;=$B142,12*($B$7-$B$10),-12*MAX(0,($B$6+$B$10)-IF($B$1+21&gt;=$B$23,$B$22,0))*(1+$B$4)^21))*IF(W142+IF($B$1+21&lt;=$B142,12*($B$7-$B$10),-12*MAX(0,($B$6+$B$10)-IF($B$1+21&gt;=$B$23,$B$22,0))*(1+$B$4)^21)&gt;0,1+$B$3,1))</f>
        <v/>
      </c>
      <c r="Y142">
        <f>IF($B$1+22&gt;90,X142,(X142+IF($B$1+22&lt;=$B142,12*($B$7-$B$10),-12*MAX(0,($B$6+$B$10)-IF($B$1+22&gt;=$B$23,$B$22,0))*(1+$B$4)^22))*IF(X142+IF($B$1+22&lt;=$B142,12*($B$7-$B$10),-12*MAX(0,($B$6+$B$10)-IF($B$1+22&gt;=$B$23,$B$22,0))*(1+$B$4)^22)&gt;0,1+$B$3,1))</f>
        <v/>
      </c>
      <c r="Z142">
        <f>IF($B$1+23&gt;90,Y142,(Y142+IF($B$1+23&lt;=$B142,12*($B$7-$B$10),-12*MAX(0,($B$6+$B$10)-IF($B$1+23&gt;=$B$23,$B$22,0))*(1+$B$4)^23))*IF(Y142+IF($B$1+23&lt;=$B142,12*($B$7-$B$10),-12*MAX(0,($B$6+$B$10)-IF($B$1+23&gt;=$B$23,$B$22,0))*(1+$B$4)^23)&gt;0,1+$B$3,1))</f>
        <v/>
      </c>
      <c r="AA142">
        <f>IF($B$1+24&gt;90,Z142,(Z142+IF($B$1+24&lt;=$B142,12*($B$7-$B$10),-12*MAX(0,($B$6+$B$10)-IF($B$1+24&gt;=$B$23,$B$22,0))*(1+$B$4)^24))*IF(Z142+IF($B$1+24&lt;=$B142,12*($B$7-$B$10),-12*MAX(0,($B$6+$B$10)-IF($B$1+24&gt;=$B$23,$B$22,0))*(1+$B$4)^24)&gt;0,1+$B$3,1))</f>
        <v/>
      </c>
      <c r="AB142">
        <f>IF($B$1+25&gt;90,AA142,(AA142+IF($B$1+25&lt;=$B142,12*($B$7-$B$10),-12*MAX(0,($B$6+$B$10)-IF($B$1+25&gt;=$B$23,$B$22,0))*(1+$B$4)^25))*IF(AA142+IF($B$1+25&lt;=$B142,12*($B$7-$B$10),-12*MAX(0,($B$6+$B$10)-IF($B$1+25&gt;=$B$23,$B$22,0))*(1+$B$4)^25)&gt;0,1+$B$3,1))</f>
        <v/>
      </c>
      <c r="AC142">
        <f>IF($B$1+26&gt;90,AB142,(AB142+IF($B$1+26&lt;=$B142,12*($B$7-$B$10),-12*MAX(0,($B$6+$B$10)-IF($B$1+26&gt;=$B$23,$B$22,0))*(1+$B$4)^26))*IF(AB142+IF($B$1+26&lt;=$B142,12*($B$7-$B$10),-12*MAX(0,($B$6+$B$10)-IF($B$1+26&gt;=$B$23,$B$22,0))*(1+$B$4)^26)&gt;0,1+$B$3,1))</f>
        <v/>
      </c>
      <c r="AD142">
        <f>IF($B$1+27&gt;90,AC142,(AC142+IF($B$1+27&lt;=$B142,12*($B$7-$B$10),-12*MAX(0,($B$6+$B$10)-IF($B$1+27&gt;=$B$23,$B$22,0))*(1+$B$4)^27))*IF(AC142+IF($B$1+27&lt;=$B142,12*($B$7-$B$10),-12*MAX(0,($B$6+$B$10)-IF($B$1+27&gt;=$B$23,$B$22,0))*(1+$B$4)^27)&gt;0,1+$B$3,1))</f>
        <v/>
      </c>
      <c r="AE142">
        <f>IF($B$1+28&gt;90,AD142,(AD142+IF($B$1+28&lt;=$B142,12*($B$7-$B$10),-12*MAX(0,($B$6+$B$10)-IF($B$1+28&gt;=$B$23,$B$22,0))*(1+$B$4)^28))*IF(AD142+IF($B$1+28&lt;=$B142,12*($B$7-$B$10),-12*MAX(0,($B$6+$B$10)-IF($B$1+28&gt;=$B$23,$B$22,0))*(1+$B$4)^28)&gt;0,1+$B$3,1))</f>
        <v/>
      </c>
      <c r="AF142">
        <f>IF($B$1+29&gt;90,AE142,(AE142+IF($B$1+29&lt;=$B142,12*($B$7-$B$10),-12*MAX(0,($B$6+$B$10)-IF($B$1+29&gt;=$B$23,$B$22,0))*(1+$B$4)^29))*IF(AE142+IF($B$1+29&lt;=$B142,12*($B$7-$B$10),-12*MAX(0,($B$6+$B$10)-IF($B$1+29&gt;=$B$23,$B$22,0))*(1+$B$4)^29)&gt;0,1+$B$3,1))</f>
        <v/>
      </c>
      <c r="AG142">
        <f>IF($B$1+30&gt;90,AF142,(AF142+IF($B$1+30&lt;=$B142,12*($B$7-$B$10),-12*MAX(0,($B$6+$B$10)-IF($B$1+30&gt;=$B$23,$B$22,0))*(1+$B$4)^30))*IF(AF142+IF($B$1+30&lt;=$B142,12*($B$7-$B$10),-12*MAX(0,($B$6+$B$10)-IF($B$1+30&gt;=$B$23,$B$22,0))*(1+$B$4)^30)&gt;0,1+$B$3,1))</f>
        <v/>
      </c>
      <c r="AH142">
        <f>IF($B$1+31&gt;90,AG142,(AG142+IF($B$1+31&lt;=$B142,12*($B$7-$B$10),-12*MAX(0,($B$6+$B$10)-IF($B$1+31&gt;=$B$23,$B$22,0))*(1+$B$4)^31))*IF(AG142+IF($B$1+31&lt;=$B142,12*($B$7-$B$10),-12*MAX(0,($B$6+$B$10)-IF($B$1+31&gt;=$B$23,$B$22,0))*(1+$B$4)^31)&gt;0,1+$B$3,1))</f>
        <v/>
      </c>
      <c r="AI142">
        <f>IF($B$1+32&gt;90,AH142,(AH142+IF($B$1+32&lt;=$B142,12*($B$7-$B$10),-12*MAX(0,($B$6+$B$10)-IF($B$1+32&gt;=$B$23,$B$22,0))*(1+$B$4)^32))*IF(AH142+IF($B$1+32&lt;=$B142,12*($B$7-$B$10),-12*MAX(0,($B$6+$B$10)-IF($B$1+32&gt;=$B$23,$B$22,0))*(1+$B$4)^32)&gt;0,1+$B$3,1))</f>
        <v/>
      </c>
      <c r="AJ142">
        <f>IF($B$1+33&gt;90,AI142,(AI142+IF($B$1+33&lt;=$B142,12*($B$7-$B$10),-12*MAX(0,($B$6+$B$10)-IF($B$1+33&gt;=$B$23,$B$22,0))*(1+$B$4)^33))*IF(AI142+IF($B$1+33&lt;=$B142,12*($B$7-$B$10),-12*MAX(0,($B$6+$B$10)-IF($B$1+33&gt;=$B$23,$B$22,0))*(1+$B$4)^33)&gt;0,1+$B$3,1))</f>
        <v/>
      </c>
      <c r="AK142">
        <f>IF($B$1+34&gt;90,AJ142,(AJ142+IF($B$1+34&lt;=$B142,12*($B$7-$B$10),-12*MAX(0,($B$6+$B$10)-IF($B$1+34&gt;=$B$23,$B$22,0))*(1+$B$4)^34))*IF(AJ142+IF($B$1+34&lt;=$B142,12*($B$7-$B$10),-12*MAX(0,($B$6+$B$10)-IF($B$1+34&gt;=$B$23,$B$22,0))*(1+$B$4)^34)&gt;0,1+$B$3,1))</f>
        <v/>
      </c>
      <c r="AL142">
        <f>IF($B$1+35&gt;90,AK142,(AK142+IF($B$1+35&lt;=$B142,12*($B$7-$B$10),-12*MAX(0,($B$6+$B$10)-IF($B$1+35&gt;=$B$23,$B$22,0))*(1+$B$4)^35))*IF(AK142+IF($B$1+35&lt;=$B142,12*($B$7-$B$10),-12*MAX(0,($B$6+$B$10)-IF($B$1+35&gt;=$B$23,$B$22,0))*(1+$B$4)^35)&gt;0,1+$B$3,1))</f>
        <v/>
      </c>
      <c r="AM142">
        <f>IF($B$1+36&gt;90,AL142,(AL142+IF($B$1+36&lt;=$B142,12*($B$7-$B$10),-12*MAX(0,($B$6+$B$10)-IF($B$1+36&gt;=$B$23,$B$22,0))*(1+$B$4)^36))*IF(AL142+IF($B$1+36&lt;=$B142,12*($B$7-$B$10),-12*MAX(0,($B$6+$B$10)-IF($B$1+36&gt;=$B$23,$B$22,0))*(1+$B$4)^36)&gt;0,1+$B$3,1))</f>
        <v/>
      </c>
      <c r="AN142">
        <f>IF($B$1+37&gt;90,AM142,(AM142+IF($B$1+37&lt;=$B142,12*($B$7-$B$10),-12*MAX(0,($B$6+$B$10)-IF($B$1+37&gt;=$B$23,$B$22,0))*(1+$B$4)^37))*IF(AM142+IF($B$1+37&lt;=$B142,12*($B$7-$B$10),-12*MAX(0,($B$6+$B$10)-IF($B$1+37&gt;=$B$23,$B$22,0))*(1+$B$4)^37)&gt;0,1+$B$3,1))</f>
        <v/>
      </c>
      <c r="AO142">
        <f>IF($B$1+38&gt;90,AN142,(AN142+IF($B$1+38&lt;=$B142,12*($B$7-$B$10),-12*MAX(0,($B$6+$B$10)-IF($B$1+38&gt;=$B$23,$B$22,0))*(1+$B$4)^38))*IF(AN142+IF($B$1+38&lt;=$B142,12*($B$7-$B$10),-12*MAX(0,($B$6+$B$10)-IF($B$1+38&gt;=$B$23,$B$22,0))*(1+$B$4)^38)&gt;0,1+$B$3,1))</f>
        <v/>
      </c>
      <c r="AP142">
        <f>IF($B$1+39&gt;90,AO142,(AO142+IF($B$1+39&lt;=$B142,12*($B$7-$B$10),-12*MAX(0,($B$6+$B$10)-IF($B$1+39&gt;=$B$23,$B$22,0))*(1+$B$4)^39))*IF(AO142+IF($B$1+39&lt;=$B142,12*($B$7-$B$10),-12*MAX(0,($B$6+$B$10)-IF($B$1+39&gt;=$B$23,$B$22,0))*(1+$B$4)^39)&gt;0,1+$B$3,1))</f>
        <v/>
      </c>
      <c r="AQ142">
        <f>IF($B$1+40&gt;90,AP142,(AP142+IF($B$1+40&lt;=$B142,12*($B$7-$B$10),-12*MAX(0,($B$6+$B$10)-IF($B$1+40&gt;=$B$23,$B$22,0))*(1+$B$4)^40))*IF(AP142+IF($B$1+40&lt;=$B142,12*($B$7-$B$10),-12*MAX(0,($B$6+$B$10)-IF($B$1+40&gt;=$B$23,$B$22,0))*(1+$B$4)^40)&gt;0,1+$B$3,1))</f>
        <v/>
      </c>
      <c r="AR142">
        <f>IF($B$1+41&gt;90,AQ142,(AQ142+IF($B$1+41&lt;=$B142,12*($B$7-$B$10),-12*MAX(0,($B$6+$B$10)-IF($B$1+41&gt;=$B$23,$B$22,0))*(1+$B$4)^41))*IF(AQ142+IF($B$1+41&lt;=$B142,12*($B$7-$B$10),-12*MAX(0,($B$6+$B$10)-IF($B$1+41&gt;=$B$23,$B$22,0))*(1+$B$4)^41)&gt;0,1+$B$3,1))</f>
        <v/>
      </c>
      <c r="AS142">
        <f>IF($B$1+42&gt;90,AR142,(AR142+IF($B$1+42&lt;=$B142,12*($B$7-$B$10),-12*MAX(0,($B$6+$B$10)-IF($B$1+42&gt;=$B$23,$B$22,0))*(1+$B$4)^42))*IF(AR142+IF($B$1+42&lt;=$B142,12*($B$7-$B$10),-12*MAX(0,($B$6+$B$10)-IF($B$1+42&gt;=$B$23,$B$22,0))*(1+$B$4)^42)&gt;0,1+$B$3,1))</f>
        <v/>
      </c>
      <c r="AT142">
        <f>IF($B$1+43&gt;90,AS142,(AS142+IF($B$1+43&lt;=$B142,12*($B$7-$B$10),-12*MAX(0,($B$6+$B$10)-IF($B$1+43&gt;=$B$23,$B$22,0))*(1+$B$4)^43))*IF(AS142+IF($B$1+43&lt;=$B142,12*($B$7-$B$10),-12*MAX(0,($B$6+$B$10)-IF($B$1+43&gt;=$B$23,$B$22,0))*(1+$B$4)^43)&gt;0,1+$B$3,1))</f>
        <v/>
      </c>
      <c r="AU142">
        <f>IF($B$1+44&gt;90,AT142,(AT142+IF($B$1+44&lt;=$B142,12*($B$7-$B$10),-12*MAX(0,($B$6+$B$10)-IF($B$1+44&gt;=$B$23,$B$22,0))*(1+$B$4)^44))*IF(AT142+IF($B$1+44&lt;=$B142,12*($B$7-$B$10),-12*MAX(0,($B$6+$B$10)-IF($B$1+44&gt;=$B$23,$B$22,0))*(1+$B$4)^44)&gt;0,1+$B$3,1))</f>
        <v/>
      </c>
      <c r="AV142">
        <f>IF($B$1+45&gt;90,AU142,(AU142+IF($B$1+45&lt;=$B142,12*($B$7-$B$10),-12*MAX(0,($B$6+$B$10)-IF($B$1+45&gt;=$B$23,$B$22,0))*(1+$B$4)^45))*IF(AU142+IF($B$1+45&lt;=$B142,12*($B$7-$B$10),-12*MAX(0,($B$6+$B$10)-IF($B$1+45&gt;=$B$23,$B$22,0))*(1+$B$4)^45)&gt;0,1+$B$3,1))</f>
        <v/>
      </c>
      <c r="AW142">
        <f>IF($B$1+46&gt;90,AV142,(AV142+IF($B$1+46&lt;=$B142,12*($B$7-$B$10),-12*MAX(0,($B$6+$B$10)-IF($B$1+46&gt;=$B$23,$B$22,0))*(1+$B$4)^46))*IF(AV142+IF($B$1+46&lt;=$B142,12*($B$7-$B$10),-12*MAX(0,($B$6+$B$10)-IF($B$1+46&gt;=$B$23,$B$22,0))*(1+$B$4)^46)&gt;0,1+$B$3,1))</f>
        <v/>
      </c>
      <c r="AX142">
        <f>IF($B$1+47&gt;90,AW142,(AW142+IF($B$1+47&lt;=$B142,12*($B$7-$B$10),-12*MAX(0,($B$6+$B$10)-IF($B$1+47&gt;=$B$23,$B$22,0))*(1+$B$4)^47))*IF(AW142+IF($B$1+47&lt;=$B142,12*($B$7-$B$10),-12*MAX(0,($B$6+$B$10)-IF($B$1+47&gt;=$B$23,$B$22,0))*(1+$B$4)^47)&gt;0,1+$B$3,1))</f>
        <v/>
      </c>
      <c r="AY142">
        <f>IF($B$1+48&gt;90,AX142,(AX142+IF($B$1+48&lt;=$B142,12*($B$7-$B$10),-12*MAX(0,($B$6+$B$10)-IF($B$1+48&gt;=$B$23,$B$22,0))*(1+$B$4)^48))*IF(AX142+IF($B$1+48&lt;=$B142,12*($B$7-$B$10),-12*MAX(0,($B$6+$B$10)-IF($B$1+48&gt;=$B$23,$B$22,0))*(1+$B$4)^48)&gt;0,1+$B$3,1))</f>
        <v/>
      </c>
      <c r="AZ142">
        <f>IF($B$1+49&gt;90,AY142,(AY142+IF($B$1+49&lt;=$B142,12*($B$7-$B$10),-12*MAX(0,($B$6+$B$10)-IF($B$1+49&gt;=$B$23,$B$22,0))*(1+$B$4)^49))*IF(AY142+IF($B$1+49&lt;=$B142,12*($B$7-$B$10),-12*MAX(0,($B$6+$B$10)-IF($B$1+49&gt;=$B$23,$B$22,0))*(1+$B$4)^49)&gt;0,1+$B$3,1))</f>
        <v/>
      </c>
      <c r="BA142">
        <f>IF($B$1+50&gt;90,AZ142,(AZ142+IF($B$1+50&lt;=$B142,12*($B$7-$B$10),-12*MAX(0,($B$6+$B$10)-IF($B$1+50&gt;=$B$23,$B$22,0))*(1+$B$4)^50))*IF(AZ142+IF($B$1+50&lt;=$B142,12*($B$7-$B$10),-12*MAX(0,($B$6+$B$10)-IF($B$1+50&gt;=$B$23,$B$22,0))*(1+$B$4)^50)&gt;0,1+$B$3,1))</f>
        <v/>
      </c>
      <c r="BB142">
        <f>IF($B$1+51&gt;90,BA142,(BA142+IF($B$1+51&lt;=$B142,12*($B$7-$B$10),-12*MAX(0,($B$6+$B$10)-IF($B$1+51&gt;=$B$23,$B$22,0))*(1+$B$4)^51))*IF(BA142+IF($B$1+51&lt;=$B142,12*($B$7-$B$10),-12*MAX(0,($B$6+$B$10)-IF($B$1+51&gt;=$B$23,$B$22,0))*(1+$B$4)^51)&gt;0,1+$B$3,1))</f>
        <v/>
      </c>
      <c r="BC142">
        <f>IF($B$1+52&gt;90,BB142,(BB142+IF($B$1+52&lt;=$B142,12*($B$7-$B$10),-12*MAX(0,($B$6+$B$10)-IF($B$1+52&gt;=$B$23,$B$22,0))*(1+$B$4)^52))*IF(BB142+IF($B$1+52&lt;=$B142,12*($B$7-$B$10),-12*MAX(0,($B$6+$B$10)-IF($B$1+52&gt;=$B$23,$B$22,0))*(1+$B$4)^52)&gt;0,1+$B$3,1))</f>
        <v/>
      </c>
      <c r="BD142">
        <f>IF($B$1+53&gt;90,BC142,(BC142+IF($B$1+53&lt;=$B142,12*($B$7-$B$10),-12*MAX(0,($B$6+$B$10)-IF($B$1+53&gt;=$B$23,$B$22,0))*(1+$B$4)^53))*IF(BC142+IF($B$1+53&lt;=$B142,12*($B$7-$B$10),-12*MAX(0,($B$6+$B$10)-IF($B$1+53&gt;=$B$23,$B$22,0))*(1+$B$4)^53)&gt;0,1+$B$3,1))</f>
        <v/>
      </c>
      <c r="BE142">
        <f>IF($B$1+54&gt;90,BD142,(BD142+IF($B$1+54&lt;=$B142,12*($B$7-$B$10),-12*MAX(0,($B$6+$B$10)-IF($B$1+54&gt;=$B$23,$B$22,0))*(1+$B$4)^54))*IF(BD142+IF($B$1+54&lt;=$B142,12*($B$7-$B$10),-12*MAX(0,($B$6+$B$10)-IF($B$1+54&gt;=$B$23,$B$22,0))*(1+$B$4)^54)&gt;0,1+$B$3,1))</f>
        <v/>
      </c>
      <c r="BF142">
        <f>IF($B$1+55&gt;90,BE142,(BE142+IF($B$1+55&lt;=$B142,12*($B$7-$B$10),-12*MAX(0,($B$6+$B$10)-IF($B$1+55&gt;=$B$23,$B$22,0))*(1+$B$4)^55))*IF(BE142+IF($B$1+55&lt;=$B142,12*($B$7-$B$10),-12*MAX(0,($B$6+$B$10)-IF($B$1+55&gt;=$B$23,$B$22,0))*(1+$B$4)^55)&gt;0,1+$B$3,1))</f>
        <v/>
      </c>
      <c r="BG142">
        <f>IF($B$1+56&gt;90,BF142,(BF142+IF($B$1+56&lt;=$B142,12*($B$7-$B$10),-12*MAX(0,($B$6+$B$10)-IF($B$1+56&gt;=$B$23,$B$22,0))*(1+$B$4)^56))*IF(BF142+IF($B$1+56&lt;=$B142,12*($B$7-$B$10),-12*MAX(0,($B$6+$B$10)-IF($B$1+56&gt;=$B$23,$B$22,0))*(1+$B$4)^56)&gt;0,1+$B$3,1))</f>
        <v/>
      </c>
      <c r="BH142">
        <f>IF($B$1+57&gt;90,BG142,(BG142+IF($B$1+57&lt;=$B142,12*($B$7-$B$10),-12*MAX(0,($B$6+$B$10)-IF($B$1+57&gt;=$B$23,$B$22,0))*(1+$B$4)^57))*IF(BG142+IF($B$1+57&lt;=$B142,12*($B$7-$B$10),-12*MAX(0,($B$6+$B$10)-IF($B$1+57&gt;=$B$23,$B$22,0))*(1+$B$4)^57)&gt;0,1+$B$3,1))</f>
        <v/>
      </c>
      <c r="BI142">
        <f>IF($B$1+58&gt;90,BH142,(BH142+IF($B$1+58&lt;=$B142,12*($B$7-$B$10),-12*MAX(0,($B$6+$B$10)-IF($B$1+58&gt;=$B$23,$B$22,0))*(1+$B$4)^58))*IF(BH142+IF($B$1+58&lt;=$B142,12*($B$7-$B$10),-12*MAX(0,($B$6+$B$10)-IF($B$1+58&gt;=$B$23,$B$22,0))*(1+$B$4)^58)&gt;0,1+$B$3,1))</f>
        <v/>
      </c>
      <c r="BJ142">
        <f>IF($B$1+59&gt;90,BI142,(BI142+IF($B$1+59&lt;=$B142,12*($B$7-$B$10),-12*MAX(0,($B$6+$B$10)-IF($B$1+59&gt;=$B$23,$B$22,0))*(1+$B$4)^59))*IF(BI142+IF($B$1+59&lt;=$B142,12*($B$7-$B$10),-12*MAX(0,($B$6+$B$10)-IF($B$1+59&gt;=$B$23,$B$22,0))*(1+$B$4)^59)&gt;0,1+$B$3,1))</f>
        <v/>
      </c>
      <c r="BK142">
        <f>IF($B$1+60&gt;90,BJ142,(BJ142+IF($B$1+60&lt;=$B142,12*($B$7-$B$10),-12*MAX(0,($B$6+$B$10)-IF($B$1+60&gt;=$B$23,$B$22,0))*(1+$B$4)^60))*IF(BJ142+IF($B$1+60&lt;=$B142,12*($B$7-$B$10),-12*MAX(0,($B$6+$B$10)-IF($B$1+60&gt;=$B$23,$B$22,0))*(1+$B$4)^60)&gt;0,1+$B$3,1))</f>
        <v/>
      </c>
      <c r="BL142">
        <f>IF($B$1+61&gt;90,BK142,(BK142+IF($B$1+61&lt;=$B142,12*($B$7-$B$10),-12*MAX(0,($B$6+$B$10)-IF($B$1+61&gt;=$B$23,$B$22,0))*(1+$B$4)^61))*IF(BK142+IF($B$1+61&lt;=$B142,12*($B$7-$B$10),-12*MAX(0,($B$6+$B$10)-IF($B$1+61&gt;=$B$23,$B$22,0))*(1+$B$4)^61)&gt;0,1+$B$3,1))</f>
        <v/>
      </c>
      <c r="BM142">
        <f>IF($B$1+62&gt;90,BL142,(BL142+IF($B$1+62&lt;=$B142,12*($B$7-$B$10),-12*MAX(0,($B$6+$B$10)-IF($B$1+62&gt;=$B$23,$B$22,0))*(1+$B$4)^62))*IF(BL142+IF($B$1+62&lt;=$B142,12*($B$7-$B$10),-12*MAX(0,($B$6+$B$10)-IF($B$1+62&gt;=$B$23,$B$22,0))*(1+$B$4)^62)&gt;0,1+$B$3,1))</f>
        <v/>
      </c>
      <c r="BN142">
        <f>IF($B$1+63&gt;90,BM142,(BM142+IF($B$1+63&lt;=$B142,12*($B$7-$B$10),-12*MAX(0,($B$6+$B$10)-IF($B$1+63&gt;=$B$23,$B$22,0))*(1+$B$4)^63))*IF(BM142+IF($B$1+63&lt;=$B142,12*($B$7-$B$10),-12*MAX(0,($B$6+$B$10)-IF($B$1+63&gt;=$B$23,$B$22,0))*(1+$B$4)^63)&gt;0,1+$B$3,1))</f>
        <v/>
      </c>
      <c r="BO142">
        <f>IF($B$1+64&gt;90,BN142,(BN142+IF($B$1+64&lt;=$B142,12*($B$7-$B$10),-12*MAX(0,($B$6+$B$10)-IF($B$1+64&gt;=$B$23,$B$22,0))*(1+$B$4)^64))*IF(BN142+IF($B$1+64&lt;=$B142,12*($B$7-$B$10),-12*MAX(0,($B$6+$B$10)-IF($B$1+64&gt;=$B$23,$B$22,0))*(1+$B$4)^64)&gt;0,1+$B$3,1))</f>
        <v/>
      </c>
      <c r="BP142">
        <f>IF($B$1+65&gt;90,BO142,(BO142+IF($B$1+65&lt;=$B142,12*($B$7-$B$10),-12*MAX(0,($B$6+$B$10)-IF($B$1+65&gt;=$B$23,$B$22,0))*(1+$B$4)^65))*IF(BO142+IF($B$1+65&lt;=$B142,12*($B$7-$B$10),-12*MAX(0,($B$6+$B$10)-IF($B$1+65&gt;=$B$23,$B$22,0))*(1+$B$4)^65)&gt;0,1+$B$3,1))</f>
        <v/>
      </c>
      <c r="BQ142">
        <f>IF($B$1+66&gt;90,BP142,(BP142+IF($B$1+66&lt;=$B142,12*($B$7-$B$10),-12*MAX(0,($B$6+$B$10)-IF($B$1+66&gt;=$B$23,$B$22,0))*(1+$B$4)^66))*IF(BP142+IF($B$1+66&lt;=$B142,12*($B$7-$B$10),-12*MAX(0,($B$6+$B$10)-IF($B$1+66&gt;=$B$23,$B$22,0))*(1+$B$4)^66)&gt;0,1+$B$3,1))</f>
        <v/>
      </c>
      <c r="BR142">
        <f>IF($B$1+67&gt;90,BQ142,(BQ142+IF($B$1+67&lt;=$B142,12*($B$7-$B$10),-12*MAX(0,($B$6+$B$10)-IF($B$1+67&gt;=$B$23,$B$22,0))*(1+$B$4)^67))*IF(BQ142+IF($B$1+67&lt;=$B142,12*($B$7-$B$10),-12*MAX(0,($B$6+$B$10)-IF($B$1+67&gt;=$B$23,$B$22,0))*(1+$B$4)^67)&gt;0,1+$B$3,1))</f>
        <v/>
      </c>
      <c r="BS142">
        <f>IF($B$1+68&gt;90,BR142,(BR142+IF($B$1+68&lt;=$B142,12*($B$7-$B$10),-12*MAX(0,($B$6+$B$10)-IF($B$1+68&gt;=$B$23,$B$22,0))*(1+$B$4)^68))*IF(BR142+IF($B$1+68&lt;=$B142,12*($B$7-$B$10),-12*MAX(0,($B$6+$B$10)-IF($B$1+68&gt;=$B$23,$B$22,0))*(1+$B$4)^68)&gt;0,1+$B$3,1))</f>
        <v/>
      </c>
      <c r="BT142">
        <f>IF($B$1+69&gt;90,BS142,(BS142+IF($B$1+69&lt;=$B142,12*($B$7-$B$10),-12*MAX(0,($B$6+$B$10)-IF($B$1+69&gt;=$B$23,$B$22,0))*(1+$B$4)^69))*IF(BS142+IF($B$1+69&lt;=$B142,12*($B$7-$B$10),-12*MAX(0,($B$6+$B$10)-IF($B$1+69&gt;=$B$23,$B$22,0))*(1+$B$4)^69)&gt;0,1+$B$3,1))</f>
        <v/>
      </c>
      <c r="BU142">
        <f>IF($B$1+70&gt;90,BT142,(BT142+IF($B$1+70&lt;=$B142,12*($B$7-$B$10),-12*MAX(0,($B$6+$B$10)-IF($B$1+70&gt;=$B$23,$B$22,0))*(1+$B$4)^70))*IF(BT142+IF($B$1+70&lt;=$B142,12*($B$7-$B$10),-12*MAX(0,($B$6+$B$10)-IF($B$1+70&gt;=$B$23,$B$22,0))*(1+$B$4)^70)&gt;0,1+$B$3,1))</f>
        <v/>
      </c>
      <c r="BV142">
        <f>BU142</f>
        <v/>
      </c>
      <c r="BW142">
        <f>IF(AND($B142&lt;=70,BV142&gt;0),$B142,999)</f>
        <v/>
      </c>
      <c r="CH142">
        <f>IF(ISTEXT('월 가계부'!A142),SUBSTITUTE(SUBSTITUTE(SUBSTITUTE(SUBSTITUTE(SUBSTITUTE(SUBSTITUTE(SUBSTITUTE(SUBSTITUTE(SUBSTITUTE(TRIM('월 가계부'!A142),"년","-"),"월","-"),"일",""),".","-"),"/","-")," ","-"),"--","-"),"--","-"),"--","-")&amp;"-","")</f>
        <v/>
      </c>
      <c r="CI142">
        <f>IFERROR(IF('월 가계부'!A142="","",IF(ISNUMBER('월 가계부'!A142),IF(AND('월 가계부'!A142&gt;=19000101,'월 가계부'!A142&lt;=21001231),IF(AND(MOD(INT('월 가계부'!A142/100),100)&gt;=1,MOD(INT('월 가계부'!A142/100),100)&lt;=12,MOD(INT('월 가계부'!A142),100)&gt;=1,MOD(INT('월 가계부'!A142),100)&lt;=31),IF(MONTH(DATE(INT('월 가계부'!A142/10000),MOD(INT('월 가계부'!A142/100),100),MOD(INT('월 가계부'!A142),100)))=MOD(INT('월 가계부'!A142/100),100),DATE(INT('월 가계부'!A142/10000),MOD(INT('월 가계부'!A142/100),100),MOD(INT('월 가계부'!A142),100)),""),""),IF(AND('월 가계부'!A142&gt;=36526,'월 가계부'!A142&lt;73051),INT('월 가계부'!A142),"")),IF(OR(CM142="",CN142="",CO142=""),"",IF(AND(CM142&gt;=2000,CM142&lt;=2099,CN142&gt;=1,CN142&lt;=12,CO142&gt;=1,CO142&lt;=31),IF(MONTH(DATE(CM142,CN142,CO142))=CN142,DATE(CM142,CN142,CO142),""),"")))),"")</f>
        <v/>
      </c>
      <c r="CJ142">
        <f>IFERROR(IF('월 가계부'!C142="","",IF(ISNUMBER('월 가계부'!C142),'월 가계부'!C142,VALUE(SUBSTITUTE(SUBSTITUTE(SUBSTITUTE(SUBSTITUTE(TRIM('월 가계부'!C142),",",""),"원","")," ",""),"−","-")))),"")</f>
        <v/>
      </c>
      <c r="CK142">
        <f>IF(ISNUMBER(CI142),IF(CI142&lt;$B$13,CI142,""),"")</f>
        <v/>
      </c>
      <c r="CM142">
        <f>IF(CH142="","",IFERROR(IF(IF(AND(LEN(CH142)=9,ISERROR(FIND("-",LEFT(CH142,8))),ISNUMBER(-LEFT(CH142,8))),VALUE(LEFT(CH142,4)),VALUE(LEFT(CH142,FIND("-",CH142)-1)))&lt;100,IF(AND(LEN(CH142)=9,ISERROR(FIND("-",LEFT(CH142,8))),ISNUMBER(-LEFT(CH142,8))),VALUE(LEFT(CH142,4)),VALUE(LEFT(CH142,FIND("-",CH142)-1)))+2000,IF(AND(LEN(CH142)=9,ISERROR(FIND("-",LEFT(CH142,8))),ISNUMBER(-LEFT(CH142,8))),VALUE(LEFT(CH142,4)),VALUE(LEFT(CH142,FIND("-",CH142)-1)))),""))</f>
        <v/>
      </c>
      <c r="CN142">
        <f>IF(CH142="","",IFERROR(IF(AND(LEN(CH142)=9,ISERROR(FIND("-",LEFT(CH142,8))),ISNUMBER(-LEFT(CH142,8))),VALUE(MID(CH142,5,2)),VALUE(MID(CH142,FIND("-",CH142)+1,FIND("-",CH142,FIND("-",CH142)+1)-FIND("-",CH142)-1))),""))</f>
        <v/>
      </c>
      <c r="CO142">
        <f>IF(CH142="","",IFERROR(IF(AND(LEN(CH142)=9,ISERROR(FIND("-",LEFT(CH142,8))),ISNUMBER(-LEFT(CH142,8))),VALUE(MID(CH142,7,2)),VALUE(MID(CH142,FIND("-",CH142,FIND("-",CH142)+1)+1,FIND("-",CH142,FIND("-",CH142,FIND("-",CH142)+1)+1)-FIND("-",CH142,FIND("-",CH142)+1)-1))),""))</f>
        <v/>
      </c>
    </row>
    <row r="143">
      <c r="A143" t="n">
        <v>47</v>
      </c>
      <c r="B143">
        <f>$B$1+47</f>
        <v/>
      </c>
      <c r="C143">
        <f>$B$2</f>
        <v/>
      </c>
      <c r="D143">
        <f>IF($B$1+1&gt;90,C143,(C143+IF($B$1+1&lt;=$B143,12*($B$7-$B$10),-12*MAX(0,($B$6+$B$10)-IF($B$1+1&gt;=$B$23,$B$22,0))*(1+$B$4)^1))*IF(C143+IF($B$1+1&lt;=$B143,12*($B$7-$B$10),-12*MAX(0,($B$6+$B$10)-IF($B$1+1&gt;=$B$23,$B$22,0))*(1+$B$4)^1)&gt;0,1+$B$3,1))</f>
        <v/>
      </c>
      <c r="E143">
        <f>IF($B$1+2&gt;90,D143,(D143+IF($B$1+2&lt;=$B143,12*($B$7-$B$10),-12*MAX(0,($B$6+$B$10)-IF($B$1+2&gt;=$B$23,$B$22,0))*(1+$B$4)^2))*IF(D143+IF($B$1+2&lt;=$B143,12*($B$7-$B$10),-12*MAX(0,($B$6+$B$10)-IF($B$1+2&gt;=$B$23,$B$22,0))*(1+$B$4)^2)&gt;0,1+$B$3,1))</f>
        <v/>
      </c>
      <c r="F143">
        <f>IF($B$1+3&gt;90,E143,(E143+IF($B$1+3&lt;=$B143,12*($B$7-$B$10),-12*MAX(0,($B$6+$B$10)-IF($B$1+3&gt;=$B$23,$B$22,0))*(1+$B$4)^3))*IF(E143+IF($B$1+3&lt;=$B143,12*($B$7-$B$10),-12*MAX(0,($B$6+$B$10)-IF($B$1+3&gt;=$B$23,$B$22,0))*(1+$B$4)^3)&gt;0,1+$B$3,1))</f>
        <v/>
      </c>
      <c r="G143">
        <f>IF($B$1+4&gt;90,F143,(F143+IF($B$1+4&lt;=$B143,12*($B$7-$B$10),-12*MAX(0,($B$6+$B$10)-IF($B$1+4&gt;=$B$23,$B$22,0))*(1+$B$4)^4))*IF(F143+IF($B$1+4&lt;=$B143,12*($B$7-$B$10),-12*MAX(0,($B$6+$B$10)-IF($B$1+4&gt;=$B$23,$B$22,0))*(1+$B$4)^4)&gt;0,1+$B$3,1))</f>
        <v/>
      </c>
      <c r="H143">
        <f>IF($B$1+5&gt;90,G143,(G143+IF($B$1+5&lt;=$B143,12*($B$7-$B$10),-12*MAX(0,($B$6+$B$10)-IF($B$1+5&gt;=$B$23,$B$22,0))*(1+$B$4)^5))*IF(G143+IF($B$1+5&lt;=$B143,12*($B$7-$B$10),-12*MAX(0,($B$6+$B$10)-IF($B$1+5&gt;=$B$23,$B$22,0))*(1+$B$4)^5)&gt;0,1+$B$3,1))</f>
        <v/>
      </c>
      <c r="I143">
        <f>IF($B$1+6&gt;90,H143,(H143+IF($B$1+6&lt;=$B143,12*($B$7-$B$10),-12*MAX(0,($B$6+$B$10)-IF($B$1+6&gt;=$B$23,$B$22,0))*(1+$B$4)^6))*IF(H143+IF($B$1+6&lt;=$B143,12*($B$7-$B$10),-12*MAX(0,($B$6+$B$10)-IF($B$1+6&gt;=$B$23,$B$22,0))*(1+$B$4)^6)&gt;0,1+$B$3,1))</f>
        <v/>
      </c>
      <c r="J143">
        <f>IF($B$1+7&gt;90,I143,(I143+IF($B$1+7&lt;=$B143,12*($B$7-$B$10),-12*MAX(0,($B$6+$B$10)-IF($B$1+7&gt;=$B$23,$B$22,0))*(1+$B$4)^7))*IF(I143+IF($B$1+7&lt;=$B143,12*($B$7-$B$10),-12*MAX(0,($B$6+$B$10)-IF($B$1+7&gt;=$B$23,$B$22,0))*(1+$B$4)^7)&gt;0,1+$B$3,1))</f>
        <v/>
      </c>
      <c r="K143">
        <f>IF($B$1+8&gt;90,J143,(J143+IF($B$1+8&lt;=$B143,12*($B$7-$B$10),-12*MAX(0,($B$6+$B$10)-IF($B$1+8&gt;=$B$23,$B$22,0))*(1+$B$4)^8))*IF(J143+IF($B$1+8&lt;=$B143,12*($B$7-$B$10),-12*MAX(0,($B$6+$B$10)-IF($B$1+8&gt;=$B$23,$B$22,0))*(1+$B$4)^8)&gt;0,1+$B$3,1))</f>
        <v/>
      </c>
      <c r="L143">
        <f>IF($B$1+9&gt;90,K143,(K143+IF($B$1+9&lt;=$B143,12*($B$7-$B$10),-12*MAX(0,($B$6+$B$10)-IF($B$1+9&gt;=$B$23,$B$22,0))*(1+$B$4)^9))*IF(K143+IF($B$1+9&lt;=$B143,12*($B$7-$B$10),-12*MAX(0,($B$6+$B$10)-IF($B$1+9&gt;=$B$23,$B$22,0))*(1+$B$4)^9)&gt;0,1+$B$3,1))</f>
        <v/>
      </c>
      <c r="M143">
        <f>IF($B$1+10&gt;90,L143,(L143+IF($B$1+10&lt;=$B143,12*($B$7-$B$10),-12*MAX(0,($B$6+$B$10)-IF($B$1+10&gt;=$B$23,$B$22,0))*(1+$B$4)^10))*IF(L143+IF($B$1+10&lt;=$B143,12*($B$7-$B$10),-12*MAX(0,($B$6+$B$10)-IF($B$1+10&gt;=$B$23,$B$22,0))*(1+$B$4)^10)&gt;0,1+$B$3,1))</f>
        <v/>
      </c>
      <c r="N143">
        <f>IF($B$1+11&gt;90,M143,(M143+IF($B$1+11&lt;=$B143,12*($B$7-$B$10),-12*MAX(0,($B$6+$B$10)-IF($B$1+11&gt;=$B$23,$B$22,0))*(1+$B$4)^11))*IF(M143+IF($B$1+11&lt;=$B143,12*($B$7-$B$10),-12*MAX(0,($B$6+$B$10)-IF($B$1+11&gt;=$B$23,$B$22,0))*(1+$B$4)^11)&gt;0,1+$B$3,1))</f>
        <v/>
      </c>
      <c r="O143">
        <f>IF($B$1+12&gt;90,N143,(N143+IF($B$1+12&lt;=$B143,12*($B$7-$B$10),-12*MAX(0,($B$6+$B$10)-IF($B$1+12&gt;=$B$23,$B$22,0))*(1+$B$4)^12))*IF(N143+IF($B$1+12&lt;=$B143,12*($B$7-$B$10),-12*MAX(0,($B$6+$B$10)-IF($B$1+12&gt;=$B$23,$B$22,0))*(1+$B$4)^12)&gt;0,1+$B$3,1))</f>
        <v/>
      </c>
      <c r="P143">
        <f>IF($B$1+13&gt;90,O143,(O143+IF($B$1+13&lt;=$B143,12*($B$7-$B$10),-12*MAX(0,($B$6+$B$10)-IF($B$1+13&gt;=$B$23,$B$22,0))*(1+$B$4)^13))*IF(O143+IF($B$1+13&lt;=$B143,12*($B$7-$B$10),-12*MAX(0,($B$6+$B$10)-IF($B$1+13&gt;=$B$23,$B$22,0))*(1+$B$4)^13)&gt;0,1+$B$3,1))</f>
        <v/>
      </c>
      <c r="Q143">
        <f>IF($B$1+14&gt;90,P143,(P143+IF($B$1+14&lt;=$B143,12*($B$7-$B$10),-12*MAX(0,($B$6+$B$10)-IF($B$1+14&gt;=$B$23,$B$22,0))*(1+$B$4)^14))*IF(P143+IF($B$1+14&lt;=$B143,12*($B$7-$B$10),-12*MAX(0,($B$6+$B$10)-IF($B$1+14&gt;=$B$23,$B$22,0))*(1+$B$4)^14)&gt;0,1+$B$3,1))</f>
        <v/>
      </c>
      <c r="R143">
        <f>IF($B$1+15&gt;90,Q143,(Q143+IF($B$1+15&lt;=$B143,12*($B$7-$B$10),-12*MAX(0,($B$6+$B$10)-IF($B$1+15&gt;=$B$23,$B$22,0))*(1+$B$4)^15))*IF(Q143+IF($B$1+15&lt;=$B143,12*($B$7-$B$10),-12*MAX(0,($B$6+$B$10)-IF($B$1+15&gt;=$B$23,$B$22,0))*(1+$B$4)^15)&gt;0,1+$B$3,1))</f>
        <v/>
      </c>
      <c r="S143">
        <f>IF($B$1+16&gt;90,R143,(R143+IF($B$1+16&lt;=$B143,12*($B$7-$B$10),-12*MAX(0,($B$6+$B$10)-IF($B$1+16&gt;=$B$23,$B$22,0))*(1+$B$4)^16))*IF(R143+IF($B$1+16&lt;=$B143,12*($B$7-$B$10),-12*MAX(0,($B$6+$B$10)-IF($B$1+16&gt;=$B$23,$B$22,0))*(1+$B$4)^16)&gt;0,1+$B$3,1))</f>
        <v/>
      </c>
      <c r="T143">
        <f>IF($B$1+17&gt;90,S143,(S143+IF($B$1+17&lt;=$B143,12*($B$7-$B$10),-12*MAX(0,($B$6+$B$10)-IF($B$1+17&gt;=$B$23,$B$22,0))*(1+$B$4)^17))*IF(S143+IF($B$1+17&lt;=$B143,12*($B$7-$B$10),-12*MAX(0,($B$6+$B$10)-IF($B$1+17&gt;=$B$23,$B$22,0))*(1+$B$4)^17)&gt;0,1+$B$3,1))</f>
        <v/>
      </c>
      <c r="U143">
        <f>IF($B$1+18&gt;90,T143,(T143+IF($B$1+18&lt;=$B143,12*($B$7-$B$10),-12*MAX(0,($B$6+$B$10)-IF($B$1+18&gt;=$B$23,$B$22,0))*(1+$B$4)^18))*IF(T143+IF($B$1+18&lt;=$B143,12*($B$7-$B$10),-12*MAX(0,($B$6+$B$10)-IF($B$1+18&gt;=$B$23,$B$22,0))*(1+$B$4)^18)&gt;0,1+$B$3,1))</f>
        <v/>
      </c>
      <c r="V143">
        <f>IF($B$1+19&gt;90,U143,(U143+IF($B$1+19&lt;=$B143,12*($B$7-$B$10),-12*MAX(0,($B$6+$B$10)-IF($B$1+19&gt;=$B$23,$B$22,0))*(1+$B$4)^19))*IF(U143+IF($B$1+19&lt;=$B143,12*($B$7-$B$10),-12*MAX(0,($B$6+$B$10)-IF($B$1+19&gt;=$B$23,$B$22,0))*(1+$B$4)^19)&gt;0,1+$B$3,1))</f>
        <v/>
      </c>
      <c r="W143">
        <f>IF($B$1+20&gt;90,V143,(V143+IF($B$1+20&lt;=$B143,12*($B$7-$B$10),-12*MAX(0,($B$6+$B$10)-IF($B$1+20&gt;=$B$23,$B$22,0))*(1+$B$4)^20))*IF(V143+IF($B$1+20&lt;=$B143,12*($B$7-$B$10),-12*MAX(0,($B$6+$B$10)-IF($B$1+20&gt;=$B$23,$B$22,0))*(1+$B$4)^20)&gt;0,1+$B$3,1))</f>
        <v/>
      </c>
      <c r="X143">
        <f>IF($B$1+21&gt;90,W143,(W143+IF($B$1+21&lt;=$B143,12*($B$7-$B$10),-12*MAX(0,($B$6+$B$10)-IF($B$1+21&gt;=$B$23,$B$22,0))*(1+$B$4)^21))*IF(W143+IF($B$1+21&lt;=$B143,12*($B$7-$B$10),-12*MAX(0,($B$6+$B$10)-IF($B$1+21&gt;=$B$23,$B$22,0))*(1+$B$4)^21)&gt;0,1+$B$3,1))</f>
        <v/>
      </c>
      <c r="Y143">
        <f>IF($B$1+22&gt;90,X143,(X143+IF($B$1+22&lt;=$B143,12*($B$7-$B$10),-12*MAX(0,($B$6+$B$10)-IF($B$1+22&gt;=$B$23,$B$22,0))*(1+$B$4)^22))*IF(X143+IF($B$1+22&lt;=$B143,12*($B$7-$B$10),-12*MAX(0,($B$6+$B$10)-IF($B$1+22&gt;=$B$23,$B$22,0))*(1+$B$4)^22)&gt;0,1+$B$3,1))</f>
        <v/>
      </c>
      <c r="Z143">
        <f>IF($B$1+23&gt;90,Y143,(Y143+IF($B$1+23&lt;=$B143,12*($B$7-$B$10),-12*MAX(0,($B$6+$B$10)-IF($B$1+23&gt;=$B$23,$B$22,0))*(1+$B$4)^23))*IF(Y143+IF($B$1+23&lt;=$B143,12*($B$7-$B$10),-12*MAX(0,($B$6+$B$10)-IF($B$1+23&gt;=$B$23,$B$22,0))*(1+$B$4)^23)&gt;0,1+$B$3,1))</f>
        <v/>
      </c>
      <c r="AA143">
        <f>IF($B$1+24&gt;90,Z143,(Z143+IF($B$1+24&lt;=$B143,12*($B$7-$B$10),-12*MAX(0,($B$6+$B$10)-IF($B$1+24&gt;=$B$23,$B$22,0))*(1+$B$4)^24))*IF(Z143+IF($B$1+24&lt;=$B143,12*($B$7-$B$10),-12*MAX(0,($B$6+$B$10)-IF($B$1+24&gt;=$B$23,$B$22,0))*(1+$B$4)^24)&gt;0,1+$B$3,1))</f>
        <v/>
      </c>
      <c r="AB143">
        <f>IF($B$1+25&gt;90,AA143,(AA143+IF($B$1+25&lt;=$B143,12*($B$7-$B$10),-12*MAX(0,($B$6+$B$10)-IF($B$1+25&gt;=$B$23,$B$22,0))*(1+$B$4)^25))*IF(AA143+IF($B$1+25&lt;=$B143,12*($B$7-$B$10),-12*MAX(0,($B$6+$B$10)-IF($B$1+25&gt;=$B$23,$B$22,0))*(1+$B$4)^25)&gt;0,1+$B$3,1))</f>
        <v/>
      </c>
      <c r="AC143">
        <f>IF($B$1+26&gt;90,AB143,(AB143+IF($B$1+26&lt;=$B143,12*($B$7-$B$10),-12*MAX(0,($B$6+$B$10)-IF($B$1+26&gt;=$B$23,$B$22,0))*(1+$B$4)^26))*IF(AB143+IF($B$1+26&lt;=$B143,12*($B$7-$B$10),-12*MAX(0,($B$6+$B$10)-IF($B$1+26&gt;=$B$23,$B$22,0))*(1+$B$4)^26)&gt;0,1+$B$3,1))</f>
        <v/>
      </c>
      <c r="AD143">
        <f>IF($B$1+27&gt;90,AC143,(AC143+IF($B$1+27&lt;=$B143,12*($B$7-$B$10),-12*MAX(0,($B$6+$B$10)-IF($B$1+27&gt;=$B$23,$B$22,0))*(1+$B$4)^27))*IF(AC143+IF($B$1+27&lt;=$B143,12*($B$7-$B$10),-12*MAX(0,($B$6+$B$10)-IF($B$1+27&gt;=$B$23,$B$22,0))*(1+$B$4)^27)&gt;0,1+$B$3,1))</f>
        <v/>
      </c>
      <c r="AE143">
        <f>IF($B$1+28&gt;90,AD143,(AD143+IF($B$1+28&lt;=$B143,12*($B$7-$B$10),-12*MAX(0,($B$6+$B$10)-IF($B$1+28&gt;=$B$23,$B$22,0))*(1+$B$4)^28))*IF(AD143+IF($B$1+28&lt;=$B143,12*($B$7-$B$10),-12*MAX(0,($B$6+$B$10)-IF($B$1+28&gt;=$B$23,$B$22,0))*(1+$B$4)^28)&gt;0,1+$B$3,1))</f>
        <v/>
      </c>
      <c r="AF143">
        <f>IF($B$1+29&gt;90,AE143,(AE143+IF($B$1+29&lt;=$B143,12*($B$7-$B$10),-12*MAX(0,($B$6+$B$10)-IF($B$1+29&gt;=$B$23,$B$22,0))*(1+$B$4)^29))*IF(AE143+IF($B$1+29&lt;=$B143,12*($B$7-$B$10),-12*MAX(0,($B$6+$B$10)-IF($B$1+29&gt;=$B$23,$B$22,0))*(1+$B$4)^29)&gt;0,1+$B$3,1))</f>
        <v/>
      </c>
      <c r="AG143">
        <f>IF($B$1+30&gt;90,AF143,(AF143+IF($B$1+30&lt;=$B143,12*($B$7-$B$10),-12*MAX(0,($B$6+$B$10)-IF($B$1+30&gt;=$B$23,$B$22,0))*(1+$B$4)^30))*IF(AF143+IF($B$1+30&lt;=$B143,12*($B$7-$B$10),-12*MAX(0,($B$6+$B$10)-IF($B$1+30&gt;=$B$23,$B$22,0))*(1+$B$4)^30)&gt;0,1+$B$3,1))</f>
        <v/>
      </c>
      <c r="AH143">
        <f>IF($B$1+31&gt;90,AG143,(AG143+IF($B$1+31&lt;=$B143,12*($B$7-$B$10),-12*MAX(0,($B$6+$B$10)-IF($B$1+31&gt;=$B$23,$B$22,0))*(1+$B$4)^31))*IF(AG143+IF($B$1+31&lt;=$B143,12*($B$7-$B$10),-12*MAX(0,($B$6+$B$10)-IF($B$1+31&gt;=$B$23,$B$22,0))*(1+$B$4)^31)&gt;0,1+$B$3,1))</f>
        <v/>
      </c>
      <c r="AI143">
        <f>IF($B$1+32&gt;90,AH143,(AH143+IF($B$1+32&lt;=$B143,12*($B$7-$B$10),-12*MAX(0,($B$6+$B$10)-IF($B$1+32&gt;=$B$23,$B$22,0))*(1+$B$4)^32))*IF(AH143+IF($B$1+32&lt;=$B143,12*($B$7-$B$10),-12*MAX(0,($B$6+$B$10)-IF($B$1+32&gt;=$B$23,$B$22,0))*(1+$B$4)^32)&gt;0,1+$B$3,1))</f>
        <v/>
      </c>
      <c r="AJ143">
        <f>IF($B$1+33&gt;90,AI143,(AI143+IF($B$1+33&lt;=$B143,12*($B$7-$B$10),-12*MAX(0,($B$6+$B$10)-IF($B$1+33&gt;=$B$23,$B$22,0))*(1+$B$4)^33))*IF(AI143+IF($B$1+33&lt;=$B143,12*($B$7-$B$10),-12*MAX(0,($B$6+$B$10)-IF($B$1+33&gt;=$B$23,$B$22,0))*(1+$B$4)^33)&gt;0,1+$B$3,1))</f>
        <v/>
      </c>
      <c r="AK143">
        <f>IF($B$1+34&gt;90,AJ143,(AJ143+IF($B$1+34&lt;=$B143,12*($B$7-$B$10),-12*MAX(0,($B$6+$B$10)-IF($B$1+34&gt;=$B$23,$B$22,0))*(1+$B$4)^34))*IF(AJ143+IF($B$1+34&lt;=$B143,12*($B$7-$B$10),-12*MAX(0,($B$6+$B$10)-IF($B$1+34&gt;=$B$23,$B$22,0))*(1+$B$4)^34)&gt;0,1+$B$3,1))</f>
        <v/>
      </c>
      <c r="AL143">
        <f>IF($B$1+35&gt;90,AK143,(AK143+IF($B$1+35&lt;=$B143,12*($B$7-$B$10),-12*MAX(0,($B$6+$B$10)-IF($B$1+35&gt;=$B$23,$B$22,0))*(1+$B$4)^35))*IF(AK143+IF($B$1+35&lt;=$B143,12*($B$7-$B$10),-12*MAX(0,($B$6+$B$10)-IF($B$1+35&gt;=$B$23,$B$22,0))*(1+$B$4)^35)&gt;0,1+$B$3,1))</f>
        <v/>
      </c>
      <c r="AM143">
        <f>IF($B$1+36&gt;90,AL143,(AL143+IF($B$1+36&lt;=$B143,12*($B$7-$B$10),-12*MAX(0,($B$6+$B$10)-IF($B$1+36&gt;=$B$23,$B$22,0))*(1+$B$4)^36))*IF(AL143+IF($B$1+36&lt;=$B143,12*($B$7-$B$10),-12*MAX(0,($B$6+$B$10)-IF($B$1+36&gt;=$B$23,$B$22,0))*(1+$B$4)^36)&gt;0,1+$B$3,1))</f>
        <v/>
      </c>
      <c r="AN143">
        <f>IF($B$1+37&gt;90,AM143,(AM143+IF($B$1+37&lt;=$B143,12*($B$7-$B$10),-12*MAX(0,($B$6+$B$10)-IF($B$1+37&gt;=$B$23,$B$22,0))*(1+$B$4)^37))*IF(AM143+IF($B$1+37&lt;=$B143,12*($B$7-$B$10),-12*MAX(0,($B$6+$B$10)-IF($B$1+37&gt;=$B$23,$B$22,0))*(1+$B$4)^37)&gt;0,1+$B$3,1))</f>
        <v/>
      </c>
      <c r="AO143">
        <f>IF($B$1+38&gt;90,AN143,(AN143+IF($B$1+38&lt;=$B143,12*($B$7-$B$10),-12*MAX(0,($B$6+$B$10)-IF($B$1+38&gt;=$B$23,$B$22,0))*(1+$B$4)^38))*IF(AN143+IF($B$1+38&lt;=$B143,12*($B$7-$B$10),-12*MAX(0,($B$6+$B$10)-IF($B$1+38&gt;=$B$23,$B$22,0))*(1+$B$4)^38)&gt;0,1+$B$3,1))</f>
        <v/>
      </c>
      <c r="AP143">
        <f>IF($B$1+39&gt;90,AO143,(AO143+IF($B$1+39&lt;=$B143,12*($B$7-$B$10),-12*MAX(0,($B$6+$B$10)-IF($B$1+39&gt;=$B$23,$B$22,0))*(1+$B$4)^39))*IF(AO143+IF($B$1+39&lt;=$B143,12*($B$7-$B$10),-12*MAX(0,($B$6+$B$10)-IF($B$1+39&gt;=$B$23,$B$22,0))*(1+$B$4)^39)&gt;0,1+$B$3,1))</f>
        <v/>
      </c>
      <c r="AQ143">
        <f>IF($B$1+40&gt;90,AP143,(AP143+IF($B$1+40&lt;=$B143,12*($B$7-$B$10),-12*MAX(0,($B$6+$B$10)-IF($B$1+40&gt;=$B$23,$B$22,0))*(1+$B$4)^40))*IF(AP143+IF($B$1+40&lt;=$B143,12*($B$7-$B$10),-12*MAX(0,($B$6+$B$10)-IF($B$1+40&gt;=$B$23,$B$22,0))*(1+$B$4)^40)&gt;0,1+$B$3,1))</f>
        <v/>
      </c>
      <c r="AR143">
        <f>IF($B$1+41&gt;90,AQ143,(AQ143+IF($B$1+41&lt;=$B143,12*($B$7-$B$10),-12*MAX(0,($B$6+$B$10)-IF($B$1+41&gt;=$B$23,$B$22,0))*(1+$B$4)^41))*IF(AQ143+IF($B$1+41&lt;=$B143,12*($B$7-$B$10),-12*MAX(0,($B$6+$B$10)-IF($B$1+41&gt;=$B$23,$B$22,0))*(1+$B$4)^41)&gt;0,1+$B$3,1))</f>
        <v/>
      </c>
      <c r="AS143">
        <f>IF($B$1+42&gt;90,AR143,(AR143+IF($B$1+42&lt;=$B143,12*($B$7-$B$10),-12*MAX(0,($B$6+$B$10)-IF($B$1+42&gt;=$B$23,$B$22,0))*(1+$B$4)^42))*IF(AR143+IF($B$1+42&lt;=$B143,12*($B$7-$B$10),-12*MAX(0,($B$6+$B$10)-IF($B$1+42&gt;=$B$23,$B$22,0))*(1+$B$4)^42)&gt;0,1+$B$3,1))</f>
        <v/>
      </c>
      <c r="AT143">
        <f>IF($B$1+43&gt;90,AS143,(AS143+IF($B$1+43&lt;=$B143,12*($B$7-$B$10),-12*MAX(0,($B$6+$B$10)-IF($B$1+43&gt;=$B$23,$B$22,0))*(1+$B$4)^43))*IF(AS143+IF($B$1+43&lt;=$B143,12*($B$7-$B$10),-12*MAX(0,($B$6+$B$10)-IF($B$1+43&gt;=$B$23,$B$22,0))*(1+$B$4)^43)&gt;0,1+$B$3,1))</f>
        <v/>
      </c>
      <c r="AU143">
        <f>IF($B$1+44&gt;90,AT143,(AT143+IF($B$1+44&lt;=$B143,12*($B$7-$B$10),-12*MAX(0,($B$6+$B$10)-IF($B$1+44&gt;=$B$23,$B$22,0))*(1+$B$4)^44))*IF(AT143+IF($B$1+44&lt;=$B143,12*($B$7-$B$10),-12*MAX(0,($B$6+$B$10)-IF($B$1+44&gt;=$B$23,$B$22,0))*(1+$B$4)^44)&gt;0,1+$B$3,1))</f>
        <v/>
      </c>
      <c r="AV143">
        <f>IF($B$1+45&gt;90,AU143,(AU143+IF($B$1+45&lt;=$B143,12*($B$7-$B$10),-12*MAX(0,($B$6+$B$10)-IF($B$1+45&gt;=$B$23,$B$22,0))*(1+$B$4)^45))*IF(AU143+IF($B$1+45&lt;=$B143,12*($B$7-$B$10),-12*MAX(0,($B$6+$B$10)-IF($B$1+45&gt;=$B$23,$B$22,0))*(1+$B$4)^45)&gt;0,1+$B$3,1))</f>
        <v/>
      </c>
      <c r="AW143">
        <f>IF($B$1+46&gt;90,AV143,(AV143+IF($B$1+46&lt;=$B143,12*($B$7-$B$10),-12*MAX(0,($B$6+$B$10)-IF($B$1+46&gt;=$B$23,$B$22,0))*(1+$B$4)^46))*IF(AV143+IF($B$1+46&lt;=$B143,12*($B$7-$B$10),-12*MAX(0,($B$6+$B$10)-IF($B$1+46&gt;=$B$23,$B$22,0))*(1+$B$4)^46)&gt;0,1+$B$3,1))</f>
        <v/>
      </c>
      <c r="AX143">
        <f>IF($B$1+47&gt;90,AW143,(AW143+IF($B$1+47&lt;=$B143,12*($B$7-$B$10),-12*MAX(0,($B$6+$B$10)-IF($B$1+47&gt;=$B$23,$B$22,0))*(1+$B$4)^47))*IF(AW143+IF($B$1+47&lt;=$B143,12*($B$7-$B$10),-12*MAX(0,($B$6+$B$10)-IF($B$1+47&gt;=$B$23,$B$22,0))*(1+$B$4)^47)&gt;0,1+$B$3,1))</f>
        <v/>
      </c>
      <c r="AY143">
        <f>IF($B$1+48&gt;90,AX143,(AX143+IF($B$1+48&lt;=$B143,12*($B$7-$B$10),-12*MAX(0,($B$6+$B$10)-IF($B$1+48&gt;=$B$23,$B$22,0))*(1+$B$4)^48))*IF(AX143+IF($B$1+48&lt;=$B143,12*($B$7-$B$10),-12*MAX(0,($B$6+$B$10)-IF($B$1+48&gt;=$B$23,$B$22,0))*(1+$B$4)^48)&gt;0,1+$B$3,1))</f>
        <v/>
      </c>
      <c r="AZ143">
        <f>IF($B$1+49&gt;90,AY143,(AY143+IF($B$1+49&lt;=$B143,12*($B$7-$B$10),-12*MAX(0,($B$6+$B$10)-IF($B$1+49&gt;=$B$23,$B$22,0))*(1+$B$4)^49))*IF(AY143+IF($B$1+49&lt;=$B143,12*($B$7-$B$10),-12*MAX(0,($B$6+$B$10)-IF($B$1+49&gt;=$B$23,$B$22,0))*(1+$B$4)^49)&gt;0,1+$B$3,1))</f>
        <v/>
      </c>
      <c r="BA143">
        <f>IF($B$1+50&gt;90,AZ143,(AZ143+IF($B$1+50&lt;=$B143,12*($B$7-$B$10),-12*MAX(0,($B$6+$B$10)-IF($B$1+50&gt;=$B$23,$B$22,0))*(1+$B$4)^50))*IF(AZ143+IF($B$1+50&lt;=$B143,12*($B$7-$B$10),-12*MAX(0,($B$6+$B$10)-IF($B$1+50&gt;=$B$23,$B$22,0))*(1+$B$4)^50)&gt;0,1+$B$3,1))</f>
        <v/>
      </c>
      <c r="BB143">
        <f>IF($B$1+51&gt;90,BA143,(BA143+IF($B$1+51&lt;=$B143,12*($B$7-$B$10),-12*MAX(0,($B$6+$B$10)-IF($B$1+51&gt;=$B$23,$B$22,0))*(1+$B$4)^51))*IF(BA143+IF($B$1+51&lt;=$B143,12*($B$7-$B$10),-12*MAX(0,($B$6+$B$10)-IF($B$1+51&gt;=$B$23,$B$22,0))*(1+$B$4)^51)&gt;0,1+$B$3,1))</f>
        <v/>
      </c>
      <c r="BC143">
        <f>IF($B$1+52&gt;90,BB143,(BB143+IF($B$1+52&lt;=$B143,12*($B$7-$B$10),-12*MAX(0,($B$6+$B$10)-IF($B$1+52&gt;=$B$23,$B$22,0))*(1+$B$4)^52))*IF(BB143+IF($B$1+52&lt;=$B143,12*($B$7-$B$10),-12*MAX(0,($B$6+$B$10)-IF($B$1+52&gt;=$B$23,$B$22,0))*(1+$B$4)^52)&gt;0,1+$B$3,1))</f>
        <v/>
      </c>
      <c r="BD143">
        <f>IF($B$1+53&gt;90,BC143,(BC143+IF($B$1+53&lt;=$B143,12*($B$7-$B$10),-12*MAX(0,($B$6+$B$10)-IF($B$1+53&gt;=$B$23,$B$22,0))*(1+$B$4)^53))*IF(BC143+IF($B$1+53&lt;=$B143,12*($B$7-$B$10),-12*MAX(0,($B$6+$B$10)-IF($B$1+53&gt;=$B$23,$B$22,0))*(1+$B$4)^53)&gt;0,1+$B$3,1))</f>
        <v/>
      </c>
      <c r="BE143">
        <f>IF($B$1+54&gt;90,BD143,(BD143+IF($B$1+54&lt;=$B143,12*($B$7-$B$10),-12*MAX(0,($B$6+$B$10)-IF($B$1+54&gt;=$B$23,$B$22,0))*(1+$B$4)^54))*IF(BD143+IF($B$1+54&lt;=$B143,12*($B$7-$B$10),-12*MAX(0,($B$6+$B$10)-IF($B$1+54&gt;=$B$23,$B$22,0))*(1+$B$4)^54)&gt;0,1+$B$3,1))</f>
        <v/>
      </c>
      <c r="BF143">
        <f>IF($B$1+55&gt;90,BE143,(BE143+IF($B$1+55&lt;=$B143,12*($B$7-$B$10),-12*MAX(0,($B$6+$B$10)-IF($B$1+55&gt;=$B$23,$B$22,0))*(1+$B$4)^55))*IF(BE143+IF($B$1+55&lt;=$B143,12*($B$7-$B$10),-12*MAX(0,($B$6+$B$10)-IF($B$1+55&gt;=$B$23,$B$22,0))*(1+$B$4)^55)&gt;0,1+$B$3,1))</f>
        <v/>
      </c>
      <c r="BG143">
        <f>IF($B$1+56&gt;90,BF143,(BF143+IF($B$1+56&lt;=$B143,12*($B$7-$B$10),-12*MAX(0,($B$6+$B$10)-IF($B$1+56&gt;=$B$23,$B$22,0))*(1+$B$4)^56))*IF(BF143+IF($B$1+56&lt;=$B143,12*($B$7-$B$10),-12*MAX(0,($B$6+$B$10)-IF($B$1+56&gt;=$B$23,$B$22,0))*(1+$B$4)^56)&gt;0,1+$B$3,1))</f>
        <v/>
      </c>
      <c r="BH143">
        <f>IF($B$1+57&gt;90,BG143,(BG143+IF($B$1+57&lt;=$B143,12*($B$7-$B$10),-12*MAX(0,($B$6+$B$10)-IF($B$1+57&gt;=$B$23,$B$22,0))*(1+$B$4)^57))*IF(BG143+IF($B$1+57&lt;=$B143,12*($B$7-$B$10),-12*MAX(0,($B$6+$B$10)-IF($B$1+57&gt;=$B$23,$B$22,0))*(1+$B$4)^57)&gt;0,1+$B$3,1))</f>
        <v/>
      </c>
      <c r="BI143">
        <f>IF($B$1+58&gt;90,BH143,(BH143+IF($B$1+58&lt;=$B143,12*($B$7-$B$10),-12*MAX(0,($B$6+$B$10)-IF($B$1+58&gt;=$B$23,$B$22,0))*(1+$B$4)^58))*IF(BH143+IF($B$1+58&lt;=$B143,12*($B$7-$B$10),-12*MAX(0,($B$6+$B$10)-IF($B$1+58&gt;=$B$23,$B$22,0))*(1+$B$4)^58)&gt;0,1+$B$3,1))</f>
        <v/>
      </c>
      <c r="BJ143">
        <f>IF($B$1+59&gt;90,BI143,(BI143+IF($B$1+59&lt;=$B143,12*($B$7-$B$10),-12*MAX(0,($B$6+$B$10)-IF($B$1+59&gt;=$B$23,$B$22,0))*(1+$B$4)^59))*IF(BI143+IF($B$1+59&lt;=$B143,12*($B$7-$B$10),-12*MAX(0,($B$6+$B$10)-IF($B$1+59&gt;=$B$23,$B$22,0))*(1+$B$4)^59)&gt;0,1+$B$3,1))</f>
        <v/>
      </c>
      <c r="BK143">
        <f>IF($B$1+60&gt;90,BJ143,(BJ143+IF($B$1+60&lt;=$B143,12*($B$7-$B$10),-12*MAX(0,($B$6+$B$10)-IF($B$1+60&gt;=$B$23,$B$22,0))*(1+$B$4)^60))*IF(BJ143+IF($B$1+60&lt;=$B143,12*($B$7-$B$10),-12*MAX(0,($B$6+$B$10)-IF($B$1+60&gt;=$B$23,$B$22,0))*(1+$B$4)^60)&gt;0,1+$B$3,1))</f>
        <v/>
      </c>
      <c r="BL143">
        <f>IF($B$1+61&gt;90,BK143,(BK143+IF($B$1+61&lt;=$B143,12*($B$7-$B$10),-12*MAX(0,($B$6+$B$10)-IF($B$1+61&gt;=$B$23,$B$22,0))*(1+$B$4)^61))*IF(BK143+IF($B$1+61&lt;=$B143,12*($B$7-$B$10),-12*MAX(0,($B$6+$B$10)-IF($B$1+61&gt;=$B$23,$B$22,0))*(1+$B$4)^61)&gt;0,1+$B$3,1))</f>
        <v/>
      </c>
      <c r="BM143">
        <f>IF($B$1+62&gt;90,BL143,(BL143+IF($B$1+62&lt;=$B143,12*($B$7-$B$10),-12*MAX(0,($B$6+$B$10)-IF($B$1+62&gt;=$B$23,$B$22,0))*(1+$B$4)^62))*IF(BL143+IF($B$1+62&lt;=$B143,12*($B$7-$B$10),-12*MAX(0,($B$6+$B$10)-IF($B$1+62&gt;=$B$23,$B$22,0))*(1+$B$4)^62)&gt;0,1+$B$3,1))</f>
        <v/>
      </c>
      <c r="BN143">
        <f>IF($B$1+63&gt;90,BM143,(BM143+IF($B$1+63&lt;=$B143,12*($B$7-$B$10),-12*MAX(0,($B$6+$B$10)-IF($B$1+63&gt;=$B$23,$B$22,0))*(1+$B$4)^63))*IF(BM143+IF($B$1+63&lt;=$B143,12*($B$7-$B$10),-12*MAX(0,($B$6+$B$10)-IF($B$1+63&gt;=$B$23,$B$22,0))*(1+$B$4)^63)&gt;0,1+$B$3,1))</f>
        <v/>
      </c>
      <c r="BO143">
        <f>IF($B$1+64&gt;90,BN143,(BN143+IF($B$1+64&lt;=$B143,12*($B$7-$B$10),-12*MAX(0,($B$6+$B$10)-IF($B$1+64&gt;=$B$23,$B$22,0))*(1+$B$4)^64))*IF(BN143+IF($B$1+64&lt;=$B143,12*($B$7-$B$10),-12*MAX(0,($B$6+$B$10)-IF($B$1+64&gt;=$B$23,$B$22,0))*(1+$B$4)^64)&gt;0,1+$B$3,1))</f>
        <v/>
      </c>
      <c r="BP143">
        <f>IF($B$1+65&gt;90,BO143,(BO143+IF($B$1+65&lt;=$B143,12*($B$7-$B$10),-12*MAX(0,($B$6+$B$10)-IF($B$1+65&gt;=$B$23,$B$22,0))*(1+$B$4)^65))*IF(BO143+IF($B$1+65&lt;=$B143,12*($B$7-$B$10),-12*MAX(0,($B$6+$B$10)-IF($B$1+65&gt;=$B$23,$B$22,0))*(1+$B$4)^65)&gt;0,1+$B$3,1))</f>
        <v/>
      </c>
      <c r="BQ143">
        <f>IF($B$1+66&gt;90,BP143,(BP143+IF($B$1+66&lt;=$B143,12*($B$7-$B$10),-12*MAX(0,($B$6+$B$10)-IF($B$1+66&gt;=$B$23,$B$22,0))*(1+$B$4)^66))*IF(BP143+IF($B$1+66&lt;=$B143,12*($B$7-$B$10),-12*MAX(0,($B$6+$B$10)-IF($B$1+66&gt;=$B$23,$B$22,0))*(1+$B$4)^66)&gt;0,1+$B$3,1))</f>
        <v/>
      </c>
      <c r="BR143">
        <f>IF($B$1+67&gt;90,BQ143,(BQ143+IF($B$1+67&lt;=$B143,12*($B$7-$B$10),-12*MAX(0,($B$6+$B$10)-IF($B$1+67&gt;=$B$23,$B$22,0))*(1+$B$4)^67))*IF(BQ143+IF($B$1+67&lt;=$B143,12*($B$7-$B$10),-12*MAX(0,($B$6+$B$10)-IF($B$1+67&gt;=$B$23,$B$22,0))*(1+$B$4)^67)&gt;0,1+$B$3,1))</f>
        <v/>
      </c>
      <c r="BS143">
        <f>IF($B$1+68&gt;90,BR143,(BR143+IF($B$1+68&lt;=$B143,12*($B$7-$B$10),-12*MAX(0,($B$6+$B$10)-IF($B$1+68&gt;=$B$23,$B$22,0))*(1+$B$4)^68))*IF(BR143+IF($B$1+68&lt;=$B143,12*($B$7-$B$10),-12*MAX(0,($B$6+$B$10)-IF($B$1+68&gt;=$B$23,$B$22,0))*(1+$B$4)^68)&gt;0,1+$B$3,1))</f>
        <v/>
      </c>
      <c r="BT143">
        <f>IF($B$1+69&gt;90,BS143,(BS143+IF($B$1+69&lt;=$B143,12*($B$7-$B$10),-12*MAX(0,($B$6+$B$10)-IF($B$1+69&gt;=$B$23,$B$22,0))*(1+$B$4)^69))*IF(BS143+IF($B$1+69&lt;=$B143,12*($B$7-$B$10),-12*MAX(0,($B$6+$B$10)-IF($B$1+69&gt;=$B$23,$B$22,0))*(1+$B$4)^69)&gt;0,1+$B$3,1))</f>
        <v/>
      </c>
      <c r="BU143">
        <f>IF($B$1+70&gt;90,BT143,(BT143+IF($B$1+70&lt;=$B143,12*($B$7-$B$10),-12*MAX(0,($B$6+$B$10)-IF($B$1+70&gt;=$B$23,$B$22,0))*(1+$B$4)^70))*IF(BT143+IF($B$1+70&lt;=$B143,12*($B$7-$B$10),-12*MAX(0,($B$6+$B$10)-IF($B$1+70&gt;=$B$23,$B$22,0))*(1+$B$4)^70)&gt;0,1+$B$3,1))</f>
        <v/>
      </c>
      <c r="BV143">
        <f>BU143</f>
        <v/>
      </c>
      <c r="BW143">
        <f>IF(AND($B143&lt;=70,BV143&gt;0),$B143,999)</f>
        <v/>
      </c>
      <c r="CH143">
        <f>IF(ISTEXT('월 가계부'!A143),SUBSTITUTE(SUBSTITUTE(SUBSTITUTE(SUBSTITUTE(SUBSTITUTE(SUBSTITUTE(SUBSTITUTE(SUBSTITUTE(SUBSTITUTE(TRIM('월 가계부'!A143),"년","-"),"월","-"),"일",""),".","-"),"/","-")," ","-"),"--","-"),"--","-"),"--","-")&amp;"-","")</f>
        <v/>
      </c>
      <c r="CI143">
        <f>IFERROR(IF('월 가계부'!A143="","",IF(ISNUMBER('월 가계부'!A143),IF(AND('월 가계부'!A143&gt;=19000101,'월 가계부'!A143&lt;=21001231),IF(AND(MOD(INT('월 가계부'!A143/100),100)&gt;=1,MOD(INT('월 가계부'!A143/100),100)&lt;=12,MOD(INT('월 가계부'!A143),100)&gt;=1,MOD(INT('월 가계부'!A143),100)&lt;=31),IF(MONTH(DATE(INT('월 가계부'!A143/10000),MOD(INT('월 가계부'!A143/100),100),MOD(INT('월 가계부'!A143),100)))=MOD(INT('월 가계부'!A143/100),100),DATE(INT('월 가계부'!A143/10000),MOD(INT('월 가계부'!A143/100),100),MOD(INT('월 가계부'!A143),100)),""),""),IF(AND('월 가계부'!A143&gt;=36526,'월 가계부'!A143&lt;73051),INT('월 가계부'!A143),"")),IF(OR(CM143="",CN143="",CO143=""),"",IF(AND(CM143&gt;=2000,CM143&lt;=2099,CN143&gt;=1,CN143&lt;=12,CO143&gt;=1,CO143&lt;=31),IF(MONTH(DATE(CM143,CN143,CO143))=CN143,DATE(CM143,CN143,CO143),""),"")))),"")</f>
        <v/>
      </c>
      <c r="CJ143">
        <f>IFERROR(IF('월 가계부'!C143="","",IF(ISNUMBER('월 가계부'!C143),'월 가계부'!C143,VALUE(SUBSTITUTE(SUBSTITUTE(SUBSTITUTE(SUBSTITUTE(TRIM('월 가계부'!C143),",",""),"원","")," ",""),"−","-")))),"")</f>
        <v/>
      </c>
      <c r="CK143">
        <f>IF(ISNUMBER(CI143),IF(CI143&lt;$B$13,CI143,""),"")</f>
        <v/>
      </c>
      <c r="CM143">
        <f>IF(CH143="","",IFERROR(IF(IF(AND(LEN(CH143)=9,ISERROR(FIND("-",LEFT(CH143,8))),ISNUMBER(-LEFT(CH143,8))),VALUE(LEFT(CH143,4)),VALUE(LEFT(CH143,FIND("-",CH143)-1)))&lt;100,IF(AND(LEN(CH143)=9,ISERROR(FIND("-",LEFT(CH143,8))),ISNUMBER(-LEFT(CH143,8))),VALUE(LEFT(CH143,4)),VALUE(LEFT(CH143,FIND("-",CH143)-1)))+2000,IF(AND(LEN(CH143)=9,ISERROR(FIND("-",LEFT(CH143,8))),ISNUMBER(-LEFT(CH143,8))),VALUE(LEFT(CH143,4)),VALUE(LEFT(CH143,FIND("-",CH143)-1)))),""))</f>
        <v/>
      </c>
      <c r="CN143">
        <f>IF(CH143="","",IFERROR(IF(AND(LEN(CH143)=9,ISERROR(FIND("-",LEFT(CH143,8))),ISNUMBER(-LEFT(CH143,8))),VALUE(MID(CH143,5,2)),VALUE(MID(CH143,FIND("-",CH143)+1,FIND("-",CH143,FIND("-",CH143)+1)-FIND("-",CH143)-1))),""))</f>
        <v/>
      </c>
      <c r="CO143">
        <f>IF(CH143="","",IFERROR(IF(AND(LEN(CH143)=9,ISERROR(FIND("-",LEFT(CH143,8))),ISNUMBER(-LEFT(CH143,8))),VALUE(MID(CH143,7,2)),VALUE(MID(CH143,FIND("-",CH143,FIND("-",CH143)+1)+1,FIND("-",CH143,FIND("-",CH143,FIND("-",CH143)+1)+1)-FIND("-",CH143,FIND("-",CH143)+1)-1))),""))</f>
        <v/>
      </c>
    </row>
    <row r="144">
      <c r="A144" t="n">
        <v>48</v>
      </c>
      <c r="B144">
        <f>$B$1+48</f>
        <v/>
      </c>
      <c r="C144">
        <f>$B$2</f>
        <v/>
      </c>
      <c r="D144">
        <f>IF($B$1+1&gt;90,C144,(C144+IF($B$1+1&lt;=$B144,12*($B$7-$B$10),-12*MAX(0,($B$6+$B$10)-IF($B$1+1&gt;=$B$23,$B$22,0))*(1+$B$4)^1))*IF(C144+IF($B$1+1&lt;=$B144,12*($B$7-$B$10),-12*MAX(0,($B$6+$B$10)-IF($B$1+1&gt;=$B$23,$B$22,0))*(1+$B$4)^1)&gt;0,1+$B$3,1))</f>
        <v/>
      </c>
      <c r="E144">
        <f>IF($B$1+2&gt;90,D144,(D144+IF($B$1+2&lt;=$B144,12*($B$7-$B$10),-12*MAX(0,($B$6+$B$10)-IF($B$1+2&gt;=$B$23,$B$22,0))*(1+$B$4)^2))*IF(D144+IF($B$1+2&lt;=$B144,12*($B$7-$B$10),-12*MAX(0,($B$6+$B$10)-IF($B$1+2&gt;=$B$23,$B$22,0))*(1+$B$4)^2)&gt;0,1+$B$3,1))</f>
        <v/>
      </c>
      <c r="F144">
        <f>IF($B$1+3&gt;90,E144,(E144+IF($B$1+3&lt;=$B144,12*($B$7-$B$10),-12*MAX(0,($B$6+$B$10)-IF($B$1+3&gt;=$B$23,$B$22,0))*(1+$B$4)^3))*IF(E144+IF($B$1+3&lt;=$B144,12*($B$7-$B$10),-12*MAX(0,($B$6+$B$10)-IF($B$1+3&gt;=$B$23,$B$22,0))*(1+$B$4)^3)&gt;0,1+$B$3,1))</f>
        <v/>
      </c>
      <c r="G144">
        <f>IF($B$1+4&gt;90,F144,(F144+IF($B$1+4&lt;=$B144,12*($B$7-$B$10),-12*MAX(0,($B$6+$B$10)-IF($B$1+4&gt;=$B$23,$B$22,0))*(1+$B$4)^4))*IF(F144+IF($B$1+4&lt;=$B144,12*($B$7-$B$10),-12*MAX(0,($B$6+$B$10)-IF($B$1+4&gt;=$B$23,$B$22,0))*(1+$B$4)^4)&gt;0,1+$B$3,1))</f>
        <v/>
      </c>
      <c r="H144">
        <f>IF($B$1+5&gt;90,G144,(G144+IF($B$1+5&lt;=$B144,12*($B$7-$B$10),-12*MAX(0,($B$6+$B$10)-IF($B$1+5&gt;=$B$23,$B$22,0))*(1+$B$4)^5))*IF(G144+IF($B$1+5&lt;=$B144,12*($B$7-$B$10),-12*MAX(0,($B$6+$B$10)-IF($B$1+5&gt;=$B$23,$B$22,0))*(1+$B$4)^5)&gt;0,1+$B$3,1))</f>
        <v/>
      </c>
      <c r="I144">
        <f>IF($B$1+6&gt;90,H144,(H144+IF($B$1+6&lt;=$B144,12*($B$7-$B$10),-12*MAX(0,($B$6+$B$10)-IF($B$1+6&gt;=$B$23,$B$22,0))*(1+$B$4)^6))*IF(H144+IF($B$1+6&lt;=$B144,12*($B$7-$B$10),-12*MAX(0,($B$6+$B$10)-IF($B$1+6&gt;=$B$23,$B$22,0))*(1+$B$4)^6)&gt;0,1+$B$3,1))</f>
        <v/>
      </c>
      <c r="J144">
        <f>IF($B$1+7&gt;90,I144,(I144+IF($B$1+7&lt;=$B144,12*($B$7-$B$10),-12*MAX(0,($B$6+$B$10)-IF($B$1+7&gt;=$B$23,$B$22,0))*(1+$B$4)^7))*IF(I144+IF($B$1+7&lt;=$B144,12*($B$7-$B$10),-12*MAX(0,($B$6+$B$10)-IF($B$1+7&gt;=$B$23,$B$22,0))*(1+$B$4)^7)&gt;0,1+$B$3,1))</f>
        <v/>
      </c>
      <c r="K144">
        <f>IF($B$1+8&gt;90,J144,(J144+IF($B$1+8&lt;=$B144,12*($B$7-$B$10),-12*MAX(0,($B$6+$B$10)-IF($B$1+8&gt;=$B$23,$B$22,0))*(1+$B$4)^8))*IF(J144+IF($B$1+8&lt;=$B144,12*($B$7-$B$10),-12*MAX(0,($B$6+$B$10)-IF($B$1+8&gt;=$B$23,$B$22,0))*(1+$B$4)^8)&gt;0,1+$B$3,1))</f>
        <v/>
      </c>
      <c r="L144">
        <f>IF($B$1+9&gt;90,K144,(K144+IF($B$1+9&lt;=$B144,12*($B$7-$B$10),-12*MAX(0,($B$6+$B$10)-IF($B$1+9&gt;=$B$23,$B$22,0))*(1+$B$4)^9))*IF(K144+IF($B$1+9&lt;=$B144,12*($B$7-$B$10),-12*MAX(0,($B$6+$B$10)-IF($B$1+9&gt;=$B$23,$B$22,0))*(1+$B$4)^9)&gt;0,1+$B$3,1))</f>
        <v/>
      </c>
      <c r="M144">
        <f>IF($B$1+10&gt;90,L144,(L144+IF($B$1+10&lt;=$B144,12*($B$7-$B$10),-12*MAX(0,($B$6+$B$10)-IF($B$1+10&gt;=$B$23,$B$22,0))*(1+$B$4)^10))*IF(L144+IF($B$1+10&lt;=$B144,12*($B$7-$B$10),-12*MAX(0,($B$6+$B$10)-IF($B$1+10&gt;=$B$23,$B$22,0))*(1+$B$4)^10)&gt;0,1+$B$3,1))</f>
        <v/>
      </c>
      <c r="N144">
        <f>IF($B$1+11&gt;90,M144,(M144+IF($B$1+11&lt;=$B144,12*($B$7-$B$10),-12*MAX(0,($B$6+$B$10)-IF($B$1+11&gt;=$B$23,$B$22,0))*(1+$B$4)^11))*IF(M144+IF($B$1+11&lt;=$B144,12*($B$7-$B$10),-12*MAX(0,($B$6+$B$10)-IF($B$1+11&gt;=$B$23,$B$22,0))*(1+$B$4)^11)&gt;0,1+$B$3,1))</f>
        <v/>
      </c>
      <c r="O144">
        <f>IF($B$1+12&gt;90,N144,(N144+IF($B$1+12&lt;=$B144,12*($B$7-$B$10),-12*MAX(0,($B$6+$B$10)-IF($B$1+12&gt;=$B$23,$B$22,0))*(1+$B$4)^12))*IF(N144+IF($B$1+12&lt;=$B144,12*($B$7-$B$10),-12*MAX(0,($B$6+$B$10)-IF($B$1+12&gt;=$B$23,$B$22,0))*(1+$B$4)^12)&gt;0,1+$B$3,1))</f>
        <v/>
      </c>
      <c r="P144">
        <f>IF($B$1+13&gt;90,O144,(O144+IF($B$1+13&lt;=$B144,12*($B$7-$B$10),-12*MAX(0,($B$6+$B$10)-IF($B$1+13&gt;=$B$23,$B$22,0))*(1+$B$4)^13))*IF(O144+IF($B$1+13&lt;=$B144,12*($B$7-$B$10),-12*MAX(0,($B$6+$B$10)-IF($B$1+13&gt;=$B$23,$B$22,0))*(1+$B$4)^13)&gt;0,1+$B$3,1))</f>
        <v/>
      </c>
      <c r="Q144">
        <f>IF($B$1+14&gt;90,P144,(P144+IF($B$1+14&lt;=$B144,12*($B$7-$B$10),-12*MAX(0,($B$6+$B$10)-IF($B$1+14&gt;=$B$23,$B$22,0))*(1+$B$4)^14))*IF(P144+IF($B$1+14&lt;=$B144,12*($B$7-$B$10),-12*MAX(0,($B$6+$B$10)-IF($B$1+14&gt;=$B$23,$B$22,0))*(1+$B$4)^14)&gt;0,1+$B$3,1))</f>
        <v/>
      </c>
      <c r="R144">
        <f>IF($B$1+15&gt;90,Q144,(Q144+IF($B$1+15&lt;=$B144,12*($B$7-$B$10),-12*MAX(0,($B$6+$B$10)-IF($B$1+15&gt;=$B$23,$B$22,0))*(1+$B$4)^15))*IF(Q144+IF($B$1+15&lt;=$B144,12*($B$7-$B$10),-12*MAX(0,($B$6+$B$10)-IF($B$1+15&gt;=$B$23,$B$22,0))*(1+$B$4)^15)&gt;0,1+$B$3,1))</f>
        <v/>
      </c>
      <c r="S144">
        <f>IF($B$1+16&gt;90,R144,(R144+IF($B$1+16&lt;=$B144,12*($B$7-$B$10),-12*MAX(0,($B$6+$B$10)-IF($B$1+16&gt;=$B$23,$B$22,0))*(1+$B$4)^16))*IF(R144+IF($B$1+16&lt;=$B144,12*($B$7-$B$10),-12*MAX(0,($B$6+$B$10)-IF($B$1+16&gt;=$B$23,$B$22,0))*(1+$B$4)^16)&gt;0,1+$B$3,1))</f>
        <v/>
      </c>
      <c r="T144">
        <f>IF($B$1+17&gt;90,S144,(S144+IF($B$1+17&lt;=$B144,12*($B$7-$B$10),-12*MAX(0,($B$6+$B$10)-IF($B$1+17&gt;=$B$23,$B$22,0))*(1+$B$4)^17))*IF(S144+IF($B$1+17&lt;=$B144,12*($B$7-$B$10),-12*MAX(0,($B$6+$B$10)-IF($B$1+17&gt;=$B$23,$B$22,0))*(1+$B$4)^17)&gt;0,1+$B$3,1))</f>
        <v/>
      </c>
      <c r="U144">
        <f>IF($B$1+18&gt;90,T144,(T144+IF($B$1+18&lt;=$B144,12*($B$7-$B$10),-12*MAX(0,($B$6+$B$10)-IF($B$1+18&gt;=$B$23,$B$22,0))*(1+$B$4)^18))*IF(T144+IF($B$1+18&lt;=$B144,12*($B$7-$B$10),-12*MAX(0,($B$6+$B$10)-IF($B$1+18&gt;=$B$23,$B$22,0))*(1+$B$4)^18)&gt;0,1+$B$3,1))</f>
        <v/>
      </c>
      <c r="V144">
        <f>IF($B$1+19&gt;90,U144,(U144+IF($B$1+19&lt;=$B144,12*($B$7-$B$10),-12*MAX(0,($B$6+$B$10)-IF($B$1+19&gt;=$B$23,$B$22,0))*(1+$B$4)^19))*IF(U144+IF($B$1+19&lt;=$B144,12*($B$7-$B$10),-12*MAX(0,($B$6+$B$10)-IF($B$1+19&gt;=$B$23,$B$22,0))*(1+$B$4)^19)&gt;0,1+$B$3,1))</f>
        <v/>
      </c>
      <c r="W144">
        <f>IF($B$1+20&gt;90,V144,(V144+IF($B$1+20&lt;=$B144,12*($B$7-$B$10),-12*MAX(0,($B$6+$B$10)-IF($B$1+20&gt;=$B$23,$B$22,0))*(1+$B$4)^20))*IF(V144+IF($B$1+20&lt;=$B144,12*($B$7-$B$10),-12*MAX(0,($B$6+$B$10)-IF($B$1+20&gt;=$B$23,$B$22,0))*(1+$B$4)^20)&gt;0,1+$B$3,1))</f>
        <v/>
      </c>
      <c r="X144">
        <f>IF($B$1+21&gt;90,W144,(W144+IF($B$1+21&lt;=$B144,12*($B$7-$B$10),-12*MAX(0,($B$6+$B$10)-IF($B$1+21&gt;=$B$23,$B$22,0))*(1+$B$4)^21))*IF(W144+IF($B$1+21&lt;=$B144,12*($B$7-$B$10),-12*MAX(0,($B$6+$B$10)-IF($B$1+21&gt;=$B$23,$B$22,0))*(1+$B$4)^21)&gt;0,1+$B$3,1))</f>
        <v/>
      </c>
      <c r="Y144">
        <f>IF($B$1+22&gt;90,X144,(X144+IF($B$1+22&lt;=$B144,12*($B$7-$B$10),-12*MAX(0,($B$6+$B$10)-IF($B$1+22&gt;=$B$23,$B$22,0))*(1+$B$4)^22))*IF(X144+IF($B$1+22&lt;=$B144,12*($B$7-$B$10),-12*MAX(0,($B$6+$B$10)-IF($B$1+22&gt;=$B$23,$B$22,0))*(1+$B$4)^22)&gt;0,1+$B$3,1))</f>
        <v/>
      </c>
      <c r="Z144">
        <f>IF($B$1+23&gt;90,Y144,(Y144+IF($B$1+23&lt;=$B144,12*($B$7-$B$10),-12*MAX(0,($B$6+$B$10)-IF($B$1+23&gt;=$B$23,$B$22,0))*(1+$B$4)^23))*IF(Y144+IF($B$1+23&lt;=$B144,12*($B$7-$B$10),-12*MAX(0,($B$6+$B$10)-IF($B$1+23&gt;=$B$23,$B$22,0))*(1+$B$4)^23)&gt;0,1+$B$3,1))</f>
        <v/>
      </c>
      <c r="AA144">
        <f>IF($B$1+24&gt;90,Z144,(Z144+IF($B$1+24&lt;=$B144,12*($B$7-$B$10),-12*MAX(0,($B$6+$B$10)-IF($B$1+24&gt;=$B$23,$B$22,0))*(1+$B$4)^24))*IF(Z144+IF($B$1+24&lt;=$B144,12*($B$7-$B$10),-12*MAX(0,($B$6+$B$10)-IF($B$1+24&gt;=$B$23,$B$22,0))*(1+$B$4)^24)&gt;0,1+$B$3,1))</f>
        <v/>
      </c>
      <c r="AB144">
        <f>IF($B$1+25&gt;90,AA144,(AA144+IF($B$1+25&lt;=$B144,12*($B$7-$B$10),-12*MAX(0,($B$6+$B$10)-IF($B$1+25&gt;=$B$23,$B$22,0))*(1+$B$4)^25))*IF(AA144+IF($B$1+25&lt;=$B144,12*($B$7-$B$10),-12*MAX(0,($B$6+$B$10)-IF($B$1+25&gt;=$B$23,$B$22,0))*(1+$B$4)^25)&gt;0,1+$B$3,1))</f>
        <v/>
      </c>
      <c r="AC144">
        <f>IF($B$1+26&gt;90,AB144,(AB144+IF($B$1+26&lt;=$B144,12*($B$7-$B$10),-12*MAX(0,($B$6+$B$10)-IF($B$1+26&gt;=$B$23,$B$22,0))*(1+$B$4)^26))*IF(AB144+IF($B$1+26&lt;=$B144,12*($B$7-$B$10),-12*MAX(0,($B$6+$B$10)-IF($B$1+26&gt;=$B$23,$B$22,0))*(1+$B$4)^26)&gt;0,1+$B$3,1))</f>
        <v/>
      </c>
      <c r="AD144">
        <f>IF($B$1+27&gt;90,AC144,(AC144+IF($B$1+27&lt;=$B144,12*($B$7-$B$10),-12*MAX(0,($B$6+$B$10)-IF($B$1+27&gt;=$B$23,$B$22,0))*(1+$B$4)^27))*IF(AC144+IF($B$1+27&lt;=$B144,12*($B$7-$B$10),-12*MAX(0,($B$6+$B$10)-IF($B$1+27&gt;=$B$23,$B$22,0))*(1+$B$4)^27)&gt;0,1+$B$3,1))</f>
        <v/>
      </c>
      <c r="AE144">
        <f>IF($B$1+28&gt;90,AD144,(AD144+IF($B$1+28&lt;=$B144,12*($B$7-$B$10),-12*MAX(0,($B$6+$B$10)-IF($B$1+28&gt;=$B$23,$B$22,0))*(1+$B$4)^28))*IF(AD144+IF($B$1+28&lt;=$B144,12*($B$7-$B$10),-12*MAX(0,($B$6+$B$10)-IF($B$1+28&gt;=$B$23,$B$22,0))*(1+$B$4)^28)&gt;0,1+$B$3,1))</f>
        <v/>
      </c>
      <c r="AF144">
        <f>IF($B$1+29&gt;90,AE144,(AE144+IF($B$1+29&lt;=$B144,12*($B$7-$B$10),-12*MAX(0,($B$6+$B$10)-IF($B$1+29&gt;=$B$23,$B$22,0))*(1+$B$4)^29))*IF(AE144+IF($B$1+29&lt;=$B144,12*($B$7-$B$10),-12*MAX(0,($B$6+$B$10)-IF($B$1+29&gt;=$B$23,$B$22,0))*(1+$B$4)^29)&gt;0,1+$B$3,1))</f>
        <v/>
      </c>
      <c r="AG144">
        <f>IF($B$1+30&gt;90,AF144,(AF144+IF($B$1+30&lt;=$B144,12*($B$7-$B$10),-12*MAX(0,($B$6+$B$10)-IF($B$1+30&gt;=$B$23,$B$22,0))*(1+$B$4)^30))*IF(AF144+IF($B$1+30&lt;=$B144,12*($B$7-$B$10),-12*MAX(0,($B$6+$B$10)-IF($B$1+30&gt;=$B$23,$B$22,0))*(1+$B$4)^30)&gt;0,1+$B$3,1))</f>
        <v/>
      </c>
      <c r="AH144">
        <f>IF($B$1+31&gt;90,AG144,(AG144+IF($B$1+31&lt;=$B144,12*($B$7-$B$10),-12*MAX(0,($B$6+$B$10)-IF($B$1+31&gt;=$B$23,$B$22,0))*(1+$B$4)^31))*IF(AG144+IF($B$1+31&lt;=$B144,12*($B$7-$B$10),-12*MAX(0,($B$6+$B$10)-IF($B$1+31&gt;=$B$23,$B$22,0))*(1+$B$4)^31)&gt;0,1+$B$3,1))</f>
        <v/>
      </c>
      <c r="AI144">
        <f>IF($B$1+32&gt;90,AH144,(AH144+IF($B$1+32&lt;=$B144,12*($B$7-$B$10),-12*MAX(0,($B$6+$B$10)-IF($B$1+32&gt;=$B$23,$B$22,0))*(1+$B$4)^32))*IF(AH144+IF($B$1+32&lt;=$B144,12*($B$7-$B$10),-12*MAX(0,($B$6+$B$10)-IF($B$1+32&gt;=$B$23,$B$22,0))*(1+$B$4)^32)&gt;0,1+$B$3,1))</f>
        <v/>
      </c>
      <c r="AJ144">
        <f>IF($B$1+33&gt;90,AI144,(AI144+IF($B$1+33&lt;=$B144,12*($B$7-$B$10),-12*MAX(0,($B$6+$B$10)-IF($B$1+33&gt;=$B$23,$B$22,0))*(1+$B$4)^33))*IF(AI144+IF($B$1+33&lt;=$B144,12*($B$7-$B$10),-12*MAX(0,($B$6+$B$10)-IF($B$1+33&gt;=$B$23,$B$22,0))*(1+$B$4)^33)&gt;0,1+$B$3,1))</f>
        <v/>
      </c>
      <c r="AK144">
        <f>IF($B$1+34&gt;90,AJ144,(AJ144+IF($B$1+34&lt;=$B144,12*($B$7-$B$10),-12*MAX(0,($B$6+$B$10)-IF($B$1+34&gt;=$B$23,$B$22,0))*(1+$B$4)^34))*IF(AJ144+IF($B$1+34&lt;=$B144,12*($B$7-$B$10),-12*MAX(0,($B$6+$B$10)-IF($B$1+34&gt;=$B$23,$B$22,0))*(1+$B$4)^34)&gt;0,1+$B$3,1))</f>
        <v/>
      </c>
      <c r="AL144">
        <f>IF($B$1+35&gt;90,AK144,(AK144+IF($B$1+35&lt;=$B144,12*($B$7-$B$10),-12*MAX(0,($B$6+$B$10)-IF($B$1+35&gt;=$B$23,$B$22,0))*(1+$B$4)^35))*IF(AK144+IF($B$1+35&lt;=$B144,12*($B$7-$B$10),-12*MAX(0,($B$6+$B$10)-IF($B$1+35&gt;=$B$23,$B$22,0))*(1+$B$4)^35)&gt;0,1+$B$3,1))</f>
        <v/>
      </c>
      <c r="AM144">
        <f>IF($B$1+36&gt;90,AL144,(AL144+IF($B$1+36&lt;=$B144,12*($B$7-$B$10),-12*MAX(0,($B$6+$B$10)-IF($B$1+36&gt;=$B$23,$B$22,0))*(1+$B$4)^36))*IF(AL144+IF($B$1+36&lt;=$B144,12*($B$7-$B$10),-12*MAX(0,($B$6+$B$10)-IF($B$1+36&gt;=$B$23,$B$22,0))*(1+$B$4)^36)&gt;0,1+$B$3,1))</f>
        <v/>
      </c>
      <c r="AN144">
        <f>IF($B$1+37&gt;90,AM144,(AM144+IF($B$1+37&lt;=$B144,12*($B$7-$B$10),-12*MAX(0,($B$6+$B$10)-IF($B$1+37&gt;=$B$23,$B$22,0))*(1+$B$4)^37))*IF(AM144+IF($B$1+37&lt;=$B144,12*($B$7-$B$10),-12*MAX(0,($B$6+$B$10)-IF($B$1+37&gt;=$B$23,$B$22,0))*(1+$B$4)^37)&gt;0,1+$B$3,1))</f>
        <v/>
      </c>
      <c r="AO144">
        <f>IF($B$1+38&gt;90,AN144,(AN144+IF($B$1+38&lt;=$B144,12*($B$7-$B$10),-12*MAX(0,($B$6+$B$10)-IF($B$1+38&gt;=$B$23,$B$22,0))*(1+$B$4)^38))*IF(AN144+IF($B$1+38&lt;=$B144,12*($B$7-$B$10),-12*MAX(0,($B$6+$B$10)-IF($B$1+38&gt;=$B$23,$B$22,0))*(1+$B$4)^38)&gt;0,1+$B$3,1))</f>
        <v/>
      </c>
      <c r="AP144">
        <f>IF($B$1+39&gt;90,AO144,(AO144+IF($B$1+39&lt;=$B144,12*($B$7-$B$10),-12*MAX(0,($B$6+$B$10)-IF($B$1+39&gt;=$B$23,$B$22,0))*(1+$B$4)^39))*IF(AO144+IF($B$1+39&lt;=$B144,12*($B$7-$B$10),-12*MAX(0,($B$6+$B$10)-IF($B$1+39&gt;=$B$23,$B$22,0))*(1+$B$4)^39)&gt;0,1+$B$3,1))</f>
        <v/>
      </c>
      <c r="AQ144">
        <f>IF($B$1+40&gt;90,AP144,(AP144+IF($B$1+40&lt;=$B144,12*($B$7-$B$10),-12*MAX(0,($B$6+$B$10)-IF($B$1+40&gt;=$B$23,$B$22,0))*(1+$B$4)^40))*IF(AP144+IF($B$1+40&lt;=$B144,12*($B$7-$B$10),-12*MAX(0,($B$6+$B$10)-IF($B$1+40&gt;=$B$23,$B$22,0))*(1+$B$4)^40)&gt;0,1+$B$3,1))</f>
        <v/>
      </c>
      <c r="AR144">
        <f>IF($B$1+41&gt;90,AQ144,(AQ144+IF($B$1+41&lt;=$B144,12*($B$7-$B$10),-12*MAX(0,($B$6+$B$10)-IF($B$1+41&gt;=$B$23,$B$22,0))*(1+$B$4)^41))*IF(AQ144+IF($B$1+41&lt;=$B144,12*($B$7-$B$10),-12*MAX(0,($B$6+$B$10)-IF($B$1+41&gt;=$B$23,$B$22,0))*(1+$B$4)^41)&gt;0,1+$B$3,1))</f>
        <v/>
      </c>
      <c r="AS144">
        <f>IF($B$1+42&gt;90,AR144,(AR144+IF($B$1+42&lt;=$B144,12*($B$7-$B$10),-12*MAX(0,($B$6+$B$10)-IF($B$1+42&gt;=$B$23,$B$22,0))*(1+$B$4)^42))*IF(AR144+IF($B$1+42&lt;=$B144,12*($B$7-$B$10),-12*MAX(0,($B$6+$B$10)-IF($B$1+42&gt;=$B$23,$B$22,0))*(1+$B$4)^42)&gt;0,1+$B$3,1))</f>
        <v/>
      </c>
      <c r="AT144">
        <f>IF($B$1+43&gt;90,AS144,(AS144+IF($B$1+43&lt;=$B144,12*($B$7-$B$10),-12*MAX(0,($B$6+$B$10)-IF($B$1+43&gt;=$B$23,$B$22,0))*(1+$B$4)^43))*IF(AS144+IF($B$1+43&lt;=$B144,12*($B$7-$B$10),-12*MAX(0,($B$6+$B$10)-IF($B$1+43&gt;=$B$23,$B$22,0))*(1+$B$4)^43)&gt;0,1+$B$3,1))</f>
        <v/>
      </c>
      <c r="AU144">
        <f>IF($B$1+44&gt;90,AT144,(AT144+IF($B$1+44&lt;=$B144,12*($B$7-$B$10),-12*MAX(0,($B$6+$B$10)-IF($B$1+44&gt;=$B$23,$B$22,0))*(1+$B$4)^44))*IF(AT144+IF($B$1+44&lt;=$B144,12*($B$7-$B$10),-12*MAX(0,($B$6+$B$10)-IF($B$1+44&gt;=$B$23,$B$22,0))*(1+$B$4)^44)&gt;0,1+$B$3,1))</f>
        <v/>
      </c>
      <c r="AV144">
        <f>IF($B$1+45&gt;90,AU144,(AU144+IF($B$1+45&lt;=$B144,12*($B$7-$B$10),-12*MAX(0,($B$6+$B$10)-IF($B$1+45&gt;=$B$23,$B$22,0))*(1+$B$4)^45))*IF(AU144+IF($B$1+45&lt;=$B144,12*($B$7-$B$10),-12*MAX(0,($B$6+$B$10)-IF($B$1+45&gt;=$B$23,$B$22,0))*(1+$B$4)^45)&gt;0,1+$B$3,1))</f>
        <v/>
      </c>
      <c r="AW144">
        <f>IF($B$1+46&gt;90,AV144,(AV144+IF($B$1+46&lt;=$B144,12*($B$7-$B$10),-12*MAX(0,($B$6+$B$10)-IF($B$1+46&gt;=$B$23,$B$22,0))*(1+$B$4)^46))*IF(AV144+IF($B$1+46&lt;=$B144,12*($B$7-$B$10),-12*MAX(0,($B$6+$B$10)-IF($B$1+46&gt;=$B$23,$B$22,0))*(1+$B$4)^46)&gt;0,1+$B$3,1))</f>
        <v/>
      </c>
      <c r="AX144">
        <f>IF($B$1+47&gt;90,AW144,(AW144+IF($B$1+47&lt;=$B144,12*($B$7-$B$10),-12*MAX(0,($B$6+$B$10)-IF($B$1+47&gt;=$B$23,$B$22,0))*(1+$B$4)^47))*IF(AW144+IF($B$1+47&lt;=$B144,12*($B$7-$B$10),-12*MAX(0,($B$6+$B$10)-IF($B$1+47&gt;=$B$23,$B$22,0))*(1+$B$4)^47)&gt;0,1+$B$3,1))</f>
        <v/>
      </c>
      <c r="AY144">
        <f>IF($B$1+48&gt;90,AX144,(AX144+IF($B$1+48&lt;=$B144,12*($B$7-$B$10),-12*MAX(0,($B$6+$B$10)-IF($B$1+48&gt;=$B$23,$B$22,0))*(1+$B$4)^48))*IF(AX144+IF($B$1+48&lt;=$B144,12*($B$7-$B$10),-12*MAX(0,($B$6+$B$10)-IF($B$1+48&gt;=$B$23,$B$22,0))*(1+$B$4)^48)&gt;0,1+$B$3,1))</f>
        <v/>
      </c>
      <c r="AZ144">
        <f>IF($B$1+49&gt;90,AY144,(AY144+IF($B$1+49&lt;=$B144,12*($B$7-$B$10),-12*MAX(0,($B$6+$B$10)-IF($B$1+49&gt;=$B$23,$B$22,0))*(1+$B$4)^49))*IF(AY144+IF($B$1+49&lt;=$B144,12*($B$7-$B$10),-12*MAX(0,($B$6+$B$10)-IF($B$1+49&gt;=$B$23,$B$22,0))*(1+$B$4)^49)&gt;0,1+$B$3,1))</f>
        <v/>
      </c>
      <c r="BA144">
        <f>IF($B$1+50&gt;90,AZ144,(AZ144+IF($B$1+50&lt;=$B144,12*($B$7-$B$10),-12*MAX(0,($B$6+$B$10)-IF($B$1+50&gt;=$B$23,$B$22,0))*(1+$B$4)^50))*IF(AZ144+IF($B$1+50&lt;=$B144,12*($B$7-$B$10),-12*MAX(0,($B$6+$B$10)-IF($B$1+50&gt;=$B$23,$B$22,0))*(1+$B$4)^50)&gt;0,1+$B$3,1))</f>
        <v/>
      </c>
      <c r="BB144">
        <f>IF($B$1+51&gt;90,BA144,(BA144+IF($B$1+51&lt;=$B144,12*($B$7-$B$10),-12*MAX(0,($B$6+$B$10)-IF($B$1+51&gt;=$B$23,$B$22,0))*(1+$B$4)^51))*IF(BA144+IF($B$1+51&lt;=$B144,12*($B$7-$B$10),-12*MAX(0,($B$6+$B$10)-IF($B$1+51&gt;=$B$23,$B$22,0))*(1+$B$4)^51)&gt;0,1+$B$3,1))</f>
        <v/>
      </c>
      <c r="BC144">
        <f>IF($B$1+52&gt;90,BB144,(BB144+IF($B$1+52&lt;=$B144,12*($B$7-$B$10),-12*MAX(0,($B$6+$B$10)-IF($B$1+52&gt;=$B$23,$B$22,0))*(1+$B$4)^52))*IF(BB144+IF($B$1+52&lt;=$B144,12*($B$7-$B$10),-12*MAX(0,($B$6+$B$10)-IF($B$1+52&gt;=$B$23,$B$22,0))*(1+$B$4)^52)&gt;0,1+$B$3,1))</f>
        <v/>
      </c>
      <c r="BD144">
        <f>IF($B$1+53&gt;90,BC144,(BC144+IF($B$1+53&lt;=$B144,12*($B$7-$B$10),-12*MAX(0,($B$6+$B$10)-IF($B$1+53&gt;=$B$23,$B$22,0))*(1+$B$4)^53))*IF(BC144+IF($B$1+53&lt;=$B144,12*($B$7-$B$10),-12*MAX(0,($B$6+$B$10)-IF($B$1+53&gt;=$B$23,$B$22,0))*(1+$B$4)^53)&gt;0,1+$B$3,1))</f>
        <v/>
      </c>
      <c r="BE144">
        <f>IF($B$1+54&gt;90,BD144,(BD144+IF($B$1+54&lt;=$B144,12*($B$7-$B$10),-12*MAX(0,($B$6+$B$10)-IF($B$1+54&gt;=$B$23,$B$22,0))*(1+$B$4)^54))*IF(BD144+IF($B$1+54&lt;=$B144,12*($B$7-$B$10),-12*MAX(0,($B$6+$B$10)-IF($B$1+54&gt;=$B$23,$B$22,0))*(1+$B$4)^54)&gt;0,1+$B$3,1))</f>
        <v/>
      </c>
      <c r="BF144">
        <f>IF($B$1+55&gt;90,BE144,(BE144+IF($B$1+55&lt;=$B144,12*($B$7-$B$10),-12*MAX(0,($B$6+$B$10)-IF($B$1+55&gt;=$B$23,$B$22,0))*(1+$B$4)^55))*IF(BE144+IF($B$1+55&lt;=$B144,12*($B$7-$B$10),-12*MAX(0,($B$6+$B$10)-IF($B$1+55&gt;=$B$23,$B$22,0))*(1+$B$4)^55)&gt;0,1+$B$3,1))</f>
        <v/>
      </c>
      <c r="BG144">
        <f>IF($B$1+56&gt;90,BF144,(BF144+IF($B$1+56&lt;=$B144,12*($B$7-$B$10),-12*MAX(0,($B$6+$B$10)-IF($B$1+56&gt;=$B$23,$B$22,0))*(1+$B$4)^56))*IF(BF144+IF($B$1+56&lt;=$B144,12*($B$7-$B$10),-12*MAX(0,($B$6+$B$10)-IF($B$1+56&gt;=$B$23,$B$22,0))*(1+$B$4)^56)&gt;0,1+$B$3,1))</f>
        <v/>
      </c>
      <c r="BH144">
        <f>IF($B$1+57&gt;90,BG144,(BG144+IF($B$1+57&lt;=$B144,12*($B$7-$B$10),-12*MAX(0,($B$6+$B$10)-IF($B$1+57&gt;=$B$23,$B$22,0))*(1+$B$4)^57))*IF(BG144+IF($B$1+57&lt;=$B144,12*($B$7-$B$10),-12*MAX(0,($B$6+$B$10)-IF($B$1+57&gt;=$B$23,$B$22,0))*(1+$B$4)^57)&gt;0,1+$B$3,1))</f>
        <v/>
      </c>
      <c r="BI144">
        <f>IF($B$1+58&gt;90,BH144,(BH144+IF($B$1+58&lt;=$B144,12*($B$7-$B$10),-12*MAX(0,($B$6+$B$10)-IF($B$1+58&gt;=$B$23,$B$22,0))*(1+$B$4)^58))*IF(BH144+IF($B$1+58&lt;=$B144,12*($B$7-$B$10),-12*MAX(0,($B$6+$B$10)-IF($B$1+58&gt;=$B$23,$B$22,0))*(1+$B$4)^58)&gt;0,1+$B$3,1))</f>
        <v/>
      </c>
      <c r="BJ144">
        <f>IF($B$1+59&gt;90,BI144,(BI144+IF($B$1+59&lt;=$B144,12*($B$7-$B$10),-12*MAX(0,($B$6+$B$10)-IF($B$1+59&gt;=$B$23,$B$22,0))*(1+$B$4)^59))*IF(BI144+IF($B$1+59&lt;=$B144,12*($B$7-$B$10),-12*MAX(0,($B$6+$B$10)-IF($B$1+59&gt;=$B$23,$B$22,0))*(1+$B$4)^59)&gt;0,1+$B$3,1))</f>
        <v/>
      </c>
      <c r="BK144">
        <f>IF($B$1+60&gt;90,BJ144,(BJ144+IF($B$1+60&lt;=$B144,12*($B$7-$B$10),-12*MAX(0,($B$6+$B$10)-IF($B$1+60&gt;=$B$23,$B$22,0))*(1+$B$4)^60))*IF(BJ144+IF($B$1+60&lt;=$B144,12*($B$7-$B$10),-12*MAX(0,($B$6+$B$10)-IF($B$1+60&gt;=$B$23,$B$22,0))*(1+$B$4)^60)&gt;0,1+$B$3,1))</f>
        <v/>
      </c>
      <c r="BL144">
        <f>IF($B$1+61&gt;90,BK144,(BK144+IF($B$1+61&lt;=$B144,12*($B$7-$B$10),-12*MAX(0,($B$6+$B$10)-IF($B$1+61&gt;=$B$23,$B$22,0))*(1+$B$4)^61))*IF(BK144+IF($B$1+61&lt;=$B144,12*($B$7-$B$10),-12*MAX(0,($B$6+$B$10)-IF($B$1+61&gt;=$B$23,$B$22,0))*(1+$B$4)^61)&gt;0,1+$B$3,1))</f>
        <v/>
      </c>
      <c r="BM144">
        <f>IF($B$1+62&gt;90,BL144,(BL144+IF($B$1+62&lt;=$B144,12*($B$7-$B$10),-12*MAX(0,($B$6+$B$10)-IF($B$1+62&gt;=$B$23,$B$22,0))*(1+$B$4)^62))*IF(BL144+IF($B$1+62&lt;=$B144,12*($B$7-$B$10),-12*MAX(0,($B$6+$B$10)-IF($B$1+62&gt;=$B$23,$B$22,0))*(1+$B$4)^62)&gt;0,1+$B$3,1))</f>
        <v/>
      </c>
      <c r="BN144">
        <f>IF($B$1+63&gt;90,BM144,(BM144+IF($B$1+63&lt;=$B144,12*($B$7-$B$10),-12*MAX(0,($B$6+$B$10)-IF($B$1+63&gt;=$B$23,$B$22,0))*(1+$B$4)^63))*IF(BM144+IF($B$1+63&lt;=$B144,12*($B$7-$B$10),-12*MAX(0,($B$6+$B$10)-IF($B$1+63&gt;=$B$23,$B$22,0))*(1+$B$4)^63)&gt;0,1+$B$3,1))</f>
        <v/>
      </c>
      <c r="BO144">
        <f>IF($B$1+64&gt;90,BN144,(BN144+IF($B$1+64&lt;=$B144,12*($B$7-$B$10),-12*MAX(0,($B$6+$B$10)-IF($B$1+64&gt;=$B$23,$B$22,0))*(1+$B$4)^64))*IF(BN144+IF($B$1+64&lt;=$B144,12*($B$7-$B$10),-12*MAX(0,($B$6+$B$10)-IF($B$1+64&gt;=$B$23,$B$22,0))*(1+$B$4)^64)&gt;0,1+$B$3,1))</f>
        <v/>
      </c>
      <c r="BP144">
        <f>IF($B$1+65&gt;90,BO144,(BO144+IF($B$1+65&lt;=$B144,12*($B$7-$B$10),-12*MAX(0,($B$6+$B$10)-IF($B$1+65&gt;=$B$23,$B$22,0))*(1+$B$4)^65))*IF(BO144+IF($B$1+65&lt;=$B144,12*($B$7-$B$10),-12*MAX(0,($B$6+$B$10)-IF($B$1+65&gt;=$B$23,$B$22,0))*(1+$B$4)^65)&gt;0,1+$B$3,1))</f>
        <v/>
      </c>
      <c r="BQ144">
        <f>IF($B$1+66&gt;90,BP144,(BP144+IF($B$1+66&lt;=$B144,12*($B$7-$B$10),-12*MAX(0,($B$6+$B$10)-IF($B$1+66&gt;=$B$23,$B$22,0))*(1+$B$4)^66))*IF(BP144+IF($B$1+66&lt;=$B144,12*($B$7-$B$10),-12*MAX(0,($B$6+$B$10)-IF($B$1+66&gt;=$B$23,$B$22,0))*(1+$B$4)^66)&gt;0,1+$B$3,1))</f>
        <v/>
      </c>
      <c r="BR144">
        <f>IF($B$1+67&gt;90,BQ144,(BQ144+IF($B$1+67&lt;=$B144,12*($B$7-$B$10),-12*MAX(0,($B$6+$B$10)-IF($B$1+67&gt;=$B$23,$B$22,0))*(1+$B$4)^67))*IF(BQ144+IF($B$1+67&lt;=$B144,12*($B$7-$B$10),-12*MAX(0,($B$6+$B$10)-IF($B$1+67&gt;=$B$23,$B$22,0))*(1+$B$4)^67)&gt;0,1+$B$3,1))</f>
        <v/>
      </c>
      <c r="BS144">
        <f>IF($B$1+68&gt;90,BR144,(BR144+IF($B$1+68&lt;=$B144,12*($B$7-$B$10),-12*MAX(0,($B$6+$B$10)-IF($B$1+68&gt;=$B$23,$B$22,0))*(1+$B$4)^68))*IF(BR144+IF($B$1+68&lt;=$B144,12*($B$7-$B$10),-12*MAX(0,($B$6+$B$10)-IF($B$1+68&gt;=$B$23,$B$22,0))*(1+$B$4)^68)&gt;0,1+$B$3,1))</f>
        <v/>
      </c>
      <c r="BT144">
        <f>IF($B$1+69&gt;90,BS144,(BS144+IF($B$1+69&lt;=$B144,12*($B$7-$B$10),-12*MAX(0,($B$6+$B$10)-IF($B$1+69&gt;=$B$23,$B$22,0))*(1+$B$4)^69))*IF(BS144+IF($B$1+69&lt;=$B144,12*($B$7-$B$10),-12*MAX(0,($B$6+$B$10)-IF($B$1+69&gt;=$B$23,$B$22,0))*(1+$B$4)^69)&gt;0,1+$B$3,1))</f>
        <v/>
      </c>
      <c r="BU144">
        <f>IF($B$1+70&gt;90,BT144,(BT144+IF($B$1+70&lt;=$B144,12*($B$7-$B$10),-12*MAX(0,($B$6+$B$10)-IF($B$1+70&gt;=$B$23,$B$22,0))*(1+$B$4)^70))*IF(BT144+IF($B$1+70&lt;=$B144,12*($B$7-$B$10),-12*MAX(0,($B$6+$B$10)-IF($B$1+70&gt;=$B$23,$B$22,0))*(1+$B$4)^70)&gt;0,1+$B$3,1))</f>
        <v/>
      </c>
      <c r="BV144">
        <f>BU144</f>
        <v/>
      </c>
      <c r="BW144">
        <f>IF(AND($B144&lt;=70,BV144&gt;0),$B144,999)</f>
        <v/>
      </c>
      <c r="CH144">
        <f>IF(ISTEXT('월 가계부'!A144),SUBSTITUTE(SUBSTITUTE(SUBSTITUTE(SUBSTITUTE(SUBSTITUTE(SUBSTITUTE(SUBSTITUTE(SUBSTITUTE(SUBSTITUTE(TRIM('월 가계부'!A144),"년","-"),"월","-"),"일",""),".","-"),"/","-")," ","-"),"--","-"),"--","-"),"--","-")&amp;"-","")</f>
        <v/>
      </c>
      <c r="CI144">
        <f>IFERROR(IF('월 가계부'!A144="","",IF(ISNUMBER('월 가계부'!A144),IF(AND('월 가계부'!A144&gt;=19000101,'월 가계부'!A144&lt;=21001231),IF(AND(MOD(INT('월 가계부'!A144/100),100)&gt;=1,MOD(INT('월 가계부'!A144/100),100)&lt;=12,MOD(INT('월 가계부'!A144),100)&gt;=1,MOD(INT('월 가계부'!A144),100)&lt;=31),IF(MONTH(DATE(INT('월 가계부'!A144/10000),MOD(INT('월 가계부'!A144/100),100),MOD(INT('월 가계부'!A144),100)))=MOD(INT('월 가계부'!A144/100),100),DATE(INT('월 가계부'!A144/10000),MOD(INT('월 가계부'!A144/100),100),MOD(INT('월 가계부'!A144),100)),""),""),IF(AND('월 가계부'!A144&gt;=36526,'월 가계부'!A144&lt;73051),INT('월 가계부'!A144),"")),IF(OR(CM144="",CN144="",CO144=""),"",IF(AND(CM144&gt;=2000,CM144&lt;=2099,CN144&gt;=1,CN144&lt;=12,CO144&gt;=1,CO144&lt;=31),IF(MONTH(DATE(CM144,CN144,CO144))=CN144,DATE(CM144,CN144,CO144),""),"")))),"")</f>
        <v/>
      </c>
      <c r="CJ144">
        <f>IFERROR(IF('월 가계부'!C144="","",IF(ISNUMBER('월 가계부'!C144),'월 가계부'!C144,VALUE(SUBSTITUTE(SUBSTITUTE(SUBSTITUTE(SUBSTITUTE(TRIM('월 가계부'!C144),",",""),"원","")," ",""),"−","-")))),"")</f>
        <v/>
      </c>
      <c r="CK144">
        <f>IF(ISNUMBER(CI144),IF(CI144&lt;$B$13,CI144,""),"")</f>
        <v/>
      </c>
      <c r="CM144">
        <f>IF(CH144="","",IFERROR(IF(IF(AND(LEN(CH144)=9,ISERROR(FIND("-",LEFT(CH144,8))),ISNUMBER(-LEFT(CH144,8))),VALUE(LEFT(CH144,4)),VALUE(LEFT(CH144,FIND("-",CH144)-1)))&lt;100,IF(AND(LEN(CH144)=9,ISERROR(FIND("-",LEFT(CH144,8))),ISNUMBER(-LEFT(CH144,8))),VALUE(LEFT(CH144,4)),VALUE(LEFT(CH144,FIND("-",CH144)-1)))+2000,IF(AND(LEN(CH144)=9,ISERROR(FIND("-",LEFT(CH144,8))),ISNUMBER(-LEFT(CH144,8))),VALUE(LEFT(CH144,4)),VALUE(LEFT(CH144,FIND("-",CH144)-1)))),""))</f>
        <v/>
      </c>
      <c r="CN144">
        <f>IF(CH144="","",IFERROR(IF(AND(LEN(CH144)=9,ISERROR(FIND("-",LEFT(CH144,8))),ISNUMBER(-LEFT(CH144,8))),VALUE(MID(CH144,5,2)),VALUE(MID(CH144,FIND("-",CH144)+1,FIND("-",CH144,FIND("-",CH144)+1)-FIND("-",CH144)-1))),""))</f>
        <v/>
      </c>
      <c r="CO144">
        <f>IF(CH144="","",IFERROR(IF(AND(LEN(CH144)=9,ISERROR(FIND("-",LEFT(CH144,8))),ISNUMBER(-LEFT(CH144,8))),VALUE(MID(CH144,7,2)),VALUE(MID(CH144,FIND("-",CH144,FIND("-",CH144)+1)+1,FIND("-",CH144,FIND("-",CH144,FIND("-",CH144)+1)+1)-FIND("-",CH144,FIND("-",CH144)+1)-1))),""))</f>
        <v/>
      </c>
    </row>
    <row r="145">
      <c r="A145" t="n">
        <v>49</v>
      </c>
      <c r="B145">
        <f>$B$1+49</f>
        <v/>
      </c>
      <c r="C145">
        <f>$B$2</f>
        <v/>
      </c>
      <c r="D145">
        <f>IF($B$1+1&gt;90,C145,(C145+IF($B$1+1&lt;=$B145,12*($B$7-$B$10),-12*MAX(0,($B$6+$B$10)-IF($B$1+1&gt;=$B$23,$B$22,0))*(1+$B$4)^1))*IF(C145+IF($B$1+1&lt;=$B145,12*($B$7-$B$10),-12*MAX(0,($B$6+$B$10)-IF($B$1+1&gt;=$B$23,$B$22,0))*(1+$B$4)^1)&gt;0,1+$B$3,1))</f>
        <v/>
      </c>
      <c r="E145">
        <f>IF($B$1+2&gt;90,D145,(D145+IF($B$1+2&lt;=$B145,12*($B$7-$B$10),-12*MAX(0,($B$6+$B$10)-IF($B$1+2&gt;=$B$23,$B$22,0))*(1+$B$4)^2))*IF(D145+IF($B$1+2&lt;=$B145,12*($B$7-$B$10),-12*MAX(0,($B$6+$B$10)-IF($B$1+2&gt;=$B$23,$B$22,0))*(1+$B$4)^2)&gt;0,1+$B$3,1))</f>
        <v/>
      </c>
      <c r="F145">
        <f>IF($B$1+3&gt;90,E145,(E145+IF($B$1+3&lt;=$B145,12*($B$7-$B$10),-12*MAX(0,($B$6+$B$10)-IF($B$1+3&gt;=$B$23,$B$22,0))*(1+$B$4)^3))*IF(E145+IF($B$1+3&lt;=$B145,12*($B$7-$B$10),-12*MAX(0,($B$6+$B$10)-IF($B$1+3&gt;=$B$23,$B$22,0))*(1+$B$4)^3)&gt;0,1+$B$3,1))</f>
        <v/>
      </c>
      <c r="G145">
        <f>IF($B$1+4&gt;90,F145,(F145+IF($B$1+4&lt;=$B145,12*($B$7-$B$10),-12*MAX(0,($B$6+$B$10)-IF($B$1+4&gt;=$B$23,$B$22,0))*(1+$B$4)^4))*IF(F145+IF($B$1+4&lt;=$B145,12*($B$7-$B$10),-12*MAX(0,($B$6+$B$10)-IF($B$1+4&gt;=$B$23,$B$22,0))*(1+$B$4)^4)&gt;0,1+$B$3,1))</f>
        <v/>
      </c>
      <c r="H145">
        <f>IF($B$1+5&gt;90,G145,(G145+IF($B$1+5&lt;=$B145,12*($B$7-$B$10),-12*MAX(0,($B$6+$B$10)-IF($B$1+5&gt;=$B$23,$B$22,0))*(1+$B$4)^5))*IF(G145+IF($B$1+5&lt;=$B145,12*($B$7-$B$10),-12*MAX(0,($B$6+$B$10)-IF($B$1+5&gt;=$B$23,$B$22,0))*(1+$B$4)^5)&gt;0,1+$B$3,1))</f>
        <v/>
      </c>
      <c r="I145">
        <f>IF($B$1+6&gt;90,H145,(H145+IF($B$1+6&lt;=$B145,12*($B$7-$B$10),-12*MAX(0,($B$6+$B$10)-IF($B$1+6&gt;=$B$23,$B$22,0))*(1+$B$4)^6))*IF(H145+IF($B$1+6&lt;=$B145,12*($B$7-$B$10),-12*MAX(0,($B$6+$B$10)-IF($B$1+6&gt;=$B$23,$B$22,0))*(1+$B$4)^6)&gt;0,1+$B$3,1))</f>
        <v/>
      </c>
      <c r="J145">
        <f>IF($B$1+7&gt;90,I145,(I145+IF($B$1+7&lt;=$B145,12*($B$7-$B$10),-12*MAX(0,($B$6+$B$10)-IF($B$1+7&gt;=$B$23,$B$22,0))*(1+$B$4)^7))*IF(I145+IF($B$1+7&lt;=$B145,12*($B$7-$B$10),-12*MAX(0,($B$6+$B$10)-IF($B$1+7&gt;=$B$23,$B$22,0))*(1+$B$4)^7)&gt;0,1+$B$3,1))</f>
        <v/>
      </c>
      <c r="K145">
        <f>IF($B$1+8&gt;90,J145,(J145+IF($B$1+8&lt;=$B145,12*($B$7-$B$10),-12*MAX(0,($B$6+$B$10)-IF($B$1+8&gt;=$B$23,$B$22,0))*(1+$B$4)^8))*IF(J145+IF($B$1+8&lt;=$B145,12*($B$7-$B$10),-12*MAX(0,($B$6+$B$10)-IF($B$1+8&gt;=$B$23,$B$22,0))*(1+$B$4)^8)&gt;0,1+$B$3,1))</f>
        <v/>
      </c>
      <c r="L145">
        <f>IF($B$1+9&gt;90,K145,(K145+IF($B$1+9&lt;=$B145,12*($B$7-$B$10),-12*MAX(0,($B$6+$B$10)-IF($B$1+9&gt;=$B$23,$B$22,0))*(1+$B$4)^9))*IF(K145+IF($B$1+9&lt;=$B145,12*($B$7-$B$10),-12*MAX(0,($B$6+$B$10)-IF($B$1+9&gt;=$B$23,$B$22,0))*(1+$B$4)^9)&gt;0,1+$B$3,1))</f>
        <v/>
      </c>
      <c r="M145">
        <f>IF($B$1+10&gt;90,L145,(L145+IF($B$1+10&lt;=$B145,12*($B$7-$B$10),-12*MAX(0,($B$6+$B$10)-IF($B$1+10&gt;=$B$23,$B$22,0))*(1+$B$4)^10))*IF(L145+IF($B$1+10&lt;=$B145,12*($B$7-$B$10),-12*MAX(0,($B$6+$B$10)-IF($B$1+10&gt;=$B$23,$B$22,0))*(1+$B$4)^10)&gt;0,1+$B$3,1))</f>
        <v/>
      </c>
      <c r="N145">
        <f>IF($B$1+11&gt;90,M145,(M145+IF($B$1+11&lt;=$B145,12*($B$7-$B$10),-12*MAX(0,($B$6+$B$10)-IF($B$1+11&gt;=$B$23,$B$22,0))*(1+$B$4)^11))*IF(M145+IF($B$1+11&lt;=$B145,12*($B$7-$B$10),-12*MAX(0,($B$6+$B$10)-IF($B$1+11&gt;=$B$23,$B$22,0))*(1+$B$4)^11)&gt;0,1+$B$3,1))</f>
        <v/>
      </c>
      <c r="O145">
        <f>IF($B$1+12&gt;90,N145,(N145+IF($B$1+12&lt;=$B145,12*($B$7-$B$10),-12*MAX(0,($B$6+$B$10)-IF($B$1+12&gt;=$B$23,$B$22,0))*(1+$B$4)^12))*IF(N145+IF($B$1+12&lt;=$B145,12*($B$7-$B$10),-12*MAX(0,($B$6+$B$10)-IF($B$1+12&gt;=$B$23,$B$22,0))*(1+$B$4)^12)&gt;0,1+$B$3,1))</f>
        <v/>
      </c>
      <c r="P145">
        <f>IF($B$1+13&gt;90,O145,(O145+IF($B$1+13&lt;=$B145,12*($B$7-$B$10),-12*MAX(0,($B$6+$B$10)-IF($B$1+13&gt;=$B$23,$B$22,0))*(1+$B$4)^13))*IF(O145+IF($B$1+13&lt;=$B145,12*($B$7-$B$10),-12*MAX(0,($B$6+$B$10)-IF($B$1+13&gt;=$B$23,$B$22,0))*(1+$B$4)^13)&gt;0,1+$B$3,1))</f>
        <v/>
      </c>
      <c r="Q145">
        <f>IF($B$1+14&gt;90,P145,(P145+IF($B$1+14&lt;=$B145,12*($B$7-$B$10),-12*MAX(0,($B$6+$B$10)-IF($B$1+14&gt;=$B$23,$B$22,0))*(1+$B$4)^14))*IF(P145+IF($B$1+14&lt;=$B145,12*($B$7-$B$10),-12*MAX(0,($B$6+$B$10)-IF($B$1+14&gt;=$B$23,$B$22,0))*(1+$B$4)^14)&gt;0,1+$B$3,1))</f>
        <v/>
      </c>
      <c r="R145">
        <f>IF($B$1+15&gt;90,Q145,(Q145+IF($B$1+15&lt;=$B145,12*($B$7-$B$10),-12*MAX(0,($B$6+$B$10)-IF($B$1+15&gt;=$B$23,$B$22,0))*(1+$B$4)^15))*IF(Q145+IF($B$1+15&lt;=$B145,12*($B$7-$B$10),-12*MAX(0,($B$6+$B$10)-IF($B$1+15&gt;=$B$23,$B$22,0))*(1+$B$4)^15)&gt;0,1+$B$3,1))</f>
        <v/>
      </c>
      <c r="S145">
        <f>IF($B$1+16&gt;90,R145,(R145+IF($B$1+16&lt;=$B145,12*($B$7-$B$10),-12*MAX(0,($B$6+$B$10)-IF($B$1+16&gt;=$B$23,$B$22,0))*(1+$B$4)^16))*IF(R145+IF($B$1+16&lt;=$B145,12*($B$7-$B$10),-12*MAX(0,($B$6+$B$10)-IF($B$1+16&gt;=$B$23,$B$22,0))*(1+$B$4)^16)&gt;0,1+$B$3,1))</f>
        <v/>
      </c>
      <c r="T145">
        <f>IF($B$1+17&gt;90,S145,(S145+IF($B$1+17&lt;=$B145,12*($B$7-$B$10),-12*MAX(0,($B$6+$B$10)-IF($B$1+17&gt;=$B$23,$B$22,0))*(1+$B$4)^17))*IF(S145+IF($B$1+17&lt;=$B145,12*($B$7-$B$10),-12*MAX(0,($B$6+$B$10)-IF($B$1+17&gt;=$B$23,$B$22,0))*(1+$B$4)^17)&gt;0,1+$B$3,1))</f>
        <v/>
      </c>
      <c r="U145">
        <f>IF($B$1+18&gt;90,T145,(T145+IF($B$1+18&lt;=$B145,12*($B$7-$B$10),-12*MAX(0,($B$6+$B$10)-IF($B$1+18&gt;=$B$23,$B$22,0))*(1+$B$4)^18))*IF(T145+IF($B$1+18&lt;=$B145,12*($B$7-$B$10),-12*MAX(0,($B$6+$B$10)-IF($B$1+18&gt;=$B$23,$B$22,0))*(1+$B$4)^18)&gt;0,1+$B$3,1))</f>
        <v/>
      </c>
      <c r="V145">
        <f>IF($B$1+19&gt;90,U145,(U145+IF($B$1+19&lt;=$B145,12*($B$7-$B$10),-12*MAX(0,($B$6+$B$10)-IF($B$1+19&gt;=$B$23,$B$22,0))*(1+$B$4)^19))*IF(U145+IF($B$1+19&lt;=$B145,12*($B$7-$B$10),-12*MAX(0,($B$6+$B$10)-IF($B$1+19&gt;=$B$23,$B$22,0))*(1+$B$4)^19)&gt;0,1+$B$3,1))</f>
        <v/>
      </c>
      <c r="W145">
        <f>IF($B$1+20&gt;90,V145,(V145+IF($B$1+20&lt;=$B145,12*($B$7-$B$10),-12*MAX(0,($B$6+$B$10)-IF($B$1+20&gt;=$B$23,$B$22,0))*(1+$B$4)^20))*IF(V145+IF($B$1+20&lt;=$B145,12*($B$7-$B$10),-12*MAX(0,($B$6+$B$10)-IF($B$1+20&gt;=$B$23,$B$22,0))*(1+$B$4)^20)&gt;0,1+$B$3,1))</f>
        <v/>
      </c>
      <c r="X145">
        <f>IF($B$1+21&gt;90,W145,(W145+IF($B$1+21&lt;=$B145,12*($B$7-$B$10),-12*MAX(0,($B$6+$B$10)-IF($B$1+21&gt;=$B$23,$B$22,0))*(1+$B$4)^21))*IF(W145+IF($B$1+21&lt;=$B145,12*($B$7-$B$10),-12*MAX(0,($B$6+$B$10)-IF($B$1+21&gt;=$B$23,$B$22,0))*(1+$B$4)^21)&gt;0,1+$B$3,1))</f>
        <v/>
      </c>
      <c r="Y145">
        <f>IF($B$1+22&gt;90,X145,(X145+IF($B$1+22&lt;=$B145,12*($B$7-$B$10),-12*MAX(0,($B$6+$B$10)-IF($B$1+22&gt;=$B$23,$B$22,0))*(1+$B$4)^22))*IF(X145+IF($B$1+22&lt;=$B145,12*($B$7-$B$10),-12*MAX(0,($B$6+$B$10)-IF($B$1+22&gt;=$B$23,$B$22,0))*(1+$B$4)^22)&gt;0,1+$B$3,1))</f>
        <v/>
      </c>
      <c r="Z145">
        <f>IF($B$1+23&gt;90,Y145,(Y145+IF($B$1+23&lt;=$B145,12*($B$7-$B$10),-12*MAX(0,($B$6+$B$10)-IF($B$1+23&gt;=$B$23,$B$22,0))*(1+$B$4)^23))*IF(Y145+IF($B$1+23&lt;=$B145,12*($B$7-$B$10),-12*MAX(0,($B$6+$B$10)-IF($B$1+23&gt;=$B$23,$B$22,0))*(1+$B$4)^23)&gt;0,1+$B$3,1))</f>
        <v/>
      </c>
      <c r="AA145">
        <f>IF($B$1+24&gt;90,Z145,(Z145+IF($B$1+24&lt;=$B145,12*($B$7-$B$10),-12*MAX(0,($B$6+$B$10)-IF($B$1+24&gt;=$B$23,$B$22,0))*(1+$B$4)^24))*IF(Z145+IF($B$1+24&lt;=$B145,12*($B$7-$B$10),-12*MAX(0,($B$6+$B$10)-IF($B$1+24&gt;=$B$23,$B$22,0))*(1+$B$4)^24)&gt;0,1+$B$3,1))</f>
        <v/>
      </c>
      <c r="AB145">
        <f>IF($B$1+25&gt;90,AA145,(AA145+IF($B$1+25&lt;=$B145,12*($B$7-$B$10),-12*MAX(0,($B$6+$B$10)-IF($B$1+25&gt;=$B$23,$B$22,0))*(1+$B$4)^25))*IF(AA145+IF($B$1+25&lt;=$B145,12*($B$7-$B$10),-12*MAX(0,($B$6+$B$10)-IF($B$1+25&gt;=$B$23,$B$22,0))*(1+$B$4)^25)&gt;0,1+$B$3,1))</f>
        <v/>
      </c>
      <c r="AC145">
        <f>IF($B$1+26&gt;90,AB145,(AB145+IF($B$1+26&lt;=$B145,12*($B$7-$B$10),-12*MAX(0,($B$6+$B$10)-IF($B$1+26&gt;=$B$23,$B$22,0))*(1+$B$4)^26))*IF(AB145+IF($B$1+26&lt;=$B145,12*($B$7-$B$10),-12*MAX(0,($B$6+$B$10)-IF($B$1+26&gt;=$B$23,$B$22,0))*(1+$B$4)^26)&gt;0,1+$B$3,1))</f>
        <v/>
      </c>
      <c r="AD145">
        <f>IF($B$1+27&gt;90,AC145,(AC145+IF($B$1+27&lt;=$B145,12*($B$7-$B$10),-12*MAX(0,($B$6+$B$10)-IF($B$1+27&gt;=$B$23,$B$22,0))*(1+$B$4)^27))*IF(AC145+IF($B$1+27&lt;=$B145,12*($B$7-$B$10),-12*MAX(0,($B$6+$B$10)-IF($B$1+27&gt;=$B$23,$B$22,0))*(1+$B$4)^27)&gt;0,1+$B$3,1))</f>
        <v/>
      </c>
      <c r="AE145">
        <f>IF($B$1+28&gt;90,AD145,(AD145+IF($B$1+28&lt;=$B145,12*($B$7-$B$10),-12*MAX(0,($B$6+$B$10)-IF($B$1+28&gt;=$B$23,$B$22,0))*(1+$B$4)^28))*IF(AD145+IF($B$1+28&lt;=$B145,12*($B$7-$B$10),-12*MAX(0,($B$6+$B$10)-IF($B$1+28&gt;=$B$23,$B$22,0))*(1+$B$4)^28)&gt;0,1+$B$3,1))</f>
        <v/>
      </c>
      <c r="AF145">
        <f>IF($B$1+29&gt;90,AE145,(AE145+IF($B$1+29&lt;=$B145,12*($B$7-$B$10),-12*MAX(0,($B$6+$B$10)-IF($B$1+29&gt;=$B$23,$B$22,0))*(1+$B$4)^29))*IF(AE145+IF($B$1+29&lt;=$B145,12*($B$7-$B$10),-12*MAX(0,($B$6+$B$10)-IF($B$1+29&gt;=$B$23,$B$22,0))*(1+$B$4)^29)&gt;0,1+$B$3,1))</f>
        <v/>
      </c>
      <c r="AG145">
        <f>IF($B$1+30&gt;90,AF145,(AF145+IF($B$1+30&lt;=$B145,12*($B$7-$B$10),-12*MAX(0,($B$6+$B$10)-IF($B$1+30&gt;=$B$23,$B$22,0))*(1+$B$4)^30))*IF(AF145+IF($B$1+30&lt;=$B145,12*($B$7-$B$10),-12*MAX(0,($B$6+$B$10)-IF($B$1+30&gt;=$B$23,$B$22,0))*(1+$B$4)^30)&gt;0,1+$B$3,1))</f>
        <v/>
      </c>
      <c r="AH145">
        <f>IF($B$1+31&gt;90,AG145,(AG145+IF($B$1+31&lt;=$B145,12*($B$7-$B$10),-12*MAX(0,($B$6+$B$10)-IF($B$1+31&gt;=$B$23,$B$22,0))*(1+$B$4)^31))*IF(AG145+IF($B$1+31&lt;=$B145,12*($B$7-$B$10),-12*MAX(0,($B$6+$B$10)-IF($B$1+31&gt;=$B$23,$B$22,0))*(1+$B$4)^31)&gt;0,1+$B$3,1))</f>
        <v/>
      </c>
      <c r="AI145">
        <f>IF($B$1+32&gt;90,AH145,(AH145+IF($B$1+32&lt;=$B145,12*($B$7-$B$10),-12*MAX(0,($B$6+$B$10)-IF($B$1+32&gt;=$B$23,$B$22,0))*(1+$B$4)^32))*IF(AH145+IF($B$1+32&lt;=$B145,12*($B$7-$B$10),-12*MAX(0,($B$6+$B$10)-IF($B$1+32&gt;=$B$23,$B$22,0))*(1+$B$4)^32)&gt;0,1+$B$3,1))</f>
        <v/>
      </c>
      <c r="AJ145">
        <f>IF($B$1+33&gt;90,AI145,(AI145+IF($B$1+33&lt;=$B145,12*($B$7-$B$10),-12*MAX(0,($B$6+$B$10)-IF($B$1+33&gt;=$B$23,$B$22,0))*(1+$B$4)^33))*IF(AI145+IF($B$1+33&lt;=$B145,12*($B$7-$B$10),-12*MAX(0,($B$6+$B$10)-IF($B$1+33&gt;=$B$23,$B$22,0))*(1+$B$4)^33)&gt;0,1+$B$3,1))</f>
        <v/>
      </c>
      <c r="AK145">
        <f>IF($B$1+34&gt;90,AJ145,(AJ145+IF($B$1+34&lt;=$B145,12*($B$7-$B$10),-12*MAX(0,($B$6+$B$10)-IF($B$1+34&gt;=$B$23,$B$22,0))*(1+$B$4)^34))*IF(AJ145+IF($B$1+34&lt;=$B145,12*($B$7-$B$10),-12*MAX(0,($B$6+$B$10)-IF($B$1+34&gt;=$B$23,$B$22,0))*(1+$B$4)^34)&gt;0,1+$B$3,1))</f>
        <v/>
      </c>
      <c r="AL145">
        <f>IF($B$1+35&gt;90,AK145,(AK145+IF($B$1+35&lt;=$B145,12*($B$7-$B$10),-12*MAX(0,($B$6+$B$10)-IF($B$1+35&gt;=$B$23,$B$22,0))*(1+$B$4)^35))*IF(AK145+IF($B$1+35&lt;=$B145,12*($B$7-$B$10),-12*MAX(0,($B$6+$B$10)-IF($B$1+35&gt;=$B$23,$B$22,0))*(1+$B$4)^35)&gt;0,1+$B$3,1))</f>
        <v/>
      </c>
      <c r="AM145">
        <f>IF($B$1+36&gt;90,AL145,(AL145+IF($B$1+36&lt;=$B145,12*($B$7-$B$10),-12*MAX(0,($B$6+$B$10)-IF($B$1+36&gt;=$B$23,$B$22,0))*(1+$B$4)^36))*IF(AL145+IF($B$1+36&lt;=$B145,12*($B$7-$B$10),-12*MAX(0,($B$6+$B$10)-IF($B$1+36&gt;=$B$23,$B$22,0))*(1+$B$4)^36)&gt;0,1+$B$3,1))</f>
        <v/>
      </c>
      <c r="AN145">
        <f>IF($B$1+37&gt;90,AM145,(AM145+IF($B$1+37&lt;=$B145,12*($B$7-$B$10),-12*MAX(0,($B$6+$B$10)-IF($B$1+37&gt;=$B$23,$B$22,0))*(1+$B$4)^37))*IF(AM145+IF($B$1+37&lt;=$B145,12*($B$7-$B$10),-12*MAX(0,($B$6+$B$10)-IF($B$1+37&gt;=$B$23,$B$22,0))*(1+$B$4)^37)&gt;0,1+$B$3,1))</f>
        <v/>
      </c>
      <c r="AO145">
        <f>IF($B$1+38&gt;90,AN145,(AN145+IF($B$1+38&lt;=$B145,12*($B$7-$B$10),-12*MAX(0,($B$6+$B$10)-IF($B$1+38&gt;=$B$23,$B$22,0))*(1+$B$4)^38))*IF(AN145+IF($B$1+38&lt;=$B145,12*($B$7-$B$10),-12*MAX(0,($B$6+$B$10)-IF($B$1+38&gt;=$B$23,$B$22,0))*(1+$B$4)^38)&gt;0,1+$B$3,1))</f>
        <v/>
      </c>
      <c r="AP145">
        <f>IF($B$1+39&gt;90,AO145,(AO145+IF($B$1+39&lt;=$B145,12*($B$7-$B$10),-12*MAX(0,($B$6+$B$10)-IF($B$1+39&gt;=$B$23,$B$22,0))*(1+$B$4)^39))*IF(AO145+IF($B$1+39&lt;=$B145,12*($B$7-$B$10),-12*MAX(0,($B$6+$B$10)-IF($B$1+39&gt;=$B$23,$B$22,0))*(1+$B$4)^39)&gt;0,1+$B$3,1))</f>
        <v/>
      </c>
      <c r="AQ145">
        <f>IF($B$1+40&gt;90,AP145,(AP145+IF($B$1+40&lt;=$B145,12*($B$7-$B$10),-12*MAX(0,($B$6+$B$10)-IF($B$1+40&gt;=$B$23,$B$22,0))*(1+$B$4)^40))*IF(AP145+IF($B$1+40&lt;=$B145,12*($B$7-$B$10),-12*MAX(0,($B$6+$B$10)-IF($B$1+40&gt;=$B$23,$B$22,0))*(1+$B$4)^40)&gt;0,1+$B$3,1))</f>
        <v/>
      </c>
      <c r="AR145">
        <f>IF($B$1+41&gt;90,AQ145,(AQ145+IF($B$1+41&lt;=$B145,12*($B$7-$B$10),-12*MAX(0,($B$6+$B$10)-IF($B$1+41&gt;=$B$23,$B$22,0))*(1+$B$4)^41))*IF(AQ145+IF($B$1+41&lt;=$B145,12*($B$7-$B$10),-12*MAX(0,($B$6+$B$10)-IF($B$1+41&gt;=$B$23,$B$22,0))*(1+$B$4)^41)&gt;0,1+$B$3,1))</f>
        <v/>
      </c>
      <c r="AS145">
        <f>IF($B$1+42&gt;90,AR145,(AR145+IF($B$1+42&lt;=$B145,12*($B$7-$B$10),-12*MAX(0,($B$6+$B$10)-IF($B$1+42&gt;=$B$23,$B$22,0))*(1+$B$4)^42))*IF(AR145+IF($B$1+42&lt;=$B145,12*($B$7-$B$10),-12*MAX(0,($B$6+$B$10)-IF($B$1+42&gt;=$B$23,$B$22,0))*(1+$B$4)^42)&gt;0,1+$B$3,1))</f>
        <v/>
      </c>
      <c r="AT145">
        <f>IF($B$1+43&gt;90,AS145,(AS145+IF($B$1+43&lt;=$B145,12*($B$7-$B$10),-12*MAX(0,($B$6+$B$10)-IF($B$1+43&gt;=$B$23,$B$22,0))*(1+$B$4)^43))*IF(AS145+IF($B$1+43&lt;=$B145,12*($B$7-$B$10),-12*MAX(0,($B$6+$B$10)-IF($B$1+43&gt;=$B$23,$B$22,0))*(1+$B$4)^43)&gt;0,1+$B$3,1))</f>
        <v/>
      </c>
      <c r="AU145">
        <f>IF($B$1+44&gt;90,AT145,(AT145+IF($B$1+44&lt;=$B145,12*($B$7-$B$10),-12*MAX(0,($B$6+$B$10)-IF($B$1+44&gt;=$B$23,$B$22,0))*(1+$B$4)^44))*IF(AT145+IF($B$1+44&lt;=$B145,12*($B$7-$B$10),-12*MAX(0,($B$6+$B$10)-IF($B$1+44&gt;=$B$23,$B$22,0))*(1+$B$4)^44)&gt;0,1+$B$3,1))</f>
        <v/>
      </c>
      <c r="AV145">
        <f>IF($B$1+45&gt;90,AU145,(AU145+IF($B$1+45&lt;=$B145,12*($B$7-$B$10),-12*MAX(0,($B$6+$B$10)-IF($B$1+45&gt;=$B$23,$B$22,0))*(1+$B$4)^45))*IF(AU145+IF($B$1+45&lt;=$B145,12*($B$7-$B$10),-12*MAX(0,($B$6+$B$10)-IF($B$1+45&gt;=$B$23,$B$22,0))*(1+$B$4)^45)&gt;0,1+$B$3,1))</f>
        <v/>
      </c>
      <c r="AW145">
        <f>IF($B$1+46&gt;90,AV145,(AV145+IF($B$1+46&lt;=$B145,12*($B$7-$B$10),-12*MAX(0,($B$6+$B$10)-IF($B$1+46&gt;=$B$23,$B$22,0))*(1+$B$4)^46))*IF(AV145+IF($B$1+46&lt;=$B145,12*($B$7-$B$10),-12*MAX(0,($B$6+$B$10)-IF($B$1+46&gt;=$B$23,$B$22,0))*(1+$B$4)^46)&gt;0,1+$B$3,1))</f>
        <v/>
      </c>
      <c r="AX145">
        <f>IF($B$1+47&gt;90,AW145,(AW145+IF($B$1+47&lt;=$B145,12*($B$7-$B$10),-12*MAX(0,($B$6+$B$10)-IF($B$1+47&gt;=$B$23,$B$22,0))*(1+$B$4)^47))*IF(AW145+IF($B$1+47&lt;=$B145,12*($B$7-$B$10),-12*MAX(0,($B$6+$B$10)-IF($B$1+47&gt;=$B$23,$B$22,0))*(1+$B$4)^47)&gt;0,1+$B$3,1))</f>
        <v/>
      </c>
      <c r="AY145">
        <f>IF($B$1+48&gt;90,AX145,(AX145+IF($B$1+48&lt;=$B145,12*($B$7-$B$10),-12*MAX(0,($B$6+$B$10)-IF($B$1+48&gt;=$B$23,$B$22,0))*(1+$B$4)^48))*IF(AX145+IF($B$1+48&lt;=$B145,12*($B$7-$B$10),-12*MAX(0,($B$6+$B$10)-IF($B$1+48&gt;=$B$23,$B$22,0))*(1+$B$4)^48)&gt;0,1+$B$3,1))</f>
        <v/>
      </c>
      <c r="AZ145">
        <f>IF($B$1+49&gt;90,AY145,(AY145+IF($B$1+49&lt;=$B145,12*($B$7-$B$10),-12*MAX(0,($B$6+$B$10)-IF($B$1+49&gt;=$B$23,$B$22,0))*(1+$B$4)^49))*IF(AY145+IF($B$1+49&lt;=$B145,12*($B$7-$B$10),-12*MAX(0,($B$6+$B$10)-IF($B$1+49&gt;=$B$23,$B$22,0))*(1+$B$4)^49)&gt;0,1+$B$3,1))</f>
        <v/>
      </c>
      <c r="BA145">
        <f>IF($B$1+50&gt;90,AZ145,(AZ145+IF($B$1+50&lt;=$B145,12*($B$7-$B$10),-12*MAX(0,($B$6+$B$10)-IF($B$1+50&gt;=$B$23,$B$22,0))*(1+$B$4)^50))*IF(AZ145+IF($B$1+50&lt;=$B145,12*($B$7-$B$10),-12*MAX(0,($B$6+$B$10)-IF($B$1+50&gt;=$B$23,$B$22,0))*(1+$B$4)^50)&gt;0,1+$B$3,1))</f>
        <v/>
      </c>
      <c r="BB145">
        <f>IF($B$1+51&gt;90,BA145,(BA145+IF($B$1+51&lt;=$B145,12*($B$7-$B$10),-12*MAX(0,($B$6+$B$10)-IF($B$1+51&gt;=$B$23,$B$22,0))*(1+$B$4)^51))*IF(BA145+IF($B$1+51&lt;=$B145,12*($B$7-$B$10),-12*MAX(0,($B$6+$B$10)-IF($B$1+51&gt;=$B$23,$B$22,0))*(1+$B$4)^51)&gt;0,1+$B$3,1))</f>
        <v/>
      </c>
      <c r="BC145">
        <f>IF($B$1+52&gt;90,BB145,(BB145+IF($B$1+52&lt;=$B145,12*($B$7-$B$10),-12*MAX(0,($B$6+$B$10)-IF($B$1+52&gt;=$B$23,$B$22,0))*(1+$B$4)^52))*IF(BB145+IF($B$1+52&lt;=$B145,12*($B$7-$B$10),-12*MAX(0,($B$6+$B$10)-IF($B$1+52&gt;=$B$23,$B$22,0))*(1+$B$4)^52)&gt;0,1+$B$3,1))</f>
        <v/>
      </c>
      <c r="BD145">
        <f>IF($B$1+53&gt;90,BC145,(BC145+IF($B$1+53&lt;=$B145,12*($B$7-$B$10),-12*MAX(0,($B$6+$B$10)-IF($B$1+53&gt;=$B$23,$B$22,0))*(1+$B$4)^53))*IF(BC145+IF($B$1+53&lt;=$B145,12*($B$7-$B$10),-12*MAX(0,($B$6+$B$10)-IF($B$1+53&gt;=$B$23,$B$22,0))*(1+$B$4)^53)&gt;0,1+$B$3,1))</f>
        <v/>
      </c>
      <c r="BE145">
        <f>IF($B$1+54&gt;90,BD145,(BD145+IF($B$1+54&lt;=$B145,12*($B$7-$B$10),-12*MAX(0,($B$6+$B$10)-IF($B$1+54&gt;=$B$23,$B$22,0))*(1+$B$4)^54))*IF(BD145+IF($B$1+54&lt;=$B145,12*($B$7-$B$10),-12*MAX(0,($B$6+$B$10)-IF($B$1+54&gt;=$B$23,$B$22,0))*(1+$B$4)^54)&gt;0,1+$B$3,1))</f>
        <v/>
      </c>
      <c r="BF145">
        <f>IF($B$1+55&gt;90,BE145,(BE145+IF($B$1+55&lt;=$B145,12*($B$7-$B$10),-12*MAX(0,($B$6+$B$10)-IF($B$1+55&gt;=$B$23,$B$22,0))*(1+$B$4)^55))*IF(BE145+IF($B$1+55&lt;=$B145,12*($B$7-$B$10),-12*MAX(0,($B$6+$B$10)-IF($B$1+55&gt;=$B$23,$B$22,0))*(1+$B$4)^55)&gt;0,1+$B$3,1))</f>
        <v/>
      </c>
      <c r="BG145">
        <f>IF($B$1+56&gt;90,BF145,(BF145+IF($B$1+56&lt;=$B145,12*($B$7-$B$10),-12*MAX(0,($B$6+$B$10)-IF($B$1+56&gt;=$B$23,$B$22,0))*(1+$B$4)^56))*IF(BF145+IF($B$1+56&lt;=$B145,12*($B$7-$B$10),-12*MAX(0,($B$6+$B$10)-IF($B$1+56&gt;=$B$23,$B$22,0))*(1+$B$4)^56)&gt;0,1+$B$3,1))</f>
        <v/>
      </c>
      <c r="BH145">
        <f>IF($B$1+57&gt;90,BG145,(BG145+IF($B$1+57&lt;=$B145,12*($B$7-$B$10),-12*MAX(0,($B$6+$B$10)-IF($B$1+57&gt;=$B$23,$B$22,0))*(1+$B$4)^57))*IF(BG145+IF($B$1+57&lt;=$B145,12*($B$7-$B$10),-12*MAX(0,($B$6+$B$10)-IF($B$1+57&gt;=$B$23,$B$22,0))*(1+$B$4)^57)&gt;0,1+$B$3,1))</f>
        <v/>
      </c>
      <c r="BI145">
        <f>IF($B$1+58&gt;90,BH145,(BH145+IF($B$1+58&lt;=$B145,12*($B$7-$B$10),-12*MAX(0,($B$6+$B$10)-IF($B$1+58&gt;=$B$23,$B$22,0))*(1+$B$4)^58))*IF(BH145+IF($B$1+58&lt;=$B145,12*($B$7-$B$10),-12*MAX(0,($B$6+$B$10)-IF($B$1+58&gt;=$B$23,$B$22,0))*(1+$B$4)^58)&gt;0,1+$B$3,1))</f>
        <v/>
      </c>
      <c r="BJ145">
        <f>IF($B$1+59&gt;90,BI145,(BI145+IF($B$1+59&lt;=$B145,12*($B$7-$B$10),-12*MAX(0,($B$6+$B$10)-IF($B$1+59&gt;=$B$23,$B$22,0))*(1+$B$4)^59))*IF(BI145+IF($B$1+59&lt;=$B145,12*($B$7-$B$10),-12*MAX(0,($B$6+$B$10)-IF($B$1+59&gt;=$B$23,$B$22,0))*(1+$B$4)^59)&gt;0,1+$B$3,1))</f>
        <v/>
      </c>
      <c r="BK145">
        <f>IF($B$1+60&gt;90,BJ145,(BJ145+IF($B$1+60&lt;=$B145,12*($B$7-$B$10),-12*MAX(0,($B$6+$B$10)-IF($B$1+60&gt;=$B$23,$B$22,0))*(1+$B$4)^60))*IF(BJ145+IF($B$1+60&lt;=$B145,12*($B$7-$B$10),-12*MAX(0,($B$6+$B$10)-IF($B$1+60&gt;=$B$23,$B$22,0))*(1+$B$4)^60)&gt;0,1+$B$3,1))</f>
        <v/>
      </c>
      <c r="BL145">
        <f>IF($B$1+61&gt;90,BK145,(BK145+IF($B$1+61&lt;=$B145,12*($B$7-$B$10),-12*MAX(0,($B$6+$B$10)-IF($B$1+61&gt;=$B$23,$B$22,0))*(1+$B$4)^61))*IF(BK145+IF($B$1+61&lt;=$B145,12*($B$7-$B$10),-12*MAX(0,($B$6+$B$10)-IF($B$1+61&gt;=$B$23,$B$22,0))*(1+$B$4)^61)&gt;0,1+$B$3,1))</f>
        <v/>
      </c>
      <c r="BM145">
        <f>IF($B$1+62&gt;90,BL145,(BL145+IF($B$1+62&lt;=$B145,12*($B$7-$B$10),-12*MAX(0,($B$6+$B$10)-IF($B$1+62&gt;=$B$23,$B$22,0))*(1+$B$4)^62))*IF(BL145+IF($B$1+62&lt;=$B145,12*($B$7-$B$10),-12*MAX(0,($B$6+$B$10)-IF($B$1+62&gt;=$B$23,$B$22,0))*(1+$B$4)^62)&gt;0,1+$B$3,1))</f>
        <v/>
      </c>
      <c r="BN145">
        <f>IF($B$1+63&gt;90,BM145,(BM145+IF($B$1+63&lt;=$B145,12*($B$7-$B$10),-12*MAX(0,($B$6+$B$10)-IF($B$1+63&gt;=$B$23,$B$22,0))*(1+$B$4)^63))*IF(BM145+IF($B$1+63&lt;=$B145,12*($B$7-$B$10),-12*MAX(0,($B$6+$B$10)-IF($B$1+63&gt;=$B$23,$B$22,0))*(1+$B$4)^63)&gt;0,1+$B$3,1))</f>
        <v/>
      </c>
      <c r="BO145">
        <f>IF($B$1+64&gt;90,BN145,(BN145+IF($B$1+64&lt;=$B145,12*($B$7-$B$10),-12*MAX(0,($B$6+$B$10)-IF($B$1+64&gt;=$B$23,$B$22,0))*(1+$B$4)^64))*IF(BN145+IF($B$1+64&lt;=$B145,12*($B$7-$B$10),-12*MAX(0,($B$6+$B$10)-IF($B$1+64&gt;=$B$23,$B$22,0))*(1+$B$4)^64)&gt;0,1+$B$3,1))</f>
        <v/>
      </c>
      <c r="BP145">
        <f>IF($B$1+65&gt;90,BO145,(BO145+IF($B$1+65&lt;=$B145,12*($B$7-$B$10),-12*MAX(0,($B$6+$B$10)-IF($B$1+65&gt;=$B$23,$B$22,0))*(1+$B$4)^65))*IF(BO145+IF($B$1+65&lt;=$B145,12*($B$7-$B$10),-12*MAX(0,($B$6+$B$10)-IF($B$1+65&gt;=$B$23,$B$22,0))*(1+$B$4)^65)&gt;0,1+$B$3,1))</f>
        <v/>
      </c>
      <c r="BQ145">
        <f>IF($B$1+66&gt;90,BP145,(BP145+IF($B$1+66&lt;=$B145,12*($B$7-$B$10),-12*MAX(0,($B$6+$B$10)-IF($B$1+66&gt;=$B$23,$B$22,0))*(1+$B$4)^66))*IF(BP145+IF($B$1+66&lt;=$B145,12*($B$7-$B$10),-12*MAX(0,($B$6+$B$10)-IF($B$1+66&gt;=$B$23,$B$22,0))*(1+$B$4)^66)&gt;0,1+$B$3,1))</f>
        <v/>
      </c>
      <c r="BR145">
        <f>IF($B$1+67&gt;90,BQ145,(BQ145+IF($B$1+67&lt;=$B145,12*($B$7-$B$10),-12*MAX(0,($B$6+$B$10)-IF($B$1+67&gt;=$B$23,$B$22,0))*(1+$B$4)^67))*IF(BQ145+IF($B$1+67&lt;=$B145,12*($B$7-$B$10),-12*MAX(0,($B$6+$B$10)-IF($B$1+67&gt;=$B$23,$B$22,0))*(1+$B$4)^67)&gt;0,1+$B$3,1))</f>
        <v/>
      </c>
      <c r="BS145">
        <f>IF($B$1+68&gt;90,BR145,(BR145+IF($B$1+68&lt;=$B145,12*($B$7-$B$10),-12*MAX(0,($B$6+$B$10)-IF($B$1+68&gt;=$B$23,$B$22,0))*(1+$B$4)^68))*IF(BR145+IF($B$1+68&lt;=$B145,12*($B$7-$B$10),-12*MAX(0,($B$6+$B$10)-IF($B$1+68&gt;=$B$23,$B$22,0))*(1+$B$4)^68)&gt;0,1+$B$3,1))</f>
        <v/>
      </c>
      <c r="BT145">
        <f>IF($B$1+69&gt;90,BS145,(BS145+IF($B$1+69&lt;=$B145,12*($B$7-$B$10),-12*MAX(0,($B$6+$B$10)-IF($B$1+69&gt;=$B$23,$B$22,0))*(1+$B$4)^69))*IF(BS145+IF($B$1+69&lt;=$B145,12*($B$7-$B$10),-12*MAX(0,($B$6+$B$10)-IF($B$1+69&gt;=$B$23,$B$22,0))*(1+$B$4)^69)&gt;0,1+$B$3,1))</f>
        <v/>
      </c>
      <c r="BU145">
        <f>IF($B$1+70&gt;90,BT145,(BT145+IF($B$1+70&lt;=$B145,12*($B$7-$B$10),-12*MAX(0,($B$6+$B$10)-IF($B$1+70&gt;=$B$23,$B$22,0))*(1+$B$4)^70))*IF(BT145+IF($B$1+70&lt;=$B145,12*($B$7-$B$10),-12*MAX(0,($B$6+$B$10)-IF($B$1+70&gt;=$B$23,$B$22,0))*(1+$B$4)^70)&gt;0,1+$B$3,1))</f>
        <v/>
      </c>
      <c r="BV145">
        <f>BU145</f>
        <v/>
      </c>
      <c r="BW145">
        <f>IF(AND($B145&lt;=70,BV145&gt;0),$B145,999)</f>
        <v/>
      </c>
      <c r="CH145">
        <f>IF(ISTEXT('월 가계부'!A145),SUBSTITUTE(SUBSTITUTE(SUBSTITUTE(SUBSTITUTE(SUBSTITUTE(SUBSTITUTE(SUBSTITUTE(SUBSTITUTE(SUBSTITUTE(TRIM('월 가계부'!A145),"년","-"),"월","-"),"일",""),".","-"),"/","-")," ","-"),"--","-"),"--","-"),"--","-")&amp;"-","")</f>
        <v/>
      </c>
      <c r="CI145">
        <f>IFERROR(IF('월 가계부'!A145="","",IF(ISNUMBER('월 가계부'!A145),IF(AND('월 가계부'!A145&gt;=19000101,'월 가계부'!A145&lt;=21001231),IF(AND(MOD(INT('월 가계부'!A145/100),100)&gt;=1,MOD(INT('월 가계부'!A145/100),100)&lt;=12,MOD(INT('월 가계부'!A145),100)&gt;=1,MOD(INT('월 가계부'!A145),100)&lt;=31),IF(MONTH(DATE(INT('월 가계부'!A145/10000),MOD(INT('월 가계부'!A145/100),100),MOD(INT('월 가계부'!A145),100)))=MOD(INT('월 가계부'!A145/100),100),DATE(INT('월 가계부'!A145/10000),MOD(INT('월 가계부'!A145/100),100),MOD(INT('월 가계부'!A145),100)),""),""),IF(AND('월 가계부'!A145&gt;=36526,'월 가계부'!A145&lt;73051),INT('월 가계부'!A145),"")),IF(OR(CM145="",CN145="",CO145=""),"",IF(AND(CM145&gt;=2000,CM145&lt;=2099,CN145&gt;=1,CN145&lt;=12,CO145&gt;=1,CO145&lt;=31),IF(MONTH(DATE(CM145,CN145,CO145))=CN145,DATE(CM145,CN145,CO145),""),"")))),"")</f>
        <v/>
      </c>
      <c r="CJ145">
        <f>IFERROR(IF('월 가계부'!C145="","",IF(ISNUMBER('월 가계부'!C145),'월 가계부'!C145,VALUE(SUBSTITUTE(SUBSTITUTE(SUBSTITUTE(SUBSTITUTE(TRIM('월 가계부'!C145),",",""),"원","")," ",""),"−","-")))),"")</f>
        <v/>
      </c>
      <c r="CK145">
        <f>IF(ISNUMBER(CI145),IF(CI145&lt;$B$13,CI145,""),"")</f>
        <v/>
      </c>
      <c r="CM145">
        <f>IF(CH145="","",IFERROR(IF(IF(AND(LEN(CH145)=9,ISERROR(FIND("-",LEFT(CH145,8))),ISNUMBER(-LEFT(CH145,8))),VALUE(LEFT(CH145,4)),VALUE(LEFT(CH145,FIND("-",CH145)-1)))&lt;100,IF(AND(LEN(CH145)=9,ISERROR(FIND("-",LEFT(CH145,8))),ISNUMBER(-LEFT(CH145,8))),VALUE(LEFT(CH145,4)),VALUE(LEFT(CH145,FIND("-",CH145)-1)))+2000,IF(AND(LEN(CH145)=9,ISERROR(FIND("-",LEFT(CH145,8))),ISNUMBER(-LEFT(CH145,8))),VALUE(LEFT(CH145,4)),VALUE(LEFT(CH145,FIND("-",CH145)-1)))),""))</f>
        <v/>
      </c>
      <c r="CN145">
        <f>IF(CH145="","",IFERROR(IF(AND(LEN(CH145)=9,ISERROR(FIND("-",LEFT(CH145,8))),ISNUMBER(-LEFT(CH145,8))),VALUE(MID(CH145,5,2)),VALUE(MID(CH145,FIND("-",CH145)+1,FIND("-",CH145,FIND("-",CH145)+1)-FIND("-",CH145)-1))),""))</f>
        <v/>
      </c>
      <c r="CO145">
        <f>IF(CH145="","",IFERROR(IF(AND(LEN(CH145)=9,ISERROR(FIND("-",LEFT(CH145,8))),ISNUMBER(-LEFT(CH145,8))),VALUE(MID(CH145,7,2)),VALUE(MID(CH145,FIND("-",CH145,FIND("-",CH145)+1)+1,FIND("-",CH145,FIND("-",CH145,FIND("-",CH145)+1)+1)-FIND("-",CH145,FIND("-",CH145)+1)-1))),""))</f>
        <v/>
      </c>
    </row>
    <row r="146">
      <c r="A146" t="n">
        <v>50</v>
      </c>
      <c r="B146">
        <f>$B$1+50</f>
        <v/>
      </c>
      <c r="C146">
        <f>$B$2</f>
        <v/>
      </c>
      <c r="D146">
        <f>IF($B$1+1&gt;90,C146,(C146+IF($B$1+1&lt;=$B146,12*($B$7-$B$10),-12*MAX(0,($B$6+$B$10)-IF($B$1+1&gt;=$B$23,$B$22,0))*(1+$B$4)^1))*IF(C146+IF($B$1+1&lt;=$B146,12*($B$7-$B$10),-12*MAX(0,($B$6+$B$10)-IF($B$1+1&gt;=$B$23,$B$22,0))*(1+$B$4)^1)&gt;0,1+$B$3,1))</f>
        <v/>
      </c>
      <c r="E146">
        <f>IF($B$1+2&gt;90,D146,(D146+IF($B$1+2&lt;=$B146,12*($B$7-$B$10),-12*MAX(0,($B$6+$B$10)-IF($B$1+2&gt;=$B$23,$B$22,0))*(1+$B$4)^2))*IF(D146+IF($B$1+2&lt;=$B146,12*($B$7-$B$10),-12*MAX(0,($B$6+$B$10)-IF($B$1+2&gt;=$B$23,$B$22,0))*(1+$B$4)^2)&gt;0,1+$B$3,1))</f>
        <v/>
      </c>
      <c r="F146">
        <f>IF($B$1+3&gt;90,E146,(E146+IF($B$1+3&lt;=$B146,12*($B$7-$B$10),-12*MAX(0,($B$6+$B$10)-IF($B$1+3&gt;=$B$23,$B$22,0))*(1+$B$4)^3))*IF(E146+IF($B$1+3&lt;=$B146,12*($B$7-$B$10),-12*MAX(0,($B$6+$B$10)-IF($B$1+3&gt;=$B$23,$B$22,0))*(1+$B$4)^3)&gt;0,1+$B$3,1))</f>
        <v/>
      </c>
      <c r="G146">
        <f>IF($B$1+4&gt;90,F146,(F146+IF($B$1+4&lt;=$B146,12*($B$7-$B$10),-12*MAX(0,($B$6+$B$10)-IF($B$1+4&gt;=$B$23,$B$22,0))*(1+$B$4)^4))*IF(F146+IF($B$1+4&lt;=$B146,12*($B$7-$B$10),-12*MAX(0,($B$6+$B$10)-IF($B$1+4&gt;=$B$23,$B$22,0))*(1+$B$4)^4)&gt;0,1+$B$3,1))</f>
        <v/>
      </c>
      <c r="H146">
        <f>IF($B$1+5&gt;90,G146,(G146+IF($B$1+5&lt;=$B146,12*($B$7-$B$10),-12*MAX(0,($B$6+$B$10)-IF($B$1+5&gt;=$B$23,$B$22,0))*(1+$B$4)^5))*IF(G146+IF($B$1+5&lt;=$B146,12*($B$7-$B$10),-12*MAX(0,($B$6+$B$10)-IF($B$1+5&gt;=$B$23,$B$22,0))*(1+$B$4)^5)&gt;0,1+$B$3,1))</f>
        <v/>
      </c>
      <c r="I146">
        <f>IF($B$1+6&gt;90,H146,(H146+IF($B$1+6&lt;=$B146,12*($B$7-$B$10),-12*MAX(0,($B$6+$B$10)-IF($B$1+6&gt;=$B$23,$B$22,0))*(1+$B$4)^6))*IF(H146+IF($B$1+6&lt;=$B146,12*($B$7-$B$10),-12*MAX(0,($B$6+$B$10)-IF($B$1+6&gt;=$B$23,$B$22,0))*(1+$B$4)^6)&gt;0,1+$B$3,1))</f>
        <v/>
      </c>
      <c r="J146">
        <f>IF($B$1+7&gt;90,I146,(I146+IF($B$1+7&lt;=$B146,12*($B$7-$B$10),-12*MAX(0,($B$6+$B$10)-IF($B$1+7&gt;=$B$23,$B$22,0))*(1+$B$4)^7))*IF(I146+IF($B$1+7&lt;=$B146,12*($B$7-$B$10),-12*MAX(0,($B$6+$B$10)-IF($B$1+7&gt;=$B$23,$B$22,0))*(1+$B$4)^7)&gt;0,1+$B$3,1))</f>
        <v/>
      </c>
      <c r="K146">
        <f>IF($B$1+8&gt;90,J146,(J146+IF($B$1+8&lt;=$B146,12*($B$7-$B$10),-12*MAX(0,($B$6+$B$10)-IF($B$1+8&gt;=$B$23,$B$22,0))*(1+$B$4)^8))*IF(J146+IF($B$1+8&lt;=$B146,12*($B$7-$B$10),-12*MAX(0,($B$6+$B$10)-IF($B$1+8&gt;=$B$23,$B$22,0))*(1+$B$4)^8)&gt;0,1+$B$3,1))</f>
        <v/>
      </c>
      <c r="L146">
        <f>IF($B$1+9&gt;90,K146,(K146+IF($B$1+9&lt;=$B146,12*($B$7-$B$10),-12*MAX(0,($B$6+$B$10)-IF($B$1+9&gt;=$B$23,$B$22,0))*(1+$B$4)^9))*IF(K146+IF($B$1+9&lt;=$B146,12*($B$7-$B$10),-12*MAX(0,($B$6+$B$10)-IF($B$1+9&gt;=$B$23,$B$22,0))*(1+$B$4)^9)&gt;0,1+$B$3,1))</f>
        <v/>
      </c>
      <c r="M146">
        <f>IF($B$1+10&gt;90,L146,(L146+IF($B$1+10&lt;=$B146,12*($B$7-$B$10),-12*MAX(0,($B$6+$B$10)-IF($B$1+10&gt;=$B$23,$B$22,0))*(1+$B$4)^10))*IF(L146+IF($B$1+10&lt;=$B146,12*($B$7-$B$10),-12*MAX(0,($B$6+$B$10)-IF($B$1+10&gt;=$B$23,$B$22,0))*(1+$B$4)^10)&gt;0,1+$B$3,1))</f>
        <v/>
      </c>
      <c r="N146">
        <f>IF($B$1+11&gt;90,M146,(M146+IF($B$1+11&lt;=$B146,12*($B$7-$B$10),-12*MAX(0,($B$6+$B$10)-IF($B$1+11&gt;=$B$23,$B$22,0))*(1+$B$4)^11))*IF(M146+IF($B$1+11&lt;=$B146,12*($B$7-$B$10),-12*MAX(0,($B$6+$B$10)-IF($B$1+11&gt;=$B$23,$B$22,0))*(1+$B$4)^11)&gt;0,1+$B$3,1))</f>
        <v/>
      </c>
      <c r="O146">
        <f>IF($B$1+12&gt;90,N146,(N146+IF($B$1+12&lt;=$B146,12*($B$7-$B$10),-12*MAX(0,($B$6+$B$10)-IF($B$1+12&gt;=$B$23,$B$22,0))*(1+$B$4)^12))*IF(N146+IF($B$1+12&lt;=$B146,12*($B$7-$B$10),-12*MAX(0,($B$6+$B$10)-IF($B$1+12&gt;=$B$23,$B$22,0))*(1+$B$4)^12)&gt;0,1+$B$3,1))</f>
        <v/>
      </c>
      <c r="P146">
        <f>IF($B$1+13&gt;90,O146,(O146+IF($B$1+13&lt;=$B146,12*($B$7-$B$10),-12*MAX(0,($B$6+$B$10)-IF($B$1+13&gt;=$B$23,$B$22,0))*(1+$B$4)^13))*IF(O146+IF($B$1+13&lt;=$B146,12*($B$7-$B$10),-12*MAX(0,($B$6+$B$10)-IF($B$1+13&gt;=$B$23,$B$22,0))*(1+$B$4)^13)&gt;0,1+$B$3,1))</f>
        <v/>
      </c>
      <c r="Q146">
        <f>IF($B$1+14&gt;90,P146,(P146+IF($B$1+14&lt;=$B146,12*($B$7-$B$10),-12*MAX(0,($B$6+$B$10)-IF($B$1+14&gt;=$B$23,$B$22,0))*(1+$B$4)^14))*IF(P146+IF($B$1+14&lt;=$B146,12*($B$7-$B$10),-12*MAX(0,($B$6+$B$10)-IF($B$1+14&gt;=$B$23,$B$22,0))*(1+$B$4)^14)&gt;0,1+$B$3,1))</f>
        <v/>
      </c>
      <c r="R146">
        <f>IF($B$1+15&gt;90,Q146,(Q146+IF($B$1+15&lt;=$B146,12*($B$7-$B$10),-12*MAX(0,($B$6+$B$10)-IF($B$1+15&gt;=$B$23,$B$22,0))*(1+$B$4)^15))*IF(Q146+IF($B$1+15&lt;=$B146,12*($B$7-$B$10),-12*MAX(0,($B$6+$B$10)-IF($B$1+15&gt;=$B$23,$B$22,0))*(1+$B$4)^15)&gt;0,1+$B$3,1))</f>
        <v/>
      </c>
      <c r="S146">
        <f>IF($B$1+16&gt;90,R146,(R146+IF($B$1+16&lt;=$B146,12*($B$7-$B$10),-12*MAX(0,($B$6+$B$10)-IF($B$1+16&gt;=$B$23,$B$22,0))*(1+$B$4)^16))*IF(R146+IF($B$1+16&lt;=$B146,12*($B$7-$B$10),-12*MAX(0,($B$6+$B$10)-IF($B$1+16&gt;=$B$23,$B$22,0))*(1+$B$4)^16)&gt;0,1+$B$3,1))</f>
        <v/>
      </c>
      <c r="T146">
        <f>IF($B$1+17&gt;90,S146,(S146+IF($B$1+17&lt;=$B146,12*($B$7-$B$10),-12*MAX(0,($B$6+$B$10)-IF($B$1+17&gt;=$B$23,$B$22,0))*(1+$B$4)^17))*IF(S146+IF($B$1+17&lt;=$B146,12*($B$7-$B$10),-12*MAX(0,($B$6+$B$10)-IF($B$1+17&gt;=$B$23,$B$22,0))*(1+$B$4)^17)&gt;0,1+$B$3,1))</f>
        <v/>
      </c>
      <c r="U146">
        <f>IF($B$1+18&gt;90,T146,(T146+IF($B$1+18&lt;=$B146,12*($B$7-$B$10),-12*MAX(0,($B$6+$B$10)-IF($B$1+18&gt;=$B$23,$B$22,0))*(1+$B$4)^18))*IF(T146+IF($B$1+18&lt;=$B146,12*($B$7-$B$10),-12*MAX(0,($B$6+$B$10)-IF($B$1+18&gt;=$B$23,$B$22,0))*(1+$B$4)^18)&gt;0,1+$B$3,1))</f>
        <v/>
      </c>
      <c r="V146">
        <f>IF($B$1+19&gt;90,U146,(U146+IF($B$1+19&lt;=$B146,12*($B$7-$B$10),-12*MAX(0,($B$6+$B$10)-IF($B$1+19&gt;=$B$23,$B$22,0))*(1+$B$4)^19))*IF(U146+IF($B$1+19&lt;=$B146,12*($B$7-$B$10),-12*MAX(0,($B$6+$B$10)-IF($B$1+19&gt;=$B$23,$B$22,0))*(1+$B$4)^19)&gt;0,1+$B$3,1))</f>
        <v/>
      </c>
      <c r="W146">
        <f>IF($B$1+20&gt;90,V146,(V146+IF($B$1+20&lt;=$B146,12*($B$7-$B$10),-12*MAX(0,($B$6+$B$10)-IF($B$1+20&gt;=$B$23,$B$22,0))*(1+$B$4)^20))*IF(V146+IF($B$1+20&lt;=$B146,12*($B$7-$B$10),-12*MAX(0,($B$6+$B$10)-IF($B$1+20&gt;=$B$23,$B$22,0))*(1+$B$4)^20)&gt;0,1+$B$3,1))</f>
        <v/>
      </c>
      <c r="X146">
        <f>IF($B$1+21&gt;90,W146,(W146+IF($B$1+21&lt;=$B146,12*($B$7-$B$10),-12*MAX(0,($B$6+$B$10)-IF($B$1+21&gt;=$B$23,$B$22,0))*(1+$B$4)^21))*IF(W146+IF($B$1+21&lt;=$B146,12*($B$7-$B$10),-12*MAX(0,($B$6+$B$10)-IF($B$1+21&gt;=$B$23,$B$22,0))*(1+$B$4)^21)&gt;0,1+$B$3,1))</f>
        <v/>
      </c>
      <c r="Y146">
        <f>IF($B$1+22&gt;90,X146,(X146+IF($B$1+22&lt;=$B146,12*($B$7-$B$10),-12*MAX(0,($B$6+$B$10)-IF($B$1+22&gt;=$B$23,$B$22,0))*(1+$B$4)^22))*IF(X146+IF($B$1+22&lt;=$B146,12*($B$7-$B$10),-12*MAX(0,($B$6+$B$10)-IF($B$1+22&gt;=$B$23,$B$22,0))*(1+$B$4)^22)&gt;0,1+$B$3,1))</f>
        <v/>
      </c>
      <c r="Z146">
        <f>IF($B$1+23&gt;90,Y146,(Y146+IF($B$1+23&lt;=$B146,12*($B$7-$B$10),-12*MAX(0,($B$6+$B$10)-IF($B$1+23&gt;=$B$23,$B$22,0))*(1+$B$4)^23))*IF(Y146+IF($B$1+23&lt;=$B146,12*($B$7-$B$10),-12*MAX(0,($B$6+$B$10)-IF($B$1+23&gt;=$B$23,$B$22,0))*(1+$B$4)^23)&gt;0,1+$B$3,1))</f>
        <v/>
      </c>
      <c r="AA146">
        <f>IF($B$1+24&gt;90,Z146,(Z146+IF($B$1+24&lt;=$B146,12*($B$7-$B$10),-12*MAX(0,($B$6+$B$10)-IF($B$1+24&gt;=$B$23,$B$22,0))*(1+$B$4)^24))*IF(Z146+IF($B$1+24&lt;=$B146,12*($B$7-$B$10),-12*MAX(0,($B$6+$B$10)-IF($B$1+24&gt;=$B$23,$B$22,0))*(1+$B$4)^24)&gt;0,1+$B$3,1))</f>
        <v/>
      </c>
      <c r="AB146">
        <f>IF($B$1+25&gt;90,AA146,(AA146+IF($B$1+25&lt;=$B146,12*($B$7-$B$10),-12*MAX(0,($B$6+$B$10)-IF($B$1+25&gt;=$B$23,$B$22,0))*(1+$B$4)^25))*IF(AA146+IF($B$1+25&lt;=$B146,12*($B$7-$B$10),-12*MAX(0,($B$6+$B$10)-IF($B$1+25&gt;=$B$23,$B$22,0))*(1+$B$4)^25)&gt;0,1+$B$3,1))</f>
        <v/>
      </c>
      <c r="AC146">
        <f>IF($B$1+26&gt;90,AB146,(AB146+IF($B$1+26&lt;=$B146,12*($B$7-$B$10),-12*MAX(0,($B$6+$B$10)-IF($B$1+26&gt;=$B$23,$B$22,0))*(1+$B$4)^26))*IF(AB146+IF($B$1+26&lt;=$B146,12*($B$7-$B$10),-12*MAX(0,($B$6+$B$10)-IF($B$1+26&gt;=$B$23,$B$22,0))*(1+$B$4)^26)&gt;0,1+$B$3,1))</f>
        <v/>
      </c>
      <c r="AD146">
        <f>IF($B$1+27&gt;90,AC146,(AC146+IF($B$1+27&lt;=$B146,12*($B$7-$B$10),-12*MAX(0,($B$6+$B$10)-IF($B$1+27&gt;=$B$23,$B$22,0))*(1+$B$4)^27))*IF(AC146+IF($B$1+27&lt;=$B146,12*($B$7-$B$10),-12*MAX(0,($B$6+$B$10)-IF($B$1+27&gt;=$B$23,$B$22,0))*(1+$B$4)^27)&gt;0,1+$B$3,1))</f>
        <v/>
      </c>
      <c r="AE146">
        <f>IF($B$1+28&gt;90,AD146,(AD146+IF($B$1+28&lt;=$B146,12*($B$7-$B$10),-12*MAX(0,($B$6+$B$10)-IF($B$1+28&gt;=$B$23,$B$22,0))*(1+$B$4)^28))*IF(AD146+IF($B$1+28&lt;=$B146,12*($B$7-$B$10),-12*MAX(0,($B$6+$B$10)-IF($B$1+28&gt;=$B$23,$B$22,0))*(1+$B$4)^28)&gt;0,1+$B$3,1))</f>
        <v/>
      </c>
      <c r="AF146">
        <f>IF($B$1+29&gt;90,AE146,(AE146+IF($B$1+29&lt;=$B146,12*($B$7-$B$10),-12*MAX(0,($B$6+$B$10)-IF($B$1+29&gt;=$B$23,$B$22,0))*(1+$B$4)^29))*IF(AE146+IF($B$1+29&lt;=$B146,12*($B$7-$B$10),-12*MAX(0,($B$6+$B$10)-IF($B$1+29&gt;=$B$23,$B$22,0))*(1+$B$4)^29)&gt;0,1+$B$3,1))</f>
        <v/>
      </c>
      <c r="AG146">
        <f>IF($B$1+30&gt;90,AF146,(AF146+IF($B$1+30&lt;=$B146,12*($B$7-$B$10),-12*MAX(0,($B$6+$B$10)-IF($B$1+30&gt;=$B$23,$B$22,0))*(1+$B$4)^30))*IF(AF146+IF($B$1+30&lt;=$B146,12*($B$7-$B$10),-12*MAX(0,($B$6+$B$10)-IF($B$1+30&gt;=$B$23,$B$22,0))*(1+$B$4)^30)&gt;0,1+$B$3,1))</f>
        <v/>
      </c>
      <c r="AH146">
        <f>IF($B$1+31&gt;90,AG146,(AG146+IF($B$1+31&lt;=$B146,12*($B$7-$B$10),-12*MAX(0,($B$6+$B$10)-IF($B$1+31&gt;=$B$23,$B$22,0))*(1+$B$4)^31))*IF(AG146+IF($B$1+31&lt;=$B146,12*($B$7-$B$10),-12*MAX(0,($B$6+$B$10)-IF($B$1+31&gt;=$B$23,$B$22,0))*(1+$B$4)^31)&gt;0,1+$B$3,1))</f>
        <v/>
      </c>
      <c r="AI146">
        <f>IF($B$1+32&gt;90,AH146,(AH146+IF($B$1+32&lt;=$B146,12*($B$7-$B$10),-12*MAX(0,($B$6+$B$10)-IF($B$1+32&gt;=$B$23,$B$22,0))*(1+$B$4)^32))*IF(AH146+IF($B$1+32&lt;=$B146,12*($B$7-$B$10),-12*MAX(0,($B$6+$B$10)-IF($B$1+32&gt;=$B$23,$B$22,0))*(1+$B$4)^32)&gt;0,1+$B$3,1))</f>
        <v/>
      </c>
      <c r="AJ146">
        <f>IF($B$1+33&gt;90,AI146,(AI146+IF($B$1+33&lt;=$B146,12*($B$7-$B$10),-12*MAX(0,($B$6+$B$10)-IF($B$1+33&gt;=$B$23,$B$22,0))*(1+$B$4)^33))*IF(AI146+IF($B$1+33&lt;=$B146,12*($B$7-$B$10),-12*MAX(0,($B$6+$B$10)-IF($B$1+33&gt;=$B$23,$B$22,0))*(1+$B$4)^33)&gt;0,1+$B$3,1))</f>
        <v/>
      </c>
      <c r="AK146">
        <f>IF($B$1+34&gt;90,AJ146,(AJ146+IF($B$1+34&lt;=$B146,12*($B$7-$B$10),-12*MAX(0,($B$6+$B$10)-IF($B$1+34&gt;=$B$23,$B$22,0))*(1+$B$4)^34))*IF(AJ146+IF($B$1+34&lt;=$B146,12*($B$7-$B$10),-12*MAX(0,($B$6+$B$10)-IF($B$1+34&gt;=$B$23,$B$22,0))*(1+$B$4)^34)&gt;0,1+$B$3,1))</f>
        <v/>
      </c>
      <c r="AL146">
        <f>IF($B$1+35&gt;90,AK146,(AK146+IF($B$1+35&lt;=$B146,12*($B$7-$B$10),-12*MAX(0,($B$6+$B$10)-IF($B$1+35&gt;=$B$23,$B$22,0))*(1+$B$4)^35))*IF(AK146+IF($B$1+35&lt;=$B146,12*($B$7-$B$10),-12*MAX(0,($B$6+$B$10)-IF($B$1+35&gt;=$B$23,$B$22,0))*(1+$B$4)^35)&gt;0,1+$B$3,1))</f>
        <v/>
      </c>
      <c r="AM146">
        <f>IF($B$1+36&gt;90,AL146,(AL146+IF($B$1+36&lt;=$B146,12*($B$7-$B$10),-12*MAX(0,($B$6+$B$10)-IF($B$1+36&gt;=$B$23,$B$22,0))*(1+$B$4)^36))*IF(AL146+IF($B$1+36&lt;=$B146,12*($B$7-$B$10),-12*MAX(0,($B$6+$B$10)-IF($B$1+36&gt;=$B$23,$B$22,0))*(1+$B$4)^36)&gt;0,1+$B$3,1))</f>
        <v/>
      </c>
      <c r="AN146">
        <f>IF($B$1+37&gt;90,AM146,(AM146+IF($B$1+37&lt;=$B146,12*($B$7-$B$10),-12*MAX(0,($B$6+$B$10)-IF($B$1+37&gt;=$B$23,$B$22,0))*(1+$B$4)^37))*IF(AM146+IF($B$1+37&lt;=$B146,12*($B$7-$B$10),-12*MAX(0,($B$6+$B$10)-IF($B$1+37&gt;=$B$23,$B$22,0))*(1+$B$4)^37)&gt;0,1+$B$3,1))</f>
        <v/>
      </c>
      <c r="AO146">
        <f>IF($B$1+38&gt;90,AN146,(AN146+IF($B$1+38&lt;=$B146,12*($B$7-$B$10),-12*MAX(0,($B$6+$B$10)-IF($B$1+38&gt;=$B$23,$B$22,0))*(1+$B$4)^38))*IF(AN146+IF($B$1+38&lt;=$B146,12*($B$7-$B$10),-12*MAX(0,($B$6+$B$10)-IF($B$1+38&gt;=$B$23,$B$22,0))*(1+$B$4)^38)&gt;0,1+$B$3,1))</f>
        <v/>
      </c>
      <c r="AP146">
        <f>IF($B$1+39&gt;90,AO146,(AO146+IF($B$1+39&lt;=$B146,12*($B$7-$B$10),-12*MAX(0,($B$6+$B$10)-IF($B$1+39&gt;=$B$23,$B$22,0))*(1+$B$4)^39))*IF(AO146+IF($B$1+39&lt;=$B146,12*($B$7-$B$10),-12*MAX(0,($B$6+$B$10)-IF($B$1+39&gt;=$B$23,$B$22,0))*(1+$B$4)^39)&gt;0,1+$B$3,1))</f>
        <v/>
      </c>
      <c r="AQ146">
        <f>IF($B$1+40&gt;90,AP146,(AP146+IF($B$1+40&lt;=$B146,12*($B$7-$B$10),-12*MAX(0,($B$6+$B$10)-IF($B$1+40&gt;=$B$23,$B$22,0))*(1+$B$4)^40))*IF(AP146+IF($B$1+40&lt;=$B146,12*($B$7-$B$10),-12*MAX(0,($B$6+$B$10)-IF($B$1+40&gt;=$B$23,$B$22,0))*(1+$B$4)^40)&gt;0,1+$B$3,1))</f>
        <v/>
      </c>
      <c r="AR146">
        <f>IF($B$1+41&gt;90,AQ146,(AQ146+IF($B$1+41&lt;=$B146,12*($B$7-$B$10),-12*MAX(0,($B$6+$B$10)-IF($B$1+41&gt;=$B$23,$B$22,0))*(1+$B$4)^41))*IF(AQ146+IF($B$1+41&lt;=$B146,12*($B$7-$B$10),-12*MAX(0,($B$6+$B$10)-IF($B$1+41&gt;=$B$23,$B$22,0))*(1+$B$4)^41)&gt;0,1+$B$3,1))</f>
        <v/>
      </c>
      <c r="AS146">
        <f>IF($B$1+42&gt;90,AR146,(AR146+IF($B$1+42&lt;=$B146,12*($B$7-$B$10),-12*MAX(0,($B$6+$B$10)-IF($B$1+42&gt;=$B$23,$B$22,0))*(1+$B$4)^42))*IF(AR146+IF($B$1+42&lt;=$B146,12*($B$7-$B$10),-12*MAX(0,($B$6+$B$10)-IF($B$1+42&gt;=$B$23,$B$22,0))*(1+$B$4)^42)&gt;0,1+$B$3,1))</f>
        <v/>
      </c>
      <c r="AT146">
        <f>IF($B$1+43&gt;90,AS146,(AS146+IF($B$1+43&lt;=$B146,12*($B$7-$B$10),-12*MAX(0,($B$6+$B$10)-IF($B$1+43&gt;=$B$23,$B$22,0))*(1+$B$4)^43))*IF(AS146+IF($B$1+43&lt;=$B146,12*($B$7-$B$10),-12*MAX(0,($B$6+$B$10)-IF($B$1+43&gt;=$B$23,$B$22,0))*(1+$B$4)^43)&gt;0,1+$B$3,1))</f>
        <v/>
      </c>
      <c r="AU146">
        <f>IF($B$1+44&gt;90,AT146,(AT146+IF($B$1+44&lt;=$B146,12*($B$7-$B$10),-12*MAX(0,($B$6+$B$10)-IF($B$1+44&gt;=$B$23,$B$22,0))*(1+$B$4)^44))*IF(AT146+IF($B$1+44&lt;=$B146,12*($B$7-$B$10),-12*MAX(0,($B$6+$B$10)-IF($B$1+44&gt;=$B$23,$B$22,0))*(1+$B$4)^44)&gt;0,1+$B$3,1))</f>
        <v/>
      </c>
      <c r="AV146">
        <f>IF($B$1+45&gt;90,AU146,(AU146+IF($B$1+45&lt;=$B146,12*($B$7-$B$10),-12*MAX(0,($B$6+$B$10)-IF($B$1+45&gt;=$B$23,$B$22,0))*(1+$B$4)^45))*IF(AU146+IF($B$1+45&lt;=$B146,12*($B$7-$B$10),-12*MAX(0,($B$6+$B$10)-IF($B$1+45&gt;=$B$23,$B$22,0))*(1+$B$4)^45)&gt;0,1+$B$3,1))</f>
        <v/>
      </c>
      <c r="AW146">
        <f>IF($B$1+46&gt;90,AV146,(AV146+IF($B$1+46&lt;=$B146,12*($B$7-$B$10),-12*MAX(0,($B$6+$B$10)-IF($B$1+46&gt;=$B$23,$B$22,0))*(1+$B$4)^46))*IF(AV146+IF($B$1+46&lt;=$B146,12*($B$7-$B$10),-12*MAX(0,($B$6+$B$10)-IF($B$1+46&gt;=$B$23,$B$22,0))*(1+$B$4)^46)&gt;0,1+$B$3,1))</f>
        <v/>
      </c>
      <c r="AX146">
        <f>IF($B$1+47&gt;90,AW146,(AW146+IF($B$1+47&lt;=$B146,12*($B$7-$B$10),-12*MAX(0,($B$6+$B$10)-IF($B$1+47&gt;=$B$23,$B$22,0))*(1+$B$4)^47))*IF(AW146+IF($B$1+47&lt;=$B146,12*($B$7-$B$10),-12*MAX(0,($B$6+$B$10)-IF($B$1+47&gt;=$B$23,$B$22,0))*(1+$B$4)^47)&gt;0,1+$B$3,1))</f>
        <v/>
      </c>
      <c r="AY146">
        <f>IF($B$1+48&gt;90,AX146,(AX146+IF($B$1+48&lt;=$B146,12*($B$7-$B$10),-12*MAX(0,($B$6+$B$10)-IF($B$1+48&gt;=$B$23,$B$22,0))*(1+$B$4)^48))*IF(AX146+IF($B$1+48&lt;=$B146,12*($B$7-$B$10),-12*MAX(0,($B$6+$B$10)-IF($B$1+48&gt;=$B$23,$B$22,0))*(1+$B$4)^48)&gt;0,1+$B$3,1))</f>
        <v/>
      </c>
      <c r="AZ146">
        <f>IF($B$1+49&gt;90,AY146,(AY146+IF($B$1+49&lt;=$B146,12*($B$7-$B$10),-12*MAX(0,($B$6+$B$10)-IF($B$1+49&gt;=$B$23,$B$22,0))*(1+$B$4)^49))*IF(AY146+IF($B$1+49&lt;=$B146,12*($B$7-$B$10),-12*MAX(0,($B$6+$B$10)-IF($B$1+49&gt;=$B$23,$B$22,0))*(1+$B$4)^49)&gt;0,1+$B$3,1))</f>
        <v/>
      </c>
      <c r="BA146">
        <f>IF($B$1+50&gt;90,AZ146,(AZ146+IF($B$1+50&lt;=$B146,12*($B$7-$B$10),-12*MAX(0,($B$6+$B$10)-IF($B$1+50&gt;=$B$23,$B$22,0))*(1+$B$4)^50))*IF(AZ146+IF($B$1+50&lt;=$B146,12*($B$7-$B$10),-12*MAX(0,($B$6+$B$10)-IF($B$1+50&gt;=$B$23,$B$22,0))*(1+$B$4)^50)&gt;0,1+$B$3,1))</f>
        <v/>
      </c>
      <c r="BB146">
        <f>IF($B$1+51&gt;90,BA146,(BA146+IF($B$1+51&lt;=$B146,12*($B$7-$B$10),-12*MAX(0,($B$6+$B$10)-IF($B$1+51&gt;=$B$23,$B$22,0))*(1+$B$4)^51))*IF(BA146+IF($B$1+51&lt;=$B146,12*($B$7-$B$10),-12*MAX(0,($B$6+$B$10)-IF($B$1+51&gt;=$B$23,$B$22,0))*(1+$B$4)^51)&gt;0,1+$B$3,1))</f>
        <v/>
      </c>
      <c r="BC146">
        <f>IF($B$1+52&gt;90,BB146,(BB146+IF($B$1+52&lt;=$B146,12*($B$7-$B$10),-12*MAX(0,($B$6+$B$10)-IF($B$1+52&gt;=$B$23,$B$22,0))*(1+$B$4)^52))*IF(BB146+IF($B$1+52&lt;=$B146,12*($B$7-$B$10),-12*MAX(0,($B$6+$B$10)-IF($B$1+52&gt;=$B$23,$B$22,0))*(1+$B$4)^52)&gt;0,1+$B$3,1))</f>
        <v/>
      </c>
      <c r="BD146">
        <f>IF($B$1+53&gt;90,BC146,(BC146+IF($B$1+53&lt;=$B146,12*($B$7-$B$10),-12*MAX(0,($B$6+$B$10)-IF($B$1+53&gt;=$B$23,$B$22,0))*(1+$B$4)^53))*IF(BC146+IF($B$1+53&lt;=$B146,12*($B$7-$B$10),-12*MAX(0,($B$6+$B$10)-IF($B$1+53&gt;=$B$23,$B$22,0))*(1+$B$4)^53)&gt;0,1+$B$3,1))</f>
        <v/>
      </c>
      <c r="BE146">
        <f>IF($B$1+54&gt;90,BD146,(BD146+IF($B$1+54&lt;=$B146,12*($B$7-$B$10),-12*MAX(0,($B$6+$B$10)-IF($B$1+54&gt;=$B$23,$B$22,0))*(1+$B$4)^54))*IF(BD146+IF($B$1+54&lt;=$B146,12*($B$7-$B$10),-12*MAX(0,($B$6+$B$10)-IF($B$1+54&gt;=$B$23,$B$22,0))*(1+$B$4)^54)&gt;0,1+$B$3,1))</f>
        <v/>
      </c>
      <c r="BF146">
        <f>IF($B$1+55&gt;90,BE146,(BE146+IF($B$1+55&lt;=$B146,12*($B$7-$B$10),-12*MAX(0,($B$6+$B$10)-IF($B$1+55&gt;=$B$23,$B$22,0))*(1+$B$4)^55))*IF(BE146+IF($B$1+55&lt;=$B146,12*($B$7-$B$10),-12*MAX(0,($B$6+$B$10)-IF($B$1+55&gt;=$B$23,$B$22,0))*(1+$B$4)^55)&gt;0,1+$B$3,1))</f>
        <v/>
      </c>
      <c r="BG146">
        <f>IF($B$1+56&gt;90,BF146,(BF146+IF($B$1+56&lt;=$B146,12*($B$7-$B$10),-12*MAX(0,($B$6+$B$10)-IF($B$1+56&gt;=$B$23,$B$22,0))*(1+$B$4)^56))*IF(BF146+IF($B$1+56&lt;=$B146,12*($B$7-$B$10),-12*MAX(0,($B$6+$B$10)-IF($B$1+56&gt;=$B$23,$B$22,0))*(1+$B$4)^56)&gt;0,1+$B$3,1))</f>
        <v/>
      </c>
      <c r="BH146">
        <f>IF($B$1+57&gt;90,BG146,(BG146+IF($B$1+57&lt;=$B146,12*($B$7-$B$10),-12*MAX(0,($B$6+$B$10)-IF($B$1+57&gt;=$B$23,$B$22,0))*(1+$B$4)^57))*IF(BG146+IF($B$1+57&lt;=$B146,12*($B$7-$B$10),-12*MAX(0,($B$6+$B$10)-IF($B$1+57&gt;=$B$23,$B$22,0))*(1+$B$4)^57)&gt;0,1+$B$3,1))</f>
        <v/>
      </c>
      <c r="BI146">
        <f>IF($B$1+58&gt;90,BH146,(BH146+IF($B$1+58&lt;=$B146,12*($B$7-$B$10),-12*MAX(0,($B$6+$B$10)-IF($B$1+58&gt;=$B$23,$B$22,0))*(1+$B$4)^58))*IF(BH146+IF($B$1+58&lt;=$B146,12*($B$7-$B$10),-12*MAX(0,($B$6+$B$10)-IF($B$1+58&gt;=$B$23,$B$22,0))*(1+$B$4)^58)&gt;0,1+$B$3,1))</f>
        <v/>
      </c>
      <c r="BJ146">
        <f>IF($B$1+59&gt;90,BI146,(BI146+IF($B$1+59&lt;=$B146,12*($B$7-$B$10),-12*MAX(0,($B$6+$B$10)-IF($B$1+59&gt;=$B$23,$B$22,0))*(1+$B$4)^59))*IF(BI146+IF($B$1+59&lt;=$B146,12*($B$7-$B$10),-12*MAX(0,($B$6+$B$10)-IF($B$1+59&gt;=$B$23,$B$22,0))*(1+$B$4)^59)&gt;0,1+$B$3,1))</f>
        <v/>
      </c>
      <c r="BK146">
        <f>IF($B$1+60&gt;90,BJ146,(BJ146+IF($B$1+60&lt;=$B146,12*($B$7-$B$10),-12*MAX(0,($B$6+$B$10)-IF($B$1+60&gt;=$B$23,$B$22,0))*(1+$B$4)^60))*IF(BJ146+IF($B$1+60&lt;=$B146,12*($B$7-$B$10),-12*MAX(0,($B$6+$B$10)-IF($B$1+60&gt;=$B$23,$B$22,0))*(1+$B$4)^60)&gt;0,1+$B$3,1))</f>
        <v/>
      </c>
      <c r="BL146">
        <f>IF($B$1+61&gt;90,BK146,(BK146+IF($B$1+61&lt;=$B146,12*($B$7-$B$10),-12*MAX(0,($B$6+$B$10)-IF($B$1+61&gt;=$B$23,$B$22,0))*(1+$B$4)^61))*IF(BK146+IF($B$1+61&lt;=$B146,12*($B$7-$B$10),-12*MAX(0,($B$6+$B$10)-IF($B$1+61&gt;=$B$23,$B$22,0))*(1+$B$4)^61)&gt;0,1+$B$3,1))</f>
        <v/>
      </c>
      <c r="BM146">
        <f>IF($B$1+62&gt;90,BL146,(BL146+IF($B$1+62&lt;=$B146,12*($B$7-$B$10),-12*MAX(0,($B$6+$B$10)-IF($B$1+62&gt;=$B$23,$B$22,0))*(1+$B$4)^62))*IF(BL146+IF($B$1+62&lt;=$B146,12*($B$7-$B$10),-12*MAX(0,($B$6+$B$10)-IF($B$1+62&gt;=$B$23,$B$22,0))*(1+$B$4)^62)&gt;0,1+$B$3,1))</f>
        <v/>
      </c>
      <c r="BN146">
        <f>IF($B$1+63&gt;90,BM146,(BM146+IF($B$1+63&lt;=$B146,12*($B$7-$B$10),-12*MAX(0,($B$6+$B$10)-IF($B$1+63&gt;=$B$23,$B$22,0))*(1+$B$4)^63))*IF(BM146+IF($B$1+63&lt;=$B146,12*($B$7-$B$10),-12*MAX(0,($B$6+$B$10)-IF($B$1+63&gt;=$B$23,$B$22,0))*(1+$B$4)^63)&gt;0,1+$B$3,1))</f>
        <v/>
      </c>
      <c r="BO146">
        <f>IF($B$1+64&gt;90,BN146,(BN146+IF($B$1+64&lt;=$B146,12*($B$7-$B$10),-12*MAX(0,($B$6+$B$10)-IF($B$1+64&gt;=$B$23,$B$22,0))*(1+$B$4)^64))*IF(BN146+IF($B$1+64&lt;=$B146,12*($B$7-$B$10),-12*MAX(0,($B$6+$B$10)-IF($B$1+64&gt;=$B$23,$B$22,0))*(1+$B$4)^64)&gt;0,1+$B$3,1))</f>
        <v/>
      </c>
      <c r="BP146">
        <f>IF($B$1+65&gt;90,BO146,(BO146+IF($B$1+65&lt;=$B146,12*($B$7-$B$10),-12*MAX(0,($B$6+$B$10)-IF($B$1+65&gt;=$B$23,$B$22,0))*(1+$B$4)^65))*IF(BO146+IF($B$1+65&lt;=$B146,12*($B$7-$B$10),-12*MAX(0,($B$6+$B$10)-IF($B$1+65&gt;=$B$23,$B$22,0))*(1+$B$4)^65)&gt;0,1+$B$3,1))</f>
        <v/>
      </c>
      <c r="BQ146">
        <f>IF($B$1+66&gt;90,BP146,(BP146+IF($B$1+66&lt;=$B146,12*($B$7-$B$10),-12*MAX(0,($B$6+$B$10)-IF($B$1+66&gt;=$B$23,$B$22,0))*(1+$B$4)^66))*IF(BP146+IF($B$1+66&lt;=$B146,12*($B$7-$B$10),-12*MAX(0,($B$6+$B$10)-IF($B$1+66&gt;=$B$23,$B$22,0))*(1+$B$4)^66)&gt;0,1+$B$3,1))</f>
        <v/>
      </c>
      <c r="BR146">
        <f>IF($B$1+67&gt;90,BQ146,(BQ146+IF($B$1+67&lt;=$B146,12*($B$7-$B$10),-12*MAX(0,($B$6+$B$10)-IF($B$1+67&gt;=$B$23,$B$22,0))*(1+$B$4)^67))*IF(BQ146+IF($B$1+67&lt;=$B146,12*($B$7-$B$10),-12*MAX(0,($B$6+$B$10)-IF($B$1+67&gt;=$B$23,$B$22,0))*(1+$B$4)^67)&gt;0,1+$B$3,1))</f>
        <v/>
      </c>
      <c r="BS146">
        <f>IF($B$1+68&gt;90,BR146,(BR146+IF($B$1+68&lt;=$B146,12*($B$7-$B$10),-12*MAX(0,($B$6+$B$10)-IF($B$1+68&gt;=$B$23,$B$22,0))*(1+$B$4)^68))*IF(BR146+IF($B$1+68&lt;=$B146,12*($B$7-$B$10),-12*MAX(0,($B$6+$B$10)-IF($B$1+68&gt;=$B$23,$B$22,0))*(1+$B$4)^68)&gt;0,1+$B$3,1))</f>
        <v/>
      </c>
      <c r="BT146">
        <f>IF($B$1+69&gt;90,BS146,(BS146+IF($B$1+69&lt;=$B146,12*($B$7-$B$10),-12*MAX(0,($B$6+$B$10)-IF($B$1+69&gt;=$B$23,$B$22,0))*(1+$B$4)^69))*IF(BS146+IF($B$1+69&lt;=$B146,12*($B$7-$B$10),-12*MAX(0,($B$6+$B$10)-IF($B$1+69&gt;=$B$23,$B$22,0))*(1+$B$4)^69)&gt;0,1+$B$3,1))</f>
        <v/>
      </c>
      <c r="BU146">
        <f>IF($B$1+70&gt;90,BT146,(BT146+IF($B$1+70&lt;=$B146,12*($B$7-$B$10),-12*MAX(0,($B$6+$B$10)-IF($B$1+70&gt;=$B$23,$B$22,0))*(1+$B$4)^70))*IF(BT146+IF($B$1+70&lt;=$B146,12*($B$7-$B$10),-12*MAX(0,($B$6+$B$10)-IF($B$1+70&gt;=$B$23,$B$22,0))*(1+$B$4)^70)&gt;0,1+$B$3,1))</f>
        <v/>
      </c>
      <c r="BV146">
        <f>BU146</f>
        <v/>
      </c>
      <c r="BW146">
        <f>IF(AND($B146&lt;=70,BV146&gt;0),$B146,999)</f>
        <v/>
      </c>
      <c r="CH146">
        <f>IF(ISTEXT('월 가계부'!A146),SUBSTITUTE(SUBSTITUTE(SUBSTITUTE(SUBSTITUTE(SUBSTITUTE(SUBSTITUTE(SUBSTITUTE(SUBSTITUTE(SUBSTITUTE(TRIM('월 가계부'!A146),"년","-"),"월","-"),"일",""),".","-"),"/","-")," ","-"),"--","-"),"--","-"),"--","-")&amp;"-","")</f>
        <v/>
      </c>
      <c r="CI146">
        <f>IFERROR(IF('월 가계부'!A146="","",IF(ISNUMBER('월 가계부'!A146),IF(AND('월 가계부'!A146&gt;=19000101,'월 가계부'!A146&lt;=21001231),IF(AND(MOD(INT('월 가계부'!A146/100),100)&gt;=1,MOD(INT('월 가계부'!A146/100),100)&lt;=12,MOD(INT('월 가계부'!A146),100)&gt;=1,MOD(INT('월 가계부'!A146),100)&lt;=31),IF(MONTH(DATE(INT('월 가계부'!A146/10000),MOD(INT('월 가계부'!A146/100),100),MOD(INT('월 가계부'!A146),100)))=MOD(INT('월 가계부'!A146/100),100),DATE(INT('월 가계부'!A146/10000),MOD(INT('월 가계부'!A146/100),100),MOD(INT('월 가계부'!A146),100)),""),""),IF(AND('월 가계부'!A146&gt;=36526,'월 가계부'!A146&lt;73051),INT('월 가계부'!A146),"")),IF(OR(CM146="",CN146="",CO146=""),"",IF(AND(CM146&gt;=2000,CM146&lt;=2099,CN146&gt;=1,CN146&lt;=12,CO146&gt;=1,CO146&lt;=31),IF(MONTH(DATE(CM146,CN146,CO146))=CN146,DATE(CM146,CN146,CO146),""),"")))),"")</f>
        <v/>
      </c>
      <c r="CJ146">
        <f>IFERROR(IF('월 가계부'!C146="","",IF(ISNUMBER('월 가계부'!C146),'월 가계부'!C146,VALUE(SUBSTITUTE(SUBSTITUTE(SUBSTITUTE(SUBSTITUTE(TRIM('월 가계부'!C146),",",""),"원","")," ",""),"−","-")))),"")</f>
        <v/>
      </c>
      <c r="CK146">
        <f>IF(ISNUMBER(CI146),IF(CI146&lt;$B$13,CI146,""),"")</f>
        <v/>
      </c>
      <c r="CM146">
        <f>IF(CH146="","",IFERROR(IF(IF(AND(LEN(CH146)=9,ISERROR(FIND("-",LEFT(CH146,8))),ISNUMBER(-LEFT(CH146,8))),VALUE(LEFT(CH146,4)),VALUE(LEFT(CH146,FIND("-",CH146)-1)))&lt;100,IF(AND(LEN(CH146)=9,ISERROR(FIND("-",LEFT(CH146,8))),ISNUMBER(-LEFT(CH146,8))),VALUE(LEFT(CH146,4)),VALUE(LEFT(CH146,FIND("-",CH146)-1)))+2000,IF(AND(LEN(CH146)=9,ISERROR(FIND("-",LEFT(CH146,8))),ISNUMBER(-LEFT(CH146,8))),VALUE(LEFT(CH146,4)),VALUE(LEFT(CH146,FIND("-",CH146)-1)))),""))</f>
        <v/>
      </c>
      <c r="CN146">
        <f>IF(CH146="","",IFERROR(IF(AND(LEN(CH146)=9,ISERROR(FIND("-",LEFT(CH146,8))),ISNUMBER(-LEFT(CH146,8))),VALUE(MID(CH146,5,2)),VALUE(MID(CH146,FIND("-",CH146)+1,FIND("-",CH146,FIND("-",CH146)+1)-FIND("-",CH146)-1))),""))</f>
        <v/>
      </c>
      <c r="CO146">
        <f>IF(CH146="","",IFERROR(IF(AND(LEN(CH146)=9,ISERROR(FIND("-",LEFT(CH146,8))),ISNUMBER(-LEFT(CH146,8))),VALUE(MID(CH146,7,2)),VALUE(MID(CH146,FIND("-",CH146,FIND("-",CH146)+1)+1,FIND("-",CH146,FIND("-",CH146,FIND("-",CH146)+1)+1)-FIND("-",CH146,FIND("-",CH146)+1)-1))),""))</f>
        <v/>
      </c>
    </row>
    <row r="147">
      <c r="CH147">
        <f>IF(ISTEXT('월 가계부'!A147),SUBSTITUTE(SUBSTITUTE(SUBSTITUTE(SUBSTITUTE(SUBSTITUTE(SUBSTITUTE(SUBSTITUTE(SUBSTITUTE(SUBSTITUTE(TRIM('월 가계부'!A147),"년","-"),"월","-"),"일",""),".","-"),"/","-")," ","-"),"--","-"),"--","-"),"--","-")&amp;"-","")</f>
        <v/>
      </c>
      <c r="CI147">
        <f>IFERROR(IF('월 가계부'!A147="","",IF(ISNUMBER('월 가계부'!A147),IF(AND('월 가계부'!A147&gt;=19000101,'월 가계부'!A147&lt;=21001231),IF(AND(MOD(INT('월 가계부'!A147/100),100)&gt;=1,MOD(INT('월 가계부'!A147/100),100)&lt;=12,MOD(INT('월 가계부'!A147),100)&gt;=1,MOD(INT('월 가계부'!A147),100)&lt;=31),IF(MONTH(DATE(INT('월 가계부'!A147/10000),MOD(INT('월 가계부'!A147/100),100),MOD(INT('월 가계부'!A147),100)))=MOD(INT('월 가계부'!A147/100),100),DATE(INT('월 가계부'!A147/10000),MOD(INT('월 가계부'!A147/100),100),MOD(INT('월 가계부'!A147),100)),""),""),IF(AND('월 가계부'!A147&gt;=36526,'월 가계부'!A147&lt;73051),INT('월 가계부'!A147),"")),IF(OR(CM147="",CN147="",CO147=""),"",IF(AND(CM147&gt;=2000,CM147&lt;=2099,CN147&gt;=1,CN147&lt;=12,CO147&gt;=1,CO147&lt;=31),IF(MONTH(DATE(CM147,CN147,CO147))=CN147,DATE(CM147,CN147,CO147),""),"")))),"")</f>
        <v/>
      </c>
      <c r="CJ147">
        <f>IFERROR(IF('월 가계부'!C147="","",IF(ISNUMBER('월 가계부'!C147),'월 가계부'!C147,VALUE(SUBSTITUTE(SUBSTITUTE(SUBSTITUTE(SUBSTITUTE(TRIM('월 가계부'!C147),",",""),"원","")," ",""),"−","-")))),"")</f>
        <v/>
      </c>
      <c r="CK147">
        <f>IF(ISNUMBER(CI147),IF(CI147&lt;$B$13,CI147,""),"")</f>
        <v/>
      </c>
      <c r="CM147">
        <f>IF(CH147="","",IFERROR(IF(IF(AND(LEN(CH147)=9,ISERROR(FIND("-",LEFT(CH147,8))),ISNUMBER(-LEFT(CH147,8))),VALUE(LEFT(CH147,4)),VALUE(LEFT(CH147,FIND("-",CH147)-1)))&lt;100,IF(AND(LEN(CH147)=9,ISERROR(FIND("-",LEFT(CH147,8))),ISNUMBER(-LEFT(CH147,8))),VALUE(LEFT(CH147,4)),VALUE(LEFT(CH147,FIND("-",CH147)-1)))+2000,IF(AND(LEN(CH147)=9,ISERROR(FIND("-",LEFT(CH147,8))),ISNUMBER(-LEFT(CH147,8))),VALUE(LEFT(CH147,4)),VALUE(LEFT(CH147,FIND("-",CH147)-1)))),""))</f>
        <v/>
      </c>
      <c r="CN147">
        <f>IF(CH147="","",IFERROR(IF(AND(LEN(CH147)=9,ISERROR(FIND("-",LEFT(CH147,8))),ISNUMBER(-LEFT(CH147,8))),VALUE(MID(CH147,5,2)),VALUE(MID(CH147,FIND("-",CH147)+1,FIND("-",CH147,FIND("-",CH147)+1)-FIND("-",CH147)-1))),""))</f>
        <v/>
      </c>
      <c r="CO147">
        <f>IF(CH147="","",IFERROR(IF(AND(LEN(CH147)=9,ISERROR(FIND("-",LEFT(CH147,8))),ISNUMBER(-LEFT(CH147,8))),VALUE(MID(CH147,7,2)),VALUE(MID(CH147,FIND("-",CH147,FIND("-",CH147)+1)+1,FIND("-",CH147,FIND("-",CH147,FIND("-",CH147)+1)+1)-FIND("-",CH147,FIND("-",CH147)+1)-1))),""))</f>
        <v/>
      </c>
    </row>
    <row r="148">
      <c r="CH148">
        <f>IF(ISTEXT('월 가계부'!A148),SUBSTITUTE(SUBSTITUTE(SUBSTITUTE(SUBSTITUTE(SUBSTITUTE(SUBSTITUTE(SUBSTITUTE(SUBSTITUTE(SUBSTITUTE(TRIM('월 가계부'!A148),"년","-"),"월","-"),"일",""),".","-"),"/","-")," ","-"),"--","-"),"--","-"),"--","-")&amp;"-","")</f>
        <v/>
      </c>
      <c r="CI148">
        <f>IFERROR(IF('월 가계부'!A148="","",IF(ISNUMBER('월 가계부'!A148),IF(AND('월 가계부'!A148&gt;=19000101,'월 가계부'!A148&lt;=21001231),IF(AND(MOD(INT('월 가계부'!A148/100),100)&gt;=1,MOD(INT('월 가계부'!A148/100),100)&lt;=12,MOD(INT('월 가계부'!A148),100)&gt;=1,MOD(INT('월 가계부'!A148),100)&lt;=31),IF(MONTH(DATE(INT('월 가계부'!A148/10000),MOD(INT('월 가계부'!A148/100),100),MOD(INT('월 가계부'!A148),100)))=MOD(INT('월 가계부'!A148/100),100),DATE(INT('월 가계부'!A148/10000),MOD(INT('월 가계부'!A148/100),100),MOD(INT('월 가계부'!A148),100)),""),""),IF(AND('월 가계부'!A148&gt;=36526,'월 가계부'!A148&lt;73051),INT('월 가계부'!A148),"")),IF(OR(CM148="",CN148="",CO148=""),"",IF(AND(CM148&gt;=2000,CM148&lt;=2099,CN148&gt;=1,CN148&lt;=12,CO148&gt;=1,CO148&lt;=31),IF(MONTH(DATE(CM148,CN148,CO148))=CN148,DATE(CM148,CN148,CO148),""),"")))),"")</f>
        <v/>
      </c>
      <c r="CJ148">
        <f>IFERROR(IF('월 가계부'!C148="","",IF(ISNUMBER('월 가계부'!C148),'월 가계부'!C148,VALUE(SUBSTITUTE(SUBSTITUTE(SUBSTITUTE(SUBSTITUTE(TRIM('월 가계부'!C148),",",""),"원","")," ",""),"−","-")))),"")</f>
        <v/>
      </c>
      <c r="CK148">
        <f>IF(ISNUMBER(CI148),IF(CI148&lt;$B$13,CI148,""),"")</f>
        <v/>
      </c>
      <c r="CM148">
        <f>IF(CH148="","",IFERROR(IF(IF(AND(LEN(CH148)=9,ISERROR(FIND("-",LEFT(CH148,8))),ISNUMBER(-LEFT(CH148,8))),VALUE(LEFT(CH148,4)),VALUE(LEFT(CH148,FIND("-",CH148)-1)))&lt;100,IF(AND(LEN(CH148)=9,ISERROR(FIND("-",LEFT(CH148,8))),ISNUMBER(-LEFT(CH148,8))),VALUE(LEFT(CH148,4)),VALUE(LEFT(CH148,FIND("-",CH148)-1)))+2000,IF(AND(LEN(CH148)=9,ISERROR(FIND("-",LEFT(CH148,8))),ISNUMBER(-LEFT(CH148,8))),VALUE(LEFT(CH148,4)),VALUE(LEFT(CH148,FIND("-",CH148)-1)))),""))</f>
        <v/>
      </c>
      <c r="CN148">
        <f>IF(CH148="","",IFERROR(IF(AND(LEN(CH148)=9,ISERROR(FIND("-",LEFT(CH148,8))),ISNUMBER(-LEFT(CH148,8))),VALUE(MID(CH148,5,2)),VALUE(MID(CH148,FIND("-",CH148)+1,FIND("-",CH148,FIND("-",CH148)+1)-FIND("-",CH148)-1))),""))</f>
        <v/>
      </c>
      <c r="CO148">
        <f>IF(CH148="","",IFERROR(IF(AND(LEN(CH148)=9,ISERROR(FIND("-",LEFT(CH148,8))),ISNUMBER(-LEFT(CH148,8))),VALUE(MID(CH148,7,2)),VALUE(MID(CH148,FIND("-",CH148,FIND("-",CH148)+1)+1,FIND("-",CH148,FIND("-",CH148,FIND("-",CH148)+1)+1)-FIND("-",CH148,FIND("-",CH148)+1)-1))),""))</f>
        <v/>
      </c>
    </row>
    <row r="149">
      <c r="A149" t="inlineStr">
        <is>
          <t>결과 2</t>
        </is>
      </c>
      <c r="B149">
        <f>MIN(BW152:BW202)</f>
        <v/>
      </c>
      <c r="C149">
        <f>IF(B149=999,"",IF(B149=$B$1,$B$1,B149-1+(-INDEX(BV152:BV202,B149-$B$1))/(INDEX(BV152:BV202,B149-$B$1+1)-INDEX(BV152:BV202,B149-$B$1))))</f>
        <v/>
      </c>
      <c r="D149">
        <f>IF(C149="","",ROUND(C149*12,0))</f>
        <v/>
      </c>
      <c r="CH149">
        <f>IF(ISTEXT('월 가계부'!A149),SUBSTITUTE(SUBSTITUTE(SUBSTITUTE(SUBSTITUTE(SUBSTITUTE(SUBSTITUTE(SUBSTITUTE(SUBSTITUTE(SUBSTITUTE(TRIM('월 가계부'!A149),"년","-"),"월","-"),"일",""),".","-"),"/","-")," ","-"),"--","-"),"--","-"),"--","-")&amp;"-","")</f>
        <v/>
      </c>
      <c r="CI149">
        <f>IFERROR(IF('월 가계부'!A149="","",IF(ISNUMBER('월 가계부'!A149),IF(AND('월 가계부'!A149&gt;=19000101,'월 가계부'!A149&lt;=21001231),IF(AND(MOD(INT('월 가계부'!A149/100),100)&gt;=1,MOD(INT('월 가계부'!A149/100),100)&lt;=12,MOD(INT('월 가계부'!A149),100)&gt;=1,MOD(INT('월 가계부'!A149),100)&lt;=31),IF(MONTH(DATE(INT('월 가계부'!A149/10000),MOD(INT('월 가계부'!A149/100),100),MOD(INT('월 가계부'!A149),100)))=MOD(INT('월 가계부'!A149/100),100),DATE(INT('월 가계부'!A149/10000),MOD(INT('월 가계부'!A149/100),100),MOD(INT('월 가계부'!A149),100)),""),""),IF(AND('월 가계부'!A149&gt;=36526,'월 가계부'!A149&lt;73051),INT('월 가계부'!A149),"")),IF(OR(CM149="",CN149="",CO149=""),"",IF(AND(CM149&gt;=2000,CM149&lt;=2099,CN149&gt;=1,CN149&lt;=12,CO149&gt;=1,CO149&lt;=31),IF(MONTH(DATE(CM149,CN149,CO149))=CN149,DATE(CM149,CN149,CO149),""),"")))),"")</f>
        <v/>
      </c>
      <c r="CJ149">
        <f>IFERROR(IF('월 가계부'!C149="","",IF(ISNUMBER('월 가계부'!C149),'월 가계부'!C149,VALUE(SUBSTITUTE(SUBSTITUTE(SUBSTITUTE(SUBSTITUTE(TRIM('월 가계부'!C149),",",""),"원","")," ",""),"−","-")))),"")</f>
        <v/>
      </c>
      <c r="CK149">
        <f>IF(ISNUMBER(CI149),IF(CI149&lt;$B$13,CI149,""),"")</f>
        <v/>
      </c>
      <c r="CM149">
        <f>IF(CH149="","",IFERROR(IF(IF(AND(LEN(CH149)=9,ISERROR(FIND("-",LEFT(CH149,8))),ISNUMBER(-LEFT(CH149,8))),VALUE(LEFT(CH149,4)),VALUE(LEFT(CH149,FIND("-",CH149)-1)))&lt;100,IF(AND(LEN(CH149)=9,ISERROR(FIND("-",LEFT(CH149,8))),ISNUMBER(-LEFT(CH149,8))),VALUE(LEFT(CH149,4)),VALUE(LEFT(CH149,FIND("-",CH149)-1)))+2000,IF(AND(LEN(CH149)=9,ISERROR(FIND("-",LEFT(CH149,8))),ISNUMBER(-LEFT(CH149,8))),VALUE(LEFT(CH149,4)),VALUE(LEFT(CH149,FIND("-",CH149)-1)))),""))</f>
        <v/>
      </c>
      <c r="CN149">
        <f>IF(CH149="","",IFERROR(IF(AND(LEN(CH149)=9,ISERROR(FIND("-",LEFT(CH149,8))),ISNUMBER(-LEFT(CH149,8))),VALUE(MID(CH149,5,2)),VALUE(MID(CH149,FIND("-",CH149)+1,FIND("-",CH149,FIND("-",CH149)+1)-FIND("-",CH149)-1))),""))</f>
        <v/>
      </c>
      <c r="CO149">
        <f>IF(CH149="","",IFERROR(IF(AND(LEN(CH149)=9,ISERROR(FIND("-",LEFT(CH149,8))),ISNUMBER(-LEFT(CH149,8))),VALUE(MID(CH149,7,2)),VALUE(MID(CH149,FIND("-",CH149,FIND("-",CH149)+1)+1,FIND("-",CH149,FIND("-",CH149,FIND("-",CH149)+1)+1)-FIND("-",CH149,FIND("-",CH149)+1)-1))),""))</f>
        <v/>
      </c>
    </row>
    <row r="150">
      <c r="CH150">
        <f>IF(ISTEXT('월 가계부'!A150),SUBSTITUTE(SUBSTITUTE(SUBSTITUTE(SUBSTITUTE(SUBSTITUTE(SUBSTITUTE(SUBSTITUTE(SUBSTITUTE(SUBSTITUTE(TRIM('월 가계부'!A150),"년","-"),"월","-"),"일",""),".","-"),"/","-")," ","-"),"--","-"),"--","-"),"--","-")&amp;"-","")</f>
        <v/>
      </c>
      <c r="CI150">
        <f>IFERROR(IF('월 가계부'!A150="","",IF(ISNUMBER('월 가계부'!A150),IF(AND('월 가계부'!A150&gt;=19000101,'월 가계부'!A150&lt;=21001231),IF(AND(MOD(INT('월 가계부'!A150/100),100)&gt;=1,MOD(INT('월 가계부'!A150/100),100)&lt;=12,MOD(INT('월 가계부'!A150),100)&gt;=1,MOD(INT('월 가계부'!A150),100)&lt;=31),IF(MONTH(DATE(INT('월 가계부'!A150/10000),MOD(INT('월 가계부'!A150/100),100),MOD(INT('월 가계부'!A150),100)))=MOD(INT('월 가계부'!A150/100),100),DATE(INT('월 가계부'!A150/10000),MOD(INT('월 가계부'!A150/100),100),MOD(INT('월 가계부'!A150),100)),""),""),IF(AND('월 가계부'!A150&gt;=36526,'월 가계부'!A150&lt;73051),INT('월 가계부'!A150),"")),IF(OR(CM150="",CN150="",CO150=""),"",IF(AND(CM150&gt;=2000,CM150&lt;=2099,CN150&gt;=1,CN150&lt;=12,CO150&gt;=1,CO150&lt;=31),IF(MONTH(DATE(CM150,CN150,CO150))=CN150,DATE(CM150,CN150,CO150),""),"")))),"")</f>
        <v/>
      </c>
      <c r="CJ150">
        <f>IFERROR(IF('월 가계부'!C150="","",IF(ISNUMBER('월 가계부'!C150),'월 가계부'!C150,VALUE(SUBSTITUTE(SUBSTITUTE(SUBSTITUTE(SUBSTITUTE(TRIM('월 가계부'!C150),",",""),"원","")," ",""),"−","-")))),"")</f>
        <v/>
      </c>
      <c r="CK150">
        <f>IF(ISNUMBER(CI150),IF(CI150&lt;$B$13,CI150,""),"")</f>
        <v/>
      </c>
      <c r="CM150">
        <f>IF(CH150="","",IFERROR(IF(IF(AND(LEN(CH150)=9,ISERROR(FIND("-",LEFT(CH150,8))),ISNUMBER(-LEFT(CH150,8))),VALUE(LEFT(CH150,4)),VALUE(LEFT(CH150,FIND("-",CH150)-1)))&lt;100,IF(AND(LEN(CH150)=9,ISERROR(FIND("-",LEFT(CH150,8))),ISNUMBER(-LEFT(CH150,8))),VALUE(LEFT(CH150,4)),VALUE(LEFT(CH150,FIND("-",CH150)-1)))+2000,IF(AND(LEN(CH150)=9,ISERROR(FIND("-",LEFT(CH150,8))),ISNUMBER(-LEFT(CH150,8))),VALUE(LEFT(CH150,4)),VALUE(LEFT(CH150,FIND("-",CH150)-1)))),""))</f>
        <v/>
      </c>
      <c r="CN150">
        <f>IF(CH150="","",IFERROR(IF(AND(LEN(CH150)=9,ISERROR(FIND("-",LEFT(CH150,8))),ISNUMBER(-LEFT(CH150,8))),VALUE(MID(CH150,5,2)),VALUE(MID(CH150,FIND("-",CH150)+1,FIND("-",CH150,FIND("-",CH150)+1)-FIND("-",CH150)-1))),""))</f>
        <v/>
      </c>
      <c r="CO150">
        <f>IF(CH150="","",IFERROR(IF(AND(LEN(CH150)=9,ISERROR(FIND("-",LEFT(CH150,8))),ISNUMBER(-LEFT(CH150,8))),VALUE(MID(CH150,7,2)),VALUE(MID(CH150,FIND("-",CH150,FIND("-",CH150)+1)+1,FIND("-",CH150,FIND("-",CH150,FIND("-",CH150)+1)+1)-FIND("-",CH150,FIND("-",CH150)+1)-1))),""))</f>
        <v/>
      </c>
    </row>
    <row r="151">
      <c r="A151" t="inlineStr">
        <is>
          <t>시나리오 2</t>
        </is>
      </c>
      <c r="B151" t="inlineStr">
        <is>
          <t>R</t>
        </is>
      </c>
      <c r="C151" t="n">
        <v>0</v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6</v>
      </c>
      <c r="J151" t="n">
        <v>7</v>
      </c>
      <c r="K151" t="n">
        <v>8</v>
      </c>
      <c r="L151" t="n">
        <v>9</v>
      </c>
      <c r="M151" t="n">
        <v>10</v>
      </c>
      <c r="N151" t="n">
        <v>11</v>
      </c>
      <c r="O151" t="n">
        <v>12</v>
      </c>
      <c r="P151" t="n">
        <v>13</v>
      </c>
      <c r="Q151" t="n">
        <v>14</v>
      </c>
      <c r="R151" t="n">
        <v>15</v>
      </c>
      <c r="S151" t="n">
        <v>16</v>
      </c>
      <c r="T151" t="n">
        <v>17</v>
      </c>
      <c r="U151" t="n">
        <v>18</v>
      </c>
      <c r="V151" t="n">
        <v>19</v>
      </c>
      <c r="W151" t="n">
        <v>20</v>
      </c>
      <c r="X151" t="n">
        <v>21</v>
      </c>
      <c r="Y151" t="n">
        <v>22</v>
      </c>
      <c r="Z151" t="n">
        <v>23</v>
      </c>
      <c r="AA151" t="n">
        <v>24</v>
      </c>
      <c r="AB151" t="n">
        <v>25</v>
      </c>
      <c r="AC151" t="n">
        <v>26</v>
      </c>
      <c r="AD151" t="n">
        <v>27</v>
      </c>
      <c r="AE151" t="n">
        <v>28</v>
      </c>
      <c r="AF151" t="n">
        <v>29</v>
      </c>
      <c r="AG151" t="n">
        <v>30</v>
      </c>
      <c r="AH151" t="n">
        <v>31</v>
      </c>
      <c r="AI151" t="n">
        <v>32</v>
      </c>
      <c r="AJ151" t="n">
        <v>33</v>
      </c>
      <c r="AK151" t="n">
        <v>34</v>
      </c>
      <c r="AL151" t="n">
        <v>35</v>
      </c>
      <c r="AM151" t="n">
        <v>36</v>
      </c>
      <c r="AN151" t="n">
        <v>37</v>
      </c>
      <c r="AO151" t="n">
        <v>38</v>
      </c>
      <c r="AP151" t="n">
        <v>39</v>
      </c>
      <c r="AQ151" t="n">
        <v>40</v>
      </c>
      <c r="AR151" t="n">
        <v>41</v>
      </c>
      <c r="AS151" t="n">
        <v>42</v>
      </c>
      <c r="AT151" t="n">
        <v>43</v>
      </c>
      <c r="AU151" t="n">
        <v>44</v>
      </c>
      <c r="AV151" t="n">
        <v>45</v>
      </c>
      <c r="AW151" t="n">
        <v>46</v>
      </c>
      <c r="AX151" t="n">
        <v>47</v>
      </c>
      <c r="AY151" t="n">
        <v>48</v>
      </c>
      <c r="AZ151" t="n">
        <v>49</v>
      </c>
      <c r="BA151" t="n">
        <v>50</v>
      </c>
      <c r="BB151" t="n">
        <v>51</v>
      </c>
      <c r="BC151" t="n">
        <v>52</v>
      </c>
      <c r="BD151" t="n">
        <v>53</v>
      </c>
      <c r="BE151" t="n">
        <v>54</v>
      </c>
      <c r="BF151" t="n">
        <v>55</v>
      </c>
      <c r="BG151" t="n">
        <v>56</v>
      </c>
      <c r="BH151" t="n">
        <v>57</v>
      </c>
      <c r="BI151" t="n">
        <v>58</v>
      </c>
      <c r="BJ151" t="n">
        <v>59</v>
      </c>
      <c r="BK151" t="n">
        <v>60</v>
      </c>
      <c r="BL151" t="n">
        <v>61</v>
      </c>
      <c r="BM151" t="n">
        <v>62</v>
      </c>
      <c r="BN151" t="n">
        <v>63</v>
      </c>
      <c r="BO151" t="n">
        <v>64</v>
      </c>
      <c r="BP151" t="n">
        <v>65</v>
      </c>
      <c r="BQ151" t="n">
        <v>66</v>
      </c>
      <c r="BR151" t="n">
        <v>67</v>
      </c>
      <c r="BS151" t="n">
        <v>68</v>
      </c>
      <c r="BT151" t="n">
        <v>69</v>
      </c>
      <c r="BU151" t="n">
        <v>70</v>
      </c>
      <c r="BV151" t="inlineStr">
        <is>
          <t>90세 자산</t>
        </is>
      </c>
      <c r="BW151" t="inlineStr">
        <is>
          <t>가능 R</t>
        </is>
      </c>
      <c r="CH151">
        <f>IF(ISTEXT('월 가계부'!A151),SUBSTITUTE(SUBSTITUTE(SUBSTITUTE(SUBSTITUTE(SUBSTITUTE(SUBSTITUTE(SUBSTITUTE(SUBSTITUTE(SUBSTITUTE(TRIM('월 가계부'!A151),"년","-"),"월","-"),"일",""),".","-"),"/","-")," ","-"),"--","-"),"--","-"),"--","-")&amp;"-","")</f>
        <v/>
      </c>
      <c r="CI151">
        <f>IFERROR(IF('월 가계부'!A151="","",IF(ISNUMBER('월 가계부'!A151),IF(AND('월 가계부'!A151&gt;=19000101,'월 가계부'!A151&lt;=21001231),IF(AND(MOD(INT('월 가계부'!A151/100),100)&gt;=1,MOD(INT('월 가계부'!A151/100),100)&lt;=12,MOD(INT('월 가계부'!A151),100)&gt;=1,MOD(INT('월 가계부'!A151),100)&lt;=31),IF(MONTH(DATE(INT('월 가계부'!A151/10000),MOD(INT('월 가계부'!A151/100),100),MOD(INT('월 가계부'!A151),100)))=MOD(INT('월 가계부'!A151/100),100),DATE(INT('월 가계부'!A151/10000),MOD(INT('월 가계부'!A151/100),100),MOD(INT('월 가계부'!A151),100)),""),""),IF(AND('월 가계부'!A151&gt;=36526,'월 가계부'!A151&lt;73051),INT('월 가계부'!A151),"")),IF(OR(CM151="",CN151="",CO151=""),"",IF(AND(CM151&gt;=2000,CM151&lt;=2099,CN151&gt;=1,CN151&lt;=12,CO151&gt;=1,CO151&lt;=31),IF(MONTH(DATE(CM151,CN151,CO151))=CN151,DATE(CM151,CN151,CO151),""),"")))),"")</f>
        <v/>
      </c>
      <c r="CJ151">
        <f>IFERROR(IF('월 가계부'!C151="","",IF(ISNUMBER('월 가계부'!C151),'월 가계부'!C151,VALUE(SUBSTITUTE(SUBSTITUTE(SUBSTITUTE(SUBSTITUTE(TRIM('월 가계부'!C151),",",""),"원","")," ",""),"−","-")))),"")</f>
        <v/>
      </c>
      <c r="CK151">
        <f>IF(ISNUMBER(CI151),IF(CI151&lt;$B$13,CI151,""),"")</f>
        <v/>
      </c>
      <c r="CM151">
        <f>IF(CH151="","",IFERROR(IF(IF(AND(LEN(CH151)=9,ISERROR(FIND("-",LEFT(CH151,8))),ISNUMBER(-LEFT(CH151,8))),VALUE(LEFT(CH151,4)),VALUE(LEFT(CH151,FIND("-",CH151)-1)))&lt;100,IF(AND(LEN(CH151)=9,ISERROR(FIND("-",LEFT(CH151,8))),ISNUMBER(-LEFT(CH151,8))),VALUE(LEFT(CH151,4)),VALUE(LEFT(CH151,FIND("-",CH151)-1)))+2000,IF(AND(LEN(CH151)=9,ISERROR(FIND("-",LEFT(CH151,8))),ISNUMBER(-LEFT(CH151,8))),VALUE(LEFT(CH151,4)),VALUE(LEFT(CH151,FIND("-",CH151)-1)))),""))</f>
        <v/>
      </c>
      <c r="CN151">
        <f>IF(CH151="","",IFERROR(IF(AND(LEN(CH151)=9,ISERROR(FIND("-",LEFT(CH151,8))),ISNUMBER(-LEFT(CH151,8))),VALUE(MID(CH151,5,2)),VALUE(MID(CH151,FIND("-",CH151)+1,FIND("-",CH151,FIND("-",CH151)+1)-FIND("-",CH151)-1))),""))</f>
        <v/>
      </c>
      <c r="CO151">
        <f>IF(CH151="","",IFERROR(IF(AND(LEN(CH151)=9,ISERROR(FIND("-",LEFT(CH151,8))),ISNUMBER(-LEFT(CH151,8))),VALUE(MID(CH151,7,2)),VALUE(MID(CH151,FIND("-",CH151,FIND("-",CH151)+1)+1,FIND("-",CH151,FIND("-",CH151,FIND("-",CH151)+1)+1)-FIND("-",CH151,FIND("-",CH151)+1)-1))),""))</f>
        <v/>
      </c>
    </row>
    <row r="152">
      <c r="A152" t="n">
        <v>0</v>
      </c>
      <c r="B152">
        <f>$B$1+0</f>
        <v/>
      </c>
      <c r="C152">
        <f>$B$2</f>
        <v/>
      </c>
      <c r="D152">
        <f>IF($B$1+1&gt;90,C152,(C152+IF($B$1+1&lt;=$B152,12*$B$9,-12*MAX(0,$B$8-IF($B$1+1&gt;=$B$23,$B$22,0))*(1+$B$4)^1))*IF(C152+IF($B$1+1&lt;=$B152,12*$B$9,-12*MAX(0,$B$8-IF($B$1+1&gt;=$B$23,$B$22,0))*(1+$B$4)^1)&gt;0,1+$B$3,1))</f>
        <v/>
      </c>
      <c r="E152">
        <f>IF($B$1+2&gt;90,D152,(D152+IF($B$1+2&lt;=$B152,12*$B$9,-12*MAX(0,$B$8-IF($B$1+2&gt;=$B$23,$B$22,0))*(1+$B$4)^2))*IF(D152+IF($B$1+2&lt;=$B152,12*$B$9,-12*MAX(0,$B$8-IF($B$1+2&gt;=$B$23,$B$22,0))*(1+$B$4)^2)&gt;0,1+$B$3,1))</f>
        <v/>
      </c>
      <c r="F152">
        <f>IF($B$1+3&gt;90,E152,(E152+IF($B$1+3&lt;=$B152,12*$B$9,-12*MAX(0,$B$8-IF($B$1+3&gt;=$B$23,$B$22,0))*(1+$B$4)^3))*IF(E152+IF($B$1+3&lt;=$B152,12*$B$9,-12*MAX(0,$B$8-IF($B$1+3&gt;=$B$23,$B$22,0))*(1+$B$4)^3)&gt;0,1+$B$3,1))</f>
        <v/>
      </c>
      <c r="G152">
        <f>IF($B$1+4&gt;90,F152,(F152+IF($B$1+4&lt;=$B152,12*$B$9,-12*MAX(0,$B$8-IF($B$1+4&gt;=$B$23,$B$22,0))*(1+$B$4)^4))*IF(F152+IF($B$1+4&lt;=$B152,12*$B$9,-12*MAX(0,$B$8-IF($B$1+4&gt;=$B$23,$B$22,0))*(1+$B$4)^4)&gt;0,1+$B$3,1))</f>
        <v/>
      </c>
      <c r="H152">
        <f>IF($B$1+5&gt;90,G152,(G152+IF($B$1+5&lt;=$B152,12*$B$9,-12*MAX(0,$B$8-IF($B$1+5&gt;=$B$23,$B$22,0))*(1+$B$4)^5))*IF(G152+IF($B$1+5&lt;=$B152,12*$B$9,-12*MAX(0,$B$8-IF($B$1+5&gt;=$B$23,$B$22,0))*(1+$B$4)^5)&gt;0,1+$B$3,1))</f>
        <v/>
      </c>
      <c r="I152">
        <f>IF($B$1+6&gt;90,H152,(H152+IF($B$1+6&lt;=$B152,12*$B$9,-12*MAX(0,$B$8-IF($B$1+6&gt;=$B$23,$B$22,0))*(1+$B$4)^6))*IF(H152+IF($B$1+6&lt;=$B152,12*$B$9,-12*MAX(0,$B$8-IF($B$1+6&gt;=$B$23,$B$22,0))*(1+$B$4)^6)&gt;0,1+$B$3,1))</f>
        <v/>
      </c>
      <c r="J152">
        <f>IF($B$1+7&gt;90,I152,(I152+IF($B$1+7&lt;=$B152,12*$B$9,-12*MAX(0,$B$8-IF($B$1+7&gt;=$B$23,$B$22,0))*(1+$B$4)^7))*IF(I152+IF($B$1+7&lt;=$B152,12*$B$9,-12*MAX(0,$B$8-IF($B$1+7&gt;=$B$23,$B$22,0))*(1+$B$4)^7)&gt;0,1+$B$3,1))</f>
        <v/>
      </c>
      <c r="K152">
        <f>IF($B$1+8&gt;90,J152,(J152+IF($B$1+8&lt;=$B152,12*$B$9,-12*MAX(0,$B$8-IF($B$1+8&gt;=$B$23,$B$22,0))*(1+$B$4)^8))*IF(J152+IF($B$1+8&lt;=$B152,12*$B$9,-12*MAX(0,$B$8-IF($B$1+8&gt;=$B$23,$B$22,0))*(1+$B$4)^8)&gt;0,1+$B$3,1))</f>
        <v/>
      </c>
      <c r="L152">
        <f>IF($B$1+9&gt;90,K152,(K152+IF($B$1+9&lt;=$B152,12*$B$9,-12*MAX(0,$B$8-IF($B$1+9&gt;=$B$23,$B$22,0))*(1+$B$4)^9))*IF(K152+IF($B$1+9&lt;=$B152,12*$B$9,-12*MAX(0,$B$8-IF($B$1+9&gt;=$B$23,$B$22,0))*(1+$B$4)^9)&gt;0,1+$B$3,1))</f>
        <v/>
      </c>
      <c r="M152">
        <f>IF($B$1+10&gt;90,L152,(L152+IF($B$1+10&lt;=$B152,12*$B$9,-12*MAX(0,$B$8-IF($B$1+10&gt;=$B$23,$B$22,0))*(1+$B$4)^10))*IF(L152+IF($B$1+10&lt;=$B152,12*$B$9,-12*MAX(0,$B$8-IF($B$1+10&gt;=$B$23,$B$22,0))*(1+$B$4)^10)&gt;0,1+$B$3,1))</f>
        <v/>
      </c>
      <c r="N152">
        <f>IF($B$1+11&gt;90,M152,(M152+IF($B$1+11&lt;=$B152,12*$B$9,-12*MAX(0,$B$8-IF($B$1+11&gt;=$B$23,$B$22,0))*(1+$B$4)^11))*IF(M152+IF($B$1+11&lt;=$B152,12*$B$9,-12*MAX(0,$B$8-IF($B$1+11&gt;=$B$23,$B$22,0))*(1+$B$4)^11)&gt;0,1+$B$3,1))</f>
        <v/>
      </c>
      <c r="O152">
        <f>IF($B$1+12&gt;90,N152,(N152+IF($B$1+12&lt;=$B152,12*$B$9,-12*MAX(0,$B$8-IF($B$1+12&gt;=$B$23,$B$22,0))*(1+$B$4)^12))*IF(N152+IF($B$1+12&lt;=$B152,12*$B$9,-12*MAX(0,$B$8-IF($B$1+12&gt;=$B$23,$B$22,0))*(1+$B$4)^12)&gt;0,1+$B$3,1))</f>
        <v/>
      </c>
      <c r="P152">
        <f>IF($B$1+13&gt;90,O152,(O152+IF($B$1+13&lt;=$B152,12*$B$9,-12*MAX(0,$B$8-IF($B$1+13&gt;=$B$23,$B$22,0))*(1+$B$4)^13))*IF(O152+IF($B$1+13&lt;=$B152,12*$B$9,-12*MAX(0,$B$8-IF($B$1+13&gt;=$B$23,$B$22,0))*(1+$B$4)^13)&gt;0,1+$B$3,1))</f>
        <v/>
      </c>
      <c r="Q152">
        <f>IF($B$1+14&gt;90,P152,(P152+IF($B$1+14&lt;=$B152,12*$B$9,-12*MAX(0,$B$8-IF($B$1+14&gt;=$B$23,$B$22,0))*(1+$B$4)^14))*IF(P152+IF($B$1+14&lt;=$B152,12*$B$9,-12*MAX(0,$B$8-IF($B$1+14&gt;=$B$23,$B$22,0))*(1+$B$4)^14)&gt;0,1+$B$3,1))</f>
        <v/>
      </c>
      <c r="R152">
        <f>IF($B$1+15&gt;90,Q152,(Q152+IF($B$1+15&lt;=$B152,12*$B$9,-12*MAX(0,$B$8-IF($B$1+15&gt;=$B$23,$B$22,0))*(1+$B$4)^15))*IF(Q152+IF($B$1+15&lt;=$B152,12*$B$9,-12*MAX(0,$B$8-IF($B$1+15&gt;=$B$23,$B$22,0))*(1+$B$4)^15)&gt;0,1+$B$3,1))</f>
        <v/>
      </c>
      <c r="S152">
        <f>IF($B$1+16&gt;90,R152,(R152+IF($B$1+16&lt;=$B152,12*$B$9,-12*MAX(0,$B$8-IF($B$1+16&gt;=$B$23,$B$22,0))*(1+$B$4)^16))*IF(R152+IF($B$1+16&lt;=$B152,12*$B$9,-12*MAX(0,$B$8-IF($B$1+16&gt;=$B$23,$B$22,0))*(1+$B$4)^16)&gt;0,1+$B$3,1))</f>
        <v/>
      </c>
      <c r="T152">
        <f>IF($B$1+17&gt;90,S152,(S152+IF($B$1+17&lt;=$B152,12*$B$9,-12*MAX(0,$B$8-IF($B$1+17&gt;=$B$23,$B$22,0))*(1+$B$4)^17))*IF(S152+IF($B$1+17&lt;=$B152,12*$B$9,-12*MAX(0,$B$8-IF($B$1+17&gt;=$B$23,$B$22,0))*(1+$B$4)^17)&gt;0,1+$B$3,1))</f>
        <v/>
      </c>
      <c r="U152">
        <f>IF($B$1+18&gt;90,T152,(T152+IF($B$1+18&lt;=$B152,12*$B$9,-12*MAX(0,$B$8-IF($B$1+18&gt;=$B$23,$B$22,0))*(1+$B$4)^18))*IF(T152+IF($B$1+18&lt;=$B152,12*$B$9,-12*MAX(0,$B$8-IF($B$1+18&gt;=$B$23,$B$22,0))*(1+$B$4)^18)&gt;0,1+$B$3,1))</f>
        <v/>
      </c>
      <c r="V152">
        <f>IF($B$1+19&gt;90,U152,(U152+IF($B$1+19&lt;=$B152,12*$B$9,-12*MAX(0,$B$8-IF($B$1+19&gt;=$B$23,$B$22,0))*(1+$B$4)^19))*IF(U152+IF($B$1+19&lt;=$B152,12*$B$9,-12*MAX(0,$B$8-IF($B$1+19&gt;=$B$23,$B$22,0))*(1+$B$4)^19)&gt;0,1+$B$3,1))</f>
        <v/>
      </c>
      <c r="W152">
        <f>IF($B$1+20&gt;90,V152,(V152+IF($B$1+20&lt;=$B152,12*$B$9,-12*MAX(0,$B$8-IF($B$1+20&gt;=$B$23,$B$22,0))*(1+$B$4)^20))*IF(V152+IF($B$1+20&lt;=$B152,12*$B$9,-12*MAX(0,$B$8-IF($B$1+20&gt;=$B$23,$B$22,0))*(1+$B$4)^20)&gt;0,1+$B$3,1))</f>
        <v/>
      </c>
      <c r="X152">
        <f>IF($B$1+21&gt;90,W152,(W152+IF($B$1+21&lt;=$B152,12*$B$9,-12*MAX(0,$B$8-IF($B$1+21&gt;=$B$23,$B$22,0))*(1+$B$4)^21))*IF(W152+IF($B$1+21&lt;=$B152,12*$B$9,-12*MAX(0,$B$8-IF($B$1+21&gt;=$B$23,$B$22,0))*(1+$B$4)^21)&gt;0,1+$B$3,1))</f>
        <v/>
      </c>
      <c r="Y152">
        <f>IF($B$1+22&gt;90,X152,(X152+IF($B$1+22&lt;=$B152,12*$B$9,-12*MAX(0,$B$8-IF($B$1+22&gt;=$B$23,$B$22,0))*(1+$B$4)^22))*IF(X152+IF($B$1+22&lt;=$B152,12*$B$9,-12*MAX(0,$B$8-IF($B$1+22&gt;=$B$23,$B$22,0))*(1+$B$4)^22)&gt;0,1+$B$3,1))</f>
        <v/>
      </c>
      <c r="Z152">
        <f>IF($B$1+23&gt;90,Y152,(Y152+IF($B$1+23&lt;=$B152,12*$B$9,-12*MAX(0,$B$8-IF($B$1+23&gt;=$B$23,$B$22,0))*(1+$B$4)^23))*IF(Y152+IF($B$1+23&lt;=$B152,12*$B$9,-12*MAX(0,$B$8-IF($B$1+23&gt;=$B$23,$B$22,0))*(1+$B$4)^23)&gt;0,1+$B$3,1))</f>
        <v/>
      </c>
      <c r="AA152">
        <f>IF($B$1+24&gt;90,Z152,(Z152+IF($B$1+24&lt;=$B152,12*$B$9,-12*MAX(0,$B$8-IF($B$1+24&gt;=$B$23,$B$22,0))*(1+$B$4)^24))*IF(Z152+IF($B$1+24&lt;=$B152,12*$B$9,-12*MAX(0,$B$8-IF($B$1+24&gt;=$B$23,$B$22,0))*(1+$B$4)^24)&gt;0,1+$B$3,1))</f>
        <v/>
      </c>
      <c r="AB152">
        <f>IF($B$1+25&gt;90,AA152,(AA152+IF($B$1+25&lt;=$B152,12*$B$9,-12*MAX(0,$B$8-IF($B$1+25&gt;=$B$23,$B$22,0))*(1+$B$4)^25))*IF(AA152+IF($B$1+25&lt;=$B152,12*$B$9,-12*MAX(0,$B$8-IF($B$1+25&gt;=$B$23,$B$22,0))*(1+$B$4)^25)&gt;0,1+$B$3,1))</f>
        <v/>
      </c>
      <c r="AC152">
        <f>IF($B$1+26&gt;90,AB152,(AB152+IF($B$1+26&lt;=$B152,12*$B$9,-12*MAX(0,$B$8-IF($B$1+26&gt;=$B$23,$B$22,0))*(1+$B$4)^26))*IF(AB152+IF($B$1+26&lt;=$B152,12*$B$9,-12*MAX(0,$B$8-IF($B$1+26&gt;=$B$23,$B$22,0))*(1+$B$4)^26)&gt;0,1+$B$3,1))</f>
        <v/>
      </c>
      <c r="AD152">
        <f>IF($B$1+27&gt;90,AC152,(AC152+IF($B$1+27&lt;=$B152,12*$B$9,-12*MAX(0,$B$8-IF($B$1+27&gt;=$B$23,$B$22,0))*(1+$B$4)^27))*IF(AC152+IF($B$1+27&lt;=$B152,12*$B$9,-12*MAX(0,$B$8-IF($B$1+27&gt;=$B$23,$B$22,0))*(1+$B$4)^27)&gt;0,1+$B$3,1))</f>
        <v/>
      </c>
      <c r="AE152">
        <f>IF($B$1+28&gt;90,AD152,(AD152+IF($B$1+28&lt;=$B152,12*$B$9,-12*MAX(0,$B$8-IF($B$1+28&gt;=$B$23,$B$22,0))*(1+$B$4)^28))*IF(AD152+IF($B$1+28&lt;=$B152,12*$B$9,-12*MAX(0,$B$8-IF($B$1+28&gt;=$B$23,$B$22,0))*(1+$B$4)^28)&gt;0,1+$B$3,1))</f>
        <v/>
      </c>
      <c r="AF152">
        <f>IF($B$1+29&gt;90,AE152,(AE152+IF($B$1+29&lt;=$B152,12*$B$9,-12*MAX(0,$B$8-IF($B$1+29&gt;=$B$23,$B$22,0))*(1+$B$4)^29))*IF(AE152+IF($B$1+29&lt;=$B152,12*$B$9,-12*MAX(0,$B$8-IF($B$1+29&gt;=$B$23,$B$22,0))*(1+$B$4)^29)&gt;0,1+$B$3,1))</f>
        <v/>
      </c>
      <c r="AG152">
        <f>IF($B$1+30&gt;90,AF152,(AF152+IF($B$1+30&lt;=$B152,12*$B$9,-12*MAX(0,$B$8-IF($B$1+30&gt;=$B$23,$B$22,0))*(1+$B$4)^30))*IF(AF152+IF($B$1+30&lt;=$B152,12*$B$9,-12*MAX(0,$B$8-IF($B$1+30&gt;=$B$23,$B$22,0))*(1+$B$4)^30)&gt;0,1+$B$3,1))</f>
        <v/>
      </c>
      <c r="AH152">
        <f>IF($B$1+31&gt;90,AG152,(AG152+IF($B$1+31&lt;=$B152,12*$B$9,-12*MAX(0,$B$8-IF($B$1+31&gt;=$B$23,$B$22,0))*(1+$B$4)^31))*IF(AG152+IF($B$1+31&lt;=$B152,12*$B$9,-12*MAX(0,$B$8-IF($B$1+31&gt;=$B$23,$B$22,0))*(1+$B$4)^31)&gt;0,1+$B$3,1))</f>
        <v/>
      </c>
      <c r="AI152">
        <f>IF($B$1+32&gt;90,AH152,(AH152+IF($B$1+32&lt;=$B152,12*$B$9,-12*MAX(0,$B$8-IF($B$1+32&gt;=$B$23,$B$22,0))*(1+$B$4)^32))*IF(AH152+IF($B$1+32&lt;=$B152,12*$B$9,-12*MAX(0,$B$8-IF($B$1+32&gt;=$B$23,$B$22,0))*(1+$B$4)^32)&gt;0,1+$B$3,1))</f>
        <v/>
      </c>
      <c r="AJ152">
        <f>IF($B$1+33&gt;90,AI152,(AI152+IF($B$1+33&lt;=$B152,12*$B$9,-12*MAX(0,$B$8-IF($B$1+33&gt;=$B$23,$B$22,0))*(1+$B$4)^33))*IF(AI152+IF($B$1+33&lt;=$B152,12*$B$9,-12*MAX(0,$B$8-IF($B$1+33&gt;=$B$23,$B$22,0))*(1+$B$4)^33)&gt;0,1+$B$3,1))</f>
        <v/>
      </c>
      <c r="AK152">
        <f>IF($B$1+34&gt;90,AJ152,(AJ152+IF($B$1+34&lt;=$B152,12*$B$9,-12*MAX(0,$B$8-IF($B$1+34&gt;=$B$23,$B$22,0))*(1+$B$4)^34))*IF(AJ152+IF($B$1+34&lt;=$B152,12*$B$9,-12*MAX(0,$B$8-IF($B$1+34&gt;=$B$23,$B$22,0))*(1+$B$4)^34)&gt;0,1+$B$3,1))</f>
        <v/>
      </c>
      <c r="AL152">
        <f>IF($B$1+35&gt;90,AK152,(AK152+IF($B$1+35&lt;=$B152,12*$B$9,-12*MAX(0,$B$8-IF($B$1+35&gt;=$B$23,$B$22,0))*(1+$B$4)^35))*IF(AK152+IF($B$1+35&lt;=$B152,12*$B$9,-12*MAX(0,$B$8-IF($B$1+35&gt;=$B$23,$B$22,0))*(1+$B$4)^35)&gt;0,1+$B$3,1))</f>
        <v/>
      </c>
      <c r="AM152">
        <f>IF($B$1+36&gt;90,AL152,(AL152+IF($B$1+36&lt;=$B152,12*$B$9,-12*MAX(0,$B$8-IF($B$1+36&gt;=$B$23,$B$22,0))*(1+$B$4)^36))*IF(AL152+IF($B$1+36&lt;=$B152,12*$B$9,-12*MAX(0,$B$8-IF($B$1+36&gt;=$B$23,$B$22,0))*(1+$B$4)^36)&gt;0,1+$B$3,1))</f>
        <v/>
      </c>
      <c r="AN152">
        <f>IF($B$1+37&gt;90,AM152,(AM152+IF($B$1+37&lt;=$B152,12*$B$9,-12*MAX(0,$B$8-IF($B$1+37&gt;=$B$23,$B$22,0))*(1+$B$4)^37))*IF(AM152+IF($B$1+37&lt;=$B152,12*$B$9,-12*MAX(0,$B$8-IF($B$1+37&gt;=$B$23,$B$22,0))*(1+$B$4)^37)&gt;0,1+$B$3,1))</f>
        <v/>
      </c>
      <c r="AO152">
        <f>IF($B$1+38&gt;90,AN152,(AN152+IF($B$1+38&lt;=$B152,12*$B$9,-12*MAX(0,$B$8-IF($B$1+38&gt;=$B$23,$B$22,0))*(1+$B$4)^38))*IF(AN152+IF($B$1+38&lt;=$B152,12*$B$9,-12*MAX(0,$B$8-IF($B$1+38&gt;=$B$23,$B$22,0))*(1+$B$4)^38)&gt;0,1+$B$3,1))</f>
        <v/>
      </c>
      <c r="AP152">
        <f>IF($B$1+39&gt;90,AO152,(AO152+IF($B$1+39&lt;=$B152,12*$B$9,-12*MAX(0,$B$8-IF($B$1+39&gt;=$B$23,$B$22,0))*(1+$B$4)^39))*IF(AO152+IF($B$1+39&lt;=$B152,12*$B$9,-12*MAX(0,$B$8-IF($B$1+39&gt;=$B$23,$B$22,0))*(1+$B$4)^39)&gt;0,1+$B$3,1))</f>
        <v/>
      </c>
      <c r="AQ152">
        <f>IF($B$1+40&gt;90,AP152,(AP152+IF($B$1+40&lt;=$B152,12*$B$9,-12*MAX(0,$B$8-IF($B$1+40&gt;=$B$23,$B$22,0))*(1+$B$4)^40))*IF(AP152+IF($B$1+40&lt;=$B152,12*$B$9,-12*MAX(0,$B$8-IF($B$1+40&gt;=$B$23,$B$22,0))*(1+$B$4)^40)&gt;0,1+$B$3,1))</f>
        <v/>
      </c>
      <c r="AR152">
        <f>IF($B$1+41&gt;90,AQ152,(AQ152+IF($B$1+41&lt;=$B152,12*$B$9,-12*MAX(0,$B$8-IF($B$1+41&gt;=$B$23,$B$22,0))*(1+$B$4)^41))*IF(AQ152+IF($B$1+41&lt;=$B152,12*$B$9,-12*MAX(0,$B$8-IF($B$1+41&gt;=$B$23,$B$22,0))*(1+$B$4)^41)&gt;0,1+$B$3,1))</f>
        <v/>
      </c>
      <c r="AS152">
        <f>IF($B$1+42&gt;90,AR152,(AR152+IF($B$1+42&lt;=$B152,12*$B$9,-12*MAX(0,$B$8-IF($B$1+42&gt;=$B$23,$B$22,0))*(1+$B$4)^42))*IF(AR152+IF($B$1+42&lt;=$B152,12*$B$9,-12*MAX(0,$B$8-IF($B$1+42&gt;=$B$23,$B$22,0))*(1+$B$4)^42)&gt;0,1+$B$3,1))</f>
        <v/>
      </c>
      <c r="AT152">
        <f>IF($B$1+43&gt;90,AS152,(AS152+IF($B$1+43&lt;=$B152,12*$B$9,-12*MAX(0,$B$8-IF($B$1+43&gt;=$B$23,$B$22,0))*(1+$B$4)^43))*IF(AS152+IF($B$1+43&lt;=$B152,12*$B$9,-12*MAX(0,$B$8-IF($B$1+43&gt;=$B$23,$B$22,0))*(1+$B$4)^43)&gt;0,1+$B$3,1))</f>
        <v/>
      </c>
      <c r="AU152">
        <f>IF($B$1+44&gt;90,AT152,(AT152+IF($B$1+44&lt;=$B152,12*$B$9,-12*MAX(0,$B$8-IF($B$1+44&gt;=$B$23,$B$22,0))*(1+$B$4)^44))*IF(AT152+IF($B$1+44&lt;=$B152,12*$B$9,-12*MAX(0,$B$8-IF($B$1+44&gt;=$B$23,$B$22,0))*(1+$B$4)^44)&gt;0,1+$B$3,1))</f>
        <v/>
      </c>
      <c r="AV152">
        <f>IF($B$1+45&gt;90,AU152,(AU152+IF($B$1+45&lt;=$B152,12*$B$9,-12*MAX(0,$B$8-IF($B$1+45&gt;=$B$23,$B$22,0))*(1+$B$4)^45))*IF(AU152+IF($B$1+45&lt;=$B152,12*$B$9,-12*MAX(0,$B$8-IF($B$1+45&gt;=$B$23,$B$22,0))*(1+$B$4)^45)&gt;0,1+$B$3,1))</f>
        <v/>
      </c>
      <c r="AW152">
        <f>IF($B$1+46&gt;90,AV152,(AV152+IF($B$1+46&lt;=$B152,12*$B$9,-12*MAX(0,$B$8-IF($B$1+46&gt;=$B$23,$B$22,0))*(1+$B$4)^46))*IF(AV152+IF($B$1+46&lt;=$B152,12*$B$9,-12*MAX(0,$B$8-IF($B$1+46&gt;=$B$23,$B$22,0))*(1+$B$4)^46)&gt;0,1+$B$3,1))</f>
        <v/>
      </c>
      <c r="AX152">
        <f>IF($B$1+47&gt;90,AW152,(AW152+IF($B$1+47&lt;=$B152,12*$B$9,-12*MAX(0,$B$8-IF($B$1+47&gt;=$B$23,$B$22,0))*(1+$B$4)^47))*IF(AW152+IF($B$1+47&lt;=$B152,12*$B$9,-12*MAX(0,$B$8-IF($B$1+47&gt;=$B$23,$B$22,0))*(1+$B$4)^47)&gt;0,1+$B$3,1))</f>
        <v/>
      </c>
      <c r="AY152">
        <f>IF($B$1+48&gt;90,AX152,(AX152+IF($B$1+48&lt;=$B152,12*$B$9,-12*MAX(0,$B$8-IF($B$1+48&gt;=$B$23,$B$22,0))*(1+$B$4)^48))*IF(AX152+IF($B$1+48&lt;=$B152,12*$B$9,-12*MAX(0,$B$8-IF($B$1+48&gt;=$B$23,$B$22,0))*(1+$B$4)^48)&gt;0,1+$B$3,1))</f>
        <v/>
      </c>
      <c r="AZ152">
        <f>IF($B$1+49&gt;90,AY152,(AY152+IF($B$1+49&lt;=$B152,12*$B$9,-12*MAX(0,$B$8-IF($B$1+49&gt;=$B$23,$B$22,0))*(1+$B$4)^49))*IF(AY152+IF($B$1+49&lt;=$B152,12*$B$9,-12*MAX(0,$B$8-IF($B$1+49&gt;=$B$23,$B$22,0))*(1+$B$4)^49)&gt;0,1+$B$3,1))</f>
        <v/>
      </c>
      <c r="BA152">
        <f>IF($B$1+50&gt;90,AZ152,(AZ152+IF($B$1+50&lt;=$B152,12*$B$9,-12*MAX(0,$B$8-IF($B$1+50&gt;=$B$23,$B$22,0))*(1+$B$4)^50))*IF(AZ152+IF($B$1+50&lt;=$B152,12*$B$9,-12*MAX(0,$B$8-IF($B$1+50&gt;=$B$23,$B$22,0))*(1+$B$4)^50)&gt;0,1+$B$3,1))</f>
        <v/>
      </c>
      <c r="BB152">
        <f>IF($B$1+51&gt;90,BA152,(BA152+IF($B$1+51&lt;=$B152,12*$B$9,-12*MAX(0,$B$8-IF($B$1+51&gt;=$B$23,$B$22,0))*(1+$B$4)^51))*IF(BA152+IF($B$1+51&lt;=$B152,12*$B$9,-12*MAX(0,$B$8-IF($B$1+51&gt;=$B$23,$B$22,0))*(1+$B$4)^51)&gt;0,1+$B$3,1))</f>
        <v/>
      </c>
      <c r="BC152">
        <f>IF($B$1+52&gt;90,BB152,(BB152+IF($B$1+52&lt;=$B152,12*$B$9,-12*MAX(0,$B$8-IF($B$1+52&gt;=$B$23,$B$22,0))*(1+$B$4)^52))*IF(BB152+IF($B$1+52&lt;=$B152,12*$B$9,-12*MAX(0,$B$8-IF($B$1+52&gt;=$B$23,$B$22,0))*(1+$B$4)^52)&gt;0,1+$B$3,1))</f>
        <v/>
      </c>
      <c r="BD152">
        <f>IF($B$1+53&gt;90,BC152,(BC152+IF($B$1+53&lt;=$B152,12*$B$9,-12*MAX(0,$B$8-IF($B$1+53&gt;=$B$23,$B$22,0))*(1+$B$4)^53))*IF(BC152+IF($B$1+53&lt;=$B152,12*$B$9,-12*MAX(0,$B$8-IF($B$1+53&gt;=$B$23,$B$22,0))*(1+$B$4)^53)&gt;0,1+$B$3,1))</f>
        <v/>
      </c>
      <c r="BE152">
        <f>IF($B$1+54&gt;90,BD152,(BD152+IF($B$1+54&lt;=$B152,12*$B$9,-12*MAX(0,$B$8-IF($B$1+54&gt;=$B$23,$B$22,0))*(1+$B$4)^54))*IF(BD152+IF($B$1+54&lt;=$B152,12*$B$9,-12*MAX(0,$B$8-IF($B$1+54&gt;=$B$23,$B$22,0))*(1+$B$4)^54)&gt;0,1+$B$3,1))</f>
        <v/>
      </c>
      <c r="BF152">
        <f>IF($B$1+55&gt;90,BE152,(BE152+IF($B$1+55&lt;=$B152,12*$B$9,-12*MAX(0,$B$8-IF($B$1+55&gt;=$B$23,$B$22,0))*(1+$B$4)^55))*IF(BE152+IF($B$1+55&lt;=$B152,12*$B$9,-12*MAX(0,$B$8-IF($B$1+55&gt;=$B$23,$B$22,0))*(1+$B$4)^55)&gt;0,1+$B$3,1))</f>
        <v/>
      </c>
      <c r="BG152">
        <f>IF($B$1+56&gt;90,BF152,(BF152+IF($B$1+56&lt;=$B152,12*$B$9,-12*MAX(0,$B$8-IF($B$1+56&gt;=$B$23,$B$22,0))*(1+$B$4)^56))*IF(BF152+IF($B$1+56&lt;=$B152,12*$B$9,-12*MAX(0,$B$8-IF($B$1+56&gt;=$B$23,$B$22,0))*(1+$B$4)^56)&gt;0,1+$B$3,1))</f>
        <v/>
      </c>
      <c r="BH152">
        <f>IF($B$1+57&gt;90,BG152,(BG152+IF($B$1+57&lt;=$B152,12*$B$9,-12*MAX(0,$B$8-IF($B$1+57&gt;=$B$23,$B$22,0))*(1+$B$4)^57))*IF(BG152+IF($B$1+57&lt;=$B152,12*$B$9,-12*MAX(0,$B$8-IF($B$1+57&gt;=$B$23,$B$22,0))*(1+$B$4)^57)&gt;0,1+$B$3,1))</f>
        <v/>
      </c>
      <c r="BI152">
        <f>IF($B$1+58&gt;90,BH152,(BH152+IF($B$1+58&lt;=$B152,12*$B$9,-12*MAX(0,$B$8-IF($B$1+58&gt;=$B$23,$B$22,0))*(1+$B$4)^58))*IF(BH152+IF($B$1+58&lt;=$B152,12*$B$9,-12*MAX(0,$B$8-IF($B$1+58&gt;=$B$23,$B$22,0))*(1+$B$4)^58)&gt;0,1+$B$3,1))</f>
        <v/>
      </c>
      <c r="BJ152">
        <f>IF($B$1+59&gt;90,BI152,(BI152+IF($B$1+59&lt;=$B152,12*$B$9,-12*MAX(0,$B$8-IF($B$1+59&gt;=$B$23,$B$22,0))*(1+$B$4)^59))*IF(BI152+IF($B$1+59&lt;=$B152,12*$B$9,-12*MAX(0,$B$8-IF($B$1+59&gt;=$B$23,$B$22,0))*(1+$B$4)^59)&gt;0,1+$B$3,1))</f>
        <v/>
      </c>
      <c r="BK152">
        <f>IF($B$1+60&gt;90,BJ152,(BJ152+IF($B$1+60&lt;=$B152,12*$B$9,-12*MAX(0,$B$8-IF($B$1+60&gt;=$B$23,$B$22,0))*(1+$B$4)^60))*IF(BJ152+IF($B$1+60&lt;=$B152,12*$B$9,-12*MAX(0,$B$8-IF($B$1+60&gt;=$B$23,$B$22,0))*(1+$B$4)^60)&gt;0,1+$B$3,1))</f>
        <v/>
      </c>
      <c r="BL152">
        <f>IF($B$1+61&gt;90,BK152,(BK152+IF($B$1+61&lt;=$B152,12*$B$9,-12*MAX(0,$B$8-IF($B$1+61&gt;=$B$23,$B$22,0))*(1+$B$4)^61))*IF(BK152+IF($B$1+61&lt;=$B152,12*$B$9,-12*MAX(0,$B$8-IF($B$1+61&gt;=$B$23,$B$22,0))*(1+$B$4)^61)&gt;0,1+$B$3,1))</f>
        <v/>
      </c>
      <c r="BM152">
        <f>IF($B$1+62&gt;90,BL152,(BL152+IF($B$1+62&lt;=$B152,12*$B$9,-12*MAX(0,$B$8-IF($B$1+62&gt;=$B$23,$B$22,0))*(1+$B$4)^62))*IF(BL152+IF($B$1+62&lt;=$B152,12*$B$9,-12*MAX(0,$B$8-IF($B$1+62&gt;=$B$23,$B$22,0))*(1+$B$4)^62)&gt;0,1+$B$3,1))</f>
        <v/>
      </c>
      <c r="BN152">
        <f>IF($B$1+63&gt;90,BM152,(BM152+IF($B$1+63&lt;=$B152,12*$B$9,-12*MAX(0,$B$8-IF($B$1+63&gt;=$B$23,$B$22,0))*(1+$B$4)^63))*IF(BM152+IF($B$1+63&lt;=$B152,12*$B$9,-12*MAX(0,$B$8-IF($B$1+63&gt;=$B$23,$B$22,0))*(1+$B$4)^63)&gt;0,1+$B$3,1))</f>
        <v/>
      </c>
      <c r="BO152">
        <f>IF($B$1+64&gt;90,BN152,(BN152+IF($B$1+64&lt;=$B152,12*$B$9,-12*MAX(0,$B$8-IF($B$1+64&gt;=$B$23,$B$22,0))*(1+$B$4)^64))*IF(BN152+IF($B$1+64&lt;=$B152,12*$B$9,-12*MAX(0,$B$8-IF($B$1+64&gt;=$B$23,$B$22,0))*(1+$B$4)^64)&gt;0,1+$B$3,1))</f>
        <v/>
      </c>
      <c r="BP152">
        <f>IF($B$1+65&gt;90,BO152,(BO152+IF($B$1+65&lt;=$B152,12*$B$9,-12*MAX(0,$B$8-IF($B$1+65&gt;=$B$23,$B$22,0))*(1+$B$4)^65))*IF(BO152+IF($B$1+65&lt;=$B152,12*$B$9,-12*MAX(0,$B$8-IF($B$1+65&gt;=$B$23,$B$22,0))*(1+$B$4)^65)&gt;0,1+$B$3,1))</f>
        <v/>
      </c>
      <c r="BQ152">
        <f>IF($B$1+66&gt;90,BP152,(BP152+IF($B$1+66&lt;=$B152,12*$B$9,-12*MAX(0,$B$8-IF($B$1+66&gt;=$B$23,$B$22,0))*(1+$B$4)^66))*IF(BP152+IF($B$1+66&lt;=$B152,12*$B$9,-12*MAX(0,$B$8-IF($B$1+66&gt;=$B$23,$B$22,0))*(1+$B$4)^66)&gt;0,1+$B$3,1))</f>
        <v/>
      </c>
      <c r="BR152">
        <f>IF($B$1+67&gt;90,BQ152,(BQ152+IF($B$1+67&lt;=$B152,12*$B$9,-12*MAX(0,$B$8-IF($B$1+67&gt;=$B$23,$B$22,0))*(1+$B$4)^67))*IF(BQ152+IF($B$1+67&lt;=$B152,12*$B$9,-12*MAX(0,$B$8-IF($B$1+67&gt;=$B$23,$B$22,0))*(1+$B$4)^67)&gt;0,1+$B$3,1))</f>
        <v/>
      </c>
      <c r="BS152">
        <f>IF($B$1+68&gt;90,BR152,(BR152+IF($B$1+68&lt;=$B152,12*$B$9,-12*MAX(0,$B$8-IF($B$1+68&gt;=$B$23,$B$22,0))*(1+$B$4)^68))*IF(BR152+IF($B$1+68&lt;=$B152,12*$B$9,-12*MAX(0,$B$8-IF($B$1+68&gt;=$B$23,$B$22,0))*(1+$B$4)^68)&gt;0,1+$B$3,1))</f>
        <v/>
      </c>
      <c r="BT152">
        <f>IF($B$1+69&gt;90,BS152,(BS152+IF($B$1+69&lt;=$B152,12*$B$9,-12*MAX(0,$B$8-IF($B$1+69&gt;=$B$23,$B$22,0))*(1+$B$4)^69))*IF(BS152+IF($B$1+69&lt;=$B152,12*$B$9,-12*MAX(0,$B$8-IF($B$1+69&gt;=$B$23,$B$22,0))*(1+$B$4)^69)&gt;0,1+$B$3,1))</f>
        <v/>
      </c>
      <c r="BU152">
        <f>IF($B$1+70&gt;90,BT152,(BT152+IF($B$1+70&lt;=$B152,12*$B$9,-12*MAX(0,$B$8-IF($B$1+70&gt;=$B$23,$B$22,0))*(1+$B$4)^70))*IF(BT152+IF($B$1+70&lt;=$B152,12*$B$9,-12*MAX(0,$B$8-IF($B$1+70&gt;=$B$23,$B$22,0))*(1+$B$4)^70)&gt;0,1+$B$3,1))</f>
        <v/>
      </c>
      <c r="BV152">
        <f>BU152</f>
        <v/>
      </c>
      <c r="BW152">
        <f>IF(AND($B152&lt;=70,BV152&gt;0),$B152,999)</f>
        <v/>
      </c>
      <c r="CH152">
        <f>IF(ISTEXT('월 가계부'!A152),SUBSTITUTE(SUBSTITUTE(SUBSTITUTE(SUBSTITUTE(SUBSTITUTE(SUBSTITUTE(SUBSTITUTE(SUBSTITUTE(SUBSTITUTE(TRIM('월 가계부'!A152),"년","-"),"월","-"),"일",""),".","-"),"/","-")," ","-"),"--","-"),"--","-"),"--","-")&amp;"-","")</f>
        <v/>
      </c>
      <c r="CI152">
        <f>IFERROR(IF('월 가계부'!A152="","",IF(ISNUMBER('월 가계부'!A152),IF(AND('월 가계부'!A152&gt;=19000101,'월 가계부'!A152&lt;=21001231),IF(AND(MOD(INT('월 가계부'!A152/100),100)&gt;=1,MOD(INT('월 가계부'!A152/100),100)&lt;=12,MOD(INT('월 가계부'!A152),100)&gt;=1,MOD(INT('월 가계부'!A152),100)&lt;=31),IF(MONTH(DATE(INT('월 가계부'!A152/10000),MOD(INT('월 가계부'!A152/100),100),MOD(INT('월 가계부'!A152),100)))=MOD(INT('월 가계부'!A152/100),100),DATE(INT('월 가계부'!A152/10000),MOD(INT('월 가계부'!A152/100),100),MOD(INT('월 가계부'!A152),100)),""),""),IF(AND('월 가계부'!A152&gt;=36526,'월 가계부'!A152&lt;73051),INT('월 가계부'!A152),"")),IF(OR(CM152="",CN152="",CO152=""),"",IF(AND(CM152&gt;=2000,CM152&lt;=2099,CN152&gt;=1,CN152&lt;=12,CO152&gt;=1,CO152&lt;=31),IF(MONTH(DATE(CM152,CN152,CO152))=CN152,DATE(CM152,CN152,CO152),""),"")))),"")</f>
        <v/>
      </c>
      <c r="CJ152">
        <f>IFERROR(IF('월 가계부'!C152="","",IF(ISNUMBER('월 가계부'!C152),'월 가계부'!C152,VALUE(SUBSTITUTE(SUBSTITUTE(SUBSTITUTE(SUBSTITUTE(TRIM('월 가계부'!C152),",",""),"원","")," ",""),"−","-")))),"")</f>
        <v/>
      </c>
      <c r="CK152">
        <f>IF(ISNUMBER(CI152),IF(CI152&lt;$B$13,CI152,""),"")</f>
        <v/>
      </c>
      <c r="CM152">
        <f>IF(CH152="","",IFERROR(IF(IF(AND(LEN(CH152)=9,ISERROR(FIND("-",LEFT(CH152,8))),ISNUMBER(-LEFT(CH152,8))),VALUE(LEFT(CH152,4)),VALUE(LEFT(CH152,FIND("-",CH152)-1)))&lt;100,IF(AND(LEN(CH152)=9,ISERROR(FIND("-",LEFT(CH152,8))),ISNUMBER(-LEFT(CH152,8))),VALUE(LEFT(CH152,4)),VALUE(LEFT(CH152,FIND("-",CH152)-1)))+2000,IF(AND(LEN(CH152)=9,ISERROR(FIND("-",LEFT(CH152,8))),ISNUMBER(-LEFT(CH152,8))),VALUE(LEFT(CH152,4)),VALUE(LEFT(CH152,FIND("-",CH152)-1)))),""))</f>
        <v/>
      </c>
      <c r="CN152">
        <f>IF(CH152="","",IFERROR(IF(AND(LEN(CH152)=9,ISERROR(FIND("-",LEFT(CH152,8))),ISNUMBER(-LEFT(CH152,8))),VALUE(MID(CH152,5,2)),VALUE(MID(CH152,FIND("-",CH152)+1,FIND("-",CH152,FIND("-",CH152)+1)-FIND("-",CH152)-1))),""))</f>
        <v/>
      </c>
      <c r="CO152">
        <f>IF(CH152="","",IFERROR(IF(AND(LEN(CH152)=9,ISERROR(FIND("-",LEFT(CH152,8))),ISNUMBER(-LEFT(CH152,8))),VALUE(MID(CH152,7,2)),VALUE(MID(CH152,FIND("-",CH152,FIND("-",CH152)+1)+1,FIND("-",CH152,FIND("-",CH152,FIND("-",CH152)+1)+1)-FIND("-",CH152,FIND("-",CH152)+1)-1))),""))</f>
        <v/>
      </c>
    </row>
    <row r="153">
      <c r="A153" t="n">
        <v>1</v>
      </c>
      <c r="B153">
        <f>$B$1+1</f>
        <v/>
      </c>
      <c r="C153">
        <f>$B$2</f>
        <v/>
      </c>
      <c r="D153">
        <f>IF($B$1+1&gt;90,C153,(C153+IF($B$1+1&lt;=$B153,12*$B$9,-12*MAX(0,$B$8-IF($B$1+1&gt;=$B$23,$B$22,0))*(1+$B$4)^1))*IF(C153+IF($B$1+1&lt;=$B153,12*$B$9,-12*MAX(0,$B$8-IF($B$1+1&gt;=$B$23,$B$22,0))*(1+$B$4)^1)&gt;0,1+$B$3,1))</f>
        <v/>
      </c>
      <c r="E153">
        <f>IF($B$1+2&gt;90,D153,(D153+IF($B$1+2&lt;=$B153,12*$B$9,-12*MAX(0,$B$8-IF($B$1+2&gt;=$B$23,$B$22,0))*(1+$B$4)^2))*IF(D153+IF($B$1+2&lt;=$B153,12*$B$9,-12*MAX(0,$B$8-IF($B$1+2&gt;=$B$23,$B$22,0))*(1+$B$4)^2)&gt;0,1+$B$3,1))</f>
        <v/>
      </c>
      <c r="F153">
        <f>IF($B$1+3&gt;90,E153,(E153+IF($B$1+3&lt;=$B153,12*$B$9,-12*MAX(0,$B$8-IF($B$1+3&gt;=$B$23,$B$22,0))*(1+$B$4)^3))*IF(E153+IF($B$1+3&lt;=$B153,12*$B$9,-12*MAX(0,$B$8-IF($B$1+3&gt;=$B$23,$B$22,0))*(1+$B$4)^3)&gt;0,1+$B$3,1))</f>
        <v/>
      </c>
      <c r="G153">
        <f>IF($B$1+4&gt;90,F153,(F153+IF($B$1+4&lt;=$B153,12*$B$9,-12*MAX(0,$B$8-IF($B$1+4&gt;=$B$23,$B$22,0))*(1+$B$4)^4))*IF(F153+IF($B$1+4&lt;=$B153,12*$B$9,-12*MAX(0,$B$8-IF($B$1+4&gt;=$B$23,$B$22,0))*(1+$B$4)^4)&gt;0,1+$B$3,1))</f>
        <v/>
      </c>
      <c r="H153">
        <f>IF($B$1+5&gt;90,G153,(G153+IF($B$1+5&lt;=$B153,12*$B$9,-12*MAX(0,$B$8-IF($B$1+5&gt;=$B$23,$B$22,0))*(1+$B$4)^5))*IF(G153+IF($B$1+5&lt;=$B153,12*$B$9,-12*MAX(0,$B$8-IF($B$1+5&gt;=$B$23,$B$22,0))*(1+$B$4)^5)&gt;0,1+$B$3,1))</f>
        <v/>
      </c>
      <c r="I153">
        <f>IF($B$1+6&gt;90,H153,(H153+IF($B$1+6&lt;=$B153,12*$B$9,-12*MAX(0,$B$8-IF($B$1+6&gt;=$B$23,$B$22,0))*(1+$B$4)^6))*IF(H153+IF($B$1+6&lt;=$B153,12*$B$9,-12*MAX(0,$B$8-IF($B$1+6&gt;=$B$23,$B$22,0))*(1+$B$4)^6)&gt;0,1+$B$3,1))</f>
        <v/>
      </c>
      <c r="J153">
        <f>IF($B$1+7&gt;90,I153,(I153+IF($B$1+7&lt;=$B153,12*$B$9,-12*MAX(0,$B$8-IF($B$1+7&gt;=$B$23,$B$22,0))*(1+$B$4)^7))*IF(I153+IF($B$1+7&lt;=$B153,12*$B$9,-12*MAX(0,$B$8-IF($B$1+7&gt;=$B$23,$B$22,0))*(1+$B$4)^7)&gt;0,1+$B$3,1))</f>
        <v/>
      </c>
      <c r="K153">
        <f>IF($B$1+8&gt;90,J153,(J153+IF($B$1+8&lt;=$B153,12*$B$9,-12*MAX(0,$B$8-IF($B$1+8&gt;=$B$23,$B$22,0))*(1+$B$4)^8))*IF(J153+IF($B$1+8&lt;=$B153,12*$B$9,-12*MAX(0,$B$8-IF($B$1+8&gt;=$B$23,$B$22,0))*(1+$B$4)^8)&gt;0,1+$B$3,1))</f>
        <v/>
      </c>
      <c r="L153">
        <f>IF($B$1+9&gt;90,K153,(K153+IF($B$1+9&lt;=$B153,12*$B$9,-12*MAX(0,$B$8-IF($B$1+9&gt;=$B$23,$B$22,0))*(1+$B$4)^9))*IF(K153+IF($B$1+9&lt;=$B153,12*$B$9,-12*MAX(0,$B$8-IF($B$1+9&gt;=$B$23,$B$22,0))*(1+$B$4)^9)&gt;0,1+$B$3,1))</f>
        <v/>
      </c>
      <c r="M153">
        <f>IF($B$1+10&gt;90,L153,(L153+IF($B$1+10&lt;=$B153,12*$B$9,-12*MAX(0,$B$8-IF($B$1+10&gt;=$B$23,$B$22,0))*(1+$B$4)^10))*IF(L153+IF($B$1+10&lt;=$B153,12*$B$9,-12*MAX(0,$B$8-IF($B$1+10&gt;=$B$23,$B$22,0))*(1+$B$4)^10)&gt;0,1+$B$3,1))</f>
        <v/>
      </c>
      <c r="N153">
        <f>IF($B$1+11&gt;90,M153,(M153+IF($B$1+11&lt;=$B153,12*$B$9,-12*MAX(0,$B$8-IF($B$1+11&gt;=$B$23,$B$22,0))*(1+$B$4)^11))*IF(M153+IF($B$1+11&lt;=$B153,12*$B$9,-12*MAX(0,$B$8-IF($B$1+11&gt;=$B$23,$B$22,0))*(1+$B$4)^11)&gt;0,1+$B$3,1))</f>
        <v/>
      </c>
      <c r="O153">
        <f>IF($B$1+12&gt;90,N153,(N153+IF($B$1+12&lt;=$B153,12*$B$9,-12*MAX(0,$B$8-IF($B$1+12&gt;=$B$23,$B$22,0))*(1+$B$4)^12))*IF(N153+IF($B$1+12&lt;=$B153,12*$B$9,-12*MAX(0,$B$8-IF($B$1+12&gt;=$B$23,$B$22,0))*(1+$B$4)^12)&gt;0,1+$B$3,1))</f>
        <v/>
      </c>
      <c r="P153">
        <f>IF($B$1+13&gt;90,O153,(O153+IF($B$1+13&lt;=$B153,12*$B$9,-12*MAX(0,$B$8-IF($B$1+13&gt;=$B$23,$B$22,0))*(1+$B$4)^13))*IF(O153+IF($B$1+13&lt;=$B153,12*$B$9,-12*MAX(0,$B$8-IF($B$1+13&gt;=$B$23,$B$22,0))*(1+$B$4)^13)&gt;0,1+$B$3,1))</f>
        <v/>
      </c>
      <c r="Q153">
        <f>IF($B$1+14&gt;90,P153,(P153+IF($B$1+14&lt;=$B153,12*$B$9,-12*MAX(0,$B$8-IF($B$1+14&gt;=$B$23,$B$22,0))*(1+$B$4)^14))*IF(P153+IF($B$1+14&lt;=$B153,12*$B$9,-12*MAX(0,$B$8-IF($B$1+14&gt;=$B$23,$B$22,0))*(1+$B$4)^14)&gt;0,1+$B$3,1))</f>
        <v/>
      </c>
      <c r="R153">
        <f>IF($B$1+15&gt;90,Q153,(Q153+IF($B$1+15&lt;=$B153,12*$B$9,-12*MAX(0,$B$8-IF($B$1+15&gt;=$B$23,$B$22,0))*(1+$B$4)^15))*IF(Q153+IF($B$1+15&lt;=$B153,12*$B$9,-12*MAX(0,$B$8-IF($B$1+15&gt;=$B$23,$B$22,0))*(1+$B$4)^15)&gt;0,1+$B$3,1))</f>
        <v/>
      </c>
      <c r="S153">
        <f>IF($B$1+16&gt;90,R153,(R153+IF($B$1+16&lt;=$B153,12*$B$9,-12*MAX(0,$B$8-IF($B$1+16&gt;=$B$23,$B$22,0))*(1+$B$4)^16))*IF(R153+IF($B$1+16&lt;=$B153,12*$B$9,-12*MAX(0,$B$8-IF($B$1+16&gt;=$B$23,$B$22,0))*(1+$B$4)^16)&gt;0,1+$B$3,1))</f>
        <v/>
      </c>
      <c r="T153">
        <f>IF($B$1+17&gt;90,S153,(S153+IF($B$1+17&lt;=$B153,12*$B$9,-12*MAX(0,$B$8-IF($B$1+17&gt;=$B$23,$B$22,0))*(1+$B$4)^17))*IF(S153+IF($B$1+17&lt;=$B153,12*$B$9,-12*MAX(0,$B$8-IF($B$1+17&gt;=$B$23,$B$22,0))*(1+$B$4)^17)&gt;0,1+$B$3,1))</f>
        <v/>
      </c>
      <c r="U153">
        <f>IF($B$1+18&gt;90,T153,(T153+IF($B$1+18&lt;=$B153,12*$B$9,-12*MAX(0,$B$8-IF($B$1+18&gt;=$B$23,$B$22,0))*(1+$B$4)^18))*IF(T153+IF($B$1+18&lt;=$B153,12*$B$9,-12*MAX(0,$B$8-IF($B$1+18&gt;=$B$23,$B$22,0))*(1+$B$4)^18)&gt;0,1+$B$3,1))</f>
        <v/>
      </c>
      <c r="V153">
        <f>IF($B$1+19&gt;90,U153,(U153+IF($B$1+19&lt;=$B153,12*$B$9,-12*MAX(0,$B$8-IF($B$1+19&gt;=$B$23,$B$22,0))*(1+$B$4)^19))*IF(U153+IF($B$1+19&lt;=$B153,12*$B$9,-12*MAX(0,$B$8-IF($B$1+19&gt;=$B$23,$B$22,0))*(1+$B$4)^19)&gt;0,1+$B$3,1))</f>
        <v/>
      </c>
      <c r="W153">
        <f>IF($B$1+20&gt;90,V153,(V153+IF($B$1+20&lt;=$B153,12*$B$9,-12*MAX(0,$B$8-IF($B$1+20&gt;=$B$23,$B$22,0))*(1+$B$4)^20))*IF(V153+IF($B$1+20&lt;=$B153,12*$B$9,-12*MAX(0,$B$8-IF($B$1+20&gt;=$B$23,$B$22,0))*(1+$B$4)^20)&gt;0,1+$B$3,1))</f>
        <v/>
      </c>
      <c r="X153">
        <f>IF($B$1+21&gt;90,W153,(W153+IF($B$1+21&lt;=$B153,12*$B$9,-12*MAX(0,$B$8-IF($B$1+21&gt;=$B$23,$B$22,0))*(1+$B$4)^21))*IF(W153+IF($B$1+21&lt;=$B153,12*$B$9,-12*MAX(0,$B$8-IF($B$1+21&gt;=$B$23,$B$22,0))*(1+$B$4)^21)&gt;0,1+$B$3,1))</f>
        <v/>
      </c>
      <c r="Y153">
        <f>IF($B$1+22&gt;90,X153,(X153+IF($B$1+22&lt;=$B153,12*$B$9,-12*MAX(0,$B$8-IF($B$1+22&gt;=$B$23,$B$22,0))*(1+$B$4)^22))*IF(X153+IF($B$1+22&lt;=$B153,12*$B$9,-12*MAX(0,$B$8-IF($B$1+22&gt;=$B$23,$B$22,0))*(1+$B$4)^22)&gt;0,1+$B$3,1))</f>
        <v/>
      </c>
      <c r="Z153">
        <f>IF($B$1+23&gt;90,Y153,(Y153+IF($B$1+23&lt;=$B153,12*$B$9,-12*MAX(0,$B$8-IF($B$1+23&gt;=$B$23,$B$22,0))*(1+$B$4)^23))*IF(Y153+IF($B$1+23&lt;=$B153,12*$B$9,-12*MAX(0,$B$8-IF($B$1+23&gt;=$B$23,$B$22,0))*(1+$B$4)^23)&gt;0,1+$B$3,1))</f>
        <v/>
      </c>
      <c r="AA153">
        <f>IF($B$1+24&gt;90,Z153,(Z153+IF($B$1+24&lt;=$B153,12*$B$9,-12*MAX(0,$B$8-IF($B$1+24&gt;=$B$23,$B$22,0))*(1+$B$4)^24))*IF(Z153+IF($B$1+24&lt;=$B153,12*$B$9,-12*MAX(0,$B$8-IF($B$1+24&gt;=$B$23,$B$22,0))*(1+$B$4)^24)&gt;0,1+$B$3,1))</f>
        <v/>
      </c>
      <c r="AB153">
        <f>IF($B$1+25&gt;90,AA153,(AA153+IF($B$1+25&lt;=$B153,12*$B$9,-12*MAX(0,$B$8-IF($B$1+25&gt;=$B$23,$B$22,0))*(1+$B$4)^25))*IF(AA153+IF($B$1+25&lt;=$B153,12*$B$9,-12*MAX(0,$B$8-IF($B$1+25&gt;=$B$23,$B$22,0))*(1+$B$4)^25)&gt;0,1+$B$3,1))</f>
        <v/>
      </c>
      <c r="AC153">
        <f>IF($B$1+26&gt;90,AB153,(AB153+IF($B$1+26&lt;=$B153,12*$B$9,-12*MAX(0,$B$8-IF($B$1+26&gt;=$B$23,$B$22,0))*(1+$B$4)^26))*IF(AB153+IF($B$1+26&lt;=$B153,12*$B$9,-12*MAX(0,$B$8-IF($B$1+26&gt;=$B$23,$B$22,0))*(1+$B$4)^26)&gt;0,1+$B$3,1))</f>
        <v/>
      </c>
      <c r="AD153">
        <f>IF($B$1+27&gt;90,AC153,(AC153+IF($B$1+27&lt;=$B153,12*$B$9,-12*MAX(0,$B$8-IF($B$1+27&gt;=$B$23,$B$22,0))*(1+$B$4)^27))*IF(AC153+IF($B$1+27&lt;=$B153,12*$B$9,-12*MAX(0,$B$8-IF($B$1+27&gt;=$B$23,$B$22,0))*(1+$B$4)^27)&gt;0,1+$B$3,1))</f>
        <v/>
      </c>
      <c r="AE153">
        <f>IF($B$1+28&gt;90,AD153,(AD153+IF($B$1+28&lt;=$B153,12*$B$9,-12*MAX(0,$B$8-IF($B$1+28&gt;=$B$23,$B$22,0))*(1+$B$4)^28))*IF(AD153+IF($B$1+28&lt;=$B153,12*$B$9,-12*MAX(0,$B$8-IF($B$1+28&gt;=$B$23,$B$22,0))*(1+$B$4)^28)&gt;0,1+$B$3,1))</f>
        <v/>
      </c>
      <c r="AF153">
        <f>IF($B$1+29&gt;90,AE153,(AE153+IF($B$1+29&lt;=$B153,12*$B$9,-12*MAX(0,$B$8-IF($B$1+29&gt;=$B$23,$B$22,0))*(1+$B$4)^29))*IF(AE153+IF($B$1+29&lt;=$B153,12*$B$9,-12*MAX(0,$B$8-IF($B$1+29&gt;=$B$23,$B$22,0))*(1+$B$4)^29)&gt;0,1+$B$3,1))</f>
        <v/>
      </c>
      <c r="AG153">
        <f>IF($B$1+30&gt;90,AF153,(AF153+IF($B$1+30&lt;=$B153,12*$B$9,-12*MAX(0,$B$8-IF($B$1+30&gt;=$B$23,$B$22,0))*(1+$B$4)^30))*IF(AF153+IF($B$1+30&lt;=$B153,12*$B$9,-12*MAX(0,$B$8-IF($B$1+30&gt;=$B$23,$B$22,0))*(1+$B$4)^30)&gt;0,1+$B$3,1))</f>
        <v/>
      </c>
      <c r="AH153">
        <f>IF($B$1+31&gt;90,AG153,(AG153+IF($B$1+31&lt;=$B153,12*$B$9,-12*MAX(0,$B$8-IF($B$1+31&gt;=$B$23,$B$22,0))*(1+$B$4)^31))*IF(AG153+IF($B$1+31&lt;=$B153,12*$B$9,-12*MAX(0,$B$8-IF($B$1+31&gt;=$B$23,$B$22,0))*(1+$B$4)^31)&gt;0,1+$B$3,1))</f>
        <v/>
      </c>
      <c r="AI153">
        <f>IF($B$1+32&gt;90,AH153,(AH153+IF($B$1+32&lt;=$B153,12*$B$9,-12*MAX(0,$B$8-IF($B$1+32&gt;=$B$23,$B$22,0))*(1+$B$4)^32))*IF(AH153+IF($B$1+32&lt;=$B153,12*$B$9,-12*MAX(0,$B$8-IF($B$1+32&gt;=$B$23,$B$22,0))*(1+$B$4)^32)&gt;0,1+$B$3,1))</f>
        <v/>
      </c>
      <c r="AJ153">
        <f>IF($B$1+33&gt;90,AI153,(AI153+IF($B$1+33&lt;=$B153,12*$B$9,-12*MAX(0,$B$8-IF($B$1+33&gt;=$B$23,$B$22,0))*(1+$B$4)^33))*IF(AI153+IF($B$1+33&lt;=$B153,12*$B$9,-12*MAX(0,$B$8-IF($B$1+33&gt;=$B$23,$B$22,0))*(1+$B$4)^33)&gt;0,1+$B$3,1))</f>
        <v/>
      </c>
      <c r="AK153">
        <f>IF($B$1+34&gt;90,AJ153,(AJ153+IF($B$1+34&lt;=$B153,12*$B$9,-12*MAX(0,$B$8-IF($B$1+34&gt;=$B$23,$B$22,0))*(1+$B$4)^34))*IF(AJ153+IF($B$1+34&lt;=$B153,12*$B$9,-12*MAX(0,$B$8-IF($B$1+34&gt;=$B$23,$B$22,0))*(1+$B$4)^34)&gt;0,1+$B$3,1))</f>
        <v/>
      </c>
      <c r="AL153">
        <f>IF($B$1+35&gt;90,AK153,(AK153+IF($B$1+35&lt;=$B153,12*$B$9,-12*MAX(0,$B$8-IF($B$1+35&gt;=$B$23,$B$22,0))*(1+$B$4)^35))*IF(AK153+IF($B$1+35&lt;=$B153,12*$B$9,-12*MAX(0,$B$8-IF($B$1+35&gt;=$B$23,$B$22,0))*(1+$B$4)^35)&gt;0,1+$B$3,1))</f>
        <v/>
      </c>
      <c r="AM153">
        <f>IF($B$1+36&gt;90,AL153,(AL153+IF($B$1+36&lt;=$B153,12*$B$9,-12*MAX(0,$B$8-IF($B$1+36&gt;=$B$23,$B$22,0))*(1+$B$4)^36))*IF(AL153+IF($B$1+36&lt;=$B153,12*$B$9,-12*MAX(0,$B$8-IF($B$1+36&gt;=$B$23,$B$22,0))*(1+$B$4)^36)&gt;0,1+$B$3,1))</f>
        <v/>
      </c>
      <c r="AN153">
        <f>IF($B$1+37&gt;90,AM153,(AM153+IF($B$1+37&lt;=$B153,12*$B$9,-12*MAX(0,$B$8-IF($B$1+37&gt;=$B$23,$B$22,0))*(1+$B$4)^37))*IF(AM153+IF($B$1+37&lt;=$B153,12*$B$9,-12*MAX(0,$B$8-IF($B$1+37&gt;=$B$23,$B$22,0))*(1+$B$4)^37)&gt;0,1+$B$3,1))</f>
        <v/>
      </c>
      <c r="AO153">
        <f>IF($B$1+38&gt;90,AN153,(AN153+IF($B$1+38&lt;=$B153,12*$B$9,-12*MAX(0,$B$8-IF($B$1+38&gt;=$B$23,$B$22,0))*(1+$B$4)^38))*IF(AN153+IF($B$1+38&lt;=$B153,12*$B$9,-12*MAX(0,$B$8-IF($B$1+38&gt;=$B$23,$B$22,0))*(1+$B$4)^38)&gt;0,1+$B$3,1))</f>
        <v/>
      </c>
      <c r="AP153">
        <f>IF($B$1+39&gt;90,AO153,(AO153+IF($B$1+39&lt;=$B153,12*$B$9,-12*MAX(0,$B$8-IF($B$1+39&gt;=$B$23,$B$22,0))*(1+$B$4)^39))*IF(AO153+IF($B$1+39&lt;=$B153,12*$B$9,-12*MAX(0,$B$8-IF($B$1+39&gt;=$B$23,$B$22,0))*(1+$B$4)^39)&gt;0,1+$B$3,1))</f>
        <v/>
      </c>
      <c r="AQ153">
        <f>IF($B$1+40&gt;90,AP153,(AP153+IF($B$1+40&lt;=$B153,12*$B$9,-12*MAX(0,$B$8-IF($B$1+40&gt;=$B$23,$B$22,0))*(1+$B$4)^40))*IF(AP153+IF($B$1+40&lt;=$B153,12*$B$9,-12*MAX(0,$B$8-IF($B$1+40&gt;=$B$23,$B$22,0))*(1+$B$4)^40)&gt;0,1+$B$3,1))</f>
        <v/>
      </c>
      <c r="AR153">
        <f>IF($B$1+41&gt;90,AQ153,(AQ153+IF($B$1+41&lt;=$B153,12*$B$9,-12*MAX(0,$B$8-IF($B$1+41&gt;=$B$23,$B$22,0))*(1+$B$4)^41))*IF(AQ153+IF($B$1+41&lt;=$B153,12*$B$9,-12*MAX(0,$B$8-IF($B$1+41&gt;=$B$23,$B$22,0))*(1+$B$4)^41)&gt;0,1+$B$3,1))</f>
        <v/>
      </c>
      <c r="AS153">
        <f>IF($B$1+42&gt;90,AR153,(AR153+IF($B$1+42&lt;=$B153,12*$B$9,-12*MAX(0,$B$8-IF($B$1+42&gt;=$B$23,$B$22,0))*(1+$B$4)^42))*IF(AR153+IF($B$1+42&lt;=$B153,12*$B$9,-12*MAX(0,$B$8-IF($B$1+42&gt;=$B$23,$B$22,0))*(1+$B$4)^42)&gt;0,1+$B$3,1))</f>
        <v/>
      </c>
      <c r="AT153">
        <f>IF($B$1+43&gt;90,AS153,(AS153+IF($B$1+43&lt;=$B153,12*$B$9,-12*MAX(0,$B$8-IF($B$1+43&gt;=$B$23,$B$22,0))*(1+$B$4)^43))*IF(AS153+IF($B$1+43&lt;=$B153,12*$B$9,-12*MAX(0,$B$8-IF($B$1+43&gt;=$B$23,$B$22,0))*(1+$B$4)^43)&gt;0,1+$B$3,1))</f>
        <v/>
      </c>
      <c r="AU153">
        <f>IF($B$1+44&gt;90,AT153,(AT153+IF($B$1+44&lt;=$B153,12*$B$9,-12*MAX(0,$B$8-IF($B$1+44&gt;=$B$23,$B$22,0))*(1+$B$4)^44))*IF(AT153+IF($B$1+44&lt;=$B153,12*$B$9,-12*MAX(0,$B$8-IF($B$1+44&gt;=$B$23,$B$22,0))*(1+$B$4)^44)&gt;0,1+$B$3,1))</f>
        <v/>
      </c>
      <c r="AV153">
        <f>IF($B$1+45&gt;90,AU153,(AU153+IF($B$1+45&lt;=$B153,12*$B$9,-12*MAX(0,$B$8-IF($B$1+45&gt;=$B$23,$B$22,0))*(1+$B$4)^45))*IF(AU153+IF($B$1+45&lt;=$B153,12*$B$9,-12*MAX(0,$B$8-IF($B$1+45&gt;=$B$23,$B$22,0))*(1+$B$4)^45)&gt;0,1+$B$3,1))</f>
        <v/>
      </c>
      <c r="AW153">
        <f>IF($B$1+46&gt;90,AV153,(AV153+IF($B$1+46&lt;=$B153,12*$B$9,-12*MAX(0,$B$8-IF($B$1+46&gt;=$B$23,$B$22,0))*(1+$B$4)^46))*IF(AV153+IF($B$1+46&lt;=$B153,12*$B$9,-12*MAX(0,$B$8-IF($B$1+46&gt;=$B$23,$B$22,0))*(1+$B$4)^46)&gt;0,1+$B$3,1))</f>
        <v/>
      </c>
      <c r="AX153">
        <f>IF($B$1+47&gt;90,AW153,(AW153+IF($B$1+47&lt;=$B153,12*$B$9,-12*MAX(0,$B$8-IF($B$1+47&gt;=$B$23,$B$22,0))*(1+$B$4)^47))*IF(AW153+IF($B$1+47&lt;=$B153,12*$B$9,-12*MAX(0,$B$8-IF($B$1+47&gt;=$B$23,$B$22,0))*(1+$B$4)^47)&gt;0,1+$B$3,1))</f>
        <v/>
      </c>
      <c r="AY153">
        <f>IF($B$1+48&gt;90,AX153,(AX153+IF($B$1+48&lt;=$B153,12*$B$9,-12*MAX(0,$B$8-IF($B$1+48&gt;=$B$23,$B$22,0))*(1+$B$4)^48))*IF(AX153+IF($B$1+48&lt;=$B153,12*$B$9,-12*MAX(0,$B$8-IF($B$1+48&gt;=$B$23,$B$22,0))*(1+$B$4)^48)&gt;0,1+$B$3,1))</f>
        <v/>
      </c>
      <c r="AZ153">
        <f>IF($B$1+49&gt;90,AY153,(AY153+IF($B$1+49&lt;=$B153,12*$B$9,-12*MAX(0,$B$8-IF($B$1+49&gt;=$B$23,$B$22,0))*(1+$B$4)^49))*IF(AY153+IF($B$1+49&lt;=$B153,12*$B$9,-12*MAX(0,$B$8-IF($B$1+49&gt;=$B$23,$B$22,0))*(1+$B$4)^49)&gt;0,1+$B$3,1))</f>
        <v/>
      </c>
      <c r="BA153">
        <f>IF($B$1+50&gt;90,AZ153,(AZ153+IF($B$1+50&lt;=$B153,12*$B$9,-12*MAX(0,$B$8-IF($B$1+50&gt;=$B$23,$B$22,0))*(1+$B$4)^50))*IF(AZ153+IF($B$1+50&lt;=$B153,12*$B$9,-12*MAX(0,$B$8-IF($B$1+50&gt;=$B$23,$B$22,0))*(1+$B$4)^50)&gt;0,1+$B$3,1))</f>
        <v/>
      </c>
      <c r="BB153">
        <f>IF($B$1+51&gt;90,BA153,(BA153+IF($B$1+51&lt;=$B153,12*$B$9,-12*MAX(0,$B$8-IF($B$1+51&gt;=$B$23,$B$22,0))*(1+$B$4)^51))*IF(BA153+IF($B$1+51&lt;=$B153,12*$B$9,-12*MAX(0,$B$8-IF($B$1+51&gt;=$B$23,$B$22,0))*(1+$B$4)^51)&gt;0,1+$B$3,1))</f>
        <v/>
      </c>
      <c r="BC153">
        <f>IF($B$1+52&gt;90,BB153,(BB153+IF($B$1+52&lt;=$B153,12*$B$9,-12*MAX(0,$B$8-IF($B$1+52&gt;=$B$23,$B$22,0))*(1+$B$4)^52))*IF(BB153+IF($B$1+52&lt;=$B153,12*$B$9,-12*MAX(0,$B$8-IF($B$1+52&gt;=$B$23,$B$22,0))*(1+$B$4)^52)&gt;0,1+$B$3,1))</f>
        <v/>
      </c>
      <c r="BD153">
        <f>IF($B$1+53&gt;90,BC153,(BC153+IF($B$1+53&lt;=$B153,12*$B$9,-12*MAX(0,$B$8-IF($B$1+53&gt;=$B$23,$B$22,0))*(1+$B$4)^53))*IF(BC153+IF($B$1+53&lt;=$B153,12*$B$9,-12*MAX(0,$B$8-IF($B$1+53&gt;=$B$23,$B$22,0))*(1+$B$4)^53)&gt;0,1+$B$3,1))</f>
        <v/>
      </c>
      <c r="BE153">
        <f>IF($B$1+54&gt;90,BD153,(BD153+IF($B$1+54&lt;=$B153,12*$B$9,-12*MAX(0,$B$8-IF($B$1+54&gt;=$B$23,$B$22,0))*(1+$B$4)^54))*IF(BD153+IF($B$1+54&lt;=$B153,12*$B$9,-12*MAX(0,$B$8-IF($B$1+54&gt;=$B$23,$B$22,0))*(1+$B$4)^54)&gt;0,1+$B$3,1))</f>
        <v/>
      </c>
      <c r="BF153">
        <f>IF($B$1+55&gt;90,BE153,(BE153+IF($B$1+55&lt;=$B153,12*$B$9,-12*MAX(0,$B$8-IF($B$1+55&gt;=$B$23,$B$22,0))*(1+$B$4)^55))*IF(BE153+IF($B$1+55&lt;=$B153,12*$B$9,-12*MAX(0,$B$8-IF($B$1+55&gt;=$B$23,$B$22,0))*(1+$B$4)^55)&gt;0,1+$B$3,1))</f>
        <v/>
      </c>
      <c r="BG153">
        <f>IF($B$1+56&gt;90,BF153,(BF153+IF($B$1+56&lt;=$B153,12*$B$9,-12*MAX(0,$B$8-IF($B$1+56&gt;=$B$23,$B$22,0))*(1+$B$4)^56))*IF(BF153+IF($B$1+56&lt;=$B153,12*$B$9,-12*MAX(0,$B$8-IF($B$1+56&gt;=$B$23,$B$22,0))*(1+$B$4)^56)&gt;0,1+$B$3,1))</f>
        <v/>
      </c>
      <c r="BH153">
        <f>IF($B$1+57&gt;90,BG153,(BG153+IF($B$1+57&lt;=$B153,12*$B$9,-12*MAX(0,$B$8-IF($B$1+57&gt;=$B$23,$B$22,0))*(1+$B$4)^57))*IF(BG153+IF($B$1+57&lt;=$B153,12*$B$9,-12*MAX(0,$B$8-IF($B$1+57&gt;=$B$23,$B$22,0))*(1+$B$4)^57)&gt;0,1+$B$3,1))</f>
        <v/>
      </c>
      <c r="BI153">
        <f>IF($B$1+58&gt;90,BH153,(BH153+IF($B$1+58&lt;=$B153,12*$B$9,-12*MAX(0,$B$8-IF($B$1+58&gt;=$B$23,$B$22,0))*(1+$B$4)^58))*IF(BH153+IF($B$1+58&lt;=$B153,12*$B$9,-12*MAX(0,$B$8-IF($B$1+58&gt;=$B$23,$B$22,0))*(1+$B$4)^58)&gt;0,1+$B$3,1))</f>
        <v/>
      </c>
      <c r="BJ153">
        <f>IF($B$1+59&gt;90,BI153,(BI153+IF($B$1+59&lt;=$B153,12*$B$9,-12*MAX(0,$B$8-IF($B$1+59&gt;=$B$23,$B$22,0))*(1+$B$4)^59))*IF(BI153+IF($B$1+59&lt;=$B153,12*$B$9,-12*MAX(0,$B$8-IF($B$1+59&gt;=$B$23,$B$22,0))*(1+$B$4)^59)&gt;0,1+$B$3,1))</f>
        <v/>
      </c>
      <c r="BK153">
        <f>IF($B$1+60&gt;90,BJ153,(BJ153+IF($B$1+60&lt;=$B153,12*$B$9,-12*MAX(0,$B$8-IF($B$1+60&gt;=$B$23,$B$22,0))*(1+$B$4)^60))*IF(BJ153+IF($B$1+60&lt;=$B153,12*$B$9,-12*MAX(0,$B$8-IF($B$1+60&gt;=$B$23,$B$22,0))*(1+$B$4)^60)&gt;0,1+$B$3,1))</f>
        <v/>
      </c>
      <c r="BL153">
        <f>IF($B$1+61&gt;90,BK153,(BK153+IF($B$1+61&lt;=$B153,12*$B$9,-12*MAX(0,$B$8-IF($B$1+61&gt;=$B$23,$B$22,0))*(1+$B$4)^61))*IF(BK153+IF($B$1+61&lt;=$B153,12*$B$9,-12*MAX(0,$B$8-IF($B$1+61&gt;=$B$23,$B$22,0))*(1+$B$4)^61)&gt;0,1+$B$3,1))</f>
        <v/>
      </c>
      <c r="BM153">
        <f>IF($B$1+62&gt;90,BL153,(BL153+IF($B$1+62&lt;=$B153,12*$B$9,-12*MAX(0,$B$8-IF($B$1+62&gt;=$B$23,$B$22,0))*(1+$B$4)^62))*IF(BL153+IF($B$1+62&lt;=$B153,12*$B$9,-12*MAX(0,$B$8-IF($B$1+62&gt;=$B$23,$B$22,0))*(1+$B$4)^62)&gt;0,1+$B$3,1))</f>
        <v/>
      </c>
      <c r="BN153">
        <f>IF($B$1+63&gt;90,BM153,(BM153+IF($B$1+63&lt;=$B153,12*$B$9,-12*MAX(0,$B$8-IF($B$1+63&gt;=$B$23,$B$22,0))*(1+$B$4)^63))*IF(BM153+IF($B$1+63&lt;=$B153,12*$B$9,-12*MAX(0,$B$8-IF($B$1+63&gt;=$B$23,$B$22,0))*(1+$B$4)^63)&gt;0,1+$B$3,1))</f>
        <v/>
      </c>
      <c r="BO153">
        <f>IF($B$1+64&gt;90,BN153,(BN153+IF($B$1+64&lt;=$B153,12*$B$9,-12*MAX(0,$B$8-IF($B$1+64&gt;=$B$23,$B$22,0))*(1+$B$4)^64))*IF(BN153+IF($B$1+64&lt;=$B153,12*$B$9,-12*MAX(0,$B$8-IF($B$1+64&gt;=$B$23,$B$22,0))*(1+$B$4)^64)&gt;0,1+$B$3,1))</f>
        <v/>
      </c>
      <c r="BP153">
        <f>IF($B$1+65&gt;90,BO153,(BO153+IF($B$1+65&lt;=$B153,12*$B$9,-12*MAX(0,$B$8-IF($B$1+65&gt;=$B$23,$B$22,0))*(1+$B$4)^65))*IF(BO153+IF($B$1+65&lt;=$B153,12*$B$9,-12*MAX(0,$B$8-IF($B$1+65&gt;=$B$23,$B$22,0))*(1+$B$4)^65)&gt;0,1+$B$3,1))</f>
        <v/>
      </c>
      <c r="BQ153">
        <f>IF($B$1+66&gt;90,BP153,(BP153+IF($B$1+66&lt;=$B153,12*$B$9,-12*MAX(0,$B$8-IF($B$1+66&gt;=$B$23,$B$22,0))*(1+$B$4)^66))*IF(BP153+IF($B$1+66&lt;=$B153,12*$B$9,-12*MAX(0,$B$8-IF($B$1+66&gt;=$B$23,$B$22,0))*(1+$B$4)^66)&gt;0,1+$B$3,1))</f>
        <v/>
      </c>
      <c r="BR153">
        <f>IF($B$1+67&gt;90,BQ153,(BQ153+IF($B$1+67&lt;=$B153,12*$B$9,-12*MAX(0,$B$8-IF($B$1+67&gt;=$B$23,$B$22,0))*(1+$B$4)^67))*IF(BQ153+IF($B$1+67&lt;=$B153,12*$B$9,-12*MAX(0,$B$8-IF($B$1+67&gt;=$B$23,$B$22,0))*(1+$B$4)^67)&gt;0,1+$B$3,1))</f>
        <v/>
      </c>
      <c r="BS153">
        <f>IF($B$1+68&gt;90,BR153,(BR153+IF($B$1+68&lt;=$B153,12*$B$9,-12*MAX(0,$B$8-IF($B$1+68&gt;=$B$23,$B$22,0))*(1+$B$4)^68))*IF(BR153+IF($B$1+68&lt;=$B153,12*$B$9,-12*MAX(0,$B$8-IF($B$1+68&gt;=$B$23,$B$22,0))*(1+$B$4)^68)&gt;0,1+$B$3,1))</f>
        <v/>
      </c>
      <c r="BT153">
        <f>IF($B$1+69&gt;90,BS153,(BS153+IF($B$1+69&lt;=$B153,12*$B$9,-12*MAX(0,$B$8-IF($B$1+69&gt;=$B$23,$B$22,0))*(1+$B$4)^69))*IF(BS153+IF($B$1+69&lt;=$B153,12*$B$9,-12*MAX(0,$B$8-IF($B$1+69&gt;=$B$23,$B$22,0))*(1+$B$4)^69)&gt;0,1+$B$3,1))</f>
        <v/>
      </c>
      <c r="BU153">
        <f>IF($B$1+70&gt;90,BT153,(BT153+IF($B$1+70&lt;=$B153,12*$B$9,-12*MAX(0,$B$8-IF($B$1+70&gt;=$B$23,$B$22,0))*(1+$B$4)^70))*IF(BT153+IF($B$1+70&lt;=$B153,12*$B$9,-12*MAX(0,$B$8-IF($B$1+70&gt;=$B$23,$B$22,0))*(1+$B$4)^70)&gt;0,1+$B$3,1))</f>
        <v/>
      </c>
      <c r="BV153">
        <f>BU153</f>
        <v/>
      </c>
      <c r="BW153">
        <f>IF(AND($B153&lt;=70,BV153&gt;0),$B153,999)</f>
        <v/>
      </c>
      <c r="CH153">
        <f>IF(ISTEXT('월 가계부'!A153),SUBSTITUTE(SUBSTITUTE(SUBSTITUTE(SUBSTITUTE(SUBSTITUTE(SUBSTITUTE(SUBSTITUTE(SUBSTITUTE(SUBSTITUTE(TRIM('월 가계부'!A153),"년","-"),"월","-"),"일",""),".","-"),"/","-")," ","-"),"--","-"),"--","-"),"--","-")&amp;"-","")</f>
        <v/>
      </c>
      <c r="CI153">
        <f>IFERROR(IF('월 가계부'!A153="","",IF(ISNUMBER('월 가계부'!A153),IF(AND('월 가계부'!A153&gt;=19000101,'월 가계부'!A153&lt;=21001231),IF(AND(MOD(INT('월 가계부'!A153/100),100)&gt;=1,MOD(INT('월 가계부'!A153/100),100)&lt;=12,MOD(INT('월 가계부'!A153),100)&gt;=1,MOD(INT('월 가계부'!A153),100)&lt;=31),IF(MONTH(DATE(INT('월 가계부'!A153/10000),MOD(INT('월 가계부'!A153/100),100),MOD(INT('월 가계부'!A153),100)))=MOD(INT('월 가계부'!A153/100),100),DATE(INT('월 가계부'!A153/10000),MOD(INT('월 가계부'!A153/100),100),MOD(INT('월 가계부'!A153),100)),""),""),IF(AND('월 가계부'!A153&gt;=36526,'월 가계부'!A153&lt;73051),INT('월 가계부'!A153),"")),IF(OR(CM153="",CN153="",CO153=""),"",IF(AND(CM153&gt;=2000,CM153&lt;=2099,CN153&gt;=1,CN153&lt;=12,CO153&gt;=1,CO153&lt;=31),IF(MONTH(DATE(CM153,CN153,CO153))=CN153,DATE(CM153,CN153,CO153),""),"")))),"")</f>
        <v/>
      </c>
      <c r="CJ153">
        <f>IFERROR(IF('월 가계부'!C153="","",IF(ISNUMBER('월 가계부'!C153),'월 가계부'!C153,VALUE(SUBSTITUTE(SUBSTITUTE(SUBSTITUTE(SUBSTITUTE(TRIM('월 가계부'!C153),",",""),"원","")," ",""),"−","-")))),"")</f>
        <v/>
      </c>
      <c r="CK153">
        <f>IF(ISNUMBER(CI153),IF(CI153&lt;$B$13,CI153,""),"")</f>
        <v/>
      </c>
      <c r="CM153">
        <f>IF(CH153="","",IFERROR(IF(IF(AND(LEN(CH153)=9,ISERROR(FIND("-",LEFT(CH153,8))),ISNUMBER(-LEFT(CH153,8))),VALUE(LEFT(CH153,4)),VALUE(LEFT(CH153,FIND("-",CH153)-1)))&lt;100,IF(AND(LEN(CH153)=9,ISERROR(FIND("-",LEFT(CH153,8))),ISNUMBER(-LEFT(CH153,8))),VALUE(LEFT(CH153,4)),VALUE(LEFT(CH153,FIND("-",CH153)-1)))+2000,IF(AND(LEN(CH153)=9,ISERROR(FIND("-",LEFT(CH153,8))),ISNUMBER(-LEFT(CH153,8))),VALUE(LEFT(CH153,4)),VALUE(LEFT(CH153,FIND("-",CH153)-1)))),""))</f>
        <v/>
      </c>
      <c r="CN153">
        <f>IF(CH153="","",IFERROR(IF(AND(LEN(CH153)=9,ISERROR(FIND("-",LEFT(CH153,8))),ISNUMBER(-LEFT(CH153,8))),VALUE(MID(CH153,5,2)),VALUE(MID(CH153,FIND("-",CH153)+1,FIND("-",CH153,FIND("-",CH153)+1)-FIND("-",CH153)-1))),""))</f>
        <v/>
      </c>
      <c r="CO153">
        <f>IF(CH153="","",IFERROR(IF(AND(LEN(CH153)=9,ISERROR(FIND("-",LEFT(CH153,8))),ISNUMBER(-LEFT(CH153,8))),VALUE(MID(CH153,7,2)),VALUE(MID(CH153,FIND("-",CH153,FIND("-",CH153)+1)+1,FIND("-",CH153,FIND("-",CH153,FIND("-",CH153)+1)+1)-FIND("-",CH153,FIND("-",CH153)+1)-1))),""))</f>
        <v/>
      </c>
    </row>
    <row r="154">
      <c r="A154" t="n">
        <v>2</v>
      </c>
      <c r="B154">
        <f>$B$1+2</f>
        <v/>
      </c>
      <c r="C154">
        <f>$B$2</f>
        <v/>
      </c>
      <c r="D154">
        <f>IF($B$1+1&gt;90,C154,(C154+IF($B$1+1&lt;=$B154,12*$B$9,-12*MAX(0,$B$8-IF($B$1+1&gt;=$B$23,$B$22,0))*(1+$B$4)^1))*IF(C154+IF($B$1+1&lt;=$B154,12*$B$9,-12*MAX(0,$B$8-IF($B$1+1&gt;=$B$23,$B$22,0))*(1+$B$4)^1)&gt;0,1+$B$3,1))</f>
        <v/>
      </c>
      <c r="E154">
        <f>IF($B$1+2&gt;90,D154,(D154+IF($B$1+2&lt;=$B154,12*$B$9,-12*MAX(0,$B$8-IF($B$1+2&gt;=$B$23,$B$22,0))*(1+$B$4)^2))*IF(D154+IF($B$1+2&lt;=$B154,12*$B$9,-12*MAX(0,$B$8-IF($B$1+2&gt;=$B$23,$B$22,0))*(1+$B$4)^2)&gt;0,1+$B$3,1))</f>
        <v/>
      </c>
      <c r="F154">
        <f>IF($B$1+3&gt;90,E154,(E154+IF($B$1+3&lt;=$B154,12*$B$9,-12*MAX(0,$B$8-IF($B$1+3&gt;=$B$23,$B$22,0))*(1+$B$4)^3))*IF(E154+IF($B$1+3&lt;=$B154,12*$B$9,-12*MAX(0,$B$8-IF($B$1+3&gt;=$B$23,$B$22,0))*(1+$B$4)^3)&gt;0,1+$B$3,1))</f>
        <v/>
      </c>
      <c r="G154">
        <f>IF($B$1+4&gt;90,F154,(F154+IF($B$1+4&lt;=$B154,12*$B$9,-12*MAX(0,$B$8-IF($B$1+4&gt;=$B$23,$B$22,0))*(1+$B$4)^4))*IF(F154+IF($B$1+4&lt;=$B154,12*$B$9,-12*MAX(0,$B$8-IF($B$1+4&gt;=$B$23,$B$22,0))*(1+$B$4)^4)&gt;0,1+$B$3,1))</f>
        <v/>
      </c>
      <c r="H154">
        <f>IF($B$1+5&gt;90,G154,(G154+IF($B$1+5&lt;=$B154,12*$B$9,-12*MAX(0,$B$8-IF($B$1+5&gt;=$B$23,$B$22,0))*(1+$B$4)^5))*IF(G154+IF($B$1+5&lt;=$B154,12*$B$9,-12*MAX(0,$B$8-IF($B$1+5&gt;=$B$23,$B$22,0))*(1+$B$4)^5)&gt;0,1+$B$3,1))</f>
        <v/>
      </c>
      <c r="I154">
        <f>IF($B$1+6&gt;90,H154,(H154+IF($B$1+6&lt;=$B154,12*$B$9,-12*MAX(0,$B$8-IF($B$1+6&gt;=$B$23,$B$22,0))*(1+$B$4)^6))*IF(H154+IF($B$1+6&lt;=$B154,12*$B$9,-12*MAX(0,$B$8-IF($B$1+6&gt;=$B$23,$B$22,0))*(1+$B$4)^6)&gt;0,1+$B$3,1))</f>
        <v/>
      </c>
      <c r="J154">
        <f>IF($B$1+7&gt;90,I154,(I154+IF($B$1+7&lt;=$B154,12*$B$9,-12*MAX(0,$B$8-IF($B$1+7&gt;=$B$23,$B$22,0))*(1+$B$4)^7))*IF(I154+IF($B$1+7&lt;=$B154,12*$B$9,-12*MAX(0,$B$8-IF($B$1+7&gt;=$B$23,$B$22,0))*(1+$B$4)^7)&gt;0,1+$B$3,1))</f>
        <v/>
      </c>
      <c r="K154">
        <f>IF($B$1+8&gt;90,J154,(J154+IF($B$1+8&lt;=$B154,12*$B$9,-12*MAX(0,$B$8-IF($B$1+8&gt;=$B$23,$B$22,0))*(1+$B$4)^8))*IF(J154+IF($B$1+8&lt;=$B154,12*$B$9,-12*MAX(0,$B$8-IF($B$1+8&gt;=$B$23,$B$22,0))*(1+$B$4)^8)&gt;0,1+$B$3,1))</f>
        <v/>
      </c>
      <c r="L154">
        <f>IF($B$1+9&gt;90,K154,(K154+IF($B$1+9&lt;=$B154,12*$B$9,-12*MAX(0,$B$8-IF($B$1+9&gt;=$B$23,$B$22,0))*(1+$B$4)^9))*IF(K154+IF($B$1+9&lt;=$B154,12*$B$9,-12*MAX(0,$B$8-IF($B$1+9&gt;=$B$23,$B$22,0))*(1+$B$4)^9)&gt;0,1+$B$3,1))</f>
        <v/>
      </c>
      <c r="M154">
        <f>IF($B$1+10&gt;90,L154,(L154+IF($B$1+10&lt;=$B154,12*$B$9,-12*MAX(0,$B$8-IF($B$1+10&gt;=$B$23,$B$22,0))*(1+$B$4)^10))*IF(L154+IF($B$1+10&lt;=$B154,12*$B$9,-12*MAX(0,$B$8-IF($B$1+10&gt;=$B$23,$B$22,0))*(1+$B$4)^10)&gt;0,1+$B$3,1))</f>
        <v/>
      </c>
      <c r="N154">
        <f>IF($B$1+11&gt;90,M154,(M154+IF($B$1+11&lt;=$B154,12*$B$9,-12*MAX(0,$B$8-IF($B$1+11&gt;=$B$23,$B$22,0))*(1+$B$4)^11))*IF(M154+IF($B$1+11&lt;=$B154,12*$B$9,-12*MAX(0,$B$8-IF($B$1+11&gt;=$B$23,$B$22,0))*(1+$B$4)^11)&gt;0,1+$B$3,1))</f>
        <v/>
      </c>
      <c r="O154">
        <f>IF($B$1+12&gt;90,N154,(N154+IF($B$1+12&lt;=$B154,12*$B$9,-12*MAX(0,$B$8-IF($B$1+12&gt;=$B$23,$B$22,0))*(1+$B$4)^12))*IF(N154+IF($B$1+12&lt;=$B154,12*$B$9,-12*MAX(0,$B$8-IF($B$1+12&gt;=$B$23,$B$22,0))*(1+$B$4)^12)&gt;0,1+$B$3,1))</f>
        <v/>
      </c>
      <c r="P154">
        <f>IF($B$1+13&gt;90,O154,(O154+IF($B$1+13&lt;=$B154,12*$B$9,-12*MAX(0,$B$8-IF($B$1+13&gt;=$B$23,$B$22,0))*(1+$B$4)^13))*IF(O154+IF($B$1+13&lt;=$B154,12*$B$9,-12*MAX(0,$B$8-IF($B$1+13&gt;=$B$23,$B$22,0))*(1+$B$4)^13)&gt;0,1+$B$3,1))</f>
        <v/>
      </c>
      <c r="Q154">
        <f>IF($B$1+14&gt;90,P154,(P154+IF($B$1+14&lt;=$B154,12*$B$9,-12*MAX(0,$B$8-IF($B$1+14&gt;=$B$23,$B$22,0))*(1+$B$4)^14))*IF(P154+IF($B$1+14&lt;=$B154,12*$B$9,-12*MAX(0,$B$8-IF($B$1+14&gt;=$B$23,$B$22,0))*(1+$B$4)^14)&gt;0,1+$B$3,1))</f>
        <v/>
      </c>
      <c r="R154">
        <f>IF($B$1+15&gt;90,Q154,(Q154+IF($B$1+15&lt;=$B154,12*$B$9,-12*MAX(0,$B$8-IF($B$1+15&gt;=$B$23,$B$22,0))*(1+$B$4)^15))*IF(Q154+IF($B$1+15&lt;=$B154,12*$B$9,-12*MAX(0,$B$8-IF($B$1+15&gt;=$B$23,$B$22,0))*(1+$B$4)^15)&gt;0,1+$B$3,1))</f>
        <v/>
      </c>
      <c r="S154">
        <f>IF($B$1+16&gt;90,R154,(R154+IF($B$1+16&lt;=$B154,12*$B$9,-12*MAX(0,$B$8-IF($B$1+16&gt;=$B$23,$B$22,0))*(1+$B$4)^16))*IF(R154+IF($B$1+16&lt;=$B154,12*$B$9,-12*MAX(0,$B$8-IF($B$1+16&gt;=$B$23,$B$22,0))*(1+$B$4)^16)&gt;0,1+$B$3,1))</f>
        <v/>
      </c>
      <c r="T154">
        <f>IF($B$1+17&gt;90,S154,(S154+IF($B$1+17&lt;=$B154,12*$B$9,-12*MAX(0,$B$8-IF($B$1+17&gt;=$B$23,$B$22,0))*(1+$B$4)^17))*IF(S154+IF($B$1+17&lt;=$B154,12*$B$9,-12*MAX(0,$B$8-IF($B$1+17&gt;=$B$23,$B$22,0))*(1+$B$4)^17)&gt;0,1+$B$3,1))</f>
        <v/>
      </c>
      <c r="U154">
        <f>IF($B$1+18&gt;90,T154,(T154+IF($B$1+18&lt;=$B154,12*$B$9,-12*MAX(0,$B$8-IF($B$1+18&gt;=$B$23,$B$22,0))*(1+$B$4)^18))*IF(T154+IF($B$1+18&lt;=$B154,12*$B$9,-12*MAX(0,$B$8-IF($B$1+18&gt;=$B$23,$B$22,0))*(1+$B$4)^18)&gt;0,1+$B$3,1))</f>
        <v/>
      </c>
      <c r="V154">
        <f>IF($B$1+19&gt;90,U154,(U154+IF($B$1+19&lt;=$B154,12*$B$9,-12*MAX(0,$B$8-IF($B$1+19&gt;=$B$23,$B$22,0))*(1+$B$4)^19))*IF(U154+IF($B$1+19&lt;=$B154,12*$B$9,-12*MAX(0,$B$8-IF($B$1+19&gt;=$B$23,$B$22,0))*(1+$B$4)^19)&gt;0,1+$B$3,1))</f>
        <v/>
      </c>
      <c r="W154">
        <f>IF($B$1+20&gt;90,V154,(V154+IF($B$1+20&lt;=$B154,12*$B$9,-12*MAX(0,$B$8-IF($B$1+20&gt;=$B$23,$B$22,0))*(1+$B$4)^20))*IF(V154+IF($B$1+20&lt;=$B154,12*$B$9,-12*MAX(0,$B$8-IF($B$1+20&gt;=$B$23,$B$22,0))*(1+$B$4)^20)&gt;0,1+$B$3,1))</f>
        <v/>
      </c>
      <c r="X154">
        <f>IF($B$1+21&gt;90,W154,(W154+IF($B$1+21&lt;=$B154,12*$B$9,-12*MAX(0,$B$8-IF($B$1+21&gt;=$B$23,$B$22,0))*(1+$B$4)^21))*IF(W154+IF($B$1+21&lt;=$B154,12*$B$9,-12*MAX(0,$B$8-IF($B$1+21&gt;=$B$23,$B$22,0))*(1+$B$4)^21)&gt;0,1+$B$3,1))</f>
        <v/>
      </c>
      <c r="Y154">
        <f>IF($B$1+22&gt;90,X154,(X154+IF($B$1+22&lt;=$B154,12*$B$9,-12*MAX(0,$B$8-IF($B$1+22&gt;=$B$23,$B$22,0))*(1+$B$4)^22))*IF(X154+IF($B$1+22&lt;=$B154,12*$B$9,-12*MAX(0,$B$8-IF($B$1+22&gt;=$B$23,$B$22,0))*(1+$B$4)^22)&gt;0,1+$B$3,1))</f>
        <v/>
      </c>
      <c r="Z154">
        <f>IF($B$1+23&gt;90,Y154,(Y154+IF($B$1+23&lt;=$B154,12*$B$9,-12*MAX(0,$B$8-IF($B$1+23&gt;=$B$23,$B$22,0))*(1+$B$4)^23))*IF(Y154+IF($B$1+23&lt;=$B154,12*$B$9,-12*MAX(0,$B$8-IF($B$1+23&gt;=$B$23,$B$22,0))*(1+$B$4)^23)&gt;0,1+$B$3,1))</f>
        <v/>
      </c>
      <c r="AA154">
        <f>IF($B$1+24&gt;90,Z154,(Z154+IF($B$1+24&lt;=$B154,12*$B$9,-12*MAX(0,$B$8-IF($B$1+24&gt;=$B$23,$B$22,0))*(1+$B$4)^24))*IF(Z154+IF($B$1+24&lt;=$B154,12*$B$9,-12*MAX(0,$B$8-IF($B$1+24&gt;=$B$23,$B$22,0))*(1+$B$4)^24)&gt;0,1+$B$3,1))</f>
        <v/>
      </c>
      <c r="AB154">
        <f>IF($B$1+25&gt;90,AA154,(AA154+IF($B$1+25&lt;=$B154,12*$B$9,-12*MAX(0,$B$8-IF($B$1+25&gt;=$B$23,$B$22,0))*(1+$B$4)^25))*IF(AA154+IF($B$1+25&lt;=$B154,12*$B$9,-12*MAX(0,$B$8-IF($B$1+25&gt;=$B$23,$B$22,0))*(1+$B$4)^25)&gt;0,1+$B$3,1))</f>
        <v/>
      </c>
      <c r="AC154">
        <f>IF($B$1+26&gt;90,AB154,(AB154+IF($B$1+26&lt;=$B154,12*$B$9,-12*MAX(0,$B$8-IF($B$1+26&gt;=$B$23,$B$22,0))*(1+$B$4)^26))*IF(AB154+IF($B$1+26&lt;=$B154,12*$B$9,-12*MAX(0,$B$8-IF($B$1+26&gt;=$B$23,$B$22,0))*(1+$B$4)^26)&gt;0,1+$B$3,1))</f>
        <v/>
      </c>
      <c r="AD154">
        <f>IF($B$1+27&gt;90,AC154,(AC154+IF($B$1+27&lt;=$B154,12*$B$9,-12*MAX(0,$B$8-IF($B$1+27&gt;=$B$23,$B$22,0))*(1+$B$4)^27))*IF(AC154+IF($B$1+27&lt;=$B154,12*$B$9,-12*MAX(0,$B$8-IF($B$1+27&gt;=$B$23,$B$22,0))*(1+$B$4)^27)&gt;0,1+$B$3,1))</f>
        <v/>
      </c>
      <c r="AE154">
        <f>IF($B$1+28&gt;90,AD154,(AD154+IF($B$1+28&lt;=$B154,12*$B$9,-12*MAX(0,$B$8-IF($B$1+28&gt;=$B$23,$B$22,0))*(1+$B$4)^28))*IF(AD154+IF($B$1+28&lt;=$B154,12*$B$9,-12*MAX(0,$B$8-IF($B$1+28&gt;=$B$23,$B$22,0))*(1+$B$4)^28)&gt;0,1+$B$3,1))</f>
        <v/>
      </c>
      <c r="AF154">
        <f>IF($B$1+29&gt;90,AE154,(AE154+IF($B$1+29&lt;=$B154,12*$B$9,-12*MAX(0,$B$8-IF($B$1+29&gt;=$B$23,$B$22,0))*(1+$B$4)^29))*IF(AE154+IF($B$1+29&lt;=$B154,12*$B$9,-12*MAX(0,$B$8-IF($B$1+29&gt;=$B$23,$B$22,0))*(1+$B$4)^29)&gt;0,1+$B$3,1))</f>
        <v/>
      </c>
      <c r="AG154">
        <f>IF($B$1+30&gt;90,AF154,(AF154+IF($B$1+30&lt;=$B154,12*$B$9,-12*MAX(0,$B$8-IF($B$1+30&gt;=$B$23,$B$22,0))*(1+$B$4)^30))*IF(AF154+IF($B$1+30&lt;=$B154,12*$B$9,-12*MAX(0,$B$8-IF($B$1+30&gt;=$B$23,$B$22,0))*(1+$B$4)^30)&gt;0,1+$B$3,1))</f>
        <v/>
      </c>
      <c r="AH154">
        <f>IF($B$1+31&gt;90,AG154,(AG154+IF($B$1+31&lt;=$B154,12*$B$9,-12*MAX(0,$B$8-IF($B$1+31&gt;=$B$23,$B$22,0))*(1+$B$4)^31))*IF(AG154+IF($B$1+31&lt;=$B154,12*$B$9,-12*MAX(0,$B$8-IF($B$1+31&gt;=$B$23,$B$22,0))*(1+$B$4)^31)&gt;0,1+$B$3,1))</f>
        <v/>
      </c>
      <c r="AI154">
        <f>IF($B$1+32&gt;90,AH154,(AH154+IF($B$1+32&lt;=$B154,12*$B$9,-12*MAX(0,$B$8-IF($B$1+32&gt;=$B$23,$B$22,0))*(1+$B$4)^32))*IF(AH154+IF($B$1+32&lt;=$B154,12*$B$9,-12*MAX(0,$B$8-IF($B$1+32&gt;=$B$23,$B$22,0))*(1+$B$4)^32)&gt;0,1+$B$3,1))</f>
        <v/>
      </c>
      <c r="AJ154">
        <f>IF($B$1+33&gt;90,AI154,(AI154+IF($B$1+33&lt;=$B154,12*$B$9,-12*MAX(0,$B$8-IF($B$1+33&gt;=$B$23,$B$22,0))*(1+$B$4)^33))*IF(AI154+IF($B$1+33&lt;=$B154,12*$B$9,-12*MAX(0,$B$8-IF($B$1+33&gt;=$B$23,$B$22,0))*(1+$B$4)^33)&gt;0,1+$B$3,1))</f>
        <v/>
      </c>
      <c r="AK154">
        <f>IF($B$1+34&gt;90,AJ154,(AJ154+IF($B$1+34&lt;=$B154,12*$B$9,-12*MAX(0,$B$8-IF($B$1+34&gt;=$B$23,$B$22,0))*(1+$B$4)^34))*IF(AJ154+IF($B$1+34&lt;=$B154,12*$B$9,-12*MAX(0,$B$8-IF($B$1+34&gt;=$B$23,$B$22,0))*(1+$B$4)^34)&gt;0,1+$B$3,1))</f>
        <v/>
      </c>
      <c r="AL154">
        <f>IF($B$1+35&gt;90,AK154,(AK154+IF($B$1+35&lt;=$B154,12*$B$9,-12*MAX(0,$B$8-IF($B$1+35&gt;=$B$23,$B$22,0))*(1+$B$4)^35))*IF(AK154+IF($B$1+35&lt;=$B154,12*$B$9,-12*MAX(0,$B$8-IF($B$1+35&gt;=$B$23,$B$22,0))*(1+$B$4)^35)&gt;0,1+$B$3,1))</f>
        <v/>
      </c>
      <c r="AM154">
        <f>IF($B$1+36&gt;90,AL154,(AL154+IF($B$1+36&lt;=$B154,12*$B$9,-12*MAX(0,$B$8-IF($B$1+36&gt;=$B$23,$B$22,0))*(1+$B$4)^36))*IF(AL154+IF($B$1+36&lt;=$B154,12*$B$9,-12*MAX(0,$B$8-IF($B$1+36&gt;=$B$23,$B$22,0))*(1+$B$4)^36)&gt;0,1+$B$3,1))</f>
        <v/>
      </c>
      <c r="AN154">
        <f>IF($B$1+37&gt;90,AM154,(AM154+IF($B$1+37&lt;=$B154,12*$B$9,-12*MAX(0,$B$8-IF($B$1+37&gt;=$B$23,$B$22,0))*(1+$B$4)^37))*IF(AM154+IF($B$1+37&lt;=$B154,12*$B$9,-12*MAX(0,$B$8-IF($B$1+37&gt;=$B$23,$B$22,0))*(1+$B$4)^37)&gt;0,1+$B$3,1))</f>
        <v/>
      </c>
      <c r="AO154">
        <f>IF($B$1+38&gt;90,AN154,(AN154+IF($B$1+38&lt;=$B154,12*$B$9,-12*MAX(0,$B$8-IF($B$1+38&gt;=$B$23,$B$22,0))*(1+$B$4)^38))*IF(AN154+IF($B$1+38&lt;=$B154,12*$B$9,-12*MAX(0,$B$8-IF($B$1+38&gt;=$B$23,$B$22,0))*(1+$B$4)^38)&gt;0,1+$B$3,1))</f>
        <v/>
      </c>
      <c r="AP154">
        <f>IF($B$1+39&gt;90,AO154,(AO154+IF($B$1+39&lt;=$B154,12*$B$9,-12*MAX(0,$B$8-IF($B$1+39&gt;=$B$23,$B$22,0))*(1+$B$4)^39))*IF(AO154+IF($B$1+39&lt;=$B154,12*$B$9,-12*MAX(0,$B$8-IF($B$1+39&gt;=$B$23,$B$22,0))*(1+$B$4)^39)&gt;0,1+$B$3,1))</f>
        <v/>
      </c>
      <c r="AQ154">
        <f>IF($B$1+40&gt;90,AP154,(AP154+IF($B$1+40&lt;=$B154,12*$B$9,-12*MAX(0,$B$8-IF($B$1+40&gt;=$B$23,$B$22,0))*(1+$B$4)^40))*IF(AP154+IF($B$1+40&lt;=$B154,12*$B$9,-12*MAX(0,$B$8-IF($B$1+40&gt;=$B$23,$B$22,0))*(1+$B$4)^40)&gt;0,1+$B$3,1))</f>
        <v/>
      </c>
      <c r="AR154">
        <f>IF($B$1+41&gt;90,AQ154,(AQ154+IF($B$1+41&lt;=$B154,12*$B$9,-12*MAX(0,$B$8-IF($B$1+41&gt;=$B$23,$B$22,0))*(1+$B$4)^41))*IF(AQ154+IF($B$1+41&lt;=$B154,12*$B$9,-12*MAX(0,$B$8-IF($B$1+41&gt;=$B$23,$B$22,0))*(1+$B$4)^41)&gt;0,1+$B$3,1))</f>
        <v/>
      </c>
      <c r="AS154">
        <f>IF($B$1+42&gt;90,AR154,(AR154+IF($B$1+42&lt;=$B154,12*$B$9,-12*MAX(0,$B$8-IF($B$1+42&gt;=$B$23,$B$22,0))*(1+$B$4)^42))*IF(AR154+IF($B$1+42&lt;=$B154,12*$B$9,-12*MAX(0,$B$8-IF($B$1+42&gt;=$B$23,$B$22,0))*(1+$B$4)^42)&gt;0,1+$B$3,1))</f>
        <v/>
      </c>
      <c r="AT154">
        <f>IF($B$1+43&gt;90,AS154,(AS154+IF($B$1+43&lt;=$B154,12*$B$9,-12*MAX(0,$B$8-IF($B$1+43&gt;=$B$23,$B$22,0))*(1+$B$4)^43))*IF(AS154+IF($B$1+43&lt;=$B154,12*$B$9,-12*MAX(0,$B$8-IF($B$1+43&gt;=$B$23,$B$22,0))*(1+$B$4)^43)&gt;0,1+$B$3,1))</f>
        <v/>
      </c>
      <c r="AU154">
        <f>IF($B$1+44&gt;90,AT154,(AT154+IF($B$1+44&lt;=$B154,12*$B$9,-12*MAX(0,$B$8-IF($B$1+44&gt;=$B$23,$B$22,0))*(1+$B$4)^44))*IF(AT154+IF($B$1+44&lt;=$B154,12*$B$9,-12*MAX(0,$B$8-IF($B$1+44&gt;=$B$23,$B$22,0))*(1+$B$4)^44)&gt;0,1+$B$3,1))</f>
        <v/>
      </c>
      <c r="AV154">
        <f>IF($B$1+45&gt;90,AU154,(AU154+IF($B$1+45&lt;=$B154,12*$B$9,-12*MAX(0,$B$8-IF($B$1+45&gt;=$B$23,$B$22,0))*(1+$B$4)^45))*IF(AU154+IF($B$1+45&lt;=$B154,12*$B$9,-12*MAX(0,$B$8-IF($B$1+45&gt;=$B$23,$B$22,0))*(1+$B$4)^45)&gt;0,1+$B$3,1))</f>
        <v/>
      </c>
      <c r="AW154">
        <f>IF($B$1+46&gt;90,AV154,(AV154+IF($B$1+46&lt;=$B154,12*$B$9,-12*MAX(0,$B$8-IF($B$1+46&gt;=$B$23,$B$22,0))*(1+$B$4)^46))*IF(AV154+IF($B$1+46&lt;=$B154,12*$B$9,-12*MAX(0,$B$8-IF($B$1+46&gt;=$B$23,$B$22,0))*(1+$B$4)^46)&gt;0,1+$B$3,1))</f>
        <v/>
      </c>
      <c r="AX154">
        <f>IF($B$1+47&gt;90,AW154,(AW154+IF($B$1+47&lt;=$B154,12*$B$9,-12*MAX(0,$B$8-IF($B$1+47&gt;=$B$23,$B$22,0))*(1+$B$4)^47))*IF(AW154+IF($B$1+47&lt;=$B154,12*$B$9,-12*MAX(0,$B$8-IF($B$1+47&gt;=$B$23,$B$22,0))*(1+$B$4)^47)&gt;0,1+$B$3,1))</f>
        <v/>
      </c>
      <c r="AY154">
        <f>IF($B$1+48&gt;90,AX154,(AX154+IF($B$1+48&lt;=$B154,12*$B$9,-12*MAX(0,$B$8-IF($B$1+48&gt;=$B$23,$B$22,0))*(1+$B$4)^48))*IF(AX154+IF($B$1+48&lt;=$B154,12*$B$9,-12*MAX(0,$B$8-IF($B$1+48&gt;=$B$23,$B$22,0))*(1+$B$4)^48)&gt;0,1+$B$3,1))</f>
        <v/>
      </c>
      <c r="AZ154">
        <f>IF($B$1+49&gt;90,AY154,(AY154+IF($B$1+49&lt;=$B154,12*$B$9,-12*MAX(0,$B$8-IF($B$1+49&gt;=$B$23,$B$22,0))*(1+$B$4)^49))*IF(AY154+IF($B$1+49&lt;=$B154,12*$B$9,-12*MAX(0,$B$8-IF($B$1+49&gt;=$B$23,$B$22,0))*(1+$B$4)^49)&gt;0,1+$B$3,1))</f>
        <v/>
      </c>
      <c r="BA154">
        <f>IF($B$1+50&gt;90,AZ154,(AZ154+IF($B$1+50&lt;=$B154,12*$B$9,-12*MAX(0,$B$8-IF($B$1+50&gt;=$B$23,$B$22,0))*(1+$B$4)^50))*IF(AZ154+IF($B$1+50&lt;=$B154,12*$B$9,-12*MAX(0,$B$8-IF($B$1+50&gt;=$B$23,$B$22,0))*(1+$B$4)^50)&gt;0,1+$B$3,1))</f>
        <v/>
      </c>
      <c r="BB154">
        <f>IF($B$1+51&gt;90,BA154,(BA154+IF($B$1+51&lt;=$B154,12*$B$9,-12*MAX(0,$B$8-IF($B$1+51&gt;=$B$23,$B$22,0))*(1+$B$4)^51))*IF(BA154+IF($B$1+51&lt;=$B154,12*$B$9,-12*MAX(0,$B$8-IF($B$1+51&gt;=$B$23,$B$22,0))*(1+$B$4)^51)&gt;0,1+$B$3,1))</f>
        <v/>
      </c>
      <c r="BC154">
        <f>IF($B$1+52&gt;90,BB154,(BB154+IF($B$1+52&lt;=$B154,12*$B$9,-12*MAX(0,$B$8-IF($B$1+52&gt;=$B$23,$B$22,0))*(1+$B$4)^52))*IF(BB154+IF($B$1+52&lt;=$B154,12*$B$9,-12*MAX(0,$B$8-IF($B$1+52&gt;=$B$23,$B$22,0))*(1+$B$4)^52)&gt;0,1+$B$3,1))</f>
        <v/>
      </c>
      <c r="BD154">
        <f>IF($B$1+53&gt;90,BC154,(BC154+IF($B$1+53&lt;=$B154,12*$B$9,-12*MAX(0,$B$8-IF($B$1+53&gt;=$B$23,$B$22,0))*(1+$B$4)^53))*IF(BC154+IF($B$1+53&lt;=$B154,12*$B$9,-12*MAX(0,$B$8-IF($B$1+53&gt;=$B$23,$B$22,0))*(1+$B$4)^53)&gt;0,1+$B$3,1))</f>
        <v/>
      </c>
      <c r="BE154">
        <f>IF($B$1+54&gt;90,BD154,(BD154+IF($B$1+54&lt;=$B154,12*$B$9,-12*MAX(0,$B$8-IF($B$1+54&gt;=$B$23,$B$22,0))*(1+$B$4)^54))*IF(BD154+IF($B$1+54&lt;=$B154,12*$B$9,-12*MAX(0,$B$8-IF($B$1+54&gt;=$B$23,$B$22,0))*(1+$B$4)^54)&gt;0,1+$B$3,1))</f>
        <v/>
      </c>
      <c r="BF154">
        <f>IF($B$1+55&gt;90,BE154,(BE154+IF($B$1+55&lt;=$B154,12*$B$9,-12*MAX(0,$B$8-IF($B$1+55&gt;=$B$23,$B$22,0))*(1+$B$4)^55))*IF(BE154+IF($B$1+55&lt;=$B154,12*$B$9,-12*MAX(0,$B$8-IF($B$1+55&gt;=$B$23,$B$22,0))*(1+$B$4)^55)&gt;0,1+$B$3,1))</f>
        <v/>
      </c>
      <c r="BG154">
        <f>IF($B$1+56&gt;90,BF154,(BF154+IF($B$1+56&lt;=$B154,12*$B$9,-12*MAX(0,$B$8-IF($B$1+56&gt;=$B$23,$B$22,0))*(1+$B$4)^56))*IF(BF154+IF($B$1+56&lt;=$B154,12*$B$9,-12*MAX(0,$B$8-IF($B$1+56&gt;=$B$23,$B$22,0))*(1+$B$4)^56)&gt;0,1+$B$3,1))</f>
        <v/>
      </c>
      <c r="BH154">
        <f>IF($B$1+57&gt;90,BG154,(BG154+IF($B$1+57&lt;=$B154,12*$B$9,-12*MAX(0,$B$8-IF($B$1+57&gt;=$B$23,$B$22,0))*(1+$B$4)^57))*IF(BG154+IF($B$1+57&lt;=$B154,12*$B$9,-12*MAX(0,$B$8-IF($B$1+57&gt;=$B$23,$B$22,0))*(1+$B$4)^57)&gt;0,1+$B$3,1))</f>
        <v/>
      </c>
      <c r="BI154">
        <f>IF($B$1+58&gt;90,BH154,(BH154+IF($B$1+58&lt;=$B154,12*$B$9,-12*MAX(0,$B$8-IF($B$1+58&gt;=$B$23,$B$22,0))*(1+$B$4)^58))*IF(BH154+IF($B$1+58&lt;=$B154,12*$B$9,-12*MAX(0,$B$8-IF($B$1+58&gt;=$B$23,$B$22,0))*(1+$B$4)^58)&gt;0,1+$B$3,1))</f>
        <v/>
      </c>
      <c r="BJ154">
        <f>IF($B$1+59&gt;90,BI154,(BI154+IF($B$1+59&lt;=$B154,12*$B$9,-12*MAX(0,$B$8-IF($B$1+59&gt;=$B$23,$B$22,0))*(1+$B$4)^59))*IF(BI154+IF($B$1+59&lt;=$B154,12*$B$9,-12*MAX(0,$B$8-IF($B$1+59&gt;=$B$23,$B$22,0))*(1+$B$4)^59)&gt;0,1+$B$3,1))</f>
        <v/>
      </c>
      <c r="BK154">
        <f>IF($B$1+60&gt;90,BJ154,(BJ154+IF($B$1+60&lt;=$B154,12*$B$9,-12*MAX(0,$B$8-IF($B$1+60&gt;=$B$23,$B$22,0))*(1+$B$4)^60))*IF(BJ154+IF($B$1+60&lt;=$B154,12*$B$9,-12*MAX(0,$B$8-IF($B$1+60&gt;=$B$23,$B$22,0))*(1+$B$4)^60)&gt;0,1+$B$3,1))</f>
        <v/>
      </c>
      <c r="BL154">
        <f>IF($B$1+61&gt;90,BK154,(BK154+IF($B$1+61&lt;=$B154,12*$B$9,-12*MAX(0,$B$8-IF($B$1+61&gt;=$B$23,$B$22,0))*(1+$B$4)^61))*IF(BK154+IF($B$1+61&lt;=$B154,12*$B$9,-12*MAX(0,$B$8-IF($B$1+61&gt;=$B$23,$B$22,0))*(1+$B$4)^61)&gt;0,1+$B$3,1))</f>
        <v/>
      </c>
      <c r="BM154">
        <f>IF($B$1+62&gt;90,BL154,(BL154+IF($B$1+62&lt;=$B154,12*$B$9,-12*MAX(0,$B$8-IF($B$1+62&gt;=$B$23,$B$22,0))*(1+$B$4)^62))*IF(BL154+IF($B$1+62&lt;=$B154,12*$B$9,-12*MAX(0,$B$8-IF($B$1+62&gt;=$B$23,$B$22,0))*(1+$B$4)^62)&gt;0,1+$B$3,1))</f>
        <v/>
      </c>
      <c r="BN154">
        <f>IF($B$1+63&gt;90,BM154,(BM154+IF($B$1+63&lt;=$B154,12*$B$9,-12*MAX(0,$B$8-IF($B$1+63&gt;=$B$23,$B$22,0))*(1+$B$4)^63))*IF(BM154+IF($B$1+63&lt;=$B154,12*$B$9,-12*MAX(0,$B$8-IF($B$1+63&gt;=$B$23,$B$22,0))*(1+$B$4)^63)&gt;0,1+$B$3,1))</f>
        <v/>
      </c>
      <c r="BO154">
        <f>IF($B$1+64&gt;90,BN154,(BN154+IF($B$1+64&lt;=$B154,12*$B$9,-12*MAX(0,$B$8-IF($B$1+64&gt;=$B$23,$B$22,0))*(1+$B$4)^64))*IF(BN154+IF($B$1+64&lt;=$B154,12*$B$9,-12*MAX(0,$B$8-IF($B$1+64&gt;=$B$23,$B$22,0))*(1+$B$4)^64)&gt;0,1+$B$3,1))</f>
        <v/>
      </c>
      <c r="BP154">
        <f>IF($B$1+65&gt;90,BO154,(BO154+IF($B$1+65&lt;=$B154,12*$B$9,-12*MAX(0,$B$8-IF($B$1+65&gt;=$B$23,$B$22,0))*(1+$B$4)^65))*IF(BO154+IF($B$1+65&lt;=$B154,12*$B$9,-12*MAX(0,$B$8-IF($B$1+65&gt;=$B$23,$B$22,0))*(1+$B$4)^65)&gt;0,1+$B$3,1))</f>
        <v/>
      </c>
      <c r="BQ154">
        <f>IF($B$1+66&gt;90,BP154,(BP154+IF($B$1+66&lt;=$B154,12*$B$9,-12*MAX(0,$B$8-IF($B$1+66&gt;=$B$23,$B$22,0))*(1+$B$4)^66))*IF(BP154+IF($B$1+66&lt;=$B154,12*$B$9,-12*MAX(0,$B$8-IF($B$1+66&gt;=$B$23,$B$22,0))*(1+$B$4)^66)&gt;0,1+$B$3,1))</f>
        <v/>
      </c>
      <c r="BR154">
        <f>IF($B$1+67&gt;90,BQ154,(BQ154+IF($B$1+67&lt;=$B154,12*$B$9,-12*MAX(0,$B$8-IF($B$1+67&gt;=$B$23,$B$22,0))*(1+$B$4)^67))*IF(BQ154+IF($B$1+67&lt;=$B154,12*$B$9,-12*MAX(0,$B$8-IF($B$1+67&gt;=$B$23,$B$22,0))*(1+$B$4)^67)&gt;0,1+$B$3,1))</f>
        <v/>
      </c>
      <c r="BS154">
        <f>IF($B$1+68&gt;90,BR154,(BR154+IF($B$1+68&lt;=$B154,12*$B$9,-12*MAX(0,$B$8-IF($B$1+68&gt;=$B$23,$B$22,0))*(1+$B$4)^68))*IF(BR154+IF($B$1+68&lt;=$B154,12*$B$9,-12*MAX(0,$B$8-IF($B$1+68&gt;=$B$23,$B$22,0))*(1+$B$4)^68)&gt;0,1+$B$3,1))</f>
        <v/>
      </c>
      <c r="BT154">
        <f>IF($B$1+69&gt;90,BS154,(BS154+IF($B$1+69&lt;=$B154,12*$B$9,-12*MAX(0,$B$8-IF($B$1+69&gt;=$B$23,$B$22,0))*(1+$B$4)^69))*IF(BS154+IF($B$1+69&lt;=$B154,12*$B$9,-12*MAX(0,$B$8-IF($B$1+69&gt;=$B$23,$B$22,0))*(1+$B$4)^69)&gt;0,1+$B$3,1))</f>
        <v/>
      </c>
      <c r="BU154">
        <f>IF($B$1+70&gt;90,BT154,(BT154+IF($B$1+70&lt;=$B154,12*$B$9,-12*MAX(0,$B$8-IF($B$1+70&gt;=$B$23,$B$22,0))*(1+$B$4)^70))*IF(BT154+IF($B$1+70&lt;=$B154,12*$B$9,-12*MAX(0,$B$8-IF($B$1+70&gt;=$B$23,$B$22,0))*(1+$B$4)^70)&gt;0,1+$B$3,1))</f>
        <v/>
      </c>
      <c r="BV154">
        <f>BU154</f>
        <v/>
      </c>
      <c r="BW154">
        <f>IF(AND($B154&lt;=70,BV154&gt;0),$B154,999)</f>
        <v/>
      </c>
      <c r="CH154">
        <f>IF(ISTEXT('월 가계부'!A154),SUBSTITUTE(SUBSTITUTE(SUBSTITUTE(SUBSTITUTE(SUBSTITUTE(SUBSTITUTE(SUBSTITUTE(SUBSTITUTE(SUBSTITUTE(TRIM('월 가계부'!A154),"년","-"),"월","-"),"일",""),".","-"),"/","-")," ","-"),"--","-"),"--","-"),"--","-")&amp;"-","")</f>
        <v/>
      </c>
      <c r="CI154">
        <f>IFERROR(IF('월 가계부'!A154="","",IF(ISNUMBER('월 가계부'!A154),IF(AND('월 가계부'!A154&gt;=19000101,'월 가계부'!A154&lt;=21001231),IF(AND(MOD(INT('월 가계부'!A154/100),100)&gt;=1,MOD(INT('월 가계부'!A154/100),100)&lt;=12,MOD(INT('월 가계부'!A154),100)&gt;=1,MOD(INT('월 가계부'!A154),100)&lt;=31),IF(MONTH(DATE(INT('월 가계부'!A154/10000),MOD(INT('월 가계부'!A154/100),100),MOD(INT('월 가계부'!A154),100)))=MOD(INT('월 가계부'!A154/100),100),DATE(INT('월 가계부'!A154/10000),MOD(INT('월 가계부'!A154/100),100),MOD(INT('월 가계부'!A154),100)),""),""),IF(AND('월 가계부'!A154&gt;=36526,'월 가계부'!A154&lt;73051),INT('월 가계부'!A154),"")),IF(OR(CM154="",CN154="",CO154=""),"",IF(AND(CM154&gt;=2000,CM154&lt;=2099,CN154&gt;=1,CN154&lt;=12,CO154&gt;=1,CO154&lt;=31),IF(MONTH(DATE(CM154,CN154,CO154))=CN154,DATE(CM154,CN154,CO154),""),"")))),"")</f>
        <v/>
      </c>
      <c r="CJ154">
        <f>IFERROR(IF('월 가계부'!C154="","",IF(ISNUMBER('월 가계부'!C154),'월 가계부'!C154,VALUE(SUBSTITUTE(SUBSTITUTE(SUBSTITUTE(SUBSTITUTE(TRIM('월 가계부'!C154),",",""),"원","")," ",""),"−","-")))),"")</f>
        <v/>
      </c>
      <c r="CK154">
        <f>IF(ISNUMBER(CI154),IF(CI154&lt;$B$13,CI154,""),"")</f>
        <v/>
      </c>
      <c r="CM154">
        <f>IF(CH154="","",IFERROR(IF(IF(AND(LEN(CH154)=9,ISERROR(FIND("-",LEFT(CH154,8))),ISNUMBER(-LEFT(CH154,8))),VALUE(LEFT(CH154,4)),VALUE(LEFT(CH154,FIND("-",CH154)-1)))&lt;100,IF(AND(LEN(CH154)=9,ISERROR(FIND("-",LEFT(CH154,8))),ISNUMBER(-LEFT(CH154,8))),VALUE(LEFT(CH154,4)),VALUE(LEFT(CH154,FIND("-",CH154)-1)))+2000,IF(AND(LEN(CH154)=9,ISERROR(FIND("-",LEFT(CH154,8))),ISNUMBER(-LEFT(CH154,8))),VALUE(LEFT(CH154,4)),VALUE(LEFT(CH154,FIND("-",CH154)-1)))),""))</f>
        <v/>
      </c>
      <c r="CN154">
        <f>IF(CH154="","",IFERROR(IF(AND(LEN(CH154)=9,ISERROR(FIND("-",LEFT(CH154,8))),ISNUMBER(-LEFT(CH154,8))),VALUE(MID(CH154,5,2)),VALUE(MID(CH154,FIND("-",CH154)+1,FIND("-",CH154,FIND("-",CH154)+1)-FIND("-",CH154)-1))),""))</f>
        <v/>
      </c>
      <c r="CO154">
        <f>IF(CH154="","",IFERROR(IF(AND(LEN(CH154)=9,ISERROR(FIND("-",LEFT(CH154,8))),ISNUMBER(-LEFT(CH154,8))),VALUE(MID(CH154,7,2)),VALUE(MID(CH154,FIND("-",CH154,FIND("-",CH154)+1)+1,FIND("-",CH154,FIND("-",CH154,FIND("-",CH154)+1)+1)-FIND("-",CH154,FIND("-",CH154)+1)-1))),""))</f>
        <v/>
      </c>
    </row>
    <row r="155">
      <c r="A155" t="n">
        <v>3</v>
      </c>
      <c r="B155">
        <f>$B$1+3</f>
        <v/>
      </c>
      <c r="C155">
        <f>$B$2</f>
        <v/>
      </c>
      <c r="D155">
        <f>IF($B$1+1&gt;90,C155,(C155+IF($B$1+1&lt;=$B155,12*$B$9,-12*MAX(0,$B$8-IF($B$1+1&gt;=$B$23,$B$22,0))*(1+$B$4)^1))*IF(C155+IF($B$1+1&lt;=$B155,12*$B$9,-12*MAX(0,$B$8-IF($B$1+1&gt;=$B$23,$B$22,0))*(1+$B$4)^1)&gt;0,1+$B$3,1))</f>
        <v/>
      </c>
      <c r="E155">
        <f>IF($B$1+2&gt;90,D155,(D155+IF($B$1+2&lt;=$B155,12*$B$9,-12*MAX(0,$B$8-IF($B$1+2&gt;=$B$23,$B$22,0))*(1+$B$4)^2))*IF(D155+IF($B$1+2&lt;=$B155,12*$B$9,-12*MAX(0,$B$8-IF($B$1+2&gt;=$B$23,$B$22,0))*(1+$B$4)^2)&gt;0,1+$B$3,1))</f>
        <v/>
      </c>
      <c r="F155">
        <f>IF($B$1+3&gt;90,E155,(E155+IF($B$1+3&lt;=$B155,12*$B$9,-12*MAX(0,$B$8-IF($B$1+3&gt;=$B$23,$B$22,0))*(1+$B$4)^3))*IF(E155+IF($B$1+3&lt;=$B155,12*$B$9,-12*MAX(0,$B$8-IF($B$1+3&gt;=$B$23,$B$22,0))*(1+$B$4)^3)&gt;0,1+$B$3,1))</f>
        <v/>
      </c>
      <c r="G155">
        <f>IF($B$1+4&gt;90,F155,(F155+IF($B$1+4&lt;=$B155,12*$B$9,-12*MAX(0,$B$8-IF($B$1+4&gt;=$B$23,$B$22,0))*(1+$B$4)^4))*IF(F155+IF($B$1+4&lt;=$B155,12*$B$9,-12*MAX(0,$B$8-IF($B$1+4&gt;=$B$23,$B$22,0))*(1+$B$4)^4)&gt;0,1+$B$3,1))</f>
        <v/>
      </c>
      <c r="H155">
        <f>IF($B$1+5&gt;90,G155,(G155+IF($B$1+5&lt;=$B155,12*$B$9,-12*MAX(0,$B$8-IF($B$1+5&gt;=$B$23,$B$22,0))*(1+$B$4)^5))*IF(G155+IF($B$1+5&lt;=$B155,12*$B$9,-12*MAX(0,$B$8-IF($B$1+5&gt;=$B$23,$B$22,0))*(1+$B$4)^5)&gt;0,1+$B$3,1))</f>
        <v/>
      </c>
      <c r="I155">
        <f>IF($B$1+6&gt;90,H155,(H155+IF($B$1+6&lt;=$B155,12*$B$9,-12*MAX(0,$B$8-IF($B$1+6&gt;=$B$23,$B$22,0))*(1+$B$4)^6))*IF(H155+IF($B$1+6&lt;=$B155,12*$B$9,-12*MAX(0,$B$8-IF($B$1+6&gt;=$B$23,$B$22,0))*(1+$B$4)^6)&gt;0,1+$B$3,1))</f>
        <v/>
      </c>
      <c r="J155">
        <f>IF($B$1+7&gt;90,I155,(I155+IF($B$1+7&lt;=$B155,12*$B$9,-12*MAX(0,$B$8-IF($B$1+7&gt;=$B$23,$B$22,0))*(1+$B$4)^7))*IF(I155+IF($B$1+7&lt;=$B155,12*$B$9,-12*MAX(0,$B$8-IF($B$1+7&gt;=$B$23,$B$22,0))*(1+$B$4)^7)&gt;0,1+$B$3,1))</f>
        <v/>
      </c>
      <c r="K155">
        <f>IF($B$1+8&gt;90,J155,(J155+IF($B$1+8&lt;=$B155,12*$B$9,-12*MAX(0,$B$8-IF($B$1+8&gt;=$B$23,$B$22,0))*(1+$B$4)^8))*IF(J155+IF($B$1+8&lt;=$B155,12*$B$9,-12*MAX(0,$B$8-IF($B$1+8&gt;=$B$23,$B$22,0))*(1+$B$4)^8)&gt;0,1+$B$3,1))</f>
        <v/>
      </c>
      <c r="L155">
        <f>IF($B$1+9&gt;90,K155,(K155+IF($B$1+9&lt;=$B155,12*$B$9,-12*MAX(0,$B$8-IF($B$1+9&gt;=$B$23,$B$22,0))*(1+$B$4)^9))*IF(K155+IF($B$1+9&lt;=$B155,12*$B$9,-12*MAX(0,$B$8-IF($B$1+9&gt;=$B$23,$B$22,0))*(1+$B$4)^9)&gt;0,1+$B$3,1))</f>
        <v/>
      </c>
      <c r="M155">
        <f>IF($B$1+10&gt;90,L155,(L155+IF($B$1+10&lt;=$B155,12*$B$9,-12*MAX(0,$B$8-IF($B$1+10&gt;=$B$23,$B$22,0))*(1+$B$4)^10))*IF(L155+IF($B$1+10&lt;=$B155,12*$B$9,-12*MAX(0,$B$8-IF($B$1+10&gt;=$B$23,$B$22,0))*(1+$B$4)^10)&gt;0,1+$B$3,1))</f>
        <v/>
      </c>
      <c r="N155">
        <f>IF($B$1+11&gt;90,M155,(M155+IF($B$1+11&lt;=$B155,12*$B$9,-12*MAX(0,$B$8-IF($B$1+11&gt;=$B$23,$B$22,0))*(1+$B$4)^11))*IF(M155+IF($B$1+11&lt;=$B155,12*$B$9,-12*MAX(0,$B$8-IF($B$1+11&gt;=$B$23,$B$22,0))*(1+$B$4)^11)&gt;0,1+$B$3,1))</f>
        <v/>
      </c>
      <c r="O155">
        <f>IF($B$1+12&gt;90,N155,(N155+IF($B$1+12&lt;=$B155,12*$B$9,-12*MAX(0,$B$8-IF($B$1+12&gt;=$B$23,$B$22,0))*(1+$B$4)^12))*IF(N155+IF($B$1+12&lt;=$B155,12*$B$9,-12*MAX(0,$B$8-IF($B$1+12&gt;=$B$23,$B$22,0))*(1+$B$4)^12)&gt;0,1+$B$3,1))</f>
        <v/>
      </c>
      <c r="P155">
        <f>IF($B$1+13&gt;90,O155,(O155+IF($B$1+13&lt;=$B155,12*$B$9,-12*MAX(0,$B$8-IF($B$1+13&gt;=$B$23,$B$22,0))*(1+$B$4)^13))*IF(O155+IF($B$1+13&lt;=$B155,12*$B$9,-12*MAX(0,$B$8-IF($B$1+13&gt;=$B$23,$B$22,0))*(1+$B$4)^13)&gt;0,1+$B$3,1))</f>
        <v/>
      </c>
      <c r="Q155">
        <f>IF($B$1+14&gt;90,P155,(P155+IF($B$1+14&lt;=$B155,12*$B$9,-12*MAX(0,$B$8-IF($B$1+14&gt;=$B$23,$B$22,0))*(1+$B$4)^14))*IF(P155+IF($B$1+14&lt;=$B155,12*$B$9,-12*MAX(0,$B$8-IF($B$1+14&gt;=$B$23,$B$22,0))*(1+$B$4)^14)&gt;0,1+$B$3,1))</f>
        <v/>
      </c>
      <c r="R155">
        <f>IF($B$1+15&gt;90,Q155,(Q155+IF($B$1+15&lt;=$B155,12*$B$9,-12*MAX(0,$B$8-IF($B$1+15&gt;=$B$23,$B$22,0))*(1+$B$4)^15))*IF(Q155+IF($B$1+15&lt;=$B155,12*$B$9,-12*MAX(0,$B$8-IF($B$1+15&gt;=$B$23,$B$22,0))*(1+$B$4)^15)&gt;0,1+$B$3,1))</f>
        <v/>
      </c>
      <c r="S155">
        <f>IF($B$1+16&gt;90,R155,(R155+IF($B$1+16&lt;=$B155,12*$B$9,-12*MAX(0,$B$8-IF($B$1+16&gt;=$B$23,$B$22,0))*(1+$B$4)^16))*IF(R155+IF($B$1+16&lt;=$B155,12*$B$9,-12*MAX(0,$B$8-IF($B$1+16&gt;=$B$23,$B$22,0))*(1+$B$4)^16)&gt;0,1+$B$3,1))</f>
        <v/>
      </c>
      <c r="T155">
        <f>IF($B$1+17&gt;90,S155,(S155+IF($B$1+17&lt;=$B155,12*$B$9,-12*MAX(0,$B$8-IF($B$1+17&gt;=$B$23,$B$22,0))*(1+$B$4)^17))*IF(S155+IF($B$1+17&lt;=$B155,12*$B$9,-12*MAX(0,$B$8-IF($B$1+17&gt;=$B$23,$B$22,0))*(1+$B$4)^17)&gt;0,1+$B$3,1))</f>
        <v/>
      </c>
      <c r="U155">
        <f>IF($B$1+18&gt;90,T155,(T155+IF($B$1+18&lt;=$B155,12*$B$9,-12*MAX(0,$B$8-IF($B$1+18&gt;=$B$23,$B$22,0))*(1+$B$4)^18))*IF(T155+IF($B$1+18&lt;=$B155,12*$B$9,-12*MAX(0,$B$8-IF($B$1+18&gt;=$B$23,$B$22,0))*(1+$B$4)^18)&gt;0,1+$B$3,1))</f>
        <v/>
      </c>
      <c r="V155">
        <f>IF($B$1+19&gt;90,U155,(U155+IF($B$1+19&lt;=$B155,12*$B$9,-12*MAX(0,$B$8-IF($B$1+19&gt;=$B$23,$B$22,0))*(1+$B$4)^19))*IF(U155+IF($B$1+19&lt;=$B155,12*$B$9,-12*MAX(0,$B$8-IF($B$1+19&gt;=$B$23,$B$22,0))*(1+$B$4)^19)&gt;0,1+$B$3,1))</f>
        <v/>
      </c>
      <c r="W155">
        <f>IF($B$1+20&gt;90,V155,(V155+IF($B$1+20&lt;=$B155,12*$B$9,-12*MAX(0,$B$8-IF($B$1+20&gt;=$B$23,$B$22,0))*(1+$B$4)^20))*IF(V155+IF($B$1+20&lt;=$B155,12*$B$9,-12*MAX(0,$B$8-IF($B$1+20&gt;=$B$23,$B$22,0))*(1+$B$4)^20)&gt;0,1+$B$3,1))</f>
        <v/>
      </c>
      <c r="X155">
        <f>IF($B$1+21&gt;90,W155,(W155+IF($B$1+21&lt;=$B155,12*$B$9,-12*MAX(0,$B$8-IF($B$1+21&gt;=$B$23,$B$22,0))*(1+$B$4)^21))*IF(W155+IF($B$1+21&lt;=$B155,12*$B$9,-12*MAX(0,$B$8-IF($B$1+21&gt;=$B$23,$B$22,0))*(1+$B$4)^21)&gt;0,1+$B$3,1))</f>
        <v/>
      </c>
      <c r="Y155">
        <f>IF($B$1+22&gt;90,X155,(X155+IF($B$1+22&lt;=$B155,12*$B$9,-12*MAX(0,$B$8-IF($B$1+22&gt;=$B$23,$B$22,0))*(1+$B$4)^22))*IF(X155+IF($B$1+22&lt;=$B155,12*$B$9,-12*MAX(0,$B$8-IF($B$1+22&gt;=$B$23,$B$22,0))*(1+$B$4)^22)&gt;0,1+$B$3,1))</f>
        <v/>
      </c>
      <c r="Z155">
        <f>IF($B$1+23&gt;90,Y155,(Y155+IF($B$1+23&lt;=$B155,12*$B$9,-12*MAX(0,$B$8-IF($B$1+23&gt;=$B$23,$B$22,0))*(1+$B$4)^23))*IF(Y155+IF($B$1+23&lt;=$B155,12*$B$9,-12*MAX(0,$B$8-IF($B$1+23&gt;=$B$23,$B$22,0))*(1+$B$4)^23)&gt;0,1+$B$3,1))</f>
        <v/>
      </c>
      <c r="AA155">
        <f>IF($B$1+24&gt;90,Z155,(Z155+IF($B$1+24&lt;=$B155,12*$B$9,-12*MAX(0,$B$8-IF($B$1+24&gt;=$B$23,$B$22,0))*(1+$B$4)^24))*IF(Z155+IF($B$1+24&lt;=$B155,12*$B$9,-12*MAX(0,$B$8-IF($B$1+24&gt;=$B$23,$B$22,0))*(1+$B$4)^24)&gt;0,1+$B$3,1))</f>
        <v/>
      </c>
      <c r="AB155">
        <f>IF($B$1+25&gt;90,AA155,(AA155+IF($B$1+25&lt;=$B155,12*$B$9,-12*MAX(0,$B$8-IF($B$1+25&gt;=$B$23,$B$22,0))*(1+$B$4)^25))*IF(AA155+IF($B$1+25&lt;=$B155,12*$B$9,-12*MAX(0,$B$8-IF($B$1+25&gt;=$B$23,$B$22,0))*(1+$B$4)^25)&gt;0,1+$B$3,1))</f>
        <v/>
      </c>
      <c r="AC155">
        <f>IF($B$1+26&gt;90,AB155,(AB155+IF($B$1+26&lt;=$B155,12*$B$9,-12*MAX(0,$B$8-IF($B$1+26&gt;=$B$23,$B$22,0))*(1+$B$4)^26))*IF(AB155+IF($B$1+26&lt;=$B155,12*$B$9,-12*MAX(0,$B$8-IF($B$1+26&gt;=$B$23,$B$22,0))*(1+$B$4)^26)&gt;0,1+$B$3,1))</f>
        <v/>
      </c>
      <c r="AD155">
        <f>IF($B$1+27&gt;90,AC155,(AC155+IF($B$1+27&lt;=$B155,12*$B$9,-12*MAX(0,$B$8-IF($B$1+27&gt;=$B$23,$B$22,0))*(1+$B$4)^27))*IF(AC155+IF($B$1+27&lt;=$B155,12*$B$9,-12*MAX(0,$B$8-IF($B$1+27&gt;=$B$23,$B$22,0))*(1+$B$4)^27)&gt;0,1+$B$3,1))</f>
        <v/>
      </c>
      <c r="AE155">
        <f>IF($B$1+28&gt;90,AD155,(AD155+IF($B$1+28&lt;=$B155,12*$B$9,-12*MAX(0,$B$8-IF($B$1+28&gt;=$B$23,$B$22,0))*(1+$B$4)^28))*IF(AD155+IF($B$1+28&lt;=$B155,12*$B$9,-12*MAX(0,$B$8-IF($B$1+28&gt;=$B$23,$B$22,0))*(1+$B$4)^28)&gt;0,1+$B$3,1))</f>
        <v/>
      </c>
      <c r="AF155">
        <f>IF($B$1+29&gt;90,AE155,(AE155+IF($B$1+29&lt;=$B155,12*$B$9,-12*MAX(0,$B$8-IF($B$1+29&gt;=$B$23,$B$22,0))*(1+$B$4)^29))*IF(AE155+IF($B$1+29&lt;=$B155,12*$B$9,-12*MAX(0,$B$8-IF($B$1+29&gt;=$B$23,$B$22,0))*(1+$B$4)^29)&gt;0,1+$B$3,1))</f>
        <v/>
      </c>
      <c r="AG155">
        <f>IF($B$1+30&gt;90,AF155,(AF155+IF($B$1+30&lt;=$B155,12*$B$9,-12*MAX(0,$B$8-IF($B$1+30&gt;=$B$23,$B$22,0))*(1+$B$4)^30))*IF(AF155+IF($B$1+30&lt;=$B155,12*$B$9,-12*MAX(0,$B$8-IF($B$1+30&gt;=$B$23,$B$22,0))*(1+$B$4)^30)&gt;0,1+$B$3,1))</f>
        <v/>
      </c>
      <c r="AH155">
        <f>IF($B$1+31&gt;90,AG155,(AG155+IF($B$1+31&lt;=$B155,12*$B$9,-12*MAX(0,$B$8-IF($B$1+31&gt;=$B$23,$B$22,0))*(1+$B$4)^31))*IF(AG155+IF($B$1+31&lt;=$B155,12*$B$9,-12*MAX(0,$B$8-IF($B$1+31&gt;=$B$23,$B$22,0))*(1+$B$4)^31)&gt;0,1+$B$3,1))</f>
        <v/>
      </c>
      <c r="AI155">
        <f>IF($B$1+32&gt;90,AH155,(AH155+IF($B$1+32&lt;=$B155,12*$B$9,-12*MAX(0,$B$8-IF($B$1+32&gt;=$B$23,$B$22,0))*(1+$B$4)^32))*IF(AH155+IF($B$1+32&lt;=$B155,12*$B$9,-12*MAX(0,$B$8-IF($B$1+32&gt;=$B$23,$B$22,0))*(1+$B$4)^32)&gt;0,1+$B$3,1))</f>
        <v/>
      </c>
      <c r="AJ155">
        <f>IF($B$1+33&gt;90,AI155,(AI155+IF($B$1+33&lt;=$B155,12*$B$9,-12*MAX(0,$B$8-IF($B$1+33&gt;=$B$23,$B$22,0))*(1+$B$4)^33))*IF(AI155+IF($B$1+33&lt;=$B155,12*$B$9,-12*MAX(0,$B$8-IF($B$1+33&gt;=$B$23,$B$22,0))*(1+$B$4)^33)&gt;0,1+$B$3,1))</f>
        <v/>
      </c>
      <c r="AK155">
        <f>IF($B$1+34&gt;90,AJ155,(AJ155+IF($B$1+34&lt;=$B155,12*$B$9,-12*MAX(0,$B$8-IF($B$1+34&gt;=$B$23,$B$22,0))*(1+$B$4)^34))*IF(AJ155+IF($B$1+34&lt;=$B155,12*$B$9,-12*MAX(0,$B$8-IF($B$1+34&gt;=$B$23,$B$22,0))*(1+$B$4)^34)&gt;0,1+$B$3,1))</f>
        <v/>
      </c>
      <c r="AL155">
        <f>IF($B$1+35&gt;90,AK155,(AK155+IF($B$1+35&lt;=$B155,12*$B$9,-12*MAX(0,$B$8-IF($B$1+35&gt;=$B$23,$B$22,0))*(1+$B$4)^35))*IF(AK155+IF($B$1+35&lt;=$B155,12*$B$9,-12*MAX(0,$B$8-IF($B$1+35&gt;=$B$23,$B$22,0))*(1+$B$4)^35)&gt;0,1+$B$3,1))</f>
        <v/>
      </c>
      <c r="AM155">
        <f>IF($B$1+36&gt;90,AL155,(AL155+IF($B$1+36&lt;=$B155,12*$B$9,-12*MAX(0,$B$8-IF($B$1+36&gt;=$B$23,$B$22,0))*(1+$B$4)^36))*IF(AL155+IF($B$1+36&lt;=$B155,12*$B$9,-12*MAX(0,$B$8-IF($B$1+36&gt;=$B$23,$B$22,0))*(1+$B$4)^36)&gt;0,1+$B$3,1))</f>
        <v/>
      </c>
      <c r="AN155">
        <f>IF($B$1+37&gt;90,AM155,(AM155+IF($B$1+37&lt;=$B155,12*$B$9,-12*MAX(0,$B$8-IF($B$1+37&gt;=$B$23,$B$22,0))*(1+$B$4)^37))*IF(AM155+IF($B$1+37&lt;=$B155,12*$B$9,-12*MAX(0,$B$8-IF($B$1+37&gt;=$B$23,$B$22,0))*(1+$B$4)^37)&gt;0,1+$B$3,1))</f>
        <v/>
      </c>
      <c r="AO155">
        <f>IF($B$1+38&gt;90,AN155,(AN155+IF($B$1+38&lt;=$B155,12*$B$9,-12*MAX(0,$B$8-IF($B$1+38&gt;=$B$23,$B$22,0))*(1+$B$4)^38))*IF(AN155+IF($B$1+38&lt;=$B155,12*$B$9,-12*MAX(0,$B$8-IF($B$1+38&gt;=$B$23,$B$22,0))*(1+$B$4)^38)&gt;0,1+$B$3,1))</f>
        <v/>
      </c>
      <c r="AP155">
        <f>IF($B$1+39&gt;90,AO155,(AO155+IF($B$1+39&lt;=$B155,12*$B$9,-12*MAX(0,$B$8-IF($B$1+39&gt;=$B$23,$B$22,0))*(1+$B$4)^39))*IF(AO155+IF($B$1+39&lt;=$B155,12*$B$9,-12*MAX(0,$B$8-IF($B$1+39&gt;=$B$23,$B$22,0))*(1+$B$4)^39)&gt;0,1+$B$3,1))</f>
        <v/>
      </c>
      <c r="AQ155">
        <f>IF($B$1+40&gt;90,AP155,(AP155+IF($B$1+40&lt;=$B155,12*$B$9,-12*MAX(0,$B$8-IF($B$1+40&gt;=$B$23,$B$22,0))*(1+$B$4)^40))*IF(AP155+IF($B$1+40&lt;=$B155,12*$B$9,-12*MAX(0,$B$8-IF($B$1+40&gt;=$B$23,$B$22,0))*(1+$B$4)^40)&gt;0,1+$B$3,1))</f>
        <v/>
      </c>
      <c r="AR155">
        <f>IF($B$1+41&gt;90,AQ155,(AQ155+IF($B$1+41&lt;=$B155,12*$B$9,-12*MAX(0,$B$8-IF($B$1+41&gt;=$B$23,$B$22,0))*(1+$B$4)^41))*IF(AQ155+IF($B$1+41&lt;=$B155,12*$B$9,-12*MAX(0,$B$8-IF($B$1+41&gt;=$B$23,$B$22,0))*(1+$B$4)^41)&gt;0,1+$B$3,1))</f>
        <v/>
      </c>
      <c r="AS155">
        <f>IF($B$1+42&gt;90,AR155,(AR155+IF($B$1+42&lt;=$B155,12*$B$9,-12*MAX(0,$B$8-IF($B$1+42&gt;=$B$23,$B$22,0))*(1+$B$4)^42))*IF(AR155+IF($B$1+42&lt;=$B155,12*$B$9,-12*MAX(0,$B$8-IF($B$1+42&gt;=$B$23,$B$22,0))*(1+$B$4)^42)&gt;0,1+$B$3,1))</f>
        <v/>
      </c>
      <c r="AT155">
        <f>IF($B$1+43&gt;90,AS155,(AS155+IF($B$1+43&lt;=$B155,12*$B$9,-12*MAX(0,$B$8-IF($B$1+43&gt;=$B$23,$B$22,0))*(1+$B$4)^43))*IF(AS155+IF($B$1+43&lt;=$B155,12*$B$9,-12*MAX(0,$B$8-IF($B$1+43&gt;=$B$23,$B$22,0))*(1+$B$4)^43)&gt;0,1+$B$3,1))</f>
        <v/>
      </c>
      <c r="AU155">
        <f>IF($B$1+44&gt;90,AT155,(AT155+IF($B$1+44&lt;=$B155,12*$B$9,-12*MAX(0,$B$8-IF($B$1+44&gt;=$B$23,$B$22,0))*(1+$B$4)^44))*IF(AT155+IF($B$1+44&lt;=$B155,12*$B$9,-12*MAX(0,$B$8-IF($B$1+44&gt;=$B$23,$B$22,0))*(1+$B$4)^44)&gt;0,1+$B$3,1))</f>
        <v/>
      </c>
      <c r="AV155">
        <f>IF($B$1+45&gt;90,AU155,(AU155+IF($B$1+45&lt;=$B155,12*$B$9,-12*MAX(0,$B$8-IF($B$1+45&gt;=$B$23,$B$22,0))*(1+$B$4)^45))*IF(AU155+IF($B$1+45&lt;=$B155,12*$B$9,-12*MAX(0,$B$8-IF($B$1+45&gt;=$B$23,$B$22,0))*(1+$B$4)^45)&gt;0,1+$B$3,1))</f>
        <v/>
      </c>
      <c r="AW155">
        <f>IF($B$1+46&gt;90,AV155,(AV155+IF($B$1+46&lt;=$B155,12*$B$9,-12*MAX(0,$B$8-IF($B$1+46&gt;=$B$23,$B$22,0))*(1+$B$4)^46))*IF(AV155+IF($B$1+46&lt;=$B155,12*$B$9,-12*MAX(0,$B$8-IF($B$1+46&gt;=$B$23,$B$22,0))*(1+$B$4)^46)&gt;0,1+$B$3,1))</f>
        <v/>
      </c>
      <c r="AX155">
        <f>IF($B$1+47&gt;90,AW155,(AW155+IF($B$1+47&lt;=$B155,12*$B$9,-12*MAX(0,$B$8-IF($B$1+47&gt;=$B$23,$B$22,0))*(1+$B$4)^47))*IF(AW155+IF($B$1+47&lt;=$B155,12*$B$9,-12*MAX(0,$B$8-IF($B$1+47&gt;=$B$23,$B$22,0))*(1+$B$4)^47)&gt;0,1+$B$3,1))</f>
        <v/>
      </c>
      <c r="AY155">
        <f>IF($B$1+48&gt;90,AX155,(AX155+IF($B$1+48&lt;=$B155,12*$B$9,-12*MAX(0,$B$8-IF($B$1+48&gt;=$B$23,$B$22,0))*(1+$B$4)^48))*IF(AX155+IF($B$1+48&lt;=$B155,12*$B$9,-12*MAX(0,$B$8-IF($B$1+48&gt;=$B$23,$B$22,0))*(1+$B$4)^48)&gt;0,1+$B$3,1))</f>
        <v/>
      </c>
      <c r="AZ155">
        <f>IF($B$1+49&gt;90,AY155,(AY155+IF($B$1+49&lt;=$B155,12*$B$9,-12*MAX(0,$B$8-IF($B$1+49&gt;=$B$23,$B$22,0))*(1+$B$4)^49))*IF(AY155+IF($B$1+49&lt;=$B155,12*$B$9,-12*MAX(0,$B$8-IF($B$1+49&gt;=$B$23,$B$22,0))*(1+$B$4)^49)&gt;0,1+$B$3,1))</f>
        <v/>
      </c>
      <c r="BA155">
        <f>IF($B$1+50&gt;90,AZ155,(AZ155+IF($B$1+50&lt;=$B155,12*$B$9,-12*MAX(0,$B$8-IF($B$1+50&gt;=$B$23,$B$22,0))*(1+$B$4)^50))*IF(AZ155+IF($B$1+50&lt;=$B155,12*$B$9,-12*MAX(0,$B$8-IF($B$1+50&gt;=$B$23,$B$22,0))*(1+$B$4)^50)&gt;0,1+$B$3,1))</f>
        <v/>
      </c>
      <c r="BB155">
        <f>IF($B$1+51&gt;90,BA155,(BA155+IF($B$1+51&lt;=$B155,12*$B$9,-12*MAX(0,$B$8-IF($B$1+51&gt;=$B$23,$B$22,0))*(1+$B$4)^51))*IF(BA155+IF($B$1+51&lt;=$B155,12*$B$9,-12*MAX(0,$B$8-IF($B$1+51&gt;=$B$23,$B$22,0))*(1+$B$4)^51)&gt;0,1+$B$3,1))</f>
        <v/>
      </c>
      <c r="BC155">
        <f>IF($B$1+52&gt;90,BB155,(BB155+IF($B$1+52&lt;=$B155,12*$B$9,-12*MAX(0,$B$8-IF($B$1+52&gt;=$B$23,$B$22,0))*(1+$B$4)^52))*IF(BB155+IF($B$1+52&lt;=$B155,12*$B$9,-12*MAX(0,$B$8-IF($B$1+52&gt;=$B$23,$B$22,0))*(1+$B$4)^52)&gt;0,1+$B$3,1))</f>
        <v/>
      </c>
      <c r="BD155">
        <f>IF($B$1+53&gt;90,BC155,(BC155+IF($B$1+53&lt;=$B155,12*$B$9,-12*MAX(0,$B$8-IF($B$1+53&gt;=$B$23,$B$22,0))*(1+$B$4)^53))*IF(BC155+IF($B$1+53&lt;=$B155,12*$B$9,-12*MAX(0,$B$8-IF($B$1+53&gt;=$B$23,$B$22,0))*(1+$B$4)^53)&gt;0,1+$B$3,1))</f>
        <v/>
      </c>
      <c r="BE155">
        <f>IF($B$1+54&gt;90,BD155,(BD155+IF($B$1+54&lt;=$B155,12*$B$9,-12*MAX(0,$B$8-IF($B$1+54&gt;=$B$23,$B$22,0))*(1+$B$4)^54))*IF(BD155+IF($B$1+54&lt;=$B155,12*$B$9,-12*MAX(0,$B$8-IF($B$1+54&gt;=$B$23,$B$22,0))*(1+$B$4)^54)&gt;0,1+$B$3,1))</f>
        <v/>
      </c>
      <c r="BF155">
        <f>IF($B$1+55&gt;90,BE155,(BE155+IF($B$1+55&lt;=$B155,12*$B$9,-12*MAX(0,$B$8-IF($B$1+55&gt;=$B$23,$B$22,0))*(1+$B$4)^55))*IF(BE155+IF($B$1+55&lt;=$B155,12*$B$9,-12*MAX(0,$B$8-IF($B$1+55&gt;=$B$23,$B$22,0))*(1+$B$4)^55)&gt;0,1+$B$3,1))</f>
        <v/>
      </c>
      <c r="BG155">
        <f>IF($B$1+56&gt;90,BF155,(BF155+IF($B$1+56&lt;=$B155,12*$B$9,-12*MAX(0,$B$8-IF($B$1+56&gt;=$B$23,$B$22,0))*(1+$B$4)^56))*IF(BF155+IF($B$1+56&lt;=$B155,12*$B$9,-12*MAX(0,$B$8-IF($B$1+56&gt;=$B$23,$B$22,0))*(1+$B$4)^56)&gt;0,1+$B$3,1))</f>
        <v/>
      </c>
      <c r="BH155">
        <f>IF($B$1+57&gt;90,BG155,(BG155+IF($B$1+57&lt;=$B155,12*$B$9,-12*MAX(0,$B$8-IF($B$1+57&gt;=$B$23,$B$22,0))*(1+$B$4)^57))*IF(BG155+IF($B$1+57&lt;=$B155,12*$B$9,-12*MAX(0,$B$8-IF($B$1+57&gt;=$B$23,$B$22,0))*(1+$B$4)^57)&gt;0,1+$B$3,1))</f>
        <v/>
      </c>
      <c r="BI155">
        <f>IF($B$1+58&gt;90,BH155,(BH155+IF($B$1+58&lt;=$B155,12*$B$9,-12*MAX(0,$B$8-IF($B$1+58&gt;=$B$23,$B$22,0))*(1+$B$4)^58))*IF(BH155+IF($B$1+58&lt;=$B155,12*$B$9,-12*MAX(0,$B$8-IF($B$1+58&gt;=$B$23,$B$22,0))*(1+$B$4)^58)&gt;0,1+$B$3,1))</f>
        <v/>
      </c>
      <c r="BJ155">
        <f>IF($B$1+59&gt;90,BI155,(BI155+IF($B$1+59&lt;=$B155,12*$B$9,-12*MAX(0,$B$8-IF($B$1+59&gt;=$B$23,$B$22,0))*(1+$B$4)^59))*IF(BI155+IF($B$1+59&lt;=$B155,12*$B$9,-12*MAX(0,$B$8-IF($B$1+59&gt;=$B$23,$B$22,0))*(1+$B$4)^59)&gt;0,1+$B$3,1))</f>
        <v/>
      </c>
      <c r="BK155">
        <f>IF($B$1+60&gt;90,BJ155,(BJ155+IF($B$1+60&lt;=$B155,12*$B$9,-12*MAX(0,$B$8-IF($B$1+60&gt;=$B$23,$B$22,0))*(1+$B$4)^60))*IF(BJ155+IF($B$1+60&lt;=$B155,12*$B$9,-12*MAX(0,$B$8-IF($B$1+60&gt;=$B$23,$B$22,0))*(1+$B$4)^60)&gt;0,1+$B$3,1))</f>
        <v/>
      </c>
      <c r="BL155">
        <f>IF($B$1+61&gt;90,BK155,(BK155+IF($B$1+61&lt;=$B155,12*$B$9,-12*MAX(0,$B$8-IF($B$1+61&gt;=$B$23,$B$22,0))*(1+$B$4)^61))*IF(BK155+IF($B$1+61&lt;=$B155,12*$B$9,-12*MAX(0,$B$8-IF($B$1+61&gt;=$B$23,$B$22,0))*(1+$B$4)^61)&gt;0,1+$B$3,1))</f>
        <v/>
      </c>
      <c r="BM155">
        <f>IF($B$1+62&gt;90,BL155,(BL155+IF($B$1+62&lt;=$B155,12*$B$9,-12*MAX(0,$B$8-IF($B$1+62&gt;=$B$23,$B$22,0))*(1+$B$4)^62))*IF(BL155+IF($B$1+62&lt;=$B155,12*$B$9,-12*MAX(0,$B$8-IF($B$1+62&gt;=$B$23,$B$22,0))*(1+$B$4)^62)&gt;0,1+$B$3,1))</f>
        <v/>
      </c>
      <c r="BN155">
        <f>IF($B$1+63&gt;90,BM155,(BM155+IF($B$1+63&lt;=$B155,12*$B$9,-12*MAX(0,$B$8-IF($B$1+63&gt;=$B$23,$B$22,0))*(1+$B$4)^63))*IF(BM155+IF($B$1+63&lt;=$B155,12*$B$9,-12*MAX(0,$B$8-IF($B$1+63&gt;=$B$23,$B$22,0))*(1+$B$4)^63)&gt;0,1+$B$3,1))</f>
        <v/>
      </c>
      <c r="BO155">
        <f>IF($B$1+64&gt;90,BN155,(BN155+IF($B$1+64&lt;=$B155,12*$B$9,-12*MAX(0,$B$8-IF($B$1+64&gt;=$B$23,$B$22,0))*(1+$B$4)^64))*IF(BN155+IF($B$1+64&lt;=$B155,12*$B$9,-12*MAX(0,$B$8-IF($B$1+64&gt;=$B$23,$B$22,0))*(1+$B$4)^64)&gt;0,1+$B$3,1))</f>
        <v/>
      </c>
      <c r="BP155">
        <f>IF($B$1+65&gt;90,BO155,(BO155+IF($B$1+65&lt;=$B155,12*$B$9,-12*MAX(0,$B$8-IF($B$1+65&gt;=$B$23,$B$22,0))*(1+$B$4)^65))*IF(BO155+IF($B$1+65&lt;=$B155,12*$B$9,-12*MAX(0,$B$8-IF($B$1+65&gt;=$B$23,$B$22,0))*(1+$B$4)^65)&gt;0,1+$B$3,1))</f>
        <v/>
      </c>
      <c r="BQ155">
        <f>IF($B$1+66&gt;90,BP155,(BP155+IF($B$1+66&lt;=$B155,12*$B$9,-12*MAX(0,$B$8-IF($B$1+66&gt;=$B$23,$B$22,0))*(1+$B$4)^66))*IF(BP155+IF($B$1+66&lt;=$B155,12*$B$9,-12*MAX(0,$B$8-IF($B$1+66&gt;=$B$23,$B$22,0))*(1+$B$4)^66)&gt;0,1+$B$3,1))</f>
        <v/>
      </c>
      <c r="BR155">
        <f>IF($B$1+67&gt;90,BQ155,(BQ155+IF($B$1+67&lt;=$B155,12*$B$9,-12*MAX(0,$B$8-IF($B$1+67&gt;=$B$23,$B$22,0))*(1+$B$4)^67))*IF(BQ155+IF($B$1+67&lt;=$B155,12*$B$9,-12*MAX(0,$B$8-IF($B$1+67&gt;=$B$23,$B$22,0))*(1+$B$4)^67)&gt;0,1+$B$3,1))</f>
        <v/>
      </c>
      <c r="BS155">
        <f>IF($B$1+68&gt;90,BR155,(BR155+IF($B$1+68&lt;=$B155,12*$B$9,-12*MAX(0,$B$8-IF($B$1+68&gt;=$B$23,$B$22,0))*(1+$B$4)^68))*IF(BR155+IF($B$1+68&lt;=$B155,12*$B$9,-12*MAX(0,$B$8-IF($B$1+68&gt;=$B$23,$B$22,0))*(1+$B$4)^68)&gt;0,1+$B$3,1))</f>
        <v/>
      </c>
      <c r="BT155">
        <f>IF($B$1+69&gt;90,BS155,(BS155+IF($B$1+69&lt;=$B155,12*$B$9,-12*MAX(0,$B$8-IF($B$1+69&gt;=$B$23,$B$22,0))*(1+$B$4)^69))*IF(BS155+IF($B$1+69&lt;=$B155,12*$B$9,-12*MAX(0,$B$8-IF($B$1+69&gt;=$B$23,$B$22,0))*(1+$B$4)^69)&gt;0,1+$B$3,1))</f>
        <v/>
      </c>
      <c r="BU155">
        <f>IF($B$1+70&gt;90,BT155,(BT155+IF($B$1+70&lt;=$B155,12*$B$9,-12*MAX(0,$B$8-IF($B$1+70&gt;=$B$23,$B$22,0))*(1+$B$4)^70))*IF(BT155+IF($B$1+70&lt;=$B155,12*$B$9,-12*MAX(0,$B$8-IF($B$1+70&gt;=$B$23,$B$22,0))*(1+$B$4)^70)&gt;0,1+$B$3,1))</f>
        <v/>
      </c>
      <c r="BV155">
        <f>BU155</f>
        <v/>
      </c>
      <c r="BW155">
        <f>IF(AND($B155&lt;=70,BV155&gt;0),$B155,999)</f>
        <v/>
      </c>
      <c r="CH155">
        <f>IF(ISTEXT('월 가계부'!A155),SUBSTITUTE(SUBSTITUTE(SUBSTITUTE(SUBSTITUTE(SUBSTITUTE(SUBSTITUTE(SUBSTITUTE(SUBSTITUTE(SUBSTITUTE(TRIM('월 가계부'!A155),"년","-"),"월","-"),"일",""),".","-"),"/","-")," ","-"),"--","-"),"--","-"),"--","-")&amp;"-","")</f>
        <v/>
      </c>
      <c r="CI155">
        <f>IFERROR(IF('월 가계부'!A155="","",IF(ISNUMBER('월 가계부'!A155),IF(AND('월 가계부'!A155&gt;=19000101,'월 가계부'!A155&lt;=21001231),IF(AND(MOD(INT('월 가계부'!A155/100),100)&gt;=1,MOD(INT('월 가계부'!A155/100),100)&lt;=12,MOD(INT('월 가계부'!A155),100)&gt;=1,MOD(INT('월 가계부'!A155),100)&lt;=31),IF(MONTH(DATE(INT('월 가계부'!A155/10000),MOD(INT('월 가계부'!A155/100),100),MOD(INT('월 가계부'!A155),100)))=MOD(INT('월 가계부'!A155/100),100),DATE(INT('월 가계부'!A155/10000),MOD(INT('월 가계부'!A155/100),100),MOD(INT('월 가계부'!A155),100)),""),""),IF(AND('월 가계부'!A155&gt;=36526,'월 가계부'!A155&lt;73051),INT('월 가계부'!A155),"")),IF(OR(CM155="",CN155="",CO155=""),"",IF(AND(CM155&gt;=2000,CM155&lt;=2099,CN155&gt;=1,CN155&lt;=12,CO155&gt;=1,CO155&lt;=31),IF(MONTH(DATE(CM155,CN155,CO155))=CN155,DATE(CM155,CN155,CO155),""),"")))),"")</f>
        <v/>
      </c>
      <c r="CJ155">
        <f>IFERROR(IF('월 가계부'!C155="","",IF(ISNUMBER('월 가계부'!C155),'월 가계부'!C155,VALUE(SUBSTITUTE(SUBSTITUTE(SUBSTITUTE(SUBSTITUTE(TRIM('월 가계부'!C155),",",""),"원","")," ",""),"−","-")))),"")</f>
        <v/>
      </c>
      <c r="CK155">
        <f>IF(ISNUMBER(CI155),IF(CI155&lt;$B$13,CI155,""),"")</f>
        <v/>
      </c>
      <c r="CM155">
        <f>IF(CH155="","",IFERROR(IF(IF(AND(LEN(CH155)=9,ISERROR(FIND("-",LEFT(CH155,8))),ISNUMBER(-LEFT(CH155,8))),VALUE(LEFT(CH155,4)),VALUE(LEFT(CH155,FIND("-",CH155)-1)))&lt;100,IF(AND(LEN(CH155)=9,ISERROR(FIND("-",LEFT(CH155,8))),ISNUMBER(-LEFT(CH155,8))),VALUE(LEFT(CH155,4)),VALUE(LEFT(CH155,FIND("-",CH155)-1)))+2000,IF(AND(LEN(CH155)=9,ISERROR(FIND("-",LEFT(CH155,8))),ISNUMBER(-LEFT(CH155,8))),VALUE(LEFT(CH155,4)),VALUE(LEFT(CH155,FIND("-",CH155)-1)))),""))</f>
        <v/>
      </c>
      <c r="CN155">
        <f>IF(CH155="","",IFERROR(IF(AND(LEN(CH155)=9,ISERROR(FIND("-",LEFT(CH155,8))),ISNUMBER(-LEFT(CH155,8))),VALUE(MID(CH155,5,2)),VALUE(MID(CH155,FIND("-",CH155)+1,FIND("-",CH155,FIND("-",CH155)+1)-FIND("-",CH155)-1))),""))</f>
        <v/>
      </c>
      <c r="CO155">
        <f>IF(CH155="","",IFERROR(IF(AND(LEN(CH155)=9,ISERROR(FIND("-",LEFT(CH155,8))),ISNUMBER(-LEFT(CH155,8))),VALUE(MID(CH155,7,2)),VALUE(MID(CH155,FIND("-",CH155,FIND("-",CH155)+1)+1,FIND("-",CH155,FIND("-",CH155,FIND("-",CH155)+1)+1)-FIND("-",CH155,FIND("-",CH155)+1)-1))),""))</f>
        <v/>
      </c>
    </row>
    <row r="156">
      <c r="A156" t="n">
        <v>4</v>
      </c>
      <c r="B156">
        <f>$B$1+4</f>
        <v/>
      </c>
      <c r="C156">
        <f>$B$2</f>
        <v/>
      </c>
      <c r="D156">
        <f>IF($B$1+1&gt;90,C156,(C156+IF($B$1+1&lt;=$B156,12*$B$9,-12*MAX(0,$B$8-IF($B$1+1&gt;=$B$23,$B$22,0))*(1+$B$4)^1))*IF(C156+IF($B$1+1&lt;=$B156,12*$B$9,-12*MAX(0,$B$8-IF($B$1+1&gt;=$B$23,$B$22,0))*(1+$B$4)^1)&gt;0,1+$B$3,1))</f>
        <v/>
      </c>
      <c r="E156">
        <f>IF($B$1+2&gt;90,D156,(D156+IF($B$1+2&lt;=$B156,12*$B$9,-12*MAX(0,$B$8-IF($B$1+2&gt;=$B$23,$B$22,0))*(1+$B$4)^2))*IF(D156+IF($B$1+2&lt;=$B156,12*$B$9,-12*MAX(0,$B$8-IF($B$1+2&gt;=$B$23,$B$22,0))*(1+$B$4)^2)&gt;0,1+$B$3,1))</f>
        <v/>
      </c>
      <c r="F156">
        <f>IF($B$1+3&gt;90,E156,(E156+IF($B$1+3&lt;=$B156,12*$B$9,-12*MAX(0,$B$8-IF($B$1+3&gt;=$B$23,$B$22,0))*(1+$B$4)^3))*IF(E156+IF($B$1+3&lt;=$B156,12*$B$9,-12*MAX(0,$B$8-IF($B$1+3&gt;=$B$23,$B$22,0))*(1+$B$4)^3)&gt;0,1+$B$3,1))</f>
        <v/>
      </c>
      <c r="G156">
        <f>IF($B$1+4&gt;90,F156,(F156+IF($B$1+4&lt;=$B156,12*$B$9,-12*MAX(0,$B$8-IF($B$1+4&gt;=$B$23,$B$22,0))*(1+$B$4)^4))*IF(F156+IF($B$1+4&lt;=$B156,12*$B$9,-12*MAX(0,$B$8-IF($B$1+4&gt;=$B$23,$B$22,0))*(1+$B$4)^4)&gt;0,1+$B$3,1))</f>
        <v/>
      </c>
      <c r="H156">
        <f>IF($B$1+5&gt;90,G156,(G156+IF($B$1+5&lt;=$B156,12*$B$9,-12*MAX(0,$B$8-IF($B$1+5&gt;=$B$23,$B$22,0))*(1+$B$4)^5))*IF(G156+IF($B$1+5&lt;=$B156,12*$B$9,-12*MAX(0,$B$8-IF($B$1+5&gt;=$B$23,$B$22,0))*(1+$B$4)^5)&gt;0,1+$B$3,1))</f>
        <v/>
      </c>
      <c r="I156">
        <f>IF($B$1+6&gt;90,H156,(H156+IF($B$1+6&lt;=$B156,12*$B$9,-12*MAX(0,$B$8-IF($B$1+6&gt;=$B$23,$B$22,0))*(1+$B$4)^6))*IF(H156+IF($B$1+6&lt;=$B156,12*$B$9,-12*MAX(0,$B$8-IF($B$1+6&gt;=$B$23,$B$22,0))*(1+$B$4)^6)&gt;0,1+$B$3,1))</f>
        <v/>
      </c>
      <c r="J156">
        <f>IF($B$1+7&gt;90,I156,(I156+IF($B$1+7&lt;=$B156,12*$B$9,-12*MAX(0,$B$8-IF($B$1+7&gt;=$B$23,$B$22,0))*(1+$B$4)^7))*IF(I156+IF($B$1+7&lt;=$B156,12*$B$9,-12*MAX(0,$B$8-IF($B$1+7&gt;=$B$23,$B$22,0))*(1+$B$4)^7)&gt;0,1+$B$3,1))</f>
        <v/>
      </c>
      <c r="K156">
        <f>IF($B$1+8&gt;90,J156,(J156+IF($B$1+8&lt;=$B156,12*$B$9,-12*MAX(0,$B$8-IF($B$1+8&gt;=$B$23,$B$22,0))*(1+$B$4)^8))*IF(J156+IF($B$1+8&lt;=$B156,12*$B$9,-12*MAX(0,$B$8-IF($B$1+8&gt;=$B$23,$B$22,0))*(1+$B$4)^8)&gt;0,1+$B$3,1))</f>
        <v/>
      </c>
      <c r="L156">
        <f>IF($B$1+9&gt;90,K156,(K156+IF($B$1+9&lt;=$B156,12*$B$9,-12*MAX(0,$B$8-IF($B$1+9&gt;=$B$23,$B$22,0))*(1+$B$4)^9))*IF(K156+IF($B$1+9&lt;=$B156,12*$B$9,-12*MAX(0,$B$8-IF($B$1+9&gt;=$B$23,$B$22,0))*(1+$B$4)^9)&gt;0,1+$B$3,1))</f>
        <v/>
      </c>
      <c r="M156">
        <f>IF($B$1+10&gt;90,L156,(L156+IF($B$1+10&lt;=$B156,12*$B$9,-12*MAX(0,$B$8-IF($B$1+10&gt;=$B$23,$B$22,0))*(1+$B$4)^10))*IF(L156+IF($B$1+10&lt;=$B156,12*$B$9,-12*MAX(0,$B$8-IF($B$1+10&gt;=$B$23,$B$22,0))*(1+$B$4)^10)&gt;0,1+$B$3,1))</f>
        <v/>
      </c>
      <c r="N156">
        <f>IF($B$1+11&gt;90,M156,(M156+IF($B$1+11&lt;=$B156,12*$B$9,-12*MAX(0,$B$8-IF($B$1+11&gt;=$B$23,$B$22,0))*(1+$B$4)^11))*IF(M156+IF($B$1+11&lt;=$B156,12*$B$9,-12*MAX(0,$B$8-IF($B$1+11&gt;=$B$23,$B$22,0))*(1+$B$4)^11)&gt;0,1+$B$3,1))</f>
        <v/>
      </c>
      <c r="O156">
        <f>IF($B$1+12&gt;90,N156,(N156+IF($B$1+12&lt;=$B156,12*$B$9,-12*MAX(0,$B$8-IF($B$1+12&gt;=$B$23,$B$22,0))*(1+$B$4)^12))*IF(N156+IF($B$1+12&lt;=$B156,12*$B$9,-12*MAX(0,$B$8-IF($B$1+12&gt;=$B$23,$B$22,0))*(1+$B$4)^12)&gt;0,1+$B$3,1))</f>
        <v/>
      </c>
      <c r="P156">
        <f>IF($B$1+13&gt;90,O156,(O156+IF($B$1+13&lt;=$B156,12*$B$9,-12*MAX(0,$B$8-IF($B$1+13&gt;=$B$23,$B$22,0))*(1+$B$4)^13))*IF(O156+IF($B$1+13&lt;=$B156,12*$B$9,-12*MAX(0,$B$8-IF($B$1+13&gt;=$B$23,$B$22,0))*(1+$B$4)^13)&gt;0,1+$B$3,1))</f>
        <v/>
      </c>
      <c r="Q156">
        <f>IF($B$1+14&gt;90,P156,(P156+IF($B$1+14&lt;=$B156,12*$B$9,-12*MAX(0,$B$8-IF($B$1+14&gt;=$B$23,$B$22,0))*(1+$B$4)^14))*IF(P156+IF($B$1+14&lt;=$B156,12*$B$9,-12*MAX(0,$B$8-IF($B$1+14&gt;=$B$23,$B$22,0))*(1+$B$4)^14)&gt;0,1+$B$3,1))</f>
        <v/>
      </c>
      <c r="R156">
        <f>IF($B$1+15&gt;90,Q156,(Q156+IF($B$1+15&lt;=$B156,12*$B$9,-12*MAX(0,$B$8-IF($B$1+15&gt;=$B$23,$B$22,0))*(1+$B$4)^15))*IF(Q156+IF($B$1+15&lt;=$B156,12*$B$9,-12*MAX(0,$B$8-IF($B$1+15&gt;=$B$23,$B$22,0))*(1+$B$4)^15)&gt;0,1+$B$3,1))</f>
        <v/>
      </c>
      <c r="S156">
        <f>IF($B$1+16&gt;90,R156,(R156+IF($B$1+16&lt;=$B156,12*$B$9,-12*MAX(0,$B$8-IF($B$1+16&gt;=$B$23,$B$22,0))*(1+$B$4)^16))*IF(R156+IF($B$1+16&lt;=$B156,12*$B$9,-12*MAX(0,$B$8-IF($B$1+16&gt;=$B$23,$B$22,0))*(1+$B$4)^16)&gt;0,1+$B$3,1))</f>
        <v/>
      </c>
      <c r="T156">
        <f>IF($B$1+17&gt;90,S156,(S156+IF($B$1+17&lt;=$B156,12*$B$9,-12*MAX(0,$B$8-IF($B$1+17&gt;=$B$23,$B$22,0))*(1+$B$4)^17))*IF(S156+IF($B$1+17&lt;=$B156,12*$B$9,-12*MAX(0,$B$8-IF($B$1+17&gt;=$B$23,$B$22,0))*(1+$B$4)^17)&gt;0,1+$B$3,1))</f>
        <v/>
      </c>
      <c r="U156">
        <f>IF($B$1+18&gt;90,T156,(T156+IF($B$1+18&lt;=$B156,12*$B$9,-12*MAX(0,$B$8-IF($B$1+18&gt;=$B$23,$B$22,0))*(1+$B$4)^18))*IF(T156+IF($B$1+18&lt;=$B156,12*$B$9,-12*MAX(0,$B$8-IF($B$1+18&gt;=$B$23,$B$22,0))*(1+$B$4)^18)&gt;0,1+$B$3,1))</f>
        <v/>
      </c>
      <c r="V156">
        <f>IF($B$1+19&gt;90,U156,(U156+IF($B$1+19&lt;=$B156,12*$B$9,-12*MAX(0,$B$8-IF($B$1+19&gt;=$B$23,$B$22,0))*(1+$B$4)^19))*IF(U156+IF($B$1+19&lt;=$B156,12*$B$9,-12*MAX(0,$B$8-IF($B$1+19&gt;=$B$23,$B$22,0))*(1+$B$4)^19)&gt;0,1+$B$3,1))</f>
        <v/>
      </c>
      <c r="W156">
        <f>IF($B$1+20&gt;90,V156,(V156+IF($B$1+20&lt;=$B156,12*$B$9,-12*MAX(0,$B$8-IF($B$1+20&gt;=$B$23,$B$22,0))*(1+$B$4)^20))*IF(V156+IF($B$1+20&lt;=$B156,12*$B$9,-12*MAX(0,$B$8-IF($B$1+20&gt;=$B$23,$B$22,0))*(1+$B$4)^20)&gt;0,1+$B$3,1))</f>
        <v/>
      </c>
      <c r="X156">
        <f>IF($B$1+21&gt;90,W156,(W156+IF($B$1+21&lt;=$B156,12*$B$9,-12*MAX(0,$B$8-IF($B$1+21&gt;=$B$23,$B$22,0))*(1+$B$4)^21))*IF(W156+IF($B$1+21&lt;=$B156,12*$B$9,-12*MAX(0,$B$8-IF($B$1+21&gt;=$B$23,$B$22,0))*(1+$B$4)^21)&gt;0,1+$B$3,1))</f>
        <v/>
      </c>
      <c r="Y156">
        <f>IF($B$1+22&gt;90,X156,(X156+IF($B$1+22&lt;=$B156,12*$B$9,-12*MAX(0,$B$8-IF($B$1+22&gt;=$B$23,$B$22,0))*(1+$B$4)^22))*IF(X156+IF($B$1+22&lt;=$B156,12*$B$9,-12*MAX(0,$B$8-IF($B$1+22&gt;=$B$23,$B$22,0))*(1+$B$4)^22)&gt;0,1+$B$3,1))</f>
        <v/>
      </c>
      <c r="Z156">
        <f>IF($B$1+23&gt;90,Y156,(Y156+IF($B$1+23&lt;=$B156,12*$B$9,-12*MAX(0,$B$8-IF($B$1+23&gt;=$B$23,$B$22,0))*(1+$B$4)^23))*IF(Y156+IF($B$1+23&lt;=$B156,12*$B$9,-12*MAX(0,$B$8-IF($B$1+23&gt;=$B$23,$B$22,0))*(1+$B$4)^23)&gt;0,1+$B$3,1))</f>
        <v/>
      </c>
      <c r="AA156">
        <f>IF($B$1+24&gt;90,Z156,(Z156+IF($B$1+24&lt;=$B156,12*$B$9,-12*MAX(0,$B$8-IF($B$1+24&gt;=$B$23,$B$22,0))*(1+$B$4)^24))*IF(Z156+IF($B$1+24&lt;=$B156,12*$B$9,-12*MAX(0,$B$8-IF($B$1+24&gt;=$B$23,$B$22,0))*(1+$B$4)^24)&gt;0,1+$B$3,1))</f>
        <v/>
      </c>
      <c r="AB156">
        <f>IF($B$1+25&gt;90,AA156,(AA156+IF($B$1+25&lt;=$B156,12*$B$9,-12*MAX(0,$B$8-IF($B$1+25&gt;=$B$23,$B$22,0))*(1+$B$4)^25))*IF(AA156+IF($B$1+25&lt;=$B156,12*$B$9,-12*MAX(0,$B$8-IF($B$1+25&gt;=$B$23,$B$22,0))*(1+$B$4)^25)&gt;0,1+$B$3,1))</f>
        <v/>
      </c>
      <c r="AC156">
        <f>IF($B$1+26&gt;90,AB156,(AB156+IF($B$1+26&lt;=$B156,12*$B$9,-12*MAX(0,$B$8-IF($B$1+26&gt;=$B$23,$B$22,0))*(1+$B$4)^26))*IF(AB156+IF($B$1+26&lt;=$B156,12*$B$9,-12*MAX(0,$B$8-IF($B$1+26&gt;=$B$23,$B$22,0))*(1+$B$4)^26)&gt;0,1+$B$3,1))</f>
        <v/>
      </c>
      <c r="AD156">
        <f>IF($B$1+27&gt;90,AC156,(AC156+IF($B$1+27&lt;=$B156,12*$B$9,-12*MAX(0,$B$8-IF($B$1+27&gt;=$B$23,$B$22,0))*(1+$B$4)^27))*IF(AC156+IF($B$1+27&lt;=$B156,12*$B$9,-12*MAX(0,$B$8-IF($B$1+27&gt;=$B$23,$B$22,0))*(1+$B$4)^27)&gt;0,1+$B$3,1))</f>
        <v/>
      </c>
      <c r="AE156">
        <f>IF($B$1+28&gt;90,AD156,(AD156+IF($B$1+28&lt;=$B156,12*$B$9,-12*MAX(0,$B$8-IF($B$1+28&gt;=$B$23,$B$22,0))*(1+$B$4)^28))*IF(AD156+IF($B$1+28&lt;=$B156,12*$B$9,-12*MAX(0,$B$8-IF($B$1+28&gt;=$B$23,$B$22,0))*(1+$B$4)^28)&gt;0,1+$B$3,1))</f>
        <v/>
      </c>
      <c r="AF156">
        <f>IF($B$1+29&gt;90,AE156,(AE156+IF($B$1+29&lt;=$B156,12*$B$9,-12*MAX(0,$B$8-IF($B$1+29&gt;=$B$23,$B$22,0))*(1+$B$4)^29))*IF(AE156+IF($B$1+29&lt;=$B156,12*$B$9,-12*MAX(0,$B$8-IF($B$1+29&gt;=$B$23,$B$22,0))*(1+$B$4)^29)&gt;0,1+$B$3,1))</f>
        <v/>
      </c>
      <c r="AG156">
        <f>IF($B$1+30&gt;90,AF156,(AF156+IF($B$1+30&lt;=$B156,12*$B$9,-12*MAX(0,$B$8-IF($B$1+30&gt;=$B$23,$B$22,0))*(1+$B$4)^30))*IF(AF156+IF($B$1+30&lt;=$B156,12*$B$9,-12*MAX(0,$B$8-IF($B$1+30&gt;=$B$23,$B$22,0))*(1+$B$4)^30)&gt;0,1+$B$3,1))</f>
        <v/>
      </c>
      <c r="AH156">
        <f>IF($B$1+31&gt;90,AG156,(AG156+IF($B$1+31&lt;=$B156,12*$B$9,-12*MAX(0,$B$8-IF($B$1+31&gt;=$B$23,$B$22,0))*(1+$B$4)^31))*IF(AG156+IF($B$1+31&lt;=$B156,12*$B$9,-12*MAX(0,$B$8-IF($B$1+31&gt;=$B$23,$B$22,0))*(1+$B$4)^31)&gt;0,1+$B$3,1))</f>
        <v/>
      </c>
      <c r="AI156">
        <f>IF($B$1+32&gt;90,AH156,(AH156+IF($B$1+32&lt;=$B156,12*$B$9,-12*MAX(0,$B$8-IF($B$1+32&gt;=$B$23,$B$22,0))*(1+$B$4)^32))*IF(AH156+IF($B$1+32&lt;=$B156,12*$B$9,-12*MAX(0,$B$8-IF($B$1+32&gt;=$B$23,$B$22,0))*(1+$B$4)^32)&gt;0,1+$B$3,1))</f>
        <v/>
      </c>
      <c r="AJ156">
        <f>IF($B$1+33&gt;90,AI156,(AI156+IF($B$1+33&lt;=$B156,12*$B$9,-12*MAX(0,$B$8-IF($B$1+33&gt;=$B$23,$B$22,0))*(1+$B$4)^33))*IF(AI156+IF($B$1+33&lt;=$B156,12*$B$9,-12*MAX(0,$B$8-IF($B$1+33&gt;=$B$23,$B$22,0))*(1+$B$4)^33)&gt;0,1+$B$3,1))</f>
        <v/>
      </c>
      <c r="AK156">
        <f>IF($B$1+34&gt;90,AJ156,(AJ156+IF($B$1+34&lt;=$B156,12*$B$9,-12*MAX(0,$B$8-IF($B$1+34&gt;=$B$23,$B$22,0))*(1+$B$4)^34))*IF(AJ156+IF($B$1+34&lt;=$B156,12*$B$9,-12*MAX(0,$B$8-IF($B$1+34&gt;=$B$23,$B$22,0))*(1+$B$4)^34)&gt;0,1+$B$3,1))</f>
        <v/>
      </c>
      <c r="AL156">
        <f>IF($B$1+35&gt;90,AK156,(AK156+IF($B$1+35&lt;=$B156,12*$B$9,-12*MAX(0,$B$8-IF($B$1+35&gt;=$B$23,$B$22,0))*(1+$B$4)^35))*IF(AK156+IF($B$1+35&lt;=$B156,12*$B$9,-12*MAX(0,$B$8-IF($B$1+35&gt;=$B$23,$B$22,0))*(1+$B$4)^35)&gt;0,1+$B$3,1))</f>
        <v/>
      </c>
      <c r="AM156">
        <f>IF($B$1+36&gt;90,AL156,(AL156+IF($B$1+36&lt;=$B156,12*$B$9,-12*MAX(0,$B$8-IF($B$1+36&gt;=$B$23,$B$22,0))*(1+$B$4)^36))*IF(AL156+IF($B$1+36&lt;=$B156,12*$B$9,-12*MAX(0,$B$8-IF($B$1+36&gt;=$B$23,$B$22,0))*(1+$B$4)^36)&gt;0,1+$B$3,1))</f>
        <v/>
      </c>
      <c r="AN156">
        <f>IF($B$1+37&gt;90,AM156,(AM156+IF($B$1+37&lt;=$B156,12*$B$9,-12*MAX(0,$B$8-IF($B$1+37&gt;=$B$23,$B$22,0))*(1+$B$4)^37))*IF(AM156+IF($B$1+37&lt;=$B156,12*$B$9,-12*MAX(0,$B$8-IF($B$1+37&gt;=$B$23,$B$22,0))*(1+$B$4)^37)&gt;0,1+$B$3,1))</f>
        <v/>
      </c>
      <c r="AO156">
        <f>IF($B$1+38&gt;90,AN156,(AN156+IF($B$1+38&lt;=$B156,12*$B$9,-12*MAX(0,$B$8-IF($B$1+38&gt;=$B$23,$B$22,0))*(1+$B$4)^38))*IF(AN156+IF($B$1+38&lt;=$B156,12*$B$9,-12*MAX(0,$B$8-IF($B$1+38&gt;=$B$23,$B$22,0))*(1+$B$4)^38)&gt;0,1+$B$3,1))</f>
        <v/>
      </c>
      <c r="AP156">
        <f>IF($B$1+39&gt;90,AO156,(AO156+IF($B$1+39&lt;=$B156,12*$B$9,-12*MAX(0,$B$8-IF($B$1+39&gt;=$B$23,$B$22,0))*(1+$B$4)^39))*IF(AO156+IF($B$1+39&lt;=$B156,12*$B$9,-12*MAX(0,$B$8-IF($B$1+39&gt;=$B$23,$B$22,0))*(1+$B$4)^39)&gt;0,1+$B$3,1))</f>
        <v/>
      </c>
      <c r="AQ156">
        <f>IF($B$1+40&gt;90,AP156,(AP156+IF($B$1+40&lt;=$B156,12*$B$9,-12*MAX(0,$B$8-IF($B$1+40&gt;=$B$23,$B$22,0))*(1+$B$4)^40))*IF(AP156+IF($B$1+40&lt;=$B156,12*$B$9,-12*MAX(0,$B$8-IF($B$1+40&gt;=$B$23,$B$22,0))*(1+$B$4)^40)&gt;0,1+$B$3,1))</f>
        <v/>
      </c>
      <c r="AR156">
        <f>IF($B$1+41&gt;90,AQ156,(AQ156+IF($B$1+41&lt;=$B156,12*$B$9,-12*MAX(0,$B$8-IF($B$1+41&gt;=$B$23,$B$22,0))*(1+$B$4)^41))*IF(AQ156+IF($B$1+41&lt;=$B156,12*$B$9,-12*MAX(0,$B$8-IF($B$1+41&gt;=$B$23,$B$22,0))*(1+$B$4)^41)&gt;0,1+$B$3,1))</f>
        <v/>
      </c>
      <c r="AS156">
        <f>IF($B$1+42&gt;90,AR156,(AR156+IF($B$1+42&lt;=$B156,12*$B$9,-12*MAX(0,$B$8-IF($B$1+42&gt;=$B$23,$B$22,0))*(1+$B$4)^42))*IF(AR156+IF($B$1+42&lt;=$B156,12*$B$9,-12*MAX(0,$B$8-IF($B$1+42&gt;=$B$23,$B$22,0))*(1+$B$4)^42)&gt;0,1+$B$3,1))</f>
        <v/>
      </c>
      <c r="AT156">
        <f>IF($B$1+43&gt;90,AS156,(AS156+IF($B$1+43&lt;=$B156,12*$B$9,-12*MAX(0,$B$8-IF($B$1+43&gt;=$B$23,$B$22,0))*(1+$B$4)^43))*IF(AS156+IF($B$1+43&lt;=$B156,12*$B$9,-12*MAX(0,$B$8-IF($B$1+43&gt;=$B$23,$B$22,0))*(1+$B$4)^43)&gt;0,1+$B$3,1))</f>
        <v/>
      </c>
      <c r="AU156">
        <f>IF($B$1+44&gt;90,AT156,(AT156+IF($B$1+44&lt;=$B156,12*$B$9,-12*MAX(0,$B$8-IF($B$1+44&gt;=$B$23,$B$22,0))*(1+$B$4)^44))*IF(AT156+IF($B$1+44&lt;=$B156,12*$B$9,-12*MAX(0,$B$8-IF($B$1+44&gt;=$B$23,$B$22,0))*(1+$B$4)^44)&gt;0,1+$B$3,1))</f>
        <v/>
      </c>
      <c r="AV156">
        <f>IF($B$1+45&gt;90,AU156,(AU156+IF($B$1+45&lt;=$B156,12*$B$9,-12*MAX(0,$B$8-IF($B$1+45&gt;=$B$23,$B$22,0))*(1+$B$4)^45))*IF(AU156+IF($B$1+45&lt;=$B156,12*$B$9,-12*MAX(0,$B$8-IF($B$1+45&gt;=$B$23,$B$22,0))*(1+$B$4)^45)&gt;0,1+$B$3,1))</f>
        <v/>
      </c>
      <c r="AW156">
        <f>IF($B$1+46&gt;90,AV156,(AV156+IF($B$1+46&lt;=$B156,12*$B$9,-12*MAX(0,$B$8-IF($B$1+46&gt;=$B$23,$B$22,0))*(1+$B$4)^46))*IF(AV156+IF($B$1+46&lt;=$B156,12*$B$9,-12*MAX(0,$B$8-IF($B$1+46&gt;=$B$23,$B$22,0))*(1+$B$4)^46)&gt;0,1+$B$3,1))</f>
        <v/>
      </c>
      <c r="AX156">
        <f>IF($B$1+47&gt;90,AW156,(AW156+IF($B$1+47&lt;=$B156,12*$B$9,-12*MAX(0,$B$8-IF($B$1+47&gt;=$B$23,$B$22,0))*(1+$B$4)^47))*IF(AW156+IF($B$1+47&lt;=$B156,12*$B$9,-12*MAX(0,$B$8-IF($B$1+47&gt;=$B$23,$B$22,0))*(1+$B$4)^47)&gt;0,1+$B$3,1))</f>
        <v/>
      </c>
      <c r="AY156">
        <f>IF($B$1+48&gt;90,AX156,(AX156+IF($B$1+48&lt;=$B156,12*$B$9,-12*MAX(0,$B$8-IF($B$1+48&gt;=$B$23,$B$22,0))*(1+$B$4)^48))*IF(AX156+IF($B$1+48&lt;=$B156,12*$B$9,-12*MAX(0,$B$8-IF($B$1+48&gt;=$B$23,$B$22,0))*(1+$B$4)^48)&gt;0,1+$B$3,1))</f>
        <v/>
      </c>
      <c r="AZ156">
        <f>IF($B$1+49&gt;90,AY156,(AY156+IF($B$1+49&lt;=$B156,12*$B$9,-12*MAX(0,$B$8-IF($B$1+49&gt;=$B$23,$B$22,0))*(1+$B$4)^49))*IF(AY156+IF($B$1+49&lt;=$B156,12*$B$9,-12*MAX(0,$B$8-IF($B$1+49&gt;=$B$23,$B$22,0))*(1+$B$4)^49)&gt;0,1+$B$3,1))</f>
        <v/>
      </c>
      <c r="BA156">
        <f>IF($B$1+50&gt;90,AZ156,(AZ156+IF($B$1+50&lt;=$B156,12*$B$9,-12*MAX(0,$B$8-IF($B$1+50&gt;=$B$23,$B$22,0))*(1+$B$4)^50))*IF(AZ156+IF($B$1+50&lt;=$B156,12*$B$9,-12*MAX(0,$B$8-IF($B$1+50&gt;=$B$23,$B$22,0))*(1+$B$4)^50)&gt;0,1+$B$3,1))</f>
        <v/>
      </c>
      <c r="BB156">
        <f>IF($B$1+51&gt;90,BA156,(BA156+IF($B$1+51&lt;=$B156,12*$B$9,-12*MAX(0,$B$8-IF($B$1+51&gt;=$B$23,$B$22,0))*(1+$B$4)^51))*IF(BA156+IF($B$1+51&lt;=$B156,12*$B$9,-12*MAX(0,$B$8-IF($B$1+51&gt;=$B$23,$B$22,0))*(1+$B$4)^51)&gt;0,1+$B$3,1))</f>
        <v/>
      </c>
      <c r="BC156">
        <f>IF($B$1+52&gt;90,BB156,(BB156+IF($B$1+52&lt;=$B156,12*$B$9,-12*MAX(0,$B$8-IF($B$1+52&gt;=$B$23,$B$22,0))*(1+$B$4)^52))*IF(BB156+IF($B$1+52&lt;=$B156,12*$B$9,-12*MAX(0,$B$8-IF($B$1+52&gt;=$B$23,$B$22,0))*(1+$B$4)^52)&gt;0,1+$B$3,1))</f>
        <v/>
      </c>
      <c r="BD156">
        <f>IF($B$1+53&gt;90,BC156,(BC156+IF($B$1+53&lt;=$B156,12*$B$9,-12*MAX(0,$B$8-IF($B$1+53&gt;=$B$23,$B$22,0))*(1+$B$4)^53))*IF(BC156+IF($B$1+53&lt;=$B156,12*$B$9,-12*MAX(0,$B$8-IF($B$1+53&gt;=$B$23,$B$22,0))*(1+$B$4)^53)&gt;0,1+$B$3,1))</f>
        <v/>
      </c>
      <c r="BE156">
        <f>IF($B$1+54&gt;90,BD156,(BD156+IF($B$1+54&lt;=$B156,12*$B$9,-12*MAX(0,$B$8-IF($B$1+54&gt;=$B$23,$B$22,0))*(1+$B$4)^54))*IF(BD156+IF($B$1+54&lt;=$B156,12*$B$9,-12*MAX(0,$B$8-IF($B$1+54&gt;=$B$23,$B$22,0))*(1+$B$4)^54)&gt;0,1+$B$3,1))</f>
        <v/>
      </c>
      <c r="BF156">
        <f>IF($B$1+55&gt;90,BE156,(BE156+IF($B$1+55&lt;=$B156,12*$B$9,-12*MAX(0,$B$8-IF($B$1+55&gt;=$B$23,$B$22,0))*(1+$B$4)^55))*IF(BE156+IF($B$1+55&lt;=$B156,12*$B$9,-12*MAX(0,$B$8-IF($B$1+55&gt;=$B$23,$B$22,0))*(1+$B$4)^55)&gt;0,1+$B$3,1))</f>
        <v/>
      </c>
      <c r="BG156">
        <f>IF($B$1+56&gt;90,BF156,(BF156+IF($B$1+56&lt;=$B156,12*$B$9,-12*MAX(0,$B$8-IF($B$1+56&gt;=$B$23,$B$22,0))*(1+$B$4)^56))*IF(BF156+IF($B$1+56&lt;=$B156,12*$B$9,-12*MAX(0,$B$8-IF($B$1+56&gt;=$B$23,$B$22,0))*(1+$B$4)^56)&gt;0,1+$B$3,1))</f>
        <v/>
      </c>
      <c r="BH156">
        <f>IF($B$1+57&gt;90,BG156,(BG156+IF($B$1+57&lt;=$B156,12*$B$9,-12*MAX(0,$B$8-IF($B$1+57&gt;=$B$23,$B$22,0))*(1+$B$4)^57))*IF(BG156+IF($B$1+57&lt;=$B156,12*$B$9,-12*MAX(0,$B$8-IF($B$1+57&gt;=$B$23,$B$22,0))*(1+$B$4)^57)&gt;0,1+$B$3,1))</f>
        <v/>
      </c>
      <c r="BI156">
        <f>IF($B$1+58&gt;90,BH156,(BH156+IF($B$1+58&lt;=$B156,12*$B$9,-12*MAX(0,$B$8-IF($B$1+58&gt;=$B$23,$B$22,0))*(1+$B$4)^58))*IF(BH156+IF($B$1+58&lt;=$B156,12*$B$9,-12*MAX(0,$B$8-IF($B$1+58&gt;=$B$23,$B$22,0))*(1+$B$4)^58)&gt;0,1+$B$3,1))</f>
        <v/>
      </c>
      <c r="BJ156">
        <f>IF($B$1+59&gt;90,BI156,(BI156+IF($B$1+59&lt;=$B156,12*$B$9,-12*MAX(0,$B$8-IF($B$1+59&gt;=$B$23,$B$22,0))*(1+$B$4)^59))*IF(BI156+IF($B$1+59&lt;=$B156,12*$B$9,-12*MAX(0,$B$8-IF($B$1+59&gt;=$B$23,$B$22,0))*(1+$B$4)^59)&gt;0,1+$B$3,1))</f>
        <v/>
      </c>
      <c r="BK156">
        <f>IF($B$1+60&gt;90,BJ156,(BJ156+IF($B$1+60&lt;=$B156,12*$B$9,-12*MAX(0,$B$8-IF($B$1+60&gt;=$B$23,$B$22,0))*(1+$B$4)^60))*IF(BJ156+IF($B$1+60&lt;=$B156,12*$B$9,-12*MAX(0,$B$8-IF($B$1+60&gt;=$B$23,$B$22,0))*(1+$B$4)^60)&gt;0,1+$B$3,1))</f>
        <v/>
      </c>
      <c r="BL156">
        <f>IF($B$1+61&gt;90,BK156,(BK156+IF($B$1+61&lt;=$B156,12*$B$9,-12*MAX(0,$B$8-IF($B$1+61&gt;=$B$23,$B$22,0))*(1+$B$4)^61))*IF(BK156+IF($B$1+61&lt;=$B156,12*$B$9,-12*MAX(0,$B$8-IF($B$1+61&gt;=$B$23,$B$22,0))*(1+$B$4)^61)&gt;0,1+$B$3,1))</f>
        <v/>
      </c>
      <c r="BM156">
        <f>IF($B$1+62&gt;90,BL156,(BL156+IF($B$1+62&lt;=$B156,12*$B$9,-12*MAX(0,$B$8-IF($B$1+62&gt;=$B$23,$B$22,0))*(1+$B$4)^62))*IF(BL156+IF($B$1+62&lt;=$B156,12*$B$9,-12*MAX(0,$B$8-IF($B$1+62&gt;=$B$23,$B$22,0))*(1+$B$4)^62)&gt;0,1+$B$3,1))</f>
        <v/>
      </c>
      <c r="BN156">
        <f>IF($B$1+63&gt;90,BM156,(BM156+IF($B$1+63&lt;=$B156,12*$B$9,-12*MAX(0,$B$8-IF($B$1+63&gt;=$B$23,$B$22,0))*(1+$B$4)^63))*IF(BM156+IF($B$1+63&lt;=$B156,12*$B$9,-12*MAX(0,$B$8-IF($B$1+63&gt;=$B$23,$B$22,0))*(1+$B$4)^63)&gt;0,1+$B$3,1))</f>
        <v/>
      </c>
      <c r="BO156">
        <f>IF($B$1+64&gt;90,BN156,(BN156+IF($B$1+64&lt;=$B156,12*$B$9,-12*MAX(0,$B$8-IF($B$1+64&gt;=$B$23,$B$22,0))*(1+$B$4)^64))*IF(BN156+IF($B$1+64&lt;=$B156,12*$B$9,-12*MAX(0,$B$8-IF($B$1+64&gt;=$B$23,$B$22,0))*(1+$B$4)^64)&gt;0,1+$B$3,1))</f>
        <v/>
      </c>
      <c r="BP156">
        <f>IF($B$1+65&gt;90,BO156,(BO156+IF($B$1+65&lt;=$B156,12*$B$9,-12*MAX(0,$B$8-IF($B$1+65&gt;=$B$23,$B$22,0))*(1+$B$4)^65))*IF(BO156+IF($B$1+65&lt;=$B156,12*$B$9,-12*MAX(0,$B$8-IF($B$1+65&gt;=$B$23,$B$22,0))*(1+$B$4)^65)&gt;0,1+$B$3,1))</f>
        <v/>
      </c>
      <c r="BQ156">
        <f>IF($B$1+66&gt;90,BP156,(BP156+IF($B$1+66&lt;=$B156,12*$B$9,-12*MAX(0,$B$8-IF($B$1+66&gt;=$B$23,$B$22,0))*(1+$B$4)^66))*IF(BP156+IF($B$1+66&lt;=$B156,12*$B$9,-12*MAX(0,$B$8-IF($B$1+66&gt;=$B$23,$B$22,0))*(1+$B$4)^66)&gt;0,1+$B$3,1))</f>
        <v/>
      </c>
      <c r="BR156">
        <f>IF($B$1+67&gt;90,BQ156,(BQ156+IF($B$1+67&lt;=$B156,12*$B$9,-12*MAX(0,$B$8-IF($B$1+67&gt;=$B$23,$B$22,0))*(1+$B$4)^67))*IF(BQ156+IF($B$1+67&lt;=$B156,12*$B$9,-12*MAX(0,$B$8-IF($B$1+67&gt;=$B$23,$B$22,0))*(1+$B$4)^67)&gt;0,1+$B$3,1))</f>
        <v/>
      </c>
      <c r="BS156">
        <f>IF($B$1+68&gt;90,BR156,(BR156+IF($B$1+68&lt;=$B156,12*$B$9,-12*MAX(0,$B$8-IF($B$1+68&gt;=$B$23,$B$22,0))*(1+$B$4)^68))*IF(BR156+IF($B$1+68&lt;=$B156,12*$B$9,-12*MAX(0,$B$8-IF($B$1+68&gt;=$B$23,$B$22,0))*(1+$B$4)^68)&gt;0,1+$B$3,1))</f>
        <v/>
      </c>
      <c r="BT156">
        <f>IF($B$1+69&gt;90,BS156,(BS156+IF($B$1+69&lt;=$B156,12*$B$9,-12*MAX(0,$B$8-IF($B$1+69&gt;=$B$23,$B$22,0))*(1+$B$4)^69))*IF(BS156+IF($B$1+69&lt;=$B156,12*$B$9,-12*MAX(0,$B$8-IF($B$1+69&gt;=$B$23,$B$22,0))*(1+$B$4)^69)&gt;0,1+$B$3,1))</f>
        <v/>
      </c>
      <c r="BU156">
        <f>IF($B$1+70&gt;90,BT156,(BT156+IF($B$1+70&lt;=$B156,12*$B$9,-12*MAX(0,$B$8-IF($B$1+70&gt;=$B$23,$B$22,0))*(1+$B$4)^70))*IF(BT156+IF($B$1+70&lt;=$B156,12*$B$9,-12*MAX(0,$B$8-IF($B$1+70&gt;=$B$23,$B$22,0))*(1+$B$4)^70)&gt;0,1+$B$3,1))</f>
        <v/>
      </c>
      <c r="BV156">
        <f>BU156</f>
        <v/>
      </c>
      <c r="BW156">
        <f>IF(AND($B156&lt;=70,BV156&gt;0),$B156,999)</f>
        <v/>
      </c>
      <c r="CH156">
        <f>IF(ISTEXT('월 가계부'!A156),SUBSTITUTE(SUBSTITUTE(SUBSTITUTE(SUBSTITUTE(SUBSTITUTE(SUBSTITUTE(SUBSTITUTE(SUBSTITUTE(SUBSTITUTE(TRIM('월 가계부'!A156),"년","-"),"월","-"),"일",""),".","-"),"/","-")," ","-"),"--","-"),"--","-"),"--","-")&amp;"-","")</f>
        <v/>
      </c>
      <c r="CI156">
        <f>IFERROR(IF('월 가계부'!A156="","",IF(ISNUMBER('월 가계부'!A156),IF(AND('월 가계부'!A156&gt;=19000101,'월 가계부'!A156&lt;=21001231),IF(AND(MOD(INT('월 가계부'!A156/100),100)&gt;=1,MOD(INT('월 가계부'!A156/100),100)&lt;=12,MOD(INT('월 가계부'!A156),100)&gt;=1,MOD(INT('월 가계부'!A156),100)&lt;=31),IF(MONTH(DATE(INT('월 가계부'!A156/10000),MOD(INT('월 가계부'!A156/100),100),MOD(INT('월 가계부'!A156),100)))=MOD(INT('월 가계부'!A156/100),100),DATE(INT('월 가계부'!A156/10000),MOD(INT('월 가계부'!A156/100),100),MOD(INT('월 가계부'!A156),100)),""),""),IF(AND('월 가계부'!A156&gt;=36526,'월 가계부'!A156&lt;73051),INT('월 가계부'!A156),"")),IF(OR(CM156="",CN156="",CO156=""),"",IF(AND(CM156&gt;=2000,CM156&lt;=2099,CN156&gt;=1,CN156&lt;=12,CO156&gt;=1,CO156&lt;=31),IF(MONTH(DATE(CM156,CN156,CO156))=CN156,DATE(CM156,CN156,CO156),""),"")))),"")</f>
        <v/>
      </c>
      <c r="CJ156">
        <f>IFERROR(IF('월 가계부'!C156="","",IF(ISNUMBER('월 가계부'!C156),'월 가계부'!C156,VALUE(SUBSTITUTE(SUBSTITUTE(SUBSTITUTE(SUBSTITUTE(TRIM('월 가계부'!C156),",",""),"원","")," ",""),"−","-")))),"")</f>
        <v/>
      </c>
      <c r="CK156">
        <f>IF(ISNUMBER(CI156),IF(CI156&lt;$B$13,CI156,""),"")</f>
        <v/>
      </c>
      <c r="CM156">
        <f>IF(CH156="","",IFERROR(IF(IF(AND(LEN(CH156)=9,ISERROR(FIND("-",LEFT(CH156,8))),ISNUMBER(-LEFT(CH156,8))),VALUE(LEFT(CH156,4)),VALUE(LEFT(CH156,FIND("-",CH156)-1)))&lt;100,IF(AND(LEN(CH156)=9,ISERROR(FIND("-",LEFT(CH156,8))),ISNUMBER(-LEFT(CH156,8))),VALUE(LEFT(CH156,4)),VALUE(LEFT(CH156,FIND("-",CH156)-1)))+2000,IF(AND(LEN(CH156)=9,ISERROR(FIND("-",LEFT(CH156,8))),ISNUMBER(-LEFT(CH156,8))),VALUE(LEFT(CH156,4)),VALUE(LEFT(CH156,FIND("-",CH156)-1)))),""))</f>
        <v/>
      </c>
      <c r="CN156">
        <f>IF(CH156="","",IFERROR(IF(AND(LEN(CH156)=9,ISERROR(FIND("-",LEFT(CH156,8))),ISNUMBER(-LEFT(CH156,8))),VALUE(MID(CH156,5,2)),VALUE(MID(CH156,FIND("-",CH156)+1,FIND("-",CH156,FIND("-",CH156)+1)-FIND("-",CH156)-1))),""))</f>
        <v/>
      </c>
      <c r="CO156">
        <f>IF(CH156="","",IFERROR(IF(AND(LEN(CH156)=9,ISERROR(FIND("-",LEFT(CH156,8))),ISNUMBER(-LEFT(CH156,8))),VALUE(MID(CH156,7,2)),VALUE(MID(CH156,FIND("-",CH156,FIND("-",CH156)+1)+1,FIND("-",CH156,FIND("-",CH156,FIND("-",CH156)+1)+1)-FIND("-",CH156,FIND("-",CH156)+1)-1))),""))</f>
        <v/>
      </c>
    </row>
    <row r="157">
      <c r="A157" t="n">
        <v>5</v>
      </c>
      <c r="B157">
        <f>$B$1+5</f>
        <v/>
      </c>
      <c r="C157">
        <f>$B$2</f>
        <v/>
      </c>
      <c r="D157">
        <f>IF($B$1+1&gt;90,C157,(C157+IF($B$1+1&lt;=$B157,12*$B$9,-12*MAX(0,$B$8-IF($B$1+1&gt;=$B$23,$B$22,0))*(1+$B$4)^1))*IF(C157+IF($B$1+1&lt;=$B157,12*$B$9,-12*MAX(0,$B$8-IF($B$1+1&gt;=$B$23,$B$22,0))*(1+$B$4)^1)&gt;0,1+$B$3,1))</f>
        <v/>
      </c>
      <c r="E157">
        <f>IF($B$1+2&gt;90,D157,(D157+IF($B$1+2&lt;=$B157,12*$B$9,-12*MAX(0,$B$8-IF($B$1+2&gt;=$B$23,$B$22,0))*(1+$B$4)^2))*IF(D157+IF($B$1+2&lt;=$B157,12*$B$9,-12*MAX(0,$B$8-IF($B$1+2&gt;=$B$23,$B$22,0))*(1+$B$4)^2)&gt;0,1+$B$3,1))</f>
        <v/>
      </c>
      <c r="F157">
        <f>IF($B$1+3&gt;90,E157,(E157+IF($B$1+3&lt;=$B157,12*$B$9,-12*MAX(0,$B$8-IF($B$1+3&gt;=$B$23,$B$22,0))*(1+$B$4)^3))*IF(E157+IF($B$1+3&lt;=$B157,12*$B$9,-12*MAX(0,$B$8-IF($B$1+3&gt;=$B$23,$B$22,0))*(1+$B$4)^3)&gt;0,1+$B$3,1))</f>
        <v/>
      </c>
      <c r="G157">
        <f>IF($B$1+4&gt;90,F157,(F157+IF($B$1+4&lt;=$B157,12*$B$9,-12*MAX(0,$B$8-IF($B$1+4&gt;=$B$23,$B$22,0))*(1+$B$4)^4))*IF(F157+IF($B$1+4&lt;=$B157,12*$B$9,-12*MAX(0,$B$8-IF($B$1+4&gt;=$B$23,$B$22,0))*(1+$B$4)^4)&gt;0,1+$B$3,1))</f>
        <v/>
      </c>
      <c r="H157">
        <f>IF($B$1+5&gt;90,G157,(G157+IF($B$1+5&lt;=$B157,12*$B$9,-12*MAX(0,$B$8-IF($B$1+5&gt;=$B$23,$B$22,0))*(1+$B$4)^5))*IF(G157+IF($B$1+5&lt;=$B157,12*$B$9,-12*MAX(0,$B$8-IF($B$1+5&gt;=$B$23,$B$22,0))*(1+$B$4)^5)&gt;0,1+$B$3,1))</f>
        <v/>
      </c>
      <c r="I157">
        <f>IF($B$1+6&gt;90,H157,(H157+IF($B$1+6&lt;=$B157,12*$B$9,-12*MAX(0,$B$8-IF($B$1+6&gt;=$B$23,$B$22,0))*(1+$B$4)^6))*IF(H157+IF($B$1+6&lt;=$B157,12*$B$9,-12*MAX(0,$B$8-IF($B$1+6&gt;=$B$23,$B$22,0))*(1+$B$4)^6)&gt;0,1+$B$3,1))</f>
        <v/>
      </c>
      <c r="J157">
        <f>IF($B$1+7&gt;90,I157,(I157+IF($B$1+7&lt;=$B157,12*$B$9,-12*MAX(0,$B$8-IF($B$1+7&gt;=$B$23,$B$22,0))*(1+$B$4)^7))*IF(I157+IF($B$1+7&lt;=$B157,12*$B$9,-12*MAX(0,$B$8-IF($B$1+7&gt;=$B$23,$B$22,0))*(1+$B$4)^7)&gt;0,1+$B$3,1))</f>
        <v/>
      </c>
      <c r="K157">
        <f>IF($B$1+8&gt;90,J157,(J157+IF($B$1+8&lt;=$B157,12*$B$9,-12*MAX(0,$B$8-IF($B$1+8&gt;=$B$23,$B$22,0))*(1+$B$4)^8))*IF(J157+IF($B$1+8&lt;=$B157,12*$B$9,-12*MAX(0,$B$8-IF($B$1+8&gt;=$B$23,$B$22,0))*(1+$B$4)^8)&gt;0,1+$B$3,1))</f>
        <v/>
      </c>
      <c r="L157">
        <f>IF($B$1+9&gt;90,K157,(K157+IF($B$1+9&lt;=$B157,12*$B$9,-12*MAX(0,$B$8-IF($B$1+9&gt;=$B$23,$B$22,0))*(1+$B$4)^9))*IF(K157+IF($B$1+9&lt;=$B157,12*$B$9,-12*MAX(0,$B$8-IF($B$1+9&gt;=$B$23,$B$22,0))*(1+$B$4)^9)&gt;0,1+$B$3,1))</f>
        <v/>
      </c>
      <c r="M157">
        <f>IF($B$1+10&gt;90,L157,(L157+IF($B$1+10&lt;=$B157,12*$B$9,-12*MAX(0,$B$8-IF($B$1+10&gt;=$B$23,$B$22,0))*(1+$B$4)^10))*IF(L157+IF($B$1+10&lt;=$B157,12*$B$9,-12*MAX(0,$B$8-IF($B$1+10&gt;=$B$23,$B$22,0))*(1+$B$4)^10)&gt;0,1+$B$3,1))</f>
        <v/>
      </c>
      <c r="N157">
        <f>IF($B$1+11&gt;90,M157,(M157+IF($B$1+11&lt;=$B157,12*$B$9,-12*MAX(0,$B$8-IF($B$1+11&gt;=$B$23,$B$22,0))*(1+$B$4)^11))*IF(M157+IF($B$1+11&lt;=$B157,12*$B$9,-12*MAX(0,$B$8-IF($B$1+11&gt;=$B$23,$B$22,0))*(1+$B$4)^11)&gt;0,1+$B$3,1))</f>
        <v/>
      </c>
      <c r="O157">
        <f>IF($B$1+12&gt;90,N157,(N157+IF($B$1+12&lt;=$B157,12*$B$9,-12*MAX(0,$B$8-IF($B$1+12&gt;=$B$23,$B$22,0))*(1+$B$4)^12))*IF(N157+IF($B$1+12&lt;=$B157,12*$B$9,-12*MAX(0,$B$8-IF($B$1+12&gt;=$B$23,$B$22,0))*(1+$B$4)^12)&gt;0,1+$B$3,1))</f>
        <v/>
      </c>
      <c r="P157">
        <f>IF($B$1+13&gt;90,O157,(O157+IF($B$1+13&lt;=$B157,12*$B$9,-12*MAX(0,$B$8-IF($B$1+13&gt;=$B$23,$B$22,0))*(1+$B$4)^13))*IF(O157+IF($B$1+13&lt;=$B157,12*$B$9,-12*MAX(0,$B$8-IF($B$1+13&gt;=$B$23,$B$22,0))*(1+$B$4)^13)&gt;0,1+$B$3,1))</f>
        <v/>
      </c>
      <c r="Q157">
        <f>IF($B$1+14&gt;90,P157,(P157+IF($B$1+14&lt;=$B157,12*$B$9,-12*MAX(0,$B$8-IF($B$1+14&gt;=$B$23,$B$22,0))*(1+$B$4)^14))*IF(P157+IF($B$1+14&lt;=$B157,12*$B$9,-12*MAX(0,$B$8-IF($B$1+14&gt;=$B$23,$B$22,0))*(1+$B$4)^14)&gt;0,1+$B$3,1))</f>
        <v/>
      </c>
      <c r="R157">
        <f>IF($B$1+15&gt;90,Q157,(Q157+IF($B$1+15&lt;=$B157,12*$B$9,-12*MAX(0,$B$8-IF($B$1+15&gt;=$B$23,$B$22,0))*(1+$B$4)^15))*IF(Q157+IF($B$1+15&lt;=$B157,12*$B$9,-12*MAX(0,$B$8-IF($B$1+15&gt;=$B$23,$B$22,0))*(1+$B$4)^15)&gt;0,1+$B$3,1))</f>
        <v/>
      </c>
      <c r="S157">
        <f>IF($B$1+16&gt;90,R157,(R157+IF($B$1+16&lt;=$B157,12*$B$9,-12*MAX(0,$B$8-IF($B$1+16&gt;=$B$23,$B$22,0))*(1+$B$4)^16))*IF(R157+IF($B$1+16&lt;=$B157,12*$B$9,-12*MAX(0,$B$8-IF($B$1+16&gt;=$B$23,$B$22,0))*(1+$B$4)^16)&gt;0,1+$B$3,1))</f>
        <v/>
      </c>
      <c r="T157">
        <f>IF($B$1+17&gt;90,S157,(S157+IF($B$1+17&lt;=$B157,12*$B$9,-12*MAX(0,$B$8-IF($B$1+17&gt;=$B$23,$B$22,0))*(1+$B$4)^17))*IF(S157+IF($B$1+17&lt;=$B157,12*$B$9,-12*MAX(0,$B$8-IF($B$1+17&gt;=$B$23,$B$22,0))*(1+$B$4)^17)&gt;0,1+$B$3,1))</f>
        <v/>
      </c>
      <c r="U157">
        <f>IF($B$1+18&gt;90,T157,(T157+IF($B$1+18&lt;=$B157,12*$B$9,-12*MAX(0,$B$8-IF($B$1+18&gt;=$B$23,$B$22,0))*(1+$B$4)^18))*IF(T157+IF($B$1+18&lt;=$B157,12*$B$9,-12*MAX(0,$B$8-IF($B$1+18&gt;=$B$23,$B$22,0))*(1+$B$4)^18)&gt;0,1+$B$3,1))</f>
        <v/>
      </c>
      <c r="V157">
        <f>IF($B$1+19&gt;90,U157,(U157+IF($B$1+19&lt;=$B157,12*$B$9,-12*MAX(0,$B$8-IF($B$1+19&gt;=$B$23,$B$22,0))*(1+$B$4)^19))*IF(U157+IF($B$1+19&lt;=$B157,12*$B$9,-12*MAX(0,$B$8-IF($B$1+19&gt;=$B$23,$B$22,0))*(1+$B$4)^19)&gt;0,1+$B$3,1))</f>
        <v/>
      </c>
      <c r="W157">
        <f>IF($B$1+20&gt;90,V157,(V157+IF($B$1+20&lt;=$B157,12*$B$9,-12*MAX(0,$B$8-IF($B$1+20&gt;=$B$23,$B$22,0))*(1+$B$4)^20))*IF(V157+IF($B$1+20&lt;=$B157,12*$B$9,-12*MAX(0,$B$8-IF($B$1+20&gt;=$B$23,$B$22,0))*(1+$B$4)^20)&gt;0,1+$B$3,1))</f>
        <v/>
      </c>
      <c r="X157">
        <f>IF($B$1+21&gt;90,W157,(W157+IF($B$1+21&lt;=$B157,12*$B$9,-12*MAX(0,$B$8-IF($B$1+21&gt;=$B$23,$B$22,0))*(1+$B$4)^21))*IF(W157+IF($B$1+21&lt;=$B157,12*$B$9,-12*MAX(0,$B$8-IF($B$1+21&gt;=$B$23,$B$22,0))*(1+$B$4)^21)&gt;0,1+$B$3,1))</f>
        <v/>
      </c>
      <c r="Y157">
        <f>IF($B$1+22&gt;90,X157,(X157+IF($B$1+22&lt;=$B157,12*$B$9,-12*MAX(0,$B$8-IF($B$1+22&gt;=$B$23,$B$22,0))*(1+$B$4)^22))*IF(X157+IF($B$1+22&lt;=$B157,12*$B$9,-12*MAX(0,$B$8-IF($B$1+22&gt;=$B$23,$B$22,0))*(1+$B$4)^22)&gt;0,1+$B$3,1))</f>
        <v/>
      </c>
      <c r="Z157">
        <f>IF($B$1+23&gt;90,Y157,(Y157+IF($B$1+23&lt;=$B157,12*$B$9,-12*MAX(0,$B$8-IF($B$1+23&gt;=$B$23,$B$22,0))*(1+$B$4)^23))*IF(Y157+IF($B$1+23&lt;=$B157,12*$B$9,-12*MAX(0,$B$8-IF($B$1+23&gt;=$B$23,$B$22,0))*(1+$B$4)^23)&gt;0,1+$B$3,1))</f>
        <v/>
      </c>
      <c r="AA157">
        <f>IF($B$1+24&gt;90,Z157,(Z157+IF($B$1+24&lt;=$B157,12*$B$9,-12*MAX(0,$B$8-IF($B$1+24&gt;=$B$23,$B$22,0))*(1+$B$4)^24))*IF(Z157+IF($B$1+24&lt;=$B157,12*$B$9,-12*MAX(0,$B$8-IF($B$1+24&gt;=$B$23,$B$22,0))*(1+$B$4)^24)&gt;0,1+$B$3,1))</f>
        <v/>
      </c>
      <c r="AB157">
        <f>IF($B$1+25&gt;90,AA157,(AA157+IF($B$1+25&lt;=$B157,12*$B$9,-12*MAX(0,$B$8-IF($B$1+25&gt;=$B$23,$B$22,0))*(1+$B$4)^25))*IF(AA157+IF($B$1+25&lt;=$B157,12*$B$9,-12*MAX(0,$B$8-IF($B$1+25&gt;=$B$23,$B$22,0))*(1+$B$4)^25)&gt;0,1+$B$3,1))</f>
        <v/>
      </c>
      <c r="AC157">
        <f>IF($B$1+26&gt;90,AB157,(AB157+IF($B$1+26&lt;=$B157,12*$B$9,-12*MAX(0,$B$8-IF($B$1+26&gt;=$B$23,$B$22,0))*(1+$B$4)^26))*IF(AB157+IF($B$1+26&lt;=$B157,12*$B$9,-12*MAX(0,$B$8-IF($B$1+26&gt;=$B$23,$B$22,0))*(1+$B$4)^26)&gt;0,1+$B$3,1))</f>
        <v/>
      </c>
      <c r="AD157">
        <f>IF($B$1+27&gt;90,AC157,(AC157+IF($B$1+27&lt;=$B157,12*$B$9,-12*MAX(0,$B$8-IF($B$1+27&gt;=$B$23,$B$22,0))*(1+$B$4)^27))*IF(AC157+IF($B$1+27&lt;=$B157,12*$B$9,-12*MAX(0,$B$8-IF($B$1+27&gt;=$B$23,$B$22,0))*(1+$B$4)^27)&gt;0,1+$B$3,1))</f>
        <v/>
      </c>
      <c r="AE157">
        <f>IF($B$1+28&gt;90,AD157,(AD157+IF($B$1+28&lt;=$B157,12*$B$9,-12*MAX(0,$B$8-IF($B$1+28&gt;=$B$23,$B$22,0))*(1+$B$4)^28))*IF(AD157+IF($B$1+28&lt;=$B157,12*$B$9,-12*MAX(0,$B$8-IF($B$1+28&gt;=$B$23,$B$22,0))*(1+$B$4)^28)&gt;0,1+$B$3,1))</f>
        <v/>
      </c>
      <c r="AF157">
        <f>IF($B$1+29&gt;90,AE157,(AE157+IF($B$1+29&lt;=$B157,12*$B$9,-12*MAX(0,$B$8-IF($B$1+29&gt;=$B$23,$B$22,0))*(1+$B$4)^29))*IF(AE157+IF($B$1+29&lt;=$B157,12*$B$9,-12*MAX(0,$B$8-IF($B$1+29&gt;=$B$23,$B$22,0))*(1+$B$4)^29)&gt;0,1+$B$3,1))</f>
        <v/>
      </c>
      <c r="AG157">
        <f>IF($B$1+30&gt;90,AF157,(AF157+IF($B$1+30&lt;=$B157,12*$B$9,-12*MAX(0,$B$8-IF($B$1+30&gt;=$B$23,$B$22,0))*(1+$B$4)^30))*IF(AF157+IF($B$1+30&lt;=$B157,12*$B$9,-12*MAX(0,$B$8-IF($B$1+30&gt;=$B$23,$B$22,0))*(1+$B$4)^30)&gt;0,1+$B$3,1))</f>
        <v/>
      </c>
      <c r="AH157">
        <f>IF($B$1+31&gt;90,AG157,(AG157+IF($B$1+31&lt;=$B157,12*$B$9,-12*MAX(0,$B$8-IF($B$1+31&gt;=$B$23,$B$22,0))*(1+$B$4)^31))*IF(AG157+IF($B$1+31&lt;=$B157,12*$B$9,-12*MAX(0,$B$8-IF($B$1+31&gt;=$B$23,$B$22,0))*(1+$B$4)^31)&gt;0,1+$B$3,1))</f>
        <v/>
      </c>
      <c r="AI157">
        <f>IF($B$1+32&gt;90,AH157,(AH157+IF($B$1+32&lt;=$B157,12*$B$9,-12*MAX(0,$B$8-IF($B$1+32&gt;=$B$23,$B$22,0))*(1+$B$4)^32))*IF(AH157+IF($B$1+32&lt;=$B157,12*$B$9,-12*MAX(0,$B$8-IF($B$1+32&gt;=$B$23,$B$22,0))*(1+$B$4)^32)&gt;0,1+$B$3,1))</f>
        <v/>
      </c>
      <c r="AJ157">
        <f>IF($B$1+33&gt;90,AI157,(AI157+IF($B$1+33&lt;=$B157,12*$B$9,-12*MAX(0,$B$8-IF($B$1+33&gt;=$B$23,$B$22,0))*(1+$B$4)^33))*IF(AI157+IF($B$1+33&lt;=$B157,12*$B$9,-12*MAX(0,$B$8-IF($B$1+33&gt;=$B$23,$B$22,0))*(1+$B$4)^33)&gt;0,1+$B$3,1))</f>
        <v/>
      </c>
      <c r="AK157">
        <f>IF($B$1+34&gt;90,AJ157,(AJ157+IF($B$1+34&lt;=$B157,12*$B$9,-12*MAX(0,$B$8-IF($B$1+34&gt;=$B$23,$B$22,0))*(1+$B$4)^34))*IF(AJ157+IF($B$1+34&lt;=$B157,12*$B$9,-12*MAX(0,$B$8-IF($B$1+34&gt;=$B$23,$B$22,0))*(1+$B$4)^34)&gt;0,1+$B$3,1))</f>
        <v/>
      </c>
      <c r="AL157">
        <f>IF($B$1+35&gt;90,AK157,(AK157+IF($B$1+35&lt;=$B157,12*$B$9,-12*MAX(0,$B$8-IF($B$1+35&gt;=$B$23,$B$22,0))*(1+$B$4)^35))*IF(AK157+IF($B$1+35&lt;=$B157,12*$B$9,-12*MAX(0,$B$8-IF($B$1+35&gt;=$B$23,$B$22,0))*(1+$B$4)^35)&gt;0,1+$B$3,1))</f>
        <v/>
      </c>
      <c r="AM157">
        <f>IF($B$1+36&gt;90,AL157,(AL157+IF($B$1+36&lt;=$B157,12*$B$9,-12*MAX(0,$B$8-IF($B$1+36&gt;=$B$23,$B$22,0))*(1+$B$4)^36))*IF(AL157+IF($B$1+36&lt;=$B157,12*$B$9,-12*MAX(0,$B$8-IF($B$1+36&gt;=$B$23,$B$22,0))*(1+$B$4)^36)&gt;0,1+$B$3,1))</f>
        <v/>
      </c>
      <c r="AN157">
        <f>IF($B$1+37&gt;90,AM157,(AM157+IF($B$1+37&lt;=$B157,12*$B$9,-12*MAX(0,$B$8-IF($B$1+37&gt;=$B$23,$B$22,0))*(1+$B$4)^37))*IF(AM157+IF($B$1+37&lt;=$B157,12*$B$9,-12*MAX(0,$B$8-IF($B$1+37&gt;=$B$23,$B$22,0))*(1+$B$4)^37)&gt;0,1+$B$3,1))</f>
        <v/>
      </c>
      <c r="AO157">
        <f>IF($B$1+38&gt;90,AN157,(AN157+IF($B$1+38&lt;=$B157,12*$B$9,-12*MAX(0,$B$8-IF($B$1+38&gt;=$B$23,$B$22,0))*(1+$B$4)^38))*IF(AN157+IF($B$1+38&lt;=$B157,12*$B$9,-12*MAX(0,$B$8-IF($B$1+38&gt;=$B$23,$B$22,0))*(1+$B$4)^38)&gt;0,1+$B$3,1))</f>
        <v/>
      </c>
      <c r="AP157">
        <f>IF($B$1+39&gt;90,AO157,(AO157+IF($B$1+39&lt;=$B157,12*$B$9,-12*MAX(0,$B$8-IF($B$1+39&gt;=$B$23,$B$22,0))*(1+$B$4)^39))*IF(AO157+IF($B$1+39&lt;=$B157,12*$B$9,-12*MAX(0,$B$8-IF($B$1+39&gt;=$B$23,$B$22,0))*(1+$B$4)^39)&gt;0,1+$B$3,1))</f>
        <v/>
      </c>
      <c r="AQ157">
        <f>IF($B$1+40&gt;90,AP157,(AP157+IF($B$1+40&lt;=$B157,12*$B$9,-12*MAX(0,$B$8-IF($B$1+40&gt;=$B$23,$B$22,0))*(1+$B$4)^40))*IF(AP157+IF($B$1+40&lt;=$B157,12*$B$9,-12*MAX(0,$B$8-IF($B$1+40&gt;=$B$23,$B$22,0))*(1+$B$4)^40)&gt;0,1+$B$3,1))</f>
        <v/>
      </c>
      <c r="AR157">
        <f>IF($B$1+41&gt;90,AQ157,(AQ157+IF($B$1+41&lt;=$B157,12*$B$9,-12*MAX(0,$B$8-IF($B$1+41&gt;=$B$23,$B$22,0))*(1+$B$4)^41))*IF(AQ157+IF($B$1+41&lt;=$B157,12*$B$9,-12*MAX(0,$B$8-IF($B$1+41&gt;=$B$23,$B$22,0))*(1+$B$4)^41)&gt;0,1+$B$3,1))</f>
        <v/>
      </c>
      <c r="AS157">
        <f>IF($B$1+42&gt;90,AR157,(AR157+IF($B$1+42&lt;=$B157,12*$B$9,-12*MAX(0,$B$8-IF($B$1+42&gt;=$B$23,$B$22,0))*(1+$B$4)^42))*IF(AR157+IF($B$1+42&lt;=$B157,12*$B$9,-12*MAX(0,$B$8-IF($B$1+42&gt;=$B$23,$B$22,0))*(1+$B$4)^42)&gt;0,1+$B$3,1))</f>
        <v/>
      </c>
      <c r="AT157">
        <f>IF($B$1+43&gt;90,AS157,(AS157+IF($B$1+43&lt;=$B157,12*$B$9,-12*MAX(0,$B$8-IF($B$1+43&gt;=$B$23,$B$22,0))*(1+$B$4)^43))*IF(AS157+IF($B$1+43&lt;=$B157,12*$B$9,-12*MAX(0,$B$8-IF($B$1+43&gt;=$B$23,$B$22,0))*(1+$B$4)^43)&gt;0,1+$B$3,1))</f>
        <v/>
      </c>
      <c r="AU157">
        <f>IF($B$1+44&gt;90,AT157,(AT157+IF($B$1+44&lt;=$B157,12*$B$9,-12*MAX(0,$B$8-IF($B$1+44&gt;=$B$23,$B$22,0))*(1+$B$4)^44))*IF(AT157+IF($B$1+44&lt;=$B157,12*$B$9,-12*MAX(0,$B$8-IF($B$1+44&gt;=$B$23,$B$22,0))*(1+$B$4)^44)&gt;0,1+$B$3,1))</f>
        <v/>
      </c>
      <c r="AV157">
        <f>IF($B$1+45&gt;90,AU157,(AU157+IF($B$1+45&lt;=$B157,12*$B$9,-12*MAX(0,$B$8-IF($B$1+45&gt;=$B$23,$B$22,0))*(1+$B$4)^45))*IF(AU157+IF($B$1+45&lt;=$B157,12*$B$9,-12*MAX(0,$B$8-IF($B$1+45&gt;=$B$23,$B$22,0))*(1+$B$4)^45)&gt;0,1+$B$3,1))</f>
        <v/>
      </c>
      <c r="AW157">
        <f>IF($B$1+46&gt;90,AV157,(AV157+IF($B$1+46&lt;=$B157,12*$B$9,-12*MAX(0,$B$8-IF($B$1+46&gt;=$B$23,$B$22,0))*(1+$B$4)^46))*IF(AV157+IF($B$1+46&lt;=$B157,12*$B$9,-12*MAX(0,$B$8-IF($B$1+46&gt;=$B$23,$B$22,0))*(1+$B$4)^46)&gt;0,1+$B$3,1))</f>
        <v/>
      </c>
      <c r="AX157">
        <f>IF($B$1+47&gt;90,AW157,(AW157+IF($B$1+47&lt;=$B157,12*$B$9,-12*MAX(0,$B$8-IF($B$1+47&gt;=$B$23,$B$22,0))*(1+$B$4)^47))*IF(AW157+IF($B$1+47&lt;=$B157,12*$B$9,-12*MAX(0,$B$8-IF($B$1+47&gt;=$B$23,$B$22,0))*(1+$B$4)^47)&gt;0,1+$B$3,1))</f>
        <v/>
      </c>
      <c r="AY157">
        <f>IF($B$1+48&gt;90,AX157,(AX157+IF($B$1+48&lt;=$B157,12*$B$9,-12*MAX(0,$B$8-IF($B$1+48&gt;=$B$23,$B$22,0))*(1+$B$4)^48))*IF(AX157+IF($B$1+48&lt;=$B157,12*$B$9,-12*MAX(0,$B$8-IF($B$1+48&gt;=$B$23,$B$22,0))*(1+$B$4)^48)&gt;0,1+$B$3,1))</f>
        <v/>
      </c>
      <c r="AZ157">
        <f>IF($B$1+49&gt;90,AY157,(AY157+IF($B$1+49&lt;=$B157,12*$B$9,-12*MAX(0,$B$8-IF($B$1+49&gt;=$B$23,$B$22,0))*(1+$B$4)^49))*IF(AY157+IF($B$1+49&lt;=$B157,12*$B$9,-12*MAX(0,$B$8-IF($B$1+49&gt;=$B$23,$B$22,0))*(1+$B$4)^49)&gt;0,1+$B$3,1))</f>
        <v/>
      </c>
      <c r="BA157">
        <f>IF($B$1+50&gt;90,AZ157,(AZ157+IF($B$1+50&lt;=$B157,12*$B$9,-12*MAX(0,$B$8-IF($B$1+50&gt;=$B$23,$B$22,0))*(1+$B$4)^50))*IF(AZ157+IF($B$1+50&lt;=$B157,12*$B$9,-12*MAX(0,$B$8-IF($B$1+50&gt;=$B$23,$B$22,0))*(1+$B$4)^50)&gt;0,1+$B$3,1))</f>
        <v/>
      </c>
      <c r="BB157">
        <f>IF($B$1+51&gt;90,BA157,(BA157+IF($B$1+51&lt;=$B157,12*$B$9,-12*MAX(0,$B$8-IF($B$1+51&gt;=$B$23,$B$22,0))*(1+$B$4)^51))*IF(BA157+IF($B$1+51&lt;=$B157,12*$B$9,-12*MAX(0,$B$8-IF($B$1+51&gt;=$B$23,$B$22,0))*(1+$B$4)^51)&gt;0,1+$B$3,1))</f>
        <v/>
      </c>
      <c r="BC157">
        <f>IF($B$1+52&gt;90,BB157,(BB157+IF($B$1+52&lt;=$B157,12*$B$9,-12*MAX(0,$B$8-IF($B$1+52&gt;=$B$23,$B$22,0))*(1+$B$4)^52))*IF(BB157+IF($B$1+52&lt;=$B157,12*$B$9,-12*MAX(0,$B$8-IF($B$1+52&gt;=$B$23,$B$22,0))*(1+$B$4)^52)&gt;0,1+$B$3,1))</f>
        <v/>
      </c>
      <c r="BD157">
        <f>IF($B$1+53&gt;90,BC157,(BC157+IF($B$1+53&lt;=$B157,12*$B$9,-12*MAX(0,$B$8-IF($B$1+53&gt;=$B$23,$B$22,0))*(1+$B$4)^53))*IF(BC157+IF($B$1+53&lt;=$B157,12*$B$9,-12*MAX(0,$B$8-IF($B$1+53&gt;=$B$23,$B$22,0))*(1+$B$4)^53)&gt;0,1+$B$3,1))</f>
        <v/>
      </c>
      <c r="BE157">
        <f>IF($B$1+54&gt;90,BD157,(BD157+IF($B$1+54&lt;=$B157,12*$B$9,-12*MAX(0,$B$8-IF($B$1+54&gt;=$B$23,$B$22,0))*(1+$B$4)^54))*IF(BD157+IF($B$1+54&lt;=$B157,12*$B$9,-12*MAX(0,$B$8-IF($B$1+54&gt;=$B$23,$B$22,0))*(1+$B$4)^54)&gt;0,1+$B$3,1))</f>
        <v/>
      </c>
      <c r="BF157">
        <f>IF($B$1+55&gt;90,BE157,(BE157+IF($B$1+55&lt;=$B157,12*$B$9,-12*MAX(0,$B$8-IF($B$1+55&gt;=$B$23,$B$22,0))*(1+$B$4)^55))*IF(BE157+IF($B$1+55&lt;=$B157,12*$B$9,-12*MAX(0,$B$8-IF($B$1+55&gt;=$B$23,$B$22,0))*(1+$B$4)^55)&gt;0,1+$B$3,1))</f>
        <v/>
      </c>
      <c r="BG157">
        <f>IF($B$1+56&gt;90,BF157,(BF157+IF($B$1+56&lt;=$B157,12*$B$9,-12*MAX(0,$B$8-IF($B$1+56&gt;=$B$23,$B$22,0))*(1+$B$4)^56))*IF(BF157+IF($B$1+56&lt;=$B157,12*$B$9,-12*MAX(0,$B$8-IF($B$1+56&gt;=$B$23,$B$22,0))*(1+$B$4)^56)&gt;0,1+$B$3,1))</f>
        <v/>
      </c>
      <c r="BH157">
        <f>IF($B$1+57&gt;90,BG157,(BG157+IF($B$1+57&lt;=$B157,12*$B$9,-12*MAX(0,$B$8-IF($B$1+57&gt;=$B$23,$B$22,0))*(1+$B$4)^57))*IF(BG157+IF($B$1+57&lt;=$B157,12*$B$9,-12*MAX(0,$B$8-IF($B$1+57&gt;=$B$23,$B$22,0))*(1+$B$4)^57)&gt;0,1+$B$3,1))</f>
        <v/>
      </c>
      <c r="BI157">
        <f>IF($B$1+58&gt;90,BH157,(BH157+IF($B$1+58&lt;=$B157,12*$B$9,-12*MAX(0,$B$8-IF($B$1+58&gt;=$B$23,$B$22,0))*(1+$B$4)^58))*IF(BH157+IF($B$1+58&lt;=$B157,12*$B$9,-12*MAX(0,$B$8-IF($B$1+58&gt;=$B$23,$B$22,0))*(1+$B$4)^58)&gt;0,1+$B$3,1))</f>
        <v/>
      </c>
      <c r="BJ157">
        <f>IF($B$1+59&gt;90,BI157,(BI157+IF($B$1+59&lt;=$B157,12*$B$9,-12*MAX(0,$B$8-IF($B$1+59&gt;=$B$23,$B$22,0))*(1+$B$4)^59))*IF(BI157+IF($B$1+59&lt;=$B157,12*$B$9,-12*MAX(0,$B$8-IF($B$1+59&gt;=$B$23,$B$22,0))*(1+$B$4)^59)&gt;0,1+$B$3,1))</f>
        <v/>
      </c>
      <c r="BK157">
        <f>IF($B$1+60&gt;90,BJ157,(BJ157+IF($B$1+60&lt;=$B157,12*$B$9,-12*MAX(0,$B$8-IF($B$1+60&gt;=$B$23,$B$22,0))*(1+$B$4)^60))*IF(BJ157+IF($B$1+60&lt;=$B157,12*$B$9,-12*MAX(0,$B$8-IF($B$1+60&gt;=$B$23,$B$22,0))*(1+$B$4)^60)&gt;0,1+$B$3,1))</f>
        <v/>
      </c>
      <c r="BL157">
        <f>IF($B$1+61&gt;90,BK157,(BK157+IF($B$1+61&lt;=$B157,12*$B$9,-12*MAX(0,$B$8-IF($B$1+61&gt;=$B$23,$B$22,0))*(1+$B$4)^61))*IF(BK157+IF($B$1+61&lt;=$B157,12*$B$9,-12*MAX(0,$B$8-IF($B$1+61&gt;=$B$23,$B$22,0))*(1+$B$4)^61)&gt;0,1+$B$3,1))</f>
        <v/>
      </c>
      <c r="BM157">
        <f>IF($B$1+62&gt;90,BL157,(BL157+IF($B$1+62&lt;=$B157,12*$B$9,-12*MAX(0,$B$8-IF($B$1+62&gt;=$B$23,$B$22,0))*(1+$B$4)^62))*IF(BL157+IF($B$1+62&lt;=$B157,12*$B$9,-12*MAX(0,$B$8-IF($B$1+62&gt;=$B$23,$B$22,0))*(1+$B$4)^62)&gt;0,1+$B$3,1))</f>
        <v/>
      </c>
      <c r="BN157">
        <f>IF($B$1+63&gt;90,BM157,(BM157+IF($B$1+63&lt;=$B157,12*$B$9,-12*MAX(0,$B$8-IF($B$1+63&gt;=$B$23,$B$22,0))*(1+$B$4)^63))*IF(BM157+IF($B$1+63&lt;=$B157,12*$B$9,-12*MAX(0,$B$8-IF($B$1+63&gt;=$B$23,$B$22,0))*(1+$B$4)^63)&gt;0,1+$B$3,1))</f>
        <v/>
      </c>
      <c r="BO157">
        <f>IF($B$1+64&gt;90,BN157,(BN157+IF($B$1+64&lt;=$B157,12*$B$9,-12*MAX(0,$B$8-IF($B$1+64&gt;=$B$23,$B$22,0))*(1+$B$4)^64))*IF(BN157+IF($B$1+64&lt;=$B157,12*$B$9,-12*MAX(0,$B$8-IF($B$1+64&gt;=$B$23,$B$22,0))*(1+$B$4)^64)&gt;0,1+$B$3,1))</f>
        <v/>
      </c>
      <c r="BP157">
        <f>IF($B$1+65&gt;90,BO157,(BO157+IF($B$1+65&lt;=$B157,12*$B$9,-12*MAX(0,$B$8-IF($B$1+65&gt;=$B$23,$B$22,0))*(1+$B$4)^65))*IF(BO157+IF($B$1+65&lt;=$B157,12*$B$9,-12*MAX(0,$B$8-IF($B$1+65&gt;=$B$23,$B$22,0))*(1+$B$4)^65)&gt;0,1+$B$3,1))</f>
        <v/>
      </c>
      <c r="BQ157">
        <f>IF($B$1+66&gt;90,BP157,(BP157+IF($B$1+66&lt;=$B157,12*$B$9,-12*MAX(0,$B$8-IF($B$1+66&gt;=$B$23,$B$22,0))*(1+$B$4)^66))*IF(BP157+IF($B$1+66&lt;=$B157,12*$B$9,-12*MAX(0,$B$8-IF($B$1+66&gt;=$B$23,$B$22,0))*(1+$B$4)^66)&gt;0,1+$B$3,1))</f>
        <v/>
      </c>
      <c r="BR157">
        <f>IF($B$1+67&gt;90,BQ157,(BQ157+IF($B$1+67&lt;=$B157,12*$B$9,-12*MAX(0,$B$8-IF($B$1+67&gt;=$B$23,$B$22,0))*(1+$B$4)^67))*IF(BQ157+IF($B$1+67&lt;=$B157,12*$B$9,-12*MAX(0,$B$8-IF($B$1+67&gt;=$B$23,$B$22,0))*(1+$B$4)^67)&gt;0,1+$B$3,1))</f>
        <v/>
      </c>
      <c r="BS157">
        <f>IF($B$1+68&gt;90,BR157,(BR157+IF($B$1+68&lt;=$B157,12*$B$9,-12*MAX(0,$B$8-IF($B$1+68&gt;=$B$23,$B$22,0))*(1+$B$4)^68))*IF(BR157+IF($B$1+68&lt;=$B157,12*$B$9,-12*MAX(0,$B$8-IF($B$1+68&gt;=$B$23,$B$22,0))*(1+$B$4)^68)&gt;0,1+$B$3,1))</f>
        <v/>
      </c>
      <c r="BT157">
        <f>IF($B$1+69&gt;90,BS157,(BS157+IF($B$1+69&lt;=$B157,12*$B$9,-12*MAX(0,$B$8-IF($B$1+69&gt;=$B$23,$B$22,0))*(1+$B$4)^69))*IF(BS157+IF($B$1+69&lt;=$B157,12*$B$9,-12*MAX(0,$B$8-IF($B$1+69&gt;=$B$23,$B$22,0))*(1+$B$4)^69)&gt;0,1+$B$3,1))</f>
        <v/>
      </c>
      <c r="BU157">
        <f>IF($B$1+70&gt;90,BT157,(BT157+IF($B$1+70&lt;=$B157,12*$B$9,-12*MAX(0,$B$8-IF($B$1+70&gt;=$B$23,$B$22,0))*(1+$B$4)^70))*IF(BT157+IF($B$1+70&lt;=$B157,12*$B$9,-12*MAX(0,$B$8-IF($B$1+70&gt;=$B$23,$B$22,0))*(1+$B$4)^70)&gt;0,1+$B$3,1))</f>
        <v/>
      </c>
      <c r="BV157">
        <f>BU157</f>
        <v/>
      </c>
      <c r="BW157">
        <f>IF(AND($B157&lt;=70,BV157&gt;0),$B157,999)</f>
        <v/>
      </c>
      <c r="CH157">
        <f>IF(ISTEXT('월 가계부'!A157),SUBSTITUTE(SUBSTITUTE(SUBSTITUTE(SUBSTITUTE(SUBSTITUTE(SUBSTITUTE(SUBSTITUTE(SUBSTITUTE(SUBSTITUTE(TRIM('월 가계부'!A157),"년","-"),"월","-"),"일",""),".","-"),"/","-")," ","-"),"--","-"),"--","-"),"--","-")&amp;"-","")</f>
        <v/>
      </c>
      <c r="CI157">
        <f>IFERROR(IF('월 가계부'!A157="","",IF(ISNUMBER('월 가계부'!A157),IF(AND('월 가계부'!A157&gt;=19000101,'월 가계부'!A157&lt;=21001231),IF(AND(MOD(INT('월 가계부'!A157/100),100)&gt;=1,MOD(INT('월 가계부'!A157/100),100)&lt;=12,MOD(INT('월 가계부'!A157),100)&gt;=1,MOD(INT('월 가계부'!A157),100)&lt;=31),IF(MONTH(DATE(INT('월 가계부'!A157/10000),MOD(INT('월 가계부'!A157/100),100),MOD(INT('월 가계부'!A157),100)))=MOD(INT('월 가계부'!A157/100),100),DATE(INT('월 가계부'!A157/10000),MOD(INT('월 가계부'!A157/100),100),MOD(INT('월 가계부'!A157),100)),""),""),IF(AND('월 가계부'!A157&gt;=36526,'월 가계부'!A157&lt;73051),INT('월 가계부'!A157),"")),IF(OR(CM157="",CN157="",CO157=""),"",IF(AND(CM157&gt;=2000,CM157&lt;=2099,CN157&gt;=1,CN157&lt;=12,CO157&gt;=1,CO157&lt;=31),IF(MONTH(DATE(CM157,CN157,CO157))=CN157,DATE(CM157,CN157,CO157),""),"")))),"")</f>
        <v/>
      </c>
      <c r="CJ157">
        <f>IFERROR(IF('월 가계부'!C157="","",IF(ISNUMBER('월 가계부'!C157),'월 가계부'!C157,VALUE(SUBSTITUTE(SUBSTITUTE(SUBSTITUTE(SUBSTITUTE(TRIM('월 가계부'!C157),",",""),"원","")," ",""),"−","-")))),"")</f>
        <v/>
      </c>
      <c r="CK157">
        <f>IF(ISNUMBER(CI157),IF(CI157&lt;$B$13,CI157,""),"")</f>
        <v/>
      </c>
      <c r="CM157">
        <f>IF(CH157="","",IFERROR(IF(IF(AND(LEN(CH157)=9,ISERROR(FIND("-",LEFT(CH157,8))),ISNUMBER(-LEFT(CH157,8))),VALUE(LEFT(CH157,4)),VALUE(LEFT(CH157,FIND("-",CH157)-1)))&lt;100,IF(AND(LEN(CH157)=9,ISERROR(FIND("-",LEFT(CH157,8))),ISNUMBER(-LEFT(CH157,8))),VALUE(LEFT(CH157,4)),VALUE(LEFT(CH157,FIND("-",CH157)-1)))+2000,IF(AND(LEN(CH157)=9,ISERROR(FIND("-",LEFT(CH157,8))),ISNUMBER(-LEFT(CH157,8))),VALUE(LEFT(CH157,4)),VALUE(LEFT(CH157,FIND("-",CH157)-1)))),""))</f>
        <v/>
      </c>
      <c r="CN157">
        <f>IF(CH157="","",IFERROR(IF(AND(LEN(CH157)=9,ISERROR(FIND("-",LEFT(CH157,8))),ISNUMBER(-LEFT(CH157,8))),VALUE(MID(CH157,5,2)),VALUE(MID(CH157,FIND("-",CH157)+1,FIND("-",CH157,FIND("-",CH157)+1)-FIND("-",CH157)-1))),""))</f>
        <v/>
      </c>
      <c r="CO157">
        <f>IF(CH157="","",IFERROR(IF(AND(LEN(CH157)=9,ISERROR(FIND("-",LEFT(CH157,8))),ISNUMBER(-LEFT(CH157,8))),VALUE(MID(CH157,7,2)),VALUE(MID(CH157,FIND("-",CH157,FIND("-",CH157)+1)+1,FIND("-",CH157,FIND("-",CH157,FIND("-",CH157)+1)+1)-FIND("-",CH157,FIND("-",CH157)+1)-1))),""))</f>
        <v/>
      </c>
    </row>
    <row r="158">
      <c r="A158" t="n">
        <v>6</v>
      </c>
      <c r="B158">
        <f>$B$1+6</f>
        <v/>
      </c>
      <c r="C158">
        <f>$B$2</f>
        <v/>
      </c>
      <c r="D158">
        <f>IF($B$1+1&gt;90,C158,(C158+IF($B$1+1&lt;=$B158,12*$B$9,-12*MAX(0,$B$8-IF($B$1+1&gt;=$B$23,$B$22,0))*(1+$B$4)^1))*IF(C158+IF($B$1+1&lt;=$B158,12*$B$9,-12*MAX(0,$B$8-IF($B$1+1&gt;=$B$23,$B$22,0))*(1+$B$4)^1)&gt;0,1+$B$3,1))</f>
        <v/>
      </c>
      <c r="E158">
        <f>IF($B$1+2&gt;90,D158,(D158+IF($B$1+2&lt;=$B158,12*$B$9,-12*MAX(0,$B$8-IF($B$1+2&gt;=$B$23,$B$22,0))*(1+$B$4)^2))*IF(D158+IF($B$1+2&lt;=$B158,12*$B$9,-12*MAX(0,$B$8-IF($B$1+2&gt;=$B$23,$B$22,0))*(1+$B$4)^2)&gt;0,1+$B$3,1))</f>
        <v/>
      </c>
      <c r="F158">
        <f>IF($B$1+3&gt;90,E158,(E158+IF($B$1+3&lt;=$B158,12*$B$9,-12*MAX(0,$B$8-IF($B$1+3&gt;=$B$23,$B$22,0))*(1+$B$4)^3))*IF(E158+IF($B$1+3&lt;=$B158,12*$B$9,-12*MAX(0,$B$8-IF($B$1+3&gt;=$B$23,$B$22,0))*(1+$B$4)^3)&gt;0,1+$B$3,1))</f>
        <v/>
      </c>
      <c r="G158">
        <f>IF($B$1+4&gt;90,F158,(F158+IF($B$1+4&lt;=$B158,12*$B$9,-12*MAX(0,$B$8-IF($B$1+4&gt;=$B$23,$B$22,0))*(1+$B$4)^4))*IF(F158+IF($B$1+4&lt;=$B158,12*$B$9,-12*MAX(0,$B$8-IF($B$1+4&gt;=$B$23,$B$22,0))*(1+$B$4)^4)&gt;0,1+$B$3,1))</f>
        <v/>
      </c>
      <c r="H158">
        <f>IF($B$1+5&gt;90,G158,(G158+IF($B$1+5&lt;=$B158,12*$B$9,-12*MAX(0,$B$8-IF($B$1+5&gt;=$B$23,$B$22,0))*(1+$B$4)^5))*IF(G158+IF($B$1+5&lt;=$B158,12*$B$9,-12*MAX(0,$B$8-IF($B$1+5&gt;=$B$23,$B$22,0))*(1+$B$4)^5)&gt;0,1+$B$3,1))</f>
        <v/>
      </c>
      <c r="I158">
        <f>IF($B$1+6&gt;90,H158,(H158+IF($B$1+6&lt;=$B158,12*$B$9,-12*MAX(0,$B$8-IF($B$1+6&gt;=$B$23,$B$22,0))*(1+$B$4)^6))*IF(H158+IF($B$1+6&lt;=$B158,12*$B$9,-12*MAX(0,$B$8-IF($B$1+6&gt;=$B$23,$B$22,0))*(1+$B$4)^6)&gt;0,1+$B$3,1))</f>
        <v/>
      </c>
      <c r="J158">
        <f>IF($B$1+7&gt;90,I158,(I158+IF($B$1+7&lt;=$B158,12*$B$9,-12*MAX(0,$B$8-IF($B$1+7&gt;=$B$23,$B$22,0))*(1+$B$4)^7))*IF(I158+IF($B$1+7&lt;=$B158,12*$B$9,-12*MAX(0,$B$8-IF($B$1+7&gt;=$B$23,$B$22,0))*(1+$B$4)^7)&gt;0,1+$B$3,1))</f>
        <v/>
      </c>
      <c r="K158">
        <f>IF($B$1+8&gt;90,J158,(J158+IF($B$1+8&lt;=$B158,12*$B$9,-12*MAX(0,$B$8-IF($B$1+8&gt;=$B$23,$B$22,0))*(1+$B$4)^8))*IF(J158+IF($B$1+8&lt;=$B158,12*$B$9,-12*MAX(0,$B$8-IF($B$1+8&gt;=$B$23,$B$22,0))*(1+$B$4)^8)&gt;0,1+$B$3,1))</f>
        <v/>
      </c>
      <c r="L158">
        <f>IF($B$1+9&gt;90,K158,(K158+IF($B$1+9&lt;=$B158,12*$B$9,-12*MAX(0,$B$8-IF($B$1+9&gt;=$B$23,$B$22,0))*(1+$B$4)^9))*IF(K158+IF($B$1+9&lt;=$B158,12*$B$9,-12*MAX(0,$B$8-IF($B$1+9&gt;=$B$23,$B$22,0))*(1+$B$4)^9)&gt;0,1+$B$3,1))</f>
        <v/>
      </c>
      <c r="M158">
        <f>IF($B$1+10&gt;90,L158,(L158+IF($B$1+10&lt;=$B158,12*$B$9,-12*MAX(0,$B$8-IF($B$1+10&gt;=$B$23,$B$22,0))*(1+$B$4)^10))*IF(L158+IF($B$1+10&lt;=$B158,12*$B$9,-12*MAX(0,$B$8-IF($B$1+10&gt;=$B$23,$B$22,0))*(1+$B$4)^10)&gt;0,1+$B$3,1))</f>
        <v/>
      </c>
      <c r="N158">
        <f>IF($B$1+11&gt;90,M158,(M158+IF($B$1+11&lt;=$B158,12*$B$9,-12*MAX(0,$B$8-IF($B$1+11&gt;=$B$23,$B$22,0))*(1+$B$4)^11))*IF(M158+IF($B$1+11&lt;=$B158,12*$B$9,-12*MAX(0,$B$8-IF($B$1+11&gt;=$B$23,$B$22,0))*(1+$B$4)^11)&gt;0,1+$B$3,1))</f>
        <v/>
      </c>
      <c r="O158">
        <f>IF($B$1+12&gt;90,N158,(N158+IF($B$1+12&lt;=$B158,12*$B$9,-12*MAX(0,$B$8-IF($B$1+12&gt;=$B$23,$B$22,0))*(1+$B$4)^12))*IF(N158+IF($B$1+12&lt;=$B158,12*$B$9,-12*MAX(0,$B$8-IF($B$1+12&gt;=$B$23,$B$22,0))*(1+$B$4)^12)&gt;0,1+$B$3,1))</f>
        <v/>
      </c>
      <c r="P158">
        <f>IF($B$1+13&gt;90,O158,(O158+IF($B$1+13&lt;=$B158,12*$B$9,-12*MAX(0,$B$8-IF($B$1+13&gt;=$B$23,$B$22,0))*(1+$B$4)^13))*IF(O158+IF($B$1+13&lt;=$B158,12*$B$9,-12*MAX(0,$B$8-IF($B$1+13&gt;=$B$23,$B$22,0))*(1+$B$4)^13)&gt;0,1+$B$3,1))</f>
        <v/>
      </c>
      <c r="Q158">
        <f>IF($B$1+14&gt;90,P158,(P158+IF($B$1+14&lt;=$B158,12*$B$9,-12*MAX(0,$B$8-IF($B$1+14&gt;=$B$23,$B$22,0))*(1+$B$4)^14))*IF(P158+IF($B$1+14&lt;=$B158,12*$B$9,-12*MAX(0,$B$8-IF($B$1+14&gt;=$B$23,$B$22,0))*(1+$B$4)^14)&gt;0,1+$B$3,1))</f>
        <v/>
      </c>
      <c r="R158">
        <f>IF($B$1+15&gt;90,Q158,(Q158+IF($B$1+15&lt;=$B158,12*$B$9,-12*MAX(0,$B$8-IF($B$1+15&gt;=$B$23,$B$22,0))*(1+$B$4)^15))*IF(Q158+IF($B$1+15&lt;=$B158,12*$B$9,-12*MAX(0,$B$8-IF($B$1+15&gt;=$B$23,$B$22,0))*(1+$B$4)^15)&gt;0,1+$B$3,1))</f>
        <v/>
      </c>
      <c r="S158">
        <f>IF($B$1+16&gt;90,R158,(R158+IF($B$1+16&lt;=$B158,12*$B$9,-12*MAX(0,$B$8-IF($B$1+16&gt;=$B$23,$B$22,0))*(1+$B$4)^16))*IF(R158+IF($B$1+16&lt;=$B158,12*$B$9,-12*MAX(0,$B$8-IF($B$1+16&gt;=$B$23,$B$22,0))*(1+$B$4)^16)&gt;0,1+$B$3,1))</f>
        <v/>
      </c>
      <c r="T158">
        <f>IF($B$1+17&gt;90,S158,(S158+IF($B$1+17&lt;=$B158,12*$B$9,-12*MAX(0,$B$8-IF($B$1+17&gt;=$B$23,$B$22,0))*(1+$B$4)^17))*IF(S158+IF($B$1+17&lt;=$B158,12*$B$9,-12*MAX(0,$B$8-IF($B$1+17&gt;=$B$23,$B$22,0))*(1+$B$4)^17)&gt;0,1+$B$3,1))</f>
        <v/>
      </c>
      <c r="U158">
        <f>IF($B$1+18&gt;90,T158,(T158+IF($B$1+18&lt;=$B158,12*$B$9,-12*MAX(0,$B$8-IF($B$1+18&gt;=$B$23,$B$22,0))*(1+$B$4)^18))*IF(T158+IF($B$1+18&lt;=$B158,12*$B$9,-12*MAX(0,$B$8-IF($B$1+18&gt;=$B$23,$B$22,0))*(1+$B$4)^18)&gt;0,1+$B$3,1))</f>
        <v/>
      </c>
      <c r="V158">
        <f>IF($B$1+19&gt;90,U158,(U158+IF($B$1+19&lt;=$B158,12*$B$9,-12*MAX(0,$B$8-IF($B$1+19&gt;=$B$23,$B$22,0))*(1+$B$4)^19))*IF(U158+IF($B$1+19&lt;=$B158,12*$B$9,-12*MAX(0,$B$8-IF($B$1+19&gt;=$B$23,$B$22,0))*(1+$B$4)^19)&gt;0,1+$B$3,1))</f>
        <v/>
      </c>
      <c r="W158">
        <f>IF($B$1+20&gt;90,V158,(V158+IF($B$1+20&lt;=$B158,12*$B$9,-12*MAX(0,$B$8-IF($B$1+20&gt;=$B$23,$B$22,0))*(1+$B$4)^20))*IF(V158+IF($B$1+20&lt;=$B158,12*$B$9,-12*MAX(0,$B$8-IF($B$1+20&gt;=$B$23,$B$22,0))*(1+$B$4)^20)&gt;0,1+$B$3,1))</f>
        <v/>
      </c>
      <c r="X158">
        <f>IF($B$1+21&gt;90,W158,(W158+IF($B$1+21&lt;=$B158,12*$B$9,-12*MAX(0,$B$8-IF($B$1+21&gt;=$B$23,$B$22,0))*(1+$B$4)^21))*IF(W158+IF($B$1+21&lt;=$B158,12*$B$9,-12*MAX(0,$B$8-IF($B$1+21&gt;=$B$23,$B$22,0))*(1+$B$4)^21)&gt;0,1+$B$3,1))</f>
        <v/>
      </c>
      <c r="Y158">
        <f>IF($B$1+22&gt;90,X158,(X158+IF($B$1+22&lt;=$B158,12*$B$9,-12*MAX(0,$B$8-IF($B$1+22&gt;=$B$23,$B$22,0))*(1+$B$4)^22))*IF(X158+IF($B$1+22&lt;=$B158,12*$B$9,-12*MAX(0,$B$8-IF($B$1+22&gt;=$B$23,$B$22,0))*(1+$B$4)^22)&gt;0,1+$B$3,1))</f>
        <v/>
      </c>
      <c r="Z158">
        <f>IF($B$1+23&gt;90,Y158,(Y158+IF($B$1+23&lt;=$B158,12*$B$9,-12*MAX(0,$B$8-IF($B$1+23&gt;=$B$23,$B$22,0))*(1+$B$4)^23))*IF(Y158+IF($B$1+23&lt;=$B158,12*$B$9,-12*MAX(0,$B$8-IF($B$1+23&gt;=$B$23,$B$22,0))*(1+$B$4)^23)&gt;0,1+$B$3,1))</f>
        <v/>
      </c>
      <c r="AA158">
        <f>IF($B$1+24&gt;90,Z158,(Z158+IF($B$1+24&lt;=$B158,12*$B$9,-12*MAX(0,$B$8-IF($B$1+24&gt;=$B$23,$B$22,0))*(1+$B$4)^24))*IF(Z158+IF($B$1+24&lt;=$B158,12*$B$9,-12*MAX(0,$B$8-IF($B$1+24&gt;=$B$23,$B$22,0))*(1+$B$4)^24)&gt;0,1+$B$3,1))</f>
        <v/>
      </c>
      <c r="AB158">
        <f>IF($B$1+25&gt;90,AA158,(AA158+IF($B$1+25&lt;=$B158,12*$B$9,-12*MAX(0,$B$8-IF($B$1+25&gt;=$B$23,$B$22,0))*(1+$B$4)^25))*IF(AA158+IF($B$1+25&lt;=$B158,12*$B$9,-12*MAX(0,$B$8-IF($B$1+25&gt;=$B$23,$B$22,0))*(1+$B$4)^25)&gt;0,1+$B$3,1))</f>
        <v/>
      </c>
      <c r="AC158">
        <f>IF($B$1+26&gt;90,AB158,(AB158+IF($B$1+26&lt;=$B158,12*$B$9,-12*MAX(0,$B$8-IF($B$1+26&gt;=$B$23,$B$22,0))*(1+$B$4)^26))*IF(AB158+IF($B$1+26&lt;=$B158,12*$B$9,-12*MAX(0,$B$8-IF($B$1+26&gt;=$B$23,$B$22,0))*(1+$B$4)^26)&gt;0,1+$B$3,1))</f>
        <v/>
      </c>
      <c r="AD158">
        <f>IF($B$1+27&gt;90,AC158,(AC158+IF($B$1+27&lt;=$B158,12*$B$9,-12*MAX(0,$B$8-IF($B$1+27&gt;=$B$23,$B$22,0))*(1+$B$4)^27))*IF(AC158+IF($B$1+27&lt;=$B158,12*$B$9,-12*MAX(0,$B$8-IF($B$1+27&gt;=$B$23,$B$22,0))*(1+$B$4)^27)&gt;0,1+$B$3,1))</f>
        <v/>
      </c>
      <c r="AE158">
        <f>IF($B$1+28&gt;90,AD158,(AD158+IF($B$1+28&lt;=$B158,12*$B$9,-12*MAX(0,$B$8-IF($B$1+28&gt;=$B$23,$B$22,0))*(1+$B$4)^28))*IF(AD158+IF($B$1+28&lt;=$B158,12*$B$9,-12*MAX(0,$B$8-IF($B$1+28&gt;=$B$23,$B$22,0))*(1+$B$4)^28)&gt;0,1+$B$3,1))</f>
        <v/>
      </c>
      <c r="AF158">
        <f>IF($B$1+29&gt;90,AE158,(AE158+IF($B$1+29&lt;=$B158,12*$B$9,-12*MAX(0,$B$8-IF($B$1+29&gt;=$B$23,$B$22,0))*(1+$B$4)^29))*IF(AE158+IF($B$1+29&lt;=$B158,12*$B$9,-12*MAX(0,$B$8-IF($B$1+29&gt;=$B$23,$B$22,0))*(1+$B$4)^29)&gt;0,1+$B$3,1))</f>
        <v/>
      </c>
      <c r="AG158">
        <f>IF($B$1+30&gt;90,AF158,(AF158+IF($B$1+30&lt;=$B158,12*$B$9,-12*MAX(0,$B$8-IF($B$1+30&gt;=$B$23,$B$22,0))*(1+$B$4)^30))*IF(AF158+IF($B$1+30&lt;=$B158,12*$B$9,-12*MAX(0,$B$8-IF($B$1+30&gt;=$B$23,$B$22,0))*(1+$B$4)^30)&gt;0,1+$B$3,1))</f>
        <v/>
      </c>
      <c r="AH158">
        <f>IF($B$1+31&gt;90,AG158,(AG158+IF($B$1+31&lt;=$B158,12*$B$9,-12*MAX(0,$B$8-IF($B$1+31&gt;=$B$23,$B$22,0))*(1+$B$4)^31))*IF(AG158+IF($B$1+31&lt;=$B158,12*$B$9,-12*MAX(0,$B$8-IF($B$1+31&gt;=$B$23,$B$22,0))*(1+$B$4)^31)&gt;0,1+$B$3,1))</f>
        <v/>
      </c>
      <c r="AI158">
        <f>IF($B$1+32&gt;90,AH158,(AH158+IF($B$1+32&lt;=$B158,12*$B$9,-12*MAX(0,$B$8-IF($B$1+32&gt;=$B$23,$B$22,0))*(1+$B$4)^32))*IF(AH158+IF($B$1+32&lt;=$B158,12*$B$9,-12*MAX(0,$B$8-IF($B$1+32&gt;=$B$23,$B$22,0))*(1+$B$4)^32)&gt;0,1+$B$3,1))</f>
        <v/>
      </c>
      <c r="AJ158">
        <f>IF($B$1+33&gt;90,AI158,(AI158+IF($B$1+33&lt;=$B158,12*$B$9,-12*MAX(0,$B$8-IF($B$1+33&gt;=$B$23,$B$22,0))*(1+$B$4)^33))*IF(AI158+IF($B$1+33&lt;=$B158,12*$B$9,-12*MAX(0,$B$8-IF($B$1+33&gt;=$B$23,$B$22,0))*(1+$B$4)^33)&gt;0,1+$B$3,1))</f>
        <v/>
      </c>
      <c r="AK158">
        <f>IF($B$1+34&gt;90,AJ158,(AJ158+IF($B$1+34&lt;=$B158,12*$B$9,-12*MAX(0,$B$8-IF($B$1+34&gt;=$B$23,$B$22,0))*(1+$B$4)^34))*IF(AJ158+IF($B$1+34&lt;=$B158,12*$B$9,-12*MAX(0,$B$8-IF($B$1+34&gt;=$B$23,$B$22,0))*(1+$B$4)^34)&gt;0,1+$B$3,1))</f>
        <v/>
      </c>
      <c r="AL158">
        <f>IF($B$1+35&gt;90,AK158,(AK158+IF($B$1+35&lt;=$B158,12*$B$9,-12*MAX(0,$B$8-IF($B$1+35&gt;=$B$23,$B$22,0))*(1+$B$4)^35))*IF(AK158+IF($B$1+35&lt;=$B158,12*$B$9,-12*MAX(0,$B$8-IF($B$1+35&gt;=$B$23,$B$22,0))*(1+$B$4)^35)&gt;0,1+$B$3,1))</f>
        <v/>
      </c>
      <c r="AM158">
        <f>IF($B$1+36&gt;90,AL158,(AL158+IF($B$1+36&lt;=$B158,12*$B$9,-12*MAX(0,$B$8-IF($B$1+36&gt;=$B$23,$B$22,0))*(1+$B$4)^36))*IF(AL158+IF($B$1+36&lt;=$B158,12*$B$9,-12*MAX(0,$B$8-IF($B$1+36&gt;=$B$23,$B$22,0))*(1+$B$4)^36)&gt;0,1+$B$3,1))</f>
        <v/>
      </c>
      <c r="AN158">
        <f>IF($B$1+37&gt;90,AM158,(AM158+IF($B$1+37&lt;=$B158,12*$B$9,-12*MAX(0,$B$8-IF($B$1+37&gt;=$B$23,$B$22,0))*(1+$B$4)^37))*IF(AM158+IF($B$1+37&lt;=$B158,12*$B$9,-12*MAX(0,$B$8-IF($B$1+37&gt;=$B$23,$B$22,0))*(1+$B$4)^37)&gt;0,1+$B$3,1))</f>
        <v/>
      </c>
      <c r="AO158">
        <f>IF($B$1+38&gt;90,AN158,(AN158+IF($B$1+38&lt;=$B158,12*$B$9,-12*MAX(0,$B$8-IF($B$1+38&gt;=$B$23,$B$22,0))*(1+$B$4)^38))*IF(AN158+IF($B$1+38&lt;=$B158,12*$B$9,-12*MAX(0,$B$8-IF($B$1+38&gt;=$B$23,$B$22,0))*(1+$B$4)^38)&gt;0,1+$B$3,1))</f>
        <v/>
      </c>
      <c r="AP158">
        <f>IF($B$1+39&gt;90,AO158,(AO158+IF($B$1+39&lt;=$B158,12*$B$9,-12*MAX(0,$B$8-IF($B$1+39&gt;=$B$23,$B$22,0))*(1+$B$4)^39))*IF(AO158+IF($B$1+39&lt;=$B158,12*$B$9,-12*MAX(0,$B$8-IF($B$1+39&gt;=$B$23,$B$22,0))*(1+$B$4)^39)&gt;0,1+$B$3,1))</f>
        <v/>
      </c>
      <c r="AQ158">
        <f>IF($B$1+40&gt;90,AP158,(AP158+IF($B$1+40&lt;=$B158,12*$B$9,-12*MAX(0,$B$8-IF($B$1+40&gt;=$B$23,$B$22,0))*(1+$B$4)^40))*IF(AP158+IF($B$1+40&lt;=$B158,12*$B$9,-12*MAX(0,$B$8-IF($B$1+40&gt;=$B$23,$B$22,0))*(1+$B$4)^40)&gt;0,1+$B$3,1))</f>
        <v/>
      </c>
      <c r="AR158">
        <f>IF($B$1+41&gt;90,AQ158,(AQ158+IF($B$1+41&lt;=$B158,12*$B$9,-12*MAX(0,$B$8-IF($B$1+41&gt;=$B$23,$B$22,0))*(1+$B$4)^41))*IF(AQ158+IF($B$1+41&lt;=$B158,12*$B$9,-12*MAX(0,$B$8-IF($B$1+41&gt;=$B$23,$B$22,0))*(1+$B$4)^41)&gt;0,1+$B$3,1))</f>
        <v/>
      </c>
      <c r="AS158">
        <f>IF($B$1+42&gt;90,AR158,(AR158+IF($B$1+42&lt;=$B158,12*$B$9,-12*MAX(0,$B$8-IF($B$1+42&gt;=$B$23,$B$22,0))*(1+$B$4)^42))*IF(AR158+IF($B$1+42&lt;=$B158,12*$B$9,-12*MAX(0,$B$8-IF($B$1+42&gt;=$B$23,$B$22,0))*(1+$B$4)^42)&gt;0,1+$B$3,1))</f>
        <v/>
      </c>
      <c r="AT158">
        <f>IF($B$1+43&gt;90,AS158,(AS158+IF($B$1+43&lt;=$B158,12*$B$9,-12*MAX(0,$B$8-IF($B$1+43&gt;=$B$23,$B$22,0))*(1+$B$4)^43))*IF(AS158+IF($B$1+43&lt;=$B158,12*$B$9,-12*MAX(0,$B$8-IF($B$1+43&gt;=$B$23,$B$22,0))*(1+$B$4)^43)&gt;0,1+$B$3,1))</f>
        <v/>
      </c>
      <c r="AU158">
        <f>IF($B$1+44&gt;90,AT158,(AT158+IF($B$1+44&lt;=$B158,12*$B$9,-12*MAX(0,$B$8-IF($B$1+44&gt;=$B$23,$B$22,0))*(1+$B$4)^44))*IF(AT158+IF($B$1+44&lt;=$B158,12*$B$9,-12*MAX(0,$B$8-IF($B$1+44&gt;=$B$23,$B$22,0))*(1+$B$4)^44)&gt;0,1+$B$3,1))</f>
        <v/>
      </c>
      <c r="AV158">
        <f>IF($B$1+45&gt;90,AU158,(AU158+IF($B$1+45&lt;=$B158,12*$B$9,-12*MAX(0,$B$8-IF($B$1+45&gt;=$B$23,$B$22,0))*(1+$B$4)^45))*IF(AU158+IF($B$1+45&lt;=$B158,12*$B$9,-12*MAX(0,$B$8-IF($B$1+45&gt;=$B$23,$B$22,0))*(1+$B$4)^45)&gt;0,1+$B$3,1))</f>
        <v/>
      </c>
      <c r="AW158">
        <f>IF($B$1+46&gt;90,AV158,(AV158+IF($B$1+46&lt;=$B158,12*$B$9,-12*MAX(0,$B$8-IF($B$1+46&gt;=$B$23,$B$22,0))*(1+$B$4)^46))*IF(AV158+IF($B$1+46&lt;=$B158,12*$B$9,-12*MAX(0,$B$8-IF($B$1+46&gt;=$B$23,$B$22,0))*(1+$B$4)^46)&gt;0,1+$B$3,1))</f>
        <v/>
      </c>
      <c r="AX158">
        <f>IF($B$1+47&gt;90,AW158,(AW158+IF($B$1+47&lt;=$B158,12*$B$9,-12*MAX(0,$B$8-IF($B$1+47&gt;=$B$23,$B$22,0))*(1+$B$4)^47))*IF(AW158+IF($B$1+47&lt;=$B158,12*$B$9,-12*MAX(0,$B$8-IF($B$1+47&gt;=$B$23,$B$22,0))*(1+$B$4)^47)&gt;0,1+$B$3,1))</f>
        <v/>
      </c>
      <c r="AY158">
        <f>IF($B$1+48&gt;90,AX158,(AX158+IF($B$1+48&lt;=$B158,12*$B$9,-12*MAX(0,$B$8-IF($B$1+48&gt;=$B$23,$B$22,0))*(1+$B$4)^48))*IF(AX158+IF($B$1+48&lt;=$B158,12*$B$9,-12*MAX(0,$B$8-IF($B$1+48&gt;=$B$23,$B$22,0))*(1+$B$4)^48)&gt;0,1+$B$3,1))</f>
        <v/>
      </c>
      <c r="AZ158">
        <f>IF($B$1+49&gt;90,AY158,(AY158+IF($B$1+49&lt;=$B158,12*$B$9,-12*MAX(0,$B$8-IF($B$1+49&gt;=$B$23,$B$22,0))*(1+$B$4)^49))*IF(AY158+IF($B$1+49&lt;=$B158,12*$B$9,-12*MAX(0,$B$8-IF($B$1+49&gt;=$B$23,$B$22,0))*(1+$B$4)^49)&gt;0,1+$B$3,1))</f>
        <v/>
      </c>
      <c r="BA158">
        <f>IF($B$1+50&gt;90,AZ158,(AZ158+IF($B$1+50&lt;=$B158,12*$B$9,-12*MAX(0,$B$8-IF($B$1+50&gt;=$B$23,$B$22,0))*(1+$B$4)^50))*IF(AZ158+IF($B$1+50&lt;=$B158,12*$B$9,-12*MAX(0,$B$8-IF($B$1+50&gt;=$B$23,$B$22,0))*(1+$B$4)^50)&gt;0,1+$B$3,1))</f>
        <v/>
      </c>
      <c r="BB158">
        <f>IF($B$1+51&gt;90,BA158,(BA158+IF($B$1+51&lt;=$B158,12*$B$9,-12*MAX(0,$B$8-IF($B$1+51&gt;=$B$23,$B$22,0))*(1+$B$4)^51))*IF(BA158+IF($B$1+51&lt;=$B158,12*$B$9,-12*MAX(0,$B$8-IF($B$1+51&gt;=$B$23,$B$22,0))*(1+$B$4)^51)&gt;0,1+$B$3,1))</f>
        <v/>
      </c>
      <c r="BC158">
        <f>IF($B$1+52&gt;90,BB158,(BB158+IF($B$1+52&lt;=$B158,12*$B$9,-12*MAX(0,$B$8-IF($B$1+52&gt;=$B$23,$B$22,0))*(1+$B$4)^52))*IF(BB158+IF($B$1+52&lt;=$B158,12*$B$9,-12*MAX(0,$B$8-IF($B$1+52&gt;=$B$23,$B$22,0))*(1+$B$4)^52)&gt;0,1+$B$3,1))</f>
        <v/>
      </c>
      <c r="BD158">
        <f>IF($B$1+53&gt;90,BC158,(BC158+IF($B$1+53&lt;=$B158,12*$B$9,-12*MAX(0,$B$8-IF($B$1+53&gt;=$B$23,$B$22,0))*(1+$B$4)^53))*IF(BC158+IF($B$1+53&lt;=$B158,12*$B$9,-12*MAX(0,$B$8-IF($B$1+53&gt;=$B$23,$B$22,0))*(1+$B$4)^53)&gt;0,1+$B$3,1))</f>
        <v/>
      </c>
      <c r="BE158">
        <f>IF($B$1+54&gt;90,BD158,(BD158+IF($B$1+54&lt;=$B158,12*$B$9,-12*MAX(0,$B$8-IF($B$1+54&gt;=$B$23,$B$22,0))*(1+$B$4)^54))*IF(BD158+IF($B$1+54&lt;=$B158,12*$B$9,-12*MAX(0,$B$8-IF($B$1+54&gt;=$B$23,$B$22,0))*(1+$B$4)^54)&gt;0,1+$B$3,1))</f>
        <v/>
      </c>
      <c r="BF158">
        <f>IF($B$1+55&gt;90,BE158,(BE158+IF($B$1+55&lt;=$B158,12*$B$9,-12*MAX(0,$B$8-IF($B$1+55&gt;=$B$23,$B$22,0))*(1+$B$4)^55))*IF(BE158+IF($B$1+55&lt;=$B158,12*$B$9,-12*MAX(0,$B$8-IF($B$1+55&gt;=$B$23,$B$22,0))*(1+$B$4)^55)&gt;0,1+$B$3,1))</f>
        <v/>
      </c>
      <c r="BG158">
        <f>IF($B$1+56&gt;90,BF158,(BF158+IF($B$1+56&lt;=$B158,12*$B$9,-12*MAX(0,$B$8-IF($B$1+56&gt;=$B$23,$B$22,0))*(1+$B$4)^56))*IF(BF158+IF($B$1+56&lt;=$B158,12*$B$9,-12*MAX(0,$B$8-IF($B$1+56&gt;=$B$23,$B$22,0))*(1+$B$4)^56)&gt;0,1+$B$3,1))</f>
        <v/>
      </c>
      <c r="BH158">
        <f>IF($B$1+57&gt;90,BG158,(BG158+IF($B$1+57&lt;=$B158,12*$B$9,-12*MAX(0,$B$8-IF($B$1+57&gt;=$B$23,$B$22,0))*(1+$B$4)^57))*IF(BG158+IF($B$1+57&lt;=$B158,12*$B$9,-12*MAX(0,$B$8-IF($B$1+57&gt;=$B$23,$B$22,0))*(1+$B$4)^57)&gt;0,1+$B$3,1))</f>
        <v/>
      </c>
      <c r="BI158">
        <f>IF($B$1+58&gt;90,BH158,(BH158+IF($B$1+58&lt;=$B158,12*$B$9,-12*MAX(0,$B$8-IF($B$1+58&gt;=$B$23,$B$22,0))*(1+$B$4)^58))*IF(BH158+IF($B$1+58&lt;=$B158,12*$B$9,-12*MAX(0,$B$8-IF($B$1+58&gt;=$B$23,$B$22,0))*(1+$B$4)^58)&gt;0,1+$B$3,1))</f>
        <v/>
      </c>
      <c r="BJ158">
        <f>IF($B$1+59&gt;90,BI158,(BI158+IF($B$1+59&lt;=$B158,12*$B$9,-12*MAX(0,$B$8-IF($B$1+59&gt;=$B$23,$B$22,0))*(1+$B$4)^59))*IF(BI158+IF($B$1+59&lt;=$B158,12*$B$9,-12*MAX(0,$B$8-IF($B$1+59&gt;=$B$23,$B$22,0))*(1+$B$4)^59)&gt;0,1+$B$3,1))</f>
        <v/>
      </c>
      <c r="BK158">
        <f>IF($B$1+60&gt;90,BJ158,(BJ158+IF($B$1+60&lt;=$B158,12*$B$9,-12*MAX(0,$B$8-IF($B$1+60&gt;=$B$23,$B$22,0))*(1+$B$4)^60))*IF(BJ158+IF($B$1+60&lt;=$B158,12*$B$9,-12*MAX(0,$B$8-IF($B$1+60&gt;=$B$23,$B$22,0))*(1+$B$4)^60)&gt;0,1+$B$3,1))</f>
        <v/>
      </c>
      <c r="BL158">
        <f>IF($B$1+61&gt;90,BK158,(BK158+IF($B$1+61&lt;=$B158,12*$B$9,-12*MAX(0,$B$8-IF($B$1+61&gt;=$B$23,$B$22,0))*(1+$B$4)^61))*IF(BK158+IF($B$1+61&lt;=$B158,12*$B$9,-12*MAX(0,$B$8-IF($B$1+61&gt;=$B$23,$B$22,0))*(1+$B$4)^61)&gt;0,1+$B$3,1))</f>
        <v/>
      </c>
      <c r="BM158">
        <f>IF($B$1+62&gt;90,BL158,(BL158+IF($B$1+62&lt;=$B158,12*$B$9,-12*MAX(0,$B$8-IF($B$1+62&gt;=$B$23,$B$22,0))*(1+$B$4)^62))*IF(BL158+IF($B$1+62&lt;=$B158,12*$B$9,-12*MAX(0,$B$8-IF($B$1+62&gt;=$B$23,$B$22,0))*(1+$B$4)^62)&gt;0,1+$B$3,1))</f>
        <v/>
      </c>
      <c r="BN158">
        <f>IF($B$1+63&gt;90,BM158,(BM158+IF($B$1+63&lt;=$B158,12*$B$9,-12*MAX(0,$B$8-IF($B$1+63&gt;=$B$23,$B$22,0))*(1+$B$4)^63))*IF(BM158+IF($B$1+63&lt;=$B158,12*$B$9,-12*MAX(0,$B$8-IF($B$1+63&gt;=$B$23,$B$22,0))*(1+$B$4)^63)&gt;0,1+$B$3,1))</f>
        <v/>
      </c>
      <c r="BO158">
        <f>IF($B$1+64&gt;90,BN158,(BN158+IF($B$1+64&lt;=$B158,12*$B$9,-12*MAX(0,$B$8-IF($B$1+64&gt;=$B$23,$B$22,0))*(1+$B$4)^64))*IF(BN158+IF($B$1+64&lt;=$B158,12*$B$9,-12*MAX(0,$B$8-IF($B$1+64&gt;=$B$23,$B$22,0))*(1+$B$4)^64)&gt;0,1+$B$3,1))</f>
        <v/>
      </c>
      <c r="BP158">
        <f>IF($B$1+65&gt;90,BO158,(BO158+IF($B$1+65&lt;=$B158,12*$B$9,-12*MAX(0,$B$8-IF($B$1+65&gt;=$B$23,$B$22,0))*(1+$B$4)^65))*IF(BO158+IF($B$1+65&lt;=$B158,12*$B$9,-12*MAX(0,$B$8-IF($B$1+65&gt;=$B$23,$B$22,0))*(1+$B$4)^65)&gt;0,1+$B$3,1))</f>
        <v/>
      </c>
      <c r="BQ158">
        <f>IF($B$1+66&gt;90,BP158,(BP158+IF($B$1+66&lt;=$B158,12*$B$9,-12*MAX(0,$B$8-IF($B$1+66&gt;=$B$23,$B$22,0))*(1+$B$4)^66))*IF(BP158+IF($B$1+66&lt;=$B158,12*$B$9,-12*MAX(0,$B$8-IF($B$1+66&gt;=$B$23,$B$22,0))*(1+$B$4)^66)&gt;0,1+$B$3,1))</f>
        <v/>
      </c>
      <c r="BR158">
        <f>IF($B$1+67&gt;90,BQ158,(BQ158+IF($B$1+67&lt;=$B158,12*$B$9,-12*MAX(0,$B$8-IF($B$1+67&gt;=$B$23,$B$22,0))*(1+$B$4)^67))*IF(BQ158+IF($B$1+67&lt;=$B158,12*$B$9,-12*MAX(0,$B$8-IF($B$1+67&gt;=$B$23,$B$22,0))*(1+$B$4)^67)&gt;0,1+$B$3,1))</f>
        <v/>
      </c>
      <c r="BS158">
        <f>IF($B$1+68&gt;90,BR158,(BR158+IF($B$1+68&lt;=$B158,12*$B$9,-12*MAX(0,$B$8-IF($B$1+68&gt;=$B$23,$B$22,0))*(1+$B$4)^68))*IF(BR158+IF($B$1+68&lt;=$B158,12*$B$9,-12*MAX(0,$B$8-IF($B$1+68&gt;=$B$23,$B$22,0))*(1+$B$4)^68)&gt;0,1+$B$3,1))</f>
        <v/>
      </c>
      <c r="BT158">
        <f>IF($B$1+69&gt;90,BS158,(BS158+IF($B$1+69&lt;=$B158,12*$B$9,-12*MAX(0,$B$8-IF($B$1+69&gt;=$B$23,$B$22,0))*(1+$B$4)^69))*IF(BS158+IF($B$1+69&lt;=$B158,12*$B$9,-12*MAX(0,$B$8-IF($B$1+69&gt;=$B$23,$B$22,0))*(1+$B$4)^69)&gt;0,1+$B$3,1))</f>
        <v/>
      </c>
      <c r="BU158">
        <f>IF($B$1+70&gt;90,BT158,(BT158+IF($B$1+70&lt;=$B158,12*$B$9,-12*MAX(0,$B$8-IF($B$1+70&gt;=$B$23,$B$22,0))*(1+$B$4)^70))*IF(BT158+IF($B$1+70&lt;=$B158,12*$B$9,-12*MAX(0,$B$8-IF($B$1+70&gt;=$B$23,$B$22,0))*(1+$B$4)^70)&gt;0,1+$B$3,1))</f>
        <v/>
      </c>
      <c r="BV158">
        <f>BU158</f>
        <v/>
      </c>
      <c r="BW158">
        <f>IF(AND($B158&lt;=70,BV158&gt;0),$B158,999)</f>
        <v/>
      </c>
      <c r="CH158">
        <f>IF(ISTEXT('월 가계부'!A158),SUBSTITUTE(SUBSTITUTE(SUBSTITUTE(SUBSTITUTE(SUBSTITUTE(SUBSTITUTE(SUBSTITUTE(SUBSTITUTE(SUBSTITUTE(TRIM('월 가계부'!A158),"년","-"),"월","-"),"일",""),".","-"),"/","-")," ","-"),"--","-"),"--","-"),"--","-")&amp;"-","")</f>
        <v/>
      </c>
      <c r="CI158">
        <f>IFERROR(IF('월 가계부'!A158="","",IF(ISNUMBER('월 가계부'!A158),IF(AND('월 가계부'!A158&gt;=19000101,'월 가계부'!A158&lt;=21001231),IF(AND(MOD(INT('월 가계부'!A158/100),100)&gt;=1,MOD(INT('월 가계부'!A158/100),100)&lt;=12,MOD(INT('월 가계부'!A158),100)&gt;=1,MOD(INT('월 가계부'!A158),100)&lt;=31),IF(MONTH(DATE(INT('월 가계부'!A158/10000),MOD(INT('월 가계부'!A158/100),100),MOD(INT('월 가계부'!A158),100)))=MOD(INT('월 가계부'!A158/100),100),DATE(INT('월 가계부'!A158/10000),MOD(INT('월 가계부'!A158/100),100),MOD(INT('월 가계부'!A158),100)),""),""),IF(AND('월 가계부'!A158&gt;=36526,'월 가계부'!A158&lt;73051),INT('월 가계부'!A158),"")),IF(OR(CM158="",CN158="",CO158=""),"",IF(AND(CM158&gt;=2000,CM158&lt;=2099,CN158&gt;=1,CN158&lt;=12,CO158&gt;=1,CO158&lt;=31),IF(MONTH(DATE(CM158,CN158,CO158))=CN158,DATE(CM158,CN158,CO158),""),"")))),"")</f>
        <v/>
      </c>
      <c r="CJ158">
        <f>IFERROR(IF('월 가계부'!C158="","",IF(ISNUMBER('월 가계부'!C158),'월 가계부'!C158,VALUE(SUBSTITUTE(SUBSTITUTE(SUBSTITUTE(SUBSTITUTE(TRIM('월 가계부'!C158),",",""),"원","")," ",""),"−","-")))),"")</f>
        <v/>
      </c>
      <c r="CK158">
        <f>IF(ISNUMBER(CI158),IF(CI158&lt;$B$13,CI158,""),"")</f>
        <v/>
      </c>
      <c r="CM158">
        <f>IF(CH158="","",IFERROR(IF(IF(AND(LEN(CH158)=9,ISERROR(FIND("-",LEFT(CH158,8))),ISNUMBER(-LEFT(CH158,8))),VALUE(LEFT(CH158,4)),VALUE(LEFT(CH158,FIND("-",CH158)-1)))&lt;100,IF(AND(LEN(CH158)=9,ISERROR(FIND("-",LEFT(CH158,8))),ISNUMBER(-LEFT(CH158,8))),VALUE(LEFT(CH158,4)),VALUE(LEFT(CH158,FIND("-",CH158)-1)))+2000,IF(AND(LEN(CH158)=9,ISERROR(FIND("-",LEFT(CH158,8))),ISNUMBER(-LEFT(CH158,8))),VALUE(LEFT(CH158,4)),VALUE(LEFT(CH158,FIND("-",CH158)-1)))),""))</f>
        <v/>
      </c>
      <c r="CN158">
        <f>IF(CH158="","",IFERROR(IF(AND(LEN(CH158)=9,ISERROR(FIND("-",LEFT(CH158,8))),ISNUMBER(-LEFT(CH158,8))),VALUE(MID(CH158,5,2)),VALUE(MID(CH158,FIND("-",CH158)+1,FIND("-",CH158,FIND("-",CH158)+1)-FIND("-",CH158)-1))),""))</f>
        <v/>
      </c>
      <c r="CO158">
        <f>IF(CH158="","",IFERROR(IF(AND(LEN(CH158)=9,ISERROR(FIND("-",LEFT(CH158,8))),ISNUMBER(-LEFT(CH158,8))),VALUE(MID(CH158,7,2)),VALUE(MID(CH158,FIND("-",CH158,FIND("-",CH158)+1)+1,FIND("-",CH158,FIND("-",CH158,FIND("-",CH158)+1)+1)-FIND("-",CH158,FIND("-",CH158)+1)-1))),""))</f>
        <v/>
      </c>
    </row>
    <row r="159">
      <c r="A159" t="n">
        <v>7</v>
      </c>
      <c r="B159">
        <f>$B$1+7</f>
        <v/>
      </c>
      <c r="C159">
        <f>$B$2</f>
        <v/>
      </c>
      <c r="D159">
        <f>IF($B$1+1&gt;90,C159,(C159+IF($B$1+1&lt;=$B159,12*$B$9,-12*MAX(0,$B$8-IF($B$1+1&gt;=$B$23,$B$22,0))*(1+$B$4)^1))*IF(C159+IF($B$1+1&lt;=$B159,12*$B$9,-12*MAX(0,$B$8-IF($B$1+1&gt;=$B$23,$B$22,0))*(1+$B$4)^1)&gt;0,1+$B$3,1))</f>
        <v/>
      </c>
      <c r="E159">
        <f>IF($B$1+2&gt;90,D159,(D159+IF($B$1+2&lt;=$B159,12*$B$9,-12*MAX(0,$B$8-IF($B$1+2&gt;=$B$23,$B$22,0))*(1+$B$4)^2))*IF(D159+IF($B$1+2&lt;=$B159,12*$B$9,-12*MAX(0,$B$8-IF($B$1+2&gt;=$B$23,$B$22,0))*(1+$B$4)^2)&gt;0,1+$B$3,1))</f>
        <v/>
      </c>
      <c r="F159">
        <f>IF($B$1+3&gt;90,E159,(E159+IF($B$1+3&lt;=$B159,12*$B$9,-12*MAX(0,$B$8-IF($B$1+3&gt;=$B$23,$B$22,0))*(1+$B$4)^3))*IF(E159+IF($B$1+3&lt;=$B159,12*$B$9,-12*MAX(0,$B$8-IF($B$1+3&gt;=$B$23,$B$22,0))*(1+$B$4)^3)&gt;0,1+$B$3,1))</f>
        <v/>
      </c>
      <c r="G159">
        <f>IF($B$1+4&gt;90,F159,(F159+IF($B$1+4&lt;=$B159,12*$B$9,-12*MAX(0,$B$8-IF($B$1+4&gt;=$B$23,$B$22,0))*(1+$B$4)^4))*IF(F159+IF($B$1+4&lt;=$B159,12*$B$9,-12*MAX(0,$B$8-IF($B$1+4&gt;=$B$23,$B$22,0))*(1+$B$4)^4)&gt;0,1+$B$3,1))</f>
        <v/>
      </c>
      <c r="H159">
        <f>IF($B$1+5&gt;90,G159,(G159+IF($B$1+5&lt;=$B159,12*$B$9,-12*MAX(0,$B$8-IF($B$1+5&gt;=$B$23,$B$22,0))*(1+$B$4)^5))*IF(G159+IF($B$1+5&lt;=$B159,12*$B$9,-12*MAX(0,$B$8-IF($B$1+5&gt;=$B$23,$B$22,0))*(1+$B$4)^5)&gt;0,1+$B$3,1))</f>
        <v/>
      </c>
      <c r="I159">
        <f>IF($B$1+6&gt;90,H159,(H159+IF($B$1+6&lt;=$B159,12*$B$9,-12*MAX(0,$B$8-IF($B$1+6&gt;=$B$23,$B$22,0))*(1+$B$4)^6))*IF(H159+IF($B$1+6&lt;=$B159,12*$B$9,-12*MAX(0,$B$8-IF($B$1+6&gt;=$B$23,$B$22,0))*(1+$B$4)^6)&gt;0,1+$B$3,1))</f>
        <v/>
      </c>
      <c r="J159">
        <f>IF($B$1+7&gt;90,I159,(I159+IF($B$1+7&lt;=$B159,12*$B$9,-12*MAX(0,$B$8-IF($B$1+7&gt;=$B$23,$B$22,0))*(1+$B$4)^7))*IF(I159+IF($B$1+7&lt;=$B159,12*$B$9,-12*MAX(0,$B$8-IF($B$1+7&gt;=$B$23,$B$22,0))*(1+$B$4)^7)&gt;0,1+$B$3,1))</f>
        <v/>
      </c>
      <c r="K159">
        <f>IF($B$1+8&gt;90,J159,(J159+IF($B$1+8&lt;=$B159,12*$B$9,-12*MAX(0,$B$8-IF($B$1+8&gt;=$B$23,$B$22,0))*(1+$B$4)^8))*IF(J159+IF($B$1+8&lt;=$B159,12*$B$9,-12*MAX(0,$B$8-IF($B$1+8&gt;=$B$23,$B$22,0))*(1+$B$4)^8)&gt;0,1+$B$3,1))</f>
        <v/>
      </c>
      <c r="L159">
        <f>IF($B$1+9&gt;90,K159,(K159+IF($B$1+9&lt;=$B159,12*$B$9,-12*MAX(0,$B$8-IF($B$1+9&gt;=$B$23,$B$22,0))*(1+$B$4)^9))*IF(K159+IF($B$1+9&lt;=$B159,12*$B$9,-12*MAX(0,$B$8-IF($B$1+9&gt;=$B$23,$B$22,0))*(1+$B$4)^9)&gt;0,1+$B$3,1))</f>
        <v/>
      </c>
      <c r="M159">
        <f>IF($B$1+10&gt;90,L159,(L159+IF($B$1+10&lt;=$B159,12*$B$9,-12*MAX(0,$B$8-IF($B$1+10&gt;=$B$23,$B$22,0))*(1+$B$4)^10))*IF(L159+IF($B$1+10&lt;=$B159,12*$B$9,-12*MAX(0,$B$8-IF($B$1+10&gt;=$B$23,$B$22,0))*(1+$B$4)^10)&gt;0,1+$B$3,1))</f>
        <v/>
      </c>
      <c r="N159">
        <f>IF($B$1+11&gt;90,M159,(M159+IF($B$1+11&lt;=$B159,12*$B$9,-12*MAX(0,$B$8-IF($B$1+11&gt;=$B$23,$B$22,0))*(1+$B$4)^11))*IF(M159+IF($B$1+11&lt;=$B159,12*$B$9,-12*MAX(0,$B$8-IF($B$1+11&gt;=$B$23,$B$22,0))*(1+$B$4)^11)&gt;0,1+$B$3,1))</f>
        <v/>
      </c>
      <c r="O159">
        <f>IF($B$1+12&gt;90,N159,(N159+IF($B$1+12&lt;=$B159,12*$B$9,-12*MAX(0,$B$8-IF($B$1+12&gt;=$B$23,$B$22,0))*(1+$B$4)^12))*IF(N159+IF($B$1+12&lt;=$B159,12*$B$9,-12*MAX(0,$B$8-IF($B$1+12&gt;=$B$23,$B$22,0))*(1+$B$4)^12)&gt;0,1+$B$3,1))</f>
        <v/>
      </c>
      <c r="P159">
        <f>IF($B$1+13&gt;90,O159,(O159+IF($B$1+13&lt;=$B159,12*$B$9,-12*MAX(0,$B$8-IF($B$1+13&gt;=$B$23,$B$22,0))*(1+$B$4)^13))*IF(O159+IF($B$1+13&lt;=$B159,12*$B$9,-12*MAX(0,$B$8-IF($B$1+13&gt;=$B$23,$B$22,0))*(1+$B$4)^13)&gt;0,1+$B$3,1))</f>
        <v/>
      </c>
      <c r="Q159">
        <f>IF($B$1+14&gt;90,P159,(P159+IF($B$1+14&lt;=$B159,12*$B$9,-12*MAX(0,$B$8-IF($B$1+14&gt;=$B$23,$B$22,0))*(1+$B$4)^14))*IF(P159+IF($B$1+14&lt;=$B159,12*$B$9,-12*MAX(0,$B$8-IF($B$1+14&gt;=$B$23,$B$22,0))*(1+$B$4)^14)&gt;0,1+$B$3,1))</f>
        <v/>
      </c>
      <c r="R159">
        <f>IF($B$1+15&gt;90,Q159,(Q159+IF($B$1+15&lt;=$B159,12*$B$9,-12*MAX(0,$B$8-IF($B$1+15&gt;=$B$23,$B$22,0))*(1+$B$4)^15))*IF(Q159+IF($B$1+15&lt;=$B159,12*$B$9,-12*MAX(0,$B$8-IF($B$1+15&gt;=$B$23,$B$22,0))*(1+$B$4)^15)&gt;0,1+$B$3,1))</f>
        <v/>
      </c>
      <c r="S159">
        <f>IF($B$1+16&gt;90,R159,(R159+IF($B$1+16&lt;=$B159,12*$B$9,-12*MAX(0,$B$8-IF($B$1+16&gt;=$B$23,$B$22,0))*(1+$B$4)^16))*IF(R159+IF($B$1+16&lt;=$B159,12*$B$9,-12*MAX(0,$B$8-IF($B$1+16&gt;=$B$23,$B$22,0))*(1+$B$4)^16)&gt;0,1+$B$3,1))</f>
        <v/>
      </c>
      <c r="T159">
        <f>IF($B$1+17&gt;90,S159,(S159+IF($B$1+17&lt;=$B159,12*$B$9,-12*MAX(0,$B$8-IF($B$1+17&gt;=$B$23,$B$22,0))*(1+$B$4)^17))*IF(S159+IF($B$1+17&lt;=$B159,12*$B$9,-12*MAX(0,$B$8-IF($B$1+17&gt;=$B$23,$B$22,0))*(1+$B$4)^17)&gt;0,1+$B$3,1))</f>
        <v/>
      </c>
      <c r="U159">
        <f>IF($B$1+18&gt;90,T159,(T159+IF($B$1+18&lt;=$B159,12*$B$9,-12*MAX(0,$B$8-IF($B$1+18&gt;=$B$23,$B$22,0))*(1+$B$4)^18))*IF(T159+IF($B$1+18&lt;=$B159,12*$B$9,-12*MAX(0,$B$8-IF($B$1+18&gt;=$B$23,$B$22,0))*(1+$B$4)^18)&gt;0,1+$B$3,1))</f>
        <v/>
      </c>
      <c r="V159">
        <f>IF($B$1+19&gt;90,U159,(U159+IF($B$1+19&lt;=$B159,12*$B$9,-12*MAX(0,$B$8-IF($B$1+19&gt;=$B$23,$B$22,0))*(1+$B$4)^19))*IF(U159+IF($B$1+19&lt;=$B159,12*$B$9,-12*MAX(0,$B$8-IF($B$1+19&gt;=$B$23,$B$22,0))*(1+$B$4)^19)&gt;0,1+$B$3,1))</f>
        <v/>
      </c>
      <c r="W159">
        <f>IF($B$1+20&gt;90,V159,(V159+IF($B$1+20&lt;=$B159,12*$B$9,-12*MAX(0,$B$8-IF($B$1+20&gt;=$B$23,$B$22,0))*(1+$B$4)^20))*IF(V159+IF($B$1+20&lt;=$B159,12*$B$9,-12*MAX(0,$B$8-IF($B$1+20&gt;=$B$23,$B$22,0))*(1+$B$4)^20)&gt;0,1+$B$3,1))</f>
        <v/>
      </c>
      <c r="X159">
        <f>IF($B$1+21&gt;90,W159,(W159+IF($B$1+21&lt;=$B159,12*$B$9,-12*MAX(0,$B$8-IF($B$1+21&gt;=$B$23,$B$22,0))*(1+$B$4)^21))*IF(W159+IF($B$1+21&lt;=$B159,12*$B$9,-12*MAX(0,$B$8-IF($B$1+21&gt;=$B$23,$B$22,0))*(1+$B$4)^21)&gt;0,1+$B$3,1))</f>
        <v/>
      </c>
      <c r="Y159">
        <f>IF($B$1+22&gt;90,X159,(X159+IF($B$1+22&lt;=$B159,12*$B$9,-12*MAX(0,$B$8-IF($B$1+22&gt;=$B$23,$B$22,0))*(1+$B$4)^22))*IF(X159+IF($B$1+22&lt;=$B159,12*$B$9,-12*MAX(0,$B$8-IF($B$1+22&gt;=$B$23,$B$22,0))*(1+$B$4)^22)&gt;0,1+$B$3,1))</f>
        <v/>
      </c>
      <c r="Z159">
        <f>IF($B$1+23&gt;90,Y159,(Y159+IF($B$1+23&lt;=$B159,12*$B$9,-12*MAX(0,$B$8-IF($B$1+23&gt;=$B$23,$B$22,0))*(1+$B$4)^23))*IF(Y159+IF($B$1+23&lt;=$B159,12*$B$9,-12*MAX(0,$B$8-IF($B$1+23&gt;=$B$23,$B$22,0))*(1+$B$4)^23)&gt;0,1+$B$3,1))</f>
        <v/>
      </c>
      <c r="AA159">
        <f>IF($B$1+24&gt;90,Z159,(Z159+IF($B$1+24&lt;=$B159,12*$B$9,-12*MAX(0,$B$8-IF($B$1+24&gt;=$B$23,$B$22,0))*(1+$B$4)^24))*IF(Z159+IF($B$1+24&lt;=$B159,12*$B$9,-12*MAX(0,$B$8-IF($B$1+24&gt;=$B$23,$B$22,0))*(1+$B$4)^24)&gt;0,1+$B$3,1))</f>
        <v/>
      </c>
      <c r="AB159">
        <f>IF($B$1+25&gt;90,AA159,(AA159+IF($B$1+25&lt;=$B159,12*$B$9,-12*MAX(0,$B$8-IF($B$1+25&gt;=$B$23,$B$22,0))*(1+$B$4)^25))*IF(AA159+IF($B$1+25&lt;=$B159,12*$B$9,-12*MAX(0,$B$8-IF($B$1+25&gt;=$B$23,$B$22,0))*(1+$B$4)^25)&gt;0,1+$B$3,1))</f>
        <v/>
      </c>
      <c r="AC159">
        <f>IF($B$1+26&gt;90,AB159,(AB159+IF($B$1+26&lt;=$B159,12*$B$9,-12*MAX(0,$B$8-IF($B$1+26&gt;=$B$23,$B$22,0))*(1+$B$4)^26))*IF(AB159+IF($B$1+26&lt;=$B159,12*$B$9,-12*MAX(0,$B$8-IF($B$1+26&gt;=$B$23,$B$22,0))*(1+$B$4)^26)&gt;0,1+$B$3,1))</f>
        <v/>
      </c>
      <c r="AD159">
        <f>IF($B$1+27&gt;90,AC159,(AC159+IF($B$1+27&lt;=$B159,12*$B$9,-12*MAX(0,$B$8-IF($B$1+27&gt;=$B$23,$B$22,0))*(1+$B$4)^27))*IF(AC159+IF($B$1+27&lt;=$B159,12*$B$9,-12*MAX(0,$B$8-IF($B$1+27&gt;=$B$23,$B$22,0))*(1+$B$4)^27)&gt;0,1+$B$3,1))</f>
        <v/>
      </c>
      <c r="AE159">
        <f>IF($B$1+28&gt;90,AD159,(AD159+IF($B$1+28&lt;=$B159,12*$B$9,-12*MAX(0,$B$8-IF($B$1+28&gt;=$B$23,$B$22,0))*(1+$B$4)^28))*IF(AD159+IF($B$1+28&lt;=$B159,12*$B$9,-12*MAX(0,$B$8-IF($B$1+28&gt;=$B$23,$B$22,0))*(1+$B$4)^28)&gt;0,1+$B$3,1))</f>
        <v/>
      </c>
      <c r="AF159">
        <f>IF($B$1+29&gt;90,AE159,(AE159+IF($B$1+29&lt;=$B159,12*$B$9,-12*MAX(0,$B$8-IF($B$1+29&gt;=$B$23,$B$22,0))*(1+$B$4)^29))*IF(AE159+IF($B$1+29&lt;=$B159,12*$B$9,-12*MAX(0,$B$8-IF($B$1+29&gt;=$B$23,$B$22,0))*(1+$B$4)^29)&gt;0,1+$B$3,1))</f>
        <v/>
      </c>
      <c r="AG159">
        <f>IF($B$1+30&gt;90,AF159,(AF159+IF($B$1+30&lt;=$B159,12*$B$9,-12*MAX(0,$B$8-IF($B$1+30&gt;=$B$23,$B$22,0))*(1+$B$4)^30))*IF(AF159+IF($B$1+30&lt;=$B159,12*$B$9,-12*MAX(0,$B$8-IF($B$1+30&gt;=$B$23,$B$22,0))*(1+$B$4)^30)&gt;0,1+$B$3,1))</f>
        <v/>
      </c>
      <c r="AH159">
        <f>IF($B$1+31&gt;90,AG159,(AG159+IF($B$1+31&lt;=$B159,12*$B$9,-12*MAX(0,$B$8-IF($B$1+31&gt;=$B$23,$B$22,0))*(1+$B$4)^31))*IF(AG159+IF($B$1+31&lt;=$B159,12*$B$9,-12*MAX(0,$B$8-IF($B$1+31&gt;=$B$23,$B$22,0))*(1+$B$4)^31)&gt;0,1+$B$3,1))</f>
        <v/>
      </c>
      <c r="AI159">
        <f>IF($B$1+32&gt;90,AH159,(AH159+IF($B$1+32&lt;=$B159,12*$B$9,-12*MAX(0,$B$8-IF($B$1+32&gt;=$B$23,$B$22,0))*(1+$B$4)^32))*IF(AH159+IF($B$1+32&lt;=$B159,12*$B$9,-12*MAX(0,$B$8-IF($B$1+32&gt;=$B$23,$B$22,0))*(1+$B$4)^32)&gt;0,1+$B$3,1))</f>
        <v/>
      </c>
      <c r="AJ159">
        <f>IF($B$1+33&gt;90,AI159,(AI159+IF($B$1+33&lt;=$B159,12*$B$9,-12*MAX(0,$B$8-IF($B$1+33&gt;=$B$23,$B$22,0))*(1+$B$4)^33))*IF(AI159+IF($B$1+33&lt;=$B159,12*$B$9,-12*MAX(0,$B$8-IF($B$1+33&gt;=$B$23,$B$22,0))*(1+$B$4)^33)&gt;0,1+$B$3,1))</f>
        <v/>
      </c>
      <c r="AK159">
        <f>IF($B$1+34&gt;90,AJ159,(AJ159+IF($B$1+34&lt;=$B159,12*$B$9,-12*MAX(0,$B$8-IF($B$1+34&gt;=$B$23,$B$22,0))*(1+$B$4)^34))*IF(AJ159+IF($B$1+34&lt;=$B159,12*$B$9,-12*MAX(0,$B$8-IF($B$1+34&gt;=$B$23,$B$22,0))*(1+$B$4)^34)&gt;0,1+$B$3,1))</f>
        <v/>
      </c>
      <c r="AL159">
        <f>IF($B$1+35&gt;90,AK159,(AK159+IF($B$1+35&lt;=$B159,12*$B$9,-12*MAX(0,$B$8-IF($B$1+35&gt;=$B$23,$B$22,0))*(1+$B$4)^35))*IF(AK159+IF($B$1+35&lt;=$B159,12*$B$9,-12*MAX(0,$B$8-IF($B$1+35&gt;=$B$23,$B$22,0))*(1+$B$4)^35)&gt;0,1+$B$3,1))</f>
        <v/>
      </c>
      <c r="AM159">
        <f>IF($B$1+36&gt;90,AL159,(AL159+IF($B$1+36&lt;=$B159,12*$B$9,-12*MAX(0,$B$8-IF($B$1+36&gt;=$B$23,$B$22,0))*(1+$B$4)^36))*IF(AL159+IF($B$1+36&lt;=$B159,12*$B$9,-12*MAX(0,$B$8-IF($B$1+36&gt;=$B$23,$B$22,0))*(1+$B$4)^36)&gt;0,1+$B$3,1))</f>
        <v/>
      </c>
      <c r="AN159">
        <f>IF($B$1+37&gt;90,AM159,(AM159+IF($B$1+37&lt;=$B159,12*$B$9,-12*MAX(0,$B$8-IF($B$1+37&gt;=$B$23,$B$22,0))*(1+$B$4)^37))*IF(AM159+IF($B$1+37&lt;=$B159,12*$B$9,-12*MAX(0,$B$8-IF($B$1+37&gt;=$B$23,$B$22,0))*(1+$B$4)^37)&gt;0,1+$B$3,1))</f>
        <v/>
      </c>
      <c r="AO159">
        <f>IF($B$1+38&gt;90,AN159,(AN159+IF($B$1+38&lt;=$B159,12*$B$9,-12*MAX(0,$B$8-IF($B$1+38&gt;=$B$23,$B$22,0))*(1+$B$4)^38))*IF(AN159+IF($B$1+38&lt;=$B159,12*$B$9,-12*MAX(0,$B$8-IF($B$1+38&gt;=$B$23,$B$22,0))*(1+$B$4)^38)&gt;0,1+$B$3,1))</f>
        <v/>
      </c>
      <c r="AP159">
        <f>IF($B$1+39&gt;90,AO159,(AO159+IF($B$1+39&lt;=$B159,12*$B$9,-12*MAX(0,$B$8-IF($B$1+39&gt;=$B$23,$B$22,0))*(1+$B$4)^39))*IF(AO159+IF($B$1+39&lt;=$B159,12*$B$9,-12*MAX(0,$B$8-IF($B$1+39&gt;=$B$23,$B$22,0))*(1+$B$4)^39)&gt;0,1+$B$3,1))</f>
        <v/>
      </c>
      <c r="AQ159">
        <f>IF($B$1+40&gt;90,AP159,(AP159+IF($B$1+40&lt;=$B159,12*$B$9,-12*MAX(0,$B$8-IF($B$1+40&gt;=$B$23,$B$22,0))*(1+$B$4)^40))*IF(AP159+IF($B$1+40&lt;=$B159,12*$B$9,-12*MAX(0,$B$8-IF($B$1+40&gt;=$B$23,$B$22,0))*(1+$B$4)^40)&gt;0,1+$B$3,1))</f>
        <v/>
      </c>
      <c r="AR159">
        <f>IF($B$1+41&gt;90,AQ159,(AQ159+IF($B$1+41&lt;=$B159,12*$B$9,-12*MAX(0,$B$8-IF($B$1+41&gt;=$B$23,$B$22,0))*(1+$B$4)^41))*IF(AQ159+IF($B$1+41&lt;=$B159,12*$B$9,-12*MAX(0,$B$8-IF($B$1+41&gt;=$B$23,$B$22,0))*(1+$B$4)^41)&gt;0,1+$B$3,1))</f>
        <v/>
      </c>
      <c r="AS159">
        <f>IF($B$1+42&gt;90,AR159,(AR159+IF($B$1+42&lt;=$B159,12*$B$9,-12*MAX(0,$B$8-IF($B$1+42&gt;=$B$23,$B$22,0))*(1+$B$4)^42))*IF(AR159+IF($B$1+42&lt;=$B159,12*$B$9,-12*MAX(0,$B$8-IF($B$1+42&gt;=$B$23,$B$22,0))*(1+$B$4)^42)&gt;0,1+$B$3,1))</f>
        <v/>
      </c>
      <c r="AT159">
        <f>IF($B$1+43&gt;90,AS159,(AS159+IF($B$1+43&lt;=$B159,12*$B$9,-12*MAX(0,$B$8-IF($B$1+43&gt;=$B$23,$B$22,0))*(1+$B$4)^43))*IF(AS159+IF($B$1+43&lt;=$B159,12*$B$9,-12*MAX(0,$B$8-IF($B$1+43&gt;=$B$23,$B$22,0))*(1+$B$4)^43)&gt;0,1+$B$3,1))</f>
        <v/>
      </c>
      <c r="AU159">
        <f>IF($B$1+44&gt;90,AT159,(AT159+IF($B$1+44&lt;=$B159,12*$B$9,-12*MAX(0,$B$8-IF($B$1+44&gt;=$B$23,$B$22,0))*(1+$B$4)^44))*IF(AT159+IF($B$1+44&lt;=$B159,12*$B$9,-12*MAX(0,$B$8-IF($B$1+44&gt;=$B$23,$B$22,0))*(1+$B$4)^44)&gt;0,1+$B$3,1))</f>
        <v/>
      </c>
      <c r="AV159">
        <f>IF($B$1+45&gt;90,AU159,(AU159+IF($B$1+45&lt;=$B159,12*$B$9,-12*MAX(0,$B$8-IF($B$1+45&gt;=$B$23,$B$22,0))*(1+$B$4)^45))*IF(AU159+IF($B$1+45&lt;=$B159,12*$B$9,-12*MAX(0,$B$8-IF($B$1+45&gt;=$B$23,$B$22,0))*(1+$B$4)^45)&gt;0,1+$B$3,1))</f>
        <v/>
      </c>
      <c r="AW159">
        <f>IF($B$1+46&gt;90,AV159,(AV159+IF($B$1+46&lt;=$B159,12*$B$9,-12*MAX(0,$B$8-IF($B$1+46&gt;=$B$23,$B$22,0))*(1+$B$4)^46))*IF(AV159+IF($B$1+46&lt;=$B159,12*$B$9,-12*MAX(0,$B$8-IF($B$1+46&gt;=$B$23,$B$22,0))*(1+$B$4)^46)&gt;0,1+$B$3,1))</f>
        <v/>
      </c>
      <c r="AX159">
        <f>IF($B$1+47&gt;90,AW159,(AW159+IF($B$1+47&lt;=$B159,12*$B$9,-12*MAX(0,$B$8-IF($B$1+47&gt;=$B$23,$B$22,0))*(1+$B$4)^47))*IF(AW159+IF($B$1+47&lt;=$B159,12*$B$9,-12*MAX(0,$B$8-IF($B$1+47&gt;=$B$23,$B$22,0))*(1+$B$4)^47)&gt;0,1+$B$3,1))</f>
        <v/>
      </c>
      <c r="AY159">
        <f>IF($B$1+48&gt;90,AX159,(AX159+IF($B$1+48&lt;=$B159,12*$B$9,-12*MAX(0,$B$8-IF($B$1+48&gt;=$B$23,$B$22,0))*(1+$B$4)^48))*IF(AX159+IF($B$1+48&lt;=$B159,12*$B$9,-12*MAX(0,$B$8-IF($B$1+48&gt;=$B$23,$B$22,0))*(1+$B$4)^48)&gt;0,1+$B$3,1))</f>
        <v/>
      </c>
      <c r="AZ159">
        <f>IF($B$1+49&gt;90,AY159,(AY159+IF($B$1+49&lt;=$B159,12*$B$9,-12*MAX(0,$B$8-IF($B$1+49&gt;=$B$23,$B$22,0))*(1+$B$4)^49))*IF(AY159+IF($B$1+49&lt;=$B159,12*$B$9,-12*MAX(0,$B$8-IF($B$1+49&gt;=$B$23,$B$22,0))*(1+$B$4)^49)&gt;0,1+$B$3,1))</f>
        <v/>
      </c>
      <c r="BA159">
        <f>IF($B$1+50&gt;90,AZ159,(AZ159+IF($B$1+50&lt;=$B159,12*$B$9,-12*MAX(0,$B$8-IF($B$1+50&gt;=$B$23,$B$22,0))*(1+$B$4)^50))*IF(AZ159+IF($B$1+50&lt;=$B159,12*$B$9,-12*MAX(0,$B$8-IF($B$1+50&gt;=$B$23,$B$22,0))*(1+$B$4)^50)&gt;0,1+$B$3,1))</f>
        <v/>
      </c>
      <c r="BB159">
        <f>IF($B$1+51&gt;90,BA159,(BA159+IF($B$1+51&lt;=$B159,12*$B$9,-12*MAX(0,$B$8-IF($B$1+51&gt;=$B$23,$B$22,0))*(1+$B$4)^51))*IF(BA159+IF($B$1+51&lt;=$B159,12*$B$9,-12*MAX(0,$B$8-IF($B$1+51&gt;=$B$23,$B$22,0))*(1+$B$4)^51)&gt;0,1+$B$3,1))</f>
        <v/>
      </c>
      <c r="BC159">
        <f>IF($B$1+52&gt;90,BB159,(BB159+IF($B$1+52&lt;=$B159,12*$B$9,-12*MAX(0,$B$8-IF($B$1+52&gt;=$B$23,$B$22,0))*(1+$B$4)^52))*IF(BB159+IF($B$1+52&lt;=$B159,12*$B$9,-12*MAX(0,$B$8-IF($B$1+52&gt;=$B$23,$B$22,0))*(1+$B$4)^52)&gt;0,1+$B$3,1))</f>
        <v/>
      </c>
      <c r="BD159">
        <f>IF($B$1+53&gt;90,BC159,(BC159+IF($B$1+53&lt;=$B159,12*$B$9,-12*MAX(0,$B$8-IF($B$1+53&gt;=$B$23,$B$22,0))*(1+$B$4)^53))*IF(BC159+IF($B$1+53&lt;=$B159,12*$B$9,-12*MAX(0,$B$8-IF($B$1+53&gt;=$B$23,$B$22,0))*(1+$B$4)^53)&gt;0,1+$B$3,1))</f>
        <v/>
      </c>
      <c r="BE159">
        <f>IF($B$1+54&gt;90,BD159,(BD159+IF($B$1+54&lt;=$B159,12*$B$9,-12*MAX(0,$B$8-IF($B$1+54&gt;=$B$23,$B$22,0))*(1+$B$4)^54))*IF(BD159+IF($B$1+54&lt;=$B159,12*$B$9,-12*MAX(0,$B$8-IF($B$1+54&gt;=$B$23,$B$22,0))*(1+$B$4)^54)&gt;0,1+$B$3,1))</f>
        <v/>
      </c>
      <c r="BF159">
        <f>IF($B$1+55&gt;90,BE159,(BE159+IF($B$1+55&lt;=$B159,12*$B$9,-12*MAX(0,$B$8-IF($B$1+55&gt;=$B$23,$B$22,0))*(1+$B$4)^55))*IF(BE159+IF($B$1+55&lt;=$B159,12*$B$9,-12*MAX(0,$B$8-IF($B$1+55&gt;=$B$23,$B$22,0))*(1+$B$4)^55)&gt;0,1+$B$3,1))</f>
        <v/>
      </c>
      <c r="BG159">
        <f>IF($B$1+56&gt;90,BF159,(BF159+IF($B$1+56&lt;=$B159,12*$B$9,-12*MAX(0,$B$8-IF($B$1+56&gt;=$B$23,$B$22,0))*(1+$B$4)^56))*IF(BF159+IF($B$1+56&lt;=$B159,12*$B$9,-12*MAX(0,$B$8-IF($B$1+56&gt;=$B$23,$B$22,0))*(1+$B$4)^56)&gt;0,1+$B$3,1))</f>
        <v/>
      </c>
      <c r="BH159">
        <f>IF($B$1+57&gt;90,BG159,(BG159+IF($B$1+57&lt;=$B159,12*$B$9,-12*MAX(0,$B$8-IF($B$1+57&gt;=$B$23,$B$22,0))*(1+$B$4)^57))*IF(BG159+IF($B$1+57&lt;=$B159,12*$B$9,-12*MAX(0,$B$8-IF($B$1+57&gt;=$B$23,$B$22,0))*(1+$B$4)^57)&gt;0,1+$B$3,1))</f>
        <v/>
      </c>
      <c r="BI159">
        <f>IF($B$1+58&gt;90,BH159,(BH159+IF($B$1+58&lt;=$B159,12*$B$9,-12*MAX(0,$B$8-IF($B$1+58&gt;=$B$23,$B$22,0))*(1+$B$4)^58))*IF(BH159+IF($B$1+58&lt;=$B159,12*$B$9,-12*MAX(0,$B$8-IF($B$1+58&gt;=$B$23,$B$22,0))*(1+$B$4)^58)&gt;0,1+$B$3,1))</f>
        <v/>
      </c>
      <c r="BJ159">
        <f>IF($B$1+59&gt;90,BI159,(BI159+IF($B$1+59&lt;=$B159,12*$B$9,-12*MAX(0,$B$8-IF($B$1+59&gt;=$B$23,$B$22,0))*(1+$B$4)^59))*IF(BI159+IF($B$1+59&lt;=$B159,12*$B$9,-12*MAX(0,$B$8-IF($B$1+59&gt;=$B$23,$B$22,0))*(1+$B$4)^59)&gt;0,1+$B$3,1))</f>
        <v/>
      </c>
      <c r="BK159">
        <f>IF($B$1+60&gt;90,BJ159,(BJ159+IF($B$1+60&lt;=$B159,12*$B$9,-12*MAX(0,$B$8-IF($B$1+60&gt;=$B$23,$B$22,0))*(1+$B$4)^60))*IF(BJ159+IF($B$1+60&lt;=$B159,12*$B$9,-12*MAX(0,$B$8-IF($B$1+60&gt;=$B$23,$B$22,0))*(1+$B$4)^60)&gt;0,1+$B$3,1))</f>
        <v/>
      </c>
      <c r="BL159">
        <f>IF($B$1+61&gt;90,BK159,(BK159+IF($B$1+61&lt;=$B159,12*$B$9,-12*MAX(0,$B$8-IF($B$1+61&gt;=$B$23,$B$22,0))*(1+$B$4)^61))*IF(BK159+IF($B$1+61&lt;=$B159,12*$B$9,-12*MAX(0,$B$8-IF($B$1+61&gt;=$B$23,$B$22,0))*(1+$B$4)^61)&gt;0,1+$B$3,1))</f>
        <v/>
      </c>
      <c r="BM159">
        <f>IF($B$1+62&gt;90,BL159,(BL159+IF($B$1+62&lt;=$B159,12*$B$9,-12*MAX(0,$B$8-IF($B$1+62&gt;=$B$23,$B$22,0))*(1+$B$4)^62))*IF(BL159+IF($B$1+62&lt;=$B159,12*$B$9,-12*MAX(0,$B$8-IF($B$1+62&gt;=$B$23,$B$22,0))*(1+$B$4)^62)&gt;0,1+$B$3,1))</f>
        <v/>
      </c>
      <c r="BN159">
        <f>IF($B$1+63&gt;90,BM159,(BM159+IF($B$1+63&lt;=$B159,12*$B$9,-12*MAX(0,$B$8-IF($B$1+63&gt;=$B$23,$B$22,0))*(1+$B$4)^63))*IF(BM159+IF($B$1+63&lt;=$B159,12*$B$9,-12*MAX(0,$B$8-IF($B$1+63&gt;=$B$23,$B$22,0))*(1+$B$4)^63)&gt;0,1+$B$3,1))</f>
        <v/>
      </c>
      <c r="BO159">
        <f>IF($B$1+64&gt;90,BN159,(BN159+IF($B$1+64&lt;=$B159,12*$B$9,-12*MAX(0,$B$8-IF($B$1+64&gt;=$B$23,$B$22,0))*(1+$B$4)^64))*IF(BN159+IF($B$1+64&lt;=$B159,12*$B$9,-12*MAX(0,$B$8-IF($B$1+64&gt;=$B$23,$B$22,0))*(1+$B$4)^64)&gt;0,1+$B$3,1))</f>
        <v/>
      </c>
      <c r="BP159">
        <f>IF($B$1+65&gt;90,BO159,(BO159+IF($B$1+65&lt;=$B159,12*$B$9,-12*MAX(0,$B$8-IF($B$1+65&gt;=$B$23,$B$22,0))*(1+$B$4)^65))*IF(BO159+IF($B$1+65&lt;=$B159,12*$B$9,-12*MAX(0,$B$8-IF($B$1+65&gt;=$B$23,$B$22,0))*(1+$B$4)^65)&gt;0,1+$B$3,1))</f>
        <v/>
      </c>
      <c r="BQ159">
        <f>IF($B$1+66&gt;90,BP159,(BP159+IF($B$1+66&lt;=$B159,12*$B$9,-12*MAX(0,$B$8-IF($B$1+66&gt;=$B$23,$B$22,0))*(1+$B$4)^66))*IF(BP159+IF($B$1+66&lt;=$B159,12*$B$9,-12*MAX(0,$B$8-IF($B$1+66&gt;=$B$23,$B$22,0))*(1+$B$4)^66)&gt;0,1+$B$3,1))</f>
        <v/>
      </c>
      <c r="BR159">
        <f>IF($B$1+67&gt;90,BQ159,(BQ159+IF($B$1+67&lt;=$B159,12*$B$9,-12*MAX(0,$B$8-IF($B$1+67&gt;=$B$23,$B$22,0))*(1+$B$4)^67))*IF(BQ159+IF($B$1+67&lt;=$B159,12*$B$9,-12*MAX(0,$B$8-IF($B$1+67&gt;=$B$23,$B$22,0))*(1+$B$4)^67)&gt;0,1+$B$3,1))</f>
        <v/>
      </c>
      <c r="BS159">
        <f>IF($B$1+68&gt;90,BR159,(BR159+IF($B$1+68&lt;=$B159,12*$B$9,-12*MAX(0,$B$8-IF($B$1+68&gt;=$B$23,$B$22,0))*(1+$B$4)^68))*IF(BR159+IF($B$1+68&lt;=$B159,12*$B$9,-12*MAX(0,$B$8-IF($B$1+68&gt;=$B$23,$B$22,0))*(1+$B$4)^68)&gt;0,1+$B$3,1))</f>
        <v/>
      </c>
      <c r="BT159">
        <f>IF($B$1+69&gt;90,BS159,(BS159+IF($B$1+69&lt;=$B159,12*$B$9,-12*MAX(0,$B$8-IF($B$1+69&gt;=$B$23,$B$22,0))*(1+$B$4)^69))*IF(BS159+IF($B$1+69&lt;=$B159,12*$B$9,-12*MAX(0,$B$8-IF($B$1+69&gt;=$B$23,$B$22,0))*(1+$B$4)^69)&gt;0,1+$B$3,1))</f>
        <v/>
      </c>
      <c r="BU159">
        <f>IF($B$1+70&gt;90,BT159,(BT159+IF($B$1+70&lt;=$B159,12*$B$9,-12*MAX(0,$B$8-IF($B$1+70&gt;=$B$23,$B$22,0))*(1+$B$4)^70))*IF(BT159+IF($B$1+70&lt;=$B159,12*$B$9,-12*MAX(0,$B$8-IF($B$1+70&gt;=$B$23,$B$22,0))*(1+$B$4)^70)&gt;0,1+$B$3,1))</f>
        <v/>
      </c>
      <c r="BV159">
        <f>BU159</f>
        <v/>
      </c>
      <c r="BW159">
        <f>IF(AND($B159&lt;=70,BV159&gt;0),$B159,999)</f>
        <v/>
      </c>
      <c r="CH159">
        <f>IF(ISTEXT('월 가계부'!A159),SUBSTITUTE(SUBSTITUTE(SUBSTITUTE(SUBSTITUTE(SUBSTITUTE(SUBSTITUTE(SUBSTITUTE(SUBSTITUTE(SUBSTITUTE(TRIM('월 가계부'!A159),"년","-"),"월","-"),"일",""),".","-"),"/","-")," ","-"),"--","-"),"--","-"),"--","-")&amp;"-","")</f>
        <v/>
      </c>
      <c r="CI159">
        <f>IFERROR(IF('월 가계부'!A159="","",IF(ISNUMBER('월 가계부'!A159),IF(AND('월 가계부'!A159&gt;=19000101,'월 가계부'!A159&lt;=21001231),IF(AND(MOD(INT('월 가계부'!A159/100),100)&gt;=1,MOD(INT('월 가계부'!A159/100),100)&lt;=12,MOD(INT('월 가계부'!A159),100)&gt;=1,MOD(INT('월 가계부'!A159),100)&lt;=31),IF(MONTH(DATE(INT('월 가계부'!A159/10000),MOD(INT('월 가계부'!A159/100),100),MOD(INT('월 가계부'!A159),100)))=MOD(INT('월 가계부'!A159/100),100),DATE(INT('월 가계부'!A159/10000),MOD(INT('월 가계부'!A159/100),100),MOD(INT('월 가계부'!A159),100)),""),""),IF(AND('월 가계부'!A159&gt;=36526,'월 가계부'!A159&lt;73051),INT('월 가계부'!A159),"")),IF(OR(CM159="",CN159="",CO159=""),"",IF(AND(CM159&gt;=2000,CM159&lt;=2099,CN159&gt;=1,CN159&lt;=12,CO159&gt;=1,CO159&lt;=31),IF(MONTH(DATE(CM159,CN159,CO159))=CN159,DATE(CM159,CN159,CO159),""),"")))),"")</f>
        <v/>
      </c>
      <c r="CJ159">
        <f>IFERROR(IF('월 가계부'!C159="","",IF(ISNUMBER('월 가계부'!C159),'월 가계부'!C159,VALUE(SUBSTITUTE(SUBSTITUTE(SUBSTITUTE(SUBSTITUTE(TRIM('월 가계부'!C159),",",""),"원","")," ",""),"−","-")))),"")</f>
        <v/>
      </c>
      <c r="CK159">
        <f>IF(ISNUMBER(CI159),IF(CI159&lt;$B$13,CI159,""),"")</f>
        <v/>
      </c>
      <c r="CM159">
        <f>IF(CH159="","",IFERROR(IF(IF(AND(LEN(CH159)=9,ISERROR(FIND("-",LEFT(CH159,8))),ISNUMBER(-LEFT(CH159,8))),VALUE(LEFT(CH159,4)),VALUE(LEFT(CH159,FIND("-",CH159)-1)))&lt;100,IF(AND(LEN(CH159)=9,ISERROR(FIND("-",LEFT(CH159,8))),ISNUMBER(-LEFT(CH159,8))),VALUE(LEFT(CH159,4)),VALUE(LEFT(CH159,FIND("-",CH159)-1)))+2000,IF(AND(LEN(CH159)=9,ISERROR(FIND("-",LEFT(CH159,8))),ISNUMBER(-LEFT(CH159,8))),VALUE(LEFT(CH159,4)),VALUE(LEFT(CH159,FIND("-",CH159)-1)))),""))</f>
        <v/>
      </c>
      <c r="CN159">
        <f>IF(CH159="","",IFERROR(IF(AND(LEN(CH159)=9,ISERROR(FIND("-",LEFT(CH159,8))),ISNUMBER(-LEFT(CH159,8))),VALUE(MID(CH159,5,2)),VALUE(MID(CH159,FIND("-",CH159)+1,FIND("-",CH159,FIND("-",CH159)+1)-FIND("-",CH159)-1))),""))</f>
        <v/>
      </c>
      <c r="CO159">
        <f>IF(CH159="","",IFERROR(IF(AND(LEN(CH159)=9,ISERROR(FIND("-",LEFT(CH159,8))),ISNUMBER(-LEFT(CH159,8))),VALUE(MID(CH159,7,2)),VALUE(MID(CH159,FIND("-",CH159,FIND("-",CH159)+1)+1,FIND("-",CH159,FIND("-",CH159,FIND("-",CH159)+1)+1)-FIND("-",CH159,FIND("-",CH159)+1)-1))),""))</f>
        <v/>
      </c>
    </row>
    <row r="160">
      <c r="A160" t="n">
        <v>8</v>
      </c>
      <c r="B160">
        <f>$B$1+8</f>
        <v/>
      </c>
      <c r="C160">
        <f>$B$2</f>
        <v/>
      </c>
      <c r="D160">
        <f>IF($B$1+1&gt;90,C160,(C160+IF($B$1+1&lt;=$B160,12*$B$9,-12*MAX(0,$B$8-IF($B$1+1&gt;=$B$23,$B$22,0))*(1+$B$4)^1))*IF(C160+IF($B$1+1&lt;=$B160,12*$B$9,-12*MAX(0,$B$8-IF($B$1+1&gt;=$B$23,$B$22,0))*(1+$B$4)^1)&gt;0,1+$B$3,1))</f>
        <v/>
      </c>
      <c r="E160">
        <f>IF($B$1+2&gt;90,D160,(D160+IF($B$1+2&lt;=$B160,12*$B$9,-12*MAX(0,$B$8-IF($B$1+2&gt;=$B$23,$B$22,0))*(1+$B$4)^2))*IF(D160+IF($B$1+2&lt;=$B160,12*$B$9,-12*MAX(0,$B$8-IF($B$1+2&gt;=$B$23,$B$22,0))*(1+$B$4)^2)&gt;0,1+$B$3,1))</f>
        <v/>
      </c>
      <c r="F160">
        <f>IF($B$1+3&gt;90,E160,(E160+IF($B$1+3&lt;=$B160,12*$B$9,-12*MAX(0,$B$8-IF($B$1+3&gt;=$B$23,$B$22,0))*(1+$B$4)^3))*IF(E160+IF($B$1+3&lt;=$B160,12*$B$9,-12*MAX(0,$B$8-IF($B$1+3&gt;=$B$23,$B$22,0))*(1+$B$4)^3)&gt;0,1+$B$3,1))</f>
        <v/>
      </c>
      <c r="G160">
        <f>IF($B$1+4&gt;90,F160,(F160+IF($B$1+4&lt;=$B160,12*$B$9,-12*MAX(0,$B$8-IF($B$1+4&gt;=$B$23,$B$22,0))*(1+$B$4)^4))*IF(F160+IF($B$1+4&lt;=$B160,12*$B$9,-12*MAX(0,$B$8-IF($B$1+4&gt;=$B$23,$B$22,0))*(1+$B$4)^4)&gt;0,1+$B$3,1))</f>
        <v/>
      </c>
      <c r="H160">
        <f>IF($B$1+5&gt;90,G160,(G160+IF($B$1+5&lt;=$B160,12*$B$9,-12*MAX(0,$B$8-IF($B$1+5&gt;=$B$23,$B$22,0))*(1+$B$4)^5))*IF(G160+IF($B$1+5&lt;=$B160,12*$B$9,-12*MAX(0,$B$8-IF($B$1+5&gt;=$B$23,$B$22,0))*(1+$B$4)^5)&gt;0,1+$B$3,1))</f>
        <v/>
      </c>
      <c r="I160">
        <f>IF($B$1+6&gt;90,H160,(H160+IF($B$1+6&lt;=$B160,12*$B$9,-12*MAX(0,$B$8-IF($B$1+6&gt;=$B$23,$B$22,0))*(1+$B$4)^6))*IF(H160+IF($B$1+6&lt;=$B160,12*$B$9,-12*MAX(0,$B$8-IF($B$1+6&gt;=$B$23,$B$22,0))*(1+$B$4)^6)&gt;0,1+$B$3,1))</f>
        <v/>
      </c>
      <c r="J160">
        <f>IF($B$1+7&gt;90,I160,(I160+IF($B$1+7&lt;=$B160,12*$B$9,-12*MAX(0,$B$8-IF($B$1+7&gt;=$B$23,$B$22,0))*(1+$B$4)^7))*IF(I160+IF($B$1+7&lt;=$B160,12*$B$9,-12*MAX(0,$B$8-IF($B$1+7&gt;=$B$23,$B$22,0))*(1+$B$4)^7)&gt;0,1+$B$3,1))</f>
        <v/>
      </c>
      <c r="K160">
        <f>IF($B$1+8&gt;90,J160,(J160+IF($B$1+8&lt;=$B160,12*$B$9,-12*MAX(0,$B$8-IF($B$1+8&gt;=$B$23,$B$22,0))*(1+$B$4)^8))*IF(J160+IF($B$1+8&lt;=$B160,12*$B$9,-12*MAX(0,$B$8-IF($B$1+8&gt;=$B$23,$B$22,0))*(1+$B$4)^8)&gt;0,1+$B$3,1))</f>
        <v/>
      </c>
      <c r="L160">
        <f>IF($B$1+9&gt;90,K160,(K160+IF($B$1+9&lt;=$B160,12*$B$9,-12*MAX(0,$B$8-IF($B$1+9&gt;=$B$23,$B$22,0))*(1+$B$4)^9))*IF(K160+IF($B$1+9&lt;=$B160,12*$B$9,-12*MAX(0,$B$8-IF($B$1+9&gt;=$B$23,$B$22,0))*(1+$B$4)^9)&gt;0,1+$B$3,1))</f>
        <v/>
      </c>
      <c r="M160">
        <f>IF($B$1+10&gt;90,L160,(L160+IF($B$1+10&lt;=$B160,12*$B$9,-12*MAX(0,$B$8-IF($B$1+10&gt;=$B$23,$B$22,0))*(1+$B$4)^10))*IF(L160+IF($B$1+10&lt;=$B160,12*$B$9,-12*MAX(0,$B$8-IF($B$1+10&gt;=$B$23,$B$22,0))*(1+$B$4)^10)&gt;0,1+$B$3,1))</f>
        <v/>
      </c>
      <c r="N160">
        <f>IF($B$1+11&gt;90,M160,(M160+IF($B$1+11&lt;=$B160,12*$B$9,-12*MAX(0,$B$8-IF($B$1+11&gt;=$B$23,$B$22,0))*(1+$B$4)^11))*IF(M160+IF($B$1+11&lt;=$B160,12*$B$9,-12*MAX(0,$B$8-IF($B$1+11&gt;=$B$23,$B$22,0))*(1+$B$4)^11)&gt;0,1+$B$3,1))</f>
        <v/>
      </c>
      <c r="O160">
        <f>IF($B$1+12&gt;90,N160,(N160+IF($B$1+12&lt;=$B160,12*$B$9,-12*MAX(0,$B$8-IF($B$1+12&gt;=$B$23,$B$22,0))*(1+$B$4)^12))*IF(N160+IF($B$1+12&lt;=$B160,12*$B$9,-12*MAX(0,$B$8-IF($B$1+12&gt;=$B$23,$B$22,0))*(1+$B$4)^12)&gt;0,1+$B$3,1))</f>
        <v/>
      </c>
      <c r="P160">
        <f>IF($B$1+13&gt;90,O160,(O160+IF($B$1+13&lt;=$B160,12*$B$9,-12*MAX(0,$B$8-IF($B$1+13&gt;=$B$23,$B$22,0))*(1+$B$4)^13))*IF(O160+IF($B$1+13&lt;=$B160,12*$B$9,-12*MAX(0,$B$8-IF($B$1+13&gt;=$B$23,$B$22,0))*(1+$B$4)^13)&gt;0,1+$B$3,1))</f>
        <v/>
      </c>
      <c r="Q160">
        <f>IF($B$1+14&gt;90,P160,(P160+IF($B$1+14&lt;=$B160,12*$B$9,-12*MAX(0,$B$8-IF($B$1+14&gt;=$B$23,$B$22,0))*(1+$B$4)^14))*IF(P160+IF($B$1+14&lt;=$B160,12*$B$9,-12*MAX(0,$B$8-IF($B$1+14&gt;=$B$23,$B$22,0))*(1+$B$4)^14)&gt;0,1+$B$3,1))</f>
        <v/>
      </c>
      <c r="R160">
        <f>IF($B$1+15&gt;90,Q160,(Q160+IF($B$1+15&lt;=$B160,12*$B$9,-12*MAX(0,$B$8-IF($B$1+15&gt;=$B$23,$B$22,0))*(1+$B$4)^15))*IF(Q160+IF($B$1+15&lt;=$B160,12*$B$9,-12*MAX(0,$B$8-IF($B$1+15&gt;=$B$23,$B$22,0))*(1+$B$4)^15)&gt;0,1+$B$3,1))</f>
        <v/>
      </c>
      <c r="S160">
        <f>IF($B$1+16&gt;90,R160,(R160+IF($B$1+16&lt;=$B160,12*$B$9,-12*MAX(0,$B$8-IF($B$1+16&gt;=$B$23,$B$22,0))*(1+$B$4)^16))*IF(R160+IF($B$1+16&lt;=$B160,12*$B$9,-12*MAX(0,$B$8-IF($B$1+16&gt;=$B$23,$B$22,0))*(1+$B$4)^16)&gt;0,1+$B$3,1))</f>
        <v/>
      </c>
      <c r="T160">
        <f>IF($B$1+17&gt;90,S160,(S160+IF($B$1+17&lt;=$B160,12*$B$9,-12*MAX(0,$B$8-IF($B$1+17&gt;=$B$23,$B$22,0))*(1+$B$4)^17))*IF(S160+IF($B$1+17&lt;=$B160,12*$B$9,-12*MAX(0,$B$8-IF($B$1+17&gt;=$B$23,$B$22,0))*(1+$B$4)^17)&gt;0,1+$B$3,1))</f>
        <v/>
      </c>
      <c r="U160">
        <f>IF($B$1+18&gt;90,T160,(T160+IF($B$1+18&lt;=$B160,12*$B$9,-12*MAX(0,$B$8-IF($B$1+18&gt;=$B$23,$B$22,0))*(1+$B$4)^18))*IF(T160+IF($B$1+18&lt;=$B160,12*$B$9,-12*MAX(0,$B$8-IF($B$1+18&gt;=$B$23,$B$22,0))*(1+$B$4)^18)&gt;0,1+$B$3,1))</f>
        <v/>
      </c>
      <c r="V160">
        <f>IF($B$1+19&gt;90,U160,(U160+IF($B$1+19&lt;=$B160,12*$B$9,-12*MAX(0,$B$8-IF($B$1+19&gt;=$B$23,$B$22,0))*(1+$B$4)^19))*IF(U160+IF($B$1+19&lt;=$B160,12*$B$9,-12*MAX(0,$B$8-IF($B$1+19&gt;=$B$23,$B$22,0))*(1+$B$4)^19)&gt;0,1+$B$3,1))</f>
        <v/>
      </c>
      <c r="W160">
        <f>IF($B$1+20&gt;90,V160,(V160+IF($B$1+20&lt;=$B160,12*$B$9,-12*MAX(0,$B$8-IF($B$1+20&gt;=$B$23,$B$22,0))*(1+$B$4)^20))*IF(V160+IF($B$1+20&lt;=$B160,12*$B$9,-12*MAX(0,$B$8-IF($B$1+20&gt;=$B$23,$B$22,0))*(1+$B$4)^20)&gt;0,1+$B$3,1))</f>
        <v/>
      </c>
      <c r="X160">
        <f>IF($B$1+21&gt;90,W160,(W160+IF($B$1+21&lt;=$B160,12*$B$9,-12*MAX(0,$B$8-IF($B$1+21&gt;=$B$23,$B$22,0))*(1+$B$4)^21))*IF(W160+IF($B$1+21&lt;=$B160,12*$B$9,-12*MAX(0,$B$8-IF($B$1+21&gt;=$B$23,$B$22,0))*(1+$B$4)^21)&gt;0,1+$B$3,1))</f>
        <v/>
      </c>
      <c r="Y160">
        <f>IF($B$1+22&gt;90,X160,(X160+IF($B$1+22&lt;=$B160,12*$B$9,-12*MAX(0,$B$8-IF($B$1+22&gt;=$B$23,$B$22,0))*(1+$B$4)^22))*IF(X160+IF($B$1+22&lt;=$B160,12*$B$9,-12*MAX(0,$B$8-IF($B$1+22&gt;=$B$23,$B$22,0))*(1+$B$4)^22)&gt;0,1+$B$3,1))</f>
        <v/>
      </c>
      <c r="Z160">
        <f>IF($B$1+23&gt;90,Y160,(Y160+IF($B$1+23&lt;=$B160,12*$B$9,-12*MAX(0,$B$8-IF($B$1+23&gt;=$B$23,$B$22,0))*(1+$B$4)^23))*IF(Y160+IF($B$1+23&lt;=$B160,12*$B$9,-12*MAX(0,$B$8-IF($B$1+23&gt;=$B$23,$B$22,0))*(1+$B$4)^23)&gt;0,1+$B$3,1))</f>
        <v/>
      </c>
      <c r="AA160">
        <f>IF($B$1+24&gt;90,Z160,(Z160+IF($B$1+24&lt;=$B160,12*$B$9,-12*MAX(0,$B$8-IF($B$1+24&gt;=$B$23,$B$22,0))*(1+$B$4)^24))*IF(Z160+IF($B$1+24&lt;=$B160,12*$B$9,-12*MAX(0,$B$8-IF($B$1+24&gt;=$B$23,$B$22,0))*(1+$B$4)^24)&gt;0,1+$B$3,1))</f>
        <v/>
      </c>
      <c r="AB160">
        <f>IF($B$1+25&gt;90,AA160,(AA160+IF($B$1+25&lt;=$B160,12*$B$9,-12*MAX(0,$B$8-IF($B$1+25&gt;=$B$23,$B$22,0))*(1+$B$4)^25))*IF(AA160+IF($B$1+25&lt;=$B160,12*$B$9,-12*MAX(0,$B$8-IF($B$1+25&gt;=$B$23,$B$22,0))*(1+$B$4)^25)&gt;0,1+$B$3,1))</f>
        <v/>
      </c>
      <c r="AC160">
        <f>IF($B$1+26&gt;90,AB160,(AB160+IF($B$1+26&lt;=$B160,12*$B$9,-12*MAX(0,$B$8-IF($B$1+26&gt;=$B$23,$B$22,0))*(1+$B$4)^26))*IF(AB160+IF($B$1+26&lt;=$B160,12*$B$9,-12*MAX(0,$B$8-IF($B$1+26&gt;=$B$23,$B$22,0))*(1+$B$4)^26)&gt;0,1+$B$3,1))</f>
        <v/>
      </c>
      <c r="AD160">
        <f>IF($B$1+27&gt;90,AC160,(AC160+IF($B$1+27&lt;=$B160,12*$B$9,-12*MAX(0,$B$8-IF($B$1+27&gt;=$B$23,$B$22,0))*(1+$B$4)^27))*IF(AC160+IF($B$1+27&lt;=$B160,12*$B$9,-12*MAX(0,$B$8-IF($B$1+27&gt;=$B$23,$B$22,0))*(1+$B$4)^27)&gt;0,1+$B$3,1))</f>
        <v/>
      </c>
      <c r="AE160">
        <f>IF($B$1+28&gt;90,AD160,(AD160+IF($B$1+28&lt;=$B160,12*$B$9,-12*MAX(0,$B$8-IF($B$1+28&gt;=$B$23,$B$22,0))*(1+$B$4)^28))*IF(AD160+IF($B$1+28&lt;=$B160,12*$B$9,-12*MAX(0,$B$8-IF($B$1+28&gt;=$B$23,$B$22,0))*(1+$B$4)^28)&gt;0,1+$B$3,1))</f>
        <v/>
      </c>
      <c r="AF160">
        <f>IF($B$1+29&gt;90,AE160,(AE160+IF($B$1+29&lt;=$B160,12*$B$9,-12*MAX(0,$B$8-IF($B$1+29&gt;=$B$23,$B$22,0))*(1+$B$4)^29))*IF(AE160+IF($B$1+29&lt;=$B160,12*$B$9,-12*MAX(0,$B$8-IF($B$1+29&gt;=$B$23,$B$22,0))*(1+$B$4)^29)&gt;0,1+$B$3,1))</f>
        <v/>
      </c>
      <c r="AG160">
        <f>IF($B$1+30&gt;90,AF160,(AF160+IF($B$1+30&lt;=$B160,12*$B$9,-12*MAX(0,$B$8-IF($B$1+30&gt;=$B$23,$B$22,0))*(1+$B$4)^30))*IF(AF160+IF($B$1+30&lt;=$B160,12*$B$9,-12*MAX(0,$B$8-IF($B$1+30&gt;=$B$23,$B$22,0))*(1+$B$4)^30)&gt;0,1+$B$3,1))</f>
        <v/>
      </c>
      <c r="AH160">
        <f>IF($B$1+31&gt;90,AG160,(AG160+IF($B$1+31&lt;=$B160,12*$B$9,-12*MAX(0,$B$8-IF($B$1+31&gt;=$B$23,$B$22,0))*(1+$B$4)^31))*IF(AG160+IF($B$1+31&lt;=$B160,12*$B$9,-12*MAX(0,$B$8-IF($B$1+31&gt;=$B$23,$B$22,0))*(1+$B$4)^31)&gt;0,1+$B$3,1))</f>
        <v/>
      </c>
      <c r="AI160">
        <f>IF($B$1+32&gt;90,AH160,(AH160+IF($B$1+32&lt;=$B160,12*$B$9,-12*MAX(0,$B$8-IF($B$1+32&gt;=$B$23,$B$22,0))*(1+$B$4)^32))*IF(AH160+IF($B$1+32&lt;=$B160,12*$B$9,-12*MAX(0,$B$8-IF($B$1+32&gt;=$B$23,$B$22,0))*(1+$B$4)^32)&gt;0,1+$B$3,1))</f>
        <v/>
      </c>
      <c r="AJ160">
        <f>IF($B$1+33&gt;90,AI160,(AI160+IF($B$1+33&lt;=$B160,12*$B$9,-12*MAX(0,$B$8-IF($B$1+33&gt;=$B$23,$B$22,0))*(1+$B$4)^33))*IF(AI160+IF($B$1+33&lt;=$B160,12*$B$9,-12*MAX(0,$B$8-IF($B$1+33&gt;=$B$23,$B$22,0))*(1+$B$4)^33)&gt;0,1+$B$3,1))</f>
        <v/>
      </c>
      <c r="AK160">
        <f>IF($B$1+34&gt;90,AJ160,(AJ160+IF($B$1+34&lt;=$B160,12*$B$9,-12*MAX(0,$B$8-IF($B$1+34&gt;=$B$23,$B$22,0))*(1+$B$4)^34))*IF(AJ160+IF($B$1+34&lt;=$B160,12*$B$9,-12*MAX(0,$B$8-IF($B$1+34&gt;=$B$23,$B$22,0))*(1+$B$4)^34)&gt;0,1+$B$3,1))</f>
        <v/>
      </c>
      <c r="AL160">
        <f>IF($B$1+35&gt;90,AK160,(AK160+IF($B$1+35&lt;=$B160,12*$B$9,-12*MAX(0,$B$8-IF($B$1+35&gt;=$B$23,$B$22,0))*(1+$B$4)^35))*IF(AK160+IF($B$1+35&lt;=$B160,12*$B$9,-12*MAX(0,$B$8-IF($B$1+35&gt;=$B$23,$B$22,0))*(1+$B$4)^35)&gt;0,1+$B$3,1))</f>
        <v/>
      </c>
      <c r="AM160">
        <f>IF($B$1+36&gt;90,AL160,(AL160+IF($B$1+36&lt;=$B160,12*$B$9,-12*MAX(0,$B$8-IF($B$1+36&gt;=$B$23,$B$22,0))*(1+$B$4)^36))*IF(AL160+IF($B$1+36&lt;=$B160,12*$B$9,-12*MAX(0,$B$8-IF($B$1+36&gt;=$B$23,$B$22,0))*(1+$B$4)^36)&gt;0,1+$B$3,1))</f>
        <v/>
      </c>
      <c r="AN160">
        <f>IF($B$1+37&gt;90,AM160,(AM160+IF($B$1+37&lt;=$B160,12*$B$9,-12*MAX(0,$B$8-IF($B$1+37&gt;=$B$23,$B$22,0))*(1+$B$4)^37))*IF(AM160+IF($B$1+37&lt;=$B160,12*$B$9,-12*MAX(0,$B$8-IF($B$1+37&gt;=$B$23,$B$22,0))*(1+$B$4)^37)&gt;0,1+$B$3,1))</f>
        <v/>
      </c>
      <c r="AO160">
        <f>IF($B$1+38&gt;90,AN160,(AN160+IF($B$1+38&lt;=$B160,12*$B$9,-12*MAX(0,$B$8-IF($B$1+38&gt;=$B$23,$B$22,0))*(1+$B$4)^38))*IF(AN160+IF($B$1+38&lt;=$B160,12*$B$9,-12*MAX(0,$B$8-IF($B$1+38&gt;=$B$23,$B$22,0))*(1+$B$4)^38)&gt;0,1+$B$3,1))</f>
        <v/>
      </c>
      <c r="AP160">
        <f>IF($B$1+39&gt;90,AO160,(AO160+IF($B$1+39&lt;=$B160,12*$B$9,-12*MAX(0,$B$8-IF($B$1+39&gt;=$B$23,$B$22,0))*(1+$B$4)^39))*IF(AO160+IF($B$1+39&lt;=$B160,12*$B$9,-12*MAX(0,$B$8-IF($B$1+39&gt;=$B$23,$B$22,0))*(1+$B$4)^39)&gt;0,1+$B$3,1))</f>
        <v/>
      </c>
      <c r="AQ160">
        <f>IF($B$1+40&gt;90,AP160,(AP160+IF($B$1+40&lt;=$B160,12*$B$9,-12*MAX(0,$B$8-IF($B$1+40&gt;=$B$23,$B$22,0))*(1+$B$4)^40))*IF(AP160+IF($B$1+40&lt;=$B160,12*$B$9,-12*MAX(0,$B$8-IF($B$1+40&gt;=$B$23,$B$22,0))*(1+$B$4)^40)&gt;0,1+$B$3,1))</f>
        <v/>
      </c>
      <c r="AR160">
        <f>IF($B$1+41&gt;90,AQ160,(AQ160+IF($B$1+41&lt;=$B160,12*$B$9,-12*MAX(0,$B$8-IF($B$1+41&gt;=$B$23,$B$22,0))*(1+$B$4)^41))*IF(AQ160+IF($B$1+41&lt;=$B160,12*$B$9,-12*MAX(0,$B$8-IF($B$1+41&gt;=$B$23,$B$22,0))*(1+$B$4)^41)&gt;0,1+$B$3,1))</f>
        <v/>
      </c>
      <c r="AS160">
        <f>IF($B$1+42&gt;90,AR160,(AR160+IF($B$1+42&lt;=$B160,12*$B$9,-12*MAX(0,$B$8-IF($B$1+42&gt;=$B$23,$B$22,0))*(1+$B$4)^42))*IF(AR160+IF($B$1+42&lt;=$B160,12*$B$9,-12*MAX(0,$B$8-IF($B$1+42&gt;=$B$23,$B$22,0))*(1+$B$4)^42)&gt;0,1+$B$3,1))</f>
        <v/>
      </c>
      <c r="AT160">
        <f>IF($B$1+43&gt;90,AS160,(AS160+IF($B$1+43&lt;=$B160,12*$B$9,-12*MAX(0,$B$8-IF($B$1+43&gt;=$B$23,$B$22,0))*(1+$B$4)^43))*IF(AS160+IF($B$1+43&lt;=$B160,12*$B$9,-12*MAX(0,$B$8-IF($B$1+43&gt;=$B$23,$B$22,0))*(1+$B$4)^43)&gt;0,1+$B$3,1))</f>
        <v/>
      </c>
      <c r="AU160">
        <f>IF($B$1+44&gt;90,AT160,(AT160+IF($B$1+44&lt;=$B160,12*$B$9,-12*MAX(0,$B$8-IF($B$1+44&gt;=$B$23,$B$22,0))*(1+$B$4)^44))*IF(AT160+IF($B$1+44&lt;=$B160,12*$B$9,-12*MAX(0,$B$8-IF($B$1+44&gt;=$B$23,$B$22,0))*(1+$B$4)^44)&gt;0,1+$B$3,1))</f>
        <v/>
      </c>
      <c r="AV160">
        <f>IF($B$1+45&gt;90,AU160,(AU160+IF($B$1+45&lt;=$B160,12*$B$9,-12*MAX(0,$B$8-IF($B$1+45&gt;=$B$23,$B$22,0))*(1+$B$4)^45))*IF(AU160+IF($B$1+45&lt;=$B160,12*$B$9,-12*MAX(0,$B$8-IF($B$1+45&gt;=$B$23,$B$22,0))*(1+$B$4)^45)&gt;0,1+$B$3,1))</f>
        <v/>
      </c>
      <c r="AW160">
        <f>IF($B$1+46&gt;90,AV160,(AV160+IF($B$1+46&lt;=$B160,12*$B$9,-12*MAX(0,$B$8-IF($B$1+46&gt;=$B$23,$B$22,0))*(1+$B$4)^46))*IF(AV160+IF($B$1+46&lt;=$B160,12*$B$9,-12*MAX(0,$B$8-IF($B$1+46&gt;=$B$23,$B$22,0))*(1+$B$4)^46)&gt;0,1+$B$3,1))</f>
        <v/>
      </c>
      <c r="AX160">
        <f>IF($B$1+47&gt;90,AW160,(AW160+IF($B$1+47&lt;=$B160,12*$B$9,-12*MAX(0,$B$8-IF($B$1+47&gt;=$B$23,$B$22,0))*(1+$B$4)^47))*IF(AW160+IF($B$1+47&lt;=$B160,12*$B$9,-12*MAX(0,$B$8-IF($B$1+47&gt;=$B$23,$B$22,0))*(1+$B$4)^47)&gt;0,1+$B$3,1))</f>
        <v/>
      </c>
      <c r="AY160">
        <f>IF($B$1+48&gt;90,AX160,(AX160+IF($B$1+48&lt;=$B160,12*$B$9,-12*MAX(0,$B$8-IF($B$1+48&gt;=$B$23,$B$22,0))*(1+$B$4)^48))*IF(AX160+IF($B$1+48&lt;=$B160,12*$B$9,-12*MAX(0,$B$8-IF($B$1+48&gt;=$B$23,$B$22,0))*(1+$B$4)^48)&gt;0,1+$B$3,1))</f>
        <v/>
      </c>
      <c r="AZ160">
        <f>IF($B$1+49&gt;90,AY160,(AY160+IF($B$1+49&lt;=$B160,12*$B$9,-12*MAX(0,$B$8-IF($B$1+49&gt;=$B$23,$B$22,0))*(1+$B$4)^49))*IF(AY160+IF($B$1+49&lt;=$B160,12*$B$9,-12*MAX(0,$B$8-IF($B$1+49&gt;=$B$23,$B$22,0))*(1+$B$4)^49)&gt;0,1+$B$3,1))</f>
        <v/>
      </c>
      <c r="BA160">
        <f>IF($B$1+50&gt;90,AZ160,(AZ160+IF($B$1+50&lt;=$B160,12*$B$9,-12*MAX(0,$B$8-IF($B$1+50&gt;=$B$23,$B$22,0))*(1+$B$4)^50))*IF(AZ160+IF($B$1+50&lt;=$B160,12*$B$9,-12*MAX(0,$B$8-IF($B$1+50&gt;=$B$23,$B$22,0))*(1+$B$4)^50)&gt;0,1+$B$3,1))</f>
        <v/>
      </c>
      <c r="BB160">
        <f>IF($B$1+51&gt;90,BA160,(BA160+IF($B$1+51&lt;=$B160,12*$B$9,-12*MAX(0,$B$8-IF($B$1+51&gt;=$B$23,$B$22,0))*(1+$B$4)^51))*IF(BA160+IF($B$1+51&lt;=$B160,12*$B$9,-12*MAX(0,$B$8-IF($B$1+51&gt;=$B$23,$B$22,0))*(1+$B$4)^51)&gt;0,1+$B$3,1))</f>
        <v/>
      </c>
      <c r="BC160">
        <f>IF($B$1+52&gt;90,BB160,(BB160+IF($B$1+52&lt;=$B160,12*$B$9,-12*MAX(0,$B$8-IF($B$1+52&gt;=$B$23,$B$22,0))*(1+$B$4)^52))*IF(BB160+IF($B$1+52&lt;=$B160,12*$B$9,-12*MAX(0,$B$8-IF($B$1+52&gt;=$B$23,$B$22,0))*(1+$B$4)^52)&gt;0,1+$B$3,1))</f>
        <v/>
      </c>
      <c r="BD160">
        <f>IF($B$1+53&gt;90,BC160,(BC160+IF($B$1+53&lt;=$B160,12*$B$9,-12*MAX(0,$B$8-IF($B$1+53&gt;=$B$23,$B$22,0))*(1+$B$4)^53))*IF(BC160+IF($B$1+53&lt;=$B160,12*$B$9,-12*MAX(0,$B$8-IF($B$1+53&gt;=$B$23,$B$22,0))*(1+$B$4)^53)&gt;0,1+$B$3,1))</f>
        <v/>
      </c>
      <c r="BE160">
        <f>IF($B$1+54&gt;90,BD160,(BD160+IF($B$1+54&lt;=$B160,12*$B$9,-12*MAX(0,$B$8-IF($B$1+54&gt;=$B$23,$B$22,0))*(1+$B$4)^54))*IF(BD160+IF($B$1+54&lt;=$B160,12*$B$9,-12*MAX(0,$B$8-IF($B$1+54&gt;=$B$23,$B$22,0))*(1+$B$4)^54)&gt;0,1+$B$3,1))</f>
        <v/>
      </c>
      <c r="BF160">
        <f>IF($B$1+55&gt;90,BE160,(BE160+IF($B$1+55&lt;=$B160,12*$B$9,-12*MAX(0,$B$8-IF($B$1+55&gt;=$B$23,$B$22,0))*(1+$B$4)^55))*IF(BE160+IF($B$1+55&lt;=$B160,12*$B$9,-12*MAX(0,$B$8-IF($B$1+55&gt;=$B$23,$B$22,0))*(1+$B$4)^55)&gt;0,1+$B$3,1))</f>
        <v/>
      </c>
      <c r="BG160">
        <f>IF($B$1+56&gt;90,BF160,(BF160+IF($B$1+56&lt;=$B160,12*$B$9,-12*MAX(0,$B$8-IF($B$1+56&gt;=$B$23,$B$22,0))*(1+$B$4)^56))*IF(BF160+IF($B$1+56&lt;=$B160,12*$B$9,-12*MAX(0,$B$8-IF($B$1+56&gt;=$B$23,$B$22,0))*(1+$B$4)^56)&gt;0,1+$B$3,1))</f>
        <v/>
      </c>
      <c r="BH160">
        <f>IF($B$1+57&gt;90,BG160,(BG160+IF($B$1+57&lt;=$B160,12*$B$9,-12*MAX(0,$B$8-IF($B$1+57&gt;=$B$23,$B$22,0))*(1+$B$4)^57))*IF(BG160+IF($B$1+57&lt;=$B160,12*$B$9,-12*MAX(0,$B$8-IF($B$1+57&gt;=$B$23,$B$22,0))*(1+$B$4)^57)&gt;0,1+$B$3,1))</f>
        <v/>
      </c>
      <c r="BI160">
        <f>IF($B$1+58&gt;90,BH160,(BH160+IF($B$1+58&lt;=$B160,12*$B$9,-12*MAX(0,$B$8-IF($B$1+58&gt;=$B$23,$B$22,0))*(1+$B$4)^58))*IF(BH160+IF($B$1+58&lt;=$B160,12*$B$9,-12*MAX(0,$B$8-IF($B$1+58&gt;=$B$23,$B$22,0))*(1+$B$4)^58)&gt;0,1+$B$3,1))</f>
        <v/>
      </c>
      <c r="BJ160">
        <f>IF($B$1+59&gt;90,BI160,(BI160+IF($B$1+59&lt;=$B160,12*$B$9,-12*MAX(0,$B$8-IF($B$1+59&gt;=$B$23,$B$22,0))*(1+$B$4)^59))*IF(BI160+IF($B$1+59&lt;=$B160,12*$B$9,-12*MAX(0,$B$8-IF($B$1+59&gt;=$B$23,$B$22,0))*(1+$B$4)^59)&gt;0,1+$B$3,1))</f>
        <v/>
      </c>
      <c r="BK160">
        <f>IF($B$1+60&gt;90,BJ160,(BJ160+IF($B$1+60&lt;=$B160,12*$B$9,-12*MAX(0,$B$8-IF($B$1+60&gt;=$B$23,$B$22,0))*(1+$B$4)^60))*IF(BJ160+IF($B$1+60&lt;=$B160,12*$B$9,-12*MAX(0,$B$8-IF($B$1+60&gt;=$B$23,$B$22,0))*(1+$B$4)^60)&gt;0,1+$B$3,1))</f>
        <v/>
      </c>
      <c r="BL160">
        <f>IF($B$1+61&gt;90,BK160,(BK160+IF($B$1+61&lt;=$B160,12*$B$9,-12*MAX(0,$B$8-IF($B$1+61&gt;=$B$23,$B$22,0))*(1+$B$4)^61))*IF(BK160+IF($B$1+61&lt;=$B160,12*$B$9,-12*MAX(0,$B$8-IF($B$1+61&gt;=$B$23,$B$22,0))*(1+$B$4)^61)&gt;0,1+$B$3,1))</f>
        <v/>
      </c>
      <c r="BM160">
        <f>IF($B$1+62&gt;90,BL160,(BL160+IF($B$1+62&lt;=$B160,12*$B$9,-12*MAX(0,$B$8-IF($B$1+62&gt;=$B$23,$B$22,0))*(1+$B$4)^62))*IF(BL160+IF($B$1+62&lt;=$B160,12*$B$9,-12*MAX(0,$B$8-IF($B$1+62&gt;=$B$23,$B$22,0))*(1+$B$4)^62)&gt;0,1+$B$3,1))</f>
        <v/>
      </c>
      <c r="BN160">
        <f>IF($B$1+63&gt;90,BM160,(BM160+IF($B$1+63&lt;=$B160,12*$B$9,-12*MAX(0,$B$8-IF($B$1+63&gt;=$B$23,$B$22,0))*(1+$B$4)^63))*IF(BM160+IF($B$1+63&lt;=$B160,12*$B$9,-12*MAX(0,$B$8-IF($B$1+63&gt;=$B$23,$B$22,0))*(1+$B$4)^63)&gt;0,1+$B$3,1))</f>
        <v/>
      </c>
      <c r="BO160">
        <f>IF($B$1+64&gt;90,BN160,(BN160+IF($B$1+64&lt;=$B160,12*$B$9,-12*MAX(0,$B$8-IF($B$1+64&gt;=$B$23,$B$22,0))*(1+$B$4)^64))*IF(BN160+IF($B$1+64&lt;=$B160,12*$B$9,-12*MAX(0,$B$8-IF($B$1+64&gt;=$B$23,$B$22,0))*(1+$B$4)^64)&gt;0,1+$B$3,1))</f>
        <v/>
      </c>
      <c r="BP160">
        <f>IF($B$1+65&gt;90,BO160,(BO160+IF($B$1+65&lt;=$B160,12*$B$9,-12*MAX(0,$B$8-IF($B$1+65&gt;=$B$23,$B$22,0))*(1+$B$4)^65))*IF(BO160+IF($B$1+65&lt;=$B160,12*$B$9,-12*MAX(0,$B$8-IF($B$1+65&gt;=$B$23,$B$22,0))*(1+$B$4)^65)&gt;0,1+$B$3,1))</f>
        <v/>
      </c>
      <c r="BQ160">
        <f>IF($B$1+66&gt;90,BP160,(BP160+IF($B$1+66&lt;=$B160,12*$B$9,-12*MAX(0,$B$8-IF($B$1+66&gt;=$B$23,$B$22,0))*(1+$B$4)^66))*IF(BP160+IF($B$1+66&lt;=$B160,12*$B$9,-12*MAX(0,$B$8-IF($B$1+66&gt;=$B$23,$B$22,0))*(1+$B$4)^66)&gt;0,1+$B$3,1))</f>
        <v/>
      </c>
      <c r="BR160">
        <f>IF($B$1+67&gt;90,BQ160,(BQ160+IF($B$1+67&lt;=$B160,12*$B$9,-12*MAX(0,$B$8-IF($B$1+67&gt;=$B$23,$B$22,0))*(1+$B$4)^67))*IF(BQ160+IF($B$1+67&lt;=$B160,12*$B$9,-12*MAX(0,$B$8-IF($B$1+67&gt;=$B$23,$B$22,0))*(1+$B$4)^67)&gt;0,1+$B$3,1))</f>
        <v/>
      </c>
      <c r="BS160">
        <f>IF($B$1+68&gt;90,BR160,(BR160+IF($B$1+68&lt;=$B160,12*$B$9,-12*MAX(0,$B$8-IF($B$1+68&gt;=$B$23,$B$22,0))*(1+$B$4)^68))*IF(BR160+IF($B$1+68&lt;=$B160,12*$B$9,-12*MAX(0,$B$8-IF($B$1+68&gt;=$B$23,$B$22,0))*(1+$B$4)^68)&gt;0,1+$B$3,1))</f>
        <v/>
      </c>
      <c r="BT160">
        <f>IF($B$1+69&gt;90,BS160,(BS160+IF($B$1+69&lt;=$B160,12*$B$9,-12*MAX(0,$B$8-IF($B$1+69&gt;=$B$23,$B$22,0))*(1+$B$4)^69))*IF(BS160+IF($B$1+69&lt;=$B160,12*$B$9,-12*MAX(0,$B$8-IF($B$1+69&gt;=$B$23,$B$22,0))*(1+$B$4)^69)&gt;0,1+$B$3,1))</f>
        <v/>
      </c>
      <c r="BU160">
        <f>IF($B$1+70&gt;90,BT160,(BT160+IF($B$1+70&lt;=$B160,12*$B$9,-12*MAX(0,$B$8-IF($B$1+70&gt;=$B$23,$B$22,0))*(1+$B$4)^70))*IF(BT160+IF($B$1+70&lt;=$B160,12*$B$9,-12*MAX(0,$B$8-IF($B$1+70&gt;=$B$23,$B$22,0))*(1+$B$4)^70)&gt;0,1+$B$3,1))</f>
        <v/>
      </c>
      <c r="BV160">
        <f>BU160</f>
        <v/>
      </c>
      <c r="BW160">
        <f>IF(AND($B160&lt;=70,BV160&gt;0),$B160,999)</f>
        <v/>
      </c>
      <c r="CH160">
        <f>IF(ISTEXT('월 가계부'!A160),SUBSTITUTE(SUBSTITUTE(SUBSTITUTE(SUBSTITUTE(SUBSTITUTE(SUBSTITUTE(SUBSTITUTE(SUBSTITUTE(SUBSTITUTE(TRIM('월 가계부'!A160),"년","-"),"월","-"),"일",""),".","-"),"/","-")," ","-"),"--","-"),"--","-"),"--","-")&amp;"-","")</f>
        <v/>
      </c>
      <c r="CI160">
        <f>IFERROR(IF('월 가계부'!A160="","",IF(ISNUMBER('월 가계부'!A160),IF(AND('월 가계부'!A160&gt;=19000101,'월 가계부'!A160&lt;=21001231),IF(AND(MOD(INT('월 가계부'!A160/100),100)&gt;=1,MOD(INT('월 가계부'!A160/100),100)&lt;=12,MOD(INT('월 가계부'!A160),100)&gt;=1,MOD(INT('월 가계부'!A160),100)&lt;=31),IF(MONTH(DATE(INT('월 가계부'!A160/10000),MOD(INT('월 가계부'!A160/100),100),MOD(INT('월 가계부'!A160),100)))=MOD(INT('월 가계부'!A160/100),100),DATE(INT('월 가계부'!A160/10000),MOD(INT('월 가계부'!A160/100),100),MOD(INT('월 가계부'!A160),100)),""),""),IF(AND('월 가계부'!A160&gt;=36526,'월 가계부'!A160&lt;73051),INT('월 가계부'!A160),"")),IF(OR(CM160="",CN160="",CO160=""),"",IF(AND(CM160&gt;=2000,CM160&lt;=2099,CN160&gt;=1,CN160&lt;=12,CO160&gt;=1,CO160&lt;=31),IF(MONTH(DATE(CM160,CN160,CO160))=CN160,DATE(CM160,CN160,CO160),""),"")))),"")</f>
        <v/>
      </c>
      <c r="CJ160">
        <f>IFERROR(IF('월 가계부'!C160="","",IF(ISNUMBER('월 가계부'!C160),'월 가계부'!C160,VALUE(SUBSTITUTE(SUBSTITUTE(SUBSTITUTE(SUBSTITUTE(TRIM('월 가계부'!C160),",",""),"원","")," ",""),"−","-")))),"")</f>
        <v/>
      </c>
      <c r="CK160">
        <f>IF(ISNUMBER(CI160),IF(CI160&lt;$B$13,CI160,""),"")</f>
        <v/>
      </c>
      <c r="CM160">
        <f>IF(CH160="","",IFERROR(IF(IF(AND(LEN(CH160)=9,ISERROR(FIND("-",LEFT(CH160,8))),ISNUMBER(-LEFT(CH160,8))),VALUE(LEFT(CH160,4)),VALUE(LEFT(CH160,FIND("-",CH160)-1)))&lt;100,IF(AND(LEN(CH160)=9,ISERROR(FIND("-",LEFT(CH160,8))),ISNUMBER(-LEFT(CH160,8))),VALUE(LEFT(CH160,4)),VALUE(LEFT(CH160,FIND("-",CH160)-1)))+2000,IF(AND(LEN(CH160)=9,ISERROR(FIND("-",LEFT(CH160,8))),ISNUMBER(-LEFT(CH160,8))),VALUE(LEFT(CH160,4)),VALUE(LEFT(CH160,FIND("-",CH160)-1)))),""))</f>
        <v/>
      </c>
      <c r="CN160">
        <f>IF(CH160="","",IFERROR(IF(AND(LEN(CH160)=9,ISERROR(FIND("-",LEFT(CH160,8))),ISNUMBER(-LEFT(CH160,8))),VALUE(MID(CH160,5,2)),VALUE(MID(CH160,FIND("-",CH160)+1,FIND("-",CH160,FIND("-",CH160)+1)-FIND("-",CH160)-1))),""))</f>
        <v/>
      </c>
      <c r="CO160">
        <f>IF(CH160="","",IFERROR(IF(AND(LEN(CH160)=9,ISERROR(FIND("-",LEFT(CH160,8))),ISNUMBER(-LEFT(CH160,8))),VALUE(MID(CH160,7,2)),VALUE(MID(CH160,FIND("-",CH160,FIND("-",CH160)+1)+1,FIND("-",CH160,FIND("-",CH160,FIND("-",CH160)+1)+1)-FIND("-",CH160,FIND("-",CH160)+1)-1))),""))</f>
        <v/>
      </c>
    </row>
    <row r="161">
      <c r="A161" t="n">
        <v>9</v>
      </c>
      <c r="B161">
        <f>$B$1+9</f>
        <v/>
      </c>
      <c r="C161">
        <f>$B$2</f>
        <v/>
      </c>
      <c r="D161">
        <f>IF($B$1+1&gt;90,C161,(C161+IF($B$1+1&lt;=$B161,12*$B$9,-12*MAX(0,$B$8-IF($B$1+1&gt;=$B$23,$B$22,0))*(1+$B$4)^1))*IF(C161+IF($B$1+1&lt;=$B161,12*$B$9,-12*MAX(0,$B$8-IF($B$1+1&gt;=$B$23,$B$22,0))*(1+$B$4)^1)&gt;0,1+$B$3,1))</f>
        <v/>
      </c>
      <c r="E161">
        <f>IF($B$1+2&gt;90,D161,(D161+IF($B$1+2&lt;=$B161,12*$B$9,-12*MAX(0,$B$8-IF($B$1+2&gt;=$B$23,$B$22,0))*(1+$B$4)^2))*IF(D161+IF($B$1+2&lt;=$B161,12*$B$9,-12*MAX(0,$B$8-IF($B$1+2&gt;=$B$23,$B$22,0))*(1+$B$4)^2)&gt;0,1+$B$3,1))</f>
        <v/>
      </c>
      <c r="F161">
        <f>IF($B$1+3&gt;90,E161,(E161+IF($B$1+3&lt;=$B161,12*$B$9,-12*MAX(0,$B$8-IF($B$1+3&gt;=$B$23,$B$22,0))*(1+$B$4)^3))*IF(E161+IF($B$1+3&lt;=$B161,12*$B$9,-12*MAX(0,$B$8-IF($B$1+3&gt;=$B$23,$B$22,0))*(1+$B$4)^3)&gt;0,1+$B$3,1))</f>
        <v/>
      </c>
      <c r="G161">
        <f>IF($B$1+4&gt;90,F161,(F161+IF($B$1+4&lt;=$B161,12*$B$9,-12*MAX(0,$B$8-IF($B$1+4&gt;=$B$23,$B$22,0))*(1+$B$4)^4))*IF(F161+IF($B$1+4&lt;=$B161,12*$B$9,-12*MAX(0,$B$8-IF($B$1+4&gt;=$B$23,$B$22,0))*(1+$B$4)^4)&gt;0,1+$B$3,1))</f>
        <v/>
      </c>
      <c r="H161">
        <f>IF($B$1+5&gt;90,G161,(G161+IF($B$1+5&lt;=$B161,12*$B$9,-12*MAX(0,$B$8-IF($B$1+5&gt;=$B$23,$B$22,0))*(1+$B$4)^5))*IF(G161+IF($B$1+5&lt;=$B161,12*$B$9,-12*MAX(0,$B$8-IF($B$1+5&gt;=$B$23,$B$22,0))*(1+$B$4)^5)&gt;0,1+$B$3,1))</f>
        <v/>
      </c>
      <c r="I161">
        <f>IF($B$1+6&gt;90,H161,(H161+IF($B$1+6&lt;=$B161,12*$B$9,-12*MAX(0,$B$8-IF($B$1+6&gt;=$B$23,$B$22,0))*(1+$B$4)^6))*IF(H161+IF($B$1+6&lt;=$B161,12*$B$9,-12*MAX(0,$B$8-IF($B$1+6&gt;=$B$23,$B$22,0))*(1+$B$4)^6)&gt;0,1+$B$3,1))</f>
        <v/>
      </c>
      <c r="J161">
        <f>IF($B$1+7&gt;90,I161,(I161+IF($B$1+7&lt;=$B161,12*$B$9,-12*MAX(0,$B$8-IF($B$1+7&gt;=$B$23,$B$22,0))*(1+$B$4)^7))*IF(I161+IF($B$1+7&lt;=$B161,12*$B$9,-12*MAX(0,$B$8-IF($B$1+7&gt;=$B$23,$B$22,0))*(1+$B$4)^7)&gt;0,1+$B$3,1))</f>
        <v/>
      </c>
      <c r="K161">
        <f>IF($B$1+8&gt;90,J161,(J161+IF($B$1+8&lt;=$B161,12*$B$9,-12*MAX(0,$B$8-IF($B$1+8&gt;=$B$23,$B$22,0))*(1+$B$4)^8))*IF(J161+IF($B$1+8&lt;=$B161,12*$B$9,-12*MAX(0,$B$8-IF($B$1+8&gt;=$B$23,$B$22,0))*(1+$B$4)^8)&gt;0,1+$B$3,1))</f>
        <v/>
      </c>
      <c r="L161">
        <f>IF($B$1+9&gt;90,K161,(K161+IF($B$1+9&lt;=$B161,12*$B$9,-12*MAX(0,$B$8-IF($B$1+9&gt;=$B$23,$B$22,0))*(1+$B$4)^9))*IF(K161+IF($B$1+9&lt;=$B161,12*$B$9,-12*MAX(0,$B$8-IF($B$1+9&gt;=$B$23,$B$22,0))*(1+$B$4)^9)&gt;0,1+$B$3,1))</f>
        <v/>
      </c>
      <c r="M161">
        <f>IF($B$1+10&gt;90,L161,(L161+IF($B$1+10&lt;=$B161,12*$B$9,-12*MAX(0,$B$8-IF($B$1+10&gt;=$B$23,$B$22,0))*(1+$B$4)^10))*IF(L161+IF($B$1+10&lt;=$B161,12*$B$9,-12*MAX(0,$B$8-IF($B$1+10&gt;=$B$23,$B$22,0))*(1+$B$4)^10)&gt;0,1+$B$3,1))</f>
        <v/>
      </c>
      <c r="N161">
        <f>IF($B$1+11&gt;90,M161,(M161+IF($B$1+11&lt;=$B161,12*$B$9,-12*MAX(0,$B$8-IF($B$1+11&gt;=$B$23,$B$22,0))*(1+$B$4)^11))*IF(M161+IF($B$1+11&lt;=$B161,12*$B$9,-12*MAX(0,$B$8-IF($B$1+11&gt;=$B$23,$B$22,0))*(1+$B$4)^11)&gt;0,1+$B$3,1))</f>
        <v/>
      </c>
      <c r="O161">
        <f>IF($B$1+12&gt;90,N161,(N161+IF($B$1+12&lt;=$B161,12*$B$9,-12*MAX(0,$B$8-IF($B$1+12&gt;=$B$23,$B$22,0))*(1+$B$4)^12))*IF(N161+IF($B$1+12&lt;=$B161,12*$B$9,-12*MAX(0,$B$8-IF($B$1+12&gt;=$B$23,$B$22,0))*(1+$B$4)^12)&gt;0,1+$B$3,1))</f>
        <v/>
      </c>
      <c r="P161">
        <f>IF($B$1+13&gt;90,O161,(O161+IF($B$1+13&lt;=$B161,12*$B$9,-12*MAX(0,$B$8-IF($B$1+13&gt;=$B$23,$B$22,0))*(1+$B$4)^13))*IF(O161+IF($B$1+13&lt;=$B161,12*$B$9,-12*MAX(0,$B$8-IF($B$1+13&gt;=$B$23,$B$22,0))*(1+$B$4)^13)&gt;0,1+$B$3,1))</f>
        <v/>
      </c>
      <c r="Q161">
        <f>IF($B$1+14&gt;90,P161,(P161+IF($B$1+14&lt;=$B161,12*$B$9,-12*MAX(0,$B$8-IF($B$1+14&gt;=$B$23,$B$22,0))*(1+$B$4)^14))*IF(P161+IF($B$1+14&lt;=$B161,12*$B$9,-12*MAX(0,$B$8-IF($B$1+14&gt;=$B$23,$B$22,0))*(1+$B$4)^14)&gt;0,1+$B$3,1))</f>
        <v/>
      </c>
      <c r="R161">
        <f>IF($B$1+15&gt;90,Q161,(Q161+IF($B$1+15&lt;=$B161,12*$B$9,-12*MAX(0,$B$8-IF($B$1+15&gt;=$B$23,$B$22,0))*(1+$B$4)^15))*IF(Q161+IF($B$1+15&lt;=$B161,12*$B$9,-12*MAX(0,$B$8-IF($B$1+15&gt;=$B$23,$B$22,0))*(1+$B$4)^15)&gt;0,1+$B$3,1))</f>
        <v/>
      </c>
      <c r="S161">
        <f>IF($B$1+16&gt;90,R161,(R161+IF($B$1+16&lt;=$B161,12*$B$9,-12*MAX(0,$B$8-IF($B$1+16&gt;=$B$23,$B$22,0))*(1+$B$4)^16))*IF(R161+IF($B$1+16&lt;=$B161,12*$B$9,-12*MAX(0,$B$8-IF($B$1+16&gt;=$B$23,$B$22,0))*(1+$B$4)^16)&gt;0,1+$B$3,1))</f>
        <v/>
      </c>
      <c r="T161">
        <f>IF($B$1+17&gt;90,S161,(S161+IF($B$1+17&lt;=$B161,12*$B$9,-12*MAX(0,$B$8-IF($B$1+17&gt;=$B$23,$B$22,0))*(1+$B$4)^17))*IF(S161+IF($B$1+17&lt;=$B161,12*$B$9,-12*MAX(0,$B$8-IF($B$1+17&gt;=$B$23,$B$22,0))*(1+$B$4)^17)&gt;0,1+$B$3,1))</f>
        <v/>
      </c>
      <c r="U161">
        <f>IF($B$1+18&gt;90,T161,(T161+IF($B$1+18&lt;=$B161,12*$B$9,-12*MAX(0,$B$8-IF($B$1+18&gt;=$B$23,$B$22,0))*(1+$B$4)^18))*IF(T161+IF($B$1+18&lt;=$B161,12*$B$9,-12*MAX(0,$B$8-IF($B$1+18&gt;=$B$23,$B$22,0))*(1+$B$4)^18)&gt;0,1+$B$3,1))</f>
        <v/>
      </c>
      <c r="V161">
        <f>IF($B$1+19&gt;90,U161,(U161+IF($B$1+19&lt;=$B161,12*$B$9,-12*MAX(0,$B$8-IF($B$1+19&gt;=$B$23,$B$22,0))*(1+$B$4)^19))*IF(U161+IF($B$1+19&lt;=$B161,12*$B$9,-12*MAX(0,$B$8-IF($B$1+19&gt;=$B$23,$B$22,0))*(1+$B$4)^19)&gt;0,1+$B$3,1))</f>
        <v/>
      </c>
      <c r="W161">
        <f>IF($B$1+20&gt;90,V161,(V161+IF($B$1+20&lt;=$B161,12*$B$9,-12*MAX(0,$B$8-IF($B$1+20&gt;=$B$23,$B$22,0))*(1+$B$4)^20))*IF(V161+IF($B$1+20&lt;=$B161,12*$B$9,-12*MAX(0,$B$8-IF($B$1+20&gt;=$B$23,$B$22,0))*(1+$B$4)^20)&gt;0,1+$B$3,1))</f>
        <v/>
      </c>
      <c r="X161">
        <f>IF($B$1+21&gt;90,W161,(W161+IF($B$1+21&lt;=$B161,12*$B$9,-12*MAX(0,$B$8-IF($B$1+21&gt;=$B$23,$B$22,0))*(1+$B$4)^21))*IF(W161+IF($B$1+21&lt;=$B161,12*$B$9,-12*MAX(0,$B$8-IF($B$1+21&gt;=$B$23,$B$22,0))*(1+$B$4)^21)&gt;0,1+$B$3,1))</f>
        <v/>
      </c>
      <c r="Y161">
        <f>IF($B$1+22&gt;90,X161,(X161+IF($B$1+22&lt;=$B161,12*$B$9,-12*MAX(0,$B$8-IF($B$1+22&gt;=$B$23,$B$22,0))*(1+$B$4)^22))*IF(X161+IF($B$1+22&lt;=$B161,12*$B$9,-12*MAX(0,$B$8-IF($B$1+22&gt;=$B$23,$B$22,0))*(1+$B$4)^22)&gt;0,1+$B$3,1))</f>
        <v/>
      </c>
      <c r="Z161">
        <f>IF($B$1+23&gt;90,Y161,(Y161+IF($B$1+23&lt;=$B161,12*$B$9,-12*MAX(0,$B$8-IF($B$1+23&gt;=$B$23,$B$22,0))*(1+$B$4)^23))*IF(Y161+IF($B$1+23&lt;=$B161,12*$B$9,-12*MAX(0,$B$8-IF($B$1+23&gt;=$B$23,$B$22,0))*(1+$B$4)^23)&gt;0,1+$B$3,1))</f>
        <v/>
      </c>
      <c r="AA161">
        <f>IF($B$1+24&gt;90,Z161,(Z161+IF($B$1+24&lt;=$B161,12*$B$9,-12*MAX(0,$B$8-IF($B$1+24&gt;=$B$23,$B$22,0))*(1+$B$4)^24))*IF(Z161+IF($B$1+24&lt;=$B161,12*$B$9,-12*MAX(0,$B$8-IF($B$1+24&gt;=$B$23,$B$22,0))*(1+$B$4)^24)&gt;0,1+$B$3,1))</f>
        <v/>
      </c>
      <c r="AB161">
        <f>IF($B$1+25&gt;90,AA161,(AA161+IF($B$1+25&lt;=$B161,12*$B$9,-12*MAX(0,$B$8-IF($B$1+25&gt;=$B$23,$B$22,0))*(1+$B$4)^25))*IF(AA161+IF($B$1+25&lt;=$B161,12*$B$9,-12*MAX(0,$B$8-IF($B$1+25&gt;=$B$23,$B$22,0))*(1+$B$4)^25)&gt;0,1+$B$3,1))</f>
        <v/>
      </c>
      <c r="AC161">
        <f>IF($B$1+26&gt;90,AB161,(AB161+IF($B$1+26&lt;=$B161,12*$B$9,-12*MAX(0,$B$8-IF($B$1+26&gt;=$B$23,$B$22,0))*(1+$B$4)^26))*IF(AB161+IF($B$1+26&lt;=$B161,12*$B$9,-12*MAX(0,$B$8-IF($B$1+26&gt;=$B$23,$B$22,0))*(1+$B$4)^26)&gt;0,1+$B$3,1))</f>
        <v/>
      </c>
      <c r="AD161">
        <f>IF($B$1+27&gt;90,AC161,(AC161+IF($B$1+27&lt;=$B161,12*$B$9,-12*MAX(0,$B$8-IF($B$1+27&gt;=$B$23,$B$22,0))*(1+$B$4)^27))*IF(AC161+IF($B$1+27&lt;=$B161,12*$B$9,-12*MAX(0,$B$8-IF($B$1+27&gt;=$B$23,$B$22,0))*(1+$B$4)^27)&gt;0,1+$B$3,1))</f>
        <v/>
      </c>
      <c r="AE161">
        <f>IF($B$1+28&gt;90,AD161,(AD161+IF($B$1+28&lt;=$B161,12*$B$9,-12*MAX(0,$B$8-IF($B$1+28&gt;=$B$23,$B$22,0))*(1+$B$4)^28))*IF(AD161+IF($B$1+28&lt;=$B161,12*$B$9,-12*MAX(0,$B$8-IF($B$1+28&gt;=$B$23,$B$22,0))*(1+$B$4)^28)&gt;0,1+$B$3,1))</f>
        <v/>
      </c>
      <c r="AF161">
        <f>IF($B$1+29&gt;90,AE161,(AE161+IF($B$1+29&lt;=$B161,12*$B$9,-12*MAX(0,$B$8-IF($B$1+29&gt;=$B$23,$B$22,0))*(1+$B$4)^29))*IF(AE161+IF($B$1+29&lt;=$B161,12*$B$9,-12*MAX(0,$B$8-IF($B$1+29&gt;=$B$23,$B$22,0))*(1+$B$4)^29)&gt;0,1+$B$3,1))</f>
        <v/>
      </c>
      <c r="AG161">
        <f>IF($B$1+30&gt;90,AF161,(AF161+IF($B$1+30&lt;=$B161,12*$B$9,-12*MAX(0,$B$8-IF($B$1+30&gt;=$B$23,$B$22,0))*(1+$B$4)^30))*IF(AF161+IF($B$1+30&lt;=$B161,12*$B$9,-12*MAX(0,$B$8-IF($B$1+30&gt;=$B$23,$B$22,0))*(1+$B$4)^30)&gt;0,1+$B$3,1))</f>
        <v/>
      </c>
      <c r="AH161">
        <f>IF($B$1+31&gt;90,AG161,(AG161+IF($B$1+31&lt;=$B161,12*$B$9,-12*MAX(0,$B$8-IF($B$1+31&gt;=$B$23,$B$22,0))*(1+$B$4)^31))*IF(AG161+IF($B$1+31&lt;=$B161,12*$B$9,-12*MAX(0,$B$8-IF($B$1+31&gt;=$B$23,$B$22,0))*(1+$B$4)^31)&gt;0,1+$B$3,1))</f>
        <v/>
      </c>
      <c r="AI161">
        <f>IF($B$1+32&gt;90,AH161,(AH161+IF($B$1+32&lt;=$B161,12*$B$9,-12*MAX(0,$B$8-IF($B$1+32&gt;=$B$23,$B$22,0))*(1+$B$4)^32))*IF(AH161+IF($B$1+32&lt;=$B161,12*$B$9,-12*MAX(0,$B$8-IF($B$1+32&gt;=$B$23,$B$22,0))*(1+$B$4)^32)&gt;0,1+$B$3,1))</f>
        <v/>
      </c>
      <c r="AJ161">
        <f>IF($B$1+33&gt;90,AI161,(AI161+IF($B$1+33&lt;=$B161,12*$B$9,-12*MAX(0,$B$8-IF($B$1+33&gt;=$B$23,$B$22,0))*(1+$B$4)^33))*IF(AI161+IF($B$1+33&lt;=$B161,12*$B$9,-12*MAX(0,$B$8-IF($B$1+33&gt;=$B$23,$B$22,0))*(1+$B$4)^33)&gt;0,1+$B$3,1))</f>
        <v/>
      </c>
      <c r="AK161">
        <f>IF($B$1+34&gt;90,AJ161,(AJ161+IF($B$1+34&lt;=$B161,12*$B$9,-12*MAX(0,$B$8-IF($B$1+34&gt;=$B$23,$B$22,0))*(1+$B$4)^34))*IF(AJ161+IF($B$1+34&lt;=$B161,12*$B$9,-12*MAX(0,$B$8-IF($B$1+34&gt;=$B$23,$B$22,0))*(1+$B$4)^34)&gt;0,1+$B$3,1))</f>
        <v/>
      </c>
      <c r="AL161">
        <f>IF($B$1+35&gt;90,AK161,(AK161+IF($B$1+35&lt;=$B161,12*$B$9,-12*MAX(0,$B$8-IF($B$1+35&gt;=$B$23,$B$22,0))*(1+$B$4)^35))*IF(AK161+IF($B$1+35&lt;=$B161,12*$B$9,-12*MAX(0,$B$8-IF($B$1+35&gt;=$B$23,$B$22,0))*(1+$B$4)^35)&gt;0,1+$B$3,1))</f>
        <v/>
      </c>
      <c r="AM161">
        <f>IF($B$1+36&gt;90,AL161,(AL161+IF($B$1+36&lt;=$B161,12*$B$9,-12*MAX(0,$B$8-IF($B$1+36&gt;=$B$23,$B$22,0))*(1+$B$4)^36))*IF(AL161+IF($B$1+36&lt;=$B161,12*$B$9,-12*MAX(0,$B$8-IF($B$1+36&gt;=$B$23,$B$22,0))*(1+$B$4)^36)&gt;0,1+$B$3,1))</f>
        <v/>
      </c>
      <c r="AN161">
        <f>IF($B$1+37&gt;90,AM161,(AM161+IF($B$1+37&lt;=$B161,12*$B$9,-12*MAX(0,$B$8-IF($B$1+37&gt;=$B$23,$B$22,0))*(1+$B$4)^37))*IF(AM161+IF($B$1+37&lt;=$B161,12*$B$9,-12*MAX(0,$B$8-IF($B$1+37&gt;=$B$23,$B$22,0))*(1+$B$4)^37)&gt;0,1+$B$3,1))</f>
        <v/>
      </c>
      <c r="AO161">
        <f>IF($B$1+38&gt;90,AN161,(AN161+IF($B$1+38&lt;=$B161,12*$B$9,-12*MAX(0,$B$8-IF($B$1+38&gt;=$B$23,$B$22,0))*(1+$B$4)^38))*IF(AN161+IF($B$1+38&lt;=$B161,12*$B$9,-12*MAX(0,$B$8-IF($B$1+38&gt;=$B$23,$B$22,0))*(1+$B$4)^38)&gt;0,1+$B$3,1))</f>
        <v/>
      </c>
      <c r="AP161">
        <f>IF($B$1+39&gt;90,AO161,(AO161+IF($B$1+39&lt;=$B161,12*$B$9,-12*MAX(0,$B$8-IF($B$1+39&gt;=$B$23,$B$22,0))*(1+$B$4)^39))*IF(AO161+IF($B$1+39&lt;=$B161,12*$B$9,-12*MAX(0,$B$8-IF($B$1+39&gt;=$B$23,$B$22,0))*(1+$B$4)^39)&gt;0,1+$B$3,1))</f>
        <v/>
      </c>
      <c r="AQ161">
        <f>IF($B$1+40&gt;90,AP161,(AP161+IF($B$1+40&lt;=$B161,12*$B$9,-12*MAX(0,$B$8-IF($B$1+40&gt;=$B$23,$B$22,0))*(1+$B$4)^40))*IF(AP161+IF($B$1+40&lt;=$B161,12*$B$9,-12*MAX(0,$B$8-IF($B$1+40&gt;=$B$23,$B$22,0))*(1+$B$4)^40)&gt;0,1+$B$3,1))</f>
        <v/>
      </c>
      <c r="AR161">
        <f>IF($B$1+41&gt;90,AQ161,(AQ161+IF($B$1+41&lt;=$B161,12*$B$9,-12*MAX(0,$B$8-IF($B$1+41&gt;=$B$23,$B$22,0))*(1+$B$4)^41))*IF(AQ161+IF($B$1+41&lt;=$B161,12*$B$9,-12*MAX(0,$B$8-IF($B$1+41&gt;=$B$23,$B$22,0))*(1+$B$4)^41)&gt;0,1+$B$3,1))</f>
        <v/>
      </c>
      <c r="AS161">
        <f>IF($B$1+42&gt;90,AR161,(AR161+IF($B$1+42&lt;=$B161,12*$B$9,-12*MAX(0,$B$8-IF($B$1+42&gt;=$B$23,$B$22,0))*(1+$B$4)^42))*IF(AR161+IF($B$1+42&lt;=$B161,12*$B$9,-12*MAX(0,$B$8-IF($B$1+42&gt;=$B$23,$B$22,0))*(1+$B$4)^42)&gt;0,1+$B$3,1))</f>
        <v/>
      </c>
      <c r="AT161">
        <f>IF($B$1+43&gt;90,AS161,(AS161+IF($B$1+43&lt;=$B161,12*$B$9,-12*MAX(0,$B$8-IF($B$1+43&gt;=$B$23,$B$22,0))*(1+$B$4)^43))*IF(AS161+IF($B$1+43&lt;=$B161,12*$B$9,-12*MAX(0,$B$8-IF($B$1+43&gt;=$B$23,$B$22,0))*(1+$B$4)^43)&gt;0,1+$B$3,1))</f>
        <v/>
      </c>
      <c r="AU161">
        <f>IF($B$1+44&gt;90,AT161,(AT161+IF($B$1+44&lt;=$B161,12*$B$9,-12*MAX(0,$B$8-IF($B$1+44&gt;=$B$23,$B$22,0))*(1+$B$4)^44))*IF(AT161+IF($B$1+44&lt;=$B161,12*$B$9,-12*MAX(0,$B$8-IF($B$1+44&gt;=$B$23,$B$22,0))*(1+$B$4)^44)&gt;0,1+$B$3,1))</f>
        <v/>
      </c>
      <c r="AV161">
        <f>IF($B$1+45&gt;90,AU161,(AU161+IF($B$1+45&lt;=$B161,12*$B$9,-12*MAX(0,$B$8-IF($B$1+45&gt;=$B$23,$B$22,0))*(1+$B$4)^45))*IF(AU161+IF($B$1+45&lt;=$B161,12*$B$9,-12*MAX(0,$B$8-IF($B$1+45&gt;=$B$23,$B$22,0))*(1+$B$4)^45)&gt;0,1+$B$3,1))</f>
        <v/>
      </c>
      <c r="AW161">
        <f>IF($B$1+46&gt;90,AV161,(AV161+IF($B$1+46&lt;=$B161,12*$B$9,-12*MAX(0,$B$8-IF($B$1+46&gt;=$B$23,$B$22,0))*(1+$B$4)^46))*IF(AV161+IF($B$1+46&lt;=$B161,12*$B$9,-12*MAX(0,$B$8-IF($B$1+46&gt;=$B$23,$B$22,0))*(1+$B$4)^46)&gt;0,1+$B$3,1))</f>
        <v/>
      </c>
      <c r="AX161">
        <f>IF($B$1+47&gt;90,AW161,(AW161+IF($B$1+47&lt;=$B161,12*$B$9,-12*MAX(0,$B$8-IF($B$1+47&gt;=$B$23,$B$22,0))*(1+$B$4)^47))*IF(AW161+IF($B$1+47&lt;=$B161,12*$B$9,-12*MAX(0,$B$8-IF($B$1+47&gt;=$B$23,$B$22,0))*(1+$B$4)^47)&gt;0,1+$B$3,1))</f>
        <v/>
      </c>
      <c r="AY161">
        <f>IF($B$1+48&gt;90,AX161,(AX161+IF($B$1+48&lt;=$B161,12*$B$9,-12*MAX(0,$B$8-IF($B$1+48&gt;=$B$23,$B$22,0))*(1+$B$4)^48))*IF(AX161+IF($B$1+48&lt;=$B161,12*$B$9,-12*MAX(0,$B$8-IF($B$1+48&gt;=$B$23,$B$22,0))*(1+$B$4)^48)&gt;0,1+$B$3,1))</f>
        <v/>
      </c>
      <c r="AZ161">
        <f>IF($B$1+49&gt;90,AY161,(AY161+IF($B$1+49&lt;=$B161,12*$B$9,-12*MAX(0,$B$8-IF($B$1+49&gt;=$B$23,$B$22,0))*(1+$B$4)^49))*IF(AY161+IF($B$1+49&lt;=$B161,12*$B$9,-12*MAX(0,$B$8-IF($B$1+49&gt;=$B$23,$B$22,0))*(1+$B$4)^49)&gt;0,1+$B$3,1))</f>
        <v/>
      </c>
      <c r="BA161">
        <f>IF($B$1+50&gt;90,AZ161,(AZ161+IF($B$1+50&lt;=$B161,12*$B$9,-12*MAX(0,$B$8-IF($B$1+50&gt;=$B$23,$B$22,0))*(1+$B$4)^50))*IF(AZ161+IF($B$1+50&lt;=$B161,12*$B$9,-12*MAX(0,$B$8-IF($B$1+50&gt;=$B$23,$B$22,0))*(1+$B$4)^50)&gt;0,1+$B$3,1))</f>
        <v/>
      </c>
      <c r="BB161">
        <f>IF($B$1+51&gt;90,BA161,(BA161+IF($B$1+51&lt;=$B161,12*$B$9,-12*MAX(0,$B$8-IF($B$1+51&gt;=$B$23,$B$22,0))*(1+$B$4)^51))*IF(BA161+IF($B$1+51&lt;=$B161,12*$B$9,-12*MAX(0,$B$8-IF($B$1+51&gt;=$B$23,$B$22,0))*(1+$B$4)^51)&gt;0,1+$B$3,1))</f>
        <v/>
      </c>
      <c r="BC161">
        <f>IF($B$1+52&gt;90,BB161,(BB161+IF($B$1+52&lt;=$B161,12*$B$9,-12*MAX(0,$B$8-IF($B$1+52&gt;=$B$23,$B$22,0))*(1+$B$4)^52))*IF(BB161+IF($B$1+52&lt;=$B161,12*$B$9,-12*MAX(0,$B$8-IF($B$1+52&gt;=$B$23,$B$22,0))*(1+$B$4)^52)&gt;0,1+$B$3,1))</f>
        <v/>
      </c>
      <c r="BD161">
        <f>IF($B$1+53&gt;90,BC161,(BC161+IF($B$1+53&lt;=$B161,12*$B$9,-12*MAX(0,$B$8-IF($B$1+53&gt;=$B$23,$B$22,0))*(1+$B$4)^53))*IF(BC161+IF($B$1+53&lt;=$B161,12*$B$9,-12*MAX(0,$B$8-IF($B$1+53&gt;=$B$23,$B$22,0))*(1+$B$4)^53)&gt;0,1+$B$3,1))</f>
        <v/>
      </c>
      <c r="BE161">
        <f>IF($B$1+54&gt;90,BD161,(BD161+IF($B$1+54&lt;=$B161,12*$B$9,-12*MAX(0,$B$8-IF($B$1+54&gt;=$B$23,$B$22,0))*(1+$B$4)^54))*IF(BD161+IF($B$1+54&lt;=$B161,12*$B$9,-12*MAX(0,$B$8-IF($B$1+54&gt;=$B$23,$B$22,0))*(1+$B$4)^54)&gt;0,1+$B$3,1))</f>
        <v/>
      </c>
      <c r="BF161">
        <f>IF($B$1+55&gt;90,BE161,(BE161+IF($B$1+55&lt;=$B161,12*$B$9,-12*MAX(0,$B$8-IF($B$1+55&gt;=$B$23,$B$22,0))*(1+$B$4)^55))*IF(BE161+IF($B$1+55&lt;=$B161,12*$B$9,-12*MAX(0,$B$8-IF($B$1+55&gt;=$B$23,$B$22,0))*(1+$B$4)^55)&gt;0,1+$B$3,1))</f>
        <v/>
      </c>
      <c r="BG161">
        <f>IF($B$1+56&gt;90,BF161,(BF161+IF($B$1+56&lt;=$B161,12*$B$9,-12*MAX(0,$B$8-IF($B$1+56&gt;=$B$23,$B$22,0))*(1+$B$4)^56))*IF(BF161+IF($B$1+56&lt;=$B161,12*$B$9,-12*MAX(0,$B$8-IF($B$1+56&gt;=$B$23,$B$22,0))*(1+$B$4)^56)&gt;0,1+$B$3,1))</f>
        <v/>
      </c>
      <c r="BH161">
        <f>IF($B$1+57&gt;90,BG161,(BG161+IF($B$1+57&lt;=$B161,12*$B$9,-12*MAX(0,$B$8-IF($B$1+57&gt;=$B$23,$B$22,0))*(1+$B$4)^57))*IF(BG161+IF($B$1+57&lt;=$B161,12*$B$9,-12*MAX(0,$B$8-IF($B$1+57&gt;=$B$23,$B$22,0))*(1+$B$4)^57)&gt;0,1+$B$3,1))</f>
        <v/>
      </c>
      <c r="BI161">
        <f>IF($B$1+58&gt;90,BH161,(BH161+IF($B$1+58&lt;=$B161,12*$B$9,-12*MAX(0,$B$8-IF($B$1+58&gt;=$B$23,$B$22,0))*(1+$B$4)^58))*IF(BH161+IF($B$1+58&lt;=$B161,12*$B$9,-12*MAX(0,$B$8-IF($B$1+58&gt;=$B$23,$B$22,0))*(1+$B$4)^58)&gt;0,1+$B$3,1))</f>
        <v/>
      </c>
      <c r="BJ161">
        <f>IF($B$1+59&gt;90,BI161,(BI161+IF($B$1+59&lt;=$B161,12*$B$9,-12*MAX(0,$B$8-IF($B$1+59&gt;=$B$23,$B$22,0))*(1+$B$4)^59))*IF(BI161+IF($B$1+59&lt;=$B161,12*$B$9,-12*MAX(0,$B$8-IF($B$1+59&gt;=$B$23,$B$22,0))*(1+$B$4)^59)&gt;0,1+$B$3,1))</f>
        <v/>
      </c>
      <c r="BK161">
        <f>IF($B$1+60&gt;90,BJ161,(BJ161+IF($B$1+60&lt;=$B161,12*$B$9,-12*MAX(0,$B$8-IF($B$1+60&gt;=$B$23,$B$22,0))*(1+$B$4)^60))*IF(BJ161+IF($B$1+60&lt;=$B161,12*$B$9,-12*MAX(0,$B$8-IF($B$1+60&gt;=$B$23,$B$22,0))*(1+$B$4)^60)&gt;0,1+$B$3,1))</f>
        <v/>
      </c>
      <c r="BL161">
        <f>IF($B$1+61&gt;90,BK161,(BK161+IF($B$1+61&lt;=$B161,12*$B$9,-12*MAX(0,$B$8-IF($B$1+61&gt;=$B$23,$B$22,0))*(1+$B$4)^61))*IF(BK161+IF($B$1+61&lt;=$B161,12*$B$9,-12*MAX(0,$B$8-IF($B$1+61&gt;=$B$23,$B$22,0))*(1+$B$4)^61)&gt;0,1+$B$3,1))</f>
        <v/>
      </c>
      <c r="BM161">
        <f>IF($B$1+62&gt;90,BL161,(BL161+IF($B$1+62&lt;=$B161,12*$B$9,-12*MAX(0,$B$8-IF($B$1+62&gt;=$B$23,$B$22,0))*(1+$B$4)^62))*IF(BL161+IF($B$1+62&lt;=$B161,12*$B$9,-12*MAX(0,$B$8-IF($B$1+62&gt;=$B$23,$B$22,0))*(1+$B$4)^62)&gt;0,1+$B$3,1))</f>
        <v/>
      </c>
      <c r="BN161">
        <f>IF($B$1+63&gt;90,BM161,(BM161+IF($B$1+63&lt;=$B161,12*$B$9,-12*MAX(0,$B$8-IF($B$1+63&gt;=$B$23,$B$22,0))*(1+$B$4)^63))*IF(BM161+IF($B$1+63&lt;=$B161,12*$B$9,-12*MAX(0,$B$8-IF($B$1+63&gt;=$B$23,$B$22,0))*(1+$B$4)^63)&gt;0,1+$B$3,1))</f>
        <v/>
      </c>
      <c r="BO161">
        <f>IF($B$1+64&gt;90,BN161,(BN161+IF($B$1+64&lt;=$B161,12*$B$9,-12*MAX(0,$B$8-IF($B$1+64&gt;=$B$23,$B$22,0))*(1+$B$4)^64))*IF(BN161+IF($B$1+64&lt;=$B161,12*$B$9,-12*MAX(0,$B$8-IF($B$1+64&gt;=$B$23,$B$22,0))*(1+$B$4)^64)&gt;0,1+$B$3,1))</f>
        <v/>
      </c>
      <c r="BP161">
        <f>IF($B$1+65&gt;90,BO161,(BO161+IF($B$1+65&lt;=$B161,12*$B$9,-12*MAX(0,$B$8-IF($B$1+65&gt;=$B$23,$B$22,0))*(1+$B$4)^65))*IF(BO161+IF($B$1+65&lt;=$B161,12*$B$9,-12*MAX(0,$B$8-IF($B$1+65&gt;=$B$23,$B$22,0))*(1+$B$4)^65)&gt;0,1+$B$3,1))</f>
        <v/>
      </c>
      <c r="BQ161">
        <f>IF($B$1+66&gt;90,BP161,(BP161+IF($B$1+66&lt;=$B161,12*$B$9,-12*MAX(0,$B$8-IF($B$1+66&gt;=$B$23,$B$22,0))*(1+$B$4)^66))*IF(BP161+IF($B$1+66&lt;=$B161,12*$B$9,-12*MAX(0,$B$8-IF($B$1+66&gt;=$B$23,$B$22,0))*(1+$B$4)^66)&gt;0,1+$B$3,1))</f>
        <v/>
      </c>
      <c r="BR161">
        <f>IF($B$1+67&gt;90,BQ161,(BQ161+IF($B$1+67&lt;=$B161,12*$B$9,-12*MAX(0,$B$8-IF($B$1+67&gt;=$B$23,$B$22,0))*(1+$B$4)^67))*IF(BQ161+IF($B$1+67&lt;=$B161,12*$B$9,-12*MAX(0,$B$8-IF($B$1+67&gt;=$B$23,$B$22,0))*(1+$B$4)^67)&gt;0,1+$B$3,1))</f>
        <v/>
      </c>
      <c r="BS161">
        <f>IF($B$1+68&gt;90,BR161,(BR161+IF($B$1+68&lt;=$B161,12*$B$9,-12*MAX(0,$B$8-IF($B$1+68&gt;=$B$23,$B$22,0))*(1+$B$4)^68))*IF(BR161+IF($B$1+68&lt;=$B161,12*$B$9,-12*MAX(0,$B$8-IF($B$1+68&gt;=$B$23,$B$22,0))*(1+$B$4)^68)&gt;0,1+$B$3,1))</f>
        <v/>
      </c>
      <c r="BT161">
        <f>IF($B$1+69&gt;90,BS161,(BS161+IF($B$1+69&lt;=$B161,12*$B$9,-12*MAX(0,$B$8-IF($B$1+69&gt;=$B$23,$B$22,0))*(1+$B$4)^69))*IF(BS161+IF($B$1+69&lt;=$B161,12*$B$9,-12*MAX(0,$B$8-IF($B$1+69&gt;=$B$23,$B$22,0))*(1+$B$4)^69)&gt;0,1+$B$3,1))</f>
        <v/>
      </c>
      <c r="BU161">
        <f>IF($B$1+70&gt;90,BT161,(BT161+IF($B$1+70&lt;=$B161,12*$B$9,-12*MAX(0,$B$8-IF($B$1+70&gt;=$B$23,$B$22,0))*(1+$B$4)^70))*IF(BT161+IF($B$1+70&lt;=$B161,12*$B$9,-12*MAX(0,$B$8-IF($B$1+70&gt;=$B$23,$B$22,0))*(1+$B$4)^70)&gt;0,1+$B$3,1))</f>
        <v/>
      </c>
      <c r="BV161">
        <f>BU161</f>
        <v/>
      </c>
      <c r="BW161">
        <f>IF(AND($B161&lt;=70,BV161&gt;0),$B161,999)</f>
        <v/>
      </c>
      <c r="CH161">
        <f>IF(ISTEXT('월 가계부'!A161),SUBSTITUTE(SUBSTITUTE(SUBSTITUTE(SUBSTITUTE(SUBSTITUTE(SUBSTITUTE(SUBSTITUTE(SUBSTITUTE(SUBSTITUTE(TRIM('월 가계부'!A161),"년","-"),"월","-"),"일",""),".","-"),"/","-")," ","-"),"--","-"),"--","-"),"--","-")&amp;"-","")</f>
        <v/>
      </c>
      <c r="CI161">
        <f>IFERROR(IF('월 가계부'!A161="","",IF(ISNUMBER('월 가계부'!A161),IF(AND('월 가계부'!A161&gt;=19000101,'월 가계부'!A161&lt;=21001231),IF(AND(MOD(INT('월 가계부'!A161/100),100)&gt;=1,MOD(INT('월 가계부'!A161/100),100)&lt;=12,MOD(INT('월 가계부'!A161),100)&gt;=1,MOD(INT('월 가계부'!A161),100)&lt;=31),IF(MONTH(DATE(INT('월 가계부'!A161/10000),MOD(INT('월 가계부'!A161/100),100),MOD(INT('월 가계부'!A161),100)))=MOD(INT('월 가계부'!A161/100),100),DATE(INT('월 가계부'!A161/10000),MOD(INT('월 가계부'!A161/100),100),MOD(INT('월 가계부'!A161),100)),""),""),IF(AND('월 가계부'!A161&gt;=36526,'월 가계부'!A161&lt;73051),INT('월 가계부'!A161),"")),IF(OR(CM161="",CN161="",CO161=""),"",IF(AND(CM161&gt;=2000,CM161&lt;=2099,CN161&gt;=1,CN161&lt;=12,CO161&gt;=1,CO161&lt;=31),IF(MONTH(DATE(CM161,CN161,CO161))=CN161,DATE(CM161,CN161,CO161),""),"")))),"")</f>
        <v/>
      </c>
      <c r="CJ161">
        <f>IFERROR(IF('월 가계부'!C161="","",IF(ISNUMBER('월 가계부'!C161),'월 가계부'!C161,VALUE(SUBSTITUTE(SUBSTITUTE(SUBSTITUTE(SUBSTITUTE(TRIM('월 가계부'!C161),",",""),"원","")," ",""),"−","-")))),"")</f>
        <v/>
      </c>
      <c r="CK161">
        <f>IF(ISNUMBER(CI161),IF(CI161&lt;$B$13,CI161,""),"")</f>
        <v/>
      </c>
      <c r="CM161">
        <f>IF(CH161="","",IFERROR(IF(IF(AND(LEN(CH161)=9,ISERROR(FIND("-",LEFT(CH161,8))),ISNUMBER(-LEFT(CH161,8))),VALUE(LEFT(CH161,4)),VALUE(LEFT(CH161,FIND("-",CH161)-1)))&lt;100,IF(AND(LEN(CH161)=9,ISERROR(FIND("-",LEFT(CH161,8))),ISNUMBER(-LEFT(CH161,8))),VALUE(LEFT(CH161,4)),VALUE(LEFT(CH161,FIND("-",CH161)-1)))+2000,IF(AND(LEN(CH161)=9,ISERROR(FIND("-",LEFT(CH161,8))),ISNUMBER(-LEFT(CH161,8))),VALUE(LEFT(CH161,4)),VALUE(LEFT(CH161,FIND("-",CH161)-1)))),""))</f>
        <v/>
      </c>
      <c r="CN161">
        <f>IF(CH161="","",IFERROR(IF(AND(LEN(CH161)=9,ISERROR(FIND("-",LEFT(CH161,8))),ISNUMBER(-LEFT(CH161,8))),VALUE(MID(CH161,5,2)),VALUE(MID(CH161,FIND("-",CH161)+1,FIND("-",CH161,FIND("-",CH161)+1)-FIND("-",CH161)-1))),""))</f>
        <v/>
      </c>
      <c r="CO161">
        <f>IF(CH161="","",IFERROR(IF(AND(LEN(CH161)=9,ISERROR(FIND("-",LEFT(CH161,8))),ISNUMBER(-LEFT(CH161,8))),VALUE(MID(CH161,7,2)),VALUE(MID(CH161,FIND("-",CH161,FIND("-",CH161)+1)+1,FIND("-",CH161,FIND("-",CH161,FIND("-",CH161)+1)+1)-FIND("-",CH161,FIND("-",CH161)+1)-1))),""))</f>
        <v/>
      </c>
    </row>
    <row r="162">
      <c r="A162" t="n">
        <v>10</v>
      </c>
      <c r="B162">
        <f>$B$1+10</f>
        <v/>
      </c>
      <c r="C162">
        <f>$B$2</f>
        <v/>
      </c>
      <c r="D162">
        <f>IF($B$1+1&gt;90,C162,(C162+IF($B$1+1&lt;=$B162,12*$B$9,-12*MAX(0,$B$8-IF($B$1+1&gt;=$B$23,$B$22,0))*(1+$B$4)^1))*IF(C162+IF($B$1+1&lt;=$B162,12*$B$9,-12*MAX(0,$B$8-IF($B$1+1&gt;=$B$23,$B$22,0))*(1+$B$4)^1)&gt;0,1+$B$3,1))</f>
        <v/>
      </c>
      <c r="E162">
        <f>IF($B$1+2&gt;90,D162,(D162+IF($B$1+2&lt;=$B162,12*$B$9,-12*MAX(0,$B$8-IF($B$1+2&gt;=$B$23,$B$22,0))*(1+$B$4)^2))*IF(D162+IF($B$1+2&lt;=$B162,12*$B$9,-12*MAX(0,$B$8-IF($B$1+2&gt;=$B$23,$B$22,0))*(1+$B$4)^2)&gt;0,1+$B$3,1))</f>
        <v/>
      </c>
      <c r="F162">
        <f>IF($B$1+3&gt;90,E162,(E162+IF($B$1+3&lt;=$B162,12*$B$9,-12*MAX(0,$B$8-IF($B$1+3&gt;=$B$23,$B$22,0))*(1+$B$4)^3))*IF(E162+IF($B$1+3&lt;=$B162,12*$B$9,-12*MAX(0,$B$8-IF($B$1+3&gt;=$B$23,$B$22,0))*(1+$B$4)^3)&gt;0,1+$B$3,1))</f>
        <v/>
      </c>
      <c r="G162">
        <f>IF($B$1+4&gt;90,F162,(F162+IF($B$1+4&lt;=$B162,12*$B$9,-12*MAX(0,$B$8-IF($B$1+4&gt;=$B$23,$B$22,0))*(1+$B$4)^4))*IF(F162+IF($B$1+4&lt;=$B162,12*$B$9,-12*MAX(0,$B$8-IF($B$1+4&gt;=$B$23,$B$22,0))*(1+$B$4)^4)&gt;0,1+$B$3,1))</f>
        <v/>
      </c>
      <c r="H162">
        <f>IF($B$1+5&gt;90,G162,(G162+IF($B$1+5&lt;=$B162,12*$B$9,-12*MAX(0,$B$8-IF($B$1+5&gt;=$B$23,$B$22,0))*(1+$B$4)^5))*IF(G162+IF($B$1+5&lt;=$B162,12*$B$9,-12*MAX(0,$B$8-IF($B$1+5&gt;=$B$23,$B$22,0))*(1+$B$4)^5)&gt;0,1+$B$3,1))</f>
        <v/>
      </c>
      <c r="I162">
        <f>IF($B$1+6&gt;90,H162,(H162+IF($B$1+6&lt;=$B162,12*$B$9,-12*MAX(0,$B$8-IF($B$1+6&gt;=$B$23,$B$22,0))*(1+$B$4)^6))*IF(H162+IF($B$1+6&lt;=$B162,12*$B$9,-12*MAX(0,$B$8-IF($B$1+6&gt;=$B$23,$B$22,0))*(1+$B$4)^6)&gt;0,1+$B$3,1))</f>
        <v/>
      </c>
      <c r="J162">
        <f>IF($B$1+7&gt;90,I162,(I162+IF($B$1+7&lt;=$B162,12*$B$9,-12*MAX(0,$B$8-IF($B$1+7&gt;=$B$23,$B$22,0))*(1+$B$4)^7))*IF(I162+IF($B$1+7&lt;=$B162,12*$B$9,-12*MAX(0,$B$8-IF($B$1+7&gt;=$B$23,$B$22,0))*(1+$B$4)^7)&gt;0,1+$B$3,1))</f>
        <v/>
      </c>
      <c r="K162">
        <f>IF($B$1+8&gt;90,J162,(J162+IF($B$1+8&lt;=$B162,12*$B$9,-12*MAX(0,$B$8-IF($B$1+8&gt;=$B$23,$B$22,0))*(1+$B$4)^8))*IF(J162+IF($B$1+8&lt;=$B162,12*$B$9,-12*MAX(0,$B$8-IF($B$1+8&gt;=$B$23,$B$22,0))*(1+$B$4)^8)&gt;0,1+$B$3,1))</f>
        <v/>
      </c>
      <c r="L162">
        <f>IF($B$1+9&gt;90,K162,(K162+IF($B$1+9&lt;=$B162,12*$B$9,-12*MAX(0,$B$8-IF($B$1+9&gt;=$B$23,$B$22,0))*(1+$B$4)^9))*IF(K162+IF($B$1+9&lt;=$B162,12*$B$9,-12*MAX(0,$B$8-IF($B$1+9&gt;=$B$23,$B$22,0))*(1+$B$4)^9)&gt;0,1+$B$3,1))</f>
        <v/>
      </c>
      <c r="M162">
        <f>IF($B$1+10&gt;90,L162,(L162+IF($B$1+10&lt;=$B162,12*$B$9,-12*MAX(0,$B$8-IF($B$1+10&gt;=$B$23,$B$22,0))*(1+$B$4)^10))*IF(L162+IF($B$1+10&lt;=$B162,12*$B$9,-12*MAX(0,$B$8-IF($B$1+10&gt;=$B$23,$B$22,0))*(1+$B$4)^10)&gt;0,1+$B$3,1))</f>
        <v/>
      </c>
      <c r="N162">
        <f>IF($B$1+11&gt;90,M162,(M162+IF($B$1+11&lt;=$B162,12*$B$9,-12*MAX(0,$B$8-IF($B$1+11&gt;=$B$23,$B$22,0))*(1+$B$4)^11))*IF(M162+IF($B$1+11&lt;=$B162,12*$B$9,-12*MAX(0,$B$8-IF($B$1+11&gt;=$B$23,$B$22,0))*(1+$B$4)^11)&gt;0,1+$B$3,1))</f>
        <v/>
      </c>
      <c r="O162">
        <f>IF($B$1+12&gt;90,N162,(N162+IF($B$1+12&lt;=$B162,12*$B$9,-12*MAX(0,$B$8-IF($B$1+12&gt;=$B$23,$B$22,0))*(1+$B$4)^12))*IF(N162+IF($B$1+12&lt;=$B162,12*$B$9,-12*MAX(0,$B$8-IF($B$1+12&gt;=$B$23,$B$22,0))*(1+$B$4)^12)&gt;0,1+$B$3,1))</f>
        <v/>
      </c>
      <c r="P162">
        <f>IF($B$1+13&gt;90,O162,(O162+IF($B$1+13&lt;=$B162,12*$B$9,-12*MAX(0,$B$8-IF($B$1+13&gt;=$B$23,$B$22,0))*(1+$B$4)^13))*IF(O162+IF($B$1+13&lt;=$B162,12*$B$9,-12*MAX(0,$B$8-IF($B$1+13&gt;=$B$23,$B$22,0))*(1+$B$4)^13)&gt;0,1+$B$3,1))</f>
        <v/>
      </c>
      <c r="Q162">
        <f>IF($B$1+14&gt;90,P162,(P162+IF($B$1+14&lt;=$B162,12*$B$9,-12*MAX(0,$B$8-IF($B$1+14&gt;=$B$23,$B$22,0))*(1+$B$4)^14))*IF(P162+IF($B$1+14&lt;=$B162,12*$B$9,-12*MAX(0,$B$8-IF($B$1+14&gt;=$B$23,$B$22,0))*(1+$B$4)^14)&gt;0,1+$B$3,1))</f>
        <v/>
      </c>
      <c r="R162">
        <f>IF($B$1+15&gt;90,Q162,(Q162+IF($B$1+15&lt;=$B162,12*$B$9,-12*MAX(0,$B$8-IF($B$1+15&gt;=$B$23,$B$22,0))*(1+$B$4)^15))*IF(Q162+IF($B$1+15&lt;=$B162,12*$B$9,-12*MAX(0,$B$8-IF($B$1+15&gt;=$B$23,$B$22,0))*(1+$B$4)^15)&gt;0,1+$B$3,1))</f>
        <v/>
      </c>
      <c r="S162">
        <f>IF($B$1+16&gt;90,R162,(R162+IF($B$1+16&lt;=$B162,12*$B$9,-12*MAX(0,$B$8-IF($B$1+16&gt;=$B$23,$B$22,0))*(1+$B$4)^16))*IF(R162+IF($B$1+16&lt;=$B162,12*$B$9,-12*MAX(0,$B$8-IF($B$1+16&gt;=$B$23,$B$22,0))*(1+$B$4)^16)&gt;0,1+$B$3,1))</f>
        <v/>
      </c>
      <c r="T162">
        <f>IF($B$1+17&gt;90,S162,(S162+IF($B$1+17&lt;=$B162,12*$B$9,-12*MAX(0,$B$8-IF($B$1+17&gt;=$B$23,$B$22,0))*(1+$B$4)^17))*IF(S162+IF($B$1+17&lt;=$B162,12*$B$9,-12*MAX(0,$B$8-IF($B$1+17&gt;=$B$23,$B$22,0))*(1+$B$4)^17)&gt;0,1+$B$3,1))</f>
        <v/>
      </c>
      <c r="U162">
        <f>IF($B$1+18&gt;90,T162,(T162+IF($B$1+18&lt;=$B162,12*$B$9,-12*MAX(0,$B$8-IF($B$1+18&gt;=$B$23,$B$22,0))*(1+$B$4)^18))*IF(T162+IF($B$1+18&lt;=$B162,12*$B$9,-12*MAX(0,$B$8-IF($B$1+18&gt;=$B$23,$B$22,0))*(1+$B$4)^18)&gt;0,1+$B$3,1))</f>
        <v/>
      </c>
      <c r="V162">
        <f>IF($B$1+19&gt;90,U162,(U162+IF($B$1+19&lt;=$B162,12*$B$9,-12*MAX(0,$B$8-IF($B$1+19&gt;=$B$23,$B$22,0))*(1+$B$4)^19))*IF(U162+IF($B$1+19&lt;=$B162,12*$B$9,-12*MAX(0,$B$8-IF($B$1+19&gt;=$B$23,$B$22,0))*(1+$B$4)^19)&gt;0,1+$B$3,1))</f>
        <v/>
      </c>
      <c r="W162">
        <f>IF($B$1+20&gt;90,V162,(V162+IF($B$1+20&lt;=$B162,12*$B$9,-12*MAX(0,$B$8-IF($B$1+20&gt;=$B$23,$B$22,0))*(1+$B$4)^20))*IF(V162+IF($B$1+20&lt;=$B162,12*$B$9,-12*MAX(0,$B$8-IF($B$1+20&gt;=$B$23,$B$22,0))*(1+$B$4)^20)&gt;0,1+$B$3,1))</f>
        <v/>
      </c>
      <c r="X162">
        <f>IF($B$1+21&gt;90,W162,(W162+IF($B$1+21&lt;=$B162,12*$B$9,-12*MAX(0,$B$8-IF($B$1+21&gt;=$B$23,$B$22,0))*(1+$B$4)^21))*IF(W162+IF($B$1+21&lt;=$B162,12*$B$9,-12*MAX(0,$B$8-IF($B$1+21&gt;=$B$23,$B$22,0))*(1+$B$4)^21)&gt;0,1+$B$3,1))</f>
        <v/>
      </c>
      <c r="Y162">
        <f>IF($B$1+22&gt;90,X162,(X162+IF($B$1+22&lt;=$B162,12*$B$9,-12*MAX(0,$B$8-IF($B$1+22&gt;=$B$23,$B$22,0))*(1+$B$4)^22))*IF(X162+IF($B$1+22&lt;=$B162,12*$B$9,-12*MAX(0,$B$8-IF($B$1+22&gt;=$B$23,$B$22,0))*(1+$B$4)^22)&gt;0,1+$B$3,1))</f>
        <v/>
      </c>
      <c r="Z162">
        <f>IF($B$1+23&gt;90,Y162,(Y162+IF($B$1+23&lt;=$B162,12*$B$9,-12*MAX(0,$B$8-IF($B$1+23&gt;=$B$23,$B$22,0))*(1+$B$4)^23))*IF(Y162+IF($B$1+23&lt;=$B162,12*$B$9,-12*MAX(0,$B$8-IF($B$1+23&gt;=$B$23,$B$22,0))*(1+$B$4)^23)&gt;0,1+$B$3,1))</f>
        <v/>
      </c>
      <c r="AA162">
        <f>IF($B$1+24&gt;90,Z162,(Z162+IF($B$1+24&lt;=$B162,12*$B$9,-12*MAX(0,$B$8-IF($B$1+24&gt;=$B$23,$B$22,0))*(1+$B$4)^24))*IF(Z162+IF($B$1+24&lt;=$B162,12*$B$9,-12*MAX(0,$B$8-IF($B$1+24&gt;=$B$23,$B$22,0))*(1+$B$4)^24)&gt;0,1+$B$3,1))</f>
        <v/>
      </c>
      <c r="AB162">
        <f>IF($B$1+25&gt;90,AA162,(AA162+IF($B$1+25&lt;=$B162,12*$B$9,-12*MAX(0,$B$8-IF($B$1+25&gt;=$B$23,$B$22,0))*(1+$B$4)^25))*IF(AA162+IF($B$1+25&lt;=$B162,12*$B$9,-12*MAX(0,$B$8-IF($B$1+25&gt;=$B$23,$B$22,0))*(1+$B$4)^25)&gt;0,1+$B$3,1))</f>
        <v/>
      </c>
      <c r="AC162">
        <f>IF($B$1+26&gt;90,AB162,(AB162+IF($B$1+26&lt;=$B162,12*$B$9,-12*MAX(0,$B$8-IF($B$1+26&gt;=$B$23,$B$22,0))*(1+$B$4)^26))*IF(AB162+IF($B$1+26&lt;=$B162,12*$B$9,-12*MAX(0,$B$8-IF($B$1+26&gt;=$B$23,$B$22,0))*(1+$B$4)^26)&gt;0,1+$B$3,1))</f>
        <v/>
      </c>
      <c r="AD162">
        <f>IF($B$1+27&gt;90,AC162,(AC162+IF($B$1+27&lt;=$B162,12*$B$9,-12*MAX(0,$B$8-IF($B$1+27&gt;=$B$23,$B$22,0))*(1+$B$4)^27))*IF(AC162+IF($B$1+27&lt;=$B162,12*$B$9,-12*MAX(0,$B$8-IF($B$1+27&gt;=$B$23,$B$22,0))*(1+$B$4)^27)&gt;0,1+$B$3,1))</f>
        <v/>
      </c>
      <c r="AE162">
        <f>IF($B$1+28&gt;90,AD162,(AD162+IF($B$1+28&lt;=$B162,12*$B$9,-12*MAX(0,$B$8-IF($B$1+28&gt;=$B$23,$B$22,0))*(1+$B$4)^28))*IF(AD162+IF($B$1+28&lt;=$B162,12*$B$9,-12*MAX(0,$B$8-IF($B$1+28&gt;=$B$23,$B$22,0))*(1+$B$4)^28)&gt;0,1+$B$3,1))</f>
        <v/>
      </c>
      <c r="AF162">
        <f>IF($B$1+29&gt;90,AE162,(AE162+IF($B$1+29&lt;=$B162,12*$B$9,-12*MAX(0,$B$8-IF($B$1+29&gt;=$B$23,$B$22,0))*(1+$B$4)^29))*IF(AE162+IF($B$1+29&lt;=$B162,12*$B$9,-12*MAX(0,$B$8-IF($B$1+29&gt;=$B$23,$B$22,0))*(1+$B$4)^29)&gt;0,1+$B$3,1))</f>
        <v/>
      </c>
      <c r="AG162">
        <f>IF($B$1+30&gt;90,AF162,(AF162+IF($B$1+30&lt;=$B162,12*$B$9,-12*MAX(0,$B$8-IF($B$1+30&gt;=$B$23,$B$22,0))*(1+$B$4)^30))*IF(AF162+IF($B$1+30&lt;=$B162,12*$B$9,-12*MAX(0,$B$8-IF($B$1+30&gt;=$B$23,$B$22,0))*(1+$B$4)^30)&gt;0,1+$B$3,1))</f>
        <v/>
      </c>
      <c r="AH162">
        <f>IF($B$1+31&gt;90,AG162,(AG162+IF($B$1+31&lt;=$B162,12*$B$9,-12*MAX(0,$B$8-IF($B$1+31&gt;=$B$23,$B$22,0))*(1+$B$4)^31))*IF(AG162+IF($B$1+31&lt;=$B162,12*$B$9,-12*MAX(0,$B$8-IF($B$1+31&gt;=$B$23,$B$22,0))*(1+$B$4)^31)&gt;0,1+$B$3,1))</f>
        <v/>
      </c>
      <c r="AI162">
        <f>IF($B$1+32&gt;90,AH162,(AH162+IF($B$1+32&lt;=$B162,12*$B$9,-12*MAX(0,$B$8-IF($B$1+32&gt;=$B$23,$B$22,0))*(1+$B$4)^32))*IF(AH162+IF($B$1+32&lt;=$B162,12*$B$9,-12*MAX(0,$B$8-IF($B$1+32&gt;=$B$23,$B$22,0))*(1+$B$4)^32)&gt;0,1+$B$3,1))</f>
        <v/>
      </c>
      <c r="AJ162">
        <f>IF($B$1+33&gt;90,AI162,(AI162+IF($B$1+33&lt;=$B162,12*$B$9,-12*MAX(0,$B$8-IF($B$1+33&gt;=$B$23,$B$22,0))*(1+$B$4)^33))*IF(AI162+IF($B$1+33&lt;=$B162,12*$B$9,-12*MAX(0,$B$8-IF($B$1+33&gt;=$B$23,$B$22,0))*(1+$B$4)^33)&gt;0,1+$B$3,1))</f>
        <v/>
      </c>
      <c r="AK162">
        <f>IF($B$1+34&gt;90,AJ162,(AJ162+IF($B$1+34&lt;=$B162,12*$B$9,-12*MAX(0,$B$8-IF($B$1+34&gt;=$B$23,$B$22,0))*(1+$B$4)^34))*IF(AJ162+IF($B$1+34&lt;=$B162,12*$B$9,-12*MAX(0,$B$8-IF($B$1+34&gt;=$B$23,$B$22,0))*(1+$B$4)^34)&gt;0,1+$B$3,1))</f>
        <v/>
      </c>
      <c r="AL162">
        <f>IF($B$1+35&gt;90,AK162,(AK162+IF($B$1+35&lt;=$B162,12*$B$9,-12*MAX(0,$B$8-IF($B$1+35&gt;=$B$23,$B$22,0))*(1+$B$4)^35))*IF(AK162+IF($B$1+35&lt;=$B162,12*$B$9,-12*MAX(0,$B$8-IF($B$1+35&gt;=$B$23,$B$22,0))*(1+$B$4)^35)&gt;0,1+$B$3,1))</f>
        <v/>
      </c>
      <c r="AM162">
        <f>IF($B$1+36&gt;90,AL162,(AL162+IF($B$1+36&lt;=$B162,12*$B$9,-12*MAX(0,$B$8-IF($B$1+36&gt;=$B$23,$B$22,0))*(1+$B$4)^36))*IF(AL162+IF($B$1+36&lt;=$B162,12*$B$9,-12*MAX(0,$B$8-IF($B$1+36&gt;=$B$23,$B$22,0))*(1+$B$4)^36)&gt;0,1+$B$3,1))</f>
        <v/>
      </c>
      <c r="AN162">
        <f>IF($B$1+37&gt;90,AM162,(AM162+IF($B$1+37&lt;=$B162,12*$B$9,-12*MAX(0,$B$8-IF($B$1+37&gt;=$B$23,$B$22,0))*(1+$B$4)^37))*IF(AM162+IF($B$1+37&lt;=$B162,12*$B$9,-12*MAX(0,$B$8-IF($B$1+37&gt;=$B$23,$B$22,0))*(1+$B$4)^37)&gt;0,1+$B$3,1))</f>
        <v/>
      </c>
      <c r="AO162">
        <f>IF($B$1+38&gt;90,AN162,(AN162+IF($B$1+38&lt;=$B162,12*$B$9,-12*MAX(0,$B$8-IF($B$1+38&gt;=$B$23,$B$22,0))*(1+$B$4)^38))*IF(AN162+IF($B$1+38&lt;=$B162,12*$B$9,-12*MAX(0,$B$8-IF($B$1+38&gt;=$B$23,$B$22,0))*(1+$B$4)^38)&gt;0,1+$B$3,1))</f>
        <v/>
      </c>
      <c r="AP162">
        <f>IF($B$1+39&gt;90,AO162,(AO162+IF($B$1+39&lt;=$B162,12*$B$9,-12*MAX(0,$B$8-IF($B$1+39&gt;=$B$23,$B$22,0))*(1+$B$4)^39))*IF(AO162+IF($B$1+39&lt;=$B162,12*$B$9,-12*MAX(0,$B$8-IF($B$1+39&gt;=$B$23,$B$22,0))*(1+$B$4)^39)&gt;0,1+$B$3,1))</f>
        <v/>
      </c>
      <c r="AQ162">
        <f>IF($B$1+40&gt;90,AP162,(AP162+IF($B$1+40&lt;=$B162,12*$B$9,-12*MAX(0,$B$8-IF($B$1+40&gt;=$B$23,$B$22,0))*(1+$B$4)^40))*IF(AP162+IF($B$1+40&lt;=$B162,12*$B$9,-12*MAX(0,$B$8-IF($B$1+40&gt;=$B$23,$B$22,0))*(1+$B$4)^40)&gt;0,1+$B$3,1))</f>
        <v/>
      </c>
      <c r="AR162">
        <f>IF($B$1+41&gt;90,AQ162,(AQ162+IF($B$1+41&lt;=$B162,12*$B$9,-12*MAX(0,$B$8-IF($B$1+41&gt;=$B$23,$B$22,0))*(1+$B$4)^41))*IF(AQ162+IF($B$1+41&lt;=$B162,12*$B$9,-12*MAX(0,$B$8-IF($B$1+41&gt;=$B$23,$B$22,0))*(1+$B$4)^41)&gt;0,1+$B$3,1))</f>
        <v/>
      </c>
      <c r="AS162">
        <f>IF($B$1+42&gt;90,AR162,(AR162+IF($B$1+42&lt;=$B162,12*$B$9,-12*MAX(0,$B$8-IF($B$1+42&gt;=$B$23,$B$22,0))*(1+$B$4)^42))*IF(AR162+IF($B$1+42&lt;=$B162,12*$B$9,-12*MAX(0,$B$8-IF($B$1+42&gt;=$B$23,$B$22,0))*(1+$B$4)^42)&gt;0,1+$B$3,1))</f>
        <v/>
      </c>
      <c r="AT162">
        <f>IF($B$1+43&gt;90,AS162,(AS162+IF($B$1+43&lt;=$B162,12*$B$9,-12*MAX(0,$B$8-IF($B$1+43&gt;=$B$23,$B$22,0))*(1+$B$4)^43))*IF(AS162+IF($B$1+43&lt;=$B162,12*$B$9,-12*MAX(0,$B$8-IF($B$1+43&gt;=$B$23,$B$22,0))*(1+$B$4)^43)&gt;0,1+$B$3,1))</f>
        <v/>
      </c>
      <c r="AU162">
        <f>IF($B$1+44&gt;90,AT162,(AT162+IF($B$1+44&lt;=$B162,12*$B$9,-12*MAX(0,$B$8-IF($B$1+44&gt;=$B$23,$B$22,0))*(1+$B$4)^44))*IF(AT162+IF($B$1+44&lt;=$B162,12*$B$9,-12*MAX(0,$B$8-IF($B$1+44&gt;=$B$23,$B$22,0))*(1+$B$4)^44)&gt;0,1+$B$3,1))</f>
        <v/>
      </c>
      <c r="AV162">
        <f>IF($B$1+45&gt;90,AU162,(AU162+IF($B$1+45&lt;=$B162,12*$B$9,-12*MAX(0,$B$8-IF($B$1+45&gt;=$B$23,$B$22,0))*(1+$B$4)^45))*IF(AU162+IF($B$1+45&lt;=$B162,12*$B$9,-12*MAX(0,$B$8-IF($B$1+45&gt;=$B$23,$B$22,0))*(1+$B$4)^45)&gt;0,1+$B$3,1))</f>
        <v/>
      </c>
      <c r="AW162">
        <f>IF($B$1+46&gt;90,AV162,(AV162+IF($B$1+46&lt;=$B162,12*$B$9,-12*MAX(0,$B$8-IF($B$1+46&gt;=$B$23,$B$22,0))*(1+$B$4)^46))*IF(AV162+IF($B$1+46&lt;=$B162,12*$B$9,-12*MAX(0,$B$8-IF($B$1+46&gt;=$B$23,$B$22,0))*(1+$B$4)^46)&gt;0,1+$B$3,1))</f>
        <v/>
      </c>
      <c r="AX162">
        <f>IF($B$1+47&gt;90,AW162,(AW162+IF($B$1+47&lt;=$B162,12*$B$9,-12*MAX(0,$B$8-IF($B$1+47&gt;=$B$23,$B$22,0))*(1+$B$4)^47))*IF(AW162+IF($B$1+47&lt;=$B162,12*$B$9,-12*MAX(0,$B$8-IF($B$1+47&gt;=$B$23,$B$22,0))*(1+$B$4)^47)&gt;0,1+$B$3,1))</f>
        <v/>
      </c>
      <c r="AY162">
        <f>IF($B$1+48&gt;90,AX162,(AX162+IF($B$1+48&lt;=$B162,12*$B$9,-12*MAX(0,$B$8-IF($B$1+48&gt;=$B$23,$B$22,0))*(1+$B$4)^48))*IF(AX162+IF($B$1+48&lt;=$B162,12*$B$9,-12*MAX(0,$B$8-IF($B$1+48&gt;=$B$23,$B$22,0))*(1+$B$4)^48)&gt;0,1+$B$3,1))</f>
        <v/>
      </c>
      <c r="AZ162">
        <f>IF($B$1+49&gt;90,AY162,(AY162+IF($B$1+49&lt;=$B162,12*$B$9,-12*MAX(0,$B$8-IF($B$1+49&gt;=$B$23,$B$22,0))*(1+$B$4)^49))*IF(AY162+IF($B$1+49&lt;=$B162,12*$B$9,-12*MAX(0,$B$8-IF($B$1+49&gt;=$B$23,$B$22,0))*(1+$B$4)^49)&gt;0,1+$B$3,1))</f>
        <v/>
      </c>
      <c r="BA162">
        <f>IF($B$1+50&gt;90,AZ162,(AZ162+IF($B$1+50&lt;=$B162,12*$B$9,-12*MAX(0,$B$8-IF($B$1+50&gt;=$B$23,$B$22,0))*(1+$B$4)^50))*IF(AZ162+IF($B$1+50&lt;=$B162,12*$B$9,-12*MAX(0,$B$8-IF($B$1+50&gt;=$B$23,$B$22,0))*(1+$B$4)^50)&gt;0,1+$B$3,1))</f>
        <v/>
      </c>
      <c r="BB162">
        <f>IF($B$1+51&gt;90,BA162,(BA162+IF($B$1+51&lt;=$B162,12*$B$9,-12*MAX(0,$B$8-IF($B$1+51&gt;=$B$23,$B$22,0))*(1+$B$4)^51))*IF(BA162+IF($B$1+51&lt;=$B162,12*$B$9,-12*MAX(0,$B$8-IF($B$1+51&gt;=$B$23,$B$22,0))*(1+$B$4)^51)&gt;0,1+$B$3,1))</f>
        <v/>
      </c>
      <c r="BC162">
        <f>IF($B$1+52&gt;90,BB162,(BB162+IF($B$1+52&lt;=$B162,12*$B$9,-12*MAX(0,$B$8-IF($B$1+52&gt;=$B$23,$B$22,0))*(1+$B$4)^52))*IF(BB162+IF($B$1+52&lt;=$B162,12*$B$9,-12*MAX(0,$B$8-IF($B$1+52&gt;=$B$23,$B$22,0))*(1+$B$4)^52)&gt;0,1+$B$3,1))</f>
        <v/>
      </c>
      <c r="BD162">
        <f>IF($B$1+53&gt;90,BC162,(BC162+IF($B$1+53&lt;=$B162,12*$B$9,-12*MAX(0,$B$8-IF($B$1+53&gt;=$B$23,$B$22,0))*(1+$B$4)^53))*IF(BC162+IF($B$1+53&lt;=$B162,12*$B$9,-12*MAX(0,$B$8-IF($B$1+53&gt;=$B$23,$B$22,0))*(1+$B$4)^53)&gt;0,1+$B$3,1))</f>
        <v/>
      </c>
      <c r="BE162">
        <f>IF($B$1+54&gt;90,BD162,(BD162+IF($B$1+54&lt;=$B162,12*$B$9,-12*MAX(0,$B$8-IF($B$1+54&gt;=$B$23,$B$22,0))*(1+$B$4)^54))*IF(BD162+IF($B$1+54&lt;=$B162,12*$B$9,-12*MAX(0,$B$8-IF($B$1+54&gt;=$B$23,$B$22,0))*(1+$B$4)^54)&gt;0,1+$B$3,1))</f>
        <v/>
      </c>
      <c r="BF162">
        <f>IF($B$1+55&gt;90,BE162,(BE162+IF($B$1+55&lt;=$B162,12*$B$9,-12*MAX(0,$B$8-IF($B$1+55&gt;=$B$23,$B$22,0))*(1+$B$4)^55))*IF(BE162+IF($B$1+55&lt;=$B162,12*$B$9,-12*MAX(0,$B$8-IF($B$1+55&gt;=$B$23,$B$22,0))*(1+$B$4)^55)&gt;0,1+$B$3,1))</f>
        <v/>
      </c>
      <c r="BG162">
        <f>IF($B$1+56&gt;90,BF162,(BF162+IF($B$1+56&lt;=$B162,12*$B$9,-12*MAX(0,$B$8-IF($B$1+56&gt;=$B$23,$B$22,0))*(1+$B$4)^56))*IF(BF162+IF($B$1+56&lt;=$B162,12*$B$9,-12*MAX(0,$B$8-IF($B$1+56&gt;=$B$23,$B$22,0))*(1+$B$4)^56)&gt;0,1+$B$3,1))</f>
        <v/>
      </c>
      <c r="BH162">
        <f>IF($B$1+57&gt;90,BG162,(BG162+IF($B$1+57&lt;=$B162,12*$B$9,-12*MAX(0,$B$8-IF($B$1+57&gt;=$B$23,$B$22,0))*(1+$B$4)^57))*IF(BG162+IF($B$1+57&lt;=$B162,12*$B$9,-12*MAX(0,$B$8-IF($B$1+57&gt;=$B$23,$B$22,0))*(1+$B$4)^57)&gt;0,1+$B$3,1))</f>
        <v/>
      </c>
      <c r="BI162">
        <f>IF($B$1+58&gt;90,BH162,(BH162+IF($B$1+58&lt;=$B162,12*$B$9,-12*MAX(0,$B$8-IF($B$1+58&gt;=$B$23,$B$22,0))*(1+$B$4)^58))*IF(BH162+IF($B$1+58&lt;=$B162,12*$B$9,-12*MAX(0,$B$8-IF($B$1+58&gt;=$B$23,$B$22,0))*(1+$B$4)^58)&gt;0,1+$B$3,1))</f>
        <v/>
      </c>
      <c r="BJ162">
        <f>IF($B$1+59&gt;90,BI162,(BI162+IF($B$1+59&lt;=$B162,12*$B$9,-12*MAX(0,$B$8-IF($B$1+59&gt;=$B$23,$B$22,0))*(1+$B$4)^59))*IF(BI162+IF($B$1+59&lt;=$B162,12*$B$9,-12*MAX(0,$B$8-IF($B$1+59&gt;=$B$23,$B$22,0))*(1+$B$4)^59)&gt;0,1+$B$3,1))</f>
        <v/>
      </c>
      <c r="BK162">
        <f>IF($B$1+60&gt;90,BJ162,(BJ162+IF($B$1+60&lt;=$B162,12*$B$9,-12*MAX(0,$B$8-IF($B$1+60&gt;=$B$23,$B$22,0))*(1+$B$4)^60))*IF(BJ162+IF($B$1+60&lt;=$B162,12*$B$9,-12*MAX(0,$B$8-IF($B$1+60&gt;=$B$23,$B$22,0))*(1+$B$4)^60)&gt;0,1+$B$3,1))</f>
        <v/>
      </c>
      <c r="BL162">
        <f>IF($B$1+61&gt;90,BK162,(BK162+IF($B$1+61&lt;=$B162,12*$B$9,-12*MAX(0,$B$8-IF($B$1+61&gt;=$B$23,$B$22,0))*(1+$B$4)^61))*IF(BK162+IF($B$1+61&lt;=$B162,12*$B$9,-12*MAX(0,$B$8-IF($B$1+61&gt;=$B$23,$B$22,0))*(1+$B$4)^61)&gt;0,1+$B$3,1))</f>
        <v/>
      </c>
      <c r="BM162">
        <f>IF($B$1+62&gt;90,BL162,(BL162+IF($B$1+62&lt;=$B162,12*$B$9,-12*MAX(0,$B$8-IF($B$1+62&gt;=$B$23,$B$22,0))*(1+$B$4)^62))*IF(BL162+IF($B$1+62&lt;=$B162,12*$B$9,-12*MAX(0,$B$8-IF($B$1+62&gt;=$B$23,$B$22,0))*(1+$B$4)^62)&gt;0,1+$B$3,1))</f>
        <v/>
      </c>
      <c r="BN162">
        <f>IF($B$1+63&gt;90,BM162,(BM162+IF($B$1+63&lt;=$B162,12*$B$9,-12*MAX(0,$B$8-IF($B$1+63&gt;=$B$23,$B$22,0))*(1+$B$4)^63))*IF(BM162+IF($B$1+63&lt;=$B162,12*$B$9,-12*MAX(0,$B$8-IF($B$1+63&gt;=$B$23,$B$22,0))*(1+$B$4)^63)&gt;0,1+$B$3,1))</f>
        <v/>
      </c>
      <c r="BO162">
        <f>IF($B$1+64&gt;90,BN162,(BN162+IF($B$1+64&lt;=$B162,12*$B$9,-12*MAX(0,$B$8-IF($B$1+64&gt;=$B$23,$B$22,0))*(1+$B$4)^64))*IF(BN162+IF($B$1+64&lt;=$B162,12*$B$9,-12*MAX(0,$B$8-IF($B$1+64&gt;=$B$23,$B$22,0))*(1+$B$4)^64)&gt;0,1+$B$3,1))</f>
        <v/>
      </c>
      <c r="BP162">
        <f>IF($B$1+65&gt;90,BO162,(BO162+IF($B$1+65&lt;=$B162,12*$B$9,-12*MAX(0,$B$8-IF($B$1+65&gt;=$B$23,$B$22,0))*(1+$B$4)^65))*IF(BO162+IF($B$1+65&lt;=$B162,12*$B$9,-12*MAX(0,$B$8-IF($B$1+65&gt;=$B$23,$B$22,0))*(1+$B$4)^65)&gt;0,1+$B$3,1))</f>
        <v/>
      </c>
      <c r="BQ162">
        <f>IF($B$1+66&gt;90,BP162,(BP162+IF($B$1+66&lt;=$B162,12*$B$9,-12*MAX(0,$B$8-IF($B$1+66&gt;=$B$23,$B$22,0))*(1+$B$4)^66))*IF(BP162+IF($B$1+66&lt;=$B162,12*$B$9,-12*MAX(0,$B$8-IF($B$1+66&gt;=$B$23,$B$22,0))*(1+$B$4)^66)&gt;0,1+$B$3,1))</f>
        <v/>
      </c>
      <c r="BR162">
        <f>IF($B$1+67&gt;90,BQ162,(BQ162+IF($B$1+67&lt;=$B162,12*$B$9,-12*MAX(0,$B$8-IF($B$1+67&gt;=$B$23,$B$22,0))*(1+$B$4)^67))*IF(BQ162+IF($B$1+67&lt;=$B162,12*$B$9,-12*MAX(0,$B$8-IF($B$1+67&gt;=$B$23,$B$22,0))*(1+$B$4)^67)&gt;0,1+$B$3,1))</f>
        <v/>
      </c>
      <c r="BS162">
        <f>IF($B$1+68&gt;90,BR162,(BR162+IF($B$1+68&lt;=$B162,12*$B$9,-12*MAX(0,$B$8-IF($B$1+68&gt;=$B$23,$B$22,0))*(1+$B$4)^68))*IF(BR162+IF($B$1+68&lt;=$B162,12*$B$9,-12*MAX(0,$B$8-IF($B$1+68&gt;=$B$23,$B$22,0))*(1+$B$4)^68)&gt;0,1+$B$3,1))</f>
        <v/>
      </c>
      <c r="BT162">
        <f>IF($B$1+69&gt;90,BS162,(BS162+IF($B$1+69&lt;=$B162,12*$B$9,-12*MAX(0,$B$8-IF($B$1+69&gt;=$B$23,$B$22,0))*(1+$B$4)^69))*IF(BS162+IF($B$1+69&lt;=$B162,12*$B$9,-12*MAX(0,$B$8-IF($B$1+69&gt;=$B$23,$B$22,0))*(1+$B$4)^69)&gt;0,1+$B$3,1))</f>
        <v/>
      </c>
      <c r="BU162">
        <f>IF($B$1+70&gt;90,BT162,(BT162+IF($B$1+70&lt;=$B162,12*$B$9,-12*MAX(0,$B$8-IF($B$1+70&gt;=$B$23,$B$22,0))*(1+$B$4)^70))*IF(BT162+IF($B$1+70&lt;=$B162,12*$B$9,-12*MAX(0,$B$8-IF($B$1+70&gt;=$B$23,$B$22,0))*(1+$B$4)^70)&gt;0,1+$B$3,1))</f>
        <v/>
      </c>
      <c r="BV162">
        <f>BU162</f>
        <v/>
      </c>
      <c r="BW162">
        <f>IF(AND($B162&lt;=70,BV162&gt;0),$B162,999)</f>
        <v/>
      </c>
      <c r="CH162">
        <f>IF(ISTEXT('월 가계부'!A162),SUBSTITUTE(SUBSTITUTE(SUBSTITUTE(SUBSTITUTE(SUBSTITUTE(SUBSTITUTE(SUBSTITUTE(SUBSTITUTE(SUBSTITUTE(TRIM('월 가계부'!A162),"년","-"),"월","-"),"일",""),".","-"),"/","-")," ","-"),"--","-"),"--","-"),"--","-")&amp;"-","")</f>
        <v/>
      </c>
      <c r="CI162">
        <f>IFERROR(IF('월 가계부'!A162="","",IF(ISNUMBER('월 가계부'!A162),IF(AND('월 가계부'!A162&gt;=19000101,'월 가계부'!A162&lt;=21001231),IF(AND(MOD(INT('월 가계부'!A162/100),100)&gt;=1,MOD(INT('월 가계부'!A162/100),100)&lt;=12,MOD(INT('월 가계부'!A162),100)&gt;=1,MOD(INT('월 가계부'!A162),100)&lt;=31),IF(MONTH(DATE(INT('월 가계부'!A162/10000),MOD(INT('월 가계부'!A162/100),100),MOD(INT('월 가계부'!A162),100)))=MOD(INT('월 가계부'!A162/100),100),DATE(INT('월 가계부'!A162/10000),MOD(INT('월 가계부'!A162/100),100),MOD(INT('월 가계부'!A162),100)),""),""),IF(AND('월 가계부'!A162&gt;=36526,'월 가계부'!A162&lt;73051),INT('월 가계부'!A162),"")),IF(OR(CM162="",CN162="",CO162=""),"",IF(AND(CM162&gt;=2000,CM162&lt;=2099,CN162&gt;=1,CN162&lt;=12,CO162&gt;=1,CO162&lt;=31),IF(MONTH(DATE(CM162,CN162,CO162))=CN162,DATE(CM162,CN162,CO162),""),"")))),"")</f>
        <v/>
      </c>
      <c r="CJ162">
        <f>IFERROR(IF('월 가계부'!C162="","",IF(ISNUMBER('월 가계부'!C162),'월 가계부'!C162,VALUE(SUBSTITUTE(SUBSTITUTE(SUBSTITUTE(SUBSTITUTE(TRIM('월 가계부'!C162),",",""),"원","")," ",""),"−","-")))),"")</f>
        <v/>
      </c>
      <c r="CK162">
        <f>IF(ISNUMBER(CI162),IF(CI162&lt;$B$13,CI162,""),"")</f>
        <v/>
      </c>
      <c r="CM162">
        <f>IF(CH162="","",IFERROR(IF(IF(AND(LEN(CH162)=9,ISERROR(FIND("-",LEFT(CH162,8))),ISNUMBER(-LEFT(CH162,8))),VALUE(LEFT(CH162,4)),VALUE(LEFT(CH162,FIND("-",CH162)-1)))&lt;100,IF(AND(LEN(CH162)=9,ISERROR(FIND("-",LEFT(CH162,8))),ISNUMBER(-LEFT(CH162,8))),VALUE(LEFT(CH162,4)),VALUE(LEFT(CH162,FIND("-",CH162)-1)))+2000,IF(AND(LEN(CH162)=9,ISERROR(FIND("-",LEFT(CH162,8))),ISNUMBER(-LEFT(CH162,8))),VALUE(LEFT(CH162,4)),VALUE(LEFT(CH162,FIND("-",CH162)-1)))),""))</f>
        <v/>
      </c>
      <c r="CN162">
        <f>IF(CH162="","",IFERROR(IF(AND(LEN(CH162)=9,ISERROR(FIND("-",LEFT(CH162,8))),ISNUMBER(-LEFT(CH162,8))),VALUE(MID(CH162,5,2)),VALUE(MID(CH162,FIND("-",CH162)+1,FIND("-",CH162,FIND("-",CH162)+1)-FIND("-",CH162)-1))),""))</f>
        <v/>
      </c>
      <c r="CO162">
        <f>IF(CH162="","",IFERROR(IF(AND(LEN(CH162)=9,ISERROR(FIND("-",LEFT(CH162,8))),ISNUMBER(-LEFT(CH162,8))),VALUE(MID(CH162,7,2)),VALUE(MID(CH162,FIND("-",CH162,FIND("-",CH162)+1)+1,FIND("-",CH162,FIND("-",CH162,FIND("-",CH162)+1)+1)-FIND("-",CH162,FIND("-",CH162)+1)-1))),""))</f>
        <v/>
      </c>
    </row>
    <row r="163">
      <c r="A163" t="n">
        <v>11</v>
      </c>
      <c r="B163">
        <f>$B$1+11</f>
        <v/>
      </c>
      <c r="C163">
        <f>$B$2</f>
        <v/>
      </c>
      <c r="D163">
        <f>IF($B$1+1&gt;90,C163,(C163+IF($B$1+1&lt;=$B163,12*$B$9,-12*MAX(0,$B$8-IF($B$1+1&gt;=$B$23,$B$22,0))*(1+$B$4)^1))*IF(C163+IF($B$1+1&lt;=$B163,12*$B$9,-12*MAX(0,$B$8-IF($B$1+1&gt;=$B$23,$B$22,0))*(1+$B$4)^1)&gt;0,1+$B$3,1))</f>
        <v/>
      </c>
      <c r="E163">
        <f>IF($B$1+2&gt;90,D163,(D163+IF($B$1+2&lt;=$B163,12*$B$9,-12*MAX(0,$B$8-IF($B$1+2&gt;=$B$23,$B$22,0))*(1+$B$4)^2))*IF(D163+IF($B$1+2&lt;=$B163,12*$B$9,-12*MAX(0,$B$8-IF($B$1+2&gt;=$B$23,$B$22,0))*(1+$B$4)^2)&gt;0,1+$B$3,1))</f>
        <v/>
      </c>
      <c r="F163">
        <f>IF($B$1+3&gt;90,E163,(E163+IF($B$1+3&lt;=$B163,12*$B$9,-12*MAX(0,$B$8-IF($B$1+3&gt;=$B$23,$B$22,0))*(1+$B$4)^3))*IF(E163+IF($B$1+3&lt;=$B163,12*$B$9,-12*MAX(0,$B$8-IF($B$1+3&gt;=$B$23,$B$22,0))*(1+$B$4)^3)&gt;0,1+$B$3,1))</f>
        <v/>
      </c>
      <c r="G163">
        <f>IF($B$1+4&gt;90,F163,(F163+IF($B$1+4&lt;=$B163,12*$B$9,-12*MAX(0,$B$8-IF($B$1+4&gt;=$B$23,$B$22,0))*(1+$B$4)^4))*IF(F163+IF($B$1+4&lt;=$B163,12*$B$9,-12*MAX(0,$B$8-IF($B$1+4&gt;=$B$23,$B$22,0))*(1+$B$4)^4)&gt;0,1+$B$3,1))</f>
        <v/>
      </c>
      <c r="H163">
        <f>IF($B$1+5&gt;90,G163,(G163+IF($B$1+5&lt;=$B163,12*$B$9,-12*MAX(0,$B$8-IF($B$1+5&gt;=$B$23,$B$22,0))*(1+$B$4)^5))*IF(G163+IF($B$1+5&lt;=$B163,12*$B$9,-12*MAX(0,$B$8-IF($B$1+5&gt;=$B$23,$B$22,0))*(1+$B$4)^5)&gt;0,1+$B$3,1))</f>
        <v/>
      </c>
      <c r="I163">
        <f>IF($B$1+6&gt;90,H163,(H163+IF($B$1+6&lt;=$B163,12*$B$9,-12*MAX(0,$B$8-IF($B$1+6&gt;=$B$23,$B$22,0))*(1+$B$4)^6))*IF(H163+IF($B$1+6&lt;=$B163,12*$B$9,-12*MAX(0,$B$8-IF($B$1+6&gt;=$B$23,$B$22,0))*(1+$B$4)^6)&gt;0,1+$B$3,1))</f>
        <v/>
      </c>
      <c r="J163">
        <f>IF($B$1+7&gt;90,I163,(I163+IF($B$1+7&lt;=$B163,12*$B$9,-12*MAX(0,$B$8-IF($B$1+7&gt;=$B$23,$B$22,0))*(1+$B$4)^7))*IF(I163+IF($B$1+7&lt;=$B163,12*$B$9,-12*MAX(0,$B$8-IF($B$1+7&gt;=$B$23,$B$22,0))*(1+$B$4)^7)&gt;0,1+$B$3,1))</f>
        <v/>
      </c>
      <c r="K163">
        <f>IF($B$1+8&gt;90,J163,(J163+IF($B$1+8&lt;=$B163,12*$B$9,-12*MAX(0,$B$8-IF($B$1+8&gt;=$B$23,$B$22,0))*(1+$B$4)^8))*IF(J163+IF($B$1+8&lt;=$B163,12*$B$9,-12*MAX(0,$B$8-IF($B$1+8&gt;=$B$23,$B$22,0))*(1+$B$4)^8)&gt;0,1+$B$3,1))</f>
        <v/>
      </c>
      <c r="L163">
        <f>IF($B$1+9&gt;90,K163,(K163+IF($B$1+9&lt;=$B163,12*$B$9,-12*MAX(0,$B$8-IF($B$1+9&gt;=$B$23,$B$22,0))*(1+$B$4)^9))*IF(K163+IF($B$1+9&lt;=$B163,12*$B$9,-12*MAX(0,$B$8-IF($B$1+9&gt;=$B$23,$B$22,0))*(1+$B$4)^9)&gt;0,1+$B$3,1))</f>
        <v/>
      </c>
      <c r="M163">
        <f>IF($B$1+10&gt;90,L163,(L163+IF($B$1+10&lt;=$B163,12*$B$9,-12*MAX(0,$B$8-IF($B$1+10&gt;=$B$23,$B$22,0))*(1+$B$4)^10))*IF(L163+IF($B$1+10&lt;=$B163,12*$B$9,-12*MAX(0,$B$8-IF($B$1+10&gt;=$B$23,$B$22,0))*(1+$B$4)^10)&gt;0,1+$B$3,1))</f>
        <v/>
      </c>
      <c r="N163">
        <f>IF($B$1+11&gt;90,M163,(M163+IF($B$1+11&lt;=$B163,12*$B$9,-12*MAX(0,$B$8-IF($B$1+11&gt;=$B$23,$B$22,0))*(1+$B$4)^11))*IF(M163+IF($B$1+11&lt;=$B163,12*$B$9,-12*MAX(0,$B$8-IF($B$1+11&gt;=$B$23,$B$22,0))*(1+$B$4)^11)&gt;0,1+$B$3,1))</f>
        <v/>
      </c>
      <c r="O163">
        <f>IF($B$1+12&gt;90,N163,(N163+IF($B$1+12&lt;=$B163,12*$B$9,-12*MAX(0,$B$8-IF($B$1+12&gt;=$B$23,$B$22,0))*(1+$B$4)^12))*IF(N163+IF($B$1+12&lt;=$B163,12*$B$9,-12*MAX(0,$B$8-IF($B$1+12&gt;=$B$23,$B$22,0))*(1+$B$4)^12)&gt;0,1+$B$3,1))</f>
        <v/>
      </c>
      <c r="P163">
        <f>IF($B$1+13&gt;90,O163,(O163+IF($B$1+13&lt;=$B163,12*$B$9,-12*MAX(0,$B$8-IF($B$1+13&gt;=$B$23,$B$22,0))*(1+$B$4)^13))*IF(O163+IF($B$1+13&lt;=$B163,12*$B$9,-12*MAX(0,$B$8-IF($B$1+13&gt;=$B$23,$B$22,0))*(1+$B$4)^13)&gt;0,1+$B$3,1))</f>
        <v/>
      </c>
      <c r="Q163">
        <f>IF($B$1+14&gt;90,P163,(P163+IF($B$1+14&lt;=$B163,12*$B$9,-12*MAX(0,$B$8-IF($B$1+14&gt;=$B$23,$B$22,0))*(1+$B$4)^14))*IF(P163+IF($B$1+14&lt;=$B163,12*$B$9,-12*MAX(0,$B$8-IF($B$1+14&gt;=$B$23,$B$22,0))*(1+$B$4)^14)&gt;0,1+$B$3,1))</f>
        <v/>
      </c>
      <c r="R163">
        <f>IF($B$1+15&gt;90,Q163,(Q163+IF($B$1+15&lt;=$B163,12*$B$9,-12*MAX(0,$B$8-IF($B$1+15&gt;=$B$23,$B$22,0))*(1+$B$4)^15))*IF(Q163+IF($B$1+15&lt;=$B163,12*$B$9,-12*MAX(0,$B$8-IF($B$1+15&gt;=$B$23,$B$22,0))*(1+$B$4)^15)&gt;0,1+$B$3,1))</f>
        <v/>
      </c>
      <c r="S163">
        <f>IF($B$1+16&gt;90,R163,(R163+IF($B$1+16&lt;=$B163,12*$B$9,-12*MAX(0,$B$8-IF($B$1+16&gt;=$B$23,$B$22,0))*(1+$B$4)^16))*IF(R163+IF($B$1+16&lt;=$B163,12*$B$9,-12*MAX(0,$B$8-IF($B$1+16&gt;=$B$23,$B$22,0))*(1+$B$4)^16)&gt;0,1+$B$3,1))</f>
        <v/>
      </c>
      <c r="T163">
        <f>IF($B$1+17&gt;90,S163,(S163+IF($B$1+17&lt;=$B163,12*$B$9,-12*MAX(0,$B$8-IF($B$1+17&gt;=$B$23,$B$22,0))*(1+$B$4)^17))*IF(S163+IF($B$1+17&lt;=$B163,12*$B$9,-12*MAX(0,$B$8-IF($B$1+17&gt;=$B$23,$B$22,0))*(1+$B$4)^17)&gt;0,1+$B$3,1))</f>
        <v/>
      </c>
      <c r="U163">
        <f>IF($B$1+18&gt;90,T163,(T163+IF($B$1+18&lt;=$B163,12*$B$9,-12*MAX(0,$B$8-IF($B$1+18&gt;=$B$23,$B$22,0))*(1+$B$4)^18))*IF(T163+IF($B$1+18&lt;=$B163,12*$B$9,-12*MAX(0,$B$8-IF($B$1+18&gt;=$B$23,$B$22,0))*(1+$B$4)^18)&gt;0,1+$B$3,1))</f>
        <v/>
      </c>
      <c r="V163">
        <f>IF($B$1+19&gt;90,U163,(U163+IF($B$1+19&lt;=$B163,12*$B$9,-12*MAX(0,$B$8-IF($B$1+19&gt;=$B$23,$B$22,0))*(1+$B$4)^19))*IF(U163+IF($B$1+19&lt;=$B163,12*$B$9,-12*MAX(0,$B$8-IF($B$1+19&gt;=$B$23,$B$22,0))*(1+$B$4)^19)&gt;0,1+$B$3,1))</f>
        <v/>
      </c>
      <c r="W163">
        <f>IF($B$1+20&gt;90,V163,(V163+IF($B$1+20&lt;=$B163,12*$B$9,-12*MAX(0,$B$8-IF($B$1+20&gt;=$B$23,$B$22,0))*(1+$B$4)^20))*IF(V163+IF($B$1+20&lt;=$B163,12*$B$9,-12*MAX(0,$B$8-IF($B$1+20&gt;=$B$23,$B$22,0))*(1+$B$4)^20)&gt;0,1+$B$3,1))</f>
        <v/>
      </c>
      <c r="X163">
        <f>IF($B$1+21&gt;90,W163,(W163+IF($B$1+21&lt;=$B163,12*$B$9,-12*MAX(0,$B$8-IF($B$1+21&gt;=$B$23,$B$22,0))*(1+$B$4)^21))*IF(W163+IF($B$1+21&lt;=$B163,12*$B$9,-12*MAX(0,$B$8-IF($B$1+21&gt;=$B$23,$B$22,0))*(1+$B$4)^21)&gt;0,1+$B$3,1))</f>
        <v/>
      </c>
      <c r="Y163">
        <f>IF($B$1+22&gt;90,X163,(X163+IF($B$1+22&lt;=$B163,12*$B$9,-12*MAX(0,$B$8-IF($B$1+22&gt;=$B$23,$B$22,0))*(1+$B$4)^22))*IF(X163+IF($B$1+22&lt;=$B163,12*$B$9,-12*MAX(0,$B$8-IF($B$1+22&gt;=$B$23,$B$22,0))*(1+$B$4)^22)&gt;0,1+$B$3,1))</f>
        <v/>
      </c>
      <c r="Z163">
        <f>IF($B$1+23&gt;90,Y163,(Y163+IF($B$1+23&lt;=$B163,12*$B$9,-12*MAX(0,$B$8-IF($B$1+23&gt;=$B$23,$B$22,0))*(1+$B$4)^23))*IF(Y163+IF($B$1+23&lt;=$B163,12*$B$9,-12*MAX(0,$B$8-IF($B$1+23&gt;=$B$23,$B$22,0))*(1+$B$4)^23)&gt;0,1+$B$3,1))</f>
        <v/>
      </c>
      <c r="AA163">
        <f>IF($B$1+24&gt;90,Z163,(Z163+IF($B$1+24&lt;=$B163,12*$B$9,-12*MAX(0,$B$8-IF($B$1+24&gt;=$B$23,$B$22,0))*(1+$B$4)^24))*IF(Z163+IF($B$1+24&lt;=$B163,12*$B$9,-12*MAX(0,$B$8-IF($B$1+24&gt;=$B$23,$B$22,0))*(1+$B$4)^24)&gt;0,1+$B$3,1))</f>
        <v/>
      </c>
      <c r="AB163">
        <f>IF($B$1+25&gt;90,AA163,(AA163+IF($B$1+25&lt;=$B163,12*$B$9,-12*MAX(0,$B$8-IF($B$1+25&gt;=$B$23,$B$22,0))*(1+$B$4)^25))*IF(AA163+IF($B$1+25&lt;=$B163,12*$B$9,-12*MAX(0,$B$8-IF($B$1+25&gt;=$B$23,$B$22,0))*(1+$B$4)^25)&gt;0,1+$B$3,1))</f>
        <v/>
      </c>
      <c r="AC163">
        <f>IF($B$1+26&gt;90,AB163,(AB163+IF($B$1+26&lt;=$B163,12*$B$9,-12*MAX(0,$B$8-IF($B$1+26&gt;=$B$23,$B$22,0))*(1+$B$4)^26))*IF(AB163+IF($B$1+26&lt;=$B163,12*$B$9,-12*MAX(0,$B$8-IF($B$1+26&gt;=$B$23,$B$22,0))*(1+$B$4)^26)&gt;0,1+$B$3,1))</f>
        <v/>
      </c>
      <c r="AD163">
        <f>IF($B$1+27&gt;90,AC163,(AC163+IF($B$1+27&lt;=$B163,12*$B$9,-12*MAX(0,$B$8-IF($B$1+27&gt;=$B$23,$B$22,0))*(1+$B$4)^27))*IF(AC163+IF($B$1+27&lt;=$B163,12*$B$9,-12*MAX(0,$B$8-IF($B$1+27&gt;=$B$23,$B$22,0))*(1+$B$4)^27)&gt;0,1+$B$3,1))</f>
        <v/>
      </c>
      <c r="AE163">
        <f>IF($B$1+28&gt;90,AD163,(AD163+IF($B$1+28&lt;=$B163,12*$B$9,-12*MAX(0,$B$8-IF($B$1+28&gt;=$B$23,$B$22,0))*(1+$B$4)^28))*IF(AD163+IF($B$1+28&lt;=$B163,12*$B$9,-12*MAX(0,$B$8-IF($B$1+28&gt;=$B$23,$B$22,0))*(1+$B$4)^28)&gt;0,1+$B$3,1))</f>
        <v/>
      </c>
      <c r="AF163">
        <f>IF($B$1+29&gt;90,AE163,(AE163+IF($B$1+29&lt;=$B163,12*$B$9,-12*MAX(0,$B$8-IF($B$1+29&gt;=$B$23,$B$22,0))*(1+$B$4)^29))*IF(AE163+IF($B$1+29&lt;=$B163,12*$B$9,-12*MAX(0,$B$8-IF($B$1+29&gt;=$B$23,$B$22,0))*(1+$B$4)^29)&gt;0,1+$B$3,1))</f>
        <v/>
      </c>
      <c r="AG163">
        <f>IF($B$1+30&gt;90,AF163,(AF163+IF($B$1+30&lt;=$B163,12*$B$9,-12*MAX(0,$B$8-IF($B$1+30&gt;=$B$23,$B$22,0))*(1+$B$4)^30))*IF(AF163+IF($B$1+30&lt;=$B163,12*$B$9,-12*MAX(0,$B$8-IF($B$1+30&gt;=$B$23,$B$22,0))*(1+$B$4)^30)&gt;0,1+$B$3,1))</f>
        <v/>
      </c>
      <c r="AH163">
        <f>IF($B$1+31&gt;90,AG163,(AG163+IF($B$1+31&lt;=$B163,12*$B$9,-12*MAX(0,$B$8-IF($B$1+31&gt;=$B$23,$B$22,0))*(1+$B$4)^31))*IF(AG163+IF($B$1+31&lt;=$B163,12*$B$9,-12*MAX(0,$B$8-IF($B$1+31&gt;=$B$23,$B$22,0))*(1+$B$4)^31)&gt;0,1+$B$3,1))</f>
        <v/>
      </c>
      <c r="AI163">
        <f>IF($B$1+32&gt;90,AH163,(AH163+IF($B$1+32&lt;=$B163,12*$B$9,-12*MAX(0,$B$8-IF($B$1+32&gt;=$B$23,$B$22,0))*(1+$B$4)^32))*IF(AH163+IF($B$1+32&lt;=$B163,12*$B$9,-12*MAX(0,$B$8-IF($B$1+32&gt;=$B$23,$B$22,0))*(1+$B$4)^32)&gt;0,1+$B$3,1))</f>
        <v/>
      </c>
      <c r="AJ163">
        <f>IF($B$1+33&gt;90,AI163,(AI163+IF($B$1+33&lt;=$B163,12*$B$9,-12*MAX(0,$B$8-IF($B$1+33&gt;=$B$23,$B$22,0))*(1+$B$4)^33))*IF(AI163+IF($B$1+33&lt;=$B163,12*$B$9,-12*MAX(0,$B$8-IF($B$1+33&gt;=$B$23,$B$22,0))*(1+$B$4)^33)&gt;0,1+$B$3,1))</f>
        <v/>
      </c>
      <c r="AK163">
        <f>IF($B$1+34&gt;90,AJ163,(AJ163+IF($B$1+34&lt;=$B163,12*$B$9,-12*MAX(0,$B$8-IF($B$1+34&gt;=$B$23,$B$22,0))*(1+$B$4)^34))*IF(AJ163+IF($B$1+34&lt;=$B163,12*$B$9,-12*MAX(0,$B$8-IF($B$1+34&gt;=$B$23,$B$22,0))*(1+$B$4)^34)&gt;0,1+$B$3,1))</f>
        <v/>
      </c>
      <c r="AL163">
        <f>IF($B$1+35&gt;90,AK163,(AK163+IF($B$1+35&lt;=$B163,12*$B$9,-12*MAX(0,$B$8-IF($B$1+35&gt;=$B$23,$B$22,0))*(1+$B$4)^35))*IF(AK163+IF($B$1+35&lt;=$B163,12*$B$9,-12*MAX(0,$B$8-IF($B$1+35&gt;=$B$23,$B$22,0))*(1+$B$4)^35)&gt;0,1+$B$3,1))</f>
        <v/>
      </c>
      <c r="AM163">
        <f>IF($B$1+36&gt;90,AL163,(AL163+IF($B$1+36&lt;=$B163,12*$B$9,-12*MAX(0,$B$8-IF($B$1+36&gt;=$B$23,$B$22,0))*(1+$B$4)^36))*IF(AL163+IF($B$1+36&lt;=$B163,12*$B$9,-12*MAX(0,$B$8-IF($B$1+36&gt;=$B$23,$B$22,0))*(1+$B$4)^36)&gt;0,1+$B$3,1))</f>
        <v/>
      </c>
      <c r="AN163">
        <f>IF($B$1+37&gt;90,AM163,(AM163+IF($B$1+37&lt;=$B163,12*$B$9,-12*MAX(0,$B$8-IF($B$1+37&gt;=$B$23,$B$22,0))*(1+$B$4)^37))*IF(AM163+IF($B$1+37&lt;=$B163,12*$B$9,-12*MAX(0,$B$8-IF($B$1+37&gt;=$B$23,$B$22,0))*(1+$B$4)^37)&gt;0,1+$B$3,1))</f>
        <v/>
      </c>
      <c r="AO163">
        <f>IF($B$1+38&gt;90,AN163,(AN163+IF($B$1+38&lt;=$B163,12*$B$9,-12*MAX(0,$B$8-IF($B$1+38&gt;=$B$23,$B$22,0))*(1+$B$4)^38))*IF(AN163+IF($B$1+38&lt;=$B163,12*$B$9,-12*MAX(0,$B$8-IF($B$1+38&gt;=$B$23,$B$22,0))*(1+$B$4)^38)&gt;0,1+$B$3,1))</f>
        <v/>
      </c>
      <c r="AP163">
        <f>IF($B$1+39&gt;90,AO163,(AO163+IF($B$1+39&lt;=$B163,12*$B$9,-12*MAX(0,$B$8-IF($B$1+39&gt;=$B$23,$B$22,0))*(1+$B$4)^39))*IF(AO163+IF($B$1+39&lt;=$B163,12*$B$9,-12*MAX(0,$B$8-IF($B$1+39&gt;=$B$23,$B$22,0))*(1+$B$4)^39)&gt;0,1+$B$3,1))</f>
        <v/>
      </c>
      <c r="AQ163">
        <f>IF($B$1+40&gt;90,AP163,(AP163+IF($B$1+40&lt;=$B163,12*$B$9,-12*MAX(0,$B$8-IF($B$1+40&gt;=$B$23,$B$22,0))*(1+$B$4)^40))*IF(AP163+IF($B$1+40&lt;=$B163,12*$B$9,-12*MAX(0,$B$8-IF($B$1+40&gt;=$B$23,$B$22,0))*(1+$B$4)^40)&gt;0,1+$B$3,1))</f>
        <v/>
      </c>
      <c r="AR163">
        <f>IF($B$1+41&gt;90,AQ163,(AQ163+IF($B$1+41&lt;=$B163,12*$B$9,-12*MAX(0,$B$8-IF($B$1+41&gt;=$B$23,$B$22,0))*(1+$B$4)^41))*IF(AQ163+IF($B$1+41&lt;=$B163,12*$B$9,-12*MAX(0,$B$8-IF($B$1+41&gt;=$B$23,$B$22,0))*(1+$B$4)^41)&gt;0,1+$B$3,1))</f>
        <v/>
      </c>
      <c r="AS163">
        <f>IF($B$1+42&gt;90,AR163,(AR163+IF($B$1+42&lt;=$B163,12*$B$9,-12*MAX(0,$B$8-IF($B$1+42&gt;=$B$23,$B$22,0))*(1+$B$4)^42))*IF(AR163+IF($B$1+42&lt;=$B163,12*$B$9,-12*MAX(0,$B$8-IF($B$1+42&gt;=$B$23,$B$22,0))*(1+$B$4)^42)&gt;0,1+$B$3,1))</f>
        <v/>
      </c>
      <c r="AT163">
        <f>IF($B$1+43&gt;90,AS163,(AS163+IF($B$1+43&lt;=$B163,12*$B$9,-12*MAX(0,$B$8-IF($B$1+43&gt;=$B$23,$B$22,0))*(1+$B$4)^43))*IF(AS163+IF($B$1+43&lt;=$B163,12*$B$9,-12*MAX(0,$B$8-IF($B$1+43&gt;=$B$23,$B$22,0))*(1+$B$4)^43)&gt;0,1+$B$3,1))</f>
        <v/>
      </c>
      <c r="AU163">
        <f>IF($B$1+44&gt;90,AT163,(AT163+IF($B$1+44&lt;=$B163,12*$B$9,-12*MAX(0,$B$8-IF($B$1+44&gt;=$B$23,$B$22,0))*(1+$B$4)^44))*IF(AT163+IF($B$1+44&lt;=$B163,12*$B$9,-12*MAX(0,$B$8-IF($B$1+44&gt;=$B$23,$B$22,0))*(1+$B$4)^44)&gt;0,1+$B$3,1))</f>
        <v/>
      </c>
      <c r="AV163">
        <f>IF($B$1+45&gt;90,AU163,(AU163+IF($B$1+45&lt;=$B163,12*$B$9,-12*MAX(0,$B$8-IF($B$1+45&gt;=$B$23,$B$22,0))*(1+$B$4)^45))*IF(AU163+IF($B$1+45&lt;=$B163,12*$B$9,-12*MAX(0,$B$8-IF($B$1+45&gt;=$B$23,$B$22,0))*(1+$B$4)^45)&gt;0,1+$B$3,1))</f>
        <v/>
      </c>
      <c r="AW163">
        <f>IF($B$1+46&gt;90,AV163,(AV163+IF($B$1+46&lt;=$B163,12*$B$9,-12*MAX(0,$B$8-IF($B$1+46&gt;=$B$23,$B$22,0))*(1+$B$4)^46))*IF(AV163+IF($B$1+46&lt;=$B163,12*$B$9,-12*MAX(0,$B$8-IF($B$1+46&gt;=$B$23,$B$22,0))*(1+$B$4)^46)&gt;0,1+$B$3,1))</f>
        <v/>
      </c>
      <c r="AX163">
        <f>IF($B$1+47&gt;90,AW163,(AW163+IF($B$1+47&lt;=$B163,12*$B$9,-12*MAX(0,$B$8-IF($B$1+47&gt;=$B$23,$B$22,0))*(1+$B$4)^47))*IF(AW163+IF($B$1+47&lt;=$B163,12*$B$9,-12*MAX(0,$B$8-IF($B$1+47&gt;=$B$23,$B$22,0))*(1+$B$4)^47)&gt;0,1+$B$3,1))</f>
        <v/>
      </c>
      <c r="AY163">
        <f>IF($B$1+48&gt;90,AX163,(AX163+IF($B$1+48&lt;=$B163,12*$B$9,-12*MAX(0,$B$8-IF($B$1+48&gt;=$B$23,$B$22,0))*(1+$B$4)^48))*IF(AX163+IF($B$1+48&lt;=$B163,12*$B$9,-12*MAX(0,$B$8-IF($B$1+48&gt;=$B$23,$B$22,0))*(1+$B$4)^48)&gt;0,1+$B$3,1))</f>
        <v/>
      </c>
      <c r="AZ163">
        <f>IF($B$1+49&gt;90,AY163,(AY163+IF($B$1+49&lt;=$B163,12*$B$9,-12*MAX(0,$B$8-IF($B$1+49&gt;=$B$23,$B$22,0))*(1+$B$4)^49))*IF(AY163+IF($B$1+49&lt;=$B163,12*$B$9,-12*MAX(0,$B$8-IF($B$1+49&gt;=$B$23,$B$22,0))*(1+$B$4)^49)&gt;0,1+$B$3,1))</f>
        <v/>
      </c>
      <c r="BA163">
        <f>IF($B$1+50&gt;90,AZ163,(AZ163+IF($B$1+50&lt;=$B163,12*$B$9,-12*MAX(0,$B$8-IF($B$1+50&gt;=$B$23,$B$22,0))*(1+$B$4)^50))*IF(AZ163+IF($B$1+50&lt;=$B163,12*$B$9,-12*MAX(0,$B$8-IF($B$1+50&gt;=$B$23,$B$22,0))*(1+$B$4)^50)&gt;0,1+$B$3,1))</f>
        <v/>
      </c>
      <c r="BB163">
        <f>IF($B$1+51&gt;90,BA163,(BA163+IF($B$1+51&lt;=$B163,12*$B$9,-12*MAX(0,$B$8-IF($B$1+51&gt;=$B$23,$B$22,0))*(1+$B$4)^51))*IF(BA163+IF($B$1+51&lt;=$B163,12*$B$9,-12*MAX(0,$B$8-IF($B$1+51&gt;=$B$23,$B$22,0))*(1+$B$4)^51)&gt;0,1+$B$3,1))</f>
        <v/>
      </c>
      <c r="BC163">
        <f>IF($B$1+52&gt;90,BB163,(BB163+IF($B$1+52&lt;=$B163,12*$B$9,-12*MAX(0,$B$8-IF($B$1+52&gt;=$B$23,$B$22,0))*(1+$B$4)^52))*IF(BB163+IF($B$1+52&lt;=$B163,12*$B$9,-12*MAX(0,$B$8-IF($B$1+52&gt;=$B$23,$B$22,0))*(1+$B$4)^52)&gt;0,1+$B$3,1))</f>
        <v/>
      </c>
      <c r="BD163">
        <f>IF($B$1+53&gt;90,BC163,(BC163+IF($B$1+53&lt;=$B163,12*$B$9,-12*MAX(0,$B$8-IF($B$1+53&gt;=$B$23,$B$22,0))*(1+$B$4)^53))*IF(BC163+IF($B$1+53&lt;=$B163,12*$B$9,-12*MAX(0,$B$8-IF($B$1+53&gt;=$B$23,$B$22,0))*(1+$B$4)^53)&gt;0,1+$B$3,1))</f>
        <v/>
      </c>
      <c r="BE163">
        <f>IF($B$1+54&gt;90,BD163,(BD163+IF($B$1+54&lt;=$B163,12*$B$9,-12*MAX(0,$B$8-IF($B$1+54&gt;=$B$23,$B$22,0))*(1+$B$4)^54))*IF(BD163+IF($B$1+54&lt;=$B163,12*$B$9,-12*MAX(0,$B$8-IF($B$1+54&gt;=$B$23,$B$22,0))*(1+$B$4)^54)&gt;0,1+$B$3,1))</f>
        <v/>
      </c>
      <c r="BF163">
        <f>IF($B$1+55&gt;90,BE163,(BE163+IF($B$1+55&lt;=$B163,12*$B$9,-12*MAX(0,$B$8-IF($B$1+55&gt;=$B$23,$B$22,0))*(1+$B$4)^55))*IF(BE163+IF($B$1+55&lt;=$B163,12*$B$9,-12*MAX(0,$B$8-IF($B$1+55&gt;=$B$23,$B$22,0))*(1+$B$4)^55)&gt;0,1+$B$3,1))</f>
        <v/>
      </c>
      <c r="BG163">
        <f>IF($B$1+56&gt;90,BF163,(BF163+IF($B$1+56&lt;=$B163,12*$B$9,-12*MAX(0,$B$8-IF($B$1+56&gt;=$B$23,$B$22,0))*(1+$B$4)^56))*IF(BF163+IF($B$1+56&lt;=$B163,12*$B$9,-12*MAX(0,$B$8-IF($B$1+56&gt;=$B$23,$B$22,0))*(1+$B$4)^56)&gt;0,1+$B$3,1))</f>
        <v/>
      </c>
      <c r="BH163">
        <f>IF($B$1+57&gt;90,BG163,(BG163+IF($B$1+57&lt;=$B163,12*$B$9,-12*MAX(0,$B$8-IF($B$1+57&gt;=$B$23,$B$22,0))*(1+$B$4)^57))*IF(BG163+IF($B$1+57&lt;=$B163,12*$B$9,-12*MAX(0,$B$8-IF($B$1+57&gt;=$B$23,$B$22,0))*(1+$B$4)^57)&gt;0,1+$B$3,1))</f>
        <v/>
      </c>
      <c r="BI163">
        <f>IF($B$1+58&gt;90,BH163,(BH163+IF($B$1+58&lt;=$B163,12*$B$9,-12*MAX(0,$B$8-IF($B$1+58&gt;=$B$23,$B$22,0))*(1+$B$4)^58))*IF(BH163+IF($B$1+58&lt;=$B163,12*$B$9,-12*MAX(0,$B$8-IF($B$1+58&gt;=$B$23,$B$22,0))*(1+$B$4)^58)&gt;0,1+$B$3,1))</f>
        <v/>
      </c>
      <c r="BJ163">
        <f>IF($B$1+59&gt;90,BI163,(BI163+IF($B$1+59&lt;=$B163,12*$B$9,-12*MAX(0,$B$8-IF($B$1+59&gt;=$B$23,$B$22,0))*(1+$B$4)^59))*IF(BI163+IF($B$1+59&lt;=$B163,12*$B$9,-12*MAX(0,$B$8-IF($B$1+59&gt;=$B$23,$B$22,0))*(1+$B$4)^59)&gt;0,1+$B$3,1))</f>
        <v/>
      </c>
      <c r="BK163">
        <f>IF($B$1+60&gt;90,BJ163,(BJ163+IF($B$1+60&lt;=$B163,12*$B$9,-12*MAX(0,$B$8-IF($B$1+60&gt;=$B$23,$B$22,0))*(1+$B$4)^60))*IF(BJ163+IF($B$1+60&lt;=$B163,12*$B$9,-12*MAX(0,$B$8-IF($B$1+60&gt;=$B$23,$B$22,0))*(1+$B$4)^60)&gt;0,1+$B$3,1))</f>
        <v/>
      </c>
      <c r="BL163">
        <f>IF($B$1+61&gt;90,BK163,(BK163+IF($B$1+61&lt;=$B163,12*$B$9,-12*MAX(0,$B$8-IF($B$1+61&gt;=$B$23,$B$22,0))*(1+$B$4)^61))*IF(BK163+IF($B$1+61&lt;=$B163,12*$B$9,-12*MAX(0,$B$8-IF($B$1+61&gt;=$B$23,$B$22,0))*(1+$B$4)^61)&gt;0,1+$B$3,1))</f>
        <v/>
      </c>
      <c r="BM163">
        <f>IF($B$1+62&gt;90,BL163,(BL163+IF($B$1+62&lt;=$B163,12*$B$9,-12*MAX(0,$B$8-IF($B$1+62&gt;=$B$23,$B$22,0))*(1+$B$4)^62))*IF(BL163+IF($B$1+62&lt;=$B163,12*$B$9,-12*MAX(0,$B$8-IF($B$1+62&gt;=$B$23,$B$22,0))*(1+$B$4)^62)&gt;0,1+$B$3,1))</f>
        <v/>
      </c>
      <c r="BN163">
        <f>IF($B$1+63&gt;90,BM163,(BM163+IF($B$1+63&lt;=$B163,12*$B$9,-12*MAX(0,$B$8-IF($B$1+63&gt;=$B$23,$B$22,0))*(1+$B$4)^63))*IF(BM163+IF($B$1+63&lt;=$B163,12*$B$9,-12*MAX(0,$B$8-IF($B$1+63&gt;=$B$23,$B$22,0))*(1+$B$4)^63)&gt;0,1+$B$3,1))</f>
        <v/>
      </c>
      <c r="BO163">
        <f>IF($B$1+64&gt;90,BN163,(BN163+IF($B$1+64&lt;=$B163,12*$B$9,-12*MAX(0,$B$8-IF($B$1+64&gt;=$B$23,$B$22,0))*(1+$B$4)^64))*IF(BN163+IF($B$1+64&lt;=$B163,12*$B$9,-12*MAX(0,$B$8-IF($B$1+64&gt;=$B$23,$B$22,0))*(1+$B$4)^64)&gt;0,1+$B$3,1))</f>
        <v/>
      </c>
      <c r="BP163">
        <f>IF($B$1+65&gt;90,BO163,(BO163+IF($B$1+65&lt;=$B163,12*$B$9,-12*MAX(0,$B$8-IF($B$1+65&gt;=$B$23,$B$22,0))*(1+$B$4)^65))*IF(BO163+IF($B$1+65&lt;=$B163,12*$B$9,-12*MAX(0,$B$8-IF($B$1+65&gt;=$B$23,$B$22,0))*(1+$B$4)^65)&gt;0,1+$B$3,1))</f>
        <v/>
      </c>
      <c r="BQ163">
        <f>IF($B$1+66&gt;90,BP163,(BP163+IF($B$1+66&lt;=$B163,12*$B$9,-12*MAX(0,$B$8-IF($B$1+66&gt;=$B$23,$B$22,0))*(1+$B$4)^66))*IF(BP163+IF($B$1+66&lt;=$B163,12*$B$9,-12*MAX(0,$B$8-IF($B$1+66&gt;=$B$23,$B$22,0))*(1+$B$4)^66)&gt;0,1+$B$3,1))</f>
        <v/>
      </c>
      <c r="BR163">
        <f>IF($B$1+67&gt;90,BQ163,(BQ163+IF($B$1+67&lt;=$B163,12*$B$9,-12*MAX(0,$B$8-IF($B$1+67&gt;=$B$23,$B$22,0))*(1+$B$4)^67))*IF(BQ163+IF($B$1+67&lt;=$B163,12*$B$9,-12*MAX(0,$B$8-IF($B$1+67&gt;=$B$23,$B$22,0))*(1+$B$4)^67)&gt;0,1+$B$3,1))</f>
        <v/>
      </c>
      <c r="BS163">
        <f>IF($B$1+68&gt;90,BR163,(BR163+IF($B$1+68&lt;=$B163,12*$B$9,-12*MAX(0,$B$8-IF($B$1+68&gt;=$B$23,$B$22,0))*(1+$B$4)^68))*IF(BR163+IF($B$1+68&lt;=$B163,12*$B$9,-12*MAX(0,$B$8-IF($B$1+68&gt;=$B$23,$B$22,0))*(1+$B$4)^68)&gt;0,1+$B$3,1))</f>
        <v/>
      </c>
      <c r="BT163">
        <f>IF($B$1+69&gt;90,BS163,(BS163+IF($B$1+69&lt;=$B163,12*$B$9,-12*MAX(0,$B$8-IF($B$1+69&gt;=$B$23,$B$22,0))*(1+$B$4)^69))*IF(BS163+IF($B$1+69&lt;=$B163,12*$B$9,-12*MAX(0,$B$8-IF($B$1+69&gt;=$B$23,$B$22,0))*(1+$B$4)^69)&gt;0,1+$B$3,1))</f>
        <v/>
      </c>
      <c r="BU163">
        <f>IF($B$1+70&gt;90,BT163,(BT163+IF($B$1+70&lt;=$B163,12*$B$9,-12*MAX(0,$B$8-IF($B$1+70&gt;=$B$23,$B$22,0))*(1+$B$4)^70))*IF(BT163+IF($B$1+70&lt;=$B163,12*$B$9,-12*MAX(0,$B$8-IF($B$1+70&gt;=$B$23,$B$22,0))*(1+$B$4)^70)&gt;0,1+$B$3,1))</f>
        <v/>
      </c>
      <c r="BV163">
        <f>BU163</f>
        <v/>
      </c>
      <c r="BW163">
        <f>IF(AND($B163&lt;=70,BV163&gt;0),$B163,999)</f>
        <v/>
      </c>
      <c r="CH163">
        <f>IF(ISTEXT('월 가계부'!A163),SUBSTITUTE(SUBSTITUTE(SUBSTITUTE(SUBSTITUTE(SUBSTITUTE(SUBSTITUTE(SUBSTITUTE(SUBSTITUTE(SUBSTITUTE(TRIM('월 가계부'!A163),"년","-"),"월","-"),"일",""),".","-"),"/","-")," ","-"),"--","-"),"--","-"),"--","-")&amp;"-","")</f>
        <v/>
      </c>
      <c r="CI163">
        <f>IFERROR(IF('월 가계부'!A163="","",IF(ISNUMBER('월 가계부'!A163),IF(AND('월 가계부'!A163&gt;=19000101,'월 가계부'!A163&lt;=21001231),IF(AND(MOD(INT('월 가계부'!A163/100),100)&gt;=1,MOD(INT('월 가계부'!A163/100),100)&lt;=12,MOD(INT('월 가계부'!A163),100)&gt;=1,MOD(INT('월 가계부'!A163),100)&lt;=31),IF(MONTH(DATE(INT('월 가계부'!A163/10000),MOD(INT('월 가계부'!A163/100),100),MOD(INT('월 가계부'!A163),100)))=MOD(INT('월 가계부'!A163/100),100),DATE(INT('월 가계부'!A163/10000),MOD(INT('월 가계부'!A163/100),100),MOD(INT('월 가계부'!A163),100)),""),""),IF(AND('월 가계부'!A163&gt;=36526,'월 가계부'!A163&lt;73051),INT('월 가계부'!A163),"")),IF(OR(CM163="",CN163="",CO163=""),"",IF(AND(CM163&gt;=2000,CM163&lt;=2099,CN163&gt;=1,CN163&lt;=12,CO163&gt;=1,CO163&lt;=31),IF(MONTH(DATE(CM163,CN163,CO163))=CN163,DATE(CM163,CN163,CO163),""),"")))),"")</f>
        <v/>
      </c>
      <c r="CJ163">
        <f>IFERROR(IF('월 가계부'!C163="","",IF(ISNUMBER('월 가계부'!C163),'월 가계부'!C163,VALUE(SUBSTITUTE(SUBSTITUTE(SUBSTITUTE(SUBSTITUTE(TRIM('월 가계부'!C163),",",""),"원","")," ",""),"−","-")))),"")</f>
        <v/>
      </c>
      <c r="CK163">
        <f>IF(ISNUMBER(CI163),IF(CI163&lt;$B$13,CI163,""),"")</f>
        <v/>
      </c>
      <c r="CM163">
        <f>IF(CH163="","",IFERROR(IF(IF(AND(LEN(CH163)=9,ISERROR(FIND("-",LEFT(CH163,8))),ISNUMBER(-LEFT(CH163,8))),VALUE(LEFT(CH163,4)),VALUE(LEFT(CH163,FIND("-",CH163)-1)))&lt;100,IF(AND(LEN(CH163)=9,ISERROR(FIND("-",LEFT(CH163,8))),ISNUMBER(-LEFT(CH163,8))),VALUE(LEFT(CH163,4)),VALUE(LEFT(CH163,FIND("-",CH163)-1)))+2000,IF(AND(LEN(CH163)=9,ISERROR(FIND("-",LEFT(CH163,8))),ISNUMBER(-LEFT(CH163,8))),VALUE(LEFT(CH163,4)),VALUE(LEFT(CH163,FIND("-",CH163)-1)))),""))</f>
        <v/>
      </c>
      <c r="CN163">
        <f>IF(CH163="","",IFERROR(IF(AND(LEN(CH163)=9,ISERROR(FIND("-",LEFT(CH163,8))),ISNUMBER(-LEFT(CH163,8))),VALUE(MID(CH163,5,2)),VALUE(MID(CH163,FIND("-",CH163)+1,FIND("-",CH163,FIND("-",CH163)+1)-FIND("-",CH163)-1))),""))</f>
        <v/>
      </c>
      <c r="CO163">
        <f>IF(CH163="","",IFERROR(IF(AND(LEN(CH163)=9,ISERROR(FIND("-",LEFT(CH163,8))),ISNUMBER(-LEFT(CH163,8))),VALUE(MID(CH163,7,2)),VALUE(MID(CH163,FIND("-",CH163,FIND("-",CH163)+1)+1,FIND("-",CH163,FIND("-",CH163,FIND("-",CH163)+1)+1)-FIND("-",CH163,FIND("-",CH163)+1)-1))),""))</f>
        <v/>
      </c>
    </row>
    <row r="164">
      <c r="A164" t="n">
        <v>12</v>
      </c>
      <c r="B164">
        <f>$B$1+12</f>
        <v/>
      </c>
      <c r="C164">
        <f>$B$2</f>
        <v/>
      </c>
      <c r="D164">
        <f>IF($B$1+1&gt;90,C164,(C164+IF($B$1+1&lt;=$B164,12*$B$9,-12*MAX(0,$B$8-IF($B$1+1&gt;=$B$23,$B$22,0))*(1+$B$4)^1))*IF(C164+IF($B$1+1&lt;=$B164,12*$B$9,-12*MAX(0,$B$8-IF($B$1+1&gt;=$B$23,$B$22,0))*(1+$B$4)^1)&gt;0,1+$B$3,1))</f>
        <v/>
      </c>
      <c r="E164">
        <f>IF($B$1+2&gt;90,D164,(D164+IF($B$1+2&lt;=$B164,12*$B$9,-12*MAX(0,$B$8-IF($B$1+2&gt;=$B$23,$B$22,0))*(1+$B$4)^2))*IF(D164+IF($B$1+2&lt;=$B164,12*$B$9,-12*MAX(0,$B$8-IF($B$1+2&gt;=$B$23,$B$22,0))*(1+$B$4)^2)&gt;0,1+$B$3,1))</f>
        <v/>
      </c>
      <c r="F164">
        <f>IF($B$1+3&gt;90,E164,(E164+IF($B$1+3&lt;=$B164,12*$B$9,-12*MAX(0,$B$8-IF($B$1+3&gt;=$B$23,$B$22,0))*(1+$B$4)^3))*IF(E164+IF($B$1+3&lt;=$B164,12*$B$9,-12*MAX(0,$B$8-IF($B$1+3&gt;=$B$23,$B$22,0))*(1+$B$4)^3)&gt;0,1+$B$3,1))</f>
        <v/>
      </c>
      <c r="G164">
        <f>IF($B$1+4&gt;90,F164,(F164+IF($B$1+4&lt;=$B164,12*$B$9,-12*MAX(0,$B$8-IF($B$1+4&gt;=$B$23,$B$22,0))*(1+$B$4)^4))*IF(F164+IF($B$1+4&lt;=$B164,12*$B$9,-12*MAX(0,$B$8-IF($B$1+4&gt;=$B$23,$B$22,0))*(1+$B$4)^4)&gt;0,1+$B$3,1))</f>
        <v/>
      </c>
      <c r="H164">
        <f>IF($B$1+5&gt;90,G164,(G164+IF($B$1+5&lt;=$B164,12*$B$9,-12*MAX(0,$B$8-IF($B$1+5&gt;=$B$23,$B$22,0))*(1+$B$4)^5))*IF(G164+IF($B$1+5&lt;=$B164,12*$B$9,-12*MAX(0,$B$8-IF($B$1+5&gt;=$B$23,$B$22,0))*(1+$B$4)^5)&gt;0,1+$B$3,1))</f>
        <v/>
      </c>
      <c r="I164">
        <f>IF($B$1+6&gt;90,H164,(H164+IF($B$1+6&lt;=$B164,12*$B$9,-12*MAX(0,$B$8-IF($B$1+6&gt;=$B$23,$B$22,0))*(1+$B$4)^6))*IF(H164+IF($B$1+6&lt;=$B164,12*$B$9,-12*MAX(0,$B$8-IF($B$1+6&gt;=$B$23,$B$22,0))*(1+$B$4)^6)&gt;0,1+$B$3,1))</f>
        <v/>
      </c>
      <c r="J164">
        <f>IF($B$1+7&gt;90,I164,(I164+IF($B$1+7&lt;=$B164,12*$B$9,-12*MAX(0,$B$8-IF($B$1+7&gt;=$B$23,$B$22,0))*(1+$B$4)^7))*IF(I164+IF($B$1+7&lt;=$B164,12*$B$9,-12*MAX(0,$B$8-IF($B$1+7&gt;=$B$23,$B$22,0))*(1+$B$4)^7)&gt;0,1+$B$3,1))</f>
        <v/>
      </c>
      <c r="K164">
        <f>IF($B$1+8&gt;90,J164,(J164+IF($B$1+8&lt;=$B164,12*$B$9,-12*MAX(0,$B$8-IF($B$1+8&gt;=$B$23,$B$22,0))*(1+$B$4)^8))*IF(J164+IF($B$1+8&lt;=$B164,12*$B$9,-12*MAX(0,$B$8-IF($B$1+8&gt;=$B$23,$B$22,0))*(1+$B$4)^8)&gt;0,1+$B$3,1))</f>
        <v/>
      </c>
      <c r="L164">
        <f>IF($B$1+9&gt;90,K164,(K164+IF($B$1+9&lt;=$B164,12*$B$9,-12*MAX(0,$B$8-IF($B$1+9&gt;=$B$23,$B$22,0))*(1+$B$4)^9))*IF(K164+IF($B$1+9&lt;=$B164,12*$B$9,-12*MAX(0,$B$8-IF($B$1+9&gt;=$B$23,$B$22,0))*(1+$B$4)^9)&gt;0,1+$B$3,1))</f>
        <v/>
      </c>
      <c r="M164">
        <f>IF($B$1+10&gt;90,L164,(L164+IF($B$1+10&lt;=$B164,12*$B$9,-12*MAX(0,$B$8-IF($B$1+10&gt;=$B$23,$B$22,0))*(1+$B$4)^10))*IF(L164+IF($B$1+10&lt;=$B164,12*$B$9,-12*MAX(0,$B$8-IF($B$1+10&gt;=$B$23,$B$22,0))*(1+$B$4)^10)&gt;0,1+$B$3,1))</f>
        <v/>
      </c>
      <c r="N164">
        <f>IF($B$1+11&gt;90,M164,(M164+IF($B$1+11&lt;=$B164,12*$B$9,-12*MAX(0,$B$8-IF($B$1+11&gt;=$B$23,$B$22,0))*(1+$B$4)^11))*IF(M164+IF($B$1+11&lt;=$B164,12*$B$9,-12*MAX(0,$B$8-IF($B$1+11&gt;=$B$23,$B$22,0))*(1+$B$4)^11)&gt;0,1+$B$3,1))</f>
        <v/>
      </c>
      <c r="O164">
        <f>IF($B$1+12&gt;90,N164,(N164+IF($B$1+12&lt;=$B164,12*$B$9,-12*MAX(0,$B$8-IF($B$1+12&gt;=$B$23,$B$22,0))*(1+$B$4)^12))*IF(N164+IF($B$1+12&lt;=$B164,12*$B$9,-12*MAX(0,$B$8-IF($B$1+12&gt;=$B$23,$B$22,0))*(1+$B$4)^12)&gt;0,1+$B$3,1))</f>
        <v/>
      </c>
      <c r="P164">
        <f>IF($B$1+13&gt;90,O164,(O164+IF($B$1+13&lt;=$B164,12*$B$9,-12*MAX(0,$B$8-IF($B$1+13&gt;=$B$23,$B$22,0))*(1+$B$4)^13))*IF(O164+IF($B$1+13&lt;=$B164,12*$B$9,-12*MAX(0,$B$8-IF($B$1+13&gt;=$B$23,$B$22,0))*(1+$B$4)^13)&gt;0,1+$B$3,1))</f>
        <v/>
      </c>
      <c r="Q164">
        <f>IF($B$1+14&gt;90,P164,(P164+IF($B$1+14&lt;=$B164,12*$B$9,-12*MAX(0,$B$8-IF($B$1+14&gt;=$B$23,$B$22,0))*(1+$B$4)^14))*IF(P164+IF($B$1+14&lt;=$B164,12*$B$9,-12*MAX(0,$B$8-IF($B$1+14&gt;=$B$23,$B$22,0))*(1+$B$4)^14)&gt;0,1+$B$3,1))</f>
        <v/>
      </c>
      <c r="R164">
        <f>IF($B$1+15&gt;90,Q164,(Q164+IF($B$1+15&lt;=$B164,12*$B$9,-12*MAX(0,$B$8-IF($B$1+15&gt;=$B$23,$B$22,0))*(1+$B$4)^15))*IF(Q164+IF($B$1+15&lt;=$B164,12*$B$9,-12*MAX(0,$B$8-IF($B$1+15&gt;=$B$23,$B$22,0))*(1+$B$4)^15)&gt;0,1+$B$3,1))</f>
        <v/>
      </c>
      <c r="S164">
        <f>IF($B$1+16&gt;90,R164,(R164+IF($B$1+16&lt;=$B164,12*$B$9,-12*MAX(0,$B$8-IF($B$1+16&gt;=$B$23,$B$22,0))*(1+$B$4)^16))*IF(R164+IF($B$1+16&lt;=$B164,12*$B$9,-12*MAX(0,$B$8-IF($B$1+16&gt;=$B$23,$B$22,0))*(1+$B$4)^16)&gt;0,1+$B$3,1))</f>
        <v/>
      </c>
      <c r="T164">
        <f>IF($B$1+17&gt;90,S164,(S164+IF($B$1+17&lt;=$B164,12*$B$9,-12*MAX(0,$B$8-IF($B$1+17&gt;=$B$23,$B$22,0))*(1+$B$4)^17))*IF(S164+IF($B$1+17&lt;=$B164,12*$B$9,-12*MAX(0,$B$8-IF($B$1+17&gt;=$B$23,$B$22,0))*(1+$B$4)^17)&gt;0,1+$B$3,1))</f>
        <v/>
      </c>
      <c r="U164">
        <f>IF($B$1+18&gt;90,T164,(T164+IF($B$1+18&lt;=$B164,12*$B$9,-12*MAX(0,$B$8-IF($B$1+18&gt;=$B$23,$B$22,0))*(1+$B$4)^18))*IF(T164+IF($B$1+18&lt;=$B164,12*$B$9,-12*MAX(0,$B$8-IF($B$1+18&gt;=$B$23,$B$22,0))*(1+$B$4)^18)&gt;0,1+$B$3,1))</f>
        <v/>
      </c>
      <c r="V164">
        <f>IF($B$1+19&gt;90,U164,(U164+IF($B$1+19&lt;=$B164,12*$B$9,-12*MAX(0,$B$8-IF($B$1+19&gt;=$B$23,$B$22,0))*(1+$B$4)^19))*IF(U164+IF($B$1+19&lt;=$B164,12*$B$9,-12*MAX(0,$B$8-IF($B$1+19&gt;=$B$23,$B$22,0))*(1+$B$4)^19)&gt;0,1+$B$3,1))</f>
        <v/>
      </c>
      <c r="W164">
        <f>IF($B$1+20&gt;90,V164,(V164+IF($B$1+20&lt;=$B164,12*$B$9,-12*MAX(0,$B$8-IF($B$1+20&gt;=$B$23,$B$22,0))*(1+$B$4)^20))*IF(V164+IF($B$1+20&lt;=$B164,12*$B$9,-12*MAX(0,$B$8-IF($B$1+20&gt;=$B$23,$B$22,0))*(1+$B$4)^20)&gt;0,1+$B$3,1))</f>
        <v/>
      </c>
      <c r="X164">
        <f>IF($B$1+21&gt;90,W164,(W164+IF($B$1+21&lt;=$B164,12*$B$9,-12*MAX(0,$B$8-IF($B$1+21&gt;=$B$23,$B$22,0))*(1+$B$4)^21))*IF(W164+IF($B$1+21&lt;=$B164,12*$B$9,-12*MAX(0,$B$8-IF($B$1+21&gt;=$B$23,$B$22,0))*(1+$B$4)^21)&gt;0,1+$B$3,1))</f>
        <v/>
      </c>
      <c r="Y164">
        <f>IF($B$1+22&gt;90,X164,(X164+IF($B$1+22&lt;=$B164,12*$B$9,-12*MAX(0,$B$8-IF($B$1+22&gt;=$B$23,$B$22,0))*(1+$B$4)^22))*IF(X164+IF($B$1+22&lt;=$B164,12*$B$9,-12*MAX(0,$B$8-IF($B$1+22&gt;=$B$23,$B$22,0))*(1+$B$4)^22)&gt;0,1+$B$3,1))</f>
        <v/>
      </c>
      <c r="Z164">
        <f>IF($B$1+23&gt;90,Y164,(Y164+IF($B$1+23&lt;=$B164,12*$B$9,-12*MAX(0,$B$8-IF($B$1+23&gt;=$B$23,$B$22,0))*(1+$B$4)^23))*IF(Y164+IF($B$1+23&lt;=$B164,12*$B$9,-12*MAX(0,$B$8-IF($B$1+23&gt;=$B$23,$B$22,0))*(1+$B$4)^23)&gt;0,1+$B$3,1))</f>
        <v/>
      </c>
      <c r="AA164">
        <f>IF($B$1+24&gt;90,Z164,(Z164+IF($B$1+24&lt;=$B164,12*$B$9,-12*MAX(0,$B$8-IF($B$1+24&gt;=$B$23,$B$22,0))*(1+$B$4)^24))*IF(Z164+IF($B$1+24&lt;=$B164,12*$B$9,-12*MAX(0,$B$8-IF($B$1+24&gt;=$B$23,$B$22,0))*(1+$B$4)^24)&gt;0,1+$B$3,1))</f>
        <v/>
      </c>
      <c r="AB164">
        <f>IF($B$1+25&gt;90,AA164,(AA164+IF($B$1+25&lt;=$B164,12*$B$9,-12*MAX(0,$B$8-IF($B$1+25&gt;=$B$23,$B$22,0))*(1+$B$4)^25))*IF(AA164+IF($B$1+25&lt;=$B164,12*$B$9,-12*MAX(0,$B$8-IF($B$1+25&gt;=$B$23,$B$22,0))*(1+$B$4)^25)&gt;0,1+$B$3,1))</f>
        <v/>
      </c>
      <c r="AC164">
        <f>IF($B$1+26&gt;90,AB164,(AB164+IF($B$1+26&lt;=$B164,12*$B$9,-12*MAX(0,$B$8-IF($B$1+26&gt;=$B$23,$B$22,0))*(1+$B$4)^26))*IF(AB164+IF($B$1+26&lt;=$B164,12*$B$9,-12*MAX(0,$B$8-IF($B$1+26&gt;=$B$23,$B$22,0))*(1+$B$4)^26)&gt;0,1+$B$3,1))</f>
        <v/>
      </c>
      <c r="AD164">
        <f>IF($B$1+27&gt;90,AC164,(AC164+IF($B$1+27&lt;=$B164,12*$B$9,-12*MAX(0,$B$8-IF($B$1+27&gt;=$B$23,$B$22,0))*(1+$B$4)^27))*IF(AC164+IF($B$1+27&lt;=$B164,12*$B$9,-12*MAX(0,$B$8-IF($B$1+27&gt;=$B$23,$B$22,0))*(1+$B$4)^27)&gt;0,1+$B$3,1))</f>
        <v/>
      </c>
      <c r="AE164">
        <f>IF($B$1+28&gt;90,AD164,(AD164+IF($B$1+28&lt;=$B164,12*$B$9,-12*MAX(0,$B$8-IF($B$1+28&gt;=$B$23,$B$22,0))*(1+$B$4)^28))*IF(AD164+IF($B$1+28&lt;=$B164,12*$B$9,-12*MAX(0,$B$8-IF($B$1+28&gt;=$B$23,$B$22,0))*(1+$B$4)^28)&gt;0,1+$B$3,1))</f>
        <v/>
      </c>
      <c r="AF164">
        <f>IF($B$1+29&gt;90,AE164,(AE164+IF($B$1+29&lt;=$B164,12*$B$9,-12*MAX(0,$B$8-IF($B$1+29&gt;=$B$23,$B$22,0))*(1+$B$4)^29))*IF(AE164+IF($B$1+29&lt;=$B164,12*$B$9,-12*MAX(0,$B$8-IF($B$1+29&gt;=$B$23,$B$22,0))*(1+$B$4)^29)&gt;0,1+$B$3,1))</f>
        <v/>
      </c>
      <c r="AG164">
        <f>IF($B$1+30&gt;90,AF164,(AF164+IF($B$1+30&lt;=$B164,12*$B$9,-12*MAX(0,$B$8-IF($B$1+30&gt;=$B$23,$B$22,0))*(1+$B$4)^30))*IF(AF164+IF($B$1+30&lt;=$B164,12*$B$9,-12*MAX(0,$B$8-IF($B$1+30&gt;=$B$23,$B$22,0))*(1+$B$4)^30)&gt;0,1+$B$3,1))</f>
        <v/>
      </c>
      <c r="AH164">
        <f>IF($B$1+31&gt;90,AG164,(AG164+IF($B$1+31&lt;=$B164,12*$B$9,-12*MAX(0,$B$8-IF($B$1+31&gt;=$B$23,$B$22,0))*(1+$B$4)^31))*IF(AG164+IF($B$1+31&lt;=$B164,12*$B$9,-12*MAX(0,$B$8-IF($B$1+31&gt;=$B$23,$B$22,0))*(1+$B$4)^31)&gt;0,1+$B$3,1))</f>
        <v/>
      </c>
      <c r="AI164">
        <f>IF($B$1+32&gt;90,AH164,(AH164+IF($B$1+32&lt;=$B164,12*$B$9,-12*MAX(0,$B$8-IF($B$1+32&gt;=$B$23,$B$22,0))*(1+$B$4)^32))*IF(AH164+IF($B$1+32&lt;=$B164,12*$B$9,-12*MAX(0,$B$8-IF($B$1+32&gt;=$B$23,$B$22,0))*(1+$B$4)^32)&gt;0,1+$B$3,1))</f>
        <v/>
      </c>
      <c r="AJ164">
        <f>IF($B$1+33&gt;90,AI164,(AI164+IF($B$1+33&lt;=$B164,12*$B$9,-12*MAX(0,$B$8-IF($B$1+33&gt;=$B$23,$B$22,0))*(1+$B$4)^33))*IF(AI164+IF($B$1+33&lt;=$B164,12*$B$9,-12*MAX(0,$B$8-IF($B$1+33&gt;=$B$23,$B$22,0))*(1+$B$4)^33)&gt;0,1+$B$3,1))</f>
        <v/>
      </c>
      <c r="AK164">
        <f>IF($B$1+34&gt;90,AJ164,(AJ164+IF($B$1+34&lt;=$B164,12*$B$9,-12*MAX(0,$B$8-IF($B$1+34&gt;=$B$23,$B$22,0))*(1+$B$4)^34))*IF(AJ164+IF($B$1+34&lt;=$B164,12*$B$9,-12*MAX(0,$B$8-IF($B$1+34&gt;=$B$23,$B$22,0))*(1+$B$4)^34)&gt;0,1+$B$3,1))</f>
        <v/>
      </c>
      <c r="AL164">
        <f>IF($B$1+35&gt;90,AK164,(AK164+IF($B$1+35&lt;=$B164,12*$B$9,-12*MAX(0,$B$8-IF($B$1+35&gt;=$B$23,$B$22,0))*(1+$B$4)^35))*IF(AK164+IF($B$1+35&lt;=$B164,12*$B$9,-12*MAX(0,$B$8-IF($B$1+35&gt;=$B$23,$B$22,0))*(1+$B$4)^35)&gt;0,1+$B$3,1))</f>
        <v/>
      </c>
      <c r="AM164">
        <f>IF($B$1+36&gt;90,AL164,(AL164+IF($B$1+36&lt;=$B164,12*$B$9,-12*MAX(0,$B$8-IF($B$1+36&gt;=$B$23,$B$22,0))*(1+$B$4)^36))*IF(AL164+IF($B$1+36&lt;=$B164,12*$B$9,-12*MAX(0,$B$8-IF($B$1+36&gt;=$B$23,$B$22,0))*(1+$B$4)^36)&gt;0,1+$B$3,1))</f>
        <v/>
      </c>
      <c r="AN164">
        <f>IF($B$1+37&gt;90,AM164,(AM164+IF($B$1+37&lt;=$B164,12*$B$9,-12*MAX(0,$B$8-IF($B$1+37&gt;=$B$23,$B$22,0))*(1+$B$4)^37))*IF(AM164+IF($B$1+37&lt;=$B164,12*$B$9,-12*MAX(0,$B$8-IF($B$1+37&gt;=$B$23,$B$22,0))*(1+$B$4)^37)&gt;0,1+$B$3,1))</f>
        <v/>
      </c>
      <c r="AO164">
        <f>IF($B$1+38&gt;90,AN164,(AN164+IF($B$1+38&lt;=$B164,12*$B$9,-12*MAX(0,$B$8-IF($B$1+38&gt;=$B$23,$B$22,0))*(1+$B$4)^38))*IF(AN164+IF($B$1+38&lt;=$B164,12*$B$9,-12*MAX(0,$B$8-IF($B$1+38&gt;=$B$23,$B$22,0))*(1+$B$4)^38)&gt;0,1+$B$3,1))</f>
        <v/>
      </c>
      <c r="AP164">
        <f>IF($B$1+39&gt;90,AO164,(AO164+IF($B$1+39&lt;=$B164,12*$B$9,-12*MAX(0,$B$8-IF($B$1+39&gt;=$B$23,$B$22,0))*(1+$B$4)^39))*IF(AO164+IF($B$1+39&lt;=$B164,12*$B$9,-12*MAX(0,$B$8-IF($B$1+39&gt;=$B$23,$B$22,0))*(1+$B$4)^39)&gt;0,1+$B$3,1))</f>
        <v/>
      </c>
      <c r="AQ164">
        <f>IF($B$1+40&gt;90,AP164,(AP164+IF($B$1+40&lt;=$B164,12*$B$9,-12*MAX(0,$B$8-IF($B$1+40&gt;=$B$23,$B$22,0))*(1+$B$4)^40))*IF(AP164+IF($B$1+40&lt;=$B164,12*$B$9,-12*MAX(0,$B$8-IF($B$1+40&gt;=$B$23,$B$22,0))*(1+$B$4)^40)&gt;0,1+$B$3,1))</f>
        <v/>
      </c>
      <c r="AR164">
        <f>IF($B$1+41&gt;90,AQ164,(AQ164+IF($B$1+41&lt;=$B164,12*$B$9,-12*MAX(0,$B$8-IF($B$1+41&gt;=$B$23,$B$22,0))*(1+$B$4)^41))*IF(AQ164+IF($B$1+41&lt;=$B164,12*$B$9,-12*MAX(0,$B$8-IF($B$1+41&gt;=$B$23,$B$22,0))*(1+$B$4)^41)&gt;0,1+$B$3,1))</f>
        <v/>
      </c>
      <c r="AS164">
        <f>IF($B$1+42&gt;90,AR164,(AR164+IF($B$1+42&lt;=$B164,12*$B$9,-12*MAX(0,$B$8-IF($B$1+42&gt;=$B$23,$B$22,0))*(1+$B$4)^42))*IF(AR164+IF($B$1+42&lt;=$B164,12*$B$9,-12*MAX(0,$B$8-IF($B$1+42&gt;=$B$23,$B$22,0))*(1+$B$4)^42)&gt;0,1+$B$3,1))</f>
        <v/>
      </c>
      <c r="AT164">
        <f>IF($B$1+43&gt;90,AS164,(AS164+IF($B$1+43&lt;=$B164,12*$B$9,-12*MAX(0,$B$8-IF($B$1+43&gt;=$B$23,$B$22,0))*(1+$B$4)^43))*IF(AS164+IF($B$1+43&lt;=$B164,12*$B$9,-12*MAX(0,$B$8-IF($B$1+43&gt;=$B$23,$B$22,0))*(1+$B$4)^43)&gt;0,1+$B$3,1))</f>
        <v/>
      </c>
      <c r="AU164">
        <f>IF($B$1+44&gt;90,AT164,(AT164+IF($B$1+44&lt;=$B164,12*$B$9,-12*MAX(0,$B$8-IF($B$1+44&gt;=$B$23,$B$22,0))*(1+$B$4)^44))*IF(AT164+IF($B$1+44&lt;=$B164,12*$B$9,-12*MAX(0,$B$8-IF($B$1+44&gt;=$B$23,$B$22,0))*(1+$B$4)^44)&gt;0,1+$B$3,1))</f>
        <v/>
      </c>
      <c r="AV164">
        <f>IF($B$1+45&gt;90,AU164,(AU164+IF($B$1+45&lt;=$B164,12*$B$9,-12*MAX(0,$B$8-IF($B$1+45&gt;=$B$23,$B$22,0))*(1+$B$4)^45))*IF(AU164+IF($B$1+45&lt;=$B164,12*$B$9,-12*MAX(0,$B$8-IF($B$1+45&gt;=$B$23,$B$22,0))*(1+$B$4)^45)&gt;0,1+$B$3,1))</f>
        <v/>
      </c>
      <c r="AW164">
        <f>IF($B$1+46&gt;90,AV164,(AV164+IF($B$1+46&lt;=$B164,12*$B$9,-12*MAX(0,$B$8-IF($B$1+46&gt;=$B$23,$B$22,0))*(1+$B$4)^46))*IF(AV164+IF($B$1+46&lt;=$B164,12*$B$9,-12*MAX(0,$B$8-IF($B$1+46&gt;=$B$23,$B$22,0))*(1+$B$4)^46)&gt;0,1+$B$3,1))</f>
        <v/>
      </c>
      <c r="AX164">
        <f>IF($B$1+47&gt;90,AW164,(AW164+IF($B$1+47&lt;=$B164,12*$B$9,-12*MAX(0,$B$8-IF($B$1+47&gt;=$B$23,$B$22,0))*(1+$B$4)^47))*IF(AW164+IF($B$1+47&lt;=$B164,12*$B$9,-12*MAX(0,$B$8-IF($B$1+47&gt;=$B$23,$B$22,0))*(1+$B$4)^47)&gt;0,1+$B$3,1))</f>
        <v/>
      </c>
      <c r="AY164">
        <f>IF($B$1+48&gt;90,AX164,(AX164+IF($B$1+48&lt;=$B164,12*$B$9,-12*MAX(0,$B$8-IF($B$1+48&gt;=$B$23,$B$22,0))*(1+$B$4)^48))*IF(AX164+IF($B$1+48&lt;=$B164,12*$B$9,-12*MAX(0,$B$8-IF($B$1+48&gt;=$B$23,$B$22,0))*(1+$B$4)^48)&gt;0,1+$B$3,1))</f>
        <v/>
      </c>
      <c r="AZ164">
        <f>IF($B$1+49&gt;90,AY164,(AY164+IF($B$1+49&lt;=$B164,12*$B$9,-12*MAX(0,$B$8-IF($B$1+49&gt;=$B$23,$B$22,0))*(1+$B$4)^49))*IF(AY164+IF($B$1+49&lt;=$B164,12*$B$9,-12*MAX(0,$B$8-IF($B$1+49&gt;=$B$23,$B$22,0))*(1+$B$4)^49)&gt;0,1+$B$3,1))</f>
        <v/>
      </c>
      <c r="BA164">
        <f>IF($B$1+50&gt;90,AZ164,(AZ164+IF($B$1+50&lt;=$B164,12*$B$9,-12*MAX(0,$B$8-IF($B$1+50&gt;=$B$23,$B$22,0))*(1+$B$4)^50))*IF(AZ164+IF($B$1+50&lt;=$B164,12*$B$9,-12*MAX(0,$B$8-IF($B$1+50&gt;=$B$23,$B$22,0))*(1+$B$4)^50)&gt;0,1+$B$3,1))</f>
        <v/>
      </c>
      <c r="BB164">
        <f>IF($B$1+51&gt;90,BA164,(BA164+IF($B$1+51&lt;=$B164,12*$B$9,-12*MAX(0,$B$8-IF($B$1+51&gt;=$B$23,$B$22,0))*(1+$B$4)^51))*IF(BA164+IF($B$1+51&lt;=$B164,12*$B$9,-12*MAX(0,$B$8-IF($B$1+51&gt;=$B$23,$B$22,0))*(1+$B$4)^51)&gt;0,1+$B$3,1))</f>
        <v/>
      </c>
      <c r="BC164">
        <f>IF($B$1+52&gt;90,BB164,(BB164+IF($B$1+52&lt;=$B164,12*$B$9,-12*MAX(0,$B$8-IF($B$1+52&gt;=$B$23,$B$22,0))*(1+$B$4)^52))*IF(BB164+IF($B$1+52&lt;=$B164,12*$B$9,-12*MAX(0,$B$8-IF($B$1+52&gt;=$B$23,$B$22,0))*(1+$B$4)^52)&gt;0,1+$B$3,1))</f>
        <v/>
      </c>
      <c r="BD164">
        <f>IF($B$1+53&gt;90,BC164,(BC164+IF($B$1+53&lt;=$B164,12*$B$9,-12*MAX(0,$B$8-IF($B$1+53&gt;=$B$23,$B$22,0))*(1+$B$4)^53))*IF(BC164+IF($B$1+53&lt;=$B164,12*$B$9,-12*MAX(0,$B$8-IF($B$1+53&gt;=$B$23,$B$22,0))*(1+$B$4)^53)&gt;0,1+$B$3,1))</f>
        <v/>
      </c>
      <c r="BE164">
        <f>IF($B$1+54&gt;90,BD164,(BD164+IF($B$1+54&lt;=$B164,12*$B$9,-12*MAX(0,$B$8-IF($B$1+54&gt;=$B$23,$B$22,0))*(1+$B$4)^54))*IF(BD164+IF($B$1+54&lt;=$B164,12*$B$9,-12*MAX(0,$B$8-IF($B$1+54&gt;=$B$23,$B$22,0))*(1+$B$4)^54)&gt;0,1+$B$3,1))</f>
        <v/>
      </c>
      <c r="BF164">
        <f>IF($B$1+55&gt;90,BE164,(BE164+IF($B$1+55&lt;=$B164,12*$B$9,-12*MAX(0,$B$8-IF($B$1+55&gt;=$B$23,$B$22,0))*(1+$B$4)^55))*IF(BE164+IF($B$1+55&lt;=$B164,12*$B$9,-12*MAX(0,$B$8-IF($B$1+55&gt;=$B$23,$B$22,0))*(1+$B$4)^55)&gt;0,1+$B$3,1))</f>
        <v/>
      </c>
      <c r="BG164">
        <f>IF($B$1+56&gt;90,BF164,(BF164+IF($B$1+56&lt;=$B164,12*$B$9,-12*MAX(0,$B$8-IF($B$1+56&gt;=$B$23,$B$22,0))*(1+$B$4)^56))*IF(BF164+IF($B$1+56&lt;=$B164,12*$B$9,-12*MAX(0,$B$8-IF($B$1+56&gt;=$B$23,$B$22,0))*(1+$B$4)^56)&gt;0,1+$B$3,1))</f>
        <v/>
      </c>
      <c r="BH164">
        <f>IF($B$1+57&gt;90,BG164,(BG164+IF($B$1+57&lt;=$B164,12*$B$9,-12*MAX(0,$B$8-IF($B$1+57&gt;=$B$23,$B$22,0))*(1+$B$4)^57))*IF(BG164+IF($B$1+57&lt;=$B164,12*$B$9,-12*MAX(0,$B$8-IF($B$1+57&gt;=$B$23,$B$22,0))*(1+$B$4)^57)&gt;0,1+$B$3,1))</f>
        <v/>
      </c>
      <c r="BI164">
        <f>IF($B$1+58&gt;90,BH164,(BH164+IF($B$1+58&lt;=$B164,12*$B$9,-12*MAX(0,$B$8-IF($B$1+58&gt;=$B$23,$B$22,0))*(1+$B$4)^58))*IF(BH164+IF($B$1+58&lt;=$B164,12*$B$9,-12*MAX(0,$B$8-IF($B$1+58&gt;=$B$23,$B$22,0))*(1+$B$4)^58)&gt;0,1+$B$3,1))</f>
        <v/>
      </c>
      <c r="BJ164">
        <f>IF($B$1+59&gt;90,BI164,(BI164+IF($B$1+59&lt;=$B164,12*$B$9,-12*MAX(0,$B$8-IF($B$1+59&gt;=$B$23,$B$22,0))*(1+$B$4)^59))*IF(BI164+IF($B$1+59&lt;=$B164,12*$B$9,-12*MAX(0,$B$8-IF($B$1+59&gt;=$B$23,$B$22,0))*(1+$B$4)^59)&gt;0,1+$B$3,1))</f>
        <v/>
      </c>
      <c r="BK164">
        <f>IF($B$1+60&gt;90,BJ164,(BJ164+IF($B$1+60&lt;=$B164,12*$B$9,-12*MAX(0,$B$8-IF($B$1+60&gt;=$B$23,$B$22,0))*(1+$B$4)^60))*IF(BJ164+IF($B$1+60&lt;=$B164,12*$B$9,-12*MAX(0,$B$8-IF($B$1+60&gt;=$B$23,$B$22,0))*(1+$B$4)^60)&gt;0,1+$B$3,1))</f>
        <v/>
      </c>
      <c r="BL164">
        <f>IF($B$1+61&gt;90,BK164,(BK164+IF($B$1+61&lt;=$B164,12*$B$9,-12*MAX(0,$B$8-IF($B$1+61&gt;=$B$23,$B$22,0))*(1+$B$4)^61))*IF(BK164+IF($B$1+61&lt;=$B164,12*$B$9,-12*MAX(0,$B$8-IF($B$1+61&gt;=$B$23,$B$22,0))*(1+$B$4)^61)&gt;0,1+$B$3,1))</f>
        <v/>
      </c>
      <c r="BM164">
        <f>IF($B$1+62&gt;90,BL164,(BL164+IF($B$1+62&lt;=$B164,12*$B$9,-12*MAX(0,$B$8-IF($B$1+62&gt;=$B$23,$B$22,0))*(1+$B$4)^62))*IF(BL164+IF($B$1+62&lt;=$B164,12*$B$9,-12*MAX(0,$B$8-IF($B$1+62&gt;=$B$23,$B$22,0))*(1+$B$4)^62)&gt;0,1+$B$3,1))</f>
        <v/>
      </c>
      <c r="BN164">
        <f>IF($B$1+63&gt;90,BM164,(BM164+IF($B$1+63&lt;=$B164,12*$B$9,-12*MAX(0,$B$8-IF($B$1+63&gt;=$B$23,$B$22,0))*(1+$B$4)^63))*IF(BM164+IF($B$1+63&lt;=$B164,12*$B$9,-12*MAX(0,$B$8-IF($B$1+63&gt;=$B$23,$B$22,0))*(1+$B$4)^63)&gt;0,1+$B$3,1))</f>
        <v/>
      </c>
      <c r="BO164">
        <f>IF($B$1+64&gt;90,BN164,(BN164+IF($B$1+64&lt;=$B164,12*$B$9,-12*MAX(0,$B$8-IF($B$1+64&gt;=$B$23,$B$22,0))*(1+$B$4)^64))*IF(BN164+IF($B$1+64&lt;=$B164,12*$B$9,-12*MAX(0,$B$8-IF($B$1+64&gt;=$B$23,$B$22,0))*(1+$B$4)^64)&gt;0,1+$B$3,1))</f>
        <v/>
      </c>
      <c r="BP164">
        <f>IF($B$1+65&gt;90,BO164,(BO164+IF($B$1+65&lt;=$B164,12*$B$9,-12*MAX(0,$B$8-IF($B$1+65&gt;=$B$23,$B$22,0))*(1+$B$4)^65))*IF(BO164+IF($B$1+65&lt;=$B164,12*$B$9,-12*MAX(0,$B$8-IF($B$1+65&gt;=$B$23,$B$22,0))*(1+$B$4)^65)&gt;0,1+$B$3,1))</f>
        <v/>
      </c>
      <c r="BQ164">
        <f>IF($B$1+66&gt;90,BP164,(BP164+IF($B$1+66&lt;=$B164,12*$B$9,-12*MAX(0,$B$8-IF($B$1+66&gt;=$B$23,$B$22,0))*(1+$B$4)^66))*IF(BP164+IF($B$1+66&lt;=$B164,12*$B$9,-12*MAX(0,$B$8-IF($B$1+66&gt;=$B$23,$B$22,0))*(1+$B$4)^66)&gt;0,1+$B$3,1))</f>
        <v/>
      </c>
      <c r="BR164">
        <f>IF($B$1+67&gt;90,BQ164,(BQ164+IF($B$1+67&lt;=$B164,12*$B$9,-12*MAX(0,$B$8-IF($B$1+67&gt;=$B$23,$B$22,0))*(1+$B$4)^67))*IF(BQ164+IF($B$1+67&lt;=$B164,12*$B$9,-12*MAX(0,$B$8-IF($B$1+67&gt;=$B$23,$B$22,0))*(1+$B$4)^67)&gt;0,1+$B$3,1))</f>
        <v/>
      </c>
      <c r="BS164">
        <f>IF($B$1+68&gt;90,BR164,(BR164+IF($B$1+68&lt;=$B164,12*$B$9,-12*MAX(0,$B$8-IF($B$1+68&gt;=$B$23,$B$22,0))*(1+$B$4)^68))*IF(BR164+IF($B$1+68&lt;=$B164,12*$B$9,-12*MAX(0,$B$8-IF($B$1+68&gt;=$B$23,$B$22,0))*(1+$B$4)^68)&gt;0,1+$B$3,1))</f>
        <v/>
      </c>
      <c r="BT164">
        <f>IF($B$1+69&gt;90,BS164,(BS164+IF($B$1+69&lt;=$B164,12*$B$9,-12*MAX(0,$B$8-IF($B$1+69&gt;=$B$23,$B$22,0))*(1+$B$4)^69))*IF(BS164+IF($B$1+69&lt;=$B164,12*$B$9,-12*MAX(0,$B$8-IF($B$1+69&gt;=$B$23,$B$22,0))*(1+$B$4)^69)&gt;0,1+$B$3,1))</f>
        <v/>
      </c>
      <c r="BU164">
        <f>IF($B$1+70&gt;90,BT164,(BT164+IF($B$1+70&lt;=$B164,12*$B$9,-12*MAX(0,$B$8-IF($B$1+70&gt;=$B$23,$B$22,0))*(1+$B$4)^70))*IF(BT164+IF($B$1+70&lt;=$B164,12*$B$9,-12*MAX(0,$B$8-IF($B$1+70&gt;=$B$23,$B$22,0))*(1+$B$4)^70)&gt;0,1+$B$3,1))</f>
        <v/>
      </c>
      <c r="BV164">
        <f>BU164</f>
        <v/>
      </c>
      <c r="BW164">
        <f>IF(AND($B164&lt;=70,BV164&gt;0),$B164,999)</f>
        <v/>
      </c>
      <c r="CH164">
        <f>IF(ISTEXT('월 가계부'!A164),SUBSTITUTE(SUBSTITUTE(SUBSTITUTE(SUBSTITUTE(SUBSTITUTE(SUBSTITUTE(SUBSTITUTE(SUBSTITUTE(SUBSTITUTE(TRIM('월 가계부'!A164),"년","-"),"월","-"),"일",""),".","-"),"/","-")," ","-"),"--","-"),"--","-"),"--","-")&amp;"-","")</f>
        <v/>
      </c>
      <c r="CI164">
        <f>IFERROR(IF('월 가계부'!A164="","",IF(ISNUMBER('월 가계부'!A164),IF(AND('월 가계부'!A164&gt;=19000101,'월 가계부'!A164&lt;=21001231),IF(AND(MOD(INT('월 가계부'!A164/100),100)&gt;=1,MOD(INT('월 가계부'!A164/100),100)&lt;=12,MOD(INT('월 가계부'!A164),100)&gt;=1,MOD(INT('월 가계부'!A164),100)&lt;=31),IF(MONTH(DATE(INT('월 가계부'!A164/10000),MOD(INT('월 가계부'!A164/100),100),MOD(INT('월 가계부'!A164),100)))=MOD(INT('월 가계부'!A164/100),100),DATE(INT('월 가계부'!A164/10000),MOD(INT('월 가계부'!A164/100),100),MOD(INT('월 가계부'!A164),100)),""),""),IF(AND('월 가계부'!A164&gt;=36526,'월 가계부'!A164&lt;73051),INT('월 가계부'!A164),"")),IF(OR(CM164="",CN164="",CO164=""),"",IF(AND(CM164&gt;=2000,CM164&lt;=2099,CN164&gt;=1,CN164&lt;=12,CO164&gt;=1,CO164&lt;=31),IF(MONTH(DATE(CM164,CN164,CO164))=CN164,DATE(CM164,CN164,CO164),""),"")))),"")</f>
        <v/>
      </c>
      <c r="CJ164">
        <f>IFERROR(IF('월 가계부'!C164="","",IF(ISNUMBER('월 가계부'!C164),'월 가계부'!C164,VALUE(SUBSTITUTE(SUBSTITUTE(SUBSTITUTE(SUBSTITUTE(TRIM('월 가계부'!C164),",",""),"원","")," ",""),"−","-")))),"")</f>
        <v/>
      </c>
      <c r="CK164">
        <f>IF(ISNUMBER(CI164),IF(CI164&lt;$B$13,CI164,""),"")</f>
        <v/>
      </c>
      <c r="CM164">
        <f>IF(CH164="","",IFERROR(IF(IF(AND(LEN(CH164)=9,ISERROR(FIND("-",LEFT(CH164,8))),ISNUMBER(-LEFT(CH164,8))),VALUE(LEFT(CH164,4)),VALUE(LEFT(CH164,FIND("-",CH164)-1)))&lt;100,IF(AND(LEN(CH164)=9,ISERROR(FIND("-",LEFT(CH164,8))),ISNUMBER(-LEFT(CH164,8))),VALUE(LEFT(CH164,4)),VALUE(LEFT(CH164,FIND("-",CH164)-1)))+2000,IF(AND(LEN(CH164)=9,ISERROR(FIND("-",LEFT(CH164,8))),ISNUMBER(-LEFT(CH164,8))),VALUE(LEFT(CH164,4)),VALUE(LEFT(CH164,FIND("-",CH164)-1)))),""))</f>
        <v/>
      </c>
      <c r="CN164">
        <f>IF(CH164="","",IFERROR(IF(AND(LEN(CH164)=9,ISERROR(FIND("-",LEFT(CH164,8))),ISNUMBER(-LEFT(CH164,8))),VALUE(MID(CH164,5,2)),VALUE(MID(CH164,FIND("-",CH164)+1,FIND("-",CH164,FIND("-",CH164)+1)-FIND("-",CH164)-1))),""))</f>
        <v/>
      </c>
      <c r="CO164">
        <f>IF(CH164="","",IFERROR(IF(AND(LEN(CH164)=9,ISERROR(FIND("-",LEFT(CH164,8))),ISNUMBER(-LEFT(CH164,8))),VALUE(MID(CH164,7,2)),VALUE(MID(CH164,FIND("-",CH164,FIND("-",CH164)+1)+1,FIND("-",CH164,FIND("-",CH164,FIND("-",CH164)+1)+1)-FIND("-",CH164,FIND("-",CH164)+1)-1))),""))</f>
        <v/>
      </c>
    </row>
    <row r="165">
      <c r="A165" t="n">
        <v>13</v>
      </c>
      <c r="B165">
        <f>$B$1+13</f>
        <v/>
      </c>
      <c r="C165">
        <f>$B$2</f>
        <v/>
      </c>
      <c r="D165">
        <f>IF($B$1+1&gt;90,C165,(C165+IF($B$1+1&lt;=$B165,12*$B$9,-12*MAX(0,$B$8-IF($B$1+1&gt;=$B$23,$B$22,0))*(1+$B$4)^1))*IF(C165+IF($B$1+1&lt;=$B165,12*$B$9,-12*MAX(0,$B$8-IF($B$1+1&gt;=$B$23,$B$22,0))*(1+$B$4)^1)&gt;0,1+$B$3,1))</f>
        <v/>
      </c>
      <c r="E165">
        <f>IF($B$1+2&gt;90,D165,(D165+IF($B$1+2&lt;=$B165,12*$B$9,-12*MAX(0,$B$8-IF($B$1+2&gt;=$B$23,$B$22,0))*(1+$B$4)^2))*IF(D165+IF($B$1+2&lt;=$B165,12*$B$9,-12*MAX(0,$B$8-IF($B$1+2&gt;=$B$23,$B$22,0))*(1+$B$4)^2)&gt;0,1+$B$3,1))</f>
        <v/>
      </c>
      <c r="F165">
        <f>IF($B$1+3&gt;90,E165,(E165+IF($B$1+3&lt;=$B165,12*$B$9,-12*MAX(0,$B$8-IF($B$1+3&gt;=$B$23,$B$22,0))*(1+$B$4)^3))*IF(E165+IF($B$1+3&lt;=$B165,12*$B$9,-12*MAX(0,$B$8-IF($B$1+3&gt;=$B$23,$B$22,0))*(1+$B$4)^3)&gt;0,1+$B$3,1))</f>
        <v/>
      </c>
      <c r="G165">
        <f>IF($B$1+4&gt;90,F165,(F165+IF($B$1+4&lt;=$B165,12*$B$9,-12*MAX(0,$B$8-IF($B$1+4&gt;=$B$23,$B$22,0))*(1+$B$4)^4))*IF(F165+IF($B$1+4&lt;=$B165,12*$B$9,-12*MAX(0,$B$8-IF($B$1+4&gt;=$B$23,$B$22,0))*(1+$B$4)^4)&gt;0,1+$B$3,1))</f>
        <v/>
      </c>
      <c r="H165">
        <f>IF($B$1+5&gt;90,G165,(G165+IF($B$1+5&lt;=$B165,12*$B$9,-12*MAX(0,$B$8-IF($B$1+5&gt;=$B$23,$B$22,0))*(1+$B$4)^5))*IF(G165+IF($B$1+5&lt;=$B165,12*$B$9,-12*MAX(0,$B$8-IF($B$1+5&gt;=$B$23,$B$22,0))*(1+$B$4)^5)&gt;0,1+$B$3,1))</f>
        <v/>
      </c>
      <c r="I165">
        <f>IF($B$1+6&gt;90,H165,(H165+IF($B$1+6&lt;=$B165,12*$B$9,-12*MAX(0,$B$8-IF($B$1+6&gt;=$B$23,$B$22,0))*(1+$B$4)^6))*IF(H165+IF($B$1+6&lt;=$B165,12*$B$9,-12*MAX(0,$B$8-IF($B$1+6&gt;=$B$23,$B$22,0))*(1+$B$4)^6)&gt;0,1+$B$3,1))</f>
        <v/>
      </c>
      <c r="J165">
        <f>IF($B$1+7&gt;90,I165,(I165+IF($B$1+7&lt;=$B165,12*$B$9,-12*MAX(0,$B$8-IF($B$1+7&gt;=$B$23,$B$22,0))*(1+$B$4)^7))*IF(I165+IF($B$1+7&lt;=$B165,12*$B$9,-12*MAX(0,$B$8-IF($B$1+7&gt;=$B$23,$B$22,0))*(1+$B$4)^7)&gt;0,1+$B$3,1))</f>
        <v/>
      </c>
      <c r="K165">
        <f>IF($B$1+8&gt;90,J165,(J165+IF($B$1+8&lt;=$B165,12*$B$9,-12*MAX(0,$B$8-IF($B$1+8&gt;=$B$23,$B$22,0))*(1+$B$4)^8))*IF(J165+IF($B$1+8&lt;=$B165,12*$B$9,-12*MAX(0,$B$8-IF($B$1+8&gt;=$B$23,$B$22,0))*(1+$B$4)^8)&gt;0,1+$B$3,1))</f>
        <v/>
      </c>
      <c r="L165">
        <f>IF($B$1+9&gt;90,K165,(K165+IF($B$1+9&lt;=$B165,12*$B$9,-12*MAX(0,$B$8-IF($B$1+9&gt;=$B$23,$B$22,0))*(1+$B$4)^9))*IF(K165+IF($B$1+9&lt;=$B165,12*$B$9,-12*MAX(0,$B$8-IF($B$1+9&gt;=$B$23,$B$22,0))*(1+$B$4)^9)&gt;0,1+$B$3,1))</f>
        <v/>
      </c>
      <c r="M165">
        <f>IF($B$1+10&gt;90,L165,(L165+IF($B$1+10&lt;=$B165,12*$B$9,-12*MAX(0,$B$8-IF($B$1+10&gt;=$B$23,$B$22,0))*(1+$B$4)^10))*IF(L165+IF($B$1+10&lt;=$B165,12*$B$9,-12*MAX(0,$B$8-IF($B$1+10&gt;=$B$23,$B$22,0))*(1+$B$4)^10)&gt;0,1+$B$3,1))</f>
        <v/>
      </c>
      <c r="N165">
        <f>IF($B$1+11&gt;90,M165,(M165+IF($B$1+11&lt;=$B165,12*$B$9,-12*MAX(0,$B$8-IF($B$1+11&gt;=$B$23,$B$22,0))*(1+$B$4)^11))*IF(M165+IF($B$1+11&lt;=$B165,12*$B$9,-12*MAX(0,$B$8-IF($B$1+11&gt;=$B$23,$B$22,0))*(1+$B$4)^11)&gt;0,1+$B$3,1))</f>
        <v/>
      </c>
      <c r="O165">
        <f>IF($B$1+12&gt;90,N165,(N165+IF($B$1+12&lt;=$B165,12*$B$9,-12*MAX(0,$B$8-IF($B$1+12&gt;=$B$23,$B$22,0))*(1+$B$4)^12))*IF(N165+IF($B$1+12&lt;=$B165,12*$B$9,-12*MAX(0,$B$8-IF($B$1+12&gt;=$B$23,$B$22,0))*(1+$B$4)^12)&gt;0,1+$B$3,1))</f>
        <v/>
      </c>
      <c r="P165">
        <f>IF($B$1+13&gt;90,O165,(O165+IF($B$1+13&lt;=$B165,12*$B$9,-12*MAX(0,$B$8-IF($B$1+13&gt;=$B$23,$B$22,0))*(1+$B$4)^13))*IF(O165+IF($B$1+13&lt;=$B165,12*$B$9,-12*MAX(0,$B$8-IF($B$1+13&gt;=$B$23,$B$22,0))*(1+$B$4)^13)&gt;0,1+$B$3,1))</f>
        <v/>
      </c>
      <c r="Q165">
        <f>IF($B$1+14&gt;90,P165,(P165+IF($B$1+14&lt;=$B165,12*$B$9,-12*MAX(0,$B$8-IF($B$1+14&gt;=$B$23,$B$22,0))*(1+$B$4)^14))*IF(P165+IF($B$1+14&lt;=$B165,12*$B$9,-12*MAX(0,$B$8-IF($B$1+14&gt;=$B$23,$B$22,0))*(1+$B$4)^14)&gt;0,1+$B$3,1))</f>
        <v/>
      </c>
      <c r="R165">
        <f>IF($B$1+15&gt;90,Q165,(Q165+IF($B$1+15&lt;=$B165,12*$B$9,-12*MAX(0,$B$8-IF($B$1+15&gt;=$B$23,$B$22,0))*(1+$B$4)^15))*IF(Q165+IF($B$1+15&lt;=$B165,12*$B$9,-12*MAX(0,$B$8-IF($B$1+15&gt;=$B$23,$B$22,0))*(1+$B$4)^15)&gt;0,1+$B$3,1))</f>
        <v/>
      </c>
      <c r="S165">
        <f>IF($B$1+16&gt;90,R165,(R165+IF($B$1+16&lt;=$B165,12*$B$9,-12*MAX(0,$B$8-IF($B$1+16&gt;=$B$23,$B$22,0))*(1+$B$4)^16))*IF(R165+IF($B$1+16&lt;=$B165,12*$B$9,-12*MAX(0,$B$8-IF($B$1+16&gt;=$B$23,$B$22,0))*(1+$B$4)^16)&gt;0,1+$B$3,1))</f>
        <v/>
      </c>
      <c r="T165">
        <f>IF($B$1+17&gt;90,S165,(S165+IF($B$1+17&lt;=$B165,12*$B$9,-12*MAX(0,$B$8-IF($B$1+17&gt;=$B$23,$B$22,0))*(1+$B$4)^17))*IF(S165+IF($B$1+17&lt;=$B165,12*$B$9,-12*MAX(0,$B$8-IF($B$1+17&gt;=$B$23,$B$22,0))*(1+$B$4)^17)&gt;0,1+$B$3,1))</f>
        <v/>
      </c>
      <c r="U165">
        <f>IF($B$1+18&gt;90,T165,(T165+IF($B$1+18&lt;=$B165,12*$B$9,-12*MAX(0,$B$8-IF($B$1+18&gt;=$B$23,$B$22,0))*(1+$B$4)^18))*IF(T165+IF($B$1+18&lt;=$B165,12*$B$9,-12*MAX(0,$B$8-IF($B$1+18&gt;=$B$23,$B$22,0))*(1+$B$4)^18)&gt;0,1+$B$3,1))</f>
        <v/>
      </c>
      <c r="V165">
        <f>IF($B$1+19&gt;90,U165,(U165+IF($B$1+19&lt;=$B165,12*$B$9,-12*MAX(0,$B$8-IF($B$1+19&gt;=$B$23,$B$22,0))*(1+$B$4)^19))*IF(U165+IF($B$1+19&lt;=$B165,12*$B$9,-12*MAX(0,$B$8-IF($B$1+19&gt;=$B$23,$B$22,0))*(1+$B$4)^19)&gt;0,1+$B$3,1))</f>
        <v/>
      </c>
      <c r="W165">
        <f>IF($B$1+20&gt;90,V165,(V165+IF($B$1+20&lt;=$B165,12*$B$9,-12*MAX(0,$B$8-IF($B$1+20&gt;=$B$23,$B$22,0))*(1+$B$4)^20))*IF(V165+IF($B$1+20&lt;=$B165,12*$B$9,-12*MAX(0,$B$8-IF($B$1+20&gt;=$B$23,$B$22,0))*(1+$B$4)^20)&gt;0,1+$B$3,1))</f>
        <v/>
      </c>
      <c r="X165">
        <f>IF($B$1+21&gt;90,W165,(W165+IF($B$1+21&lt;=$B165,12*$B$9,-12*MAX(0,$B$8-IF($B$1+21&gt;=$B$23,$B$22,0))*(1+$B$4)^21))*IF(W165+IF($B$1+21&lt;=$B165,12*$B$9,-12*MAX(0,$B$8-IF($B$1+21&gt;=$B$23,$B$22,0))*(1+$B$4)^21)&gt;0,1+$B$3,1))</f>
        <v/>
      </c>
      <c r="Y165">
        <f>IF($B$1+22&gt;90,X165,(X165+IF($B$1+22&lt;=$B165,12*$B$9,-12*MAX(0,$B$8-IF($B$1+22&gt;=$B$23,$B$22,0))*(1+$B$4)^22))*IF(X165+IF($B$1+22&lt;=$B165,12*$B$9,-12*MAX(0,$B$8-IF($B$1+22&gt;=$B$23,$B$22,0))*(1+$B$4)^22)&gt;0,1+$B$3,1))</f>
        <v/>
      </c>
      <c r="Z165">
        <f>IF($B$1+23&gt;90,Y165,(Y165+IF($B$1+23&lt;=$B165,12*$B$9,-12*MAX(0,$B$8-IF($B$1+23&gt;=$B$23,$B$22,0))*(1+$B$4)^23))*IF(Y165+IF($B$1+23&lt;=$B165,12*$B$9,-12*MAX(0,$B$8-IF($B$1+23&gt;=$B$23,$B$22,0))*(1+$B$4)^23)&gt;0,1+$B$3,1))</f>
        <v/>
      </c>
      <c r="AA165">
        <f>IF($B$1+24&gt;90,Z165,(Z165+IF($B$1+24&lt;=$B165,12*$B$9,-12*MAX(0,$B$8-IF($B$1+24&gt;=$B$23,$B$22,0))*(1+$B$4)^24))*IF(Z165+IF($B$1+24&lt;=$B165,12*$B$9,-12*MAX(0,$B$8-IF($B$1+24&gt;=$B$23,$B$22,0))*(1+$B$4)^24)&gt;0,1+$B$3,1))</f>
        <v/>
      </c>
      <c r="AB165">
        <f>IF($B$1+25&gt;90,AA165,(AA165+IF($B$1+25&lt;=$B165,12*$B$9,-12*MAX(0,$B$8-IF($B$1+25&gt;=$B$23,$B$22,0))*(1+$B$4)^25))*IF(AA165+IF($B$1+25&lt;=$B165,12*$B$9,-12*MAX(0,$B$8-IF($B$1+25&gt;=$B$23,$B$22,0))*(1+$B$4)^25)&gt;0,1+$B$3,1))</f>
        <v/>
      </c>
      <c r="AC165">
        <f>IF($B$1+26&gt;90,AB165,(AB165+IF($B$1+26&lt;=$B165,12*$B$9,-12*MAX(0,$B$8-IF($B$1+26&gt;=$B$23,$B$22,0))*(1+$B$4)^26))*IF(AB165+IF($B$1+26&lt;=$B165,12*$B$9,-12*MAX(0,$B$8-IF($B$1+26&gt;=$B$23,$B$22,0))*(1+$B$4)^26)&gt;0,1+$B$3,1))</f>
        <v/>
      </c>
      <c r="AD165">
        <f>IF($B$1+27&gt;90,AC165,(AC165+IF($B$1+27&lt;=$B165,12*$B$9,-12*MAX(0,$B$8-IF($B$1+27&gt;=$B$23,$B$22,0))*(1+$B$4)^27))*IF(AC165+IF($B$1+27&lt;=$B165,12*$B$9,-12*MAX(0,$B$8-IF($B$1+27&gt;=$B$23,$B$22,0))*(1+$B$4)^27)&gt;0,1+$B$3,1))</f>
        <v/>
      </c>
      <c r="AE165">
        <f>IF($B$1+28&gt;90,AD165,(AD165+IF($B$1+28&lt;=$B165,12*$B$9,-12*MAX(0,$B$8-IF($B$1+28&gt;=$B$23,$B$22,0))*(1+$B$4)^28))*IF(AD165+IF($B$1+28&lt;=$B165,12*$B$9,-12*MAX(0,$B$8-IF($B$1+28&gt;=$B$23,$B$22,0))*(1+$B$4)^28)&gt;0,1+$B$3,1))</f>
        <v/>
      </c>
      <c r="AF165">
        <f>IF($B$1+29&gt;90,AE165,(AE165+IF($B$1+29&lt;=$B165,12*$B$9,-12*MAX(0,$B$8-IF($B$1+29&gt;=$B$23,$B$22,0))*(1+$B$4)^29))*IF(AE165+IF($B$1+29&lt;=$B165,12*$B$9,-12*MAX(0,$B$8-IF($B$1+29&gt;=$B$23,$B$22,0))*(1+$B$4)^29)&gt;0,1+$B$3,1))</f>
        <v/>
      </c>
      <c r="AG165">
        <f>IF($B$1+30&gt;90,AF165,(AF165+IF($B$1+30&lt;=$B165,12*$B$9,-12*MAX(0,$B$8-IF($B$1+30&gt;=$B$23,$B$22,0))*(1+$B$4)^30))*IF(AF165+IF($B$1+30&lt;=$B165,12*$B$9,-12*MAX(0,$B$8-IF($B$1+30&gt;=$B$23,$B$22,0))*(1+$B$4)^30)&gt;0,1+$B$3,1))</f>
        <v/>
      </c>
      <c r="AH165">
        <f>IF($B$1+31&gt;90,AG165,(AG165+IF($B$1+31&lt;=$B165,12*$B$9,-12*MAX(0,$B$8-IF($B$1+31&gt;=$B$23,$B$22,0))*(1+$B$4)^31))*IF(AG165+IF($B$1+31&lt;=$B165,12*$B$9,-12*MAX(0,$B$8-IF($B$1+31&gt;=$B$23,$B$22,0))*(1+$B$4)^31)&gt;0,1+$B$3,1))</f>
        <v/>
      </c>
      <c r="AI165">
        <f>IF($B$1+32&gt;90,AH165,(AH165+IF($B$1+32&lt;=$B165,12*$B$9,-12*MAX(0,$B$8-IF($B$1+32&gt;=$B$23,$B$22,0))*(1+$B$4)^32))*IF(AH165+IF($B$1+32&lt;=$B165,12*$B$9,-12*MAX(0,$B$8-IF($B$1+32&gt;=$B$23,$B$22,0))*(1+$B$4)^32)&gt;0,1+$B$3,1))</f>
        <v/>
      </c>
      <c r="AJ165">
        <f>IF($B$1+33&gt;90,AI165,(AI165+IF($B$1+33&lt;=$B165,12*$B$9,-12*MAX(0,$B$8-IF($B$1+33&gt;=$B$23,$B$22,0))*(1+$B$4)^33))*IF(AI165+IF($B$1+33&lt;=$B165,12*$B$9,-12*MAX(0,$B$8-IF($B$1+33&gt;=$B$23,$B$22,0))*(1+$B$4)^33)&gt;0,1+$B$3,1))</f>
        <v/>
      </c>
      <c r="AK165">
        <f>IF($B$1+34&gt;90,AJ165,(AJ165+IF($B$1+34&lt;=$B165,12*$B$9,-12*MAX(0,$B$8-IF($B$1+34&gt;=$B$23,$B$22,0))*(1+$B$4)^34))*IF(AJ165+IF($B$1+34&lt;=$B165,12*$B$9,-12*MAX(0,$B$8-IF($B$1+34&gt;=$B$23,$B$22,0))*(1+$B$4)^34)&gt;0,1+$B$3,1))</f>
        <v/>
      </c>
      <c r="AL165">
        <f>IF($B$1+35&gt;90,AK165,(AK165+IF($B$1+35&lt;=$B165,12*$B$9,-12*MAX(0,$B$8-IF($B$1+35&gt;=$B$23,$B$22,0))*(1+$B$4)^35))*IF(AK165+IF($B$1+35&lt;=$B165,12*$B$9,-12*MAX(0,$B$8-IF($B$1+35&gt;=$B$23,$B$22,0))*(1+$B$4)^35)&gt;0,1+$B$3,1))</f>
        <v/>
      </c>
      <c r="AM165">
        <f>IF($B$1+36&gt;90,AL165,(AL165+IF($B$1+36&lt;=$B165,12*$B$9,-12*MAX(0,$B$8-IF($B$1+36&gt;=$B$23,$B$22,0))*(1+$B$4)^36))*IF(AL165+IF($B$1+36&lt;=$B165,12*$B$9,-12*MAX(0,$B$8-IF($B$1+36&gt;=$B$23,$B$22,0))*(1+$B$4)^36)&gt;0,1+$B$3,1))</f>
        <v/>
      </c>
      <c r="AN165">
        <f>IF($B$1+37&gt;90,AM165,(AM165+IF($B$1+37&lt;=$B165,12*$B$9,-12*MAX(0,$B$8-IF($B$1+37&gt;=$B$23,$B$22,0))*(1+$B$4)^37))*IF(AM165+IF($B$1+37&lt;=$B165,12*$B$9,-12*MAX(0,$B$8-IF($B$1+37&gt;=$B$23,$B$22,0))*(1+$B$4)^37)&gt;0,1+$B$3,1))</f>
        <v/>
      </c>
      <c r="AO165">
        <f>IF($B$1+38&gt;90,AN165,(AN165+IF($B$1+38&lt;=$B165,12*$B$9,-12*MAX(0,$B$8-IF($B$1+38&gt;=$B$23,$B$22,0))*(1+$B$4)^38))*IF(AN165+IF($B$1+38&lt;=$B165,12*$B$9,-12*MAX(0,$B$8-IF($B$1+38&gt;=$B$23,$B$22,0))*(1+$B$4)^38)&gt;0,1+$B$3,1))</f>
        <v/>
      </c>
      <c r="AP165">
        <f>IF($B$1+39&gt;90,AO165,(AO165+IF($B$1+39&lt;=$B165,12*$B$9,-12*MAX(0,$B$8-IF($B$1+39&gt;=$B$23,$B$22,0))*(1+$B$4)^39))*IF(AO165+IF($B$1+39&lt;=$B165,12*$B$9,-12*MAX(0,$B$8-IF($B$1+39&gt;=$B$23,$B$22,0))*(1+$B$4)^39)&gt;0,1+$B$3,1))</f>
        <v/>
      </c>
      <c r="AQ165">
        <f>IF($B$1+40&gt;90,AP165,(AP165+IF($B$1+40&lt;=$B165,12*$B$9,-12*MAX(0,$B$8-IF($B$1+40&gt;=$B$23,$B$22,0))*(1+$B$4)^40))*IF(AP165+IF($B$1+40&lt;=$B165,12*$B$9,-12*MAX(0,$B$8-IF($B$1+40&gt;=$B$23,$B$22,0))*(1+$B$4)^40)&gt;0,1+$B$3,1))</f>
        <v/>
      </c>
      <c r="AR165">
        <f>IF($B$1+41&gt;90,AQ165,(AQ165+IF($B$1+41&lt;=$B165,12*$B$9,-12*MAX(0,$B$8-IF($B$1+41&gt;=$B$23,$B$22,0))*(1+$B$4)^41))*IF(AQ165+IF($B$1+41&lt;=$B165,12*$B$9,-12*MAX(0,$B$8-IF($B$1+41&gt;=$B$23,$B$22,0))*(1+$B$4)^41)&gt;0,1+$B$3,1))</f>
        <v/>
      </c>
      <c r="AS165">
        <f>IF($B$1+42&gt;90,AR165,(AR165+IF($B$1+42&lt;=$B165,12*$B$9,-12*MAX(0,$B$8-IF($B$1+42&gt;=$B$23,$B$22,0))*(1+$B$4)^42))*IF(AR165+IF($B$1+42&lt;=$B165,12*$B$9,-12*MAX(0,$B$8-IF($B$1+42&gt;=$B$23,$B$22,0))*(1+$B$4)^42)&gt;0,1+$B$3,1))</f>
        <v/>
      </c>
      <c r="AT165">
        <f>IF($B$1+43&gt;90,AS165,(AS165+IF($B$1+43&lt;=$B165,12*$B$9,-12*MAX(0,$B$8-IF($B$1+43&gt;=$B$23,$B$22,0))*(1+$B$4)^43))*IF(AS165+IF($B$1+43&lt;=$B165,12*$B$9,-12*MAX(0,$B$8-IF($B$1+43&gt;=$B$23,$B$22,0))*(1+$B$4)^43)&gt;0,1+$B$3,1))</f>
        <v/>
      </c>
      <c r="AU165">
        <f>IF($B$1+44&gt;90,AT165,(AT165+IF($B$1+44&lt;=$B165,12*$B$9,-12*MAX(0,$B$8-IF($B$1+44&gt;=$B$23,$B$22,0))*(1+$B$4)^44))*IF(AT165+IF($B$1+44&lt;=$B165,12*$B$9,-12*MAX(0,$B$8-IF($B$1+44&gt;=$B$23,$B$22,0))*(1+$B$4)^44)&gt;0,1+$B$3,1))</f>
        <v/>
      </c>
      <c r="AV165">
        <f>IF($B$1+45&gt;90,AU165,(AU165+IF($B$1+45&lt;=$B165,12*$B$9,-12*MAX(0,$B$8-IF($B$1+45&gt;=$B$23,$B$22,0))*(1+$B$4)^45))*IF(AU165+IF($B$1+45&lt;=$B165,12*$B$9,-12*MAX(0,$B$8-IF($B$1+45&gt;=$B$23,$B$22,0))*(1+$B$4)^45)&gt;0,1+$B$3,1))</f>
        <v/>
      </c>
      <c r="AW165">
        <f>IF($B$1+46&gt;90,AV165,(AV165+IF($B$1+46&lt;=$B165,12*$B$9,-12*MAX(0,$B$8-IF($B$1+46&gt;=$B$23,$B$22,0))*(1+$B$4)^46))*IF(AV165+IF($B$1+46&lt;=$B165,12*$B$9,-12*MAX(0,$B$8-IF($B$1+46&gt;=$B$23,$B$22,0))*(1+$B$4)^46)&gt;0,1+$B$3,1))</f>
        <v/>
      </c>
      <c r="AX165">
        <f>IF($B$1+47&gt;90,AW165,(AW165+IF($B$1+47&lt;=$B165,12*$B$9,-12*MAX(0,$B$8-IF($B$1+47&gt;=$B$23,$B$22,0))*(1+$B$4)^47))*IF(AW165+IF($B$1+47&lt;=$B165,12*$B$9,-12*MAX(0,$B$8-IF($B$1+47&gt;=$B$23,$B$22,0))*(1+$B$4)^47)&gt;0,1+$B$3,1))</f>
        <v/>
      </c>
      <c r="AY165">
        <f>IF($B$1+48&gt;90,AX165,(AX165+IF($B$1+48&lt;=$B165,12*$B$9,-12*MAX(0,$B$8-IF($B$1+48&gt;=$B$23,$B$22,0))*(1+$B$4)^48))*IF(AX165+IF($B$1+48&lt;=$B165,12*$B$9,-12*MAX(0,$B$8-IF($B$1+48&gt;=$B$23,$B$22,0))*(1+$B$4)^48)&gt;0,1+$B$3,1))</f>
        <v/>
      </c>
      <c r="AZ165">
        <f>IF($B$1+49&gt;90,AY165,(AY165+IF($B$1+49&lt;=$B165,12*$B$9,-12*MAX(0,$B$8-IF($B$1+49&gt;=$B$23,$B$22,0))*(1+$B$4)^49))*IF(AY165+IF($B$1+49&lt;=$B165,12*$B$9,-12*MAX(0,$B$8-IF($B$1+49&gt;=$B$23,$B$22,0))*(1+$B$4)^49)&gt;0,1+$B$3,1))</f>
        <v/>
      </c>
      <c r="BA165">
        <f>IF($B$1+50&gt;90,AZ165,(AZ165+IF($B$1+50&lt;=$B165,12*$B$9,-12*MAX(0,$B$8-IF($B$1+50&gt;=$B$23,$B$22,0))*(1+$B$4)^50))*IF(AZ165+IF($B$1+50&lt;=$B165,12*$B$9,-12*MAX(0,$B$8-IF($B$1+50&gt;=$B$23,$B$22,0))*(1+$B$4)^50)&gt;0,1+$B$3,1))</f>
        <v/>
      </c>
      <c r="BB165">
        <f>IF($B$1+51&gt;90,BA165,(BA165+IF($B$1+51&lt;=$B165,12*$B$9,-12*MAX(0,$B$8-IF($B$1+51&gt;=$B$23,$B$22,0))*(1+$B$4)^51))*IF(BA165+IF($B$1+51&lt;=$B165,12*$B$9,-12*MAX(0,$B$8-IF($B$1+51&gt;=$B$23,$B$22,0))*(1+$B$4)^51)&gt;0,1+$B$3,1))</f>
        <v/>
      </c>
      <c r="BC165">
        <f>IF($B$1+52&gt;90,BB165,(BB165+IF($B$1+52&lt;=$B165,12*$B$9,-12*MAX(0,$B$8-IF($B$1+52&gt;=$B$23,$B$22,0))*(1+$B$4)^52))*IF(BB165+IF($B$1+52&lt;=$B165,12*$B$9,-12*MAX(0,$B$8-IF($B$1+52&gt;=$B$23,$B$22,0))*(1+$B$4)^52)&gt;0,1+$B$3,1))</f>
        <v/>
      </c>
      <c r="BD165">
        <f>IF($B$1+53&gt;90,BC165,(BC165+IF($B$1+53&lt;=$B165,12*$B$9,-12*MAX(0,$B$8-IF($B$1+53&gt;=$B$23,$B$22,0))*(1+$B$4)^53))*IF(BC165+IF($B$1+53&lt;=$B165,12*$B$9,-12*MAX(0,$B$8-IF($B$1+53&gt;=$B$23,$B$22,0))*(1+$B$4)^53)&gt;0,1+$B$3,1))</f>
        <v/>
      </c>
      <c r="BE165">
        <f>IF($B$1+54&gt;90,BD165,(BD165+IF($B$1+54&lt;=$B165,12*$B$9,-12*MAX(0,$B$8-IF($B$1+54&gt;=$B$23,$B$22,0))*(1+$B$4)^54))*IF(BD165+IF($B$1+54&lt;=$B165,12*$B$9,-12*MAX(0,$B$8-IF($B$1+54&gt;=$B$23,$B$22,0))*(1+$B$4)^54)&gt;0,1+$B$3,1))</f>
        <v/>
      </c>
      <c r="BF165">
        <f>IF($B$1+55&gt;90,BE165,(BE165+IF($B$1+55&lt;=$B165,12*$B$9,-12*MAX(0,$B$8-IF($B$1+55&gt;=$B$23,$B$22,0))*(1+$B$4)^55))*IF(BE165+IF($B$1+55&lt;=$B165,12*$B$9,-12*MAX(0,$B$8-IF($B$1+55&gt;=$B$23,$B$22,0))*(1+$B$4)^55)&gt;0,1+$B$3,1))</f>
        <v/>
      </c>
      <c r="BG165">
        <f>IF($B$1+56&gt;90,BF165,(BF165+IF($B$1+56&lt;=$B165,12*$B$9,-12*MAX(0,$B$8-IF($B$1+56&gt;=$B$23,$B$22,0))*(1+$B$4)^56))*IF(BF165+IF($B$1+56&lt;=$B165,12*$B$9,-12*MAX(0,$B$8-IF($B$1+56&gt;=$B$23,$B$22,0))*(1+$B$4)^56)&gt;0,1+$B$3,1))</f>
        <v/>
      </c>
      <c r="BH165">
        <f>IF($B$1+57&gt;90,BG165,(BG165+IF($B$1+57&lt;=$B165,12*$B$9,-12*MAX(0,$B$8-IF($B$1+57&gt;=$B$23,$B$22,0))*(1+$B$4)^57))*IF(BG165+IF($B$1+57&lt;=$B165,12*$B$9,-12*MAX(0,$B$8-IF($B$1+57&gt;=$B$23,$B$22,0))*(1+$B$4)^57)&gt;0,1+$B$3,1))</f>
        <v/>
      </c>
      <c r="BI165">
        <f>IF($B$1+58&gt;90,BH165,(BH165+IF($B$1+58&lt;=$B165,12*$B$9,-12*MAX(0,$B$8-IF($B$1+58&gt;=$B$23,$B$22,0))*(1+$B$4)^58))*IF(BH165+IF($B$1+58&lt;=$B165,12*$B$9,-12*MAX(0,$B$8-IF($B$1+58&gt;=$B$23,$B$22,0))*(1+$B$4)^58)&gt;0,1+$B$3,1))</f>
        <v/>
      </c>
      <c r="BJ165">
        <f>IF($B$1+59&gt;90,BI165,(BI165+IF($B$1+59&lt;=$B165,12*$B$9,-12*MAX(0,$B$8-IF($B$1+59&gt;=$B$23,$B$22,0))*(1+$B$4)^59))*IF(BI165+IF($B$1+59&lt;=$B165,12*$B$9,-12*MAX(0,$B$8-IF($B$1+59&gt;=$B$23,$B$22,0))*(1+$B$4)^59)&gt;0,1+$B$3,1))</f>
        <v/>
      </c>
      <c r="BK165">
        <f>IF($B$1+60&gt;90,BJ165,(BJ165+IF($B$1+60&lt;=$B165,12*$B$9,-12*MAX(0,$B$8-IF($B$1+60&gt;=$B$23,$B$22,0))*(1+$B$4)^60))*IF(BJ165+IF($B$1+60&lt;=$B165,12*$B$9,-12*MAX(0,$B$8-IF($B$1+60&gt;=$B$23,$B$22,0))*(1+$B$4)^60)&gt;0,1+$B$3,1))</f>
        <v/>
      </c>
      <c r="BL165">
        <f>IF($B$1+61&gt;90,BK165,(BK165+IF($B$1+61&lt;=$B165,12*$B$9,-12*MAX(0,$B$8-IF($B$1+61&gt;=$B$23,$B$22,0))*(1+$B$4)^61))*IF(BK165+IF($B$1+61&lt;=$B165,12*$B$9,-12*MAX(0,$B$8-IF($B$1+61&gt;=$B$23,$B$22,0))*(1+$B$4)^61)&gt;0,1+$B$3,1))</f>
        <v/>
      </c>
      <c r="BM165">
        <f>IF($B$1+62&gt;90,BL165,(BL165+IF($B$1+62&lt;=$B165,12*$B$9,-12*MAX(0,$B$8-IF($B$1+62&gt;=$B$23,$B$22,0))*(1+$B$4)^62))*IF(BL165+IF($B$1+62&lt;=$B165,12*$B$9,-12*MAX(0,$B$8-IF($B$1+62&gt;=$B$23,$B$22,0))*(1+$B$4)^62)&gt;0,1+$B$3,1))</f>
        <v/>
      </c>
      <c r="BN165">
        <f>IF($B$1+63&gt;90,BM165,(BM165+IF($B$1+63&lt;=$B165,12*$B$9,-12*MAX(0,$B$8-IF($B$1+63&gt;=$B$23,$B$22,0))*(1+$B$4)^63))*IF(BM165+IF($B$1+63&lt;=$B165,12*$B$9,-12*MAX(0,$B$8-IF($B$1+63&gt;=$B$23,$B$22,0))*(1+$B$4)^63)&gt;0,1+$B$3,1))</f>
        <v/>
      </c>
      <c r="BO165">
        <f>IF($B$1+64&gt;90,BN165,(BN165+IF($B$1+64&lt;=$B165,12*$B$9,-12*MAX(0,$B$8-IF($B$1+64&gt;=$B$23,$B$22,0))*(1+$B$4)^64))*IF(BN165+IF($B$1+64&lt;=$B165,12*$B$9,-12*MAX(0,$B$8-IF($B$1+64&gt;=$B$23,$B$22,0))*(1+$B$4)^64)&gt;0,1+$B$3,1))</f>
        <v/>
      </c>
      <c r="BP165">
        <f>IF($B$1+65&gt;90,BO165,(BO165+IF($B$1+65&lt;=$B165,12*$B$9,-12*MAX(0,$B$8-IF($B$1+65&gt;=$B$23,$B$22,0))*(1+$B$4)^65))*IF(BO165+IF($B$1+65&lt;=$B165,12*$B$9,-12*MAX(0,$B$8-IF($B$1+65&gt;=$B$23,$B$22,0))*(1+$B$4)^65)&gt;0,1+$B$3,1))</f>
        <v/>
      </c>
      <c r="BQ165">
        <f>IF($B$1+66&gt;90,BP165,(BP165+IF($B$1+66&lt;=$B165,12*$B$9,-12*MAX(0,$B$8-IF($B$1+66&gt;=$B$23,$B$22,0))*(1+$B$4)^66))*IF(BP165+IF($B$1+66&lt;=$B165,12*$B$9,-12*MAX(0,$B$8-IF($B$1+66&gt;=$B$23,$B$22,0))*(1+$B$4)^66)&gt;0,1+$B$3,1))</f>
        <v/>
      </c>
      <c r="BR165">
        <f>IF($B$1+67&gt;90,BQ165,(BQ165+IF($B$1+67&lt;=$B165,12*$B$9,-12*MAX(0,$B$8-IF($B$1+67&gt;=$B$23,$B$22,0))*(1+$B$4)^67))*IF(BQ165+IF($B$1+67&lt;=$B165,12*$B$9,-12*MAX(0,$B$8-IF($B$1+67&gt;=$B$23,$B$22,0))*(1+$B$4)^67)&gt;0,1+$B$3,1))</f>
        <v/>
      </c>
      <c r="BS165">
        <f>IF($B$1+68&gt;90,BR165,(BR165+IF($B$1+68&lt;=$B165,12*$B$9,-12*MAX(0,$B$8-IF($B$1+68&gt;=$B$23,$B$22,0))*(1+$B$4)^68))*IF(BR165+IF($B$1+68&lt;=$B165,12*$B$9,-12*MAX(0,$B$8-IF($B$1+68&gt;=$B$23,$B$22,0))*(1+$B$4)^68)&gt;0,1+$B$3,1))</f>
        <v/>
      </c>
      <c r="BT165">
        <f>IF($B$1+69&gt;90,BS165,(BS165+IF($B$1+69&lt;=$B165,12*$B$9,-12*MAX(0,$B$8-IF($B$1+69&gt;=$B$23,$B$22,0))*(1+$B$4)^69))*IF(BS165+IF($B$1+69&lt;=$B165,12*$B$9,-12*MAX(0,$B$8-IF($B$1+69&gt;=$B$23,$B$22,0))*(1+$B$4)^69)&gt;0,1+$B$3,1))</f>
        <v/>
      </c>
      <c r="BU165">
        <f>IF($B$1+70&gt;90,BT165,(BT165+IF($B$1+70&lt;=$B165,12*$B$9,-12*MAX(0,$B$8-IF($B$1+70&gt;=$B$23,$B$22,0))*(1+$B$4)^70))*IF(BT165+IF($B$1+70&lt;=$B165,12*$B$9,-12*MAX(0,$B$8-IF($B$1+70&gt;=$B$23,$B$22,0))*(1+$B$4)^70)&gt;0,1+$B$3,1))</f>
        <v/>
      </c>
      <c r="BV165">
        <f>BU165</f>
        <v/>
      </c>
      <c r="BW165">
        <f>IF(AND($B165&lt;=70,BV165&gt;0),$B165,999)</f>
        <v/>
      </c>
      <c r="CH165">
        <f>IF(ISTEXT('월 가계부'!A165),SUBSTITUTE(SUBSTITUTE(SUBSTITUTE(SUBSTITUTE(SUBSTITUTE(SUBSTITUTE(SUBSTITUTE(SUBSTITUTE(SUBSTITUTE(TRIM('월 가계부'!A165),"년","-"),"월","-"),"일",""),".","-"),"/","-")," ","-"),"--","-"),"--","-"),"--","-")&amp;"-","")</f>
        <v/>
      </c>
      <c r="CI165">
        <f>IFERROR(IF('월 가계부'!A165="","",IF(ISNUMBER('월 가계부'!A165),IF(AND('월 가계부'!A165&gt;=19000101,'월 가계부'!A165&lt;=21001231),IF(AND(MOD(INT('월 가계부'!A165/100),100)&gt;=1,MOD(INT('월 가계부'!A165/100),100)&lt;=12,MOD(INT('월 가계부'!A165),100)&gt;=1,MOD(INT('월 가계부'!A165),100)&lt;=31),IF(MONTH(DATE(INT('월 가계부'!A165/10000),MOD(INT('월 가계부'!A165/100),100),MOD(INT('월 가계부'!A165),100)))=MOD(INT('월 가계부'!A165/100),100),DATE(INT('월 가계부'!A165/10000),MOD(INT('월 가계부'!A165/100),100),MOD(INT('월 가계부'!A165),100)),""),""),IF(AND('월 가계부'!A165&gt;=36526,'월 가계부'!A165&lt;73051),INT('월 가계부'!A165),"")),IF(OR(CM165="",CN165="",CO165=""),"",IF(AND(CM165&gt;=2000,CM165&lt;=2099,CN165&gt;=1,CN165&lt;=12,CO165&gt;=1,CO165&lt;=31),IF(MONTH(DATE(CM165,CN165,CO165))=CN165,DATE(CM165,CN165,CO165),""),"")))),"")</f>
        <v/>
      </c>
      <c r="CJ165">
        <f>IFERROR(IF('월 가계부'!C165="","",IF(ISNUMBER('월 가계부'!C165),'월 가계부'!C165,VALUE(SUBSTITUTE(SUBSTITUTE(SUBSTITUTE(SUBSTITUTE(TRIM('월 가계부'!C165),",",""),"원","")," ",""),"−","-")))),"")</f>
        <v/>
      </c>
      <c r="CK165">
        <f>IF(ISNUMBER(CI165),IF(CI165&lt;$B$13,CI165,""),"")</f>
        <v/>
      </c>
      <c r="CM165">
        <f>IF(CH165="","",IFERROR(IF(IF(AND(LEN(CH165)=9,ISERROR(FIND("-",LEFT(CH165,8))),ISNUMBER(-LEFT(CH165,8))),VALUE(LEFT(CH165,4)),VALUE(LEFT(CH165,FIND("-",CH165)-1)))&lt;100,IF(AND(LEN(CH165)=9,ISERROR(FIND("-",LEFT(CH165,8))),ISNUMBER(-LEFT(CH165,8))),VALUE(LEFT(CH165,4)),VALUE(LEFT(CH165,FIND("-",CH165)-1)))+2000,IF(AND(LEN(CH165)=9,ISERROR(FIND("-",LEFT(CH165,8))),ISNUMBER(-LEFT(CH165,8))),VALUE(LEFT(CH165,4)),VALUE(LEFT(CH165,FIND("-",CH165)-1)))),""))</f>
        <v/>
      </c>
      <c r="CN165">
        <f>IF(CH165="","",IFERROR(IF(AND(LEN(CH165)=9,ISERROR(FIND("-",LEFT(CH165,8))),ISNUMBER(-LEFT(CH165,8))),VALUE(MID(CH165,5,2)),VALUE(MID(CH165,FIND("-",CH165)+1,FIND("-",CH165,FIND("-",CH165)+1)-FIND("-",CH165)-1))),""))</f>
        <v/>
      </c>
      <c r="CO165">
        <f>IF(CH165="","",IFERROR(IF(AND(LEN(CH165)=9,ISERROR(FIND("-",LEFT(CH165,8))),ISNUMBER(-LEFT(CH165,8))),VALUE(MID(CH165,7,2)),VALUE(MID(CH165,FIND("-",CH165,FIND("-",CH165)+1)+1,FIND("-",CH165,FIND("-",CH165,FIND("-",CH165)+1)+1)-FIND("-",CH165,FIND("-",CH165)+1)-1))),""))</f>
        <v/>
      </c>
    </row>
    <row r="166">
      <c r="A166" t="n">
        <v>14</v>
      </c>
      <c r="B166">
        <f>$B$1+14</f>
        <v/>
      </c>
      <c r="C166">
        <f>$B$2</f>
        <v/>
      </c>
      <c r="D166">
        <f>IF($B$1+1&gt;90,C166,(C166+IF($B$1+1&lt;=$B166,12*$B$9,-12*MAX(0,$B$8-IF($B$1+1&gt;=$B$23,$B$22,0))*(1+$B$4)^1))*IF(C166+IF($B$1+1&lt;=$B166,12*$B$9,-12*MAX(0,$B$8-IF($B$1+1&gt;=$B$23,$B$22,0))*(1+$B$4)^1)&gt;0,1+$B$3,1))</f>
        <v/>
      </c>
      <c r="E166">
        <f>IF($B$1+2&gt;90,D166,(D166+IF($B$1+2&lt;=$B166,12*$B$9,-12*MAX(0,$B$8-IF($B$1+2&gt;=$B$23,$B$22,0))*(1+$B$4)^2))*IF(D166+IF($B$1+2&lt;=$B166,12*$B$9,-12*MAX(0,$B$8-IF($B$1+2&gt;=$B$23,$B$22,0))*(1+$B$4)^2)&gt;0,1+$B$3,1))</f>
        <v/>
      </c>
      <c r="F166">
        <f>IF($B$1+3&gt;90,E166,(E166+IF($B$1+3&lt;=$B166,12*$B$9,-12*MAX(0,$B$8-IF($B$1+3&gt;=$B$23,$B$22,0))*(1+$B$4)^3))*IF(E166+IF($B$1+3&lt;=$B166,12*$B$9,-12*MAX(0,$B$8-IF($B$1+3&gt;=$B$23,$B$22,0))*(1+$B$4)^3)&gt;0,1+$B$3,1))</f>
        <v/>
      </c>
      <c r="G166">
        <f>IF($B$1+4&gt;90,F166,(F166+IF($B$1+4&lt;=$B166,12*$B$9,-12*MAX(0,$B$8-IF($B$1+4&gt;=$B$23,$B$22,0))*(1+$B$4)^4))*IF(F166+IF($B$1+4&lt;=$B166,12*$B$9,-12*MAX(0,$B$8-IF($B$1+4&gt;=$B$23,$B$22,0))*(1+$B$4)^4)&gt;0,1+$B$3,1))</f>
        <v/>
      </c>
      <c r="H166">
        <f>IF($B$1+5&gt;90,G166,(G166+IF($B$1+5&lt;=$B166,12*$B$9,-12*MAX(0,$B$8-IF($B$1+5&gt;=$B$23,$B$22,0))*(1+$B$4)^5))*IF(G166+IF($B$1+5&lt;=$B166,12*$B$9,-12*MAX(0,$B$8-IF($B$1+5&gt;=$B$23,$B$22,0))*(1+$B$4)^5)&gt;0,1+$B$3,1))</f>
        <v/>
      </c>
      <c r="I166">
        <f>IF($B$1+6&gt;90,H166,(H166+IF($B$1+6&lt;=$B166,12*$B$9,-12*MAX(0,$B$8-IF($B$1+6&gt;=$B$23,$B$22,0))*(1+$B$4)^6))*IF(H166+IF($B$1+6&lt;=$B166,12*$B$9,-12*MAX(0,$B$8-IF($B$1+6&gt;=$B$23,$B$22,0))*(1+$B$4)^6)&gt;0,1+$B$3,1))</f>
        <v/>
      </c>
      <c r="J166">
        <f>IF($B$1+7&gt;90,I166,(I166+IF($B$1+7&lt;=$B166,12*$B$9,-12*MAX(0,$B$8-IF($B$1+7&gt;=$B$23,$B$22,0))*(1+$B$4)^7))*IF(I166+IF($B$1+7&lt;=$B166,12*$B$9,-12*MAX(0,$B$8-IF($B$1+7&gt;=$B$23,$B$22,0))*(1+$B$4)^7)&gt;0,1+$B$3,1))</f>
        <v/>
      </c>
      <c r="K166">
        <f>IF($B$1+8&gt;90,J166,(J166+IF($B$1+8&lt;=$B166,12*$B$9,-12*MAX(0,$B$8-IF($B$1+8&gt;=$B$23,$B$22,0))*(1+$B$4)^8))*IF(J166+IF($B$1+8&lt;=$B166,12*$B$9,-12*MAX(0,$B$8-IF($B$1+8&gt;=$B$23,$B$22,0))*(1+$B$4)^8)&gt;0,1+$B$3,1))</f>
        <v/>
      </c>
      <c r="L166">
        <f>IF($B$1+9&gt;90,K166,(K166+IF($B$1+9&lt;=$B166,12*$B$9,-12*MAX(0,$B$8-IF($B$1+9&gt;=$B$23,$B$22,0))*(1+$B$4)^9))*IF(K166+IF($B$1+9&lt;=$B166,12*$B$9,-12*MAX(0,$B$8-IF($B$1+9&gt;=$B$23,$B$22,0))*(1+$B$4)^9)&gt;0,1+$B$3,1))</f>
        <v/>
      </c>
      <c r="M166">
        <f>IF($B$1+10&gt;90,L166,(L166+IF($B$1+10&lt;=$B166,12*$B$9,-12*MAX(0,$B$8-IF($B$1+10&gt;=$B$23,$B$22,0))*(1+$B$4)^10))*IF(L166+IF($B$1+10&lt;=$B166,12*$B$9,-12*MAX(0,$B$8-IF($B$1+10&gt;=$B$23,$B$22,0))*(1+$B$4)^10)&gt;0,1+$B$3,1))</f>
        <v/>
      </c>
      <c r="N166">
        <f>IF($B$1+11&gt;90,M166,(M166+IF($B$1+11&lt;=$B166,12*$B$9,-12*MAX(0,$B$8-IF($B$1+11&gt;=$B$23,$B$22,0))*(1+$B$4)^11))*IF(M166+IF($B$1+11&lt;=$B166,12*$B$9,-12*MAX(0,$B$8-IF($B$1+11&gt;=$B$23,$B$22,0))*(1+$B$4)^11)&gt;0,1+$B$3,1))</f>
        <v/>
      </c>
      <c r="O166">
        <f>IF($B$1+12&gt;90,N166,(N166+IF($B$1+12&lt;=$B166,12*$B$9,-12*MAX(0,$B$8-IF($B$1+12&gt;=$B$23,$B$22,0))*(1+$B$4)^12))*IF(N166+IF($B$1+12&lt;=$B166,12*$B$9,-12*MAX(0,$B$8-IF($B$1+12&gt;=$B$23,$B$22,0))*(1+$B$4)^12)&gt;0,1+$B$3,1))</f>
        <v/>
      </c>
      <c r="P166">
        <f>IF($B$1+13&gt;90,O166,(O166+IF($B$1+13&lt;=$B166,12*$B$9,-12*MAX(0,$B$8-IF($B$1+13&gt;=$B$23,$B$22,0))*(1+$B$4)^13))*IF(O166+IF($B$1+13&lt;=$B166,12*$B$9,-12*MAX(0,$B$8-IF($B$1+13&gt;=$B$23,$B$22,0))*(1+$B$4)^13)&gt;0,1+$B$3,1))</f>
        <v/>
      </c>
      <c r="Q166">
        <f>IF($B$1+14&gt;90,P166,(P166+IF($B$1+14&lt;=$B166,12*$B$9,-12*MAX(0,$B$8-IF($B$1+14&gt;=$B$23,$B$22,0))*(1+$B$4)^14))*IF(P166+IF($B$1+14&lt;=$B166,12*$B$9,-12*MAX(0,$B$8-IF($B$1+14&gt;=$B$23,$B$22,0))*(1+$B$4)^14)&gt;0,1+$B$3,1))</f>
        <v/>
      </c>
      <c r="R166">
        <f>IF($B$1+15&gt;90,Q166,(Q166+IF($B$1+15&lt;=$B166,12*$B$9,-12*MAX(0,$B$8-IF($B$1+15&gt;=$B$23,$B$22,0))*(1+$B$4)^15))*IF(Q166+IF($B$1+15&lt;=$B166,12*$B$9,-12*MAX(0,$B$8-IF($B$1+15&gt;=$B$23,$B$22,0))*(1+$B$4)^15)&gt;0,1+$B$3,1))</f>
        <v/>
      </c>
      <c r="S166">
        <f>IF($B$1+16&gt;90,R166,(R166+IF($B$1+16&lt;=$B166,12*$B$9,-12*MAX(0,$B$8-IF($B$1+16&gt;=$B$23,$B$22,0))*(1+$B$4)^16))*IF(R166+IF($B$1+16&lt;=$B166,12*$B$9,-12*MAX(0,$B$8-IF($B$1+16&gt;=$B$23,$B$22,0))*(1+$B$4)^16)&gt;0,1+$B$3,1))</f>
        <v/>
      </c>
      <c r="T166">
        <f>IF($B$1+17&gt;90,S166,(S166+IF($B$1+17&lt;=$B166,12*$B$9,-12*MAX(0,$B$8-IF($B$1+17&gt;=$B$23,$B$22,0))*(1+$B$4)^17))*IF(S166+IF($B$1+17&lt;=$B166,12*$B$9,-12*MAX(0,$B$8-IF($B$1+17&gt;=$B$23,$B$22,0))*(1+$B$4)^17)&gt;0,1+$B$3,1))</f>
        <v/>
      </c>
      <c r="U166">
        <f>IF($B$1+18&gt;90,T166,(T166+IF($B$1+18&lt;=$B166,12*$B$9,-12*MAX(0,$B$8-IF($B$1+18&gt;=$B$23,$B$22,0))*(1+$B$4)^18))*IF(T166+IF($B$1+18&lt;=$B166,12*$B$9,-12*MAX(0,$B$8-IF($B$1+18&gt;=$B$23,$B$22,0))*(1+$B$4)^18)&gt;0,1+$B$3,1))</f>
        <v/>
      </c>
      <c r="V166">
        <f>IF($B$1+19&gt;90,U166,(U166+IF($B$1+19&lt;=$B166,12*$B$9,-12*MAX(0,$B$8-IF($B$1+19&gt;=$B$23,$B$22,0))*(1+$B$4)^19))*IF(U166+IF($B$1+19&lt;=$B166,12*$B$9,-12*MAX(0,$B$8-IF($B$1+19&gt;=$B$23,$B$22,0))*(1+$B$4)^19)&gt;0,1+$B$3,1))</f>
        <v/>
      </c>
      <c r="W166">
        <f>IF($B$1+20&gt;90,V166,(V166+IF($B$1+20&lt;=$B166,12*$B$9,-12*MAX(0,$B$8-IF($B$1+20&gt;=$B$23,$B$22,0))*(1+$B$4)^20))*IF(V166+IF($B$1+20&lt;=$B166,12*$B$9,-12*MAX(0,$B$8-IF($B$1+20&gt;=$B$23,$B$22,0))*(1+$B$4)^20)&gt;0,1+$B$3,1))</f>
        <v/>
      </c>
      <c r="X166">
        <f>IF($B$1+21&gt;90,W166,(W166+IF($B$1+21&lt;=$B166,12*$B$9,-12*MAX(0,$B$8-IF($B$1+21&gt;=$B$23,$B$22,0))*(1+$B$4)^21))*IF(W166+IF($B$1+21&lt;=$B166,12*$B$9,-12*MAX(0,$B$8-IF($B$1+21&gt;=$B$23,$B$22,0))*(1+$B$4)^21)&gt;0,1+$B$3,1))</f>
        <v/>
      </c>
      <c r="Y166">
        <f>IF($B$1+22&gt;90,X166,(X166+IF($B$1+22&lt;=$B166,12*$B$9,-12*MAX(0,$B$8-IF($B$1+22&gt;=$B$23,$B$22,0))*(1+$B$4)^22))*IF(X166+IF($B$1+22&lt;=$B166,12*$B$9,-12*MAX(0,$B$8-IF($B$1+22&gt;=$B$23,$B$22,0))*(1+$B$4)^22)&gt;0,1+$B$3,1))</f>
        <v/>
      </c>
      <c r="Z166">
        <f>IF($B$1+23&gt;90,Y166,(Y166+IF($B$1+23&lt;=$B166,12*$B$9,-12*MAX(0,$B$8-IF($B$1+23&gt;=$B$23,$B$22,0))*(1+$B$4)^23))*IF(Y166+IF($B$1+23&lt;=$B166,12*$B$9,-12*MAX(0,$B$8-IF($B$1+23&gt;=$B$23,$B$22,0))*(1+$B$4)^23)&gt;0,1+$B$3,1))</f>
        <v/>
      </c>
      <c r="AA166">
        <f>IF($B$1+24&gt;90,Z166,(Z166+IF($B$1+24&lt;=$B166,12*$B$9,-12*MAX(0,$B$8-IF($B$1+24&gt;=$B$23,$B$22,0))*(1+$B$4)^24))*IF(Z166+IF($B$1+24&lt;=$B166,12*$B$9,-12*MAX(0,$B$8-IF($B$1+24&gt;=$B$23,$B$22,0))*(1+$B$4)^24)&gt;0,1+$B$3,1))</f>
        <v/>
      </c>
      <c r="AB166">
        <f>IF($B$1+25&gt;90,AA166,(AA166+IF($B$1+25&lt;=$B166,12*$B$9,-12*MAX(0,$B$8-IF($B$1+25&gt;=$B$23,$B$22,0))*(1+$B$4)^25))*IF(AA166+IF($B$1+25&lt;=$B166,12*$B$9,-12*MAX(0,$B$8-IF($B$1+25&gt;=$B$23,$B$22,0))*(1+$B$4)^25)&gt;0,1+$B$3,1))</f>
        <v/>
      </c>
      <c r="AC166">
        <f>IF($B$1+26&gt;90,AB166,(AB166+IF($B$1+26&lt;=$B166,12*$B$9,-12*MAX(0,$B$8-IF($B$1+26&gt;=$B$23,$B$22,0))*(1+$B$4)^26))*IF(AB166+IF($B$1+26&lt;=$B166,12*$B$9,-12*MAX(0,$B$8-IF($B$1+26&gt;=$B$23,$B$22,0))*(1+$B$4)^26)&gt;0,1+$B$3,1))</f>
        <v/>
      </c>
      <c r="AD166">
        <f>IF($B$1+27&gt;90,AC166,(AC166+IF($B$1+27&lt;=$B166,12*$B$9,-12*MAX(0,$B$8-IF($B$1+27&gt;=$B$23,$B$22,0))*(1+$B$4)^27))*IF(AC166+IF($B$1+27&lt;=$B166,12*$B$9,-12*MAX(0,$B$8-IF($B$1+27&gt;=$B$23,$B$22,0))*(1+$B$4)^27)&gt;0,1+$B$3,1))</f>
        <v/>
      </c>
      <c r="AE166">
        <f>IF($B$1+28&gt;90,AD166,(AD166+IF($B$1+28&lt;=$B166,12*$B$9,-12*MAX(0,$B$8-IF($B$1+28&gt;=$B$23,$B$22,0))*(1+$B$4)^28))*IF(AD166+IF($B$1+28&lt;=$B166,12*$B$9,-12*MAX(0,$B$8-IF($B$1+28&gt;=$B$23,$B$22,0))*(1+$B$4)^28)&gt;0,1+$B$3,1))</f>
        <v/>
      </c>
      <c r="AF166">
        <f>IF($B$1+29&gt;90,AE166,(AE166+IF($B$1+29&lt;=$B166,12*$B$9,-12*MAX(0,$B$8-IF($B$1+29&gt;=$B$23,$B$22,0))*(1+$B$4)^29))*IF(AE166+IF($B$1+29&lt;=$B166,12*$B$9,-12*MAX(0,$B$8-IF($B$1+29&gt;=$B$23,$B$22,0))*(1+$B$4)^29)&gt;0,1+$B$3,1))</f>
        <v/>
      </c>
      <c r="AG166">
        <f>IF($B$1+30&gt;90,AF166,(AF166+IF($B$1+30&lt;=$B166,12*$B$9,-12*MAX(0,$B$8-IF($B$1+30&gt;=$B$23,$B$22,0))*(1+$B$4)^30))*IF(AF166+IF($B$1+30&lt;=$B166,12*$B$9,-12*MAX(0,$B$8-IF($B$1+30&gt;=$B$23,$B$22,0))*(1+$B$4)^30)&gt;0,1+$B$3,1))</f>
        <v/>
      </c>
      <c r="AH166">
        <f>IF($B$1+31&gt;90,AG166,(AG166+IF($B$1+31&lt;=$B166,12*$B$9,-12*MAX(0,$B$8-IF($B$1+31&gt;=$B$23,$B$22,0))*(1+$B$4)^31))*IF(AG166+IF($B$1+31&lt;=$B166,12*$B$9,-12*MAX(0,$B$8-IF($B$1+31&gt;=$B$23,$B$22,0))*(1+$B$4)^31)&gt;0,1+$B$3,1))</f>
        <v/>
      </c>
      <c r="AI166">
        <f>IF($B$1+32&gt;90,AH166,(AH166+IF($B$1+32&lt;=$B166,12*$B$9,-12*MAX(0,$B$8-IF($B$1+32&gt;=$B$23,$B$22,0))*(1+$B$4)^32))*IF(AH166+IF($B$1+32&lt;=$B166,12*$B$9,-12*MAX(0,$B$8-IF($B$1+32&gt;=$B$23,$B$22,0))*(1+$B$4)^32)&gt;0,1+$B$3,1))</f>
        <v/>
      </c>
      <c r="AJ166">
        <f>IF($B$1+33&gt;90,AI166,(AI166+IF($B$1+33&lt;=$B166,12*$B$9,-12*MAX(0,$B$8-IF($B$1+33&gt;=$B$23,$B$22,0))*(1+$B$4)^33))*IF(AI166+IF($B$1+33&lt;=$B166,12*$B$9,-12*MAX(0,$B$8-IF($B$1+33&gt;=$B$23,$B$22,0))*(1+$B$4)^33)&gt;0,1+$B$3,1))</f>
        <v/>
      </c>
      <c r="AK166">
        <f>IF($B$1+34&gt;90,AJ166,(AJ166+IF($B$1+34&lt;=$B166,12*$B$9,-12*MAX(0,$B$8-IF($B$1+34&gt;=$B$23,$B$22,0))*(1+$B$4)^34))*IF(AJ166+IF($B$1+34&lt;=$B166,12*$B$9,-12*MAX(0,$B$8-IF($B$1+34&gt;=$B$23,$B$22,0))*(1+$B$4)^34)&gt;0,1+$B$3,1))</f>
        <v/>
      </c>
      <c r="AL166">
        <f>IF($B$1+35&gt;90,AK166,(AK166+IF($B$1+35&lt;=$B166,12*$B$9,-12*MAX(0,$B$8-IF($B$1+35&gt;=$B$23,$B$22,0))*(1+$B$4)^35))*IF(AK166+IF($B$1+35&lt;=$B166,12*$B$9,-12*MAX(0,$B$8-IF($B$1+35&gt;=$B$23,$B$22,0))*(1+$B$4)^35)&gt;0,1+$B$3,1))</f>
        <v/>
      </c>
      <c r="AM166">
        <f>IF($B$1+36&gt;90,AL166,(AL166+IF($B$1+36&lt;=$B166,12*$B$9,-12*MAX(0,$B$8-IF($B$1+36&gt;=$B$23,$B$22,0))*(1+$B$4)^36))*IF(AL166+IF($B$1+36&lt;=$B166,12*$B$9,-12*MAX(0,$B$8-IF($B$1+36&gt;=$B$23,$B$22,0))*(1+$B$4)^36)&gt;0,1+$B$3,1))</f>
        <v/>
      </c>
      <c r="AN166">
        <f>IF($B$1+37&gt;90,AM166,(AM166+IF($B$1+37&lt;=$B166,12*$B$9,-12*MAX(0,$B$8-IF($B$1+37&gt;=$B$23,$B$22,0))*(1+$B$4)^37))*IF(AM166+IF($B$1+37&lt;=$B166,12*$B$9,-12*MAX(0,$B$8-IF($B$1+37&gt;=$B$23,$B$22,0))*(1+$B$4)^37)&gt;0,1+$B$3,1))</f>
        <v/>
      </c>
      <c r="AO166">
        <f>IF($B$1+38&gt;90,AN166,(AN166+IF($B$1+38&lt;=$B166,12*$B$9,-12*MAX(0,$B$8-IF($B$1+38&gt;=$B$23,$B$22,0))*(1+$B$4)^38))*IF(AN166+IF($B$1+38&lt;=$B166,12*$B$9,-12*MAX(0,$B$8-IF($B$1+38&gt;=$B$23,$B$22,0))*(1+$B$4)^38)&gt;0,1+$B$3,1))</f>
        <v/>
      </c>
      <c r="AP166">
        <f>IF($B$1+39&gt;90,AO166,(AO166+IF($B$1+39&lt;=$B166,12*$B$9,-12*MAX(0,$B$8-IF($B$1+39&gt;=$B$23,$B$22,0))*(1+$B$4)^39))*IF(AO166+IF($B$1+39&lt;=$B166,12*$B$9,-12*MAX(0,$B$8-IF($B$1+39&gt;=$B$23,$B$22,0))*(1+$B$4)^39)&gt;0,1+$B$3,1))</f>
        <v/>
      </c>
      <c r="AQ166">
        <f>IF($B$1+40&gt;90,AP166,(AP166+IF($B$1+40&lt;=$B166,12*$B$9,-12*MAX(0,$B$8-IF($B$1+40&gt;=$B$23,$B$22,0))*(1+$B$4)^40))*IF(AP166+IF($B$1+40&lt;=$B166,12*$B$9,-12*MAX(0,$B$8-IF($B$1+40&gt;=$B$23,$B$22,0))*(1+$B$4)^40)&gt;0,1+$B$3,1))</f>
        <v/>
      </c>
      <c r="AR166">
        <f>IF($B$1+41&gt;90,AQ166,(AQ166+IF($B$1+41&lt;=$B166,12*$B$9,-12*MAX(0,$B$8-IF($B$1+41&gt;=$B$23,$B$22,0))*(1+$B$4)^41))*IF(AQ166+IF($B$1+41&lt;=$B166,12*$B$9,-12*MAX(0,$B$8-IF($B$1+41&gt;=$B$23,$B$22,0))*(1+$B$4)^41)&gt;0,1+$B$3,1))</f>
        <v/>
      </c>
      <c r="AS166">
        <f>IF($B$1+42&gt;90,AR166,(AR166+IF($B$1+42&lt;=$B166,12*$B$9,-12*MAX(0,$B$8-IF($B$1+42&gt;=$B$23,$B$22,0))*(1+$B$4)^42))*IF(AR166+IF($B$1+42&lt;=$B166,12*$B$9,-12*MAX(0,$B$8-IF($B$1+42&gt;=$B$23,$B$22,0))*(1+$B$4)^42)&gt;0,1+$B$3,1))</f>
        <v/>
      </c>
      <c r="AT166">
        <f>IF($B$1+43&gt;90,AS166,(AS166+IF($B$1+43&lt;=$B166,12*$B$9,-12*MAX(0,$B$8-IF($B$1+43&gt;=$B$23,$B$22,0))*(1+$B$4)^43))*IF(AS166+IF($B$1+43&lt;=$B166,12*$B$9,-12*MAX(0,$B$8-IF($B$1+43&gt;=$B$23,$B$22,0))*(1+$B$4)^43)&gt;0,1+$B$3,1))</f>
        <v/>
      </c>
      <c r="AU166">
        <f>IF($B$1+44&gt;90,AT166,(AT166+IF($B$1+44&lt;=$B166,12*$B$9,-12*MAX(0,$B$8-IF($B$1+44&gt;=$B$23,$B$22,0))*(1+$B$4)^44))*IF(AT166+IF($B$1+44&lt;=$B166,12*$B$9,-12*MAX(0,$B$8-IF($B$1+44&gt;=$B$23,$B$22,0))*(1+$B$4)^44)&gt;0,1+$B$3,1))</f>
        <v/>
      </c>
      <c r="AV166">
        <f>IF($B$1+45&gt;90,AU166,(AU166+IF($B$1+45&lt;=$B166,12*$B$9,-12*MAX(0,$B$8-IF($B$1+45&gt;=$B$23,$B$22,0))*(1+$B$4)^45))*IF(AU166+IF($B$1+45&lt;=$B166,12*$B$9,-12*MAX(0,$B$8-IF($B$1+45&gt;=$B$23,$B$22,0))*(1+$B$4)^45)&gt;0,1+$B$3,1))</f>
        <v/>
      </c>
      <c r="AW166">
        <f>IF($B$1+46&gt;90,AV166,(AV166+IF($B$1+46&lt;=$B166,12*$B$9,-12*MAX(0,$B$8-IF($B$1+46&gt;=$B$23,$B$22,0))*(1+$B$4)^46))*IF(AV166+IF($B$1+46&lt;=$B166,12*$B$9,-12*MAX(0,$B$8-IF($B$1+46&gt;=$B$23,$B$22,0))*(1+$B$4)^46)&gt;0,1+$B$3,1))</f>
        <v/>
      </c>
      <c r="AX166">
        <f>IF($B$1+47&gt;90,AW166,(AW166+IF($B$1+47&lt;=$B166,12*$B$9,-12*MAX(0,$B$8-IF($B$1+47&gt;=$B$23,$B$22,0))*(1+$B$4)^47))*IF(AW166+IF($B$1+47&lt;=$B166,12*$B$9,-12*MAX(0,$B$8-IF($B$1+47&gt;=$B$23,$B$22,0))*(1+$B$4)^47)&gt;0,1+$B$3,1))</f>
        <v/>
      </c>
      <c r="AY166">
        <f>IF($B$1+48&gt;90,AX166,(AX166+IF($B$1+48&lt;=$B166,12*$B$9,-12*MAX(0,$B$8-IF($B$1+48&gt;=$B$23,$B$22,0))*(1+$B$4)^48))*IF(AX166+IF($B$1+48&lt;=$B166,12*$B$9,-12*MAX(0,$B$8-IF($B$1+48&gt;=$B$23,$B$22,0))*(1+$B$4)^48)&gt;0,1+$B$3,1))</f>
        <v/>
      </c>
      <c r="AZ166">
        <f>IF($B$1+49&gt;90,AY166,(AY166+IF($B$1+49&lt;=$B166,12*$B$9,-12*MAX(0,$B$8-IF($B$1+49&gt;=$B$23,$B$22,0))*(1+$B$4)^49))*IF(AY166+IF($B$1+49&lt;=$B166,12*$B$9,-12*MAX(0,$B$8-IF($B$1+49&gt;=$B$23,$B$22,0))*(1+$B$4)^49)&gt;0,1+$B$3,1))</f>
        <v/>
      </c>
      <c r="BA166">
        <f>IF($B$1+50&gt;90,AZ166,(AZ166+IF($B$1+50&lt;=$B166,12*$B$9,-12*MAX(0,$B$8-IF($B$1+50&gt;=$B$23,$B$22,0))*(1+$B$4)^50))*IF(AZ166+IF($B$1+50&lt;=$B166,12*$B$9,-12*MAX(0,$B$8-IF($B$1+50&gt;=$B$23,$B$22,0))*(1+$B$4)^50)&gt;0,1+$B$3,1))</f>
        <v/>
      </c>
      <c r="BB166">
        <f>IF($B$1+51&gt;90,BA166,(BA166+IF($B$1+51&lt;=$B166,12*$B$9,-12*MAX(0,$B$8-IF($B$1+51&gt;=$B$23,$B$22,0))*(1+$B$4)^51))*IF(BA166+IF($B$1+51&lt;=$B166,12*$B$9,-12*MAX(0,$B$8-IF($B$1+51&gt;=$B$23,$B$22,0))*(1+$B$4)^51)&gt;0,1+$B$3,1))</f>
        <v/>
      </c>
      <c r="BC166">
        <f>IF($B$1+52&gt;90,BB166,(BB166+IF($B$1+52&lt;=$B166,12*$B$9,-12*MAX(0,$B$8-IF($B$1+52&gt;=$B$23,$B$22,0))*(1+$B$4)^52))*IF(BB166+IF($B$1+52&lt;=$B166,12*$B$9,-12*MAX(0,$B$8-IF($B$1+52&gt;=$B$23,$B$22,0))*(1+$B$4)^52)&gt;0,1+$B$3,1))</f>
        <v/>
      </c>
      <c r="BD166">
        <f>IF($B$1+53&gt;90,BC166,(BC166+IF($B$1+53&lt;=$B166,12*$B$9,-12*MAX(0,$B$8-IF($B$1+53&gt;=$B$23,$B$22,0))*(1+$B$4)^53))*IF(BC166+IF($B$1+53&lt;=$B166,12*$B$9,-12*MAX(0,$B$8-IF($B$1+53&gt;=$B$23,$B$22,0))*(1+$B$4)^53)&gt;0,1+$B$3,1))</f>
        <v/>
      </c>
      <c r="BE166">
        <f>IF($B$1+54&gt;90,BD166,(BD166+IF($B$1+54&lt;=$B166,12*$B$9,-12*MAX(0,$B$8-IF($B$1+54&gt;=$B$23,$B$22,0))*(1+$B$4)^54))*IF(BD166+IF($B$1+54&lt;=$B166,12*$B$9,-12*MAX(0,$B$8-IF($B$1+54&gt;=$B$23,$B$22,0))*(1+$B$4)^54)&gt;0,1+$B$3,1))</f>
        <v/>
      </c>
      <c r="BF166">
        <f>IF($B$1+55&gt;90,BE166,(BE166+IF($B$1+55&lt;=$B166,12*$B$9,-12*MAX(0,$B$8-IF($B$1+55&gt;=$B$23,$B$22,0))*(1+$B$4)^55))*IF(BE166+IF($B$1+55&lt;=$B166,12*$B$9,-12*MAX(0,$B$8-IF($B$1+55&gt;=$B$23,$B$22,0))*(1+$B$4)^55)&gt;0,1+$B$3,1))</f>
        <v/>
      </c>
      <c r="BG166">
        <f>IF($B$1+56&gt;90,BF166,(BF166+IF($B$1+56&lt;=$B166,12*$B$9,-12*MAX(0,$B$8-IF($B$1+56&gt;=$B$23,$B$22,0))*(1+$B$4)^56))*IF(BF166+IF($B$1+56&lt;=$B166,12*$B$9,-12*MAX(0,$B$8-IF($B$1+56&gt;=$B$23,$B$22,0))*(1+$B$4)^56)&gt;0,1+$B$3,1))</f>
        <v/>
      </c>
      <c r="BH166">
        <f>IF($B$1+57&gt;90,BG166,(BG166+IF($B$1+57&lt;=$B166,12*$B$9,-12*MAX(0,$B$8-IF($B$1+57&gt;=$B$23,$B$22,0))*(1+$B$4)^57))*IF(BG166+IF($B$1+57&lt;=$B166,12*$B$9,-12*MAX(0,$B$8-IF($B$1+57&gt;=$B$23,$B$22,0))*(1+$B$4)^57)&gt;0,1+$B$3,1))</f>
        <v/>
      </c>
      <c r="BI166">
        <f>IF($B$1+58&gt;90,BH166,(BH166+IF($B$1+58&lt;=$B166,12*$B$9,-12*MAX(0,$B$8-IF($B$1+58&gt;=$B$23,$B$22,0))*(1+$B$4)^58))*IF(BH166+IF($B$1+58&lt;=$B166,12*$B$9,-12*MAX(0,$B$8-IF($B$1+58&gt;=$B$23,$B$22,0))*(1+$B$4)^58)&gt;0,1+$B$3,1))</f>
        <v/>
      </c>
      <c r="BJ166">
        <f>IF($B$1+59&gt;90,BI166,(BI166+IF($B$1+59&lt;=$B166,12*$B$9,-12*MAX(0,$B$8-IF($B$1+59&gt;=$B$23,$B$22,0))*(1+$B$4)^59))*IF(BI166+IF($B$1+59&lt;=$B166,12*$B$9,-12*MAX(0,$B$8-IF($B$1+59&gt;=$B$23,$B$22,0))*(1+$B$4)^59)&gt;0,1+$B$3,1))</f>
        <v/>
      </c>
      <c r="BK166">
        <f>IF($B$1+60&gt;90,BJ166,(BJ166+IF($B$1+60&lt;=$B166,12*$B$9,-12*MAX(0,$B$8-IF($B$1+60&gt;=$B$23,$B$22,0))*(1+$B$4)^60))*IF(BJ166+IF($B$1+60&lt;=$B166,12*$B$9,-12*MAX(0,$B$8-IF($B$1+60&gt;=$B$23,$B$22,0))*(1+$B$4)^60)&gt;0,1+$B$3,1))</f>
        <v/>
      </c>
      <c r="BL166">
        <f>IF($B$1+61&gt;90,BK166,(BK166+IF($B$1+61&lt;=$B166,12*$B$9,-12*MAX(0,$B$8-IF($B$1+61&gt;=$B$23,$B$22,0))*(1+$B$4)^61))*IF(BK166+IF($B$1+61&lt;=$B166,12*$B$9,-12*MAX(0,$B$8-IF($B$1+61&gt;=$B$23,$B$22,0))*(1+$B$4)^61)&gt;0,1+$B$3,1))</f>
        <v/>
      </c>
      <c r="BM166">
        <f>IF($B$1+62&gt;90,BL166,(BL166+IF($B$1+62&lt;=$B166,12*$B$9,-12*MAX(0,$B$8-IF($B$1+62&gt;=$B$23,$B$22,0))*(1+$B$4)^62))*IF(BL166+IF($B$1+62&lt;=$B166,12*$B$9,-12*MAX(0,$B$8-IF($B$1+62&gt;=$B$23,$B$22,0))*(1+$B$4)^62)&gt;0,1+$B$3,1))</f>
        <v/>
      </c>
      <c r="BN166">
        <f>IF($B$1+63&gt;90,BM166,(BM166+IF($B$1+63&lt;=$B166,12*$B$9,-12*MAX(0,$B$8-IF($B$1+63&gt;=$B$23,$B$22,0))*(1+$B$4)^63))*IF(BM166+IF($B$1+63&lt;=$B166,12*$B$9,-12*MAX(0,$B$8-IF($B$1+63&gt;=$B$23,$B$22,0))*(1+$B$4)^63)&gt;0,1+$B$3,1))</f>
        <v/>
      </c>
      <c r="BO166">
        <f>IF($B$1+64&gt;90,BN166,(BN166+IF($B$1+64&lt;=$B166,12*$B$9,-12*MAX(0,$B$8-IF($B$1+64&gt;=$B$23,$B$22,0))*(1+$B$4)^64))*IF(BN166+IF($B$1+64&lt;=$B166,12*$B$9,-12*MAX(0,$B$8-IF($B$1+64&gt;=$B$23,$B$22,0))*(1+$B$4)^64)&gt;0,1+$B$3,1))</f>
        <v/>
      </c>
      <c r="BP166">
        <f>IF($B$1+65&gt;90,BO166,(BO166+IF($B$1+65&lt;=$B166,12*$B$9,-12*MAX(0,$B$8-IF($B$1+65&gt;=$B$23,$B$22,0))*(1+$B$4)^65))*IF(BO166+IF($B$1+65&lt;=$B166,12*$B$9,-12*MAX(0,$B$8-IF($B$1+65&gt;=$B$23,$B$22,0))*(1+$B$4)^65)&gt;0,1+$B$3,1))</f>
        <v/>
      </c>
      <c r="BQ166">
        <f>IF($B$1+66&gt;90,BP166,(BP166+IF($B$1+66&lt;=$B166,12*$B$9,-12*MAX(0,$B$8-IF($B$1+66&gt;=$B$23,$B$22,0))*(1+$B$4)^66))*IF(BP166+IF($B$1+66&lt;=$B166,12*$B$9,-12*MAX(0,$B$8-IF($B$1+66&gt;=$B$23,$B$22,0))*(1+$B$4)^66)&gt;0,1+$B$3,1))</f>
        <v/>
      </c>
      <c r="BR166">
        <f>IF($B$1+67&gt;90,BQ166,(BQ166+IF($B$1+67&lt;=$B166,12*$B$9,-12*MAX(0,$B$8-IF($B$1+67&gt;=$B$23,$B$22,0))*(1+$B$4)^67))*IF(BQ166+IF($B$1+67&lt;=$B166,12*$B$9,-12*MAX(0,$B$8-IF($B$1+67&gt;=$B$23,$B$22,0))*(1+$B$4)^67)&gt;0,1+$B$3,1))</f>
        <v/>
      </c>
      <c r="BS166">
        <f>IF($B$1+68&gt;90,BR166,(BR166+IF($B$1+68&lt;=$B166,12*$B$9,-12*MAX(0,$B$8-IF($B$1+68&gt;=$B$23,$B$22,0))*(1+$B$4)^68))*IF(BR166+IF($B$1+68&lt;=$B166,12*$B$9,-12*MAX(0,$B$8-IF($B$1+68&gt;=$B$23,$B$22,0))*(1+$B$4)^68)&gt;0,1+$B$3,1))</f>
        <v/>
      </c>
      <c r="BT166">
        <f>IF($B$1+69&gt;90,BS166,(BS166+IF($B$1+69&lt;=$B166,12*$B$9,-12*MAX(0,$B$8-IF($B$1+69&gt;=$B$23,$B$22,0))*(1+$B$4)^69))*IF(BS166+IF($B$1+69&lt;=$B166,12*$B$9,-12*MAX(0,$B$8-IF($B$1+69&gt;=$B$23,$B$22,0))*(1+$B$4)^69)&gt;0,1+$B$3,1))</f>
        <v/>
      </c>
      <c r="BU166">
        <f>IF($B$1+70&gt;90,BT166,(BT166+IF($B$1+70&lt;=$B166,12*$B$9,-12*MAX(0,$B$8-IF($B$1+70&gt;=$B$23,$B$22,0))*(1+$B$4)^70))*IF(BT166+IF($B$1+70&lt;=$B166,12*$B$9,-12*MAX(0,$B$8-IF($B$1+70&gt;=$B$23,$B$22,0))*(1+$B$4)^70)&gt;0,1+$B$3,1))</f>
        <v/>
      </c>
      <c r="BV166">
        <f>BU166</f>
        <v/>
      </c>
      <c r="BW166">
        <f>IF(AND($B166&lt;=70,BV166&gt;0),$B166,999)</f>
        <v/>
      </c>
      <c r="CH166">
        <f>IF(ISTEXT('월 가계부'!A166),SUBSTITUTE(SUBSTITUTE(SUBSTITUTE(SUBSTITUTE(SUBSTITUTE(SUBSTITUTE(SUBSTITUTE(SUBSTITUTE(SUBSTITUTE(TRIM('월 가계부'!A166),"년","-"),"월","-"),"일",""),".","-"),"/","-")," ","-"),"--","-"),"--","-"),"--","-")&amp;"-","")</f>
        <v/>
      </c>
      <c r="CI166">
        <f>IFERROR(IF('월 가계부'!A166="","",IF(ISNUMBER('월 가계부'!A166),IF(AND('월 가계부'!A166&gt;=19000101,'월 가계부'!A166&lt;=21001231),IF(AND(MOD(INT('월 가계부'!A166/100),100)&gt;=1,MOD(INT('월 가계부'!A166/100),100)&lt;=12,MOD(INT('월 가계부'!A166),100)&gt;=1,MOD(INT('월 가계부'!A166),100)&lt;=31),IF(MONTH(DATE(INT('월 가계부'!A166/10000),MOD(INT('월 가계부'!A166/100),100),MOD(INT('월 가계부'!A166),100)))=MOD(INT('월 가계부'!A166/100),100),DATE(INT('월 가계부'!A166/10000),MOD(INT('월 가계부'!A166/100),100),MOD(INT('월 가계부'!A166),100)),""),""),IF(AND('월 가계부'!A166&gt;=36526,'월 가계부'!A166&lt;73051),INT('월 가계부'!A166),"")),IF(OR(CM166="",CN166="",CO166=""),"",IF(AND(CM166&gt;=2000,CM166&lt;=2099,CN166&gt;=1,CN166&lt;=12,CO166&gt;=1,CO166&lt;=31),IF(MONTH(DATE(CM166,CN166,CO166))=CN166,DATE(CM166,CN166,CO166),""),"")))),"")</f>
        <v/>
      </c>
      <c r="CJ166">
        <f>IFERROR(IF('월 가계부'!C166="","",IF(ISNUMBER('월 가계부'!C166),'월 가계부'!C166,VALUE(SUBSTITUTE(SUBSTITUTE(SUBSTITUTE(SUBSTITUTE(TRIM('월 가계부'!C166),",",""),"원","")," ",""),"−","-")))),"")</f>
        <v/>
      </c>
      <c r="CK166">
        <f>IF(ISNUMBER(CI166),IF(CI166&lt;$B$13,CI166,""),"")</f>
        <v/>
      </c>
      <c r="CM166">
        <f>IF(CH166="","",IFERROR(IF(IF(AND(LEN(CH166)=9,ISERROR(FIND("-",LEFT(CH166,8))),ISNUMBER(-LEFT(CH166,8))),VALUE(LEFT(CH166,4)),VALUE(LEFT(CH166,FIND("-",CH166)-1)))&lt;100,IF(AND(LEN(CH166)=9,ISERROR(FIND("-",LEFT(CH166,8))),ISNUMBER(-LEFT(CH166,8))),VALUE(LEFT(CH166,4)),VALUE(LEFT(CH166,FIND("-",CH166)-1)))+2000,IF(AND(LEN(CH166)=9,ISERROR(FIND("-",LEFT(CH166,8))),ISNUMBER(-LEFT(CH166,8))),VALUE(LEFT(CH166,4)),VALUE(LEFT(CH166,FIND("-",CH166)-1)))),""))</f>
        <v/>
      </c>
      <c r="CN166">
        <f>IF(CH166="","",IFERROR(IF(AND(LEN(CH166)=9,ISERROR(FIND("-",LEFT(CH166,8))),ISNUMBER(-LEFT(CH166,8))),VALUE(MID(CH166,5,2)),VALUE(MID(CH166,FIND("-",CH166)+1,FIND("-",CH166,FIND("-",CH166)+1)-FIND("-",CH166)-1))),""))</f>
        <v/>
      </c>
      <c r="CO166">
        <f>IF(CH166="","",IFERROR(IF(AND(LEN(CH166)=9,ISERROR(FIND("-",LEFT(CH166,8))),ISNUMBER(-LEFT(CH166,8))),VALUE(MID(CH166,7,2)),VALUE(MID(CH166,FIND("-",CH166,FIND("-",CH166)+1)+1,FIND("-",CH166,FIND("-",CH166,FIND("-",CH166)+1)+1)-FIND("-",CH166,FIND("-",CH166)+1)-1))),""))</f>
        <v/>
      </c>
    </row>
    <row r="167">
      <c r="A167" t="n">
        <v>15</v>
      </c>
      <c r="B167">
        <f>$B$1+15</f>
        <v/>
      </c>
      <c r="C167">
        <f>$B$2</f>
        <v/>
      </c>
      <c r="D167">
        <f>IF($B$1+1&gt;90,C167,(C167+IF($B$1+1&lt;=$B167,12*$B$9,-12*MAX(0,$B$8-IF($B$1+1&gt;=$B$23,$B$22,0))*(1+$B$4)^1))*IF(C167+IF($B$1+1&lt;=$B167,12*$B$9,-12*MAX(0,$B$8-IF($B$1+1&gt;=$B$23,$B$22,0))*(1+$B$4)^1)&gt;0,1+$B$3,1))</f>
        <v/>
      </c>
      <c r="E167">
        <f>IF($B$1+2&gt;90,D167,(D167+IF($B$1+2&lt;=$B167,12*$B$9,-12*MAX(0,$B$8-IF($B$1+2&gt;=$B$23,$B$22,0))*(1+$B$4)^2))*IF(D167+IF($B$1+2&lt;=$B167,12*$B$9,-12*MAX(0,$B$8-IF($B$1+2&gt;=$B$23,$B$22,0))*(1+$B$4)^2)&gt;0,1+$B$3,1))</f>
        <v/>
      </c>
      <c r="F167">
        <f>IF($B$1+3&gt;90,E167,(E167+IF($B$1+3&lt;=$B167,12*$B$9,-12*MAX(0,$B$8-IF($B$1+3&gt;=$B$23,$B$22,0))*(1+$B$4)^3))*IF(E167+IF($B$1+3&lt;=$B167,12*$B$9,-12*MAX(0,$B$8-IF($B$1+3&gt;=$B$23,$B$22,0))*(1+$B$4)^3)&gt;0,1+$B$3,1))</f>
        <v/>
      </c>
      <c r="G167">
        <f>IF($B$1+4&gt;90,F167,(F167+IF($B$1+4&lt;=$B167,12*$B$9,-12*MAX(0,$B$8-IF($B$1+4&gt;=$B$23,$B$22,0))*(1+$B$4)^4))*IF(F167+IF($B$1+4&lt;=$B167,12*$B$9,-12*MAX(0,$B$8-IF($B$1+4&gt;=$B$23,$B$22,0))*(1+$B$4)^4)&gt;0,1+$B$3,1))</f>
        <v/>
      </c>
      <c r="H167">
        <f>IF($B$1+5&gt;90,G167,(G167+IF($B$1+5&lt;=$B167,12*$B$9,-12*MAX(0,$B$8-IF($B$1+5&gt;=$B$23,$B$22,0))*(1+$B$4)^5))*IF(G167+IF($B$1+5&lt;=$B167,12*$B$9,-12*MAX(0,$B$8-IF($B$1+5&gt;=$B$23,$B$22,0))*(1+$B$4)^5)&gt;0,1+$B$3,1))</f>
        <v/>
      </c>
      <c r="I167">
        <f>IF($B$1+6&gt;90,H167,(H167+IF($B$1+6&lt;=$B167,12*$B$9,-12*MAX(0,$B$8-IF($B$1+6&gt;=$B$23,$B$22,0))*(1+$B$4)^6))*IF(H167+IF($B$1+6&lt;=$B167,12*$B$9,-12*MAX(0,$B$8-IF($B$1+6&gt;=$B$23,$B$22,0))*(1+$B$4)^6)&gt;0,1+$B$3,1))</f>
        <v/>
      </c>
      <c r="J167">
        <f>IF($B$1+7&gt;90,I167,(I167+IF($B$1+7&lt;=$B167,12*$B$9,-12*MAX(0,$B$8-IF($B$1+7&gt;=$B$23,$B$22,0))*(1+$B$4)^7))*IF(I167+IF($B$1+7&lt;=$B167,12*$B$9,-12*MAX(0,$B$8-IF($B$1+7&gt;=$B$23,$B$22,0))*(1+$B$4)^7)&gt;0,1+$B$3,1))</f>
        <v/>
      </c>
      <c r="K167">
        <f>IF($B$1+8&gt;90,J167,(J167+IF($B$1+8&lt;=$B167,12*$B$9,-12*MAX(0,$B$8-IF($B$1+8&gt;=$B$23,$B$22,0))*(1+$B$4)^8))*IF(J167+IF($B$1+8&lt;=$B167,12*$B$9,-12*MAX(0,$B$8-IF($B$1+8&gt;=$B$23,$B$22,0))*(1+$B$4)^8)&gt;0,1+$B$3,1))</f>
        <v/>
      </c>
      <c r="L167">
        <f>IF($B$1+9&gt;90,K167,(K167+IF($B$1+9&lt;=$B167,12*$B$9,-12*MAX(0,$B$8-IF($B$1+9&gt;=$B$23,$B$22,0))*(1+$B$4)^9))*IF(K167+IF($B$1+9&lt;=$B167,12*$B$9,-12*MAX(0,$B$8-IF($B$1+9&gt;=$B$23,$B$22,0))*(1+$B$4)^9)&gt;0,1+$B$3,1))</f>
        <v/>
      </c>
      <c r="M167">
        <f>IF($B$1+10&gt;90,L167,(L167+IF($B$1+10&lt;=$B167,12*$B$9,-12*MAX(0,$B$8-IF($B$1+10&gt;=$B$23,$B$22,0))*(1+$B$4)^10))*IF(L167+IF($B$1+10&lt;=$B167,12*$B$9,-12*MAX(0,$B$8-IF($B$1+10&gt;=$B$23,$B$22,0))*(1+$B$4)^10)&gt;0,1+$B$3,1))</f>
        <v/>
      </c>
      <c r="N167">
        <f>IF($B$1+11&gt;90,M167,(M167+IF($B$1+11&lt;=$B167,12*$B$9,-12*MAX(0,$B$8-IF($B$1+11&gt;=$B$23,$B$22,0))*(1+$B$4)^11))*IF(M167+IF($B$1+11&lt;=$B167,12*$B$9,-12*MAX(0,$B$8-IF($B$1+11&gt;=$B$23,$B$22,0))*(1+$B$4)^11)&gt;0,1+$B$3,1))</f>
        <v/>
      </c>
      <c r="O167">
        <f>IF($B$1+12&gt;90,N167,(N167+IF($B$1+12&lt;=$B167,12*$B$9,-12*MAX(0,$B$8-IF($B$1+12&gt;=$B$23,$B$22,0))*(1+$B$4)^12))*IF(N167+IF($B$1+12&lt;=$B167,12*$B$9,-12*MAX(0,$B$8-IF($B$1+12&gt;=$B$23,$B$22,0))*(1+$B$4)^12)&gt;0,1+$B$3,1))</f>
        <v/>
      </c>
      <c r="P167">
        <f>IF($B$1+13&gt;90,O167,(O167+IF($B$1+13&lt;=$B167,12*$B$9,-12*MAX(0,$B$8-IF($B$1+13&gt;=$B$23,$B$22,0))*(1+$B$4)^13))*IF(O167+IF($B$1+13&lt;=$B167,12*$B$9,-12*MAX(0,$B$8-IF($B$1+13&gt;=$B$23,$B$22,0))*(1+$B$4)^13)&gt;0,1+$B$3,1))</f>
        <v/>
      </c>
      <c r="Q167">
        <f>IF($B$1+14&gt;90,P167,(P167+IF($B$1+14&lt;=$B167,12*$B$9,-12*MAX(0,$B$8-IF($B$1+14&gt;=$B$23,$B$22,0))*(1+$B$4)^14))*IF(P167+IF($B$1+14&lt;=$B167,12*$B$9,-12*MAX(0,$B$8-IF($B$1+14&gt;=$B$23,$B$22,0))*(1+$B$4)^14)&gt;0,1+$B$3,1))</f>
        <v/>
      </c>
      <c r="R167">
        <f>IF($B$1+15&gt;90,Q167,(Q167+IF($B$1+15&lt;=$B167,12*$B$9,-12*MAX(0,$B$8-IF($B$1+15&gt;=$B$23,$B$22,0))*(1+$B$4)^15))*IF(Q167+IF($B$1+15&lt;=$B167,12*$B$9,-12*MAX(0,$B$8-IF($B$1+15&gt;=$B$23,$B$22,0))*(1+$B$4)^15)&gt;0,1+$B$3,1))</f>
        <v/>
      </c>
      <c r="S167">
        <f>IF($B$1+16&gt;90,R167,(R167+IF($B$1+16&lt;=$B167,12*$B$9,-12*MAX(0,$B$8-IF($B$1+16&gt;=$B$23,$B$22,0))*(1+$B$4)^16))*IF(R167+IF($B$1+16&lt;=$B167,12*$B$9,-12*MAX(0,$B$8-IF($B$1+16&gt;=$B$23,$B$22,0))*(1+$B$4)^16)&gt;0,1+$B$3,1))</f>
        <v/>
      </c>
      <c r="T167">
        <f>IF($B$1+17&gt;90,S167,(S167+IF($B$1+17&lt;=$B167,12*$B$9,-12*MAX(0,$B$8-IF($B$1+17&gt;=$B$23,$B$22,0))*(1+$B$4)^17))*IF(S167+IF($B$1+17&lt;=$B167,12*$B$9,-12*MAX(0,$B$8-IF($B$1+17&gt;=$B$23,$B$22,0))*(1+$B$4)^17)&gt;0,1+$B$3,1))</f>
        <v/>
      </c>
      <c r="U167">
        <f>IF($B$1+18&gt;90,T167,(T167+IF($B$1+18&lt;=$B167,12*$B$9,-12*MAX(0,$B$8-IF($B$1+18&gt;=$B$23,$B$22,0))*(1+$B$4)^18))*IF(T167+IF($B$1+18&lt;=$B167,12*$B$9,-12*MAX(0,$B$8-IF($B$1+18&gt;=$B$23,$B$22,0))*(1+$B$4)^18)&gt;0,1+$B$3,1))</f>
        <v/>
      </c>
      <c r="V167">
        <f>IF($B$1+19&gt;90,U167,(U167+IF($B$1+19&lt;=$B167,12*$B$9,-12*MAX(0,$B$8-IF($B$1+19&gt;=$B$23,$B$22,0))*(1+$B$4)^19))*IF(U167+IF($B$1+19&lt;=$B167,12*$B$9,-12*MAX(0,$B$8-IF($B$1+19&gt;=$B$23,$B$22,0))*(1+$B$4)^19)&gt;0,1+$B$3,1))</f>
        <v/>
      </c>
      <c r="W167">
        <f>IF($B$1+20&gt;90,V167,(V167+IF($B$1+20&lt;=$B167,12*$B$9,-12*MAX(0,$B$8-IF($B$1+20&gt;=$B$23,$B$22,0))*(1+$B$4)^20))*IF(V167+IF($B$1+20&lt;=$B167,12*$B$9,-12*MAX(0,$B$8-IF($B$1+20&gt;=$B$23,$B$22,0))*(1+$B$4)^20)&gt;0,1+$B$3,1))</f>
        <v/>
      </c>
      <c r="X167">
        <f>IF($B$1+21&gt;90,W167,(W167+IF($B$1+21&lt;=$B167,12*$B$9,-12*MAX(0,$B$8-IF($B$1+21&gt;=$B$23,$B$22,0))*(1+$B$4)^21))*IF(W167+IF($B$1+21&lt;=$B167,12*$B$9,-12*MAX(0,$B$8-IF($B$1+21&gt;=$B$23,$B$22,0))*(1+$B$4)^21)&gt;0,1+$B$3,1))</f>
        <v/>
      </c>
      <c r="Y167">
        <f>IF($B$1+22&gt;90,X167,(X167+IF($B$1+22&lt;=$B167,12*$B$9,-12*MAX(0,$B$8-IF($B$1+22&gt;=$B$23,$B$22,0))*(1+$B$4)^22))*IF(X167+IF($B$1+22&lt;=$B167,12*$B$9,-12*MAX(0,$B$8-IF($B$1+22&gt;=$B$23,$B$22,0))*(1+$B$4)^22)&gt;0,1+$B$3,1))</f>
        <v/>
      </c>
      <c r="Z167">
        <f>IF($B$1+23&gt;90,Y167,(Y167+IF($B$1+23&lt;=$B167,12*$B$9,-12*MAX(0,$B$8-IF($B$1+23&gt;=$B$23,$B$22,0))*(1+$B$4)^23))*IF(Y167+IF($B$1+23&lt;=$B167,12*$B$9,-12*MAX(0,$B$8-IF($B$1+23&gt;=$B$23,$B$22,0))*(1+$B$4)^23)&gt;0,1+$B$3,1))</f>
        <v/>
      </c>
      <c r="AA167">
        <f>IF($B$1+24&gt;90,Z167,(Z167+IF($B$1+24&lt;=$B167,12*$B$9,-12*MAX(0,$B$8-IF($B$1+24&gt;=$B$23,$B$22,0))*(1+$B$4)^24))*IF(Z167+IF($B$1+24&lt;=$B167,12*$B$9,-12*MAX(0,$B$8-IF($B$1+24&gt;=$B$23,$B$22,0))*(1+$B$4)^24)&gt;0,1+$B$3,1))</f>
        <v/>
      </c>
      <c r="AB167">
        <f>IF($B$1+25&gt;90,AA167,(AA167+IF($B$1+25&lt;=$B167,12*$B$9,-12*MAX(0,$B$8-IF($B$1+25&gt;=$B$23,$B$22,0))*(1+$B$4)^25))*IF(AA167+IF($B$1+25&lt;=$B167,12*$B$9,-12*MAX(0,$B$8-IF($B$1+25&gt;=$B$23,$B$22,0))*(1+$B$4)^25)&gt;0,1+$B$3,1))</f>
        <v/>
      </c>
      <c r="AC167">
        <f>IF($B$1+26&gt;90,AB167,(AB167+IF($B$1+26&lt;=$B167,12*$B$9,-12*MAX(0,$B$8-IF($B$1+26&gt;=$B$23,$B$22,0))*(1+$B$4)^26))*IF(AB167+IF($B$1+26&lt;=$B167,12*$B$9,-12*MAX(0,$B$8-IF($B$1+26&gt;=$B$23,$B$22,0))*(1+$B$4)^26)&gt;0,1+$B$3,1))</f>
        <v/>
      </c>
      <c r="AD167">
        <f>IF($B$1+27&gt;90,AC167,(AC167+IF($B$1+27&lt;=$B167,12*$B$9,-12*MAX(0,$B$8-IF($B$1+27&gt;=$B$23,$B$22,0))*(1+$B$4)^27))*IF(AC167+IF($B$1+27&lt;=$B167,12*$B$9,-12*MAX(0,$B$8-IF($B$1+27&gt;=$B$23,$B$22,0))*(1+$B$4)^27)&gt;0,1+$B$3,1))</f>
        <v/>
      </c>
      <c r="AE167">
        <f>IF($B$1+28&gt;90,AD167,(AD167+IF($B$1+28&lt;=$B167,12*$B$9,-12*MAX(0,$B$8-IF($B$1+28&gt;=$B$23,$B$22,0))*(1+$B$4)^28))*IF(AD167+IF($B$1+28&lt;=$B167,12*$B$9,-12*MAX(0,$B$8-IF($B$1+28&gt;=$B$23,$B$22,0))*(1+$B$4)^28)&gt;0,1+$B$3,1))</f>
        <v/>
      </c>
      <c r="AF167">
        <f>IF($B$1+29&gt;90,AE167,(AE167+IF($B$1+29&lt;=$B167,12*$B$9,-12*MAX(0,$B$8-IF($B$1+29&gt;=$B$23,$B$22,0))*(1+$B$4)^29))*IF(AE167+IF($B$1+29&lt;=$B167,12*$B$9,-12*MAX(0,$B$8-IF($B$1+29&gt;=$B$23,$B$22,0))*(1+$B$4)^29)&gt;0,1+$B$3,1))</f>
        <v/>
      </c>
      <c r="AG167">
        <f>IF($B$1+30&gt;90,AF167,(AF167+IF($B$1+30&lt;=$B167,12*$B$9,-12*MAX(0,$B$8-IF($B$1+30&gt;=$B$23,$B$22,0))*(1+$B$4)^30))*IF(AF167+IF($B$1+30&lt;=$B167,12*$B$9,-12*MAX(0,$B$8-IF($B$1+30&gt;=$B$23,$B$22,0))*(1+$B$4)^30)&gt;0,1+$B$3,1))</f>
        <v/>
      </c>
      <c r="AH167">
        <f>IF($B$1+31&gt;90,AG167,(AG167+IF($B$1+31&lt;=$B167,12*$B$9,-12*MAX(0,$B$8-IF($B$1+31&gt;=$B$23,$B$22,0))*(1+$B$4)^31))*IF(AG167+IF($B$1+31&lt;=$B167,12*$B$9,-12*MAX(0,$B$8-IF($B$1+31&gt;=$B$23,$B$22,0))*(1+$B$4)^31)&gt;0,1+$B$3,1))</f>
        <v/>
      </c>
      <c r="AI167">
        <f>IF($B$1+32&gt;90,AH167,(AH167+IF($B$1+32&lt;=$B167,12*$B$9,-12*MAX(0,$B$8-IF($B$1+32&gt;=$B$23,$B$22,0))*(1+$B$4)^32))*IF(AH167+IF($B$1+32&lt;=$B167,12*$B$9,-12*MAX(0,$B$8-IF($B$1+32&gt;=$B$23,$B$22,0))*(1+$B$4)^32)&gt;0,1+$B$3,1))</f>
        <v/>
      </c>
      <c r="AJ167">
        <f>IF($B$1+33&gt;90,AI167,(AI167+IF($B$1+33&lt;=$B167,12*$B$9,-12*MAX(0,$B$8-IF($B$1+33&gt;=$B$23,$B$22,0))*(1+$B$4)^33))*IF(AI167+IF($B$1+33&lt;=$B167,12*$B$9,-12*MAX(0,$B$8-IF($B$1+33&gt;=$B$23,$B$22,0))*(1+$B$4)^33)&gt;0,1+$B$3,1))</f>
        <v/>
      </c>
      <c r="AK167">
        <f>IF($B$1+34&gt;90,AJ167,(AJ167+IF($B$1+34&lt;=$B167,12*$B$9,-12*MAX(0,$B$8-IF($B$1+34&gt;=$B$23,$B$22,0))*(1+$B$4)^34))*IF(AJ167+IF($B$1+34&lt;=$B167,12*$B$9,-12*MAX(0,$B$8-IF($B$1+34&gt;=$B$23,$B$22,0))*(1+$B$4)^34)&gt;0,1+$B$3,1))</f>
        <v/>
      </c>
      <c r="AL167">
        <f>IF($B$1+35&gt;90,AK167,(AK167+IF($B$1+35&lt;=$B167,12*$B$9,-12*MAX(0,$B$8-IF($B$1+35&gt;=$B$23,$B$22,0))*(1+$B$4)^35))*IF(AK167+IF($B$1+35&lt;=$B167,12*$B$9,-12*MAX(0,$B$8-IF($B$1+35&gt;=$B$23,$B$22,0))*(1+$B$4)^35)&gt;0,1+$B$3,1))</f>
        <v/>
      </c>
      <c r="AM167">
        <f>IF($B$1+36&gt;90,AL167,(AL167+IF($B$1+36&lt;=$B167,12*$B$9,-12*MAX(0,$B$8-IF($B$1+36&gt;=$B$23,$B$22,0))*(1+$B$4)^36))*IF(AL167+IF($B$1+36&lt;=$B167,12*$B$9,-12*MAX(0,$B$8-IF($B$1+36&gt;=$B$23,$B$22,0))*(1+$B$4)^36)&gt;0,1+$B$3,1))</f>
        <v/>
      </c>
      <c r="AN167">
        <f>IF($B$1+37&gt;90,AM167,(AM167+IF($B$1+37&lt;=$B167,12*$B$9,-12*MAX(0,$B$8-IF($B$1+37&gt;=$B$23,$B$22,0))*(1+$B$4)^37))*IF(AM167+IF($B$1+37&lt;=$B167,12*$B$9,-12*MAX(0,$B$8-IF($B$1+37&gt;=$B$23,$B$22,0))*(1+$B$4)^37)&gt;0,1+$B$3,1))</f>
        <v/>
      </c>
      <c r="AO167">
        <f>IF($B$1+38&gt;90,AN167,(AN167+IF($B$1+38&lt;=$B167,12*$B$9,-12*MAX(0,$B$8-IF($B$1+38&gt;=$B$23,$B$22,0))*(1+$B$4)^38))*IF(AN167+IF($B$1+38&lt;=$B167,12*$B$9,-12*MAX(0,$B$8-IF($B$1+38&gt;=$B$23,$B$22,0))*(1+$B$4)^38)&gt;0,1+$B$3,1))</f>
        <v/>
      </c>
      <c r="AP167">
        <f>IF($B$1+39&gt;90,AO167,(AO167+IF($B$1+39&lt;=$B167,12*$B$9,-12*MAX(0,$B$8-IF($B$1+39&gt;=$B$23,$B$22,0))*(1+$B$4)^39))*IF(AO167+IF($B$1+39&lt;=$B167,12*$B$9,-12*MAX(0,$B$8-IF($B$1+39&gt;=$B$23,$B$22,0))*(1+$B$4)^39)&gt;0,1+$B$3,1))</f>
        <v/>
      </c>
      <c r="AQ167">
        <f>IF($B$1+40&gt;90,AP167,(AP167+IF($B$1+40&lt;=$B167,12*$B$9,-12*MAX(0,$B$8-IF($B$1+40&gt;=$B$23,$B$22,0))*(1+$B$4)^40))*IF(AP167+IF($B$1+40&lt;=$B167,12*$B$9,-12*MAX(0,$B$8-IF($B$1+40&gt;=$B$23,$B$22,0))*(1+$B$4)^40)&gt;0,1+$B$3,1))</f>
        <v/>
      </c>
      <c r="AR167">
        <f>IF($B$1+41&gt;90,AQ167,(AQ167+IF($B$1+41&lt;=$B167,12*$B$9,-12*MAX(0,$B$8-IF($B$1+41&gt;=$B$23,$B$22,0))*(1+$B$4)^41))*IF(AQ167+IF($B$1+41&lt;=$B167,12*$B$9,-12*MAX(0,$B$8-IF($B$1+41&gt;=$B$23,$B$22,0))*(1+$B$4)^41)&gt;0,1+$B$3,1))</f>
        <v/>
      </c>
      <c r="AS167">
        <f>IF($B$1+42&gt;90,AR167,(AR167+IF($B$1+42&lt;=$B167,12*$B$9,-12*MAX(0,$B$8-IF($B$1+42&gt;=$B$23,$B$22,0))*(1+$B$4)^42))*IF(AR167+IF($B$1+42&lt;=$B167,12*$B$9,-12*MAX(0,$B$8-IF($B$1+42&gt;=$B$23,$B$22,0))*(1+$B$4)^42)&gt;0,1+$B$3,1))</f>
        <v/>
      </c>
      <c r="AT167">
        <f>IF($B$1+43&gt;90,AS167,(AS167+IF($B$1+43&lt;=$B167,12*$B$9,-12*MAX(0,$B$8-IF($B$1+43&gt;=$B$23,$B$22,0))*(1+$B$4)^43))*IF(AS167+IF($B$1+43&lt;=$B167,12*$B$9,-12*MAX(0,$B$8-IF($B$1+43&gt;=$B$23,$B$22,0))*(1+$B$4)^43)&gt;0,1+$B$3,1))</f>
        <v/>
      </c>
      <c r="AU167">
        <f>IF($B$1+44&gt;90,AT167,(AT167+IF($B$1+44&lt;=$B167,12*$B$9,-12*MAX(0,$B$8-IF($B$1+44&gt;=$B$23,$B$22,0))*(1+$B$4)^44))*IF(AT167+IF($B$1+44&lt;=$B167,12*$B$9,-12*MAX(0,$B$8-IF($B$1+44&gt;=$B$23,$B$22,0))*(1+$B$4)^44)&gt;0,1+$B$3,1))</f>
        <v/>
      </c>
      <c r="AV167">
        <f>IF($B$1+45&gt;90,AU167,(AU167+IF($B$1+45&lt;=$B167,12*$B$9,-12*MAX(0,$B$8-IF($B$1+45&gt;=$B$23,$B$22,0))*(1+$B$4)^45))*IF(AU167+IF($B$1+45&lt;=$B167,12*$B$9,-12*MAX(0,$B$8-IF($B$1+45&gt;=$B$23,$B$22,0))*(1+$B$4)^45)&gt;0,1+$B$3,1))</f>
        <v/>
      </c>
      <c r="AW167">
        <f>IF($B$1+46&gt;90,AV167,(AV167+IF($B$1+46&lt;=$B167,12*$B$9,-12*MAX(0,$B$8-IF($B$1+46&gt;=$B$23,$B$22,0))*(1+$B$4)^46))*IF(AV167+IF($B$1+46&lt;=$B167,12*$B$9,-12*MAX(0,$B$8-IF($B$1+46&gt;=$B$23,$B$22,0))*(1+$B$4)^46)&gt;0,1+$B$3,1))</f>
        <v/>
      </c>
      <c r="AX167">
        <f>IF($B$1+47&gt;90,AW167,(AW167+IF($B$1+47&lt;=$B167,12*$B$9,-12*MAX(0,$B$8-IF($B$1+47&gt;=$B$23,$B$22,0))*(1+$B$4)^47))*IF(AW167+IF($B$1+47&lt;=$B167,12*$B$9,-12*MAX(0,$B$8-IF($B$1+47&gt;=$B$23,$B$22,0))*(1+$B$4)^47)&gt;0,1+$B$3,1))</f>
        <v/>
      </c>
      <c r="AY167">
        <f>IF($B$1+48&gt;90,AX167,(AX167+IF($B$1+48&lt;=$B167,12*$B$9,-12*MAX(0,$B$8-IF($B$1+48&gt;=$B$23,$B$22,0))*(1+$B$4)^48))*IF(AX167+IF($B$1+48&lt;=$B167,12*$B$9,-12*MAX(0,$B$8-IF($B$1+48&gt;=$B$23,$B$22,0))*(1+$B$4)^48)&gt;0,1+$B$3,1))</f>
        <v/>
      </c>
      <c r="AZ167">
        <f>IF($B$1+49&gt;90,AY167,(AY167+IF($B$1+49&lt;=$B167,12*$B$9,-12*MAX(0,$B$8-IF($B$1+49&gt;=$B$23,$B$22,0))*(1+$B$4)^49))*IF(AY167+IF($B$1+49&lt;=$B167,12*$B$9,-12*MAX(0,$B$8-IF($B$1+49&gt;=$B$23,$B$22,0))*(1+$B$4)^49)&gt;0,1+$B$3,1))</f>
        <v/>
      </c>
      <c r="BA167">
        <f>IF($B$1+50&gt;90,AZ167,(AZ167+IF($B$1+50&lt;=$B167,12*$B$9,-12*MAX(0,$B$8-IF($B$1+50&gt;=$B$23,$B$22,0))*(1+$B$4)^50))*IF(AZ167+IF($B$1+50&lt;=$B167,12*$B$9,-12*MAX(0,$B$8-IF($B$1+50&gt;=$B$23,$B$22,0))*(1+$B$4)^50)&gt;0,1+$B$3,1))</f>
        <v/>
      </c>
      <c r="BB167">
        <f>IF($B$1+51&gt;90,BA167,(BA167+IF($B$1+51&lt;=$B167,12*$B$9,-12*MAX(0,$B$8-IF($B$1+51&gt;=$B$23,$B$22,0))*(1+$B$4)^51))*IF(BA167+IF($B$1+51&lt;=$B167,12*$B$9,-12*MAX(0,$B$8-IF($B$1+51&gt;=$B$23,$B$22,0))*(1+$B$4)^51)&gt;0,1+$B$3,1))</f>
        <v/>
      </c>
      <c r="BC167">
        <f>IF($B$1+52&gt;90,BB167,(BB167+IF($B$1+52&lt;=$B167,12*$B$9,-12*MAX(0,$B$8-IF($B$1+52&gt;=$B$23,$B$22,0))*(1+$B$4)^52))*IF(BB167+IF($B$1+52&lt;=$B167,12*$B$9,-12*MAX(0,$B$8-IF($B$1+52&gt;=$B$23,$B$22,0))*(1+$B$4)^52)&gt;0,1+$B$3,1))</f>
        <v/>
      </c>
      <c r="BD167">
        <f>IF($B$1+53&gt;90,BC167,(BC167+IF($B$1+53&lt;=$B167,12*$B$9,-12*MAX(0,$B$8-IF($B$1+53&gt;=$B$23,$B$22,0))*(1+$B$4)^53))*IF(BC167+IF($B$1+53&lt;=$B167,12*$B$9,-12*MAX(0,$B$8-IF($B$1+53&gt;=$B$23,$B$22,0))*(1+$B$4)^53)&gt;0,1+$B$3,1))</f>
        <v/>
      </c>
      <c r="BE167">
        <f>IF($B$1+54&gt;90,BD167,(BD167+IF($B$1+54&lt;=$B167,12*$B$9,-12*MAX(0,$B$8-IF($B$1+54&gt;=$B$23,$B$22,0))*(1+$B$4)^54))*IF(BD167+IF($B$1+54&lt;=$B167,12*$B$9,-12*MAX(0,$B$8-IF($B$1+54&gt;=$B$23,$B$22,0))*(1+$B$4)^54)&gt;0,1+$B$3,1))</f>
        <v/>
      </c>
      <c r="BF167">
        <f>IF($B$1+55&gt;90,BE167,(BE167+IF($B$1+55&lt;=$B167,12*$B$9,-12*MAX(0,$B$8-IF($B$1+55&gt;=$B$23,$B$22,0))*(1+$B$4)^55))*IF(BE167+IF($B$1+55&lt;=$B167,12*$B$9,-12*MAX(0,$B$8-IF($B$1+55&gt;=$B$23,$B$22,0))*(1+$B$4)^55)&gt;0,1+$B$3,1))</f>
        <v/>
      </c>
      <c r="BG167">
        <f>IF($B$1+56&gt;90,BF167,(BF167+IF($B$1+56&lt;=$B167,12*$B$9,-12*MAX(0,$B$8-IF($B$1+56&gt;=$B$23,$B$22,0))*(1+$B$4)^56))*IF(BF167+IF($B$1+56&lt;=$B167,12*$B$9,-12*MAX(0,$B$8-IF($B$1+56&gt;=$B$23,$B$22,0))*(1+$B$4)^56)&gt;0,1+$B$3,1))</f>
        <v/>
      </c>
      <c r="BH167">
        <f>IF($B$1+57&gt;90,BG167,(BG167+IF($B$1+57&lt;=$B167,12*$B$9,-12*MAX(0,$B$8-IF($B$1+57&gt;=$B$23,$B$22,0))*(1+$B$4)^57))*IF(BG167+IF($B$1+57&lt;=$B167,12*$B$9,-12*MAX(0,$B$8-IF($B$1+57&gt;=$B$23,$B$22,0))*(1+$B$4)^57)&gt;0,1+$B$3,1))</f>
        <v/>
      </c>
      <c r="BI167">
        <f>IF($B$1+58&gt;90,BH167,(BH167+IF($B$1+58&lt;=$B167,12*$B$9,-12*MAX(0,$B$8-IF($B$1+58&gt;=$B$23,$B$22,0))*(1+$B$4)^58))*IF(BH167+IF($B$1+58&lt;=$B167,12*$B$9,-12*MAX(0,$B$8-IF($B$1+58&gt;=$B$23,$B$22,0))*(1+$B$4)^58)&gt;0,1+$B$3,1))</f>
        <v/>
      </c>
      <c r="BJ167">
        <f>IF($B$1+59&gt;90,BI167,(BI167+IF($B$1+59&lt;=$B167,12*$B$9,-12*MAX(0,$B$8-IF($B$1+59&gt;=$B$23,$B$22,0))*(1+$B$4)^59))*IF(BI167+IF($B$1+59&lt;=$B167,12*$B$9,-12*MAX(0,$B$8-IF($B$1+59&gt;=$B$23,$B$22,0))*(1+$B$4)^59)&gt;0,1+$B$3,1))</f>
        <v/>
      </c>
      <c r="BK167">
        <f>IF($B$1+60&gt;90,BJ167,(BJ167+IF($B$1+60&lt;=$B167,12*$B$9,-12*MAX(0,$B$8-IF($B$1+60&gt;=$B$23,$B$22,0))*(1+$B$4)^60))*IF(BJ167+IF($B$1+60&lt;=$B167,12*$B$9,-12*MAX(0,$B$8-IF($B$1+60&gt;=$B$23,$B$22,0))*(1+$B$4)^60)&gt;0,1+$B$3,1))</f>
        <v/>
      </c>
      <c r="BL167">
        <f>IF($B$1+61&gt;90,BK167,(BK167+IF($B$1+61&lt;=$B167,12*$B$9,-12*MAX(0,$B$8-IF($B$1+61&gt;=$B$23,$B$22,0))*(1+$B$4)^61))*IF(BK167+IF($B$1+61&lt;=$B167,12*$B$9,-12*MAX(0,$B$8-IF($B$1+61&gt;=$B$23,$B$22,0))*(1+$B$4)^61)&gt;0,1+$B$3,1))</f>
        <v/>
      </c>
      <c r="BM167">
        <f>IF($B$1+62&gt;90,BL167,(BL167+IF($B$1+62&lt;=$B167,12*$B$9,-12*MAX(0,$B$8-IF($B$1+62&gt;=$B$23,$B$22,0))*(1+$B$4)^62))*IF(BL167+IF($B$1+62&lt;=$B167,12*$B$9,-12*MAX(0,$B$8-IF($B$1+62&gt;=$B$23,$B$22,0))*(1+$B$4)^62)&gt;0,1+$B$3,1))</f>
        <v/>
      </c>
      <c r="BN167">
        <f>IF($B$1+63&gt;90,BM167,(BM167+IF($B$1+63&lt;=$B167,12*$B$9,-12*MAX(0,$B$8-IF($B$1+63&gt;=$B$23,$B$22,0))*(1+$B$4)^63))*IF(BM167+IF($B$1+63&lt;=$B167,12*$B$9,-12*MAX(0,$B$8-IF($B$1+63&gt;=$B$23,$B$22,0))*(1+$B$4)^63)&gt;0,1+$B$3,1))</f>
        <v/>
      </c>
      <c r="BO167">
        <f>IF($B$1+64&gt;90,BN167,(BN167+IF($B$1+64&lt;=$B167,12*$B$9,-12*MAX(0,$B$8-IF($B$1+64&gt;=$B$23,$B$22,0))*(1+$B$4)^64))*IF(BN167+IF($B$1+64&lt;=$B167,12*$B$9,-12*MAX(0,$B$8-IF($B$1+64&gt;=$B$23,$B$22,0))*(1+$B$4)^64)&gt;0,1+$B$3,1))</f>
        <v/>
      </c>
      <c r="BP167">
        <f>IF($B$1+65&gt;90,BO167,(BO167+IF($B$1+65&lt;=$B167,12*$B$9,-12*MAX(0,$B$8-IF($B$1+65&gt;=$B$23,$B$22,0))*(1+$B$4)^65))*IF(BO167+IF($B$1+65&lt;=$B167,12*$B$9,-12*MAX(0,$B$8-IF($B$1+65&gt;=$B$23,$B$22,0))*(1+$B$4)^65)&gt;0,1+$B$3,1))</f>
        <v/>
      </c>
      <c r="BQ167">
        <f>IF($B$1+66&gt;90,BP167,(BP167+IF($B$1+66&lt;=$B167,12*$B$9,-12*MAX(0,$B$8-IF($B$1+66&gt;=$B$23,$B$22,0))*(1+$B$4)^66))*IF(BP167+IF($B$1+66&lt;=$B167,12*$B$9,-12*MAX(0,$B$8-IF($B$1+66&gt;=$B$23,$B$22,0))*(1+$B$4)^66)&gt;0,1+$B$3,1))</f>
        <v/>
      </c>
      <c r="BR167">
        <f>IF($B$1+67&gt;90,BQ167,(BQ167+IF($B$1+67&lt;=$B167,12*$B$9,-12*MAX(0,$B$8-IF($B$1+67&gt;=$B$23,$B$22,0))*(1+$B$4)^67))*IF(BQ167+IF($B$1+67&lt;=$B167,12*$B$9,-12*MAX(0,$B$8-IF($B$1+67&gt;=$B$23,$B$22,0))*(1+$B$4)^67)&gt;0,1+$B$3,1))</f>
        <v/>
      </c>
      <c r="BS167">
        <f>IF($B$1+68&gt;90,BR167,(BR167+IF($B$1+68&lt;=$B167,12*$B$9,-12*MAX(0,$B$8-IF($B$1+68&gt;=$B$23,$B$22,0))*(1+$B$4)^68))*IF(BR167+IF($B$1+68&lt;=$B167,12*$B$9,-12*MAX(0,$B$8-IF($B$1+68&gt;=$B$23,$B$22,0))*(1+$B$4)^68)&gt;0,1+$B$3,1))</f>
        <v/>
      </c>
      <c r="BT167">
        <f>IF($B$1+69&gt;90,BS167,(BS167+IF($B$1+69&lt;=$B167,12*$B$9,-12*MAX(0,$B$8-IF($B$1+69&gt;=$B$23,$B$22,0))*(1+$B$4)^69))*IF(BS167+IF($B$1+69&lt;=$B167,12*$B$9,-12*MAX(0,$B$8-IF($B$1+69&gt;=$B$23,$B$22,0))*(1+$B$4)^69)&gt;0,1+$B$3,1))</f>
        <v/>
      </c>
      <c r="BU167">
        <f>IF($B$1+70&gt;90,BT167,(BT167+IF($B$1+70&lt;=$B167,12*$B$9,-12*MAX(0,$B$8-IF($B$1+70&gt;=$B$23,$B$22,0))*(1+$B$4)^70))*IF(BT167+IF($B$1+70&lt;=$B167,12*$B$9,-12*MAX(0,$B$8-IF($B$1+70&gt;=$B$23,$B$22,0))*(1+$B$4)^70)&gt;0,1+$B$3,1))</f>
        <v/>
      </c>
      <c r="BV167">
        <f>BU167</f>
        <v/>
      </c>
      <c r="BW167">
        <f>IF(AND($B167&lt;=70,BV167&gt;0),$B167,999)</f>
        <v/>
      </c>
      <c r="CH167">
        <f>IF(ISTEXT('월 가계부'!A167),SUBSTITUTE(SUBSTITUTE(SUBSTITUTE(SUBSTITUTE(SUBSTITUTE(SUBSTITUTE(SUBSTITUTE(SUBSTITUTE(SUBSTITUTE(TRIM('월 가계부'!A167),"년","-"),"월","-"),"일",""),".","-"),"/","-")," ","-"),"--","-"),"--","-"),"--","-")&amp;"-","")</f>
        <v/>
      </c>
      <c r="CI167">
        <f>IFERROR(IF('월 가계부'!A167="","",IF(ISNUMBER('월 가계부'!A167),IF(AND('월 가계부'!A167&gt;=19000101,'월 가계부'!A167&lt;=21001231),IF(AND(MOD(INT('월 가계부'!A167/100),100)&gt;=1,MOD(INT('월 가계부'!A167/100),100)&lt;=12,MOD(INT('월 가계부'!A167),100)&gt;=1,MOD(INT('월 가계부'!A167),100)&lt;=31),IF(MONTH(DATE(INT('월 가계부'!A167/10000),MOD(INT('월 가계부'!A167/100),100),MOD(INT('월 가계부'!A167),100)))=MOD(INT('월 가계부'!A167/100),100),DATE(INT('월 가계부'!A167/10000),MOD(INT('월 가계부'!A167/100),100),MOD(INT('월 가계부'!A167),100)),""),""),IF(AND('월 가계부'!A167&gt;=36526,'월 가계부'!A167&lt;73051),INT('월 가계부'!A167),"")),IF(OR(CM167="",CN167="",CO167=""),"",IF(AND(CM167&gt;=2000,CM167&lt;=2099,CN167&gt;=1,CN167&lt;=12,CO167&gt;=1,CO167&lt;=31),IF(MONTH(DATE(CM167,CN167,CO167))=CN167,DATE(CM167,CN167,CO167),""),"")))),"")</f>
        <v/>
      </c>
      <c r="CJ167">
        <f>IFERROR(IF('월 가계부'!C167="","",IF(ISNUMBER('월 가계부'!C167),'월 가계부'!C167,VALUE(SUBSTITUTE(SUBSTITUTE(SUBSTITUTE(SUBSTITUTE(TRIM('월 가계부'!C167),",",""),"원","")," ",""),"−","-")))),"")</f>
        <v/>
      </c>
      <c r="CK167">
        <f>IF(ISNUMBER(CI167),IF(CI167&lt;$B$13,CI167,""),"")</f>
        <v/>
      </c>
      <c r="CM167">
        <f>IF(CH167="","",IFERROR(IF(IF(AND(LEN(CH167)=9,ISERROR(FIND("-",LEFT(CH167,8))),ISNUMBER(-LEFT(CH167,8))),VALUE(LEFT(CH167,4)),VALUE(LEFT(CH167,FIND("-",CH167)-1)))&lt;100,IF(AND(LEN(CH167)=9,ISERROR(FIND("-",LEFT(CH167,8))),ISNUMBER(-LEFT(CH167,8))),VALUE(LEFT(CH167,4)),VALUE(LEFT(CH167,FIND("-",CH167)-1)))+2000,IF(AND(LEN(CH167)=9,ISERROR(FIND("-",LEFT(CH167,8))),ISNUMBER(-LEFT(CH167,8))),VALUE(LEFT(CH167,4)),VALUE(LEFT(CH167,FIND("-",CH167)-1)))),""))</f>
        <v/>
      </c>
      <c r="CN167">
        <f>IF(CH167="","",IFERROR(IF(AND(LEN(CH167)=9,ISERROR(FIND("-",LEFT(CH167,8))),ISNUMBER(-LEFT(CH167,8))),VALUE(MID(CH167,5,2)),VALUE(MID(CH167,FIND("-",CH167)+1,FIND("-",CH167,FIND("-",CH167)+1)-FIND("-",CH167)-1))),""))</f>
        <v/>
      </c>
      <c r="CO167">
        <f>IF(CH167="","",IFERROR(IF(AND(LEN(CH167)=9,ISERROR(FIND("-",LEFT(CH167,8))),ISNUMBER(-LEFT(CH167,8))),VALUE(MID(CH167,7,2)),VALUE(MID(CH167,FIND("-",CH167,FIND("-",CH167)+1)+1,FIND("-",CH167,FIND("-",CH167,FIND("-",CH167)+1)+1)-FIND("-",CH167,FIND("-",CH167)+1)-1))),""))</f>
        <v/>
      </c>
    </row>
    <row r="168">
      <c r="A168" t="n">
        <v>16</v>
      </c>
      <c r="B168">
        <f>$B$1+16</f>
        <v/>
      </c>
      <c r="C168">
        <f>$B$2</f>
        <v/>
      </c>
      <c r="D168">
        <f>IF($B$1+1&gt;90,C168,(C168+IF($B$1+1&lt;=$B168,12*$B$9,-12*MAX(0,$B$8-IF($B$1+1&gt;=$B$23,$B$22,0))*(1+$B$4)^1))*IF(C168+IF($B$1+1&lt;=$B168,12*$B$9,-12*MAX(0,$B$8-IF($B$1+1&gt;=$B$23,$B$22,0))*(1+$B$4)^1)&gt;0,1+$B$3,1))</f>
        <v/>
      </c>
      <c r="E168">
        <f>IF($B$1+2&gt;90,D168,(D168+IF($B$1+2&lt;=$B168,12*$B$9,-12*MAX(0,$B$8-IF($B$1+2&gt;=$B$23,$B$22,0))*(1+$B$4)^2))*IF(D168+IF($B$1+2&lt;=$B168,12*$B$9,-12*MAX(0,$B$8-IF($B$1+2&gt;=$B$23,$B$22,0))*(1+$B$4)^2)&gt;0,1+$B$3,1))</f>
        <v/>
      </c>
      <c r="F168">
        <f>IF($B$1+3&gt;90,E168,(E168+IF($B$1+3&lt;=$B168,12*$B$9,-12*MAX(0,$B$8-IF($B$1+3&gt;=$B$23,$B$22,0))*(1+$B$4)^3))*IF(E168+IF($B$1+3&lt;=$B168,12*$B$9,-12*MAX(0,$B$8-IF($B$1+3&gt;=$B$23,$B$22,0))*(1+$B$4)^3)&gt;0,1+$B$3,1))</f>
        <v/>
      </c>
      <c r="G168">
        <f>IF($B$1+4&gt;90,F168,(F168+IF($B$1+4&lt;=$B168,12*$B$9,-12*MAX(0,$B$8-IF($B$1+4&gt;=$B$23,$B$22,0))*(1+$B$4)^4))*IF(F168+IF($B$1+4&lt;=$B168,12*$B$9,-12*MAX(0,$B$8-IF($B$1+4&gt;=$B$23,$B$22,0))*(1+$B$4)^4)&gt;0,1+$B$3,1))</f>
        <v/>
      </c>
      <c r="H168">
        <f>IF($B$1+5&gt;90,G168,(G168+IF($B$1+5&lt;=$B168,12*$B$9,-12*MAX(0,$B$8-IF($B$1+5&gt;=$B$23,$B$22,0))*(1+$B$4)^5))*IF(G168+IF($B$1+5&lt;=$B168,12*$B$9,-12*MAX(0,$B$8-IF($B$1+5&gt;=$B$23,$B$22,0))*(1+$B$4)^5)&gt;0,1+$B$3,1))</f>
        <v/>
      </c>
      <c r="I168">
        <f>IF($B$1+6&gt;90,H168,(H168+IF($B$1+6&lt;=$B168,12*$B$9,-12*MAX(0,$B$8-IF($B$1+6&gt;=$B$23,$B$22,0))*(1+$B$4)^6))*IF(H168+IF($B$1+6&lt;=$B168,12*$B$9,-12*MAX(0,$B$8-IF($B$1+6&gt;=$B$23,$B$22,0))*(1+$B$4)^6)&gt;0,1+$B$3,1))</f>
        <v/>
      </c>
      <c r="J168">
        <f>IF($B$1+7&gt;90,I168,(I168+IF($B$1+7&lt;=$B168,12*$B$9,-12*MAX(0,$B$8-IF($B$1+7&gt;=$B$23,$B$22,0))*(1+$B$4)^7))*IF(I168+IF($B$1+7&lt;=$B168,12*$B$9,-12*MAX(0,$B$8-IF($B$1+7&gt;=$B$23,$B$22,0))*(1+$B$4)^7)&gt;0,1+$B$3,1))</f>
        <v/>
      </c>
      <c r="K168">
        <f>IF($B$1+8&gt;90,J168,(J168+IF($B$1+8&lt;=$B168,12*$B$9,-12*MAX(0,$B$8-IF($B$1+8&gt;=$B$23,$B$22,0))*(1+$B$4)^8))*IF(J168+IF($B$1+8&lt;=$B168,12*$B$9,-12*MAX(0,$B$8-IF($B$1+8&gt;=$B$23,$B$22,0))*(1+$B$4)^8)&gt;0,1+$B$3,1))</f>
        <v/>
      </c>
      <c r="L168">
        <f>IF($B$1+9&gt;90,K168,(K168+IF($B$1+9&lt;=$B168,12*$B$9,-12*MAX(0,$B$8-IF($B$1+9&gt;=$B$23,$B$22,0))*(1+$B$4)^9))*IF(K168+IF($B$1+9&lt;=$B168,12*$B$9,-12*MAX(0,$B$8-IF($B$1+9&gt;=$B$23,$B$22,0))*(1+$B$4)^9)&gt;0,1+$B$3,1))</f>
        <v/>
      </c>
      <c r="M168">
        <f>IF($B$1+10&gt;90,L168,(L168+IF($B$1+10&lt;=$B168,12*$B$9,-12*MAX(0,$B$8-IF($B$1+10&gt;=$B$23,$B$22,0))*(1+$B$4)^10))*IF(L168+IF($B$1+10&lt;=$B168,12*$B$9,-12*MAX(0,$B$8-IF($B$1+10&gt;=$B$23,$B$22,0))*(1+$B$4)^10)&gt;0,1+$B$3,1))</f>
        <v/>
      </c>
      <c r="N168">
        <f>IF($B$1+11&gt;90,M168,(M168+IF($B$1+11&lt;=$B168,12*$B$9,-12*MAX(0,$B$8-IF($B$1+11&gt;=$B$23,$B$22,0))*(1+$B$4)^11))*IF(M168+IF($B$1+11&lt;=$B168,12*$B$9,-12*MAX(0,$B$8-IF($B$1+11&gt;=$B$23,$B$22,0))*(1+$B$4)^11)&gt;0,1+$B$3,1))</f>
        <v/>
      </c>
      <c r="O168">
        <f>IF($B$1+12&gt;90,N168,(N168+IF($B$1+12&lt;=$B168,12*$B$9,-12*MAX(0,$B$8-IF($B$1+12&gt;=$B$23,$B$22,0))*(1+$B$4)^12))*IF(N168+IF($B$1+12&lt;=$B168,12*$B$9,-12*MAX(0,$B$8-IF($B$1+12&gt;=$B$23,$B$22,0))*(1+$B$4)^12)&gt;0,1+$B$3,1))</f>
        <v/>
      </c>
      <c r="P168">
        <f>IF($B$1+13&gt;90,O168,(O168+IF($B$1+13&lt;=$B168,12*$B$9,-12*MAX(0,$B$8-IF($B$1+13&gt;=$B$23,$B$22,0))*(1+$B$4)^13))*IF(O168+IF($B$1+13&lt;=$B168,12*$B$9,-12*MAX(0,$B$8-IF($B$1+13&gt;=$B$23,$B$22,0))*(1+$B$4)^13)&gt;0,1+$B$3,1))</f>
        <v/>
      </c>
      <c r="Q168">
        <f>IF($B$1+14&gt;90,P168,(P168+IF($B$1+14&lt;=$B168,12*$B$9,-12*MAX(0,$B$8-IF($B$1+14&gt;=$B$23,$B$22,0))*(1+$B$4)^14))*IF(P168+IF($B$1+14&lt;=$B168,12*$B$9,-12*MAX(0,$B$8-IF($B$1+14&gt;=$B$23,$B$22,0))*(1+$B$4)^14)&gt;0,1+$B$3,1))</f>
        <v/>
      </c>
      <c r="R168">
        <f>IF($B$1+15&gt;90,Q168,(Q168+IF($B$1+15&lt;=$B168,12*$B$9,-12*MAX(0,$B$8-IF($B$1+15&gt;=$B$23,$B$22,0))*(1+$B$4)^15))*IF(Q168+IF($B$1+15&lt;=$B168,12*$B$9,-12*MAX(0,$B$8-IF($B$1+15&gt;=$B$23,$B$22,0))*(1+$B$4)^15)&gt;0,1+$B$3,1))</f>
        <v/>
      </c>
      <c r="S168">
        <f>IF($B$1+16&gt;90,R168,(R168+IF($B$1+16&lt;=$B168,12*$B$9,-12*MAX(0,$B$8-IF($B$1+16&gt;=$B$23,$B$22,0))*(1+$B$4)^16))*IF(R168+IF($B$1+16&lt;=$B168,12*$B$9,-12*MAX(0,$B$8-IF($B$1+16&gt;=$B$23,$B$22,0))*(1+$B$4)^16)&gt;0,1+$B$3,1))</f>
        <v/>
      </c>
      <c r="T168">
        <f>IF($B$1+17&gt;90,S168,(S168+IF($B$1+17&lt;=$B168,12*$B$9,-12*MAX(0,$B$8-IF($B$1+17&gt;=$B$23,$B$22,0))*(1+$B$4)^17))*IF(S168+IF($B$1+17&lt;=$B168,12*$B$9,-12*MAX(0,$B$8-IF($B$1+17&gt;=$B$23,$B$22,0))*(1+$B$4)^17)&gt;0,1+$B$3,1))</f>
        <v/>
      </c>
      <c r="U168">
        <f>IF($B$1+18&gt;90,T168,(T168+IF($B$1+18&lt;=$B168,12*$B$9,-12*MAX(0,$B$8-IF($B$1+18&gt;=$B$23,$B$22,0))*(1+$B$4)^18))*IF(T168+IF($B$1+18&lt;=$B168,12*$B$9,-12*MAX(0,$B$8-IF($B$1+18&gt;=$B$23,$B$22,0))*(1+$B$4)^18)&gt;0,1+$B$3,1))</f>
        <v/>
      </c>
      <c r="V168">
        <f>IF($B$1+19&gt;90,U168,(U168+IF($B$1+19&lt;=$B168,12*$B$9,-12*MAX(0,$B$8-IF($B$1+19&gt;=$B$23,$B$22,0))*(1+$B$4)^19))*IF(U168+IF($B$1+19&lt;=$B168,12*$B$9,-12*MAX(0,$B$8-IF($B$1+19&gt;=$B$23,$B$22,0))*(1+$B$4)^19)&gt;0,1+$B$3,1))</f>
        <v/>
      </c>
      <c r="W168">
        <f>IF($B$1+20&gt;90,V168,(V168+IF($B$1+20&lt;=$B168,12*$B$9,-12*MAX(0,$B$8-IF($B$1+20&gt;=$B$23,$B$22,0))*(1+$B$4)^20))*IF(V168+IF($B$1+20&lt;=$B168,12*$B$9,-12*MAX(0,$B$8-IF($B$1+20&gt;=$B$23,$B$22,0))*(1+$B$4)^20)&gt;0,1+$B$3,1))</f>
        <v/>
      </c>
      <c r="X168">
        <f>IF($B$1+21&gt;90,W168,(W168+IF($B$1+21&lt;=$B168,12*$B$9,-12*MAX(0,$B$8-IF($B$1+21&gt;=$B$23,$B$22,0))*(1+$B$4)^21))*IF(W168+IF($B$1+21&lt;=$B168,12*$B$9,-12*MAX(0,$B$8-IF($B$1+21&gt;=$B$23,$B$22,0))*(1+$B$4)^21)&gt;0,1+$B$3,1))</f>
        <v/>
      </c>
      <c r="Y168">
        <f>IF($B$1+22&gt;90,X168,(X168+IF($B$1+22&lt;=$B168,12*$B$9,-12*MAX(0,$B$8-IF($B$1+22&gt;=$B$23,$B$22,0))*(1+$B$4)^22))*IF(X168+IF($B$1+22&lt;=$B168,12*$B$9,-12*MAX(0,$B$8-IF($B$1+22&gt;=$B$23,$B$22,0))*(1+$B$4)^22)&gt;0,1+$B$3,1))</f>
        <v/>
      </c>
      <c r="Z168">
        <f>IF($B$1+23&gt;90,Y168,(Y168+IF($B$1+23&lt;=$B168,12*$B$9,-12*MAX(0,$B$8-IF($B$1+23&gt;=$B$23,$B$22,0))*(1+$B$4)^23))*IF(Y168+IF($B$1+23&lt;=$B168,12*$B$9,-12*MAX(0,$B$8-IF($B$1+23&gt;=$B$23,$B$22,0))*(1+$B$4)^23)&gt;0,1+$B$3,1))</f>
        <v/>
      </c>
      <c r="AA168">
        <f>IF($B$1+24&gt;90,Z168,(Z168+IF($B$1+24&lt;=$B168,12*$B$9,-12*MAX(0,$B$8-IF($B$1+24&gt;=$B$23,$B$22,0))*(1+$B$4)^24))*IF(Z168+IF($B$1+24&lt;=$B168,12*$B$9,-12*MAX(0,$B$8-IF($B$1+24&gt;=$B$23,$B$22,0))*(1+$B$4)^24)&gt;0,1+$B$3,1))</f>
        <v/>
      </c>
      <c r="AB168">
        <f>IF($B$1+25&gt;90,AA168,(AA168+IF($B$1+25&lt;=$B168,12*$B$9,-12*MAX(0,$B$8-IF($B$1+25&gt;=$B$23,$B$22,0))*(1+$B$4)^25))*IF(AA168+IF($B$1+25&lt;=$B168,12*$B$9,-12*MAX(0,$B$8-IF($B$1+25&gt;=$B$23,$B$22,0))*(1+$B$4)^25)&gt;0,1+$B$3,1))</f>
        <v/>
      </c>
      <c r="AC168">
        <f>IF($B$1+26&gt;90,AB168,(AB168+IF($B$1+26&lt;=$B168,12*$B$9,-12*MAX(0,$B$8-IF($B$1+26&gt;=$B$23,$B$22,0))*(1+$B$4)^26))*IF(AB168+IF($B$1+26&lt;=$B168,12*$B$9,-12*MAX(0,$B$8-IF($B$1+26&gt;=$B$23,$B$22,0))*(1+$B$4)^26)&gt;0,1+$B$3,1))</f>
        <v/>
      </c>
      <c r="AD168">
        <f>IF($B$1+27&gt;90,AC168,(AC168+IF($B$1+27&lt;=$B168,12*$B$9,-12*MAX(0,$B$8-IF($B$1+27&gt;=$B$23,$B$22,0))*(1+$B$4)^27))*IF(AC168+IF($B$1+27&lt;=$B168,12*$B$9,-12*MAX(0,$B$8-IF($B$1+27&gt;=$B$23,$B$22,0))*(1+$B$4)^27)&gt;0,1+$B$3,1))</f>
        <v/>
      </c>
      <c r="AE168">
        <f>IF($B$1+28&gt;90,AD168,(AD168+IF($B$1+28&lt;=$B168,12*$B$9,-12*MAX(0,$B$8-IF($B$1+28&gt;=$B$23,$B$22,0))*(1+$B$4)^28))*IF(AD168+IF($B$1+28&lt;=$B168,12*$B$9,-12*MAX(0,$B$8-IF($B$1+28&gt;=$B$23,$B$22,0))*(1+$B$4)^28)&gt;0,1+$B$3,1))</f>
        <v/>
      </c>
      <c r="AF168">
        <f>IF($B$1+29&gt;90,AE168,(AE168+IF($B$1+29&lt;=$B168,12*$B$9,-12*MAX(0,$B$8-IF($B$1+29&gt;=$B$23,$B$22,0))*(1+$B$4)^29))*IF(AE168+IF($B$1+29&lt;=$B168,12*$B$9,-12*MAX(0,$B$8-IF($B$1+29&gt;=$B$23,$B$22,0))*(1+$B$4)^29)&gt;0,1+$B$3,1))</f>
        <v/>
      </c>
      <c r="AG168">
        <f>IF($B$1+30&gt;90,AF168,(AF168+IF($B$1+30&lt;=$B168,12*$B$9,-12*MAX(0,$B$8-IF($B$1+30&gt;=$B$23,$B$22,0))*(1+$B$4)^30))*IF(AF168+IF($B$1+30&lt;=$B168,12*$B$9,-12*MAX(0,$B$8-IF($B$1+30&gt;=$B$23,$B$22,0))*(1+$B$4)^30)&gt;0,1+$B$3,1))</f>
        <v/>
      </c>
      <c r="AH168">
        <f>IF($B$1+31&gt;90,AG168,(AG168+IF($B$1+31&lt;=$B168,12*$B$9,-12*MAX(0,$B$8-IF($B$1+31&gt;=$B$23,$B$22,0))*(1+$B$4)^31))*IF(AG168+IF($B$1+31&lt;=$B168,12*$B$9,-12*MAX(0,$B$8-IF($B$1+31&gt;=$B$23,$B$22,0))*(1+$B$4)^31)&gt;0,1+$B$3,1))</f>
        <v/>
      </c>
      <c r="AI168">
        <f>IF($B$1+32&gt;90,AH168,(AH168+IF($B$1+32&lt;=$B168,12*$B$9,-12*MAX(0,$B$8-IF($B$1+32&gt;=$B$23,$B$22,0))*(1+$B$4)^32))*IF(AH168+IF($B$1+32&lt;=$B168,12*$B$9,-12*MAX(0,$B$8-IF($B$1+32&gt;=$B$23,$B$22,0))*(1+$B$4)^32)&gt;0,1+$B$3,1))</f>
        <v/>
      </c>
      <c r="AJ168">
        <f>IF($B$1+33&gt;90,AI168,(AI168+IF($B$1+33&lt;=$B168,12*$B$9,-12*MAX(0,$B$8-IF($B$1+33&gt;=$B$23,$B$22,0))*(1+$B$4)^33))*IF(AI168+IF($B$1+33&lt;=$B168,12*$B$9,-12*MAX(0,$B$8-IF($B$1+33&gt;=$B$23,$B$22,0))*(1+$B$4)^33)&gt;0,1+$B$3,1))</f>
        <v/>
      </c>
      <c r="AK168">
        <f>IF($B$1+34&gt;90,AJ168,(AJ168+IF($B$1+34&lt;=$B168,12*$B$9,-12*MAX(0,$B$8-IF($B$1+34&gt;=$B$23,$B$22,0))*(1+$B$4)^34))*IF(AJ168+IF($B$1+34&lt;=$B168,12*$B$9,-12*MAX(0,$B$8-IF($B$1+34&gt;=$B$23,$B$22,0))*(1+$B$4)^34)&gt;0,1+$B$3,1))</f>
        <v/>
      </c>
      <c r="AL168">
        <f>IF($B$1+35&gt;90,AK168,(AK168+IF($B$1+35&lt;=$B168,12*$B$9,-12*MAX(0,$B$8-IF($B$1+35&gt;=$B$23,$B$22,0))*(1+$B$4)^35))*IF(AK168+IF($B$1+35&lt;=$B168,12*$B$9,-12*MAX(0,$B$8-IF($B$1+35&gt;=$B$23,$B$22,0))*(1+$B$4)^35)&gt;0,1+$B$3,1))</f>
        <v/>
      </c>
      <c r="AM168">
        <f>IF($B$1+36&gt;90,AL168,(AL168+IF($B$1+36&lt;=$B168,12*$B$9,-12*MAX(0,$B$8-IF($B$1+36&gt;=$B$23,$B$22,0))*(1+$B$4)^36))*IF(AL168+IF($B$1+36&lt;=$B168,12*$B$9,-12*MAX(0,$B$8-IF($B$1+36&gt;=$B$23,$B$22,0))*(1+$B$4)^36)&gt;0,1+$B$3,1))</f>
        <v/>
      </c>
      <c r="AN168">
        <f>IF($B$1+37&gt;90,AM168,(AM168+IF($B$1+37&lt;=$B168,12*$B$9,-12*MAX(0,$B$8-IF($B$1+37&gt;=$B$23,$B$22,0))*(1+$B$4)^37))*IF(AM168+IF($B$1+37&lt;=$B168,12*$B$9,-12*MAX(0,$B$8-IF($B$1+37&gt;=$B$23,$B$22,0))*(1+$B$4)^37)&gt;0,1+$B$3,1))</f>
        <v/>
      </c>
      <c r="AO168">
        <f>IF($B$1+38&gt;90,AN168,(AN168+IF($B$1+38&lt;=$B168,12*$B$9,-12*MAX(0,$B$8-IF($B$1+38&gt;=$B$23,$B$22,0))*(1+$B$4)^38))*IF(AN168+IF($B$1+38&lt;=$B168,12*$B$9,-12*MAX(0,$B$8-IF($B$1+38&gt;=$B$23,$B$22,0))*(1+$B$4)^38)&gt;0,1+$B$3,1))</f>
        <v/>
      </c>
      <c r="AP168">
        <f>IF($B$1+39&gt;90,AO168,(AO168+IF($B$1+39&lt;=$B168,12*$B$9,-12*MAX(0,$B$8-IF($B$1+39&gt;=$B$23,$B$22,0))*(1+$B$4)^39))*IF(AO168+IF($B$1+39&lt;=$B168,12*$B$9,-12*MAX(0,$B$8-IF($B$1+39&gt;=$B$23,$B$22,0))*(1+$B$4)^39)&gt;0,1+$B$3,1))</f>
        <v/>
      </c>
      <c r="AQ168">
        <f>IF($B$1+40&gt;90,AP168,(AP168+IF($B$1+40&lt;=$B168,12*$B$9,-12*MAX(0,$B$8-IF($B$1+40&gt;=$B$23,$B$22,0))*(1+$B$4)^40))*IF(AP168+IF($B$1+40&lt;=$B168,12*$B$9,-12*MAX(0,$B$8-IF($B$1+40&gt;=$B$23,$B$22,0))*(1+$B$4)^40)&gt;0,1+$B$3,1))</f>
        <v/>
      </c>
      <c r="AR168">
        <f>IF($B$1+41&gt;90,AQ168,(AQ168+IF($B$1+41&lt;=$B168,12*$B$9,-12*MAX(0,$B$8-IF($B$1+41&gt;=$B$23,$B$22,0))*(1+$B$4)^41))*IF(AQ168+IF($B$1+41&lt;=$B168,12*$B$9,-12*MAX(0,$B$8-IF($B$1+41&gt;=$B$23,$B$22,0))*(1+$B$4)^41)&gt;0,1+$B$3,1))</f>
        <v/>
      </c>
      <c r="AS168">
        <f>IF($B$1+42&gt;90,AR168,(AR168+IF($B$1+42&lt;=$B168,12*$B$9,-12*MAX(0,$B$8-IF($B$1+42&gt;=$B$23,$B$22,0))*(1+$B$4)^42))*IF(AR168+IF($B$1+42&lt;=$B168,12*$B$9,-12*MAX(0,$B$8-IF($B$1+42&gt;=$B$23,$B$22,0))*(1+$B$4)^42)&gt;0,1+$B$3,1))</f>
        <v/>
      </c>
      <c r="AT168">
        <f>IF($B$1+43&gt;90,AS168,(AS168+IF($B$1+43&lt;=$B168,12*$B$9,-12*MAX(0,$B$8-IF($B$1+43&gt;=$B$23,$B$22,0))*(1+$B$4)^43))*IF(AS168+IF($B$1+43&lt;=$B168,12*$B$9,-12*MAX(0,$B$8-IF($B$1+43&gt;=$B$23,$B$22,0))*(1+$B$4)^43)&gt;0,1+$B$3,1))</f>
        <v/>
      </c>
      <c r="AU168">
        <f>IF($B$1+44&gt;90,AT168,(AT168+IF($B$1+44&lt;=$B168,12*$B$9,-12*MAX(0,$B$8-IF($B$1+44&gt;=$B$23,$B$22,0))*(1+$B$4)^44))*IF(AT168+IF($B$1+44&lt;=$B168,12*$B$9,-12*MAX(0,$B$8-IF($B$1+44&gt;=$B$23,$B$22,0))*(1+$B$4)^44)&gt;0,1+$B$3,1))</f>
        <v/>
      </c>
      <c r="AV168">
        <f>IF($B$1+45&gt;90,AU168,(AU168+IF($B$1+45&lt;=$B168,12*$B$9,-12*MAX(0,$B$8-IF($B$1+45&gt;=$B$23,$B$22,0))*(1+$B$4)^45))*IF(AU168+IF($B$1+45&lt;=$B168,12*$B$9,-12*MAX(0,$B$8-IF($B$1+45&gt;=$B$23,$B$22,0))*(1+$B$4)^45)&gt;0,1+$B$3,1))</f>
        <v/>
      </c>
      <c r="AW168">
        <f>IF($B$1+46&gt;90,AV168,(AV168+IF($B$1+46&lt;=$B168,12*$B$9,-12*MAX(0,$B$8-IF($B$1+46&gt;=$B$23,$B$22,0))*(1+$B$4)^46))*IF(AV168+IF($B$1+46&lt;=$B168,12*$B$9,-12*MAX(0,$B$8-IF($B$1+46&gt;=$B$23,$B$22,0))*(1+$B$4)^46)&gt;0,1+$B$3,1))</f>
        <v/>
      </c>
      <c r="AX168">
        <f>IF($B$1+47&gt;90,AW168,(AW168+IF($B$1+47&lt;=$B168,12*$B$9,-12*MAX(0,$B$8-IF($B$1+47&gt;=$B$23,$B$22,0))*(1+$B$4)^47))*IF(AW168+IF($B$1+47&lt;=$B168,12*$B$9,-12*MAX(0,$B$8-IF($B$1+47&gt;=$B$23,$B$22,0))*(1+$B$4)^47)&gt;0,1+$B$3,1))</f>
        <v/>
      </c>
      <c r="AY168">
        <f>IF($B$1+48&gt;90,AX168,(AX168+IF($B$1+48&lt;=$B168,12*$B$9,-12*MAX(0,$B$8-IF($B$1+48&gt;=$B$23,$B$22,0))*(1+$B$4)^48))*IF(AX168+IF($B$1+48&lt;=$B168,12*$B$9,-12*MAX(0,$B$8-IF($B$1+48&gt;=$B$23,$B$22,0))*(1+$B$4)^48)&gt;0,1+$B$3,1))</f>
        <v/>
      </c>
      <c r="AZ168">
        <f>IF($B$1+49&gt;90,AY168,(AY168+IF($B$1+49&lt;=$B168,12*$B$9,-12*MAX(0,$B$8-IF($B$1+49&gt;=$B$23,$B$22,0))*(1+$B$4)^49))*IF(AY168+IF($B$1+49&lt;=$B168,12*$B$9,-12*MAX(0,$B$8-IF($B$1+49&gt;=$B$23,$B$22,0))*(1+$B$4)^49)&gt;0,1+$B$3,1))</f>
        <v/>
      </c>
      <c r="BA168">
        <f>IF($B$1+50&gt;90,AZ168,(AZ168+IF($B$1+50&lt;=$B168,12*$B$9,-12*MAX(0,$B$8-IF($B$1+50&gt;=$B$23,$B$22,0))*(1+$B$4)^50))*IF(AZ168+IF($B$1+50&lt;=$B168,12*$B$9,-12*MAX(0,$B$8-IF($B$1+50&gt;=$B$23,$B$22,0))*(1+$B$4)^50)&gt;0,1+$B$3,1))</f>
        <v/>
      </c>
      <c r="BB168">
        <f>IF($B$1+51&gt;90,BA168,(BA168+IF($B$1+51&lt;=$B168,12*$B$9,-12*MAX(0,$B$8-IF($B$1+51&gt;=$B$23,$B$22,0))*(1+$B$4)^51))*IF(BA168+IF($B$1+51&lt;=$B168,12*$B$9,-12*MAX(0,$B$8-IF($B$1+51&gt;=$B$23,$B$22,0))*(1+$B$4)^51)&gt;0,1+$B$3,1))</f>
        <v/>
      </c>
      <c r="BC168">
        <f>IF($B$1+52&gt;90,BB168,(BB168+IF($B$1+52&lt;=$B168,12*$B$9,-12*MAX(0,$B$8-IF($B$1+52&gt;=$B$23,$B$22,0))*(1+$B$4)^52))*IF(BB168+IF($B$1+52&lt;=$B168,12*$B$9,-12*MAX(0,$B$8-IF($B$1+52&gt;=$B$23,$B$22,0))*(1+$B$4)^52)&gt;0,1+$B$3,1))</f>
        <v/>
      </c>
      <c r="BD168">
        <f>IF($B$1+53&gt;90,BC168,(BC168+IF($B$1+53&lt;=$B168,12*$B$9,-12*MAX(0,$B$8-IF($B$1+53&gt;=$B$23,$B$22,0))*(1+$B$4)^53))*IF(BC168+IF($B$1+53&lt;=$B168,12*$B$9,-12*MAX(0,$B$8-IF($B$1+53&gt;=$B$23,$B$22,0))*(1+$B$4)^53)&gt;0,1+$B$3,1))</f>
        <v/>
      </c>
      <c r="BE168">
        <f>IF($B$1+54&gt;90,BD168,(BD168+IF($B$1+54&lt;=$B168,12*$B$9,-12*MAX(0,$B$8-IF($B$1+54&gt;=$B$23,$B$22,0))*(1+$B$4)^54))*IF(BD168+IF($B$1+54&lt;=$B168,12*$B$9,-12*MAX(0,$B$8-IF($B$1+54&gt;=$B$23,$B$22,0))*(1+$B$4)^54)&gt;0,1+$B$3,1))</f>
        <v/>
      </c>
      <c r="BF168">
        <f>IF($B$1+55&gt;90,BE168,(BE168+IF($B$1+55&lt;=$B168,12*$B$9,-12*MAX(0,$B$8-IF($B$1+55&gt;=$B$23,$B$22,0))*(1+$B$4)^55))*IF(BE168+IF($B$1+55&lt;=$B168,12*$B$9,-12*MAX(0,$B$8-IF($B$1+55&gt;=$B$23,$B$22,0))*(1+$B$4)^55)&gt;0,1+$B$3,1))</f>
        <v/>
      </c>
      <c r="BG168">
        <f>IF($B$1+56&gt;90,BF168,(BF168+IF($B$1+56&lt;=$B168,12*$B$9,-12*MAX(0,$B$8-IF($B$1+56&gt;=$B$23,$B$22,0))*(1+$B$4)^56))*IF(BF168+IF($B$1+56&lt;=$B168,12*$B$9,-12*MAX(0,$B$8-IF($B$1+56&gt;=$B$23,$B$22,0))*(1+$B$4)^56)&gt;0,1+$B$3,1))</f>
        <v/>
      </c>
      <c r="BH168">
        <f>IF($B$1+57&gt;90,BG168,(BG168+IF($B$1+57&lt;=$B168,12*$B$9,-12*MAX(0,$B$8-IF($B$1+57&gt;=$B$23,$B$22,0))*(1+$B$4)^57))*IF(BG168+IF($B$1+57&lt;=$B168,12*$B$9,-12*MAX(0,$B$8-IF($B$1+57&gt;=$B$23,$B$22,0))*(1+$B$4)^57)&gt;0,1+$B$3,1))</f>
        <v/>
      </c>
      <c r="BI168">
        <f>IF($B$1+58&gt;90,BH168,(BH168+IF($B$1+58&lt;=$B168,12*$B$9,-12*MAX(0,$B$8-IF($B$1+58&gt;=$B$23,$B$22,0))*(1+$B$4)^58))*IF(BH168+IF($B$1+58&lt;=$B168,12*$B$9,-12*MAX(0,$B$8-IF($B$1+58&gt;=$B$23,$B$22,0))*(1+$B$4)^58)&gt;0,1+$B$3,1))</f>
        <v/>
      </c>
      <c r="BJ168">
        <f>IF($B$1+59&gt;90,BI168,(BI168+IF($B$1+59&lt;=$B168,12*$B$9,-12*MAX(0,$B$8-IF($B$1+59&gt;=$B$23,$B$22,0))*(1+$B$4)^59))*IF(BI168+IF($B$1+59&lt;=$B168,12*$B$9,-12*MAX(0,$B$8-IF($B$1+59&gt;=$B$23,$B$22,0))*(1+$B$4)^59)&gt;0,1+$B$3,1))</f>
        <v/>
      </c>
      <c r="BK168">
        <f>IF($B$1+60&gt;90,BJ168,(BJ168+IF($B$1+60&lt;=$B168,12*$B$9,-12*MAX(0,$B$8-IF($B$1+60&gt;=$B$23,$B$22,0))*(1+$B$4)^60))*IF(BJ168+IF($B$1+60&lt;=$B168,12*$B$9,-12*MAX(0,$B$8-IF($B$1+60&gt;=$B$23,$B$22,0))*(1+$B$4)^60)&gt;0,1+$B$3,1))</f>
        <v/>
      </c>
      <c r="BL168">
        <f>IF($B$1+61&gt;90,BK168,(BK168+IF($B$1+61&lt;=$B168,12*$B$9,-12*MAX(0,$B$8-IF($B$1+61&gt;=$B$23,$B$22,0))*(1+$B$4)^61))*IF(BK168+IF($B$1+61&lt;=$B168,12*$B$9,-12*MAX(0,$B$8-IF($B$1+61&gt;=$B$23,$B$22,0))*(1+$B$4)^61)&gt;0,1+$B$3,1))</f>
        <v/>
      </c>
      <c r="BM168">
        <f>IF($B$1+62&gt;90,BL168,(BL168+IF($B$1+62&lt;=$B168,12*$B$9,-12*MAX(0,$B$8-IF($B$1+62&gt;=$B$23,$B$22,0))*(1+$B$4)^62))*IF(BL168+IF($B$1+62&lt;=$B168,12*$B$9,-12*MAX(0,$B$8-IF($B$1+62&gt;=$B$23,$B$22,0))*(1+$B$4)^62)&gt;0,1+$B$3,1))</f>
        <v/>
      </c>
      <c r="BN168">
        <f>IF($B$1+63&gt;90,BM168,(BM168+IF($B$1+63&lt;=$B168,12*$B$9,-12*MAX(0,$B$8-IF($B$1+63&gt;=$B$23,$B$22,0))*(1+$B$4)^63))*IF(BM168+IF($B$1+63&lt;=$B168,12*$B$9,-12*MAX(0,$B$8-IF($B$1+63&gt;=$B$23,$B$22,0))*(1+$B$4)^63)&gt;0,1+$B$3,1))</f>
        <v/>
      </c>
      <c r="BO168">
        <f>IF($B$1+64&gt;90,BN168,(BN168+IF($B$1+64&lt;=$B168,12*$B$9,-12*MAX(0,$B$8-IF($B$1+64&gt;=$B$23,$B$22,0))*(1+$B$4)^64))*IF(BN168+IF($B$1+64&lt;=$B168,12*$B$9,-12*MAX(0,$B$8-IF($B$1+64&gt;=$B$23,$B$22,0))*(1+$B$4)^64)&gt;0,1+$B$3,1))</f>
        <v/>
      </c>
      <c r="BP168">
        <f>IF($B$1+65&gt;90,BO168,(BO168+IF($B$1+65&lt;=$B168,12*$B$9,-12*MAX(0,$B$8-IF($B$1+65&gt;=$B$23,$B$22,0))*(1+$B$4)^65))*IF(BO168+IF($B$1+65&lt;=$B168,12*$B$9,-12*MAX(0,$B$8-IF($B$1+65&gt;=$B$23,$B$22,0))*(1+$B$4)^65)&gt;0,1+$B$3,1))</f>
        <v/>
      </c>
      <c r="BQ168">
        <f>IF($B$1+66&gt;90,BP168,(BP168+IF($B$1+66&lt;=$B168,12*$B$9,-12*MAX(0,$B$8-IF($B$1+66&gt;=$B$23,$B$22,0))*(1+$B$4)^66))*IF(BP168+IF($B$1+66&lt;=$B168,12*$B$9,-12*MAX(0,$B$8-IF($B$1+66&gt;=$B$23,$B$22,0))*(1+$B$4)^66)&gt;0,1+$B$3,1))</f>
        <v/>
      </c>
      <c r="BR168">
        <f>IF($B$1+67&gt;90,BQ168,(BQ168+IF($B$1+67&lt;=$B168,12*$B$9,-12*MAX(0,$B$8-IF($B$1+67&gt;=$B$23,$B$22,0))*(1+$B$4)^67))*IF(BQ168+IF($B$1+67&lt;=$B168,12*$B$9,-12*MAX(0,$B$8-IF($B$1+67&gt;=$B$23,$B$22,0))*(1+$B$4)^67)&gt;0,1+$B$3,1))</f>
        <v/>
      </c>
      <c r="BS168">
        <f>IF($B$1+68&gt;90,BR168,(BR168+IF($B$1+68&lt;=$B168,12*$B$9,-12*MAX(0,$B$8-IF($B$1+68&gt;=$B$23,$B$22,0))*(1+$B$4)^68))*IF(BR168+IF($B$1+68&lt;=$B168,12*$B$9,-12*MAX(0,$B$8-IF($B$1+68&gt;=$B$23,$B$22,0))*(1+$B$4)^68)&gt;0,1+$B$3,1))</f>
        <v/>
      </c>
      <c r="BT168">
        <f>IF($B$1+69&gt;90,BS168,(BS168+IF($B$1+69&lt;=$B168,12*$B$9,-12*MAX(0,$B$8-IF($B$1+69&gt;=$B$23,$B$22,0))*(1+$B$4)^69))*IF(BS168+IF($B$1+69&lt;=$B168,12*$B$9,-12*MAX(0,$B$8-IF($B$1+69&gt;=$B$23,$B$22,0))*(1+$B$4)^69)&gt;0,1+$B$3,1))</f>
        <v/>
      </c>
      <c r="BU168">
        <f>IF($B$1+70&gt;90,BT168,(BT168+IF($B$1+70&lt;=$B168,12*$B$9,-12*MAX(0,$B$8-IF($B$1+70&gt;=$B$23,$B$22,0))*(1+$B$4)^70))*IF(BT168+IF($B$1+70&lt;=$B168,12*$B$9,-12*MAX(0,$B$8-IF($B$1+70&gt;=$B$23,$B$22,0))*(1+$B$4)^70)&gt;0,1+$B$3,1))</f>
        <v/>
      </c>
      <c r="BV168">
        <f>BU168</f>
        <v/>
      </c>
      <c r="BW168">
        <f>IF(AND($B168&lt;=70,BV168&gt;0),$B168,999)</f>
        <v/>
      </c>
      <c r="CH168">
        <f>IF(ISTEXT('월 가계부'!A168),SUBSTITUTE(SUBSTITUTE(SUBSTITUTE(SUBSTITUTE(SUBSTITUTE(SUBSTITUTE(SUBSTITUTE(SUBSTITUTE(SUBSTITUTE(TRIM('월 가계부'!A168),"년","-"),"월","-"),"일",""),".","-"),"/","-")," ","-"),"--","-"),"--","-"),"--","-")&amp;"-","")</f>
        <v/>
      </c>
      <c r="CI168">
        <f>IFERROR(IF('월 가계부'!A168="","",IF(ISNUMBER('월 가계부'!A168),IF(AND('월 가계부'!A168&gt;=19000101,'월 가계부'!A168&lt;=21001231),IF(AND(MOD(INT('월 가계부'!A168/100),100)&gt;=1,MOD(INT('월 가계부'!A168/100),100)&lt;=12,MOD(INT('월 가계부'!A168),100)&gt;=1,MOD(INT('월 가계부'!A168),100)&lt;=31),IF(MONTH(DATE(INT('월 가계부'!A168/10000),MOD(INT('월 가계부'!A168/100),100),MOD(INT('월 가계부'!A168),100)))=MOD(INT('월 가계부'!A168/100),100),DATE(INT('월 가계부'!A168/10000),MOD(INT('월 가계부'!A168/100),100),MOD(INT('월 가계부'!A168),100)),""),""),IF(AND('월 가계부'!A168&gt;=36526,'월 가계부'!A168&lt;73051),INT('월 가계부'!A168),"")),IF(OR(CM168="",CN168="",CO168=""),"",IF(AND(CM168&gt;=2000,CM168&lt;=2099,CN168&gt;=1,CN168&lt;=12,CO168&gt;=1,CO168&lt;=31),IF(MONTH(DATE(CM168,CN168,CO168))=CN168,DATE(CM168,CN168,CO168),""),"")))),"")</f>
        <v/>
      </c>
      <c r="CJ168">
        <f>IFERROR(IF('월 가계부'!C168="","",IF(ISNUMBER('월 가계부'!C168),'월 가계부'!C168,VALUE(SUBSTITUTE(SUBSTITUTE(SUBSTITUTE(SUBSTITUTE(TRIM('월 가계부'!C168),",",""),"원","")," ",""),"−","-")))),"")</f>
        <v/>
      </c>
      <c r="CK168">
        <f>IF(ISNUMBER(CI168),IF(CI168&lt;$B$13,CI168,""),"")</f>
        <v/>
      </c>
      <c r="CM168">
        <f>IF(CH168="","",IFERROR(IF(IF(AND(LEN(CH168)=9,ISERROR(FIND("-",LEFT(CH168,8))),ISNUMBER(-LEFT(CH168,8))),VALUE(LEFT(CH168,4)),VALUE(LEFT(CH168,FIND("-",CH168)-1)))&lt;100,IF(AND(LEN(CH168)=9,ISERROR(FIND("-",LEFT(CH168,8))),ISNUMBER(-LEFT(CH168,8))),VALUE(LEFT(CH168,4)),VALUE(LEFT(CH168,FIND("-",CH168)-1)))+2000,IF(AND(LEN(CH168)=9,ISERROR(FIND("-",LEFT(CH168,8))),ISNUMBER(-LEFT(CH168,8))),VALUE(LEFT(CH168,4)),VALUE(LEFT(CH168,FIND("-",CH168)-1)))),""))</f>
        <v/>
      </c>
      <c r="CN168">
        <f>IF(CH168="","",IFERROR(IF(AND(LEN(CH168)=9,ISERROR(FIND("-",LEFT(CH168,8))),ISNUMBER(-LEFT(CH168,8))),VALUE(MID(CH168,5,2)),VALUE(MID(CH168,FIND("-",CH168)+1,FIND("-",CH168,FIND("-",CH168)+1)-FIND("-",CH168)-1))),""))</f>
        <v/>
      </c>
      <c r="CO168">
        <f>IF(CH168="","",IFERROR(IF(AND(LEN(CH168)=9,ISERROR(FIND("-",LEFT(CH168,8))),ISNUMBER(-LEFT(CH168,8))),VALUE(MID(CH168,7,2)),VALUE(MID(CH168,FIND("-",CH168,FIND("-",CH168)+1)+1,FIND("-",CH168,FIND("-",CH168,FIND("-",CH168)+1)+1)-FIND("-",CH168,FIND("-",CH168)+1)-1))),""))</f>
        <v/>
      </c>
    </row>
    <row r="169">
      <c r="A169" t="n">
        <v>17</v>
      </c>
      <c r="B169">
        <f>$B$1+17</f>
        <v/>
      </c>
      <c r="C169">
        <f>$B$2</f>
        <v/>
      </c>
      <c r="D169">
        <f>IF($B$1+1&gt;90,C169,(C169+IF($B$1+1&lt;=$B169,12*$B$9,-12*MAX(0,$B$8-IF($B$1+1&gt;=$B$23,$B$22,0))*(1+$B$4)^1))*IF(C169+IF($B$1+1&lt;=$B169,12*$B$9,-12*MAX(0,$B$8-IF($B$1+1&gt;=$B$23,$B$22,0))*(1+$B$4)^1)&gt;0,1+$B$3,1))</f>
        <v/>
      </c>
      <c r="E169">
        <f>IF($B$1+2&gt;90,D169,(D169+IF($B$1+2&lt;=$B169,12*$B$9,-12*MAX(0,$B$8-IF($B$1+2&gt;=$B$23,$B$22,0))*(1+$B$4)^2))*IF(D169+IF($B$1+2&lt;=$B169,12*$B$9,-12*MAX(0,$B$8-IF($B$1+2&gt;=$B$23,$B$22,0))*(1+$B$4)^2)&gt;0,1+$B$3,1))</f>
        <v/>
      </c>
      <c r="F169">
        <f>IF($B$1+3&gt;90,E169,(E169+IF($B$1+3&lt;=$B169,12*$B$9,-12*MAX(0,$B$8-IF($B$1+3&gt;=$B$23,$B$22,0))*(1+$B$4)^3))*IF(E169+IF($B$1+3&lt;=$B169,12*$B$9,-12*MAX(0,$B$8-IF($B$1+3&gt;=$B$23,$B$22,0))*(1+$B$4)^3)&gt;0,1+$B$3,1))</f>
        <v/>
      </c>
      <c r="G169">
        <f>IF($B$1+4&gt;90,F169,(F169+IF($B$1+4&lt;=$B169,12*$B$9,-12*MAX(0,$B$8-IF($B$1+4&gt;=$B$23,$B$22,0))*(1+$B$4)^4))*IF(F169+IF($B$1+4&lt;=$B169,12*$B$9,-12*MAX(0,$B$8-IF($B$1+4&gt;=$B$23,$B$22,0))*(1+$B$4)^4)&gt;0,1+$B$3,1))</f>
        <v/>
      </c>
      <c r="H169">
        <f>IF($B$1+5&gt;90,G169,(G169+IF($B$1+5&lt;=$B169,12*$B$9,-12*MAX(0,$B$8-IF($B$1+5&gt;=$B$23,$B$22,0))*(1+$B$4)^5))*IF(G169+IF($B$1+5&lt;=$B169,12*$B$9,-12*MAX(0,$B$8-IF($B$1+5&gt;=$B$23,$B$22,0))*(1+$B$4)^5)&gt;0,1+$B$3,1))</f>
        <v/>
      </c>
      <c r="I169">
        <f>IF($B$1+6&gt;90,H169,(H169+IF($B$1+6&lt;=$B169,12*$B$9,-12*MAX(0,$B$8-IF($B$1+6&gt;=$B$23,$B$22,0))*(1+$B$4)^6))*IF(H169+IF($B$1+6&lt;=$B169,12*$B$9,-12*MAX(0,$B$8-IF($B$1+6&gt;=$B$23,$B$22,0))*(1+$B$4)^6)&gt;0,1+$B$3,1))</f>
        <v/>
      </c>
      <c r="J169">
        <f>IF($B$1+7&gt;90,I169,(I169+IF($B$1+7&lt;=$B169,12*$B$9,-12*MAX(0,$B$8-IF($B$1+7&gt;=$B$23,$B$22,0))*(1+$B$4)^7))*IF(I169+IF($B$1+7&lt;=$B169,12*$B$9,-12*MAX(0,$B$8-IF($B$1+7&gt;=$B$23,$B$22,0))*(1+$B$4)^7)&gt;0,1+$B$3,1))</f>
        <v/>
      </c>
      <c r="K169">
        <f>IF($B$1+8&gt;90,J169,(J169+IF($B$1+8&lt;=$B169,12*$B$9,-12*MAX(0,$B$8-IF($B$1+8&gt;=$B$23,$B$22,0))*(1+$B$4)^8))*IF(J169+IF($B$1+8&lt;=$B169,12*$B$9,-12*MAX(0,$B$8-IF($B$1+8&gt;=$B$23,$B$22,0))*(1+$B$4)^8)&gt;0,1+$B$3,1))</f>
        <v/>
      </c>
      <c r="L169">
        <f>IF($B$1+9&gt;90,K169,(K169+IF($B$1+9&lt;=$B169,12*$B$9,-12*MAX(0,$B$8-IF($B$1+9&gt;=$B$23,$B$22,0))*(1+$B$4)^9))*IF(K169+IF($B$1+9&lt;=$B169,12*$B$9,-12*MAX(0,$B$8-IF($B$1+9&gt;=$B$23,$B$22,0))*(1+$B$4)^9)&gt;0,1+$B$3,1))</f>
        <v/>
      </c>
      <c r="M169">
        <f>IF($B$1+10&gt;90,L169,(L169+IF($B$1+10&lt;=$B169,12*$B$9,-12*MAX(0,$B$8-IF($B$1+10&gt;=$B$23,$B$22,0))*(1+$B$4)^10))*IF(L169+IF($B$1+10&lt;=$B169,12*$B$9,-12*MAX(0,$B$8-IF($B$1+10&gt;=$B$23,$B$22,0))*(1+$B$4)^10)&gt;0,1+$B$3,1))</f>
        <v/>
      </c>
      <c r="N169">
        <f>IF($B$1+11&gt;90,M169,(M169+IF($B$1+11&lt;=$B169,12*$B$9,-12*MAX(0,$B$8-IF($B$1+11&gt;=$B$23,$B$22,0))*(1+$B$4)^11))*IF(M169+IF($B$1+11&lt;=$B169,12*$B$9,-12*MAX(0,$B$8-IF($B$1+11&gt;=$B$23,$B$22,0))*(1+$B$4)^11)&gt;0,1+$B$3,1))</f>
        <v/>
      </c>
      <c r="O169">
        <f>IF($B$1+12&gt;90,N169,(N169+IF($B$1+12&lt;=$B169,12*$B$9,-12*MAX(0,$B$8-IF($B$1+12&gt;=$B$23,$B$22,0))*(1+$B$4)^12))*IF(N169+IF($B$1+12&lt;=$B169,12*$B$9,-12*MAX(0,$B$8-IF($B$1+12&gt;=$B$23,$B$22,0))*(1+$B$4)^12)&gt;0,1+$B$3,1))</f>
        <v/>
      </c>
      <c r="P169">
        <f>IF($B$1+13&gt;90,O169,(O169+IF($B$1+13&lt;=$B169,12*$B$9,-12*MAX(0,$B$8-IF($B$1+13&gt;=$B$23,$B$22,0))*(1+$B$4)^13))*IF(O169+IF($B$1+13&lt;=$B169,12*$B$9,-12*MAX(0,$B$8-IF($B$1+13&gt;=$B$23,$B$22,0))*(1+$B$4)^13)&gt;0,1+$B$3,1))</f>
        <v/>
      </c>
      <c r="Q169">
        <f>IF($B$1+14&gt;90,P169,(P169+IF($B$1+14&lt;=$B169,12*$B$9,-12*MAX(0,$B$8-IF($B$1+14&gt;=$B$23,$B$22,0))*(1+$B$4)^14))*IF(P169+IF($B$1+14&lt;=$B169,12*$B$9,-12*MAX(0,$B$8-IF($B$1+14&gt;=$B$23,$B$22,0))*(1+$B$4)^14)&gt;0,1+$B$3,1))</f>
        <v/>
      </c>
      <c r="R169">
        <f>IF($B$1+15&gt;90,Q169,(Q169+IF($B$1+15&lt;=$B169,12*$B$9,-12*MAX(0,$B$8-IF($B$1+15&gt;=$B$23,$B$22,0))*(1+$B$4)^15))*IF(Q169+IF($B$1+15&lt;=$B169,12*$B$9,-12*MAX(0,$B$8-IF($B$1+15&gt;=$B$23,$B$22,0))*(1+$B$4)^15)&gt;0,1+$B$3,1))</f>
        <v/>
      </c>
      <c r="S169">
        <f>IF($B$1+16&gt;90,R169,(R169+IF($B$1+16&lt;=$B169,12*$B$9,-12*MAX(0,$B$8-IF($B$1+16&gt;=$B$23,$B$22,0))*(1+$B$4)^16))*IF(R169+IF($B$1+16&lt;=$B169,12*$B$9,-12*MAX(0,$B$8-IF($B$1+16&gt;=$B$23,$B$22,0))*(1+$B$4)^16)&gt;0,1+$B$3,1))</f>
        <v/>
      </c>
      <c r="T169">
        <f>IF($B$1+17&gt;90,S169,(S169+IF($B$1+17&lt;=$B169,12*$B$9,-12*MAX(0,$B$8-IF($B$1+17&gt;=$B$23,$B$22,0))*(1+$B$4)^17))*IF(S169+IF($B$1+17&lt;=$B169,12*$B$9,-12*MAX(0,$B$8-IF($B$1+17&gt;=$B$23,$B$22,0))*(1+$B$4)^17)&gt;0,1+$B$3,1))</f>
        <v/>
      </c>
      <c r="U169">
        <f>IF($B$1+18&gt;90,T169,(T169+IF($B$1+18&lt;=$B169,12*$B$9,-12*MAX(0,$B$8-IF($B$1+18&gt;=$B$23,$B$22,0))*(1+$B$4)^18))*IF(T169+IF($B$1+18&lt;=$B169,12*$B$9,-12*MAX(0,$B$8-IF($B$1+18&gt;=$B$23,$B$22,0))*(1+$B$4)^18)&gt;0,1+$B$3,1))</f>
        <v/>
      </c>
      <c r="V169">
        <f>IF($B$1+19&gt;90,U169,(U169+IF($B$1+19&lt;=$B169,12*$B$9,-12*MAX(0,$B$8-IF($B$1+19&gt;=$B$23,$B$22,0))*(1+$B$4)^19))*IF(U169+IF($B$1+19&lt;=$B169,12*$B$9,-12*MAX(0,$B$8-IF($B$1+19&gt;=$B$23,$B$22,0))*(1+$B$4)^19)&gt;0,1+$B$3,1))</f>
        <v/>
      </c>
      <c r="W169">
        <f>IF($B$1+20&gt;90,V169,(V169+IF($B$1+20&lt;=$B169,12*$B$9,-12*MAX(0,$B$8-IF($B$1+20&gt;=$B$23,$B$22,0))*(1+$B$4)^20))*IF(V169+IF($B$1+20&lt;=$B169,12*$B$9,-12*MAX(0,$B$8-IF($B$1+20&gt;=$B$23,$B$22,0))*(1+$B$4)^20)&gt;0,1+$B$3,1))</f>
        <v/>
      </c>
      <c r="X169">
        <f>IF($B$1+21&gt;90,W169,(W169+IF($B$1+21&lt;=$B169,12*$B$9,-12*MAX(0,$B$8-IF($B$1+21&gt;=$B$23,$B$22,0))*(1+$B$4)^21))*IF(W169+IF($B$1+21&lt;=$B169,12*$B$9,-12*MAX(0,$B$8-IF($B$1+21&gt;=$B$23,$B$22,0))*(1+$B$4)^21)&gt;0,1+$B$3,1))</f>
        <v/>
      </c>
      <c r="Y169">
        <f>IF($B$1+22&gt;90,X169,(X169+IF($B$1+22&lt;=$B169,12*$B$9,-12*MAX(0,$B$8-IF($B$1+22&gt;=$B$23,$B$22,0))*(1+$B$4)^22))*IF(X169+IF($B$1+22&lt;=$B169,12*$B$9,-12*MAX(0,$B$8-IF($B$1+22&gt;=$B$23,$B$22,0))*(1+$B$4)^22)&gt;0,1+$B$3,1))</f>
        <v/>
      </c>
      <c r="Z169">
        <f>IF($B$1+23&gt;90,Y169,(Y169+IF($B$1+23&lt;=$B169,12*$B$9,-12*MAX(0,$B$8-IF($B$1+23&gt;=$B$23,$B$22,0))*(1+$B$4)^23))*IF(Y169+IF($B$1+23&lt;=$B169,12*$B$9,-12*MAX(0,$B$8-IF($B$1+23&gt;=$B$23,$B$22,0))*(1+$B$4)^23)&gt;0,1+$B$3,1))</f>
        <v/>
      </c>
      <c r="AA169">
        <f>IF($B$1+24&gt;90,Z169,(Z169+IF($B$1+24&lt;=$B169,12*$B$9,-12*MAX(0,$B$8-IF($B$1+24&gt;=$B$23,$B$22,0))*(1+$B$4)^24))*IF(Z169+IF($B$1+24&lt;=$B169,12*$B$9,-12*MAX(0,$B$8-IF($B$1+24&gt;=$B$23,$B$22,0))*(1+$B$4)^24)&gt;0,1+$B$3,1))</f>
        <v/>
      </c>
      <c r="AB169">
        <f>IF($B$1+25&gt;90,AA169,(AA169+IF($B$1+25&lt;=$B169,12*$B$9,-12*MAX(0,$B$8-IF($B$1+25&gt;=$B$23,$B$22,0))*(1+$B$4)^25))*IF(AA169+IF($B$1+25&lt;=$B169,12*$B$9,-12*MAX(0,$B$8-IF($B$1+25&gt;=$B$23,$B$22,0))*(1+$B$4)^25)&gt;0,1+$B$3,1))</f>
        <v/>
      </c>
      <c r="AC169">
        <f>IF($B$1+26&gt;90,AB169,(AB169+IF($B$1+26&lt;=$B169,12*$B$9,-12*MAX(0,$B$8-IF($B$1+26&gt;=$B$23,$B$22,0))*(1+$B$4)^26))*IF(AB169+IF($B$1+26&lt;=$B169,12*$B$9,-12*MAX(0,$B$8-IF($B$1+26&gt;=$B$23,$B$22,0))*(1+$B$4)^26)&gt;0,1+$B$3,1))</f>
        <v/>
      </c>
      <c r="AD169">
        <f>IF($B$1+27&gt;90,AC169,(AC169+IF($B$1+27&lt;=$B169,12*$B$9,-12*MAX(0,$B$8-IF($B$1+27&gt;=$B$23,$B$22,0))*(1+$B$4)^27))*IF(AC169+IF($B$1+27&lt;=$B169,12*$B$9,-12*MAX(0,$B$8-IF($B$1+27&gt;=$B$23,$B$22,0))*(1+$B$4)^27)&gt;0,1+$B$3,1))</f>
        <v/>
      </c>
      <c r="AE169">
        <f>IF($B$1+28&gt;90,AD169,(AD169+IF($B$1+28&lt;=$B169,12*$B$9,-12*MAX(0,$B$8-IF($B$1+28&gt;=$B$23,$B$22,0))*(1+$B$4)^28))*IF(AD169+IF($B$1+28&lt;=$B169,12*$B$9,-12*MAX(0,$B$8-IF($B$1+28&gt;=$B$23,$B$22,0))*(1+$B$4)^28)&gt;0,1+$B$3,1))</f>
        <v/>
      </c>
      <c r="AF169">
        <f>IF($B$1+29&gt;90,AE169,(AE169+IF($B$1+29&lt;=$B169,12*$B$9,-12*MAX(0,$B$8-IF($B$1+29&gt;=$B$23,$B$22,0))*(1+$B$4)^29))*IF(AE169+IF($B$1+29&lt;=$B169,12*$B$9,-12*MAX(0,$B$8-IF($B$1+29&gt;=$B$23,$B$22,0))*(1+$B$4)^29)&gt;0,1+$B$3,1))</f>
        <v/>
      </c>
      <c r="AG169">
        <f>IF($B$1+30&gt;90,AF169,(AF169+IF($B$1+30&lt;=$B169,12*$B$9,-12*MAX(0,$B$8-IF($B$1+30&gt;=$B$23,$B$22,0))*(1+$B$4)^30))*IF(AF169+IF($B$1+30&lt;=$B169,12*$B$9,-12*MAX(0,$B$8-IF($B$1+30&gt;=$B$23,$B$22,0))*(1+$B$4)^30)&gt;0,1+$B$3,1))</f>
        <v/>
      </c>
      <c r="AH169">
        <f>IF($B$1+31&gt;90,AG169,(AG169+IF($B$1+31&lt;=$B169,12*$B$9,-12*MAX(0,$B$8-IF($B$1+31&gt;=$B$23,$B$22,0))*(1+$B$4)^31))*IF(AG169+IF($B$1+31&lt;=$B169,12*$B$9,-12*MAX(0,$B$8-IF($B$1+31&gt;=$B$23,$B$22,0))*(1+$B$4)^31)&gt;0,1+$B$3,1))</f>
        <v/>
      </c>
      <c r="AI169">
        <f>IF($B$1+32&gt;90,AH169,(AH169+IF($B$1+32&lt;=$B169,12*$B$9,-12*MAX(0,$B$8-IF($B$1+32&gt;=$B$23,$B$22,0))*(1+$B$4)^32))*IF(AH169+IF($B$1+32&lt;=$B169,12*$B$9,-12*MAX(0,$B$8-IF($B$1+32&gt;=$B$23,$B$22,0))*(1+$B$4)^32)&gt;0,1+$B$3,1))</f>
        <v/>
      </c>
      <c r="AJ169">
        <f>IF($B$1+33&gt;90,AI169,(AI169+IF($B$1+33&lt;=$B169,12*$B$9,-12*MAX(0,$B$8-IF($B$1+33&gt;=$B$23,$B$22,0))*(1+$B$4)^33))*IF(AI169+IF($B$1+33&lt;=$B169,12*$B$9,-12*MAX(0,$B$8-IF($B$1+33&gt;=$B$23,$B$22,0))*(1+$B$4)^33)&gt;0,1+$B$3,1))</f>
        <v/>
      </c>
      <c r="AK169">
        <f>IF($B$1+34&gt;90,AJ169,(AJ169+IF($B$1+34&lt;=$B169,12*$B$9,-12*MAX(0,$B$8-IF($B$1+34&gt;=$B$23,$B$22,0))*(1+$B$4)^34))*IF(AJ169+IF($B$1+34&lt;=$B169,12*$B$9,-12*MAX(0,$B$8-IF($B$1+34&gt;=$B$23,$B$22,0))*(1+$B$4)^34)&gt;0,1+$B$3,1))</f>
        <v/>
      </c>
      <c r="AL169">
        <f>IF($B$1+35&gt;90,AK169,(AK169+IF($B$1+35&lt;=$B169,12*$B$9,-12*MAX(0,$B$8-IF($B$1+35&gt;=$B$23,$B$22,0))*(1+$B$4)^35))*IF(AK169+IF($B$1+35&lt;=$B169,12*$B$9,-12*MAX(0,$B$8-IF($B$1+35&gt;=$B$23,$B$22,0))*(1+$B$4)^35)&gt;0,1+$B$3,1))</f>
        <v/>
      </c>
      <c r="AM169">
        <f>IF($B$1+36&gt;90,AL169,(AL169+IF($B$1+36&lt;=$B169,12*$B$9,-12*MAX(0,$B$8-IF($B$1+36&gt;=$B$23,$B$22,0))*(1+$B$4)^36))*IF(AL169+IF($B$1+36&lt;=$B169,12*$B$9,-12*MAX(0,$B$8-IF($B$1+36&gt;=$B$23,$B$22,0))*(1+$B$4)^36)&gt;0,1+$B$3,1))</f>
        <v/>
      </c>
      <c r="AN169">
        <f>IF($B$1+37&gt;90,AM169,(AM169+IF($B$1+37&lt;=$B169,12*$B$9,-12*MAX(0,$B$8-IF($B$1+37&gt;=$B$23,$B$22,0))*(1+$B$4)^37))*IF(AM169+IF($B$1+37&lt;=$B169,12*$B$9,-12*MAX(0,$B$8-IF($B$1+37&gt;=$B$23,$B$22,0))*(1+$B$4)^37)&gt;0,1+$B$3,1))</f>
        <v/>
      </c>
      <c r="AO169">
        <f>IF($B$1+38&gt;90,AN169,(AN169+IF($B$1+38&lt;=$B169,12*$B$9,-12*MAX(0,$B$8-IF($B$1+38&gt;=$B$23,$B$22,0))*(1+$B$4)^38))*IF(AN169+IF($B$1+38&lt;=$B169,12*$B$9,-12*MAX(0,$B$8-IF($B$1+38&gt;=$B$23,$B$22,0))*(1+$B$4)^38)&gt;0,1+$B$3,1))</f>
        <v/>
      </c>
      <c r="AP169">
        <f>IF($B$1+39&gt;90,AO169,(AO169+IF($B$1+39&lt;=$B169,12*$B$9,-12*MAX(0,$B$8-IF($B$1+39&gt;=$B$23,$B$22,0))*(1+$B$4)^39))*IF(AO169+IF($B$1+39&lt;=$B169,12*$B$9,-12*MAX(0,$B$8-IF($B$1+39&gt;=$B$23,$B$22,0))*(1+$B$4)^39)&gt;0,1+$B$3,1))</f>
        <v/>
      </c>
      <c r="AQ169">
        <f>IF($B$1+40&gt;90,AP169,(AP169+IF($B$1+40&lt;=$B169,12*$B$9,-12*MAX(0,$B$8-IF($B$1+40&gt;=$B$23,$B$22,0))*(1+$B$4)^40))*IF(AP169+IF($B$1+40&lt;=$B169,12*$B$9,-12*MAX(0,$B$8-IF($B$1+40&gt;=$B$23,$B$22,0))*(1+$B$4)^40)&gt;0,1+$B$3,1))</f>
        <v/>
      </c>
      <c r="AR169">
        <f>IF($B$1+41&gt;90,AQ169,(AQ169+IF($B$1+41&lt;=$B169,12*$B$9,-12*MAX(0,$B$8-IF($B$1+41&gt;=$B$23,$B$22,0))*(1+$B$4)^41))*IF(AQ169+IF($B$1+41&lt;=$B169,12*$B$9,-12*MAX(0,$B$8-IF($B$1+41&gt;=$B$23,$B$22,0))*(1+$B$4)^41)&gt;0,1+$B$3,1))</f>
        <v/>
      </c>
      <c r="AS169">
        <f>IF($B$1+42&gt;90,AR169,(AR169+IF($B$1+42&lt;=$B169,12*$B$9,-12*MAX(0,$B$8-IF($B$1+42&gt;=$B$23,$B$22,0))*(1+$B$4)^42))*IF(AR169+IF($B$1+42&lt;=$B169,12*$B$9,-12*MAX(0,$B$8-IF($B$1+42&gt;=$B$23,$B$22,0))*(1+$B$4)^42)&gt;0,1+$B$3,1))</f>
        <v/>
      </c>
      <c r="AT169">
        <f>IF($B$1+43&gt;90,AS169,(AS169+IF($B$1+43&lt;=$B169,12*$B$9,-12*MAX(0,$B$8-IF($B$1+43&gt;=$B$23,$B$22,0))*(1+$B$4)^43))*IF(AS169+IF($B$1+43&lt;=$B169,12*$B$9,-12*MAX(0,$B$8-IF($B$1+43&gt;=$B$23,$B$22,0))*(1+$B$4)^43)&gt;0,1+$B$3,1))</f>
        <v/>
      </c>
      <c r="AU169">
        <f>IF($B$1+44&gt;90,AT169,(AT169+IF($B$1+44&lt;=$B169,12*$B$9,-12*MAX(0,$B$8-IF($B$1+44&gt;=$B$23,$B$22,0))*(1+$B$4)^44))*IF(AT169+IF($B$1+44&lt;=$B169,12*$B$9,-12*MAX(0,$B$8-IF($B$1+44&gt;=$B$23,$B$22,0))*(1+$B$4)^44)&gt;0,1+$B$3,1))</f>
        <v/>
      </c>
      <c r="AV169">
        <f>IF($B$1+45&gt;90,AU169,(AU169+IF($B$1+45&lt;=$B169,12*$B$9,-12*MAX(0,$B$8-IF($B$1+45&gt;=$B$23,$B$22,0))*(1+$B$4)^45))*IF(AU169+IF($B$1+45&lt;=$B169,12*$B$9,-12*MAX(0,$B$8-IF($B$1+45&gt;=$B$23,$B$22,0))*(1+$B$4)^45)&gt;0,1+$B$3,1))</f>
        <v/>
      </c>
      <c r="AW169">
        <f>IF($B$1+46&gt;90,AV169,(AV169+IF($B$1+46&lt;=$B169,12*$B$9,-12*MAX(0,$B$8-IF($B$1+46&gt;=$B$23,$B$22,0))*(1+$B$4)^46))*IF(AV169+IF($B$1+46&lt;=$B169,12*$B$9,-12*MAX(0,$B$8-IF($B$1+46&gt;=$B$23,$B$22,0))*(1+$B$4)^46)&gt;0,1+$B$3,1))</f>
        <v/>
      </c>
      <c r="AX169">
        <f>IF($B$1+47&gt;90,AW169,(AW169+IF($B$1+47&lt;=$B169,12*$B$9,-12*MAX(0,$B$8-IF($B$1+47&gt;=$B$23,$B$22,0))*(1+$B$4)^47))*IF(AW169+IF($B$1+47&lt;=$B169,12*$B$9,-12*MAX(0,$B$8-IF($B$1+47&gt;=$B$23,$B$22,0))*(1+$B$4)^47)&gt;0,1+$B$3,1))</f>
        <v/>
      </c>
      <c r="AY169">
        <f>IF($B$1+48&gt;90,AX169,(AX169+IF($B$1+48&lt;=$B169,12*$B$9,-12*MAX(0,$B$8-IF($B$1+48&gt;=$B$23,$B$22,0))*(1+$B$4)^48))*IF(AX169+IF($B$1+48&lt;=$B169,12*$B$9,-12*MAX(0,$B$8-IF($B$1+48&gt;=$B$23,$B$22,0))*(1+$B$4)^48)&gt;0,1+$B$3,1))</f>
        <v/>
      </c>
      <c r="AZ169">
        <f>IF($B$1+49&gt;90,AY169,(AY169+IF($B$1+49&lt;=$B169,12*$B$9,-12*MAX(0,$B$8-IF($B$1+49&gt;=$B$23,$B$22,0))*(1+$B$4)^49))*IF(AY169+IF($B$1+49&lt;=$B169,12*$B$9,-12*MAX(0,$B$8-IF($B$1+49&gt;=$B$23,$B$22,0))*(1+$B$4)^49)&gt;0,1+$B$3,1))</f>
        <v/>
      </c>
      <c r="BA169">
        <f>IF($B$1+50&gt;90,AZ169,(AZ169+IF($B$1+50&lt;=$B169,12*$B$9,-12*MAX(0,$B$8-IF($B$1+50&gt;=$B$23,$B$22,0))*(1+$B$4)^50))*IF(AZ169+IF($B$1+50&lt;=$B169,12*$B$9,-12*MAX(0,$B$8-IF($B$1+50&gt;=$B$23,$B$22,0))*(1+$B$4)^50)&gt;0,1+$B$3,1))</f>
        <v/>
      </c>
      <c r="BB169">
        <f>IF($B$1+51&gt;90,BA169,(BA169+IF($B$1+51&lt;=$B169,12*$B$9,-12*MAX(0,$B$8-IF($B$1+51&gt;=$B$23,$B$22,0))*(1+$B$4)^51))*IF(BA169+IF($B$1+51&lt;=$B169,12*$B$9,-12*MAX(0,$B$8-IF($B$1+51&gt;=$B$23,$B$22,0))*(1+$B$4)^51)&gt;0,1+$B$3,1))</f>
        <v/>
      </c>
      <c r="BC169">
        <f>IF($B$1+52&gt;90,BB169,(BB169+IF($B$1+52&lt;=$B169,12*$B$9,-12*MAX(0,$B$8-IF($B$1+52&gt;=$B$23,$B$22,0))*(1+$B$4)^52))*IF(BB169+IF($B$1+52&lt;=$B169,12*$B$9,-12*MAX(0,$B$8-IF($B$1+52&gt;=$B$23,$B$22,0))*(1+$B$4)^52)&gt;0,1+$B$3,1))</f>
        <v/>
      </c>
      <c r="BD169">
        <f>IF($B$1+53&gt;90,BC169,(BC169+IF($B$1+53&lt;=$B169,12*$B$9,-12*MAX(0,$B$8-IF($B$1+53&gt;=$B$23,$B$22,0))*(1+$B$4)^53))*IF(BC169+IF($B$1+53&lt;=$B169,12*$B$9,-12*MAX(0,$B$8-IF($B$1+53&gt;=$B$23,$B$22,0))*(1+$B$4)^53)&gt;0,1+$B$3,1))</f>
        <v/>
      </c>
      <c r="BE169">
        <f>IF($B$1+54&gt;90,BD169,(BD169+IF($B$1+54&lt;=$B169,12*$B$9,-12*MAX(0,$B$8-IF($B$1+54&gt;=$B$23,$B$22,0))*(1+$B$4)^54))*IF(BD169+IF($B$1+54&lt;=$B169,12*$B$9,-12*MAX(0,$B$8-IF($B$1+54&gt;=$B$23,$B$22,0))*(1+$B$4)^54)&gt;0,1+$B$3,1))</f>
        <v/>
      </c>
      <c r="BF169">
        <f>IF($B$1+55&gt;90,BE169,(BE169+IF($B$1+55&lt;=$B169,12*$B$9,-12*MAX(0,$B$8-IF($B$1+55&gt;=$B$23,$B$22,0))*(1+$B$4)^55))*IF(BE169+IF($B$1+55&lt;=$B169,12*$B$9,-12*MAX(0,$B$8-IF($B$1+55&gt;=$B$23,$B$22,0))*(1+$B$4)^55)&gt;0,1+$B$3,1))</f>
        <v/>
      </c>
      <c r="BG169">
        <f>IF($B$1+56&gt;90,BF169,(BF169+IF($B$1+56&lt;=$B169,12*$B$9,-12*MAX(0,$B$8-IF($B$1+56&gt;=$B$23,$B$22,0))*(1+$B$4)^56))*IF(BF169+IF($B$1+56&lt;=$B169,12*$B$9,-12*MAX(0,$B$8-IF($B$1+56&gt;=$B$23,$B$22,0))*(1+$B$4)^56)&gt;0,1+$B$3,1))</f>
        <v/>
      </c>
      <c r="BH169">
        <f>IF($B$1+57&gt;90,BG169,(BG169+IF($B$1+57&lt;=$B169,12*$B$9,-12*MAX(0,$B$8-IF($B$1+57&gt;=$B$23,$B$22,0))*(1+$B$4)^57))*IF(BG169+IF($B$1+57&lt;=$B169,12*$B$9,-12*MAX(0,$B$8-IF($B$1+57&gt;=$B$23,$B$22,0))*(1+$B$4)^57)&gt;0,1+$B$3,1))</f>
        <v/>
      </c>
      <c r="BI169">
        <f>IF($B$1+58&gt;90,BH169,(BH169+IF($B$1+58&lt;=$B169,12*$B$9,-12*MAX(0,$B$8-IF($B$1+58&gt;=$B$23,$B$22,0))*(1+$B$4)^58))*IF(BH169+IF($B$1+58&lt;=$B169,12*$B$9,-12*MAX(0,$B$8-IF($B$1+58&gt;=$B$23,$B$22,0))*(1+$B$4)^58)&gt;0,1+$B$3,1))</f>
        <v/>
      </c>
      <c r="BJ169">
        <f>IF($B$1+59&gt;90,BI169,(BI169+IF($B$1+59&lt;=$B169,12*$B$9,-12*MAX(0,$B$8-IF($B$1+59&gt;=$B$23,$B$22,0))*(1+$B$4)^59))*IF(BI169+IF($B$1+59&lt;=$B169,12*$B$9,-12*MAX(0,$B$8-IF($B$1+59&gt;=$B$23,$B$22,0))*(1+$B$4)^59)&gt;0,1+$B$3,1))</f>
        <v/>
      </c>
      <c r="BK169">
        <f>IF($B$1+60&gt;90,BJ169,(BJ169+IF($B$1+60&lt;=$B169,12*$B$9,-12*MAX(0,$B$8-IF($B$1+60&gt;=$B$23,$B$22,0))*(1+$B$4)^60))*IF(BJ169+IF($B$1+60&lt;=$B169,12*$B$9,-12*MAX(0,$B$8-IF($B$1+60&gt;=$B$23,$B$22,0))*(1+$B$4)^60)&gt;0,1+$B$3,1))</f>
        <v/>
      </c>
      <c r="BL169">
        <f>IF($B$1+61&gt;90,BK169,(BK169+IF($B$1+61&lt;=$B169,12*$B$9,-12*MAX(0,$B$8-IF($B$1+61&gt;=$B$23,$B$22,0))*(1+$B$4)^61))*IF(BK169+IF($B$1+61&lt;=$B169,12*$B$9,-12*MAX(0,$B$8-IF($B$1+61&gt;=$B$23,$B$22,0))*(1+$B$4)^61)&gt;0,1+$B$3,1))</f>
        <v/>
      </c>
      <c r="BM169">
        <f>IF($B$1+62&gt;90,BL169,(BL169+IF($B$1+62&lt;=$B169,12*$B$9,-12*MAX(0,$B$8-IF($B$1+62&gt;=$B$23,$B$22,0))*(1+$B$4)^62))*IF(BL169+IF($B$1+62&lt;=$B169,12*$B$9,-12*MAX(0,$B$8-IF($B$1+62&gt;=$B$23,$B$22,0))*(1+$B$4)^62)&gt;0,1+$B$3,1))</f>
        <v/>
      </c>
      <c r="BN169">
        <f>IF($B$1+63&gt;90,BM169,(BM169+IF($B$1+63&lt;=$B169,12*$B$9,-12*MAX(0,$B$8-IF($B$1+63&gt;=$B$23,$B$22,0))*(1+$B$4)^63))*IF(BM169+IF($B$1+63&lt;=$B169,12*$B$9,-12*MAX(0,$B$8-IF($B$1+63&gt;=$B$23,$B$22,0))*(1+$B$4)^63)&gt;0,1+$B$3,1))</f>
        <v/>
      </c>
      <c r="BO169">
        <f>IF($B$1+64&gt;90,BN169,(BN169+IF($B$1+64&lt;=$B169,12*$B$9,-12*MAX(0,$B$8-IF($B$1+64&gt;=$B$23,$B$22,0))*(1+$B$4)^64))*IF(BN169+IF($B$1+64&lt;=$B169,12*$B$9,-12*MAX(0,$B$8-IF($B$1+64&gt;=$B$23,$B$22,0))*(1+$B$4)^64)&gt;0,1+$B$3,1))</f>
        <v/>
      </c>
      <c r="BP169">
        <f>IF($B$1+65&gt;90,BO169,(BO169+IF($B$1+65&lt;=$B169,12*$B$9,-12*MAX(0,$B$8-IF($B$1+65&gt;=$B$23,$B$22,0))*(1+$B$4)^65))*IF(BO169+IF($B$1+65&lt;=$B169,12*$B$9,-12*MAX(0,$B$8-IF($B$1+65&gt;=$B$23,$B$22,0))*(1+$B$4)^65)&gt;0,1+$B$3,1))</f>
        <v/>
      </c>
      <c r="BQ169">
        <f>IF($B$1+66&gt;90,BP169,(BP169+IF($B$1+66&lt;=$B169,12*$B$9,-12*MAX(0,$B$8-IF($B$1+66&gt;=$B$23,$B$22,0))*(1+$B$4)^66))*IF(BP169+IF($B$1+66&lt;=$B169,12*$B$9,-12*MAX(0,$B$8-IF($B$1+66&gt;=$B$23,$B$22,0))*(1+$B$4)^66)&gt;0,1+$B$3,1))</f>
        <v/>
      </c>
      <c r="BR169">
        <f>IF($B$1+67&gt;90,BQ169,(BQ169+IF($B$1+67&lt;=$B169,12*$B$9,-12*MAX(0,$B$8-IF($B$1+67&gt;=$B$23,$B$22,0))*(1+$B$4)^67))*IF(BQ169+IF($B$1+67&lt;=$B169,12*$B$9,-12*MAX(0,$B$8-IF($B$1+67&gt;=$B$23,$B$22,0))*(1+$B$4)^67)&gt;0,1+$B$3,1))</f>
        <v/>
      </c>
      <c r="BS169">
        <f>IF($B$1+68&gt;90,BR169,(BR169+IF($B$1+68&lt;=$B169,12*$B$9,-12*MAX(0,$B$8-IF($B$1+68&gt;=$B$23,$B$22,0))*(1+$B$4)^68))*IF(BR169+IF($B$1+68&lt;=$B169,12*$B$9,-12*MAX(0,$B$8-IF($B$1+68&gt;=$B$23,$B$22,0))*(1+$B$4)^68)&gt;0,1+$B$3,1))</f>
        <v/>
      </c>
      <c r="BT169">
        <f>IF($B$1+69&gt;90,BS169,(BS169+IF($B$1+69&lt;=$B169,12*$B$9,-12*MAX(0,$B$8-IF($B$1+69&gt;=$B$23,$B$22,0))*(1+$B$4)^69))*IF(BS169+IF($B$1+69&lt;=$B169,12*$B$9,-12*MAX(0,$B$8-IF($B$1+69&gt;=$B$23,$B$22,0))*(1+$B$4)^69)&gt;0,1+$B$3,1))</f>
        <v/>
      </c>
      <c r="BU169">
        <f>IF($B$1+70&gt;90,BT169,(BT169+IF($B$1+70&lt;=$B169,12*$B$9,-12*MAX(0,$B$8-IF($B$1+70&gt;=$B$23,$B$22,0))*(1+$B$4)^70))*IF(BT169+IF($B$1+70&lt;=$B169,12*$B$9,-12*MAX(0,$B$8-IF($B$1+70&gt;=$B$23,$B$22,0))*(1+$B$4)^70)&gt;0,1+$B$3,1))</f>
        <v/>
      </c>
      <c r="BV169">
        <f>BU169</f>
        <v/>
      </c>
      <c r="BW169">
        <f>IF(AND($B169&lt;=70,BV169&gt;0),$B169,999)</f>
        <v/>
      </c>
      <c r="CH169">
        <f>IF(ISTEXT('월 가계부'!A169),SUBSTITUTE(SUBSTITUTE(SUBSTITUTE(SUBSTITUTE(SUBSTITUTE(SUBSTITUTE(SUBSTITUTE(SUBSTITUTE(SUBSTITUTE(TRIM('월 가계부'!A169),"년","-"),"월","-"),"일",""),".","-"),"/","-")," ","-"),"--","-"),"--","-"),"--","-")&amp;"-","")</f>
        <v/>
      </c>
      <c r="CI169">
        <f>IFERROR(IF('월 가계부'!A169="","",IF(ISNUMBER('월 가계부'!A169),IF(AND('월 가계부'!A169&gt;=19000101,'월 가계부'!A169&lt;=21001231),IF(AND(MOD(INT('월 가계부'!A169/100),100)&gt;=1,MOD(INT('월 가계부'!A169/100),100)&lt;=12,MOD(INT('월 가계부'!A169),100)&gt;=1,MOD(INT('월 가계부'!A169),100)&lt;=31),IF(MONTH(DATE(INT('월 가계부'!A169/10000),MOD(INT('월 가계부'!A169/100),100),MOD(INT('월 가계부'!A169),100)))=MOD(INT('월 가계부'!A169/100),100),DATE(INT('월 가계부'!A169/10000),MOD(INT('월 가계부'!A169/100),100),MOD(INT('월 가계부'!A169),100)),""),""),IF(AND('월 가계부'!A169&gt;=36526,'월 가계부'!A169&lt;73051),INT('월 가계부'!A169),"")),IF(OR(CM169="",CN169="",CO169=""),"",IF(AND(CM169&gt;=2000,CM169&lt;=2099,CN169&gt;=1,CN169&lt;=12,CO169&gt;=1,CO169&lt;=31),IF(MONTH(DATE(CM169,CN169,CO169))=CN169,DATE(CM169,CN169,CO169),""),"")))),"")</f>
        <v/>
      </c>
      <c r="CJ169">
        <f>IFERROR(IF('월 가계부'!C169="","",IF(ISNUMBER('월 가계부'!C169),'월 가계부'!C169,VALUE(SUBSTITUTE(SUBSTITUTE(SUBSTITUTE(SUBSTITUTE(TRIM('월 가계부'!C169),",",""),"원","")," ",""),"−","-")))),"")</f>
        <v/>
      </c>
      <c r="CK169">
        <f>IF(ISNUMBER(CI169),IF(CI169&lt;$B$13,CI169,""),"")</f>
        <v/>
      </c>
      <c r="CM169">
        <f>IF(CH169="","",IFERROR(IF(IF(AND(LEN(CH169)=9,ISERROR(FIND("-",LEFT(CH169,8))),ISNUMBER(-LEFT(CH169,8))),VALUE(LEFT(CH169,4)),VALUE(LEFT(CH169,FIND("-",CH169)-1)))&lt;100,IF(AND(LEN(CH169)=9,ISERROR(FIND("-",LEFT(CH169,8))),ISNUMBER(-LEFT(CH169,8))),VALUE(LEFT(CH169,4)),VALUE(LEFT(CH169,FIND("-",CH169)-1)))+2000,IF(AND(LEN(CH169)=9,ISERROR(FIND("-",LEFT(CH169,8))),ISNUMBER(-LEFT(CH169,8))),VALUE(LEFT(CH169,4)),VALUE(LEFT(CH169,FIND("-",CH169)-1)))),""))</f>
        <v/>
      </c>
      <c r="CN169">
        <f>IF(CH169="","",IFERROR(IF(AND(LEN(CH169)=9,ISERROR(FIND("-",LEFT(CH169,8))),ISNUMBER(-LEFT(CH169,8))),VALUE(MID(CH169,5,2)),VALUE(MID(CH169,FIND("-",CH169)+1,FIND("-",CH169,FIND("-",CH169)+1)-FIND("-",CH169)-1))),""))</f>
        <v/>
      </c>
      <c r="CO169">
        <f>IF(CH169="","",IFERROR(IF(AND(LEN(CH169)=9,ISERROR(FIND("-",LEFT(CH169,8))),ISNUMBER(-LEFT(CH169,8))),VALUE(MID(CH169,7,2)),VALUE(MID(CH169,FIND("-",CH169,FIND("-",CH169)+1)+1,FIND("-",CH169,FIND("-",CH169,FIND("-",CH169)+1)+1)-FIND("-",CH169,FIND("-",CH169)+1)-1))),""))</f>
        <v/>
      </c>
    </row>
    <row r="170">
      <c r="A170" t="n">
        <v>18</v>
      </c>
      <c r="B170">
        <f>$B$1+18</f>
        <v/>
      </c>
      <c r="C170">
        <f>$B$2</f>
        <v/>
      </c>
      <c r="D170">
        <f>IF($B$1+1&gt;90,C170,(C170+IF($B$1+1&lt;=$B170,12*$B$9,-12*MAX(0,$B$8-IF($B$1+1&gt;=$B$23,$B$22,0))*(1+$B$4)^1))*IF(C170+IF($B$1+1&lt;=$B170,12*$B$9,-12*MAX(0,$B$8-IF($B$1+1&gt;=$B$23,$B$22,0))*(1+$B$4)^1)&gt;0,1+$B$3,1))</f>
        <v/>
      </c>
      <c r="E170">
        <f>IF($B$1+2&gt;90,D170,(D170+IF($B$1+2&lt;=$B170,12*$B$9,-12*MAX(0,$B$8-IF($B$1+2&gt;=$B$23,$B$22,0))*(1+$B$4)^2))*IF(D170+IF($B$1+2&lt;=$B170,12*$B$9,-12*MAX(0,$B$8-IF($B$1+2&gt;=$B$23,$B$22,0))*(1+$B$4)^2)&gt;0,1+$B$3,1))</f>
        <v/>
      </c>
      <c r="F170">
        <f>IF($B$1+3&gt;90,E170,(E170+IF($B$1+3&lt;=$B170,12*$B$9,-12*MAX(0,$B$8-IF($B$1+3&gt;=$B$23,$B$22,0))*(1+$B$4)^3))*IF(E170+IF($B$1+3&lt;=$B170,12*$B$9,-12*MAX(0,$B$8-IF($B$1+3&gt;=$B$23,$B$22,0))*(1+$B$4)^3)&gt;0,1+$B$3,1))</f>
        <v/>
      </c>
      <c r="G170">
        <f>IF($B$1+4&gt;90,F170,(F170+IF($B$1+4&lt;=$B170,12*$B$9,-12*MAX(0,$B$8-IF($B$1+4&gt;=$B$23,$B$22,0))*(1+$B$4)^4))*IF(F170+IF($B$1+4&lt;=$B170,12*$B$9,-12*MAX(0,$B$8-IF($B$1+4&gt;=$B$23,$B$22,0))*(1+$B$4)^4)&gt;0,1+$B$3,1))</f>
        <v/>
      </c>
      <c r="H170">
        <f>IF($B$1+5&gt;90,G170,(G170+IF($B$1+5&lt;=$B170,12*$B$9,-12*MAX(0,$B$8-IF($B$1+5&gt;=$B$23,$B$22,0))*(1+$B$4)^5))*IF(G170+IF($B$1+5&lt;=$B170,12*$B$9,-12*MAX(0,$B$8-IF($B$1+5&gt;=$B$23,$B$22,0))*(1+$B$4)^5)&gt;0,1+$B$3,1))</f>
        <v/>
      </c>
      <c r="I170">
        <f>IF($B$1+6&gt;90,H170,(H170+IF($B$1+6&lt;=$B170,12*$B$9,-12*MAX(0,$B$8-IF($B$1+6&gt;=$B$23,$B$22,0))*(1+$B$4)^6))*IF(H170+IF($B$1+6&lt;=$B170,12*$B$9,-12*MAX(0,$B$8-IF($B$1+6&gt;=$B$23,$B$22,0))*(1+$B$4)^6)&gt;0,1+$B$3,1))</f>
        <v/>
      </c>
      <c r="J170">
        <f>IF($B$1+7&gt;90,I170,(I170+IF($B$1+7&lt;=$B170,12*$B$9,-12*MAX(0,$B$8-IF($B$1+7&gt;=$B$23,$B$22,0))*(1+$B$4)^7))*IF(I170+IF($B$1+7&lt;=$B170,12*$B$9,-12*MAX(0,$B$8-IF($B$1+7&gt;=$B$23,$B$22,0))*(1+$B$4)^7)&gt;0,1+$B$3,1))</f>
        <v/>
      </c>
      <c r="K170">
        <f>IF($B$1+8&gt;90,J170,(J170+IF($B$1+8&lt;=$B170,12*$B$9,-12*MAX(0,$B$8-IF($B$1+8&gt;=$B$23,$B$22,0))*(1+$B$4)^8))*IF(J170+IF($B$1+8&lt;=$B170,12*$B$9,-12*MAX(0,$B$8-IF($B$1+8&gt;=$B$23,$B$22,0))*(1+$B$4)^8)&gt;0,1+$B$3,1))</f>
        <v/>
      </c>
      <c r="L170">
        <f>IF($B$1+9&gt;90,K170,(K170+IF($B$1+9&lt;=$B170,12*$B$9,-12*MAX(0,$B$8-IF($B$1+9&gt;=$B$23,$B$22,0))*(1+$B$4)^9))*IF(K170+IF($B$1+9&lt;=$B170,12*$B$9,-12*MAX(0,$B$8-IF($B$1+9&gt;=$B$23,$B$22,0))*(1+$B$4)^9)&gt;0,1+$B$3,1))</f>
        <v/>
      </c>
      <c r="M170">
        <f>IF($B$1+10&gt;90,L170,(L170+IF($B$1+10&lt;=$B170,12*$B$9,-12*MAX(0,$B$8-IF($B$1+10&gt;=$B$23,$B$22,0))*(1+$B$4)^10))*IF(L170+IF($B$1+10&lt;=$B170,12*$B$9,-12*MAX(0,$B$8-IF($B$1+10&gt;=$B$23,$B$22,0))*(1+$B$4)^10)&gt;0,1+$B$3,1))</f>
        <v/>
      </c>
      <c r="N170">
        <f>IF($B$1+11&gt;90,M170,(M170+IF($B$1+11&lt;=$B170,12*$B$9,-12*MAX(0,$B$8-IF($B$1+11&gt;=$B$23,$B$22,0))*(1+$B$4)^11))*IF(M170+IF($B$1+11&lt;=$B170,12*$B$9,-12*MAX(0,$B$8-IF($B$1+11&gt;=$B$23,$B$22,0))*(1+$B$4)^11)&gt;0,1+$B$3,1))</f>
        <v/>
      </c>
      <c r="O170">
        <f>IF($B$1+12&gt;90,N170,(N170+IF($B$1+12&lt;=$B170,12*$B$9,-12*MAX(0,$B$8-IF($B$1+12&gt;=$B$23,$B$22,0))*(1+$B$4)^12))*IF(N170+IF($B$1+12&lt;=$B170,12*$B$9,-12*MAX(0,$B$8-IF($B$1+12&gt;=$B$23,$B$22,0))*(1+$B$4)^12)&gt;0,1+$B$3,1))</f>
        <v/>
      </c>
      <c r="P170">
        <f>IF($B$1+13&gt;90,O170,(O170+IF($B$1+13&lt;=$B170,12*$B$9,-12*MAX(0,$B$8-IF($B$1+13&gt;=$B$23,$B$22,0))*(1+$B$4)^13))*IF(O170+IF($B$1+13&lt;=$B170,12*$B$9,-12*MAX(0,$B$8-IF($B$1+13&gt;=$B$23,$B$22,0))*(1+$B$4)^13)&gt;0,1+$B$3,1))</f>
        <v/>
      </c>
      <c r="Q170">
        <f>IF($B$1+14&gt;90,P170,(P170+IF($B$1+14&lt;=$B170,12*$B$9,-12*MAX(0,$B$8-IF($B$1+14&gt;=$B$23,$B$22,0))*(1+$B$4)^14))*IF(P170+IF($B$1+14&lt;=$B170,12*$B$9,-12*MAX(0,$B$8-IF($B$1+14&gt;=$B$23,$B$22,0))*(1+$B$4)^14)&gt;0,1+$B$3,1))</f>
        <v/>
      </c>
      <c r="R170">
        <f>IF($B$1+15&gt;90,Q170,(Q170+IF($B$1+15&lt;=$B170,12*$B$9,-12*MAX(0,$B$8-IF($B$1+15&gt;=$B$23,$B$22,0))*(1+$B$4)^15))*IF(Q170+IF($B$1+15&lt;=$B170,12*$B$9,-12*MAX(0,$B$8-IF($B$1+15&gt;=$B$23,$B$22,0))*(1+$B$4)^15)&gt;0,1+$B$3,1))</f>
        <v/>
      </c>
      <c r="S170">
        <f>IF($B$1+16&gt;90,R170,(R170+IF($B$1+16&lt;=$B170,12*$B$9,-12*MAX(0,$B$8-IF($B$1+16&gt;=$B$23,$B$22,0))*(1+$B$4)^16))*IF(R170+IF($B$1+16&lt;=$B170,12*$B$9,-12*MAX(0,$B$8-IF($B$1+16&gt;=$B$23,$B$22,0))*(1+$B$4)^16)&gt;0,1+$B$3,1))</f>
        <v/>
      </c>
      <c r="T170">
        <f>IF($B$1+17&gt;90,S170,(S170+IF($B$1+17&lt;=$B170,12*$B$9,-12*MAX(0,$B$8-IF($B$1+17&gt;=$B$23,$B$22,0))*(1+$B$4)^17))*IF(S170+IF($B$1+17&lt;=$B170,12*$B$9,-12*MAX(0,$B$8-IF($B$1+17&gt;=$B$23,$B$22,0))*(1+$B$4)^17)&gt;0,1+$B$3,1))</f>
        <v/>
      </c>
      <c r="U170">
        <f>IF($B$1+18&gt;90,T170,(T170+IF($B$1+18&lt;=$B170,12*$B$9,-12*MAX(0,$B$8-IF($B$1+18&gt;=$B$23,$B$22,0))*(1+$B$4)^18))*IF(T170+IF($B$1+18&lt;=$B170,12*$B$9,-12*MAX(0,$B$8-IF($B$1+18&gt;=$B$23,$B$22,0))*(1+$B$4)^18)&gt;0,1+$B$3,1))</f>
        <v/>
      </c>
      <c r="V170">
        <f>IF($B$1+19&gt;90,U170,(U170+IF($B$1+19&lt;=$B170,12*$B$9,-12*MAX(0,$B$8-IF($B$1+19&gt;=$B$23,$B$22,0))*(1+$B$4)^19))*IF(U170+IF($B$1+19&lt;=$B170,12*$B$9,-12*MAX(0,$B$8-IF($B$1+19&gt;=$B$23,$B$22,0))*(1+$B$4)^19)&gt;0,1+$B$3,1))</f>
        <v/>
      </c>
      <c r="W170">
        <f>IF($B$1+20&gt;90,V170,(V170+IF($B$1+20&lt;=$B170,12*$B$9,-12*MAX(0,$B$8-IF($B$1+20&gt;=$B$23,$B$22,0))*(1+$B$4)^20))*IF(V170+IF($B$1+20&lt;=$B170,12*$B$9,-12*MAX(0,$B$8-IF($B$1+20&gt;=$B$23,$B$22,0))*(1+$B$4)^20)&gt;0,1+$B$3,1))</f>
        <v/>
      </c>
      <c r="X170">
        <f>IF($B$1+21&gt;90,W170,(W170+IF($B$1+21&lt;=$B170,12*$B$9,-12*MAX(0,$B$8-IF($B$1+21&gt;=$B$23,$B$22,0))*(1+$B$4)^21))*IF(W170+IF($B$1+21&lt;=$B170,12*$B$9,-12*MAX(0,$B$8-IF($B$1+21&gt;=$B$23,$B$22,0))*(1+$B$4)^21)&gt;0,1+$B$3,1))</f>
        <v/>
      </c>
      <c r="Y170">
        <f>IF($B$1+22&gt;90,X170,(X170+IF($B$1+22&lt;=$B170,12*$B$9,-12*MAX(0,$B$8-IF($B$1+22&gt;=$B$23,$B$22,0))*(1+$B$4)^22))*IF(X170+IF($B$1+22&lt;=$B170,12*$B$9,-12*MAX(0,$B$8-IF($B$1+22&gt;=$B$23,$B$22,0))*(1+$B$4)^22)&gt;0,1+$B$3,1))</f>
        <v/>
      </c>
      <c r="Z170">
        <f>IF($B$1+23&gt;90,Y170,(Y170+IF($B$1+23&lt;=$B170,12*$B$9,-12*MAX(0,$B$8-IF($B$1+23&gt;=$B$23,$B$22,0))*(1+$B$4)^23))*IF(Y170+IF($B$1+23&lt;=$B170,12*$B$9,-12*MAX(0,$B$8-IF($B$1+23&gt;=$B$23,$B$22,0))*(1+$B$4)^23)&gt;0,1+$B$3,1))</f>
        <v/>
      </c>
      <c r="AA170">
        <f>IF($B$1+24&gt;90,Z170,(Z170+IF($B$1+24&lt;=$B170,12*$B$9,-12*MAX(0,$B$8-IF($B$1+24&gt;=$B$23,$B$22,0))*(1+$B$4)^24))*IF(Z170+IF($B$1+24&lt;=$B170,12*$B$9,-12*MAX(0,$B$8-IF($B$1+24&gt;=$B$23,$B$22,0))*(1+$B$4)^24)&gt;0,1+$B$3,1))</f>
        <v/>
      </c>
      <c r="AB170">
        <f>IF($B$1+25&gt;90,AA170,(AA170+IF($B$1+25&lt;=$B170,12*$B$9,-12*MAX(0,$B$8-IF($B$1+25&gt;=$B$23,$B$22,0))*(1+$B$4)^25))*IF(AA170+IF($B$1+25&lt;=$B170,12*$B$9,-12*MAX(0,$B$8-IF($B$1+25&gt;=$B$23,$B$22,0))*(1+$B$4)^25)&gt;0,1+$B$3,1))</f>
        <v/>
      </c>
      <c r="AC170">
        <f>IF($B$1+26&gt;90,AB170,(AB170+IF($B$1+26&lt;=$B170,12*$B$9,-12*MAX(0,$B$8-IF($B$1+26&gt;=$B$23,$B$22,0))*(1+$B$4)^26))*IF(AB170+IF($B$1+26&lt;=$B170,12*$B$9,-12*MAX(0,$B$8-IF($B$1+26&gt;=$B$23,$B$22,0))*(1+$B$4)^26)&gt;0,1+$B$3,1))</f>
        <v/>
      </c>
      <c r="AD170">
        <f>IF($B$1+27&gt;90,AC170,(AC170+IF($B$1+27&lt;=$B170,12*$B$9,-12*MAX(0,$B$8-IF($B$1+27&gt;=$B$23,$B$22,0))*(1+$B$4)^27))*IF(AC170+IF($B$1+27&lt;=$B170,12*$B$9,-12*MAX(0,$B$8-IF($B$1+27&gt;=$B$23,$B$22,0))*(1+$B$4)^27)&gt;0,1+$B$3,1))</f>
        <v/>
      </c>
      <c r="AE170">
        <f>IF($B$1+28&gt;90,AD170,(AD170+IF($B$1+28&lt;=$B170,12*$B$9,-12*MAX(0,$B$8-IF($B$1+28&gt;=$B$23,$B$22,0))*(1+$B$4)^28))*IF(AD170+IF($B$1+28&lt;=$B170,12*$B$9,-12*MAX(0,$B$8-IF($B$1+28&gt;=$B$23,$B$22,0))*(1+$B$4)^28)&gt;0,1+$B$3,1))</f>
        <v/>
      </c>
      <c r="AF170">
        <f>IF($B$1+29&gt;90,AE170,(AE170+IF($B$1+29&lt;=$B170,12*$B$9,-12*MAX(0,$B$8-IF($B$1+29&gt;=$B$23,$B$22,0))*(1+$B$4)^29))*IF(AE170+IF($B$1+29&lt;=$B170,12*$B$9,-12*MAX(0,$B$8-IF($B$1+29&gt;=$B$23,$B$22,0))*(1+$B$4)^29)&gt;0,1+$B$3,1))</f>
        <v/>
      </c>
      <c r="AG170">
        <f>IF($B$1+30&gt;90,AF170,(AF170+IF($B$1+30&lt;=$B170,12*$B$9,-12*MAX(0,$B$8-IF($B$1+30&gt;=$B$23,$B$22,0))*(1+$B$4)^30))*IF(AF170+IF($B$1+30&lt;=$B170,12*$B$9,-12*MAX(0,$B$8-IF($B$1+30&gt;=$B$23,$B$22,0))*(1+$B$4)^30)&gt;0,1+$B$3,1))</f>
        <v/>
      </c>
      <c r="AH170">
        <f>IF($B$1+31&gt;90,AG170,(AG170+IF($B$1+31&lt;=$B170,12*$B$9,-12*MAX(0,$B$8-IF($B$1+31&gt;=$B$23,$B$22,0))*(1+$B$4)^31))*IF(AG170+IF($B$1+31&lt;=$B170,12*$B$9,-12*MAX(0,$B$8-IF($B$1+31&gt;=$B$23,$B$22,0))*(1+$B$4)^31)&gt;0,1+$B$3,1))</f>
        <v/>
      </c>
      <c r="AI170">
        <f>IF($B$1+32&gt;90,AH170,(AH170+IF($B$1+32&lt;=$B170,12*$B$9,-12*MAX(0,$B$8-IF($B$1+32&gt;=$B$23,$B$22,0))*(1+$B$4)^32))*IF(AH170+IF($B$1+32&lt;=$B170,12*$B$9,-12*MAX(0,$B$8-IF($B$1+32&gt;=$B$23,$B$22,0))*(1+$B$4)^32)&gt;0,1+$B$3,1))</f>
        <v/>
      </c>
      <c r="AJ170">
        <f>IF($B$1+33&gt;90,AI170,(AI170+IF($B$1+33&lt;=$B170,12*$B$9,-12*MAX(0,$B$8-IF($B$1+33&gt;=$B$23,$B$22,0))*(1+$B$4)^33))*IF(AI170+IF($B$1+33&lt;=$B170,12*$B$9,-12*MAX(0,$B$8-IF($B$1+33&gt;=$B$23,$B$22,0))*(1+$B$4)^33)&gt;0,1+$B$3,1))</f>
        <v/>
      </c>
      <c r="AK170">
        <f>IF($B$1+34&gt;90,AJ170,(AJ170+IF($B$1+34&lt;=$B170,12*$B$9,-12*MAX(0,$B$8-IF($B$1+34&gt;=$B$23,$B$22,0))*(1+$B$4)^34))*IF(AJ170+IF($B$1+34&lt;=$B170,12*$B$9,-12*MAX(0,$B$8-IF($B$1+34&gt;=$B$23,$B$22,0))*(1+$B$4)^34)&gt;0,1+$B$3,1))</f>
        <v/>
      </c>
      <c r="AL170">
        <f>IF($B$1+35&gt;90,AK170,(AK170+IF($B$1+35&lt;=$B170,12*$B$9,-12*MAX(0,$B$8-IF($B$1+35&gt;=$B$23,$B$22,0))*(1+$B$4)^35))*IF(AK170+IF($B$1+35&lt;=$B170,12*$B$9,-12*MAX(0,$B$8-IF($B$1+35&gt;=$B$23,$B$22,0))*(1+$B$4)^35)&gt;0,1+$B$3,1))</f>
        <v/>
      </c>
      <c r="AM170">
        <f>IF($B$1+36&gt;90,AL170,(AL170+IF($B$1+36&lt;=$B170,12*$B$9,-12*MAX(0,$B$8-IF($B$1+36&gt;=$B$23,$B$22,0))*(1+$B$4)^36))*IF(AL170+IF($B$1+36&lt;=$B170,12*$B$9,-12*MAX(0,$B$8-IF($B$1+36&gt;=$B$23,$B$22,0))*(1+$B$4)^36)&gt;0,1+$B$3,1))</f>
        <v/>
      </c>
      <c r="AN170">
        <f>IF($B$1+37&gt;90,AM170,(AM170+IF($B$1+37&lt;=$B170,12*$B$9,-12*MAX(0,$B$8-IF($B$1+37&gt;=$B$23,$B$22,0))*(1+$B$4)^37))*IF(AM170+IF($B$1+37&lt;=$B170,12*$B$9,-12*MAX(0,$B$8-IF($B$1+37&gt;=$B$23,$B$22,0))*(1+$B$4)^37)&gt;0,1+$B$3,1))</f>
        <v/>
      </c>
      <c r="AO170">
        <f>IF($B$1+38&gt;90,AN170,(AN170+IF($B$1+38&lt;=$B170,12*$B$9,-12*MAX(0,$B$8-IF($B$1+38&gt;=$B$23,$B$22,0))*(1+$B$4)^38))*IF(AN170+IF($B$1+38&lt;=$B170,12*$B$9,-12*MAX(0,$B$8-IF($B$1+38&gt;=$B$23,$B$22,0))*(1+$B$4)^38)&gt;0,1+$B$3,1))</f>
        <v/>
      </c>
      <c r="AP170">
        <f>IF($B$1+39&gt;90,AO170,(AO170+IF($B$1+39&lt;=$B170,12*$B$9,-12*MAX(0,$B$8-IF($B$1+39&gt;=$B$23,$B$22,0))*(1+$B$4)^39))*IF(AO170+IF($B$1+39&lt;=$B170,12*$B$9,-12*MAX(0,$B$8-IF($B$1+39&gt;=$B$23,$B$22,0))*(1+$B$4)^39)&gt;0,1+$B$3,1))</f>
        <v/>
      </c>
      <c r="AQ170">
        <f>IF($B$1+40&gt;90,AP170,(AP170+IF($B$1+40&lt;=$B170,12*$B$9,-12*MAX(0,$B$8-IF($B$1+40&gt;=$B$23,$B$22,0))*(1+$B$4)^40))*IF(AP170+IF($B$1+40&lt;=$B170,12*$B$9,-12*MAX(0,$B$8-IF($B$1+40&gt;=$B$23,$B$22,0))*(1+$B$4)^40)&gt;0,1+$B$3,1))</f>
        <v/>
      </c>
      <c r="AR170">
        <f>IF($B$1+41&gt;90,AQ170,(AQ170+IF($B$1+41&lt;=$B170,12*$B$9,-12*MAX(0,$B$8-IF($B$1+41&gt;=$B$23,$B$22,0))*(1+$B$4)^41))*IF(AQ170+IF($B$1+41&lt;=$B170,12*$B$9,-12*MAX(0,$B$8-IF($B$1+41&gt;=$B$23,$B$22,0))*(1+$B$4)^41)&gt;0,1+$B$3,1))</f>
        <v/>
      </c>
      <c r="AS170">
        <f>IF($B$1+42&gt;90,AR170,(AR170+IF($B$1+42&lt;=$B170,12*$B$9,-12*MAX(0,$B$8-IF($B$1+42&gt;=$B$23,$B$22,0))*(1+$B$4)^42))*IF(AR170+IF($B$1+42&lt;=$B170,12*$B$9,-12*MAX(0,$B$8-IF($B$1+42&gt;=$B$23,$B$22,0))*(1+$B$4)^42)&gt;0,1+$B$3,1))</f>
        <v/>
      </c>
      <c r="AT170">
        <f>IF($B$1+43&gt;90,AS170,(AS170+IF($B$1+43&lt;=$B170,12*$B$9,-12*MAX(0,$B$8-IF($B$1+43&gt;=$B$23,$B$22,0))*(1+$B$4)^43))*IF(AS170+IF($B$1+43&lt;=$B170,12*$B$9,-12*MAX(0,$B$8-IF($B$1+43&gt;=$B$23,$B$22,0))*(1+$B$4)^43)&gt;0,1+$B$3,1))</f>
        <v/>
      </c>
      <c r="AU170">
        <f>IF($B$1+44&gt;90,AT170,(AT170+IF($B$1+44&lt;=$B170,12*$B$9,-12*MAX(0,$B$8-IF($B$1+44&gt;=$B$23,$B$22,0))*(1+$B$4)^44))*IF(AT170+IF($B$1+44&lt;=$B170,12*$B$9,-12*MAX(0,$B$8-IF($B$1+44&gt;=$B$23,$B$22,0))*(1+$B$4)^44)&gt;0,1+$B$3,1))</f>
        <v/>
      </c>
      <c r="AV170">
        <f>IF($B$1+45&gt;90,AU170,(AU170+IF($B$1+45&lt;=$B170,12*$B$9,-12*MAX(0,$B$8-IF($B$1+45&gt;=$B$23,$B$22,0))*(1+$B$4)^45))*IF(AU170+IF($B$1+45&lt;=$B170,12*$B$9,-12*MAX(0,$B$8-IF($B$1+45&gt;=$B$23,$B$22,0))*(1+$B$4)^45)&gt;0,1+$B$3,1))</f>
        <v/>
      </c>
      <c r="AW170">
        <f>IF($B$1+46&gt;90,AV170,(AV170+IF($B$1+46&lt;=$B170,12*$B$9,-12*MAX(0,$B$8-IF($B$1+46&gt;=$B$23,$B$22,0))*(1+$B$4)^46))*IF(AV170+IF($B$1+46&lt;=$B170,12*$B$9,-12*MAX(0,$B$8-IF($B$1+46&gt;=$B$23,$B$22,0))*(1+$B$4)^46)&gt;0,1+$B$3,1))</f>
        <v/>
      </c>
      <c r="AX170">
        <f>IF($B$1+47&gt;90,AW170,(AW170+IF($B$1+47&lt;=$B170,12*$B$9,-12*MAX(0,$B$8-IF($B$1+47&gt;=$B$23,$B$22,0))*(1+$B$4)^47))*IF(AW170+IF($B$1+47&lt;=$B170,12*$B$9,-12*MAX(0,$B$8-IF($B$1+47&gt;=$B$23,$B$22,0))*(1+$B$4)^47)&gt;0,1+$B$3,1))</f>
        <v/>
      </c>
      <c r="AY170">
        <f>IF($B$1+48&gt;90,AX170,(AX170+IF($B$1+48&lt;=$B170,12*$B$9,-12*MAX(0,$B$8-IF($B$1+48&gt;=$B$23,$B$22,0))*(1+$B$4)^48))*IF(AX170+IF($B$1+48&lt;=$B170,12*$B$9,-12*MAX(0,$B$8-IF($B$1+48&gt;=$B$23,$B$22,0))*(1+$B$4)^48)&gt;0,1+$B$3,1))</f>
        <v/>
      </c>
      <c r="AZ170">
        <f>IF($B$1+49&gt;90,AY170,(AY170+IF($B$1+49&lt;=$B170,12*$B$9,-12*MAX(0,$B$8-IF($B$1+49&gt;=$B$23,$B$22,0))*(1+$B$4)^49))*IF(AY170+IF($B$1+49&lt;=$B170,12*$B$9,-12*MAX(0,$B$8-IF($B$1+49&gt;=$B$23,$B$22,0))*(1+$B$4)^49)&gt;0,1+$B$3,1))</f>
        <v/>
      </c>
      <c r="BA170">
        <f>IF($B$1+50&gt;90,AZ170,(AZ170+IF($B$1+50&lt;=$B170,12*$B$9,-12*MAX(0,$B$8-IF($B$1+50&gt;=$B$23,$B$22,0))*(1+$B$4)^50))*IF(AZ170+IF($B$1+50&lt;=$B170,12*$B$9,-12*MAX(0,$B$8-IF($B$1+50&gt;=$B$23,$B$22,0))*(1+$B$4)^50)&gt;0,1+$B$3,1))</f>
        <v/>
      </c>
      <c r="BB170">
        <f>IF($B$1+51&gt;90,BA170,(BA170+IF($B$1+51&lt;=$B170,12*$B$9,-12*MAX(0,$B$8-IF($B$1+51&gt;=$B$23,$B$22,0))*(1+$B$4)^51))*IF(BA170+IF($B$1+51&lt;=$B170,12*$B$9,-12*MAX(0,$B$8-IF($B$1+51&gt;=$B$23,$B$22,0))*(1+$B$4)^51)&gt;0,1+$B$3,1))</f>
        <v/>
      </c>
      <c r="BC170">
        <f>IF($B$1+52&gt;90,BB170,(BB170+IF($B$1+52&lt;=$B170,12*$B$9,-12*MAX(0,$B$8-IF($B$1+52&gt;=$B$23,$B$22,0))*(1+$B$4)^52))*IF(BB170+IF($B$1+52&lt;=$B170,12*$B$9,-12*MAX(0,$B$8-IF($B$1+52&gt;=$B$23,$B$22,0))*(1+$B$4)^52)&gt;0,1+$B$3,1))</f>
        <v/>
      </c>
      <c r="BD170">
        <f>IF($B$1+53&gt;90,BC170,(BC170+IF($B$1+53&lt;=$B170,12*$B$9,-12*MAX(0,$B$8-IF($B$1+53&gt;=$B$23,$B$22,0))*(1+$B$4)^53))*IF(BC170+IF($B$1+53&lt;=$B170,12*$B$9,-12*MAX(0,$B$8-IF($B$1+53&gt;=$B$23,$B$22,0))*(1+$B$4)^53)&gt;0,1+$B$3,1))</f>
        <v/>
      </c>
      <c r="BE170">
        <f>IF($B$1+54&gt;90,BD170,(BD170+IF($B$1+54&lt;=$B170,12*$B$9,-12*MAX(0,$B$8-IF($B$1+54&gt;=$B$23,$B$22,0))*(1+$B$4)^54))*IF(BD170+IF($B$1+54&lt;=$B170,12*$B$9,-12*MAX(0,$B$8-IF($B$1+54&gt;=$B$23,$B$22,0))*(1+$B$4)^54)&gt;0,1+$B$3,1))</f>
        <v/>
      </c>
      <c r="BF170">
        <f>IF($B$1+55&gt;90,BE170,(BE170+IF($B$1+55&lt;=$B170,12*$B$9,-12*MAX(0,$B$8-IF($B$1+55&gt;=$B$23,$B$22,0))*(1+$B$4)^55))*IF(BE170+IF($B$1+55&lt;=$B170,12*$B$9,-12*MAX(0,$B$8-IF($B$1+55&gt;=$B$23,$B$22,0))*(1+$B$4)^55)&gt;0,1+$B$3,1))</f>
        <v/>
      </c>
      <c r="BG170">
        <f>IF($B$1+56&gt;90,BF170,(BF170+IF($B$1+56&lt;=$B170,12*$B$9,-12*MAX(0,$B$8-IF($B$1+56&gt;=$B$23,$B$22,0))*(1+$B$4)^56))*IF(BF170+IF($B$1+56&lt;=$B170,12*$B$9,-12*MAX(0,$B$8-IF($B$1+56&gt;=$B$23,$B$22,0))*(1+$B$4)^56)&gt;0,1+$B$3,1))</f>
        <v/>
      </c>
      <c r="BH170">
        <f>IF($B$1+57&gt;90,BG170,(BG170+IF($B$1+57&lt;=$B170,12*$B$9,-12*MAX(0,$B$8-IF($B$1+57&gt;=$B$23,$B$22,0))*(1+$B$4)^57))*IF(BG170+IF($B$1+57&lt;=$B170,12*$B$9,-12*MAX(0,$B$8-IF($B$1+57&gt;=$B$23,$B$22,0))*(1+$B$4)^57)&gt;0,1+$B$3,1))</f>
        <v/>
      </c>
      <c r="BI170">
        <f>IF($B$1+58&gt;90,BH170,(BH170+IF($B$1+58&lt;=$B170,12*$B$9,-12*MAX(0,$B$8-IF($B$1+58&gt;=$B$23,$B$22,0))*(1+$B$4)^58))*IF(BH170+IF($B$1+58&lt;=$B170,12*$B$9,-12*MAX(0,$B$8-IF($B$1+58&gt;=$B$23,$B$22,0))*(1+$B$4)^58)&gt;0,1+$B$3,1))</f>
        <v/>
      </c>
      <c r="BJ170">
        <f>IF($B$1+59&gt;90,BI170,(BI170+IF($B$1+59&lt;=$B170,12*$B$9,-12*MAX(0,$B$8-IF($B$1+59&gt;=$B$23,$B$22,0))*(1+$B$4)^59))*IF(BI170+IF($B$1+59&lt;=$B170,12*$B$9,-12*MAX(0,$B$8-IF($B$1+59&gt;=$B$23,$B$22,0))*(1+$B$4)^59)&gt;0,1+$B$3,1))</f>
        <v/>
      </c>
      <c r="BK170">
        <f>IF($B$1+60&gt;90,BJ170,(BJ170+IF($B$1+60&lt;=$B170,12*$B$9,-12*MAX(0,$B$8-IF($B$1+60&gt;=$B$23,$B$22,0))*(1+$B$4)^60))*IF(BJ170+IF($B$1+60&lt;=$B170,12*$B$9,-12*MAX(0,$B$8-IF($B$1+60&gt;=$B$23,$B$22,0))*(1+$B$4)^60)&gt;0,1+$B$3,1))</f>
        <v/>
      </c>
      <c r="BL170">
        <f>IF($B$1+61&gt;90,BK170,(BK170+IF($B$1+61&lt;=$B170,12*$B$9,-12*MAX(0,$B$8-IF($B$1+61&gt;=$B$23,$B$22,0))*(1+$B$4)^61))*IF(BK170+IF($B$1+61&lt;=$B170,12*$B$9,-12*MAX(0,$B$8-IF($B$1+61&gt;=$B$23,$B$22,0))*(1+$B$4)^61)&gt;0,1+$B$3,1))</f>
        <v/>
      </c>
      <c r="BM170">
        <f>IF($B$1+62&gt;90,BL170,(BL170+IF($B$1+62&lt;=$B170,12*$B$9,-12*MAX(0,$B$8-IF($B$1+62&gt;=$B$23,$B$22,0))*(1+$B$4)^62))*IF(BL170+IF($B$1+62&lt;=$B170,12*$B$9,-12*MAX(0,$B$8-IF($B$1+62&gt;=$B$23,$B$22,0))*(1+$B$4)^62)&gt;0,1+$B$3,1))</f>
        <v/>
      </c>
      <c r="BN170">
        <f>IF($B$1+63&gt;90,BM170,(BM170+IF($B$1+63&lt;=$B170,12*$B$9,-12*MAX(0,$B$8-IF($B$1+63&gt;=$B$23,$B$22,0))*(1+$B$4)^63))*IF(BM170+IF($B$1+63&lt;=$B170,12*$B$9,-12*MAX(0,$B$8-IF($B$1+63&gt;=$B$23,$B$22,0))*(1+$B$4)^63)&gt;0,1+$B$3,1))</f>
        <v/>
      </c>
      <c r="BO170">
        <f>IF($B$1+64&gt;90,BN170,(BN170+IF($B$1+64&lt;=$B170,12*$B$9,-12*MAX(0,$B$8-IF($B$1+64&gt;=$B$23,$B$22,0))*(1+$B$4)^64))*IF(BN170+IF($B$1+64&lt;=$B170,12*$B$9,-12*MAX(0,$B$8-IF($B$1+64&gt;=$B$23,$B$22,0))*(1+$B$4)^64)&gt;0,1+$B$3,1))</f>
        <v/>
      </c>
      <c r="BP170">
        <f>IF($B$1+65&gt;90,BO170,(BO170+IF($B$1+65&lt;=$B170,12*$B$9,-12*MAX(0,$B$8-IF($B$1+65&gt;=$B$23,$B$22,0))*(1+$B$4)^65))*IF(BO170+IF($B$1+65&lt;=$B170,12*$B$9,-12*MAX(0,$B$8-IF($B$1+65&gt;=$B$23,$B$22,0))*(1+$B$4)^65)&gt;0,1+$B$3,1))</f>
        <v/>
      </c>
      <c r="BQ170">
        <f>IF($B$1+66&gt;90,BP170,(BP170+IF($B$1+66&lt;=$B170,12*$B$9,-12*MAX(0,$B$8-IF($B$1+66&gt;=$B$23,$B$22,0))*(1+$B$4)^66))*IF(BP170+IF($B$1+66&lt;=$B170,12*$B$9,-12*MAX(0,$B$8-IF($B$1+66&gt;=$B$23,$B$22,0))*(1+$B$4)^66)&gt;0,1+$B$3,1))</f>
        <v/>
      </c>
      <c r="BR170">
        <f>IF($B$1+67&gt;90,BQ170,(BQ170+IF($B$1+67&lt;=$B170,12*$B$9,-12*MAX(0,$B$8-IF($B$1+67&gt;=$B$23,$B$22,0))*(1+$B$4)^67))*IF(BQ170+IF($B$1+67&lt;=$B170,12*$B$9,-12*MAX(0,$B$8-IF($B$1+67&gt;=$B$23,$B$22,0))*(1+$B$4)^67)&gt;0,1+$B$3,1))</f>
        <v/>
      </c>
      <c r="BS170">
        <f>IF($B$1+68&gt;90,BR170,(BR170+IF($B$1+68&lt;=$B170,12*$B$9,-12*MAX(0,$B$8-IF($B$1+68&gt;=$B$23,$B$22,0))*(1+$B$4)^68))*IF(BR170+IF($B$1+68&lt;=$B170,12*$B$9,-12*MAX(0,$B$8-IF($B$1+68&gt;=$B$23,$B$22,0))*(1+$B$4)^68)&gt;0,1+$B$3,1))</f>
        <v/>
      </c>
      <c r="BT170">
        <f>IF($B$1+69&gt;90,BS170,(BS170+IF($B$1+69&lt;=$B170,12*$B$9,-12*MAX(0,$B$8-IF($B$1+69&gt;=$B$23,$B$22,0))*(1+$B$4)^69))*IF(BS170+IF($B$1+69&lt;=$B170,12*$B$9,-12*MAX(0,$B$8-IF($B$1+69&gt;=$B$23,$B$22,0))*(1+$B$4)^69)&gt;0,1+$B$3,1))</f>
        <v/>
      </c>
      <c r="BU170">
        <f>IF($B$1+70&gt;90,BT170,(BT170+IF($B$1+70&lt;=$B170,12*$B$9,-12*MAX(0,$B$8-IF($B$1+70&gt;=$B$23,$B$22,0))*(1+$B$4)^70))*IF(BT170+IF($B$1+70&lt;=$B170,12*$B$9,-12*MAX(0,$B$8-IF($B$1+70&gt;=$B$23,$B$22,0))*(1+$B$4)^70)&gt;0,1+$B$3,1))</f>
        <v/>
      </c>
      <c r="BV170">
        <f>BU170</f>
        <v/>
      </c>
      <c r="BW170">
        <f>IF(AND($B170&lt;=70,BV170&gt;0),$B170,999)</f>
        <v/>
      </c>
      <c r="CH170">
        <f>IF(ISTEXT('월 가계부'!A170),SUBSTITUTE(SUBSTITUTE(SUBSTITUTE(SUBSTITUTE(SUBSTITUTE(SUBSTITUTE(SUBSTITUTE(SUBSTITUTE(SUBSTITUTE(TRIM('월 가계부'!A170),"년","-"),"월","-"),"일",""),".","-"),"/","-")," ","-"),"--","-"),"--","-"),"--","-")&amp;"-","")</f>
        <v/>
      </c>
      <c r="CI170">
        <f>IFERROR(IF('월 가계부'!A170="","",IF(ISNUMBER('월 가계부'!A170),IF(AND('월 가계부'!A170&gt;=19000101,'월 가계부'!A170&lt;=21001231),IF(AND(MOD(INT('월 가계부'!A170/100),100)&gt;=1,MOD(INT('월 가계부'!A170/100),100)&lt;=12,MOD(INT('월 가계부'!A170),100)&gt;=1,MOD(INT('월 가계부'!A170),100)&lt;=31),IF(MONTH(DATE(INT('월 가계부'!A170/10000),MOD(INT('월 가계부'!A170/100),100),MOD(INT('월 가계부'!A170),100)))=MOD(INT('월 가계부'!A170/100),100),DATE(INT('월 가계부'!A170/10000),MOD(INT('월 가계부'!A170/100),100),MOD(INT('월 가계부'!A170),100)),""),""),IF(AND('월 가계부'!A170&gt;=36526,'월 가계부'!A170&lt;73051),INT('월 가계부'!A170),"")),IF(OR(CM170="",CN170="",CO170=""),"",IF(AND(CM170&gt;=2000,CM170&lt;=2099,CN170&gt;=1,CN170&lt;=12,CO170&gt;=1,CO170&lt;=31),IF(MONTH(DATE(CM170,CN170,CO170))=CN170,DATE(CM170,CN170,CO170),""),"")))),"")</f>
        <v/>
      </c>
      <c r="CJ170">
        <f>IFERROR(IF('월 가계부'!C170="","",IF(ISNUMBER('월 가계부'!C170),'월 가계부'!C170,VALUE(SUBSTITUTE(SUBSTITUTE(SUBSTITUTE(SUBSTITUTE(TRIM('월 가계부'!C170),",",""),"원","")," ",""),"−","-")))),"")</f>
        <v/>
      </c>
      <c r="CK170">
        <f>IF(ISNUMBER(CI170),IF(CI170&lt;$B$13,CI170,""),"")</f>
        <v/>
      </c>
      <c r="CM170">
        <f>IF(CH170="","",IFERROR(IF(IF(AND(LEN(CH170)=9,ISERROR(FIND("-",LEFT(CH170,8))),ISNUMBER(-LEFT(CH170,8))),VALUE(LEFT(CH170,4)),VALUE(LEFT(CH170,FIND("-",CH170)-1)))&lt;100,IF(AND(LEN(CH170)=9,ISERROR(FIND("-",LEFT(CH170,8))),ISNUMBER(-LEFT(CH170,8))),VALUE(LEFT(CH170,4)),VALUE(LEFT(CH170,FIND("-",CH170)-1)))+2000,IF(AND(LEN(CH170)=9,ISERROR(FIND("-",LEFT(CH170,8))),ISNUMBER(-LEFT(CH170,8))),VALUE(LEFT(CH170,4)),VALUE(LEFT(CH170,FIND("-",CH170)-1)))),""))</f>
        <v/>
      </c>
      <c r="CN170">
        <f>IF(CH170="","",IFERROR(IF(AND(LEN(CH170)=9,ISERROR(FIND("-",LEFT(CH170,8))),ISNUMBER(-LEFT(CH170,8))),VALUE(MID(CH170,5,2)),VALUE(MID(CH170,FIND("-",CH170)+1,FIND("-",CH170,FIND("-",CH170)+1)-FIND("-",CH170)-1))),""))</f>
        <v/>
      </c>
      <c r="CO170">
        <f>IF(CH170="","",IFERROR(IF(AND(LEN(CH170)=9,ISERROR(FIND("-",LEFT(CH170,8))),ISNUMBER(-LEFT(CH170,8))),VALUE(MID(CH170,7,2)),VALUE(MID(CH170,FIND("-",CH170,FIND("-",CH170)+1)+1,FIND("-",CH170,FIND("-",CH170,FIND("-",CH170)+1)+1)-FIND("-",CH170,FIND("-",CH170)+1)-1))),""))</f>
        <v/>
      </c>
    </row>
    <row r="171">
      <c r="A171" t="n">
        <v>19</v>
      </c>
      <c r="B171">
        <f>$B$1+19</f>
        <v/>
      </c>
      <c r="C171">
        <f>$B$2</f>
        <v/>
      </c>
      <c r="D171">
        <f>IF($B$1+1&gt;90,C171,(C171+IF($B$1+1&lt;=$B171,12*$B$9,-12*MAX(0,$B$8-IF($B$1+1&gt;=$B$23,$B$22,0))*(1+$B$4)^1))*IF(C171+IF($B$1+1&lt;=$B171,12*$B$9,-12*MAX(0,$B$8-IF($B$1+1&gt;=$B$23,$B$22,0))*(1+$B$4)^1)&gt;0,1+$B$3,1))</f>
        <v/>
      </c>
      <c r="E171">
        <f>IF($B$1+2&gt;90,D171,(D171+IF($B$1+2&lt;=$B171,12*$B$9,-12*MAX(0,$B$8-IF($B$1+2&gt;=$B$23,$B$22,0))*(1+$B$4)^2))*IF(D171+IF($B$1+2&lt;=$B171,12*$B$9,-12*MAX(0,$B$8-IF($B$1+2&gt;=$B$23,$B$22,0))*(1+$B$4)^2)&gt;0,1+$B$3,1))</f>
        <v/>
      </c>
      <c r="F171">
        <f>IF($B$1+3&gt;90,E171,(E171+IF($B$1+3&lt;=$B171,12*$B$9,-12*MAX(0,$B$8-IF($B$1+3&gt;=$B$23,$B$22,0))*(1+$B$4)^3))*IF(E171+IF($B$1+3&lt;=$B171,12*$B$9,-12*MAX(0,$B$8-IF($B$1+3&gt;=$B$23,$B$22,0))*(1+$B$4)^3)&gt;0,1+$B$3,1))</f>
        <v/>
      </c>
      <c r="G171">
        <f>IF($B$1+4&gt;90,F171,(F171+IF($B$1+4&lt;=$B171,12*$B$9,-12*MAX(0,$B$8-IF($B$1+4&gt;=$B$23,$B$22,0))*(1+$B$4)^4))*IF(F171+IF($B$1+4&lt;=$B171,12*$B$9,-12*MAX(0,$B$8-IF($B$1+4&gt;=$B$23,$B$22,0))*(1+$B$4)^4)&gt;0,1+$B$3,1))</f>
        <v/>
      </c>
      <c r="H171">
        <f>IF($B$1+5&gt;90,G171,(G171+IF($B$1+5&lt;=$B171,12*$B$9,-12*MAX(0,$B$8-IF($B$1+5&gt;=$B$23,$B$22,0))*(1+$B$4)^5))*IF(G171+IF($B$1+5&lt;=$B171,12*$B$9,-12*MAX(0,$B$8-IF($B$1+5&gt;=$B$23,$B$22,0))*(1+$B$4)^5)&gt;0,1+$B$3,1))</f>
        <v/>
      </c>
      <c r="I171">
        <f>IF($B$1+6&gt;90,H171,(H171+IF($B$1+6&lt;=$B171,12*$B$9,-12*MAX(0,$B$8-IF($B$1+6&gt;=$B$23,$B$22,0))*(1+$B$4)^6))*IF(H171+IF($B$1+6&lt;=$B171,12*$B$9,-12*MAX(0,$B$8-IF($B$1+6&gt;=$B$23,$B$22,0))*(1+$B$4)^6)&gt;0,1+$B$3,1))</f>
        <v/>
      </c>
      <c r="J171">
        <f>IF($B$1+7&gt;90,I171,(I171+IF($B$1+7&lt;=$B171,12*$B$9,-12*MAX(0,$B$8-IF($B$1+7&gt;=$B$23,$B$22,0))*(1+$B$4)^7))*IF(I171+IF($B$1+7&lt;=$B171,12*$B$9,-12*MAX(0,$B$8-IF($B$1+7&gt;=$B$23,$B$22,0))*(1+$B$4)^7)&gt;0,1+$B$3,1))</f>
        <v/>
      </c>
      <c r="K171">
        <f>IF($B$1+8&gt;90,J171,(J171+IF($B$1+8&lt;=$B171,12*$B$9,-12*MAX(0,$B$8-IF($B$1+8&gt;=$B$23,$B$22,0))*(1+$B$4)^8))*IF(J171+IF($B$1+8&lt;=$B171,12*$B$9,-12*MAX(0,$B$8-IF($B$1+8&gt;=$B$23,$B$22,0))*(1+$B$4)^8)&gt;0,1+$B$3,1))</f>
        <v/>
      </c>
      <c r="L171">
        <f>IF($B$1+9&gt;90,K171,(K171+IF($B$1+9&lt;=$B171,12*$B$9,-12*MAX(0,$B$8-IF($B$1+9&gt;=$B$23,$B$22,0))*(1+$B$4)^9))*IF(K171+IF($B$1+9&lt;=$B171,12*$B$9,-12*MAX(0,$B$8-IF($B$1+9&gt;=$B$23,$B$22,0))*(1+$B$4)^9)&gt;0,1+$B$3,1))</f>
        <v/>
      </c>
      <c r="M171">
        <f>IF($B$1+10&gt;90,L171,(L171+IF($B$1+10&lt;=$B171,12*$B$9,-12*MAX(0,$B$8-IF($B$1+10&gt;=$B$23,$B$22,0))*(1+$B$4)^10))*IF(L171+IF($B$1+10&lt;=$B171,12*$B$9,-12*MAX(0,$B$8-IF($B$1+10&gt;=$B$23,$B$22,0))*(1+$B$4)^10)&gt;0,1+$B$3,1))</f>
        <v/>
      </c>
      <c r="N171">
        <f>IF($B$1+11&gt;90,M171,(M171+IF($B$1+11&lt;=$B171,12*$B$9,-12*MAX(0,$B$8-IF($B$1+11&gt;=$B$23,$B$22,0))*(1+$B$4)^11))*IF(M171+IF($B$1+11&lt;=$B171,12*$B$9,-12*MAX(0,$B$8-IF($B$1+11&gt;=$B$23,$B$22,0))*(1+$B$4)^11)&gt;0,1+$B$3,1))</f>
        <v/>
      </c>
      <c r="O171">
        <f>IF($B$1+12&gt;90,N171,(N171+IF($B$1+12&lt;=$B171,12*$B$9,-12*MAX(0,$B$8-IF($B$1+12&gt;=$B$23,$B$22,0))*(1+$B$4)^12))*IF(N171+IF($B$1+12&lt;=$B171,12*$B$9,-12*MAX(0,$B$8-IF($B$1+12&gt;=$B$23,$B$22,0))*(1+$B$4)^12)&gt;0,1+$B$3,1))</f>
        <v/>
      </c>
      <c r="P171">
        <f>IF($B$1+13&gt;90,O171,(O171+IF($B$1+13&lt;=$B171,12*$B$9,-12*MAX(0,$B$8-IF($B$1+13&gt;=$B$23,$B$22,0))*(1+$B$4)^13))*IF(O171+IF($B$1+13&lt;=$B171,12*$B$9,-12*MAX(0,$B$8-IF($B$1+13&gt;=$B$23,$B$22,0))*(1+$B$4)^13)&gt;0,1+$B$3,1))</f>
        <v/>
      </c>
      <c r="Q171">
        <f>IF($B$1+14&gt;90,P171,(P171+IF($B$1+14&lt;=$B171,12*$B$9,-12*MAX(0,$B$8-IF($B$1+14&gt;=$B$23,$B$22,0))*(1+$B$4)^14))*IF(P171+IF($B$1+14&lt;=$B171,12*$B$9,-12*MAX(0,$B$8-IF($B$1+14&gt;=$B$23,$B$22,0))*(1+$B$4)^14)&gt;0,1+$B$3,1))</f>
        <v/>
      </c>
      <c r="R171">
        <f>IF($B$1+15&gt;90,Q171,(Q171+IF($B$1+15&lt;=$B171,12*$B$9,-12*MAX(0,$B$8-IF($B$1+15&gt;=$B$23,$B$22,0))*(1+$B$4)^15))*IF(Q171+IF($B$1+15&lt;=$B171,12*$B$9,-12*MAX(0,$B$8-IF($B$1+15&gt;=$B$23,$B$22,0))*(1+$B$4)^15)&gt;0,1+$B$3,1))</f>
        <v/>
      </c>
      <c r="S171">
        <f>IF($B$1+16&gt;90,R171,(R171+IF($B$1+16&lt;=$B171,12*$B$9,-12*MAX(0,$B$8-IF($B$1+16&gt;=$B$23,$B$22,0))*(1+$B$4)^16))*IF(R171+IF($B$1+16&lt;=$B171,12*$B$9,-12*MAX(0,$B$8-IF($B$1+16&gt;=$B$23,$B$22,0))*(1+$B$4)^16)&gt;0,1+$B$3,1))</f>
        <v/>
      </c>
      <c r="T171">
        <f>IF($B$1+17&gt;90,S171,(S171+IF($B$1+17&lt;=$B171,12*$B$9,-12*MAX(0,$B$8-IF($B$1+17&gt;=$B$23,$B$22,0))*(1+$B$4)^17))*IF(S171+IF($B$1+17&lt;=$B171,12*$B$9,-12*MAX(0,$B$8-IF($B$1+17&gt;=$B$23,$B$22,0))*(1+$B$4)^17)&gt;0,1+$B$3,1))</f>
        <v/>
      </c>
      <c r="U171">
        <f>IF($B$1+18&gt;90,T171,(T171+IF($B$1+18&lt;=$B171,12*$B$9,-12*MAX(0,$B$8-IF($B$1+18&gt;=$B$23,$B$22,0))*(1+$B$4)^18))*IF(T171+IF($B$1+18&lt;=$B171,12*$B$9,-12*MAX(0,$B$8-IF($B$1+18&gt;=$B$23,$B$22,0))*(1+$B$4)^18)&gt;0,1+$B$3,1))</f>
        <v/>
      </c>
      <c r="V171">
        <f>IF($B$1+19&gt;90,U171,(U171+IF($B$1+19&lt;=$B171,12*$B$9,-12*MAX(0,$B$8-IF($B$1+19&gt;=$B$23,$B$22,0))*(1+$B$4)^19))*IF(U171+IF($B$1+19&lt;=$B171,12*$B$9,-12*MAX(0,$B$8-IF($B$1+19&gt;=$B$23,$B$22,0))*(1+$B$4)^19)&gt;0,1+$B$3,1))</f>
        <v/>
      </c>
      <c r="W171">
        <f>IF($B$1+20&gt;90,V171,(V171+IF($B$1+20&lt;=$B171,12*$B$9,-12*MAX(0,$B$8-IF($B$1+20&gt;=$B$23,$B$22,0))*(1+$B$4)^20))*IF(V171+IF($B$1+20&lt;=$B171,12*$B$9,-12*MAX(0,$B$8-IF($B$1+20&gt;=$B$23,$B$22,0))*(1+$B$4)^20)&gt;0,1+$B$3,1))</f>
        <v/>
      </c>
      <c r="X171">
        <f>IF($B$1+21&gt;90,W171,(W171+IF($B$1+21&lt;=$B171,12*$B$9,-12*MAX(0,$B$8-IF($B$1+21&gt;=$B$23,$B$22,0))*(1+$B$4)^21))*IF(W171+IF($B$1+21&lt;=$B171,12*$B$9,-12*MAX(0,$B$8-IF($B$1+21&gt;=$B$23,$B$22,0))*(1+$B$4)^21)&gt;0,1+$B$3,1))</f>
        <v/>
      </c>
      <c r="Y171">
        <f>IF($B$1+22&gt;90,X171,(X171+IF($B$1+22&lt;=$B171,12*$B$9,-12*MAX(0,$B$8-IF($B$1+22&gt;=$B$23,$B$22,0))*(1+$B$4)^22))*IF(X171+IF($B$1+22&lt;=$B171,12*$B$9,-12*MAX(0,$B$8-IF($B$1+22&gt;=$B$23,$B$22,0))*(1+$B$4)^22)&gt;0,1+$B$3,1))</f>
        <v/>
      </c>
      <c r="Z171">
        <f>IF($B$1+23&gt;90,Y171,(Y171+IF($B$1+23&lt;=$B171,12*$B$9,-12*MAX(0,$B$8-IF($B$1+23&gt;=$B$23,$B$22,0))*(1+$B$4)^23))*IF(Y171+IF($B$1+23&lt;=$B171,12*$B$9,-12*MAX(0,$B$8-IF($B$1+23&gt;=$B$23,$B$22,0))*(1+$B$4)^23)&gt;0,1+$B$3,1))</f>
        <v/>
      </c>
      <c r="AA171">
        <f>IF($B$1+24&gt;90,Z171,(Z171+IF($B$1+24&lt;=$B171,12*$B$9,-12*MAX(0,$B$8-IF($B$1+24&gt;=$B$23,$B$22,0))*(1+$B$4)^24))*IF(Z171+IF($B$1+24&lt;=$B171,12*$B$9,-12*MAX(0,$B$8-IF($B$1+24&gt;=$B$23,$B$22,0))*(1+$B$4)^24)&gt;0,1+$B$3,1))</f>
        <v/>
      </c>
      <c r="AB171">
        <f>IF($B$1+25&gt;90,AA171,(AA171+IF($B$1+25&lt;=$B171,12*$B$9,-12*MAX(0,$B$8-IF($B$1+25&gt;=$B$23,$B$22,0))*(1+$B$4)^25))*IF(AA171+IF($B$1+25&lt;=$B171,12*$B$9,-12*MAX(0,$B$8-IF($B$1+25&gt;=$B$23,$B$22,0))*(1+$B$4)^25)&gt;0,1+$B$3,1))</f>
        <v/>
      </c>
      <c r="AC171">
        <f>IF($B$1+26&gt;90,AB171,(AB171+IF($B$1+26&lt;=$B171,12*$B$9,-12*MAX(0,$B$8-IF($B$1+26&gt;=$B$23,$B$22,0))*(1+$B$4)^26))*IF(AB171+IF($B$1+26&lt;=$B171,12*$B$9,-12*MAX(0,$B$8-IF($B$1+26&gt;=$B$23,$B$22,0))*(1+$B$4)^26)&gt;0,1+$B$3,1))</f>
        <v/>
      </c>
      <c r="AD171">
        <f>IF($B$1+27&gt;90,AC171,(AC171+IF($B$1+27&lt;=$B171,12*$B$9,-12*MAX(0,$B$8-IF($B$1+27&gt;=$B$23,$B$22,0))*(1+$B$4)^27))*IF(AC171+IF($B$1+27&lt;=$B171,12*$B$9,-12*MAX(0,$B$8-IF($B$1+27&gt;=$B$23,$B$22,0))*(1+$B$4)^27)&gt;0,1+$B$3,1))</f>
        <v/>
      </c>
      <c r="AE171">
        <f>IF($B$1+28&gt;90,AD171,(AD171+IF($B$1+28&lt;=$B171,12*$B$9,-12*MAX(0,$B$8-IF($B$1+28&gt;=$B$23,$B$22,0))*(1+$B$4)^28))*IF(AD171+IF($B$1+28&lt;=$B171,12*$B$9,-12*MAX(0,$B$8-IF($B$1+28&gt;=$B$23,$B$22,0))*(1+$B$4)^28)&gt;0,1+$B$3,1))</f>
        <v/>
      </c>
      <c r="AF171">
        <f>IF($B$1+29&gt;90,AE171,(AE171+IF($B$1+29&lt;=$B171,12*$B$9,-12*MAX(0,$B$8-IF($B$1+29&gt;=$B$23,$B$22,0))*(1+$B$4)^29))*IF(AE171+IF($B$1+29&lt;=$B171,12*$B$9,-12*MAX(0,$B$8-IF($B$1+29&gt;=$B$23,$B$22,0))*(1+$B$4)^29)&gt;0,1+$B$3,1))</f>
        <v/>
      </c>
      <c r="AG171">
        <f>IF($B$1+30&gt;90,AF171,(AF171+IF($B$1+30&lt;=$B171,12*$B$9,-12*MAX(0,$B$8-IF($B$1+30&gt;=$B$23,$B$22,0))*(1+$B$4)^30))*IF(AF171+IF($B$1+30&lt;=$B171,12*$B$9,-12*MAX(0,$B$8-IF($B$1+30&gt;=$B$23,$B$22,0))*(1+$B$4)^30)&gt;0,1+$B$3,1))</f>
        <v/>
      </c>
      <c r="AH171">
        <f>IF($B$1+31&gt;90,AG171,(AG171+IF($B$1+31&lt;=$B171,12*$B$9,-12*MAX(0,$B$8-IF($B$1+31&gt;=$B$23,$B$22,0))*(1+$B$4)^31))*IF(AG171+IF($B$1+31&lt;=$B171,12*$B$9,-12*MAX(0,$B$8-IF($B$1+31&gt;=$B$23,$B$22,0))*(1+$B$4)^31)&gt;0,1+$B$3,1))</f>
        <v/>
      </c>
      <c r="AI171">
        <f>IF($B$1+32&gt;90,AH171,(AH171+IF($B$1+32&lt;=$B171,12*$B$9,-12*MAX(0,$B$8-IF($B$1+32&gt;=$B$23,$B$22,0))*(1+$B$4)^32))*IF(AH171+IF($B$1+32&lt;=$B171,12*$B$9,-12*MAX(0,$B$8-IF($B$1+32&gt;=$B$23,$B$22,0))*(1+$B$4)^32)&gt;0,1+$B$3,1))</f>
        <v/>
      </c>
      <c r="AJ171">
        <f>IF($B$1+33&gt;90,AI171,(AI171+IF($B$1+33&lt;=$B171,12*$B$9,-12*MAX(0,$B$8-IF($B$1+33&gt;=$B$23,$B$22,0))*(1+$B$4)^33))*IF(AI171+IF($B$1+33&lt;=$B171,12*$B$9,-12*MAX(0,$B$8-IF($B$1+33&gt;=$B$23,$B$22,0))*(1+$B$4)^33)&gt;0,1+$B$3,1))</f>
        <v/>
      </c>
      <c r="AK171">
        <f>IF($B$1+34&gt;90,AJ171,(AJ171+IF($B$1+34&lt;=$B171,12*$B$9,-12*MAX(0,$B$8-IF($B$1+34&gt;=$B$23,$B$22,0))*(1+$B$4)^34))*IF(AJ171+IF($B$1+34&lt;=$B171,12*$B$9,-12*MAX(0,$B$8-IF($B$1+34&gt;=$B$23,$B$22,0))*(1+$B$4)^34)&gt;0,1+$B$3,1))</f>
        <v/>
      </c>
      <c r="AL171">
        <f>IF($B$1+35&gt;90,AK171,(AK171+IF($B$1+35&lt;=$B171,12*$B$9,-12*MAX(0,$B$8-IF($B$1+35&gt;=$B$23,$B$22,0))*(1+$B$4)^35))*IF(AK171+IF($B$1+35&lt;=$B171,12*$B$9,-12*MAX(0,$B$8-IF($B$1+35&gt;=$B$23,$B$22,0))*(1+$B$4)^35)&gt;0,1+$B$3,1))</f>
        <v/>
      </c>
      <c r="AM171">
        <f>IF($B$1+36&gt;90,AL171,(AL171+IF($B$1+36&lt;=$B171,12*$B$9,-12*MAX(0,$B$8-IF($B$1+36&gt;=$B$23,$B$22,0))*(1+$B$4)^36))*IF(AL171+IF($B$1+36&lt;=$B171,12*$B$9,-12*MAX(0,$B$8-IF($B$1+36&gt;=$B$23,$B$22,0))*(1+$B$4)^36)&gt;0,1+$B$3,1))</f>
        <v/>
      </c>
      <c r="AN171">
        <f>IF($B$1+37&gt;90,AM171,(AM171+IF($B$1+37&lt;=$B171,12*$B$9,-12*MAX(0,$B$8-IF($B$1+37&gt;=$B$23,$B$22,0))*(1+$B$4)^37))*IF(AM171+IF($B$1+37&lt;=$B171,12*$B$9,-12*MAX(0,$B$8-IF($B$1+37&gt;=$B$23,$B$22,0))*(1+$B$4)^37)&gt;0,1+$B$3,1))</f>
        <v/>
      </c>
      <c r="AO171">
        <f>IF($B$1+38&gt;90,AN171,(AN171+IF($B$1+38&lt;=$B171,12*$B$9,-12*MAX(0,$B$8-IF($B$1+38&gt;=$B$23,$B$22,0))*(1+$B$4)^38))*IF(AN171+IF($B$1+38&lt;=$B171,12*$B$9,-12*MAX(0,$B$8-IF($B$1+38&gt;=$B$23,$B$22,0))*(1+$B$4)^38)&gt;0,1+$B$3,1))</f>
        <v/>
      </c>
      <c r="AP171">
        <f>IF($B$1+39&gt;90,AO171,(AO171+IF($B$1+39&lt;=$B171,12*$B$9,-12*MAX(0,$B$8-IF($B$1+39&gt;=$B$23,$B$22,0))*(1+$B$4)^39))*IF(AO171+IF($B$1+39&lt;=$B171,12*$B$9,-12*MAX(0,$B$8-IF($B$1+39&gt;=$B$23,$B$22,0))*(1+$B$4)^39)&gt;0,1+$B$3,1))</f>
        <v/>
      </c>
      <c r="AQ171">
        <f>IF($B$1+40&gt;90,AP171,(AP171+IF($B$1+40&lt;=$B171,12*$B$9,-12*MAX(0,$B$8-IF($B$1+40&gt;=$B$23,$B$22,0))*(1+$B$4)^40))*IF(AP171+IF($B$1+40&lt;=$B171,12*$B$9,-12*MAX(0,$B$8-IF($B$1+40&gt;=$B$23,$B$22,0))*(1+$B$4)^40)&gt;0,1+$B$3,1))</f>
        <v/>
      </c>
      <c r="AR171">
        <f>IF($B$1+41&gt;90,AQ171,(AQ171+IF($B$1+41&lt;=$B171,12*$B$9,-12*MAX(0,$B$8-IF($B$1+41&gt;=$B$23,$B$22,0))*(1+$B$4)^41))*IF(AQ171+IF($B$1+41&lt;=$B171,12*$B$9,-12*MAX(0,$B$8-IF($B$1+41&gt;=$B$23,$B$22,0))*(1+$B$4)^41)&gt;0,1+$B$3,1))</f>
        <v/>
      </c>
      <c r="AS171">
        <f>IF($B$1+42&gt;90,AR171,(AR171+IF($B$1+42&lt;=$B171,12*$B$9,-12*MAX(0,$B$8-IF($B$1+42&gt;=$B$23,$B$22,0))*(1+$B$4)^42))*IF(AR171+IF($B$1+42&lt;=$B171,12*$B$9,-12*MAX(0,$B$8-IF($B$1+42&gt;=$B$23,$B$22,0))*(1+$B$4)^42)&gt;0,1+$B$3,1))</f>
        <v/>
      </c>
      <c r="AT171">
        <f>IF($B$1+43&gt;90,AS171,(AS171+IF($B$1+43&lt;=$B171,12*$B$9,-12*MAX(0,$B$8-IF($B$1+43&gt;=$B$23,$B$22,0))*(1+$B$4)^43))*IF(AS171+IF($B$1+43&lt;=$B171,12*$B$9,-12*MAX(0,$B$8-IF($B$1+43&gt;=$B$23,$B$22,0))*(1+$B$4)^43)&gt;0,1+$B$3,1))</f>
        <v/>
      </c>
      <c r="AU171">
        <f>IF($B$1+44&gt;90,AT171,(AT171+IF($B$1+44&lt;=$B171,12*$B$9,-12*MAX(0,$B$8-IF($B$1+44&gt;=$B$23,$B$22,0))*(1+$B$4)^44))*IF(AT171+IF($B$1+44&lt;=$B171,12*$B$9,-12*MAX(0,$B$8-IF($B$1+44&gt;=$B$23,$B$22,0))*(1+$B$4)^44)&gt;0,1+$B$3,1))</f>
        <v/>
      </c>
      <c r="AV171">
        <f>IF($B$1+45&gt;90,AU171,(AU171+IF($B$1+45&lt;=$B171,12*$B$9,-12*MAX(0,$B$8-IF($B$1+45&gt;=$B$23,$B$22,0))*(1+$B$4)^45))*IF(AU171+IF($B$1+45&lt;=$B171,12*$B$9,-12*MAX(0,$B$8-IF($B$1+45&gt;=$B$23,$B$22,0))*(1+$B$4)^45)&gt;0,1+$B$3,1))</f>
        <v/>
      </c>
      <c r="AW171">
        <f>IF($B$1+46&gt;90,AV171,(AV171+IF($B$1+46&lt;=$B171,12*$B$9,-12*MAX(0,$B$8-IF($B$1+46&gt;=$B$23,$B$22,0))*(1+$B$4)^46))*IF(AV171+IF($B$1+46&lt;=$B171,12*$B$9,-12*MAX(0,$B$8-IF($B$1+46&gt;=$B$23,$B$22,0))*(1+$B$4)^46)&gt;0,1+$B$3,1))</f>
        <v/>
      </c>
      <c r="AX171">
        <f>IF($B$1+47&gt;90,AW171,(AW171+IF($B$1+47&lt;=$B171,12*$B$9,-12*MAX(0,$B$8-IF($B$1+47&gt;=$B$23,$B$22,0))*(1+$B$4)^47))*IF(AW171+IF($B$1+47&lt;=$B171,12*$B$9,-12*MAX(0,$B$8-IF($B$1+47&gt;=$B$23,$B$22,0))*(1+$B$4)^47)&gt;0,1+$B$3,1))</f>
        <v/>
      </c>
      <c r="AY171">
        <f>IF($B$1+48&gt;90,AX171,(AX171+IF($B$1+48&lt;=$B171,12*$B$9,-12*MAX(0,$B$8-IF($B$1+48&gt;=$B$23,$B$22,0))*(1+$B$4)^48))*IF(AX171+IF($B$1+48&lt;=$B171,12*$B$9,-12*MAX(0,$B$8-IF($B$1+48&gt;=$B$23,$B$22,0))*(1+$B$4)^48)&gt;0,1+$B$3,1))</f>
        <v/>
      </c>
      <c r="AZ171">
        <f>IF($B$1+49&gt;90,AY171,(AY171+IF($B$1+49&lt;=$B171,12*$B$9,-12*MAX(0,$B$8-IF($B$1+49&gt;=$B$23,$B$22,0))*(1+$B$4)^49))*IF(AY171+IF($B$1+49&lt;=$B171,12*$B$9,-12*MAX(0,$B$8-IF($B$1+49&gt;=$B$23,$B$22,0))*(1+$B$4)^49)&gt;0,1+$B$3,1))</f>
        <v/>
      </c>
      <c r="BA171">
        <f>IF($B$1+50&gt;90,AZ171,(AZ171+IF($B$1+50&lt;=$B171,12*$B$9,-12*MAX(0,$B$8-IF($B$1+50&gt;=$B$23,$B$22,0))*(1+$B$4)^50))*IF(AZ171+IF($B$1+50&lt;=$B171,12*$B$9,-12*MAX(0,$B$8-IF($B$1+50&gt;=$B$23,$B$22,0))*(1+$B$4)^50)&gt;0,1+$B$3,1))</f>
        <v/>
      </c>
      <c r="BB171">
        <f>IF($B$1+51&gt;90,BA171,(BA171+IF($B$1+51&lt;=$B171,12*$B$9,-12*MAX(0,$B$8-IF($B$1+51&gt;=$B$23,$B$22,0))*(1+$B$4)^51))*IF(BA171+IF($B$1+51&lt;=$B171,12*$B$9,-12*MAX(0,$B$8-IF($B$1+51&gt;=$B$23,$B$22,0))*(1+$B$4)^51)&gt;0,1+$B$3,1))</f>
        <v/>
      </c>
      <c r="BC171">
        <f>IF($B$1+52&gt;90,BB171,(BB171+IF($B$1+52&lt;=$B171,12*$B$9,-12*MAX(0,$B$8-IF($B$1+52&gt;=$B$23,$B$22,0))*(1+$B$4)^52))*IF(BB171+IF($B$1+52&lt;=$B171,12*$B$9,-12*MAX(0,$B$8-IF($B$1+52&gt;=$B$23,$B$22,0))*(1+$B$4)^52)&gt;0,1+$B$3,1))</f>
        <v/>
      </c>
      <c r="BD171">
        <f>IF($B$1+53&gt;90,BC171,(BC171+IF($B$1+53&lt;=$B171,12*$B$9,-12*MAX(0,$B$8-IF($B$1+53&gt;=$B$23,$B$22,0))*(1+$B$4)^53))*IF(BC171+IF($B$1+53&lt;=$B171,12*$B$9,-12*MAX(0,$B$8-IF($B$1+53&gt;=$B$23,$B$22,0))*(1+$B$4)^53)&gt;0,1+$B$3,1))</f>
        <v/>
      </c>
      <c r="BE171">
        <f>IF($B$1+54&gt;90,BD171,(BD171+IF($B$1+54&lt;=$B171,12*$B$9,-12*MAX(0,$B$8-IF($B$1+54&gt;=$B$23,$B$22,0))*(1+$B$4)^54))*IF(BD171+IF($B$1+54&lt;=$B171,12*$B$9,-12*MAX(0,$B$8-IF($B$1+54&gt;=$B$23,$B$22,0))*(1+$B$4)^54)&gt;0,1+$B$3,1))</f>
        <v/>
      </c>
      <c r="BF171">
        <f>IF($B$1+55&gt;90,BE171,(BE171+IF($B$1+55&lt;=$B171,12*$B$9,-12*MAX(0,$B$8-IF($B$1+55&gt;=$B$23,$B$22,0))*(1+$B$4)^55))*IF(BE171+IF($B$1+55&lt;=$B171,12*$B$9,-12*MAX(0,$B$8-IF($B$1+55&gt;=$B$23,$B$22,0))*(1+$B$4)^55)&gt;0,1+$B$3,1))</f>
        <v/>
      </c>
      <c r="BG171">
        <f>IF($B$1+56&gt;90,BF171,(BF171+IF($B$1+56&lt;=$B171,12*$B$9,-12*MAX(0,$B$8-IF($B$1+56&gt;=$B$23,$B$22,0))*(1+$B$4)^56))*IF(BF171+IF($B$1+56&lt;=$B171,12*$B$9,-12*MAX(0,$B$8-IF($B$1+56&gt;=$B$23,$B$22,0))*(1+$B$4)^56)&gt;0,1+$B$3,1))</f>
        <v/>
      </c>
      <c r="BH171">
        <f>IF($B$1+57&gt;90,BG171,(BG171+IF($B$1+57&lt;=$B171,12*$B$9,-12*MAX(0,$B$8-IF($B$1+57&gt;=$B$23,$B$22,0))*(1+$B$4)^57))*IF(BG171+IF($B$1+57&lt;=$B171,12*$B$9,-12*MAX(0,$B$8-IF($B$1+57&gt;=$B$23,$B$22,0))*(1+$B$4)^57)&gt;0,1+$B$3,1))</f>
        <v/>
      </c>
      <c r="BI171">
        <f>IF($B$1+58&gt;90,BH171,(BH171+IF($B$1+58&lt;=$B171,12*$B$9,-12*MAX(0,$B$8-IF($B$1+58&gt;=$B$23,$B$22,0))*(1+$B$4)^58))*IF(BH171+IF($B$1+58&lt;=$B171,12*$B$9,-12*MAX(0,$B$8-IF($B$1+58&gt;=$B$23,$B$22,0))*(1+$B$4)^58)&gt;0,1+$B$3,1))</f>
        <v/>
      </c>
      <c r="BJ171">
        <f>IF($B$1+59&gt;90,BI171,(BI171+IF($B$1+59&lt;=$B171,12*$B$9,-12*MAX(0,$B$8-IF($B$1+59&gt;=$B$23,$B$22,0))*(1+$B$4)^59))*IF(BI171+IF($B$1+59&lt;=$B171,12*$B$9,-12*MAX(0,$B$8-IF($B$1+59&gt;=$B$23,$B$22,0))*(1+$B$4)^59)&gt;0,1+$B$3,1))</f>
        <v/>
      </c>
      <c r="BK171">
        <f>IF($B$1+60&gt;90,BJ171,(BJ171+IF($B$1+60&lt;=$B171,12*$B$9,-12*MAX(0,$B$8-IF($B$1+60&gt;=$B$23,$B$22,0))*(1+$B$4)^60))*IF(BJ171+IF($B$1+60&lt;=$B171,12*$B$9,-12*MAX(0,$B$8-IF($B$1+60&gt;=$B$23,$B$22,0))*(1+$B$4)^60)&gt;0,1+$B$3,1))</f>
        <v/>
      </c>
      <c r="BL171">
        <f>IF($B$1+61&gt;90,BK171,(BK171+IF($B$1+61&lt;=$B171,12*$B$9,-12*MAX(0,$B$8-IF($B$1+61&gt;=$B$23,$B$22,0))*(1+$B$4)^61))*IF(BK171+IF($B$1+61&lt;=$B171,12*$B$9,-12*MAX(0,$B$8-IF($B$1+61&gt;=$B$23,$B$22,0))*(1+$B$4)^61)&gt;0,1+$B$3,1))</f>
        <v/>
      </c>
      <c r="BM171">
        <f>IF($B$1+62&gt;90,BL171,(BL171+IF($B$1+62&lt;=$B171,12*$B$9,-12*MAX(0,$B$8-IF($B$1+62&gt;=$B$23,$B$22,0))*(1+$B$4)^62))*IF(BL171+IF($B$1+62&lt;=$B171,12*$B$9,-12*MAX(0,$B$8-IF($B$1+62&gt;=$B$23,$B$22,0))*(1+$B$4)^62)&gt;0,1+$B$3,1))</f>
        <v/>
      </c>
      <c r="BN171">
        <f>IF($B$1+63&gt;90,BM171,(BM171+IF($B$1+63&lt;=$B171,12*$B$9,-12*MAX(0,$B$8-IF($B$1+63&gt;=$B$23,$B$22,0))*(1+$B$4)^63))*IF(BM171+IF($B$1+63&lt;=$B171,12*$B$9,-12*MAX(0,$B$8-IF($B$1+63&gt;=$B$23,$B$22,0))*(1+$B$4)^63)&gt;0,1+$B$3,1))</f>
        <v/>
      </c>
      <c r="BO171">
        <f>IF($B$1+64&gt;90,BN171,(BN171+IF($B$1+64&lt;=$B171,12*$B$9,-12*MAX(0,$B$8-IF($B$1+64&gt;=$B$23,$B$22,0))*(1+$B$4)^64))*IF(BN171+IF($B$1+64&lt;=$B171,12*$B$9,-12*MAX(0,$B$8-IF($B$1+64&gt;=$B$23,$B$22,0))*(1+$B$4)^64)&gt;0,1+$B$3,1))</f>
        <v/>
      </c>
      <c r="BP171">
        <f>IF($B$1+65&gt;90,BO171,(BO171+IF($B$1+65&lt;=$B171,12*$B$9,-12*MAX(0,$B$8-IF($B$1+65&gt;=$B$23,$B$22,0))*(1+$B$4)^65))*IF(BO171+IF($B$1+65&lt;=$B171,12*$B$9,-12*MAX(0,$B$8-IF($B$1+65&gt;=$B$23,$B$22,0))*(1+$B$4)^65)&gt;0,1+$B$3,1))</f>
        <v/>
      </c>
      <c r="BQ171">
        <f>IF($B$1+66&gt;90,BP171,(BP171+IF($B$1+66&lt;=$B171,12*$B$9,-12*MAX(0,$B$8-IF($B$1+66&gt;=$B$23,$B$22,0))*(1+$B$4)^66))*IF(BP171+IF($B$1+66&lt;=$B171,12*$B$9,-12*MAX(0,$B$8-IF($B$1+66&gt;=$B$23,$B$22,0))*(1+$B$4)^66)&gt;0,1+$B$3,1))</f>
        <v/>
      </c>
      <c r="BR171">
        <f>IF($B$1+67&gt;90,BQ171,(BQ171+IF($B$1+67&lt;=$B171,12*$B$9,-12*MAX(0,$B$8-IF($B$1+67&gt;=$B$23,$B$22,0))*(1+$B$4)^67))*IF(BQ171+IF($B$1+67&lt;=$B171,12*$B$9,-12*MAX(0,$B$8-IF($B$1+67&gt;=$B$23,$B$22,0))*(1+$B$4)^67)&gt;0,1+$B$3,1))</f>
        <v/>
      </c>
      <c r="BS171">
        <f>IF($B$1+68&gt;90,BR171,(BR171+IF($B$1+68&lt;=$B171,12*$B$9,-12*MAX(0,$B$8-IF($B$1+68&gt;=$B$23,$B$22,0))*(1+$B$4)^68))*IF(BR171+IF($B$1+68&lt;=$B171,12*$B$9,-12*MAX(0,$B$8-IF($B$1+68&gt;=$B$23,$B$22,0))*(1+$B$4)^68)&gt;0,1+$B$3,1))</f>
        <v/>
      </c>
      <c r="BT171">
        <f>IF($B$1+69&gt;90,BS171,(BS171+IF($B$1+69&lt;=$B171,12*$B$9,-12*MAX(0,$B$8-IF($B$1+69&gt;=$B$23,$B$22,0))*(1+$B$4)^69))*IF(BS171+IF($B$1+69&lt;=$B171,12*$B$9,-12*MAX(0,$B$8-IF($B$1+69&gt;=$B$23,$B$22,0))*(1+$B$4)^69)&gt;0,1+$B$3,1))</f>
        <v/>
      </c>
      <c r="BU171">
        <f>IF($B$1+70&gt;90,BT171,(BT171+IF($B$1+70&lt;=$B171,12*$B$9,-12*MAX(0,$B$8-IF($B$1+70&gt;=$B$23,$B$22,0))*(1+$B$4)^70))*IF(BT171+IF($B$1+70&lt;=$B171,12*$B$9,-12*MAX(0,$B$8-IF($B$1+70&gt;=$B$23,$B$22,0))*(1+$B$4)^70)&gt;0,1+$B$3,1))</f>
        <v/>
      </c>
      <c r="BV171">
        <f>BU171</f>
        <v/>
      </c>
      <c r="BW171">
        <f>IF(AND($B171&lt;=70,BV171&gt;0),$B171,999)</f>
        <v/>
      </c>
      <c r="CH171">
        <f>IF(ISTEXT('월 가계부'!A171),SUBSTITUTE(SUBSTITUTE(SUBSTITUTE(SUBSTITUTE(SUBSTITUTE(SUBSTITUTE(SUBSTITUTE(SUBSTITUTE(SUBSTITUTE(TRIM('월 가계부'!A171),"년","-"),"월","-"),"일",""),".","-"),"/","-")," ","-"),"--","-"),"--","-"),"--","-")&amp;"-","")</f>
        <v/>
      </c>
      <c r="CI171">
        <f>IFERROR(IF('월 가계부'!A171="","",IF(ISNUMBER('월 가계부'!A171),IF(AND('월 가계부'!A171&gt;=19000101,'월 가계부'!A171&lt;=21001231),IF(AND(MOD(INT('월 가계부'!A171/100),100)&gt;=1,MOD(INT('월 가계부'!A171/100),100)&lt;=12,MOD(INT('월 가계부'!A171),100)&gt;=1,MOD(INT('월 가계부'!A171),100)&lt;=31),IF(MONTH(DATE(INT('월 가계부'!A171/10000),MOD(INT('월 가계부'!A171/100),100),MOD(INT('월 가계부'!A171),100)))=MOD(INT('월 가계부'!A171/100),100),DATE(INT('월 가계부'!A171/10000),MOD(INT('월 가계부'!A171/100),100),MOD(INT('월 가계부'!A171),100)),""),""),IF(AND('월 가계부'!A171&gt;=36526,'월 가계부'!A171&lt;73051),INT('월 가계부'!A171),"")),IF(OR(CM171="",CN171="",CO171=""),"",IF(AND(CM171&gt;=2000,CM171&lt;=2099,CN171&gt;=1,CN171&lt;=12,CO171&gt;=1,CO171&lt;=31),IF(MONTH(DATE(CM171,CN171,CO171))=CN171,DATE(CM171,CN171,CO171),""),"")))),"")</f>
        <v/>
      </c>
      <c r="CJ171">
        <f>IFERROR(IF('월 가계부'!C171="","",IF(ISNUMBER('월 가계부'!C171),'월 가계부'!C171,VALUE(SUBSTITUTE(SUBSTITUTE(SUBSTITUTE(SUBSTITUTE(TRIM('월 가계부'!C171),",",""),"원","")," ",""),"−","-")))),"")</f>
        <v/>
      </c>
      <c r="CK171">
        <f>IF(ISNUMBER(CI171),IF(CI171&lt;$B$13,CI171,""),"")</f>
        <v/>
      </c>
      <c r="CM171">
        <f>IF(CH171="","",IFERROR(IF(IF(AND(LEN(CH171)=9,ISERROR(FIND("-",LEFT(CH171,8))),ISNUMBER(-LEFT(CH171,8))),VALUE(LEFT(CH171,4)),VALUE(LEFT(CH171,FIND("-",CH171)-1)))&lt;100,IF(AND(LEN(CH171)=9,ISERROR(FIND("-",LEFT(CH171,8))),ISNUMBER(-LEFT(CH171,8))),VALUE(LEFT(CH171,4)),VALUE(LEFT(CH171,FIND("-",CH171)-1)))+2000,IF(AND(LEN(CH171)=9,ISERROR(FIND("-",LEFT(CH171,8))),ISNUMBER(-LEFT(CH171,8))),VALUE(LEFT(CH171,4)),VALUE(LEFT(CH171,FIND("-",CH171)-1)))),""))</f>
        <v/>
      </c>
      <c r="CN171">
        <f>IF(CH171="","",IFERROR(IF(AND(LEN(CH171)=9,ISERROR(FIND("-",LEFT(CH171,8))),ISNUMBER(-LEFT(CH171,8))),VALUE(MID(CH171,5,2)),VALUE(MID(CH171,FIND("-",CH171)+1,FIND("-",CH171,FIND("-",CH171)+1)-FIND("-",CH171)-1))),""))</f>
        <v/>
      </c>
      <c r="CO171">
        <f>IF(CH171="","",IFERROR(IF(AND(LEN(CH171)=9,ISERROR(FIND("-",LEFT(CH171,8))),ISNUMBER(-LEFT(CH171,8))),VALUE(MID(CH171,7,2)),VALUE(MID(CH171,FIND("-",CH171,FIND("-",CH171)+1)+1,FIND("-",CH171,FIND("-",CH171,FIND("-",CH171)+1)+1)-FIND("-",CH171,FIND("-",CH171)+1)-1))),""))</f>
        <v/>
      </c>
    </row>
    <row r="172">
      <c r="A172" t="n">
        <v>20</v>
      </c>
      <c r="B172">
        <f>$B$1+20</f>
        <v/>
      </c>
      <c r="C172">
        <f>$B$2</f>
        <v/>
      </c>
      <c r="D172">
        <f>IF($B$1+1&gt;90,C172,(C172+IF($B$1+1&lt;=$B172,12*$B$9,-12*MAX(0,$B$8-IF($B$1+1&gt;=$B$23,$B$22,0))*(1+$B$4)^1))*IF(C172+IF($B$1+1&lt;=$B172,12*$B$9,-12*MAX(0,$B$8-IF($B$1+1&gt;=$B$23,$B$22,0))*(1+$B$4)^1)&gt;0,1+$B$3,1))</f>
        <v/>
      </c>
      <c r="E172">
        <f>IF($B$1+2&gt;90,D172,(D172+IF($B$1+2&lt;=$B172,12*$B$9,-12*MAX(0,$B$8-IF($B$1+2&gt;=$B$23,$B$22,0))*(1+$B$4)^2))*IF(D172+IF($B$1+2&lt;=$B172,12*$B$9,-12*MAX(0,$B$8-IF($B$1+2&gt;=$B$23,$B$22,0))*(1+$B$4)^2)&gt;0,1+$B$3,1))</f>
        <v/>
      </c>
      <c r="F172">
        <f>IF($B$1+3&gt;90,E172,(E172+IF($B$1+3&lt;=$B172,12*$B$9,-12*MAX(0,$B$8-IF($B$1+3&gt;=$B$23,$B$22,0))*(1+$B$4)^3))*IF(E172+IF($B$1+3&lt;=$B172,12*$B$9,-12*MAX(0,$B$8-IF($B$1+3&gt;=$B$23,$B$22,0))*(1+$B$4)^3)&gt;0,1+$B$3,1))</f>
        <v/>
      </c>
      <c r="G172">
        <f>IF($B$1+4&gt;90,F172,(F172+IF($B$1+4&lt;=$B172,12*$B$9,-12*MAX(0,$B$8-IF($B$1+4&gt;=$B$23,$B$22,0))*(1+$B$4)^4))*IF(F172+IF($B$1+4&lt;=$B172,12*$B$9,-12*MAX(0,$B$8-IF($B$1+4&gt;=$B$23,$B$22,0))*(1+$B$4)^4)&gt;0,1+$B$3,1))</f>
        <v/>
      </c>
      <c r="H172">
        <f>IF($B$1+5&gt;90,G172,(G172+IF($B$1+5&lt;=$B172,12*$B$9,-12*MAX(0,$B$8-IF($B$1+5&gt;=$B$23,$B$22,0))*(1+$B$4)^5))*IF(G172+IF($B$1+5&lt;=$B172,12*$B$9,-12*MAX(0,$B$8-IF($B$1+5&gt;=$B$23,$B$22,0))*(1+$B$4)^5)&gt;0,1+$B$3,1))</f>
        <v/>
      </c>
      <c r="I172">
        <f>IF($B$1+6&gt;90,H172,(H172+IF($B$1+6&lt;=$B172,12*$B$9,-12*MAX(0,$B$8-IF($B$1+6&gt;=$B$23,$B$22,0))*(1+$B$4)^6))*IF(H172+IF($B$1+6&lt;=$B172,12*$B$9,-12*MAX(0,$B$8-IF($B$1+6&gt;=$B$23,$B$22,0))*(1+$B$4)^6)&gt;0,1+$B$3,1))</f>
        <v/>
      </c>
      <c r="J172">
        <f>IF($B$1+7&gt;90,I172,(I172+IF($B$1+7&lt;=$B172,12*$B$9,-12*MAX(0,$B$8-IF($B$1+7&gt;=$B$23,$B$22,0))*(1+$B$4)^7))*IF(I172+IF($B$1+7&lt;=$B172,12*$B$9,-12*MAX(0,$B$8-IF($B$1+7&gt;=$B$23,$B$22,0))*(1+$B$4)^7)&gt;0,1+$B$3,1))</f>
        <v/>
      </c>
      <c r="K172">
        <f>IF($B$1+8&gt;90,J172,(J172+IF($B$1+8&lt;=$B172,12*$B$9,-12*MAX(0,$B$8-IF($B$1+8&gt;=$B$23,$B$22,0))*(1+$B$4)^8))*IF(J172+IF($B$1+8&lt;=$B172,12*$B$9,-12*MAX(0,$B$8-IF($B$1+8&gt;=$B$23,$B$22,0))*(1+$B$4)^8)&gt;0,1+$B$3,1))</f>
        <v/>
      </c>
      <c r="L172">
        <f>IF($B$1+9&gt;90,K172,(K172+IF($B$1+9&lt;=$B172,12*$B$9,-12*MAX(0,$B$8-IF($B$1+9&gt;=$B$23,$B$22,0))*(1+$B$4)^9))*IF(K172+IF($B$1+9&lt;=$B172,12*$B$9,-12*MAX(0,$B$8-IF($B$1+9&gt;=$B$23,$B$22,0))*(1+$B$4)^9)&gt;0,1+$B$3,1))</f>
        <v/>
      </c>
      <c r="M172">
        <f>IF($B$1+10&gt;90,L172,(L172+IF($B$1+10&lt;=$B172,12*$B$9,-12*MAX(0,$B$8-IF($B$1+10&gt;=$B$23,$B$22,0))*(1+$B$4)^10))*IF(L172+IF($B$1+10&lt;=$B172,12*$B$9,-12*MAX(0,$B$8-IF($B$1+10&gt;=$B$23,$B$22,0))*(1+$B$4)^10)&gt;0,1+$B$3,1))</f>
        <v/>
      </c>
      <c r="N172">
        <f>IF($B$1+11&gt;90,M172,(M172+IF($B$1+11&lt;=$B172,12*$B$9,-12*MAX(0,$B$8-IF($B$1+11&gt;=$B$23,$B$22,0))*(1+$B$4)^11))*IF(M172+IF($B$1+11&lt;=$B172,12*$B$9,-12*MAX(0,$B$8-IF($B$1+11&gt;=$B$23,$B$22,0))*(1+$B$4)^11)&gt;0,1+$B$3,1))</f>
        <v/>
      </c>
      <c r="O172">
        <f>IF($B$1+12&gt;90,N172,(N172+IF($B$1+12&lt;=$B172,12*$B$9,-12*MAX(0,$B$8-IF($B$1+12&gt;=$B$23,$B$22,0))*(1+$B$4)^12))*IF(N172+IF($B$1+12&lt;=$B172,12*$B$9,-12*MAX(0,$B$8-IF($B$1+12&gt;=$B$23,$B$22,0))*(1+$B$4)^12)&gt;0,1+$B$3,1))</f>
        <v/>
      </c>
      <c r="P172">
        <f>IF($B$1+13&gt;90,O172,(O172+IF($B$1+13&lt;=$B172,12*$B$9,-12*MAX(0,$B$8-IF($B$1+13&gt;=$B$23,$B$22,0))*(1+$B$4)^13))*IF(O172+IF($B$1+13&lt;=$B172,12*$B$9,-12*MAX(0,$B$8-IF($B$1+13&gt;=$B$23,$B$22,0))*(1+$B$4)^13)&gt;0,1+$B$3,1))</f>
        <v/>
      </c>
      <c r="Q172">
        <f>IF($B$1+14&gt;90,P172,(P172+IF($B$1+14&lt;=$B172,12*$B$9,-12*MAX(0,$B$8-IF($B$1+14&gt;=$B$23,$B$22,0))*(1+$B$4)^14))*IF(P172+IF($B$1+14&lt;=$B172,12*$B$9,-12*MAX(0,$B$8-IF($B$1+14&gt;=$B$23,$B$22,0))*(1+$B$4)^14)&gt;0,1+$B$3,1))</f>
        <v/>
      </c>
      <c r="R172">
        <f>IF($B$1+15&gt;90,Q172,(Q172+IF($B$1+15&lt;=$B172,12*$B$9,-12*MAX(0,$B$8-IF($B$1+15&gt;=$B$23,$B$22,0))*(1+$B$4)^15))*IF(Q172+IF($B$1+15&lt;=$B172,12*$B$9,-12*MAX(0,$B$8-IF($B$1+15&gt;=$B$23,$B$22,0))*(1+$B$4)^15)&gt;0,1+$B$3,1))</f>
        <v/>
      </c>
      <c r="S172">
        <f>IF($B$1+16&gt;90,R172,(R172+IF($B$1+16&lt;=$B172,12*$B$9,-12*MAX(0,$B$8-IF($B$1+16&gt;=$B$23,$B$22,0))*(1+$B$4)^16))*IF(R172+IF($B$1+16&lt;=$B172,12*$B$9,-12*MAX(0,$B$8-IF($B$1+16&gt;=$B$23,$B$22,0))*(1+$B$4)^16)&gt;0,1+$B$3,1))</f>
        <v/>
      </c>
      <c r="T172">
        <f>IF($B$1+17&gt;90,S172,(S172+IF($B$1+17&lt;=$B172,12*$B$9,-12*MAX(0,$B$8-IF($B$1+17&gt;=$B$23,$B$22,0))*(1+$B$4)^17))*IF(S172+IF($B$1+17&lt;=$B172,12*$B$9,-12*MAX(0,$B$8-IF($B$1+17&gt;=$B$23,$B$22,0))*(1+$B$4)^17)&gt;0,1+$B$3,1))</f>
        <v/>
      </c>
      <c r="U172">
        <f>IF($B$1+18&gt;90,T172,(T172+IF($B$1+18&lt;=$B172,12*$B$9,-12*MAX(0,$B$8-IF($B$1+18&gt;=$B$23,$B$22,0))*(1+$B$4)^18))*IF(T172+IF($B$1+18&lt;=$B172,12*$B$9,-12*MAX(0,$B$8-IF($B$1+18&gt;=$B$23,$B$22,0))*(1+$B$4)^18)&gt;0,1+$B$3,1))</f>
        <v/>
      </c>
      <c r="V172">
        <f>IF($B$1+19&gt;90,U172,(U172+IF($B$1+19&lt;=$B172,12*$B$9,-12*MAX(0,$B$8-IF($B$1+19&gt;=$B$23,$B$22,0))*(1+$B$4)^19))*IF(U172+IF($B$1+19&lt;=$B172,12*$B$9,-12*MAX(0,$B$8-IF($B$1+19&gt;=$B$23,$B$22,0))*(1+$B$4)^19)&gt;0,1+$B$3,1))</f>
        <v/>
      </c>
      <c r="W172">
        <f>IF($B$1+20&gt;90,V172,(V172+IF($B$1+20&lt;=$B172,12*$B$9,-12*MAX(0,$B$8-IF($B$1+20&gt;=$B$23,$B$22,0))*(1+$B$4)^20))*IF(V172+IF($B$1+20&lt;=$B172,12*$B$9,-12*MAX(0,$B$8-IF($B$1+20&gt;=$B$23,$B$22,0))*(1+$B$4)^20)&gt;0,1+$B$3,1))</f>
        <v/>
      </c>
      <c r="X172">
        <f>IF($B$1+21&gt;90,W172,(W172+IF($B$1+21&lt;=$B172,12*$B$9,-12*MAX(0,$B$8-IF($B$1+21&gt;=$B$23,$B$22,0))*(1+$B$4)^21))*IF(W172+IF($B$1+21&lt;=$B172,12*$B$9,-12*MAX(0,$B$8-IF($B$1+21&gt;=$B$23,$B$22,0))*(1+$B$4)^21)&gt;0,1+$B$3,1))</f>
        <v/>
      </c>
      <c r="Y172">
        <f>IF($B$1+22&gt;90,X172,(X172+IF($B$1+22&lt;=$B172,12*$B$9,-12*MAX(0,$B$8-IF($B$1+22&gt;=$B$23,$B$22,0))*(1+$B$4)^22))*IF(X172+IF($B$1+22&lt;=$B172,12*$B$9,-12*MAX(0,$B$8-IF($B$1+22&gt;=$B$23,$B$22,0))*(1+$B$4)^22)&gt;0,1+$B$3,1))</f>
        <v/>
      </c>
      <c r="Z172">
        <f>IF($B$1+23&gt;90,Y172,(Y172+IF($B$1+23&lt;=$B172,12*$B$9,-12*MAX(0,$B$8-IF($B$1+23&gt;=$B$23,$B$22,0))*(1+$B$4)^23))*IF(Y172+IF($B$1+23&lt;=$B172,12*$B$9,-12*MAX(0,$B$8-IF($B$1+23&gt;=$B$23,$B$22,0))*(1+$B$4)^23)&gt;0,1+$B$3,1))</f>
        <v/>
      </c>
      <c r="AA172">
        <f>IF($B$1+24&gt;90,Z172,(Z172+IF($B$1+24&lt;=$B172,12*$B$9,-12*MAX(0,$B$8-IF($B$1+24&gt;=$B$23,$B$22,0))*(1+$B$4)^24))*IF(Z172+IF($B$1+24&lt;=$B172,12*$B$9,-12*MAX(0,$B$8-IF($B$1+24&gt;=$B$23,$B$22,0))*(1+$B$4)^24)&gt;0,1+$B$3,1))</f>
        <v/>
      </c>
      <c r="AB172">
        <f>IF($B$1+25&gt;90,AA172,(AA172+IF($B$1+25&lt;=$B172,12*$B$9,-12*MAX(0,$B$8-IF($B$1+25&gt;=$B$23,$B$22,0))*(1+$B$4)^25))*IF(AA172+IF($B$1+25&lt;=$B172,12*$B$9,-12*MAX(0,$B$8-IF($B$1+25&gt;=$B$23,$B$22,0))*(1+$B$4)^25)&gt;0,1+$B$3,1))</f>
        <v/>
      </c>
      <c r="AC172">
        <f>IF($B$1+26&gt;90,AB172,(AB172+IF($B$1+26&lt;=$B172,12*$B$9,-12*MAX(0,$B$8-IF($B$1+26&gt;=$B$23,$B$22,0))*(1+$B$4)^26))*IF(AB172+IF($B$1+26&lt;=$B172,12*$B$9,-12*MAX(0,$B$8-IF($B$1+26&gt;=$B$23,$B$22,0))*(1+$B$4)^26)&gt;0,1+$B$3,1))</f>
        <v/>
      </c>
      <c r="AD172">
        <f>IF($B$1+27&gt;90,AC172,(AC172+IF($B$1+27&lt;=$B172,12*$B$9,-12*MAX(0,$B$8-IF($B$1+27&gt;=$B$23,$B$22,0))*(1+$B$4)^27))*IF(AC172+IF($B$1+27&lt;=$B172,12*$B$9,-12*MAX(0,$B$8-IF($B$1+27&gt;=$B$23,$B$22,0))*(1+$B$4)^27)&gt;0,1+$B$3,1))</f>
        <v/>
      </c>
      <c r="AE172">
        <f>IF($B$1+28&gt;90,AD172,(AD172+IF($B$1+28&lt;=$B172,12*$B$9,-12*MAX(0,$B$8-IF($B$1+28&gt;=$B$23,$B$22,0))*(1+$B$4)^28))*IF(AD172+IF($B$1+28&lt;=$B172,12*$B$9,-12*MAX(0,$B$8-IF($B$1+28&gt;=$B$23,$B$22,0))*(1+$B$4)^28)&gt;0,1+$B$3,1))</f>
        <v/>
      </c>
      <c r="AF172">
        <f>IF($B$1+29&gt;90,AE172,(AE172+IF($B$1+29&lt;=$B172,12*$B$9,-12*MAX(0,$B$8-IF($B$1+29&gt;=$B$23,$B$22,0))*(1+$B$4)^29))*IF(AE172+IF($B$1+29&lt;=$B172,12*$B$9,-12*MAX(0,$B$8-IF($B$1+29&gt;=$B$23,$B$22,0))*(1+$B$4)^29)&gt;0,1+$B$3,1))</f>
        <v/>
      </c>
      <c r="AG172">
        <f>IF($B$1+30&gt;90,AF172,(AF172+IF($B$1+30&lt;=$B172,12*$B$9,-12*MAX(0,$B$8-IF($B$1+30&gt;=$B$23,$B$22,0))*(1+$B$4)^30))*IF(AF172+IF($B$1+30&lt;=$B172,12*$B$9,-12*MAX(0,$B$8-IF($B$1+30&gt;=$B$23,$B$22,0))*(1+$B$4)^30)&gt;0,1+$B$3,1))</f>
        <v/>
      </c>
      <c r="AH172">
        <f>IF($B$1+31&gt;90,AG172,(AG172+IF($B$1+31&lt;=$B172,12*$B$9,-12*MAX(0,$B$8-IF($B$1+31&gt;=$B$23,$B$22,0))*(1+$B$4)^31))*IF(AG172+IF($B$1+31&lt;=$B172,12*$B$9,-12*MAX(0,$B$8-IF($B$1+31&gt;=$B$23,$B$22,0))*(1+$B$4)^31)&gt;0,1+$B$3,1))</f>
        <v/>
      </c>
      <c r="AI172">
        <f>IF($B$1+32&gt;90,AH172,(AH172+IF($B$1+32&lt;=$B172,12*$B$9,-12*MAX(0,$B$8-IF($B$1+32&gt;=$B$23,$B$22,0))*(1+$B$4)^32))*IF(AH172+IF($B$1+32&lt;=$B172,12*$B$9,-12*MAX(0,$B$8-IF($B$1+32&gt;=$B$23,$B$22,0))*(1+$B$4)^32)&gt;0,1+$B$3,1))</f>
        <v/>
      </c>
      <c r="AJ172">
        <f>IF($B$1+33&gt;90,AI172,(AI172+IF($B$1+33&lt;=$B172,12*$B$9,-12*MAX(0,$B$8-IF($B$1+33&gt;=$B$23,$B$22,0))*(1+$B$4)^33))*IF(AI172+IF($B$1+33&lt;=$B172,12*$B$9,-12*MAX(0,$B$8-IF($B$1+33&gt;=$B$23,$B$22,0))*(1+$B$4)^33)&gt;0,1+$B$3,1))</f>
        <v/>
      </c>
      <c r="AK172">
        <f>IF($B$1+34&gt;90,AJ172,(AJ172+IF($B$1+34&lt;=$B172,12*$B$9,-12*MAX(0,$B$8-IF($B$1+34&gt;=$B$23,$B$22,0))*(1+$B$4)^34))*IF(AJ172+IF($B$1+34&lt;=$B172,12*$B$9,-12*MAX(0,$B$8-IF($B$1+34&gt;=$B$23,$B$22,0))*(1+$B$4)^34)&gt;0,1+$B$3,1))</f>
        <v/>
      </c>
      <c r="AL172">
        <f>IF($B$1+35&gt;90,AK172,(AK172+IF($B$1+35&lt;=$B172,12*$B$9,-12*MAX(0,$B$8-IF($B$1+35&gt;=$B$23,$B$22,0))*(1+$B$4)^35))*IF(AK172+IF($B$1+35&lt;=$B172,12*$B$9,-12*MAX(0,$B$8-IF($B$1+35&gt;=$B$23,$B$22,0))*(1+$B$4)^35)&gt;0,1+$B$3,1))</f>
        <v/>
      </c>
      <c r="AM172">
        <f>IF($B$1+36&gt;90,AL172,(AL172+IF($B$1+36&lt;=$B172,12*$B$9,-12*MAX(0,$B$8-IF($B$1+36&gt;=$B$23,$B$22,0))*(1+$B$4)^36))*IF(AL172+IF($B$1+36&lt;=$B172,12*$B$9,-12*MAX(0,$B$8-IF($B$1+36&gt;=$B$23,$B$22,0))*(1+$B$4)^36)&gt;0,1+$B$3,1))</f>
        <v/>
      </c>
      <c r="AN172">
        <f>IF($B$1+37&gt;90,AM172,(AM172+IF($B$1+37&lt;=$B172,12*$B$9,-12*MAX(0,$B$8-IF($B$1+37&gt;=$B$23,$B$22,0))*(1+$B$4)^37))*IF(AM172+IF($B$1+37&lt;=$B172,12*$B$9,-12*MAX(0,$B$8-IF($B$1+37&gt;=$B$23,$B$22,0))*(1+$B$4)^37)&gt;0,1+$B$3,1))</f>
        <v/>
      </c>
      <c r="AO172">
        <f>IF($B$1+38&gt;90,AN172,(AN172+IF($B$1+38&lt;=$B172,12*$B$9,-12*MAX(0,$B$8-IF($B$1+38&gt;=$B$23,$B$22,0))*(1+$B$4)^38))*IF(AN172+IF($B$1+38&lt;=$B172,12*$B$9,-12*MAX(0,$B$8-IF($B$1+38&gt;=$B$23,$B$22,0))*(1+$B$4)^38)&gt;0,1+$B$3,1))</f>
        <v/>
      </c>
      <c r="AP172">
        <f>IF($B$1+39&gt;90,AO172,(AO172+IF($B$1+39&lt;=$B172,12*$B$9,-12*MAX(0,$B$8-IF($B$1+39&gt;=$B$23,$B$22,0))*(1+$B$4)^39))*IF(AO172+IF($B$1+39&lt;=$B172,12*$B$9,-12*MAX(0,$B$8-IF($B$1+39&gt;=$B$23,$B$22,0))*(1+$B$4)^39)&gt;0,1+$B$3,1))</f>
        <v/>
      </c>
      <c r="AQ172">
        <f>IF($B$1+40&gt;90,AP172,(AP172+IF($B$1+40&lt;=$B172,12*$B$9,-12*MAX(0,$B$8-IF($B$1+40&gt;=$B$23,$B$22,0))*(1+$B$4)^40))*IF(AP172+IF($B$1+40&lt;=$B172,12*$B$9,-12*MAX(0,$B$8-IF($B$1+40&gt;=$B$23,$B$22,0))*(1+$B$4)^40)&gt;0,1+$B$3,1))</f>
        <v/>
      </c>
      <c r="AR172">
        <f>IF($B$1+41&gt;90,AQ172,(AQ172+IF($B$1+41&lt;=$B172,12*$B$9,-12*MAX(0,$B$8-IF($B$1+41&gt;=$B$23,$B$22,0))*(1+$B$4)^41))*IF(AQ172+IF($B$1+41&lt;=$B172,12*$B$9,-12*MAX(0,$B$8-IF($B$1+41&gt;=$B$23,$B$22,0))*(1+$B$4)^41)&gt;0,1+$B$3,1))</f>
        <v/>
      </c>
      <c r="AS172">
        <f>IF($B$1+42&gt;90,AR172,(AR172+IF($B$1+42&lt;=$B172,12*$B$9,-12*MAX(0,$B$8-IF($B$1+42&gt;=$B$23,$B$22,0))*(1+$B$4)^42))*IF(AR172+IF($B$1+42&lt;=$B172,12*$B$9,-12*MAX(0,$B$8-IF($B$1+42&gt;=$B$23,$B$22,0))*(1+$B$4)^42)&gt;0,1+$B$3,1))</f>
        <v/>
      </c>
      <c r="AT172">
        <f>IF($B$1+43&gt;90,AS172,(AS172+IF($B$1+43&lt;=$B172,12*$B$9,-12*MAX(0,$B$8-IF($B$1+43&gt;=$B$23,$B$22,0))*(1+$B$4)^43))*IF(AS172+IF($B$1+43&lt;=$B172,12*$B$9,-12*MAX(0,$B$8-IF($B$1+43&gt;=$B$23,$B$22,0))*(1+$B$4)^43)&gt;0,1+$B$3,1))</f>
        <v/>
      </c>
      <c r="AU172">
        <f>IF($B$1+44&gt;90,AT172,(AT172+IF($B$1+44&lt;=$B172,12*$B$9,-12*MAX(0,$B$8-IF($B$1+44&gt;=$B$23,$B$22,0))*(1+$B$4)^44))*IF(AT172+IF($B$1+44&lt;=$B172,12*$B$9,-12*MAX(0,$B$8-IF($B$1+44&gt;=$B$23,$B$22,0))*(1+$B$4)^44)&gt;0,1+$B$3,1))</f>
        <v/>
      </c>
      <c r="AV172">
        <f>IF($B$1+45&gt;90,AU172,(AU172+IF($B$1+45&lt;=$B172,12*$B$9,-12*MAX(0,$B$8-IF($B$1+45&gt;=$B$23,$B$22,0))*(1+$B$4)^45))*IF(AU172+IF($B$1+45&lt;=$B172,12*$B$9,-12*MAX(0,$B$8-IF($B$1+45&gt;=$B$23,$B$22,0))*(1+$B$4)^45)&gt;0,1+$B$3,1))</f>
        <v/>
      </c>
      <c r="AW172">
        <f>IF($B$1+46&gt;90,AV172,(AV172+IF($B$1+46&lt;=$B172,12*$B$9,-12*MAX(0,$B$8-IF($B$1+46&gt;=$B$23,$B$22,0))*(1+$B$4)^46))*IF(AV172+IF($B$1+46&lt;=$B172,12*$B$9,-12*MAX(0,$B$8-IF($B$1+46&gt;=$B$23,$B$22,0))*(1+$B$4)^46)&gt;0,1+$B$3,1))</f>
        <v/>
      </c>
      <c r="AX172">
        <f>IF($B$1+47&gt;90,AW172,(AW172+IF($B$1+47&lt;=$B172,12*$B$9,-12*MAX(0,$B$8-IF($B$1+47&gt;=$B$23,$B$22,0))*(1+$B$4)^47))*IF(AW172+IF($B$1+47&lt;=$B172,12*$B$9,-12*MAX(0,$B$8-IF($B$1+47&gt;=$B$23,$B$22,0))*(1+$B$4)^47)&gt;0,1+$B$3,1))</f>
        <v/>
      </c>
      <c r="AY172">
        <f>IF($B$1+48&gt;90,AX172,(AX172+IF($B$1+48&lt;=$B172,12*$B$9,-12*MAX(0,$B$8-IF($B$1+48&gt;=$B$23,$B$22,0))*(1+$B$4)^48))*IF(AX172+IF($B$1+48&lt;=$B172,12*$B$9,-12*MAX(0,$B$8-IF($B$1+48&gt;=$B$23,$B$22,0))*(1+$B$4)^48)&gt;0,1+$B$3,1))</f>
        <v/>
      </c>
      <c r="AZ172">
        <f>IF($B$1+49&gt;90,AY172,(AY172+IF($B$1+49&lt;=$B172,12*$B$9,-12*MAX(0,$B$8-IF($B$1+49&gt;=$B$23,$B$22,0))*(1+$B$4)^49))*IF(AY172+IF($B$1+49&lt;=$B172,12*$B$9,-12*MAX(0,$B$8-IF($B$1+49&gt;=$B$23,$B$22,0))*(1+$B$4)^49)&gt;0,1+$B$3,1))</f>
        <v/>
      </c>
      <c r="BA172">
        <f>IF($B$1+50&gt;90,AZ172,(AZ172+IF($B$1+50&lt;=$B172,12*$B$9,-12*MAX(0,$B$8-IF($B$1+50&gt;=$B$23,$B$22,0))*(1+$B$4)^50))*IF(AZ172+IF($B$1+50&lt;=$B172,12*$B$9,-12*MAX(0,$B$8-IF($B$1+50&gt;=$B$23,$B$22,0))*(1+$B$4)^50)&gt;0,1+$B$3,1))</f>
        <v/>
      </c>
      <c r="BB172">
        <f>IF($B$1+51&gt;90,BA172,(BA172+IF($B$1+51&lt;=$B172,12*$B$9,-12*MAX(0,$B$8-IF($B$1+51&gt;=$B$23,$B$22,0))*(1+$B$4)^51))*IF(BA172+IF($B$1+51&lt;=$B172,12*$B$9,-12*MAX(0,$B$8-IF($B$1+51&gt;=$B$23,$B$22,0))*(1+$B$4)^51)&gt;0,1+$B$3,1))</f>
        <v/>
      </c>
      <c r="BC172">
        <f>IF($B$1+52&gt;90,BB172,(BB172+IF($B$1+52&lt;=$B172,12*$B$9,-12*MAX(0,$B$8-IF($B$1+52&gt;=$B$23,$B$22,0))*(1+$B$4)^52))*IF(BB172+IF($B$1+52&lt;=$B172,12*$B$9,-12*MAX(0,$B$8-IF($B$1+52&gt;=$B$23,$B$22,0))*(1+$B$4)^52)&gt;0,1+$B$3,1))</f>
        <v/>
      </c>
      <c r="BD172">
        <f>IF($B$1+53&gt;90,BC172,(BC172+IF($B$1+53&lt;=$B172,12*$B$9,-12*MAX(0,$B$8-IF($B$1+53&gt;=$B$23,$B$22,0))*(1+$B$4)^53))*IF(BC172+IF($B$1+53&lt;=$B172,12*$B$9,-12*MAX(0,$B$8-IF($B$1+53&gt;=$B$23,$B$22,0))*(1+$B$4)^53)&gt;0,1+$B$3,1))</f>
        <v/>
      </c>
      <c r="BE172">
        <f>IF($B$1+54&gt;90,BD172,(BD172+IF($B$1+54&lt;=$B172,12*$B$9,-12*MAX(0,$B$8-IF($B$1+54&gt;=$B$23,$B$22,0))*(1+$B$4)^54))*IF(BD172+IF($B$1+54&lt;=$B172,12*$B$9,-12*MAX(0,$B$8-IF($B$1+54&gt;=$B$23,$B$22,0))*(1+$B$4)^54)&gt;0,1+$B$3,1))</f>
        <v/>
      </c>
      <c r="BF172">
        <f>IF($B$1+55&gt;90,BE172,(BE172+IF($B$1+55&lt;=$B172,12*$B$9,-12*MAX(0,$B$8-IF($B$1+55&gt;=$B$23,$B$22,0))*(1+$B$4)^55))*IF(BE172+IF($B$1+55&lt;=$B172,12*$B$9,-12*MAX(0,$B$8-IF($B$1+55&gt;=$B$23,$B$22,0))*(1+$B$4)^55)&gt;0,1+$B$3,1))</f>
        <v/>
      </c>
      <c r="BG172">
        <f>IF($B$1+56&gt;90,BF172,(BF172+IF($B$1+56&lt;=$B172,12*$B$9,-12*MAX(0,$B$8-IF($B$1+56&gt;=$B$23,$B$22,0))*(1+$B$4)^56))*IF(BF172+IF($B$1+56&lt;=$B172,12*$B$9,-12*MAX(0,$B$8-IF($B$1+56&gt;=$B$23,$B$22,0))*(1+$B$4)^56)&gt;0,1+$B$3,1))</f>
        <v/>
      </c>
      <c r="BH172">
        <f>IF($B$1+57&gt;90,BG172,(BG172+IF($B$1+57&lt;=$B172,12*$B$9,-12*MAX(0,$B$8-IF($B$1+57&gt;=$B$23,$B$22,0))*(1+$B$4)^57))*IF(BG172+IF($B$1+57&lt;=$B172,12*$B$9,-12*MAX(0,$B$8-IF($B$1+57&gt;=$B$23,$B$22,0))*(1+$B$4)^57)&gt;0,1+$B$3,1))</f>
        <v/>
      </c>
      <c r="BI172">
        <f>IF($B$1+58&gt;90,BH172,(BH172+IF($B$1+58&lt;=$B172,12*$B$9,-12*MAX(0,$B$8-IF($B$1+58&gt;=$B$23,$B$22,0))*(1+$B$4)^58))*IF(BH172+IF($B$1+58&lt;=$B172,12*$B$9,-12*MAX(0,$B$8-IF($B$1+58&gt;=$B$23,$B$22,0))*(1+$B$4)^58)&gt;0,1+$B$3,1))</f>
        <v/>
      </c>
      <c r="BJ172">
        <f>IF($B$1+59&gt;90,BI172,(BI172+IF($B$1+59&lt;=$B172,12*$B$9,-12*MAX(0,$B$8-IF($B$1+59&gt;=$B$23,$B$22,0))*(1+$B$4)^59))*IF(BI172+IF($B$1+59&lt;=$B172,12*$B$9,-12*MAX(0,$B$8-IF($B$1+59&gt;=$B$23,$B$22,0))*(1+$B$4)^59)&gt;0,1+$B$3,1))</f>
        <v/>
      </c>
      <c r="BK172">
        <f>IF($B$1+60&gt;90,BJ172,(BJ172+IF($B$1+60&lt;=$B172,12*$B$9,-12*MAX(0,$B$8-IF($B$1+60&gt;=$B$23,$B$22,0))*(1+$B$4)^60))*IF(BJ172+IF($B$1+60&lt;=$B172,12*$B$9,-12*MAX(0,$B$8-IF($B$1+60&gt;=$B$23,$B$22,0))*(1+$B$4)^60)&gt;0,1+$B$3,1))</f>
        <v/>
      </c>
      <c r="BL172">
        <f>IF($B$1+61&gt;90,BK172,(BK172+IF($B$1+61&lt;=$B172,12*$B$9,-12*MAX(0,$B$8-IF($B$1+61&gt;=$B$23,$B$22,0))*(1+$B$4)^61))*IF(BK172+IF($B$1+61&lt;=$B172,12*$B$9,-12*MAX(0,$B$8-IF($B$1+61&gt;=$B$23,$B$22,0))*(1+$B$4)^61)&gt;0,1+$B$3,1))</f>
        <v/>
      </c>
      <c r="BM172">
        <f>IF($B$1+62&gt;90,BL172,(BL172+IF($B$1+62&lt;=$B172,12*$B$9,-12*MAX(0,$B$8-IF($B$1+62&gt;=$B$23,$B$22,0))*(1+$B$4)^62))*IF(BL172+IF($B$1+62&lt;=$B172,12*$B$9,-12*MAX(0,$B$8-IF($B$1+62&gt;=$B$23,$B$22,0))*(1+$B$4)^62)&gt;0,1+$B$3,1))</f>
        <v/>
      </c>
      <c r="BN172">
        <f>IF($B$1+63&gt;90,BM172,(BM172+IF($B$1+63&lt;=$B172,12*$B$9,-12*MAX(0,$B$8-IF($B$1+63&gt;=$B$23,$B$22,0))*(1+$B$4)^63))*IF(BM172+IF($B$1+63&lt;=$B172,12*$B$9,-12*MAX(0,$B$8-IF($B$1+63&gt;=$B$23,$B$22,0))*(1+$B$4)^63)&gt;0,1+$B$3,1))</f>
        <v/>
      </c>
      <c r="BO172">
        <f>IF($B$1+64&gt;90,BN172,(BN172+IF($B$1+64&lt;=$B172,12*$B$9,-12*MAX(0,$B$8-IF($B$1+64&gt;=$B$23,$B$22,0))*(1+$B$4)^64))*IF(BN172+IF($B$1+64&lt;=$B172,12*$B$9,-12*MAX(0,$B$8-IF($B$1+64&gt;=$B$23,$B$22,0))*(1+$B$4)^64)&gt;0,1+$B$3,1))</f>
        <v/>
      </c>
      <c r="BP172">
        <f>IF($B$1+65&gt;90,BO172,(BO172+IF($B$1+65&lt;=$B172,12*$B$9,-12*MAX(0,$B$8-IF($B$1+65&gt;=$B$23,$B$22,0))*(1+$B$4)^65))*IF(BO172+IF($B$1+65&lt;=$B172,12*$B$9,-12*MAX(0,$B$8-IF($B$1+65&gt;=$B$23,$B$22,0))*(1+$B$4)^65)&gt;0,1+$B$3,1))</f>
        <v/>
      </c>
      <c r="BQ172">
        <f>IF($B$1+66&gt;90,BP172,(BP172+IF($B$1+66&lt;=$B172,12*$B$9,-12*MAX(0,$B$8-IF($B$1+66&gt;=$B$23,$B$22,0))*(1+$B$4)^66))*IF(BP172+IF($B$1+66&lt;=$B172,12*$B$9,-12*MAX(0,$B$8-IF($B$1+66&gt;=$B$23,$B$22,0))*(1+$B$4)^66)&gt;0,1+$B$3,1))</f>
        <v/>
      </c>
      <c r="BR172">
        <f>IF($B$1+67&gt;90,BQ172,(BQ172+IF($B$1+67&lt;=$B172,12*$B$9,-12*MAX(0,$B$8-IF($B$1+67&gt;=$B$23,$B$22,0))*(1+$B$4)^67))*IF(BQ172+IF($B$1+67&lt;=$B172,12*$B$9,-12*MAX(0,$B$8-IF($B$1+67&gt;=$B$23,$B$22,0))*(1+$B$4)^67)&gt;0,1+$B$3,1))</f>
        <v/>
      </c>
      <c r="BS172">
        <f>IF($B$1+68&gt;90,BR172,(BR172+IF($B$1+68&lt;=$B172,12*$B$9,-12*MAX(0,$B$8-IF($B$1+68&gt;=$B$23,$B$22,0))*(1+$B$4)^68))*IF(BR172+IF($B$1+68&lt;=$B172,12*$B$9,-12*MAX(0,$B$8-IF($B$1+68&gt;=$B$23,$B$22,0))*(1+$B$4)^68)&gt;0,1+$B$3,1))</f>
        <v/>
      </c>
      <c r="BT172">
        <f>IF($B$1+69&gt;90,BS172,(BS172+IF($B$1+69&lt;=$B172,12*$B$9,-12*MAX(0,$B$8-IF($B$1+69&gt;=$B$23,$B$22,0))*(1+$B$4)^69))*IF(BS172+IF($B$1+69&lt;=$B172,12*$B$9,-12*MAX(0,$B$8-IF($B$1+69&gt;=$B$23,$B$22,0))*(1+$B$4)^69)&gt;0,1+$B$3,1))</f>
        <v/>
      </c>
      <c r="BU172">
        <f>IF($B$1+70&gt;90,BT172,(BT172+IF($B$1+70&lt;=$B172,12*$B$9,-12*MAX(0,$B$8-IF($B$1+70&gt;=$B$23,$B$22,0))*(1+$B$4)^70))*IF(BT172+IF($B$1+70&lt;=$B172,12*$B$9,-12*MAX(0,$B$8-IF($B$1+70&gt;=$B$23,$B$22,0))*(1+$B$4)^70)&gt;0,1+$B$3,1))</f>
        <v/>
      </c>
      <c r="BV172">
        <f>BU172</f>
        <v/>
      </c>
      <c r="BW172">
        <f>IF(AND($B172&lt;=70,BV172&gt;0),$B172,999)</f>
        <v/>
      </c>
      <c r="CH172">
        <f>IF(ISTEXT('월 가계부'!A172),SUBSTITUTE(SUBSTITUTE(SUBSTITUTE(SUBSTITUTE(SUBSTITUTE(SUBSTITUTE(SUBSTITUTE(SUBSTITUTE(SUBSTITUTE(TRIM('월 가계부'!A172),"년","-"),"월","-"),"일",""),".","-"),"/","-")," ","-"),"--","-"),"--","-"),"--","-")&amp;"-","")</f>
        <v/>
      </c>
      <c r="CI172">
        <f>IFERROR(IF('월 가계부'!A172="","",IF(ISNUMBER('월 가계부'!A172),IF(AND('월 가계부'!A172&gt;=19000101,'월 가계부'!A172&lt;=21001231),IF(AND(MOD(INT('월 가계부'!A172/100),100)&gt;=1,MOD(INT('월 가계부'!A172/100),100)&lt;=12,MOD(INT('월 가계부'!A172),100)&gt;=1,MOD(INT('월 가계부'!A172),100)&lt;=31),IF(MONTH(DATE(INT('월 가계부'!A172/10000),MOD(INT('월 가계부'!A172/100),100),MOD(INT('월 가계부'!A172),100)))=MOD(INT('월 가계부'!A172/100),100),DATE(INT('월 가계부'!A172/10000),MOD(INT('월 가계부'!A172/100),100),MOD(INT('월 가계부'!A172),100)),""),""),IF(AND('월 가계부'!A172&gt;=36526,'월 가계부'!A172&lt;73051),INT('월 가계부'!A172),"")),IF(OR(CM172="",CN172="",CO172=""),"",IF(AND(CM172&gt;=2000,CM172&lt;=2099,CN172&gt;=1,CN172&lt;=12,CO172&gt;=1,CO172&lt;=31),IF(MONTH(DATE(CM172,CN172,CO172))=CN172,DATE(CM172,CN172,CO172),""),"")))),"")</f>
        <v/>
      </c>
      <c r="CJ172">
        <f>IFERROR(IF('월 가계부'!C172="","",IF(ISNUMBER('월 가계부'!C172),'월 가계부'!C172,VALUE(SUBSTITUTE(SUBSTITUTE(SUBSTITUTE(SUBSTITUTE(TRIM('월 가계부'!C172),",",""),"원","")," ",""),"−","-")))),"")</f>
        <v/>
      </c>
      <c r="CK172">
        <f>IF(ISNUMBER(CI172),IF(CI172&lt;$B$13,CI172,""),"")</f>
        <v/>
      </c>
      <c r="CM172">
        <f>IF(CH172="","",IFERROR(IF(IF(AND(LEN(CH172)=9,ISERROR(FIND("-",LEFT(CH172,8))),ISNUMBER(-LEFT(CH172,8))),VALUE(LEFT(CH172,4)),VALUE(LEFT(CH172,FIND("-",CH172)-1)))&lt;100,IF(AND(LEN(CH172)=9,ISERROR(FIND("-",LEFT(CH172,8))),ISNUMBER(-LEFT(CH172,8))),VALUE(LEFT(CH172,4)),VALUE(LEFT(CH172,FIND("-",CH172)-1)))+2000,IF(AND(LEN(CH172)=9,ISERROR(FIND("-",LEFT(CH172,8))),ISNUMBER(-LEFT(CH172,8))),VALUE(LEFT(CH172,4)),VALUE(LEFT(CH172,FIND("-",CH172)-1)))),""))</f>
        <v/>
      </c>
      <c r="CN172">
        <f>IF(CH172="","",IFERROR(IF(AND(LEN(CH172)=9,ISERROR(FIND("-",LEFT(CH172,8))),ISNUMBER(-LEFT(CH172,8))),VALUE(MID(CH172,5,2)),VALUE(MID(CH172,FIND("-",CH172)+1,FIND("-",CH172,FIND("-",CH172)+1)-FIND("-",CH172)-1))),""))</f>
        <v/>
      </c>
      <c r="CO172">
        <f>IF(CH172="","",IFERROR(IF(AND(LEN(CH172)=9,ISERROR(FIND("-",LEFT(CH172,8))),ISNUMBER(-LEFT(CH172,8))),VALUE(MID(CH172,7,2)),VALUE(MID(CH172,FIND("-",CH172,FIND("-",CH172)+1)+1,FIND("-",CH172,FIND("-",CH172,FIND("-",CH172)+1)+1)-FIND("-",CH172,FIND("-",CH172)+1)-1))),""))</f>
        <v/>
      </c>
    </row>
    <row r="173">
      <c r="A173" t="n">
        <v>21</v>
      </c>
      <c r="B173">
        <f>$B$1+21</f>
        <v/>
      </c>
      <c r="C173">
        <f>$B$2</f>
        <v/>
      </c>
      <c r="D173">
        <f>IF($B$1+1&gt;90,C173,(C173+IF($B$1+1&lt;=$B173,12*$B$9,-12*MAX(0,$B$8-IF($B$1+1&gt;=$B$23,$B$22,0))*(1+$B$4)^1))*IF(C173+IF($B$1+1&lt;=$B173,12*$B$9,-12*MAX(0,$B$8-IF($B$1+1&gt;=$B$23,$B$22,0))*(1+$B$4)^1)&gt;0,1+$B$3,1))</f>
        <v/>
      </c>
      <c r="E173">
        <f>IF($B$1+2&gt;90,D173,(D173+IF($B$1+2&lt;=$B173,12*$B$9,-12*MAX(0,$B$8-IF($B$1+2&gt;=$B$23,$B$22,0))*(1+$B$4)^2))*IF(D173+IF($B$1+2&lt;=$B173,12*$B$9,-12*MAX(0,$B$8-IF($B$1+2&gt;=$B$23,$B$22,0))*(1+$B$4)^2)&gt;0,1+$B$3,1))</f>
        <v/>
      </c>
      <c r="F173">
        <f>IF($B$1+3&gt;90,E173,(E173+IF($B$1+3&lt;=$B173,12*$B$9,-12*MAX(0,$B$8-IF($B$1+3&gt;=$B$23,$B$22,0))*(1+$B$4)^3))*IF(E173+IF($B$1+3&lt;=$B173,12*$B$9,-12*MAX(0,$B$8-IF($B$1+3&gt;=$B$23,$B$22,0))*(1+$B$4)^3)&gt;0,1+$B$3,1))</f>
        <v/>
      </c>
      <c r="G173">
        <f>IF($B$1+4&gt;90,F173,(F173+IF($B$1+4&lt;=$B173,12*$B$9,-12*MAX(0,$B$8-IF($B$1+4&gt;=$B$23,$B$22,0))*(1+$B$4)^4))*IF(F173+IF($B$1+4&lt;=$B173,12*$B$9,-12*MAX(0,$B$8-IF($B$1+4&gt;=$B$23,$B$22,0))*(1+$B$4)^4)&gt;0,1+$B$3,1))</f>
        <v/>
      </c>
      <c r="H173">
        <f>IF($B$1+5&gt;90,G173,(G173+IF($B$1+5&lt;=$B173,12*$B$9,-12*MAX(0,$B$8-IF($B$1+5&gt;=$B$23,$B$22,0))*(1+$B$4)^5))*IF(G173+IF($B$1+5&lt;=$B173,12*$B$9,-12*MAX(0,$B$8-IF($B$1+5&gt;=$B$23,$B$22,0))*(1+$B$4)^5)&gt;0,1+$B$3,1))</f>
        <v/>
      </c>
      <c r="I173">
        <f>IF($B$1+6&gt;90,H173,(H173+IF($B$1+6&lt;=$B173,12*$B$9,-12*MAX(0,$B$8-IF($B$1+6&gt;=$B$23,$B$22,0))*(1+$B$4)^6))*IF(H173+IF($B$1+6&lt;=$B173,12*$B$9,-12*MAX(0,$B$8-IF($B$1+6&gt;=$B$23,$B$22,0))*(1+$B$4)^6)&gt;0,1+$B$3,1))</f>
        <v/>
      </c>
      <c r="J173">
        <f>IF($B$1+7&gt;90,I173,(I173+IF($B$1+7&lt;=$B173,12*$B$9,-12*MAX(0,$B$8-IF($B$1+7&gt;=$B$23,$B$22,0))*(1+$B$4)^7))*IF(I173+IF($B$1+7&lt;=$B173,12*$B$9,-12*MAX(0,$B$8-IF($B$1+7&gt;=$B$23,$B$22,0))*(1+$B$4)^7)&gt;0,1+$B$3,1))</f>
        <v/>
      </c>
      <c r="K173">
        <f>IF($B$1+8&gt;90,J173,(J173+IF($B$1+8&lt;=$B173,12*$B$9,-12*MAX(0,$B$8-IF($B$1+8&gt;=$B$23,$B$22,0))*(1+$B$4)^8))*IF(J173+IF($B$1+8&lt;=$B173,12*$B$9,-12*MAX(0,$B$8-IF($B$1+8&gt;=$B$23,$B$22,0))*(1+$B$4)^8)&gt;0,1+$B$3,1))</f>
        <v/>
      </c>
      <c r="L173">
        <f>IF($B$1+9&gt;90,K173,(K173+IF($B$1+9&lt;=$B173,12*$B$9,-12*MAX(0,$B$8-IF($B$1+9&gt;=$B$23,$B$22,0))*(1+$B$4)^9))*IF(K173+IF($B$1+9&lt;=$B173,12*$B$9,-12*MAX(0,$B$8-IF($B$1+9&gt;=$B$23,$B$22,0))*(1+$B$4)^9)&gt;0,1+$B$3,1))</f>
        <v/>
      </c>
      <c r="M173">
        <f>IF($B$1+10&gt;90,L173,(L173+IF($B$1+10&lt;=$B173,12*$B$9,-12*MAX(0,$B$8-IF($B$1+10&gt;=$B$23,$B$22,0))*(1+$B$4)^10))*IF(L173+IF($B$1+10&lt;=$B173,12*$B$9,-12*MAX(0,$B$8-IF($B$1+10&gt;=$B$23,$B$22,0))*(1+$B$4)^10)&gt;0,1+$B$3,1))</f>
        <v/>
      </c>
      <c r="N173">
        <f>IF($B$1+11&gt;90,M173,(M173+IF($B$1+11&lt;=$B173,12*$B$9,-12*MAX(0,$B$8-IF($B$1+11&gt;=$B$23,$B$22,0))*(1+$B$4)^11))*IF(M173+IF($B$1+11&lt;=$B173,12*$B$9,-12*MAX(0,$B$8-IF($B$1+11&gt;=$B$23,$B$22,0))*(1+$B$4)^11)&gt;0,1+$B$3,1))</f>
        <v/>
      </c>
      <c r="O173">
        <f>IF($B$1+12&gt;90,N173,(N173+IF($B$1+12&lt;=$B173,12*$B$9,-12*MAX(0,$B$8-IF($B$1+12&gt;=$B$23,$B$22,0))*(1+$B$4)^12))*IF(N173+IF($B$1+12&lt;=$B173,12*$B$9,-12*MAX(0,$B$8-IF($B$1+12&gt;=$B$23,$B$22,0))*(1+$B$4)^12)&gt;0,1+$B$3,1))</f>
        <v/>
      </c>
      <c r="P173">
        <f>IF($B$1+13&gt;90,O173,(O173+IF($B$1+13&lt;=$B173,12*$B$9,-12*MAX(0,$B$8-IF($B$1+13&gt;=$B$23,$B$22,0))*(1+$B$4)^13))*IF(O173+IF($B$1+13&lt;=$B173,12*$B$9,-12*MAX(0,$B$8-IF($B$1+13&gt;=$B$23,$B$22,0))*(1+$B$4)^13)&gt;0,1+$B$3,1))</f>
        <v/>
      </c>
      <c r="Q173">
        <f>IF($B$1+14&gt;90,P173,(P173+IF($B$1+14&lt;=$B173,12*$B$9,-12*MAX(0,$B$8-IF($B$1+14&gt;=$B$23,$B$22,0))*(1+$B$4)^14))*IF(P173+IF($B$1+14&lt;=$B173,12*$B$9,-12*MAX(0,$B$8-IF($B$1+14&gt;=$B$23,$B$22,0))*(1+$B$4)^14)&gt;0,1+$B$3,1))</f>
        <v/>
      </c>
      <c r="R173">
        <f>IF($B$1+15&gt;90,Q173,(Q173+IF($B$1+15&lt;=$B173,12*$B$9,-12*MAX(0,$B$8-IF($B$1+15&gt;=$B$23,$B$22,0))*(1+$B$4)^15))*IF(Q173+IF($B$1+15&lt;=$B173,12*$B$9,-12*MAX(0,$B$8-IF($B$1+15&gt;=$B$23,$B$22,0))*(1+$B$4)^15)&gt;0,1+$B$3,1))</f>
        <v/>
      </c>
      <c r="S173">
        <f>IF($B$1+16&gt;90,R173,(R173+IF($B$1+16&lt;=$B173,12*$B$9,-12*MAX(0,$B$8-IF($B$1+16&gt;=$B$23,$B$22,0))*(1+$B$4)^16))*IF(R173+IF($B$1+16&lt;=$B173,12*$B$9,-12*MAX(0,$B$8-IF($B$1+16&gt;=$B$23,$B$22,0))*(1+$B$4)^16)&gt;0,1+$B$3,1))</f>
        <v/>
      </c>
      <c r="T173">
        <f>IF($B$1+17&gt;90,S173,(S173+IF($B$1+17&lt;=$B173,12*$B$9,-12*MAX(0,$B$8-IF($B$1+17&gt;=$B$23,$B$22,0))*(1+$B$4)^17))*IF(S173+IF($B$1+17&lt;=$B173,12*$B$9,-12*MAX(0,$B$8-IF($B$1+17&gt;=$B$23,$B$22,0))*(1+$B$4)^17)&gt;0,1+$B$3,1))</f>
        <v/>
      </c>
      <c r="U173">
        <f>IF($B$1+18&gt;90,T173,(T173+IF($B$1+18&lt;=$B173,12*$B$9,-12*MAX(0,$B$8-IF($B$1+18&gt;=$B$23,$B$22,0))*(1+$B$4)^18))*IF(T173+IF($B$1+18&lt;=$B173,12*$B$9,-12*MAX(0,$B$8-IF($B$1+18&gt;=$B$23,$B$22,0))*(1+$B$4)^18)&gt;0,1+$B$3,1))</f>
        <v/>
      </c>
      <c r="V173">
        <f>IF($B$1+19&gt;90,U173,(U173+IF($B$1+19&lt;=$B173,12*$B$9,-12*MAX(0,$B$8-IF($B$1+19&gt;=$B$23,$B$22,0))*(1+$B$4)^19))*IF(U173+IF($B$1+19&lt;=$B173,12*$B$9,-12*MAX(0,$B$8-IF($B$1+19&gt;=$B$23,$B$22,0))*(1+$B$4)^19)&gt;0,1+$B$3,1))</f>
        <v/>
      </c>
      <c r="W173">
        <f>IF($B$1+20&gt;90,V173,(V173+IF($B$1+20&lt;=$B173,12*$B$9,-12*MAX(0,$B$8-IF($B$1+20&gt;=$B$23,$B$22,0))*(1+$B$4)^20))*IF(V173+IF($B$1+20&lt;=$B173,12*$B$9,-12*MAX(0,$B$8-IF($B$1+20&gt;=$B$23,$B$22,0))*(1+$B$4)^20)&gt;0,1+$B$3,1))</f>
        <v/>
      </c>
      <c r="X173">
        <f>IF($B$1+21&gt;90,W173,(W173+IF($B$1+21&lt;=$B173,12*$B$9,-12*MAX(0,$B$8-IF($B$1+21&gt;=$B$23,$B$22,0))*(1+$B$4)^21))*IF(W173+IF($B$1+21&lt;=$B173,12*$B$9,-12*MAX(0,$B$8-IF($B$1+21&gt;=$B$23,$B$22,0))*(1+$B$4)^21)&gt;0,1+$B$3,1))</f>
        <v/>
      </c>
      <c r="Y173">
        <f>IF($B$1+22&gt;90,X173,(X173+IF($B$1+22&lt;=$B173,12*$B$9,-12*MAX(0,$B$8-IF($B$1+22&gt;=$B$23,$B$22,0))*(1+$B$4)^22))*IF(X173+IF($B$1+22&lt;=$B173,12*$B$9,-12*MAX(0,$B$8-IF($B$1+22&gt;=$B$23,$B$22,0))*(1+$B$4)^22)&gt;0,1+$B$3,1))</f>
        <v/>
      </c>
      <c r="Z173">
        <f>IF($B$1+23&gt;90,Y173,(Y173+IF($B$1+23&lt;=$B173,12*$B$9,-12*MAX(0,$B$8-IF($B$1+23&gt;=$B$23,$B$22,0))*(1+$B$4)^23))*IF(Y173+IF($B$1+23&lt;=$B173,12*$B$9,-12*MAX(0,$B$8-IF($B$1+23&gt;=$B$23,$B$22,0))*(1+$B$4)^23)&gt;0,1+$B$3,1))</f>
        <v/>
      </c>
      <c r="AA173">
        <f>IF($B$1+24&gt;90,Z173,(Z173+IF($B$1+24&lt;=$B173,12*$B$9,-12*MAX(0,$B$8-IF($B$1+24&gt;=$B$23,$B$22,0))*(1+$B$4)^24))*IF(Z173+IF($B$1+24&lt;=$B173,12*$B$9,-12*MAX(0,$B$8-IF($B$1+24&gt;=$B$23,$B$22,0))*(1+$B$4)^24)&gt;0,1+$B$3,1))</f>
        <v/>
      </c>
      <c r="AB173">
        <f>IF($B$1+25&gt;90,AA173,(AA173+IF($B$1+25&lt;=$B173,12*$B$9,-12*MAX(0,$B$8-IF($B$1+25&gt;=$B$23,$B$22,0))*(1+$B$4)^25))*IF(AA173+IF($B$1+25&lt;=$B173,12*$B$9,-12*MAX(0,$B$8-IF($B$1+25&gt;=$B$23,$B$22,0))*(1+$B$4)^25)&gt;0,1+$B$3,1))</f>
        <v/>
      </c>
      <c r="AC173">
        <f>IF($B$1+26&gt;90,AB173,(AB173+IF($B$1+26&lt;=$B173,12*$B$9,-12*MAX(0,$B$8-IF($B$1+26&gt;=$B$23,$B$22,0))*(1+$B$4)^26))*IF(AB173+IF($B$1+26&lt;=$B173,12*$B$9,-12*MAX(0,$B$8-IF($B$1+26&gt;=$B$23,$B$22,0))*(1+$B$4)^26)&gt;0,1+$B$3,1))</f>
        <v/>
      </c>
      <c r="AD173">
        <f>IF($B$1+27&gt;90,AC173,(AC173+IF($B$1+27&lt;=$B173,12*$B$9,-12*MAX(0,$B$8-IF($B$1+27&gt;=$B$23,$B$22,0))*(1+$B$4)^27))*IF(AC173+IF($B$1+27&lt;=$B173,12*$B$9,-12*MAX(0,$B$8-IF($B$1+27&gt;=$B$23,$B$22,0))*(1+$B$4)^27)&gt;0,1+$B$3,1))</f>
        <v/>
      </c>
      <c r="AE173">
        <f>IF($B$1+28&gt;90,AD173,(AD173+IF($B$1+28&lt;=$B173,12*$B$9,-12*MAX(0,$B$8-IF($B$1+28&gt;=$B$23,$B$22,0))*(1+$B$4)^28))*IF(AD173+IF($B$1+28&lt;=$B173,12*$B$9,-12*MAX(0,$B$8-IF($B$1+28&gt;=$B$23,$B$22,0))*(1+$B$4)^28)&gt;0,1+$B$3,1))</f>
        <v/>
      </c>
      <c r="AF173">
        <f>IF($B$1+29&gt;90,AE173,(AE173+IF($B$1+29&lt;=$B173,12*$B$9,-12*MAX(0,$B$8-IF($B$1+29&gt;=$B$23,$B$22,0))*(1+$B$4)^29))*IF(AE173+IF($B$1+29&lt;=$B173,12*$B$9,-12*MAX(0,$B$8-IF($B$1+29&gt;=$B$23,$B$22,0))*(1+$B$4)^29)&gt;0,1+$B$3,1))</f>
        <v/>
      </c>
      <c r="AG173">
        <f>IF($B$1+30&gt;90,AF173,(AF173+IF($B$1+30&lt;=$B173,12*$B$9,-12*MAX(0,$B$8-IF($B$1+30&gt;=$B$23,$B$22,0))*(1+$B$4)^30))*IF(AF173+IF($B$1+30&lt;=$B173,12*$B$9,-12*MAX(0,$B$8-IF($B$1+30&gt;=$B$23,$B$22,0))*(1+$B$4)^30)&gt;0,1+$B$3,1))</f>
        <v/>
      </c>
      <c r="AH173">
        <f>IF($B$1+31&gt;90,AG173,(AG173+IF($B$1+31&lt;=$B173,12*$B$9,-12*MAX(0,$B$8-IF($B$1+31&gt;=$B$23,$B$22,0))*(1+$B$4)^31))*IF(AG173+IF($B$1+31&lt;=$B173,12*$B$9,-12*MAX(0,$B$8-IF($B$1+31&gt;=$B$23,$B$22,0))*(1+$B$4)^31)&gt;0,1+$B$3,1))</f>
        <v/>
      </c>
      <c r="AI173">
        <f>IF($B$1+32&gt;90,AH173,(AH173+IF($B$1+32&lt;=$B173,12*$B$9,-12*MAX(0,$B$8-IF($B$1+32&gt;=$B$23,$B$22,0))*(1+$B$4)^32))*IF(AH173+IF($B$1+32&lt;=$B173,12*$B$9,-12*MAX(0,$B$8-IF($B$1+32&gt;=$B$23,$B$22,0))*(1+$B$4)^32)&gt;0,1+$B$3,1))</f>
        <v/>
      </c>
      <c r="AJ173">
        <f>IF($B$1+33&gt;90,AI173,(AI173+IF($B$1+33&lt;=$B173,12*$B$9,-12*MAX(0,$B$8-IF($B$1+33&gt;=$B$23,$B$22,0))*(1+$B$4)^33))*IF(AI173+IF($B$1+33&lt;=$B173,12*$B$9,-12*MAX(0,$B$8-IF($B$1+33&gt;=$B$23,$B$22,0))*(1+$B$4)^33)&gt;0,1+$B$3,1))</f>
        <v/>
      </c>
      <c r="AK173">
        <f>IF($B$1+34&gt;90,AJ173,(AJ173+IF($B$1+34&lt;=$B173,12*$B$9,-12*MAX(0,$B$8-IF($B$1+34&gt;=$B$23,$B$22,0))*(1+$B$4)^34))*IF(AJ173+IF($B$1+34&lt;=$B173,12*$B$9,-12*MAX(0,$B$8-IF($B$1+34&gt;=$B$23,$B$22,0))*(1+$B$4)^34)&gt;0,1+$B$3,1))</f>
        <v/>
      </c>
      <c r="AL173">
        <f>IF($B$1+35&gt;90,AK173,(AK173+IF($B$1+35&lt;=$B173,12*$B$9,-12*MAX(0,$B$8-IF($B$1+35&gt;=$B$23,$B$22,0))*(1+$B$4)^35))*IF(AK173+IF($B$1+35&lt;=$B173,12*$B$9,-12*MAX(0,$B$8-IF($B$1+35&gt;=$B$23,$B$22,0))*(1+$B$4)^35)&gt;0,1+$B$3,1))</f>
        <v/>
      </c>
      <c r="AM173">
        <f>IF($B$1+36&gt;90,AL173,(AL173+IF($B$1+36&lt;=$B173,12*$B$9,-12*MAX(0,$B$8-IF($B$1+36&gt;=$B$23,$B$22,0))*(1+$B$4)^36))*IF(AL173+IF($B$1+36&lt;=$B173,12*$B$9,-12*MAX(0,$B$8-IF($B$1+36&gt;=$B$23,$B$22,0))*(1+$B$4)^36)&gt;0,1+$B$3,1))</f>
        <v/>
      </c>
      <c r="AN173">
        <f>IF($B$1+37&gt;90,AM173,(AM173+IF($B$1+37&lt;=$B173,12*$B$9,-12*MAX(0,$B$8-IF($B$1+37&gt;=$B$23,$B$22,0))*(1+$B$4)^37))*IF(AM173+IF($B$1+37&lt;=$B173,12*$B$9,-12*MAX(0,$B$8-IF($B$1+37&gt;=$B$23,$B$22,0))*(1+$B$4)^37)&gt;0,1+$B$3,1))</f>
        <v/>
      </c>
      <c r="AO173">
        <f>IF($B$1+38&gt;90,AN173,(AN173+IF($B$1+38&lt;=$B173,12*$B$9,-12*MAX(0,$B$8-IF($B$1+38&gt;=$B$23,$B$22,0))*(1+$B$4)^38))*IF(AN173+IF($B$1+38&lt;=$B173,12*$B$9,-12*MAX(0,$B$8-IF($B$1+38&gt;=$B$23,$B$22,0))*(1+$B$4)^38)&gt;0,1+$B$3,1))</f>
        <v/>
      </c>
      <c r="AP173">
        <f>IF($B$1+39&gt;90,AO173,(AO173+IF($B$1+39&lt;=$B173,12*$B$9,-12*MAX(0,$B$8-IF($B$1+39&gt;=$B$23,$B$22,0))*(1+$B$4)^39))*IF(AO173+IF($B$1+39&lt;=$B173,12*$B$9,-12*MAX(0,$B$8-IF($B$1+39&gt;=$B$23,$B$22,0))*(1+$B$4)^39)&gt;0,1+$B$3,1))</f>
        <v/>
      </c>
      <c r="AQ173">
        <f>IF($B$1+40&gt;90,AP173,(AP173+IF($B$1+40&lt;=$B173,12*$B$9,-12*MAX(0,$B$8-IF($B$1+40&gt;=$B$23,$B$22,0))*(1+$B$4)^40))*IF(AP173+IF($B$1+40&lt;=$B173,12*$B$9,-12*MAX(0,$B$8-IF($B$1+40&gt;=$B$23,$B$22,0))*(1+$B$4)^40)&gt;0,1+$B$3,1))</f>
        <v/>
      </c>
      <c r="AR173">
        <f>IF($B$1+41&gt;90,AQ173,(AQ173+IF($B$1+41&lt;=$B173,12*$B$9,-12*MAX(0,$B$8-IF($B$1+41&gt;=$B$23,$B$22,0))*(1+$B$4)^41))*IF(AQ173+IF($B$1+41&lt;=$B173,12*$B$9,-12*MAX(0,$B$8-IF($B$1+41&gt;=$B$23,$B$22,0))*(1+$B$4)^41)&gt;0,1+$B$3,1))</f>
        <v/>
      </c>
      <c r="AS173">
        <f>IF($B$1+42&gt;90,AR173,(AR173+IF($B$1+42&lt;=$B173,12*$B$9,-12*MAX(0,$B$8-IF($B$1+42&gt;=$B$23,$B$22,0))*(1+$B$4)^42))*IF(AR173+IF($B$1+42&lt;=$B173,12*$B$9,-12*MAX(0,$B$8-IF($B$1+42&gt;=$B$23,$B$22,0))*(1+$B$4)^42)&gt;0,1+$B$3,1))</f>
        <v/>
      </c>
      <c r="AT173">
        <f>IF($B$1+43&gt;90,AS173,(AS173+IF($B$1+43&lt;=$B173,12*$B$9,-12*MAX(0,$B$8-IF($B$1+43&gt;=$B$23,$B$22,0))*(1+$B$4)^43))*IF(AS173+IF($B$1+43&lt;=$B173,12*$B$9,-12*MAX(0,$B$8-IF($B$1+43&gt;=$B$23,$B$22,0))*(1+$B$4)^43)&gt;0,1+$B$3,1))</f>
        <v/>
      </c>
      <c r="AU173">
        <f>IF($B$1+44&gt;90,AT173,(AT173+IF($B$1+44&lt;=$B173,12*$B$9,-12*MAX(0,$B$8-IF($B$1+44&gt;=$B$23,$B$22,0))*(1+$B$4)^44))*IF(AT173+IF($B$1+44&lt;=$B173,12*$B$9,-12*MAX(0,$B$8-IF($B$1+44&gt;=$B$23,$B$22,0))*(1+$B$4)^44)&gt;0,1+$B$3,1))</f>
        <v/>
      </c>
      <c r="AV173">
        <f>IF($B$1+45&gt;90,AU173,(AU173+IF($B$1+45&lt;=$B173,12*$B$9,-12*MAX(0,$B$8-IF($B$1+45&gt;=$B$23,$B$22,0))*(1+$B$4)^45))*IF(AU173+IF($B$1+45&lt;=$B173,12*$B$9,-12*MAX(0,$B$8-IF($B$1+45&gt;=$B$23,$B$22,0))*(1+$B$4)^45)&gt;0,1+$B$3,1))</f>
        <v/>
      </c>
      <c r="AW173">
        <f>IF($B$1+46&gt;90,AV173,(AV173+IF($B$1+46&lt;=$B173,12*$B$9,-12*MAX(0,$B$8-IF($B$1+46&gt;=$B$23,$B$22,0))*(1+$B$4)^46))*IF(AV173+IF($B$1+46&lt;=$B173,12*$B$9,-12*MAX(0,$B$8-IF($B$1+46&gt;=$B$23,$B$22,0))*(1+$B$4)^46)&gt;0,1+$B$3,1))</f>
        <v/>
      </c>
      <c r="AX173">
        <f>IF($B$1+47&gt;90,AW173,(AW173+IF($B$1+47&lt;=$B173,12*$B$9,-12*MAX(0,$B$8-IF($B$1+47&gt;=$B$23,$B$22,0))*(1+$B$4)^47))*IF(AW173+IF($B$1+47&lt;=$B173,12*$B$9,-12*MAX(0,$B$8-IF($B$1+47&gt;=$B$23,$B$22,0))*(1+$B$4)^47)&gt;0,1+$B$3,1))</f>
        <v/>
      </c>
      <c r="AY173">
        <f>IF($B$1+48&gt;90,AX173,(AX173+IF($B$1+48&lt;=$B173,12*$B$9,-12*MAX(0,$B$8-IF($B$1+48&gt;=$B$23,$B$22,0))*(1+$B$4)^48))*IF(AX173+IF($B$1+48&lt;=$B173,12*$B$9,-12*MAX(0,$B$8-IF($B$1+48&gt;=$B$23,$B$22,0))*(1+$B$4)^48)&gt;0,1+$B$3,1))</f>
        <v/>
      </c>
      <c r="AZ173">
        <f>IF($B$1+49&gt;90,AY173,(AY173+IF($B$1+49&lt;=$B173,12*$B$9,-12*MAX(0,$B$8-IF($B$1+49&gt;=$B$23,$B$22,0))*(1+$B$4)^49))*IF(AY173+IF($B$1+49&lt;=$B173,12*$B$9,-12*MAX(0,$B$8-IF($B$1+49&gt;=$B$23,$B$22,0))*(1+$B$4)^49)&gt;0,1+$B$3,1))</f>
        <v/>
      </c>
      <c r="BA173">
        <f>IF($B$1+50&gt;90,AZ173,(AZ173+IF($B$1+50&lt;=$B173,12*$B$9,-12*MAX(0,$B$8-IF($B$1+50&gt;=$B$23,$B$22,0))*(1+$B$4)^50))*IF(AZ173+IF($B$1+50&lt;=$B173,12*$B$9,-12*MAX(0,$B$8-IF($B$1+50&gt;=$B$23,$B$22,0))*(1+$B$4)^50)&gt;0,1+$B$3,1))</f>
        <v/>
      </c>
      <c r="BB173">
        <f>IF($B$1+51&gt;90,BA173,(BA173+IF($B$1+51&lt;=$B173,12*$B$9,-12*MAX(0,$B$8-IF($B$1+51&gt;=$B$23,$B$22,0))*(1+$B$4)^51))*IF(BA173+IF($B$1+51&lt;=$B173,12*$B$9,-12*MAX(0,$B$8-IF($B$1+51&gt;=$B$23,$B$22,0))*(1+$B$4)^51)&gt;0,1+$B$3,1))</f>
        <v/>
      </c>
      <c r="BC173">
        <f>IF($B$1+52&gt;90,BB173,(BB173+IF($B$1+52&lt;=$B173,12*$B$9,-12*MAX(0,$B$8-IF($B$1+52&gt;=$B$23,$B$22,0))*(1+$B$4)^52))*IF(BB173+IF($B$1+52&lt;=$B173,12*$B$9,-12*MAX(0,$B$8-IF($B$1+52&gt;=$B$23,$B$22,0))*(1+$B$4)^52)&gt;0,1+$B$3,1))</f>
        <v/>
      </c>
      <c r="BD173">
        <f>IF($B$1+53&gt;90,BC173,(BC173+IF($B$1+53&lt;=$B173,12*$B$9,-12*MAX(0,$B$8-IF($B$1+53&gt;=$B$23,$B$22,0))*(1+$B$4)^53))*IF(BC173+IF($B$1+53&lt;=$B173,12*$B$9,-12*MAX(0,$B$8-IF($B$1+53&gt;=$B$23,$B$22,0))*(1+$B$4)^53)&gt;0,1+$B$3,1))</f>
        <v/>
      </c>
      <c r="BE173">
        <f>IF($B$1+54&gt;90,BD173,(BD173+IF($B$1+54&lt;=$B173,12*$B$9,-12*MAX(0,$B$8-IF($B$1+54&gt;=$B$23,$B$22,0))*(1+$B$4)^54))*IF(BD173+IF($B$1+54&lt;=$B173,12*$B$9,-12*MAX(0,$B$8-IF($B$1+54&gt;=$B$23,$B$22,0))*(1+$B$4)^54)&gt;0,1+$B$3,1))</f>
        <v/>
      </c>
      <c r="BF173">
        <f>IF($B$1+55&gt;90,BE173,(BE173+IF($B$1+55&lt;=$B173,12*$B$9,-12*MAX(0,$B$8-IF($B$1+55&gt;=$B$23,$B$22,0))*(1+$B$4)^55))*IF(BE173+IF($B$1+55&lt;=$B173,12*$B$9,-12*MAX(0,$B$8-IF($B$1+55&gt;=$B$23,$B$22,0))*(1+$B$4)^55)&gt;0,1+$B$3,1))</f>
        <v/>
      </c>
      <c r="BG173">
        <f>IF($B$1+56&gt;90,BF173,(BF173+IF($B$1+56&lt;=$B173,12*$B$9,-12*MAX(0,$B$8-IF($B$1+56&gt;=$B$23,$B$22,0))*(1+$B$4)^56))*IF(BF173+IF($B$1+56&lt;=$B173,12*$B$9,-12*MAX(0,$B$8-IF($B$1+56&gt;=$B$23,$B$22,0))*(1+$B$4)^56)&gt;0,1+$B$3,1))</f>
        <v/>
      </c>
      <c r="BH173">
        <f>IF($B$1+57&gt;90,BG173,(BG173+IF($B$1+57&lt;=$B173,12*$B$9,-12*MAX(0,$B$8-IF($B$1+57&gt;=$B$23,$B$22,0))*(1+$B$4)^57))*IF(BG173+IF($B$1+57&lt;=$B173,12*$B$9,-12*MAX(0,$B$8-IF($B$1+57&gt;=$B$23,$B$22,0))*(1+$B$4)^57)&gt;0,1+$B$3,1))</f>
        <v/>
      </c>
      <c r="BI173">
        <f>IF($B$1+58&gt;90,BH173,(BH173+IF($B$1+58&lt;=$B173,12*$B$9,-12*MAX(0,$B$8-IF($B$1+58&gt;=$B$23,$B$22,0))*(1+$B$4)^58))*IF(BH173+IF($B$1+58&lt;=$B173,12*$B$9,-12*MAX(0,$B$8-IF($B$1+58&gt;=$B$23,$B$22,0))*(1+$B$4)^58)&gt;0,1+$B$3,1))</f>
        <v/>
      </c>
      <c r="BJ173">
        <f>IF($B$1+59&gt;90,BI173,(BI173+IF($B$1+59&lt;=$B173,12*$B$9,-12*MAX(0,$B$8-IF($B$1+59&gt;=$B$23,$B$22,0))*(1+$B$4)^59))*IF(BI173+IF($B$1+59&lt;=$B173,12*$B$9,-12*MAX(0,$B$8-IF($B$1+59&gt;=$B$23,$B$22,0))*(1+$B$4)^59)&gt;0,1+$B$3,1))</f>
        <v/>
      </c>
      <c r="BK173">
        <f>IF($B$1+60&gt;90,BJ173,(BJ173+IF($B$1+60&lt;=$B173,12*$B$9,-12*MAX(0,$B$8-IF($B$1+60&gt;=$B$23,$B$22,0))*(1+$B$4)^60))*IF(BJ173+IF($B$1+60&lt;=$B173,12*$B$9,-12*MAX(0,$B$8-IF($B$1+60&gt;=$B$23,$B$22,0))*(1+$B$4)^60)&gt;0,1+$B$3,1))</f>
        <v/>
      </c>
      <c r="BL173">
        <f>IF($B$1+61&gt;90,BK173,(BK173+IF($B$1+61&lt;=$B173,12*$B$9,-12*MAX(0,$B$8-IF($B$1+61&gt;=$B$23,$B$22,0))*(1+$B$4)^61))*IF(BK173+IF($B$1+61&lt;=$B173,12*$B$9,-12*MAX(0,$B$8-IF($B$1+61&gt;=$B$23,$B$22,0))*(1+$B$4)^61)&gt;0,1+$B$3,1))</f>
        <v/>
      </c>
      <c r="BM173">
        <f>IF($B$1+62&gt;90,BL173,(BL173+IF($B$1+62&lt;=$B173,12*$B$9,-12*MAX(0,$B$8-IF($B$1+62&gt;=$B$23,$B$22,0))*(1+$B$4)^62))*IF(BL173+IF($B$1+62&lt;=$B173,12*$B$9,-12*MAX(0,$B$8-IF($B$1+62&gt;=$B$23,$B$22,0))*(1+$B$4)^62)&gt;0,1+$B$3,1))</f>
        <v/>
      </c>
      <c r="BN173">
        <f>IF($B$1+63&gt;90,BM173,(BM173+IF($B$1+63&lt;=$B173,12*$B$9,-12*MAX(0,$B$8-IF($B$1+63&gt;=$B$23,$B$22,0))*(1+$B$4)^63))*IF(BM173+IF($B$1+63&lt;=$B173,12*$B$9,-12*MAX(0,$B$8-IF($B$1+63&gt;=$B$23,$B$22,0))*(1+$B$4)^63)&gt;0,1+$B$3,1))</f>
        <v/>
      </c>
      <c r="BO173">
        <f>IF($B$1+64&gt;90,BN173,(BN173+IF($B$1+64&lt;=$B173,12*$B$9,-12*MAX(0,$B$8-IF($B$1+64&gt;=$B$23,$B$22,0))*(1+$B$4)^64))*IF(BN173+IF($B$1+64&lt;=$B173,12*$B$9,-12*MAX(0,$B$8-IF($B$1+64&gt;=$B$23,$B$22,0))*(1+$B$4)^64)&gt;0,1+$B$3,1))</f>
        <v/>
      </c>
      <c r="BP173">
        <f>IF($B$1+65&gt;90,BO173,(BO173+IF($B$1+65&lt;=$B173,12*$B$9,-12*MAX(0,$B$8-IF($B$1+65&gt;=$B$23,$B$22,0))*(1+$B$4)^65))*IF(BO173+IF($B$1+65&lt;=$B173,12*$B$9,-12*MAX(0,$B$8-IF($B$1+65&gt;=$B$23,$B$22,0))*(1+$B$4)^65)&gt;0,1+$B$3,1))</f>
        <v/>
      </c>
      <c r="BQ173">
        <f>IF($B$1+66&gt;90,BP173,(BP173+IF($B$1+66&lt;=$B173,12*$B$9,-12*MAX(0,$B$8-IF($B$1+66&gt;=$B$23,$B$22,0))*(1+$B$4)^66))*IF(BP173+IF($B$1+66&lt;=$B173,12*$B$9,-12*MAX(0,$B$8-IF($B$1+66&gt;=$B$23,$B$22,0))*(1+$B$4)^66)&gt;0,1+$B$3,1))</f>
        <v/>
      </c>
      <c r="BR173">
        <f>IF($B$1+67&gt;90,BQ173,(BQ173+IF($B$1+67&lt;=$B173,12*$B$9,-12*MAX(0,$B$8-IF($B$1+67&gt;=$B$23,$B$22,0))*(1+$B$4)^67))*IF(BQ173+IF($B$1+67&lt;=$B173,12*$B$9,-12*MAX(0,$B$8-IF($B$1+67&gt;=$B$23,$B$22,0))*(1+$B$4)^67)&gt;0,1+$B$3,1))</f>
        <v/>
      </c>
      <c r="BS173">
        <f>IF($B$1+68&gt;90,BR173,(BR173+IF($B$1+68&lt;=$B173,12*$B$9,-12*MAX(0,$B$8-IF($B$1+68&gt;=$B$23,$B$22,0))*(1+$B$4)^68))*IF(BR173+IF($B$1+68&lt;=$B173,12*$B$9,-12*MAX(0,$B$8-IF($B$1+68&gt;=$B$23,$B$22,0))*(1+$B$4)^68)&gt;0,1+$B$3,1))</f>
        <v/>
      </c>
      <c r="BT173">
        <f>IF($B$1+69&gt;90,BS173,(BS173+IF($B$1+69&lt;=$B173,12*$B$9,-12*MAX(0,$B$8-IF($B$1+69&gt;=$B$23,$B$22,0))*(1+$B$4)^69))*IF(BS173+IF($B$1+69&lt;=$B173,12*$B$9,-12*MAX(0,$B$8-IF($B$1+69&gt;=$B$23,$B$22,0))*(1+$B$4)^69)&gt;0,1+$B$3,1))</f>
        <v/>
      </c>
      <c r="BU173">
        <f>IF($B$1+70&gt;90,BT173,(BT173+IF($B$1+70&lt;=$B173,12*$B$9,-12*MAX(0,$B$8-IF($B$1+70&gt;=$B$23,$B$22,0))*(1+$B$4)^70))*IF(BT173+IF($B$1+70&lt;=$B173,12*$B$9,-12*MAX(0,$B$8-IF($B$1+70&gt;=$B$23,$B$22,0))*(1+$B$4)^70)&gt;0,1+$B$3,1))</f>
        <v/>
      </c>
      <c r="BV173">
        <f>BU173</f>
        <v/>
      </c>
      <c r="BW173">
        <f>IF(AND($B173&lt;=70,BV173&gt;0),$B173,999)</f>
        <v/>
      </c>
      <c r="CH173">
        <f>IF(ISTEXT('월 가계부'!A173),SUBSTITUTE(SUBSTITUTE(SUBSTITUTE(SUBSTITUTE(SUBSTITUTE(SUBSTITUTE(SUBSTITUTE(SUBSTITUTE(SUBSTITUTE(TRIM('월 가계부'!A173),"년","-"),"월","-"),"일",""),".","-"),"/","-")," ","-"),"--","-"),"--","-"),"--","-")&amp;"-","")</f>
        <v/>
      </c>
      <c r="CI173">
        <f>IFERROR(IF('월 가계부'!A173="","",IF(ISNUMBER('월 가계부'!A173),IF(AND('월 가계부'!A173&gt;=19000101,'월 가계부'!A173&lt;=21001231),IF(AND(MOD(INT('월 가계부'!A173/100),100)&gt;=1,MOD(INT('월 가계부'!A173/100),100)&lt;=12,MOD(INT('월 가계부'!A173),100)&gt;=1,MOD(INT('월 가계부'!A173),100)&lt;=31),IF(MONTH(DATE(INT('월 가계부'!A173/10000),MOD(INT('월 가계부'!A173/100),100),MOD(INT('월 가계부'!A173),100)))=MOD(INT('월 가계부'!A173/100),100),DATE(INT('월 가계부'!A173/10000),MOD(INT('월 가계부'!A173/100),100),MOD(INT('월 가계부'!A173),100)),""),""),IF(AND('월 가계부'!A173&gt;=36526,'월 가계부'!A173&lt;73051),INT('월 가계부'!A173),"")),IF(OR(CM173="",CN173="",CO173=""),"",IF(AND(CM173&gt;=2000,CM173&lt;=2099,CN173&gt;=1,CN173&lt;=12,CO173&gt;=1,CO173&lt;=31),IF(MONTH(DATE(CM173,CN173,CO173))=CN173,DATE(CM173,CN173,CO173),""),"")))),"")</f>
        <v/>
      </c>
      <c r="CJ173">
        <f>IFERROR(IF('월 가계부'!C173="","",IF(ISNUMBER('월 가계부'!C173),'월 가계부'!C173,VALUE(SUBSTITUTE(SUBSTITUTE(SUBSTITUTE(SUBSTITUTE(TRIM('월 가계부'!C173),",",""),"원","")," ",""),"−","-")))),"")</f>
        <v/>
      </c>
      <c r="CK173">
        <f>IF(ISNUMBER(CI173),IF(CI173&lt;$B$13,CI173,""),"")</f>
        <v/>
      </c>
      <c r="CM173">
        <f>IF(CH173="","",IFERROR(IF(IF(AND(LEN(CH173)=9,ISERROR(FIND("-",LEFT(CH173,8))),ISNUMBER(-LEFT(CH173,8))),VALUE(LEFT(CH173,4)),VALUE(LEFT(CH173,FIND("-",CH173)-1)))&lt;100,IF(AND(LEN(CH173)=9,ISERROR(FIND("-",LEFT(CH173,8))),ISNUMBER(-LEFT(CH173,8))),VALUE(LEFT(CH173,4)),VALUE(LEFT(CH173,FIND("-",CH173)-1)))+2000,IF(AND(LEN(CH173)=9,ISERROR(FIND("-",LEFT(CH173,8))),ISNUMBER(-LEFT(CH173,8))),VALUE(LEFT(CH173,4)),VALUE(LEFT(CH173,FIND("-",CH173)-1)))),""))</f>
        <v/>
      </c>
      <c r="CN173">
        <f>IF(CH173="","",IFERROR(IF(AND(LEN(CH173)=9,ISERROR(FIND("-",LEFT(CH173,8))),ISNUMBER(-LEFT(CH173,8))),VALUE(MID(CH173,5,2)),VALUE(MID(CH173,FIND("-",CH173)+1,FIND("-",CH173,FIND("-",CH173)+1)-FIND("-",CH173)-1))),""))</f>
        <v/>
      </c>
      <c r="CO173">
        <f>IF(CH173="","",IFERROR(IF(AND(LEN(CH173)=9,ISERROR(FIND("-",LEFT(CH173,8))),ISNUMBER(-LEFT(CH173,8))),VALUE(MID(CH173,7,2)),VALUE(MID(CH173,FIND("-",CH173,FIND("-",CH173)+1)+1,FIND("-",CH173,FIND("-",CH173,FIND("-",CH173)+1)+1)-FIND("-",CH173,FIND("-",CH173)+1)-1))),""))</f>
        <v/>
      </c>
    </row>
    <row r="174">
      <c r="A174" t="n">
        <v>22</v>
      </c>
      <c r="B174">
        <f>$B$1+22</f>
        <v/>
      </c>
      <c r="C174">
        <f>$B$2</f>
        <v/>
      </c>
      <c r="D174">
        <f>IF($B$1+1&gt;90,C174,(C174+IF($B$1+1&lt;=$B174,12*$B$9,-12*MAX(0,$B$8-IF($B$1+1&gt;=$B$23,$B$22,0))*(1+$B$4)^1))*IF(C174+IF($B$1+1&lt;=$B174,12*$B$9,-12*MAX(0,$B$8-IF($B$1+1&gt;=$B$23,$B$22,0))*(1+$B$4)^1)&gt;0,1+$B$3,1))</f>
        <v/>
      </c>
      <c r="E174">
        <f>IF($B$1+2&gt;90,D174,(D174+IF($B$1+2&lt;=$B174,12*$B$9,-12*MAX(0,$B$8-IF($B$1+2&gt;=$B$23,$B$22,0))*(1+$B$4)^2))*IF(D174+IF($B$1+2&lt;=$B174,12*$B$9,-12*MAX(0,$B$8-IF($B$1+2&gt;=$B$23,$B$22,0))*(1+$B$4)^2)&gt;0,1+$B$3,1))</f>
        <v/>
      </c>
      <c r="F174">
        <f>IF($B$1+3&gt;90,E174,(E174+IF($B$1+3&lt;=$B174,12*$B$9,-12*MAX(0,$B$8-IF($B$1+3&gt;=$B$23,$B$22,0))*(1+$B$4)^3))*IF(E174+IF($B$1+3&lt;=$B174,12*$B$9,-12*MAX(0,$B$8-IF($B$1+3&gt;=$B$23,$B$22,0))*(1+$B$4)^3)&gt;0,1+$B$3,1))</f>
        <v/>
      </c>
      <c r="G174">
        <f>IF($B$1+4&gt;90,F174,(F174+IF($B$1+4&lt;=$B174,12*$B$9,-12*MAX(0,$B$8-IF($B$1+4&gt;=$B$23,$B$22,0))*(1+$B$4)^4))*IF(F174+IF($B$1+4&lt;=$B174,12*$B$9,-12*MAX(0,$B$8-IF($B$1+4&gt;=$B$23,$B$22,0))*(1+$B$4)^4)&gt;0,1+$B$3,1))</f>
        <v/>
      </c>
      <c r="H174">
        <f>IF($B$1+5&gt;90,G174,(G174+IF($B$1+5&lt;=$B174,12*$B$9,-12*MAX(0,$B$8-IF($B$1+5&gt;=$B$23,$B$22,0))*(1+$B$4)^5))*IF(G174+IF($B$1+5&lt;=$B174,12*$B$9,-12*MAX(0,$B$8-IF($B$1+5&gt;=$B$23,$B$22,0))*(1+$B$4)^5)&gt;0,1+$B$3,1))</f>
        <v/>
      </c>
      <c r="I174">
        <f>IF($B$1+6&gt;90,H174,(H174+IF($B$1+6&lt;=$B174,12*$B$9,-12*MAX(0,$B$8-IF($B$1+6&gt;=$B$23,$B$22,0))*(1+$B$4)^6))*IF(H174+IF($B$1+6&lt;=$B174,12*$B$9,-12*MAX(0,$B$8-IF($B$1+6&gt;=$B$23,$B$22,0))*(1+$B$4)^6)&gt;0,1+$B$3,1))</f>
        <v/>
      </c>
      <c r="J174">
        <f>IF($B$1+7&gt;90,I174,(I174+IF($B$1+7&lt;=$B174,12*$B$9,-12*MAX(0,$B$8-IF($B$1+7&gt;=$B$23,$B$22,0))*(1+$B$4)^7))*IF(I174+IF($B$1+7&lt;=$B174,12*$B$9,-12*MAX(0,$B$8-IF($B$1+7&gt;=$B$23,$B$22,0))*(1+$B$4)^7)&gt;0,1+$B$3,1))</f>
        <v/>
      </c>
      <c r="K174">
        <f>IF($B$1+8&gt;90,J174,(J174+IF($B$1+8&lt;=$B174,12*$B$9,-12*MAX(0,$B$8-IF($B$1+8&gt;=$B$23,$B$22,0))*(1+$B$4)^8))*IF(J174+IF($B$1+8&lt;=$B174,12*$B$9,-12*MAX(0,$B$8-IF($B$1+8&gt;=$B$23,$B$22,0))*(1+$B$4)^8)&gt;0,1+$B$3,1))</f>
        <v/>
      </c>
      <c r="L174">
        <f>IF($B$1+9&gt;90,K174,(K174+IF($B$1+9&lt;=$B174,12*$B$9,-12*MAX(0,$B$8-IF($B$1+9&gt;=$B$23,$B$22,0))*(1+$B$4)^9))*IF(K174+IF($B$1+9&lt;=$B174,12*$B$9,-12*MAX(0,$B$8-IF($B$1+9&gt;=$B$23,$B$22,0))*(1+$B$4)^9)&gt;0,1+$B$3,1))</f>
        <v/>
      </c>
      <c r="M174">
        <f>IF($B$1+10&gt;90,L174,(L174+IF($B$1+10&lt;=$B174,12*$B$9,-12*MAX(0,$B$8-IF($B$1+10&gt;=$B$23,$B$22,0))*(1+$B$4)^10))*IF(L174+IF($B$1+10&lt;=$B174,12*$B$9,-12*MAX(0,$B$8-IF($B$1+10&gt;=$B$23,$B$22,0))*(1+$B$4)^10)&gt;0,1+$B$3,1))</f>
        <v/>
      </c>
      <c r="N174">
        <f>IF($B$1+11&gt;90,M174,(M174+IF($B$1+11&lt;=$B174,12*$B$9,-12*MAX(0,$B$8-IF($B$1+11&gt;=$B$23,$B$22,0))*(1+$B$4)^11))*IF(M174+IF($B$1+11&lt;=$B174,12*$B$9,-12*MAX(0,$B$8-IF($B$1+11&gt;=$B$23,$B$22,0))*(1+$B$4)^11)&gt;0,1+$B$3,1))</f>
        <v/>
      </c>
      <c r="O174">
        <f>IF($B$1+12&gt;90,N174,(N174+IF($B$1+12&lt;=$B174,12*$B$9,-12*MAX(0,$B$8-IF($B$1+12&gt;=$B$23,$B$22,0))*(1+$B$4)^12))*IF(N174+IF($B$1+12&lt;=$B174,12*$B$9,-12*MAX(0,$B$8-IF($B$1+12&gt;=$B$23,$B$22,0))*(1+$B$4)^12)&gt;0,1+$B$3,1))</f>
        <v/>
      </c>
      <c r="P174">
        <f>IF($B$1+13&gt;90,O174,(O174+IF($B$1+13&lt;=$B174,12*$B$9,-12*MAX(0,$B$8-IF($B$1+13&gt;=$B$23,$B$22,0))*(1+$B$4)^13))*IF(O174+IF($B$1+13&lt;=$B174,12*$B$9,-12*MAX(0,$B$8-IF($B$1+13&gt;=$B$23,$B$22,0))*(1+$B$4)^13)&gt;0,1+$B$3,1))</f>
        <v/>
      </c>
      <c r="Q174">
        <f>IF($B$1+14&gt;90,P174,(P174+IF($B$1+14&lt;=$B174,12*$B$9,-12*MAX(0,$B$8-IF($B$1+14&gt;=$B$23,$B$22,0))*(1+$B$4)^14))*IF(P174+IF($B$1+14&lt;=$B174,12*$B$9,-12*MAX(0,$B$8-IF($B$1+14&gt;=$B$23,$B$22,0))*(1+$B$4)^14)&gt;0,1+$B$3,1))</f>
        <v/>
      </c>
      <c r="R174">
        <f>IF($B$1+15&gt;90,Q174,(Q174+IF($B$1+15&lt;=$B174,12*$B$9,-12*MAX(0,$B$8-IF($B$1+15&gt;=$B$23,$B$22,0))*(1+$B$4)^15))*IF(Q174+IF($B$1+15&lt;=$B174,12*$B$9,-12*MAX(0,$B$8-IF($B$1+15&gt;=$B$23,$B$22,0))*(1+$B$4)^15)&gt;0,1+$B$3,1))</f>
        <v/>
      </c>
      <c r="S174">
        <f>IF($B$1+16&gt;90,R174,(R174+IF($B$1+16&lt;=$B174,12*$B$9,-12*MAX(0,$B$8-IF($B$1+16&gt;=$B$23,$B$22,0))*(1+$B$4)^16))*IF(R174+IF($B$1+16&lt;=$B174,12*$B$9,-12*MAX(0,$B$8-IF($B$1+16&gt;=$B$23,$B$22,0))*(1+$B$4)^16)&gt;0,1+$B$3,1))</f>
        <v/>
      </c>
      <c r="T174">
        <f>IF($B$1+17&gt;90,S174,(S174+IF($B$1+17&lt;=$B174,12*$B$9,-12*MAX(0,$B$8-IF($B$1+17&gt;=$B$23,$B$22,0))*(1+$B$4)^17))*IF(S174+IF($B$1+17&lt;=$B174,12*$B$9,-12*MAX(0,$B$8-IF($B$1+17&gt;=$B$23,$B$22,0))*(1+$B$4)^17)&gt;0,1+$B$3,1))</f>
        <v/>
      </c>
      <c r="U174">
        <f>IF($B$1+18&gt;90,T174,(T174+IF($B$1+18&lt;=$B174,12*$B$9,-12*MAX(0,$B$8-IF($B$1+18&gt;=$B$23,$B$22,0))*(1+$B$4)^18))*IF(T174+IF($B$1+18&lt;=$B174,12*$B$9,-12*MAX(0,$B$8-IF($B$1+18&gt;=$B$23,$B$22,0))*(1+$B$4)^18)&gt;0,1+$B$3,1))</f>
        <v/>
      </c>
      <c r="V174">
        <f>IF($B$1+19&gt;90,U174,(U174+IF($B$1+19&lt;=$B174,12*$B$9,-12*MAX(0,$B$8-IF($B$1+19&gt;=$B$23,$B$22,0))*(1+$B$4)^19))*IF(U174+IF($B$1+19&lt;=$B174,12*$B$9,-12*MAX(0,$B$8-IF($B$1+19&gt;=$B$23,$B$22,0))*(1+$B$4)^19)&gt;0,1+$B$3,1))</f>
        <v/>
      </c>
      <c r="W174">
        <f>IF($B$1+20&gt;90,V174,(V174+IF($B$1+20&lt;=$B174,12*$B$9,-12*MAX(0,$B$8-IF($B$1+20&gt;=$B$23,$B$22,0))*(1+$B$4)^20))*IF(V174+IF($B$1+20&lt;=$B174,12*$B$9,-12*MAX(0,$B$8-IF($B$1+20&gt;=$B$23,$B$22,0))*(1+$B$4)^20)&gt;0,1+$B$3,1))</f>
        <v/>
      </c>
      <c r="X174">
        <f>IF($B$1+21&gt;90,W174,(W174+IF($B$1+21&lt;=$B174,12*$B$9,-12*MAX(0,$B$8-IF($B$1+21&gt;=$B$23,$B$22,0))*(1+$B$4)^21))*IF(W174+IF($B$1+21&lt;=$B174,12*$B$9,-12*MAX(0,$B$8-IF($B$1+21&gt;=$B$23,$B$22,0))*(1+$B$4)^21)&gt;0,1+$B$3,1))</f>
        <v/>
      </c>
      <c r="Y174">
        <f>IF($B$1+22&gt;90,X174,(X174+IF($B$1+22&lt;=$B174,12*$B$9,-12*MAX(0,$B$8-IF($B$1+22&gt;=$B$23,$B$22,0))*(1+$B$4)^22))*IF(X174+IF($B$1+22&lt;=$B174,12*$B$9,-12*MAX(0,$B$8-IF($B$1+22&gt;=$B$23,$B$22,0))*(1+$B$4)^22)&gt;0,1+$B$3,1))</f>
        <v/>
      </c>
      <c r="Z174">
        <f>IF($B$1+23&gt;90,Y174,(Y174+IF($B$1+23&lt;=$B174,12*$B$9,-12*MAX(0,$B$8-IF($B$1+23&gt;=$B$23,$B$22,0))*(1+$B$4)^23))*IF(Y174+IF($B$1+23&lt;=$B174,12*$B$9,-12*MAX(0,$B$8-IF($B$1+23&gt;=$B$23,$B$22,0))*(1+$B$4)^23)&gt;0,1+$B$3,1))</f>
        <v/>
      </c>
      <c r="AA174">
        <f>IF($B$1+24&gt;90,Z174,(Z174+IF($B$1+24&lt;=$B174,12*$B$9,-12*MAX(0,$B$8-IF($B$1+24&gt;=$B$23,$B$22,0))*(1+$B$4)^24))*IF(Z174+IF($B$1+24&lt;=$B174,12*$B$9,-12*MAX(0,$B$8-IF($B$1+24&gt;=$B$23,$B$22,0))*(1+$B$4)^24)&gt;0,1+$B$3,1))</f>
        <v/>
      </c>
      <c r="AB174">
        <f>IF($B$1+25&gt;90,AA174,(AA174+IF($B$1+25&lt;=$B174,12*$B$9,-12*MAX(0,$B$8-IF($B$1+25&gt;=$B$23,$B$22,0))*(1+$B$4)^25))*IF(AA174+IF($B$1+25&lt;=$B174,12*$B$9,-12*MAX(0,$B$8-IF($B$1+25&gt;=$B$23,$B$22,0))*(1+$B$4)^25)&gt;0,1+$B$3,1))</f>
        <v/>
      </c>
      <c r="AC174">
        <f>IF($B$1+26&gt;90,AB174,(AB174+IF($B$1+26&lt;=$B174,12*$B$9,-12*MAX(0,$B$8-IF($B$1+26&gt;=$B$23,$B$22,0))*(1+$B$4)^26))*IF(AB174+IF($B$1+26&lt;=$B174,12*$B$9,-12*MAX(0,$B$8-IF($B$1+26&gt;=$B$23,$B$22,0))*(1+$B$4)^26)&gt;0,1+$B$3,1))</f>
        <v/>
      </c>
      <c r="AD174">
        <f>IF($B$1+27&gt;90,AC174,(AC174+IF($B$1+27&lt;=$B174,12*$B$9,-12*MAX(0,$B$8-IF($B$1+27&gt;=$B$23,$B$22,0))*(1+$B$4)^27))*IF(AC174+IF($B$1+27&lt;=$B174,12*$B$9,-12*MAX(0,$B$8-IF($B$1+27&gt;=$B$23,$B$22,0))*(1+$B$4)^27)&gt;0,1+$B$3,1))</f>
        <v/>
      </c>
      <c r="AE174">
        <f>IF($B$1+28&gt;90,AD174,(AD174+IF($B$1+28&lt;=$B174,12*$B$9,-12*MAX(0,$B$8-IF($B$1+28&gt;=$B$23,$B$22,0))*(1+$B$4)^28))*IF(AD174+IF($B$1+28&lt;=$B174,12*$B$9,-12*MAX(0,$B$8-IF($B$1+28&gt;=$B$23,$B$22,0))*(1+$B$4)^28)&gt;0,1+$B$3,1))</f>
        <v/>
      </c>
      <c r="AF174">
        <f>IF($B$1+29&gt;90,AE174,(AE174+IF($B$1+29&lt;=$B174,12*$B$9,-12*MAX(0,$B$8-IF($B$1+29&gt;=$B$23,$B$22,0))*(1+$B$4)^29))*IF(AE174+IF($B$1+29&lt;=$B174,12*$B$9,-12*MAX(0,$B$8-IF($B$1+29&gt;=$B$23,$B$22,0))*(1+$B$4)^29)&gt;0,1+$B$3,1))</f>
        <v/>
      </c>
      <c r="AG174">
        <f>IF($B$1+30&gt;90,AF174,(AF174+IF($B$1+30&lt;=$B174,12*$B$9,-12*MAX(0,$B$8-IF($B$1+30&gt;=$B$23,$B$22,0))*(1+$B$4)^30))*IF(AF174+IF($B$1+30&lt;=$B174,12*$B$9,-12*MAX(0,$B$8-IF($B$1+30&gt;=$B$23,$B$22,0))*(1+$B$4)^30)&gt;0,1+$B$3,1))</f>
        <v/>
      </c>
      <c r="AH174">
        <f>IF($B$1+31&gt;90,AG174,(AG174+IF($B$1+31&lt;=$B174,12*$B$9,-12*MAX(0,$B$8-IF($B$1+31&gt;=$B$23,$B$22,0))*(1+$B$4)^31))*IF(AG174+IF($B$1+31&lt;=$B174,12*$B$9,-12*MAX(0,$B$8-IF($B$1+31&gt;=$B$23,$B$22,0))*(1+$B$4)^31)&gt;0,1+$B$3,1))</f>
        <v/>
      </c>
      <c r="AI174">
        <f>IF($B$1+32&gt;90,AH174,(AH174+IF($B$1+32&lt;=$B174,12*$B$9,-12*MAX(0,$B$8-IF($B$1+32&gt;=$B$23,$B$22,0))*(1+$B$4)^32))*IF(AH174+IF($B$1+32&lt;=$B174,12*$B$9,-12*MAX(0,$B$8-IF($B$1+32&gt;=$B$23,$B$22,0))*(1+$B$4)^32)&gt;0,1+$B$3,1))</f>
        <v/>
      </c>
      <c r="AJ174">
        <f>IF($B$1+33&gt;90,AI174,(AI174+IF($B$1+33&lt;=$B174,12*$B$9,-12*MAX(0,$B$8-IF($B$1+33&gt;=$B$23,$B$22,0))*(1+$B$4)^33))*IF(AI174+IF($B$1+33&lt;=$B174,12*$B$9,-12*MAX(0,$B$8-IF($B$1+33&gt;=$B$23,$B$22,0))*(1+$B$4)^33)&gt;0,1+$B$3,1))</f>
        <v/>
      </c>
      <c r="AK174">
        <f>IF($B$1+34&gt;90,AJ174,(AJ174+IF($B$1+34&lt;=$B174,12*$B$9,-12*MAX(0,$B$8-IF($B$1+34&gt;=$B$23,$B$22,0))*(1+$B$4)^34))*IF(AJ174+IF($B$1+34&lt;=$B174,12*$B$9,-12*MAX(0,$B$8-IF($B$1+34&gt;=$B$23,$B$22,0))*(1+$B$4)^34)&gt;0,1+$B$3,1))</f>
        <v/>
      </c>
      <c r="AL174">
        <f>IF($B$1+35&gt;90,AK174,(AK174+IF($B$1+35&lt;=$B174,12*$B$9,-12*MAX(0,$B$8-IF($B$1+35&gt;=$B$23,$B$22,0))*(1+$B$4)^35))*IF(AK174+IF($B$1+35&lt;=$B174,12*$B$9,-12*MAX(0,$B$8-IF($B$1+35&gt;=$B$23,$B$22,0))*(1+$B$4)^35)&gt;0,1+$B$3,1))</f>
        <v/>
      </c>
      <c r="AM174">
        <f>IF($B$1+36&gt;90,AL174,(AL174+IF($B$1+36&lt;=$B174,12*$B$9,-12*MAX(0,$B$8-IF($B$1+36&gt;=$B$23,$B$22,0))*(1+$B$4)^36))*IF(AL174+IF($B$1+36&lt;=$B174,12*$B$9,-12*MAX(0,$B$8-IF($B$1+36&gt;=$B$23,$B$22,0))*(1+$B$4)^36)&gt;0,1+$B$3,1))</f>
        <v/>
      </c>
      <c r="AN174">
        <f>IF($B$1+37&gt;90,AM174,(AM174+IF($B$1+37&lt;=$B174,12*$B$9,-12*MAX(0,$B$8-IF($B$1+37&gt;=$B$23,$B$22,0))*(1+$B$4)^37))*IF(AM174+IF($B$1+37&lt;=$B174,12*$B$9,-12*MAX(0,$B$8-IF($B$1+37&gt;=$B$23,$B$22,0))*(1+$B$4)^37)&gt;0,1+$B$3,1))</f>
        <v/>
      </c>
      <c r="AO174">
        <f>IF($B$1+38&gt;90,AN174,(AN174+IF($B$1+38&lt;=$B174,12*$B$9,-12*MAX(0,$B$8-IF($B$1+38&gt;=$B$23,$B$22,0))*(1+$B$4)^38))*IF(AN174+IF($B$1+38&lt;=$B174,12*$B$9,-12*MAX(0,$B$8-IF($B$1+38&gt;=$B$23,$B$22,0))*(1+$B$4)^38)&gt;0,1+$B$3,1))</f>
        <v/>
      </c>
      <c r="AP174">
        <f>IF($B$1+39&gt;90,AO174,(AO174+IF($B$1+39&lt;=$B174,12*$B$9,-12*MAX(0,$B$8-IF($B$1+39&gt;=$B$23,$B$22,0))*(1+$B$4)^39))*IF(AO174+IF($B$1+39&lt;=$B174,12*$B$9,-12*MAX(0,$B$8-IF($B$1+39&gt;=$B$23,$B$22,0))*(1+$B$4)^39)&gt;0,1+$B$3,1))</f>
        <v/>
      </c>
      <c r="AQ174">
        <f>IF($B$1+40&gt;90,AP174,(AP174+IF($B$1+40&lt;=$B174,12*$B$9,-12*MAX(0,$B$8-IF($B$1+40&gt;=$B$23,$B$22,0))*(1+$B$4)^40))*IF(AP174+IF($B$1+40&lt;=$B174,12*$B$9,-12*MAX(0,$B$8-IF($B$1+40&gt;=$B$23,$B$22,0))*(1+$B$4)^40)&gt;0,1+$B$3,1))</f>
        <v/>
      </c>
      <c r="AR174">
        <f>IF($B$1+41&gt;90,AQ174,(AQ174+IF($B$1+41&lt;=$B174,12*$B$9,-12*MAX(0,$B$8-IF($B$1+41&gt;=$B$23,$B$22,0))*(1+$B$4)^41))*IF(AQ174+IF($B$1+41&lt;=$B174,12*$B$9,-12*MAX(0,$B$8-IF($B$1+41&gt;=$B$23,$B$22,0))*(1+$B$4)^41)&gt;0,1+$B$3,1))</f>
        <v/>
      </c>
      <c r="AS174">
        <f>IF($B$1+42&gt;90,AR174,(AR174+IF($B$1+42&lt;=$B174,12*$B$9,-12*MAX(0,$B$8-IF($B$1+42&gt;=$B$23,$B$22,0))*(1+$B$4)^42))*IF(AR174+IF($B$1+42&lt;=$B174,12*$B$9,-12*MAX(0,$B$8-IF($B$1+42&gt;=$B$23,$B$22,0))*(1+$B$4)^42)&gt;0,1+$B$3,1))</f>
        <v/>
      </c>
      <c r="AT174">
        <f>IF($B$1+43&gt;90,AS174,(AS174+IF($B$1+43&lt;=$B174,12*$B$9,-12*MAX(0,$B$8-IF($B$1+43&gt;=$B$23,$B$22,0))*(1+$B$4)^43))*IF(AS174+IF($B$1+43&lt;=$B174,12*$B$9,-12*MAX(0,$B$8-IF($B$1+43&gt;=$B$23,$B$22,0))*(1+$B$4)^43)&gt;0,1+$B$3,1))</f>
        <v/>
      </c>
      <c r="AU174">
        <f>IF($B$1+44&gt;90,AT174,(AT174+IF($B$1+44&lt;=$B174,12*$B$9,-12*MAX(0,$B$8-IF($B$1+44&gt;=$B$23,$B$22,0))*(1+$B$4)^44))*IF(AT174+IF($B$1+44&lt;=$B174,12*$B$9,-12*MAX(0,$B$8-IF($B$1+44&gt;=$B$23,$B$22,0))*(1+$B$4)^44)&gt;0,1+$B$3,1))</f>
        <v/>
      </c>
      <c r="AV174">
        <f>IF($B$1+45&gt;90,AU174,(AU174+IF($B$1+45&lt;=$B174,12*$B$9,-12*MAX(0,$B$8-IF($B$1+45&gt;=$B$23,$B$22,0))*(1+$B$4)^45))*IF(AU174+IF($B$1+45&lt;=$B174,12*$B$9,-12*MAX(0,$B$8-IF($B$1+45&gt;=$B$23,$B$22,0))*(1+$B$4)^45)&gt;0,1+$B$3,1))</f>
        <v/>
      </c>
      <c r="AW174">
        <f>IF($B$1+46&gt;90,AV174,(AV174+IF($B$1+46&lt;=$B174,12*$B$9,-12*MAX(0,$B$8-IF($B$1+46&gt;=$B$23,$B$22,0))*(1+$B$4)^46))*IF(AV174+IF($B$1+46&lt;=$B174,12*$B$9,-12*MAX(0,$B$8-IF($B$1+46&gt;=$B$23,$B$22,0))*(1+$B$4)^46)&gt;0,1+$B$3,1))</f>
        <v/>
      </c>
      <c r="AX174">
        <f>IF($B$1+47&gt;90,AW174,(AW174+IF($B$1+47&lt;=$B174,12*$B$9,-12*MAX(0,$B$8-IF($B$1+47&gt;=$B$23,$B$22,0))*(1+$B$4)^47))*IF(AW174+IF($B$1+47&lt;=$B174,12*$B$9,-12*MAX(0,$B$8-IF($B$1+47&gt;=$B$23,$B$22,0))*(1+$B$4)^47)&gt;0,1+$B$3,1))</f>
        <v/>
      </c>
      <c r="AY174">
        <f>IF($B$1+48&gt;90,AX174,(AX174+IF($B$1+48&lt;=$B174,12*$B$9,-12*MAX(0,$B$8-IF($B$1+48&gt;=$B$23,$B$22,0))*(1+$B$4)^48))*IF(AX174+IF($B$1+48&lt;=$B174,12*$B$9,-12*MAX(0,$B$8-IF($B$1+48&gt;=$B$23,$B$22,0))*(1+$B$4)^48)&gt;0,1+$B$3,1))</f>
        <v/>
      </c>
      <c r="AZ174">
        <f>IF($B$1+49&gt;90,AY174,(AY174+IF($B$1+49&lt;=$B174,12*$B$9,-12*MAX(0,$B$8-IF($B$1+49&gt;=$B$23,$B$22,0))*(1+$B$4)^49))*IF(AY174+IF($B$1+49&lt;=$B174,12*$B$9,-12*MAX(0,$B$8-IF($B$1+49&gt;=$B$23,$B$22,0))*(1+$B$4)^49)&gt;0,1+$B$3,1))</f>
        <v/>
      </c>
      <c r="BA174">
        <f>IF($B$1+50&gt;90,AZ174,(AZ174+IF($B$1+50&lt;=$B174,12*$B$9,-12*MAX(0,$B$8-IF($B$1+50&gt;=$B$23,$B$22,0))*(1+$B$4)^50))*IF(AZ174+IF($B$1+50&lt;=$B174,12*$B$9,-12*MAX(0,$B$8-IF($B$1+50&gt;=$B$23,$B$22,0))*(1+$B$4)^50)&gt;0,1+$B$3,1))</f>
        <v/>
      </c>
      <c r="BB174">
        <f>IF($B$1+51&gt;90,BA174,(BA174+IF($B$1+51&lt;=$B174,12*$B$9,-12*MAX(0,$B$8-IF($B$1+51&gt;=$B$23,$B$22,0))*(1+$B$4)^51))*IF(BA174+IF($B$1+51&lt;=$B174,12*$B$9,-12*MAX(0,$B$8-IF($B$1+51&gt;=$B$23,$B$22,0))*(1+$B$4)^51)&gt;0,1+$B$3,1))</f>
        <v/>
      </c>
      <c r="BC174">
        <f>IF($B$1+52&gt;90,BB174,(BB174+IF($B$1+52&lt;=$B174,12*$B$9,-12*MAX(0,$B$8-IF($B$1+52&gt;=$B$23,$B$22,0))*(1+$B$4)^52))*IF(BB174+IF($B$1+52&lt;=$B174,12*$B$9,-12*MAX(0,$B$8-IF($B$1+52&gt;=$B$23,$B$22,0))*(1+$B$4)^52)&gt;0,1+$B$3,1))</f>
        <v/>
      </c>
      <c r="BD174">
        <f>IF($B$1+53&gt;90,BC174,(BC174+IF($B$1+53&lt;=$B174,12*$B$9,-12*MAX(0,$B$8-IF($B$1+53&gt;=$B$23,$B$22,0))*(1+$B$4)^53))*IF(BC174+IF($B$1+53&lt;=$B174,12*$B$9,-12*MAX(0,$B$8-IF($B$1+53&gt;=$B$23,$B$22,0))*(1+$B$4)^53)&gt;0,1+$B$3,1))</f>
        <v/>
      </c>
      <c r="BE174">
        <f>IF($B$1+54&gt;90,BD174,(BD174+IF($B$1+54&lt;=$B174,12*$B$9,-12*MAX(0,$B$8-IF($B$1+54&gt;=$B$23,$B$22,0))*(1+$B$4)^54))*IF(BD174+IF($B$1+54&lt;=$B174,12*$B$9,-12*MAX(0,$B$8-IF($B$1+54&gt;=$B$23,$B$22,0))*(1+$B$4)^54)&gt;0,1+$B$3,1))</f>
        <v/>
      </c>
      <c r="BF174">
        <f>IF($B$1+55&gt;90,BE174,(BE174+IF($B$1+55&lt;=$B174,12*$B$9,-12*MAX(0,$B$8-IF($B$1+55&gt;=$B$23,$B$22,0))*(1+$B$4)^55))*IF(BE174+IF($B$1+55&lt;=$B174,12*$B$9,-12*MAX(0,$B$8-IF($B$1+55&gt;=$B$23,$B$22,0))*(1+$B$4)^55)&gt;0,1+$B$3,1))</f>
        <v/>
      </c>
      <c r="BG174">
        <f>IF($B$1+56&gt;90,BF174,(BF174+IF($B$1+56&lt;=$B174,12*$B$9,-12*MAX(0,$B$8-IF($B$1+56&gt;=$B$23,$B$22,0))*(1+$B$4)^56))*IF(BF174+IF($B$1+56&lt;=$B174,12*$B$9,-12*MAX(0,$B$8-IF($B$1+56&gt;=$B$23,$B$22,0))*(1+$B$4)^56)&gt;0,1+$B$3,1))</f>
        <v/>
      </c>
      <c r="BH174">
        <f>IF($B$1+57&gt;90,BG174,(BG174+IF($B$1+57&lt;=$B174,12*$B$9,-12*MAX(0,$B$8-IF($B$1+57&gt;=$B$23,$B$22,0))*(1+$B$4)^57))*IF(BG174+IF($B$1+57&lt;=$B174,12*$B$9,-12*MAX(0,$B$8-IF($B$1+57&gt;=$B$23,$B$22,0))*(1+$B$4)^57)&gt;0,1+$B$3,1))</f>
        <v/>
      </c>
      <c r="BI174">
        <f>IF($B$1+58&gt;90,BH174,(BH174+IF($B$1+58&lt;=$B174,12*$B$9,-12*MAX(0,$B$8-IF($B$1+58&gt;=$B$23,$B$22,0))*(1+$B$4)^58))*IF(BH174+IF($B$1+58&lt;=$B174,12*$B$9,-12*MAX(0,$B$8-IF($B$1+58&gt;=$B$23,$B$22,0))*(1+$B$4)^58)&gt;0,1+$B$3,1))</f>
        <v/>
      </c>
      <c r="BJ174">
        <f>IF($B$1+59&gt;90,BI174,(BI174+IF($B$1+59&lt;=$B174,12*$B$9,-12*MAX(0,$B$8-IF($B$1+59&gt;=$B$23,$B$22,0))*(1+$B$4)^59))*IF(BI174+IF($B$1+59&lt;=$B174,12*$B$9,-12*MAX(0,$B$8-IF($B$1+59&gt;=$B$23,$B$22,0))*(1+$B$4)^59)&gt;0,1+$B$3,1))</f>
        <v/>
      </c>
      <c r="BK174">
        <f>IF($B$1+60&gt;90,BJ174,(BJ174+IF($B$1+60&lt;=$B174,12*$B$9,-12*MAX(0,$B$8-IF($B$1+60&gt;=$B$23,$B$22,0))*(1+$B$4)^60))*IF(BJ174+IF($B$1+60&lt;=$B174,12*$B$9,-12*MAX(0,$B$8-IF($B$1+60&gt;=$B$23,$B$22,0))*(1+$B$4)^60)&gt;0,1+$B$3,1))</f>
        <v/>
      </c>
      <c r="BL174">
        <f>IF($B$1+61&gt;90,BK174,(BK174+IF($B$1+61&lt;=$B174,12*$B$9,-12*MAX(0,$B$8-IF($B$1+61&gt;=$B$23,$B$22,0))*(1+$B$4)^61))*IF(BK174+IF($B$1+61&lt;=$B174,12*$B$9,-12*MAX(0,$B$8-IF($B$1+61&gt;=$B$23,$B$22,0))*(1+$B$4)^61)&gt;0,1+$B$3,1))</f>
        <v/>
      </c>
      <c r="BM174">
        <f>IF($B$1+62&gt;90,BL174,(BL174+IF($B$1+62&lt;=$B174,12*$B$9,-12*MAX(0,$B$8-IF($B$1+62&gt;=$B$23,$B$22,0))*(1+$B$4)^62))*IF(BL174+IF($B$1+62&lt;=$B174,12*$B$9,-12*MAX(0,$B$8-IF($B$1+62&gt;=$B$23,$B$22,0))*(1+$B$4)^62)&gt;0,1+$B$3,1))</f>
        <v/>
      </c>
      <c r="BN174">
        <f>IF($B$1+63&gt;90,BM174,(BM174+IF($B$1+63&lt;=$B174,12*$B$9,-12*MAX(0,$B$8-IF($B$1+63&gt;=$B$23,$B$22,0))*(1+$B$4)^63))*IF(BM174+IF($B$1+63&lt;=$B174,12*$B$9,-12*MAX(0,$B$8-IF($B$1+63&gt;=$B$23,$B$22,0))*(1+$B$4)^63)&gt;0,1+$B$3,1))</f>
        <v/>
      </c>
      <c r="BO174">
        <f>IF($B$1+64&gt;90,BN174,(BN174+IF($B$1+64&lt;=$B174,12*$B$9,-12*MAX(0,$B$8-IF($B$1+64&gt;=$B$23,$B$22,0))*(1+$B$4)^64))*IF(BN174+IF($B$1+64&lt;=$B174,12*$B$9,-12*MAX(0,$B$8-IF($B$1+64&gt;=$B$23,$B$22,0))*(1+$B$4)^64)&gt;0,1+$B$3,1))</f>
        <v/>
      </c>
      <c r="BP174">
        <f>IF($B$1+65&gt;90,BO174,(BO174+IF($B$1+65&lt;=$B174,12*$B$9,-12*MAX(0,$B$8-IF($B$1+65&gt;=$B$23,$B$22,0))*(1+$B$4)^65))*IF(BO174+IF($B$1+65&lt;=$B174,12*$B$9,-12*MAX(0,$B$8-IF($B$1+65&gt;=$B$23,$B$22,0))*(1+$B$4)^65)&gt;0,1+$B$3,1))</f>
        <v/>
      </c>
      <c r="BQ174">
        <f>IF($B$1+66&gt;90,BP174,(BP174+IF($B$1+66&lt;=$B174,12*$B$9,-12*MAX(0,$B$8-IF($B$1+66&gt;=$B$23,$B$22,0))*(1+$B$4)^66))*IF(BP174+IF($B$1+66&lt;=$B174,12*$B$9,-12*MAX(0,$B$8-IF($B$1+66&gt;=$B$23,$B$22,0))*(1+$B$4)^66)&gt;0,1+$B$3,1))</f>
        <v/>
      </c>
      <c r="BR174">
        <f>IF($B$1+67&gt;90,BQ174,(BQ174+IF($B$1+67&lt;=$B174,12*$B$9,-12*MAX(0,$B$8-IF($B$1+67&gt;=$B$23,$B$22,0))*(1+$B$4)^67))*IF(BQ174+IF($B$1+67&lt;=$B174,12*$B$9,-12*MAX(0,$B$8-IF($B$1+67&gt;=$B$23,$B$22,0))*(1+$B$4)^67)&gt;0,1+$B$3,1))</f>
        <v/>
      </c>
      <c r="BS174">
        <f>IF($B$1+68&gt;90,BR174,(BR174+IF($B$1+68&lt;=$B174,12*$B$9,-12*MAX(0,$B$8-IF($B$1+68&gt;=$B$23,$B$22,0))*(1+$B$4)^68))*IF(BR174+IF($B$1+68&lt;=$B174,12*$B$9,-12*MAX(0,$B$8-IF($B$1+68&gt;=$B$23,$B$22,0))*(1+$B$4)^68)&gt;0,1+$B$3,1))</f>
        <v/>
      </c>
      <c r="BT174">
        <f>IF($B$1+69&gt;90,BS174,(BS174+IF($B$1+69&lt;=$B174,12*$B$9,-12*MAX(0,$B$8-IF($B$1+69&gt;=$B$23,$B$22,0))*(1+$B$4)^69))*IF(BS174+IF($B$1+69&lt;=$B174,12*$B$9,-12*MAX(0,$B$8-IF($B$1+69&gt;=$B$23,$B$22,0))*(1+$B$4)^69)&gt;0,1+$B$3,1))</f>
        <v/>
      </c>
      <c r="BU174">
        <f>IF($B$1+70&gt;90,BT174,(BT174+IF($B$1+70&lt;=$B174,12*$B$9,-12*MAX(0,$B$8-IF($B$1+70&gt;=$B$23,$B$22,0))*(1+$B$4)^70))*IF(BT174+IF($B$1+70&lt;=$B174,12*$B$9,-12*MAX(0,$B$8-IF($B$1+70&gt;=$B$23,$B$22,0))*(1+$B$4)^70)&gt;0,1+$B$3,1))</f>
        <v/>
      </c>
      <c r="BV174">
        <f>BU174</f>
        <v/>
      </c>
      <c r="BW174">
        <f>IF(AND($B174&lt;=70,BV174&gt;0),$B174,999)</f>
        <v/>
      </c>
      <c r="CH174">
        <f>IF(ISTEXT('월 가계부'!A174),SUBSTITUTE(SUBSTITUTE(SUBSTITUTE(SUBSTITUTE(SUBSTITUTE(SUBSTITUTE(SUBSTITUTE(SUBSTITUTE(SUBSTITUTE(TRIM('월 가계부'!A174),"년","-"),"월","-"),"일",""),".","-"),"/","-")," ","-"),"--","-"),"--","-"),"--","-")&amp;"-","")</f>
        <v/>
      </c>
      <c r="CI174">
        <f>IFERROR(IF('월 가계부'!A174="","",IF(ISNUMBER('월 가계부'!A174),IF(AND('월 가계부'!A174&gt;=19000101,'월 가계부'!A174&lt;=21001231),IF(AND(MOD(INT('월 가계부'!A174/100),100)&gt;=1,MOD(INT('월 가계부'!A174/100),100)&lt;=12,MOD(INT('월 가계부'!A174),100)&gt;=1,MOD(INT('월 가계부'!A174),100)&lt;=31),IF(MONTH(DATE(INT('월 가계부'!A174/10000),MOD(INT('월 가계부'!A174/100),100),MOD(INT('월 가계부'!A174),100)))=MOD(INT('월 가계부'!A174/100),100),DATE(INT('월 가계부'!A174/10000),MOD(INT('월 가계부'!A174/100),100),MOD(INT('월 가계부'!A174),100)),""),""),IF(AND('월 가계부'!A174&gt;=36526,'월 가계부'!A174&lt;73051),INT('월 가계부'!A174),"")),IF(OR(CM174="",CN174="",CO174=""),"",IF(AND(CM174&gt;=2000,CM174&lt;=2099,CN174&gt;=1,CN174&lt;=12,CO174&gt;=1,CO174&lt;=31),IF(MONTH(DATE(CM174,CN174,CO174))=CN174,DATE(CM174,CN174,CO174),""),"")))),"")</f>
        <v/>
      </c>
      <c r="CJ174">
        <f>IFERROR(IF('월 가계부'!C174="","",IF(ISNUMBER('월 가계부'!C174),'월 가계부'!C174,VALUE(SUBSTITUTE(SUBSTITUTE(SUBSTITUTE(SUBSTITUTE(TRIM('월 가계부'!C174),",",""),"원","")," ",""),"−","-")))),"")</f>
        <v/>
      </c>
      <c r="CK174">
        <f>IF(ISNUMBER(CI174),IF(CI174&lt;$B$13,CI174,""),"")</f>
        <v/>
      </c>
      <c r="CM174">
        <f>IF(CH174="","",IFERROR(IF(IF(AND(LEN(CH174)=9,ISERROR(FIND("-",LEFT(CH174,8))),ISNUMBER(-LEFT(CH174,8))),VALUE(LEFT(CH174,4)),VALUE(LEFT(CH174,FIND("-",CH174)-1)))&lt;100,IF(AND(LEN(CH174)=9,ISERROR(FIND("-",LEFT(CH174,8))),ISNUMBER(-LEFT(CH174,8))),VALUE(LEFT(CH174,4)),VALUE(LEFT(CH174,FIND("-",CH174)-1)))+2000,IF(AND(LEN(CH174)=9,ISERROR(FIND("-",LEFT(CH174,8))),ISNUMBER(-LEFT(CH174,8))),VALUE(LEFT(CH174,4)),VALUE(LEFT(CH174,FIND("-",CH174)-1)))),""))</f>
        <v/>
      </c>
      <c r="CN174">
        <f>IF(CH174="","",IFERROR(IF(AND(LEN(CH174)=9,ISERROR(FIND("-",LEFT(CH174,8))),ISNUMBER(-LEFT(CH174,8))),VALUE(MID(CH174,5,2)),VALUE(MID(CH174,FIND("-",CH174)+1,FIND("-",CH174,FIND("-",CH174)+1)-FIND("-",CH174)-1))),""))</f>
        <v/>
      </c>
      <c r="CO174">
        <f>IF(CH174="","",IFERROR(IF(AND(LEN(CH174)=9,ISERROR(FIND("-",LEFT(CH174,8))),ISNUMBER(-LEFT(CH174,8))),VALUE(MID(CH174,7,2)),VALUE(MID(CH174,FIND("-",CH174,FIND("-",CH174)+1)+1,FIND("-",CH174,FIND("-",CH174,FIND("-",CH174)+1)+1)-FIND("-",CH174,FIND("-",CH174)+1)-1))),""))</f>
        <v/>
      </c>
    </row>
    <row r="175">
      <c r="A175" t="n">
        <v>23</v>
      </c>
      <c r="B175">
        <f>$B$1+23</f>
        <v/>
      </c>
      <c r="C175">
        <f>$B$2</f>
        <v/>
      </c>
      <c r="D175">
        <f>IF($B$1+1&gt;90,C175,(C175+IF($B$1+1&lt;=$B175,12*$B$9,-12*MAX(0,$B$8-IF($B$1+1&gt;=$B$23,$B$22,0))*(1+$B$4)^1))*IF(C175+IF($B$1+1&lt;=$B175,12*$B$9,-12*MAX(0,$B$8-IF($B$1+1&gt;=$B$23,$B$22,0))*(1+$B$4)^1)&gt;0,1+$B$3,1))</f>
        <v/>
      </c>
      <c r="E175">
        <f>IF($B$1+2&gt;90,D175,(D175+IF($B$1+2&lt;=$B175,12*$B$9,-12*MAX(0,$B$8-IF($B$1+2&gt;=$B$23,$B$22,0))*(1+$B$4)^2))*IF(D175+IF($B$1+2&lt;=$B175,12*$B$9,-12*MAX(0,$B$8-IF($B$1+2&gt;=$B$23,$B$22,0))*(1+$B$4)^2)&gt;0,1+$B$3,1))</f>
        <v/>
      </c>
      <c r="F175">
        <f>IF($B$1+3&gt;90,E175,(E175+IF($B$1+3&lt;=$B175,12*$B$9,-12*MAX(0,$B$8-IF($B$1+3&gt;=$B$23,$B$22,0))*(1+$B$4)^3))*IF(E175+IF($B$1+3&lt;=$B175,12*$B$9,-12*MAX(0,$B$8-IF($B$1+3&gt;=$B$23,$B$22,0))*(1+$B$4)^3)&gt;0,1+$B$3,1))</f>
        <v/>
      </c>
      <c r="G175">
        <f>IF($B$1+4&gt;90,F175,(F175+IF($B$1+4&lt;=$B175,12*$B$9,-12*MAX(0,$B$8-IF($B$1+4&gt;=$B$23,$B$22,0))*(1+$B$4)^4))*IF(F175+IF($B$1+4&lt;=$B175,12*$B$9,-12*MAX(0,$B$8-IF($B$1+4&gt;=$B$23,$B$22,0))*(1+$B$4)^4)&gt;0,1+$B$3,1))</f>
        <v/>
      </c>
      <c r="H175">
        <f>IF($B$1+5&gt;90,G175,(G175+IF($B$1+5&lt;=$B175,12*$B$9,-12*MAX(0,$B$8-IF($B$1+5&gt;=$B$23,$B$22,0))*(1+$B$4)^5))*IF(G175+IF($B$1+5&lt;=$B175,12*$B$9,-12*MAX(0,$B$8-IF($B$1+5&gt;=$B$23,$B$22,0))*(1+$B$4)^5)&gt;0,1+$B$3,1))</f>
        <v/>
      </c>
      <c r="I175">
        <f>IF($B$1+6&gt;90,H175,(H175+IF($B$1+6&lt;=$B175,12*$B$9,-12*MAX(0,$B$8-IF($B$1+6&gt;=$B$23,$B$22,0))*(1+$B$4)^6))*IF(H175+IF($B$1+6&lt;=$B175,12*$B$9,-12*MAX(0,$B$8-IF($B$1+6&gt;=$B$23,$B$22,0))*(1+$B$4)^6)&gt;0,1+$B$3,1))</f>
        <v/>
      </c>
      <c r="J175">
        <f>IF($B$1+7&gt;90,I175,(I175+IF($B$1+7&lt;=$B175,12*$B$9,-12*MAX(0,$B$8-IF($B$1+7&gt;=$B$23,$B$22,0))*(1+$B$4)^7))*IF(I175+IF($B$1+7&lt;=$B175,12*$B$9,-12*MAX(0,$B$8-IF($B$1+7&gt;=$B$23,$B$22,0))*(1+$B$4)^7)&gt;0,1+$B$3,1))</f>
        <v/>
      </c>
      <c r="K175">
        <f>IF($B$1+8&gt;90,J175,(J175+IF($B$1+8&lt;=$B175,12*$B$9,-12*MAX(0,$B$8-IF($B$1+8&gt;=$B$23,$B$22,0))*(1+$B$4)^8))*IF(J175+IF($B$1+8&lt;=$B175,12*$B$9,-12*MAX(0,$B$8-IF($B$1+8&gt;=$B$23,$B$22,0))*(1+$B$4)^8)&gt;0,1+$B$3,1))</f>
        <v/>
      </c>
      <c r="L175">
        <f>IF($B$1+9&gt;90,K175,(K175+IF($B$1+9&lt;=$B175,12*$B$9,-12*MAX(0,$B$8-IF($B$1+9&gt;=$B$23,$B$22,0))*(1+$B$4)^9))*IF(K175+IF($B$1+9&lt;=$B175,12*$B$9,-12*MAX(0,$B$8-IF($B$1+9&gt;=$B$23,$B$22,0))*(1+$B$4)^9)&gt;0,1+$B$3,1))</f>
        <v/>
      </c>
      <c r="M175">
        <f>IF($B$1+10&gt;90,L175,(L175+IF($B$1+10&lt;=$B175,12*$B$9,-12*MAX(0,$B$8-IF($B$1+10&gt;=$B$23,$B$22,0))*(1+$B$4)^10))*IF(L175+IF($B$1+10&lt;=$B175,12*$B$9,-12*MAX(0,$B$8-IF($B$1+10&gt;=$B$23,$B$22,0))*(1+$B$4)^10)&gt;0,1+$B$3,1))</f>
        <v/>
      </c>
      <c r="N175">
        <f>IF($B$1+11&gt;90,M175,(M175+IF($B$1+11&lt;=$B175,12*$B$9,-12*MAX(0,$B$8-IF($B$1+11&gt;=$B$23,$B$22,0))*(1+$B$4)^11))*IF(M175+IF($B$1+11&lt;=$B175,12*$B$9,-12*MAX(0,$B$8-IF($B$1+11&gt;=$B$23,$B$22,0))*(1+$B$4)^11)&gt;0,1+$B$3,1))</f>
        <v/>
      </c>
      <c r="O175">
        <f>IF($B$1+12&gt;90,N175,(N175+IF($B$1+12&lt;=$B175,12*$B$9,-12*MAX(0,$B$8-IF($B$1+12&gt;=$B$23,$B$22,0))*(1+$B$4)^12))*IF(N175+IF($B$1+12&lt;=$B175,12*$B$9,-12*MAX(0,$B$8-IF($B$1+12&gt;=$B$23,$B$22,0))*(1+$B$4)^12)&gt;0,1+$B$3,1))</f>
        <v/>
      </c>
      <c r="P175">
        <f>IF($B$1+13&gt;90,O175,(O175+IF($B$1+13&lt;=$B175,12*$B$9,-12*MAX(0,$B$8-IF($B$1+13&gt;=$B$23,$B$22,0))*(1+$B$4)^13))*IF(O175+IF($B$1+13&lt;=$B175,12*$B$9,-12*MAX(0,$B$8-IF($B$1+13&gt;=$B$23,$B$22,0))*(1+$B$4)^13)&gt;0,1+$B$3,1))</f>
        <v/>
      </c>
      <c r="Q175">
        <f>IF($B$1+14&gt;90,P175,(P175+IF($B$1+14&lt;=$B175,12*$B$9,-12*MAX(0,$B$8-IF($B$1+14&gt;=$B$23,$B$22,0))*(1+$B$4)^14))*IF(P175+IF($B$1+14&lt;=$B175,12*$B$9,-12*MAX(0,$B$8-IF($B$1+14&gt;=$B$23,$B$22,0))*(1+$B$4)^14)&gt;0,1+$B$3,1))</f>
        <v/>
      </c>
      <c r="R175">
        <f>IF($B$1+15&gt;90,Q175,(Q175+IF($B$1+15&lt;=$B175,12*$B$9,-12*MAX(0,$B$8-IF($B$1+15&gt;=$B$23,$B$22,0))*(1+$B$4)^15))*IF(Q175+IF($B$1+15&lt;=$B175,12*$B$9,-12*MAX(0,$B$8-IF($B$1+15&gt;=$B$23,$B$22,0))*(1+$B$4)^15)&gt;0,1+$B$3,1))</f>
        <v/>
      </c>
      <c r="S175">
        <f>IF($B$1+16&gt;90,R175,(R175+IF($B$1+16&lt;=$B175,12*$B$9,-12*MAX(0,$B$8-IF($B$1+16&gt;=$B$23,$B$22,0))*(1+$B$4)^16))*IF(R175+IF($B$1+16&lt;=$B175,12*$B$9,-12*MAX(0,$B$8-IF($B$1+16&gt;=$B$23,$B$22,0))*(1+$B$4)^16)&gt;0,1+$B$3,1))</f>
        <v/>
      </c>
      <c r="T175">
        <f>IF($B$1+17&gt;90,S175,(S175+IF($B$1+17&lt;=$B175,12*$B$9,-12*MAX(0,$B$8-IF($B$1+17&gt;=$B$23,$B$22,0))*(1+$B$4)^17))*IF(S175+IF($B$1+17&lt;=$B175,12*$B$9,-12*MAX(0,$B$8-IF($B$1+17&gt;=$B$23,$B$22,0))*(1+$B$4)^17)&gt;0,1+$B$3,1))</f>
        <v/>
      </c>
      <c r="U175">
        <f>IF($B$1+18&gt;90,T175,(T175+IF($B$1+18&lt;=$B175,12*$B$9,-12*MAX(0,$B$8-IF($B$1+18&gt;=$B$23,$B$22,0))*(1+$B$4)^18))*IF(T175+IF($B$1+18&lt;=$B175,12*$B$9,-12*MAX(0,$B$8-IF($B$1+18&gt;=$B$23,$B$22,0))*(1+$B$4)^18)&gt;0,1+$B$3,1))</f>
        <v/>
      </c>
      <c r="V175">
        <f>IF($B$1+19&gt;90,U175,(U175+IF($B$1+19&lt;=$B175,12*$B$9,-12*MAX(0,$B$8-IF($B$1+19&gt;=$B$23,$B$22,0))*(1+$B$4)^19))*IF(U175+IF($B$1+19&lt;=$B175,12*$B$9,-12*MAX(0,$B$8-IF($B$1+19&gt;=$B$23,$B$22,0))*(1+$B$4)^19)&gt;0,1+$B$3,1))</f>
        <v/>
      </c>
      <c r="W175">
        <f>IF($B$1+20&gt;90,V175,(V175+IF($B$1+20&lt;=$B175,12*$B$9,-12*MAX(0,$B$8-IF($B$1+20&gt;=$B$23,$B$22,0))*(1+$B$4)^20))*IF(V175+IF($B$1+20&lt;=$B175,12*$B$9,-12*MAX(0,$B$8-IF($B$1+20&gt;=$B$23,$B$22,0))*(1+$B$4)^20)&gt;0,1+$B$3,1))</f>
        <v/>
      </c>
      <c r="X175">
        <f>IF($B$1+21&gt;90,W175,(W175+IF($B$1+21&lt;=$B175,12*$B$9,-12*MAX(0,$B$8-IF($B$1+21&gt;=$B$23,$B$22,0))*(1+$B$4)^21))*IF(W175+IF($B$1+21&lt;=$B175,12*$B$9,-12*MAX(0,$B$8-IF($B$1+21&gt;=$B$23,$B$22,0))*(1+$B$4)^21)&gt;0,1+$B$3,1))</f>
        <v/>
      </c>
      <c r="Y175">
        <f>IF($B$1+22&gt;90,X175,(X175+IF($B$1+22&lt;=$B175,12*$B$9,-12*MAX(0,$B$8-IF($B$1+22&gt;=$B$23,$B$22,0))*(1+$B$4)^22))*IF(X175+IF($B$1+22&lt;=$B175,12*$B$9,-12*MAX(0,$B$8-IF($B$1+22&gt;=$B$23,$B$22,0))*(1+$B$4)^22)&gt;0,1+$B$3,1))</f>
        <v/>
      </c>
      <c r="Z175">
        <f>IF($B$1+23&gt;90,Y175,(Y175+IF($B$1+23&lt;=$B175,12*$B$9,-12*MAX(0,$B$8-IF($B$1+23&gt;=$B$23,$B$22,0))*(1+$B$4)^23))*IF(Y175+IF($B$1+23&lt;=$B175,12*$B$9,-12*MAX(0,$B$8-IF($B$1+23&gt;=$B$23,$B$22,0))*(1+$B$4)^23)&gt;0,1+$B$3,1))</f>
        <v/>
      </c>
      <c r="AA175">
        <f>IF($B$1+24&gt;90,Z175,(Z175+IF($B$1+24&lt;=$B175,12*$B$9,-12*MAX(0,$B$8-IF($B$1+24&gt;=$B$23,$B$22,0))*(1+$B$4)^24))*IF(Z175+IF($B$1+24&lt;=$B175,12*$B$9,-12*MAX(0,$B$8-IF($B$1+24&gt;=$B$23,$B$22,0))*(1+$B$4)^24)&gt;0,1+$B$3,1))</f>
        <v/>
      </c>
      <c r="AB175">
        <f>IF($B$1+25&gt;90,AA175,(AA175+IF($B$1+25&lt;=$B175,12*$B$9,-12*MAX(0,$B$8-IF($B$1+25&gt;=$B$23,$B$22,0))*(1+$B$4)^25))*IF(AA175+IF($B$1+25&lt;=$B175,12*$B$9,-12*MAX(0,$B$8-IF($B$1+25&gt;=$B$23,$B$22,0))*(1+$B$4)^25)&gt;0,1+$B$3,1))</f>
        <v/>
      </c>
      <c r="AC175">
        <f>IF($B$1+26&gt;90,AB175,(AB175+IF($B$1+26&lt;=$B175,12*$B$9,-12*MAX(0,$B$8-IF($B$1+26&gt;=$B$23,$B$22,0))*(1+$B$4)^26))*IF(AB175+IF($B$1+26&lt;=$B175,12*$B$9,-12*MAX(0,$B$8-IF($B$1+26&gt;=$B$23,$B$22,0))*(1+$B$4)^26)&gt;0,1+$B$3,1))</f>
        <v/>
      </c>
      <c r="AD175">
        <f>IF($B$1+27&gt;90,AC175,(AC175+IF($B$1+27&lt;=$B175,12*$B$9,-12*MAX(0,$B$8-IF($B$1+27&gt;=$B$23,$B$22,0))*(1+$B$4)^27))*IF(AC175+IF($B$1+27&lt;=$B175,12*$B$9,-12*MAX(0,$B$8-IF($B$1+27&gt;=$B$23,$B$22,0))*(1+$B$4)^27)&gt;0,1+$B$3,1))</f>
        <v/>
      </c>
      <c r="AE175">
        <f>IF($B$1+28&gt;90,AD175,(AD175+IF($B$1+28&lt;=$B175,12*$B$9,-12*MAX(0,$B$8-IF($B$1+28&gt;=$B$23,$B$22,0))*(1+$B$4)^28))*IF(AD175+IF($B$1+28&lt;=$B175,12*$B$9,-12*MAX(0,$B$8-IF($B$1+28&gt;=$B$23,$B$22,0))*(1+$B$4)^28)&gt;0,1+$B$3,1))</f>
        <v/>
      </c>
      <c r="AF175">
        <f>IF($B$1+29&gt;90,AE175,(AE175+IF($B$1+29&lt;=$B175,12*$B$9,-12*MAX(0,$B$8-IF($B$1+29&gt;=$B$23,$B$22,0))*(1+$B$4)^29))*IF(AE175+IF($B$1+29&lt;=$B175,12*$B$9,-12*MAX(0,$B$8-IF($B$1+29&gt;=$B$23,$B$22,0))*(1+$B$4)^29)&gt;0,1+$B$3,1))</f>
        <v/>
      </c>
      <c r="AG175">
        <f>IF($B$1+30&gt;90,AF175,(AF175+IF($B$1+30&lt;=$B175,12*$B$9,-12*MAX(0,$B$8-IF($B$1+30&gt;=$B$23,$B$22,0))*(1+$B$4)^30))*IF(AF175+IF($B$1+30&lt;=$B175,12*$B$9,-12*MAX(0,$B$8-IF($B$1+30&gt;=$B$23,$B$22,0))*(1+$B$4)^30)&gt;0,1+$B$3,1))</f>
        <v/>
      </c>
      <c r="AH175">
        <f>IF($B$1+31&gt;90,AG175,(AG175+IF($B$1+31&lt;=$B175,12*$B$9,-12*MAX(0,$B$8-IF($B$1+31&gt;=$B$23,$B$22,0))*(1+$B$4)^31))*IF(AG175+IF($B$1+31&lt;=$B175,12*$B$9,-12*MAX(0,$B$8-IF($B$1+31&gt;=$B$23,$B$22,0))*(1+$B$4)^31)&gt;0,1+$B$3,1))</f>
        <v/>
      </c>
      <c r="AI175">
        <f>IF($B$1+32&gt;90,AH175,(AH175+IF($B$1+32&lt;=$B175,12*$B$9,-12*MAX(0,$B$8-IF($B$1+32&gt;=$B$23,$B$22,0))*(1+$B$4)^32))*IF(AH175+IF($B$1+32&lt;=$B175,12*$B$9,-12*MAX(0,$B$8-IF($B$1+32&gt;=$B$23,$B$22,0))*(1+$B$4)^32)&gt;0,1+$B$3,1))</f>
        <v/>
      </c>
      <c r="AJ175">
        <f>IF($B$1+33&gt;90,AI175,(AI175+IF($B$1+33&lt;=$B175,12*$B$9,-12*MAX(0,$B$8-IF($B$1+33&gt;=$B$23,$B$22,0))*(1+$B$4)^33))*IF(AI175+IF($B$1+33&lt;=$B175,12*$B$9,-12*MAX(0,$B$8-IF($B$1+33&gt;=$B$23,$B$22,0))*(1+$B$4)^33)&gt;0,1+$B$3,1))</f>
        <v/>
      </c>
      <c r="AK175">
        <f>IF($B$1+34&gt;90,AJ175,(AJ175+IF($B$1+34&lt;=$B175,12*$B$9,-12*MAX(0,$B$8-IF($B$1+34&gt;=$B$23,$B$22,0))*(1+$B$4)^34))*IF(AJ175+IF($B$1+34&lt;=$B175,12*$B$9,-12*MAX(0,$B$8-IF($B$1+34&gt;=$B$23,$B$22,0))*(1+$B$4)^34)&gt;0,1+$B$3,1))</f>
        <v/>
      </c>
      <c r="AL175">
        <f>IF($B$1+35&gt;90,AK175,(AK175+IF($B$1+35&lt;=$B175,12*$B$9,-12*MAX(0,$B$8-IF($B$1+35&gt;=$B$23,$B$22,0))*(1+$B$4)^35))*IF(AK175+IF($B$1+35&lt;=$B175,12*$B$9,-12*MAX(0,$B$8-IF($B$1+35&gt;=$B$23,$B$22,0))*(1+$B$4)^35)&gt;0,1+$B$3,1))</f>
        <v/>
      </c>
      <c r="AM175">
        <f>IF($B$1+36&gt;90,AL175,(AL175+IF($B$1+36&lt;=$B175,12*$B$9,-12*MAX(0,$B$8-IF($B$1+36&gt;=$B$23,$B$22,0))*(1+$B$4)^36))*IF(AL175+IF($B$1+36&lt;=$B175,12*$B$9,-12*MAX(0,$B$8-IF($B$1+36&gt;=$B$23,$B$22,0))*(1+$B$4)^36)&gt;0,1+$B$3,1))</f>
        <v/>
      </c>
      <c r="AN175">
        <f>IF($B$1+37&gt;90,AM175,(AM175+IF($B$1+37&lt;=$B175,12*$B$9,-12*MAX(0,$B$8-IF($B$1+37&gt;=$B$23,$B$22,0))*(1+$B$4)^37))*IF(AM175+IF($B$1+37&lt;=$B175,12*$B$9,-12*MAX(0,$B$8-IF($B$1+37&gt;=$B$23,$B$22,0))*(1+$B$4)^37)&gt;0,1+$B$3,1))</f>
        <v/>
      </c>
      <c r="AO175">
        <f>IF($B$1+38&gt;90,AN175,(AN175+IF($B$1+38&lt;=$B175,12*$B$9,-12*MAX(0,$B$8-IF($B$1+38&gt;=$B$23,$B$22,0))*(1+$B$4)^38))*IF(AN175+IF($B$1+38&lt;=$B175,12*$B$9,-12*MAX(0,$B$8-IF($B$1+38&gt;=$B$23,$B$22,0))*(1+$B$4)^38)&gt;0,1+$B$3,1))</f>
        <v/>
      </c>
      <c r="AP175">
        <f>IF($B$1+39&gt;90,AO175,(AO175+IF($B$1+39&lt;=$B175,12*$B$9,-12*MAX(0,$B$8-IF($B$1+39&gt;=$B$23,$B$22,0))*(1+$B$4)^39))*IF(AO175+IF($B$1+39&lt;=$B175,12*$B$9,-12*MAX(0,$B$8-IF($B$1+39&gt;=$B$23,$B$22,0))*(1+$B$4)^39)&gt;0,1+$B$3,1))</f>
        <v/>
      </c>
      <c r="AQ175">
        <f>IF($B$1+40&gt;90,AP175,(AP175+IF($B$1+40&lt;=$B175,12*$B$9,-12*MAX(0,$B$8-IF($B$1+40&gt;=$B$23,$B$22,0))*(1+$B$4)^40))*IF(AP175+IF($B$1+40&lt;=$B175,12*$B$9,-12*MAX(0,$B$8-IF($B$1+40&gt;=$B$23,$B$22,0))*(1+$B$4)^40)&gt;0,1+$B$3,1))</f>
        <v/>
      </c>
      <c r="AR175">
        <f>IF($B$1+41&gt;90,AQ175,(AQ175+IF($B$1+41&lt;=$B175,12*$B$9,-12*MAX(0,$B$8-IF($B$1+41&gt;=$B$23,$B$22,0))*(1+$B$4)^41))*IF(AQ175+IF($B$1+41&lt;=$B175,12*$B$9,-12*MAX(0,$B$8-IF($B$1+41&gt;=$B$23,$B$22,0))*(1+$B$4)^41)&gt;0,1+$B$3,1))</f>
        <v/>
      </c>
      <c r="AS175">
        <f>IF($B$1+42&gt;90,AR175,(AR175+IF($B$1+42&lt;=$B175,12*$B$9,-12*MAX(0,$B$8-IF($B$1+42&gt;=$B$23,$B$22,0))*(1+$B$4)^42))*IF(AR175+IF($B$1+42&lt;=$B175,12*$B$9,-12*MAX(0,$B$8-IF($B$1+42&gt;=$B$23,$B$22,0))*(1+$B$4)^42)&gt;0,1+$B$3,1))</f>
        <v/>
      </c>
      <c r="AT175">
        <f>IF($B$1+43&gt;90,AS175,(AS175+IF($B$1+43&lt;=$B175,12*$B$9,-12*MAX(0,$B$8-IF($B$1+43&gt;=$B$23,$B$22,0))*(1+$B$4)^43))*IF(AS175+IF($B$1+43&lt;=$B175,12*$B$9,-12*MAX(0,$B$8-IF($B$1+43&gt;=$B$23,$B$22,0))*(1+$B$4)^43)&gt;0,1+$B$3,1))</f>
        <v/>
      </c>
      <c r="AU175">
        <f>IF($B$1+44&gt;90,AT175,(AT175+IF($B$1+44&lt;=$B175,12*$B$9,-12*MAX(0,$B$8-IF($B$1+44&gt;=$B$23,$B$22,0))*(1+$B$4)^44))*IF(AT175+IF($B$1+44&lt;=$B175,12*$B$9,-12*MAX(0,$B$8-IF($B$1+44&gt;=$B$23,$B$22,0))*(1+$B$4)^44)&gt;0,1+$B$3,1))</f>
        <v/>
      </c>
      <c r="AV175">
        <f>IF($B$1+45&gt;90,AU175,(AU175+IF($B$1+45&lt;=$B175,12*$B$9,-12*MAX(0,$B$8-IF($B$1+45&gt;=$B$23,$B$22,0))*(1+$B$4)^45))*IF(AU175+IF($B$1+45&lt;=$B175,12*$B$9,-12*MAX(0,$B$8-IF($B$1+45&gt;=$B$23,$B$22,0))*(1+$B$4)^45)&gt;0,1+$B$3,1))</f>
        <v/>
      </c>
      <c r="AW175">
        <f>IF($B$1+46&gt;90,AV175,(AV175+IF($B$1+46&lt;=$B175,12*$B$9,-12*MAX(0,$B$8-IF($B$1+46&gt;=$B$23,$B$22,0))*(1+$B$4)^46))*IF(AV175+IF($B$1+46&lt;=$B175,12*$B$9,-12*MAX(0,$B$8-IF($B$1+46&gt;=$B$23,$B$22,0))*(1+$B$4)^46)&gt;0,1+$B$3,1))</f>
        <v/>
      </c>
      <c r="AX175">
        <f>IF($B$1+47&gt;90,AW175,(AW175+IF($B$1+47&lt;=$B175,12*$B$9,-12*MAX(0,$B$8-IF($B$1+47&gt;=$B$23,$B$22,0))*(1+$B$4)^47))*IF(AW175+IF($B$1+47&lt;=$B175,12*$B$9,-12*MAX(0,$B$8-IF($B$1+47&gt;=$B$23,$B$22,0))*(1+$B$4)^47)&gt;0,1+$B$3,1))</f>
        <v/>
      </c>
      <c r="AY175">
        <f>IF($B$1+48&gt;90,AX175,(AX175+IF($B$1+48&lt;=$B175,12*$B$9,-12*MAX(0,$B$8-IF($B$1+48&gt;=$B$23,$B$22,0))*(1+$B$4)^48))*IF(AX175+IF($B$1+48&lt;=$B175,12*$B$9,-12*MAX(0,$B$8-IF($B$1+48&gt;=$B$23,$B$22,0))*(1+$B$4)^48)&gt;0,1+$B$3,1))</f>
        <v/>
      </c>
      <c r="AZ175">
        <f>IF($B$1+49&gt;90,AY175,(AY175+IF($B$1+49&lt;=$B175,12*$B$9,-12*MAX(0,$B$8-IF($B$1+49&gt;=$B$23,$B$22,0))*(1+$B$4)^49))*IF(AY175+IF($B$1+49&lt;=$B175,12*$B$9,-12*MAX(0,$B$8-IF($B$1+49&gt;=$B$23,$B$22,0))*(1+$B$4)^49)&gt;0,1+$B$3,1))</f>
        <v/>
      </c>
      <c r="BA175">
        <f>IF($B$1+50&gt;90,AZ175,(AZ175+IF($B$1+50&lt;=$B175,12*$B$9,-12*MAX(0,$B$8-IF($B$1+50&gt;=$B$23,$B$22,0))*(1+$B$4)^50))*IF(AZ175+IF($B$1+50&lt;=$B175,12*$B$9,-12*MAX(0,$B$8-IF($B$1+50&gt;=$B$23,$B$22,0))*(1+$B$4)^50)&gt;0,1+$B$3,1))</f>
        <v/>
      </c>
      <c r="BB175">
        <f>IF($B$1+51&gt;90,BA175,(BA175+IF($B$1+51&lt;=$B175,12*$B$9,-12*MAX(0,$B$8-IF($B$1+51&gt;=$B$23,$B$22,0))*(1+$B$4)^51))*IF(BA175+IF($B$1+51&lt;=$B175,12*$B$9,-12*MAX(0,$B$8-IF($B$1+51&gt;=$B$23,$B$22,0))*(1+$B$4)^51)&gt;0,1+$B$3,1))</f>
        <v/>
      </c>
      <c r="BC175">
        <f>IF($B$1+52&gt;90,BB175,(BB175+IF($B$1+52&lt;=$B175,12*$B$9,-12*MAX(0,$B$8-IF($B$1+52&gt;=$B$23,$B$22,0))*(1+$B$4)^52))*IF(BB175+IF($B$1+52&lt;=$B175,12*$B$9,-12*MAX(0,$B$8-IF($B$1+52&gt;=$B$23,$B$22,0))*(1+$B$4)^52)&gt;0,1+$B$3,1))</f>
        <v/>
      </c>
      <c r="BD175">
        <f>IF($B$1+53&gt;90,BC175,(BC175+IF($B$1+53&lt;=$B175,12*$B$9,-12*MAX(0,$B$8-IF($B$1+53&gt;=$B$23,$B$22,0))*(1+$B$4)^53))*IF(BC175+IF($B$1+53&lt;=$B175,12*$B$9,-12*MAX(0,$B$8-IF($B$1+53&gt;=$B$23,$B$22,0))*(1+$B$4)^53)&gt;0,1+$B$3,1))</f>
        <v/>
      </c>
      <c r="BE175">
        <f>IF($B$1+54&gt;90,BD175,(BD175+IF($B$1+54&lt;=$B175,12*$B$9,-12*MAX(0,$B$8-IF($B$1+54&gt;=$B$23,$B$22,0))*(1+$B$4)^54))*IF(BD175+IF($B$1+54&lt;=$B175,12*$B$9,-12*MAX(0,$B$8-IF($B$1+54&gt;=$B$23,$B$22,0))*(1+$B$4)^54)&gt;0,1+$B$3,1))</f>
        <v/>
      </c>
      <c r="BF175">
        <f>IF($B$1+55&gt;90,BE175,(BE175+IF($B$1+55&lt;=$B175,12*$B$9,-12*MAX(0,$B$8-IF($B$1+55&gt;=$B$23,$B$22,0))*(1+$B$4)^55))*IF(BE175+IF($B$1+55&lt;=$B175,12*$B$9,-12*MAX(0,$B$8-IF($B$1+55&gt;=$B$23,$B$22,0))*(1+$B$4)^55)&gt;0,1+$B$3,1))</f>
        <v/>
      </c>
      <c r="BG175">
        <f>IF($B$1+56&gt;90,BF175,(BF175+IF($B$1+56&lt;=$B175,12*$B$9,-12*MAX(0,$B$8-IF($B$1+56&gt;=$B$23,$B$22,0))*(1+$B$4)^56))*IF(BF175+IF($B$1+56&lt;=$B175,12*$B$9,-12*MAX(0,$B$8-IF($B$1+56&gt;=$B$23,$B$22,0))*(1+$B$4)^56)&gt;0,1+$B$3,1))</f>
        <v/>
      </c>
      <c r="BH175">
        <f>IF($B$1+57&gt;90,BG175,(BG175+IF($B$1+57&lt;=$B175,12*$B$9,-12*MAX(0,$B$8-IF($B$1+57&gt;=$B$23,$B$22,0))*(1+$B$4)^57))*IF(BG175+IF($B$1+57&lt;=$B175,12*$B$9,-12*MAX(0,$B$8-IF($B$1+57&gt;=$B$23,$B$22,0))*(1+$B$4)^57)&gt;0,1+$B$3,1))</f>
        <v/>
      </c>
      <c r="BI175">
        <f>IF($B$1+58&gt;90,BH175,(BH175+IF($B$1+58&lt;=$B175,12*$B$9,-12*MAX(0,$B$8-IF($B$1+58&gt;=$B$23,$B$22,0))*(1+$B$4)^58))*IF(BH175+IF($B$1+58&lt;=$B175,12*$B$9,-12*MAX(0,$B$8-IF($B$1+58&gt;=$B$23,$B$22,0))*(1+$B$4)^58)&gt;0,1+$B$3,1))</f>
        <v/>
      </c>
      <c r="BJ175">
        <f>IF($B$1+59&gt;90,BI175,(BI175+IF($B$1+59&lt;=$B175,12*$B$9,-12*MAX(0,$B$8-IF($B$1+59&gt;=$B$23,$B$22,0))*(1+$B$4)^59))*IF(BI175+IF($B$1+59&lt;=$B175,12*$B$9,-12*MAX(0,$B$8-IF($B$1+59&gt;=$B$23,$B$22,0))*(1+$B$4)^59)&gt;0,1+$B$3,1))</f>
        <v/>
      </c>
      <c r="BK175">
        <f>IF($B$1+60&gt;90,BJ175,(BJ175+IF($B$1+60&lt;=$B175,12*$B$9,-12*MAX(0,$B$8-IF($B$1+60&gt;=$B$23,$B$22,0))*(1+$B$4)^60))*IF(BJ175+IF($B$1+60&lt;=$B175,12*$B$9,-12*MAX(0,$B$8-IF($B$1+60&gt;=$B$23,$B$22,0))*(1+$B$4)^60)&gt;0,1+$B$3,1))</f>
        <v/>
      </c>
      <c r="BL175">
        <f>IF($B$1+61&gt;90,BK175,(BK175+IF($B$1+61&lt;=$B175,12*$B$9,-12*MAX(0,$B$8-IF($B$1+61&gt;=$B$23,$B$22,0))*(1+$B$4)^61))*IF(BK175+IF($B$1+61&lt;=$B175,12*$B$9,-12*MAX(0,$B$8-IF($B$1+61&gt;=$B$23,$B$22,0))*(1+$B$4)^61)&gt;0,1+$B$3,1))</f>
        <v/>
      </c>
      <c r="BM175">
        <f>IF($B$1+62&gt;90,BL175,(BL175+IF($B$1+62&lt;=$B175,12*$B$9,-12*MAX(0,$B$8-IF($B$1+62&gt;=$B$23,$B$22,0))*(1+$B$4)^62))*IF(BL175+IF($B$1+62&lt;=$B175,12*$B$9,-12*MAX(0,$B$8-IF($B$1+62&gt;=$B$23,$B$22,0))*(1+$B$4)^62)&gt;0,1+$B$3,1))</f>
        <v/>
      </c>
      <c r="BN175">
        <f>IF($B$1+63&gt;90,BM175,(BM175+IF($B$1+63&lt;=$B175,12*$B$9,-12*MAX(0,$B$8-IF($B$1+63&gt;=$B$23,$B$22,0))*(1+$B$4)^63))*IF(BM175+IF($B$1+63&lt;=$B175,12*$B$9,-12*MAX(0,$B$8-IF($B$1+63&gt;=$B$23,$B$22,0))*(1+$B$4)^63)&gt;0,1+$B$3,1))</f>
        <v/>
      </c>
      <c r="BO175">
        <f>IF($B$1+64&gt;90,BN175,(BN175+IF($B$1+64&lt;=$B175,12*$B$9,-12*MAX(0,$B$8-IF($B$1+64&gt;=$B$23,$B$22,0))*(1+$B$4)^64))*IF(BN175+IF($B$1+64&lt;=$B175,12*$B$9,-12*MAX(0,$B$8-IF($B$1+64&gt;=$B$23,$B$22,0))*(1+$B$4)^64)&gt;0,1+$B$3,1))</f>
        <v/>
      </c>
      <c r="BP175">
        <f>IF($B$1+65&gt;90,BO175,(BO175+IF($B$1+65&lt;=$B175,12*$B$9,-12*MAX(0,$B$8-IF($B$1+65&gt;=$B$23,$B$22,0))*(1+$B$4)^65))*IF(BO175+IF($B$1+65&lt;=$B175,12*$B$9,-12*MAX(0,$B$8-IF($B$1+65&gt;=$B$23,$B$22,0))*(1+$B$4)^65)&gt;0,1+$B$3,1))</f>
        <v/>
      </c>
      <c r="BQ175">
        <f>IF($B$1+66&gt;90,BP175,(BP175+IF($B$1+66&lt;=$B175,12*$B$9,-12*MAX(0,$B$8-IF($B$1+66&gt;=$B$23,$B$22,0))*(1+$B$4)^66))*IF(BP175+IF($B$1+66&lt;=$B175,12*$B$9,-12*MAX(0,$B$8-IF($B$1+66&gt;=$B$23,$B$22,0))*(1+$B$4)^66)&gt;0,1+$B$3,1))</f>
        <v/>
      </c>
      <c r="BR175">
        <f>IF($B$1+67&gt;90,BQ175,(BQ175+IF($B$1+67&lt;=$B175,12*$B$9,-12*MAX(0,$B$8-IF($B$1+67&gt;=$B$23,$B$22,0))*(1+$B$4)^67))*IF(BQ175+IF($B$1+67&lt;=$B175,12*$B$9,-12*MAX(0,$B$8-IF($B$1+67&gt;=$B$23,$B$22,0))*(1+$B$4)^67)&gt;0,1+$B$3,1))</f>
        <v/>
      </c>
      <c r="BS175">
        <f>IF($B$1+68&gt;90,BR175,(BR175+IF($B$1+68&lt;=$B175,12*$B$9,-12*MAX(0,$B$8-IF($B$1+68&gt;=$B$23,$B$22,0))*(1+$B$4)^68))*IF(BR175+IF($B$1+68&lt;=$B175,12*$B$9,-12*MAX(0,$B$8-IF($B$1+68&gt;=$B$23,$B$22,0))*(1+$B$4)^68)&gt;0,1+$B$3,1))</f>
        <v/>
      </c>
      <c r="BT175">
        <f>IF($B$1+69&gt;90,BS175,(BS175+IF($B$1+69&lt;=$B175,12*$B$9,-12*MAX(0,$B$8-IF($B$1+69&gt;=$B$23,$B$22,0))*(1+$B$4)^69))*IF(BS175+IF($B$1+69&lt;=$B175,12*$B$9,-12*MAX(0,$B$8-IF($B$1+69&gt;=$B$23,$B$22,0))*(1+$B$4)^69)&gt;0,1+$B$3,1))</f>
        <v/>
      </c>
      <c r="BU175">
        <f>IF($B$1+70&gt;90,BT175,(BT175+IF($B$1+70&lt;=$B175,12*$B$9,-12*MAX(0,$B$8-IF($B$1+70&gt;=$B$23,$B$22,0))*(1+$B$4)^70))*IF(BT175+IF($B$1+70&lt;=$B175,12*$B$9,-12*MAX(0,$B$8-IF($B$1+70&gt;=$B$23,$B$22,0))*(1+$B$4)^70)&gt;0,1+$B$3,1))</f>
        <v/>
      </c>
      <c r="BV175">
        <f>BU175</f>
        <v/>
      </c>
      <c r="BW175">
        <f>IF(AND($B175&lt;=70,BV175&gt;0),$B175,999)</f>
        <v/>
      </c>
      <c r="CH175">
        <f>IF(ISTEXT('월 가계부'!A175),SUBSTITUTE(SUBSTITUTE(SUBSTITUTE(SUBSTITUTE(SUBSTITUTE(SUBSTITUTE(SUBSTITUTE(SUBSTITUTE(SUBSTITUTE(TRIM('월 가계부'!A175),"년","-"),"월","-"),"일",""),".","-"),"/","-")," ","-"),"--","-"),"--","-"),"--","-")&amp;"-","")</f>
        <v/>
      </c>
      <c r="CI175">
        <f>IFERROR(IF('월 가계부'!A175="","",IF(ISNUMBER('월 가계부'!A175),IF(AND('월 가계부'!A175&gt;=19000101,'월 가계부'!A175&lt;=21001231),IF(AND(MOD(INT('월 가계부'!A175/100),100)&gt;=1,MOD(INT('월 가계부'!A175/100),100)&lt;=12,MOD(INT('월 가계부'!A175),100)&gt;=1,MOD(INT('월 가계부'!A175),100)&lt;=31),IF(MONTH(DATE(INT('월 가계부'!A175/10000),MOD(INT('월 가계부'!A175/100),100),MOD(INT('월 가계부'!A175),100)))=MOD(INT('월 가계부'!A175/100),100),DATE(INT('월 가계부'!A175/10000),MOD(INT('월 가계부'!A175/100),100),MOD(INT('월 가계부'!A175),100)),""),""),IF(AND('월 가계부'!A175&gt;=36526,'월 가계부'!A175&lt;73051),INT('월 가계부'!A175),"")),IF(OR(CM175="",CN175="",CO175=""),"",IF(AND(CM175&gt;=2000,CM175&lt;=2099,CN175&gt;=1,CN175&lt;=12,CO175&gt;=1,CO175&lt;=31),IF(MONTH(DATE(CM175,CN175,CO175))=CN175,DATE(CM175,CN175,CO175),""),"")))),"")</f>
        <v/>
      </c>
      <c r="CJ175">
        <f>IFERROR(IF('월 가계부'!C175="","",IF(ISNUMBER('월 가계부'!C175),'월 가계부'!C175,VALUE(SUBSTITUTE(SUBSTITUTE(SUBSTITUTE(SUBSTITUTE(TRIM('월 가계부'!C175),",",""),"원","")," ",""),"−","-")))),"")</f>
        <v/>
      </c>
      <c r="CK175">
        <f>IF(ISNUMBER(CI175),IF(CI175&lt;$B$13,CI175,""),"")</f>
        <v/>
      </c>
      <c r="CM175">
        <f>IF(CH175="","",IFERROR(IF(IF(AND(LEN(CH175)=9,ISERROR(FIND("-",LEFT(CH175,8))),ISNUMBER(-LEFT(CH175,8))),VALUE(LEFT(CH175,4)),VALUE(LEFT(CH175,FIND("-",CH175)-1)))&lt;100,IF(AND(LEN(CH175)=9,ISERROR(FIND("-",LEFT(CH175,8))),ISNUMBER(-LEFT(CH175,8))),VALUE(LEFT(CH175,4)),VALUE(LEFT(CH175,FIND("-",CH175)-1)))+2000,IF(AND(LEN(CH175)=9,ISERROR(FIND("-",LEFT(CH175,8))),ISNUMBER(-LEFT(CH175,8))),VALUE(LEFT(CH175,4)),VALUE(LEFT(CH175,FIND("-",CH175)-1)))),""))</f>
        <v/>
      </c>
      <c r="CN175">
        <f>IF(CH175="","",IFERROR(IF(AND(LEN(CH175)=9,ISERROR(FIND("-",LEFT(CH175,8))),ISNUMBER(-LEFT(CH175,8))),VALUE(MID(CH175,5,2)),VALUE(MID(CH175,FIND("-",CH175)+1,FIND("-",CH175,FIND("-",CH175)+1)-FIND("-",CH175)-1))),""))</f>
        <v/>
      </c>
      <c r="CO175">
        <f>IF(CH175="","",IFERROR(IF(AND(LEN(CH175)=9,ISERROR(FIND("-",LEFT(CH175,8))),ISNUMBER(-LEFT(CH175,8))),VALUE(MID(CH175,7,2)),VALUE(MID(CH175,FIND("-",CH175,FIND("-",CH175)+1)+1,FIND("-",CH175,FIND("-",CH175,FIND("-",CH175)+1)+1)-FIND("-",CH175,FIND("-",CH175)+1)-1))),""))</f>
        <v/>
      </c>
    </row>
    <row r="176">
      <c r="A176" t="n">
        <v>24</v>
      </c>
      <c r="B176">
        <f>$B$1+24</f>
        <v/>
      </c>
      <c r="C176">
        <f>$B$2</f>
        <v/>
      </c>
      <c r="D176">
        <f>IF($B$1+1&gt;90,C176,(C176+IF($B$1+1&lt;=$B176,12*$B$9,-12*MAX(0,$B$8-IF($B$1+1&gt;=$B$23,$B$22,0))*(1+$B$4)^1))*IF(C176+IF($B$1+1&lt;=$B176,12*$B$9,-12*MAX(0,$B$8-IF($B$1+1&gt;=$B$23,$B$22,0))*(1+$B$4)^1)&gt;0,1+$B$3,1))</f>
        <v/>
      </c>
      <c r="E176">
        <f>IF($B$1+2&gt;90,D176,(D176+IF($B$1+2&lt;=$B176,12*$B$9,-12*MAX(0,$B$8-IF($B$1+2&gt;=$B$23,$B$22,0))*(1+$B$4)^2))*IF(D176+IF($B$1+2&lt;=$B176,12*$B$9,-12*MAX(0,$B$8-IF($B$1+2&gt;=$B$23,$B$22,0))*(1+$B$4)^2)&gt;0,1+$B$3,1))</f>
        <v/>
      </c>
      <c r="F176">
        <f>IF($B$1+3&gt;90,E176,(E176+IF($B$1+3&lt;=$B176,12*$B$9,-12*MAX(0,$B$8-IF($B$1+3&gt;=$B$23,$B$22,0))*(1+$B$4)^3))*IF(E176+IF($B$1+3&lt;=$B176,12*$B$9,-12*MAX(0,$B$8-IF($B$1+3&gt;=$B$23,$B$22,0))*(1+$B$4)^3)&gt;0,1+$B$3,1))</f>
        <v/>
      </c>
      <c r="G176">
        <f>IF($B$1+4&gt;90,F176,(F176+IF($B$1+4&lt;=$B176,12*$B$9,-12*MAX(0,$B$8-IF($B$1+4&gt;=$B$23,$B$22,0))*(1+$B$4)^4))*IF(F176+IF($B$1+4&lt;=$B176,12*$B$9,-12*MAX(0,$B$8-IF($B$1+4&gt;=$B$23,$B$22,0))*(1+$B$4)^4)&gt;0,1+$B$3,1))</f>
        <v/>
      </c>
      <c r="H176">
        <f>IF($B$1+5&gt;90,G176,(G176+IF($B$1+5&lt;=$B176,12*$B$9,-12*MAX(0,$B$8-IF($B$1+5&gt;=$B$23,$B$22,0))*(1+$B$4)^5))*IF(G176+IF($B$1+5&lt;=$B176,12*$B$9,-12*MAX(0,$B$8-IF($B$1+5&gt;=$B$23,$B$22,0))*(1+$B$4)^5)&gt;0,1+$B$3,1))</f>
        <v/>
      </c>
      <c r="I176">
        <f>IF($B$1+6&gt;90,H176,(H176+IF($B$1+6&lt;=$B176,12*$B$9,-12*MAX(0,$B$8-IF($B$1+6&gt;=$B$23,$B$22,0))*(1+$B$4)^6))*IF(H176+IF($B$1+6&lt;=$B176,12*$B$9,-12*MAX(0,$B$8-IF($B$1+6&gt;=$B$23,$B$22,0))*(1+$B$4)^6)&gt;0,1+$B$3,1))</f>
        <v/>
      </c>
      <c r="J176">
        <f>IF($B$1+7&gt;90,I176,(I176+IF($B$1+7&lt;=$B176,12*$B$9,-12*MAX(0,$B$8-IF($B$1+7&gt;=$B$23,$B$22,0))*(1+$B$4)^7))*IF(I176+IF($B$1+7&lt;=$B176,12*$B$9,-12*MAX(0,$B$8-IF($B$1+7&gt;=$B$23,$B$22,0))*(1+$B$4)^7)&gt;0,1+$B$3,1))</f>
        <v/>
      </c>
      <c r="K176">
        <f>IF($B$1+8&gt;90,J176,(J176+IF($B$1+8&lt;=$B176,12*$B$9,-12*MAX(0,$B$8-IF($B$1+8&gt;=$B$23,$B$22,0))*(1+$B$4)^8))*IF(J176+IF($B$1+8&lt;=$B176,12*$B$9,-12*MAX(0,$B$8-IF($B$1+8&gt;=$B$23,$B$22,0))*(1+$B$4)^8)&gt;0,1+$B$3,1))</f>
        <v/>
      </c>
      <c r="L176">
        <f>IF($B$1+9&gt;90,K176,(K176+IF($B$1+9&lt;=$B176,12*$B$9,-12*MAX(0,$B$8-IF($B$1+9&gt;=$B$23,$B$22,0))*(1+$B$4)^9))*IF(K176+IF($B$1+9&lt;=$B176,12*$B$9,-12*MAX(0,$B$8-IF($B$1+9&gt;=$B$23,$B$22,0))*(1+$B$4)^9)&gt;0,1+$B$3,1))</f>
        <v/>
      </c>
      <c r="M176">
        <f>IF($B$1+10&gt;90,L176,(L176+IF($B$1+10&lt;=$B176,12*$B$9,-12*MAX(0,$B$8-IF($B$1+10&gt;=$B$23,$B$22,0))*(1+$B$4)^10))*IF(L176+IF($B$1+10&lt;=$B176,12*$B$9,-12*MAX(0,$B$8-IF($B$1+10&gt;=$B$23,$B$22,0))*(1+$B$4)^10)&gt;0,1+$B$3,1))</f>
        <v/>
      </c>
      <c r="N176">
        <f>IF($B$1+11&gt;90,M176,(M176+IF($B$1+11&lt;=$B176,12*$B$9,-12*MAX(0,$B$8-IF($B$1+11&gt;=$B$23,$B$22,0))*(1+$B$4)^11))*IF(M176+IF($B$1+11&lt;=$B176,12*$B$9,-12*MAX(0,$B$8-IF($B$1+11&gt;=$B$23,$B$22,0))*(1+$B$4)^11)&gt;0,1+$B$3,1))</f>
        <v/>
      </c>
      <c r="O176">
        <f>IF($B$1+12&gt;90,N176,(N176+IF($B$1+12&lt;=$B176,12*$B$9,-12*MAX(0,$B$8-IF($B$1+12&gt;=$B$23,$B$22,0))*(1+$B$4)^12))*IF(N176+IF($B$1+12&lt;=$B176,12*$B$9,-12*MAX(0,$B$8-IF($B$1+12&gt;=$B$23,$B$22,0))*(1+$B$4)^12)&gt;0,1+$B$3,1))</f>
        <v/>
      </c>
      <c r="P176">
        <f>IF($B$1+13&gt;90,O176,(O176+IF($B$1+13&lt;=$B176,12*$B$9,-12*MAX(0,$B$8-IF($B$1+13&gt;=$B$23,$B$22,0))*(1+$B$4)^13))*IF(O176+IF($B$1+13&lt;=$B176,12*$B$9,-12*MAX(0,$B$8-IF($B$1+13&gt;=$B$23,$B$22,0))*(1+$B$4)^13)&gt;0,1+$B$3,1))</f>
        <v/>
      </c>
      <c r="Q176">
        <f>IF($B$1+14&gt;90,P176,(P176+IF($B$1+14&lt;=$B176,12*$B$9,-12*MAX(0,$B$8-IF($B$1+14&gt;=$B$23,$B$22,0))*(1+$B$4)^14))*IF(P176+IF($B$1+14&lt;=$B176,12*$B$9,-12*MAX(0,$B$8-IF($B$1+14&gt;=$B$23,$B$22,0))*(1+$B$4)^14)&gt;0,1+$B$3,1))</f>
        <v/>
      </c>
      <c r="R176">
        <f>IF($B$1+15&gt;90,Q176,(Q176+IF($B$1+15&lt;=$B176,12*$B$9,-12*MAX(0,$B$8-IF($B$1+15&gt;=$B$23,$B$22,0))*(1+$B$4)^15))*IF(Q176+IF($B$1+15&lt;=$B176,12*$B$9,-12*MAX(0,$B$8-IF($B$1+15&gt;=$B$23,$B$22,0))*(1+$B$4)^15)&gt;0,1+$B$3,1))</f>
        <v/>
      </c>
      <c r="S176">
        <f>IF($B$1+16&gt;90,R176,(R176+IF($B$1+16&lt;=$B176,12*$B$9,-12*MAX(0,$B$8-IF($B$1+16&gt;=$B$23,$B$22,0))*(1+$B$4)^16))*IF(R176+IF($B$1+16&lt;=$B176,12*$B$9,-12*MAX(0,$B$8-IF($B$1+16&gt;=$B$23,$B$22,0))*(1+$B$4)^16)&gt;0,1+$B$3,1))</f>
        <v/>
      </c>
      <c r="T176">
        <f>IF($B$1+17&gt;90,S176,(S176+IF($B$1+17&lt;=$B176,12*$B$9,-12*MAX(0,$B$8-IF($B$1+17&gt;=$B$23,$B$22,0))*(1+$B$4)^17))*IF(S176+IF($B$1+17&lt;=$B176,12*$B$9,-12*MAX(0,$B$8-IF($B$1+17&gt;=$B$23,$B$22,0))*(1+$B$4)^17)&gt;0,1+$B$3,1))</f>
        <v/>
      </c>
      <c r="U176">
        <f>IF($B$1+18&gt;90,T176,(T176+IF($B$1+18&lt;=$B176,12*$B$9,-12*MAX(0,$B$8-IF($B$1+18&gt;=$B$23,$B$22,0))*(1+$B$4)^18))*IF(T176+IF($B$1+18&lt;=$B176,12*$B$9,-12*MAX(0,$B$8-IF($B$1+18&gt;=$B$23,$B$22,0))*(1+$B$4)^18)&gt;0,1+$B$3,1))</f>
        <v/>
      </c>
      <c r="V176">
        <f>IF($B$1+19&gt;90,U176,(U176+IF($B$1+19&lt;=$B176,12*$B$9,-12*MAX(0,$B$8-IF($B$1+19&gt;=$B$23,$B$22,0))*(1+$B$4)^19))*IF(U176+IF($B$1+19&lt;=$B176,12*$B$9,-12*MAX(0,$B$8-IF($B$1+19&gt;=$B$23,$B$22,0))*(1+$B$4)^19)&gt;0,1+$B$3,1))</f>
        <v/>
      </c>
      <c r="W176">
        <f>IF($B$1+20&gt;90,V176,(V176+IF($B$1+20&lt;=$B176,12*$B$9,-12*MAX(0,$B$8-IF($B$1+20&gt;=$B$23,$B$22,0))*(1+$B$4)^20))*IF(V176+IF($B$1+20&lt;=$B176,12*$B$9,-12*MAX(0,$B$8-IF($B$1+20&gt;=$B$23,$B$22,0))*(1+$B$4)^20)&gt;0,1+$B$3,1))</f>
        <v/>
      </c>
      <c r="X176">
        <f>IF($B$1+21&gt;90,W176,(W176+IF($B$1+21&lt;=$B176,12*$B$9,-12*MAX(0,$B$8-IF($B$1+21&gt;=$B$23,$B$22,0))*(1+$B$4)^21))*IF(W176+IF($B$1+21&lt;=$B176,12*$B$9,-12*MAX(0,$B$8-IF($B$1+21&gt;=$B$23,$B$22,0))*(1+$B$4)^21)&gt;0,1+$B$3,1))</f>
        <v/>
      </c>
      <c r="Y176">
        <f>IF($B$1+22&gt;90,X176,(X176+IF($B$1+22&lt;=$B176,12*$B$9,-12*MAX(0,$B$8-IF($B$1+22&gt;=$B$23,$B$22,0))*(1+$B$4)^22))*IF(X176+IF($B$1+22&lt;=$B176,12*$B$9,-12*MAX(0,$B$8-IF($B$1+22&gt;=$B$23,$B$22,0))*(1+$B$4)^22)&gt;0,1+$B$3,1))</f>
        <v/>
      </c>
      <c r="Z176">
        <f>IF($B$1+23&gt;90,Y176,(Y176+IF($B$1+23&lt;=$B176,12*$B$9,-12*MAX(0,$B$8-IF($B$1+23&gt;=$B$23,$B$22,0))*(1+$B$4)^23))*IF(Y176+IF($B$1+23&lt;=$B176,12*$B$9,-12*MAX(0,$B$8-IF($B$1+23&gt;=$B$23,$B$22,0))*(1+$B$4)^23)&gt;0,1+$B$3,1))</f>
        <v/>
      </c>
      <c r="AA176">
        <f>IF($B$1+24&gt;90,Z176,(Z176+IF($B$1+24&lt;=$B176,12*$B$9,-12*MAX(0,$B$8-IF($B$1+24&gt;=$B$23,$B$22,0))*(1+$B$4)^24))*IF(Z176+IF($B$1+24&lt;=$B176,12*$B$9,-12*MAX(0,$B$8-IF($B$1+24&gt;=$B$23,$B$22,0))*(1+$B$4)^24)&gt;0,1+$B$3,1))</f>
        <v/>
      </c>
      <c r="AB176">
        <f>IF($B$1+25&gt;90,AA176,(AA176+IF($B$1+25&lt;=$B176,12*$B$9,-12*MAX(0,$B$8-IF($B$1+25&gt;=$B$23,$B$22,0))*(1+$B$4)^25))*IF(AA176+IF($B$1+25&lt;=$B176,12*$B$9,-12*MAX(0,$B$8-IF($B$1+25&gt;=$B$23,$B$22,0))*(1+$B$4)^25)&gt;0,1+$B$3,1))</f>
        <v/>
      </c>
      <c r="AC176">
        <f>IF($B$1+26&gt;90,AB176,(AB176+IF($B$1+26&lt;=$B176,12*$B$9,-12*MAX(0,$B$8-IF($B$1+26&gt;=$B$23,$B$22,0))*(1+$B$4)^26))*IF(AB176+IF($B$1+26&lt;=$B176,12*$B$9,-12*MAX(0,$B$8-IF($B$1+26&gt;=$B$23,$B$22,0))*(1+$B$4)^26)&gt;0,1+$B$3,1))</f>
        <v/>
      </c>
      <c r="AD176">
        <f>IF($B$1+27&gt;90,AC176,(AC176+IF($B$1+27&lt;=$B176,12*$B$9,-12*MAX(0,$B$8-IF($B$1+27&gt;=$B$23,$B$22,0))*(1+$B$4)^27))*IF(AC176+IF($B$1+27&lt;=$B176,12*$B$9,-12*MAX(0,$B$8-IF($B$1+27&gt;=$B$23,$B$22,0))*(1+$B$4)^27)&gt;0,1+$B$3,1))</f>
        <v/>
      </c>
      <c r="AE176">
        <f>IF($B$1+28&gt;90,AD176,(AD176+IF($B$1+28&lt;=$B176,12*$B$9,-12*MAX(0,$B$8-IF($B$1+28&gt;=$B$23,$B$22,0))*(1+$B$4)^28))*IF(AD176+IF($B$1+28&lt;=$B176,12*$B$9,-12*MAX(0,$B$8-IF($B$1+28&gt;=$B$23,$B$22,0))*(1+$B$4)^28)&gt;0,1+$B$3,1))</f>
        <v/>
      </c>
      <c r="AF176">
        <f>IF($B$1+29&gt;90,AE176,(AE176+IF($B$1+29&lt;=$B176,12*$B$9,-12*MAX(0,$B$8-IF($B$1+29&gt;=$B$23,$B$22,0))*(1+$B$4)^29))*IF(AE176+IF($B$1+29&lt;=$B176,12*$B$9,-12*MAX(0,$B$8-IF($B$1+29&gt;=$B$23,$B$22,0))*(1+$B$4)^29)&gt;0,1+$B$3,1))</f>
        <v/>
      </c>
      <c r="AG176">
        <f>IF($B$1+30&gt;90,AF176,(AF176+IF($B$1+30&lt;=$B176,12*$B$9,-12*MAX(0,$B$8-IF($B$1+30&gt;=$B$23,$B$22,0))*(1+$B$4)^30))*IF(AF176+IF($B$1+30&lt;=$B176,12*$B$9,-12*MAX(0,$B$8-IF($B$1+30&gt;=$B$23,$B$22,0))*(1+$B$4)^30)&gt;0,1+$B$3,1))</f>
        <v/>
      </c>
      <c r="AH176">
        <f>IF($B$1+31&gt;90,AG176,(AG176+IF($B$1+31&lt;=$B176,12*$B$9,-12*MAX(0,$B$8-IF($B$1+31&gt;=$B$23,$B$22,0))*(1+$B$4)^31))*IF(AG176+IF($B$1+31&lt;=$B176,12*$B$9,-12*MAX(0,$B$8-IF($B$1+31&gt;=$B$23,$B$22,0))*(1+$B$4)^31)&gt;0,1+$B$3,1))</f>
        <v/>
      </c>
      <c r="AI176">
        <f>IF($B$1+32&gt;90,AH176,(AH176+IF($B$1+32&lt;=$B176,12*$B$9,-12*MAX(0,$B$8-IF($B$1+32&gt;=$B$23,$B$22,0))*(1+$B$4)^32))*IF(AH176+IF($B$1+32&lt;=$B176,12*$B$9,-12*MAX(0,$B$8-IF($B$1+32&gt;=$B$23,$B$22,0))*(1+$B$4)^32)&gt;0,1+$B$3,1))</f>
        <v/>
      </c>
      <c r="AJ176">
        <f>IF($B$1+33&gt;90,AI176,(AI176+IF($B$1+33&lt;=$B176,12*$B$9,-12*MAX(0,$B$8-IF($B$1+33&gt;=$B$23,$B$22,0))*(1+$B$4)^33))*IF(AI176+IF($B$1+33&lt;=$B176,12*$B$9,-12*MAX(0,$B$8-IF($B$1+33&gt;=$B$23,$B$22,0))*(1+$B$4)^33)&gt;0,1+$B$3,1))</f>
        <v/>
      </c>
      <c r="AK176">
        <f>IF($B$1+34&gt;90,AJ176,(AJ176+IF($B$1+34&lt;=$B176,12*$B$9,-12*MAX(0,$B$8-IF($B$1+34&gt;=$B$23,$B$22,0))*(1+$B$4)^34))*IF(AJ176+IF($B$1+34&lt;=$B176,12*$B$9,-12*MAX(0,$B$8-IF($B$1+34&gt;=$B$23,$B$22,0))*(1+$B$4)^34)&gt;0,1+$B$3,1))</f>
        <v/>
      </c>
      <c r="AL176">
        <f>IF($B$1+35&gt;90,AK176,(AK176+IF($B$1+35&lt;=$B176,12*$B$9,-12*MAX(0,$B$8-IF($B$1+35&gt;=$B$23,$B$22,0))*(1+$B$4)^35))*IF(AK176+IF($B$1+35&lt;=$B176,12*$B$9,-12*MAX(0,$B$8-IF($B$1+35&gt;=$B$23,$B$22,0))*(1+$B$4)^35)&gt;0,1+$B$3,1))</f>
        <v/>
      </c>
      <c r="AM176">
        <f>IF($B$1+36&gt;90,AL176,(AL176+IF($B$1+36&lt;=$B176,12*$B$9,-12*MAX(0,$B$8-IF($B$1+36&gt;=$B$23,$B$22,0))*(1+$B$4)^36))*IF(AL176+IF($B$1+36&lt;=$B176,12*$B$9,-12*MAX(0,$B$8-IF($B$1+36&gt;=$B$23,$B$22,0))*(1+$B$4)^36)&gt;0,1+$B$3,1))</f>
        <v/>
      </c>
      <c r="AN176">
        <f>IF($B$1+37&gt;90,AM176,(AM176+IF($B$1+37&lt;=$B176,12*$B$9,-12*MAX(0,$B$8-IF($B$1+37&gt;=$B$23,$B$22,0))*(1+$B$4)^37))*IF(AM176+IF($B$1+37&lt;=$B176,12*$B$9,-12*MAX(0,$B$8-IF($B$1+37&gt;=$B$23,$B$22,0))*(1+$B$4)^37)&gt;0,1+$B$3,1))</f>
        <v/>
      </c>
      <c r="AO176">
        <f>IF($B$1+38&gt;90,AN176,(AN176+IF($B$1+38&lt;=$B176,12*$B$9,-12*MAX(0,$B$8-IF($B$1+38&gt;=$B$23,$B$22,0))*(1+$B$4)^38))*IF(AN176+IF($B$1+38&lt;=$B176,12*$B$9,-12*MAX(0,$B$8-IF($B$1+38&gt;=$B$23,$B$22,0))*(1+$B$4)^38)&gt;0,1+$B$3,1))</f>
        <v/>
      </c>
      <c r="AP176">
        <f>IF($B$1+39&gt;90,AO176,(AO176+IF($B$1+39&lt;=$B176,12*$B$9,-12*MAX(0,$B$8-IF($B$1+39&gt;=$B$23,$B$22,0))*(1+$B$4)^39))*IF(AO176+IF($B$1+39&lt;=$B176,12*$B$9,-12*MAX(0,$B$8-IF($B$1+39&gt;=$B$23,$B$22,0))*(1+$B$4)^39)&gt;0,1+$B$3,1))</f>
        <v/>
      </c>
      <c r="AQ176">
        <f>IF($B$1+40&gt;90,AP176,(AP176+IF($B$1+40&lt;=$B176,12*$B$9,-12*MAX(0,$B$8-IF($B$1+40&gt;=$B$23,$B$22,0))*(1+$B$4)^40))*IF(AP176+IF($B$1+40&lt;=$B176,12*$B$9,-12*MAX(0,$B$8-IF($B$1+40&gt;=$B$23,$B$22,0))*(1+$B$4)^40)&gt;0,1+$B$3,1))</f>
        <v/>
      </c>
      <c r="AR176">
        <f>IF($B$1+41&gt;90,AQ176,(AQ176+IF($B$1+41&lt;=$B176,12*$B$9,-12*MAX(0,$B$8-IF($B$1+41&gt;=$B$23,$B$22,0))*(1+$B$4)^41))*IF(AQ176+IF($B$1+41&lt;=$B176,12*$B$9,-12*MAX(0,$B$8-IF($B$1+41&gt;=$B$23,$B$22,0))*(1+$B$4)^41)&gt;0,1+$B$3,1))</f>
        <v/>
      </c>
      <c r="AS176">
        <f>IF($B$1+42&gt;90,AR176,(AR176+IF($B$1+42&lt;=$B176,12*$B$9,-12*MAX(0,$B$8-IF($B$1+42&gt;=$B$23,$B$22,0))*(1+$B$4)^42))*IF(AR176+IF($B$1+42&lt;=$B176,12*$B$9,-12*MAX(0,$B$8-IF($B$1+42&gt;=$B$23,$B$22,0))*(1+$B$4)^42)&gt;0,1+$B$3,1))</f>
        <v/>
      </c>
      <c r="AT176">
        <f>IF($B$1+43&gt;90,AS176,(AS176+IF($B$1+43&lt;=$B176,12*$B$9,-12*MAX(0,$B$8-IF($B$1+43&gt;=$B$23,$B$22,0))*(1+$B$4)^43))*IF(AS176+IF($B$1+43&lt;=$B176,12*$B$9,-12*MAX(0,$B$8-IF($B$1+43&gt;=$B$23,$B$22,0))*(1+$B$4)^43)&gt;0,1+$B$3,1))</f>
        <v/>
      </c>
      <c r="AU176">
        <f>IF($B$1+44&gt;90,AT176,(AT176+IF($B$1+44&lt;=$B176,12*$B$9,-12*MAX(0,$B$8-IF($B$1+44&gt;=$B$23,$B$22,0))*(1+$B$4)^44))*IF(AT176+IF($B$1+44&lt;=$B176,12*$B$9,-12*MAX(0,$B$8-IF($B$1+44&gt;=$B$23,$B$22,0))*(1+$B$4)^44)&gt;0,1+$B$3,1))</f>
        <v/>
      </c>
      <c r="AV176">
        <f>IF($B$1+45&gt;90,AU176,(AU176+IF($B$1+45&lt;=$B176,12*$B$9,-12*MAX(0,$B$8-IF($B$1+45&gt;=$B$23,$B$22,0))*(1+$B$4)^45))*IF(AU176+IF($B$1+45&lt;=$B176,12*$B$9,-12*MAX(0,$B$8-IF($B$1+45&gt;=$B$23,$B$22,0))*(1+$B$4)^45)&gt;0,1+$B$3,1))</f>
        <v/>
      </c>
      <c r="AW176">
        <f>IF($B$1+46&gt;90,AV176,(AV176+IF($B$1+46&lt;=$B176,12*$B$9,-12*MAX(0,$B$8-IF($B$1+46&gt;=$B$23,$B$22,0))*(1+$B$4)^46))*IF(AV176+IF($B$1+46&lt;=$B176,12*$B$9,-12*MAX(0,$B$8-IF($B$1+46&gt;=$B$23,$B$22,0))*(1+$B$4)^46)&gt;0,1+$B$3,1))</f>
        <v/>
      </c>
      <c r="AX176">
        <f>IF($B$1+47&gt;90,AW176,(AW176+IF($B$1+47&lt;=$B176,12*$B$9,-12*MAX(0,$B$8-IF($B$1+47&gt;=$B$23,$B$22,0))*(1+$B$4)^47))*IF(AW176+IF($B$1+47&lt;=$B176,12*$B$9,-12*MAX(0,$B$8-IF($B$1+47&gt;=$B$23,$B$22,0))*(1+$B$4)^47)&gt;0,1+$B$3,1))</f>
        <v/>
      </c>
      <c r="AY176">
        <f>IF($B$1+48&gt;90,AX176,(AX176+IF($B$1+48&lt;=$B176,12*$B$9,-12*MAX(0,$B$8-IF($B$1+48&gt;=$B$23,$B$22,0))*(1+$B$4)^48))*IF(AX176+IF($B$1+48&lt;=$B176,12*$B$9,-12*MAX(0,$B$8-IF($B$1+48&gt;=$B$23,$B$22,0))*(1+$B$4)^48)&gt;0,1+$B$3,1))</f>
        <v/>
      </c>
      <c r="AZ176">
        <f>IF($B$1+49&gt;90,AY176,(AY176+IF($B$1+49&lt;=$B176,12*$B$9,-12*MAX(0,$B$8-IF($B$1+49&gt;=$B$23,$B$22,0))*(1+$B$4)^49))*IF(AY176+IF($B$1+49&lt;=$B176,12*$B$9,-12*MAX(0,$B$8-IF($B$1+49&gt;=$B$23,$B$22,0))*(1+$B$4)^49)&gt;0,1+$B$3,1))</f>
        <v/>
      </c>
      <c r="BA176">
        <f>IF($B$1+50&gt;90,AZ176,(AZ176+IF($B$1+50&lt;=$B176,12*$B$9,-12*MAX(0,$B$8-IF($B$1+50&gt;=$B$23,$B$22,0))*(1+$B$4)^50))*IF(AZ176+IF($B$1+50&lt;=$B176,12*$B$9,-12*MAX(0,$B$8-IF($B$1+50&gt;=$B$23,$B$22,0))*(1+$B$4)^50)&gt;0,1+$B$3,1))</f>
        <v/>
      </c>
      <c r="BB176">
        <f>IF($B$1+51&gt;90,BA176,(BA176+IF($B$1+51&lt;=$B176,12*$B$9,-12*MAX(0,$B$8-IF($B$1+51&gt;=$B$23,$B$22,0))*(1+$B$4)^51))*IF(BA176+IF($B$1+51&lt;=$B176,12*$B$9,-12*MAX(0,$B$8-IF($B$1+51&gt;=$B$23,$B$22,0))*(1+$B$4)^51)&gt;0,1+$B$3,1))</f>
        <v/>
      </c>
      <c r="BC176">
        <f>IF($B$1+52&gt;90,BB176,(BB176+IF($B$1+52&lt;=$B176,12*$B$9,-12*MAX(0,$B$8-IF($B$1+52&gt;=$B$23,$B$22,0))*(1+$B$4)^52))*IF(BB176+IF($B$1+52&lt;=$B176,12*$B$9,-12*MAX(0,$B$8-IF($B$1+52&gt;=$B$23,$B$22,0))*(1+$B$4)^52)&gt;0,1+$B$3,1))</f>
        <v/>
      </c>
      <c r="BD176">
        <f>IF($B$1+53&gt;90,BC176,(BC176+IF($B$1+53&lt;=$B176,12*$B$9,-12*MAX(0,$B$8-IF($B$1+53&gt;=$B$23,$B$22,0))*(1+$B$4)^53))*IF(BC176+IF($B$1+53&lt;=$B176,12*$B$9,-12*MAX(0,$B$8-IF($B$1+53&gt;=$B$23,$B$22,0))*(1+$B$4)^53)&gt;0,1+$B$3,1))</f>
        <v/>
      </c>
      <c r="BE176">
        <f>IF($B$1+54&gt;90,BD176,(BD176+IF($B$1+54&lt;=$B176,12*$B$9,-12*MAX(0,$B$8-IF($B$1+54&gt;=$B$23,$B$22,0))*(1+$B$4)^54))*IF(BD176+IF($B$1+54&lt;=$B176,12*$B$9,-12*MAX(0,$B$8-IF($B$1+54&gt;=$B$23,$B$22,0))*(1+$B$4)^54)&gt;0,1+$B$3,1))</f>
        <v/>
      </c>
      <c r="BF176">
        <f>IF($B$1+55&gt;90,BE176,(BE176+IF($B$1+55&lt;=$B176,12*$B$9,-12*MAX(0,$B$8-IF($B$1+55&gt;=$B$23,$B$22,0))*(1+$B$4)^55))*IF(BE176+IF($B$1+55&lt;=$B176,12*$B$9,-12*MAX(0,$B$8-IF($B$1+55&gt;=$B$23,$B$22,0))*(1+$B$4)^55)&gt;0,1+$B$3,1))</f>
        <v/>
      </c>
      <c r="BG176">
        <f>IF($B$1+56&gt;90,BF176,(BF176+IF($B$1+56&lt;=$B176,12*$B$9,-12*MAX(0,$B$8-IF($B$1+56&gt;=$B$23,$B$22,0))*(1+$B$4)^56))*IF(BF176+IF($B$1+56&lt;=$B176,12*$B$9,-12*MAX(0,$B$8-IF($B$1+56&gt;=$B$23,$B$22,0))*(1+$B$4)^56)&gt;0,1+$B$3,1))</f>
        <v/>
      </c>
      <c r="BH176">
        <f>IF($B$1+57&gt;90,BG176,(BG176+IF($B$1+57&lt;=$B176,12*$B$9,-12*MAX(0,$B$8-IF($B$1+57&gt;=$B$23,$B$22,0))*(1+$B$4)^57))*IF(BG176+IF($B$1+57&lt;=$B176,12*$B$9,-12*MAX(0,$B$8-IF($B$1+57&gt;=$B$23,$B$22,0))*(1+$B$4)^57)&gt;0,1+$B$3,1))</f>
        <v/>
      </c>
      <c r="BI176">
        <f>IF($B$1+58&gt;90,BH176,(BH176+IF($B$1+58&lt;=$B176,12*$B$9,-12*MAX(0,$B$8-IF($B$1+58&gt;=$B$23,$B$22,0))*(1+$B$4)^58))*IF(BH176+IF($B$1+58&lt;=$B176,12*$B$9,-12*MAX(0,$B$8-IF($B$1+58&gt;=$B$23,$B$22,0))*(1+$B$4)^58)&gt;0,1+$B$3,1))</f>
        <v/>
      </c>
      <c r="BJ176">
        <f>IF($B$1+59&gt;90,BI176,(BI176+IF($B$1+59&lt;=$B176,12*$B$9,-12*MAX(0,$B$8-IF($B$1+59&gt;=$B$23,$B$22,0))*(1+$B$4)^59))*IF(BI176+IF($B$1+59&lt;=$B176,12*$B$9,-12*MAX(0,$B$8-IF($B$1+59&gt;=$B$23,$B$22,0))*(1+$B$4)^59)&gt;0,1+$B$3,1))</f>
        <v/>
      </c>
      <c r="BK176">
        <f>IF($B$1+60&gt;90,BJ176,(BJ176+IF($B$1+60&lt;=$B176,12*$B$9,-12*MAX(0,$B$8-IF($B$1+60&gt;=$B$23,$B$22,0))*(1+$B$4)^60))*IF(BJ176+IF($B$1+60&lt;=$B176,12*$B$9,-12*MAX(0,$B$8-IF($B$1+60&gt;=$B$23,$B$22,0))*(1+$B$4)^60)&gt;0,1+$B$3,1))</f>
        <v/>
      </c>
      <c r="BL176">
        <f>IF($B$1+61&gt;90,BK176,(BK176+IF($B$1+61&lt;=$B176,12*$B$9,-12*MAX(0,$B$8-IF($B$1+61&gt;=$B$23,$B$22,0))*(1+$B$4)^61))*IF(BK176+IF($B$1+61&lt;=$B176,12*$B$9,-12*MAX(0,$B$8-IF($B$1+61&gt;=$B$23,$B$22,0))*(1+$B$4)^61)&gt;0,1+$B$3,1))</f>
        <v/>
      </c>
      <c r="BM176">
        <f>IF($B$1+62&gt;90,BL176,(BL176+IF($B$1+62&lt;=$B176,12*$B$9,-12*MAX(0,$B$8-IF($B$1+62&gt;=$B$23,$B$22,0))*(1+$B$4)^62))*IF(BL176+IF($B$1+62&lt;=$B176,12*$B$9,-12*MAX(0,$B$8-IF($B$1+62&gt;=$B$23,$B$22,0))*(1+$B$4)^62)&gt;0,1+$B$3,1))</f>
        <v/>
      </c>
      <c r="BN176">
        <f>IF($B$1+63&gt;90,BM176,(BM176+IF($B$1+63&lt;=$B176,12*$B$9,-12*MAX(0,$B$8-IF($B$1+63&gt;=$B$23,$B$22,0))*(1+$B$4)^63))*IF(BM176+IF($B$1+63&lt;=$B176,12*$B$9,-12*MAX(0,$B$8-IF($B$1+63&gt;=$B$23,$B$22,0))*(1+$B$4)^63)&gt;0,1+$B$3,1))</f>
        <v/>
      </c>
      <c r="BO176">
        <f>IF($B$1+64&gt;90,BN176,(BN176+IF($B$1+64&lt;=$B176,12*$B$9,-12*MAX(0,$B$8-IF($B$1+64&gt;=$B$23,$B$22,0))*(1+$B$4)^64))*IF(BN176+IF($B$1+64&lt;=$B176,12*$B$9,-12*MAX(0,$B$8-IF($B$1+64&gt;=$B$23,$B$22,0))*(1+$B$4)^64)&gt;0,1+$B$3,1))</f>
        <v/>
      </c>
      <c r="BP176">
        <f>IF($B$1+65&gt;90,BO176,(BO176+IF($B$1+65&lt;=$B176,12*$B$9,-12*MAX(0,$B$8-IF($B$1+65&gt;=$B$23,$B$22,0))*(1+$B$4)^65))*IF(BO176+IF($B$1+65&lt;=$B176,12*$B$9,-12*MAX(0,$B$8-IF($B$1+65&gt;=$B$23,$B$22,0))*(1+$B$4)^65)&gt;0,1+$B$3,1))</f>
        <v/>
      </c>
      <c r="BQ176">
        <f>IF($B$1+66&gt;90,BP176,(BP176+IF($B$1+66&lt;=$B176,12*$B$9,-12*MAX(0,$B$8-IF($B$1+66&gt;=$B$23,$B$22,0))*(1+$B$4)^66))*IF(BP176+IF($B$1+66&lt;=$B176,12*$B$9,-12*MAX(0,$B$8-IF($B$1+66&gt;=$B$23,$B$22,0))*(1+$B$4)^66)&gt;0,1+$B$3,1))</f>
        <v/>
      </c>
      <c r="BR176">
        <f>IF($B$1+67&gt;90,BQ176,(BQ176+IF($B$1+67&lt;=$B176,12*$B$9,-12*MAX(0,$B$8-IF($B$1+67&gt;=$B$23,$B$22,0))*(1+$B$4)^67))*IF(BQ176+IF($B$1+67&lt;=$B176,12*$B$9,-12*MAX(0,$B$8-IF($B$1+67&gt;=$B$23,$B$22,0))*(1+$B$4)^67)&gt;0,1+$B$3,1))</f>
        <v/>
      </c>
      <c r="BS176">
        <f>IF($B$1+68&gt;90,BR176,(BR176+IF($B$1+68&lt;=$B176,12*$B$9,-12*MAX(0,$B$8-IF($B$1+68&gt;=$B$23,$B$22,0))*(1+$B$4)^68))*IF(BR176+IF($B$1+68&lt;=$B176,12*$B$9,-12*MAX(0,$B$8-IF($B$1+68&gt;=$B$23,$B$22,0))*(1+$B$4)^68)&gt;0,1+$B$3,1))</f>
        <v/>
      </c>
      <c r="BT176">
        <f>IF($B$1+69&gt;90,BS176,(BS176+IF($B$1+69&lt;=$B176,12*$B$9,-12*MAX(0,$B$8-IF($B$1+69&gt;=$B$23,$B$22,0))*(1+$B$4)^69))*IF(BS176+IF($B$1+69&lt;=$B176,12*$B$9,-12*MAX(0,$B$8-IF($B$1+69&gt;=$B$23,$B$22,0))*(1+$B$4)^69)&gt;0,1+$B$3,1))</f>
        <v/>
      </c>
      <c r="BU176">
        <f>IF($B$1+70&gt;90,BT176,(BT176+IF($B$1+70&lt;=$B176,12*$B$9,-12*MAX(0,$B$8-IF($B$1+70&gt;=$B$23,$B$22,0))*(1+$B$4)^70))*IF(BT176+IF($B$1+70&lt;=$B176,12*$B$9,-12*MAX(0,$B$8-IF($B$1+70&gt;=$B$23,$B$22,0))*(1+$B$4)^70)&gt;0,1+$B$3,1))</f>
        <v/>
      </c>
      <c r="BV176">
        <f>BU176</f>
        <v/>
      </c>
      <c r="BW176">
        <f>IF(AND($B176&lt;=70,BV176&gt;0),$B176,999)</f>
        <v/>
      </c>
      <c r="CH176">
        <f>IF(ISTEXT('월 가계부'!A176),SUBSTITUTE(SUBSTITUTE(SUBSTITUTE(SUBSTITUTE(SUBSTITUTE(SUBSTITUTE(SUBSTITUTE(SUBSTITUTE(SUBSTITUTE(TRIM('월 가계부'!A176),"년","-"),"월","-"),"일",""),".","-"),"/","-")," ","-"),"--","-"),"--","-"),"--","-")&amp;"-","")</f>
        <v/>
      </c>
      <c r="CI176">
        <f>IFERROR(IF('월 가계부'!A176="","",IF(ISNUMBER('월 가계부'!A176),IF(AND('월 가계부'!A176&gt;=19000101,'월 가계부'!A176&lt;=21001231),IF(AND(MOD(INT('월 가계부'!A176/100),100)&gt;=1,MOD(INT('월 가계부'!A176/100),100)&lt;=12,MOD(INT('월 가계부'!A176),100)&gt;=1,MOD(INT('월 가계부'!A176),100)&lt;=31),IF(MONTH(DATE(INT('월 가계부'!A176/10000),MOD(INT('월 가계부'!A176/100),100),MOD(INT('월 가계부'!A176),100)))=MOD(INT('월 가계부'!A176/100),100),DATE(INT('월 가계부'!A176/10000),MOD(INT('월 가계부'!A176/100),100),MOD(INT('월 가계부'!A176),100)),""),""),IF(AND('월 가계부'!A176&gt;=36526,'월 가계부'!A176&lt;73051),INT('월 가계부'!A176),"")),IF(OR(CM176="",CN176="",CO176=""),"",IF(AND(CM176&gt;=2000,CM176&lt;=2099,CN176&gt;=1,CN176&lt;=12,CO176&gt;=1,CO176&lt;=31),IF(MONTH(DATE(CM176,CN176,CO176))=CN176,DATE(CM176,CN176,CO176),""),"")))),"")</f>
        <v/>
      </c>
      <c r="CJ176">
        <f>IFERROR(IF('월 가계부'!C176="","",IF(ISNUMBER('월 가계부'!C176),'월 가계부'!C176,VALUE(SUBSTITUTE(SUBSTITUTE(SUBSTITUTE(SUBSTITUTE(TRIM('월 가계부'!C176),",",""),"원","")," ",""),"−","-")))),"")</f>
        <v/>
      </c>
      <c r="CK176">
        <f>IF(ISNUMBER(CI176),IF(CI176&lt;$B$13,CI176,""),"")</f>
        <v/>
      </c>
      <c r="CM176">
        <f>IF(CH176="","",IFERROR(IF(IF(AND(LEN(CH176)=9,ISERROR(FIND("-",LEFT(CH176,8))),ISNUMBER(-LEFT(CH176,8))),VALUE(LEFT(CH176,4)),VALUE(LEFT(CH176,FIND("-",CH176)-1)))&lt;100,IF(AND(LEN(CH176)=9,ISERROR(FIND("-",LEFT(CH176,8))),ISNUMBER(-LEFT(CH176,8))),VALUE(LEFT(CH176,4)),VALUE(LEFT(CH176,FIND("-",CH176)-1)))+2000,IF(AND(LEN(CH176)=9,ISERROR(FIND("-",LEFT(CH176,8))),ISNUMBER(-LEFT(CH176,8))),VALUE(LEFT(CH176,4)),VALUE(LEFT(CH176,FIND("-",CH176)-1)))),""))</f>
        <v/>
      </c>
      <c r="CN176">
        <f>IF(CH176="","",IFERROR(IF(AND(LEN(CH176)=9,ISERROR(FIND("-",LEFT(CH176,8))),ISNUMBER(-LEFT(CH176,8))),VALUE(MID(CH176,5,2)),VALUE(MID(CH176,FIND("-",CH176)+1,FIND("-",CH176,FIND("-",CH176)+1)-FIND("-",CH176)-1))),""))</f>
        <v/>
      </c>
      <c r="CO176">
        <f>IF(CH176="","",IFERROR(IF(AND(LEN(CH176)=9,ISERROR(FIND("-",LEFT(CH176,8))),ISNUMBER(-LEFT(CH176,8))),VALUE(MID(CH176,7,2)),VALUE(MID(CH176,FIND("-",CH176,FIND("-",CH176)+1)+1,FIND("-",CH176,FIND("-",CH176,FIND("-",CH176)+1)+1)-FIND("-",CH176,FIND("-",CH176)+1)-1))),""))</f>
        <v/>
      </c>
    </row>
    <row r="177">
      <c r="A177" t="n">
        <v>25</v>
      </c>
      <c r="B177">
        <f>$B$1+25</f>
        <v/>
      </c>
      <c r="C177">
        <f>$B$2</f>
        <v/>
      </c>
      <c r="D177">
        <f>IF($B$1+1&gt;90,C177,(C177+IF($B$1+1&lt;=$B177,12*$B$9,-12*MAX(0,$B$8-IF($B$1+1&gt;=$B$23,$B$22,0))*(1+$B$4)^1))*IF(C177+IF($B$1+1&lt;=$B177,12*$B$9,-12*MAX(0,$B$8-IF($B$1+1&gt;=$B$23,$B$22,0))*(1+$B$4)^1)&gt;0,1+$B$3,1))</f>
        <v/>
      </c>
      <c r="E177">
        <f>IF($B$1+2&gt;90,D177,(D177+IF($B$1+2&lt;=$B177,12*$B$9,-12*MAX(0,$B$8-IF($B$1+2&gt;=$B$23,$B$22,0))*(1+$B$4)^2))*IF(D177+IF($B$1+2&lt;=$B177,12*$B$9,-12*MAX(0,$B$8-IF($B$1+2&gt;=$B$23,$B$22,0))*(1+$B$4)^2)&gt;0,1+$B$3,1))</f>
        <v/>
      </c>
      <c r="F177">
        <f>IF($B$1+3&gt;90,E177,(E177+IF($B$1+3&lt;=$B177,12*$B$9,-12*MAX(0,$B$8-IF($B$1+3&gt;=$B$23,$B$22,0))*(1+$B$4)^3))*IF(E177+IF($B$1+3&lt;=$B177,12*$B$9,-12*MAX(0,$B$8-IF($B$1+3&gt;=$B$23,$B$22,0))*(1+$B$4)^3)&gt;0,1+$B$3,1))</f>
        <v/>
      </c>
      <c r="G177">
        <f>IF($B$1+4&gt;90,F177,(F177+IF($B$1+4&lt;=$B177,12*$B$9,-12*MAX(0,$B$8-IF($B$1+4&gt;=$B$23,$B$22,0))*(1+$B$4)^4))*IF(F177+IF($B$1+4&lt;=$B177,12*$B$9,-12*MAX(0,$B$8-IF($B$1+4&gt;=$B$23,$B$22,0))*(1+$B$4)^4)&gt;0,1+$B$3,1))</f>
        <v/>
      </c>
      <c r="H177">
        <f>IF($B$1+5&gt;90,G177,(G177+IF($B$1+5&lt;=$B177,12*$B$9,-12*MAX(0,$B$8-IF($B$1+5&gt;=$B$23,$B$22,0))*(1+$B$4)^5))*IF(G177+IF($B$1+5&lt;=$B177,12*$B$9,-12*MAX(0,$B$8-IF($B$1+5&gt;=$B$23,$B$22,0))*(1+$B$4)^5)&gt;0,1+$B$3,1))</f>
        <v/>
      </c>
      <c r="I177">
        <f>IF($B$1+6&gt;90,H177,(H177+IF($B$1+6&lt;=$B177,12*$B$9,-12*MAX(0,$B$8-IF($B$1+6&gt;=$B$23,$B$22,0))*(1+$B$4)^6))*IF(H177+IF($B$1+6&lt;=$B177,12*$B$9,-12*MAX(0,$B$8-IF($B$1+6&gt;=$B$23,$B$22,0))*(1+$B$4)^6)&gt;0,1+$B$3,1))</f>
        <v/>
      </c>
      <c r="J177">
        <f>IF($B$1+7&gt;90,I177,(I177+IF($B$1+7&lt;=$B177,12*$B$9,-12*MAX(0,$B$8-IF($B$1+7&gt;=$B$23,$B$22,0))*(1+$B$4)^7))*IF(I177+IF($B$1+7&lt;=$B177,12*$B$9,-12*MAX(0,$B$8-IF($B$1+7&gt;=$B$23,$B$22,0))*(1+$B$4)^7)&gt;0,1+$B$3,1))</f>
        <v/>
      </c>
      <c r="K177">
        <f>IF($B$1+8&gt;90,J177,(J177+IF($B$1+8&lt;=$B177,12*$B$9,-12*MAX(0,$B$8-IF($B$1+8&gt;=$B$23,$B$22,0))*(1+$B$4)^8))*IF(J177+IF($B$1+8&lt;=$B177,12*$B$9,-12*MAX(0,$B$8-IF($B$1+8&gt;=$B$23,$B$22,0))*(1+$B$4)^8)&gt;0,1+$B$3,1))</f>
        <v/>
      </c>
      <c r="L177">
        <f>IF($B$1+9&gt;90,K177,(K177+IF($B$1+9&lt;=$B177,12*$B$9,-12*MAX(0,$B$8-IF($B$1+9&gt;=$B$23,$B$22,0))*(1+$B$4)^9))*IF(K177+IF($B$1+9&lt;=$B177,12*$B$9,-12*MAX(0,$B$8-IF($B$1+9&gt;=$B$23,$B$22,0))*(1+$B$4)^9)&gt;0,1+$B$3,1))</f>
        <v/>
      </c>
      <c r="M177">
        <f>IF($B$1+10&gt;90,L177,(L177+IF($B$1+10&lt;=$B177,12*$B$9,-12*MAX(0,$B$8-IF($B$1+10&gt;=$B$23,$B$22,0))*(1+$B$4)^10))*IF(L177+IF($B$1+10&lt;=$B177,12*$B$9,-12*MAX(0,$B$8-IF($B$1+10&gt;=$B$23,$B$22,0))*(1+$B$4)^10)&gt;0,1+$B$3,1))</f>
        <v/>
      </c>
      <c r="N177">
        <f>IF($B$1+11&gt;90,M177,(M177+IF($B$1+11&lt;=$B177,12*$B$9,-12*MAX(0,$B$8-IF($B$1+11&gt;=$B$23,$B$22,0))*(1+$B$4)^11))*IF(M177+IF($B$1+11&lt;=$B177,12*$B$9,-12*MAX(0,$B$8-IF($B$1+11&gt;=$B$23,$B$22,0))*(1+$B$4)^11)&gt;0,1+$B$3,1))</f>
        <v/>
      </c>
      <c r="O177">
        <f>IF($B$1+12&gt;90,N177,(N177+IF($B$1+12&lt;=$B177,12*$B$9,-12*MAX(0,$B$8-IF($B$1+12&gt;=$B$23,$B$22,0))*(1+$B$4)^12))*IF(N177+IF($B$1+12&lt;=$B177,12*$B$9,-12*MAX(0,$B$8-IF($B$1+12&gt;=$B$23,$B$22,0))*(1+$B$4)^12)&gt;0,1+$B$3,1))</f>
        <v/>
      </c>
      <c r="P177">
        <f>IF($B$1+13&gt;90,O177,(O177+IF($B$1+13&lt;=$B177,12*$B$9,-12*MAX(0,$B$8-IF($B$1+13&gt;=$B$23,$B$22,0))*(1+$B$4)^13))*IF(O177+IF($B$1+13&lt;=$B177,12*$B$9,-12*MAX(0,$B$8-IF($B$1+13&gt;=$B$23,$B$22,0))*(1+$B$4)^13)&gt;0,1+$B$3,1))</f>
        <v/>
      </c>
      <c r="Q177">
        <f>IF($B$1+14&gt;90,P177,(P177+IF($B$1+14&lt;=$B177,12*$B$9,-12*MAX(0,$B$8-IF($B$1+14&gt;=$B$23,$B$22,0))*(1+$B$4)^14))*IF(P177+IF($B$1+14&lt;=$B177,12*$B$9,-12*MAX(0,$B$8-IF($B$1+14&gt;=$B$23,$B$22,0))*(1+$B$4)^14)&gt;0,1+$B$3,1))</f>
        <v/>
      </c>
      <c r="R177">
        <f>IF($B$1+15&gt;90,Q177,(Q177+IF($B$1+15&lt;=$B177,12*$B$9,-12*MAX(0,$B$8-IF($B$1+15&gt;=$B$23,$B$22,0))*(1+$B$4)^15))*IF(Q177+IF($B$1+15&lt;=$B177,12*$B$9,-12*MAX(0,$B$8-IF($B$1+15&gt;=$B$23,$B$22,0))*(1+$B$4)^15)&gt;0,1+$B$3,1))</f>
        <v/>
      </c>
      <c r="S177">
        <f>IF($B$1+16&gt;90,R177,(R177+IF($B$1+16&lt;=$B177,12*$B$9,-12*MAX(0,$B$8-IF($B$1+16&gt;=$B$23,$B$22,0))*(1+$B$4)^16))*IF(R177+IF($B$1+16&lt;=$B177,12*$B$9,-12*MAX(0,$B$8-IF($B$1+16&gt;=$B$23,$B$22,0))*(1+$B$4)^16)&gt;0,1+$B$3,1))</f>
        <v/>
      </c>
      <c r="T177">
        <f>IF($B$1+17&gt;90,S177,(S177+IF($B$1+17&lt;=$B177,12*$B$9,-12*MAX(0,$B$8-IF($B$1+17&gt;=$B$23,$B$22,0))*(1+$B$4)^17))*IF(S177+IF($B$1+17&lt;=$B177,12*$B$9,-12*MAX(0,$B$8-IF($B$1+17&gt;=$B$23,$B$22,0))*(1+$B$4)^17)&gt;0,1+$B$3,1))</f>
        <v/>
      </c>
      <c r="U177">
        <f>IF($B$1+18&gt;90,T177,(T177+IF($B$1+18&lt;=$B177,12*$B$9,-12*MAX(0,$B$8-IF($B$1+18&gt;=$B$23,$B$22,0))*(1+$B$4)^18))*IF(T177+IF($B$1+18&lt;=$B177,12*$B$9,-12*MAX(0,$B$8-IF($B$1+18&gt;=$B$23,$B$22,0))*(1+$B$4)^18)&gt;0,1+$B$3,1))</f>
        <v/>
      </c>
      <c r="V177">
        <f>IF($B$1+19&gt;90,U177,(U177+IF($B$1+19&lt;=$B177,12*$B$9,-12*MAX(0,$B$8-IF($B$1+19&gt;=$B$23,$B$22,0))*(1+$B$4)^19))*IF(U177+IF($B$1+19&lt;=$B177,12*$B$9,-12*MAX(0,$B$8-IF($B$1+19&gt;=$B$23,$B$22,0))*(1+$B$4)^19)&gt;0,1+$B$3,1))</f>
        <v/>
      </c>
      <c r="W177">
        <f>IF($B$1+20&gt;90,V177,(V177+IF($B$1+20&lt;=$B177,12*$B$9,-12*MAX(0,$B$8-IF($B$1+20&gt;=$B$23,$B$22,0))*(1+$B$4)^20))*IF(V177+IF($B$1+20&lt;=$B177,12*$B$9,-12*MAX(0,$B$8-IF($B$1+20&gt;=$B$23,$B$22,0))*(1+$B$4)^20)&gt;0,1+$B$3,1))</f>
        <v/>
      </c>
      <c r="X177">
        <f>IF($B$1+21&gt;90,W177,(W177+IF($B$1+21&lt;=$B177,12*$B$9,-12*MAX(0,$B$8-IF($B$1+21&gt;=$B$23,$B$22,0))*(1+$B$4)^21))*IF(W177+IF($B$1+21&lt;=$B177,12*$B$9,-12*MAX(0,$B$8-IF($B$1+21&gt;=$B$23,$B$22,0))*(1+$B$4)^21)&gt;0,1+$B$3,1))</f>
        <v/>
      </c>
      <c r="Y177">
        <f>IF($B$1+22&gt;90,X177,(X177+IF($B$1+22&lt;=$B177,12*$B$9,-12*MAX(0,$B$8-IF($B$1+22&gt;=$B$23,$B$22,0))*(1+$B$4)^22))*IF(X177+IF($B$1+22&lt;=$B177,12*$B$9,-12*MAX(0,$B$8-IF($B$1+22&gt;=$B$23,$B$22,0))*(1+$B$4)^22)&gt;0,1+$B$3,1))</f>
        <v/>
      </c>
      <c r="Z177">
        <f>IF($B$1+23&gt;90,Y177,(Y177+IF($B$1+23&lt;=$B177,12*$B$9,-12*MAX(0,$B$8-IF($B$1+23&gt;=$B$23,$B$22,0))*(1+$B$4)^23))*IF(Y177+IF($B$1+23&lt;=$B177,12*$B$9,-12*MAX(0,$B$8-IF($B$1+23&gt;=$B$23,$B$22,0))*(1+$B$4)^23)&gt;0,1+$B$3,1))</f>
        <v/>
      </c>
      <c r="AA177">
        <f>IF($B$1+24&gt;90,Z177,(Z177+IF($B$1+24&lt;=$B177,12*$B$9,-12*MAX(0,$B$8-IF($B$1+24&gt;=$B$23,$B$22,0))*(1+$B$4)^24))*IF(Z177+IF($B$1+24&lt;=$B177,12*$B$9,-12*MAX(0,$B$8-IF($B$1+24&gt;=$B$23,$B$22,0))*(1+$B$4)^24)&gt;0,1+$B$3,1))</f>
        <v/>
      </c>
      <c r="AB177">
        <f>IF($B$1+25&gt;90,AA177,(AA177+IF($B$1+25&lt;=$B177,12*$B$9,-12*MAX(0,$B$8-IF($B$1+25&gt;=$B$23,$B$22,0))*(1+$B$4)^25))*IF(AA177+IF($B$1+25&lt;=$B177,12*$B$9,-12*MAX(0,$B$8-IF($B$1+25&gt;=$B$23,$B$22,0))*(1+$B$4)^25)&gt;0,1+$B$3,1))</f>
        <v/>
      </c>
      <c r="AC177">
        <f>IF($B$1+26&gt;90,AB177,(AB177+IF($B$1+26&lt;=$B177,12*$B$9,-12*MAX(0,$B$8-IF($B$1+26&gt;=$B$23,$B$22,0))*(1+$B$4)^26))*IF(AB177+IF($B$1+26&lt;=$B177,12*$B$9,-12*MAX(0,$B$8-IF($B$1+26&gt;=$B$23,$B$22,0))*(1+$B$4)^26)&gt;0,1+$B$3,1))</f>
        <v/>
      </c>
      <c r="AD177">
        <f>IF($B$1+27&gt;90,AC177,(AC177+IF($B$1+27&lt;=$B177,12*$B$9,-12*MAX(0,$B$8-IF($B$1+27&gt;=$B$23,$B$22,0))*(1+$B$4)^27))*IF(AC177+IF($B$1+27&lt;=$B177,12*$B$9,-12*MAX(0,$B$8-IF($B$1+27&gt;=$B$23,$B$22,0))*(1+$B$4)^27)&gt;0,1+$B$3,1))</f>
        <v/>
      </c>
      <c r="AE177">
        <f>IF($B$1+28&gt;90,AD177,(AD177+IF($B$1+28&lt;=$B177,12*$B$9,-12*MAX(0,$B$8-IF($B$1+28&gt;=$B$23,$B$22,0))*(1+$B$4)^28))*IF(AD177+IF($B$1+28&lt;=$B177,12*$B$9,-12*MAX(0,$B$8-IF($B$1+28&gt;=$B$23,$B$22,0))*(1+$B$4)^28)&gt;0,1+$B$3,1))</f>
        <v/>
      </c>
      <c r="AF177">
        <f>IF($B$1+29&gt;90,AE177,(AE177+IF($B$1+29&lt;=$B177,12*$B$9,-12*MAX(0,$B$8-IF($B$1+29&gt;=$B$23,$B$22,0))*(1+$B$4)^29))*IF(AE177+IF($B$1+29&lt;=$B177,12*$B$9,-12*MAX(0,$B$8-IF($B$1+29&gt;=$B$23,$B$22,0))*(1+$B$4)^29)&gt;0,1+$B$3,1))</f>
        <v/>
      </c>
      <c r="AG177">
        <f>IF($B$1+30&gt;90,AF177,(AF177+IF($B$1+30&lt;=$B177,12*$B$9,-12*MAX(0,$B$8-IF($B$1+30&gt;=$B$23,$B$22,0))*(1+$B$4)^30))*IF(AF177+IF($B$1+30&lt;=$B177,12*$B$9,-12*MAX(0,$B$8-IF($B$1+30&gt;=$B$23,$B$22,0))*(1+$B$4)^30)&gt;0,1+$B$3,1))</f>
        <v/>
      </c>
      <c r="AH177">
        <f>IF($B$1+31&gt;90,AG177,(AG177+IF($B$1+31&lt;=$B177,12*$B$9,-12*MAX(0,$B$8-IF($B$1+31&gt;=$B$23,$B$22,0))*(1+$B$4)^31))*IF(AG177+IF($B$1+31&lt;=$B177,12*$B$9,-12*MAX(0,$B$8-IF($B$1+31&gt;=$B$23,$B$22,0))*(1+$B$4)^31)&gt;0,1+$B$3,1))</f>
        <v/>
      </c>
      <c r="AI177">
        <f>IF($B$1+32&gt;90,AH177,(AH177+IF($B$1+32&lt;=$B177,12*$B$9,-12*MAX(0,$B$8-IF($B$1+32&gt;=$B$23,$B$22,0))*(1+$B$4)^32))*IF(AH177+IF($B$1+32&lt;=$B177,12*$B$9,-12*MAX(0,$B$8-IF($B$1+32&gt;=$B$23,$B$22,0))*(1+$B$4)^32)&gt;0,1+$B$3,1))</f>
        <v/>
      </c>
      <c r="AJ177">
        <f>IF($B$1+33&gt;90,AI177,(AI177+IF($B$1+33&lt;=$B177,12*$B$9,-12*MAX(0,$B$8-IF($B$1+33&gt;=$B$23,$B$22,0))*(1+$B$4)^33))*IF(AI177+IF($B$1+33&lt;=$B177,12*$B$9,-12*MAX(0,$B$8-IF($B$1+33&gt;=$B$23,$B$22,0))*(1+$B$4)^33)&gt;0,1+$B$3,1))</f>
        <v/>
      </c>
      <c r="AK177">
        <f>IF($B$1+34&gt;90,AJ177,(AJ177+IF($B$1+34&lt;=$B177,12*$B$9,-12*MAX(0,$B$8-IF($B$1+34&gt;=$B$23,$B$22,0))*(1+$B$4)^34))*IF(AJ177+IF($B$1+34&lt;=$B177,12*$B$9,-12*MAX(0,$B$8-IF($B$1+34&gt;=$B$23,$B$22,0))*(1+$B$4)^34)&gt;0,1+$B$3,1))</f>
        <v/>
      </c>
      <c r="AL177">
        <f>IF($B$1+35&gt;90,AK177,(AK177+IF($B$1+35&lt;=$B177,12*$B$9,-12*MAX(0,$B$8-IF($B$1+35&gt;=$B$23,$B$22,0))*(1+$B$4)^35))*IF(AK177+IF($B$1+35&lt;=$B177,12*$B$9,-12*MAX(0,$B$8-IF($B$1+35&gt;=$B$23,$B$22,0))*(1+$B$4)^35)&gt;0,1+$B$3,1))</f>
        <v/>
      </c>
      <c r="AM177">
        <f>IF($B$1+36&gt;90,AL177,(AL177+IF($B$1+36&lt;=$B177,12*$B$9,-12*MAX(0,$B$8-IF($B$1+36&gt;=$B$23,$B$22,0))*(1+$B$4)^36))*IF(AL177+IF($B$1+36&lt;=$B177,12*$B$9,-12*MAX(0,$B$8-IF($B$1+36&gt;=$B$23,$B$22,0))*(1+$B$4)^36)&gt;0,1+$B$3,1))</f>
        <v/>
      </c>
      <c r="AN177">
        <f>IF($B$1+37&gt;90,AM177,(AM177+IF($B$1+37&lt;=$B177,12*$B$9,-12*MAX(0,$B$8-IF($B$1+37&gt;=$B$23,$B$22,0))*(1+$B$4)^37))*IF(AM177+IF($B$1+37&lt;=$B177,12*$B$9,-12*MAX(0,$B$8-IF($B$1+37&gt;=$B$23,$B$22,0))*(1+$B$4)^37)&gt;0,1+$B$3,1))</f>
        <v/>
      </c>
      <c r="AO177">
        <f>IF($B$1+38&gt;90,AN177,(AN177+IF($B$1+38&lt;=$B177,12*$B$9,-12*MAX(0,$B$8-IF($B$1+38&gt;=$B$23,$B$22,0))*(1+$B$4)^38))*IF(AN177+IF($B$1+38&lt;=$B177,12*$B$9,-12*MAX(0,$B$8-IF($B$1+38&gt;=$B$23,$B$22,0))*(1+$B$4)^38)&gt;0,1+$B$3,1))</f>
        <v/>
      </c>
      <c r="AP177">
        <f>IF($B$1+39&gt;90,AO177,(AO177+IF($B$1+39&lt;=$B177,12*$B$9,-12*MAX(0,$B$8-IF($B$1+39&gt;=$B$23,$B$22,0))*(1+$B$4)^39))*IF(AO177+IF($B$1+39&lt;=$B177,12*$B$9,-12*MAX(0,$B$8-IF($B$1+39&gt;=$B$23,$B$22,0))*(1+$B$4)^39)&gt;0,1+$B$3,1))</f>
        <v/>
      </c>
      <c r="AQ177">
        <f>IF($B$1+40&gt;90,AP177,(AP177+IF($B$1+40&lt;=$B177,12*$B$9,-12*MAX(0,$B$8-IF($B$1+40&gt;=$B$23,$B$22,0))*(1+$B$4)^40))*IF(AP177+IF($B$1+40&lt;=$B177,12*$B$9,-12*MAX(0,$B$8-IF($B$1+40&gt;=$B$23,$B$22,0))*(1+$B$4)^40)&gt;0,1+$B$3,1))</f>
        <v/>
      </c>
      <c r="AR177">
        <f>IF($B$1+41&gt;90,AQ177,(AQ177+IF($B$1+41&lt;=$B177,12*$B$9,-12*MAX(0,$B$8-IF($B$1+41&gt;=$B$23,$B$22,0))*(1+$B$4)^41))*IF(AQ177+IF($B$1+41&lt;=$B177,12*$B$9,-12*MAX(0,$B$8-IF($B$1+41&gt;=$B$23,$B$22,0))*(1+$B$4)^41)&gt;0,1+$B$3,1))</f>
        <v/>
      </c>
      <c r="AS177">
        <f>IF($B$1+42&gt;90,AR177,(AR177+IF($B$1+42&lt;=$B177,12*$B$9,-12*MAX(0,$B$8-IF($B$1+42&gt;=$B$23,$B$22,0))*(1+$B$4)^42))*IF(AR177+IF($B$1+42&lt;=$B177,12*$B$9,-12*MAX(0,$B$8-IF($B$1+42&gt;=$B$23,$B$22,0))*(1+$B$4)^42)&gt;0,1+$B$3,1))</f>
        <v/>
      </c>
      <c r="AT177">
        <f>IF($B$1+43&gt;90,AS177,(AS177+IF($B$1+43&lt;=$B177,12*$B$9,-12*MAX(0,$B$8-IF($B$1+43&gt;=$B$23,$B$22,0))*(1+$B$4)^43))*IF(AS177+IF($B$1+43&lt;=$B177,12*$B$9,-12*MAX(0,$B$8-IF($B$1+43&gt;=$B$23,$B$22,0))*(1+$B$4)^43)&gt;0,1+$B$3,1))</f>
        <v/>
      </c>
      <c r="AU177">
        <f>IF($B$1+44&gt;90,AT177,(AT177+IF($B$1+44&lt;=$B177,12*$B$9,-12*MAX(0,$B$8-IF($B$1+44&gt;=$B$23,$B$22,0))*(1+$B$4)^44))*IF(AT177+IF($B$1+44&lt;=$B177,12*$B$9,-12*MAX(0,$B$8-IF($B$1+44&gt;=$B$23,$B$22,0))*(1+$B$4)^44)&gt;0,1+$B$3,1))</f>
        <v/>
      </c>
      <c r="AV177">
        <f>IF($B$1+45&gt;90,AU177,(AU177+IF($B$1+45&lt;=$B177,12*$B$9,-12*MAX(0,$B$8-IF($B$1+45&gt;=$B$23,$B$22,0))*(1+$B$4)^45))*IF(AU177+IF($B$1+45&lt;=$B177,12*$B$9,-12*MAX(0,$B$8-IF($B$1+45&gt;=$B$23,$B$22,0))*(1+$B$4)^45)&gt;0,1+$B$3,1))</f>
        <v/>
      </c>
      <c r="AW177">
        <f>IF($B$1+46&gt;90,AV177,(AV177+IF($B$1+46&lt;=$B177,12*$B$9,-12*MAX(0,$B$8-IF($B$1+46&gt;=$B$23,$B$22,0))*(1+$B$4)^46))*IF(AV177+IF($B$1+46&lt;=$B177,12*$B$9,-12*MAX(0,$B$8-IF($B$1+46&gt;=$B$23,$B$22,0))*(1+$B$4)^46)&gt;0,1+$B$3,1))</f>
        <v/>
      </c>
      <c r="AX177">
        <f>IF($B$1+47&gt;90,AW177,(AW177+IF($B$1+47&lt;=$B177,12*$B$9,-12*MAX(0,$B$8-IF($B$1+47&gt;=$B$23,$B$22,0))*(1+$B$4)^47))*IF(AW177+IF($B$1+47&lt;=$B177,12*$B$9,-12*MAX(0,$B$8-IF($B$1+47&gt;=$B$23,$B$22,0))*(1+$B$4)^47)&gt;0,1+$B$3,1))</f>
        <v/>
      </c>
      <c r="AY177">
        <f>IF($B$1+48&gt;90,AX177,(AX177+IF($B$1+48&lt;=$B177,12*$B$9,-12*MAX(0,$B$8-IF($B$1+48&gt;=$B$23,$B$22,0))*(1+$B$4)^48))*IF(AX177+IF($B$1+48&lt;=$B177,12*$B$9,-12*MAX(0,$B$8-IF($B$1+48&gt;=$B$23,$B$22,0))*(1+$B$4)^48)&gt;0,1+$B$3,1))</f>
        <v/>
      </c>
      <c r="AZ177">
        <f>IF($B$1+49&gt;90,AY177,(AY177+IF($B$1+49&lt;=$B177,12*$B$9,-12*MAX(0,$B$8-IF($B$1+49&gt;=$B$23,$B$22,0))*(1+$B$4)^49))*IF(AY177+IF($B$1+49&lt;=$B177,12*$B$9,-12*MAX(0,$B$8-IF($B$1+49&gt;=$B$23,$B$22,0))*(1+$B$4)^49)&gt;0,1+$B$3,1))</f>
        <v/>
      </c>
      <c r="BA177">
        <f>IF($B$1+50&gt;90,AZ177,(AZ177+IF($B$1+50&lt;=$B177,12*$B$9,-12*MAX(0,$B$8-IF($B$1+50&gt;=$B$23,$B$22,0))*(1+$B$4)^50))*IF(AZ177+IF($B$1+50&lt;=$B177,12*$B$9,-12*MAX(0,$B$8-IF($B$1+50&gt;=$B$23,$B$22,0))*(1+$B$4)^50)&gt;0,1+$B$3,1))</f>
        <v/>
      </c>
      <c r="BB177">
        <f>IF($B$1+51&gt;90,BA177,(BA177+IF($B$1+51&lt;=$B177,12*$B$9,-12*MAX(0,$B$8-IF($B$1+51&gt;=$B$23,$B$22,0))*(1+$B$4)^51))*IF(BA177+IF($B$1+51&lt;=$B177,12*$B$9,-12*MAX(0,$B$8-IF($B$1+51&gt;=$B$23,$B$22,0))*(1+$B$4)^51)&gt;0,1+$B$3,1))</f>
        <v/>
      </c>
      <c r="BC177">
        <f>IF($B$1+52&gt;90,BB177,(BB177+IF($B$1+52&lt;=$B177,12*$B$9,-12*MAX(0,$B$8-IF($B$1+52&gt;=$B$23,$B$22,0))*(1+$B$4)^52))*IF(BB177+IF($B$1+52&lt;=$B177,12*$B$9,-12*MAX(0,$B$8-IF($B$1+52&gt;=$B$23,$B$22,0))*(1+$B$4)^52)&gt;0,1+$B$3,1))</f>
        <v/>
      </c>
      <c r="BD177">
        <f>IF($B$1+53&gt;90,BC177,(BC177+IF($B$1+53&lt;=$B177,12*$B$9,-12*MAX(0,$B$8-IF($B$1+53&gt;=$B$23,$B$22,0))*(1+$B$4)^53))*IF(BC177+IF($B$1+53&lt;=$B177,12*$B$9,-12*MAX(0,$B$8-IF($B$1+53&gt;=$B$23,$B$22,0))*(1+$B$4)^53)&gt;0,1+$B$3,1))</f>
        <v/>
      </c>
      <c r="BE177">
        <f>IF($B$1+54&gt;90,BD177,(BD177+IF($B$1+54&lt;=$B177,12*$B$9,-12*MAX(0,$B$8-IF($B$1+54&gt;=$B$23,$B$22,0))*(1+$B$4)^54))*IF(BD177+IF($B$1+54&lt;=$B177,12*$B$9,-12*MAX(0,$B$8-IF($B$1+54&gt;=$B$23,$B$22,0))*(1+$B$4)^54)&gt;0,1+$B$3,1))</f>
        <v/>
      </c>
      <c r="BF177">
        <f>IF($B$1+55&gt;90,BE177,(BE177+IF($B$1+55&lt;=$B177,12*$B$9,-12*MAX(0,$B$8-IF($B$1+55&gt;=$B$23,$B$22,0))*(1+$B$4)^55))*IF(BE177+IF($B$1+55&lt;=$B177,12*$B$9,-12*MAX(0,$B$8-IF($B$1+55&gt;=$B$23,$B$22,0))*(1+$B$4)^55)&gt;0,1+$B$3,1))</f>
        <v/>
      </c>
      <c r="BG177">
        <f>IF($B$1+56&gt;90,BF177,(BF177+IF($B$1+56&lt;=$B177,12*$B$9,-12*MAX(0,$B$8-IF($B$1+56&gt;=$B$23,$B$22,0))*(1+$B$4)^56))*IF(BF177+IF($B$1+56&lt;=$B177,12*$B$9,-12*MAX(0,$B$8-IF($B$1+56&gt;=$B$23,$B$22,0))*(1+$B$4)^56)&gt;0,1+$B$3,1))</f>
        <v/>
      </c>
      <c r="BH177">
        <f>IF($B$1+57&gt;90,BG177,(BG177+IF($B$1+57&lt;=$B177,12*$B$9,-12*MAX(0,$B$8-IF($B$1+57&gt;=$B$23,$B$22,0))*(1+$B$4)^57))*IF(BG177+IF($B$1+57&lt;=$B177,12*$B$9,-12*MAX(0,$B$8-IF($B$1+57&gt;=$B$23,$B$22,0))*(1+$B$4)^57)&gt;0,1+$B$3,1))</f>
        <v/>
      </c>
      <c r="BI177">
        <f>IF($B$1+58&gt;90,BH177,(BH177+IF($B$1+58&lt;=$B177,12*$B$9,-12*MAX(0,$B$8-IF($B$1+58&gt;=$B$23,$B$22,0))*(1+$B$4)^58))*IF(BH177+IF($B$1+58&lt;=$B177,12*$B$9,-12*MAX(0,$B$8-IF($B$1+58&gt;=$B$23,$B$22,0))*(1+$B$4)^58)&gt;0,1+$B$3,1))</f>
        <v/>
      </c>
      <c r="BJ177">
        <f>IF($B$1+59&gt;90,BI177,(BI177+IF($B$1+59&lt;=$B177,12*$B$9,-12*MAX(0,$B$8-IF($B$1+59&gt;=$B$23,$B$22,0))*(1+$B$4)^59))*IF(BI177+IF($B$1+59&lt;=$B177,12*$B$9,-12*MAX(0,$B$8-IF($B$1+59&gt;=$B$23,$B$22,0))*(1+$B$4)^59)&gt;0,1+$B$3,1))</f>
        <v/>
      </c>
      <c r="BK177">
        <f>IF($B$1+60&gt;90,BJ177,(BJ177+IF($B$1+60&lt;=$B177,12*$B$9,-12*MAX(0,$B$8-IF($B$1+60&gt;=$B$23,$B$22,0))*(1+$B$4)^60))*IF(BJ177+IF($B$1+60&lt;=$B177,12*$B$9,-12*MAX(0,$B$8-IF($B$1+60&gt;=$B$23,$B$22,0))*(1+$B$4)^60)&gt;0,1+$B$3,1))</f>
        <v/>
      </c>
      <c r="BL177">
        <f>IF($B$1+61&gt;90,BK177,(BK177+IF($B$1+61&lt;=$B177,12*$B$9,-12*MAX(0,$B$8-IF($B$1+61&gt;=$B$23,$B$22,0))*(1+$B$4)^61))*IF(BK177+IF($B$1+61&lt;=$B177,12*$B$9,-12*MAX(0,$B$8-IF($B$1+61&gt;=$B$23,$B$22,0))*(1+$B$4)^61)&gt;0,1+$B$3,1))</f>
        <v/>
      </c>
      <c r="BM177">
        <f>IF($B$1+62&gt;90,BL177,(BL177+IF($B$1+62&lt;=$B177,12*$B$9,-12*MAX(0,$B$8-IF($B$1+62&gt;=$B$23,$B$22,0))*(1+$B$4)^62))*IF(BL177+IF($B$1+62&lt;=$B177,12*$B$9,-12*MAX(0,$B$8-IF($B$1+62&gt;=$B$23,$B$22,0))*(1+$B$4)^62)&gt;0,1+$B$3,1))</f>
        <v/>
      </c>
      <c r="BN177">
        <f>IF($B$1+63&gt;90,BM177,(BM177+IF($B$1+63&lt;=$B177,12*$B$9,-12*MAX(0,$B$8-IF($B$1+63&gt;=$B$23,$B$22,0))*(1+$B$4)^63))*IF(BM177+IF($B$1+63&lt;=$B177,12*$B$9,-12*MAX(0,$B$8-IF($B$1+63&gt;=$B$23,$B$22,0))*(1+$B$4)^63)&gt;0,1+$B$3,1))</f>
        <v/>
      </c>
      <c r="BO177">
        <f>IF($B$1+64&gt;90,BN177,(BN177+IF($B$1+64&lt;=$B177,12*$B$9,-12*MAX(0,$B$8-IF($B$1+64&gt;=$B$23,$B$22,0))*(1+$B$4)^64))*IF(BN177+IF($B$1+64&lt;=$B177,12*$B$9,-12*MAX(0,$B$8-IF($B$1+64&gt;=$B$23,$B$22,0))*(1+$B$4)^64)&gt;0,1+$B$3,1))</f>
        <v/>
      </c>
      <c r="BP177">
        <f>IF($B$1+65&gt;90,BO177,(BO177+IF($B$1+65&lt;=$B177,12*$B$9,-12*MAX(0,$B$8-IF($B$1+65&gt;=$B$23,$B$22,0))*(1+$B$4)^65))*IF(BO177+IF($B$1+65&lt;=$B177,12*$B$9,-12*MAX(0,$B$8-IF($B$1+65&gt;=$B$23,$B$22,0))*(1+$B$4)^65)&gt;0,1+$B$3,1))</f>
        <v/>
      </c>
      <c r="BQ177">
        <f>IF($B$1+66&gt;90,BP177,(BP177+IF($B$1+66&lt;=$B177,12*$B$9,-12*MAX(0,$B$8-IF($B$1+66&gt;=$B$23,$B$22,0))*(1+$B$4)^66))*IF(BP177+IF($B$1+66&lt;=$B177,12*$B$9,-12*MAX(0,$B$8-IF($B$1+66&gt;=$B$23,$B$22,0))*(1+$B$4)^66)&gt;0,1+$B$3,1))</f>
        <v/>
      </c>
      <c r="BR177">
        <f>IF($B$1+67&gt;90,BQ177,(BQ177+IF($B$1+67&lt;=$B177,12*$B$9,-12*MAX(0,$B$8-IF($B$1+67&gt;=$B$23,$B$22,0))*(1+$B$4)^67))*IF(BQ177+IF($B$1+67&lt;=$B177,12*$B$9,-12*MAX(0,$B$8-IF($B$1+67&gt;=$B$23,$B$22,0))*(1+$B$4)^67)&gt;0,1+$B$3,1))</f>
        <v/>
      </c>
      <c r="BS177">
        <f>IF($B$1+68&gt;90,BR177,(BR177+IF($B$1+68&lt;=$B177,12*$B$9,-12*MAX(0,$B$8-IF($B$1+68&gt;=$B$23,$B$22,0))*(1+$B$4)^68))*IF(BR177+IF($B$1+68&lt;=$B177,12*$B$9,-12*MAX(0,$B$8-IF($B$1+68&gt;=$B$23,$B$22,0))*(1+$B$4)^68)&gt;0,1+$B$3,1))</f>
        <v/>
      </c>
      <c r="BT177">
        <f>IF($B$1+69&gt;90,BS177,(BS177+IF($B$1+69&lt;=$B177,12*$B$9,-12*MAX(0,$B$8-IF($B$1+69&gt;=$B$23,$B$22,0))*(1+$B$4)^69))*IF(BS177+IF($B$1+69&lt;=$B177,12*$B$9,-12*MAX(0,$B$8-IF($B$1+69&gt;=$B$23,$B$22,0))*(1+$B$4)^69)&gt;0,1+$B$3,1))</f>
        <v/>
      </c>
      <c r="BU177">
        <f>IF($B$1+70&gt;90,BT177,(BT177+IF($B$1+70&lt;=$B177,12*$B$9,-12*MAX(0,$B$8-IF($B$1+70&gt;=$B$23,$B$22,0))*(1+$B$4)^70))*IF(BT177+IF($B$1+70&lt;=$B177,12*$B$9,-12*MAX(0,$B$8-IF($B$1+70&gt;=$B$23,$B$22,0))*(1+$B$4)^70)&gt;0,1+$B$3,1))</f>
        <v/>
      </c>
      <c r="BV177">
        <f>BU177</f>
        <v/>
      </c>
      <c r="BW177">
        <f>IF(AND($B177&lt;=70,BV177&gt;0),$B177,999)</f>
        <v/>
      </c>
      <c r="CH177">
        <f>IF(ISTEXT('월 가계부'!A177),SUBSTITUTE(SUBSTITUTE(SUBSTITUTE(SUBSTITUTE(SUBSTITUTE(SUBSTITUTE(SUBSTITUTE(SUBSTITUTE(SUBSTITUTE(TRIM('월 가계부'!A177),"년","-"),"월","-"),"일",""),".","-"),"/","-")," ","-"),"--","-"),"--","-"),"--","-")&amp;"-","")</f>
        <v/>
      </c>
      <c r="CI177">
        <f>IFERROR(IF('월 가계부'!A177="","",IF(ISNUMBER('월 가계부'!A177),IF(AND('월 가계부'!A177&gt;=19000101,'월 가계부'!A177&lt;=21001231),IF(AND(MOD(INT('월 가계부'!A177/100),100)&gt;=1,MOD(INT('월 가계부'!A177/100),100)&lt;=12,MOD(INT('월 가계부'!A177),100)&gt;=1,MOD(INT('월 가계부'!A177),100)&lt;=31),IF(MONTH(DATE(INT('월 가계부'!A177/10000),MOD(INT('월 가계부'!A177/100),100),MOD(INT('월 가계부'!A177),100)))=MOD(INT('월 가계부'!A177/100),100),DATE(INT('월 가계부'!A177/10000),MOD(INT('월 가계부'!A177/100),100),MOD(INT('월 가계부'!A177),100)),""),""),IF(AND('월 가계부'!A177&gt;=36526,'월 가계부'!A177&lt;73051),INT('월 가계부'!A177),"")),IF(OR(CM177="",CN177="",CO177=""),"",IF(AND(CM177&gt;=2000,CM177&lt;=2099,CN177&gt;=1,CN177&lt;=12,CO177&gt;=1,CO177&lt;=31),IF(MONTH(DATE(CM177,CN177,CO177))=CN177,DATE(CM177,CN177,CO177),""),"")))),"")</f>
        <v/>
      </c>
      <c r="CJ177">
        <f>IFERROR(IF('월 가계부'!C177="","",IF(ISNUMBER('월 가계부'!C177),'월 가계부'!C177,VALUE(SUBSTITUTE(SUBSTITUTE(SUBSTITUTE(SUBSTITUTE(TRIM('월 가계부'!C177),",",""),"원","")," ",""),"−","-")))),"")</f>
        <v/>
      </c>
      <c r="CK177">
        <f>IF(ISNUMBER(CI177),IF(CI177&lt;$B$13,CI177,""),"")</f>
        <v/>
      </c>
      <c r="CM177">
        <f>IF(CH177="","",IFERROR(IF(IF(AND(LEN(CH177)=9,ISERROR(FIND("-",LEFT(CH177,8))),ISNUMBER(-LEFT(CH177,8))),VALUE(LEFT(CH177,4)),VALUE(LEFT(CH177,FIND("-",CH177)-1)))&lt;100,IF(AND(LEN(CH177)=9,ISERROR(FIND("-",LEFT(CH177,8))),ISNUMBER(-LEFT(CH177,8))),VALUE(LEFT(CH177,4)),VALUE(LEFT(CH177,FIND("-",CH177)-1)))+2000,IF(AND(LEN(CH177)=9,ISERROR(FIND("-",LEFT(CH177,8))),ISNUMBER(-LEFT(CH177,8))),VALUE(LEFT(CH177,4)),VALUE(LEFT(CH177,FIND("-",CH177)-1)))),""))</f>
        <v/>
      </c>
      <c r="CN177">
        <f>IF(CH177="","",IFERROR(IF(AND(LEN(CH177)=9,ISERROR(FIND("-",LEFT(CH177,8))),ISNUMBER(-LEFT(CH177,8))),VALUE(MID(CH177,5,2)),VALUE(MID(CH177,FIND("-",CH177)+1,FIND("-",CH177,FIND("-",CH177)+1)-FIND("-",CH177)-1))),""))</f>
        <v/>
      </c>
      <c r="CO177">
        <f>IF(CH177="","",IFERROR(IF(AND(LEN(CH177)=9,ISERROR(FIND("-",LEFT(CH177,8))),ISNUMBER(-LEFT(CH177,8))),VALUE(MID(CH177,7,2)),VALUE(MID(CH177,FIND("-",CH177,FIND("-",CH177)+1)+1,FIND("-",CH177,FIND("-",CH177,FIND("-",CH177)+1)+1)-FIND("-",CH177,FIND("-",CH177)+1)-1))),""))</f>
        <v/>
      </c>
    </row>
    <row r="178">
      <c r="A178" t="n">
        <v>26</v>
      </c>
      <c r="B178">
        <f>$B$1+26</f>
        <v/>
      </c>
      <c r="C178">
        <f>$B$2</f>
        <v/>
      </c>
      <c r="D178">
        <f>IF($B$1+1&gt;90,C178,(C178+IF($B$1+1&lt;=$B178,12*$B$9,-12*MAX(0,$B$8-IF($B$1+1&gt;=$B$23,$B$22,0))*(1+$B$4)^1))*IF(C178+IF($B$1+1&lt;=$B178,12*$B$9,-12*MAX(0,$B$8-IF($B$1+1&gt;=$B$23,$B$22,0))*(1+$B$4)^1)&gt;0,1+$B$3,1))</f>
        <v/>
      </c>
      <c r="E178">
        <f>IF($B$1+2&gt;90,D178,(D178+IF($B$1+2&lt;=$B178,12*$B$9,-12*MAX(0,$B$8-IF($B$1+2&gt;=$B$23,$B$22,0))*(1+$B$4)^2))*IF(D178+IF($B$1+2&lt;=$B178,12*$B$9,-12*MAX(0,$B$8-IF($B$1+2&gt;=$B$23,$B$22,0))*(1+$B$4)^2)&gt;0,1+$B$3,1))</f>
        <v/>
      </c>
      <c r="F178">
        <f>IF($B$1+3&gt;90,E178,(E178+IF($B$1+3&lt;=$B178,12*$B$9,-12*MAX(0,$B$8-IF($B$1+3&gt;=$B$23,$B$22,0))*(1+$B$4)^3))*IF(E178+IF($B$1+3&lt;=$B178,12*$B$9,-12*MAX(0,$B$8-IF($B$1+3&gt;=$B$23,$B$22,0))*(1+$B$4)^3)&gt;0,1+$B$3,1))</f>
        <v/>
      </c>
      <c r="G178">
        <f>IF($B$1+4&gt;90,F178,(F178+IF($B$1+4&lt;=$B178,12*$B$9,-12*MAX(0,$B$8-IF($B$1+4&gt;=$B$23,$B$22,0))*(1+$B$4)^4))*IF(F178+IF($B$1+4&lt;=$B178,12*$B$9,-12*MAX(0,$B$8-IF($B$1+4&gt;=$B$23,$B$22,0))*(1+$B$4)^4)&gt;0,1+$B$3,1))</f>
        <v/>
      </c>
      <c r="H178">
        <f>IF($B$1+5&gt;90,G178,(G178+IF($B$1+5&lt;=$B178,12*$B$9,-12*MAX(0,$B$8-IF($B$1+5&gt;=$B$23,$B$22,0))*(1+$B$4)^5))*IF(G178+IF($B$1+5&lt;=$B178,12*$B$9,-12*MAX(0,$B$8-IF($B$1+5&gt;=$B$23,$B$22,0))*(1+$B$4)^5)&gt;0,1+$B$3,1))</f>
        <v/>
      </c>
      <c r="I178">
        <f>IF($B$1+6&gt;90,H178,(H178+IF($B$1+6&lt;=$B178,12*$B$9,-12*MAX(0,$B$8-IF($B$1+6&gt;=$B$23,$B$22,0))*(1+$B$4)^6))*IF(H178+IF($B$1+6&lt;=$B178,12*$B$9,-12*MAX(0,$B$8-IF($B$1+6&gt;=$B$23,$B$22,0))*(1+$B$4)^6)&gt;0,1+$B$3,1))</f>
        <v/>
      </c>
      <c r="J178">
        <f>IF($B$1+7&gt;90,I178,(I178+IF($B$1+7&lt;=$B178,12*$B$9,-12*MAX(0,$B$8-IF($B$1+7&gt;=$B$23,$B$22,0))*(1+$B$4)^7))*IF(I178+IF($B$1+7&lt;=$B178,12*$B$9,-12*MAX(0,$B$8-IF($B$1+7&gt;=$B$23,$B$22,0))*(1+$B$4)^7)&gt;0,1+$B$3,1))</f>
        <v/>
      </c>
      <c r="K178">
        <f>IF($B$1+8&gt;90,J178,(J178+IF($B$1+8&lt;=$B178,12*$B$9,-12*MAX(0,$B$8-IF($B$1+8&gt;=$B$23,$B$22,0))*(1+$B$4)^8))*IF(J178+IF($B$1+8&lt;=$B178,12*$B$9,-12*MAX(0,$B$8-IF($B$1+8&gt;=$B$23,$B$22,0))*(1+$B$4)^8)&gt;0,1+$B$3,1))</f>
        <v/>
      </c>
      <c r="L178">
        <f>IF($B$1+9&gt;90,K178,(K178+IF($B$1+9&lt;=$B178,12*$B$9,-12*MAX(0,$B$8-IF($B$1+9&gt;=$B$23,$B$22,0))*(1+$B$4)^9))*IF(K178+IF($B$1+9&lt;=$B178,12*$B$9,-12*MAX(0,$B$8-IF($B$1+9&gt;=$B$23,$B$22,0))*(1+$B$4)^9)&gt;0,1+$B$3,1))</f>
        <v/>
      </c>
      <c r="M178">
        <f>IF($B$1+10&gt;90,L178,(L178+IF($B$1+10&lt;=$B178,12*$B$9,-12*MAX(0,$B$8-IF($B$1+10&gt;=$B$23,$B$22,0))*(1+$B$4)^10))*IF(L178+IF($B$1+10&lt;=$B178,12*$B$9,-12*MAX(0,$B$8-IF($B$1+10&gt;=$B$23,$B$22,0))*(1+$B$4)^10)&gt;0,1+$B$3,1))</f>
        <v/>
      </c>
      <c r="N178">
        <f>IF($B$1+11&gt;90,M178,(M178+IF($B$1+11&lt;=$B178,12*$B$9,-12*MAX(0,$B$8-IF($B$1+11&gt;=$B$23,$B$22,0))*(1+$B$4)^11))*IF(M178+IF($B$1+11&lt;=$B178,12*$B$9,-12*MAX(0,$B$8-IF($B$1+11&gt;=$B$23,$B$22,0))*(1+$B$4)^11)&gt;0,1+$B$3,1))</f>
        <v/>
      </c>
      <c r="O178">
        <f>IF($B$1+12&gt;90,N178,(N178+IF($B$1+12&lt;=$B178,12*$B$9,-12*MAX(0,$B$8-IF($B$1+12&gt;=$B$23,$B$22,0))*(1+$B$4)^12))*IF(N178+IF($B$1+12&lt;=$B178,12*$B$9,-12*MAX(0,$B$8-IF($B$1+12&gt;=$B$23,$B$22,0))*(1+$B$4)^12)&gt;0,1+$B$3,1))</f>
        <v/>
      </c>
      <c r="P178">
        <f>IF($B$1+13&gt;90,O178,(O178+IF($B$1+13&lt;=$B178,12*$B$9,-12*MAX(0,$B$8-IF($B$1+13&gt;=$B$23,$B$22,0))*(1+$B$4)^13))*IF(O178+IF($B$1+13&lt;=$B178,12*$B$9,-12*MAX(0,$B$8-IF($B$1+13&gt;=$B$23,$B$22,0))*(1+$B$4)^13)&gt;0,1+$B$3,1))</f>
        <v/>
      </c>
      <c r="Q178">
        <f>IF($B$1+14&gt;90,P178,(P178+IF($B$1+14&lt;=$B178,12*$B$9,-12*MAX(0,$B$8-IF($B$1+14&gt;=$B$23,$B$22,0))*(1+$B$4)^14))*IF(P178+IF($B$1+14&lt;=$B178,12*$B$9,-12*MAX(0,$B$8-IF($B$1+14&gt;=$B$23,$B$22,0))*(1+$B$4)^14)&gt;0,1+$B$3,1))</f>
        <v/>
      </c>
      <c r="R178">
        <f>IF($B$1+15&gt;90,Q178,(Q178+IF($B$1+15&lt;=$B178,12*$B$9,-12*MAX(0,$B$8-IF($B$1+15&gt;=$B$23,$B$22,0))*(1+$B$4)^15))*IF(Q178+IF($B$1+15&lt;=$B178,12*$B$9,-12*MAX(0,$B$8-IF($B$1+15&gt;=$B$23,$B$22,0))*(1+$B$4)^15)&gt;0,1+$B$3,1))</f>
        <v/>
      </c>
      <c r="S178">
        <f>IF($B$1+16&gt;90,R178,(R178+IF($B$1+16&lt;=$B178,12*$B$9,-12*MAX(0,$B$8-IF($B$1+16&gt;=$B$23,$B$22,0))*(1+$B$4)^16))*IF(R178+IF($B$1+16&lt;=$B178,12*$B$9,-12*MAX(0,$B$8-IF($B$1+16&gt;=$B$23,$B$22,0))*(1+$B$4)^16)&gt;0,1+$B$3,1))</f>
        <v/>
      </c>
      <c r="T178">
        <f>IF($B$1+17&gt;90,S178,(S178+IF($B$1+17&lt;=$B178,12*$B$9,-12*MAX(0,$B$8-IF($B$1+17&gt;=$B$23,$B$22,0))*(1+$B$4)^17))*IF(S178+IF($B$1+17&lt;=$B178,12*$B$9,-12*MAX(0,$B$8-IF($B$1+17&gt;=$B$23,$B$22,0))*(1+$B$4)^17)&gt;0,1+$B$3,1))</f>
        <v/>
      </c>
      <c r="U178">
        <f>IF($B$1+18&gt;90,T178,(T178+IF($B$1+18&lt;=$B178,12*$B$9,-12*MAX(0,$B$8-IF($B$1+18&gt;=$B$23,$B$22,0))*(1+$B$4)^18))*IF(T178+IF($B$1+18&lt;=$B178,12*$B$9,-12*MAX(0,$B$8-IF($B$1+18&gt;=$B$23,$B$22,0))*(1+$B$4)^18)&gt;0,1+$B$3,1))</f>
        <v/>
      </c>
      <c r="V178">
        <f>IF($B$1+19&gt;90,U178,(U178+IF($B$1+19&lt;=$B178,12*$B$9,-12*MAX(0,$B$8-IF($B$1+19&gt;=$B$23,$B$22,0))*(1+$B$4)^19))*IF(U178+IF($B$1+19&lt;=$B178,12*$B$9,-12*MAX(0,$B$8-IF($B$1+19&gt;=$B$23,$B$22,0))*(1+$B$4)^19)&gt;0,1+$B$3,1))</f>
        <v/>
      </c>
      <c r="W178">
        <f>IF($B$1+20&gt;90,V178,(V178+IF($B$1+20&lt;=$B178,12*$B$9,-12*MAX(0,$B$8-IF($B$1+20&gt;=$B$23,$B$22,0))*(1+$B$4)^20))*IF(V178+IF($B$1+20&lt;=$B178,12*$B$9,-12*MAX(0,$B$8-IF($B$1+20&gt;=$B$23,$B$22,0))*(1+$B$4)^20)&gt;0,1+$B$3,1))</f>
        <v/>
      </c>
      <c r="X178">
        <f>IF($B$1+21&gt;90,W178,(W178+IF($B$1+21&lt;=$B178,12*$B$9,-12*MAX(0,$B$8-IF($B$1+21&gt;=$B$23,$B$22,0))*(1+$B$4)^21))*IF(W178+IF($B$1+21&lt;=$B178,12*$B$9,-12*MAX(0,$B$8-IF($B$1+21&gt;=$B$23,$B$22,0))*(1+$B$4)^21)&gt;0,1+$B$3,1))</f>
        <v/>
      </c>
      <c r="Y178">
        <f>IF($B$1+22&gt;90,X178,(X178+IF($B$1+22&lt;=$B178,12*$B$9,-12*MAX(0,$B$8-IF($B$1+22&gt;=$B$23,$B$22,0))*(1+$B$4)^22))*IF(X178+IF($B$1+22&lt;=$B178,12*$B$9,-12*MAX(0,$B$8-IF($B$1+22&gt;=$B$23,$B$22,0))*(1+$B$4)^22)&gt;0,1+$B$3,1))</f>
        <v/>
      </c>
      <c r="Z178">
        <f>IF($B$1+23&gt;90,Y178,(Y178+IF($B$1+23&lt;=$B178,12*$B$9,-12*MAX(0,$B$8-IF($B$1+23&gt;=$B$23,$B$22,0))*(1+$B$4)^23))*IF(Y178+IF($B$1+23&lt;=$B178,12*$B$9,-12*MAX(0,$B$8-IF($B$1+23&gt;=$B$23,$B$22,0))*(1+$B$4)^23)&gt;0,1+$B$3,1))</f>
        <v/>
      </c>
      <c r="AA178">
        <f>IF($B$1+24&gt;90,Z178,(Z178+IF($B$1+24&lt;=$B178,12*$B$9,-12*MAX(0,$B$8-IF($B$1+24&gt;=$B$23,$B$22,0))*(1+$B$4)^24))*IF(Z178+IF($B$1+24&lt;=$B178,12*$B$9,-12*MAX(0,$B$8-IF($B$1+24&gt;=$B$23,$B$22,0))*(1+$B$4)^24)&gt;0,1+$B$3,1))</f>
        <v/>
      </c>
      <c r="AB178">
        <f>IF($B$1+25&gt;90,AA178,(AA178+IF($B$1+25&lt;=$B178,12*$B$9,-12*MAX(0,$B$8-IF($B$1+25&gt;=$B$23,$B$22,0))*(1+$B$4)^25))*IF(AA178+IF($B$1+25&lt;=$B178,12*$B$9,-12*MAX(0,$B$8-IF($B$1+25&gt;=$B$23,$B$22,0))*(1+$B$4)^25)&gt;0,1+$B$3,1))</f>
        <v/>
      </c>
      <c r="AC178">
        <f>IF($B$1+26&gt;90,AB178,(AB178+IF($B$1+26&lt;=$B178,12*$B$9,-12*MAX(0,$B$8-IF($B$1+26&gt;=$B$23,$B$22,0))*(1+$B$4)^26))*IF(AB178+IF($B$1+26&lt;=$B178,12*$B$9,-12*MAX(0,$B$8-IF($B$1+26&gt;=$B$23,$B$22,0))*(1+$B$4)^26)&gt;0,1+$B$3,1))</f>
        <v/>
      </c>
      <c r="AD178">
        <f>IF($B$1+27&gt;90,AC178,(AC178+IF($B$1+27&lt;=$B178,12*$B$9,-12*MAX(0,$B$8-IF($B$1+27&gt;=$B$23,$B$22,0))*(1+$B$4)^27))*IF(AC178+IF($B$1+27&lt;=$B178,12*$B$9,-12*MAX(0,$B$8-IF($B$1+27&gt;=$B$23,$B$22,0))*(1+$B$4)^27)&gt;0,1+$B$3,1))</f>
        <v/>
      </c>
      <c r="AE178">
        <f>IF($B$1+28&gt;90,AD178,(AD178+IF($B$1+28&lt;=$B178,12*$B$9,-12*MAX(0,$B$8-IF($B$1+28&gt;=$B$23,$B$22,0))*(1+$B$4)^28))*IF(AD178+IF($B$1+28&lt;=$B178,12*$B$9,-12*MAX(0,$B$8-IF($B$1+28&gt;=$B$23,$B$22,0))*(1+$B$4)^28)&gt;0,1+$B$3,1))</f>
        <v/>
      </c>
      <c r="AF178">
        <f>IF($B$1+29&gt;90,AE178,(AE178+IF($B$1+29&lt;=$B178,12*$B$9,-12*MAX(0,$B$8-IF($B$1+29&gt;=$B$23,$B$22,0))*(1+$B$4)^29))*IF(AE178+IF($B$1+29&lt;=$B178,12*$B$9,-12*MAX(0,$B$8-IF($B$1+29&gt;=$B$23,$B$22,0))*(1+$B$4)^29)&gt;0,1+$B$3,1))</f>
        <v/>
      </c>
      <c r="AG178">
        <f>IF($B$1+30&gt;90,AF178,(AF178+IF($B$1+30&lt;=$B178,12*$B$9,-12*MAX(0,$B$8-IF($B$1+30&gt;=$B$23,$B$22,0))*(1+$B$4)^30))*IF(AF178+IF($B$1+30&lt;=$B178,12*$B$9,-12*MAX(0,$B$8-IF($B$1+30&gt;=$B$23,$B$22,0))*(1+$B$4)^30)&gt;0,1+$B$3,1))</f>
        <v/>
      </c>
      <c r="AH178">
        <f>IF($B$1+31&gt;90,AG178,(AG178+IF($B$1+31&lt;=$B178,12*$B$9,-12*MAX(0,$B$8-IF($B$1+31&gt;=$B$23,$B$22,0))*(1+$B$4)^31))*IF(AG178+IF($B$1+31&lt;=$B178,12*$B$9,-12*MAX(0,$B$8-IF($B$1+31&gt;=$B$23,$B$22,0))*(1+$B$4)^31)&gt;0,1+$B$3,1))</f>
        <v/>
      </c>
      <c r="AI178">
        <f>IF($B$1+32&gt;90,AH178,(AH178+IF($B$1+32&lt;=$B178,12*$B$9,-12*MAX(0,$B$8-IF($B$1+32&gt;=$B$23,$B$22,0))*(1+$B$4)^32))*IF(AH178+IF($B$1+32&lt;=$B178,12*$B$9,-12*MAX(0,$B$8-IF($B$1+32&gt;=$B$23,$B$22,0))*(1+$B$4)^32)&gt;0,1+$B$3,1))</f>
        <v/>
      </c>
      <c r="AJ178">
        <f>IF($B$1+33&gt;90,AI178,(AI178+IF($B$1+33&lt;=$B178,12*$B$9,-12*MAX(0,$B$8-IF($B$1+33&gt;=$B$23,$B$22,0))*(1+$B$4)^33))*IF(AI178+IF($B$1+33&lt;=$B178,12*$B$9,-12*MAX(0,$B$8-IF($B$1+33&gt;=$B$23,$B$22,0))*(1+$B$4)^33)&gt;0,1+$B$3,1))</f>
        <v/>
      </c>
      <c r="AK178">
        <f>IF($B$1+34&gt;90,AJ178,(AJ178+IF($B$1+34&lt;=$B178,12*$B$9,-12*MAX(0,$B$8-IF($B$1+34&gt;=$B$23,$B$22,0))*(1+$B$4)^34))*IF(AJ178+IF($B$1+34&lt;=$B178,12*$B$9,-12*MAX(0,$B$8-IF($B$1+34&gt;=$B$23,$B$22,0))*(1+$B$4)^34)&gt;0,1+$B$3,1))</f>
        <v/>
      </c>
      <c r="AL178">
        <f>IF($B$1+35&gt;90,AK178,(AK178+IF($B$1+35&lt;=$B178,12*$B$9,-12*MAX(0,$B$8-IF($B$1+35&gt;=$B$23,$B$22,0))*(1+$B$4)^35))*IF(AK178+IF($B$1+35&lt;=$B178,12*$B$9,-12*MAX(0,$B$8-IF($B$1+35&gt;=$B$23,$B$22,0))*(1+$B$4)^35)&gt;0,1+$B$3,1))</f>
        <v/>
      </c>
      <c r="AM178">
        <f>IF($B$1+36&gt;90,AL178,(AL178+IF($B$1+36&lt;=$B178,12*$B$9,-12*MAX(0,$B$8-IF($B$1+36&gt;=$B$23,$B$22,0))*(1+$B$4)^36))*IF(AL178+IF($B$1+36&lt;=$B178,12*$B$9,-12*MAX(0,$B$8-IF($B$1+36&gt;=$B$23,$B$22,0))*(1+$B$4)^36)&gt;0,1+$B$3,1))</f>
        <v/>
      </c>
      <c r="AN178">
        <f>IF($B$1+37&gt;90,AM178,(AM178+IF($B$1+37&lt;=$B178,12*$B$9,-12*MAX(0,$B$8-IF($B$1+37&gt;=$B$23,$B$22,0))*(1+$B$4)^37))*IF(AM178+IF($B$1+37&lt;=$B178,12*$B$9,-12*MAX(0,$B$8-IF($B$1+37&gt;=$B$23,$B$22,0))*(1+$B$4)^37)&gt;0,1+$B$3,1))</f>
        <v/>
      </c>
      <c r="AO178">
        <f>IF($B$1+38&gt;90,AN178,(AN178+IF($B$1+38&lt;=$B178,12*$B$9,-12*MAX(0,$B$8-IF($B$1+38&gt;=$B$23,$B$22,0))*(1+$B$4)^38))*IF(AN178+IF($B$1+38&lt;=$B178,12*$B$9,-12*MAX(0,$B$8-IF($B$1+38&gt;=$B$23,$B$22,0))*(1+$B$4)^38)&gt;0,1+$B$3,1))</f>
        <v/>
      </c>
      <c r="AP178">
        <f>IF($B$1+39&gt;90,AO178,(AO178+IF($B$1+39&lt;=$B178,12*$B$9,-12*MAX(0,$B$8-IF($B$1+39&gt;=$B$23,$B$22,0))*(1+$B$4)^39))*IF(AO178+IF($B$1+39&lt;=$B178,12*$B$9,-12*MAX(0,$B$8-IF($B$1+39&gt;=$B$23,$B$22,0))*(1+$B$4)^39)&gt;0,1+$B$3,1))</f>
        <v/>
      </c>
      <c r="AQ178">
        <f>IF($B$1+40&gt;90,AP178,(AP178+IF($B$1+40&lt;=$B178,12*$B$9,-12*MAX(0,$B$8-IF($B$1+40&gt;=$B$23,$B$22,0))*(1+$B$4)^40))*IF(AP178+IF($B$1+40&lt;=$B178,12*$B$9,-12*MAX(0,$B$8-IF($B$1+40&gt;=$B$23,$B$22,0))*(1+$B$4)^40)&gt;0,1+$B$3,1))</f>
        <v/>
      </c>
      <c r="AR178">
        <f>IF($B$1+41&gt;90,AQ178,(AQ178+IF($B$1+41&lt;=$B178,12*$B$9,-12*MAX(0,$B$8-IF($B$1+41&gt;=$B$23,$B$22,0))*(1+$B$4)^41))*IF(AQ178+IF($B$1+41&lt;=$B178,12*$B$9,-12*MAX(0,$B$8-IF($B$1+41&gt;=$B$23,$B$22,0))*(1+$B$4)^41)&gt;0,1+$B$3,1))</f>
        <v/>
      </c>
      <c r="AS178">
        <f>IF($B$1+42&gt;90,AR178,(AR178+IF($B$1+42&lt;=$B178,12*$B$9,-12*MAX(0,$B$8-IF($B$1+42&gt;=$B$23,$B$22,0))*(1+$B$4)^42))*IF(AR178+IF($B$1+42&lt;=$B178,12*$B$9,-12*MAX(0,$B$8-IF($B$1+42&gt;=$B$23,$B$22,0))*(1+$B$4)^42)&gt;0,1+$B$3,1))</f>
        <v/>
      </c>
      <c r="AT178">
        <f>IF($B$1+43&gt;90,AS178,(AS178+IF($B$1+43&lt;=$B178,12*$B$9,-12*MAX(0,$B$8-IF($B$1+43&gt;=$B$23,$B$22,0))*(1+$B$4)^43))*IF(AS178+IF($B$1+43&lt;=$B178,12*$B$9,-12*MAX(0,$B$8-IF($B$1+43&gt;=$B$23,$B$22,0))*(1+$B$4)^43)&gt;0,1+$B$3,1))</f>
        <v/>
      </c>
      <c r="AU178">
        <f>IF($B$1+44&gt;90,AT178,(AT178+IF($B$1+44&lt;=$B178,12*$B$9,-12*MAX(0,$B$8-IF($B$1+44&gt;=$B$23,$B$22,0))*(1+$B$4)^44))*IF(AT178+IF($B$1+44&lt;=$B178,12*$B$9,-12*MAX(0,$B$8-IF($B$1+44&gt;=$B$23,$B$22,0))*(1+$B$4)^44)&gt;0,1+$B$3,1))</f>
        <v/>
      </c>
      <c r="AV178">
        <f>IF($B$1+45&gt;90,AU178,(AU178+IF($B$1+45&lt;=$B178,12*$B$9,-12*MAX(0,$B$8-IF($B$1+45&gt;=$B$23,$B$22,0))*(1+$B$4)^45))*IF(AU178+IF($B$1+45&lt;=$B178,12*$B$9,-12*MAX(0,$B$8-IF($B$1+45&gt;=$B$23,$B$22,0))*(1+$B$4)^45)&gt;0,1+$B$3,1))</f>
        <v/>
      </c>
      <c r="AW178">
        <f>IF($B$1+46&gt;90,AV178,(AV178+IF($B$1+46&lt;=$B178,12*$B$9,-12*MAX(0,$B$8-IF($B$1+46&gt;=$B$23,$B$22,0))*(1+$B$4)^46))*IF(AV178+IF($B$1+46&lt;=$B178,12*$B$9,-12*MAX(0,$B$8-IF($B$1+46&gt;=$B$23,$B$22,0))*(1+$B$4)^46)&gt;0,1+$B$3,1))</f>
        <v/>
      </c>
      <c r="AX178">
        <f>IF($B$1+47&gt;90,AW178,(AW178+IF($B$1+47&lt;=$B178,12*$B$9,-12*MAX(0,$B$8-IF($B$1+47&gt;=$B$23,$B$22,0))*(1+$B$4)^47))*IF(AW178+IF($B$1+47&lt;=$B178,12*$B$9,-12*MAX(0,$B$8-IF($B$1+47&gt;=$B$23,$B$22,0))*(1+$B$4)^47)&gt;0,1+$B$3,1))</f>
        <v/>
      </c>
      <c r="AY178">
        <f>IF($B$1+48&gt;90,AX178,(AX178+IF($B$1+48&lt;=$B178,12*$B$9,-12*MAX(0,$B$8-IF($B$1+48&gt;=$B$23,$B$22,0))*(1+$B$4)^48))*IF(AX178+IF($B$1+48&lt;=$B178,12*$B$9,-12*MAX(0,$B$8-IF($B$1+48&gt;=$B$23,$B$22,0))*(1+$B$4)^48)&gt;0,1+$B$3,1))</f>
        <v/>
      </c>
      <c r="AZ178">
        <f>IF($B$1+49&gt;90,AY178,(AY178+IF($B$1+49&lt;=$B178,12*$B$9,-12*MAX(0,$B$8-IF($B$1+49&gt;=$B$23,$B$22,0))*(1+$B$4)^49))*IF(AY178+IF($B$1+49&lt;=$B178,12*$B$9,-12*MAX(0,$B$8-IF($B$1+49&gt;=$B$23,$B$22,0))*(1+$B$4)^49)&gt;0,1+$B$3,1))</f>
        <v/>
      </c>
      <c r="BA178">
        <f>IF($B$1+50&gt;90,AZ178,(AZ178+IF($B$1+50&lt;=$B178,12*$B$9,-12*MAX(0,$B$8-IF($B$1+50&gt;=$B$23,$B$22,0))*(1+$B$4)^50))*IF(AZ178+IF($B$1+50&lt;=$B178,12*$B$9,-12*MAX(0,$B$8-IF($B$1+50&gt;=$B$23,$B$22,0))*(1+$B$4)^50)&gt;0,1+$B$3,1))</f>
        <v/>
      </c>
      <c r="BB178">
        <f>IF($B$1+51&gt;90,BA178,(BA178+IF($B$1+51&lt;=$B178,12*$B$9,-12*MAX(0,$B$8-IF($B$1+51&gt;=$B$23,$B$22,0))*(1+$B$4)^51))*IF(BA178+IF($B$1+51&lt;=$B178,12*$B$9,-12*MAX(0,$B$8-IF($B$1+51&gt;=$B$23,$B$22,0))*(1+$B$4)^51)&gt;0,1+$B$3,1))</f>
        <v/>
      </c>
      <c r="BC178">
        <f>IF($B$1+52&gt;90,BB178,(BB178+IF($B$1+52&lt;=$B178,12*$B$9,-12*MAX(0,$B$8-IF($B$1+52&gt;=$B$23,$B$22,0))*(1+$B$4)^52))*IF(BB178+IF($B$1+52&lt;=$B178,12*$B$9,-12*MAX(0,$B$8-IF($B$1+52&gt;=$B$23,$B$22,0))*(1+$B$4)^52)&gt;0,1+$B$3,1))</f>
        <v/>
      </c>
      <c r="BD178">
        <f>IF($B$1+53&gt;90,BC178,(BC178+IF($B$1+53&lt;=$B178,12*$B$9,-12*MAX(0,$B$8-IF($B$1+53&gt;=$B$23,$B$22,0))*(1+$B$4)^53))*IF(BC178+IF($B$1+53&lt;=$B178,12*$B$9,-12*MAX(0,$B$8-IF($B$1+53&gt;=$B$23,$B$22,0))*(1+$B$4)^53)&gt;0,1+$B$3,1))</f>
        <v/>
      </c>
      <c r="BE178">
        <f>IF($B$1+54&gt;90,BD178,(BD178+IF($B$1+54&lt;=$B178,12*$B$9,-12*MAX(0,$B$8-IF($B$1+54&gt;=$B$23,$B$22,0))*(1+$B$4)^54))*IF(BD178+IF($B$1+54&lt;=$B178,12*$B$9,-12*MAX(0,$B$8-IF($B$1+54&gt;=$B$23,$B$22,0))*(1+$B$4)^54)&gt;0,1+$B$3,1))</f>
        <v/>
      </c>
      <c r="BF178">
        <f>IF($B$1+55&gt;90,BE178,(BE178+IF($B$1+55&lt;=$B178,12*$B$9,-12*MAX(0,$B$8-IF($B$1+55&gt;=$B$23,$B$22,0))*(1+$B$4)^55))*IF(BE178+IF($B$1+55&lt;=$B178,12*$B$9,-12*MAX(0,$B$8-IF($B$1+55&gt;=$B$23,$B$22,0))*(1+$B$4)^55)&gt;0,1+$B$3,1))</f>
        <v/>
      </c>
      <c r="BG178">
        <f>IF($B$1+56&gt;90,BF178,(BF178+IF($B$1+56&lt;=$B178,12*$B$9,-12*MAX(0,$B$8-IF($B$1+56&gt;=$B$23,$B$22,0))*(1+$B$4)^56))*IF(BF178+IF($B$1+56&lt;=$B178,12*$B$9,-12*MAX(0,$B$8-IF($B$1+56&gt;=$B$23,$B$22,0))*(1+$B$4)^56)&gt;0,1+$B$3,1))</f>
        <v/>
      </c>
      <c r="BH178">
        <f>IF($B$1+57&gt;90,BG178,(BG178+IF($B$1+57&lt;=$B178,12*$B$9,-12*MAX(0,$B$8-IF($B$1+57&gt;=$B$23,$B$22,0))*(1+$B$4)^57))*IF(BG178+IF($B$1+57&lt;=$B178,12*$B$9,-12*MAX(0,$B$8-IF($B$1+57&gt;=$B$23,$B$22,0))*(1+$B$4)^57)&gt;0,1+$B$3,1))</f>
        <v/>
      </c>
      <c r="BI178">
        <f>IF($B$1+58&gt;90,BH178,(BH178+IF($B$1+58&lt;=$B178,12*$B$9,-12*MAX(0,$B$8-IF($B$1+58&gt;=$B$23,$B$22,0))*(1+$B$4)^58))*IF(BH178+IF($B$1+58&lt;=$B178,12*$B$9,-12*MAX(0,$B$8-IF($B$1+58&gt;=$B$23,$B$22,0))*(1+$B$4)^58)&gt;0,1+$B$3,1))</f>
        <v/>
      </c>
      <c r="BJ178">
        <f>IF($B$1+59&gt;90,BI178,(BI178+IF($B$1+59&lt;=$B178,12*$B$9,-12*MAX(0,$B$8-IF($B$1+59&gt;=$B$23,$B$22,0))*(1+$B$4)^59))*IF(BI178+IF($B$1+59&lt;=$B178,12*$B$9,-12*MAX(0,$B$8-IF($B$1+59&gt;=$B$23,$B$22,0))*(1+$B$4)^59)&gt;0,1+$B$3,1))</f>
        <v/>
      </c>
      <c r="BK178">
        <f>IF($B$1+60&gt;90,BJ178,(BJ178+IF($B$1+60&lt;=$B178,12*$B$9,-12*MAX(0,$B$8-IF($B$1+60&gt;=$B$23,$B$22,0))*(1+$B$4)^60))*IF(BJ178+IF($B$1+60&lt;=$B178,12*$B$9,-12*MAX(0,$B$8-IF($B$1+60&gt;=$B$23,$B$22,0))*(1+$B$4)^60)&gt;0,1+$B$3,1))</f>
        <v/>
      </c>
      <c r="BL178">
        <f>IF($B$1+61&gt;90,BK178,(BK178+IF($B$1+61&lt;=$B178,12*$B$9,-12*MAX(0,$B$8-IF($B$1+61&gt;=$B$23,$B$22,0))*(1+$B$4)^61))*IF(BK178+IF($B$1+61&lt;=$B178,12*$B$9,-12*MAX(0,$B$8-IF($B$1+61&gt;=$B$23,$B$22,0))*(1+$B$4)^61)&gt;0,1+$B$3,1))</f>
        <v/>
      </c>
      <c r="BM178">
        <f>IF($B$1+62&gt;90,BL178,(BL178+IF($B$1+62&lt;=$B178,12*$B$9,-12*MAX(0,$B$8-IF($B$1+62&gt;=$B$23,$B$22,0))*(1+$B$4)^62))*IF(BL178+IF($B$1+62&lt;=$B178,12*$B$9,-12*MAX(0,$B$8-IF($B$1+62&gt;=$B$23,$B$22,0))*(1+$B$4)^62)&gt;0,1+$B$3,1))</f>
        <v/>
      </c>
      <c r="BN178">
        <f>IF($B$1+63&gt;90,BM178,(BM178+IF($B$1+63&lt;=$B178,12*$B$9,-12*MAX(0,$B$8-IF($B$1+63&gt;=$B$23,$B$22,0))*(1+$B$4)^63))*IF(BM178+IF($B$1+63&lt;=$B178,12*$B$9,-12*MAX(0,$B$8-IF($B$1+63&gt;=$B$23,$B$22,0))*(1+$B$4)^63)&gt;0,1+$B$3,1))</f>
        <v/>
      </c>
      <c r="BO178">
        <f>IF($B$1+64&gt;90,BN178,(BN178+IF($B$1+64&lt;=$B178,12*$B$9,-12*MAX(0,$B$8-IF($B$1+64&gt;=$B$23,$B$22,0))*(1+$B$4)^64))*IF(BN178+IF($B$1+64&lt;=$B178,12*$B$9,-12*MAX(0,$B$8-IF($B$1+64&gt;=$B$23,$B$22,0))*(1+$B$4)^64)&gt;0,1+$B$3,1))</f>
        <v/>
      </c>
      <c r="BP178">
        <f>IF($B$1+65&gt;90,BO178,(BO178+IF($B$1+65&lt;=$B178,12*$B$9,-12*MAX(0,$B$8-IF($B$1+65&gt;=$B$23,$B$22,0))*(1+$B$4)^65))*IF(BO178+IF($B$1+65&lt;=$B178,12*$B$9,-12*MAX(0,$B$8-IF($B$1+65&gt;=$B$23,$B$22,0))*(1+$B$4)^65)&gt;0,1+$B$3,1))</f>
        <v/>
      </c>
      <c r="BQ178">
        <f>IF($B$1+66&gt;90,BP178,(BP178+IF($B$1+66&lt;=$B178,12*$B$9,-12*MAX(0,$B$8-IF($B$1+66&gt;=$B$23,$B$22,0))*(1+$B$4)^66))*IF(BP178+IF($B$1+66&lt;=$B178,12*$B$9,-12*MAX(0,$B$8-IF($B$1+66&gt;=$B$23,$B$22,0))*(1+$B$4)^66)&gt;0,1+$B$3,1))</f>
        <v/>
      </c>
      <c r="BR178">
        <f>IF($B$1+67&gt;90,BQ178,(BQ178+IF($B$1+67&lt;=$B178,12*$B$9,-12*MAX(0,$B$8-IF($B$1+67&gt;=$B$23,$B$22,0))*(1+$B$4)^67))*IF(BQ178+IF($B$1+67&lt;=$B178,12*$B$9,-12*MAX(0,$B$8-IF($B$1+67&gt;=$B$23,$B$22,0))*(1+$B$4)^67)&gt;0,1+$B$3,1))</f>
        <v/>
      </c>
      <c r="BS178">
        <f>IF($B$1+68&gt;90,BR178,(BR178+IF($B$1+68&lt;=$B178,12*$B$9,-12*MAX(0,$B$8-IF($B$1+68&gt;=$B$23,$B$22,0))*(1+$B$4)^68))*IF(BR178+IF($B$1+68&lt;=$B178,12*$B$9,-12*MAX(0,$B$8-IF($B$1+68&gt;=$B$23,$B$22,0))*(1+$B$4)^68)&gt;0,1+$B$3,1))</f>
        <v/>
      </c>
      <c r="BT178">
        <f>IF($B$1+69&gt;90,BS178,(BS178+IF($B$1+69&lt;=$B178,12*$B$9,-12*MAX(0,$B$8-IF($B$1+69&gt;=$B$23,$B$22,0))*(1+$B$4)^69))*IF(BS178+IF($B$1+69&lt;=$B178,12*$B$9,-12*MAX(0,$B$8-IF($B$1+69&gt;=$B$23,$B$22,0))*(1+$B$4)^69)&gt;0,1+$B$3,1))</f>
        <v/>
      </c>
      <c r="BU178">
        <f>IF($B$1+70&gt;90,BT178,(BT178+IF($B$1+70&lt;=$B178,12*$B$9,-12*MAX(0,$B$8-IF($B$1+70&gt;=$B$23,$B$22,0))*(1+$B$4)^70))*IF(BT178+IF($B$1+70&lt;=$B178,12*$B$9,-12*MAX(0,$B$8-IF($B$1+70&gt;=$B$23,$B$22,0))*(1+$B$4)^70)&gt;0,1+$B$3,1))</f>
        <v/>
      </c>
      <c r="BV178">
        <f>BU178</f>
        <v/>
      </c>
      <c r="BW178">
        <f>IF(AND($B178&lt;=70,BV178&gt;0),$B178,999)</f>
        <v/>
      </c>
      <c r="CH178">
        <f>IF(ISTEXT('월 가계부'!A178),SUBSTITUTE(SUBSTITUTE(SUBSTITUTE(SUBSTITUTE(SUBSTITUTE(SUBSTITUTE(SUBSTITUTE(SUBSTITUTE(SUBSTITUTE(TRIM('월 가계부'!A178),"년","-"),"월","-"),"일",""),".","-"),"/","-")," ","-"),"--","-"),"--","-"),"--","-")&amp;"-","")</f>
        <v/>
      </c>
      <c r="CI178">
        <f>IFERROR(IF('월 가계부'!A178="","",IF(ISNUMBER('월 가계부'!A178),IF(AND('월 가계부'!A178&gt;=19000101,'월 가계부'!A178&lt;=21001231),IF(AND(MOD(INT('월 가계부'!A178/100),100)&gt;=1,MOD(INT('월 가계부'!A178/100),100)&lt;=12,MOD(INT('월 가계부'!A178),100)&gt;=1,MOD(INT('월 가계부'!A178),100)&lt;=31),IF(MONTH(DATE(INT('월 가계부'!A178/10000),MOD(INT('월 가계부'!A178/100),100),MOD(INT('월 가계부'!A178),100)))=MOD(INT('월 가계부'!A178/100),100),DATE(INT('월 가계부'!A178/10000),MOD(INT('월 가계부'!A178/100),100),MOD(INT('월 가계부'!A178),100)),""),""),IF(AND('월 가계부'!A178&gt;=36526,'월 가계부'!A178&lt;73051),INT('월 가계부'!A178),"")),IF(OR(CM178="",CN178="",CO178=""),"",IF(AND(CM178&gt;=2000,CM178&lt;=2099,CN178&gt;=1,CN178&lt;=12,CO178&gt;=1,CO178&lt;=31),IF(MONTH(DATE(CM178,CN178,CO178))=CN178,DATE(CM178,CN178,CO178),""),"")))),"")</f>
        <v/>
      </c>
      <c r="CJ178">
        <f>IFERROR(IF('월 가계부'!C178="","",IF(ISNUMBER('월 가계부'!C178),'월 가계부'!C178,VALUE(SUBSTITUTE(SUBSTITUTE(SUBSTITUTE(SUBSTITUTE(TRIM('월 가계부'!C178),",",""),"원","")," ",""),"−","-")))),"")</f>
        <v/>
      </c>
      <c r="CK178">
        <f>IF(ISNUMBER(CI178),IF(CI178&lt;$B$13,CI178,""),"")</f>
        <v/>
      </c>
      <c r="CM178">
        <f>IF(CH178="","",IFERROR(IF(IF(AND(LEN(CH178)=9,ISERROR(FIND("-",LEFT(CH178,8))),ISNUMBER(-LEFT(CH178,8))),VALUE(LEFT(CH178,4)),VALUE(LEFT(CH178,FIND("-",CH178)-1)))&lt;100,IF(AND(LEN(CH178)=9,ISERROR(FIND("-",LEFT(CH178,8))),ISNUMBER(-LEFT(CH178,8))),VALUE(LEFT(CH178,4)),VALUE(LEFT(CH178,FIND("-",CH178)-1)))+2000,IF(AND(LEN(CH178)=9,ISERROR(FIND("-",LEFT(CH178,8))),ISNUMBER(-LEFT(CH178,8))),VALUE(LEFT(CH178,4)),VALUE(LEFT(CH178,FIND("-",CH178)-1)))),""))</f>
        <v/>
      </c>
      <c r="CN178">
        <f>IF(CH178="","",IFERROR(IF(AND(LEN(CH178)=9,ISERROR(FIND("-",LEFT(CH178,8))),ISNUMBER(-LEFT(CH178,8))),VALUE(MID(CH178,5,2)),VALUE(MID(CH178,FIND("-",CH178)+1,FIND("-",CH178,FIND("-",CH178)+1)-FIND("-",CH178)-1))),""))</f>
        <v/>
      </c>
      <c r="CO178">
        <f>IF(CH178="","",IFERROR(IF(AND(LEN(CH178)=9,ISERROR(FIND("-",LEFT(CH178,8))),ISNUMBER(-LEFT(CH178,8))),VALUE(MID(CH178,7,2)),VALUE(MID(CH178,FIND("-",CH178,FIND("-",CH178)+1)+1,FIND("-",CH178,FIND("-",CH178,FIND("-",CH178)+1)+1)-FIND("-",CH178,FIND("-",CH178)+1)-1))),""))</f>
        <v/>
      </c>
    </row>
    <row r="179">
      <c r="A179" t="n">
        <v>27</v>
      </c>
      <c r="B179">
        <f>$B$1+27</f>
        <v/>
      </c>
      <c r="C179">
        <f>$B$2</f>
        <v/>
      </c>
      <c r="D179">
        <f>IF($B$1+1&gt;90,C179,(C179+IF($B$1+1&lt;=$B179,12*$B$9,-12*MAX(0,$B$8-IF($B$1+1&gt;=$B$23,$B$22,0))*(1+$B$4)^1))*IF(C179+IF($B$1+1&lt;=$B179,12*$B$9,-12*MAX(0,$B$8-IF($B$1+1&gt;=$B$23,$B$22,0))*(1+$B$4)^1)&gt;0,1+$B$3,1))</f>
        <v/>
      </c>
      <c r="E179">
        <f>IF($B$1+2&gt;90,D179,(D179+IF($B$1+2&lt;=$B179,12*$B$9,-12*MAX(0,$B$8-IF($B$1+2&gt;=$B$23,$B$22,0))*(1+$B$4)^2))*IF(D179+IF($B$1+2&lt;=$B179,12*$B$9,-12*MAX(0,$B$8-IF($B$1+2&gt;=$B$23,$B$22,0))*(1+$B$4)^2)&gt;0,1+$B$3,1))</f>
        <v/>
      </c>
      <c r="F179">
        <f>IF($B$1+3&gt;90,E179,(E179+IF($B$1+3&lt;=$B179,12*$B$9,-12*MAX(0,$B$8-IF($B$1+3&gt;=$B$23,$B$22,0))*(1+$B$4)^3))*IF(E179+IF($B$1+3&lt;=$B179,12*$B$9,-12*MAX(0,$B$8-IF($B$1+3&gt;=$B$23,$B$22,0))*(1+$B$4)^3)&gt;0,1+$B$3,1))</f>
        <v/>
      </c>
      <c r="G179">
        <f>IF($B$1+4&gt;90,F179,(F179+IF($B$1+4&lt;=$B179,12*$B$9,-12*MAX(0,$B$8-IF($B$1+4&gt;=$B$23,$B$22,0))*(1+$B$4)^4))*IF(F179+IF($B$1+4&lt;=$B179,12*$B$9,-12*MAX(0,$B$8-IF($B$1+4&gt;=$B$23,$B$22,0))*(1+$B$4)^4)&gt;0,1+$B$3,1))</f>
        <v/>
      </c>
      <c r="H179">
        <f>IF($B$1+5&gt;90,G179,(G179+IF($B$1+5&lt;=$B179,12*$B$9,-12*MAX(0,$B$8-IF($B$1+5&gt;=$B$23,$B$22,0))*(1+$B$4)^5))*IF(G179+IF($B$1+5&lt;=$B179,12*$B$9,-12*MAX(0,$B$8-IF($B$1+5&gt;=$B$23,$B$22,0))*(1+$B$4)^5)&gt;0,1+$B$3,1))</f>
        <v/>
      </c>
      <c r="I179">
        <f>IF($B$1+6&gt;90,H179,(H179+IF($B$1+6&lt;=$B179,12*$B$9,-12*MAX(0,$B$8-IF($B$1+6&gt;=$B$23,$B$22,0))*(1+$B$4)^6))*IF(H179+IF($B$1+6&lt;=$B179,12*$B$9,-12*MAX(0,$B$8-IF($B$1+6&gt;=$B$23,$B$22,0))*(1+$B$4)^6)&gt;0,1+$B$3,1))</f>
        <v/>
      </c>
      <c r="J179">
        <f>IF($B$1+7&gt;90,I179,(I179+IF($B$1+7&lt;=$B179,12*$B$9,-12*MAX(0,$B$8-IF($B$1+7&gt;=$B$23,$B$22,0))*(1+$B$4)^7))*IF(I179+IF($B$1+7&lt;=$B179,12*$B$9,-12*MAX(0,$B$8-IF($B$1+7&gt;=$B$23,$B$22,0))*(1+$B$4)^7)&gt;0,1+$B$3,1))</f>
        <v/>
      </c>
      <c r="K179">
        <f>IF($B$1+8&gt;90,J179,(J179+IF($B$1+8&lt;=$B179,12*$B$9,-12*MAX(0,$B$8-IF($B$1+8&gt;=$B$23,$B$22,0))*(1+$B$4)^8))*IF(J179+IF($B$1+8&lt;=$B179,12*$B$9,-12*MAX(0,$B$8-IF($B$1+8&gt;=$B$23,$B$22,0))*(1+$B$4)^8)&gt;0,1+$B$3,1))</f>
        <v/>
      </c>
      <c r="L179">
        <f>IF($B$1+9&gt;90,K179,(K179+IF($B$1+9&lt;=$B179,12*$B$9,-12*MAX(0,$B$8-IF($B$1+9&gt;=$B$23,$B$22,0))*(1+$B$4)^9))*IF(K179+IF($B$1+9&lt;=$B179,12*$B$9,-12*MAX(0,$B$8-IF($B$1+9&gt;=$B$23,$B$22,0))*(1+$B$4)^9)&gt;0,1+$B$3,1))</f>
        <v/>
      </c>
      <c r="M179">
        <f>IF($B$1+10&gt;90,L179,(L179+IF($B$1+10&lt;=$B179,12*$B$9,-12*MAX(0,$B$8-IF($B$1+10&gt;=$B$23,$B$22,0))*(1+$B$4)^10))*IF(L179+IF($B$1+10&lt;=$B179,12*$B$9,-12*MAX(0,$B$8-IF($B$1+10&gt;=$B$23,$B$22,0))*(1+$B$4)^10)&gt;0,1+$B$3,1))</f>
        <v/>
      </c>
      <c r="N179">
        <f>IF($B$1+11&gt;90,M179,(M179+IF($B$1+11&lt;=$B179,12*$B$9,-12*MAX(0,$B$8-IF($B$1+11&gt;=$B$23,$B$22,0))*(1+$B$4)^11))*IF(M179+IF($B$1+11&lt;=$B179,12*$B$9,-12*MAX(0,$B$8-IF($B$1+11&gt;=$B$23,$B$22,0))*(1+$B$4)^11)&gt;0,1+$B$3,1))</f>
        <v/>
      </c>
      <c r="O179">
        <f>IF($B$1+12&gt;90,N179,(N179+IF($B$1+12&lt;=$B179,12*$B$9,-12*MAX(0,$B$8-IF($B$1+12&gt;=$B$23,$B$22,0))*(1+$B$4)^12))*IF(N179+IF($B$1+12&lt;=$B179,12*$B$9,-12*MAX(0,$B$8-IF($B$1+12&gt;=$B$23,$B$22,0))*(1+$B$4)^12)&gt;0,1+$B$3,1))</f>
        <v/>
      </c>
      <c r="P179">
        <f>IF($B$1+13&gt;90,O179,(O179+IF($B$1+13&lt;=$B179,12*$B$9,-12*MAX(0,$B$8-IF($B$1+13&gt;=$B$23,$B$22,0))*(1+$B$4)^13))*IF(O179+IF($B$1+13&lt;=$B179,12*$B$9,-12*MAX(0,$B$8-IF($B$1+13&gt;=$B$23,$B$22,0))*(1+$B$4)^13)&gt;0,1+$B$3,1))</f>
        <v/>
      </c>
      <c r="Q179">
        <f>IF($B$1+14&gt;90,P179,(P179+IF($B$1+14&lt;=$B179,12*$B$9,-12*MAX(0,$B$8-IF($B$1+14&gt;=$B$23,$B$22,0))*(1+$B$4)^14))*IF(P179+IF($B$1+14&lt;=$B179,12*$B$9,-12*MAX(0,$B$8-IF($B$1+14&gt;=$B$23,$B$22,0))*(1+$B$4)^14)&gt;0,1+$B$3,1))</f>
        <v/>
      </c>
      <c r="R179">
        <f>IF($B$1+15&gt;90,Q179,(Q179+IF($B$1+15&lt;=$B179,12*$B$9,-12*MAX(0,$B$8-IF($B$1+15&gt;=$B$23,$B$22,0))*(1+$B$4)^15))*IF(Q179+IF($B$1+15&lt;=$B179,12*$B$9,-12*MAX(0,$B$8-IF($B$1+15&gt;=$B$23,$B$22,0))*(1+$B$4)^15)&gt;0,1+$B$3,1))</f>
        <v/>
      </c>
      <c r="S179">
        <f>IF($B$1+16&gt;90,R179,(R179+IF($B$1+16&lt;=$B179,12*$B$9,-12*MAX(0,$B$8-IF($B$1+16&gt;=$B$23,$B$22,0))*(1+$B$4)^16))*IF(R179+IF($B$1+16&lt;=$B179,12*$B$9,-12*MAX(0,$B$8-IF($B$1+16&gt;=$B$23,$B$22,0))*(1+$B$4)^16)&gt;0,1+$B$3,1))</f>
        <v/>
      </c>
      <c r="T179">
        <f>IF($B$1+17&gt;90,S179,(S179+IF($B$1+17&lt;=$B179,12*$B$9,-12*MAX(0,$B$8-IF($B$1+17&gt;=$B$23,$B$22,0))*(1+$B$4)^17))*IF(S179+IF($B$1+17&lt;=$B179,12*$B$9,-12*MAX(0,$B$8-IF($B$1+17&gt;=$B$23,$B$22,0))*(1+$B$4)^17)&gt;0,1+$B$3,1))</f>
        <v/>
      </c>
      <c r="U179">
        <f>IF($B$1+18&gt;90,T179,(T179+IF($B$1+18&lt;=$B179,12*$B$9,-12*MAX(0,$B$8-IF($B$1+18&gt;=$B$23,$B$22,0))*(1+$B$4)^18))*IF(T179+IF($B$1+18&lt;=$B179,12*$B$9,-12*MAX(0,$B$8-IF($B$1+18&gt;=$B$23,$B$22,0))*(1+$B$4)^18)&gt;0,1+$B$3,1))</f>
        <v/>
      </c>
      <c r="V179">
        <f>IF($B$1+19&gt;90,U179,(U179+IF($B$1+19&lt;=$B179,12*$B$9,-12*MAX(0,$B$8-IF($B$1+19&gt;=$B$23,$B$22,0))*(1+$B$4)^19))*IF(U179+IF($B$1+19&lt;=$B179,12*$B$9,-12*MAX(0,$B$8-IF($B$1+19&gt;=$B$23,$B$22,0))*(1+$B$4)^19)&gt;0,1+$B$3,1))</f>
        <v/>
      </c>
      <c r="W179">
        <f>IF($B$1+20&gt;90,V179,(V179+IF($B$1+20&lt;=$B179,12*$B$9,-12*MAX(0,$B$8-IF($B$1+20&gt;=$B$23,$B$22,0))*(1+$B$4)^20))*IF(V179+IF($B$1+20&lt;=$B179,12*$B$9,-12*MAX(0,$B$8-IF($B$1+20&gt;=$B$23,$B$22,0))*(1+$B$4)^20)&gt;0,1+$B$3,1))</f>
        <v/>
      </c>
      <c r="X179">
        <f>IF($B$1+21&gt;90,W179,(W179+IF($B$1+21&lt;=$B179,12*$B$9,-12*MAX(0,$B$8-IF($B$1+21&gt;=$B$23,$B$22,0))*(1+$B$4)^21))*IF(W179+IF($B$1+21&lt;=$B179,12*$B$9,-12*MAX(0,$B$8-IF($B$1+21&gt;=$B$23,$B$22,0))*(1+$B$4)^21)&gt;0,1+$B$3,1))</f>
        <v/>
      </c>
      <c r="Y179">
        <f>IF($B$1+22&gt;90,X179,(X179+IF($B$1+22&lt;=$B179,12*$B$9,-12*MAX(0,$B$8-IF($B$1+22&gt;=$B$23,$B$22,0))*(1+$B$4)^22))*IF(X179+IF($B$1+22&lt;=$B179,12*$B$9,-12*MAX(0,$B$8-IF($B$1+22&gt;=$B$23,$B$22,0))*(1+$B$4)^22)&gt;0,1+$B$3,1))</f>
        <v/>
      </c>
      <c r="Z179">
        <f>IF($B$1+23&gt;90,Y179,(Y179+IF($B$1+23&lt;=$B179,12*$B$9,-12*MAX(0,$B$8-IF($B$1+23&gt;=$B$23,$B$22,0))*(1+$B$4)^23))*IF(Y179+IF($B$1+23&lt;=$B179,12*$B$9,-12*MAX(0,$B$8-IF($B$1+23&gt;=$B$23,$B$22,0))*(1+$B$4)^23)&gt;0,1+$B$3,1))</f>
        <v/>
      </c>
      <c r="AA179">
        <f>IF($B$1+24&gt;90,Z179,(Z179+IF($B$1+24&lt;=$B179,12*$B$9,-12*MAX(0,$B$8-IF($B$1+24&gt;=$B$23,$B$22,0))*(1+$B$4)^24))*IF(Z179+IF($B$1+24&lt;=$B179,12*$B$9,-12*MAX(0,$B$8-IF($B$1+24&gt;=$B$23,$B$22,0))*(1+$B$4)^24)&gt;0,1+$B$3,1))</f>
        <v/>
      </c>
      <c r="AB179">
        <f>IF($B$1+25&gt;90,AA179,(AA179+IF($B$1+25&lt;=$B179,12*$B$9,-12*MAX(0,$B$8-IF($B$1+25&gt;=$B$23,$B$22,0))*(1+$B$4)^25))*IF(AA179+IF($B$1+25&lt;=$B179,12*$B$9,-12*MAX(0,$B$8-IF($B$1+25&gt;=$B$23,$B$22,0))*(1+$B$4)^25)&gt;0,1+$B$3,1))</f>
        <v/>
      </c>
      <c r="AC179">
        <f>IF($B$1+26&gt;90,AB179,(AB179+IF($B$1+26&lt;=$B179,12*$B$9,-12*MAX(0,$B$8-IF($B$1+26&gt;=$B$23,$B$22,0))*(1+$B$4)^26))*IF(AB179+IF($B$1+26&lt;=$B179,12*$B$9,-12*MAX(0,$B$8-IF($B$1+26&gt;=$B$23,$B$22,0))*(1+$B$4)^26)&gt;0,1+$B$3,1))</f>
        <v/>
      </c>
      <c r="AD179">
        <f>IF($B$1+27&gt;90,AC179,(AC179+IF($B$1+27&lt;=$B179,12*$B$9,-12*MAX(0,$B$8-IF($B$1+27&gt;=$B$23,$B$22,0))*(1+$B$4)^27))*IF(AC179+IF($B$1+27&lt;=$B179,12*$B$9,-12*MAX(0,$B$8-IF($B$1+27&gt;=$B$23,$B$22,0))*(1+$B$4)^27)&gt;0,1+$B$3,1))</f>
        <v/>
      </c>
      <c r="AE179">
        <f>IF($B$1+28&gt;90,AD179,(AD179+IF($B$1+28&lt;=$B179,12*$B$9,-12*MAX(0,$B$8-IF($B$1+28&gt;=$B$23,$B$22,0))*(1+$B$4)^28))*IF(AD179+IF($B$1+28&lt;=$B179,12*$B$9,-12*MAX(0,$B$8-IF($B$1+28&gt;=$B$23,$B$22,0))*(1+$B$4)^28)&gt;0,1+$B$3,1))</f>
        <v/>
      </c>
      <c r="AF179">
        <f>IF($B$1+29&gt;90,AE179,(AE179+IF($B$1+29&lt;=$B179,12*$B$9,-12*MAX(0,$B$8-IF($B$1+29&gt;=$B$23,$B$22,0))*(1+$B$4)^29))*IF(AE179+IF($B$1+29&lt;=$B179,12*$B$9,-12*MAX(0,$B$8-IF($B$1+29&gt;=$B$23,$B$22,0))*(1+$B$4)^29)&gt;0,1+$B$3,1))</f>
        <v/>
      </c>
      <c r="AG179">
        <f>IF($B$1+30&gt;90,AF179,(AF179+IF($B$1+30&lt;=$B179,12*$B$9,-12*MAX(0,$B$8-IF($B$1+30&gt;=$B$23,$B$22,0))*(1+$B$4)^30))*IF(AF179+IF($B$1+30&lt;=$B179,12*$B$9,-12*MAX(0,$B$8-IF($B$1+30&gt;=$B$23,$B$22,0))*(1+$B$4)^30)&gt;0,1+$B$3,1))</f>
        <v/>
      </c>
      <c r="AH179">
        <f>IF($B$1+31&gt;90,AG179,(AG179+IF($B$1+31&lt;=$B179,12*$B$9,-12*MAX(0,$B$8-IF($B$1+31&gt;=$B$23,$B$22,0))*(1+$B$4)^31))*IF(AG179+IF($B$1+31&lt;=$B179,12*$B$9,-12*MAX(0,$B$8-IF($B$1+31&gt;=$B$23,$B$22,0))*(1+$B$4)^31)&gt;0,1+$B$3,1))</f>
        <v/>
      </c>
      <c r="AI179">
        <f>IF($B$1+32&gt;90,AH179,(AH179+IF($B$1+32&lt;=$B179,12*$B$9,-12*MAX(0,$B$8-IF($B$1+32&gt;=$B$23,$B$22,0))*(1+$B$4)^32))*IF(AH179+IF($B$1+32&lt;=$B179,12*$B$9,-12*MAX(0,$B$8-IF($B$1+32&gt;=$B$23,$B$22,0))*(1+$B$4)^32)&gt;0,1+$B$3,1))</f>
        <v/>
      </c>
      <c r="AJ179">
        <f>IF($B$1+33&gt;90,AI179,(AI179+IF($B$1+33&lt;=$B179,12*$B$9,-12*MAX(0,$B$8-IF($B$1+33&gt;=$B$23,$B$22,0))*(1+$B$4)^33))*IF(AI179+IF($B$1+33&lt;=$B179,12*$B$9,-12*MAX(0,$B$8-IF($B$1+33&gt;=$B$23,$B$22,0))*(1+$B$4)^33)&gt;0,1+$B$3,1))</f>
        <v/>
      </c>
      <c r="AK179">
        <f>IF($B$1+34&gt;90,AJ179,(AJ179+IF($B$1+34&lt;=$B179,12*$B$9,-12*MAX(0,$B$8-IF($B$1+34&gt;=$B$23,$B$22,0))*(1+$B$4)^34))*IF(AJ179+IF($B$1+34&lt;=$B179,12*$B$9,-12*MAX(0,$B$8-IF($B$1+34&gt;=$B$23,$B$22,0))*(1+$B$4)^34)&gt;0,1+$B$3,1))</f>
        <v/>
      </c>
      <c r="AL179">
        <f>IF($B$1+35&gt;90,AK179,(AK179+IF($B$1+35&lt;=$B179,12*$B$9,-12*MAX(0,$B$8-IF($B$1+35&gt;=$B$23,$B$22,0))*(1+$B$4)^35))*IF(AK179+IF($B$1+35&lt;=$B179,12*$B$9,-12*MAX(0,$B$8-IF($B$1+35&gt;=$B$23,$B$22,0))*(1+$B$4)^35)&gt;0,1+$B$3,1))</f>
        <v/>
      </c>
      <c r="AM179">
        <f>IF($B$1+36&gt;90,AL179,(AL179+IF($B$1+36&lt;=$B179,12*$B$9,-12*MAX(0,$B$8-IF($B$1+36&gt;=$B$23,$B$22,0))*(1+$B$4)^36))*IF(AL179+IF($B$1+36&lt;=$B179,12*$B$9,-12*MAX(0,$B$8-IF($B$1+36&gt;=$B$23,$B$22,0))*(1+$B$4)^36)&gt;0,1+$B$3,1))</f>
        <v/>
      </c>
      <c r="AN179">
        <f>IF($B$1+37&gt;90,AM179,(AM179+IF($B$1+37&lt;=$B179,12*$B$9,-12*MAX(0,$B$8-IF($B$1+37&gt;=$B$23,$B$22,0))*(1+$B$4)^37))*IF(AM179+IF($B$1+37&lt;=$B179,12*$B$9,-12*MAX(0,$B$8-IF($B$1+37&gt;=$B$23,$B$22,0))*(1+$B$4)^37)&gt;0,1+$B$3,1))</f>
        <v/>
      </c>
      <c r="AO179">
        <f>IF($B$1+38&gt;90,AN179,(AN179+IF($B$1+38&lt;=$B179,12*$B$9,-12*MAX(0,$B$8-IF($B$1+38&gt;=$B$23,$B$22,0))*(1+$B$4)^38))*IF(AN179+IF($B$1+38&lt;=$B179,12*$B$9,-12*MAX(0,$B$8-IF($B$1+38&gt;=$B$23,$B$22,0))*(1+$B$4)^38)&gt;0,1+$B$3,1))</f>
        <v/>
      </c>
      <c r="AP179">
        <f>IF($B$1+39&gt;90,AO179,(AO179+IF($B$1+39&lt;=$B179,12*$B$9,-12*MAX(0,$B$8-IF($B$1+39&gt;=$B$23,$B$22,0))*(1+$B$4)^39))*IF(AO179+IF($B$1+39&lt;=$B179,12*$B$9,-12*MAX(0,$B$8-IF($B$1+39&gt;=$B$23,$B$22,0))*(1+$B$4)^39)&gt;0,1+$B$3,1))</f>
        <v/>
      </c>
      <c r="AQ179">
        <f>IF($B$1+40&gt;90,AP179,(AP179+IF($B$1+40&lt;=$B179,12*$B$9,-12*MAX(0,$B$8-IF($B$1+40&gt;=$B$23,$B$22,0))*(1+$B$4)^40))*IF(AP179+IF($B$1+40&lt;=$B179,12*$B$9,-12*MAX(0,$B$8-IF($B$1+40&gt;=$B$23,$B$22,0))*(1+$B$4)^40)&gt;0,1+$B$3,1))</f>
        <v/>
      </c>
      <c r="AR179">
        <f>IF($B$1+41&gt;90,AQ179,(AQ179+IF($B$1+41&lt;=$B179,12*$B$9,-12*MAX(0,$B$8-IF($B$1+41&gt;=$B$23,$B$22,0))*(1+$B$4)^41))*IF(AQ179+IF($B$1+41&lt;=$B179,12*$B$9,-12*MAX(0,$B$8-IF($B$1+41&gt;=$B$23,$B$22,0))*(1+$B$4)^41)&gt;0,1+$B$3,1))</f>
        <v/>
      </c>
      <c r="AS179">
        <f>IF($B$1+42&gt;90,AR179,(AR179+IF($B$1+42&lt;=$B179,12*$B$9,-12*MAX(0,$B$8-IF($B$1+42&gt;=$B$23,$B$22,0))*(1+$B$4)^42))*IF(AR179+IF($B$1+42&lt;=$B179,12*$B$9,-12*MAX(0,$B$8-IF($B$1+42&gt;=$B$23,$B$22,0))*(1+$B$4)^42)&gt;0,1+$B$3,1))</f>
        <v/>
      </c>
      <c r="AT179">
        <f>IF($B$1+43&gt;90,AS179,(AS179+IF($B$1+43&lt;=$B179,12*$B$9,-12*MAX(0,$B$8-IF($B$1+43&gt;=$B$23,$B$22,0))*(1+$B$4)^43))*IF(AS179+IF($B$1+43&lt;=$B179,12*$B$9,-12*MAX(0,$B$8-IF($B$1+43&gt;=$B$23,$B$22,0))*(1+$B$4)^43)&gt;0,1+$B$3,1))</f>
        <v/>
      </c>
      <c r="AU179">
        <f>IF($B$1+44&gt;90,AT179,(AT179+IF($B$1+44&lt;=$B179,12*$B$9,-12*MAX(0,$B$8-IF($B$1+44&gt;=$B$23,$B$22,0))*(1+$B$4)^44))*IF(AT179+IF($B$1+44&lt;=$B179,12*$B$9,-12*MAX(0,$B$8-IF($B$1+44&gt;=$B$23,$B$22,0))*(1+$B$4)^44)&gt;0,1+$B$3,1))</f>
        <v/>
      </c>
      <c r="AV179">
        <f>IF($B$1+45&gt;90,AU179,(AU179+IF($B$1+45&lt;=$B179,12*$B$9,-12*MAX(0,$B$8-IF($B$1+45&gt;=$B$23,$B$22,0))*(1+$B$4)^45))*IF(AU179+IF($B$1+45&lt;=$B179,12*$B$9,-12*MAX(0,$B$8-IF($B$1+45&gt;=$B$23,$B$22,0))*(1+$B$4)^45)&gt;0,1+$B$3,1))</f>
        <v/>
      </c>
      <c r="AW179">
        <f>IF($B$1+46&gt;90,AV179,(AV179+IF($B$1+46&lt;=$B179,12*$B$9,-12*MAX(0,$B$8-IF($B$1+46&gt;=$B$23,$B$22,0))*(1+$B$4)^46))*IF(AV179+IF($B$1+46&lt;=$B179,12*$B$9,-12*MAX(0,$B$8-IF($B$1+46&gt;=$B$23,$B$22,0))*(1+$B$4)^46)&gt;0,1+$B$3,1))</f>
        <v/>
      </c>
      <c r="AX179">
        <f>IF($B$1+47&gt;90,AW179,(AW179+IF($B$1+47&lt;=$B179,12*$B$9,-12*MAX(0,$B$8-IF($B$1+47&gt;=$B$23,$B$22,0))*(1+$B$4)^47))*IF(AW179+IF($B$1+47&lt;=$B179,12*$B$9,-12*MAX(0,$B$8-IF($B$1+47&gt;=$B$23,$B$22,0))*(1+$B$4)^47)&gt;0,1+$B$3,1))</f>
        <v/>
      </c>
      <c r="AY179">
        <f>IF($B$1+48&gt;90,AX179,(AX179+IF($B$1+48&lt;=$B179,12*$B$9,-12*MAX(0,$B$8-IF($B$1+48&gt;=$B$23,$B$22,0))*(1+$B$4)^48))*IF(AX179+IF($B$1+48&lt;=$B179,12*$B$9,-12*MAX(0,$B$8-IF($B$1+48&gt;=$B$23,$B$22,0))*(1+$B$4)^48)&gt;0,1+$B$3,1))</f>
        <v/>
      </c>
      <c r="AZ179">
        <f>IF($B$1+49&gt;90,AY179,(AY179+IF($B$1+49&lt;=$B179,12*$B$9,-12*MAX(0,$B$8-IF($B$1+49&gt;=$B$23,$B$22,0))*(1+$B$4)^49))*IF(AY179+IF($B$1+49&lt;=$B179,12*$B$9,-12*MAX(0,$B$8-IF($B$1+49&gt;=$B$23,$B$22,0))*(1+$B$4)^49)&gt;0,1+$B$3,1))</f>
        <v/>
      </c>
      <c r="BA179">
        <f>IF($B$1+50&gt;90,AZ179,(AZ179+IF($B$1+50&lt;=$B179,12*$B$9,-12*MAX(0,$B$8-IF($B$1+50&gt;=$B$23,$B$22,0))*(1+$B$4)^50))*IF(AZ179+IF($B$1+50&lt;=$B179,12*$B$9,-12*MAX(0,$B$8-IF($B$1+50&gt;=$B$23,$B$22,0))*(1+$B$4)^50)&gt;0,1+$B$3,1))</f>
        <v/>
      </c>
      <c r="BB179">
        <f>IF($B$1+51&gt;90,BA179,(BA179+IF($B$1+51&lt;=$B179,12*$B$9,-12*MAX(0,$B$8-IF($B$1+51&gt;=$B$23,$B$22,0))*(1+$B$4)^51))*IF(BA179+IF($B$1+51&lt;=$B179,12*$B$9,-12*MAX(0,$B$8-IF($B$1+51&gt;=$B$23,$B$22,0))*(1+$B$4)^51)&gt;0,1+$B$3,1))</f>
        <v/>
      </c>
      <c r="BC179">
        <f>IF($B$1+52&gt;90,BB179,(BB179+IF($B$1+52&lt;=$B179,12*$B$9,-12*MAX(0,$B$8-IF($B$1+52&gt;=$B$23,$B$22,0))*(1+$B$4)^52))*IF(BB179+IF($B$1+52&lt;=$B179,12*$B$9,-12*MAX(0,$B$8-IF($B$1+52&gt;=$B$23,$B$22,0))*(1+$B$4)^52)&gt;0,1+$B$3,1))</f>
        <v/>
      </c>
      <c r="BD179">
        <f>IF($B$1+53&gt;90,BC179,(BC179+IF($B$1+53&lt;=$B179,12*$B$9,-12*MAX(0,$B$8-IF($B$1+53&gt;=$B$23,$B$22,0))*(1+$B$4)^53))*IF(BC179+IF($B$1+53&lt;=$B179,12*$B$9,-12*MAX(0,$B$8-IF($B$1+53&gt;=$B$23,$B$22,0))*(1+$B$4)^53)&gt;0,1+$B$3,1))</f>
        <v/>
      </c>
      <c r="BE179">
        <f>IF($B$1+54&gt;90,BD179,(BD179+IF($B$1+54&lt;=$B179,12*$B$9,-12*MAX(0,$B$8-IF($B$1+54&gt;=$B$23,$B$22,0))*(1+$B$4)^54))*IF(BD179+IF($B$1+54&lt;=$B179,12*$B$9,-12*MAX(0,$B$8-IF($B$1+54&gt;=$B$23,$B$22,0))*(1+$B$4)^54)&gt;0,1+$B$3,1))</f>
        <v/>
      </c>
      <c r="BF179">
        <f>IF($B$1+55&gt;90,BE179,(BE179+IF($B$1+55&lt;=$B179,12*$B$9,-12*MAX(0,$B$8-IF($B$1+55&gt;=$B$23,$B$22,0))*(1+$B$4)^55))*IF(BE179+IF($B$1+55&lt;=$B179,12*$B$9,-12*MAX(0,$B$8-IF($B$1+55&gt;=$B$23,$B$22,0))*(1+$B$4)^55)&gt;0,1+$B$3,1))</f>
        <v/>
      </c>
      <c r="BG179">
        <f>IF($B$1+56&gt;90,BF179,(BF179+IF($B$1+56&lt;=$B179,12*$B$9,-12*MAX(0,$B$8-IF($B$1+56&gt;=$B$23,$B$22,0))*(1+$B$4)^56))*IF(BF179+IF($B$1+56&lt;=$B179,12*$B$9,-12*MAX(0,$B$8-IF($B$1+56&gt;=$B$23,$B$22,0))*(1+$B$4)^56)&gt;0,1+$B$3,1))</f>
        <v/>
      </c>
      <c r="BH179">
        <f>IF($B$1+57&gt;90,BG179,(BG179+IF($B$1+57&lt;=$B179,12*$B$9,-12*MAX(0,$B$8-IF($B$1+57&gt;=$B$23,$B$22,0))*(1+$B$4)^57))*IF(BG179+IF($B$1+57&lt;=$B179,12*$B$9,-12*MAX(0,$B$8-IF($B$1+57&gt;=$B$23,$B$22,0))*(1+$B$4)^57)&gt;0,1+$B$3,1))</f>
        <v/>
      </c>
      <c r="BI179">
        <f>IF($B$1+58&gt;90,BH179,(BH179+IF($B$1+58&lt;=$B179,12*$B$9,-12*MAX(0,$B$8-IF($B$1+58&gt;=$B$23,$B$22,0))*(1+$B$4)^58))*IF(BH179+IF($B$1+58&lt;=$B179,12*$B$9,-12*MAX(0,$B$8-IF($B$1+58&gt;=$B$23,$B$22,0))*(1+$B$4)^58)&gt;0,1+$B$3,1))</f>
        <v/>
      </c>
      <c r="BJ179">
        <f>IF($B$1+59&gt;90,BI179,(BI179+IF($B$1+59&lt;=$B179,12*$B$9,-12*MAX(0,$B$8-IF($B$1+59&gt;=$B$23,$B$22,0))*(1+$B$4)^59))*IF(BI179+IF($B$1+59&lt;=$B179,12*$B$9,-12*MAX(0,$B$8-IF($B$1+59&gt;=$B$23,$B$22,0))*(1+$B$4)^59)&gt;0,1+$B$3,1))</f>
        <v/>
      </c>
      <c r="BK179">
        <f>IF($B$1+60&gt;90,BJ179,(BJ179+IF($B$1+60&lt;=$B179,12*$B$9,-12*MAX(0,$B$8-IF($B$1+60&gt;=$B$23,$B$22,0))*(1+$B$4)^60))*IF(BJ179+IF($B$1+60&lt;=$B179,12*$B$9,-12*MAX(0,$B$8-IF($B$1+60&gt;=$B$23,$B$22,0))*(1+$B$4)^60)&gt;0,1+$B$3,1))</f>
        <v/>
      </c>
      <c r="BL179">
        <f>IF($B$1+61&gt;90,BK179,(BK179+IF($B$1+61&lt;=$B179,12*$B$9,-12*MAX(0,$B$8-IF($B$1+61&gt;=$B$23,$B$22,0))*(1+$B$4)^61))*IF(BK179+IF($B$1+61&lt;=$B179,12*$B$9,-12*MAX(0,$B$8-IF($B$1+61&gt;=$B$23,$B$22,0))*(1+$B$4)^61)&gt;0,1+$B$3,1))</f>
        <v/>
      </c>
      <c r="BM179">
        <f>IF($B$1+62&gt;90,BL179,(BL179+IF($B$1+62&lt;=$B179,12*$B$9,-12*MAX(0,$B$8-IF($B$1+62&gt;=$B$23,$B$22,0))*(1+$B$4)^62))*IF(BL179+IF($B$1+62&lt;=$B179,12*$B$9,-12*MAX(0,$B$8-IF($B$1+62&gt;=$B$23,$B$22,0))*(1+$B$4)^62)&gt;0,1+$B$3,1))</f>
        <v/>
      </c>
      <c r="BN179">
        <f>IF($B$1+63&gt;90,BM179,(BM179+IF($B$1+63&lt;=$B179,12*$B$9,-12*MAX(0,$B$8-IF($B$1+63&gt;=$B$23,$B$22,0))*(1+$B$4)^63))*IF(BM179+IF($B$1+63&lt;=$B179,12*$B$9,-12*MAX(0,$B$8-IF($B$1+63&gt;=$B$23,$B$22,0))*(1+$B$4)^63)&gt;0,1+$B$3,1))</f>
        <v/>
      </c>
      <c r="BO179">
        <f>IF($B$1+64&gt;90,BN179,(BN179+IF($B$1+64&lt;=$B179,12*$B$9,-12*MAX(0,$B$8-IF($B$1+64&gt;=$B$23,$B$22,0))*(1+$B$4)^64))*IF(BN179+IF($B$1+64&lt;=$B179,12*$B$9,-12*MAX(0,$B$8-IF($B$1+64&gt;=$B$23,$B$22,0))*(1+$B$4)^64)&gt;0,1+$B$3,1))</f>
        <v/>
      </c>
      <c r="BP179">
        <f>IF($B$1+65&gt;90,BO179,(BO179+IF($B$1+65&lt;=$B179,12*$B$9,-12*MAX(0,$B$8-IF($B$1+65&gt;=$B$23,$B$22,0))*(1+$B$4)^65))*IF(BO179+IF($B$1+65&lt;=$B179,12*$B$9,-12*MAX(0,$B$8-IF($B$1+65&gt;=$B$23,$B$22,0))*(1+$B$4)^65)&gt;0,1+$B$3,1))</f>
        <v/>
      </c>
      <c r="BQ179">
        <f>IF($B$1+66&gt;90,BP179,(BP179+IF($B$1+66&lt;=$B179,12*$B$9,-12*MAX(0,$B$8-IF($B$1+66&gt;=$B$23,$B$22,0))*(1+$B$4)^66))*IF(BP179+IF($B$1+66&lt;=$B179,12*$B$9,-12*MAX(0,$B$8-IF($B$1+66&gt;=$B$23,$B$22,0))*(1+$B$4)^66)&gt;0,1+$B$3,1))</f>
        <v/>
      </c>
      <c r="BR179">
        <f>IF($B$1+67&gt;90,BQ179,(BQ179+IF($B$1+67&lt;=$B179,12*$B$9,-12*MAX(0,$B$8-IF($B$1+67&gt;=$B$23,$B$22,0))*(1+$B$4)^67))*IF(BQ179+IF($B$1+67&lt;=$B179,12*$B$9,-12*MAX(0,$B$8-IF($B$1+67&gt;=$B$23,$B$22,0))*(1+$B$4)^67)&gt;0,1+$B$3,1))</f>
        <v/>
      </c>
      <c r="BS179">
        <f>IF($B$1+68&gt;90,BR179,(BR179+IF($B$1+68&lt;=$B179,12*$B$9,-12*MAX(0,$B$8-IF($B$1+68&gt;=$B$23,$B$22,0))*(1+$B$4)^68))*IF(BR179+IF($B$1+68&lt;=$B179,12*$B$9,-12*MAX(0,$B$8-IF($B$1+68&gt;=$B$23,$B$22,0))*(1+$B$4)^68)&gt;0,1+$B$3,1))</f>
        <v/>
      </c>
      <c r="BT179">
        <f>IF($B$1+69&gt;90,BS179,(BS179+IF($B$1+69&lt;=$B179,12*$B$9,-12*MAX(0,$B$8-IF($B$1+69&gt;=$B$23,$B$22,0))*(1+$B$4)^69))*IF(BS179+IF($B$1+69&lt;=$B179,12*$B$9,-12*MAX(0,$B$8-IF($B$1+69&gt;=$B$23,$B$22,0))*(1+$B$4)^69)&gt;0,1+$B$3,1))</f>
        <v/>
      </c>
      <c r="BU179">
        <f>IF($B$1+70&gt;90,BT179,(BT179+IF($B$1+70&lt;=$B179,12*$B$9,-12*MAX(0,$B$8-IF($B$1+70&gt;=$B$23,$B$22,0))*(1+$B$4)^70))*IF(BT179+IF($B$1+70&lt;=$B179,12*$B$9,-12*MAX(0,$B$8-IF($B$1+70&gt;=$B$23,$B$22,0))*(1+$B$4)^70)&gt;0,1+$B$3,1))</f>
        <v/>
      </c>
      <c r="BV179">
        <f>BU179</f>
        <v/>
      </c>
      <c r="BW179">
        <f>IF(AND($B179&lt;=70,BV179&gt;0),$B179,999)</f>
        <v/>
      </c>
      <c r="CH179">
        <f>IF(ISTEXT('월 가계부'!A179),SUBSTITUTE(SUBSTITUTE(SUBSTITUTE(SUBSTITUTE(SUBSTITUTE(SUBSTITUTE(SUBSTITUTE(SUBSTITUTE(SUBSTITUTE(TRIM('월 가계부'!A179),"년","-"),"월","-"),"일",""),".","-"),"/","-")," ","-"),"--","-"),"--","-"),"--","-")&amp;"-","")</f>
        <v/>
      </c>
      <c r="CI179">
        <f>IFERROR(IF('월 가계부'!A179="","",IF(ISNUMBER('월 가계부'!A179),IF(AND('월 가계부'!A179&gt;=19000101,'월 가계부'!A179&lt;=21001231),IF(AND(MOD(INT('월 가계부'!A179/100),100)&gt;=1,MOD(INT('월 가계부'!A179/100),100)&lt;=12,MOD(INT('월 가계부'!A179),100)&gt;=1,MOD(INT('월 가계부'!A179),100)&lt;=31),IF(MONTH(DATE(INT('월 가계부'!A179/10000),MOD(INT('월 가계부'!A179/100),100),MOD(INT('월 가계부'!A179),100)))=MOD(INT('월 가계부'!A179/100),100),DATE(INT('월 가계부'!A179/10000),MOD(INT('월 가계부'!A179/100),100),MOD(INT('월 가계부'!A179),100)),""),""),IF(AND('월 가계부'!A179&gt;=36526,'월 가계부'!A179&lt;73051),INT('월 가계부'!A179),"")),IF(OR(CM179="",CN179="",CO179=""),"",IF(AND(CM179&gt;=2000,CM179&lt;=2099,CN179&gt;=1,CN179&lt;=12,CO179&gt;=1,CO179&lt;=31),IF(MONTH(DATE(CM179,CN179,CO179))=CN179,DATE(CM179,CN179,CO179),""),"")))),"")</f>
        <v/>
      </c>
      <c r="CJ179">
        <f>IFERROR(IF('월 가계부'!C179="","",IF(ISNUMBER('월 가계부'!C179),'월 가계부'!C179,VALUE(SUBSTITUTE(SUBSTITUTE(SUBSTITUTE(SUBSTITUTE(TRIM('월 가계부'!C179),",",""),"원","")," ",""),"−","-")))),"")</f>
        <v/>
      </c>
      <c r="CK179">
        <f>IF(ISNUMBER(CI179),IF(CI179&lt;$B$13,CI179,""),"")</f>
        <v/>
      </c>
      <c r="CM179">
        <f>IF(CH179="","",IFERROR(IF(IF(AND(LEN(CH179)=9,ISERROR(FIND("-",LEFT(CH179,8))),ISNUMBER(-LEFT(CH179,8))),VALUE(LEFT(CH179,4)),VALUE(LEFT(CH179,FIND("-",CH179)-1)))&lt;100,IF(AND(LEN(CH179)=9,ISERROR(FIND("-",LEFT(CH179,8))),ISNUMBER(-LEFT(CH179,8))),VALUE(LEFT(CH179,4)),VALUE(LEFT(CH179,FIND("-",CH179)-1)))+2000,IF(AND(LEN(CH179)=9,ISERROR(FIND("-",LEFT(CH179,8))),ISNUMBER(-LEFT(CH179,8))),VALUE(LEFT(CH179,4)),VALUE(LEFT(CH179,FIND("-",CH179)-1)))),""))</f>
        <v/>
      </c>
      <c r="CN179">
        <f>IF(CH179="","",IFERROR(IF(AND(LEN(CH179)=9,ISERROR(FIND("-",LEFT(CH179,8))),ISNUMBER(-LEFT(CH179,8))),VALUE(MID(CH179,5,2)),VALUE(MID(CH179,FIND("-",CH179)+1,FIND("-",CH179,FIND("-",CH179)+1)-FIND("-",CH179)-1))),""))</f>
        <v/>
      </c>
      <c r="CO179">
        <f>IF(CH179="","",IFERROR(IF(AND(LEN(CH179)=9,ISERROR(FIND("-",LEFT(CH179,8))),ISNUMBER(-LEFT(CH179,8))),VALUE(MID(CH179,7,2)),VALUE(MID(CH179,FIND("-",CH179,FIND("-",CH179)+1)+1,FIND("-",CH179,FIND("-",CH179,FIND("-",CH179)+1)+1)-FIND("-",CH179,FIND("-",CH179)+1)-1))),""))</f>
        <v/>
      </c>
    </row>
    <row r="180">
      <c r="A180" t="n">
        <v>28</v>
      </c>
      <c r="B180">
        <f>$B$1+28</f>
        <v/>
      </c>
      <c r="C180">
        <f>$B$2</f>
        <v/>
      </c>
      <c r="D180">
        <f>IF($B$1+1&gt;90,C180,(C180+IF($B$1+1&lt;=$B180,12*$B$9,-12*MAX(0,$B$8-IF($B$1+1&gt;=$B$23,$B$22,0))*(1+$B$4)^1))*IF(C180+IF($B$1+1&lt;=$B180,12*$B$9,-12*MAX(0,$B$8-IF($B$1+1&gt;=$B$23,$B$22,0))*(1+$B$4)^1)&gt;0,1+$B$3,1))</f>
        <v/>
      </c>
      <c r="E180">
        <f>IF($B$1+2&gt;90,D180,(D180+IF($B$1+2&lt;=$B180,12*$B$9,-12*MAX(0,$B$8-IF($B$1+2&gt;=$B$23,$B$22,0))*(1+$B$4)^2))*IF(D180+IF($B$1+2&lt;=$B180,12*$B$9,-12*MAX(0,$B$8-IF($B$1+2&gt;=$B$23,$B$22,0))*(1+$B$4)^2)&gt;0,1+$B$3,1))</f>
        <v/>
      </c>
      <c r="F180">
        <f>IF($B$1+3&gt;90,E180,(E180+IF($B$1+3&lt;=$B180,12*$B$9,-12*MAX(0,$B$8-IF($B$1+3&gt;=$B$23,$B$22,0))*(1+$B$4)^3))*IF(E180+IF($B$1+3&lt;=$B180,12*$B$9,-12*MAX(0,$B$8-IF($B$1+3&gt;=$B$23,$B$22,0))*(1+$B$4)^3)&gt;0,1+$B$3,1))</f>
        <v/>
      </c>
      <c r="G180">
        <f>IF($B$1+4&gt;90,F180,(F180+IF($B$1+4&lt;=$B180,12*$B$9,-12*MAX(0,$B$8-IF($B$1+4&gt;=$B$23,$B$22,0))*(1+$B$4)^4))*IF(F180+IF($B$1+4&lt;=$B180,12*$B$9,-12*MAX(0,$B$8-IF($B$1+4&gt;=$B$23,$B$22,0))*(1+$B$4)^4)&gt;0,1+$B$3,1))</f>
        <v/>
      </c>
      <c r="H180">
        <f>IF($B$1+5&gt;90,G180,(G180+IF($B$1+5&lt;=$B180,12*$B$9,-12*MAX(0,$B$8-IF($B$1+5&gt;=$B$23,$B$22,0))*(1+$B$4)^5))*IF(G180+IF($B$1+5&lt;=$B180,12*$B$9,-12*MAX(0,$B$8-IF($B$1+5&gt;=$B$23,$B$22,0))*(1+$B$4)^5)&gt;0,1+$B$3,1))</f>
        <v/>
      </c>
      <c r="I180">
        <f>IF($B$1+6&gt;90,H180,(H180+IF($B$1+6&lt;=$B180,12*$B$9,-12*MAX(0,$B$8-IF($B$1+6&gt;=$B$23,$B$22,0))*(1+$B$4)^6))*IF(H180+IF($B$1+6&lt;=$B180,12*$B$9,-12*MAX(0,$B$8-IF($B$1+6&gt;=$B$23,$B$22,0))*(1+$B$4)^6)&gt;0,1+$B$3,1))</f>
        <v/>
      </c>
      <c r="J180">
        <f>IF($B$1+7&gt;90,I180,(I180+IF($B$1+7&lt;=$B180,12*$B$9,-12*MAX(0,$B$8-IF($B$1+7&gt;=$B$23,$B$22,0))*(1+$B$4)^7))*IF(I180+IF($B$1+7&lt;=$B180,12*$B$9,-12*MAX(0,$B$8-IF($B$1+7&gt;=$B$23,$B$22,0))*(1+$B$4)^7)&gt;0,1+$B$3,1))</f>
        <v/>
      </c>
      <c r="K180">
        <f>IF($B$1+8&gt;90,J180,(J180+IF($B$1+8&lt;=$B180,12*$B$9,-12*MAX(0,$B$8-IF($B$1+8&gt;=$B$23,$B$22,0))*(1+$B$4)^8))*IF(J180+IF($B$1+8&lt;=$B180,12*$B$9,-12*MAX(0,$B$8-IF($B$1+8&gt;=$B$23,$B$22,0))*(1+$B$4)^8)&gt;0,1+$B$3,1))</f>
        <v/>
      </c>
      <c r="L180">
        <f>IF($B$1+9&gt;90,K180,(K180+IF($B$1+9&lt;=$B180,12*$B$9,-12*MAX(0,$B$8-IF($B$1+9&gt;=$B$23,$B$22,0))*(1+$B$4)^9))*IF(K180+IF($B$1+9&lt;=$B180,12*$B$9,-12*MAX(0,$B$8-IF($B$1+9&gt;=$B$23,$B$22,0))*(1+$B$4)^9)&gt;0,1+$B$3,1))</f>
        <v/>
      </c>
      <c r="M180">
        <f>IF($B$1+10&gt;90,L180,(L180+IF($B$1+10&lt;=$B180,12*$B$9,-12*MAX(0,$B$8-IF($B$1+10&gt;=$B$23,$B$22,0))*(1+$B$4)^10))*IF(L180+IF($B$1+10&lt;=$B180,12*$B$9,-12*MAX(0,$B$8-IF($B$1+10&gt;=$B$23,$B$22,0))*(1+$B$4)^10)&gt;0,1+$B$3,1))</f>
        <v/>
      </c>
      <c r="N180">
        <f>IF($B$1+11&gt;90,M180,(M180+IF($B$1+11&lt;=$B180,12*$B$9,-12*MAX(0,$B$8-IF($B$1+11&gt;=$B$23,$B$22,0))*(1+$B$4)^11))*IF(M180+IF($B$1+11&lt;=$B180,12*$B$9,-12*MAX(0,$B$8-IF($B$1+11&gt;=$B$23,$B$22,0))*(1+$B$4)^11)&gt;0,1+$B$3,1))</f>
        <v/>
      </c>
      <c r="O180">
        <f>IF($B$1+12&gt;90,N180,(N180+IF($B$1+12&lt;=$B180,12*$B$9,-12*MAX(0,$B$8-IF($B$1+12&gt;=$B$23,$B$22,0))*(1+$B$4)^12))*IF(N180+IF($B$1+12&lt;=$B180,12*$B$9,-12*MAX(0,$B$8-IF($B$1+12&gt;=$B$23,$B$22,0))*(1+$B$4)^12)&gt;0,1+$B$3,1))</f>
        <v/>
      </c>
      <c r="P180">
        <f>IF($B$1+13&gt;90,O180,(O180+IF($B$1+13&lt;=$B180,12*$B$9,-12*MAX(0,$B$8-IF($B$1+13&gt;=$B$23,$B$22,0))*(1+$B$4)^13))*IF(O180+IF($B$1+13&lt;=$B180,12*$B$9,-12*MAX(0,$B$8-IF($B$1+13&gt;=$B$23,$B$22,0))*(1+$B$4)^13)&gt;0,1+$B$3,1))</f>
        <v/>
      </c>
      <c r="Q180">
        <f>IF($B$1+14&gt;90,P180,(P180+IF($B$1+14&lt;=$B180,12*$B$9,-12*MAX(0,$B$8-IF($B$1+14&gt;=$B$23,$B$22,0))*(1+$B$4)^14))*IF(P180+IF($B$1+14&lt;=$B180,12*$B$9,-12*MAX(0,$B$8-IF($B$1+14&gt;=$B$23,$B$22,0))*(1+$B$4)^14)&gt;0,1+$B$3,1))</f>
        <v/>
      </c>
      <c r="R180">
        <f>IF($B$1+15&gt;90,Q180,(Q180+IF($B$1+15&lt;=$B180,12*$B$9,-12*MAX(0,$B$8-IF($B$1+15&gt;=$B$23,$B$22,0))*(1+$B$4)^15))*IF(Q180+IF($B$1+15&lt;=$B180,12*$B$9,-12*MAX(0,$B$8-IF($B$1+15&gt;=$B$23,$B$22,0))*(1+$B$4)^15)&gt;0,1+$B$3,1))</f>
        <v/>
      </c>
      <c r="S180">
        <f>IF($B$1+16&gt;90,R180,(R180+IF($B$1+16&lt;=$B180,12*$B$9,-12*MAX(0,$B$8-IF($B$1+16&gt;=$B$23,$B$22,0))*(1+$B$4)^16))*IF(R180+IF($B$1+16&lt;=$B180,12*$B$9,-12*MAX(0,$B$8-IF($B$1+16&gt;=$B$23,$B$22,0))*(1+$B$4)^16)&gt;0,1+$B$3,1))</f>
        <v/>
      </c>
      <c r="T180">
        <f>IF($B$1+17&gt;90,S180,(S180+IF($B$1+17&lt;=$B180,12*$B$9,-12*MAX(0,$B$8-IF($B$1+17&gt;=$B$23,$B$22,0))*(1+$B$4)^17))*IF(S180+IF($B$1+17&lt;=$B180,12*$B$9,-12*MAX(0,$B$8-IF($B$1+17&gt;=$B$23,$B$22,0))*(1+$B$4)^17)&gt;0,1+$B$3,1))</f>
        <v/>
      </c>
      <c r="U180">
        <f>IF($B$1+18&gt;90,T180,(T180+IF($B$1+18&lt;=$B180,12*$B$9,-12*MAX(0,$B$8-IF($B$1+18&gt;=$B$23,$B$22,0))*(1+$B$4)^18))*IF(T180+IF($B$1+18&lt;=$B180,12*$B$9,-12*MAX(0,$B$8-IF($B$1+18&gt;=$B$23,$B$22,0))*(1+$B$4)^18)&gt;0,1+$B$3,1))</f>
        <v/>
      </c>
      <c r="V180">
        <f>IF($B$1+19&gt;90,U180,(U180+IF($B$1+19&lt;=$B180,12*$B$9,-12*MAX(0,$B$8-IF($B$1+19&gt;=$B$23,$B$22,0))*(1+$B$4)^19))*IF(U180+IF($B$1+19&lt;=$B180,12*$B$9,-12*MAX(0,$B$8-IF($B$1+19&gt;=$B$23,$B$22,0))*(1+$B$4)^19)&gt;0,1+$B$3,1))</f>
        <v/>
      </c>
      <c r="W180">
        <f>IF($B$1+20&gt;90,V180,(V180+IF($B$1+20&lt;=$B180,12*$B$9,-12*MAX(0,$B$8-IF($B$1+20&gt;=$B$23,$B$22,0))*(1+$B$4)^20))*IF(V180+IF($B$1+20&lt;=$B180,12*$B$9,-12*MAX(0,$B$8-IF($B$1+20&gt;=$B$23,$B$22,0))*(1+$B$4)^20)&gt;0,1+$B$3,1))</f>
        <v/>
      </c>
      <c r="X180">
        <f>IF($B$1+21&gt;90,W180,(W180+IF($B$1+21&lt;=$B180,12*$B$9,-12*MAX(0,$B$8-IF($B$1+21&gt;=$B$23,$B$22,0))*(1+$B$4)^21))*IF(W180+IF($B$1+21&lt;=$B180,12*$B$9,-12*MAX(0,$B$8-IF($B$1+21&gt;=$B$23,$B$22,0))*(1+$B$4)^21)&gt;0,1+$B$3,1))</f>
        <v/>
      </c>
      <c r="Y180">
        <f>IF($B$1+22&gt;90,X180,(X180+IF($B$1+22&lt;=$B180,12*$B$9,-12*MAX(0,$B$8-IF($B$1+22&gt;=$B$23,$B$22,0))*(1+$B$4)^22))*IF(X180+IF($B$1+22&lt;=$B180,12*$B$9,-12*MAX(0,$B$8-IF($B$1+22&gt;=$B$23,$B$22,0))*(1+$B$4)^22)&gt;0,1+$B$3,1))</f>
        <v/>
      </c>
      <c r="Z180">
        <f>IF($B$1+23&gt;90,Y180,(Y180+IF($B$1+23&lt;=$B180,12*$B$9,-12*MAX(0,$B$8-IF($B$1+23&gt;=$B$23,$B$22,0))*(1+$B$4)^23))*IF(Y180+IF($B$1+23&lt;=$B180,12*$B$9,-12*MAX(0,$B$8-IF($B$1+23&gt;=$B$23,$B$22,0))*(1+$B$4)^23)&gt;0,1+$B$3,1))</f>
        <v/>
      </c>
      <c r="AA180">
        <f>IF($B$1+24&gt;90,Z180,(Z180+IF($B$1+24&lt;=$B180,12*$B$9,-12*MAX(0,$B$8-IF($B$1+24&gt;=$B$23,$B$22,0))*(1+$B$4)^24))*IF(Z180+IF($B$1+24&lt;=$B180,12*$B$9,-12*MAX(0,$B$8-IF($B$1+24&gt;=$B$23,$B$22,0))*(1+$B$4)^24)&gt;0,1+$B$3,1))</f>
        <v/>
      </c>
      <c r="AB180">
        <f>IF($B$1+25&gt;90,AA180,(AA180+IF($B$1+25&lt;=$B180,12*$B$9,-12*MAX(0,$B$8-IF($B$1+25&gt;=$B$23,$B$22,0))*(1+$B$4)^25))*IF(AA180+IF($B$1+25&lt;=$B180,12*$B$9,-12*MAX(0,$B$8-IF($B$1+25&gt;=$B$23,$B$22,0))*(1+$B$4)^25)&gt;0,1+$B$3,1))</f>
        <v/>
      </c>
      <c r="AC180">
        <f>IF($B$1+26&gt;90,AB180,(AB180+IF($B$1+26&lt;=$B180,12*$B$9,-12*MAX(0,$B$8-IF($B$1+26&gt;=$B$23,$B$22,0))*(1+$B$4)^26))*IF(AB180+IF($B$1+26&lt;=$B180,12*$B$9,-12*MAX(0,$B$8-IF($B$1+26&gt;=$B$23,$B$22,0))*(1+$B$4)^26)&gt;0,1+$B$3,1))</f>
        <v/>
      </c>
      <c r="AD180">
        <f>IF($B$1+27&gt;90,AC180,(AC180+IF($B$1+27&lt;=$B180,12*$B$9,-12*MAX(0,$B$8-IF($B$1+27&gt;=$B$23,$B$22,0))*(1+$B$4)^27))*IF(AC180+IF($B$1+27&lt;=$B180,12*$B$9,-12*MAX(0,$B$8-IF($B$1+27&gt;=$B$23,$B$22,0))*(1+$B$4)^27)&gt;0,1+$B$3,1))</f>
        <v/>
      </c>
      <c r="AE180">
        <f>IF($B$1+28&gt;90,AD180,(AD180+IF($B$1+28&lt;=$B180,12*$B$9,-12*MAX(0,$B$8-IF($B$1+28&gt;=$B$23,$B$22,0))*(1+$B$4)^28))*IF(AD180+IF($B$1+28&lt;=$B180,12*$B$9,-12*MAX(0,$B$8-IF($B$1+28&gt;=$B$23,$B$22,0))*(1+$B$4)^28)&gt;0,1+$B$3,1))</f>
        <v/>
      </c>
      <c r="AF180">
        <f>IF($B$1+29&gt;90,AE180,(AE180+IF($B$1+29&lt;=$B180,12*$B$9,-12*MAX(0,$B$8-IF($B$1+29&gt;=$B$23,$B$22,0))*(1+$B$4)^29))*IF(AE180+IF($B$1+29&lt;=$B180,12*$B$9,-12*MAX(0,$B$8-IF($B$1+29&gt;=$B$23,$B$22,0))*(1+$B$4)^29)&gt;0,1+$B$3,1))</f>
        <v/>
      </c>
      <c r="AG180">
        <f>IF($B$1+30&gt;90,AF180,(AF180+IF($B$1+30&lt;=$B180,12*$B$9,-12*MAX(0,$B$8-IF($B$1+30&gt;=$B$23,$B$22,0))*(1+$B$4)^30))*IF(AF180+IF($B$1+30&lt;=$B180,12*$B$9,-12*MAX(0,$B$8-IF($B$1+30&gt;=$B$23,$B$22,0))*(1+$B$4)^30)&gt;0,1+$B$3,1))</f>
        <v/>
      </c>
      <c r="AH180">
        <f>IF($B$1+31&gt;90,AG180,(AG180+IF($B$1+31&lt;=$B180,12*$B$9,-12*MAX(0,$B$8-IF($B$1+31&gt;=$B$23,$B$22,0))*(1+$B$4)^31))*IF(AG180+IF($B$1+31&lt;=$B180,12*$B$9,-12*MAX(0,$B$8-IF($B$1+31&gt;=$B$23,$B$22,0))*(1+$B$4)^31)&gt;0,1+$B$3,1))</f>
        <v/>
      </c>
      <c r="AI180">
        <f>IF($B$1+32&gt;90,AH180,(AH180+IF($B$1+32&lt;=$B180,12*$B$9,-12*MAX(0,$B$8-IF($B$1+32&gt;=$B$23,$B$22,0))*(1+$B$4)^32))*IF(AH180+IF($B$1+32&lt;=$B180,12*$B$9,-12*MAX(0,$B$8-IF($B$1+32&gt;=$B$23,$B$22,0))*(1+$B$4)^32)&gt;0,1+$B$3,1))</f>
        <v/>
      </c>
      <c r="AJ180">
        <f>IF($B$1+33&gt;90,AI180,(AI180+IF($B$1+33&lt;=$B180,12*$B$9,-12*MAX(0,$B$8-IF($B$1+33&gt;=$B$23,$B$22,0))*(1+$B$4)^33))*IF(AI180+IF($B$1+33&lt;=$B180,12*$B$9,-12*MAX(0,$B$8-IF($B$1+33&gt;=$B$23,$B$22,0))*(1+$B$4)^33)&gt;0,1+$B$3,1))</f>
        <v/>
      </c>
      <c r="AK180">
        <f>IF($B$1+34&gt;90,AJ180,(AJ180+IF($B$1+34&lt;=$B180,12*$B$9,-12*MAX(0,$B$8-IF($B$1+34&gt;=$B$23,$B$22,0))*(1+$B$4)^34))*IF(AJ180+IF($B$1+34&lt;=$B180,12*$B$9,-12*MAX(0,$B$8-IF($B$1+34&gt;=$B$23,$B$22,0))*(1+$B$4)^34)&gt;0,1+$B$3,1))</f>
        <v/>
      </c>
      <c r="AL180">
        <f>IF($B$1+35&gt;90,AK180,(AK180+IF($B$1+35&lt;=$B180,12*$B$9,-12*MAX(0,$B$8-IF($B$1+35&gt;=$B$23,$B$22,0))*(1+$B$4)^35))*IF(AK180+IF($B$1+35&lt;=$B180,12*$B$9,-12*MAX(0,$B$8-IF($B$1+35&gt;=$B$23,$B$22,0))*(1+$B$4)^35)&gt;0,1+$B$3,1))</f>
        <v/>
      </c>
      <c r="AM180">
        <f>IF($B$1+36&gt;90,AL180,(AL180+IF($B$1+36&lt;=$B180,12*$B$9,-12*MAX(0,$B$8-IF($B$1+36&gt;=$B$23,$B$22,0))*(1+$B$4)^36))*IF(AL180+IF($B$1+36&lt;=$B180,12*$B$9,-12*MAX(0,$B$8-IF($B$1+36&gt;=$B$23,$B$22,0))*(1+$B$4)^36)&gt;0,1+$B$3,1))</f>
        <v/>
      </c>
      <c r="AN180">
        <f>IF($B$1+37&gt;90,AM180,(AM180+IF($B$1+37&lt;=$B180,12*$B$9,-12*MAX(0,$B$8-IF($B$1+37&gt;=$B$23,$B$22,0))*(1+$B$4)^37))*IF(AM180+IF($B$1+37&lt;=$B180,12*$B$9,-12*MAX(0,$B$8-IF($B$1+37&gt;=$B$23,$B$22,0))*(1+$B$4)^37)&gt;0,1+$B$3,1))</f>
        <v/>
      </c>
      <c r="AO180">
        <f>IF($B$1+38&gt;90,AN180,(AN180+IF($B$1+38&lt;=$B180,12*$B$9,-12*MAX(0,$B$8-IF($B$1+38&gt;=$B$23,$B$22,0))*(1+$B$4)^38))*IF(AN180+IF($B$1+38&lt;=$B180,12*$B$9,-12*MAX(0,$B$8-IF($B$1+38&gt;=$B$23,$B$22,0))*(1+$B$4)^38)&gt;0,1+$B$3,1))</f>
        <v/>
      </c>
      <c r="AP180">
        <f>IF($B$1+39&gt;90,AO180,(AO180+IF($B$1+39&lt;=$B180,12*$B$9,-12*MAX(0,$B$8-IF($B$1+39&gt;=$B$23,$B$22,0))*(1+$B$4)^39))*IF(AO180+IF($B$1+39&lt;=$B180,12*$B$9,-12*MAX(0,$B$8-IF($B$1+39&gt;=$B$23,$B$22,0))*(1+$B$4)^39)&gt;0,1+$B$3,1))</f>
        <v/>
      </c>
      <c r="AQ180">
        <f>IF($B$1+40&gt;90,AP180,(AP180+IF($B$1+40&lt;=$B180,12*$B$9,-12*MAX(0,$B$8-IF($B$1+40&gt;=$B$23,$B$22,0))*(1+$B$4)^40))*IF(AP180+IF($B$1+40&lt;=$B180,12*$B$9,-12*MAX(0,$B$8-IF($B$1+40&gt;=$B$23,$B$22,0))*(1+$B$4)^40)&gt;0,1+$B$3,1))</f>
        <v/>
      </c>
      <c r="AR180">
        <f>IF($B$1+41&gt;90,AQ180,(AQ180+IF($B$1+41&lt;=$B180,12*$B$9,-12*MAX(0,$B$8-IF($B$1+41&gt;=$B$23,$B$22,0))*(1+$B$4)^41))*IF(AQ180+IF($B$1+41&lt;=$B180,12*$B$9,-12*MAX(0,$B$8-IF($B$1+41&gt;=$B$23,$B$22,0))*(1+$B$4)^41)&gt;0,1+$B$3,1))</f>
        <v/>
      </c>
      <c r="AS180">
        <f>IF($B$1+42&gt;90,AR180,(AR180+IF($B$1+42&lt;=$B180,12*$B$9,-12*MAX(0,$B$8-IF($B$1+42&gt;=$B$23,$B$22,0))*(1+$B$4)^42))*IF(AR180+IF($B$1+42&lt;=$B180,12*$B$9,-12*MAX(0,$B$8-IF($B$1+42&gt;=$B$23,$B$22,0))*(1+$B$4)^42)&gt;0,1+$B$3,1))</f>
        <v/>
      </c>
      <c r="AT180">
        <f>IF($B$1+43&gt;90,AS180,(AS180+IF($B$1+43&lt;=$B180,12*$B$9,-12*MAX(0,$B$8-IF($B$1+43&gt;=$B$23,$B$22,0))*(1+$B$4)^43))*IF(AS180+IF($B$1+43&lt;=$B180,12*$B$9,-12*MAX(0,$B$8-IF($B$1+43&gt;=$B$23,$B$22,0))*(1+$B$4)^43)&gt;0,1+$B$3,1))</f>
        <v/>
      </c>
      <c r="AU180">
        <f>IF($B$1+44&gt;90,AT180,(AT180+IF($B$1+44&lt;=$B180,12*$B$9,-12*MAX(0,$B$8-IF($B$1+44&gt;=$B$23,$B$22,0))*(1+$B$4)^44))*IF(AT180+IF($B$1+44&lt;=$B180,12*$B$9,-12*MAX(0,$B$8-IF($B$1+44&gt;=$B$23,$B$22,0))*(1+$B$4)^44)&gt;0,1+$B$3,1))</f>
        <v/>
      </c>
      <c r="AV180">
        <f>IF($B$1+45&gt;90,AU180,(AU180+IF($B$1+45&lt;=$B180,12*$B$9,-12*MAX(0,$B$8-IF($B$1+45&gt;=$B$23,$B$22,0))*(1+$B$4)^45))*IF(AU180+IF($B$1+45&lt;=$B180,12*$B$9,-12*MAX(0,$B$8-IF($B$1+45&gt;=$B$23,$B$22,0))*(1+$B$4)^45)&gt;0,1+$B$3,1))</f>
        <v/>
      </c>
      <c r="AW180">
        <f>IF($B$1+46&gt;90,AV180,(AV180+IF($B$1+46&lt;=$B180,12*$B$9,-12*MAX(0,$B$8-IF($B$1+46&gt;=$B$23,$B$22,0))*(1+$B$4)^46))*IF(AV180+IF($B$1+46&lt;=$B180,12*$B$9,-12*MAX(0,$B$8-IF($B$1+46&gt;=$B$23,$B$22,0))*(1+$B$4)^46)&gt;0,1+$B$3,1))</f>
        <v/>
      </c>
      <c r="AX180">
        <f>IF($B$1+47&gt;90,AW180,(AW180+IF($B$1+47&lt;=$B180,12*$B$9,-12*MAX(0,$B$8-IF($B$1+47&gt;=$B$23,$B$22,0))*(1+$B$4)^47))*IF(AW180+IF($B$1+47&lt;=$B180,12*$B$9,-12*MAX(0,$B$8-IF($B$1+47&gt;=$B$23,$B$22,0))*(1+$B$4)^47)&gt;0,1+$B$3,1))</f>
        <v/>
      </c>
      <c r="AY180">
        <f>IF($B$1+48&gt;90,AX180,(AX180+IF($B$1+48&lt;=$B180,12*$B$9,-12*MAX(0,$B$8-IF($B$1+48&gt;=$B$23,$B$22,0))*(1+$B$4)^48))*IF(AX180+IF($B$1+48&lt;=$B180,12*$B$9,-12*MAX(0,$B$8-IF($B$1+48&gt;=$B$23,$B$22,0))*(1+$B$4)^48)&gt;0,1+$B$3,1))</f>
        <v/>
      </c>
      <c r="AZ180">
        <f>IF($B$1+49&gt;90,AY180,(AY180+IF($B$1+49&lt;=$B180,12*$B$9,-12*MAX(0,$B$8-IF($B$1+49&gt;=$B$23,$B$22,0))*(1+$B$4)^49))*IF(AY180+IF($B$1+49&lt;=$B180,12*$B$9,-12*MAX(0,$B$8-IF($B$1+49&gt;=$B$23,$B$22,0))*(1+$B$4)^49)&gt;0,1+$B$3,1))</f>
        <v/>
      </c>
      <c r="BA180">
        <f>IF($B$1+50&gt;90,AZ180,(AZ180+IF($B$1+50&lt;=$B180,12*$B$9,-12*MAX(0,$B$8-IF($B$1+50&gt;=$B$23,$B$22,0))*(1+$B$4)^50))*IF(AZ180+IF($B$1+50&lt;=$B180,12*$B$9,-12*MAX(0,$B$8-IF($B$1+50&gt;=$B$23,$B$22,0))*(1+$B$4)^50)&gt;0,1+$B$3,1))</f>
        <v/>
      </c>
      <c r="BB180">
        <f>IF($B$1+51&gt;90,BA180,(BA180+IF($B$1+51&lt;=$B180,12*$B$9,-12*MAX(0,$B$8-IF($B$1+51&gt;=$B$23,$B$22,0))*(1+$B$4)^51))*IF(BA180+IF($B$1+51&lt;=$B180,12*$B$9,-12*MAX(0,$B$8-IF($B$1+51&gt;=$B$23,$B$22,0))*(1+$B$4)^51)&gt;0,1+$B$3,1))</f>
        <v/>
      </c>
      <c r="BC180">
        <f>IF($B$1+52&gt;90,BB180,(BB180+IF($B$1+52&lt;=$B180,12*$B$9,-12*MAX(0,$B$8-IF($B$1+52&gt;=$B$23,$B$22,0))*(1+$B$4)^52))*IF(BB180+IF($B$1+52&lt;=$B180,12*$B$9,-12*MAX(0,$B$8-IF($B$1+52&gt;=$B$23,$B$22,0))*(1+$B$4)^52)&gt;0,1+$B$3,1))</f>
        <v/>
      </c>
      <c r="BD180">
        <f>IF($B$1+53&gt;90,BC180,(BC180+IF($B$1+53&lt;=$B180,12*$B$9,-12*MAX(0,$B$8-IF($B$1+53&gt;=$B$23,$B$22,0))*(1+$B$4)^53))*IF(BC180+IF($B$1+53&lt;=$B180,12*$B$9,-12*MAX(0,$B$8-IF($B$1+53&gt;=$B$23,$B$22,0))*(1+$B$4)^53)&gt;0,1+$B$3,1))</f>
        <v/>
      </c>
      <c r="BE180">
        <f>IF($B$1+54&gt;90,BD180,(BD180+IF($B$1+54&lt;=$B180,12*$B$9,-12*MAX(0,$B$8-IF($B$1+54&gt;=$B$23,$B$22,0))*(1+$B$4)^54))*IF(BD180+IF($B$1+54&lt;=$B180,12*$B$9,-12*MAX(0,$B$8-IF($B$1+54&gt;=$B$23,$B$22,0))*(1+$B$4)^54)&gt;0,1+$B$3,1))</f>
        <v/>
      </c>
      <c r="BF180">
        <f>IF($B$1+55&gt;90,BE180,(BE180+IF($B$1+55&lt;=$B180,12*$B$9,-12*MAX(0,$B$8-IF($B$1+55&gt;=$B$23,$B$22,0))*(1+$B$4)^55))*IF(BE180+IF($B$1+55&lt;=$B180,12*$B$9,-12*MAX(0,$B$8-IF($B$1+55&gt;=$B$23,$B$22,0))*(1+$B$4)^55)&gt;0,1+$B$3,1))</f>
        <v/>
      </c>
      <c r="BG180">
        <f>IF($B$1+56&gt;90,BF180,(BF180+IF($B$1+56&lt;=$B180,12*$B$9,-12*MAX(0,$B$8-IF($B$1+56&gt;=$B$23,$B$22,0))*(1+$B$4)^56))*IF(BF180+IF($B$1+56&lt;=$B180,12*$B$9,-12*MAX(0,$B$8-IF($B$1+56&gt;=$B$23,$B$22,0))*(1+$B$4)^56)&gt;0,1+$B$3,1))</f>
        <v/>
      </c>
      <c r="BH180">
        <f>IF($B$1+57&gt;90,BG180,(BG180+IF($B$1+57&lt;=$B180,12*$B$9,-12*MAX(0,$B$8-IF($B$1+57&gt;=$B$23,$B$22,0))*(1+$B$4)^57))*IF(BG180+IF($B$1+57&lt;=$B180,12*$B$9,-12*MAX(0,$B$8-IF($B$1+57&gt;=$B$23,$B$22,0))*(1+$B$4)^57)&gt;0,1+$B$3,1))</f>
        <v/>
      </c>
      <c r="BI180">
        <f>IF($B$1+58&gt;90,BH180,(BH180+IF($B$1+58&lt;=$B180,12*$B$9,-12*MAX(0,$B$8-IF($B$1+58&gt;=$B$23,$B$22,0))*(1+$B$4)^58))*IF(BH180+IF($B$1+58&lt;=$B180,12*$B$9,-12*MAX(0,$B$8-IF($B$1+58&gt;=$B$23,$B$22,0))*(1+$B$4)^58)&gt;0,1+$B$3,1))</f>
        <v/>
      </c>
      <c r="BJ180">
        <f>IF($B$1+59&gt;90,BI180,(BI180+IF($B$1+59&lt;=$B180,12*$B$9,-12*MAX(0,$B$8-IF($B$1+59&gt;=$B$23,$B$22,0))*(1+$B$4)^59))*IF(BI180+IF($B$1+59&lt;=$B180,12*$B$9,-12*MAX(0,$B$8-IF($B$1+59&gt;=$B$23,$B$22,0))*(1+$B$4)^59)&gt;0,1+$B$3,1))</f>
        <v/>
      </c>
      <c r="BK180">
        <f>IF($B$1+60&gt;90,BJ180,(BJ180+IF($B$1+60&lt;=$B180,12*$B$9,-12*MAX(0,$B$8-IF($B$1+60&gt;=$B$23,$B$22,0))*(1+$B$4)^60))*IF(BJ180+IF($B$1+60&lt;=$B180,12*$B$9,-12*MAX(0,$B$8-IF($B$1+60&gt;=$B$23,$B$22,0))*(1+$B$4)^60)&gt;0,1+$B$3,1))</f>
        <v/>
      </c>
      <c r="BL180">
        <f>IF($B$1+61&gt;90,BK180,(BK180+IF($B$1+61&lt;=$B180,12*$B$9,-12*MAX(0,$B$8-IF($B$1+61&gt;=$B$23,$B$22,0))*(1+$B$4)^61))*IF(BK180+IF($B$1+61&lt;=$B180,12*$B$9,-12*MAX(0,$B$8-IF($B$1+61&gt;=$B$23,$B$22,0))*(1+$B$4)^61)&gt;0,1+$B$3,1))</f>
        <v/>
      </c>
      <c r="BM180">
        <f>IF($B$1+62&gt;90,BL180,(BL180+IF($B$1+62&lt;=$B180,12*$B$9,-12*MAX(0,$B$8-IF($B$1+62&gt;=$B$23,$B$22,0))*(1+$B$4)^62))*IF(BL180+IF($B$1+62&lt;=$B180,12*$B$9,-12*MAX(0,$B$8-IF($B$1+62&gt;=$B$23,$B$22,0))*(1+$B$4)^62)&gt;0,1+$B$3,1))</f>
        <v/>
      </c>
      <c r="BN180">
        <f>IF($B$1+63&gt;90,BM180,(BM180+IF($B$1+63&lt;=$B180,12*$B$9,-12*MAX(0,$B$8-IF($B$1+63&gt;=$B$23,$B$22,0))*(1+$B$4)^63))*IF(BM180+IF($B$1+63&lt;=$B180,12*$B$9,-12*MAX(0,$B$8-IF($B$1+63&gt;=$B$23,$B$22,0))*(1+$B$4)^63)&gt;0,1+$B$3,1))</f>
        <v/>
      </c>
      <c r="BO180">
        <f>IF($B$1+64&gt;90,BN180,(BN180+IF($B$1+64&lt;=$B180,12*$B$9,-12*MAX(0,$B$8-IF($B$1+64&gt;=$B$23,$B$22,0))*(1+$B$4)^64))*IF(BN180+IF($B$1+64&lt;=$B180,12*$B$9,-12*MAX(0,$B$8-IF($B$1+64&gt;=$B$23,$B$22,0))*(1+$B$4)^64)&gt;0,1+$B$3,1))</f>
        <v/>
      </c>
      <c r="BP180">
        <f>IF($B$1+65&gt;90,BO180,(BO180+IF($B$1+65&lt;=$B180,12*$B$9,-12*MAX(0,$B$8-IF($B$1+65&gt;=$B$23,$B$22,0))*(1+$B$4)^65))*IF(BO180+IF($B$1+65&lt;=$B180,12*$B$9,-12*MAX(0,$B$8-IF($B$1+65&gt;=$B$23,$B$22,0))*(1+$B$4)^65)&gt;0,1+$B$3,1))</f>
        <v/>
      </c>
      <c r="BQ180">
        <f>IF($B$1+66&gt;90,BP180,(BP180+IF($B$1+66&lt;=$B180,12*$B$9,-12*MAX(0,$B$8-IF($B$1+66&gt;=$B$23,$B$22,0))*(1+$B$4)^66))*IF(BP180+IF($B$1+66&lt;=$B180,12*$B$9,-12*MAX(0,$B$8-IF($B$1+66&gt;=$B$23,$B$22,0))*(1+$B$4)^66)&gt;0,1+$B$3,1))</f>
        <v/>
      </c>
      <c r="BR180">
        <f>IF($B$1+67&gt;90,BQ180,(BQ180+IF($B$1+67&lt;=$B180,12*$B$9,-12*MAX(0,$B$8-IF($B$1+67&gt;=$B$23,$B$22,0))*(1+$B$4)^67))*IF(BQ180+IF($B$1+67&lt;=$B180,12*$B$9,-12*MAX(0,$B$8-IF($B$1+67&gt;=$B$23,$B$22,0))*(1+$B$4)^67)&gt;0,1+$B$3,1))</f>
        <v/>
      </c>
      <c r="BS180">
        <f>IF($B$1+68&gt;90,BR180,(BR180+IF($B$1+68&lt;=$B180,12*$B$9,-12*MAX(0,$B$8-IF($B$1+68&gt;=$B$23,$B$22,0))*(1+$B$4)^68))*IF(BR180+IF($B$1+68&lt;=$B180,12*$B$9,-12*MAX(0,$B$8-IF($B$1+68&gt;=$B$23,$B$22,0))*(1+$B$4)^68)&gt;0,1+$B$3,1))</f>
        <v/>
      </c>
      <c r="BT180">
        <f>IF($B$1+69&gt;90,BS180,(BS180+IF($B$1+69&lt;=$B180,12*$B$9,-12*MAX(0,$B$8-IF($B$1+69&gt;=$B$23,$B$22,0))*(1+$B$4)^69))*IF(BS180+IF($B$1+69&lt;=$B180,12*$B$9,-12*MAX(0,$B$8-IF($B$1+69&gt;=$B$23,$B$22,0))*(1+$B$4)^69)&gt;0,1+$B$3,1))</f>
        <v/>
      </c>
      <c r="BU180">
        <f>IF($B$1+70&gt;90,BT180,(BT180+IF($B$1+70&lt;=$B180,12*$B$9,-12*MAX(0,$B$8-IF($B$1+70&gt;=$B$23,$B$22,0))*(1+$B$4)^70))*IF(BT180+IF($B$1+70&lt;=$B180,12*$B$9,-12*MAX(0,$B$8-IF($B$1+70&gt;=$B$23,$B$22,0))*(1+$B$4)^70)&gt;0,1+$B$3,1))</f>
        <v/>
      </c>
      <c r="BV180">
        <f>BU180</f>
        <v/>
      </c>
      <c r="BW180">
        <f>IF(AND($B180&lt;=70,BV180&gt;0),$B180,999)</f>
        <v/>
      </c>
      <c r="CH180">
        <f>IF(ISTEXT('월 가계부'!A180),SUBSTITUTE(SUBSTITUTE(SUBSTITUTE(SUBSTITUTE(SUBSTITUTE(SUBSTITUTE(SUBSTITUTE(SUBSTITUTE(SUBSTITUTE(TRIM('월 가계부'!A180),"년","-"),"월","-"),"일",""),".","-"),"/","-")," ","-"),"--","-"),"--","-"),"--","-")&amp;"-","")</f>
        <v/>
      </c>
      <c r="CI180">
        <f>IFERROR(IF('월 가계부'!A180="","",IF(ISNUMBER('월 가계부'!A180),IF(AND('월 가계부'!A180&gt;=19000101,'월 가계부'!A180&lt;=21001231),IF(AND(MOD(INT('월 가계부'!A180/100),100)&gt;=1,MOD(INT('월 가계부'!A180/100),100)&lt;=12,MOD(INT('월 가계부'!A180),100)&gt;=1,MOD(INT('월 가계부'!A180),100)&lt;=31),IF(MONTH(DATE(INT('월 가계부'!A180/10000),MOD(INT('월 가계부'!A180/100),100),MOD(INT('월 가계부'!A180),100)))=MOD(INT('월 가계부'!A180/100),100),DATE(INT('월 가계부'!A180/10000),MOD(INT('월 가계부'!A180/100),100),MOD(INT('월 가계부'!A180),100)),""),""),IF(AND('월 가계부'!A180&gt;=36526,'월 가계부'!A180&lt;73051),INT('월 가계부'!A180),"")),IF(OR(CM180="",CN180="",CO180=""),"",IF(AND(CM180&gt;=2000,CM180&lt;=2099,CN180&gt;=1,CN180&lt;=12,CO180&gt;=1,CO180&lt;=31),IF(MONTH(DATE(CM180,CN180,CO180))=CN180,DATE(CM180,CN180,CO180),""),"")))),"")</f>
        <v/>
      </c>
      <c r="CJ180">
        <f>IFERROR(IF('월 가계부'!C180="","",IF(ISNUMBER('월 가계부'!C180),'월 가계부'!C180,VALUE(SUBSTITUTE(SUBSTITUTE(SUBSTITUTE(SUBSTITUTE(TRIM('월 가계부'!C180),",",""),"원","")," ",""),"−","-")))),"")</f>
        <v/>
      </c>
      <c r="CK180">
        <f>IF(ISNUMBER(CI180),IF(CI180&lt;$B$13,CI180,""),"")</f>
        <v/>
      </c>
      <c r="CM180">
        <f>IF(CH180="","",IFERROR(IF(IF(AND(LEN(CH180)=9,ISERROR(FIND("-",LEFT(CH180,8))),ISNUMBER(-LEFT(CH180,8))),VALUE(LEFT(CH180,4)),VALUE(LEFT(CH180,FIND("-",CH180)-1)))&lt;100,IF(AND(LEN(CH180)=9,ISERROR(FIND("-",LEFT(CH180,8))),ISNUMBER(-LEFT(CH180,8))),VALUE(LEFT(CH180,4)),VALUE(LEFT(CH180,FIND("-",CH180)-1)))+2000,IF(AND(LEN(CH180)=9,ISERROR(FIND("-",LEFT(CH180,8))),ISNUMBER(-LEFT(CH180,8))),VALUE(LEFT(CH180,4)),VALUE(LEFT(CH180,FIND("-",CH180)-1)))),""))</f>
        <v/>
      </c>
      <c r="CN180">
        <f>IF(CH180="","",IFERROR(IF(AND(LEN(CH180)=9,ISERROR(FIND("-",LEFT(CH180,8))),ISNUMBER(-LEFT(CH180,8))),VALUE(MID(CH180,5,2)),VALUE(MID(CH180,FIND("-",CH180)+1,FIND("-",CH180,FIND("-",CH180)+1)-FIND("-",CH180)-1))),""))</f>
        <v/>
      </c>
      <c r="CO180">
        <f>IF(CH180="","",IFERROR(IF(AND(LEN(CH180)=9,ISERROR(FIND("-",LEFT(CH180,8))),ISNUMBER(-LEFT(CH180,8))),VALUE(MID(CH180,7,2)),VALUE(MID(CH180,FIND("-",CH180,FIND("-",CH180)+1)+1,FIND("-",CH180,FIND("-",CH180,FIND("-",CH180)+1)+1)-FIND("-",CH180,FIND("-",CH180)+1)-1))),""))</f>
        <v/>
      </c>
    </row>
    <row r="181">
      <c r="A181" t="n">
        <v>29</v>
      </c>
      <c r="B181">
        <f>$B$1+29</f>
        <v/>
      </c>
      <c r="C181">
        <f>$B$2</f>
        <v/>
      </c>
      <c r="D181">
        <f>IF($B$1+1&gt;90,C181,(C181+IF($B$1+1&lt;=$B181,12*$B$9,-12*MAX(0,$B$8-IF($B$1+1&gt;=$B$23,$B$22,0))*(1+$B$4)^1))*IF(C181+IF($B$1+1&lt;=$B181,12*$B$9,-12*MAX(0,$B$8-IF($B$1+1&gt;=$B$23,$B$22,0))*(1+$B$4)^1)&gt;0,1+$B$3,1))</f>
        <v/>
      </c>
      <c r="E181">
        <f>IF($B$1+2&gt;90,D181,(D181+IF($B$1+2&lt;=$B181,12*$B$9,-12*MAX(0,$B$8-IF($B$1+2&gt;=$B$23,$B$22,0))*(1+$B$4)^2))*IF(D181+IF($B$1+2&lt;=$B181,12*$B$9,-12*MAX(0,$B$8-IF($B$1+2&gt;=$B$23,$B$22,0))*(1+$B$4)^2)&gt;0,1+$B$3,1))</f>
        <v/>
      </c>
      <c r="F181">
        <f>IF($B$1+3&gt;90,E181,(E181+IF($B$1+3&lt;=$B181,12*$B$9,-12*MAX(0,$B$8-IF($B$1+3&gt;=$B$23,$B$22,0))*(1+$B$4)^3))*IF(E181+IF($B$1+3&lt;=$B181,12*$B$9,-12*MAX(0,$B$8-IF($B$1+3&gt;=$B$23,$B$22,0))*(1+$B$4)^3)&gt;0,1+$B$3,1))</f>
        <v/>
      </c>
      <c r="G181">
        <f>IF($B$1+4&gt;90,F181,(F181+IF($B$1+4&lt;=$B181,12*$B$9,-12*MAX(0,$B$8-IF($B$1+4&gt;=$B$23,$B$22,0))*(1+$B$4)^4))*IF(F181+IF($B$1+4&lt;=$B181,12*$B$9,-12*MAX(0,$B$8-IF($B$1+4&gt;=$B$23,$B$22,0))*(1+$B$4)^4)&gt;0,1+$B$3,1))</f>
        <v/>
      </c>
      <c r="H181">
        <f>IF($B$1+5&gt;90,G181,(G181+IF($B$1+5&lt;=$B181,12*$B$9,-12*MAX(0,$B$8-IF($B$1+5&gt;=$B$23,$B$22,0))*(1+$B$4)^5))*IF(G181+IF($B$1+5&lt;=$B181,12*$B$9,-12*MAX(0,$B$8-IF($B$1+5&gt;=$B$23,$B$22,0))*(1+$B$4)^5)&gt;0,1+$B$3,1))</f>
        <v/>
      </c>
      <c r="I181">
        <f>IF($B$1+6&gt;90,H181,(H181+IF($B$1+6&lt;=$B181,12*$B$9,-12*MAX(0,$B$8-IF($B$1+6&gt;=$B$23,$B$22,0))*(1+$B$4)^6))*IF(H181+IF($B$1+6&lt;=$B181,12*$B$9,-12*MAX(0,$B$8-IF($B$1+6&gt;=$B$23,$B$22,0))*(1+$B$4)^6)&gt;0,1+$B$3,1))</f>
        <v/>
      </c>
      <c r="J181">
        <f>IF($B$1+7&gt;90,I181,(I181+IF($B$1+7&lt;=$B181,12*$B$9,-12*MAX(0,$B$8-IF($B$1+7&gt;=$B$23,$B$22,0))*(1+$B$4)^7))*IF(I181+IF($B$1+7&lt;=$B181,12*$B$9,-12*MAX(0,$B$8-IF($B$1+7&gt;=$B$23,$B$22,0))*(1+$B$4)^7)&gt;0,1+$B$3,1))</f>
        <v/>
      </c>
      <c r="K181">
        <f>IF($B$1+8&gt;90,J181,(J181+IF($B$1+8&lt;=$B181,12*$B$9,-12*MAX(0,$B$8-IF($B$1+8&gt;=$B$23,$B$22,0))*(1+$B$4)^8))*IF(J181+IF($B$1+8&lt;=$B181,12*$B$9,-12*MAX(0,$B$8-IF($B$1+8&gt;=$B$23,$B$22,0))*(1+$B$4)^8)&gt;0,1+$B$3,1))</f>
        <v/>
      </c>
      <c r="L181">
        <f>IF($B$1+9&gt;90,K181,(K181+IF($B$1+9&lt;=$B181,12*$B$9,-12*MAX(0,$B$8-IF($B$1+9&gt;=$B$23,$B$22,0))*(1+$B$4)^9))*IF(K181+IF($B$1+9&lt;=$B181,12*$B$9,-12*MAX(0,$B$8-IF($B$1+9&gt;=$B$23,$B$22,0))*(1+$B$4)^9)&gt;0,1+$B$3,1))</f>
        <v/>
      </c>
      <c r="M181">
        <f>IF($B$1+10&gt;90,L181,(L181+IF($B$1+10&lt;=$B181,12*$B$9,-12*MAX(0,$B$8-IF($B$1+10&gt;=$B$23,$B$22,0))*(1+$B$4)^10))*IF(L181+IF($B$1+10&lt;=$B181,12*$B$9,-12*MAX(0,$B$8-IF($B$1+10&gt;=$B$23,$B$22,0))*(1+$B$4)^10)&gt;0,1+$B$3,1))</f>
        <v/>
      </c>
      <c r="N181">
        <f>IF($B$1+11&gt;90,M181,(M181+IF($B$1+11&lt;=$B181,12*$B$9,-12*MAX(0,$B$8-IF($B$1+11&gt;=$B$23,$B$22,0))*(1+$B$4)^11))*IF(M181+IF($B$1+11&lt;=$B181,12*$B$9,-12*MAX(0,$B$8-IF($B$1+11&gt;=$B$23,$B$22,0))*(1+$B$4)^11)&gt;0,1+$B$3,1))</f>
        <v/>
      </c>
      <c r="O181">
        <f>IF($B$1+12&gt;90,N181,(N181+IF($B$1+12&lt;=$B181,12*$B$9,-12*MAX(0,$B$8-IF($B$1+12&gt;=$B$23,$B$22,0))*(1+$B$4)^12))*IF(N181+IF($B$1+12&lt;=$B181,12*$B$9,-12*MAX(0,$B$8-IF($B$1+12&gt;=$B$23,$B$22,0))*(1+$B$4)^12)&gt;0,1+$B$3,1))</f>
        <v/>
      </c>
      <c r="P181">
        <f>IF($B$1+13&gt;90,O181,(O181+IF($B$1+13&lt;=$B181,12*$B$9,-12*MAX(0,$B$8-IF($B$1+13&gt;=$B$23,$B$22,0))*(1+$B$4)^13))*IF(O181+IF($B$1+13&lt;=$B181,12*$B$9,-12*MAX(0,$B$8-IF($B$1+13&gt;=$B$23,$B$22,0))*(1+$B$4)^13)&gt;0,1+$B$3,1))</f>
        <v/>
      </c>
      <c r="Q181">
        <f>IF($B$1+14&gt;90,P181,(P181+IF($B$1+14&lt;=$B181,12*$B$9,-12*MAX(0,$B$8-IF($B$1+14&gt;=$B$23,$B$22,0))*(1+$B$4)^14))*IF(P181+IF($B$1+14&lt;=$B181,12*$B$9,-12*MAX(0,$B$8-IF($B$1+14&gt;=$B$23,$B$22,0))*(1+$B$4)^14)&gt;0,1+$B$3,1))</f>
        <v/>
      </c>
      <c r="R181">
        <f>IF($B$1+15&gt;90,Q181,(Q181+IF($B$1+15&lt;=$B181,12*$B$9,-12*MAX(0,$B$8-IF($B$1+15&gt;=$B$23,$B$22,0))*(1+$B$4)^15))*IF(Q181+IF($B$1+15&lt;=$B181,12*$B$9,-12*MAX(0,$B$8-IF($B$1+15&gt;=$B$23,$B$22,0))*(1+$B$4)^15)&gt;0,1+$B$3,1))</f>
        <v/>
      </c>
      <c r="S181">
        <f>IF($B$1+16&gt;90,R181,(R181+IF($B$1+16&lt;=$B181,12*$B$9,-12*MAX(0,$B$8-IF($B$1+16&gt;=$B$23,$B$22,0))*(1+$B$4)^16))*IF(R181+IF($B$1+16&lt;=$B181,12*$B$9,-12*MAX(0,$B$8-IF($B$1+16&gt;=$B$23,$B$22,0))*(1+$B$4)^16)&gt;0,1+$B$3,1))</f>
        <v/>
      </c>
      <c r="T181">
        <f>IF($B$1+17&gt;90,S181,(S181+IF($B$1+17&lt;=$B181,12*$B$9,-12*MAX(0,$B$8-IF($B$1+17&gt;=$B$23,$B$22,0))*(1+$B$4)^17))*IF(S181+IF($B$1+17&lt;=$B181,12*$B$9,-12*MAX(0,$B$8-IF($B$1+17&gt;=$B$23,$B$22,0))*(1+$B$4)^17)&gt;0,1+$B$3,1))</f>
        <v/>
      </c>
      <c r="U181">
        <f>IF($B$1+18&gt;90,T181,(T181+IF($B$1+18&lt;=$B181,12*$B$9,-12*MAX(0,$B$8-IF($B$1+18&gt;=$B$23,$B$22,0))*(1+$B$4)^18))*IF(T181+IF($B$1+18&lt;=$B181,12*$B$9,-12*MAX(0,$B$8-IF($B$1+18&gt;=$B$23,$B$22,0))*(1+$B$4)^18)&gt;0,1+$B$3,1))</f>
        <v/>
      </c>
      <c r="V181">
        <f>IF($B$1+19&gt;90,U181,(U181+IF($B$1+19&lt;=$B181,12*$B$9,-12*MAX(0,$B$8-IF($B$1+19&gt;=$B$23,$B$22,0))*(1+$B$4)^19))*IF(U181+IF($B$1+19&lt;=$B181,12*$B$9,-12*MAX(0,$B$8-IF($B$1+19&gt;=$B$23,$B$22,0))*(1+$B$4)^19)&gt;0,1+$B$3,1))</f>
        <v/>
      </c>
      <c r="W181">
        <f>IF($B$1+20&gt;90,V181,(V181+IF($B$1+20&lt;=$B181,12*$B$9,-12*MAX(0,$B$8-IF($B$1+20&gt;=$B$23,$B$22,0))*(1+$B$4)^20))*IF(V181+IF($B$1+20&lt;=$B181,12*$B$9,-12*MAX(0,$B$8-IF($B$1+20&gt;=$B$23,$B$22,0))*(1+$B$4)^20)&gt;0,1+$B$3,1))</f>
        <v/>
      </c>
      <c r="X181">
        <f>IF($B$1+21&gt;90,W181,(W181+IF($B$1+21&lt;=$B181,12*$B$9,-12*MAX(0,$B$8-IF($B$1+21&gt;=$B$23,$B$22,0))*(1+$B$4)^21))*IF(W181+IF($B$1+21&lt;=$B181,12*$B$9,-12*MAX(0,$B$8-IF($B$1+21&gt;=$B$23,$B$22,0))*(1+$B$4)^21)&gt;0,1+$B$3,1))</f>
        <v/>
      </c>
      <c r="Y181">
        <f>IF($B$1+22&gt;90,X181,(X181+IF($B$1+22&lt;=$B181,12*$B$9,-12*MAX(0,$B$8-IF($B$1+22&gt;=$B$23,$B$22,0))*(1+$B$4)^22))*IF(X181+IF($B$1+22&lt;=$B181,12*$B$9,-12*MAX(0,$B$8-IF($B$1+22&gt;=$B$23,$B$22,0))*(1+$B$4)^22)&gt;0,1+$B$3,1))</f>
        <v/>
      </c>
      <c r="Z181">
        <f>IF($B$1+23&gt;90,Y181,(Y181+IF($B$1+23&lt;=$B181,12*$B$9,-12*MAX(0,$B$8-IF($B$1+23&gt;=$B$23,$B$22,0))*(1+$B$4)^23))*IF(Y181+IF($B$1+23&lt;=$B181,12*$B$9,-12*MAX(0,$B$8-IF($B$1+23&gt;=$B$23,$B$22,0))*(1+$B$4)^23)&gt;0,1+$B$3,1))</f>
        <v/>
      </c>
      <c r="AA181">
        <f>IF($B$1+24&gt;90,Z181,(Z181+IF($B$1+24&lt;=$B181,12*$B$9,-12*MAX(0,$B$8-IF($B$1+24&gt;=$B$23,$B$22,0))*(1+$B$4)^24))*IF(Z181+IF($B$1+24&lt;=$B181,12*$B$9,-12*MAX(0,$B$8-IF($B$1+24&gt;=$B$23,$B$22,0))*(1+$B$4)^24)&gt;0,1+$B$3,1))</f>
        <v/>
      </c>
      <c r="AB181">
        <f>IF($B$1+25&gt;90,AA181,(AA181+IF($B$1+25&lt;=$B181,12*$B$9,-12*MAX(0,$B$8-IF($B$1+25&gt;=$B$23,$B$22,0))*(1+$B$4)^25))*IF(AA181+IF($B$1+25&lt;=$B181,12*$B$9,-12*MAX(0,$B$8-IF($B$1+25&gt;=$B$23,$B$22,0))*(1+$B$4)^25)&gt;0,1+$B$3,1))</f>
        <v/>
      </c>
      <c r="AC181">
        <f>IF($B$1+26&gt;90,AB181,(AB181+IF($B$1+26&lt;=$B181,12*$B$9,-12*MAX(0,$B$8-IF($B$1+26&gt;=$B$23,$B$22,0))*(1+$B$4)^26))*IF(AB181+IF($B$1+26&lt;=$B181,12*$B$9,-12*MAX(0,$B$8-IF($B$1+26&gt;=$B$23,$B$22,0))*(1+$B$4)^26)&gt;0,1+$B$3,1))</f>
        <v/>
      </c>
      <c r="AD181">
        <f>IF($B$1+27&gt;90,AC181,(AC181+IF($B$1+27&lt;=$B181,12*$B$9,-12*MAX(0,$B$8-IF($B$1+27&gt;=$B$23,$B$22,0))*(1+$B$4)^27))*IF(AC181+IF($B$1+27&lt;=$B181,12*$B$9,-12*MAX(0,$B$8-IF($B$1+27&gt;=$B$23,$B$22,0))*(1+$B$4)^27)&gt;0,1+$B$3,1))</f>
        <v/>
      </c>
      <c r="AE181">
        <f>IF($B$1+28&gt;90,AD181,(AD181+IF($B$1+28&lt;=$B181,12*$B$9,-12*MAX(0,$B$8-IF($B$1+28&gt;=$B$23,$B$22,0))*(1+$B$4)^28))*IF(AD181+IF($B$1+28&lt;=$B181,12*$B$9,-12*MAX(0,$B$8-IF($B$1+28&gt;=$B$23,$B$22,0))*(1+$B$4)^28)&gt;0,1+$B$3,1))</f>
        <v/>
      </c>
      <c r="AF181">
        <f>IF($B$1+29&gt;90,AE181,(AE181+IF($B$1+29&lt;=$B181,12*$B$9,-12*MAX(0,$B$8-IF($B$1+29&gt;=$B$23,$B$22,0))*(1+$B$4)^29))*IF(AE181+IF($B$1+29&lt;=$B181,12*$B$9,-12*MAX(0,$B$8-IF($B$1+29&gt;=$B$23,$B$22,0))*(1+$B$4)^29)&gt;0,1+$B$3,1))</f>
        <v/>
      </c>
      <c r="AG181">
        <f>IF($B$1+30&gt;90,AF181,(AF181+IF($B$1+30&lt;=$B181,12*$B$9,-12*MAX(0,$B$8-IF($B$1+30&gt;=$B$23,$B$22,0))*(1+$B$4)^30))*IF(AF181+IF($B$1+30&lt;=$B181,12*$B$9,-12*MAX(0,$B$8-IF($B$1+30&gt;=$B$23,$B$22,0))*(1+$B$4)^30)&gt;0,1+$B$3,1))</f>
        <v/>
      </c>
      <c r="AH181">
        <f>IF($B$1+31&gt;90,AG181,(AG181+IF($B$1+31&lt;=$B181,12*$B$9,-12*MAX(0,$B$8-IF($B$1+31&gt;=$B$23,$B$22,0))*(1+$B$4)^31))*IF(AG181+IF($B$1+31&lt;=$B181,12*$B$9,-12*MAX(0,$B$8-IF($B$1+31&gt;=$B$23,$B$22,0))*(1+$B$4)^31)&gt;0,1+$B$3,1))</f>
        <v/>
      </c>
      <c r="AI181">
        <f>IF($B$1+32&gt;90,AH181,(AH181+IF($B$1+32&lt;=$B181,12*$B$9,-12*MAX(0,$B$8-IF($B$1+32&gt;=$B$23,$B$22,0))*(1+$B$4)^32))*IF(AH181+IF($B$1+32&lt;=$B181,12*$B$9,-12*MAX(0,$B$8-IF($B$1+32&gt;=$B$23,$B$22,0))*(1+$B$4)^32)&gt;0,1+$B$3,1))</f>
        <v/>
      </c>
      <c r="AJ181">
        <f>IF($B$1+33&gt;90,AI181,(AI181+IF($B$1+33&lt;=$B181,12*$B$9,-12*MAX(0,$B$8-IF($B$1+33&gt;=$B$23,$B$22,0))*(1+$B$4)^33))*IF(AI181+IF($B$1+33&lt;=$B181,12*$B$9,-12*MAX(0,$B$8-IF($B$1+33&gt;=$B$23,$B$22,0))*(1+$B$4)^33)&gt;0,1+$B$3,1))</f>
        <v/>
      </c>
      <c r="AK181">
        <f>IF($B$1+34&gt;90,AJ181,(AJ181+IF($B$1+34&lt;=$B181,12*$B$9,-12*MAX(0,$B$8-IF($B$1+34&gt;=$B$23,$B$22,0))*(1+$B$4)^34))*IF(AJ181+IF($B$1+34&lt;=$B181,12*$B$9,-12*MAX(0,$B$8-IF($B$1+34&gt;=$B$23,$B$22,0))*(1+$B$4)^34)&gt;0,1+$B$3,1))</f>
        <v/>
      </c>
      <c r="AL181">
        <f>IF($B$1+35&gt;90,AK181,(AK181+IF($B$1+35&lt;=$B181,12*$B$9,-12*MAX(0,$B$8-IF($B$1+35&gt;=$B$23,$B$22,0))*(1+$B$4)^35))*IF(AK181+IF($B$1+35&lt;=$B181,12*$B$9,-12*MAX(0,$B$8-IF($B$1+35&gt;=$B$23,$B$22,0))*(1+$B$4)^35)&gt;0,1+$B$3,1))</f>
        <v/>
      </c>
      <c r="AM181">
        <f>IF($B$1+36&gt;90,AL181,(AL181+IF($B$1+36&lt;=$B181,12*$B$9,-12*MAX(0,$B$8-IF($B$1+36&gt;=$B$23,$B$22,0))*(1+$B$4)^36))*IF(AL181+IF($B$1+36&lt;=$B181,12*$B$9,-12*MAX(0,$B$8-IF($B$1+36&gt;=$B$23,$B$22,0))*(1+$B$4)^36)&gt;0,1+$B$3,1))</f>
        <v/>
      </c>
      <c r="AN181">
        <f>IF($B$1+37&gt;90,AM181,(AM181+IF($B$1+37&lt;=$B181,12*$B$9,-12*MAX(0,$B$8-IF($B$1+37&gt;=$B$23,$B$22,0))*(1+$B$4)^37))*IF(AM181+IF($B$1+37&lt;=$B181,12*$B$9,-12*MAX(0,$B$8-IF($B$1+37&gt;=$B$23,$B$22,0))*(1+$B$4)^37)&gt;0,1+$B$3,1))</f>
        <v/>
      </c>
      <c r="AO181">
        <f>IF($B$1+38&gt;90,AN181,(AN181+IF($B$1+38&lt;=$B181,12*$B$9,-12*MAX(0,$B$8-IF($B$1+38&gt;=$B$23,$B$22,0))*(1+$B$4)^38))*IF(AN181+IF($B$1+38&lt;=$B181,12*$B$9,-12*MAX(0,$B$8-IF($B$1+38&gt;=$B$23,$B$22,0))*(1+$B$4)^38)&gt;0,1+$B$3,1))</f>
        <v/>
      </c>
      <c r="AP181">
        <f>IF($B$1+39&gt;90,AO181,(AO181+IF($B$1+39&lt;=$B181,12*$B$9,-12*MAX(0,$B$8-IF($B$1+39&gt;=$B$23,$B$22,0))*(1+$B$4)^39))*IF(AO181+IF($B$1+39&lt;=$B181,12*$B$9,-12*MAX(0,$B$8-IF($B$1+39&gt;=$B$23,$B$22,0))*(1+$B$4)^39)&gt;0,1+$B$3,1))</f>
        <v/>
      </c>
      <c r="AQ181">
        <f>IF($B$1+40&gt;90,AP181,(AP181+IF($B$1+40&lt;=$B181,12*$B$9,-12*MAX(0,$B$8-IF($B$1+40&gt;=$B$23,$B$22,0))*(1+$B$4)^40))*IF(AP181+IF($B$1+40&lt;=$B181,12*$B$9,-12*MAX(0,$B$8-IF($B$1+40&gt;=$B$23,$B$22,0))*(1+$B$4)^40)&gt;0,1+$B$3,1))</f>
        <v/>
      </c>
      <c r="AR181">
        <f>IF($B$1+41&gt;90,AQ181,(AQ181+IF($B$1+41&lt;=$B181,12*$B$9,-12*MAX(0,$B$8-IF($B$1+41&gt;=$B$23,$B$22,0))*(1+$B$4)^41))*IF(AQ181+IF($B$1+41&lt;=$B181,12*$B$9,-12*MAX(0,$B$8-IF($B$1+41&gt;=$B$23,$B$22,0))*(1+$B$4)^41)&gt;0,1+$B$3,1))</f>
        <v/>
      </c>
      <c r="AS181">
        <f>IF($B$1+42&gt;90,AR181,(AR181+IF($B$1+42&lt;=$B181,12*$B$9,-12*MAX(0,$B$8-IF($B$1+42&gt;=$B$23,$B$22,0))*(1+$B$4)^42))*IF(AR181+IF($B$1+42&lt;=$B181,12*$B$9,-12*MAX(0,$B$8-IF($B$1+42&gt;=$B$23,$B$22,0))*(1+$B$4)^42)&gt;0,1+$B$3,1))</f>
        <v/>
      </c>
      <c r="AT181">
        <f>IF($B$1+43&gt;90,AS181,(AS181+IF($B$1+43&lt;=$B181,12*$B$9,-12*MAX(0,$B$8-IF($B$1+43&gt;=$B$23,$B$22,0))*(1+$B$4)^43))*IF(AS181+IF($B$1+43&lt;=$B181,12*$B$9,-12*MAX(0,$B$8-IF($B$1+43&gt;=$B$23,$B$22,0))*(1+$B$4)^43)&gt;0,1+$B$3,1))</f>
        <v/>
      </c>
      <c r="AU181">
        <f>IF($B$1+44&gt;90,AT181,(AT181+IF($B$1+44&lt;=$B181,12*$B$9,-12*MAX(0,$B$8-IF($B$1+44&gt;=$B$23,$B$22,0))*(1+$B$4)^44))*IF(AT181+IF($B$1+44&lt;=$B181,12*$B$9,-12*MAX(0,$B$8-IF($B$1+44&gt;=$B$23,$B$22,0))*(1+$B$4)^44)&gt;0,1+$B$3,1))</f>
        <v/>
      </c>
      <c r="AV181">
        <f>IF($B$1+45&gt;90,AU181,(AU181+IF($B$1+45&lt;=$B181,12*$B$9,-12*MAX(0,$B$8-IF($B$1+45&gt;=$B$23,$B$22,0))*(1+$B$4)^45))*IF(AU181+IF($B$1+45&lt;=$B181,12*$B$9,-12*MAX(0,$B$8-IF($B$1+45&gt;=$B$23,$B$22,0))*(1+$B$4)^45)&gt;0,1+$B$3,1))</f>
        <v/>
      </c>
      <c r="AW181">
        <f>IF($B$1+46&gt;90,AV181,(AV181+IF($B$1+46&lt;=$B181,12*$B$9,-12*MAX(0,$B$8-IF($B$1+46&gt;=$B$23,$B$22,0))*(1+$B$4)^46))*IF(AV181+IF($B$1+46&lt;=$B181,12*$B$9,-12*MAX(0,$B$8-IF($B$1+46&gt;=$B$23,$B$22,0))*(1+$B$4)^46)&gt;0,1+$B$3,1))</f>
        <v/>
      </c>
      <c r="AX181">
        <f>IF($B$1+47&gt;90,AW181,(AW181+IF($B$1+47&lt;=$B181,12*$B$9,-12*MAX(0,$B$8-IF($B$1+47&gt;=$B$23,$B$22,0))*(1+$B$4)^47))*IF(AW181+IF($B$1+47&lt;=$B181,12*$B$9,-12*MAX(0,$B$8-IF($B$1+47&gt;=$B$23,$B$22,0))*(1+$B$4)^47)&gt;0,1+$B$3,1))</f>
        <v/>
      </c>
      <c r="AY181">
        <f>IF($B$1+48&gt;90,AX181,(AX181+IF($B$1+48&lt;=$B181,12*$B$9,-12*MAX(0,$B$8-IF($B$1+48&gt;=$B$23,$B$22,0))*(1+$B$4)^48))*IF(AX181+IF($B$1+48&lt;=$B181,12*$B$9,-12*MAX(0,$B$8-IF($B$1+48&gt;=$B$23,$B$22,0))*(1+$B$4)^48)&gt;0,1+$B$3,1))</f>
        <v/>
      </c>
      <c r="AZ181">
        <f>IF($B$1+49&gt;90,AY181,(AY181+IF($B$1+49&lt;=$B181,12*$B$9,-12*MAX(0,$B$8-IF($B$1+49&gt;=$B$23,$B$22,0))*(1+$B$4)^49))*IF(AY181+IF($B$1+49&lt;=$B181,12*$B$9,-12*MAX(0,$B$8-IF($B$1+49&gt;=$B$23,$B$22,0))*(1+$B$4)^49)&gt;0,1+$B$3,1))</f>
        <v/>
      </c>
      <c r="BA181">
        <f>IF($B$1+50&gt;90,AZ181,(AZ181+IF($B$1+50&lt;=$B181,12*$B$9,-12*MAX(0,$B$8-IF($B$1+50&gt;=$B$23,$B$22,0))*(1+$B$4)^50))*IF(AZ181+IF($B$1+50&lt;=$B181,12*$B$9,-12*MAX(0,$B$8-IF($B$1+50&gt;=$B$23,$B$22,0))*(1+$B$4)^50)&gt;0,1+$B$3,1))</f>
        <v/>
      </c>
      <c r="BB181">
        <f>IF($B$1+51&gt;90,BA181,(BA181+IF($B$1+51&lt;=$B181,12*$B$9,-12*MAX(0,$B$8-IF($B$1+51&gt;=$B$23,$B$22,0))*(1+$B$4)^51))*IF(BA181+IF($B$1+51&lt;=$B181,12*$B$9,-12*MAX(0,$B$8-IF($B$1+51&gt;=$B$23,$B$22,0))*(1+$B$4)^51)&gt;0,1+$B$3,1))</f>
        <v/>
      </c>
      <c r="BC181">
        <f>IF($B$1+52&gt;90,BB181,(BB181+IF($B$1+52&lt;=$B181,12*$B$9,-12*MAX(0,$B$8-IF($B$1+52&gt;=$B$23,$B$22,0))*(1+$B$4)^52))*IF(BB181+IF($B$1+52&lt;=$B181,12*$B$9,-12*MAX(0,$B$8-IF($B$1+52&gt;=$B$23,$B$22,0))*(1+$B$4)^52)&gt;0,1+$B$3,1))</f>
        <v/>
      </c>
      <c r="BD181">
        <f>IF($B$1+53&gt;90,BC181,(BC181+IF($B$1+53&lt;=$B181,12*$B$9,-12*MAX(0,$B$8-IF($B$1+53&gt;=$B$23,$B$22,0))*(1+$B$4)^53))*IF(BC181+IF($B$1+53&lt;=$B181,12*$B$9,-12*MAX(0,$B$8-IF($B$1+53&gt;=$B$23,$B$22,0))*(1+$B$4)^53)&gt;0,1+$B$3,1))</f>
        <v/>
      </c>
      <c r="BE181">
        <f>IF($B$1+54&gt;90,BD181,(BD181+IF($B$1+54&lt;=$B181,12*$B$9,-12*MAX(0,$B$8-IF($B$1+54&gt;=$B$23,$B$22,0))*(1+$B$4)^54))*IF(BD181+IF($B$1+54&lt;=$B181,12*$B$9,-12*MAX(0,$B$8-IF($B$1+54&gt;=$B$23,$B$22,0))*(1+$B$4)^54)&gt;0,1+$B$3,1))</f>
        <v/>
      </c>
      <c r="BF181">
        <f>IF($B$1+55&gt;90,BE181,(BE181+IF($B$1+55&lt;=$B181,12*$B$9,-12*MAX(0,$B$8-IF($B$1+55&gt;=$B$23,$B$22,0))*(1+$B$4)^55))*IF(BE181+IF($B$1+55&lt;=$B181,12*$B$9,-12*MAX(0,$B$8-IF($B$1+55&gt;=$B$23,$B$22,0))*(1+$B$4)^55)&gt;0,1+$B$3,1))</f>
        <v/>
      </c>
      <c r="BG181">
        <f>IF($B$1+56&gt;90,BF181,(BF181+IF($B$1+56&lt;=$B181,12*$B$9,-12*MAX(0,$B$8-IF($B$1+56&gt;=$B$23,$B$22,0))*(1+$B$4)^56))*IF(BF181+IF($B$1+56&lt;=$B181,12*$B$9,-12*MAX(0,$B$8-IF($B$1+56&gt;=$B$23,$B$22,0))*(1+$B$4)^56)&gt;0,1+$B$3,1))</f>
        <v/>
      </c>
      <c r="BH181">
        <f>IF($B$1+57&gt;90,BG181,(BG181+IF($B$1+57&lt;=$B181,12*$B$9,-12*MAX(0,$B$8-IF($B$1+57&gt;=$B$23,$B$22,0))*(1+$B$4)^57))*IF(BG181+IF($B$1+57&lt;=$B181,12*$B$9,-12*MAX(0,$B$8-IF($B$1+57&gt;=$B$23,$B$22,0))*(1+$B$4)^57)&gt;0,1+$B$3,1))</f>
        <v/>
      </c>
      <c r="BI181">
        <f>IF($B$1+58&gt;90,BH181,(BH181+IF($B$1+58&lt;=$B181,12*$B$9,-12*MAX(0,$B$8-IF($B$1+58&gt;=$B$23,$B$22,0))*(1+$B$4)^58))*IF(BH181+IF($B$1+58&lt;=$B181,12*$B$9,-12*MAX(0,$B$8-IF($B$1+58&gt;=$B$23,$B$22,0))*(1+$B$4)^58)&gt;0,1+$B$3,1))</f>
        <v/>
      </c>
      <c r="BJ181">
        <f>IF($B$1+59&gt;90,BI181,(BI181+IF($B$1+59&lt;=$B181,12*$B$9,-12*MAX(0,$B$8-IF($B$1+59&gt;=$B$23,$B$22,0))*(1+$B$4)^59))*IF(BI181+IF($B$1+59&lt;=$B181,12*$B$9,-12*MAX(0,$B$8-IF($B$1+59&gt;=$B$23,$B$22,0))*(1+$B$4)^59)&gt;0,1+$B$3,1))</f>
        <v/>
      </c>
      <c r="BK181">
        <f>IF($B$1+60&gt;90,BJ181,(BJ181+IF($B$1+60&lt;=$B181,12*$B$9,-12*MAX(0,$B$8-IF($B$1+60&gt;=$B$23,$B$22,0))*(1+$B$4)^60))*IF(BJ181+IF($B$1+60&lt;=$B181,12*$B$9,-12*MAX(0,$B$8-IF($B$1+60&gt;=$B$23,$B$22,0))*(1+$B$4)^60)&gt;0,1+$B$3,1))</f>
        <v/>
      </c>
      <c r="BL181">
        <f>IF($B$1+61&gt;90,BK181,(BK181+IF($B$1+61&lt;=$B181,12*$B$9,-12*MAX(0,$B$8-IF($B$1+61&gt;=$B$23,$B$22,0))*(1+$B$4)^61))*IF(BK181+IF($B$1+61&lt;=$B181,12*$B$9,-12*MAX(0,$B$8-IF($B$1+61&gt;=$B$23,$B$22,0))*(1+$B$4)^61)&gt;0,1+$B$3,1))</f>
        <v/>
      </c>
      <c r="BM181">
        <f>IF($B$1+62&gt;90,BL181,(BL181+IF($B$1+62&lt;=$B181,12*$B$9,-12*MAX(0,$B$8-IF($B$1+62&gt;=$B$23,$B$22,0))*(1+$B$4)^62))*IF(BL181+IF($B$1+62&lt;=$B181,12*$B$9,-12*MAX(0,$B$8-IF($B$1+62&gt;=$B$23,$B$22,0))*(1+$B$4)^62)&gt;0,1+$B$3,1))</f>
        <v/>
      </c>
      <c r="BN181">
        <f>IF($B$1+63&gt;90,BM181,(BM181+IF($B$1+63&lt;=$B181,12*$B$9,-12*MAX(0,$B$8-IF($B$1+63&gt;=$B$23,$B$22,0))*(1+$B$4)^63))*IF(BM181+IF($B$1+63&lt;=$B181,12*$B$9,-12*MAX(0,$B$8-IF($B$1+63&gt;=$B$23,$B$22,0))*(1+$B$4)^63)&gt;0,1+$B$3,1))</f>
        <v/>
      </c>
      <c r="BO181">
        <f>IF($B$1+64&gt;90,BN181,(BN181+IF($B$1+64&lt;=$B181,12*$B$9,-12*MAX(0,$B$8-IF($B$1+64&gt;=$B$23,$B$22,0))*(1+$B$4)^64))*IF(BN181+IF($B$1+64&lt;=$B181,12*$B$9,-12*MAX(0,$B$8-IF($B$1+64&gt;=$B$23,$B$22,0))*(1+$B$4)^64)&gt;0,1+$B$3,1))</f>
        <v/>
      </c>
      <c r="BP181">
        <f>IF($B$1+65&gt;90,BO181,(BO181+IF($B$1+65&lt;=$B181,12*$B$9,-12*MAX(0,$B$8-IF($B$1+65&gt;=$B$23,$B$22,0))*(1+$B$4)^65))*IF(BO181+IF($B$1+65&lt;=$B181,12*$B$9,-12*MAX(0,$B$8-IF($B$1+65&gt;=$B$23,$B$22,0))*(1+$B$4)^65)&gt;0,1+$B$3,1))</f>
        <v/>
      </c>
      <c r="BQ181">
        <f>IF($B$1+66&gt;90,BP181,(BP181+IF($B$1+66&lt;=$B181,12*$B$9,-12*MAX(0,$B$8-IF($B$1+66&gt;=$B$23,$B$22,0))*(1+$B$4)^66))*IF(BP181+IF($B$1+66&lt;=$B181,12*$B$9,-12*MAX(0,$B$8-IF($B$1+66&gt;=$B$23,$B$22,0))*(1+$B$4)^66)&gt;0,1+$B$3,1))</f>
        <v/>
      </c>
      <c r="BR181">
        <f>IF($B$1+67&gt;90,BQ181,(BQ181+IF($B$1+67&lt;=$B181,12*$B$9,-12*MAX(0,$B$8-IF($B$1+67&gt;=$B$23,$B$22,0))*(1+$B$4)^67))*IF(BQ181+IF($B$1+67&lt;=$B181,12*$B$9,-12*MAX(0,$B$8-IF($B$1+67&gt;=$B$23,$B$22,0))*(1+$B$4)^67)&gt;0,1+$B$3,1))</f>
        <v/>
      </c>
      <c r="BS181">
        <f>IF($B$1+68&gt;90,BR181,(BR181+IF($B$1+68&lt;=$B181,12*$B$9,-12*MAX(0,$B$8-IF($B$1+68&gt;=$B$23,$B$22,0))*(1+$B$4)^68))*IF(BR181+IF($B$1+68&lt;=$B181,12*$B$9,-12*MAX(0,$B$8-IF($B$1+68&gt;=$B$23,$B$22,0))*(1+$B$4)^68)&gt;0,1+$B$3,1))</f>
        <v/>
      </c>
      <c r="BT181">
        <f>IF($B$1+69&gt;90,BS181,(BS181+IF($B$1+69&lt;=$B181,12*$B$9,-12*MAX(0,$B$8-IF($B$1+69&gt;=$B$23,$B$22,0))*(1+$B$4)^69))*IF(BS181+IF($B$1+69&lt;=$B181,12*$B$9,-12*MAX(0,$B$8-IF($B$1+69&gt;=$B$23,$B$22,0))*(1+$B$4)^69)&gt;0,1+$B$3,1))</f>
        <v/>
      </c>
      <c r="BU181">
        <f>IF($B$1+70&gt;90,BT181,(BT181+IF($B$1+70&lt;=$B181,12*$B$9,-12*MAX(0,$B$8-IF($B$1+70&gt;=$B$23,$B$22,0))*(1+$B$4)^70))*IF(BT181+IF($B$1+70&lt;=$B181,12*$B$9,-12*MAX(0,$B$8-IF($B$1+70&gt;=$B$23,$B$22,0))*(1+$B$4)^70)&gt;0,1+$B$3,1))</f>
        <v/>
      </c>
      <c r="BV181">
        <f>BU181</f>
        <v/>
      </c>
      <c r="BW181">
        <f>IF(AND($B181&lt;=70,BV181&gt;0),$B181,999)</f>
        <v/>
      </c>
      <c r="CH181">
        <f>IF(ISTEXT('월 가계부'!A181),SUBSTITUTE(SUBSTITUTE(SUBSTITUTE(SUBSTITUTE(SUBSTITUTE(SUBSTITUTE(SUBSTITUTE(SUBSTITUTE(SUBSTITUTE(TRIM('월 가계부'!A181),"년","-"),"월","-"),"일",""),".","-"),"/","-")," ","-"),"--","-"),"--","-"),"--","-")&amp;"-","")</f>
        <v/>
      </c>
      <c r="CI181">
        <f>IFERROR(IF('월 가계부'!A181="","",IF(ISNUMBER('월 가계부'!A181),IF(AND('월 가계부'!A181&gt;=19000101,'월 가계부'!A181&lt;=21001231),IF(AND(MOD(INT('월 가계부'!A181/100),100)&gt;=1,MOD(INT('월 가계부'!A181/100),100)&lt;=12,MOD(INT('월 가계부'!A181),100)&gt;=1,MOD(INT('월 가계부'!A181),100)&lt;=31),IF(MONTH(DATE(INT('월 가계부'!A181/10000),MOD(INT('월 가계부'!A181/100),100),MOD(INT('월 가계부'!A181),100)))=MOD(INT('월 가계부'!A181/100),100),DATE(INT('월 가계부'!A181/10000),MOD(INT('월 가계부'!A181/100),100),MOD(INT('월 가계부'!A181),100)),""),""),IF(AND('월 가계부'!A181&gt;=36526,'월 가계부'!A181&lt;73051),INT('월 가계부'!A181),"")),IF(OR(CM181="",CN181="",CO181=""),"",IF(AND(CM181&gt;=2000,CM181&lt;=2099,CN181&gt;=1,CN181&lt;=12,CO181&gt;=1,CO181&lt;=31),IF(MONTH(DATE(CM181,CN181,CO181))=CN181,DATE(CM181,CN181,CO181),""),"")))),"")</f>
        <v/>
      </c>
      <c r="CJ181">
        <f>IFERROR(IF('월 가계부'!C181="","",IF(ISNUMBER('월 가계부'!C181),'월 가계부'!C181,VALUE(SUBSTITUTE(SUBSTITUTE(SUBSTITUTE(SUBSTITUTE(TRIM('월 가계부'!C181),",",""),"원","")," ",""),"−","-")))),"")</f>
        <v/>
      </c>
      <c r="CK181">
        <f>IF(ISNUMBER(CI181),IF(CI181&lt;$B$13,CI181,""),"")</f>
        <v/>
      </c>
      <c r="CM181">
        <f>IF(CH181="","",IFERROR(IF(IF(AND(LEN(CH181)=9,ISERROR(FIND("-",LEFT(CH181,8))),ISNUMBER(-LEFT(CH181,8))),VALUE(LEFT(CH181,4)),VALUE(LEFT(CH181,FIND("-",CH181)-1)))&lt;100,IF(AND(LEN(CH181)=9,ISERROR(FIND("-",LEFT(CH181,8))),ISNUMBER(-LEFT(CH181,8))),VALUE(LEFT(CH181,4)),VALUE(LEFT(CH181,FIND("-",CH181)-1)))+2000,IF(AND(LEN(CH181)=9,ISERROR(FIND("-",LEFT(CH181,8))),ISNUMBER(-LEFT(CH181,8))),VALUE(LEFT(CH181,4)),VALUE(LEFT(CH181,FIND("-",CH181)-1)))),""))</f>
        <v/>
      </c>
      <c r="CN181">
        <f>IF(CH181="","",IFERROR(IF(AND(LEN(CH181)=9,ISERROR(FIND("-",LEFT(CH181,8))),ISNUMBER(-LEFT(CH181,8))),VALUE(MID(CH181,5,2)),VALUE(MID(CH181,FIND("-",CH181)+1,FIND("-",CH181,FIND("-",CH181)+1)-FIND("-",CH181)-1))),""))</f>
        <v/>
      </c>
      <c r="CO181">
        <f>IF(CH181="","",IFERROR(IF(AND(LEN(CH181)=9,ISERROR(FIND("-",LEFT(CH181,8))),ISNUMBER(-LEFT(CH181,8))),VALUE(MID(CH181,7,2)),VALUE(MID(CH181,FIND("-",CH181,FIND("-",CH181)+1)+1,FIND("-",CH181,FIND("-",CH181,FIND("-",CH181)+1)+1)-FIND("-",CH181,FIND("-",CH181)+1)-1))),""))</f>
        <v/>
      </c>
    </row>
    <row r="182">
      <c r="A182" t="n">
        <v>30</v>
      </c>
      <c r="B182">
        <f>$B$1+30</f>
        <v/>
      </c>
      <c r="C182">
        <f>$B$2</f>
        <v/>
      </c>
      <c r="D182">
        <f>IF($B$1+1&gt;90,C182,(C182+IF($B$1+1&lt;=$B182,12*$B$9,-12*MAX(0,$B$8-IF($B$1+1&gt;=$B$23,$B$22,0))*(1+$B$4)^1))*IF(C182+IF($B$1+1&lt;=$B182,12*$B$9,-12*MAX(0,$B$8-IF($B$1+1&gt;=$B$23,$B$22,0))*(1+$B$4)^1)&gt;0,1+$B$3,1))</f>
        <v/>
      </c>
      <c r="E182">
        <f>IF($B$1+2&gt;90,D182,(D182+IF($B$1+2&lt;=$B182,12*$B$9,-12*MAX(0,$B$8-IF($B$1+2&gt;=$B$23,$B$22,0))*(1+$B$4)^2))*IF(D182+IF($B$1+2&lt;=$B182,12*$B$9,-12*MAX(0,$B$8-IF($B$1+2&gt;=$B$23,$B$22,0))*(1+$B$4)^2)&gt;0,1+$B$3,1))</f>
        <v/>
      </c>
      <c r="F182">
        <f>IF($B$1+3&gt;90,E182,(E182+IF($B$1+3&lt;=$B182,12*$B$9,-12*MAX(0,$B$8-IF($B$1+3&gt;=$B$23,$B$22,0))*(1+$B$4)^3))*IF(E182+IF($B$1+3&lt;=$B182,12*$B$9,-12*MAX(0,$B$8-IF($B$1+3&gt;=$B$23,$B$22,0))*(1+$B$4)^3)&gt;0,1+$B$3,1))</f>
        <v/>
      </c>
      <c r="G182">
        <f>IF($B$1+4&gt;90,F182,(F182+IF($B$1+4&lt;=$B182,12*$B$9,-12*MAX(0,$B$8-IF($B$1+4&gt;=$B$23,$B$22,0))*(1+$B$4)^4))*IF(F182+IF($B$1+4&lt;=$B182,12*$B$9,-12*MAX(0,$B$8-IF($B$1+4&gt;=$B$23,$B$22,0))*(1+$B$4)^4)&gt;0,1+$B$3,1))</f>
        <v/>
      </c>
      <c r="H182">
        <f>IF($B$1+5&gt;90,G182,(G182+IF($B$1+5&lt;=$B182,12*$B$9,-12*MAX(0,$B$8-IF($B$1+5&gt;=$B$23,$B$22,0))*(1+$B$4)^5))*IF(G182+IF($B$1+5&lt;=$B182,12*$B$9,-12*MAX(0,$B$8-IF($B$1+5&gt;=$B$23,$B$22,0))*(1+$B$4)^5)&gt;0,1+$B$3,1))</f>
        <v/>
      </c>
      <c r="I182">
        <f>IF($B$1+6&gt;90,H182,(H182+IF($B$1+6&lt;=$B182,12*$B$9,-12*MAX(0,$B$8-IF($B$1+6&gt;=$B$23,$B$22,0))*(1+$B$4)^6))*IF(H182+IF($B$1+6&lt;=$B182,12*$B$9,-12*MAX(0,$B$8-IF($B$1+6&gt;=$B$23,$B$22,0))*(1+$B$4)^6)&gt;0,1+$B$3,1))</f>
        <v/>
      </c>
      <c r="J182">
        <f>IF($B$1+7&gt;90,I182,(I182+IF($B$1+7&lt;=$B182,12*$B$9,-12*MAX(0,$B$8-IF($B$1+7&gt;=$B$23,$B$22,0))*(1+$B$4)^7))*IF(I182+IF($B$1+7&lt;=$B182,12*$B$9,-12*MAX(0,$B$8-IF($B$1+7&gt;=$B$23,$B$22,0))*(1+$B$4)^7)&gt;0,1+$B$3,1))</f>
        <v/>
      </c>
      <c r="K182">
        <f>IF($B$1+8&gt;90,J182,(J182+IF($B$1+8&lt;=$B182,12*$B$9,-12*MAX(0,$B$8-IF($B$1+8&gt;=$B$23,$B$22,0))*(1+$B$4)^8))*IF(J182+IF($B$1+8&lt;=$B182,12*$B$9,-12*MAX(0,$B$8-IF($B$1+8&gt;=$B$23,$B$22,0))*(1+$B$4)^8)&gt;0,1+$B$3,1))</f>
        <v/>
      </c>
      <c r="L182">
        <f>IF($B$1+9&gt;90,K182,(K182+IF($B$1+9&lt;=$B182,12*$B$9,-12*MAX(0,$B$8-IF($B$1+9&gt;=$B$23,$B$22,0))*(1+$B$4)^9))*IF(K182+IF($B$1+9&lt;=$B182,12*$B$9,-12*MAX(0,$B$8-IF($B$1+9&gt;=$B$23,$B$22,0))*(1+$B$4)^9)&gt;0,1+$B$3,1))</f>
        <v/>
      </c>
      <c r="M182">
        <f>IF($B$1+10&gt;90,L182,(L182+IF($B$1+10&lt;=$B182,12*$B$9,-12*MAX(0,$B$8-IF($B$1+10&gt;=$B$23,$B$22,0))*(1+$B$4)^10))*IF(L182+IF($B$1+10&lt;=$B182,12*$B$9,-12*MAX(0,$B$8-IF($B$1+10&gt;=$B$23,$B$22,0))*(1+$B$4)^10)&gt;0,1+$B$3,1))</f>
        <v/>
      </c>
      <c r="N182">
        <f>IF($B$1+11&gt;90,M182,(M182+IF($B$1+11&lt;=$B182,12*$B$9,-12*MAX(0,$B$8-IF($B$1+11&gt;=$B$23,$B$22,0))*(1+$B$4)^11))*IF(M182+IF($B$1+11&lt;=$B182,12*$B$9,-12*MAX(0,$B$8-IF($B$1+11&gt;=$B$23,$B$22,0))*(1+$B$4)^11)&gt;0,1+$B$3,1))</f>
        <v/>
      </c>
      <c r="O182">
        <f>IF($B$1+12&gt;90,N182,(N182+IF($B$1+12&lt;=$B182,12*$B$9,-12*MAX(0,$B$8-IF($B$1+12&gt;=$B$23,$B$22,0))*(1+$B$4)^12))*IF(N182+IF($B$1+12&lt;=$B182,12*$B$9,-12*MAX(0,$B$8-IF($B$1+12&gt;=$B$23,$B$22,0))*(1+$B$4)^12)&gt;0,1+$B$3,1))</f>
        <v/>
      </c>
      <c r="P182">
        <f>IF($B$1+13&gt;90,O182,(O182+IF($B$1+13&lt;=$B182,12*$B$9,-12*MAX(0,$B$8-IF($B$1+13&gt;=$B$23,$B$22,0))*(1+$B$4)^13))*IF(O182+IF($B$1+13&lt;=$B182,12*$B$9,-12*MAX(0,$B$8-IF($B$1+13&gt;=$B$23,$B$22,0))*(1+$B$4)^13)&gt;0,1+$B$3,1))</f>
        <v/>
      </c>
      <c r="Q182">
        <f>IF($B$1+14&gt;90,P182,(P182+IF($B$1+14&lt;=$B182,12*$B$9,-12*MAX(0,$B$8-IF($B$1+14&gt;=$B$23,$B$22,0))*(1+$B$4)^14))*IF(P182+IF($B$1+14&lt;=$B182,12*$B$9,-12*MAX(0,$B$8-IF($B$1+14&gt;=$B$23,$B$22,0))*(1+$B$4)^14)&gt;0,1+$B$3,1))</f>
        <v/>
      </c>
      <c r="R182">
        <f>IF($B$1+15&gt;90,Q182,(Q182+IF($B$1+15&lt;=$B182,12*$B$9,-12*MAX(0,$B$8-IF($B$1+15&gt;=$B$23,$B$22,0))*(1+$B$4)^15))*IF(Q182+IF($B$1+15&lt;=$B182,12*$B$9,-12*MAX(0,$B$8-IF($B$1+15&gt;=$B$23,$B$22,0))*(1+$B$4)^15)&gt;0,1+$B$3,1))</f>
        <v/>
      </c>
      <c r="S182">
        <f>IF($B$1+16&gt;90,R182,(R182+IF($B$1+16&lt;=$B182,12*$B$9,-12*MAX(0,$B$8-IF($B$1+16&gt;=$B$23,$B$22,0))*(1+$B$4)^16))*IF(R182+IF($B$1+16&lt;=$B182,12*$B$9,-12*MAX(0,$B$8-IF($B$1+16&gt;=$B$23,$B$22,0))*(1+$B$4)^16)&gt;0,1+$B$3,1))</f>
        <v/>
      </c>
      <c r="T182">
        <f>IF($B$1+17&gt;90,S182,(S182+IF($B$1+17&lt;=$B182,12*$B$9,-12*MAX(0,$B$8-IF($B$1+17&gt;=$B$23,$B$22,0))*(1+$B$4)^17))*IF(S182+IF($B$1+17&lt;=$B182,12*$B$9,-12*MAX(0,$B$8-IF($B$1+17&gt;=$B$23,$B$22,0))*(1+$B$4)^17)&gt;0,1+$B$3,1))</f>
        <v/>
      </c>
      <c r="U182">
        <f>IF($B$1+18&gt;90,T182,(T182+IF($B$1+18&lt;=$B182,12*$B$9,-12*MAX(0,$B$8-IF($B$1+18&gt;=$B$23,$B$22,0))*(1+$B$4)^18))*IF(T182+IF($B$1+18&lt;=$B182,12*$B$9,-12*MAX(0,$B$8-IF($B$1+18&gt;=$B$23,$B$22,0))*(1+$B$4)^18)&gt;0,1+$B$3,1))</f>
        <v/>
      </c>
      <c r="V182">
        <f>IF($B$1+19&gt;90,U182,(U182+IF($B$1+19&lt;=$B182,12*$B$9,-12*MAX(0,$B$8-IF($B$1+19&gt;=$B$23,$B$22,0))*(1+$B$4)^19))*IF(U182+IF($B$1+19&lt;=$B182,12*$B$9,-12*MAX(0,$B$8-IF($B$1+19&gt;=$B$23,$B$22,0))*(1+$B$4)^19)&gt;0,1+$B$3,1))</f>
        <v/>
      </c>
      <c r="W182">
        <f>IF($B$1+20&gt;90,V182,(V182+IF($B$1+20&lt;=$B182,12*$B$9,-12*MAX(0,$B$8-IF($B$1+20&gt;=$B$23,$B$22,0))*(1+$B$4)^20))*IF(V182+IF($B$1+20&lt;=$B182,12*$B$9,-12*MAX(0,$B$8-IF($B$1+20&gt;=$B$23,$B$22,0))*(1+$B$4)^20)&gt;0,1+$B$3,1))</f>
        <v/>
      </c>
      <c r="X182">
        <f>IF($B$1+21&gt;90,W182,(W182+IF($B$1+21&lt;=$B182,12*$B$9,-12*MAX(0,$B$8-IF($B$1+21&gt;=$B$23,$B$22,0))*(1+$B$4)^21))*IF(W182+IF($B$1+21&lt;=$B182,12*$B$9,-12*MAX(0,$B$8-IF($B$1+21&gt;=$B$23,$B$22,0))*(1+$B$4)^21)&gt;0,1+$B$3,1))</f>
        <v/>
      </c>
      <c r="Y182">
        <f>IF($B$1+22&gt;90,X182,(X182+IF($B$1+22&lt;=$B182,12*$B$9,-12*MAX(0,$B$8-IF($B$1+22&gt;=$B$23,$B$22,0))*(1+$B$4)^22))*IF(X182+IF($B$1+22&lt;=$B182,12*$B$9,-12*MAX(0,$B$8-IF($B$1+22&gt;=$B$23,$B$22,0))*(1+$B$4)^22)&gt;0,1+$B$3,1))</f>
        <v/>
      </c>
      <c r="Z182">
        <f>IF($B$1+23&gt;90,Y182,(Y182+IF($B$1+23&lt;=$B182,12*$B$9,-12*MAX(0,$B$8-IF($B$1+23&gt;=$B$23,$B$22,0))*(1+$B$4)^23))*IF(Y182+IF($B$1+23&lt;=$B182,12*$B$9,-12*MAX(0,$B$8-IF($B$1+23&gt;=$B$23,$B$22,0))*(1+$B$4)^23)&gt;0,1+$B$3,1))</f>
        <v/>
      </c>
      <c r="AA182">
        <f>IF($B$1+24&gt;90,Z182,(Z182+IF($B$1+24&lt;=$B182,12*$B$9,-12*MAX(0,$B$8-IF($B$1+24&gt;=$B$23,$B$22,0))*(1+$B$4)^24))*IF(Z182+IF($B$1+24&lt;=$B182,12*$B$9,-12*MAX(0,$B$8-IF($B$1+24&gt;=$B$23,$B$22,0))*(1+$B$4)^24)&gt;0,1+$B$3,1))</f>
        <v/>
      </c>
      <c r="AB182">
        <f>IF($B$1+25&gt;90,AA182,(AA182+IF($B$1+25&lt;=$B182,12*$B$9,-12*MAX(0,$B$8-IF($B$1+25&gt;=$B$23,$B$22,0))*(1+$B$4)^25))*IF(AA182+IF($B$1+25&lt;=$B182,12*$B$9,-12*MAX(0,$B$8-IF($B$1+25&gt;=$B$23,$B$22,0))*(1+$B$4)^25)&gt;0,1+$B$3,1))</f>
        <v/>
      </c>
      <c r="AC182">
        <f>IF($B$1+26&gt;90,AB182,(AB182+IF($B$1+26&lt;=$B182,12*$B$9,-12*MAX(0,$B$8-IF($B$1+26&gt;=$B$23,$B$22,0))*(1+$B$4)^26))*IF(AB182+IF($B$1+26&lt;=$B182,12*$B$9,-12*MAX(0,$B$8-IF($B$1+26&gt;=$B$23,$B$22,0))*(1+$B$4)^26)&gt;0,1+$B$3,1))</f>
        <v/>
      </c>
      <c r="AD182">
        <f>IF($B$1+27&gt;90,AC182,(AC182+IF($B$1+27&lt;=$B182,12*$B$9,-12*MAX(0,$B$8-IF($B$1+27&gt;=$B$23,$B$22,0))*(1+$B$4)^27))*IF(AC182+IF($B$1+27&lt;=$B182,12*$B$9,-12*MAX(0,$B$8-IF($B$1+27&gt;=$B$23,$B$22,0))*(1+$B$4)^27)&gt;0,1+$B$3,1))</f>
        <v/>
      </c>
      <c r="AE182">
        <f>IF($B$1+28&gt;90,AD182,(AD182+IF($B$1+28&lt;=$B182,12*$B$9,-12*MAX(0,$B$8-IF($B$1+28&gt;=$B$23,$B$22,0))*(1+$B$4)^28))*IF(AD182+IF($B$1+28&lt;=$B182,12*$B$9,-12*MAX(0,$B$8-IF($B$1+28&gt;=$B$23,$B$22,0))*(1+$B$4)^28)&gt;0,1+$B$3,1))</f>
        <v/>
      </c>
      <c r="AF182">
        <f>IF($B$1+29&gt;90,AE182,(AE182+IF($B$1+29&lt;=$B182,12*$B$9,-12*MAX(0,$B$8-IF($B$1+29&gt;=$B$23,$B$22,0))*(1+$B$4)^29))*IF(AE182+IF($B$1+29&lt;=$B182,12*$B$9,-12*MAX(0,$B$8-IF($B$1+29&gt;=$B$23,$B$22,0))*(1+$B$4)^29)&gt;0,1+$B$3,1))</f>
        <v/>
      </c>
      <c r="AG182">
        <f>IF($B$1+30&gt;90,AF182,(AF182+IF($B$1+30&lt;=$B182,12*$B$9,-12*MAX(0,$B$8-IF($B$1+30&gt;=$B$23,$B$22,0))*(1+$B$4)^30))*IF(AF182+IF($B$1+30&lt;=$B182,12*$B$9,-12*MAX(0,$B$8-IF($B$1+30&gt;=$B$23,$B$22,0))*(1+$B$4)^30)&gt;0,1+$B$3,1))</f>
        <v/>
      </c>
      <c r="AH182">
        <f>IF($B$1+31&gt;90,AG182,(AG182+IF($B$1+31&lt;=$B182,12*$B$9,-12*MAX(0,$B$8-IF($B$1+31&gt;=$B$23,$B$22,0))*(1+$B$4)^31))*IF(AG182+IF($B$1+31&lt;=$B182,12*$B$9,-12*MAX(0,$B$8-IF($B$1+31&gt;=$B$23,$B$22,0))*(1+$B$4)^31)&gt;0,1+$B$3,1))</f>
        <v/>
      </c>
      <c r="AI182">
        <f>IF($B$1+32&gt;90,AH182,(AH182+IF($B$1+32&lt;=$B182,12*$B$9,-12*MAX(0,$B$8-IF($B$1+32&gt;=$B$23,$B$22,0))*(1+$B$4)^32))*IF(AH182+IF($B$1+32&lt;=$B182,12*$B$9,-12*MAX(0,$B$8-IF($B$1+32&gt;=$B$23,$B$22,0))*(1+$B$4)^32)&gt;0,1+$B$3,1))</f>
        <v/>
      </c>
      <c r="AJ182">
        <f>IF($B$1+33&gt;90,AI182,(AI182+IF($B$1+33&lt;=$B182,12*$B$9,-12*MAX(0,$B$8-IF($B$1+33&gt;=$B$23,$B$22,0))*(1+$B$4)^33))*IF(AI182+IF($B$1+33&lt;=$B182,12*$B$9,-12*MAX(0,$B$8-IF($B$1+33&gt;=$B$23,$B$22,0))*(1+$B$4)^33)&gt;0,1+$B$3,1))</f>
        <v/>
      </c>
      <c r="AK182">
        <f>IF($B$1+34&gt;90,AJ182,(AJ182+IF($B$1+34&lt;=$B182,12*$B$9,-12*MAX(0,$B$8-IF($B$1+34&gt;=$B$23,$B$22,0))*(1+$B$4)^34))*IF(AJ182+IF($B$1+34&lt;=$B182,12*$B$9,-12*MAX(0,$B$8-IF($B$1+34&gt;=$B$23,$B$22,0))*(1+$B$4)^34)&gt;0,1+$B$3,1))</f>
        <v/>
      </c>
      <c r="AL182">
        <f>IF($B$1+35&gt;90,AK182,(AK182+IF($B$1+35&lt;=$B182,12*$B$9,-12*MAX(0,$B$8-IF($B$1+35&gt;=$B$23,$B$22,0))*(1+$B$4)^35))*IF(AK182+IF($B$1+35&lt;=$B182,12*$B$9,-12*MAX(0,$B$8-IF($B$1+35&gt;=$B$23,$B$22,0))*(1+$B$4)^35)&gt;0,1+$B$3,1))</f>
        <v/>
      </c>
      <c r="AM182">
        <f>IF($B$1+36&gt;90,AL182,(AL182+IF($B$1+36&lt;=$B182,12*$B$9,-12*MAX(0,$B$8-IF($B$1+36&gt;=$B$23,$B$22,0))*(1+$B$4)^36))*IF(AL182+IF($B$1+36&lt;=$B182,12*$B$9,-12*MAX(0,$B$8-IF($B$1+36&gt;=$B$23,$B$22,0))*(1+$B$4)^36)&gt;0,1+$B$3,1))</f>
        <v/>
      </c>
      <c r="AN182">
        <f>IF($B$1+37&gt;90,AM182,(AM182+IF($B$1+37&lt;=$B182,12*$B$9,-12*MAX(0,$B$8-IF($B$1+37&gt;=$B$23,$B$22,0))*(1+$B$4)^37))*IF(AM182+IF($B$1+37&lt;=$B182,12*$B$9,-12*MAX(0,$B$8-IF($B$1+37&gt;=$B$23,$B$22,0))*(1+$B$4)^37)&gt;0,1+$B$3,1))</f>
        <v/>
      </c>
      <c r="AO182">
        <f>IF($B$1+38&gt;90,AN182,(AN182+IF($B$1+38&lt;=$B182,12*$B$9,-12*MAX(0,$B$8-IF($B$1+38&gt;=$B$23,$B$22,0))*(1+$B$4)^38))*IF(AN182+IF($B$1+38&lt;=$B182,12*$B$9,-12*MAX(0,$B$8-IF($B$1+38&gt;=$B$23,$B$22,0))*(1+$B$4)^38)&gt;0,1+$B$3,1))</f>
        <v/>
      </c>
      <c r="AP182">
        <f>IF($B$1+39&gt;90,AO182,(AO182+IF($B$1+39&lt;=$B182,12*$B$9,-12*MAX(0,$B$8-IF($B$1+39&gt;=$B$23,$B$22,0))*(1+$B$4)^39))*IF(AO182+IF($B$1+39&lt;=$B182,12*$B$9,-12*MAX(0,$B$8-IF($B$1+39&gt;=$B$23,$B$22,0))*(1+$B$4)^39)&gt;0,1+$B$3,1))</f>
        <v/>
      </c>
      <c r="AQ182">
        <f>IF($B$1+40&gt;90,AP182,(AP182+IF($B$1+40&lt;=$B182,12*$B$9,-12*MAX(0,$B$8-IF($B$1+40&gt;=$B$23,$B$22,0))*(1+$B$4)^40))*IF(AP182+IF($B$1+40&lt;=$B182,12*$B$9,-12*MAX(0,$B$8-IF($B$1+40&gt;=$B$23,$B$22,0))*(1+$B$4)^40)&gt;0,1+$B$3,1))</f>
        <v/>
      </c>
      <c r="AR182">
        <f>IF($B$1+41&gt;90,AQ182,(AQ182+IF($B$1+41&lt;=$B182,12*$B$9,-12*MAX(0,$B$8-IF($B$1+41&gt;=$B$23,$B$22,0))*(1+$B$4)^41))*IF(AQ182+IF($B$1+41&lt;=$B182,12*$B$9,-12*MAX(0,$B$8-IF($B$1+41&gt;=$B$23,$B$22,0))*(1+$B$4)^41)&gt;0,1+$B$3,1))</f>
        <v/>
      </c>
      <c r="AS182">
        <f>IF($B$1+42&gt;90,AR182,(AR182+IF($B$1+42&lt;=$B182,12*$B$9,-12*MAX(0,$B$8-IF($B$1+42&gt;=$B$23,$B$22,0))*(1+$B$4)^42))*IF(AR182+IF($B$1+42&lt;=$B182,12*$B$9,-12*MAX(0,$B$8-IF($B$1+42&gt;=$B$23,$B$22,0))*(1+$B$4)^42)&gt;0,1+$B$3,1))</f>
        <v/>
      </c>
      <c r="AT182">
        <f>IF($B$1+43&gt;90,AS182,(AS182+IF($B$1+43&lt;=$B182,12*$B$9,-12*MAX(0,$B$8-IF($B$1+43&gt;=$B$23,$B$22,0))*(1+$B$4)^43))*IF(AS182+IF($B$1+43&lt;=$B182,12*$B$9,-12*MAX(0,$B$8-IF($B$1+43&gt;=$B$23,$B$22,0))*(1+$B$4)^43)&gt;0,1+$B$3,1))</f>
        <v/>
      </c>
      <c r="AU182">
        <f>IF($B$1+44&gt;90,AT182,(AT182+IF($B$1+44&lt;=$B182,12*$B$9,-12*MAX(0,$B$8-IF($B$1+44&gt;=$B$23,$B$22,0))*(1+$B$4)^44))*IF(AT182+IF($B$1+44&lt;=$B182,12*$B$9,-12*MAX(0,$B$8-IF($B$1+44&gt;=$B$23,$B$22,0))*(1+$B$4)^44)&gt;0,1+$B$3,1))</f>
        <v/>
      </c>
      <c r="AV182">
        <f>IF($B$1+45&gt;90,AU182,(AU182+IF($B$1+45&lt;=$B182,12*$B$9,-12*MAX(0,$B$8-IF($B$1+45&gt;=$B$23,$B$22,0))*(1+$B$4)^45))*IF(AU182+IF($B$1+45&lt;=$B182,12*$B$9,-12*MAX(0,$B$8-IF($B$1+45&gt;=$B$23,$B$22,0))*(1+$B$4)^45)&gt;0,1+$B$3,1))</f>
        <v/>
      </c>
      <c r="AW182">
        <f>IF($B$1+46&gt;90,AV182,(AV182+IF($B$1+46&lt;=$B182,12*$B$9,-12*MAX(0,$B$8-IF($B$1+46&gt;=$B$23,$B$22,0))*(1+$B$4)^46))*IF(AV182+IF($B$1+46&lt;=$B182,12*$B$9,-12*MAX(0,$B$8-IF($B$1+46&gt;=$B$23,$B$22,0))*(1+$B$4)^46)&gt;0,1+$B$3,1))</f>
        <v/>
      </c>
      <c r="AX182">
        <f>IF($B$1+47&gt;90,AW182,(AW182+IF($B$1+47&lt;=$B182,12*$B$9,-12*MAX(0,$B$8-IF($B$1+47&gt;=$B$23,$B$22,0))*(1+$B$4)^47))*IF(AW182+IF($B$1+47&lt;=$B182,12*$B$9,-12*MAX(0,$B$8-IF($B$1+47&gt;=$B$23,$B$22,0))*(1+$B$4)^47)&gt;0,1+$B$3,1))</f>
        <v/>
      </c>
      <c r="AY182">
        <f>IF($B$1+48&gt;90,AX182,(AX182+IF($B$1+48&lt;=$B182,12*$B$9,-12*MAX(0,$B$8-IF($B$1+48&gt;=$B$23,$B$22,0))*(1+$B$4)^48))*IF(AX182+IF($B$1+48&lt;=$B182,12*$B$9,-12*MAX(0,$B$8-IF($B$1+48&gt;=$B$23,$B$22,0))*(1+$B$4)^48)&gt;0,1+$B$3,1))</f>
        <v/>
      </c>
      <c r="AZ182">
        <f>IF($B$1+49&gt;90,AY182,(AY182+IF($B$1+49&lt;=$B182,12*$B$9,-12*MAX(0,$B$8-IF($B$1+49&gt;=$B$23,$B$22,0))*(1+$B$4)^49))*IF(AY182+IF($B$1+49&lt;=$B182,12*$B$9,-12*MAX(0,$B$8-IF($B$1+49&gt;=$B$23,$B$22,0))*(1+$B$4)^49)&gt;0,1+$B$3,1))</f>
        <v/>
      </c>
      <c r="BA182">
        <f>IF($B$1+50&gt;90,AZ182,(AZ182+IF($B$1+50&lt;=$B182,12*$B$9,-12*MAX(0,$B$8-IF($B$1+50&gt;=$B$23,$B$22,0))*(1+$B$4)^50))*IF(AZ182+IF($B$1+50&lt;=$B182,12*$B$9,-12*MAX(0,$B$8-IF($B$1+50&gt;=$B$23,$B$22,0))*(1+$B$4)^50)&gt;0,1+$B$3,1))</f>
        <v/>
      </c>
      <c r="BB182">
        <f>IF($B$1+51&gt;90,BA182,(BA182+IF($B$1+51&lt;=$B182,12*$B$9,-12*MAX(0,$B$8-IF($B$1+51&gt;=$B$23,$B$22,0))*(1+$B$4)^51))*IF(BA182+IF($B$1+51&lt;=$B182,12*$B$9,-12*MAX(0,$B$8-IF($B$1+51&gt;=$B$23,$B$22,0))*(1+$B$4)^51)&gt;0,1+$B$3,1))</f>
        <v/>
      </c>
      <c r="BC182">
        <f>IF($B$1+52&gt;90,BB182,(BB182+IF($B$1+52&lt;=$B182,12*$B$9,-12*MAX(0,$B$8-IF($B$1+52&gt;=$B$23,$B$22,0))*(1+$B$4)^52))*IF(BB182+IF($B$1+52&lt;=$B182,12*$B$9,-12*MAX(0,$B$8-IF($B$1+52&gt;=$B$23,$B$22,0))*(1+$B$4)^52)&gt;0,1+$B$3,1))</f>
        <v/>
      </c>
      <c r="BD182">
        <f>IF($B$1+53&gt;90,BC182,(BC182+IF($B$1+53&lt;=$B182,12*$B$9,-12*MAX(0,$B$8-IF($B$1+53&gt;=$B$23,$B$22,0))*(1+$B$4)^53))*IF(BC182+IF($B$1+53&lt;=$B182,12*$B$9,-12*MAX(0,$B$8-IF($B$1+53&gt;=$B$23,$B$22,0))*(1+$B$4)^53)&gt;0,1+$B$3,1))</f>
        <v/>
      </c>
      <c r="BE182">
        <f>IF($B$1+54&gt;90,BD182,(BD182+IF($B$1+54&lt;=$B182,12*$B$9,-12*MAX(0,$B$8-IF($B$1+54&gt;=$B$23,$B$22,0))*(1+$B$4)^54))*IF(BD182+IF($B$1+54&lt;=$B182,12*$B$9,-12*MAX(0,$B$8-IF($B$1+54&gt;=$B$23,$B$22,0))*(1+$B$4)^54)&gt;0,1+$B$3,1))</f>
        <v/>
      </c>
      <c r="BF182">
        <f>IF($B$1+55&gt;90,BE182,(BE182+IF($B$1+55&lt;=$B182,12*$B$9,-12*MAX(0,$B$8-IF($B$1+55&gt;=$B$23,$B$22,0))*(1+$B$4)^55))*IF(BE182+IF($B$1+55&lt;=$B182,12*$B$9,-12*MAX(0,$B$8-IF($B$1+55&gt;=$B$23,$B$22,0))*(1+$B$4)^55)&gt;0,1+$B$3,1))</f>
        <v/>
      </c>
      <c r="BG182">
        <f>IF($B$1+56&gt;90,BF182,(BF182+IF($B$1+56&lt;=$B182,12*$B$9,-12*MAX(0,$B$8-IF($B$1+56&gt;=$B$23,$B$22,0))*(1+$B$4)^56))*IF(BF182+IF($B$1+56&lt;=$B182,12*$B$9,-12*MAX(0,$B$8-IF($B$1+56&gt;=$B$23,$B$22,0))*(1+$B$4)^56)&gt;0,1+$B$3,1))</f>
        <v/>
      </c>
      <c r="BH182">
        <f>IF($B$1+57&gt;90,BG182,(BG182+IF($B$1+57&lt;=$B182,12*$B$9,-12*MAX(0,$B$8-IF($B$1+57&gt;=$B$23,$B$22,0))*(1+$B$4)^57))*IF(BG182+IF($B$1+57&lt;=$B182,12*$B$9,-12*MAX(0,$B$8-IF($B$1+57&gt;=$B$23,$B$22,0))*(1+$B$4)^57)&gt;0,1+$B$3,1))</f>
        <v/>
      </c>
      <c r="BI182">
        <f>IF($B$1+58&gt;90,BH182,(BH182+IF($B$1+58&lt;=$B182,12*$B$9,-12*MAX(0,$B$8-IF($B$1+58&gt;=$B$23,$B$22,0))*(1+$B$4)^58))*IF(BH182+IF($B$1+58&lt;=$B182,12*$B$9,-12*MAX(0,$B$8-IF($B$1+58&gt;=$B$23,$B$22,0))*(1+$B$4)^58)&gt;0,1+$B$3,1))</f>
        <v/>
      </c>
      <c r="BJ182">
        <f>IF($B$1+59&gt;90,BI182,(BI182+IF($B$1+59&lt;=$B182,12*$B$9,-12*MAX(0,$B$8-IF($B$1+59&gt;=$B$23,$B$22,0))*(1+$B$4)^59))*IF(BI182+IF($B$1+59&lt;=$B182,12*$B$9,-12*MAX(0,$B$8-IF($B$1+59&gt;=$B$23,$B$22,0))*(1+$B$4)^59)&gt;0,1+$B$3,1))</f>
        <v/>
      </c>
      <c r="BK182">
        <f>IF($B$1+60&gt;90,BJ182,(BJ182+IF($B$1+60&lt;=$B182,12*$B$9,-12*MAX(0,$B$8-IF($B$1+60&gt;=$B$23,$B$22,0))*(1+$B$4)^60))*IF(BJ182+IF($B$1+60&lt;=$B182,12*$B$9,-12*MAX(0,$B$8-IF($B$1+60&gt;=$B$23,$B$22,0))*(1+$B$4)^60)&gt;0,1+$B$3,1))</f>
        <v/>
      </c>
      <c r="BL182">
        <f>IF($B$1+61&gt;90,BK182,(BK182+IF($B$1+61&lt;=$B182,12*$B$9,-12*MAX(0,$B$8-IF($B$1+61&gt;=$B$23,$B$22,0))*(1+$B$4)^61))*IF(BK182+IF($B$1+61&lt;=$B182,12*$B$9,-12*MAX(0,$B$8-IF($B$1+61&gt;=$B$23,$B$22,0))*(1+$B$4)^61)&gt;0,1+$B$3,1))</f>
        <v/>
      </c>
      <c r="BM182">
        <f>IF($B$1+62&gt;90,BL182,(BL182+IF($B$1+62&lt;=$B182,12*$B$9,-12*MAX(0,$B$8-IF($B$1+62&gt;=$B$23,$B$22,0))*(1+$B$4)^62))*IF(BL182+IF($B$1+62&lt;=$B182,12*$B$9,-12*MAX(0,$B$8-IF($B$1+62&gt;=$B$23,$B$22,0))*(1+$B$4)^62)&gt;0,1+$B$3,1))</f>
        <v/>
      </c>
      <c r="BN182">
        <f>IF($B$1+63&gt;90,BM182,(BM182+IF($B$1+63&lt;=$B182,12*$B$9,-12*MAX(0,$B$8-IF($B$1+63&gt;=$B$23,$B$22,0))*(1+$B$4)^63))*IF(BM182+IF($B$1+63&lt;=$B182,12*$B$9,-12*MAX(0,$B$8-IF($B$1+63&gt;=$B$23,$B$22,0))*(1+$B$4)^63)&gt;0,1+$B$3,1))</f>
        <v/>
      </c>
      <c r="BO182">
        <f>IF($B$1+64&gt;90,BN182,(BN182+IF($B$1+64&lt;=$B182,12*$B$9,-12*MAX(0,$B$8-IF($B$1+64&gt;=$B$23,$B$22,0))*(1+$B$4)^64))*IF(BN182+IF($B$1+64&lt;=$B182,12*$B$9,-12*MAX(0,$B$8-IF($B$1+64&gt;=$B$23,$B$22,0))*(1+$B$4)^64)&gt;0,1+$B$3,1))</f>
        <v/>
      </c>
      <c r="BP182">
        <f>IF($B$1+65&gt;90,BO182,(BO182+IF($B$1+65&lt;=$B182,12*$B$9,-12*MAX(0,$B$8-IF($B$1+65&gt;=$B$23,$B$22,0))*(1+$B$4)^65))*IF(BO182+IF($B$1+65&lt;=$B182,12*$B$9,-12*MAX(0,$B$8-IF($B$1+65&gt;=$B$23,$B$22,0))*(1+$B$4)^65)&gt;0,1+$B$3,1))</f>
        <v/>
      </c>
      <c r="BQ182">
        <f>IF($B$1+66&gt;90,BP182,(BP182+IF($B$1+66&lt;=$B182,12*$B$9,-12*MAX(0,$B$8-IF($B$1+66&gt;=$B$23,$B$22,0))*(1+$B$4)^66))*IF(BP182+IF($B$1+66&lt;=$B182,12*$B$9,-12*MAX(0,$B$8-IF($B$1+66&gt;=$B$23,$B$22,0))*(1+$B$4)^66)&gt;0,1+$B$3,1))</f>
        <v/>
      </c>
      <c r="BR182">
        <f>IF($B$1+67&gt;90,BQ182,(BQ182+IF($B$1+67&lt;=$B182,12*$B$9,-12*MAX(0,$B$8-IF($B$1+67&gt;=$B$23,$B$22,0))*(1+$B$4)^67))*IF(BQ182+IF($B$1+67&lt;=$B182,12*$B$9,-12*MAX(0,$B$8-IF($B$1+67&gt;=$B$23,$B$22,0))*(1+$B$4)^67)&gt;0,1+$B$3,1))</f>
        <v/>
      </c>
      <c r="BS182">
        <f>IF($B$1+68&gt;90,BR182,(BR182+IF($B$1+68&lt;=$B182,12*$B$9,-12*MAX(0,$B$8-IF($B$1+68&gt;=$B$23,$B$22,0))*(1+$B$4)^68))*IF(BR182+IF($B$1+68&lt;=$B182,12*$B$9,-12*MAX(0,$B$8-IF($B$1+68&gt;=$B$23,$B$22,0))*(1+$B$4)^68)&gt;0,1+$B$3,1))</f>
        <v/>
      </c>
      <c r="BT182">
        <f>IF($B$1+69&gt;90,BS182,(BS182+IF($B$1+69&lt;=$B182,12*$B$9,-12*MAX(0,$B$8-IF($B$1+69&gt;=$B$23,$B$22,0))*(1+$B$4)^69))*IF(BS182+IF($B$1+69&lt;=$B182,12*$B$9,-12*MAX(0,$B$8-IF($B$1+69&gt;=$B$23,$B$22,0))*(1+$B$4)^69)&gt;0,1+$B$3,1))</f>
        <v/>
      </c>
      <c r="BU182">
        <f>IF($B$1+70&gt;90,BT182,(BT182+IF($B$1+70&lt;=$B182,12*$B$9,-12*MAX(0,$B$8-IF($B$1+70&gt;=$B$23,$B$22,0))*(1+$B$4)^70))*IF(BT182+IF($B$1+70&lt;=$B182,12*$B$9,-12*MAX(0,$B$8-IF($B$1+70&gt;=$B$23,$B$22,0))*(1+$B$4)^70)&gt;0,1+$B$3,1))</f>
        <v/>
      </c>
      <c r="BV182">
        <f>BU182</f>
        <v/>
      </c>
      <c r="BW182">
        <f>IF(AND($B182&lt;=70,BV182&gt;0),$B182,999)</f>
        <v/>
      </c>
      <c r="CH182">
        <f>IF(ISTEXT('월 가계부'!A182),SUBSTITUTE(SUBSTITUTE(SUBSTITUTE(SUBSTITUTE(SUBSTITUTE(SUBSTITUTE(SUBSTITUTE(SUBSTITUTE(SUBSTITUTE(TRIM('월 가계부'!A182),"년","-"),"월","-"),"일",""),".","-"),"/","-")," ","-"),"--","-"),"--","-"),"--","-")&amp;"-","")</f>
        <v/>
      </c>
      <c r="CI182">
        <f>IFERROR(IF('월 가계부'!A182="","",IF(ISNUMBER('월 가계부'!A182),IF(AND('월 가계부'!A182&gt;=19000101,'월 가계부'!A182&lt;=21001231),IF(AND(MOD(INT('월 가계부'!A182/100),100)&gt;=1,MOD(INT('월 가계부'!A182/100),100)&lt;=12,MOD(INT('월 가계부'!A182),100)&gt;=1,MOD(INT('월 가계부'!A182),100)&lt;=31),IF(MONTH(DATE(INT('월 가계부'!A182/10000),MOD(INT('월 가계부'!A182/100),100),MOD(INT('월 가계부'!A182),100)))=MOD(INT('월 가계부'!A182/100),100),DATE(INT('월 가계부'!A182/10000),MOD(INT('월 가계부'!A182/100),100),MOD(INT('월 가계부'!A182),100)),""),""),IF(AND('월 가계부'!A182&gt;=36526,'월 가계부'!A182&lt;73051),INT('월 가계부'!A182),"")),IF(OR(CM182="",CN182="",CO182=""),"",IF(AND(CM182&gt;=2000,CM182&lt;=2099,CN182&gt;=1,CN182&lt;=12,CO182&gt;=1,CO182&lt;=31),IF(MONTH(DATE(CM182,CN182,CO182))=CN182,DATE(CM182,CN182,CO182),""),"")))),"")</f>
        <v/>
      </c>
      <c r="CJ182">
        <f>IFERROR(IF('월 가계부'!C182="","",IF(ISNUMBER('월 가계부'!C182),'월 가계부'!C182,VALUE(SUBSTITUTE(SUBSTITUTE(SUBSTITUTE(SUBSTITUTE(TRIM('월 가계부'!C182),",",""),"원","")," ",""),"−","-")))),"")</f>
        <v/>
      </c>
      <c r="CK182">
        <f>IF(ISNUMBER(CI182),IF(CI182&lt;$B$13,CI182,""),"")</f>
        <v/>
      </c>
      <c r="CM182">
        <f>IF(CH182="","",IFERROR(IF(IF(AND(LEN(CH182)=9,ISERROR(FIND("-",LEFT(CH182,8))),ISNUMBER(-LEFT(CH182,8))),VALUE(LEFT(CH182,4)),VALUE(LEFT(CH182,FIND("-",CH182)-1)))&lt;100,IF(AND(LEN(CH182)=9,ISERROR(FIND("-",LEFT(CH182,8))),ISNUMBER(-LEFT(CH182,8))),VALUE(LEFT(CH182,4)),VALUE(LEFT(CH182,FIND("-",CH182)-1)))+2000,IF(AND(LEN(CH182)=9,ISERROR(FIND("-",LEFT(CH182,8))),ISNUMBER(-LEFT(CH182,8))),VALUE(LEFT(CH182,4)),VALUE(LEFT(CH182,FIND("-",CH182)-1)))),""))</f>
        <v/>
      </c>
      <c r="CN182">
        <f>IF(CH182="","",IFERROR(IF(AND(LEN(CH182)=9,ISERROR(FIND("-",LEFT(CH182,8))),ISNUMBER(-LEFT(CH182,8))),VALUE(MID(CH182,5,2)),VALUE(MID(CH182,FIND("-",CH182)+1,FIND("-",CH182,FIND("-",CH182)+1)-FIND("-",CH182)-1))),""))</f>
        <v/>
      </c>
      <c r="CO182">
        <f>IF(CH182="","",IFERROR(IF(AND(LEN(CH182)=9,ISERROR(FIND("-",LEFT(CH182,8))),ISNUMBER(-LEFT(CH182,8))),VALUE(MID(CH182,7,2)),VALUE(MID(CH182,FIND("-",CH182,FIND("-",CH182)+1)+1,FIND("-",CH182,FIND("-",CH182,FIND("-",CH182)+1)+1)-FIND("-",CH182,FIND("-",CH182)+1)-1))),""))</f>
        <v/>
      </c>
    </row>
    <row r="183">
      <c r="A183" t="n">
        <v>31</v>
      </c>
      <c r="B183">
        <f>$B$1+31</f>
        <v/>
      </c>
      <c r="C183">
        <f>$B$2</f>
        <v/>
      </c>
      <c r="D183">
        <f>IF($B$1+1&gt;90,C183,(C183+IF($B$1+1&lt;=$B183,12*$B$9,-12*MAX(0,$B$8-IF($B$1+1&gt;=$B$23,$B$22,0))*(1+$B$4)^1))*IF(C183+IF($B$1+1&lt;=$B183,12*$B$9,-12*MAX(0,$B$8-IF($B$1+1&gt;=$B$23,$B$22,0))*(1+$B$4)^1)&gt;0,1+$B$3,1))</f>
        <v/>
      </c>
      <c r="E183">
        <f>IF($B$1+2&gt;90,D183,(D183+IF($B$1+2&lt;=$B183,12*$B$9,-12*MAX(0,$B$8-IF($B$1+2&gt;=$B$23,$B$22,0))*(1+$B$4)^2))*IF(D183+IF($B$1+2&lt;=$B183,12*$B$9,-12*MAX(0,$B$8-IF($B$1+2&gt;=$B$23,$B$22,0))*(1+$B$4)^2)&gt;0,1+$B$3,1))</f>
        <v/>
      </c>
      <c r="F183">
        <f>IF($B$1+3&gt;90,E183,(E183+IF($B$1+3&lt;=$B183,12*$B$9,-12*MAX(0,$B$8-IF($B$1+3&gt;=$B$23,$B$22,0))*(1+$B$4)^3))*IF(E183+IF($B$1+3&lt;=$B183,12*$B$9,-12*MAX(0,$B$8-IF($B$1+3&gt;=$B$23,$B$22,0))*(1+$B$4)^3)&gt;0,1+$B$3,1))</f>
        <v/>
      </c>
      <c r="G183">
        <f>IF($B$1+4&gt;90,F183,(F183+IF($B$1+4&lt;=$B183,12*$B$9,-12*MAX(0,$B$8-IF($B$1+4&gt;=$B$23,$B$22,0))*(1+$B$4)^4))*IF(F183+IF($B$1+4&lt;=$B183,12*$B$9,-12*MAX(0,$B$8-IF($B$1+4&gt;=$B$23,$B$22,0))*(1+$B$4)^4)&gt;0,1+$B$3,1))</f>
        <v/>
      </c>
      <c r="H183">
        <f>IF($B$1+5&gt;90,G183,(G183+IF($B$1+5&lt;=$B183,12*$B$9,-12*MAX(0,$B$8-IF($B$1+5&gt;=$B$23,$B$22,0))*(1+$B$4)^5))*IF(G183+IF($B$1+5&lt;=$B183,12*$B$9,-12*MAX(0,$B$8-IF($B$1+5&gt;=$B$23,$B$22,0))*(1+$B$4)^5)&gt;0,1+$B$3,1))</f>
        <v/>
      </c>
      <c r="I183">
        <f>IF($B$1+6&gt;90,H183,(H183+IF($B$1+6&lt;=$B183,12*$B$9,-12*MAX(0,$B$8-IF($B$1+6&gt;=$B$23,$B$22,0))*(1+$B$4)^6))*IF(H183+IF($B$1+6&lt;=$B183,12*$B$9,-12*MAX(0,$B$8-IF($B$1+6&gt;=$B$23,$B$22,0))*(1+$B$4)^6)&gt;0,1+$B$3,1))</f>
        <v/>
      </c>
      <c r="J183">
        <f>IF($B$1+7&gt;90,I183,(I183+IF($B$1+7&lt;=$B183,12*$B$9,-12*MAX(0,$B$8-IF($B$1+7&gt;=$B$23,$B$22,0))*(1+$B$4)^7))*IF(I183+IF($B$1+7&lt;=$B183,12*$B$9,-12*MAX(0,$B$8-IF($B$1+7&gt;=$B$23,$B$22,0))*(1+$B$4)^7)&gt;0,1+$B$3,1))</f>
        <v/>
      </c>
      <c r="K183">
        <f>IF($B$1+8&gt;90,J183,(J183+IF($B$1+8&lt;=$B183,12*$B$9,-12*MAX(0,$B$8-IF($B$1+8&gt;=$B$23,$B$22,0))*(1+$B$4)^8))*IF(J183+IF($B$1+8&lt;=$B183,12*$B$9,-12*MAX(0,$B$8-IF($B$1+8&gt;=$B$23,$B$22,0))*(1+$B$4)^8)&gt;0,1+$B$3,1))</f>
        <v/>
      </c>
      <c r="L183">
        <f>IF($B$1+9&gt;90,K183,(K183+IF($B$1+9&lt;=$B183,12*$B$9,-12*MAX(0,$B$8-IF($B$1+9&gt;=$B$23,$B$22,0))*(1+$B$4)^9))*IF(K183+IF($B$1+9&lt;=$B183,12*$B$9,-12*MAX(0,$B$8-IF($B$1+9&gt;=$B$23,$B$22,0))*(1+$B$4)^9)&gt;0,1+$B$3,1))</f>
        <v/>
      </c>
      <c r="M183">
        <f>IF($B$1+10&gt;90,L183,(L183+IF($B$1+10&lt;=$B183,12*$B$9,-12*MAX(0,$B$8-IF($B$1+10&gt;=$B$23,$B$22,0))*(1+$B$4)^10))*IF(L183+IF($B$1+10&lt;=$B183,12*$B$9,-12*MAX(0,$B$8-IF($B$1+10&gt;=$B$23,$B$22,0))*(1+$B$4)^10)&gt;0,1+$B$3,1))</f>
        <v/>
      </c>
      <c r="N183">
        <f>IF($B$1+11&gt;90,M183,(M183+IF($B$1+11&lt;=$B183,12*$B$9,-12*MAX(0,$B$8-IF($B$1+11&gt;=$B$23,$B$22,0))*(1+$B$4)^11))*IF(M183+IF($B$1+11&lt;=$B183,12*$B$9,-12*MAX(0,$B$8-IF($B$1+11&gt;=$B$23,$B$22,0))*(1+$B$4)^11)&gt;0,1+$B$3,1))</f>
        <v/>
      </c>
      <c r="O183">
        <f>IF($B$1+12&gt;90,N183,(N183+IF($B$1+12&lt;=$B183,12*$B$9,-12*MAX(0,$B$8-IF($B$1+12&gt;=$B$23,$B$22,0))*(1+$B$4)^12))*IF(N183+IF($B$1+12&lt;=$B183,12*$B$9,-12*MAX(0,$B$8-IF($B$1+12&gt;=$B$23,$B$22,0))*(1+$B$4)^12)&gt;0,1+$B$3,1))</f>
        <v/>
      </c>
      <c r="P183">
        <f>IF($B$1+13&gt;90,O183,(O183+IF($B$1+13&lt;=$B183,12*$B$9,-12*MAX(0,$B$8-IF($B$1+13&gt;=$B$23,$B$22,0))*(1+$B$4)^13))*IF(O183+IF($B$1+13&lt;=$B183,12*$B$9,-12*MAX(0,$B$8-IF($B$1+13&gt;=$B$23,$B$22,0))*(1+$B$4)^13)&gt;0,1+$B$3,1))</f>
        <v/>
      </c>
      <c r="Q183">
        <f>IF($B$1+14&gt;90,P183,(P183+IF($B$1+14&lt;=$B183,12*$B$9,-12*MAX(0,$B$8-IF($B$1+14&gt;=$B$23,$B$22,0))*(1+$B$4)^14))*IF(P183+IF($B$1+14&lt;=$B183,12*$B$9,-12*MAX(0,$B$8-IF($B$1+14&gt;=$B$23,$B$22,0))*(1+$B$4)^14)&gt;0,1+$B$3,1))</f>
        <v/>
      </c>
      <c r="R183">
        <f>IF($B$1+15&gt;90,Q183,(Q183+IF($B$1+15&lt;=$B183,12*$B$9,-12*MAX(0,$B$8-IF($B$1+15&gt;=$B$23,$B$22,0))*(1+$B$4)^15))*IF(Q183+IF($B$1+15&lt;=$B183,12*$B$9,-12*MAX(0,$B$8-IF($B$1+15&gt;=$B$23,$B$22,0))*(1+$B$4)^15)&gt;0,1+$B$3,1))</f>
        <v/>
      </c>
      <c r="S183">
        <f>IF($B$1+16&gt;90,R183,(R183+IF($B$1+16&lt;=$B183,12*$B$9,-12*MAX(0,$B$8-IF($B$1+16&gt;=$B$23,$B$22,0))*(1+$B$4)^16))*IF(R183+IF($B$1+16&lt;=$B183,12*$B$9,-12*MAX(0,$B$8-IF($B$1+16&gt;=$B$23,$B$22,0))*(1+$B$4)^16)&gt;0,1+$B$3,1))</f>
        <v/>
      </c>
      <c r="T183">
        <f>IF($B$1+17&gt;90,S183,(S183+IF($B$1+17&lt;=$B183,12*$B$9,-12*MAX(0,$B$8-IF($B$1+17&gt;=$B$23,$B$22,0))*(1+$B$4)^17))*IF(S183+IF($B$1+17&lt;=$B183,12*$B$9,-12*MAX(0,$B$8-IF($B$1+17&gt;=$B$23,$B$22,0))*(1+$B$4)^17)&gt;0,1+$B$3,1))</f>
        <v/>
      </c>
      <c r="U183">
        <f>IF($B$1+18&gt;90,T183,(T183+IF($B$1+18&lt;=$B183,12*$B$9,-12*MAX(0,$B$8-IF($B$1+18&gt;=$B$23,$B$22,0))*(1+$B$4)^18))*IF(T183+IF($B$1+18&lt;=$B183,12*$B$9,-12*MAX(0,$B$8-IF($B$1+18&gt;=$B$23,$B$22,0))*(1+$B$4)^18)&gt;0,1+$B$3,1))</f>
        <v/>
      </c>
      <c r="V183">
        <f>IF($B$1+19&gt;90,U183,(U183+IF($B$1+19&lt;=$B183,12*$B$9,-12*MAX(0,$B$8-IF($B$1+19&gt;=$B$23,$B$22,0))*(1+$B$4)^19))*IF(U183+IF($B$1+19&lt;=$B183,12*$B$9,-12*MAX(0,$B$8-IF($B$1+19&gt;=$B$23,$B$22,0))*(1+$B$4)^19)&gt;0,1+$B$3,1))</f>
        <v/>
      </c>
      <c r="W183">
        <f>IF($B$1+20&gt;90,V183,(V183+IF($B$1+20&lt;=$B183,12*$B$9,-12*MAX(0,$B$8-IF($B$1+20&gt;=$B$23,$B$22,0))*(1+$B$4)^20))*IF(V183+IF($B$1+20&lt;=$B183,12*$B$9,-12*MAX(0,$B$8-IF($B$1+20&gt;=$B$23,$B$22,0))*(1+$B$4)^20)&gt;0,1+$B$3,1))</f>
        <v/>
      </c>
      <c r="X183">
        <f>IF($B$1+21&gt;90,W183,(W183+IF($B$1+21&lt;=$B183,12*$B$9,-12*MAX(0,$B$8-IF($B$1+21&gt;=$B$23,$B$22,0))*(1+$B$4)^21))*IF(W183+IF($B$1+21&lt;=$B183,12*$B$9,-12*MAX(0,$B$8-IF($B$1+21&gt;=$B$23,$B$22,0))*(1+$B$4)^21)&gt;0,1+$B$3,1))</f>
        <v/>
      </c>
      <c r="Y183">
        <f>IF($B$1+22&gt;90,X183,(X183+IF($B$1+22&lt;=$B183,12*$B$9,-12*MAX(0,$B$8-IF($B$1+22&gt;=$B$23,$B$22,0))*(1+$B$4)^22))*IF(X183+IF($B$1+22&lt;=$B183,12*$B$9,-12*MAX(0,$B$8-IF($B$1+22&gt;=$B$23,$B$22,0))*(1+$B$4)^22)&gt;0,1+$B$3,1))</f>
        <v/>
      </c>
      <c r="Z183">
        <f>IF($B$1+23&gt;90,Y183,(Y183+IF($B$1+23&lt;=$B183,12*$B$9,-12*MAX(0,$B$8-IF($B$1+23&gt;=$B$23,$B$22,0))*(1+$B$4)^23))*IF(Y183+IF($B$1+23&lt;=$B183,12*$B$9,-12*MAX(0,$B$8-IF($B$1+23&gt;=$B$23,$B$22,0))*(1+$B$4)^23)&gt;0,1+$B$3,1))</f>
        <v/>
      </c>
      <c r="AA183">
        <f>IF($B$1+24&gt;90,Z183,(Z183+IF($B$1+24&lt;=$B183,12*$B$9,-12*MAX(0,$B$8-IF($B$1+24&gt;=$B$23,$B$22,0))*(1+$B$4)^24))*IF(Z183+IF($B$1+24&lt;=$B183,12*$B$9,-12*MAX(0,$B$8-IF($B$1+24&gt;=$B$23,$B$22,0))*(1+$B$4)^24)&gt;0,1+$B$3,1))</f>
        <v/>
      </c>
      <c r="AB183">
        <f>IF($B$1+25&gt;90,AA183,(AA183+IF($B$1+25&lt;=$B183,12*$B$9,-12*MAX(0,$B$8-IF($B$1+25&gt;=$B$23,$B$22,0))*(1+$B$4)^25))*IF(AA183+IF($B$1+25&lt;=$B183,12*$B$9,-12*MAX(0,$B$8-IF($B$1+25&gt;=$B$23,$B$22,0))*(1+$B$4)^25)&gt;0,1+$B$3,1))</f>
        <v/>
      </c>
      <c r="AC183">
        <f>IF($B$1+26&gt;90,AB183,(AB183+IF($B$1+26&lt;=$B183,12*$B$9,-12*MAX(0,$B$8-IF($B$1+26&gt;=$B$23,$B$22,0))*(1+$B$4)^26))*IF(AB183+IF($B$1+26&lt;=$B183,12*$B$9,-12*MAX(0,$B$8-IF($B$1+26&gt;=$B$23,$B$22,0))*(1+$B$4)^26)&gt;0,1+$B$3,1))</f>
        <v/>
      </c>
      <c r="AD183">
        <f>IF($B$1+27&gt;90,AC183,(AC183+IF($B$1+27&lt;=$B183,12*$B$9,-12*MAX(0,$B$8-IF($B$1+27&gt;=$B$23,$B$22,0))*(1+$B$4)^27))*IF(AC183+IF($B$1+27&lt;=$B183,12*$B$9,-12*MAX(0,$B$8-IF($B$1+27&gt;=$B$23,$B$22,0))*(1+$B$4)^27)&gt;0,1+$B$3,1))</f>
        <v/>
      </c>
      <c r="AE183">
        <f>IF($B$1+28&gt;90,AD183,(AD183+IF($B$1+28&lt;=$B183,12*$B$9,-12*MAX(0,$B$8-IF($B$1+28&gt;=$B$23,$B$22,0))*(1+$B$4)^28))*IF(AD183+IF($B$1+28&lt;=$B183,12*$B$9,-12*MAX(0,$B$8-IF($B$1+28&gt;=$B$23,$B$22,0))*(1+$B$4)^28)&gt;0,1+$B$3,1))</f>
        <v/>
      </c>
      <c r="AF183">
        <f>IF($B$1+29&gt;90,AE183,(AE183+IF($B$1+29&lt;=$B183,12*$B$9,-12*MAX(0,$B$8-IF($B$1+29&gt;=$B$23,$B$22,0))*(1+$B$4)^29))*IF(AE183+IF($B$1+29&lt;=$B183,12*$B$9,-12*MAX(0,$B$8-IF($B$1+29&gt;=$B$23,$B$22,0))*(1+$B$4)^29)&gt;0,1+$B$3,1))</f>
        <v/>
      </c>
      <c r="AG183">
        <f>IF($B$1+30&gt;90,AF183,(AF183+IF($B$1+30&lt;=$B183,12*$B$9,-12*MAX(0,$B$8-IF($B$1+30&gt;=$B$23,$B$22,0))*(1+$B$4)^30))*IF(AF183+IF($B$1+30&lt;=$B183,12*$B$9,-12*MAX(0,$B$8-IF($B$1+30&gt;=$B$23,$B$22,0))*(1+$B$4)^30)&gt;0,1+$B$3,1))</f>
        <v/>
      </c>
      <c r="AH183">
        <f>IF($B$1+31&gt;90,AG183,(AG183+IF($B$1+31&lt;=$B183,12*$B$9,-12*MAX(0,$B$8-IF($B$1+31&gt;=$B$23,$B$22,0))*(1+$B$4)^31))*IF(AG183+IF($B$1+31&lt;=$B183,12*$B$9,-12*MAX(0,$B$8-IF($B$1+31&gt;=$B$23,$B$22,0))*(1+$B$4)^31)&gt;0,1+$B$3,1))</f>
        <v/>
      </c>
      <c r="AI183">
        <f>IF($B$1+32&gt;90,AH183,(AH183+IF($B$1+32&lt;=$B183,12*$B$9,-12*MAX(0,$B$8-IF($B$1+32&gt;=$B$23,$B$22,0))*(1+$B$4)^32))*IF(AH183+IF($B$1+32&lt;=$B183,12*$B$9,-12*MAX(0,$B$8-IF($B$1+32&gt;=$B$23,$B$22,0))*(1+$B$4)^32)&gt;0,1+$B$3,1))</f>
        <v/>
      </c>
      <c r="AJ183">
        <f>IF($B$1+33&gt;90,AI183,(AI183+IF($B$1+33&lt;=$B183,12*$B$9,-12*MAX(0,$B$8-IF($B$1+33&gt;=$B$23,$B$22,0))*(1+$B$4)^33))*IF(AI183+IF($B$1+33&lt;=$B183,12*$B$9,-12*MAX(0,$B$8-IF($B$1+33&gt;=$B$23,$B$22,0))*(1+$B$4)^33)&gt;0,1+$B$3,1))</f>
        <v/>
      </c>
      <c r="AK183">
        <f>IF($B$1+34&gt;90,AJ183,(AJ183+IF($B$1+34&lt;=$B183,12*$B$9,-12*MAX(0,$B$8-IF($B$1+34&gt;=$B$23,$B$22,0))*(1+$B$4)^34))*IF(AJ183+IF($B$1+34&lt;=$B183,12*$B$9,-12*MAX(0,$B$8-IF($B$1+34&gt;=$B$23,$B$22,0))*(1+$B$4)^34)&gt;0,1+$B$3,1))</f>
        <v/>
      </c>
      <c r="AL183">
        <f>IF($B$1+35&gt;90,AK183,(AK183+IF($B$1+35&lt;=$B183,12*$B$9,-12*MAX(0,$B$8-IF($B$1+35&gt;=$B$23,$B$22,0))*(1+$B$4)^35))*IF(AK183+IF($B$1+35&lt;=$B183,12*$B$9,-12*MAX(0,$B$8-IF($B$1+35&gt;=$B$23,$B$22,0))*(1+$B$4)^35)&gt;0,1+$B$3,1))</f>
        <v/>
      </c>
      <c r="AM183">
        <f>IF($B$1+36&gt;90,AL183,(AL183+IF($B$1+36&lt;=$B183,12*$B$9,-12*MAX(0,$B$8-IF($B$1+36&gt;=$B$23,$B$22,0))*(1+$B$4)^36))*IF(AL183+IF($B$1+36&lt;=$B183,12*$B$9,-12*MAX(0,$B$8-IF($B$1+36&gt;=$B$23,$B$22,0))*(1+$B$4)^36)&gt;0,1+$B$3,1))</f>
        <v/>
      </c>
      <c r="AN183">
        <f>IF($B$1+37&gt;90,AM183,(AM183+IF($B$1+37&lt;=$B183,12*$B$9,-12*MAX(0,$B$8-IF($B$1+37&gt;=$B$23,$B$22,0))*(1+$B$4)^37))*IF(AM183+IF($B$1+37&lt;=$B183,12*$B$9,-12*MAX(0,$B$8-IF($B$1+37&gt;=$B$23,$B$22,0))*(1+$B$4)^37)&gt;0,1+$B$3,1))</f>
        <v/>
      </c>
      <c r="AO183">
        <f>IF($B$1+38&gt;90,AN183,(AN183+IF($B$1+38&lt;=$B183,12*$B$9,-12*MAX(0,$B$8-IF($B$1+38&gt;=$B$23,$B$22,0))*(1+$B$4)^38))*IF(AN183+IF($B$1+38&lt;=$B183,12*$B$9,-12*MAX(0,$B$8-IF($B$1+38&gt;=$B$23,$B$22,0))*(1+$B$4)^38)&gt;0,1+$B$3,1))</f>
        <v/>
      </c>
      <c r="AP183">
        <f>IF($B$1+39&gt;90,AO183,(AO183+IF($B$1+39&lt;=$B183,12*$B$9,-12*MAX(0,$B$8-IF($B$1+39&gt;=$B$23,$B$22,0))*(1+$B$4)^39))*IF(AO183+IF($B$1+39&lt;=$B183,12*$B$9,-12*MAX(0,$B$8-IF($B$1+39&gt;=$B$23,$B$22,0))*(1+$B$4)^39)&gt;0,1+$B$3,1))</f>
        <v/>
      </c>
      <c r="AQ183">
        <f>IF($B$1+40&gt;90,AP183,(AP183+IF($B$1+40&lt;=$B183,12*$B$9,-12*MAX(0,$B$8-IF($B$1+40&gt;=$B$23,$B$22,0))*(1+$B$4)^40))*IF(AP183+IF($B$1+40&lt;=$B183,12*$B$9,-12*MAX(0,$B$8-IF($B$1+40&gt;=$B$23,$B$22,0))*(1+$B$4)^40)&gt;0,1+$B$3,1))</f>
        <v/>
      </c>
      <c r="AR183">
        <f>IF($B$1+41&gt;90,AQ183,(AQ183+IF($B$1+41&lt;=$B183,12*$B$9,-12*MAX(0,$B$8-IF($B$1+41&gt;=$B$23,$B$22,0))*(1+$B$4)^41))*IF(AQ183+IF($B$1+41&lt;=$B183,12*$B$9,-12*MAX(0,$B$8-IF($B$1+41&gt;=$B$23,$B$22,0))*(1+$B$4)^41)&gt;0,1+$B$3,1))</f>
        <v/>
      </c>
      <c r="AS183">
        <f>IF($B$1+42&gt;90,AR183,(AR183+IF($B$1+42&lt;=$B183,12*$B$9,-12*MAX(0,$B$8-IF($B$1+42&gt;=$B$23,$B$22,0))*(1+$B$4)^42))*IF(AR183+IF($B$1+42&lt;=$B183,12*$B$9,-12*MAX(0,$B$8-IF($B$1+42&gt;=$B$23,$B$22,0))*(1+$B$4)^42)&gt;0,1+$B$3,1))</f>
        <v/>
      </c>
      <c r="AT183">
        <f>IF($B$1+43&gt;90,AS183,(AS183+IF($B$1+43&lt;=$B183,12*$B$9,-12*MAX(0,$B$8-IF($B$1+43&gt;=$B$23,$B$22,0))*(1+$B$4)^43))*IF(AS183+IF($B$1+43&lt;=$B183,12*$B$9,-12*MAX(0,$B$8-IF($B$1+43&gt;=$B$23,$B$22,0))*(1+$B$4)^43)&gt;0,1+$B$3,1))</f>
        <v/>
      </c>
      <c r="AU183">
        <f>IF($B$1+44&gt;90,AT183,(AT183+IF($B$1+44&lt;=$B183,12*$B$9,-12*MAX(0,$B$8-IF($B$1+44&gt;=$B$23,$B$22,0))*(1+$B$4)^44))*IF(AT183+IF($B$1+44&lt;=$B183,12*$B$9,-12*MAX(0,$B$8-IF($B$1+44&gt;=$B$23,$B$22,0))*(1+$B$4)^44)&gt;0,1+$B$3,1))</f>
        <v/>
      </c>
      <c r="AV183">
        <f>IF($B$1+45&gt;90,AU183,(AU183+IF($B$1+45&lt;=$B183,12*$B$9,-12*MAX(0,$B$8-IF($B$1+45&gt;=$B$23,$B$22,0))*(1+$B$4)^45))*IF(AU183+IF($B$1+45&lt;=$B183,12*$B$9,-12*MAX(0,$B$8-IF($B$1+45&gt;=$B$23,$B$22,0))*(1+$B$4)^45)&gt;0,1+$B$3,1))</f>
        <v/>
      </c>
      <c r="AW183">
        <f>IF($B$1+46&gt;90,AV183,(AV183+IF($B$1+46&lt;=$B183,12*$B$9,-12*MAX(0,$B$8-IF($B$1+46&gt;=$B$23,$B$22,0))*(1+$B$4)^46))*IF(AV183+IF($B$1+46&lt;=$B183,12*$B$9,-12*MAX(0,$B$8-IF($B$1+46&gt;=$B$23,$B$22,0))*(1+$B$4)^46)&gt;0,1+$B$3,1))</f>
        <v/>
      </c>
      <c r="AX183">
        <f>IF($B$1+47&gt;90,AW183,(AW183+IF($B$1+47&lt;=$B183,12*$B$9,-12*MAX(0,$B$8-IF($B$1+47&gt;=$B$23,$B$22,0))*(1+$B$4)^47))*IF(AW183+IF($B$1+47&lt;=$B183,12*$B$9,-12*MAX(0,$B$8-IF($B$1+47&gt;=$B$23,$B$22,0))*(1+$B$4)^47)&gt;0,1+$B$3,1))</f>
        <v/>
      </c>
      <c r="AY183">
        <f>IF($B$1+48&gt;90,AX183,(AX183+IF($B$1+48&lt;=$B183,12*$B$9,-12*MAX(0,$B$8-IF($B$1+48&gt;=$B$23,$B$22,0))*(1+$B$4)^48))*IF(AX183+IF($B$1+48&lt;=$B183,12*$B$9,-12*MAX(0,$B$8-IF($B$1+48&gt;=$B$23,$B$22,0))*(1+$B$4)^48)&gt;0,1+$B$3,1))</f>
        <v/>
      </c>
      <c r="AZ183">
        <f>IF($B$1+49&gt;90,AY183,(AY183+IF($B$1+49&lt;=$B183,12*$B$9,-12*MAX(0,$B$8-IF($B$1+49&gt;=$B$23,$B$22,0))*(1+$B$4)^49))*IF(AY183+IF($B$1+49&lt;=$B183,12*$B$9,-12*MAX(0,$B$8-IF($B$1+49&gt;=$B$23,$B$22,0))*(1+$B$4)^49)&gt;0,1+$B$3,1))</f>
        <v/>
      </c>
      <c r="BA183">
        <f>IF($B$1+50&gt;90,AZ183,(AZ183+IF($B$1+50&lt;=$B183,12*$B$9,-12*MAX(0,$B$8-IF($B$1+50&gt;=$B$23,$B$22,0))*(1+$B$4)^50))*IF(AZ183+IF($B$1+50&lt;=$B183,12*$B$9,-12*MAX(0,$B$8-IF($B$1+50&gt;=$B$23,$B$22,0))*(1+$B$4)^50)&gt;0,1+$B$3,1))</f>
        <v/>
      </c>
      <c r="BB183">
        <f>IF($B$1+51&gt;90,BA183,(BA183+IF($B$1+51&lt;=$B183,12*$B$9,-12*MAX(0,$B$8-IF($B$1+51&gt;=$B$23,$B$22,0))*(1+$B$4)^51))*IF(BA183+IF($B$1+51&lt;=$B183,12*$B$9,-12*MAX(0,$B$8-IF($B$1+51&gt;=$B$23,$B$22,0))*(1+$B$4)^51)&gt;0,1+$B$3,1))</f>
        <v/>
      </c>
      <c r="BC183">
        <f>IF($B$1+52&gt;90,BB183,(BB183+IF($B$1+52&lt;=$B183,12*$B$9,-12*MAX(0,$B$8-IF($B$1+52&gt;=$B$23,$B$22,0))*(1+$B$4)^52))*IF(BB183+IF($B$1+52&lt;=$B183,12*$B$9,-12*MAX(0,$B$8-IF($B$1+52&gt;=$B$23,$B$22,0))*(1+$B$4)^52)&gt;0,1+$B$3,1))</f>
        <v/>
      </c>
      <c r="BD183">
        <f>IF($B$1+53&gt;90,BC183,(BC183+IF($B$1+53&lt;=$B183,12*$B$9,-12*MAX(0,$B$8-IF($B$1+53&gt;=$B$23,$B$22,0))*(1+$B$4)^53))*IF(BC183+IF($B$1+53&lt;=$B183,12*$B$9,-12*MAX(0,$B$8-IF($B$1+53&gt;=$B$23,$B$22,0))*(1+$B$4)^53)&gt;0,1+$B$3,1))</f>
        <v/>
      </c>
      <c r="BE183">
        <f>IF($B$1+54&gt;90,BD183,(BD183+IF($B$1+54&lt;=$B183,12*$B$9,-12*MAX(0,$B$8-IF($B$1+54&gt;=$B$23,$B$22,0))*(1+$B$4)^54))*IF(BD183+IF($B$1+54&lt;=$B183,12*$B$9,-12*MAX(0,$B$8-IF($B$1+54&gt;=$B$23,$B$22,0))*(1+$B$4)^54)&gt;0,1+$B$3,1))</f>
        <v/>
      </c>
      <c r="BF183">
        <f>IF($B$1+55&gt;90,BE183,(BE183+IF($B$1+55&lt;=$B183,12*$B$9,-12*MAX(0,$B$8-IF($B$1+55&gt;=$B$23,$B$22,0))*(1+$B$4)^55))*IF(BE183+IF($B$1+55&lt;=$B183,12*$B$9,-12*MAX(0,$B$8-IF($B$1+55&gt;=$B$23,$B$22,0))*(1+$B$4)^55)&gt;0,1+$B$3,1))</f>
        <v/>
      </c>
      <c r="BG183">
        <f>IF($B$1+56&gt;90,BF183,(BF183+IF($B$1+56&lt;=$B183,12*$B$9,-12*MAX(0,$B$8-IF($B$1+56&gt;=$B$23,$B$22,0))*(1+$B$4)^56))*IF(BF183+IF($B$1+56&lt;=$B183,12*$B$9,-12*MAX(0,$B$8-IF($B$1+56&gt;=$B$23,$B$22,0))*(1+$B$4)^56)&gt;0,1+$B$3,1))</f>
        <v/>
      </c>
      <c r="BH183">
        <f>IF($B$1+57&gt;90,BG183,(BG183+IF($B$1+57&lt;=$B183,12*$B$9,-12*MAX(0,$B$8-IF($B$1+57&gt;=$B$23,$B$22,0))*(1+$B$4)^57))*IF(BG183+IF($B$1+57&lt;=$B183,12*$B$9,-12*MAX(0,$B$8-IF($B$1+57&gt;=$B$23,$B$22,0))*(1+$B$4)^57)&gt;0,1+$B$3,1))</f>
        <v/>
      </c>
      <c r="BI183">
        <f>IF($B$1+58&gt;90,BH183,(BH183+IF($B$1+58&lt;=$B183,12*$B$9,-12*MAX(0,$B$8-IF($B$1+58&gt;=$B$23,$B$22,0))*(1+$B$4)^58))*IF(BH183+IF($B$1+58&lt;=$B183,12*$B$9,-12*MAX(0,$B$8-IF($B$1+58&gt;=$B$23,$B$22,0))*(1+$B$4)^58)&gt;0,1+$B$3,1))</f>
        <v/>
      </c>
      <c r="BJ183">
        <f>IF($B$1+59&gt;90,BI183,(BI183+IF($B$1+59&lt;=$B183,12*$B$9,-12*MAX(0,$B$8-IF($B$1+59&gt;=$B$23,$B$22,0))*(1+$B$4)^59))*IF(BI183+IF($B$1+59&lt;=$B183,12*$B$9,-12*MAX(0,$B$8-IF($B$1+59&gt;=$B$23,$B$22,0))*(1+$B$4)^59)&gt;0,1+$B$3,1))</f>
        <v/>
      </c>
      <c r="BK183">
        <f>IF($B$1+60&gt;90,BJ183,(BJ183+IF($B$1+60&lt;=$B183,12*$B$9,-12*MAX(0,$B$8-IF($B$1+60&gt;=$B$23,$B$22,0))*(1+$B$4)^60))*IF(BJ183+IF($B$1+60&lt;=$B183,12*$B$9,-12*MAX(0,$B$8-IF($B$1+60&gt;=$B$23,$B$22,0))*(1+$B$4)^60)&gt;0,1+$B$3,1))</f>
        <v/>
      </c>
      <c r="BL183">
        <f>IF($B$1+61&gt;90,BK183,(BK183+IF($B$1+61&lt;=$B183,12*$B$9,-12*MAX(0,$B$8-IF($B$1+61&gt;=$B$23,$B$22,0))*(1+$B$4)^61))*IF(BK183+IF($B$1+61&lt;=$B183,12*$B$9,-12*MAX(0,$B$8-IF($B$1+61&gt;=$B$23,$B$22,0))*(1+$B$4)^61)&gt;0,1+$B$3,1))</f>
        <v/>
      </c>
      <c r="BM183">
        <f>IF($B$1+62&gt;90,BL183,(BL183+IF($B$1+62&lt;=$B183,12*$B$9,-12*MAX(0,$B$8-IF($B$1+62&gt;=$B$23,$B$22,0))*(1+$B$4)^62))*IF(BL183+IF($B$1+62&lt;=$B183,12*$B$9,-12*MAX(0,$B$8-IF($B$1+62&gt;=$B$23,$B$22,0))*(1+$B$4)^62)&gt;0,1+$B$3,1))</f>
        <v/>
      </c>
      <c r="BN183">
        <f>IF($B$1+63&gt;90,BM183,(BM183+IF($B$1+63&lt;=$B183,12*$B$9,-12*MAX(0,$B$8-IF($B$1+63&gt;=$B$23,$B$22,0))*(1+$B$4)^63))*IF(BM183+IF($B$1+63&lt;=$B183,12*$B$9,-12*MAX(0,$B$8-IF($B$1+63&gt;=$B$23,$B$22,0))*(1+$B$4)^63)&gt;0,1+$B$3,1))</f>
        <v/>
      </c>
      <c r="BO183">
        <f>IF($B$1+64&gt;90,BN183,(BN183+IF($B$1+64&lt;=$B183,12*$B$9,-12*MAX(0,$B$8-IF($B$1+64&gt;=$B$23,$B$22,0))*(1+$B$4)^64))*IF(BN183+IF($B$1+64&lt;=$B183,12*$B$9,-12*MAX(0,$B$8-IF($B$1+64&gt;=$B$23,$B$22,0))*(1+$B$4)^64)&gt;0,1+$B$3,1))</f>
        <v/>
      </c>
      <c r="BP183">
        <f>IF($B$1+65&gt;90,BO183,(BO183+IF($B$1+65&lt;=$B183,12*$B$9,-12*MAX(0,$B$8-IF($B$1+65&gt;=$B$23,$B$22,0))*(1+$B$4)^65))*IF(BO183+IF($B$1+65&lt;=$B183,12*$B$9,-12*MAX(0,$B$8-IF($B$1+65&gt;=$B$23,$B$22,0))*(1+$B$4)^65)&gt;0,1+$B$3,1))</f>
        <v/>
      </c>
      <c r="BQ183">
        <f>IF($B$1+66&gt;90,BP183,(BP183+IF($B$1+66&lt;=$B183,12*$B$9,-12*MAX(0,$B$8-IF($B$1+66&gt;=$B$23,$B$22,0))*(1+$B$4)^66))*IF(BP183+IF($B$1+66&lt;=$B183,12*$B$9,-12*MAX(0,$B$8-IF($B$1+66&gt;=$B$23,$B$22,0))*(1+$B$4)^66)&gt;0,1+$B$3,1))</f>
        <v/>
      </c>
      <c r="BR183">
        <f>IF($B$1+67&gt;90,BQ183,(BQ183+IF($B$1+67&lt;=$B183,12*$B$9,-12*MAX(0,$B$8-IF($B$1+67&gt;=$B$23,$B$22,0))*(1+$B$4)^67))*IF(BQ183+IF($B$1+67&lt;=$B183,12*$B$9,-12*MAX(0,$B$8-IF($B$1+67&gt;=$B$23,$B$22,0))*(1+$B$4)^67)&gt;0,1+$B$3,1))</f>
        <v/>
      </c>
      <c r="BS183">
        <f>IF($B$1+68&gt;90,BR183,(BR183+IF($B$1+68&lt;=$B183,12*$B$9,-12*MAX(0,$B$8-IF($B$1+68&gt;=$B$23,$B$22,0))*(1+$B$4)^68))*IF(BR183+IF($B$1+68&lt;=$B183,12*$B$9,-12*MAX(0,$B$8-IF($B$1+68&gt;=$B$23,$B$22,0))*(1+$B$4)^68)&gt;0,1+$B$3,1))</f>
        <v/>
      </c>
      <c r="BT183">
        <f>IF($B$1+69&gt;90,BS183,(BS183+IF($B$1+69&lt;=$B183,12*$B$9,-12*MAX(0,$B$8-IF($B$1+69&gt;=$B$23,$B$22,0))*(1+$B$4)^69))*IF(BS183+IF($B$1+69&lt;=$B183,12*$B$9,-12*MAX(0,$B$8-IF($B$1+69&gt;=$B$23,$B$22,0))*(1+$B$4)^69)&gt;0,1+$B$3,1))</f>
        <v/>
      </c>
      <c r="BU183">
        <f>IF($B$1+70&gt;90,BT183,(BT183+IF($B$1+70&lt;=$B183,12*$B$9,-12*MAX(0,$B$8-IF($B$1+70&gt;=$B$23,$B$22,0))*(1+$B$4)^70))*IF(BT183+IF($B$1+70&lt;=$B183,12*$B$9,-12*MAX(0,$B$8-IF($B$1+70&gt;=$B$23,$B$22,0))*(1+$B$4)^70)&gt;0,1+$B$3,1))</f>
        <v/>
      </c>
      <c r="BV183">
        <f>BU183</f>
        <v/>
      </c>
      <c r="BW183">
        <f>IF(AND($B183&lt;=70,BV183&gt;0),$B183,999)</f>
        <v/>
      </c>
      <c r="CH183">
        <f>IF(ISTEXT('월 가계부'!A183),SUBSTITUTE(SUBSTITUTE(SUBSTITUTE(SUBSTITUTE(SUBSTITUTE(SUBSTITUTE(SUBSTITUTE(SUBSTITUTE(SUBSTITUTE(TRIM('월 가계부'!A183),"년","-"),"월","-"),"일",""),".","-"),"/","-")," ","-"),"--","-"),"--","-"),"--","-")&amp;"-","")</f>
        <v/>
      </c>
      <c r="CI183">
        <f>IFERROR(IF('월 가계부'!A183="","",IF(ISNUMBER('월 가계부'!A183),IF(AND('월 가계부'!A183&gt;=19000101,'월 가계부'!A183&lt;=21001231),IF(AND(MOD(INT('월 가계부'!A183/100),100)&gt;=1,MOD(INT('월 가계부'!A183/100),100)&lt;=12,MOD(INT('월 가계부'!A183),100)&gt;=1,MOD(INT('월 가계부'!A183),100)&lt;=31),IF(MONTH(DATE(INT('월 가계부'!A183/10000),MOD(INT('월 가계부'!A183/100),100),MOD(INT('월 가계부'!A183),100)))=MOD(INT('월 가계부'!A183/100),100),DATE(INT('월 가계부'!A183/10000),MOD(INT('월 가계부'!A183/100),100),MOD(INT('월 가계부'!A183),100)),""),""),IF(AND('월 가계부'!A183&gt;=36526,'월 가계부'!A183&lt;73051),INT('월 가계부'!A183),"")),IF(OR(CM183="",CN183="",CO183=""),"",IF(AND(CM183&gt;=2000,CM183&lt;=2099,CN183&gt;=1,CN183&lt;=12,CO183&gt;=1,CO183&lt;=31),IF(MONTH(DATE(CM183,CN183,CO183))=CN183,DATE(CM183,CN183,CO183),""),"")))),"")</f>
        <v/>
      </c>
      <c r="CJ183">
        <f>IFERROR(IF('월 가계부'!C183="","",IF(ISNUMBER('월 가계부'!C183),'월 가계부'!C183,VALUE(SUBSTITUTE(SUBSTITUTE(SUBSTITUTE(SUBSTITUTE(TRIM('월 가계부'!C183),",",""),"원","")," ",""),"−","-")))),"")</f>
        <v/>
      </c>
      <c r="CK183">
        <f>IF(ISNUMBER(CI183),IF(CI183&lt;$B$13,CI183,""),"")</f>
        <v/>
      </c>
      <c r="CM183">
        <f>IF(CH183="","",IFERROR(IF(IF(AND(LEN(CH183)=9,ISERROR(FIND("-",LEFT(CH183,8))),ISNUMBER(-LEFT(CH183,8))),VALUE(LEFT(CH183,4)),VALUE(LEFT(CH183,FIND("-",CH183)-1)))&lt;100,IF(AND(LEN(CH183)=9,ISERROR(FIND("-",LEFT(CH183,8))),ISNUMBER(-LEFT(CH183,8))),VALUE(LEFT(CH183,4)),VALUE(LEFT(CH183,FIND("-",CH183)-1)))+2000,IF(AND(LEN(CH183)=9,ISERROR(FIND("-",LEFT(CH183,8))),ISNUMBER(-LEFT(CH183,8))),VALUE(LEFT(CH183,4)),VALUE(LEFT(CH183,FIND("-",CH183)-1)))),""))</f>
        <v/>
      </c>
      <c r="CN183">
        <f>IF(CH183="","",IFERROR(IF(AND(LEN(CH183)=9,ISERROR(FIND("-",LEFT(CH183,8))),ISNUMBER(-LEFT(CH183,8))),VALUE(MID(CH183,5,2)),VALUE(MID(CH183,FIND("-",CH183)+1,FIND("-",CH183,FIND("-",CH183)+1)-FIND("-",CH183)-1))),""))</f>
        <v/>
      </c>
      <c r="CO183">
        <f>IF(CH183="","",IFERROR(IF(AND(LEN(CH183)=9,ISERROR(FIND("-",LEFT(CH183,8))),ISNUMBER(-LEFT(CH183,8))),VALUE(MID(CH183,7,2)),VALUE(MID(CH183,FIND("-",CH183,FIND("-",CH183)+1)+1,FIND("-",CH183,FIND("-",CH183,FIND("-",CH183)+1)+1)-FIND("-",CH183,FIND("-",CH183)+1)-1))),""))</f>
        <v/>
      </c>
    </row>
    <row r="184">
      <c r="A184" t="n">
        <v>32</v>
      </c>
      <c r="B184">
        <f>$B$1+32</f>
        <v/>
      </c>
      <c r="C184">
        <f>$B$2</f>
        <v/>
      </c>
      <c r="D184">
        <f>IF($B$1+1&gt;90,C184,(C184+IF($B$1+1&lt;=$B184,12*$B$9,-12*MAX(0,$B$8-IF($B$1+1&gt;=$B$23,$B$22,0))*(1+$B$4)^1))*IF(C184+IF($B$1+1&lt;=$B184,12*$B$9,-12*MAX(0,$B$8-IF($B$1+1&gt;=$B$23,$B$22,0))*(1+$B$4)^1)&gt;0,1+$B$3,1))</f>
        <v/>
      </c>
      <c r="E184">
        <f>IF($B$1+2&gt;90,D184,(D184+IF($B$1+2&lt;=$B184,12*$B$9,-12*MAX(0,$B$8-IF($B$1+2&gt;=$B$23,$B$22,0))*(1+$B$4)^2))*IF(D184+IF($B$1+2&lt;=$B184,12*$B$9,-12*MAX(0,$B$8-IF($B$1+2&gt;=$B$23,$B$22,0))*(1+$B$4)^2)&gt;0,1+$B$3,1))</f>
        <v/>
      </c>
      <c r="F184">
        <f>IF($B$1+3&gt;90,E184,(E184+IF($B$1+3&lt;=$B184,12*$B$9,-12*MAX(0,$B$8-IF($B$1+3&gt;=$B$23,$B$22,0))*(1+$B$4)^3))*IF(E184+IF($B$1+3&lt;=$B184,12*$B$9,-12*MAX(0,$B$8-IF($B$1+3&gt;=$B$23,$B$22,0))*(1+$B$4)^3)&gt;0,1+$B$3,1))</f>
        <v/>
      </c>
      <c r="G184">
        <f>IF($B$1+4&gt;90,F184,(F184+IF($B$1+4&lt;=$B184,12*$B$9,-12*MAX(0,$B$8-IF($B$1+4&gt;=$B$23,$B$22,0))*(1+$B$4)^4))*IF(F184+IF($B$1+4&lt;=$B184,12*$B$9,-12*MAX(0,$B$8-IF($B$1+4&gt;=$B$23,$B$22,0))*(1+$B$4)^4)&gt;0,1+$B$3,1))</f>
        <v/>
      </c>
      <c r="H184">
        <f>IF($B$1+5&gt;90,G184,(G184+IF($B$1+5&lt;=$B184,12*$B$9,-12*MAX(0,$B$8-IF($B$1+5&gt;=$B$23,$B$22,0))*(1+$B$4)^5))*IF(G184+IF($B$1+5&lt;=$B184,12*$B$9,-12*MAX(0,$B$8-IF($B$1+5&gt;=$B$23,$B$22,0))*(1+$B$4)^5)&gt;0,1+$B$3,1))</f>
        <v/>
      </c>
      <c r="I184">
        <f>IF($B$1+6&gt;90,H184,(H184+IF($B$1+6&lt;=$B184,12*$B$9,-12*MAX(0,$B$8-IF($B$1+6&gt;=$B$23,$B$22,0))*(1+$B$4)^6))*IF(H184+IF($B$1+6&lt;=$B184,12*$B$9,-12*MAX(0,$B$8-IF($B$1+6&gt;=$B$23,$B$22,0))*(1+$B$4)^6)&gt;0,1+$B$3,1))</f>
        <v/>
      </c>
      <c r="J184">
        <f>IF($B$1+7&gt;90,I184,(I184+IF($B$1+7&lt;=$B184,12*$B$9,-12*MAX(0,$B$8-IF($B$1+7&gt;=$B$23,$B$22,0))*(1+$B$4)^7))*IF(I184+IF($B$1+7&lt;=$B184,12*$B$9,-12*MAX(0,$B$8-IF($B$1+7&gt;=$B$23,$B$22,0))*(1+$B$4)^7)&gt;0,1+$B$3,1))</f>
        <v/>
      </c>
      <c r="K184">
        <f>IF($B$1+8&gt;90,J184,(J184+IF($B$1+8&lt;=$B184,12*$B$9,-12*MAX(0,$B$8-IF($B$1+8&gt;=$B$23,$B$22,0))*(1+$B$4)^8))*IF(J184+IF($B$1+8&lt;=$B184,12*$B$9,-12*MAX(0,$B$8-IF($B$1+8&gt;=$B$23,$B$22,0))*(1+$B$4)^8)&gt;0,1+$B$3,1))</f>
        <v/>
      </c>
      <c r="L184">
        <f>IF($B$1+9&gt;90,K184,(K184+IF($B$1+9&lt;=$B184,12*$B$9,-12*MAX(0,$B$8-IF($B$1+9&gt;=$B$23,$B$22,0))*(1+$B$4)^9))*IF(K184+IF($B$1+9&lt;=$B184,12*$B$9,-12*MAX(0,$B$8-IF($B$1+9&gt;=$B$23,$B$22,0))*(1+$B$4)^9)&gt;0,1+$B$3,1))</f>
        <v/>
      </c>
      <c r="M184">
        <f>IF($B$1+10&gt;90,L184,(L184+IF($B$1+10&lt;=$B184,12*$B$9,-12*MAX(0,$B$8-IF($B$1+10&gt;=$B$23,$B$22,0))*(1+$B$4)^10))*IF(L184+IF($B$1+10&lt;=$B184,12*$B$9,-12*MAX(0,$B$8-IF($B$1+10&gt;=$B$23,$B$22,0))*(1+$B$4)^10)&gt;0,1+$B$3,1))</f>
        <v/>
      </c>
      <c r="N184">
        <f>IF($B$1+11&gt;90,M184,(M184+IF($B$1+11&lt;=$B184,12*$B$9,-12*MAX(0,$B$8-IF($B$1+11&gt;=$B$23,$B$22,0))*(1+$B$4)^11))*IF(M184+IF($B$1+11&lt;=$B184,12*$B$9,-12*MAX(0,$B$8-IF($B$1+11&gt;=$B$23,$B$22,0))*(1+$B$4)^11)&gt;0,1+$B$3,1))</f>
        <v/>
      </c>
      <c r="O184">
        <f>IF($B$1+12&gt;90,N184,(N184+IF($B$1+12&lt;=$B184,12*$B$9,-12*MAX(0,$B$8-IF($B$1+12&gt;=$B$23,$B$22,0))*(1+$B$4)^12))*IF(N184+IF($B$1+12&lt;=$B184,12*$B$9,-12*MAX(0,$B$8-IF($B$1+12&gt;=$B$23,$B$22,0))*(1+$B$4)^12)&gt;0,1+$B$3,1))</f>
        <v/>
      </c>
      <c r="P184">
        <f>IF($B$1+13&gt;90,O184,(O184+IF($B$1+13&lt;=$B184,12*$B$9,-12*MAX(0,$B$8-IF($B$1+13&gt;=$B$23,$B$22,0))*(1+$B$4)^13))*IF(O184+IF($B$1+13&lt;=$B184,12*$B$9,-12*MAX(0,$B$8-IF($B$1+13&gt;=$B$23,$B$22,0))*(1+$B$4)^13)&gt;0,1+$B$3,1))</f>
        <v/>
      </c>
      <c r="Q184">
        <f>IF($B$1+14&gt;90,P184,(P184+IF($B$1+14&lt;=$B184,12*$B$9,-12*MAX(0,$B$8-IF($B$1+14&gt;=$B$23,$B$22,0))*(1+$B$4)^14))*IF(P184+IF($B$1+14&lt;=$B184,12*$B$9,-12*MAX(0,$B$8-IF($B$1+14&gt;=$B$23,$B$22,0))*(1+$B$4)^14)&gt;0,1+$B$3,1))</f>
        <v/>
      </c>
      <c r="R184">
        <f>IF($B$1+15&gt;90,Q184,(Q184+IF($B$1+15&lt;=$B184,12*$B$9,-12*MAX(0,$B$8-IF($B$1+15&gt;=$B$23,$B$22,0))*(1+$B$4)^15))*IF(Q184+IF($B$1+15&lt;=$B184,12*$B$9,-12*MAX(0,$B$8-IF($B$1+15&gt;=$B$23,$B$22,0))*(1+$B$4)^15)&gt;0,1+$B$3,1))</f>
        <v/>
      </c>
      <c r="S184">
        <f>IF($B$1+16&gt;90,R184,(R184+IF($B$1+16&lt;=$B184,12*$B$9,-12*MAX(0,$B$8-IF($B$1+16&gt;=$B$23,$B$22,0))*(1+$B$4)^16))*IF(R184+IF($B$1+16&lt;=$B184,12*$B$9,-12*MAX(0,$B$8-IF($B$1+16&gt;=$B$23,$B$22,0))*(1+$B$4)^16)&gt;0,1+$B$3,1))</f>
        <v/>
      </c>
      <c r="T184">
        <f>IF($B$1+17&gt;90,S184,(S184+IF($B$1+17&lt;=$B184,12*$B$9,-12*MAX(0,$B$8-IF($B$1+17&gt;=$B$23,$B$22,0))*(1+$B$4)^17))*IF(S184+IF($B$1+17&lt;=$B184,12*$B$9,-12*MAX(0,$B$8-IF($B$1+17&gt;=$B$23,$B$22,0))*(1+$B$4)^17)&gt;0,1+$B$3,1))</f>
        <v/>
      </c>
      <c r="U184">
        <f>IF($B$1+18&gt;90,T184,(T184+IF($B$1+18&lt;=$B184,12*$B$9,-12*MAX(0,$B$8-IF($B$1+18&gt;=$B$23,$B$22,0))*(1+$B$4)^18))*IF(T184+IF($B$1+18&lt;=$B184,12*$B$9,-12*MAX(0,$B$8-IF($B$1+18&gt;=$B$23,$B$22,0))*(1+$B$4)^18)&gt;0,1+$B$3,1))</f>
        <v/>
      </c>
      <c r="V184">
        <f>IF($B$1+19&gt;90,U184,(U184+IF($B$1+19&lt;=$B184,12*$B$9,-12*MAX(0,$B$8-IF($B$1+19&gt;=$B$23,$B$22,0))*(1+$B$4)^19))*IF(U184+IF($B$1+19&lt;=$B184,12*$B$9,-12*MAX(0,$B$8-IF($B$1+19&gt;=$B$23,$B$22,0))*(1+$B$4)^19)&gt;0,1+$B$3,1))</f>
        <v/>
      </c>
      <c r="W184">
        <f>IF($B$1+20&gt;90,V184,(V184+IF($B$1+20&lt;=$B184,12*$B$9,-12*MAX(0,$B$8-IF($B$1+20&gt;=$B$23,$B$22,0))*(1+$B$4)^20))*IF(V184+IF($B$1+20&lt;=$B184,12*$B$9,-12*MAX(0,$B$8-IF($B$1+20&gt;=$B$23,$B$22,0))*(1+$B$4)^20)&gt;0,1+$B$3,1))</f>
        <v/>
      </c>
      <c r="X184">
        <f>IF($B$1+21&gt;90,W184,(W184+IF($B$1+21&lt;=$B184,12*$B$9,-12*MAX(0,$B$8-IF($B$1+21&gt;=$B$23,$B$22,0))*(1+$B$4)^21))*IF(W184+IF($B$1+21&lt;=$B184,12*$B$9,-12*MAX(0,$B$8-IF($B$1+21&gt;=$B$23,$B$22,0))*(1+$B$4)^21)&gt;0,1+$B$3,1))</f>
        <v/>
      </c>
      <c r="Y184">
        <f>IF($B$1+22&gt;90,X184,(X184+IF($B$1+22&lt;=$B184,12*$B$9,-12*MAX(0,$B$8-IF($B$1+22&gt;=$B$23,$B$22,0))*(1+$B$4)^22))*IF(X184+IF($B$1+22&lt;=$B184,12*$B$9,-12*MAX(0,$B$8-IF($B$1+22&gt;=$B$23,$B$22,0))*(1+$B$4)^22)&gt;0,1+$B$3,1))</f>
        <v/>
      </c>
      <c r="Z184">
        <f>IF($B$1+23&gt;90,Y184,(Y184+IF($B$1+23&lt;=$B184,12*$B$9,-12*MAX(0,$B$8-IF($B$1+23&gt;=$B$23,$B$22,0))*(1+$B$4)^23))*IF(Y184+IF($B$1+23&lt;=$B184,12*$B$9,-12*MAX(0,$B$8-IF($B$1+23&gt;=$B$23,$B$22,0))*(1+$B$4)^23)&gt;0,1+$B$3,1))</f>
        <v/>
      </c>
      <c r="AA184">
        <f>IF($B$1+24&gt;90,Z184,(Z184+IF($B$1+24&lt;=$B184,12*$B$9,-12*MAX(0,$B$8-IF($B$1+24&gt;=$B$23,$B$22,0))*(1+$B$4)^24))*IF(Z184+IF($B$1+24&lt;=$B184,12*$B$9,-12*MAX(0,$B$8-IF($B$1+24&gt;=$B$23,$B$22,0))*(1+$B$4)^24)&gt;0,1+$B$3,1))</f>
        <v/>
      </c>
      <c r="AB184">
        <f>IF($B$1+25&gt;90,AA184,(AA184+IF($B$1+25&lt;=$B184,12*$B$9,-12*MAX(0,$B$8-IF($B$1+25&gt;=$B$23,$B$22,0))*(1+$B$4)^25))*IF(AA184+IF($B$1+25&lt;=$B184,12*$B$9,-12*MAX(0,$B$8-IF($B$1+25&gt;=$B$23,$B$22,0))*(1+$B$4)^25)&gt;0,1+$B$3,1))</f>
        <v/>
      </c>
      <c r="AC184">
        <f>IF($B$1+26&gt;90,AB184,(AB184+IF($B$1+26&lt;=$B184,12*$B$9,-12*MAX(0,$B$8-IF($B$1+26&gt;=$B$23,$B$22,0))*(1+$B$4)^26))*IF(AB184+IF($B$1+26&lt;=$B184,12*$B$9,-12*MAX(0,$B$8-IF($B$1+26&gt;=$B$23,$B$22,0))*(1+$B$4)^26)&gt;0,1+$B$3,1))</f>
        <v/>
      </c>
      <c r="AD184">
        <f>IF($B$1+27&gt;90,AC184,(AC184+IF($B$1+27&lt;=$B184,12*$B$9,-12*MAX(0,$B$8-IF($B$1+27&gt;=$B$23,$B$22,0))*(1+$B$4)^27))*IF(AC184+IF($B$1+27&lt;=$B184,12*$B$9,-12*MAX(0,$B$8-IF($B$1+27&gt;=$B$23,$B$22,0))*(1+$B$4)^27)&gt;0,1+$B$3,1))</f>
        <v/>
      </c>
      <c r="AE184">
        <f>IF($B$1+28&gt;90,AD184,(AD184+IF($B$1+28&lt;=$B184,12*$B$9,-12*MAX(0,$B$8-IF($B$1+28&gt;=$B$23,$B$22,0))*(1+$B$4)^28))*IF(AD184+IF($B$1+28&lt;=$B184,12*$B$9,-12*MAX(0,$B$8-IF($B$1+28&gt;=$B$23,$B$22,0))*(1+$B$4)^28)&gt;0,1+$B$3,1))</f>
        <v/>
      </c>
      <c r="AF184">
        <f>IF($B$1+29&gt;90,AE184,(AE184+IF($B$1+29&lt;=$B184,12*$B$9,-12*MAX(0,$B$8-IF($B$1+29&gt;=$B$23,$B$22,0))*(1+$B$4)^29))*IF(AE184+IF($B$1+29&lt;=$B184,12*$B$9,-12*MAX(0,$B$8-IF($B$1+29&gt;=$B$23,$B$22,0))*(1+$B$4)^29)&gt;0,1+$B$3,1))</f>
        <v/>
      </c>
      <c r="AG184">
        <f>IF($B$1+30&gt;90,AF184,(AF184+IF($B$1+30&lt;=$B184,12*$B$9,-12*MAX(0,$B$8-IF($B$1+30&gt;=$B$23,$B$22,0))*(1+$B$4)^30))*IF(AF184+IF($B$1+30&lt;=$B184,12*$B$9,-12*MAX(0,$B$8-IF($B$1+30&gt;=$B$23,$B$22,0))*(1+$B$4)^30)&gt;0,1+$B$3,1))</f>
        <v/>
      </c>
      <c r="AH184">
        <f>IF($B$1+31&gt;90,AG184,(AG184+IF($B$1+31&lt;=$B184,12*$B$9,-12*MAX(0,$B$8-IF($B$1+31&gt;=$B$23,$B$22,0))*(1+$B$4)^31))*IF(AG184+IF($B$1+31&lt;=$B184,12*$B$9,-12*MAX(0,$B$8-IF($B$1+31&gt;=$B$23,$B$22,0))*(1+$B$4)^31)&gt;0,1+$B$3,1))</f>
        <v/>
      </c>
      <c r="AI184">
        <f>IF($B$1+32&gt;90,AH184,(AH184+IF($B$1+32&lt;=$B184,12*$B$9,-12*MAX(0,$B$8-IF($B$1+32&gt;=$B$23,$B$22,0))*(1+$B$4)^32))*IF(AH184+IF($B$1+32&lt;=$B184,12*$B$9,-12*MAX(0,$B$8-IF($B$1+32&gt;=$B$23,$B$22,0))*(1+$B$4)^32)&gt;0,1+$B$3,1))</f>
        <v/>
      </c>
      <c r="AJ184">
        <f>IF($B$1+33&gt;90,AI184,(AI184+IF($B$1+33&lt;=$B184,12*$B$9,-12*MAX(0,$B$8-IF($B$1+33&gt;=$B$23,$B$22,0))*(1+$B$4)^33))*IF(AI184+IF($B$1+33&lt;=$B184,12*$B$9,-12*MAX(0,$B$8-IF($B$1+33&gt;=$B$23,$B$22,0))*(1+$B$4)^33)&gt;0,1+$B$3,1))</f>
        <v/>
      </c>
      <c r="AK184">
        <f>IF($B$1+34&gt;90,AJ184,(AJ184+IF($B$1+34&lt;=$B184,12*$B$9,-12*MAX(0,$B$8-IF($B$1+34&gt;=$B$23,$B$22,0))*(1+$B$4)^34))*IF(AJ184+IF($B$1+34&lt;=$B184,12*$B$9,-12*MAX(0,$B$8-IF($B$1+34&gt;=$B$23,$B$22,0))*(1+$B$4)^34)&gt;0,1+$B$3,1))</f>
        <v/>
      </c>
      <c r="AL184">
        <f>IF($B$1+35&gt;90,AK184,(AK184+IF($B$1+35&lt;=$B184,12*$B$9,-12*MAX(0,$B$8-IF($B$1+35&gt;=$B$23,$B$22,0))*(1+$B$4)^35))*IF(AK184+IF($B$1+35&lt;=$B184,12*$B$9,-12*MAX(0,$B$8-IF($B$1+35&gt;=$B$23,$B$22,0))*(1+$B$4)^35)&gt;0,1+$B$3,1))</f>
        <v/>
      </c>
      <c r="AM184">
        <f>IF($B$1+36&gt;90,AL184,(AL184+IF($B$1+36&lt;=$B184,12*$B$9,-12*MAX(0,$B$8-IF($B$1+36&gt;=$B$23,$B$22,0))*(1+$B$4)^36))*IF(AL184+IF($B$1+36&lt;=$B184,12*$B$9,-12*MAX(0,$B$8-IF($B$1+36&gt;=$B$23,$B$22,0))*(1+$B$4)^36)&gt;0,1+$B$3,1))</f>
        <v/>
      </c>
      <c r="AN184">
        <f>IF($B$1+37&gt;90,AM184,(AM184+IF($B$1+37&lt;=$B184,12*$B$9,-12*MAX(0,$B$8-IF($B$1+37&gt;=$B$23,$B$22,0))*(1+$B$4)^37))*IF(AM184+IF($B$1+37&lt;=$B184,12*$B$9,-12*MAX(0,$B$8-IF($B$1+37&gt;=$B$23,$B$22,0))*(1+$B$4)^37)&gt;0,1+$B$3,1))</f>
        <v/>
      </c>
      <c r="AO184">
        <f>IF($B$1+38&gt;90,AN184,(AN184+IF($B$1+38&lt;=$B184,12*$B$9,-12*MAX(0,$B$8-IF($B$1+38&gt;=$B$23,$B$22,0))*(1+$B$4)^38))*IF(AN184+IF($B$1+38&lt;=$B184,12*$B$9,-12*MAX(0,$B$8-IF($B$1+38&gt;=$B$23,$B$22,0))*(1+$B$4)^38)&gt;0,1+$B$3,1))</f>
        <v/>
      </c>
      <c r="AP184">
        <f>IF($B$1+39&gt;90,AO184,(AO184+IF($B$1+39&lt;=$B184,12*$B$9,-12*MAX(0,$B$8-IF($B$1+39&gt;=$B$23,$B$22,0))*(1+$B$4)^39))*IF(AO184+IF($B$1+39&lt;=$B184,12*$B$9,-12*MAX(0,$B$8-IF($B$1+39&gt;=$B$23,$B$22,0))*(1+$B$4)^39)&gt;0,1+$B$3,1))</f>
        <v/>
      </c>
      <c r="AQ184">
        <f>IF($B$1+40&gt;90,AP184,(AP184+IF($B$1+40&lt;=$B184,12*$B$9,-12*MAX(0,$B$8-IF($B$1+40&gt;=$B$23,$B$22,0))*(1+$B$4)^40))*IF(AP184+IF($B$1+40&lt;=$B184,12*$B$9,-12*MAX(0,$B$8-IF($B$1+40&gt;=$B$23,$B$22,0))*(1+$B$4)^40)&gt;0,1+$B$3,1))</f>
        <v/>
      </c>
      <c r="AR184">
        <f>IF($B$1+41&gt;90,AQ184,(AQ184+IF($B$1+41&lt;=$B184,12*$B$9,-12*MAX(0,$B$8-IF($B$1+41&gt;=$B$23,$B$22,0))*(1+$B$4)^41))*IF(AQ184+IF($B$1+41&lt;=$B184,12*$B$9,-12*MAX(0,$B$8-IF($B$1+41&gt;=$B$23,$B$22,0))*(1+$B$4)^41)&gt;0,1+$B$3,1))</f>
        <v/>
      </c>
      <c r="AS184">
        <f>IF($B$1+42&gt;90,AR184,(AR184+IF($B$1+42&lt;=$B184,12*$B$9,-12*MAX(0,$B$8-IF($B$1+42&gt;=$B$23,$B$22,0))*(1+$B$4)^42))*IF(AR184+IF($B$1+42&lt;=$B184,12*$B$9,-12*MAX(0,$B$8-IF($B$1+42&gt;=$B$23,$B$22,0))*(1+$B$4)^42)&gt;0,1+$B$3,1))</f>
        <v/>
      </c>
      <c r="AT184">
        <f>IF($B$1+43&gt;90,AS184,(AS184+IF($B$1+43&lt;=$B184,12*$B$9,-12*MAX(0,$B$8-IF($B$1+43&gt;=$B$23,$B$22,0))*(1+$B$4)^43))*IF(AS184+IF($B$1+43&lt;=$B184,12*$B$9,-12*MAX(0,$B$8-IF($B$1+43&gt;=$B$23,$B$22,0))*(1+$B$4)^43)&gt;0,1+$B$3,1))</f>
        <v/>
      </c>
      <c r="AU184">
        <f>IF($B$1+44&gt;90,AT184,(AT184+IF($B$1+44&lt;=$B184,12*$B$9,-12*MAX(0,$B$8-IF($B$1+44&gt;=$B$23,$B$22,0))*(1+$B$4)^44))*IF(AT184+IF($B$1+44&lt;=$B184,12*$B$9,-12*MAX(0,$B$8-IF($B$1+44&gt;=$B$23,$B$22,0))*(1+$B$4)^44)&gt;0,1+$B$3,1))</f>
        <v/>
      </c>
      <c r="AV184">
        <f>IF($B$1+45&gt;90,AU184,(AU184+IF($B$1+45&lt;=$B184,12*$B$9,-12*MAX(0,$B$8-IF($B$1+45&gt;=$B$23,$B$22,0))*(1+$B$4)^45))*IF(AU184+IF($B$1+45&lt;=$B184,12*$B$9,-12*MAX(0,$B$8-IF($B$1+45&gt;=$B$23,$B$22,0))*(1+$B$4)^45)&gt;0,1+$B$3,1))</f>
        <v/>
      </c>
      <c r="AW184">
        <f>IF($B$1+46&gt;90,AV184,(AV184+IF($B$1+46&lt;=$B184,12*$B$9,-12*MAX(0,$B$8-IF($B$1+46&gt;=$B$23,$B$22,0))*(1+$B$4)^46))*IF(AV184+IF($B$1+46&lt;=$B184,12*$B$9,-12*MAX(0,$B$8-IF($B$1+46&gt;=$B$23,$B$22,0))*(1+$B$4)^46)&gt;0,1+$B$3,1))</f>
        <v/>
      </c>
      <c r="AX184">
        <f>IF($B$1+47&gt;90,AW184,(AW184+IF($B$1+47&lt;=$B184,12*$B$9,-12*MAX(0,$B$8-IF($B$1+47&gt;=$B$23,$B$22,0))*(1+$B$4)^47))*IF(AW184+IF($B$1+47&lt;=$B184,12*$B$9,-12*MAX(0,$B$8-IF($B$1+47&gt;=$B$23,$B$22,0))*(1+$B$4)^47)&gt;0,1+$B$3,1))</f>
        <v/>
      </c>
      <c r="AY184">
        <f>IF($B$1+48&gt;90,AX184,(AX184+IF($B$1+48&lt;=$B184,12*$B$9,-12*MAX(0,$B$8-IF($B$1+48&gt;=$B$23,$B$22,0))*(1+$B$4)^48))*IF(AX184+IF($B$1+48&lt;=$B184,12*$B$9,-12*MAX(0,$B$8-IF($B$1+48&gt;=$B$23,$B$22,0))*(1+$B$4)^48)&gt;0,1+$B$3,1))</f>
        <v/>
      </c>
      <c r="AZ184">
        <f>IF($B$1+49&gt;90,AY184,(AY184+IF($B$1+49&lt;=$B184,12*$B$9,-12*MAX(0,$B$8-IF($B$1+49&gt;=$B$23,$B$22,0))*(1+$B$4)^49))*IF(AY184+IF($B$1+49&lt;=$B184,12*$B$9,-12*MAX(0,$B$8-IF($B$1+49&gt;=$B$23,$B$22,0))*(1+$B$4)^49)&gt;0,1+$B$3,1))</f>
        <v/>
      </c>
      <c r="BA184">
        <f>IF($B$1+50&gt;90,AZ184,(AZ184+IF($B$1+50&lt;=$B184,12*$B$9,-12*MAX(0,$B$8-IF($B$1+50&gt;=$B$23,$B$22,0))*(1+$B$4)^50))*IF(AZ184+IF($B$1+50&lt;=$B184,12*$B$9,-12*MAX(0,$B$8-IF($B$1+50&gt;=$B$23,$B$22,0))*(1+$B$4)^50)&gt;0,1+$B$3,1))</f>
        <v/>
      </c>
      <c r="BB184">
        <f>IF($B$1+51&gt;90,BA184,(BA184+IF($B$1+51&lt;=$B184,12*$B$9,-12*MAX(0,$B$8-IF($B$1+51&gt;=$B$23,$B$22,0))*(1+$B$4)^51))*IF(BA184+IF($B$1+51&lt;=$B184,12*$B$9,-12*MAX(0,$B$8-IF($B$1+51&gt;=$B$23,$B$22,0))*(1+$B$4)^51)&gt;0,1+$B$3,1))</f>
        <v/>
      </c>
      <c r="BC184">
        <f>IF($B$1+52&gt;90,BB184,(BB184+IF($B$1+52&lt;=$B184,12*$B$9,-12*MAX(0,$B$8-IF($B$1+52&gt;=$B$23,$B$22,0))*(1+$B$4)^52))*IF(BB184+IF($B$1+52&lt;=$B184,12*$B$9,-12*MAX(0,$B$8-IF($B$1+52&gt;=$B$23,$B$22,0))*(1+$B$4)^52)&gt;0,1+$B$3,1))</f>
        <v/>
      </c>
      <c r="BD184">
        <f>IF($B$1+53&gt;90,BC184,(BC184+IF($B$1+53&lt;=$B184,12*$B$9,-12*MAX(0,$B$8-IF($B$1+53&gt;=$B$23,$B$22,0))*(1+$B$4)^53))*IF(BC184+IF($B$1+53&lt;=$B184,12*$B$9,-12*MAX(0,$B$8-IF($B$1+53&gt;=$B$23,$B$22,0))*(1+$B$4)^53)&gt;0,1+$B$3,1))</f>
        <v/>
      </c>
      <c r="BE184">
        <f>IF($B$1+54&gt;90,BD184,(BD184+IF($B$1+54&lt;=$B184,12*$B$9,-12*MAX(0,$B$8-IF($B$1+54&gt;=$B$23,$B$22,0))*(1+$B$4)^54))*IF(BD184+IF($B$1+54&lt;=$B184,12*$B$9,-12*MAX(0,$B$8-IF($B$1+54&gt;=$B$23,$B$22,0))*(1+$B$4)^54)&gt;0,1+$B$3,1))</f>
        <v/>
      </c>
      <c r="BF184">
        <f>IF($B$1+55&gt;90,BE184,(BE184+IF($B$1+55&lt;=$B184,12*$B$9,-12*MAX(0,$B$8-IF($B$1+55&gt;=$B$23,$B$22,0))*(1+$B$4)^55))*IF(BE184+IF($B$1+55&lt;=$B184,12*$B$9,-12*MAX(0,$B$8-IF($B$1+55&gt;=$B$23,$B$22,0))*(1+$B$4)^55)&gt;0,1+$B$3,1))</f>
        <v/>
      </c>
      <c r="BG184">
        <f>IF($B$1+56&gt;90,BF184,(BF184+IF($B$1+56&lt;=$B184,12*$B$9,-12*MAX(0,$B$8-IF($B$1+56&gt;=$B$23,$B$22,0))*(1+$B$4)^56))*IF(BF184+IF($B$1+56&lt;=$B184,12*$B$9,-12*MAX(0,$B$8-IF($B$1+56&gt;=$B$23,$B$22,0))*(1+$B$4)^56)&gt;0,1+$B$3,1))</f>
        <v/>
      </c>
      <c r="BH184">
        <f>IF($B$1+57&gt;90,BG184,(BG184+IF($B$1+57&lt;=$B184,12*$B$9,-12*MAX(0,$B$8-IF($B$1+57&gt;=$B$23,$B$22,0))*(1+$B$4)^57))*IF(BG184+IF($B$1+57&lt;=$B184,12*$B$9,-12*MAX(0,$B$8-IF($B$1+57&gt;=$B$23,$B$22,0))*(1+$B$4)^57)&gt;0,1+$B$3,1))</f>
        <v/>
      </c>
      <c r="BI184">
        <f>IF($B$1+58&gt;90,BH184,(BH184+IF($B$1+58&lt;=$B184,12*$B$9,-12*MAX(0,$B$8-IF($B$1+58&gt;=$B$23,$B$22,0))*(1+$B$4)^58))*IF(BH184+IF($B$1+58&lt;=$B184,12*$B$9,-12*MAX(0,$B$8-IF($B$1+58&gt;=$B$23,$B$22,0))*(1+$B$4)^58)&gt;0,1+$B$3,1))</f>
        <v/>
      </c>
      <c r="BJ184">
        <f>IF($B$1+59&gt;90,BI184,(BI184+IF($B$1+59&lt;=$B184,12*$B$9,-12*MAX(0,$B$8-IF($B$1+59&gt;=$B$23,$B$22,0))*(1+$B$4)^59))*IF(BI184+IF($B$1+59&lt;=$B184,12*$B$9,-12*MAX(0,$B$8-IF($B$1+59&gt;=$B$23,$B$22,0))*(1+$B$4)^59)&gt;0,1+$B$3,1))</f>
        <v/>
      </c>
      <c r="BK184">
        <f>IF($B$1+60&gt;90,BJ184,(BJ184+IF($B$1+60&lt;=$B184,12*$B$9,-12*MAX(0,$B$8-IF($B$1+60&gt;=$B$23,$B$22,0))*(1+$B$4)^60))*IF(BJ184+IF($B$1+60&lt;=$B184,12*$B$9,-12*MAX(0,$B$8-IF($B$1+60&gt;=$B$23,$B$22,0))*(1+$B$4)^60)&gt;0,1+$B$3,1))</f>
        <v/>
      </c>
      <c r="BL184">
        <f>IF($B$1+61&gt;90,BK184,(BK184+IF($B$1+61&lt;=$B184,12*$B$9,-12*MAX(0,$B$8-IF($B$1+61&gt;=$B$23,$B$22,0))*(1+$B$4)^61))*IF(BK184+IF($B$1+61&lt;=$B184,12*$B$9,-12*MAX(0,$B$8-IF($B$1+61&gt;=$B$23,$B$22,0))*(1+$B$4)^61)&gt;0,1+$B$3,1))</f>
        <v/>
      </c>
      <c r="BM184">
        <f>IF($B$1+62&gt;90,BL184,(BL184+IF($B$1+62&lt;=$B184,12*$B$9,-12*MAX(0,$B$8-IF($B$1+62&gt;=$B$23,$B$22,0))*(1+$B$4)^62))*IF(BL184+IF($B$1+62&lt;=$B184,12*$B$9,-12*MAX(0,$B$8-IF($B$1+62&gt;=$B$23,$B$22,0))*(1+$B$4)^62)&gt;0,1+$B$3,1))</f>
        <v/>
      </c>
      <c r="BN184">
        <f>IF($B$1+63&gt;90,BM184,(BM184+IF($B$1+63&lt;=$B184,12*$B$9,-12*MAX(0,$B$8-IF($B$1+63&gt;=$B$23,$B$22,0))*(1+$B$4)^63))*IF(BM184+IF($B$1+63&lt;=$B184,12*$B$9,-12*MAX(0,$B$8-IF($B$1+63&gt;=$B$23,$B$22,0))*(1+$B$4)^63)&gt;0,1+$B$3,1))</f>
        <v/>
      </c>
      <c r="BO184">
        <f>IF($B$1+64&gt;90,BN184,(BN184+IF($B$1+64&lt;=$B184,12*$B$9,-12*MAX(0,$B$8-IF($B$1+64&gt;=$B$23,$B$22,0))*(1+$B$4)^64))*IF(BN184+IF($B$1+64&lt;=$B184,12*$B$9,-12*MAX(0,$B$8-IF($B$1+64&gt;=$B$23,$B$22,0))*(1+$B$4)^64)&gt;0,1+$B$3,1))</f>
        <v/>
      </c>
      <c r="BP184">
        <f>IF($B$1+65&gt;90,BO184,(BO184+IF($B$1+65&lt;=$B184,12*$B$9,-12*MAX(0,$B$8-IF($B$1+65&gt;=$B$23,$B$22,0))*(1+$B$4)^65))*IF(BO184+IF($B$1+65&lt;=$B184,12*$B$9,-12*MAX(0,$B$8-IF($B$1+65&gt;=$B$23,$B$22,0))*(1+$B$4)^65)&gt;0,1+$B$3,1))</f>
        <v/>
      </c>
      <c r="BQ184">
        <f>IF($B$1+66&gt;90,BP184,(BP184+IF($B$1+66&lt;=$B184,12*$B$9,-12*MAX(0,$B$8-IF($B$1+66&gt;=$B$23,$B$22,0))*(1+$B$4)^66))*IF(BP184+IF($B$1+66&lt;=$B184,12*$B$9,-12*MAX(0,$B$8-IF($B$1+66&gt;=$B$23,$B$22,0))*(1+$B$4)^66)&gt;0,1+$B$3,1))</f>
        <v/>
      </c>
      <c r="BR184">
        <f>IF($B$1+67&gt;90,BQ184,(BQ184+IF($B$1+67&lt;=$B184,12*$B$9,-12*MAX(0,$B$8-IF($B$1+67&gt;=$B$23,$B$22,0))*(1+$B$4)^67))*IF(BQ184+IF($B$1+67&lt;=$B184,12*$B$9,-12*MAX(0,$B$8-IF($B$1+67&gt;=$B$23,$B$22,0))*(1+$B$4)^67)&gt;0,1+$B$3,1))</f>
        <v/>
      </c>
      <c r="BS184">
        <f>IF($B$1+68&gt;90,BR184,(BR184+IF($B$1+68&lt;=$B184,12*$B$9,-12*MAX(0,$B$8-IF($B$1+68&gt;=$B$23,$B$22,0))*(1+$B$4)^68))*IF(BR184+IF($B$1+68&lt;=$B184,12*$B$9,-12*MAX(0,$B$8-IF($B$1+68&gt;=$B$23,$B$22,0))*(1+$B$4)^68)&gt;0,1+$B$3,1))</f>
        <v/>
      </c>
      <c r="BT184">
        <f>IF($B$1+69&gt;90,BS184,(BS184+IF($B$1+69&lt;=$B184,12*$B$9,-12*MAX(0,$B$8-IF($B$1+69&gt;=$B$23,$B$22,0))*(1+$B$4)^69))*IF(BS184+IF($B$1+69&lt;=$B184,12*$B$9,-12*MAX(0,$B$8-IF($B$1+69&gt;=$B$23,$B$22,0))*(1+$B$4)^69)&gt;0,1+$B$3,1))</f>
        <v/>
      </c>
      <c r="BU184">
        <f>IF($B$1+70&gt;90,BT184,(BT184+IF($B$1+70&lt;=$B184,12*$B$9,-12*MAX(0,$B$8-IF($B$1+70&gt;=$B$23,$B$22,0))*(1+$B$4)^70))*IF(BT184+IF($B$1+70&lt;=$B184,12*$B$9,-12*MAX(0,$B$8-IF($B$1+70&gt;=$B$23,$B$22,0))*(1+$B$4)^70)&gt;0,1+$B$3,1))</f>
        <v/>
      </c>
      <c r="BV184">
        <f>BU184</f>
        <v/>
      </c>
      <c r="BW184">
        <f>IF(AND($B184&lt;=70,BV184&gt;0),$B184,999)</f>
        <v/>
      </c>
      <c r="CH184">
        <f>IF(ISTEXT('월 가계부'!A184),SUBSTITUTE(SUBSTITUTE(SUBSTITUTE(SUBSTITUTE(SUBSTITUTE(SUBSTITUTE(SUBSTITUTE(SUBSTITUTE(SUBSTITUTE(TRIM('월 가계부'!A184),"년","-"),"월","-"),"일",""),".","-"),"/","-")," ","-"),"--","-"),"--","-"),"--","-")&amp;"-","")</f>
        <v/>
      </c>
      <c r="CI184">
        <f>IFERROR(IF('월 가계부'!A184="","",IF(ISNUMBER('월 가계부'!A184),IF(AND('월 가계부'!A184&gt;=19000101,'월 가계부'!A184&lt;=21001231),IF(AND(MOD(INT('월 가계부'!A184/100),100)&gt;=1,MOD(INT('월 가계부'!A184/100),100)&lt;=12,MOD(INT('월 가계부'!A184),100)&gt;=1,MOD(INT('월 가계부'!A184),100)&lt;=31),IF(MONTH(DATE(INT('월 가계부'!A184/10000),MOD(INT('월 가계부'!A184/100),100),MOD(INT('월 가계부'!A184),100)))=MOD(INT('월 가계부'!A184/100),100),DATE(INT('월 가계부'!A184/10000),MOD(INT('월 가계부'!A184/100),100),MOD(INT('월 가계부'!A184),100)),""),""),IF(AND('월 가계부'!A184&gt;=36526,'월 가계부'!A184&lt;73051),INT('월 가계부'!A184),"")),IF(OR(CM184="",CN184="",CO184=""),"",IF(AND(CM184&gt;=2000,CM184&lt;=2099,CN184&gt;=1,CN184&lt;=12,CO184&gt;=1,CO184&lt;=31),IF(MONTH(DATE(CM184,CN184,CO184))=CN184,DATE(CM184,CN184,CO184),""),"")))),"")</f>
        <v/>
      </c>
      <c r="CJ184">
        <f>IFERROR(IF('월 가계부'!C184="","",IF(ISNUMBER('월 가계부'!C184),'월 가계부'!C184,VALUE(SUBSTITUTE(SUBSTITUTE(SUBSTITUTE(SUBSTITUTE(TRIM('월 가계부'!C184),",",""),"원","")," ",""),"−","-")))),"")</f>
        <v/>
      </c>
      <c r="CK184">
        <f>IF(ISNUMBER(CI184),IF(CI184&lt;$B$13,CI184,""),"")</f>
        <v/>
      </c>
      <c r="CM184">
        <f>IF(CH184="","",IFERROR(IF(IF(AND(LEN(CH184)=9,ISERROR(FIND("-",LEFT(CH184,8))),ISNUMBER(-LEFT(CH184,8))),VALUE(LEFT(CH184,4)),VALUE(LEFT(CH184,FIND("-",CH184)-1)))&lt;100,IF(AND(LEN(CH184)=9,ISERROR(FIND("-",LEFT(CH184,8))),ISNUMBER(-LEFT(CH184,8))),VALUE(LEFT(CH184,4)),VALUE(LEFT(CH184,FIND("-",CH184)-1)))+2000,IF(AND(LEN(CH184)=9,ISERROR(FIND("-",LEFT(CH184,8))),ISNUMBER(-LEFT(CH184,8))),VALUE(LEFT(CH184,4)),VALUE(LEFT(CH184,FIND("-",CH184)-1)))),""))</f>
        <v/>
      </c>
      <c r="CN184">
        <f>IF(CH184="","",IFERROR(IF(AND(LEN(CH184)=9,ISERROR(FIND("-",LEFT(CH184,8))),ISNUMBER(-LEFT(CH184,8))),VALUE(MID(CH184,5,2)),VALUE(MID(CH184,FIND("-",CH184)+1,FIND("-",CH184,FIND("-",CH184)+1)-FIND("-",CH184)-1))),""))</f>
        <v/>
      </c>
      <c r="CO184">
        <f>IF(CH184="","",IFERROR(IF(AND(LEN(CH184)=9,ISERROR(FIND("-",LEFT(CH184,8))),ISNUMBER(-LEFT(CH184,8))),VALUE(MID(CH184,7,2)),VALUE(MID(CH184,FIND("-",CH184,FIND("-",CH184)+1)+1,FIND("-",CH184,FIND("-",CH184,FIND("-",CH184)+1)+1)-FIND("-",CH184,FIND("-",CH184)+1)-1))),""))</f>
        <v/>
      </c>
    </row>
    <row r="185">
      <c r="A185" t="n">
        <v>33</v>
      </c>
      <c r="B185">
        <f>$B$1+33</f>
        <v/>
      </c>
      <c r="C185">
        <f>$B$2</f>
        <v/>
      </c>
      <c r="D185">
        <f>IF($B$1+1&gt;90,C185,(C185+IF($B$1+1&lt;=$B185,12*$B$9,-12*MAX(0,$B$8-IF($B$1+1&gt;=$B$23,$B$22,0))*(1+$B$4)^1))*IF(C185+IF($B$1+1&lt;=$B185,12*$B$9,-12*MAX(0,$B$8-IF($B$1+1&gt;=$B$23,$B$22,0))*(1+$B$4)^1)&gt;0,1+$B$3,1))</f>
        <v/>
      </c>
      <c r="E185">
        <f>IF($B$1+2&gt;90,D185,(D185+IF($B$1+2&lt;=$B185,12*$B$9,-12*MAX(0,$B$8-IF($B$1+2&gt;=$B$23,$B$22,0))*(1+$B$4)^2))*IF(D185+IF($B$1+2&lt;=$B185,12*$B$9,-12*MAX(0,$B$8-IF($B$1+2&gt;=$B$23,$B$22,0))*(1+$B$4)^2)&gt;0,1+$B$3,1))</f>
        <v/>
      </c>
      <c r="F185">
        <f>IF($B$1+3&gt;90,E185,(E185+IF($B$1+3&lt;=$B185,12*$B$9,-12*MAX(0,$B$8-IF($B$1+3&gt;=$B$23,$B$22,0))*(1+$B$4)^3))*IF(E185+IF($B$1+3&lt;=$B185,12*$B$9,-12*MAX(0,$B$8-IF($B$1+3&gt;=$B$23,$B$22,0))*(1+$B$4)^3)&gt;0,1+$B$3,1))</f>
        <v/>
      </c>
      <c r="G185">
        <f>IF($B$1+4&gt;90,F185,(F185+IF($B$1+4&lt;=$B185,12*$B$9,-12*MAX(0,$B$8-IF($B$1+4&gt;=$B$23,$B$22,0))*(1+$B$4)^4))*IF(F185+IF($B$1+4&lt;=$B185,12*$B$9,-12*MAX(0,$B$8-IF($B$1+4&gt;=$B$23,$B$22,0))*(1+$B$4)^4)&gt;0,1+$B$3,1))</f>
        <v/>
      </c>
      <c r="H185">
        <f>IF($B$1+5&gt;90,G185,(G185+IF($B$1+5&lt;=$B185,12*$B$9,-12*MAX(0,$B$8-IF($B$1+5&gt;=$B$23,$B$22,0))*(1+$B$4)^5))*IF(G185+IF($B$1+5&lt;=$B185,12*$B$9,-12*MAX(0,$B$8-IF($B$1+5&gt;=$B$23,$B$22,0))*(1+$B$4)^5)&gt;0,1+$B$3,1))</f>
        <v/>
      </c>
      <c r="I185">
        <f>IF($B$1+6&gt;90,H185,(H185+IF($B$1+6&lt;=$B185,12*$B$9,-12*MAX(0,$B$8-IF($B$1+6&gt;=$B$23,$B$22,0))*(1+$B$4)^6))*IF(H185+IF($B$1+6&lt;=$B185,12*$B$9,-12*MAX(0,$B$8-IF($B$1+6&gt;=$B$23,$B$22,0))*(1+$B$4)^6)&gt;0,1+$B$3,1))</f>
        <v/>
      </c>
      <c r="J185">
        <f>IF($B$1+7&gt;90,I185,(I185+IF($B$1+7&lt;=$B185,12*$B$9,-12*MAX(0,$B$8-IF($B$1+7&gt;=$B$23,$B$22,0))*(1+$B$4)^7))*IF(I185+IF($B$1+7&lt;=$B185,12*$B$9,-12*MAX(0,$B$8-IF($B$1+7&gt;=$B$23,$B$22,0))*(1+$B$4)^7)&gt;0,1+$B$3,1))</f>
        <v/>
      </c>
      <c r="K185">
        <f>IF($B$1+8&gt;90,J185,(J185+IF($B$1+8&lt;=$B185,12*$B$9,-12*MAX(0,$B$8-IF($B$1+8&gt;=$B$23,$B$22,0))*(1+$B$4)^8))*IF(J185+IF($B$1+8&lt;=$B185,12*$B$9,-12*MAX(0,$B$8-IF($B$1+8&gt;=$B$23,$B$22,0))*(1+$B$4)^8)&gt;0,1+$B$3,1))</f>
        <v/>
      </c>
      <c r="L185">
        <f>IF($B$1+9&gt;90,K185,(K185+IF($B$1+9&lt;=$B185,12*$B$9,-12*MAX(0,$B$8-IF($B$1+9&gt;=$B$23,$B$22,0))*(1+$B$4)^9))*IF(K185+IF($B$1+9&lt;=$B185,12*$B$9,-12*MAX(0,$B$8-IF($B$1+9&gt;=$B$23,$B$22,0))*(1+$B$4)^9)&gt;0,1+$B$3,1))</f>
        <v/>
      </c>
      <c r="M185">
        <f>IF($B$1+10&gt;90,L185,(L185+IF($B$1+10&lt;=$B185,12*$B$9,-12*MAX(0,$B$8-IF($B$1+10&gt;=$B$23,$B$22,0))*(1+$B$4)^10))*IF(L185+IF($B$1+10&lt;=$B185,12*$B$9,-12*MAX(0,$B$8-IF($B$1+10&gt;=$B$23,$B$22,0))*(1+$B$4)^10)&gt;0,1+$B$3,1))</f>
        <v/>
      </c>
      <c r="N185">
        <f>IF($B$1+11&gt;90,M185,(M185+IF($B$1+11&lt;=$B185,12*$B$9,-12*MAX(0,$B$8-IF($B$1+11&gt;=$B$23,$B$22,0))*(1+$B$4)^11))*IF(M185+IF($B$1+11&lt;=$B185,12*$B$9,-12*MAX(0,$B$8-IF($B$1+11&gt;=$B$23,$B$22,0))*(1+$B$4)^11)&gt;0,1+$B$3,1))</f>
        <v/>
      </c>
      <c r="O185">
        <f>IF($B$1+12&gt;90,N185,(N185+IF($B$1+12&lt;=$B185,12*$B$9,-12*MAX(0,$B$8-IF($B$1+12&gt;=$B$23,$B$22,0))*(1+$B$4)^12))*IF(N185+IF($B$1+12&lt;=$B185,12*$B$9,-12*MAX(0,$B$8-IF($B$1+12&gt;=$B$23,$B$22,0))*(1+$B$4)^12)&gt;0,1+$B$3,1))</f>
        <v/>
      </c>
      <c r="P185">
        <f>IF($B$1+13&gt;90,O185,(O185+IF($B$1+13&lt;=$B185,12*$B$9,-12*MAX(0,$B$8-IF($B$1+13&gt;=$B$23,$B$22,0))*(1+$B$4)^13))*IF(O185+IF($B$1+13&lt;=$B185,12*$B$9,-12*MAX(0,$B$8-IF($B$1+13&gt;=$B$23,$B$22,0))*(1+$B$4)^13)&gt;0,1+$B$3,1))</f>
        <v/>
      </c>
      <c r="Q185">
        <f>IF($B$1+14&gt;90,P185,(P185+IF($B$1+14&lt;=$B185,12*$B$9,-12*MAX(0,$B$8-IF($B$1+14&gt;=$B$23,$B$22,0))*(1+$B$4)^14))*IF(P185+IF($B$1+14&lt;=$B185,12*$B$9,-12*MAX(0,$B$8-IF($B$1+14&gt;=$B$23,$B$22,0))*(1+$B$4)^14)&gt;0,1+$B$3,1))</f>
        <v/>
      </c>
      <c r="R185">
        <f>IF($B$1+15&gt;90,Q185,(Q185+IF($B$1+15&lt;=$B185,12*$B$9,-12*MAX(0,$B$8-IF($B$1+15&gt;=$B$23,$B$22,0))*(1+$B$4)^15))*IF(Q185+IF($B$1+15&lt;=$B185,12*$B$9,-12*MAX(0,$B$8-IF($B$1+15&gt;=$B$23,$B$22,0))*(1+$B$4)^15)&gt;0,1+$B$3,1))</f>
        <v/>
      </c>
      <c r="S185">
        <f>IF($B$1+16&gt;90,R185,(R185+IF($B$1+16&lt;=$B185,12*$B$9,-12*MAX(0,$B$8-IF($B$1+16&gt;=$B$23,$B$22,0))*(1+$B$4)^16))*IF(R185+IF($B$1+16&lt;=$B185,12*$B$9,-12*MAX(0,$B$8-IF($B$1+16&gt;=$B$23,$B$22,0))*(1+$B$4)^16)&gt;0,1+$B$3,1))</f>
        <v/>
      </c>
      <c r="T185">
        <f>IF($B$1+17&gt;90,S185,(S185+IF($B$1+17&lt;=$B185,12*$B$9,-12*MAX(0,$B$8-IF($B$1+17&gt;=$B$23,$B$22,0))*(1+$B$4)^17))*IF(S185+IF($B$1+17&lt;=$B185,12*$B$9,-12*MAX(0,$B$8-IF($B$1+17&gt;=$B$23,$B$22,0))*(1+$B$4)^17)&gt;0,1+$B$3,1))</f>
        <v/>
      </c>
      <c r="U185">
        <f>IF($B$1+18&gt;90,T185,(T185+IF($B$1+18&lt;=$B185,12*$B$9,-12*MAX(0,$B$8-IF($B$1+18&gt;=$B$23,$B$22,0))*(1+$B$4)^18))*IF(T185+IF($B$1+18&lt;=$B185,12*$B$9,-12*MAX(0,$B$8-IF($B$1+18&gt;=$B$23,$B$22,0))*(1+$B$4)^18)&gt;0,1+$B$3,1))</f>
        <v/>
      </c>
      <c r="V185">
        <f>IF($B$1+19&gt;90,U185,(U185+IF($B$1+19&lt;=$B185,12*$B$9,-12*MAX(0,$B$8-IF($B$1+19&gt;=$B$23,$B$22,0))*(1+$B$4)^19))*IF(U185+IF($B$1+19&lt;=$B185,12*$B$9,-12*MAX(0,$B$8-IF($B$1+19&gt;=$B$23,$B$22,0))*(1+$B$4)^19)&gt;0,1+$B$3,1))</f>
        <v/>
      </c>
      <c r="W185">
        <f>IF($B$1+20&gt;90,V185,(V185+IF($B$1+20&lt;=$B185,12*$B$9,-12*MAX(0,$B$8-IF($B$1+20&gt;=$B$23,$B$22,0))*(1+$B$4)^20))*IF(V185+IF($B$1+20&lt;=$B185,12*$B$9,-12*MAX(0,$B$8-IF($B$1+20&gt;=$B$23,$B$22,0))*(1+$B$4)^20)&gt;0,1+$B$3,1))</f>
        <v/>
      </c>
      <c r="X185">
        <f>IF($B$1+21&gt;90,W185,(W185+IF($B$1+21&lt;=$B185,12*$B$9,-12*MAX(0,$B$8-IF($B$1+21&gt;=$B$23,$B$22,0))*(1+$B$4)^21))*IF(W185+IF($B$1+21&lt;=$B185,12*$B$9,-12*MAX(0,$B$8-IF($B$1+21&gt;=$B$23,$B$22,0))*(1+$B$4)^21)&gt;0,1+$B$3,1))</f>
        <v/>
      </c>
      <c r="Y185">
        <f>IF($B$1+22&gt;90,X185,(X185+IF($B$1+22&lt;=$B185,12*$B$9,-12*MAX(0,$B$8-IF($B$1+22&gt;=$B$23,$B$22,0))*(1+$B$4)^22))*IF(X185+IF($B$1+22&lt;=$B185,12*$B$9,-12*MAX(0,$B$8-IF($B$1+22&gt;=$B$23,$B$22,0))*(1+$B$4)^22)&gt;0,1+$B$3,1))</f>
        <v/>
      </c>
      <c r="Z185">
        <f>IF($B$1+23&gt;90,Y185,(Y185+IF($B$1+23&lt;=$B185,12*$B$9,-12*MAX(0,$B$8-IF($B$1+23&gt;=$B$23,$B$22,0))*(1+$B$4)^23))*IF(Y185+IF($B$1+23&lt;=$B185,12*$B$9,-12*MAX(0,$B$8-IF($B$1+23&gt;=$B$23,$B$22,0))*(1+$B$4)^23)&gt;0,1+$B$3,1))</f>
        <v/>
      </c>
      <c r="AA185">
        <f>IF($B$1+24&gt;90,Z185,(Z185+IF($B$1+24&lt;=$B185,12*$B$9,-12*MAX(0,$B$8-IF($B$1+24&gt;=$B$23,$B$22,0))*(1+$B$4)^24))*IF(Z185+IF($B$1+24&lt;=$B185,12*$B$9,-12*MAX(0,$B$8-IF($B$1+24&gt;=$B$23,$B$22,0))*(1+$B$4)^24)&gt;0,1+$B$3,1))</f>
        <v/>
      </c>
      <c r="AB185">
        <f>IF($B$1+25&gt;90,AA185,(AA185+IF($B$1+25&lt;=$B185,12*$B$9,-12*MAX(0,$B$8-IF($B$1+25&gt;=$B$23,$B$22,0))*(1+$B$4)^25))*IF(AA185+IF($B$1+25&lt;=$B185,12*$B$9,-12*MAX(0,$B$8-IF($B$1+25&gt;=$B$23,$B$22,0))*(1+$B$4)^25)&gt;0,1+$B$3,1))</f>
        <v/>
      </c>
      <c r="AC185">
        <f>IF($B$1+26&gt;90,AB185,(AB185+IF($B$1+26&lt;=$B185,12*$B$9,-12*MAX(0,$B$8-IF($B$1+26&gt;=$B$23,$B$22,0))*(1+$B$4)^26))*IF(AB185+IF($B$1+26&lt;=$B185,12*$B$9,-12*MAX(0,$B$8-IF($B$1+26&gt;=$B$23,$B$22,0))*(1+$B$4)^26)&gt;0,1+$B$3,1))</f>
        <v/>
      </c>
      <c r="AD185">
        <f>IF($B$1+27&gt;90,AC185,(AC185+IF($B$1+27&lt;=$B185,12*$B$9,-12*MAX(0,$B$8-IF($B$1+27&gt;=$B$23,$B$22,0))*(1+$B$4)^27))*IF(AC185+IF($B$1+27&lt;=$B185,12*$B$9,-12*MAX(0,$B$8-IF($B$1+27&gt;=$B$23,$B$22,0))*(1+$B$4)^27)&gt;0,1+$B$3,1))</f>
        <v/>
      </c>
      <c r="AE185">
        <f>IF($B$1+28&gt;90,AD185,(AD185+IF($B$1+28&lt;=$B185,12*$B$9,-12*MAX(0,$B$8-IF($B$1+28&gt;=$B$23,$B$22,0))*(1+$B$4)^28))*IF(AD185+IF($B$1+28&lt;=$B185,12*$B$9,-12*MAX(0,$B$8-IF($B$1+28&gt;=$B$23,$B$22,0))*(1+$B$4)^28)&gt;0,1+$B$3,1))</f>
        <v/>
      </c>
      <c r="AF185">
        <f>IF($B$1+29&gt;90,AE185,(AE185+IF($B$1+29&lt;=$B185,12*$B$9,-12*MAX(0,$B$8-IF($B$1+29&gt;=$B$23,$B$22,0))*(1+$B$4)^29))*IF(AE185+IF($B$1+29&lt;=$B185,12*$B$9,-12*MAX(0,$B$8-IF($B$1+29&gt;=$B$23,$B$22,0))*(1+$B$4)^29)&gt;0,1+$B$3,1))</f>
        <v/>
      </c>
      <c r="AG185">
        <f>IF($B$1+30&gt;90,AF185,(AF185+IF($B$1+30&lt;=$B185,12*$B$9,-12*MAX(0,$B$8-IF($B$1+30&gt;=$B$23,$B$22,0))*(1+$B$4)^30))*IF(AF185+IF($B$1+30&lt;=$B185,12*$B$9,-12*MAX(0,$B$8-IF($B$1+30&gt;=$B$23,$B$22,0))*(1+$B$4)^30)&gt;0,1+$B$3,1))</f>
        <v/>
      </c>
      <c r="AH185">
        <f>IF($B$1+31&gt;90,AG185,(AG185+IF($B$1+31&lt;=$B185,12*$B$9,-12*MAX(0,$B$8-IF($B$1+31&gt;=$B$23,$B$22,0))*(1+$B$4)^31))*IF(AG185+IF($B$1+31&lt;=$B185,12*$B$9,-12*MAX(0,$B$8-IF($B$1+31&gt;=$B$23,$B$22,0))*(1+$B$4)^31)&gt;0,1+$B$3,1))</f>
        <v/>
      </c>
      <c r="AI185">
        <f>IF($B$1+32&gt;90,AH185,(AH185+IF($B$1+32&lt;=$B185,12*$B$9,-12*MAX(0,$B$8-IF($B$1+32&gt;=$B$23,$B$22,0))*(1+$B$4)^32))*IF(AH185+IF($B$1+32&lt;=$B185,12*$B$9,-12*MAX(0,$B$8-IF($B$1+32&gt;=$B$23,$B$22,0))*(1+$B$4)^32)&gt;0,1+$B$3,1))</f>
        <v/>
      </c>
      <c r="AJ185">
        <f>IF($B$1+33&gt;90,AI185,(AI185+IF($B$1+33&lt;=$B185,12*$B$9,-12*MAX(0,$B$8-IF($B$1+33&gt;=$B$23,$B$22,0))*(1+$B$4)^33))*IF(AI185+IF($B$1+33&lt;=$B185,12*$B$9,-12*MAX(0,$B$8-IF($B$1+33&gt;=$B$23,$B$22,0))*(1+$B$4)^33)&gt;0,1+$B$3,1))</f>
        <v/>
      </c>
      <c r="AK185">
        <f>IF($B$1+34&gt;90,AJ185,(AJ185+IF($B$1+34&lt;=$B185,12*$B$9,-12*MAX(0,$B$8-IF($B$1+34&gt;=$B$23,$B$22,0))*(1+$B$4)^34))*IF(AJ185+IF($B$1+34&lt;=$B185,12*$B$9,-12*MAX(0,$B$8-IF($B$1+34&gt;=$B$23,$B$22,0))*(1+$B$4)^34)&gt;0,1+$B$3,1))</f>
        <v/>
      </c>
      <c r="AL185">
        <f>IF($B$1+35&gt;90,AK185,(AK185+IF($B$1+35&lt;=$B185,12*$B$9,-12*MAX(0,$B$8-IF($B$1+35&gt;=$B$23,$B$22,0))*(1+$B$4)^35))*IF(AK185+IF($B$1+35&lt;=$B185,12*$B$9,-12*MAX(0,$B$8-IF($B$1+35&gt;=$B$23,$B$22,0))*(1+$B$4)^35)&gt;0,1+$B$3,1))</f>
        <v/>
      </c>
      <c r="AM185">
        <f>IF($B$1+36&gt;90,AL185,(AL185+IF($B$1+36&lt;=$B185,12*$B$9,-12*MAX(0,$B$8-IF($B$1+36&gt;=$B$23,$B$22,0))*(1+$B$4)^36))*IF(AL185+IF($B$1+36&lt;=$B185,12*$B$9,-12*MAX(0,$B$8-IF($B$1+36&gt;=$B$23,$B$22,0))*(1+$B$4)^36)&gt;0,1+$B$3,1))</f>
        <v/>
      </c>
      <c r="AN185">
        <f>IF($B$1+37&gt;90,AM185,(AM185+IF($B$1+37&lt;=$B185,12*$B$9,-12*MAX(0,$B$8-IF($B$1+37&gt;=$B$23,$B$22,0))*(1+$B$4)^37))*IF(AM185+IF($B$1+37&lt;=$B185,12*$B$9,-12*MAX(0,$B$8-IF($B$1+37&gt;=$B$23,$B$22,0))*(1+$B$4)^37)&gt;0,1+$B$3,1))</f>
        <v/>
      </c>
      <c r="AO185">
        <f>IF($B$1+38&gt;90,AN185,(AN185+IF($B$1+38&lt;=$B185,12*$B$9,-12*MAX(0,$B$8-IF($B$1+38&gt;=$B$23,$B$22,0))*(1+$B$4)^38))*IF(AN185+IF($B$1+38&lt;=$B185,12*$B$9,-12*MAX(0,$B$8-IF($B$1+38&gt;=$B$23,$B$22,0))*(1+$B$4)^38)&gt;0,1+$B$3,1))</f>
        <v/>
      </c>
      <c r="AP185">
        <f>IF($B$1+39&gt;90,AO185,(AO185+IF($B$1+39&lt;=$B185,12*$B$9,-12*MAX(0,$B$8-IF($B$1+39&gt;=$B$23,$B$22,0))*(1+$B$4)^39))*IF(AO185+IF($B$1+39&lt;=$B185,12*$B$9,-12*MAX(0,$B$8-IF($B$1+39&gt;=$B$23,$B$22,0))*(1+$B$4)^39)&gt;0,1+$B$3,1))</f>
        <v/>
      </c>
      <c r="AQ185">
        <f>IF($B$1+40&gt;90,AP185,(AP185+IF($B$1+40&lt;=$B185,12*$B$9,-12*MAX(0,$B$8-IF($B$1+40&gt;=$B$23,$B$22,0))*(1+$B$4)^40))*IF(AP185+IF($B$1+40&lt;=$B185,12*$B$9,-12*MAX(0,$B$8-IF($B$1+40&gt;=$B$23,$B$22,0))*(1+$B$4)^40)&gt;0,1+$B$3,1))</f>
        <v/>
      </c>
      <c r="AR185">
        <f>IF($B$1+41&gt;90,AQ185,(AQ185+IF($B$1+41&lt;=$B185,12*$B$9,-12*MAX(0,$B$8-IF($B$1+41&gt;=$B$23,$B$22,0))*(1+$B$4)^41))*IF(AQ185+IF($B$1+41&lt;=$B185,12*$B$9,-12*MAX(0,$B$8-IF($B$1+41&gt;=$B$23,$B$22,0))*(1+$B$4)^41)&gt;0,1+$B$3,1))</f>
        <v/>
      </c>
      <c r="AS185">
        <f>IF($B$1+42&gt;90,AR185,(AR185+IF($B$1+42&lt;=$B185,12*$B$9,-12*MAX(0,$B$8-IF($B$1+42&gt;=$B$23,$B$22,0))*(1+$B$4)^42))*IF(AR185+IF($B$1+42&lt;=$B185,12*$B$9,-12*MAX(0,$B$8-IF($B$1+42&gt;=$B$23,$B$22,0))*(1+$B$4)^42)&gt;0,1+$B$3,1))</f>
        <v/>
      </c>
      <c r="AT185">
        <f>IF($B$1+43&gt;90,AS185,(AS185+IF($B$1+43&lt;=$B185,12*$B$9,-12*MAX(0,$B$8-IF($B$1+43&gt;=$B$23,$B$22,0))*(1+$B$4)^43))*IF(AS185+IF($B$1+43&lt;=$B185,12*$B$9,-12*MAX(0,$B$8-IF($B$1+43&gt;=$B$23,$B$22,0))*(1+$B$4)^43)&gt;0,1+$B$3,1))</f>
        <v/>
      </c>
      <c r="AU185">
        <f>IF($B$1+44&gt;90,AT185,(AT185+IF($B$1+44&lt;=$B185,12*$B$9,-12*MAX(0,$B$8-IF($B$1+44&gt;=$B$23,$B$22,0))*(1+$B$4)^44))*IF(AT185+IF($B$1+44&lt;=$B185,12*$B$9,-12*MAX(0,$B$8-IF($B$1+44&gt;=$B$23,$B$22,0))*(1+$B$4)^44)&gt;0,1+$B$3,1))</f>
        <v/>
      </c>
      <c r="AV185">
        <f>IF($B$1+45&gt;90,AU185,(AU185+IF($B$1+45&lt;=$B185,12*$B$9,-12*MAX(0,$B$8-IF($B$1+45&gt;=$B$23,$B$22,0))*(1+$B$4)^45))*IF(AU185+IF($B$1+45&lt;=$B185,12*$B$9,-12*MAX(0,$B$8-IF($B$1+45&gt;=$B$23,$B$22,0))*(1+$B$4)^45)&gt;0,1+$B$3,1))</f>
        <v/>
      </c>
      <c r="AW185">
        <f>IF($B$1+46&gt;90,AV185,(AV185+IF($B$1+46&lt;=$B185,12*$B$9,-12*MAX(0,$B$8-IF($B$1+46&gt;=$B$23,$B$22,0))*(1+$B$4)^46))*IF(AV185+IF($B$1+46&lt;=$B185,12*$B$9,-12*MAX(0,$B$8-IF($B$1+46&gt;=$B$23,$B$22,0))*(1+$B$4)^46)&gt;0,1+$B$3,1))</f>
        <v/>
      </c>
      <c r="AX185">
        <f>IF($B$1+47&gt;90,AW185,(AW185+IF($B$1+47&lt;=$B185,12*$B$9,-12*MAX(0,$B$8-IF($B$1+47&gt;=$B$23,$B$22,0))*(1+$B$4)^47))*IF(AW185+IF($B$1+47&lt;=$B185,12*$B$9,-12*MAX(0,$B$8-IF($B$1+47&gt;=$B$23,$B$22,0))*(1+$B$4)^47)&gt;0,1+$B$3,1))</f>
        <v/>
      </c>
      <c r="AY185">
        <f>IF($B$1+48&gt;90,AX185,(AX185+IF($B$1+48&lt;=$B185,12*$B$9,-12*MAX(0,$B$8-IF($B$1+48&gt;=$B$23,$B$22,0))*(1+$B$4)^48))*IF(AX185+IF($B$1+48&lt;=$B185,12*$B$9,-12*MAX(0,$B$8-IF($B$1+48&gt;=$B$23,$B$22,0))*(1+$B$4)^48)&gt;0,1+$B$3,1))</f>
        <v/>
      </c>
      <c r="AZ185">
        <f>IF($B$1+49&gt;90,AY185,(AY185+IF($B$1+49&lt;=$B185,12*$B$9,-12*MAX(0,$B$8-IF($B$1+49&gt;=$B$23,$B$22,0))*(1+$B$4)^49))*IF(AY185+IF($B$1+49&lt;=$B185,12*$B$9,-12*MAX(0,$B$8-IF($B$1+49&gt;=$B$23,$B$22,0))*(1+$B$4)^49)&gt;0,1+$B$3,1))</f>
        <v/>
      </c>
      <c r="BA185">
        <f>IF($B$1+50&gt;90,AZ185,(AZ185+IF($B$1+50&lt;=$B185,12*$B$9,-12*MAX(0,$B$8-IF($B$1+50&gt;=$B$23,$B$22,0))*(1+$B$4)^50))*IF(AZ185+IF($B$1+50&lt;=$B185,12*$B$9,-12*MAX(0,$B$8-IF($B$1+50&gt;=$B$23,$B$22,0))*(1+$B$4)^50)&gt;0,1+$B$3,1))</f>
        <v/>
      </c>
      <c r="BB185">
        <f>IF($B$1+51&gt;90,BA185,(BA185+IF($B$1+51&lt;=$B185,12*$B$9,-12*MAX(0,$B$8-IF($B$1+51&gt;=$B$23,$B$22,0))*(1+$B$4)^51))*IF(BA185+IF($B$1+51&lt;=$B185,12*$B$9,-12*MAX(0,$B$8-IF($B$1+51&gt;=$B$23,$B$22,0))*(1+$B$4)^51)&gt;0,1+$B$3,1))</f>
        <v/>
      </c>
      <c r="BC185">
        <f>IF($B$1+52&gt;90,BB185,(BB185+IF($B$1+52&lt;=$B185,12*$B$9,-12*MAX(0,$B$8-IF($B$1+52&gt;=$B$23,$B$22,0))*(1+$B$4)^52))*IF(BB185+IF($B$1+52&lt;=$B185,12*$B$9,-12*MAX(0,$B$8-IF($B$1+52&gt;=$B$23,$B$22,0))*(1+$B$4)^52)&gt;0,1+$B$3,1))</f>
        <v/>
      </c>
      <c r="BD185">
        <f>IF($B$1+53&gt;90,BC185,(BC185+IF($B$1+53&lt;=$B185,12*$B$9,-12*MAX(0,$B$8-IF($B$1+53&gt;=$B$23,$B$22,0))*(1+$B$4)^53))*IF(BC185+IF($B$1+53&lt;=$B185,12*$B$9,-12*MAX(0,$B$8-IF($B$1+53&gt;=$B$23,$B$22,0))*(1+$B$4)^53)&gt;0,1+$B$3,1))</f>
        <v/>
      </c>
      <c r="BE185">
        <f>IF($B$1+54&gt;90,BD185,(BD185+IF($B$1+54&lt;=$B185,12*$B$9,-12*MAX(0,$B$8-IF($B$1+54&gt;=$B$23,$B$22,0))*(1+$B$4)^54))*IF(BD185+IF($B$1+54&lt;=$B185,12*$B$9,-12*MAX(0,$B$8-IF($B$1+54&gt;=$B$23,$B$22,0))*(1+$B$4)^54)&gt;0,1+$B$3,1))</f>
        <v/>
      </c>
      <c r="BF185">
        <f>IF($B$1+55&gt;90,BE185,(BE185+IF($B$1+55&lt;=$B185,12*$B$9,-12*MAX(0,$B$8-IF($B$1+55&gt;=$B$23,$B$22,0))*(1+$B$4)^55))*IF(BE185+IF($B$1+55&lt;=$B185,12*$B$9,-12*MAX(0,$B$8-IF($B$1+55&gt;=$B$23,$B$22,0))*(1+$B$4)^55)&gt;0,1+$B$3,1))</f>
        <v/>
      </c>
      <c r="BG185">
        <f>IF($B$1+56&gt;90,BF185,(BF185+IF($B$1+56&lt;=$B185,12*$B$9,-12*MAX(0,$B$8-IF($B$1+56&gt;=$B$23,$B$22,0))*(1+$B$4)^56))*IF(BF185+IF($B$1+56&lt;=$B185,12*$B$9,-12*MAX(0,$B$8-IF($B$1+56&gt;=$B$23,$B$22,0))*(1+$B$4)^56)&gt;0,1+$B$3,1))</f>
        <v/>
      </c>
      <c r="BH185">
        <f>IF($B$1+57&gt;90,BG185,(BG185+IF($B$1+57&lt;=$B185,12*$B$9,-12*MAX(0,$B$8-IF($B$1+57&gt;=$B$23,$B$22,0))*(1+$B$4)^57))*IF(BG185+IF($B$1+57&lt;=$B185,12*$B$9,-12*MAX(0,$B$8-IF($B$1+57&gt;=$B$23,$B$22,0))*(1+$B$4)^57)&gt;0,1+$B$3,1))</f>
        <v/>
      </c>
      <c r="BI185">
        <f>IF($B$1+58&gt;90,BH185,(BH185+IF($B$1+58&lt;=$B185,12*$B$9,-12*MAX(0,$B$8-IF($B$1+58&gt;=$B$23,$B$22,0))*(1+$B$4)^58))*IF(BH185+IF($B$1+58&lt;=$B185,12*$B$9,-12*MAX(0,$B$8-IF($B$1+58&gt;=$B$23,$B$22,0))*(1+$B$4)^58)&gt;0,1+$B$3,1))</f>
        <v/>
      </c>
      <c r="BJ185">
        <f>IF($B$1+59&gt;90,BI185,(BI185+IF($B$1+59&lt;=$B185,12*$B$9,-12*MAX(0,$B$8-IF($B$1+59&gt;=$B$23,$B$22,0))*(1+$B$4)^59))*IF(BI185+IF($B$1+59&lt;=$B185,12*$B$9,-12*MAX(0,$B$8-IF($B$1+59&gt;=$B$23,$B$22,0))*(1+$B$4)^59)&gt;0,1+$B$3,1))</f>
        <v/>
      </c>
      <c r="BK185">
        <f>IF($B$1+60&gt;90,BJ185,(BJ185+IF($B$1+60&lt;=$B185,12*$B$9,-12*MAX(0,$B$8-IF($B$1+60&gt;=$B$23,$B$22,0))*(1+$B$4)^60))*IF(BJ185+IF($B$1+60&lt;=$B185,12*$B$9,-12*MAX(0,$B$8-IF($B$1+60&gt;=$B$23,$B$22,0))*(1+$B$4)^60)&gt;0,1+$B$3,1))</f>
        <v/>
      </c>
      <c r="BL185">
        <f>IF($B$1+61&gt;90,BK185,(BK185+IF($B$1+61&lt;=$B185,12*$B$9,-12*MAX(0,$B$8-IF($B$1+61&gt;=$B$23,$B$22,0))*(1+$B$4)^61))*IF(BK185+IF($B$1+61&lt;=$B185,12*$B$9,-12*MAX(0,$B$8-IF($B$1+61&gt;=$B$23,$B$22,0))*(1+$B$4)^61)&gt;0,1+$B$3,1))</f>
        <v/>
      </c>
      <c r="BM185">
        <f>IF($B$1+62&gt;90,BL185,(BL185+IF($B$1+62&lt;=$B185,12*$B$9,-12*MAX(0,$B$8-IF($B$1+62&gt;=$B$23,$B$22,0))*(1+$B$4)^62))*IF(BL185+IF($B$1+62&lt;=$B185,12*$B$9,-12*MAX(0,$B$8-IF($B$1+62&gt;=$B$23,$B$22,0))*(1+$B$4)^62)&gt;0,1+$B$3,1))</f>
        <v/>
      </c>
      <c r="BN185">
        <f>IF($B$1+63&gt;90,BM185,(BM185+IF($B$1+63&lt;=$B185,12*$B$9,-12*MAX(0,$B$8-IF($B$1+63&gt;=$B$23,$B$22,0))*(1+$B$4)^63))*IF(BM185+IF($B$1+63&lt;=$B185,12*$B$9,-12*MAX(0,$B$8-IF($B$1+63&gt;=$B$23,$B$22,0))*(1+$B$4)^63)&gt;0,1+$B$3,1))</f>
        <v/>
      </c>
      <c r="BO185">
        <f>IF($B$1+64&gt;90,BN185,(BN185+IF($B$1+64&lt;=$B185,12*$B$9,-12*MAX(0,$B$8-IF($B$1+64&gt;=$B$23,$B$22,0))*(1+$B$4)^64))*IF(BN185+IF($B$1+64&lt;=$B185,12*$B$9,-12*MAX(0,$B$8-IF($B$1+64&gt;=$B$23,$B$22,0))*(1+$B$4)^64)&gt;0,1+$B$3,1))</f>
        <v/>
      </c>
      <c r="BP185">
        <f>IF($B$1+65&gt;90,BO185,(BO185+IF($B$1+65&lt;=$B185,12*$B$9,-12*MAX(0,$B$8-IF($B$1+65&gt;=$B$23,$B$22,0))*(1+$B$4)^65))*IF(BO185+IF($B$1+65&lt;=$B185,12*$B$9,-12*MAX(0,$B$8-IF($B$1+65&gt;=$B$23,$B$22,0))*(1+$B$4)^65)&gt;0,1+$B$3,1))</f>
        <v/>
      </c>
      <c r="BQ185">
        <f>IF($B$1+66&gt;90,BP185,(BP185+IF($B$1+66&lt;=$B185,12*$B$9,-12*MAX(0,$B$8-IF($B$1+66&gt;=$B$23,$B$22,0))*(1+$B$4)^66))*IF(BP185+IF($B$1+66&lt;=$B185,12*$B$9,-12*MAX(0,$B$8-IF($B$1+66&gt;=$B$23,$B$22,0))*(1+$B$4)^66)&gt;0,1+$B$3,1))</f>
        <v/>
      </c>
      <c r="BR185">
        <f>IF($B$1+67&gt;90,BQ185,(BQ185+IF($B$1+67&lt;=$B185,12*$B$9,-12*MAX(0,$B$8-IF($B$1+67&gt;=$B$23,$B$22,0))*(1+$B$4)^67))*IF(BQ185+IF($B$1+67&lt;=$B185,12*$B$9,-12*MAX(0,$B$8-IF($B$1+67&gt;=$B$23,$B$22,0))*(1+$B$4)^67)&gt;0,1+$B$3,1))</f>
        <v/>
      </c>
      <c r="BS185">
        <f>IF($B$1+68&gt;90,BR185,(BR185+IF($B$1+68&lt;=$B185,12*$B$9,-12*MAX(0,$B$8-IF($B$1+68&gt;=$B$23,$B$22,0))*(1+$B$4)^68))*IF(BR185+IF($B$1+68&lt;=$B185,12*$B$9,-12*MAX(0,$B$8-IF($B$1+68&gt;=$B$23,$B$22,0))*(1+$B$4)^68)&gt;0,1+$B$3,1))</f>
        <v/>
      </c>
      <c r="BT185">
        <f>IF($B$1+69&gt;90,BS185,(BS185+IF($B$1+69&lt;=$B185,12*$B$9,-12*MAX(0,$B$8-IF($B$1+69&gt;=$B$23,$B$22,0))*(1+$B$4)^69))*IF(BS185+IF($B$1+69&lt;=$B185,12*$B$9,-12*MAX(0,$B$8-IF($B$1+69&gt;=$B$23,$B$22,0))*(1+$B$4)^69)&gt;0,1+$B$3,1))</f>
        <v/>
      </c>
      <c r="BU185">
        <f>IF($B$1+70&gt;90,BT185,(BT185+IF($B$1+70&lt;=$B185,12*$B$9,-12*MAX(0,$B$8-IF($B$1+70&gt;=$B$23,$B$22,0))*(1+$B$4)^70))*IF(BT185+IF($B$1+70&lt;=$B185,12*$B$9,-12*MAX(0,$B$8-IF($B$1+70&gt;=$B$23,$B$22,0))*(1+$B$4)^70)&gt;0,1+$B$3,1))</f>
        <v/>
      </c>
      <c r="BV185">
        <f>BU185</f>
        <v/>
      </c>
      <c r="BW185">
        <f>IF(AND($B185&lt;=70,BV185&gt;0),$B185,999)</f>
        <v/>
      </c>
      <c r="CH185">
        <f>IF(ISTEXT('월 가계부'!A185),SUBSTITUTE(SUBSTITUTE(SUBSTITUTE(SUBSTITUTE(SUBSTITUTE(SUBSTITUTE(SUBSTITUTE(SUBSTITUTE(SUBSTITUTE(TRIM('월 가계부'!A185),"년","-"),"월","-"),"일",""),".","-"),"/","-")," ","-"),"--","-"),"--","-"),"--","-")&amp;"-","")</f>
        <v/>
      </c>
      <c r="CI185">
        <f>IFERROR(IF('월 가계부'!A185="","",IF(ISNUMBER('월 가계부'!A185),IF(AND('월 가계부'!A185&gt;=19000101,'월 가계부'!A185&lt;=21001231),IF(AND(MOD(INT('월 가계부'!A185/100),100)&gt;=1,MOD(INT('월 가계부'!A185/100),100)&lt;=12,MOD(INT('월 가계부'!A185),100)&gt;=1,MOD(INT('월 가계부'!A185),100)&lt;=31),IF(MONTH(DATE(INT('월 가계부'!A185/10000),MOD(INT('월 가계부'!A185/100),100),MOD(INT('월 가계부'!A185),100)))=MOD(INT('월 가계부'!A185/100),100),DATE(INT('월 가계부'!A185/10000),MOD(INT('월 가계부'!A185/100),100),MOD(INT('월 가계부'!A185),100)),""),""),IF(AND('월 가계부'!A185&gt;=36526,'월 가계부'!A185&lt;73051),INT('월 가계부'!A185),"")),IF(OR(CM185="",CN185="",CO185=""),"",IF(AND(CM185&gt;=2000,CM185&lt;=2099,CN185&gt;=1,CN185&lt;=12,CO185&gt;=1,CO185&lt;=31),IF(MONTH(DATE(CM185,CN185,CO185))=CN185,DATE(CM185,CN185,CO185),""),"")))),"")</f>
        <v/>
      </c>
      <c r="CJ185">
        <f>IFERROR(IF('월 가계부'!C185="","",IF(ISNUMBER('월 가계부'!C185),'월 가계부'!C185,VALUE(SUBSTITUTE(SUBSTITUTE(SUBSTITUTE(SUBSTITUTE(TRIM('월 가계부'!C185),",",""),"원","")," ",""),"−","-")))),"")</f>
        <v/>
      </c>
      <c r="CK185">
        <f>IF(ISNUMBER(CI185),IF(CI185&lt;$B$13,CI185,""),"")</f>
        <v/>
      </c>
      <c r="CM185">
        <f>IF(CH185="","",IFERROR(IF(IF(AND(LEN(CH185)=9,ISERROR(FIND("-",LEFT(CH185,8))),ISNUMBER(-LEFT(CH185,8))),VALUE(LEFT(CH185,4)),VALUE(LEFT(CH185,FIND("-",CH185)-1)))&lt;100,IF(AND(LEN(CH185)=9,ISERROR(FIND("-",LEFT(CH185,8))),ISNUMBER(-LEFT(CH185,8))),VALUE(LEFT(CH185,4)),VALUE(LEFT(CH185,FIND("-",CH185)-1)))+2000,IF(AND(LEN(CH185)=9,ISERROR(FIND("-",LEFT(CH185,8))),ISNUMBER(-LEFT(CH185,8))),VALUE(LEFT(CH185,4)),VALUE(LEFT(CH185,FIND("-",CH185)-1)))),""))</f>
        <v/>
      </c>
      <c r="CN185">
        <f>IF(CH185="","",IFERROR(IF(AND(LEN(CH185)=9,ISERROR(FIND("-",LEFT(CH185,8))),ISNUMBER(-LEFT(CH185,8))),VALUE(MID(CH185,5,2)),VALUE(MID(CH185,FIND("-",CH185)+1,FIND("-",CH185,FIND("-",CH185)+1)-FIND("-",CH185)-1))),""))</f>
        <v/>
      </c>
      <c r="CO185">
        <f>IF(CH185="","",IFERROR(IF(AND(LEN(CH185)=9,ISERROR(FIND("-",LEFT(CH185,8))),ISNUMBER(-LEFT(CH185,8))),VALUE(MID(CH185,7,2)),VALUE(MID(CH185,FIND("-",CH185,FIND("-",CH185)+1)+1,FIND("-",CH185,FIND("-",CH185,FIND("-",CH185)+1)+1)-FIND("-",CH185,FIND("-",CH185)+1)-1))),""))</f>
        <v/>
      </c>
    </row>
    <row r="186">
      <c r="A186" t="n">
        <v>34</v>
      </c>
      <c r="B186">
        <f>$B$1+34</f>
        <v/>
      </c>
      <c r="C186">
        <f>$B$2</f>
        <v/>
      </c>
      <c r="D186">
        <f>IF($B$1+1&gt;90,C186,(C186+IF($B$1+1&lt;=$B186,12*$B$9,-12*MAX(0,$B$8-IF($B$1+1&gt;=$B$23,$B$22,0))*(1+$B$4)^1))*IF(C186+IF($B$1+1&lt;=$B186,12*$B$9,-12*MAX(0,$B$8-IF($B$1+1&gt;=$B$23,$B$22,0))*(1+$B$4)^1)&gt;0,1+$B$3,1))</f>
        <v/>
      </c>
      <c r="E186">
        <f>IF($B$1+2&gt;90,D186,(D186+IF($B$1+2&lt;=$B186,12*$B$9,-12*MAX(0,$B$8-IF($B$1+2&gt;=$B$23,$B$22,0))*(1+$B$4)^2))*IF(D186+IF($B$1+2&lt;=$B186,12*$B$9,-12*MAX(0,$B$8-IF($B$1+2&gt;=$B$23,$B$22,0))*(1+$B$4)^2)&gt;0,1+$B$3,1))</f>
        <v/>
      </c>
      <c r="F186">
        <f>IF($B$1+3&gt;90,E186,(E186+IF($B$1+3&lt;=$B186,12*$B$9,-12*MAX(0,$B$8-IF($B$1+3&gt;=$B$23,$B$22,0))*(1+$B$4)^3))*IF(E186+IF($B$1+3&lt;=$B186,12*$B$9,-12*MAX(0,$B$8-IF($B$1+3&gt;=$B$23,$B$22,0))*(1+$B$4)^3)&gt;0,1+$B$3,1))</f>
        <v/>
      </c>
      <c r="G186">
        <f>IF($B$1+4&gt;90,F186,(F186+IF($B$1+4&lt;=$B186,12*$B$9,-12*MAX(0,$B$8-IF($B$1+4&gt;=$B$23,$B$22,0))*(1+$B$4)^4))*IF(F186+IF($B$1+4&lt;=$B186,12*$B$9,-12*MAX(0,$B$8-IF($B$1+4&gt;=$B$23,$B$22,0))*(1+$B$4)^4)&gt;0,1+$B$3,1))</f>
        <v/>
      </c>
      <c r="H186">
        <f>IF($B$1+5&gt;90,G186,(G186+IF($B$1+5&lt;=$B186,12*$B$9,-12*MAX(0,$B$8-IF($B$1+5&gt;=$B$23,$B$22,0))*(1+$B$4)^5))*IF(G186+IF($B$1+5&lt;=$B186,12*$B$9,-12*MAX(0,$B$8-IF($B$1+5&gt;=$B$23,$B$22,0))*(1+$B$4)^5)&gt;0,1+$B$3,1))</f>
        <v/>
      </c>
      <c r="I186">
        <f>IF($B$1+6&gt;90,H186,(H186+IF($B$1+6&lt;=$B186,12*$B$9,-12*MAX(0,$B$8-IF($B$1+6&gt;=$B$23,$B$22,0))*(1+$B$4)^6))*IF(H186+IF($B$1+6&lt;=$B186,12*$B$9,-12*MAX(0,$B$8-IF($B$1+6&gt;=$B$23,$B$22,0))*(1+$B$4)^6)&gt;0,1+$B$3,1))</f>
        <v/>
      </c>
      <c r="J186">
        <f>IF($B$1+7&gt;90,I186,(I186+IF($B$1+7&lt;=$B186,12*$B$9,-12*MAX(0,$B$8-IF($B$1+7&gt;=$B$23,$B$22,0))*(1+$B$4)^7))*IF(I186+IF($B$1+7&lt;=$B186,12*$B$9,-12*MAX(0,$B$8-IF($B$1+7&gt;=$B$23,$B$22,0))*(1+$B$4)^7)&gt;0,1+$B$3,1))</f>
        <v/>
      </c>
      <c r="K186">
        <f>IF($B$1+8&gt;90,J186,(J186+IF($B$1+8&lt;=$B186,12*$B$9,-12*MAX(0,$B$8-IF($B$1+8&gt;=$B$23,$B$22,0))*(1+$B$4)^8))*IF(J186+IF($B$1+8&lt;=$B186,12*$B$9,-12*MAX(0,$B$8-IF($B$1+8&gt;=$B$23,$B$22,0))*(1+$B$4)^8)&gt;0,1+$B$3,1))</f>
        <v/>
      </c>
      <c r="L186">
        <f>IF($B$1+9&gt;90,K186,(K186+IF($B$1+9&lt;=$B186,12*$B$9,-12*MAX(0,$B$8-IF($B$1+9&gt;=$B$23,$B$22,0))*(1+$B$4)^9))*IF(K186+IF($B$1+9&lt;=$B186,12*$B$9,-12*MAX(0,$B$8-IF($B$1+9&gt;=$B$23,$B$22,0))*(1+$B$4)^9)&gt;0,1+$B$3,1))</f>
        <v/>
      </c>
      <c r="M186">
        <f>IF($B$1+10&gt;90,L186,(L186+IF($B$1+10&lt;=$B186,12*$B$9,-12*MAX(0,$B$8-IF($B$1+10&gt;=$B$23,$B$22,0))*(1+$B$4)^10))*IF(L186+IF($B$1+10&lt;=$B186,12*$B$9,-12*MAX(0,$B$8-IF($B$1+10&gt;=$B$23,$B$22,0))*(1+$B$4)^10)&gt;0,1+$B$3,1))</f>
        <v/>
      </c>
      <c r="N186">
        <f>IF($B$1+11&gt;90,M186,(M186+IF($B$1+11&lt;=$B186,12*$B$9,-12*MAX(0,$B$8-IF($B$1+11&gt;=$B$23,$B$22,0))*(1+$B$4)^11))*IF(M186+IF($B$1+11&lt;=$B186,12*$B$9,-12*MAX(0,$B$8-IF($B$1+11&gt;=$B$23,$B$22,0))*(1+$B$4)^11)&gt;0,1+$B$3,1))</f>
        <v/>
      </c>
      <c r="O186">
        <f>IF($B$1+12&gt;90,N186,(N186+IF($B$1+12&lt;=$B186,12*$B$9,-12*MAX(0,$B$8-IF($B$1+12&gt;=$B$23,$B$22,0))*(1+$B$4)^12))*IF(N186+IF($B$1+12&lt;=$B186,12*$B$9,-12*MAX(0,$B$8-IF($B$1+12&gt;=$B$23,$B$22,0))*(1+$B$4)^12)&gt;0,1+$B$3,1))</f>
        <v/>
      </c>
      <c r="P186">
        <f>IF($B$1+13&gt;90,O186,(O186+IF($B$1+13&lt;=$B186,12*$B$9,-12*MAX(0,$B$8-IF($B$1+13&gt;=$B$23,$B$22,0))*(1+$B$4)^13))*IF(O186+IF($B$1+13&lt;=$B186,12*$B$9,-12*MAX(0,$B$8-IF($B$1+13&gt;=$B$23,$B$22,0))*(1+$B$4)^13)&gt;0,1+$B$3,1))</f>
        <v/>
      </c>
      <c r="Q186">
        <f>IF($B$1+14&gt;90,P186,(P186+IF($B$1+14&lt;=$B186,12*$B$9,-12*MAX(0,$B$8-IF($B$1+14&gt;=$B$23,$B$22,0))*(1+$B$4)^14))*IF(P186+IF($B$1+14&lt;=$B186,12*$B$9,-12*MAX(0,$B$8-IF($B$1+14&gt;=$B$23,$B$22,0))*(1+$B$4)^14)&gt;0,1+$B$3,1))</f>
        <v/>
      </c>
      <c r="R186">
        <f>IF($B$1+15&gt;90,Q186,(Q186+IF($B$1+15&lt;=$B186,12*$B$9,-12*MAX(0,$B$8-IF($B$1+15&gt;=$B$23,$B$22,0))*(1+$B$4)^15))*IF(Q186+IF($B$1+15&lt;=$B186,12*$B$9,-12*MAX(0,$B$8-IF($B$1+15&gt;=$B$23,$B$22,0))*(1+$B$4)^15)&gt;0,1+$B$3,1))</f>
        <v/>
      </c>
      <c r="S186">
        <f>IF($B$1+16&gt;90,R186,(R186+IF($B$1+16&lt;=$B186,12*$B$9,-12*MAX(0,$B$8-IF($B$1+16&gt;=$B$23,$B$22,0))*(1+$B$4)^16))*IF(R186+IF($B$1+16&lt;=$B186,12*$B$9,-12*MAX(0,$B$8-IF($B$1+16&gt;=$B$23,$B$22,0))*(1+$B$4)^16)&gt;0,1+$B$3,1))</f>
        <v/>
      </c>
      <c r="T186">
        <f>IF($B$1+17&gt;90,S186,(S186+IF($B$1+17&lt;=$B186,12*$B$9,-12*MAX(0,$B$8-IF($B$1+17&gt;=$B$23,$B$22,0))*(1+$B$4)^17))*IF(S186+IF($B$1+17&lt;=$B186,12*$B$9,-12*MAX(0,$B$8-IF($B$1+17&gt;=$B$23,$B$22,0))*(1+$B$4)^17)&gt;0,1+$B$3,1))</f>
        <v/>
      </c>
      <c r="U186">
        <f>IF($B$1+18&gt;90,T186,(T186+IF($B$1+18&lt;=$B186,12*$B$9,-12*MAX(0,$B$8-IF($B$1+18&gt;=$B$23,$B$22,0))*(1+$B$4)^18))*IF(T186+IF($B$1+18&lt;=$B186,12*$B$9,-12*MAX(0,$B$8-IF($B$1+18&gt;=$B$23,$B$22,0))*(1+$B$4)^18)&gt;0,1+$B$3,1))</f>
        <v/>
      </c>
      <c r="V186">
        <f>IF($B$1+19&gt;90,U186,(U186+IF($B$1+19&lt;=$B186,12*$B$9,-12*MAX(0,$B$8-IF($B$1+19&gt;=$B$23,$B$22,0))*(1+$B$4)^19))*IF(U186+IF($B$1+19&lt;=$B186,12*$B$9,-12*MAX(0,$B$8-IF($B$1+19&gt;=$B$23,$B$22,0))*(1+$B$4)^19)&gt;0,1+$B$3,1))</f>
        <v/>
      </c>
      <c r="W186">
        <f>IF($B$1+20&gt;90,V186,(V186+IF($B$1+20&lt;=$B186,12*$B$9,-12*MAX(0,$B$8-IF($B$1+20&gt;=$B$23,$B$22,0))*(1+$B$4)^20))*IF(V186+IF($B$1+20&lt;=$B186,12*$B$9,-12*MAX(0,$B$8-IF($B$1+20&gt;=$B$23,$B$22,0))*(1+$B$4)^20)&gt;0,1+$B$3,1))</f>
        <v/>
      </c>
      <c r="X186">
        <f>IF($B$1+21&gt;90,W186,(W186+IF($B$1+21&lt;=$B186,12*$B$9,-12*MAX(0,$B$8-IF($B$1+21&gt;=$B$23,$B$22,0))*(1+$B$4)^21))*IF(W186+IF($B$1+21&lt;=$B186,12*$B$9,-12*MAX(0,$B$8-IF($B$1+21&gt;=$B$23,$B$22,0))*(1+$B$4)^21)&gt;0,1+$B$3,1))</f>
        <v/>
      </c>
      <c r="Y186">
        <f>IF($B$1+22&gt;90,X186,(X186+IF($B$1+22&lt;=$B186,12*$B$9,-12*MAX(0,$B$8-IF($B$1+22&gt;=$B$23,$B$22,0))*(1+$B$4)^22))*IF(X186+IF($B$1+22&lt;=$B186,12*$B$9,-12*MAX(0,$B$8-IF($B$1+22&gt;=$B$23,$B$22,0))*(1+$B$4)^22)&gt;0,1+$B$3,1))</f>
        <v/>
      </c>
      <c r="Z186">
        <f>IF($B$1+23&gt;90,Y186,(Y186+IF($B$1+23&lt;=$B186,12*$B$9,-12*MAX(0,$B$8-IF($B$1+23&gt;=$B$23,$B$22,0))*(1+$B$4)^23))*IF(Y186+IF($B$1+23&lt;=$B186,12*$B$9,-12*MAX(0,$B$8-IF($B$1+23&gt;=$B$23,$B$22,0))*(1+$B$4)^23)&gt;0,1+$B$3,1))</f>
        <v/>
      </c>
      <c r="AA186">
        <f>IF($B$1+24&gt;90,Z186,(Z186+IF($B$1+24&lt;=$B186,12*$B$9,-12*MAX(0,$B$8-IF($B$1+24&gt;=$B$23,$B$22,0))*(1+$B$4)^24))*IF(Z186+IF($B$1+24&lt;=$B186,12*$B$9,-12*MAX(0,$B$8-IF($B$1+24&gt;=$B$23,$B$22,0))*(1+$B$4)^24)&gt;0,1+$B$3,1))</f>
        <v/>
      </c>
      <c r="AB186">
        <f>IF($B$1+25&gt;90,AA186,(AA186+IF($B$1+25&lt;=$B186,12*$B$9,-12*MAX(0,$B$8-IF($B$1+25&gt;=$B$23,$B$22,0))*(1+$B$4)^25))*IF(AA186+IF($B$1+25&lt;=$B186,12*$B$9,-12*MAX(0,$B$8-IF($B$1+25&gt;=$B$23,$B$22,0))*(1+$B$4)^25)&gt;0,1+$B$3,1))</f>
        <v/>
      </c>
      <c r="AC186">
        <f>IF($B$1+26&gt;90,AB186,(AB186+IF($B$1+26&lt;=$B186,12*$B$9,-12*MAX(0,$B$8-IF($B$1+26&gt;=$B$23,$B$22,0))*(1+$B$4)^26))*IF(AB186+IF($B$1+26&lt;=$B186,12*$B$9,-12*MAX(0,$B$8-IF($B$1+26&gt;=$B$23,$B$22,0))*(1+$B$4)^26)&gt;0,1+$B$3,1))</f>
        <v/>
      </c>
      <c r="AD186">
        <f>IF($B$1+27&gt;90,AC186,(AC186+IF($B$1+27&lt;=$B186,12*$B$9,-12*MAX(0,$B$8-IF($B$1+27&gt;=$B$23,$B$22,0))*(1+$B$4)^27))*IF(AC186+IF($B$1+27&lt;=$B186,12*$B$9,-12*MAX(0,$B$8-IF($B$1+27&gt;=$B$23,$B$22,0))*(1+$B$4)^27)&gt;0,1+$B$3,1))</f>
        <v/>
      </c>
      <c r="AE186">
        <f>IF($B$1+28&gt;90,AD186,(AD186+IF($B$1+28&lt;=$B186,12*$B$9,-12*MAX(0,$B$8-IF($B$1+28&gt;=$B$23,$B$22,0))*(1+$B$4)^28))*IF(AD186+IF($B$1+28&lt;=$B186,12*$B$9,-12*MAX(0,$B$8-IF($B$1+28&gt;=$B$23,$B$22,0))*(1+$B$4)^28)&gt;0,1+$B$3,1))</f>
        <v/>
      </c>
      <c r="AF186">
        <f>IF($B$1+29&gt;90,AE186,(AE186+IF($B$1+29&lt;=$B186,12*$B$9,-12*MAX(0,$B$8-IF($B$1+29&gt;=$B$23,$B$22,0))*(1+$B$4)^29))*IF(AE186+IF($B$1+29&lt;=$B186,12*$B$9,-12*MAX(0,$B$8-IF($B$1+29&gt;=$B$23,$B$22,0))*(1+$B$4)^29)&gt;0,1+$B$3,1))</f>
        <v/>
      </c>
      <c r="AG186">
        <f>IF($B$1+30&gt;90,AF186,(AF186+IF($B$1+30&lt;=$B186,12*$B$9,-12*MAX(0,$B$8-IF($B$1+30&gt;=$B$23,$B$22,0))*(1+$B$4)^30))*IF(AF186+IF($B$1+30&lt;=$B186,12*$B$9,-12*MAX(0,$B$8-IF($B$1+30&gt;=$B$23,$B$22,0))*(1+$B$4)^30)&gt;0,1+$B$3,1))</f>
        <v/>
      </c>
      <c r="AH186">
        <f>IF($B$1+31&gt;90,AG186,(AG186+IF($B$1+31&lt;=$B186,12*$B$9,-12*MAX(0,$B$8-IF($B$1+31&gt;=$B$23,$B$22,0))*(1+$B$4)^31))*IF(AG186+IF($B$1+31&lt;=$B186,12*$B$9,-12*MAX(0,$B$8-IF($B$1+31&gt;=$B$23,$B$22,0))*(1+$B$4)^31)&gt;0,1+$B$3,1))</f>
        <v/>
      </c>
      <c r="AI186">
        <f>IF($B$1+32&gt;90,AH186,(AH186+IF($B$1+32&lt;=$B186,12*$B$9,-12*MAX(0,$B$8-IF($B$1+32&gt;=$B$23,$B$22,0))*(1+$B$4)^32))*IF(AH186+IF($B$1+32&lt;=$B186,12*$B$9,-12*MAX(0,$B$8-IF($B$1+32&gt;=$B$23,$B$22,0))*(1+$B$4)^32)&gt;0,1+$B$3,1))</f>
        <v/>
      </c>
      <c r="AJ186">
        <f>IF($B$1+33&gt;90,AI186,(AI186+IF($B$1+33&lt;=$B186,12*$B$9,-12*MAX(0,$B$8-IF($B$1+33&gt;=$B$23,$B$22,0))*(1+$B$4)^33))*IF(AI186+IF($B$1+33&lt;=$B186,12*$B$9,-12*MAX(0,$B$8-IF($B$1+33&gt;=$B$23,$B$22,0))*(1+$B$4)^33)&gt;0,1+$B$3,1))</f>
        <v/>
      </c>
      <c r="AK186">
        <f>IF($B$1+34&gt;90,AJ186,(AJ186+IF($B$1+34&lt;=$B186,12*$B$9,-12*MAX(0,$B$8-IF($B$1+34&gt;=$B$23,$B$22,0))*(1+$B$4)^34))*IF(AJ186+IF($B$1+34&lt;=$B186,12*$B$9,-12*MAX(0,$B$8-IF($B$1+34&gt;=$B$23,$B$22,0))*(1+$B$4)^34)&gt;0,1+$B$3,1))</f>
        <v/>
      </c>
      <c r="AL186">
        <f>IF($B$1+35&gt;90,AK186,(AK186+IF($B$1+35&lt;=$B186,12*$B$9,-12*MAX(0,$B$8-IF($B$1+35&gt;=$B$23,$B$22,0))*(1+$B$4)^35))*IF(AK186+IF($B$1+35&lt;=$B186,12*$B$9,-12*MAX(0,$B$8-IF($B$1+35&gt;=$B$23,$B$22,0))*(1+$B$4)^35)&gt;0,1+$B$3,1))</f>
        <v/>
      </c>
      <c r="AM186">
        <f>IF($B$1+36&gt;90,AL186,(AL186+IF($B$1+36&lt;=$B186,12*$B$9,-12*MAX(0,$B$8-IF($B$1+36&gt;=$B$23,$B$22,0))*(1+$B$4)^36))*IF(AL186+IF($B$1+36&lt;=$B186,12*$B$9,-12*MAX(0,$B$8-IF($B$1+36&gt;=$B$23,$B$22,0))*(1+$B$4)^36)&gt;0,1+$B$3,1))</f>
        <v/>
      </c>
      <c r="AN186">
        <f>IF($B$1+37&gt;90,AM186,(AM186+IF($B$1+37&lt;=$B186,12*$B$9,-12*MAX(0,$B$8-IF($B$1+37&gt;=$B$23,$B$22,0))*(1+$B$4)^37))*IF(AM186+IF($B$1+37&lt;=$B186,12*$B$9,-12*MAX(0,$B$8-IF($B$1+37&gt;=$B$23,$B$22,0))*(1+$B$4)^37)&gt;0,1+$B$3,1))</f>
        <v/>
      </c>
      <c r="AO186">
        <f>IF($B$1+38&gt;90,AN186,(AN186+IF($B$1+38&lt;=$B186,12*$B$9,-12*MAX(0,$B$8-IF($B$1+38&gt;=$B$23,$B$22,0))*(1+$B$4)^38))*IF(AN186+IF($B$1+38&lt;=$B186,12*$B$9,-12*MAX(0,$B$8-IF($B$1+38&gt;=$B$23,$B$22,0))*(1+$B$4)^38)&gt;0,1+$B$3,1))</f>
        <v/>
      </c>
      <c r="AP186">
        <f>IF($B$1+39&gt;90,AO186,(AO186+IF($B$1+39&lt;=$B186,12*$B$9,-12*MAX(0,$B$8-IF($B$1+39&gt;=$B$23,$B$22,0))*(1+$B$4)^39))*IF(AO186+IF($B$1+39&lt;=$B186,12*$B$9,-12*MAX(0,$B$8-IF($B$1+39&gt;=$B$23,$B$22,0))*(1+$B$4)^39)&gt;0,1+$B$3,1))</f>
        <v/>
      </c>
      <c r="AQ186">
        <f>IF($B$1+40&gt;90,AP186,(AP186+IF($B$1+40&lt;=$B186,12*$B$9,-12*MAX(0,$B$8-IF($B$1+40&gt;=$B$23,$B$22,0))*(1+$B$4)^40))*IF(AP186+IF($B$1+40&lt;=$B186,12*$B$9,-12*MAX(0,$B$8-IF($B$1+40&gt;=$B$23,$B$22,0))*(1+$B$4)^40)&gt;0,1+$B$3,1))</f>
        <v/>
      </c>
      <c r="AR186">
        <f>IF($B$1+41&gt;90,AQ186,(AQ186+IF($B$1+41&lt;=$B186,12*$B$9,-12*MAX(0,$B$8-IF($B$1+41&gt;=$B$23,$B$22,0))*(1+$B$4)^41))*IF(AQ186+IF($B$1+41&lt;=$B186,12*$B$9,-12*MAX(0,$B$8-IF($B$1+41&gt;=$B$23,$B$22,0))*(1+$B$4)^41)&gt;0,1+$B$3,1))</f>
        <v/>
      </c>
      <c r="AS186">
        <f>IF($B$1+42&gt;90,AR186,(AR186+IF($B$1+42&lt;=$B186,12*$B$9,-12*MAX(0,$B$8-IF($B$1+42&gt;=$B$23,$B$22,0))*(1+$B$4)^42))*IF(AR186+IF($B$1+42&lt;=$B186,12*$B$9,-12*MAX(0,$B$8-IF($B$1+42&gt;=$B$23,$B$22,0))*(1+$B$4)^42)&gt;0,1+$B$3,1))</f>
        <v/>
      </c>
      <c r="AT186">
        <f>IF($B$1+43&gt;90,AS186,(AS186+IF($B$1+43&lt;=$B186,12*$B$9,-12*MAX(0,$B$8-IF($B$1+43&gt;=$B$23,$B$22,0))*(1+$B$4)^43))*IF(AS186+IF($B$1+43&lt;=$B186,12*$B$9,-12*MAX(0,$B$8-IF($B$1+43&gt;=$B$23,$B$22,0))*(1+$B$4)^43)&gt;0,1+$B$3,1))</f>
        <v/>
      </c>
      <c r="AU186">
        <f>IF($B$1+44&gt;90,AT186,(AT186+IF($B$1+44&lt;=$B186,12*$B$9,-12*MAX(0,$B$8-IF($B$1+44&gt;=$B$23,$B$22,0))*(1+$B$4)^44))*IF(AT186+IF($B$1+44&lt;=$B186,12*$B$9,-12*MAX(0,$B$8-IF($B$1+44&gt;=$B$23,$B$22,0))*(1+$B$4)^44)&gt;0,1+$B$3,1))</f>
        <v/>
      </c>
      <c r="AV186">
        <f>IF($B$1+45&gt;90,AU186,(AU186+IF($B$1+45&lt;=$B186,12*$B$9,-12*MAX(0,$B$8-IF($B$1+45&gt;=$B$23,$B$22,0))*(1+$B$4)^45))*IF(AU186+IF($B$1+45&lt;=$B186,12*$B$9,-12*MAX(0,$B$8-IF($B$1+45&gt;=$B$23,$B$22,0))*(1+$B$4)^45)&gt;0,1+$B$3,1))</f>
        <v/>
      </c>
      <c r="AW186">
        <f>IF($B$1+46&gt;90,AV186,(AV186+IF($B$1+46&lt;=$B186,12*$B$9,-12*MAX(0,$B$8-IF($B$1+46&gt;=$B$23,$B$22,0))*(1+$B$4)^46))*IF(AV186+IF($B$1+46&lt;=$B186,12*$B$9,-12*MAX(0,$B$8-IF($B$1+46&gt;=$B$23,$B$22,0))*(1+$B$4)^46)&gt;0,1+$B$3,1))</f>
        <v/>
      </c>
      <c r="AX186">
        <f>IF($B$1+47&gt;90,AW186,(AW186+IF($B$1+47&lt;=$B186,12*$B$9,-12*MAX(0,$B$8-IF($B$1+47&gt;=$B$23,$B$22,0))*(1+$B$4)^47))*IF(AW186+IF($B$1+47&lt;=$B186,12*$B$9,-12*MAX(0,$B$8-IF($B$1+47&gt;=$B$23,$B$22,0))*(1+$B$4)^47)&gt;0,1+$B$3,1))</f>
        <v/>
      </c>
      <c r="AY186">
        <f>IF($B$1+48&gt;90,AX186,(AX186+IF($B$1+48&lt;=$B186,12*$B$9,-12*MAX(0,$B$8-IF($B$1+48&gt;=$B$23,$B$22,0))*(1+$B$4)^48))*IF(AX186+IF($B$1+48&lt;=$B186,12*$B$9,-12*MAX(0,$B$8-IF($B$1+48&gt;=$B$23,$B$22,0))*(1+$B$4)^48)&gt;0,1+$B$3,1))</f>
        <v/>
      </c>
      <c r="AZ186">
        <f>IF($B$1+49&gt;90,AY186,(AY186+IF($B$1+49&lt;=$B186,12*$B$9,-12*MAX(0,$B$8-IF($B$1+49&gt;=$B$23,$B$22,0))*(1+$B$4)^49))*IF(AY186+IF($B$1+49&lt;=$B186,12*$B$9,-12*MAX(0,$B$8-IF($B$1+49&gt;=$B$23,$B$22,0))*(1+$B$4)^49)&gt;0,1+$B$3,1))</f>
        <v/>
      </c>
      <c r="BA186">
        <f>IF($B$1+50&gt;90,AZ186,(AZ186+IF($B$1+50&lt;=$B186,12*$B$9,-12*MAX(0,$B$8-IF($B$1+50&gt;=$B$23,$B$22,0))*(1+$B$4)^50))*IF(AZ186+IF($B$1+50&lt;=$B186,12*$B$9,-12*MAX(0,$B$8-IF($B$1+50&gt;=$B$23,$B$22,0))*(1+$B$4)^50)&gt;0,1+$B$3,1))</f>
        <v/>
      </c>
      <c r="BB186">
        <f>IF($B$1+51&gt;90,BA186,(BA186+IF($B$1+51&lt;=$B186,12*$B$9,-12*MAX(0,$B$8-IF($B$1+51&gt;=$B$23,$B$22,0))*(1+$B$4)^51))*IF(BA186+IF($B$1+51&lt;=$B186,12*$B$9,-12*MAX(0,$B$8-IF($B$1+51&gt;=$B$23,$B$22,0))*(1+$B$4)^51)&gt;0,1+$B$3,1))</f>
        <v/>
      </c>
      <c r="BC186">
        <f>IF($B$1+52&gt;90,BB186,(BB186+IF($B$1+52&lt;=$B186,12*$B$9,-12*MAX(0,$B$8-IF($B$1+52&gt;=$B$23,$B$22,0))*(1+$B$4)^52))*IF(BB186+IF($B$1+52&lt;=$B186,12*$B$9,-12*MAX(0,$B$8-IF($B$1+52&gt;=$B$23,$B$22,0))*(1+$B$4)^52)&gt;0,1+$B$3,1))</f>
        <v/>
      </c>
      <c r="BD186">
        <f>IF($B$1+53&gt;90,BC186,(BC186+IF($B$1+53&lt;=$B186,12*$B$9,-12*MAX(0,$B$8-IF($B$1+53&gt;=$B$23,$B$22,0))*(1+$B$4)^53))*IF(BC186+IF($B$1+53&lt;=$B186,12*$B$9,-12*MAX(0,$B$8-IF($B$1+53&gt;=$B$23,$B$22,0))*(1+$B$4)^53)&gt;0,1+$B$3,1))</f>
        <v/>
      </c>
      <c r="BE186">
        <f>IF($B$1+54&gt;90,BD186,(BD186+IF($B$1+54&lt;=$B186,12*$B$9,-12*MAX(0,$B$8-IF($B$1+54&gt;=$B$23,$B$22,0))*(1+$B$4)^54))*IF(BD186+IF($B$1+54&lt;=$B186,12*$B$9,-12*MAX(0,$B$8-IF($B$1+54&gt;=$B$23,$B$22,0))*(1+$B$4)^54)&gt;0,1+$B$3,1))</f>
        <v/>
      </c>
      <c r="BF186">
        <f>IF($B$1+55&gt;90,BE186,(BE186+IF($B$1+55&lt;=$B186,12*$B$9,-12*MAX(0,$B$8-IF($B$1+55&gt;=$B$23,$B$22,0))*(1+$B$4)^55))*IF(BE186+IF($B$1+55&lt;=$B186,12*$B$9,-12*MAX(0,$B$8-IF($B$1+55&gt;=$B$23,$B$22,0))*(1+$B$4)^55)&gt;0,1+$B$3,1))</f>
        <v/>
      </c>
      <c r="BG186">
        <f>IF($B$1+56&gt;90,BF186,(BF186+IF($B$1+56&lt;=$B186,12*$B$9,-12*MAX(0,$B$8-IF($B$1+56&gt;=$B$23,$B$22,0))*(1+$B$4)^56))*IF(BF186+IF($B$1+56&lt;=$B186,12*$B$9,-12*MAX(0,$B$8-IF($B$1+56&gt;=$B$23,$B$22,0))*(1+$B$4)^56)&gt;0,1+$B$3,1))</f>
        <v/>
      </c>
      <c r="BH186">
        <f>IF($B$1+57&gt;90,BG186,(BG186+IF($B$1+57&lt;=$B186,12*$B$9,-12*MAX(0,$B$8-IF($B$1+57&gt;=$B$23,$B$22,0))*(1+$B$4)^57))*IF(BG186+IF($B$1+57&lt;=$B186,12*$B$9,-12*MAX(0,$B$8-IF($B$1+57&gt;=$B$23,$B$22,0))*(1+$B$4)^57)&gt;0,1+$B$3,1))</f>
        <v/>
      </c>
      <c r="BI186">
        <f>IF($B$1+58&gt;90,BH186,(BH186+IF($B$1+58&lt;=$B186,12*$B$9,-12*MAX(0,$B$8-IF($B$1+58&gt;=$B$23,$B$22,0))*(1+$B$4)^58))*IF(BH186+IF($B$1+58&lt;=$B186,12*$B$9,-12*MAX(0,$B$8-IF($B$1+58&gt;=$B$23,$B$22,0))*(1+$B$4)^58)&gt;0,1+$B$3,1))</f>
        <v/>
      </c>
      <c r="BJ186">
        <f>IF($B$1+59&gt;90,BI186,(BI186+IF($B$1+59&lt;=$B186,12*$B$9,-12*MAX(0,$B$8-IF($B$1+59&gt;=$B$23,$B$22,0))*(1+$B$4)^59))*IF(BI186+IF($B$1+59&lt;=$B186,12*$B$9,-12*MAX(0,$B$8-IF($B$1+59&gt;=$B$23,$B$22,0))*(1+$B$4)^59)&gt;0,1+$B$3,1))</f>
        <v/>
      </c>
      <c r="BK186">
        <f>IF($B$1+60&gt;90,BJ186,(BJ186+IF($B$1+60&lt;=$B186,12*$B$9,-12*MAX(0,$B$8-IF($B$1+60&gt;=$B$23,$B$22,0))*(1+$B$4)^60))*IF(BJ186+IF($B$1+60&lt;=$B186,12*$B$9,-12*MAX(0,$B$8-IF($B$1+60&gt;=$B$23,$B$22,0))*(1+$B$4)^60)&gt;0,1+$B$3,1))</f>
        <v/>
      </c>
      <c r="BL186">
        <f>IF($B$1+61&gt;90,BK186,(BK186+IF($B$1+61&lt;=$B186,12*$B$9,-12*MAX(0,$B$8-IF($B$1+61&gt;=$B$23,$B$22,0))*(1+$B$4)^61))*IF(BK186+IF($B$1+61&lt;=$B186,12*$B$9,-12*MAX(0,$B$8-IF($B$1+61&gt;=$B$23,$B$22,0))*(1+$B$4)^61)&gt;0,1+$B$3,1))</f>
        <v/>
      </c>
      <c r="BM186">
        <f>IF($B$1+62&gt;90,BL186,(BL186+IF($B$1+62&lt;=$B186,12*$B$9,-12*MAX(0,$B$8-IF($B$1+62&gt;=$B$23,$B$22,0))*(1+$B$4)^62))*IF(BL186+IF($B$1+62&lt;=$B186,12*$B$9,-12*MAX(0,$B$8-IF($B$1+62&gt;=$B$23,$B$22,0))*(1+$B$4)^62)&gt;0,1+$B$3,1))</f>
        <v/>
      </c>
      <c r="BN186">
        <f>IF($B$1+63&gt;90,BM186,(BM186+IF($B$1+63&lt;=$B186,12*$B$9,-12*MAX(0,$B$8-IF($B$1+63&gt;=$B$23,$B$22,0))*(1+$B$4)^63))*IF(BM186+IF($B$1+63&lt;=$B186,12*$B$9,-12*MAX(0,$B$8-IF($B$1+63&gt;=$B$23,$B$22,0))*(1+$B$4)^63)&gt;0,1+$B$3,1))</f>
        <v/>
      </c>
      <c r="BO186">
        <f>IF($B$1+64&gt;90,BN186,(BN186+IF($B$1+64&lt;=$B186,12*$B$9,-12*MAX(0,$B$8-IF($B$1+64&gt;=$B$23,$B$22,0))*(1+$B$4)^64))*IF(BN186+IF($B$1+64&lt;=$B186,12*$B$9,-12*MAX(0,$B$8-IF($B$1+64&gt;=$B$23,$B$22,0))*(1+$B$4)^64)&gt;0,1+$B$3,1))</f>
        <v/>
      </c>
      <c r="BP186">
        <f>IF($B$1+65&gt;90,BO186,(BO186+IF($B$1+65&lt;=$B186,12*$B$9,-12*MAX(0,$B$8-IF($B$1+65&gt;=$B$23,$B$22,0))*(1+$B$4)^65))*IF(BO186+IF($B$1+65&lt;=$B186,12*$B$9,-12*MAX(0,$B$8-IF($B$1+65&gt;=$B$23,$B$22,0))*(1+$B$4)^65)&gt;0,1+$B$3,1))</f>
        <v/>
      </c>
      <c r="BQ186">
        <f>IF($B$1+66&gt;90,BP186,(BP186+IF($B$1+66&lt;=$B186,12*$B$9,-12*MAX(0,$B$8-IF($B$1+66&gt;=$B$23,$B$22,0))*(1+$B$4)^66))*IF(BP186+IF($B$1+66&lt;=$B186,12*$B$9,-12*MAX(0,$B$8-IF($B$1+66&gt;=$B$23,$B$22,0))*(1+$B$4)^66)&gt;0,1+$B$3,1))</f>
        <v/>
      </c>
      <c r="BR186">
        <f>IF($B$1+67&gt;90,BQ186,(BQ186+IF($B$1+67&lt;=$B186,12*$B$9,-12*MAX(0,$B$8-IF($B$1+67&gt;=$B$23,$B$22,0))*(1+$B$4)^67))*IF(BQ186+IF($B$1+67&lt;=$B186,12*$B$9,-12*MAX(0,$B$8-IF($B$1+67&gt;=$B$23,$B$22,0))*(1+$B$4)^67)&gt;0,1+$B$3,1))</f>
        <v/>
      </c>
      <c r="BS186">
        <f>IF($B$1+68&gt;90,BR186,(BR186+IF($B$1+68&lt;=$B186,12*$B$9,-12*MAX(0,$B$8-IF($B$1+68&gt;=$B$23,$B$22,0))*(1+$B$4)^68))*IF(BR186+IF($B$1+68&lt;=$B186,12*$B$9,-12*MAX(0,$B$8-IF($B$1+68&gt;=$B$23,$B$22,0))*(1+$B$4)^68)&gt;0,1+$B$3,1))</f>
        <v/>
      </c>
      <c r="BT186">
        <f>IF($B$1+69&gt;90,BS186,(BS186+IF($B$1+69&lt;=$B186,12*$B$9,-12*MAX(0,$B$8-IF($B$1+69&gt;=$B$23,$B$22,0))*(1+$B$4)^69))*IF(BS186+IF($B$1+69&lt;=$B186,12*$B$9,-12*MAX(0,$B$8-IF($B$1+69&gt;=$B$23,$B$22,0))*(1+$B$4)^69)&gt;0,1+$B$3,1))</f>
        <v/>
      </c>
      <c r="BU186">
        <f>IF($B$1+70&gt;90,BT186,(BT186+IF($B$1+70&lt;=$B186,12*$B$9,-12*MAX(0,$B$8-IF($B$1+70&gt;=$B$23,$B$22,0))*(1+$B$4)^70))*IF(BT186+IF($B$1+70&lt;=$B186,12*$B$9,-12*MAX(0,$B$8-IF($B$1+70&gt;=$B$23,$B$22,0))*(1+$B$4)^70)&gt;0,1+$B$3,1))</f>
        <v/>
      </c>
      <c r="BV186">
        <f>BU186</f>
        <v/>
      </c>
      <c r="BW186">
        <f>IF(AND($B186&lt;=70,BV186&gt;0),$B186,999)</f>
        <v/>
      </c>
      <c r="CH186">
        <f>IF(ISTEXT('월 가계부'!A186),SUBSTITUTE(SUBSTITUTE(SUBSTITUTE(SUBSTITUTE(SUBSTITUTE(SUBSTITUTE(SUBSTITUTE(SUBSTITUTE(SUBSTITUTE(TRIM('월 가계부'!A186),"년","-"),"월","-"),"일",""),".","-"),"/","-")," ","-"),"--","-"),"--","-"),"--","-")&amp;"-","")</f>
        <v/>
      </c>
      <c r="CI186">
        <f>IFERROR(IF('월 가계부'!A186="","",IF(ISNUMBER('월 가계부'!A186),IF(AND('월 가계부'!A186&gt;=19000101,'월 가계부'!A186&lt;=21001231),IF(AND(MOD(INT('월 가계부'!A186/100),100)&gt;=1,MOD(INT('월 가계부'!A186/100),100)&lt;=12,MOD(INT('월 가계부'!A186),100)&gt;=1,MOD(INT('월 가계부'!A186),100)&lt;=31),IF(MONTH(DATE(INT('월 가계부'!A186/10000),MOD(INT('월 가계부'!A186/100),100),MOD(INT('월 가계부'!A186),100)))=MOD(INT('월 가계부'!A186/100),100),DATE(INT('월 가계부'!A186/10000),MOD(INT('월 가계부'!A186/100),100),MOD(INT('월 가계부'!A186),100)),""),""),IF(AND('월 가계부'!A186&gt;=36526,'월 가계부'!A186&lt;73051),INT('월 가계부'!A186),"")),IF(OR(CM186="",CN186="",CO186=""),"",IF(AND(CM186&gt;=2000,CM186&lt;=2099,CN186&gt;=1,CN186&lt;=12,CO186&gt;=1,CO186&lt;=31),IF(MONTH(DATE(CM186,CN186,CO186))=CN186,DATE(CM186,CN186,CO186),""),"")))),"")</f>
        <v/>
      </c>
      <c r="CJ186">
        <f>IFERROR(IF('월 가계부'!C186="","",IF(ISNUMBER('월 가계부'!C186),'월 가계부'!C186,VALUE(SUBSTITUTE(SUBSTITUTE(SUBSTITUTE(SUBSTITUTE(TRIM('월 가계부'!C186),",",""),"원","")," ",""),"−","-")))),"")</f>
        <v/>
      </c>
      <c r="CK186">
        <f>IF(ISNUMBER(CI186),IF(CI186&lt;$B$13,CI186,""),"")</f>
        <v/>
      </c>
      <c r="CM186">
        <f>IF(CH186="","",IFERROR(IF(IF(AND(LEN(CH186)=9,ISERROR(FIND("-",LEFT(CH186,8))),ISNUMBER(-LEFT(CH186,8))),VALUE(LEFT(CH186,4)),VALUE(LEFT(CH186,FIND("-",CH186)-1)))&lt;100,IF(AND(LEN(CH186)=9,ISERROR(FIND("-",LEFT(CH186,8))),ISNUMBER(-LEFT(CH186,8))),VALUE(LEFT(CH186,4)),VALUE(LEFT(CH186,FIND("-",CH186)-1)))+2000,IF(AND(LEN(CH186)=9,ISERROR(FIND("-",LEFT(CH186,8))),ISNUMBER(-LEFT(CH186,8))),VALUE(LEFT(CH186,4)),VALUE(LEFT(CH186,FIND("-",CH186)-1)))),""))</f>
        <v/>
      </c>
      <c r="CN186">
        <f>IF(CH186="","",IFERROR(IF(AND(LEN(CH186)=9,ISERROR(FIND("-",LEFT(CH186,8))),ISNUMBER(-LEFT(CH186,8))),VALUE(MID(CH186,5,2)),VALUE(MID(CH186,FIND("-",CH186)+1,FIND("-",CH186,FIND("-",CH186)+1)-FIND("-",CH186)-1))),""))</f>
        <v/>
      </c>
      <c r="CO186">
        <f>IF(CH186="","",IFERROR(IF(AND(LEN(CH186)=9,ISERROR(FIND("-",LEFT(CH186,8))),ISNUMBER(-LEFT(CH186,8))),VALUE(MID(CH186,7,2)),VALUE(MID(CH186,FIND("-",CH186,FIND("-",CH186)+1)+1,FIND("-",CH186,FIND("-",CH186,FIND("-",CH186)+1)+1)-FIND("-",CH186,FIND("-",CH186)+1)-1))),""))</f>
        <v/>
      </c>
    </row>
    <row r="187">
      <c r="A187" t="n">
        <v>35</v>
      </c>
      <c r="B187">
        <f>$B$1+35</f>
        <v/>
      </c>
      <c r="C187">
        <f>$B$2</f>
        <v/>
      </c>
      <c r="D187">
        <f>IF($B$1+1&gt;90,C187,(C187+IF($B$1+1&lt;=$B187,12*$B$9,-12*MAX(0,$B$8-IF($B$1+1&gt;=$B$23,$B$22,0))*(1+$B$4)^1))*IF(C187+IF($B$1+1&lt;=$B187,12*$B$9,-12*MAX(0,$B$8-IF($B$1+1&gt;=$B$23,$B$22,0))*(1+$B$4)^1)&gt;0,1+$B$3,1))</f>
        <v/>
      </c>
      <c r="E187">
        <f>IF($B$1+2&gt;90,D187,(D187+IF($B$1+2&lt;=$B187,12*$B$9,-12*MAX(0,$B$8-IF($B$1+2&gt;=$B$23,$B$22,0))*(1+$B$4)^2))*IF(D187+IF($B$1+2&lt;=$B187,12*$B$9,-12*MAX(0,$B$8-IF($B$1+2&gt;=$B$23,$B$22,0))*(1+$B$4)^2)&gt;0,1+$B$3,1))</f>
        <v/>
      </c>
      <c r="F187">
        <f>IF($B$1+3&gt;90,E187,(E187+IF($B$1+3&lt;=$B187,12*$B$9,-12*MAX(0,$B$8-IF($B$1+3&gt;=$B$23,$B$22,0))*(1+$B$4)^3))*IF(E187+IF($B$1+3&lt;=$B187,12*$B$9,-12*MAX(0,$B$8-IF($B$1+3&gt;=$B$23,$B$22,0))*(1+$B$4)^3)&gt;0,1+$B$3,1))</f>
        <v/>
      </c>
      <c r="G187">
        <f>IF($B$1+4&gt;90,F187,(F187+IF($B$1+4&lt;=$B187,12*$B$9,-12*MAX(0,$B$8-IF($B$1+4&gt;=$B$23,$B$22,0))*(1+$B$4)^4))*IF(F187+IF($B$1+4&lt;=$B187,12*$B$9,-12*MAX(0,$B$8-IF($B$1+4&gt;=$B$23,$B$22,0))*(1+$B$4)^4)&gt;0,1+$B$3,1))</f>
        <v/>
      </c>
      <c r="H187">
        <f>IF($B$1+5&gt;90,G187,(G187+IF($B$1+5&lt;=$B187,12*$B$9,-12*MAX(0,$B$8-IF($B$1+5&gt;=$B$23,$B$22,0))*(1+$B$4)^5))*IF(G187+IF($B$1+5&lt;=$B187,12*$B$9,-12*MAX(0,$B$8-IF($B$1+5&gt;=$B$23,$B$22,0))*(1+$B$4)^5)&gt;0,1+$B$3,1))</f>
        <v/>
      </c>
      <c r="I187">
        <f>IF($B$1+6&gt;90,H187,(H187+IF($B$1+6&lt;=$B187,12*$B$9,-12*MAX(0,$B$8-IF($B$1+6&gt;=$B$23,$B$22,0))*(1+$B$4)^6))*IF(H187+IF($B$1+6&lt;=$B187,12*$B$9,-12*MAX(0,$B$8-IF($B$1+6&gt;=$B$23,$B$22,0))*(1+$B$4)^6)&gt;0,1+$B$3,1))</f>
        <v/>
      </c>
      <c r="J187">
        <f>IF($B$1+7&gt;90,I187,(I187+IF($B$1+7&lt;=$B187,12*$B$9,-12*MAX(0,$B$8-IF($B$1+7&gt;=$B$23,$B$22,0))*(1+$B$4)^7))*IF(I187+IF($B$1+7&lt;=$B187,12*$B$9,-12*MAX(0,$B$8-IF($B$1+7&gt;=$B$23,$B$22,0))*(1+$B$4)^7)&gt;0,1+$B$3,1))</f>
        <v/>
      </c>
      <c r="K187">
        <f>IF($B$1+8&gt;90,J187,(J187+IF($B$1+8&lt;=$B187,12*$B$9,-12*MAX(0,$B$8-IF($B$1+8&gt;=$B$23,$B$22,0))*(1+$B$4)^8))*IF(J187+IF($B$1+8&lt;=$B187,12*$B$9,-12*MAX(0,$B$8-IF($B$1+8&gt;=$B$23,$B$22,0))*(1+$B$4)^8)&gt;0,1+$B$3,1))</f>
        <v/>
      </c>
      <c r="L187">
        <f>IF($B$1+9&gt;90,K187,(K187+IF($B$1+9&lt;=$B187,12*$B$9,-12*MAX(0,$B$8-IF($B$1+9&gt;=$B$23,$B$22,0))*(1+$B$4)^9))*IF(K187+IF($B$1+9&lt;=$B187,12*$B$9,-12*MAX(0,$B$8-IF($B$1+9&gt;=$B$23,$B$22,0))*(1+$B$4)^9)&gt;0,1+$B$3,1))</f>
        <v/>
      </c>
      <c r="M187">
        <f>IF($B$1+10&gt;90,L187,(L187+IF($B$1+10&lt;=$B187,12*$B$9,-12*MAX(0,$B$8-IF($B$1+10&gt;=$B$23,$B$22,0))*(1+$B$4)^10))*IF(L187+IF($B$1+10&lt;=$B187,12*$B$9,-12*MAX(0,$B$8-IF($B$1+10&gt;=$B$23,$B$22,0))*(1+$B$4)^10)&gt;0,1+$B$3,1))</f>
        <v/>
      </c>
      <c r="N187">
        <f>IF($B$1+11&gt;90,M187,(M187+IF($B$1+11&lt;=$B187,12*$B$9,-12*MAX(0,$B$8-IF($B$1+11&gt;=$B$23,$B$22,0))*(1+$B$4)^11))*IF(M187+IF($B$1+11&lt;=$B187,12*$B$9,-12*MAX(0,$B$8-IF($B$1+11&gt;=$B$23,$B$22,0))*(1+$B$4)^11)&gt;0,1+$B$3,1))</f>
        <v/>
      </c>
      <c r="O187">
        <f>IF($B$1+12&gt;90,N187,(N187+IF($B$1+12&lt;=$B187,12*$B$9,-12*MAX(0,$B$8-IF($B$1+12&gt;=$B$23,$B$22,0))*(1+$B$4)^12))*IF(N187+IF($B$1+12&lt;=$B187,12*$B$9,-12*MAX(0,$B$8-IF($B$1+12&gt;=$B$23,$B$22,0))*(1+$B$4)^12)&gt;0,1+$B$3,1))</f>
        <v/>
      </c>
      <c r="P187">
        <f>IF($B$1+13&gt;90,O187,(O187+IF($B$1+13&lt;=$B187,12*$B$9,-12*MAX(0,$B$8-IF($B$1+13&gt;=$B$23,$B$22,0))*(1+$B$4)^13))*IF(O187+IF($B$1+13&lt;=$B187,12*$B$9,-12*MAX(0,$B$8-IF($B$1+13&gt;=$B$23,$B$22,0))*(1+$B$4)^13)&gt;0,1+$B$3,1))</f>
        <v/>
      </c>
      <c r="Q187">
        <f>IF($B$1+14&gt;90,P187,(P187+IF($B$1+14&lt;=$B187,12*$B$9,-12*MAX(0,$B$8-IF($B$1+14&gt;=$B$23,$B$22,0))*(1+$B$4)^14))*IF(P187+IF($B$1+14&lt;=$B187,12*$B$9,-12*MAX(0,$B$8-IF($B$1+14&gt;=$B$23,$B$22,0))*(1+$B$4)^14)&gt;0,1+$B$3,1))</f>
        <v/>
      </c>
      <c r="R187">
        <f>IF($B$1+15&gt;90,Q187,(Q187+IF($B$1+15&lt;=$B187,12*$B$9,-12*MAX(0,$B$8-IF($B$1+15&gt;=$B$23,$B$22,0))*(1+$B$4)^15))*IF(Q187+IF($B$1+15&lt;=$B187,12*$B$9,-12*MAX(0,$B$8-IF($B$1+15&gt;=$B$23,$B$22,0))*(1+$B$4)^15)&gt;0,1+$B$3,1))</f>
        <v/>
      </c>
      <c r="S187">
        <f>IF($B$1+16&gt;90,R187,(R187+IF($B$1+16&lt;=$B187,12*$B$9,-12*MAX(0,$B$8-IF($B$1+16&gt;=$B$23,$B$22,0))*(1+$B$4)^16))*IF(R187+IF($B$1+16&lt;=$B187,12*$B$9,-12*MAX(0,$B$8-IF($B$1+16&gt;=$B$23,$B$22,0))*(1+$B$4)^16)&gt;0,1+$B$3,1))</f>
        <v/>
      </c>
      <c r="T187">
        <f>IF($B$1+17&gt;90,S187,(S187+IF($B$1+17&lt;=$B187,12*$B$9,-12*MAX(0,$B$8-IF($B$1+17&gt;=$B$23,$B$22,0))*(1+$B$4)^17))*IF(S187+IF($B$1+17&lt;=$B187,12*$B$9,-12*MAX(0,$B$8-IF($B$1+17&gt;=$B$23,$B$22,0))*(1+$B$4)^17)&gt;0,1+$B$3,1))</f>
        <v/>
      </c>
      <c r="U187">
        <f>IF($B$1+18&gt;90,T187,(T187+IF($B$1+18&lt;=$B187,12*$B$9,-12*MAX(0,$B$8-IF($B$1+18&gt;=$B$23,$B$22,0))*(1+$B$4)^18))*IF(T187+IF($B$1+18&lt;=$B187,12*$B$9,-12*MAX(0,$B$8-IF($B$1+18&gt;=$B$23,$B$22,0))*(1+$B$4)^18)&gt;0,1+$B$3,1))</f>
        <v/>
      </c>
      <c r="V187">
        <f>IF($B$1+19&gt;90,U187,(U187+IF($B$1+19&lt;=$B187,12*$B$9,-12*MAX(0,$B$8-IF($B$1+19&gt;=$B$23,$B$22,0))*(1+$B$4)^19))*IF(U187+IF($B$1+19&lt;=$B187,12*$B$9,-12*MAX(0,$B$8-IF($B$1+19&gt;=$B$23,$B$22,0))*(1+$B$4)^19)&gt;0,1+$B$3,1))</f>
        <v/>
      </c>
      <c r="W187">
        <f>IF($B$1+20&gt;90,V187,(V187+IF($B$1+20&lt;=$B187,12*$B$9,-12*MAX(0,$B$8-IF($B$1+20&gt;=$B$23,$B$22,0))*(1+$B$4)^20))*IF(V187+IF($B$1+20&lt;=$B187,12*$B$9,-12*MAX(0,$B$8-IF($B$1+20&gt;=$B$23,$B$22,0))*(1+$B$4)^20)&gt;0,1+$B$3,1))</f>
        <v/>
      </c>
      <c r="X187">
        <f>IF($B$1+21&gt;90,W187,(W187+IF($B$1+21&lt;=$B187,12*$B$9,-12*MAX(0,$B$8-IF($B$1+21&gt;=$B$23,$B$22,0))*(1+$B$4)^21))*IF(W187+IF($B$1+21&lt;=$B187,12*$B$9,-12*MAX(0,$B$8-IF($B$1+21&gt;=$B$23,$B$22,0))*(1+$B$4)^21)&gt;0,1+$B$3,1))</f>
        <v/>
      </c>
      <c r="Y187">
        <f>IF($B$1+22&gt;90,X187,(X187+IF($B$1+22&lt;=$B187,12*$B$9,-12*MAX(0,$B$8-IF($B$1+22&gt;=$B$23,$B$22,0))*(1+$B$4)^22))*IF(X187+IF($B$1+22&lt;=$B187,12*$B$9,-12*MAX(0,$B$8-IF($B$1+22&gt;=$B$23,$B$22,0))*(1+$B$4)^22)&gt;0,1+$B$3,1))</f>
        <v/>
      </c>
      <c r="Z187">
        <f>IF($B$1+23&gt;90,Y187,(Y187+IF($B$1+23&lt;=$B187,12*$B$9,-12*MAX(0,$B$8-IF($B$1+23&gt;=$B$23,$B$22,0))*(1+$B$4)^23))*IF(Y187+IF($B$1+23&lt;=$B187,12*$B$9,-12*MAX(0,$B$8-IF($B$1+23&gt;=$B$23,$B$22,0))*(1+$B$4)^23)&gt;0,1+$B$3,1))</f>
        <v/>
      </c>
      <c r="AA187">
        <f>IF($B$1+24&gt;90,Z187,(Z187+IF($B$1+24&lt;=$B187,12*$B$9,-12*MAX(0,$B$8-IF($B$1+24&gt;=$B$23,$B$22,0))*(1+$B$4)^24))*IF(Z187+IF($B$1+24&lt;=$B187,12*$B$9,-12*MAX(0,$B$8-IF($B$1+24&gt;=$B$23,$B$22,0))*(1+$B$4)^24)&gt;0,1+$B$3,1))</f>
        <v/>
      </c>
      <c r="AB187">
        <f>IF($B$1+25&gt;90,AA187,(AA187+IF($B$1+25&lt;=$B187,12*$B$9,-12*MAX(0,$B$8-IF($B$1+25&gt;=$B$23,$B$22,0))*(1+$B$4)^25))*IF(AA187+IF($B$1+25&lt;=$B187,12*$B$9,-12*MAX(0,$B$8-IF($B$1+25&gt;=$B$23,$B$22,0))*(1+$B$4)^25)&gt;0,1+$B$3,1))</f>
        <v/>
      </c>
      <c r="AC187">
        <f>IF($B$1+26&gt;90,AB187,(AB187+IF($B$1+26&lt;=$B187,12*$B$9,-12*MAX(0,$B$8-IF($B$1+26&gt;=$B$23,$B$22,0))*(1+$B$4)^26))*IF(AB187+IF($B$1+26&lt;=$B187,12*$B$9,-12*MAX(0,$B$8-IF($B$1+26&gt;=$B$23,$B$22,0))*(1+$B$4)^26)&gt;0,1+$B$3,1))</f>
        <v/>
      </c>
      <c r="AD187">
        <f>IF($B$1+27&gt;90,AC187,(AC187+IF($B$1+27&lt;=$B187,12*$B$9,-12*MAX(0,$B$8-IF($B$1+27&gt;=$B$23,$B$22,0))*(1+$B$4)^27))*IF(AC187+IF($B$1+27&lt;=$B187,12*$B$9,-12*MAX(0,$B$8-IF($B$1+27&gt;=$B$23,$B$22,0))*(1+$B$4)^27)&gt;0,1+$B$3,1))</f>
        <v/>
      </c>
      <c r="AE187">
        <f>IF($B$1+28&gt;90,AD187,(AD187+IF($B$1+28&lt;=$B187,12*$B$9,-12*MAX(0,$B$8-IF($B$1+28&gt;=$B$23,$B$22,0))*(1+$B$4)^28))*IF(AD187+IF($B$1+28&lt;=$B187,12*$B$9,-12*MAX(0,$B$8-IF($B$1+28&gt;=$B$23,$B$22,0))*(1+$B$4)^28)&gt;0,1+$B$3,1))</f>
        <v/>
      </c>
      <c r="AF187">
        <f>IF($B$1+29&gt;90,AE187,(AE187+IF($B$1+29&lt;=$B187,12*$B$9,-12*MAX(0,$B$8-IF($B$1+29&gt;=$B$23,$B$22,0))*(1+$B$4)^29))*IF(AE187+IF($B$1+29&lt;=$B187,12*$B$9,-12*MAX(0,$B$8-IF($B$1+29&gt;=$B$23,$B$22,0))*(1+$B$4)^29)&gt;0,1+$B$3,1))</f>
        <v/>
      </c>
      <c r="AG187">
        <f>IF($B$1+30&gt;90,AF187,(AF187+IF($B$1+30&lt;=$B187,12*$B$9,-12*MAX(0,$B$8-IF($B$1+30&gt;=$B$23,$B$22,0))*(1+$B$4)^30))*IF(AF187+IF($B$1+30&lt;=$B187,12*$B$9,-12*MAX(0,$B$8-IF($B$1+30&gt;=$B$23,$B$22,0))*(1+$B$4)^30)&gt;0,1+$B$3,1))</f>
        <v/>
      </c>
      <c r="AH187">
        <f>IF($B$1+31&gt;90,AG187,(AG187+IF($B$1+31&lt;=$B187,12*$B$9,-12*MAX(0,$B$8-IF($B$1+31&gt;=$B$23,$B$22,0))*(1+$B$4)^31))*IF(AG187+IF($B$1+31&lt;=$B187,12*$B$9,-12*MAX(0,$B$8-IF($B$1+31&gt;=$B$23,$B$22,0))*(1+$B$4)^31)&gt;0,1+$B$3,1))</f>
        <v/>
      </c>
      <c r="AI187">
        <f>IF($B$1+32&gt;90,AH187,(AH187+IF($B$1+32&lt;=$B187,12*$B$9,-12*MAX(0,$B$8-IF($B$1+32&gt;=$B$23,$B$22,0))*(1+$B$4)^32))*IF(AH187+IF($B$1+32&lt;=$B187,12*$B$9,-12*MAX(0,$B$8-IF($B$1+32&gt;=$B$23,$B$22,0))*(1+$B$4)^32)&gt;0,1+$B$3,1))</f>
        <v/>
      </c>
      <c r="AJ187">
        <f>IF($B$1+33&gt;90,AI187,(AI187+IF($B$1+33&lt;=$B187,12*$B$9,-12*MAX(0,$B$8-IF($B$1+33&gt;=$B$23,$B$22,0))*(1+$B$4)^33))*IF(AI187+IF($B$1+33&lt;=$B187,12*$B$9,-12*MAX(0,$B$8-IF($B$1+33&gt;=$B$23,$B$22,0))*(1+$B$4)^33)&gt;0,1+$B$3,1))</f>
        <v/>
      </c>
      <c r="AK187">
        <f>IF($B$1+34&gt;90,AJ187,(AJ187+IF($B$1+34&lt;=$B187,12*$B$9,-12*MAX(0,$B$8-IF($B$1+34&gt;=$B$23,$B$22,0))*(1+$B$4)^34))*IF(AJ187+IF($B$1+34&lt;=$B187,12*$B$9,-12*MAX(0,$B$8-IF($B$1+34&gt;=$B$23,$B$22,0))*(1+$B$4)^34)&gt;0,1+$B$3,1))</f>
        <v/>
      </c>
      <c r="AL187">
        <f>IF($B$1+35&gt;90,AK187,(AK187+IF($B$1+35&lt;=$B187,12*$B$9,-12*MAX(0,$B$8-IF($B$1+35&gt;=$B$23,$B$22,0))*(1+$B$4)^35))*IF(AK187+IF($B$1+35&lt;=$B187,12*$B$9,-12*MAX(0,$B$8-IF($B$1+35&gt;=$B$23,$B$22,0))*(1+$B$4)^35)&gt;0,1+$B$3,1))</f>
        <v/>
      </c>
      <c r="AM187">
        <f>IF($B$1+36&gt;90,AL187,(AL187+IF($B$1+36&lt;=$B187,12*$B$9,-12*MAX(0,$B$8-IF($B$1+36&gt;=$B$23,$B$22,0))*(1+$B$4)^36))*IF(AL187+IF($B$1+36&lt;=$B187,12*$B$9,-12*MAX(0,$B$8-IF($B$1+36&gt;=$B$23,$B$22,0))*(1+$B$4)^36)&gt;0,1+$B$3,1))</f>
        <v/>
      </c>
      <c r="AN187">
        <f>IF($B$1+37&gt;90,AM187,(AM187+IF($B$1+37&lt;=$B187,12*$B$9,-12*MAX(0,$B$8-IF($B$1+37&gt;=$B$23,$B$22,0))*(1+$B$4)^37))*IF(AM187+IF($B$1+37&lt;=$B187,12*$B$9,-12*MAX(0,$B$8-IF($B$1+37&gt;=$B$23,$B$22,0))*(1+$B$4)^37)&gt;0,1+$B$3,1))</f>
        <v/>
      </c>
      <c r="AO187">
        <f>IF($B$1+38&gt;90,AN187,(AN187+IF($B$1+38&lt;=$B187,12*$B$9,-12*MAX(0,$B$8-IF($B$1+38&gt;=$B$23,$B$22,0))*(1+$B$4)^38))*IF(AN187+IF($B$1+38&lt;=$B187,12*$B$9,-12*MAX(0,$B$8-IF($B$1+38&gt;=$B$23,$B$22,0))*(1+$B$4)^38)&gt;0,1+$B$3,1))</f>
        <v/>
      </c>
      <c r="AP187">
        <f>IF($B$1+39&gt;90,AO187,(AO187+IF($B$1+39&lt;=$B187,12*$B$9,-12*MAX(0,$B$8-IF($B$1+39&gt;=$B$23,$B$22,0))*(1+$B$4)^39))*IF(AO187+IF($B$1+39&lt;=$B187,12*$B$9,-12*MAX(0,$B$8-IF($B$1+39&gt;=$B$23,$B$22,0))*(1+$B$4)^39)&gt;0,1+$B$3,1))</f>
        <v/>
      </c>
      <c r="AQ187">
        <f>IF($B$1+40&gt;90,AP187,(AP187+IF($B$1+40&lt;=$B187,12*$B$9,-12*MAX(0,$B$8-IF($B$1+40&gt;=$B$23,$B$22,0))*(1+$B$4)^40))*IF(AP187+IF($B$1+40&lt;=$B187,12*$B$9,-12*MAX(0,$B$8-IF($B$1+40&gt;=$B$23,$B$22,0))*(1+$B$4)^40)&gt;0,1+$B$3,1))</f>
        <v/>
      </c>
      <c r="AR187">
        <f>IF($B$1+41&gt;90,AQ187,(AQ187+IF($B$1+41&lt;=$B187,12*$B$9,-12*MAX(0,$B$8-IF($B$1+41&gt;=$B$23,$B$22,0))*(1+$B$4)^41))*IF(AQ187+IF($B$1+41&lt;=$B187,12*$B$9,-12*MAX(0,$B$8-IF($B$1+41&gt;=$B$23,$B$22,0))*(1+$B$4)^41)&gt;0,1+$B$3,1))</f>
        <v/>
      </c>
      <c r="AS187">
        <f>IF($B$1+42&gt;90,AR187,(AR187+IF($B$1+42&lt;=$B187,12*$B$9,-12*MAX(0,$B$8-IF($B$1+42&gt;=$B$23,$B$22,0))*(1+$B$4)^42))*IF(AR187+IF($B$1+42&lt;=$B187,12*$B$9,-12*MAX(0,$B$8-IF($B$1+42&gt;=$B$23,$B$22,0))*(1+$B$4)^42)&gt;0,1+$B$3,1))</f>
        <v/>
      </c>
      <c r="AT187">
        <f>IF($B$1+43&gt;90,AS187,(AS187+IF($B$1+43&lt;=$B187,12*$B$9,-12*MAX(0,$B$8-IF($B$1+43&gt;=$B$23,$B$22,0))*(1+$B$4)^43))*IF(AS187+IF($B$1+43&lt;=$B187,12*$B$9,-12*MAX(0,$B$8-IF($B$1+43&gt;=$B$23,$B$22,0))*(1+$B$4)^43)&gt;0,1+$B$3,1))</f>
        <v/>
      </c>
      <c r="AU187">
        <f>IF($B$1+44&gt;90,AT187,(AT187+IF($B$1+44&lt;=$B187,12*$B$9,-12*MAX(0,$B$8-IF($B$1+44&gt;=$B$23,$B$22,0))*(1+$B$4)^44))*IF(AT187+IF($B$1+44&lt;=$B187,12*$B$9,-12*MAX(0,$B$8-IF($B$1+44&gt;=$B$23,$B$22,0))*(1+$B$4)^44)&gt;0,1+$B$3,1))</f>
        <v/>
      </c>
      <c r="AV187">
        <f>IF($B$1+45&gt;90,AU187,(AU187+IF($B$1+45&lt;=$B187,12*$B$9,-12*MAX(0,$B$8-IF($B$1+45&gt;=$B$23,$B$22,0))*(1+$B$4)^45))*IF(AU187+IF($B$1+45&lt;=$B187,12*$B$9,-12*MAX(0,$B$8-IF($B$1+45&gt;=$B$23,$B$22,0))*(1+$B$4)^45)&gt;0,1+$B$3,1))</f>
        <v/>
      </c>
      <c r="AW187">
        <f>IF($B$1+46&gt;90,AV187,(AV187+IF($B$1+46&lt;=$B187,12*$B$9,-12*MAX(0,$B$8-IF($B$1+46&gt;=$B$23,$B$22,0))*(1+$B$4)^46))*IF(AV187+IF($B$1+46&lt;=$B187,12*$B$9,-12*MAX(0,$B$8-IF($B$1+46&gt;=$B$23,$B$22,0))*(1+$B$4)^46)&gt;0,1+$B$3,1))</f>
        <v/>
      </c>
      <c r="AX187">
        <f>IF($B$1+47&gt;90,AW187,(AW187+IF($B$1+47&lt;=$B187,12*$B$9,-12*MAX(0,$B$8-IF($B$1+47&gt;=$B$23,$B$22,0))*(1+$B$4)^47))*IF(AW187+IF($B$1+47&lt;=$B187,12*$B$9,-12*MAX(0,$B$8-IF($B$1+47&gt;=$B$23,$B$22,0))*(1+$B$4)^47)&gt;0,1+$B$3,1))</f>
        <v/>
      </c>
      <c r="AY187">
        <f>IF($B$1+48&gt;90,AX187,(AX187+IF($B$1+48&lt;=$B187,12*$B$9,-12*MAX(0,$B$8-IF($B$1+48&gt;=$B$23,$B$22,0))*(1+$B$4)^48))*IF(AX187+IF($B$1+48&lt;=$B187,12*$B$9,-12*MAX(0,$B$8-IF($B$1+48&gt;=$B$23,$B$22,0))*(1+$B$4)^48)&gt;0,1+$B$3,1))</f>
        <v/>
      </c>
      <c r="AZ187">
        <f>IF($B$1+49&gt;90,AY187,(AY187+IF($B$1+49&lt;=$B187,12*$B$9,-12*MAX(0,$B$8-IF($B$1+49&gt;=$B$23,$B$22,0))*(1+$B$4)^49))*IF(AY187+IF($B$1+49&lt;=$B187,12*$B$9,-12*MAX(0,$B$8-IF($B$1+49&gt;=$B$23,$B$22,0))*(1+$B$4)^49)&gt;0,1+$B$3,1))</f>
        <v/>
      </c>
      <c r="BA187">
        <f>IF($B$1+50&gt;90,AZ187,(AZ187+IF($B$1+50&lt;=$B187,12*$B$9,-12*MAX(0,$B$8-IF($B$1+50&gt;=$B$23,$B$22,0))*(1+$B$4)^50))*IF(AZ187+IF($B$1+50&lt;=$B187,12*$B$9,-12*MAX(0,$B$8-IF($B$1+50&gt;=$B$23,$B$22,0))*(1+$B$4)^50)&gt;0,1+$B$3,1))</f>
        <v/>
      </c>
      <c r="BB187">
        <f>IF($B$1+51&gt;90,BA187,(BA187+IF($B$1+51&lt;=$B187,12*$B$9,-12*MAX(0,$B$8-IF($B$1+51&gt;=$B$23,$B$22,0))*(1+$B$4)^51))*IF(BA187+IF($B$1+51&lt;=$B187,12*$B$9,-12*MAX(0,$B$8-IF($B$1+51&gt;=$B$23,$B$22,0))*(1+$B$4)^51)&gt;0,1+$B$3,1))</f>
        <v/>
      </c>
      <c r="BC187">
        <f>IF($B$1+52&gt;90,BB187,(BB187+IF($B$1+52&lt;=$B187,12*$B$9,-12*MAX(0,$B$8-IF($B$1+52&gt;=$B$23,$B$22,0))*(1+$B$4)^52))*IF(BB187+IF($B$1+52&lt;=$B187,12*$B$9,-12*MAX(0,$B$8-IF($B$1+52&gt;=$B$23,$B$22,0))*(1+$B$4)^52)&gt;0,1+$B$3,1))</f>
        <v/>
      </c>
      <c r="BD187">
        <f>IF($B$1+53&gt;90,BC187,(BC187+IF($B$1+53&lt;=$B187,12*$B$9,-12*MAX(0,$B$8-IF($B$1+53&gt;=$B$23,$B$22,0))*(1+$B$4)^53))*IF(BC187+IF($B$1+53&lt;=$B187,12*$B$9,-12*MAX(0,$B$8-IF($B$1+53&gt;=$B$23,$B$22,0))*(1+$B$4)^53)&gt;0,1+$B$3,1))</f>
        <v/>
      </c>
      <c r="BE187">
        <f>IF($B$1+54&gt;90,BD187,(BD187+IF($B$1+54&lt;=$B187,12*$B$9,-12*MAX(0,$B$8-IF($B$1+54&gt;=$B$23,$B$22,0))*(1+$B$4)^54))*IF(BD187+IF($B$1+54&lt;=$B187,12*$B$9,-12*MAX(0,$B$8-IF($B$1+54&gt;=$B$23,$B$22,0))*(1+$B$4)^54)&gt;0,1+$B$3,1))</f>
        <v/>
      </c>
      <c r="BF187">
        <f>IF($B$1+55&gt;90,BE187,(BE187+IF($B$1+55&lt;=$B187,12*$B$9,-12*MAX(0,$B$8-IF($B$1+55&gt;=$B$23,$B$22,0))*(1+$B$4)^55))*IF(BE187+IF($B$1+55&lt;=$B187,12*$B$9,-12*MAX(0,$B$8-IF($B$1+55&gt;=$B$23,$B$22,0))*(1+$B$4)^55)&gt;0,1+$B$3,1))</f>
        <v/>
      </c>
      <c r="BG187">
        <f>IF($B$1+56&gt;90,BF187,(BF187+IF($B$1+56&lt;=$B187,12*$B$9,-12*MAX(0,$B$8-IF($B$1+56&gt;=$B$23,$B$22,0))*(1+$B$4)^56))*IF(BF187+IF($B$1+56&lt;=$B187,12*$B$9,-12*MAX(0,$B$8-IF($B$1+56&gt;=$B$23,$B$22,0))*(1+$B$4)^56)&gt;0,1+$B$3,1))</f>
        <v/>
      </c>
      <c r="BH187">
        <f>IF($B$1+57&gt;90,BG187,(BG187+IF($B$1+57&lt;=$B187,12*$B$9,-12*MAX(0,$B$8-IF($B$1+57&gt;=$B$23,$B$22,0))*(1+$B$4)^57))*IF(BG187+IF($B$1+57&lt;=$B187,12*$B$9,-12*MAX(0,$B$8-IF($B$1+57&gt;=$B$23,$B$22,0))*(1+$B$4)^57)&gt;0,1+$B$3,1))</f>
        <v/>
      </c>
      <c r="BI187">
        <f>IF($B$1+58&gt;90,BH187,(BH187+IF($B$1+58&lt;=$B187,12*$B$9,-12*MAX(0,$B$8-IF($B$1+58&gt;=$B$23,$B$22,0))*(1+$B$4)^58))*IF(BH187+IF($B$1+58&lt;=$B187,12*$B$9,-12*MAX(0,$B$8-IF($B$1+58&gt;=$B$23,$B$22,0))*(1+$B$4)^58)&gt;0,1+$B$3,1))</f>
        <v/>
      </c>
      <c r="BJ187">
        <f>IF($B$1+59&gt;90,BI187,(BI187+IF($B$1+59&lt;=$B187,12*$B$9,-12*MAX(0,$B$8-IF($B$1+59&gt;=$B$23,$B$22,0))*(1+$B$4)^59))*IF(BI187+IF($B$1+59&lt;=$B187,12*$B$9,-12*MAX(0,$B$8-IF($B$1+59&gt;=$B$23,$B$22,0))*(1+$B$4)^59)&gt;0,1+$B$3,1))</f>
        <v/>
      </c>
      <c r="BK187">
        <f>IF($B$1+60&gt;90,BJ187,(BJ187+IF($B$1+60&lt;=$B187,12*$B$9,-12*MAX(0,$B$8-IF($B$1+60&gt;=$B$23,$B$22,0))*(1+$B$4)^60))*IF(BJ187+IF($B$1+60&lt;=$B187,12*$B$9,-12*MAX(0,$B$8-IF($B$1+60&gt;=$B$23,$B$22,0))*(1+$B$4)^60)&gt;0,1+$B$3,1))</f>
        <v/>
      </c>
      <c r="BL187">
        <f>IF($B$1+61&gt;90,BK187,(BK187+IF($B$1+61&lt;=$B187,12*$B$9,-12*MAX(0,$B$8-IF($B$1+61&gt;=$B$23,$B$22,0))*(1+$B$4)^61))*IF(BK187+IF($B$1+61&lt;=$B187,12*$B$9,-12*MAX(0,$B$8-IF($B$1+61&gt;=$B$23,$B$22,0))*(1+$B$4)^61)&gt;0,1+$B$3,1))</f>
        <v/>
      </c>
      <c r="BM187">
        <f>IF($B$1+62&gt;90,BL187,(BL187+IF($B$1+62&lt;=$B187,12*$B$9,-12*MAX(0,$B$8-IF($B$1+62&gt;=$B$23,$B$22,0))*(1+$B$4)^62))*IF(BL187+IF($B$1+62&lt;=$B187,12*$B$9,-12*MAX(0,$B$8-IF($B$1+62&gt;=$B$23,$B$22,0))*(1+$B$4)^62)&gt;0,1+$B$3,1))</f>
        <v/>
      </c>
      <c r="BN187">
        <f>IF($B$1+63&gt;90,BM187,(BM187+IF($B$1+63&lt;=$B187,12*$B$9,-12*MAX(0,$B$8-IF($B$1+63&gt;=$B$23,$B$22,0))*(1+$B$4)^63))*IF(BM187+IF($B$1+63&lt;=$B187,12*$B$9,-12*MAX(0,$B$8-IF($B$1+63&gt;=$B$23,$B$22,0))*(1+$B$4)^63)&gt;0,1+$B$3,1))</f>
        <v/>
      </c>
      <c r="BO187">
        <f>IF($B$1+64&gt;90,BN187,(BN187+IF($B$1+64&lt;=$B187,12*$B$9,-12*MAX(0,$B$8-IF($B$1+64&gt;=$B$23,$B$22,0))*(1+$B$4)^64))*IF(BN187+IF($B$1+64&lt;=$B187,12*$B$9,-12*MAX(0,$B$8-IF($B$1+64&gt;=$B$23,$B$22,0))*(1+$B$4)^64)&gt;0,1+$B$3,1))</f>
        <v/>
      </c>
      <c r="BP187">
        <f>IF($B$1+65&gt;90,BO187,(BO187+IF($B$1+65&lt;=$B187,12*$B$9,-12*MAX(0,$B$8-IF($B$1+65&gt;=$B$23,$B$22,0))*(1+$B$4)^65))*IF(BO187+IF($B$1+65&lt;=$B187,12*$B$9,-12*MAX(0,$B$8-IF($B$1+65&gt;=$B$23,$B$22,0))*(1+$B$4)^65)&gt;0,1+$B$3,1))</f>
        <v/>
      </c>
      <c r="BQ187">
        <f>IF($B$1+66&gt;90,BP187,(BP187+IF($B$1+66&lt;=$B187,12*$B$9,-12*MAX(0,$B$8-IF($B$1+66&gt;=$B$23,$B$22,0))*(1+$B$4)^66))*IF(BP187+IF($B$1+66&lt;=$B187,12*$B$9,-12*MAX(0,$B$8-IF($B$1+66&gt;=$B$23,$B$22,0))*(1+$B$4)^66)&gt;0,1+$B$3,1))</f>
        <v/>
      </c>
      <c r="BR187">
        <f>IF($B$1+67&gt;90,BQ187,(BQ187+IF($B$1+67&lt;=$B187,12*$B$9,-12*MAX(0,$B$8-IF($B$1+67&gt;=$B$23,$B$22,0))*(1+$B$4)^67))*IF(BQ187+IF($B$1+67&lt;=$B187,12*$B$9,-12*MAX(0,$B$8-IF($B$1+67&gt;=$B$23,$B$22,0))*(1+$B$4)^67)&gt;0,1+$B$3,1))</f>
        <v/>
      </c>
      <c r="BS187">
        <f>IF($B$1+68&gt;90,BR187,(BR187+IF($B$1+68&lt;=$B187,12*$B$9,-12*MAX(0,$B$8-IF($B$1+68&gt;=$B$23,$B$22,0))*(1+$B$4)^68))*IF(BR187+IF($B$1+68&lt;=$B187,12*$B$9,-12*MAX(0,$B$8-IF($B$1+68&gt;=$B$23,$B$22,0))*(1+$B$4)^68)&gt;0,1+$B$3,1))</f>
        <v/>
      </c>
      <c r="BT187">
        <f>IF($B$1+69&gt;90,BS187,(BS187+IF($B$1+69&lt;=$B187,12*$B$9,-12*MAX(0,$B$8-IF($B$1+69&gt;=$B$23,$B$22,0))*(1+$B$4)^69))*IF(BS187+IF($B$1+69&lt;=$B187,12*$B$9,-12*MAX(0,$B$8-IF($B$1+69&gt;=$B$23,$B$22,0))*(1+$B$4)^69)&gt;0,1+$B$3,1))</f>
        <v/>
      </c>
      <c r="BU187">
        <f>IF($B$1+70&gt;90,BT187,(BT187+IF($B$1+70&lt;=$B187,12*$B$9,-12*MAX(0,$B$8-IF($B$1+70&gt;=$B$23,$B$22,0))*(1+$B$4)^70))*IF(BT187+IF($B$1+70&lt;=$B187,12*$B$9,-12*MAX(0,$B$8-IF($B$1+70&gt;=$B$23,$B$22,0))*(1+$B$4)^70)&gt;0,1+$B$3,1))</f>
        <v/>
      </c>
      <c r="BV187">
        <f>BU187</f>
        <v/>
      </c>
      <c r="BW187">
        <f>IF(AND($B187&lt;=70,BV187&gt;0),$B187,999)</f>
        <v/>
      </c>
      <c r="CH187">
        <f>IF(ISTEXT('월 가계부'!A187),SUBSTITUTE(SUBSTITUTE(SUBSTITUTE(SUBSTITUTE(SUBSTITUTE(SUBSTITUTE(SUBSTITUTE(SUBSTITUTE(SUBSTITUTE(TRIM('월 가계부'!A187),"년","-"),"월","-"),"일",""),".","-"),"/","-")," ","-"),"--","-"),"--","-"),"--","-")&amp;"-","")</f>
        <v/>
      </c>
      <c r="CI187">
        <f>IFERROR(IF('월 가계부'!A187="","",IF(ISNUMBER('월 가계부'!A187),IF(AND('월 가계부'!A187&gt;=19000101,'월 가계부'!A187&lt;=21001231),IF(AND(MOD(INT('월 가계부'!A187/100),100)&gt;=1,MOD(INT('월 가계부'!A187/100),100)&lt;=12,MOD(INT('월 가계부'!A187),100)&gt;=1,MOD(INT('월 가계부'!A187),100)&lt;=31),IF(MONTH(DATE(INT('월 가계부'!A187/10000),MOD(INT('월 가계부'!A187/100),100),MOD(INT('월 가계부'!A187),100)))=MOD(INT('월 가계부'!A187/100),100),DATE(INT('월 가계부'!A187/10000),MOD(INT('월 가계부'!A187/100),100),MOD(INT('월 가계부'!A187),100)),""),""),IF(AND('월 가계부'!A187&gt;=36526,'월 가계부'!A187&lt;73051),INT('월 가계부'!A187),"")),IF(OR(CM187="",CN187="",CO187=""),"",IF(AND(CM187&gt;=2000,CM187&lt;=2099,CN187&gt;=1,CN187&lt;=12,CO187&gt;=1,CO187&lt;=31),IF(MONTH(DATE(CM187,CN187,CO187))=CN187,DATE(CM187,CN187,CO187),""),"")))),"")</f>
        <v/>
      </c>
      <c r="CJ187">
        <f>IFERROR(IF('월 가계부'!C187="","",IF(ISNUMBER('월 가계부'!C187),'월 가계부'!C187,VALUE(SUBSTITUTE(SUBSTITUTE(SUBSTITUTE(SUBSTITUTE(TRIM('월 가계부'!C187),",",""),"원","")," ",""),"−","-")))),"")</f>
        <v/>
      </c>
      <c r="CK187">
        <f>IF(ISNUMBER(CI187),IF(CI187&lt;$B$13,CI187,""),"")</f>
        <v/>
      </c>
      <c r="CM187">
        <f>IF(CH187="","",IFERROR(IF(IF(AND(LEN(CH187)=9,ISERROR(FIND("-",LEFT(CH187,8))),ISNUMBER(-LEFT(CH187,8))),VALUE(LEFT(CH187,4)),VALUE(LEFT(CH187,FIND("-",CH187)-1)))&lt;100,IF(AND(LEN(CH187)=9,ISERROR(FIND("-",LEFT(CH187,8))),ISNUMBER(-LEFT(CH187,8))),VALUE(LEFT(CH187,4)),VALUE(LEFT(CH187,FIND("-",CH187)-1)))+2000,IF(AND(LEN(CH187)=9,ISERROR(FIND("-",LEFT(CH187,8))),ISNUMBER(-LEFT(CH187,8))),VALUE(LEFT(CH187,4)),VALUE(LEFT(CH187,FIND("-",CH187)-1)))),""))</f>
        <v/>
      </c>
      <c r="CN187">
        <f>IF(CH187="","",IFERROR(IF(AND(LEN(CH187)=9,ISERROR(FIND("-",LEFT(CH187,8))),ISNUMBER(-LEFT(CH187,8))),VALUE(MID(CH187,5,2)),VALUE(MID(CH187,FIND("-",CH187)+1,FIND("-",CH187,FIND("-",CH187)+1)-FIND("-",CH187)-1))),""))</f>
        <v/>
      </c>
      <c r="CO187">
        <f>IF(CH187="","",IFERROR(IF(AND(LEN(CH187)=9,ISERROR(FIND("-",LEFT(CH187,8))),ISNUMBER(-LEFT(CH187,8))),VALUE(MID(CH187,7,2)),VALUE(MID(CH187,FIND("-",CH187,FIND("-",CH187)+1)+1,FIND("-",CH187,FIND("-",CH187,FIND("-",CH187)+1)+1)-FIND("-",CH187,FIND("-",CH187)+1)-1))),""))</f>
        <v/>
      </c>
    </row>
    <row r="188">
      <c r="A188" t="n">
        <v>36</v>
      </c>
      <c r="B188">
        <f>$B$1+36</f>
        <v/>
      </c>
      <c r="C188">
        <f>$B$2</f>
        <v/>
      </c>
      <c r="D188">
        <f>IF($B$1+1&gt;90,C188,(C188+IF($B$1+1&lt;=$B188,12*$B$9,-12*MAX(0,$B$8-IF($B$1+1&gt;=$B$23,$B$22,0))*(1+$B$4)^1))*IF(C188+IF($B$1+1&lt;=$B188,12*$B$9,-12*MAX(0,$B$8-IF($B$1+1&gt;=$B$23,$B$22,0))*(1+$B$4)^1)&gt;0,1+$B$3,1))</f>
        <v/>
      </c>
      <c r="E188">
        <f>IF($B$1+2&gt;90,D188,(D188+IF($B$1+2&lt;=$B188,12*$B$9,-12*MAX(0,$B$8-IF($B$1+2&gt;=$B$23,$B$22,0))*(1+$B$4)^2))*IF(D188+IF($B$1+2&lt;=$B188,12*$B$9,-12*MAX(0,$B$8-IF($B$1+2&gt;=$B$23,$B$22,0))*(1+$B$4)^2)&gt;0,1+$B$3,1))</f>
        <v/>
      </c>
      <c r="F188">
        <f>IF($B$1+3&gt;90,E188,(E188+IF($B$1+3&lt;=$B188,12*$B$9,-12*MAX(0,$B$8-IF($B$1+3&gt;=$B$23,$B$22,0))*(1+$B$4)^3))*IF(E188+IF($B$1+3&lt;=$B188,12*$B$9,-12*MAX(0,$B$8-IF($B$1+3&gt;=$B$23,$B$22,0))*(1+$B$4)^3)&gt;0,1+$B$3,1))</f>
        <v/>
      </c>
      <c r="G188">
        <f>IF($B$1+4&gt;90,F188,(F188+IF($B$1+4&lt;=$B188,12*$B$9,-12*MAX(0,$B$8-IF($B$1+4&gt;=$B$23,$B$22,0))*(1+$B$4)^4))*IF(F188+IF($B$1+4&lt;=$B188,12*$B$9,-12*MAX(0,$B$8-IF($B$1+4&gt;=$B$23,$B$22,0))*(1+$B$4)^4)&gt;0,1+$B$3,1))</f>
        <v/>
      </c>
      <c r="H188">
        <f>IF($B$1+5&gt;90,G188,(G188+IF($B$1+5&lt;=$B188,12*$B$9,-12*MAX(0,$B$8-IF($B$1+5&gt;=$B$23,$B$22,0))*(1+$B$4)^5))*IF(G188+IF($B$1+5&lt;=$B188,12*$B$9,-12*MAX(0,$B$8-IF($B$1+5&gt;=$B$23,$B$22,0))*(1+$B$4)^5)&gt;0,1+$B$3,1))</f>
        <v/>
      </c>
      <c r="I188">
        <f>IF($B$1+6&gt;90,H188,(H188+IF($B$1+6&lt;=$B188,12*$B$9,-12*MAX(0,$B$8-IF($B$1+6&gt;=$B$23,$B$22,0))*(1+$B$4)^6))*IF(H188+IF($B$1+6&lt;=$B188,12*$B$9,-12*MAX(0,$B$8-IF($B$1+6&gt;=$B$23,$B$22,0))*(1+$B$4)^6)&gt;0,1+$B$3,1))</f>
        <v/>
      </c>
      <c r="J188">
        <f>IF($B$1+7&gt;90,I188,(I188+IF($B$1+7&lt;=$B188,12*$B$9,-12*MAX(0,$B$8-IF($B$1+7&gt;=$B$23,$B$22,0))*(1+$B$4)^7))*IF(I188+IF($B$1+7&lt;=$B188,12*$B$9,-12*MAX(0,$B$8-IF($B$1+7&gt;=$B$23,$B$22,0))*(1+$B$4)^7)&gt;0,1+$B$3,1))</f>
        <v/>
      </c>
      <c r="K188">
        <f>IF($B$1+8&gt;90,J188,(J188+IF($B$1+8&lt;=$B188,12*$B$9,-12*MAX(0,$B$8-IF($B$1+8&gt;=$B$23,$B$22,0))*(1+$B$4)^8))*IF(J188+IF($B$1+8&lt;=$B188,12*$B$9,-12*MAX(0,$B$8-IF($B$1+8&gt;=$B$23,$B$22,0))*(1+$B$4)^8)&gt;0,1+$B$3,1))</f>
        <v/>
      </c>
      <c r="L188">
        <f>IF($B$1+9&gt;90,K188,(K188+IF($B$1+9&lt;=$B188,12*$B$9,-12*MAX(0,$B$8-IF($B$1+9&gt;=$B$23,$B$22,0))*(1+$B$4)^9))*IF(K188+IF($B$1+9&lt;=$B188,12*$B$9,-12*MAX(0,$B$8-IF($B$1+9&gt;=$B$23,$B$22,0))*(1+$B$4)^9)&gt;0,1+$B$3,1))</f>
        <v/>
      </c>
      <c r="M188">
        <f>IF($B$1+10&gt;90,L188,(L188+IF($B$1+10&lt;=$B188,12*$B$9,-12*MAX(0,$B$8-IF($B$1+10&gt;=$B$23,$B$22,0))*(1+$B$4)^10))*IF(L188+IF($B$1+10&lt;=$B188,12*$B$9,-12*MAX(0,$B$8-IF($B$1+10&gt;=$B$23,$B$22,0))*(1+$B$4)^10)&gt;0,1+$B$3,1))</f>
        <v/>
      </c>
      <c r="N188">
        <f>IF($B$1+11&gt;90,M188,(M188+IF($B$1+11&lt;=$B188,12*$B$9,-12*MAX(0,$B$8-IF($B$1+11&gt;=$B$23,$B$22,0))*(1+$B$4)^11))*IF(M188+IF($B$1+11&lt;=$B188,12*$B$9,-12*MAX(0,$B$8-IF($B$1+11&gt;=$B$23,$B$22,0))*(1+$B$4)^11)&gt;0,1+$B$3,1))</f>
        <v/>
      </c>
      <c r="O188">
        <f>IF($B$1+12&gt;90,N188,(N188+IF($B$1+12&lt;=$B188,12*$B$9,-12*MAX(0,$B$8-IF($B$1+12&gt;=$B$23,$B$22,0))*(1+$B$4)^12))*IF(N188+IF($B$1+12&lt;=$B188,12*$B$9,-12*MAX(0,$B$8-IF($B$1+12&gt;=$B$23,$B$22,0))*(1+$B$4)^12)&gt;0,1+$B$3,1))</f>
        <v/>
      </c>
      <c r="P188">
        <f>IF($B$1+13&gt;90,O188,(O188+IF($B$1+13&lt;=$B188,12*$B$9,-12*MAX(0,$B$8-IF($B$1+13&gt;=$B$23,$B$22,0))*(1+$B$4)^13))*IF(O188+IF($B$1+13&lt;=$B188,12*$B$9,-12*MAX(0,$B$8-IF($B$1+13&gt;=$B$23,$B$22,0))*(1+$B$4)^13)&gt;0,1+$B$3,1))</f>
        <v/>
      </c>
      <c r="Q188">
        <f>IF($B$1+14&gt;90,P188,(P188+IF($B$1+14&lt;=$B188,12*$B$9,-12*MAX(0,$B$8-IF($B$1+14&gt;=$B$23,$B$22,0))*(1+$B$4)^14))*IF(P188+IF($B$1+14&lt;=$B188,12*$B$9,-12*MAX(0,$B$8-IF($B$1+14&gt;=$B$23,$B$22,0))*(1+$B$4)^14)&gt;0,1+$B$3,1))</f>
        <v/>
      </c>
      <c r="R188">
        <f>IF($B$1+15&gt;90,Q188,(Q188+IF($B$1+15&lt;=$B188,12*$B$9,-12*MAX(0,$B$8-IF($B$1+15&gt;=$B$23,$B$22,0))*(1+$B$4)^15))*IF(Q188+IF($B$1+15&lt;=$B188,12*$B$9,-12*MAX(0,$B$8-IF($B$1+15&gt;=$B$23,$B$22,0))*(1+$B$4)^15)&gt;0,1+$B$3,1))</f>
        <v/>
      </c>
      <c r="S188">
        <f>IF($B$1+16&gt;90,R188,(R188+IF($B$1+16&lt;=$B188,12*$B$9,-12*MAX(0,$B$8-IF($B$1+16&gt;=$B$23,$B$22,0))*(1+$B$4)^16))*IF(R188+IF($B$1+16&lt;=$B188,12*$B$9,-12*MAX(0,$B$8-IF($B$1+16&gt;=$B$23,$B$22,0))*(1+$B$4)^16)&gt;0,1+$B$3,1))</f>
        <v/>
      </c>
      <c r="T188">
        <f>IF($B$1+17&gt;90,S188,(S188+IF($B$1+17&lt;=$B188,12*$B$9,-12*MAX(0,$B$8-IF($B$1+17&gt;=$B$23,$B$22,0))*(1+$B$4)^17))*IF(S188+IF($B$1+17&lt;=$B188,12*$B$9,-12*MAX(0,$B$8-IF($B$1+17&gt;=$B$23,$B$22,0))*(1+$B$4)^17)&gt;0,1+$B$3,1))</f>
        <v/>
      </c>
      <c r="U188">
        <f>IF($B$1+18&gt;90,T188,(T188+IF($B$1+18&lt;=$B188,12*$B$9,-12*MAX(0,$B$8-IF($B$1+18&gt;=$B$23,$B$22,0))*(1+$B$4)^18))*IF(T188+IF($B$1+18&lt;=$B188,12*$B$9,-12*MAX(0,$B$8-IF($B$1+18&gt;=$B$23,$B$22,0))*(1+$B$4)^18)&gt;0,1+$B$3,1))</f>
        <v/>
      </c>
      <c r="V188">
        <f>IF($B$1+19&gt;90,U188,(U188+IF($B$1+19&lt;=$B188,12*$B$9,-12*MAX(0,$B$8-IF($B$1+19&gt;=$B$23,$B$22,0))*(1+$B$4)^19))*IF(U188+IF($B$1+19&lt;=$B188,12*$B$9,-12*MAX(0,$B$8-IF($B$1+19&gt;=$B$23,$B$22,0))*(1+$B$4)^19)&gt;0,1+$B$3,1))</f>
        <v/>
      </c>
      <c r="W188">
        <f>IF($B$1+20&gt;90,V188,(V188+IF($B$1+20&lt;=$B188,12*$B$9,-12*MAX(0,$B$8-IF($B$1+20&gt;=$B$23,$B$22,0))*(1+$B$4)^20))*IF(V188+IF($B$1+20&lt;=$B188,12*$B$9,-12*MAX(0,$B$8-IF($B$1+20&gt;=$B$23,$B$22,0))*(1+$B$4)^20)&gt;0,1+$B$3,1))</f>
        <v/>
      </c>
      <c r="X188">
        <f>IF($B$1+21&gt;90,W188,(W188+IF($B$1+21&lt;=$B188,12*$B$9,-12*MAX(0,$B$8-IF($B$1+21&gt;=$B$23,$B$22,0))*(1+$B$4)^21))*IF(W188+IF($B$1+21&lt;=$B188,12*$B$9,-12*MAX(0,$B$8-IF($B$1+21&gt;=$B$23,$B$22,0))*(1+$B$4)^21)&gt;0,1+$B$3,1))</f>
        <v/>
      </c>
      <c r="Y188">
        <f>IF($B$1+22&gt;90,X188,(X188+IF($B$1+22&lt;=$B188,12*$B$9,-12*MAX(0,$B$8-IF($B$1+22&gt;=$B$23,$B$22,0))*(1+$B$4)^22))*IF(X188+IF($B$1+22&lt;=$B188,12*$B$9,-12*MAX(0,$B$8-IF($B$1+22&gt;=$B$23,$B$22,0))*(1+$B$4)^22)&gt;0,1+$B$3,1))</f>
        <v/>
      </c>
      <c r="Z188">
        <f>IF($B$1+23&gt;90,Y188,(Y188+IF($B$1+23&lt;=$B188,12*$B$9,-12*MAX(0,$B$8-IF($B$1+23&gt;=$B$23,$B$22,0))*(1+$B$4)^23))*IF(Y188+IF($B$1+23&lt;=$B188,12*$B$9,-12*MAX(0,$B$8-IF($B$1+23&gt;=$B$23,$B$22,0))*(1+$B$4)^23)&gt;0,1+$B$3,1))</f>
        <v/>
      </c>
      <c r="AA188">
        <f>IF($B$1+24&gt;90,Z188,(Z188+IF($B$1+24&lt;=$B188,12*$B$9,-12*MAX(0,$B$8-IF($B$1+24&gt;=$B$23,$B$22,0))*(1+$B$4)^24))*IF(Z188+IF($B$1+24&lt;=$B188,12*$B$9,-12*MAX(0,$B$8-IF($B$1+24&gt;=$B$23,$B$22,0))*(1+$B$4)^24)&gt;0,1+$B$3,1))</f>
        <v/>
      </c>
      <c r="AB188">
        <f>IF($B$1+25&gt;90,AA188,(AA188+IF($B$1+25&lt;=$B188,12*$B$9,-12*MAX(0,$B$8-IF($B$1+25&gt;=$B$23,$B$22,0))*(1+$B$4)^25))*IF(AA188+IF($B$1+25&lt;=$B188,12*$B$9,-12*MAX(0,$B$8-IF($B$1+25&gt;=$B$23,$B$22,0))*(1+$B$4)^25)&gt;0,1+$B$3,1))</f>
        <v/>
      </c>
      <c r="AC188">
        <f>IF($B$1+26&gt;90,AB188,(AB188+IF($B$1+26&lt;=$B188,12*$B$9,-12*MAX(0,$B$8-IF($B$1+26&gt;=$B$23,$B$22,0))*(1+$B$4)^26))*IF(AB188+IF($B$1+26&lt;=$B188,12*$B$9,-12*MAX(0,$B$8-IF($B$1+26&gt;=$B$23,$B$22,0))*(1+$B$4)^26)&gt;0,1+$B$3,1))</f>
        <v/>
      </c>
      <c r="AD188">
        <f>IF($B$1+27&gt;90,AC188,(AC188+IF($B$1+27&lt;=$B188,12*$B$9,-12*MAX(0,$B$8-IF($B$1+27&gt;=$B$23,$B$22,0))*(1+$B$4)^27))*IF(AC188+IF($B$1+27&lt;=$B188,12*$B$9,-12*MAX(0,$B$8-IF($B$1+27&gt;=$B$23,$B$22,0))*(1+$B$4)^27)&gt;0,1+$B$3,1))</f>
        <v/>
      </c>
      <c r="AE188">
        <f>IF($B$1+28&gt;90,AD188,(AD188+IF($B$1+28&lt;=$B188,12*$B$9,-12*MAX(0,$B$8-IF($B$1+28&gt;=$B$23,$B$22,0))*(1+$B$4)^28))*IF(AD188+IF($B$1+28&lt;=$B188,12*$B$9,-12*MAX(0,$B$8-IF($B$1+28&gt;=$B$23,$B$22,0))*(1+$B$4)^28)&gt;0,1+$B$3,1))</f>
        <v/>
      </c>
      <c r="AF188">
        <f>IF($B$1+29&gt;90,AE188,(AE188+IF($B$1+29&lt;=$B188,12*$B$9,-12*MAX(0,$B$8-IF($B$1+29&gt;=$B$23,$B$22,0))*(1+$B$4)^29))*IF(AE188+IF($B$1+29&lt;=$B188,12*$B$9,-12*MAX(0,$B$8-IF($B$1+29&gt;=$B$23,$B$22,0))*(1+$B$4)^29)&gt;0,1+$B$3,1))</f>
        <v/>
      </c>
      <c r="AG188">
        <f>IF($B$1+30&gt;90,AF188,(AF188+IF($B$1+30&lt;=$B188,12*$B$9,-12*MAX(0,$B$8-IF($B$1+30&gt;=$B$23,$B$22,0))*(1+$B$4)^30))*IF(AF188+IF($B$1+30&lt;=$B188,12*$B$9,-12*MAX(0,$B$8-IF($B$1+30&gt;=$B$23,$B$22,0))*(1+$B$4)^30)&gt;0,1+$B$3,1))</f>
        <v/>
      </c>
      <c r="AH188">
        <f>IF($B$1+31&gt;90,AG188,(AG188+IF($B$1+31&lt;=$B188,12*$B$9,-12*MAX(0,$B$8-IF($B$1+31&gt;=$B$23,$B$22,0))*(1+$B$4)^31))*IF(AG188+IF($B$1+31&lt;=$B188,12*$B$9,-12*MAX(0,$B$8-IF($B$1+31&gt;=$B$23,$B$22,0))*(1+$B$4)^31)&gt;0,1+$B$3,1))</f>
        <v/>
      </c>
      <c r="AI188">
        <f>IF($B$1+32&gt;90,AH188,(AH188+IF($B$1+32&lt;=$B188,12*$B$9,-12*MAX(0,$B$8-IF($B$1+32&gt;=$B$23,$B$22,0))*(1+$B$4)^32))*IF(AH188+IF($B$1+32&lt;=$B188,12*$B$9,-12*MAX(0,$B$8-IF($B$1+32&gt;=$B$23,$B$22,0))*(1+$B$4)^32)&gt;0,1+$B$3,1))</f>
        <v/>
      </c>
      <c r="AJ188">
        <f>IF($B$1+33&gt;90,AI188,(AI188+IF($B$1+33&lt;=$B188,12*$B$9,-12*MAX(0,$B$8-IF($B$1+33&gt;=$B$23,$B$22,0))*(1+$B$4)^33))*IF(AI188+IF($B$1+33&lt;=$B188,12*$B$9,-12*MAX(0,$B$8-IF($B$1+33&gt;=$B$23,$B$22,0))*(1+$B$4)^33)&gt;0,1+$B$3,1))</f>
        <v/>
      </c>
      <c r="AK188">
        <f>IF($B$1+34&gt;90,AJ188,(AJ188+IF($B$1+34&lt;=$B188,12*$B$9,-12*MAX(0,$B$8-IF($B$1+34&gt;=$B$23,$B$22,0))*(1+$B$4)^34))*IF(AJ188+IF($B$1+34&lt;=$B188,12*$B$9,-12*MAX(0,$B$8-IF($B$1+34&gt;=$B$23,$B$22,0))*(1+$B$4)^34)&gt;0,1+$B$3,1))</f>
        <v/>
      </c>
      <c r="AL188">
        <f>IF($B$1+35&gt;90,AK188,(AK188+IF($B$1+35&lt;=$B188,12*$B$9,-12*MAX(0,$B$8-IF($B$1+35&gt;=$B$23,$B$22,0))*(1+$B$4)^35))*IF(AK188+IF($B$1+35&lt;=$B188,12*$B$9,-12*MAX(0,$B$8-IF($B$1+35&gt;=$B$23,$B$22,0))*(1+$B$4)^35)&gt;0,1+$B$3,1))</f>
        <v/>
      </c>
      <c r="AM188">
        <f>IF($B$1+36&gt;90,AL188,(AL188+IF($B$1+36&lt;=$B188,12*$B$9,-12*MAX(0,$B$8-IF($B$1+36&gt;=$B$23,$B$22,0))*(1+$B$4)^36))*IF(AL188+IF($B$1+36&lt;=$B188,12*$B$9,-12*MAX(0,$B$8-IF($B$1+36&gt;=$B$23,$B$22,0))*(1+$B$4)^36)&gt;0,1+$B$3,1))</f>
        <v/>
      </c>
      <c r="AN188">
        <f>IF($B$1+37&gt;90,AM188,(AM188+IF($B$1+37&lt;=$B188,12*$B$9,-12*MAX(0,$B$8-IF($B$1+37&gt;=$B$23,$B$22,0))*(1+$B$4)^37))*IF(AM188+IF($B$1+37&lt;=$B188,12*$B$9,-12*MAX(0,$B$8-IF($B$1+37&gt;=$B$23,$B$22,0))*(1+$B$4)^37)&gt;0,1+$B$3,1))</f>
        <v/>
      </c>
      <c r="AO188">
        <f>IF($B$1+38&gt;90,AN188,(AN188+IF($B$1+38&lt;=$B188,12*$B$9,-12*MAX(0,$B$8-IF($B$1+38&gt;=$B$23,$B$22,0))*(1+$B$4)^38))*IF(AN188+IF($B$1+38&lt;=$B188,12*$B$9,-12*MAX(0,$B$8-IF($B$1+38&gt;=$B$23,$B$22,0))*(1+$B$4)^38)&gt;0,1+$B$3,1))</f>
        <v/>
      </c>
      <c r="AP188">
        <f>IF($B$1+39&gt;90,AO188,(AO188+IF($B$1+39&lt;=$B188,12*$B$9,-12*MAX(0,$B$8-IF($B$1+39&gt;=$B$23,$B$22,0))*(1+$B$4)^39))*IF(AO188+IF($B$1+39&lt;=$B188,12*$B$9,-12*MAX(0,$B$8-IF($B$1+39&gt;=$B$23,$B$22,0))*(1+$B$4)^39)&gt;0,1+$B$3,1))</f>
        <v/>
      </c>
      <c r="AQ188">
        <f>IF($B$1+40&gt;90,AP188,(AP188+IF($B$1+40&lt;=$B188,12*$B$9,-12*MAX(0,$B$8-IF($B$1+40&gt;=$B$23,$B$22,0))*(1+$B$4)^40))*IF(AP188+IF($B$1+40&lt;=$B188,12*$B$9,-12*MAX(0,$B$8-IF($B$1+40&gt;=$B$23,$B$22,0))*(1+$B$4)^40)&gt;0,1+$B$3,1))</f>
        <v/>
      </c>
      <c r="AR188">
        <f>IF($B$1+41&gt;90,AQ188,(AQ188+IF($B$1+41&lt;=$B188,12*$B$9,-12*MAX(0,$B$8-IF($B$1+41&gt;=$B$23,$B$22,0))*(1+$B$4)^41))*IF(AQ188+IF($B$1+41&lt;=$B188,12*$B$9,-12*MAX(0,$B$8-IF($B$1+41&gt;=$B$23,$B$22,0))*(1+$B$4)^41)&gt;0,1+$B$3,1))</f>
        <v/>
      </c>
      <c r="AS188">
        <f>IF($B$1+42&gt;90,AR188,(AR188+IF($B$1+42&lt;=$B188,12*$B$9,-12*MAX(0,$B$8-IF($B$1+42&gt;=$B$23,$B$22,0))*(1+$B$4)^42))*IF(AR188+IF($B$1+42&lt;=$B188,12*$B$9,-12*MAX(0,$B$8-IF($B$1+42&gt;=$B$23,$B$22,0))*(1+$B$4)^42)&gt;0,1+$B$3,1))</f>
        <v/>
      </c>
      <c r="AT188">
        <f>IF($B$1+43&gt;90,AS188,(AS188+IF($B$1+43&lt;=$B188,12*$B$9,-12*MAX(0,$B$8-IF($B$1+43&gt;=$B$23,$B$22,0))*(1+$B$4)^43))*IF(AS188+IF($B$1+43&lt;=$B188,12*$B$9,-12*MAX(0,$B$8-IF($B$1+43&gt;=$B$23,$B$22,0))*(1+$B$4)^43)&gt;0,1+$B$3,1))</f>
        <v/>
      </c>
      <c r="AU188">
        <f>IF($B$1+44&gt;90,AT188,(AT188+IF($B$1+44&lt;=$B188,12*$B$9,-12*MAX(0,$B$8-IF($B$1+44&gt;=$B$23,$B$22,0))*(1+$B$4)^44))*IF(AT188+IF($B$1+44&lt;=$B188,12*$B$9,-12*MAX(0,$B$8-IF($B$1+44&gt;=$B$23,$B$22,0))*(1+$B$4)^44)&gt;0,1+$B$3,1))</f>
        <v/>
      </c>
      <c r="AV188">
        <f>IF($B$1+45&gt;90,AU188,(AU188+IF($B$1+45&lt;=$B188,12*$B$9,-12*MAX(0,$B$8-IF($B$1+45&gt;=$B$23,$B$22,0))*(1+$B$4)^45))*IF(AU188+IF($B$1+45&lt;=$B188,12*$B$9,-12*MAX(0,$B$8-IF($B$1+45&gt;=$B$23,$B$22,0))*(1+$B$4)^45)&gt;0,1+$B$3,1))</f>
        <v/>
      </c>
      <c r="AW188">
        <f>IF($B$1+46&gt;90,AV188,(AV188+IF($B$1+46&lt;=$B188,12*$B$9,-12*MAX(0,$B$8-IF($B$1+46&gt;=$B$23,$B$22,0))*(1+$B$4)^46))*IF(AV188+IF($B$1+46&lt;=$B188,12*$B$9,-12*MAX(0,$B$8-IF($B$1+46&gt;=$B$23,$B$22,0))*(1+$B$4)^46)&gt;0,1+$B$3,1))</f>
        <v/>
      </c>
      <c r="AX188">
        <f>IF($B$1+47&gt;90,AW188,(AW188+IF($B$1+47&lt;=$B188,12*$B$9,-12*MAX(0,$B$8-IF($B$1+47&gt;=$B$23,$B$22,0))*(1+$B$4)^47))*IF(AW188+IF($B$1+47&lt;=$B188,12*$B$9,-12*MAX(0,$B$8-IF($B$1+47&gt;=$B$23,$B$22,0))*(1+$B$4)^47)&gt;0,1+$B$3,1))</f>
        <v/>
      </c>
      <c r="AY188">
        <f>IF($B$1+48&gt;90,AX188,(AX188+IF($B$1+48&lt;=$B188,12*$B$9,-12*MAX(0,$B$8-IF($B$1+48&gt;=$B$23,$B$22,0))*(1+$B$4)^48))*IF(AX188+IF($B$1+48&lt;=$B188,12*$B$9,-12*MAX(0,$B$8-IF($B$1+48&gt;=$B$23,$B$22,0))*(1+$B$4)^48)&gt;0,1+$B$3,1))</f>
        <v/>
      </c>
      <c r="AZ188">
        <f>IF($B$1+49&gt;90,AY188,(AY188+IF($B$1+49&lt;=$B188,12*$B$9,-12*MAX(0,$B$8-IF($B$1+49&gt;=$B$23,$B$22,0))*(1+$B$4)^49))*IF(AY188+IF($B$1+49&lt;=$B188,12*$B$9,-12*MAX(0,$B$8-IF($B$1+49&gt;=$B$23,$B$22,0))*(1+$B$4)^49)&gt;0,1+$B$3,1))</f>
        <v/>
      </c>
      <c r="BA188">
        <f>IF($B$1+50&gt;90,AZ188,(AZ188+IF($B$1+50&lt;=$B188,12*$B$9,-12*MAX(0,$B$8-IF($B$1+50&gt;=$B$23,$B$22,0))*(1+$B$4)^50))*IF(AZ188+IF($B$1+50&lt;=$B188,12*$B$9,-12*MAX(0,$B$8-IF($B$1+50&gt;=$B$23,$B$22,0))*(1+$B$4)^50)&gt;0,1+$B$3,1))</f>
        <v/>
      </c>
      <c r="BB188">
        <f>IF($B$1+51&gt;90,BA188,(BA188+IF($B$1+51&lt;=$B188,12*$B$9,-12*MAX(0,$B$8-IF($B$1+51&gt;=$B$23,$B$22,0))*(1+$B$4)^51))*IF(BA188+IF($B$1+51&lt;=$B188,12*$B$9,-12*MAX(0,$B$8-IF($B$1+51&gt;=$B$23,$B$22,0))*(1+$B$4)^51)&gt;0,1+$B$3,1))</f>
        <v/>
      </c>
      <c r="BC188">
        <f>IF($B$1+52&gt;90,BB188,(BB188+IF($B$1+52&lt;=$B188,12*$B$9,-12*MAX(0,$B$8-IF($B$1+52&gt;=$B$23,$B$22,0))*(1+$B$4)^52))*IF(BB188+IF($B$1+52&lt;=$B188,12*$B$9,-12*MAX(0,$B$8-IF($B$1+52&gt;=$B$23,$B$22,0))*(1+$B$4)^52)&gt;0,1+$B$3,1))</f>
        <v/>
      </c>
      <c r="BD188">
        <f>IF($B$1+53&gt;90,BC188,(BC188+IF($B$1+53&lt;=$B188,12*$B$9,-12*MAX(0,$B$8-IF($B$1+53&gt;=$B$23,$B$22,0))*(1+$B$4)^53))*IF(BC188+IF($B$1+53&lt;=$B188,12*$B$9,-12*MAX(0,$B$8-IF($B$1+53&gt;=$B$23,$B$22,0))*(1+$B$4)^53)&gt;0,1+$B$3,1))</f>
        <v/>
      </c>
      <c r="BE188">
        <f>IF($B$1+54&gt;90,BD188,(BD188+IF($B$1+54&lt;=$B188,12*$B$9,-12*MAX(0,$B$8-IF($B$1+54&gt;=$B$23,$B$22,0))*(1+$B$4)^54))*IF(BD188+IF($B$1+54&lt;=$B188,12*$B$9,-12*MAX(0,$B$8-IF($B$1+54&gt;=$B$23,$B$22,0))*(1+$B$4)^54)&gt;0,1+$B$3,1))</f>
        <v/>
      </c>
      <c r="BF188">
        <f>IF($B$1+55&gt;90,BE188,(BE188+IF($B$1+55&lt;=$B188,12*$B$9,-12*MAX(0,$B$8-IF($B$1+55&gt;=$B$23,$B$22,0))*(1+$B$4)^55))*IF(BE188+IF($B$1+55&lt;=$B188,12*$B$9,-12*MAX(0,$B$8-IF($B$1+55&gt;=$B$23,$B$22,0))*(1+$B$4)^55)&gt;0,1+$B$3,1))</f>
        <v/>
      </c>
      <c r="BG188">
        <f>IF($B$1+56&gt;90,BF188,(BF188+IF($B$1+56&lt;=$B188,12*$B$9,-12*MAX(0,$B$8-IF($B$1+56&gt;=$B$23,$B$22,0))*(1+$B$4)^56))*IF(BF188+IF($B$1+56&lt;=$B188,12*$B$9,-12*MAX(0,$B$8-IF($B$1+56&gt;=$B$23,$B$22,0))*(1+$B$4)^56)&gt;0,1+$B$3,1))</f>
        <v/>
      </c>
      <c r="BH188">
        <f>IF($B$1+57&gt;90,BG188,(BG188+IF($B$1+57&lt;=$B188,12*$B$9,-12*MAX(0,$B$8-IF($B$1+57&gt;=$B$23,$B$22,0))*(1+$B$4)^57))*IF(BG188+IF($B$1+57&lt;=$B188,12*$B$9,-12*MAX(0,$B$8-IF($B$1+57&gt;=$B$23,$B$22,0))*(1+$B$4)^57)&gt;0,1+$B$3,1))</f>
        <v/>
      </c>
      <c r="BI188">
        <f>IF($B$1+58&gt;90,BH188,(BH188+IF($B$1+58&lt;=$B188,12*$B$9,-12*MAX(0,$B$8-IF($B$1+58&gt;=$B$23,$B$22,0))*(1+$B$4)^58))*IF(BH188+IF($B$1+58&lt;=$B188,12*$B$9,-12*MAX(0,$B$8-IF($B$1+58&gt;=$B$23,$B$22,0))*(1+$B$4)^58)&gt;0,1+$B$3,1))</f>
        <v/>
      </c>
      <c r="BJ188">
        <f>IF($B$1+59&gt;90,BI188,(BI188+IF($B$1+59&lt;=$B188,12*$B$9,-12*MAX(0,$B$8-IF($B$1+59&gt;=$B$23,$B$22,0))*(1+$B$4)^59))*IF(BI188+IF($B$1+59&lt;=$B188,12*$B$9,-12*MAX(0,$B$8-IF($B$1+59&gt;=$B$23,$B$22,0))*(1+$B$4)^59)&gt;0,1+$B$3,1))</f>
        <v/>
      </c>
      <c r="BK188">
        <f>IF($B$1+60&gt;90,BJ188,(BJ188+IF($B$1+60&lt;=$B188,12*$B$9,-12*MAX(0,$B$8-IF($B$1+60&gt;=$B$23,$B$22,0))*(1+$B$4)^60))*IF(BJ188+IF($B$1+60&lt;=$B188,12*$B$9,-12*MAX(0,$B$8-IF($B$1+60&gt;=$B$23,$B$22,0))*(1+$B$4)^60)&gt;0,1+$B$3,1))</f>
        <v/>
      </c>
      <c r="BL188">
        <f>IF($B$1+61&gt;90,BK188,(BK188+IF($B$1+61&lt;=$B188,12*$B$9,-12*MAX(0,$B$8-IF($B$1+61&gt;=$B$23,$B$22,0))*(1+$B$4)^61))*IF(BK188+IF($B$1+61&lt;=$B188,12*$B$9,-12*MAX(0,$B$8-IF($B$1+61&gt;=$B$23,$B$22,0))*(1+$B$4)^61)&gt;0,1+$B$3,1))</f>
        <v/>
      </c>
      <c r="BM188">
        <f>IF($B$1+62&gt;90,BL188,(BL188+IF($B$1+62&lt;=$B188,12*$B$9,-12*MAX(0,$B$8-IF($B$1+62&gt;=$B$23,$B$22,0))*(1+$B$4)^62))*IF(BL188+IF($B$1+62&lt;=$B188,12*$B$9,-12*MAX(0,$B$8-IF($B$1+62&gt;=$B$23,$B$22,0))*(1+$B$4)^62)&gt;0,1+$B$3,1))</f>
        <v/>
      </c>
      <c r="BN188">
        <f>IF($B$1+63&gt;90,BM188,(BM188+IF($B$1+63&lt;=$B188,12*$B$9,-12*MAX(0,$B$8-IF($B$1+63&gt;=$B$23,$B$22,0))*(1+$B$4)^63))*IF(BM188+IF($B$1+63&lt;=$B188,12*$B$9,-12*MAX(0,$B$8-IF($B$1+63&gt;=$B$23,$B$22,0))*(1+$B$4)^63)&gt;0,1+$B$3,1))</f>
        <v/>
      </c>
      <c r="BO188">
        <f>IF($B$1+64&gt;90,BN188,(BN188+IF($B$1+64&lt;=$B188,12*$B$9,-12*MAX(0,$B$8-IF($B$1+64&gt;=$B$23,$B$22,0))*(1+$B$4)^64))*IF(BN188+IF($B$1+64&lt;=$B188,12*$B$9,-12*MAX(0,$B$8-IF($B$1+64&gt;=$B$23,$B$22,0))*(1+$B$4)^64)&gt;0,1+$B$3,1))</f>
        <v/>
      </c>
      <c r="BP188">
        <f>IF($B$1+65&gt;90,BO188,(BO188+IF($B$1+65&lt;=$B188,12*$B$9,-12*MAX(0,$B$8-IF($B$1+65&gt;=$B$23,$B$22,0))*(1+$B$4)^65))*IF(BO188+IF($B$1+65&lt;=$B188,12*$B$9,-12*MAX(0,$B$8-IF($B$1+65&gt;=$B$23,$B$22,0))*(1+$B$4)^65)&gt;0,1+$B$3,1))</f>
        <v/>
      </c>
      <c r="BQ188">
        <f>IF($B$1+66&gt;90,BP188,(BP188+IF($B$1+66&lt;=$B188,12*$B$9,-12*MAX(0,$B$8-IF($B$1+66&gt;=$B$23,$B$22,0))*(1+$B$4)^66))*IF(BP188+IF($B$1+66&lt;=$B188,12*$B$9,-12*MAX(0,$B$8-IF($B$1+66&gt;=$B$23,$B$22,0))*(1+$B$4)^66)&gt;0,1+$B$3,1))</f>
        <v/>
      </c>
      <c r="BR188">
        <f>IF($B$1+67&gt;90,BQ188,(BQ188+IF($B$1+67&lt;=$B188,12*$B$9,-12*MAX(0,$B$8-IF($B$1+67&gt;=$B$23,$B$22,0))*(1+$B$4)^67))*IF(BQ188+IF($B$1+67&lt;=$B188,12*$B$9,-12*MAX(0,$B$8-IF($B$1+67&gt;=$B$23,$B$22,0))*(1+$B$4)^67)&gt;0,1+$B$3,1))</f>
        <v/>
      </c>
      <c r="BS188">
        <f>IF($B$1+68&gt;90,BR188,(BR188+IF($B$1+68&lt;=$B188,12*$B$9,-12*MAX(0,$B$8-IF($B$1+68&gt;=$B$23,$B$22,0))*(1+$B$4)^68))*IF(BR188+IF($B$1+68&lt;=$B188,12*$B$9,-12*MAX(0,$B$8-IF($B$1+68&gt;=$B$23,$B$22,0))*(1+$B$4)^68)&gt;0,1+$B$3,1))</f>
        <v/>
      </c>
      <c r="BT188">
        <f>IF($B$1+69&gt;90,BS188,(BS188+IF($B$1+69&lt;=$B188,12*$B$9,-12*MAX(0,$B$8-IF($B$1+69&gt;=$B$23,$B$22,0))*(1+$B$4)^69))*IF(BS188+IF($B$1+69&lt;=$B188,12*$B$9,-12*MAX(0,$B$8-IF($B$1+69&gt;=$B$23,$B$22,0))*(1+$B$4)^69)&gt;0,1+$B$3,1))</f>
        <v/>
      </c>
      <c r="BU188">
        <f>IF($B$1+70&gt;90,BT188,(BT188+IF($B$1+70&lt;=$B188,12*$B$9,-12*MAX(0,$B$8-IF($B$1+70&gt;=$B$23,$B$22,0))*(1+$B$4)^70))*IF(BT188+IF($B$1+70&lt;=$B188,12*$B$9,-12*MAX(0,$B$8-IF($B$1+70&gt;=$B$23,$B$22,0))*(1+$B$4)^70)&gt;0,1+$B$3,1))</f>
        <v/>
      </c>
      <c r="BV188">
        <f>BU188</f>
        <v/>
      </c>
      <c r="BW188">
        <f>IF(AND($B188&lt;=70,BV188&gt;0),$B188,999)</f>
        <v/>
      </c>
      <c r="CH188">
        <f>IF(ISTEXT('월 가계부'!A188),SUBSTITUTE(SUBSTITUTE(SUBSTITUTE(SUBSTITUTE(SUBSTITUTE(SUBSTITUTE(SUBSTITUTE(SUBSTITUTE(SUBSTITUTE(TRIM('월 가계부'!A188),"년","-"),"월","-"),"일",""),".","-"),"/","-")," ","-"),"--","-"),"--","-"),"--","-")&amp;"-","")</f>
        <v/>
      </c>
      <c r="CI188">
        <f>IFERROR(IF('월 가계부'!A188="","",IF(ISNUMBER('월 가계부'!A188),IF(AND('월 가계부'!A188&gt;=19000101,'월 가계부'!A188&lt;=21001231),IF(AND(MOD(INT('월 가계부'!A188/100),100)&gt;=1,MOD(INT('월 가계부'!A188/100),100)&lt;=12,MOD(INT('월 가계부'!A188),100)&gt;=1,MOD(INT('월 가계부'!A188),100)&lt;=31),IF(MONTH(DATE(INT('월 가계부'!A188/10000),MOD(INT('월 가계부'!A188/100),100),MOD(INT('월 가계부'!A188),100)))=MOD(INT('월 가계부'!A188/100),100),DATE(INT('월 가계부'!A188/10000),MOD(INT('월 가계부'!A188/100),100),MOD(INT('월 가계부'!A188),100)),""),""),IF(AND('월 가계부'!A188&gt;=36526,'월 가계부'!A188&lt;73051),INT('월 가계부'!A188),"")),IF(OR(CM188="",CN188="",CO188=""),"",IF(AND(CM188&gt;=2000,CM188&lt;=2099,CN188&gt;=1,CN188&lt;=12,CO188&gt;=1,CO188&lt;=31),IF(MONTH(DATE(CM188,CN188,CO188))=CN188,DATE(CM188,CN188,CO188),""),"")))),"")</f>
        <v/>
      </c>
      <c r="CJ188">
        <f>IFERROR(IF('월 가계부'!C188="","",IF(ISNUMBER('월 가계부'!C188),'월 가계부'!C188,VALUE(SUBSTITUTE(SUBSTITUTE(SUBSTITUTE(SUBSTITUTE(TRIM('월 가계부'!C188),",",""),"원","")," ",""),"−","-")))),"")</f>
        <v/>
      </c>
      <c r="CK188">
        <f>IF(ISNUMBER(CI188),IF(CI188&lt;$B$13,CI188,""),"")</f>
        <v/>
      </c>
      <c r="CM188">
        <f>IF(CH188="","",IFERROR(IF(IF(AND(LEN(CH188)=9,ISERROR(FIND("-",LEFT(CH188,8))),ISNUMBER(-LEFT(CH188,8))),VALUE(LEFT(CH188,4)),VALUE(LEFT(CH188,FIND("-",CH188)-1)))&lt;100,IF(AND(LEN(CH188)=9,ISERROR(FIND("-",LEFT(CH188,8))),ISNUMBER(-LEFT(CH188,8))),VALUE(LEFT(CH188,4)),VALUE(LEFT(CH188,FIND("-",CH188)-1)))+2000,IF(AND(LEN(CH188)=9,ISERROR(FIND("-",LEFT(CH188,8))),ISNUMBER(-LEFT(CH188,8))),VALUE(LEFT(CH188,4)),VALUE(LEFT(CH188,FIND("-",CH188)-1)))),""))</f>
        <v/>
      </c>
      <c r="CN188">
        <f>IF(CH188="","",IFERROR(IF(AND(LEN(CH188)=9,ISERROR(FIND("-",LEFT(CH188,8))),ISNUMBER(-LEFT(CH188,8))),VALUE(MID(CH188,5,2)),VALUE(MID(CH188,FIND("-",CH188)+1,FIND("-",CH188,FIND("-",CH188)+1)-FIND("-",CH188)-1))),""))</f>
        <v/>
      </c>
      <c r="CO188">
        <f>IF(CH188="","",IFERROR(IF(AND(LEN(CH188)=9,ISERROR(FIND("-",LEFT(CH188,8))),ISNUMBER(-LEFT(CH188,8))),VALUE(MID(CH188,7,2)),VALUE(MID(CH188,FIND("-",CH188,FIND("-",CH188)+1)+1,FIND("-",CH188,FIND("-",CH188,FIND("-",CH188)+1)+1)-FIND("-",CH188,FIND("-",CH188)+1)-1))),""))</f>
        <v/>
      </c>
    </row>
    <row r="189">
      <c r="A189" t="n">
        <v>37</v>
      </c>
      <c r="B189">
        <f>$B$1+37</f>
        <v/>
      </c>
      <c r="C189">
        <f>$B$2</f>
        <v/>
      </c>
      <c r="D189">
        <f>IF($B$1+1&gt;90,C189,(C189+IF($B$1+1&lt;=$B189,12*$B$9,-12*MAX(0,$B$8-IF($B$1+1&gt;=$B$23,$B$22,0))*(1+$B$4)^1))*IF(C189+IF($B$1+1&lt;=$B189,12*$B$9,-12*MAX(0,$B$8-IF($B$1+1&gt;=$B$23,$B$22,0))*(1+$B$4)^1)&gt;0,1+$B$3,1))</f>
        <v/>
      </c>
      <c r="E189">
        <f>IF($B$1+2&gt;90,D189,(D189+IF($B$1+2&lt;=$B189,12*$B$9,-12*MAX(0,$B$8-IF($B$1+2&gt;=$B$23,$B$22,0))*(1+$B$4)^2))*IF(D189+IF($B$1+2&lt;=$B189,12*$B$9,-12*MAX(0,$B$8-IF($B$1+2&gt;=$B$23,$B$22,0))*(1+$B$4)^2)&gt;0,1+$B$3,1))</f>
        <v/>
      </c>
      <c r="F189">
        <f>IF($B$1+3&gt;90,E189,(E189+IF($B$1+3&lt;=$B189,12*$B$9,-12*MAX(0,$B$8-IF($B$1+3&gt;=$B$23,$B$22,0))*(1+$B$4)^3))*IF(E189+IF($B$1+3&lt;=$B189,12*$B$9,-12*MAX(0,$B$8-IF($B$1+3&gt;=$B$23,$B$22,0))*(1+$B$4)^3)&gt;0,1+$B$3,1))</f>
        <v/>
      </c>
      <c r="G189">
        <f>IF($B$1+4&gt;90,F189,(F189+IF($B$1+4&lt;=$B189,12*$B$9,-12*MAX(0,$B$8-IF($B$1+4&gt;=$B$23,$B$22,0))*(1+$B$4)^4))*IF(F189+IF($B$1+4&lt;=$B189,12*$B$9,-12*MAX(0,$B$8-IF($B$1+4&gt;=$B$23,$B$22,0))*(1+$B$4)^4)&gt;0,1+$B$3,1))</f>
        <v/>
      </c>
      <c r="H189">
        <f>IF($B$1+5&gt;90,G189,(G189+IF($B$1+5&lt;=$B189,12*$B$9,-12*MAX(0,$B$8-IF($B$1+5&gt;=$B$23,$B$22,0))*(1+$B$4)^5))*IF(G189+IF($B$1+5&lt;=$B189,12*$B$9,-12*MAX(0,$B$8-IF($B$1+5&gt;=$B$23,$B$22,0))*(1+$B$4)^5)&gt;0,1+$B$3,1))</f>
        <v/>
      </c>
      <c r="I189">
        <f>IF($B$1+6&gt;90,H189,(H189+IF($B$1+6&lt;=$B189,12*$B$9,-12*MAX(0,$B$8-IF($B$1+6&gt;=$B$23,$B$22,0))*(1+$B$4)^6))*IF(H189+IF($B$1+6&lt;=$B189,12*$B$9,-12*MAX(0,$B$8-IF($B$1+6&gt;=$B$23,$B$22,0))*(1+$B$4)^6)&gt;0,1+$B$3,1))</f>
        <v/>
      </c>
      <c r="J189">
        <f>IF($B$1+7&gt;90,I189,(I189+IF($B$1+7&lt;=$B189,12*$B$9,-12*MAX(0,$B$8-IF($B$1+7&gt;=$B$23,$B$22,0))*(1+$B$4)^7))*IF(I189+IF($B$1+7&lt;=$B189,12*$B$9,-12*MAX(0,$B$8-IF($B$1+7&gt;=$B$23,$B$22,0))*(1+$B$4)^7)&gt;0,1+$B$3,1))</f>
        <v/>
      </c>
      <c r="K189">
        <f>IF($B$1+8&gt;90,J189,(J189+IF($B$1+8&lt;=$B189,12*$B$9,-12*MAX(0,$B$8-IF($B$1+8&gt;=$B$23,$B$22,0))*(1+$B$4)^8))*IF(J189+IF($B$1+8&lt;=$B189,12*$B$9,-12*MAX(0,$B$8-IF($B$1+8&gt;=$B$23,$B$22,0))*(1+$B$4)^8)&gt;0,1+$B$3,1))</f>
        <v/>
      </c>
      <c r="L189">
        <f>IF($B$1+9&gt;90,K189,(K189+IF($B$1+9&lt;=$B189,12*$B$9,-12*MAX(0,$B$8-IF($B$1+9&gt;=$B$23,$B$22,0))*(1+$B$4)^9))*IF(K189+IF($B$1+9&lt;=$B189,12*$B$9,-12*MAX(0,$B$8-IF($B$1+9&gt;=$B$23,$B$22,0))*(1+$B$4)^9)&gt;0,1+$B$3,1))</f>
        <v/>
      </c>
      <c r="M189">
        <f>IF($B$1+10&gt;90,L189,(L189+IF($B$1+10&lt;=$B189,12*$B$9,-12*MAX(0,$B$8-IF($B$1+10&gt;=$B$23,$B$22,0))*(1+$B$4)^10))*IF(L189+IF($B$1+10&lt;=$B189,12*$B$9,-12*MAX(0,$B$8-IF($B$1+10&gt;=$B$23,$B$22,0))*(1+$B$4)^10)&gt;0,1+$B$3,1))</f>
        <v/>
      </c>
      <c r="N189">
        <f>IF($B$1+11&gt;90,M189,(M189+IF($B$1+11&lt;=$B189,12*$B$9,-12*MAX(0,$B$8-IF($B$1+11&gt;=$B$23,$B$22,0))*(1+$B$4)^11))*IF(M189+IF($B$1+11&lt;=$B189,12*$B$9,-12*MAX(0,$B$8-IF($B$1+11&gt;=$B$23,$B$22,0))*(1+$B$4)^11)&gt;0,1+$B$3,1))</f>
        <v/>
      </c>
      <c r="O189">
        <f>IF($B$1+12&gt;90,N189,(N189+IF($B$1+12&lt;=$B189,12*$B$9,-12*MAX(0,$B$8-IF($B$1+12&gt;=$B$23,$B$22,0))*(1+$B$4)^12))*IF(N189+IF($B$1+12&lt;=$B189,12*$B$9,-12*MAX(0,$B$8-IF($B$1+12&gt;=$B$23,$B$22,0))*(1+$B$4)^12)&gt;0,1+$B$3,1))</f>
        <v/>
      </c>
      <c r="P189">
        <f>IF($B$1+13&gt;90,O189,(O189+IF($B$1+13&lt;=$B189,12*$B$9,-12*MAX(0,$B$8-IF($B$1+13&gt;=$B$23,$B$22,0))*(1+$B$4)^13))*IF(O189+IF($B$1+13&lt;=$B189,12*$B$9,-12*MAX(0,$B$8-IF($B$1+13&gt;=$B$23,$B$22,0))*(1+$B$4)^13)&gt;0,1+$B$3,1))</f>
        <v/>
      </c>
      <c r="Q189">
        <f>IF($B$1+14&gt;90,P189,(P189+IF($B$1+14&lt;=$B189,12*$B$9,-12*MAX(0,$B$8-IF($B$1+14&gt;=$B$23,$B$22,0))*(1+$B$4)^14))*IF(P189+IF($B$1+14&lt;=$B189,12*$B$9,-12*MAX(0,$B$8-IF($B$1+14&gt;=$B$23,$B$22,0))*(1+$B$4)^14)&gt;0,1+$B$3,1))</f>
        <v/>
      </c>
      <c r="R189">
        <f>IF($B$1+15&gt;90,Q189,(Q189+IF($B$1+15&lt;=$B189,12*$B$9,-12*MAX(0,$B$8-IF($B$1+15&gt;=$B$23,$B$22,0))*(1+$B$4)^15))*IF(Q189+IF($B$1+15&lt;=$B189,12*$B$9,-12*MAX(0,$B$8-IF($B$1+15&gt;=$B$23,$B$22,0))*(1+$B$4)^15)&gt;0,1+$B$3,1))</f>
        <v/>
      </c>
      <c r="S189">
        <f>IF($B$1+16&gt;90,R189,(R189+IF($B$1+16&lt;=$B189,12*$B$9,-12*MAX(0,$B$8-IF($B$1+16&gt;=$B$23,$B$22,0))*(1+$B$4)^16))*IF(R189+IF($B$1+16&lt;=$B189,12*$B$9,-12*MAX(0,$B$8-IF($B$1+16&gt;=$B$23,$B$22,0))*(1+$B$4)^16)&gt;0,1+$B$3,1))</f>
        <v/>
      </c>
      <c r="T189">
        <f>IF($B$1+17&gt;90,S189,(S189+IF($B$1+17&lt;=$B189,12*$B$9,-12*MAX(0,$B$8-IF($B$1+17&gt;=$B$23,$B$22,0))*(1+$B$4)^17))*IF(S189+IF($B$1+17&lt;=$B189,12*$B$9,-12*MAX(0,$B$8-IF($B$1+17&gt;=$B$23,$B$22,0))*(1+$B$4)^17)&gt;0,1+$B$3,1))</f>
        <v/>
      </c>
      <c r="U189">
        <f>IF($B$1+18&gt;90,T189,(T189+IF($B$1+18&lt;=$B189,12*$B$9,-12*MAX(0,$B$8-IF($B$1+18&gt;=$B$23,$B$22,0))*(1+$B$4)^18))*IF(T189+IF($B$1+18&lt;=$B189,12*$B$9,-12*MAX(0,$B$8-IF($B$1+18&gt;=$B$23,$B$22,0))*(1+$B$4)^18)&gt;0,1+$B$3,1))</f>
        <v/>
      </c>
      <c r="V189">
        <f>IF($B$1+19&gt;90,U189,(U189+IF($B$1+19&lt;=$B189,12*$B$9,-12*MAX(0,$B$8-IF($B$1+19&gt;=$B$23,$B$22,0))*(1+$B$4)^19))*IF(U189+IF($B$1+19&lt;=$B189,12*$B$9,-12*MAX(0,$B$8-IF($B$1+19&gt;=$B$23,$B$22,0))*(1+$B$4)^19)&gt;0,1+$B$3,1))</f>
        <v/>
      </c>
      <c r="W189">
        <f>IF($B$1+20&gt;90,V189,(V189+IF($B$1+20&lt;=$B189,12*$B$9,-12*MAX(0,$B$8-IF($B$1+20&gt;=$B$23,$B$22,0))*(1+$B$4)^20))*IF(V189+IF($B$1+20&lt;=$B189,12*$B$9,-12*MAX(0,$B$8-IF($B$1+20&gt;=$B$23,$B$22,0))*(1+$B$4)^20)&gt;0,1+$B$3,1))</f>
        <v/>
      </c>
      <c r="X189">
        <f>IF($B$1+21&gt;90,W189,(W189+IF($B$1+21&lt;=$B189,12*$B$9,-12*MAX(0,$B$8-IF($B$1+21&gt;=$B$23,$B$22,0))*(1+$B$4)^21))*IF(W189+IF($B$1+21&lt;=$B189,12*$B$9,-12*MAX(0,$B$8-IF($B$1+21&gt;=$B$23,$B$22,0))*(1+$B$4)^21)&gt;0,1+$B$3,1))</f>
        <v/>
      </c>
      <c r="Y189">
        <f>IF($B$1+22&gt;90,X189,(X189+IF($B$1+22&lt;=$B189,12*$B$9,-12*MAX(0,$B$8-IF($B$1+22&gt;=$B$23,$B$22,0))*(1+$B$4)^22))*IF(X189+IF($B$1+22&lt;=$B189,12*$B$9,-12*MAX(0,$B$8-IF($B$1+22&gt;=$B$23,$B$22,0))*(1+$B$4)^22)&gt;0,1+$B$3,1))</f>
        <v/>
      </c>
      <c r="Z189">
        <f>IF($B$1+23&gt;90,Y189,(Y189+IF($B$1+23&lt;=$B189,12*$B$9,-12*MAX(0,$B$8-IF($B$1+23&gt;=$B$23,$B$22,0))*(1+$B$4)^23))*IF(Y189+IF($B$1+23&lt;=$B189,12*$B$9,-12*MAX(0,$B$8-IF($B$1+23&gt;=$B$23,$B$22,0))*(1+$B$4)^23)&gt;0,1+$B$3,1))</f>
        <v/>
      </c>
      <c r="AA189">
        <f>IF($B$1+24&gt;90,Z189,(Z189+IF($B$1+24&lt;=$B189,12*$B$9,-12*MAX(0,$B$8-IF($B$1+24&gt;=$B$23,$B$22,0))*(1+$B$4)^24))*IF(Z189+IF($B$1+24&lt;=$B189,12*$B$9,-12*MAX(0,$B$8-IF($B$1+24&gt;=$B$23,$B$22,0))*(1+$B$4)^24)&gt;0,1+$B$3,1))</f>
        <v/>
      </c>
      <c r="AB189">
        <f>IF($B$1+25&gt;90,AA189,(AA189+IF($B$1+25&lt;=$B189,12*$B$9,-12*MAX(0,$B$8-IF($B$1+25&gt;=$B$23,$B$22,0))*(1+$B$4)^25))*IF(AA189+IF($B$1+25&lt;=$B189,12*$B$9,-12*MAX(0,$B$8-IF($B$1+25&gt;=$B$23,$B$22,0))*(1+$B$4)^25)&gt;0,1+$B$3,1))</f>
        <v/>
      </c>
      <c r="AC189">
        <f>IF($B$1+26&gt;90,AB189,(AB189+IF($B$1+26&lt;=$B189,12*$B$9,-12*MAX(0,$B$8-IF($B$1+26&gt;=$B$23,$B$22,0))*(1+$B$4)^26))*IF(AB189+IF($B$1+26&lt;=$B189,12*$B$9,-12*MAX(0,$B$8-IF($B$1+26&gt;=$B$23,$B$22,0))*(1+$B$4)^26)&gt;0,1+$B$3,1))</f>
        <v/>
      </c>
      <c r="AD189">
        <f>IF($B$1+27&gt;90,AC189,(AC189+IF($B$1+27&lt;=$B189,12*$B$9,-12*MAX(0,$B$8-IF($B$1+27&gt;=$B$23,$B$22,0))*(1+$B$4)^27))*IF(AC189+IF($B$1+27&lt;=$B189,12*$B$9,-12*MAX(0,$B$8-IF($B$1+27&gt;=$B$23,$B$22,0))*(1+$B$4)^27)&gt;0,1+$B$3,1))</f>
        <v/>
      </c>
      <c r="AE189">
        <f>IF($B$1+28&gt;90,AD189,(AD189+IF($B$1+28&lt;=$B189,12*$B$9,-12*MAX(0,$B$8-IF($B$1+28&gt;=$B$23,$B$22,0))*(1+$B$4)^28))*IF(AD189+IF($B$1+28&lt;=$B189,12*$B$9,-12*MAX(0,$B$8-IF($B$1+28&gt;=$B$23,$B$22,0))*(1+$B$4)^28)&gt;0,1+$B$3,1))</f>
        <v/>
      </c>
      <c r="AF189">
        <f>IF($B$1+29&gt;90,AE189,(AE189+IF($B$1+29&lt;=$B189,12*$B$9,-12*MAX(0,$B$8-IF($B$1+29&gt;=$B$23,$B$22,0))*(1+$B$4)^29))*IF(AE189+IF($B$1+29&lt;=$B189,12*$B$9,-12*MAX(0,$B$8-IF($B$1+29&gt;=$B$23,$B$22,0))*(1+$B$4)^29)&gt;0,1+$B$3,1))</f>
        <v/>
      </c>
      <c r="AG189">
        <f>IF($B$1+30&gt;90,AF189,(AF189+IF($B$1+30&lt;=$B189,12*$B$9,-12*MAX(0,$B$8-IF($B$1+30&gt;=$B$23,$B$22,0))*(1+$B$4)^30))*IF(AF189+IF($B$1+30&lt;=$B189,12*$B$9,-12*MAX(0,$B$8-IF($B$1+30&gt;=$B$23,$B$22,0))*(1+$B$4)^30)&gt;0,1+$B$3,1))</f>
        <v/>
      </c>
      <c r="AH189">
        <f>IF($B$1+31&gt;90,AG189,(AG189+IF($B$1+31&lt;=$B189,12*$B$9,-12*MAX(0,$B$8-IF($B$1+31&gt;=$B$23,$B$22,0))*(1+$B$4)^31))*IF(AG189+IF($B$1+31&lt;=$B189,12*$B$9,-12*MAX(0,$B$8-IF($B$1+31&gt;=$B$23,$B$22,0))*(1+$B$4)^31)&gt;0,1+$B$3,1))</f>
        <v/>
      </c>
      <c r="AI189">
        <f>IF($B$1+32&gt;90,AH189,(AH189+IF($B$1+32&lt;=$B189,12*$B$9,-12*MAX(0,$B$8-IF($B$1+32&gt;=$B$23,$B$22,0))*(1+$B$4)^32))*IF(AH189+IF($B$1+32&lt;=$B189,12*$B$9,-12*MAX(0,$B$8-IF($B$1+32&gt;=$B$23,$B$22,0))*(1+$B$4)^32)&gt;0,1+$B$3,1))</f>
        <v/>
      </c>
      <c r="AJ189">
        <f>IF($B$1+33&gt;90,AI189,(AI189+IF($B$1+33&lt;=$B189,12*$B$9,-12*MAX(0,$B$8-IF($B$1+33&gt;=$B$23,$B$22,0))*(1+$B$4)^33))*IF(AI189+IF($B$1+33&lt;=$B189,12*$B$9,-12*MAX(0,$B$8-IF($B$1+33&gt;=$B$23,$B$22,0))*(1+$B$4)^33)&gt;0,1+$B$3,1))</f>
        <v/>
      </c>
      <c r="AK189">
        <f>IF($B$1+34&gt;90,AJ189,(AJ189+IF($B$1+34&lt;=$B189,12*$B$9,-12*MAX(0,$B$8-IF($B$1+34&gt;=$B$23,$B$22,0))*(1+$B$4)^34))*IF(AJ189+IF($B$1+34&lt;=$B189,12*$B$9,-12*MAX(0,$B$8-IF($B$1+34&gt;=$B$23,$B$22,0))*(1+$B$4)^34)&gt;0,1+$B$3,1))</f>
        <v/>
      </c>
      <c r="AL189">
        <f>IF($B$1+35&gt;90,AK189,(AK189+IF($B$1+35&lt;=$B189,12*$B$9,-12*MAX(0,$B$8-IF($B$1+35&gt;=$B$23,$B$22,0))*(1+$B$4)^35))*IF(AK189+IF($B$1+35&lt;=$B189,12*$B$9,-12*MAX(0,$B$8-IF($B$1+35&gt;=$B$23,$B$22,0))*(1+$B$4)^35)&gt;0,1+$B$3,1))</f>
        <v/>
      </c>
      <c r="AM189">
        <f>IF($B$1+36&gt;90,AL189,(AL189+IF($B$1+36&lt;=$B189,12*$B$9,-12*MAX(0,$B$8-IF($B$1+36&gt;=$B$23,$B$22,0))*(1+$B$4)^36))*IF(AL189+IF($B$1+36&lt;=$B189,12*$B$9,-12*MAX(0,$B$8-IF($B$1+36&gt;=$B$23,$B$22,0))*(1+$B$4)^36)&gt;0,1+$B$3,1))</f>
        <v/>
      </c>
      <c r="AN189">
        <f>IF($B$1+37&gt;90,AM189,(AM189+IF($B$1+37&lt;=$B189,12*$B$9,-12*MAX(0,$B$8-IF($B$1+37&gt;=$B$23,$B$22,0))*(1+$B$4)^37))*IF(AM189+IF($B$1+37&lt;=$B189,12*$B$9,-12*MAX(0,$B$8-IF($B$1+37&gt;=$B$23,$B$22,0))*(1+$B$4)^37)&gt;0,1+$B$3,1))</f>
        <v/>
      </c>
      <c r="AO189">
        <f>IF($B$1+38&gt;90,AN189,(AN189+IF($B$1+38&lt;=$B189,12*$B$9,-12*MAX(0,$B$8-IF($B$1+38&gt;=$B$23,$B$22,0))*(1+$B$4)^38))*IF(AN189+IF($B$1+38&lt;=$B189,12*$B$9,-12*MAX(0,$B$8-IF($B$1+38&gt;=$B$23,$B$22,0))*(1+$B$4)^38)&gt;0,1+$B$3,1))</f>
        <v/>
      </c>
      <c r="AP189">
        <f>IF($B$1+39&gt;90,AO189,(AO189+IF($B$1+39&lt;=$B189,12*$B$9,-12*MAX(0,$B$8-IF($B$1+39&gt;=$B$23,$B$22,0))*(1+$B$4)^39))*IF(AO189+IF($B$1+39&lt;=$B189,12*$B$9,-12*MAX(0,$B$8-IF($B$1+39&gt;=$B$23,$B$22,0))*(1+$B$4)^39)&gt;0,1+$B$3,1))</f>
        <v/>
      </c>
      <c r="AQ189">
        <f>IF($B$1+40&gt;90,AP189,(AP189+IF($B$1+40&lt;=$B189,12*$B$9,-12*MAX(0,$B$8-IF($B$1+40&gt;=$B$23,$B$22,0))*(1+$B$4)^40))*IF(AP189+IF($B$1+40&lt;=$B189,12*$B$9,-12*MAX(0,$B$8-IF($B$1+40&gt;=$B$23,$B$22,0))*(1+$B$4)^40)&gt;0,1+$B$3,1))</f>
        <v/>
      </c>
      <c r="AR189">
        <f>IF($B$1+41&gt;90,AQ189,(AQ189+IF($B$1+41&lt;=$B189,12*$B$9,-12*MAX(0,$B$8-IF($B$1+41&gt;=$B$23,$B$22,0))*(1+$B$4)^41))*IF(AQ189+IF($B$1+41&lt;=$B189,12*$B$9,-12*MAX(0,$B$8-IF($B$1+41&gt;=$B$23,$B$22,0))*(1+$B$4)^41)&gt;0,1+$B$3,1))</f>
        <v/>
      </c>
      <c r="AS189">
        <f>IF($B$1+42&gt;90,AR189,(AR189+IF($B$1+42&lt;=$B189,12*$B$9,-12*MAX(0,$B$8-IF($B$1+42&gt;=$B$23,$B$22,0))*(1+$B$4)^42))*IF(AR189+IF($B$1+42&lt;=$B189,12*$B$9,-12*MAX(0,$B$8-IF($B$1+42&gt;=$B$23,$B$22,0))*(1+$B$4)^42)&gt;0,1+$B$3,1))</f>
        <v/>
      </c>
      <c r="AT189">
        <f>IF($B$1+43&gt;90,AS189,(AS189+IF($B$1+43&lt;=$B189,12*$B$9,-12*MAX(0,$B$8-IF($B$1+43&gt;=$B$23,$B$22,0))*(1+$B$4)^43))*IF(AS189+IF($B$1+43&lt;=$B189,12*$B$9,-12*MAX(0,$B$8-IF($B$1+43&gt;=$B$23,$B$22,0))*(1+$B$4)^43)&gt;0,1+$B$3,1))</f>
        <v/>
      </c>
      <c r="AU189">
        <f>IF($B$1+44&gt;90,AT189,(AT189+IF($B$1+44&lt;=$B189,12*$B$9,-12*MAX(0,$B$8-IF($B$1+44&gt;=$B$23,$B$22,0))*(1+$B$4)^44))*IF(AT189+IF($B$1+44&lt;=$B189,12*$B$9,-12*MAX(0,$B$8-IF($B$1+44&gt;=$B$23,$B$22,0))*(1+$B$4)^44)&gt;0,1+$B$3,1))</f>
        <v/>
      </c>
      <c r="AV189">
        <f>IF($B$1+45&gt;90,AU189,(AU189+IF($B$1+45&lt;=$B189,12*$B$9,-12*MAX(0,$B$8-IF($B$1+45&gt;=$B$23,$B$22,0))*(1+$B$4)^45))*IF(AU189+IF($B$1+45&lt;=$B189,12*$B$9,-12*MAX(0,$B$8-IF($B$1+45&gt;=$B$23,$B$22,0))*(1+$B$4)^45)&gt;0,1+$B$3,1))</f>
        <v/>
      </c>
      <c r="AW189">
        <f>IF($B$1+46&gt;90,AV189,(AV189+IF($B$1+46&lt;=$B189,12*$B$9,-12*MAX(0,$B$8-IF($B$1+46&gt;=$B$23,$B$22,0))*(1+$B$4)^46))*IF(AV189+IF($B$1+46&lt;=$B189,12*$B$9,-12*MAX(0,$B$8-IF($B$1+46&gt;=$B$23,$B$22,0))*(1+$B$4)^46)&gt;0,1+$B$3,1))</f>
        <v/>
      </c>
      <c r="AX189">
        <f>IF($B$1+47&gt;90,AW189,(AW189+IF($B$1+47&lt;=$B189,12*$B$9,-12*MAX(0,$B$8-IF($B$1+47&gt;=$B$23,$B$22,0))*(1+$B$4)^47))*IF(AW189+IF($B$1+47&lt;=$B189,12*$B$9,-12*MAX(0,$B$8-IF($B$1+47&gt;=$B$23,$B$22,0))*(1+$B$4)^47)&gt;0,1+$B$3,1))</f>
        <v/>
      </c>
      <c r="AY189">
        <f>IF($B$1+48&gt;90,AX189,(AX189+IF($B$1+48&lt;=$B189,12*$B$9,-12*MAX(0,$B$8-IF($B$1+48&gt;=$B$23,$B$22,0))*(1+$B$4)^48))*IF(AX189+IF($B$1+48&lt;=$B189,12*$B$9,-12*MAX(0,$B$8-IF($B$1+48&gt;=$B$23,$B$22,0))*(1+$B$4)^48)&gt;0,1+$B$3,1))</f>
        <v/>
      </c>
      <c r="AZ189">
        <f>IF($B$1+49&gt;90,AY189,(AY189+IF($B$1+49&lt;=$B189,12*$B$9,-12*MAX(0,$B$8-IF($B$1+49&gt;=$B$23,$B$22,0))*(1+$B$4)^49))*IF(AY189+IF($B$1+49&lt;=$B189,12*$B$9,-12*MAX(0,$B$8-IF($B$1+49&gt;=$B$23,$B$22,0))*(1+$B$4)^49)&gt;0,1+$B$3,1))</f>
        <v/>
      </c>
      <c r="BA189">
        <f>IF($B$1+50&gt;90,AZ189,(AZ189+IF($B$1+50&lt;=$B189,12*$B$9,-12*MAX(0,$B$8-IF($B$1+50&gt;=$B$23,$B$22,0))*(1+$B$4)^50))*IF(AZ189+IF($B$1+50&lt;=$B189,12*$B$9,-12*MAX(0,$B$8-IF($B$1+50&gt;=$B$23,$B$22,0))*(1+$B$4)^50)&gt;0,1+$B$3,1))</f>
        <v/>
      </c>
      <c r="BB189">
        <f>IF($B$1+51&gt;90,BA189,(BA189+IF($B$1+51&lt;=$B189,12*$B$9,-12*MAX(0,$B$8-IF($B$1+51&gt;=$B$23,$B$22,0))*(1+$B$4)^51))*IF(BA189+IF($B$1+51&lt;=$B189,12*$B$9,-12*MAX(0,$B$8-IF($B$1+51&gt;=$B$23,$B$22,0))*(1+$B$4)^51)&gt;0,1+$B$3,1))</f>
        <v/>
      </c>
      <c r="BC189">
        <f>IF($B$1+52&gt;90,BB189,(BB189+IF($B$1+52&lt;=$B189,12*$B$9,-12*MAX(0,$B$8-IF($B$1+52&gt;=$B$23,$B$22,0))*(1+$B$4)^52))*IF(BB189+IF($B$1+52&lt;=$B189,12*$B$9,-12*MAX(0,$B$8-IF($B$1+52&gt;=$B$23,$B$22,0))*(1+$B$4)^52)&gt;0,1+$B$3,1))</f>
        <v/>
      </c>
      <c r="BD189">
        <f>IF($B$1+53&gt;90,BC189,(BC189+IF($B$1+53&lt;=$B189,12*$B$9,-12*MAX(0,$B$8-IF($B$1+53&gt;=$B$23,$B$22,0))*(1+$B$4)^53))*IF(BC189+IF($B$1+53&lt;=$B189,12*$B$9,-12*MAX(0,$B$8-IF($B$1+53&gt;=$B$23,$B$22,0))*(1+$B$4)^53)&gt;0,1+$B$3,1))</f>
        <v/>
      </c>
      <c r="BE189">
        <f>IF($B$1+54&gt;90,BD189,(BD189+IF($B$1+54&lt;=$B189,12*$B$9,-12*MAX(0,$B$8-IF($B$1+54&gt;=$B$23,$B$22,0))*(1+$B$4)^54))*IF(BD189+IF($B$1+54&lt;=$B189,12*$B$9,-12*MAX(0,$B$8-IF($B$1+54&gt;=$B$23,$B$22,0))*(1+$B$4)^54)&gt;0,1+$B$3,1))</f>
        <v/>
      </c>
      <c r="BF189">
        <f>IF($B$1+55&gt;90,BE189,(BE189+IF($B$1+55&lt;=$B189,12*$B$9,-12*MAX(0,$B$8-IF($B$1+55&gt;=$B$23,$B$22,0))*(1+$B$4)^55))*IF(BE189+IF($B$1+55&lt;=$B189,12*$B$9,-12*MAX(0,$B$8-IF($B$1+55&gt;=$B$23,$B$22,0))*(1+$B$4)^55)&gt;0,1+$B$3,1))</f>
        <v/>
      </c>
      <c r="BG189">
        <f>IF($B$1+56&gt;90,BF189,(BF189+IF($B$1+56&lt;=$B189,12*$B$9,-12*MAX(0,$B$8-IF($B$1+56&gt;=$B$23,$B$22,0))*(1+$B$4)^56))*IF(BF189+IF($B$1+56&lt;=$B189,12*$B$9,-12*MAX(0,$B$8-IF($B$1+56&gt;=$B$23,$B$22,0))*(1+$B$4)^56)&gt;0,1+$B$3,1))</f>
        <v/>
      </c>
      <c r="BH189">
        <f>IF($B$1+57&gt;90,BG189,(BG189+IF($B$1+57&lt;=$B189,12*$B$9,-12*MAX(0,$B$8-IF($B$1+57&gt;=$B$23,$B$22,0))*(1+$B$4)^57))*IF(BG189+IF($B$1+57&lt;=$B189,12*$B$9,-12*MAX(0,$B$8-IF($B$1+57&gt;=$B$23,$B$22,0))*(1+$B$4)^57)&gt;0,1+$B$3,1))</f>
        <v/>
      </c>
      <c r="BI189">
        <f>IF($B$1+58&gt;90,BH189,(BH189+IF($B$1+58&lt;=$B189,12*$B$9,-12*MAX(0,$B$8-IF($B$1+58&gt;=$B$23,$B$22,0))*(1+$B$4)^58))*IF(BH189+IF($B$1+58&lt;=$B189,12*$B$9,-12*MAX(0,$B$8-IF($B$1+58&gt;=$B$23,$B$22,0))*(1+$B$4)^58)&gt;0,1+$B$3,1))</f>
        <v/>
      </c>
      <c r="BJ189">
        <f>IF($B$1+59&gt;90,BI189,(BI189+IF($B$1+59&lt;=$B189,12*$B$9,-12*MAX(0,$B$8-IF($B$1+59&gt;=$B$23,$B$22,0))*(1+$B$4)^59))*IF(BI189+IF($B$1+59&lt;=$B189,12*$B$9,-12*MAX(0,$B$8-IF($B$1+59&gt;=$B$23,$B$22,0))*(1+$B$4)^59)&gt;0,1+$B$3,1))</f>
        <v/>
      </c>
      <c r="BK189">
        <f>IF($B$1+60&gt;90,BJ189,(BJ189+IF($B$1+60&lt;=$B189,12*$B$9,-12*MAX(0,$B$8-IF($B$1+60&gt;=$B$23,$B$22,0))*(1+$B$4)^60))*IF(BJ189+IF($B$1+60&lt;=$B189,12*$B$9,-12*MAX(0,$B$8-IF($B$1+60&gt;=$B$23,$B$22,0))*(1+$B$4)^60)&gt;0,1+$B$3,1))</f>
        <v/>
      </c>
      <c r="BL189">
        <f>IF($B$1+61&gt;90,BK189,(BK189+IF($B$1+61&lt;=$B189,12*$B$9,-12*MAX(0,$B$8-IF($B$1+61&gt;=$B$23,$B$22,0))*(1+$B$4)^61))*IF(BK189+IF($B$1+61&lt;=$B189,12*$B$9,-12*MAX(0,$B$8-IF($B$1+61&gt;=$B$23,$B$22,0))*(1+$B$4)^61)&gt;0,1+$B$3,1))</f>
        <v/>
      </c>
      <c r="BM189">
        <f>IF($B$1+62&gt;90,BL189,(BL189+IF($B$1+62&lt;=$B189,12*$B$9,-12*MAX(0,$B$8-IF($B$1+62&gt;=$B$23,$B$22,0))*(1+$B$4)^62))*IF(BL189+IF($B$1+62&lt;=$B189,12*$B$9,-12*MAX(0,$B$8-IF($B$1+62&gt;=$B$23,$B$22,0))*(1+$B$4)^62)&gt;0,1+$B$3,1))</f>
        <v/>
      </c>
      <c r="BN189">
        <f>IF($B$1+63&gt;90,BM189,(BM189+IF($B$1+63&lt;=$B189,12*$B$9,-12*MAX(0,$B$8-IF($B$1+63&gt;=$B$23,$B$22,0))*(1+$B$4)^63))*IF(BM189+IF($B$1+63&lt;=$B189,12*$B$9,-12*MAX(0,$B$8-IF($B$1+63&gt;=$B$23,$B$22,0))*(1+$B$4)^63)&gt;0,1+$B$3,1))</f>
        <v/>
      </c>
      <c r="BO189">
        <f>IF($B$1+64&gt;90,BN189,(BN189+IF($B$1+64&lt;=$B189,12*$B$9,-12*MAX(0,$B$8-IF($B$1+64&gt;=$B$23,$B$22,0))*(1+$B$4)^64))*IF(BN189+IF($B$1+64&lt;=$B189,12*$B$9,-12*MAX(0,$B$8-IF($B$1+64&gt;=$B$23,$B$22,0))*(1+$B$4)^64)&gt;0,1+$B$3,1))</f>
        <v/>
      </c>
      <c r="BP189">
        <f>IF($B$1+65&gt;90,BO189,(BO189+IF($B$1+65&lt;=$B189,12*$B$9,-12*MAX(0,$B$8-IF($B$1+65&gt;=$B$23,$B$22,0))*(1+$B$4)^65))*IF(BO189+IF($B$1+65&lt;=$B189,12*$B$9,-12*MAX(0,$B$8-IF($B$1+65&gt;=$B$23,$B$22,0))*(1+$B$4)^65)&gt;0,1+$B$3,1))</f>
        <v/>
      </c>
      <c r="BQ189">
        <f>IF($B$1+66&gt;90,BP189,(BP189+IF($B$1+66&lt;=$B189,12*$B$9,-12*MAX(0,$B$8-IF($B$1+66&gt;=$B$23,$B$22,0))*(1+$B$4)^66))*IF(BP189+IF($B$1+66&lt;=$B189,12*$B$9,-12*MAX(0,$B$8-IF($B$1+66&gt;=$B$23,$B$22,0))*(1+$B$4)^66)&gt;0,1+$B$3,1))</f>
        <v/>
      </c>
      <c r="BR189">
        <f>IF($B$1+67&gt;90,BQ189,(BQ189+IF($B$1+67&lt;=$B189,12*$B$9,-12*MAX(0,$B$8-IF($B$1+67&gt;=$B$23,$B$22,0))*(1+$B$4)^67))*IF(BQ189+IF($B$1+67&lt;=$B189,12*$B$9,-12*MAX(0,$B$8-IF($B$1+67&gt;=$B$23,$B$22,0))*(1+$B$4)^67)&gt;0,1+$B$3,1))</f>
        <v/>
      </c>
      <c r="BS189">
        <f>IF($B$1+68&gt;90,BR189,(BR189+IF($B$1+68&lt;=$B189,12*$B$9,-12*MAX(0,$B$8-IF($B$1+68&gt;=$B$23,$B$22,0))*(1+$B$4)^68))*IF(BR189+IF($B$1+68&lt;=$B189,12*$B$9,-12*MAX(0,$B$8-IF($B$1+68&gt;=$B$23,$B$22,0))*(1+$B$4)^68)&gt;0,1+$B$3,1))</f>
        <v/>
      </c>
      <c r="BT189">
        <f>IF($B$1+69&gt;90,BS189,(BS189+IF($B$1+69&lt;=$B189,12*$B$9,-12*MAX(0,$B$8-IF($B$1+69&gt;=$B$23,$B$22,0))*(1+$B$4)^69))*IF(BS189+IF($B$1+69&lt;=$B189,12*$B$9,-12*MAX(0,$B$8-IF($B$1+69&gt;=$B$23,$B$22,0))*(1+$B$4)^69)&gt;0,1+$B$3,1))</f>
        <v/>
      </c>
      <c r="BU189">
        <f>IF($B$1+70&gt;90,BT189,(BT189+IF($B$1+70&lt;=$B189,12*$B$9,-12*MAX(0,$B$8-IF($B$1+70&gt;=$B$23,$B$22,0))*(1+$B$4)^70))*IF(BT189+IF($B$1+70&lt;=$B189,12*$B$9,-12*MAX(0,$B$8-IF($B$1+70&gt;=$B$23,$B$22,0))*(1+$B$4)^70)&gt;0,1+$B$3,1))</f>
        <v/>
      </c>
      <c r="BV189">
        <f>BU189</f>
        <v/>
      </c>
      <c r="BW189">
        <f>IF(AND($B189&lt;=70,BV189&gt;0),$B189,999)</f>
        <v/>
      </c>
      <c r="CH189">
        <f>IF(ISTEXT('월 가계부'!A189),SUBSTITUTE(SUBSTITUTE(SUBSTITUTE(SUBSTITUTE(SUBSTITUTE(SUBSTITUTE(SUBSTITUTE(SUBSTITUTE(SUBSTITUTE(TRIM('월 가계부'!A189),"년","-"),"월","-"),"일",""),".","-"),"/","-")," ","-"),"--","-"),"--","-"),"--","-")&amp;"-","")</f>
        <v/>
      </c>
      <c r="CI189">
        <f>IFERROR(IF('월 가계부'!A189="","",IF(ISNUMBER('월 가계부'!A189),IF(AND('월 가계부'!A189&gt;=19000101,'월 가계부'!A189&lt;=21001231),IF(AND(MOD(INT('월 가계부'!A189/100),100)&gt;=1,MOD(INT('월 가계부'!A189/100),100)&lt;=12,MOD(INT('월 가계부'!A189),100)&gt;=1,MOD(INT('월 가계부'!A189),100)&lt;=31),IF(MONTH(DATE(INT('월 가계부'!A189/10000),MOD(INT('월 가계부'!A189/100),100),MOD(INT('월 가계부'!A189),100)))=MOD(INT('월 가계부'!A189/100),100),DATE(INT('월 가계부'!A189/10000),MOD(INT('월 가계부'!A189/100),100),MOD(INT('월 가계부'!A189),100)),""),""),IF(AND('월 가계부'!A189&gt;=36526,'월 가계부'!A189&lt;73051),INT('월 가계부'!A189),"")),IF(OR(CM189="",CN189="",CO189=""),"",IF(AND(CM189&gt;=2000,CM189&lt;=2099,CN189&gt;=1,CN189&lt;=12,CO189&gt;=1,CO189&lt;=31),IF(MONTH(DATE(CM189,CN189,CO189))=CN189,DATE(CM189,CN189,CO189),""),"")))),"")</f>
        <v/>
      </c>
      <c r="CJ189">
        <f>IFERROR(IF('월 가계부'!C189="","",IF(ISNUMBER('월 가계부'!C189),'월 가계부'!C189,VALUE(SUBSTITUTE(SUBSTITUTE(SUBSTITUTE(SUBSTITUTE(TRIM('월 가계부'!C189),",",""),"원","")," ",""),"−","-")))),"")</f>
        <v/>
      </c>
      <c r="CK189">
        <f>IF(ISNUMBER(CI189),IF(CI189&lt;$B$13,CI189,""),"")</f>
        <v/>
      </c>
      <c r="CM189">
        <f>IF(CH189="","",IFERROR(IF(IF(AND(LEN(CH189)=9,ISERROR(FIND("-",LEFT(CH189,8))),ISNUMBER(-LEFT(CH189,8))),VALUE(LEFT(CH189,4)),VALUE(LEFT(CH189,FIND("-",CH189)-1)))&lt;100,IF(AND(LEN(CH189)=9,ISERROR(FIND("-",LEFT(CH189,8))),ISNUMBER(-LEFT(CH189,8))),VALUE(LEFT(CH189,4)),VALUE(LEFT(CH189,FIND("-",CH189)-1)))+2000,IF(AND(LEN(CH189)=9,ISERROR(FIND("-",LEFT(CH189,8))),ISNUMBER(-LEFT(CH189,8))),VALUE(LEFT(CH189,4)),VALUE(LEFT(CH189,FIND("-",CH189)-1)))),""))</f>
        <v/>
      </c>
      <c r="CN189">
        <f>IF(CH189="","",IFERROR(IF(AND(LEN(CH189)=9,ISERROR(FIND("-",LEFT(CH189,8))),ISNUMBER(-LEFT(CH189,8))),VALUE(MID(CH189,5,2)),VALUE(MID(CH189,FIND("-",CH189)+1,FIND("-",CH189,FIND("-",CH189)+1)-FIND("-",CH189)-1))),""))</f>
        <v/>
      </c>
      <c r="CO189">
        <f>IF(CH189="","",IFERROR(IF(AND(LEN(CH189)=9,ISERROR(FIND("-",LEFT(CH189,8))),ISNUMBER(-LEFT(CH189,8))),VALUE(MID(CH189,7,2)),VALUE(MID(CH189,FIND("-",CH189,FIND("-",CH189)+1)+1,FIND("-",CH189,FIND("-",CH189,FIND("-",CH189)+1)+1)-FIND("-",CH189,FIND("-",CH189)+1)-1))),""))</f>
        <v/>
      </c>
    </row>
    <row r="190">
      <c r="A190" t="n">
        <v>38</v>
      </c>
      <c r="B190">
        <f>$B$1+38</f>
        <v/>
      </c>
      <c r="C190">
        <f>$B$2</f>
        <v/>
      </c>
      <c r="D190">
        <f>IF($B$1+1&gt;90,C190,(C190+IF($B$1+1&lt;=$B190,12*$B$9,-12*MAX(0,$B$8-IF($B$1+1&gt;=$B$23,$B$22,0))*(1+$B$4)^1))*IF(C190+IF($B$1+1&lt;=$B190,12*$B$9,-12*MAX(0,$B$8-IF($B$1+1&gt;=$B$23,$B$22,0))*(1+$B$4)^1)&gt;0,1+$B$3,1))</f>
        <v/>
      </c>
      <c r="E190">
        <f>IF($B$1+2&gt;90,D190,(D190+IF($B$1+2&lt;=$B190,12*$B$9,-12*MAX(0,$B$8-IF($B$1+2&gt;=$B$23,$B$22,0))*(1+$B$4)^2))*IF(D190+IF($B$1+2&lt;=$B190,12*$B$9,-12*MAX(0,$B$8-IF($B$1+2&gt;=$B$23,$B$22,0))*(1+$B$4)^2)&gt;0,1+$B$3,1))</f>
        <v/>
      </c>
      <c r="F190">
        <f>IF($B$1+3&gt;90,E190,(E190+IF($B$1+3&lt;=$B190,12*$B$9,-12*MAX(0,$B$8-IF($B$1+3&gt;=$B$23,$B$22,0))*(1+$B$4)^3))*IF(E190+IF($B$1+3&lt;=$B190,12*$B$9,-12*MAX(0,$B$8-IF($B$1+3&gt;=$B$23,$B$22,0))*(1+$B$4)^3)&gt;0,1+$B$3,1))</f>
        <v/>
      </c>
      <c r="G190">
        <f>IF($B$1+4&gt;90,F190,(F190+IF($B$1+4&lt;=$B190,12*$B$9,-12*MAX(0,$B$8-IF($B$1+4&gt;=$B$23,$B$22,0))*(1+$B$4)^4))*IF(F190+IF($B$1+4&lt;=$B190,12*$B$9,-12*MAX(0,$B$8-IF($B$1+4&gt;=$B$23,$B$22,0))*(1+$B$4)^4)&gt;0,1+$B$3,1))</f>
        <v/>
      </c>
      <c r="H190">
        <f>IF($B$1+5&gt;90,G190,(G190+IF($B$1+5&lt;=$B190,12*$B$9,-12*MAX(0,$B$8-IF($B$1+5&gt;=$B$23,$B$22,0))*(1+$B$4)^5))*IF(G190+IF($B$1+5&lt;=$B190,12*$B$9,-12*MAX(0,$B$8-IF($B$1+5&gt;=$B$23,$B$22,0))*(1+$B$4)^5)&gt;0,1+$B$3,1))</f>
        <v/>
      </c>
      <c r="I190">
        <f>IF($B$1+6&gt;90,H190,(H190+IF($B$1+6&lt;=$B190,12*$B$9,-12*MAX(0,$B$8-IF($B$1+6&gt;=$B$23,$B$22,0))*(1+$B$4)^6))*IF(H190+IF($B$1+6&lt;=$B190,12*$B$9,-12*MAX(0,$B$8-IF($B$1+6&gt;=$B$23,$B$22,0))*(1+$B$4)^6)&gt;0,1+$B$3,1))</f>
        <v/>
      </c>
      <c r="J190">
        <f>IF($B$1+7&gt;90,I190,(I190+IF($B$1+7&lt;=$B190,12*$B$9,-12*MAX(0,$B$8-IF($B$1+7&gt;=$B$23,$B$22,0))*(1+$B$4)^7))*IF(I190+IF($B$1+7&lt;=$B190,12*$B$9,-12*MAX(0,$B$8-IF($B$1+7&gt;=$B$23,$B$22,0))*(1+$B$4)^7)&gt;0,1+$B$3,1))</f>
        <v/>
      </c>
      <c r="K190">
        <f>IF($B$1+8&gt;90,J190,(J190+IF($B$1+8&lt;=$B190,12*$B$9,-12*MAX(0,$B$8-IF($B$1+8&gt;=$B$23,$B$22,0))*(1+$B$4)^8))*IF(J190+IF($B$1+8&lt;=$B190,12*$B$9,-12*MAX(0,$B$8-IF($B$1+8&gt;=$B$23,$B$22,0))*(1+$B$4)^8)&gt;0,1+$B$3,1))</f>
        <v/>
      </c>
      <c r="L190">
        <f>IF($B$1+9&gt;90,K190,(K190+IF($B$1+9&lt;=$B190,12*$B$9,-12*MAX(0,$B$8-IF($B$1+9&gt;=$B$23,$B$22,0))*(1+$B$4)^9))*IF(K190+IF($B$1+9&lt;=$B190,12*$B$9,-12*MAX(0,$B$8-IF($B$1+9&gt;=$B$23,$B$22,0))*(1+$B$4)^9)&gt;0,1+$B$3,1))</f>
        <v/>
      </c>
      <c r="M190">
        <f>IF($B$1+10&gt;90,L190,(L190+IF($B$1+10&lt;=$B190,12*$B$9,-12*MAX(0,$B$8-IF($B$1+10&gt;=$B$23,$B$22,0))*(1+$B$4)^10))*IF(L190+IF($B$1+10&lt;=$B190,12*$B$9,-12*MAX(0,$B$8-IF($B$1+10&gt;=$B$23,$B$22,0))*(1+$B$4)^10)&gt;0,1+$B$3,1))</f>
        <v/>
      </c>
      <c r="N190">
        <f>IF($B$1+11&gt;90,M190,(M190+IF($B$1+11&lt;=$B190,12*$B$9,-12*MAX(0,$B$8-IF($B$1+11&gt;=$B$23,$B$22,0))*(1+$B$4)^11))*IF(M190+IF($B$1+11&lt;=$B190,12*$B$9,-12*MAX(0,$B$8-IF($B$1+11&gt;=$B$23,$B$22,0))*(1+$B$4)^11)&gt;0,1+$B$3,1))</f>
        <v/>
      </c>
      <c r="O190">
        <f>IF($B$1+12&gt;90,N190,(N190+IF($B$1+12&lt;=$B190,12*$B$9,-12*MAX(0,$B$8-IF($B$1+12&gt;=$B$23,$B$22,0))*(1+$B$4)^12))*IF(N190+IF($B$1+12&lt;=$B190,12*$B$9,-12*MAX(0,$B$8-IF($B$1+12&gt;=$B$23,$B$22,0))*(1+$B$4)^12)&gt;0,1+$B$3,1))</f>
        <v/>
      </c>
      <c r="P190">
        <f>IF($B$1+13&gt;90,O190,(O190+IF($B$1+13&lt;=$B190,12*$B$9,-12*MAX(0,$B$8-IF($B$1+13&gt;=$B$23,$B$22,0))*(1+$B$4)^13))*IF(O190+IF($B$1+13&lt;=$B190,12*$B$9,-12*MAX(0,$B$8-IF($B$1+13&gt;=$B$23,$B$22,0))*(1+$B$4)^13)&gt;0,1+$B$3,1))</f>
        <v/>
      </c>
      <c r="Q190">
        <f>IF($B$1+14&gt;90,P190,(P190+IF($B$1+14&lt;=$B190,12*$B$9,-12*MAX(0,$B$8-IF($B$1+14&gt;=$B$23,$B$22,0))*(1+$B$4)^14))*IF(P190+IF($B$1+14&lt;=$B190,12*$B$9,-12*MAX(0,$B$8-IF($B$1+14&gt;=$B$23,$B$22,0))*(1+$B$4)^14)&gt;0,1+$B$3,1))</f>
        <v/>
      </c>
      <c r="R190">
        <f>IF($B$1+15&gt;90,Q190,(Q190+IF($B$1+15&lt;=$B190,12*$B$9,-12*MAX(0,$B$8-IF($B$1+15&gt;=$B$23,$B$22,0))*(1+$B$4)^15))*IF(Q190+IF($B$1+15&lt;=$B190,12*$B$9,-12*MAX(0,$B$8-IF($B$1+15&gt;=$B$23,$B$22,0))*(1+$B$4)^15)&gt;0,1+$B$3,1))</f>
        <v/>
      </c>
      <c r="S190">
        <f>IF($B$1+16&gt;90,R190,(R190+IF($B$1+16&lt;=$B190,12*$B$9,-12*MAX(0,$B$8-IF($B$1+16&gt;=$B$23,$B$22,0))*(1+$B$4)^16))*IF(R190+IF($B$1+16&lt;=$B190,12*$B$9,-12*MAX(0,$B$8-IF($B$1+16&gt;=$B$23,$B$22,0))*(1+$B$4)^16)&gt;0,1+$B$3,1))</f>
        <v/>
      </c>
      <c r="T190">
        <f>IF($B$1+17&gt;90,S190,(S190+IF($B$1+17&lt;=$B190,12*$B$9,-12*MAX(0,$B$8-IF($B$1+17&gt;=$B$23,$B$22,0))*(1+$B$4)^17))*IF(S190+IF($B$1+17&lt;=$B190,12*$B$9,-12*MAX(0,$B$8-IF($B$1+17&gt;=$B$23,$B$22,0))*(1+$B$4)^17)&gt;0,1+$B$3,1))</f>
        <v/>
      </c>
      <c r="U190">
        <f>IF($B$1+18&gt;90,T190,(T190+IF($B$1+18&lt;=$B190,12*$B$9,-12*MAX(0,$B$8-IF($B$1+18&gt;=$B$23,$B$22,0))*(1+$B$4)^18))*IF(T190+IF($B$1+18&lt;=$B190,12*$B$9,-12*MAX(0,$B$8-IF($B$1+18&gt;=$B$23,$B$22,0))*(1+$B$4)^18)&gt;0,1+$B$3,1))</f>
        <v/>
      </c>
      <c r="V190">
        <f>IF($B$1+19&gt;90,U190,(U190+IF($B$1+19&lt;=$B190,12*$B$9,-12*MAX(0,$B$8-IF($B$1+19&gt;=$B$23,$B$22,0))*(1+$B$4)^19))*IF(U190+IF($B$1+19&lt;=$B190,12*$B$9,-12*MAX(0,$B$8-IF($B$1+19&gt;=$B$23,$B$22,0))*(1+$B$4)^19)&gt;0,1+$B$3,1))</f>
        <v/>
      </c>
      <c r="W190">
        <f>IF($B$1+20&gt;90,V190,(V190+IF($B$1+20&lt;=$B190,12*$B$9,-12*MAX(0,$B$8-IF($B$1+20&gt;=$B$23,$B$22,0))*(1+$B$4)^20))*IF(V190+IF($B$1+20&lt;=$B190,12*$B$9,-12*MAX(0,$B$8-IF($B$1+20&gt;=$B$23,$B$22,0))*(1+$B$4)^20)&gt;0,1+$B$3,1))</f>
        <v/>
      </c>
      <c r="X190">
        <f>IF($B$1+21&gt;90,W190,(W190+IF($B$1+21&lt;=$B190,12*$B$9,-12*MAX(0,$B$8-IF($B$1+21&gt;=$B$23,$B$22,0))*(1+$B$4)^21))*IF(W190+IF($B$1+21&lt;=$B190,12*$B$9,-12*MAX(0,$B$8-IF($B$1+21&gt;=$B$23,$B$22,0))*(1+$B$4)^21)&gt;0,1+$B$3,1))</f>
        <v/>
      </c>
      <c r="Y190">
        <f>IF($B$1+22&gt;90,X190,(X190+IF($B$1+22&lt;=$B190,12*$B$9,-12*MAX(0,$B$8-IF($B$1+22&gt;=$B$23,$B$22,0))*(1+$B$4)^22))*IF(X190+IF($B$1+22&lt;=$B190,12*$B$9,-12*MAX(0,$B$8-IF($B$1+22&gt;=$B$23,$B$22,0))*(1+$B$4)^22)&gt;0,1+$B$3,1))</f>
        <v/>
      </c>
      <c r="Z190">
        <f>IF($B$1+23&gt;90,Y190,(Y190+IF($B$1+23&lt;=$B190,12*$B$9,-12*MAX(0,$B$8-IF($B$1+23&gt;=$B$23,$B$22,0))*(1+$B$4)^23))*IF(Y190+IF($B$1+23&lt;=$B190,12*$B$9,-12*MAX(0,$B$8-IF($B$1+23&gt;=$B$23,$B$22,0))*(1+$B$4)^23)&gt;0,1+$B$3,1))</f>
        <v/>
      </c>
      <c r="AA190">
        <f>IF($B$1+24&gt;90,Z190,(Z190+IF($B$1+24&lt;=$B190,12*$B$9,-12*MAX(0,$B$8-IF($B$1+24&gt;=$B$23,$B$22,0))*(1+$B$4)^24))*IF(Z190+IF($B$1+24&lt;=$B190,12*$B$9,-12*MAX(0,$B$8-IF($B$1+24&gt;=$B$23,$B$22,0))*(1+$B$4)^24)&gt;0,1+$B$3,1))</f>
        <v/>
      </c>
      <c r="AB190">
        <f>IF($B$1+25&gt;90,AA190,(AA190+IF($B$1+25&lt;=$B190,12*$B$9,-12*MAX(0,$B$8-IF($B$1+25&gt;=$B$23,$B$22,0))*(1+$B$4)^25))*IF(AA190+IF($B$1+25&lt;=$B190,12*$B$9,-12*MAX(0,$B$8-IF($B$1+25&gt;=$B$23,$B$22,0))*(1+$B$4)^25)&gt;0,1+$B$3,1))</f>
        <v/>
      </c>
      <c r="AC190">
        <f>IF($B$1+26&gt;90,AB190,(AB190+IF($B$1+26&lt;=$B190,12*$B$9,-12*MAX(0,$B$8-IF($B$1+26&gt;=$B$23,$B$22,0))*(1+$B$4)^26))*IF(AB190+IF($B$1+26&lt;=$B190,12*$B$9,-12*MAX(0,$B$8-IF($B$1+26&gt;=$B$23,$B$22,0))*(1+$B$4)^26)&gt;0,1+$B$3,1))</f>
        <v/>
      </c>
      <c r="AD190">
        <f>IF($B$1+27&gt;90,AC190,(AC190+IF($B$1+27&lt;=$B190,12*$B$9,-12*MAX(0,$B$8-IF($B$1+27&gt;=$B$23,$B$22,0))*(1+$B$4)^27))*IF(AC190+IF($B$1+27&lt;=$B190,12*$B$9,-12*MAX(0,$B$8-IF($B$1+27&gt;=$B$23,$B$22,0))*(1+$B$4)^27)&gt;0,1+$B$3,1))</f>
        <v/>
      </c>
      <c r="AE190">
        <f>IF($B$1+28&gt;90,AD190,(AD190+IF($B$1+28&lt;=$B190,12*$B$9,-12*MAX(0,$B$8-IF($B$1+28&gt;=$B$23,$B$22,0))*(1+$B$4)^28))*IF(AD190+IF($B$1+28&lt;=$B190,12*$B$9,-12*MAX(0,$B$8-IF($B$1+28&gt;=$B$23,$B$22,0))*(1+$B$4)^28)&gt;0,1+$B$3,1))</f>
        <v/>
      </c>
      <c r="AF190">
        <f>IF($B$1+29&gt;90,AE190,(AE190+IF($B$1+29&lt;=$B190,12*$B$9,-12*MAX(0,$B$8-IF($B$1+29&gt;=$B$23,$B$22,0))*(1+$B$4)^29))*IF(AE190+IF($B$1+29&lt;=$B190,12*$B$9,-12*MAX(0,$B$8-IF($B$1+29&gt;=$B$23,$B$22,0))*(1+$B$4)^29)&gt;0,1+$B$3,1))</f>
        <v/>
      </c>
      <c r="AG190">
        <f>IF($B$1+30&gt;90,AF190,(AF190+IF($B$1+30&lt;=$B190,12*$B$9,-12*MAX(0,$B$8-IF($B$1+30&gt;=$B$23,$B$22,0))*(1+$B$4)^30))*IF(AF190+IF($B$1+30&lt;=$B190,12*$B$9,-12*MAX(0,$B$8-IF($B$1+30&gt;=$B$23,$B$22,0))*(1+$B$4)^30)&gt;0,1+$B$3,1))</f>
        <v/>
      </c>
      <c r="AH190">
        <f>IF($B$1+31&gt;90,AG190,(AG190+IF($B$1+31&lt;=$B190,12*$B$9,-12*MAX(0,$B$8-IF($B$1+31&gt;=$B$23,$B$22,0))*(1+$B$4)^31))*IF(AG190+IF($B$1+31&lt;=$B190,12*$B$9,-12*MAX(0,$B$8-IF($B$1+31&gt;=$B$23,$B$22,0))*(1+$B$4)^31)&gt;0,1+$B$3,1))</f>
        <v/>
      </c>
      <c r="AI190">
        <f>IF($B$1+32&gt;90,AH190,(AH190+IF($B$1+32&lt;=$B190,12*$B$9,-12*MAX(0,$B$8-IF($B$1+32&gt;=$B$23,$B$22,0))*(1+$B$4)^32))*IF(AH190+IF($B$1+32&lt;=$B190,12*$B$9,-12*MAX(0,$B$8-IF($B$1+32&gt;=$B$23,$B$22,0))*(1+$B$4)^32)&gt;0,1+$B$3,1))</f>
        <v/>
      </c>
      <c r="AJ190">
        <f>IF($B$1+33&gt;90,AI190,(AI190+IF($B$1+33&lt;=$B190,12*$B$9,-12*MAX(0,$B$8-IF($B$1+33&gt;=$B$23,$B$22,0))*(1+$B$4)^33))*IF(AI190+IF($B$1+33&lt;=$B190,12*$B$9,-12*MAX(0,$B$8-IF($B$1+33&gt;=$B$23,$B$22,0))*(1+$B$4)^33)&gt;0,1+$B$3,1))</f>
        <v/>
      </c>
      <c r="AK190">
        <f>IF($B$1+34&gt;90,AJ190,(AJ190+IF($B$1+34&lt;=$B190,12*$B$9,-12*MAX(0,$B$8-IF($B$1+34&gt;=$B$23,$B$22,0))*(1+$B$4)^34))*IF(AJ190+IF($B$1+34&lt;=$B190,12*$B$9,-12*MAX(0,$B$8-IF($B$1+34&gt;=$B$23,$B$22,0))*(1+$B$4)^34)&gt;0,1+$B$3,1))</f>
        <v/>
      </c>
      <c r="AL190">
        <f>IF($B$1+35&gt;90,AK190,(AK190+IF($B$1+35&lt;=$B190,12*$B$9,-12*MAX(0,$B$8-IF($B$1+35&gt;=$B$23,$B$22,0))*(1+$B$4)^35))*IF(AK190+IF($B$1+35&lt;=$B190,12*$B$9,-12*MAX(0,$B$8-IF($B$1+35&gt;=$B$23,$B$22,0))*(1+$B$4)^35)&gt;0,1+$B$3,1))</f>
        <v/>
      </c>
      <c r="AM190">
        <f>IF($B$1+36&gt;90,AL190,(AL190+IF($B$1+36&lt;=$B190,12*$B$9,-12*MAX(0,$B$8-IF($B$1+36&gt;=$B$23,$B$22,0))*(1+$B$4)^36))*IF(AL190+IF($B$1+36&lt;=$B190,12*$B$9,-12*MAX(0,$B$8-IF($B$1+36&gt;=$B$23,$B$22,0))*(1+$B$4)^36)&gt;0,1+$B$3,1))</f>
        <v/>
      </c>
      <c r="AN190">
        <f>IF($B$1+37&gt;90,AM190,(AM190+IF($B$1+37&lt;=$B190,12*$B$9,-12*MAX(0,$B$8-IF($B$1+37&gt;=$B$23,$B$22,0))*(1+$B$4)^37))*IF(AM190+IF($B$1+37&lt;=$B190,12*$B$9,-12*MAX(0,$B$8-IF($B$1+37&gt;=$B$23,$B$22,0))*(1+$B$4)^37)&gt;0,1+$B$3,1))</f>
        <v/>
      </c>
      <c r="AO190">
        <f>IF($B$1+38&gt;90,AN190,(AN190+IF($B$1+38&lt;=$B190,12*$B$9,-12*MAX(0,$B$8-IF($B$1+38&gt;=$B$23,$B$22,0))*(1+$B$4)^38))*IF(AN190+IF($B$1+38&lt;=$B190,12*$B$9,-12*MAX(0,$B$8-IF($B$1+38&gt;=$B$23,$B$22,0))*(1+$B$4)^38)&gt;0,1+$B$3,1))</f>
        <v/>
      </c>
      <c r="AP190">
        <f>IF($B$1+39&gt;90,AO190,(AO190+IF($B$1+39&lt;=$B190,12*$B$9,-12*MAX(0,$B$8-IF($B$1+39&gt;=$B$23,$B$22,0))*(1+$B$4)^39))*IF(AO190+IF($B$1+39&lt;=$B190,12*$B$9,-12*MAX(0,$B$8-IF($B$1+39&gt;=$B$23,$B$22,0))*(1+$B$4)^39)&gt;0,1+$B$3,1))</f>
        <v/>
      </c>
      <c r="AQ190">
        <f>IF($B$1+40&gt;90,AP190,(AP190+IF($B$1+40&lt;=$B190,12*$B$9,-12*MAX(0,$B$8-IF($B$1+40&gt;=$B$23,$B$22,0))*(1+$B$4)^40))*IF(AP190+IF($B$1+40&lt;=$B190,12*$B$9,-12*MAX(0,$B$8-IF($B$1+40&gt;=$B$23,$B$22,0))*(1+$B$4)^40)&gt;0,1+$B$3,1))</f>
        <v/>
      </c>
      <c r="AR190">
        <f>IF($B$1+41&gt;90,AQ190,(AQ190+IF($B$1+41&lt;=$B190,12*$B$9,-12*MAX(0,$B$8-IF($B$1+41&gt;=$B$23,$B$22,0))*(1+$B$4)^41))*IF(AQ190+IF($B$1+41&lt;=$B190,12*$B$9,-12*MAX(0,$B$8-IF($B$1+41&gt;=$B$23,$B$22,0))*(1+$B$4)^41)&gt;0,1+$B$3,1))</f>
        <v/>
      </c>
      <c r="AS190">
        <f>IF($B$1+42&gt;90,AR190,(AR190+IF($B$1+42&lt;=$B190,12*$B$9,-12*MAX(0,$B$8-IF($B$1+42&gt;=$B$23,$B$22,0))*(1+$B$4)^42))*IF(AR190+IF($B$1+42&lt;=$B190,12*$B$9,-12*MAX(0,$B$8-IF($B$1+42&gt;=$B$23,$B$22,0))*(1+$B$4)^42)&gt;0,1+$B$3,1))</f>
        <v/>
      </c>
      <c r="AT190">
        <f>IF($B$1+43&gt;90,AS190,(AS190+IF($B$1+43&lt;=$B190,12*$B$9,-12*MAX(0,$B$8-IF($B$1+43&gt;=$B$23,$B$22,0))*(1+$B$4)^43))*IF(AS190+IF($B$1+43&lt;=$B190,12*$B$9,-12*MAX(0,$B$8-IF($B$1+43&gt;=$B$23,$B$22,0))*(1+$B$4)^43)&gt;0,1+$B$3,1))</f>
        <v/>
      </c>
      <c r="AU190">
        <f>IF($B$1+44&gt;90,AT190,(AT190+IF($B$1+44&lt;=$B190,12*$B$9,-12*MAX(0,$B$8-IF($B$1+44&gt;=$B$23,$B$22,0))*(1+$B$4)^44))*IF(AT190+IF($B$1+44&lt;=$B190,12*$B$9,-12*MAX(0,$B$8-IF($B$1+44&gt;=$B$23,$B$22,0))*(1+$B$4)^44)&gt;0,1+$B$3,1))</f>
        <v/>
      </c>
      <c r="AV190">
        <f>IF($B$1+45&gt;90,AU190,(AU190+IF($B$1+45&lt;=$B190,12*$B$9,-12*MAX(0,$B$8-IF($B$1+45&gt;=$B$23,$B$22,0))*(1+$B$4)^45))*IF(AU190+IF($B$1+45&lt;=$B190,12*$B$9,-12*MAX(0,$B$8-IF($B$1+45&gt;=$B$23,$B$22,0))*(1+$B$4)^45)&gt;0,1+$B$3,1))</f>
        <v/>
      </c>
      <c r="AW190">
        <f>IF($B$1+46&gt;90,AV190,(AV190+IF($B$1+46&lt;=$B190,12*$B$9,-12*MAX(0,$B$8-IF($B$1+46&gt;=$B$23,$B$22,0))*(1+$B$4)^46))*IF(AV190+IF($B$1+46&lt;=$B190,12*$B$9,-12*MAX(0,$B$8-IF($B$1+46&gt;=$B$23,$B$22,0))*(1+$B$4)^46)&gt;0,1+$B$3,1))</f>
        <v/>
      </c>
      <c r="AX190">
        <f>IF($B$1+47&gt;90,AW190,(AW190+IF($B$1+47&lt;=$B190,12*$B$9,-12*MAX(0,$B$8-IF($B$1+47&gt;=$B$23,$B$22,0))*(1+$B$4)^47))*IF(AW190+IF($B$1+47&lt;=$B190,12*$B$9,-12*MAX(0,$B$8-IF($B$1+47&gt;=$B$23,$B$22,0))*(1+$B$4)^47)&gt;0,1+$B$3,1))</f>
        <v/>
      </c>
      <c r="AY190">
        <f>IF($B$1+48&gt;90,AX190,(AX190+IF($B$1+48&lt;=$B190,12*$B$9,-12*MAX(0,$B$8-IF($B$1+48&gt;=$B$23,$B$22,0))*(1+$B$4)^48))*IF(AX190+IF($B$1+48&lt;=$B190,12*$B$9,-12*MAX(0,$B$8-IF($B$1+48&gt;=$B$23,$B$22,0))*(1+$B$4)^48)&gt;0,1+$B$3,1))</f>
        <v/>
      </c>
      <c r="AZ190">
        <f>IF($B$1+49&gt;90,AY190,(AY190+IF($B$1+49&lt;=$B190,12*$B$9,-12*MAX(0,$B$8-IF($B$1+49&gt;=$B$23,$B$22,0))*(1+$B$4)^49))*IF(AY190+IF($B$1+49&lt;=$B190,12*$B$9,-12*MAX(0,$B$8-IF($B$1+49&gt;=$B$23,$B$22,0))*(1+$B$4)^49)&gt;0,1+$B$3,1))</f>
        <v/>
      </c>
      <c r="BA190">
        <f>IF($B$1+50&gt;90,AZ190,(AZ190+IF($B$1+50&lt;=$B190,12*$B$9,-12*MAX(0,$B$8-IF($B$1+50&gt;=$B$23,$B$22,0))*(1+$B$4)^50))*IF(AZ190+IF($B$1+50&lt;=$B190,12*$B$9,-12*MAX(0,$B$8-IF($B$1+50&gt;=$B$23,$B$22,0))*(1+$B$4)^50)&gt;0,1+$B$3,1))</f>
        <v/>
      </c>
      <c r="BB190">
        <f>IF($B$1+51&gt;90,BA190,(BA190+IF($B$1+51&lt;=$B190,12*$B$9,-12*MAX(0,$B$8-IF($B$1+51&gt;=$B$23,$B$22,0))*(1+$B$4)^51))*IF(BA190+IF($B$1+51&lt;=$B190,12*$B$9,-12*MAX(0,$B$8-IF($B$1+51&gt;=$B$23,$B$22,0))*(1+$B$4)^51)&gt;0,1+$B$3,1))</f>
        <v/>
      </c>
      <c r="BC190">
        <f>IF($B$1+52&gt;90,BB190,(BB190+IF($B$1+52&lt;=$B190,12*$B$9,-12*MAX(0,$B$8-IF($B$1+52&gt;=$B$23,$B$22,0))*(1+$B$4)^52))*IF(BB190+IF($B$1+52&lt;=$B190,12*$B$9,-12*MAX(0,$B$8-IF($B$1+52&gt;=$B$23,$B$22,0))*(1+$B$4)^52)&gt;0,1+$B$3,1))</f>
        <v/>
      </c>
      <c r="BD190">
        <f>IF($B$1+53&gt;90,BC190,(BC190+IF($B$1+53&lt;=$B190,12*$B$9,-12*MAX(0,$B$8-IF($B$1+53&gt;=$B$23,$B$22,0))*(1+$B$4)^53))*IF(BC190+IF($B$1+53&lt;=$B190,12*$B$9,-12*MAX(0,$B$8-IF($B$1+53&gt;=$B$23,$B$22,0))*(1+$B$4)^53)&gt;0,1+$B$3,1))</f>
        <v/>
      </c>
      <c r="BE190">
        <f>IF($B$1+54&gt;90,BD190,(BD190+IF($B$1+54&lt;=$B190,12*$B$9,-12*MAX(0,$B$8-IF($B$1+54&gt;=$B$23,$B$22,0))*(1+$B$4)^54))*IF(BD190+IF($B$1+54&lt;=$B190,12*$B$9,-12*MAX(0,$B$8-IF($B$1+54&gt;=$B$23,$B$22,0))*(1+$B$4)^54)&gt;0,1+$B$3,1))</f>
        <v/>
      </c>
      <c r="BF190">
        <f>IF($B$1+55&gt;90,BE190,(BE190+IF($B$1+55&lt;=$B190,12*$B$9,-12*MAX(0,$B$8-IF($B$1+55&gt;=$B$23,$B$22,0))*(1+$B$4)^55))*IF(BE190+IF($B$1+55&lt;=$B190,12*$B$9,-12*MAX(0,$B$8-IF($B$1+55&gt;=$B$23,$B$22,0))*(1+$B$4)^55)&gt;0,1+$B$3,1))</f>
        <v/>
      </c>
      <c r="BG190">
        <f>IF($B$1+56&gt;90,BF190,(BF190+IF($B$1+56&lt;=$B190,12*$B$9,-12*MAX(0,$B$8-IF($B$1+56&gt;=$B$23,$B$22,0))*(1+$B$4)^56))*IF(BF190+IF($B$1+56&lt;=$B190,12*$B$9,-12*MAX(0,$B$8-IF($B$1+56&gt;=$B$23,$B$22,0))*(1+$B$4)^56)&gt;0,1+$B$3,1))</f>
        <v/>
      </c>
      <c r="BH190">
        <f>IF($B$1+57&gt;90,BG190,(BG190+IF($B$1+57&lt;=$B190,12*$B$9,-12*MAX(0,$B$8-IF($B$1+57&gt;=$B$23,$B$22,0))*(1+$B$4)^57))*IF(BG190+IF($B$1+57&lt;=$B190,12*$B$9,-12*MAX(0,$B$8-IF($B$1+57&gt;=$B$23,$B$22,0))*(1+$B$4)^57)&gt;0,1+$B$3,1))</f>
        <v/>
      </c>
      <c r="BI190">
        <f>IF($B$1+58&gt;90,BH190,(BH190+IF($B$1+58&lt;=$B190,12*$B$9,-12*MAX(0,$B$8-IF($B$1+58&gt;=$B$23,$B$22,0))*(1+$B$4)^58))*IF(BH190+IF($B$1+58&lt;=$B190,12*$B$9,-12*MAX(0,$B$8-IF($B$1+58&gt;=$B$23,$B$22,0))*(1+$B$4)^58)&gt;0,1+$B$3,1))</f>
        <v/>
      </c>
      <c r="BJ190">
        <f>IF($B$1+59&gt;90,BI190,(BI190+IF($B$1+59&lt;=$B190,12*$B$9,-12*MAX(0,$B$8-IF($B$1+59&gt;=$B$23,$B$22,0))*(1+$B$4)^59))*IF(BI190+IF($B$1+59&lt;=$B190,12*$B$9,-12*MAX(0,$B$8-IF($B$1+59&gt;=$B$23,$B$22,0))*(1+$B$4)^59)&gt;0,1+$B$3,1))</f>
        <v/>
      </c>
      <c r="BK190">
        <f>IF($B$1+60&gt;90,BJ190,(BJ190+IF($B$1+60&lt;=$B190,12*$B$9,-12*MAX(0,$B$8-IF($B$1+60&gt;=$B$23,$B$22,0))*(1+$B$4)^60))*IF(BJ190+IF($B$1+60&lt;=$B190,12*$B$9,-12*MAX(0,$B$8-IF($B$1+60&gt;=$B$23,$B$22,0))*(1+$B$4)^60)&gt;0,1+$B$3,1))</f>
        <v/>
      </c>
      <c r="BL190">
        <f>IF($B$1+61&gt;90,BK190,(BK190+IF($B$1+61&lt;=$B190,12*$B$9,-12*MAX(0,$B$8-IF($B$1+61&gt;=$B$23,$B$22,0))*(1+$B$4)^61))*IF(BK190+IF($B$1+61&lt;=$B190,12*$B$9,-12*MAX(0,$B$8-IF($B$1+61&gt;=$B$23,$B$22,0))*(1+$B$4)^61)&gt;0,1+$B$3,1))</f>
        <v/>
      </c>
      <c r="BM190">
        <f>IF($B$1+62&gt;90,BL190,(BL190+IF($B$1+62&lt;=$B190,12*$B$9,-12*MAX(0,$B$8-IF($B$1+62&gt;=$B$23,$B$22,0))*(1+$B$4)^62))*IF(BL190+IF($B$1+62&lt;=$B190,12*$B$9,-12*MAX(0,$B$8-IF($B$1+62&gt;=$B$23,$B$22,0))*(1+$B$4)^62)&gt;0,1+$B$3,1))</f>
        <v/>
      </c>
      <c r="BN190">
        <f>IF($B$1+63&gt;90,BM190,(BM190+IF($B$1+63&lt;=$B190,12*$B$9,-12*MAX(0,$B$8-IF($B$1+63&gt;=$B$23,$B$22,0))*(1+$B$4)^63))*IF(BM190+IF($B$1+63&lt;=$B190,12*$B$9,-12*MAX(0,$B$8-IF($B$1+63&gt;=$B$23,$B$22,0))*(1+$B$4)^63)&gt;0,1+$B$3,1))</f>
        <v/>
      </c>
      <c r="BO190">
        <f>IF($B$1+64&gt;90,BN190,(BN190+IF($B$1+64&lt;=$B190,12*$B$9,-12*MAX(0,$B$8-IF($B$1+64&gt;=$B$23,$B$22,0))*(1+$B$4)^64))*IF(BN190+IF($B$1+64&lt;=$B190,12*$B$9,-12*MAX(0,$B$8-IF($B$1+64&gt;=$B$23,$B$22,0))*(1+$B$4)^64)&gt;0,1+$B$3,1))</f>
        <v/>
      </c>
      <c r="BP190">
        <f>IF($B$1+65&gt;90,BO190,(BO190+IF($B$1+65&lt;=$B190,12*$B$9,-12*MAX(0,$B$8-IF($B$1+65&gt;=$B$23,$B$22,0))*(1+$B$4)^65))*IF(BO190+IF($B$1+65&lt;=$B190,12*$B$9,-12*MAX(0,$B$8-IF($B$1+65&gt;=$B$23,$B$22,0))*(1+$B$4)^65)&gt;0,1+$B$3,1))</f>
        <v/>
      </c>
      <c r="BQ190">
        <f>IF($B$1+66&gt;90,BP190,(BP190+IF($B$1+66&lt;=$B190,12*$B$9,-12*MAX(0,$B$8-IF($B$1+66&gt;=$B$23,$B$22,0))*(1+$B$4)^66))*IF(BP190+IF($B$1+66&lt;=$B190,12*$B$9,-12*MAX(0,$B$8-IF($B$1+66&gt;=$B$23,$B$22,0))*(1+$B$4)^66)&gt;0,1+$B$3,1))</f>
        <v/>
      </c>
      <c r="BR190">
        <f>IF($B$1+67&gt;90,BQ190,(BQ190+IF($B$1+67&lt;=$B190,12*$B$9,-12*MAX(0,$B$8-IF($B$1+67&gt;=$B$23,$B$22,0))*(1+$B$4)^67))*IF(BQ190+IF($B$1+67&lt;=$B190,12*$B$9,-12*MAX(0,$B$8-IF($B$1+67&gt;=$B$23,$B$22,0))*(1+$B$4)^67)&gt;0,1+$B$3,1))</f>
        <v/>
      </c>
      <c r="BS190">
        <f>IF($B$1+68&gt;90,BR190,(BR190+IF($B$1+68&lt;=$B190,12*$B$9,-12*MAX(0,$B$8-IF($B$1+68&gt;=$B$23,$B$22,0))*(1+$B$4)^68))*IF(BR190+IF($B$1+68&lt;=$B190,12*$B$9,-12*MAX(0,$B$8-IF($B$1+68&gt;=$B$23,$B$22,0))*(1+$B$4)^68)&gt;0,1+$B$3,1))</f>
        <v/>
      </c>
      <c r="BT190">
        <f>IF($B$1+69&gt;90,BS190,(BS190+IF($B$1+69&lt;=$B190,12*$B$9,-12*MAX(0,$B$8-IF($B$1+69&gt;=$B$23,$B$22,0))*(1+$B$4)^69))*IF(BS190+IF($B$1+69&lt;=$B190,12*$B$9,-12*MAX(0,$B$8-IF($B$1+69&gt;=$B$23,$B$22,0))*(1+$B$4)^69)&gt;0,1+$B$3,1))</f>
        <v/>
      </c>
      <c r="BU190">
        <f>IF($B$1+70&gt;90,BT190,(BT190+IF($B$1+70&lt;=$B190,12*$B$9,-12*MAX(0,$B$8-IF($B$1+70&gt;=$B$23,$B$22,0))*(1+$B$4)^70))*IF(BT190+IF($B$1+70&lt;=$B190,12*$B$9,-12*MAX(0,$B$8-IF($B$1+70&gt;=$B$23,$B$22,0))*(1+$B$4)^70)&gt;0,1+$B$3,1))</f>
        <v/>
      </c>
      <c r="BV190">
        <f>BU190</f>
        <v/>
      </c>
      <c r="BW190">
        <f>IF(AND($B190&lt;=70,BV190&gt;0),$B190,999)</f>
        <v/>
      </c>
      <c r="CH190">
        <f>IF(ISTEXT('월 가계부'!A190),SUBSTITUTE(SUBSTITUTE(SUBSTITUTE(SUBSTITUTE(SUBSTITUTE(SUBSTITUTE(SUBSTITUTE(SUBSTITUTE(SUBSTITUTE(TRIM('월 가계부'!A190),"년","-"),"월","-"),"일",""),".","-"),"/","-")," ","-"),"--","-"),"--","-"),"--","-")&amp;"-","")</f>
        <v/>
      </c>
      <c r="CI190">
        <f>IFERROR(IF('월 가계부'!A190="","",IF(ISNUMBER('월 가계부'!A190),IF(AND('월 가계부'!A190&gt;=19000101,'월 가계부'!A190&lt;=21001231),IF(AND(MOD(INT('월 가계부'!A190/100),100)&gt;=1,MOD(INT('월 가계부'!A190/100),100)&lt;=12,MOD(INT('월 가계부'!A190),100)&gt;=1,MOD(INT('월 가계부'!A190),100)&lt;=31),IF(MONTH(DATE(INT('월 가계부'!A190/10000),MOD(INT('월 가계부'!A190/100),100),MOD(INT('월 가계부'!A190),100)))=MOD(INT('월 가계부'!A190/100),100),DATE(INT('월 가계부'!A190/10000),MOD(INT('월 가계부'!A190/100),100),MOD(INT('월 가계부'!A190),100)),""),""),IF(AND('월 가계부'!A190&gt;=36526,'월 가계부'!A190&lt;73051),INT('월 가계부'!A190),"")),IF(OR(CM190="",CN190="",CO190=""),"",IF(AND(CM190&gt;=2000,CM190&lt;=2099,CN190&gt;=1,CN190&lt;=12,CO190&gt;=1,CO190&lt;=31),IF(MONTH(DATE(CM190,CN190,CO190))=CN190,DATE(CM190,CN190,CO190),""),"")))),"")</f>
        <v/>
      </c>
      <c r="CJ190">
        <f>IFERROR(IF('월 가계부'!C190="","",IF(ISNUMBER('월 가계부'!C190),'월 가계부'!C190,VALUE(SUBSTITUTE(SUBSTITUTE(SUBSTITUTE(SUBSTITUTE(TRIM('월 가계부'!C190),",",""),"원","")," ",""),"−","-")))),"")</f>
        <v/>
      </c>
      <c r="CK190">
        <f>IF(ISNUMBER(CI190),IF(CI190&lt;$B$13,CI190,""),"")</f>
        <v/>
      </c>
      <c r="CM190">
        <f>IF(CH190="","",IFERROR(IF(IF(AND(LEN(CH190)=9,ISERROR(FIND("-",LEFT(CH190,8))),ISNUMBER(-LEFT(CH190,8))),VALUE(LEFT(CH190,4)),VALUE(LEFT(CH190,FIND("-",CH190)-1)))&lt;100,IF(AND(LEN(CH190)=9,ISERROR(FIND("-",LEFT(CH190,8))),ISNUMBER(-LEFT(CH190,8))),VALUE(LEFT(CH190,4)),VALUE(LEFT(CH190,FIND("-",CH190)-1)))+2000,IF(AND(LEN(CH190)=9,ISERROR(FIND("-",LEFT(CH190,8))),ISNUMBER(-LEFT(CH190,8))),VALUE(LEFT(CH190,4)),VALUE(LEFT(CH190,FIND("-",CH190)-1)))),""))</f>
        <v/>
      </c>
      <c r="CN190">
        <f>IF(CH190="","",IFERROR(IF(AND(LEN(CH190)=9,ISERROR(FIND("-",LEFT(CH190,8))),ISNUMBER(-LEFT(CH190,8))),VALUE(MID(CH190,5,2)),VALUE(MID(CH190,FIND("-",CH190)+1,FIND("-",CH190,FIND("-",CH190)+1)-FIND("-",CH190)-1))),""))</f>
        <v/>
      </c>
      <c r="CO190">
        <f>IF(CH190="","",IFERROR(IF(AND(LEN(CH190)=9,ISERROR(FIND("-",LEFT(CH190,8))),ISNUMBER(-LEFT(CH190,8))),VALUE(MID(CH190,7,2)),VALUE(MID(CH190,FIND("-",CH190,FIND("-",CH190)+1)+1,FIND("-",CH190,FIND("-",CH190,FIND("-",CH190)+1)+1)-FIND("-",CH190,FIND("-",CH190)+1)-1))),""))</f>
        <v/>
      </c>
    </row>
    <row r="191">
      <c r="A191" t="n">
        <v>39</v>
      </c>
      <c r="B191">
        <f>$B$1+39</f>
        <v/>
      </c>
      <c r="C191">
        <f>$B$2</f>
        <v/>
      </c>
      <c r="D191">
        <f>IF($B$1+1&gt;90,C191,(C191+IF($B$1+1&lt;=$B191,12*$B$9,-12*MAX(0,$B$8-IF($B$1+1&gt;=$B$23,$B$22,0))*(1+$B$4)^1))*IF(C191+IF($B$1+1&lt;=$B191,12*$B$9,-12*MAX(0,$B$8-IF($B$1+1&gt;=$B$23,$B$22,0))*(1+$B$4)^1)&gt;0,1+$B$3,1))</f>
        <v/>
      </c>
      <c r="E191">
        <f>IF($B$1+2&gt;90,D191,(D191+IF($B$1+2&lt;=$B191,12*$B$9,-12*MAX(0,$B$8-IF($B$1+2&gt;=$B$23,$B$22,0))*(1+$B$4)^2))*IF(D191+IF($B$1+2&lt;=$B191,12*$B$9,-12*MAX(0,$B$8-IF($B$1+2&gt;=$B$23,$B$22,0))*(1+$B$4)^2)&gt;0,1+$B$3,1))</f>
        <v/>
      </c>
      <c r="F191">
        <f>IF($B$1+3&gt;90,E191,(E191+IF($B$1+3&lt;=$B191,12*$B$9,-12*MAX(0,$B$8-IF($B$1+3&gt;=$B$23,$B$22,0))*(1+$B$4)^3))*IF(E191+IF($B$1+3&lt;=$B191,12*$B$9,-12*MAX(0,$B$8-IF($B$1+3&gt;=$B$23,$B$22,0))*(1+$B$4)^3)&gt;0,1+$B$3,1))</f>
        <v/>
      </c>
      <c r="G191">
        <f>IF($B$1+4&gt;90,F191,(F191+IF($B$1+4&lt;=$B191,12*$B$9,-12*MAX(0,$B$8-IF($B$1+4&gt;=$B$23,$B$22,0))*(1+$B$4)^4))*IF(F191+IF($B$1+4&lt;=$B191,12*$B$9,-12*MAX(0,$B$8-IF($B$1+4&gt;=$B$23,$B$22,0))*(1+$B$4)^4)&gt;0,1+$B$3,1))</f>
        <v/>
      </c>
      <c r="H191">
        <f>IF($B$1+5&gt;90,G191,(G191+IF($B$1+5&lt;=$B191,12*$B$9,-12*MAX(0,$B$8-IF($B$1+5&gt;=$B$23,$B$22,0))*(1+$B$4)^5))*IF(G191+IF($B$1+5&lt;=$B191,12*$B$9,-12*MAX(0,$B$8-IF($B$1+5&gt;=$B$23,$B$22,0))*(1+$B$4)^5)&gt;0,1+$B$3,1))</f>
        <v/>
      </c>
      <c r="I191">
        <f>IF($B$1+6&gt;90,H191,(H191+IF($B$1+6&lt;=$B191,12*$B$9,-12*MAX(0,$B$8-IF($B$1+6&gt;=$B$23,$B$22,0))*(1+$B$4)^6))*IF(H191+IF($B$1+6&lt;=$B191,12*$B$9,-12*MAX(0,$B$8-IF($B$1+6&gt;=$B$23,$B$22,0))*(1+$B$4)^6)&gt;0,1+$B$3,1))</f>
        <v/>
      </c>
      <c r="J191">
        <f>IF($B$1+7&gt;90,I191,(I191+IF($B$1+7&lt;=$B191,12*$B$9,-12*MAX(0,$B$8-IF($B$1+7&gt;=$B$23,$B$22,0))*(1+$B$4)^7))*IF(I191+IF($B$1+7&lt;=$B191,12*$B$9,-12*MAX(0,$B$8-IF($B$1+7&gt;=$B$23,$B$22,0))*(1+$B$4)^7)&gt;0,1+$B$3,1))</f>
        <v/>
      </c>
      <c r="K191">
        <f>IF($B$1+8&gt;90,J191,(J191+IF($B$1+8&lt;=$B191,12*$B$9,-12*MAX(0,$B$8-IF($B$1+8&gt;=$B$23,$B$22,0))*(1+$B$4)^8))*IF(J191+IF($B$1+8&lt;=$B191,12*$B$9,-12*MAX(0,$B$8-IF($B$1+8&gt;=$B$23,$B$22,0))*(1+$B$4)^8)&gt;0,1+$B$3,1))</f>
        <v/>
      </c>
      <c r="L191">
        <f>IF($B$1+9&gt;90,K191,(K191+IF($B$1+9&lt;=$B191,12*$B$9,-12*MAX(0,$B$8-IF($B$1+9&gt;=$B$23,$B$22,0))*(1+$B$4)^9))*IF(K191+IF($B$1+9&lt;=$B191,12*$B$9,-12*MAX(0,$B$8-IF($B$1+9&gt;=$B$23,$B$22,0))*(1+$B$4)^9)&gt;0,1+$B$3,1))</f>
        <v/>
      </c>
      <c r="M191">
        <f>IF($B$1+10&gt;90,L191,(L191+IF($B$1+10&lt;=$B191,12*$B$9,-12*MAX(0,$B$8-IF($B$1+10&gt;=$B$23,$B$22,0))*(1+$B$4)^10))*IF(L191+IF($B$1+10&lt;=$B191,12*$B$9,-12*MAX(0,$B$8-IF($B$1+10&gt;=$B$23,$B$22,0))*(1+$B$4)^10)&gt;0,1+$B$3,1))</f>
        <v/>
      </c>
      <c r="N191">
        <f>IF($B$1+11&gt;90,M191,(M191+IF($B$1+11&lt;=$B191,12*$B$9,-12*MAX(0,$B$8-IF($B$1+11&gt;=$B$23,$B$22,0))*(1+$B$4)^11))*IF(M191+IF($B$1+11&lt;=$B191,12*$B$9,-12*MAX(0,$B$8-IF($B$1+11&gt;=$B$23,$B$22,0))*(1+$B$4)^11)&gt;0,1+$B$3,1))</f>
        <v/>
      </c>
      <c r="O191">
        <f>IF($B$1+12&gt;90,N191,(N191+IF($B$1+12&lt;=$B191,12*$B$9,-12*MAX(0,$B$8-IF($B$1+12&gt;=$B$23,$B$22,0))*(1+$B$4)^12))*IF(N191+IF($B$1+12&lt;=$B191,12*$B$9,-12*MAX(0,$B$8-IF($B$1+12&gt;=$B$23,$B$22,0))*(1+$B$4)^12)&gt;0,1+$B$3,1))</f>
        <v/>
      </c>
      <c r="P191">
        <f>IF($B$1+13&gt;90,O191,(O191+IF($B$1+13&lt;=$B191,12*$B$9,-12*MAX(0,$B$8-IF($B$1+13&gt;=$B$23,$B$22,0))*(1+$B$4)^13))*IF(O191+IF($B$1+13&lt;=$B191,12*$B$9,-12*MAX(0,$B$8-IF($B$1+13&gt;=$B$23,$B$22,0))*(1+$B$4)^13)&gt;0,1+$B$3,1))</f>
        <v/>
      </c>
      <c r="Q191">
        <f>IF($B$1+14&gt;90,P191,(P191+IF($B$1+14&lt;=$B191,12*$B$9,-12*MAX(0,$B$8-IF($B$1+14&gt;=$B$23,$B$22,0))*(1+$B$4)^14))*IF(P191+IF($B$1+14&lt;=$B191,12*$B$9,-12*MAX(0,$B$8-IF($B$1+14&gt;=$B$23,$B$22,0))*(1+$B$4)^14)&gt;0,1+$B$3,1))</f>
        <v/>
      </c>
      <c r="R191">
        <f>IF($B$1+15&gt;90,Q191,(Q191+IF($B$1+15&lt;=$B191,12*$B$9,-12*MAX(0,$B$8-IF($B$1+15&gt;=$B$23,$B$22,0))*(1+$B$4)^15))*IF(Q191+IF($B$1+15&lt;=$B191,12*$B$9,-12*MAX(0,$B$8-IF($B$1+15&gt;=$B$23,$B$22,0))*(1+$B$4)^15)&gt;0,1+$B$3,1))</f>
        <v/>
      </c>
      <c r="S191">
        <f>IF($B$1+16&gt;90,R191,(R191+IF($B$1+16&lt;=$B191,12*$B$9,-12*MAX(0,$B$8-IF($B$1+16&gt;=$B$23,$B$22,0))*(1+$B$4)^16))*IF(R191+IF($B$1+16&lt;=$B191,12*$B$9,-12*MAX(0,$B$8-IF($B$1+16&gt;=$B$23,$B$22,0))*(1+$B$4)^16)&gt;0,1+$B$3,1))</f>
        <v/>
      </c>
      <c r="T191">
        <f>IF($B$1+17&gt;90,S191,(S191+IF($B$1+17&lt;=$B191,12*$B$9,-12*MAX(0,$B$8-IF($B$1+17&gt;=$B$23,$B$22,0))*(1+$B$4)^17))*IF(S191+IF($B$1+17&lt;=$B191,12*$B$9,-12*MAX(0,$B$8-IF($B$1+17&gt;=$B$23,$B$22,0))*(1+$B$4)^17)&gt;0,1+$B$3,1))</f>
        <v/>
      </c>
      <c r="U191">
        <f>IF($B$1+18&gt;90,T191,(T191+IF($B$1+18&lt;=$B191,12*$B$9,-12*MAX(0,$B$8-IF($B$1+18&gt;=$B$23,$B$22,0))*(1+$B$4)^18))*IF(T191+IF($B$1+18&lt;=$B191,12*$B$9,-12*MAX(0,$B$8-IF($B$1+18&gt;=$B$23,$B$22,0))*(1+$B$4)^18)&gt;0,1+$B$3,1))</f>
        <v/>
      </c>
      <c r="V191">
        <f>IF($B$1+19&gt;90,U191,(U191+IF($B$1+19&lt;=$B191,12*$B$9,-12*MAX(0,$B$8-IF($B$1+19&gt;=$B$23,$B$22,0))*(1+$B$4)^19))*IF(U191+IF($B$1+19&lt;=$B191,12*$B$9,-12*MAX(0,$B$8-IF($B$1+19&gt;=$B$23,$B$22,0))*(1+$B$4)^19)&gt;0,1+$B$3,1))</f>
        <v/>
      </c>
      <c r="W191">
        <f>IF($B$1+20&gt;90,V191,(V191+IF($B$1+20&lt;=$B191,12*$B$9,-12*MAX(0,$B$8-IF($B$1+20&gt;=$B$23,$B$22,0))*(1+$B$4)^20))*IF(V191+IF($B$1+20&lt;=$B191,12*$B$9,-12*MAX(0,$B$8-IF($B$1+20&gt;=$B$23,$B$22,0))*(1+$B$4)^20)&gt;0,1+$B$3,1))</f>
        <v/>
      </c>
      <c r="X191">
        <f>IF($B$1+21&gt;90,W191,(W191+IF($B$1+21&lt;=$B191,12*$B$9,-12*MAX(0,$B$8-IF($B$1+21&gt;=$B$23,$B$22,0))*(1+$B$4)^21))*IF(W191+IF($B$1+21&lt;=$B191,12*$B$9,-12*MAX(0,$B$8-IF($B$1+21&gt;=$B$23,$B$22,0))*(1+$B$4)^21)&gt;0,1+$B$3,1))</f>
        <v/>
      </c>
      <c r="Y191">
        <f>IF($B$1+22&gt;90,X191,(X191+IF($B$1+22&lt;=$B191,12*$B$9,-12*MAX(0,$B$8-IF($B$1+22&gt;=$B$23,$B$22,0))*(1+$B$4)^22))*IF(X191+IF($B$1+22&lt;=$B191,12*$B$9,-12*MAX(0,$B$8-IF($B$1+22&gt;=$B$23,$B$22,0))*(1+$B$4)^22)&gt;0,1+$B$3,1))</f>
        <v/>
      </c>
      <c r="Z191">
        <f>IF($B$1+23&gt;90,Y191,(Y191+IF($B$1+23&lt;=$B191,12*$B$9,-12*MAX(0,$B$8-IF($B$1+23&gt;=$B$23,$B$22,0))*(1+$B$4)^23))*IF(Y191+IF($B$1+23&lt;=$B191,12*$B$9,-12*MAX(0,$B$8-IF($B$1+23&gt;=$B$23,$B$22,0))*(1+$B$4)^23)&gt;0,1+$B$3,1))</f>
        <v/>
      </c>
      <c r="AA191">
        <f>IF($B$1+24&gt;90,Z191,(Z191+IF($B$1+24&lt;=$B191,12*$B$9,-12*MAX(0,$B$8-IF($B$1+24&gt;=$B$23,$B$22,0))*(1+$B$4)^24))*IF(Z191+IF($B$1+24&lt;=$B191,12*$B$9,-12*MAX(0,$B$8-IF($B$1+24&gt;=$B$23,$B$22,0))*(1+$B$4)^24)&gt;0,1+$B$3,1))</f>
        <v/>
      </c>
      <c r="AB191">
        <f>IF($B$1+25&gt;90,AA191,(AA191+IF($B$1+25&lt;=$B191,12*$B$9,-12*MAX(0,$B$8-IF($B$1+25&gt;=$B$23,$B$22,0))*(1+$B$4)^25))*IF(AA191+IF($B$1+25&lt;=$B191,12*$B$9,-12*MAX(0,$B$8-IF($B$1+25&gt;=$B$23,$B$22,0))*(1+$B$4)^25)&gt;0,1+$B$3,1))</f>
        <v/>
      </c>
      <c r="AC191">
        <f>IF($B$1+26&gt;90,AB191,(AB191+IF($B$1+26&lt;=$B191,12*$B$9,-12*MAX(0,$B$8-IF($B$1+26&gt;=$B$23,$B$22,0))*(1+$B$4)^26))*IF(AB191+IF($B$1+26&lt;=$B191,12*$B$9,-12*MAX(0,$B$8-IF($B$1+26&gt;=$B$23,$B$22,0))*(1+$B$4)^26)&gt;0,1+$B$3,1))</f>
        <v/>
      </c>
      <c r="AD191">
        <f>IF($B$1+27&gt;90,AC191,(AC191+IF($B$1+27&lt;=$B191,12*$B$9,-12*MAX(0,$B$8-IF($B$1+27&gt;=$B$23,$B$22,0))*(1+$B$4)^27))*IF(AC191+IF($B$1+27&lt;=$B191,12*$B$9,-12*MAX(0,$B$8-IF($B$1+27&gt;=$B$23,$B$22,0))*(1+$B$4)^27)&gt;0,1+$B$3,1))</f>
        <v/>
      </c>
      <c r="AE191">
        <f>IF($B$1+28&gt;90,AD191,(AD191+IF($B$1+28&lt;=$B191,12*$B$9,-12*MAX(0,$B$8-IF($B$1+28&gt;=$B$23,$B$22,0))*(1+$B$4)^28))*IF(AD191+IF($B$1+28&lt;=$B191,12*$B$9,-12*MAX(0,$B$8-IF($B$1+28&gt;=$B$23,$B$22,0))*(1+$B$4)^28)&gt;0,1+$B$3,1))</f>
        <v/>
      </c>
      <c r="AF191">
        <f>IF($B$1+29&gt;90,AE191,(AE191+IF($B$1+29&lt;=$B191,12*$B$9,-12*MAX(0,$B$8-IF($B$1+29&gt;=$B$23,$B$22,0))*(1+$B$4)^29))*IF(AE191+IF($B$1+29&lt;=$B191,12*$B$9,-12*MAX(0,$B$8-IF($B$1+29&gt;=$B$23,$B$22,0))*(1+$B$4)^29)&gt;0,1+$B$3,1))</f>
        <v/>
      </c>
      <c r="AG191">
        <f>IF($B$1+30&gt;90,AF191,(AF191+IF($B$1+30&lt;=$B191,12*$B$9,-12*MAX(0,$B$8-IF($B$1+30&gt;=$B$23,$B$22,0))*(1+$B$4)^30))*IF(AF191+IF($B$1+30&lt;=$B191,12*$B$9,-12*MAX(0,$B$8-IF($B$1+30&gt;=$B$23,$B$22,0))*(1+$B$4)^30)&gt;0,1+$B$3,1))</f>
        <v/>
      </c>
      <c r="AH191">
        <f>IF($B$1+31&gt;90,AG191,(AG191+IF($B$1+31&lt;=$B191,12*$B$9,-12*MAX(0,$B$8-IF($B$1+31&gt;=$B$23,$B$22,0))*(1+$B$4)^31))*IF(AG191+IF($B$1+31&lt;=$B191,12*$B$9,-12*MAX(0,$B$8-IF($B$1+31&gt;=$B$23,$B$22,0))*(1+$B$4)^31)&gt;0,1+$B$3,1))</f>
        <v/>
      </c>
      <c r="AI191">
        <f>IF($B$1+32&gt;90,AH191,(AH191+IF($B$1+32&lt;=$B191,12*$B$9,-12*MAX(0,$B$8-IF($B$1+32&gt;=$B$23,$B$22,0))*(1+$B$4)^32))*IF(AH191+IF($B$1+32&lt;=$B191,12*$B$9,-12*MAX(0,$B$8-IF($B$1+32&gt;=$B$23,$B$22,0))*(1+$B$4)^32)&gt;0,1+$B$3,1))</f>
        <v/>
      </c>
      <c r="AJ191">
        <f>IF($B$1+33&gt;90,AI191,(AI191+IF($B$1+33&lt;=$B191,12*$B$9,-12*MAX(0,$B$8-IF($B$1+33&gt;=$B$23,$B$22,0))*(1+$B$4)^33))*IF(AI191+IF($B$1+33&lt;=$B191,12*$B$9,-12*MAX(0,$B$8-IF($B$1+33&gt;=$B$23,$B$22,0))*(1+$B$4)^33)&gt;0,1+$B$3,1))</f>
        <v/>
      </c>
      <c r="AK191">
        <f>IF($B$1+34&gt;90,AJ191,(AJ191+IF($B$1+34&lt;=$B191,12*$B$9,-12*MAX(0,$B$8-IF($B$1+34&gt;=$B$23,$B$22,0))*(1+$B$4)^34))*IF(AJ191+IF($B$1+34&lt;=$B191,12*$B$9,-12*MAX(0,$B$8-IF($B$1+34&gt;=$B$23,$B$22,0))*(1+$B$4)^34)&gt;0,1+$B$3,1))</f>
        <v/>
      </c>
      <c r="AL191">
        <f>IF($B$1+35&gt;90,AK191,(AK191+IF($B$1+35&lt;=$B191,12*$B$9,-12*MAX(0,$B$8-IF($B$1+35&gt;=$B$23,$B$22,0))*(1+$B$4)^35))*IF(AK191+IF($B$1+35&lt;=$B191,12*$B$9,-12*MAX(0,$B$8-IF($B$1+35&gt;=$B$23,$B$22,0))*(1+$B$4)^35)&gt;0,1+$B$3,1))</f>
        <v/>
      </c>
      <c r="AM191">
        <f>IF($B$1+36&gt;90,AL191,(AL191+IF($B$1+36&lt;=$B191,12*$B$9,-12*MAX(0,$B$8-IF($B$1+36&gt;=$B$23,$B$22,0))*(1+$B$4)^36))*IF(AL191+IF($B$1+36&lt;=$B191,12*$B$9,-12*MAX(0,$B$8-IF($B$1+36&gt;=$B$23,$B$22,0))*(1+$B$4)^36)&gt;0,1+$B$3,1))</f>
        <v/>
      </c>
      <c r="AN191">
        <f>IF($B$1+37&gt;90,AM191,(AM191+IF($B$1+37&lt;=$B191,12*$B$9,-12*MAX(0,$B$8-IF($B$1+37&gt;=$B$23,$B$22,0))*(1+$B$4)^37))*IF(AM191+IF($B$1+37&lt;=$B191,12*$B$9,-12*MAX(0,$B$8-IF($B$1+37&gt;=$B$23,$B$22,0))*(1+$B$4)^37)&gt;0,1+$B$3,1))</f>
        <v/>
      </c>
      <c r="AO191">
        <f>IF($B$1+38&gt;90,AN191,(AN191+IF($B$1+38&lt;=$B191,12*$B$9,-12*MAX(0,$B$8-IF($B$1+38&gt;=$B$23,$B$22,0))*(1+$B$4)^38))*IF(AN191+IF($B$1+38&lt;=$B191,12*$B$9,-12*MAX(0,$B$8-IF($B$1+38&gt;=$B$23,$B$22,0))*(1+$B$4)^38)&gt;0,1+$B$3,1))</f>
        <v/>
      </c>
      <c r="AP191">
        <f>IF($B$1+39&gt;90,AO191,(AO191+IF($B$1+39&lt;=$B191,12*$B$9,-12*MAX(0,$B$8-IF($B$1+39&gt;=$B$23,$B$22,0))*(1+$B$4)^39))*IF(AO191+IF($B$1+39&lt;=$B191,12*$B$9,-12*MAX(0,$B$8-IF($B$1+39&gt;=$B$23,$B$22,0))*(1+$B$4)^39)&gt;0,1+$B$3,1))</f>
        <v/>
      </c>
      <c r="AQ191">
        <f>IF($B$1+40&gt;90,AP191,(AP191+IF($B$1+40&lt;=$B191,12*$B$9,-12*MAX(0,$B$8-IF($B$1+40&gt;=$B$23,$B$22,0))*(1+$B$4)^40))*IF(AP191+IF($B$1+40&lt;=$B191,12*$B$9,-12*MAX(0,$B$8-IF($B$1+40&gt;=$B$23,$B$22,0))*(1+$B$4)^40)&gt;0,1+$B$3,1))</f>
        <v/>
      </c>
      <c r="AR191">
        <f>IF($B$1+41&gt;90,AQ191,(AQ191+IF($B$1+41&lt;=$B191,12*$B$9,-12*MAX(0,$B$8-IF($B$1+41&gt;=$B$23,$B$22,0))*(1+$B$4)^41))*IF(AQ191+IF($B$1+41&lt;=$B191,12*$B$9,-12*MAX(0,$B$8-IF($B$1+41&gt;=$B$23,$B$22,0))*(1+$B$4)^41)&gt;0,1+$B$3,1))</f>
        <v/>
      </c>
      <c r="AS191">
        <f>IF($B$1+42&gt;90,AR191,(AR191+IF($B$1+42&lt;=$B191,12*$B$9,-12*MAX(0,$B$8-IF($B$1+42&gt;=$B$23,$B$22,0))*(1+$B$4)^42))*IF(AR191+IF($B$1+42&lt;=$B191,12*$B$9,-12*MAX(0,$B$8-IF($B$1+42&gt;=$B$23,$B$22,0))*(1+$B$4)^42)&gt;0,1+$B$3,1))</f>
        <v/>
      </c>
      <c r="AT191">
        <f>IF($B$1+43&gt;90,AS191,(AS191+IF($B$1+43&lt;=$B191,12*$B$9,-12*MAX(0,$B$8-IF($B$1+43&gt;=$B$23,$B$22,0))*(1+$B$4)^43))*IF(AS191+IF($B$1+43&lt;=$B191,12*$B$9,-12*MAX(0,$B$8-IF($B$1+43&gt;=$B$23,$B$22,0))*(1+$B$4)^43)&gt;0,1+$B$3,1))</f>
        <v/>
      </c>
      <c r="AU191">
        <f>IF($B$1+44&gt;90,AT191,(AT191+IF($B$1+44&lt;=$B191,12*$B$9,-12*MAX(0,$B$8-IF($B$1+44&gt;=$B$23,$B$22,0))*(1+$B$4)^44))*IF(AT191+IF($B$1+44&lt;=$B191,12*$B$9,-12*MAX(0,$B$8-IF($B$1+44&gt;=$B$23,$B$22,0))*(1+$B$4)^44)&gt;0,1+$B$3,1))</f>
        <v/>
      </c>
      <c r="AV191">
        <f>IF($B$1+45&gt;90,AU191,(AU191+IF($B$1+45&lt;=$B191,12*$B$9,-12*MAX(0,$B$8-IF($B$1+45&gt;=$B$23,$B$22,0))*(1+$B$4)^45))*IF(AU191+IF($B$1+45&lt;=$B191,12*$B$9,-12*MAX(0,$B$8-IF($B$1+45&gt;=$B$23,$B$22,0))*(1+$B$4)^45)&gt;0,1+$B$3,1))</f>
        <v/>
      </c>
      <c r="AW191">
        <f>IF($B$1+46&gt;90,AV191,(AV191+IF($B$1+46&lt;=$B191,12*$B$9,-12*MAX(0,$B$8-IF($B$1+46&gt;=$B$23,$B$22,0))*(1+$B$4)^46))*IF(AV191+IF($B$1+46&lt;=$B191,12*$B$9,-12*MAX(0,$B$8-IF($B$1+46&gt;=$B$23,$B$22,0))*(1+$B$4)^46)&gt;0,1+$B$3,1))</f>
        <v/>
      </c>
      <c r="AX191">
        <f>IF($B$1+47&gt;90,AW191,(AW191+IF($B$1+47&lt;=$B191,12*$B$9,-12*MAX(0,$B$8-IF($B$1+47&gt;=$B$23,$B$22,0))*(1+$B$4)^47))*IF(AW191+IF($B$1+47&lt;=$B191,12*$B$9,-12*MAX(0,$B$8-IF($B$1+47&gt;=$B$23,$B$22,0))*(1+$B$4)^47)&gt;0,1+$B$3,1))</f>
        <v/>
      </c>
      <c r="AY191">
        <f>IF($B$1+48&gt;90,AX191,(AX191+IF($B$1+48&lt;=$B191,12*$B$9,-12*MAX(0,$B$8-IF($B$1+48&gt;=$B$23,$B$22,0))*(1+$B$4)^48))*IF(AX191+IF($B$1+48&lt;=$B191,12*$B$9,-12*MAX(0,$B$8-IF($B$1+48&gt;=$B$23,$B$22,0))*(1+$B$4)^48)&gt;0,1+$B$3,1))</f>
        <v/>
      </c>
      <c r="AZ191">
        <f>IF($B$1+49&gt;90,AY191,(AY191+IF($B$1+49&lt;=$B191,12*$B$9,-12*MAX(0,$B$8-IF($B$1+49&gt;=$B$23,$B$22,0))*(1+$B$4)^49))*IF(AY191+IF($B$1+49&lt;=$B191,12*$B$9,-12*MAX(0,$B$8-IF($B$1+49&gt;=$B$23,$B$22,0))*(1+$B$4)^49)&gt;0,1+$B$3,1))</f>
        <v/>
      </c>
      <c r="BA191">
        <f>IF($B$1+50&gt;90,AZ191,(AZ191+IF($B$1+50&lt;=$B191,12*$B$9,-12*MAX(0,$B$8-IF($B$1+50&gt;=$B$23,$B$22,0))*(1+$B$4)^50))*IF(AZ191+IF($B$1+50&lt;=$B191,12*$B$9,-12*MAX(0,$B$8-IF($B$1+50&gt;=$B$23,$B$22,0))*(1+$B$4)^50)&gt;0,1+$B$3,1))</f>
        <v/>
      </c>
      <c r="BB191">
        <f>IF($B$1+51&gt;90,BA191,(BA191+IF($B$1+51&lt;=$B191,12*$B$9,-12*MAX(0,$B$8-IF($B$1+51&gt;=$B$23,$B$22,0))*(1+$B$4)^51))*IF(BA191+IF($B$1+51&lt;=$B191,12*$B$9,-12*MAX(0,$B$8-IF($B$1+51&gt;=$B$23,$B$22,0))*(1+$B$4)^51)&gt;0,1+$B$3,1))</f>
        <v/>
      </c>
      <c r="BC191">
        <f>IF($B$1+52&gt;90,BB191,(BB191+IF($B$1+52&lt;=$B191,12*$B$9,-12*MAX(0,$B$8-IF($B$1+52&gt;=$B$23,$B$22,0))*(1+$B$4)^52))*IF(BB191+IF($B$1+52&lt;=$B191,12*$B$9,-12*MAX(0,$B$8-IF($B$1+52&gt;=$B$23,$B$22,0))*(1+$B$4)^52)&gt;0,1+$B$3,1))</f>
        <v/>
      </c>
      <c r="BD191">
        <f>IF($B$1+53&gt;90,BC191,(BC191+IF($B$1+53&lt;=$B191,12*$B$9,-12*MAX(0,$B$8-IF($B$1+53&gt;=$B$23,$B$22,0))*(1+$B$4)^53))*IF(BC191+IF($B$1+53&lt;=$B191,12*$B$9,-12*MAX(0,$B$8-IF($B$1+53&gt;=$B$23,$B$22,0))*(1+$B$4)^53)&gt;0,1+$B$3,1))</f>
        <v/>
      </c>
      <c r="BE191">
        <f>IF($B$1+54&gt;90,BD191,(BD191+IF($B$1+54&lt;=$B191,12*$B$9,-12*MAX(0,$B$8-IF($B$1+54&gt;=$B$23,$B$22,0))*(1+$B$4)^54))*IF(BD191+IF($B$1+54&lt;=$B191,12*$B$9,-12*MAX(0,$B$8-IF($B$1+54&gt;=$B$23,$B$22,0))*(1+$B$4)^54)&gt;0,1+$B$3,1))</f>
        <v/>
      </c>
      <c r="BF191">
        <f>IF($B$1+55&gt;90,BE191,(BE191+IF($B$1+55&lt;=$B191,12*$B$9,-12*MAX(0,$B$8-IF($B$1+55&gt;=$B$23,$B$22,0))*(1+$B$4)^55))*IF(BE191+IF($B$1+55&lt;=$B191,12*$B$9,-12*MAX(0,$B$8-IF($B$1+55&gt;=$B$23,$B$22,0))*(1+$B$4)^55)&gt;0,1+$B$3,1))</f>
        <v/>
      </c>
      <c r="BG191">
        <f>IF($B$1+56&gt;90,BF191,(BF191+IF($B$1+56&lt;=$B191,12*$B$9,-12*MAX(0,$B$8-IF($B$1+56&gt;=$B$23,$B$22,0))*(1+$B$4)^56))*IF(BF191+IF($B$1+56&lt;=$B191,12*$B$9,-12*MAX(0,$B$8-IF($B$1+56&gt;=$B$23,$B$22,0))*(1+$B$4)^56)&gt;0,1+$B$3,1))</f>
        <v/>
      </c>
      <c r="BH191">
        <f>IF($B$1+57&gt;90,BG191,(BG191+IF($B$1+57&lt;=$B191,12*$B$9,-12*MAX(0,$B$8-IF($B$1+57&gt;=$B$23,$B$22,0))*(1+$B$4)^57))*IF(BG191+IF($B$1+57&lt;=$B191,12*$B$9,-12*MAX(0,$B$8-IF($B$1+57&gt;=$B$23,$B$22,0))*(1+$B$4)^57)&gt;0,1+$B$3,1))</f>
        <v/>
      </c>
      <c r="BI191">
        <f>IF($B$1+58&gt;90,BH191,(BH191+IF($B$1+58&lt;=$B191,12*$B$9,-12*MAX(0,$B$8-IF($B$1+58&gt;=$B$23,$B$22,0))*(1+$B$4)^58))*IF(BH191+IF($B$1+58&lt;=$B191,12*$B$9,-12*MAX(0,$B$8-IF($B$1+58&gt;=$B$23,$B$22,0))*(1+$B$4)^58)&gt;0,1+$B$3,1))</f>
        <v/>
      </c>
      <c r="BJ191">
        <f>IF($B$1+59&gt;90,BI191,(BI191+IF($B$1+59&lt;=$B191,12*$B$9,-12*MAX(0,$B$8-IF($B$1+59&gt;=$B$23,$B$22,0))*(1+$B$4)^59))*IF(BI191+IF($B$1+59&lt;=$B191,12*$B$9,-12*MAX(0,$B$8-IF($B$1+59&gt;=$B$23,$B$22,0))*(1+$B$4)^59)&gt;0,1+$B$3,1))</f>
        <v/>
      </c>
      <c r="BK191">
        <f>IF($B$1+60&gt;90,BJ191,(BJ191+IF($B$1+60&lt;=$B191,12*$B$9,-12*MAX(0,$B$8-IF($B$1+60&gt;=$B$23,$B$22,0))*(1+$B$4)^60))*IF(BJ191+IF($B$1+60&lt;=$B191,12*$B$9,-12*MAX(0,$B$8-IF($B$1+60&gt;=$B$23,$B$22,0))*(1+$B$4)^60)&gt;0,1+$B$3,1))</f>
        <v/>
      </c>
      <c r="BL191">
        <f>IF($B$1+61&gt;90,BK191,(BK191+IF($B$1+61&lt;=$B191,12*$B$9,-12*MAX(0,$B$8-IF($B$1+61&gt;=$B$23,$B$22,0))*(1+$B$4)^61))*IF(BK191+IF($B$1+61&lt;=$B191,12*$B$9,-12*MAX(0,$B$8-IF($B$1+61&gt;=$B$23,$B$22,0))*(1+$B$4)^61)&gt;0,1+$B$3,1))</f>
        <v/>
      </c>
      <c r="BM191">
        <f>IF($B$1+62&gt;90,BL191,(BL191+IF($B$1+62&lt;=$B191,12*$B$9,-12*MAX(0,$B$8-IF($B$1+62&gt;=$B$23,$B$22,0))*(1+$B$4)^62))*IF(BL191+IF($B$1+62&lt;=$B191,12*$B$9,-12*MAX(0,$B$8-IF($B$1+62&gt;=$B$23,$B$22,0))*(1+$B$4)^62)&gt;0,1+$B$3,1))</f>
        <v/>
      </c>
      <c r="BN191">
        <f>IF($B$1+63&gt;90,BM191,(BM191+IF($B$1+63&lt;=$B191,12*$B$9,-12*MAX(0,$B$8-IF($B$1+63&gt;=$B$23,$B$22,0))*(1+$B$4)^63))*IF(BM191+IF($B$1+63&lt;=$B191,12*$B$9,-12*MAX(0,$B$8-IF($B$1+63&gt;=$B$23,$B$22,0))*(1+$B$4)^63)&gt;0,1+$B$3,1))</f>
        <v/>
      </c>
      <c r="BO191">
        <f>IF($B$1+64&gt;90,BN191,(BN191+IF($B$1+64&lt;=$B191,12*$B$9,-12*MAX(0,$B$8-IF($B$1+64&gt;=$B$23,$B$22,0))*(1+$B$4)^64))*IF(BN191+IF($B$1+64&lt;=$B191,12*$B$9,-12*MAX(0,$B$8-IF($B$1+64&gt;=$B$23,$B$22,0))*(1+$B$4)^64)&gt;0,1+$B$3,1))</f>
        <v/>
      </c>
      <c r="BP191">
        <f>IF($B$1+65&gt;90,BO191,(BO191+IF($B$1+65&lt;=$B191,12*$B$9,-12*MAX(0,$B$8-IF($B$1+65&gt;=$B$23,$B$22,0))*(1+$B$4)^65))*IF(BO191+IF($B$1+65&lt;=$B191,12*$B$9,-12*MAX(0,$B$8-IF($B$1+65&gt;=$B$23,$B$22,0))*(1+$B$4)^65)&gt;0,1+$B$3,1))</f>
        <v/>
      </c>
      <c r="BQ191">
        <f>IF($B$1+66&gt;90,BP191,(BP191+IF($B$1+66&lt;=$B191,12*$B$9,-12*MAX(0,$B$8-IF($B$1+66&gt;=$B$23,$B$22,0))*(1+$B$4)^66))*IF(BP191+IF($B$1+66&lt;=$B191,12*$B$9,-12*MAX(0,$B$8-IF($B$1+66&gt;=$B$23,$B$22,0))*(1+$B$4)^66)&gt;0,1+$B$3,1))</f>
        <v/>
      </c>
      <c r="BR191">
        <f>IF($B$1+67&gt;90,BQ191,(BQ191+IF($B$1+67&lt;=$B191,12*$B$9,-12*MAX(0,$B$8-IF($B$1+67&gt;=$B$23,$B$22,0))*(1+$B$4)^67))*IF(BQ191+IF($B$1+67&lt;=$B191,12*$B$9,-12*MAX(0,$B$8-IF($B$1+67&gt;=$B$23,$B$22,0))*(1+$B$4)^67)&gt;0,1+$B$3,1))</f>
        <v/>
      </c>
      <c r="BS191">
        <f>IF($B$1+68&gt;90,BR191,(BR191+IF($B$1+68&lt;=$B191,12*$B$9,-12*MAX(0,$B$8-IF($B$1+68&gt;=$B$23,$B$22,0))*(1+$B$4)^68))*IF(BR191+IF($B$1+68&lt;=$B191,12*$B$9,-12*MAX(0,$B$8-IF($B$1+68&gt;=$B$23,$B$22,0))*(1+$B$4)^68)&gt;0,1+$B$3,1))</f>
        <v/>
      </c>
      <c r="BT191">
        <f>IF($B$1+69&gt;90,BS191,(BS191+IF($B$1+69&lt;=$B191,12*$B$9,-12*MAX(0,$B$8-IF($B$1+69&gt;=$B$23,$B$22,0))*(1+$B$4)^69))*IF(BS191+IF($B$1+69&lt;=$B191,12*$B$9,-12*MAX(0,$B$8-IF($B$1+69&gt;=$B$23,$B$22,0))*(1+$B$4)^69)&gt;0,1+$B$3,1))</f>
        <v/>
      </c>
      <c r="BU191">
        <f>IF($B$1+70&gt;90,BT191,(BT191+IF($B$1+70&lt;=$B191,12*$B$9,-12*MAX(0,$B$8-IF($B$1+70&gt;=$B$23,$B$22,0))*(1+$B$4)^70))*IF(BT191+IF($B$1+70&lt;=$B191,12*$B$9,-12*MAX(0,$B$8-IF($B$1+70&gt;=$B$23,$B$22,0))*(1+$B$4)^70)&gt;0,1+$B$3,1))</f>
        <v/>
      </c>
      <c r="BV191">
        <f>BU191</f>
        <v/>
      </c>
      <c r="BW191">
        <f>IF(AND($B191&lt;=70,BV191&gt;0),$B191,999)</f>
        <v/>
      </c>
      <c r="CH191">
        <f>IF(ISTEXT('월 가계부'!A191),SUBSTITUTE(SUBSTITUTE(SUBSTITUTE(SUBSTITUTE(SUBSTITUTE(SUBSTITUTE(SUBSTITUTE(SUBSTITUTE(SUBSTITUTE(TRIM('월 가계부'!A191),"년","-"),"월","-"),"일",""),".","-"),"/","-")," ","-"),"--","-"),"--","-"),"--","-")&amp;"-","")</f>
        <v/>
      </c>
      <c r="CI191">
        <f>IFERROR(IF('월 가계부'!A191="","",IF(ISNUMBER('월 가계부'!A191),IF(AND('월 가계부'!A191&gt;=19000101,'월 가계부'!A191&lt;=21001231),IF(AND(MOD(INT('월 가계부'!A191/100),100)&gt;=1,MOD(INT('월 가계부'!A191/100),100)&lt;=12,MOD(INT('월 가계부'!A191),100)&gt;=1,MOD(INT('월 가계부'!A191),100)&lt;=31),IF(MONTH(DATE(INT('월 가계부'!A191/10000),MOD(INT('월 가계부'!A191/100),100),MOD(INT('월 가계부'!A191),100)))=MOD(INT('월 가계부'!A191/100),100),DATE(INT('월 가계부'!A191/10000),MOD(INT('월 가계부'!A191/100),100),MOD(INT('월 가계부'!A191),100)),""),""),IF(AND('월 가계부'!A191&gt;=36526,'월 가계부'!A191&lt;73051),INT('월 가계부'!A191),"")),IF(OR(CM191="",CN191="",CO191=""),"",IF(AND(CM191&gt;=2000,CM191&lt;=2099,CN191&gt;=1,CN191&lt;=12,CO191&gt;=1,CO191&lt;=31),IF(MONTH(DATE(CM191,CN191,CO191))=CN191,DATE(CM191,CN191,CO191),""),"")))),"")</f>
        <v/>
      </c>
      <c r="CJ191">
        <f>IFERROR(IF('월 가계부'!C191="","",IF(ISNUMBER('월 가계부'!C191),'월 가계부'!C191,VALUE(SUBSTITUTE(SUBSTITUTE(SUBSTITUTE(SUBSTITUTE(TRIM('월 가계부'!C191),",",""),"원","")," ",""),"−","-")))),"")</f>
        <v/>
      </c>
      <c r="CK191">
        <f>IF(ISNUMBER(CI191),IF(CI191&lt;$B$13,CI191,""),"")</f>
        <v/>
      </c>
      <c r="CM191">
        <f>IF(CH191="","",IFERROR(IF(IF(AND(LEN(CH191)=9,ISERROR(FIND("-",LEFT(CH191,8))),ISNUMBER(-LEFT(CH191,8))),VALUE(LEFT(CH191,4)),VALUE(LEFT(CH191,FIND("-",CH191)-1)))&lt;100,IF(AND(LEN(CH191)=9,ISERROR(FIND("-",LEFT(CH191,8))),ISNUMBER(-LEFT(CH191,8))),VALUE(LEFT(CH191,4)),VALUE(LEFT(CH191,FIND("-",CH191)-1)))+2000,IF(AND(LEN(CH191)=9,ISERROR(FIND("-",LEFT(CH191,8))),ISNUMBER(-LEFT(CH191,8))),VALUE(LEFT(CH191,4)),VALUE(LEFT(CH191,FIND("-",CH191)-1)))),""))</f>
        <v/>
      </c>
      <c r="CN191">
        <f>IF(CH191="","",IFERROR(IF(AND(LEN(CH191)=9,ISERROR(FIND("-",LEFT(CH191,8))),ISNUMBER(-LEFT(CH191,8))),VALUE(MID(CH191,5,2)),VALUE(MID(CH191,FIND("-",CH191)+1,FIND("-",CH191,FIND("-",CH191)+1)-FIND("-",CH191)-1))),""))</f>
        <v/>
      </c>
      <c r="CO191">
        <f>IF(CH191="","",IFERROR(IF(AND(LEN(CH191)=9,ISERROR(FIND("-",LEFT(CH191,8))),ISNUMBER(-LEFT(CH191,8))),VALUE(MID(CH191,7,2)),VALUE(MID(CH191,FIND("-",CH191,FIND("-",CH191)+1)+1,FIND("-",CH191,FIND("-",CH191,FIND("-",CH191)+1)+1)-FIND("-",CH191,FIND("-",CH191)+1)-1))),""))</f>
        <v/>
      </c>
    </row>
    <row r="192">
      <c r="A192" t="n">
        <v>40</v>
      </c>
      <c r="B192">
        <f>$B$1+40</f>
        <v/>
      </c>
      <c r="C192">
        <f>$B$2</f>
        <v/>
      </c>
      <c r="D192">
        <f>IF($B$1+1&gt;90,C192,(C192+IF($B$1+1&lt;=$B192,12*$B$9,-12*MAX(0,$B$8-IF($B$1+1&gt;=$B$23,$B$22,0))*(1+$B$4)^1))*IF(C192+IF($B$1+1&lt;=$B192,12*$B$9,-12*MAX(0,$B$8-IF($B$1+1&gt;=$B$23,$B$22,0))*(1+$B$4)^1)&gt;0,1+$B$3,1))</f>
        <v/>
      </c>
      <c r="E192">
        <f>IF($B$1+2&gt;90,D192,(D192+IF($B$1+2&lt;=$B192,12*$B$9,-12*MAX(0,$B$8-IF($B$1+2&gt;=$B$23,$B$22,0))*(1+$B$4)^2))*IF(D192+IF($B$1+2&lt;=$B192,12*$B$9,-12*MAX(0,$B$8-IF($B$1+2&gt;=$B$23,$B$22,0))*(1+$B$4)^2)&gt;0,1+$B$3,1))</f>
        <v/>
      </c>
      <c r="F192">
        <f>IF($B$1+3&gt;90,E192,(E192+IF($B$1+3&lt;=$B192,12*$B$9,-12*MAX(0,$B$8-IF($B$1+3&gt;=$B$23,$B$22,0))*(1+$B$4)^3))*IF(E192+IF($B$1+3&lt;=$B192,12*$B$9,-12*MAX(0,$B$8-IF($B$1+3&gt;=$B$23,$B$22,0))*(1+$B$4)^3)&gt;0,1+$B$3,1))</f>
        <v/>
      </c>
      <c r="G192">
        <f>IF($B$1+4&gt;90,F192,(F192+IF($B$1+4&lt;=$B192,12*$B$9,-12*MAX(0,$B$8-IF($B$1+4&gt;=$B$23,$B$22,0))*(1+$B$4)^4))*IF(F192+IF($B$1+4&lt;=$B192,12*$B$9,-12*MAX(0,$B$8-IF($B$1+4&gt;=$B$23,$B$22,0))*(1+$B$4)^4)&gt;0,1+$B$3,1))</f>
        <v/>
      </c>
      <c r="H192">
        <f>IF($B$1+5&gt;90,G192,(G192+IF($B$1+5&lt;=$B192,12*$B$9,-12*MAX(0,$B$8-IF($B$1+5&gt;=$B$23,$B$22,0))*(1+$B$4)^5))*IF(G192+IF($B$1+5&lt;=$B192,12*$B$9,-12*MAX(0,$B$8-IF($B$1+5&gt;=$B$23,$B$22,0))*(1+$B$4)^5)&gt;0,1+$B$3,1))</f>
        <v/>
      </c>
      <c r="I192">
        <f>IF($B$1+6&gt;90,H192,(H192+IF($B$1+6&lt;=$B192,12*$B$9,-12*MAX(0,$B$8-IF($B$1+6&gt;=$B$23,$B$22,0))*(1+$B$4)^6))*IF(H192+IF($B$1+6&lt;=$B192,12*$B$9,-12*MAX(0,$B$8-IF($B$1+6&gt;=$B$23,$B$22,0))*(1+$B$4)^6)&gt;0,1+$B$3,1))</f>
        <v/>
      </c>
      <c r="J192">
        <f>IF($B$1+7&gt;90,I192,(I192+IF($B$1+7&lt;=$B192,12*$B$9,-12*MAX(0,$B$8-IF($B$1+7&gt;=$B$23,$B$22,0))*(1+$B$4)^7))*IF(I192+IF($B$1+7&lt;=$B192,12*$B$9,-12*MAX(0,$B$8-IF($B$1+7&gt;=$B$23,$B$22,0))*(1+$B$4)^7)&gt;0,1+$B$3,1))</f>
        <v/>
      </c>
      <c r="K192">
        <f>IF($B$1+8&gt;90,J192,(J192+IF($B$1+8&lt;=$B192,12*$B$9,-12*MAX(0,$B$8-IF($B$1+8&gt;=$B$23,$B$22,0))*(1+$B$4)^8))*IF(J192+IF($B$1+8&lt;=$B192,12*$B$9,-12*MAX(0,$B$8-IF($B$1+8&gt;=$B$23,$B$22,0))*(1+$B$4)^8)&gt;0,1+$B$3,1))</f>
        <v/>
      </c>
      <c r="L192">
        <f>IF($B$1+9&gt;90,K192,(K192+IF($B$1+9&lt;=$B192,12*$B$9,-12*MAX(0,$B$8-IF($B$1+9&gt;=$B$23,$B$22,0))*(1+$B$4)^9))*IF(K192+IF($B$1+9&lt;=$B192,12*$B$9,-12*MAX(0,$B$8-IF($B$1+9&gt;=$B$23,$B$22,0))*(1+$B$4)^9)&gt;0,1+$B$3,1))</f>
        <v/>
      </c>
      <c r="M192">
        <f>IF($B$1+10&gt;90,L192,(L192+IF($B$1+10&lt;=$B192,12*$B$9,-12*MAX(0,$B$8-IF($B$1+10&gt;=$B$23,$B$22,0))*(1+$B$4)^10))*IF(L192+IF($B$1+10&lt;=$B192,12*$B$9,-12*MAX(0,$B$8-IF($B$1+10&gt;=$B$23,$B$22,0))*(1+$B$4)^10)&gt;0,1+$B$3,1))</f>
        <v/>
      </c>
      <c r="N192">
        <f>IF($B$1+11&gt;90,M192,(M192+IF($B$1+11&lt;=$B192,12*$B$9,-12*MAX(0,$B$8-IF($B$1+11&gt;=$B$23,$B$22,0))*(1+$B$4)^11))*IF(M192+IF($B$1+11&lt;=$B192,12*$B$9,-12*MAX(0,$B$8-IF($B$1+11&gt;=$B$23,$B$22,0))*(1+$B$4)^11)&gt;0,1+$B$3,1))</f>
        <v/>
      </c>
      <c r="O192">
        <f>IF($B$1+12&gt;90,N192,(N192+IF($B$1+12&lt;=$B192,12*$B$9,-12*MAX(0,$B$8-IF($B$1+12&gt;=$B$23,$B$22,0))*(1+$B$4)^12))*IF(N192+IF($B$1+12&lt;=$B192,12*$B$9,-12*MAX(0,$B$8-IF($B$1+12&gt;=$B$23,$B$22,0))*(1+$B$4)^12)&gt;0,1+$B$3,1))</f>
        <v/>
      </c>
      <c r="P192">
        <f>IF($B$1+13&gt;90,O192,(O192+IF($B$1+13&lt;=$B192,12*$B$9,-12*MAX(0,$B$8-IF($B$1+13&gt;=$B$23,$B$22,0))*(1+$B$4)^13))*IF(O192+IF($B$1+13&lt;=$B192,12*$B$9,-12*MAX(0,$B$8-IF($B$1+13&gt;=$B$23,$B$22,0))*(1+$B$4)^13)&gt;0,1+$B$3,1))</f>
        <v/>
      </c>
      <c r="Q192">
        <f>IF($B$1+14&gt;90,P192,(P192+IF($B$1+14&lt;=$B192,12*$B$9,-12*MAX(0,$B$8-IF($B$1+14&gt;=$B$23,$B$22,0))*(1+$B$4)^14))*IF(P192+IF($B$1+14&lt;=$B192,12*$B$9,-12*MAX(0,$B$8-IF($B$1+14&gt;=$B$23,$B$22,0))*(1+$B$4)^14)&gt;0,1+$B$3,1))</f>
        <v/>
      </c>
      <c r="R192">
        <f>IF($B$1+15&gt;90,Q192,(Q192+IF($B$1+15&lt;=$B192,12*$B$9,-12*MAX(0,$B$8-IF($B$1+15&gt;=$B$23,$B$22,0))*(1+$B$4)^15))*IF(Q192+IF($B$1+15&lt;=$B192,12*$B$9,-12*MAX(0,$B$8-IF($B$1+15&gt;=$B$23,$B$22,0))*(1+$B$4)^15)&gt;0,1+$B$3,1))</f>
        <v/>
      </c>
      <c r="S192">
        <f>IF($B$1+16&gt;90,R192,(R192+IF($B$1+16&lt;=$B192,12*$B$9,-12*MAX(0,$B$8-IF($B$1+16&gt;=$B$23,$B$22,0))*(1+$B$4)^16))*IF(R192+IF($B$1+16&lt;=$B192,12*$B$9,-12*MAX(0,$B$8-IF($B$1+16&gt;=$B$23,$B$22,0))*(1+$B$4)^16)&gt;0,1+$B$3,1))</f>
        <v/>
      </c>
      <c r="T192">
        <f>IF($B$1+17&gt;90,S192,(S192+IF($B$1+17&lt;=$B192,12*$B$9,-12*MAX(0,$B$8-IF($B$1+17&gt;=$B$23,$B$22,0))*(1+$B$4)^17))*IF(S192+IF($B$1+17&lt;=$B192,12*$B$9,-12*MAX(0,$B$8-IF($B$1+17&gt;=$B$23,$B$22,0))*(1+$B$4)^17)&gt;0,1+$B$3,1))</f>
        <v/>
      </c>
      <c r="U192">
        <f>IF($B$1+18&gt;90,T192,(T192+IF($B$1+18&lt;=$B192,12*$B$9,-12*MAX(0,$B$8-IF($B$1+18&gt;=$B$23,$B$22,0))*(1+$B$4)^18))*IF(T192+IF($B$1+18&lt;=$B192,12*$B$9,-12*MAX(0,$B$8-IF($B$1+18&gt;=$B$23,$B$22,0))*(1+$B$4)^18)&gt;0,1+$B$3,1))</f>
        <v/>
      </c>
      <c r="V192">
        <f>IF($B$1+19&gt;90,U192,(U192+IF($B$1+19&lt;=$B192,12*$B$9,-12*MAX(0,$B$8-IF($B$1+19&gt;=$B$23,$B$22,0))*(1+$B$4)^19))*IF(U192+IF($B$1+19&lt;=$B192,12*$B$9,-12*MAX(0,$B$8-IF($B$1+19&gt;=$B$23,$B$22,0))*(1+$B$4)^19)&gt;0,1+$B$3,1))</f>
        <v/>
      </c>
      <c r="W192">
        <f>IF($B$1+20&gt;90,V192,(V192+IF($B$1+20&lt;=$B192,12*$B$9,-12*MAX(0,$B$8-IF($B$1+20&gt;=$B$23,$B$22,0))*(1+$B$4)^20))*IF(V192+IF($B$1+20&lt;=$B192,12*$B$9,-12*MAX(0,$B$8-IF($B$1+20&gt;=$B$23,$B$22,0))*(1+$B$4)^20)&gt;0,1+$B$3,1))</f>
        <v/>
      </c>
      <c r="X192">
        <f>IF($B$1+21&gt;90,W192,(W192+IF($B$1+21&lt;=$B192,12*$B$9,-12*MAX(0,$B$8-IF($B$1+21&gt;=$B$23,$B$22,0))*(1+$B$4)^21))*IF(W192+IF($B$1+21&lt;=$B192,12*$B$9,-12*MAX(0,$B$8-IF($B$1+21&gt;=$B$23,$B$22,0))*(1+$B$4)^21)&gt;0,1+$B$3,1))</f>
        <v/>
      </c>
      <c r="Y192">
        <f>IF($B$1+22&gt;90,X192,(X192+IF($B$1+22&lt;=$B192,12*$B$9,-12*MAX(0,$B$8-IF($B$1+22&gt;=$B$23,$B$22,0))*(1+$B$4)^22))*IF(X192+IF($B$1+22&lt;=$B192,12*$B$9,-12*MAX(0,$B$8-IF($B$1+22&gt;=$B$23,$B$22,0))*(1+$B$4)^22)&gt;0,1+$B$3,1))</f>
        <v/>
      </c>
      <c r="Z192">
        <f>IF($B$1+23&gt;90,Y192,(Y192+IF($B$1+23&lt;=$B192,12*$B$9,-12*MAX(0,$B$8-IF($B$1+23&gt;=$B$23,$B$22,0))*(1+$B$4)^23))*IF(Y192+IF($B$1+23&lt;=$B192,12*$B$9,-12*MAX(0,$B$8-IF($B$1+23&gt;=$B$23,$B$22,0))*(1+$B$4)^23)&gt;0,1+$B$3,1))</f>
        <v/>
      </c>
      <c r="AA192">
        <f>IF($B$1+24&gt;90,Z192,(Z192+IF($B$1+24&lt;=$B192,12*$B$9,-12*MAX(0,$B$8-IF($B$1+24&gt;=$B$23,$B$22,0))*(1+$B$4)^24))*IF(Z192+IF($B$1+24&lt;=$B192,12*$B$9,-12*MAX(0,$B$8-IF($B$1+24&gt;=$B$23,$B$22,0))*(1+$B$4)^24)&gt;0,1+$B$3,1))</f>
        <v/>
      </c>
      <c r="AB192">
        <f>IF($B$1+25&gt;90,AA192,(AA192+IF($B$1+25&lt;=$B192,12*$B$9,-12*MAX(0,$B$8-IF($B$1+25&gt;=$B$23,$B$22,0))*(1+$B$4)^25))*IF(AA192+IF($B$1+25&lt;=$B192,12*$B$9,-12*MAX(0,$B$8-IF($B$1+25&gt;=$B$23,$B$22,0))*(1+$B$4)^25)&gt;0,1+$B$3,1))</f>
        <v/>
      </c>
      <c r="AC192">
        <f>IF($B$1+26&gt;90,AB192,(AB192+IF($B$1+26&lt;=$B192,12*$B$9,-12*MAX(0,$B$8-IF($B$1+26&gt;=$B$23,$B$22,0))*(1+$B$4)^26))*IF(AB192+IF($B$1+26&lt;=$B192,12*$B$9,-12*MAX(0,$B$8-IF($B$1+26&gt;=$B$23,$B$22,0))*(1+$B$4)^26)&gt;0,1+$B$3,1))</f>
        <v/>
      </c>
      <c r="AD192">
        <f>IF($B$1+27&gt;90,AC192,(AC192+IF($B$1+27&lt;=$B192,12*$B$9,-12*MAX(0,$B$8-IF($B$1+27&gt;=$B$23,$B$22,0))*(1+$B$4)^27))*IF(AC192+IF($B$1+27&lt;=$B192,12*$B$9,-12*MAX(0,$B$8-IF($B$1+27&gt;=$B$23,$B$22,0))*(1+$B$4)^27)&gt;0,1+$B$3,1))</f>
        <v/>
      </c>
      <c r="AE192">
        <f>IF($B$1+28&gt;90,AD192,(AD192+IF($B$1+28&lt;=$B192,12*$B$9,-12*MAX(0,$B$8-IF($B$1+28&gt;=$B$23,$B$22,0))*(1+$B$4)^28))*IF(AD192+IF($B$1+28&lt;=$B192,12*$B$9,-12*MAX(0,$B$8-IF($B$1+28&gt;=$B$23,$B$22,0))*(1+$B$4)^28)&gt;0,1+$B$3,1))</f>
        <v/>
      </c>
      <c r="AF192">
        <f>IF($B$1+29&gt;90,AE192,(AE192+IF($B$1+29&lt;=$B192,12*$B$9,-12*MAX(0,$B$8-IF($B$1+29&gt;=$B$23,$B$22,0))*(1+$B$4)^29))*IF(AE192+IF($B$1+29&lt;=$B192,12*$B$9,-12*MAX(0,$B$8-IF($B$1+29&gt;=$B$23,$B$22,0))*(1+$B$4)^29)&gt;0,1+$B$3,1))</f>
        <v/>
      </c>
      <c r="AG192">
        <f>IF($B$1+30&gt;90,AF192,(AF192+IF($B$1+30&lt;=$B192,12*$B$9,-12*MAX(0,$B$8-IF($B$1+30&gt;=$B$23,$B$22,0))*(1+$B$4)^30))*IF(AF192+IF($B$1+30&lt;=$B192,12*$B$9,-12*MAX(0,$B$8-IF($B$1+30&gt;=$B$23,$B$22,0))*(1+$B$4)^30)&gt;0,1+$B$3,1))</f>
        <v/>
      </c>
      <c r="AH192">
        <f>IF($B$1+31&gt;90,AG192,(AG192+IF($B$1+31&lt;=$B192,12*$B$9,-12*MAX(0,$B$8-IF($B$1+31&gt;=$B$23,$B$22,0))*(1+$B$4)^31))*IF(AG192+IF($B$1+31&lt;=$B192,12*$B$9,-12*MAX(0,$B$8-IF($B$1+31&gt;=$B$23,$B$22,0))*(1+$B$4)^31)&gt;0,1+$B$3,1))</f>
        <v/>
      </c>
      <c r="AI192">
        <f>IF($B$1+32&gt;90,AH192,(AH192+IF($B$1+32&lt;=$B192,12*$B$9,-12*MAX(0,$B$8-IF($B$1+32&gt;=$B$23,$B$22,0))*(1+$B$4)^32))*IF(AH192+IF($B$1+32&lt;=$B192,12*$B$9,-12*MAX(0,$B$8-IF($B$1+32&gt;=$B$23,$B$22,0))*(1+$B$4)^32)&gt;0,1+$B$3,1))</f>
        <v/>
      </c>
      <c r="AJ192">
        <f>IF($B$1+33&gt;90,AI192,(AI192+IF($B$1+33&lt;=$B192,12*$B$9,-12*MAX(0,$B$8-IF($B$1+33&gt;=$B$23,$B$22,0))*(1+$B$4)^33))*IF(AI192+IF($B$1+33&lt;=$B192,12*$B$9,-12*MAX(0,$B$8-IF($B$1+33&gt;=$B$23,$B$22,0))*(1+$B$4)^33)&gt;0,1+$B$3,1))</f>
        <v/>
      </c>
      <c r="AK192">
        <f>IF($B$1+34&gt;90,AJ192,(AJ192+IF($B$1+34&lt;=$B192,12*$B$9,-12*MAX(0,$B$8-IF($B$1+34&gt;=$B$23,$B$22,0))*(1+$B$4)^34))*IF(AJ192+IF($B$1+34&lt;=$B192,12*$B$9,-12*MAX(0,$B$8-IF($B$1+34&gt;=$B$23,$B$22,0))*(1+$B$4)^34)&gt;0,1+$B$3,1))</f>
        <v/>
      </c>
      <c r="AL192">
        <f>IF($B$1+35&gt;90,AK192,(AK192+IF($B$1+35&lt;=$B192,12*$B$9,-12*MAX(0,$B$8-IF($B$1+35&gt;=$B$23,$B$22,0))*(1+$B$4)^35))*IF(AK192+IF($B$1+35&lt;=$B192,12*$B$9,-12*MAX(0,$B$8-IF($B$1+35&gt;=$B$23,$B$22,0))*(1+$B$4)^35)&gt;0,1+$B$3,1))</f>
        <v/>
      </c>
      <c r="AM192">
        <f>IF($B$1+36&gt;90,AL192,(AL192+IF($B$1+36&lt;=$B192,12*$B$9,-12*MAX(0,$B$8-IF($B$1+36&gt;=$B$23,$B$22,0))*(1+$B$4)^36))*IF(AL192+IF($B$1+36&lt;=$B192,12*$B$9,-12*MAX(0,$B$8-IF($B$1+36&gt;=$B$23,$B$22,0))*(1+$B$4)^36)&gt;0,1+$B$3,1))</f>
        <v/>
      </c>
      <c r="AN192">
        <f>IF($B$1+37&gt;90,AM192,(AM192+IF($B$1+37&lt;=$B192,12*$B$9,-12*MAX(0,$B$8-IF($B$1+37&gt;=$B$23,$B$22,0))*(1+$B$4)^37))*IF(AM192+IF($B$1+37&lt;=$B192,12*$B$9,-12*MAX(0,$B$8-IF($B$1+37&gt;=$B$23,$B$22,0))*(1+$B$4)^37)&gt;0,1+$B$3,1))</f>
        <v/>
      </c>
      <c r="AO192">
        <f>IF($B$1+38&gt;90,AN192,(AN192+IF($B$1+38&lt;=$B192,12*$B$9,-12*MAX(0,$B$8-IF($B$1+38&gt;=$B$23,$B$22,0))*(1+$B$4)^38))*IF(AN192+IF($B$1+38&lt;=$B192,12*$B$9,-12*MAX(0,$B$8-IF($B$1+38&gt;=$B$23,$B$22,0))*(1+$B$4)^38)&gt;0,1+$B$3,1))</f>
        <v/>
      </c>
      <c r="AP192">
        <f>IF($B$1+39&gt;90,AO192,(AO192+IF($B$1+39&lt;=$B192,12*$B$9,-12*MAX(0,$B$8-IF($B$1+39&gt;=$B$23,$B$22,0))*(1+$B$4)^39))*IF(AO192+IF($B$1+39&lt;=$B192,12*$B$9,-12*MAX(0,$B$8-IF($B$1+39&gt;=$B$23,$B$22,0))*(1+$B$4)^39)&gt;0,1+$B$3,1))</f>
        <v/>
      </c>
      <c r="AQ192">
        <f>IF($B$1+40&gt;90,AP192,(AP192+IF($B$1+40&lt;=$B192,12*$B$9,-12*MAX(0,$B$8-IF($B$1+40&gt;=$B$23,$B$22,0))*(1+$B$4)^40))*IF(AP192+IF($B$1+40&lt;=$B192,12*$B$9,-12*MAX(0,$B$8-IF($B$1+40&gt;=$B$23,$B$22,0))*(1+$B$4)^40)&gt;0,1+$B$3,1))</f>
        <v/>
      </c>
      <c r="AR192">
        <f>IF($B$1+41&gt;90,AQ192,(AQ192+IF($B$1+41&lt;=$B192,12*$B$9,-12*MAX(0,$B$8-IF($B$1+41&gt;=$B$23,$B$22,0))*(1+$B$4)^41))*IF(AQ192+IF($B$1+41&lt;=$B192,12*$B$9,-12*MAX(0,$B$8-IF($B$1+41&gt;=$B$23,$B$22,0))*(1+$B$4)^41)&gt;0,1+$B$3,1))</f>
        <v/>
      </c>
      <c r="AS192">
        <f>IF($B$1+42&gt;90,AR192,(AR192+IF($B$1+42&lt;=$B192,12*$B$9,-12*MAX(0,$B$8-IF($B$1+42&gt;=$B$23,$B$22,0))*(1+$B$4)^42))*IF(AR192+IF($B$1+42&lt;=$B192,12*$B$9,-12*MAX(0,$B$8-IF($B$1+42&gt;=$B$23,$B$22,0))*(1+$B$4)^42)&gt;0,1+$B$3,1))</f>
        <v/>
      </c>
      <c r="AT192">
        <f>IF($B$1+43&gt;90,AS192,(AS192+IF($B$1+43&lt;=$B192,12*$B$9,-12*MAX(0,$B$8-IF($B$1+43&gt;=$B$23,$B$22,0))*(1+$B$4)^43))*IF(AS192+IF($B$1+43&lt;=$B192,12*$B$9,-12*MAX(0,$B$8-IF($B$1+43&gt;=$B$23,$B$22,0))*(1+$B$4)^43)&gt;0,1+$B$3,1))</f>
        <v/>
      </c>
      <c r="AU192">
        <f>IF($B$1+44&gt;90,AT192,(AT192+IF($B$1+44&lt;=$B192,12*$B$9,-12*MAX(0,$B$8-IF($B$1+44&gt;=$B$23,$B$22,0))*(1+$B$4)^44))*IF(AT192+IF($B$1+44&lt;=$B192,12*$B$9,-12*MAX(0,$B$8-IF($B$1+44&gt;=$B$23,$B$22,0))*(1+$B$4)^44)&gt;0,1+$B$3,1))</f>
        <v/>
      </c>
      <c r="AV192">
        <f>IF($B$1+45&gt;90,AU192,(AU192+IF($B$1+45&lt;=$B192,12*$B$9,-12*MAX(0,$B$8-IF($B$1+45&gt;=$B$23,$B$22,0))*(1+$B$4)^45))*IF(AU192+IF($B$1+45&lt;=$B192,12*$B$9,-12*MAX(0,$B$8-IF($B$1+45&gt;=$B$23,$B$22,0))*(1+$B$4)^45)&gt;0,1+$B$3,1))</f>
        <v/>
      </c>
      <c r="AW192">
        <f>IF($B$1+46&gt;90,AV192,(AV192+IF($B$1+46&lt;=$B192,12*$B$9,-12*MAX(0,$B$8-IF($B$1+46&gt;=$B$23,$B$22,0))*(1+$B$4)^46))*IF(AV192+IF($B$1+46&lt;=$B192,12*$B$9,-12*MAX(0,$B$8-IF($B$1+46&gt;=$B$23,$B$22,0))*(1+$B$4)^46)&gt;0,1+$B$3,1))</f>
        <v/>
      </c>
      <c r="AX192">
        <f>IF($B$1+47&gt;90,AW192,(AW192+IF($B$1+47&lt;=$B192,12*$B$9,-12*MAX(0,$B$8-IF($B$1+47&gt;=$B$23,$B$22,0))*(1+$B$4)^47))*IF(AW192+IF($B$1+47&lt;=$B192,12*$B$9,-12*MAX(0,$B$8-IF($B$1+47&gt;=$B$23,$B$22,0))*(1+$B$4)^47)&gt;0,1+$B$3,1))</f>
        <v/>
      </c>
      <c r="AY192">
        <f>IF($B$1+48&gt;90,AX192,(AX192+IF($B$1+48&lt;=$B192,12*$B$9,-12*MAX(0,$B$8-IF($B$1+48&gt;=$B$23,$B$22,0))*(1+$B$4)^48))*IF(AX192+IF($B$1+48&lt;=$B192,12*$B$9,-12*MAX(0,$B$8-IF($B$1+48&gt;=$B$23,$B$22,0))*(1+$B$4)^48)&gt;0,1+$B$3,1))</f>
        <v/>
      </c>
      <c r="AZ192">
        <f>IF($B$1+49&gt;90,AY192,(AY192+IF($B$1+49&lt;=$B192,12*$B$9,-12*MAX(0,$B$8-IF($B$1+49&gt;=$B$23,$B$22,0))*(1+$B$4)^49))*IF(AY192+IF($B$1+49&lt;=$B192,12*$B$9,-12*MAX(0,$B$8-IF($B$1+49&gt;=$B$23,$B$22,0))*(1+$B$4)^49)&gt;0,1+$B$3,1))</f>
        <v/>
      </c>
      <c r="BA192">
        <f>IF($B$1+50&gt;90,AZ192,(AZ192+IF($B$1+50&lt;=$B192,12*$B$9,-12*MAX(0,$B$8-IF($B$1+50&gt;=$B$23,$B$22,0))*(1+$B$4)^50))*IF(AZ192+IF($B$1+50&lt;=$B192,12*$B$9,-12*MAX(0,$B$8-IF($B$1+50&gt;=$B$23,$B$22,0))*(1+$B$4)^50)&gt;0,1+$B$3,1))</f>
        <v/>
      </c>
      <c r="BB192">
        <f>IF($B$1+51&gt;90,BA192,(BA192+IF($B$1+51&lt;=$B192,12*$B$9,-12*MAX(0,$B$8-IF($B$1+51&gt;=$B$23,$B$22,0))*(1+$B$4)^51))*IF(BA192+IF($B$1+51&lt;=$B192,12*$B$9,-12*MAX(0,$B$8-IF($B$1+51&gt;=$B$23,$B$22,0))*(1+$B$4)^51)&gt;0,1+$B$3,1))</f>
        <v/>
      </c>
      <c r="BC192">
        <f>IF($B$1+52&gt;90,BB192,(BB192+IF($B$1+52&lt;=$B192,12*$B$9,-12*MAX(0,$B$8-IF($B$1+52&gt;=$B$23,$B$22,0))*(1+$B$4)^52))*IF(BB192+IF($B$1+52&lt;=$B192,12*$B$9,-12*MAX(0,$B$8-IF($B$1+52&gt;=$B$23,$B$22,0))*(1+$B$4)^52)&gt;0,1+$B$3,1))</f>
        <v/>
      </c>
      <c r="BD192">
        <f>IF($B$1+53&gt;90,BC192,(BC192+IF($B$1+53&lt;=$B192,12*$B$9,-12*MAX(0,$B$8-IF($B$1+53&gt;=$B$23,$B$22,0))*(1+$B$4)^53))*IF(BC192+IF($B$1+53&lt;=$B192,12*$B$9,-12*MAX(0,$B$8-IF($B$1+53&gt;=$B$23,$B$22,0))*(1+$B$4)^53)&gt;0,1+$B$3,1))</f>
        <v/>
      </c>
      <c r="BE192">
        <f>IF($B$1+54&gt;90,BD192,(BD192+IF($B$1+54&lt;=$B192,12*$B$9,-12*MAX(0,$B$8-IF($B$1+54&gt;=$B$23,$B$22,0))*(1+$B$4)^54))*IF(BD192+IF($B$1+54&lt;=$B192,12*$B$9,-12*MAX(0,$B$8-IF($B$1+54&gt;=$B$23,$B$22,0))*(1+$B$4)^54)&gt;0,1+$B$3,1))</f>
        <v/>
      </c>
      <c r="BF192">
        <f>IF($B$1+55&gt;90,BE192,(BE192+IF($B$1+55&lt;=$B192,12*$B$9,-12*MAX(0,$B$8-IF($B$1+55&gt;=$B$23,$B$22,0))*(1+$B$4)^55))*IF(BE192+IF($B$1+55&lt;=$B192,12*$B$9,-12*MAX(0,$B$8-IF($B$1+55&gt;=$B$23,$B$22,0))*(1+$B$4)^55)&gt;0,1+$B$3,1))</f>
        <v/>
      </c>
      <c r="BG192">
        <f>IF($B$1+56&gt;90,BF192,(BF192+IF($B$1+56&lt;=$B192,12*$B$9,-12*MAX(0,$B$8-IF($B$1+56&gt;=$B$23,$B$22,0))*(1+$B$4)^56))*IF(BF192+IF($B$1+56&lt;=$B192,12*$B$9,-12*MAX(0,$B$8-IF($B$1+56&gt;=$B$23,$B$22,0))*(1+$B$4)^56)&gt;0,1+$B$3,1))</f>
        <v/>
      </c>
      <c r="BH192">
        <f>IF($B$1+57&gt;90,BG192,(BG192+IF($B$1+57&lt;=$B192,12*$B$9,-12*MAX(0,$B$8-IF($B$1+57&gt;=$B$23,$B$22,0))*(1+$B$4)^57))*IF(BG192+IF($B$1+57&lt;=$B192,12*$B$9,-12*MAX(0,$B$8-IF($B$1+57&gt;=$B$23,$B$22,0))*(1+$B$4)^57)&gt;0,1+$B$3,1))</f>
        <v/>
      </c>
      <c r="BI192">
        <f>IF($B$1+58&gt;90,BH192,(BH192+IF($B$1+58&lt;=$B192,12*$B$9,-12*MAX(0,$B$8-IF($B$1+58&gt;=$B$23,$B$22,0))*(1+$B$4)^58))*IF(BH192+IF($B$1+58&lt;=$B192,12*$B$9,-12*MAX(0,$B$8-IF($B$1+58&gt;=$B$23,$B$22,0))*(1+$B$4)^58)&gt;0,1+$B$3,1))</f>
        <v/>
      </c>
      <c r="BJ192">
        <f>IF($B$1+59&gt;90,BI192,(BI192+IF($B$1+59&lt;=$B192,12*$B$9,-12*MAX(0,$B$8-IF($B$1+59&gt;=$B$23,$B$22,0))*(1+$B$4)^59))*IF(BI192+IF($B$1+59&lt;=$B192,12*$B$9,-12*MAX(0,$B$8-IF($B$1+59&gt;=$B$23,$B$22,0))*(1+$B$4)^59)&gt;0,1+$B$3,1))</f>
        <v/>
      </c>
      <c r="BK192">
        <f>IF($B$1+60&gt;90,BJ192,(BJ192+IF($B$1+60&lt;=$B192,12*$B$9,-12*MAX(0,$B$8-IF($B$1+60&gt;=$B$23,$B$22,0))*(1+$B$4)^60))*IF(BJ192+IF($B$1+60&lt;=$B192,12*$B$9,-12*MAX(0,$B$8-IF($B$1+60&gt;=$B$23,$B$22,0))*(1+$B$4)^60)&gt;0,1+$B$3,1))</f>
        <v/>
      </c>
      <c r="BL192">
        <f>IF($B$1+61&gt;90,BK192,(BK192+IF($B$1+61&lt;=$B192,12*$B$9,-12*MAX(0,$B$8-IF($B$1+61&gt;=$B$23,$B$22,0))*(1+$B$4)^61))*IF(BK192+IF($B$1+61&lt;=$B192,12*$B$9,-12*MAX(0,$B$8-IF($B$1+61&gt;=$B$23,$B$22,0))*(1+$B$4)^61)&gt;0,1+$B$3,1))</f>
        <v/>
      </c>
      <c r="BM192">
        <f>IF($B$1+62&gt;90,BL192,(BL192+IF($B$1+62&lt;=$B192,12*$B$9,-12*MAX(0,$B$8-IF($B$1+62&gt;=$B$23,$B$22,0))*(1+$B$4)^62))*IF(BL192+IF($B$1+62&lt;=$B192,12*$B$9,-12*MAX(0,$B$8-IF($B$1+62&gt;=$B$23,$B$22,0))*(1+$B$4)^62)&gt;0,1+$B$3,1))</f>
        <v/>
      </c>
      <c r="BN192">
        <f>IF($B$1+63&gt;90,BM192,(BM192+IF($B$1+63&lt;=$B192,12*$B$9,-12*MAX(0,$B$8-IF($B$1+63&gt;=$B$23,$B$22,0))*(1+$B$4)^63))*IF(BM192+IF($B$1+63&lt;=$B192,12*$B$9,-12*MAX(0,$B$8-IF($B$1+63&gt;=$B$23,$B$22,0))*(1+$B$4)^63)&gt;0,1+$B$3,1))</f>
        <v/>
      </c>
      <c r="BO192">
        <f>IF($B$1+64&gt;90,BN192,(BN192+IF($B$1+64&lt;=$B192,12*$B$9,-12*MAX(0,$B$8-IF($B$1+64&gt;=$B$23,$B$22,0))*(1+$B$4)^64))*IF(BN192+IF($B$1+64&lt;=$B192,12*$B$9,-12*MAX(0,$B$8-IF($B$1+64&gt;=$B$23,$B$22,0))*(1+$B$4)^64)&gt;0,1+$B$3,1))</f>
        <v/>
      </c>
      <c r="BP192">
        <f>IF($B$1+65&gt;90,BO192,(BO192+IF($B$1+65&lt;=$B192,12*$B$9,-12*MAX(0,$B$8-IF($B$1+65&gt;=$B$23,$B$22,0))*(1+$B$4)^65))*IF(BO192+IF($B$1+65&lt;=$B192,12*$B$9,-12*MAX(0,$B$8-IF($B$1+65&gt;=$B$23,$B$22,0))*(1+$B$4)^65)&gt;0,1+$B$3,1))</f>
        <v/>
      </c>
      <c r="BQ192">
        <f>IF($B$1+66&gt;90,BP192,(BP192+IF($B$1+66&lt;=$B192,12*$B$9,-12*MAX(0,$B$8-IF($B$1+66&gt;=$B$23,$B$22,0))*(1+$B$4)^66))*IF(BP192+IF($B$1+66&lt;=$B192,12*$B$9,-12*MAX(0,$B$8-IF($B$1+66&gt;=$B$23,$B$22,0))*(1+$B$4)^66)&gt;0,1+$B$3,1))</f>
        <v/>
      </c>
      <c r="BR192">
        <f>IF($B$1+67&gt;90,BQ192,(BQ192+IF($B$1+67&lt;=$B192,12*$B$9,-12*MAX(0,$B$8-IF($B$1+67&gt;=$B$23,$B$22,0))*(1+$B$4)^67))*IF(BQ192+IF($B$1+67&lt;=$B192,12*$B$9,-12*MAX(0,$B$8-IF($B$1+67&gt;=$B$23,$B$22,0))*(1+$B$4)^67)&gt;0,1+$B$3,1))</f>
        <v/>
      </c>
      <c r="BS192">
        <f>IF($B$1+68&gt;90,BR192,(BR192+IF($B$1+68&lt;=$B192,12*$B$9,-12*MAX(0,$B$8-IF($B$1+68&gt;=$B$23,$B$22,0))*(1+$B$4)^68))*IF(BR192+IF($B$1+68&lt;=$B192,12*$B$9,-12*MAX(0,$B$8-IF($B$1+68&gt;=$B$23,$B$22,0))*(1+$B$4)^68)&gt;0,1+$B$3,1))</f>
        <v/>
      </c>
      <c r="BT192">
        <f>IF($B$1+69&gt;90,BS192,(BS192+IF($B$1+69&lt;=$B192,12*$B$9,-12*MAX(0,$B$8-IF($B$1+69&gt;=$B$23,$B$22,0))*(1+$B$4)^69))*IF(BS192+IF($B$1+69&lt;=$B192,12*$B$9,-12*MAX(0,$B$8-IF($B$1+69&gt;=$B$23,$B$22,0))*(1+$B$4)^69)&gt;0,1+$B$3,1))</f>
        <v/>
      </c>
      <c r="BU192">
        <f>IF($B$1+70&gt;90,BT192,(BT192+IF($B$1+70&lt;=$B192,12*$B$9,-12*MAX(0,$B$8-IF($B$1+70&gt;=$B$23,$B$22,0))*(1+$B$4)^70))*IF(BT192+IF($B$1+70&lt;=$B192,12*$B$9,-12*MAX(0,$B$8-IF($B$1+70&gt;=$B$23,$B$22,0))*(1+$B$4)^70)&gt;0,1+$B$3,1))</f>
        <v/>
      </c>
      <c r="BV192">
        <f>BU192</f>
        <v/>
      </c>
      <c r="BW192">
        <f>IF(AND($B192&lt;=70,BV192&gt;0),$B192,999)</f>
        <v/>
      </c>
      <c r="CH192">
        <f>IF(ISTEXT('월 가계부'!A192),SUBSTITUTE(SUBSTITUTE(SUBSTITUTE(SUBSTITUTE(SUBSTITUTE(SUBSTITUTE(SUBSTITUTE(SUBSTITUTE(SUBSTITUTE(TRIM('월 가계부'!A192),"년","-"),"월","-"),"일",""),".","-"),"/","-")," ","-"),"--","-"),"--","-"),"--","-")&amp;"-","")</f>
        <v/>
      </c>
      <c r="CI192">
        <f>IFERROR(IF('월 가계부'!A192="","",IF(ISNUMBER('월 가계부'!A192),IF(AND('월 가계부'!A192&gt;=19000101,'월 가계부'!A192&lt;=21001231),IF(AND(MOD(INT('월 가계부'!A192/100),100)&gt;=1,MOD(INT('월 가계부'!A192/100),100)&lt;=12,MOD(INT('월 가계부'!A192),100)&gt;=1,MOD(INT('월 가계부'!A192),100)&lt;=31),IF(MONTH(DATE(INT('월 가계부'!A192/10000),MOD(INT('월 가계부'!A192/100),100),MOD(INT('월 가계부'!A192),100)))=MOD(INT('월 가계부'!A192/100),100),DATE(INT('월 가계부'!A192/10000),MOD(INT('월 가계부'!A192/100),100),MOD(INT('월 가계부'!A192),100)),""),""),IF(AND('월 가계부'!A192&gt;=36526,'월 가계부'!A192&lt;73051),INT('월 가계부'!A192),"")),IF(OR(CM192="",CN192="",CO192=""),"",IF(AND(CM192&gt;=2000,CM192&lt;=2099,CN192&gt;=1,CN192&lt;=12,CO192&gt;=1,CO192&lt;=31),IF(MONTH(DATE(CM192,CN192,CO192))=CN192,DATE(CM192,CN192,CO192),""),"")))),"")</f>
        <v/>
      </c>
      <c r="CJ192">
        <f>IFERROR(IF('월 가계부'!C192="","",IF(ISNUMBER('월 가계부'!C192),'월 가계부'!C192,VALUE(SUBSTITUTE(SUBSTITUTE(SUBSTITUTE(SUBSTITUTE(TRIM('월 가계부'!C192),",",""),"원","")," ",""),"−","-")))),"")</f>
        <v/>
      </c>
      <c r="CK192">
        <f>IF(ISNUMBER(CI192),IF(CI192&lt;$B$13,CI192,""),"")</f>
        <v/>
      </c>
      <c r="CM192">
        <f>IF(CH192="","",IFERROR(IF(IF(AND(LEN(CH192)=9,ISERROR(FIND("-",LEFT(CH192,8))),ISNUMBER(-LEFT(CH192,8))),VALUE(LEFT(CH192,4)),VALUE(LEFT(CH192,FIND("-",CH192)-1)))&lt;100,IF(AND(LEN(CH192)=9,ISERROR(FIND("-",LEFT(CH192,8))),ISNUMBER(-LEFT(CH192,8))),VALUE(LEFT(CH192,4)),VALUE(LEFT(CH192,FIND("-",CH192)-1)))+2000,IF(AND(LEN(CH192)=9,ISERROR(FIND("-",LEFT(CH192,8))),ISNUMBER(-LEFT(CH192,8))),VALUE(LEFT(CH192,4)),VALUE(LEFT(CH192,FIND("-",CH192)-1)))),""))</f>
        <v/>
      </c>
      <c r="CN192">
        <f>IF(CH192="","",IFERROR(IF(AND(LEN(CH192)=9,ISERROR(FIND("-",LEFT(CH192,8))),ISNUMBER(-LEFT(CH192,8))),VALUE(MID(CH192,5,2)),VALUE(MID(CH192,FIND("-",CH192)+1,FIND("-",CH192,FIND("-",CH192)+1)-FIND("-",CH192)-1))),""))</f>
        <v/>
      </c>
      <c r="CO192">
        <f>IF(CH192="","",IFERROR(IF(AND(LEN(CH192)=9,ISERROR(FIND("-",LEFT(CH192,8))),ISNUMBER(-LEFT(CH192,8))),VALUE(MID(CH192,7,2)),VALUE(MID(CH192,FIND("-",CH192,FIND("-",CH192)+1)+1,FIND("-",CH192,FIND("-",CH192,FIND("-",CH192)+1)+1)-FIND("-",CH192,FIND("-",CH192)+1)-1))),""))</f>
        <v/>
      </c>
    </row>
    <row r="193">
      <c r="A193" t="n">
        <v>41</v>
      </c>
      <c r="B193">
        <f>$B$1+41</f>
        <v/>
      </c>
      <c r="C193">
        <f>$B$2</f>
        <v/>
      </c>
      <c r="D193">
        <f>IF($B$1+1&gt;90,C193,(C193+IF($B$1+1&lt;=$B193,12*$B$9,-12*MAX(0,$B$8-IF($B$1+1&gt;=$B$23,$B$22,0))*(1+$B$4)^1))*IF(C193+IF($B$1+1&lt;=$B193,12*$B$9,-12*MAX(0,$B$8-IF($B$1+1&gt;=$B$23,$B$22,0))*(1+$B$4)^1)&gt;0,1+$B$3,1))</f>
        <v/>
      </c>
      <c r="E193">
        <f>IF($B$1+2&gt;90,D193,(D193+IF($B$1+2&lt;=$B193,12*$B$9,-12*MAX(0,$B$8-IF($B$1+2&gt;=$B$23,$B$22,0))*(1+$B$4)^2))*IF(D193+IF($B$1+2&lt;=$B193,12*$B$9,-12*MAX(0,$B$8-IF($B$1+2&gt;=$B$23,$B$22,0))*(1+$B$4)^2)&gt;0,1+$B$3,1))</f>
        <v/>
      </c>
      <c r="F193">
        <f>IF($B$1+3&gt;90,E193,(E193+IF($B$1+3&lt;=$B193,12*$B$9,-12*MAX(0,$B$8-IF($B$1+3&gt;=$B$23,$B$22,0))*(1+$B$4)^3))*IF(E193+IF($B$1+3&lt;=$B193,12*$B$9,-12*MAX(0,$B$8-IF($B$1+3&gt;=$B$23,$B$22,0))*(1+$B$4)^3)&gt;0,1+$B$3,1))</f>
        <v/>
      </c>
      <c r="G193">
        <f>IF($B$1+4&gt;90,F193,(F193+IF($B$1+4&lt;=$B193,12*$B$9,-12*MAX(0,$B$8-IF($B$1+4&gt;=$B$23,$B$22,0))*(1+$B$4)^4))*IF(F193+IF($B$1+4&lt;=$B193,12*$B$9,-12*MAX(0,$B$8-IF($B$1+4&gt;=$B$23,$B$22,0))*(1+$B$4)^4)&gt;0,1+$B$3,1))</f>
        <v/>
      </c>
      <c r="H193">
        <f>IF($B$1+5&gt;90,G193,(G193+IF($B$1+5&lt;=$B193,12*$B$9,-12*MAX(0,$B$8-IF($B$1+5&gt;=$B$23,$B$22,0))*(1+$B$4)^5))*IF(G193+IF($B$1+5&lt;=$B193,12*$B$9,-12*MAX(0,$B$8-IF($B$1+5&gt;=$B$23,$B$22,0))*(1+$B$4)^5)&gt;0,1+$B$3,1))</f>
        <v/>
      </c>
      <c r="I193">
        <f>IF($B$1+6&gt;90,H193,(H193+IF($B$1+6&lt;=$B193,12*$B$9,-12*MAX(0,$B$8-IF($B$1+6&gt;=$B$23,$B$22,0))*(1+$B$4)^6))*IF(H193+IF($B$1+6&lt;=$B193,12*$B$9,-12*MAX(0,$B$8-IF($B$1+6&gt;=$B$23,$B$22,0))*(1+$B$4)^6)&gt;0,1+$B$3,1))</f>
        <v/>
      </c>
      <c r="J193">
        <f>IF($B$1+7&gt;90,I193,(I193+IF($B$1+7&lt;=$B193,12*$B$9,-12*MAX(0,$B$8-IF($B$1+7&gt;=$B$23,$B$22,0))*(1+$B$4)^7))*IF(I193+IF($B$1+7&lt;=$B193,12*$B$9,-12*MAX(0,$B$8-IF($B$1+7&gt;=$B$23,$B$22,0))*(1+$B$4)^7)&gt;0,1+$B$3,1))</f>
        <v/>
      </c>
      <c r="K193">
        <f>IF($B$1+8&gt;90,J193,(J193+IF($B$1+8&lt;=$B193,12*$B$9,-12*MAX(0,$B$8-IF($B$1+8&gt;=$B$23,$B$22,0))*(1+$B$4)^8))*IF(J193+IF($B$1+8&lt;=$B193,12*$B$9,-12*MAX(0,$B$8-IF($B$1+8&gt;=$B$23,$B$22,0))*(1+$B$4)^8)&gt;0,1+$B$3,1))</f>
        <v/>
      </c>
      <c r="L193">
        <f>IF($B$1+9&gt;90,K193,(K193+IF($B$1+9&lt;=$B193,12*$B$9,-12*MAX(0,$B$8-IF($B$1+9&gt;=$B$23,$B$22,0))*(1+$B$4)^9))*IF(K193+IF($B$1+9&lt;=$B193,12*$B$9,-12*MAX(0,$B$8-IF($B$1+9&gt;=$B$23,$B$22,0))*(1+$B$4)^9)&gt;0,1+$B$3,1))</f>
        <v/>
      </c>
      <c r="M193">
        <f>IF($B$1+10&gt;90,L193,(L193+IF($B$1+10&lt;=$B193,12*$B$9,-12*MAX(0,$B$8-IF($B$1+10&gt;=$B$23,$B$22,0))*(1+$B$4)^10))*IF(L193+IF($B$1+10&lt;=$B193,12*$B$9,-12*MAX(0,$B$8-IF($B$1+10&gt;=$B$23,$B$22,0))*(1+$B$4)^10)&gt;0,1+$B$3,1))</f>
        <v/>
      </c>
      <c r="N193">
        <f>IF($B$1+11&gt;90,M193,(M193+IF($B$1+11&lt;=$B193,12*$B$9,-12*MAX(0,$B$8-IF($B$1+11&gt;=$B$23,$B$22,0))*(1+$B$4)^11))*IF(M193+IF($B$1+11&lt;=$B193,12*$B$9,-12*MAX(0,$B$8-IF($B$1+11&gt;=$B$23,$B$22,0))*(1+$B$4)^11)&gt;0,1+$B$3,1))</f>
        <v/>
      </c>
      <c r="O193">
        <f>IF($B$1+12&gt;90,N193,(N193+IF($B$1+12&lt;=$B193,12*$B$9,-12*MAX(0,$B$8-IF($B$1+12&gt;=$B$23,$B$22,0))*(1+$B$4)^12))*IF(N193+IF($B$1+12&lt;=$B193,12*$B$9,-12*MAX(0,$B$8-IF($B$1+12&gt;=$B$23,$B$22,0))*(1+$B$4)^12)&gt;0,1+$B$3,1))</f>
        <v/>
      </c>
      <c r="P193">
        <f>IF($B$1+13&gt;90,O193,(O193+IF($B$1+13&lt;=$B193,12*$B$9,-12*MAX(0,$B$8-IF($B$1+13&gt;=$B$23,$B$22,0))*(1+$B$4)^13))*IF(O193+IF($B$1+13&lt;=$B193,12*$B$9,-12*MAX(0,$B$8-IF($B$1+13&gt;=$B$23,$B$22,0))*(1+$B$4)^13)&gt;0,1+$B$3,1))</f>
        <v/>
      </c>
      <c r="Q193">
        <f>IF($B$1+14&gt;90,P193,(P193+IF($B$1+14&lt;=$B193,12*$B$9,-12*MAX(0,$B$8-IF($B$1+14&gt;=$B$23,$B$22,0))*(1+$B$4)^14))*IF(P193+IF($B$1+14&lt;=$B193,12*$B$9,-12*MAX(0,$B$8-IF($B$1+14&gt;=$B$23,$B$22,0))*(1+$B$4)^14)&gt;0,1+$B$3,1))</f>
        <v/>
      </c>
      <c r="R193">
        <f>IF($B$1+15&gt;90,Q193,(Q193+IF($B$1+15&lt;=$B193,12*$B$9,-12*MAX(0,$B$8-IF($B$1+15&gt;=$B$23,$B$22,0))*(1+$B$4)^15))*IF(Q193+IF($B$1+15&lt;=$B193,12*$B$9,-12*MAX(0,$B$8-IF($B$1+15&gt;=$B$23,$B$22,0))*(1+$B$4)^15)&gt;0,1+$B$3,1))</f>
        <v/>
      </c>
      <c r="S193">
        <f>IF($B$1+16&gt;90,R193,(R193+IF($B$1+16&lt;=$B193,12*$B$9,-12*MAX(0,$B$8-IF($B$1+16&gt;=$B$23,$B$22,0))*(1+$B$4)^16))*IF(R193+IF($B$1+16&lt;=$B193,12*$B$9,-12*MAX(0,$B$8-IF($B$1+16&gt;=$B$23,$B$22,0))*(1+$B$4)^16)&gt;0,1+$B$3,1))</f>
        <v/>
      </c>
      <c r="T193">
        <f>IF($B$1+17&gt;90,S193,(S193+IF($B$1+17&lt;=$B193,12*$B$9,-12*MAX(0,$B$8-IF($B$1+17&gt;=$B$23,$B$22,0))*(1+$B$4)^17))*IF(S193+IF($B$1+17&lt;=$B193,12*$B$9,-12*MAX(0,$B$8-IF($B$1+17&gt;=$B$23,$B$22,0))*(1+$B$4)^17)&gt;0,1+$B$3,1))</f>
        <v/>
      </c>
      <c r="U193">
        <f>IF($B$1+18&gt;90,T193,(T193+IF($B$1+18&lt;=$B193,12*$B$9,-12*MAX(0,$B$8-IF($B$1+18&gt;=$B$23,$B$22,0))*(1+$B$4)^18))*IF(T193+IF($B$1+18&lt;=$B193,12*$B$9,-12*MAX(0,$B$8-IF($B$1+18&gt;=$B$23,$B$22,0))*(1+$B$4)^18)&gt;0,1+$B$3,1))</f>
        <v/>
      </c>
      <c r="V193">
        <f>IF($B$1+19&gt;90,U193,(U193+IF($B$1+19&lt;=$B193,12*$B$9,-12*MAX(0,$B$8-IF($B$1+19&gt;=$B$23,$B$22,0))*(1+$B$4)^19))*IF(U193+IF($B$1+19&lt;=$B193,12*$B$9,-12*MAX(0,$B$8-IF($B$1+19&gt;=$B$23,$B$22,0))*(1+$B$4)^19)&gt;0,1+$B$3,1))</f>
        <v/>
      </c>
      <c r="W193">
        <f>IF($B$1+20&gt;90,V193,(V193+IF($B$1+20&lt;=$B193,12*$B$9,-12*MAX(0,$B$8-IF($B$1+20&gt;=$B$23,$B$22,0))*(1+$B$4)^20))*IF(V193+IF($B$1+20&lt;=$B193,12*$B$9,-12*MAX(0,$B$8-IF($B$1+20&gt;=$B$23,$B$22,0))*(1+$B$4)^20)&gt;0,1+$B$3,1))</f>
        <v/>
      </c>
      <c r="X193">
        <f>IF($B$1+21&gt;90,W193,(W193+IF($B$1+21&lt;=$B193,12*$B$9,-12*MAX(0,$B$8-IF($B$1+21&gt;=$B$23,$B$22,0))*(1+$B$4)^21))*IF(W193+IF($B$1+21&lt;=$B193,12*$B$9,-12*MAX(0,$B$8-IF($B$1+21&gt;=$B$23,$B$22,0))*(1+$B$4)^21)&gt;0,1+$B$3,1))</f>
        <v/>
      </c>
      <c r="Y193">
        <f>IF($B$1+22&gt;90,X193,(X193+IF($B$1+22&lt;=$B193,12*$B$9,-12*MAX(0,$B$8-IF($B$1+22&gt;=$B$23,$B$22,0))*(1+$B$4)^22))*IF(X193+IF($B$1+22&lt;=$B193,12*$B$9,-12*MAX(0,$B$8-IF($B$1+22&gt;=$B$23,$B$22,0))*(1+$B$4)^22)&gt;0,1+$B$3,1))</f>
        <v/>
      </c>
      <c r="Z193">
        <f>IF($B$1+23&gt;90,Y193,(Y193+IF($B$1+23&lt;=$B193,12*$B$9,-12*MAX(0,$B$8-IF($B$1+23&gt;=$B$23,$B$22,0))*(1+$B$4)^23))*IF(Y193+IF($B$1+23&lt;=$B193,12*$B$9,-12*MAX(0,$B$8-IF($B$1+23&gt;=$B$23,$B$22,0))*(1+$B$4)^23)&gt;0,1+$B$3,1))</f>
        <v/>
      </c>
      <c r="AA193">
        <f>IF($B$1+24&gt;90,Z193,(Z193+IF($B$1+24&lt;=$B193,12*$B$9,-12*MAX(0,$B$8-IF($B$1+24&gt;=$B$23,$B$22,0))*(1+$B$4)^24))*IF(Z193+IF($B$1+24&lt;=$B193,12*$B$9,-12*MAX(0,$B$8-IF($B$1+24&gt;=$B$23,$B$22,0))*(1+$B$4)^24)&gt;0,1+$B$3,1))</f>
        <v/>
      </c>
      <c r="AB193">
        <f>IF($B$1+25&gt;90,AA193,(AA193+IF($B$1+25&lt;=$B193,12*$B$9,-12*MAX(0,$B$8-IF($B$1+25&gt;=$B$23,$B$22,0))*(1+$B$4)^25))*IF(AA193+IF($B$1+25&lt;=$B193,12*$B$9,-12*MAX(0,$B$8-IF($B$1+25&gt;=$B$23,$B$22,0))*(1+$B$4)^25)&gt;0,1+$B$3,1))</f>
        <v/>
      </c>
      <c r="AC193">
        <f>IF($B$1+26&gt;90,AB193,(AB193+IF($B$1+26&lt;=$B193,12*$B$9,-12*MAX(0,$B$8-IF($B$1+26&gt;=$B$23,$B$22,0))*(1+$B$4)^26))*IF(AB193+IF($B$1+26&lt;=$B193,12*$B$9,-12*MAX(0,$B$8-IF($B$1+26&gt;=$B$23,$B$22,0))*(1+$B$4)^26)&gt;0,1+$B$3,1))</f>
        <v/>
      </c>
      <c r="AD193">
        <f>IF($B$1+27&gt;90,AC193,(AC193+IF($B$1+27&lt;=$B193,12*$B$9,-12*MAX(0,$B$8-IF($B$1+27&gt;=$B$23,$B$22,0))*(1+$B$4)^27))*IF(AC193+IF($B$1+27&lt;=$B193,12*$B$9,-12*MAX(0,$B$8-IF($B$1+27&gt;=$B$23,$B$22,0))*(1+$B$4)^27)&gt;0,1+$B$3,1))</f>
        <v/>
      </c>
      <c r="AE193">
        <f>IF($B$1+28&gt;90,AD193,(AD193+IF($B$1+28&lt;=$B193,12*$B$9,-12*MAX(0,$B$8-IF($B$1+28&gt;=$B$23,$B$22,0))*(1+$B$4)^28))*IF(AD193+IF($B$1+28&lt;=$B193,12*$B$9,-12*MAX(0,$B$8-IF($B$1+28&gt;=$B$23,$B$22,0))*(1+$B$4)^28)&gt;0,1+$B$3,1))</f>
        <v/>
      </c>
      <c r="AF193">
        <f>IF($B$1+29&gt;90,AE193,(AE193+IF($B$1+29&lt;=$B193,12*$B$9,-12*MAX(0,$B$8-IF($B$1+29&gt;=$B$23,$B$22,0))*(1+$B$4)^29))*IF(AE193+IF($B$1+29&lt;=$B193,12*$B$9,-12*MAX(0,$B$8-IF($B$1+29&gt;=$B$23,$B$22,0))*(1+$B$4)^29)&gt;0,1+$B$3,1))</f>
        <v/>
      </c>
      <c r="AG193">
        <f>IF($B$1+30&gt;90,AF193,(AF193+IF($B$1+30&lt;=$B193,12*$B$9,-12*MAX(0,$B$8-IF($B$1+30&gt;=$B$23,$B$22,0))*(1+$B$4)^30))*IF(AF193+IF($B$1+30&lt;=$B193,12*$B$9,-12*MAX(0,$B$8-IF($B$1+30&gt;=$B$23,$B$22,0))*(1+$B$4)^30)&gt;0,1+$B$3,1))</f>
        <v/>
      </c>
      <c r="AH193">
        <f>IF($B$1+31&gt;90,AG193,(AG193+IF($B$1+31&lt;=$B193,12*$B$9,-12*MAX(0,$B$8-IF($B$1+31&gt;=$B$23,$B$22,0))*(1+$B$4)^31))*IF(AG193+IF($B$1+31&lt;=$B193,12*$B$9,-12*MAX(0,$B$8-IF($B$1+31&gt;=$B$23,$B$22,0))*(1+$B$4)^31)&gt;0,1+$B$3,1))</f>
        <v/>
      </c>
      <c r="AI193">
        <f>IF($B$1+32&gt;90,AH193,(AH193+IF($B$1+32&lt;=$B193,12*$B$9,-12*MAX(0,$B$8-IF($B$1+32&gt;=$B$23,$B$22,0))*(1+$B$4)^32))*IF(AH193+IF($B$1+32&lt;=$B193,12*$B$9,-12*MAX(0,$B$8-IF($B$1+32&gt;=$B$23,$B$22,0))*(1+$B$4)^32)&gt;0,1+$B$3,1))</f>
        <v/>
      </c>
      <c r="AJ193">
        <f>IF($B$1+33&gt;90,AI193,(AI193+IF($B$1+33&lt;=$B193,12*$B$9,-12*MAX(0,$B$8-IF($B$1+33&gt;=$B$23,$B$22,0))*(1+$B$4)^33))*IF(AI193+IF($B$1+33&lt;=$B193,12*$B$9,-12*MAX(0,$B$8-IF($B$1+33&gt;=$B$23,$B$22,0))*(1+$B$4)^33)&gt;0,1+$B$3,1))</f>
        <v/>
      </c>
      <c r="AK193">
        <f>IF($B$1+34&gt;90,AJ193,(AJ193+IF($B$1+34&lt;=$B193,12*$B$9,-12*MAX(0,$B$8-IF($B$1+34&gt;=$B$23,$B$22,0))*(1+$B$4)^34))*IF(AJ193+IF($B$1+34&lt;=$B193,12*$B$9,-12*MAX(0,$B$8-IF($B$1+34&gt;=$B$23,$B$22,0))*(1+$B$4)^34)&gt;0,1+$B$3,1))</f>
        <v/>
      </c>
      <c r="AL193">
        <f>IF($B$1+35&gt;90,AK193,(AK193+IF($B$1+35&lt;=$B193,12*$B$9,-12*MAX(0,$B$8-IF($B$1+35&gt;=$B$23,$B$22,0))*(1+$B$4)^35))*IF(AK193+IF($B$1+35&lt;=$B193,12*$B$9,-12*MAX(0,$B$8-IF($B$1+35&gt;=$B$23,$B$22,0))*(1+$B$4)^35)&gt;0,1+$B$3,1))</f>
        <v/>
      </c>
      <c r="AM193">
        <f>IF($B$1+36&gt;90,AL193,(AL193+IF($B$1+36&lt;=$B193,12*$B$9,-12*MAX(0,$B$8-IF($B$1+36&gt;=$B$23,$B$22,0))*(1+$B$4)^36))*IF(AL193+IF($B$1+36&lt;=$B193,12*$B$9,-12*MAX(0,$B$8-IF($B$1+36&gt;=$B$23,$B$22,0))*(1+$B$4)^36)&gt;0,1+$B$3,1))</f>
        <v/>
      </c>
      <c r="AN193">
        <f>IF($B$1+37&gt;90,AM193,(AM193+IF($B$1+37&lt;=$B193,12*$B$9,-12*MAX(0,$B$8-IF($B$1+37&gt;=$B$23,$B$22,0))*(1+$B$4)^37))*IF(AM193+IF($B$1+37&lt;=$B193,12*$B$9,-12*MAX(0,$B$8-IF($B$1+37&gt;=$B$23,$B$22,0))*(1+$B$4)^37)&gt;0,1+$B$3,1))</f>
        <v/>
      </c>
      <c r="AO193">
        <f>IF($B$1+38&gt;90,AN193,(AN193+IF($B$1+38&lt;=$B193,12*$B$9,-12*MAX(0,$B$8-IF($B$1+38&gt;=$B$23,$B$22,0))*(1+$B$4)^38))*IF(AN193+IF($B$1+38&lt;=$B193,12*$B$9,-12*MAX(0,$B$8-IF($B$1+38&gt;=$B$23,$B$22,0))*(1+$B$4)^38)&gt;0,1+$B$3,1))</f>
        <v/>
      </c>
      <c r="AP193">
        <f>IF($B$1+39&gt;90,AO193,(AO193+IF($B$1+39&lt;=$B193,12*$B$9,-12*MAX(0,$B$8-IF($B$1+39&gt;=$B$23,$B$22,0))*(1+$B$4)^39))*IF(AO193+IF($B$1+39&lt;=$B193,12*$B$9,-12*MAX(0,$B$8-IF($B$1+39&gt;=$B$23,$B$22,0))*(1+$B$4)^39)&gt;0,1+$B$3,1))</f>
        <v/>
      </c>
      <c r="AQ193">
        <f>IF($B$1+40&gt;90,AP193,(AP193+IF($B$1+40&lt;=$B193,12*$B$9,-12*MAX(0,$B$8-IF($B$1+40&gt;=$B$23,$B$22,0))*(1+$B$4)^40))*IF(AP193+IF($B$1+40&lt;=$B193,12*$B$9,-12*MAX(0,$B$8-IF($B$1+40&gt;=$B$23,$B$22,0))*(1+$B$4)^40)&gt;0,1+$B$3,1))</f>
        <v/>
      </c>
      <c r="AR193">
        <f>IF($B$1+41&gt;90,AQ193,(AQ193+IF($B$1+41&lt;=$B193,12*$B$9,-12*MAX(0,$B$8-IF($B$1+41&gt;=$B$23,$B$22,0))*(1+$B$4)^41))*IF(AQ193+IF($B$1+41&lt;=$B193,12*$B$9,-12*MAX(0,$B$8-IF($B$1+41&gt;=$B$23,$B$22,0))*(1+$B$4)^41)&gt;0,1+$B$3,1))</f>
        <v/>
      </c>
      <c r="AS193">
        <f>IF($B$1+42&gt;90,AR193,(AR193+IF($B$1+42&lt;=$B193,12*$B$9,-12*MAX(0,$B$8-IF($B$1+42&gt;=$B$23,$B$22,0))*(1+$B$4)^42))*IF(AR193+IF($B$1+42&lt;=$B193,12*$B$9,-12*MAX(0,$B$8-IF($B$1+42&gt;=$B$23,$B$22,0))*(1+$B$4)^42)&gt;0,1+$B$3,1))</f>
        <v/>
      </c>
      <c r="AT193">
        <f>IF($B$1+43&gt;90,AS193,(AS193+IF($B$1+43&lt;=$B193,12*$B$9,-12*MAX(0,$B$8-IF($B$1+43&gt;=$B$23,$B$22,0))*(1+$B$4)^43))*IF(AS193+IF($B$1+43&lt;=$B193,12*$B$9,-12*MAX(0,$B$8-IF($B$1+43&gt;=$B$23,$B$22,0))*(1+$B$4)^43)&gt;0,1+$B$3,1))</f>
        <v/>
      </c>
      <c r="AU193">
        <f>IF($B$1+44&gt;90,AT193,(AT193+IF($B$1+44&lt;=$B193,12*$B$9,-12*MAX(0,$B$8-IF($B$1+44&gt;=$B$23,$B$22,0))*(1+$B$4)^44))*IF(AT193+IF($B$1+44&lt;=$B193,12*$B$9,-12*MAX(0,$B$8-IF($B$1+44&gt;=$B$23,$B$22,0))*(1+$B$4)^44)&gt;0,1+$B$3,1))</f>
        <v/>
      </c>
      <c r="AV193">
        <f>IF($B$1+45&gt;90,AU193,(AU193+IF($B$1+45&lt;=$B193,12*$B$9,-12*MAX(0,$B$8-IF($B$1+45&gt;=$B$23,$B$22,0))*(1+$B$4)^45))*IF(AU193+IF($B$1+45&lt;=$B193,12*$B$9,-12*MAX(0,$B$8-IF($B$1+45&gt;=$B$23,$B$22,0))*(1+$B$4)^45)&gt;0,1+$B$3,1))</f>
        <v/>
      </c>
      <c r="AW193">
        <f>IF($B$1+46&gt;90,AV193,(AV193+IF($B$1+46&lt;=$B193,12*$B$9,-12*MAX(0,$B$8-IF($B$1+46&gt;=$B$23,$B$22,0))*(1+$B$4)^46))*IF(AV193+IF($B$1+46&lt;=$B193,12*$B$9,-12*MAX(0,$B$8-IF($B$1+46&gt;=$B$23,$B$22,0))*(1+$B$4)^46)&gt;0,1+$B$3,1))</f>
        <v/>
      </c>
      <c r="AX193">
        <f>IF($B$1+47&gt;90,AW193,(AW193+IF($B$1+47&lt;=$B193,12*$B$9,-12*MAX(0,$B$8-IF($B$1+47&gt;=$B$23,$B$22,0))*(1+$B$4)^47))*IF(AW193+IF($B$1+47&lt;=$B193,12*$B$9,-12*MAX(0,$B$8-IF($B$1+47&gt;=$B$23,$B$22,0))*(1+$B$4)^47)&gt;0,1+$B$3,1))</f>
        <v/>
      </c>
      <c r="AY193">
        <f>IF($B$1+48&gt;90,AX193,(AX193+IF($B$1+48&lt;=$B193,12*$B$9,-12*MAX(0,$B$8-IF($B$1+48&gt;=$B$23,$B$22,0))*(1+$B$4)^48))*IF(AX193+IF($B$1+48&lt;=$B193,12*$B$9,-12*MAX(0,$B$8-IF($B$1+48&gt;=$B$23,$B$22,0))*(1+$B$4)^48)&gt;0,1+$B$3,1))</f>
        <v/>
      </c>
      <c r="AZ193">
        <f>IF($B$1+49&gt;90,AY193,(AY193+IF($B$1+49&lt;=$B193,12*$B$9,-12*MAX(0,$B$8-IF($B$1+49&gt;=$B$23,$B$22,0))*(1+$B$4)^49))*IF(AY193+IF($B$1+49&lt;=$B193,12*$B$9,-12*MAX(0,$B$8-IF($B$1+49&gt;=$B$23,$B$22,0))*(1+$B$4)^49)&gt;0,1+$B$3,1))</f>
        <v/>
      </c>
      <c r="BA193">
        <f>IF($B$1+50&gt;90,AZ193,(AZ193+IF($B$1+50&lt;=$B193,12*$B$9,-12*MAX(0,$B$8-IF($B$1+50&gt;=$B$23,$B$22,0))*(1+$B$4)^50))*IF(AZ193+IF($B$1+50&lt;=$B193,12*$B$9,-12*MAX(0,$B$8-IF($B$1+50&gt;=$B$23,$B$22,0))*(1+$B$4)^50)&gt;0,1+$B$3,1))</f>
        <v/>
      </c>
      <c r="BB193">
        <f>IF($B$1+51&gt;90,BA193,(BA193+IF($B$1+51&lt;=$B193,12*$B$9,-12*MAX(0,$B$8-IF($B$1+51&gt;=$B$23,$B$22,0))*(1+$B$4)^51))*IF(BA193+IF($B$1+51&lt;=$B193,12*$B$9,-12*MAX(0,$B$8-IF($B$1+51&gt;=$B$23,$B$22,0))*(1+$B$4)^51)&gt;0,1+$B$3,1))</f>
        <v/>
      </c>
      <c r="BC193">
        <f>IF($B$1+52&gt;90,BB193,(BB193+IF($B$1+52&lt;=$B193,12*$B$9,-12*MAX(0,$B$8-IF($B$1+52&gt;=$B$23,$B$22,0))*(1+$B$4)^52))*IF(BB193+IF($B$1+52&lt;=$B193,12*$B$9,-12*MAX(0,$B$8-IF($B$1+52&gt;=$B$23,$B$22,0))*(1+$B$4)^52)&gt;0,1+$B$3,1))</f>
        <v/>
      </c>
      <c r="BD193">
        <f>IF($B$1+53&gt;90,BC193,(BC193+IF($B$1+53&lt;=$B193,12*$B$9,-12*MAX(0,$B$8-IF($B$1+53&gt;=$B$23,$B$22,0))*(1+$B$4)^53))*IF(BC193+IF($B$1+53&lt;=$B193,12*$B$9,-12*MAX(0,$B$8-IF($B$1+53&gt;=$B$23,$B$22,0))*(1+$B$4)^53)&gt;0,1+$B$3,1))</f>
        <v/>
      </c>
      <c r="BE193">
        <f>IF($B$1+54&gt;90,BD193,(BD193+IF($B$1+54&lt;=$B193,12*$B$9,-12*MAX(0,$B$8-IF($B$1+54&gt;=$B$23,$B$22,0))*(1+$B$4)^54))*IF(BD193+IF($B$1+54&lt;=$B193,12*$B$9,-12*MAX(0,$B$8-IF($B$1+54&gt;=$B$23,$B$22,0))*(1+$B$4)^54)&gt;0,1+$B$3,1))</f>
        <v/>
      </c>
      <c r="BF193">
        <f>IF($B$1+55&gt;90,BE193,(BE193+IF($B$1+55&lt;=$B193,12*$B$9,-12*MAX(0,$B$8-IF($B$1+55&gt;=$B$23,$B$22,0))*(1+$B$4)^55))*IF(BE193+IF($B$1+55&lt;=$B193,12*$B$9,-12*MAX(0,$B$8-IF($B$1+55&gt;=$B$23,$B$22,0))*(1+$B$4)^55)&gt;0,1+$B$3,1))</f>
        <v/>
      </c>
      <c r="BG193">
        <f>IF($B$1+56&gt;90,BF193,(BF193+IF($B$1+56&lt;=$B193,12*$B$9,-12*MAX(0,$B$8-IF($B$1+56&gt;=$B$23,$B$22,0))*(1+$B$4)^56))*IF(BF193+IF($B$1+56&lt;=$B193,12*$B$9,-12*MAX(0,$B$8-IF($B$1+56&gt;=$B$23,$B$22,0))*(1+$B$4)^56)&gt;0,1+$B$3,1))</f>
        <v/>
      </c>
      <c r="BH193">
        <f>IF($B$1+57&gt;90,BG193,(BG193+IF($B$1+57&lt;=$B193,12*$B$9,-12*MAX(0,$B$8-IF($B$1+57&gt;=$B$23,$B$22,0))*(1+$B$4)^57))*IF(BG193+IF($B$1+57&lt;=$B193,12*$B$9,-12*MAX(0,$B$8-IF($B$1+57&gt;=$B$23,$B$22,0))*(1+$B$4)^57)&gt;0,1+$B$3,1))</f>
        <v/>
      </c>
      <c r="BI193">
        <f>IF($B$1+58&gt;90,BH193,(BH193+IF($B$1+58&lt;=$B193,12*$B$9,-12*MAX(0,$B$8-IF($B$1+58&gt;=$B$23,$B$22,0))*(1+$B$4)^58))*IF(BH193+IF($B$1+58&lt;=$B193,12*$B$9,-12*MAX(0,$B$8-IF($B$1+58&gt;=$B$23,$B$22,0))*(1+$B$4)^58)&gt;0,1+$B$3,1))</f>
        <v/>
      </c>
      <c r="BJ193">
        <f>IF($B$1+59&gt;90,BI193,(BI193+IF($B$1+59&lt;=$B193,12*$B$9,-12*MAX(0,$B$8-IF($B$1+59&gt;=$B$23,$B$22,0))*(1+$B$4)^59))*IF(BI193+IF($B$1+59&lt;=$B193,12*$B$9,-12*MAX(0,$B$8-IF($B$1+59&gt;=$B$23,$B$22,0))*(1+$B$4)^59)&gt;0,1+$B$3,1))</f>
        <v/>
      </c>
      <c r="BK193">
        <f>IF($B$1+60&gt;90,BJ193,(BJ193+IF($B$1+60&lt;=$B193,12*$B$9,-12*MAX(0,$B$8-IF($B$1+60&gt;=$B$23,$B$22,0))*(1+$B$4)^60))*IF(BJ193+IF($B$1+60&lt;=$B193,12*$B$9,-12*MAX(0,$B$8-IF($B$1+60&gt;=$B$23,$B$22,0))*(1+$B$4)^60)&gt;0,1+$B$3,1))</f>
        <v/>
      </c>
      <c r="BL193">
        <f>IF($B$1+61&gt;90,BK193,(BK193+IF($B$1+61&lt;=$B193,12*$B$9,-12*MAX(0,$B$8-IF($B$1+61&gt;=$B$23,$B$22,0))*(1+$B$4)^61))*IF(BK193+IF($B$1+61&lt;=$B193,12*$B$9,-12*MAX(0,$B$8-IF($B$1+61&gt;=$B$23,$B$22,0))*(1+$B$4)^61)&gt;0,1+$B$3,1))</f>
        <v/>
      </c>
      <c r="BM193">
        <f>IF($B$1+62&gt;90,BL193,(BL193+IF($B$1+62&lt;=$B193,12*$B$9,-12*MAX(0,$B$8-IF($B$1+62&gt;=$B$23,$B$22,0))*(1+$B$4)^62))*IF(BL193+IF($B$1+62&lt;=$B193,12*$B$9,-12*MAX(0,$B$8-IF($B$1+62&gt;=$B$23,$B$22,0))*(1+$B$4)^62)&gt;0,1+$B$3,1))</f>
        <v/>
      </c>
      <c r="BN193">
        <f>IF($B$1+63&gt;90,BM193,(BM193+IF($B$1+63&lt;=$B193,12*$B$9,-12*MAX(0,$B$8-IF($B$1+63&gt;=$B$23,$B$22,0))*(1+$B$4)^63))*IF(BM193+IF($B$1+63&lt;=$B193,12*$B$9,-12*MAX(0,$B$8-IF($B$1+63&gt;=$B$23,$B$22,0))*(1+$B$4)^63)&gt;0,1+$B$3,1))</f>
        <v/>
      </c>
      <c r="BO193">
        <f>IF($B$1+64&gt;90,BN193,(BN193+IF($B$1+64&lt;=$B193,12*$B$9,-12*MAX(0,$B$8-IF($B$1+64&gt;=$B$23,$B$22,0))*(1+$B$4)^64))*IF(BN193+IF($B$1+64&lt;=$B193,12*$B$9,-12*MAX(0,$B$8-IF($B$1+64&gt;=$B$23,$B$22,0))*(1+$B$4)^64)&gt;0,1+$B$3,1))</f>
        <v/>
      </c>
      <c r="BP193">
        <f>IF($B$1+65&gt;90,BO193,(BO193+IF($B$1+65&lt;=$B193,12*$B$9,-12*MAX(0,$B$8-IF($B$1+65&gt;=$B$23,$B$22,0))*(1+$B$4)^65))*IF(BO193+IF($B$1+65&lt;=$B193,12*$B$9,-12*MAX(0,$B$8-IF($B$1+65&gt;=$B$23,$B$22,0))*(1+$B$4)^65)&gt;0,1+$B$3,1))</f>
        <v/>
      </c>
      <c r="BQ193">
        <f>IF($B$1+66&gt;90,BP193,(BP193+IF($B$1+66&lt;=$B193,12*$B$9,-12*MAX(0,$B$8-IF($B$1+66&gt;=$B$23,$B$22,0))*(1+$B$4)^66))*IF(BP193+IF($B$1+66&lt;=$B193,12*$B$9,-12*MAX(0,$B$8-IF($B$1+66&gt;=$B$23,$B$22,0))*(1+$B$4)^66)&gt;0,1+$B$3,1))</f>
        <v/>
      </c>
      <c r="BR193">
        <f>IF($B$1+67&gt;90,BQ193,(BQ193+IF($B$1+67&lt;=$B193,12*$B$9,-12*MAX(0,$B$8-IF($B$1+67&gt;=$B$23,$B$22,0))*(1+$B$4)^67))*IF(BQ193+IF($B$1+67&lt;=$B193,12*$B$9,-12*MAX(0,$B$8-IF($B$1+67&gt;=$B$23,$B$22,0))*(1+$B$4)^67)&gt;0,1+$B$3,1))</f>
        <v/>
      </c>
      <c r="BS193">
        <f>IF($B$1+68&gt;90,BR193,(BR193+IF($B$1+68&lt;=$B193,12*$B$9,-12*MAX(0,$B$8-IF($B$1+68&gt;=$B$23,$B$22,0))*(1+$B$4)^68))*IF(BR193+IF($B$1+68&lt;=$B193,12*$B$9,-12*MAX(0,$B$8-IF($B$1+68&gt;=$B$23,$B$22,0))*(1+$B$4)^68)&gt;0,1+$B$3,1))</f>
        <v/>
      </c>
      <c r="BT193">
        <f>IF($B$1+69&gt;90,BS193,(BS193+IF($B$1+69&lt;=$B193,12*$B$9,-12*MAX(0,$B$8-IF($B$1+69&gt;=$B$23,$B$22,0))*(1+$B$4)^69))*IF(BS193+IF($B$1+69&lt;=$B193,12*$B$9,-12*MAX(0,$B$8-IF($B$1+69&gt;=$B$23,$B$22,0))*(1+$B$4)^69)&gt;0,1+$B$3,1))</f>
        <v/>
      </c>
      <c r="BU193">
        <f>IF($B$1+70&gt;90,BT193,(BT193+IF($B$1+70&lt;=$B193,12*$B$9,-12*MAX(0,$B$8-IF($B$1+70&gt;=$B$23,$B$22,0))*(1+$B$4)^70))*IF(BT193+IF($B$1+70&lt;=$B193,12*$B$9,-12*MAX(0,$B$8-IF($B$1+70&gt;=$B$23,$B$22,0))*(1+$B$4)^70)&gt;0,1+$B$3,1))</f>
        <v/>
      </c>
      <c r="BV193">
        <f>BU193</f>
        <v/>
      </c>
      <c r="BW193">
        <f>IF(AND($B193&lt;=70,BV193&gt;0),$B193,999)</f>
        <v/>
      </c>
      <c r="CH193">
        <f>IF(ISTEXT('월 가계부'!A193),SUBSTITUTE(SUBSTITUTE(SUBSTITUTE(SUBSTITUTE(SUBSTITUTE(SUBSTITUTE(SUBSTITUTE(SUBSTITUTE(SUBSTITUTE(TRIM('월 가계부'!A193),"년","-"),"월","-"),"일",""),".","-"),"/","-")," ","-"),"--","-"),"--","-"),"--","-")&amp;"-","")</f>
        <v/>
      </c>
      <c r="CI193">
        <f>IFERROR(IF('월 가계부'!A193="","",IF(ISNUMBER('월 가계부'!A193),IF(AND('월 가계부'!A193&gt;=19000101,'월 가계부'!A193&lt;=21001231),IF(AND(MOD(INT('월 가계부'!A193/100),100)&gt;=1,MOD(INT('월 가계부'!A193/100),100)&lt;=12,MOD(INT('월 가계부'!A193),100)&gt;=1,MOD(INT('월 가계부'!A193),100)&lt;=31),IF(MONTH(DATE(INT('월 가계부'!A193/10000),MOD(INT('월 가계부'!A193/100),100),MOD(INT('월 가계부'!A193),100)))=MOD(INT('월 가계부'!A193/100),100),DATE(INT('월 가계부'!A193/10000),MOD(INT('월 가계부'!A193/100),100),MOD(INT('월 가계부'!A193),100)),""),""),IF(AND('월 가계부'!A193&gt;=36526,'월 가계부'!A193&lt;73051),INT('월 가계부'!A193),"")),IF(OR(CM193="",CN193="",CO193=""),"",IF(AND(CM193&gt;=2000,CM193&lt;=2099,CN193&gt;=1,CN193&lt;=12,CO193&gt;=1,CO193&lt;=31),IF(MONTH(DATE(CM193,CN193,CO193))=CN193,DATE(CM193,CN193,CO193),""),"")))),"")</f>
        <v/>
      </c>
      <c r="CJ193">
        <f>IFERROR(IF('월 가계부'!C193="","",IF(ISNUMBER('월 가계부'!C193),'월 가계부'!C193,VALUE(SUBSTITUTE(SUBSTITUTE(SUBSTITUTE(SUBSTITUTE(TRIM('월 가계부'!C193),",",""),"원","")," ",""),"−","-")))),"")</f>
        <v/>
      </c>
      <c r="CK193">
        <f>IF(ISNUMBER(CI193),IF(CI193&lt;$B$13,CI193,""),"")</f>
        <v/>
      </c>
      <c r="CM193">
        <f>IF(CH193="","",IFERROR(IF(IF(AND(LEN(CH193)=9,ISERROR(FIND("-",LEFT(CH193,8))),ISNUMBER(-LEFT(CH193,8))),VALUE(LEFT(CH193,4)),VALUE(LEFT(CH193,FIND("-",CH193)-1)))&lt;100,IF(AND(LEN(CH193)=9,ISERROR(FIND("-",LEFT(CH193,8))),ISNUMBER(-LEFT(CH193,8))),VALUE(LEFT(CH193,4)),VALUE(LEFT(CH193,FIND("-",CH193)-1)))+2000,IF(AND(LEN(CH193)=9,ISERROR(FIND("-",LEFT(CH193,8))),ISNUMBER(-LEFT(CH193,8))),VALUE(LEFT(CH193,4)),VALUE(LEFT(CH193,FIND("-",CH193)-1)))),""))</f>
        <v/>
      </c>
      <c r="CN193">
        <f>IF(CH193="","",IFERROR(IF(AND(LEN(CH193)=9,ISERROR(FIND("-",LEFT(CH193,8))),ISNUMBER(-LEFT(CH193,8))),VALUE(MID(CH193,5,2)),VALUE(MID(CH193,FIND("-",CH193)+1,FIND("-",CH193,FIND("-",CH193)+1)-FIND("-",CH193)-1))),""))</f>
        <v/>
      </c>
      <c r="CO193">
        <f>IF(CH193="","",IFERROR(IF(AND(LEN(CH193)=9,ISERROR(FIND("-",LEFT(CH193,8))),ISNUMBER(-LEFT(CH193,8))),VALUE(MID(CH193,7,2)),VALUE(MID(CH193,FIND("-",CH193,FIND("-",CH193)+1)+1,FIND("-",CH193,FIND("-",CH193,FIND("-",CH193)+1)+1)-FIND("-",CH193,FIND("-",CH193)+1)-1))),""))</f>
        <v/>
      </c>
    </row>
    <row r="194">
      <c r="A194" t="n">
        <v>42</v>
      </c>
      <c r="B194">
        <f>$B$1+42</f>
        <v/>
      </c>
      <c r="C194">
        <f>$B$2</f>
        <v/>
      </c>
      <c r="D194">
        <f>IF($B$1+1&gt;90,C194,(C194+IF($B$1+1&lt;=$B194,12*$B$9,-12*MAX(0,$B$8-IF($B$1+1&gt;=$B$23,$B$22,0))*(1+$B$4)^1))*IF(C194+IF($B$1+1&lt;=$B194,12*$B$9,-12*MAX(0,$B$8-IF($B$1+1&gt;=$B$23,$B$22,0))*(1+$B$4)^1)&gt;0,1+$B$3,1))</f>
        <v/>
      </c>
      <c r="E194">
        <f>IF($B$1+2&gt;90,D194,(D194+IF($B$1+2&lt;=$B194,12*$B$9,-12*MAX(0,$B$8-IF($B$1+2&gt;=$B$23,$B$22,0))*(1+$B$4)^2))*IF(D194+IF($B$1+2&lt;=$B194,12*$B$9,-12*MAX(0,$B$8-IF($B$1+2&gt;=$B$23,$B$22,0))*(1+$B$4)^2)&gt;0,1+$B$3,1))</f>
        <v/>
      </c>
      <c r="F194">
        <f>IF($B$1+3&gt;90,E194,(E194+IF($B$1+3&lt;=$B194,12*$B$9,-12*MAX(0,$B$8-IF($B$1+3&gt;=$B$23,$B$22,0))*(1+$B$4)^3))*IF(E194+IF($B$1+3&lt;=$B194,12*$B$9,-12*MAX(0,$B$8-IF($B$1+3&gt;=$B$23,$B$22,0))*(1+$B$4)^3)&gt;0,1+$B$3,1))</f>
        <v/>
      </c>
      <c r="G194">
        <f>IF($B$1+4&gt;90,F194,(F194+IF($B$1+4&lt;=$B194,12*$B$9,-12*MAX(0,$B$8-IF($B$1+4&gt;=$B$23,$B$22,0))*(1+$B$4)^4))*IF(F194+IF($B$1+4&lt;=$B194,12*$B$9,-12*MAX(0,$B$8-IF($B$1+4&gt;=$B$23,$B$22,0))*(1+$B$4)^4)&gt;0,1+$B$3,1))</f>
        <v/>
      </c>
      <c r="H194">
        <f>IF($B$1+5&gt;90,G194,(G194+IF($B$1+5&lt;=$B194,12*$B$9,-12*MAX(0,$B$8-IF($B$1+5&gt;=$B$23,$B$22,0))*(1+$B$4)^5))*IF(G194+IF($B$1+5&lt;=$B194,12*$B$9,-12*MAX(0,$B$8-IF($B$1+5&gt;=$B$23,$B$22,0))*(1+$B$4)^5)&gt;0,1+$B$3,1))</f>
        <v/>
      </c>
      <c r="I194">
        <f>IF($B$1+6&gt;90,H194,(H194+IF($B$1+6&lt;=$B194,12*$B$9,-12*MAX(0,$B$8-IF($B$1+6&gt;=$B$23,$B$22,0))*(1+$B$4)^6))*IF(H194+IF($B$1+6&lt;=$B194,12*$B$9,-12*MAX(0,$B$8-IF($B$1+6&gt;=$B$23,$B$22,0))*(1+$B$4)^6)&gt;0,1+$B$3,1))</f>
        <v/>
      </c>
      <c r="J194">
        <f>IF($B$1+7&gt;90,I194,(I194+IF($B$1+7&lt;=$B194,12*$B$9,-12*MAX(0,$B$8-IF($B$1+7&gt;=$B$23,$B$22,0))*(1+$B$4)^7))*IF(I194+IF($B$1+7&lt;=$B194,12*$B$9,-12*MAX(0,$B$8-IF($B$1+7&gt;=$B$23,$B$22,0))*(1+$B$4)^7)&gt;0,1+$B$3,1))</f>
        <v/>
      </c>
      <c r="K194">
        <f>IF($B$1+8&gt;90,J194,(J194+IF($B$1+8&lt;=$B194,12*$B$9,-12*MAX(0,$B$8-IF($B$1+8&gt;=$B$23,$B$22,0))*(1+$B$4)^8))*IF(J194+IF($B$1+8&lt;=$B194,12*$B$9,-12*MAX(0,$B$8-IF($B$1+8&gt;=$B$23,$B$22,0))*(1+$B$4)^8)&gt;0,1+$B$3,1))</f>
        <v/>
      </c>
      <c r="L194">
        <f>IF($B$1+9&gt;90,K194,(K194+IF($B$1+9&lt;=$B194,12*$B$9,-12*MAX(0,$B$8-IF($B$1+9&gt;=$B$23,$B$22,0))*(1+$B$4)^9))*IF(K194+IF($B$1+9&lt;=$B194,12*$B$9,-12*MAX(0,$B$8-IF($B$1+9&gt;=$B$23,$B$22,0))*(1+$B$4)^9)&gt;0,1+$B$3,1))</f>
        <v/>
      </c>
      <c r="M194">
        <f>IF($B$1+10&gt;90,L194,(L194+IF($B$1+10&lt;=$B194,12*$B$9,-12*MAX(0,$B$8-IF($B$1+10&gt;=$B$23,$B$22,0))*(1+$B$4)^10))*IF(L194+IF($B$1+10&lt;=$B194,12*$B$9,-12*MAX(0,$B$8-IF($B$1+10&gt;=$B$23,$B$22,0))*(1+$B$4)^10)&gt;0,1+$B$3,1))</f>
        <v/>
      </c>
      <c r="N194">
        <f>IF($B$1+11&gt;90,M194,(M194+IF($B$1+11&lt;=$B194,12*$B$9,-12*MAX(0,$B$8-IF($B$1+11&gt;=$B$23,$B$22,0))*(1+$B$4)^11))*IF(M194+IF($B$1+11&lt;=$B194,12*$B$9,-12*MAX(0,$B$8-IF($B$1+11&gt;=$B$23,$B$22,0))*(1+$B$4)^11)&gt;0,1+$B$3,1))</f>
        <v/>
      </c>
      <c r="O194">
        <f>IF($B$1+12&gt;90,N194,(N194+IF($B$1+12&lt;=$B194,12*$B$9,-12*MAX(0,$B$8-IF($B$1+12&gt;=$B$23,$B$22,0))*(1+$B$4)^12))*IF(N194+IF($B$1+12&lt;=$B194,12*$B$9,-12*MAX(0,$B$8-IF($B$1+12&gt;=$B$23,$B$22,0))*(1+$B$4)^12)&gt;0,1+$B$3,1))</f>
        <v/>
      </c>
      <c r="P194">
        <f>IF($B$1+13&gt;90,O194,(O194+IF($B$1+13&lt;=$B194,12*$B$9,-12*MAX(0,$B$8-IF($B$1+13&gt;=$B$23,$B$22,0))*(1+$B$4)^13))*IF(O194+IF($B$1+13&lt;=$B194,12*$B$9,-12*MAX(0,$B$8-IF($B$1+13&gt;=$B$23,$B$22,0))*(1+$B$4)^13)&gt;0,1+$B$3,1))</f>
        <v/>
      </c>
      <c r="Q194">
        <f>IF($B$1+14&gt;90,P194,(P194+IF($B$1+14&lt;=$B194,12*$B$9,-12*MAX(0,$B$8-IF($B$1+14&gt;=$B$23,$B$22,0))*(1+$B$4)^14))*IF(P194+IF($B$1+14&lt;=$B194,12*$B$9,-12*MAX(0,$B$8-IF($B$1+14&gt;=$B$23,$B$22,0))*(1+$B$4)^14)&gt;0,1+$B$3,1))</f>
        <v/>
      </c>
      <c r="R194">
        <f>IF($B$1+15&gt;90,Q194,(Q194+IF($B$1+15&lt;=$B194,12*$B$9,-12*MAX(0,$B$8-IF($B$1+15&gt;=$B$23,$B$22,0))*(1+$B$4)^15))*IF(Q194+IF($B$1+15&lt;=$B194,12*$B$9,-12*MAX(0,$B$8-IF($B$1+15&gt;=$B$23,$B$22,0))*(1+$B$4)^15)&gt;0,1+$B$3,1))</f>
        <v/>
      </c>
      <c r="S194">
        <f>IF($B$1+16&gt;90,R194,(R194+IF($B$1+16&lt;=$B194,12*$B$9,-12*MAX(0,$B$8-IF($B$1+16&gt;=$B$23,$B$22,0))*(1+$B$4)^16))*IF(R194+IF($B$1+16&lt;=$B194,12*$B$9,-12*MAX(0,$B$8-IF($B$1+16&gt;=$B$23,$B$22,0))*(1+$B$4)^16)&gt;0,1+$B$3,1))</f>
        <v/>
      </c>
      <c r="T194">
        <f>IF($B$1+17&gt;90,S194,(S194+IF($B$1+17&lt;=$B194,12*$B$9,-12*MAX(0,$B$8-IF($B$1+17&gt;=$B$23,$B$22,0))*(1+$B$4)^17))*IF(S194+IF($B$1+17&lt;=$B194,12*$B$9,-12*MAX(0,$B$8-IF($B$1+17&gt;=$B$23,$B$22,0))*(1+$B$4)^17)&gt;0,1+$B$3,1))</f>
        <v/>
      </c>
      <c r="U194">
        <f>IF($B$1+18&gt;90,T194,(T194+IF($B$1+18&lt;=$B194,12*$B$9,-12*MAX(0,$B$8-IF($B$1+18&gt;=$B$23,$B$22,0))*(1+$B$4)^18))*IF(T194+IF($B$1+18&lt;=$B194,12*$B$9,-12*MAX(0,$B$8-IF($B$1+18&gt;=$B$23,$B$22,0))*(1+$B$4)^18)&gt;0,1+$B$3,1))</f>
        <v/>
      </c>
      <c r="V194">
        <f>IF($B$1+19&gt;90,U194,(U194+IF($B$1+19&lt;=$B194,12*$B$9,-12*MAX(0,$B$8-IF($B$1+19&gt;=$B$23,$B$22,0))*(1+$B$4)^19))*IF(U194+IF($B$1+19&lt;=$B194,12*$B$9,-12*MAX(0,$B$8-IF($B$1+19&gt;=$B$23,$B$22,0))*(1+$B$4)^19)&gt;0,1+$B$3,1))</f>
        <v/>
      </c>
      <c r="W194">
        <f>IF($B$1+20&gt;90,V194,(V194+IF($B$1+20&lt;=$B194,12*$B$9,-12*MAX(0,$B$8-IF($B$1+20&gt;=$B$23,$B$22,0))*(1+$B$4)^20))*IF(V194+IF($B$1+20&lt;=$B194,12*$B$9,-12*MAX(0,$B$8-IF($B$1+20&gt;=$B$23,$B$22,0))*(1+$B$4)^20)&gt;0,1+$B$3,1))</f>
        <v/>
      </c>
      <c r="X194">
        <f>IF($B$1+21&gt;90,W194,(W194+IF($B$1+21&lt;=$B194,12*$B$9,-12*MAX(0,$B$8-IF($B$1+21&gt;=$B$23,$B$22,0))*(1+$B$4)^21))*IF(W194+IF($B$1+21&lt;=$B194,12*$B$9,-12*MAX(0,$B$8-IF($B$1+21&gt;=$B$23,$B$22,0))*(1+$B$4)^21)&gt;0,1+$B$3,1))</f>
        <v/>
      </c>
      <c r="Y194">
        <f>IF($B$1+22&gt;90,X194,(X194+IF($B$1+22&lt;=$B194,12*$B$9,-12*MAX(0,$B$8-IF($B$1+22&gt;=$B$23,$B$22,0))*(1+$B$4)^22))*IF(X194+IF($B$1+22&lt;=$B194,12*$B$9,-12*MAX(0,$B$8-IF($B$1+22&gt;=$B$23,$B$22,0))*(1+$B$4)^22)&gt;0,1+$B$3,1))</f>
        <v/>
      </c>
      <c r="Z194">
        <f>IF($B$1+23&gt;90,Y194,(Y194+IF($B$1+23&lt;=$B194,12*$B$9,-12*MAX(0,$B$8-IF($B$1+23&gt;=$B$23,$B$22,0))*(1+$B$4)^23))*IF(Y194+IF($B$1+23&lt;=$B194,12*$B$9,-12*MAX(0,$B$8-IF($B$1+23&gt;=$B$23,$B$22,0))*(1+$B$4)^23)&gt;0,1+$B$3,1))</f>
        <v/>
      </c>
      <c r="AA194">
        <f>IF($B$1+24&gt;90,Z194,(Z194+IF($B$1+24&lt;=$B194,12*$B$9,-12*MAX(0,$B$8-IF($B$1+24&gt;=$B$23,$B$22,0))*(1+$B$4)^24))*IF(Z194+IF($B$1+24&lt;=$B194,12*$B$9,-12*MAX(0,$B$8-IF($B$1+24&gt;=$B$23,$B$22,0))*(1+$B$4)^24)&gt;0,1+$B$3,1))</f>
        <v/>
      </c>
      <c r="AB194">
        <f>IF($B$1+25&gt;90,AA194,(AA194+IF($B$1+25&lt;=$B194,12*$B$9,-12*MAX(0,$B$8-IF($B$1+25&gt;=$B$23,$B$22,0))*(1+$B$4)^25))*IF(AA194+IF($B$1+25&lt;=$B194,12*$B$9,-12*MAX(0,$B$8-IF($B$1+25&gt;=$B$23,$B$22,0))*(1+$B$4)^25)&gt;0,1+$B$3,1))</f>
        <v/>
      </c>
      <c r="AC194">
        <f>IF($B$1+26&gt;90,AB194,(AB194+IF($B$1+26&lt;=$B194,12*$B$9,-12*MAX(0,$B$8-IF($B$1+26&gt;=$B$23,$B$22,0))*(1+$B$4)^26))*IF(AB194+IF($B$1+26&lt;=$B194,12*$B$9,-12*MAX(0,$B$8-IF($B$1+26&gt;=$B$23,$B$22,0))*(1+$B$4)^26)&gt;0,1+$B$3,1))</f>
        <v/>
      </c>
      <c r="AD194">
        <f>IF($B$1+27&gt;90,AC194,(AC194+IF($B$1+27&lt;=$B194,12*$B$9,-12*MAX(0,$B$8-IF($B$1+27&gt;=$B$23,$B$22,0))*(1+$B$4)^27))*IF(AC194+IF($B$1+27&lt;=$B194,12*$B$9,-12*MAX(0,$B$8-IF($B$1+27&gt;=$B$23,$B$22,0))*(1+$B$4)^27)&gt;0,1+$B$3,1))</f>
        <v/>
      </c>
      <c r="AE194">
        <f>IF($B$1+28&gt;90,AD194,(AD194+IF($B$1+28&lt;=$B194,12*$B$9,-12*MAX(0,$B$8-IF($B$1+28&gt;=$B$23,$B$22,0))*(1+$B$4)^28))*IF(AD194+IF($B$1+28&lt;=$B194,12*$B$9,-12*MAX(0,$B$8-IF($B$1+28&gt;=$B$23,$B$22,0))*(1+$B$4)^28)&gt;0,1+$B$3,1))</f>
        <v/>
      </c>
      <c r="AF194">
        <f>IF($B$1+29&gt;90,AE194,(AE194+IF($B$1+29&lt;=$B194,12*$B$9,-12*MAX(0,$B$8-IF($B$1+29&gt;=$B$23,$B$22,0))*(1+$B$4)^29))*IF(AE194+IF($B$1+29&lt;=$B194,12*$B$9,-12*MAX(0,$B$8-IF($B$1+29&gt;=$B$23,$B$22,0))*(1+$B$4)^29)&gt;0,1+$B$3,1))</f>
        <v/>
      </c>
      <c r="AG194">
        <f>IF($B$1+30&gt;90,AF194,(AF194+IF($B$1+30&lt;=$B194,12*$B$9,-12*MAX(0,$B$8-IF($B$1+30&gt;=$B$23,$B$22,0))*(1+$B$4)^30))*IF(AF194+IF($B$1+30&lt;=$B194,12*$B$9,-12*MAX(0,$B$8-IF($B$1+30&gt;=$B$23,$B$22,0))*(1+$B$4)^30)&gt;0,1+$B$3,1))</f>
        <v/>
      </c>
      <c r="AH194">
        <f>IF($B$1+31&gt;90,AG194,(AG194+IF($B$1+31&lt;=$B194,12*$B$9,-12*MAX(0,$B$8-IF($B$1+31&gt;=$B$23,$B$22,0))*(1+$B$4)^31))*IF(AG194+IF($B$1+31&lt;=$B194,12*$B$9,-12*MAX(0,$B$8-IF($B$1+31&gt;=$B$23,$B$22,0))*(1+$B$4)^31)&gt;0,1+$B$3,1))</f>
        <v/>
      </c>
      <c r="AI194">
        <f>IF($B$1+32&gt;90,AH194,(AH194+IF($B$1+32&lt;=$B194,12*$B$9,-12*MAX(0,$B$8-IF($B$1+32&gt;=$B$23,$B$22,0))*(1+$B$4)^32))*IF(AH194+IF($B$1+32&lt;=$B194,12*$B$9,-12*MAX(0,$B$8-IF($B$1+32&gt;=$B$23,$B$22,0))*(1+$B$4)^32)&gt;0,1+$B$3,1))</f>
        <v/>
      </c>
      <c r="AJ194">
        <f>IF($B$1+33&gt;90,AI194,(AI194+IF($B$1+33&lt;=$B194,12*$B$9,-12*MAX(0,$B$8-IF($B$1+33&gt;=$B$23,$B$22,0))*(1+$B$4)^33))*IF(AI194+IF($B$1+33&lt;=$B194,12*$B$9,-12*MAX(0,$B$8-IF($B$1+33&gt;=$B$23,$B$22,0))*(1+$B$4)^33)&gt;0,1+$B$3,1))</f>
        <v/>
      </c>
      <c r="AK194">
        <f>IF($B$1+34&gt;90,AJ194,(AJ194+IF($B$1+34&lt;=$B194,12*$B$9,-12*MAX(0,$B$8-IF($B$1+34&gt;=$B$23,$B$22,0))*(1+$B$4)^34))*IF(AJ194+IF($B$1+34&lt;=$B194,12*$B$9,-12*MAX(0,$B$8-IF($B$1+34&gt;=$B$23,$B$22,0))*(1+$B$4)^34)&gt;0,1+$B$3,1))</f>
        <v/>
      </c>
      <c r="AL194">
        <f>IF($B$1+35&gt;90,AK194,(AK194+IF($B$1+35&lt;=$B194,12*$B$9,-12*MAX(0,$B$8-IF($B$1+35&gt;=$B$23,$B$22,0))*(1+$B$4)^35))*IF(AK194+IF($B$1+35&lt;=$B194,12*$B$9,-12*MAX(0,$B$8-IF($B$1+35&gt;=$B$23,$B$22,0))*(1+$B$4)^35)&gt;0,1+$B$3,1))</f>
        <v/>
      </c>
      <c r="AM194">
        <f>IF($B$1+36&gt;90,AL194,(AL194+IF($B$1+36&lt;=$B194,12*$B$9,-12*MAX(0,$B$8-IF($B$1+36&gt;=$B$23,$B$22,0))*(1+$B$4)^36))*IF(AL194+IF($B$1+36&lt;=$B194,12*$B$9,-12*MAX(0,$B$8-IF($B$1+36&gt;=$B$23,$B$22,0))*(1+$B$4)^36)&gt;0,1+$B$3,1))</f>
        <v/>
      </c>
      <c r="AN194">
        <f>IF($B$1+37&gt;90,AM194,(AM194+IF($B$1+37&lt;=$B194,12*$B$9,-12*MAX(0,$B$8-IF($B$1+37&gt;=$B$23,$B$22,0))*(1+$B$4)^37))*IF(AM194+IF($B$1+37&lt;=$B194,12*$B$9,-12*MAX(0,$B$8-IF($B$1+37&gt;=$B$23,$B$22,0))*(1+$B$4)^37)&gt;0,1+$B$3,1))</f>
        <v/>
      </c>
      <c r="AO194">
        <f>IF($B$1+38&gt;90,AN194,(AN194+IF($B$1+38&lt;=$B194,12*$B$9,-12*MAX(0,$B$8-IF($B$1+38&gt;=$B$23,$B$22,0))*(1+$B$4)^38))*IF(AN194+IF($B$1+38&lt;=$B194,12*$B$9,-12*MAX(0,$B$8-IF($B$1+38&gt;=$B$23,$B$22,0))*(1+$B$4)^38)&gt;0,1+$B$3,1))</f>
        <v/>
      </c>
      <c r="AP194">
        <f>IF($B$1+39&gt;90,AO194,(AO194+IF($B$1+39&lt;=$B194,12*$B$9,-12*MAX(0,$B$8-IF($B$1+39&gt;=$B$23,$B$22,0))*(1+$B$4)^39))*IF(AO194+IF($B$1+39&lt;=$B194,12*$B$9,-12*MAX(0,$B$8-IF($B$1+39&gt;=$B$23,$B$22,0))*(1+$B$4)^39)&gt;0,1+$B$3,1))</f>
        <v/>
      </c>
      <c r="AQ194">
        <f>IF($B$1+40&gt;90,AP194,(AP194+IF($B$1+40&lt;=$B194,12*$B$9,-12*MAX(0,$B$8-IF($B$1+40&gt;=$B$23,$B$22,0))*(1+$B$4)^40))*IF(AP194+IF($B$1+40&lt;=$B194,12*$B$9,-12*MAX(0,$B$8-IF($B$1+40&gt;=$B$23,$B$22,0))*(1+$B$4)^40)&gt;0,1+$B$3,1))</f>
        <v/>
      </c>
      <c r="AR194">
        <f>IF($B$1+41&gt;90,AQ194,(AQ194+IF($B$1+41&lt;=$B194,12*$B$9,-12*MAX(0,$B$8-IF($B$1+41&gt;=$B$23,$B$22,0))*(1+$B$4)^41))*IF(AQ194+IF($B$1+41&lt;=$B194,12*$B$9,-12*MAX(0,$B$8-IF($B$1+41&gt;=$B$23,$B$22,0))*(1+$B$4)^41)&gt;0,1+$B$3,1))</f>
        <v/>
      </c>
      <c r="AS194">
        <f>IF($B$1+42&gt;90,AR194,(AR194+IF($B$1+42&lt;=$B194,12*$B$9,-12*MAX(0,$B$8-IF($B$1+42&gt;=$B$23,$B$22,0))*(1+$B$4)^42))*IF(AR194+IF($B$1+42&lt;=$B194,12*$B$9,-12*MAX(0,$B$8-IF($B$1+42&gt;=$B$23,$B$22,0))*(1+$B$4)^42)&gt;0,1+$B$3,1))</f>
        <v/>
      </c>
      <c r="AT194">
        <f>IF($B$1+43&gt;90,AS194,(AS194+IF($B$1+43&lt;=$B194,12*$B$9,-12*MAX(0,$B$8-IF($B$1+43&gt;=$B$23,$B$22,0))*(1+$B$4)^43))*IF(AS194+IF($B$1+43&lt;=$B194,12*$B$9,-12*MAX(0,$B$8-IF($B$1+43&gt;=$B$23,$B$22,0))*(1+$B$4)^43)&gt;0,1+$B$3,1))</f>
        <v/>
      </c>
      <c r="AU194">
        <f>IF($B$1+44&gt;90,AT194,(AT194+IF($B$1+44&lt;=$B194,12*$B$9,-12*MAX(0,$B$8-IF($B$1+44&gt;=$B$23,$B$22,0))*(1+$B$4)^44))*IF(AT194+IF($B$1+44&lt;=$B194,12*$B$9,-12*MAX(0,$B$8-IF($B$1+44&gt;=$B$23,$B$22,0))*(1+$B$4)^44)&gt;0,1+$B$3,1))</f>
        <v/>
      </c>
      <c r="AV194">
        <f>IF($B$1+45&gt;90,AU194,(AU194+IF($B$1+45&lt;=$B194,12*$B$9,-12*MAX(0,$B$8-IF($B$1+45&gt;=$B$23,$B$22,0))*(1+$B$4)^45))*IF(AU194+IF($B$1+45&lt;=$B194,12*$B$9,-12*MAX(0,$B$8-IF($B$1+45&gt;=$B$23,$B$22,0))*(1+$B$4)^45)&gt;0,1+$B$3,1))</f>
        <v/>
      </c>
      <c r="AW194">
        <f>IF($B$1+46&gt;90,AV194,(AV194+IF($B$1+46&lt;=$B194,12*$B$9,-12*MAX(0,$B$8-IF($B$1+46&gt;=$B$23,$B$22,0))*(1+$B$4)^46))*IF(AV194+IF($B$1+46&lt;=$B194,12*$B$9,-12*MAX(0,$B$8-IF($B$1+46&gt;=$B$23,$B$22,0))*(1+$B$4)^46)&gt;0,1+$B$3,1))</f>
        <v/>
      </c>
      <c r="AX194">
        <f>IF($B$1+47&gt;90,AW194,(AW194+IF($B$1+47&lt;=$B194,12*$B$9,-12*MAX(0,$B$8-IF($B$1+47&gt;=$B$23,$B$22,0))*(1+$B$4)^47))*IF(AW194+IF($B$1+47&lt;=$B194,12*$B$9,-12*MAX(0,$B$8-IF($B$1+47&gt;=$B$23,$B$22,0))*(1+$B$4)^47)&gt;0,1+$B$3,1))</f>
        <v/>
      </c>
      <c r="AY194">
        <f>IF($B$1+48&gt;90,AX194,(AX194+IF($B$1+48&lt;=$B194,12*$B$9,-12*MAX(0,$B$8-IF($B$1+48&gt;=$B$23,$B$22,0))*(1+$B$4)^48))*IF(AX194+IF($B$1+48&lt;=$B194,12*$B$9,-12*MAX(0,$B$8-IF($B$1+48&gt;=$B$23,$B$22,0))*(1+$B$4)^48)&gt;0,1+$B$3,1))</f>
        <v/>
      </c>
      <c r="AZ194">
        <f>IF($B$1+49&gt;90,AY194,(AY194+IF($B$1+49&lt;=$B194,12*$B$9,-12*MAX(0,$B$8-IF($B$1+49&gt;=$B$23,$B$22,0))*(1+$B$4)^49))*IF(AY194+IF($B$1+49&lt;=$B194,12*$B$9,-12*MAX(0,$B$8-IF($B$1+49&gt;=$B$23,$B$22,0))*(1+$B$4)^49)&gt;0,1+$B$3,1))</f>
        <v/>
      </c>
      <c r="BA194">
        <f>IF($B$1+50&gt;90,AZ194,(AZ194+IF($B$1+50&lt;=$B194,12*$B$9,-12*MAX(0,$B$8-IF($B$1+50&gt;=$B$23,$B$22,0))*(1+$B$4)^50))*IF(AZ194+IF($B$1+50&lt;=$B194,12*$B$9,-12*MAX(0,$B$8-IF($B$1+50&gt;=$B$23,$B$22,0))*(1+$B$4)^50)&gt;0,1+$B$3,1))</f>
        <v/>
      </c>
      <c r="BB194">
        <f>IF($B$1+51&gt;90,BA194,(BA194+IF($B$1+51&lt;=$B194,12*$B$9,-12*MAX(0,$B$8-IF($B$1+51&gt;=$B$23,$B$22,0))*(1+$B$4)^51))*IF(BA194+IF($B$1+51&lt;=$B194,12*$B$9,-12*MAX(0,$B$8-IF($B$1+51&gt;=$B$23,$B$22,0))*(1+$B$4)^51)&gt;0,1+$B$3,1))</f>
        <v/>
      </c>
      <c r="BC194">
        <f>IF($B$1+52&gt;90,BB194,(BB194+IF($B$1+52&lt;=$B194,12*$B$9,-12*MAX(0,$B$8-IF($B$1+52&gt;=$B$23,$B$22,0))*(1+$B$4)^52))*IF(BB194+IF($B$1+52&lt;=$B194,12*$B$9,-12*MAX(0,$B$8-IF($B$1+52&gt;=$B$23,$B$22,0))*(1+$B$4)^52)&gt;0,1+$B$3,1))</f>
        <v/>
      </c>
      <c r="BD194">
        <f>IF($B$1+53&gt;90,BC194,(BC194+IF($B$1+53&lt;=$B194,12*$B$9,-12*MAX(0,$B$8-IF($B$1+53&gt;=$B$23,$B$22,0))*(1+$B$4)^53))*IF(BC194+IF($B$1+53&lt;=$B194,12*$B$9,-12*MAX(0,$B$8-IF($B$1+53&gt;=$B$23,$B$22,0))*(1+$B$4)^53)&gt;0,1+$B$3,1))</f>
        <v/>
      </c>
      <c r="BE194">
        <f>IF($B$1+54&gt;90,BD194,(BD194+IF($B$1+54&lt;=$B194,12*$B$9,-12*MAX(0,$B$8-IF($B$1+54&gt;=$B$23,$B$22,0))*(1+$B$4)^54))*IF(BD194+IF($B$1+54&lt;=$B194,12*$B$9,-12*MAX(0,$B$8-IF($B$1+54&gt;=$B$23,$B$22,0))*(1+$B$4)^54)&gt;0,1+$B$3,1))</f>
        <v/>
      </c>
      <c r="BF194">
        <f>IF($B$1+55&gt;90,BE194,(BE194+IF($B$1+55&lt;=$B194,12*$B$9,-12*MAX(0,$B$8-IF($B$1+55&gt;=$B$23,$B$22,0))*(1+$B$4)^55))*IF(BE194+IF($B$1+55&lt;=$B194,12*$B$9,-12*MAX(0,$B$8-IF($B$1+55&gt;=$B$23,$B$22,0))*(1+$B$4)^55)&gt;0,1+$B$3,1))</f>
        <v/>
      </c>
      <c r="BG194">
        <f>IF($B$1+56&gt;90,BF194,(BF194+IF($B$1+56&lt;=$B194,12*$B$9,-12*MAX(0,$B$8-IF($B$1+56&gt;=$B$23,$B$22,0))*(1+$B$4)^56))*IF(BF194+IF($B$1+56&lt;=$B194,12*$B$9,-12*MAX(0,$B$8-IF($B$1+56&gt;=$B$23,$B$22,0))*(1+$B$4)^56)&gt;0,1+$B$3,1))</f>
        <v/>
      </c>
      <c r="BH194">
        <f>IF($B$1+57&gt;90,BG194,(BG194+IF($B$1+57&lt;=$B194,12*$B$9,-12*MAX(0,$B$8-IF($B$1+57&gt;=$B$23,$B$22,0))*(1+$B$4)^57))*IF(BG194+IF($B$1+57&lt;=$B194,12*$B$9,-12*MAX(0,$B$8-IF($B$1+57&gt;=$B$23,$B$22,0))*(1+$B$4)^57)&gt;0,1+$B$3,1))</f>
        <v/>
      </c>
      <c r="BI194">
        <f>IF($B$1+58&gt;90,BH194,(BH194+IF($B$1+58&lt;=$B194,12*$B$9,-12*MAX(0,$B$8-IF($B$1+58&gt;=$B$23,$B$22,0))*(1+$B$4)^58))*IF(BH194+IF($B$1+58&lt;=$B194,12*$B$9,-12*MAX(0,$B$8-IF($B$1+58&gt;=$B$23,$B$22,0))*(1+$B$4)^58)&gt;0,1+$B$3,1))</f>
        <v/>
      </c>
      <c r="BJ194">
        <f>IF($B$1+59&gt;90,BI194,(BI194+IF($B$1+59&lt;=$B194,12*$B$9,-12*MAX(0,$B$8-IF($B$1+59&gt;=$B$23,$B$22,0))*(1+$B$4)^59))*IF(BI194+IF($B$1+59&lt;=$B194,12*$B$9,-12*MAX(0,$B$8-IF($B$1+59&gt;=$B$23,$B$22,0))*(1+$B$4)^59)&gt;0,1+$B$3,1))</f>
        <v/>
      </c>
      <c r="BK194">
        <f>IF($B$1+60&gt;90,BJ194,(BJ194+IF($B$1+60&lt;=$B194,12*$B$9,-12*MAX(0,$B$8-IF($B$1+60&gt;=$B$23,$B$22,0))*(1+$B$4)^60))*IF(BJ194+IF($B$1+60&lt;=$B194,12*$B$9,-12*MAX(0,$B$8-IF($B$1+60&gt;=$B$23,$B$22,0))*(1+$B$4)^60)&gt;0,1+$B$3,1))</f>
        <v/>
      </c>
      <c r="BL194">
        <f>IF($B$1+61&gt;90,BK194,(BK194+IF($B$1+61&lt;=$B194,12*$B$9,-12*MAX(0,$B$8-IF($B$1+61&gt;=$B$23,$B$22,0))*(1+$B$4)^61))*IF(BK194+IF($B$1+61&lt;=$B194,12*$B$9,-12*MAX(0,$B$8-IF($B$1+61&gt;=$B$23,$B$22,0))*(1+$B$4)^61)&gt;0,1+$B$3,1))</f>
        <v/>
      </c>
      <c r="BM194">
        <f>IF($B$1+62&gt;90,BL194,(BL194+IF($B$1+62&lt;=$B194,12*$B$9,-12*MAX(0,$B$8-IF($B$1+62&gt;=$B$23,$B$22,0))*(1+$B$4)^62))*IF(BL194+IF($B$1+62&lt;=$B194,12*$B$9,-12*MAX(0,$B$8-IF($B$1+62&gt;=$B$23,$B$22,0))*(1+$B$4)^62)&gt;0,1+$B$3,1))</f>
        <v/>
      </c>
      <c r="BN194">
        <f>IF($B$1+63&gt;90,BM194,(BM194+IF($B$1+63&lt;=$B194,12*$B$9,-12*MAX(0,$B$8-IF($B$1+63&gt;=$B$23,$B$22,0))*(1+$B$4)^63))*IF(BM194+IF($B$1+63&lt;=$B194,12*$B$9,-12*MAX(0,$B$8-IF($B$1+63&gt;=$B$23,$B$22,0))*(1+$B$4)^63)&gt;0,1+$B$3,1))</f>
        <v/>
      </c>
      <c r="BO194">
        <f>IF($B$1+64&gt;90,BN194,(BN194+IF($B$1+64&lt;=$B194,12*$B$9,-12*MAX(0,$B$8-IF($B$1+64&gt;=$B$23,$B$22,0))*(1+$B$4)^64))*IF(BN194+IF($B$1+64&lt;=$B194,12*$B$9,-12*MAX(0,$B$8-IF($B$1+64&gt;=$B$23,$B$22,0))*(1+$B$4)^64)&gt;0,1+$B$3,1))</f>
        <v/>
      </c>
      <c r="BP194">
        <f>IF($B$1+65&gt;90,BO194,(BO194+IF($B$1+65&lt;=$B194,12*$B$9,-12*MAX(0,$B$8-IF($B$1+65&gt;=$B$23,$B$22,0))*(1+$B$4)^65))*IF(BO194+IF($B$1+65&lt;=$B194,12*$B$9,-12*MAX(0,$B$8-IF($B$1+65&gt;=$B$23,$B$22,0))*(1+$B$4)^65)&gt;0,1+$B$3,1))</f>
        <v/>
      </c>
      <c r="BQ194">
        <f>IF($B$1+66&gt;90,BP194,(BP194+IF($B$1+66&lt;=$B194,12*$B$9,-12*MAX(0,$B$8-IF($B$1+66&gt;=$B$23,$B$22,0))*(1+$B$4)^66))*IF(BP194+IF($B$1+66&lt;=$B194,12*$B$9,-12*MAX(0,$B$8-IF($B$1+66&gt;=$B$23,$B$22,0))*(1+$B$4)^66)&gt;0,1+$B$3,1))</f>
        <v/>
      </c>
      <c r="BR194">
        <f>IF($B$1+67&gt;90,BQ194,(BQ194+IF($B$1+67&lt;=$B194,12*$B$9,-12*MAX(0,$B$8-IF($B$1+67&gt;=$B$23,$B$22,0))*(1+$B$4)^67))*IF(BQ194+IF($B$1+67&lt;=$B194,12*$B$9,-12*MAX(0,$B$8-IF($B$1+67&gt;=$B$23,$B$22,0))*(1+$B$4)^67)&gt;0,1+$B$3,1))</f>
        <v/>
      </c>
      <c r="BS194">
        <f>IF($B$1+68&gt;90,BR194,(BR194+IF($B$1+68&lt;=$B194,12*$B$9,-12*MAX(0,$B$8-IF($B$1+68&gt;=$B$23,$B$22,0))*(1+$B$4)^68))*IF(BR194+IF($B$1+68&lt;=$B194,12*$B$9,-12*MAX(0,$B$8-IF($B$1+68&gt;=$B$23,$B$22,0))*(1+$B$4)^68)&gt;0,1+$B$3,1))</f>
        <v/>
      </c>
      <c r="BT194">
        <f>IF($B$1+69&gt;90,BS194,(BS194+IF($B$1+69&lt;=$B194,12*$B$9,-12*MAX(0,$B$8-IF($B$1+69&gt;=$B$23,$B$22,0))*(1+$B$4)^69))*IF(BS194+IF($B$1+69&lt;=$B194,12*$B$9,-12*MAX(0,$B$8-IF($B$1+69&gt;=$B$23,$B$22,0))*(1+$B$4)^69)&gt;0,1+$B$3,1))</f>
        <v/>
      </c>
      <c r="BU194">
        <f>IF($B$1+70&gt;90,BT194,(BT194+IF($B$1+70&lt;=$B194,12*$B$9,-12*MAX(0,$B$8-IF($B$1+70&gt;=$B$23,$B$22,0))*(1+$B$4)^70))*IF(BT194+IF($B$1+70&lt;=$B194,12*$B$9,-12*MAX(0,$B$8-IF($B$1+70&gt;=$B$23,$B$22,0))*(1+$B$4)^70)&gt;0,1+$B$3,1))</f>
        <v/>
      </c>
      <c r="BV194">
        <f>BU194</f>
        <v/>
      </c>
      <c r="BW194">
        <f>IF(AND($B194&lt;=70,BV194&gt;0),$B194,999)</f>
        <v/>
      </c>
      <c r="CH194">
        <f>IF(ISTEXT('월 가계부'!A194),SUBSTITUTE(SUBSTITUTE(SUBSTITUTE(SUBSTITUTE(SUBSTITUTE(SUBSTITUTE(SUBSTITUTE(SUBSTITUTE(SUBSTITUTE(TRIM('월 가계부'!A194),"년","-"),"월","-"),"일",""),".","-"),"/","-")," ","-"),"--","-"),"--","-"),"--","-")&amp;"-","")</f>
        <v/>
      </c>
      <c r="CI194">
        <f>IFERROR(IF('월 가계부'!A194="","",IF(ISNUMBER('월 가계부'!A194),IF(AND('월 가계부'!A194&gt;=19000101,'월 가계부'!A194&lt;=21001231),IF(AND(MOD(INT('월 가계부'!A194/100),100)&gt;=1,MOD(INT('월 가계부'!A194/100),100)&lt;=12,MOD(INT('월 가계부'!A194),100)&gt;=1,MOD(INT('월 가계부'!A194),100)&lt;=31),IF(MONTH(DATE(INT('월 가계부'!A194/10000),MOD(INT('월 가계부'!A194/100),100),MOD(INT('월 가계부'!A194),100)))=MOD(INT('월 가계부'!A194/100),100),DATE(INT('월 가계부'!A194/10000),MOD(INT('월 가계부'!A194/100),100),MOD(INT('월 가계부'!A194),100)),""),""),IF(AND('월 가계부'!A194&gt;=36526,'월 가계부'!A194&lt;73051),INT('월 가계부'!A194),"")),IF(OR(CM194="",CN194="",CO194=""),"",IF(AND(CM194&gt;=2000,CM194&lt;=2099,CN194&gt;=1,CN194&lt;=12,CO194&gt;=1,CO194&lt;=31),IF(MONTH(DATE(CM194,CN194,CO194))=CN194,DATE(CM194,CN194,CO194),""),"")))),"")</f>
        <v/>
      </c>
      <c r="CJ194">
        <f>IFERROR(IF('월 가계부'!C194="","",IF(ISNUMBER('월 가계부'!C194),'월 가계부'!C194,VALUE(SUBSTITUTE(SUBSTITUTE(SUBSTITUTE(SUBSTITUTE(TRIM('월 가계부'!C194),",",""),"원","")," ",""),"−","-")))),"")</f>
        <v/>
      </c>
      <c r="CK194">
        <f>IF(ISNUMBER(CI194),IF(CI194&lt;$B$13,CI194,""),"")</f>
        <v/>
      </c>
      <c r="CM194">
        <f>IF(CH194="","",IFERROR(IF(IF(AND(LEN(CH194)=9,ISERROR(FIND("-",LEFT(CH194,8))),ISNUMBER(-LEFT(CH194,8))),VALUE(LEFT(CH194,4)),VALUE(LEFT(CH194,FIND("-",CH194)-1)))&lt;100,IF(AND(LEN(CH194)=9,ISERROR(FIND("-",LEFT(CH194,8))),ISNUMBER(-LEFT(CH194,8))),VALUE(LEFT(CH194,4)),VALUE(LEFT(CH194,FIND("-",CH194)-1)))+2000,IF(AND(LEN(CH194)=9,ISERROR(FIND("-",LEFT(CH194,8))),ISNUMBER(-LEFT(CH194,8))),VALUE(LEFT(CH194,4)),VALUE(LEFT(CH194,FIND("-",CH194)-1)))),""))</f>
        <v/>
      </c>
      <c r="CN194">
        <f>IF(CH194="","",IFERROR(IF(AND(LEN(CH194)=9,ISERROR(FIND("-",LEFT(CH194,8))),ISNUMBER(-LEFT(CH194,8))),VALUE(MID(CH194,5,2)),VALUE(MID(CH194,FIND("-",CH194)+1,FIND("-",CH194,FIND("-",CH194)+1)-FIND("-",CH194)-1))),""))</f>
        <v/>
      </c>
      <c r="CO194">
        <f>IF(CH194="","",IFERROR(IF(AND(LEN(CH194)=9,ISERROR(FIND("-",LEFT(CH194,8))),ISNUMBER(-LEFT(CH194,8))),VALUE(MID(CH194,7,2)),VALUE(MID(CH194,FIND("-",CH194,FIND("-",CH194)+1)+1,FIND("-",CH194,FIND("-",CH194,FIND("-",CH194)+1)+1)-FIND("-",CH194,FIND("-",CH194)+1)-1))),""))</f>
        <v/>
      </c>
    </row>
    <row r="195">
      <c r="A195" t="n">
        <v>43</v>
      </c>
      <c r="B195">
        <f>$B$1+43</f>
        <v/>
      </c>
      <c r="C195">
        <f>$B$2</f>
        <v/>
      </c>
      <c r="D195">
        <f>IF($B$1+1&gt;90,C195,(C195+IF($B$1+1&lt;=$B195,12*$B$9,-12*MAX(0,$B$8-IF($B$1+1&gt;=$B$23,$B$22,0))*(1+$B$4)^1))*IF(C195+IF($B$1+1&lt;=$B195,12*$B$9,-12*MAX(0,$B$8-IF($B$1+1&gt;=$B$23,$B$22,0))*(1+$B$4)^1)&gt;0,1+$B$3,1))</f>
        <v/>
      </c>
      <c r="E195">
        <f>IF($B$1+2&gt;90,D195,(D195+IF($B$1+2&lt;=$B195,12*$B$9,-12*MAX(0,$B$8-IF($B$1+2&gt;=$B$23,$B$22,0))*(1+$B$4)^2))*IF(D195+IF($B$1+2&lt;=$B195,12*$B$9,-12*MAX(0,$B$8-IF($B$1+2&gt;=$B$23,$B$22,0))*(1+$B$4)^2)&gt;0,1+$B$3,1))</f>
        <v/>
      </c>
      <c r="F195">
        <f>IF($B$1+3&gt;90,E195,(E195+IF($B$1+3&lt;=$B195,12*$B$9,-12*MAX(0,$B$8-IF($B$1+3&gt;=$B$23,$B$22,0))*(1+$B$4)^3))*IF(E195+IF($B$1+3&lt;=$B195,12*$B$9,-12*MAX(0,$B$8-IF($B$1+3&gt;=$B$23,$B$22,0))*(1+$B$4)^3)&gt;0,1+$B$3,1))</f>
        <v/>
      </c>
      <c r="G195">
        <f>IF($B$1+4&gt;90,F195,(F195+IF($B$1+4&lt;=$B195,12*$B$9,-12*MAX(0,$B$8-IF($B$1+4&gt;=$B$23,$B$22,0))*(1+$B$4)^4))*IF(F195+IF($B$1+4&lt;=$B195,12*$B$9,-12*MAX(0,$B$8-IF($B$1+4&gt;=$B$23,$B$22,0))*(1+$B$4)^4)&gt;0,1+$B$3,1))</f>
        <v/>
      </c>
      <c r="H195">
        <f>IF($B$1+5&gt;90,G195,(G195+IF($B$1+5&lt;=$B195,12*$B$9,-12*MAX(0,$B$8-IF($B$1+5&gt;=$B$23,$B$22,0))*(1+$B$4)^5))*IF(G195+IF($B$1+5&lt;=$B195,12*$B$9,-12*MAX(0,$B$8-IF($B$1+5&gt;=$B$23,$B$22,0))*(1+$B$4)^5)&gt;0,1+$B$3,1))</f>
        <v/>
      </c>
      <c r="I195">
        <f>IF($B$1+6&gt;90,H195,(H195+IF($B$1+6&lt;=$B195,12*$B$9,-12*MAX(0,$B$8-IF($B$1+6&gt;=$B$23,$B$22,0))*(1+$B$4)^6))*IF(H195+IF($B$1+6&lt;=$B195,12*$B$9,-12*MAX(0,$B$8-IF($B$1+6&gt;=$B$23,$B$22,0))*(1+$B$4)^6)&gt;0,1+$B$3,1))</f>
        <v/>
      </c>
      <c r="J195">
        <f>IF($B$1+7&gt;90,I195,(I195+IF($B$1+7&lt;=$B195,12*$B$9,-12*MAX(0,$B$8-IF($B$1+7&gt;=$B$23,$B$22,0))*(1+$B$4)^7))*IF(I195+IF($B$1+7&lt;=$B195,12*$B$9,-12*MAX(0,$B$8-IF($B$1+7&gt;=$B$23,$B$22,0))*(1+$B$4)^7)&gt;0,1+$B$3,1))</f>
        <v/>
      </c>
      <c r="K195">
        <f>IF($B$1+8&gt;90,J195,(J195+IF($B$1+8&lt;=$B195,12*$B$9,-12*MAX(0,$B$8-IF($B$1+8&gt;=$B$23,$B$22,0))*(1+$B$4)^8))*IF(J195+IF($B$1+8&lt;=$B195,12*$B$9,-12*MAX(0,$B$8-IF($B$1+8&gt;=$B$23,$B$22,0))*(1+$B$4)^8)&gt;0,1+$B$3,1))</f>
        <v/>
      </c>
      <c r="L195">
        <f>IF($B$1+9&gt;90,K195,(K195+IF($B$1+9&lt;=$B195,12*$B$9,-12*MAX(0,$B$8-IF($B$1+9&gt;=$B$23,$B$22,0))*(1+$B$4)^9))*IF(K195+IF($B$1+9&lt;=$B195,12*$B$9,-12*MAX(0,$B$8-IF($B$1+9&gt;=$B$23,$B$22,0))*(1+$B$4)^9)&gt;0,1+$B$3,1))</f>
        <v/>
      </c>
      <c r="M195">
        <f>IF($B$1+10&gt;90,L195,(L195+IF($B$1+10&lt;=$B195,12*$B$9,-12*MAX(0,$B$8-IF($B$1+10&gt;=$B$23,$B$22,0))*(1+$B$4)^10))*IF(L195+IF($B$1+10&lt;=$B195,12*$B$9,-12*MAX(0,$B$8-IF($B$1+10&gt;=$B$23,$B$22,0))*(1+$B$4)^10)&gt;0,1+$B$3,1))</f>
        <v/>
      </c>
      <c r="N195">
        <f>IF($B$1+11&gt;90,M195,(M195+IF($B$1+11&lt;=$B195,12*$B$9,-12*MAX(0,$B$8-IF($B$1+11&gt;=$B$23,$B$22,0))*(1+$B$4)^11))*IF(M195+IF($B$1+11&lt;=$B195,12*$B$9,-12*MAX(0,$B$8-IF($B$1+11&gt;=$B$23,$B$22,0))*(1+$B$4)^11)&gt;0,1+$B$3,1))</f>
        <v/>
      </c>
      <c r="O195">
        <f>IF($B$1+12&gt;90,N195,(N195+IF($B$1+12&lt;=$B195,12*$B$9,-12*MAX(0,$B$8-IF($B$1+12&gt;=$B$23,$B$22,0))*(1+$B$4)^12))*IF(N195+IF($B$1+12&lt;=$B195,12*$B$9,-12*MAX(0,$B$8-IF($B$1+12&gt;=$B$23,$B$22,0))*(1+$B$4)^12)&gt;0,1+$B$3,1))</f>
        <v/>
      </c>
      <c r="P195">
        <f>IF($B$1+13&gt;90,O195,(O195+IF($B$1+13&lt;=$B195,12*$B$9,-12*MAX(0,$B$8-IF($B$1+13&gt;=$B$23,$B$22,0))*(1+$B$4)^13))*IF(O195+IF($B$1+13&lt;=$B195,12*$B$9,-12*MAX(0,$B$8-IF($B$1+13&gt;=$B$23,$B$22,0))*(1+$B$4)^13)&gt;0,1+$B$3,1))</f>
        <v/>
      </c>
      <c r="Q195">
        <f>IF($B$1+14&gt;90,P195,(P195+IF($B$1+14&lt;=$B195,12*$B$9,-12*MAX(0,$B$8-IF($B$1+14&gt;=$B$23,$B$22,0))*(1+$B$4)^14))*IF(P195+IF($B$1+14&lt;=$B195,12*$B$9,-12*MAX(0,$B$8-IF($B$1+14&gt;=$B$23,$B$22,0))*(1+$B$4)^14)&gt;0,1+$B$3,1))</f>
        <v/>
      </c>
      <c r="R195">
        <f>IF($B$1+15&gt;90,Q195,(Q195+IF($B$1+15&lt;=$B195,12*$B$9,-12*MAX(0,$B$8-IF($B$1+15&gt;=$B$23,$B$22,0))*(1+$B$4)^15))*IF(Q195+IF($B$1+15&lt;=$B195,12*$B$9,-12*MAX(0,$B$8-IF($B$1+15&gt;=$B$23,$B$22,0))*(1+$B$4)^15)&gt;0,1+$B$3,1))</f>
        <v/>
      </c>
      <c r="S195">
        <f>IF($B$1+16&gt;90,R195,(R195+IF($B$1+16&lt;=$B195,12*$B$9,-12*MAX(0,$B$8-IF($B$1+16&gt;=$B$23,$B$22,0))*(1+$B$4)^16))*IF(R195+IF($B$1+16&lt;=$B195,12*$B$9,-12*MAX(0,$B$8-IF($B$1+16&gt;=$B$23,$B$22,0))*(1+$B$4)^16)&gt;0,1+$B$3,1))</f>
        <v/>
      </c>
      <c r="T195">
        <f>IF($B$1+17&gt;90,S195,(S195+IF($B$1+17&lt;=$B195,12*$B$9,-12*MAX(0,$B$8-IF($B$1+17&gt;=$B$23,$B$22,0))*(1+$B$4)^17))*IF(S195+IF($B$1+17&lt;=$B195,12*$B$9,-12*MAX(0,$B$8-IF($B$1+17&gt;=$B$23,$B$22,0))*(1+$B$4)^17)&gt;0,1+$B$3,1))</f>
        <v/>
      </c>
      <c r="U195">
        <f>IF($B$1+18&gt;90,T195,(T195+IF($B$1+18&lt;=$B195,12*$B$9,-12*MAX(0,$B$8-IF($B$1+18&gt;=$B$23,$B$22,0))*(1+$B$4)^18))*IF(T195+IF($B$1+18&lt;=$B195,12*$B$9,-12*MAX(0,$B$8-IF($B$1+18&gt;=$B$23,$B$22,0))*(1+$B$4)^18)&gt;0,1+$B$3,1))</f>
        <v/>
      </c>
      <c r="V195">
        <f>IF($B$1+19&gt;90,U195,(U195+IF($B$1+19&lt;=$B195,12*$B$9,-12*MAX(0,$B$8-IF($B$1+19&gt;=$B$23,$B$22,0))*(1+$B$4)^19))*IF(U195+IF($B$1+19&lt;=$B195,12*$B$9,-12*MAX(0,$B$8-IF($B$1+19&gt;=$B$23,$B$22,0))*(1+$B$4)^19)&gt;0,1+$B$3,1))</f>
        <v/>
      </c>
      <c r="W195">
        <f>IF($B$1+20&gt;90,V195,(V195+IF($B$1+20&lt;=$B195,12*$B$9,-12*MAX(0,$B$8-IF($B$1+20&gt;=$B$23,$B$22,0))*(1+$B$4)^20))*IF(V195+IF($B$1+20&lt;=$B195,12*$B$9,-12*MAX(0,$B$8-IF($B$1+20&gt;=$B$23,$B$22,0))*(1+$B$4)^20)&gt;0,1+$B$3,1))</f>
        <v/>
      </c>
      <c r="X195">
        <f>IF($B$1+21&gt;90,W195,(W195+IF($B$1+21&lt;=$B195,12*$B$9,-12*MAX(0,$B$8-IF($B$1+21&gt;=$B$23,$B$22,0))*(1+$B$4)^21))*IF(W195+IF($B$1+21&lt;=$B195,12*$B$9,-12*MAX(0,$B$8-IF($B$1+21&gt;=$B$23,$B$22,0))*(1+$B$4)^21)&gt;0,1+$B$3,1))</f>
        <v/>
      </c>
      <c r="Y195">
        <f>IF($B$1+22&gt;90,X195,(X195+IF($B$1+22&lt;=$B195,12*$B$9,-12*MAX(0,$B$8-IF($B$1+22&gt;=$B$23,$B$22,0))*(1+$B$4)^22))*IF(X195+IF($B$1+22&lt;=$B195,12*$B$9,-12*MAX(0,$B$8-IF($B$1+22&gt;=$B$23,$B$22,0))*(1+$B$4)^22)&gt;0,1+$B$3,1))</f>
        <v/>
      </c>
      <c r="Z195">
        <f>IF($B$1+23&gt;90,Y195,(Y195+IF($B$1+23&lt;=$B195,12*$B$9,-12*MAX(0,$B$8-IF($B$1+23&gt;=$B$23,$B$22,0))*(1+$B$4)^23))*IF(Y195+IF($B$1+23&lt;=$B195,12*$B$9,-12*MAX(0,$B$8-IF($B$1+23&gt;=$B$23,$B$22,0))*(1+$B$4)^23)&gt;0,1+$B$3,1))</f>
        <v/>
      </c>
      <c r="AA195">
        <f>IF($B$1+24&gt;90,Z195,(Z195+IF($B$1+24&lt;=$B195,12*$B$9,-12*MAX(0,$B$8-IF($B$1+24&gt;=$B$23,$B$22,0))*(1+$B$4)^24))*IF(Z195+IF($B$1+24&lt;=$B195,12*$B$9,-12*MAX(0,$B$8-IF($B$1+24&gt;=$B$23,$B$22,0))*(1+$B$4)^24)&gt;0,1+$B$3,1))</f>
        <v/>
      </c>
      <c r="AB195">
        <f>IF($B$1+25&gt;90,AA195,(AA195+IF($B$1+25&lt;=$B195,12*$B$9,-12*MAX(0,$B$8-IF($B$1+25&gt;=$B$23,$B$22,0))*(1+$B$4)^25))*IF(AA195+IF($B$1+25&lt;=$B195,12*$B$9,-12*MAX(0,$B$8-IF($B$1+25&gt;=$B$23,$B$22,0))*(1+$B$4)^25)&gt;0,1+$B$3,1))</f>
        <v/>
      </c>
      <c r="AC195">
        <f>IF($B$1+26&gt;90,AB195,(AB195+IF($B$1+26&lt;=$B195,12*$B$9,-12*MAX(0,$B$8-IF($B$1+26&gt;=$B$23,$B$22,0))*(1+$B$4)^26))*IF(AB195+IF($B$1+26&lt;=$B195,12*$B$9,-12*MAX(0,$B$8-IF($B$1+26&gt;=$B$23,$B$22,0))*(1+$B$4)^26)&gt;0,1+$B$3,1))</f>
        <v/>
      </c>
      <c r="AD195">
        <f>IF($B$1+27&gt;90,AC195,(AC195+IF($B$1+27&lt;=$B195,12*$B$9,-12*MAX(0,$B$8-IF($B$1+27&gt;=$B$23,$B$22,0))*(1+$B$4)^27))*IF(AC195+IF($B$1+27&lt;=$B195,12*$B$9,-12*MAX(0,$B$8-IF($B$1+27&gt;=$B$23,$B$22,0))*(1+$B$4)^27)&gt;0,1+$B$3,1))</f>
        <v/>
      </c>
      <c r="AE195">
        <f>IF($B$1+28&gt;90,AD195,(AD195+IF($B$1+28&lt;=$B195,12*$B$9,-12*MAX(0,$B$8-IF($B$1+28&gt;=$B$23,$B$22,0))*(1+$B$4)^28))*IF(AD195+IF($B$1+28&lt;=$B195,12*$B$9,-12*MAX(0,$B$8-IF($B$1+28&gt;=$B$23,$B$22,0))*(1+$B$4)^28)&gt;0,1+$B$3,1))</f>
        <v/>
      </c>
      <c r="AF195">
        <f>IF($B$1+29&gt;90,AE195,(AE195+IF($B$1+29&lt;=$B195,12*$B$9,-12*MAX(0,$B$8-IF($B$1+29&gt;=$B$23,$B$22,0))*(1+$B$4)^29))*IF(AE195+IF($B$1+29&lt;=$B195,12*$B$9,-12*MAX(0,$B$8-IF($B$1+29&gt;=$B$23,$B$22,0))*(1+$B$4)^29)&gt;0,1+$B$3,1))</f>
        <v/>
      </c>
      <c r="AG195">
        <f>IF($B$1+30&gt;90,AF195,(AF195+IF($B$1+30&lt;=$B195,12*$B$9,-12*MAX(0,$B$8-IF($B$1+30&gt;=$B$23,$B$22,0))*(1+$B$4)^30))*IF(AF195+IF($B$1+30&lt;=$B195,12*$B$9,-12*MAX(0,$B$8-IF($B$1+30&gt;=$B$23,$B$22,0))*(1+$B$4)^30)&gt;0,1+$B$3,1))</f>
        <v/>
      </c>
      <c r="AH195">
        <f>IF($B$1+31&gt;90,AG195,(AG195+IF($B$1+31&lt;=$B195,12*$B$9,-12*MAX(0,$B$8-IF($B$1+31&gt;=$B$23,$B$22,0))*(1+$B$4)^31))*IF(AG195+IF($B$1+31&lt;=$B195,12*$B$9,-12*MAX(0,$B$8-IF($B$1+31&gt;=$B$23,$B$22,0))*(1+$B$4)^31)&gt;0,1+$B$3,1))</f>
        <v/>
      </c>
      <c r="AI195">
        <f>IF($B$1+32&gt;90,AH195,(AH195+IF($B$1+32&lt;=$B195,12*$B$9,-12*MAX(0,$B$8-IF($B$1+32&gt;=$B$23,$B$22,0))*(1+$B$4)^32))*IF(AH195+IF($B$1+32&lt;=$B195,12*$B$9,-12*MAX(0,$B$8-IF($B$1+32&gt;=$B$23,$B$22,0))*(1+$B$4)^32)&gt;0,1+$B$3,1))</f>
        <v/>
      </c>
      <c r="AJ195">
        <f>IF($B$1+33&gt;90,AI195,(AI195+IF($B$1+33&lt;=$B195,12*$B$9,-12*MAX(0,$B$8-IF($B$1+33&gt;=$B$23,$B$22,0))*(1+$B$4)^33))*IF(AI195+IF($B$1+33&lt;=$B195,12*$B$9,-12*MAX(0,$B$8-IF($B$1+33&gt;=$B$23,$B$22,0))*(1+$B$4)^33)&gt;0,1+$B$3,1))</f>
        <v/>
      </c>
      <c r="AK195">
        <f>IF($B$1+34&gt;90,AJ195,(AJ195+IF($B$1+34&lt;=$B195,12*$B$9,-12*MAX(0,$B$8-IF($B$1+34&gt;=$B$23,$B$22,0))*(1+$B$4)^34))*IF(AJ195+IF($B$1+34&lt;=$B195,12*$B$9,-12*MAX(0,$B$8-IF($B$1+34&gt;=$B$23,$B$22,0))*(1+$B$4)^34)&gt;0,1+$B$3,1))</f>
        <v/>
      </c>
      <c r="AL195">
        <f>IF($B$1+35&gt;90,AK195,(AK195+IF($B$1+35&lt;=$B195,12*$B$9,-12*MAX(0,$B$8-IF($B$1+35&gt;=$B$23,$B$22,0))*(1+$B$4)^35))*IF(AK195+IF($B$1+35&lt;=$B195,12*$B$9,-12*MAX(0,$B$8-IF($B$1+35&gt;=$B$23,$B$22,0))*(1+$B$4)^35)&gt;0,1+$B$3,1))</f>
        <v/>
      </c>
      <c r="AM195">
        <f>IF($B$1+36&gt;90,AL195,(AL195+IF($B$1+36&lt;=$B195,12*$B$9,-12*MAX(0,$B$8-IF($B$1+36&gt;=$B$23,$B$22,0))*(1+$B$4)^36))*IF(AL195+IF($B$1+36&lt;=$B195,12*$B$9,-12*MAX(0,$B$8-IF($B$1+36&gt;=$B$23,$B$22,0))*(1+$B$4)^36)&gt;0,1+$B$3,1))</f>
        <v/>
      </c>
      <c r="AN195">
        <f>IF($B$1+37&gt;90,AM195,(AM195+IF($B$1+37&lt;=$B195,12*$B$9,-12*MAX(0,$B$8-IF($B$1+37&gt;=$B$23,$B$22,0))*(1+$B$4)^37))*IF(AM195+IF($B$1+37&lt;=$B195,12*$B$9,-12*MAX(0,$B$8-IF($B$1+37&gt;=$B$23,$B$22,0))*(1+$B$4)^37)&gt;0,1+$B$3,1))</f>
        <v/>
      </c>
      <c r="AO195">
        <f>IF($B$1+38&gt;90,AN195,(AN195+IF($B$1+38&lt;=$B195,12*$B$9,-12*MAX(0,$B$8-IF($B$1+38&gt;=$B$23,$B$22,0))*(1+$B$4)^38))*IF(AN195+IF($B$1+38&lt;=$B195,12*$B$9,-12*MAX(0,$B$8-IF($B$1+38&gt;=$B$23,$B$22,0))*(1+$B$4)^38)&gt;0,1+$B$3,1))</f>
        <v/>
      </c>
      <c r="AP195">
        <f>IF($B$1+39&gt;90,AO195,(AO195+IF($B$1+39&lt;=$B195,12*$B$9,-12*MAX(0,$B$8-IF($B$1+39&gt;=$B$23,$B$22,0))*(1+$B$4)^39))*IF(AO195+IF($B$1+39&lt;=$B195,12*$B$9,-12*MAX(0,$B$8-IF($B$1+39&gt;=$B$23,$B$22,0))*(1+$B$4)^39)&gt;0,1+$B$3,1))</f>
        <v/>
      </c>
      <c r="AQ195">
        <f>IF($B$1+40&gt;90,AP195,(AP195+IF($B$1+40&lt;=$B195,12*$B$9,-12*MAX(0,$B$8-IF($B$1+40&gt;=$B$23,$B$22,0))*(1+$B$4)^40))*IF(AP195+IF($B$1+40&lt;=$B195,12*$B$9,-12*MAX(0,$B$8-IF($B$1+40&gt;=$B$23,$B$22,0))*(1+$B$4)^40)&gt;0,1+$B$3,1))</f>
        <v/>
      </c>
      <c r="AR195">
        <f>IF($B$1+41&gt;90,AQ195,(AQ195+IF($B$1+41&lt;=$B195,12*$B$9,-12*MAX(0,$B$8-IF($B$1+41&gt;=$B$23,$B$22,0))*(1+$B$4)^41))*IF(AQ195+IF($B$1+41&lt;=$B195,12*$B$9,-12*MAX(0,$B$8-IF($B$1+41&gt;=$B$23,$B$22,0))*(1+$B$4)^41)&gt;0,1+$B$3,1))</f>
        <v/>
      </c>
      <c r="AS195">
        <f>IF($B$1+42&gt;90,AR195,(AR195+IF($B$1+42&lt;=$B195,12*$B$9,-12*MAX(0,$B$8-IF($B$1+42&gt;=$B$23,$B$22,0))*(1+$B$4)^42))*IF(AR195+IF($B$1+42&lt;=$B195,12*$B$9,-12*MAX(0,$B$8-IF($B$1+42&gt;=$B$23,$B$22,0))*(1+$B$4)^42)&gt;0,1+$B$3,1))</f>
        <v/>
      </c>
      <c r="AT195">
        <f>IF($B$1+43&gt;90,AS195,(AS195+IF($B$1+43&lt;=$B195,12*$B$9,-12*MAX(0,$B$8-IF($B$1+43&gt;=$B$23,$B$22,0))*(1+$B$4)^43))*IF(AS195+IF($B$1+43&lt;=$B195,12*$B$9,-12*MAX(0,$B$8-IF($B$1+43&gt;=$B$23,$B$22,0))*(1+$B$4)^43)&gt;0,1+$B$3,1))</f>
        <v/>
      </c>
      <c r="AU195">
        <f>IF($B$1+44&gt;90,AT195,(AT195+IF($B$1+44&lt;=$B195,12*$B$9,-12*MAX(0,$B$8-IF($B$1+44&gt;=$B$23,$B$22,0))*(1+$B$4)^44))*IF(AT195+IF($B$1+44&lt;=$B195,12*$B$9,-12*MAX(0,$B$8-IF($B$1+44&gt;=$B$23,$B$22,0))*(1+$B$4)^44)&gt;0,1+$B$3,1))</f>
        <v/>
      </c>
      <c r="AV195">
        <f>IF($B$1+45&gt;90,AU195,(AU195+IF($B$1+45&lt;=$B195,12*$B$9,-12*MAX(0,$B$8-IF($B$1+45&gt;=$B$23,$B$22,0))*(1+$B$4)^45))*IF(AU195+IF($B$1+45&lt;=$B195,12*$B$9,-12*MAX(0,$B$8-IF($B$1+45&gt;=$B$23,$B$22,0))*(1+$B$4)^45)&gt;0,1+$B$3,1))</f>
        <v/>
      </c>
      <c r="AW195">
        <f>IF($B$1+46&gt;90,AV195,(AV195+IF($B$1+46&lt;=$B195,12*$B$9,-12*MAX(0,$B$8-IF($B$1+46&gt;=$B$23,$B$22,0))*(1+$B$4)^46))*IF(AV195+IF($B$1+46&lt;=$B195,12*$B$9,-12*MAX(0,$B$8-IF($B$1+46&gt;=$B$23,$B$22,0))*(1+$B$4)^46)&gt;0,1+$B$3,1))</f>
        <v/>
      </c>
      <c r="AX195">
        <f>IF($B$1+47&gt;90,AW195,(AW195+IF($B$1+47&lt;=$B195,12*$B$9,-12*MAX(0,$B$8-IF($B$1+47&gt;=$B$23,$B$22,0))*(1+$B$4)^47))*IF(AW195+IF($B$1+47&lt;=$B195,12*$B$9,-12*MAX(0,$B$8-IF($B$1+47&gt;=$B$23,$B$22,0))*(1+$B$4)^47)&gt;0,1+$B$3,1))</f>
        <v/>
      </c>
      <c r="AY195">
        <f>IF($B$1+48&gt;90,AX195,(AX195+IF($B$1+48&lt;=$B195,12*$B$9,-12*MAX(0,$B$8-IF($B$1+48&gt;=$B$23,$B$22,0))*(1+$B$4)^48))*IF(AX195+IF($B$1+48&lt;=$B195,12*$B$9,-12*MAX(0,$B$8-IF($B$1+48&gt;=$B$23,$B$22,0))*(1+$B$4)^48)&gt;0,1+$B$3,1))</f>
        <v/>
      </c>
      <c r="AZ195">
        <f>IF($B$1+49&gt;90,AY195,(AY195+IF($B$1+49&lt;=$B195,12*$B$9,-12*MAX(0,$B$8-IF($B$1+49&gt;=$B$23,$B$22,0))*(1+$B$4)^49))*IF(AY195+IF($B$1+49&lt;=$B195,12*$B$9,-12*MAX(0,$B$8-IF($B$1+49&gt;=$B$23,$B$22,0))*(1+$B$4)^49)&gt;0,1+$B$3,1))</f>
        <v/>
      </c>
      <c r="BA195">
        <f>IF($B$1+50&gt;90,AZ195,(AZ195+IF($B$1+50&lt;=$B195,12*$B$9,-12*MAX(0,$B$8-IF($B$1+50&gt;=$B$23,$B$22,0))*(1+$B$4)^50))*IF(AZ195+IF($B$1+50&lt;=$B195,12*$B$9,-12*MAX(0,$B$8-IF($B$1+50&gt;=$B$23,$B$22,0))*(1+$B$4)^50)&gt;0,1+$B$3,1))</f>
        <v/>
      </c>
      <c r="BB195">
        <f>IF($B$1+51&gt;90,BA195,(BA195+IF($B$1+51&lt;=$B195,12*$B$9,-12*MAX(0,$B$8-IF($B$1+51&gt;=$B$23,$B$22,0))*(1+$B$4)^51))*IF(BA195+IF($B$1+51&lt;=$B195,12*$B$9,-12*MAX(0,$B$8-IF($B$1+51&gt;=$B$23,$B$22,0))*(1+$B$4)^51)&gt;0,1+$B$3,1))</f>
        <v/>
      </c>
      <c r="BC195">
        <f>IF($B$1+52&gt;90,BB195,(BB195+IF($B$1+52&lt;=$B195,12*$B$9,-12*MAX(0,$B$8-IF($B$1+52&gt;=$B$23,$B$22,0))*(1+$B$4)^52))*IF(BB195+IF($B$1+52&lt;=$B195,12*$B$9,-12*MAX(0,$B$8-IF($B$1+52&gt;=$B$23,$B$22,0))*(1+$B$4)^52)&gt;0,1+$B$3,1))</f>
        <v/>
      </c>
      <c r="BD195">
        <f>IF($B$1+53&gt;90,BC195,(BC195+IF($B$1+53&lt;=$B195,12*$B$9,-12*MAX(0,$B$8-IF($B$1+53&gt;=$B$23,$B$22,0))*(1+$B$4)^53))*IF(BC195+IF($B$1+53&lt;=$B195,12*$B$9,-12*MAX(0,$B$8-IF($B$1+53&gt;=$B$23,$B$22,0))*(1+$B$4)^53)&gt;0,1+$B$3,1))</f>
        <v/>
      </c>
      <c r="BE195">
        <f>IF($B$1+54&gt;90,BD195,(BD195+IF($B$1+54&lt;=$B195,12*$B$9,-12*MAX(0,$B$8-IF($B$1+54&gt;=$B$23,$B$22,0))*(1+$B$4)^54))*IF(BD195+IF($B$1+54&lt;=$B195,12*$B$9,-12*MAX(0,$B$8-IF($B$1+54&gt;=$B$23,$B$22,0))*(1+$B$4)^54)&gt;0,1+$B$3,1))</f>
        <v/>
      </c>
      <c r="BF195">
        <f>IF($B$1+55&gt;90,BE195,(BE195+IF($B$1+55&lt;=$B195,12*$B$9,-12*MAX(0,$B$8-IF($B$1+55&gt;=$B$23,$B$22,0))*(1+$B$4)^55))*IF(BE195+IF($B$1+55&lt;=$B195,12*$B$9,-12*MAX(0,$B$8-IF($B$1+55&gt;=$B$23,$B$22,0))*(1+$B$4)^55)&gt;0,1+$B$3,1))</f>
        <v/>
      </c>
      <c r="BG195">
        <f>IF($B$1+56&gt;90,BF195,(BF195+IF($B$1+56&lt;=$B195,12*$B$9,-12*MAX(0,$B$8-IF($B$1+56&gt;=$B$23,$B$22,0))*(1+$B$4)^56))*IF(BF195+IF($B$1+56&lt;=$B195,12*$B$9,-12*MAX(0,$B$8-IF($B$1+56&gt;=$B$23,$B$22,0))*(1+$B$4)^56)&gt;0,1+$B$3,1))</f>
        <v/>
      </c>
      <c r="BH195">
        <f>IF($B$1+57&gt;90,BG195,(BG195+IF($B$1+57&lt;=$B195,12*$B$9,-12*MAX(0,$B$8-IF($B$1+57&gt;=$B$23,$B$22,0))*(1+$B$4)^57))*IF(BG195+IF($B$1+57&lt;=$B195,12*$B$9,-12*MAX(0,$B$8-IF($B$1+57&gt;=$B$23,$B$22,0))*(1+$B$4)^57)&gt;0,1+$B$3,1))</f>
        <v/>
      </c>
      <c r="BI195">
        <f>IF($B$1+58&gt;90,BH195,(BH195+IF($B$1+58&lt;=$B195,12*$B$9,-12*MAX(0,$B$8-IF($B$1+58&gt;=$B$23,$B$22,0))*(1+$B$4)^58))*IF(BH195+IF($B$1+58&lt;=$B195,12*$B$9,-12*MAX(0,$B$8-IF($B$1+58&gt;=$B$23,$B$22,0))*(1+$B$4)^58)&gt;0,1+$B$3,1))</f>
        <v/>
      </c>
      <c r="BJ195">
        <f>IF($B$1+59&gt;90,BI195,(BI195+IF($B$1+59&lt;=$B195,12*$B$9,-12*MAX(0,$B$8-IF($B$1+59&gt;=$B$23,$B$22,0))*(1+$B$4)^59))*IF(BI195+IF($B$1+59&lt;=$B195,12*$B$9,-12*MAX(0,$B$8-IF($B$1+59&gt;=$B$23,$B$22,0))*(1+$B$4)^59)&gt;0,1+$B$3,1))</f>
        <v/>
      </c>
      <c r="BK195">
        <f>IF($B$1+60&gt;90,BJ195,(BJ195+IF($B$1+60&lt;=$B195,12*$B$9,-12*MAX(0,$B$8-IF($B$1+60&gt;=$B$23,$B$22,0))*(1+$B$4)^60))*IF(BJ195+IF($B$1+60&lt;=$B195,12*$B$9,-12*MAX(0,$B$8-IF($B$1+60&gt;=$B$23,$B$22,0))*(1+$B$4)^60)&gt;0,1+$B$3,1))</f>
        <v/>
      </c>
      <c r="BL195">
        <f>IF($B$1+61&gt;90,BK195,(BK195+IF($B$1+61&lt;=$B195,12*$B$9,-12*MAX(0,$B$8-IF($B$1+61&gt;=$B$23,$B$22,0))*(1+$B$4)^61))*IF(BK195+IF($B$1+61&lt;=$B195,12*$B$9,-12*MAX(0,$B$8-IF($B$1+61&gt;=$B$23,$B$22,0))*(1+$B$4)^61)&gt;0,1+$B$3,1))</f>
        <v/>
      </c>
      <c r="BM195">
        <f>IF($B$1+62&gt;90,BL195,(BL195+IF($B$1+62&lt;=$B195,12*$B$9,-12*MAX(0,$B$8-IF($B$1+62&gt;=$B$23,$B$22,0))*(1+$B$4)^62))*IF(BL195+IF($B$1+62&lt;=$B195,12*$B$9,-12*MAX(0,$B$8-IF($B$1+62&gt;=$B$23,$B$22,0))*(1+$B$4)^62)&gt;0,1+$B$3,1))</f>
        <v/>
      </c>
      <c r="BN195">
        <f>IF($B$1+63&gt;90,BM195,(BM195+IF($B$1+63&lt;=$B195,12*$B$9,-12*MAX(0,$B$8-IF($B$1+63&gt;=$B$23,$B$22,0))*(1+$B$4)^63))*IF(BM195+IF($B$1+63&lt;=$B195,12*$B$9,-12*MAX(0,$B$8-IF($B$1+63&gt;=$B$23,$B$22,0))*(1+$B$4)^63)&gt;0,1+$B$3,1))</f>
        <v/>
      </c>
      <c r="BO195">
        <f>IF($B$1+64&gt;90,BN195,(BN195+IF($B$1+64&lt;=$B195,12*$B$9,-12*MAX(0,$B$8-IF($B$1+64&gt;=$B$23,$B$22,0))*(1+$B$4)^64))*IF(BN195+IF($B$1+64&lt;=$B195,12*$B$9,-12*MAX(0,$B$8-IF($B$1+64&gt;=$B$23,$B$22,0))*(1+$B$4)^64)&gt;0,1+$B$3,1))</f>
        <v/>
      </c>
      <c r="BP195">
        <f>IF($B$1+65&gt;90,BO195,(BO195+IF($B$1+65&lt;=$B195,12*$B$9,-12*MAX(0,$B$8-IF($B$1+65&gt;=$B$23,$B$22,0))*(1+$B$4)^65))*IF(BO195+IF($B$1+65&lt;=$B195,12*$B$9,-12*MAX(0,$B$8-IF($B$1+65&gt;=$B$23,$B$22,0))*(1+$B$4)^65)&gt;0,1+$B$3,1))</f>
        <v/>
      </c>
      <c r="BQ195">
        <f>IF($B$1+66&gt;90,BP195,(BP195+IF($B$1+66&lt;=$B195,12*$B$9,-12*MAX(0,$B$8-IF($B$1+66&gt;=$B$23,$B$22,0))*(1+$B$4)^66))*IF(BP195+IF($B$1+66&lt;=$B195,12*$B$9,-12*MAX(0,$B$8-IF($B$1+66&gt;=$B$23,$B$22,0))*(1+$B$4)^66)&gt;0,1+$B$3,1))</f>
        <v/>
      </c>
      <c r="BR195">
        <f>IF($B$1+67&gt;90,BQ195,(BQ195+IF($B$1+67&lt;=$B195,12*$B$9,-12*MAX(0,$B$8-IF($B$1+67&gt;=$B$23,$B$22,0))*(1+$B$4)^67))*IF(BQ195+IF($B$1+67&lt;=$B195,12*$B$9,-12*MAX(0,$B$8-IF($B$1+67&gt;=$B$23,$B$22,0))*(1+$B$4)^67)&gt;0,1+$B$3,1))</f>
        <v/>
      </c>
      <c r="BS195">
        <f>IF($B$1+68&gt;90,BR195,(BR195+IF($B$1+68&lt;=$B195,12*$B$9,-12*MAX(0,$B$8-IF($B$1+68&gt;=$B$23,$B$22,0))*(1+$B$4)^68))*IF(BR195+IF($B$1+68&lt;=$B195,12*$B$9,-12*MAX(0,$B$8-IF($B$1+68&gt;=$B$23,$B$22,0))*(1+$B$4)^68)&gt;0,1+$B$3,1))</f>
        <v/>
      </c>
      <c r="BT195">
        <f>IF($B$1+69&gt;90,BS195,(BS195+IF($B$1+69&lt;=$B195,12*$B$9,-12*MAX(0,$B$8-IF($B$1+69&gt;=$B$23,$B$22,0))*(1+$B$4)^69))*IF(BS195+IF($B$1+69&lt;=$B195,12*$B$9,-12*MAX(0,$B$8-IF($B$1+69&gt;=$B$23,$B$22,0))*(1+$B$4)^69)&gt;0,1+$B$3,1))</f>
        <v/>
      </c>
      <c r="BU195">
        <f>IF($B$1+70&gt;90,BT195,(BT195+IF($B$1+70&lt;=$B195,12*$B$9,-12*MAX(0,$B$8-IF($B$1+70&gt;=$B$23,$B$22,0))*(1+$B$4)^70))*IF(BT195+IF($B$1+70&lt;=$B195,12*$B$9,-12*MAX(0,$B$8-IF($B$1+70&gt;=$B$23,$B$22,0))*(1+$B$4)^70)&gt;0,1+$B$3,1))</f>
        <v/>
      </c>
      <c r="BV195">
        <f>BU195</f>
        <v/>
      </c>
      <c r="BW195">
        <f>IF(AND($B195&lt;=70,BV195&gt;0),$B195,999)</f>
        <v/>
      </c>
      <c r="CH195">
        <f>IF(ISTEXT('월 가계부'!A195),SUBSTITUTE(SUBSTITUTE(SUBSTITUTE(SUBSTITUTE(SUBSTITUTE(SUBSTITUTE(SUBSTITUTE(SUBSTITUTE(SUBSTITUTE(TRIM('월 가계부'!A195),"년","-"),"월","-"),"일",""),".","-"),"/","-")," ","-"),"--","-"),"--","-"),"--","-")&amp;"-","")</f>
        <v/>
      </c>
      <c r="CI195">
        <f>IFERROR(IF('월 가계부'!A195="","",IF(ISNUMBER('월 가계부'!A195),IF(AND('월 가계부'!A195&gt;=19000101,'월 가계부'!A195&lt;=21001231),IF(AND(MOD(INT('월 가계부'!A195/100),100)&gt;=1,MOD(INT('월 가계부'!A195/100),100)&lt;=12,MOD(INT('월 가계부'!A195),100)&gt;=1,MOD(INT('월 가계부'!A195),100)&lt;=31),IF(MONTH(DATE(INT('월 가계부'!A195/10000),MOD(INT('월 가계부'!A195/100),100),MOD(INT('월 가계부'!A195),100)))=MOD(INT('월 가계부'!A195/100),100),DATE(INT('월 가계부'!A195/10000),MOD(INT('월 가계부'!A195/100),100),MOD(INT('월 가계부'!A195),100)),""),""),IF(AND('월 가계부'!A195&gt;=36526,'월 가계부'!A195&lt;73051),INT('월 가계부'!A195),"")),IF(OR(CM195="",CN195="",CO195=""),"",IF(AND(CM195&gt;=2000,CM195&lt;=2099,CN195&gt;=1,CN195&lt;=12,CO195&gt;=1,CO195&lt;=31),IF(MONTH(DATE(CM195,CN195,CO195))=CN195,DATE(CM195,CN195,CO195),""),"")))),"")</f>
        <v/>
      </c>
      <c r="CJ195">
        <f>IFERROR(IF('월 가계부'!C195="","",IF(ISNUMBER('월 가계부'!C195),'월 가계부'!C195,VALUE(SUBSTITUTE(SUBSTITUTE(SUBSTITUTE(SUBSTITUTE(TRIM('월 가계부'!C195),",",""),"원","")," ",""),"−","-")))),"")</f>
        <v/>
      </c>
      <c r="CK195">
        <f>IF(ISNUMBER(CI195),IF(CI195&lt;$B$13,CI195,""),"")</f>
        <v/>
      </c>
      <c r="CM195">
        <f>IF(CH195="","",IFERROR(IF(IF(AND(LEN(CH195)=9,ISERROR(FIND("-",LEFT(CH195,8))),ISNUMBER(-LEFT(CH195,8))),VALUE(LEFT(CH195,4)),VALUE(LEFT(CH195,FIND("-",CH195)-1)))&lt;100,IF(AND(LEN(CH195)=9,ISERROR(FIND("-",LEFT(CH195,8))),ISNUMBER(-LEFT(CH195,8))),VALUE(LEFT(CH195,4)),VALUE(LEFT(CH195,FIND("-",CH195)-1)))+2000,IF(AND(LEN(CH195)=9,ISERROR(FIND("-",LEFT(CH195,8))),ISNUMBER(-LEFT(CH195,8))),VALUE(LEFT(CH195,4)),VALUE(LEFT(CH195,FIND("-",CH195)-1)))),""))</f>
        <v/>
      </c>
      <c r="CN195">
        <f>IF(CH195="","",IFERROR(IF(AND(LEN(CH195)=9,ISERROR(FIND("-",LEFT(CH195,8))),ISNUMBER(-LEFT(CH195,8))),VALUE(MID(CH195,5,2)),VALUE(MID(CH195,FIND("-",CH195)+1,FIND("-",CH195,FIND("-",CH195)+1)-FIND("-",CH195)-1))),""))</f>
        <v/>
      </c>
      <c r="CO195">
        <f>IF(CH195="","",IFERROR(IF(AND(LEN(CH195)=9,ISERROR(FIND("-",LEFT(CH195,8))),ISNUMBER(-LEFT(CH195,8))),VALUE(MID(CH195,7,2)),VALUE(MID(CH195,FIND("-",CH195,FIND("-",CH195)+1)+1,FIND("-",CH195,FIND("-",CH195,FIND("-",CH195)+1)+1)-FIND("-",CH195,FIND("-",CH195)+1)-1))),""))</f>
        <v/>
      </c>
    </row>
    <row r="196">
      <c r="A196" t="n">
        <v>44</v>
      </c>
      <c r="B196">
        <f>$B$1+44</f>
        <v/>
      </c>
      <c r="C196">
        <f>$B$2</f>
        <v/>
      </c>
      <c r="D196">
        <f>IF($B$1+1&gt;90,C196,(C196+IF($B$1+1&lt;=$B196,12*$B$9,-12*MAX(0,$B$8-IF($B$1+1&gt;=$B$23,$B$22,0))*(1+$B$4)^1))*IF(C196+IF($B$1+1&lt;=$B196,12*$B$9,-12*MAX(0,$B$8-IF($B$1+1&gt;=$B$23,$B$22,0))*(1+$B$4)^1)&gt;0,1+$B$3,1))</f>
        <v/>
      </c>
      <c r="E196">
        <f>IF($B$1+2&gt;90,D196,(D196+IF($B$1+2&lt;=$B196,12*$B$9,-12*MAX(0,$B$8-IF($B$1+2&gt;=$B$23,$B$22,0))*(1+$B$4)^2))*IF(D196+IF($B$1+2&lt;=$B196,12*$B$9,-12*MAX(0,$B$8-IF($B$1+2&gt;=$B$23,$B$22,0))*(1+$B$4)^2)&gt;0,1+$B$3,1))</f>
        <v/>
      </c>
      <c r="F196">
        <f>IF($B$1+3&gt;90,E196,(E196+IF($B$1+3&lt;=$B196,12*$B$9,-12*MAX(0,$B$8-IF($B$1+3&gt;=$B$23,$B$22,0))*(1+$B$4)^3))*IF(E196+IF($B$1+3&lt;=$B196,12*$B$9,-12*MAX(0,$B$8-IF($B$1+3&gt;=$B$23,$B$22,0))*(1+$B$4)^3)&gt;0,1+$B$3,1))</f>
        <v/>
      </c>
      <c r="G196">
        <f>IF($B$1+4&gt;90,F196,(F196+IF($B$1+4&lt;=$B196,12*$B$9,-12*MAX(0,$B$8-IF($B$1+4&gt;=$B$23,$B$22,0))*(1+$B$4)^4))*IF(F196+IF($B$1+4&lt;=$B196,12*$B$9,-12*MAX(0,$B$8-IF($B$1+4&gt;=$B$23,$B$22,0))*(1+$B$4)^4)&gt;0,1+$B$3,1))</f>
        <v/>
      </c>
      <c r="H196">
        <f>IF($B$1+5&gt;90,G196,(G196+IF($B$1+5&lt;=$B196,12*$B$9,-12*MAX(0,$B$8-IF($B$1+5&gt;=$B$23,$B$22,0))*(1+$B$4)^5))*IF(G196+IF($B$1+5&lt;=$B196,12*$B$9,-12*MAX(0,$B$8-IF($B$1+5&gt;=$B$23,$B$22,0))*(1+$B$4)^5)&gt;0,1+$B$3,1))</f>
        <v/>
      </c>
      <c r="I196">
        <f>IF($B$1+6&gt;90,H196,(H196+IF($B$1+6&lt;=$B196,12*$B$9,-12*MAX(0,$B$8-IF($B$1+6&gt;=$B$23,$B$22,0))*(1+$B$4)^6))*IF(H196+IF($B$1+6&lt;=$B196,12*$B$9,-12*MAX(0,$B$8-IF($B$1+6&gt;=$B$23,$B$22,0))*(1+$B$4)^6)&gt;0,1+$B$3,1))</f>
        <v/>
      </c>
      <c r="J196">
        <f>IF($B$1+7&gt;90,I196,(I196+IF($B$1+7&lt;=$B196,12*$B$9,-12*MAX(0,$B$8-IF($B$1+7&gt;=$B$23,$B$22,0))*(1+$B$4)^7))*IF(I196+IF($B$1+7&lt;=$B196,12*$B$9,-12*MAX(0,$B$8-IF($B$1+7&gt;=$B$23,$B$22,0))*(1+$B$4)^7)&gt;0,1+$B$3,1))</f>
        <v/>
      </c>
      <c r="K196">
        <f>IF($B$1+8&gt;90,J196,(J196+IF($B$1+8&lt;=$B196,12*$B$9,-12*MAX(0,$B$8-IF($B$1+8&gt;=$B$23,$B$22,0))*(1+$B$4)^8))*IF(J196+IF($B$1+8&lt;=$B196,12*$B$9,-12*MAX(0,$B$8-IF($B$1+8&gt;=$B$23,$B$22,0))*(1+$B$4)^8)&gt;0,1+$B$3,1))</f>
        <v/>
      </c>
      <c r="L196">
        <f>IF($B$1+9&gt;90,K196,(K196+IF($B$1+9&lt;=$B196,12*$B$9,-12*MAX(0,$B$8-IF($B$1+9&gt;=$B$23,$B$22,0))*(1+$B$4)^9))*IF(K196+IF($B$1+9&lt;=$B196,12*$B$9,-12*MAX(0,$B$8-IF($B$1+9&gt;=$B$23,$B$22,0))*(1+$B$4)^9)&gt;0,1+$B$3,1))</f>
        <v/>
      </c>
      <c r="M196">
        <f>IF($B$1+10&gt;90,L196,(L196+IF($B$1+10&lt;=$B196,12*$B$9,-12*MAX(0,$B$8-IF($B$1+10&gt;=$B$23,$B$22,0))*(1+$B$4)^10))*IF(L196+IF($B$1+10&lt;=$B196,12*$B$9,-12*MAX(0,$B$8-IF($B$1+10&gt;=$B$23,$B$22,0))*(1+$B$4)^10)&gt;0,1+$B$3,1))</f>
        <v/>
      </c>
      <c r="N196">
        <f>IF($B$1+11&gt;90,M196,(M196+IF($B$1+11&lt;=$B196,12*$B$9,-12*MAX(0,$B$8-IF($B$1+11&gt;=$B$23,$B$22,0))*(1+$B$4)^11))*IF(M196+IF($B$1+11&lt;=$B196,12*$B$9,-12*MAX(0,$B$8-IF($B$1+11&gt;=$B$23,$B$22,0))*(1+$B$4)^11)&gt;0,1+$B$3,1))</f>
        <v/>
      </c>
      <c r="O196">
        <f>IF($B$1+12&gt;90,N196,(N196+IF($B$1+12&lt;=$B196,12*$B$9,-12*MAX(0,$B$8-IF($B$1+12&gt;=$B$23,$B$22,0))*(1+$B$4)^12))*IF(N196+IF($B$1+12&lt;=$B196,12*$B$9,-12*MAX(0,$B$8-IF($B$1+12&gt;=$B$23,$B$22,0))*(1+$B$4)^12)&gt;0,1+$B$3,1))</f>
        <v/>
      </c>
      <c r="P196">
        <f>IF($B$1+13&gt;90,O196,(O196+IF($B$1+13&lt;=$B196,12*$B$9,-12*MAX(0,$B$8-IF($B$1+13&gt;=$B$23,$B$22,0))*(1+$B$4)^13))*IF(O196+IF($B$1+13&lt;=$B196,12*$B$9,-12*MAX(0,$B$8-IF($B$1+13&gt;=$B$23,$B$22,0))*(1+$B$4)^13)&gt;0,1+$B$3,1))</f>
        <v/>
      </c>
      <c r="Q196">
        <f>IF($B$1+14&gt;90,P196,(P196+IF($B$1+14&lt;=$B196,12*$B$9,-12*MAX(0,$B$8-IF($B$1+14&gt;=$B$23,$B$22,0))*(1+$B$4)^14))*IF(P196+IF($B$1+14&lt;=$B196,12*$B$9,-12*MAX(0,$B$8-IF($B$1+14&gt;=$B$23,$B$22,0))*(1+$B$4)^14)&gt;0,1+$B$3,1))</f>
        <v/>
      </c>
      <c r="R196">
        <f>IF($B$1+15&gt;90,Q196,(Q196+IF($B$1+15&lt;=$B196,12*$B$9,-12*MAX(0,$B$8-IF($B$1+15&gt;=$B$23,$B$22,0))*(1+$B$4)^15))*IF(Q196+IF($B$1+15&lt;=$B196,12*$B$9,-12*MAX(0,$B$8-IF($B$1+15&gt;=$B$23,$B$22,0))*(1+$B$4)^15)&gt;0,1+$B$3,1))</f>
        <v/>
      </c>
      <c r="S196">
        <f>IF($B$1+16&gt;90,R196,(R196+IF($B$1+16&lt;=$B196,12*$B$9,-12*MAX(0,$B$8-IF($B$1+16&gt;=$B$23,$B$22,0))*(1+$B$4)^16))*IF(R196+IF($B$1+16&lt;=$B196,12*$B$9,-12*MAX(0,$B$8-IF($B$1+16&gt;=$B$23,$B$22,0))*(1+$B$4)^16)&gt;0,1+$B$3,1))</f>
        <v/>
      </c>
      <c r="T196">
        <f>IF($B$1+17&gt;90,S196,(S196+IF($B$1+17&lt;=$B196,12*$B$9,-12*MAX(0,$B$8-IF($B$1+17&gt;=$B$23,$B$22,0))*(1+$B$4)^17))*IF(S196+IF($B$1+17&lt;=$B196,12*$B$9,-12*MAX(0,$B$8-IF($B$1+17&gt;=$B$23,$B$22,0))*(1+$B$4)^17)&gt;0,1+$B$3,1))</f>
        <v/>
      </c>
      <c r="U196">
        <f>IF($B$1+18&gt;90,T196,(T196+IF($B$1+18&lt;=$B196,12*$B$9,-12*MAX(0,$B$8-IF($B$1+18&gt;=$B$23,$B$22,0))*(1+$B$4)^18))*IF(T196+IF($B$1+18&lt;=$B196,12*$B$9,-12*MAX(0,$B$8-IF($B$1+18&gt;=$B$23,$B$22,0))*(1+$B$4)^18)&gt;0,1+$B$3,1))</f>
        <v/>
      </c>
      <c r="V196">
        <f>IF($B$1+19&gt;90,U196,(U196+IF($B$1+19&lt;=$B196,12*$B$9,-12*MAX(0,$B$8-IF($B$1+19&gt;=$B$23,$B$22,0))*(1+$B$4)^19))*IF(U196+IF($B$1+19&lt;=$B196,12*$B$9,-12*MAX(0,$B$8-IF($B$1+19&gt;=$B$23,$B$22,0))*(1+$B$4)^19)&gt;0,1+$B$3,1))</f>
        <v/>
      </c>
      <c r="W196">
        <f>IF($B$1+20&gt;90,V196,(V196+IF($B$1+20&lt;=$B196,12*$B$9,-12*MAX(0,$B$8-IF($B$1+20&gt;=$B$23,$B$22,0))*(1+$B$4)^20))*IF(V196+IF($B$1+20&lt;=$B196,12*$B$9,-12*MAX(0,$B$8-IF($B$1+20&gt;=$B$23,$B$22,0))*(1+$B$4)^20)&gt;0,1+$B$3,1))</f>
        <v/>
      </c>
      <c r="X196">
        <f>IF($B$1+21&gt;90,W196,(W196+IF($B$1+21&lt;=$B196,12*$B$9,-12*MAX(0,$B$8-IF($B$1+21&gt;=$B$23,$B$22,0))*(1+$B$4)^21))*IF(W196+IF($B$1+21&lt;=$B196,12*$B$9,-12*MAX(0,$B$8-IF($B$1+21&gt;=$B$23,$B$22,0))*(1+$B$4)^21)&gt;0,1+$B$3,1))</f>
        <v/>
      </c>
      <c r="Y196">
        <f>IF($B$1+22&gt;90,X196,(X196+IF($B$1+22&lt;=$B196,12*$B$9,-12*MAX(0,$B$8-IF($B$1+22&gt;=$B$23,$B$22,0))*(1+$B$4)^22))*IF(X196+IF($B$1+22&lt;=$B196,12*$B$9,-12*MAX(0,$B$8-IF($B$1+22&gt;=$B$23,$B$22,0))*(1+$B$4)^22)&gt;0,1+$B$3,1))</f>
        <v/>
      </c>
      <c r="Z196">
        <f>IF($B$1+23&gt;90,Y196,(Y196+IF($B$1+23&lt;=$B196,12*$B$9,-12*MAX(0,$B$8-IF($B$1+23&gt;=$B$23,$B$22,0))*(1+$B$4)^23))*IF(Y196+IF($B$1+23&lt;=$B196,12*$B$9,-12*MAX(0,$B$8-IF($B$1+23&gt;=$B$23,$B$22,0))*(1+$B$4)^23)&gt;0,1+$B$3,1))</f>
        <v/>
      </c>
      <c r="AA196">
        <f>IF($B$1+24&gt;90,Z196,(Z196+IF($B$1+24&lt;=$B196,12*$B$9,-12*MAX(0,$B$8-IF($B$1+24&gt;=$B$23,$B$22,0))*(1+$B$4)^24))*IF(Z196+IF($B$1+24&lt;=$B196,12*$B$9,-12*MAX(0,$B$8-IF($B$1+24&gt;=$B$23,$B$22,0))*(1+$B$4)^24)&gt;0,1+$B$3,1))</f>
        <v/>
      </c>
      <c r="AB196">
        <f>IF($B$1+25&gt;90,AA196,(AA196+IF($B$1+25&lt;=$B196,12*$B$9,-12*MAX(0,$B$8-IF($B$1+25&gt;=$B$23,$B$22,0))*(1+$B$4)^25))*IF(AA196+IF($B$1+25&lt;=$B196,12*$B$9,-12*MAX(0,$B$8-IF($B$1+25&gt;=$B$23,$B$22,0))*(1+$B$4)^25)&gt;0,1+$B$3,1))</f>
        <v/>
      </c>
      <c r="AC196">
        <f>IF($B$1+26&gt;90,AB196,(AB196+IF($B$1+26&lt;=$B196,12*$B$9,-12*MAX(0,$B$8-IF($B$1+26&gt;=$B$23,$B$22,0))*(1+$B$4)^26))*IF(AB196+IF($B$1+26&lt;=$B196,12*$B$9,-12*MAX(0,$B$8-IF($B$1+26&gt;=$B$23,$B$22,0))*(1+$B$4)^26)&gt;0,1+$B$3,1))</f>
        <v/>
      </c>
      <c r="AD196">
        <f>IF($B$1+27&gt;90,AC196,(AC196+IF($B$1+27&lt;=$B196,12*$B$9,-12*MAX(0,$B$8-IF($B$1+27&gt;=$B$23,$B$22,0))*(1+$B$4)^27))*IF(AC196+IF($B$1+27&lt;=$B196,12*$B$9,-12*MAX(0,$B$8-IF($B$1+27&gt;=$B$23,$B$22,0))*(1+$B$4)^27)&gt;0,1+$B$3,1))</f>
        <v/>
      </c>
      <c r="AE196">
        <f>IF($B$1+28&gt;90,AD196,(AD196+IF($B$1+28&lt;=$B196,12*$B$9,-12*MAX(0,$B$8-IF($B$1+28&gt;=$B$23,$B$22,0))*(1+$B$4)^28))*IF(AD196+IF($B$1+28&lt;=$B196,12*$B$9,-12*MAX(0,$B$8-IF($B$1+28&gt;=$B$23,$B$22,0))*(1+$B$4)^28)&gt;0,1+$B$3,1))</f>
        <v/>
      </c>
      <c r="AF196">
        <f>IF($B$1+29&gt;90,AE196,(AE196+IF($B$1+29&lt;=$B196,12*$B$9,-12*MAX(0,$B$8-IF($B$1+29&gt;=$B$23,$B$22,0))*(1+$B$4)^29))*IF(AE196+IF($B$1+29&lt;=$B196,12*$B$9,-12*MAX(0,$B$8-IF($B$1+29&gt;=$B$23,$B$22,0))*(1+$B$4)^29)&gt;0,1+$B$3,1))</f>
        <v/>
      </c>
      <c r="AG196">
        <f>IF($B$1+30&gt;90,AF196,(AF196+IF($B$1+30&lt;=$B196,12*$B$9,-12*MAX(0,$B$8-IF($B$1+30&gt;=$B$23,$B$22,0))*(1+$B$4)^30))*IF(AF196+IF($B$1+30&lt;=$B196,12*$B$9,-12*MAX(0,$B$8-IF($B$1+30&gt;=$B$23,$B$22,0))*(1+$B$4)^30)&gt;0,1+$B$3,1))</f>
        <v/>
      </c>
      <c r="AH196">
        <f>IF($B$1+31&gt;90,AG196,(AG196+IF($B$1+31&lt;=$B196,12*$B$9,-12*MAX(0,$B$8-IF($B$1+31&gt;=$B$23,$B$22,0))*(1+$B$4)^31))*IF(AG196+IF($B$1+31&lt;=$B196,12*$B$9,-12*MAX(0,$B$8-IF($B$1+31&gt;=$B$23,$B$22,0))*(1+$B$4)^31)&gt;0,1+$B$3,1))</f>
        <v/>
      </c>
      <c r="AI196">
        <f>IF($B$1+32&gt;90,AH196,(AH196+IF($B$1+32&lt;=$B196,12*$B$9,-12*MAX(0,$B$8-IF($B$1+32&gt;=$B$23,$B$22,0))*(1+$B$4)^32))*IF(AH196+IF($B$1+32&lt;=$B196,12*$B$9,-12*MAX(0,$B$8-IF($B$1+32&gt;=$B$23,$B$22,0))*(1+$B$4)^32)&gt;0,1+$B$3,1))</f>
        <v/>
      </c>
      <c r="AJ196">
        <f>IF($B$1+33&gt;90,AI196,(AI196+IF($B$1+33&lt;=$B196,12*$B$9,-12*MAX(0,$B$8-IF($B$1+33&gt;=$B$23,$B$22,0))*(1+$B$4)^33))*IF(AI196+IF($B$1+33&lt;=$B196,12*$B$9,-12*MAX(0,$B$8-IF($B$1+33&gt;=$B$23,$B$22,0))*(1+$B$4)^33)&gt;0,1+$B$3,1))</f>
        <v/>
      </c>
      <c r="AK196">
        <f>IF($B$1+34&gt;90,AJ196,(AJ196+IF($B$1+34&lt;=$B196,12*$B$9,-12*MAX(0,$B$8-IF($B$1+34&gt;=$B$23,$B$22,0))*(1+$B$4)^34))*IF(AJ196+IF($B$1+34&lt;=$B196,12*$B$9,-12*MAX(0,$B$8-IF($B$1+34&gt;=$B$23,$B$22,0))*(1+$B$4)^34)&gt;0,1+$B$3,1))</f>
        <v/>
      </c>
      <c r="AL196">
        <f>IF($B$1+35&gt;90,AK196,(AK196+IF($B$1+35&lt;=$B196,12*$B$9,-12*MAX(0,$B$8-IF($B$1+35&gt;=$B$23,$B$22,0))*(1+$B$4)^35))*IF(AK196+IF($B$1+35&lt;=$B196,12*$B$9,-12*MAX(0,$B$8-IF($B$1+35&gt;=$B$23,$B$22,0))*(1+$B$4)^35)&gt;0,1+$B$3,1))</f>
        <v/>
      </c>
      <c r="AM196">
        <f>IF($B$1+36&gt;90,AL196,(AL196+IF($B$1+36&lt;=$B196,12*$B$9,-12*MAX(0,$B$8-IF($B$1+36&gt;=$B$23,$B$22,0))*(1+$B$4)^36))*IF(AL196+IF($B$1+36&lt;=$B196,12*$B$9,-12*MAX(0,$B$8-IF($B$1+36&gt;=$B$23,$B$22,0))*(1+$B$4)^36)&gt;0,1+$B$3,1))</f>
        <v/>
      </c>
      <c r="AN196">
        <f>IF($B$1+37&gt;90,AM196,(AM196+IF($B$1+37&lt;=$B196,12*$B$9,-12*MAX(0,$B$8-IF($B$1+37&gt;=$B$23,$B$22,0))*(1+$B$4)^37))*IF(AM196+IF($B$1+37&lt;=$B196,12*$B$9,-12*MAX(0,$B$8-IF($B$1+37&gt;=$B$23,$B$22,0))*(1+$B$4)^37)&gt;0,1+$B$3,1))</f>
        <v/>
      </c>
      <c r="AO196">
        <f>IF($B$1+38&gt;90,AN196,(AN196+IF($B$1+38&lt;=$B196,12*$B$9,-12*MAX(0,$B$8-IF($B$1+38&gt;=$B$23,$B$22,0))*(1+$B$4)^38))*IF(AN196+IF($B$1+38&lt;=$B196,12*$B$9,-12*MAX(0,$B$8-IF($B$1+38&gt;=$B$23,$B$22,0))*(1+$B$4)^38)&gt;0,1+$B$3,1))</f>
        <v/>
      </c>
      <c r="AP196">
        <f>IF($B$1+39&gt;90,AO196,(AO196+IF($B$1+39&lt;=$B196,12*$B$9,-12*MAX(0,$B$8-IF($B$1+39&gt;=$B$23,$B$22,0))*(1+$B$4)^39))*IF(AO196+IF($B$1+39&lt;=$B196,12*$B$9,-12*MAX(0,$B$8-IF($B$1+39&gt;=$B$23,$B$22,0))*(1+$B$4)^39)&gt;0,1+$B$3,1))</f>
        <v/>
      </c>
      <c r="AQ196">
        <f>IF($B$1+40&gt;90,AP196,(AP196+IF($B$1+40&lt;=$B196,12*$B$9,-12*MAX(0,$B$8-IF($B$1+40&gt;=$B$23,$B$22,0))*(1+$B$4)^40))*IF(AP196+IF($B$1+40&lt;=$B196,12*$B$9,-12*MAX(0,$B$8-IF($B$1+40&gt;=$B$23,$B$22,0))*(1+$B$4)^40)&gt;0,1+$B$3,1))</f>
        <v/>
      </c>
      <c r="AR196">
        <f>IF($B$1+41&gt;90,AQ196,(AQ196+IF($B$1+41&lt;=$B196,12*$B$9,-12*MAX(0,$B$8-IF($B$1+41&gt;=$B$23,$B$22,0))*(1+$B$4)^41))*IF(AQ196+IF($B$1+41&lt;=$B196,12*$B$9,-12*MAX(0,$B$8-IF($B$1+41&gt;=$B$23,$B$22,0))*(1+$B$4)^41)&gt;0,1+$B$3,1))</f>
        <v/>
      </c>
      <c r="AS196">
        <f>IF($B$1+42&gt;90,AR196,(AR196+IF($B$1+42&lt;=$B196,12*$B$9,-12*MAX(0,$B$8-IF($B$1+42&gt;=$B$23,$B$22,0))*(1+$B$4)^42))*IF(AR196+IF($B$1+42&lt;=$B196,12*$B$9,-12*MAX(0,$B$8-IF($B$1+42&gt;=$B$23,$B$22,0))*(1+$B$4)^42)&gt;0,1+$B$3,1))</f>
        <v/>
      </c>
      <c r="AT196">
        <f>IF($B$1+43&gt;90,AS196,(AS196+IF($B$1+43&lt;=$B196,12*$B$9,-12*MAX(0,$B$8-IF($B$1+43&gt;=$B$23,$B$22,0))*(1+$B$4)^43))*IF(AS196+IF($B$1+43&lt;=$B196,12*$B$9,-12*MAX(0,$B$8-IF($B$1+43&gt;=$B$23,$B$22,0))*(1+$B$4)^43)&gt;0,1+$B$3,1))</f>
        <v/>
      </c>
      <c r="AU196">
        <f>IF($B$1+44&gt;90,AT196,(AT196+IF($B$1+44&lt;=$B196,12*$B$9,-12*MAX(0,$B$8-IF($B$1+44&gt;=$B$23,$B$22,0))*(1+$B$4)^44))*IF(AT196+IF($B$1+44&lt;=$B196,12*$B$9,-12*MAX(0,$B$8-IF($B$1+44&gt;=$B$23,$B$22,0))*(1+$B$4)^44)&gt;0,1+$B$3,1))</f>
        <v/>
      </c>
      <c r="AV196">
        <f>IF($B$1+45&gt;90,AU196,(AU196+IF($B$1+45&lt;=$B196,12*$B$9,-12*MAX(0,$B$8-IF($B$1+45&gt;=$B$23,$B$22,0))*(1+$B$4)^45))*IF(AU196+IF($B$1+45&lt;=$B196,12*$B$9,-12*MAX(0,$B$8-IF($B$1+45&gt;=$B$23,$B$22,0))*(1+$B$4)^45)&gt;0,1+$B$3,1))</f>
        <v/>
      </c>
      <c r="AW196">
        <f>IF($B$1+46&gt;90,AV196,(AV196+IF($B$1+46&lt;=$B196,12*$B$9,-12*MAX(0,$B$8-IF($B$1+46&gt;=$B$23,$B$22,0))*(1+$B$4)^46))*IF(AV196+IF($B$1+46&lt;=$B196,12*$B$9,-12*MAX(0,$B$8-IF($B$1+46&gt;=$B$23,$B$22,0))*(1+$B$4)^46)&gt;0,1+$B$3,1))</f>
        <v/>
      </c>
      <c r="AX196">
        <f>IF($B$1+47&gt;90,AW196,(AW196+IF($B$1+47&lt;=$B196,12*$B$9,-12*MAX(0,$B$8-IF($B$1+47&gt;=$B$23,$B$22,0))*(1+$B$4)^47))*IF(AW196+IF($B$1+47&lt;=$B196,12*$B$9,-12*MAX(0,$B$8-IF($B$1+47&gt;=$B$23,$B$22,0))*(1+$B$4)^47)&gt;0,1+$B$3,1))</f>
        <v/>
      </c>
      <c r="AY196">
        <f>IF($B$1+48&gt;90,AX196,(AX196+IF($B$1+48&lt;=$B196,12*$B$9,-12*MAX(0,$B$8-IF($B$1+48&gt;=$B$23,$B$22,0))*(1+$B$4)^48))*IF(AX196+IF($B$1+48&lt;=$B196,12*$B$9,-12*MAX(0,$B$8-IF($B$1+48&gt;=$B$23,$B$22,0))*(1+$B$4)^48)&gt;0,1+$B$3,1))</f>
        <v/>
      </c>
      <c r="AZ196">
        <f>IF($B$1+49&gt;90,AY196,(AY196+IF($B$1+49&lt;=$B196,12*$B$9,-12*MAX(0,$B$8-IF($B$1+49&gt;=$B$23,$B$22,0))*(1+$B$4)^49))*IF(AY196+IF($B$1+49&lt;=$B196,12*$B$9,-12*MAX(0,$B$8-IF($B$1+49&gt;=$B$23,$B$22,0))*(1+$B$4)^49)&gt;0,1+$B$3,1))</f>
        <v/>
      </c>
      <c r="BA196">
        <f>IF($B$1+50&gt;90,AZ196,(AZ196+IF($B$1+50&lt;=$B196,12*$B$9,-12*MAX(0,$B$8-IF($B$1+50&gt;=$B$23,$B$22,0))*(1+$B$4)^50))*IF(AZ196+IF($B$1+50&lt;=$B196,12*$B$9,-12*MAX(0,$B$8-IF($B$1+50&gt;=$B$23,$B$22,0))*(1+$B$4)^50)&gt;0,1+$B$3,1))</f>
        <v/>
      </c>
      <c r="BB196">
        <f>IF($B$1+51&gt;90,BA196,(BA196+IF($B$1+51&lt;=$B196,12*$B$9,-12*MAX(0,$B$8-IF($B$1+51&gt;=$B$23,$B$22,0))*(1+$B$4)^51))*IF(BA196+IF($B$1+51&lt;=$B196,12*$B$9,-12*MAX(0,$B$8-IF($B$1+51&gt;=$B$23,$B$22,0))*(1+$B$4)^51)&gt;0,1+$B$3,1))</f>
        <v/>
      </c>
      <c r="BC196">
        <f>IF($B$1+52&gt;90,BB196,(BB196+IF($B$1+52&lt;=$B196,12*$B$9,-12*MAX(0,$B$8-IF($B$1+52&gt;=$B$23,$B$22,0))*(1+$B$4)^52))*IF(BB196+IF($B$1+52&lt;=$B196,12*$B$9,-12*MAX(0,$B$8-IF($B$1+52&gt;=$B$23,$B$22,0))*(1+$B$4)^52)&gt;0,1+$B$3,1))</f>
        <v/>
      </c>
      <c r="BD196">
        <f>IF($B$1+53&gt;90,BC196,(BC196+IF($B$1+53&lt;=$B196,12*$B$9,-12*MAX(0,$B$8-IF($B$1+53&gt;=$B$23,$B$22,0))*(1+$B$4)^53))*IF(BC196+IF($B$1+53&lt;=$B196,12*$B$9,-12*MAX(0,$B$8-IF($B$1+53&gt;=$B$23,$B$22,0))*(1+$B$4)^53)&gt;0,1+$B$3,1))</f>
        <v/>
      </c>
      <c r="BE196">
        <f>IF($B$1+54&gt;90,BD196,(BD196+IF($B$1+54&lt;=$B196,12*$B$9,-12*MAX(0,$B$8-IF($B$1+54&gt;=$B$23,$B$22,0))*(1+$B$4)^54))*IF(BD196+IF($B$1+54&lt;=$B196,12*$B$9,-12*MAX(0,$B$8-IF($B$1+54&gt;=$B$23,$B$22,0))*(1+$B$4)^54)&gt;0,1+$B$3,1))</f>
        <v/>
      </c>
      <c r="BF196">
        <f>IF($B$1+55&gt;90,BE196,(BE196+IF($B$1+55&lt;=$B196,12*$B$9,-12*MAX(0,$B$8-IF($B$1+55&gt;=$B$23,$B$22,0))*(1+$B$4)^55))*IF(BE196+IF($B$1+55&lt;=$B196,12*$B$9,-12*MAX(0,$B$8-IF($B$1+55&gt;=$B$23,$B$22,0))*(1+$B$4)^55)&gt;0,1+$B$3,1))</f>
        <v/>
      </c>
      <c r="BG196">
        <f>IF($B$1+56&gt;90,BF196,(BF196+IF($B$1+56&lt;=$B196,12*$B$9,-12*MAX(0,$B$8-IF($B$1+56&gt;=$B$23,$B$22,0))*(1+$B$4)^56))*IF(BF196+IF($B$1+56&lt;=$B196,12*$B$9,-12*MAX(0,$B$8-IF($B$1+56&gt;=$B$23,$B$22,0))*(1+$B$4)^56)&gt;0,1+$B$3,1))</f>
        <v/>
      </c>
      <c r="BH196">
        <f>IF($B$1+57&gt;90,BG196,(BG196+IF($B$1+57&lt;=$B196,12*$B$9,-12*MAX(0,$B$8-IF($B$1+57&gt;=$B$23,$B$22,0))*(1+$B$4)^57))*IF(BG196+IF($B$1+57&lt;=$B196,12*$B$9,-12*MAX(0,$B$8-IF($B$1+57&gt;=$B$23,$B$22,0))*(1+$B$4)^57)&gt;0,1+$B$3,1))</f>
        <v/>
      </c>
      <c r="BI196">
        <f>IF($B$1+58&gt;90,BH196,(BH196+IF($B$1+58&lt;=$B196,12*$B$9,-12*MAX(0,$B$8-IF($B$1+58&gt;=$B$23,$B$22,0))*(1+$B$4)^58))*IF(BH196+IF($B$1+58&lt;=$B196,12*$B$9,-12*MAX(0,$B$8-IF($B$1+58&gt;=$B$23,$B$22,0))*(1+$B$4)^58)&gt;0,1+$B$3,1))</f>
        <v/>
      </c>
      <c r="BJ196">
        <f>IF($B$1+59&gt;90,BI196,(BI196+IF($B$1+59&lt;=$B196,12*$B$9,-12*MAX(0,$B$8-IF($B$1+59&gt;=$B$23,$B$22,0))*(1+$B$4)^59))*IF(BI196+IF($B$1+59&lt;=$B196,12*$B$9,-12*MAX(0,$B$8-IF($B$1+59&gt;=$B$23,$B$22,0))*(1+$B$4)^59)&gt;0,1+$B$3,1))</f>
        <v/>
      </c>
      <c r="BK196">
        <f>IF($B$1+60&gt;90,BJ196,(BJ196+IF($B$1+60&lt;=$B196,12*$B$9,-12*MAX(0,$B$8-IF($B$1+60&gt;=$B$23,$B$22,0))*(1+$B$4)^60))*IF(BJ196+IF($B$1+60&lt;=$B196,12*$B$9,-12*MAX(0,$B$8-IF($B$1+60&gt;=$B$23,$B$22,0))*(1+$B$4)^60)&gt;0,1+$B$3,1))</f>
        <v/>
      </c>
      <c r="BL196">
        <f>IF($B$1+61&gt;90,BK196,(BK196+IF($B$1+61&lt;=$B196,12*$B$9,-12*MAX(0,$B$8-IF($B$1+61&gt;=$B$23,$B$22,0))*(1+$B$4)^61))*IF(BK196+IF($B$1+61&lt;=$B196,12*$B$9,-12*MAX(0,$B$8-IF($B$1+61&gt;=$B$23,$B$22,0))*(1+$B$4)^61)&gt;0,1+$B$3,1))</f>
        <v/>
      </c>
      <c r="BM196">
        <f>IF($B$1+62&gt;90,BL196,(BL196+IF($B$1+62&lt;=$B196,12*$B$9,-12*MAX(0,$B$8-IF($B$1+62&gt;=$B$23,$B$22,0))*(1+$B$4)^62))*IF(BL196+IF($B$1+62&lt;=$B196,12*$B$9,-12*MAX(0,$B$8-IF($B$1+62&gt;=$B$23,$B$22,0))*(1+$B$4)^62)&gt;0,1+$B$3,1))</f>
        <v/>
      </c>
      <c r="BN196">
        <f>IF($B$1+63&gt;90,BM196,(BM196+IF($B$1+63&lt;=$B196,12*$B$9,-12*MAX(0,$B$8-IF($B$1+63&gt;=$B$23,$B$22,0))*(1+$B$4)^63))*IF(BM196+IF($B$1+63&lt;=$B196,12*$B$9,-12*MAX(0,$B$8-IF($B$1+63&gt;=$B$23,$B$22,0))*(1+$B$4)^63)&gt;0,1+$B$3,1))</f>
        <v/>
      </c>
      <c r="BO196">
        <f>IF($B$1+64&gt;90,BN196,(BN196+IF($B$1+64&lt;=$B196,12*$B$9,-12*MAX(0,$B$8-IF($B$1+64&gt;=$B$23,$B$22,0))*(1+$B$4)^64))*IF(BN196+IF($B$1+64&lt;=$B196,12*$B$9,-12*MAX(0,$B$8-IF($B$1+64&gt;=$B$23,$B$22,0))*(1+$B$4)^64)&gt;0,1+$B$3,1))</f>
        <v/>
      </c>
      <c r="BP196">
        <f>IF($B$1+65&gt;90,BO196,(BO196+IF($B$1+65&lt;=$B196,12*$B$9,-12*MAX(0,$B$8-IF($B$1+65&gt;=$B$23,$B$22,0))*(1+$B$4)^65))*IF(BO196+IF($B$1+65&lt;=$B196,12*$B$9,-12*MAX(0,$B$8-IF($B$1+65&gt;=$B$23,$B$22,0))*(1+$B$4)^65)&gt;0,1+$B$3,1))</f>
        <v/>
      </c>
      <c r="BQ196">
        <f>IF($B$1+66&gt;90,BP196,(BP196+IF($B$1+66&lt;=$B196,12*$B$9,-12*MAX(0,$B$8-IF($B$1+66&gt;=$B$23,$B$22,0))*(1+$B$4)^66))*IF(BP196+IF($B$1+66&lt;=$B196,12*$B$9,-12*MAX(0,$B$8-IF($B$1+66&gt;=$B$23,$B$22,0))*(1+$B$4)^66)&gt;0,1+$B$3,1))</f>
        <v/>
      </c>
      <c r="BR196">
        <f>IF($B$1+67&gt;90,BQ196,(BQ196+IF($B$1+67&lt;=$B196,12*$B$9,-12*MAX(0,$B$8-IF($B$1+67&gt;=$B$23,$B$22,0))*(1+$B$4)^67))*IF(BQ196+IF($B$1+67&lt;=$B196,12*$B$9,-12*MAX(0,$B$8-IF($B$1+67&gt;=$B$23,$B$22,0))*(1+$B$4)^67)&gt;0,1+$B$3,1))</f>
        <v/>
      </c>
      <c r="BS196">
        <f>IF($B$1+68&gt;90,BR196,(BR196+IF($B$1+68&lt;=$B196,12*$B$9,-12*MAX(0,$B$8-IF($B$1+68&gt;=$B$23,$B$22,0))*(1+$B$4)^68))*IF(BR196+IF($B$1+68&lt;=$B196,12*$B$9,-12*MAX(0,$B$8-IF($B$1+68&gt;=$B$23,$B$22,0))*(1+$B$4)^68)&gt;0,1+$B$3,1))</f>
        <v/>
      </c>
      <c r="BT196">
        <f>IF($B$1+69&gt;90,BS196,(BS196+IF($B$1+69&lt;=$B196,12*$B$9,-12*MAX(0,$B$8-IF($B$1+69&gt;=$B$23,$B$22,0))*(1+$B$4)^69))*IF(BS196+IF($B$1+69&lt;=$B196,12*$B$9,-12*MAX(0,$B$8-IF($B$1+69&gt;=$B$23,$B$22,0))*(1+$B$4)^69)&gt;0,1+$B$3,1))</f>
        <v/>
      </c>
      <c r="BU196">
        <f>IF($B$1+70&gt;90,BT196,(BT196+IF($B$1+70&lt;=$B196,12*$B$9,-12*MAX(0,$B$8-IF($B$1+70&gt;=$B$23,$B$22,0))*(1+$B$4)^70))*IF(BT196+IF($B$1+70&lt;=$B196,12*$B$9,-12*MAX(0,$B$8-IF($B$1+70&gt;=$B$23,$B$22,0))*(1+$B$4)^70)&gt;0,1+$B$3,1))</f>
        <v/>
      </c>
      <c r="BV196">
        <f>BU196</f>
        <v/>
      </c>
      <c r="BW196">
        <f>IF(AND($B196&lt;=70,BV196&gt;0),$B196,999)</f>
        <v/>
      </c>
      <c r="CH196">
        <f>IF(ISTEXT('월 가계부'!A196),SUBSTITUTE(SUBSTITUTE(SUBSTITUTE(SUBSTITUTE(SUBSTITUTE(SUBSTITUTE(SUBSTITUTE(SUBSTITUTE(SUBSTITUTE(TRIM('월 가계부'!A196),"년","-"),"월","-"),"일",""),".","-"),"/","-")," ","-"),"--","-"),"--","-"),"--","-")&amp;"-","")</f>
        <v/>
      </c>
      <c r="CI196">
        <f>IFERROR(IF('월 가계부'!A196="","",IF(ISNUMBER('월 가계부'!A196),IF(AND('월 가계부'!A196&gt;=19000101,'월 가계부'!A196&lt;=21001231),IF(AND(MOD(INT('월 가계부'!A196/100),100)&gt;=1,MOD(INT('월 가계부'!A196/100),100)&lt;=12,MOD(INT('월 가계부'!A196),100)&gt;=1,MOD(INT('월 가계부'!A196),100)&lt;=31),IF(MONTH(DATE(INT('월 가계부'!A196/10000),MOD(INT('월 가계부'!A196/100),100),MOD(INT('월 가계부'!A196),100)))=MOD(INT('월 가계부'!A196/100),100),DATE(INT('월 가계부'!A196/10000),MOD(INT('월 가계부'!A196/100),100),MOD(INT('월 가계부'!A196),100)),""),""),IF(AND('월 가계부'!A196&gt;=36526,'월 가계부'!A196&lt;73051),INT('월 가계부'!A196),"")),IF(OR(CM196="",CN196="",CO196=""),"",IF(AND(CM196&gt;=2000,CM196&lt;=2099,CN196&gt;=1,CN196&lt;=12,CO196&gt;=1,CO196&lt;=31),IF(MONTH(DATE(CM196,CN196,CO196))=CN196,DATE(CM196,CN196,CO196),""),"")))),"")</f>
        <v/>
      </c>
      <c r="CJ196">
        <f>IFERROR(IF('월 가계부'!C196="","",IF(ISNUMBER('월 가계부'!C196),'월 가계부'!C196,VALUE(SUBSTITUTE(SUBSTITUTE(SUBSTITUTE(SUBSTITUTE(TRIM('월 가계부'!C196),",",""),"원","")," ",""),"−","-")))),"")</f>
        <v/>
      </c>
      <c r="CK196">
        <f>IF(ISNUMBER(CI196),IF(CI196&lt;$B$13,CI196,""),"")</f>
        <v/>
      </c>
      <c r="CM196">
        <f>IF(CH196="","",IFERROR(IF(IF(AND(LEN(CH196)=9,ISERROR(FIND("-",LEFT(CH196,8))),ISNUMBER(-LEFT(CH196,8))),VALUE(LEFT(CH196,4)),VALUE(LEFT(CH196,FIND("-",CH196)-1)))&lt;100,IF(AND(LEN(CH196)=9,ISERROR(FIND("-",LEFT(CH196,8))),ISNUMBER(-LEFT(CH196,8))),VALUE(LEFT(CH196,4)),VALUE(LEFT(CH196,FIND("-",CH196)-1)))+2000,IF(AND(LEN(CH196)=9,ISERROR(FIND("-",LEFT(CH196,8))),ISNUMBER(-LEFT(CH196,8))),VALUE(LEFT(CH196,4)),VALUE(LEFT(CH196,FIND("-",CH196)-1)))),""))</f>
        <v/>
      </c>
      <c r="CN196">
        <f>IF(CH196="","",IFERROR(IF(AND(LEN(CH196)=9,ISERROR(FIND("-",LEFT(CH196,8))),ISNUMBER(-LEFT(CH196,8))),VALUE(MID(CH196,5,2)),VALUE(MID(CH196,FIND("-",CH196)+1,FIND("-",CH196,FIND("-",CH196)+1)-FIND("-",CH196)-1))),""))</f>
        <v/>
      </c>
      <c r="CO196">
        <f>IF(CH196="","",IFERROR(IF(AND(LEN(CH196)=9,ISERROR(FIND("-",LEFT(CH196,8))),ISNUMBER(-LEFT(CH196,8))),VALUE(MID(CH196,7,2)),VALUE(MID(CH196,FIND("-",CH196,FIND("-",CH196)+1)+1,FIND("-",CH196,FIND("-",CH196,FIND("-",CH196)+1)+1)-FIND("-",CH196,FIND("-",CH196)+1)-1))),""))</f>
        <v/>
      </c>
    </row>
    <row r="197">
      <c r="A197" t="n">
        <v>45</v>
      </c>
      <c r="B197">
        <f>$B$1+45</f>
        <v/>
      </c>
      <c r="C197">
        <f>$B$2</f>
        <v/>
      </c>
      <c r="D197">
        <f>IF($B$1+1&gt;90,C197,(C197+IF($B$1+1&lt;=$B197,12*$B$9,-12*MAX(0,$B$8-IF($B$1+1&gt;=$B$23,$B$22,0))*(1+$B$4)^1))*IF(C197+IF($B$1+1&lt;=$B197,12*$B$9,-12*MAX(0,$B$8-IF($B$1+1&gt;=$B$23,$B$22,0))*(1+$B$4)^1)&gt;0,1+$B$3,1))</f>
        <v/>
      </c>
      <c r="E197">
        <f>IF($B$1+2&gt;90,D197,(D197+IF($B$1+2&lt;=$B197,12*$B$9,-12*MAX(0,$B$8-IF($B$1+2&gt;=$B$23,$B$22,0))*(1+$B$4)^2))*IF(D197+IF($B$1+2&lt;=$B197,12*$B$9,-12*MAX(0,$B$8-IF($B$1+2&gt;=$B$23,$B$22,0))*(1+$B$4)^2)&gt;0,1+$B$3,1))</f>
        <v/>
      </c>
      <c r="F197">
        <f>IF($B$1+3&gt;90,E197,(E197+IF($B$1+3&lt;=$B197,12*$B$9,-12*MAX(0,$B$8-IF($B$1+3&gt;=$B$23,$B$22,0))*(1+$B$4)^3))*IF(E197+IF($B$1+3&lt;=$B197,12*$B$9,-12*MAX(0,$B$8-IF($B$1+3&gt;=$B$23,$B$22,0))*(1+$B$4)^3)&gt;0,1+$B$3,1))</f>
        <v/>
      </c>
      <c r="G197">
        <f>IF($B$1+4&gt;90,F197,(F197+IF($B$1+4&lt;=$B197,12*$B$9,-12*MAX(0,$B$8-IF($B$1+4&gt;=$B$23,$B$22,0))*(1+$B$4)^4))*IF(F197+IF($B$1+4&lt;=$B197,12*$B$9,-12*MAX(0,$B$8-IF($B$1+4&gt;=$B$23,$B$22,0))*(1+$B$4)^4)&gt;0,1+$B$3,1))</f>
        <v/>
      </c>
      <c r="H197">
        <f>IF($B$1+5&gt;90,G197,(G197+IF($B$1+5&lt;=$B197,12*$B$9,-12*MAX(0,$B$8-IF($B$1+5&gt;=$B$23,$B$22,0))*(1+$B$4)^5))*IF(G197+IF($B$1+5&lt;=$B197,12*$B$9,-12*MAX(0,$B$8-IF($B$1+5&gt;=$B$23,$B$22,0))*(1+$B$4)^5)&gt;0,1+$B$3,1))</f>
        <v/>
      </c>
      <c r="I197">
        <f>IF($B$1+6&gt;90,H197,(H197+IF($B$1+6&lt;=$B197,12*$B$9,-12*MAX(0,$B$8-IF($B$1+6&gt;=$B$23,$B$22,0))*(1+$B$4)^6))*IF(H197+IF($B$1+6&lt;=$B197,12*$B$9,-12*MAX(0,$B$8-IF($B$1+6&gt;=$B$23,$B$22,0))*(1+$B$4)^6)&gt;0,1+$B$3,1))</f>
        <v/>
      </c>
      <c r="J197">
        <f>IF($B$1+7&gt;90,I197,(I197+IF($B$1+7&lt;=$B197,12*$B$9,-12*MAX(0,$B$8-IF($B$1+7&gt;=$B$23,$B$22,0))*(1+$B$4)^7))*IF(I197+IF($B$1+7&lt;=$B197,12*$B$9,-12*MAX(0,$B$8-IF($B$1+7&gt;=$B$23,$B$22,0))*(1+$B$4)^7)&gt;0,1+$B$3,1))</f>
        <v/>
      </c>
      <c r="K197">
        <f>IF($B$1+8&gt;90,J197,(J197+IF($B$1+8&lt;=$B197,12*$B$9,-12*MAX(0,$B$8-IF($B$1+8&gt;=$B$23,$B$22,0))*(1+$B$4)^8))*IF(J197+IF($B$1+8&lt;=$B197,12*$B$9,-12*MAX(0,$B$8-IF($B$1+8&gt;=$B$23,$B$22,0))*(1+$B$4)^8)&gt;0,1+$B$3,1))</f>
        <v/>
      </c>
      <c r="L197">
        <f>IF($B$1+9&gt;90,K197,(K197+IF($B$1+9&lt;=$B197,12*$B$9,-12*MAX(0,$B$8-IF($B$1+9&gt;=$B$23,$B$22,0))*(1+$B$4)^9))*IF(K197+IF($B$1+9&lt;=$B197,12*$B$9,-12*MAX(0,$B$8-IF($B$1+9&gt;=$B$23,$B$22,0))*(1+$B$4)^9)&gt;0,1+$B$3,1))</f>
        <v/>
      </c>
      <c r="M197">
        <f>IF($B$1+10&gt;90,L197,(L197+IF($B$1+10&lt;=$B197,12*$B$9,-12*MAX(0,$B$8-IF($B$1+10&gt;=$B$23,$B$22,0))*(1+$B$4)^10))*IF(L197+IF($B$1+10&lt;=$B197,12*$B$9,-12*MAX(0,$B$8-IF($B$1+10&gt;=$B$23,$B$22,0))*(1+$B$4)^10)&gt;0,1+$B$3,1))</f>
        <v/>
      </c>
      <c r="N197">
        <f>IF($B$1+11&gt;90,M197,(M197+IF($B$1+11&lt;=$B197,12*$B$9,-12*MAX(0,$B$8-IF($B$1+11&gt;=$B$23,$B$22,0))*(1+$B$4)^11))*IF(M197+IF($B$1+11&lt;=$B197,12*$B$9,-12*MAX(0,$B$8-IF($B$1+11&gt;=$B$23,$B$22,0))*(1+$B$4)^11)&gt;0,1+$B$3,1))</f>
        <v/>
      </c>
      <c r="O197">
        <f>IF($B$1+12&gt;90,N197,(N197+IF($B$1+12&lt;=$B197,12*$B$9,-12*MAX(0,$B$8-IF($B$1+12&gt;=$B$23,$B$22,0))*(1+$B$4)^12))*IF(N197+IF($B$1+12&lt;=$B197,12*$B$9,-12*MAX(0,$B$8-IF($B$1+12&gt;=$B$23,$B$22,0))*(1+$B$4)^12)&gt;0,1+$B$3,1))</f>
        <v/>
      </c>
      <c r="P197">
        <f>IF($B$1+13&gt;90,O197,(O197+IF($B$1+13&lt;=$B197,12*$B$9,-12*MAX(0,$B$8-IF($B$1+13&gt;=$B$23,$B$22,0))*(1+$B$4)^13))*IF(O197+IF($B$1+13&lt;=$B197,12*$B$9,-12*MAX(0,$B$8-IF($B$1+13&gt;=$B$23,$B$22,0))*(1+$B$4)^13)&gt;0,1+$B$3,1))</f>
        <v/>
      </c>
      <c r="Q197">
        <f>IF($B$1+14&gt;90,P197,(P197+IF($B$1+14&lt;=$B197,12*$B$9,-12*MAX(0,$B$8-IF($B$1+14&gt;=$B$23,$B$22,0))*(1+$B$4)^14))*IF(P197+IF($B$1+14&lt;=$B197,12*$B$9,-12*MAX(0,$B$8-IF($B$1+14&gt;=$B$23,$B$22,0))*(1+$B$4)^14)&gt;0,1+$B$3,1))</f>
        <v/>
      </c>
      <c r="R197">
        <f>IF($B$1+15&gt;90,Q197,(Q197+IF($B$1+15&lt;=$B197,12*$B$9,-12*MAX(0,$B$8-IF($B$1+15&gt;=$B$23,$B$22,0))*(1+$B$4)^15))*IF(Q197+IF($B$1+15&lt;=$B197,12*$B$9,-12*MAX(0,$B$8-IF($B$1+15&gt;=$B$23,$B$22,0))*(1+$B$4)^15)&gt;0,1+$B$3,1))</f>
        <v/>
      </c>
      <c r="S197">
        <f>IF($B$1+16&gt;90,R197,(R197+IF($B$1+16&lt;=$B197,12*$B$9,-12*MAX(0,$B$8-IF($B$1+16&gt;=$B$23,$B$22,0))*(1+$B$4)^16))*IF(R197+IF($B$1+16&lt;=$B197,12*$B$9,-12*MAX(0,$B$8-IF($B$1+16&gt;=$B$23,$B$22,0))*(1+$B$4)^16)&gt;0,1+$B$3,1))</f>
        <v/>
      </c>
      <c r="T197">
        <f>IF($B$1+17&gt;90,S197,(S197+IF($B$1+17&lt;=$B197,12*$B$9,-12*MAX(0,$B$8-IF($B$1+17&gt;=$B$23,$B$22,0))*(1+$B$4)^17))*IF(S197+IF($B$1+17&lt;=$B197,12*$B$9,-12*MAX(0,$B$8-IF($B$1+17&gt;=$B$23,$B$22,0))*(1+$B$4)^17)&gt;0,1+$B$3,1))</f>
        <v/>
      </c>
      <c r="U197">
        <f>IF($B$1+18&gt;90,T197,(T197+IF($B$1+18&lt;=$B197,12*$B$9,-12*MAX(0,$B$8-IF($B$1+18&gt;=$B$23,$B$22,0))*(1+$B$4)^18))*IF(T197+IF($B$1+18&lt;=$B197,12*$B$9,-12*MAX(0,$B$8-IF($B$1+18&gt;=$B$23,$B$22,0))*(1+$B$4)^18)&gt;0,1+$B$3,1))</f>
        <v/>
      </c>
      <c r="V197">
        <f>IF($B$1+19&gt;90,U197,(U197+IF($B$1+19&lt;=$B197,12*$B$9,-12*MAX(0,$B$8-IF($B$1+19&gt;=$B$23,$B$22,0))*(1+$B$4)^19))*IF(U197+IF($B$1+19&lt;=$B197,12*$B$9,-12*MAX(0,$B$8-IF($B$1+19&gt;=$B$23,$B$22,0))*(1+$B$4)^19)&gt;0,1+$B$3,1))</f>
        <v/>
      </c>
      <c r="W197">
        <f>IF($B$1+20&gt;90,V197,(V197+IF($B$1+20&lt;=$B197,12*$B$9,-12*MAX(0,$B$8-IF($B$1+20&gt;=$B$23,$B$22,0))*(1+$B$4)^20))*IF(V197+IF($B$1+20&lt;=$B197,12*$B$9,-12*MAX(0,$B$8-IF($B$1+20&gt;=$B$23,$B$22,0))*(1+$B$4)^20)&gt;0,1+$B$3,1))</f>
        <v/>
      </c>
      <c r="X197">
        <f>IF($B$1+21&gt;90,W197,(W197+IF($B$1+21&lt;=$B197,12*$B$9,-12*MAX(0,$B$8-IF($B$1+21&gt;=$B$23,$B$22,0))*(1+$B$4)^21))*IF(W197+IF($B$1+21&lt;=$B197,12*$B$9,-12*MAX(0,$B$8-IF($B$1+21&gt;=$B$23,$B$22,0))*(1+$B$4)^21)&gt;0,1+$B$3,1))</f>
        <v/>
      </c>
      <c r="Y197">
        <f>IF($B$1+22&gt;90,X197,(X197+IF($B$1+22&lt;=$B197,12*$B$9,-12*MAX(0,$B$8-IF($B$1+22&gt;=$B$23,$B$22,0))*(1+$B$4)^22))*IF(X197+IF($B$1+22&lt;=$B197,12*$B$9,-12*MAX(0,$B$8-IF($B$1+22&gt;=$B$23,$B$22,0))*(1+$B$4)^22)&gt;0,1+$B$3,1))</f>
        <v/>
      </c>
      <c r="Z197">
        <f>IF($B$1+23&gt;90,Y197,(Y197+IF($B$1+23&lt;=$B197,12*$B$9,-12*MAX(0,$B$8-IF($B$1+23&gt;=$B$23,$B$22,0))*(1+$B$4)^23))*IF(Y197+IF($B$1+23&lt;=$B197,12*$B$9,-12*MAX(0,$B$8-IF($B$1+23&gt;=$B$23,$B$22,0))*(1+$B$4)^23)&gt;0,1+$B$3,1))</f>
        <v/>
      </c>
      <c r="AA197">
        <f>IF($B$1+24&gt;90,Z197,(Z197+IF($B$1+24&lt;=$B197,12*$B$9,-12*MAX(0,$B$8-IF($B$1+24&gt;=$B$23,$B$22,0))*(1+$B$4)^24))*IF(Z197+IF($B$1+24&lt;=$B197,12*$B$9,-12*MAX(0,$B$8-IF($B$1+24&gt;=$B$23,$B$22,0))*(1+$B$4)^24)&gt;0,1+$B$3,1))</f>
        <v/>
      </c>
      <c r="AB197">
        <f>IF($B$1+25&gt;90,AA197,(AA197+IF($B$1+25&lt;=$B197,12*$B$9,-12*MAX(0,$B$8-IF($B$1+25&gt;=$B$23,$B$22,0))*(1+$B$4)^25))*IF(AA197+IF($B$1+25&lt;=$B197,12*$B$9,-12*MAX(0,$B$8-IF($B$1+25&gt;=$B$23,$B$22,0))*(1+$B$4)^25)&gt;0,1+$B$3,1))</f>
        <v/>
      </c>
      <c r="AC197">
        <f>IF($B$1+26&gt;90,AB197,(AB197+IF($B$1+26&lt;=$B197,12*$B$9,-12*MAX(0,$B$8-IF($B$1+26&gt;=$B$23,$B$22,0))*(1+$B$4)^26))*IF(AB197+IF($B$1+26&lt;=$B197,12*$B$9,-12*MAX(0,$B$8-IF($B$1+26&gt;=$B$23,$B$22,0))*(1+$B$4)^26)&gt;0,1+$B$3,1))</f>
        <v/>
      </c>
      <c r="AD197">
        <f>IF($B$1+27&gt;90,AC197,(AC197+IF($B$1+27&lt;=$B197,12*$B$9,-12*MAX(0,$B$8-IF($B$1+27&gt;=$B$23,$B$22,0))*(1+$B$4)^27))*IF(AC197+IF($B$1+27&lt;=$B197,12*$B$9,-12*MAX(0,$B$8-IF($B$1+27&gt;=$B$23,$B$22,0))*(1+$B$4)^27)&gt;0,1+$B$3,1))</f>
        <v/>
      </c>
      <c r="AE197">
        <f>IF($B$1+28&gt;90,AD197,(AD197+IF($B$1+28&lt;=$B197,12*$B$9,-12*MAX(0,$B$8-IF($B$1+28&gt;=$B$23,$B$22,0))*(1+$B$4)^28))*IF(AD197+IF($B$1+28&lt;=$B197,12*$B$9,-12*MAX(0,$B$8-IF($B$1+28&gt;=$B$23,$B$22,0))*(1+$B$4)^28)&gt;0,1+$B$3,1))</f>
        <v/>
      </c>
      <c r="AF197">
        <f>IF($B$1+29&gt;90,AE197,(AE197+IF($B$1+29&lt;=$B197,12*$B$9,-12*MAX(0,$B$8-IF($B$1+29&gt;=$B$23,$B$22,0))*(1+$B$4)^29))*IF(AE197+IF($B$1+29&lt;=$B197,12*$B$9,-12*MAX(0,$B$8-IF($B$1+29&gt;=$B$23,$B$22,0))*(1+$B$4)^29)&gt;0,1+$B$3,1))</f>
        <v/>
      </c>
      <c r="AG197">
        <f>IF($B$1+30&gt;90,AF197,(AF197+IF($B$1+30&lt;=$B197,12*$B$9,-12*MAX(0,$B$8-IF($B$1+30&gt;=$B$23,$B$22,0))*(1+$B$4)^30))*IF(AF197+IF($B$1+30&lt;=$B197,12*$B$9,-12*MAX(0,$B$8-IF($B$1+30&gt;=$B$23,$B$22,0))*(1+$B$4)^30)&gt;0,1+$B$3,1))</f>
        <v/>
      </c>
      <c r="AH197">
        <f>IF($B$1+31&gt;90,AG197,(AG197+IF($B$1+31&lt;=$B197,12*$B$9,-12*MAX(0,$B$8-IF($B$1+31&gt;=$B$23,$B$22,0))*(1+$B$4)^31))*IF(AG197+IF($B$1+31&lt;=$B197,12*$B$9,-12*MAX(0,$B$8-IF($B$1+31&gt;=$B$23,$B$22,0))*(1+$B$4)^31)&gt;0,1+$B$3,1))</f>
        <v/>
      </c>
      <c r="AI197">
        <f>IF($B$1+32&gt;90,AH197,(AH197+IF($B$1+32&lt;=$B197,12*$B$9,-12*MAX(0,$B$8-IF($B$1+32&gt;=$B$23,$B$22,0))*(1+$B$4)^32))*IF(AH197+IF($B$1+32&lt;=$B197,12*$B$9,-12*MAX(0,$B$8-IF($B$1+32&gt;=$B$23,$B$22,0))*(1+$B$4)^32)&gt;0,1+$B$3,1))</f>
        <v/>
      </c>
      <c r="AJ197">
        <f>IF($B$1+33&gt;90,AI197,(AI197+IF($B$1+33&lt;=$B197,12*$B$9,-12*MAX(0,$B$8-IF($B$1+33&gt;=$B$23,$B$22,0))*(1+$B$4)^33))*IF(AI197+IF($B$1+33&lt;=$B197,12*$B$9,-12*MAX(0,$B$8-IF($B$1+33&gt;=$B$23,$B$22,0))*(1+$B$4)^33)&gt;0,1+$B$3,1))</f>
        <v/>
      </c>
      <c r="AK197">
        <f>IF($B$1+34&gt;90,AJ197,(AJ197+IF($B$1+34&lt;=$B197,12*$B$9,-12*MAX(0,$B$8-IF($B$1+34&gt;=$B$23,$B$22,0))*(1+$B$4)^34))*IF(AJ197+IF($B$1+34&lt;=$B197,12*$B$9,-12*MAX(0,$B$8-IF($B$1+34&gt;=$B$23,$B$22,0))*(1+$B$4)^34)&gt;0,1+$B$3,1))</f>
        <v/>
      </c>
      <c r="AL197">
        <f>IF($B$1+35&gt;90,AK197,(AK197+IF($B$1+35&lt;=$B197,12*$B$9,-12*MAX(0,$B$8-IF($B$1+35&gt;=$B$23,$B$22,0))*(1+$B$4)^35))*IF(AK197+IF($B$1+35&lt;=$B197,12*$B$9,-12*MAX(0,$B$8-IF($B$1+35&gt;=$B$23,$B$22,0))*(1+$B$4)^35)&gt;0,1+$B$3,1))</f>
        <v/>
      </c>
      <c r="AM197">
        <f>IF($B$1+36&gt;90,AL197,(AL197+IF($B$1+36&lt;=$B197,12*$B$9,-12*MAX(0,$B$8-IF($B$1+36&gt;=$B$23,$B$22,0))*(1+$B$4)^36))*IF(AL197+IF($B$1+36&lt;=$B197,12*$B$9,-12*MAX(0,$B$8-IF($B$1+36&gt;=$B$23,$B$22,0))*(1+$B$4)^36)&gt;0,1+$B$3,1))</f>
        <v/>
      </c>
      <c r="AN197">
        <f>IF($B$1+37&gt;90,AM197,(AM197+IF($B$1+37&lt;=$B197,12*$B$9,-12*MAX(0,$B$8-IF($B$1+37&gt;=$B$23,$B$22,0))*(1+$B$4)^37))*IF(AM197+IF($B$1+37&lt;=$B197,12*$B$9,-12*MAX(0,$B$8-IF($B$1+37&gt;=$B$23,$B$22,0))*(1+$B$4)^37)&gt;0,1+$B$3,1))</f>
        <v/>
      </c>
      <c r="AO197">
        <f>IF($B$1+38&gt;90,AN197,(AN197+IF($B$1+38&lt;=$B197,12*$B$9,-12*MAX(0,$B$8-IF($B$1+38&gt;=$B$23,$B$22,0))*(1+$B$4)^38))*IF(AN197+IF($B$1+38&lt;=$B197,12*$B$9,-12*MAX(0,$B$8-IF($B$1+38&gt;=$B$23,$B$22,0))*(1+$B$4)^38)&gt;0,1+$B$3,1))</f>
        <v/>
      </c>
      <c r="AP197">
        <f>IF($B$1+39&gt;90,AO197,(AO197+IF($B$1+39&lt;=$B197,12*$B$9,-12*MAX(0,$B$8-IF($B$1+39&gt;=$B$23,$B$22,0))*(1+$B$4)^39))*IF(AO197+IF($B$1+39&lt;=$B197,12*$B$9,-12*MAX(0,$B$8-IF($B$1+39&gt;=$B$23,$B$22,0))*(1+$B$4)^39)&gt;0,1+$B$3,1))</f>
        <v/>
      </c>
      <c r="AQ197">
        <f>IF($B$1+40&gt;90,AP197,(AP197+IF($B$1+40&lt;=$B197,12*$B$9,-12*MAX(0,$B$8-IF($B$1+40&gt;=$B$23,$B$22,0))*(1+$B$4)^40))*IF(AP197+IF($B$1+40&lt;=$B197,12*$B$9,-12*MAX(0,$B$8-IF($B$1+40&gt;=$B$23,$B$22,0))*(1+$B$4)^40)&gt;0,1+$B$3,1))</f>
        <v/>
      </c>
      <c r="AR197">
        <f>IF($B$1+41&gt;90,AQ197,(AQ197+IF($B$1+41&lt;=$B197,12*$B$9,-12*MAX(0,$B$8-IF($B$1+41&gt;=$B$23,$B$22,0))*(1+$B$4)^41))*IF(AQ197+IF($B$1+41&lt;=$B197,12*$B$9,-12*MAX(0,$B$8-IF($B$1+41&gt;=$B$23,$B$22,0))*(1+$B$4)^41)&gt;0,1+$B$3,1))</f>
        <v/>
      </c>
      <c r="AS197">
        <f>IF($B$1+42&gt;90,AR197,(AR197+IF($B$1+42&lt;=$B197,12*$B$9,-12*MAX(0,$B$8-IF($B$1+42&gt;=$B$23,$B$22,0))*(1+$B$4)^42))*IF(AR197+IF($B$1+42&lt;=$B197,12*$B$9,-12*MAX(0,$B$8-IF($B$1+42&gt;=$B$23,$B$22,0))*(1+$B$4)^42)&gt;0,1+$B$3,1))</f>
        <v/>
      </c>
      <c r="AT197">
        <f>IF($B$1+43&gt;90,AS197,(AS197+IF($B$1+43&lt;=$B197,12*$B$9,-12*MAX(0,$B$8-IF($B$1+43&gt;=$B$23,$B$22,0))*(1+$B$4)^43))*IF(AS197+IF($B$1+43&lt;=$B197,12*$B$9,-12*MAX(0,$B$8-IF($B$1+43&gt;=$B$23,$B$22,0))*(1+$B$4)^43)&gt;0,1+$B$3,1))</f>
        <v/>
      </c>
      <c r="AU197">
        <f>IF($B$1+44&gt;90,AT197,(AT197+IF($B$1+44&lt;=$B197,12*$B$9,-12*MAX(0,$B$8-IF($B$1+44&gt;=$B$23,$B$22,0))*(1+$B$4)^44))*IF(AT197+IF($B$1+44&lt;=$B197,12*$B$9,-12*MAX(0,$B$8-IF($B$1+44&gt;=$B$23,$B$22,0))*(1+$B$4)^44)&gt;0,1+$B$3,1))</f>
        <v/>
      </c>
      <c r="AV197">
        <f>IF($B$1+45&gt;90,AU197,(AU197+IF($B$1+45&lt;=$B197,12*$B$9,-12*MAX(0,$B$8-IF($B$1+45&gt;=$B$23,$B$22,0))*(1+$B$4)^45))*IF(AU197+IF($B$1+45&lt;=$B197,12*$B$9,-12*MAX(0,$B$8-IF($B$1+45&gt;=$B$23,$B$22,0))*(1+$B$4)^45)&gt;0,1+$B$3,1))</f>
        <v/>
      </c>
      <c r="AW197">
        <f>IF($B$1+46&gt;90,AV197,(AV197+IF($B$1+46&lt;=$B197,12*$B$9,-12*MAX(0,$B$8-IF($B$1+46&gt;=$B$23,$B$22,0))*(1+$B$4)^46))*IF(AV197+IF($B$1+46&lt;=$B197,12*$B$9,-12*MAX(0,$B$8-IF($B$1+46&gt;=$B$23,$B$22,0))*(1+$B$4)^46)&gt;0,1+$B$3,1))</f>
        <v/>
      </c>
      <c r="AX197">
        <f>IF($B$1+47&gt;90,AW197,(AW197+IF($B$1+47&lt;=$B197,12*$B$9,-12*MAX(0,$B$8-IF($B$1+47&gt;=$B$23,$B$22,0))*(1+$B$4)^47))*IF(AW197+IF($B$1+47&lt;=$B197,12*$B$9,-12*MAX(0,$B$8-IF($B$1+47&gt;=$B$23,$B$22,0))*(1+$B$4)^47)&gt;0,1+$B$3,1))</f>
        <v/>
      </c>
      <c r="AY197">
        <f>IF($B$1+48&gt;90,AX197,(AX197+IF($B$1+48&lt;=$B197,12*$B$9,-12*MAX(0,$B$8-IF($B$1+48&gt;=$B$23,$B$22,0))*(1+$B$4)^48))*IF(AX197+IF($B$1+48&lt;=$B197,12*$B$9,-12*MAX(0,$B$8-IF($B$1+48&gt;=$B$23,$B$22,0))*(1+$B$4)^48)&gt;0,1+$B$3,1))</f>
        <v/>
      </c>
      <c r="AZ197">
        <f>IF($B$1+49&gt;90,AY197,(AY197+IF($B$1+49&lt;=$B197,12*$B$9,-12*MAX(0,$B$8-IF($B$1+49&gt;=$B$23,$B$22,0))*(1+$B$4)^49))*IF(AY197+IF($B$1+49&lt;=$B197,12*$B$9,-12*MAX(0,$B$8-IF($B$1+49&gt;=$B$23,$B$22,0))*(1+$B$4)^49)&gt;0,1+$B$3,1))</f>
        <v/>
      </c>
      <c r="BA197">
        <f>IF($B$1+50&gt;90,AZ197,(AZ197+IF($B$1+50&lt;=$B197,12*$B$9,-12*MAX(0,$B$8-IF($B$1+50&gt;=$B$23,$B$22,0))*(1+$B$4)^50))*IF(AZ197+IF($B$1+50&lt;=$B197,12*$B$9,-12*MAX(0,$B$8-IF($B$1+50&gt;=$B$23,$B$22,0))*(1+$B$4)^50)&gt;0,1+$B$3,1))</f>
        <v/>
      </c>
      <c r="BB197">
        <f>IF($B$1+51&gt;90,BA197,(BA197+IF($B$1+51&lt;=$B197,12*$B$9,-12*MAX(0,$B$8-IF($B$1+51&gt;=$B$23,$B$22,0))*(1+$B$4)^51))*IF(BA197+IF($B$1+51&lt;=$B197,12*$B$9,-12*MAX(0,$B$8-IF($B$1+51&gt;=$B$23,$B$22,0))*(1+$B$4)^51)&gt;0,1+$B$3,1))</f>
        <v/>
      </c>
      <c r="BC197">
        <f>IF($B$1+52&gt;90,BB197,(BB197+IF($B$1+52&lt;=$B197,12*$B$9,-12*MAX(0,$B$8-IF($B$1+52&gt;=$B$23,$B$22,0))*(1+$B$4)^52))*IF(BB197+IF($B$1+52&lt;=$B197,12*$B$9,-12*MAX(0,$B$8-IF($B$1+52&gt;=$B$23,$B$22,0))*(1+$B$4)^52)&gt;0,1+$B$3,1))</f>
        <v/>
      </c>
      <c r="BD197">
        <f>IF($B$1+53&gt;90,BC197,(BC197+IF($B$1+53&lt;=$B197,12*$B$9,-12*MAX(0,$B$8-IF($B$1+53&gt;=$B$23,$B$22,0))*(1+$B$4)^53))*IF(BC197+IF($B$1+53&lt;=$B197,12*$B$9,-12*MAX(0,$B$8-IF($B$1+53&gt;=$B$23,$B$22,0))*(1+$B$4)^53)&gt;0,1+$B$3,1))</f>
        <v/>
      </c>
      <c r="BE197">
        <f>IF($B$1+54&gt;90,BD197,(BD197+IF($B$1+54&lt;=$B197,12*$B$9,-12*MAX(0,$B$8-IF($B$1+54&gt;=$B$23,$B$22,0))*(1+$B$4)^54))*IF(BD197+IF($B$1+54&lt;=$B197,12*$B$9,-12*MAX(0,$B$8-IF($B$1+54&gt;=$B$23,$B$22,0))*(1+$B$4)^54)&gt;0,1+$B$3,1))</f>
        <v/>
      </c>
      <c r="BF197">
        <f>IF($B$1+55&gt;90,BE197,(BE197+IF($B$1+55&lt;=$B197,12*$B$9,-12*MAX(0,$B$8-IF($B$1+55&gt;=$B$23,$B$22,0))*(1+$B$4)^55))*IF(BE197+IF($B$1+55&lt;=$B197,12*$B$9,-12*MAX(0,$B$8-IF($B$1+55&gt;=$B$23,$B$22,0))*(1+$B$4)^55)&gt;0,1+$B$3,1))</f>
        <v/>
      </c>
      <c r="BG197">
        <f>IF($B$1+56&gt;90,BF197,(BF197+IF($B$1+56&lt;=$B197,12*$B$9,-12*MAX(0,$B$8-IF($B$1+56&gt;=$B$23,$B$22,0))*(1+$B$4)^56))*IF(BF197+IF($B$1+56&lt;=$B197,12*$B$9,-12*MAX(0,$B$8-IF($B$1+56&gt;=$B$23,$B$22,0))*(1+$B$4)^56)&gt;0,1+$B$3,1))</f>
        <v/>
      </c>
      <c r="BH197">
        <f>IF($B$1+57&gt;90,BG197,(BG197+IF($B$1+57&lt;=$B197,12*$B$9,-12*MAX(0,$B$8-IF($B$1+57&gt;=$B$23,$B$22,0))*(1+$B$4)^57))*IF(BG197+IF($B$1+57&lt;=$B197,12*$B$9,-12*MAX(0,$B$8-IF($B$1+57&gt;=$B$23,$B$22,0))*(1+$B$4)^57)&gt;0,1+$B$3,1))</f>
        <v/>
      </c>
      <c r="BI197">
        <f>IF($B$1+58&gt;90,BH197,(BH197+IF($B$1+58&lt;=$B197,12*$B$9,-12*MAX(0,$B$8-IF($B$1+58&gt;=$B$23,$B$22,0))*(1+$B$4)^58))*IF(BH197+IF($B$1+58&lt;=$B197,12*$B$9,-12*MAX(0,$B$8-IF($B$1+58&gt;=$B$23,$B$22,0))*(1+$B$4)^58)&gt;0,1+$B$3,1))</f>
        <v/>
      </c>
      <c r="BJ197">
        <f>IF($B$1+59&gt;90,BI197,(BI197+IF($B$1+59&lt;=$B197,12*$B$9,-12*MAX(0,$B$8-IF($B$1+59&gt;=$B$23,$B$22,0))*(1+$B$4)^59))*IF(BI197+IF($B$1+59&lt;=$B197,12*$B$9,-12*MAX(0,$B$8-IF($B$1+59&gt;=$B$23,$B$22,0))*(1+$B$4)^59)&gt;0,1+$B$3,1))</f>
        <v/>
      </c>
      <c r="BK197">
        <f>IF($B$1+60&gt;90,BJ197,(BJ197+IF($B$1+60&lt;=$B197,12*$B$9,-12*MAX(0,$B$8-IF($B$1+60&gt;=$B$23,$B$22,0))*(1+$B$4)^60))*IF(BJ197+IF($B$1+60&lt;=$B197,12*$B$9,-12*MAX(0,$B$8-IF($B$1+60&gt;=$B$23,$B$22,0))*(1+$B$4)^60)&gt;0,1+$B$3,1))</f>
        <v/>
      </c>
      <c r="BL197">
        <f>IF($B$1+61&gt;90,BK197,(BK197+IF($B$1+61&lt;=$B197,12*$B$9,-12*MAX(0,$B$8-IF($B$1+61&gt;=$B$23,$B$22,0))*(1+$B$4)^61))*IF(BK197+IF($B$1+61&lt;=$B197,12*$B$9,-12*MAX(0,$B$8-IF($B$1+61&gt;=$B$23,$B$22,0))*(1+$B$4)^61)&gt;0,1+$B$3,1))</f>
        <v/>
      </c>
      <c r="BM197">
        <f>IF($B$1+62&gt;90,BL197,(BL197+IF($B$1+62&lt;=$B197,12*$B$9,-12*MAX(0,$B$8-IF($B$1+62&gt;=$B$23,$B$22,0))*(1+$B$4)^62))*IF(BL197+IF($B$1+62&lt;=$B197,12*$B$9,-12*MAX(0,$B$8-IF($B$1+62&gt;=$B$23,$B$22,0))*(1+$B$4)^62)&gt;0,1+$B$3,1))</f>
        <v/>
      </c>
      <c r="BN197">
        <f>IF($B$1+63&gt;90,BM197,(BM197+IF($B$1+63&lt;=$B197,12*$B$9,-12*MAX(0,$B$8-IF($B$1+63&gt;=$B$23,$B$22,0))*(1+$B$4)^63))*IF(BM197+IF($B$1+63&lt;=$B197,12*$B$9,-12*MAX(0,$B$8-IF($B$1+63&gt;=$B$23,$B$22,0))*(1+$B$4)^63)&gt;0,1+$B$3,1))</f>
        <v/>
      </c>
      <c r="BO197">
        <f>IF($B$1+64&gt;90,BN197,(BN197+IF($B$1+64&lt;=$B197,12*$B$9,-12*MAX(0,$B$8-IF($B$1+64&gt;=$B$23,$B$22,0))*(1+$B$4)^64))*IF(BN197+IF($B$1+64&lt;=$B197,12*$B$9,-12*MAX(0,$B$8-IF($B$1+64&gt;=$B$23,$B$22,0))*(1+$B$4)^64)&gt;0,1+$B$3,1))</f>
        <v/>
      </c>
      <c r="BP197">
        <f>IF($B$1+65&gt;90,BO197,(BO197+IF($B$1+65&lt;=$B197,12*$B$9,-12*MAX(0,$B$8-IF($B$1+65&gt;=$B$23,$B$22,0))*(1+$B$4)^65))*IF(BO197+IF($B$1+65&lt;=$B197,12*$B$9,-12*MAX(0,$B$8-IF($B$1+65&gt;=$B$23,$B$22,0))*(1+$B$4)^65)&gt;0,1+$B$3,1))</f>
        <v/>
      </c>
      <c r="BQ197">
        <f>IF($B$1+66&gt;90,BP197,(BP197+IF($B$1+66&lt;=$B197,12*$B$9,-12*MAX(0,$B$8-IF($B$1+66&gt;=$B$23,$B$22,0))*(1+$B$4)^66))*IF(BP197+IF($B$1+66&lt;=$B197,12*$B$9,-12*MAX(0,$B$8-IF($B$1+66&gt;=$B$23,$B$22,0))*(1+$B$4)^66)&gt;0,1+$B$3,1))</f>
        <v/>
      </c>
      <c r="BR197">
        <f>IF($B$1+67&gt;90,BQ197,(BQ197+IF($B$1+67&lt;=$B197,12*$B$9,-12*MAX(0,$B$8-IF($B$1+67&gt;=$B$23,$B$22,0))*(1+$B$4)^67))*IF(BQ197+IF($B$1+67&lt;=$B197,12*$B$9,-12*MAX(0,$B$8-IF($B$1+67&gt;=$B$23,$B$22,0))*(1+$B$4)^67)&gt;0,1+$B$3,1))</f>
        <v/>
      </c>
      <c r="BS197">
        <f>IF($B$1+68&gt;90,BR197,(BR197+IF($B$1+68&lt;=$B197,12*$B$9,-12*MAX(0,$B$8-IF($B$1+68&gt;=$B$23,$B$22,0))*(1+$B$4)^68))*IF(BR197+IF($B$1+68&lt;=$B197,12*$B$9,-12*MAX(0,$B$8-IF($B$1+68&gt;=$B$23,$B$22,0))*(1+$B$4)^68)&gt;0,1+$B$3,1))</f>
        <v/>
      </c>
      <c r="BT197">
        <f>IF($B$1+69&gt;90,BS197,(BS197+IF($B$1+69&lt;=$B197,12*$B$9,-12*MAX(0,$B$8-IF($B$1+69&gt;=$B$23,$B$22,0))*(1+$B$4)^69))*IF(BS197+IF($B$1+69&lt;=$B197,12*$B$9,-12*MAX(0,$B$8-IF($B$1+69&gt;=$B$23,$B$22,0))*(1+$B$4)^69)&gt;0,1+$B$3,1))</f>
        <v/>
      </c>
      <c r="BU197">
        <f>IF($B$1+70&gt;90,BT197,(BT197+IF($B$1+70&lt;=$B197,12*$B$9,-12*MAX(0,$B$8-IF($B$1+70&gt;=$B$23,$B$22,0))*(1+$B$4)^70))*IF(BT197+IF($B$1+70&lt;=$B197,12*$B$9,-12*MAX(0,$B$8-IF($B$1+70&gt;=$B$23,$B$22,0))*(1+$B$4)^70)&gt;0,1+$B$3,1))</f>
        <v/>
      </c>
      <c r="BV197">
        <f>BU197</f>
        <v/>
      </c>
      <c r="BW197">
        <f>IF(AND($B197&lt;=70,BV197&gt;0),$B197,999)</f>
        <v/>
      </c>
      <c r="CH197">
        <f>IF(ISTEXT('월 가계부'!A197),SUBSTITUTE(SUBSTITUTE(SUBSTITUTE(SUBSTITUTE(SUBSTITUTE(SUBSTITUTE(SUBSTITUTE(SUBSTITUTE(SUBSTITUTE(TRIM('월 가계부'!A197),"년","-"),"월","-"),"일",""),".","-"),"/","-")," ","-"),"--","-"),"--","-"),"--","-")&amp;"-","")</f>
        <v/>
      </c>
      <c r="CI197">
        <f>IFERROR(IF('월 가계부'!A197="","",IF(ISNUMBER('월 가계부'!A197),IF(AND('월 가계부'!A197&gt;=19000101,'월 가계부'!A197&lt;=21001231),IF(AND(MOD(INT('월 가계부'!A197/100),100)&gt;=1,MOD(INT('월 가계부'!A197/100),100)&lt;=12,MOD(INT('월 가계부'!A197),100)&gt;=1,MOD(INT('월 가계부'!A197),100)&lt;=31),IF(MONTH(DATE(INT('월 가계부'!A197/10000),MOD(INT('월 가계부'!A197/100),100),MOD(INT('월 가계부'!A197),100)))=MOD(INT('월 가계부'!A197/100),100),DATE(INT('월 가계부'!A197/10000),MOD(INT('월 가계부'!A197/100),100),MOD(INT('월 가계부'!A197),100)),""),""),IF(AND('월 가계부'!A197&gt;=36526,'월 가계부'!A197&lt;73051),INT('월 가계부'!A197),"")),IF(OR(CM197="",CN197="",CO197=""),"",IF(AND(CM197&gt;=2000,CM197&lt;=2099,CN197&gt;=1,CN197&lt;=12,CO197&gt;=1,CO197&lt;=31),IF(MONTH(DATE(CM197,CN197,CO197))=CN197,DATE(CM197,CN197,CO197),""),"")))),"")</f>
        <v/>
      </c>
      <c r="CJ197">
        <f>IFERROR(IF('월 가계부'!C197="","",IF(ISNUMBER('월 가계부'!C197),'월 가계부'!C197,VALUE(SUBSTITUTE(SUBSTITUTE(SUBSTITUTE(SUBSTITUTE(TRIM('월 가계부'!C197),",",""),"원","")," ",""),"−","-")))),"")</f>
        <v/>
      </c>
      <c r="CK197">
        <f>IF(ISNUMBER(CI197),IF(CI197&lt;$B$13,CI197,""),"")</f>
        <v/>
      </c>
      <c r="CM197">
        <f>IF(CH197="","",IFERROR(IF(IF(AND(LEN(CH197)=9,ISERROR(FIND("-",LEFT(CH197,8))),ISNUMBER(-LEFT(CH197,8))),VALUE(LEFT(CH197,4)),VALUE(LEFT(CH197,FIND("-",CH197)-1)))&lt;100,IF(AND(LEN(CH197)=9,ISERROR(FIND("-",LEFT(CH197,8))),ISNUMBER(-LEFT(CH197,8))),VALUE(LEFT(CH197,4)),VALUE(LEFT(CH197,FIND("-",CH197)-1)))+2000,IF(AND(LEN(CH197)=9,ISERROR(FIND("-",LEFT(CH197,8))),ISNUMBER(-LEFT(CH197,8))),VALUE(LEFT(CH197,4)),VALUE(LEFT(CH197,FIND("-",CH197)-1)))),""))</f>
        <v/>
      </c>
      <c r="CN197">
        <f>IF(CH197="","",IFERROR(IF(AND(LEN(CH197)=9,ISERROR(FIND("-",LEFT(CH197,8))),ISNUMBER(-LEFT(CH197,8))),VALUE(MID(CH197,5,2)),VALUE(MID(CH197,FIND("-",CH197)+1,FIND("-",CH197,FIND("-",CH197)+1)-FIND("-",CH197)-1))),""))</f>
        <v/>
      </c>
      <c r="CO197">
        <f>IF(CH197="","",IFERROR(IF(AND(LEN(CH197)=9,ISERROR(FIND("-",LEFT(CH197,8))),ISNUMBER(-LEFT(CH197,8))),VALUE(MID(CH197,7,2)),VALUE(MID(CH197,FIND("-",CH197,FIND("-",CH197)+1)+1,FIND("-",CH197,FIND("-",CH197,FIND("-",CH197)+1)+1)-FIND("-",CH197,FIND("-",CH197)+1)-1))),""))</f>
        <v/>
      </c>
    </row>
    <row r="198">
      <c r="A198" t="n">
        <v>46</v>
      </c>
      <c r="B198">
        <f>$B$1+46</f>
        <v/>
      </c>
      <c r="C198">
        <f>$B$2</f>
        <v/>
      </c>
      <c r="D198">
        <f>IF($B$1+1&gt;90,C198,(C198+IF($B$1+1&lt;=$B198,12*$B$9,-12*MAX(0,$B$8-IF($B$1+1&gt;=$B$23,$B$22,0))*(1+$B$4)^1))*IF(C198+IF($B$1+1&lt;=$B198,12*$B$9,-12*MAX(0,$B$8-IF($B$1+1&gt;=$B$23,$B$22,0))*(1+$B$4)^1)&gt;0,1+$B$3,1))</f>
        <v/>
      </c>
      <c r="E198">
        <f>IF($B$1+2&gt;90,D198,(D198+IF($B$1+2&lt;=$B198,12*$B$9,-12*MAX(0,$B$8-IF($B$1+2&gt;=$B$23,$B$22,0))*(1+$B$4)^2))*IF(D198+IF($B$1+2&lt;=$B198,12*$B$9,-12*MAX(0,$B$8-IF($B$1+2&gt;=$B$23,$B$22,0))*(1+$B$4)^2)&gt;0,1+$B$3,1))</f>
        <v/>
      </c>
      <c r="F198">
        <f>IF($B$1+3&gt;90,E198,(E198+IF($B$1+3&lt;=$B198,12*$B$9,-12*MAX(0,$B$8-IF($B$1+3&gt;=$B$23,$B$22,0))*(1+$B$4)^3))*IF(E198+IF($B$1+3&lt;=$B198,12*$B$9,-12*MAX(0,$B$8-IF($B$1+3&gt;=$B$23,$B$22,0))*(1+$B$4)^3)&gt;0,1+$B$3,1))</f>
        <v/>
      </c>
      <c r="G198">
        <f>IF($B$1+4&gt;90,F198,(F198+IF($B$1+4&lt;=$B198,12*$B$9,-12*MAX(0,$B$8-IF($B$1+4&gt;=$B$23,$B$22,0))*(1+$B$4)^4))*IF(F198+IF($B$1+4&lt;=$B198,12*$B$9,-12*MAX(0,$B$8-IF($B$1+4&gt;=$B$23,$B$22,0))*(1+$B$4)^4)&gt;0,1+$B$3,1))</f>
        <v/>
      </c>
      <c r="H198">
        <f>IF($B$1+5&gt;90,G198,(G198+IF($B$1+5&lt;=$B198,12*$B$9,-12*MAX(0,$B$8-IF($B$1+5&gt;=$B$23,$B$22,0))*(1+$B$4)^5))*IF(G198+IF($B$1+5&lt;=$B198,12*$B$9,-12*MAX(0,$B$8-IF($B$1+5&gt;=$B$23,$B$22,0))*(1+$B$4)^5)&gt;0,1+$B$3,1))</f>
        <v/>
      </c>
      <c r="I198">
        <f>IF($B$1+6&gt;90,H198,(H198+IF($B$1+6&lt;=$B198,12*$B$9,-12*MAX(0,$B$8-IF($B$1+6&gt;=$B$23,$B$22,0))*(1+$B$4)^6))*IF(H198+IF($B$1+6&lt;=$B198,12*$B$9,-12*MAX(0,$B$8-IF($B$1+6&gt;=$B$23,$B$22,0))*(1+$B$4)^6)&gt;0,1+$B$3,1))</f>
        <v/>
      </c>
      <c r="J198">
        <f>IF($B$1+7&gt;90,I198,(I198+IF($B$1+7&lt;=$B198,12*$B$9,-12*MAX(0,$B$8-IF($B$1+7&gt;=$B$23,$B$22,0))*(1+$B$4)^7))*IF(I198+IF($B$1+7&lt;=$B198,12*$B$9,-12*MAX(0,$B$8-IF($B$1+7&gt;=$B$23,$B$22,0))*(1+$B$4)^7)&gt;0,1+$B$3,1))</f>
        <v/>
      </c>
      <c r="K198">
        <f>IF($B$1+8&gt;90,J198,(J198+IF($B$1+8&lt;=$B198,12*$B$9,-12*MAX(0,$B$8-IF($B$1+8&gt;=$B$23,$B$22,0))*(1+$B$4)^8))*IF(J198+IF($B$1+8&lt;=$B198,12*$B$9,-12*MAX(0,$B$8-IF($B$1+8&gt;=$B$23,$B$22,0))*(1+$B$4)^8)&gt;0,1+$B$3,1))</f>
        <v/>
      </c>
      <c r="L198">
        <f>IF($B$1+9&gt;90,K198,(K198+IF($B$1+9&lt;=$B198,12*$B$9,-12*MAX(0,$B$8-IF($B$1+9&gt;=$B$23,$B$22,0))*(1+$B$4)^9))*IF(K198+IF($B$1+9&lt;=$B198,12*$B$9,-12*MAX(0,$B$8-IF($B$1+9&gt;=$B$23,$B$22,0))*(1+$B$4)^9)&gt;0,1+$B$3,1))</f>
        <v/>
      </c>
      <c r="M198">
        <f>IF($B$1+10&gt;90,L198,(L198+IF($B$1+10&lt;=$B198,12*$B$9,-12*MAX(0,$B$8-IF($B$1+10&gt;=$B$23,$B$22,0))*(1+$B$4)^10))*IF(L198+IF($B$1+10&lt;=$B198,12*$B$9,-12*MAX(0,$B$8-IF($B$1+10&gt;=$B$23,$B$22,0))*(1+$B$4)^10)&gt;0,1+$B$3,1))</f>
        <v/>
      </c>
      <c r="N198">
        <f>IF($B$1+11&gt;90,M198,(M198+IF($B$1+11&lt;=$B198,12*$B$9,-12*MAX(0,$B$8-IF($B$1+11&gt;=$B$23,$B$22,0))*(1+$B$4)^11))*IF(M198+IF($B$1+11&lt;=$B198,12*$B$9,-12*MAX(0,$B$8-IF($B$1+11&gt;=$B$23,$B$22,0))*(1+$B$4)^11)&gt;0,1+$B$3,1))</f>
        <v/>
      </c>
      <c r="O198">
        <f>IF($B$1+12&gt;90,N198,(N198+IF($B$1+12&lt;=$B198,12*$B$9,-12*MAX(0,$B$8-IF($B$1+12&gt;=$B$23,$B$22,0))*(1+$B$4)^12))*IF(N198+IF($B$1+12&lt;=$B198,12*$B$9,-12*MAX(0,$B$8-IF($B$1+12&gt;=$B$23,$B$22,0))*(1+$B$4)^12)&gt;0,1+$B$3,1))</f>
        <v/>
      </c>
      <c r="P198">
        <f>IF($B$1+13&gt;90,O198,(O198+IF($B$1+13&lt;=$B198,12*$B$9,-12*MAX(0,$B$8-IF($B$1+13&gt;=$B$23,$B$22,0))*(1+$B$4)^13))*IF(O198+IF($B$1+13&lt;=$B198,12*$B$9,-12*MAX(0,$B$8-IF($B$1+13&gt;=$B$23,$B$22,0))*(1+$B$4)^13)&gt;0,1+$B$3,1))</f>
        <v/>
      </c>
      <c r="Q198">
        <f>IF($B$1+14&gt;90,P198,(P198+IF($B$1+14&lt;=$B198,12*$B$9,-12*MAX(0,$B$8-IF($B$1+14&gt;=$B$23,$B$22,0))*(1+$B$4)^14))*IF(P198+IF($B$1+14&lt;=$B198,12*$B$9,-12*MAX(0,$B$8-IF($B$1+14&gt;=$B$23,$B$22,0))*(1+$B$4)^14)&gt;0,1+$B$3,1))</f>
        <v/>
      </c>
      <c r="R198">
        <f>IF($B$1+15&gt;90,Q198,(Q198+IF($B$1+15&lt;=$B198,12*$B$9,-12*MAX(0,$B$8-IF($B$1+15&gt;=$B$23,$B$22,0))*(1+$B$4)^15))*IF(Q198+IF($B$1+15&lt;=$B198,12*$B$9,-12*MAX(0,$B$8-IF($B$1+15&gt;=$B$23,$B$22,0))*(1+$B$4)^15)&gt;0,1+$B$3,1))</f>
        <v/>
      </c>
      <c r="S198">
        <f>IF($B$1+16&gt;90,R198,(R198+IF($B$1+16&lt;=$B198,12*$B$9,-12*MAX(0,$B$8-IF($B$1+16&gt;=$B$23,$B$22,0))*(1+$B$4)^16))*IF(R198+IF($B$1+16&lt;=$B198,12*$B$9,-12*MAX(0,$B$8-IF($B$1+16&gt;=$B$23,$B$22,0))*(1+$B$4)^16)&gt;0,1+$B$3,1))</f>
        <v/>
      </c>
      <c r="T198">
        <f>IF($B$1+17&gt;90,S198,(S198+IF($B$1+17&lt;=$B198,12*$B$9,-12*MAX(0,$B$8-IF($B$1+17&gt;=$B$23,$B$22,0))*(1+$B$4)^17))*IF(S198+IF($B$1+17&lt;=$B198,12*$B$9,-12*MAX(0,$B$8-IF($B$1+17&gt;=$B$23,$B$22,0))*(1+$B$4)^17)&gt;0,1+$B$3,1))</f>
        <v/>
      </c>
      <c r="U198">
        <f>IF($B$1+18&gt;90,T198,(T198+IF($B$1+18&lt;=$B198,12*$B$9,-12*MAX(0,$B$8-IF($B$1+18&gt;=$B$23,$B$22,0))*(1+$B$4)^18))*IF(T198+IF($B$1+18&lt;=$B198,12*$B$9,-12*MAX(0,$B$8-IF($B$1+18&gt;=$B$23,$B$22,0))*(1+$B$4)^18)&gt;0,1+$B$3,1))</f>
        <v/>
      </c>
      <c r="V198">
        <f>IF($B$1+19&gt;90,U198,(U198+IF($B$1+19&lt;=$B198,12*$B$9,-12*MAX(0,$B$8-IF($B$1+19&gt;=$B$23,$B$22,0))*(1+$B$4)^19))*IF(U198+IF($B$1+19&lt;=$B198,12*$B$9,-12*MAX(0,$B$8-IF($B$1+19&gt;=$B$23,$B$22,0))*(1+$B$4)^19)&gt;0,1+$B$3,1))</f>
        <v/>
      </c>
      <c r="W198">
        <f>IF($B$1+20&gt;90,V198,(V198+IF($B$1+20&lt;=$B198,12*$B$9,-12*MAX(0,$B$8-IF($B$1+20&gt;=$B$23,$B$22,0))*(1+$B$4)^20))*IF(V198+IF($B$1+20&lt;=$B198,12*$B$9,-12*MAX(0,$B$8-IF($B$1+20&gt;=$B$23,$B$22,0))*(1+$B$4)^20)&gt;0,1+$B$3,1))</f>
        <v/>
      </c>
      <c r="X198">
        <f>IF($B$1+21&gt;90,W198,(W198+IF($B$1+21&lt;=$B198,12*$B$9,-12*MAX(0,$B$8-IF($B$1+21&gt;=$B$23,$B$22,0))*(1+$B$4)^21))*IF(W198+IF($B$1+21&lt;=$B198,12*$B$9,-12*MAX(0,$B$8-IF($B$1+21&gt;=$B$23,$B$22,0))*(1+$B$4)^21)&gt;0,1+$B$3,1))</f>
        <v/>
      </c>
      <c r="Y198">
        <f>IF($B$1+22&gt;90,X198,(X198+IF($B$1+22&lt;=$B198,12*$B$9,-12*MAX(0,$B$8-IF($B$1+22&gt;=$B$23,$B$22,0))*(1+$B$4)^22))*IF(X198+IF($B$1+22&lt;=$B198,12*$B$9,-12*MAX(0,$B$8-IF($B$1+22&gt;=$B$23,$B$22,0))*(1+$B$4)^22)&gt;0,1+$B$3,1))</f>
        <v/>
      </c>
      <c r="Z198">
        <f>IF($B$1+23&gt;90,Y198,(Y198+IF($B$1+23&lt;=$B198,12*$B$9,-12*MAX(0,$B$8-IF($B$1+23&gt;=$B$23,$B$22,0))*(1+$B$4)^23))*IF(Y198+IF($B$1+23&lt;=$B198,12*$B$9,-12*MAX(0,$B$8-IF($B$1+23&gt;=$B$23,$B$22,0))*(1+$B$4)^23)&gt;0,1+$B$3,1))</f>
        <v/>
      </c>
      <c r="AA198">
        <f>IF($B$1+24&gt;90,Z198,(Z198+IF($B$1+24&lt;=$B198,12*$B$9,-12*MAX(0,$B$8-IF($B$1+24&gt;=$B$23,$B$22,0))*(1+$B$4)^24))*IF(Z198+IF($B$1+24&lt;=$B198,12*$B$9,-12*MAX(0,$B$8-IF($B$1+24&gt;=$B$23,$B$22,0))*(1+$B$4)^24)&gt;0,1+$B$3,1))</f>
        <v/>
      </c>
      <c r="AB198">
        <f>IF($B$1+25&gt;90,AA198,(AA198+IF($B$1+25&lt;=$B198,12*$B$9,-12*MAX(0,$B$8-IF($B$1+25&gt;=$B$23,$B$22,0))*(1+$B$4)^25))*IF(AA198+IF($B$1+25&lt;=$B198,12*$B$9,-12*MAX(0,$B$8-IF($B$1+25&gt;=$B$23,$B$22,0))*(1+$B$4)^25)&gt;0,1+$B$3,1))</f>
        <v/>
      </c>
      <c r="AC198">
        <f>IF($B$1+26&gt;90,AB198,(AB198+IF($B$1+26&lt;=$B198,12*$B$9,-12*MAX(0,$B$8-IF($B$1+26&gt;=$B$23,$B$22,0))*(1+$B$4)^26))*IF(AB198+IF($B$1+26&lt;=$B198,12*$B$9,-12*MAX(0,$B$8-IF($B$1+26&gt;=$B$23,$B$22,0))*(1+$B$4)^26)&gt;0,1+$B$3,1))</f>
        <v/>
      </c>
      <c r="AD198">
        <f>IF($B$1+27&gt;90,AC198,(AC198+IF($B$1+27&lt;=$B198,12*$B$9,-12*MAX(0,$B$8-IF($B$1+27&gt;=$B$23,$B$22,0))*(1+$B$4)^27))*IF(AC198+IF($B$1+27&lt;=$B198,12*$B$9,-12*MAX(0,$B$8-IF($B$1+27&gt;=$B$23,$B$22,0))*(1+$B$4)^27)&gt;0,1+$B$3,1))</f>
        <v/>
      </c>
      <c r="AE198">
        <f>IF($B$1+28&gt;90,AD198,(AD198+IF($B$1+28&lt;=$B198,12*$B$9,-12*MAX(0,$B$8-IF($B$1+28&gt;=$B$23,$B$22,0))*(1+$B$4)^28))*IF(AD198+IF($B$1+28&lt;=$B198,12*$B$9,-12*MAX(0,$B$8-IF($B$1+28&gt;=$B$23,$B$22,0))*(1+$B$4)^28)&gt;0,1+$B$3,1))</f>
        <v/>
      </c>
      <c r="AF198">
        <f>IF($B$1+29&gt;90,AE198,(AE198+IF($B$1+29&lt;=$B198,12*$B$9,-12*MAX(0,$B$8-IF($B$1+29&gt;=$B$23,$B$22,0))*(1+$B$4)^29))*IF(AE198+IF($B$1+29&lt;=$B198,12*$B$9,-12*MAX(0,$B$8-IF($B$1+29&gt;=$B$23,$B$22,0))*(1+$B$4)^29)&gt;0,1+$B$3,1))</f>
        <v/>
      </c>
      <c r="AG198">
        <f>IF($B$1+30&gt;90,AF198,(AF198+IF($B$1+30&lt;=$B198,12*$B$9,-12*MAX(0,$B$8-IF($B$1+30&gt;=$B$23,$B$22,0))*(1+$B$4)^30))*IF(AF198+IF($B$1+30&lt;=$B198,12*$B$9,-12*MAX(0,$B$8-IF($B$1+30&gt;=$B$23,$B$22,0))*(1+$B$4)^30)&gt;0,1+$B$3,1))</f>
        <v/>
      </c>
      <c r="AH198">
        <f>IF($B$1+31&gt;90,AG198,(AG198+IF($B$1+31&lt;=$B198,12*$B$9,-12*MAX(0,$B$8-IF($B$1+31&gt;=$B$23,$B$22,0))*(1+$B$4)^31))*IF(AG198+IF($B$1+31&lt;=$B198,12*$B$9,-12*MAX(0,$B$8-IF($B$1+31&gt;=$B$23,$B$22,0))*(1+$B$4)^31)&gt;0,1+$B$3,1))</f>
        <v/>
      </c>
      <c r="AI198">
        <f>IF($B$1+32&gt;90,AH198,(AH198+IF($B$1+32&lt;=$B198,12*$B$9,-12*MAX(0,$B$8-IF($B$1+32&gt;=$B$23,$B$22,0))*(1+$B$4)^32))*IF(AH198+IF($B$1+32&lt;=$B198,12*$B$9,-12*MAX(0,$B$8-IF($B$1+32&gt;=$B$23,$B$22,0))*(1+$B$4)^32)&gt;0,1+$B$3,1))</f>
        <v/>
      </c>
      <c r="AJ198">
        <f>IF($B$1+33&gt;90,AI198,(AI198+IF($B$1+33&lt;=$B198,12*$B$9,-12*MAX(0,$B$8-IF($B$1+33&gt;=$B$23,$B$22,0))*(1+$B$4)^33))*IF(AI198+IF($B$1+33&lt;=$B198,12*$B$9,-12*MAX(0,$B$8-IF($B$1+33&gt;=$B$23,$B$22,0))*(1+$B$4)^33)&gt;0,1+$B$3,1))</f>
        <v/>
      </c>
      <c r="AK198">
        <f>IF($B$1+34&gt;90,AJ198,(AJ198+IF($B$1+34&lt;=$B198,12*$B$9,-12*MAX(0,$B$8-IF($B$1+34&gt;=$B$23,$B$22,0))*(1+$B$4)^34))*IF(AJ198+IF($B$1+34&lt;=$B198,12*$B$9,-12*MAX(0,$B$8-IF($B$1+34&gt;=$B$23,$B$22,0))*(1+$B$4)^34)&gt;0,1+$B$3,1))</f>
        <v/>
      </c>
      <c r="AL198">
        <f>IF($B$1+35&gt;90,AK198,(AK198+IF($B$1+35&lt;=$B198,12*$B$9,-12*MAX(0,$B$8-IF($B$1+35&gt;=$B$23,$B$22,0))*(1+$B$4)^35))*IF(AK198+IF($B$1+35&lt;=$B198,12*$B$9,-12*MAX(0,$B$8-IF($B$1+35&gt;=$B$23,$B$22,0))*(1+$B$4)^35)&gt;0,1+$B$3,1))</f>
        <v/>
      </c>
      <c r="AM198">
        <f>IF($B$1+36&gt;90,AL198,(AL198+IF($B$1+36&lt;=$B198,12*$B$9,-12*MAX(0,$B$8-IF($B$1+36&gt;=$B$23,$B$22,0))*(1+$B$4)^36))*IF(AL198+IF($B$1+36&lt;=$B198,12*$B$9,-12*MAX(0,$B$8-IF($B$1+36&gt;=$B$23,$B$22,0))*(1+$B$4)^36)&gt;0,1+$B$3,1))</f>
        <v/>
      </c>
      <c r="AN198">
        <f>IF($B$1+37&gt;90,AM198,(AM198+IF($B$1+37&lt;=$B198,12*$B$9,-12*MAX(0,$B$8-IF($B$1+37&gt;=$B$23,$B$22,0))*(1+$B$4)^37))*IF(AM198+IF($B$1+37&lt;=$B198,12*$B$9,-12*MAX(0,$B$8-IF($B$1+37&gt;=$B$23,$B$22,0))*(1+$B$4)^37)&gt;0,1+$B$3,1))</f>
        <v/>
      </c>
      <c r="AO198">
        <f>IF($B$1+38&gt;90,AN198,(AN198+IF($B$1+38&lt;=$B198,12*$B$9,-12*MAX(0,$B$8-IF($B$1+38&gt;=$B$23,$B$22,0))*(1+$B$4)^38))*IF(AN198+IF($B$1+38&lt;=$B198,12*$B$9,-12*MAX(0,$B$8-IF($B$1+38&gt;=$B$23,$B$22,0))*(1+$B$4)^38)&gt;0,1+$B$3,1))</f>
        <v/>
      </c>
      <c r="AP198">
        <f>IF($B$1+39&gt;90,AO198,(AO198+IF($B$1+39&lt;=$B198,12*$B$9,-12*MAX(0,$B$8-IF($B$1+39&gt;=$B$23,$B$22,0))*(1+$B$4)^39))*IF(AO198+IF($B$1+39&lt;=$B198,12*$B$9,-12*MAX(0,$B$8-IF($B$1+39&gt;=$B$23,$B$22,0))*(1+$B$4)^39)&gt;0,1+$B$3,1))</f>
        <v/>
      </c>
      <c r="AQ198">
        <f>IF($B$1+40&gt;90,AP198,(AP198+IF($B$1+40&lt;=$B198,12*$B$9,-12*MAX(0,$B$8-IF($B$1+40&gt;=$B$23,$B$22,0))*(1+$B$4)^40))*IF(AP198+IF($B$1+40&lt;=$B198,12*$B$9,-12*MAX(0,$B$8-IF($B$1+40&gt;=$B$23,$B$22,0))*(1+$B$4)^40)&gt;0,1+$B$3,1))</f>
        <v/>
      </c>
      <c r="AR198">
        <f>IF($B$1+41&gt;90,AQ198,(AQ198+IF($B$1+41&lt;=$B198,12*$B$9,-12*MAX(0,$B$8-IF($B$1+41&gt;=$B$23,$B$22,0))*(1+$B$4)^41))*IF(AQ198+IF($B$1+41&lt;=$B198,12*$B$9,-12*MAX(0,$B$8-IF($B$1+41&gt;=$B$23,$B$22,0))*(1+$B$4)^41)&gt;0,1+$B$3,1))</f>
        <v/>
      </c>
      <c r="AS198">
        <f>IF($B$1+42&gt;90,AR198,(AR198+IF($B$1+42&lt;=$B198,12*$B$9,-12*MAX(0,$B$8-IF($B$1+42&gt;=$B$23,$B$22,0))*(1+$B$4)^42))*IF(AR198+IF($B$1+42&lt;=$B198,12*$B$9,-12*MAX(0,$B$8-IF($B$1+42&gt;=$B$23,$B$22,0))*(1+$B$4)^42)&gt;0,1+$B$3,1))</f>
        <v/>
      </c>
      <c r="AT198">
        <f>IF($B$1+43&gt;90,AS198,(AS198+IF($B$1+43&lt;=$B198,12*$B$9,-12*MAX(0,$B$8-IF($B$1+43&gt;=$B$23,$B$22,0))*(1+$B$4)^43))*IF(AS198+IF($B$1+43&lt;=$B198,12*$B$9,-12*MAX(0,$B$8-IF($B$1+43&gt;=$B$23,$B$22,0))*(1+$B$4)^43)&gt;0,1+$B$3,1))</f>
        <v/>
      </c>
      <c r="AU198">
        <f>IF($B$1+44&gt;90,AT198,(AT198+IF($B$1+44&lt;=$B198,12*$B$9,-12*MAX(0,$B$8-IF($B$1+44&gt;=$B$23,$B$22,0))*(1+$B$4)^44))*IF(AT198+IF($B$1+44&lt;=$B198,12*$B$9,-12*MAX(0,$B$8-IF($B$1+44&gt;=$B$23,$B$22,0))*(1+$B$4)^44)&gt;0,1+$B$3,1))</f>
        <v/>
      </c>
      <c r="AV198">
        <f>IF($B$1+45&gt;90,AU198,(AU198+IF($B$1+45&lt;=$B198,12*$B$9,-12*MAX(0,$B$8-IF($B$1+45&gt;=$B$23,$B$22,0))*(1+$B$4)^45))*IF(AU198+IF($B$1+45&lt;=$B198,12*$B$9,-12*MAX(0,$B$8-IF($B$1+45&gt;=$B$23,$B$22,0))*(1+$B$4)^45)&gt;0,1+$B$3,1))</f>
        <v/>
      </c>
      <c r="AW198">
        <f>IF($B$1+46&gt;90,AV198,(AV198+IF($B$1+46&lt;=$B198,12*$B$9,-12*MAX(0,$B$8-IF($B$1+46&gt;=$B$23,$B$22,0))*(1+$B$4)^46))*IF(AV198+IF($B$1+46&lt;=$B198,12*$B$9,-12*MAX(0,$B$8-IF($B$1+46&gt;=$B$23,$B$22,0))*(1+$B$4)^46)&gt;0,1+$B$3,1))</f>
        <v/>
      </c>
      <c r="AX198">
        <f>IF($B$1+47&gt;90,AW198,(AW198+IF($B$1+47&lt;=$B198,12*$B$9,-12*MAX(0,$B$8-IF($B$1+47&gt;=$B$23,$B$22,0))*(1+$B$4)^47))*IF(AW198+IF($B$1+47&lt;=$B198,12*$B$9,-12*MAX(0,$B$8-IF($B$1+47&gt;=$B$23,$B$22,0))*(1+$B$4)^47)&gt;0,1+$B$3,1))</f>
        <v/>
      </c>
      <c r="AY198">
        <f>IF($B$1+48&gt;90,AX198,(AX198+IF($B$1+48&lt;=$B198,12*$B$9,-12*MAX(0,$B$8-IF($B$1+48&gt;=$B$23,$B$22,0))*(1+$B$4)^48))*IF(AX198+IF($B$1+48&lt;=$B198,12*$B$9,-12*MAX(0,$B$8-IF($B$1+48&gt;=$B$23,$B$22,0))*(1+$B$4)^48)&gt;0,1+$B$3,1))</f>
        <v/>
      </c>
      <c r="AZ198">
        <f>IF($B$1+49&gt;90,AY198,(AY198+IF($B$1+49&lt;=$B198,12*$B$9,-12*MAX(0,$B$8-IF($B$1+49&gt;=$B$23,$B$22,0))*(1+$B$4)^49))*IF(AY198+IF($B$1+49&lt;=$B198,12*$B$9,-12*MAX(0,$B$8-IF($B$1+49&gt;=$B$23,$B$22,0))*(1+$B$4)^49)&gt;0,1+$B$3,1))</f>
        <v/>
      </c>
      <c r="BA198">
        <f>IF($B$1+50&gt;90,AZ198,(AZ198+IF($B$1+50&lt;=$B198,12*$B$9,-12*MAX(0,$B$8-IF($B$1+50&gt;=$B$23,$B$22,0))*(1+$B$4)^50))*IF(AZ198+IF($B$1+50&lt;=$B198,12*$B$9,-12*MAX(0,$B$8-IF($B$1+50&gt;=$B$23,$B$22,0))*(1+$B$4)^50)&gt;0,1+$B$3,1))</f>
        <v/>
      </c>
      <c r="BB198">
        <f>IF($B$1+51&gt;90,BA198,(BA198+IF($B$1+51&lt;=$B198,12*$B$9,-12*MAX(0,$B$8-IF($B$1+51&gt;=$B$23,$B$22,0))*(1+$B$4)^51))*IF(BA198+IF($B$1+51&lt;=$B198,12*$B$9,-12*MAX(0,$B$8-IF($B$1+51&gt;=$B$23,$B$22,0))*(1+$B$4)^51)&gt;0,1+$B$3,1))</f>
        <v/>
      </c>
      <c r="BC198">
        <f>IF($B$1+52&gt;90,BB198,(BB198+IF($B$1+52&lt;=$B198,12*$B$9,-12*MAX(0,$B$8-IF($B$1+52&gt;=$B$23,$B$22,0))*(1+$B$4)^52))*IF(BB198+IF($B$1+52&lt;=$B198,12*$B$9,-12*MAX(0,$B$8-IF($B$1+52&gt;=$B$23,$B$22,0))*(1+$B$4)^52)&gt;0,1+$B$3,1))</f>
        <v/>
      </c>
      <c r="BD198">
        <f>IF($B$1+53&gt;90,BC198,(BC198+IF($B$1+53&lt;=$B198,12*$B$9,-12*MAX(0,$B$8-IF($B$1+53&gt;=$B$23,$B$22,0))*(1+$B$4)^53))*IF(BC198+IF($B$1+53&lt;=$B198,12*$B$9,-12*MAX(0,$B$8-IF($B$1+53&gt;=$B$23,$B$22,0))*(1+$B$4)^53)&gt;0,1+$B$3,1))</f>
        <v/>
      </c>
      <c r="BE198">
        <f>IF($B$1+54&gt;90,BD198,(BD198+IF($B$1+54&lt;=$B198,12*$B$9,-12*MAX(0,$B$8-IF($B$1+54&gt;=$B$23,$B$22,0))*(1+$B$4)^54))*IF(BD198+IF($B$1+54&lt;=$B198,12*$B$9,-12*MAX(0,$B$8-IF($B$1+54&gt;=$B$23,$B$22,0))*(1+$B$4)^54)&gt;0,1+$B$3,1))</f>
        <v/>
      </c>
      <c r="BF198">
        <f>IF($B$1+55&gt;90,BE198,(BE198+IF($B$1+55&lt;=$B198,12*$B$9,-12*MAX(0,$B$8-IF($B$1+55&gt;=$B$23,$B$22,0))*(1+$B$4)^55))*IF(BE198+IF($B$1+55&lt;=$B198,12*$B$9,-12*MAX(0,$B$8-IF($B$1+55&gt;=$B$23,$B$22,0))*(1+$B$4)^55)&gt;0,1+$B$3,1))</f>
        <v/>
      </c>
      <c r="BG198">
        <f>IF($B$1+56&gt;90,BF198,(BF198+IF($B$1+56&lt;=$B198,12*$B$9,-12*MAX(0,$B$8-IF($B$1+56&gt;=$B$23,$B$22,0))*(1+$B$4)^56))*IF(BF198+IF($B$1+56&lt;=$B198,12*$B$9,-12*MAX(0,$B$8-IF($B$1+56&gt;=$B$23,$B$22,0))*(1+$B$4)^56)&gt;0,1+$B$3,1))</f>
        <v/>
      </c>
      <c r="BH198">
        <f>IF($B$1+57&gt;90,BG198,(BG198+IF($B$1+57&lt;=$B198,12*$B$9,-12*MAX(0,$B$8-IF($B$1+57&gt;=$B$23,$B$22,0))*(1+$B$4)^57))*IF(BG198+IF($B$1+57&lt;=$B198,12*$B$9,-12*MAX(0,$B$8-IF($B$1+57&gt;=$B$23,$B$22,0))*(1+$B$4)^57)&gt;0,1+$B$3,1))</f>
        <v/>
      </c>
      <c r="BI198">
        <f>IF($B$1+58&gt;90,BH198,(BH198+IF($B$1+58&lt;=$B198,12*$B$9,-12*MAX(0,$B$8-IF($B$1+58&gt;=$B$23,$B$22,0))*(1+$B$4)^58))*IF(BH198+IF($B$1+58&lt;=$B198,12*$B$9,-12*MAX(0,$B$8-IF($B$1+58&gt;=$B$23,$B$22,0))*(1+$B$4)^58)&gt;0,1+$B$3,1))</f>
        <v/>
      </c>
      <c r="BJ198">
        <f>IF($B$1+59&gt;90,BI198,(BI198+IF($B$1+59&lt;=$B198,12*$B$9,-12*MAX(0,$B$8-IF($B$1+59&gt;=$B$23,$B$22,0))*(1+$B$4)^59))*IF(BI198+IF($B$1+59&lt;=$B198,12*$B$9,-12*MAX(0,$B$8-IF($B$1+59&gt;=$B$23,$B$22,0))*(1+$B$4)^59)&gt;0,1+$B$3,1))</f>
        <v/>
      </c>
      <c r="BK198">
        <f>IF($B$1+60&gt;90,BJ198,(BJ198+IF($B$1+60&lt;=$B198,12*$B$9,-12*MAX(0,$B$8-IF($B$1+60&gt;=$B$23,$B$22,0))*(1+$B$4)^60))*IF(BJ198+IF($B$1+60&lt;=$B198,12*$B$9,-12*MAX(0,$B$8-IF($B$1+60&gt;=$B$23,$B$22,0))*(1+$B$4)^60)&gt;0,1+$B$3,1))</f>
        <v/>
      </c>
      <c r="BL198">
        <f>IF($B$1+61&gt;90,BK198,(BK198+IF($B$1+61&lt;=$B198,12*$B$9,-12*MAX(0,$B$8-IF($B$1+61&gt;=$B$23,$B$22,0))*(1+$B$4)^61))*IF(BK198+IF($B$1+61&lt;=$B198,12*$B$9,-12*MAX(0,$B$8-IF($B$1+61&gt;=$B$23,$B$22,0))*(1+$B$4)^61)&gt;0,1+$B$3,1))</f>
        <v/>
      </c>
      <c r="BM198">
        <f>IF($B$1+62&gt;90,BL198,(BL198+IF($B$1+62&lt;=$B198,12*$B$9,-12*MAX(0,$B$8-IF($B$1+62&gt;=$B$23,$B$22,0))*(1+$B$4)^62))*IF(BL198+IF($B$1+62&lt;=$B198,12*$B$9,-12*MAX(0,$B$8-IF($B$1+62&gt;=$B$23,$B$22,0))*(1+$B$4)^62)&gt;0,1+$B$3,1))</f>
        <v/>
      </c>
      <c r="BN198">
        <f>IF($B$1+63&gt;90,BM198,(BM198+IF($B$1+63&lt;=$B198,12*$B$9,-12*MAX(0,$B$8-IF($B$1+63&gt;=$B$23,$B$22,0))*(1+$B$4)^63))*IF(BM198+IF($B$1+63&lt;=$B198,12*$B$9,-12*MAX(0,$B$8-IF($B$1+63&gt;=$B$23,$B$22,0))*(1+$B$4)^63)&gt;0,1+$B$3,1))</f>
        <v/>
      </c>
      <c r="BO198">
        <f>IF($B$1+64&gt;90,BN198,(BN198+IF($B$1+64&lt;=$B198,12*$B$9,-12*MAX(0,$B$8-IF($B$1+64&gt;=$B$23,$B$22,0))*(1+$B$4)^64))*IF(BN198+IF($B$1+64&lt;=$B198,12*$B$9,-12*MAX(0,$B$8-IF($B$1+64&gt;=$B$23,$B$22,0))*(1+$B$4)^64)&gt;0,1+$B$3,1))</f>
        <v/>
      </c>
      <c r="BP198">
        <f>IF($B$1+65&gt;90,BO198,(BO198+IF($B$1+65&lt;=$B198,12*$B$9,-12*MAX(0,$B$8-IF($B$1+65&gt;=$B$23,$B$22,0))*(1+$B$4)^65))*IF(BO198+IF($B$1+65&lt;=$B198,12*$B$9,-12*MAX(0,$B$8-IF($B$1+65&gt;=$B$23,$B$22,0))*(1+$B$4)^65)&gt;0,1+$B$3,1))</f>
        <v/>
      </c>
      <c r="BQ198">
        <f>IF($B$1+66&gt;90,BP198,(BP198+IF($B$1+66&lt;=$B198,12*$B$9,-12*MAX(0,$B$8-IF($B$1+66&gt;=$B$23,$B$22,0))*(1+$B$4)^66))*IF(BP198+IF($B$1+66&lt;=$B198,12*$B$9,-12*MAX(0,$B$8-IF($B$1+66&gt;=$B$23,$B$22,0))*(1+$B$4)^66)&gt;0,1+$B$3,1))</f>
        <v/>
      </c>
      <c r="BR198">
        <f>IF($B$1+67&gt;90,BQ198,(BQ198+IF($B$1+67&lt;=$B198,12*$B$9,-12*MAX(0,$B$8-IF($B$1+67&gt;=$B$23,$B$22,0))*(1+$B$4)^67))*IF(BQ198+IF($B$1+67&lt;=$B198,12*$B$9,-12*MAX(0,$B$8-IF($B$1+67&gt;=$B$23,$B$22,0))*(1+$B$4)^67)&gt;0,1+$B$3,1))</f>
        <v/>
      </c>
      <c r="BS198">
        <f>IF($B$1+68&gt;90,BR198,(BR198+IF($B$1+68&lt;=$B198,12*$B$9,-12*MAX(0,$B$8-IF($B$1+68&gt;=$B$23,$B$22,0))*(1+$B$4)^68))*IF(BR198+IF($B$1+68&lt;=$B198,12*$B$9,-12*MAX(0,$B$8-IF($B$1+68&gt;=$B$23,$B$22,0))*(1+$B$4)^68)&gt;0,1+$B$3,1))</f>
        <v/>
      </c>
      <c r="BT198">
        <f>IF($B$1+69&gt;90,BS198,(BS198+IF($B$1+69&lt;=$B198,12*$B$9,-12*MAX(0,$B$8-IF($B$1+69&gt;=$B$23,$B$22,0))*(1+$B$4)^69))*IF(BS198+IF($B$1+69&lt;=$B198,12*$B$9,-12*MAX(0,$B$8-IF($B$1+69&gt;=$B$23,$B$22,0))*(1+$B$4)^69)&gt;0,1+$B$3,1))</f>
        <v/>
      </c>
      <c r="BU198">
        <f>IF($B$1+70&gt;90,BT198,(BT198+IF($B$1+70&lt;=$B198,12*$B$9,-12*MAX(0,$B$8-IF($B$1+70&gt;=$B$23,$B$22,0))*(1+$B$4)^70))*IF(BT198+IF($B$1+70&lt;=$B198,12*$B$9,-12*MAX(0,$B$8-IF($B$1+70&gt;=$B$23,$B$22,0))*(1+$B$4)^70)&gt;0,1+$B$3,1))</f>
        <v/>
      </c>
      <c r="BV198">
        <f>BU198</f>
        <v/>
      </c>
      <c r="BW198">
        <f>IF(AND($B198&lt;=70,BV198&gt;0),$B198,999)</f>
        <v/>
      </c>
      <c r="CH198">
        <f>IF(ISTEXT('월 가계부'!A198),SUBSTITUTE(SUBSTITUTE(SUBSTITUTE(SUBSTITUTE(SUBSTITUTE(SUBSTITUTE(SUBSTITUTE(SUBSTITUTE(SUBSTITUTE(TRIM('월 가계부'!A198),"년","-"),"월","-"),"일",""),".","-"),"/","-")," ","-"),"--","-"),"--","-"),"--","-")&amp;"-","")</f>
        <v/>
      </c>
      <c r="CI198">
        <f>IFERROR(IF('월 가계부'!A198="","",IF(ISNUMBER('월 가계부'!A198),IF(AND('월 가계부'!A198&gt;=19000101,'월 가계부'!A198&lt;=21001231),IF(AND(MOD(INT('월 가계부'!A198/100),100)&gt;=1,MOD(INT('월 가계부'!A198/100),100)&lt;=12,MOD(INT('월 가계부'!A198),100)&gt;=1,MOD(INT('월 가계부'!A198),100)&lt;=31),IF(MONTH(DATE(INT('월 가계부'!A198/10000),MOD(INT('월 가계부'!A198/100),100),MOD(INT('월 가계부'!A198),100)))=MOD(INT('월 가계부'!A198/100),100),DATE(INT('월 가계부'!A198/10000),MOD(INT('월 가계부'!A198/100),100),MOD(INT('월 가계부'!A198),100)),""),""),IF(AND('월 가계부'!A198&gt;=36526,'월 가계부'!A198&lt;73051),INT('월 가계부'!A198),"")),IF(OR(CM198="",CN198="",CO198=""),"",IF(AND(CM198&gt;=2000,CM198&lt;=2099,CN198&gt;=1,CN198&lt;=12,CO198&gt;=1,CO198&lt;=31),IF(MONTH(DATE(CM198,CN198,CO198))=CN198,DATE(CM198,CN198,CO198),""),"")))),"")</f>
        <v/>
      </c>
      <c r="CJ198">
        <f>IFERROR(IF('월 가계부'!C198="","",IF(ISNUMBER('월 가계부'!C198),'월 가계부'!C198,VALUE(SUBSTITUTE(SUBSTITUTE(SUBSTITUTE(SUBSTITUTE(TRIM('월 가계부'!C198),",",""),"원","")," ",""),"−","-")))),"")</f>
        <v/>
      </c>
      <c r="CK198">
        <f>IF(ISNUMBER(CI198),IF(CI198&lt;$B$13,CI198,""),"")</f>
        <v/>
      </c>
      <c r="CM198">
        <f>IF(CH198="","",IFERROR(IF(IF(AND(LEN(CH198)=9,ISERROR(FIND("-",LEFT(CH198,8))),ISNUMBER(-LEFT(CH198,8))),VALUE(LEFT(CH198,4)),VALUE(LEFT(CH198,FIND("-",CH198)-1)))&lt;100,IF(AND(LEN(CH198)=9,ISERROR(FIND("-",LEFT(CH198,8))),ISNUMBER(-LEFT(CH198,8))),VALUE(LEFT(CH198,4)),VALUE(LEFT(CH198,FIND("-",CH198)-1)))+2000,IF(AND(LEN(CH198)=9,ISERROR(FIND("-",LEFT(CH198,8))),ISNUMBER(-LEFT(CH198,8))),VALUE(LEFT(CH198,4)),VALUE(LEFT(CH198,FIND("-",CH198)-1)))),""))</f>
        <v/>
      </c>
      <c r="CN198">
        <f>IF(CH198="","",IFERROR(IF(AND(LEN(CH198)=9,ISERROR(FIND("-",LEFT(CH198,8))),ISNUMBER(-LEFT(CH198,8))),VALUE(MID(CH198,5,2)),VALUE(MID(CH198,FIND("-",CH198)+1,FIND("-",CH198,FIND("-",CH198)+1)-FIND("-",CH198)-1))),""))</f>
        <v/>
      </c>
      <c r="CO198">
        <f>IF(CH198="","",IFERROR(IF(AND(LEN(CH198)=9,ISERROR(FIND("-",LEFT(CH198,8))),ISNUMBER(-LEFT(CH198,8))),VALUE(MID(CH198,7,2)),VALUE(MID(CH198,FIND("-",CH198,FIND("-",CH198)+1)+1,FIND("-",CH198,FIND("-",CH198,FIND("-",CH198)+1)+1)-FIND("-",CH198,FIND("-",CH198)+1)-1))),""))</f>
        <v/>
      </c>
    </row>
    <row r="199">
      <c r="A199" t="n">
        <v>47</v>
      </c>
      <c r="B199">
        <f>$B$1+47</f>
        <v/>
      </c>
      <c r="C199">
        <f>$B$2</f>
        <v/>
      </c>
      <c r="D199">
        <f>IF($B$1+1&gt;90,C199,(C199+IF($B$1+1&lt;=$B199,12*$B$9,-12*MAX(0,$B$8-IF($B$1+1&gt;=$B$23,$B$22,0))*(1+$B$4)^1))*IF(C199+IF($B$1+1&lt;=$B199,12*$B$9,-12*MAX(0,$B$8-IF($B$1+1&gt;=$B$23,$B$22,0))*(1+$B$4)^1)&gt;0,1+$B$3,1))</f>
        <v/>
      </c>
      <c r="E199">
        <f>IF($B$1+2&gt;90,D199,(D199+IF($B$1+2&lt;=$B199,12*$B$9,-12*MAX(0,$B$8-IF($B$1+2&gt;=$B$23,$B$22,0))*(1+$B$4)^2))*IF(D199+IF($B$1+2&lt;=$B199,12*$B$9,-12*MAX(0,$B$8-IF($B$1+2&gt;=$B$23,$B$22,0))*(1+$B$4)^2)&gt;0,1+$B$3,1))</f>
        <v/>
      </c>
      <c r="F199">
        <f>IF($B$1+3&gt;90,E199,(E199+IF($B$1+3&lt;=$B199,12*$B$9,-12*MAX(0,$B$8-IF($B$1+3&gt;=$B$23,$B$22,0))*(1+$B$4)^3))*IF(E199+IF($B$1+3&lt;=$B199,12*$B$9,-12*MAX(0,$B$8-IF($B$1+3&gt;=$B$23,$B$22,0))*(1+$B$4)^3)&gt;0,1+$B$3,1))</f>
        <v/>
      </c>
      <c r="G199">
        <f>IF($B$1+4&gt;90,F199,(F199+IF($B$1+4&lt;=$B199,12*$B$9,-12*MAX(0,$B$8-IF($B$1+4&gt;=$B$23,$B$22,0))*(1+$B$4)^4))*IF(F199+IF($B$1+4&lt;=$B199,12*$B$9,-12*MAX(0,$B$8-IF($B$1+4&gt;=$B$23,$B$22,0))*(1+$B$4)^4)&gt;0,1+$B$3,1))</f>
        <v/>
      </c>
      <c r="H199">
        <f>IF($B$1+5&gt;90,G199,(G199+IF($B$1+5&lt;=$B199,12*$B$9,-12*MAX(0,$B$8-IF($B$1+5&gt;=$B$23,$B$22,0))*(1+$B$4)^5))*IF(G199+IF($B$1+5&lt;=$B199,12*$B$9,-12*MAX(0,$B$8-IF($B$1+5&gt;=$B$23,$B$22,0))*(1+$B$4)^5)&gt;0,1+$B$3,1))</f>
        <v/>
      </c>
      <c r="I199">
        <f>IF($B$1+6&gt;90,H199,(H199+IF($B$1+6&lt;=$B199,12*$B$9,-12*MAX(0,$B$8-IF($B$1+6&gt;=$B$23,$B$22,0))*(1+$B$4)^6))*IF(H199+IF($B$1+6&lt;=$B199,12*$B$9,-12*MAX(0,$B$8-IF($B$1+6&gt;=$B$23,$B$22,0))*(1+$B$4)^6)&gt;0,1+$B$3,1))</f>
        <v/>
      </c>
      <c r="J199">
        <f>IF($B$1+7&gt;90,I199,(I199+IF($B$1+7&lt;=$B199,12*$B$9,-12*MAX(0,$B$8-IF($B$1+7&gt;=$B$23,$B$22,0))*(1+$B$4)^7))*IF(I199+IF($B$1+7&lt;=$B199,12*$B$9,-12*MAX(0,$B$8-IF($B$1+7&gt;=$B$23,$B$22,0))*(1+$B$4)^7)&gt;0,1+$B$3,1))</f>
        <v/>
      </c>
      <c r="K199">
        <f>IF($B$1+8&gt;90,J199,(J199+IF($B$1+8&lt;=$B199,12*$B$9,-12*MAX(0,$B$8-IF($B$1+8&gt;=$B$23,$B$22,0))*(1+$B$4)^8))*IF(J199+IF($B$1+8&lt;=$B199,12*$B$9,-12*MAX(0,$B$8-IF($B$1+8&gt;=$B$23,$B$22,0))*(1+$B$4)^8)&gt;0,1+$B$3,1))</f>
        <v/>
      </c>
      <c r="L199">
        <f>IF($B$1+9&gt;90,K199,(K199+IF($B$1+9&lt;=$B199,12*$B$9,-12*MAX(0,$B$8-IF($B$1+9&gt;=$B$23,$B$22,0))*(1+$B$4)^9))*IF(K199+IF($B$1+9&lt;=$B199,12*$B$9,-12*MAX(0,$B$8-IF($B$1+9&gt;=$B$23,$B$22,0))*(1+$B$4)^9)&gt;0,1+$B$3,1))</f>
        <v/>
      </c>
      <c r="M199">
        <f>IF($B$1+10&gt;90,L199,(L199+IF($B$1+10&lt;=$B199,12*$B$9,-12*MAX(0,$B$8-IF($B$1+10&gt;=$B$23,$B$22,0))*(1+$B$4)^10))*IF(L199+IF($B$1+10&lt;=$B199,12*$B$9,-12*MAX(0,$B$8-IF($B$1+10&gt;=$B$23,$B$22,0))*(1+$B$4)^10)&gt;0,1+$B$3,1))</f>
        <v/>
      </c>
      <c r="N199">
        <f>IF($B$1+11&gt;90,M199,(M199+IF($B$1+11&lt;=$B199,12*$B$9,-12*MAX(0,$B$8-IF($B$1+11&gt;=$B$23,$B$22,0))*(1+$B$4)^11))*IF(M199+IF($B$1+11&lt;=$B199,12*$B$9,-12*MAX(0,$B$8-IF($B$1+11&gt;=$B$23,$B$22,0))*(1+$B$4)^11)&gt;0,1+$B$3,1))</f>
        <v/>
      </c>
      <c r="O199">
        <f>IF($B$1+12&gt;90,N199,(N199+IF($B$1+12&lt;=$B199,12*$B$9,-12*MAX(0,$B$8-IF($B$1+12&gt;=$B$23,$B$22,0))*(1+$B$4)^12))*IF(N199+IF($B$1+12&lt;=$B199,12*$B$9,-12*MAX(0,$B$8-IF($B$1+12&gt;=$B$23,$B$22,0))*(1+$B$4)^12)&gt;0,1+$B$3,1))</f>
        <v/>
      </c>
      <c r="P199">
        <f>IF($B$1+13&gt;90,O199,(O199+IF($B$1+13&lt;=$B199,12*$B$9,-12*MAX(0,$B$8-IF($B$1+13&gt;=$B$23,$B$22,0))*(1+$B$4)^13))*IF(O199+IF($B$1+13&lt;=$B199,12*$B$9,-12*MAX(0,$B$8-IF($B$1+13&gt;=$B$23,$B$22,0))*(1+$B$4)^13)&gt;0,1+$B$3,1))</f>
        <v/>
      </c>
      <c r="Q199">
        <f>IF($B$1+14&gt;90,P199,(P199+IF($B$1+14&lt;=$B199,12*$B$9,-12*MAX(0,$B$8-IF($B$1+14&gt;=$B$23,$B$22,0))*(1+$B$4)^14))*IF(P199+IF($B$1+14&lt;=$B199,12*$B$9,-12*MAX(0,$B$8-IF($B$1+14&gt;=$B$23,$B$22,0))*(1+$B$4)^14)&gt;0,1+$B$3,1))</f>
        <v/>
      </c>
      <c r="R199">
        <f>IF($B$1+15&gt;90,Q199,(Q199+IF($B$1+15&lt;=$B199,12*$B$9,-12*MAX(0,$B$8-IF($B$1+15&gt;=$B$23,$B$22,0))*(1+$B$4)^15))*IF(Q199+IF($B$1+15&lt;=$B199,12*$B$9,-12*MAX(0,$B$8-IF($B$1+15&gt;=$B$23,$B$22,0))*(1+$B$4)^15)&gt;0,1+$B$3,1))</f>
        <v/>
      </c>
      <c r="S199">
        <f>IF($B$1+16&gt;90,R199,(R199+IF($B$1+16&lt;=$B199,12*$B$9,-12*MAX(0,$B$8-IF($B$1+16&gt;=$B$23,$B$22,0))*(1+$B$4)^16))*IF(R199+IF($B$1+16&lt;=$B199,12*$B$9,-12*MAX(0,$B$8-IF($B$1+16&gt;=$B$23,$B$22,0))*(1+$B$4)^16)&gt;0,1+$B$3,1))</f>
        <v/>
      </c>
      <c r="T199">
        <f>IF($B$1+17&gt;90,S199,(S199+IF($B$1+17&lt;=$B199,12*$B$9,-12*MAX(0,$B$8-IF($B$1+17&gt;=$B$23,$B$22,0))*(1+$B$4)^17))*IF(S199+IF($B$1+17&lt;=$B199,12*$B$9,-12*MAX(0,$B$8-IF($B$1+17&gt;=$B$23,$B$22,0))*(1+$B$4)^17)&gt;0,1+$B$3,1))</f>
        <v/>
      </c>
      <c r="U199">
        <f>IF($B$1+18&gt;90,T199,(T199+IF($B$1+18&lt;=$B199,12*$B$9,-12*MAX(0,$B$8-IF($B$1+18&gt;=$B$23,$B$22,0))*(1+$B$4)^18))*IF(T199+IF($B$1+18&lt;=$B199,12*$B$9,-12*MAX(0,$B$8-IF($B$1+18&gt;=$B$23,$B$22,0))*(1+$B$4)^18)&gt;0,1+$B$3,1))</f>
        <v/>
      </c>
      <c r="V199">
        <f>IF($B$1+19&gt;90,U199,(U199+IF($B$1+19&lt;=$B199,12*$B$9,-12*MAX(0,$B$8-IF($B$1+19&gt;=$B$23,$B$22,0))*(1+$B$4)^19))*IF(U199+IF($B$1+19&lt;=$B199,12*$B$9,-12*MAX(0,$B$8-IF($B$1+19&gt;=$B$23,$B$22,0))*(1+$B$4)^19)&gt;0,1+$B$3,1))</f>
        <v/>
      </c>
      <c r="W199">
        <f>IF($B$1+20&gt;90,V199,(V199+IF($B$1+20&lt;=$B199,12*$B$9,-12*MAX(0,$B$8-IF($B$1+20&gt;=$B$23,$B$22,0))*(1+$B$4)^20))*IF(V199+IF($B$1+20&lt;=$B199,12*$B$9,-12*MAX(0,$B$8-IF($B$1+20&gt;=$B$23,$B$22,0))*(1+$B$4)^20)&gt;0,1+$B$3,1))</f>
        <v/>
      </c>
      <c r="X199">
        <f>IF($B$1+21&gt;90,W199,(W199+IF($B$1+21&lt;=$B199,12*$B$9,-12*MAX(0,$B$8-IF($B$1+21&gt;=$B$23,$B$22,0))*(1+$B$4)^21))*IF(W199+IF($B$1+21&lt;=$B199,12*$B$9,-12*MAX(0,$B$8-IF($B$1+21&gt;=$B$23,$B$22,0))*(1+$B$4)^21)&gt;0,1+$B$3,1))</f>
        <v/>
      </c>
      <c r="Y199">
        <f>IF($B$1+22&gt;90,X199,(X199+IF($B$1+22&lt;=$B199,12*$B$9,-12*MAX(0,$B$8-IF($B$1+22&gt;=$B$23,$B$22,0))*(1+$B$4)^22))*IF(X199+IF($B$1+22&lt;=$B199,12*$B$9,-12*MAX(0,$B$8-IF($B$1+22&gt;=$B$23,$B$22,0))*(1+$B$4)^22)&gt;0,1+$B$3,1))</f>
        <v/>
      </c>
      <c r="Z199">
        <f>IF($B$1+23&gt;90,Y199,(Y199+IF($B$1+23&lt;=$B199,12*$B$9,-12*MAX(0,$B$8-IF($B$1+23&gt;=$B$23,$B$22,0))*(1+$B$4)^23))*IF(Y199+IF($B$1+23&lt;=$B199,12*$B$9,-12*MAX(0,$B$8-IF($B$1+23&gt;=$B$23,$B$22,0))*(1+$B$4)^23)&gt;0,1+$B$3,1))</f>
        <v/>
      </c>
      <c r="AA199">
        <f>IF($B$1+24&gt;90,Z199,(Z199+IF($B$1+24&lt;=$B199,12*$B$9,-12*MAX(0,$B$8-IF($B$1+24&gt;=$B$23,$B$22,0))*(1+$B$4)^24))*IF(Z199+IF($B$1+24&lt;=$B199,12*$B$9,-12*MAX(0,$B$8-IF($B$1+24&gt;=$B$23,$B$22,0))*(1+$B$4)^24)&gt;0,1+$B$3,1))</f>
        <v/>
      </c>
      <c r="AB199">
        <f>IF($B$1+25&gt;90,AA199,(AA199+IF($B$1+25&lt;=$B199,12*$B$9,-12*MAX(0,$B$8-IF($B$1+25&gt;=$B$23,$B$22,0))*(1+$B$4)^25))*IF(AA199+IF($B$1+25&lt;=$B199,12*$B$9,-12*MAX(0,$B$8-IF($B$1+25&gt;=$B$23,$B$22,0))*(1+$B$4)^25)&gt;0,1+$B$3,1))</f>
        <v/>
      </c>
      <c r="AC199">
        <f>IF($B$1+26&gt;90,AB199,(AB199+IF($B$1+26&lt;=$B199,12*$B$9,-12*MAX(0,$B$8-IF($B$1+26&gt;=$B$23,$B$22,0))*(1+$B$4)^26))*IF(AB199+IF($B$1+26&lt;=$B199,12*$B$9,-12*MAX(0,$B$8-IF($B$1+26&gt;=$B$23,$B$22,0))*(1+$B$4)^26)&gt;0,1+$B$3,1))</f>
        <v/>
      </c>
      <c r="AD199">
        <f>IF($B$1+27&gt;90,AC199,(AC199+IF($B$1+27&lt;=$B199,12*$B$9,-12*MAX(0,$B$8-IF($B$1+27&gt;=$B$23,$B$22,0))*(1+$B$4)^27))*IF(AC199+IF($B$1+27&lt;=$B199,12*$B$9,-12*MAX(0,$B$8-IF($B$1+27&gt;=$B$23,$B$22,0))*(1+$B$4)^27)&gt;0,1+$B$3,1))</f>
        <v/>
      </c>
      <c r="AE199">
        <f>IF($B$1+28&gt;90,AD199,(AD199+IF($B$1+28&lt;=$B199,12*$B$9,-12*MAX(0,$B$8-IF($B$1+28&gt;=$B$23,$B$22,0))*(1+$B$4)^28))*IF(AD199+IF($B$1+28&lt;=$B199,12*$B$9,-12*MAX(0,$B$8-IF($B$1+28&gt;=$B$23,$B$22,0))*(1+$B$4)^28)&gt;0,1+$B$3,1))</f>
        <v/>
      </c>
      <c r="AF199">
        <f>IF($B$1+29&gt;90,AE199,(AE199+IF($B$1+29&lt;=$B199,12*$B$9,-12*MAX(0,$B$8-IF($B$1+29&gt;=$B$23,$B$22,0))*(1+$B$4)^29))*IF(AE199+IF($B$1+29&lt;=$B199,12*$B$9,-12*MAX(0,$B$8-IF($B$1+29&gt;=$B$23,$B$22,0))*(1+$B$4)^29)&gt;0,1+$B$3,1))</f>
        <v/>
      </c>
      <c r="AG199">
        <f>IF($B$1+30&gt;90,AF199,(AF199+IF($B$1+30&lt;=$B199,12*$B$9,-12*MAX(0,$B$8-IF($B$1+30&gt;=$B$23,$B$22,0))*(1+$B$4)^30))*IF(AF199+IF($B$1+30&lt;=$B199,12*$B$9,-12*MAX(0,$B$8-IF($B$1+30&gt;=$B$23,$B$22,0))*(1+$B$4)^30)&gt;0,1+$B$3,1))</f>
        <v/>
      </c>
      <c r="AH199">
        <f>IF($B$1+31&gt;90,AG199,(AG199+IF($B$1+31&lt;=$B199,12*$B$9,-12*MAX(0,$B$8-IF($B$1+31&gt;=$B$23,$B$22,0))*(1+$B$4)^31))*IF(AG199+IF($B$1+31&lt;=$B199,12*$B$9,-12*MAX(0,$B$8-IF($B$1+31&gt;=$B$23,$B$22,0))*(1+$B$4)^31)&gt;0,1+$B$3,1))</f>
        <v/>
      </c>
      <c r="AI199">
        <f>IF($B$1+32&gt;90,AH199,(AH199+IF($B$1+32&lt;=$B199,12*$B$9,-12*MAX(0,$B$8-IF($B$1+32&gt;=$B$23,$B$22,0))*(1+$B$4)^32))*IF(AH199+IF($B$1+32&lt;=$B199,12*$B$9,-12*MAX(0,$B$8-IF($B$1+32&gt;=$B$23,$B$22,0))*(1+$B$4)^32)&gt;0,1+$B$3,1))</f>
        <v/>
      </c>
      <c r="AJ199">
        <f>IF($B$1+33&gt;90,AI199,(AI199+IF($B$1+33&lt;=$B199,12*$B$9,-12*MAX(0,$B$8-IF($B$1+33&gt;=$B$23,$B$22,0))*(1+$B$4)^33))*IF(AI199+IF($B$1+33&lt;=$B199,12*$B$9,-12*MAX(0,$B$8-IF($B$1+33&gt;=$B$23,$B$22,0))*(1+$B$4)^33)&gt;0,1+$B$3,1))</f>
        <v/>
      </c>
      <c r="AK199">
        <f>IF($B$1+34&gt;90,AJ199,(AJ199+IF($B$1+34&lt;=$B199,12*$B$9,-12*MAX(0,$B$8-IF($B$1+34&gt;=$B$23,$B$22,0))*(1+$B$4)^34))*IF(AJ199+IF($B$1+34&lt;=$B199,12*$B$9,-12*MAX(0,$B$8-IF($B$1+34&gt;=$B$23,$B$22,0))*(1+$B$4)^34)&gt;0,1+$B$3,1))</f>
        <v/>
      </c>
      <c r="AL199">
        <f>IF($B$1+35&gt;90,AK199,(AK199+IF($B$1+35&lt;=$B199,12*$B$9,-12*MAX(0,$B$8-IF($B$1+35&gt;=$B$23,$B$22,0))*(1+$B$4)^35))*IF(AK199+IF($B$1+35&lt;=$B199,12*$B$9,-12*MAX(0,$B$8-IF($B$1+35&gt;=$B$23,$B$22,0))*(1+$B$4)^35)&gt;0,1+$B$3,1))</f>
        <v/>
      </c>
      <c r="AM199">
        <f>IF($B$1+36&gt;90,AL199,(AL199+IF($B$1+36&lt;=$B199,12*$B$9,-12*MAX(0,$B$8-IF($B$1+36&gt;=$B$23,$B$22,0))*(1+$B$4)^36))*IF(AL199+IF($B$1+36&lt;=$B199,12*$B$9,-12*MAX(0,$B$8-IF($B$1+36&gt;=$B$23,$B$22,0))*(1+$B$4)^36)&gt;0,1+$B$3,1))</f>
        <v/>
      </c>
      <c r="AN199">
        <f>IF($B$1+37&gt;90,AM199,(AM199+IF($B$1+37&lt;=$B199,12*$B$9,-12*MAX(0,$B$8-IF($B$1+37&gt;=$B$23,$B$22,0))*(1+$B$4)^37))*IF(AM199+IF($B$1+37&lt;=$B199,12*$B$9,-12*MAX(0,$B$8-IF($B$1+37&gt;=$B$23,$B$22,0))*(1+$B$4)^37)&gt;0,1+$B$3,1))</f>
        <v/>
      </c>
      <c r="AO199">
        <f>IF($B$1+38&gt;90,AN199,(AN199+IF($B$1+38&lt;=$B199,12*$B$9,-12*MAX(0,$B$8-IF($B$1+38&gt;=$B$23,$B$22,0))*(1+$B$4)^38))*IF(AN199+IF($B$1+38&lt;=$B199,12*$B$9,-12*MAX(0,$B$8-IF($B$1+38&gt;=$B$23,$B$22,0))*(1+$B$4)^38)&gt;0,1+$B$3,1))</f>
        <v/>
      </c>
      <c r="AP199">
        <f>IF($B$1+39&gt;90,AO199,(AO199+IF($B$1+39&lt;=$B199,12*$B$9,-12*MAX(0,$B$8-IF($B$1+39&gt;=$B$23,$B$22,0))*(1+$B$4)^39))*IF(AO199+IF($B$1+39&lt;=$B199,12*$B$9,-12*MAX(0,$B$8-IF($B$1+39&gt;=$B$23,$B$22,0))*(1+$B$4)^39)&gt;0,1+$B$3,1))</f>
        <v/>
      </c>
      <c r="AQ199">
        <f>IF($B$1+40&gt;90,AP199,(AP199+IF($B$1+40&lt;=$B199,12*$B$9,-12*MAX(0,$B$8-IF($B$1+40&gt;=$B$23,$B$22,0))*(1+$B$4)^40))*IF(AP199+IF($B$1+40&lt;=$B199,12*$B$9,-12*MAX(0,$B$8-IF($B$1+40&gt;=$B$23,$B$22,0))*(1+$B$4)^40)&gt;0,1+$B$3,1))</f>
        <v/>
      </c>
      <c r="AR199">
        <f>IF($B$1+41&gt;90,AQ199,(AQ199+IF($B$1+41&lt;=$B199,12*$B$9,-12*MAX(0,$B$8-IF($B$1+41&gt;=$B$23,$B$22,0))*(1+$B$4)^41))*IF(AQ199+IF($B$1+41&lt;=$B199,12*$B$9,-12*MAX(0,$B$8-IF($B$1+41&gt;=$B$23,$B$22,0))*(1+$B$4)^41)&gt;0,1+$B$3,1))</f>
        <v/>
      </c>
      <c r="AS199">
        <f>IF($B$1+42&gt;90,AR199,(AR199+IF($B$1+42&lt;=$B199,12*$B$9,-12*MAX(0,$B$8-IF($B$1+42&gt;=$B$23,$B$22,0))*(1+$B$4)^42))*IF(AR199+IF($B$1+42&lt;=$B199,12*$B$9,-12*MAX(0,$B$8-IF($B$1+42&gt;=$B$23,$B$22,0))*(1+$B$4)^42)&gt;0,1+$B$3,1))</f>
        <v/>
      </c>
      <c r="AT199">
        <f>IF($B$1+43&gt;90,AS199,(AS199+IF($B$1+43&lt;=$B199,12*$B$9,-12*MAX(0,$B$8-IF($B$1+43&gt;=$B$23,$B$22,0))*(1+$B$4)^43))*IF(AS199+IF($B$1+43&lt;=$B199,12*$B$9,-12*MAX(0,$B$8-IF($B$1+43&gt;=$B$23,$B$22,0))*(1+$B$4)^43)&gt;0,1+$B$3,1))</f>
        <v/>
      </c>
      <c r="AU199">
        <f>IF($B$1+44&gt;90,AT199,(AT199+IF($B$1+44&lt;=$B199,12*$B$9,-12*MAX(0,$B$8-IF($B$1+44&gt;=$B$23,$B$22,0))*(1+$B$4)^44))*IF(AT199+IF($B$1+44&lt;=$B199,12*$B$9,-12*MAX(0,$B$8-IF($B$1+44&gt;=$B$23,$B$22,0))*(1+$B$4)^44)&gt;0,1+$B$3,1))</f>
        <v/>
      </c>
      <c r="AV199">
        <f>IF($B$1+45&gt;90,AU199,(AU199+IF($B$1+45&lt;=$B199,12*$B$9,-12*MAX(0,$B$8-IF($B$1+45&gt;=$B$23,$B$22,0))*(1+$B$4)^45))*IF(AU199+IF($B$1+45&lt;=$B199,12*$B$9,-12*MAX(0,$B$8-IF($B$1+45&gt;=$B$23,$B$22,0))*(1+$B$4)^45)&gt;0,1+$B$3,1))</f>
        <v/>
      </c>
      <c r="AW199">
        <f>IF($B$1+46&gt;90,AV199,(AV199+IF($B$1+46&lt;=$B199,12*$B$9,-12*MAX(0,$B$8-IF($B$1+46&gt;=$B$23,$B$22,0))*(1+$B$4)^46))*IF(AV199+IF($B$1+46&lt;=$B199,12*$B$9,-12*MAX(0,$B$8-IF($B$1+46&gt;=$B$23,$B$22,0))*(1+$B$4)^46)&gt;0,1+$B$3,1))</f>
        <v/>
      </c>
      <c r="AX199">
        <f>IF($B$1+47&gt;90,AW199,(AW199+IF($B$1+47&lt;=$B199,12*$B$9,-12*MAX(0,$B$8-IF($B$1+47&gt;=$B$23,$B$22,0))*(1+$B$4)^47))*IF(AW199+IF($B$1+47&lt;=$B199,12*$B$9,-12*MAX(0,$B$8-IF($B$1+47&gt;=$B$23,$B$22,0))*(1+$B$4)^47)&gt;0,1+$B$3,1))</f>
        <v/>
      </c>
      <c r="AY199">
        <f>IF($B$1+48&gt;90,AX199,(AX199+IF($B$1+48&lt;=$B199,12*$B$9,-12*MAX(0,$B$8-IF($B$1+48&gt;=$B$23,$B$22,0))*(1+$B$4)^48))*IF(AX199+IF($B$1+48&lt;=$B199,12*$B$9,-12*MAX(0,$B$8-IF($B$1+48&gt;=$B$23,$B$22,0))*(1+$B$4)^48)&gt;0,1+$B$3,1))</f>
        <v/>
      </c>
      <c r="AZ199">
        <f>IF($B$1+49&gt;90,AY199,(AY199+IF($B$1+49&lt;=$B199,12*$B$9,-12*MAX(0,$B$8-IF($B$1+49&gt;=$B$23,$B$22,0))*(1+$B$4)^49))*IF(AY199+IF($B$1+49&lt;=$B199,12*$B$9,-12*MAX(0,$B$8-IF($B$1+49&gt;=$B$23,$B$22,0))*(1+$B$4)^49)&gt;0,1+$B$3,1))</f>
        <v/>
      </c>
      <c r="BA199">
        <f>IF($B$1+50&gt;90,AZ199,(AZ199+IF($B$1+50&lt;=$B199,12*$B$9,-12*MAX(0,$B$8-IF($B$1+50&gt;=$B$23,$B$22,0))*(1+$B$4)^50))*IF(AZ199+IF($B$1+50&lt;=$B199,12*$B$9,-12*MAX(0,$B$8-IF($B$1+50&gt;=$B$23,$B$22,0))*(1+$B$4)^50)&gt;0,1+$B$3,1))</f>
        <v/>
      </c>
      <c r="BB199">
        <f>IF($B$1+51&gt;90,BA199,(BA199+IF($B$1+51&lt;=$B199,12*$B$9,-12*MAX(0,$B$8-IF($B$1+51&gt;=$B$23,$B$22,0))*(1+$B$4)^51))*IF(BA199+IF($B$1+51&lt;=$B199,12*$B$9,-12*MAX(0,$B$8-IF($B$1+51&gt;=$B$23,$B$22,0))*(1+$B$4)^51)&gt;0,1+$B$3,1))</f>
        <v/>
      </c>
      <c r="BC199">
        <f>IF($B$1+52&gt;90,BB199,(BB199+IF($B$1+52&lt;=$B199,12*$B$9,-12*MAX(0,$B$8-IF($B$1+52&gt;=$B$23,$B$22,0))*(1+$B$4)^52))*IF(BB199+IF($B$1+52&lt;=$B199,12*$B$9,-12*MAX(0,$B$8-IF($B$1+52&gt;=$B$23,$B$22,0))*(1+$B$4)^52)&gt;0,1+$B$3,1))</f>
        <v/>
      </c>
      <c r="BD199">
        <f>IF($B$1+53&gt;90,BC199,(BC199+IF($B$1+53&lt;=$B199,12*$B$9,-12*MAX(0,$B$8-IF($B$1+53&gt;=$B$23,$B$22,0))*(1+$B$4)^53))*IF(BC199+IF($B$1+53&lt;=$B199,12*$B$9,-12*MAX(0,$B$8-IF($B$1+53&gt;=$B$23,$B$22,0))*(1+$B$4)^53)&gt;0,1+$B$3,1))</f>
        <v/>
      </c>
      <c r="BE199">
        <f>IF($B$1+54&gt;90,BD199,(BD199+IF($B$1+54&lt;=$B199,12*$B$9,-12*MAX(0,$B$8-IF($B$1+54&gt;=$B$23,$B$22,0))*(1+$B$4)^54))*IF(BD199+IF($B$1+54&lt;=$B199,12*$B$9,-12*MAX(0,$B$8-IF($B$1+54&gt;=$B$23,$B$22,0))*(1+$B$4)^54)&gt;0,1+$B$3,1))</f>
        <v/>
      </c>
      <c r="BF199">
        <f>IF($B$1+55&gt;90,BE199,(BE199+IF($B$1+55&lt;=$B199,12*$B$9,-12*MAX(0,$B$8-IF($B$1+55&gt;=$B$23,$B$22,0))*(1+$B$4)^55))*IF(BE199+IF($B$1+55&lt;=$B199,12*$B$9,-12*MAX(0,$B$8-IF($B$1+55&gt;=$B$23,$B$22,0))*(1+$B$4)^55)&gt;0,1+$B$3,1))</f>
        <v/>
      </c>
      <c r="BG199">
        <f>IF($B$1+56&gt;90,BF199,(BF199+IF($B$1+56&lt;=$B199,12*$B$9,-12*MAX(0,$B$8-IF($B$1+56&gt;=$B$23,$B$22,0))*(1+$B$4)^56))*IF(BF199+IF($B$1+56&lt;=$B199,12*$B$9,-12*MAX(0,$B$8-IF($B$1+56&gt;=$B$23,$B$22,0))*(1+$B$4)^56)&gt;0,1+$B$3,1))</f>
        <v/>
      </c>
      <c r="BH199">
        <f>IF($B$1+57&gt;90,BG199,(BG199+IF($B$1+57&lt;=$B199,12*$B$9,-12*MAX(0,$B$8-IF($B$1+57&gt;=$B$23,$B$22,0))*(1+$B$4)^57))*IF(BG199+IF($B$1+57&lt;=$B199,12*$B$9,-12*MAX(0,$B$8-IF($B$1+57&gt;=$B$23,$B$22,0))*(1+$B$4)^57)&gt;0,1+$B$3,1))</f>
        <v/>
      </c>
      <c r="BI199">
        <f>IF($B$1+58&gt;90,BH199,(BH199+IF($B$1+58&lt;=$B199,12*$B$9,-12*MAX(0,$B$8-IF($B$1+58&gt;=$B$23,$B$22,0))*(1+$B$4)^58))*IF(BH199+IF($B$1+58&lt;=$B199,12*$B$9,-12*MAX(0,$B$8-IF($B$1+58&gt;=$B$23,$B$22,0))*(1+$B$4)^58)&gt;0,1+$B$3,1))</f>
        <v/>
      </c>
      <c r="BJ199">
        <f>IF($B$1+59&gt;90,BI199,(BI199+IF($B$1+59&lt;=$B199,12*$B$9,-12*MAX(0,$B$8-IF($B$1+59&gt;=$B$23,$B$22,0))*(1+$B$4)^59))*IF(BI199+IF($B$1+59&lt;=$B199,12*$B$9,-12*MAX(0,$B$8-IF($B$1+59&gt;=$B$23,$B$22,0))*(1+$B$4)^59)&gt;0,1+$B$3,1))</f>
        <v/>
      </c>
      <c r="BK199">
        <f>IF($B$1+60&gt;90,BJ199,(BJ199+IF($B$1+60&lt;=$B199,12*$B$9,-12*MAX(0,$B$8-IF($B$1+60&gt;=$B$23,$B$22,0))*(1+$B$4)^60))*IF(BJ199+IF($B$1+60&lt;=$B199,12*$B$9,-12*MAX(0,$B$8-IF($B$1+60&gt;=$B$23,$B$22,0))*(1+$B$4)^60)&gt;0,1+$B$3,1))</f>
        <v/>
      </c>
      <c r="BL199">
        <f>IF($B$1+61&gt;90,BK199,(BK199+IF($B$1+61&lt;=$B199,12*$B$9,-12*MAX(0,$B$8-IF($B$1+61&gt;=$B$23,$B$22,0))*(1+$B$4)^61))*IF(BK199+IF($B$1+61&lt;=$B199,12*$B$9,-12*MAX(0,$B$8-IF($B$1+61&gt;=$B$23,$B$22,0))*(1+$B$4)^61)&gt;0,1+$B$3,1))</f>
        <v/>
      </c>
      <c r="BM199">
        <f>IF($B$1+62&gt;90,BL199,(BL199+IF($B$1+62&lt;=$B199,12*$B$9,-12*MAX(0,$B$8-IF($B$1+62&gt;=$B$23,$B$22,0))*(1+$B$4)^62))*IF(BL199+IF($B$1+62&lt;=$B199,12*$B$9,-12*MAX(0,$B$8-IF($B$1+62&gt;=$B$23,$B$22,0))*(1+$B$4)^62)&gt;0,1+$B$3,1))</f>
        <v/>
      </c>
      <c r="BN199">
        <f>IF($B$1+63&gt;90,BM199,(BM199+IF($B$1+63&lt;=$B199,12*$B$9,-12*MAX(0,$B$8-IF($B$1+63&gt;=$B$23,$B$22,0))*(1+$B$4)^63))*IF(BM199+IF($B$1+63&lt;=$B199,12*$B$9,-12*MAX(0,$B$8-IF($B$1+63&gt;=$B$23,$B$22,0))*(1+$B$4)^63)&gt;0,1+$B$3,1))</f>
        <v/>
      </c>
      <c r="BO199">
        <f>IF($B$1+64&gt;90,BN199,(BN199+IF($B$1+64&lt;=$B199,12*$B$9,-12*MAX(0,$B$8-IF($B$1+64&gt;=$B$23,$B$22,0))*(1+$B$4)^64))*IF(BN199+IF($B$1+64&lt;=$B199,12*$B$9,-12*MAX(0,$B$8-IF($B$1+64&gt;=$B$23,$B$22,0))*(1+$B$4)^64)&gt;0,1+$B$3,1))</f>
        <v/>
      </c>
      <c r="BP199">
        <f>IF($B$1+65&gt;90,BO199,(BO199+IF($B$1+65&lt;=$B199,12*$B$9,-12*MAX(0,$B$8-IF($B$1+65&gt;=$B$23,$B$22,0))*(1+$B$4)^65))*IF(BO199+IF($B$1+65&lt;=$B199,12*$B$9,-12*MAX(0,$B$8-IF($B$1+65&gt;=$B$23,$B$22,0))*(1+$B$4)^65)&gt;0,1+$B$3,1))</f>
        <v/>
      </c>
      <c r="BQ199">
        <f>IF($B$1+66&gt;90,BP199,(BP199+IF($B$1+66&lt;=$B199,12*$B$9,-12*MAX(0,$B$8-IF($B$1+66&gt;=$B$23,$B$22,0))*(1+$B$4)^66))*IF(BP199+IF($B$1+66&lt;=$B199,12*$B$9,-12*MAX(0,$B$8-IF($B$1+66&gt;=$B$23,$B$22,0))*(1+$B$4)^66)&gt;0,1+$B$3,1))</f>
        <v/>
      </c>
      <c r="BR199">
        <f>IF($B$1+67&gt;90,BQ199,(BQ199+IF($B$1+67&lt;=$B199,12*$B$9,-12*MAX(0,$B$8-IF($B$1+67&gt;=$B$23,$B$22,0))*(1+$B$4)^67))*IF(BQ199+IF($B$1+67&lt;=$B199,12*$B$9,-12*MAX(0,$B$8-IF($B$1+67&gt;=$B$23,$B$22,0))*(1+$B$4)^67)&gt;0,1+$B$3,1))</f>
        <v/>
      </c>
      <c r="BS199">
        <f>IF($B$1+68&gt;90,BR199,(BR199+IF($B$1+68&lt;=$B199,12*$B$9,-12*MAX(0,$B$8-IF($B$1+68&gt;=$B$23,$B$22,0))*(1+$B$4)^68))*IF(BR199+IF($B$1+68&lt;=$B199,12*$B$9,-12*MAX(0,$B$8-IF($B$1+68&gt;=$B$23,$B$22,0))*(1+$B$4)^68)&gt;0,1+$B$3,1))</f>
        <v/>
      </c>
      <c r="BT199">
        <f>IF($B$1+69&gt;90,BS199,(BS199+IF($B$1+69&lt;=$B199,12*$B$9,-12*MAX(0,$B$8-IF($B$1+69&gt;=$B$23,$B$22,0))*(1+$B$4)^69))*IF(BS199+IF($B$1+69&lt;=$B199,12*$B$9,-12*MAX(0,$B$8-IF($B$1+69&gt;=$B$23,$B$22,0))*(1+$B$4)^69)&gt;0,1+$B$3,1))</f>
        <v/>
      </c>
      <c r="BU199">
        <f>IF($B$1+70&gt;90,BT199,(BT199+IF($B$1+70&lt;=$B199,12*$B$9,-12*MAX(0,$B$8-IF($B$1+70&gt;=$B$23,$B$22,0))*(1+$B$4)^70))*IF(BT199+IF($B$1+70&lt;=$B199,12*$B$9,-12*MAX(0,$B$8-IF($B$1+70&gt;=$B$23,$B$22,0))*(1+$B$4)^70)&gt;0,1+$B$3,1))</f>
        <v/>
      </c>
      <c r="BV199">
        <f>BU199</f>
        <v/>
      </c>
      <c r="BW199">
        <f>IF(AND($B199&lt;=70,BV199&gt;0),$B199,999)</f>
        <v/>
      </c>
      <c r="CH199">
        <f>IF(ISTEXT('월 가계부'!A199),SUBSTITUTE(SUBSTITUTE(SUBSTITUTE(SUBSTITUTE(SUBSTITUTE(SUBSTITUTE(SUBSTITUTE(SUBSTITUTE(SUBSTITUTE(TRIM('월 가계부'!A199),"년","-"),"월","-"),"일",""),".","-"),"/","-")," ","-"),"--","-"),"--","-"),"--","-")&amp;"-","")</f>
        <v/>
      </c>
      <c r="CI199">
        <f>IFERROR(IF('월 가계부'!A199="","",IF(ISNUMBER('월 가계부'!A199),IF(AND('월 가계부'!A199&gt;=19000101,'월 가계부'!A199&lt;=21001231),IF(AND(MOD(INT('월 가계부'!A199/100),100)&gt;=1,MOD(INT('월 가계부'!A199/100),100)&lt;=12,MOD(INT('월 가계부'!A199),100)&gt;=1,MOD(INT('월 가계부'!A199),100)&lt;=31),IF(MONTH(DATE(INT('월 가계부'!A199/10000),MOD(INT('월 가계부'!A199/100),100),MOD(INT('월 가계부'!A199),100)))=MOD(INT('월 가계부'!A199/100),100),DATE(INT('월 가계부'!A199/10000),MOD(INT('월 가계부'!A199/100),100),MOD(INT('월 가계부'!A199),100)),""),""),IF(AND('월 가계부'!A199&gt;=36526,'월 가계부'!A199&lt;73051),INT('월 가계부'!A199),"")),IF(OR(CM199="",CN199="",CO199=""),"",IF(AND(CM199&gt;=2000,CM199&lt;=2099,CN199&gt;=1,CN199&lt;=12,CO199&gt;=1,CO199&lt;=31),IF(MONTH(DATE(CM199,CN199,CO199))=CN199,DATE(CM199,CN199,CO199),""),"")))),"")</f>
        <v/>
      </c>
      <c r="CJ199">
        <f>IFERROR(IF('월 가계부'!C199="","",IF(ISNUMBER('월 가계부'!C199),'월 가계부'!C199,VALUE(SUBSTITUTE(SUBSTITUTE(SUBSTITUTE(SUBSTITUTE(TRIM('월 가계부'!C199),",",""),"원","")," ",""),"−","-")))),"")</f>
        <v/>
      </c>
      <c r="CK199">
        <f>IF(ISNUMBER(CI199),IF(CI199&lt;$B$13,CI199,""),"")</f>
        <v/>
      </c>
      <c r="CM199">
        <f>IF(CH199="","",IFERROR(IF(IF(AND(LEN(CH199)=9,ISERROR(FIND("-",LEFT(CH199,8))),ISNUMBER(-LEFT(CH199,8))),VALUE(LEFT(CH199,4)),VALUE(LEFT(CH199,FIND("-",CH199)-1)))&lt;100,IF(AND(LEN(CH199)=9,ISERROR(FIND("-",LEFT(CH199,8))),ISNUMBER(-LEFT(CH199,8))),VALUE(LEFT(CH199,4)),VALUE(LEFT(CH199,FIND("-",CH199)-1)))+2000,IF(AND(LEN(CH199)=9,ISERROR(FIND("-",LEFT(CH199,8))),ISNUMBER(-LEFT(CH199,8))),VALUE(LEFT(CH199,4)),VALUE(LEFT(CH199,FIND("-",CH199)-1)))),""))</f>
        <v/>
      </c>
      <c r="CN199">
        <f>IF(CH199="","",IFERROR(IF(AND(LEN(CH199)=9,ISERROR(FIND("-",LEFT(CH199,8))),ISNUMBER(-LEFT(CH199,8))),VALUE(MID(CH199,5,2)),VALUE(MID(CH199,FIND("-",CH199)+1,FIND("-",CH199,FIND("-",CH199)+1)-FIND("-",CH199)-1))),""))</f>
        <v/>
      </c>
      <c r="CO199">
        <f>IF(CH199="","",IFERROR(IF(AND(LEN(CH199)=9,ISERROR(FIND("-",LEFT(CH199,8))),ISNUMBER(-LEFT(CH199,8))),VALUE(MID(CH199,7,2)),VALUE(MID(CH199,FIND("-",CH199,FIND("-",CH199)+1)+1,FIND("-",CH199,FIND("-",CH199,FIND("-",CH199)+1)+1)-FIND("-",CH199,FIND("-",CH199)+1)-1))),""))</f>
        <v/>
      </c>
    </row>
    <row r="200">
      <c r="A200" t="n">
        <v>48</v>
      </c>
      <c r="B200">
        <f>$B$1+48</f>
        <v/>
      </c>
      <c r="C200">
        <f>$B$2</f>
        <v/>
      </c>
      <c r="D200">
        <f>IF($B$1+1&gt;90,C200,(C200+IF($B$1+1&lt;=$B200,12*$B$9,-12*MAX(0,$B$8-IF($B$1+1&gt;=$B$23,$B$22,0))*(1+$B$4)^1))*IF(C200+IF($B$1+1&lt;=$B200,12*$B$9,-12*MAX(0,$B$8-IF($B$1+1&gt;=$B$23,$B$22,0))*(1+$B$4)^1)&gt;0,1+$B$3,1))</f>
        <v/>
      </c>
      <c r="E200">
        <f>IF($B$1+2&gt;90,D200,(D200+IF($B$1+2&lt;=$B200,12*$B$9,-12*MAX(0,$B$8-IF($B$1+2&gt;=$B$23,$B$22,0))*(1+$B$4)^2))*IF(D200+IF($B$1+2&lt;=$B200,12*$B$9,-12*MAX(0,$B$8-IF($B$1+2&gt;=$B$23,$B$22,0))*(1+$B$4)^2)&gt;0,1+$B$3,1))</f>
        <v/>
      </c>
      <c r="F200">
        <f>IF($B$1+3&gt;90,E200,(E200+IF($B$1+3&lt;=$B200,12*$B$9,-12*MAX(0,$B$8-IF($B$1+3&gt;=$B$23,$B$22,0))*(1+$B$4)^3))*IF(E200+IF($B$1+3&lt;=$B200,12*$B$9,-12*MAX(0,$B$8-IF($B$1+3&gt;=$B$23,$B$22,0))*(1+$B$4)^3)&gt;0,1+$B$3,1))</f>
        <v/>
      </c>
      <c r="G200">
        <f>IF($B$1+4&gt;90,F200,(F200+IF($B$1+4&lt;=$B200,12*$B$9,-12*MAX(0,$B$8-IF($B$1+4&gt;=$B$23,$B$22,0))*(1+$B$4)^4))*IF(F200+IF($B$1+4&lt;=$B200,12*$B$9,-12*MAX(0,$B$8-IF($B$1+4&gt;=$B$23,$B$22,0))*(1+$B$4)^4)&gt;0,1+$B$3,1))</f>
        <v/>
      </c>
      <c r="H200">
        <f>IF($B$1+5&gt;90,G200,(G200+IF($B$1+5&lt;=$B200,12*$B$9,-12*MAX(0,$B$8-IF($B$1+5&gt;=$B$23,$B$22,0))*(1+$B$4)^5))*IF(G200+IF($B$1+5&lt;=$B200,12*$B$9,-12*MAX(0,$B$8-IF($B$1+5&gt;=$B$23,$B$22,0))*(1+$B$4)^5)&gt;0,1+$B$3,1))</f>
        <v/>
      </c>
      <c r="I200">
        <f>IF($B$1+6&gt;90,H200,(H200+IF($B$1+6&lt;=$B200,12*$B$9,-12*MAX(0,$B$8-IF($B$1+6&gt;=$B$23,$B$22,0))*(1+$B$4)^6))*IF(H200+IF($B$1+6&lt;=$B200,12*$B$9,-12*MAX(0,$B$8-IF($B$1+6&gt;=$B$23,$B$22,0))*(1+$B$4)^6)&gt;0,1+$B$3,1))</f>
        <v/>
      </c>
      <c r="J200">
        <f>IF($B$1+7&gt;90,I200,(I200+IF($B$1+7&lt;=$B200,12*$B$9,-12*MAX(0,$B$8-IF($B$1+7&gt;=$B$23,$B$22,0))*(1+$B$4)^7))*IF(I200+IF($B$1+7&lt;=$B200,12*$B$9,-12*MAX(0,$B$8-IF($B$1+7&gt;=$B$23,$B$22,0))*(1+$B$4)^7)&gt;0,1+$B$3,1))</f>
        <v/>
      </c>
      <c r="K200">
        <f>IF($B$1+8&gt;90,J200,(J200+IF($B$1+8&lt;=$B200,12*$B$9,-12*MAX(0,$B$8-IF($B$1+8&gt;=$B$23,$B$22,0))*(1+$B$4)^8))*IF(J200+IF($B$1+8&lt;=$B200,12*$B$9,-12*MAX(0,$B$8-IF($B$1+8&gt;=$B$23,$B$22,0))*(1+$B$4)^8)&gt;0,1+$B$3,1))</f>
        <v/>
      </c>
      <c r="L200">
        <f>IF($B$1+9&gt;90,K200,(K200+IF($B$1+9&lt;=$B200,12*$B$9,-12*MAX(0,$B$8-IF($B$1+9&gt;=$B$23,$B$22,0))*(1+$B$4)^9))*IF(K200+IF($B$1+9&lt;=$B200,12*$B$9,-12*MAX(0,$B$8-IF($B$1+9&gt;=$B$23,$B$22,0))*(1+$B$4)^9)&gt;0,1+$B$3,1))</f>
        <v/>
      </c>
      <c r="M200">
        <f>IF($B$1+10&gt;90,L200,(L200+IF($B$1+10&lt;=$B200,12*$B$9,-12*MAX(0,$B$8-IF($B$1+10&gt;=$B$23,$B$22,0))*(1+$B$4)^10))*IF(L200+IF($B$1+10&lt;=$B200,12*$B$9,-12*MAX(0,$B$8-IF($B$1+10&gt;=$B$23,$B$22,0))*(1+$B$4)^10)&gt;0,1+$B$3,1))</f>
        <v/>
      </c>
      <c r="N200">
        <f>IF($B$1+11&gt;90,M200,(M200+IF($B$1+11&lt;=$B200,12*$B$9,-12*MAX(0,$B$8-IF($B$1+11&gt;=$B$23,$B$22,0))*(1+$B$4)^11))*IF(M200+IF($B$1+11&lt;=$B200,12*$B$9,-12*MAX(0,$B$8-IF($B$1+11&gt;=$B$23,$B$22,0))*(1+$B$4)^11)&gt;0,1+$B$3,1))</f>
        <v/>
      </c>
      <c r="O200">
        <f>IF($B$1+12&gt;90,N200,(N200+IF($B$1+12&lt;=$B200,12*$B$9,-12*MAX(0,$B$8-IF($B$1+12&gt;=$B$23,$B$22,0))*(1+$B$4)^12))*IF(N200+IF($B$1+12&lt;=$B200,12*$B$9,-12*MAX(0,$B$8-IF($B$1+12&gt;=$B$23,$B$22,0))*(1+$B$4)^12)&gt;0,1+$B$3,1))</f>
        <v/>
      </c>
      <c r="P200">
        <f>IF($B$1+13&gt;90,O200,(O200+IF($B$1+13&lt;=$B200,12*$B$9,-12*MAX(0,$B$8-IF($B$1+13&gt;=$B$23,$B$22,0))*(1+$B$4)^13))*IF(O200+IF($B$1+13&lt;=$B200,12*$B$9,-12*MAX(0,$B$8-IF($B$1+13&gt;=$B$23,$B$22,0))*(1+$B$4)^13)&gt;0,1+$B$3,1))</f>
        <v/>
      </c>
      <c r="Q200">
        <f>IF($B$1+14&gt;90,P200,(P200+IF($B$1+14&lt;=$B200,12*$B$9,-12*MAX(0,$B$8-IF($B$1+14&gt;=$B$23,$B$22,0))*(1+$B$4)^14))*IF(P200+IF($B$1+14&lt;=$B200,12*$B$9,-12*MAX(0,$B$8-IF($B$1+14&gt;=$B$23,$B$22,0))*(1+$B$4)^14)&gt;0,1+$B$3,1))</f>
        <v/>
      </c>
      <c r="R200">
        <f>IF($B$1+15&gt;90,Q200,(Q200+IF($B$1+15&lt;=$B200,12*$B$9,-12*MAX(0,$B$8-IF($B$1+15&gt;=$B$23,$B$22,0))*(1+$B$4)^15))*IF(Q200+IF($B$1+15&lt;=$B200,12*$B$9,-12*MAX(0,$B$8-IF($B$1+15&gt;=$B$23,$B$22,0))*(1+$B$4)^15)&gt;0,1+$B$3,1))</f>
        <v/>
      </c>
      <c r="S200">
        <f>IF($B$1+16&gt;90,R200,(R200+IF($B$1+16&lt;=$B200,12*$B$9,-12*MAX(0,$B$8-IF($B$1+16&gt;=$B$23,$B$22,0))*(1+$B$4)^16))*IF(R200+IF($B$1+16&lt;=$B200,12*$B$9,-12*MAX(0,$B$8-IF($B$1+16&gt;=$B$23,$B$22,0))*(1+$B$4)^16)&gt;0,1+$B$3,1))</f>
        <v/>
      </c>
      <c r="T200">
        <f>IF($B$1+17&gt;90,S200,(S200+IF($B$1+17&lt;=$B200,12*$B$9,-12*MAX(0,$B$8-IF($B$1+17&gt;=$B$23,$B$22,0))*(1+$B$4)^17))*IF(S200+IF($B$1+17&lt;=$B200,12*$B$9,-12*MAX(0,$B$8-IF($B$1+17&gt;=$B$23,$B$22,0))*(1+$B$4)^17)&gt;0,1+$B$3,1))</f>
        <v/>
      </c>
      <c r="U200">
        <f>IF($B$1+18&gt;90,T200,(T200+IF($B$1+18&lt;=$B200,12*$B$9,-12*MAX(0,$B$8-IF($B$1+18&gt;=$B$23,$B$22,0))*(1+$B$4)^18))*IF(T200+IF($B$1+18&lt;=$B200,12*$B$9,-12*MAX(0,$B$8-IF($B$1+18&gt;=$B$23,$B$22,0))*(1+$B$4)^18)&gt;0,1+$B$3,1))</f>
        <v/>
      </c>
      <c r="V200">
        <f>IF($B$1+19&gt;90,U200,(U200+IF($B$1+19&lt;=$B200,12*$B$9,-12*MAX(0,$B$8-IF($B$1+19&gt;=$B$23,$B$22,0))*(1+$B$4)^19))*IF(U200+IF($B$1+19&lt;=$B200,12*$B$9,-12*MAX(0,$B$8-IF($B$1+19&gt;=$B$23,$B$22,0))*(1+$B$4)^19)&gt;0,1+$B$3,1))</f>
        <v/>
      </c>
      <c r="W200">
        <f>IF($B$1+20&gt;90,V200,(V200+IF($B$1+20&lt;=$B200,12*$B$9,-12*MAX(0,$B$8-IF($B$1+20&gt;=$B$23,$B$22,0))*(1+$B$4)^20))*IF(V200+IF($B$1+20&lt;=$B200,12*$B$9,-12*MAX(0,$B$8-IF($B$1+20&gt;=$B$23,$B$22,0))*(1+$B$4)^20)&gt;0,1+$B$3,1))</f>
        <v/>
      </c>
      <c r="X200">
        <f>IF($B$1+21&gt;90,W200,(W200+IF($B$1+21&lt;=$B200,12*$B$9,-12*MAX(0,$B$8-IF($B$1+21&gt;=$B$23,$B$22,0))*(1+$B$4)^21))*IF(W200+IF($B$1+21&lt;=$B200,12*$B$9,-12*MAX(0,$B$8-IF($B$1+21&gt;=$B$23,$B$22,0))*(1+$B$4)^21)&gt;0,1+$B$3,1))</f>
        <v/>
      </c>
      <c r="Y200">
        <f>IF($B$1+22&gt;90,X200,(X200+IF($B$1+22&lt;=$B200,12*$B$9,-12*MAX(0,$B$8-IF($B$1+22&gt;=$B$23,$B$22,0))*(1+$B$4)^22))*IF(X200+IF($B$1+22&lt;=$B200,12*$B$9,-12*MAX(0,$B$8-IF($B$1+22&gt;=$B$23,$B$22,0))*(1+$B$4)^22)&gt;0,1+$B$3,1))</f>
        <v/>
      </c>
      <c r="Z200">
        <f>IF($B$1+23&gt;90,Y200,(Y200+IF($B$1+23&lt;=$B200,12*$B$9,-12*MAX(0,$B$8-IF($B$1+23&gt;=$B$23,$B$22,0))*(1+$B$4)^23))*IF(Y200+IF($B$1+23&lt;=$B200,12*$B$9,-12*MAX(0,$B$8-IF($B$1+23&gt;=$B$23,$B$22,0))*(1+$B$4)^23)&gt;0,1+$B$3,1))</f>
        <v/>
      </c>
      <c r="AA200">
        <f>IF($B$1+24&gt;90,Z200,(Z200+IF($B$1+24&lt;=$B200,12*$B$9,-12*MAX(0,$B$8-IF($B$1+24&gt;=$B$23,$B$22,0))*(1+$B$4)^24))*IF(Z200+IF($B$1+24&lt;=$B200,12*$B$9,-12*MAX(0,$B$8-IF($B$1+24&gt;=$B$23,$B$22,0))*(1+$B$4)^24)&gt;0,1+$B$3,1))</f>
        <v/>
      </c>
      <c r="AB200">
        <f>IF($B$1+25&gt;90,AA200,(AA200+IF($B$1+25&lt;=$B200,12*$B$9,-12*MAX(0,$B$8-IF($B$1+25&gt;=$B$23,$B$22,0))*(1+$B$4)^25))*IF(AA200+IF($B$1+25&lt;=$B200,12*$B$9,-12*MAX(0,$B$8-IF($B$1+25&gt;=$B$23,$B$22,0))*(1+$B$4)^25)&gt;0,1+$B$3,1))</f>
        <v/>
      </c>
      <c r="AC200">
        <f>IF($B$1+26&gt;90,AB200,(AB200+IF($B$1+26&lt;=$B200,12*$B$9,-12*MAX(0,$B$8-IF($B$1+26&gt;=$B$23,$B$22,0))*(1+$B$4)^26))*IF(AB200+IF($B$1+26&lt;=$B200,12*$B$9,-12*MAX(0,$B$8-IF($B$1+26&gt;=$B$23,$B$22,0))*(1+$B$4)^26)&gt;0,1+$B$3,1))</f>
        <v/>
      </c>
      <c r="AD200">
        <f>IF($B$1+27&gt;90,AC200,(AC200+IF($B$1+27&lt;=$B200,12*$B$9,-12*MAX(0,$B$8-IF($B$1+27&gt;=$B$23,$B$22,0))*(1+$B$4)^27))*IF(AC200+IF($B$1+27&lt;=$B200,12*$B$9,-12*MAX(0,$B$8-IF($B$1+27&gt;=$B$23,$B$22,0))*(1+$B$4)^27)&gt;0,1+$B$3,1))</f>
        <v/>
      </c>
      <c r="AE200">
        <f>IF($B$1+28&gt;90,AD200,(AD200+IF($B$1+28&lt;=$B200,12*$B$9,-12*MAX(0,$B$8-IF($B$1+28&gt;=$B$23,$B$22,0))*(1+$B$4)^28))*IF(AD200+IF($B$1+28&lt;=$B200,12*$B$9,-12*MAX(0,$B$8-IF($B$1+28&gt;=$B$23,$B$22,0))*(1+$B$4)^28)&gt;0,1+$B$3,1))</f>
        <v/>
      </c>
      <c r="AF200">
        <f>IF($B$1+29&gt;90,AE200,(AE200+IF($B$1+29&lt;=$B200,12*$B$9,-12*MAX(0,$B$8-IF($B$1+29&gt;=$B$23,$B$22,0))*(1+$B$4)^29))*IF(AE200+IF($B$1+29&lt;=$B200,12*$B$9,-12*MAX(0,$B$8-IF($B$1+29&gt;=$B$23,$B$22,0))*(1+$B$4)^29)&gt;0,1+$B$3,1))</f>
        <v/>
      </c>
      <c r="AG200">
        <f>IF($B$1+30&gt;90,AF200,(AF200+IF($B$1+30&lt;=$B200,12*$B$9,-12*MAX(0,$B$8-IF($B$1+30&gt;=$B$23,$B$22,0))*(1+$B$4)^30))*IF(AF200+IF($B$1+30&lt;=$B200,12*$B$9,-12*MAX(0,$B$8-IF($B$1+30&gt;=$B$23,$B$22,0))*(1+$B$4)^30)&gt;0,1+$B$3,1))</f>
        <v/>
      </c>
      <c r="AH200">
        <f>IF($B$1+31&gt;90,AG200,(AG200+IF($B$1+31&lt;=$B200,12*$B$9,-12*MAX(0,$B$8-IF($B$1+31&gt;=$B$23,$B$22,0))*(1+$B$4)^31))*IF(AG200+IF($B$1+31&lt;=$B200,12*$B$9,-12*MAX(0,$B$8-IF($B$1+31&gt;=$B$23,$B$22,0))*(1+$B$4)^31)&gt;0,1+$B$3,1))</f>
        <v/>
      </c>
      <c r="AI200">
        <f>IF($B$1+32&gt;90,AH200,(AH200+IF($B$1+32&lt;=$B200,12*$B$9,-12*MAX(0,$B$8-IF($B$1+32&gt;=$B$23,$B$22,0))*(1+$B$4)^32))*IF(AH200+IF($B$1+32&lt;=$B200,12*$B$9,-12*MAX(0,$B$8-IF($B$1+32&gt;=$B$23,$B$22,0))*(1+$B$4)^32)&gt;0,1+$B$3,1))</f>
        <v/>
      </c>
      <c r="AJ200">
        <f>IF($B$1+33&gt;90,AI200,(AI200+IF($B$1+33&lt;=$B200,12*$B$9,-12*MAX(0,$B$8-IF($B$1+33&gt;=$B$23,$B$22,0))*(1+$B$4)^33))*IF(AI200+IF($B$1+33&lt;=$B200,12*$B$9,-12*MAX(0,$B$8-IF($B$1+33&gt;=$B$23,$B$22,0))*(1+$B$4)^33)&gt;0,1+$B$3,1))</f>
        <v/>
      </c>
      <c r="AK200">
        <f>IF($B$1+34&gt;90,AJ200,(AJ200+IF($B$1+34&lt;=$B200,12*$B$9,-12*MAX(0,$B$8-IF($B$1+34&gt;=$B$23,$B$22,0))*(1+$B$4)^34))*IF(AJ200+IF($B$1+34&lt;=$B200,12*$B$9,-12*MAX(0,$B$8-IF($B$1+34&gt;=$B$23,$B$22,0))*(1+$B$4)^34)&gt;0,1+$B$3,1))</f>
        <v/>
      </c>
      <c r="AL200">
        <f>IF($B$1+35&gt;90,AK200,(AK200+IF($B$1+35&lt;=$B200,12*$B$9,-12*MAX(0,$B$8-IF($B$1+35&gt;=$B$23,$B$22,0))*(1+$B$4)^35))*IF(AK200+IF($B$1+35&lt;=$B200,12*$B$9,-12*MAX(0,$B$8-IF($B$1+35&gt;=$B$23,$B$22,0))*(1+$B$4)^35)&gt;0,1+$B$3,1))</f>
        <v/>
      </c>
      <c r="AM200">
        <f>IF($B$1+36&gt;90,AL200,(AL200+IF($B$1+36&lt;=$B200,12*$B$9,-12*MAX(0,$B$8-IF($B$1+36&gt;=$B$23,$B$22,0))*(1+$B$4)^36))*IF(AL200+IF($B$1+36&lt;=$B200,12*$B$9,-12*MAX(0,$B$8-IF($B$1+36&gt;=$B$23,$B$22,0))*(1+$B$4)^36)&gt;0,1+$B$3,1))</f>
        <v/>
      </c>
      <c r="AN200">
        <f>IF($B$1+37&gt;90,AM200,(AM200+IF($B$1+37&lt;=$B200,12*$B$9,-12*MAX(0,$B$8-IF($B$1+37&gt;=$B$23,$B$22,0))*(1+$B$4)^37))*IF(AM200+IF($B$1+37&lt;=$B200,12*$B$9,-12*MAX(0,$B$8-IF($B$1+37&gt;=$B$23,$B$22,0))*(1+$B$4)^37)&gt;0,1+$B$3,1))</f>
        <v/>
      </c>
      <c r="AO200">
        <f>IF($B$1+38&gt;90,AN200,(AN200+IF($B$1+38&lt;=$B200,12*$B$9,-12*MAX(0,$B$8-IF($B$1+38&gt;=$B$23,$B$22,0))*(1+$B$4)^38))*IF(AN200+IF($B$1+38&lt;=$B200,12*$B$9,-12*MAX(0,$B$8-IF($B$1+38&gt;=$B$23,$B$22,0))*(1+$B$4)^38)&gt;0,1+$B$3,1))</f>
        <v/>
      </c>
      <c r="AP200">
        <f>IF($B$1+39&gt;90,AO200,(AO200+IF($B$1+39&lt;=$B200,12*$B$9,-12*MAX(0,$B$8-IF($B$1+39&gt;=$B$23,$B$22,0))*(1+$B$4)^39))*IF(AO200+IF($B$1+39&lt;=$B200,12*$B$9,-12*MAX(0,$B$8-IF($B$1+39&gt;=$B$23,$B$22,0))*(1+$B$4)^39)&gt;0,1+$B$3,1))</f>
        <v/>
      </c>
      <c r="AQ200">
        <f>IF($B$1+40&gt;90,AP200,(AP200+IF($B$1+40&lt;=$B200,12*$B$9,-12*MAX(0,$B$8-IF($B$1+40&gt;=$B$23,$B$22,0))*(1+$B$4)^40))*IF(AP200+IF($B$1+40&lt;=$B200,12*$B$9,-12*MAX(0,$B$8-IF($B$1+40&gt;=$B$23,$B$22,0))*(1+$B$4)^40)&gt;0,1+$B$3,1))</f>
        <v/>
      </c>
      <c r="AR200">
        <f>IF($B$1+41&gt;90,AQ200,(AQ200+IF($B$1+41&lt;=$B200,12*$B$9,-12*MAX(0,$B$8-IF($B$1+41&gt;=$B$23,$B$22,0))*(1+$B$4)^41))*IF(AQ200+IF($B$1+41&lt;=$B200,12*$B$9,-12*MAX(0,$B$8-IF($B$1+41&gt;=$B$23,$B$22,0))*(1+$B$4)^41)&gt;0,1+$B$3,1))</f>
        <v/>
      </c>
      <c r="AS200">
        <f>IF($B$1+42&gt;90,AR200,(AR200+IF($B$1+42&lt;=$B200,12*$B$9,-12*MAX(0,$B$8-IF($B$1+42&gt;=$B$23,$B$22,0))*(1+$B$4)^42))*IF(AR200+IF($B$1+42&lt;=$B200,12*$B$9,-12*MAX(0,$B$8-IF($B$1+42&gt;=$B$23,$B$22,0))*(1+$B$4)^42)&gt;0,1+$B$3,1))</f>
        <v/>
      </c>
      <c r="AT200">
        <f>IF($B$1+43&gt;90,AS200,(AS200+IF($B$1+43&lt;=$B200,12*$B$9,-12*MAX(0,$B$8-IF($B$1+43&gt;=$B$23,$B$22,0))*(1+$B$4)^43))*IF(AS200+IF($B$1+43&lt;=$B200,12*$B$9,-12*MAX(0,$B$8-IF($B$1+43&gt;=$B$23,$B$22,0))*(1+$B$4)^43)&gt;0,1+$B$3,1))</f>
        <v/>
      </c>
      <c r="AU200">
        <f>IF($B$1+44&gt;90,AT200,(AT200+IF($B$1+44&lt;=$B200,12*$B$9,-12*MAX(0,$B$8-IF($B$1+44&gt;=$B$23,$B$22,0))*(1+$B$4)^44))*IF(AT200+IF($B$1+44&lt;=$B200,12*$B$9,-12*MAX(0,$B$8-IF($B$1+44&gt;=$B$23,$B$22,0))*(1+$B$4)^44)&gt;0,1+$B$3,1))</f>
        <v/>
      </c>
      <c r="AV200">
        <f>IF($B$1+45&gt;90,AU200,(AU200+IF($B$1+45&lt;=$B200,12*$B$9,-12*MAX(0,$B$8-IF($B$1+45&gt;=$B$23,$B$22,0))*(1+$B$4)^45))*IF(AU200+IF($B$1+45&lt;=$B200,12*$B$9,-12*MAX(0,$B$8-IF($B$1+45&gt;=$B$23,$B$22,0))*(1+$B$4)^45)&gt;0,1+$B$3,1))</f>
        <v/>
      </c>
      <c r="AW200">
        <f>IF($B$1+46&gt;90,AV200,(AV200+IF($B$1+46&lt;=$B200,12*$B$9,-12*MAX(0,$B$8-IF($B$1+46&gt;=$B$23,$B$22,0))*(1+$B$4)^46))*IF(AV200+IF($B$1+46&lt;=$B200,12*$B$9,-12*MAX(0,$B$8-IF($B$1+46&gt;=$B$23,$B$22,0))*(1+$B$4)^46)&gt;0,1+$B$3,1))</f>
        <v/>
      </c>
      <c r="AX200">
        <f>IF($B$1+47&gt;90,AW200,(AW200+IF($B$1+47&lt;=$B200,12*$B$9,-12*MAX(0,$B$8-IF($B$1+47&gt;=$B$23,$B$22,0))*(1+$B$4)^47))*IF(AW200+IF($B$1+47&lt;=$B200,12*$B$9,-12*MAX(0,$B$8-IF($B$1+47&gt;=$B$23,$B$22,0))*(1+$B$4)^47)&gt;0,1+$B$3,1))</f>
        <v/>
      </c>
      <c r="AY200">
        <f>IF($B$1+48&gt;90,AX200,(AX200+IF($B$1+48&lt;=$B200,12*$B$9,-12*MAX(0,$B$8-IF($B$1+48&gt;=$B$23,$B$22,0))*(1+$B$4)^48))*IF(AX200+IF($B$1+48&lt;=$B200,12*$B$9,-12*MAX(0,$B$8-IF($B$1+48&gt;=$B$23,$B$22,0))*(1+$B$4)^48)&gt;0,1+$B$3,1))</f>
        <v/>
      </c>
      <c r="AZ200">
        <f>IF($B$1+49&gt;90,AY200,(AY200+IF($B$1+49&lt;=$B200,12*$B$9,-12*MAX(0,$B$8-IF($B$1+49&gt;=$B$23,$B$22,0))*(1+$B$4)^49))*IF(AY200+IF($B$1+49&lt;=$B200,12*$B$9,-12*MAX(0,$B$8-IF($B$1+49&gt;=$B$23,$B$22,0))*(1+$B$4)^49)&gt;0,1+$B$3,1))</f>
        <v/>
      </c>
      <c r="BA200">
        <f>IF($B$1+50&gt;90,AZ200,(AZ200+IF($B$1+50&lt;=$B200,12*$B$9,-12*MAX(0,$B$8-IF($B$1+50&gt;=$B$23,$B$22,0))*(1+$B$4)^50))*IF(AZ200+IF($B$1+50&lt;=$B200,12*$B$9,-12*MAX(0,$B$8-IF($B$1+50&gt;=$B$23,$B$22,0))*(1+$B$4)^50)&gt;0,1+$B$3,1))</f>
        <v/>
      </c>
      <c r="BB200">
        <f>IF($B$1+51&gt;90,BA200,(BA200+IF($B$1+51&lt;=$B200,12*$B$9,-12*MAX(0,$B$8-IF($B$1+51&gt;=$B$23,$B$22,0))*(1+$B$4)^51))*IF(BA200+IF($B$1+51&lt;=$B200,12*$B$9,-12*MAX(0,$B$8-IF($B$1+51&gt;=$B$23,$B$22,0))*(1+$B$4)^51)&gt;0,1+$B$3,1))</f>
        <v/>
      </c>
      <c r="BC200">
        <f>IF($B$1+52&gt;90,BB200,(BB200+IF($B$1+52&lt;=$B200,12*$B$9,-12*MAX(0,$B$8-IF($B$1+52&gt;=$B$23,$B$22,0))*(1+$B$4)^52))*IF(BB200+IF($B$1+52&lt;=$B200,12*$B$9,-12*MAX(0,$B$8-IF($B$1+52&gt;=$B$23,$B$22,0))*(1+$B$4)^52)&gt;0,1+$B$3,1))</f>
        <v/>
      </c>
      <c r="BD200">
        <f>IF($B$1+53&gt;90,BC200,(BC200+IF($B$1+53&lt;=$B200,12*$B$9,-12*MAX(0,$B$8-IF($B$1+53&gt;=$B$23,$B$22,0))*(1+$B$4)^53))*IF(BC200+IF($B$1+53&lt;=$B200,12*$B$9,-12*MAX(0,$B$8-IF($B$1+53&gt;=$B$23,$B$22,0))*(1+$B$4)^53)&gt;0,1+$B$3,1))</f>
        <v/>
      </c>
      <c r="BE200">
        <f>IF($B$1+54&gt;90,BD200,(BD200+IF($B$1+54&lt;=$B200,12*$B$9,-12*MAX(0,$B$8-IF($B$1+54&gt;=$B$23,$B$22,0))*(1+$B$4)^54))*IF(BD200+IF($B$1+54&lt;=$B200,12*$B$9,-12*MAX(0,$B$8-IF($B$1+54&gt;=$B$23,$B$22,0))*(1+$B$4)^54)&gt;0,1+$B$3,1))</f>
        <v/>
      </c>
      <c r="BF200">
        <f>IF($B$1+55&gt;90,BE200,(BE200+IF($B$1+55&lt;=$B200,12*$B$9,-12*MAX(0,$B$8-IF($B$1+55&gt;=$B$23,$B$22,0))*(1+$B$4)^55))*IF(BE200+IF($B$1+55&lt;=$B200,12*$B$9,-12*MAX(0,$B$8-IF($B$1+55&gt;=$B$23,$B$22,0))*(1+$B$4)^55)&gt;0,1+$B$3,1))</f>
        <v/>
      </c>
      <c r="BG200">
        <f>IF($B$1+56&gt;90,BF200,(BF200+IF($B$1+56&lt;=$B200,12*$B$9,-12*MAX(0,$B$8-IF($B$1+56&gt;=$B$23,$B$22,0))*(1+$B$4)^56))*IF(BF200+IF($B$1+56&lt;=$B200,12*$B$9,-12*MAX(0,$B$8-IF($B$1+56&gt;=$B$23,$B$22,0))*(1+$B$4)^56)&gt;0,1+$B$3,1))</f>
        <v/>
      </c>
      <c r="BH200">
        <f>IF($B$1+57&gt;90,BG200,(BG200+IF($B$1+57&lt;=$B200,12*$B$9,-12*MAX(0,$B$8-IF($B$1+57&gt;=$B$23,$B$22,0))*(1+$B$4)^57))*IF(BG200+IF($B$1+57&lt;=$B200,12*$B$9,-12*MAX(0,$B$8-IF($B$1+57&gt;=$B$23,$B$22,0))*(1+$B$4)^57)&gt;0,1+$B$3,1))</f>
        <v/>
      </c>
      <c r="BI200">
        <f>IF($B$1+58&gt;90,BH200,(BH200+IF($B$1+58&lt;=$B200,12*$B$9,-12*MAX(0,$B$8-IF($B$1+58&gt;=$B$23,$B$22,0))*(1+$B$4)^58))*IF(BH200+IF($B$1+58&lt;=$B200,12*$B$9,-12*MAX(0,$B$8-IF($B$1+58&gt;=$B$23,$B$22,0))*(1+$B$4)^58)&gt;0,1+$B$3,1))</f>
        <v/>
      </c>
      <c r="BJ200">
        <f>IF($B$1+59&gt;90,BI200,(BI200+IF($B$1+59&lt;=$B200,12*$B$9,-12*MAX(0,$B$8-IF($B$1+59&gt;=$B$23,$B$22,0))*(1+$B$4)^59))*IF(BI200+IF($B$1+59&lt;=$B200,12*$B$9,-12*MAX(0,$B$8-IF($B$1+59&gt;=$B$23,$B$22,0))*(1+$B$4)^59)&gt;0,1+$B$3,1))</f>
        <v/>
      </c>
      <c r="BK200">
        <f>IF($B$1+60&gt;90,BJ200,(BJ200+IF($B$1+60&lt;=$B200,12*$B$9,-12*MAX(0,$B$8-IF($B$1+60&gt;=$B$23,$B$22,0))*(1+$B$4)^60))*IF(BJ200+IF($B$1+60&lt;=$B200,12*$B$9,-12*MAX(0,$B$8-IF($B$1+60&gt;=$B$23,$B$22,0))*(1+$B$4)^60)&gt;0,1+$B$3,1))</f>
        <v/>
      </c>
      <c r="BL200">
        <f>IF($B$1+61&gt;90,BK200,(BK200+IF($B$1+61&lt;=$B200,12*$B$9,-12*MAX(0,$B$8-IF($B$1+61&gt;=$B$23,$B$22,0))*(1+$B$4)^61))*IF(BK200+IF($B$1+61&lt;=$B200,12*$B$9,-12*MAX(0,$B$8-IF($B$1+61&gt;=$B$23,$B$22,0))*(1+$B$4)^61)&gt;0,1+$B$3,1))</f>
        <v/>
      </c>
      <c r="BM200">
        <f>IF($B$1+62&gt;90,BL200,(BL200+IF($B$1+62&lt;=$B200,12*$B$9,-12*MAX(0,$B$8-IF($B$1+62&gt;=$B$23,$B$22,0))*(1+$B$4)^62))*IF(BL200+IF($B$1+62&lt;=$B200,12*$B$9,-12*MAX(0,$B$8-IF($B$1+62&gt;=$B$23,$B$22,0))*(1+$B$4)^62)&gt;0,1+$B$3,1))</f>
        <v/>
      </c>
      <c r="BN200">
        <f>IF($B$1+63&gt;90,BM200,(BM200+IF($B$1+63&lt;=$B200,12*$B$9,-12*MAX(0,$B$8-IF($B$1+63&gt;=$B$23,$B$22,0))*(1+$B$4)^63))*IF(BM200+IF($B$1+63&lt;=$B200,12*$B$9,-12*MAX(0,$B$8-IF($B$1+63&gt;=$B$23,$B$22,0))*(1+$B$4)^63)&gt;0,1+$B$3,1))</f>
        <v/>
      </c>
      <c r="BO200">
        <f>IF($B$1+64&gt;90,BN200,(BN200+IF($B$1+64&lt;=$B200,12*$B$9,-12*MAX(0,$B$8-IF($B$1+64&gt;=$B$23,$B$22,0))*(1+$B$4)^64))*IF(BN200+IF($B$1+64&lt;=$B200,12*$B$9,-12*MAX(0,$B$8-IF($B$1+64&gt;=$B$23,$B$22,0))*(1+$B$4)^64)&gt;0,1+$B$3,1))</f>
        <v/>
      </c>
      <c r="BP200">
        <f>IF($B$1+65&gt;90,BO200,(BO200+IF($B$1+65&lt;=$B200,12*$B$9,-12*MAX(0,$B$8-IF($B$1+65&gt;=$B$23,$B$22,0))*(1+$B$4)^65))*IF(BO200+IF($B$1+65&lt;=$B200,12*$B$9,-12*MAX(0,$B$8-IF($B$1+65&gt;=$B$23,$B$22,0))*(1+$B$4)^65)&gt;0,1+$B$3,1))</f>
        <v/>
      </c>
      <c r="BQ200">
        <f>IF($B$1+66&gt;90,BP200,(BP200+IF($B$1+66&lt;=$B200,12*$B$9,-12*MAX(0,$B$8-IF($B$1+66&gt;=$B$23,$B$22,0))*(1+$B$4)^66))*IF(BP200+IF($B$1+66&lt;=$B200,12*$B$9,-12*MAX(0,$B$8-IF($B$1+66&gt;=$B$23,$B$22,0))*(1+$B$4)^66)&gt;0,1+$B$3,1))</f>
        <v/>
      </c>
      <c r="BR200">
        <f>IF($B$1+67&gt;90,BQ200,(BQ200+IF($B$1+67&lt;=$B200,12*$B$9,-12*MAX(0,$B$8-IF($B$1+67&gt;=$B$23,$B$22,0))*(1+$B$4)^67))*IF(BQ200+IF($B$1+67&lt;=$B200,12*$B$9,-12*MAX(0,$B$8-IF($B$1+67&gt;=$B$23,$B$22,0))*(1+$B$4)^67)&gt;0,1+$B$3,1))</f>
        <v/>
      </c>
      <c r="BS200">
        <f>IF($B$1+68&gt;90,BR200,(BR200+IF($B$1+68&lt;=$B200,12*$B$9,-12*MAX(0,$B$8-IF($B$1+68&gt;=$B$23,$B$22,0))*(1+$B$4)^68))*IF(BR200+IF($B$1+68&lt;=$B200,12*$B$9,-12*MAX(0,$B$8-IF($B$1+68&gt;=$B$23,$B$22,0))*(1+$B$4)^68)&gt;0,1+$B$3,1))</f>
        <v/>
      </c>
      <c r="BT200">
        <f>IF($B$1+69&gt;90,BS200,(BS200+IF($B$1+69&lt;=$B200,12*$B$9,-12*MAX(0,$B$8-IF($B$1+69&gt;=$B$23,$B$22,0))*(1+$B$4)^69))*IF(BS200+IF($B$1+69&lt;=$B200,12*$B$9,-12*MAX(0,$B$8-IF($B$1+69&gt;=$B$23,$B$22,0))*(1+$B$4)^69)&gt;0,1+$B$3,1))</f>
        <v/>
      </c>
      <c r="BU200">
        <f>IF($B$1+70&gt;90,BT200,(BT200+IF($B$1+70&lt;=$B200,12*$B$9,-12*MAX(0,$B$8-IF($B$1+70&gt;=$B$23,$B$22,0))*(1+$B$4)^70))*IF(BT200+IF($B$1+70&lt;=$B200,12*$B$9,-12*MAX(0,$B$8-IF($B$1+70&gt;=$B$23,$B$22,0))*(1+$B$4)^70)&gt;0,1+$B$3,1))</f>
        <v/>
      </c>
      <c r="BV200">
        <f>BU200</f>
        <v/>
      </c>
      <c r="BW200">
        <f>IF(AND($B200&lt;=70,BV200&gt;0),$B200,999)</f>
        <v/>
      </c>
      <c r="CH200">
        <f>IF(ISTEXT('월 가계부'!A200),SUBSTITUTE(SUBSTITUTE(SUBSTITUTE(SUBSTITUTE(SUBSTITUTE(SUBSTITUTE(SUBSTITUTE(SUBSTITUTE(SUBSTITUTE(TRIM('월 가계부'!A200),"년","-"),"월","-"),"일",""),".","-"),"/","-")," ","-"),"--","-"),"--","-"),"--","-")&amp;"-","")</f>
        <v/>
      </c>
      <c r="CI200">
        <f>IFERROR(IF('월 가계부'!A200="","",IF(ISNUMBER('월 가계부'!A200),IF(AND('월 가계부'!A200&gt;=19000101,'월 가계부'!A200&lt;=21001231),IF(AND(MOD(INT('월 가계부'!A200/100),100)&gt;=1,MOD(INT('월 가계부'!A200/100),100)&lt;=12,MOD(INT('월 가계부'!A200),100)&gt;=1,MOD(INT('월 가계부'!A200),100)&lt;=31),IF(MONTH(DATE(INT('월 가계부'!A200/10000),MOD(INT('월 가계부'!A200/100),100),MOD(INT('월 가계부'!A200),100)))=MOD(INT('월 가계부'!A200/100),100),DATE(INT('월 가계부'!A200/10000),MOD(INT('월 가계부'!A200/100),100),MOD(INT('월 가계부'!A200),100)),""),""),IF(AND('월 가계부'!A200&gt;=36526,'월 가계부'!A200&lt;73051),INT('월 가계부'!A200),"")),IF(OR(CM200="",CN200="",CO200=""),"",IF(AND(CM200&gt;=2000,CM200&lt;=2099,CN200&gt;=1,CN200&lt;=12,CO200&gt;=1,CO200&lt;=31),IF(MONTH(DATE(CM200,CN200,CO200))=CN200,DATE(CM200,CN200,CO200),""),"")))),"")</f>
        <v/>
      </c>
      <c r="CJ200">
        <f>IFERROR(IF('월 가계부'!C200="","",IF(ISNUMBER('월 가계부'!C200),'월 가계부'!C200,VALUE(SUBSTITUTE(SUBSTITUTE(SUBSTITUTE(SUBSTITUTE(TRIM('월 가계부'!C200),",",""),"원","")," ",""),"−","-")))),"")</f>
        <v/>
      </c>
      <c r="CK200">
        <f>IF(ISNUMBER(CI200),IF(CI200&lt;$B$13,CI200,""),"")</f>
        <v/>
      </c>
      <c r="CM200">
        <f>IF(CH200="","",IFERROR(IF(IF(AND(LEN(CH200)=9,ISERROR(FIND("-",LEFT(CH200,8))),ISNUMBER(-LEFT(CH200,8))),VALUE(LEFT(CH200,4)),VALUE(LEFT(CH200,FIND("-",CH200)-1)))&lt;100,IF(AND(LEN(CH200)=9,ISERROR(FIND("-",LEFT(CH200,8))),ISNUMBER(-LEFT(CH200,8))),VALUE(LEFT(CH200,4)),VALUE(LEFT(CH200,FIND("-",CH200)-1)))+2000,IF(AND(LEN(CH200)=9,ISERROR(FIND("-",LEFT(CH200,8))),ISNUMBER(-LEFT(CH200,8))),VALUE(LEFT(CH200,4)),VALUE(LEFT(CH200,FIND("-",CH200)-1)))),""))</f>
        <v/>
      </c>
      <c r="CN200">
        <f>IF(CH200="","",IFERROR(IF(AND(LEN(CH200)=9,ISERROR(FIND("-",LEFT(CH200,8))),ISNUMBER(-LEFT(CH200,8))),VALUE(MID(CH200,5,2)),VALUE(MID(CH200,FIND("-",CH200)+1,FIND("-",CH200,FIND("-",CH200)+1)-FIND("-",CH200)-1))),""))</f>
        <v/>
      </c>
      <c r="CO200">
        <f>IF(CH200="","",IFERROR(IF(AND(LEN(CH200)=9,ISERROR(FIND("-",LEFT(CH200,8))),ISNUMBER(-LEFT(CH200,8))),VALUE(MID(CH200,7,2)),VALUE(MID(CH200,FIND("-",CH200,FIND("-",CH200)+1)+1,FIND("-",CH200,FIND("-",CH200,FIND("-",CH200)+1)+1)-FIND("-",CH200,FIND("-",CH200)+1)-1))),""))</f>
        <v/>
      </c>
    </row>
    <row r="201">
      <c r="A201" t="n">
        <v>49</v>
      </c>
      <c r="B201">
        <f>$B$1+49</f>
        <v/>
      </c>
      <c r="C201">
        <f>$B$2</f>
        <v/>
      </c>
      <c r="D201">
        <f>IF($B$1+1&gt;90,C201,(C201+IF($B$1+1&lt;=$B201,12*$B$9,-12*MAX(0,$B$8-IF($B$1+1&gt;=$B$23,$B$22,0))*(1+$B$4)^1))*IF(C201+IF($B$1+1&lt;=$B201,12*$B$9,-12*MAX(0,$B$8-IF($B$1+1&gt;=$B$23,$B$22,0))*(1+$B$4)^1)&gt;0,1+$B$3,1))</f>
        <v/>
      </c>
      <c r="E201">
        <f>IF($B$1+2&gt;90,D201,(D201+IF($B$1+2&lt;=$B201,12*$B$9,-12*MAX(0,$B$8-IF($B$1+2&gt;=$B$23,$B$22,0))*(1+$B$4)^2))*IF(D201+IF($B$1+2&lt;=$B201,12*$B$9,-12*MAX(0,$B$8-IF($B$1+2&gt;=$B$23,$B$22,0))*(1+$B$4)^2)&gt;0,1+$B$3,1))</f>
        <v/>
      </c>
      <c r="F201">
        <f>IF($B$1+3&gt;90,E201,(E201+IF($B$1+3&lt;=$B201,12*$B$9,-12*MAX(0,$B$8-IF($B$1+3&gt;=$B$23,$B$22,0))*(1+$B$4)^3))*IF(E201+IF($B$1+3&lt;=$B201,12*$B$9,-12*MAX(0,$B$8-IF($B$1+3&gt;=$B$23,$B$22,0))*(1+$B$4)^3)&gt;0,1+$B$3,1))</f>
        <v/>
      </c>
      <c r="G201">
        <f>IF($B$1+4&gt;90,F201,(F201+IF($B$1+4&lt;=$B201,12*$B$9,-12*MAX(0,$B$8-IF($B$1+4&gt;=$B$23,$B$22,0))*(1+$B$4)^4))*IF(F201+IF($B$1+4&lt;=$B201,12*$B$9,-12*MAX(0,$B$8-IF($B$1+4&gt;=$B$23,$B$22,0))*(1+$B$4)^4)&gt;0,1+$B$3,1))</f>
        <v/>
      </c>
      <c r="H201">
        <f>IF($B$1+5&gt;90,G201,(G201+IF($B$1+5&lt;=$B201,12*$B$9,-12*MAX(0,$B$8-IF($B$1+5&gt;=$B$23,$B$22,0))*(1+$B$4)^5))*IF(G201+IF($B$1+5&lt;=$B201,12*$B$9,-12*MAX(0,$B$8-IF($B$1+5&gt;=$B$23,$B$22,0))*(1+$B$4)^5)&gt;0,1+$B$3,1))</f>
        <v/>
      </c>
      <c r="I201">
        <f>IF($B$1+6&gt;90,H201,(H201+IF($B$1+6&lt;=$B201,12*$B$9,-12*MAX(0,$B$8-IF($B$1+6&gt;=$B$23,$B$22,0))*(1+$B$4)^6))*IF(H201+IF($B$1+6&lt;=$B201,12*$B$9,-12*MAX(0,$B$8-IF($B$1+6&gt;=$B$23,$B$22,0))*(1+$B$4)^6)&gt;0,1+$B$3,1))</f>
        <v/>
      </c>
      <c r="J201">
        <f>IF($B$1+7&gt;90,I201,(I201+IF($B$1+7&lt;=$B201,12*$B$9,-12*MAX(0,$B$8-IF($B$1+7&gt;=$B$23,$B$22,0))*(1+$B$4)^7))*IF(I201+IF($B$1+7&lt;=$B201,12*$B$9,-12*MAX(0,$B$8-IF($B$1+7&gt;=$B$23,$B$22,0))*(1+$B$4)^7)&gt;0,1+$B$3,1))</f>
        <v/>
      </c>
      <c r="K201">
        <f>IF($B$1+8&gt;90,J201,(J201+IF($B$1+8&lt;=$B201,12*$B$9,-12*MAX(0,$B$8-IF($B$1+8&gt;=$B$23,$B$22,0))*(1+$B$4)^8))*IF(J201+IF($B$1+8&lt;=$B201,12*$B$9,-12*MAX(0,$B$8-IF($B$1+8&gt;=$B$23,$B$22,0))*(1+$B$4)^8)&gt;0,1+$B$3,1))</f>
        <v/>
      </c>
      <c r="L201">
        <f>IF($B$1+9&gt;90,K201,(K201+IF($B$1+9&lt;=$B201,12*$B$9,-12*MAX(0,$B$8-IF($B$1+9&gt;=$B$23,$B$22,0))*(1+$B$4)^9))*IF(K201+IF($B$1+9&lt;=$B201,12*$B$9,-12*MAX(0,$B$8-IF($B$1+9&gt;=$B$23,$B$22,0))*(1+$B$4)^9)&gt;0,1+$B$3,1))</f>
        <v/>
      </c>
      <c r="M201">
        <f>IF($B$1+10&gt;90,L201,(L201+IF($B$1+10&lt;=$B201,12*$B$9,-12*MAX(0,$B$8-IF($B$1+10&gt;=$B$23,$B$22,0))*(1+$B$4)^10))*IF(L201+IF($B$1+10&lt;=$B201,12*$B$9,-12*MAX(0,$B$8-IF($B$1+10&gt;=$B$23,$B$22,0))*(1+$B$4)^10)&gt;0,1+$B$3,1))</f>
        <v/>
      </c>
      <c r="N201">
        <f>IF($B$1+11&gt;90,M201,(M201+IF($B$1+11&lt;=$B201,12*$B$9,-12*MAX(0,$B$8-IF($B$1+11&gt;=$B$23,$B$22,0))*(1+$B$4)^11))*IF(M201+IF($B$1+11&lt;=$B201,12*$B$9,-12*MAX(0,$B$8-IF($B$1+11&gt;=$B$23,$B$22,0))*(1+$B$4)^11)&gt;0,1+$B$3,1))</f>
        <v/>
      </c>
      <c r="O201">
        <f>IF($B$1+12&gt;90,N201,(N201+IF($B$1+12&lt;=$B201,12*$B$9,-12*MAX(0,$B$8-IF($B$1+12&gt;=$B$23,$B$22,0))*(1+$B$4)^12))*IF(N201+IF($B$1+12&lt;=$B201,12*$B$9,-12*MAX(0,$B$8-IF($B$1+12&gt;=$B$23,$B$22,0))*(1+$B$4)^12)&gt;0,1+$B$3,1))</f>
        <v/>
      </c>
      <c r="P201">
        <f>IF($B$1+13&gt;90,O201,(O201+IF($B$1+13&lt;=$B201,12*$B$9,-12*MAX(0,$B$8-IF($B$1+13&gt;=$B$23,$B$22,0))*(1+$B$4)^13))*IF(O201+IF($B$1+13&lt;=$B201,12*$B$9,-12*MAX(0,$B$8-IF($B$1+13&gt;=$B$23,$B$22,0))*(1+$B$4)^13)&gt;0,1+$B$3,1))</f>
        <v/>
      </c>
      <c r="Q201">
        <f>IF($B$1+14&gt;90,P201,(P201+IF($B$1+14&lt;=$B201,12*$B$9,-12*MAX(0,$B$8-IF($B$1+14&gt;=$B$23,$B$22,0))*(1+$B$4)^14))*IF(P201+IF($B$1+14&lt;=$B201,12*$B$9,-12*MAX(0,$B$8-IF($B$1+14&gt;=$B$23,$B$22,0))*(1+$B$4)^14)&gt;0,1+$B$3,1))</f>
        <v/>
      </c>
      <c r="R201">
        <f>IF($B$1+15&gt;90,Q201,(Q201+IF($B$1+15&lt;=$B201,12*$B$9,-12*MAX(0,$B$8-IF($B$1+15&gt;=$B$23,$B$22,0))*(1+$B$4)^15))*IF(Q201+IF($B$1+15&lt;=$B201,12*$B$9,-12*MAX(0,$B$8-IF($B$1+15&gt;=$B$23,$B$22,0))*(1+$B$4)^15)&gt;0,1+$B$3,1))</f>
        <v/>
      </c>
      <c r="S201">
        <f>IF($B$1+16&gt;90,R201,(R201+IF($B$1+16&lt;=$B201,12*$B$9,-12*MAX(0,$B$8-IF($B$1+16&gt;=$B$23,$B$22,0))*(1+$B$4)^16))*IF(R201+IF($B$1+16&lt;=$B201,12*$B$9,-12*MAX(0,$B$8-IF($B$1+16&gt;=$B$23,$B$22,0))*(1+$B$4)^16)&gt;0,1+$B$3,1))</f>
        <v/>
      </c>
      <c r="T201">
        <f>IF($B$1+17&gt;90,S201,(S201+IF($B$1+17&lt;=$B201,12*$B$9,-12*MAX(0,$B$8-IF($B$1+17&gt;=$B$23,$B$22,0))*(1+$B$4)^17))*IF(S201+IF($B$1+17&lt;=$B201,12*$B$9,-12*MAX(0,$B$8-IF($B$1+17&gt;=$B$23,$B$22,0))*(1+$B$4)^17)&gt;0,1+$B$3,1))</f>
        <v/>
      </c>
      <c r="U201">
        <f>IF($B$1+18&gt;90,T201,(T201+IF($B$1+18&lt;=$B201,12*$B$9,-12*MAX(0,$B$8-IF($B$1+18&gt;=$B$23,$B$22,0))*(1+$B$4)^18))*IF(T201+IF($B$1+18&lt;=$B201,12*$B$9,-12*MAX(0,$B$8-IF($B$1+18&gt;=$B$23,$B$22,0))*(1+$B$4)^18)&gt;0,1+$B$3,1))</f>
        <v/>
      </c>
      <c r="V201">
        <f>IF($B$1+19&gt;90,U201,(U201+IF($B$1+19&lt;=$B201,12*$B$9,-12*MAX(0,$B$8-IF($B$1+19&gt;=$B$23,$B$22,0))*(1+$B$4)^19))*IF(U201+IF($B$1+19&lt;=$B201,12*$B$9,-12*MAX(0,$B$8-IF($B$1+19&gt;=$B$23,$B$22,0))*(1+$B$4)^19)&gt;0,1+$B$3,1))</f>
        <v/>
      </c>
      <c r="W201">
        <f>IF($B$1+20&gt;90,V201,(V201+IF($B$1+20&lt;=$B201,12*$B$9,-12*MAX(0,$B$8-IF($B$1+20&gt;=$B$23,$B$22,0))*(1+$B$4)^20))*IF(V201+IF($B$1+20&lt;=$B201,12*$B$9,-12*MAX(0,$B$8-IF($B$1+20&gt;=$B$23,$B$22,0))*(1+$B$4)^20)&gt;0,1+$B$3,1))</f>
        <v/>
      </c>
      <c r="X201">
        <f>IF($B$1+21&gt;90,W201,(W201+IF($B$1+21&lt;=$B201,12*$B$9,-12*MAX(0,$B$8-IF($B$1+21&gt;=$B$23,$B$22,0))*(1+$B$4)^21))*IF(W201+IF($B$1+21&lt;=$B201,12*$B$9,-12*MAX(0,$B$8-IF($B$1+21&gt;=$B$23,$B$22,0))*(1+$B$4)^21)&gt;0,1+$B$3,1))</f>
        <v/>
      </c>
      <c r="Y201">
        <f>IF($B$1+22&gt;90,X201,(X201+IF($B$1+22&lt;=$B201,12*$B$9,-12*MAX(0,$B$8-IF($B$1+22&gt;=$B$23,$B$22,0))*(1+$B$4)^22))*IF(X201+IF($B$1+22&lt;=$B201,12*$B$9,-12*MAX(0,$B$8-IF($B$1+22&gt;=$B$23,$B$22,0))*(1+$B$4)^22)&gt;0,1+$B$3,1))</f>
        <v/>
      </c>
      <c r="Z201">
        <f>IF($B$1+23&gt;90,Y201,(Y201+IF($B$1+23&lt;=$B201,12*$B$9,-12*MAX(0,$B$8-IF($B$1+23&gt;=$B$23,$B$22,0))*(1+$B$4)^23))*IF(Y201+IF($B$1+23&lt;=$B201,12*$B$9,-12*MAX(0,$B$8-IF($B$1+23&gt;=$B$23,$B$22,0))*(1+$B$4)^23)&gt;0,1+$B$3,1))</f>
        <v/>
      </c>
      <c r="AA201">
        <f>IF($B$1+24&gt;90,Z201,(Z201+IF($B$1+24&lt;=$B201,12*$B$9,-12*MAX(0,$B$8-IF($B$1+24&gt;=$B$23,$B$22,0))*(1+$B$4)^24))*IF(Z201+IF($B$1+24&lt;=$B201,12*$B$9,-12*MAX(0,$B$8-IF($B$1+24&gt;=$B$23,$B$22,0))*(1+$B$4)^24)&gt;0,1+$B$3,1))</f>
        <v/>
      </c>
      <c r="AB201">
        <f>IF($B$1+25&gt;90,AA201,(AA201+IF($B$1+25&lt;=$B201,12*$B$9,-12*MAX(0,$B$8-IF($B$1+25&gt;=$B$23,$B$22,0))*(1+$B$4)^25))*IF(AA201+IF($B$1+25&lt;=$B201,12*$B$9,-12*MAX(0,$B$8-IF($B$1+25&gt;=$B$23,$B$22,0))*(1+$B$4)^25)&gt;0,1+$B$3,1))</f>
        <v/>
      </c>
      <c r="AC201">
        <f>IF($B$1+26&gt;90,AB201,(AB201+IF($B$1+26&lt;=$B201,12*$B$9,-12*MAX(0,$B$8-IF($B$1+26&gt;=$B$23,$B$22,0))*(1+$B$4)^26))*IF(AB201+IF($B$1+26&lt;=$B201,12*$B$9,-12*MAX(0,$B$8-IF($B$1+26&gt;=$B$23,$B$22,0))*(1+$B$4)^26)&gt;0,1+$B$3,1))</f>
        <v/>
      </c>
      <c r="AD201">
        <f>IF($B$1+27&gt;90,AC201,(AC201+IF($B$1+27&lt;=$B201,12*$B$9,-12*MAX(0,$B$8-IF($B$1+27&gt;=$B$23,$B$22,0))*(1+$B$4)^27))*IF(AC201+IF($B$1+27&lt;=$B201,12*$B$9,-12*MAX(0,$B$8-IF($B$1+27&gt;=$B$23,$B$22,0))*(1+$B$4)^27)&gt;0,1+$B$3,1))</f>
        <v/>
      </c>
      <c r="AE201">
        <f>IF($B$1+28&gt;90,AD201,(AD201+IF($B$1+28&lt;=$B201,12*$B$9,-12*MAX(0,$B$8-IF($B$1+28&gt;=$B$23,$B$22,0))*(1+$B$4)^28))*IF(AD201+IF($B$1+28&lt;=$B201,12*$B$9,-12*MAX(0,$B$8-IF($B$1+28&gt;=$B$23,$B$22,0))*(1+$B$4)^28)&gt;0,1+$B$3,1))</f>
        <v/>
      </c>
      <c r="AF201">
        <f>IF($B$1+29&gt;90,AE201,(AE201+IF($B$1+29&lt;=$B201,12*$B$9,-12*MAX(0,$B$8-IF($B$1+29&gt;=$B$23,$B$22,0))*(1+$B$4)^29))*IF(AE201+IF($B$1+29&lt;=$B201,12*$B$9,-12*MAX(0,$B$8-IF($B$1+29&gt;=$B$23,$B$22,0))*(1+$B$4)^29)&gt;0,1+$B$3,1))</f>
        <v/>
      </c>
      <c r="AG201">
        <f>IF($B$1+30&gt;90,AF201,(AF201+IF($B$1+30&lt;=$B201,12*$B$9,-12*MAX(0,$B$8-IF($B$1+30&gt;=$B$23,$B$22,0))*(1+$B$4)^30))*IF(AF201+IF($B$1+30&lt;=$B201,12*$B$9,-12*MAX(0,$B$8-IF($B$1+30&gt;=$B$23,$B$22,0))*(1+$B$4)^30)&gt;0,1+$B$3,1))</f>
        <v/>
      </c>
      <c r="AH201">
        <f>IF($B$1+31&gt;90,AG201,(AG201+IF($B$1+31&lt;=$B201,12*$B$9,-12*MAX(0,$B$8-IF($B$1+31&gt;=$B$23,$B$22,0))*(1+$B$4)^31))*IF(AG201+IF($B$1+31&lt;=$B201,12*$B$9,-12*MAX(0,$B$8-IF($B$1+31&gt;=$B$23,$B$22,0))*(1+$B$4)^31)&gt;0,1+$B$3,1))</f>
        <v/>
      </c>
      <c r="AI201">
        <f>IF($B$1+32&gt;90,AH201,(AH201+IF($B$1+32&lt;=$B201,12*$B$9,-12*MAX(0,$B$8-IF($B$1+32&gt;=$B$23,$B$22,0))*(1+$B$4)^32))*IF(AH201+IF($B$1+32&lt;=$B201,12*$B$9,-12*MAX(0,$B$8-IF($B$1+32&gt;=$B$23,$B$22,0))*(1+$B$4)^32)&gt;0,1+$B$3,1))</f>
        <v/>
      </c>
      <c r="AJ201">
        <f>IF($B$1+33&gt;90,AI201,(AI201+IF($B$1+33&lt;=$B201,12*$B$9,-12*MAX(0,$B$8-IF($B$1+33&gt;=$B$23,$B$22,0))*(1+$B$4)^33))*IF(AI201+IF($B$1+33&lt;=$B201,12*$B$9,-12*MAX(0,$B$8-IF($B$1+33&gt;=$B$23,$B$22,0))*(1+$B$4)^33)&gt;0,1+$B$3,1))</f>
        <v/>
      </c>
      <c r="AK201">
        <f>IF($B$1+34&gt;90,AJ201,(AJ201+IF($B$1+34&lt;=$B201,12*$B$9,-12*MAX(0,$B$8-IF($B$1+34&gt;=$B$23,$B$22,0))*(1+$B$4)^34))*IF(AJ201+IF($B$1+34&lt;=$B201,12*$B$9,-12*MAX(0,$B$8-IF($B$1+34&gt;=$B$23,$B$22,0))*(1+$B$4)^34)&gt;0,1+$B$3,1))</f>
        <v/>
      </c>
      <c r="AL201">
        <f>IF($B$1+35&gt;90,AK201,(AK201+IF($B$1+35&lt;=$B201,12*$B$9,-12*MAX(0,$B$8-IF($B$1+35&gt;=$B$23,$B$22,0))*(1+$B$4)^35))*IF(AK201+IF($B$1+35&lt;=$B201,12*$B$9,-12*MAX(0,$B$8-IF($B$1+35&gt;=$B$23,$B$22,0))*(1+$B$4)^35)&gt;0,1+$B$3,1))</f>
        <v/>
      </c>
      <c r="AM201">
        <f>IF($B$1+36&gt;90,AL201,(AL201+IF($B$1+36&lt;=$B201,12*$B$9,-12*MAX(0,$B$8-IF($B$1+36&gt;=$B$23,$B$22,0))*(1+$B$4)^36))*IF(AL201+IF($B$1+36&lt;=$B201,12*$B$9,-12*MAX(0,$B$8-IF($B$1+36&gt;=$B$23,$B$22,0))*(1+$B$4)^36)&gt;0,1+$B$3,1))</f>
        <v/>
      </c>
      <c r="AN201">
        <f>IF($B$1+37&gt;90,AM201,(AM201+IF($B$1+37&lt;=$B201,12*$B$9,-12*MAX(0,$B$8-IF($B$1+37&gt;=$B$23,$B$22,0))*(1+$B$4)^37))*IF(AM201+IF($B$1+37&lt;=$B201,12*$B$9,-12*MAX(0,$B$8-IF($B$1+37&gt;=$B$23,$B$22,0))*(1+$B$4)^37)&gt;0,1+$B$3,1))</f>
        <v/>
      </c>
      <c r="AO201">
        <f>IF($B$1+38&gt;90,AN201,(AN201+IF($B$1+38&lt;=$B201,12*$B$9,-12*MAX(0,$B$8-IF($B$1+38&gt;=$B$23,$B$22,0))*(1+$B$4)^38))*IF(AN201+IF($B$1+38&lt;=$B201,12*$B$9,-12*MAX(0,$B$8-IF($B$1+38&gt;=$B$23,$B$22,0))*(1+$B$4)^38)&gt;0,1+$B$3,1))</f>
        <v/>
      </c>
      <c r="AP201">
        <f>IF($B$1+39&gt;90,AO201,(AO201+IF($B$1+39&lt;=$B201,12*$B$9,-12*MAX(0,$B$8-IF($B$1+39&gt;=$B$23,$B$22,0))*(1+$B$4)^39))*IF(AO201+IF($B$1+39&lt;=$B201,12*$B$9,-12*MAX(0,$B$8-IF($B$1+39&gt;=$B$23,$B$22,0))*(1+$B$4)^39)&gt;0,1+$B$3,1))</f>
        <v/>
      </c>
      <c r="AQ201">
        <f>IF($B$1+40&gt;90,AP201,(AP201+IF($B$1+40&lt;=$B201,12*$B$9,-12*MAX(0,$B$8-IF($B$1+40&gt;=$B$23,$B$22,0))*(1+$B$4)^40))*IF(AP201+IF($B$1+40&lt;=$B201,12*$B$9,-12*MAX(0,$B$8-IF($B$1+40&gt;=$B$23,$B$22,0))*(1+$B$4)^40)&gt;0,1+$B$3,1))</f>
        <v/>
      </c>
      <c r="AR201">
        <f>IF($B$1+41&gt;90,AQ201,(AQ201+IF($B$1+41&lt;=$B201,12*$B$9,-12*MAX(0,$B$8-IF($B$1+41&gt;=$B$23,$B$22,0))*(1+$B$4)^41))*IF(AQ201+IF($B$1+41&lt;=$B201,12*$B$9,-12*MAX(0,$B$8-IF($B$1+41&gt;=$B$23,$B$22,0))*(1+$B$4)^41)&gt;0,1+$B$3,1))</f>
        <v/>
      </c>
      <c r="AS201">
        <f>IF($B$1+42&gt;90,AR201,(AR201+IF($B$1+42&lt;=$B201,12*$B$9,-12*MAX(0,$B$8-IF($B$1+42&gt;=$B$23,$B$22,0))*(1+$B$4)^42))*IF(AR201+IF($B$1+42&lt;=$B201,12*$B$9,-12*MAX(0,$B$8-IF($B$1+42&gt;=$B$23,$B$22,0))*(1+$B$4)^42)&gt;0,1+$B$3,1))</f>
        <v/>
      </c>
      <c r="AT201">
        <f>IF($B$1+43&gt;90,AS201,(AS201+IF($B$1+43&lt;=$B201,12*$B$9,-12*MAX(0,$B$8-IF($B$1+43&gt;=$B$23,$B$22,0))*(1+$B$4)^43))*IF(AS201+IF($B$1+43&lt;=$B201,12*$B$9,-12*MAX(0,$B$8-IF($B$1+43&gt;=$B$23,$B$22,0))*(1+$B$4)^43)&gt;0,1+$B$3,1))</f>
        <v/>
      </c>
      <c r="AU201">
        <f>IF($B$1+44&gt;90,AT201,(AT201+IF($B$1+44&lt;=$B201,12*$B$9,-12*MAX(0,$B$8-IF($B$1+44&gt;=$B$23,$B$22,0))*(1+$B$4)^44))*IF(AT201+IF($B$1+44&lt;=$B201,12*$B$9,-12*MAX(0,$B$8-IF($B$1+44&gt;=$B$23,$B$22,0))*(1+$B$4)^44)&gt;0,1+$B$3,1))</f>
        <v/>
      </c>
      <c r="AV201">
        <f>IF($B$1+45&gt;90,AU201,(AU201+IF($B$1+45&lt;=$B201,12*$B$9,-12*MAX(0,$B$8-IF($B$1+45&gt;=$B$23,$B$22,0))*(1+$B$4)^45))*IF(AU201+IF($B$1+45&lt;=$B201,12*$B$9,-12*MAX(0,$B$8-IF($B$1+45&gt;=$B$23,$B$22,0))*(1+$B$4)^45)&gt;0,1+$B$3,1))</f>
        <v/>
      </c>
      <c r="AW201">
        <f>IF($B$1+46&gt;90,AV201,(AV201+IF($B$1+46&lt;=$B201,12*$B$9,-12*MAX(0,$B$8-IF($B$1+46&gt;=$B$23,$B$22,0))*(1+$B$4)^46))*IF(AV201+IF($B$1+46&lt;=$B201,12*$B$9,-12*MAX(0,$B$8-IF($B$1+46&gt;=$B$23,$B$22,0))*(1+$B$4)^46)&gt;0,1+$B$3,1))</f>
        <v/>
      </c>
      <c r="AX201">
        <f>IF($B$1+47&gt;90,AW201,(AW201+IF($B$1+47&lt;=$B201,12*$B$9,-12*MAX(0,$B$8-IF($B$1+47&gt;=$B$23,$B$22,0))*(1+$B$4)^47))*IF(AW201+IF($B$1+47&lt;=$B201,12*$B$9,-12*MAX(0,$B$8-IF($B$1+47&gt;=$B$23,$B$22,0))*(1+$B$4)^47)&gt;0,1+$B$3,1))</f>
        <v/>
      </c>
      <c r="AY201">
        <f>IF($B$1+48&gt;90,AX201,(AX201+IF($B$1+48&lt;=$B201,12*$B$9,-12*MAX(0,$B$8-IF($B$1+48&gt;=$B$23,$B$22,0))*(1+$B$4)^48))*IF(AX201+IF($B$1+48&lt;=$B201,12*$B$9,-12*MAX(0,$B$8-IF($B$1+48&gt;=$B$23,$B$22,0))*(1+$B$4)^48)&gt;0,1+$B$3,1))</f>
        <v/>
      </c>
      <c r="AZ201">
        <f>IF($B$1+49&gt;90,AY201,(AY201+IF($B$1+49&lt;=$B201,12*$B$9,-12*MAX(0,$B$8-IF($B$1+49&gt;=$B$23,$B$22,0))*(1+$B$4)^49))*IF(AY201+IF($B$1+49&lt;=$B201,12*$B$9,-12*MAX(0,$B$8-IF($B$1+49&gt;=$B$23,$B$22,0))*(1+$B$4)^49)&gt;0,1+$B$3,1))</f>
        <v/>
      </c>
      <c r="BA201">
        <f>IF($B$1+50&gt;90,AZ201,(AZ201+IF($B$1+50&lt;=$B201,12*$B$9,-12*MAX(0,$B$8-IF($B$1+50&gt;=$B$23,$B$22,0))*(1+$B$4)^50))*IF(AZ201+IF($B$1+50&lt;=$B201,12*$B$9,-12*MAX(0,$B$8-IF($B$1+50&gt;=$B$23,$B$22,0))*(1+$B$4)^50)&gt;0,1+$B$3,1))</f>
        <v/>
      </c>
      <c r="BB201">
        <f>IF($B$1+51&gt;90,BA201,(BA201+IF($B$1+51&lt;=$B201,12*$B$9,-12*MAX(0,$B$8-IF($B$1+51&gt;=$B$23,$B$22,0))*(1+$B$4)^51))*IF(BA201+IF($B$1+51&lt;=$B201,12*$B$9,-12*MAX(0,$B$8-IF($B$1+51&gt;=$B$23,$B$22,0))*(1+$B$4)^51)&gt;0,1+$B$3,1))</f>
        <v/>
      </c>
      <c r="BC201">
        <f>IF($B$1+52&gt;90,BB201,(BB201+IF($B$1+52&lt;=$B201,12*$B$9,-12*MAX(0,$B$8-IF($B$1+52&gt;=$B$23,$B$22,0))*(1+$B$4)^52))*IF(BB201+IF($B$1+52&lt;=$B201,12*$B$9,-12*MAX(0,$B$8-IF($B$1+52&gt;=$B$23,$B$22,0))*(1+$B$4)^52)&gt;0,1+$B$3,1))</f>
        <v/>
      </c>
      <c r="BD201">
        <f>IF($B$1+53&gt;90,BC201,(BC201+IF($B$1+53&lt;=$B201,12*$B$9,-12*MAX(0,$B$8-IF($B$1+53&gt;=$B$23,$B$22,0))*(1+$B$4)^53))*IF(BC201+IF($B$1+53&lt;=$B201,12*$B$9,-12*MAX(0,$B$8-IF($B$1+53&gt;=$B$23,$B$22,0))*(1+$B$4)^53)&gt;0,1+$B$3,1))</f>
        <v/>
      </c>
      <c r="BE201">
        <f>IF($B$1+54&gt;90,BD201,(BD201+IF($B$1+54&lt;=$B201,12*$B$9,-12*MAX(0,$B$8-IF($B$1+54&gt;=$B$23,$B$22,0))*(1+$B$4)^54))*IF(BD201+IF($B$1+54&lt;=$B201,12*$B$9,-12*MAX(0,$B$8-IF($B$1+54&gt;=$B$23,$B$22,0))*(1+$B$4)^54)&gt;0,1+$B$3,1))</f>
        <v/>
      </c>
      <c r="BF201">
        <f>IF($B$1+55&gt;90,BE201,(BE201+IF($B$1+55&lt;=$B201,12*$B$9,-12*MAX(0,$B$8-IF($B$1+55&gt;=$B$23,$B$22,0))*(1+$B$4)^55))*IF(BE201+IF($B$1+55&lt;=$B201,12*$B$9,-12*MAX(0,$B$8-IF($B$1+55&gt;=$B$23,$B$22,0))*(1+$B$4)^55)&gt;0,1+$B$3,1))</f>
        <v/>
      </c>
      <c r="BG201">
        <f>IF($B$1+56&gt;90,BF201,(BF201+IF($B$1+56&lt;=$B201,12*$B$9,-12*MAX(0,$B$8-IF($B$1+56&gt;=$B$23,$B$22,0))*(1+$B$4)^56))*IF(BF201+IF($B$1+56&lt;=$B201,12*$B$9,-12*MAX(0,$B$8-IF($B$1+56&gt;=$B$23,$B$22,0))*(1+$B$4)^56)&gt;0,1+$B$3,1))</f>
        <v/>
      </c>
      <c r="BH201">
        <f>IF($B$1+57&gt;90,BG201,(BG201+IF($B$1+57&lt;=$B201,12*$B$9,-12*MAX(0,$B$8-IF($B$1+57&gt;=$B$23,$B$22,0))*(1+$B$4)^57))*IF(BG201+IF($B$1+57&lt;=$B201,12*$B$9,-12*MAX(0,$B$8-IF($B$1+57&gt;=$B$23,$B$22,0))*(1+$B$4)^57)&gt;0,1+$B$3,1))</f>
        <v/>
      </c>
      <c r="BI201">
        <f>IF($B$1+58&gt;90,BH201,(BH201+IF($B$1+58&lt;=$B201,12*$B$9,-12*MAX(0,$B$8-IF($B$1+58&gt;=$B$23,$B$22,0))*(1+$B$4)^58))*IF(BH201+IF($B$1+58&lt;=$B201,12*$B$9,-12*MAX(0,$B$8-IF($B$1+58&gt;=$B$23,$B$22,0))*(1+$B$4)^58)&gt;0,1+$B$3,1))</f>
        <v/>
      </c>
      <c r="BJ201">
        <f>IF($B$1+59&gt;90,BI201,(BI201+IF($B$1+59&lt;=$B201,12*$B$9,-12*MAX(0,$B$8-IF($B$1+59&gt;=$B$23,$B$22,0))*(1+$B$4)^59))*IF(BI201+IF($B$1+59&lt;=$B201,12*$B$9,-12*MAX(0,$B$8-IF($B$1+59&gt;=$B$23,$B$22,0))*(1+$B$4)^59)&gt;0,1+$B$3,1))</f>
        <v/>
      </c>
      <c r="BK201">
        <f>IF($B$1+60&gt;90,BJ201,(BJ201+IF($B$1+60&lt;=$B201,12*$B$9,-12*MAX(0,$B$8-IF($B$1+60&gt;=$B$23,$B$22,0))*(1+$B$4)^60))*IF(BJ201+IF($B$1+60&lt;=$B201,12*$B$9,-12*MAX(0,$B$8-IF($B$1+60&gt;=$B$23,$B$22,0))*(1+$B$4)^60)&gt;0,1+$B$3,1))</f>
        <v/>
      </c>
      <c r="BL201">
        <f>IF($B$1+61&gt;90,BK201,(BK201+IF($B$1+61&lt;=$B201,12*$B$9,-12*MAX(0,$B$8-IF($B$1+61&gt;=$B$23,$B$22,0))*(1+$B$4)^61))*IF(BK201+IF($B$1+61&lt;=$B201,12*$B$9,-12*MAX(0,$B$8-IF($B$1+61&gt;=$B$23,$B$22,0))*(1+$B$4)^61)&gt;0,1+$B$3,1))</f>
        <v/>
      </c>
      <c r="BM201">
        <f>IF($B$1+62&gt;90,BL201,(BL201+IF($B$1+62&lt;=$B201,12*$B$9,-12*MAX(0,$B$8-IF($B$1+62&gt;=$B$23,$B$22,0))*(1+$B$4)^62))*IF(BL201+IF($B$1+62&lt;=$B201,12*$B$9,-12*MAX(0,$B$8-IF($B$1+62&gt;=$B$23,$B$22,0))*(1+$B$4)^62)&gt;0,1+$B$3,1))</f>
        <v/>
      </c>
      <c r="BN201">
        <f>IF($B$1+63&gt;90,BM201,(BM201+IF($B$1+63&lt;=$B201,12*$B$9,-12*MAX(0,$B$8-IF($B$1+63&gt;=$B$23,$B$22,0))*(1+$B$4)^63))*IF(BM201+IF($B$1+63&lt;=$B201,12*$B$9,-12*MAX(0,$B$8-IF($B$1+63&gt;=$B$23,$B$22,0))*(1+$B$4)^63)&gt;0,1+$B$3,1))</f>
        <v/>
      </c>
      <c r="BO201">
        <f>IF($B$1+64&gt;90,BN201,(BN201+IF($B$1+64&lt;=$B201,12*$B$9,-12*MAX(0,$B$8-IF($B$1+64&gt;=$B$23,$B$22,0))*(1+$B$4)^64))*IF(BN201+IF($B$1+64&lt;=$B201,12*$B$9,-12*MAX(0,$B$8-IF($B$1+64&gt;=$B$23,$B$22,0))*(1+$B$4)^64)&gt;0,1+$B$3,1))</f>
        <v/>
      </c>
      <c r="BP201">
        <f>IF($B$1+65&gt;90,BO201,(BO201+IF($B$1+65&lt;=$B201,12*$B$9,-12*MAX(0,$B$8-IF($B$1+65&gt;=$B$23,$B$22,0))*(1+$B$4)^65))*IF(BO201+IF($B$1+65&lt;=$B201,12*$B$9,-12*MAX(0,$B$8-IF($B$1+65&gt;=$B$23,$B$22,0))*(1+$B$4)^65)&gt;0,1+$B$3,1))</f>
        <v/>
      </c>
      <c r="BQ201">
        <f>IF($B$1+66&gt;90,BP201,(BP201+IF($B$1+66&lt;=$B201,12*$B$9,-12*MAX(0,$B$8-IF($B$1+66&gt;=$B$23,$B$22,0))*(1+$B$4)^66))*IF(BP201+IF($B$1+66&lt;=$B201,12*$B$9,-12*MAX(0,$B$8-IF($B$1+66&gt;=$B$23,$B$22,0))*(1+$B$4)^66)&gt;0,1+$B$3,1))</f>
        <v/>
      </c>
      <c r="BR201">
        <f>IF($B$1+67&gt;90,BQ201,(BQ201+IF($B$1+67&lt;=$B201,12*$B$9,-12*MAX(0,$B$8-IF($B$1+67&gt;=$B$23,$B$22,0))*(1+$B$4)^67))*IF(BQ201+IF($B$1+67&lt;=$B201,12*$B$9,-12*MAX(0,$B$8-IF($B$1+67&gt;=$B$23,$B$22,0))*(1+$B$4)^67)&gt;0,1+$B$3,1))</f>
        <v/>
      </c>
      <c r="BS201">
        <f>IF($B$1+68&gt;90,BR201,(BR201+IF($B$1+68&lt;=$B201,12*$B$9,-12*MAX(0,$B$8-IF($B$1+68&gt;=$B$23,$B$22,0))*(1+$B$4)^68))*IF(BR201+IF($B$1+68&lt;=$B201,12*$B$9,-12*MAX(0,$B$8-IF($B$1+68&gt;=$B$23,$B$22,0))*(1+$B$4)^68)&gt;0,1+$B$3,1))</f>
        <v/>
      </c>
      <c r="BT201">
        <f>IF($B$1+69&gt;90,BS201,(BS201+IF($B$1+69&lt;=$B201,12*$B$9,-12*MAX(0,$B$8-IF($B$1+69&gt;=$B$23,$B$22,0))*(1+$B$4)^69))*IF(BS201+IF($B$1+69&lt;=$B201,12*$B$9,-12*MAX(0,$B$8-IF($B$1+69&gt;=$B$23,$B$22,0))*(1+$B$4)^69)&gt;0,1+$B$3,1))</f>
        <v/>
      </c>
      <c r="BU201">
        <f>IF($B$1+70&gt;90,BT201,(BT201+IF($B$1+70&lt;=$B201,12*$B$9,-12*MAX(0,$B$8-IF($B$1+70&gt;=$B$23,$B$22,0))*(1+$B$4)^70))*IF(BT201+IF($B$1+70&lt;=$B201,12*$B$9,-12*MAX(0,$B$8-IF($B$1+70&gt;=$B$23,$B$22,0))*(1+$B$4)^70)&gt;0,1+$B$3,1))</f>
        <v/>
      </c>
      <c r="BV201">
        <f>BU201</f>
        <v/>
      </c>
      <c r="BW201">
        <f>IF(AND($B201&lt;=70,BV201&gt;0),$B201,999)</f>
        <v/>
      </c>
      <c r="CH201">
        <f>IF(ISTEXT('월 가계부'!A201),SUBSTITUTE(SUBSTITUTE(SUBSTITUTE(SUBSTITUTE(SUBSTITUTE(SUBSTITUTE(SUBSTITUTE(SUBSTITUTE(SUBSTITUTE(TRIM('월 가계부'!A201),"년","-"),"월","-"),"일",""),".","-"),"/","-")," ","-"),"--","-"),"--","-"),"--","-")&amp;"-","")</f>
        <v/>
      </c>
      <c r="CI201">
        <f>IFERROR(IF('월 가계부'!A201="","",IF(ISNUMBER('월 가계부'!A201),IF(AND('월 가계부'!A201&gt;=19000101,'월 가계부'!A201&lt;=21001231),IF(AND(MOD(INT('월 가계부'!A201/100),100)&gt;=1,MOD(INT('월 가계부'!A201/100),100)&lt;=12,MOD(INT('월 가계부'!A201),100)&gt;=1,MOD(INT('월 가계부'!A201),100)&lt;=31),IF(MONTH(DATE(INT('월 가계부'!A201/10000),MOD(INT('월 가계부'!A201/100),100),MOD(INT('월 가계부'!A201),100)))=MOD(INT('월 가계부'!A201/100),100),DATE(INT('월 가계부'!A201/10000),MOD(INT('월 가계부'!A201/100),100),MOD(INT('월 가계부'!A201),100)),""),""),IF(AND('월 가계부'!A201&gt;=36526,'월 가계부'!A201&lt;73051),INT('월 가계부'!A201),"")),IF(OR(CM201="",CN201="",CO201=""),"",IF(AND(CM201&gt;=2000,CM201&lt;=2099,CN201&gt;=1,CN201&lt;=12,CO201&gt;=1,CO201&lt;=31),IF(MONTH(DATE(CM201,CN201,CO201))=CN201,DATE(CM201,CN201,CO201),""),"")))),"")</f>
        <v/>
      </c>
      <c r="CJ201">
        <f>IFERROR(IF('월 가계부'!C201="","",IF(ISNUMBER('월 가계부'!C201),'월 가계부'!C201,VALUE(SUBSTITUTE(SUBSTITUTE(SUBSTITUTE(SUBSTITUTE(TRIM('월 가계부'!C201),",",""),"원","")," ",""),"−","-")))),"")</f>
        <v/>
      </c>
      <c r="CK201">
        <f>IF(ISNUMBER(CI201),IF(CI201&lt;$B$13,CI201,""),"")</f>
        <v/>
      </c>
      <c r="CM201">
        <f>IF(CH201="","",IFERROR(IF(IF(AND(LEN(CH201)=9,ISERROR(FIND("-",LEFT(CH201,8))),ISNUMBER(-LEFT(CH201,8))),VALUE(LEFT(CH201,4)),VALUE(LEFT(CH201,FIND("-",CH201)-1)))&lt;100,IF(AND(LEN(CH201)=9,ISERROR(FIND("-",LEFT(CH201,8))),ISNUMBER(-LEFT(CH201,8))),VALUE(LEFT(CH201,4)),VALUE(LEFT(CH201,FIND("-",CH201)-1)))+2000,IF(AND(LEN(CH201)=9,ISERROR(FIND("-",LEFT(CH201,8))),ISNUMBER(-LEFT(CH201,8))),VALUE(LEFT(CH201,4)),VALUE(LEFT(CH201,FIND("-",CH201)-1)))),""))</f>
        <v/>
      </c>
      <c r="CN201">
        <f>IF(CH201="","",IFERROR(IF(AND(LEN(CH201)=9,ISERROR(FIND("-",LEFT(CH201,8))),ISNUMBER(-LEFT(CH201,8))),VALUE(MID(CH201,5,2)),VALUE(MID(CH201,FIND("-",CH201)+1,FIND("-",CH201,FIND("-",CH201)+1)-FIND("-",CH201)-1))),""))</f>
        <v/>
      </c>
      <c r="CO201">
        <f>IF(CH201="","",IFERROR(IF(AND(LEN(CH201)=9,ISERROR(FIND("-",LEFT(CH201,8))),ISNUMBER(-LEFT(CH201,8))),VALUE(MID(CH201,7,2)),VALUE(MID(CH201,FIND("-",CH201,FIND("-",CH201)+1)+1,FIND("-",CH201,FIND("-",CH201,FIND("-",CH201)+1)+1)-FIND("-",CH201,FIND("-",CH201)+1)-1))),""))</f>
        <v/>
      </c>
    </row>
    <row r="202">
      <c r="A202" t="n">
        <v>50</v>
      </c>
      <c r="B202">
        <f>$B$1+50</f>
        <v/>
      </c>
      <c r="C202">
        <f>$B$2</f>
        <v/>
      </c>
      <c r="D202">
        <f>IF($B$1+1&gt;90,C202,(C202+IF($B$1+1&lt;=$B202,12*$B$9,-12*MAX(0,$B$8-IF($B$1+1&gt;=$B$23,$B$22,0))*(1+$B$4)^1))*IF(C202+IF($B$1+1&lt;=$B202,12*$B$9,-12*MAX(0,$B$8-IF($B$1+1&gt;=$B$23,$B$22,0))*(1+$B$4)^1)&gt;0,1+$B$3,1))</f>
        <v/>
      </c>
      <c r="E202">
        <f>IF($B$1+2&gt;90,D202,(D202+IF($B$1+2&lt;=$B202,12*$B$9,-12*MAX(0,$B$8-IF($B$1+2&gt;=$B$23,$B$22,0))*(1+$B$4)^2))*IF(D202+IF($B$1+2&lt;=$B202,12*$B$9,-12*MAX(0,$B$8-IF($B$1+2&gt;=$B$23,$B$22,0))*(1+$B$4)^2)&gt;0,1+$B$3,1))</f>
        <v/>
      </c>
      <c r="F202">
        <f>IF($B$1+3&gt;90,E202,(E202+IF($B$1+3&lt;=$B202,12*$B$9,-12*MAX(0,$B$8-IF($B$1+3&gt;=$B$23,$B$22,0))*(1+$B$4)^3))*IF(E202+IF($B$1+3&lt;=$B202,12*$B$9,-12*MAX(0,$B$8-IF($B$1+3&gt;=$B$23,$B$22,0))*(1+$B$4)^3)&gt;0,1+$B$3,1))</f>
        <v/>
      </c>
      <c r="G202">
        <f>IF($B$1+4&gt;90,F202,(F202+IF($B$1+4&lt;=$B202,12*$B$9,-12*MAX(0,$B$8-IF($B$1+4&gt;=$B$23,$B$22,0))*(1+$B$4)^4))*IF(F202+IF($B$1+4&lt;=$B202,12*$B$9,-12*MAX(0,$B$8-IF($B$1+4&gt;=$B$23,$B$22,0))*(1+$B$4)^4)&gt;0,1+$B$3,1))</f>
        <v/>
      </c>
      <c r="H202">
        <f>IF($B$1+5&gt;90,G202,(G202+IF($B$1+5&lt;=$B202,12*$B$9,-12*MAX(0,$B$8-IF($B$1+5&gt;=$B$23,$B$22,0))*(1+$B$4)^5))*IF(G202+IF($B$1+5&lt;=$B202,12*$B$9,-12*MAX(0,$B$8-IF($B$1+5&gt;=$B$23,$B$22,0))*(1+$B$4)^5)&gt;0,1+$B$3,1))</f>
        <v/>
      </c>
      <c r="I202">
        <f>IF($B$1+6&gt;90,H202,(H202+IF($B$1+6&lt;=$B202,12*$B$9,-12*MAX(0,$B$8-IF($B$1+6&gt;=$B$23,$B$22,0))*(1+$B$4)^6))*IF(H202+IF($B$1+6&lt;=$B202,12*$B$9,-12*MAX(0,$B$8-IF($B$1+6&gt;=$B$23,$B$22,0))*(1+$B$4)^6)&gt;0,1+$B$3,1))</f>
        <v/>
      </c>
      <c r="J202">
        <f>IF($B$1+7&gt;90,I202,(I202+IF($B$1+7&lt;=$B202,12*$B$9,-12*MAX(0,$B$8-IF($B$1+7&gt;=$B$23,$B$22,0))*(1+$B$4)^7))*IF(I202+IF($B$1+7&lt;=$B202,12*$B$9,-12*MAX(0,$B$8-IF($B$1+7&gt;=$B$23,$B$22,0))*(1+$B$4)^7)&gt;0,1+$B$3,1))</f>
        <v/>
      </c>
      <c r="K202">
        <f>IF($B$1+8&gt;90,J202,(J202+IF($B$1+8&lt;=$B202,12*$B$9,-12*MAX(0,$B$8-IF($B$1+8&gt;=$B$23,$B$22,0))*(1+$B$4)^8))*IF(J202+IF($B$1+8&lt;=$B202,12*$B$9,-12*MAX(0,$B$8-IF($B$1+8&gt;=$B$23,$B$22,0))*(1+$B$4)^8)&gt;0,1+$B$3,1))</f>
        <v/>
      </c>
      <c r="L202">
        <f>IF($B$1+9&gt;90,K202,(K202+IF($B$1+9&lt;=$B202,12*$B$9,-12*MAX(0,$B$8-IF($B$1+9&gt;=$B$23,$B$22,0))*(1+$B$4)^9))*IF(K202+IF($B$1+9&lt;=$B202,12*$B$9,-12*MAX(0,$B$8-IF($B$1+9&gt;=$B$23,$B$22,0))*(1+$B$4)^9)&gt;0,1+$B$3,1))</f>
        <v/>
      </c>
      <c r="M202">
        <f>IF($B$1+10&gt;90,L202,(L202+IF($B$1+10&lt;=$B202,12*$B$9,-12*MAX(0,$B$8-IF($B$1+10&gt;=$B$23,$B$22,0))*(1+$B$4)^10))*IF(L202+IF($B$1+10&lt;=$B202,12*$B$9,-12*MAX(0,$B$8-IF($B$1+10&gt;=$B$23,$B$22,0))*(1+$B$4)^10)&gt;0,1+$B$3,1))</f>
        <v/>
      </c>
      <c r="N202">
        <f>IF($B$1+11&gt;90,M202,(M202+IF($B$1+11&lt;=$B202,12*$B$9,-12*MAX(0,$B$8-IF($B$1+11&gt;=$B$23,$B$22,0))*(1+$B$4)^11))*IF(M202+IF($B$1+11&lt;=$B202,12*$B$9,-12*MAX(0,$B$8-IF($B$1+11&gt;=$B$23,$B$22,0))*(1+$B$4)^11)&gt;0,1+$B$3,1))</f>
        <v/>
      </c>
      <c r="O202">
        <f>IF($B$1+12&gt;90,N202,(N202+IF($B$1+12&lt;=$B202,12*$B$9,-12*MAX(0,$B$8-IF($B$1+12&gt;=$B$23,$B$22,0))*(1+$B$4)^12))*IF(N202+IF($B$1+12&lt;=$B202,12*$B$9,-12*MAX(0,$B$8-IF($B$1+12&gt;=$B$23,$B$22,0))*(1+$B$4)^12)&gt;0,1+$B$3,1))</f>
        <v/>
      </c>
      <c r="P202">
        <f>IF($B$1+13&gt;90,O202,(O202+IF($B$1+13&lt;=$B202,12*$B$9,-12*MAX(0,$B$8-IF($B$1+13&gt;=$B$23,$B$22,0))*(1+$B$4)^13))*IF(O202+IF($B$1+13&lt;=$B202,12*$B$9,-12*MAX(0,$B$8-IF($B$1+13&gt;=$B$23,$B$22,0))*(1+$B$4)^13)&gt;0,1+$B$3,1))</f>
        <v/>
      </c>
      <c r="Q202">
        <f>IF($B$1+14&gt;90,P202,(P202+IF($B$1+14&lt;=$B202,12*$B$9,-12*MAX(0,$B$8-IF($B$1+14&gt;=$B$23,$B$22,0))*(1+$B$4)^14))*IF(P202+IF($B$1+14&lt;=$B202,12*$B$9,-12*MAX(0,$B$8-IF($B$1+14&gt;=$B$23,$B$22,0))*(1+$B$4)^14)&gt;0,1+$B$3,1))</f>
        <v/>
      </c>
      <c r="R202">
        <f>IF($B$1+15&gt;90,Q202,(Q202+IF($B$1+15&lt;=$B202,12*$B$9,-12*MAX(0,$B$8-IF($B$1+15&gt;=$B$23,$B$22,0))*(1+$B$4)^15))*IF(Q202+IF($B$1+15&lt;=$B202,12*$B$9,-12*MAX(0,$B$8-IF($B$1+15&gt;=$B$23,$B$22,0))*(1+$B$4)^15)&gt;0,1+$B$3,1))</f>
        <v/>
      </c>
      <c r="S202">
        <f>IF($B$1+16&gt;90,R202,(R202+IF($B$1+16&lt;=$B202,12*$B$9,-12*MAX(0,$B$8-IF($B$1+16&gt;=$B$23,$B$22,0))*(1+$B$4)^16))*IF(R202+IF($B$1+16&lt;=$B202,12*$B$9,-12*MAX(0,$B$8-IF($B$1+16&gt;=$B$23,$B$22,0))*(1+$B$4)^16)&gt;0,1+$B$3,1))</f>
        <v/>
      </c>
      <c r="T202">
        <f>IF($B$1+17&gt;90,S202,(S202+IF($B$1+17&lt;=$B202,12*$B$9,-12*MAX(0,$B$8-IF($B$1+17&gt;=$B$23,$B$22,0))*(1+$B$4)^17))*IF(S202+IF($B$1+17&lt;=$B202,12*$B$9,-12*MAX(0,$B$8-IF($B$1+17&gt;=$B$23,$B$22,0))*(1+$B$4)^17)&gt;0,1+$B$3,1))</f>
        <v/>
      </c>
      <c r="U202">
        <f>IF($B$1+18&gt;90,T202,(T202+IF($B$1+18&lt;=$B202,12*$B$9,-12*MAX(0,$B$8-IF($B$1+18&gt;=$B$23,$B$22,0))*(1+$B$4)^18))*IF(T202+IF($B$1+18&lt;=$B202,12*$B$9,-12*MAX(0,$B$8-IF($B$1+18&gt;=$B$23,$B$22,0))*(1+$B$4)^18)&gt;0,1+$B$3,1))</f>
        <v/>
      </c>
      <c r="V202">
        <f>IF($B$1+19&gt;90,U202,(U202+IF($B$1+19&lt;=$B202,12*$B$9,-12*MAX(0,$B$8-IF($B$1+19&gt;=$B$23,$B$22,0))*(1+$B$4)^19))*IF(U202+IF($B$1+19&lt;=$B202,12*$B$9,-12*MAX(0,$B$8-IF($B$1+19&gt;=$B$23,$B$22,0))*(1+$B$4)^19)&gt;0,1+$B$3,1))</f>
        <v/>
      </c>
      <c r="W202">
        <f>IF($B$1+20&gt;90,V202,(V202+IF($B$1+20&lt;=$B202,12*$B$9,-12*MAX(0,$B$8-IF($B$1+20&gt;=$B$23,$B$22,0))*(1+$B$4)^20))*IF(V202+IF($B$1+20&lt;=$B202,12*$B$9,-12*MAX(0,$B$8-IF($B$1+20&gt;=$B$23,$B$22,0))*(1+$B$4)^20)&gt;0,1+$B$3,1))</f>
        <v/>
      </c>
      <c r="X202">
        <f>IF($B$1+21&gt;90,W202,(W202+IF($B$1+21&lt;=$B202,12*$B$9,-12*MAX(0,$B$8-IF($B$1+21&gt;=$B$23,$B$22,0))*(1+$B$4)^21))*IF(W202+IF($B$1+21&lt;=$B202,12*$B$9,-12*MAX(0,$B$8-IF($B$1+21&gt;=$B$23,$B$22,0))*(1+$B$4)^21)&gt;0,1+$B$3,1))</f>
        <v/>
      </c>
      <c r="Y202">
        <f>IF($B$1+22&gt;90,X202,(X202+IF($B$1+22&lt;=$B202,12*$B$9,-12*MAX(0,$B$8-IF($B$1+22&gt;=$B$23,$B$22,0))*(1+$B$4)^22))*IF(X202+IF($B$1+22&lt;=$B202,12*$B$9,-12*MAX(0,$B$8-IF($B$1+22&gt;=$B$23,$B$22,0))*(1+$B$4)^22)&gt;0,1+$B$3,1))</f>
        <v/>
      </c>
      <c r="Z202">
        <f>IF($B$1+23&gt;90,Y202,(Y202+IF($B$1+23&lt;=$B202,12*$B$9,-12*MAX(0,$B$8-IF($B$1+23&gt;=$B$23,$B$22,0))*(1+$B$4)^23))*IF(Y202+IF($B$1+23&lt;=$B202,12*$B$9,-12*MAX(0,$B$8-IF($B$1+23&gt;=$B$23,$B$22,0))*(1+$B$4)^23)&gt;0,1+$B$3,1))</f>
        <v/>
      </c>
      <c r="AA202">
        <f>IF($B$1+24&gt;90,Z202,(Z202+IF($B$1+24&lt;=$B202,12*$B$9,-12*MAX(0,$B$8-IF($B$1+24&gt;=$B$23,$B$22,0))*(1+$B$4)^24))*IF(Z202+IF($B$1+24&lt;=$B202,12*$B$9,-12*MAX(0,$B$8-IF($B$1+24&gt;=$B$23,$B$22,0))*(1+$B$4)^24)&gt;0,1+$B$3,1))</f>
        <v/>
      </c>
      <c r="AB202">
        <f>IF($B$1+25&gt;90,AA202,(AA202+IF($B$1+25&lt;=$B202,12*$B$9,-12*MAX(0,$B$8-IF($B$1+25&gt;=$B$23,$B$22,0))*(1+$B$4)^25))*IF(AA202+IF($B$1+25&lt;=$B202,12*$B$9,-12*MAX(0,$B$8-IF($B$1+25&gt;=$B$23,$B$22,0))*(1+$B$4)^25)&gt;0,1+$B$3,1))</f>
        <v/>
      </c>
      <c r="AC202">
        <f>IF($B$1+26&gt;90,AB202,(AB202+IF($B$1+26&lt;=$B202,12*$B$9,-12*MAX(0,$B$8-IF($B$1+26&gt;=$B$23,$B$22,0))*(1+$B$4)^26))*IF(AB202+IF($B$1+26&lt;=$B202,12*$B$9,-12*MAX(0,$B$8-IF($B$1+26&gt;=$B$23,$B$22,0))*(1+$B$4)^26)&gt;0,1+$B$3,1))</f>
        <v/>
      </c>
      <c r="AD202">
        <f>IF($B$1+27&gt;90,AC202,(AC202+IF($B$1+27&lt;=$B202,12*$B$9,-12*MAX(0,$B$8-IF($B$1+27&gt;=$B$23,$B$22,0))*(1+$B$4)^27))*IF(AC202+IF($B$1+27&lt;=$B202,12*$B$9,-12*MAX(0,$B$8-IF($B$1+27&gt;=$B$23,$B$22,0))*(1+$B$4)^27)&gt;0,1+$B$3,1))</f>
        <v/>
      </c>
      <c r="AE202">
        <f>IF($B$1+28&gt;90,AD202,(AD202+IF($B$1+28&lt;=$B202,12*$B$9,-12*MAX(0,$B$8-IF($B$1+28&gt;=$B$23,$B$22,0))*(1+$B$4)^28))*IF(AD202+IF($B$1+28&lt;=$B202,12*$B$9,-12*MAX(0,$B$8-IF($B$1+28&gt;=$B$23,$B$22,0))*(1+$B$4)^28)&gt;0,1+$B$3,1))</f>
        <v/>
      </c>
      <c r="AF202">
        <f>IF($B$1+29&gt;90,AE202,(AE202+IF($B$1+29&lt;=$B202,12*$B$9,-12*MAX(0,$B$8-IF($B$1+29&gt;=$B$23,$B$22,0))*(1+$B$4)^29))*IF(AE202+IF($B$1+29&lt;=$B202,12*$B$9,-12*MAX(0,$B$8-IF($B$1+29&gt;=$B$23,$B$22,0))*(1+$B$4)^29)&gt;0,1+$B$3,1))</f>
        <v/>
      </c>
      <c r="AG202">
        <f>IF($B$1+30&gt;90,AF202,(AF202+IF($B$1+30&lt;=$B202,12*$B$9,-12*MAX(0,$B$8-IF($B$1+30&gt;=$B$23,$B$22,0))*(1+$B$4)^30))*IF(AF202+IF($B$1+30&lt;=$B202,12*$B$9,-12*MAX(0,$B$8-IF($B$1+30&gt;=$B$23,$B$22,0))*(1+$B$4)^30)&gt;0,1+$B$3,1))</f>
        <v/>
      </c>
      <c r="AH202">
        <f>IF($B$1+31&gt;90,AG202,(AG202+IF($B$1+31&lt;=$B202,12*$B$9,-12*MAX(0,$B$8-IF($B$1+31&gt;=$B$23,$B$22,0))*(1+$B$4)^31))*IF(AG202+IF($B$1+31&lt;=$B202,12*$B$9,-12*MAX(0,$B$8-IF($B$1+31&gt;=$B$23,$B$22,0))*(1+$B$4)^31)&gt;0,1+$B$3,1))</f>
        <v/>
      </c>
      <c r="AI202">
        <f>IF($B$1+32&gt;90,AH202,(AH202+IF($B$1+32&lt;=$B202,12*$B$9,-12*MAX(0,$B$8-IF($B$1+32&gt;=$B$23,$B$22,0))*(1+$B$4)^32))*IF(AH202+IF($B$1+32&lt;=$B202,12*$B$9,-12*MAX(0,$B$8-IF($B$1+32&gt;=$B$23,$B$22,0))*(1+$B$4)^32)&gt;0,1+$B$3,1))</f>
        <v/>
      </c>
      <c r="AJ202">
        <f>IF($B$1+33&gt;90,AI202,(AI202+IF($B$1+33&lt;=$B202,12*$B$9,-12*MAX(0,$B$8-IF($B$1+33&gt;=$B$23,$B$22,0))*(1+$B$4)^33))*IF(AI202+IF($B$1+33&lt;=$B202,12*$B$9,-12*MAX(0,$B$8-IF($B$1+33&gt;=$B$23,$B$22,0))*(1+$B$4)^33)&gt;0,1+$B$3,1))</f>
        <v/>
      </c>
      <c r="AK202">
        <f>IF($B$1+34&gt;90,AJ202,(AJ202+IF($B$1+34&lt;=$B202,12*$B$9,-12*MAX(0,$B$8-IF($B$1+34&gt;=$B$23,$B$22,0))*(1+$B$4)^34))*IF(AJ202+IF($B$1+34&lt;=$B202,12*$B$9,-12*MAX(0,$B$8-IF($B$1+34&gt;=$B$23,$B$22,0))*(1+$B$4)^34)&gt;0,1+$B$3,1))</f>
        <v/>
      </c>
      <c r="AL202">
        <f>IF($B$1+35&gt;90,AK202,(AK202+IF($B$1+35&lt;=$B202,12*$B$9,-12*MAX(0,$B$8-IF($B$1+35&gt;=$B$23,$B$22,0))*(1+$B$4)^35))*IF(AK202+IF($B$1+35&lt;=$B202,12*$B$9,-12*MAX(0,$B$8-IF($B$1+35&gt;=$B$23,$B$22,0))*(1+$B$4)^35)&gt;0,1+$B$3,1))</f>
        <v/>
      </c>
      <c r="AM202">
        <f>IF($B$1+36&gt;90,AL202,(AL202+IF($B$1+36&lt;=$B202,12*$B$9,-12*MAX(0,$B$8-IF($B$1+36&gt;=$B$23,$B$22,0))*(1+$B$4)^36))*IF(AL202+IF($B$1+36&lt;=$B202,12*$B$9,-12*MAX(0,$B$8-IF($B$1+36&gt;=$B$23,$B$22,0))*(1+$B$4)^36)&gt;0,1+$B$3,1))</f>
        <v/>
      </c>
      <c r="AN202">
        <f>IF($B$1+37&gt;90,AM202,(AM202+IF($B$1+37&lt;=$B202,12*$B$9,-12*MAX(0,$B$8-IF($B$1+37&gt;=$B$23,$B$22,0))*(1+$B$4)^37))*IF(AM202+IF($B$1+37&lt;=$B202,12*$B$9,-12*MAX(0,$B$8-IF($B$1+37&gt;=$B$23,$B$22,0))*(1+$B$4)^37)&gt;0,1+$B$3,1))</f>
        <v/>
      </c>
      <c r="AO202">
        <f>IF($B$1+38&gt;90,AN202,(AN202+IF($B$1+38&lt;=$B202,12*$B$9,-12*MAX(0,$B$8-IF($B$1+38&gt;=$B$23,$B$22,0))*(1+$B$4)^38))*IF(AN202+IF($B$1+38&lt;=$B202,12*$B$9,-12*MAX(0,$B$8-IF($B$1+38&gt;=$B$23,$B$22,0))*(1+$B$4)^38)&gt;0,1+$B$3,1))</f>
        <v/>
      </c>
      <c r="AP202">
        <f>IF($B$1+39&gt;90,AO202,(AO202+IF($B$1+39&lt;=$B202,12*$B$9,-12*MAX(0,$B$8-IF($B$1+39&gt;=$B$23,$B$22,0))*(1+$B$4)^39))*IF(AO202+IF($B$1+39&lt;=$B202,12*$B$9,-12*MAX(0,$B$8-IF($B$1+39&gt;=$B$23,$B$22,0))*(1+$B$4)^39)&gt;0,1+$B$3,1))</f>
        <v/>
      </c>
      <c r="AQ202">
        <f>IF($B$1+40&gt;90,AP202,(AP202+IF($B$1+40&lt;=$B202,12*$B$9,-12*MAX(0,$B$8-IF($B$1+40&gt;=$B$23,$B$22,0))*(1+$B$4)^40))*IF(AP202+IF($B$1+40&lt;=$B202,12*$B$9,-12*MAX(0,$B$8-IF($B$1+40&gt;=$B$23,$B$22,0))*(1+$B$4)^40)&gt;0,1+$B$3,1))</f>
        <v/>
      </c>
      <c r="AR202">
        <f>IF($B$1+41&gt;90,AQ202,(AQ202+IF($B$1+41&lt;=$B202,12*$B$9,-12*MAX(0,$B$8-IF($B$1+41&gt;=$B$23,$B$22,0))*(1+$B$4)^41))*IF(AQ202+IF($B$1+41&lt;=$B202,12*$B$9,-12*MAX(0,$B$8-IF($B$1+41&gt;=$B$23,$B$22,0))*(1+$B$4)^41)&gt;0,1+$B$3,1))</f>
        <v/>
      </c>
      <c r="AS202">
        <f>IF($B$1+42&gt;90,AR202,(AR202+IF($B$1+42&lt;=$B202,12*$B$9,-12*MAX(0,$B$8-IF($B$1+42&gt;=$B$23,$B$22,0))*(1+$B$4)^42))*IF(AR202+IF($B$1+42&lt;=$B202,12*$B$9,-12*MAX(0,$B$8-IF($B$1+42&gt;=$B$23,$B$22,0))*(1+$B$4)^42)&gt;0,1+$B$3,1))</f>
        <v/>
      </c>
      <c r="AT202">
        <f>IF($B$1+43&gt;90,AS202,(AS202+IF($B$1+43&lt;=$B202,12*$B$9,-12*MAX(0,$B$8-IF($B$1+43&gt;=$B$23,$B$22,0))*(1+$B$4)^43))*IF(AS202+IF($B$1+43&lt;=$B202,12*$B$9,-12*MAX(0,$B$8-IF($B$1+43&gt;=$B$23,$B$22,0))*(1+$B$4)^43)&gt;0,1+$B$3,1))</f>
        <v/>
      </c>
      <c r="AU202">
        <f>IF($B$1+44&gt;90,AT202,(AT202+IF($B$1+44&lt;=$B202,12*$B$9,-12*MAX(0,$B$8-IF($B$1+44&gt;=$B$23,$B$22,0))*(1+$B$4)^44))*IF(AT202+IF($B$1+44&lt;=$B202,12*$B$9,-12*MAX(0,$B$8-IF($B$1+44&gt;=$B$23,$B$22,0))*(1+$B$4)^44)&gt;0,1+$B$3,1))</f>
        <v/>
      </c>
      <c r="AV202">
        <f>IF($B$1+45&gt;90,AU202,(AU202+IF($B$1+45&lt;=$B202,12*$B$9,-12*MAX(0,$B$8-IF($B$1+45&gt;=$B$23,$B$22,0))*(1+$B$4)^45))*IF(AU202+IF($B$1+45&lt;=$B202,12*$B$9,-12*MAX(0,$B$8-IF($B$1+45&gt;=$B$23,$B$22,0))*(1+$B$4)^45)&gt;0,1+$B$3,1))</f>
        <v/>
      </c>
      <c r="AW202">
        <f>IF($B$1+46&gt;90,AV202,(AV202+IF($B$1+46&lt;=$B202,12*$B$9,-12*MAX(0,$B$8-IF($B$1+46&gt;=$B$23,$B$22,0))*(1+$B$4)^46))*IF(AV202+IF($B$1+46&lt;=$B202,12*$B$9,-12*MAX(0,$B$8-IF($B$1+46&gt;=$B$23,$B$22,0))*(1+$B$4)^46)&gt;0,1+$B$3,1))</f>
        <v/>
      </c>
      <c r="AX202">
        <f>IF($B$1+47&gt;90,AW202,(AW202+IF($B$1+47&lt;=$B202,12*$B$9,-12*MAX(0,$B$8-IF($B$1+47&gt;=$B$23,$B$22,0))*(1+$B$4)^47))*IF(AW202+IF($B$1+47&lt;=$B202,12*$B$9,-12*MAX(0,$B$8-IF($B$1+47&gt;=$B$23,$B$22,0))*(1+$B$4)^47)&gt;0,1+$B$3,1))</f>
        <v/>
      </c>
      <c r="AY202">
        <f>IF($B$1+48&gt;90,AX202,(AX202+IF($B$1+48&lt;=$B202,12*$B$9,-12*MAX(0,$B$8-IF($B$1+48&gt;=$B$23,$B$22,0))*(1+$B$4)^48))*IF(AX202+IF($B$1+48&lt;=$B202,12*$B$9,-12*MAX(0,$B$8-IF($B$1+48&gt;=$B$23,$B$22,0))*(1+$B$4)^48)&gt;0,1+$B$3,1))</f>
        <v/>
      </c>
      <c r="AZ202">
        <f>IF($B$1+49&gt;90,AY202,(AY202+IF($B$1+49&lt;=$B202,12*$B$9,-12*MAX(0,$B$8-IF($B$1+49&gt;=$B$23,$B$22,0))*(1+$B$4)^49))*IF(AY202+IF($B$1+49&lt;=$B202,12*$B$9,-12*MAX(0,$B$8-IF($B$1+49&gt;=$B$23,$B$22,0))*(1+$B$4)^49)&gt;0,1+$B$3,1))</f>
        <v/>
      </c>
      <c r="BA202">
        <f>IF($B$1+50&gt;90,AZ202,(AZ202+IF($B$1+50&lt;=$B202,12*$B$9,-12*MAX(0,$B$8-IF($B$1+50&gt;=$B$23,$B$22,0))*(1+$B$4)^50))*IF(AZ202+IF($B$1+50&lt;=$B202,12*$B$9,-12*MAX(0,$B$8-IF($B$1+50&gt;=$B$23,$B$22,0))*(1+$B$4)^50)&gt;0,1+$B$3,1))</f>
        <v/>
      </c>
      <c r="BB202">
        <f>IF($B$1+51&gt;90,BA202,(BA202+IF($B$1+51&lt;=$B202,12*$B$9,-12*MAX(0,$B$8-IF($B$1+51&gt;=$B$23,$B$22,0))*(1+$B$4)^51))*IF(BA202+IF($B$1+51&lt;=$B202,12*$B$9,-12*MAX(0,$B$8-IF($B$1+51&gt;=$B$23,$B$22,0))*(1+$B$4)^51)&gt;0,1+$B$3,1))</f>
        <v/>
      </c>
      <c r="BC202">
        <f>IF($B$1+52&gt;90,BB202,(BB202+IF($B$1+52&lt;=$B202,12*$B$9,-12*MAX(0,$B$8-IF($B$1+52&gt;=$B$23,$B$22,0))*(1+$B$4)^52))*IF(BB202+IF($B$1+52&lt;=$B202,12*$B$9,-12*MAX(0,$B$8-IF($B$1+52&gt;=$B$23,$B$22,0))*(1+$B$4)^52)&gt;0,1+$B$3,1))</f>
        <v/>
      </c>
      <c r="BD202">
        <f>IF($B$1+53&gt;90,BC202,(BC202+IF($B$1+53&lt;=$B202,12*$B$9,-12*MAX(0,$B$8-IF($B$1+53&gt;=$B$23,$B$22,0))*(1+$B$4)^53))*IF(BC202+IF($B$1+53&lt;=$B202,12*$B$9,-12*MAX(0,$B$8-IF($B$1+53&gt;=$B$23,$B$22,0))*(1+$B$4)^53)&gt;0,1+$B$3,1))</f>
        <v/>
      </c>
      <c r="BE202">
        <f>IF($B$1+54&gt;90,BD202,(BD202+IF($B$1+54&lt;=$B202,12*$B$9,-12*MAX(0,$B$8-IF($B$1+54&gt;=$B$23,$B$22,0))*(1+$B$4)^54))*IF(BD202+IF($B$1+54&lt;=$B202,12*$B$9,-12*MAX(0,$B$8-IF($B$1+54&gt;=$B$23,$B$22,0))*(1+$B$4)^54)&gt;0,1+$B$3,1))</f>
        <v/>
      </c>
      <c r="BF202">
        <f>IF($B$1+55&gt;90,BE202,(BE202+IF($B$1+55&lt;=$B202,12*$B$9,-12*MAX(0,$B$8-IF($B$1+55&gt;=$B$23,$B$22,0))*(1+$B$4)^55))*IF(BE202+IF($B$1+55&lt;=$B202,12*$B$9,-12*MAX(0,$B$8-IF($B$1+55&gt;=$B$23,$B$22,0))*(1+$B$4)^55)&gt;0,1+$B$3,1))</f>
        <v/>
      </c>
      <c r="BG202">
        <f>IF($B$1+56&gt;90,BF202,(BF202+IF($B$1+56&lt;=$B202,12*$B$9,-12*MAX(0,$B$8-IF($B$1+56&gt;=$B$23,$B$22,0))*(1+$B$4)^56))*IF(BF202+IF($B$1+56&lt;=$B202,12*$B$9,-12*MAX(0,$B$8-IF($B$1+56&gt;=$B$23,$B$22,0))*(1+$B$4)^56)&gt;0,1+$B$3,1))</f>
        <v/>
      </c>
      <c r="BH202">
        <f>IF($B$1+57&gt;90,BG202,(BG202+IF($B$1+57&lt;=$B202,12*$B$9,-12*MAX(0,$B$8-IF($B$1+57&gt;=$B$23,$B$22,0))*(1+$B$4)^57))*IF(BG202+IF($B$1+57&lt;=$B202,12*$B$9,-12*MAX(0,$B$8-IF($B$1+57&gt;=$B$23,$B$22,0))*(1+$B$4)^57)&gt;0,1+$B$3,1))</f>
        <v/>
      </c>
      <c r="BI202">
        <f>IF($B$1+58&gt;90,BH202,(BH202+IF($B$1+58&lt;=$B202,12*$B$9,-12*MAX(0,$B$8-IF($B$1+58&gt;=$B$23,$B$22,0))*(1+$B$4)^58))*IF(BH202+IF($B$1+58&lt;=$B202,12*$B$9,-12*MAX(0,$B$8-IF($B$1+58&gt;=$B$23,$B$22,0))*(1+$B$4)^58)&gt;0,1+$B$3,1))</f>
        <v/>
      </c>
      <c r="BJ202">
        <f>IF($B$1+59&gt;90,BI202,(BI202+IF($B$1+59&lt;=$B202,12*$B$9,-12*MAX(0,$B$8-IF($B$1+59&gt;=$B$23,$B$22,0))*(1+$B$4)^59))*IF(BI202+IF($B$1+59&lt;=$B202,12*$B$9,-12*MAX(0,$B$8-IF($B$1+59&gt;=$B$23,$B$22,0))*(1+$B$4)^59)&gt;0,1+$B$3,1))</f>
        <v/>
      </c>
      <c r="BK202">
        <f>IF($B$1+60&gt;90,BJ202,(BJ202+IF($B$1+60&lt;=$B202,12*$B$9,-12*MAX(0,$B$8-IF($B$1+60&gt;=$B$23,$B$22,0))*(1+$B$4)^60))*IF(BJ202+IF($B$1+60&lt;=$B202,12*$B$9,-12*MAX(0,$B$8-IF($B$1+60&gt;=$B$23,$B$22,0))*(1+$B$4)^60)&gt;0,1+$B$3,1))</f>
        <v/>
      </c>
      <c r="BL202">
        <f>IF($B$1+61&gt;90,BK202,(BK202+IF($B$1+61&lt;=$B202,12*$B$9,-12*MAX(0,$B$8-IF($B$1+61&gt;=$B$23,$B$22,0))*(1+$B$4)^61))*IF(BK202+IF($B$1+61&lt;=$B202,12*$B$9,-12*MAX(0,$B$8-IF($B$1+61&gt;=$B$23,$B$22,0))*(1+$B$4)^61)&gt;0,1+$B$3,1))</f>
        <v/>
      </c>
      <c r="BM202">
        <f>IF($B$1+62&gt;90,BL202,(BL202+IF($B$1+62&lt;=$B202,12*$B$9,-12*MAX(0,$B$8-IF($B$1+62&gt;=$B$23,$B$22,0))*(1+$B$4)^62))*IF(BL202+IF($B$1+62&lt;=$B202,12*$B$9,-12*MAX(0,$B$8-IF($B$1+62&gt;=$B$23,$B$22,0))*(1+$B$4)^62)&gt;0,1+$B$3,1))</f>
        <v/>
      </c>
      <c r="BN202">
        <f>IF($B$1+63&gt;90,BM202,(BM202+IF($B$1+63&lt;=$B202,12*$B$9,-12*MAX(0,$B$8-IF($B$1+63&gt;=$B$23,$B$22,0))*(1+$B$4)^63))*IF(BM202+IF($B$1+63&lt;=$B202,12*$B$9,-12*MAX(0,$B$8-IF($B$1+63&gt;=$B$23,$B$22,0))*(1+$B$4)^63)&gt;0,1+$B$3,1))</f>
        <v/>
      </c>
      <c r="BO202">
        <f>IF($B$1+64&gt;90,BN202,(BN202+IF($B$1+64&lt;=$B202,12*$B$9,-12*MAX(0,$B$8-IF($B$1+64&gt;=$B$23,$B$22,0))*(1+$B$4)^64))*IF(BN202+IF($B$1+64&lt;=$B202,12*$B$9,-12*MAX(0,$B$8-IF($B$1+64&gt;=$B$23,$B$22,0))*(1+$B$4)^64)&gt;0,1+$B$3,1))</f>
        <v/>
      </c>
      <c r="BP202">
        <f>IF($B$1+65&gt;90,BO202,(BO202+IF($B$1+65&lt;=$B202,12*$B$9,-12*MAX(0,$B$8-IF($B$1+65&gt;=$B$23,$B$22,0))*(1+$B$4)^65))*IF(BO202+IF($B$1+65&lt;=$B202,12*$B$9,-12*MAX(0,$B$8-IF($B$1+65&gt;=$B$23,$B$22,0))*(1+$B$4)^65)&gt;0,1+$B$3,1))</f>
        <v/>
      </c>
      <c r="BQ202">
        <f>IF($B$1+66&gt;90,BP202,(BP202+IF($B$1+66&lt;=$B202,12*$B$9,-12*MAX(0,$B$8-IF($B$1+66&gt;=$B$23,$B$22,0))*(1+$B$4)^66))*IF(BP202+IF($B$1+66&lt;=$B202,12*$B$9,-12*MAX(0,$B$8-IF($B$1+66&gt;=$B$23,$B$22,0))*(1+$B$4)^66)&gt;0,1+$B$3,1))</f>
        <v/>
      </c>
      <c r="BR202">
        <f>IF($B$1+67&gt;90,BQ202,(BQ202+IF($B$1+67&lt;=$B202,12*$B$9,-12*MAX(0,$B$8-IF($B$1+67&gt;=$B$23,$B$22,0))*(1+$B$4)^67))*IF(BQ202+IF($B$1+67&lt;=$B202,12*$B$9,-12*MAX(0,$B$8-IF($B$1+67&gt;=$B$23,$B$22,0))*(1+$B$4)^67)&gt;0,1+$B$3,1))</f>
        <v/>
      </c>
      <c r="BS202">
        <f>IF($B$1+68&gt;90,BR202,(BR202+IF($B$1+68&lt;=$B202,12*$B$9,-12*MAX(0,$B$8-IF($B$1+68&gt;=$B$23,$B$22,0))*(1+$B$4)^68))*IF(BR202+IF($B$1+68&lt;=$B202,12*$B$9,-12*MAX(0,$B$8-IF($B$1+68&gt;=$B$23,$B$22,0))*(1+$B$4)^68)&gt;0,1+$B$3,1))</f>
        <v/>
      </c>
      <c r="BT202">
        <f>IF($B$1+69&gt;90,BS202,(BS202+IF($B$1+69&lt;=$B202,12*$B$9,-12*MAX(0,$B$8-IF($B$1+69&gt;=$B$23,$B$22,0))*(1+$B$4)^69))*IF(BS202+IF($B$1+69&lt;=$B202,12*$B$9,-12*MAX(0,$B$8-IF($B$1+69&gt;=$B$23,$B$22,0))*(1+$B$4)^69)&gt;0,1+$B$3,1))</f>
        <v/>
      </c>
      <c r="BU202">
        <f>IF($B$1+70&gt;90,BT202,(BT202+IF($B$1+70&lt;=$B202,12*$B$9,-12*MAX(0,$B$8-IF($B$1+70&gt;=$B$23,$B$22,0))*(1+$B$4)^70))*IF(BT202+IF($B$1+70&lt;=$B202,12*$B$9,-12*MAX(0,$B$8-IF($B$1+70&gt;=$B$23,$B$22,0))*(1+$B$4)^70)&gt;0,1+$B$3,1))</f>
        <v/>
      </c>
      <c r="BV202">
        <f>BU202</f>
        <v/>
      </c>
      <c r="BW202">
        <f>IF(AND($B202&lt;=70,BV202&gt;0),$B202,999)</f>
        <v/>
      </c>
      <c r="CH202">
        <f>IF(ISTEXT('월 가계부'!A202),SUBSTITUTE(SUBSTITUTE(SUBSTITUTE(SUBSTITUTE(SUBSTITUTE(SUBSTITUTE(SUBSTITUTE(SUBSTITUTE(SUBSTITUTE(TRIM('월 가계부'!A202),"년","-"),"월","-"),"일",""),".","-"),"/","-")," ","-"),"--","-"),"--","-"),"--","-")&amp;"-","")</f>
        <v/>
      </c>
      <c r="CI202">
        <f>IFERROR(IF('월 가계부'!A202="","",IF(ISNUMBER('월 가계부'!A202),IF(AND('월 가계부'!A202&gt;=19000101,'월 가계부'!A202&lt;=21001231),IF(AND(MOD(INT('월 가계부'!A202/100),100)&gt;=1,MOD(INT('월 가계부'!A202/100),100)&lt;=12,MOD(INT('월 가계부'!A202),100)&gt;=1,MOD(INT('월 가계부'!A202),100)&lt;=31),IF(MONTH(DATE(INT('월 가계부'!A202/10000),MOD(INT('월 가계부'!A202/100),100),MOD(INT('월 가계부'!A202),100)))=MOD(INT('월 가계부'!A202/100),100),DATE(INT('월 가계부'!A202/10000),MOD(INT('월 가계부'!A202/100),100),MOD(INT('월 가계부'!A202),100)),""),""),IF(AND('월 가계부'!A202&gt;=36526,'월 가계부'!A202&lt;73051),INT('월 가계부'!A202),"")),IF(OR(CM202="",CN202="",CO202=""),"",IF(AND(CM202&gt;=2000,CM202&lt;=2099,CN202&gt;=1,CN202&lt;=12,CO202&gt;=1,CO202&lt;=31),IF(MONTH(DATE(CM202,CN202,CO202))=CN202,DATE(CM202,CN202,CO202),""),"")))),"")</f>
        <v/>
      </c>
      <c r="CJ202">
        <f>IFERROR(IF('월 가계부'!C202="","",IF(ISNUMBER('월 가계부'!C202),'월 가계부'!C202,VALUE(SUBSTITUTE(SUBSTITUTE(SUBSTITUTE(SUBSTITUTE(TRIM('월 가계부'!C202),",",""),"원","")," ",""),"−","-")))),"")</f>
        <v/>
      </c>
      <c r="CK202">
        <f>IF(ISNUMBER(CI202),IF(CI202&lt;$B$13,CI202,""),"")</f>
        <v/>
      </c>
      <c r="CM202">
        <f>IF(CH202="","",IFERROR(IF(IF(AND(LEN(CH202)=9,ISERROR(FIND("-",LEFT(CH202,8))),ISNUMBER(-LEFT(CH202,8))),VALUE(LEFT(CH202,4)),VALUE(LEFT(CH202,FIND("-",CH202)-1)))&lt;100,IF(AND(LEN(CH202)=9,ISERROR(FIND("-",LEFT(CH202,8))),ISNUMBER(-LEFT(CH202,8))),VALUE(LEFT(CH202,4)),VALUE(LEFT(CH202,FIND("-",CH202)-1)))+2000,IF(AND(LEN(CH202)=9,ISERROR(FIND("-",LEFT(CH202,8))),ISNUMBER(-LEFT(CH202,8))),VALUE(LEFT(CH202,4)),VALUE(LEFT(CH202,FIND("-",CH202)-1)))),""))</f>
        <v/>
      </c>
      <c r="CN202">
        <f>IF(CH202="","",IFERROR(IF(AND(LEN(CH202)=9,ISERROR(FIND("-",LEFT(CH202,8))),ISNUMBER(-LEFT(CH202,8))),VALUE(MID(CH202,5,2)),VALUE(MID(CH202,FIND("-",CH202)+1,FIND("-",CH202,FIND("-",CH202)+1)-FIND("-",CH202)-1))),""))</f>
        <v/>
      </c>
      <c r="CO202">
        <f>IF(CH202="","",IFERROR(IF(AND(LEN(CH202)=9,ISERROR(FIND("-",LEFT(CH202,8))),ISNUMBER(-LEFT(CH202,8))),VALUE(MID(CH202,7,2)),VALUE(MID(CH202,FIND("-",CH202,FIND("-",CH202)+1)+1,FIND("-",CH202,FIND("-",CH202,FIND("-",CH202)+1)+1)-FIND("-",CH202,FIND("-",CH202)+1)-1))),""))</f>
        <v/>
      </c>
    </row>
    <row r="203">
      <c r="CH203">
        <f>IF(ISTEXT('월 가계부'!A203),SUBSTITUTE(SUBSTITUTE(SUBSTITUTE(SUBSTITUTE(SUBSTITUTE(SUBSTITUTE(SUBSTITUTE(SUBSTITUTE(SUBSTITUTE(TRIM('월 가계부'!A203),"년","-"),"월","-"),"일",""),".","-"),"/","-")," ","-"),"--","-"),"--","-"),"--","-")&amp;"-","")</f>
        <v/>
      </c>
      <c r="CI203">
        <f>IFERROR(IF('월 가계부'!A203="","",IF(ISNUMBER('월 가계부'!A203),IF(AND('월 가계부'!A203&gt;=19000101,'월 가계부'!A203&lt;=21001231),IF(AND(MOD(INT('월 가계부'!A203/100),100)&gt;=1,MOD(INT('월 가계부'!A203/100),100)&lt;=12,MOD(INT('월 가계부'!A203),100)&gt;=1,MOD(INT('월 가계부'!A203),100)&lt;=31),IF(MONTH(DATE(INT('월 가계부'!A203/10000),MOD(INT('월 가계부'!A203/100),100),MOD(INT('월 가계부'!A203),100)))=MOD(INT('월 가계부'!A203/100),100),DATE(INT('월 가계부'!A203/10000),MOD(INT('월 가계부'!A203/100),100),MOD(INT('월 가계부'!A203),100)),""),""),IF(AND('월 가계부'!A203&gt;=36526,'월 가계부'!A203&lt;73051),INT('월 가계부'!A203),"")),IF(OR(CM203="",CN203="",CO203=""),"",IF(AND(CM203&gt;=2000,CM203&lt;=2099,CN203&gt;=1,CN203&lt;=12,CO203&gt;=1,CO203&lt;=31),IF(MONTH(DATE(CM203,CN203,CO203))=CN203,DATE(CM203,CN203,CO203),""),"")))),"")</f>
        <v/>
      </c>
      <c r="CJ203">
        <f>IFERROR(IF('월 가계부'!C203="","",IF(ISNUMBER('월 가계부'!C203),'월 가계부'!C203,VALUE(SUBSTITUTE(SUBSTITUTE(SUBSTITUTE(SUBSTITUTE(TRIM('월 가계부'!C203),",",""),"원","")," ",""),"−","-")))),"")</f>
        <v/>
      </c>
      <c r="CK203">
        <f>IF(ISNUMBER(CI203),IF(CI203&lt;$B$13,CI203,""),"")</f>
        <v/>
      </c>
      <c r="CM203">
        <f>IF(CH203="","",IFERROR(IF(IF(AND(LEN(CH203)=9,ISERROR(FIND("-",LEFT(CH203,8))),ISNUMBER(-LEFT(CH203,8))),VALUE(LEFT(CH203,4)),VALUE(LEFT(CH203,FIND("-",CH203)-1)))&lt;100,IF(AND(LEN(CH203)=9,ISERROR(FIND("-",LEFT(CH203,8))),ISNUMBER(-LEFT(CH203,8))),VALUE(LEFT(CH203,4)),VALUE(LEFT(CH203,FIND("-",CH203)-1)))+2000,IF(AND(LEN(CH203)=9,ISERROR(FIND("-",LEFT(CH203,8))),ISNUMBER(-LEFT(CH203,8))),VALUE(LEFT(CH203,4)),VALUE(LEFT(CH203,FIND("-",CH203)-1)))),""))</f>
        <v/>
      </c>
      <c r="CN203">
        <f>IF(CH203="","",IFERROR(IF(AND(LEN(CH203)=9,ISERROR(FIND("-",LEFT(CH203,8))),ISNUMBER(-LEFT(CH203,8))),VALUE(MID(CH203,5,2)),VALUE(MID(CH203,FIND("-",CH203)+1,FIND("-",CH203,FIND("-",CH203)+1)-FIND("-",CH203)-1))),""))</f>
        <v/>
      </c>
      <c r="CO203">
        <f>IF(CH203="","",IFERROR(IF(AND(LEN(CH203)=9,ISERROR(FIND("-",LEFT(CH203,8))),ISNUMBER(-LEFT(CH203,8))),VALUE(MID(CH203,7,2)),VALUE(MID(CH203,FIND("-",CH203,FIND("-",CH203)+1)+1,FIND("-",CH203,FIND("-",CH203,FIND("-",CH203)+1)+1)-FIND("-",CH203,FIND("-",CH203)+1)-1))),""))</f>
        <v/>
      </c>
    </row>
    <row r="204">
      <c r="CH204">
        <f>IF(ISTEXT('월 가계부'!A204),SUBSTITUTE(SUBSTITUTE(SUBSTITUTE(SUBSTITUTE(SUBSTITUTE(SUBSTITUTE(SUBSTITUTE(SUBSTITUTE(SUBSTITUTE(TRIM('월 가계부'!A204),"년","-"),"월","-"),"일",""),".","-"),"/","-")," ","-"),"--","-"),"--","-"),"--","-")&amp;"-","")</f>
        <v/>
      </c>
      <c r="CI204">
        <f>IFERROR(IF('월 가계부'!A204="","",IF(ISNUMBER('월 가계부'!A204),IF(AND('월 가계부'!A204&gt;=19000101,'월 가계부'!A204&lt;=21001231),IF(AND(MOD(INT('월 가계부'!A204/100),100)&gt;=1,MOD(INT('월 가계부'!A204/100),100)&lt;=12,MOD(INT('월 가계부'!A204),100)&gt;=1,MOD(INT('월 가계부'!A204),100)&lt;=31),IF(MONTH(DATE(INT('월 가계부'!A204/10000),MOD(INT('월 가계부'!A204/100),100),MOD(INT('월 가계부'!A204),100)))=MOD(INT('월 가계부'!A204/100),100),DATE(INT('월 가계부'!A204/10000),MOD(INT('월 가계부'!A204/100),100),MOD(INT('월 가계부'!A204),100)),""),""),IF(AND('월 가계부'!A204&gt;=36526,'월 가계부'!A204&lt;73051),INT('월 가계부'!A204),"")),IF(OR(CM204="",CN204="",CO204=""),"",IF(AND(CM204&gt;=2000,CM204&lt;=2099,CN204&gt;=1,CN204&lt;=12,CO204&gt;=1,CO204&lt;=31),IF(MONTH(DATE(CM204,CN204,CO204))=CN204,DATE(CM204,CN204,CO204),""),"")))),"")</f>
        <v/>
      </c>
      <c r="CJ204">
        <f>IFERROR(IF('월 가계부'!C204="","",IF(ISNUMBER('월 가계부'!C204),'월 가계부'!C204,VALUE(SUBSTITUTE(SUBSTITUTE(SUBSTITUTE(SUBSTITUTE(TRIM('월 가계부'!C204),",",""),"원","")," ",""),"−","-")))),"")</f>
        <v/>
      </c>
      <c r="CK204">
        <f>IF(ISNUMBER(CI204),IF(CI204&lt;$B$13,CI204,""),"")</f>
        <v/>
      </c>
      <c r="CM204">
        <f>IF(CH204="","",IFERROR(IF(IF(AND(LEN(CH204)=9,ISERROR(FIND("-",LEFT(CH204,8))),ISNUMBER(-LEFT(CH204,8))),VALUE(LEFT(CH204,4)),VALUE(LEFT(CH204,FIND("-",CH204)-1)))&lt;100,IF(AND(LEN(CH204)=9,ISERROR(FIND("-",LEFT(CH204,8))),ISNUMBER(-LEFT(CH204,8))),VALUE(LEFT(CH204,4)),VALUE(LEFT(CH204,FIND("-",CH204)-1)))+2000,IF(AND(LEN(CH204)=9,ISERROR(FIND("-",LEFT(CH204,8))),ISNUMBER(-LEFT(CH204,8))),VALUE(LEFT(CH204,4)),VALUE(LEFT(CH204,FIND("-",CH204)-1)))),""))</f>
        <v/>
      </c>
      <c r="CN204">
        <f>IF(CH204="","",IFERROR(IF(AND(LEN(CH204)=9,ISERROR(FIND("-",LEFT(CH204,8))),ISNUMBER(-LEFT(CH204,8))),VALUE(MID(CH204,5,2)),VALUE(MID(CH204,FIND("-",CH204)+1,FIND("-",CH204,FIND("-",CH204)+1)-FIND("-",CH204)-1))),""))</f>
        <v/>
      </c>
      <c r="CO204">
        <f>IF(CH204="","",IFERROR(IF(AND(LEN(CH204)=9,ISERROR(FIND("-",LEFT(CH204,8))),ISNUMBER(-LEFT(CH204,8))),VALUE(MID(CH204,7,2)),VALUE(MID(CH204,FIND("-",CH204,FIND("-",CH204)+1)+1,FIND("-",CH204,FIND("-",CH204,FIND("-",CH204)+1)+1)-FIND("-",CH204,FIND("-",CH204)+1)-1))),""))</f>
        <v/>
      </c>
    </row>
    <row r="205">
      <c r="CH205">
        <f>IF(ISTEXT('월 가계부'!A205),SUBSTITUTE(SUBSTITUTE(SUBSTITUTE(SUBSTITUTE(SUBSTITUTE(SUBSTITUTE(SUBSTITUTE(SUBSTITUTE(SUBSTITUTE(TRIM('월 가계부'!A205),"년","-"),"월","-"),"일",""),".","-"),"/","-")," ","-"),"--","-"),"--","-"),"--","-")&amp;"-","")</f>
        <v/>
      </c>
      <c r="CI205">
        <f>IFERROR(IF('월 가계부'!A205="","",IF(ISNUMBER('월 가계부'!A205),IF(AND('월 가계부'!A205&gt;=19000101,'월 가계부'!A205&lt;=21001231),IF(AND(MOD(INT('월 가계부'!A205/100),100)&gt;=1,MOD(INT('월 가계부'!A205/100),100)&lt;=12,MOD(INT('월 가계부'!A205),100)&gt;=1,MOD(INT('월 가계부'!A205),100)&lt;=31),IF(MONTH(DATE(INT('월 가계부'!A205/10000),MOD(INT('월 가계부'!A205/100),100),MOD(INT('월 가계부'!A205),100)))=MOD(INT('월 가계부'!A205/100),100),DATE(INT('월 가계부'!A205/10000),MOD(INT('월 가계부'!A205/100),100),MOD(INT('월 가계부'!A205),100)),""),""),IF(AND('월 가계부'!A205&gt;=36526,'월 가계부'!A205&lt;73051),INT('월 가계부'!A205),"")),IF(OR(CM205="",CN205="",CO205=""),"",IF(AND(CM205&gt;=2000,CM205&lt;=2099,CN205&gt;=1,CN205&lt;=12,CO205&gt;=1,CO205&lt;=31),IF(MONTH(DATE(CM205,CN205,CO205))=CN205,DATE(CM205,CN205,CO205),""),"")))),"")</f>
        <v/>
      </c>
      <c r="CJ205">
        <f>IFERROR(IF('월 가계부'!C205="","",IF(ISNUMBER('월 가계부'!C205),'월 가계부'!C205,VALUE(SUBSTITUTE(SUBSTITUTE(SUBSTITUTE(SUBSTITUTE(TRIM('월 가계부'!C205),",",""),"원","")," ",""),"−","-")))),"")</f>
        <v/>
      </c>
      <c r="CK205">
        <f>IF(ISNUMBER(CI205),IF(CI205&lt;$B$13,CI205,""),"")</f>
        <v/>
      </c>
      <c r="CM205">
        <f>IF(CH205="","",IFERROR(IF(IF(AND(LEN(CH205)=9,ISERROR(FIND("-",LEFT(CH205,8))),ISNUMBER(-LEFT(CH205,8))),VALUE(LEFT(CH205,4)),VALUE(LEFT(CH205,FIND("-",CH205)-1)))&lt;100,IF(AND(LEN(CH205)=9,ISERROR(FIND("-",LEFT(CH205,8))),ISNUMBER(-LEFT(CH205,8))),VALUE(LEFT(CH205,4)),VALUE(LEFT(CH205,FIND("-",CH205)-1)))+2000,IF(AND(LEN(CH205)=9,ISERROR(FIND("-",LEFT(CH205,8))),ISNUMBER(-LEFT(CH205,8))),VALUE(LEFT(CH205,4)),VALUE(LEFT(CH205,FIND("-",CH205)-1)))),""))</f>
        <v/>
      </c>
      <c r="CN205">
        <f>IF(CH205="","",IFERROR(IF(AND(LEN(CH205)=9,ISERROR(FIND("-",LEFT(CH205,8))),ISNUMBER(-LEFT(CH205,8))),VALUE(MID(CH205,5,2)),VALUE(MID(CH205,FIND("-",CH205)+1,FIND("-",CH205,FIND("-",CH205)+1)-FIND("-",CH205)-1))),""))</f>
        <v/>
      </c>
      <c r="CO205">
        <f>IF(CH205="","",IFERROR(IF(AND(LEN(CH205)=9,ISERROR(FIND("-",LEFT(CH205,8))),ISNUMBER(-LEFT(CH205,8))),VALUE(MID(CH205,7,2)),VALUE(MID(CH205,FIND("-",CH205,FIND("-",CH205)+1)+1,FIND("-",CH205,FIND("-",CH205,FIND("-",CH205)+1)+1)-FIND("-",CH205,FIND("-",CH205)+1)-1))),""))</f>
        <v/>
      </c>
    </row>
    <row r="206">
      <c r="CH206">
        <f>IF(ISTEXT('월 가계부'!A206),SUBSTITUTE(SUBSTITUTE(SUBSTITUTE(SUBSTITUTE(SUBSTITUTE(SUBSTITUTE(SUBSTITUTE(SUBSTITUTE(SUBSTITUTE(TRIM('월 가계부'!A206),"년","-"),"월","-"),"일",""),".","-"),"/","-")," ","-"),"--","-"),"--","-"),"--","-")&amp;"-","")</f>
        <v/>
      </c>
      <c r="CI206">
        <f>IFERROR(IF('월 가계부'!A206="","",IF(ISNUMBER('월 가계부'!A206),IF(AND('월 가계부'!A206&gt;=19000101,'월 가계부'!A206&lt;=21001231),IF(AND(MOD(INT('월 가계부'!A206/100),100)&gt;=1,MOD(INT('월 가계부'!A206/100),100)&lt;=12,MOD(INT('월 가계부'!A206),100)&gt;=1,MOD(INT('월 가계부'!A206),100)&lt;=31),IF(MONTH(DATE(INT('월 가계부'!A206/10000),MOD(INT('월 가계부'!A206/100),100),MOD(INT('월 가계부'!A206),100)))=MOD(INT('월 가계부'!A206/100),100),DATE(INT('월 가계부'!A206/10000),MOD(INT('월 가계부'!A206/100),100),MOD(INT('월 가계부'!A206),100)),""),""),IF(AND('월 가계부'!A206&gt;=36526,'월 가계부'!A206&lt;73051),INT('월 가계부'!A206),"")),IF(OR(CM206="",CN206="",CO206=""),"",IF(AND(CM206&gt;=2000,CM206&lt;=2099,CN206&gt;=1,CN206&lt;=12,CO206&gt;=1,CO206&lt;=31),IF(MONTH(DATE(CM206,CN206,CO206))=CN206,DATE(CM206,CN206,CO206),""),"")))),"")</f>
        <v/>
      </c>
      <c r="CJ206">
        <f>IFERROR(IF('월 가계부'!C206="","",IF(ISNUMBER('월 가계부'!C206),'월 가계부'!C206,VALUE(SUBSTITUTE(SUBSTITUTE(SUBSTITUTE(SUBSTITUTE(TRIM('월 가계부'!C206),",",""),"원","")," ",""),"−","-")))),"")</f>
        <v/>
      </c>
      <c r="CK206">
        <f>IF(ISNUMBER(CI206),IF(CI206&lt;$B$13,CI206,""),"")</f>
        <v/>
      </c>
      <c r="CM206">
        <f>IF(CH206="","",IFERROR(IF(IF(AND(LEN(CH206)=9,ISERROR(FIND("-",LEFT(CH206,8))),ISNUMBER(-LEFT(CH206,8))),VALUE(LEFT(CH206,4)),VALUE(LEFT(CH206,FIND("-",CH206)-1)))&lt;100,IF(AND(LEN(CH206)=9,ISERROR(FIND("-",LEFT(CH206,8))),ISNUMBER(-LEFT(CH206,8))),VALUE(LEFT(CH206,4)),VALUE(LEFT(CH206,FIND("-",CH206)-1)))+2000,IF(AND(LEN(CH206)=9,ISERROR(FIND("-",LEFT(CH206,8))),ISNUMBER(-LEFT(CH206,8))),VALUE(LEFT(CH206,4)),VALUE(LEFT(CH206,FIND("-",CH206)-1)))),""))</f>
        <v/>
      </c>
      <c r="CN206">
        <f>IF(CH206="","",IFERROR(IF(AND(LEN(CH206)=9,ISERROR(FIND("-",LEFT(CH206,8))),ISNUMBER(-LEFT(CH206,8))),VALUE(MID(CH206,5,2)),VALUE(MID(CH206,FIND("-",CH206)+1,FIND("-",CH206,FIND("-",CH206)+1)-FIND("-",CH206)-1))),""))</f>
        <v/>
      </c>
      <c r="CO206">
        <f>IF(CH206="","",IFERROR(IF(AND(LEN(CH206)=9,ISERROR(FIND("-",LEFT(CH206,8))),ISNUMBER(-LEFT(CH206,8))),VALUE(MID(CH206,7,2)),VALUE(MID(CH206,FIND("-",CH206,FIND("-",CH206)+1)+1,FIND("-",CH206,FIND("-",CH206,FIND("-",CH206)+1)+1)-FIND("-",CH206,FIND("-",CH206)+1)-1))),""))</f>
        <v/>
      </c>
    </row>
    <row r="207">
      <c r="CH207">
        <f>IF(ISTEXT('월 가계부'!A207),SUBSTITUTE(SUBSTITUTE(SUBSTITUTE(SUBSTITUTE(SUBSTITUTE(SUBSTITUTE(SUBSTITUTE(SUBSTITUTE(SUBSTITUTE(TRIM('월 가계부'!A207),"년","-"),"월","-"),"일",""),".","-"),"/","-")," ","-"),"--","-"),"--","-"),"--","-")&amp;"-","")</f>
        <v/>
      </c>
      <c r="CI207">
        <f>IFERROR(IF('월 가계부'!A207="","",IF(ISNUMBER('월 가계부'!A207),IF(AND('월 가계부'!A207&gt;=19000101,'월 가계부'!A207&lt;=21001231),IF(AND(MOD(INT('월 가계부'!A207/100),100)&gt;=1,MOD(INT('월 가계부'!A207/100),100)&lt;=12,MOD(INT('월 가계부'!A207),100)&gt;=1,MOD(INT('월 가계부'!A207),100)&lt;=31),IF(MONTH(DATE(INT('월 가계부'!A207/10000),MOD(INT('월 가계부'!A207/100),100),MOD(INT('월 가계부'!A207),100)))=MOD(INT('월 가계부'!A207/100),100),DATE(INT('월 가계부'!A207/10000),MOD(INT('월 가계부'!A207/100),100),MOD(INT('월 가계부'!A207),100)),""),""),IF(AND('월 가계부'!A207&gt;=36526,'월 가계부'!A207&lt;73051),INT('월 가계부'!A207),"")),IF(OR(CM207="",CN207="",CO207=""),"",IF(AND(CM207&gt;=2000,CM207&lt;=2099,CN207&gt;=1,CN207&lt;=12,CO207&gt;=1,CO207&lt;=31),IF(MONTH(DATE(CM207,CN207,CO207))=CN207,DATE(CM207,CN207,CO207),""),"")))),"")</f>
        <v/>
      </c>
      <c r="CJ207">
        <f>IFERROR(IF('월 가계부'!C207="","",IF(ISNUMBER('월 가계부'!C207),'월 가계부'!C207,VALUE(SUBSTITUTE(SUBSTITUTE(SUBSTITUTE(SUBSTITUTE(TRIM('월 가계부'!C207),",",""),"원","")," ",""),"−","-")))),"")</f>
        <v/>
      </c>
      <c r="CK207">
        <f>IF(ISNUMBER(CI207),IF(CI207&lt;$B$13,CI207,""),"")</f>
        <v/>
      </c>
      <c r="CM207">
        <f>IF(CH207="","",IFERROR(IF(IF(AND(LEN(CH207)=9,ISERROR(FIND("-",LEFT(CH207,8))),ISNUMBER(-LEFT(CH207,8))),VALUE(LEFT(CH207,4)),VALUE(LEFT(CH207,FIND("-",CH207)-1)))&lt;100,IF(AND(LEN(CH207)=9,ISERROR(FIND("-",LEFT(CH207,8))),ISNUMBER(-LEFT(CH207,8))),VALUE(LEFT(CH207,4)),VALUE(LEFT(CH207,FIND("-",CH207)-1)))+2000,IF(AND(LEN(CH207)=9,ISERROR(FIND("-",LEFT(CH207,8))),ISNUMBER(-LEFT(CH207,8))),VALUE(LEFT(CH207,4)),VALUE(LEFT(CH207,FIND("-",CH207)-1)))),""))</f>
        <v/>
      </c>
      <c r="CN207">
        <f>IF(CH207="","",IFERROR(IF(AND(LEN(CH207)=9,ISERROR(FIND("-",LEFT(CH207,8))),ISNUMBER(-LEFT(CH207,8))),VALUE(MID(CH207,5,2)),VALUE(MID(CH207,FIND("-",CH207)+1,FIND("-",CH207,FIND("-",CH207)+1)-FIND("-",CH207)-1))),""))</f>
        <v/>
      </c>
      <c r="CO207">
        <f>IF(CH207="","",IFERROR(IF(AND(LEN(CH207)=9,ISERROR(FIND("-",LEFT(CH207,8))),ISNUMBER(-LEFT(CH207,8))),VALUE(MID(CH207,7,2)),VALUE(MID(CH207,FIND("-",CH207,FIND("-",CH207)+1)+1,FIND("-",CH207,FIND("-",CH207,FIND("-",CH207)+1)+1)-FIND("-",CH207,FIND("-",CH207)+1)-1))),""))</f>
        <v/>
      </c>
    </row>
    <row r="208">
      <c r="CH208">
        <f>IF(ISTEXT('월 가계부'!A208),SUBSTITUTE(SUBSTITUTE(SUBSTITUTE(SUBSTITUTE(SUBSTITUTE(SUBSTITUTE(SUBSTITUTE(SUBSTITUTE(SUBSTITUTE(TRIM('월 가계부'!A208),"년","-"),"월","-"),"일",""),".","-"),"/","-")," ","-"),"--","-"),"--","-"),"--","-")&amp;"-","")</f>
        <v/>
      </c>
      <c r="CI208">
        <f>IFERROR(IF('월 가계부'!A208="","",IF(ISNUMBER('월 가계부'!A208),IF(AND('월 가계부'!A208&gt;=19000101,'월 가계부'!A208&lt;=21001231),IF(AND(MOD(INT('월 가계부'!A208/100),100)&gt;=1,MOD(INT('월 가계부'!A208/100),100)&lt;=12,MOD(INT('월 가계부'!A208),100)&gt;=1,MOD(INT('월 가계부'!A208),100)&lt;=31),IF(MONTH(DATE(INT('월 가계부'!A208/10000),MOD(INT('월 가계부'!A208/100),100),MOD(INT('월 가계부'!A208),100)))=MOD(INT('월 가계부'!A208/100),100),DATE(INT('월 가계부'!A208/10000),MOD(INT('월 가계부'!A208/100),100),MOD(INT('월 가계부'!A208),100)),""),""),IF(AND('월 가계부'!A208&gt;=36526,'월 가계부'!A208&lt;73051),INT('월 가계부'!A208),"")),IF(OR(CM208="",CN208="",CO208=""),"",IF(AND(CM208&gt;=2000,CM208&lt;=2099,CN208&gt;=1,CN208&lt;=12,CO208&gt;=1,CO208&lt;=31),IF(MONTH(DATE(CM208,CN208,CO208))=CN208,DATE(CM208,CN208,CO208),""),"")))),"")</f>
        <v/>
      </c>
      <c r="CJ208">
        <f>IFERROR(IF('월 가계부'!C208="","",IF(ISNUMBER('월 가계부'!C208),'월 가계부'!C208,VALUE(SUBSTITUTE(SUBSTITUTE(SUBSTITUTE(SUBSTITUTE(TRIM('월 가계부'!C208),",",""),"원","")," ",""),"−","-")))),"")</f>
        <v/>
      </c>
      <c r="CK208">
        <f>IF(ISNUMBER(CI208),IF(CI208&lt;$B$13,CI208,""),"")</f>
        <v/>
      </c>
      <c r="CM208">
        <f>IF(CH208="","",IFERROR(IF(IF(AND(LEN(CH208)=9,ISERROR(FIND("-",LEFT(CH208,8))),ISNUMBER(-LEFT(CH208,8))),VALUE(LEFT(CH208,4)),VALUE(LEFT(CH208,FIND("-",CH208)-1)))&lt;100,IF(AND(LEN(CH208)=9,ISERROR(FIND("-",LEFT(CH208,8))),ISNUMBER(-LEFT(CH208,8))),VALUE(LEFT(CH208,4)),VALUE(LEFT(CH208,FIND("-",CH208)-1)))+2000,IF(AND(LEN(CH208)=9,ISERROR(FIND("-",LEFT(CH208,8))),ISNUMBER(-LEFT(CH208,8))),VALUE(LEFT(CH208,4)),VALUE(LEFT(CH208,FIND("-",CH208)-1)))),""))</f>
        <v/>
      </c>
      <c r="CN208">
        <f>IF(CH208="","",IFERROR(IF(AND(LEN(CH208)=9,ISERROR(FIND("-",LEFT(CH208,8))),ISNUMBER(-LEFT(CH208,8))),VALUE(MID(CH208,5,2)),VALUE(MID(CH208,FIND("-",CH208)+1,FIND("-",CH208,FIND("-",CH208)+1)-FIND("-",CH208)-1))),""))</f>
        <v/>
      </c>
      <c r="CO208">
        <f>IF(CH208="","",IFERROR(IF(AND(LEN(CH208)=9,ISERROR(FIND("-",LEFT(CH208,8))),ISNUMBER(-LEFT(CH208,8))),VALUE(MID(CH208,7,2)),VALUE(MID(CH208,FIND("-",CH208,FIND("-",CH208)+1)+1,FIND("-",CH208,FIND("-",CH208,FIND("-",CH208)+1)+1)-FIND("-",CH208,FIND("-",CH208)+1)-1))),""))</f>
        <v/>
      </c>
    </row>
    <row r="209">
      <c r="CH209">
        <f>IF(ISTEXT('월 가계부'!A209),SUBSTITUTE(SUBSTITUTE(SUBSTITUTE(SUBSTITUTE(SUBSTITUTE(SUBSTITUTE(SUBSTITUTE(SUBSTITUTE(SUBSTITUTE(TRIM('월 가계부'!A209),"년","-"),"월","-"),"일",""),".","-"),"/","-")," ","-"),"--","-"),"--","-"),"--","-")&amp;"-","")</f>
        <v/>
      </c>
      <c r="CI209">
        <f>IFERROR(IF('월 가계부'!A209="","",IF(ISNUMBER('월 가계부'!A209),IF(AND('월 가계부'!A209&gt;=19000101,'월 가계부'!A209&lt;=21001231),IF(AND(MOD(INT('월 가계부'!A209/100),100)&gt;=1,MOD(INT('월 가계부'!A209/100),100)&lt;=12,MOD(INT('월 가계부'!A209),100)&gt;=1,MOD(INT('월 가계부'!A209),100)&lt;=31),IF(MONTH(DATE(INT('월 가계부'!A209/10000),MOD(INT('월 가계부'!A209/100),100),MOD(INT('월 가계부'!A209),100)))=MOD(INT('월 가계부'!A209/100),100),DATE(INT('월 가계부'!A209/10000),MOD(INT('월 가계부'!A209/100),100),MOD(INT('월 가계부'!A209),100)),""),""),IF(AND('월 가계부'!A209&gt;=36526,'월 가계부'!A209&lt;73051),INT('월 가계부'!A209),"")),IF(OR(CM209="",CN209="",CO209=""),"",IF(AND(CM209&gt;=2000,CM209&lt;=2099,CN209&gt;=1,CN209&lt;=12,CO209&gt;=1,CO209&lt;=31),IF(MONTH(DATE(CM209,CN209,CO209))=CN209,DATE(CM209,CN209,CO209),""),"")))),"")</f>
        <v/>
      </c>
      <c r="CJ209">
        <f>IFERROR(IF('월 가계부'!C209="","",IF(ISNUMBER('월 가계부'!C209),'월 가계부'!C209,VALUE(SUBSTITUTE(SUBSTITUTE(SUBSTITUTE(SUBSTITUTE(TRIM('월 가계부'!C209),",",""),"원","")," ",""),"−","-")))),"")</f>
        <v/>
      </c>
      <c r="CK209">
        <f>IF(ISNUMBER(CI209),IF(CI209&lt;$B$13,CI209,""),"")</f>
        <v/>
      </c>
      <c r="CM209">
        <f>IF(CH209="","",IFERROR(IF(IF(AND(LEN(CH209)=9,ISERROR(FIND("-",LEFT(CH209,8))),ISNUMBER(-LEFT(CH209,8))),VALUE(LEFT(CH209,4)),VALUE(LEFT(CH209,FIND("-",CH209)-1)))&lt;100,IF(AND(LEN(CH209)=9,ISERROR(FIND("-",LEFT(CH209,8))),ISNUMBER(-LEFT(CH209,8))),VALUE(LEFT(CH209,4)),VALUE(LEFT(CH209,FIND("-",CH209)-1)))+2000,IF(AND(LEN(CH209)=9,ISERROR(FIND("-",LEFT(CH209,8))),ISNUMBER(-LEFT(CH209,8))),VALUE(LEFT(CH209,4)),VALUE(LEFT(CH209,FIND("-",CH209)-1)))),""))</f>
        <v/>
      </c>
      <c r="CN209">
        <f>IF(CH209="","",IFERROR(IF(AND(LEN(CH209)=9,ISERROR(FIND("-",LEFT(CH209,8))),ISNUMBER(-LEFT(CH209,8))),VALUE(MID(CH209,5,2)),VALUE(MID(CH209,FIND("-",CH209)+1,FIND("-",CH209,FIND("-",CH209)+1)-FIND("-",CH209)-1))),""))</f>
        <v/>
      </c>
      <c r="CO209">
        <f>IF(CH209="","",IFERROR(IF(AND(LEN(CH209)=9,ISERROR(FIND("-",LEFT(CH209,8))),ISNUMBER(-LEFT(CH209,8))),VALUE(MID(CH209,7,2)),VALUE(MID(CH209,FIND("-",CH209,FIND("-",CH209)+1)+1,FIND("-",CH209,FIND("-",CH209,FIND("-",CH209)+1)+1)-FIND("-",CH209,FIND("-",CH209)+1)-1))),""))</f>
        <v/>
      </c>
    </row>
    <row r="210">
      <c r="CH210">
        <f>IF(ISTEXT('월 가계부'!A210),SUBSTITUTE(SUBSTITUTE(SUBSTITUTE(SUBSTITUTE(SUBSTITUTE(SUBSTITUTE(SUBSTITUTE(SUBSTITUTE(SUBSTITUTE(TRIM('월 가계부'!A210),"년","-"),"월","-"),"일",""),".","-"),"/","-")," ","-"),"--","-"),"--","-"),"--","-")&amp;"-","")</f>
        <v/>
      </c>
      <c r="CI210">
        <f>IFERROR(IF('월 가계부'!A210="","",IF(ISNUMBER('월 가계부'!A210),IF(AND('월 가계부'!A210&gt;=19000101,'월 가계부'!A210&lt;=21001231),IF(AND(MOD(INT('월 가계부'!A210/100),100)&gt;=1,MOD(INT('월 가계부'!A210/100),100)&lt;=12,MOD(INT('월 가계부'!A210),100)&gt;=1,MOD(INT('월 가계부'!A210),100)&lt;=31),IF(MONTH(DATE(INT('월 가계부'!A210/10000),MOD(INT('월 가계부'!A210/100),100),MOD(INT('월 가계부'!A210),100)))=MOD(INT('월 가계부'!A210/100),100),DATE(INT('월 가계부'!A210/10000),MOD(INT('월 가계부'!A210/100),100),MOD(INT('월 가계부'!A210),100)),""),""),IF(AND('월 가계부'!A210&gt;=36526,'월 가계부'!A210&lt;73051),INT('월 가계부'!A210),"")),IF(OR(CM210="",CN210="",CO210=""),"",IF(AND(CM210&gt;=2000,CM210&lt;=2099,CN210&gt;=1,CN210&lt;=12,CO210&gt;=1,CO210&lt;=31),IF(MONTH(DATE(CM210,CN210,CO210))=CN210,DATE(CM210,CN210,CO210),""),"")))),"")</f>
        <v/>
      </c>
      <c r="CJ210">
        <f>IFERROR(IF('월 가계부'!C210="","",IF(ISNUMBER('월 가계부'!C210),'월 가계부'!C210,VALUE(SUBSTITUTE(SUBSTITUTE(SUBSTITUTE(SUBSTITUTE(TRIM('월 가계부'!C210),",",""),"원","")," ",""),"−","-")))),"")</f>
        <v/>
      </c>
      <c r="CK210">
        <f>IF(ISNUMBER(CI210),IF(CI210&lt;$B$13,CI210,""),"")</f>
        <v/>
      </c>
      <c r="CM210">
        <f>IF(CH210="","",IFERROR(IF(IF(AND(LEN(CH210)=9,ISERROR(FIND("-",LEFT(CH210,8))),ISNUMBER(-LEFT(CH210,8))),VALUE(LEFT(CH210,4)),VALUE(LEFT(CH210,FIND("-",CH210)-1)))&lt;100,IF(AND(LEN(CH210)=9,ISERROR(FIND("-",LEFT(CH210,8))),ISNUMBER(-LEFT(CH210,8))),VALUE(LEFT(CH210,4)),VALUE(LEFT(CH210,FIND("-",CH210)-1)))+2000,IF(AND(LEN(CH210)=9,ISERROR(FIND("-",LEFT(CH210,8))),ISNUMBER(-LEFT(CH210,8))),VALUE(LEFT(CH210,4)),VALUE(LEFT(CH210,FIND("-",CH210)-1)))),""))</f>
        <v/>
      </c>
      <c r="CN210">
        <f>IF(CH210="","",IFERROR(IF(AND(LEN(CH210)=9,ISERROR(FIND("-",LEFT(CH210,8))),ISNUMBER(-LEFT(CH210,8))),VALUE(MID(CH210,5,2)),VALUE(MID(CH210,FIND("-",CH210)+1,FIND("-",CH210,FIND("-",CH210)+1)-FIND("-",CH210)-1))),""))</f>
        <v/>
      </c>
      <c r="CO210">
        <f>IF(CH210="","",IFERROR(IF(AND(LEN(CH210)=9,ISERROR(FIND("-",LEFT(CH210,8))),ISNUMBER(-LEFT(CH210,8))),VALUE(MID(CH210,7,2)),VALUE(MID(CH210,FIND("-",CH210,FIND("-",CH210)+1)+1,FIND("-",CH210,FIND("-",CH210,FIND("-",CH210)+1)+1)-FIND("-",CH210,FIND("-",CH210)+1)-1))),""))</f>
        <v/>
      </c>
    </row>
    <row r="211">
      <c r="CH211">
        <f>IF(ISTEXT('월 가계부'!A211),SUBSTITUTE(SUBSTITUTE(SUBSTITUTE(SUBSTITUTE(SUBSTITUTE(SUBSTITUTE(SUBSTITUTE(SUBSTITUTE(SUBSTITUTE(TRIM('월 가계부'!A211),"년","-"),"월","-"),"일",""),".","-"),"/","-")," ","-"),"--","-"),"--","-"),"--","-")&amp;"-","")</f>
        <v/>
      </c>
      <c r="CI211">
        <f>IFERROR(IF('월 가계부'!A211="","",IF(ISNUMBER('월 가계부'!A211),IF(AND('월 가계부'!A211&gt;=19000101,'월 가계부'!A211&lt;=21001231),IF(AND(MOD(INT('월 가계부'!A211/100),100)&gt;=1,MOD(INT('월 가계부'!A211/100),100)&lt;=12,MOD(INT('월 가계부'!A211),100)&gt;=1,MOD(INT('월 가계부'!A211),100)&lt;=31),IF(MONTH(DATE(INT('월 가계부'!A211/10000),MOD(INT('월 가계부'!A211/100),100),MOD(INT('월 가계부'!A211),100)))=MOD(INT('월 가계부'!A211/100),100),DATE(INT('월 가계부'!A211/10000),MOD(INT('월 가계부'!A211/100),100),MOD(INT('월 가계부'!A211),100)),""),""),IF(AND('월 가계부'!A211&gt;=36526,'월 가계부'!A211&lt;73051),INT('월 가계부'!A211),"")),IF(OR(CM211="",CN211="",CO211=""),"",IF(AND(CM211&gt;=2000,CM211&lt;=2099,CN211&gt;=1,CN211&lt;=12,CO211&gt;=1,CO211&lt;=31),IF(MONTH(DATE(CM211,CN211,CO211))=CN211,DATE(CM211,CN211,CO211),""),"")))),"")</f>
        <v/>
      </c>
      <c r="CJ211">
        <f>IFERROR(IF('월 가계부'!C211="","",IF(ISNUMBER('월 가계부'!C211),'월 가계부'!C211,VALUE(SUBSTITUTE(SUBSTITUTE(SUBSTITUTE(SUBSTITUTE(TRIM('월 가계부'!C211),",",""),"원","")," ",""),"−","-")))),"")</f>
        <v/>
      </c>
      <c r="CK211">
        <f>IF(ISNUMBER(CI211),IF(CI211&lt;$B$13,CI211,""),"")</f>
        <v/>
      </c>
      <c r="CM211">
        <f>IF(CH211="","",IFERROR(IF(IF(AND(LEN(CH211)=9,ISERROR(FIND("-",LEFT(CH211,8))),ISNUMBER(-LEFT(CH211,8))),VALUE(LEFT(CH211,4)),VALUE(LEFT(CH211,FIND("-",CH211)-1)))&lt;100,IF(AND(LEN(CH211)=9,ISERROR(FIND("-",LEFT(CH211,8))),ISNUMBER(-LEFT(CH211,8))),VALUE(LEFT(CH211,4)),VALUE(LEFT(CH211,FIND("-",CH211)-1)))+2000,IF(AND(LEN(CH211)=9,ISERROR(FIND("-",LEFT(CH211,8))),ISNUMBER(-LEFT(CH211,8))),VALUE(LEFT(CH211,4)),VALUE(LEFT(CH211,FIND("-",CH211)-1)))),""))</f>
        <v/>
      </c>
      <c r="CN211">
        <f>IF(CH211="","",IFERROR(IF(AND(LEN(CH211)=9,ISERROR(FIND("-",LEFT(CH211,8))),ISNUMBER(-LEFT(CH211,8))),VALUE(MID(CH211,5,2)),VALUE(MID(CH211,FIND("-",CH211)+1,FIND("-",CH211,FIND("-",CH211)+1)-FIND("-",CH211)-1))),""))</f>
        <v/>
      </c>
      <c r="CO211">
        <f>IF(CH211="","",IFERROR(IF(AND(LEN(CH211)=9,ISERROR(FIND("-",LEFT(CH211,8))),ISNUMBER(-LEFT(CH211,8))),VALUE(MID(CH211,7,2)),VALUE(MID(CH211,FIND("-",CH211,FIND("-",CH211)+1)+1,FIND("-",CH211,FIND("-",CH211,FIND("-",CH211)+1)+1)-FIND("-",CH211,FIND("-",CH211)+1)-1))),""))</f>
        <v/>
      </c>
    </row>
    <row r="212">
      <c r="CH212">
        <f>IF(ISTEXT('월 가계부'!A212),SUBSTITUTE(SUBSTITUTE(SUBSTITUTE(SUBSTITUTE(SUBSTITUTE(SUBSTITUTE(SUBSTITUTE(SUBSTITUTE(SUBSTITUTE(TRIM('월 가계부'!A212),"년","-"),"월","-"),"일",""),".","-"),"/","-")," ","-"),"--","-"),"--","-"),"--","-")&amp;"-","")</f>
        <v/>
      </c>
      <c r="CI212">
        <f>IFERROR(IF('월 가계부'!A212="","",IF(ISNUMBER('월 가계부'!A212),IF(AND('월 가계부'!A212&gt;=19000101,'월 가계부'!A212&lt;=21001231),IF(AND(MOD(INT('월 가계부'!A212/100),100)&gt;=1,MOD(INT('월 가계부'!A212/100),100)&lt;=12,MOD(INT('월 가계부'!A212),100)&gt;=1,MOD(INT('월 가계부'!A212),100)&lt;=31),IF(MONTH(DATE(INT('월 가계부'!A212/10000),MOD(INT('월 가계부'!A212/100),100),MOD(INT('월 가계부'!A212),100)))=MOD(INT('월 가계부'!A212/100),100),DATE(INT('월 가계부'!A212/10000),MOD(INT('월 가계부'!A212/100),100),MOD(INT('월 가계부'!A212),100)),""),""),IF(AND('월 가계부'!A212&gt;=36526,'월 가계부'!A212&lt;73051),INT('월 가계부'!A212),"")),IF(OR(CM212="",CN212="",CO212=""),"",IF(AND(CM212&gt;=2000,CM212&lt;=2099,CN212&gt;=1,CN212&lt;=12,CO212&gt;=1,CO212&lt;=31),IF(MONTH(DATE(CM212,CN212,CO212))=CN212,DATE(CM212,CN212,CO212),""),"")))),"")</f>
        <v/>
      </c>
      <c r="CJ212">
        <f>IFERROR(IF('월 가계부'!C212="","",IF(ISNUMBER('월 가계부'!C212),'월 가계부'!C212,VALUE(SUBSTITUTE(SUBSTITUTE(SUBSTITUTE(SUBSTITUTE(TRIM('월 가계부'!C212),",",""),"원","")," ",""),"−","-")))),"")</f>
        <v/>
      </c>
      <c r="CK212">
        <f>IF(ISNUMBER(CI212),IF(CI212&lt;$B$13,CI212,""),"")</f>
        <v/>
      </c>
      <c r="CM212">
        <f>IF(CH212="","",IFERROR(IF(IF(AND(LEN(CH212)=9,ISERROR(FIND("-",LEFT(CH212,8))),ISNUMBER(-LEFT(CH212,8))),VALUE(LEFT(CH212,4)),VALUE(LEFT(CH212,FIND("-",CH212)-1)))&lt;100,IF(AND(LEN(CH212)=9,ISERROR(FIND("-",LEFT(CH212,8))),ISNUMBER(-LEFT(CH212,8))),VALUE(LEFT(CH212,4)),VALUE(LEFT(CH212,FIND("-",CH212)-1)))+2000,IF(AND(LEN(CH212)=9,ISERROR(FIND("-",LEFT(CH212,8))),ISNUMBER(-LEFT(CH212,8))),VALUE(LEFT(CH212,4)),VALUE(LEFT(CH212,FIND("-",CH212)-1)))),""))</f>
        <v/>
      </c>
      <c r="CN212">
        <f>IF(CH212="","",IFERROR(IF(AND(LEN(CH212)=9,ISERROR(FIND("-",LEFT(CH212,8))),ISNUMBER(-LEFT(CH212,8))),VALUE(MID(CH212,5,2)),VALUE(MID(CH212,FIND("-",CH212)+1,FIND("-",CH212,FIND("-",CH212)+1)-FIND("-",CH212)-1))),""))</f>
        <v/>
      </c>
      <c r="CO212">
        <f>IF(CH212="","",IFERROR(IF(AND(LEN(CH212)=9,ISERROR(FIND("-",LEFT(CH212,8))),ISNUMBER(-LEFT(CH212,8))),VALUE(MID(CH212,7,2)),VALUE(MID(CH212,FIND("-",CH212,FIND("-",CH212)+1)+1,FIND("-",CH212,FIND("-",CH212,FIND("-",CH212)+1)+1)-FIND("-",CH212,FIND("-",CH212)+1)-1))),""))</f>
        <v/>
      </c>
    </row>
    <row r="213">
      <c r="CH213">
        <f>IF(ISTEXT('월 가계부'!A213),SUBSTITUTE(SUBSTITUTE(SUBSTITUTE(SUBSTITUTE(SUBSTITUTE(SUBSTITUTE(SUBSTITUTE(SUBSTITUTE(SUBSTITUTE(TRIM('월 가계부'!A213),"년","-"),"월","-"),"일",""),".","-"),"/","-")," ","-"),"--","-"),"--","-"),"--","-")&amp;"-","")</f>
        <v/>
      </c>
      <c r="CI213">
        <f>IFERROR(IF('월 가계부'!A213="","",IF(ISNUMBER('월 가계부'!A213),IF(AND('월 가계부'!A213&gt;=19000101,'월 가계부'!A213&lt;=21001231),IF(AND(MOD(INT('월 가계부'!A213/100),100)&gt;=1,MOD(INT('월 가계부'!A213/100),100)&lt;=12,MOD(INT('월 가계부'!A213),100)&gt;=1,MOD(INT('월 가계부'!A213),100)&lt;=31),IF(MONTH(DATE(INT('월 가계부'!A213/10000),MOD(INT('월 가계부'!A213/100),100),MOD(INT('월 가계부'!A213),100)))=MOD(INT('월 가계부'!A213/100),100),DATE(INT('월 가계부'!A213/10000),MOD(INT('월 가계부'!A213/100),100),MOD(INT('월 가계부'!A213),100)),""),""),IF(AND('월 가계부'!A213&gt;=36526,'월 가계부'!A213&lt;73051),INT('월 가계부'!A213),"")),IF(OR(CM213="",CN213="",CO213=""),"",IF(AND(CM213&gt;=2000,CM213&lt;=2099,CN213&gt;=1,CN213&lt;=12,CO213&gt;=1,CO213&lt;=31),IF(MONTH(DATE(CM213,CN213,CO213))=CN213,DATE(CM213,CN213,CO213),""),"")))),"")</f>
        <v/>
      </c>
      <c r="CJ213">
        <f>IFERROR(IF('월 가계부'!C213="","",IF(ISNUMBER('월 가계부'!C213),'월 가계부'!C213,VALUE(SUBSTITUTE(SUBSTITUTE(SUBSTITUTE(SUBSTITUTE(TRIM('월 가계부'!C213),",",""),"원","")," ",""),"−","-")))),"")</f>
        <v/>
      </c>
      <c r="CK213">
        <f>IF(ISNUMBER(CI213),IF(CI213&lt;$B$13,CI213,""),"")</f>
        <v/>
      </c>
      <c r="CM213">
        <f>IF(CH213="","",IFERROR(IF(IF(AND(LEN(CH213)=9,ISERROR(FIND("-",LEFT(CH213,8))),ISNUMBER(-LEFT(CH213,8))),VALUE(LEFT(CH213,4)),VALUE(LEFT(CH213,FIND("-",CH213)-1)))&lt;100,IF(AND(LEN(CH213)=9,ISERROR(FIND("-",LEFT(CH213,8))),ISNUMBER(-LEFT(CH213,8))),VALUE(LEFT(CH213,4)),VALUE(LEFT(CH213,FIND("-",CH213)-1)))+2000,IF(AND(LEN(CH213)=9,ISERROR(FIND("-",LEFT(CH213,8))),ISNUMBER(-LEFT(CH213,8))),VALUE(LEFT(CH213,4)),VALUE(LEFT(CH213,FIND("-",CH213)-1)))),""))</f>
        <v/>
      </c>
      <c r="CN213">
        <f>IF(CH213="","",IFERROR(IF(AND(LEN(CH213)=9,ISERROR(FIND("-",LEFT(CH213,8))),ISNUMBER(-LEFT(CH213,8))),VALUE(MID(CH213,5,2)),VALUE(MID(CH213,FIND("-",CH213)+1,FIND("-",CH213,FIND("-",CH213)+1)-FIND("-",CH213)-1))),""))</f>
        <v/>
      </c>
      <c r="CO213">
        <f>IF(CH213="","",IFERROR(IF(AND(LEN(CH213)=9,ISERROR(FIND("-",LEFT(CH213,8))),ISNUMBER(-LEFT(CH213,8))),VALUE(MID(CH213,7,2)),VALUE(MID(CH213,FIND("-",CH213,FIND("-",CH213)+1)+1,FIND("-",CH213,FIND("-",CH213,FIND("-",CH213)+1)+1)-FIND("-",CH213,FIND("-",CH213)+1)-1))),""))</f>
        <v/>
      </c>
    </row>
    <row r="214">
      <c r="CH214">
        <f>IF(ISTEXT('월 가계부'!A214),SUBSTITUTE(SUBSTITUTE(SUBSTITUTE(SUBSTITUTE(SUBSTITUTE(SUBSTITUTE(SUBSTITUTE(SUBSTITUTE(SUBSTITUTE(TRIM('월 가계부'!A214),"년","-"),"월","-"),"일",""),".","-"),"/","-")," ","-"),"--","-"),"--","-"),"--","-")&amp;"-","")</f>
        <v/>
      </c>
      <c r="CI214">
        <f>IFERROR(IF('월 가계부'!A214="","",IF(ISNUMBER('월 가계부'!A214),IF(AND('월 가계부'!A214&gt;=19000101,'월 가계부'!A214&lt;=21001231),IF(AND(MOD(INT('월 가계부'!A214/100),100)&gt;=1,MOD(INT('월 가계부'!A214/100),100)&lt;=12,MOD(INT('월 가계부'!A214),100)&gt;=1,MOD(INT('월 가계부'!A214),100)&lt;=31),IF(MONTH(DATE(INT('월 가계부'!A214/10000),MOD(INT('월 가계부'!A214/100),100),MOD(INT('월 가계부'!A214),100)))=MOD(INT('월 가계부'!A214/100),100),DATE(INT('월 가계부'!A214/10000),MOD(INT('월 가계부'!A214/100),100),MOD(INT('월 가계부'!A214),100)),""),""),IF(AND('월 가계부'!A214&gt;=36526,'월 가계부'!A214&lt;73051),INT('월 가계부'!A214),"")),IF(OR(CM214="",CN214="",CO214=""),"",IF(AND(CM214&gt;=2000,CM214&lt;=2099,CN214&gt;=1,CN214&lt;=12,CO214&gt;=1,CO214&lt;=31),IF(MONTH(DATE(CM214,CN214,CO214))=CN214,DATE(CM214,CN214,CO214),""),"")))),"")</f>
        <v/>
      </c>
      <c r="CJ214">
        <f>IFERROR(IF('월 가계부'!C214="","",IF(ISNUMBER('월 가계부'!C214),'월 가계부'!C214,VALUE(SUBSTITUTE(SUBSTITUTE(SUBSTITUTE(SUBSTITUTE(TRIM('월 가계부'!C214),",",""),"원","")," ",""),"−","-")))),"")</f>
        <v/>
      </c>
      <c r="CK214">
        <f>IF(ISNUMBER(CI214),IF(CI214&lt;$B$13,CI214,""),"")</f>
        <v/>
      </c>
      <c r="CM214">
        <f>IF(CH214="","",IFERROR(IF(IF(AND(LEN(CH214)=9,ISERROR(FIND("-",LEFT(CH214,8))),ISNUMBER(-LEFT(CH214,8))),VALUE(LEFT(CH214,4)),VALUE(LEFT(CH214,FIND("-",CH214)-1)))&lt;100,IF(AND(LEN(CH214)=9,ISERROR(FIND("-",LEFT(CH214,8))),ISNUMBER(-LEFT(CH214,8))),VALUE(LEFT(CH214,4)),VALUE(LEFT(CH214,FIND("-",CH214)-1)))+2000,IF(AND(LEN(CH214)=9,ISERROR(FIND("-",LEFT(CH214,8))),ISNUMBER(-LEFT(CH214,8))),VALUE(LEFT(CH214,4)),VALUE(LEFT(CH214,FIND("-",CH214)-1)))),""))</f>
        <v/>
      </c>
      <c r="CN214">
        <f>IF(CH214="","",IFERROR(IF(AND(LEN(CH214)=9,ISERROR(FIND("-",LEFT(CH214,8))),ISNUMBER(-LEFT(CH214,8))),VALUE(MID(CH214,5,2)),VALUE(MID(CH214,FIND("-",CH214)+1,FIND("-",CH214,FIND("-",CH214)+1)-FIND("-",CH214)-1))),""))</f>
        <v/>
      </c>
      <c r="CO214">
        <f>IF(CH214="","",IFERROR(IF(AND(LEN(CH214)=9,ISERROR(FIND("-",LEFT(CH214,8))),ISNUMBER(-LEFT(CH214,8))),VALUE(MID(CH214,7,2)),VALUE(MID(CH214,FIND("-",CH214,FIND("-",CH214)+1)+1,FIND("-",CH214,FIND("-",CH214,FIND("-",CH214)+1)+1)-FIND("-",CH214,FIND("-",CH214)+1)-1))),""))</f>
        <v/>
      </c>
    </row>
    <row r="215">
      <c r="CH215">
        <f>IF(ISTEXT('월 가계부'!A215),SUBSTITUTE(SUBSTITUTE(SUBSTITUTE(SUBSTITUTE(SUBSTITUTE(SUBSTITUTE(SUBSTITUTE(SUBSTITUTE(SUBSTITUTE(TRIM('월 가계부'!A215),"년","-"),"월","-"),"일",""),".","-"),"/","-")," ","-"),"--","-"),"--","-"),"--","-")&amp;"-","")</f>
        <v/>
      </c>
      <c r="CI215">
        <f>IFERROR(IF('월 가계부'!A215="","",IF(ISNUMBER('월 가계부'!A215),IF(AND('월 가계부'!A215&gt;=19000101,'월 가계부'!A215&lt;=21001231),IF(AND(MOD(INT('월 가계부'!A215/100),100)&gt;=1,MOD(INT('월 가계부'!A215/100),100)&lt;=12,MOD(INT('월 가계부'!A215),100)&gt;=1,MOD(INT('월 가계부'!A215),100)&lt;=31),IF(MONTH(DATE(INT('월 가계부'!A215/10000),MOD(INT('월 가계부'!A215/100),100),MOD(INT('월 가계부'!A215),100)))=MOD(INT('월 가계부'!A215/100),100),DATE(INT('월 가계부'!A215/10000),MOD(INT('월 가계부'!A215/100),100),MOD(INT('월 가계부'!A215),100)),""),""),IF(AND('월 가계부'!A215&gt;=36526,'월 가계부'!A215&lt;73051),INT('월 가계부'!A215),"")),IF(OR(CM215="",CN215="",CO215=""),"",IF(AND(CM215&gt;=2000,CM215&lt;=2099,CN215&gt;=1,CN215&lt;=12,CO215&gt;=1,CO215&lt;=31),IF(MONTH(DATE(CM215,CN215,CO215))=CN215,DATE(CM215,CN215,CO215),""),"")))),"")</f>
        <v/>
      </c>
      <c r="CJ215">
        <f>IFERROR(IF('월 가계부'!C215="","",IF(ISNUMBER('월 가계부'!C215),'월 가계부'!C215,VALUE(SUBSTITUTE(SUBSTITUTE(SUBSTITUTE(SUBSTITUTE(TRIM('월 가계부'!C215),",",""),"원","")," ",""),"−","-")))),"")</f>
        <v/>
      </c>
      <c r="CK215">
        <f>IF(ISNUMBER(CI215),IF(CI215&lt;$B$13,CI215,""),"")</f>
        <v/>
      </c>
      <c r="CM215">
        <f>IF(CH215="","",IFERROR(IF(IF(AND(LEN(CH215)=9,ISERROR(FIND("-",LEFT(CH215,8))),ISNUMBER(-LEFT(CH215,8))),VALUE(LEFT(CH215,4)),VALUE(LEFT(CH215,FIND("-",CH215)-1)))&lt;100,IF(AND(LEN(CH215)=9,ISERROR(FIND("-",LEFT(CH215,8))),ISNUMBER(-LEFT(CH215,8))),VALUE(LEFT(CH215,4)),VALUE(LEFT(CH215,FIND("-",CH215)-1)))+2000,IF(AND(LEN(CH215)=9,ISERROR(FIND("-",LEFT(CH215,8))),ISNUMBER(-LEFT(CH215,8))),VALUE(LEFT(CH215,4)),VALUE(LEFT(CH215,FIND("-",CH215)-1)))),""))</f>
        <v/>
      </c>
      <c r="CN215">
        <f>IF(CH215="","",IFERROR(IF(AND(LEN(CH215)=9,ISERROR(FIND("-",LEFT(CH215,8))),ISNUMBER(-LEFT(CH215,8))),VALUE(MID(CH215,5,2)),VALUE(MID(CH215,FIND("-",CH215)+1,FIND("-",CH215,FIND("-",CH215)+1)-FIND("-",CH215)-1))),""))</f>
        <v/>
      </c>
      <c r="CO215">
        <f>IF(CH215="","",IFERROR(IF(AND(LEN(CH215)=9,ISERROR(FIND("-",LEFT(CH215,8))),ISNUMBER(-LEFT(CH215,8))),VALUE(MID(CH215,7,2)),VALUE(MID(CH215,FIND("-",CH215,FIND("-",CH215)+1)+1,FIND("-",CH215,FIND("-",CH215,FIND("-",CH215)+1)+1)-FIND("-",CH215,FIND("-",CH215)+1)-1))),""))</f>
        <v/>
      </c>
    </row>
    <row r="216">
      <c r="CH216">
        <f>IF(ISTEXT('월 가계부'!A216),SUBSTITUTE(SUBSTITUTE(SUBSTITUTE(SUBSTITUTE(SUBSTITUTE(SUBSTITUTE(SUBSTITUTE(SUBSTITUTE(SUBSTITUTE(TRIM('월 가계부'!A216),"년","-"),"월","-"),"일",""),".","-"),"/","-")," ","-"),"--","-"),"--","-"),"--","-")&amp;"-","")</f>
        <v/>
      </c>
      <c r="CI216">
        <f>IFERROR(IF('월 가계부'!A216="","",IF(ISNUMBER('월 가계부'!A216),IF(AND('월 가계부'!A216&gt;=19000101,'월 가계부'!A216&lt;=21001231),IF(AND(MOD(INT('월 가계부'!A216/100),100)&gt;=1,MOD(INT('월 가계부'!A216/100),100)&lt;=12,MOD(INT('월 가계부'!A216),100)&gt;=1,MOD(INT('월 가계부'!A216),100)&lt;=31),IF(MONTH(DATE(INT('월 가계부'!A216/10000),MOD(INT('월 가계부'!A216/100),100),MOD(INT('월 가계부'!A216),100)))=MOD(INT('월 가계부'!A216/100),100),DATE(INT('월 가계부'!A216/10000),MOD(INT('월 가계부'!A216/100),100),MOD(INT('월 가계부'!A216),100)),""),""),IF(AND('월 가계부'!A216&gt;=36526,'월 가계부'!A216&lt;73051),INT('월 가계부'!A216),"")),IF(OR(CM216="",CN216="",CO216=""),"",IF(AND(CM216&gt;=2000,CM216&lt;=2099,CN216&gt;=1,CN216&lt;=12,CO216&gt;=1,CO216&lt;=31),IF(MONTH(DATE(CM216,CN216,CO216))=CN216,DATE(CM216,CN216,CO216),""),"")))),"")</f>
        <v/>
      </c>
      <c r="CJ216">
        <f>IFERROR(IF('월 가계부'!C216="","",IF(ISNUMBER('월 가계부'!C216),'월 가계부'!C216,VALUE(SUBSTITUTE(SUBSTITUTE(SUBSTITUTE(SUBSTITUTE(TRIM('월 가계부'!C216),",",""),"원","")," ",""),"−","-")))),"")</f>
        <v/>
      </c>
      <c r="CK216">
        <f>IF(ISNUMBER(CI216),IF(CI216&lt;$B$13,CI216,""),"")</f>
        <v/>
      </c>
      <c r="CM216">
        <f>IF(CH216="","",IFERROR(IF(IF(AND(LEN(CH216)=9,ISERROR(FIND("-",LEFT(CH216,8))),ISNUMBER(-LEFT(CH216,8))),VALUE(LEFT(CH216,4)),VALUE(LEFT(CH216,FIND("-",CH216)-1)))&lt;100,IF(AND(LEN(CH216)=9,ISERROR(FIND("-",LEFT(CH216,8))),ISNUMBER(-LEFT(CH216,8))),VALUE(LEFT(CH216,4)),VALUE(LEFT(CH216,FIND("-",CH216)-1)))+2000,IF(AND(LEN(CH216)=9,ISERROR(FIND("-",LEFT(CH216,8))),ISNUMBER(-LEFT(CH216,8))),VALUE(LEFT(CH216,4)),VALUE(LEFT(CH216,FIND("-",CH216)-1)))),""))</f>
        <v/>
      </c>
      <c r="CN216">
        <f>IF(CH216="","",IFERROR(IF(AND(LEN(CH216)=9,ISERROR(FIND("-",LEFT(CH216,8))),ISNUMBER(-LEFT(CH216,8))),VALUE(MID(CH216,5,2)),VALUE(MID(CH216,FIND("-",CH216)+1,FIND("-",CH216,FIND("-",CH216)+1)-FIND("-",CH216)-1))),""))</f>
        <v/>
      </c>
      <c r="CO216">
        <f>IF(CH216="","",IFERROR(IF(AND(LEN(CH216)=9,ISERROR(FIND("-",LEFT(CH216,8))),ISNUMBER(-LEFT(CH216,8))),VALUE(MID(CH216,7,2)),VALUE(MID(CH216,FIND("-",CH216,FIND("-",CH216)+1)+1,FIND("-",CH216,FIND("-",CH216,FIND("-",CH216)+1)+1)-FIND("-",CH216,FIND("-",CH216)+1)-1))),""))</f>
        <v/>
      </c>
    </row>
    <row r="217">
      <c r="CH217">
        <f>IF(ISTEXT('월 가계부'!A217),SUBSTITUTE(SUBSTITUTE(SUBSTITUTE(SUBSTITUTE(SUBSTITUTE(SUBSTITUTE(SUBSTITUTE(SUBSTITUTE(SUBSTITUTE(TRIM('월 가계부'!A217),"년","-"),"월","-"),"일",""),".","-"),"/","-")," ","-"),"--","-"),"--","-"),"--","-")&amp;"-","")</f>
        <v/>
      </c>
      <c r="CI217">
        <f>IFERROR(IF('월 가계부'!A217="","",IF(ISNUMBER('월 가계부'!A217),IF(AND('월 가계부'!A217&gt;=19000101,'월 가계부'!A217&lt;=21001231),IF(AND(MOD(INT('월 가계부'!A217/100),100)&gt;=1,MOD(INT('월 가계부'!A217/100),100)&lt;=12,MOD(INT('월 가계부'!A217),100)&gt;=1,MOD(INT('월 가계부'!A217),100)&lt;=31),IF(MONTH(DATE(INT('월 가계부'!A217/10000),MOD(INT('월 가계부'!A217/100),100),MOD(INT('월 가계부'!A217),100)))=MOD(INT('월 가계부'!A217/100),100),DATE(INT('월 가계부'!A217/10000),MOD(INT('월 가계부'!A217/100),100),MOD(INT('월 가계부'!A217),100)),""),""),IF(AND('월 가계부'!A217&gt;=36526,'월 가계부'!A217&lt;73051),INT('월 가계부'!A217),"")),IF(OR(CM217="",CN217="",CO217=""),"",IF(AND(CM217&gt;=2000,CM217&lt;=2099,CN217&gt;=1,CN217&lt;=12,CO217&gt;=1,CO217&lt;=31),IF(MONTH(DATE(CM217,CN217,CO217))=CN217,DATE(CM217,CN217,CO217),""),"")))),"")</f>
        <v/>
      </c>
      <c r="CJ217">
        <f>IFERROR(IF('월 가계부'!C217="","",IF(ISNUMBER('월 가계부'!C217),'월 가계부'!C217,VALUE(SUBSTITUTE(SUBSTITUTE(SUBSTITUTE(SUBSTITUTE(TRIM('월 가계부'!C217),",",""),"원","")," ",""),"−","-")))),"")</f>
        <v/>
      </c>
      <c r="CK217">
        <f>IF(ISNUMBER(CI217),IF(CI217&lt;$B$13,CI217,""),"")</f>
        <v/>
      </c>
      <c r="CM217">
        <f>IF(CH217="","",IFERROR(IF(IF(AND(LEN(CH217)=9,ISERROR(FIND("-",LEFT(CH217,8))),ISNUMBER(-LEFT(CH217,8))),VALUE(LEFT(CH217,4)),VALUE(LEFT(CH217,FIND("-",CH217)-1)))&lt;100,IF(AND(LEN(CH217)=9,ISERROR(FIND("-",LEFT(CH217,8))),ISNUMBER(-LEFT(CH217,8))),VALUE(LEFT(CH217,4)),VALUE(LEFT(CH217,FIND("-",CH217)-1)))+2000,IF(AND(LEN(CH217)=9,ISERROR(FIND("-",LEFT(CH217,8))),ISNUMBER(-LEFT(CH217,8))),VALUE(LEFT(CH217,4)),VALUE(LEFT(CH217,FIND("-",CH217)-1)))),""))</f>
        <v/>
      </c>
      <c r="CN217">
        <f>IF(CH217="","",IFERROR(IF(AND(LEN(CH217)=9,ISERROR(FIND("-",LEFT(CH217,8))),ISNUMBER(-LEFT(CH217,8))),VALUE(MID(CH217,5,2)),VALUE(MID(CH217,FIND("-",CH217)+1,FIND("-",CH217,FIND("-",CH217)+1)-FIND("-",CH217)-1))),""))</f>
        <v/>
      </c>
      <c r="CO217">
        <f>IF(CH217="","",IFERROR(IF(AND(LEN(CH217)=9,ISERROR(FIND("-",LEFT(CH217,8))),ISNUMBER(-LEFT(CH217,8))),VALUE(MID(CH217,7,2)),VALUE(MID(CH217,FIND("-",CH217,FIND("-",CH217)+1)+1,FIND("-",CH217,FIND("-",CH217,FIND("-",CH217)+1)+1)-FIND("-",CH217,FIND("-",CH217)+1)-1))),""))</f>
        <v/>
      </c>
    </row>
    <row r="218">
      <c r="CH218">
        <f>IF(ISTEXT('월 가계부'!A218),SUBSTITUTE(SUBSTITUTE(SUBSTITUTE(SUBSTITUTE(SUBSTITUTE(SUBSTITUTE(SUBSTITUTE(SUBSTITUTE(SUBSTITUTE(TRIM('월 가계부'!A218),"년","-"),"월","-"),"일",""),".","-"),"/","-")," ","-"),"--","-"),"--","-"),"--","-")&amp;"-","")</f>
        <v/>
      </c>
      <c r="CI218">
        <f>IFERROR(IF('월 가계부'!A218="","",IF(ISNUMBER('월 가계부'!A218),IF(AND('월 가계부'!A218&gt;=19000101,'월 가계부'!A218&lt;=21001231),IF(AND(MOD(INT('월 가계부'!A218/100),100)&gt;=1,MOD(INT('월 가계부'!A218/100),100)&lt;=12,MOD(INT('월 가계부'!A218),100)&gt;=1,MOD(INT('월 가계부'!A218),100)&lt;=31),IF(MONTH(DATE(INT('월 가계부'!A218/10000),MOD(INT('월 가계부'!A218/100),100),MOD(INT('월 가계부'!A218),100)))=MOD(INT('월 가계부'!A218/100),100),DATE(INT('월 가계부'!A218/10000),MOD(INT('월 가계부'!A218/100),100),MOD(INT('월 가계부'!A218),100)),""),""),IF(AND('월 가계부'!A218&gt;=36526,'월 가계부'!A218&lt;73051),INT('월 가계부'!A218),"")),IF(OR(CM218="",CN218="",CO218=""),"",IF(AND(CM218&gt;=2000,CM218&lt;=2099,CN218&gt;=1,CN218&lt;=12,CO218&gt;=1,CO218&lt;=31),IF(MONTH(DATE(CM218,CN218,CO218))=CN218,DATE(CM218,CN218,CO218),""),"")))),"")</f>
        <v/>
      </c>
      <c r="CJ218">
        <f>IFERROR(IF('월 가계부'!C218="","",IF(ISNUMBER('월 가계부'!C218),'월 가계부'!C218,VALUE(SUBSTITUTE(SUBSTITUTE(SUBSTITUTE(SUBSTITUTE(TRIM('월 가계부'!C218),",",""),"원","")," ",""),"−","-")))),"")</f>
        <v/>
      </c>
      <c r="CK218">
        <f>IF(ISNUMBER(CI218),IF(CI218&lt;$B$13,CI218,""),"")</f>
        <v/>
      </c>
      <c r="CM218">
        <f>IF(CH218="","",IFERROR(IF(IF(AND(LEN(CH218)=9,ISERROR(FIND("-",LEFT(CH218,8))),ISNUMBER(-LEFT(CH218,8))),VALUE(LEFT(CH218,4)),VALUE(LEFT(CH218,FIND("-",CH218)-1)))&lt;100,IF(AND(LEN(CH218)=9,ISERROR(FIND("-",LEFT(CH218,8))),ISNUMBER(-LEFT(CH218,8))),VALUE(LEFT(CH218,4)),VALUE(LEFT(CH218,FIND("-",CH218)-1)))+2000,IF(AND(LEN(CH218)=9,ISERROR(FIND("-",LEFT(CH218,8))),ISNUMBER(-LEFT(CH218,8))),VALUE(LEFT(CH218,4)),VALUE(LEFT(CH218,FIND("-",CH218)-1)))),""))</f>
        <v/>
      </c>
      <c r="CN218">
        <f>IF(CH218="","",IFERROR(IF(AND(LEN(CH218)=9,ISERROR(FIND("-",LEFT(CH218,8))),ISNUMBER(-LEFT(CH218,8))),VALUE(MID(CH218,5,2)),VALUE(MID(CH218,FIND("-",CH218)+1,FIND("-",CH218,FIND("-",CH218)+1)-FIND("-",CH218)-1))),""))</f>
        <v/>
      </c>
      <c r="CO218">
        <f>IF(CH218="","",IFERROR(IF(AND(LEN(CH218)=9,ISERROR(FIND("-",LEFT(CH218,8))),ISNUMBER(-LEFT(CH218,8))),VALUE(MID(CH218,7,2)),VALUE(MID(CH218,FIND("-",CH218,FIND("-",CH218)+1)+1,FIND("-",CH218,FIND("-",CH218,FIND("-",CH218)+1)+1)-FIND("-",CH218,FIND("-",CH218)+1)-1))),""))</f>
        <v/>
      </c>
    </row>
    <row r="219">
      <c r="CH219">
        <f>IF(ISTEXT('월 가계부'!A219),SUBSTITUTE(SUBSTITUTE(SUBSTITUTE(SUBSTITUTE(SUBSTITUTE(SUBSTITUTE(SUBSTITUTE(SUBSTITUTE(SUBSTITUTE(TRIM('월 가계부'!A219),"년","-"),"월","-"),"일",""),".","-"),"/","-")," ","-"),"--","-"),"--","-"),"--","-")&amp;"-","")</f>
        <v/>
      </c>
      <c r="CI219">
        <f>IFERROR(IF('월 가계부'!A219="","",IF(ISNUMBER('월 가계부'!A219),IF(AND('월 가계부'!A219&gt;=19000101,'월 가계부'!A219&lt;=21001231),IF(AND(MOD(INT('월 가계부'!A219/100),100)&gt;=1,MOD(INT('월 가계부'!A219/100),100)&lt;=12,MOD(INT('월 가계부'!A219),100)&gt;=1,MOD(INT('월 가계부'!A219),100)&lt;=31),IF(MONTH(DATE(INT('월 가계부'!A219/10000),MOD(INT('월 가계부'!A219/100),100),MOD(INT('월 가계부'!A219),100)))=MOD(INT('월 가계부'!A219/100),100),DATE(INT('월 가계부'!A219/10000),MOD(INT('월 가계부'!A219/100),100),MOD(INT('월 가계부'!A219),100)),""),""),IF(AND('월 가계부'!A219&gt;=36526,'월 가계부'!A219&lt;73051),INT('월 가계부'!A219),"")),IF(OR(CM219="",CN219="",CO219=""),"",IF(AND(CM219&gt;=2000,CM219&lt;=2099,CN219&gt;=1,CN219&lt;=12,CO219&gt;=1,CO219&lt;=31),IF(MONTH(DATE(CM219,CN219,CO219))=CN219,DATE(CM219,CN219,CO219),""),"")))),"")</f>
        <v/>
      </c>
      <c r="CJ219">
        <f>IFERROR(IF('월 가계부'!C219="","",IF(ISNUMBER('월 가계부'!C219),'월 가계부'!C219,VALUE(SUBSTITUTE(SUBSTITUTE(SUBSTITUTE(SUBSTITUTE(TRIM('월 가계부'!C219),",",""),"원","")," ",""),"−","-")))),"")</f>
        <v/>
      </c>
      <c r="CK219">
        <f>IF(ISNUMBER(CI219),IF(CI219&lt;$B$13,CI219,""),"")</f>
        <v/>
      </c>
      <c r="CM219">
        <f>IF(CH219="","",IFERROR(IF(IF(AND(LEN(CH219)=9,ISERROR(FIND("-",LEFT(CH219,8))),ISNUMBER(-LEFT(CH219,8))),VALUE(LEFT(CH219,4)),VALUE(LEFT(CH219,FIND("-",CH219)-1)))&lt;100,IF(AND(LEN(CH219)=9,ISERROR(FIND("-",LEFT(CH219,8))),ISNUMBER(-LEFT(CH219,8))),VALUE(LEFT(CH219,4)),VALUE(LEFT(CH219,FIND("-",CH219)-1)))+2000,IF(AND(LEN(CH219)=9,ISERROR(FIND("-",LEFT(CH219,8))),ISNUMBER(-LEFT(CH219,8))),VALUE(LEFT(CH219,4)),VALUE(LEFT(CH219,FIND("-",CH219)-1)))),""))</f>
        <v/>
      </c>
      <c r="CN219">
        <f>IF(CH219="","",IFERROR(IF(AND(LEN(CH219)=9,ISERROR(FIND("-",LEFT(CH219,8))),ISNUMBER(-LEFT(CH219,8))),VALUE(MID(CH219,5,2)),VALUE(MID(CH219,FIND("-",CH219)+1,FIND("-",CH219,FIND("-",CH219)+1)-FIND("-",CH219)-1))),""))</f>
        <v/>
      </c>
      <c r="CO219">
        <f>IF(CH219="","",IFERROR(IF(AND(LEN(CH219)=9,ISERROR(FIND("-",LEFT(CH219,8))),ISNUMBER(-LEFT(CH219,8))),VALUE(MID(CH219,7,2)),VALUE(MID(CH219,FIND("-",CH219,FIND("-",CH219)+1)+1,FIND("-",CH219,FIND("-",CH219,FIND("-",CH219)+1)+1)-FIND("-",CH219,FIND("-",CH219)+1)-1))),""))</f>
        <v/>
      </c>
    </row>
    <row r="220">
      <c r="CH220">
        <f>IF(ISTEXT('월 가계부'!A220),SUBSTITUTE(SUBSTITUTE(SUBSTITUTE(SUBSTITUTE(SUBSTITUTE(SUBSTITUTE(SUBSTITUTE(SUBSTITUTE(SUBSTITUTE(TRIM('월 가계부'!A220),"년","-"),"월","-"),"일",""),".","-"),"/","-")," ","-"),"--","-"),"--","-"),"--","-")&amp;"-","")</f>
        <v/>
      </c>
      <c r="CI220">
        <f>IFERROR(IF('월 가계부'!A220="","",IF(ISNUMBER('월 가계부'!A220),IF(AND('월 가계부'!A220&gt;=19000101,'월 가계부'!A220&lt;=21001231),IF(AND(MOD(INT('월 가계부'!A220/100),100)&gt;=1,MOD(INT('월 가계부'!A220/100),100)&lt;=12,MOD(INT('월 가계부'!A220),100)&gt;=1,MOD(INT('월 가계부'!A220),100)&lt;=31),IF(MONTH(DATE(INT('월 가계부'!A220/10000),MOD(INT('월 가계부'!A220/100),100),MOD(INT('월 가계부'!A220),100)))=MOD(INT('월 가계부'!A220/100),100),DATE(INT('월 가계부'!A220/10000),MOD(INT('월 가계부'!A220/100),100),MOD(INT('월 가계부'!A220),100)),""),""),IF(AND('월 가계부'!A220&gt;=36526,'월 가계부'!A220&lt;73051),INT('월 가계부'!A220),"")),IF(OR(CM220="",CN220="",CO220=""),"",IF(AND(CM220&gt;=2000,CM220&lt;=2099,CN220&gt;=1,CN220&lt;=12,CO220&gt;=1,CO220&lt;=31),IF(MONTH(DATE(CM220,CN220,CO220))=CN220,DATE(CM220,CN220,CO220),""),"")))),"")</f>
        <v/>
      </c>
      <c r="CJ220">
        <f>IFERROR(IF('월 가계부'!C220="","",IF(ISNUMBER('월 가계부'!C220),'월 가계부'!C220,VALUE(SUBSTITUTE(SUBSTITUTE(SUBSTITUTE(SUBSTITUTE(TRIM('월 가계부'!C220),",",""),"원","")," ",""),"−","-")))),"")</f>
        <v/>
      </c>
      <c r="CK220">
        <f>IF(ISNUMBER(CI220),IF(CI220&lt;$B$13,CI220,""),"")</f>
        <v/>
      </c>
      <c r="CM220">
        <f>IF(CH220="","",IFERROR(IF(IF(AND(LEN(CH220)=9,ISERROR(FIND("-",LEFT(CH220,8))),ISNUMBER(-LEFT(CH220,8))),VALUE(LEFT(CH220,4)),VALUE(LEFT(CH220,FIND("-",CH220)-1)))&lt;100,IF(AND(LEN(CH220)=9,ISERROR(FIND("-",LEFT(CH220,8))),ISNUMBER(-LEFT(CH220,8))),VALUE(LEFT(CH220,4)),VALUE(LEFT(CH220,FIND("-",CH220)-1)))+2000,IF(AND(LEN(CH220)=9,ISERROR(FIND("-",LEFT(CH220,8))),ISNUMBER(-LEFT(CH220,8))),VALUE(LEFT(CH220,4)),VALUE(LEFT(CH220,FIND("-",CH220)-1)))),""))</f>
        <v/>
      </c>
      <c r="CN220">
        <f>IF(CH220="","",IFERROR(IF(AND(LEN(CH220)=9,ISERROR(FIND("-",LEFT(CH220,8))),ISNUMBER(-LEFT(CH220,8))),VALUE(MID(CH220,5,2)),VALUE(MID(CH220,FIND("-",CH220)+1,FIND("-",CH220,FIND("-",CH220)+1)-FIND("-",CH220)-1))),""))</f>
        <v/>
      </c>
      <c r="CO220">
        <f>IF(CH220="","",IFERROR(IF(AND(LEN(CH220)=9,ISERROR(FIND("-",LEFT(CH220,8))),ISNUMBER(-LEFT(CH220,8))),VALUE(MID(CH220,7,2)),VALUE(MID(CH220,FIND("-",CH220,FIND("-",CH220)+1)+1,FIND("-",CH220,FIND("-",CH220,FIND("-",CH220)+1)+1)-FIND("-",CH220,FIND("-",CH220)+1)-1))),""))</f>
        <v/>
      </c>
    </row>
    <row r="221">
      <c r="CH221">
        <f>IF(ISTEXT('월 가계부'!A221),SUBSTITUTE(SUBSTITUTE(SUBSTITUTE(SUBSTITUTE(SUBSTITUTE(SUBSTITUTE(SUBSTITUTE(SUBSTITUTE(SUBSTITUTE(TRIM('월 가계부'!A221),"년","-"),"월","-"),"일",""),".","-"),"/","-")," ","-"),"--","-"),"--","-"),"--","-")&amp;"-","")</f>
        <v/>
      </c>
      <c r="CI221">
        <f>IFERROR(IF('월 가계부'!A221="","",IF(ISNUMBER('월 가계부'!A221),IF(AND('월 가계부'!A221&gt;=19000101,'월 가계부'!A221&lt;=21001231),IF(AND(MOD(INT('월 가계부'!A221/100),100)&gt;=1,MOD(INT('월 가계부'!A221/100),100)&lt;=12,MOD(INT('월 가계부'!A221),100)&gt;=1,MOD(INT('월 가계부'!A221),100)&lt;=31),IF(MONTH(DATE(INT('월 가계부'!A221/10000),MOD(INT('월 가계부'!A221/100),100),MOD(INT('월 가계부'!A221),100)))=MOD(INT('월 가계부'!A221/100),100),DATE(INT('월 가계부'!A221/10000),MOD(INT('월 가계부'!A221/100),100),MOD(INT('월 가계부'!A221),100)),""),""),IF(AND('월 가계부'!A221&gt;=36526,'월 가계부'!A221&lt;73051),INT('월 가계부'!A221),"")),IF(OR(CM221="",CN221="",CO221=""),"",IF(AND(CM221&gt;=2000,CM221&lt;=2099,CN221&gt;=1,CN221&lt;=12,CO221&gt;=1,CO221&lt;=31),IF(MONTH(DATE(CM221,CN221,CO221))=CN221,DATE(CM221,CN221,CO221),""),"")))),"")</f>
        <v/>
      </c>
      <c r="CJ221">
        <f>IFERROR(IF('월 가계부'!C221="","",IF(ISNUMBER('월 가계부'!C221),'월 가계부'!C221,VALUE(SUBSTITUTE(SUBSTITUTE(SUBSTITUTE(SUBSTITUTE(TRIM('월 가계부'!C221),",",""),"원","")," ",""),"−","-")))),"")</f>
        <v/>
      </c>
      <c r="CK221">
        <f>IF(ISNUMBER(CI221),IF(CI221&lt;$B$13,CI221,""),"")</f>
        <v/>
      </c>
      <c r="CM221">
        <f>IF(CH221="","",IFERROR(IF(IF(AND(LEN(CH221)=9,ISERROR(FIND("-",LEFT(CH221,8))),ISNUMBER(-LEFT(CH221,8))),VALUE(LEFT(CH221,4)),VALUE(LEFT(CH221,FIND("-",CH221)-1)))&lt;100,IF(AND(LEN(CH221)=9,ISERROR(FIND("-",LEFT(CH221,8))),ISNUMBER(-LEFT(CH221,8))),VALUE(LEFT(CH221,4)),VALUE(LEFT(CH221,FIND("-",CH221)-1)))+2000,IF(AND(LEN(CH221)=9,ISERROR(FIND("-",LEFT(CH221,8))),ISNUMBER(-LEFT(CH221,8))),VALUE(LEFT(CH221,4)),VALUE(LEFT(CH221,FIND("-",CH221)-1)))),""))</f>
        <v/>
      </c>
      <c r="CN221">
        <f>IF(CH221="","",IFERROR(IF(AND(LEN(CH221)=9,ISERROR(FIND("-",LEFT(CH221,8))),ISNUMBER(-LEFT(CH221,8))),VALUE(MID(CH221,5,2)),VALUE(MID(CH221,FIND("-",CH221)+1,FIND("-",CH221,FIND("-",CH221)+1)-FIND("-",CH221)-1))),""))</f>
        <v/>
      </c>
      <c r="CO221">
        <f>IF(CH221="","",IFERROR(IF(AND(LEN(CH221)=9,ISERROR(FIND("-",LEFT(CH221,8))),ISNUMBER(-LEFT(CH221,8))),VALUE(MID(CH221,7,2)),VALUE(MID(CH221,FIND("-",CH221,FIND("-",CH221)+1)+1,FIND("-",CH221,FIND("-",CH221,FIND("-",CH221)+1)+1)-FIND("-",CH221,FIND("-",CH221)+1)-1))),""))</f>
        <v/>
      </c>
    </row>
    <row r="222">
      <c r="CH222">
        <f>IF(ISTEXT('월 가계부'!A222),SUBSTITUTE(SUBSTITUTE(SUBSTITUTE(SUBSTITUTE(SUBSTITUTE(SUBSTITUTE(SUBSTITUTE(SUBSTITUTE(SUBSTITUTE(TRIM('월 가계부'!A222),"년","-"),"월","-"),"일",""),".","-"),"/","-")," ","-"),"--","-"),"--","-"),"--","-")&amp;"-","")</f>
        <v/>
      </c>
      <c r="CI222">
        <f>IFERROR(IF('월 가계부'!A222="","",IF(ISNUMBER('월 가계부'!A222),IF(AND('월 가계부'!A222&gt;=19000101,'월 가계부'!A222&lt;=21001231),IF(AND(MOD(INT('월 가계부'!A222/100),100)&gt;=1,MOD(INT('월 가계부'!A222/100),100)&lt;=12,MOD(INT('월 가계부'!A222),100)&gt;=1,MOD(INT('월 가계부'!A222),100)&lt;=31),IF(MONTH(DATE(INT('월 가계부'!A222/10000),MOD(INT('월 가계부'!A222/100),100),MOD(INT('월 가계부'!A222),100)))=MOD(INT('월 가계부'!A222/100),100),DATE(INT('월 가계부'!A222/10000),MOD(INT('월 가계부'!A222/100),100),MOD(INT('월 가계부'!A222),100)),""),""),IF(AND('월 가계부'!A222&gt;=36526,'월 가계부'!A222&lt;73051),INT('월 가계부'!A222),"")),IF(OR(CM222="",CN222="",CO222=""),"",IF(AND(CM222&gt;=2000,CM222&lt;=2099,CN222&gt;=1,CN222&lt;=12,CO222&gt;=1,CO222&lt;=31),IF(MONTH(DATE(CM222,CN222,CO222))=CN222,DATE(CM222,CN222,CO222),""),"")))),"")</f>
        <v/>
      </c>
      <c r="CJ222">
        <f>IFERROR(IF('월 가계부'!C222="","",IF(ISNUMBER('월 가계부'!C222),'월 가계부'!C222,VALUE(SUBSTITUTE(SUBSTITUTE(SUBSTITUTE(SUBSTITUTE(TRIM('월 가계부'!C222),",",""),"원","")," ",""),"−","-")))),"")</f>
        <v/>
      </c>
      <c r="CK222">
        <f>IF(ISNUMBER(CI222),IF(CI222&lt;$B$13,CI222,""),"")</f>
        <v/>
      </c>
      <c r="CM222">
        <f>IF(CH222="","",IFERROR(IF(IF(AND(LEN(CH222)=9,ISERROR(FIND("-",LEFT(CH222,8))),ISNUMBER(-LEFT(CH222,8))),VALUE(LEFT(CH222,4)),VALUE(LEFT(CH222,FIND("-",CH222)-1)))&lt;100,IF(AND(LEN(CH222)=9,ISERROR(FIND("-",LEFT(CH222,8))),ISNUMBER(-LEFT(CH222,8))),VALUE(LEFT(CH222,4)),VALUE(LEFT(CH222,FIND("-",CH222)-1)))+2000,IF(AND(LEN(CH222)=9,ISERROR(FIND("-",LEFT(CH222,8))),ISNUMBER(-LEFT(CH222,8))),VALUE(LEFT(CH222,4)),VALUE(LEFT(CH222,FIND("-",CH222)-1)))),""))</f>
        <v/>
      </c>
      <c r="CN222">
        <f>IF(CH222="","",IFERROR(IF(AND(LEN(CH222)=9,ISERROR(FIND("-",LEFT(CH222,8))),ISNUMBER(-LEFT(CH222,8))),VALUE(MID(CH222,5,2)),VALUE(MID(CH222,FIND("-",CH222)+1,FIND("-",CH222,FIND("-",CH222)+1)-FIND("-",CH222)-1))),""))</f>
        <v/>
      </c>
      <c r="CO222">
        <f>IF(CH222="","",IFERROR(IF(AND(LEN(CH222)=9,ISERROR(FIND("-",LEFT(CH222,8))),ISNUMBER(-LEFT(CH222,8))),VALUE(MID(CH222,7,2)),VALUE(MID(CH222,FIND("-",CH222,FIND("-",CH222)+1)+1,FIND("-",CH222,FIND("-",CH222,FIND("-",CH222)+1)+1)-FIND("-",CH222,FIND("-",CH222)+1)-1))),""))</f>
        <v/>
      </c>
    </row>
    <row r="223">
      <c r="CH223">
        <f>IF(ISTEXT('월 가계부'!A223),SUBSTITUTE(SUBSTITUTE(SUBSTITUTE(SUBSTITUTE(SUBSTITUTE(SUBSTITUTE(SUBSTITUTE(SUBSTITUTE(SUBSTITUTE(TRIM('월 가계부'!A223),"년","-"),"월","-"),"일",""),".","-"),"/","-")," ","-"),"--","-"),"--","-"),"--","-")&amp;"-","")</f>
        <v/>
      </c>
      <c r="CI223">
        <f>IFERROR(IF('월 가계부'!A223="","",IF(ISNUMBER('월 가계부'!A223),IF(AND('월 가계부'!A223&gt;=19000101,'월 가계부'!A223&lt;=21001231),IF(AND(MOD(INT('월 가계부'!A223/100),100)&gt;=1,MOD(INT('월 가계부'!A223/100),100)&lt;=12,MOD(INT('월 가계부'!A223),100)&gt;=1,MOD(INT('월 가계부'!A223),100)&lt;=31),IF(MONTH(DATE(INT('월 가계부'!A223/10000),MOD(INT('월 가계부'!A223/100),100),MOD(INT('월 가계부'!A223),100)))=MOD(INT('월 가계부'!A223/100),100),DATE(INT('월 가계부'!A223/10000),MOD(INT('월 가계부'!A223/100),100),MOD(INT('월 가계부'!A223),100)),""),""),IF(AND('월 가계부'!A223&gt;=36526,'월 가계부'!A223&lt;73051),INT('월 가계부'!A223),"")),IF(OR(CM223="",CN223="",CO223=""),"",IF(AND(CM223&gt;=2000,CM223&lt;=2099,CN223&gt;=1,CN223&lt;=12,CO223&gt;=1,CO223&lt;=31),IF(MONTH(DATE(CM223,CN223,CO223))=CN223,DATE(CM223,CN223,CO223),""),"")))),"")</f>
        <v/>
      </c>
      <c r="CJ223">
        <f>IFERROR(IF('월 가계부'!C223="","",IF(ISNUMBER('월 가계부'!C223),'월 가계부'!C223,VALUE(SUBSTITUTE(SUBSTITUTE(SUBSTITUTE(SUBSTITUTE(TRIM('월 가계부'!C223),",",""),"원","")," ",""),"−","-")))),"")</f>
        <v/>
      </c>
      <c r="CK223">
        <f>IF(ISNUMBER(CI223),IF(CI223&lt;$B$13,CI223,""),"")</f>
        <v/>
      </c>
      <c r="CM223">
        <f>IF(CH223="","",IFERROR(IF(IF(AND(LEN(CH223)=9,ISERROR(FIND("-",LEFT(CH223,8))),ISNUMBER(-LEFT(CH223,8))),VALUE(LEFT(CH223,4)),VALUE(LEFT(CH223,FIND("-",CH223)-1)))&lt;100,IF(AND(LEN(CH223)=9,ISERROR(FIND("-",LEFT(CH223,8))),ISNUMBER(-LEFT(CH223,8))),VALUE(LEFT(CH223,4)),VALUE(LEFT(CH223,FIND("-",CH223)-1)))+2000,IF(AND(LEN(CH223)=9,ISERROR(FIND("-",LEFT(CH223,8))),ISNUMBER(-LEFT(CH223,8))),VALUE(LEFT(CH223,4)),VALUE(LEFT(CH223,FIND("-",CH223)-1)))),""))</f>
        <v/>
      </c>
      <c r="CN223">
        <f>IF(CH223="","",IFERROR(IF(AND(LEN(CH223)=9,ISERROR(FIND("-",LEFT(CH223,8))),ISNUMBER(-LEFT(CH223,8))),VALUE(MID(CH223,5,2)),VALUE(MID(CH223,FIND("-",CH223)+1,FIND("-",CH223,FIND("-",CH223)+1)-FIND("-",CH223)-1))),""))</f>
        <v/>
      </c>
      <c r="CO223">
        <f>IF(CH223="","",IFERROR(IF(AND(LEN(CH223)=9,ISERROR(FIND("-",LEFT(CH223,8))),ISNUMBER(-LEFT(CH223,8))),VALUE(MID(CH223,7,2)),VALUE(MID(CH223,FIND("-",CH223,FIND("-",CH223)+1)+1,FIND("-",CH223,FIND("-",CH223,FIND("-",CH223)+1)+1)-FIND("-",CH223,FIND("-",CH223)+1)-1))),""))</f>
        <v/>
      </c>
    </row>
    <row r="224">
      <c r="CH224">
        <f>IF(ISTEXT('월 가계부'!A224),SUBSTITUTE(SUBSTITUTE(SUBSTITUTE(SUBSTITUTE(SUBSTITUTE(SUBSTITUTE(SUBSTITUTE(SUBSTITUTE(SUBSTITUTE(TRIM('월 가계부'!A224),"년","-"),"월","-"),"일",""),".","-"),"/","-")," ","-"),"--","-"),"--","-"),"--","-")&amp;"-","")</f>
        <v/>
      </c>
      <c r="CI224">
        <f>IFERROR(IF('월 가계부'!A224="","",IF(ISNUMBER('월 가계부'!A224),IF(AND('월 가계부'!A224&gt;=19000101,'월 가계부'!A224&lt;=21001231),IF(AND(MOD(INT('월 가계부'!A224/100),100)&gt;=1,MOD(INT('월 가계부'!A224/100),100)&lt;=12,MOD(INT('월 가계부'!A224),100)&gt;=1,MOD(INT('월 가계부'!A224),100)&lt;=31),IF(MONTH(DATE(INT('월 가계부'!A224/10000),MOD(INT('월 가계부'!A224/100),100),MOD(INT('월 가계부'!A224),100)))=MOD(INT('월 가계부'!A224/100),100),DATE(INT('월 가계부'!A224/10000),MOD(INT('월 가계부'!A224/100),100),MOD(INT('월 가계부'!A224),100)),""),""),IF(AND('월 가계부'!A224&gt;=36526,'월 가계부'!A224&lt;73051),INT('월 가계부'!A224),"")),IF(OR(CM224="",CN224="",CO224=""),"",IF(AND(CM224&gt;=2000,CM224&lt;=2099,CN224&gt;=1,CN224&lt;=12,CO224&gt;=1,CO224&lt;=31),IF(MONTH(DATE(CM224,CN224,CO224))=CN224,DATE(CM224,CN224,CO224),""),"")))),"")</f>
        <v/>
      </c>
      <c r="CJ224">
        <f>IFERROR(IF('월 가계부'!C224="","",IF(ISNUMBER('월 가계부'!C224),'월 가계부'!C224,VALUE(SUBSTITUTE(SUBSTITUTE(SUBSTITUTE(SUBSTITUTE(TRIM('월 가계부'!C224),",",""),"원","")," ",""),"−","-")))),"")</f>
        <v/>
      </c>
      <c r="CK224">
        <f>IF(ISNUMBER(CI224),IF(CI224&lt;$B$13,CI224,""),"")</f>
        <v/>
      </c>
      <c r="CM224">
        <f>IF(CH224="","",IFERROR(IF(IF(AND(LEN(CH224)=9,ISERROR(FIND("-",LEFT(CH224,8))),ISNUMBER(-LEFT(CH224,8))),VALUE(LEFT(CH224,4)),VALUE(LEFT(CH224,FIND("-",CH224)-1)))&lt;100,IF(AND(LEN(CH224)=9,ISERROR(FIND("-",LEFT(CH224,8))),ISNUMBER(-LEFT(CH224,8))),VALUE(LEFT(CH224,4)),VALUE(LEFT(CH224,FIND("-",CH224)-1)))+2000,IF(AND(LEN(CH224)=9,ISERROR(FIND("-",LEFT(CH224,8))),ISNUMBER(-LEFT(CH224,8))),VALUE(LEFT(CH224,4)),VALUE(LEFT(CH224,FIND("-",CH224)-1)))),""))</f>
        <v/>
      </c>
      <c r="CN224">
        <f>IF(CH224="","",IFERROR(IF(AND(LEN(CH224)=9,ISERROR(FIND("-",LEFT(CH224,8))),ISNUMBER(-LEFT(CH224,8))),VALUE(MID(CH224,5,2)),VALUE(MID(CH224,FIND("-",CH224)+1,FIND("-",CH224,FIND("-",CH224)+1)-FIND("-",CH224)-1))),""))</f>
        <v/>
      </c>
      <c r="CO224">
        <f>IF(CH224="","",IFERROR(IF(AND(LEN(CH224)=9,ISERROR(FIND("-",LEFT(CH224,8))),ISNUMBER(-LEFT(CH224,8))),VALUE(MID(CH224,7,2)),VALUE(MID(CH224,FIND("-",CH224,FIND("-",CH224)+1)+1,FIND("-",CH224,FIND("-",CH224,FIND("-",CH224)+1)+1)-FIND("-",CH224,FIND("-",CH224)+1)-1))),""))</f>
        <v/>
      </c>
    </row>
    <row r="225">
      <c r="CH225">
        <f>IF(ISTEXT('월 가계부'!A225),SUBSTITUTE(SUBSTITUTE(SUBSTITUTE(SUBSTITUTE(SUBSTITUTE(SUBSTITUTE(SUBSTITUTE(SUBSTITUTE(SUBSTITUTE(TRIM('월 가계부'!A225),"년","-"),"월","-"),"일",""),".","-"),"/","-")," ","-"),"--","-"),"--","-"),"--","-")&amp;"-","")</f>
        <v/>
      </c>
      <c r="CI225">
        <f>IFERROR(IF('월 가계부'!A225="","",IF(ISNUMBER('월 가계부'!A225),IF(AND('월 가계부'!A225&gt;=19000101,'월 가계부'!A225&lt;=21001231),IF(AND(MOD(INT('월 가계부'!A225/100),100)&gt;=1,MOD(INT('월 가계부'!A225/100),100)&lt;=12,MOD(INT('월 가계부'!A225),100)&gt;=1,MOD(INT('월 가계부'!A225),100)&lt;=31),IF(MONTH(DATE(INT('월 가계부'!A225/10000),MOD(INT('월 가계부'!A225/100),100),MOD(INT('월 가계부'!A225),100)))=MOD(INT('월 가계부'!A225/100),100),DATE(INT('월 가계부'!A225/10000),MOD(INT('월 가계부'!A225/100),100),MOD(INT('월 가계부'!A225),100)),""),""),IF(AND('월 가계부'!A225&gt;=36526,'월 가계부'!A225&lt;73051),INT('월 가계부'!A225),"")),IF(OR(CM225="",CN225="",CO225=""),"",IF(AND(CM225&gt;=2000,CM225&lt;=2099,CN225&gt;=1,CN225&lt;=12,CO225&gt;=1,CO225&lt;=31),IF(MONTH(DATE(CM225,CN225,CO225))=CN225,DATE(CM225,CN225,CO225),""),"")))),"")</f>
        <v/>
      </c>
      <c r="CJ225">
        <f>IFERROR(IF('월 가계부'!C225="","",IF(ISNUMBER('월 가계부'!C225),'월 가계부'!C225,VALUE(SUBSTITUTE(SUBSTITUTE(SUBSTITUTE(SUBSTITUTE(TRIM('월 가계부'!C225),",",""),"원","")," ",""),"−","-")))),"")</f>
        <v/>
      </c>
      <c r="CK225">
        <f>IF(ISNUMBER(CI225),IF(CI225&lt;$B$13,CI225,""),"")</f>
        <v/>
      </c>
      <c r="CM225">
        <f>IF(CH225="","",IFERROR(IF(IF(AND(LEN(CH225)=9,ISERROR(FIND("-",LEFT(CH225,8))),ISNUMBER(-LEFT(CH225,8))),VALUE(LEFT(CH225,4)),VALUE(LEFT(CH225,FIND("-",CH225)-1)))&lt;100,IF(AND(LEN(CH225)=9,ISERROR(FIND("-",LEFT(CH225,8))),ISNUMBER(-LEFT(CH225,8))),VALUE(LEFT(CH225,4)),VALUE(LEFT(CH225,FIND("-",CH225)-1)))+2000,IF(AND(LEN(CH225)=9,ISERROR(FIND("-",LEFT(CH225,8))),ISNUMBER(-LEFT(CH225,8))),VALUE(LEFT(CH225,4)),VALUE(LEFT(CH225,FIND("-",CH225)-1)))),""))</f>
        <v/>
      </c>
      <c r="CN225">
        <f>IF(CH225="","",IFERROR(IF(AND(LEN(CH225)=9,ISERROR(FIND("-",LEFT(CH225,8))),ISNUMBER(-LEFT(CH225,8))),VALUE(MID(CH225,5,2)),VALUE(MID(CH225,FIND("-",CH225)+1,FIND("-",CH225,FIND("-",CH225)+1)-FIND("-",CH225)-1))),""))</f>
        <v/>
      </c>
      <c r="CO225">
        <f>IF(CH225="","",IFERROR(IF(AND(LEN(CH225)=9,ISERROR(FIND("-",LEFT(CH225,8))),ISNUMBER(-LEFT(CH225,8))),VALUE(MID(CH225,7,2)),VALUE(MID(CH225,FIND("-",CH225,FIND("-",CH225)+1)+1,FIND("-",CH225,FIND("-",CH225,FIND("-",CH225)+1)+1)-FIND("-",CH225,FIND("-",CH225)+1)-1))),""))</f>
        <v/>
      </c>
    </row>
    <row r="226">
      <c r="CH226">
        <f>IF(ISTEXT('월 가계부'!A226),SUBSTITUTE(SUBSTITUTE(SUBSTITUTE(SUBSTITUTE(SUBSTITUTE(SUBSTITUTE(SUBSTITUTE(SUBSTITUTE(SUBSTITUTE(TRIM('월 가계부'!A226),"년","-"),"월","-"),"일",""),".","-"),"/","-")," ","-"),"--","-"),"--","-"),"--","-")&amp;"-","")</f>
        <v/>
      </c>
      <c r="CI226">
        <f>IFERROR(IF('월 가계부'!A226="","",IF(ISNUMBER('월 가계부'!A226),IF(AND('월 가계부'!A226&gt;=19000101,'월 가계부'!A226&lt;=21001231),IF(AND(MOD(INT('월 가계부'!A226/100),100)&gt;=1,MOD(INT('월 가계부'!A226/100),100)&lt;=12,MOD(INT('월 가계부'!A226),100)&gt;=1,MOD(INT('월 가계부'!A226),100)&lt;=31),IF(MONTH(DATE(INT('월 가계부'!A226/10000),MOD(INT('월 가계부'!A226/100),100),MOD(INT('월 가계부'!A226),100)))=MOD(INT('월 가계부'!A226/100),100),DATE(INT('월 가계부'!A226/10000),MOD(INT('월 가계부'!A226/100),100),MOD(INT('월 가계부'!A226),100)),""),""),IF(AND('월 가계부'!A226&gt;=36526,'월 가계부'!A226&lt;73051),INT('월 가계부'!A226),"")),IF(OR(CM226="",CN226="",CO226=""),"",IF(AND(CM226&gt;=2000,CM226&lt;=2099,CN226&gt;=1,CN226&lt;=12,CO226&gt;=1,CO226&lt;=31),IF(MONTH(DATE(CM226,CN226,CO226))=CN226,DATE(CM226,CN226,CO226),""),"")))),"")</f>
        <v/>
      </c>
      <c r="CJ226">
        <f>IFERROR(IF('월 가계부'!C226="","",IF(ISNUMBER('월 가계부'!C226),'월 가계부'!C226,VALUE(SUBSTITUTE(SUBSTITUTE(SUBSTITUTE(SUBSTITUTE(TRIM('월 가계부'!C226),",",""),"원","")," ",""),"−","-")))),"")</f>
        <v/>
      </c>
      <c r="CK226">
        <f>IF(ISNUMBER(CI226),IF(CI226&lt;$B$13,CI226,""),"")</f>
        <v/>
      </c>
      <c r="CM226">
        <f>IF(CH226="","",IFERROR(IF(IF(AND(LEN(CH226)=9,ISERROR(FIND("-",LEFT(CH226,8))),ISNUMBER(-LEFT(CH226,8))),VALUE(LEFT(CH226,4)),VALUE(LEFT(CH226,FIND("-",CH226)-1)))&lt;100,IF(AND(LEN(CH226)=9,ISERROR(FIND("-",LEFT(CH226,8))),ISNUMBER(-LEFT(CH226,8))),VALUE(LEFT(CH226,4)),VALUE(LEFT(CH226,FIND("-",CH226)-1)))+2000,IF(AND(LEN(CH226)=9,ISERROR(FIND("-",LEFT(CH226,8))),ISNUMBER(-LEFT(CH226,8))),VALUE(LEFT(CH226,4)),VALUE(LEFT(CH226,FIND("-",CH226)-1)))),""))</f>
        <v/>
      </c>
      <c r="CN226">
        <f>IF(CH226="","",IFERROR(IF(AND(LEN(CH226)=9,ISERROR(FIND("-",LEFT(CH226,8))),ISNUMBER(-LEFT(CH226,8))),VALUE(MID(CH226,5,2)),VALUE(MID(CH226,FIND("-",CH226)+1,FIND("-",CH226,FIND("-",CH226)+1)-FIND("-",CH226)-1))),""))</f>
        <v/>
      </c>
      <c r="CO226">
        <f>IF(CH226="","",IFERROR(IF(AND(LEN(CH226)=9,ISERROR(FIND("-",LEFT(CH226,8))),ISNUMBER(-LEFT(CH226,8))),VALUE(MID(CH226,7,2)),VALUE(MID(CH226,FIND("-",CH226,FIND("-",CH226)+1)+1,FIND("-",CH226,FIND("-",CH226,FIND("-",CH226)+1)+1)-FIND("-",CH226,FIND("-",CH226)+1)-1))),""))</f>
        <v/>
      </c>
    </row>
    <row r="227">
      <c r="CH227">
        <f>IF(ISTEXT('월 가계부'!A227),SUBSTITUTE(SUBSTITUTE(SUBSTITUTE(SUBSTITUTE(SUBSTITUTE(SUBSTITUTE(SUBSTITUTE(SUBSTITUTE(SUBSTITUTE(TRIM('월 가계부'!A227),"년","-"),"월","-"),"일",""),".","-"),"/","-")," ","-"),"--","-"),"--","-"),"--","-")&amp;"-","")</f>
        <v/>
      </c>
      <c r="CI227">
        <f>IFERROR(IF('월 가계부'!A227="","",IF(ISNUMBER('월 가계부'!A227),IF(AND('월 가계부'!A227&gt;=19000101,'월 가계부'!A227&lt;=21001231),IF(AND(MOD(INT('월 가계부'!A227/100),100)&gt;=1,MOD(INT('월 가계부'!A227/100),100)&lt;=12,MOD(INT('월 가계부'!A227),100)&gt;=1,MOD(INT('월 가계부'!A227),100)&lt;=31),IF(MONTH(DATE(INT('월 가계부'!A227/10000),MOD(INT('월 가계부'!A227/100),100),MOD(INT('월 가계부'!A227),100)))=MOD(INT('월 가계부'!A227/100),100),DATE(INT('월 가계부'!A227/10000),MOD(INT('월 가계부'!A227/100),100),MOD(INT('월 가계부'!A227),100)),""),""),IF(AND('월 가계부'!A227&gt;=36526,'월 가계부'!A227&lt;73051),INT('월 가계부'!A227),"")),IF(OR(CM227="",CN227="",CO227=""),"",IF(AND(CM227&gt;=2000,CM227&lt;=2099,CN227&gt;=1,CN227&lt;=12,CO227&gt;=1,CO227&lt;=31),IF(MONTH(DATE(CM227,CN227,CO227))=CN227,DATE(CM227,CN227,CO227),""),"")))),"")</f>
        <v/>
      </c>
      <c r="CJ227">
        <f>IFERROR(IF('월 가계부'!C227="","",IF(ISNUMBER('월 가계부'!C227),'월 가계부'!C227,VALUE(SUBSTITUTE(SUBSTITUTE(SUBSTITUTE(SUBSTITUTE(TRIM('월 가계부'!C227),",",""),"원","")," ",""),"−","-")))),"")</f>
        <v/>
      </c>
      <c r="CK227">
        <f>IF(ISNUMBER(CI227),IF(CI227&lt;$B$13,CI227,""),"")</f>
        <v/>
      </c>
      <c r="CM227">
        <f>IF(CH227="","",IFERROR(IF(IF(AND(LEN(CH227)=9,ISERROR(FIND("-",LEFT(CH227,8))),ISNUMBER(-LEFT(CH227,8))),VALUE(LEFT(CH227,4)),VALUE(LEFT(CH227,FIND("-",CH227)-1)))&lt;100,IF(AND(LEN(CH227)=9,ISERROR(FIND("-",LEFT(CH227,8))),ISNUMBER(-LEFT(CH227,8))),VALUE(LEFT(CH227,4)),VALUE(LEFT(CH227,FIND("-",CH227)-1)))+2000,IF(AND(LEN(CH227)=9,ISERROR(FIND("-",LEFT(CH227,8))),ISNUMBER(-LEFT(CH227,8))),VALUE(LEFT(CH227,4)),VALUE(LEFT(CH227,FIND("-",CH227)-1)))),""))</f>
        <v/>
      </c>
      <c r="CN227">
        <f>IF(CH227="","",IFERROR(IF(AND(LEN(CH227)=9,ISERROR(FIND("-",LEFT(CH227,8))),ISNUMBER(-LEFT(CH227,8))),VALUE(MID(CH227,5,2)),VALUE(MID(CH227,FIND("-",CH227)+1,FIND("-",CH227,FIND("-",CH227)+1)-FIND("-",CH227)-1))),""))</f>
        <v/>
      </c>
      <c r="CO227">
        <f>IF(CH227="","",IFERROR(IF(AND(LEN(CH227)=9,ISERROR(FIND("-",LEFT(CH227,8))),ISNUMBER(-LEFT(CH227,8))),VALUE(MID(CH227,7,2)),VALUE(MID(CH227,FIND("-",CH227,FIND("-",CH227)+1)+1,FIND("-",CH227,FIND("-",CH227,FIND("-",CH227)+1)+1)-FIND("-",CH227,FIND("-",CH227)+1)-1))),""))</f>
        <v/>
      </c>
    </row>
    <row r="228">
      <c r="CH228">
        <f>IF(ISTEXT('월 가계부'!A228),SUBSTITUTE(SUBSTITUTE(SUBSTITUTE(SUBSTITUTE(SUBSTITUTE(SUBSTITUTE(SUBSTITUTE(SUBSTITUTE(SUBSTITUTE(TRIM('월 가계부'!A228),"년","-"),"월","-"),"일",""),".","-"),"/","-")," ","-"),"--","-"),"--","-"),"--","-")&amp;"-","")</f>
        <v/>
      </c>
      <c r="CI228">
        <f>IFERROR(IF('월 가계부'!A228="","",IF(ISNUMBER('월 가계부'!A228),IF(AND('월 가계부'!A228&gt;=19000101,'월 가계부'!A228&lt;=21001231),IF(AND(MOD(INT('월 가계부'!A228/100),100)&gt;=1,MOD(INT('월 가계부'!A228/100),100)&lt;=12,MOD(INT('월 가계부'!A228),100)&gt;=1,MOD(INT('월 가계부'!A228),100)&lt;=31),IF(MONTH(DATE(INT('월 가계부'!A228/10000),MOD(INT('월 가계부'!A228/100),100),MOD(INT('월 가계부'!A228),100)))=MOD(INT('월 가계부'!A228/100),100),DATE(INT('월 가계부'!A228/10000),MOD(INT('월 가계부'!A228/100),100),MOD(INT('월 가계부'!A228),100)),""),""),IF(AND('월 가계부'!A228&gt;=36526,'월 가계부'!A228&lt;73051),INT('월 가계부'!A228),"")),IF(OR(CM228="",CN228="",CO228=""),"",IF(AND(CM228&gt;=2000,CM228&lt;=2099,CN228&gt;=1,CN228&lt;=12,CO228&gt;=1,CO228&lt;=31),IF(MONTH(DATE(CM228,CN228,CO228))=CN228,DATE(CM228,CN228,CO228),""),"")))),"")</f>
        <v/>
      </c>
      <c r="CJ228">
        <f>IFERROR(IF('월 가계부'!C228="","",IF(ISNUMBER('월 가계부'!C228),'월 가계부'!C228,VALUE(SUBSTITUTE(SUBSTITUTE(SUBSTITUTE(SUBSTITUTE(TRIM('월 가계부'!C228),",",""),"원","")," ",""),"−","-")))),"")</f>
        <v/>
      </c>
      <c r="CK228">
        <f>IF(ISNUMBER(CI228),IF(CI228&lt;$B$13,CI228,""),"")</f>
        <v/>
      </c>
      <c r="CM228">
        <f>IF(CH228="","",IFERROR(IF(IF(AND(LEN(CH228)=9,ISERROR(FIND("-",LEFT(CH228,8))),ISNUMBER(-LEFT(CH228,8))),VALUE(LEFT(CH228,4)),VALUE(LEFT(CH228,FIND("-",CH228)-1)))&lt;100,IF(AND(LEN(CH228)=9,ISERROR(FIND("-",LEFT(CH228,8))),ISNUMBER(-LEFT(CH228,8))),VALUE(LEFT(CH228,4)),VALUE(LEFT(CH228,FIND("-",CH228)-1)))+2000,IF(AND(LEN(CH228)=9,ISERROR(FIND("-",LEFT(CH228,8))),ISNUMBER(-LEFT(CH228,8))),VALUE(LEFT(CH228,4)),VALUE(LEFT(CH228,FIND("-",CH228)-1)))),""))</f>
        <v/>
      </c>
      <c r="CN228">
        <f>IF(CH228="","",IFERROR(IF(AND(LEN(CH228)=9,ISERROR(FIND("-",LEFT(CH228,8))),ISNUMBER(-LEFT(CH228,8))),VALUE(MID(CH228,5,2)),VALUE(MID(CH228,FIND("-",CH228)+1,FIND("-",CH228,FIND("-",CH228)+1)-FIND("-",CH228)-1))),""))</f>
        <v/>
      </c>
      <c r="CO228">
        <f>IF(CH228="","",IFERROR(IF(AND(LEN(CH228)=9,ISERROR(FIND("-",LEFT(CH228,8))),ISNUMBER(-LEFT(CH228,8))),VALUE(MID(CH228,7,2)),VALUE(MID(CH228,FIND("-",CH228,FIND("-",CH228)+1)+1,FIND("-",CH228,FIND("-",CH228,FIND("-",CH228)+1)+1)-FIND("-",CH228,FIND("-",CH228)+1)-1))),""))</f>
        <v/>
      </c>
    </row>
    <row r="229">
      <c r="CH229">
        <f>IF(ISTEXT('월 가계부'!A229),SUBSTITUTE(SUBSTITUTE(SUBSTITUTE(SUBSTITUTE(SUBSTITUTE(SUBSTITUTE(SUBSTITUTE(SUBSTITUTE(SUBSTITUTE(TRIM('월 가계부'!A229),"년","-"),"월","-"),"일",""),".","-"),"/","-")," ","-"),"--","-"),"--","-"),"--","-")&amp;"-","")</f>
        <v/>
      </c>
      <c r="CI229">
        <f>IFERROR(IF('월 가계부'!A229="","",IF(ISNUMBER('월 가계부'!A229),IF(AND('월 가계부'!A229&gt;=19000101,'월 가계부'!A229&lt;=21001231),IF(AND(MOD(INT('월 가계부'!A229/100),100)&gt;=1,MOD(INT('월 가계부'!A229/100),100)&lt;=12,MOD(INT('월 가계부'!A229),100)&gt;=1,MOD(INT('월 가계부'!A229),100)&lt;=31),IF(MONTH(DATE(INT('월 가계부'!A229/10000),MOD(INT('월 가계부'!A229/100),100),MOD(INT('월 가계부'!A229),100)))=MOD(INT('월 가계부'!A229/100),100),DATE(INT('월 가계부'!A229/10000),MOD(INT('월 가계부'!A229/100),100),MOD(INT('월 가계부'!A229),100)),""),""),IF(AND('월 가계부'!A229&gt;=36526,'월 가계부'!A229&lt;73051),INT('월 가계부'!A229),"")),IF(OR(CM229="",CN229="",CO229=""),"",IF(AND(CM229&gt;=2000,CM229&lt;=2099,CN229&gt;=1,CN229&lt;=12,CO229&gt;=1,CO229&lt;=31),IF(MONTH(DATE(CM229,CN229,CO229))=CN229,DATE(CM229,CN229,CO229),""),"")))),"")</f>
        <v/>
      </c>
      <c r="CJ229">
        <f>IFERROR(IF('월 가계부'!C229="","",IF(ISNUMBER('월 가계부'!C229),'월 가계부'!C229,VALUE(SUBSTITUTE(SUBSTITUTE(SUBSTITUTE(SUBSTITUTE(TRIM('월 가계부'!C229),",",""),"원","")," ",""),"−","-")))),"")</f>
        <v/>
      </c>
      <c r="CK229">
        <f>IF(ISNUMBER(CI229),IF(CI229&lt;$B$13,CI229,""),"")</f>
        <v/>
      </c>
      <c r="CM229">
        <f>IF(CH229="","",IFERROR(IF(IF(AND(LEN(CH229)=9,ISERROR(FIND("-",LEFT(CH229,8))),ISNUMBER(-LEFT(CH229,8))),VALUE(LEFT(CH229,4)),VALUE(LEFT(CH229,FIND("-",CH229)-1)))&lt;100,IF(AND(LEN(CH229)=9,ISERROR(FIND("-",LEFT(CH229,8))),ISNUMBER(-LEFT(CH229,8))),VALUE(LEFT(CH229,4)),VALUE(LEFT(CH229,FIND("-",CH229)-1)))+2000,IF(AND(LEN(CH229)=9,ISERROR(FIND("-",LEFT(CH229,8))),ISNUMBER(-LEFT(CH229,8))),VALUE(LEFT(CH229,4)),VALUE(LEFT(CH229,FIND("-",CH229)-1)))),""))</f>
        <v/>
      </c>
      <c r="CN229">
        <f>IF(CH229="","",IFERROR(IF(AND(LEN(CH229)=9,ISERROR(FIND("-",LEFT(CH229,8))),ISNUMBER(-LEFT(CH229,8))),VALUE(MID(CH229,5,2)),VALUE(MID(CH229,FIND("-",CH229)+1,FIND("-",CH229,FIND("-",CH229)+1)-FIND("-",CH229)-1))),""))</f>
        <v/>
      </c>
      <c r="CO229">
        <f>IF(CH229="","",IFERROR(IF(AND(LEN(CH229)=9,ISERROR(FIND("-",LEFT(CH229,8))),ISNUMBER(-LEFT(CH229,8))),VALUE(MID(CH229,7,2)),VALUE(MID(CH229,FIND("-",CH229,FIND("-",CH229)+1)+1,FIND("-",CH229,FIND("-",CH229,FIND("-",CH229)+1)+1)-FIND("-",CH229,FIND("-",CH229)+1)-1))),""))</f>
        <v/>
      </c>
    </row>
    <row r="230">
      <c r="CH230">
        <f>IF(ISTEXT('월 가계부'!A230),SUBSTITUTE(SUBSTITUTE(SUBSTITUTE(SUBSTITUTE(SUBSTITUTE(SUBSTITUTE(SUBSTITUTE(SUBSTITUTE(SUBSTITUTE(TRIM('월 가계부'!A230),"년","-"),"월","-"),"일",""),".","-"),"/","-")," ","-"),"--","-"),"--","-"),"--","-")&amp;"-","")</f>
        <v/>
      </c>
      <c r="CI230">
        <f>IFERROR(IF('월 가계부'!A230="","",IF(ISNUMBER('월 가계부'!A230),IF(AND('월 가계부'!A230&gt;=19000101,'월 가계부'!A230&lt;=21001231),IF(AND(MOD(INT('월 가계부'!A230/100),100)&gt;=1,MOD(INT('월 가계부'!A230/100),100)&lt;=12,MOD(INT('월 가계부'!A230),100)&gt;=1,MOD(INT('월 가계부'!A230),100)&lt;=31),IF(MONTH(DATE(INT('월 가계부'!A230/10000),MOD(INT('월 가계부'!A230/100),100),MOD(INT('월 가계부'!A230),100)))=MOD(INT('월 가계부'!A230/100),100),DATE(INT('월 가계부'!A230/10000),MOD(INT('월 가계부'!A230/100),100),MOD(INT('월 가계부'!A230),100)),""),""),IF(AND('월 가계부'!A230&gt;=36526,'월 가계부'!A230&lt;73051),INT('월 가계부'!A230),"")),IF(OR(CM230="",CN230="",CO230=""),"",IF(AND(CM230&gt;=2000,CM230&lt;=2099,CN230&gt;=1,CN230&lt;=12,CO230&gt;=1,CO230&lt;=31),IF(MONTH(DATE(CM230,CN230,CO230))=CN230,DATE(CM230,CN230,CO230),""),"")))),"")</f>
        <v/>
      </c>
      <c r="CJ230">
        <f>IFERROR(IF('월 가계부'!C230="","",IF(ISNUMBER('월 가계부'!C230),'월 가계부'!C230,VALUE(SUBSTITUTE(SUBSTITUTE(SUBSTITUTE(SUBSTITUTE(TRIM('월 가계부'!C230),",",""),"원","")," ",""),"−","-")))),"")</f>
        <v/>
      </c>
      <c r="CK230">
        <f>IF(ISNUMBER(CI230),IF(CI230&lt;$B$13,CI230,""),"")</f>
        <v/>
      </c>
      <c r="CM230">
        <f>IF(CH230="","",IFERROR(IF(IF(AND(LEN(CH230)=9,ISERROR(FIND("-",LEFT(CH230,8))),ISNUMBER(-LEFT(CH230,8))),VALUE(LEFT(CH230,4)),VALUE(LEFT(CH230,FIND("-",CH230)-1)))&lt;100,IF(AND(LEN(CH230)=9,ISERROR(FIND("-",LEFT(CH230,8))),ISNUMBER(-LEFT(CH230,8))),VALUE(LEFT(CH230,4)),VALUE(LEFT(CH230,FIND("-",CH230)-1)))+2000,IF(AND(LEN(CH230)=9,ISERROR(FIND("-",LEFT(CH230,8))),ISNUMBER(-LEFT(CH230,8))),VALUE(LEFT(CH230,4)),VALUE(LEFT(CH230,FIND("-",CH230)-1)))),""))</f>
        <v/>
      </c>
      <c r="CN230">
        <f>IF(CH230="","",IFERROR(IF(AND(LEN(CH230)=9,ISERROR(FIND("-",LEFT(CH230,8))),ISNUMBER(-LEFT(CH230,8))),VALUE(MID(CH230,5,2)),VALUE(MID(CH230,FIND("-",CH230)+1,FIND("-",CH230,FIND("-",CH230)+1)-FIND("-",CH230)-1))),""))</f>
        <v/>
      </c>
      <c r="CO230">
        <f>IF(CH230="","",IFERROR(IF(AND(LEN(CH230)=9,ISERROR(FIND("-",LEFT(CH230,8))),ISNUMBER(-LEFT(CH230,8))),VALUE(MID(CH230,7,2)),VALUE(MID(CH230,FIND("-",CH230,FIND("-",CH230)+1)+1,FIND("-",CH230,FIND("-",CH230,FIND("-",CH230)+1)+1)-FIND("-",CH230,FIND("-",CH230)+1)-1))),""))</f>
        <v/>
      </c>
    </row>
    <row r="231">
      <c r="CH231">
        <f>IF(ISTEXT('월 가계부'!A231),SUBSTITUTE(SUBSTITUTE(SUBSTITUTE(SUBSTITUTE(SUBSTITUTE(SUBSTITUTE(SUBSTITUTE(SUBSTITUTE(SUBSTITUTE(TRIM('월 가계부'!A231),"년","-"),"월","-"),"일",""),".","-"),"/","-")," ","-"),"--","-"),"--","-"),"--","-")&amp;"-","")</f>
        <v/>
      </c>
      <c r="CI231">
        <f>IFERROR(IF('월 가계부'!A231="","",IF(ISNUMBER('월 가계부'!A231),IF(AND('월 가계부'!A231&gt;=19000101,'월 가계부'!A231&lt;=21001231),IF(AND(MOD(INT('월 가계부'!A231/100),100)&gt;=1,MOD(INT('월 가계부'!A231/100),100)&lt;=12,MOD(INT('월 가계부'!A231),100)&gt;=1,MOD(INT('월 가계부'!A231),100)&lt;=31),IF(MONTH(DATE(INT('월 가계부'!A231/10000),MOD(INT('월 가계부'!A231/100),100),MOD(INT('월 가계부'!A231),100)))=MOD(INT('월 가계부'!A231/100),100),DATE(INT('월 가계부'!A231/10000),MOD(INT('월 가계부'!A231/100),100),MOD(INT('월 가계부'!A231),100)),""),""),IF(AND('월 가계부'!A231&gt;=36526,'월 가계부'!A231&lt;73051),INT('월 가계부'!A231),"")),IF(OR(CM231="",CN231="",CO231=""),"",IF(AND(CM231&gt;=2000,CM231&lt;=2099,CN231&gt;=1,CN231&lt;=12,CO231&gt;=1,CO231&lt;=31),IF(MONTH(DATE(CM231,CN231,CO231))=CN231,DATE(CM231,CN231,CO231),""),"")))),"")</f>
        <v/>
      </c>
      <c r="CJ231">
        <f>IFERROR(IF('월 가계부'!C231="","",IF(ISNUMBER('월 가계부'!C231),'월 가계부'!C231,VALUE(SUBSTITUTE(SUBSTITUTE(SUBSTITUTE(SUBSTITUTE(TRIM('월 가계부'!C231),",",""),"원","")," ",""),"−","-")))),"")</f>
        <v/>
      </c>
      <c r="CK231">
        <f>IF(ISNUMBER(CI231),IF(CI231&lt;$B$13,CI231,""),"")</f>
        <v/>
      </c>
      <c r="CM231">
        <f>IF(CH231="","",IFERROR(IF(IF(AND(LEN(CH231)=9,ISERROR(FIND("-",LEFT(CH231,8))),ISNUMBER(-LEFT(CH231,8))),VALUE(LEFT(CH231,4)),VALUE(LEFT(CH231,FIND("-",CH231)-1)))&lt;100,IF(AND(LEN(CH231)=9,ISERROR(FIND("-",LEFT(CH231,8))),ISNUMBER(-LEFT(CH231,8))),VALUE(LEFT(CH231,4)),VALUE(LEFT(CH231,FIND("-",CH231)-1)))+2000,IF(AND(LEN(CH231)=9,ISERROR(FIND("-",LEFT(CH231,8))),ISNUMBER(-LEFT(CH231,8))),VALUE(LEFT(CH231,4)),VALUE(LEFT(CH231,FIND("-",CH231)-1)))),""))</f>
        <v/>
      </c>
      <c r="CN231">
        <f>IF(CH231="","",IFERROR(IF(AND(LEN(CH231)=9,ISERROR(FIND("-",LEFT(CH231,8))),ISNUMBER(-LEFT(CH231,8))),VALUE(MID(CH231,5,2)),VALUE(MID(CH231,FIND("-",CH231)+1,FIND("-",CH231,FIND("-",CH231)+1)-FIND("-",CH231)-1))),""))</f>
        <v/>
      </c>
      <c r="CO231">
        <f>IF(CH231="","",IFERROR(IF(AND(LEN(CH231)=9,ISERROR(FIND("-",LEFT(CH231,8))),ISNUMBER(-LEFT(CH231,8))),VALUE(MID(CH231,7,2)),VALUE(MID(CH231,FIND("-",CH231,FIND("-",CH231)+1)+1,FIND("-",CH231,FIND("-",CH231,FIND("-",CH231)+1)+1)-FIND("-",CH231,FIND("-",CH231)+1)-1))),""))</f>
        <v/>
      </c>
    </row>
    <row r="232">
      <c r="CH232">
        <f>IF(ISTEXT('월 가계부'!A232),SUBSTITUTE(SUBSTITUTE(SUBSTITUTE(SUBSTITUTE(SUBSTITUTE(SUBSTITUTE(SUBSTITUTE(SUBSTITUTE(SUBSTITUTE(TRIM('월 가계부'!A232),"년","-"),"월","-"),"일",""),".","-"),"/","-")," ","-"),"--","-"),"--","-"),"--","-")&amp;"-","")</f>
        <v/>
      </c>
      <c r="CI232">
        <f>IFERROR(IF('월 가계부'!A232="","",IF(ISNUMBER('월 가계부'!A232),IF(AND('월 가계부'!A232&gt;=19000101,'월 가계부'!A232&lt;=21001231),IF(AND(MOD(INT('월 가계부'!A232/100),100)&gt;=1,MOD(INT('월 가계부'!A232/100),100)&lt;=12,MOD(INT('월 가계부'!A232),100)&gt;=1,MOD(INT('월 가계부'!A232),100)&lt;=31),IF(MONTH(DATE(INT('월 가계부'!A232/10000),MOD(INT('월 가계부'!A232/100),100),MOD(INT('월 가계부'!A232),100)))=MOD(INT('월 가계부'!A232/100),100),DATE(INT('월 가계부'!A232/10000),MOD(INT('월 가계부'!A232/100),100),MOD(INT('월 가계부'!A232),100)),""),""),IF(AND('월 가계부'!A232&gt;=36526,'월 가계부'!A232&lt;73051),INT('월 가계부'!A232),"")),IF(OR(CM232="",CN232="",CO232=""),"",IF(AND(CM232&gt;=2000,CM232&lt;=2099,CN232&gt;=1,CN232&lt;=12,CO232&gt;=1,CO232&lt;=31),IF(MONTH(DATE(CM232,CN232,CO232))=CN232,DATE(CM232,CN232,CO232),""),"")))),"")</f>
        <v/>
      </c>
      <c r="CJ232">
        <f>IFERROR(IF('월 가계부'!C232="","",IF(ISNUMBER('월 가계부'!C232),'월 가계부'!C232,VALUE(SUBSTITUTE(SUBSTITUTE(SUBSTITUTE(SUBSTITUTE(TRIM('월 가계부'!C232),",",""),"원","")," ",""),"−","-")))),"")</f>
        <v/>
      </c>
      <c r="CK232">
        <f>IF(ISNUMBER(CI232),IF(CI232&lt;$B$13,CI232,""),"")</f>
        <v/>
      </c>
      <c r="CM232">
        <f>IF(CH232="","",IFERROR(IF(IF(AND(LEN(CH232)=9,ISERROR(FIND("-",LEFT(CH232,8))),ISNUMBER(-LEFT(CH232,8))),VALUE(LEFT(CH232,4)),VALUE(LEFT(CH232,FIND("-",CH232)-1)))&lt;100,IF(AND(LEN(CH232)=9,ISERROR(FIND("-",LEFT(CH232,8))),ISNUMBER(-LEFT(CH232,8))),VALUE(LEFT(CH232,4)),VALUE(LEFT(CH232,FIND("-",CH232)-1)))+2000,IF(AND(LEN(CH232)=9,ISERROR(FIND("-",LEFT(CH232,8))),ISNUMBER(-LEFT(CH232,8))),VALUE(LEFT(CH232,4)),VALUE(LEFT(CH232,FIND("-",CH232)-1)))),""))</f>
        <v/>
      </c>
      <c r="CN232">
        <f>IF(CH232="","",IFERROR(IF(AND(LEN(CH232)=9,ISERROR(FIND("-",LEFT(CH232,8))),ISNUMBER(-LEFT(CH232,8))),VALUE(MID(CH232,5,2)),VALUE(MID(CH232,FIND("-",CH232)+1,FIND("-",CH232,FIND("-",CH232)+1)-FIND("-",CH232)-1))),""))</f>
        <v/>
      </c>
      <c r="CO232">
        <f>IF(CH232="","",IFERROR(IF(AND(LEN(CH232)=9,ISERROR(FIND("-",LEFT(CH232,8))),ISNUMBER(-LEFT(CH232,8))),VALUE(MID(CH232,7,2)),VALUE(MID(CH232,FIND("-",CH232,FIND("-",CH232)+1)+1,FIND("-",CH232,FIND("-",CH232,FIND("-",CH232)+1)+1)-FIND("-",CH232,FIND("-",CH232)+1)-1))),""))</f>
        <v/>
      </c>
    </row>
    <row r="233">
      <c r="CH233">
        <f>IF(ISTEXT('월 가계부'!A233),SUBSTITUTE(SUBSTITUTE(SUBSTITUTE(SUBSTITUTE(SUBSTITUTE(SUBSTITUTE(SUBSTITUTE(SUBSTITUTE(SUBSTITUTE(TRIM('월 가계부'!A233),"년","-"),"월","-"),"일",""),".","-"),"/","-")," ","-"),"--","-"),"--","-"),"--","-")&amp;"-","")</f>
        <v/>
      </c>
      <c r="CI233">
        <f>IFERROR(IF('월 가계부'!A233="","",IF(ISNUMBER('월 가계부'!A233),IF(AND('월 가계부'!A233&gt;=19000101,'월 가계부'!A233&lt;=21001231),IF(AND(MOD(INT('월 가계부'!A233/100),100)&gt;=1,MOD(INT('월 가계부'!A233/100),100)&lt;=12,MOD(INT('월 가계부'!A233),100)&gt;=1,MOD(INT('월 가계부'!A233),100)&lt;=31),IF(MONTH(DATE(INT('월 가계부'!A233/10000),MOD(INT('월 가계부'!A233/100),100),MOD(INT('월 가계부'!A233),100)))=MOD(INT('월 가계부'!A233/100),100),DATE(INT('월 가계부'!A233/10000),MOD(INT('월 가계부'!A233/100),100),MOD(INT('월 가계부'!A233),100)),""),""),IF(AND('월 가계부'!A233&gt;=36526,'월 가계부'!A233&lt;73051),INT('월 가계부'!A233),"")),IF(OR(CM233="",CN233="",CO233=""),"",IF(AND(CM233&gt;=2000,CM233&lt;=2099,CN233&gt;=1,CN233&lt;=12,CO233&gt;=1,CO233&lt;=31),IF(MONTH(DATE(CM233,CN233,CO233))=CN233,DATE(CM233,CN233,CO233),""),"")))),"")</f>
        <v/>
      </c>
      <c r="CJ233">
        <f>IFERROR(IF('월 가계부'!C233="","",IF(ISNUMBER('월 가계부'!C233),'월 가계부'!C233,VALUE(SUBSTITUTE(SUBSTITUTE(SUBSTITUTE(SUBSTITUTE(TRIM('월 가계부'!C233),",",""),"원","")," ",""),"−","-")))),"")</f>
        <v/>
      </c>
      <c r="CK233">
        <f>IF(ISNUMBER(CI233),IF(CI233&lt;$B$13,CI233,""),"")</f>
        <v/>
      </c>
      <c r="CM233">
        <f>IF(CH233="","",IFERROR(IF(IF(AND(LEN(CH233)=9,ISERROR(FIND("-",LEFT(CH233,8))),ISNUMBER(-LEFT(CH233,8))),VALUE(LEFT(CH233,4)),VALUE(LEFT(CH233,FIND("-",CH233)-1)))&lt;100,IF(AND(LEN(CH233)=9,ISERROR(FIND("-",LEFT(CH233,8))),ISNUMBER(-LEFT(CH233,8))),VALUE(LEFT(CH233,4)),VALUE(LEFT(CH233,FIND("-",CH233)-1)))+2000,IF(AND(LEN(CH233)=9,ISERROR(FIND("-",LEFT(CH233,8))),ISNUMBER(-LEFT(CH233,8))),VALUE(LEFT(CH233,4)),VALUE(LEFT(CH233,FIND("-",CH233)-1)))),""))</f>
        <v/>
      </c>
      <c r="CN233">
        <f>IF(CH233="","",IFERROR(IF(AND(LEN(CH233)=9,ISERROR(FIND("-",LEFT(CH233,8))),ISNUMBER(-LEFT(CH233,8))),VALUE(MID(CH233,5,2)),VALUE(MID(CH233,FIND("-",CH233)+1,FIND("-",CH233,FIND("-",CH233)+1)-FIND("-",CH233)-1))),""))</f>
        <v/>
      </c>
      <c r="CO233">
        <f>IF(CH233="","",IFERROR(IF(AND(LEN(CH233)=9,ISERROR(FIND("-",LEFT(CH233,8))),ISNUMBER(-LEFT(CH233,8))),VALUE(MID(CH233,7,2)),VALUE(MID(CH233,FIND("-",CH233,FIND("-",CH233)+1)+1,FIND("-",CH233,FIND("-",CH233,FIND("-",CH233)+1)+1)-FIND("-",CH233,FIND("-",CH233)+1)-1))),""))</f>
        <v/>
      </c>
    </row>
    <row r="234">
      <c r="CH234">
        <f>IF(ISTEXT('월 가계부'!A234),SUBSTITUTE(SUBSTITUTE(SUBSTITUTE(SUBSTITUTE(SUBSTITUTE(SUBSTITUTE(SUBSTITUTE(SUBSTITUTE(SUBSTITUTE(TRIM('월 가계부'!A234),"년","-"),"월","-"),"일",""),".","-"),"/","-")," ","-"),"--","-"),"--","-"),"--","-")&amp;"-","")</f>
        <v/>
      </c>
      <c r="CI234">
        <f>IFERROR(IF('월 가계부'!A234="","",IF(ISNUMBER('월 가계부'!A234),IF(AND('월 가계부'!A234&gt;=19000101,'월 가계부'!A234&lt;=21001231),IF(AND(MOD(INT('월 가계부'!A234/100),100)&gt;=1,MOD(INT('월 가계부'!A234/100),100)&lt;=12,MOD(INT('월 가계부'!A234),100)&gt;=1,MOD(INT('월 가계부'!A234),100)&lt;=31),IF(MONTH(DATE(INT('월 가계부'!A234/10000),MOD(INT('월 가계부'!A234/100),100),MOD(INT('월 가계부'!A234),100)))=MOD(INT('월 가계부'!A234/100),100),DATE(INT('월 가계부'!A234/10000),MOD(INT('월 가계부'!A234/100),100),MOD(INT('월 가계부'!A234),100)),""),""),IF(AND('월 가계부'!A234&gt;=36526,'월 가계부'!A234&lt;73051),INT('월 가계부'!A234),"")),IF(OR(CM234="",CN234="",CO234=""),"",IF(AND(CM234&gt;=2000,CM234&lt;=2099,CN234&gt;=1,CN234&lt;=12,CO234&gt;=1,CO234&lt;=31),IF(MONTH(DATE(CM234,CN234,CO234))=CN234,DATE(CM234,CN234,CO234),""),"")))),"")</f>
        <v/>
      </c>
      <c r="CJ234">
        <f>IFERROR(IF('월 가계부'!C234="","",IF(ISNUMBER('월 가계부'!C234),'월 가계부'!C234,VALUE(SUBSTITUTE(SUBSTITUTE(SUBSTITUTE(SUBSTITUTE(TRIM('월 가계부'!C234),",",""),"원","")," ",""),"−","-")))),"")</f>
        <v/>
      </c>
      <c r="CK234">
        <f>IF(ISNUMBER(CI234),IF(CI234&lt;$B$13,CI234,""),"")</f>
        <v/>
      </c>
      <c r="CM234">
        <f>IF(CH234="","",IFERROR(IF(IF(AND(LEN(CH234)=9,ISERROR(FIND("-",LEFT(CH234,8))),ISNUMBER(-LEFT(CH234,8))),VALUE(LEFT(CH234,4)),VALUE(LEFT(CH234,FIND("-",CH234)-1)))&lt;100,IF(AND(LEN(CH234)=9,ISERROR(FIND("-",LEFT(CH234,8))),ISNUMBER(-LEFT(CH234,8))),VALUE(LEFT(CH234,4)),VALUE(LEFT(CH234,FIND("-",CH234)-1)))+2000,IF(AND(LEN(CH234)=9,ISERROR(FIND("-",LEFT(CH234,8))),ISNUMBER(-LEFT(CH234,8))),VALUE(LEFT(CH234,4)),VALUE(LEFT(CH234,FIND("-",CH234)-1)))),""))</f>
        <v/>
      </c>
      <c r="CN234">
        <f>IF(CH234="","",IFERROR(IF(AND(LEN(CH234)=9,ISERROR(FIND("-",LEFT(CH234,8))),ISNUMBER(-LEFT(CH234,8))),VALUE(MID(CH234,5,2)),VALUE(MID(CH234,FIND("-",CH234)+1,FIND("-",CH234,FIND("-",CH234)+1)-FIND("-",CH234)-1))),""))</f>
        <v/>
      </c>
      <c r="CO234">
        <f>IF(CH234="","",IFERROR(IF(AND(LEN(CH234)=9,ISERROR(FIND("-",LEFT(CH234,8))),ISNUMBER(-LEFT(CH234,8))),VALUE(MID(CH234,7,2)),VALUE(MID(CH234,FIND("-",CH234,FIND("-",CH234)+1)+1,FIND("-",CH234,FIND("-",CH234,FIND("-",CH234)+1)+1)-FIND("-",CH234,FIND("-",CH234)+1)-1))),""))</f>
        <v/>
      </c>
    </row>
    <row r="235">
      <c r="CH235">
        <f>IF(ISTEXT('월 가계부'!A235),SUBSTITUTE(SUBSTITUTE(SUBSTITUTE(SUBSTITUTE(SUBSTITUTE(SUBSTITUTE(SUBSTITUTE(SUBSTITUTE(SUBSTITUTE(TRIM('월 가계부'!A235),"년","-"),"월","-"),"일",""),".","-"),"/","-")," ","-"),"--","-"),"--","-"),"--","-")&amp;"-","")</f>
        <v/>
      </c>
      <c r="CI235">
        <f>IFERROR(IF('월 가계부'!A235="","",IF(ISNUMBER('월 가계부'!A235),IF(AND('월 가계부'!A235&gt;=19000101,'월 가계부'!A235&lt;=21001231),IF(AND(MOD(INT('월 가계부'!A235/100),100)&gt;=1,MOD(INT('월 가계부'!A235/100),100)&lt;=12,MOD(INT('월 가계부'!A235),100)&gt;=1,MOD(INT('월 가계부'!A235),100)&lt;=31),IF(MONTH(DATE(INT('월 가계부'!A235/10000),MOD(INT('월 가계부'!A235/100),100),MOD(INT('월 가계부'!A235),100)))=MOD(INT('월 가계부'!A235/100),100),DATE(INT('월 가계부'!A235/10000),MOD(INT('월 가계부'!A235/100),100),MOD(INT('월 가계부'!A235),100)),""),""),IF(AND('월 가계부'!A235&gt;=36526,'월 가계부'!A235&lt;73051),INT('월 가계부'!A235),"")),IF(OR(CM235="",CN235="",CO235=""),"",IF(AND(CM235&gt;=2000,CM235&lt;=2099,CN235&gt;=1,CN235&lt;=12,CO235&gt;=1,CO235&lt;=31),IF(MONTH(DATE(CM235,CN235,CO235))=CN235,DATE(CM235,CN235,CO235),""),"")))),"")</f>
        <v/>
      </c>
      <c r="CJ235">
        <f>IFERROR(IF('월 가계부'!C235="","",IF(ISNUMBER('월 가계부'!C235),'월 가계부'!C235,VALUE(SUBSTITUTE(SUBSTITUTE(SUBSTITUTE(SUBSTITUTE(TRIM('월 가계부'!C235),",",""),"원","")," ",""),"−","-")))),"")</f>
        <v/>
      </c>
      <c r="CK235">
        <f>IF(ISNUMBER(CI235),IF(CI235&lt;$B$13,CI235,""),"")</f>
        <v/>
      </c>
      <c r="CM235">
        <f>IF(CH235="","",IFERROR(IF(IF(AND(LEN(CH235)=9,ISERROR(FIND("-",LEFT(CH235,8))),ISNUMBER(-LEFT(CH235,8))),VALUE(LEFT(CH235,4)),VALUE(LEFT(CH235,FIND("-",CH235)-1)))&lt;100,IF(AND(LEN(CH235)=9,ISERROR(FIND("-",LEFT(CH235,8))),ISNUMBER(-LEFT(CH235,8))),VALUE(LEFT(CH235,4)),VALUE(LEFT(CH235,FIND("-",CH235)-1)))+2000,IF(AND(LEN(CH235)=9,ISERROR(FIND("-",LEFT(CH235,8))),ISNUMBER(-LEFT(CH235,8))),VALUE(LEFT(CH235,4)),VALUE(LEFT(CH235,FIND("-",CH235)-1)))),""))</f>
        <v/>
      </c>
      <c r="CN235">
        <f>IF(CH235="","",IFERROR(IF(AND(LEN(CH235)=9,ISERROR(FIND("-",LEFT(CH235,8))),ISNUMBER(-LEFT(CH235,8))),VALUE(MID(CH235,5,2)),VALUE(MID(CH235,FIND("-",CH235)+1,FIND("-",CH235,FIND("-",CH235)+1)-FIND("-",CH235)-1))),""))</f>
        <v/>
      </c>
      <c r="CO235">
        <f>IF(CH235="","",IFERROR(IF(AND(LEN(CH235)=9,ISERROR(FIND("-",LEFT(CH235,8))),ISNUMBER(-LEFT(CH235,8))),VALUE(MID(CH235,7,2)),VALUE(MID(CH235,FIND("-",CH235,FIND("-",CH235)+1)+1,FIND("-",CH235,FIND("-",CH235,FIND("-",CH235)+1)+1)-FIND("-",CH235,FIND("-",CH235)+1)-1))),""))</f>
        <v/>
      </c>
    </row>
    <row r="236">
      <c r="CH236">
        <f>IF(ISTEXT('월 가계부'!A236),SUBSTITUTE(SUBSTITUTE(SUBSTITUTE(SUBSTITUTE(SUBSTITUTE(SUBSTITUTE(SUBSTITUTE(SUBSTITUTE(SUBSTITUTE(TRIM('월 가계부'!A236),"년","-"),"월","-"),"일",""),".","-"),"/","-")," ","-"),"--","-"),"--","-"),"--","-")&amp;"-","")</f>
        <v/>
      </c>
      <c r="CI236">
        <f>IFERROR(IF('월 가계부'!A236="","",IF(ISNUMBER('월 가계부'!A236),IF(AND('월 가계부'!A236&gt;=19000101,'월 가계부'!A236&lt;=21001231),IF(AND(MOD(INT('월 가계부'!A236/100),100)&gt;=1,MOD(INT('월 가계부'!A236/100),100)&lt;=12,MOD(INT('월 가계부'!A236),100)&gt;=1,MOD(INT('월 가계부'!A236),100)&lt;=31),IF(MONTH(DATE(INT('월 가계부'!A236/10000),MOD(INT('월 가계부'!A236/100),100),MOD(INT('월 가계부'!A236),100)))=MOD(INT('월 가계부'!A236/100),100),DATE(INT('월 가계부'!A236/10000),MOD(INT('월 가계부'!A236/100),100),MOD(INT('월 가계부'!A236),100)),""),""),IF(AND('월 가계부'!A236&gt;=36526,'월 가계부'!A236&lt;73051),INT('월 가계부'!A236),"")),IF(OR(CM236="",CN236="",CO236=""),"",IF(AND(CM236&gt;=2000,CM236&lt;=2099,CN236&gt;=1,CN236&lt;=12,CO236&gt;=1,CO236&lt;=31),IF(MONTH(DATE(CM236,CN236,CO236))=CN236,DATE(CM236,CN236,CO236),""),"")))),"")</f>
        <v/>
      </c>
      <c r="CJ236">
        <f>IFERROR(IF('월 가계부'!C236="","",IF(ISNUMBER('월 가계부'!C236),'월 가계부'!C236,VALUE(SUBSTITUTE(SUBSTITUTE(SUBSTITUTE(SUBSTITUTE(TRIM('월 가계부'!C236),",",""),"원","")," ",""),"−","-")))),"")</f>
        <v/>
      </c>
      <c r="CK236">
        <f>IF(ISNUMBER(CI236),IF(CI236&lt;$B$13,CI236,""),"")</f>
        <v/>
      </c>
      <c r="CM236">
        <f>IF(CH236="","",IFERROR(IF(IF(AND(LEN(CH236)=9,ISERROR(FIND("-",LEFT(CH236,8))),ISNUMBER(-LEFT(CH236,8))),VALUE(LEFT(CH236,4)),VALUE(LEFT(CH236,FIND("-",CH236)-1)))&lt;100,IF(AND(LEN(CH236)=9,ISERROR(FIND("-",LEFT(CH236,8))),ISNUMBER(-LEFT(CH236,8))),VALUE(LEFT(CH236,4)),VALUE(LEFT(CH236,FIND("-",CH236)-1)))+2000,IF(AND(LEN(CH236)=9,ISERROR(FIND("-",LEFT(CH236,8))),ISNUMBER(-LEFT(CH236,8))),VALUE(LEFT(CH236,4)),VALUE(LEFT(CH236,FIND("-",CH236)-1)))),""))</f>
        <v/>
      </c>
      <c r="CN236">
        <f>IF(CH236="","",IFERROR(IF(AND(LEN(CH236)=9,ISERROR(FIND("-",LEFT(CH236,8))),ISNUMBER(-LEFT(CH236,8))),VALUE(MID(CH236,5,2)),VALUE(MID(CH236,FIND("-",CH236)+1,FIND("-",CH236,FIND("-",CH236)+1)-FIND("-",CH236)-1))),""))</f>
        <v/>
      </c>
      <c r="CO236">
        <f>IF(CH236="","",IFERROR(IF(AND(LEN(CH236)=9,ISERROR(FIND("-",LEFT(CH236,8))),ISNUMBER(-LEFT(CH236,8))),VALUE(MID(CH236,7,2)),VALUE(MID(CH236,FIND("-",CH236,FIND("-",CH236)+1)+1,FIND("-",CH236,FIND("-",CH236,FIND("-",CH236)+1)+1)-FIND("-",CH236,FIND("-",CH236)+1)-1))),""))</f>
        <v/>
      </c>
    </row>
    <row r="237">
      <c r="CH237">
        <f>IF(ISTEXT('월 가계부'!A237),SUBSTITUTE(SUBSTITUTE(SUBSTITUTE(SUBSTITUTE(SUBSTITUTE(SUBSTITUTE(SUBSTITUTE(SUBSTITUTE(SUBSTITUTE(TRIM('월 가계부'!A237),"년","-"),"월","-"),"일",""),".","-"),"/","-")," ","-"),"--","-"),"--","-"),"--","-")&amp;"-","")</f>
        <v/>
      </c>
      <c r="CI237">
        <f>IFERROR(IF('월 가계부'!A237="","",IF(ISNUMBER('월 가계부'!A237),IF(AND('월 가계부'!A237&gt;=19000101,'월 가계부'!A237&lt;=21001231),IF(AND(MOD(INT('월 가계부'!A237/100),100)&gt;=1,MOD(INT('월 가계부'!A237/100),100)&lt;=12,MOD(INT('월 가계부'!A237),100)&gt;=1,MOD(INT('월 가계부'!A237),100)&lt;=31),IF(MONTH(DATE(INT('월 가계부'!A237/10000),MOD(INT('월 가계부'!A237/100),100),MOD(INT('월 가계부'!A237),100)))=MOD(INT('월 가계부'!A237/100),100),DATE(INT('월 가계부'!A237/10000),MOD(INT('월 가계부'!A237/100),100),MOD(INT('월 가계부'!A237),100)),""),""),IF(AND('월 가계부'!A237&gt;=36526,'월 가계부'!A237&lt;73051),INT('월 가계부'!A237),"")),IF(OR(CM237="",CN237="",CO237=""),"",IF(AND(CM237&gt;=2000,CM237&lt;=2099,CN237&gt;=1,CN237&lt;=12,CO237&gt;=1,CO237&lt;=31),IF(MONTH(DATE(CM237,CN237,CO237))=CN237,DATE(CM237,CN237,CO237),""),"")))),"")</f>
        <v/>
      </c>
      <c r="CJ237">
        <f>IFERROR(IF('월 가계부'!C237="","",IF(ISNUMBER('월 가계부'!C237),'월 가계부'!C237,VALUE(SUBSTITUTE(SUBSTITUTE(SUBSTITUTE(SUBSTITUTE(TRIM('월 가계부'!C237),",",""),"원","")," ",""),"−","-")))),"")</f>
        <v/>
      </c>
      <c r="CK237">
        <f>IF(ISNUMBER(CI237),IF(CI237&lt;$B$13,CI237,""),"")</f>
        <v/>
      </c>
      <c r="CM237">
        <f>IF(CH237="","",IFERROR(IF(IF(AND(LEN(CH237)=9,ISERROR(FIND("-",LEFT(CH237,8))),ISNUMBER(-LEFT(CH237,8))),VALUE(LEFT(CH237,4)),VALUE(LEFT(CH237,FIND("-",CH237)-1)))&lt;100,IF(AND(LEN(CH237)=9,ISERROR(FIND("-",LEFT(CH237,8))),ISNUMBER(-LEFT(CH237,8))),VALUE(LEFT(CH237,4)),VALUE(LEFT(CH237,FIND("-",CH237)-1)))+2000,IF(AND(LEN(CH237)=9,ISERROR(FIND("-",LEFT(CH237,8))),ISNUMBER(-LEFT(CH237,8))),VALUE(LEFT(CH237,4)),VALUE(LEFT(CH237,FIND("-",CH237)-1)))),""))</f>
        <v/>
      </c>
      <c r="CN237">
        <f>IF(CH237="","",IFERROR(IF(AND(LEN(CH237)=9,ISERROR(FIND("-",LEFT(CH237,8))),ISNUMBER(-LEFT(CH237,8))),VALUE(MID(CH237,5,2)),VALUE(MID(CH237,FIND("-",CH237)+1,FIND("-",CH237,FIND("-",CH237)+1)-FIND("-",CH237)-1))),""))</f>
        <v/>
      </c>
      <c r="CO237">
        <f>IF(CH237="","",IFERROR(IF(AND(LEN(CH237)=9,ISERROR(FIND("-",LEFT(CH237,8))),ISNUMBER(-LEFT(CH237,8))),VALUE(MID(CH237,7,2)),VALUE(MID(CH237,FIND("-",CH237,FIND("-",CH237)+1)+1,FIND("-",CH237,FIND("-",CH237,FIND("-",CH237)+1)+1)-FIND("-",CH237,FIND("-",CH237)+1)-1))),""))</f>
        <v/>
      </c>
    </row>
    <row r="238">
      <c r="CH238">
        <f>IF(ISTEXT('월 가계부'!A238),SUBSTITUTE(SUBSTITUTE(SUBSTITUTE(SUBSTITUTE(SUBSTITUTE(SUBSTITUTE(SUBSTITUTE(SUBSTITUTE(SUBSTITUTE(TRIM('월 가계부'!A238),"년","-"),"월","-"),"일",""),".","-"),"/","-")," ","-"),"--","-"),"--","-"),"--","-")&amp;"-","")</f>
        <v/>
      </c>
      <c r="CI238">
        <f>IFERROR(IF('월 가계부'!A238="","",IF(ISNUMBER('월 가계부'!A238),IF(AND('월 가계부'!A238&gt;=19000101,'월 가계부'!A238&lt;=21001231),IF(AND(MOD(INT('월 가계부'!A238/100),100)&gt;=1,MOD(INT('월 가계부'!A238/100),100)&lt;=12,MOD(INT('월 가계부'!A238),100)&gt;=1,MOD(INT('월 가계부'!A238),100)&lt;=31),IF(MONTH(DATE(INT('월 가계부'!A238/10000),MOD(INT('월 가계부'!A238/100),100),MOD(INT('월 가계부'!A238),100)))=MOD(INT('월 가계부'!A238/100),100),DATE(INT('월 가계부'!A238/10000),MOD(INT('월 가계부'!A238/100),100),MOD(INT('월 가계부'!A238),100)),""),""),IF(AND('월 가계부'!A238&gt;=36526,'월 가계부'!A238&lt;73051),INT('월 가계부'!A238),"")),IF(OR(CM238="",CN238="",CO238=""),"",IF(AND(CM238&gt;=2000,CM238&lt;=2099,CN238&gt;=1,CN238&lt;=12,CO238&gt;=1,CO238&lt;=31),IF(MONTH(DATE(CM238,CN238,CO238))=CN238,DATE(CM238,CN238,CO238),""),"")))),"")</f>
        <v/>
      </c>
      <c r="CJ238">
        <f>IFERROR(IF('월 가계부'!C238="","",IF(ISNUMBER('월 가계부'!C238),'월 가계부'!C238,VALUE(SUBSTITUTE(SUBSTITUTE(SUBSTITUTE(SUBSTITUTE(TRIM('월 가계부'!C238),",",""),"원","")," ",""),"−","-")))),"")</f>
        <v/>
      </c>
      <c r="CK238">
        <f>IF(ISNUMBER(CI238),IF(CI238&lt;$B$13,CI238,""),"")</f>
        <v/>
      </c>
      <c r="CM238">
        <f>IF(CH238="","",IFERROR(IF(IF(AND(LEN(CH238)=9,ISERROR(FIND("-",LEFT(CH238,8))),ISNUMBER(-LEFT(CH238,8))),VALUE(LEFT(CH238,4)),VALUE(LEFT(CH238,FIND("-",CH238)-1)))&lt;100,IF(AND(LEN(CH238)=9,ISERROR(FIND("-",LEFT(CH238,8))),ISNUMBER(-LEFT(CH238,8))),VALUE(LEFT(CH238,4)),VALUE(LEFT(CH238,FIND("-",CH238)-1)))+2000,IF(AND(LEN(CH238)=9,ISERROR(FIND("-",LEFT(CH238,8))),ISNUMBER(-LEFT(CH238,8))),VALUE(LEFT(CH238,4)),VALUE(LEFT(CH238,FIND("-",CH238)-1)))),""))</f>
        <v/>
      </c>
      <c r="CN238">
        <f>IF(CH238="","",IFERROR(IF(AND(LEN(CH238)=9,ISERROR(FIND("-",LEFT(CH238,8))),ISNUMBER(-LEFT(CH238,8))),VALUE(MID(CH238,5,2)),VALUE(MID(CH238,FIND("-",CH238)+1,FIND("-",CH238,FIND("-",CH238)+1)-FIND("-",CH238)-1))),""))</f>
        <v/>
      </c>
      <c r="CO238">
        <f>IF(CH238="","",IFERROR(IF(AND(LEN(CH238)=9,ISERROR(FIND("-",LEFT(CH238,8))),ISNUMBER(-LEFT(CH238,8))),VALUE(MID(CH238,7,2)),VALUE(MID(CH238,FIND("-",CH238,FIND("-",CH238)+1)+1,FIND("-",CH238,FIND("-",CH238,FIND("-",CH238)+1)+1)-FIND("-",CH238,FIND("-",CH238)+1)-1))),""))</f>
        <v/>
      </c>
    </row>
    <row r="239">
      <c r="CH239">
        <f>IF(ISTEXT('월 가계부'!A239),SUBSTITUTE(SUBSTITUTE(SUBSTITUTE(SUBSTITUTE(SUBSTITUTE(SUBSTITUTE(SUBSTITUTE(SUBSTITUTE(SUBSTITUTE(TRIM('월 가계부'!A239),"년","-"),"월","-"),"일",""),".","-"),"/","-")," ","-"),"--","-"),"--","-"),"--","-")&amp;"-","")</f>
        <v/>
      </c>
      <c r="CI239">
        <f>IFERROR(IF('월 가계부'!A239="","",IF(ISNUMBER('월 가계부'!A239),IF(AND('월 가계부'!A239&gt;=19000101,'월 가계부'!A239&lt;=21001231),IF(AND(MOD(INT('월 가계부'!A239/100),100)&gt;=1,MOD(INT('월 가계부'!A239/100),100)&lt;=12,MOD(INT('월 가계부'!A239),100)&gt;=1,MOD(INT('월 가계부'!A239),100)&lt;=31),IF(MONTH(DATE(INT('월 가계부'!A239/10000),MOD(INT('월 가계부'!A239/100),100),MOD(INT('월 가계부'!A239),100)))=MOD(INT('월 가계부'!A239/100),100),DATE(INT('월 가계부'!A239/10000),MOD(INT('월 가계부'!A239/100),100),MOD(INT('월 가계부'!A239),100)),""),""),IF(AND('월 가계부'!A239&gt;=36526,'월 가계부'!A239&lt;73051),INT('월 가계부'!A239),"")),IF(OR(CM239="",CN239="",CO239=""),"",IF(AND(CM239&gt;=2000,CM239&lt;=2099,CN239&gt;=1,CN239&lt;=12,CO239&gt;=1,CO239&lt;=31),IF(MONTH(DATE(CM239,CN239,CO239))=CN239,DATE(CM239,CN239,CO239),""),"")))),"")</f>
        <v/>
      </c>
      <c r="CJ239">
        <f>IFERROR(IF('월 가계부'!C239="","",IF(ISNUMBER('월 가계부'!C239),'월 가계부'!C239,VALUE(SUBSTITUTE(SUBSTITUTE(SUBSTITUTE(SUBSTITUTE(TRIM('월 가계부'!C239),",",""),"원","")," ",""),"−","-")))),"")</f>
        <v/>
      </c>
      <c r="CK239">
        <f>IF(ISNUMBER(CI239),IF(CI239&lt;$B$13,CI239,""),"")</f>
        <v/>
      </c>
      <c r="CM239">
        <f>IF(CH239="","",IFERROR(IF(IF(AND(LEN(CH239)=9,ISERROR(FIND("-",LEFT(CH239,8))),ISNUMBER(-LEFT(CH239,8))),VALUE(LEFT(CH239,4)),VALUE(LEFT(CH239,FIND("-",CH239)-1)))&lt;100,IF(AND(LEN(CH239)=9,ISERROR(FIND("-",LEFT(CH239,8))),ISNUMBER(-LEFT(CH239,8))),VALUE(LEFT(CH239,4)),VALUE(LEFT(CH239,FIND("-",CH239)-1)))+2000,IF(AND(LEN(CH239)=9,ISERROR(FIND("-",LEFT(CH239,8))),ISNUMBER(-LEFT(CH239,8))),VALUE(LEFT(CH239,4)),VALUE(LEFT(CH239,FIND("-",CH239)-1)))),""))</f>
        <v/>
      </c>
      <c r="CN239">
        <f>IF(CH239="","",IFERROR(IF(AND(LEN(CH239)=9,ISERROR(FIND("-",LEFT(CH239,8))),ISNUMBER(-LEFT(CH239,8))),VALUE(MID(CH239,5,2)),VALUE(MID(CH239,FIND("-",CH239)+1,FIND("-",CH239,FIND("-",CH239)+1)-FIND("-",CH239)-1))),""))</f>
        <v/>
      </c>
      <c r="CO239">
        <f>IF(CH239="","",IFERROR(IF(AND(LEN(CH239)=9,ISERROR(FIND("-",LEFT(CH239,8))),ISNUMBER(-LEFT(CH239,8))),VALUE(MID(CH239,7,2)),VALUE(MID(CH239,FIND("-",CH239,FIND("-",CH239)+1)+1,FIND("-",CH239,FIND("-",CH239,FIND("-",CH239)+1)+1)-FIND("-",CH239,FIND("-",CH239)+1)-1))),""))</f>
        <v/>
      </c>
    </row>
    <row r="240">
      <c r="CH240">
        <f>IF(ISTEXT('월 가계부'!A240),SUBSTITUTE(SUBSTITUTE(SUBSTITUTE(SUBSTITUTE(SUBSTITUTE(SUBSTITUTE(SUBSTITUTE(SUBSTITUTE(SUBSTITUTE(TRIM('월 가계부'!A240),"년","-"),"월","-"),"일",""),".","-"),"/","-")," ","-"),"--","-"),"--","-"),"--","-")&amp;"-","")</f>
        <v/>
      </c>
      <c r="CI240">
        <f>IFERROR(IF('월 가계부'!A240="","",IF(ISNUMBER('월 가계부'!A240),IF(AND('월 가계부'!A240&gt;=19000101,'월 가계부'!A240&lt;=21001231),IF(AND(MOD(INT('월 가계부'!A240/100),100)&gt;=1,MOD(INT('월 가계부'!A240/100),100)&lt;=12,MOD(INT('월 가계부'!A240),100)&gt;=1,MOD(INT('월 가계부'!A240),100)&lt;=31),IF(MONTH(DATE(INT('월 가계부'!A240/10000),MOD(INT('월 가계부'!A240/100),100),MOD(INT('월 가계부'!A240),100)))=MOD(INT('월 가계부'!A240/100),100),DATE(INT('월 가계부'!A240/10000),MOD(INT('월 가계부'!A240/100),100),MOD(INT('월 가계부'!A240),100)),""),""),IF(AND('월 가계부'!A240&gt;=36526,'월 가계부'!A240&lt;73051),INT('월 가계부'!A240),"")),IF(OR(CM240="",CN240="",CO240=""),"",IF(AND(CM240&gt;=2000,CM240&lt;=2099,CN240&gt;=1,CN240&lt;=12,CO240&gt;=1,CO240&lt;=31),IF(MONTH(DATE(CM240,CN240,CO240))=CN240,DATE(CM240,CN240,CO240),""),"")))),"")</f>
        <v/>
      </c>
      <c r="CJ240">
        <f>IFERROR(IF('월 가계부'!C240="","",IF(ISNUMBER('월 가계부'!C240),'월 가계부'!C240,VALUE(SUBSTITUTE(SUBSTITUTE(SUBSTITUTE(SUBSTITUTE(TRIM('월 가계부'!C240),",",""),"원","")," ",""),"−","-")))),"")</f>
        <v/>
      </c>
      <c r="CK240">
        <f>IF(ISNUMBER(CI240),IF(CI240&lt;$B$13,CI240,""),"")</f>
        <v/>
      </c>
      <c r="CM240">
        <f>IF(CH240="","",IFERROR(IF(IF(AND(LEN(CH240)=9,ISERROR(FIND("-",LEFT(CH240,8))),ISNUMBER(-LEFT(CH240,8))),VALUE(LEFT(CH240,4)),VALUE(LEFT(CH240,FIND("-",CH240)-1)))&lt;100,IF(AND(LEN(CH240)=9,ISERROR(FIND("-",LEFT(CH240,8))),ISNUMBER(-LEFT(CH240,8))),VALUE(LEFT(CH240,4)),VALUE(LEFT(CH240,FIND("-",CH240)-1)))+2000,IF(AND(LEN(CH240)=9,ISERROR(FIND("-",LEFT(CH240,8))),ISNUMBER(-LEFT(CH240,8))),VALUE(LEFT(CH240,4)),VALUE(LEFT(CH240,FIND("-",CH240)-1)))),""))</f>
        <v/>
      </c>
      <c r="CN240">
        <f>IF(CH240="","",IFERROR(IF(AND(LEN(CH240)=9,ISERROR(FIND("-",LEFT(CH240,8))),ISNUMBER(-LEFT(CH240,8))),VALUE(MID(CH240,5,2)),VALUE(MID(CH240,FIND("-",CH240)+1,FIND("-",CH240,FIND("-",CH240)+1)-FIND("-",CH240)-1))),""))</f>
        <v/>
      </c>
      <c r="CO240">
        <f>IF(CH240="","",IFERROR(IF(AND(LEN(CH240)=9,ISERROR(FIND("-",LEFT(CH240,8))),ISNUMBER(-LEFT(CH240,8))),VALUE(MID(CH240,7,2)),VALUE(MID(CH240,FIND("-",CH240,FIND("-",CH240)+1)+1,FIND("-",CH240,FIND("-",CH240,FIND("-",CH240)+1)+1)-FIND("-",CH240,FIND("-",CH240)+1)-1))),""))</f>
        <v/>
      </c>
    </row>
    <row r="241">
      <c r="CH241">
        <f>IF(ISTEXT('월 가계부'!A241),SUBSTITUTE(SUBSTITUTE(SUBSTITUTE(SUBSTITUTE(SUBSTITUTE(SUBSTITUTE(SUBSTITUTE(SUBSTITUTE(SUBSTITUTE(TRIM('월 가계부'!A241),"년","-"),"월","-"),"일",""),".","-"),"/","-")," ","-"),"--","-"),"--","-"),"--","-")&amp;"-","")</f>
        <v/>
      </c>
      <c r="CI241">
        <f>IFERROR(IF('월 가계부'!A241="","",IF(ISNUMBER('월 가계부'!A241),IF(AND('월 가계부'!A241&gt;=19000101,'월 가계부'!A241&lt;=21001231),IF(AND(MOD(INT('월 가계부'!A241/100),100)&gt;=1,MOD(INT('월 가계부'!A241/100),100)&lt;=12,MOD(INT('월 가계부'!A241),100)&gt;=1,MOD(INT('월 가계부'!A241),100)&lt;=31),IF(MONTH(DATE(INT('월 가계부'!A241/10000),MOD(INT('월 가계부'!A241/100),100),MOD(INT('월 가계부'!A241),100)))=MOD(INT('월 가계부'!A241/100),100),DATE(INT('월 가계부'!A241/10000),MOD(INT('월 가계부'!A241/100),100),MOD(INT('월 가계부'!A241),100)),""),""),IF(AND('월 가계부'!A241&gt;=36526,'월 가계부'!A241&lt;73051),INT('월 가계부'!A241),"")),IF(OR(CM241="",CN241="",CO241=""),"",IF(AND(CM241&gt;=2000,CM241&lt;=2099,CN241&gt;=1,CN241&lt;=12,CO241&gt;=1,CO241&lt;=31),IF(MONTH(DATE(CM241,CN241,CO241))=CN241,DATE(CM241,CN241,CO241),""),"")))),"")</f>
        <v/>
      </c>
      <c r="CJ241">
        <f>IFERROR(IF('월 가계부'!C241="","",IF(ISNUMBER('월 가계부'!C241),'월 가계부'!C241,VALUE(SUBSTITUTE(SUBSTITUTE(SUBSTITUTE(SUBSTITUTE(TRIM('월 가계부'!C241),",",""),"원","")," ",""),"−","-")))),"")</f>
        <v/>
      </c>
      <c r="CK241">
        <f>IF(ISNUMBER(CI241),IF(CI241&lt;$B$13,CI241,""),"")</f>
        <v/>
      </c>
      <c r="CM241">
        <f>IF(CH241="","",IFERROR(IF(IF(AND(LEN(CH241)=9,ISERROR(FIND("-",LEFT(CH241,8))),ISNUMBER(-LEFT(CH241,8))),VALUE(LEFT(CH241,4)),VALUE(LEFT(CH241,FIND("-",CH241)-1)))&lt;100,IF(AND(LEN(CH241)=9,ISERROR(FIND("-",LEFT(CH241,8))),ISNUMBER(-LEFT(CH241,8))),VALUE(LEFT(CH241,4)),VALUE(LEFT(CH241,FIND("-",CH241)-1)))+2000,IF(AND(LEN(CH241)=9,ISERROR(FIND("-",LEFT(CH241,8))),ISNUMBER(-LEFT(CH241,8))),VALUE(LEFT(CH241,4)),VALUE(LEFT(CH241,FIND("-",CH241)-1)))),""))</f>
        <v/>
      </c>
      <c r="CN241">
        <f>IF(CH241="","",IFERROR(IF(AND(LEN(CH241)=9,ISERROR(FIND("-",LEFT(CH241,8))),ISNUMBER(-LEFT(CH241,8))),VALUE(MID(CH241,5,2)),VALUE(MID(CH241,FIND("-",CH241)+1,FIND("-",CH241,FIND("-",CH241)+1)-FIND("-",CH241)-1))),""))</f>
        <v/>
      </c>
      <c r="CO241">
        <f>IF(CH241="","",IFERROR(IF(AND(LEN(CH241)=9,ISERROR(FIND("-",LEFT(CH241,8))),ISNUMBER(-LEFT(CH241,8))),VALUE(MID(CH241,7,2)),VALUE(MID(CH241,FIND("-",CH241,FIND("-",CH241)+1)+1,FIND("-",CH241,FIND("-",CH241,FIND("-",CH241)+1)+1)-FIND("-",CH241,FIND("-",CH241)+1)-1))),""))</f>
        <v/>
      </c>
    </row>
    <row r="242">
      <c r="CH242">
        <f>IF(ISTEXT('월 가계부'!A242),SUBSTITUTE(SUBSTITUTE(SUBSTITUTE(SUBSTITUTE(SUBSTITUTE(SUBSTITUTE(SUBSTITUTE(SUBSTITUTE(SUBSTITUTE(TRIM('월 가계부'!A242),"년","-"),"월","-"),"일",""),".","-"),"/","-")," ","-"),"--","-"),"--","-"),"--","-")&amp;"-","")</f>
        <v/>
      </c>
      <c r="CI242">
        <f>IFERROR(IF('월 가계부'!A242="","",IF(ISNUMBER('월 가계부'!A242),IF(AND('월 가계부'!A242&gt;=19000101,'월 가계부'!A242&lt;=21001231),IF(AND(MOD(INT('월 가계부'!A242/100),100)&gt;=1,MOD(INT('월 가계부'!A242/100),100)&lt;=12,MOD(INT('월 가계부'!A242),100)&gt;=1,MOD(INT('월 가계부'!A242),100)&lt;=31),IF(MONTH(DATE(INT('월 가계부'!A242/10000),MOD(INT('월 가계부'!A242/100),100),MOD(INT('월 가계부'!A242),100)))=MOD(INT('월 가계부'!A242/100),100),DATE(INT('월 가계부'!A242/10000),MOD(INT('월 가계부'!A242/100),100),MOD(INT('월 가계부'!A242),100)),""),""),IF(AND('월 가계부'!A242&gt;=36526,'월 가계부'!A242&lt;73051),INT('월 가계부'!A242),"")),IF(OR(CM242="",CN242="",CO242=""),"",IF(AND(CM242&gt;=2000,CM242&lt;=2099,CN242&gt;=1,CN242&lt;=12,CO242&gt;=1,CO242&lt;=31),IF(MONTH(DATE(CM242,CN242,CO242))=CN242,DATE(CM242,CN242,CO242),""),"")))),"")</f>
        <v/>
      </c>
      <c r="CJ242">
        <f>IFERROR(IF('월 가계부'!C242="","",IF(ISNUMBER('월 가계부'!C242),'월 가계부'!C242,VALUE(SUBSTITUTE(SUBSTITUTE(SUBSTITUTE(SUBSTITUTE(TRIM('월 가계부'!C242),",",""),"원","")," ",""),"−","-")))),"")</f>
        <v/>
      </c>
      <c r="CK242">
        <f>IF(ISNUMBER(CI242),IF(CI242&lt;$B$13,CI242,""),"")</f>
        <v/>
      </c>
      <c r="CM242">
        <f>IF(CH242="","",IFERROR(IF(IF(AND(LEN(CH242)=9,ISERROR(FIND("-",LEFT(CH242,8))),ISNUMBER(-LEFT(CH242,8))),VALUE(LEFT(CH242,4)),VALUE(LEFT(CH242,FIND("-",CH242)-1)))&lt;100,IF(AND(LEN(CH242)=9,ISERROR(FIND("-",LEFT(CH242,8))),ISNUMBER(-LEFT(CH242,8))),VALUE(LEFT(CH242,4)),VALUE(LEFT(CH242,FIND("-",CH242)-1)))+2000,IF(AND(LEN(CH242)=9,ISERROR(FIND("-",LEFT(CH242,8))),ISNUMBER(-LEFT(CH242,8))),VALUE(LEFT(CH242,4)),VALUE(LEFT(CH242,FIND("-",CH242)-1)))),""))</f>
        <v/>
      </c>
      <c r="CN242">
        <f>IF(CH242="","",IFERROR(IF(AND(LEN(CH242)=9,ISERROR(FIND("-",LEFT(CH242,8))),ISNUMBER(-LEFT(CH242,8))),VALUE(MID(CH242,5,2)),VALUE(MID(CH242,FIND("-",CH242)+1,FIND("-",CH242,FIND("-",CH242)+1)-FIND("-",CH242)-1))),""))</f>
        <v/>
      </c>
      <c r="CO242">
        <f>IF(CH242="","",IFERROR(IF(AND(LEN(CH242)=9,ISERROR(FIND("-",LEFT(CH242,8))),ISNUMBER(-LEFT(CH242,8))),VALUE(MID(CH242,7,2)),VALUE(MID(CH242,FIND("-",CH242,FIND("-",CH242)+1)+1,FIND("-",CH242,FIND("-",CH242,FIND("-",CH242)+1)+1)-FIND("-",CH242,FIND("-",CH242)+1)-1))),""))</f>
        <v/>
      </c>
    </row>
    <row r="243">
      <c r="CH243">
        <f>IF(ISTEXT('월 가계부'!A243),SUBSTITUTE(SUBSTITUTE(SUBSTITUTE(SUBSTITUTE(SUBSTITUTE(SUBSTITUTE(SUBSTITUTE(SUBSTITUTE(SUBSTITUTE(TRIM('월 가계부'!A243),"년","-"),"월","-"),"일",""),".","-"),"/","-")," ","-"),"--","-"),"--","-"),"--","-")&amp;"-","")</f>
        <v/>
      </c>
      <c r="CI243">
        <f>IFERROR(IF('월 가계부'!A243="","",IF(ISNUMBER('월 가계부'!A243),IF(AND('월 가계부'!A243&gt;=19000101,'월 가계부'!A243&lt;=21001231),IF(AND(MOD(INT('월 가계부'!A243/100),100)&gt;=1,MOD(INT('월 가계부'!A243/100),100)&lt;=12,MOD(INT('월 가계부'!A243),100)&gt;=1,MOD(INT('월 가계부'!A243),100)&lt;=31),IF(MONTH(DATE(INT('월 가계부'!A243/10000),MOD(INT('월 가계부'!A243/100),100),MOD(INT('월 가계부'!A243),100)))=MOD(INT('월 가계부'!A243/100),100),DATE(INT('월 가계부'!A243/10000),MOD(INT('월 가계부'!A243/100),100),MOD(INT('월 가계부'!A243),100)),""),""),IF(AND('월 가계부'!A243&gt;=36526,'월 가계부'!A243&lt;73051),INT('월 가계부'!A243),"")),IF(OR(CM243="",CN243="",CO243=""),"",IF(AND(CM243&gt;=2000,CM243&lt;=2099,CN243&gt;=1,CN243&lt;=12,CO243&gt;=1,CO243&lt;=31),IF(MONTH(DATE(CM243,CN243,CO243))=CN243,DATE(CM243,CN243,CO243),""),"")))),"")</f>
        <v/>
      </c>
      <c r="CJ243">
        <f>IFERROR(IF('월 가계부'!C243="","",IF(ISNUMBER('월 가계부'!C243),'월 가계부'!C243,VALUE(SUBSTITUTE(SUBSTITUTE(SUBSTITUTE(SUBSTITUTE(TRIM('월 가계부'!C243),",",""),"원","")," ",""),"−","-")))),"")</f>
        <v/>
      </c>
      <c r="CK243">
        <f>IF(ISNUMBER(CI243),IF(CI243&lt;$B$13,CI243,""),"")</f>
        <v/>
      </c>
      <c r="CM243">
        <f>IF(CH243="","",IFERROR(IF(IF(AND(LEN(CH243)=9,ISERROR(FIND("-",LEFT(CH243,8))),ISNUMBER(-LEFT(CH243,8))),VALUE(LEFT(CH243,4)),VALUE(LEFT(CH243,FIND("-",CH243)-1)))&lt;100,IF(AND(LEN(CH243)=9,ISERROR(FIND("-",LEFT(CH243,8))),ISNUMBER(-LEFT(CH243,8))),VALUE(LEFT(CH243,4)),VALUE(LEFT(CH243,FIND("-",CH243)-1)))+2000,IF(AND(LEN(CH243)=9,ISERROR(FIND("-",LEFT(CH243,8))),ISNUMBER(-LEFT(CH243,8))),VALUE(LEFT(CH243,4)),VALUE(LEFT(CH243,FIND("-",CH243)-1)))),""))</f>
        <v/>
      </c>
      <c r="CN243">
        <f>IF(CH243="","",IFERROR(IF(AND(LEN(CH243)=9,ISERROR(FIND("-",LEFT(CH243,8))),ISNUMBER(-LEFT(CH243,8))),VALUE(MID(CH243,5,2)),VALUE(MID(CH243,FIND("-",CH243)+1,FIND("-",CH243,FIND("-",CH243)+1)-FIND("-",CH243)-1))),""))</f>
        <v/>
      </c>
      <c r="CO243">
        <f>IF(CH243="","",IFERROR(IF(AND(LEN(CH243)=9,ISERROR(FIND("-",LEFT(CH243,8))),ISNUMBER(-LEFT(CH243,8))),VALUE(MID(CH243,7,2)),VALUE(MID(CH243,FIND("-",CH243,FIND("-",CH243)+1)+1,FIND("-",CH243,FIND("-",CH243,FIND("-",CH243)+1)+1)-FIND("-",CH243,FIND("-",CH243)+1)-1))),""))</f>
        <v/>
      </c>
    </row>
    <row r="244">
      <c r="CH244">
        <f>IF(ISTEXT('월 가계부'!A244),SUBSTITUTE(SUBSTITUTE(SUBSTITUTE(SUBSTITUTE(SUBSTITUTE(SUBSTITUTE(SUBSTITUTE(SUBSTITUTE(SUBSTITUTE(TRIM('월 가계부'!A244),"년","-"),"월","-"),"일",""),".","-"),"/","-")," ","-"),"--","-"),"--","-"),"--","-")&amp;"-","")</f>
        <v/>
      </c>
      <c r="CI244">
        <f>IFERROR(IF('월 가계부'!A244="","",IF(ISNUMBER('월 가계부'!A244),IF(AND('월 가계부'!A244&gt;=19000101,'월 가계부'!A244&lt;=21001231),IF(AND(MOD(INT('월 가계부'!A244/100),100)&gt;=1,MOD(INT('월 가계부'!A244/100),100)&lt;=12,MOD(INT('월 가계부'!A244),100)&gt;=1,MOD(INT('월 가계부'!A244),100)&lt;=31),IF(MONTH(DATE(INT('월 가계부'!A244/10000),MOD(INT('월 가계부'!A244/100),100),MOD(INT('월 가계부'!A244),100)))=MOD(INT('월 가계부'!A244/100),100),DATE(INT('월 가계부'!A244/10000),MOD(INT('월 가계부'!A244/100),100),MOD(INT('월 가계부'!A244),100)),""),""),IF(AND('월 가계부'!A244&gt;=36526,'월 가계부'!A244&lt;73051),INT('월 가계부'!A244),"")),IF(OR(CM244="",CN244="",CO244=""),"",IF(AND(CM244&gt;=2000,CM244&lt;=2099,CN244&gt;=1,CN244&lt;=12,CO244&gt;=1,CO244&lt;=31),IF(MONTH(DATE(CM244,CN244,CO244))=CN244,DATE(CM244,CN244,CO244),""),"")))),"")</f>
        <v/>
      </c>
      <c r="CJ244">
        <f>IFERROR(IF('월 가계부'!C244="","",IF(ISNUMBER('월 가계부'!C244),'월 가계부'!C244,VALUE(SUBSTITUTE(SUBSTITUTE(SUBSTITUTE(SUBSTITUTE(TRIM('월 가계부'!C244),",",""),"원","")," ",""),"−","-")))),"")</f>
        <v/>
      </c>
      <c r="CK244">
        <f>IF(ISNUMBER(CI244),IF(CI244&lt;$B$13,CI244,""),"")</f>
        <v/>
      </c>
      <c r="CM244">
        <f>IF(CH244="","",IFERROR(IF(IF(AND(LEN(CH244)=9,ISERROR(FIND("-",LEFT(CH244,8))),ISNUMBER(-LEFT(CH244,8))),VALUE(LEFT(CH244,4)),VALUE(LEFT(CH244,FIND("-",CH244)-1)))&lt;100,IF(AND(LEN(CH244)=9,ISERROR(FIND("-",LEFT(CH244,8))),ISNUMBER(-LEFT(CH244,8))),VALUE(LEFT(CH244,4)),VALUE(LEFT(CH244,FIND("-",CH244)-1)))+2000,IF(AND(LEN(CH244)=9,ISERROR(FIND("-",LEFT(CH244,8))),ISNUMBER(-LEFT(CH244,8))),VALUE(LEFT(CH244,4)),VALUE(LEFT(CH244,FIND("-",CH244)-1)))),""))</f>
        <v/>
      </c>
      <c r="CN244">
        <f>IF(CH244="","",IFERROR(IF(AND(LEN(CH244)=9,ISERROR(FIND("-",LEFT(CH244,8))),ISNUMBER(-LEFT(CH244,8))),VALUE(MID(CH244,5,2)),VALUE(MID(CH244,FIND("-",CH244)+1,FIND("-",CH244,FIND("-",CH244)+1)-FIND("-",CH244)-1))),""))</f>
        <v/>
      </c>
      <c r="CO244">
        <f>IF(CH244="","",IFERROR(IF(AND(LEN(CH244)=9,ISERROR(FIND("-",LEFT(CH244,8))),ISNUMBER(-LEFT(CH244,8))),VALUE(MID(CH244,7,2)),VALUE(MID(CH244,FIND("-",CH244,FIND("-",CH244)+1)+1,FIND("-",CH244,FIND("-",CH244,FIND("-",CH244)+1)+1)-FIND("-",CH244,FIND("-",CH244)+1)-1))),""))</f>
        <v/>
      </c>
    </row>
    <row r="245">
      <c r="CH245">
        <f>IF(ISTEXT('월 가계부'!A245),SUBSTITUTE(SUBSTITUTE(SUBSTITUTE(SUBSTITUTE(SUBSTITUTE(SUBSTITUTE(SUBSTITUTE(SUBSTITUTE(SUBSTITUTE(TRIM('월 가계부'!A245),"년","-"),"월","-"),"일",""),".","-"),"/","-")," ","-"),"--","-"),"--","-"),"--","-")&amp;"-","")</f>
        <v/>
      </c>
      <c r="CI245">
        <f>IFERROR(IF('월 가계부'!A245="","",IF(ISNUMBER('월 가계부'!A245),IF(AND('월 가계부'!A245&gt;=19000101,'월 가계부'!A245&lt;=21001231),IF(AND(MOD(INT('월 가계부'!A245/100),100)&gt;=1,MOD(INT('월 가계부'!A245/100),100)&lt;=12,MOD(INT('월 가계부'!A245),100)&gt;=1,MOD(INT('월 가계부'!A245),100)&lt;=31),IF(MONTH(DATE(INT('월 가계부'!A245/10000),MOD(INT('월 가계부'!A245/100),100),MOD(INT('월 가계부'!A245),100)))=MOD(INT('월 가계부'!A245/100),100),DATE(INT('월 가계부'!A245/10000),MOD(INT('월 가계부'!A245/100),100),MOD(INT('월 가계부'!A245),100)),""),""),IF(AND('월 가계부'!A245&gt;=36526,'월 가계부'!A245&lt;73051),INT('월 가계부'!A245),"")),IF(OR(CM245="",CN245="",CO245=""),"",IF(AND(CM245&gt;=2000,CM245&lt;=2099,CN245&gt;=1,CN245&lt;=12,CO245&gt;=1,CO245&lt;=31),IF(MONTH(DATE(CM245,CN245,CO245))=CN245,DATE(CM245,CN245,CO245),""),"")))),"")</f>
        <v/>
      </c>
      <c r="CJ245">
        <f>IFERROR(IF('월 가계부'!C245="","",IF(ISNUMBER('월 가계부'!C245),'월 가계부'!C245,VALUE(SUBSTITUTE(SUBSTITUTE(SUBSTITUTE(SUBSTITUTE(TRIM('월 가계부'!C245),",",""),"원","")," ",""),"−","-")))),"")</f>
        <v/>
      </c>
      <c r="CK245">
        <f>IF(ISNUMBER(CI245),IF(CI245&lt;$B$13,CI245,""),"")</f>
        <v/>
      </c>
      <c r="CM245">
        <f>IF(CH245="","",IFERROR(IF(IF(AND(LEN(CH245)=9,ISERROR(FIND("-",LEFT(CH245,8))),ISNUMBER(-LEFT(CH245,8))),VALUE(LEFT(CH245,4)),VALUE(LEFT(CH245,FIND("-",CH245)-1)))&lt;100,IF(AND(LEN(CH245)=9,ISERROR(FIND("-",LEFT(CH245,8))),ISNUMBER(-LEFT(CH245,8))),VALUE(LEFT(CH245,4)),VALUE(LEFT(CH245,FIND("-",CH245)-1)))+2000,IF(AND(LEN(CH245)=9,ISERROR(FIND("-",LEFT(CH245,8))),ISNUMBER(-LEFT(CH245,8))),VALUE(LEFT(CH245,4)),VALUE(LEFT(CH245,FIND("-",CH245)-1)))),""))</f>
        <v/>
      </c>
      <c r="CN245">
        <f>IF(CH245="","",IFERROR(IF(AND(LEN(CH245)=9,ISERROR(FIND("-",LEFT(CH245,8))),ISNUMBER(-LEFT(CH245,8))),VALUE(MID(CH245,5,2)),VALUE(MID(CH245,FIND("-",CH245)+1,FIND("-",CH245,FIND("-",CH245)+1)-FIND("-",CH245)-1))),""))</f>
        <v/>
      </c>
      <c r="CO245">
        <f>IF(CH245="","",IFERROR(IF(AND(LEN(CH245)=9,ISERROR(FIND("-",LEFT(CH245,8))),ISNUMBER(-LEFT(CH245,8))),VALUE(MID(CH245,7,2)),VALUE(MID(CH245,FIND("-",CH245,FIND("-",CH245)+1)+1,FIND("-",CH245,FIND("-",CH245,FIND("-",CH245)+1)+1)-FIND("-",CH245,FIND("-",CH245)+1)-1))),""))</f>
        <v/>
      </c>
    </row>
    <row r="246">
      <c r="CH246">
        <f>IF(ISTEXT('월 가계부'!A246),SUBSTITUTE(SUBSTITUTE(SUBSTITUTE(SUBSTITUTE(SUBSTITUTE(SUBSTITUTE(SUBSTITUTE(SUBSTITUTE(SUBSTITUTE(TRIM('월 가계부'!A246),"년","-"),"월","-"),"일",""),".","-"),"/","-")," ","-"),"--","-"),"--","-"),"--","-")&amp;"-","")</f>
        <v/>
      </c>
      <c r="CI246">
        <f>IFERROR(IF('월 가계부'!A246="","",IF(ISNUMBER('월 가계부'!A246),IF(AND('월 가계부'!A246&gt;=19000101,'월 가계부'!A246&lt;=21001231),IF(AND(MOD(INT('월 가계부'!A246/100),100)&gt;=1,MOD(INT('월 가계부'!A246/100),100)&lt;=12,MOD(INT('월 가계부'!A246),100)&gt;=1,MOD(INT('월 가계부'!A246),100)&lt;=31),IF(MONTH(DATE(INT('월 가계부'!A246/10000),MOD(INT('월 가계부'!A246/100),100),MOD(INT('월 가계부'!A246),100)))=MOD(INT('월 가계부'!A246/100),100),DATE(INT('월 가계부'!A246/10000),MOD(INT('월 가계부'!A246/100),100),MOD(INT('월 가계부'!A246),100)),""),""),IF(AND('월 가계부'!A246&gt;=36526,'월 가계부'!A246&lt;73051),INT('월 가계부'!A246),"")),IF(OR(CM246="",CN246="",CO246=""),"",IF(AND(CM246&gt;=2000,CM246&lt;=2099,CN246&gt;=1,CN246&lt;=12,CO246&gt;=1,CO246&lt;=31),IF(MONTH(DATE(CM246,CN246,CO246))=CN246,DATE(CM246,CN246,CO246),""),"")))),"")</f>
        <v/>
      </c>
      <c r="CJ246">
        <f>IFERROR(IF('월 가계부'!C246="","",IF(ISNUMBER('월 가계부'!C246),'월 가계부'!C246,VALUE(SUBSTITUTE(SUBSTITUTE(SUBSTITUTE(SUBSTITUTE(TRIM('월 가계부'!C246),",",""),"원","")," ",""),"−","-")))),"")</f>
        <v/>
      </c>
      <c r="CK246">
        <f>IF(ISNUMBER(CI246),IF(CI246&lt;$B$13,CI246,""),"")</f>
        <v/>
      </c>
      <c r="CM246">
        <f>IF(CH246="","",IFERROR(IF(IF(AND(LEN(CH246)=9,ISERROR(FIND("-",LEFT(CH246,8))),ISNUMBER(-LEFT(CH246,8))),VALUE(LEFT(CH246,4)),VALUE(LEFT(CH246,FIND("-",CH246)-1)))&lt;100,IF(AND(LEN(CH246)=9,ISERROR(FIND("-",LEFT(CH246,8))),ISNUMBER(-LEFT(CH246,8))),VALUE(LEFT(CH246,4)),VALUE(LEFT(CH246,FIND("-",CH246)-1)))+2000,IF(AND(LEN(CH246)=9,ISERROR(FIND("-",LEFT(CH246,8))),ISNUMBER(-LEFT(CH246,8))),VALUE(LEFT(CH246,4)),VALUE(LEFT(CH246,FIND("-",CH246)-1)))),""))</f>
        <v/>
      </c>
      <c r="CN246">
        <f>IF(CH246="","",IFERROR(IF(AND(LEN(CH246)=9,ISERROR(FIND("-",LEFT(CH246,8))),ISNUMBER(-LEFT(CH246,8))),VALUE(MID(CH246,5,2)),VALUE(MID(CH246,FIND("-",CH246)+1,FIND("-",CH246,FIND("-",CH246)+1)-FIND("-",CH246)-1))),""))</f>
        <v/>
      </c>
      <c r="CO246">
        <f>IF(CH246="","",IFERROR(IF(AND(LEN(CH246)=9,ISERROR(FIND("-",LEFT(CH246,8))),ISNUMBER(-LEFT(CH246,8))),VALUE(MID(CH246,7,2)),VALUE(MID(CH246,FIND("-",CH246,FIND("-",CH246)+1)+1,FIND("-",CH246,FIND("-",CH246,FIND("-",CH246)+1)+1)-FIND("-",CH246,FIND("-",CH246)+1)-1))),""))</f>
        <v/>
      </c>
    </row>
    <row r="247">
      <c r="CH247">
        <f>IF(ISTEXT('월 가계부'!A247),SUBSTITUTE(SUBSTITUTE(SUBSTITUTE(SUBSTITUTE(SUBSTITUTE(SUBSTITUTE(SUBSTITUTE(SUBSTITUTE(SUBSTITUTE(TRIM('월 가계부'!A247),"년","-"),"월","-"),"일",""),".","-"),"/","-")," ","-"),"--","-"),"--","-"),"--","-")&amp;"-","")</f>
        <v/>
      </c>
      <c r="CI247">
        <f>IFERROR(IF('월 가계부'!A247="","",IF(ISNUMBER('월 가계부'!A247),IF(AND('월 가계부'!A247&gt;=19000101,'월 가계부'!A247&lt;=21001231),IF(AND(MOD(INT('월 가계부'!A247/100),100)&gt;=1,MOD(INT('월 가계부'!A247/100),100)&lt;=12,MOD(INT('월 가계부'!A247),100)&gt;=1,MOD(INT('월 가계부'!A247),100)&lt;=31),IF(MONTH(DATE(INT('월 가계부'!A247/10000),MOD(INT('월 가계부'!A247/100),100),MOD(INT('월 가계부'!A247),100)))=MOD(INT('월 가계부'!A247/100),100),DATE(INT('월 가계부'!A247/10000),MOD(INT('월 가계부'!A247/100),100),MOD(INT('월 가계부'!A247),100)),""),""),IF(AND('월 가계부'!A247&gt;=36526,'월 가계부'!A247&lt;73051),INT('월 가계부'!A247),"")),IF(OR(CM247="",CN247="",CO247=""),"",IF(AND(CM247&gt;=2000,CM247&lt;=2099,CN247&gt;=1,CN247&lt;=12,CO247&gt;=1,CO247&lt;=31),IF(MONTH(DATE(CM247,CN247,CO247))=CN247,DATE(CM247,CN247,CO247),""),"")))),"")</f>
        <v/>
      </c>
      <c r="CJ247">
        <f>IFERROR(IF('월 가계부'!C247="","",IF(ISNUMBER('월 가계부'!C247),'월 가계부'!C247,VALUE(SUBSTITUTE(SUBSTITUTE(SUBSTITUTE(SUBSTITUTE(TRIM('월 가계부'!C247),",",""),"원","")," ",""),"−","-")))),"")</f>
        <v/>
      </c>
      <c r="CK247">
        <f>IF(ISNUMBER(CI247),IF(CI247&lt;$B$13,CI247,""),"")</f>
        <v/>
      </c>
      <c r="CM247">
        <f>IF(CH247="","",IFERROR(IF(IF(AND(LEN(CH247)=9,ISERROR(FIND("-",LEFT(CH247,8))),ISNUMBER(-LEFT(CH247,8))),VALUE(LEFT(CH247,4)),VALUE(LEFT(CH247,FIND("-",CH247)-1)))&lt;100,IF(AND(LEN(CH247)=9,ISERROR(FIND("-",LEFT(CH247,8))),ISNUMBER(-LEFT(CH247,8))),VALUE(LEFT(CH247,4)),VALUE(LEFT(CH247,FIND("-",CH247)-1)))+2000,IF(AND(LEN(CH247)=9,ISERROR(FIND("-",LEFT(CH247,8))),ISNUMBER(-LEFT(CH247,8))),VALUE(LEFT(CH247,4)),VALUE(LEFT(CH247,FIND("-",CH247)-1)))),""))</f>
        <v/>
      </c>
      <c r="CN247">
        <f>IF(CH247="","",IFERROR(IF(AND(LEN(CH247)=9,ISERROR(FIND("-",LEFT(CH247,8))),ISNUMBER(-LEFT(CH247,8))),VALUE(MID(CH247,5,2)),VALUE(MID(CH247,FIND("-",CH247)+1,FIND("-",CH247,FIND("-",CH247)+1)-FIND("-",CH247)-1))),""))</f>
        <v/>
      </c>
      <c r="CO247">
        <f>IF(CH247="","",IFERROR(IF(AND(LEN(CH247)=9,ISERROR(FIND("-",LEFT(CH247,8))),ISNUMBER(-LEFT(CH247,8))),VALUE(MID(CH247,7,2)),VALUE(MID(CH247,FIND("-",CH247,FIND("-",CH247)+1)+1,FIND("-",CH247,FIND("-",CH247,FIND("-",CH247)+1)+1)-FIND("-",CH247,FIND("-",CH247)+1)-1))),""))</f>
        <v/>
      </c>
    </row>
    <row r="248">
      <c r="CH248">
        <f>IF(ISTEXT('월 가계부'!A248),SUBSTITUTE(SUBSTITUTE(SUBSTITUTE(SUBSTITUTE(SUBSTITUTE(SUBSTITUTE(SUBSTITUTE(SUBSTITUTE(SUBSTITUTE(TRIM('월 가계부'!A248),"년","-"),"월","-"),"일",""),".","-"),"/","-")," ","-"),"--","-"),"--","-"),"--","-")&amp;"-","")</f>
        <v/>
      </c>
      <c r="CI248">
        <f>IFERROR(IF('월 가계부'!A248="","",IF(ISNUMBER('월 가계부'!A248),IF(AND('월 가계부'!A248&gt;=19000101,'월 가계부'!A248&lt;=21001231),IF(AND(MOD(INT('월 가계부'!A248/100),100)&gt;=1,MOD(INT('월 가계부'!A248/100),100)&lt;=12,MOD(INT('월 가계부'!A248),100)&gt;=1,MOD(INT('월 가계부'!A248),100)&lt;=31),IF(MONTH(DATE(INT('월 가계부'!A248/10000),MOD(INT('월 가계부'!A248/100),100),MOD(INT('월 가계부'!A248),100)))=MOD(INT('월 가계부'!A248/100),100),DATE(INT('월 가계부'!A248/10000),MOD(INT('월 가계부'!A248/100),100),MOD(INT('월 가계부'!A248),100)),""),""),IF(AND('월 가계부'!A248&gt;=36526,'월 가계부'!A248&lt;73051),INT('월 가계부'!A248),"")),IF(OR(CM248="",CN248="",CO248=""),"",IF(AND(CM248&gt;=2000,CM248&lt;=2099,CN248&gt;=1,CN248&lt;=12,CO248&gt;=1,CO248&lt;=31),IF(MONTH(DATE(CM248,CN248,CO248))=CN248,DATE(CM248,CN248,CO248),""),"")))),"")</f>
        <v/>
      </c>
      <c r="CJ248">
        <f>IFERROR(IF('월 가계부'!C248="","",IF(ISNUMBER('월 가계부'!C248),'월 가계부'!C248,VALUE(SUBSTITUTE(SUBSTITUTE(SUBSTITUTE(SUBSTITUTE(TRIM('월 가계부'!C248),",",""),"원","")," ",""),"−","-")))),"")</f>
        <v/>
      </c>
      <c r="CK248">
        <f>IF(ISNUMBER(CI248),IF(CI248&lt;$B$13,CI248,""),"")</f>
        <v/>
      </c>
      <c r="CM248">
        <f>IF(CH248="","",IFERROR(IF(IF(AND(LEN(CH248)=9,ISERROR(FIND("-",LEFT(CH248,8))),ISNUMBER(-LEFT(CH248,8))),VALUE(LEFT(CH248,4)),VALUE(LEFT(CH248,FIND("-",CH248)-1)))&lt;100,IF(AND(LEN(CH248)=9,ISERROR(FIND("-",LEFT(CH248,8))),ISNUMBER(-LEFT(CH248,8))),VALUE(LEFT(CH248,4)),VALUE(LEFT(CH248,FIND("-",CH248)-1)))+2000,IF(AND(LEN(CH248)=9,ISERROR(FIND("-",LEFT(CH248,8))),ISNUMBER(-LEFT(CH248,8))),VALUE(LEFT(CH248,4)),VALUE(LEFT(CH248,FIND("-",CH248)-1)))),""))</f>
        <v/>
      </c>
      <c r="CN248">
        <f>IF(CH248="","",IFERROR(IF(AND(LEN(CH248)=9,ISERROR(FIND("-",LEFT(CH248,8))),ISNUMBER(-LEFT(CH248,8))),VALUE(MID(CH248,5,2)),VALUE(MID(CH248,FIND("-",CH248)+1,FIND("-",CH248,FIND("-",CH248)+1)-FIND("-",CH248)-1))),""))</f>
        <v/>
      </c>
      <c r="CO248">
        <f>IF(CH248="","",IFERROR(IF(AND(LEN(CH248)=9,ISERROR(FIND("-",LEFT(CH248,8))),ISNUMBER(-LEFT(CH248,8))),VALUE(MID(CH248,7,2)),VALUE(MID(CH248,FIND("-",CH248,FIND("-",CH248)+1)+1,FIND("-",CH248,FIND("-",CH248,FIND("-",CH248)+1)+1)-FIND("-",CH248,FIND("-",CH248)+1)-1))),""))</f>
        <v/>
      </c>
    </row>
    <row r="249">
      <c r="CH249">
        <f>IF(ISTEXT('월 가계부'!A249),SUBSTITUTE(SUBSTITUTE(SUBSTITUTE(SUBSTITUTE(SUBSTITUTE(SUBSTITUTE(SUBSTITUTE(SUBSTITUTE(SUBSTITUTE(TRIM('월 가계부'!A249),"년","-"),"월","-"),"일",""),".","-"),"/","-")," ","-"),"--","-"),"--","-"),"--","-")&amp;"-","")</f>
        <v/>
      </c>
      <c r="CI249">
        <f>IFERROR(IF('월 가계부'!A249="","",IF(ISNUMBER('월 가계부'!A249),IF(AND('월 가계부'!A249&gt;=19000101,'월 가계부'!A249&lt;=21001231),IF(AND(MOD(INT('월 가계부'!A249/100),100)&gt;=1,MOD(INT('월 가계부'!A249/100),100)&lt;=12,MOD(INT('월 가계부'!A249),100)&gt;=1,MOD(INT('월 가계부'!A249),100)&lt;=31),IF(MONTH(DATE(INT('월 가계부'!A249/10000),MOD(INT('월 가계부'!A249/100),100),MOD(INT('월 가계부'!A249),100)))=MOD(INT('월 가계부'!A249/100),100),DATE(INT('월 가계부'!A249/10000),MOD(INT('월 가계부'!A249/100),100),MOD(INT('월 가계부'!A249),100)),""),""),IF(AND('월 가계부'!A249&gt;=36526,'월 가계부'!A249&lt;73051),INT('월 가계부'!A249),"")),IF(OR(CM249="",CN249="",CO249=""),"",IF(AND(CM249&gt;=2000,CM249&lt;=2099,CN249&gt;=1,CN249&lt;=12,CO249&gt;=1,CO249&lt;=31),IF(MONTH(DATE(CM249,CN249,CO249))=CN249,DATE(CM249,CN249,CO249),""),"")))),"")</f>
        <v/>
      </c>
      <c r="CJ249">
        <f>IFERROR(IF('월 가계부'!C249="","",IF(ISNUMBER('월 가계부'!C249),'월 가계부'!C249,VALUE(SUBSTITUTE(SUBSTITUTE(SUBSTITUTE(SUBSTITUTE(TRIM('월 가계부'!C249),",",""),"원","")," ",""),"−","-")))),"")</f>
        <v/>
      </c>
      <c r="CK249">
        <f>IF(ISNUMBER(CI249),IF(CI249&lt;$B$13,CI249,""),"")</f>
        <v/>
      </c>
      <c r="CM249">
        <f>IF(CH249="","",IFERROR(IF(IF(AND(LEN(CH249)=9,ISERROR(FIND("-",LEFT(CH249,8))),ISNUMBER(-LEFT(CH249,8))),VALUE(LEFT(CH249,4)),VALUE(LEFT(CH249,FIND("-",CH249)-1)))&lt;100,IF(AND(LEN(CH249)=9,ISERROR(FIND("-",LEFT(CH249,8))),ISNUMBER(-LEFT(CH249,8))),VALUE(LEFT(CH249,4)),VALUE(LEFT(CH249,FIND("-",CH249)-1)))+2000,IF(AND(LEN(CH249)=9,ISERROR(FIND("-",LEFT(CH249,8))),ISNUMBER(-LEFT(CH249,8))),VALUE(LEFT(CH249,4)),VALUE(LEFT(CH249,FIND("-",CH249)-1)))),""))</f>
        <v/>
      </c>
      <c r="CN249">
        <f>IF(CH249="","",IFERROR(IF(AND(LEN(CH249)=9,ISERROR(FIND("-",LEFT(CH249,8))),ISNUMBER(-LEFT(CH249,8))),VALUE(MID(CH249,5,2)),VALUE(MID(CH249,FIND("-",CH249)+1,FIND("-",CH249,FIND("-",CH249)+1)-FIND("-",CH249)-1))),""))</f>
        <v/>
      </c>
      <c r="CO249">
        <f>IF(CH249="","",IFERROR(IF(AND(LEN(CH249)=9,ISERROR(FIND("-",LEFT(CH249,8))),ISNUMBER(-LEFT(CH249,8))),VALUE(MID(CH249,7,2)),VALUE(MID(CH249,FIND("-",CH249,FIND("-",CH249)+1)+1,FIND("-",CH249,FIND("-",CH249,FIND("-",CH249)+1)+1)-FIND("-",CH249,FIND("-",CH249)+1)-1))),""))</f>
        <v/>
      </c>
    </row>
    <row r="250">
      <c r="CH250">
        <f>IF(ISTEXT('월 가계부'!A250),SUBSTITUTE(SUBSTITUTE(SUBSTITUTE(SUBSTITUTE(SUBSTITUTE(SUBSTITUTE(SUBSTITUTE(SUBSTITUTE(SUBSTITUTE(TRIM('월 가계부'!A250),"년","-"),"월","-"),"일",""),".","-"),"/","-")," ","-"),"--","-"),"--","-"),"--","-")&amp;"-","")</f>
        <v/>
      </c>
      <c r="CI250">
        <f>IFERROR(IF('월 가계부'!A250="","",IF(ISNUMBER('월 가계부'!A250),IF(AND('월 가계부'!A250&gt;=19000101,'월 가계부'!A250&lt;=21001231),IF(AND(MOD(INT('월 가계부'!A250/100),100)&gt;=1,MOD(INT('월 가계부'!A250/100),100)&lt;=12,MOD(INT('월 가계부'!A250),100)&gt;=1,MOD(INT('월 가계부'!A250),100)&lt;=31),IF(MONTH(DATE(INT('월 가계부'!A250/10000),MOD(INT('월 가계부'!A250/100),100),MOD(INT('월 가계부'!A250),100)))=MOD(INT('월 가계부'!A250/100),100),DATE(INT('월 가계부'!A250/10000),MOD(INT('월 가계부'!A250/100),100),MOD(INT('월 가계부'!A250),100)),""),""),IF(AND('월 가계부'!A250&gt;=36526,'월 가계부'!A250&lt;73051),INT('월 가계부'!A250),"")),IF(OR(CM250="",CN250="",CO250=""),"",IF(AND(CM250&gt;=2000,CM250&lt;=2099,CN250&gt;=1,CN250&lt;=12,CO250&gt;=1,CO250&lt;=31),IF(MONTH(DATE(CM250,CN250,CO250))=CN250,DATE(CM250,CN250,CO250),""),"")))),"")</f>
        <v/>
      </c>
      <c r="CJ250">
        <f>IFERROR(IF('월 가계부'!C250="","",IF(ISNUMBER('월 가계부'!C250),'월 가계부'!C250,VALUE(SUBSTITUTE(SUBSTITUTE(SUBSTITUTE(SUBSTITUTE(TRIM('월 가계부'!C250),",",""),"원","")," ",""),"−","-")))),"")</f>
        <v/>
      </c>
      <c r="CK250">
        <f>IF(ISNUMBER(CI250),IF(CI250&lt;$B$13,CI250,""),"")</f>
        <v/>
      </c>
      <c r="CM250">
        <f>IF(CH250="","",IFERROR(IF(IF(AND(LEN(CH250)=9,ISERROR(FIND("-",LEFT(CH250,8))),ISNUMBER(-LEFT(CH250,8))),VALUE(LEFT(CH250,4)),VALUE(LEFT(CH250,FIND("-",CH250)-1)))&lt;100,IF(AND(LEN(CH250)=9,ISERROR(FIND("-",LEFT(CH250,8))),ISNUMBER(-LEFT(CH250,8))),VALUE(LEFT(CH250,4)),VALUE(LEFT(CH250,FIND("-",CH250)-1)))+2000,IF(AND(LEN(CH250)=9,ISERROR(FIND("-",LEFT(CH250,8))),ISNUMBER(-LEFT(CH250,8))),VALUE(LEFT(CH250,4)),VALUE(LEFT(CH250,FIND("-",CH250)-1)))),""))</f>
        <v/>
      </c>
      <c r="CN250">
        <f>IF(CH250="","",IFERROR(IF(AND(LEN(CH250)=9,ISERROR(FIND("-",LEFT(CH250,8))),ISNUMBER(-LEFT(CH250,8))),VALUE(MID(CH250,5,2)),VALUE(MID(CH250,FIND("-",CH250)+1,FIND("-",CH250,FIND("-",CH250)+1)-FIND("-",CH250)-1))),""))</f>
        <v/>
      </c>
      <c r="CO250">
        <f>IF(CH250="","",IFERROR(IF(AND(LEN(CH250)=9,ISERROR(FIND("-",LEFT(CH250,8))),ISNUMBER(-LEFT(CH250,8))),VALUE(MID(CH250,7,2)),VALUE(MID(CH250,FIND("-",CH250,FIND("-",CH250)+1)+1,FIND("-",CH250,FIND("-",CH250,FIND("-",CH250)+1)+1)-FIND("-",CH250,FIND("-",CH250)+1)-1))),""))</f>
        <v/>
      </c>
    </row>
    <row r="251">
      <c r="CH251">
        <f>IF(ISTEXT('월 가계부'!A251),SUBSTITUTE(SUBSTITUTE(SUBSTITUTE(SUBSTITUTE(SUBSTITUTE(SUBSTITUTE(SUBSTITUTE(SUBSTITUTE(SUBSTITUTE(TRIM('월 가계부'!A251),"년","-"),"월","-"),"일",""),".","-"),"/","-")," ","-"),"--","-"),"--","-"),"--","-")&amp;"-","")</f>
        <v/>
      </c>
      <c r="CI251">
        <f>IFERROR(IF('월 가계부'!A251="","",IF(ISNUMBER('월 가계부'!A251),IF(AND('월 가계부'!A251&gt;=19000101,'월 가계부'!A251&lt;=21001231),IF(AND(MOD(INT('월 가계부'!A251/100),100)&gt;=1,MOD(INT('월 가계부'!A251/100),100)&lt;=12,MOD(INT('월 가계부'!A251),100)&gt;=1,MOD(INT('월 가계부'!A251),100)&lt;=31),IF(MONTH(DATE(INT('월 가계부'!A251/10000),MOD(INT('월 가계부'!A251/100),100),MOD(INT('월 가계부'!A251),100)))=MOD(INT('월 가계부'!A251/100),100),DATE(INT('월 가계부'!A251/10000),MOD(INT('월 가계부'!A251/100),100),MOD(INT('월 가계부'!A251),100)),""),""),IF(AND('월 가계부'!A251&gt;=36526,'월 가계부'!A251&lt;73051),INT('월 가계부'!A251),"")),IF(OR(CM251="",CN251="",CO251=""),"",IF(AND(CM251&gt;=2000,CM251&lt;=2099,CN251&gt;=1,CN251&lt;=12,CO251&gt;=1,CO251&lt;=31),IF(MONTH(DATE(CM251,CN251,CO251))=CN251,DATE(CM251,CN251,CO251),""),"")))),"")</f>
        <v/>
      </c>
      <c r="CJ251">
        <f>IFERROR(IF('월 가계부'!C251="","",IF(ISNUMBER('월 가계부'!C251),'월 가계부'!C251,VALUE(SUBSTITUTE(SUBSTITUTE(SUBSTITUTE(SUBSTITUTE(TRIM('월 가계부'!C251),",",""),"원","")," ",""),"−","-")))),"")</f>
        <v/>
      </c>
      <c r="CK251">
        <f>IF(ISNUMBER(CI251),IF(CI251&lt;$B$13,CI251,""),"")</f>
        <v/>
      </c>
      <c r="CM251">
        <f>IF(CH251="","",IFERROR(IF(IF(AND(LEN(CH251)=9,ISERROR(FIND("-",LEFT(CH251,8))),ISNUMBER(-LEFT(CH251,8))),VALUE(LEFT(CH251,4)),VALUE(LEFT(CH251,FIND("-",CH251)-1)))&lt;100,IF(AND(LEN(CH251)=9,ISERROR(FIND("-",LEFT(CH251,8))),ISNUMBER(-LEFT(CH251,8))),VALUE(LEFT(CH251,4)),VALUE(LEFT(CH251,FIND("-",CH251)-1)))+2000,IF(AND(LEN(CH251)=9,ISERROR(FIND("-",LEFT(CH251,8))),ISNUMBER(-LEFT(CH251,8))),VALUE(LEFT(CH251,4)),VALUE(LEFT(CH251,FIND("-",CH251)-1)))),""))</f>
        <v/>
      </c>
      <c r="CN251">
        <f>IF(CH251="","",IFERROR(IF(AND(LEN(CH251)=9,ISERROR(FIND("-",LEFT(CH251,8))),ISNUMBER(-LEFT(CH251,8))),VALUE(MID(CH251,5,2)),VALUE(MID(CH251,FIND("-",CH251)+1,FIND("-",CH251,FIND("-",CH251)+1)-FIND("-",CH251)-1))),""))</f>
        <v/>
      </c>
      <c r="CO251">
        <f>IF(CH251="","",IFERROR(IF(AND(LEN(CH251)=9,ISERROR(FIND("-",LEFT(CH251,8))),ISNUMBER(-LEFT(CH251,8))),VALUE(MID(CH251,7,2)),VALUE(MID(CH251,FIND("-",CH251,FIND("-",CH251)+1)+1,FIND("-",CH251,FIND("-",CH251,FIND("-",CH251)+1)+1)-FIND("-",CH251,FIND("-",CH251)+1)-1))),""))</f>
        <v/>
      </c>
    </row>
    <row r="252">
      <c r="CH252">
        <f>IF(ISTEXT('월 가계부'!A252),SUBSTITUTE(SUBSTITUTE(SUBSTITUTE(SUBSTITUTE(SUBSTITUTE(SUBSTITUTE(SUBSTITUTE(SUBSTITUTE(SUBSTITUTE(TRIM('월 가계부'!A252),"년","-"),"월","-"),"일",""),".","-"),"/","-")," ","-"),"--","-"),"--","-"),"--","-")&amp;"-","")</f>
        <v/>
      </c>
      <c r="CI252">
        <f>IFERROR(IF('월 가계부'!A252="","",IF(ISNUMBER('월 가계부'!A252),IF(AND('월 가계부'!A252&gt;=19000101,'월 가계부'!A252&lt;=21001231),IF(AND(MOD(INT('월 가계부'!A252/100),100)&gt;=1,MOD(INT('월 가계부'!A252/100),100)&lt;=12,MOD(INT('월 가계부'!A252),100)&gt;=1,MOD(INT('월 가계부'!A252),100)&lt;=31),IF(MONTH(DATE(INT('월 가계부'!A252/10000),MOD(INT('월 가계부'!A252/100),100),MOD(INT('월 가계부'!A252),100)))=MOD(INT('월 가계부'!A252/100),100),DATE(INT('월 가계부'!A252/10000),MOD(INT('월 가계부'!A252/100),100),MOD(INT('월 가계부'!A252),100)),""),""),IF(AND('월 가계부'!A252&gt;=36526,'월 가계부'!A252&lt;73051),INT('월 가계부'!A252),"")),IF(OR(CM252="",CN252="",CO252=""),"",IF(AND(CM252&gt;=2000,CM252&lt;=2099,CN252&gt;=1,CN252&lt;=12,CO252&gt;=1,CO252&lt;=31),IF(MONTH(DATE(CM252,CN252,CO252))=CN252,DATE(CM252,CN252,CO252),""),"")))),"")</f>
        <v/>
      </c>
      <c r="CJ252">
        <f>IFERROR(IF('월 가계부'!C252="","",IF(ISNUMBER('월 가계부'!C252),'월 가계부'!C252,VALUE(SUBSTITUTE(SUBSTITUTE(SUBSTITUTE(SUBSTITUTE(TRIM('월 가계부'!C252),",",""),"원","")," ",""),"−","-")))),"")</f>
        <v/>
      </c>
      <c r="CK252">
        <f>IF(ISNUMBER(CI252),IF(CI252&lt;$B$13,CI252,""),"")</f>
        <v/>
      </c>
      <c r="CM252">
        <f>IF(CH252="","",IFERROR(IF(IF(AND(LEN(CH252)=9,ISERROR(FIND("-",LEFT(CH252,8))),ISNUMBER(-LEFT(CH252,8))),VALUE(LEFT(CH252,4)),VALUE(LEFT(CH252,FIND("-",CH252)-1)))&lt;100,IF(AND(LEN(CH252)=9,ISERROR(FIND("-",LEFT(CH252,8))),ISNUMBER(-LEFT(CH252,8))),VALUE(LEFT(CH252,4)),VALUE(LEFT(CH252,FIND("-",CH252)-1)))+2000,IF(AND(LEN(CH252)=9,ISERROR(FIND("-",LEFT(CH252,8))),ISNUMBER(-LEFT(CH252,8))),VALUE(LEFT(CH252,4)),VALUE(LEFT(CH252,FIND("-",CH252)-1)))),""))</f>
        <v/>
      </c>
      <c r="CN252">
        <f>IF(CH252="","",IFERROR(IF(AND(LEN(CH252)=9,ISERROR(FIND("-",LEFT(CH252,8))),ISNUMBER(-LEFT(CH252,8))),VALUE(MID(CH252,5,2)),VALUE(MID(CH252,FIND("-",CH252)+1,FIND("-",CH252,FIND("-",CH252)+1)-FIND("-",CH252)-1))),""))</f>
        <v/>
      </c>
      <c r="CO252">
        <f>IF(CH252="","",IFERROR(IF(AND(LEN(CH252)=9,ISERROR(FIND("-",LEFT(CH252,8))),ISNUMBER(-LEFT(CH252,8))),VALUE(MID(CH252,7,2)),VALUE(MID(CH252,FIND("-",CH252,FIND("-",CH252)+1)+1,FIND("-",CH252,FIND("-",CH252,FIND("-",CH252)+1)+1)-FIND("-",CH252,FIND("-",CH252)+1)-1))),""))</f>
        <v/>
      </c>
    </row>
    <row r="253">
      <c r="CH253">
        <f>IF(ISTEXT('월 가계부'!A253),SUBSTITUTE(SUBSTITUTE(SUBSTITUTE(SUBSTITUTE(SUBSTITUTE(SUBSTITUTE(SUBSTITUTE(SUBSTITUTE(SUBSTITUTE(TRIM('월 가계부'!A253),"년","-"),"월","-"),"일",""),".","-"),"/","-")," ","-"),"--","-"),"--","-"),"--","-")&amp;"-","")</f>
        <v/>
      </c>
      <c r="CI253">
        <f>IFERROR(IF('월 가계부'!A253="","",IF(ISNUMBER('월 가계부'!A253),IF(AND('월 가계부'!A253&gt;=19000101,'월 가계부'!A253&lt;=21001231),IF(AND(MOD(INT('월 가계부'!A253/100),100)&gt;=1,MOD(INT('월 가계부'!A253/100),100)&lt;=12,MOD(INT('월 가계부'!A253),100)&gt;=1,MOD(INT('월 가계부'!A253),100)&lt;=31),IF(MONTH(DATE(INT('월 가계부'!A253/10000),MOD(INT('월 가계부'!A253/100),100),MOD(INT('월 가계부'!A253),100)))=MOD(INT('월 가계부'!A253/100),100),DATE(INT('월 가계부'!A253/10000),MOD(INT('월 가계부'!A253/100),100),MOD(INT('월 가계부'!A253),100)),""),""),IF(AND('월 가계부'!A253&gt;=36526,'월 가계부'!A253&lt;73051),INT('월 가계부'!A253),"")),IF(OR(CM253="",CN253="",CO253=""),"",IF(AND(CM253&gt;=2000,CM253&lt;=2099,CN253&gt;=1,CN253&lt;=12,CO253&gt;=1,CO253&lt;=31),IF(MONTH(DATE(CM253,CN253,CO253))=CN253,DATE(CM253,CN253,CO253),""),"")))),"")</f>
        <v/>
      </c>
      <c r="CJ253">
        <f>IFERROR(IF('월 가계부'!C253="","",IF(ISNUMBER('월 가계부'!C253),'월 가계부'!C253,VALUE(SUBSTITUTE(SUBSTITUTE(SUBSTITUTE(SUBSTITUTE(TRIM('월 가계부'!C253),",",""),"원","")," ",""),"−","-")))),"")</f>
        <v/>
      </c>
      <c r="CK253">
        <f>IF(ISNUMBER(CI253),IF(CI253&lt;$B$13,CI253,""),"")</f>
        <v/>
      </c>
      <c r="CM253">
        <f>IF(CH253="","",IFERROR(IF(IF(AND(LEN(CH253)=9,ISERROR(FIND("-",LEFT(CH253,8))),ISNUMBER(-LEFT(CH253,8))),VALUE(LEFT(CH253,4)),VALUE(LEFT(CH253,FIND("-",CH253)-1)))&lt;100,IF(AND(LEN(CH253)=9,ISERROR(FIND("-",LEFT(CH253,8))),ISNUMBER(-LEFT(CH253,8))),VALUE(LEFT(CH253,4)),VALUE(LEFT(CH253,FIND("-",CH253)-1)))+2000,IF(AND(LEN(CH253)=9,ISERROR(FIND("-",LEFT(CH253,8))),ISNUMBER(-LEFT(CH253,8))),VALUE(LEFT(CH253,4)),VALUE(LEFT(CH253,FIND("-",CH253)-1)))),""))</f>
        <v/>
      </c>
      <c r="CN253">
        <f>IF(CH253="","",IFERROR(IF(AND(LEN(CH253)=9,ISERROR(FIND("-",LEFT(CH253,8))),ISNUMBER(-LEFT(CH253,8))),VALUE(MID(CH253,5,2)),VALUE(MID(CH253,FIND("-",CH253)+1,FIND("-",CH253,FIND("-",CH253)+1)-FIND("-",CH253)-1))),""))</f>
        <v/>
      </c>
      <c r="CO253">
        <f>IF(CH253="","",IFERROR(IF(AND(LEN(CH253)=9,ISERROR(FIND("-",LEFT(CH253,8))),ISNUMBER(-LEFT(CH253,8))),VALUE(MID(CH253,7,2)),VALUE(MID(CH253,FIND("-",CH253,FIND("-",CH253)+1)+1,FIND("-",CH253,FIND("-",CH253,FIND("-",CH253)+1)+1)-FIND("-",CH253,FIND("-",CH253)+1)-1))),""))</f>
        <v/>
      </c>
    </row>
    <row r="254">
      <c r="CH254">
        <f>IF(ISTEXT('월 가계부'!A254),SUBSTITUTE(SUBSTITUTE(SUBSTITUTE(SUBSTITUTE(SUBSTITUTE(SUBSTITUTE(SUBSTITUTE(SUBSTITUTE(SUBSTITUTE(TRIM('월 가계부'!A254),"년","-"),"월","-"),"일",""),".","-"),"/","-")," ","-"),"--","-"),"--","-"),"--","-")&amp;"-","")</f>
        <v/>
      </c>
      <c r="CI254">
        <f>IFERROR(IF('월 가계부'!A254="","",IF(ISNUMBER('월 가계부'!A254),IF(AND('월 가계부'!A254&gt;=19000101,'월 가계부'!A254&lt;=21001231),IF(AND(MOD(INT('월 가계부'!A254/100),100)&gt;=1,MOD(INT('월 가계부'!A254/100),100)&lt;=12,MOD(INT('월 가계부'!A254),100)&gt;=1,MOD(INT('월 가계부'!A254),100)&lt;=31),IF(MONTH(DATE(INT('월 가계부'!A254/10000),MOD(INT('월 가계부'!A254/100),100),MOD(INT('월 가계부'!A254),100)))=MOD(INT('월 가계부'!A254/100),100),DATE(INT('월 가계부'!A254/10000),MOD(INT('월 가계부'!A254/100),100),MOD(INT('월 가계부'!A254),100)),""),""),IF(AND('월 가계부'!A254&gt;=36526,'월 가계부'!A254&lt;73051),INT('월 가계부'!A254),"")),IF(OR(CM254="",CN254="",CO254=""),"",IF(AND(CM254&gt;=2000,CM254&lt;=2099,CN254&gt;=1,CN254&lt;=12,CO254&gt;=1,CO254&lt;=31),IF(MONTH(DATE(CM254,CN254,CO254))=CN254,DATE(CM254,CN254,CO254),""),"")))),"")</f>
        <v/>
      </c>
      <c r="CJ254">
        <f>IFERROR(IF('월 가계부'!C254="","",IF(ISNUMBER('월 가계부'!C254),'월 가계부'!C254,VALUE(SUBSTITUTE(SUBSTITUTE(SUBSTITUTE(SUBSTITUTE(TRIM('월 가계부'!C254),",",""),"원","")," ",""),"−","-")))),"")</f>
        <v/>
      </c>
      <c r="CK254">
        <f>IF(ISNUMBER(CI254),IF(CI254&lt;$B$13,CI254,""),"")</f>
        <v/>
      </c>
      <c r="CM254">
        <f>IF(CH254="","",IFERROR(IF(IF(AND(LEN(CH254)=9,ISERROR(FIND("-",LEFT(CH254,8))),ISNUMBER(-LEFT(CH254,8))),VALUE(LEFT(CH254,4)),VALUE(LEFT(CH254,FIND("-",CH254)-1)))&lt;100,IF(AND(LEN(CH254)=9,ISERROR(FIND("-",LEFT(CH254,8))),ISNUMBER(-LEFT(CH254,8))),VALUE(LEFT(CH254,4)),VALUE(LEFT(CH254,FIND("-",CH254)-1)))+2000,IF(AND(LEN(CH254)=9,ISERROR(FIND("-",LEFT(CH254,8))),ISNUMBER(-LEFT(CH254,8))),VALUE(LEFT(CH254,4)),VALUE(LEFT(CH254,FIND("-",CH254)-1)))),""))</f>
        <v/>
      </c>
      <c r="CN254">
        <f>IF(CH254="","",IFERROR(IF(AND(LEN(CH254)=9,ISERROR(FIND("-",LEFT(CH254,8))),ISNUMBER(-LEFT(CH254,8))),VALUE(MID(CH254,5,2)),VALUE(MID(CH254,FIND("-",CH254)+1,FIND("-",CH254,FIND("-",CH254)+1)-FIND("-",CH254)-1))),""))</f>
        <v/>
      </c>
      <c r="CO254">
        <f>IF(CH254="","",IFERROR(IF(AND(LEN(CH254)=9,ISERROR(FIND("-",LEFT(CH254,8))),ISNUMBER(-LEFT(CH254,8))),VALUE(MID(CH254,7,2)),VALUE(MID(CH254,FIND("-",CH254,FIND("-",CH254)+1)+1,FIND("-",CH254,FIND("-",CH254,FIND("-",CH254)+1)+1)-FIND("-",CH254,FIND("-",CH254)+1)-1))),""))</f>
        <v/>
      </c>
    </row>
    <row r="255">
      <c r="CH255">
        <f>IF(ISTEXT('월 가계부'!A255),SUBSTITUTE(SUBSTITUTE(SUBSTITUTE(SUBSTITUTE(SUBSTITUTE(SUBSTITUTE(SUBSTITUTE(SUBSTITUTE(SUBSTITUTE(TRIM('월 가계부'!A255),"년","-"),"월","-"),"일",""),".","-"),"/","-")," ","-"),"--","-"),"--","-"),"--","-")&amp;"-","")</f>
        <v/>
      </c>
      <c r="CI255">
        <f>IFERROR(IF('월 가계부'!A255="","",IF(ISNUMBER('월 가계부'!A255),IF(AND('월 가계부'!A255&gt;=19000101,'월 가계부'!A255&lt;=21001231),IF(AND(MOD(INT('월 가계부'!A255/100),100)&gt;=1,MOD(INT('월 가계부'!A255/100),100)&lt;=12,MOD(INT('월 가계부'!A255),100)&gt;=1,MOD(INT('월 가계부'!A255),100)&lt;=31),IF(MONTH(DATE(INT('월 가계부'!A255/10000),MOD(INT('월 가계부'!A255/100),100),MOD(INT('월 가계부'!A255),100)))=MOD(INT('월 가계부'!A255/100),100),DATE(INT('월 가계부'!A255/10000),MOD(INT('월 가계부'!A255/100),100),MOD(INT('월 가계부'!A255),100)),""),""),IF(AND('월 가계부'!A255&gt;=36526,'월 가계부'!A255&lt;73051),INT('월 가계부'!A255),"")),IF(OR(CM255="",CN255="",CO255=""),"",IF(AND(CM255&gt;=2000,CM255&lt;=2099,CN255&gt;=1,CN255&lt;=12,CO255&gt;=1,CO255&lt;=31),IF(MONTH(DATE(CM255,CN255,CO255))=CN255,DATE(CM255,CN255,CO255),""),"")))),"")</f>
        <v/>
      </c>
      <c r="CJ255">
        <f>IFERROR(IF('월 가계부'!C255="","",IF(ISNUMBER('월 가계부'!C255),'월 가계부'!C255,VALUE(SUBSTITUTE(SUBSTITUTE(SUBSTITUTE(SUBSTITUTE(TRIM('월 가계부'!C255),",",""),"원","")," ",""),"−","-")))),"")</f>
        <v/>
      </c>
      <c r="CK255">
        <f>IF(ISNUMBER(CI255),IF(CI255&lt;$B$13,CI255,""),"")</f>
        <v/>
      </c>
      <c r="CM255">
        <f>IF(CH255="","",IFERROR(IF(IF(AND(LEN(CH255)=9,ISERROR(FIND("-",LEFT(CH255,8))),ISNUMBER(-LEFT(CH255,8))),VALUE(LEFT(CH255,4)),VALUE(LEFT(CH255,FIND("-",CH255)-1)))&lt;100,IF(AND(LEN(CH255)=9,ISERROR(FIND("-",LEFT(CH255,8))),ISNUMBER(-LEFT(CH255,8))),VALUE(LEFT(CH255,4)),VALUE(LEFT(CH255,FIND("-",CH255)-1)))+2000,IF(AND(LEN(CH255)=9,ISERROR(FIND("-",LEFT(CH255,8))),ISNUMBER(-LEFT(CH255,8))),VALUE(LEFT(CH255,4)),VALUE(LEFT(CH255,FIND("-",CH255)-1)))),""))</f>
        <v/>
      </c>
      <c r="CN255">
        <f>IF(CH255="","",IFERROR(IF(AND(LEN(CH255)=9,ISERROR(FIND("-",LEFT(CH255,8))),ISNUMBER(-LEFT(CH255,8))),VALUE(MID(CH255,5,2)),VALUE(MID(CH255,FIND("-",CH255)+1,FIND("-",CH255,FIND("-",CH255)+1)-FIND("-",CH255)-1))),""))</f>
        <v/>
      </c>
      <c r="CO255">
        <f>IF(CH255="","",IFERROR(IF(AND(LEN(CH255)=9,ISERROR(FIND("-",LEFT(CH255,8))),ISNUMBER(-LEFT(CH255,8))),VALUE(MID(CH255,7,2)),VALUE(MID(CH255,FIND("-",CH255,FIND("-",CH255)+1)+1,FIND("-",CH255,FIND("-",CH255,FIND("-",CH255)+1)+1)-FIND("-",CH255,FIND("-",CH255)+1)-1))),""))</f>
        <v/>
      </c>
    </row>
    <row r="256">
      <c r="CH256">
        <f>IF(ISTEXT('월 가계부'!A256),SUBSTITUTE(SUBSTITUTE(SUBSTITUTE(SUBSTITUTE(SUBSTITUTE(SUBSTITUTE(SUBSTITUTE(SUBSTITUTE(SUBSTITUTE(TRIM('월 가계부'!A256),"년","-"),"월","-"),"일",""),".","-"),"/","-")," ","-"),"--","-"),"--","-"),"--","-")&amp;"-","")</f>
        <v/>
      </c>
      <c r="CI256">
        <f>IFERROR(IF('월 가계부'!A256="","",IF(ISNUMBER('월 가계부'!A256),IF(AND('월 가계부'!A256&gt;=19000101,'월 가계부'!A256&lt;=21001231),IF(AND(MOD(INT('월 가계부'!A256/100),100)&gt;=1,MOD(INT('월 가계부'!A256/100),100)&lt;=12,MOD(INT('월 가계부'!A256),100)&gt;=1,MOD(INT('월 가계부'!A256),100)&lt;=31),IF(MONTH(DATE(INT('월 가계부'!A256/10000),MOD(INT('월 가계부'!A256/100),100),MOD(INT('월 가계부'!A256),100)))=MOD(INT('월 가계부'!A256/100),100),DATE(INT('월 가계부'!A256/10000),MOD(INT('월 가계부'!A256/100),100),MOD(INT('월 가계부'!A256),100)),""),""),IF(AND('월 가계부'!A256&gt;=36526,'월 가계부'!A256&lt;73051),INT('월 가계부'!A256),"")),IF(OR(CM256="",CN256="",CO256=""),"",IF(AND(CM256&gt;=2000,CM256&lt;=2099,CN256&gt;=1,CN256&lt;=12,CO256&gt;=1,CO256&lt;=31),IF(MONTH(DATE(CM256,CN256,CO256))=CN256,DATE(CM256,CN256,CO256),""),"")))),"")</f>
        <v/>
      </c>
      <c r="CJ256">
        <f>IFERROR(IF('월 가계부'!C256="","",IF(ISNUMBER('월 가계부'!C256),'월 가계부'!C256,VALUE(SUBSTITUTE(SUBSTITUTE(SUBSTITUTE(SUBSTITUTE(TRIM('월 가계부'!C256),",",""),"원","")," ",""),"−","-")))),"")</f>
        <v/>
      </c>
      <c r="CK256">
        <f>IF(ISNUMBER(CI256),IF(CI256&lt;$B$13,CI256,""),"")</f>
        <v/>
      </c>
      <c r="CM256">
        <f>IF(CH256="","",IFERROR(IF(IF(AND(LEN(CH256)=9,ISERROR(FIND("-",LEFT(CH256,8))),ISNUMBER(-LEFT(CH256,8))),VALUE(LEFT(CH256,4)),VALUE(LEFT(CH256,FIND("-",CH256)-1)))&lt;100,IF(AND(LEN(CH256)=9,ISERROR(FIND("-",LEFT(CH256,8))),ISNUMBER(-LEFT(CH256,8))),VALUE(LEFT(CH256,4)),VALUE(LEFT(CH256,FIND("-",CH256)-1)))+2000,IF(AND(LEN(CH256)=9,ISERROR(FIND("-",LEFT(CH256,8))),ISNUMBER(-LEFT(CH256,8))),VALUE(LEFT(CH256,4)),VALUE(LEFT(CH256,FIND("-",CH256)-1)))),""))</f>
        <v/>
      </c>
      <c r="CN256">
        <f>IF(CH256="","",IFERROR(IF(AND(LEN(CH256)=9,ISERROR(FIND("-",LEFT(CH256,8))),ISNUMBER(-LEFT(CH256,8))),VALUE(MID(CH256,5,2)),VALUE(MID(CH256,FIND("-",CH256)+1,FIND("-",CH256,FIND("-",CH256)+1)-FIND("-",CH256)-1))),""))</f>
        <v/>
      </c>
      <c r="CO256">
        <f>IF(CH256="","",IFERROR(IF(AND(LEN(CH256)=9,ISERROR(FIND("-",LEFT(CH256,8))),ISNUMBER(-LEFT(CH256,8))),VALUE(MID(CH256,7,2)),VALUE(MID(CH256,FIND("-",CH256,FIND("-",CH256)+1)+1,FIND("-",CH256,FIND("-",CH256,FIND("-",CH256)+1)+1)-FIND("-",CH256,FIND("-",CH256)+1)-1))),""))</f>
        <v/>
      </c>
    </row>
    <row r="257">
      <c r="CH257">
        <f>IF(ISTEXT('월 가계부'!A257),SUBSTITUTE(SUBSTITUTE(SUBSTITUTE(SUBSTITUTE(SUBSTITUTE(SUBSTITUTE(SUBSTITUTE(SUBSTITUTE(SUBSTITUTE(TRIM('월 가계부'!A257),"년","-"),"월","-"),"일",""),".","-"),"/","-")," ","-"),"--","-"),"--","-"),"--","-")&amp;"-","")</f>
        <v/>
      </c>
      <c r="CI257">
        <f>IFERROR(IF('월 가계부'!A257="","",IF(ISNUMBER('월 가계부'!A257),IF(AND('월 가계부'!A257&gt;=19000101,'월 가계부'!A257&lt;=21001231),IF(AND(MOD(INT('월 가계부'!A257/100),100)&gt;=1,MOD(INT('월 가계부'!A257/100),100)&lt;=12,MOD(INT('월 가계부'!A257),100)&gt;=1,MOD(INT('월 가계부'!A257),100)&lt;=31),IF(MONTH(DATE(INT('월 가계부'!A257/10000),MOD(INT('월 가계부'!A257/100),100),MOD(INT('월 가계부'!A257),100)))=MOD(INT('월 가계부'!A257/100),100),DATE(INT('월 가계부'!A257/10000),MOD(INT('월 가계부'!A257/100),100),MOD(INT('월 가계부'!A257),100)),""),""),IF(AND('월 가계부'!A257&gt;=36526,'월 가계부'!A257&lt;73051),INT('월 가계부'!A257),"")),IF(OR(CM257="",CN257="",CO257=""),"",IF(AND(CM257&gt;=2000,CM257&lt;=2099,CN257&gt;=1,CN257&lt;=12,CO257&gt;=1,CO257&lt;=31),IF(MONTH(DATE(CM257,CN257,CO257))=CN257,DATE(CM257,CN257,CO257),""),"")))),"")</f>
        <v/>
      </c>
      <c r="CJ257">
        <f>IFERROR(IF('월 가계부'!C257="","",IF(ISNUMBER('월 가계부'!C257),'월 가계부'!C257,VALUE(SUBSTITUTE(SUBSTITUTE(SUBSTITUTE(SUBSTITUTE(TRIM('월 가계부'!C257),",",""),"원","")," ",""),"−","-")))),"")</f>
        <v/>
      </c>
      <c r="CK257">
        <f>IF(ISNUMBER(CI257),IF(CI257&lt;$B$13,CI257,""),"")</f>
        <v/>
      </c>
      <c r="CM257">
        <f>IF(CH257="","",IFERROR(IF(IF(AND(LEN(CH257)=9,ISERROR(FIND("-",LEFT(CH257,8))),ISNUMBER(-LEFT(CH257,8))),VALUE(LEFT(CH257,4)),VALUE(LEFT(CH257,FIND("-",CH257)-1)))&lt;100,IF(AND(LEN(CH257)=9,ISERROR(FIND("-",LEFT(CH257,8))),ISNUMBER(-LEFT(CH257,8))),VALUE(LEFT(CH257,4)),VALUE(LEFT(CH257,FIND("-",CH257)-1)))+2000,IF(AND(LEN(CH257)=9,ISERROR(FIND("-",LEFT(CH257,8))),ISNUMBER(-LEFT(CH257,8))),VALUE(LEFT(CH257,4)),VALUE(LEFT(CH257,FIND("-",CH257)-1)))),""))</f>
        <v/>
      </c>
      <c r="CN257">
        <f>IF(CH257="","",IFERROR(IF(AND(LEN(CH257)=9,ISERROR(FIND("-",LEFT(CH257,8))),ISNUMBER(-LEFT(CH257,8))),VALUE(MID(CH257,5,2)),VALUE(MID(CH257,FIND("-",CH257)+1,FIND("-",CH257,FIND("-",CH257)+1)-FIND("-",CH257)-1))),""))</f>
        <v/>
      </c>
      <c r="CO257">
        <f>IF(CH257="","",IFERROR(IF(AND(LEN(CH257)=9,ISERROR(FIND("-",LEFT(CH257,8))),ISNUMBER(-LEFT(CH257,8))),VALUE(MID(CH257,7,2)),VALUE(MID(CH257,FIND("-",CH257,FIND("-",CH257)+1)+1,FIND("-",CH257,FIND("-",CH257,FIND("-",CH257)+1)+1)-FIND("-",CH257,FIND("-",CH257)+1)-1))),""))</f>
        <v/>
      </c>
    </row>
    <row r="258">
      <c r="CH258">
        <f>IF(ISTEXT('월 가계부'!A258),SUBSTITUTE(SUBSTITUTE(SUBSTITUTE(SUBSTITUTE(SUBSTITUTE(SUBSTITUTE(SUBSTITUTE(SUBSTITUTE(SUBSTITUTE(TRIM('월 가계부'!A258),"년","-"),"월","-"),"일",""),".","-"),"/","-")," ","-"),"--","-"),"--","-"),"--","-")&amp;"-","")</f>
        <v/>
      </c>
      <c r="CI258">
        <f>IFERROR(IF('월 가계부'!A258="","",IF(ISNUMBER('월 가계부'!A258),IF(AND('월 가계부'!A258&gt;=19000101,'월 가계부'!A258&lt;=21001231),IF(AND(MOD(INT('월 가계부'!A258/100),100)&gt;=1,MOD(INT('월 가계부'!A258/100),100)&lt;=12,MOD(INT('월 가계부'!A258),100)&gt;=1,MOD(INT('월 가계부'!A258),100)&lt;=31),IF(MONTH(DATE(INT('월 가계부'!A258/10000),MOD(INT('월 가계부'!A258/100),100),MOD(INT('월 가계부'!A258),100)))=MOD(INT('월 가계부'!A258/100),100),DATE(INT('월 가계부'!A258/10000),MOD(INT('월 가계부'!A258/100),100),MOD(INT('월 가계부'!A258),100)),""),""),IF(AND('월 가계부'!A258&gt;=36526,'월 가계부'!A258&lt;73051),INT('월 가계부'!A258),"")),IF(OR(CM258="",CN258="",CO258=""),"",IF(AND(CM258&gt;=2000,CM258&lt;=2099,CN258&gt;=1,CN258&lt;=12,CO258&gt;=1,CO258&lt;=31),IF(MONTH(DATE(CM258,CN258,CO258))=CN258,DATE(CM258,CN258,CO258),""),"")))),"")</f>
        <v/>
      </c>
      <c r="CJ258">
        <f>IFERROR(IF('월 가계부'!C258="","",IF(ISNUMBER('월 가계부'!C258),'월 가계부'!C258,VALUE(SUBSTITUTE(SUBSTITUTE(SUBSTITUTE(SUBSTITUTE(TRIM('월 가계부'!C258),",",""),"원","")," ",""),"−","-")))),"")</f>
        <v/>
      </c>
      <c r="CK258">
        <f>IF(ISNUMBER(CI258),IF(CI258&lt;$B$13,CI258,""),"")</f>
        <v/>
      </c>
      <c r="CM258">
        <f>IF(CH258="","",IFERROR(IF(IF(AND(LEN(CH258)=9,ISERROR(FIND("-",LEFT(CH258,8))),ISNUMBER(-LEFT(CH258,8))),VALUE(LEFT(CH258,4)),VALUE(LEFT(CH258,FIND("-",CH258)-1)))&lt;100,IF(AND(LEN(CH258)=9,ISERROR(FIND("-",LEFT(CH258,8))),ISNUMBER(-LEFT(CH258,8))),VALUE(LEFT(CH258,4)),VALUE(LEFT(CH258,FIND("-",CH258)-1)))+2000,IF(AND(LEN(CH258)=9,ISERROR(FIND("-",LEFT(CH258,8))),ISNUMBER(-LEFT(CH258,8))),VALUE(LEFT(CH258,4)),VALUE(LEFT(CH258,FIND("-",CH258)-1)))),""))</f>
        <v/>
      </c>
      <c r="CN258">
        <f>IF(CH258="","",IFERROR(IF(AND(LEN(CH258)=9,ISERROR(FIND("-",LEFT(CH258,8))),ISNUMBER(-LEFT(CH258,8))),VALUE(MID(CH258,5,2)),VALUE(MID(CH258,FIND("-",CH258)+1,FIND("-",CH258,FIND("-",CH258)+1)-FIND("-",CH258)-1))),""))</f>
        <v/>
      </c>
      <c r="CO258">
        <f>IF(CH258="","",IFERROR(IF(AND(LEN(CH258)=9,ISERROR(FIND("-",LEFT(CH258,8))),ISNUMBER(-LEFT(CH258,8))),VALUE(MID(CH258,7,2)),VALUE(MID(CH258,FIND("-",CH258,FIND("-",CH258)+1)+1,FIND("-",CH258,FIND("-",CH258,FIND("-",CH258)+1)+1)-FIND("-",CH258,FIND("-",CH258)+1)-1))),""))</f>
        <v/>
      </c>
    </row>
    <row r="259">
      <c r="CH259">
        <f>IF(ISTEXT('월 가계부'!A259),SUBSTITUTE(SUBSTITUTE(SUBSTITUTE(SUBSTITUTE(SUBSTITUTE(SUBSTITUTE(SUBSTITUTE(SUBSTITUTE(SUBSTITUTE(TRIM('월 가계부'!A259),"년","-"),"월","-"),"일",""),".","-"),"/","-")," ","-"),"--","-"),"--","-"),"--","-")&amp;"-","")</f>
        <v/>
      </c>
      <c r="CI259">
        <f>IFERROR(IF('월 가계부'!A259="","",IF(ISNUMBER('월 가계부'!A259),IF(AND('월 가계부'!A259&gt;=19000101,'월 가계부'!A259&lt;=21001231),IF(AND(MOD(INT('월 가계부'!A259/100),100)&gt;=1,MOD(INT('월 가계부'!A259/100),100)&lt;=12,MOD(INT('월 가계부'!A259),100)&gt;=1,MOD(INT('월 가계부'!A259),100)&lt;=31),IF(MONTH(DATE(INT('월 가계부'!A259/10000),MOD(INT('월 가계부'!A259/100),100),MOD(INT('월 가계부'!A259),100)))=MOD(INT('월 가계부'!A259/100),100),DATE(INT('월 가계부'!A259/10000),MOD(INT('월 가계부'!A259/100),100),MOD(INT('월 가계부'!A259),100)),""),""),IF(AND('월 가계부'!A259&gt;=36526,'월 가계부'!A259&lt;73051),INT('월 가계부'!A259),"")),IF(OR(CM259="",CN259="",CO259=""),"",IF(AND(CM259&gt;=2000,CM259&lt;=2099,CN259&gt;=1,CN259&lt;=12,CO259&gt;=1,CO259&lt;=31),IF(MONTH(DATE(CM259,CN259,CO259))=CN259,DATE(CM259,CN259,CO259),""),"")))),"")</f>
        <v/>
      </c>
      <c r="CJ259">
        <f>IFERROR(IF('월 가계부'!C259="","",IF(ISNUMBER('월 가계부'!C259),'월 가계부'!C259,VALUE(SUBSTITUTE(SUBSTITUTE(SUBSTITUTE(SUBSTITUTE(TRIM('월 가계부'!C259),",",""),"원","")," ",""),"−","-")))),"")</f>
        <v/>
      </c>
      <c r="CK259">
        <f>IF(ISNUMBER(CI259),IF(CI259&lt;$B$13,CI259,""),"")</f>
        <v/>
      </c>
      <c r="CM259">
        <f>IF(CH259="","",IFERROR(IF(IF(AND(LEN(CH259)=9,ISERROR(FIND("-",LEFT(CH259,8))),ISNUMBER(-LEFT(CH259,8))),VALUE(LEFT(CH259,4)),VALUE(LEFT(CH259,FIND("-",CH259)-1)))&lt;100,IF(AND(LEN(CH259)=9,ISERROR(FIND("-",LEFT(CH259,8))),ISNUMBER(-LEFT(CH259,8))),VALUE(LEFT(CH259,4)),VALUE(LEFT(CH259,FIND("-",CH259)-1)))+2000,IF(AND(LEN(CH259)=9,ISERROR(FIND("-",LEFT(CH259,8))),ISNUMBER(-LEFT(CH259,8))),VALUE(LEFT(CH259,4)),VALUE(LEFT(CH259,FIND("-",CH259)-1)))),""))</f>
        <v/>
      </c>
      <c r="CN259">
        <f>IF(CH259="","",IFERROR(IF(AND(LEN(CH259)=9,ISERROR(FIND("-",LEFT(CH259,8))),ISNUMBER(-LEFT(CH259,8))),VALUE(MID(CH259,5,2)),VALUE(MID(CH259,FIND("-",CH259)+1,FIND("-",CH259,FIND("-",CH259)+1)-FIND("-",CH259)-1))),""))</f>
        <v/>
      </c>
      <c r="CO259">
        <f>IF(CH259="","",IFERROR(IF(AND(LEN(CH259)=9,ISERROR(FIND("-",LEFT(CH259,8))),ISNUMBER(-LEFT(CH259,8))),VALUE(MID(CH259,7,2)),VALUE(MID(CH259,FIND("-",CH259,FIND("-",CH259)+1)+1,FIND("-",CH259,FIND("-",CH259,FIND("-",CH259)+1)+1)-FIND("-",CH259,FIND("-",CH259)+1)-1))),""))</f>
        <v/>
      </c>
    </row>
    <row r="260">
      <c r="CH260">
        <f>IF(ISTEXT('월 가계부'!A260),SUBSTITUTE(SUBSTITUTE(SUBSTITUTE(SUBSTITUTE(SUBSTITUTE(SUBSTITUTE(SUBSTITUTE(SUBSTITUTE(SUBSTITUTE(TRIM('월 가계부'!A260),"년","-"),"월","-"),"일",""),".","-"),"/","-")," ","-"),"--","-"),"--","-"),"--","-")&amp;"-","")</f>
        <v/>
      </c>
      <c r="CI260">
        <f>IFERROR(IF('월 가계부'!A260="","",IF(ISNUMBER('월 가계부'!A260),IF(AND('월 가계부'!A260&gt;=19000101,'월 가계부'!A260&lt;=21001231),IF(AND(MOD(INT('월 가계부'!A260/100),100)&gt;=1,MOD(INT('월 가계부'!A260/100),100)&lt;=12,MOD(INT('월 가계부'!A260),100)&gt;=1,MOD(INT('월 가계부'!A260),100)&lt;=31),IF(MONTH(DATE(INT('월 가계부'!A260/10000),MOD(INT('월 가계부'!A260/100),100),MOD(INT('월 가계부'!A260),100)))=MOD(INT('월 가계부'!A260/100),100),DATE(INT('월 가계부'!A260/10000),MOD(INT('월 가계부'!A260/100),100),MOD(INT('월 가계부'!A260),100)),""),""),IF(AND('월 가계부'!A260&gt;=36526,'월 가계부'!A260&lt;73051),INT('월 가계부'!A260),"")),IF(OR(CM260="",CN260="",CO260=""),"",IF(AND(CM260&gt;=2000,CM260&lt;=2099,CN260&gt;=1,CN260&lt;=12,CO260&gt;=1,CO260&lt;=31),IF(MONTH(DATE(CM260,CN260,CO260))=CN260,DATE(CM260,CN260,CO260),""),"")))),"")</f>
        <v/>
      </c>
      <c r="CJ260">
        <f>IFERROR(IF('월 가계부'!C260="","",IF(ISNUMBER('월 가계부'!C260),'월 가계부'!C260,VALUE(SUBSTITUTE(SUBSTITUTE(SUBSTITUTE(SUBSTITUTE(TRIM('월 가계부'!C260),",",""),"원","")," ",""),"−","-")))),"")</f>
        <v/>
      </c>
      <c r="CK260">
        <f>IF(ISNUMBER(CI260),IF(CI260&lt;$B$13,CI260,""),"")</f>
        <v/>
      </c>
      <c r="CM260">
        <f>IF(CH260="","",IFERROR(IF(IF(AND(LEN(CH260)=9,ISERROR(FIND("-",LEFT(CH260,8))),ISNUMBER(-LEFT(CH260,8))),VALUE(LEFT(CH260,4)),VALUE(LEFT(CH260,FIND("-",CH260)-1)))&lt;100,IF(AND(LEN(CH260)=9,ISERROR(FIND("-",LEFT(CH260,8))),ISNUMBER(-LEFT(CH260,8))),VALUE(LEFT(CH260,4)),VALUE(LEFT(CH260,FIND("-",CH260)-1)))+2000,IF(AND(LEN(CH260)=9,ISERROR(FIND("-",LEFT(CH260,8))),ISNUMBER(-LEFT(CH260,8))),VALUE(LEFT(CH260,4)),VALUE(LEFT(CH260,FIND("-",CH260)-1)))),""))</f>
        <v/>
      </c>
      <c r="CN260">
        <f>IF(CH260="","",IFERROR(IF(AND(LEN(CH260)=9,ISERROR(FIND("-",LEFT(CH260,8))),ISNUMBER(-LEFT(CH260,8))),VALUE(MID(CH260,5,2)),VALUE(MID(CH260,FIND("-",CH260)+1,FIND("-",CH260,FIND("-",CH260)+1)-FIND("-",CH260)-1))),""))</f>
        <v/>
      </c>
      <c r="CO260">
        <f>IF(CH260="","",IFERROR(IF(AND(LEN(CH260)=9,ISERROR(FIND("-",LEFT(CH260,8))),ISNUMBER(-LEFT(CH260,8))),VALUE(MID(CH260,7,2)),VALUE(MID(CH260,FIND("-",CH260,FIND("-",CH260)+1)+1,FIND("-",CH260,FIND("-",CH260,FIND("-",CH260)+1)+1)-FIND("-",CH260,FIND("-",CH260)+1)-1))),""))</f>
        <v/>
      </c>
    </row>
    <row r="261">
      <c r="CH261">
        <f>IF(ISTEXT('월 가계부'!A261),SUBSTITUTE(SUBSTITUTE(SUBSTITUTE(SUBSTITUTE(SUBSTITUTE(SUBSTITUTE(SUBSTITUTE(SUBSTITUTE(SUBSTITUTE(TRIM('월 가계부'!A261),"년","-"),"월","-"),"일",""),".","-"),"/","-")," ","-"),"--","-"),"--","-"),"--","-")&amp;"-","")</f>
        <v/>
      </c>
      <c r="CI261">
        <f>IFERROR(IF('월 가계부'!A261="","",IF(ISNUMBER('월 가계부'!A261),IF(AND('월 가계부'!A261&gt;=19000101,'월 가계부'!A261&lt;=21001231),IF(AND(MOD(INT('월 가계부'!A261/100),100)&gt;=1,MOD(INT('월 가계부'!A261/100),100)&lt;=12,MOD(INT('월 가계부'!A261),100)&gt;=1,MOD(INT('월 가계부'!A261),100)&lt;=31),IF(MONTH(DATE(INT('월 가계부'!A261/10000),MOD(INT('월 가계부'!A261/100),100),MOD(INT('월 가계부'!A261),100)))=MOD(INT('월 가계부'!A261/100),100),DATE(INT('월 가계부'!A261/10000),MOD(INT('월 가계부'!A261/100),100),MOD(INT('월 가계부'!A261),100)),""),""),IF(AND('월 가계부'!A261&gt;=36526,'월 가계부'!A261&lt;73051),INT('월 가계부'!A261),"")),IF(OR(CM261="",CN261="",CO261=""),"",IF(AND(CM261&gt;=2000,CM261&lt;=2099,CN261&gt;=1,CN261&lt;=12,CO261&gt;=1,CO261&lt;=31),IF(MONTH(DATE(CM261,CN261,CO261))=CN261,DATE(CM261,CN261,CO261),""),"")))),"")</f>
        <v/>
      </c>
      <c r="CJ261">
        <f>IFERROR(IF('월 가계부'!C261="","",IF(ISNUMBER('월 가계부'!C261),'월 가계부'!C261,VALUE(SUBSTITUTE(SUBSTITUTE(SUBSTITUTE(SUBSTITUTE(TRIM('월 가계부'!C261),",",""),"원","")," ",""),"−","-")))),"")</f>
        <v/>
      </c>
      <c r="CK261">
        <f>IF(ISNUMBER(CI261),IF(CI261&lt;$B$13,CI261,""),"")</f>
        <v/>
      </c>
      <c r="CM261">
        <f>IF(CH261="","",IFERROR(IF(IF(AND(LEN(CH261)=9,ISERROR(FIND("-",LEFT(CH261,8))),ISNUMBER(-LEFT(CH261,8))),VALUE(LEFT(CH261,4)),VALUE(LEFT(CH261,FIND("-",CH261)-1)))&lt;100,IF(AND(LEN(CH261)=9,ISERROR(FIND("-",LEFT(CH261,8))),ISNUMBER(-LEFT(CH261,8))),VALUE(LEFT(CH261,4)),VALUE(LEFT(CH261,FIND("-",CH261)-1)))+2000,IF(AND(LEN(CH261)=9,ISERROR(FIND("-",LEFT(CH261,8))),ISNUMBER(-LEFT(CH261,8))),VALUE(LEFT(CH261,4)),VALUE(LEFT(CH261,FIND("-",CH261)-1)))),""))</f>
        <v/>
      </c>
      <c r="CN261">
        <f>IF(CH261="","",IFERROR(IF(AND(LEN(CH261)=9,ISERROR(FIND("-",LEFT(CH261,8))),ISNUMBER(-LEFT(CH261,8))),VALUE(MID(CH261,5,2)),VALUE(MID(CH261,FIND("-",CH261)+1,FIND("-",CH261,FIND("-",CH261)+1)-FIND("-",CH261)-1))),""))</f>
        <v/>
      </c>
      <c r="CO261">
        <f>IF(CH261="","",IFERROR(IF(AND(LEN(CH261)=9,ISERROR(FIND("-",LEFT(CH261,8))),ISNUMBER(-LEFT(CH261,8))),VALUE(MID(CH261,7,2)),VALUE(MID(CH261,FIND("-",CH261,FIND("-",CH261)+1)+1,FIND("-",CH261,FIND("-",CH261,FIND("-",CH261)+1)+1)-FIND("-",CH261,FIND("-",CH261)+1)-1))),""))</f>
        <v/>
      </c>
    </row>
    <row r="262">
      <c r="CH262">
        <f>IF(ISTEXT('월 가계부'!A262),SUBSTITUTE(SUBSTITUTE(SUBSTITUTE(SUBSTITUTE(SUBSTITUTE(SUBSTITUTE(SUBSTITUTE(SUBSTITUTE(SUBSTITUTE(TRIM('월 가계부'!A262),"년","-"),"월","-"),"일",""),".","-"),"/","-")," ","-"),"--","-"),"--","-"),"--","-")&amp;"-","")</f>
        <v/>
      </c>
      <c r="CI262">
        <f>IFERROR(IF('월 가계부'!A262="","",IF(ISNUMBER('월 가계부'!A262),IF(AND('월 가계부'!A262&gt;=19000101,'월 가계부'!A262&lt;=21001231),IF(AND(MOD(INT('월 가계부'!A262/100),100)&gt;=1,MOD(INT('월 가계부'!A262/100),100)&lt;=12,MOD(INT('월 가계부'!A262),100)&gt;=1,MOD(INT('월 가계부'!A262),100)&lt;=31),IF(MONTH(DATE(INT('월 가계부'!A262/10000),MOD(INT('월 가계부'!A262/100),100),MOD(INT('월 가계부'!A262),100)))=MOD(INT('월 가계부'!A262/100),100),DATE(INT('월 가계부'!A262/10000),MOD(INT('월 가계부'!A262/100),100),MOD(INT('월 가계부'!A262),100)),""),""),IF(AND('월 가계부'!A262&gt;=36526,'월 가계부'!A262&lt;73051),INT('월 가계부'!A262),"")),IF(OR(CM262="",CN262="",CO262=""),"",IF(AND(CM262&gt;=2000,CM262&lt;=2099,CN262&gt;=1,CN262&lt;=12,CO262&gt;=1,CO262&lt;=31),IF(MONTH(DATE(CM262,CN262,CO262))=CN262,DATE(CM262,CN262,CO262),""),"")))),"")</f>
        <v/>
      </c>
      <c r="CJ262">
        <f>IFERROR(IF('월 가계부'!C262="","",IF(ISNUMBER('월 가계부'!C262),'월 가계부'!C262,VALUE(SUBSTITUTE(SUBSTITUTE(SUBSTITUTE(SUBSTITUTE(TRIM('월 가계부'!C262),",",""),"원","")," ",""),"−","-")))),"")</f>
        <v/>
      </c>
      <c r="CK262">
        <f>IF(ISNUMBER(CI262),IF(CI262&lt;$B$13,CI262,""),"")</f>
        <v/>
      </c>
      <c r="CM262">
        <f>IF(CH262="","",IFERROR(IF(IF(AND(LEN(CH262)=9,ISERROR(FIND("-",LEFT(CH262,8))),ISNUMBER(-LEFT(CH262,8))),VALUE(LEFT(CH262,4)),VALUE(LEFT(CH262,FIND("-",CH262)-1)))&lt;100,IF(AND(LEN(CH262)=9,ISERROR(FIND("-",LEFT(CH262,8))),ISNUMBER(-LEFT(CH262,8))),VALUE(LEFT(CH262,4)),VALUE(LEFT(CH262,FIND("-",CH262)-1)))+2000,IF(AND(LEN(CH262)=9,ISERROR(FIND("-",LEFT(CH262,8))),ISNUMBER(-LEFT(CH262,8))),VALUE(LEFT(CH262,4)),VALUE(LEFT(CH262,FIND("-",CH262)-1)))),""))</f>
        <v/>
      </c>
      <c r="CN262">
        <f>IF(CH262="","",IFERROR(IF(AND(LEN(CH262)=9,ISERROR(FIND("-",LEFT(CH262,8))),ISNUMBER(-LEFT(CH262,8))),VALUE(MID(CH262,5,2)),VALUE(MID(CH262,FIND("-",CH262)+1,FIND("-",CH262,FIND("-",CH262)+1)-FIND("-",CH262)-1))),""))</f>
        <v/>
      </c>
      <c r="CO262">
        <f>IF(CH262="","",IFERROR(IF(AND(LEN(CH262)=9,ISERROR(FIND("-",LEFT(CH262,8))),ISNUMBER(-LEFT(CH262,8))),VALUE(MID(CH262,7,2)),VALUE(MID(CH262,FIND("-",CH262,FIND("-",CH262)+1)+1,FIND("-",CH262,FIND("-",CH262,FIND("-",CH262)+1)+1)-FIND("-",CH262,FIND("-",CH262)+1)-1))),""))</f>
        <v/>
      </c>
    </row>
    <row r="263">
      <c r="CH263">
        <f>IF(ISTEXT('월 가계부'!A263),SUBSTITUTE(SUBSTITUTE(SUBSTITUTE(SUBSTITUTE(SUBSTITUTE(SUBSTITUTE(SUBSTITUTE(SUBSTITUTE(SUBSTITUTE(TRIM('월 가계부'!A263),"년","-"),"월","-"),"일",""),".","-"),"/","-")," ","-"),"--","-"),"--","-"),"--","-")&amp;"-","")</f>
        <v/>
      </c>
      <c r="CI263">
        <f>IFERROR(IF('월 가계부'!A263="","",IF(ISNUMBER('월 가계부'!A263),IF(AND('월 가계부'!A263&gt;=19000101,'월 가계부'!A263&lt;=21001231),IF(AND(MOD(INT('월 가계부'!A263/100),100)&gt;=1,MOD(INT('월 가계부'!A263/100),100)&lt;=12,MOD(INT('월 가계부'!A263),100)&gt;=1,MOD(INT('월 가계부'!A263),100)&lt;=31),IF(MONTH(DATE(INT('월 가계부'!A263/10000),MOD(INT('월 가계부'!A263/100),100),MOD(INT('월 가계부'!A263),100)))=MOD(INT('월 가계부'!A263/100),100),DATE(INT('월 가계부'!A263/10000),MOD(INT('월 가계부'!A263/100),100),MOD(INT('월 가계부'!A263),100)),""),""),IF(AND('월 가계부'!A263&gt;=36526,'월 가계부'!A263&lt;73051),INT('월 가계부'!A263),"")),IF(OR(CM263="",CN263="",CO263=""),"",IF(AND(CM263&gt;=2000,CM263&lt;=2099,CN263&gt;=1,CN263&lt;=12,CO263&gt;=1,CO263&lt;=31),IF(MONTH(DATE(CM263,CN263,CO263))=CN263,DATE(CM263,CN263,CO263),""),"")))),"")</f>
        <v/>
      </c>
      <c r="CJ263">
        <f>IFERROR(IF('월 가계부'!C263="","",IF(ISNUMBER('월 가계부'!C263),'월 가계부'!C263,VALUE(SUBSTITUTE(SUBSTITUTE(SUBSTITUTE(SUBSTITUTE(TRIM('월 가계부'!C263),",",""),"원","")," ",""),"−","-")))),"")</f>
        <v/>
      </c>
      <c r="CK263">
        <f>IF(ISNUMBER(CI263),IF(CI263&lt;$B$13,CI263,""),"")</f>
        <v/>
      </c>
      <c r="CM263">
        <f>IF(CH263="","",IFERROR(IF(IF(AND(LEN(CH263)=9,ISERROR(FIND("-",LEFT(CH263,8))),ISNUMBER(-LEFT(CH263,8))),VALUE(LEFT(CH263,4)),VALUE(LEFT(CH263,FIND("-",CH263)-1)))&lt;100,IF(AND(LEN(CH263)=9,ISERROR(FIND("-",LEFT(CH263,8))),ISNUMBER(-LEFT(CH263,8))),VALUE(LEFT(CH263,4)),VALUE(LEFT(CH263,FIND("-",CH263)-1)))+2000,IF(AND(LEN(CH263)=9,ISERROR(FIND("-",LEFT(CH263,8))),ISNUMBER(-LEFT(CH263,8))),VALUE(LEFT(CH263,4)),VALUE(LEFT(CH263,FIND("-",CH263)-1)))),""))</f>
        <v/>
      </c>
      <c r="CN263">
        <f>IF(CH263="","",IFERROR(IF(AND(LEN(CH263)=9,ISERROR(FIND("-",LEFT(CH263,8))),ISNUMBER(-LEFT(CH263,8))),VALUE(MID(CH263,5,2)),VALUE(MID(CH263,FIND("-",CH263)+1,FIND("-",CH263,FIND("-",CH263)+1)-FIND("-",CH263)-1))),""))</f>
        <v/>
      </c>
      <c r="CO263">
        <f>IF(CH263="","",IFERROR(IF(AND(LEN(CH263)=9,ISERROR(FIND("-",LEFT(CH263,8))),ISNUMBER(-LEFT(CH263,8))),VALUE(MID(CH263,7,2)),VALUE(MID(CH263,FIND("-",CH263,FIND("-",CH263)+1)+1,FIND("-",CH263,FIND("-",CH263,FIND("-",CH263)+1)+1)-FIND("-",CH263,FIND("-",CH263)+1)-1))),""))</f>
        <v/>
      </c>
    </row>
    <row r="264">
      <c r="CH264">
        <f>IF(ISTEXT('월 가계부'!A264),SUBSTITUTE(SUBSTITUTE(SUBSTITUTE(SUBSTITUTE(SUBSTITUTE(SUBSTITUTE(SUBSTITUTE(SUBSTITUTE(SUBSTITUTE(TRIM('월 가계부'!A264),"년","-"),"월","-"),"일",""),".","-"),"/","-")," ","-"),"--","-"),"--","-"),"--","-")&amp;"-","")</f>
        <v/>
      </c>
      <c r="CI264">
        <f>IFERROR(IF('월 가계부'!A264="","",IF(ISNUMBER('월 가계부'!A264),IF(AND('월 가계부'!A264&gt;=19000101,'월 가계부'!A264&lt;=21001231),IF(AND(MOD(INT('월 가계부'!A264/100),100)&gt;=1,MOD(INT('월 가계부'!A264/100),100)&lt;=12,MOD(INT('월 가계부'!A264),100)&gt;=1,MOD(INT('월 가계부'!A264),100)&lt;=31),IF(MONTH(DATE(INT('월 가계부'!A264/10000),MOD(INT('월 가계부'!A264/100),100),MOD(INT('월 가계부'!A264),100)))=MOD(INT('월 가계부'!A264/100),100),DATE(INT('월 가계부'!A264/10000),MOD(INT('월 가계부'!A264/100),100),MOD(INT('월 가계부'!A264),100)),""),""),IF(AND('월 가계부'!A264&gt;=36526,'월 가계부'!A264&lt;73051),INT('월 가계부'!A264),"")),IF(OR(CM264="",CN264="",CO264=""),"",IF(AND(CM264&gt;=2000,CM264&lt;=2099,CN264&gt;=1,CN264&lt;=12,CO264&gt;=1,CO264&lt;=31),IF(MONTH(DATE(CM264,CN264,CO264))=CN264,DATE(CM264,CN264,CO264),""),"")))),"")</f>
        <v/>
      </c>
      <c r="CJ264">
        <f>IFERROR(IF('월 가계부'!C264="","",IF(ISNUMBER('월 가계부'!C264),'월 가계부'!C264,VALUE(SUBSTITUTE(SUBSTITUTE(SUBSTITUTE(SUBSTITUTE(TRIM('월 가계부'!C264),",",""),"원","")," ",""),"−","-")))),"")</f>
        <v/>
      </c>
      <c r="CK264">
        <f>IF(ISNUMBER(CI264),IF(CI264&lt;$B$13,CI264,""),"")</f>
        <v/>
      </c>
      <c r="CM264">
        <f>IF(CH264="","",IFERROR(IF(IF(AND(LEN(CH264)=9,ISERROR(FIND("-",LEFT(CH264,8))),ISNUMBER(-LEFT(CH264,8))),VALUE(LEFT(CH264,4)),VALUE(LEFT(CH264,FIND("-",CH264)-1)))&lt;100,IF(AND(LEN(CH264)=9,ISERROR(FIND("-",LEFT(CH264,8))),ISNUMBER(-LEFT(CH264,8))),VALUE(LEFT(CH264,4)),VALUE(LEFT(CH264,FIND("-",CH264)-1)))+2000,IF(AND(LEN(CH264)=9,ISERROR(FIND("-",LEFT(CH264,8))),ISNUMBER(-LEFT(CH264,8))),VALUE(LEFT(CH264,4)),VALUE(LEFT(CH264,FIND("-",CH264)-1)))),""))</f>
        <v/>
      </c>
      <c r="CN264">
        <f>IF(CH264="","",IFERROR(IF(AND(LEN(CH264)=9,ISERROR(FIND("-",LEFT(CH264,8))),ISNUMBER(-LEFT(CH264,8))),VALUE(MID(CH264,5,2)),VALUE(MID(CH264,FIND("-",CH264)+1,FIND("-",CH264,FIND("-",CH264)+1)-FIND("-",CH264)-1))),""))</f>
        <v/>
      </c>
      <c r="CO264">
        <f>IF(CH264="","",IFERROR(IF(AND(LEN(CH264)=9,ISERROR(FIND("-",LEFT(CH264,8))),ISNUMBER(-LEFT(CH264,8))),VALUE(MID(CH264,7,2)),VALUE(MID(CH264,FIND("-",CH264,FIND("-",CH264)+1)+1,FIND("-",CH264,FIND("-",CH264,FIND("-",CH264)+1)+1)-FIND("-",CH264,FIND("-",CH264)+1)-1))),""))</f>
        <v/>
      </c>
    </row>
    <row r="265">
      <c r="CH265">
        <f>IF(ISTEXT('월 가계부'!A265),SUBSTITUTE(SUBSTITUTE(SUBSTITUTE(SUBSTITUTE(SUBSTITUTE(SUBSTITUTE(SUBSTITUTE(SUBSTITUTE(SUBSTITUTE(TRIM('월 가계부'!A265),"년","-"),"월","-"),"일",""),".","-"),"/","-")," ","-"),"--","-"),"--","-"),"--","-")&amp;"-","")</f>
        <v/>
      </c>
      <c r="CI265">
        <f>IFERROR(IF('월 가계부'!A265="","",IF(ISNUMBER('월 가계부'!A265),IF(AND('월 가계부'!A265&gt;=19000101,'월 가계부'!A265&lt;=21001231),IF(AND(MOD(INT('월 가계부'!A265/100),100)&gt;=1,MOD(INT('월 가계부'!A265/100),100)&lt;=12,MOD(INT('월 가계부'!A265),100)&gt;=1,MOD(INT('월 가계부'!A265),100)&lt;=31),IF(MONTH(DATE(INT('월 가계부'!A265/10000),MOD(INT('월 가계부'!A265/100),100),MOD(INT('월 가계부'!A265),100)))=MOD(INT('월 가계부'!A265/100),100),DATE(INT('월 가계부'!A265/10000),MOD(INT('월 가계부'!A265/100),100),MOD(INT('월 가계부'!A265),100)),""),""),IF(AND('월 가계부'!A265&gt;=36526,'월 가계부'!A265&lt;73051),INT('월 가계부'!A265),"")),IF(OR(CM265="",CN265="",CO265=""),"",IF(AND(CM265&gt;=2000,CM265&lt;=2099,CN265&gt;=1,CN265&lt;=12,CO265&gt;=1,CO265&lt;=31),IF(MONTH(DATE(CM265,CN265,CO265))=CN265,DATE(CM265,CN265,CO265),""),"")))),"")</f>
        <v/>
      </c>
      <c r="CJ265">
        <f>IFERROR(IF('월 가계부'!C265="","",IF(ISNUMBER('월 가계부'!C265),'월 가계부'!C265,VALUE(SUBSTITUTE(SUBSTITUTE(SUBSTITUTE(SUBSTITUTE(TRIM('월 가계부'!C265),",",""),"원","")," ",""),"−","-")))),"")</f>
        <v/>
      </c>
      <c r="CK265">
        <f>IF(ISNUMBER(CI265),IF(CI265&lt;$B$13,CI265,""),"")</f>
        <v/>
      </c>
      <c r="CM265">
        <f>IF(CH265="","",IFERROR(IF(IF(AND(LEN(CH265)=9,ISERROR(FIND("-",LEFT(CH265,8))),ISNUMBER(-LEFT(CH265,8))),VALUE(LEFT(CH265,4)),VALUE(LEFT(CH265,FIND("-",CH265)-1)))&lt;100,IF(AND(LEN(CH265)=9,ISERROR(FIND("-",LEFT(CH265,8))),ISNUMBER(-LEFT(CH265,8))),VALUE(LEFT(CH265,4)),VALUE(LEFT(CH265,FIND("-",CH265)-1)))+2000,IF(AND(LEN(CH265)=9,ISERROR(FIND("-",LEFT(CH265,8))),ISNUMBER(-LEFT(CH265,8))),VALUE(LEFT(CH265,4)),VALUE(LEFT(CH265,FIND("-",CH265)-1)))),""))</f>
        <v/>
      </c>
      <c r="CN265">
        <f>IF(CH265="","",IFERROR(IF(AND(LEN(CH265)=9,ISERROR(FIND("-",LEFT(CH265,8))),ISNUMBER(-LEFT(CH265,8))),VALUE(MID(CH265,5,2)),VALUE(MID(CH265,FIND("-",CH265)+1,FIND("-",CH265,FIND("-",CH265)+1)-FIND("-",CH265)-1))),""))</f>
        <v/>
      </c>
      <c r="CO265">
        <f>IF(CH265="","",IFERROR(IF(AND(LEN(CH265)=9,ISERROR(FIND("-",LEFT(CH265,8))),ISNUMBER(-LEFT(CH265,8))),VALUE(MID(CH265,7,2)),VALUE(MID(CH265,FIND("-",CH265,FIND("-",CH265)+1)+1,FIND("-",CH265,FIND("-",CH265,FIND("-",CH265)+1)+1)-FIND("-",CH265,FIND("-",CH265)+1)-1))),""))</f>
        <v/>
      </c>
    </row>
    <row r="266">
      <c r="CH266">
        <f>IF(ISTEXT('월 가계부'!A266),SUBSTITUTE(SUBSTITUTE(SUBSTITUTE(SUBSTITUTE(SUBSTITUTE(SUBSTITUTE(SUBSTITUTE(SUBSTITUTE(SUBSTITUTE(TRIM('월 가계부'!A266),"년","-"),"월","-"),"일",""),".","-"),"/","-")," ","-"),"--","-"),"--","-"),"--","-")&amp;"-","")</f>
        <v/>
      </c>
      <c r="CI266">
        <f>IFERROR(IF('월 가계부'!A266="","",IF(ISNUMBER('월 가계부'!A266),IF(AND('월 가계부'!A266&gt;=19000101,'월 가계부'!A266&lt;=21001231),IF(AND(MOD(INT('월 가계부'!A266/100),100)&gt;=1,MOD(INT('월 가계부'!A266/100),100)&lt;=12,MOD(INT('월 가계부'!A266),100)&gt;=1,MOD(INT('월 가계부'!A266),100)&lt;=31),IF(MONTH(DATE(INT('월 가계부'!A266/10000),MOD(INT('월 가계부'!A266/100),100),MOD(INT('월 가계부'!A266),100)))=MOD(INT('월 가계부'!A266/100),100),DATE(INT('월 가계부'!A266/10000),MOD(INT('월 가계부'!A266/100),100),MOD(INT('월 가계부'!A266),100)),""),""),IF(AND('월 가계부'!A266&gt;=36526,'월 가계부'!A266&lt;73051),INT('월 가계부'!A266),"")),IF(OR(CM266="",CN266="",CO266=""),"",IF(AND(CM266&gt;=2000,CM266&lt;=2099,CN266&gt;=1,CN266&lt;=12,CO266&gt;=1,CO266&lt;=31),IF(MONTH(DATE(CM266,CN266,CO266))=CN266,DATE(CM266,CN266,CO266),""),"")))),"")</f>
        <v/>
      </c>
      <c r="CJ266">
        <f>IFERROR(IF('월 가계부'!C266="","",IF(ISNUMBER('월 가계부'!C266),'월 가계부'!C266,VALUE(SUBSTITUTE(SUBSTITUTE(SUBSTITUTE(SUBSTITUTE(TRIM('월 가계부'!C266),",",""),"원","")," ",""),"−","-")))),"")</f>
        <v/>
      </c>
      <c r="CK266">
        <f>IF(ISNUMBER(CI266),IF(CI266&lt;$B$13,CI266,""),"")</f>
        <v/>
      </c>
      <c r="CM266">
        <f>IF(CH266="","",IFERROR(IF(IF(AND(LEN(CH266)=9,ISERROR(FIND("-",LEFT(CH266,8))),ISNUMBER(-LEFT(CH266,8))),VALUE(LEFT(CH266,4)),VALUE(LEFT(CH266,FIND("-",CH266)-1)))&lt;100,IF(AND(LEN(CH266)=9,ISERROR(FIND("-",LEFT(CH266,8))),ISNUMBER(-LEFT(CH266,8))),VALUE(LEFT(CH266,4)),VALUE(LEFT(CH266,FIND("-",CH266)-1)))+2000,IF(AND(LEN(CH266)=9,ISERROR(FIND("-",LEFT(CH266,8))),ISNUMBER(-LEFT(CH266,8))),VALUE(LEFT(CH266,4)),VALUE(LEFT(CH266,FIND("-",CH266)-1)))),""))</f>
        <v/>
      </c>
      <c r="CN266">
        <f>IF(CH266="","",IFERROR(IF(AND(LEN(CH266)=9,ISERROR(FIND("-",LEFT(CH266,8))),ISNUMBER(-LEFT(CH266,8))),VALUE(MID(CH266,5,2)),VALUE(MID(CH266,FIND("-",CH266)+1,FIND("-",CH266,FIND("-",CH266)+1)-FIND("-",CH266)-1))),""))</f>
        <v/>
      </c>
      <c r="CO266">
        <f>IF(CH266="","",IFERROR(IF(AND(LEN(CH266)=9,ISERROR(FIND("-",LEFT(CH266,8))),ISNUMBER(-LEFT(CH266,8))),VALUE(MID(CH266,7,2)),VALUE(MID(CH266,FIND("-",CH266,FIND("-",CH266)+1)+1,FIND("-",CH266,FIND("-",CH266,FIND("-",CH266)+1)+1)-FIND("-",CH266,FIND("-",CH266)+1)-1))),""))</f>
        <v/>
      </c>
    </row>
    <row r="267">
      <c r="CH267">
        <f>IF(ISTEXT('월 가계부'!A267),SUBSTITUTE(SUBSTITUTE(SUBSTITUTE(SUBSTITUTE(SUBSTITUTE(SUBSTITUTE(SUBSTITUTE(SUBSTITUTE(SUBSTITUTE(TRIM('월 가계부'!A267),"년","-"),"월","-"),"일",""),".","-"),"/","-")," ","-"),"--","-"),"--","-"),"--","-")&amp;"-","")</f>
        <v/>
      </c>
      <c r="CI267">
        <f>IFERROR(IF('월 가계부'!A267="","",IF(ISNUMBER('월 가계부'!A267),IF(AND('월 가계부'!A267&gt;=19000101,'월 가계부'!A267&lt;=21001231),IF(AND(MOD(INT('월 가계부'!A267/100),100)&gt;=1,MOD(INT('월 가계부'!A267/100),100)&lt;=12,MOD(INT('월 가계부'!A267),100)&gt;=1,MOD(INT('월 가계부'!A267),100)&lt;=31),IF(MONTH(DATE(INT('월 가계부'!A267/10000),MOD(INT('월 가계부'!A267/100),100),MOD(INT('월 가계부'!A267),100)))=MOD(INT('월 가계부'!A267/100),100),DATE(INT('월 가계부'!A267/10000),MOD(INT('월 가계부'!A267/100),100),MOD(INT('월 가계부'!A267),100)),""),""),IF(AND('월 가계부'!A267&gt;=36526,'월 가계부'!A267&lt;73051),INT('월 가계부'!A267),"")),IF(OR(CM267="",CN267="",CO267=""),"",IF(AND(CM267&gt;=2000,CM267&lt;=2099,CN267&gt;=1,CN267&lt;=12,CO267&gt;=1,CO267&lt;=31),IF(MONTH(DATE(CM267,CN267,CO267))=CN267,DATE(CM267,CN267,CO267),""),"")))),"")</f>
        <v/>
      </c>
      <c r="CJ267">
        <f>IFERROR(IF('월 가계부'!C267="","",IF(ISNUMBER('월 가계부'!C267),'월 가계부'!C267,VALUE(SUBSTITUTE(SUBSTITUTE(SUBSTITUTE(SUBSTITUTE(TRIM('월 가계부'!C267),",",""),"원","")," ",""),"−","-")))),"")</f>
        <v/>
      </c>
      <c r="CK267">
        <f>IF(ISNUMBER(CI267),IF(CI267&lt;$B$13,CI267,""),"")</f>
        <v/>
      </c>
      <c r="CM267">
        <f>IF(CH267="","",IFERROR(IF(IF(AND(LEN(CH267)=9,ISERROR(FIND("-",LEFT(CH267,8))),ISNUMBER(-LEFT(CH267,8))),VALUE(LEFT(CH267,4)),VALUE(LEFT(CH267,FIND("-",CH267)-1)))&lt;100,IF(AND(LEN(CH267)=9,ISERROR(FIND("-",LEFT(CH267,8))),ISNUMBER(-LEFT(CH267,8))),VALUE(LEFT(CH267,4)),VALUE(LEFT(CH267,FIND("-",CH267)-1)))+2000,IF(AND(LEN(CH267)=9,ISERROR(FIND("-",LEFT(CH267,8))),ISNUMBER(-LEFT(CH267,8))),VALUE(LEFT(CH267,4)),VALUE(LEFT(CH267,FIND("-",CH267)-1)))),""))</f>
        <v/>
      </c>
      <c r="CN267">
        <f>IF(CH267="","",IFERROR(IF(AND(LEN(CH267)=9,ISERROR(FIND("-",LEFT(CH267,8))),ISNUMBER(-LEFT(CH267,8))),VALUE(MID(CH267,5,2)),VALUE(MID(CH267,FIND("-",CH267)+1,FIND("-",CH267,FIND("-",CH267)+1)-FIND("-",CH267)-1))),""))</f>
        <v/>
      </c>
      <c r="CO267">
        <f>IF(CH267="","",IFERROR(IF(AND(LEN(CH267)=9,ISERROR(FIND("-",LEFT(CH267,8))),ISNUMBER(-LEFT(CH267,8))),VALUE(MID(CH267,7,2)),VALUE(MID(CH267,FIND("-",CH267,FIND("-",CH267)+1)+1,FIND("-",CH267,FIND("-",CH267,FIND("-",CH267)+1)+1)-FIND("-",CH267,FIND("-",CH267)+1)-1))),""))</f>
        <v/>
      </c>
    </row>
    <row r="268">
      <c r="CH268">
        <f>IF(ISTEXT('월 가계부'!A268),SUBSTITUTE(SUBSTITUTE(SUBSTITUTE(SUBSTITUTE(SUBSTITUTE(SUBSTITUTE(SUBSTITUTE(SUBSTITUTE(SUBSTITUTE(TRIM('월 가계부'!A268),"년","-"),"월","-"),"일",""),".","-"),"/","-")," ","-"),"--","-"),"--","-"),"--","-")&amp;"-","")</f>
        <v/>
      </c>
      <c r="CI268">
        <f>IFERROR(IF('월 가계부'!A268="","",IF(ISNUMBER('월 가계부'!A268),IF(AND('월 가계부'!A268&gt;=19000101,'월 가계부'!A268&lt;=21001231),IF(AND(MOD(INT('월 가계부'!A268/100),100)&gt;=1,MOD(INT('월 가계부'!A268/100),100)&lt;=12,MOD(INT('월 가계부'!A268),100)&gt;=1,MOD(INT('월 가계부'!A268),100)&lt;=31),IF(MONTH(DATE(INT('월 가계부'!A268/10000),MOD(INT('월 가계부'!A268/100),100),MOD(INT('월 가계부'!A268),100)))=MOD(INT('월 가계부'!A268/100),100),DATE(INT('월 가계부'!A268/10000),MOD(INT('월 가계부'!A268/100),100),MOD(INT('월 가계부'!A268),100)),""),""),IF(AND('월 가계부'!A268&gt;=36526,'월 가계부'!A268&lt;73051),INT('월 가계부'!A268),"")),IF(OR(CM268="",CN268="",CO268=""),"",IF(AND(CM268&gt;=2000,CM268&lt;=2099,CN268&gt;=1,CN268&lt;=12,CO268&gt;=1,CO268&lt;=31),IF(MONTH(DATE(CM268,CN268,CO268))=CN268,DATE(CM268,CN268,CO268),""),"")))),"")</f>
        <v/>
      </c>
      <c r="CJ268">
        <f>IFERROR(IF('월 가계부'!C268="","",IF(ISNUMBER('월 가계부'!C268),'월 가계부'!C268,VALUE(SUBSTITUTE(SUBSTITUTE(SUBSTITUTE(SUBSTITUTE(TRIM('월 가계부'!C268),",",""),"원","")," ",""),"−","-")))),"")</f>
        <v/>
      </c>
      <c r="CK268">
        <f>IF(ISNUMBER(CI268),IF(CI268&lt;$B$13,CI268,""),"")</f>
        <v/>
      </c>
      <c r="CM268">
        <f>IF(CH268="","",IFERROR(IF(IF(AND(LEN(CH268)=9,ISERROR(FIND("-",LEFT(CH268,8))),ISNUMBER(-LEFT(CH268,8))),VALUE(LEFT(CH268,4)),VALUE(LEFT(CH268,FIND("-",CH268)-1)))&lt;100,IF(AND(LEN(CH268)=9,ISERROR(FIND("-",LEFT(CH268,8))),ISNUMBER(-LEFT(CH268,8))),VALUE(LEFT(CH268,4)),VALUE(LEFT(CH268,FIND("-",CH268)-1)))+2000,IF(AND(LEN(CH268)=9,ISERROR(FIND("-",LEFT(CH268,8))),ISNUMBER(-LEFT(CH268,8))),VALUE(LEFT(CH268,4)),VALUE(LEFT(CH268,FIND("-",CH268)-1)))),""))</f>
        <v/>
      </c>
      <c r="CN268">
        <f>IF(CH268="","",IFERROR(IF(AND(LEN(CH268)=9,ISERROR(FIND("-",LEFT(CH268,8))),ISNUMBER(-LEFT(CH268,8))),VALUE(MID(CH268,5,2)),VALUE(MID(CH268,FIND("-",CH268)+1,FIND("-",CH268,FIND("-",CH268)+1)-FIND("-",CH268)-1))),""))</f>
        <v/>
      </c>
      <c r="CO268">
        <f>IF(CH268="","",IFERROR(IF(AND(LEN(CH268)=9,ISERROR(FIND("-",LEFT(CH268,8))),ISNUMBER(-LEFT(CH268,8))),VALUE(MID(CH268,7,2)),VALUE(MID(CH268,FIND("-",CH268,FIND("-",CH268)+1)+1,FIND("-",CH268,FIND("-",CH268,FIND("-",CH268)+1)+1)-FIND("-",CH268,FIND("-",CH268)+1)-1))),""))</f>
        <v/>
      </c>
    </row>
    <row r="269">
      <c r="CH269">
        <f>IF(ISTEXT('월 가계부'!A269),SUBSTITUTE(SUBSTITUTE(SUBSTITUTE(SUBSTITUTE(SUBSTITUTE(SUBSTITUTE(SUBSTITUTE(SUBSTITUTE(SUBSTITUTE(TRIM('월 가계부'!A269),"년","-"),"월","-"),"일",""),".","-"),"/","-")," ","-"),"--","-"),"--","-"),"--","-")&amp;"-","")</f>
        <v/>
      </c>
      <c r="CI269">
        <f>IFERROR(IF('월 가계부'!A269="","",IF(ISNUMBER('월 가계부'!A269),IF(AND('월 가계부'!A269&gt;=19000101,'월 가계부'!A269&lt;=21001231),IF(AND(MOD(INT('월 가계부'!A269/100),100)&gt;=1,MOD(INT('월 가계부'!A269/100),100)&lt;=12,MOD(INT('월 가계부'!A269),100)&gt;=1,MOD(INT('월 가계부'!A269),100)&lt;=31),IF(MONTH(DATE(INT('월 가계부'!A269/10000),MOD(INT('월 가계부'!A269/100),100),MOD(INT('월 가계부'!A269),100)))=MOD(INT('월 가계부'!A269/100),100),DATE(INT('월 가계부'!A269/10000),MOD(INT('월 가계부'!A269/100),100),MOD(INT('월 가계부'!A269),100)),""),""),IF(AND('월 가계부'!A269&gt;=36526,'월 가계부'!A269&lt;73051),INT('월 가계부'!A269),"")),IF(OR(CM269="",CN269="",CO269=""),"",IF(AND(CM269&gt;=2000,CM269&lt;=2099,CN269&gt;=1,CN269&lt;=12,CO269&gt;=1,CO269&lt;=31),IF(MONTH(DATE(CM269,CN269,CO269))=CN269,DATE(CM269,CN269,CO269),""),"")))),"")</f>
        <v/>
      </c>
      <c r="CJ269">
        <f>IFERROR(IF('월 가계부'!C269="","",IF(ISNUMBER('월 가계부'!C269),'월 가계부'!C269,VALUE(SUBSTITUTE(SUBSTITUTE(SUBSTITUTE(SUBSTITUTE(TRIM('월 가계부'!C269),",",""),"원","")," ",""),"−","-")))),"")</f>
        <v/>
      </c>
      <c r="CK269">
        <f>IF(ISNUMBER(CI269),IF(CI269&lt;$B$13,CI269,""),"")</f>
        <v/>
      </c>
      <c r="CM269">
        <f>IF(CH269="","",IFERROR(IF(IF(AND(LEN(CH269)=9,ISERROR(FIND("-",LEFT(CH269,8))),ISNUMBER(-LEFT(CH269,8))),VALUE(LEFT(CH269,4)),VALUE(LEFT(CH269,FIND("-",CH269)-1)))&lt;100,IF(AND(LEN(CH269)=9,ISERROR(FIND("-",LEFT(CH269,8))),ISNUMBER(-LEFT(CH269,8))),VALUE(LEFT(CH269,4)),VALUE(LEFT(CH269,FIND("-",CH269)-1)))+2000,IF(AND(LEN(CH269)=9,ISERROR(FIND("-",LEFT(CH269,8))),ISNUMBER(-LEFT(CH269,8))),VALUE(LEFT(CH269,4)),VALUE(LEFT(CH269,FIND("-",CH269)-1)))),""))</f>
        <v/>
      </c>
      <c r="CN269">
        <f>IF(CH269="","",IFERROR(IF(AND(LEN(CH269)=9,ISERROR(FIND("-",LEFT(CH269,8))),ISNUMBER(-LEFT(CH269,8))),VALUE(MID(CH269,5,2)),VALUE(MID(CH269,FIND("-",CH269)+1,FIND("-",CH269,FIND("-",CH269)+1)-FIND("-",CH269)-1))),""))</f>
        <v/>
      </c>
      <c r="CO269">
        <f>IF(CH269="","",IFERROR(IF(AND(LEN(CH269)=9,ISERROR(FIND("-",LEFT(CH269,8))),ISNUMBER(-LEFT(CH269,8))),VALUE(MID(CH269,7,2)),VALUE(MID(CH269,FIND("-",CH269,FIND("-",CH269)+1)+1,FIND("-",CH269,FIND("-",CH269,FIND("-",CH269)+1)+1)-FIND("-",CH269,FIND("-",CH269)+1)-1))),""))</f>
        <v/>
      </c>
    </row>
    <row r="270">
      <c r="CH270">
        <f>IF(ISTEXT('월 가계부'!A270),SUBSTITUTE(SUBSTITUTE(SUBSTITUTE(SUBSTITUTE(SUBSTITUTE(SUBSTITUTE(SUBSTITUTE(SUBSTITUTE(SUBSTITUTE(TRIM('월 가계부'!A270),"년","-"),"월","-"),"일",""),".","-"),"/","-")," ","-"),"--","-"),"--","-"),"--","-")&amp;"-","")</f>
        <v/>
      </c>
      <c r="CI270">
        <f>IFERROR(IF('월 가계부'!A270="","",IF(ISNUMBER('월 가계부'!A270),IF(AND('월 가계부'!A270&gt;=19000101,'월 가계부'!A270&lt;=21001231),IF(AND(MOD(INT('월 가계부'!A270/100),100)&gt;=1,MOD(INT('월 가계부'!A270/100),100)&lt;=12,MOD(INT('월 가계부'!A270),100)&gt;=1,MOD(INT('월 가계부'!A270),100)&lt;=31),IF(MONTH(DATE(INT('월 가계부'!A270/10000),MOD(INT('월 가계부'!A270/100),100),MOD(INT('월 가계부'!A270),100)))=MOD(INT('월 가계부'!A270/100),100),DATE(INT('월 가계부'!A270/10000),MOD(INT('월 가계부'!A270/100),100),MOD(INT('월 가계부'!A270),100)),""),""),IF(AND('월 가계부'!A270&gt;=36526,'월 가계부'!A270&lt;73051),INT('월 가계부'!A270),"")),IF(OR(CM270="",CN270="",CO270=""),"",IF(AND(CM270&gt;=2000,CM270&lt;=2099,CN270&gt;=1,CN270&lt;=12,CO270&gt;=1,CO270&lt;=31),IF(MONTH(DATE(CM270,CN270,CO270))=CN270,DATE(CM270,CN270,CO270),""),"")))),"")</f>
        <v/>
      </c>
      <c r="CJ270">
        <f>IFERROR(IF('월 가계부'!C270="","",IF(ISNUMBER('월 가계부'!C270),'월 가계부'!C270,VALUE(SUBSTITUTE(SUBSTITUTE(SUBSTITUTE(SUBSTITUTE(TRIM('월 가계부'!C270),",",""),"원","")," ",""),"−","-")))),"")</f>
        <v/>
      </c>
      <c r="CK270">
        <f>IF(ISNUMBER(CI270),IF(CI270&lt;$B$13,CI270,""),"")</f>
        <v/>
      </c>
      <c r="CM270">
        <f>IF(CH270="","",IFERROR(IF(IF(AND(LEN(CH270)=9,ISERROR(FIND("-",LEFT(CH270,8))),ISNUMBER(-LEFT(CH270,8))),VALUE(LEFT(CH270,4)),VALUE(LEFT(CH270,FIND("-",CH270)-1)))&lt;100,IF(AND(LEN(CH270)=9,ISERROR(FIND("-",LEFT(CH270,8))),ISNUMBER(-LEFT(CH270,8))),VALUE(LEFT(CH270,4)),VALUE(LEFT(CH270,FIND("-",CH270)-1)))+2000,IF(AND(LEN(CH270)=9,ISERROR(FIND("-",LEFT(CH270,8))),ISNUMBER(-LEFT(CH270,8))),VALUE(LEFT(CH270,4)),VALUE(LEFT(CH270,FIND("-",CH270)-1)))),""))</f>
        <v/>
      </c>
      <c r="CN270">
        <f>IF(CH270="","",IFERROR(IF(AND(LEN(CH270)=9,ISERROR(FIND("-",LEFT(CH270,8))),ISNUMBER(-LEFT(CH270,8))),VALUE(MID(CH270,5,2)),VALUE(MID(CH270,FIND("-",CH270)+1,FIND("-",CH270,FIND("-",CH270)+1)-FIND("-",CH270)-1))),""))</f>
        <v/>
      </c>
      <c r="CO270">
        <f>IF(CH270="","",IFERROR(IF(AND(LEN(CH270)=9,ISERROR(FIND("-",LEFT(CH270,8))),ISNUMBER(-LEFT(CH270,8))),VALUE(MID(CH270,7,2)),VALUE(MID(CH270,FIND("-",CH270,FIND("-",CH270)+1)+1,FIND("-",CH270,FIND("-",CH270,FIND("-",CH270)+1)+1)-FIND("-",CH270,FIND("-",CH270)+1)-1))),""))</f>
        <v/>
      </c>
    </row>
    <row r="271">
      <c r="CH271">
        <f>IF(ISTEXT('월 가계부'!A271),SUBSTITUTE(SUBSTITUTE(SUBSTITUTE(SUBSTITUTE(SUBSTITUTE(SUBSTITUTE(SUBSTITUTE(SUBSTITUTE(SUBSTITUTE(TRIM('월 가계부'!A271),"년","-"),"월","-"),"일",""),".","-"),"/","-")," ","-"),"--","-"),"--","-"),"--","-")&amp;"-","")</f>
        <v/>
      </c>
      <c r="CI271">
        <f>IFERROR(IF('월 가계부'!A271="","",IF(ISNUMBER('월 가계부'!A271),IF(AND('월 가계부'!A271&gt;=19000101,'월 가계부'!A271&lt;=21001231),IF(AND(MOD(INT('월 가계부'!A271/100),100)&gt;=1,MOD(INT('월 가계부'!A271/100),100)&lt;=12,MOD(INT('월 가계부'!A271),100)&gt;=1,MOD(INT('월 가계부'!A271),100)&lt;=31),IF(MONTH(DATE(INT('월 가계부'!A271/10000),MOD(INT('월 가계부'!A271/100),100),MOD(INT('월 가계부'!A271),100)))=MOD(INT('월 가계부'!A271/100),100),DATE(INT('월 가계부'!A271/10000),MOD(INT('월 가계부'!A271/100),100),MOD(INT('월 가계부'!A271),100)),""),""),IF(AND('월 가계부'!A271&gt;=36526,'월 가계부'!A271&lt;73051),INT('월 가계부'!A271),"")),IF(OR(CM271="",CN271="",CO271=""),"",IF(AND(CM271&gt;=2000,CM271&lt;=2099,CN271&gt;=1,CN271&lt;=12,CO271&gt;=1,CO271&lt;=31),IF(MONTH(DATE(CM271,CN271,CO271))=CN271,DATE(CM271,CN271,CO271),""),"")))),"")</f>
        <v/>
      </c>
      <c r="CJ271">
        <f>IFERROR(IF('월 가계부'!C271="","",IF(ISNUMBER('월 가계부'!C271),'월 가계부'!C271,VALUE(SUBSTITUTE(SUBSTITUTE(SUBSTITUTE(SUBSTITUTE(TRIM('월 가계부'!C271),",",""),"원","")," ",""),"−","-")))),"")</f>
        <v/>
      </c>
      <c r="CK271">
        <f>IF(ISNUMBER(CI271),IF(CI271&lt;$B$13,CI271,""),"")</f>
        <v/>
      </c>
      <c r="CM271">
        <f>IF(CH271="","",IFERROR(IF(IF(AND(LEN(CH271)=9,ISERROR(FIND("-",LEFT(CH271,8))),ISNUMBER(-LEFT(CH271,8))),VALUE(LEFT(CH271,4)),VALUE(LEFT(CH271,FIND("-",CH271)-1)))&lt;100,IF(AND(LEN(CH271)=9,ISERROR(FIND("-",LEFT(CH271,8))),ISNUMBER(-LEFT(CH271,8))),VALUE(LEFT(CH271,4)),VALUE(LEFT(CH271,FIND("-",CH271)-1)))+2000,IF(AND(LEN(CH271)=9,ISERROR(FIND("-",LEFT(CH271,8))),ISNUMBER(-LEFT(CH271,8))),VALUE(LEFT(CH271,4)),VALUE(LEFT(CH271,FIND("-",CH271)-1)))),""))</f>
        <v/>
      </c>
      <c r="CN271">
        <f>IF(CH271="","",IFERROR(IF(AND(LEN(CH271)=9,ISERROR(FIND("-",LEFT(CH271,8))),ISNUMBER(-LEFT(CH271,8))),VALUE(MID(CH271,5,2)),VALUE(MID(CH271,FIND("-",CH271)+1,FIND("-",CH271,FIND("-",CH271)+1)-FIND("-",CH271)-1))),""))</f>
        <v/>
      </c>
      <c r="CO271">
        <f>IF(CH271="","",IFERROR(IF(AND(LEN(CH271)=9,ISERROR(FIND("-",LEFT(CH271,8))),ISNUMBER(-LEFT(CH271,8))),VALUE(MID(CH271,7,2)),VALUE(MID(CH271,FIND("-",CH271,FIND("-",CH271)+1)+1,FIND("-",CH271,FIND("-",CH271,FIND("-",CH271)+1)+1)-FIND("-",CH271,FIND("-",CH271)+1)-1))),""))</f>
        <v/>
      </c>
    </row>
    <row r="272">
      <c r="CH272">
        <f>IF(ISTEXT('월 가계부'!A272),SUBSTITUTE(SUBSTITUTE(SUBSTITUTE(SUBSTITUTE(SUBSTITUTE(SUBSTITUTE(SUBSTITUTE(SUBSTITUTE(SUBSTITUTE(TRIM('월 가계부'!A272),"년","-"),"월","-"),"일",""),".","-"),"/","-")," ","-"),"--","-"),"--","-"),"--","-")&amp;"-","")</f>
        <v/>
      </c>
      <c r="CI272">
        <f>IFERROR(IF('월 가계부'!A272="","",IF(ISNUMBER('월 가계부'!A272),IF(AND('월 가계부'!A272&gt;=19000101,'월 가계부'!A272&lt;=21001231),IF(AND(MOD(INT('월 가계부'!A272/100),100)&gt;=1,MOD(INT('월 가계부'!A272/100),100)&lt;=12,MOD(INT('월 가계부'!A272),100)&gt;=1,MOD(INT('월 가계부'!A272),100)&lt;=31),IF(MONTH(DATE(INT('월 가계부'!A272/10000),MOD(INT('월 가계부'!A272/100),100),MOD(INT('월 가계부'!A272),100)))=MOD(INT('월 가계부'!A272/100),100),DATE(INT('월 가계부'!A272/10000),MOD(INT('월 가계부'!A272/100),100),MOD(INT('월 가계부'!A272),100)),""),""),IF(AND('월 가계부'!A272&gt;=36526,'월 가계부'!A272&lt;73051),INT('월 가계부'!A272),"")),IF(OR(CM272="",CN272="",CO272=""),"",IF(AND(CM272&gt;=2000,CM272&lt;=2099,CN272&gt;=1,CN272&lt;=12,CO272&gt;=1,CO272&lt;=31),IF(MONTH(DATE(CM272,CN272,CO272))=CN272,DATE(CM272,CN272,CO272),""),"")))),"")</f>
        <v/>
      </c>
      <c r="CJ272">
        <f>IFERROR(IF('월 가계부'!C272="","",IF(ISNUMBER('월 가계부'!C272),'월 가계부'!C272,VALUE(SUBSTITUTE(SUBSTITUTE(SUBSTITUTE(SUBSTITUTE(TRIM('월 가계부'!C272),",",""),"원","")," ",""),"−","-")))),"")</f>
        <v/>
      </c>
      <c r="CK272">
        <f>IF(ISNUMBER(CI272),IF(CI272&lt;$B$13,CI272,""),"")</f>
        <v/>
      </c>
      <c r="CM272">
        <f>IF(CH272="","",IFERROR(IF(IF(AND(LEN(CH272)=9,ISERROR(FIND("-",LEFT(CH272,8))),ISNUMBER(-LEFT(CH272,8))),VALUE(LEFT(CH272,4)),VALUE(LEFT(CH272,FIND("-",CH272)-1)))&lt;100,IF(AND(LEN(CH272)=9,ISERROR(FIND("-",LEFT(CH272,8))),ISNUMBER(-LEFT(CH272,8))),VALUE(LEFT(CH272,4)),VALUE(LEFT(CH272,FIND("-",CH272)-1)))+2000,IF(AND(LEN(CH272)=9,ISERROR(FIND("-",LEFT(CH272,8))),ISNUMBER(-LEFT(CH272,8))),VALUE(LEFT(CH272,4)),VALUE(LEFT(CH272,FIND("-",CH272)-1)))),""))</f>
        <v/>
      </c>
      <c r="CN272">
        <f>IF(CH272="","",IFERROR(IF(AND(LEN(CH272)=9,ISERROR(FIND("-",LEFT(CH272,8))),ISNUMBER(-LEFT(CH272,8))),VALUE(MID(CH272,5,2)),VALUE(MID(CH272,FIND("-",CH272)+1,FIND("-",CH272,FIND("-",CH272)+1)-FIND("-",CH272)-1))),""))</f>
        <v/>
      </c>
      <c r="CO272">
        <f>IF(CH272="","",IFERROR(IF(AND(LEN(CH272)=9,ISERROR(FIND("-",LEFT(CH272,8))),ISNUMBER(-LEFT(CH272,8))),VALUE(MID(CH272,7,2)),VALUE(MID(CH272,FIND("-",CH272,FIND("-",CH272)+1)+1,FIND("-",CH272,FIND("-",CH272,FIND("-",CH272)+1)+1)-FIND("-",CH272,FIND("-",CH272)+1)-1))),""))</f>
        <v/>
      </c>
    </row>
    <row r="273">
      <c r="CH273">
        <f>IF(ISTEXT('월 가계부'!A273),SUBSTITUTE(SUBSTITUTE(SUBSTITUTE(SUBSTITUTE(SUBSTITUTE(SUBSTITUTE(SUBSTITUTE(SUBSTITUTE(SUBSTITUTE(TRIM('월 가계부'!A273),"년","-"),"월","-"),"일",""),".","-"),"/","-")," ","-"),"--","-"),"--","-"),"--","-")&amp;"-","")</f>
        <v/>
      </c>
      <c r="CI273">
        <f>IFERROR(IF('월 가계부'!A273="","",IF(ISNUMBER('월 가계부'!A273),IF(AND('월 가계부'!A273&gt;=19000101,'월 가계부'!A273&lt;=21001231),IF(AND(MOD(INT('월 가계부'!A273/100),100)&gt;=1,MOD(INT('월 가계부'!A273/100),100)&lt;=12,MOD(INT('월 가계부'!A273),100)&gt;=1,MOD(INT('월 가계부'!A273),100)&lt;=31),IF(MONTH(DATE(INT('월 가계부'!A273/10000),MOD(INT('월 가계부'!A273/100),100),MOD(INT('월 가계부'!A273),100)))=MOD(INT('월 가계부'!A273/100),100),DATE(INT('월 가계부'!A273/10000),MOD(INT('월 가계부'!A273/100),100),MOD(INT('월 가계부'!A273),100)),""),""),IF(AND('월 가계부'!A273&gt;=36526,'월 가계부'!A273&lt;73051),INT('월 가계부'!A273),"")),IF(OR(CM273="",CN273="",CO273=""),"",IF(AND(CM273&gt;=2000,CM273&lt;=2099,CN273&gt;=1,CN273&lt;=12,CO273&gt;=1,CO273&lt;=31),IF(MONTH(DATE(CM273,CN273,CO273))=CN273,DATE(CM273,CN273,CO273),""),"")))),"")</f>
        <v/>
      </c>
      <c r="CJ273">
        <f>IFERROR(IF('월 가계부'!C273="","",IF(ISNUMBER('월 가계부'!C273),'월 가계부'!C273,VALUE(SUBSTITUTE(SUBSTITUTE(SUBSTITUTE(SUBSTITUTE(TRIM('월 가계부'!C273),",",""),"원","")," ",""),"−","-")))),"")</f>
        <v/>
      </c>
      <c r="CK273">
        <f>IF(ISNUMBER(CI273),IF(CI273&lt;$B$13,CI273,""),"")</f>
        <v/>
      </c>
      <c r="CM273">
        <f>IF(CH273="","",IFERROR(IF(IF(AND(LEN(CH273)=9,ISERROR(FIND("-",LEFT(CH273,8))),ISNUMBER(-LEFT(CH273,8))),VALUE(LEFT(CH273,4)),VALUE(LEFT(CH273,FIND("-",CH273)-1)))&lt;100,IF(AND(LEN(CH273)=9,ISERROR(FIND("-",LEFT(CH273,8))),ISNUMBER(-LEFT(CH273,8))),VALUE(LEFT(CH273,4)),VALUE(LEFT(CH273,FIND("-",CH273)-1)))+2000,IF(AND(LEN(CH273)=9,ISERROR(FIND("-",LEFT(CH273,8))),ISNUMBER(-LEFT(CH273,8))),VALUE(LEFT(CH273,4)),VALUE(LEFT(CH273,FIND("-",CH273)-1)))),""))</f>
        <v/>
      </c>
      <c r="CN273">
        <f>IF(CH273="","",IFERROR(IF(AND(LEN(CH273)=9,ISERROR(FIND("-",LEFT(CH273,8))),ISNUMBER(-LEFT(CH273,8))),VALUE(MID(CH273,5,2)),VALUE(MID(CH273,FIND("-",CH273)+1,FIND("-",CH273,FIND("-",CH273)+1)-FIND("-",CH273)-1))),""))</f>
        <v/>
      </c>
      <c r="CO273">
        <f>IF(CH273="","",IFERROR(IF(AND(LEN(CH273)=9,ISERROR(FIND("-",LEFT(CH273,8))),ISNUMBER(-LEFT(CH273,8))),VALUE(MID(CH273,7,2)),VALUE(MID(CH273,FIND("-",CH273,FIND("-",CH273)+1)+1,FIND("-",CH273,FIND("-",CH273,FIND("-",CH273)+1)+1)-FIND("-",CH273,FIND("-",CH273)+1)-1))),""))</f>
        <v/>
      </c>
    </row>
    <row r="274">
      <c r="CH274">
        <f>IF(ISTEXT('월 가계부'!A274),SUBSTITUTE(SUBSTITUTE(SUBSTITUTE(SUBSTITUTE(SUBSTITUTE(SUBSTITUTE(SUBSTITUTE(SUBSTITUTE(SUBSTITUTE(TRIM('월 가계부'!A274),"년","-"),"월","-"),"일",""),".","-"),"/","-")," ","-"),"--","-"),"--","-"),"--","-")&amp;"-","")</f>
        <v/>
      </c>
      <c r="CI274">
        <f>IFERROR(IF('월 가계부'!A274="","",IF(ISNUMBER('월 가계부'!A274),IF(AND('월 가계부'!A274&gt;=19000101,'월 가계부'!A274&lt;=21001231),IF(AND(MOD(INT('월 가계부'!A274/100),100)&gt;=1,MOD(INT('월 가계부'!A274/100),100)&lt;=12,MOD(INT('월 가계부'!A274),100)&gt;=1,MOD(INT('월 가계부'!A274),100)&lt;=31),IF(MONTH(DATE(INT('월 가계부'!A274/10000),MOD(INT('월 가계부'!A274/100),100),MOD(INT('월 가계부'!A274),100)))=MOD(INT('월 가계부'!A274/100),100),DATE(INT('월 가계부'!A274/10000),MOD(INT('월 가계부'!A274/100),100),MOD(INT('월 가계부'!A274),100)),""),""),IF(AND('월 가계부'!A274&gt;=36526,'월 가계부'!A274&lt;73051),INT('월 가계부'!A274),"")),IF(OR(CM274="",CN274="",CO274=""),"",IF(AND(CM274&gt;=2000,CM274&lt;=2099,CN274&gt;=1,CN274&lt;=12,CO274&gt;=1,CO274&lt;=31),IF(MONTH(DATE(CM274,CN274,CO274))=CN274,DATE(CM274,CN274,CO274),""),"")))),"")</f>
        <v/>
      </c>
      <c r="CJ274">
        <f>IFERROR(IF('월 가계부'!C274="","",IF(ISNUMBER('월 가계부'!C274),'월 가계부'!C274,VALUE(SUBSTITUTE(SUBSTITUTE(SUBSTITUTE(SUBSTITUTE(TRIM('월 가계부'!C274),",",""),"원","")," ",""),"−","-")))),"")</f>
        <v/>
      </c>
      <c r="CK274">
        <f>IF(ISNUMBER(CI274),IF(CI274&lt;$B$13,CI274,""),"")</f>
        <v/>
      </c>
      <c r="CM274">
        <f>IF(CH274="","",IFERROR(IF(IF(AND(LEN(CH274)=9,ISERROR(FIND("-",LEFT(CH274,8))),ISNUMBER(-LEFT(CH274,8))),VALUE(LEFT(CH274,4)),VALUE(LEFT(CH274,FIND("-",CH274)-1)))&lt;100,IF(AND(LEN(CH274)=9,ISERROR(FIND("-",LEFT(CH274,8))),ISNUMBER(-LEFT(CH274,8))),VALUE(LEFT(CH274,4)),VALUE(LEFT(CH274,FIND("-",CH274)-1)))+2000,IF(AND(LEN(CH274)=9,ISERROR(FIND("-",LEFT(CH274,8))),ISNUMBER(-LEFT(CH274,8))),VALUE(LEFT(CH274,4)),VALUE(LEFT(CH274,FIND("-",CH274)-1)))),""))</f>
        <v/>
      </c>
      <c r="CN274">
        <f>IF(CH274="","",IFERROR(IF(AND(LEN(CH274)=9,ISERROR(FIND("-",LEFT(CH274,8))),ISNUMBER(-LEFT(CH274,8))),VALUE(MID(CH274,5,2)),VALUE(MID(CH274,FIND("-",CH274)+1,FIND("-",CH274,FIND("-",CH274)+1)-FIND("-",CH274)-1))),""))</f>
        <v/>
      </c>
      <c r="CO274">
        <f>IF(CH274="","",IFERROR(IF(AND(LEN(CH274)=9,ISERROR(FIND("-",LEFT(CH274,8))),ISNUMBER(-LEFT(CH274,8))),VALUE(MID(CH274,7,2)),VALUE(MID(CH274,FIND("-",CH274,FIND("-",CH274)+1)+1,FIND("-",CH274,FIND("-",CH274,FIND("-",CH274)+1)+1)-FIND("-",CH274,FIND("-",CH274)+1)-1))),""))</f>
        <v/>
      </c>
    </row>
    <row r="275">
      <c r="CH275">
        <f>IF(ISTEXT('월 가계부'!A275),SUBSTITUTE(SUBSTITUTE(SUBSTITUTE(SUBSTITUTE(SUBSTITUTE(SUBSTITUTE(SUBSTITUTE(SUBSTITUTE(SUBSTITUTE(TRIM('월 가계부'!A275),"년","-"),"월","-"),"일",""),".","-"),"/","-")," ","-"),"--","-"),"--","-"),"--","-")&amp;"-","")</f>
        <v/>
      </c>
      <c r="CI275">
        <f>IFERROR(IF('월 가계부'!A275="","",IF(ISNUMBER('월 가계부'!A275),IF(AND('월 가계부'!A275&gt;=19000101,'월 가계부'!A275&lt;=21001231),IF(AND(MOD(INT('월 가계부'!A275/100),100)&gt;=1,MOD(INT('월 가계부'!A275/100),100)&lt;=12,MOD(INT('월 가계부'!A275),100)&gt;=1,MOD(INT('월 가계부'!A275),100)&lt;=31),IF(MONTH(DATE(INT('월 가계부'!A275/10000),MOD(INT('월 가계부'!A275/100),100),MOD(INT('월 가계부'!A275),100)))=MOD(INT('월 가계부'!A275/100),100),DATE(INT('월 가계부'!A275/10000),MOD(INT('월 가계부'!A275/100),100),MOD(INT('월 가계부'!A275),100)),""),""),IF(AND('월 가계부'!A275&gt;=36526,'월 가계부'!A275&lt;73051),INT('월 가계부'!A275),"")),IF(OR(CM275="",CN275="",CO275=""),"",IF(AND(CM275&gt;=2000,CM275&lt;=2099,CN275&gt;=1,CN275&lt;=12,CO275&gt;=1,CO275&lt;=31),IF(MONTH(DATE(CM275,CN275,CO275))=CN275,DATE(CM275,CN275,CO275),""),"")))),"")</f>
        <v/>
      </c>
      <c r="CJ275">
        <f>IFERROR(IF('월 가계부'!C275="","",IF(ISNUMBER('월 가계부'!C275),'월 가계부'!C275,VALUE(SUBSTITUTE(SUBSTITUTE(SUBSTITUTE(SUBSTITUTE(TRIM('월 가계부'!C275),",",""),"원","")," ",""),"−","-")))),"")</f>
        <v/>
      </c>
      <c r="CK275">
        <f>IF(ISNUMBER(CI275),IF(CI275&lt;$B$13,CI275,""),"")</f>
        <v/>
      </c>
      <c r="CM275">
        <f>IF(CH275="","",IFERROR(IF(IF(AND(LEN(CH275)=9,ISERROR(FIND("-",LEFT(CH275,8))),ISNUMBER(-LEFT(CH275,8))),VALUE(LEFT(CH275,4)),VALUE(LEFT(CH275,FIND("-",CH275)-1)))&lt;100,IF(AND(LEN(CH275)=9,ISERROR(FIND("-",LEFT(CH275,8))),ISNUMBER(-LEFT(CH275,8))),VALUE(LEFT(CH275,4)),VALUE(LEFT(CH275,FIND("-",CH275)-1)))+2000,IF(AND(LEN(CH275)=9,ISERROR(FIND("-",LEFT(CH275,8))),ISNUMBER(-LEFT(CH275,8))),VALUE(LEFT(CH275,4)),VALUE(LEFT(CH275,FIND("-",CH275)-1)))),""))</f>
        <v/>
      </c>
      <c r="CN275">
        <f>IF(CH275="","",IFERROR(IF(AND(LEN(CH275)=9,ISERROR(FIND("-",LEFT(CH275,8))),ISNUMBER(-LEFT(CH275,8))),VALUE(MID(CH275,5,2)),VALUE(MID(CH275,FIND("-",CH275)+1,FIND("-",CH275,FIND("-",CH275)+1)-FIND("-",CH275)-1))),""))</f>
        <v/>
      </c>
      <c r="CO275">
        <f>IF(CH275="","",IFERROR(IF(AND(LEN(CH275)=9,ISERROR(FIND("-",LEFT(CH275,8))),ISNUMBER(-LEFT(CH275,8))),VALUE(MID(CH275,7,2)),VALUE(MID(CH275,FIND("-",CH275,FIND("-",CH275)+1)+1,FIND("-",CH275,FIND("-",CH275,FIND("-",CH275)+1)+1)-FIND("-",CH275,FIND("-",CH275)+1)-1))),""))</f>
        <v/>
      </c>
    </row>
    <row r="276">
      <c r="CH276">
        <f>IF(ISTEXT('월 가계부'!A276),SUBSTITUTE(SUBSTITUTE(SUBSTITUTE(SUBSTITUTE(SUBSTITUTE(SUBSTITUTE(SUBSTITUTE(SUBSTITUTE(SUBSTITUTE(TRIM('월 가계부'!A276),"년","-"),"월","-"),"일",""),".","-"),"/","-")," ","-"),"--","-"),"--","-"),"--","-")&amp;"-","")</f>
        <v/>
      </c>
      <c r="CI276">
        <f>IFERROR(IF('월 가계부'!A276="","",IF(ISNUMBER('월 가계부'!A276),IF(AND('월 가계부'!A276&gt;=19000101,'월 가계부'!A276&lt;=21001231),IF(AND(MOD(INT('월 가계부'!A276/100),100)&gt;=1,MOD(INT('월 가계부'!A276/100),100)&lt;=12,MOD(INT('월 가계부'!A276),100)&gt;=1,MOD(INT('월 가계부'!A276),100)&lt;=31),IF(MONTH(DATE(INT('월 가계부'!A276/10000),MOD(INT('월 가계부'!A276/100),100),MOD(INT('월 가계부'!A276),100)))=MOD(INT('월 가계부'!A276/100),100),DATE(INT('월 가계부'!A276/10000),MOD(INT('월 가계부'!A276/100),100),MOD(INT('월 가계부'!A276),100)),""),""),IF(AND('월 가계부'!A276&gt;=36526,'월 가계부'!A276&lt;73051),INT('월 가계부'!A276),"")),IF(OR(CM276="",CN276="",CO276=""),"",IF(AND(CM276&gt;=2000,CM276&lt;=2099,CN276&gt;=1,CN276&lt;=12,CO276&gt;=1,CO276&lt;=31),IF(MONTH(DATE(CM276,CN276,CO276))=CN276,DATE(CM276,CN276,CO276),""),"")))),"")</f>
        <v/>
      </c>
      <c r="CJ276">
        <f>IFERROR(IF('월 가계부'!C276="","",IF(ISNUMBER('월 가계부'!C276),'월 가계부'!C276,VALUE(SUBSTITUTE(SUBSTITUTE(SUBSTITUTE(SUBSTITUTE(TRIM('월 가계부'!C276),",",""),"원","")," ",""),"−","-")))),"")</f>
        <v/>
      </c>
      <c r="CK276">
        <f>IF(ISNUMBER(CI276),IF(CI276&lt;$B$13,CI276,""),"")</f>
        <v/>
      </c>
      <c r="CM276">
        <f>IF(CH276="","",IFERROR(IF(IF(AND(LEN(CH276)=9,ISERROR(FIND("-",LEFT(CH276,8))),ISNUMBER(-LEFT(CH276,8))),VALUE(LEFT(CH276,4)),VALUE(LEFT(CH276,FIND("-",CH276)-1)))&lt;100,IF(AND(LEN(CH276)=9,ISERROR(FIND("-",LEFT(CH276,8))),ISNUMBER(-LEFT(CH276,8))),VALUE(LEFT(CH276,4)),VALUE(LEFT(CH276,FIND("-",CH276)-1)))+2000,IF(AND(LEN(CH276)=9,ISERROR(FIND("-",LEFT(CH276,8))),ISNUMBER(-LEFT(CH276,8))),VALUE(LEFT(CH276,4)),VALUE(LEFT(CH276,FIND("-",CH276)-1)))),""))</f>
        <v/>
      </c>
      <c r="CN276">
        <f>IF(CH276="","",IFERROR(IF(AND(LEN(CH276)=9,ISERROR(FIND("-",LEFT(CH276,8))),ISNUMBER(-LEFT(CH276,8))),VALUE(MID(CH276,5,2)),VALUE(MID(CH276,FIND("-",CH276)+1,FIND("-",CH276,FIND("-",CH276)+1)-FIND("-",CH276)-1))),""))</f>
        <v/>
      </c>
      <c r="CO276">
        <f>IF(CH276="","",IFERROR(IF(AND(LEN(CH276)=9,ISERROR(FIND("-",LEFT(CH276,8))),ISNUMBER(-LEFT(CH276,8))),VALUE(MID(CH276,7,2)),VALUE(MID(CH276,FIND("-",CH276,FIND("-",CH276)+1)+1,FIND("-",CH276,FIND("-",CH276,FIND("-",CH276)+1)+1)-FIND("-",CH276,FIND("-",CH276)+1)-1))),""))</f>
        <v/>
      </c>
    </row>
    <row r="277">
      <c r="CH277">
        <f>IF(ISTEXT('월 가계부'!A277),SUBSTITUTE(SUBSTITUTE(SUBSTITUTE(SUBSTITUTE(SUBSTITUTE(SUBSTITUTE(SUBSTITUTE(SUBSTITUTE(SUBSTITUTE(TRIM('월 가계부'!A277),"년","-"),"월","-"),"일",""),".","-"),"/","-")," ","-"),"--","-"),"--","-"),"--","-")&amp;"-","")</f>
        <v/>
      </c>
      <c r="CI277">
        <f>IFERROR(IF('월 가계부'!A277="","",IF(ISNUMBER('월 가계부'!A277),IF(AND('월 가계부'!A277&gt;=19000101,'월 가계부'!A277&lt;=21001231),IF(AND(MOD(INT('월 가계부'!A277/100),100)&gt;=1,MOD(INT('월 가계부'!A277/100),100)&lt;=12,MOD(INT('월 가계부'!A277),100)&gt;=1,MOD(INT('월 가계부'!A277),100)&lt;=31),IF(MONTH(DATE(INT('월 가계부'!A277/10000),MOD(INT('월 가계부'!A277/100),100),MOD(INT('월 가계부'!A277),100)))=MOD(INT('월 가계부'!A277/100),100),DATE(INT('월 가계부'!A277/10000),MOD(INT('월 가계부'!A277/100),100),MOD(INT('월 가계부'!A277),100)),""),""),IF(AND('월 가계부'!A277&gt;=36526,'월 가계부'!A277&lt;73051),INT('월 가계부'!A277),"")),IF(OR(CM277="",CN277="",CO277=""),"",IF(AND(CM277&gt;=2000,CM277&lt;=2099,CN277&gt;=1,CN277&lt;=12,CO277&gt;=1,CO277&lt;=31),IF(MONTH(DATE(CM277,CN277,CO277))=CN277,DATE(CM277,CN277,CO277),""),"")))),"")</f>
        <v/>
      </c>
      <c r="CJ277">
        <f>IFERROR(IF('월 가계부'!C277="","",IF(ISNUMBER('월 가계부'!C277),'월 가계부'!C277,VALUE(SUBSTITUTE(SUBSTITUTE(SUBSTITUTE(SUBSTITUTE(TRIM('월 가계부'!C277),",",""),"원","")," ",""),"−","-")))),"")</f>
        <v/>
      </c>
      <c r="CK277">
        <f>IF(ISNUMBER(CI277),IF(CI277&lt;$B$13,CI277,""),"")</f>
        <v/>
      </c>
      <c r="CM277">
        <f>IF(CH277="","",IFERROR(IF(IF(AND(LEN(CH277)=9,ISERROR(FIND("-",LEFT(CH277,8))),ISNUMBER(-LEFT(CH277,8))),VALUE(LEFT(CH277,4)),VALUE(LEFT(CH277,FIND("-",CH277)-1)))&lt;100,IF(AND(LEN(CH277)=9,ISERROR(FIND("-",LEFT(CH277,8))),ISNUMBER(-LEFT(CH277,8))),VALUE(LEFT(CH277,4)),VALUE(LEFT(CH277,FIND("-",CH277)-1)))+2000,IF(AND(LEN(CH277)=9,ISERROR(FIND("-",LEFT(CH277,8))),ISNUMBER(-LEFT(CH277,8))),VALUE(LEFT(CH277,4)),VALUE(LEFT(CH277,FIND("-",CH277)-1)))),""))</f>
        <v/>
      </c>
      <c r="CN277">
        <f>IF(CH277="","",IFERROR(IF(AND(LEN(CH277)=9,ISERROR(FIND("-",LEFT(CH277,8))),ISNUMBER(-LEFT(CH277,8))),VALUE(MID(CH277,5,2)),VALUE(MID(CH277,FIND("-",CH277)+1,FIND("-",CH277,FIND("-",CH277)+1)-FIND("-",CH277)-1))),""))</f>
        <v/>
      </c>
      <c r="CO277">
        <f>IF(CH277="","",IFERROR(IF(AND(LEN(CH277)=9,ISERROR(FIND("-",LEFT(CH277,8))),ISNUMBER(-LEFT(CH277,8))),VALUE(MID(CH277,7,2)),VALUE(MID(CH277,FIND("-",CH277,FIND("-",CH277)+1)+1,FIND("-",CH277,FIND("-",CH277,FIND("-",CH277)+1)+1)-FIND("-",CH277,FIND("-",CH277)+1)-1))),""))</f>
        <v/>
      </c>
    </row>
    <row r="278">
      <c r="CH278">
        <f>IF(ISTEXT('월 가계부'!A278),SUBSTITUTE(SUBSTITUTE(SUBSTITUTE(SUBSTITUTE(SUBSTITUTE(SUBSTITUTE(SUBSTITUTE(SUBSTITUTE(SUBSTITUTE(TRIM('월 가계부'!A278),"년","-"),"월","-"),"일",""),".","-"),"/","-")," ","-"),"--","-"),"--","-"),"--","-")&amp;"-","")</f>
        <v/>
      </c>
      <c r="CI278">
        <f>IFERROR(IF('월 가계부'!A278="","",IF(ISNUMBER('월 가계부'!A278),IF(AND('월 가계부'!A278&gt;=19000101,'월 가계부'!A278&lt;=21001231),IF(AND(MOD(INT('월 가계부'!A278/100),100)&gt;=1,MOD(INT('월 가계부'!A278/100),100)&lt;=12,MOD(INT('월 가계부'!A278),100)&gt;=1,MOD(INT('월 가계부'!A278),100)&lt;=31),IF(MONTH(DATE(INT('월 가계부'!A278/10000),MOD(INT('월 가계부'!A278/100),100),MOD(INT('월 가계부'!A278),100)))=MOD(INT('월 가계부'!A278/100),100),DATE(INT('월 가계부'!A278/10000),MOD(INT('월 가계부'!A278/100),100),MOD(INT('월 가계부'!A278),100)),""),""),IF(AND('월 가계부'!A278&gt;=36526,'월 가계부'!A278&lt;73051),INT('월 가계부'!A278),"")),IF(OR(CM278="",CN278="",CO278=""),"",IF(AND(CM278&gt;=2000,CM278&lt;=2099,CN278&gt;=1,CN278&lt;=12,CO278&gt;=1,CO278&lt;=31),IF(MONTH(DATE(CM278,CN278,CO278))=CN278,DATE(CM278,CN278,CO278),""),"")))),"")</f>
        <v/>
      </c>
      <c r="CJ278">
        <f>IFERROR(IF('월 가계부'!C278="","",IF(ISNUMBER('월 가계부'!C278),'월 가계부'!C278,VALUE(SUBSTITUTE(SUBSTITUTE(SUBSTITUTE(SUBSTITUTE(TRIM('월 가계부'!C278),",",""),"원","")," ",""),"−","-")))),"")</f>
        <v/>
      </c>
      <c r="CK278">
        <f>IF(ISNUMBER(CI278),IF(CI278&lt;$B$13,CI278,""),"")</f>
        <v/>
      </c>
      <c r="CM278">
        <f>IF(CH278="","",IFERROR(IF(IF(AND(LEN(CH278)=9,ISERROR(FIND("-",LEFT(CH278,8))),ISNUMBER(-LEFT(CH278,8))),VALUE(LEFT(CH278,4)),VALUE(LEFT(CH278,FIND("-",CH278)-1)))&lt;100,IF(AND(LEN(CH278)=9,ISERROR(FIND("-",LEFT(CH278,8))),ISNUMBER(-LEFT(CH278,8))),VALUE(LEFT(CH278,4)),VALUE(LEFT(CH278,FIND("-",CH278)-1)))+2000,IF(AND(LEN(CH278)=9,ISERROR(FIND("-",LEFT(CH278,8))),ISNUMBER(-LEFT(CH278,8))),VALUE(LEFT(CH278,4)),VALUE(LEFT(CH278,FIND("-",CH278)-1)))),""))</f>
        <v/>
      </c>
      <c r="CN278">
        <f>IF(CH278="","",IFERROR(IF(AND(LEN(CH278)=9,ISERROR(FIND("-",LEFT(CH278,8))),ISNUMBER(-LEFT(CH278,8))),VALUE(MID(CH278,5,2)),VALUE(MID(CH278,FIND("-",CH278)+1,FIND("-",CH278,FIND("-",CH278)+1)-FIND("-",CH278)-1))),""))</f>
        <v/>
      </c>
      <c r="CO278">
        <f>IF(CH278="","",IFERROR(IF(AND(LEN(CH278)=9,ISERROR(FIND("-",LEFT(CH278,8))),ISNUMBER(-LEFT(CH278,8))),VALUE(MID(CH278,7,2)),VALUE(MID(CH278,FIND("-",CH278,FIND("-",CH278)+1)+1,FIND("-",CH278,FIND("-",CH278,FIND("-",CH278)+1)+1)-FIND("-",CH278,FIND("-",CH278)+1)-1))),""))</f>
        <v/>
      </c>
    </row>
    <row r="279">
      <c r="CH279">
        <f>IF(ISTEXT('월 가계부'!A279),SUBSTITUTE(SUBSTITUTE(SUBSTITUTE(SUBSTITUTE(SUBSTITUTE(SUBSTITUTE(SUBSTITUTE(SUBSTITUTE(SUBSTITUTE(TRIM('월 가계부'!A279),"년","-"),"월","-"),"일",""),".","-"),"/","-")," ","-"),"--","-"),"--","-"),"--","-")&amp;"-","")</f>
        <v/>
      </c>
      <c r="CI279">
        <f>IFERROR(IF('월 가계부'!A279="","",IF(ISNUMBER('월 가계부'!A279),IF(AND('월 가계부'!A279&gt;=19000101,'월 가계부'!A279&lt;=21001231),IF(AND(MOD(INT('월 가계부'!A279/100),100)&gt;=1,MOD(INT('월 가계부'!A279/100),100)&lt;=12,MOD(INT('월 가계부'!A279),100)&gt;=1,MOD(INT('월 가계부'!A279),100)&lt;=31),IF(MONTH(DATE(INT('월 가계부'!A279/10000),MOD(INT('월 가계부'!A279/100),100),MOD(INT('월 가계부'!A279),100)))=MOD(INT('월 가계부'!A279/100),100),DATE(INT('월 가계부'!A279/10000),MOD(INT('월 가계부'!A279/100),100),MOD(INT('월 가계부'!A279),100)),""),""),IF(AND('월 가계부'!A279&gt;=36526,'월 가계부'!A279&lt;73051),INT('월 가계부'!A279),"")),IF(OR(CM279="",CN279="",CO279=""),"",IF(AND(CM279&gt;=2000,CM279&lt;=2099,CN279&gt;=1,CN279&lt;=12,CO279&gt;=1,CO279&lt;=31),IF(MONTH(DATE(CM279,CN279,CO279))=CN279,DATE(CM279,CN279,CO279),""),"")))),"")</f>
        <v/>
      </c>
      <c r="CJ279">
        <f>IFERROR(IF('월 가계부'!C279="","",IF(ISNUMBER('월 가계부'!C279),'월 가계부'!C279,VALUE(SUBSTITUTE(SUBSTITUTE(SUBSTITUTE(SUBSTITUTE(TRIM('월 가계부'!C279),",",""),"원","")," ",""),"−","-")))),"")</f>
        <v/>
      </c>
      <c r="CK279">
        <f>IF(ISNUMBER(CI279),IF(CI279&lt;$B$13,CI279,""),"")</f>
        <v/>
      </c>
      <c r="CM279">
        <f>IF(CH279="","",IFERROR(IF(IF(AND(LEN(CH279)=9,ISERROR(FIND("-",LEFT(CH279,8))),ISNUMBER(-LEFT(CH279,8))),VALUE(LEFT(CH279,4)),VALUE(LEFT(CH279,FIND("-",CH279)-1)))&lt;100,IF(AND(LEN(CH279)=9,ISERROR(FIND("-",LEFT(CH279,8))),ISNUMBER(-LEFT(CH279,8))),VALUE(LEFT(CH279,4)),VALUE(LEFT(CH279,FIND("-",CH279)-1)))+2000,IF(AND(LEN(CH279)=9,ISERROR(FIND("-",LEFT(CH279,8))),ISNUMBER(-LEFT(CH279,8))),VALUE(LEFT(CH279,4)),VALUE(LEFT(CH279,FIND("-",CH279)-1)))),""))</f>
        <v/>
      </c>
      <c r="CN279">
        <f>IF(CH279="","",IFERROR(IF(AND(LEN(CH279)=9,ISERROR(FIND("-",LEFT(CH279,8))),ISNUMBER(-LEFT(CH279,8))),VALUE(MID(CH279,5,2)),VALUE(MID(CH279,FIND("-",CH279)+1,FIND("-",CH279,FIND("-",CH279)+1)-FIND("-",CH279)-1))),""))</f>
        <v/>
      </c>
      <c r="CO279">
        <f>IF(CH279="","",IFERROR(IF(AND(LEN(CH279)=9,ISERROR(FIND("-",LEFT(CH279,8))),ISNUMBER(-LEFT(CH279,8))),VALUE(MID(CH279,7,2)),VALUE(MID(CH279,FIND("-",CH279,FIND("-",CH279)+1)+1,FIND("-",CH279,FIND("-",CH279,FIND("-",CH279)+1)+1)-FIND("-",CH279,FIND("-",CH279)+1)-1))),""))</f>
        <v/>
      </c>
    </row>
    <row r="280">
      <c r="CH280">
        <f>IF(ISTEXT('월 가계부'!A280),SUBSTITUTE(SUBSTITUTE(SUBSTITUTE(SUBSTITUTE(SUBSTITUTE(SUBSTITUTE(SUBSTITUTE(SUBSTITUTE(SUBSTITUTE(TRIM('월 가계부'!A280),"년","-"),"월","-"),"일",""),".","-"),"/","-")," ","-"),"--","-"),"--","-"),"--","-")&amp;"-","")</f>
        <v/>
      </c>
      <c r="CI280">
        <f>IFERROR(IF('월 가계부'!A280="","",IF(ISNUMBER('월 가계부'!A280),IF(AND('월 가계부'!A280&gt;=19000101,'월 가계부'!A280&lt;=21001231),IF(AND(MOD(INT('월 가계부'!A280/100),100)&gt;=1,MOD(INT('월 가계부'!A280/100),100)&lt;=12,MOD(INT('월 가계부'!A280),100)&gt;=1,MOD(INT('월 가계부'!A280),100)&lt;=31),IF(MONTH(DATE(INT('월 가계부'!A280/10000),MOD(INT('월 가계부'!A280/100),100),MOD(INT('월 가계부'!A280),100)))=MOD(INT('월 가계부'!A280/100),100),DATE(INT('월 가계부'!A280/10000),MOD(INT('월 가계부'!A280/100),100),MOD(INT('월 가계부'!A280),100)),""),""),IF(AND('월 가계부'!A280&gt;=36526,'월 가계부'!A280&lt;73051),INT('월 가계부'!A280),"")),IF(OR(CM280="",CN280="",CO280=""),"",IF(AND(CM280&gt;=2000,CM280&lt;=2099,CN280&gt;=1,CN280&lt;=12,CO280&gt;=1,CO280&lt;=31),IF(MONTH(DATE(CM280,CN280,CO280))=CN280,DATE(CM280,CN280,CO280),""),"")))),"")</f>
        <v/>
      </c>
      <c r="CJ280">
        <f>IFERROR(IF('월 가계부'!C280="","",IF(ISNUMBER('월 가계부'!C280),'월 가계부'!C280,VALUE(SUBSTITUTE(SUBSTITUTE(SUBSTITUTE(SUBSTITUTE(TRIM('월 가계부'!C280),",",""),"원","")," ",""),"−","-")))),"")</f>
        <v/>
      </c>
      <c r="CK280">
        <f>IF(ISNUMBER(CI280),IF(CI280&lt;$B$13,CI280,""),"")</f>
        <v/>
      </c>
      <c r="CM280">
        <f>IF(CH280="","",IFERROR(IF(IF(AND(LEN(CH280)=9,ISERROR(FIND("-",LEFT(CH280,8))),ISNUMBER(-LEFT(CH280,8))),VALUE(LEFT(CH280,4)),VALUE(LEFT(CH280,FIND("-",CH280)-1)))&lt;100,IF(AND(LEN(CH280)=9,ISERROR(FIND("-",LEFT(CH280,8))),ISNUMBER(-LEFT(CH280,8))),VALUE(LEFT(CH280,4)),VALUE(LEFT(CH280,FIND("-",CH280)-1)))+2000,IF(AND(LEN(CH280)=9,ISERROR(FIND("-",LEFT(CH280,8))),ISNUMBER(-LEFT(CH280,8))),VALUE(LEFT(CH280,4)),VALUE(LEFT(CH280,FIND("-",CH280)-1)))),""))</f>
        <v/>
      </c>
      <c r="CN280">
        <f>IF(CH280="","",IFERROR(IF(AND(LEN(CH280)=9,ISERROR(FIND("-",LEFT(CH280,8))),ISNUMBER(-LEFT(CH280,8))),VALUE(MID(CH280,5,2)),VALUE(MID(CH280,FIND("-",CH280)+1,FIND("-",CH280,FIND("-",CH280)+1)-FIND("-",CH280)-1))),""))</f>
        <v/>
      </c>
      <c r="CO280">
        <f>IF(CH280="","",IFERROR(IF(AND(LEN(CH280)=9,ISERROR(FIND("-",LEFT(CH280,8))),ISNUMBER(-LEFT(CH280,8))),VALUE(MID(CH280,7,2)),VALUE(MID(CH280,FIND("-",CH280,FIND("-",CH280)+1)+1,FIND("-",CH280,FIND("-",CH280,FIND("-",CH280)+1)+1)-FIND("-",CH280,FIND("-",CH280)+1)-1))),""))</f>
        <v/>
      </c>
    </row>
    <row r="281">
      <c r="CH281">
        <f>IF(ISTEXT('월 가계부'!A281),SUBSTITUTE(SUBSTITUTE(SUBSTITUTE(SUBSTITUTE(SUBSTITUTE(SUBSTITUTE(SUBSTITUTE(SUBSTITUTE(SUBSTITUTE(TRIM('월 가계부'!A281),"년","-"),"월","-"),"일",""),".","-"),"/","-")," ","-"),"--","-"),"--","-"),"--","-")&amp;"-","")</f>
        <v/>
      </c>
      <c r="CI281">
        <f>IFERROR(IF('월 가계부'!A281="","",IF(ISNUMBER('월 가계부'!A281),IF(AND('월 가계부'!A281&gt;=19000101,'월 가계부'!A281&lt;=21001231),IF(AND(MOD(INT('월 가계부'!A281/100),100)&gt;=1,MOD(INT('월 가계부'!A281/100),100)&lt;=12,MOD(INT('월 가계부'!A281),100)&gt;=1,MOD(INT('월 가계부'!A281),100)&lt;=31),IF(MONTH(DATE(INT('월 가계부'!A281/10000),MOD(INT('월 가계부'!A281/100),100),MOD(INT('월 가계부'!A281),100)))=MOD(INT('월 가계부'!A281/100),100),DATE(INT('월 가계부'!A281/10000),MOD(INT('월 가계부'!A281/100),100),MOD(INT('월 가계부'!A281),100)),""),""),IF(AND('월 가계부'!A281&gt;=36526,'월 가계부'!A281&lt;73051),INT('월 가계부'!A281),"")),IF(OR(CM281="",CN281="",CO281=""),"",IF(AND(CM281&gt;=2000,CM281&lt;=2099,CN281&gt;=1,CN281&lt;=12,CO281&gt;=1,CO281&lt;=31),IF(MONTH(DATE(CM281,CN281,CO281))=CN281,DATE(CM281,CN281,CO281),""),"")))),"")</f>
        <v/>
      </c>
      <c r="CJ281">
        <f>IFERROR(IF('월 가계부'!C281="","",IF(ISNUMBER('월 가계부'!C281),'월 가계부'!C281,VALUE(SUBSTITUTE(SUBSTITUTE(SUBSTITUTE(SUBSTITUTE(TRIM('월 가계부'!C281),",",""),"원","")," ",""),"−","-")))),"")</f>
        <v/>
      </c>
      <c r="CK281">
        <f>IF(ISNUMBER(CI281),IF(CI281&lt;$B$13,CI281,""),"")</f>
        <v/>
      </c>
      <c r="CM281">
        <f>IF(CH281="","",IFERROR(IF(IF(AND(LEN(CH281)=9,ISERROR(FIND("-",LEFT(CH281,8))),ISNUMBER(-LEFT(CH281,8))),VALUE(LEFT(CH281,4)),VALUE(LEFT(CH281,FIND("-",CH281)-1)))&lt;100,IF(AND(LEN(CH281)=9,ISERROR(FIND("-",LEFT(CH281,8))),ISNUMBER(-LEFT(CH281,8))),VALUE(LEFT(CH281,4)),VALUE(LEFT(CH281,FIND("-",CH281)-1)))+2000,IF(AND(LEN(CH281)=9,ISERROR(FIND("-",LEFT(CH281,8))),ISNUMBER(-LEFT(CH281,8))),VALUE(LEFT(CH281,4)),VALUE(LEFT(CH281,FIND("-",CH281)-1)))),""))</f>
        <v/>
      </c>
      <c r="CN281">
        <f>IF(CH281="","",IFERROR(IF(AND(LEN(CH281)=9,ISERROR(FIND("-",LEFT(CH281,8))),ISNUMBER(-LEFT(CH281,8))),VALUE(MID(CH281,5,2)),VALUE(MID(CH281,FIND("-",CH281)+1,FIND("-",CH281,FIND("-",CH281)+1)-FIND("-",CH281)-1))),""))</f>
        <v/>
      </c>
      <c r="CO281">
        <f>IF(CH281="","",IFERROR(IF(AND(LEN(CH281)=9,ISERROR(FIND("-",LEFT(CH281,8))),ISNUMBER(-LEFT(CH281,8))),VALUE(MID(CH281,7,2)),VALUE(MID(CH281,FIND("-",CH281,FIND("-",CH281)+1)+1,FIND("-",CH281,FIND("-",CH281,FIND("-",CH281)+1)+1)-FIND("-",CH281,FIND("-",CH281)+1)-1))),""))</f>
        <v/>
      </c>
    </row>
    <row r="282">
      <c r="CH282">
        <f>IF(ISTEXT('월 가계부'!A282),SUBSTITUTE(SUBSTITUTE(SUBSTITUTE(SUBSTITUTE(SUBSTITUTE(SUBSTITUTE(SUBSTITUTE(SUBSTITUTE(SUBSTITUTE(TRIM('월 가계부'!A282),"년","-"),"월","-"),"일",""),".","-"),"/","-")," ","-"),"--","-"),"--","-"),"--","-")&amp;"-","")</f>
        <v/>
      </c>
      <c r="CI282">
        <f>IFERROR(IF('월 가계부'!A282="","",IF(ISNUMBER('월 가계부'!A282),IF(AND('월 가계부'!A282&gt;=19000101,'월 가계부'!A282&lt;=21001231),IF(AND(MOD(INT('월 가계부'!A282/100),100)&gt;=1,MOD(INT('월 가계부'!A282/100),100)&lt;=12,MOD(INT('월 가계부'!A282),100)&gt;=1,MOD(INT('월 가계부'!A282),100)&lt;=31),IF(MONTH(DATE(INT('월 가계부'!A282/10000),MOD(INT('월 가계부'!A282/100),100),MOD(INT('월 가계부'!A282),100)))=MOD(INT('월 가계부'!A282/100),100),DATE(INT('월 가계부'!A282/10000),MOD(INT('월 가계부'!A282/100),100),MOD(INT('월 가계부'!A282),100)),""),""),IF(AND('월 가계부'!A282&gt;=36526,'월 가계부'!A282&lt;73051),INT('월 가계부'!A282),"")),IF(OR(CM282="",CN282="",CO282=""),"",IF(AND(CM282&gt;=2000,CM282&lt;=2099,CN282&gt;=1,CN282&lt;=12,CO282&gt;=1,CO282&lt;=31),IF(MONTH(DATE(CM282,CN282,CO282))=CN282,DATE(CM282,CN282,CO282),""),"")))),"")</f>
        <v/>
      </c>
      <c r="CJ282">
        <f>IFERROR(IF('월 가계부'!C282="","",IF(ISNUMBER('월 가계부'!C282),'월 가계부'!C282,VALUE(SUBSTITUTE(SUBSTITUTE(SUBSTITUTE(SUBSTITUTE(TRIM('월 가계부'!C282),",",""),"원","")," ",""),"−","-")))),"")</f>
        <v/>
      </c>
      <c r="CK282">
        <f>IF(ISNUMBER(CI282),IF(CI282&lt;$B$13,CI282,""),"")</f>
        <v/>
      </c>
      <c r="CM282">
        <f>IF(CH282="","",IFERROR(IF(IF(AND(LEN(CH282)=9,ISERROR(FIND("-",LEFT(CH282,8))),ISNUMBER(-LEFT(CH282,8))),VALUE(LEFT(CH282,4)),VALUE(LEFT(CH282,FIND("-",CH282)-1)))&lt;100,IF(AND(LEN(CH282)=9,ISERROR(FIND("-",LEFT(CH282,8))),ISNUMBER(-LEFT(CH282,8))),VALUE(LEFT(CH282,4)),VALUE(LEFT(CH282,FIND("-",CH282)-1)))+2000,IF(AND(LEN(CH282)=9,ISERROR(FIND("-",LEFT(CH282,8))),ISNUMBER(-LEFT(CH282,8))),VALUE(LEFT(CH282,4)),VALUE(LEFT(CH282,FIND("-",CH282)-1)))),""))</f>
        <v/>
      </c>
      <c r="CN282">
        <f>IF(CH282="","",IFERROR(IF(AND(LEN(CH282)=9,ISERROR(FIND("-",LEFT(CH282,8))),ISNUMBER(-LEFT(CH282,8))),VALUE(MID(CH282,5,2)),VALUE(MID(CH282,FIND("-",CH282)+1,FIND("-",CH282,FIND("-",CH282)+1)-FIND("-",CH282)-1))),""))</f>
        <v/>
      </c>
      <c r="CO282">
        <f>IF(CH282="","",IFERROR(IF(AND(LEN(CH282)=9,ISERROR(FIND("-",LEFT(CH282,8))),ISNUMBER(-LEFT(CH282,8))),VALUE(MID(CH282,7,2)),VALUE(MID(CH282,FIND("-",CH282,FIND("-",CH282)+1)+1,FIND("-",CH282,FIND("-",CH282,FIND("-",CH282)+1)+1)-FIND("-",CH282,FIND("-",CH282)+1)-1))),""))</f>
        <v/>
      </c>
    </row>
    <row r="283">
      <c r="CH283">
        <f>IF(ISTEXT('월 가계부'!A283),SUBSTITUTE(SUBSTITUTE(SUBSTITUTE(SUBSTITUTE(SUBSTITUTE(SUBSTITUTE(SUBSTITUTE(SUBSTITUTE(SUBSTITUTE(TRIM('월 가계부'!A283),"년","-"),"월","-"),"일",""),".","-"),"/","-")," ","-"),"--","-"),"--","-"),"--","-")&amp;"-","")</f>
        <v/>
      </c>
      <c r="CI283">
        <f>IFERROR(IF('월 가계부'!A283="","",IF(ISNUMBER('월 가계부'!A283),IF(AND('월 가계부'!A283&gt;=19000101,'월 가계부'!A283&lt;=21001231),IF(AND(MOD(INT('월 가계부'!A283/100),100)&gt;=1,MOD(INT('월 가계부'!A283/100),100)&lt;=12,MOD(INT('월 가계부'!A283),100)&gt;=1,MOD(INT('월 가계부'!A283),100)&lt;=31),IF(MONTH(DATE(INT('월 가계부'!A283/10000),MOD(INT('월 가계부'!A283/100),100),MOD(INT('월 가계부'!A283),100)))=MOD(INT('월 가계부'!A283/100),100),DATE(INT('월 가계부'!A283/10000),MOD(INT('월 가계부'!A283/100),100),MOD(INT('월 가계부'!A283),100)),""),""),IF(AND('월 가계부'!A283&gt;=36526,'월 가계부'!A283&lt;73051),INT('월 가계부'!A283),"")),IF(OR(CM283="",CN283="",CO283=""),"",IF(AND(CM283&gt;=2000,CM283&lt;=2099,CN283&gt;=1,CN283&lt;=12,CO283&gt;=1,CO283&lt;=31),IF(MONTH(DATE(CM283,CN283,CO283))=CN283,DATE(CM283,CN283,CO283),""),"")))),"")</f>
        <v/>
      </c>
      <c r="CJ283">
        <f>IFERROR(IF('월 가계부'!C283="","",IF(ISNUMBER('월 가계부'!C283),'월 가계부'!C283,VALUE(SUBSTITUTE(SUBSTITUTE(SUBSTITUTE(SUBSTITUTE(TRIM('월 가계부'!C283),",",""),"원","")," ",""),"−","-")))),"")</f>
        <v/>
      </c>
      <c r="CK283">
        <f>IF(ISNUMBER(CI283),IF(CI283&lt;$B$13,CI283,""),"")</f>
        <v/>
      </c>
      <c r="CM283">
        <f>IF(CH283="","",IFERROR(IF(IF(AND(LEN(CH283)=9,ISERROR(FIND("-",LEFT(CH283,8))),ISNUMBER(-LEFT(CH283,8))),VALUE(LEFT(CH283,4)),VALUE(LEFT(CH283,FIND("-",CH283)-1)))&lt;100,IF(AND(LEN(CH283)=9,ISERROR(FIND("-",LEFT(CH283,8))),ISNUMBER(-LEFT(CH283,8))),VALUE(LEFT(CH283,4)),VALUE(LEFT(CH283,FIND("-",CH283)-1)))+2000,IF(AND(LEN(CH283)=9,ISERROR(FIND("-",LEFT(CH283,8))),ISNUMBER(-LEFT(CH283,8))),VALUE(LEFT(CH283,4)),VALUE(LEFT(CH283,FIND("-",CH283)-1)))),""))</f>
        <v/>
      </c>
      <c r="CN283">
        <f>IF(CH283="","",IFERROR(IF(AND(LEN(CH283)=9,ISERROR(FIND("-",LEFT(CH283,8))),ISNUMBER(-LEFT(CH283,8))),VALUE(MID(CH283,5,2)),VALUE(MID(CH283,FIND("-",CH283)+1,FIND("-",CH283,FIND("-",CH283)+1)-FIND("-",CH283)-1))),""))</f>
        <v/>
      </c>
      <c r="CO283">
        <f>IF(CH283="","",IFERROR(IF(AND(LEN(CH283)=9,ISERROR(FIND("-",LEFT(CH283,8))),ISNUMBER(-LEFT(CH283,8))),VALUE(MID(CH283,7,2)),VALUE(MID(CH283,FIND("-",CH283,FIND("-",CH283)+1)+1,FIND("-",CH283,FIND("-",CH283,FIND("-",CH283)+1)+1)-FIND("-",CH283,FIND("-",CH283)+1)-1))),""))</f>
        <v/>
      </c>
    </row>
    <row r="284">
      <c r="CH284">
        <f>IF(ISTEXT('월 가계부'!A284),SUBSTITUTE(SUBSTITUTE(SUBSTITUTE(SUBSTITUTE(SUBSTITUTE(SUBSTITUTE(SUBSTITUTE(SUBSTITUTE(SUBSTITUTE(TRIM('월 가계부'!A284),"년","-"),"월","-"),"일",""),".","-"),"/","-")," ","-"),"--","-"),"--","-"),"--","-")&amp;"-","")</f>
        <v/>
      </c>
      <c r="CI284">
        <f>IFERROR(IF('월 가계부'!A284="","",IF(ISNUMBER('월 가계부'!A284),IF(AND('월 가계부'!A284&gt;=19000101,'월 가계부'!A284&lt;=21001231),IF(AND(MOD(INT('월 가계부'!A284/100),100)&gt;=1,MOD(INT('월 가계부'!A284/100),100)&lt;=12,MOD(INT('월 가계부'!A284),100)&gt;=1,MOD(INT('월 가계부'!A284),100)&lt;=31),IF(MONTH(DATE(INT('월 가계부'!A284/10000),MOD(INT('월 가계부'!A284/100),100),MOD(INT('월 가계부'!A284),100)))=MOD(INT('월 가계부'!A284/100),100),DATE(INT('월 가계부'!A284/10000),MOD(INT('월 가계부'!A284/100),100),MOD(INT('월 가계부'!A284),100)),""),""),IF(AND('월 가계부'!A284&gt;=36526,'월 가계부'!A284&lt;73051),INT('월 가계부'!A284),"")),IF(OR(CM284="",CN284="",CO284=""),"",IF(AND(CM284&gt;=2000,CM284&lt;=2099,CN284&gt;=1,CN284&lt;=12,CO284&gt;=1,CO284&lt;=31),IF(MONTH(DATE(CM284,CN284,CO284))=CN284,DATE(CM284,CN284,CO284),""),"")))),"")</f>
        <v/>
      </c>
      <c r="CJ284">
        <f>IFERROR(IF('월 가계부'!C284="","",IF(ISNUMBER('월 가계부'!C284),'월 가계부'!C284,VALUE(SUBSTITUTE(SUBSTITUTE(SUBSTITUTE(SUBSTITUTE(TRIM('월 가계부'!C284),",",""),"원","")," ",""),"−","-")))),"")</f>
        <v/>
      </c>
      <c r="CK284">
        <f>IF(ISNUMBER(CI284),IF(CI284&lt;$B$13,CI284,""),"")</f>
        <v/>
      </c>
      <c r="CM284">
        <f>IF(CH284="","",IFERROR(IF(IF(AND(LEN(CH284)=9,ISERROR(FIND("-",LEFT(CH284,8))),ISNUMBER(-LEFT(CH284,8))),VALUE(LEFT(CH284,4)),VALUE(LEFT(CH284,FIND("-",CH284)-1)))&lt;100,IF(AND(LEN(CH284)=9,ISERROR(FIND("-",LEFT(CH284,8))),ISNUMBER(-LEFT(CH284,8))),VALUE(LEFT(CH284,4)),VALUE(LEFT(CH284,FIND("-",CH284)-1)))+2000,IF(AND(LEN(CH284)=9,ISERROR(FIND("-",LEFT(CH284,8))),ISNUMBER(-LEFT(CH284,8))),VALUE(LEFT(CH284,4)),VALUE(LEFT(CH284,FIND("-",CH284)-1)))),""))</f>
        <v/>
      </c>
      <c r="CN284">
        <f>IF(CH284="","",IFERROR(IF(AND(LEN(CH284)=9,ISERROR(FIND("-",LEFT(CH284,8))),ISNUMBER(-LEFT(CH284,8))),VALUE(MID(CH284,5,2)),VALUE(MID(CH284,FIND("-",CH284)+1,FIND("-",CH284,FIND("-",CH284)+1)-FIND("-",CH284)-1))),""))</f>
        <v/>
      </c>
      <c r="CO284">
        <f>IF(CH284="","",IFERROR(IF(AND(LEN(CH284)=9,ISERROR(FIND("-",LEFT(CH284,8))),ISNUMBER(-LEFT(CH284,8))),VALUE(MID(CH284,7,2)),VALUE(MID(CH284,FIND("-",CH284,FIND("-",CH284)+1)+1,FIND("-",CH284,FIND("-",CH284,FIND("-",CH284)+1)+1)-FIND("-",CH284,FIND("-",CH284)+1)-1))),""))</f>
        <v/>
      </c>
    </row>
    <row r="285">
      <c r="CH285">
        <f>IF(ISTEXT('월 가계부'!A285),SUBSTITUTE(SUBSTITUTE(SUBSTITUTE(SUBSTITUTE(SUBSTITUTE(SUBSTITUTE(SUBSTITUTE(SUBSTITUTE(SUBSTITUTE(TRIM('월 가계부'!A285),"년","-"),"월","-"),"일",""),".","-"),"/","-")," ","-"),"--","-"),"--","-"),"--","-")&amp;"-","")</f>
        <v/>
      </c>
      <c r="CI285">
        <f>IFERROR(IF('월 가계부'!A285="","",IF(ISNUMBER('월 가계부'!A285),IF(AND('월 가계부'!A285&gt;=19000101,'월 가계부'!A285&lt;=21001231),IF(AND(MOD(INT('월 가계부'!A285/100),100)&gt;=1,MOD(INT('월 가계부'!A285/100),100)&lt;=12,MOD(INT('월 가계부'!A285),100)&gt;=1,MOD(INT('월 가계부'!A285),100)&lt;=31),IF(MONTH(DATE(INT('월 가계부'!A285/10000),MOD(INT('월 가계부'!A285/100),100),MOD(INT('월 가계부'!A285),100)))=MOD(INT('월 가계부'!A285/100),100),DATE(INT('월 가계부'!A285/10000),MOD(INT('월 가계부'!A285/100),100),MOD(INT('월 가계부'!A285),100)),""),""),IF(AND('월 가계부'!A285&gt;=36526,'월 가계부'!A285&lt;73051),INT('월 가계부'!A285),"")),IF(OR(CM285="",CN285="",CO285=""),"",IF(AND(CM285&gt;=2000,CM285&lt;=2099,CN285&gt;=1,CN285&lt;=12,CO285&gt;=1,CO285&lt;=31),IF(MONTH(DATE(CM285,CN285,CO285))=CN285,DATE(CM285,CN285,CO285),""),"")))),"")</f>
        <v/>
      </c>
      <c r="CJ285">
        <f>IFERROR(IF('월 가계부'!C285="","",IF(ISNUMBER('월 가계부'!C285),'월 가계부'!C285,VALUE(SUBSTITUTE(SUBSTITUTE(SUBSTITUTE(SUBSTITUTE(TRIM('월 가계부'!C285),",",""),"원","")," ",""),"−","-")))),"")</f>
        <v/>
      </c>
      <c r="CK285">
        <f>IF(ISNUMBER(CI285),IF(CI285&lt;$B$13,CI285,""),"")</f>
        <v/>
      </c>
      <c r="CM285">
        <f>IF(CH285="","",IFERROR(IF(IF(AND(LEN(CH285)=9,ISERROR(FIND("-",LEFT(CH285,8))),ISNUMBER(-LEFT(CH285,8))),VALUE(LEFT(CH285,4)),VALUE(LEFT(CH285,FIND("-",CH285)-1)))&lt;100,IF(AND(LEN(CH285)=9,ISERROR(FIND("-",LEFT(CH285,8))),ISNUMBER(-LEFT(CH285,8))),VALUE(LEFT(CH285,4)),VALUE(LEFT(CH285,FIND("-",CH285)-1)))+2000,IF(AND(LEN(CH285)=9,ISERROR(FIND("-",LEFT(CH285,8))),ISNUMBER(-LEFT(CH285,8))),VALUE(LEFT(CH285,4)),VALUE(LEFT(CH285,FIND("-",CH285)-1)))),""))</f>
        <v/>
      </c>
      <c r="CN285">
        <f>IF(CH285="","",IFERROR(IF(AND(LEN(CH285)=9,ISERROR(FIND("-",LEFT(CH285,8))),ISNUMBER(-LEFT(CH285,8))),VALUE(MID(CH285,5,2)),VALUE(MID(CH285,FIND("-",CH285)+1,FIND("-",CH285,FIND("-",CH285)+1)-FIND("-",CH285)-1))),""))</f>
        <v/>
      </c>
      <c r="CO285">
        <f>IF(CH285="","",IFERROR(IF(AND(LEN(CH285)=9,ISERROR(FIND("-",LEFT(CH285,8))),ISNUMBER(-LEFT(CH285,8))),VALUE(MID(CH285,7,2)),VALUE(MID(CH285,FIND("-",CH285,FIND("-",CH285)+1)+1,FIND("-",CH285,FIND("-",CH285,FIND("-",CH285)+1)+1)-FIND("-",CH285,FIND("-",CH285)+1)-1))),""))</f>
        <v/>
      </c>
    </row>
    <row r="286">
      <c r="CH286">
        <f>IF(ISTEXT('월 가계부'!A286),SUBSTITUTE(SUBSTITUTE(SUBSTITUTE(SUBSTITUTE(SUBSTITUTE(SUBSTITUTE(SUBSTITUTE(SUBSTITUTE(SUBSTITUTE(TRIM('월 가계부'!A286),"년","-"),"월","-"),"일",""),".","-"),"/","-")," ","-"),"--","-"),"--","-"),"--","-")&amp;"-","")</f>
        <v/>
      </c>
      <c r="CI286">
        <f>IFERROR(IF('월 가계부'!A286="","",IF(ISNUMBER('월 가계부'!A286),IF(AND('월 가계부'!A286&gt;=19000101,'월 가계부'!A286&lt;=21001231),IF(AND(MOD(INT('월 가계부'!A286/100),100)&gt;=1,MOD(INT('월 가계부'!A286/100),100)&lt;=12,MOD(INT('월 가계부'!A286),100)&gt;=1,MOD(INT('월 가계부'!A286),100)&lt;=31),IF(MONTH(DATE(INT('월 가계부'!A286/10000),MOD(INT('월 가계부'!A286/100),100),MOD(INT('월 가계부'!A286),100)))=MOD(INT('월 가계부'!A286/100),100),DATE(INT('월 가계부'!A286/10000),MOD(INT('월 가계부'!A286/100),100),MOD(INT('월 가계부'!A286),100)),""),""),IF(AND('월 가계부'!A286&gt;=36526,'월 가계부'!A286&lt;73051),INT('월 가계부'!A286),"")),IF(OR(CM286="",CN286="",CO286=""),"",IF(AND(CM286&gt;=2000,CM286&lt;=2099,CN286&gt;=1,CN286&lt;=12,CO286&gt;=1,CO286&lt;=31),IF(MONTH(DATE(CM286,CN286,CO286))=CN286,DATE(CM286,CN286,CO286),""),"")))),"")</f>
        <v/>
      </c>
      <c r="CJ286">
        <f>IFERROR(IF('월 가계부'!C286="","",IF(ISNUMBER('월 가계부'!C286),'월 가계부'!C286,VALUE(SUBSTITUTE(SUBSTITUTE(SUBSTITUTE(SUBSTITUTE(TRIM('월 가계부'!C286),",",""),"원","")," ",""),"−","-")))),"")</f>
        <v/>
      </c>
      <c r="CK286">
        <f>IF(ISNUMBER(CI286),IF(CI286&lt;$B$13,CI286,""),"")</f>
        <v/>
      </c>
      <c r="CM286">
        <f>IF(CH286="","",IFERROR(IF(IF(AND(LEN(CH286)=9,ISERROR(FIND("-",LEFT(CH286,8))),ISNUMBER(-LEFT(CH286,8))),VALUE(LEFT(CH286,4)),VALUE(LEFT(CH286,FIND("-",CH286)-1)))&lt;100,IF(AND(LEN(CH286)=9,ISERROR(FIND("-",LEFT(CH286,8))),ISNUMBER(-LEFT(CH286,8))),VALUE(LEFT(CH286,4)),VALUE(LEFT(CH286,FIND("-",CH286)-1)))+2000,IF(AND(LEN(CH286)=9,ISERROR(FIND("-",LEFT(CH286,8))),ISNUMBER(-LEFT(CH286,8))),VALUE(LEFT(CH286,4)),VALUE(LEFT(CH286,FIND("-",CH286)-1)))),""))</f>
        <v/>
      </c>
      <c r="CN286">
        <f>IF(CH286="","",IFERROR(IF(AND(LEN(CH286)=9,ISERROR(FIND("-",LEFT(CH286,8))),ISNUMBER(-LEFT(CH286,8))),VALUE(MID(CH286,5,2)),VALUE(MID(CH286,FIND("-",CH286)+1,FIND("-",CH286,FIND("-",CH286)+1)-FIND("-",CH286)-1))),""))</f>
        <v/>
      </c>
      <c r="CO286">
        <f>IF(CH286="","",IFERROR(IF(AND(LEN(CH286)=9,ISERROR(FIND("-",LEFT(CH286,8))),ISNUMBER(-LEFT(CH286,8))),VALUE(MID(CH286,7,2)),VALUE(MID(CH286,FIND("-",CH286,FIND("-",CH286)+1)+1,FIND("-",CH286,FIND("-",CH286,FIND("-",CH286)+1)+1)-FIND("-",CH286,FIND("-",CH286)+1)-1))),""))</f>
        <v/>
      </c>
    </row>
    <row r="287">
      <c r="CH287">
        <f>IF(ISTEXT('월 가계부'!A287),SUBSTITUTE(SUBSTITUTE(SUBSTITUTE(SUBSTITUTE(SUBSTITUTE(SUBSTITUTE(SUBSTITUTE(SUBSTITUTE(SUBSTITUTE(TRIM('월 가계부'!A287),"년","-"),"월","-"),"일",""),".","-"),"/","-")," ","-"),"--","-"),"--","-"),"--","-")&amp;"-","")</f>
        <v/>
      </c>
      <c r="CI287">
        <f>IFERROR(IF('월 가계부'!A287="","",IF(ISNUMBER('월 가계부'!A287),IF(AND('월 가계부'!A287&gt;=19000101,'월 가계부'!A287&lt;=21001231),IF(AND(MOD(INT('월 가계부'!A287/100),100)&gt;=1,MOD(INT('월 가계부'!A287/100),100)&lt;=12,MOD(INT('월 가계부'!A287),100)&gt;=1,MOD(INT('월 가계부'!A287),100)&lt;=31),IF(MONTH(DATE(INT('월 가계부'!A287/10000),MOD(INT('월 가계부'!A287/100),100),MOD(INT('월 가계부'!A287),100)))=MOD(INT('월 가계부'!A287/100),100),DATE(INT('월 가계부'!A287/10000),MOD(INT('월 가계부'!A287/100),100),MOD(INT('월 가계부'!A287),100)),""),""),IF(AND('월 가계부'!A287&gt;=36526,'월 가계부'!A287&lt;73051),INT('월 가계부'!A287),"")),IF(OR(CM287="",CN287="",CO287=""),"",IF(AND(CM287&gt;=2000,CM287&lt;=2099,CN287&gt;=1,CN287&lt;=12,CO287&gt;=1,CO287&lt;=31),IF(MONTH(DATE(CM287,CN287,CO287))=CN287,DATE(CM287,CN287,CO287),""),"")))),"")</f>
        <v/>
      </c>
      <c r="CJ287">
        <f>IFERROR(IF('월 가계부'!C287="","",IF(ISNUMBER('월 가계부'!C287),'월 가계부'!C287,VALUE(SUBSTITUTE(SUBSTITUTE(SUBSTITUTE(SUBSTITUTE(TRIM('월 가계부'!C287),",",""),"원","")," ",""),"−","-")))),"")</f>
        <v/>
      </c>
      <c r="CK287">
        <f>IF(ISNUMBER(CI287),IF(CI287&lt;$B$13,CI287,""),"")</f>
        <v/>
      </c>
      <c r="CM287">
        <f>IF(CH287="","",IFERROR(IF(IF(AND(LEN(CH287)=9,ISERROR(FIND("-",LEFT(CH287,8))),ISNUMBER(-LEFT(CH287,8))),VALUE(LEFT(CH287,4)),VALUE(LEFT(CH287,FIND("-",CH287)-1)))&lt;100,IF(AND(LEN(CH287)=9,ISERROR(FIND("-",LEFT(CH287,8))),ISNUMBER(-LEFT(CH287,8))),VALUE(LEFT(CH287,4)),VALUE(LEFT(CH287,FIND("-",CH287)-1)))+2000,IF(AND(LEN(CH287)=9,ISERROR(FIND("-",LEFT(CH287,8))),ISNUMBER(-LEFT(CH287,8))),VALUE(LEFT(CH287,4)),VALUE(LEFT(CH287,FIND("-",CH287)-1)))),""))</f>
        <v/>
      </c>
      <c r="CN287">
        <f>IF(CH287="","",IFERROR(IF(AND(LEN(CH287)=9,ISERROR(FIND("-",LEFT(CH287,8))),ISNUMBER(-LEFT(CH287,8))),VALUE(MID(CH287,5,2)),VALUE(MID(CH287,FIND("-",CH287)+1,FIND("-",CH287,FIND("-",CH287)+1)-FIND("-",CH287)-1))),""))</f>
        <v/>
      </c>
      <c r="CO287">
        <f>IF(CH287="","",IFERROR(IF(AND(LEN(CH287)=9,ISERROR(FIND("-",LEFT(CH287,8))),ISNUMBER(-LEFT(CH287,8))),VALUE(MID(CH287,7,2)),VALUE(MID(CH287,FIND("-",CH287,FIND("-",CH287)+1)+1,FIND("-",CH287,FIND("-",CH287,FIND("-",CH287)+1)+1)-FIND("-",CH287,FIND("-",CH287)+1)-1))),""))</f>
        <v/>
      </c>
    </row>
    <row r="288">
      <c r="CH288">
        <f>IF(ISTEXT('월 가계부'!A288),SUBSTITUTE(SUBSTITUTE(SUBSTITUTE(SUBSTITUTE(SUBSTITUTE(SUBSTITUTE(SUBSTITUTE(SUBSTITUTE(SUBSTITUTE(TRIM('월 가계부'!A288),"년","-"),"월","-"),"일",""),".","-"),"/","-")," ","-"),"--","-"),"--","-"),"--","-")&amp;"-","")</f>
        <v/>
      </c>
      <c r="CI288">
        <f>IFERROR(IF('월 가계부'!A288="","",IF(ISNUMBER('월 가계부'!A288),IF(AND('월 가계부'!A288&gt;=19000101,'월 가계부'!A288&lt;=21001231),IF(AND(MOD(INT('월 가계부'!A288/100),100)&gt;=1,MOD(INT('월 가계부'!A288/100),100)&lt;=12,MOD(INT('월 가계부'!A288),100)&gt;=1,MOD(INT('월 가계부'!A288),100)&lt;=31),IF(MONTH(DATE(INT('월 가계부'!A288/10000),MOD(INT('월 가계부'!A288/100),100),MOD(INT('월 가계부'!A288),100)))=MOD(INT('월 가계부'!A288/100),100),DATE(INT('월 가계부'!A288/10000),MOD(INT('월 가계부'!A288/100),100),MOD(INT('월 가계부'!A288),100)),""),""),IF(AND('월 가계부'!A288&gt;=36526,'월 가계부'!A288&lt;73051),INT('월 가계부'!A288),"")),IF(OR(CM288="",CN288="",CO288=""),"",IF(AND(CM288&gt;=2000,CM288&lt;=2099,CN288&gt;=1,CN288&lt;=12,CO288&gt;=1,CO288&lt;=31),IF(MONTH(DATE(CM288,CN288,CO288))=CN288,DATE(CM288,CN288,CO288),""),"")))),"")</f>
        <v/>
      </c>
      <c r="CJ288">
        <f>IFERROR(IF('월 가계부'!C288="","",IF(ISNUMBER('월 가계부'!C288),'월 가계부'!C288,VALUE(SUBSTITUTE(SUBSTITUTE(SUBSTITUTE(SUBSTITUTE(TRIM('월 가계부'!C288),",",""),"원","")," ",""),"−","-")))),"")</f>
        <v/>
      </c>
      <c r="CK288">
        <f>IF(ISNUMBER(CI288),IF(CI288&lt;$B$13,CI288,""),"")</f>
        <v/>
      </c>
      <c r="CM288">
        <f>IF(CH288="","",IFERROR(IF(IF(AND(LEN(CH288)=9,ISERROR(FIND("-",LEFT(CH288,8))),ISNUMBER(-LEFT(CH288,8))),VALUE(LEFT(CH288,4)),VALUE(LEFT(CH288,FIND("-",CH288)-1)))&lt;100,IF(AND(LEN(CH288)=9,ISERROR(FIND("-",LEFT(CH288,8))),ISNUMBER(-LEFT(CH288,8))),VALUE(LEFT(CH288,4)),VALUE(LEFT(CH288,FIND("-",CH288)-1)))+2000,IF(AND(LEN(CH288)=9,ISERROR(FIND("-",LEFT(CH288,8))),ISNUMBER(-LEFT(CH288,8))),VALUE(LEFT(CH288,4)),VALUE(LEFT(CH288,FIND("-",CH288)-1)))),""))</f>
        <v/>
      </c>
      <c r="CN288">
        <f>IF(CH288="","",IFERROR(IF(AND(LEN(CH288)=9,ISERROR(FIND("-",LEFT(CH288,8))),ISNUMBER(-LEFT(CH288,8))),VALUE(MID(CH288,5,2)),VALUE(MID(CH288,FIND("-",CH288)+1,FIND("-",CH288,FIND("-",CH288)+1)-FIND("-",CH288)-1))),""))</f>
        <v/>
      </c>
      <c r="CO288">
        <f>IF(CH288="","",IFERROR(IF(AND(LEN(CH288)=9,ISERROR(FIND("-",LEFT(CH288,8))),ISNUMBER(-LEFT(CH288,8))),VALUE(MID(CH288,7,2)),VALUE(MID(CH288,FIND("-",CH288,FIND("-",CH288)+1)+1,FIND("-",CH288,FIND("-",CH288,FIND("-",CH288)+1)+1)-FIND("-",CH288,FIND("-",CH288)+1)-1))),""))</f>
        <v/>
      </c>
    </row>
    <row r="289">
      <c r="CH289">
        <f>IF(ISTEXT('월 가계부'!A289),SUBSTITUTE(SUBSTITUTE(SUBSTITUTE(SUBSTITUTE(SUBSTITUTE(SUBSTITUTE(SUBSTITUTE(SUBSTITUTE(SUBSTITUTE(TRIM('월 가계부'!A289),"년","-"),"월","-"),"일",""),".","-"),"/","-")," ","-"),"--","-"),"--","-"),"--","-")&amp;"-","")</f>
        <v/>
      </c>
      <c r="CI289">
        <f>IFERROR(IF('월 가계부'!A289="","",IF(ISNUMBER('월 가계부'!A289),IF(AND('월 가계부'!A289&gt;=19000101,'월 가계부'!A289&lt;=21001231),IF(AND(MOD(INT('월 가계부'!A289/100),100)&gt;=1,MOD(INT('월 가계부'!A289/100),100)&lt;=12,MOD(INT('월 가계부'!A289),100)&gt;=1,MOD(INT('월 가계부'!A289),100)&lt;=31),IF(MONTH(DATE(INT('월 가계부'!A289/10000),MOD(INT('월 가계부'!A289/100),100),MOD(INT('월 가계부'!A289),100)))=MOD(INT('월 가계부'!A289/100),100),DATE(INT('월 가계부'!A289/10000),MOD(INT('월 가계부'!A289/100),100),MOD(INT('월 가계부'!A289),100)),""),""),IF(AND('월 가계부'!A289&gt;=36526,'월 가계부'!A289&lt;73051),INT('월 가계부'!A289),"")),IF(OR(CM289="",CN289="",CO289=""),"",IF(AND(CM289&gt;=2000,CM289&lt;=2099,CN289&gt;=1,CN289&lt;=12,CO289&gt;=1,CO289&lt;=31),IF(MONTH(DATE(CM289,CN289,CO289))=CN289,DATE(CM289,CN289,CO289),""),"")))),"")</f>
        <v/>
      </c>
      <c r="CJ289">
        <f>IFERROR(IF('월 가계부'!C289="","",IF(ISNUMBER('월 가계부'!C289),'월 가계부'!C289,VALUE(SUBSTITUTE(SUBSTITUTE(SUBSTITUTE(SUBSTITUTE(TRIM('월 가계부'!C289),",",""),"원","")," ",""),"−","-")))),"")</f>
        <v/>
      </c>
      <c r="CK289">
        <f>IF(ISNUMBER(CI289),IF(CI289&lt;$B$13,CI289,""),"")</f>
        <v/>
      </c>
      <c r="CM289">
        <f>IF(CH289="","",IFERROR(IF(IF(AND(LEN(CH289)=9,ISERROR(FIND("-",LEFT(CH289,8))),ISNUMBER(-LEFT(CH289,8))),VALUE(LEFT(CH289,4)),VALUE(LEFT(CH289,FIND("-",CH289)-1)))&lt;100,IF(AND(LEN(CH289)=9,ISERROR(FIND("-",LEFT(CH289,8))),ISNUMBER(-LEFT(CH289,8))),VALUE(LEFT(CH289,4)),VALUE(LEFT(CH289,FIND("-",CH289)-1)))+2000,IF(AND(LEN(CH289)=9,ISERROR(FIND("-",LEFT(CH289,8))),ISNUMBER(-LEFT(CH289,8))),VALUE(LEFT(CH289,4)),VALUE(LEFT(CH289,FIND("-",CH289)-1)))),""))</f>
        <v/>
      </c>
      <c r="CN289">
        <f>IF(CH289="","",IFERROR(IF(AND(LEN(CH289)=9,ISERROR(FIND("-",LEFT(CH289,8))),ISNUMBER(-LEFT(CH289,8))),VALUE(MID(CH289,5,2)),VALUE(MID(CH289,FIND("-",CH289)+1,FIND("-",CH289,FIND("-",CH289)+1)-FIND("-",CH289)-1))),""))</f>
        <v/>
      </c>
      <c r="CO289">
        <f>IF(CH289="","",IFERROR(IF(AND(LEN(CH289)=9,ISERROR(FIND("-",LEFT(CH289,8))),ISNUMBER(-LEFT(CH289,8))),VALUE(MID(CH289,7,2)),VALUE(MID(CH289,FIND("-",CH289,FIND("-",CH289)+1)+1,FIND("-",CH289,FIND("-",CH289,FIND("-",CH289)+1)+1)-FIND("-",CH289,FIND("-",CH289)+1)-1))),""))</f>
        <v/>
      </c>
    </row>
    <row r="290">
      <c r="CH290">
        <f>IF(ISTEXT('월 가계부'!A290),SUBSTITUTE(SUBSTITUTE(SUBSTITUTE(SUBSTITUTE(SUBSTITUTE(SUBSTITUTE(SUBSTITUTE(SUBSTITUTE(SUBSTITUTE(TRIM('월 가계부'!A290),"년","-"),"월","-"),"일",""),".","-"),"/","-")," ","-"),"--","-"),"--","-"),"--","-")&amp;"-","")</f>
        <v/>
      </c>
      <c r="CI290">
        <f>IFERROR(IF('월 가계부'!A290="","",IF(ISNUMBER('월 가계부'!A290),IF(AND('월 가계부'!A290&gt;=19000101,'월 가계부'!A290&lt;=21001231),IF(AND(MOD(INT('월 가계부'!A290/100),100)&gt;=1,MOD(INT('월 가계부'!A290/100),100)&lt;=12,MOD(INT('월 가계부'!A290),100)&gt;=1,MOD(INT('월 가계부'!A290),100)&lt;=31),IF(MONTH(DATE(INT('월 가계부'!A290/10000),MOD(INT('월 가계부'!A290/100),100),MOD(INT('월 가계부'!A290),100)))=MOD(INT('월 가계부'!A290/100),100),DATE(INT('월 가계부'!A290/10000),MOD(INT('월 가계부'!A290/100),100),MOD(INT('월 가계부'!A290),100)),""),""),IF(AND('월 가계부'!A290&gt;=36526,'월 가계부'!A290&lt;73051),INT('월 가계부'!A290),"")),IF(OR(CM290="",CN290="",CO290=""),"",IF(AND(CM290&gt;=2000,CM290&lt;=2099,CN290&gt;=1,CN290&lt;=12,CO290&gt;=1,CO290&lt;=31),IF(MONTH(DATE(CM290,CN290,CO290))=CN290,DATE(CM290,CN290,CO290),""),"")))),"")</f>
        <v/>
      </c>
      <c r="CJ290">
        <f>IFERROR(IF('월 가계부'!C290="","",IF(ISNUMBER('월 가계부'!C290),'월 가계부'!C290,VALUE(SUBSTITUTE(SUBSTITUTE(SUBSTITUTE(SUBSTITUTE(TRIM('월 가계부'!C290),",",""),"원","")," ",""),"−","-")))),"")</f>
        <v/>
      </c>
      <c r="CK290">
        <f>IF(ISNUMBER(CI290),IF(CI290&lt;$B$13,CI290,""),"")</f>
        <v/>
      </c>
      <c r="CM290">
        <f>IF(CH290="","",IFERROR(IF(IF(AND(LEN(CH290)=9,ISERROR(FIND("-",LEFT(CH290,8))),ISNUMBER(-LEFT(CH290,8))),VALUE(LEFT(CH290,4)),VALUE(LEFT(CH290,FIND("-",CH290)-1)))&lt;100,IF(AND(LEN(CH290)=9,ISERROR(FIND("-",LEFT(CH290,8))),ISNUMBER(-LEFT(CH290,8))),VALUE(LEFT(CH290,4)),VALUE(LEFT(CH290,FIND("-",CH290)-1)))+2000,IF(AND(LEN(CH290)=9,ISERROR(FIND("-",LEFT(CH290,8))),ISNUMBER(-LEFT(CH290,8))),VALUE(LEFT(CH290,4)),VALUE(LEFT(CH290,FIND("-",CH290)-1)))),""))</f>
        <v/>
      </c>
      <c r="CN290">
        <f>IF(CH290="","",IFERROR(IF(AND(LEN(CH290)=9,ISERROR(FIND("-",LEFT(CH290,8))),ISNUMBER(-LEFT(CH290,8))),VALUE(MID(CH290,5,2)),VALUE(MID(CH290,FIND("-",CH290)+1,FIND("-",CH290,FIND("-",CH290)+1)-FIND("-",CH290)-1))),""))</f>
        <v/>
      </c>
      <c r="CO290">
        <f>IF(CH290="","",IFERROR(IF(AND(LEN(CH290)=9,ISERROR(FIND("-",LEFT(CH290,8))),ISNUMBER(-LEFT(CH290,8))),VALUE(MID(CH290,7,2)),VALUE(MID(CH290,FIND("-",CH290,FIND("-",CH290)+1)+1,FIND("-",CH290,FIND("-",CH290,FIND("-",CH290)+1)+1)-FIND("-",CH290,FIND("-",CH290)+1)-1))),""))</f>
        <v/>
      </c>
    </row>
    <row r="291">
      <c r="CH291">
        <f>IF(ISTEXT('월 가계부'!A291),SUBSTITUTE(SUBSTITUTE(SUBSTITUTE(SUBSTITUTE(SUBSTITUTE(SUBSTITUTE(SUBSTITUTE(SUBSTITUTE(SUBSTITUTE(TRIM('월 가계부'!A291),"년","-"),"월","-"),"일",""),".","-"),"/","-")," ","-"),"--","-"),"--","-"),"--","-")&amp;"-","")</f>
        <v/>
      </c>
      <c r="CI291">
        <f>IFERROR(IF('월 가계부'!A291="","",IF(ISNUMBER('월 가계부'!A291),IF(AND('월 가계부'!A291&gt;=19000101,'월 가계부'!A291&lt;=21001231),IF(AND(MOD(INT('월 가계부'!A291/100),100)&gt;=1,MOD(INT('월 가계부'!A291/100),100)&lt;=12,MOD(INT('월 가계부'!A291),100)&gt;=1,MOD(INT('월 가계부'!A291),100)&lt;=31),IF(MONTH(DATE(INT('월 가계부'!A291/10000),MOD(INT('월 가계부'!A291/100),100),MOD(INT('월 가계부'!A291),100)))=MOD(INT('월 가계부'!A291/100),100),DATE(INT('월 가계부'!A291/10000),MOD(INT('월 가계부'!A291/100),100),MOD(INT('월 가계부'!A291),100)),""),""),IF(AND('월 가계부'!A291&gt;=36526,'월 가계부'!A291&lt;73051),INT('월 가계부'!A291),"")),IF(OR(CM291="",CN291="",CO291=""),"",IF(AND(CM291&gt;=2000,CM291&lt;=2099,CN291&gt;=1,CN291&lt;=12,CO291&gt;=1,CO291&lt;=31),IF(MONTH(DATE(CM291,CN291,CO291))=CN291,DATE(CM291,CN291,CO291),""),"")))),"")</f>
        <v/>
      </c>
      <c r="CJ291">
        <f>IFERROR(IF('월 가계부'!C291="","",IF(ISNUMBER('월 가계부'!C291),'월 가계부'!C291,VALUE(SUBSTITUTE(SUBSTITUTE(SUBSTITUTE(SUBSTITUTE(TRIM('월 가계부'!C291),",",""),"원","")," ",""),"−","-")))),"")</f>
        <v/>
      </c>
      <c r="CK291">
        <f>IF(ISNUMBER(CI291),IF(CI291&lt;$B$13,CI291,""),"")</f>
        <v/>
      </c>
      <c r="CM291">
        <f>IF(CH291="","",IFERROR(IF(IF(AND(LEN(CH291)=9,ISERROR(FIND("-",LEFT(CH291,8))),ISNUMBER(-LEFT(CH291,8))),VALUE(LEFT(CH291,4)),VALUE(LEFT(CH291,FIND("-",CH291)-1)))&lt;100,IF(AND(LEN(CH291)=9,ISERROR(FIND("-",LEFT(CH291,8))),ISNUMBER(-LEFT(CH291,8))),VALUE(LEFT(CH291,4)),VALUE(LEFT(CH291,FIND("-",CH291)-1)))+2000,IF(AND(LEN(CH291)=9,ISERROR(FIND("-",LEFT(CH291,8))),ISNUMBER(-LEFT(CH291,8))),VALUE(LEFT(CH291,4)),VALUE(LEFT(CH291,FIND("-",CH291)-1)))),""))</f>
        <v/>
      </c>
      <c r="CN291">
        <f>IF(CH291="","",IFERROR(IF(AND(LEN(CH291)=9,ISERROR(FIND("-",LEFT(CH291,8))),ISNUMBER(-LEFT(CH291,8))),VALUE(MID(CH291,5,2)),VALUE(MID(CH291,FIND("-",CH291)+1,FIND("-",CH291,FIND("-",CH291)+1)-FIND("-",CH291)-1))),""))</f>
        <v/>
      </c>
      <c r="CO291">
        <f>IF(CH291="","",IFERROR(IF(AND(LEN(CH291)=9,ISERROR(FIND("-",LEFT(CH291,8))),ISNUMBER(-LEFT(CH291,8))),VALUE(MID(CH291,7,2)),VALUE(MID(CH291,FIND("-",CH291,FIND("-",CH291)+1)+1,FIND("-",CH291,FIND("-",CH291,FIND("-",CH291)+1)+1)-FIND("-",CH291,FIND("-",CH291)+1)-1))),""))</f>
        <v/>
      </c>
    </row>
    <row r="292">
      <c r="CH292">
        <f>IF(ISTEXT('월 가계부'!A292),SUBSTITUTE(SUBSTITUTE(SUBSTITUTE(SUBSTITUTE(SUBSTITUTE(SUBSTITUTE(SUBSTITUTE(SUBSTITUTE(SUBSTITUTE(TRIM('월 가계부'!A292),"년","-"),"월","-"),"일",""),".","-"),"/","-")," ","-"),"--","-"),"--","-"),"--","-")&amp;"-","")</f>
        <v/>
      </c>
      <c r="CI292">
        <f>IFERROR(IF('월 가계부'!A292="","",IF(ISNUMBER('월 가계부'!A292),IF(AND('월 가계부'!A292&gt;=19000101,'월 가계부'!A292&lt;=21001231),IF(AND(MOD(INT('월 가계부'!A292/100),100)&gt;=1,MOD(INT('월 가계부'!A292/100),100)&lt;=12,MOD(INT('월 가계부'!A292),100)&gt;=1,MOD(INT('월 가계부'!A292),100)&lt;=31),IF(MONTH(DATE(INT('월 가계부'!A292/10000),MOD(INT('월 가계부'!A292/100),100),MOD(INT('월 가계부'!A292),100)))=MOD(INT('월 가계부'!A292/100),100),DATE(INT('월 가계부'!A292/10000),MOD(INT('월 가계부'!A292/100),100),MOD(INT('월 가계부'!A292),100)),""),""),IF(AND('월 가계부'!A292&gt;=36526,'월 가계부'!A292&lt;73051),INT('월 가계부'!A292),"")),IF(OR(CM292="",CN292="",CO292=""),"",IF(AND(CM292&gt;=2000,CM292&lt;=2099,CN292&gt;=1,CN292&lt;=12,CO292&gt;=1,CO292&lt;=31),IF(MONTH(DATE(CM292,CN292,CO292))=CN292,DATE(CM292,CN292,CO292),""),"")))),"")</f>
        <v/>
      </c>
      <c r="CJ292">
        <f>IFERROR(IF('월 가계부'!C292="","",IF(ISNUMBER('월 가계부'!C292),'월 가계부'!C292,VALUE(SUBSTITUTE(SUBSTITUTE(SUBSTITUTE(SUBSTITUTE(TRIM('월 가계부'!C292),",",""),"원","")," ",""),"−","-")))),"")</f>
        <v/>
      </c>
      <c r="CK292">
        <f>IF(ISNUMBER(CI292),IF(CI292&lt;$B$13,CI292,""),"")</f>
        <v/>
      </c>
      <c r="CM292">
        <f>IF(CH292="","",IFERROR(IF(IF(AND(LEN(CH292)=9,ISERROR(FIND("-",LEFT(CH292,8))),ISNUMBER(-LEFT(CH292,8))),VALUE(LEFT(CH292,4)),VALUE(LEFT(CH292,FIND("-",CH292)-1)))&lt;100,IF(AND(LEN(CH292)=9,ISERROR(FIND("-",LEFT(CH292,8))),ISNUMBER(-LEFT(CH292,8))),VALUE(LEFT(CH292,4)),VALUE(LEFT(CH292,FIND("-",CH292)-1)))+2000,IF(AND(LEN(CH292)=9,ISERROR(FIND("-",LEFT(CH292,8))),ISNUMBER(-LEFT(CH292,8))),VALUE(LEFT(CH292,4)),VALUE(LEFT(CH292,FIND("-",CH292)-1)))),""))</f>
        <v/>
      </c>
      <c r="CN292">
        <f>IF(CH292="","",IFERROR(IF(AND(LEN(CH292)=9,ISERROR(FIND("-",LEFT(CH292,8))),ISNUMBER(-LEFT(CH292,8))),VALUE(MID(CH292,5,2)),VALUE(MID(CH292,FIND("-",CH292)+1,FIND("-",CH292,FIND("-",CH292)+1)-FIND("-",CH292)-1))),""))</f>
        <v/>
      </c>
      <c r="CO292">
        <f>IF(CH292="","",IFERROR(IF(AND(LEN(CH292)=9,ISERROR(FIND("-",LEFT(CH292,8))),ISNUMBER(-LEFT(CH292,8))),VALUE(MID(CH292,7,2)),VALUE(MID(CH292,FIND("-",CH292,FIND("-",CH292)+1)+1,FIND("-",CH292,FIND("-",CH292,FIND("-",CH292)+1)+1)-FIND("-",CH292,FIND("-",CH292)+1)-1))),""))</f>
        <v/>
      </c>
    </row>
    <row r="293">
      <c r="CH293">
        <f>IF(ISTEXT('월 가계부'!A293),SUBSTITUTE(SUBSTITUTE(SUBSTITUTE(SUBSTITUTE(SUBSTITUTE(SUBSTITUTE(SUBSTITUTE(SUBSTITUTE(SUBSTITUTE(TRIM('월 가계부'!A293),"년","-"),"월","-"),"일",""),".","-"),"/","-")," ","-"),"--","-"),"--","-"),"--","-")&amp;"-","")</f>
        <v/>
      </c>
      <c r="CI293">
        <f>IFERROR(IF('월 가계부'!A293="","",IF(ISNUMBER('월 가계부'!A293),IF(AND('월 가계부'!A293&gt;=19000101,'월 가계부'!A293&lt;=21001231),IF(AND(MOD(INT('월 가계부'!A293/100),100)&gt;=1,MOD(INT('월 가계부'!A293/100),100)&lt;=12,MOD(INT('월 가계부'!A293),100)&gt;=1,MOD(INT('월 가계부'!A293),100)&lt;=31),IF(MONTH(DATE(INT('월 가계부'!A293/10000),MOD(INT('월 가계부'!A293/100),100),MOD(INT('월 가계부'!A293),100)))=MOD(INT('월 가계부'!A293/100),100),DATE(INT('월 가계부'!A293/10000),MOD(INT('월 가계부'!A293/100),100),MOD(INT('월 가계부'!A293),100)),""),""),IF(AND('월 가계부'!A293&gt;=36526,'월 가계부'!A293&lt;73051),INT('월 가계부'!A293),"")),IF(OR(CM293="",CN293="",CO293=""),"",IF(AND(CM293&gt;=2000,CM293&lt;=2099,CN293&gt;=1,CN293&lt;=12,CO293&gt;=1,CO293&lt;=31),IF(MONTH(DATE(CM293,CN293,CO293))=CN293,DATE(CM293,CN293,CO293),""),"")))),"")</f>
        <v/>
      </c>
      <c r="CJ293">
        <f>IFERROR(IF('월 가계부'!C293="","",IF(ISNUMBER('월 가계부'!C293),'월 가계부'!C293,VALUE(SUBSTITUTE(SUBSTITUTE(SUBSTITUTE(SUBSTITUTE(TRIM('월 가계부'!C293),",",""),"원","")," ",""),"−","-")))),"")</f>
        <v/>
      </c>
      <c r="CK293">
        <f>IF(ISNUMBER(CI293),IF(CI293&lt;$B$13,CI293,""),"")</f>
        <v/>
      </c>
      <c r="CM293">
        <f>IF(CH293="","",IFERROR(IF(IF(AND(LEN(CH293)=9,ISERROR(FIND("-",LEFT(CH293,8))),ISNUMBER(-LEFT(CH293,8))),VALUE(LEFT(CH293,4)),VALUE(LEFT(CH293,FIND("-",CH293)-1)))&lt;100,IF(AND(LEN(CH293)=9,ISERROR(FIND("-",LEFT(CH293,8))),ISNUMBER(-LEFT(CH293,8))),VALUE(LEFT(CH293,4)),VALUE(LEFT(CH293,FIND("-",CH293)-1)))+2000,IF(AND(LEN(CH293)=9,ISERROR(FIND("-",LEFT(CH293,8))),ISNUMBER(-LEFT(CH293,8))),VALUE(LEFT(CH293,4)),VALUE(LEFT(CH293,FIND("-",CH293)-1)))),""))</f>
        <v/>
      </c>
      <c r="CN293">
        <f>IF(CH293="","",IFERROR(IF(AND(LEN(CH293)=9,ISERROR(FIND("-",LEFT(CH293,8))),ISNUMBER(-LEFT(CH293,8))),VALUE(MID(CH293,5,2)),VALUE(MID(CH293,FIND("-",CH293)+1,FIND("-",CH293,FIND("-",CH293)+1)-FIND("-",CH293)-1))),""))</f>
        <v/>
      </c>
      <c r="CO293">
        <f>IF(CH293="","",IFERROR(IF(AND(LEN(CH293)=9,ISERROR(FIND("-",LEFT(CH293,8))),ISNUMBER(-LEFT(CH293,8))),VALUE(MID(CH293,7,2)),VALUE(MID(CH293,FIND("-",CH293,FIND("-",CH293)+1)+1,FIND("-",CH293,FIND("-",CH293,FIND("-",CH293)+1)+1)-FIND("-",CH293,FIND("-",CH293)+1)-1))),""))</f>
        <v/>
      </c>
    </row>
    <row r="294">
      <c r="CH294">
        <f>IF(ISTEXT('월 가계부'!A294),SUBSTITUTE(SUBSTITUTE(SUBSTITUTE(SUBSTITUTE(SUBSTITUTE(SUBSTITUTE(SUBSTITUTE(SUBSTITUTE(SUBSTITUTE(TRIM('월 가계부'!A294),"년","-"),"월","-"),"일",""),".","-"),"/","-")," ","-"),"--","-"),"--","-"),"--","-")&amp;"-","")</f>
        <v/>
      </c>
      <c r="CI294">
        <f>IFERROR(IF('월 가계부'!A294="","",IF(ISNUMBER('월 가계부'!A294),IF(AND('월 가계부'!A294&gt;=19000101,'월 가계부'!A294&lt;=21001231),IF(AND(MOD(INT('월 가계부'!A294/100),100)&gt;=1,MOD(INT('월 가계부'!A294/100),100)&lt;=12,MOD(INT('월 가계부'!A294),100)&gt;=1,MOD(INT('월 가계부'!A294),100)&lt;=31),IF(MONTH(DATE(INT('월 가계부'!A294/10000),MOD(INT('월 가계부'!A294/100),100),MOD(INT('월 가계부'!A294),100)))=MOD(INT('월 가계부'!A294/100),100),DATE(INT('월 가계부'!A294/10000),MOD(INT('월 가계부'!A294/100),100),MOD(INT('월 가계부'!A294),100)),""),""),IF(AND('월 가계부'!A294&gt;=36526,'월 가계부'!A294&lt;73051),INT('월 가계부'!A294),"")),IF(OR(CM294="",CN294="",CO294=""),"",IF(AND(CM294&gt;=2000,CM294&lt;=2099,CN294&gt;=1,CN294&lt;=12,CO294&gt;=1,CO294&lt;=31),IF(MONTH(DATE(CM294,CN294,CO294))=CN294,DATE(CM294,CN294,CO294),""),"")))),"")</f>
        <v/>
      </c>
      <c r="CJ294">
        <f>IFERROR(IF('월 가계부'!C294="","",IF(ISNUMBER('월 가계부'!C294),'월 가계부'!C294,VALUE(SUBSTITUTE(SUBSTITUTE(SUBSTITUTE(SUBSTITUTE(TRIM('월 가계부'!C294),",",""),"원","")," ",""),"−","-")))),"")</f>
        <v/>
      </c>
      <c r="CK294">
        <f>IF(ISNUMBER(CI294),IF(CI294&lt;$B$13,CI294,""),"")</f>
        <v/>
      </c>
      <c r="CM294">
        <f>IF(CH294="","",IFERROR(IF(IF(AND(LEN(CH294)=9,ISERROR(FIND("-",LEFT(CH294,8))),ISNUMBER(-LEFT(CH294,8))),VALUE(LEFT(CH294,4)),VALUE(LEFT(CH294,FIND("-",CH294)-1)))&lt;100,IF(AND(LEN(CH294)=9,ISERROR(FIND("-",LEFT(CH294,8))),ISNUMBER(-LEFT(CH294,8))),VALUE(LEFT(CH294,4)),VALUE(LEFT(CH294,FIND("-",CH294)-1)))+2000,IF(AND(LEN(CH294)=9,ISERROR(FIND("-",LEFT(CH294,8))),ISNUMBER(-LEFT(CH294,8))),VALUE(LEFT(CH294,4)),VALUE(LEFT(CH294,FIND("-",CH294)-1)))),""))</f>
        <v/>
      </c>
      <c r="CN294">
        <f>IF(CH294="","",IFERROR(IF(AND(LEN(CH294)=9,ISERROR(FIND("-",LEFT(CH294,8))),ISNUMBER(-LEFT(CH294,8))),VALUE(MID(CH294,5,2)),VALUE(MID(CH294,FIND("-",CH294)+1,FIND("-",CH294,FIND("-",CH294)+1)-FIND("-",CH294)-1))),""))</f>
        <v/>
      </c>
      <c r="CO294">
        <f>IF(CH294="","",IFERROR(IF(AND(LEN(CH294)=9,ISERROR(FIND("-",LEFT(CH294,8))),ISNUMBER(-LEFT(CH294,8))),VALUE(MID(CH294,7,2)),VALUE(MID(CH294,FIND("-",CH294,FIND("-",CH294)+1)+1,FIND("-",CH294,FIND("-",CH294,FIND("-",CH294)+1)+1)-FIND("-",CH294,FIND("-",CH294)+1)-1))),""))</f>
        <v/>
      </c>
    </row>
    <row r="295">
      <c r="CH295">
        <f>IF(ISTEXT('월 가계부'!A295),SUBSTITUTE(SUBSTITUTE(SUBSTITUTE(SUBSTITUTE(SUBSTITUTE(SUBSTITUTE(SUBSTITUTE(SUBSTITUTE(SUBSTITUTE(TRIM('월 가계부'!A295),"년","-"),"월","-"),"일",""),".","-"),"/","-")," ","-"),"--","-"),"--","-"),"--","-")&amp;"-","")</f>
        <v/>
      </c>
      <c r="CI295">
        <f>IFERROR(IF('월 가계부'!A295="","",IF(ISNUMBER('월 가계부'!A295),IF(AND('월 가계부'!A295&gt;=19000101,'월 가계부'!A295&lt;=21001231),IF(AND(MOD(INT('월 가계부'!A295/100),100)&gt;=1,MOD(INT('월 가계부'!A295/100),100)&lt;=12,MOD(INT('월 가계부'!A295),100)&gt;=1,MOD(INT('월 가계부'!A295),100)&lt;=31),IF(MONTH(DATE(INT('월 가계부'!A295/10000),MOD(INT('월 가계부'!A295/100),100),MOD(INT('월 가계부'!A295),100)))=MOD(INT('월 가계부'!A295/100),100),DATE(INT('월 가계부'!A295/10000),MOD(INT('월 가계부'!A295/100),100),MOD(INT('월 가계부'!A295),100)),""),""),IF(AND('월 가계부'!A295&gt;=36526,'월 가계부'!A295&lt;73051),INT('월 가계부'!A295),"")),IF(OR(CM295="",CN295="",CO295=""),"",IF(AND(CM295&gt;=2000,CM295&lt;=2099,CN295&gt;=1,CN295&lt;=12,CO295&gt;=1,CO295&lt;=31),IF(MONTH(DATE(CM295,CN295,CO295))=CN295,DATE(CM295,CN295,CO295),""),"")))),"")</f>
        <v/>
      </c>
      <c r="CJ295">
        <f>IFERROR(IF('월 가계부'!C295="","",IF(ISNUMBER('월 가계부'!C295),'월 가계부'!C295,VALUE(SUBSTITUTE(SUBSTITUTE(SUBSTITUTE(SUBSTITUTE(TRIM('월 가계부'!C295),",",""),"원","")," ",""),"−","-")))),"")</f>
        <v/>
      </c>
      <c r="CK295">
        <f>IF(ISNUMBER(CI295),IF(CI295&lt;$B$13,CI295,""),"")</f>
        <v/>
      </c>
      <c r="CM295">
        <f>IF(CH295="","",IFERROR(IF(IF(AND(LEN(CH295)=9,ISERROR(FIND("-",LEFT(CH295,8))),ISNUMBER(-LEFT(CH295,8))),VALUE(LEFT(CH295,4)),VALUE(LEFT(CH295,FIND("-",CH295)-1)))&lt;100,IF(AND(LEN(CH295)=9,ISERROR(FIND("-",LEFT(CH295,8))),ISNUMBER(-LEFT(CH295,8))),VALUE(LEFT(CH295,4)),VALUE(LEFT(CH295,FIND("-",CH295)-1)))+2000,IF(AND(LEN(CH295)=9,ISERROR(FIND("-",LEFT(CH295,8))),ISNUMBER(-LEFT(CH295,8))),VALUE(LEFT(CH295,4)),VALUE(LEFT(CH295,FIND("-",CH295)-1)))),""))</f>
        <v/>
      </c>
      <c r="CN295">
        <f>IF(CH295="","",IFERROR(IF(AND(LEN(CH295)=9,ISERROR(FIND("-",LEFT(CH295,8))),ISNUMBER(-LEFT(CH295,8))),VALUE(MID(CH295,5,2)),VALUE(MID(CH295,FIND("-",CH295)+1,FIND("-",CH295,FIND("-",CH295)+1)-FIND("-",CH295)-1))),""))</f>
        <v/>
      </c>
      <c r="CO295">
        <f>IF(CH295="","",IFERROR(IF(AND(LEN(CH295)=9,ISERROR(FIND("-",LEFT(CH295,8))),ISNUMBER(-LEFT(CH295,8))),VALUE(MID(CH295,7,2)),VALUE(MID(CH295,FIND("-",CH295,FIND("-",CH295)+1)+1,FIND("-",CH295,FIND("-",CH295,FIND("-",CH295)+1)+1)-FIND("-",CH295,FIND("-",CH295)+1)-1))),""))</f>
        <v/>
      </c>
    </row>
    <row r="296">
      <c r="CH296">
        <f>IF(ISTEXT('월 가계부'!A296),SUBSTITUTE(SUBSTITUTE(SUBSTITUTE(SUBSTITUTE(SUBSTITUTE(SUBSTITUTE(SUBSTITUTE(SUBSTITUTE(SUBSTITUTE(TRIM('월 가계부'!A296),"년","-"),"월","-"),"일",""),".","-"),"/","-")," ","-"),"--","-"),"--","-"),"--","-")&amp;"-","")</f>
        <v/>
      </c>
      <c r="CI296">
        <f>IFERROR(IF('월 가계부'!A296="","",IF(ISNUMBER('월 가계부'!A296),IF(AND('월 가계부'!A296&gt;=19000101,'월 가계부'!A296&lt;=21001231),IF(AND(MOD(INT('월 가계부'!A296/100),100)&gt;=1,MOD(INT('월 가계부'!A296/100),100)&lt;=12,MOD(INT('월 가계부'!A296),100)&gt;=1,MOD(INT('월 가계부'!A296),100)&lt;=31),IF(MONTH(DATE(INT('월 가계부'!A296/10000),MOD(INT('월 가계부'!A296/100),100),MOD(INT('월 가계부'!A296),100)))=MOD(INT('월 가계부'!A296/100),100),DATE(INT('월 가계부'!A296/10000),MOD(INT('월 가계부'!A296/100),100),MOD(INT('월 가계부'!A296),100)),""),""),IF(AND('월 가계부'!A296&gt;=36526,'월 가계부'!A296&lt;73051),INT('월 가계부'!A296),"")),IF(OR(CM296="",CN296="",CO296=""),"",IF(AND(CM296&gt;=2000,CM296&lt;=2099,CN296&gt;=1,CN296&lt;=12,CO296&gt;=1,CO296&lt;=31),IF(MONTH(DATE(CM296,CN296,CO296))=CN296,DATE(CM296,CN296,CO296),""),"")))),"")</f>
        <v/>
      </c>
      <c r="CJ296">
        <f>IFERROR(IF('월 가계부'!C296="","",IF(ISNUMBER('월 가계부'!C296),'월 가계부'!C296,VALUE(SUBSTITUTE(SUBSTITUTE(SUBSTITUTE(SUBSTITUTE(TRIM('월 가계부'!C296),",",""),"원","")," ",""),"−","-")))),"")</f>
        <v/>
      </c>
      <c r="CK296">
        <f>IF(ISNUMBER(CI296),IF(CI296&lt;$B$13,CI296,""),"")</f>
        <v/>
      </c>
      <c r="CM296">
        <f>IF(CH296="","",IFERROR(IF(IF(AND(LEN(CH296)=9,ISERROR(FIND("-",LEFT(CH296,8))),ISNUMBER(-LEFT(CH296,8))),VALUE(LEFT(CH296,4)),VALUE(LEFT(CH296,FIND("-",CH296)-1)))&lt;100,IF(AND(LEN(CH296)=9,ISERROR(FIND("-",LEFT(CH296,8))),ISNUMBER(-LEFT(CH296,8))),VALUE(LEFT(CH296,4)),VALUE(LEFT(CH296,FIND("-",CH296)-1)))+2000,IF(AND(LEN(CH296)=9,ISERROR(FIND("-",LEFT(CH296,8))),ISNUMBER(-LEFT(CH296,8))),VALUE(LEFT(CH296,4)),VALUE(LEFT(CH296,FIND("-",CH296)-1)))),""))</f>
        <v/>
      </c>
      <c r="CN296">
        <f>IF(CH296="","",IFERROR(IF(AND(LEN(CH296)=9,ISERROR(FIND("-",LEFT(CH296,8))),ISNUMBER(-LEFT(CH296,8))),VALUE(MID(CH296,5,2)),VALUE(MID(CH296,FIND("-",CH296)+1,FIND("-",CH296,FIND("-",CH296)+1)-FIND("-",CH296)-1))),""))</f>
        <v/>
      </c>
      <c r="CO296">
        <f>IF(CH296="","",IFERROR(IF(AND(LEN(CH296)=9,ISERROR(FIND("-",LEFT(CH296,8))),ISNUMBER(-LEFT(CH296,8))),VALUE(MID(CH296,7,2)),VALUE(MID(CH296,FIND("-",CH296,FIND("-",CH296)+1)+1,FIND("-",CH296,FIND("-",CH296,FIND("-",CH296)+1)+1)-FIND("-",CH296,FIND("-",CH296)+1)-1))),""))</f>
        <v/>
      </c>
    </row>
    <row r="297">
      <c r="CH297">
        <f>IF(ISTEXT('월 가계부'!A297),SUBSTITUTE(SUBSTITUTE(SUBSTITUTE(SUBSTITUTE(SUBSTITUTE(SUBSTITUTE(SUBSTITUTE(SUBSTITUTE(SUBSTITUTE(TRIM('월 가계부'!A297),"년","-"),"월","-"),"일",""),".","-"),"/","-")," ","-"),"--","-"),"--","-"),"--","-")&amp;"-","")</f>
        <v/>
      </c>
      <c r="CI297">
        <f>IFERROR(IF('월 가계부'!A297="","",IF(ISNUMBER('월 가계부'!A297),IF(AND('월 가계부'!A297&gt;=19000101,'월 가계부'!A297&lt;=21001231),IF(AND(MOD(INT('월 가계부'!A297/100),100)&gt;=1,MOD(INT('월 가계부'!A297/100),100)&lt;=12,MOD(INT('월 가계부'!A297),100)&gt;=1,MOD(INT('월 가계부'!A297),100)&lt;=31),IF(MONTH(DATE(INT('월 가계부'!A297/10000),MOD(INT('월 가계부'!A297/100),100),MOD(INT('월 가계부'!A297),100)))=MOD(INT('월 가계부'!A297/100),100),DATE(INT('월 가계부'!A297/10000),MOD(INT('월 가계부'!A297/100),100),MOD(INT('월 가계부'!A297),100)),""),""),IF(AND('월 가계부'!A297&gt;=36526,'월 가계부'!A297&lt;73051),INT('월 가계부'!A297),"")),IF(OR(CM297="",CN297="",CO297=""),"",IF(AND(CM297&gt;=2000,CM297&lt;=2099,CN297&gt;=1,CN297&lt;=12,CO297&gt;=1,CO297&lt;=31),IF(MONTH(DATE(CM297,CN297,CO297))=CN297,DATE(CM297,CN297,CO297),""),"")))),"")</f>
        <v/>
      </c>
      <c r="CJ297">
        <f>IFERROR(IF('월 가계부'!C297="","",IF(ISNUMBER('월 가계부'!C297),'월 가계부'!C297,VALUE(SUBSTITUTE(SUBSTITUTE(SUBSTITUTE(SUBSTITUTE(TRIM('월 가계부'!C297),",",""),"원","")," ",""),"−","-")))),"")</f>
        <v/>
      </c>
      <c r="CK297">
        <f>IF(ISNUMBER(CI297),IF(CI297&lt;$B$13,CI297,""),"")</f>
        <v/>
      </c>
      <c r="CM297">
        <f>IF(CH297="","",IFERROR(IF(IF(AND(LEN(CH297)=9,ISERROR(FIND("-",LEFT(CH297,8))),ISNUMBER(-LEFT(CH297,8))),VALUE(LEFT(CH297,4)),VALUE(LEFT(CH297,FIND("-",CH297)-1)))&lt;100,IF(AND(LEN(CH297)=9,ISERROR(FIND("-",LEFT(CH297,8))),ISNUMBER(-LEFT(CH297,8))),VALUE(LEFT(CH297,4)),VALUE(LEFT(CH297,FIND("-",CH297)-1)))+2000,IF(AND(LEN(CH297)=9,ISERROR(FIND("-",LEFT(CH297,8))),ISNUMBER(-LEFT(CH297,8))),VALUE(LEFT(CH297,4)),VALUE(LEFT(CH297,FIND("-",CH297)-1)))),""))</f>
        <v/>
      </c>
      <c r="CN297">
        <f>IF(CH297="","",IFERROR(IF(AND(LEN(CH297)=9,ISERROR(FIND("-",LEFT(CH297,8))),ISNUMBER(-LEFT(CH297,8))),VALUE(MID(CH297,5,2)),VALUE(MID(CH297,FIND("-",CH297)+1,FIND("-",CH297,FIND("-",CH297)+1)-FIND("-",CH297)-1))),""))</f>
        <v/>
      </c>
      <c r="CO297">
        <f>IF(CH297="","",IFERROR(IF(AND(LEN(CH297)=9,ISERROR(FIND("-",LEFT(CH297,8))),ISNUMBER(-LEFT(CH297,8))),VALUE(MID(CH297,7,2)),VALUE(MID(CH297,FIND("-",CH297,FIND("-",CH297)+1)+1,FIND("-",CH297,FIND("-",CH297,FIND("-",CH297)+1)+1)-FIND("-",CH297,FIND("-",CH297)+1)-1))),""))</f>
        <v/>
      </c>
    </row>
    <row r="298">
      <c r="CH298">
        <f>IF(ISTEXT('월 가계부'!A298),SUBSTITUTE(SUBSTITUTE(SUBSTITUTE(SUBSTITUTE(SUBSTITUTE(SUBSTITUTE(SUBSTITUTE(SUBSTITUTE(SUBSTITUTE(TRIM('월 가계부'!A298),"년","-"),"월","-"),"일",""),".","-"),"/","-")," ","-"),"--","-"),"--","-"),"--","-")&amp;"-","")</f>
        <v/>
      </c>
      <c r="CI298">
        <f>IFERROR(IF('월 가계부'!A298="","",IF(ISNUMBER('월 가계부'!A298),IF(AND('월 가계부'!A298&gt;=19000101,'월 가계부'!A298&lt;=21001231),IF(AND(MOD(INT('월 가계부'!A298/100),100)&gt;=1,MOD(INT('월 가계부'!A298/100),100)&lt;=12,MOD(INT('월 가계부'!A298),100)&gt;=1,MOD(INT('월 가계부'!A298),100)&lt;=31),IF(MONTH(DATE(INT('월 가계부'!A298/10000),MOD(INT('월 가계부'!A298/100),100),MOD(INT('월 가계부'!A298),100)))=MOD(INT('월 가계부'!A298/100),100),DATE(INT('월 가계부'!A298/10000),MOD(INT('월 가계부'!A298/100),100),MOD(INT('월 가계부'!A298),100)),""),""),IF(AND('월 가계부'!A298&gt;=36526,'월 가계부'!A298&lt;73051),INT('월 가계부'!A298),"")),IF(OR(CM298="",CN298="",CO298=""),"",IF(AND(CM298&gt;=2000,CM298&lt;=2099,CN298&gt;=1,CN298&lt;=12,CO298&gt;=1,CO298&lt;=31),IF(MONTH(DATE(CM298,CN298,CO298))=CN298,DATE(CM298,CN298,CO298),""),"")))),"")</f>
        <v/>
      </c>
      <c r="CJ298">
        <f>IFERROR(IF('월 가계부'!C298="","",IF(ISNUMBER('월 가계부'!C298),'월 가계부'!C298,VALUE(SUBSTITUTE(SUBSTITUTE(SUBSTITUTE(SUBSTITUTE(TRIM('월 가계부'!C298),",",""),"원","")," ",""),"−","-")))),"")</f>
        <v/>
      </c>
      <c r="CK298">
        <f>IF(ISNUMBER(CI298),IF(CI298&lt;$B$13,CI298,""),"")</f>
        <v/>
      </c>
      <c r="CM298">
        <f>IF(CH298="","",IFERROR(IF(IF(AND(LEN(CH298)=9,ISERROR(FIND("-",LEFT(CH298,8))),ISNUMBER(-LEFT(CH298,8))),VALUE(LEFT(CH298,4)),VALUE(LEFT(CH298,FIND("-",CH298)-1)))&lt;100,IF(AND(LEN(CH298)=9,ISERROR(FIND("-",LEFT(CH298,8))),ISNUMBER(-LEFT(CH298,8))),VALUE(LEFT(CH298,4)),VALUE(LEFT(CH298,FIND("-",CH298)-1)))+2000,IF(AND(LEN(CH298)=9,ISERROR(FIND("-",LEFT(CH298,8))),ISNUMBER(-LEFT(CH298,8))),VALUE(LEFT(CH298,4)),VALUE(LEFT(CH298,FIND("-",CH298)-1)))),""))</f>
        <v/>
      </c>
      <c r="CN298">
        <f>IF(CH298="","",IFERROR(IF(AND(LEN(CH298)=9,ISERROR(FIND("-",LEFT(CH298,8))),ISNUMBER(-LEFT(CH298,8))),VALUE(MID(CH298,5,2)),VALUE(MID(CH298,FIND("-",CH298)+1,FIND("-",CH298,FIND("-",CH298)+1)-FIND("-",CH298)-1))),""))</f>
        <v/>
      </c>
      <c r="CO298">
        <f>IF(CH298="","",IFERROR(IF(AND(LEN(CH298)=9,ISERROR(FIND("-",LEFT(CH298,8))),ISNUMBER(-LEFT(CH298,8))),VALUE(MID(CH298,7,2)),VALUE(MID(CH298,FIND("-",CH298,FIND("-",CH298)+1)+1,FIND("-",CH298,FIND("-",CH298,FIND("-",CH298)+1)+1)-FIND("-",CH298,FIND("-",CH298)+1)-1))),""))</f>
        <v/>
      </c>
    </row>
    <row r="299">
      <c r="CH299">
        <f>IF(ISTEXT('월 가계부'!A299),SUBSTITUTE(SUBSTITUTE(SUBSTITUTE(SUBSTITUTE(SUBSTITUTE(SUBSTITUTE(SUBSTITUTE(SUBSTITUTE(SUBSTITUTE(TRIM('월 가계부'!A299),"년","-"),"월","-"),"일",""),".","-"),"/","-")," ","-"),"--","-"),"--","-"),"--","-")&amp;"-","")</f>
        <v/>
      </c>
      <c r="CI299">
        <f>IFERROR(IF('월 가계부'!A299="","",IF(ISNUMBER('월 가계부'!A299),IF(AND('월 가계부'!A299&gt;=19000101,'월 가계부'!A299&lt;=21001231),IF(AND(MOD(INT('월 가계부'!A299/100),100)&gt;=1,MOD(INT('월 가계부'!A299/100),100)&lt;=12,MOD(INT('월 가계부'!A299),100)&gt;=1,MOD(INT('월 가계부'!A299),100)&lt;=31),IF(MONTH(DATE(INT('월 가계부'!A299/10000),MOD(INT('월 가계부'!A299/100),100),MOD(INT('월 가계부'!A299),100)))=MOD(INT('월 가계부'!A299/100),100),DATE(INT('월 가계부'!A299/10000),MOD(INT('월 가계부'!A299/100),100),MOD(INT('월 가계부'!A299),100)),""),""),IF(AND('월 가계부'!A299&gt;=36526,'월 가계부'!A299&lt;73051),INT('월 가계부'!A299),"")),IF(OR(CM299="",CN299="",CO299=""),"",IF(AND(CM299&gt;=2000,CM299&lt;=2099,CN299&gt;=1,CN299&lt;=12,CO299&gt;=1,CO299&lt;=31),IF(MONTH(DATE(CM299,CN299,CO299))=CN299,DATE(CM299,CN299,CO299),""),"")))),"")</f>
        <v/>
      </c>
      <c r="CJ299">
        <f>IFERROR(IF('월 가계부'!C299="","",IF(ISNUMBER('월 가계부'!C299),'월 가계부'!C299,VALUE(SUBSTITUTE(SUBSTITUTE(SUBSTITUTE(SUBSTITUTE(TRIM('월 가계부'!C299),",",""),"원","")," ",""),"−","-")))),"")</f>
        <v/>
      </c>
      <c r="CK299">
        <f>IF(ISNUMBER(CI299),IF(CI299&lt;$B$13,CI299,""),"")</f>
        <v/>
      </c>
      <c r="CM299">
        <f>IF(CH299="","",IFERROR(IF(IF(AND(LEN(CH299)=9,ISERROR(FIND("-",LEFT(CH299,8))),ISNUMBER(-LEFT(CH299,8))),VALUE(LEFT(CH299,4)),VALUE(LEFT(CH299,FIND("-",CH299)-1)))&lt;100,IF(AND(LEN(CH299)=9,ISERROR(FIND("-",LEFT(CH299,8))),ISNUMBER(-LEFT(CH299,8))),VALUE(LEFT(CH299,4)),VALUE(LEFT(CH299,FIND("-",CH299)-1)))+2000,IF(AND(LEN(CH299)=9,ISERROR(FIND("-",LEFT(CH299,8))),ISNUMBER(-LEFT(CH299,8))),VALUE(LEFT(CH299,4)),VALUE(LEFT(CH299,FIND("-",CH299)-1)))),""))</f>
        <v/>
      </c>
      <c r="CN299">
        <f>IF(CH299="","",IFERROR(IF(AND(LEN(CH299)=9,ISERROR(FIND("-",LEFT(CH299,8))),ISNUMBER(-LEFT(CH299,8))),VALUE(MID(CH299,5,2)),VALUE(MID(CH299,FIND("-",CH299)+1,FIND("-",CH299,FIND("-",CH299)+1)-FIND("-",CH299)-1))),""))</f>
        <v/>
      </c>
      <c r="CO299">
        <f>IF(CH299="","",IFERROR(IF(AND(LEN(CH299)=9,ISERROR(FIND("-",LEFT(CH299,8))),ISNUMBER(-LEFT(CH299,8))),VALUE(MID(CH299,7,2)),VALUE(MID(CH299,FIND("-",CH299,FIND("-",CH299)+1)+1,FIND("-",CH299,FIND("-",CH299,FIND("-",CH299)+1)+1)-FIND("-",CH299,FIND("-",CH299)+1)-1))),""))</f>
        <v/>
      </c>
    </row>
    <row r="300">
      <c r="CH300">
        <f>IF(ISTEXT('월 가계부'!A300),SUBSTITUTE(SUBSTITUTE(SUBSTITUTE(SUBSTITUTE(SUBSTITUTE(SUBSTITUTE(SUBSTITUTE(SUBSTITUTE(SUBSTITUTE(TRIM('월 가계부'!A300),"년","-"),"월","-"),"일",""),".","-"),"/","-")," ","-"),"--","-"),"--","-"),"--","-")&amp;"-","")</f>
        <v/>
      </c>
      <c r="CI300">
        <f>IFERROR(IF('월 가계부'!A300="","",IF(ISNUMBER('월 가계부'!A300),IF(AND('월 가계부'!A300&gt;=19000101,'월 가계부'!A300&lt;=21001231),IF(AND(MOD(INT('월 가계부'!A300/100),100)&gt;=1,MOD(INT('월 가계부'!A300/100),100)&lt;=12,MOD(INT('월 가계부'!A300),100)&gt;=1,MOD(INT('월 가계부'!A300),100)&lt;=31),IF(MONTH(DATE(INT('월 가계부'!A300/10000),MOD(INT('월 가계부'!A300/100),100),MOD(INT('월 가계부'!A300),100)))=MOD(INT('월 가계부'!A300/100),100),DATE(INT('월 가계부'!A300/10000),MOD(INT('월 가계부'!A300/100),100),MOD(INT('월 가계부'!A300),100)),""),""),IF(AND('월 가계부'!A300&gt;=36526,'월 가계부'!A300&lt;73051),INT('월 가계부'!A300),"")),IF(OR(CM300="",CN300="",CO300=""),"",IF(AND(CM300&gt;=2000,CM300&lt;=2099,CN300&gt;=1,CN300&lt;=12,CO300&gt;=1,CO300&lt;=31),IF(MONTH(DATE(CM300,CN300,CO300))=CN300,DATE(CM300,CN300,CO300),""),"")))),"")</f>
        <v/>
      </c>
      <c r="CJ300">
        <f>IFERROR(IF('월 가계부'!C300="","",IF(ISNUMBER('월 가계부'!C300),'월 가계부'!C300,VALUE(SUBSTITUTE(SUBSTITUTE(SUBSTITUTE(SUBSTITUTE(TRIM('월 가계부'!C300),",",""),"원","")," ",""),"−","-")))),"")</f>
        <v/>
      </c>
      <c r="CK300">
        <f>IF(ISNUMBER(CI300),IF(CI300&lt;$B$13,CI300,""),"")</f>
        <v/>
      </c>
      <c r="CM300">
        <f>IF(CH300="","",IFERROR(IF(IF(AND(LEN(CH300)=9,ISERROR(FIND("-",LEFT(CH300,8))),ISNUMBER(-LEFT(CH300,8))),VALUE(LEFT(CH300,4)),VALUE(LEFT(CH300,FIND("-",CH300)-1)))&lt;100,IF(AND(LEN(CH300)=9,ISERROR(FIND("-",LEFT(CH300,8))),ISNUMBER(-LEFT(CH300,8))),VALUE(LEFT(CH300,4)),VALUE(LEFT(CH300,FIND("-",CH300)-1)))+2000,IF(AND(LEN(CH300)=9,ISERROR(FIND("-",LEFT(CH300,8))),ISNUMBER(-LEFT(CH300,8))),VALUE(LEFT(CH300,4)),VALUE(LEFT(CH300,FIND("-",CH300)-1)))),""))</f>
        <v/>
      </c>
      <c r="CN300">
        <f>IF(CH300="","",IFERROR(IF(AND(LEN(CH300)=9,ISERROR(FIND("-",LEFT(CH300,8))),ISNUMBER(-LEFT(CH300,8))),VALUE(MID(CH300,5,2)),VALUE(MID(CH300,FIND("-",CH300)+1,FIND("-",CH300,FIND("-",CH300)+1)-FIND("-",CH300)-1))),""))</f>
        <v/>
      </c>
      <c r="CO300">
        <f>IF(CH300="","",IFERROR(IF(AND(LEN(CH300)=9,ISERROR(FIND("-",LEFT(CH300,8))),ISNUMBER(-LEFT(CH300,8))),VALUE(MID(CH300,7,2)),VALUE(MID(CH300,FIND("-",CH300,FIND("-",CH300)+1)+1,FIND("-",CH300,FIND("-",CH300,FIND("-",CH300)+1)+1)-FIND("-",CH300,FIND("-",CH300)+1)-1))),""))</f>
        <v/>
      </c>
    </row>
    <row r="301">
      <c r="CH301">
        <f>IF(ISTEXT('월 가계부'!A301),SUBSTITUTE(SUBSTITUTE(SUBSTITUTE(SUBSTITUTE(SUBSTITUTE(SUBSTITUTE(SUBSTITUTE(SUBSTITUTE(SUBSTITUTE(TRIM('월 가계부'!A301),"년","-"),"월","-"),"일",""),".","-"),"/","-")," ","-"),"--","-"),"--","-"),"--","-")&amp;"-","")</f>
        <v/>
      </c>
      <c r="CI301">
        <f>IFERROR(IF('월 가계부'!A301="","",IF(ISNUMBER('월 가계부'!A301),IF(AND('월 가계부'!A301&gt;=19000101,'월 가계부'!A301&lt;=21001231),IF(AND(MOD(INT('월 가계부'!A301/100),100)&gt;=1,MOD(INT('월 가계부'!A301/100),100)&lt;=12,MOD(INT('월 가계부'!A301),100)&gt;=1,MOD(INT('월 가계부'!A301),100)&lt;=31),IF(MONTH(DATE(INT('월 가계부'!A301/10000),MOD(INT('월 가계부'!A301/100),100),MOD(INT('월 가계부'!A301),100)))=MOD(INT('월 가계부'!A301/100),100),DATE(INT('월 가계부'!A301/10000),MOD(INT('월 가계부'!A301/100),100),MOD(INT('월 가계부'!A301),100)),""),""),IF(AND('월 가계부'!A301&gt;=36526,'월 가계부'!A301&lt;73051),INT('월 가계부'!A301),"")),IF(OR(CM301="",CN301="",CO301=""),"",IF(AND(CM301&gt;=2000,CM301&lt;=2099,CN301&gt;=1,CN301&lt;=12,CO301&gt;=1,CO301&lt;=31),IF(MONTH(DATE(CM301,CN301,CO301))=CN301,DATE(CM301,CN301,CO301),""),"")))),"")</f>
        <v/>
      </c>
      <c r="CJ301">
        <f>IFERROR(IF('월 가계부'!C301="","",IF(ISNUMBER('월 가계부'!C301),'월 가계부'!C301,VALUE(SUBSTITUTE(SUBSTITUTE(SUBSTITUTE(SUBSTITUTE(TRIM('월 가계부'!C301),",",""),"원","")," ",""),"−","-")))),"")</f>
        <v/>
      </c>
      <c r="CK301">
        <f>IF(ISNUMBER(CI301),IF(CI301&lt;$B$13,CI301,""),"")</f>
        <v/>
      </c>
      <c r="CM301">
        <f>IF(CH301="","",IFERROR(IF(IF(AND(LEN(CH301)=9,ISERROR(FIND("-",LEFT(CH301,8))),ISNUMBER(-LEFT(CH301,8))),VALUE(LEFT(CH301,4)),VALUE(LEFT(CH301,FIND("-",CH301)-1)))&lt;100,IF(AND(LEN(CH301)=9,ISERROR(FIND("-",LEFT(CH301,8))),ISNUMBER(-LEFT(CH301,8))),VALUE(LEFT(CH301,4)),VALUE(LEFT(CH301,FIND("-",CH301)-1)))+2000,IF(AND(LEN(CH301)=9,ISERROR(FIND("-",LEFT(CH301,8))),ISNUMBER(-LEFT(CH301,8))),VALUE(LEFT(CH301,4)),VALUE(LEFT(CH301,FIND("-",CH301)-1)))),""))</f>
        <v/>
      </c>
      <c r="CN301">
        <f>IF(CH301="","",IFERROR(IF(AND(LEN(CH301)=9,ISERROR(FIND("-",LEFT(CH301,8))),ISNUMBER(-LEFT(CH301,8))),VALUE(MID(CH301,5,2)),VALUE(MID(CH301,FIND("-",CH301)+1,FIND("-",CH301,FIND("-",CH301)+1)-FIND("-",CH301)-1))),""))</f>
        <v/>
      </c>
      <c r="CO301">
        <f>IF(CH301="","",IFERROR(IF(AND(LEN(CH301)=9,ISERROR(FIND("-",LEFT(CH301,8))),ISNUMBER(-LEFT(CH301,8))),VALUE(MID(CH301,7,2)),VALUE(MID(CH301,FIND("-",CH301,FIND("-",CH301)+1)+1,FIND("-",CH301,FIND("-",CH301,FIND("-",CH301)+1)+1)-FIND("-",CH301,FIND("-",CH301)+1)-1))),""))</f>
        <v/>
      </c>
    </row>
    <row r="302">
      <c r="CH302">
        <f>IF(ISTEXT('월 가계부'!A302),SUBSTITUTE(SUBSTITUTE(SUBSTITUTE(SUBSTITUTE(SUBSTITUTE(SUBSTITUTE(SUBSTITUTE(SUBSTITUTE(SUBSTITUTE(TRIM('월 가계부'!A302),"년","-"),"월","-"),"일",""),".","-"),"/","-")," ","-"),"--","-"),"--","-"),"--","-")&amp;"-","")</f>
        <v/>
      </c>
      <c r="CI302">
        <f>IFERROR(IF('월 가계부'!A302="","",IF(ISNUMBER('월 가계부'!A302),IF(AND('월 가계부'!A302&gt;=19000101,'월 가계부'!A302&lt;=21001231),IF(AND(MOD(INT('월 가계부'!A302/100),100)&gt;=1,MOD(INT('월 가계부'!A302/100),100)&lt;=12,MOD(INT('월 가계부'!A302),100)&gt;=1,MOD(INT('월 가계부'!A302),100)&lt;=31),IF(MONTH(DATE(INT('월 가계부'!A302/10000),MOD(INT('월 가계부'!A302/100),100),MOD(INT('월 가계부'!A302),100)))=MOD(INT('월 가계부'!A302/100),100),DATE(INT('월 가계부'!A302/10000),MOD(INT('월 가계부'!A302/100),100),MOD(INT('월 가계부'!A302),100)),""),""),IF(AND('월 가계부'!A302&gt;=36526,'월 가계부'!A302&lt;73051),INT('월 가계부'!A302),"")),IF(OR(CM302="",CN302="",CO302=""),"",IF(AND(CM302&gt;=2000,CM302&lt;=2099,CN302&gt;=1,CN302&lt;=12,CO302&gt;=1,CO302&lt;=31),IF(MONTH(DATE(CM302,CN302,CO302))=CN302,DATE(CM302,CN302,CO302),""),"")))),"")</f>
        <v/>
      </c>
      <c r="CJ302">
        <f>IFERROR(IF('월 가계부'!C302="","",IF(ISNUMBER('월 가계부'!C302),'월 가계부'!C302,VALUE(SUBSTITUTE(SUBSTITUTE(SUBSTITUTE(SUBSTITUTE(TRIM('월 가계부'!C302),",",""),"원","")," ",""),"−","-")))),"")</f>
        <v/>
      </c>
      <c r="CK302">
        <f>IF(ISNUMBER(CI302),IF(CI302&lt;$B$13,CI302,""),"")</f>
        <v/>
      </c>
      <c r="CM302">
        <f>IF(CH302="","",IFERROR(IF(IF(AND(LEN(CH302)=9,ISERROR(FIND("-",LEFT(CH302,8))),ISNUMBER(-LEFT(CH302,8))),VALUE(LEFT(CH302,4)),VALUE(LEFT(CH302,FIND("-",CH302)-1)))&lt;100,IF(AND(LEN(CH302)=9,ISERROR(FIND("-",LEFT(CH302,8))),ISNUMBER(-LEFT(CH302,8))),VALUE(LEFT(CH302,4)),VALUE(LEFT(CH302,FIND("-",CH302)-1)))+2000,IF(AND(LEN(CH302)=9,ISERROR(FIND("-",LEFT(CH302,8))),ISNUMBER(-LEFT(CH302,8))),VALUE(LEFT(CH302,4)),VALUE(LEFT(CH302,FIND("-",CH302)-1)))),""))</f>
        <v/>
      </c>
      <c r="CN302">
        <f>IF(CH302="","",IFERROR(IF(AND(LEN(CH302)=9,ISERROR(FIND("-",LEFT(CH302,8))),ISNUMBER(-LEFT(CH302,8))),VALUE(MID(CH302,5,2)),VALUE(MID(CH302,FIND("-",CH302)+1,FIND("-",CH302,FIND("-",CH302)+1)-FIND("-",CH302)-1))),""))</f>
        <v/>
      </c>
      <c r="CO302">
        <f>IF(CH302="","",IFERROR(IF(AND(LEN(CH302)=9,ISERROR(FIND("-",LEFT(CH302,8))),ISNUMBER(-LEFT(CH302,8))),VALUE(MID(CH302,7,2)),VALUE(MID(CH302,FIND("-",CH302,FIND("-",CH302)+1)+1,FIND("-",CH302,FIND("-",CH302,FIND("-",CH302)+1)+1)-FIND("-",CH302,FIND("-",CH302)+1)-1))),""))</f>
        <v/>
      </c>
    </row>
    <row r="303">
      <c r="CH303">
        <f>IF(ISTEXT('월 가계부'!A303),SUBSTITUTE(SUBSTITUTE(SUBSTITUTE(SUBSTITUTE(SUBSTITUTE(SUBSTITUTE(SUBSTITUTE(SUBSTITUTE(SUBSTITUTE(TRIM('월 가계부'!A303),"년","-"),"월","-"),"일",""),".","-"),"/","-")," ","-"),"--","-"),"--","-"),"--","-")&amp;"-","")</f>
        <v/>
      </c>
      <c r="CI303">
        <f>IFERROR(IF('월 가계부'!A303="","",IF(ISNUMBER('월 가계부'!A303),IF(AND('월 가계부'!A303&gt;=19000101,'월 가계부'!A303&lt;=21001231),IF(AND(MOD(INT('월 가계부'!A303/100),100)&gt;=1,MOD(INT('월 가계부'!A303/100),100)&lt;=12,MOD(INT('월 가계부'!A303),100)&gt;=1,MOD(INT('월 가계부'!A303),100)&lt;=31),IF(MONTH(DATE(INT('월 가계부'!A303/10000),MOD(INT('월 가계부'!A303/100),100),MOD(INT('월 가계부'!A303),100)))=MOD(INT('월 가계부'!A303/100),100),DATE(INT('월 가계부'!A303/10000),MOD(INT('월 가계부'!A303/100),100),MOD(INT('월 가계부'!A303),100)),""),""),IF(AND('월 가계부'!A303&gt;=36526,'월 가계부'!A303&lt;73051),INT('월 가계부'!A303),"")),IF(OR(CM303="",CN303="",CO303=""),"",IF(AND(CM303&gt;=2000,CM303&lt;=2099,CN303&gt;=1,CN303&lt;=12,CO303&gt;=1,CO303&lt;=31),IF(MONTH(DATE(CM303,CN303,CO303))=CN303,DATE(CM303,CN303,CO303),""),"")))),"")</f>
        <v/>
      </c>
      <c r="CJ303">
        <f>IFERROR(IF('월 가계부'!C303="","",IF(ISNUMBER('월 가계부'!C303),'월 가계부'!C303,VALUE(SUBSTITUTE(SUBSTITUTE(SUBSTITUTE(SUBSTITUTE(TRIM('월 가계부'!C303),",",""),"원","")," ",""),"−","-")))),"")</f>
        <v/>
      </c>
      <c r="CK303">
        <f>IF(ISNUMBER(CI303),IF(CI303&lt;$B$13,CI303,""),"")</f>
        <v/>
      </c>
      <c r="CM303">
        <f>IF(CH303="","",IFERROR(IF(IF(AND(LEN(CH303)=9,ISERROR(FIND("-",LEFT(CH303,8))),ISNUMBER(-LEFT(CH303,8))),VALUE(LEFT(CH303,4)),VALUE(LEFT(CH303,FIND("-",CH303)-1)))&lt;100,IF(AND(LEN(CH303)=9,ISERROR(FIND("-",LEFT(CH303,8))),ISNUMBER(-LEFT(CH303,8))),VALUE(LEFT(CH303,4)),VALUE(LEFT(CH303,FIND("-",CH303)-1)))+2000,IF(AND(LEN(CH303)=9,ISERROR(FIND("-",LEFT(CH303,8))),ISNUMBER(-LEFT(CH303,8))),VALUE(LEFT(CH303,4)),VALUE(LEFT(CH303,FIND("-",CH303)-1)))),""))</f>
        <v/>
      </c>
      <c r="CN303">
        <f>IF(CH303="","",IFERROR(IF(AND(LEN(CH303)=9,ISERROR(FIND("-",LEFT(CH303,8))),ISNUMBER(-LEFT(CH303,8))),VALUE(MID(CH303,5,2)),VALUE(MID(CH303,FIND("-",CH303)+1,FIND("-",CH303,FIND("-",CH303)+1)-FIND("-",CH303)-1))),""))</f>
        <v/>
      </c>
      <c r="CO303">
        <f>IF(CH303="","",IFERROR(IF(AND(LEN(CH303)=9,ISERROR(FIND("-",LEFT(CH303,8))),ISNUMBER(-LEFT(CH303,8))),VALUE(MID(CH303,7,2)),VALUE(MID(CH303,FIND("-",CH303,FIND("-",CH303)+1)+1,FIND("-",CH303,FIND("-",CH303,FIND("-",CH303)+1)+1)-FIND("-",CH303,FIND("-",CH303)+1)-1))),""))</f>
        <v/>
      </c>
    </row>
    <row r="304">
      <c r="CH304">
        <f>IF(ISTEXT('월 가계부'!A304),SUBSTITUTE(SUBSTITUTE(SUBSTITUTE(SUBSTITUTE(SUBSTITUTE(SUBSTITUTE(SUBSTITUTE(SUBSTITUTE(SUBSTITUTE(TRIM('월 가계부'!A304),"년","-"),"월","-"),"일",""),".","-"),"/","-")," ","-"),"--","-"),"--","-"),"--","-")&amp;"-","")</f>
        <v/>
      </c>
      <c r="CI304">
        <f>IFERROR(IF('월 가계부'!A304="","",IF(ISNUMBER('월 가계부'!A304),IF(AND('월 가계부'!A304&gt;=19000101,'월 가계부'!A304&lt;=21001231),IF(AND(MOD(INT('월 가계부'!A304/100),100)&gt;=1,MOD(INT('월 가계부'!A304/100),100)&lt;=12,MOD(INT('월 가계부'!A304),100)&gt;=1,MOD(INT('월 가계부'!A304),100)&lt;=31),IF(MONTH(DATE(INT('월 가계부'!A304/10000),MOD(INT('월 가계부'!A304/100),100),MOD(INT('월 가계부'!A304),100)))=MOD(INT('월 가계부'!A304/100),100),DATE(INT('월 가계부'!A304/10000),MOD(INT('월 가계부'!A304/100),100),MOD(INT('월 가계부'!A304),100)),""),""),IF(AND('월 가계부'!A304&gt;=36526,'월 가계부'!A304&lt;73051),INT('월 가계부'!A304),"")),IF(OR(CM304="",CN304="",CO304=""),"",IF(AND(CM304&gt;=2000,CM304&lt;=2099,CN304&gt;=1,CN304&lt;=12,CO304&gt;=1,CO304&lt;=31),IF(MONTH(DATE(CM304,CN304,CO304))=CN304,DATE(CM304,CN304,CO304),""),"")))),"")</f>
        <v/>
      </c>
      <c r="CJ304">
        <f>IFERROR(IF('월 가계부'!C304="","",IF(ISNUMBER('월 가계부'!C304),'월 가계부'!C304,VALUE(SUBSTITUTE(SUBSTITUTE(SUBSTITUTE(SUBSTITUTE(TRIM('월 가계부'!C304),",",""),"원","")," ",""),"−","-")))),"")</f>
        <v/>
      </c>
      <c r="CK304">
        <f>IF(ISNUMBER(CI304),IF(CI304&lt;$B$13,CI304,""),"")</f>
        <v/>
      </c>
      <c r="CM304">
        <f>IF(CH304="","",IFERROR(IF(IF(AND(LEN(CH304)=9,ISERROR(FIND("-",LEFT(CH304,8))),ISNUMBER(-LEFT(CH304,8))),VALUE(LEFT(CH304,4)),VALUE(LEFT(CH304,FIND("-",CH304)-1)))&lt;100,IF(AND(LEN(CH304)=9,ISERROR(FIND("-",LEFT(CH304,8))),ISNUMBER(-LEFT(CH304,8))),VALUE(LEFT(CH304,4)),VALUE(LEFT(CH304,FIND("-",CH304)-1)))+2000,IF(AND(LEN(CH304)=9,ISERROR(FIND("-",LEFT(CH304,8))),ISNUMBER(-LEFT(CH304,8))),VALUE(LEFT(CH304,4)),VALUE(LEFT(CH304,FIND("-",CH304)-1)))),""))</f>
        <v/>
      </c>
      <c r="CN304">
        <f>IF(CH304="","",IFERROR(IF(AND(LEN(CH304)=9,ISERROR(FIND("-",LEFT(CH304,8))),ISNUMBER(-LEFT(CH304,8))),VALUE(MID(CH304,5,2)),VALUE(MID(CH304,FIND("-",CH304)+1,FIND("-",CH304,FIND("-",CH304)+1)-FIND("-",CH304)-1))),""))</f>
        <v/>
      </c>
      <c r="CO304">
        <f>IF(CH304="","",IFERROR(IF(AND(LEN(CH304)=9,ISERROR(FIND("-",LEFT(CH304,8))),ISNUMBER(-LEFT(CH304,8))),VALUE(MID(CH304,7,2)),VALUE(MID(CH304,FIND("-",CH304,FIND("-",CH304)+1)+1,FIND("-",CH304,FIND("-",CH304,FIND("-",CH304)+1)+1)-FIND("-",CH304,FIND("-",CH304)+1)-1))),""))</f>
        <v/>
      </c>
    </row>
    <row r="305">
      <c r="CH305">
        <f>IF(ISTEXT('월 가계부'!A305),SUBSTITUTE(SUBSTITUTE(SUBSTITUTE(SUBSTITUTE(SUBSTITUTE(SUBSTITUTE(SUBSTITUTE(SUBSTITUTE(SUBSTITUTE(TRIM('월 가계부'!A305),"년","-"),"월","-"),"일",""),".","-"),"/","-")," ","-"),"--","-"),"--","-"),"--","-")&amp;"-","")</f>
        <v/>
      </c>
      <c r="CI305">
        <f>IFERROR(IF('월 가계부'!A305="","",IF(ISNUMBER('월 가계부'!A305),IF(AND('월 가계부'!A305&gt;=19000101,'월 가계부'!A305&lt;=21001231),IF(AND(MOD(INT('월 가계부'!A305/100),100)&gt;=1,MOD(INT('월 가계부'!A305/100),100)&lt;=12,MOD(INT('월 가계부'!A305),100)&gt;=1,MOD(INT('월 가계부'!A305),100)&lt;=31),IF(MONTH(DATE(INT('월 가계부'!A305/10000),MOD(INT('월 가계부'!A305/100),100),MOD(INT('월 가계부'!A305),100)))=MOD(INT('월 가계부'!A305/100),100),DATE(INT('월 가계부'!A305/10000),MOD(INT('월 가계부'!A305/100),100),MOD(INT('월 가계부'!A305),100)),""),""),IF(AND('월 가계부'!A305&gt;=36526,'월 가계부'!A305&lt;73051),INT('월 가계부'!A305),"")),IF(OR(CM305="",CN305="",CO305=""),"",IF(AND(CM305&gt;=2000,CM305&lt;=2099,CN305&gt;=1,CN305&lt;=12,CO305&gt;=1,CO305&lt;=31),IF(MONTH(DATE(CM305,CN305,CO305))=CN305,DATE(CM305,CN305,CO305),""),"")))),"")</f>
        <v/>
      </c>
      <c r="CJ305">
        <f>IFERROR(IF('월 가계부'!C305="","",IF(ISNUMBER('월 가계부'!C305),'월 가계부'!C305,VALUE(SUBSTITUTE(SUBSTITUTE(SUBSTITUTE(SUBSTITUTE(TRIM('월 가계부'!C305),",",""),"원","")," ",""),"−","-")))),"")</f>
        <v/>
      </c>
      <c r="CK305">
        <f>IF(ISNUMBER(CI305),IF(CI305&lt;$B$13,CI305,""),"")</f>
        <v/>
      </c>
      <c r="CM305">
        <f>IF(CH305="","",IFERROR(IF(IF(AND(LEN(CH305)=9,ISERROR(FIND("-",LEFT(CH305,8))),ISNUMBER(-LEFT(CH305,8))),VALUE(LEFT(CH305,4)),VALUE(LEFT(CH305,FIND("-",CH305)-1)))&lt;100,IF(AND(LEN(CH305)=9,ISERROR(FIND("-",LEFT(CH305,8))),ISNUMBER(-LEFT(CH305,8))),VALUE(LEFT(CH305,4)),VALUE(LEFT(CH305,FIND("-",CH305)-1)))+2000,IF(AND(LEN(CH305)=9,ISERROR(FIND("-",LEFT(CH305,8))),ISNUMBER(-LEFT(CH305,8))),VALUE(LEFT(CH305,4)),VALUE(LEFT(CH305,FIND("-",CH305)-1)))),""))</f>
        <v/>
      </c>
      <c r="CN305">
        <f>IF(CH305="","",IFERROR(IF(AND(LEN(CH305)=9,ISERROR(FIND("-",LEFT(CH305,8))),ISNUMBER(-LEFT(CH305,8))),VALUE(MID(CH305,5,2)),VALUE(MID(CH305,FIND("-",CH305)+1,FIND("-",CH305,FIND("-",CH305)+1)-FIND("-",CH305)-1))),""))</f>
        <v/>
      </c>
      <c r="CO305">
        <f>IF(CH305="","",IFERROR(IF(AND(LEN(CH305)=9,ISERROR(FIND("-",LEFT(CH305,8))),ISNUMBER(-LEFT(CH305,8))),VALUE(MID(CH305,7,2)),VALUE(MID(CH305,FIND("-",CH305,FIND("-",CH305)+1)+1,FIND("-",CH305,FIND("-",CH305,FIND("-",CH305)+1)+1)-FIND("-",CH305,FIND("-",CH305)+1)-1))),""))</f>
        <v/>
      </c>
    </row>
    <row r="306">
      <c r="CH306">
        <f>IF(ISTEXT('월 가계부'!A306),SUBSTITUTE(SUBSTITUTE(SUBSTITUTE(SUBSTITUTE(SUBSTITUTE(SUBSTITUTE(SUBSTITUTE(SUBSTITUTE(SUBSTITUTE(TRIM('월 가계부'!A306),"년","-"),"월","-"),"일",""),".","-"),"/","-")," ","-"),"--","-"),"--","-"),"--","-")&amp;"-","")</f>
        <v/>
      </c>
      <c r="CI306">
        <f>IFERROR(IF('월 가계부'!A306="","",IF(ISNUMBER('월 가계부'!A306),IF(AND('월 가계부'!A306&gt;=19000101,'월 가계부'!A306&lt;=21001231),IF(AND(MOD(INT('월 가계부'!A306/100),100)&gt;=1,MOD(INT('월 가계부'!A306/100),100)&lt;=12,MOD(INT('월 가계부'!A306),100)&gt;=1,MOD(INT('월 가계부'!A306),100)&lt;=31),IF(MONTH(DATE(INT('월 가계부'!A306/10000),MOD(INT('월 가계부'!A306/100),100),MOD(INT('월 가계부'!A306),100)))=MOD(INT('월 가계부'!A306/100),100),DATE(INT('월 가계부'!A306/10000),MOD(INT('월 가계부'!A306/100),100),MOD(INT('월 가계부'!A306),100)),""),""),IF(AND('월 가계부'!A306&gt;=36526,'월 가계부'!A306&lt;73051),INT('월 가계부'!A306),"")),IF(OR(CM306="",CN306="",CO306=""),"",IF(AND(CM306&gt;=2000,CM306&lt;=2099,CN306&gt;=1,CN306&lt;=12,CO306&gt;=1,CO306&lt;=31),IF(MONTH(DATE(CM306,CN306,CO306))=CN306,DATE(CM306,CN306,CO306),""),"")))),"")</f>
        <v/>
      </c>
      <c r="CJ306">
        <f>IFERROR(IF('월 가계부'!C306="","",IF(ISNUMBER('월 가계부'!C306),'월 가계부'!C306,VALUE(SUBSTITUTE(SUBSTITUTE(SUBSTITUTE(SUBSTITUTE(TRIM('월 가계부'!C306),",",""),"원","")," ",""),"−","-")))),"")</f>
        <v/>
      </c>
      <c r="CK306">
        <f>IF(ISNUMBER(CI306),IF(CI306&lt;$B$13,CI306,""),"")</f>
        <v/>
      </c>
      <c r="CM306">
        <f>IF(CH306="","",IFERROR(IF(IF(AND(LEN(CH306)=9,ISERROR(FIND("-",LEFT(CH306,8))),ISNUMBER(-LEFT(CH306,8))),VALUE(LEFT(CH306,4)),VALUE(LEFT(CH306,FIND("-",CH306)-1)))&lt;100,IF(AND(LEN(CH306)=9,ISERROR(FIND("-",LEFT(CH306,8))),ISNUMBER(-LEFT(CH306,8))),VALUE(LEFT(CH306,4)),VALUE(LEFT(CH306,FIND("-",CH306)-1)))+2000,IF(AND(LEN(CH306)=9,ISERROR(FIND("-",LEFT(CH306,8))),ISNUMBER(-LEFT(CH306,8))),VALUE(LEFT(CH306,4)),VALUE(LEFT(CH306,FIND("-",CH306)-1)))),""))</f>
        <v/>
      </c>
      <c r="CN306">
        <f>IF(CH306="","",IFERROR(IF(AND(LEN(CH306)=9,ISERROR(FIND("-",LEFT(CH306,8))),ISNUMBER(-LEFT(CH306,8))),VALUE(MID(CH306,5,2)),VALUE(MID(CH306,FIND("-",CH306)+1,FIND("-",CH306,FIND("-",CH306)+1)-FIND("-",CH306)-1))),""))</f>
        <v/>
      </c>
      <c r="CO306">
        <f>IF(CH306="","",IFERROR(IF(AND(LEN(CH306)=9,ISERROR(FIND("-",LEFT(CH306,8))),ISNUMBER(-LEFT(CH306,8))),VALUE(MID(CH306,7,2)),VALUE(MID(CH306,FIND("-",CH306,FIND("-",CH306)+1)+1,FIND("-",CH306,FIND("-",CH306,FIND("-",CH306)+1)+1)-FIND("-",CH306,FIND("-",CH306)+1)-1))),""))</f>
        <v/>
      </c>
    </row>
    <row r="307">
      <c r="CH307">
        <f>IF(ISTEXT('월 가계부'!A307),SUBSTITUTE(SUBSTITUTE(SUBSTITUTE(SUBSTITUTE(SUBSTITUTE(SUBSTITUTE(SUBSTITUTE(SUBSTITUTE(SUBSTITUTE(TRIM('월 가계부'!A307),"년","-"),"월","-"),"일",""),".","-"),"/","-")," ","-"),"--","-"),"--","-"),"--","-")&amp;"-","")</f>
        <v/>
      </c>
      <c r="CI307">
        <f>IFERROR(IF('월 가계부'!A307="","",IF(ISNUMBER('월 가계부'!A307),IF(AND('월 가계부'!A307&gt;=19000101,'월 가계부'!A307&lt;=21001231),IF(AND(MOD(INT('월 가계부'!A307/100),100)&gt;=1,MOD(INT('월 가계부'!A307/100),100)&lt;=12,MOD(INT('월 가계부'!A307),100)&gt;=1,MOD(INT('월 가계부'!A307),100)&lt;=31),IF(MONTH(DATE(INT('월 가계부'!A307/10000),MOD(INT('월 가계부'!A307/100),100),MOD(INT('월 가계부'!A307),100)))=MOD(INT('월 가계부'!A307/100),100),DATE(INT('월 가계부'!A307/10000),MOD(INT('월 가계부'!A307/100),100),MOD(INT('월 가계부'!A307),100)),""),""),IF(AND('월 가계부'!A307&gt;=36526,'월 가계부'!A307&lt;73051),INT('월 가계부'!A307),"")),IF(OR(CM307="",CN307="",CO307=""),"",IF(AND(CM307&gt;=2000,CM307&lt;=2099,CN307&gt;=1,CN307&lt;=12,CO307&gt;=1,CO307&lt;=31),IF(MONTH(DATE(CM307,CN307,CO307))=CN307,DATE(CM307,CN307,CO307),""),"")))),"")</f>
        <v/>
      </c>
      <c r="CJ307">
        <f>IFERROR(IF('월 가계부'!C307="","",IF(ISNUMBER('월 가계부'!C307),'월 가계부'!C307,VALUE(SUBSTITUTE(SUBSTITUTE(SUBSTITUTE(SUBSTITUTE(TRIM('월 가계부'!C307),",",""),"원","")," ",""),"−","-")))),"")</f>
        <v/>
      </c>
      <c r="CK307">
        <f>IF(ISNUMBER(CI307),IF(CI307&lt;$B$13,CI307,""),"")</f>
        <v/>
      </c>
      <c r="CM307">
        <f>IF(CH307="","",IFERROR(IF(IF(AND(LEN(CH307)=9,ISERROR(FIND("-",LEFT(CH307,8))),ISNUMBER(-LEFT(CH307,8))),VALUE(LEFT(CH307,4)),VALUE(LEFT(CH307,FIND("-",CH307)-1)))&lt;100,IF(AND(LEN(CH307)=9,ISERROR(FIND("-",LEFT(CH307,8))),ISNUMBER(-LEFT(CH307,8))),VALUE(LEFT(CH307,4)),VALUE(LEFT(CH307,FIND("-",CH307)-1)))+2000,IF(AND(LEN(CH307)=9,ISERROR(FIND("-",LEFT(CH307,8))),ISNUMBER(-LEFT(CH307,8))),VALUE(LEFT(CH307,4)),VALUE(LEFT(CH307,FIND("-",CH307)-1)))),""))</f>
        <v/>
      </c>
      <c r="CN307">
        <f>IF(CH307="","",IFERROR(IF(AND(LEN(CH307)=9,ISERROR(FIND("-",LEFT(CH307,8))),ISNUMBER(-LEFT(CH307,8))),VALUE(MID(CH307,5,2)),VALUE(MID(CH307,FIND("-",CH307)+1,FIND("-",CH307,FIND("-",CH307)+1)-FIND("-",CH307)-1))),""))</f>
        <v/>
      </c>
      <c r="CO307">
        <f>IF(CH307="","",IFERROR(IF(AND(LEN(CH307)=9,ISERROR(FIND("-",LEFT(CH307,8))),ISNUMBER(-LEFT(CH307,8))),VALUE(MID(CH307,7,2)),VALUE(MID(CH307,FIND("-",CH307,FIND("-",CH307)+1)+1,FIND("-",CH307,FIND("-",CH307,FIND("-",CH307)+1)+1)-FIND("-",CH307,FIND("-",CH307)+1)-1))),""))</f>
        <v/>
      </c>
    </row>
    <row r="308">
      <c r="CH308">
        <f>IF(ISTEXT('월 가계부'!A308),SUBSTITUTE(SUBSTITUTE(SUBSTITUTE(SUBSTITUTE(SUBSTITUTE(SUBSTITUTE(SUBSTITUTE(SUBSTITUTE(SUBSTITUTE(TRIM('월 가계부'!A308),"년","-"),"월","-"),"일",""),".","-"),"/","-")," ","-"),"--","-"),"--","-"),"--","-")&amp;"-","")</f>
        <v/>
      </c>
      <c r="CI308">
        <f>IFERROR(IF('월 가계부'!A308="","",IF(ISNUMBER('월 가계부'!A308),IF(AND('월 가계부'!A308&gt;=19000101,'월 가계부'!A308&lt;=21001231),IF(AND(MOD(INT('월 가계부'!A308/100),100)&gt;=1,MOD(INT('월 가계부'!A308/100),100)&lt;=12,MOD(INT('월 가계부'!A308),100)&gt;=1,MOD(INT('월 가계부'!A308),100)&lt;=31),IF(MONTH(DATE(INT('월 가계부'!A308/10000),MOD(INT('월 가계부'!A308/100),100),MOD(INT('월 가계부'!A308),100)))=MOD(INT('월 가계부'!A308/100),100),DATE(INT('월 가계부'!A308/10000),MOD(INT('월 가계부'!A308/100),100),MOD(INT('월 가계부'!A308),100)),""),""),IF(AND('월 가계부'!A308&gt;=36526,'월 가계부'!A308&lt;73051),INT('월 가계부'!A308),"")),IF(OR(CM308="",CN308="",CO308=""),"",IF(AND(CM308&gt;=2000,CM308&lt;=2099,CN308&gt;=1,CN308&lt;=12,CO308&gt;=1,CO308&lt;=31),IF(MONTH(DATE(CM308,CN308,CO308))=CN308,DATE(CM308,CN308,CO308),""),"")))),"")</f>
        <v/>
      </c>
      <c r="CJ308">
        <f>IFERROR(IF('월 가계부'!C308="","",IF(ISNUMBER('월 가계부'!C308),'월 가계부'!C308,VALUE(SUBSTITUTE(SUBSTITUTE(SUBSTITUTE(SUBSTITUTE(TRIM('월 가계부'!C308),",",""),"원","")," ",""),"−","-")))),"")</f>
        <v/>
      </c>
      <c r="CK308">
        <f>IF(ISNUMBER(CI308),IF(CI308&lt;$B$13,CI308,""),"")</f>
        <v/>
      </c>
      <c r="CM308">
        <f>IF(CH308="","",IFERROR(IF(IF(AND(LEN(CH308)=9,ISERROR(FIND("-",LEFT(CH308,8))),ISNUMBER(-LEFT(CH308,8))),VALUE(LEFT(CH308,4)),VALUE(LEFT(CH308,FIND("-",CH308)-1)))&lt;100,IF(AND(LEN(CH308)=9,ISERROR(FIND("-",LEFT(CH308,8))),ISNUMBER(-LEFT(CH308,8))),VALUE(LEFT(CH308,4)),VALUE(LEFT(CH308,FIND("-",CH308)-1)))+2000,IF(AND(LEN(CH308)=9,ISERROR(FIND("-",LEFT(CH308,8))),ISNUMBER(-LEFT(CH308,8))),VALUE(LEFT(CH308,4)),VALUE(LEFT(CH308,FIND("-",CH308)-1)))),""))</f>
        <v/>
      </c>
      <c r="CN308">
        <f>IF(CH308="","",IFERROR(IF(AND(LEN(CH308)=9,ISERROR(FIND("-",LEFT(CH308,8))),ISNUMBER(-LEFT(CH308,8))),VALUE(MID(CH308,5,2)),VALUE(MID(CH308,FIND("-",CH308)+1,FIND("-",CH308,FIND("-",CH308)+1)-FIND("-",CH308)-1))),""))</f>
        <v/>
      </c>
      <c r="CO308">
        <f>IF(CH308="","",IFERROR(IF(AND(LEN(CH308)=9,ISERROR(FIND("-",LEFT(CH308,8))),ISNUMBER(-LEFT(CH308,8))),VALUE(MID(CH308,7,2)),VALUE(MID(CH308,FIND("-",CH308,FIND("-",CH308)+1)+1,FIND("-",CH308,FIND("-",CH308,FIND("-",CH308)+1)+1)-FIND("-",CH308,FIND("-",CH308)+1)-1))),""))</f>
        <v/>
      </c>
    </row>
    <row r="309">
      <c r="CH309">
        <f>IF(ISTEXT('월 가계부'!A309),SUBSTITUTE(SUBSTITUTE(SUBSTITUTE(SUBSTITUTE(SUBSTITUTE(SUBSTITUTE(SUBSTITUTE(SUBSTITUTE(SUBSTITUTE(TRIM('월 가계부'!A309),"년","-"),"월","-"),"일",""),".","-"),"/","-")," ","-"),"--","-"),"--","-"),"--","-")&amp;"-","")</f>
        <v/>
      </c>
      <c r="CI309">
        <f>IFERROR(IF('월 가계부'!A309="","",IF(ISNUMBER('월 가계부'!A309),IF(AND('월 가계부'!A309&gt;=19000101,'월 가계부'!A309&lt;=21001231),IF(AND(MOD(INT('월 가계부'!A309/100),100)&gt;=1,MOD(INT('월 가계부'!A309/100),100)&lt;=12,MOD(INT('월 가계부'!A309),100)&gt;=1,MOD(INT('월 가계부'!A309),100)&lt;=31),IF(MONTH(DATE(INT('월 가계부'!A309/10000),MOD(INT('월 가계부'!A309/100),100),MOD(INT('월 가계부'!A309),100)))=MOD(INT('월 가계부'!A309/100),100),DATE(INT('월 가계부'!A309/10000),MOD(INT('월 가계부'!A309/100),100),MOD(INT('월 가계부'!A309),100)),""),""),IF(AND('월 가계부'!A309&gt;=36526,'월 가계부'!A309&lt;73051),INT('월 가계부'!A309),"")),IF(OR(CM309="",CN309="",CO309=""),"",IF(AND(CM309&gt;=2000,CM309&lt;=2099,CN309&gt;=1,CN309&lt;=12,CO309&gt;=1,CO309&lt;=31),IF(MONTH(DATE(CM309,CN309,CO309))=CN309,DATE(CM309,CN309,CO309),""),"")))),"")</f>
        <v/>
      </c>
      <c r="CJ309">
        <f>IFERROR(IF('월 가계부'!C309="","",IF(ISNUMBER('월 가계부'!C309),'월 가계부'!C309,VALUE(SUBSTITUTE(SUBSTITUTE(SUBSTITUTE(SUBSTITUTE(TRIM('월 가계부'!C309),",",""),"원","")," ",""),"−","-")))),"")</f>
        <v/>
      </c>
      <c r="CK309">
        <f>IF(ISNUMBER(CI309),IF(CI309&lt;$B$13,CI309,""),"")</f>
        <v/>
      </c>
      <c r="CM309">
        <f>IF(CH309="","",IFERROR(IF(IF(AND(LEN(CH309)=9,ISERROR(FIND("-",LEFT(CH309,8))),ISNUMBER(-LEFT(CH309,8))),VALUE(LEFT(CH309,4)),VALUE(LEFT(CH309,FIND("-",CH309)-1)))&lt;100,IF(AND(LEN(CH309)=9,ISERROR(FIND("-",LEFT(CH309,8))),ISNUMBER(-LEFT(CH309,8))),VALUE(LEFT(CH309,4)),VALUE(LEFT(CH309,FIND("-",CH309)-1)))+2000,IF(AND(LEN(CH309)=9,ISERROR(FIND("-",LEFT(CH309,8))),ISNUMBER(-LEFT(CH309,8))),VALUE(LEFT(CH309,4)),VALUE(LEFT(CH309,FIND("-",CH309)-1)))),""))</f>
        <v/>
      </c>
      <c r="CN309">
        <f>IF(CH309="","",IFERROR(IF(AND(LEN(CH309)=9,ISERROR(FIND("-",LEFT(CH309,8))),ISNUMBER(-LEFT(CH309,8))),VALUE(MID(CH309,5,2)),VALUE(MID(CH309,FIND("-",CH309)+1,FIND("-",CH309,FIND("-",CH309)+1)-FIND("-",CH309)-1))),""))</f>
        <v/>
      </c>
      <c r="CO309">
        <f>IF(CH309="","",IFERROR(IF(AND(LEN(CH309)=9,ISERROR(FIND("-",LEFT(CH309,8))),ISNUMBER(-LEFT(CH309,8))),VALUE(MID(CH309,7,2)),VALUE(MID(CH309,FIND("-",CH309,FIND("-",CH309)+1)+1,FIND("-",CH309,FIND("-",CH309,FIND("-",CH309)+1)+1)-FIND("-",CH309,FIND("-",CH309)+1)-1))),""))</f>
        <v/>
      </c>
    </row>
    <row r="310">
      <c r="CH310">
        <f>IF(ISTEXT('월 가계부'!A310),SUBSTITUTE(SUBSTITUTE(SUBSTITUTE(SUBSTITUTE(SUBSTITUTE(SUBSTITUTE(SUBSTITUTE(SUBSTITUTE(SUBSTITUTE(TRIM('월 가계부'!A310),"년","-"),"월","-"),"일",""),".","-"),"/","-")," ","-"),"--","-"),"--","-"),"--","-")&amp;"-","")</f>
        <v/>
      </c>
      <c r="CI310">
        <f>IFERROR(IF('월 가계부'!A310="","",IF(ISNUMBER('월 가계부'!A310),IF(AND('월 가계부'!A310&gt;=19000101,'월 가계부'!A310&lt;=21001231),IF(AND(MOD(INT('월 가계부'!A310/100),100)&gt;=1,MOD(INT('월 가계부'!A310/100),100)&lt;=12,MOD(INT('월 가계부'!A310),100)&gt;=1,MOD(INT('월 가계부'!A310),100)&lt;=31),IF(MONTH(DATE(INT('월 가계부'!A310/10000),MOD(INT('월 가계부'!A310/100),100),MOD(INT('월 가계부'!A310),100)))=MOD(INT('월 가계부'!A310/100),100),DATE(INT('월 가계부'!A310/10000),MOD(INT('월 가계부'!A310/100),100),MOD(INT('월 가계부'!A310),100)),""),""),IF(AND('월 가계부'!A310&gt;=36526,'월 가계부'!A310&lt;73051),INT('월 가계부'!A310),"")),IF(OR(CM310="",CN310="",CO310=""),"",IF(AND(CM310&gt;=2000,CM310&lt;=2099,CN310&gt;=1,CN310&lt;=12,CO310&gt;=1,CO310&lt;=31),IF(MONTH(DATE(CM310,CN310,CO310))=CN310,DATE(CM310,CN310,CO310),""),"")))),"")</f>
        <v/>
      </c>
      <c r="CJ310">
        <f>IFERROR(IF('월 가계부'!C310="","",IF(ISNUMBER('월 가계부'!C310),'월 가계부'!C310,VALUE(SUBSTITUTE(SUBSTITUTE(SUBSTITUTE(SUBSTITUTE(TRIM('월 가계부'!C310),",",""),"원","")," ",""),"−","-")))),"")</f>
        <v/>
      </c>
      <c r="CK310">
        <f>IF(ISNUMBER(CI310),IF(CI310&lt;$B$13,CI310,""),"")</f>
        <v/>
      </c>
      <c r="CM310">
        <f>IF(CH310="","",IFERROR(IF(IF(AND(LEN(CH310)=9,ISERROR(FIND("-",LEFT(CH310,8))),ISNUMBER(-LEFT(CH310,8))),VALUE(LEFT(CH310,4)),VALUE(LEFT(CH310,FIND("-",CH310)-1)))&lt;100,IF(AND(LEN(CH310)=9,ISERROR(FIND("-",LEFT(CH310,8))),ISNUMBER(-LEFT(CH310,8))),VALUE(LEFT(CH310,4)),VALUE(LEFT(CH310,FIND("-",CH310)-1)))+2000,IF(AND(LEN(CH310)=9,ISERROR(FIND("-",LEFT(CH310,8))),ISNUMBER(-LEFT(CH310,8))),VALUE(LEFT(CH310,4)),VALUE(LEFT(CH310,FIND("-",CH310)-1)))),""))</f>
        <v/>
      </c>
      <c r="CN310">
        <f>IF(CH310="","",IFERROR(IF(AND(LEN(CH310)=9,ISERROR(FIND("-",LEFT(CH310,8))),ISNUMBER(-LEFT(CH310,8))),VALUE(MID(CH310,5,2)),VALUE(MID(CH310,FIND("-",CH310)+1,FIND("-",CH310,FIND("-",CH310)+1)-FIND("-",CH310)-1))),""))</f>
        <v/>
      </c>
      <c r="CO310">
        <f>IF(CH310="","",IFERROR(IF(AND(LEN(CH310)=9,ISERROR(FIND("-",LEFT(CH310,8))),ISNUMBER(-LEFT(CH310,8))),VALUE(MID(CH310,7,2)),VALUE(MID(CH310,FIND("-",CH310,FIND("-",CH310)+1)+1,FIND("-",CH310,FIND("-",CH310,FIND("-",CH310)+1)+1)-FIND("-",CH310,FIND("-",CH310)+1)-1))),""))</f>
        <v/>
      </c>
    </row>
    <row r="311">
      <c r="CH311">
        <f>IF(ISTEXT('월 가계부'!A311),SUBSTITUTE(SUBSTITUTE(SUBSTITUTE(SUBSTITUTE(SUBSTITUTE(SUBSTITUTE(SUBSTITUTE(SUBSTITUTE(SUBSTITUTE(TRIM('월 가계부'!A311),"년","-"),"월","-"),"일",""),".","-"),"/","-")," ","-"),"--","-"),"--","-"),"--","-")&amp;"-","")</f>
        <v/>
      </c>
      <c r="CI311">
        <f>IFERROR(IF('월 가계부'!A311="","",IF(ISNUMBER('월 가계부'!A311),IF(AND('월 가계부'!A311&gt;=19000101,'월 가계부'!A311&lt;=21001231),IF(AND(MOD(INT('월 가계부'!A311/100),100)&gt;=1,MOD(INT('월 가계부'!A311/100),100)&lt;=12,MOD(INT('월 가계부'!A311),100)&gt;=1,MOD(INT('월 가계부'!A311),100)&lt;=31),IF(MONTH(DATE(INT('월 가계부'!A311/10000),MOD(INT('월 가계부'!A311/100),100),MOD(INT('월 가계부'!A311),100)))=MOD(INT('월 가계부'!A311/100),100),DATE(INT('월 가계부'!A311/10000),MOD(INT('월 가계부'!A311/100),100),MOD(INT('월 가계부'!A311),100)),""),""),IF(AND('월 가계부'!A311&gt;=36526,'월 가계부'!A311&lt;73051),INT('월 가계부'!A311),"")),IF(OR(CM311="",CN311="",CO311=""),"",IF(AND(CM311&gt;=2000,CM311&lt;=2099,CN311&gt;=1,CN311&lt;=12,CO311&gt;=1,CO311&lt;=31),IF(MONTH(DATE(CM311,CN311,CO311))=CN311,DATE(CM311,CN311,CO311),""),"")))),"")</f>
        <v/>
      </c>
      <c r="CJ311">
        <f>IFERROR(IF('월 가계부'!C311="","",IF(ISNUMBER('월 가계부'!C311),'월 가계부'!C311,VALUE(SUBSTITUTE(SUBSTITUTE(SUBSTITUTE(SUBSTITUTE(TRIM('월 가계부'!C311),",",""),"원","")," ",""),"−","-")))),"")</f>
        <v/>
      </c>
      <c r="CK311">
        <f>IF(ISNUMBER(CI311),IF(CI311&lt;$B$13,CI311,""),"")</f>
        <v/>
      </c>
      <c r="CM311">
        <f>IF(CH311="","",IFERROR(IF(IF(AND(LEN(CH311)=9,ISERROR(FIND("-",LEFT(CH311,8))),ISNUMBER(-LEFT(CH311,8))),VALUE(LEFT(CH311,4)),VALUE(LEFT(CH311,FIND("-",CH311)-1)))&lt;100,IF(AND(LEN(CH311)=9,ISERROR(FIND("-",LEFT(CH311,8))),ISNUMBER(-LEFT(CH311,8))),VALUE(LEFT(CH311,4)),VALUE(LEFT(CH311,FIND("-",CH311)-1)))+2000,IF(AND(LEN(CH311)=9,ISERROR(FIND("-",LEFT(CH311,8))),ISNUMBER(-LEFT(CH311,8))),VALUE(LEFT(CH311,4)),VALUE(LEFT(CH311,FIND("-",CH311)-1)))),""))</f>
        <v/>
      </c>
      <c r="CN311">
        <f>IF(CH311="","",IFERROR(IF(AND(LEN(CH311)=9,ISERROR(FIND("-",LEFT(CH311,8))),ISNUMBER(-LEFT(CH311,8))),VALUE(MID(CH311,5,2)),VALUE(MID(CH311,FIND("-",CH311)+1,FIND("-",CH311,FIND("-",CH311)+1)-FIND("-",CH311)-1))),""))</f>
        <v/>
      </c>
      <c r="CO311">
        <f>IF(CH311="","",IFERROR(IF(AND(LEN(CH311)=9,ISERROR(FIND("-",LEFT(CH311,8))),ISNUMBER(-LEFT(CH311,8))),VALUE(MID(CH311,7,2)),VALUE(MID(CH311,FIND("-",CH311,FIND("-",CH311)+1)+1,FIND("-",CH311,FIND("-",CH311,FIND("-",CH311)+1)+1)-FIND("-",CH311,FIND("-",CH311)+1)-1))),""))</f>
        <v/>
      </c>
    </row>
    <row r="312">
      <c r="CH312">
        <f>IF(ISTEXT('월 가계부'!A312),SUBSTITUTE(SUBSTITUTE(SUBSTITUTE(SUBSTITUTE(SUBSTITUTE(SUBSTITUTE(SUBSTITUTE(SUBSTITUTE(SUBSTITUTE(TRIM('월 가계부'!A312),"년","-"),"월","-"),"일",""),".","-"),"/","-")," ","-"),"--","-"),"--","-"),"--","-")&amp;"-","")</f>
        <v/>
      </c>
      <c r="CI312">
        <f>IFERROR(IF('월 가계부'!A312="","",IF(ISNUMBER('월 가계부'!A312),IF(AND('월 가계부'!A312&gt;=19000101,'월 가계부'!A312&lt;=21001231),IF(AND(MOD(INT('월 가계부'!A312/100),100)&gt;=1,MOD(INT('월 가계부'!A312/100),100)&lt;=12,MOD(INT('월 가계부'!A312),100)&gt;=1,MOD(INT('월 가계부'!A312),100)&lt;=31),IF(MONTH(DATE(INT('월 가계부'!A312/10000),MOD(INT('월 가계부'!A312/100),100),MOD(INT('월 가계부'!A312),100)))=MOD(INT('월 가계부'!A312/100),100),DATE(INT('월 가계부'!A312/10000),MOD(INT('월 가계부'!A312/100),100),MOD(INT('월 가계부'!A312),100)),""),""),IF(AND('월 가계부'!A312&gt;=36526,'월 가계부'!A312&lt;73051),INT('월 가계부'!A312),"")),IF(OR(CM312="",CN312="",CO312=""),"",IF(AND(CM312&gt;=2000,CM312&lt;=2099,CN312&gt;=1,CN312&lt;=12,CO312&gt;=1,CO312&lt;=31),IF(MONTH(DATE(CM312,CN312,CO312))=CN312,DATE(CM312,CN312,CO312),""),"")))),"")</f>
        <v/>
      </c>
      <c r="CJ312">
        <f>IFERROR(IF('월 가계부'!C312="","",IF(ISNUMBER('월 가계부'!C312),'월 가계부'!C312,VALUE(SUBSTITUTE(SUBSTITUTE(SUBSTITUTE(SUBSTITUTE(TRIM('월 가계부'!C312),",",""),"원","")," ",""),"−","-")))),"")</f>
        <v/>
      </c>
      <c r="CK312">
        <f>IF(ISNUMBER(CI312),IF(CI312&lt;$B$13,CI312,""),"")</f>
        <v/>
      </c>
      <c r="CM312">
        <f>IF(CH312="","",IFERROR(IF(IF(AND(LEN(CH312)=9,ISERROR(FIND("-",LEFT(CH312,8))),ISNUMBER(-LEFT(CH312,8))),VALUE(LEFT(CH312,4)),VALUE(LEFT(CH312,FIND("-",CH312)-1)))&lt;100,IF(AND(LEN(CH312)=9,ISERROR(FIND("-",LEFT(CH312,8))),ISNUMBER(-LEFT(CH312,8))),VALUE(LEFT(CH312,4)),VALUE(LEFT(CH312,FIND("-",CH312)-1)))+2000,IF(AND(LEN(CH312)=9,ISERROR(FIND("-",LEFT(CH312,8))),ISNUMBER(-LEFT(CH312,8))),VALUE(LEFT(CH312,4)),VALUE(LEFT(CH312,FIND("-",CH312)-1)))),""))</f>
        <v/>
      </c>
      <c r="CN312">
        <f>IF(CH312="","",IFERROR(IF(AND(LEN(CH312)=9,ISERROR(FIND("-",LEFT(CH312,8))),ISNUMBER(-LEFT(CH312,8))),VALUE(MID(CH312,5,2)),VALUE(MID(CH312,FIND("-",CH312)+1,FIND("-",CH312,FIND("-",CH312)+1)-FIND("-",CH312)-1))),""))</f>
        <v/>
      </c>
      <c r="CO312">
        <f>IF(CH312="","",IFERROR(IF(AND(LEN(CH312)=9,ISERROR(FIND("-",LEFT(CH312,8))),ISNUMBER(-LEFT(CH312,8))),VALUE(MID(CH312,7,2)),VALUE(MID(CH312,FIND("-",CH312,FIND("-",CH312)+1)+1,FIND("-",CH312,FIND("-",CH312,FIND("-",CH312)+1)+1)-FIND("-",CH312,FIND("-",CH312)+1)-1))),""))</f>
        <v/>
      </c>
    </row>
    <row r="313">
      <c r="CH313">
        <f>IF(ISTEXT('월 가계부'!A313),SUBSTITUTE(SUBSTITUTE(SUBSTITUTE(SUBSTITUTE(SUBSTITUTE(SUBSTITUTE(SUBSTITUTE(SUBSTITUTE(SUBSTITUTE(TRIM('월 가계부'!A313),"년","-"),"월","-"),"일",""),".","-"),"/","-")," ","-"),"--","-"),"--","-"),"--","-")&amp;"-","")</f>
        <v/>
      </c>
      <c r="CI313">
        <f>IFERROR(IF('월 가계부'!A313="","",IF(ISNUMBER('월 가계부'!A313),IF(AND('월 가계부'!A313&gt;=19000101,'월 가계부'!A313&lt;=21001231),IF(AND(MOD(INT('월 가계부'!A313/100),100)&gt;=1,MOD(INT('월 가계부'!A313/100),100)&lt;=12,MOD(INT('월 가계부'!A313),100)&gt;=1,MOD(INT('월 가계부'!A313),100)&lt;=31),IF(MONTH(DATE(INT('월 가계부'!A313/10000),MOD(INT('월 가계부'!A313/100),100),MOD(INT('월 가계부'!A313),100)))=MOD(INT('월 가계부'!A313/100),100),DATE(INT('월 가계부'!A313/10000),MOD(INT('월 가계부'!A313/100),100),MOD(INT('월 가계부'!A313),100)),""),""),IF(AND('월 가계부'!A313&gt;=36526,'월 가계부'!A313&lt;73051),INT('월 가계부'!A313),"")),IF(OR(CM313="",CN313="",CO313=""),"",IF(AND(CM313&gt;=2000,CM313&lt;=2099,CN313&gt;=1,CN313&lt;=12,CO313&gt;=1,CO313&lt;=31),IF(MONTH(DATE(CM313,CN313,CO313))=CN313,DATE(CM313,CN313,CO313),""),"")))),"")</f>
        <v/>
      </c>
      <c r="CJ313">
        <f>IFERROR(IF('월 가계부'!C313="","",IF(ISNUMBER('월 가계부'!C313),'월 가계부'!C313,VALUE(SUBSTITUTE(SUBSTITUTE(SUBSTITUTE(SUBSTITUTE(TRIM('월 가계부'!C313),",",""),"원","")," ",""),"−","-")))),"")</f>
        <v/>
      </c>
      <c r="CK313">
        <f>IF(ISNUMBER(CI313),IF(CI313&lt;$B$13,CI313,""),"")</f>
        <v/>
      </c>
      <c r="CM313">
        <f>IF(CH313="","",IFERROR(IF(IF(AND(LEN(CH313)=9,ISERROR(FIND("-",LEFT(CH313,8))),ISNUMBER(-LEFT(CH313,8))),VALUE(LEFT(CH313,4)),VALUE(LEFT(CH313,FIND("-",CH313)-1)))&lt;100,IF(AND(LEN(CH313)=9,ISERROR(FIND("-",LEFT(CH313,8))),ISNUMBER(-LEFT(CH313,8))),VALUE(LEFT(CH313,4)),VALUE(LEFT(CH313,FIND("-",CH313)-1)))+2000,IF(AND(LEN(CH313)=9,ISERROR(FIND("-",LEFT(CH313,8))),ISNUMBER(-LEFT(CH313,8))),VALUE(LEFT(CH313,4)),VALUE(LEFT(CH313,FIND("-",CH313)-1)))),""))</f>
        <v/>
      </c>
      <c r="CN313">
        <f>IF(CH313="","",IFERROR(IF(AND(LEN(CH313)=9,ISERROR(FIND("-",LEFT(CH313,8))),ISNUMBER(-LEFT(CH313,8))),VALUE(MID(CH313,5,2)),VALUE(MID(CH313,FIND("-",CH313)+1,FIND("-",CH313,FIND("-",CH313)+1)-FIND("-",CH313)-1))),""))</f>
        <v/>
      </c>
      <c r="CO313">
        <f>IF(CH313="","",IFERROR(IF(AND(LEN(CH313)=9,ISERROR(FIND("-",LEFT(CH313,8))),ISNUMBER(-LEFT(CH313,8))),VALUE(MID(CH313,7,2)),VALUE(MID(CH313,FIND("-",CH313,FIND("-",CH313)+1)+1,FIND("-",CH313,FIND("-",CH313,FIND("-",CH313)+1)+1)-FIND("-",CH313,FIND("-",CH313)+1)-1))),""))</f>
        <v/>
      </c>
    </row>
    <row r="314">
      <c r="CH314">
        <f>IF(ISTEXT('월 가계부'!A314),SUBSTITUTE(SUBSTITUTE(SUBSTITUTE(SUBSTITUTE(SUBSTITUTE(SUBSTITUTE(SUBSTITUTE(SUBSTITUTE(SUBSTITUTE(TRIM('월 가계부'!A314),"년","-"),"월","-"),"일",""),".","-"),"/","-")," ","-"),"--","-"),"--","-"),"--","-")&amp;"-","")</f>
        <v/>
      </c>
      <c r="CI314">
        <f>IFERROR(IF('월 가계부'!A314="","",IF(ISNUMBER('월 가계부'!A314),IF(AND('월 가계부'!A314&gt;=19000101,'월 가계부'!A314&lt;=21001231),IF(AND(MOD(INT('월 가계부'!A314/100),100)&gt;=1,MOD(INT('월 가계부'!A314/100),100)&lt;=12,MOD(INT('월 가계부'!A314),100)&gt;=1,MOD(INT('월 가계부'!A314),100)&lt;=31),IF(MONTH(DATE(INT('월 가계부'!A314/10000),MOD(INT('월 가계부'!A314/100),100),MOD(INT('월 가계부'!A314),100)))=MOD(INT('월 가계부'!A314/100),100),DATE(INT('월 가계부'!A314/10000),MOD(INT('월 가계부'!A314/100),100),MOD(INT('월 가계부'!A314),100)),""),""),IF(AND('월 가계부'!A314&gt;=36526,'월 가계부'!A314&lt;73051),INT('월 가계부'!A314),"")),IF(OR(CM314="",CN314="",CO314=""),"",IF(AND(CM314&gt;=2000,CM314&lt;=2099,CN314&gt;=1,CN314&lt;=12,CO314&gt;=1,CO314&lt;=31),IF(MONTH(DATE(CM314,CN314,CO314))=CN314,DATE(CM314,CN314,CO314),""),"")))),"")</f>
        <v/>
      </c>
      <c r="CJ314">
        <f>IFERROR(IF('월 가계부'!C314="","",IF(ISNUMBER('월 가계부'!C314),'월 가계부'!C314,VALUE(SUBSTITUTE(SUBSTITUTE(SUBSTITUTE(SUBSTITUTE(TRIM('월 가계부'!C314),",",""),"원","")," ",""),"−","-")))),"")</f>
        <v/>
      </c>
      <c r="CK314">
        <f>IF(ISNUMBER(CI314),IF(CI314&lt;$B$13,CI314,""),"")</f>
        <v/>
      </c>
      <c r="CM314">
        <f>IF(CH314="","",IFERROR(IF(IF(AND(LEN(CH314)=9,ISERROR(FIND("-",LEFT(CH314,8))),ISNUMBER(-LEFT(CH314,8))),VALUE(LEFT(CH314,4)),VALUE(LEFT(CH314,FIND("-",CH314)-1)))&lt;100,IF(AND(LEN(CH314)=9,ISERROR(FIND("-",LEFT(CH314,8))),ISNUMBER(-LEFT(CH314,8))),VALUE(LEFT(CH314,4)),VALUE(LEFT(CH314,FIND("-",CH314)-1)))+2000,IF(AND(LEN(CH314)=9,ISERROR(FIND("-",LEFT(CH314,8))),ISNUMBER(-LEFT(CH314,8))),VALUE(LEFT(CH314,4)),VALUE(LEFT(CH314,FIND("-",CH314)-1)))),""))</f>
        <v/>
      </c>
      <c r="CN314">
        <f>IF(CH314="","",IFERROR(IF(AND(LEN(CH314)=9,ISERROR(FIND("-",LEFT(CH314,8))),ISNUMBER(-LEFT(CH314,8))),VALUE(MID(CH314,5,2)),VALUE(MID(CH314,FIND("-",CH314)+1,FIND("-",CH314,FIND("-",CH314)+1)-FIND("-",CH314)-1))),""))</f>
        <v/>
      </c>
      <c r="CO314">
        <f>IF(CH314="","",IFERROR(IF(AND(LEN(CH314)=9,ISERROR(FIND("-",LEFT(CH314,8))),ISNUMBER(-LEFT(CH314,8))),VALUE(MID(CH314,7,2)),VALUE(MID(CH314,FIND("-",CH314,FIND("-",CH314)+1)+1,FIND("-",CH314,FIND("-",CH314,FIND("-",CH314)+1)+1)-FIND("-",CH314,FIND("-",CH314)+1)-1))),""))</f>
        <v/>
      </c>
    </row>
    <row r="315">
      <c r="CH315">
        <f>IF(ISTEXT('월 가계부'!A315),SUBSTITUTE(SUBSTITUTE(SUBSTITUTE(SUBSTITUTE(SUBSTITUTE(SUBSTITUTE(SUBSTITUTE(SUBSTITUTE(SUBSTITUTE(TRIM('월 가계부'!A315),"년","-"),"월","-"),"일",""),".","-"),"/","-")," ","-"),"--","-"),"--","-"),"--","-")&amp;"-","")</f>
        <v/>
      </c>
      <c r="CI315">
        <f>IFERROR(IF('월 가계부'!A315="","",IF(ISNUMBER('월 가계부'!A315),IF(AND('월 가계부'!A315&gt;=19000101,'월 가계부'!A315&lt;=21001231),IF(AND(MOD(INT('월 가계부'!A315/100),100)&gt;=1,MOD(INT('월 가계부'!A315/100),100)&lt;=12,MOD(INT('월 가계부'!A315),100)&gt;=1,MOD(INT('월 가계부'!A315),100)&lt;=31),IF(MONTH(DATE(INT('월 가계부'!A315/10000),MOD(INT('월 가계부'!A315/100),100),MOD(INT('월 가계부'!A315),100)))=MOD(INT('월 가계부'!A315/100),100),DATE(INT('월 가계부'!A315/10000),MOD(INT('월 가계부'!A315/100),100),MOD(INT('월 가계부'!A315),100)),""),""),IF(AND('월 가계부'!A315&gt;=36526,'월 가계부'!A315&lt;73051),INT('월 가계부'!A315),"")),IF(OR(CM315="",CN315="",CO315=""),"",IF(AND(CM315&gt;=2000,CM315&lt;=2099,CN315&gt;=1,CN315&lt;=12,CO315&gt;=1,CO315&lt;=31),IF(MONTH(DATE(CM315,CN315,CO315))=CN315,DATE(CM315,CN315,CO315),""),"")))),"")</f>
        <v/>
      </c>
      <c r="CJ315">
        <f>IFERROR(IF('월 가계부'!C315="","",IF(ISNUMBER('월 가계부'!C315),'월 가계부'!C315,VALUE(SUBSTITUTE(SUBSTITUTE(SUBSTITUTE(SUBSTITUTE(TRIM('월 가계부'!C315),",",""),"원","")," ",""),"−","-")))),"")</f>
        <v/>
      </c>
      <c r="CK315">
        <f>IF(ISNUMBER(CI315),IF(CI315&lt;$B$13,CI315,""),"")</f>
        <v/>
      </c>
      <c r="CM315">
        <f>IF(CH315="","",IFERROR(IF(IF(AND(LEN(CH315)=9,ISERROR(FIND("-",LEFT(CH315,8))),ISNUMBER(-LEFT(CH315,8))),VALUE(LEFT(CH315,4)),VALUE(LEFT(CH315,FIND("-",CH315)-1)))&lt;100,IF(AND(LEN(CH315)=9,ISERROR(FIND("-",LEFT(CH315,8))),ISNUMBER(-LEFT(CH315,8))),VALUE(LEFT(CH315,4)),VALUE(LEFT(CH315,FIND("-",CH315)-1)))+2000,IF(AND(LEN(CH315)=9,ISERROR(FIND("-",LEFT(CH315,8))),ISNUMBER(-LEFT(CH315,8))),VALUE(LEFT(CH315,4)),VALUE(LEFT(CH315,FIND("-",CH315)-1)))),""))</f>
        <v/>
      </c>
      <c r="CN315">
        <f>IF(CH315="","",IFERROR(IF(AND(LEN(CH315)=9,ISERROR(FIND("-",LEFT(CH315,8))),ISNUMBER(-LEFT(CH315,8))),VALUE(MID(CH315,5,2)),VALUE(MID(CH315,FIND("-",CH315)+1,FIND("-",CH315,FIND("-",CH315)+1)-FIND("-",CH315)-1))),""))</f>
        <v/>
      </c>
      <c r="CO315">
        <f>IF(CH315="","",IFERROR(IF(AND(LEN(CH315)=9,ISERROR(FIND("-",LEFT(CH315,8))),ISNUMBER(-LEFT(CH315,8))),VALUE(MID(CH315,7,2)),VALUE(MID(CH315,FIND("-",CH315,FIND("-",CH315)+1)+1,FIND("-",CH315,FIND("-",CH315,FIND("-",CH315)+1)+1)-FIND("-",CH315,FIND("-",CH315)+1)-1))),""))</f>
        <v/>
      </c>
    </row>
    <row r="316">
      <c r="CH316">
        <f>IF(ISTEXT('월 가계부'!A316),SUBSTITUTE(SUBSTITUTE(SUBSTITUTE(SUBSTITUTE(SUBSTITUTE(SUBSTITUTE(SUBSTITUTE(SUBSTITUTE(SUBSTITUTE(TRIM('월 가계부'!A316),"년","-"),"월","-"),"일",""),".","-"),"/","-")," ","-"),"--","-"),"--","-"),"--","-")&amp;"-","")</f>
        <v/>
      </c>
      <c r="CI316">
        <f>IFERROR(IF('월 가계부'!A316="","",IF(ISNUMBER('월 가계부'!A316),IF(AND('월 가계부'!A316&gt;=19000101,'월 가계부'!A316&lt;=21001231),IF(AND(MOD(INT('월 가계부'!A316/100),100)&gt;=1,MOD(INT('월 가계부'!A316/100),100)&lt;=12,MOD(INT('월 가계부'!A316),100)&gt;=1,MOD(INT('월 가계부'!A316),100)&lt;=31),IF(MONTH(DATE(INT('월 가계부'!A316/10000),MOD(INT('월 가계부'!A316/100),100),MOD(INT('월 가계부'!A316),100)))=MOD(INT('월 가계부'!A316/100),100),DATE(INT('월 가계부'!A316/10000),MOD(INT('월 가계부'!A316/100),100),MOD(INT('월 가계부'!A316),100)),""),""),IF(AND('월 가계부'!A316&gt;=36526,'월 가계부'!A316&lt;73051),INT('월 가계부'!A316),"")),IF(OR(CM316="",CN316="",CO316=""),"",IF(AND(CM316&gt;=2000,CM316&lt;=2099,CN316&gt;=1,CN316&lt;=12,CO316&gt;=1,CO316&lt;=31),IF(MONTH(DATE(CM316,CN316,CO316))=CN316,DATE(CM316,CN316,CO316),""),"")))),"")</f>
        <v/>
      </c>
      <c r="CJ316">
        <f>IFERROR(IF('월 가계부'!C316="","",IF(ISNUMBER('월 가계부'!C316),'월 가계부'!C316,VALUE(SUBSTITUTE(SUBSTITUTE(SUBSTITUTE(SUBSTITUTE(TRIM('월 가계부'!C316),",",""),"원","")," ",""),"−","-")))),"")</f>
        <v/>
      </c>
      <c r="CK316">
        <f>IF(ISNUMBER(CI316),IF(CI316&lt;$B$13,CI316,""),"")</f>
        <v/>
      </c>
      <c r="CM316">
        <f>IF(CH316="","",IFERROR(IF(IF(AND(LEN(CH316)=9,ISERROR(FIND("-",LEFT(CH316,8))),ISNUMBER(-LEFT(CH316,8))),VALUE(LEFT(CH316,4)),VALUE(LEFT(CH316,FIND("-",CH316)-1)))&lt;100,IF(AND(LEN(CH316)=9,ISERROR(FIND("-",LEFT(CH316,8))),ISNUMBER(-LEFT(CH316,8))),VALUE(LEFT(CH316,4)),VALUE(LEFT(CH316,FIND("-",CH316)-1)))+2000,IF(AND(LEN(CH316)=9,ISERROR(FIND("-",LEFT(CH316,8))),ISNUMBER(-LEFT(CH316,8))),VALUE(LEFT(CH316,4)),VALUE(LEFT(CH316,FIND("-",CH316)-1)))),""))</f>
        <v/>
      </c>
      <c r="CN316">
        <f>IF(CH316="","",IFERROR(IF(AND(LEN(CH316)=9,ISERROR(FIND("-",LEFT(CH316,8))),ISNUMBER(-LEFT(CH316,8))),VALUE(MID(CH316,5,2)),VALUE(MID(CH316,FIND("-",CH316)+1,FIND("-",CH316,FIND("-",CH316)+1)-FIND("-",CH316)-1))),""))</f>
        <v/>
      </c>
      <c r="CO316">
        <f>IF(CH316="","",IFERROR(IF(AND(LEN(CH316)=9,ISERROR(FIND("-",LEFT(CH316,8))),ISNUMBER(-LEFT(CH316,8))),VALUE(MID(CH316,7,2)),VALUE(MID(CH316,FIND("-",CH316,FIND("-",CH316)+1)+1,FIND("-",CH316,FIND("-",CH316,FIND("-",CH316)+1)+1)-FIND("-",CH316,FIND("-",CH316)+1)-1))),""))</f>
        <v/>
      </c>
    </row>
    <row r="317">
      <c r="CH317">
        <f>IF(ISTEXT('월 가계부'!A317),SUBSTITUTE(SUBSTITUTE(SUBSTITUTE(SUBSTITUTE(SUBSTITUTE(SUBSTITUTE(SUBSTITUTE(SUBSTITUTE(SUBSTITUTE(TRIM('월 가계부'!A317),"년","-"),"월","-"),"일",""),".","-"),"/","-")," ","-"),"--","-"),"--","-"),"--","-")&amp;"-","")</f>
        <v/>
      </c>
      <c r="CI317">
        <f>IFERROR(IF('월 가계부'!A317="","",IF(ISNUMBER('월 가계부'!A317),IF(AND('월 가계부'!A317&gt;=19000101,'월 가계부'!A317&lt;=21001231),IF(AND(MOD(INT('월 가계부'!A317/100),100)&gt;=1,MOD(INT('월 가계부'!A317/100),100)&lt;=12,MOD(INT('월 가계부'!A317),100)&gt;=1,MOD(INT('월 가계부'!A317),100)&lt;=31),IF(MONTH(DATE(INT('월 가계부'!A317/10000),MOD(INT('월 가계부'!A317/100),100),MOD(INT('월 가계부'!A317),100)))=MOD(INT('월 가계부'!A317/100),100),DATE(INT('월 가계부'!A317/10000),MOD(INT('월 가계부'!A317/100),100),MOD(INT('월 가계부'!A317),100)),""),""),IF(AND('월 가계부'!A317&gt;=36526,'월 가계부'!A317&lt;73051),INT('월 가계부'!A317),"")),IF(OR(CM317="",CN317="",CO317=""),"",IF(AND(CM317&gt;=2000,CM317&lt;=2099,CN317&gt;=1,CN317&lt;=12,CO317&gt;=1,CO317&lt;=31),IF(MONTH(DATE(CM317,CN317,CO317))=CN317,DATE(CM317,CN317,CO317),""),"")))),"")</f>
        <v/>
      </c>
      <c r="CJ317">
        <f>IFERROR(IF('월 가계부'!C317="","",IF(ISNUMBER('월 가계부'!C317),'월 가계부'!C317,VALUE(SUBSTITUTE(SUBSTITUTE(SUBSTITUTE(SUBSTITUTE(TRIM('월 가계부'!C317),",",""),"원","")," ",""),"−","-")))),"")</f>
        <v/>
      </c>
      <c r="CK317">
        <f>IF(ISNUMBER(CI317),IF(CI317&lt;$B$13,CI317,""),"")</f>
        <v/>
      </c>
      <c r="CM317">
        <f>IF(CH317="","",IFERROR(IF(IF(AND(LEN(CH317)=9,ISERROR(FIND("-",LEFT(CH317,8))),ISNUMBER(-LEFT(CH317,8))),VALUE(LEFT(CH317,4)),VALUE(LEFT(CH317,FIND("-",CH317)-1)))&lt;100,IF(AND(LEN(CH317)=9,ISERROR(FIND("-",LEFT(CH317,8))),ISNUMBER(-LEFT(CH317,8))),VALUE(LEFT(CH317,4)),VALUE(LEFT(CH317,FIND("-",CH317)-1)))+2000,IF(AND(LEN(CH317)=9,ISERROR(FIND("-",LEFT(CH317,8))),ISNUMBER(-LEFT(CH317,8))),VALUE(LEFT(CH317,4)),VALUE(LEFT(CH317,FIND("-",CH317)-1)))),""))</f>
        <v/>
      </c>
      <c r="CN317">
        <f>IF(CH317="","",IFERROR(IF(AND(LEN(CH317)=9,ISERROR(FIND("-",LEFT(CH317,8))),ISNUMBER(-LEFT(CH317,8))),VALUE(MID(CH317,5,2)),VALUE(MID(CH317,FIND("-",CH317)+1,FIND("-",CH317,FIND("-",CH317)+1)-FIND("-",CH317)-1))),""))</f>
        <v/>
      </c>
      <c r="CO317">
        <f>IF(CH317="","",IFERROR(IF(AND(LEN(CH317)=9,ISERROR(FIND("-",LEFT(CH317,8))),ISNUMBER(-LEFT(CH317,8))),VALUE(MID(CH317,7,2)),VALUE(MID(CH317,FIND("-",CH317,FIND("-",CH317)+1)+1,FIND("-",CH317,FIND("-",CH317,FIND("-",CH317)+1)+1)-FIND("-",CH317,FIND("-",CH317)+1)-1))),""))</f>
        <v/>
      </c>
    </row>
    <row r="318">
      <c r="CH318">
        <f>IF(ISTEXT('월 가계부'!A318),SUBSTITUTE(SUBSTITUTE(SUBSTITUTE(SUBSTITUTE(SUBSTITUTE(SUBSTITUTE(SUBSTITUTE(SUBSTITUTE(SUBSTITUTE(TRIM('월 가계부'!A318),"년","-"),"월","-"),"일",""),".","-"),"/","-")," ","-"),"--","-"),"--","-"),"--","-")&amp;"-","")</f>
        <v/>
      </c>
      <c r="CI318">
        <f>IFERROR(IF('월 가계부'!A318="","",IF(ISNUMBER('월 가계부'!A318),IF(AND('월 가계부'!A318&gt;=19000101,'월 가계부'!A318&lt;=21001231),IF(AND(MOD(INT('월 가계부'!A318/100),100)&gt;=1,MOD(INT('월 가계부'!A318/100),100)&lt;=12,MOD(INT('월 가계부'!A318),100)&gt;=1,MOD(INT('월 가계부'!A318),100)&lt;=31),IF(MONTH(DATE(INT('월 가계부'!A318/10000),MOD(INT('월 가계부'!A318/100),100),MOD(INT('월 가계부'!A318),100)))=MOD(INT('월 가계부'!A318/100),100),DATE(INT('월 가계부'!A318/10000),MOD(INT('월 가계부'!A318/100),100),MOD(INT('월 가계부'!A318),100)),""),""),IF(AND('월 가계부'!A318&gt;=36526,'월 가계부'!A318&lt;73051),INT('월 가계부'!A318),"")),IF(OR(CM318="",CN318="",CO318=""),"",IF(AND(CM318&gt;=2000,CM318&lt;=2099,CN318&gt;=1,CN318&lt;=12,CO318&gt;=1,CO318&lt;=31),IF(MONTH(DATE(CM318,CN318,CO318))=CN318,DATE(CM318,CN318,CO318),""),"")))),"")</f>
        <v/>
      </c>
      <c r="CJ318">
        <f>IFERROR(IF('월 가계부'!C318="","",IF(ISNUMBER('월 가계부'!C318),'월 가계부'!C318,VALUE(SUBSTITUTE(SUBSTITUTE(SUBSTITUTE(SUBSTITUTE(TRIM('월 가계부'!C318),",",""),"원","")," ",""),"−","-")))),"")</f>
        <v/>
      </c>
      <c r="CK318">
        <f>IF(ISNUMBER(CI318),IF(CI318&lt;$B$13,CI318,""),"")</f>
        <v/>
      </c>
      <c r="CM318">
        <f>IF(CH318="","",IFERROR(IF(IF(AND(LEN(CH318)=9,ISERROR(FIND("-",LEFT(CH318,8))),ISNUMBER(-LEFT(CH318,8))),VALUE(LEFT(CH318,4)),VALUE(LEFT(CH318,FIND("-",CH318)-1)))&lt;100,IF(AND(LEN(CH318)=9,ISERROR(FIND("-",LEFT(CH318,8))),ISNUMBER(-LEFT(CH318,8))),VALUE(LEFT(CH318,4)),VALUE(LEFT(CH318,FIND("-",CH318)-1)))+2000,IF(AND(LEN(CH318)=9,ISERROR(FIND("-",LEFT(CH318,8))),ISNUMBER(-LEFT(CH318,8))),VALUE(LEFT(CH318,4)),VALUE(LEFT(CH318,FIND("-",CH318)-1)))),""))</f>
        <v/>
      </c>
      <c r="CN318">
        <f>IF(CH318="","",IFERROR(IF(AND(LEN(CH318)=9,ISERROR(FIND("-",LEFT(CH318,8))),ISNUMBER(-LEFT(CH318,8))),VALUE(MID(CH318,5,2)),VALUE(MID(CH318,FIND("-",CH318)+1,FIND("-",CH318,FIND("-",CH318)+1)-FIND("-",CH318)-1))),""))</f>
        <v/>
      </c>
      <c r="CO318">
        <f>IF(CH318="","",IFERROR(IF(AND(LEN(CH318)=9,ISERROR(FIND("-",LEFT(CH318,8))),ISNUMBER(-LEFT(CH318,8))),VALUE(MID(CH318,7,2)),VALUE(MID(CH318,FIND("-",CH318,FIND("-",CH318)+1)+1,FIND("-",CH318,FIND("-",CH318,FIND("-",CH318)+1)+1)-FIND("-",CH318,FIND("-",CH318)+1)-1))),""))</f>
        <v/>
      </c>
    </row>
    <row r="319">
      <c r="CH319">
        <f>IF(ISTEXT('월 가계부'!A319),SUBSTITUTE(SUBSTITUTE(SUBSTITUTE(SUBSTITUTE(SUBSTITUTE(SUBSTITUTE(SUBSTITUTE(SUBSTITUTE(SUBSTITUTE(TRIM('월 가계부'!A319),"년","-"),"월","-"),"일",""),".","-"),"/","-")," ","-"),"--","-"),"--","-"),"--","-")&amp;"-","")</f>
        <v/>
      </c>
      <c r="CI319">
        <f>IFERROR(IF('월 가계부'!A319="","",IF(ISNUMBER('월 가계부'!A319),IF(AND('월 가계부'!A319&gt;=19000101,'월 가계부'!A319&lt;=21001231),IF(AND(MOD(INT('월 가계부'!A319/100),100)&gt;=1,MOD(INT('월 가계부'!A319/100),100)&lt;=12,MOD(INT('월 가계부'!A319),100)&gt;=1,MOD(INT('월 가계부'!A319),100)&lt;=31),IF(MONTH(DATE(INT('월 가계부'!A319/10000),MOD(INT('월 가계부'!A319/100),100),MOD(INT('월 가계부'!A319),100)))=MOD(INT('월 가계부'!A319/100),100),DATE(INT('월 가계부'!A319/10000),MOD(INT('월 가계부'!A319/100),100),MOD(INT('월 가계부'!A319),100)),""),""),IF(AND('월 가계부'!A319&gt;=36526,'월 가계부'!A319&lt;73051),INT('월 가계부'!A319),"")),IF(OR(CM319="",CN319="",CO319=""),"",IF(AND(CM319&gt;=2000,CM319&lt;=2099,CN319&gt;=1,CN319&lt;=12,CO319&gt;=1,CO319&lt;=31),IF(MONTH(DATE(CM319,CN319,CO319))=CN319,DATE(CM319,CN319,CO319),""),"")))),"")</f>
        <v/>
      </c>
      <c r="CJ319">
        <f>IFERROR(IF('월 가계부'!C319="","",IF(ISNUMBER('월 가계부'!C319),'월 가계부'!C319,VALUE(SUBSTITUTE(SUBSTITUTE(SUBSTITUTE(SUBSTITUTE(TRIM('월 가계부'!C319),",",""),"원","")," ",""),"−","-")))),"")</f>
        <v/>
      </c>
      <c r="CK319">
        <f>IF(ISNUMBER(CI319),IF(CI319&lt;$B$13,CI319,""),"")</f>
        <v/>
      </c>
      <c r="CM319">
        <f>IF(CH319="","",IFERROR(IF(IF(AND(LEN(CH319)=9,ISERROR(FIND("-",LEFT(CH319,8))),ISNUMBER(-LEFT(CH319,8))),VALUE(LEFT(CH319,4)),VALUE(LEFT(CH319,FIND("-",CH319)-1)))&lt;100,IF(AND(LEN(CH319)=9,ISERROR(FIND("-",LEFT(CH319,8))),ISNUMBER(-LEFT(CH319,8))),VALUE(LEFT(CH319,4)),VALUE(LEFT(CH319,FIND("-",CH319)-1)))+2000,IF(AND(LEN(CH319)=9,ISERROR(FIND("-",LEFT(CH319,8))),ISNUMBER(-LEFT(CH319,8))),VALUE(LEFT(CH319,4)),VALUE(LEFT(CH319,FIND("-",CH319)-1)))),""))</f>
        <v/>
      </c>
      <c r="CN319">
        <f>IF(CH319="","",IFERROR(IF(AND(LEN(CH319)=9,ISERROR(FIND("-",LEFT(CH319,8))),ISNUMBER(-LEFT(CH319,8))),VALUE(MID(CH319,5,2)),VALUE(MID(CH319,FIND("-",CH319)+1,FIND("-",CH319,FIND("-",CH319)+1)-FIND("-",CH319)-1))),""))</f>
        <v/>
      </c>
      <c r="CO319">
        <f>IF(CH319="","",IFERROR(IF(AND(LEN(CH319)=9,ISERROR(FIND("-",LEFT(CH319,8))),ISNUMBER(-LEFT(CH319,8))),VALUE(MID(CH319,7,2)),VALUE(MID(CH319,FIND("-",CH319,FIND("-",CH319)+1)+1,FIND("-",CH319,FIND("-",CH319,FIND("-",CH319)+1)+1)-FIND("-",CH319,FIND("-",CH319)+1)-1))),""))</f>
        <v/>
      </c>
    </row>
    <row r="320">
      <c r="CH320">
        <f>IF(ISTEXT('월 가계부'!A320),SUBSTITUTE(SUBSTITUTE(SUBSTITUTE(SUBSTITUTE(SUBSTITUTE(SUBSTITUTE(SUBSTITUTE(SUBSTITUTE(SUBSTITUTE(TRIM('월 가계부'!A320),"년","-"),"월","-"),"일",""),".","-"),"/","-")," ","-"),"--","-"),"--","-"),"--","-")&amp;"-","")</f>
        <v/>
      </c>
      <c r="CI320">
        <f>IFERROR(IF('월 가계부'!A320="","",IF(ISNUMBER('월 가계부'!A320),IF(AND('월 가계부'!A320&gt;=19000101,'월 가계부'!A320&lt;=21001231),IF(AND(MOD(INT('월 가계부'!A320/100),100)&gt;=1,MOD(INT('월 가계부'!A320/100),100)&lt;=12,MOD(INT('월 가계부'!A320),100)&gt;=1,MOD(INT('월 가계부'!A320),100)&lt;=31),IF(MONTH(DATE(INT('월 가계부'!A320/10000),MOD(INT('월 가계부'!A320/100),100),MOD(INT('월 가계부'!A320),100)))=MOD(INT('월 가계부'!A320/100),100),DATE(INT('월 가계부'!A320/10000),MOD(INT('월 가계부'!A320/100),100),MOD(INT('월 가계부'!A320),100)),""),""),IF(AND('월 가계부'!A320&gt;=36526,'월 가계부'!A320&lt;73051),INT('월 가계부'!A320),"")),IF(OR(CM320="",CN320="",CO320=""),"",IF(AND(CM320&gt;=2000,CM320&lt;=2099,CN320&gt;=1,CN320&lt;=12,CO320&gt;=1,CO320&lt;=31),IF(MONTH(DATE(CM320,CN320,CO320))=CN320,DATE(CM320,CN320,CO320),""),"")))),"")</f>
        <v/>
      </c>
      <c r="CJ320">
        <f>IFERROR(IF('월 가계부'!C320="","",IF(ISNUMBER('월 가계부'!C320),'월 가계부'!C320,VALUE(SUBSTITUTE(SUBSTITUTE(SUBSTITUTE(SUBSTITUTE(TRIM('월 가계부'!C320),",",""),"원","")," ",""),"−","-")))),"")</f>
        <v/>
      </c>
      <c r="CK320">
        <f>IF(ISNUMBER(CI320),IF(CI320&lt;$B$13,CI320,""),"")</f>
        <v/>
      </c>
      <c r="CM320">
        <f>IF(CH320="","",IFERROR(IF(IF(AND(LEN(CH320)=9,ISERROR(FIND("-",LEFT(CH320,8))),ISNUMBER(-LEFT(CH320,8))),VALUE(LEFT(CH320,4)),VALUE(LEFT(CH320,FIND("-",CH320)-1)))&lt;100,IF(AND(LEN(CH320)=9,ISERROR(FIND("-",LEFT(CH320,8))),ISNUMBER(-LEFT(CH320,8))),VALUE(LEFT(CH320,4)),VALUE(LEFT(CH320,FIND("-",CH320)-1)))+2000,IF(AND(LEN(CH320)=9,ISERROR(FIND("-",LEFT(CH320,8))),ISNUMBER(-LEFT(CH320,8))),VALUE(LEFT(CH320,4)),VALUE(LEFT(CH320,FIND("-",CH320)-1)))),""))</f>
        <v/>
      </c>
      <c r="CN320">
        <f>IF(CH320="","",IFERROR(IF(AND(LEN(CH320)=9,ISERROR(FIND("-",LEFT(CH320,8))),ISNUMBER(-LEFT(CH320,8))),VALUE(MID(CH320,5,2)),VALUE(MID(CH320,FIND("-",CH320)+1,FIND("-",CH320,FIND("-",CH320)+1)-FIND("-",CH320)-1))),""))</f>
        <v/>
      </c>
      <c r="CO320">
        <f>IF(CH320="","",IFERROR(IF(AND(LEN(CH320)=9,ISERROR(FIND("-",LEFT(CH320,8))),ISNUMBER(-LEFT(CH320,8))),VALUE(MID(CH320,7,2)),VALUE(MID(CH320,FIND("-",CH320,FIND("-",CH320)+1)+1,FIND("-",CH320,FIND("-",CH320,FIND("-",CH320)+1)+1)-FIND("-",CH320,FIND("-",CH320)+1)-1))),""))</f>
        <v/>
      </c>
    </row>
    <row r="321">
      <c r="CH321">
        <f>IF(ISTEXT('월 가계부'!A321),SUBSTITUTE(SUBSTITUTE(SUBSTITUTE(SUBSTITUTE(SUBSTITUTE(SUBSTITUTE(SUBSTITUTE(SUBSTITUTE(SUBSTITUTE(TRIM('월 가계부'!A321),"년","-"),"월","-"),"일",""),".","-"),"/","-")," ","-"),"--","-"),"--","-"),"--","-")&amp;"-","")</f>
        <v/>
      </c>
      <c r="CI321">
        <f>IFERROR(IF('월 가계부'!A321="","",IF(ISNUMBER('월 가계부'!A321),IF(AND('월 가계부'!A321&gt;=19000101,'월 가계부'!A321&lt;=21001231),IF(AND(MOD(INT('월 가계부'!A321/100),100)&gt;=1,MOD(INT('월 가계부'!A321/100),100)&lt;=12,MOD(INT('월 가계부'!A321),100)&gt;=1,MOD(INT('월 가계부'!A321),100)&lt;=31),IF(MONTH(DATE(INT('월 가계부'!A321/10000),MOD(INT('월 가계부'!A321/100),100),MOD(INT('월 가계부'!A321),100)))=MOD(INT('월 가계부'!A321/100),100),DATE(INT('월 가계부'!A321/10000),MOD(INT('월 가계부'!A321/100),100),MOD(INT('월 가계부'!A321),100)),""),""),IF(AND('월 가계부'!A321&gt;=36526,'월 가계부'!A321&lt;73051),INT('월 가계부'!A321),"")),IF(OR(CM321="",CN321="",CO321=""),"",IF(AND(CM321&gt;=2000,CM321&lt;=2099,CN321&gt;=1,CN321&lt;=12,CO321&gt;=1,CO321&lt;=31),IF(MONTH(DATE(CM321,CN321,CO321))=CN321,DATE(CM321,CN321,CO321),""),"")))),"")</f>
        <v/>
      </c>
      <c r="CJ321">
        <f>IFERROR(IF('월 가계부'!C321="","",IF(ISNUMBER('월 가계부'!C321),'월 가계부'!C321,VALUE(SUBSTITUTE(SUBSTITUTE(SUBSTITUTE(SUBSTITUTE(TRIM('월 가계부'!C321),",",""),"원","")," ",""),"−","-")))),"")</f>
        <v/>
      </c>
      <c r="CK321">
        <f>IF(ISNUMBER(CI321),IF(CI321&lt;$B$13,CI321,""),"")</f>
        <v/>
      </c>
      <c r="CM321">
        <f>IF(CH321="","",IFERROR(IF(IF(AND(LEN(CH321)=9,ISERROR(FIND("-",LEFT(CH321,8))),ISNUMBER(-LEFT(CH321,8))),VALUE(LEFT(CH321,4)),VALUE(LEFT(CH321,FIND("-",CH321)-1)))&lt;100,IF(AND(LEN(CH321)=9,ISERROR(FIND("-",LEFT(CH321,8))),ISNUMBER(-LEFT(CH321,8))),VALUE(LEFT(CH321,4)),VALUE(LEFT(CH321,FIND("-",CH321)-1)))+2000,IF(AND(LEN(CH321)=9,ISERROR(FIND("-",LEFT(CH321,8))),ISNUMBER(-LEFT(CH321,8))),VALUE(LEFT(CH321,4)),VALUE(LEFT(CH321,FIND("-",CH321)-1)))),""))</f>
        <v/>
      </c>
      <c r="CN321">
        <f>IF(CH321="","",IFERROR(IF(AND(LEN(CH321)=9,ISERROR(FIND("-",LEFT(CH321,8))),ISNUMBER(-LEFT(CH321,8))),VALUE(MID(CH321,5,2)),VALUE(MID(CH321,FIND("-",CH321)+1,FIND("-",CH321,FIND("-",CH321)+1)-FIND("-",CH321)-1))),""))</f>
        <v/>
      </c>
      <c r="CO321">
        <f>IF(CH321="","",IFERROR(IF(AND(LEN(CH321)=9,ISERROR(FIND("-",LEFT(CH321,8))),ISNUMBER(-LEFT(CH321,8))),VALUE(MID(CH321,7,2)),VALUE(MID(CH321,FIND("-",CH321,FIND("-",CH321)+1)+1,FIND("-",CH321,FIND("-",CH321,FIND("-",CH321)+1)+1)-FIND("-",CH321,FIND("-",CH321)+1)-1))),""))</f>
        <v/>
      </c>
    </row>
    <row r="322">
      <c r="CH322">
        <f>IF(ISTEXT('월 가계부'!A322),SUBSTITUTE(SUBSTITUTE(SUBSTITUTE(SUBSTITUTE(SUBSTITUTE(SUBSTITUTE(SUBSTITUTE(SUBSTITUTE(SUBSTITUTE(TRIM('월 가계부'!A322),"년","-"),"월","-"),"일",""),".","-"),"/","-")," ","-"),"--","-"),"--","-"),"--","-")&amp;"-","")</f>
        <v/>
      </c>
      <c r="CI322">
        <f>IFERROR(IF('월 가계부'!A322="","",IF(ISNUMBER('월 가계부'!A322),IF(AND('월 가계부'!A322&gt;=19000101,'월 가계부'!A322&lt;=21001231),IF(AND(MOD(INT('월 가계부'!A322/100),100)&gt;=1,MOD(INT('월 가계부'!A322/100),100)&lt;=12,MOD(INT('월 가계부'!A322),100)&gt;=1,MOD(INT('월 가계부'!A322),100)&lt;=31),IF(MONTH(DATE(INT('월 가계부'!A322/10000),MOD(INT('월 가계부'!A322/100),100),MOD(INT('월 가계부'!A322),100)))=MOD(INT('월 가계부'!A322/100),100),DATE(INT('월 가계부'!A322/10000),MOD(INT('월 가계부'!A322/100),100),MOD(INT('월 가계부'!A322),100)),""),""),IF(AND('월 가계부'!A322&gt;=36526,'월 가계부'!A322&lt;73051),INT('월 가계부'!A322),"")),IF(OR(CM322="",CN322="",CO322=""),"",IF(AND(CM322&gt;=2000,CM322&lt;=2099,CN322&gt;=1,CN322&lt;=12,CO322&gt;=1,CO322&lt;=31),IF(MONTH(DATE(CM322,CN322,CO322))=CN322,DATE(CM322,CN322,CO322),""),"")))),"")</f>
        <v/>
      </c>
      <c r="CJ322">
        <f>IFERROR(IF('월 가계부'!C322="","",IF(ISNUMBER('월 가계부'!C322),'월 가계부'!C322,VALUE(SUBSTITUTE(SUBSTITUTE(SUBSTITUTE(SUBSTITUTE(TRIM('월 가계부'!C322),",",""),"원","")," ",""),"−","-")))),"")</f>
        <v/>
      </c>
      <c r="CK322">
        <f>IF(ISNUMBER(CI322),IF(CI322&lt;$B$13,CI322,""),"")</f>
        <v/>
      </c>
      <c r="CM322">
        <f>IF(CH322="","",IFERROR(IF(IF(AND(LEN(CH322)=9,ISERROR(FIND("-",LEFT(CH322,8))),ISNUMBER(-LEFT(CH322,8))),VALUE(LEFT(CH322,4)),VALUE(LEFT(CH322,FIND("-",CH322)-1)))&lt;100,IF(AND(LEN(CH322)=9,ISERROR(FIND("-",LEFT(CH322,8))),ISNUMBER(-LEFT(CH322,8))),VALUE(LEFT(CH322,4)),VALUE(LEFT(CH322,FIND("-",CH322)-1)))+2000,IF(AND(LEN(CH322)=9,ISERROR(FIND("-",LEFT(CH322,8))),ISNUMBER(-LEFT(CH322,8))),VALUE(LEFT(CH322,4)),VALUE(LEFT(CH322,FIND("-",CH322)-1)))),""))</f>
        <v/>
      </c>
      <c r="CN322">
        <f>IF(CH322="","",IFERROR(IF(AND(LEN(CH322)=9,ISERROR(FIND("-",LEFT(CH322,8))),ISNUMBER(-LEFT(CH322,8))),VALUE(MID(CH322,5,2)),VALUE(MID(CH322,FIND("-",CH322)+1,FIND("-",CH322,FIND("-",CH322)+1)-FIND("-",CH322)-1))),""))</f>
        <v/>
      </c>
      <c r="CO322">
        <f>IF(CH322="","",IFERROR(IF(AND(LEN(CH322)=9,ISERROR(FIND("-",LEFT(CH322,8))),ISNUMBER(-LEFT(CH322,8))),VALUE(MID(CH322,7,2)),VALUE(MID(CH322,FIND("-",CH322,FIND("-",CH322)+1)+1,FIND("-",CH322,FIND("-",CH322,FIND("-",CH322)+1)+1)-FIND("-",CH322,FIND("-",CH322)+1)-1))),""))</f>
        <v/>
      </c>
    </row>
    <row r="323">
      <c r="CH323">
        <f>IF(ISTEXT('월 가계부'!A323),SUBSTITUTE(SUBSTITUTE(SUBSTITUTE(SUBSTITUTE(SUBSTITUTE(SUBSTITUTE(SUBSTITUTE(SUBSTITUTE(SUBSTITUTE(TRIM('월 가계부'!A323),"년","-"),"월","-"),"일",""),".","-"),"/","-")," ","-"),"--","-"),"--","-"),"--","-")&amp;"-","")</f>
        <v/>
      </c>
      <c r="CI323">
        <f>IFERROR(IF('월 가계부'!A323="","",IF(ISNUMBER('월 가계부'!A323),IF(AND('월 가계부'!A323&gt;=19000101,'월 가계부'!A323&lt;=21001231),IF(AND(MOD(INT('월 가계부'!A323/100),100)&gt;=1,MOD(INT('월 가계부'!A323/100),100)&lt;=12,MOD(INT('월 가계부'!A323),100)&gt;=1,MOD(INT('월 가계부'!A323),100)&lt;=31),IF(MONTH(DATE(INT('월 가계부'!A323/10000),MOD(INT('월 가계부'!A323/100),100),MOD(INT('월 가계부'!A323),100)))=MOD(INT('월 가계부'!A323/100),100),DATE(INT('월 가계부'!A323/10000),MOD(INT('월 가계부'!A323/100),100),MOD(INT('월 가계부'!A323),100)),""),""),IF(AND('월 가계부'!A323&gt;=36526,'월 가계부'!A323&lt;73051),INT('월 가계부'!A323),"")),IF(OR(CM323="",CN323="",CO323=""),"",IF(AND(CM323&gt;=2000,CM323&lt;=2099,CN323&gt;=1,CN323&lt;=12,CO323&gt;=1,CO323&lt;=31),IF(MONTH(DATE(CM323,CN323,CO323))=CN323,DATE(CM323,CN323,CO323),""),"")))),"")</f>
        <v/>
      </c>
      <c r="CJ323">
        <f>IFERROR(IF('월 가계부'!C323="","",IF(ISNUMBER('월 가계부'!C323),'월 가계부'!C323,VALUE(SUBSTITUTE(SUBSTITUTE(SUBSTITUTE(SUBSTITUTE(TRIM('월 가계부'!C323),",",""),"원","")," ",""),"−","-")))),"")</f>
        <v/>
      </c>
      <c r="CK323">
        <f>IF(ISNUMBER(CI323),IF(CI323&lt;$B$13,CI323,""),"")</f>
        <v/>
      </c>
      <c r="CM323">
        <f>IF(CH323="","",IFERROR(IF(IF(AND(LEN(CH323)=9,ISERROR(FIND("-",LEFT(CH323,8))),ISNUMBER(-LEFT(CH323,8))),VALUE(LEFT(CH323,4)),VALUE(LEFT(CH323,FIND("-",CH323)-1)))&lt;100,IF(AND(LEN(CH323)=9,ISERROR(FIND("-",LEFT(CH323,8))),ISNUMBER(-LEFT(CH323,8))),VALUE(LEFT(CH323,4)),VALUE(LEFT(CH323,FIND("-",CH323)-1)))+2000,IF(AND(LEN(CH323)=9,ISERROR(FIND("-",LEFT(CH323,8))),ISNUMBER(-LEFT(CH323,8))),VALUE(LEFT(CH323,4)),VALUE(LEFT(CH323,FIND("-",CH323)-1)))),""))</f>
        <v/>
      </c>
      <c r="CN323">
        <f>IF(CH323="","",IFERROR(IF(AND(LEN(CH323)=9,ISERROR(FIND("-",LEFT(CH323,8))),ISNUMBER(-LEFT(CH323,8))),VALUE(MID(CH323,5,2)),VALUE(MID(CH323,FIND("-",CH323)+1,FIND("-",CH323,FIND("-",CH323)+1)-FIND("-",CH323)-1))),""))</f>
        <v/>
      </c>
      <c r="CO323">
        <f>IF(CH323="","",IFERROR(IF(AND(LEN(CH323)=9,ISERROR(FIND("-",LEFT(CH323,8))),ISNUMBER(-LEFT(CH323,8))),VALUE(MID(CH323,7,2)),VALUE(MID(CH323,FIND("-",CH323,FIND("-",CH323)+1)+1,FIND("-",CH323,FIND("-",CH323,FIND("-",CH323)+1)+1)-FIND("-",CH323,FIND("-",CH323)+1)-1))),""))</f>
        <v/>
      </c>
    </row>
    <row r="324">
      <c r="CH324">
        <f>IF(ISTEXT('월 가계부'!A324),SUBSTITUTE(SUBSTITUTE(SUBSTITUTE(SUBSTITUTE(SUBSTITUTE(SUBSTITUTE(SUBSTITUTE(SUBSTITUTE(SUBSTITUTE(TRIM('월 가계부'!A324),"년","-"),"월","-"),"일",""),".","-"),"/","-")," ","-"),"--","-"),"--","-"),"--","-")&amp;"-","")</f>
        <v/>
      </c>
      <c r="CI324">
        <f>IFERROR(IF('월 가계부'!A324="","",IF(ISNUMBER('월 가계부'!A324),IF(AND('월 가계부'!A324&gt;=19000101,'월 가계부'!A324&lt;=21001231),IF(AND(MOD(INT('월 가계부'!A324/100),100)&gt;=1,MOD(INT('월 가계부'!A324/100),100)&lt;=12,MOD(INT('월 가계부'!A324),100)&gt;=1,MOD(INT('월 가계부'!A324),100)&lt;=31),IF(MONTH(DATE(INT('월 가계부'!A324/10000),MOD(INT('월 가계부'!A324/100),100),MOD(INT('월 가계부'!A324),100)))=MOD(INT('월 가계부'!A324/100),100),DATE(INT('월 가계부'!A324/10000),MOD(INT('월 가계부'!A324/100),100),MOD(INT('월 가계부'!A324),100)),""),""),IF(AND('월 가계부'!A324&gt;=36526,'월 가계부'!A324&lt;73051),INT('월 가계부'!A324),"")),IF(OR(CM324="",CN324="",CO324=""),"",IF(AND(CM324&gt;=2000,CM324&lt;=2099,CN324&gt;=1,CN324&lt;=12,CO324&gt;=1,CO324&lt;=31),IF(MONTH(DATE(CM324,CN324,CO324))=CN324,DATE(CM324,CN324,CO324),""),"")))),"")</f>
        <v/>
      </c>
      <c r="CJ324">
        <f>IFERROR(IF('월 가계부'!C324="","",IF(ISNUMBER('월 가계부'!C324),'월 가계부'!C324,VALUE(SUBSTITUTE(SUBSTITUTE(SUBSTITUTE(SUBSTITUTE(TRIM('월 가계부'!C324),",",""),"원","")," ",""),"−","-")))),"")</f>
        <v/>
      </c>
      <c r="CK324">
        <f>IF(ISNUMBER(CI324),IF(CI324&lt;$B$13,CI324,""),"")</f>
        <v/>
      </c>
      <c r="CM324">
        <f>IF(CH324="","",IFERROR(IF(IF(AND(LEN(CH324)=9,ISERROR(FIND("-",LEFT(CH324,8))),ISNUMBER(-LEFT(CH324,8))),VALUE(LEFT(CH324,4)),VALUE(LEFT(CH324,FIND("-",CH324)-1)))&lt;100,IF(AND(LEN(CH324)=9,ISERROR(FIND("-",LEFT(CH324,8))),ISNUMBER(-LEFT(CH324,8))),VALUE(LEFT(CH324,4)),VALUE(LEFT(CH324,FIND("-",CH324)-1)))+2000,IF(AND(LEN(CH324)=9,ISERROR(FIND("-",LEFT(CH324,8))),ISNUMBER(-LEFT(CH324,8))),VALUE(LEFT(CH324,4)),VALUE(LEFT(CH324,FIND("-",CH324)-1)))),""))</f>
        <v/>
      </c>
      <c r="CN324">
        <f>IF(CH324="","",IFERROR(IF(AND(LEN(CH324)=9,ISERROR(FIND("-",LEFT(CH324,8))),ISNUMBER(-LEFT(CH324,8))),VALUE(MID(CH324,5,2)),VALUE(MID(CH324,FIND("-",CH324)+1,FIND("-",CH324,FIND("-",CH324)+1)-FIND("-",CH324)-1))),""))</f>
        <v/>
      </c>
      <c r="CO324">
        <f>IF(CH324="","",IFERROR(IF(AND(LEN(CH324)=9,ISERROR(FIND("-",LEFT(CH324,8))),ISNUMBER(-LEFT(CH324,8))),VALUE(MID(CH324,7,2)),VALUE(MID(CH324,FIND("-",CH324,FIND("-",CH324)+1)+1,FIND("-",CH324,FIND("-",CH324,FIND("-",CH324)+1)+1)-FIND("-",CH324,FIND("-",CH324)+1)-1))),""))</f>
        <v/>
      </c>
    </row>
    <row r="325">
      <c r="CH325">
        <f>IF(ISTEXT('월 가계부'!A325),SUBSTITUTE(SUBSTITUTE(SUBSTITUTE(SUBSTITUTE(SUBSTITUTE(SUBSTITUTE(SUBSTITUTE(SUBSTITUTE(SUBSTITUTE(TRIM('월 가계부'!A325),"년","-"),"월","-"),"일",""),".","-"),"/","-")," ","-"),"--","-"),"--","-"),"--","-")&amp;"-","")</f>
        <v/>
      </c>
      <c r="CI325">
        <f>IFERROR(IF('월 가계부'!A325="","",IF(ISNUMBER('월 가계부'!A325),IF(AND('월 가계부'!A325&gt;=19000101,'월 가계부'!A325&lt;=21001231),IF(AND(MOD(INT('월 가계부'!A325/100),100)&gt;=1,MOD(INT('월 가계부'!A325/100),100)&lt;=12,MOD(INT('월 가계부'!A325),100)&gt;=1,MOD(INT('월 가계부'!A325),100)&lt;=31),IF(MONTH(DATE(INT('월 가계부'!A325/10000),MOD(INT('월 가계부'!A325/100),100),MOD(INT('월 가계부'!A325),100)))=MOD(INT('월 가계부'!A325/100),100),DATE(INT('월 가계부'!A325/10000),MOD(INT('월 가계부'!A325/100),100),MOD(INT('월 가계부'!A325),100)),""),""),IF(AND('월 가계부'!A325&gt;=36526,'월 가계부'!A325&lt;73051),INT('월 가계부'!A325),"")),IF(OR(CM325="",CN325="",CO325=""),"",IF(AND(CM325&gt;=2000,CM325&lt;=2099,CN325&gt;=1,CN325&lt;=12,CO325&gt;=1,CO325&lt;=31),IF(MONTH(DATE(CM325,CN325,CO325))=CN325,DATE(CM325,CN325,CO325),""),"")))),"")</f>
        <v/>
      </c>
      <c r="CJ325">
        <f>IFERROR(IF('월 가계부'!C325="","",IF(ISNUMBER('월 가계부'!C325),'월 가계부'!C325,VALUE(SUBSTITUTE(SUBSTITUTE(SUBSTITUTE(SUBSTITUTE(TRIM('월 가계부'!C325),",",""),"원","")," ",""),"−","-")))),"")</f>
        <v/>
      </c>
      <c r="CK325">
        <f>IF(ISNUMBER(CI325),IF(CI325&lt;$B$13,CI325,""),"")</f>
        <v/>
      </c>
      <c r="CM325">
        <f>IF(CH325="","",IFERROR(IF(IF(AND(LEN(CH325)=9,ISERROR(FIND("-",LEFT(CH325,8))),ISNUMBER(-LEFT(CH325,8))),VALUE(LEFT(CH325,4)),VALUE(LEFT(CH325,FIND("-",CH325)-1)))&lt;100,IF(AND(LEN(CH325)=9,ISERROR(FIND("-",LEFT(CH325,8))),ISNUMBER(-LEFT(CH325,8))),VALUE(LEFT(CH325,4)),VALUE(LEFT(CH325,FIND("-",CH325)-1)))+2000,IF(AND(LEN(CH325)=9,ISERROR(FIND("-",LEFT(CH325,8))),ISNUMBER(-LEFT(CH325,8))),VALUE(LEFT(CH325,4)),VALUE(LEFT(CH325,FIND("-",CH325)-1)))),""))</f>
        <v/>
      </c>
      <c r="CN325">
        <f>IF(CH325="","",IFERROR(IF(AND(LEN(CH325)=9,ISERROR(FIND("-",LEFT(CH325,8))),ISNUMBER(-LEFT(CH325,8))),VALUE(MID(CH325,5,2)),VALUE(MID(CH325,FIND("-",CH325)+1,FIND("-",CH325,FIND("-",CH325)+1)-FIND("-",CH325)-1))),""))</f>
        <v/>
      </c>
      <c r="CO325">
        <f>IF(CH325="","",IFERROR(IF(AND(LEN(CH325)=9,ISERROR(FIND("-",LEFT(CH325,8))),ISNUMBER(-LEFT(CH325,8))),VALUE(MID(CH325,7,2)),VALUE(MID(CH325,FIND("-",CH325,FIND("-",CH325)+1)+1,FIND("-",CH325,FIND("-",CH325,FIND("-",CH325)+1)+1)-FIND("-",CH325,FIND("-",CH325)+1)-1))),""))</f>
        <v/>
      </c>
    </row>
    <row r="326">
      <c r="CH326">
        <f>IF(ISTEXT('월 가계부'!A326),SUBSTITUTE(SUBSTITUTE(SUBSTITUTE(SUBSTITUTE(SUBSTITUTE(SUBSTITUTE(SUBSTITUTE(SUBSTITUTE(SUBSTITUTE(TRIM('월 가계부'!A326),"년","-"),"월","-"),"일",""),".","-"),"/","-")," ","-"),"--","-"),"--","-"),"--","-")&amp;"-","")</f>
        <v/>
      </c>
      <c r="CI326">
        <f>IFERROR(IF('월 가계부'!A326="","",IF(ISNUMBER('월 가계부'!A326),IF(AND('월 가계부'!A326&gt;=19000101,'월 가계부'!A326&lt;=21001231),IF(AND(MOD(INT('월 가계부'!A326/100),100)&gt;=1,MOD(INT('월 가계부'!A326/100),100)&lt;=12,MOD(INT('월 가계부'!A326),100)&gt;=1,MOD(INT('월 가계부'!A326),100)&lt;=31),IF(MONTH(DATE(INT('월 가계부'!A326/10000),MOD(INT('월 가계부'!A326/100),100),MOD(INT('월 가계부'!A326),100)))=MOD(INT('월 가계부'!A326/100),100),DATE(INT('월 가계부'!A326/10000),MOD(INT('월 가계부'!A326/100),100),MOD(INT('월 가계부'!A326),100)),""),""),IF(AND('월 가계부'!A326&gt;=36526,'월 가계부'!A326&lt;73051),INT('월 가계부'!A326),"")),IF(OR(CM326="",CN326="",CO326=""),"",IF(AND(CM326&gt;=2000,CM326&lt;=2099,CN326&gt;=1,CN326&lt;=12,CO326&gt;=1,CO326&lt;=31),IF(MONTH(DATE(CM326,CN326,CO326))=CN326,DATE(CM326,CN326,CO326),""),"")))),"")</f>
        <v/>
      </c>
      <c r="CJ326">
        <f>IFERROR(IF('월 가계부'!C326="","",IF(ISNUMBER('월 가계부'!C326),'월 가계부'!C326,VALUE(SUBSTITUTE(SUBSTITUTE(SUBSTITUTE(SUBSTITUTE(TRIM('월 가계부'!C326),",",""),"원","")," ",""),"−","-")))),"")</f>
        <v/>
      </c>
      <c r="CK326">
        <f>IF(ISNUMBER(CI326),IF(CI326&lt;$B$13,CI326,""),"")</f>
        <v/>
      </c>
      <c r="CM326">
        <f>IF(CH326="","",IFERROR(IF(IF(AND(LEN(CH326)=9,ISERROR(FIND("-",LEFT(CH326,8))),ISNUMBER(-LEFT(CH326,8))),VALUE(LEFT(CH326,4)),VALUE(LEFT(CH326,FIND("-",CH326)-1)))&lt;100,IF(AND(LEN(CH326)=9,ISERROR(FIND("-",LEFT(CH326,8))),ISNUMBER(-LEFT(CH326,8))),VALUE(LEFT(CH326,4)),VALUE(LEFT(CH326,FIND("-",CH326)-1)))+2000,IF(AND(LEN(CH326)=9,ISERROR(FIND("-",LEFT(CH326,8))),ISNUMBER(-LEFT(CH326,8))),VALUE(LEFT(CH326,4)),VALUE(LEFT(CH326,FIND("-",CH326)-1)))),""))</f>
        <v/>
      </c>
      <c r="CN326">
        <f>IF(CH326="","",IFERROR(IF(AND(LEN(CH326)=9,ISERROR(FIND("-",LEFT(CH326,8))),ISNUMBER(-LEFT(CH326,8))),VALUE(MID(CH326,5,2)),VALUE(MID(CH326,FIND("-",CH326)+1,FIND("-",CH326,FIND("-",CH326)+1)-FIND("-",CH326)-1))),""))</f>
        <v/>
      </c>
      <c r="CO326">
        <f>IF(CH326="","",IFERROR(IF(AND(LEN(CH326)=9,ISERROR(FIND("-",LEFT(CH326,8))),ISNUMBER(-LEFT(CH326,8))),VALUE(MID(CH326,7,2)),VALUE(MID(CH326,FIND("-",CH326,FIND("-",CH326)+1)+1,FIND("-",CH326,FIND("-",CH326,FIND("-",CH326)+1)+1)-FIND("-",CH326,FIND("-",CH326)+1)-1))),""))</f>
        <v/>
      </c>
    </row>
    <row r="327">
      <c r="CH327">
        <f>IF(ISTEXT('월 가계부'!A327),SUBSTITUTE(SUBSTITUTE(SUBSTITUTE(SUBSTITUTE(SUBSTITUTE(SUBSTITUTE(SUBSTITUTE(SUBSTITUTE(SUBSTITUTE(TRIM('월 가계부'!A327),"년","-"),"월","-"),"일",""),".","-"),"/","-")," ","-"),"--","-"),"--","-"),"--","-")&amp;"-","")</f>
        <v/>
      </c>
      <c r="CI327">
        <f>IFERROR(IF('월 가계부'!A327="","",IF(ISNUMBER('월 가계부'!A327),IF(AND('월 가계부'!A327&gt;=19000101,'월 가계부'!A327&lt;=21001231),IF(AND(MOD(INT('월 가계부'!A327/100),100)&gt;=1,MOD(INT('월 가계부'!A327/100),100)&lt;=12,MOD(INT('월 가계부'!A327),100)&gt;=1,MOD(INT('월 가계부'!A327),100)&lt;=31),IF(MONTH(DATE(INT('월 가계부'!A327/10000),MOD(INT('월 가계부'!A327/100),100),MOD(INT('월 가계부'!A327),100)))=MOD(INT('월 가계부'!A327/100),100),DATE(INT('월 가계부'!A327/10000),MOD(INT('월 가계부'!A327/100),100),MOD(INT('월 가계부'!A327),100)),""),""),IF(AND('월 가계부'!A327&gt;=36526,'월 가계부'!A327&lt;73051),INT('월 가계부'!A327),"")),IF(OR(CM327="",CN327="",CO327=""),"",IF(AND(CM327&gt;=2000,CM327&lt;=2099,CN327&gt;=1,CN327&lt;=12,CO327&gt;=1,CO327&lt;=31),IF(MONTH(DATE(CM327,CN327,CO327))=CN327,DATE(CM327,CN327,CO327),""),"")))),"")</f>
        <v/>
      </c>
      <c r="CJ327">
        <f>IFERROR(IF('월 가계부'!C327="","",IF(ISNUMBER('월 가계부'!C327),'월 가계부'!C327,VALUE(SUBSTITUTE(SUBSTITUTE(SUBSTITUTE(SUBSTITUTE(TRIM('월 가계부'!C327),",",""),"원","")," ",""),"−","-")))),"")</f>
        <v/>
      </c>
      <c r="CK327">
        <f>IF(ISNUMBER(CI327),IF(CI327&lt;$B$13,CI327,""),"")</f>
        <v/>
      </c>
      <c r="CM327">
        <f>IF(CH327="","",IFERROR(IF(IF(AND(LEN(CH327)=9,ISERROR(FIND("-",LEFT(CH327,8))),ISNUMBER(-LEFT(CH327,8))),VALUE(LEFT(CH327,4)),VALUE(LEFT(CH327,FIND("-",CH327)-1)))&lt;100,IF(AND(LEN(CH327)=9,ISERROR(FIND("-",LEFT(CH327,8))),ISNUMBER(-LEFT(CH327,8))),VALUE(LEFT(CH327,4)),VALUE(LEFT(CH327,FIND("-",CH327)-1)))+2000,IF(AND(LEN(CH327)=9,ISERROR(FIND("-",LEFT(CH327,8))),ISNUMBER(-LEFT(CH327,8))),VALUE(LEFT(CH327,4)),VALUE(LEFT(CH327,FIND("-",CH327)-1)))),""))</f>
        <v/>
      </c>
      <c r="CN327">
        <f>IF(CH327="","",IFERROR(IF(AND(LEN(CH327)=9,ISERROR(FIND("-",LEFT(CH327,8))),ISNUMBER(-LEFT(CH327,8))),VALUE(MID(CH327,5,2)),VALUE(MID(CH327,FIND("-",CH327)+1,FIND("-",CH327,FIND("-",CH327)+1)-FIND("-",CH327)-1))),""))</f>
        <v/>
      </c>
      <c r="CO327">
        <f>IF(CH327="","",IFERROR(IF(AND(LEN(CH327)=9,ISERROR(FIND("-",LEFT(CH327,8))),ISNUMBER(-LEFT(CH327,8))),VALUE(MID(CH327,7,2)),VALUE(MID(CH327,FIND("-",CH327,FIND("-",CH327)+1)+1,FIND("-",CH327,FIND("-",CH327,FIND("-",CH327)+1)+1)-FIND("-",CH327,FIND("-",CH327)+1)-1))),""))</f>
        <v/>
      </c>
    </row>
    <row r="328">
      <c r="CH328">
        <f>IF(ISTEXT('월 가계부'!A328),SUBSTITUTE(SUBSTITUTE(SUBSTITUTE(SUBSTITUTE(SUBSTITUTE(SUBSTITUTE(SUBSTITUTE(SUBSTITUTE(SUBSTITUTE(TRIM('월 가계부'!A328),"년","-"),"월","-"),"일",""),".","-"),"/","-")," ","-"),"--","-"),"--","-"),"--","-")&amp;"-","")</f>
        <v/>
      </c>
      <c r="CI328">
        <f>IFERROR(IF('월 가계부'!A328="","",IF(ISNUMBER('월 가계부'!A328),IF(AND('월 가계부'!A328&gt;=19000101,'월 가계부'!A328&lt;=21001231),IF(AND(MOD(INT('월 가계부'!A328/100),100)&gt;=1,MOD(INT('월 가계부'!A328/100),100)&lt;=12,MOD(INT('월 가계부'!A328),100)&gt;=1,MOD(INT('월 가계부'!A328),100)&lt;=31),IF(MONTH(DATE(INT('월 가계부'!A328/10000),MOD(INT('월 가계부'!A328/100),100),MOD(INT('월 가계부'!A328),100)))=MOD(INT('월 가계부'!A328/100),100),DATE(INT('월 가계부'!A328/10000),MOD(INT('월 가계부'!A328/100),100),MOD(INT('월 가계부'!A328),100)),""),""),IF(AND('월 가계부'!A328&gt;=36526,'월 가계부'!A328&lt;73051),INT('월 가계부'!A328),"")),IF(OR(CM328="",CN328="",CO328=""),"",IF(AND(CM328&gt;=2000,CM328&lt;=2099,CN328&gt;=1,CN328&lt;=12,CO328&gt;=1,CO328&lt;=31),IF(MONTH(DATE(CM328,CN328,CO328))=CN328,DATE(CM328,CN328,CO328),""),"")))),"")</f>
        <v/>
      </c>
      <c r="CJ328">
        <f>IFERROR(IF('월 가계부'!C328="","",IF(ISNUMBER('월 가계부'!C328),'월 가계부'!C328,VALUE(SUBSTITUTE(SUBSTITUTE(SUBSTITUTE(SUBSTITUTE(TRIM('월 가계부'!C328),",",""),"원","")," ",""),"−","-")))),"")</f>
        <v/>
      </c>
      <c r="CK328">
        <f>IF(ISNUMBER(CI328),IF(CI328&lt;$B$13,CI328,""),"")</f>
        <v/>
      </c>
      <c r="CM328">
        <f>IF(CH328="","",IFERROR(IF(IF(AND(LEN(CH328)=9,ISERROR(FIND("-",LEFT(CH328,8))),ISNUMBER(-LEFT(CH328,8))),VALUE(LEFT(CH328,4)),VALUE(LEFT(CH328,FIND("-",CH328)-1)))&lt;100,IF(AND(LEN(CH328)=9,ISERROR(FIND("-",LEFT(CH328,8))),ISNUMBER(-LEFT(CH328,8))),VALUE(LEFT(CH328,4)),VALUE(LEFT(CH328,FIND("-",CH328)-1)))+2000,IF(AND(LEN(CH328)=9,ISERROR(FIND("-",LEFT(CH328,8))),ISNUMBER(-LEFT(CH328,8))),VALUE(LEFT(CH328,4)),VALUE(LEFT(CH328,FIND("-",CH328)-1)))),""))</f>
        <v/>
      </c>
      <c r="CN328">
        <f>IF(CH328="","",IFERROR(IF(AND(LEN(CH328)=9,ISERROR(FIND("-",LEFT(CH328,8))),ISNUMBER(-LEFT(CH328,8))),VALUE(MID(CH328,5,2)),VALUE(MID(CH328,FIND("-",CH328)+1,FIND("-",CH328,FIND("-",CH328)+1)-FIND("-",CH328)-1))),""))</f>
        <v/>
      </c>
      <c r="CO328">
        <f>IF(CH328="","",IFERROR(IF(AND(LEN(CH328)=9,ISERROR(FIND("-",LEFT(CH328,8))),ISNUMBER(-LEFT(CH328,8))),VALUE(MID(CH328,7,2)),VALUE(MID(CH328,FIND("-",CH328,FIND("-",CH328)+1)+1,FIND("-",CH328,FIND("-",CH328,FIND("-",CH328)+1)+1)-FIND("-",CH328,FIND("-",CH328)+1)-1))),""))</f>
        <v/>
      </c>
    </row>
    <row r="329">
      <c r="CH329">
        <f>IF(ISTEXT('월 가계부'!A329),SUBSTITUTE(SUBSTITUTE(SUBSTITUTE(SUBSTITUTE(SUBSTITUTE(SUBSTITUTE(SUBSTITUTE(SUBSTITUTE(SUBSTITUTE(TRIM('월 가계부'!A329),"년","-"),"월","-"),"일",""),".","-"),"/","-")," ","-"),"--","-"),"--","-"),"--","-")&amp;"-","")</f>
        <v/>
      </c>
      <c r="CI329">
        <f>IFERROR(IF('월 가계부'!A329="","",IF(ISNUMBER('월 가계부'!A329),IF(AND('월 가계부'!A329&gt;=19000101,'월 가계부'!A329&lt;=21001231),IF(AND(MOD(INT('월 가계부'!A329/100),100)&gt;=1,MOD(INT('월 가계부'!A329/100),100)&lt;=12,MOD(INT('월 가계부'!A329),100)&gt;=1,MOD(INT('월 가계부'!A329),100)&lt;=31),IF(MONTH(DATE(INT('월 가계부'!A329/10000),MOD(INT('월 가계부'!A329/100),100),MOD(INT('월 가계부'!A329),100)))=MOD(INT('월 가계부'!A329/100),100),DATE(INT('월 가계부'!A329/10000),MOD(INT('월 가계부'!A329/100),100),MOD(INT('월 가계부'!A329),100)),""),""),IF(AND('월 가계부'!A329&gt;=36526,'월 가계부'!A329&lt;73051),INT('월 가계부'!A329),"")),IF(OR(CM329="",CN329="",CO329=""),"",IF(AND(CM329&gt;=2000,CM329&lt;=2099,CN329&gt;=1,CN329&lt;=12,CO329&gt;=1,CO329&lt;=31),IF(MONTH(DATE(CM329,CN329,CO329))=CN329,DATE(CM329,CN329,CO329),""),"")))),"")</f>
        <v/>
      </c>
      <c r="CJ329">
        <f>IFERROR(IF('월 가계부'!C329="","",IF(ISNUMBER('월 가계부'!C329),'월 가계부'!C329,VALUE(SUBSTITUTE(SUBSTITUTE(SUBSTITUTE(SUBSTITUTE(TRIM('월 가계부'!C329),",",""),"원","")," ",""),"−","-")))),"")</f>
        <v/>
      </c>
      <c r="CK329">
        <f>IF(ISNUMBER(CI329),IF(CI329&lt;$B$13,CI329,""),"")</f>
        <v/>
      </c>
      <c r="CM329">
        <f>IF(CH329="","",IFERROR(IF(IF(AND(LEN(CH329)=9,ISERROR(FIND("-",LEFT(CH329,8))),ISNUMBER(-LEFT(CH329,8))),VALUE(LEFT(CH329,4)),VALUE(LEFT(CH329,FIND("-",CH329)-1)))&lt;100,IF(AND(LEN(CH329)=9,ISERROR(FIND("-",LEFT(CH329,8))),ISNUMBER(-LEFT(CH329,8))),VALUE(LEFT(CH329,4)),VALUE(LEFT(CH329,FIND("-",CH329)-1)))+2000,IF(AND(LEN(CH329)=9,ISERROR(FIND("-",LEFT(CH329,8))),ISNUMBER(-LEFT(CH329,8))),VALUE(LEFT(CH329,4)),VALUE(LEFT(CH329,FIND("-",CH329)-1)))),""))</f>
        <v/>
      </c>
      <c r="CN329">
        <f>IF(CH329="","",IFERROR(IF(AND(LEN(CH329)=9,ISERROR(FIND("-",LEFT(CH329,8))),ISNUMBER(-LEFT(CH329,8))),VALUE(MID(CH329,5,2)),VALUE(MID(CH329,FIND("-",CH329)+1,FIND("-",CH329,FIND("-",CH329)+1)-FIND("-",CH329)-1))),""))</f>
        <v/>
      </c>
      <c r="CO329">
        <f>IF(CH329="","",IFERROR(IF(AND(LEN(CH329)=9,ISERROR(FIND("-",LEFT(CH329,8))),ISNUMBER(-LEFT(CH329,8))),VALUE(MID(CH329,7,2)),VALUE(MID(CH329,FIND("-",CH329,FIND("-",CH329)+1)+1,FIND("-",CH329,FIND("-",CH329,FIND("-",CH329)+1)+1)-FIND("-",CH329,FIND("-",CH329)+1)-1))),""))</f>
        <v/>
      </c>
    </row>
    <row r="330">
      <c r="CH330">
        <f>IF(ISTEXT('월 가계부'!A330),SUBSTITUTE(SUBSTITUTE(SUBSTITUTE(SUBSTITUTE(SUBSTITUTE(SUBSTITUTE(SUBSTITUTE(SUBSTITUTE(SUBSTITUTE(TRIM('월 가계부'!A330),"년","-"),"월","-"),"일",""),".","-"),"/","-")," ","-"),"--","-"),"--","-"),"--","-")&amp;"-","")</f>
        <v/>
      </c>
      <c r="CI330">
        <f>IFERROR(IF('월 가계부'!A330="","",IF(ISNUMBER('월 가계부'!A330),IF(AND('월 가계부'!A330&gt;=19000101,'월 가계부'!A330&lt;=21001231),IF(AND(MOD(INT('월 가계부'!A330/100),100)&gt;=1,MOD(INT('월 가계부'!A330/100),100)&lt;=12,MOD(INT('월 가계부'!A330),100)&gt;=1,MOD(INT('월 가계부'!A330),100)&lt;=31),IF(MONTH(DATE(INT('월 가계부'!A330/10000),MOD(INT('월 가계부'!A330/100),100),MOD(INT('월 가계부'!A330),100)))=MOD(INT('월 가계부'!A330/100),100),DATE(INT('월 가계부'!A330/10000),MOD(INT('월 가계부'!A330/100),100),MOD(INT('월 가계부'!A330),100)),""),""),IF(AND('월 가계부'!A330&gt;=36526,'월 가계부'!A330&lt;73051),INT('월 가계부'!A330),"")),IF(OR(CM330="",CN330="",CO330=""),"",IF(AND(CM330&gt;=2000,CM330&lt;=2099,CN330&gt;=1,CN330&lt;=12,CO330&gt;=1,CO330&lt;=31),IF(MONTH(DATE(CM330,CN330,CO330))=CN330,DATE(CM330,CN330,CO330),""),"")))),"")</f>
        <v/>
      </c>
      <c r="CJ330">
        <f>IFERROR(IF('월 가계부'!C330="","",IF(ISNUMBER('월 가계부'!C330),'월 가계부'!C330,VALUE(SUBSTITUTE(SUBSTITUTE(SUBSTITUTE(SUBSTITUTE(TRIM('월 가계부'!C330),",",""),"원","")," ",""),"−","-")))),"")</f>
        <v/>
      </c>
      <c r="CK330">
        <f>IF(ISNUMBER(CI330),IF(CI330&lt;$B$13,CI330,""),"")</f>
        <v/>
      </c>
      <c r="CM330">
        <f>IF(CH330="","",IFERROR(IF(IF(AND(LEN(CH330)=9,ISERROR(FIND("-",LEFT(CH330,8))),ISNUMBER(-LEFT(CH330,8))),VALUE(LEFT(CH330,4)),VALUE(LEFT(CH330,FIND("-",CH330)-1)))&lt;100,IF(AND(LEN(CH330)=9,ISERROR(FIND("-",LEFT(CH330,8))),ISNUMBER(-LEFT(CH330,8))),VALUE(LEFT(CH330,4)),VALUE(LEFT(CH330,FIND("-",CH330)-1)))+2000,IF(AND(LEN(CH330)=9,ISERROR(FIND("-",LEFT(CH330,8))),ISNUMBER(-LEFT(CH330,8))),VALUE(LEFT(CH330,4)),VALUE(LEFT(CH330,FIND("-",CH330)-1)))),""))</f>
        <v/>
      </c>
      <c r="CN330">
        <f>IF(CH330="","",IFERROR(IF(AND(LEN(CH330)=9,ISERROR(FIND("-",LEFT(CH330,8))),ISNUMBER(-LEFT(CH330,8))),VALUE(MID(CH330,5,2)),VALUE(MID(CH330,FIND("-",CH330)+1,FIND("-",CH330,FIND("-",CH330)+1)-FIND("-",CH330)-1))),""))</f>
        <v/>
      </c>
      <c r="CO330">
        <f>IF(CH330="","",IFERROR(IF(AND(LEN(CH330)=9,ISERROR(FIND("-",LEFT(CH330,8))),ISNUMBER(-LEFT(CH330,8))),VALUE(MID(CH330,7,2)),VALUE(MID(CH330,FIND("-",CH330,FIND("-",CH330)+1)+1,FIND("-",CH330,FIND("-",CH330,FIND("-",CH330)+1)+1)-FIND("-",CH330,FIND("-",CH330)+1)-1))),""))</f>
        <v/>
      </c>
    </row>
    <row r="331">
      <c r="CH331">
        <f>IF(ISTEXT('월 가계부'!A331),SUBSTITUTE(SUBSTITUTE(SUBSTITUTE(SUBSTITUTE(SUBSTITUTE(SUBSTITUTE(SUBSTITUTE(SUBSTITUTE(SUBSTITUTE(TRIM('월 가계부'!A331),"년","-"),"월","-"),"일",""),".","-"),"/","-")," ","-"),"--","-"),"--","-"),"--","-")&amp;"-","")</f>
        <v/>
      </c>
      <c r="CI331">
        <f>IFERROR(IF('월 가계부'!A331="","",IF(ISNUMBER('월 가계부'!A331),IF(AND('월 가계부'!A331&gt;=19000101,'월 가계부'!A331&lt;=21001231),IF(AND(MOD(INT('월 가계부'!A331/100),100)&gt;=1,MOD(INT('월 가계부'!A331/100),100)&lt;=12,MOD(INT('월 가계부'!A331),100)&gt;=1,MOD(INT('월 가계부'!A331),100)&lt;=31),IF(MONTH(DATE(INT('월 가계부'!A331/10000),MOD(INT('월 가계부'!A331/100),100),MOD(INT('월 가계부'!A331),100)))=MOD(INT('월 가계부'!A331/100),100),DATE(INT('월 가계부'!A331/10000),MOD(INT('월 가계부'!A331/100),100),MOD(INT('월 가계부'!A331),100)),""),""),IF(AND('월 가계부'!A331&gt;=36526,'월 가계부'!A331&lt;73051),INT('월 가계부'!A331),"")),IF(OR(CM331="",CN331="",CO331=""),"",IF(AND(CM331&gt;=2000,CM331&lt;=2099,CN331&gt;=1,CN331&lt;=12,CO331&gt;=1,CO331&lt;=31),IF(MONTH(DATE(CM331,CN331,CO331))=CN331,DATE(CM331,CN331,CO331),""),"")))),"")</f>
        <v/>
      </c>
      <c r="CJ331">
        <f>IFERROR(IF('월 가계부'!C331="","",IF(ISNUMBER('월 가계부'!C331),'월 가계부'!C331,VALUE(SUBSTITUTE(SUBSTITUTE(SUBSTITUTE(SUBSTITUTE(TRIM('월 가계부'!C331),",",""),"원","")," ",""),"−","-")))),"")</f>
        <v/>
      </c>
      <c r="CK331">
        <f>IF(ISNUMBER(CI331),IF(CI331&lt;$B$13,CI331,""),"")</f>
        <v/>
      </c>
      <c r="CM331">
        <f>IF(CH331="","",IFERROR(IF(IF(AND(LEN(CH331)=9,ISERROR(FIND("-",LEFT(CH331,8))),ISNUMBER(-LEFT(CH331,8))),VALUE(LEFT(CH331,4)),VALUE(LEFT(CH331,FIND("-",CH331)-1)))&lt;100,IF(AND(LEN(CH331)=9,ISERROR(FIND("-",LEFT(CH331,8))),ISNUMBER(-LEFT(CH331,8))),VALUE(LEFT(CH331,4)),VALUE(LEFT(CH331,FIND("-",CH331)-1)))+2000,IF(AND(LEN(CH331)=9,ISERROR(FIND("-",LEFT(CH331,8))),ISNUMBER(-LEFT(CH331,8))),VALUE(LEFT(CH331,4)),VALUE(LEFT(CH331,FIND("-",CH331)-1)))),""))</f>
        <v/>
      </c>
      <c r="CN331">
        <f>IF(CH331="","",IFERROR(IF(AND(LEN(CH331)=9,ISERROR(FIND("-",LEFT(CH331,8))),ISNUMBER(-LEFT(CH331,8))),VALUE(MID(CH331,5,2)),VALUE(MID(CH331,FIND("-",CH331)+1,FIND("-",CH331,FIND("-",CH331)+1)-FIND("-",CH331)-1))),""))</f>
        <v/>
      </c>
      <c r="CO331">
        <f>IF(CH331="","",IFERROR(IF(AND(LEN(CH331)=9,ISERROR(FIND("-",LEFT(CH331,8))),ISNUMBER(-LEFT(CH331,8))),VALUE(MID(CH331,7,2)),VALUE(MID(CH331,FIND("-",CH331,FIND("-",CH331)+1)+1,FIND("-",CH331,FIND("-",CH331,FIND("-",CH331)+1)+1)-FIND("-",CH331,FIND("-",CH331)+1)-1))),""))</f>
        <v/>
      </c>
    </row>
    <row r="332">
      <c r="CH332">
        <f>IF(ISTEXT('월 가계부'!A332),SUBSTITUTE(SUBSTITUTE(SUBSTITUTE(SUBSTITUTE(SUBSTITUTE(SUBSTITUTE(SUBSTITUTE(SUBSTITUTE(SUBSTITUTE(TRIM('월 가계부'!A332),"년","-"),"월","-"),"일",""),".","-"),"/","-")," ","-"),"--","-"),"--","-"),"--","-")&amp;"-","")</f>
        <v/>
      </c>
      <c r="CI332">
        <f>IFERROR(IF('월 가계부'!A332="","",IF(ISNUMBER('월 가계부'!A332),IF(AND('월 가계부'!A332&gt;=19000101,'월 가계부'!A332&lt;=21001231),IF(AND(MOD(INT('월 가계부'!A332/100),100)&gt;=1,MOD(INT('월 가계부'!A332/100),100)&lt;=12,MOD(INT('월 가계부'!A332),100)&gt;=1,MOD(INT('월 가계부'!A332),100)&lt;=31),IF(MONTH(DATE(INT('월 가계부'!A332/10000),MOD(INT('월 가계부'!A332/100),100),MOD(INT('월 가계부'!A332),100)))=MOD(INT('월 가계부'!A332/100),100),DATE(INT('월 가계부'!A332/10000),MOD(INT('월 가계부'!A332/100),100),MOD(INT('월 가계부'!A332),100)),""),""),IF(AND('월 가계부'!A332&gt;=36526,'월 가계부'!A332&lt;73051),INT('월 가계부'!A332),"")),IF(OR(CM332="",CN332="",CO332=""),"",IF(AND(CM332&gt;=2000,CM332&lt;=2099,CN332&gt;=1,CN332&lt;=12,CO332&gt;=1,CO332&lt;=31),IF(MONTH(DATE(CM332,CN332,CO332))=CN332,DATE(CM332,CN332,CO332),""),"")))),"")</f>
        <v/>
      </c>
      <c r="CJ332">
        <f>IFERROR(IF('월 가계부'!C332="","",IF(ISNUMBER('월 가계부'!C332),'월 가계부'!C332,VALUE(SUBSTITUTE(SUBSTITUTE(SUBSTITUTE(SUBSTITUTE(TRIM('월 가계부'!C332),",",""),"원","")," ",""),"−","-")))),"")</f>
        <v/>
      </c>
      <c r="CK332">
        <f>IF(ISNUMBER(CI332),IF(CI332&lt;$B$13,CI332,""),"")</f>
        <v/>
      </c>
      <c r="CM332">
        <f>IF(CH332="","",IFERROR(IF(IF(AND(LEN(CH332)=9,ISERROR(FIND("-",LEFT(CH332,8))),ISNUMBER(-LEFT(CH332,8))),VALUE(LEFT(CH332,4)),VALUE(LEFT(CH332,FIND("-",CH332)-1)))&lt;100,IF(AND(LEN(CH332)=9,ISERROR(FIND("-",LEFT(CH332,8))),ISNUMBER(-LEFT(CH332,8))),VALUE(LEFT(CH332,4)),VALUE(LEFT(CH332,FIND("-",CH332)-1)))+2000,IF(AND(LEN(CH332)=9,ISERROR(FIND("-",LEFT(CH332,8))),ISNUMBER(-LEFT(CH332,8))),VALUE(LEFT(CH332,4)),VALUE(LEFT(CH332,FIND("-",CH332)-1)))),""))</f>
        <v/>
      </c>
      <c r="CN332">
        <f>IF(CH332="","",IFERROR(IF(AND(LEN(CH332)=9,ISERROR(FIND("-",LEFT(CH332,8))),ISNUMBER(-LEFT(CH332,8))),VALUE(MID(CH332,5,2)),VALUE(MID(CH332,FIND("-",CH332)+1,FIND("-",CH332,FIND("-",CH332)+1)-FIND("-",CH332)-1))),""))</f>
        <v/>
      </c>
      <c r="CO332">
        <f>IF(CH332="","",IFERROR(IF(AND(LEN(CH332)=9,ISERROR(FIND("-",LEFT(CH332,8))),ISNUMBER(-LEFT(CH332,8))),VALUE(MID(CH332,7,2)),VALUE(MID(CH332,FIND("-",CH332,FIND("-",CH332)+1)+1,FIND("-",CH332,FIND("-",CH332,FIND("-",CH332)+1)+1)-FIND("-",CH332,FIND("-",CH332)+1)-1))),""))</f>
        <v/>
      </c>
    </row>
    <row r="333">
      <c r="CH333">
        <f>IF(ISTEXT('월 가계부'!A333),SUBSTITUTE(SUBSTITUTE(SUBSTITUTE(SUBSTITUTE(SUBSTITUTE(SUBSTITUTE(SUBSTITUTE(SUBSTITUTE(SUBSTITUTE(TRIM('월 가계부'!A333),"년","-"),"월","-"),"일",""),".","-"),"/","-")," ","-"),"--","-"),"--","-"),"--","-")&amp;"-","")</f>
        <v/>
      </c>
      <c r="CI333">
        <f>IFERROR(IF('월 가계부'!A333="","",IF(ISNUMBER('월 가계부'!A333),IF(AND('월 가계부'!A333&gt;=19000101,'월 가계부'!A333&lt;=21001231),IF(AND(MOD(INT('월 가계부'!A333/100),100)&gt;=1,MOD(INT('월 가계부'!A333/100),100)&lt;=12,MOD(INT('월 가계부'!A333),100)&gt;=1,MOD(INT('월 가계부'!A333),100)&lt;=31),IF(MONTH(DATE(INT('월 가계부'!A333/10000),MOD(INT('월 가계부'!A333/100),100),MOD(INT('월 가계부'!A333),100)))=MOD(INT('월 가계부'!A333/100),100),DATE(INT('월 가계부'!A333/10000),MOD(INT('월 가계부'!A333/100),100),MOD(INT('월 가계부'!A333),100)),""),""),IF(AND('월 가계부'!A333&gt;=36526,'월 가계부'!A333&lt;73051),INT('월 가계부'!A333),"")),IF(OR(CM333="",CN333="",CO333=""),"",IF(AND(CM333&gt;=2000,CM333&lt;=2099,CN333&gt;=1,CN333&lt;=12,CO333&gt;=1,CO333&lt;=31),IF(MONTH(DATE(CM333,CN333,CO333))=CN333,DATE(CM333,CN333,CO333),""),"")))),"")</f>
        <v/>
      </c>
      <c r="CJ333">
        <f>IFERROR(IF('월 가계부'!C333="","",IF(ISNUMBER('월 가계부'!C333),'월 가계부'!C333,VALUE(SUBSTITUTE(SUBSTITUTE(SUBSTITUTE(SUBSTITUTE(TRIM('월 가계부'!C333),",",""),"원","")," ",""),"−","-")))),"")</f>
        <v/>
      </c>
      <c r="CK333">
        <f>IF(ISNUMBER(CI333),IF(CI333&lt;$B$13,CI333,""),"")</f>
        <v/>
      </c>
      <c r="CM333">
        <f>IF(CH333="","",IFERROR(IF(IF(AND(LEN(CH333)=9,ISERROR(FIND("-",LEFT(CH333,8))),ISNUMBER(-LEFT(CH333,8))),VALUE(LEFT(CH333,4)),VALUE(LEFT(CH333,FIND("-",CH333)-1)))&lt;100,IF(AND(LEN(CH333)=9,ISERROR(FIND("-",LEFT(CH333,8))),ISNUMBER(-LEFT(CH333,8))),VALUE(LEFT(CH333,4)),VALUE(LEFT(CH333,FIND("-",CH333)-1)))+2000,IF(AND(LEN(CH333)=9,ISERROR(FIND("-",LEFT(CH333,8))),ISNUMBER(-LEFT(CH333,8))),VALUE(LEFT(CH333,4)),VALUE(LEFT(CH333,FIND("-",CH333)-1)))),""))</f>
        <v/>
      </c>
      <c r="CN333">
        <f>IF(CH333="","",IFERROR(IF(AND(LEN(CH333)=9,ISERROR(FIND("-",LEFT(CH333,8))),ISNUMBER(-LEFT(CH333,8))),VALUE(MID(CH333,5,2)),VALUE(MID(CH333,FIND("-",CH333)+1,FIND("-",CH333,FIND("-",CH333)+1)-FIND("-",CH333)-1))),""))</f>
        <v/>
      </c>
      <c r="CO333">
        <f>IF(CH333="","",IFERROR(IF(AND(LEN(CH333)=9,ISERROR(FIND("-",LEFT(CH333,8))),ISNUMBER(-LEFT(CH333,8))),VALUE(MID(CH333,7,2)),VALUE(MID(CH333,FIND("-",CH333,FIND("-",CH333)+1)+1,FIND("-",CH333,FIND("-",CH333,FIND("-",CH333)+1)+1)-FIND("-",CH333,FIND("-",CH333)+1)-1))),""))</f>
        <v/>
      </c>
    </row>
    <row r="334">
      <c r="CH334">
        <f>IF(ISTEXT('월 가계부'!A334),SUBSTITUTE(SUBSTITUTE(SUBSTITUTE(SUBSTITUTE(SUBSTITUTE(SUBSTITUTE(SUBSTITUTE(SUBSTITUTE(SUBSTITUTE(TRIM('월 가계부'!A334),"년","-"),"월","-"),"일",""),".","-"),"/","-")," ","-"),"--","-"),"--","-"),"--","-")&amp;"-","")</f>
        <v/>
      </c>
      <c r="CI334">
        <f>IFERROR(IF('월 가계부'!A334="","",IF(ISNUMBER('월 가계부'!A334),IF(AND('월 가계부'!A334&gt;=19000101,'월 가계부'!A334&lt;=21001231),IF(AND(MOD(INT('월 가계부'!A334/100),100)&gt;=1,MOD(INT('월 가계부'!A334/100),100)&lt;=12,MOD(INT('월 가계부'!A334),100)&gt;=1,MOD(INT('월 가계부'!A334),100)&lt;=31),IF(MONTH(DATE(INT('월 가계부'!A334/10000),MOD(INT('월 가계부'!A334/100),100),MOD(INT('월 가계부'!A334),100)))=MOD(INT('월 가계부'!A334/100),100),DATE(INT('월 가계부'!A334/10000),MOD(INT('월 가계부'!A334/100),100),MOD(INT('월 가계부'!A334),100)),""),""),IF(AND('월 가계부'!A334&gt;=36526,'월 가계부'!A334&lt;73051),INT('월 가계부'!A334),"")),IF(OR(CM334="",CN334="",CO334=""),"",IF(AND(CM334&gt;=2000,CM334&lt;=2099,CN334&gt;=1,CN334&lt;=12,CO334&gt;=1,CO334&lt;=31),IF(MONTH(DATE(CM334,CN334,CO334))=CN334,DATE(CM334,CN334,CO334),""),"")))),"")</f>
        <v/>
      </c>
      <c r="CJ334">
        <f>IFERROR(IF('월 가계부'!C334="","",IF(ISNUMBER('월 가계부'!C334),'월 가계부'!C334,VALUE(SUBSTITUTE(SUBSTITUTE(SUBSTITUTE(SUBSTITUTE(TRIM('월 가계부'!C334),",",""),"원","")," ",""),"−","-")))),"")</f>
        <v/>
      </c>
      <c r="CK334">
        <f>IF(ISNUMBER(CI334),IF(CI334&lt;$B$13,CI334,""),"")</f>
        <v/>
      </c>
      <c r="CM334">
        <f>IF(CH334="","",IFERROR(IF(IF(AND(LEN(CH334)=9,ISERROR(FIND("-",LEFT(CH334,8))),ISNUMBER(-LEFT(CH334,8))),VALUE(LEFT(CH334,4)),VALUE(LEFT(CH334,FIND("-",CH334)-1)))&lt;100,IF(AND(LEN(CH334)=9,ISERROR(FIND("-",LEFT(CH334,8))),ISNUMBER(-LEFT(CH334,8))),VALUE(LEFT(CH334,4)),VALUE(LEFT(CH334,FIND("-",CH334)-1)))+2000,IF(AND(LEN(CH334)=9,ISERROR(FIND("-",LEFT(CH334,8))),ISNUMBER(-LEFT(CH334,8))),VALUE(LEFT(CH334,4)),VALUE(LEFT(CH334,FIND("-",CH334)-1)))),""))</f>
        <v/>
      </c>
      <c r="CN334">
        <f>IF(CH334="","",IFERROR(IF(AND(LEN(CH334)=9,ISERROR(FIND("-",LEFT(CH334,8))),ISNUMBER(-LEFT(CH334,8))),VALUE(MID(CH334,5,2)),VALUE(MID(CH334,FIND("-",CH334)+1,FIND("-",CH334,FIND("-",CH334)+1)-FIND("-",CH334)-1))),""))</f>
        <v/>
      </c>
      <c r="CO334">
        <f>IF(CH334="","",IFERROR(IF(AND(LEN(CH334)=9,ISERROR(FIND("-",LEFT(CH334,8))),ISNUMBER(-LEFT(CH334,8))),VALUE(MID(CH334,7,2)),VALUE(MID(CH334,FIND("-",CH334,FIND("-",CH334)+1)+1,FIND("-",CH334,FIND("-",CH334,FIND("-",CH334)+1)+1)-FIND("-",CH334,FIND("-",CH334)+1)-1))),""))</f>
        <v/>
      </c>
    </row>
    <row r="335">
      <c r="CH335">
        <f>IF(ISTEXT('월 가계부'!A335),SUBSTITUTE(SUBSTITUTE(SUBSTITUTE(SUBSTITUTE(SUBSTITUTE(SUBSTITUTE(SUBSTITUTE(SUBSTITUTE(SUBSTITUTE(TRIM('월 가계부'!A335),"년","-"),"월","-"),"일",""),".","-"),"/","-")," ","-"),"--","-"),"--","-"),"--","-")&amp;"-","")</f>
        <v/>
      </c>
      <c r="CI335">
        <f>IFERROR(IF('월 가계부'!A335="","",IF(ISNUMBER('월 가계부'!A335),IF(AND('월 가계부'!A335&gt;=19000101,'월 가계부'!A335&lt;=21001231),IF(AND(MOD(INT('월 가계부'!A335/100),100)&gt;=1,MOD(INT('월 가계부'!A335/100),100)&lt;=12,MOD(INT('월 가계부'!A335),100)&gt;=1,MOD(INT('월 가계부'!A335),100)&lt;=31),IF(MONTH(DATE(INT('월 가계부'!A335/10000),MOD(INT('월 가계부'!A335/100),100),MOD(INT('월 가계부'!A335),100)))=MOD(INT('월 가계부'!A335/100),100),DATE(INT('월 가계부'!A335/10000),MOD(INT('월 가계부'!A335/100),100),MOD(INT('월 가계부'!A335),100)),""),""),IF(AND('월 가계부'!A335&gt;=36526,'월 가계부'!A335&lt;73051),INT('월 가계부'!A335),"")),IF(OR(CM335="",CN335="",CO335=""),"",IF(AND(CM335&gt;=2000,CM335&lt;=2099,CN335&gt;=1,CN335&lt;=12,CO335&gt;=1,CO335&lt;=31),IF(MONTH(DATE(CM335,CN335,CO335))=CN335,DATE(CM335,CN335,CO335),""),"")))),"")</f>
        <v/>
      </c>
      <c r="CJ335">
        <f>IFERROR(IF('월 가계부'!C335="","",IF(ISNUMBER('월 가계부'!C335),'월 가계부'!C335,VALUE(SUBSTITUTE(SUBSTITUTE(SUBSTITUTE(SUBSTITUTE(TRIM('월 가계부'!C335),",",""),"원","")," ",""),"−","-")))),"")</f>
        <v/>
      </c>
      <c r="CK335">
        <f>IF(ISNUMBER(CI335),IF(CI335&lt;$B$13,CI335,""),"")</f>
        <v/>
      </c>
      <c r="CM335">
        <f>IF(CH335="","",IFERROR(IF(IF(AND(LEN(CH335)=9,ISERROR(FIND("-",LEFT(CH335,8))),ISNUMBER(-LEFT(CH335,8))),VALUE(LEFT(CH335,4)),VALUE(LEFT(CH335,FIND("-",CH335)-1)))&lt;100,IF(AND(LEN(CH335)=9,ISERROR(FIND("-",LEFT(CH335,8))),ISNUMBER(-LEFT(CH335,8))),VALUE(LEFT(CH335,4)),VALUE(LEFT(CH335,FIND("-",CH335)-1)))+2000,IF(AND(LEN(CH335)=9,ISERROR(FIND("-",LEFT(CH335,8))),ISNUMBER(-LEFT(CH335,8))),VALUE(LEFT(CH335,4)),VALUE(LEFT(CH335,FIND("-",CH335)-1)))),""))</f>
        <v/>
      </c>
      <c r="CN335">
        <f>IF(CH335="","",IFERROR(IF(AND(LEN(CH335)=9,ISERROR(FIND("-",LEFT(CH335,8))),ISNUMBER(-LEFT(CH335,8))),VALUE(MID(CH335,5,2)),VALUE(MID(CH335,FIND("-",CH335)+1,FIND("-",CH335,FIND("-",CH335)+1)-FIND("-",CH335)-1))),""))</f>
        <v/>
      </c>
      <c r="CO335">
        <f>IF(CH335="","",IFERROR(IF(AND(LEN(CH335)=9,ISERROR(FIND("-",LEFT(CH335,8))),ISNUMBER(-LEFT(CH335,8))),VALUE(MID(CH335,7,2)),VALUE(MID(CH335,FIND("-",CH335,FIND("-",CH335)+1)+1,FIND("-",CH335,FIND("-",CH335,FIND("-",CH335)+1)+1)-FIND("-",CH335,FIND("-",CH335)+1)-1))),""))</f>
        <v/>
      </c>
    </row>
    <row r="336">
      <c r="CH336">
        <f>IF(ISTEXT('월 가계부'!A336),SUBSTITUTE(SUBSTITUTE(SUBSTITUTE(SUBSTITUTE(SUBSTITUTE(SUBSTITUTE(SUBSTITUTE(SUBSTITUTE(SUBSTITUTE(TRIM('월 가계부'!A336),"년","-"),"월","-"),"일",""),".","-"),"/","-")," ","-"),"--","-"),"--","-"),"--","-")&amp;"-","")</f>
        <v/>
      </c>
      <c r="CI336">
        <f>IFERROR(IF('월 가계부'!A336="","",IF(ISNUMBER('월 가계부'!A336),IF(AND('월 가계부'!A336&gt;=19000101,'월 가계부'!A336&lt;=21001231),IF(AND(MOD(INT('월 가계부'!A336/100),100)&gt;=1,MOD(INT('월 가계부'!A336/100),100)&lt;=12,MOD(INT('월 가계부'!A336),100)&gt;=1,MOD(INT('월 가계부'!A336),100)&lt;=31),IF(MONTH(DATE(INT('월 가계부'!A336/10000),MOD(INT('월 가계부'!A336/100),100),MOD(INT('월 가계부'!A336),100)))=MOD(INT('월 가계부'!A336/100),100),DATE(INT('월 가계부'!A336/10000),MOD(INT('월 가계부'!A336/100),100),MOD(INT('월 가계부'!A336),100)),""),""),IF(AND('월 가계부'!A336&gt;=36526,'월 가계부'!A336&lt;73051),INT('월 가계부'!A336),"")),IF(OR(CM336="",CN336="",CO336=""),"",IF(AND(CM336&gt;=2000,CM336&lt;=2099,CN336&gt;=1,CN336&lt;=12,CO336&gt;=1,CO336&lt;=31),IF(MONTH(DATE(CM336,CN336,CO336))=CN336,DATE(CM336,CN336,CO336),""),"")))),"")</f>
        <v/>
      </c>
      <c r="CJ336">
        <f>IFERROR(IF('월 가계부'!C336="","",IF(ISNUMBER('월 가계부'!C336),'월 가계부'!C336,VALUE(SUBSTITUTE(SUBSTITUTE(SUBSTITUTE(SUBSTITUTE(TRIM('월 가계부'!C336),",",""),"원","")," ",""),"−","-")))),"")</f>
        <v/>
      </c>
      <c r="CK336">
        <f>IF(ISNUMBER(CI336),IF(CI336&lt;$B$13,CI336,""),"")</f>
        <v/>
      </c>
      <c r="CM336">
        <f>IF(CH336="","",IFERROR(IF(IF(AND(LEN(CH336)=9,ISERROR(FIND("-",LEFT(CH336,8))),ISNUMBER(-LEFT(CH336,8))),VALUE(LEFT(CH336,4)),VALUE(LEFT(CH336,FIND("-",CH336)-1)))&lt;100,IF(AND(LEN(CH336)=9,ISERROR(FIND("-",LEFT(CH336,8))),ISNUMBER(-LEFT(CH336,8))),VALUE(LEFT(CH336,4)),VALUE(LEFT(CH336,FIND("-",CH336)-1)))+2000,IF(AND(LEN(CH336)=9,ISERROR(FIND("-",LEFT(CH336,8))),ISNUMBER(-LEFT(CH336,8))),VALUE(LEFT(CH336,4)),VALUE(LEFT(CH336,FIND("-",CH336)-1)))),""))</f>
        <v/>
      </c>
      <c r="CN336">
        <f>IF(CH336="","",IFERROR(IF(AND(LEN(CH336)=9,ISERROR(FIND("-",LEFT(CH336,8))),ISNUMBER(-LEFT(CH336,8))),VALUE(MID(CH336,5,2)),VALUE(MID(CH336,FIND("-",CH336)+1,FIND("-",CH336,FIND("-",CH336)+1)-FIND("-",CH336)-1))),""))</f>
        <v/>
      </c>
      <c r="CO336">
        <f>IF(CH336="","",IFERROR(IF(AND(LEN(CH336)=9,ISERROR(FIND("-",LEFT(CH336,8))),ISNUMBER(-LEFT(CH336,8))),VALUE(MID(CH336,7,2)),VALUE(MID(CH336,FIND("-",CH336,FIND("-",CH336)+1)+1,FIND("-",CH336,FIND("-",CH336,FIND("-",CH336)+1)+1)-FIND("-",CH336,FIND("-",CH336)+1)-1))),""))</f>
        <v/>
      </c>
    </row>
    <row r="337">
      <c r="CH337">
        <f>IF(ISTEXT('월 가계부'!A337),SUBSTITUTE(SUBSTITUTE(SUBSTITUTE(SUBSTITUTE(SUBSTITUTE(SUBSTITUTE(SUBSTITUTE(SUBSTITUTE(SUBSTITUTE(TRIM('월 가계부'!A337),"년","-"),"월","-"),"일",""),".","-"),"/","-")," ","-"),"--","-"),"--","-"),"--","-")&amp;"-","")</f>
        <v/>
      </c>
      <c r="CI337">
        <f>IFERROR(IF('월 가계부'!A337="","",IF(ISNUMBER('월 가계부'!A337),IF(AND('월 가계부'!A337&gt;=19000101,'월 가계부'!A337&lt;=21001231),IF(AND(MOD(INT('월 가계부'!A337/100),100)&gt;=1,MOD(INT('월 가계부'!A337/100),100)&lt;=12,MOD(INT('월 가계부'!A337),100)&gt;=1,MOD(INT('월 가계부'!A337),100)&lt;=31),IF(MONTH(DATE(INT('월 가계부'!A337/10000),MOD(INT('월 가계부'!A337/100),100),MOD(INT('월 가계부'!A337),100)))=MOD(INT('월 가계부'!A337/100),100),DATE(INT('월 가계부'!A337/10000),MOD(INT('월 가계부'!A337/100),100),MOD(INT('월 가계부'!A337),100)),""),""),IF(AND('월 가계부'!A337&gt;=36526,'월 가계부'!A337&lt;73051),INT('월 가계부'!A337),"")),IF(OR(CM337="",CN337="",CO337=""),"",IF(AND(CM337&gt;=2000,CM337&lt;=2099,CN337&gt;=1,CN337&lt;=12,CO337&gt;=1,CO337&lt;=31),IF(MONTH(DATE(CM337,CN337,CO337))=CN337,DATE(CM337,CN337,CO337),""),"")))),"")</f>
        <v/>
      </c>
      <c r="CJ337">
        <f>IFERROR(IF('월 가계부'!C337="","",IF(ISNUMBER('월 가계부'!C337),'월 가계부'!C337,VALUE(SUBSTITUTE(SUBSTITUTE(SUBSTITUTE(SUBSTITUTE(TRIM('월 가계부'!C337),",",""),"원","")," ",""),"−","-")))),"")</f>
        <v/>
      </c>
      <c r="CK337">
        <f>IF(ISNUMBER(CI337),IF(CI337&lt;$B$13,CI337,""),"")</f>
        <v/>
      </c>
      <c r="CM337">
        <f>IF(CH337="","",IFERROR(IF(IF(AND(LEN(CH337)=9,ISERROR(FIND("-",LEFT(CH337,8))),ISNUMBER(-LEFT(CH337,8))),VALUE(LEFT(CH337,4)),VALUE(LEFT(CH337,FIND("-",CH337)-1)))&lt;100,IF(AND(LEN(CH337)=9,ISERROR(FIND("-",LEFT(CH337,8))),ISNUMBER(-LEFT(CH337,8))),VALUE(LEFT(CH337,4)),VALUE(LEFT(CH337,FIND("-",CH337)-1)))+2000,IF(AND(LEN(CH337)=9,ISERROR(FIND("-",LEFT(CH337,8))),ISNUMBER(-LEFT(CH337,8))),VALUE(LEFT(CH337,4)),VALUE(LEFT(CH337,FIND("-",CH337)-1)))),""))</f>
        <v/>
      </c>
      <c r="CN337">
        <f>IF(CH337="","",IFERROR(IF(AND(LEN(CH337)=9,ISERROR(FIND("-",LEFT(CH337,8))),ISNUMBER(-LEFT(CH337,8))),VALUE(MID(CH337,5,2)),VALUE(MID(CH337,FIND("-",CH337)+1,FIND("-",CH337,FIND("-",CH337)+1)-FIND("-",CH337)-1))),""))</f>
        <v/>
      </c>
      <c r="CO337">
        <f>IF(CH337="","",IFERROR(IF(AND(LEN(CH337)=9,ISERROR(FIND("-",LEFT(CH337,8))),ISNUMBER(-LEFT(CH337,8))),VALUE(MID(CH337,7,2)),VALUE(MID(CH337,FIND("-",CH337,FIND("-",CH337)+1)+1,FIND("-",CH337,FIND("-",CH337,FIND("-",CH337)+1)+1)-FIND("-",CH337,FIND("-",CH337)+1)-1))),""))</f>
        <v/>
      </c>
    </row>
    <row r="338">
      <c r="CH338">
        <f>IF(ISTEXT('월 가계부'!A338),SUBSTITUTE(SUBSTITUTE(SUBSTITUTE(SUBSTITUTE(SUBSTITUTE(SUBSTITUTE(SUBSTITUTE(SUBSTITUTE(SUBSTITUTE(TRIM('월 가계부'!A338),"년","-"),"월","-"),"일",""),".","-"),"/","-")," ","-"),"--","-"),"--","-"),"--","-")&amp;"-","")</f>
        <v/>
      </c>
      <c r="CI338">
        <f>IFERROR(IF('월 가계부'!A338="","",IF(ISNUMBER('월 가계부'!A338),IF(AND('월 가계부'!A338&gt;=19000101,'월 가계부'!A338&lt;=21001231),IF(AND(MOD(INT('월 가계부'!A338/100),100)&gt;=1,MOD(INT('월 가계부'!A338/100),100)&lt;=12,MOD(INT('월 가계부'!A338),100)&gt;=1,MOD(INT('월 가계부'!A338),100)&lt;=31),IF(MONTH(DATE(INT('월 가계부'!A338/10000),MOD(INT('월 가계부'!A338/100),100),MOD(INT('월 가계부'!A338),100)))=MOD(INT('월 가계부'!A338/100),100),DATE(INT('월 가계부'!A338/10000),MOD(INT('월 가계부'!A338/100),100),MOD(INT('월 가계부'!A338),100)),""),""),IF(AND('월 가계부'!A338&gt;=36526,'월 가계부'!A338&lt;73051),INT('월 가계부'!A338),"")),IF(OR(CM338="",CN338="",CO338=""),"",IF(AND(CM338&gt;=2000,CM338&lt;=2099,CN338&gt;=1,CN338&lt;=12,CO338&gt;=1,CO338&lt;=31),IF(MONTH(DATE(CM338,CN338,CO338))=CN338,DATE(CM338,CN338,CO338),""),"")))),"")</f>
        <v/>
      </c>
      <c r="CJ338">
        <f>IFERROR(IF('월 가계부'!C338="","",IF(ISNUMBER('월 가계부'!C338),'월 가계부'!C338,VALUE(SUBSTITUTE(SUBSTITUTE(SUBSTITUTE(SUBSTITUTE(TRIM('월 가계부'!C338),",",""),"원","")," ",""),"−","-")))),"")</f>
        <v/>
      </c>
      <c r="CK338">
        <f>IF(ISNUMBER(CI338),IF(CI338&lt;$B$13,CI338,""),"")</f>
        <v/>
      </c>
      <c r="CM338">
        <f>IF(CH338="","",IFERROR(IF(IF(AND(LEN(CH338)=9,ISERROR(FIND("-",LEFT(CH338,8))),ISNUMBER(-LEFT(CH338,8))),VALUE(LEFT(CH338,4)),VALUE(LEFT(CH338,FIND("-",CH338)-1)))&lt;100,IF(AND(LEN(CH338)=9,ISERROR(FIND("-",LEFT(CH338,8))),ISNUMBER(-LEFT(CH338,8))),VALUE(LEFT(CH338,4)),VALUE(LEFT(CH338,FIND("-",CH338)-1)))+2000,IF(AND(LEN(CH338)=9,ISERROR(FIND("-",LEFT(CH338,8))),ISNUMBER(-LEFT(CH338,8))),VALUE(LEFT(CH338,4)),VALUE(LEFT(CH338,FIND("-",CH338)-1)))),""))</f>
        <v/>
      </c>
      <c r="CN338">
        <f>IF(CH338="","",IFERROR(IF(AND(LEN(CH338)=9,ISERROR(FIND("-",LEFT(CH338,8))),ISNUMBER(-LEFT(CH338,8))),VALUE(MID(CH338,5,2)),VALUE(MID(CH338,FIND("-",CH338)+1,FIND("-",CH338,FIND("-",CH338)+1)-FIND("-",CH338)-1))),""))</f>
        <v/>
      </c>
      <c r="CO338">
        <f>IF(CH338="","",IFERROR(IF(AND(LEN(CH338)=9,ISERROR(FIND("-",LEFT(CH338,8))),ISNUMBER(-LEFT(CH338,8))),VALUE(MID(CH338,7,2)),VALUE(MID(CH338,FIND("-",CH338,FIND("-",CH338)+1)+1,FIND("-",CH338,FIND("-",CH338,FIND("-",CH338)+1)+1)-FIND("-",CH338,FIND("-",CH338)+1)-1))),""))</f>
        <v/>
      </c>
    </row>
    <row r="339">
      <c r="CH339">
        <f>IF(ISTEXT('월 가계부'!A339),SUBSTITUTE(SUBSTITUTE(SUBSTITUTE(SUBSTITUTE(SUBSTITUTE(SUBSTITUTE(SUBSTITUTE(SUBSTITUTE(SUBSTITUTE(TRIM('월 가계부'!A339),"년","-"),"월","-"),"일",""),".","-"),"/","-")," ","-"),"--","-"),"--","-"),"--","-")&amp;"-","")</f>
        <v/>
      </c>
      <c r="CI339">
        <f>IFERROR(IF('월 가계부'!A339="","",IF(ISNUMBER('월 가계부'!A339),IF(AND('월 가계부'!A339&gt;=19000101,'월 가계부'!A339&lt;=21001231),IF(AND(MOD(INT('월 가계부'!A339/100),100)&gt;=1,MOD(INT('월 가계부'!A339/100),100)&lt;=12,MOD(INT('월 가계부'!A339),100)&gt;=1,MOD(INT('월 가계부'!A339),100)&lt;=31),IF(MONTH(DATE(INT('월 가계부'!A339/10000),MOD(INT('월 가계부'!A339/100),100),MOD(INT('월 가계부'!A339),100)))=MOD(INT('월 가계부'!A339/100),100),DATE(INT('월 가계부'!A339/10000),MOD(INT('월 가계부'!A339/100),100),MOD(INT('월 가계부'!A339),100)),""),""),IF(AND('월 가계부'!A339&gt;=36526,'월 가계부'!A339&lt;73051),INT('월 가계부'!A339),"")),IF(OR(CM339="",CN339="",CO339=""),"",IF(AND(CM339&gt;=2000,CM339&lt;=2099,CN339&gt;=1,CN339&lt;=12,CO339&gt;=1,CO339&lt;=31),IF(MONTH(DATE(CM339,CN339,CO339))=CN339,DATE(CM339,CN339,CO339),""),"")))),"")</f>
        <v/>
      </c>
      <c r="CJ339">
        <f>IFERROR(IF('월 가계부'!C339="","",IF(ISNUMBER('월 가계부'!C339),'월 가계부'!C339,VALUE(SUBSTITUTE(SUBSTITUTE(SUBSTITUTE(SUBSTITUTE(TRIM('월 가계부'!C339),",",""),"원","")," ",""),"−","-")))),"")</f>
        <v/>
      </c>
      <c r="CK339">
        <f>IF(ISNUMBER(CI339),IF(CI339&lt;$B$13,CI339,""),"")</f>
        <v/>
      </c>
      <c r="CM339">
        <f>IF(CH339="","",IFERROR(IF(IF(AND(LEN(CH339)=9,ISERROR(FIND("-",LEFT(CH339,8))),ISNUMBER(-LEFT(CH339,8))),VALUE(LEFT(CH339,4)),VALUE(LEFT(CH339,FIND("-",CH339)-1)))&lt;100,IF(AND(LEN(CH339)=9,ISERROR(FIND("-",LEFT(CH339,8))),ISNUMBER(-LEFT(CH339,8))),VALUE(LEFT(CH339,4)),VALUE(LEFT(CH339,FIND("-",CH339)-1)))+2000,IF(AND(LEN(CH339)=9,ISERROR(FIND("-",LEFT(CH339,8))),ISNUMBER(-LEFT(CH339,8))),VALUE(LEFT(CH339,4)),VALUE(LEFT(CH339,FIND("-",CH339)-1)))),""))</f>
        <v/>
      </c>
      <c r="CN339">
        <f>IF(CH339="","",IFERROR(IF(AND(LEN(CH339)=9,ISERROR(FIND("-",LEFT(CH339,8))),ISNUMBER(-LEFT(CH339,8))),VALUE(MID(CH339,5,2)),VALUE(MID(CH339,FIND("-",CH339)+1,FIND("-",CH339,FIND("-",CH339)+1)-FIND("-",CH339)-1))),""))</f>
        <v/>
      </c>
      <c r="CO339">
        <f>IF(CH339="","",IFERROR(IF(AND(LEN(CH339)=9,ISERROR(FIND("-",LEFT(CH339,8))),ISNUMBER(-LEFT(CH339,8))),VALUE(MID(CH339,7,2)),VALUE(MID(CH339,FIND("-",CH339,FIND("-",CH339)+1)+1,FIND("-",CH339,FIND("-",CH339,FIND("-",CH339)+1)+1)-FIND("-",CH339,FIND("-",CH339)+1)-1))),""))</f>
        <v/>
      </c>
    </row>
    <row r="340">
      <c r="CH340">
        <f>IF(ISTEXT('월 가계부'!A340),SUBSTITUTE(SUBSTITUTE(SUBSTITUTE(SUBSTITUTE(SUBSTITUTE(SUBSTITUTE(SUBSTITUTE(SUBSTITUTE(SUBSTITUTE(TRIM('월 가계부'!A340),"년","-"),"월","-"),"일",""),".","-"),"/","-")," ","-"),"--","-"),"--","-"),"--","-")&amp;"-","")</f>
        <v/>
      </c>
      <c r="CI340">
        <f>IFERROR(IF('월 가계부'!A340="","",IF(ISNUMBER('월 가계부'!A340),IF(AND('월 가계부'!A340&gt;=19000101,'월 가계부'!A340&lt;=21001231),IF(AND(MOD(INT('월 가계부'!A340/100),100)&gt;=1,MOD(INT('월 가계부'!A340/100),100)&lt;=12,MOD(INT('월 가계부'!A340),100)&gt;=1,MOD(INT('월 가계부'!A340),100)&lt;=31),IF(MONTH(DATE(INT('월 가계부'!A340/10000),MOD(INT('월 가계부'!A340/100),100),MOD(INT('월 가계부'!A340),100)))=MOD(INT('월 가계부'!A340/100),100),DATE(INT('월 가계부'!A340/10000),MOD(INT('월 가계부'!A340/100),100),MOD(INT('월 가계부'!A340),100)),""),""),IF(AND('월 가계부'!A340&gt;=36526,'월 가계부'!A340&lt;73051),INT('월 가계부'!A340),"")),IF(OR(CM340="",CN340="",CO340=""),"",IF(AND(CM340&gt;=2000,CM340&lt;=2099,CN340&gt;=1,CN340&lt;=12,CO340&gt;=1,CO340&lt;=31),IF(MONTH(DATE(CM340,CN340,CO340))=CN340,DATE(CM340,CN340,CO340),""),"")))),"")</f>
        <v/>
      </c>
      <c r="CJ340">
        <f>IFERROR(IF('월 가계부'!C340="","",IF(ISNUMBER('월 가계부'!C340),'월 가계부'!C340,VALUE(SUBSTITUTE(SUBSTITUTE(SUBSTITUTE(SUBSTITUTE(TRIM('월 가계부'!C340),",",""),"원","")," ",""),"−","-")))),"")</f>
        <v/>
      </c>
      <c r="CK340">
        <f>IF(ISNUMBER(CI340),IF(CI340&lt;$B$13,CI340,""),"")</f>
        <v/>
      </c>
      <c r="CM340">
        <f>IF(CH340="","",IFERROR(IF(IF(AND(LEN(CH340)=9,ISERROR(FIND("-",LEFT(CH340,8))),ISNUMBER(-LEFT(CH340,8))),VALUE(LEFT(CH340,4)),VALUE(LEFT(CH340,FIND("-",CH340)-1)))&lt;100,IF(AND(LEN(CH340)=9,ISERROR(FIND("-",LEFT(CH340,8))),ISNUMBER(-LEFT(CH340,8))),VALUE(LEFT(CH340,4)),VALUE(LEFT(CH340,FIND("-",CH340)-1)))+2000,IF(AND(LEN(CH340)=9,ISERROR(FIND("-",LEFT(CH340,8))),ISNUMBER(-LEFT(CH340,8))),VALUE(LEFT(CH340,4)),VALUE(LEFT(CH340,FIND("-",CH340)-1)))),""))</f>
        <v/>
      </c>
      <c r="CN340">
        <f>IF(CH340="","",IFERROR(IF(AND(LEN(CH340)=9,ISERROR(FIND("-",LEFT(CH340,8))),ISNUMBER(-LEFT(CH340,8))),VALUE(MID(CH340,5,2)),VALUE(MID(CH340,FIND("-",CH340)+1,FIND("-",CH340,FIND("-",CH340)+1)-FIND("-",CH340)-1))),""))</f>
        <v/>
      </c>
      <c r="CO340">
        <f>IF(CH340="","",IFERROR(IF(AND(LEN(CH340)=9,ISERROR(FIND("-",LEFT(CH340,8))),ISNUMBER(-LEFT(CH340,8))),VALUE(MID(CH340,7,2)),VALUE(MID(CH340,FIND("-",CH340,FIND("-",CH340)+1)+1,FIND("-",CH340,FIND("-",CH340,FIND("-",CH340)+1)+1)-FIND("-",CH340,FIND("-",CH340)+1)-1))),""))</f>
        <v/>
      </c>
    </row>
    <row r="341">
      <c r="CH341">
        <f>IF(ISTEXT('월 가계부'!A341),SUBSTITUTE(SUBSTITUTE(SUBSTITUTE(SUBSTITUTE(SUBSTITUTE(SUBSTITUTE(SUBSTITUTE(SUBSTITUTE(SUBSTITUTE(TRIM('월 가계부'!A341),"년","-"),"월","-"),"일",""),".","-"),"/","-")," ","-"),"--","-"),"--","-"),"--","-")&amp;"-","")</f>
        <v/>
      </c>
      <c r="CI341">
        <f>IFERROR(IF('월 가계부'!A341="","",IF(ISNUMBER('월 가계부'!A341),IF(AND('월 가계부'!A341&gt;=19000101,'월 가계부'!A341&lt;=21001231),IF(AND(MOD(INT('월 가계부'!A341/100),100)&gt;=1,MOD(INT('월 가계부'!A341/100),100)&lt;=12,MOD(INT('월 가계부'!A341),100)&gt;=1,MOD(INT('월 가계부'!A341),100)&lt;=31),IF(MONTH(DATE(INT('월 가계부'!A341/10000),MOD(INT('월 가계부'!A341/100),100),MOD(INT('월 가계부'!A341),100)))=MOD(INT('월 가계부'!A341/100),100),DATE(INT('월 가계부'!A341/10000),MOD(INT('월 가계부'!A341/100),100),MOD(INT('월 가계부'!A341),100)),""),""),IF(AND('월 가계부'!A341&gt;=36526,'월 가계부'!A341&lt;73051),INT('월 가계부'!A341),"")),IF(OR(CM341="",CN341="",CO341=""),"",IF(AND(CM341&gt;=2000,CM341&lt;=2099,CN341&gt;=1,CN341&lt;=12,CO341&gt;=1,CO341&lt;=31),IF(MONTH(DATE(CM341,CN341,CO341))=CN341,DATE(CM341,CN341,CO341),""),"")))),"")</f>
        <v/>
      </c>
      <c r="CJ341">
        <f>IFERROR(IF('월 가계부'!C341="","",IF(ISNUMBER('월 가계부'!C341),'월 가계부'!C341,VALUE(SUBSTITUTE(SUBSTITUTE(SUBSTITUTE(SUBSTITUTE(TRIM('월 가계부'!C341),",",""),"원","")," ",""),"−","-")))),"")</f>
        <v/>
      </c>
      <c r="CK341">
        <f>IF(ISNUMBER(CI341),IF(CI341&lt;$B$13,CI341,""),"")</f>
        <v/>
      </c>
      <c r="CM341">
        <f>IF(CH341="","",IFERROR(IF(IF(AND(LEN(CH341)=9,ISERROR(FIND("-",LEFT(CH341,8))),ISNUMBER(-LEFT(CH341,8))),VALUE(LEFT(CH341,4)),VALUE(LEFT(CH341,FIND("-",CH341)-1)))&lt;100,IF(AND(LEN(CH341)=9,ISERROR(FIND("-",LEFT(CH341,8))),ISNUMBER(-LEFT(CH341,8))),VALUE(LEFT(CH341,4)),VALUE(LEFT(CH341,FIND("-",CH341)-1)))+2000,IF(AND(LEN(CH341)=9,ISERROR(FIND("-",LEFT(CH341,8))),ISNUMBER(-LEFT(CH341,8))),VALUE(LEFT(CH341,4)),VALUE(LEFT(CH341,FIND("-",CH341)-1)))),""))</f>
        <v/>
      </c>
      <c r="CN341">
        <f>IF(CH341="","",IFERROR(IF(AND(LEN(CH341)=9,ISERROR(FIND("-",LEFT(CH341,8))),ISNUMBER(-LEFT(CH341,8))),VALUE(MID(CH341,5,2)),VALUE(MID(CH341,FIND("-",CH341)+1,FIND("-",CH341,FIND("-",CH341)+1)-FIND("-",CH341)-1))),""))</f>
        <v/>
      </c>
      <c r="CO341">
        <f>IF(CH341="","",IFERROR(IF(AND(LEN(CH341)=9,ISERROR(FIND("-",LEFT(CH341,8))),ISNUMBER(-LEFT(CH341,8))),VALUE(MID(CH341,7,2)),VALUE(MID(CH341,FIND("-",CH341,FIND("-",CH341)+1)+1,FIND("-",CH341,FIND("-",CH341,FIND("-",CH341)+1)+1)-FIND("-",CH341,FIND("-",CH341)+1)-1))),""))</f>
        <v/>
      </c>
    </row>
    <row r="342">
      <c r="CH342">
        <f>IF(ISTEXT('월 가계부'!A342),SUBSTITUTE(SUBSTITUTE(SUBSTITUTE(SUBSTITUTE(SUBSTITUTE(SUBSTITUTE(SUBSTITUTE(SUBSTITUTE(SUBSTITUTE(TRIM('월 가계부'!A342),"년","-"),"월","-"),"일",""),".","-"),"/","-")," ","-"),"--","-"),"--","-"),"--","-")&amp;"-","")</f>
        <v/>
      </c>
      <c r="CI342">
        <f>IFERROR(IF('월 가계부'!A342="","",IF(ISNUMBER('월 가계부'!A342),IF(AND('월 가계부'!A342&gt;=19000101,'월 가계부'!A342&lt;=21001231),IF(AND(MOD(INT('월 가계부'!A342/100),100)&gt;=1,MOD(INT('월 가계부'!A342/100),100)&lt;=12,MOD(INT('월 가계부'!A342),100)&gt;=1,MOD(INT('월 가계부'!A342),100)&lt;=31),IF(MONTH(DATE(INT('월 가계부'!A342/10000),MOD(INT('월 가계부'!A342/100),100),MOD(INT('월 가계부'!A342),100)))=MOD(INT('월 가계부'!A342/100),100),DATE(INT('월 가계부'!A342/10000),MOD(INT('월 가계부'!A342/100),100),MOD(INT('월 가계부'!A342),100)),""),""),IF(AND('월 가계부'!A342&gt;=36526,'월 가계부'!A342&lt;73051),INT('월 가계부'!A342),"")),IF(OR(CM342="",CN342="",CO342=""),"",IF(AND(CM342&gt;=2000,CM342&lt;=2099,CN342&gt;=1,CN342&lt;=12,CO342&gt;=1,CO342&lt;=31),IF(MONTH(DATE(CM342,CN342,CO342))=CN342,DATE(CM342,CN342,CO342),""),"")))),"")</f>
        <v/>
      </c>
      <c r="CJ342">
        <f>IFERROR(IF('월 가계부'!C342="","",IF(ISNUMBER('월 가계부'!C342),'월 가계부'!C342,VALUE(SUBSTITUTE(SUBSTITUTE(SUBSTITUTE(SUBSTITUTE(TRIM('월 가계부'!C342),",",""),"원","")," ",""),"−","-")))),"")</f>
        <v/>
      </c>
      <c r="CK342">
        <f>IF(ISNUMBER(CI342),IF(CI342&lt;$B$13,CI342,""),"")</f>
        <v/>
      </c>
      <c r="CM342">
        <f>IF(CH342="","",IFERROR(IF(IF(AND(LEN(CH342)=9,ISERROR(FIND("-",LEFT(CH342,8))),ISNUMBER(-LEFT(CH342,8))),VALUE(LEFT(CH342,4)),VALUE(LEFT(CH342,FIND("-",CH342)-1)))&lt;100,IF(AND(LEN(CH342)=9,ISERROR(FIND("-",LEFT(CH342,8))),ISNUMBER(-LEFT(CH342,8))),VALUE(LEFT(CH342,4)),VALUE(LEFT(CH342,FIND("-",CH342)-1)))+2000,IF(AND(LEN(CH342)=9,ISERROR(FIND("-",LEFT(CH342,8))),ISNUMBER(-LEFT(CH342,8))),VALUE(LEFT(CH342,4)),VALUE(LEFT(CH342,FIND("-",CH342)-1)))),""))</f>
        <v/>
      </c>
      <c r="CN342">
        <f>IF(CH342="","",IFERROR(IF(AND(LEN(CH342)=9,ISERROR(FIND("-",LEFT(CH342,8))),ISNUMBER(-LEFT(CH342,8))),VALUE(MID(CH342,5,2)),VALUE(MID(CH342,FIND("-",CH342)+1,FIND("-",CH342,FIND("-",CH342)+1)-FIND("-",CH342)-1))),""))</f>
        <v/>
      </c>
      <c r="CO342">
        <f>IF(CH342="","",IFERROR(IF(AND(LEN(CH342)=9,ISERROR(FIND("-",LEFT(CH342,8))),ISNUMBER(-LEFT(CH342,8))),VALUE(MID(CH342,7,2)),VALUE(MID(CH342,FIND("-",CH342,FIND("-",CH342)+1)+1,FIND("-",CH342,FIND("-",CH342,FIND("-",CH342)+1)+1)-FIND("-",CH342,FIND("-",CH342)+1)-1))),""))</f>
        <v/>
      </c>
    </row>
    <row r="343">
      <c r="CH343">
        <f>IF(ISTEXT('월 가계부'!A343),SUBSTITUTE(SUBSTITUTE(SUBSTITUTE(SUBSTITUTE(SUBSTITUTE(SUBSTITUTE(SUBSTITUTE(SUBSTITUTE(SUBSTITUTE(TRIM('월 가계부'!A343),"년","-"),"월","-"),"일",""),".","-"),"/","-")," ","-"),"--","-"),"--","-"),"--","-")&amp;"-","")</f>
        <v/>
      </c>
      <c r="CI343">
        <f>IFERROR(IF('월 가계부'!A343="","",IF(ISNUMBER('월 가계부'!A343),IF(AND('월 가계부'!A343&gt;=19000101,'월 가계부'!A343&lt;=21001231),IF(AND(MOD(INT('월 가계부'!A343/100),100)&gt;=1,MOD(INT('월 가계부'!A343/100),100)&lt;=12,MOD(INT('월 가계부'!A343),100)&gt;=1,MOD(INT('월 가계부'!A343),100)&lt;=31),IF(MONTH(DATE(INT('월 가계부'!A343/10000),MOD(INT('월 가계부'!A343/100),100),MOD(INT('월 가계부'!A343),100)))=MOD(INT('월 가계부'!A343/100),100),DATE(INT('월 가계부'!A343/10000),MOD(INT('월 가계부'!A343/100),100),MOD(INT('월 가계부'!A343),100)),""),""),IF(AND('월 가계부'!A343&gt;=36526,'월 가계부'!A343&lt;73051),INT('월 가계부'!A343),"")),IF(OR(CM343="",CN343="",CO343=""),"",IF(AND(CM343&gt;=2000,CM343&lt;=2099,CN343&gt;=1,CN343&lt;=12,CO343&gt;=1,CO343&lt;=31),IF(MONTH(DATE(CM343,CN343,CO343))=CN343,DATE(CM343,CN343,CO343),""),"")))),"")</f>
        <v/>
      </c>
      <c r="CJ343">
        <f>IFERROR(IF('월 가계부'!C343="","",IF(ISNUMBER('월 가계부'!C343),'월 가계부'!C343,VALUE(SUBSTITUTE(SUBSTITUTE(SUBSTITUTE(SUBSTITUTE(TRIM('월 가계부'!C343),",",""),"원","")," ",""),"−","-")))),"")</f>
        <v/>
      </c>
      <c r="CK343">
        <f>IF(ISNUMBER(CI343),IF(CI343&lt;$B$13,CI343,""),"")</f>
        <v/>
      </c>
      <c r="CM343">
        <f>IF(CH343="","",IFERROR(IF(IF(AND(LEN(CH343)=9,ISERROR(FIND("-",LEFT(CH343,8))),ISNUMBER(-LEFT(CH343,8))),VALUE(LEFT(CH343,4)),VALUE(LEFT(CH343,FIND("-",CH343)-1)))&lt;100,IF(AND(LEN(CH343)=9,ISERROR(FIND("-",LEFT(CH343,8))),ISNUMBER(-LEFT(CH343,8))),VALUE(LEFT(CH343,4)),VALUE(LEFT(CH343,FIND("-",CH343)-1)))+2000,IF(AND(LEN(CH343)=9,ISERROR(FIND("-",LEFT(CH343,8))),ISNUMBER(-LEFT(CH343,8))),VALUE(LEFT(CH343,4)),VALUE(LEFT(CH343,FIND("-",CH343)-1)))),""))</f>
        <v/>
      </c>
      <c r="CN343">
        <f>IF(CH343="","",IFERROR(IF(AND(LEN(CH343)=9,ISERROR(FIND("-",LEFT(CH343,8))),ISNUMBER(-LEFT(CH343,8))),VALUE(MID(CH343,5,2)),VALUE(MID(CH343,FIND("-",CH343)+1,FIND("-",CH343,FIND("-",CH343)+1)-FIND("-",CH343)-1))),""))</f>
        <v/>
      </c>
      <c r="CO343">
        <f>IF(CH343="","",IFERROR(IF(AND(LEN(CH343)=9,ISERROR(FIND("-",LEFT(CH343,8))),ISNUMBER(-LEFT(CH343,8))),VALUE(MID(CH343,7,2)),VALUE(MID(CH343,FIND("-",CH343,FIND("-",CH343)+1)+1,FIND("-",CH343,FIND("-",CH343,FIND("-",CH343)+1)+1)-FIND("-",CH343,FIND("-",CH343)+1)-1))),""))</f>
        <v/>
      </c>
    </row>
    <row r="344">
      <c r="CH344">
        <f>IF(ISTEXT('월 가계부'!A344),SUBSTITUTE(SUBSTITUTE(SUBSTITUTE(SUBSTITUTE(SUBSTITUTE(SUBSTITUTE(SUBSTITUTE(SUBSTITUTE(SUBSTITUTE(TRIM('월 가계부'!A344),"년","-"),"월","-"),"일",""),".","-"),"/","-")," ","-"),"--","-"),"--","-"),"--","-")&amp;"-","")</f>
        <v/>
      </c>
      <c r="CI344">
        <f>IFERROR(IF('월 가계부'!A344="","",IF(ISNUMBER('월 가계부'!A344),IF(AND('월 가계부'!A344&gt;=19000101,'월 가계부'!A344&lt;=21001231),IF(AND(MOD(INT('월 가계부'!A344/100),100)&gt;=1,MOD(INT('월 가계부'!A344/100),100)&lt;=12,MOD(INT('월 가계부'!A344),100)&gt;=1,MOD(INT('월 가계부'!A344),100)&lt;=31),IF(MONTH(DATE(INT('월 가계부'!A344/10000),MOD(INT('월 가계부'!A344/100),100),MOD(INT('월 가계부'!A344),100)))=MOD(INT('월 가계부'!A344/100),100),DATE(INT('월 가계부'!A344/10000),MOD(INT('월 가계부'!A344/100),100),MOD(INT('월 가계부'!A344),100)),""),""),IF(AND('월 가계부'!A344&gt;=36526,'월 가계부'!A344&lt;73051),INT('월 가계부'!A344),"")),IF(OR(CM344="",CN344="",CO344=""),"",IF(AND(CM344&gt;=2000,CM344&lt;=2099,CN344&gt;=1,CN344&lt;=12,CO344&gt;=1,CO344&lt;=31),IF(MONTH(DATE(CM344,CN344,CO344))=CN344,DATE(CM344,CN344,CO344),""),"")))),"")</f>
        <v/>
      </c>
      <c r="CJ344">
        <f>IFERROR(IF('월 가계부'!C344="","",IF(ISNUMBER('월 가계부'!C344),'월 가계부'!C344,VALUE(SUBSTITUTE(SUBSTITUTE(SUBSTITUTE(SUBSTITUTE(TRIM('월 가계부'!C344),",",""),"원","")," ",""),"−","-")))),"")</f>
        <v/>
      </c>
      <c r="CK344">
        <f>IF(ISNUMBER(CI344),IF(CI344&lt;$B$13,CI344,""),"")</f>
        <v/>
      </c>
      <c r="CM344">
        <f>IF(CH344="","",IFERROR(IF(IF(AND(LEN(CH344)=9,ISERROR(FIND("-",LEFT(CH344,8))),ISNUMBER(-LEFT(CH344,8))),VALUE(LEFT(CH344,4)),VALUE(LEFT(CH344,FIND("-",CH344)-1)))&lt;100,IF(AND(LEN(CH344)=9,ISERROR(FIND("-",LEFT(CH344,8))),ISNUMBER(-LEFT(CH344,8))),VALUE(LEFT(CH344,4)),VALUE(LEFT(CH344,FIND("-",CH344)-1)))+2000,IF(AND(LEN(CH344)=9,ISERROR(FIND("-",LEFT(CH344,8))),ISNUMBER(-LEFT(CH344,8))),VALUE(LEFT(CH344,4)),VALUE(LEFT(CH344,FIND("-",CH344)-1)))),""))</f>
        <v/>
      </c>
      <c r="CN344">
        <f>IF(CH344="","",IFERROR(IF(AND(LEN(CH344)=9,ISERROR(FIND("-",LEFT(CH344,8))),ISNUMBER(-LEFT(CH344,8))),VALUE(MID(CH344,5,2)),VALUE(MID(CH344,FIND("-",CH344)+1,FIND("-",CH344,FIND("-",CH344)+1)-FIND("-",CH344)-1))),""))</f>
        <v/>
      </c>
      <c r="CO344">
        <f>IF(CH344="","",IFERROR(IF(AND(LEN(CH344)=9,ISERROR(FIND("-",LEFT(CH344,8))),ISNUMBER(-LEFT(CH344,8))),VALUE(MID(CH344,7,2)),VALUE(MID(CH344,FIND("-",CH344,FIND("-",CH344)+1)+1,FIND("-",CH344,FIND("-",CH344,FIND("-",CH344)+1)+1)-FIND("-",CH344,FIND("-",CH344)+1)-1))),""))</f>
        <v/>
      </c>
    </row>
    <row r="345">
      <c r="CH345">
        <f>IF(ISTEXT('월 가계부'!A345),SUBSTITUTE(SUBSTITUTE(SUBSTITUTE(SUBSTITUTE(SUBSTITUTE(SUBSTITUTE(SUBSTITUTE(SUBSTITUTE(SUBSTITUTE(TRIM('월 가계부'!A345),"년","-"),"월","-"),"일",""),".","-"),"/","-")," ","-"),"--","-"),"--","-"),"--","-")&amp;"-","")</f>
        <v/>
      </c>
      <c r="CI345">
        <f>IFERROR(IF('월 가계부'!A345="","",IF(ISNUMBER('월 가계부'!A345),IF(AND('월 가계부'!A345&gt;=19000101,'월 가계부'!A345&lt;=21001231),IF(AND(MOD(INT('월 가계부'!A345/100),100)&gt;=1,MOD(INT('월 가계부'!A345/100),100)&lt;=12,MOD(INT('월 가계부'!A345),100)&gt;=1,MOD(INT('월 가계부'!A345),100)&lt;=31),IF(MONTH(DATE(INT('월 가계부'!A345/10000),MOD(INT('월 가계부'!A345/100),100),MOD(INT('월 가계부'!A345),100)))=MOD(INT('월 가계부'!A345/100),100),DATE(INT('월 가계부'!A345/10000),MOD(INT('월 가계부'!A345/100),100),MOD(INT('월 가계부'!A345),100)),""),""),IF(AND('월 가계부'!A345&gt;=36526,'월 가계부'!A345&lt;73051),INT('월 가계부'!A345),"")),IF(OR(CM345="",CN345="",CO345=""),"",IF(AND(CM345&gt;=2000,CM345&lt;=2099,CN345&gt;=1,CN345&lt;=12,CO345&gt;=1,CO345&lt;=31),IF(MONTH(DATE(CM345,CN345,CO345))=CN345,DATE(CM345,CN345,CO345),""),"")))),"")</f>
        <v/>
      </c>
      <c r="CJ345">
        <f>IFERROR(IF('월 가계부'!C345="","",IF(ISNUMBER('월 가계부'!C345),'월 가계부'!C345,VALUE(SUBSTITUTE(SUBSTITUTE(SUBSTITUTE(SUBSTITUTE(TRIM('월 가계부'!C345),",",""),"원","")," ",""),"−","-")))),"")</f>
        <v/>
      </c>
      <c r="CK345">
        <f>IF(ISNUMBER(CI345),IF(CI345&lt;$B$13,CI345,""),"")</f>
        <v/>
      </c>
      <c r="CM345">
        <f>IF(CH345="","",IFERROR(IF(IF(AND(LEN(CH345)=9,ISERROR(FIND("-",LEFT(CH345,8))),ISNUMBER(-LEFT(CH345,8))),VALUE(LEFT(CH345,4)),VALUE(LEFT(CH345,FIND("-",CH345)-1)))&lt;100,IF(AND(LEN(CH345)=9,ISERROR(FIND("-",LEFT(CH345,8))),ISNUMBER(-LEFT(CH345,8))),VALUE(LEFT(CH345,4)),VALUE(LEFT(CH345,FIND("-",CH345)-1)))+2000,IF(AND(LEN(CH345)=9,ISERROR(FIND("-",LEFT(CH345,8))),ISNUMBER(-LEFT(CH345,8))),VALUE(LEFT(CH345,4)),VALUE(LEFT(CH345,FIND("-",CH345)-1)))),""))</f>
        <v/>
      </c>
      <c r="CN345">
        <f>IF(CH345="","",IFERROR(IF(AND(LEN(CH345)=9,ISERROR(FIND("-",LEFT(CH345,8))),ISNUMBER(-LEFT(CH345,8))),VALUE(MID(CH345,5,2)),VALUE(MID(CH345,FIND("-",CH345)+1,FIND("-",CH345,FIND("-",CH345)+1)-FIND("-",CH345)-1))),""))</f>
        <v/>
      </c>
      <c r="CO345">
        <f>IF(CH345="","",IFERROR(IF(AND(LEN(CH345)=9,ISERROR(FIND("-",LEFT(CH345,8))),ISNUMBER(-LEFT(CH345,8))),VALUE(MID(CH345,7,2)),VALUE(MID(CH345,FIND("-",CH345,FIND("-",CH345)+1)+1,FIND("-",CH345,FIND("-",CH345,FIND("-",CH345)+1)+1)-FIND("-",CH345,FIND("-",CH345)+1)-1))),""))</f>
        <v/>
      </c>
    </row>
    <row r="346">
      <c r="CH346">
        <f>IF(ISTEXT('월 가계부'!A346),SUBSTITUTE(SUBSTITUTE(SUBSTITUTE(SUBSTITUTE(SUBSTITUTE(SUBSTITUTE(SUBSTITUTE(SUBSTITUTE(SUBSTITUTE(TRIM('월 가계부'!A346),"년","-"),"월","-"),"일",""),".","-"),"/","-")," ","-"),"--","-"),"--","-"),"--","-")&amp;"-","")</f>
        <v/>
      </c>
      <c r="CI346">
        <f>IFERROR(IF('월 가계부'!A346="","",IF(ISNUMBER('월 가계부'!A346),IF(AND('월 가계부'!A346&gt;=19000101,'월 가계부'!A346&lt;=21001231),IF(AND(MOD(INT('월 가계부'!A346/100),100)&gt;=1,MOD(INT('월 가계부'!A346/100),100)&lt;=12,MOD(INT('월 가계부'!A346),100)&gt;=1,MOD(INT('월 가계부'!A346),100)&lt;=31),IF(MONTH(DATE(INT('월 가계부'!A346/10000),MOD(INT('월 가계부'!A346/100),100),MOD(INT('월 가계부'!A346),100)))=MOD(INT('월 가계부'!A346/100),100),DATE(INT('월 가계부'!A346/10000),MOD(INT('월 가계부'!A346/100),100),MOD(INT('월 가계부'!A346),100)),""),""),IF(AND('월 가계부'!A346&gt;=36526,'월 가계부'!A346&lt;73051),INT('월 가계부'!A346),"")),IF(OR(CM346="",CN346="",CO346=""),"",IF(AND(CM346&gt;=2000,CM346&lt;=2099,CN346&gt;=1,CN346&lt;=12,CO346&gt;=1,CO346&lt;=31),IF(MONTH(DATE(CM346,CN346,CO346))=CN346,DATE(CM346,CN346,CO346),""),"")))),"")</f>
        <v/>
      </c>
      <c r="CJ346">
        <f>IFERROR(IF('월 가계부'!C346="","",IF(ISNUMBER('월 가계부'!C346),'월 가계부'!C346,VALUE(SUBSTITUTE(SUBSTITUTE(SUBSTITUTE(SUBSTITUTE(TRIM('월 가계부'!C346),",",""),"원","")," ",""),"−","-")))),"")</f>
        <v/>
      </c>
      <c r="CK346">
        <f>IF(ISNUMBER(CI346),IF(CI346&lt;$B$13,CI346,""),"")</f>
        <v/>
      </c>
      <c r="CM346">
        <f>IF(CH346="","",IFERROR(IF(IF(AND(LEN(CH346)=9,ISERROR(FIND("-",LEFT(CH346,8))),ISNUMBER(-LEFT(CH346,8))),VALUE(LEFT(CH346,4)),VALUE(LEFT(CH346,FIND("-",CH346)-1)))&lt;100,IF(AND(LEN(CH346)=9,ISERROR(FIND("-",LEFT(CH346,8))),ISNUMBER(-LEFT(CH346,8))),VALUE(LEFT(CH346,4)),VALUE(LEFT(CH346,FIND("-",CH346)-1)))+2000,IF(AND(LEN(CH346)=9,ISERROR(FIND("-",LEFT(CH346,8))),ISNUMBER(-LEFT(CH346,8))),VALUE(LEFT(CH346,4)),VALUE(LEFT(CH346,FIND("-",CH346)-1)))),""))</f>
        <v/>
      </c>
      <c r="CN346">
        <f>IF(CH346="","",IFERROR(IF(AND(LEN(CH346)=9,ISERROR(FIND("-",LEFT(CH346,8))),ISNUMBER(-LEFT(CH346,8))),VALUE(MID(CH346,5,2)),VALUE(MID(CH346,FIND("-",CH346)+1,FIND("-",CH346,FIND("-",CH346)+1)-FIND("-",CH346)-1))),""))</f>
        <v/>
      </c>
      <c r="CO346">
        <f>IF(CH346="","",IFERROR(IF(AND(LEN(CH346)=9,ISERROR(FIND("-",LEFT(CH346,8))),ISNUMBER(-LEFT(CH346,8))),VALUE(MID(CH346,7,2)),VALUE(MID(CH346,FIND("-",CH346,FIND("-",CH346)+1)+1,FIND("-",CH346,FIND("-",CH346,FIND("-",CH346)+1)+1)-FIND("-",CH346,FIND("-",CH346)+1)-1))),""))</f>
        <v/>
      </c>
    </row>
    <row r="347">
      <c r="CH347">
        <f>IF(ISTEXT('월 가계부'!A347),SUBSTITUTE(SUBSTITUTE(SUBSTITUTE(SUBSTITUTE(SUBSTITUTE(SUBSTITUTE(SUBSTITUTE(SUBSTITUTE(SUBSTITUTE(TRIM('월 가계부'!A347),"년","-"),"월","-"),"일",""),".","-"),"/","-")," ","-"),"--","-"),"--","-"),"--","-")&amp;"-","")</f>
        <v/>
      </c>
      <c r="CI347">
        <f>IFERROR(IF('월 가계부'!A347="","",IF(ISNUMBER('월 가계부'!A347),IF(AND('월 가계부'!A347&gt;=19000101,'월 가계부'!A347&lt;=21001231),IF(AND(MOD(INT('월 가계부'!A347/100),100)&gt;=1,MOD(INT('월 가계부'!A347/100),100)&lt;=12,MOD(INT('월 가계부'!A347),100)&gt;=1,MOD(INT('월 가계부'!A347),100)&lt;=31),IF(MONTH(DATE(INT('월 가계부'!A347/10000),MOD(INT('월 가계부'!A347/100),100),MOD(INT('월 가계부'!A347),100)))=MOD(INT('월 가계부'!A347/100),100),DATE(INT('월 가계부'!A347/10000),MOD(INT('월 가계부'!A347/100),100),MOD(INT('월 가계부'!A347),100)),""),""),IF(AND('월 가계부'!A347&gt;=36526,'월 가계부'!A347&lt;73051),INT('월 가계부'!A347),"")),IF(OR(CM347="",CN347="",CO347=""),"",IF(AND(CM347&gt;=2000,CM347&lt;=2099,CN347&gt;=1,CN347&lt;=12,CO347&gt;=1,CO347&lt;=31),IF(MONTH(DATE(CM347,CN347,CO347))=CN347,DATE(CM347,CN347,CO347),""),"")))),"")</f>
        <v/>
      </c>
      <c r="CJ347">
        <f>IFERROR(IF('월 가계부'!C347="","",IF(ISNUMBER('월 가계부'!C347),'월 가계부'!C347,VALUE(SUBSTITUTE(SUBSTITUTE(SUBSTITUTE(SUBSTITUTE(TRIM('월 가계부'!C347),",",""),"원","")," ",""),"−","-")))),"")</f>
        <v/>
      </c>
      <c r="CK347">
        <f>IF(ISNUMBER(CI347),IF(CI347&lt;$B$13,CI347,""),"")</f>
        <v/>
      </c>
      <c r="CM347">
        <f>IF(CH347="","",IFERROR(IF(IF(AND(LEN(CH347)=9,ISERROR(FIND("-",LEFT(CH347,8))),ISNUMBER(-LEFT(CH347,8))),VALUE(LEFT(CH347,4)),VALUE(LEFT(CH347,FIND("-",CH347)-1)))&lt;100,IF(AND(LEN(CH347)=9,ISERROR(FIND("-",LEFT(CH347,8))),ISNUMBER(-LEFT(CH347,8))),VALUE(LEFT(CH347,4)),VALUE(LEFT(CH347,FIND("-",CH347)-1)))+2000,IF(AND(LEN(CH347)=9,ISERROR(FIND("-",LEFT(CH347,8))),ISNUMBER(-LEFT(CH347,8))),VALUE(LEFT(CH347,4)),VALUE(LEFT(CH347,FIND("-",CH347)-1)))),""))</f>
        <v/>
      </c>
      <c r="CN347">
        <f>IF(CH347="","",IFERROR(IF(AND(LEN(CH347)=9,ISERROR(FIND("-",LEFT(CH347,8))),ISNUMBER(-LEFT(CH347,8))),VALUE(MID(CH347,5,2)),VALUE(MID(CH347,FIND("-",CH347)+1,FIND("-",CH347,FIND("-",CH347)+1)-FIND("-",CH347)-1))),""))</f>
        <v/>
      </c>
      <c r="CO347">
        <f>IF(CH347="","",IFERROR(IF(AND(LEN(CH347)=9,ISERROR(FIND("-",LEFT(CH347,8))),ISNUMBER(-LEFT(CH347,8))),VALUE(MID(CH347,7,2)),VALUE(MID(CH347,FIND("-",CH347,FIND("-",CH347)+1)+1,FIND("-",CH347,FIND("-",CH347,FIND("-",CH347)+1)+1)-FIND("-",CH347,FIND("-",CH347)+1)-1))),""))</f>
        <v/>
      </c>
    </row>
    <row r="348">
      <c r="CH348">
        <f>IF(ISTEXT('월 가계부'!A348),SUBSTITUTE(SUBSTITUTE(SUBSTITUTE(SUBSTITUTE(SUBSTITUTE(SUBSTITUTE(SUBSTITUTE(SUBSTITUTE(SUBSTITUTE(TRIM('월 가계부'!A348),"년","-"),"월","-"),"일",""),".","-"),"/","-")," ","-"),"--","-"),"--","-"),"--","-")&amp;"-","")</f>
        <v/>
      </c>
      <c r="CI348">
        <f>IFERROR(IF('월 가계부'!A348="","",IF(ISNUMBER('월 가계부'!A348),IF(AND('월 가계부'!A348&gt;=19000101,'월 가계부'!A348&lt;=21001231),IF(AND(MOD(INT('월 가계부'!A348/100),100)&gt;=1,MOD(INT('월 가계부'!A348/100),100)&lt;=12,MOD(INT('월 가계부'!A348),100)&gt;=1,MOD(INT('월 가계부'!A348),100)&lt;=31),IF(MONTH(DATE(INT('월 가계부'!A348/10000),MOD(INT('월 가계부'!A348/100),100),MOD(INT('월 가계부'!A348),100)))=MOD(INT('월 가계부'!A348/100),100),DATE(INT('월 가계부'!A348/10000),MOD(INT('월 가계부'!A348/100),100),MOD(INT('월 가계부'!A348),100)),""),""),IF(AND('월 가계부'!A348&gt;=36526,'월 가계부'!A348&lt;73051),INT('월 가계부'!A348),"")),IF(OR(CM348="",CN348="",CO348=""),"",IF(AND(CM348&gt;=2000,CM348&lt;=2099,CN348&gt;=1,CN348&lt;=12,CO348&gt;=1,CO348&lt;=31),IF(MONTH(DATE(CM348,CN348,CO348))=CN348,DATE(CM348,CN348,CO348),""),"")))),"")</f>
        <v/>
      </c>
      <c r="CJ348">
        <f>IFERROR(IF('월 가계부'!C348="","",IF(ISNUMBER('월 가계부'!C348),'월 가계부'!C348,VALUE(SUBSTITUTE(SUBSTITUTE(SUBSTITUTE(SUBSTITUTE(TRIM('월 가계부'!C348),",",""),"원","")," ",""),"−","-")))),"")</f>
        <v/>
      </c>
      <c r="CK348">
        <f>IF(ISNUMBER(CI348),IF(CI348&lt;$B$13,CI348,""),"")</f>
        <v/>
      </c>
      <c r="CM348">
        <f>IF(CH348="","",IFERROR(IF(IF(AND(LEN(CH348)=9,ISERROR(FIND("-",LEFT(CH348,8))),ISNUMBER(-LEFT(CH348,8))),VALUE(LEFT(CH348,4)),VALUE(LEFT(CH348,FIND("-",CH348)-1)))&lt;100,IF(AND(LEN(CH348)=9,ISERROR(FIND("-",LEFT(CH348,8))),ISNUMBER(-LEFT(CH348,8))),VALUE(LEFT(CH348,4)),VALUE(LEFT(CH348,FIND("-",CH348)-1)))+2000,IF(AND(LEN(CH348)=9,ISERROR(FIND("-",LEFT(CH348,8))),ISNUMBER(-LEFT(CH348,8))),VALUE(LEFT(CH348,4)),VALUE(LEFT(CH348,FIND("-",CH348)-1)))),""))</f>
        <v/>
      </c>
      <c r="CN348">
        <f>IF(CH348="","",IFERROR(IF(AND(LEN(CH348)=9,ISERROR(FIND("-",LEFT(CH348,8))),ISNUMBER(-LEFT(CH348,8))),VALUE(MID(CH348,5,2)),VALUE(MID(CH348,FIND("-",CH348)+1,FIND("-",CH348,FIND("-",CH348)+1)-FIND("-",CH348)-1))),""))</f>
        <v/>
      </c>
      <c r="CO348">
        <f>IF(CH348="","",IFERROR(IF(AND(LEN(CH348)=9,ISERROR(FIND("-",LEFT(CH348,8))),ISNUMBER(-LEFT(CH348,8))),VALUE(MID(CH348,7,2)),VALUE(MID(CH348,FIND("-",CH348,FIND("-",CH348)+1)+1,FIND("-",CH348,FIND("-",CH348,FIND("-",CH348)+1)+1)-FIND("-",CH348,FIND("-",CH348)+1)-1))),""))</f>
        <v/>
      </c>
    </row>
    <row r="349">
      <c r="CH349">
        <f>IF(ISTEXT('월 가계부'!A349),SUBSTITUTE(SUBSTITUTE(SUBSTITUTE(SUBSTITUTE(SUBSTITUTE(SUBSTITUTE(SUBSTITUTE(SUBSTITUTE(SUBSTITUTE(TRIM('월 가계부'!A349),"년","-"),"월","-"),"일",""),".","-"),"/","-")," ","-"),"--","-"),"--","-"),"--","-")&amp;"-","")</f>
        <v/>
      </c>
      <c r="CI349">
        <f>IFERROR(IF('월 가계부'!A349="","",IF(ISNUMBER('월 가계부'!A349),IF(AND('월 가계부'!A349&gt;=19000101,'월 가계부'!A349&lt;=21001231),IF(AND(MOD(INT('월 가계부'!A349/100),100)&gt;=1,MOD(INT('월 가계부'!A349/100),100)&lt;=12,MOD(INT('월 가계부'!A349),100)&gt;=1,MOD(INT('월 가계부'!A349),100)&lt;=31),IF(MONTH(DATE(INT('월 가계부'!A349/10000),MOD(INT('월 가계부'!A349/100),100),MOD(INT('월 가계부'!A349),100)))=MOD(INT('월 가계부'!A349/100),100),DATE(INT('월 가계부'!A349/10000),MOD(INT('월 가계부'!A349/100),100),MOD(INT('월 가계부'!A349),100)),""),""),IF(AND('월 가계부'!A349&gt;=36526,'월 가계부'!A349&lt;73051),INT('월 가계부'!A349),"")),IF(OR(CM349="",CN349="",CO349=""),"",IF(AND(CM349&gt;=2000,CM349&lt;=2099,CN349&gt;=1,CN349&lt;=12,CO349&gt;=1,CO349&lt;=31),IF(MONTH(DATE(CM349,CN349,CO349))=CN349,DATE(CM349,CN349,CO349),""),"")))),"")</f>
        <v/>
      </c>
      <c r="CJ349">
        <f>IFERROR(IF('월 가계부'!C349="","",IF(ISNUMBER('월 가계부'!C349),'월 가계부'!C349,VALUE(SUBSTITUTE(SUBSTITUTE(SUBSTITUTE(SUBSTITUTE(TRIM('월 가계부'!C349),",",""),"원","")," ",""),"−","-")))),"")</f>
        <v/>
      </c>
      <c r="CK349">
        <f>IF(ISNUMBER(CI349),IF(CI349&lt;$B$13,CI349,""),"")</f>
        <v/>
      </c>
      <c r="CM349">
        <f>IF(CH349="","",IFERROR(IF(IF(AND(LEN(CH349)=9,ISERROR(FIND("-",LEFT(CH349,8))),ISNUMBER(-LEFT(CH349,8))),VALUE(LEFT(CH349,4)),VALUE(LEFT(CH349,FIND("-",CH349)-1)))&lt;100,IF(AND(LEN(CH349)=9,ISERROR(FIND("-",LEFT(CH349,8))),ISNUMBER(-LEFT(CH349,8))),VALUE(LEFT(CH349,4)),VALUE(LEFT(CH349,FIND("-",CH349)-1)))+2000,IF(AND(LEN(CH349)=9,ISERROR(FIND("-",LEFT(CH349,8))),ISNUMBER(-LEFT(CH349,8))),VALUE(LEFT(CH349,4)),VALUE(LEFT(CH349,FIND("-",CH349)-1)))),""))</f>
        <v/>
      </c>
      <c r="CN349">
        <f>IF(CH349="","",IFERROR(IF(AND(LEN(CH349)=9,ISERROR(FIND("-",LEFT(CH349,8))),ISNUMBER(-LEFT(CH349,8))),VALUE(MID(CH349,5,2)),VALUE(MID(CH349,FIND("-",CH349)+1,FIND("-",CH349,FIND("-",CH349)+1)-FIND("-",CH349)-1))),""))</f>
        <v/>
      </c>
      <c r="CO349">
        <f>IF(CH349="","",IFERROR(IF(AND(LEN(CH349)=9,ISERROR(FIND("-",LEFT(CH349,8))),ISNUMBER(-LEFT(CH349,8))),VALUE(MID(CH349,7,2)),VALUE(MID(CH349,FIND("-",CH349,FIND("-",CH349)+1)+1,FIND("-",CH349,FIND("-",CH349,FIND("-",CH349)+1)+1)-FIND("-",CH349,FIND("-",CH349)+1)-1))),""))</f>
        <v/>
      </c>
    </row>
    <row r="350">
      <c r="CH350">
        <f>IF(ISTEXT('월 가계부'!A350),SUBSTITUTE(SUBSTITUTE(SUBSTITUTE(SUBSTITUTE(SUBSTITUTE(SUBSTITUTE(SUBSTITUTE(SUBSTITUTE(SUBSTITUTE(TRIM('월 가계부'!A350),"년","-"),"월","-"),"일",""),".","-"),"/","-")," ","-"),"--","-"),"--","-"),"--","-")&amp;"-","")</f>
        <v/>
      </c>
      <c r="CI350">
        <f>IFERROR(IF('월 가계부'!A350="","",IF(ISNUMBER('월 가계부'!A350),IF(AND('월 가계부'!A350&gt;=19000101,'월 가계부'!A350&lt;=21001231),IF(AND(MOD(INT('월 가계부'!A350/100),100)&gt;=1,MOD(INT('월 가계부'!A350/100),100)&lt;=12,MOD(INT('월 가계부'!A350),100)&gt;=1,MOD(INT('월 가계부'!A350),100)&lt;=31),IF(MONTH(DATE(INT('월 가계부'!A350/10000),MOD(INT('월 가계부'!A350/100),100),MOD(INT('월 가계부'!A350),100)))=MOD(INT('월 가계부'!A350/100),100),DATE(INT('월 가계부'!A350/10000),MOD(INT('월 가계부'!A350/100),100),MOD(INT('월 가계부'!A350),100)),""),""),IF(AND('월 가계부'!A350&gt;=36526,'월 가계부'!A350&lt;73051),INT('월 가계부'!A350),"")),IF(OR(CM350="",CN350="",CO350=""),"",IF(AND(CM350&gt;=2000,CM350&lt;=2099,CN350&gt;=1,CN350&lt;=12,CO350&gt;=1,CO350&lt;=31),IF(MONTH(DATE(CM350,CN350,CO350))=CN350,DATE(CM350,CN350,CO350),""),"")))),"")</f>
        <v/>
      </c>
      <c r="CJ350">
        <f>IFERROR(IF('월 가계부'!C350="","",IF(ISNUMBER('월 가계부'!C350),'월 가계부'!C350,VALUE(SUBSTITUTE(SUBSTITUTE(SUBSTITUTE(SUBSTITUTE(TRIM('월 가계부'!C350),",",""),"원","")," ",""),"−","-")))),"")</f>
        <v/>
      </c>
      <c r="CK350">
        <f>IF(ISNUMBER(CI350),IF(CI350&lt;$B$13,CI350,""),"")</f>
        <v/>
      </c>
      <c r="CM350">
        <f>IF(CH350="","",IFERROR(IF(IF(AND(LEN(CH350)=9,ISERROR(FIND("-",LEFT(CH350,8))),ISNUMBER(-LEFT(CH350,8))),VALUE(LEFT(CH350,4)),VALUE(LEFT(CH350,FIND("-",CH350)-1)))&lt;100,IF(AND(LEN(CH350)=9,ISERROR(FIND("-",LEFT(CH350,8))),ISNUMBER(-LEFT(CH350,8))),VALUE(LEFT(CH350,4)),VALUE(LEFT(CH350,FIND("-",CH350)-1)))+2000,IF(AND(LEN(CH350)=9,ISERROR(FIND("-",LEFT(CH350,8))),ISNUMBER(-LEFT(CH350,8))),VALUE(LEFT(CH350,4)),VALUE(LEFT(CH350,FIND("-",CH350)-1)))),""))</f>
        <v/>
      </c>
      <c r="CN350">
        <f>IF(CH350="","",IFERROR(IF(AND(LEN(CH350)=9,ISERROR(FIND("-",LEFT(CH350,8))),ISNUMBER(-LEFT(CH350,8))),VALUE(MID(CH350,5,2)),VALUE(MID(CH350,FIND("-",CH350)+1,FIND("-",CH350,FIND("-",CH350)+1)-FIND("-",CH350)-1))),""))</f>
        <v/>
      </c>
      <c r="CO350">
        <f>IF(CH350="","",IFERROR(IF(AND(LEN(CH350)=9,ISERROR(FIND("-",LEFT(CH350,8))),ISNUMBER(-LEFT(CH350,8))),VALUE(MID(CH350,7,2)),VALUE(MID(CH350,FIND("-",CH350,FIND("-",CH350)+1)+1,FIND("-",CH350,FIND("-",CH350,FIND("-",CH350)+1)+1)-FIND("-",CH350,FIND("-",CH350)+1)-1))),""))</f>
        <v/>
      </c>
    </row>
    <row r="351">
      <c r="CH351">
        <f>IF(ISTEXT('월 가계부'!A351),SUBSTITUTE(SUBSTITUTE(SUBSTITUTE(SUBSTITUTE(SUBSTITUTE(SUBSTITUTE(SUBSTITUTE(SUBSTITUTE(SUBSTITUTE(TRIM('월 가계부'!A351),"년","-"),"월","-"),"일",""),".","-"),"/","-")," ","-"),"--","-"),"--","-"),"--","-")&amp;"-","")</f>
        <v/>
      </c>
      <c r="CI351">
        <f>IFERROR(IF('월 가계부'!A351="","",IF(ISNUMBER('월 가계부'!A351),IF(AND('월 가계부'!A351&gt;=19000101,'월 가계부'!A351&lt;=21001231),IF(AND(MOD(INT('월 가계부'!A351/100),100)&gt;=1,MOD(INT('월 가계부'!A351/100),100)&lt;=12,MOD(INT('월 가계부'!A351),100)&gt;=1,MOD(INT('월 가계부'!A351),100)&lt;=31),IF(MONTH(DATE(INT('월 가계부'!A351/10000),MOD(INT('월 가계부'!A351/100),100),MOD(INT('월 가계부'!A351),100)))=MOD(INT('월 가계부'!A351/100),100),DATE(INT('월 가계부'!A351/10000),MOD(INT('월 가계부'!A351/100),100),MOD(INT('월 가계부'!A351),100)),""),""),IF(AND('월 가계부'!A351&gt;=36526,'월 가계부'!A351&lt;73051),INT('월 가계부'!A351),"")),IF(OR(CM351="",CN351="",CO351=""),"",IF(AND(CM351&gt;=2000,CM351&lt;=2099,CN351&gt;=1,CN351&lt;=12,CO351&gt;=1,CO351&lt;=31),IF(MONTH(DATE(CM351,CN351,CO351))=CN351,DATE(CM351,CN351,CO351),""),"")))),"")</f>
        <v/>
      </c>
      <c r="CJ351">
        <f>IFERROR(IF('월 가계부'!C351="","",IF(ISNUMBER('월 가계부'!C351),'월 가계부'!C351,VALUE(SUBSTITUTE(SUBSTITUTE(SUBSTITUTE(SUBSTITUTE(TRIM('월 가계부'!C351),",",""),"원","")," ",""),"−","-")))),"")</f>
        <v/>
      </c>
      <c r="CK351">
        <f>IF(ISNUMBER(CI351),IF(CI351&lt;$B$13,CI351,""),"")</f>
        <v/>
      </c>
      <c r="CM351">
        <f>IF(CH351="","",IFERROR(IF(IF(AND(LEN(CH351)=9,ISERROR(FIND("-",LEFT(CH351,8))),ISNUMBER(-LEFT(CH351,8))),VALUE(LEFT(CH351,4)),VALUE(LEFT(CH351,FIND("-",CH351)-1)))&lt;100,IF(AND(LEN(CH351)=9,ISERROR(FIND("-",LEFT(CH351,8))),ISNUMBER(-LEFT(CH351,8))),VALUE(LEFT(CH351,4)),VALUE(LEFT(CH351,FIND("-",CH351)-1)))+2000,IF(AND(LEN(CH351)=9,ISERROR(FIND("-",LEFT(CH351,8))),ISNUMBER(-LEFT(CH351,8))),VALUE(LEFT(CH351,4)),VALUE(LEFT(CH351,FIND("-",CH351)-1)))),""))</f>
        <v/>
      </c>
      <c r="CN351">
        <f>IF(CH351="","",IFERROR(IF(AND(LEN(CH351)=9,ISERROR(FIND("-",LEFT(CH351,8))),ISNUMBER(-LEFT(CH351,8))),VALUE(MID(CH351,5,2)),VALUE(MID(CH351,FIND("-",CH351)+1,FIND("-",CH351,FIND("-",CH351)+1)-FIND("-",CH351)-1))),""))</f>
        <v/>
      </c>
      <c r="CO351">
        <f>IF(CH351="","",IFERROR(IF(AND(LEN(CH351)=9,ISERROR(FIND("-",LEFT(CH351,8))),ISNUMBER(-LEFT(CH351,8))),VALUE(MID(CH351,7,2)),VALUE(MID(CH351,FIND("-",CH351,FIND("-",CH351)+1)+1,FIND("-",CH351,FIND("-",CH351,FIND("-",CH351)+1)+1)-FIND("-",CH351,FIND("-",CH351)+1)-1))),""))</f>
        <v/>
      </c>
    </row>
    <row r="352">
      <c r="CH352">
        <f>IF(ISTEXT('월 가계부'!A352),SUBSTITUTE(SUBSTITUTE(SUBSTITUTE(SUBSTITUTE(SUBSTITUTE(SUBSTITUTE(SUBSTITUTE(SUBSTITUTE(SUBSTITUTE(TRIM('월 가계부'!A352),"년","-"),"월","-"),"일",""),".","-"),"/","-")," ","-"),"--","-"),"--","-"),"--","-")&amp;"-","")</f>
        <v/>
      </c>
      <c r="CI352">
        <f>IFERROR(IF('월 가계부'!A352="","",IF(ISNUMBER('월 가계부'!A352),IF(AND('월 가계부'!A352&gt;=19000101,'월 가계부'!A352&lt;=21001231),IF(AND(MOD(INT('월 가계부'!A352/100),100)&gt;=1,MOD(INT('월 가계부'!A352/100),100)&lt;=12,MOD(INT('월 가계부'!A352),100)&gt;=1,MOD(INT('월 가계부'!A352),100)&lt;=31),IF(MONTH(DATE(INT('월 가계부'!A352/10000),MOD(INT('월 가계부'!A352/100),100),MOD(INT('월 가계부'!A352),100)))=MOD(INT('월 가계부'!A352/100),100),DATE(INT('월 가계부'!A352/10000),MOD(INT('월 가계부'!A352/100),100),MOD(INT('월 가계부'!A352),100)),""),""),IF(AND('월 가계부'!A352&gt;=36526,'월 가계부'!A352&lt;73051),INT('월 가계부'!A352),"")),IF(OR(CM352="",CN352="",CO352=""),"",IF(AND(CM352&gt;=2000,CM352&lt;=2099,CN352&gt;=1,CN352&lt;=12,CO352&gt;=1,CO352&lt;=31),IF(MONTH(DATE(CM352,CN352,CO352))=CN352,DATE(CM352,CN352,CO352),""),"")))),"")</f>
        <v/>
      </c>
      <c r="CJ352">
        <f>IFERROR(IF('월 가계부'!C352="","",IF(ISNUMBER('월 가계부'!C352),'월 가계부'!C352,VALUE(SUBSTITUTE(SUBSTITUTE(SUBSTITUTE(SUBSTITUTE(TRIM('월 가계부'!C352),",",""),"원","")," ",""),"−","-")))),"")</f>
        <v/>
      </c>
      <c r="CK352">
        <f>IF(ISNUMBER(CI352),IF(CI352&lt;$B$13,CI352,""),"")</f>
        <v/>
      </c>
      <c r="CM352">
        <f>IF(CH352="","",IFERROR(IF(IF(AND(LEN(CH352)=9,ISERROR(FIND("-",LEFT(CH352,8))),ISNUMBER(-LEFT(CH352,8))),VALUE(LEFT(CH352,4)),VALUE(LEFT(CH352,FIND("-",CH352)-1)))&lt;100,IF(AND(LEN(CH352)=9,ISERROR(FIND("-",LEFT(CH352,8))),ISNUMBER(-LEFT(CH352,8))),VALUE(LEFT(CH352,4)),VALUE(LEFT(CH352,FIND("-",CH352)-1)))+2000,IF(AND(LEN(CH352)=9,ISERROR(FIND("-",LEFT(CH352,8))),ISNUMBER(-LEFT(CH352,8))),VALUE(LEFT(CH352,4)),VALUE(LEFT(CH352,FIND("-",CH352)-1)))),""))</f>
        <v/>
      </c>
      <c r="CN352">
        <f>IF(CH352="","",IFERROR(IF(AND(LEN(CH352)=9,ISERROR(FIND("-",LEFT(CH352,8))),ISNUMBER(-LEFT(CH352,8))),VALUE(MID(CH352,5,2)),VALUE(MID(CH352,FIND("-",CH352)+1,FIND("-",CH352,FIND("-",CH352)+1)-FIND("-",CH352)-1))),""))</f>
        <v/>
      </c>
      <c r="CO352">
        <f>IF(CH352="","",IFERROR(IF(AND(LEN(CH352)=9,ISERROR(FIND("-",LEFT(CH352,8))),ISNUMBER(-LEFT(CH352,8))),VALUE(MID(CH352,7,2)),VALUE(MID(CH352,FIND("-",CH352,FIND("-",CH352)+1)+1,FIND("-",CH352,FIND("-",CH352,FIND("-",CH352)+1)+1)-FIND("-",CH352,FIND("-",CH352)+1)-1))),""))</f>
        <v/>
      </c>
    </row>
    <row r="353">
      <c r="CH353">
        <f>IF(ISTEXT('월 가계부'!A353),SUBSTITUTE(SUBSTITUTE(SUBSTITUTE(SUBSTITUTE(SUBSTITUTE(SUBSTITUTE(SUBSTITUTE(SUBSTITUTE(SUBSTITUTE(TRIM('월 가계부'!A353),"년","-"),"월","-"),"일",""),".","-"),"/","-")," ","-"),"--","-"),"--","-"),"--","-")&amp;"-","")</f>
        <v/>
      </c>
      <c r="CI353">
        <f>IFERROR(IF('월 가계부'!A353="","",IF(ISNUMBER('월 가계부'!A353),IF(AND('월 가계부'!A353&gt;=19000101,'월 가계부'!A353&lt;=21001231),IF(AND(MOD(INT('월 가계부'!A353/100),100)&gt;=1,MOD(INT('월 가계부'!A353/100),100)&lt;=12,MOD(INT('월 가계부'!A353),100)&gt;=1,MOD(INT('월 가계부'!A353),100)&lt;=31),IF(MONTH(DATE(INT('월 가계부'!A353/10000),MOD(INT('월 가계부'!A353/100),100),MOD(INT('월 가계부'!A353),100)))=MOD(INT('월 가계부'!A353/100),100),DATE(INT('월 가계부'!A353/10000),MOD(INT('월 가계부'!A353/100),100),MOD(INT('월 가계부'!A353),100)),""),""),IF(AND('월 가계부'!A353&gt;=36526,'월 가계부'!A353&lt;73051),INT('월 가계부'!A353),"")),IF(OR(CM353="",CN353="",CO353=""),"",IF(AND(CM353&gt;=2000,CM353&lt;=2099,CN353&gt;=1,CN353&lt;=12,CO353&gt;=1,CO353&lt;=31),IF(MONTH(DATE(CM353,CN353,CO353))=CN353,DATE(CM353,CN353,CO353),""),"")))),"")</f>
        <v/>
      </c>
      <c r="CJ353">
        <f>IFERROR(IF('월 가계부'!C353="","",IF(ISNUMBER('월 가계부'!C353),'월 가계부'!C353,VALUE(SUBSTITUTE(SUBSTITUTE(SUBSTITUTE(SUBSTITUTE(TRIM('월 가계부'!C353),",",""),"원","")," ",""),"−","-")))),"")</f>
        <v/>
      </c>
      <c r="CK353">
        <f>IF(ISNUMBER(CI353),IF(CI353&lt;$B$13,CI353,""),"")</f>
        <v/>
      </c>
      <c r="CM353">
        <f>IF(CH353="","",IFERROR(IF(IF(AND(LEN(CH353)=9,ISERROR(FIND("-",LEFT(CH353,8))),ISNUMBER(-LEFT(CH353,8))),VALUE(LEFT(CH353,4)),VALUE(LEFT(CH353,FIND("-",CH353)-1)))&lt;100,IF(AND(LEN(CH353)=9,ISERROR(FIND("-",LEFT(CH353,8))),ISNUMBER(-LEFT(CH353,8))),VALUE(LEFT(CH353,4)),VALUE(LEFT(CH353,FIND("-",CH353)-1)))+2000,IF(AND(LEN(CH353)=9,ISERROR(FIND("-",LEFT(CH353,8))),ISNUMBER(-LEFT(CH353,8))),VALUE(LEFT(CH353,4)),VALUE(LEFT(CH353,FIND("-",CH353)-1)))),""))</f>
        <v/>
      </c>
      <c r="CN353">
        <f>IF(CH353="","",IFERROR(IF(AND(LEN(CH353)=9,ISERROR(FIND("-",LEFT(CH353,8))),ISNUMBER(-LEFT(CH353,8))),VALUE(MID(CH353,5,2)),VALUE(MID(CH353,FIND("-",CH353)+1,FIND("-",CH353,FIND("-",CH353)+1)-FIND("-",CH353)-1))),""))</f>
        <v/>
      </c>
      <c r="CO353">
        <f>IF(CH353="","",IFERROR(IF(AND(LEN(CH353)=9,ISERROR(FIND("-",LEFT(CH353,8))),ISNUMBER(-LEFT(CH353,8))),VALUE(MID(CH353,7,2)),VALUE(MID(CH353,FIND("-",CH353,FIND("-",CH353)+1)+1,FIND("-",CH353,FIND("-",CH353,FIND("-",CH353)+1)+1)-FIND("-",CH353,FIND("-",CH353)+1)-1))),""))</f>
        <v/>
      </c>
    </row>
    <row r="354">
      <c r="CH354">
        <f>IF(ISTEXT('월 가계부'!A354),SUBSTITUTE(SUBSTITUTE(SUBSTITUTE(SUBSTITUTE(SUBSTITUTE(SUBSTITUTE(SUBSTITUTE(SUBSTITUTE(SUBSTITUTE(TRIM('월 가계부'!A354),"년","-"),"월","-"),"일",""),".","-"),"/","-")," ","-"),"--","-"),"--","-"),"--","-")&amp;"-","")</f>
        <v/>
      </c>
      <c r="CI354">
        <f>IFERROR(IF('월 가계부'!A354="","",IF(ISNUMBER('월 가계부'!A354),IF(AND('월 가계부'!A354&gt;=19000101,'월 가계부'!A354&lt;=21001231),IF(AND(MOD(INT('월 가계부'!A354/100),100)&gt;=1,MOD(INT('월 가계부'!A354/100),100)&lt;=12,MOD(INT('월 가계부'!A354),100)&gt;=1,MOD(INT('월 가계부'!A354),100)&lt;=31),IF(MONTH(DATE(INT('월 가계부'!A354/10000),MOD(INT('월 가계부'!A354/100),100),MOD(INT('월 가계부'!A354),100)))=MOD(INT('월 가계부'!A354/100),100),DATE(INT('월 가계부'!A354/10000),MOD(INT('월 가계부'!A354/100),100),MOD(INT('월 가계부'!A354),100)),""),""),IF(AND('월 가계부'!A354&gt;=36526,'월 가계부'!A354&lt;73051),INT('월 가계부'!A354),"")),IF(OR(CM354="",CN354="",CO354=""),"",IF(AND(CM354&gt;=2000,CM354&lt;=2099,CN354&gt;=1,CN354&lt;=12,CO354&gt;=1,CO354&lt;=31),IF(MONTH(DATE(CM354,CN354,CO354))=CN354,DATE(CM354,CN354,CO354),""),"")))),"")</f>
        <v/>
      </c>
      <c r="CJ354">
        <f>IFERROR(IF('월 가계부'!C354="","",IF(ISNUMBER('월 가계부'!C354),'월 가계부'!C354,VALUE(SUBSTITUTE(SUBSTITUTE(SUBSTITUTE(SUBSTITUTE(TRIM('월 가계부'!C354),",",""),"원","")," ",""),"−","-")))),"")</f>
        <v/>
      </c>
      <c r="CK354">
        <f>IF(ISNUMBER(CI354),IF(CI354&lt;$B$13,CI354,""),"")</f>
        <v/>
      </c>
      <c r="CM354">
        <f>IF(CH354="","",IFERROR(IF(IF(AND(LEN(CH354)=9,ISERROR(FIND("-",LEFT(CH354,8))),ISNUMBER(-LEFT(CH354,8))),VALUE(LEFT(CH354,4)),VALUE(LEFT(CH354,FIND("-",CH354)-1)))&lt;100,IF(AND(LEN(CH354)=9,ISERROR(FIND("-",LEFT(CH354,8))),ISNUMBER(-LEFT(CH354,8))),VALUE(LEFT(CH354,4)),VALUE(LEFT(CH354,FIND("-",CH354)-1)))+2000,IF(AND(LEN(CH354)=9,ISERROR(FIND("-",LEFT(CH354,8))),ISNUMBER(-LEFT(CH354,8))),VALUE(LEFT(CH354,4)),VALUE(LEFT(CH354,FIND("-",CH354)-1)))),""))</f>
        <v/>
      </c>
      <c r="CN354">
        <f>IF(CH354="","",IFERROR(IF(AND(LEN(CH354)=9,ISERROR(FIND("-",LEFT(CH354,8))),ISNUMBER(-LEFT(CH354,8))),VALUE(MID(CH354,5,2)),VALUE(MID(CH354,FIND("-",CH354)+1,FIND("-",CH354,FIND("-",CH354)+1)-FIND("-",CH354)-1))),""))</f>
        <v/>
      </c>
      <c r="CO354">
        <f>IF(CH354="","",IFERROR(IF(AND(LEN(CH354)=9,ISERROR(FIND("-",LEFT(CH354,8))),ISNUMBER(-LEFT(CH354,8))),VALUE(MID(CH354,7,2)),VALUE(MID(CH354,FIND("-",CH354,FIND("-",CH354)+1)+1,FIND("-",CH354,FIND("-",CH354,FIND("-",CH354)+1)+1)-FIND("-",CH354,FIND("-",CH354)+1)-1))),""))</f>
        <v/>
      </c>
    </row>
    <row r="355">
      <c r="CH355">
        <f>IF(ISTEXT('월 가계부'!A355),SUBSTITUTE(SUBSTITUTE(SUBSTITUTE(SUBSTITUTE(SUBSTITUTE(SUBSTITUTE(SUBSTITUTE(SUBSTITUTE(SUBSTITUTE(TRIM('월 가계부'!A355),"년","-"),"월","-"),"일",""),".","-"),"/","-")," ","-"),"--","-"),"--","-"),"--","-")&amp;"-","")</f>
        <v/>
      </c>
      <c r="CI355">
        <f>IFERROR(IF('월 가계부'!A355="","",IF(ISNUMBER('월 가계부'!A355),IF(AND('월 가계부'!A355&gt;=19000101,'월 가계부'!A355&lt;=21001231),IF(AND(MOD(INT('월 가계부'!A355/100),100)&gt;=1,MOD(INT('월 가계부'!A355/100),100)&lt;=12,MOD(INT('월 가계부'!A355),100)&gt;=1,MOD(INT('월 가계부'!A355),100)&lt;=31),IF(MONTH(DATE(INT('월 가계부'!A355/10000),MOD(INT('월 가계부'!A355/100),100),MOD(INT('월 가계부'!A355),100)))=MOD(INT('월 가계부'!A355/100),100),DATE(INT('월 가계부'!A355/10000),MOD(INT('월 가계부'!A355/100),100),MOD(INT('월 가계부'!A355),100)),""),""),IF(AND('월 가계부'!A355&gt;=36526,'월 가계부'!A355&lt;73051),INT('월 가계부'!A355),"")),IF(OR(CM355="",CN355="",CO355=""),"",IF(AND(CM355&gt;=2000,CM355&lt;=2099,CN355&gt;=1,CN355&lt;=12,CO355&gt;=1,CO355&lt;=31),IF(MONTH(DATE(CM355,CN355,CO355))=CN355,DATE(CM355,CN355,CO355),""),"")))),"")</f>
        <v/>
      </c>
      <c r="CJ355">
        <f>IFERROR(IF('월 가계부'!C355="","",IF(ISNUMBER('월 가계부'!C355),'월 가계부'!C355,VALUE(SUBSTITUTE(SUBSTITUTE(SUBSTITUTE(SUBSTITUTE(TRIM('월 가계부'!C355),",",""),"원","")," ",""),"−","-")))),"")</f>
        <v/>
      </c>
      <c r="CK355">
        <f>IF(ISNUMBER(CI355),IF(CI355&lt;$B$13,CI355,""),"")</f>
        <v/>
      </c>
      <c r="CM355">
        <f>IF(CH355="","",IFERROR(IF(IF(AND(LEN(CH355)=9,ISERROR(FIND("-",LEFT(CH355,8))),ISNUMBER(-LEFT(CH355,8))),VALUE(LEFT(CH355,4)),VALUE(LEFT(CH355,FIND("-",CH355)-1)))&lt;100,IF(AND(LEN(CH355)=9,ISERROR(FIND("-",LEFT(CH355,8))),ISNUMBER(-LEFT(CH355,8))),VALUE(LEFT(CH355,4)),VALUE(LEFT(CH355,FIND("-",CH355)-1)))+2000,IF(AND(LEN(CH355)=9,ISERROR(FIND("-",LEFT(CH355,8))),ISNUMBER(-LEFT(CH355,8))),VALUE(LEFT(CH355,4)),VALUE(LEFT(CH355,FIND("-",CH355)-1)))),""))</f>
        <v/>
      </c>
      <c r="CN355">
        <f>IF(CH355="","",IFERROR(IF(AND(LEN(CH355)=9,ISERROR(FIND("-",LEFT(CH355,8))),ISNUMBER(-LEFT(CH355,8))),VALUE(MID(CH355,5,2)),VALUE(MID(CH355,FIND("-",CH355)+1,FIND("-",CH355,FIND("-",CH355)+1)-FIND("-",CH355)-1))),""))</f>
        <v/>
      </c>
      <c r="CO355">
        <f>IF(CH355="","",IFERROR(IF(AND(LEN(CH355)=9,ISERROR(FIND("-",LEFT(CH355,8))),ISNUMBER(-LEFT(CH355,8))),VALUE(MID(CH355,7,2)),VALUE(MID(CH355,FIND("-",CH355,FIND("-",CH355)+1)+1,FIND("-",CH355,FIND("-",CH355,FIND("-",CH355)+1)+1)-FIND("-",CH355,FIND("-",CH355)+1)-1))),""))</f>
        <v/>
      </c>
    </row>
    <row r="356">
      <c r="CH356">
        <f>IF(ISTEXT('월 가계부'!A356),SUBSTITUTE(SUBSTITUTE(SUBSTITUTE(SUBSTITUTE(SUBSTITUTE(SUBSTITUTE(SUBSTITUTE(SUBSTITUTE(SUBSTITUTE(TRIM('월 가계부'!A356),"년","-"),"월","-"),"일",""),".","-"),"/","-")," ","-"),"--","-"),"--","-"),"--","-")&amp;"-","")</f>
        <v/>
      </c>
      <c r="CI356">
        <f>IFERROR(IF('월 가계부'!A356="","",IF(ISNUMBER('월 가계부'!A356),IF(AND('월 가계부'!A356&gt;=19000101,'월 가계부'!A356&lt;=21001231),IF(AND(MOD(INT('월 가계부'!A356/100),100)&gt;=1,MOD(INT('월 가계부'!A356/100),100)&lt;=12,MOD(INT('월 가계부'!A356),100)&gt;=1,MOD(INT('월 가계부'!A356),100)&lt;=31),IF(MONTH(DATE(INT('월 가계부'!A356/10000),MOD(INT('월 가계부'!A356/100),100),MOD(INT('월 가계부'!A356),100)))=MOD(INT('월 가계부'!A356/100),100),DATE(INT('월 가계부'!A356/10000),MOD(INT('월 가계부'!A356/100),100),MOD(INT('월 가계부'!A356),100)),""),""),IF(AND('월 가계부'!A356&gt;=36526,'월 가계부'!A356&lt;73051),INT('월 가계부'!A356),"")),IF(OR(CM356="",CN356="",CO356=""),"",IF(AND(CM356&gt;=2000,CM356&lt;=2099,CN356&gt;=1,CN356&lt;=12,CO356&gt;=1,CO356&lt;=31),IF(MONTH(DATE(CM356,CN356,CO356))=CN356,DATE(CM356,CN356,CO356),""),"")))),"")</f>
        <v/>
      </c>
      <c r="CJ356">
        <f>IFERROR(IF('월 가계부'!C356="","",IF(ISNUMBER('월 가계부'!C356),'월 가계부'!C356,VALUE(SUBSTITUTE(SUBSTITUTE(SUBSTITUTE(SUBSTITUTE(TRIM('월 가계부'!C356),",",""),"원","")," ",""),"−","-")))),"")</f>
        <v/>
      </c>
      <c r="CK356">
        <f>IF(ISNUMBER(CI356),IF(CI356&lt;$B$13,CI356,""),"")</f>
        <v/>
      </c>
      <c r="CM356">
        <f>IF(CH356="","",IFERROR(IF(IF(AND(LEN(CH356)=9,ISERROR(FIND("-",LEFT(CH356,8))),ISNUMBER(-LEFT(CH356,8))),VALUE(LEFT(CH356,4)),VALUE(LEFT(CH356,FIND("-",CH356)-1)))&lt;100,IF(AND(LEN(CH356)=9,ISERROR(FIND("-",LEFT(CH356,8))),ISNUMBER(-LEFT(CH356,8))),VALUE(LEFT(CH356,4)),VALUE(LEFT(CH356,FIND("-",CH356)-1)))+2000,IF(AND(LEN(CH356)=9,ISERROR(FIND("-",LEFT(CH356,8))),ISNUMBER(-LEFT(CH356,8))),VALUE(LEFT(CH356,4)),VALUE(LEFT(CH356,FIND("-",CH356)-1)))),""))</f>
        <v/>
      </c>
      <c r="CN356">
        <f>IF(CH356="","",IFERROR(IF(AND(LEN(CH356)=9,ISERROR(FIND("-",LEFT(CH356,8))),ISNUMBER(-LEFT(CH356,8))),VALUE(MID(CH356,5,2)),VALUE(MID(CH356,FIND("-",CH356)+1,FIND("-",CH356,FIND("-",CH356)+1)-FIND("-",CH356)-1))),""))</f>
        <v/>
      </c>
      <c r="CO356">
        <f>IF(CH356="","",IFERROR(IF(AND(LEN(CH356)=9,ISERROR(FIND("-",LEFT(CH356,8))),ISNUMBER(-LEFT(CH356,8))),VALUE(MID(CH356,7,2)),VALUE(MID(CH356,FIND("-",CH356,FIND("-",CH356)+1)+1,FIND("-",CH356,FIND("-",CH356,FIND("-",CH356)+1)+1)-FIND("-",CH356,FIND("-",CH356)+1)-1))),""))</f>
        <v/>
      </c>
    </row>
    <row r="357">
      <c r="CH357">
        <f>IF(ISTEXT('월 가계부'!A357),SUBSTITUTE(SUBSTITUTE(SUBSTITUTE(SUBSTITUTE(SUBSTITUTE(SUBSTITUTE(SUBSTITUTE(SUBSTITUTE(SUBSTITUTE(TRIM('월 가계부'!A357),"년","-"),"월","-"),"일",""),".","-"),"/","-")," ","-"),"--","-"),"--","-"),"--","-")&amp;"-","")</f>
        <v/>
      </c>
      <c r="CI357">
        <f>IFERROR(IF('월 가계부'!A357="","",IF(ISNUMBER('월 가계부'!A357),IF(AND('월 가계부'!A357&gt;=19000101,'월 가계부'!A357&lt;=21001231),IF(AND(MOD(INT('월 가계부'!A357/100),100)&gt;=1,MOD(INT('월 가계부'!A357/100),100)&lt;=12,MOD(INT('월 가계부'!A357),100)&gt;=1,MOD(INT('월 가계부'!A357),100)&lt;=31),IF(MONTH(DATE(INT('월 가계부'!A357/10000),MOD(INT('월 가계부'!A357/100),100),MOD(INT('월 가계부'!A357),100)))=MOD(INT('월 가계부'!A357/100),100),DATE(INT('월 가계부'!A357/10000),MOD(INT('월 가계부'!A357/100),100),MOD(INT('월 가계부'!A357),100)),""),""),IF(AND('월 가계부'!A357&gt;=36526,'월 가계부'!A357&lt;73051),INT('월 가계부'!A357),"")),IF(OR(CM357="",CN357="",CO357=""),"",IF(AND(CM357&gt;=2000,CM357&lt;=2099,CN357&gt;=1,CN357&lt;=12,CO357&gt;=1,CO357&lt;=31),IF(MONTH(DATE(CM357,CN357,CO357))=CN357,DATE(CM357,CN357,CO357),""),"")))),"")</f>
        <v/>
      </c>
      <c r="CJ357">
        <f>IFERROR(IF('월 가계부'!C357="","",IF(ISNUMBER('월 가계부'!C357),'월 가계부'!C357,VALUE(SUBSTITUTE(SUBSTITUTE(SUBSTITUTE(SUBSTITUTE(TRIM('월 가계부'!C357),",",""),"원","")," ",""),"−","-")))),"")</f>
        <v/>
      </c>
      <c r="CK357">
        <f>IF(ISNUMBER(CI357),IF(CI357&lt;$B$13,CI357,""),"")</f>
        <v/>
      </c>
      <c r="CM357">
        <f>IF(CH357="","",IFERROR(IF(IF(AND(LEN(CH357)=9,ISERROR(FIND("-",LEFT(CH357,8))),ISNUMBER(-LEFT(CH357,8))),VALUE(LEFT(CH357,4)),VALUE(LEFT(CH357,FIND("-",CH357)-1)))&lt;100,IF(AND(LEN(CH357)=9,ISERROR(FIND("-",LEFT(CH357,8))),ISNUMBER(-LEFT(CH357,8))),VALUE(LEFT(CH357,4)),VALUE(LEFT(CH357,FIND("-",CH357)-1)))+2000,IF(AND(LEN(CH357)=9,ISERROR(FIND("-",LEFT(CH357,8))),ISNUMBER(-LEFT(CH357,8))),VALUE(LEFT(CH357,4)),VALUE(LEFT(CH357,FIND("-",CH357)-1)))),""))</f>
        <v/>
      </c>
      <c r="CN357">
        <f>IF(CH357="","",IFERROR(IF(AND(LEN(CH357)=9,ISERROR(FIND("-",LEFT(CH357,8))),ISNUMBER(-LEFT(CH357,8))),VALUE(MID(CH357,5,2)),VALUE(MID(CH357,FIND("-",CH357)+1,FIND("-",CH357,FIND("-",CH357)+1)-FIND("-",CH357)-1))),""))</f>
        <v/>
      </c>
      <c r="CO357">
        <f>IF(CH357="","",IFERROR(IF(AND(LEN(CH357)=9,ISERROR(FIND("-",LEFT(CH357,8))),ISNUMBER(-LEFT(CH357,8))),VALUE(MID(CH357,7,2)),VALUE(MID(CH357,FIND("-",CH357,FIND("-",CH357)+1)+1,FIND("-",CH357,FIND("-",CH357,FIND("-",CH357)+1)+1)-FIND("-",CH357,FIND("-",CH357)+1)-1))),""))</f>
        <v/>
      </c>
    </row>
    <row r="358">
      <c r="CH358">
        <f>IF(ISTEXT('월 가계부'!A358),SUBSTITUTE(SUBSTITUTE(SUBSTITUTE(SUBSTITUTE(SUBSTITUTE(SUBSTITUTE(SUBSTITUTE(SUBSTITUTE(SUBSTITUTE(TRIM('월 가계부'!A358),"년","-"),"월","-"),"일",""),".","-"),"/","-")," ","-"),"--","-"),"--","-"),"--","-")&amp;"-","")</f>
        <v/>
      </c>
      <c r="CI358">
        <f>IFERROR(IF('월 가계부'!A358="","",IF(ISNUMBER('월 가계부'!A358),IF(AND('월 가계부'!A358&gt;=19000101,'월 가계부'!A358&lt;=21001231),IF(AND(MOD(INT('월 가계부'!A358/100),100)&gt;=1,MOD(INT('월 가계부'!A358/100),100)&lt;=12,MOD(INT('월 가계부'!A358),100)&gt;=1,MOD(INT('월 가계부'!A358),100)&lt;=31),IF(MONTH(DATE(INT('월 가계부'!A358/10000),MOD(INT('월 가계부'!A358/100),100),MOD(INT('월 가계부'!A358),100)))=MOD(INT('월 가계부'!A358/100),100),DATE(INT('월 가계부'!A358/10000),MOD(INT('월 가계부'!A358/100),100),MOD(INT('월 가계부'!A358),100)),""),""),IF(AND('월 가계부'!A358&gt;=36526,'월 가계부'!A358&lt;73051),INT('월 가계부'!A358),"")),IF(OR(CM358="",CN358="",CO358=""),"",IF(AND(CM358&gt;=2000,CM358&lt;=2099,CN358&gt;=1,CN358&lt;=12,CO358&gt;=1,CO358&lt;=31),IF(MONTH(DATE(CM358,CN358,CO358))=CN358,DATE(CM358,CN358,CO358),""),"")))),"")</f>
        <v/>
      </c>
      <c r="CJ358">
        <f>IFERROR(IF('월 가계부'!C358="","",IF(ISNUMBER('월 가계부'!C358),'월 가계부'!C358,VALUE(SUBSTITUTE(SUBSTITUTE(SUBSTITUTE(SUBSTITUTE(TRIM('월 가계부'!C358),",",""),"원","")," ",""),"−","-")))),"")</f>
        <v/>
      </c>
      <c r="CK358">
        <f>IF(ISNUMBER(CI358),IF(CI358&lt;$B$13,CI358,""),"")</f>
        <v/>
      </c>
      <c r="CM358">
        <f>IF(CH358="","",IFERROR(IF(IF(AND(LEN(CH358)=9,ISERROR(FIND("-",LEFT(CH358,8))),ISNUMBER(-LEFT(CH358,8))),VALUE(LEFT(CH358,4)),VALUE(LEFT(CH358,FIND("-",CH358)-1)))&lt;100,IF(AND(LEN(CH358)=9,ISERROR(FIND("-",LEFT(CH358,8))),ISNUMBER(-LEFT(CH358,8))),VALUE(LEFT(CH358,4)),VALUE(LEFT(CH358,FIND("-",CH358)-1)))+2000,IF(AND(LEN(CH358)=9,ISERROR(FIND("-",LEFT(CH358,8))),ISNUMBER(-LEFT(CH358,8))),VALUE(LEFT(CH358,4)),VALUE(LEFT(CH358,FIND("-",CH358)-1)))),""))</f>
        <v/>
      </c>
      <c r="CN358">
        <f>IF(CH358="","",IFERROR(IF(AND(LEN(CH358)=9,ISERROR(FIND("-",LEFT(CH358,8))),ISNUMBER(-LEFT(CH358,8))),VALUE(MID(CH358,5,2)),VALUE(MID(CH358,FIND("-",CH358)+1,FIND("-",CH358,FIND("-",CH358)+1)-FIND("-",CH358)-1))),""))</f>
        <v/>
      </c>
      <c r="CO358">
        <f>IF(CH358="","",IFERROR(IF(AND(LEN(CH358)=9,ISERROR(FIND("-",LEFT(CH358,8))),ISNUMBER(-LEFT(CH358,8))),VALUE(MID(CH358,7,2)),VALUE(MID(CH358,FIND("-",CH358,FIND("-",CH358)+1)+1,FIND("-",CH358,FIND("-",CH358,FIND("-",CH358)+1)+1)-FIND("-",CH358,FIND("-",CH358)+1)-1))),""))</f>
        <v/>
      </c>
    </row>
    <row r="359">
      <c r="CH359">
        <f>IF(ISTEXT('월 가계부'!A359),SUBSTITUTE(SUBSTITUTE(SUBSTITUTE(SUBSTITUTE(SUBSTITUTE(SUBSTITUTE(SUBSTITUTE(SUBSTITUTE(SUBSTITUTE(TRIM('월 가계부'!A359),"년","-"),"월","-"),"일",""),".","-"),"/","-")," ","-"),"--","-"),"--","-"),"--","-")&amp;"-","")</f>
        <v/>
      </c>
      <c r="CI359">
        <f>IFERROR(IF('월 가계부'!A359="","",IF(ISNUMBER('월 가계부'!A359),IF(AND('월 가계부'!A359&gt;=19000101,'월 가계부'!A359&lt;=21001231),IF(AND(MOD(INT('월 가계부'!A359/100),100)&gt;=1,MOD(INT('월 가계부'!A359/100),100)&lt;=12,MOD(INT('월 가계부'!A359),100)&gt;=1,MOD(INT('월 가계부'!A359),100)&lt;=31),IF(MONTH(DATE(INT('월 가계부'!A359/10000),MOD(INT('월 가계부'!A359/100),100),MOD(INT('월 가계부'!A359),100)))=MOD(INT('월 가계부'!A359/100),100),DATE(INT('월 가계부'!A359/10000),MOD(INT('월 가계부'!A359/100),100),MOD(INT('월 가계부'!A359),100)),""),""),IF(AND('월 가계부'!A359&gt;=36526,'월 가계부'!A359&lt;73051),INT('월 가계부'!A359),"")),IF(OR(CM359="",CN359="",CO359=""),"",IF(AND(CM359&gt;=2000,CM359&lt;=2099,CN359&gt;=1,CN359&lt;=12,CO359&gt;=1,CO359&lt;=31),IF(MONTH(DATE(CM359,CN359,CO359))=CN359,DATE(CM359,CN359,CO359),""),"")))),"")</f>
        <v/>
      </c>
      <c r="CJ359">
        <f>IFERROR(IF('월 가계부'!C359="","",IF(ISNUMBER('월 가계부'!C359),'월 가계부'!C359,VALUE(SUBSTITUTE(SUBSTITUTE(SUBSTITUTE(SUBSTITUTE(TRIM('월 가계부'!C359),",",""),"원","")," ",""),"−","-")))),"")</f>
        <v/>
      </c>
      <c r="CK359">
        <f>IF(ISNUMBER(CI359),IF(CI359&lt;$B$13,CI359,""),"")</f>
        <v/>
      </c>
      <c r="CM359">
        <f>IF(CH359="","",IFERROR(IF(IF(AND(LEN(CH359)=9,ISERROR(FIND("-",LEFT(CH359,8))),ISNUMBER(-LEFT(CH359,8))),VALUE(LEFT(CH359,4)),VALUE(LEFT(CH359,FIND("-",CH359)-1)))&lt;100,IF(AND(LEN(CH359)=9,ISERROR(FIND("-",LEFT(CH359,8))),ISNUMBER(-LEFT(CH359,8))),VALUE(LEFT(CH359,4)),VALUE(LEFT(CH359,FIND("-",CH359)-1)))+2000,IF(AND(LEN(CH359)=9,ISERROR(FIND("-",LEFT(CH359,8))),ISNUMBER(-LEFT(CH359,8))),VALUE(LEFT(CH359,4)),VALUE(LEFT(CH359,FIND("-",CH359)-1)))),""))</f>
        <v/>
      </c>
      <c r="CN359">
        <f>IF(CH359="","",IFERROR(IF(AND(LEN(CH359)=9,ISERROR(FIND("-",LEFT(CH359,8))),ISNUMBER(-LEFT(CH359,8))),VALUE(MID(CH359,5,2)),VALUE(MID(CH359,FIND("-",CH359)+1,FIND("-",CH359,FIND("-",CH359)+1)-FIND("-",CH359)-1))),""))</f>
        <v/>
      </c>
      <c r="CO359">
        <f>IF(CH359="","",IFERROR(IF(AND(LEN(CH359)=9,ISERROR(FIND("-",LEFT(CH359,8))),ISNUMBER(-LEFT(CH359,8))),VALUE(MID(CH359,7,2)),VALUE(MID(CH359,FIND("-",CH359,FIND("-",CH359)+1)+1,FIND("-",CH359,FIND("-",CH359,FIND("-",CH359)+1)+1)-FIND("-",CH359,FIND("-",CH359)+1)-1))),""))</f>
        <v/>
      </c>
    </row>
    <row r="360">
      <c r="CH360">
        <f>IF(ISTEXT('월 가계부'!A360),SUBSTITUTE(SUBSTITUTE(SUBSTITUTE(SUBSTITUTE(SUBSTITUTE(SUBSTITUTE(SUBSTITUTE(SUBSTITUTE(SUBSTITUTE(TRIM('월 가계부'!A360),"년","-"),"월","-"),"일",""),".","-"),"/","-")," ","-"),"--","-"),"--","-"),"--","-")&amp;"-","")</f>
        <v/>
      </c>
      <c r="CI360">
        <f>IFERROR(IF('월 가계부'!A360="","",IF(ISNUMBER('월 가계부'!A360),IF(AND('월 가계부'!A360&gt;=19000101,'월 가계부'!A360&lt;=21001231),IF(AND(MOD(INT('월 가계부'!A360/100),100)&gt;=1,MOD(INT('월 가계부'!A360/100),100)&lt;=12,MOD(INT('월 가계부'!A360),100)&gt;=1,MOD(INT('월 가계부'!A360),100)&lt;=31),IF(MONTH(DATE(INT('월 가계부'!A360/10000),MOD(INT('월 가계부'!A360/100),100),MOD(INT('월 가계부'!A360),100)))=MOD(INT('월 가계부'!A360/100),100),DATE(INT('월 가계부'!A360/10000),MOD(INT('월 가계부'!A360/100),100),MOD(INT('월 가계부'!A360),100)),""),""),IF(AND('월 가계부'!A360&gt;=36526,'월 가계부'!A360&lt;73051),INT('월 가계부'!A360),"")),IF(OR(CM360="",CN360="",CO360=""),"",IF(AND(CM360&gt;=2000,CM360&lt;=2099,CN360&gt;=1,CN360&lt;=12,CO360&gt;=1,CO360&lt;=31),IF(MONTH(DATE(CM360,CN360,CO360))=CN360,DATE(CM360,CN360,CO360),""),"")))),"")</f>
        <v/>
      </c>
      <c r="CJ360">
        <f>IFERROR(IF('월 가계부'!C360="","",IF(ISNUMBER('월 가계부'!C360),'월 가계부'!C360,VALUE(SUBSTITUTE(SUBSTITUTE(SUBSTITUTE(SUBSTITUTE(TRIM('월 가계부'!C360),",",""),"원","")," ",""),"−","-")))),"")</f>
        <v/>
      </c>
      <c r="CK360">
        <f>IF(ISNUMBER(CI360),IF(CI360&lt;$B$13,CI360,""),"")</f>
        <v/>
      </c>
      <c r="CM360">
        <f>IF(CH360="","",IFERROR(IF(IF(AND(LEN(CH360)=9,ISERROR(FIND("-",LEFT(CH360,8))),ISNUMBER(-LEFT(CH360,8))),VALUE(LEFT(CH360,4)),VALUE(LEFT(CH360,FIND("-",CH360)-1)))&lt;100,IF(AND(LEN(CH360)=9,ISERROR(FIND("-",LEFT(CH360,8))),ISNUMBER(-LEFT(CH360,8))),VALUE(LEFT(CH360,4)),VALUE(LEFT(CH360,FIND("-",CH360)-1)))+2000,IF(AND(LEN(CH360)=9,ISERROR(FIND("-",LEFT(CH360,8))),ISNUMBER(-LEFT(CH360,8))),VALUE(LEFT(CH360,4)),VALUE(LEFT(CH360,FIND("-",CH360)-1)))),""))</f>
        <v/>
      </c>
      <c r="CN360">
        <f>IF(CH360="","",IFERROR(IF(AND(LEN(CH360)=9,ISERROR(FIND("-",LEFT(CH360,8))),ISNUMBER(-LEFT(CH360,8))),VALUE(MID(CH360,5,2)),VALUE(MID(CH360,FIND("-",CH360)+1,FIND("-",CH360,FIND("-",CH360)+1)-FIND("-",CH360)-1))),""))</f>
        <v/>
      </c>
      <c r="CO360">
        <f>IF(CH360="","",IFERROR(IF(AND(LEN(CH360)=9,ISERROR(FIND("-",LEFT(CH360,8))),ISNUMBER(-LEFT(CH360,8))),VALUE(MID(CH360,7,2)),VALUE(MID(CH360,FIND("-",CH360,FIND("-",CH360)+1)+1,FIND("-",CH360,FIND("-",CH360,FIND("-",CH360)+1)+1)-FIND("-",CH360,FIND("-",CH360)+1)-1))),""))</f>
        <v/>
      </c>
    </row>
    <row r="361">
      <c r="CH361">
        <f>IF(ISTEXT('월 가계부'!A361),SUBSTITUTE(SUBSTITUTE(SUBSTITUTE(SUBSTITUTE(SUBSTITUTE(SUBSTITUTE(SUBSTITUTE(SUBSTITUTE(SUBSTITUTE(TRIM('월 가계부'!A361),"년","-"),"월","-"),"일",""),".","-"),"/","-")," ","-"),"--","-"),"--","-"),"--","-")&amp;"-","")</f>
        <v/>
      </c>
      <c r="CI361">
        <f>IFERROR(IF('월 가계부'!A361="","",IF(ISNUMBER('월 가계부'!A361),IF(AND('월 가계부'!A361&gt;=19000101,'월 가계부'!A361&lt;=21001231),IF(AND(MOD(INT('월 가계부'!A361/100),100)&gt;=1,MOD(INT('월 가계부'!A361/100),100)&lt;=12,MOD(INT('월 가계부'!A361),100)&gt;=1,MOD(INT('월 가계부'!A361),100)&lt;=31),IF(MONTH(DATE(INT('월 가계부'!A361/10000),MOD(INT('월 가계부'!A361/100),100),MOD(INT('월 가계부'!A361),100)))=MOD(INT('월 가계부'!A361/100),100),DATE(INT('월 가계부'!A361/10000),MOD(INT('월 가계부'!A361/100),100),MOD(INT('월 가계부'!A361),100)),""),""),IF(AND('월 가계부'!A361&gt;=36526,'월 가계부'!A361&lt;73051),INT('월 가계부'!A361),"")),IF(OR(CM361="",CN361="",CO361=""),"",IF(AND(CM361&gt;=2000,CM361&lt;=2099,CN361&gt;=1,CN361&lt;=12,CO361&gt;=1,CO361&lt;=31),IF(MONTH(DATE(CM361,CN361,CO361))=CN361,DATE(CM361,CN361,CO361),""),"")))),"")</f>
        <v/>
      </c>
      <c r="CJ361">
        <f>IFERROR(IF('월 가계부'!C361="","",IF(ISNUMBER('월 가계부'!C361),'월 가계부'!C361,VALUE(SUBSTITUTE(SUBSTITUTE(SUBSTITUTE(SUBSTITUTE(TRIM('월 가계부'!C361),",",""),"원","")," ",""),"−","-")))),"")</f>
        <v/>
      </c>
      <c r="CK361">
        <f>IF(ISNUMBER(CI361),IF(CI361&lt;$B$13,CI361,""),"")</f>
        <v/>
      </c>
      <c r="CM361">
        <f>IF(CH361="","",IFERROR(IF(IF(AND(LEN(CH361)=9,ISERROR(FIND("-",LEFT(CH361,8))),ISNUMBER(-LEFT(CH361,8))),VALUE(LEFT(CH361,4)),VALUE(LEFT(CH361,FIND("-",CH361)-1)))&lt;100,IF(AND(LEN(CH361)=9,ISERROR(FIND("-",LEFT(CH361,8))),ISNUMBER(-LEFT(CH361,8))),VALUE(LEFT(CH361,4)),VALUE(LEFT(CH361,FIND("-",CH361)-1)))+2000,IF(AND(LEN(CH361)=9,ISERROR(FIND("-",LEFT(CH361,8))),ISNUMBER(-LEFT(CH361,8))),VALUE(LEFT(CH361,4)),VALUE(LEFT(CH361,FIND("-",CH361)-1)))),""))</f>
        <v/>
      </c>
      <c r="CN361">
        <f>IF(CH361="","",IFERROR(IF(AND(LEN(CH361)=9,ISERROR(FIND("-",LEFT(CH361,8))),ISNUMBER(-LEFT(CH361,8))),VALUE(MID(CH361,5,2)),VALUE(MID(CH361,FIND("-",CH361)+1,FIND("-",CH361,FIND("-",CH361)+1)-FIND("-",CH361)-1))),""))</f>
        <v/>
      </c>
      <c r="CO361">
        <f>IF(CH361="","",IFERROR(IF(AND(LEN(CH361)=9,ISERROR(FIND("-",LEFT(CH361,8))),ISNUMBER(-LEFT(CH361,8))),VALUE(MID(CH361,7,2)),VALUE(MID(CH361,FIND("-",CH361,FIND("-",CH361)+1)+1,FIND("-",CH361,FIND("-",CH361,FIND("-",CH361)+1)+1)-FIND("-",CH361,FIND("-",CH361)+1)-1))),""))</f>
        <v/>
      </c>
    </row>
    <row r="362">
      <c r="CH362">
        <f>IF(ISTEXT('월 가계부'!A362),SUBSTITUTE(SUBSTITUTE(SUBSTITUTE(SUBSTITUTE(SUBSTITUTE(SUBSTITUTE(SUBSTITUTE(SUBSTITUTE(SUBSTITUTE(TRIM('월 가계부'!A362),"년","-"),"월","-"),"일",""),".","-"),"/","-")," ","-"),"--","-"),"--","-"),"--","-")&amp;"-","")</f>
        <v/>
      </c>
      <c r="CI362">
        <f>IFERROR(IF('월 가계부'!A362="","",IF(ISNUMBER('월 가계부'!A362),IF(AND('월 가계부'!A362&gt;=19000101,'월 가계부'!A362&lt;=21001231),IF(AND(MOD(INT('월 가계부'!A362/100),100)&gt;=1,MOD(INT('월 가계부'!A362/100),100)&lt;=12,MOD(INT('월 가계부'!A362),100)&gt;=1,MOD(INT('월 가계부'!A362),100)&lt;=31),IF(MONTH(DATE(INT('월 가계부'!A362/10000),MOD(INT('월 가계부'!A362/100),100),MOD(INT('월 가계부'!A362),100)))=MOD(INT('월 가계부'!A362/100),100),DATE(INT('월 가계부'!A362/10000),MOD(INT('월 가계부'!A362/100),100),MOD(INT('월 가계부'!A362),100)),""),""),IF(AND('월 가계부'!A362&gt;=36526,'월 가계부'!A362&lt;73051),INT('월 가계부'!A362),"")),IF(OR(CM362="",CN362="",CO362=""),"",IF(AND(CM362&gt;=2000,CM362&lt;=2099,CN362&gt;=1,CN362&lt;=12,CO362&gt;=1,CO362&lt;=31),IF(MONTH(DATE(CM362,CN362,CO362))=CN362,DATE(CM362,CN362,CO362),""),"")))),"")</f>
        <v/>
      </c>
      <c r="CJ362">
        <f>IFERROR(IF('월 가계부'!C362="","",IF(ISNUMBER('월 가계부'!C362),'월 가계부'!C362,VALUE(SUBSTITUTE(SUBSTITUTE(SUBSTITUTE(SUBSTITUTE(TRIM('월 가계부'!C362),",",""),"원","")," ",""),"−","-")))),"")</f>
        <v/>
      </c>
      <c r="CK362">
        <f>IF(ISNUMBER(CI362),IF(CI362&lt;$B$13,CI362,""),"")</f>
        <v/>
      </c>
      <c r="CM362">
        <f>IF(CH362="","",IFERROR(IF(IF(AND(LEN(CH362)=9,ISERROR(FIND("-",LEFT(CH362,8))),ISNUMBER(-LEFT(CH362,8))),VALUE(LEFT(CH362,4)),VALUE(LEFT(CH362,FIND("-",CH362)-1)))&lt;100,IF(AND(LEN(CH362)=9,ISERROR(FIND("-",LEFT(CH362,8))),ISNUMBER(-LEFT(CH362,8))),VALUE(LEFT(CH362,4)),VALUE(LEFT(CH362,FIND("-",CH362)-1)))+2000,IF(AND(LEN(CH362)=9,ISERROR(FIND("-",LEFT(CH362,8))),ISNUMBER(-LEFT(CH362,8))),VALUE(LEFT(CH362,4)),VALUE(LEFT(CH362,FIND("-",CH362)-1)))),""))</f>
        <v/>
      </c>
      <c r="CN362">
        <f>IF(CH362="","",IFERROR(IF(AND(LEN(CH362)=9,ISERROR(FIND("-",LEFT(CH362,8))),ISNUMBER(-LEFT(CH362,8))),VALUE(MID(CH362,5,2)),VALUE(MID(CH362,FIND("-",CH362)+1,FIND("-",CH362,FIND("-",CH362)+1)-FIND("-",CH362)-1))),""))</f>
        <v/>
      </c>
      <c r="CO362">
        <f>IF(CH362="","",IFERROR(IF(AND(LEN(CH362)=9,ISERROR(FIND("-",LEFT(CH362,8))),ISNUMBER(-LEFT(CH362,8))),VALUE(MID(CH362,7,2)),VALUE(MID(CH362,FIND("-",CH362,FIND("-",CH362)+1)+1,FIND("-",CH362,FIND("-",CH362,FIND("-",CH362)+1)+1)-FIND("-",CH362,FIND("-",CH362)+1)-1))),""))</f>
        <v/>
      </c>
    </row>
    <row r="363">
      <c r="CH363">
        <f>IF(ISTEXT('월 가계부'!A363),SUBSTITUTE(SUBSTITUTE(SUBSTITUTE(SUBSTITUTE(SUBSTITUTE(SUBSTITUTE(SUBSTITUTE(SUBSTITUTE(SUBSTITUTE(TRIM('월 가계부'!A363),"년","-"),"월","-"),"일",""),".","-"),"/","-")," ","-"),"--","-"),"--","-"),"--","-")&amp;"-","")</f>
        <v/>
      </c>
      <c r="CI363">
        <f>IFERROR(IF('월 가계부'!A363="","",IF(ISNUMBER('월 가계부'!A363),IF(AND('월 가계부'!A363&gt;=19000101,'월 가계부'!A363&lt;=21001231),IF(AND(MOD(INT('월 가계부'!A363/100),100)&gt;=1,MOD(INT('월 가계부'!A363/100),100)&lt;=12,MOD(INT('월 가계부'!A363),100)&gt;=1,MOD(INT('월 가계부'!A363),100)&lt;=31),IF(MONTH(DATE(INT('월 가계부'!A363/10000),MOD(INT('월 가계부'!A363/100),100),MOD(INT('월 가계부'!A363),100)))=MOD(INT('월 가계부'!A363/100),100),DATE(INT('월 가계부'!A363/10000),MOD(INT('월 가계부'!A363/100),100),MOD(INT('월 가계부'!A363),100)),""),""),IF(AND('월 가계부'!A363&gt;=36526,'월 가계부'!A363&lt;73051),INT('월 가계부'!A363),"")),IF(OR(CM363="",CN363="",CO363=""),"",IF(AND(CM363&gt;=2000,CM363&lt;=2099,CN363&gt;=1,CN363&lt;=12,CO363&gt;=1,CO363&lt;=31),IF(MONTH(DATE(CM363,CN363,CO363))=CN363,DATE(CM363,CN363,CO363),""),"")))),"")</f>
        <v/>
      </c>
      <c r="CJ363">
        <f>IFERROR(IF('월 가계부'!C363="","",IF(ISNUMBER('월 가계부'!C363),'월 가계부'!C363,VALUE(SUBSTITUTE(SUBSTITUTE(SUBSTITUTE(SUBSTITUTE(TRIM('월 가계부'!C363),",",""),"원","")," ",""),"−","-")))),"")</f>
        <v/>
      </c>
      <c r="CK363">
        <f>IF(ISNUMBER(CI363),IF(CI363&lt;$B$13,CI363,""),"")</f>
        <v/>
      </c>
      <c r="CM363">
        <f>IF(CH363="","",IFERROR(IF(IF(AND(LEN(CH363)=9,ISERROR(FIND("-",LEFT(CH363,8))),ISNUMBER(-LEFT(CH363,8))),VALUE(LEFT(CH363,4)),VALUE(LEFT(CH363,FIND("-",CH363)-1)))&lt;100,IF(AND(LEN(CH363)=9,ISERROR(FIND("-",LEFT(CH363,8))),ISNUMBER(-LEFT(CH363,8))),VALUE(LEFT(CH363,4)),VALUE(LEFT(CH363,FIND("-",CH363)-1)))+2000,IF(AND(LEN(CH363)=9,ISERROR(FIND("-",LEFT(CH363,8))),ISNUMBER(-LEFT(CH363,8))),VALUE(LEFT(CH363,4)),VALUE(LEFT(CH363,FIND("-",CH363)-1)))),""))</f>
        <v/>
      </c>
      <c r="CN363">
        <f>IF(CH363="","",IFERROR(IF(AND(LEN(CH363)=9,ISERROR(FIND("-",LEFT(CH363,8))),ISNUMBER(-LEFT(CH363,8))),VALUE(MID(CH363,5,2)),VALUE(MID(CH363,FIND("-",CH363)+1,FIND("-",CH363,FIND("-",CH363)+1)-FIND("-",CH363)-1))),""))</f>
        <v/>
      </c>
      <c r="CO363">
        <f>IF(CH363="","",IFERROR(IF(AND(LEN(CH363)=9,ISERROR(FIND("-",LEFT(CH363,8))),ISNUMBER(-LEFT(CH363,8))),VALUE(MID(CH363,7,2)),VALUE(MID(CH363,FIND("-",CH363,FIND("-",CH363)+1)+1,FIND("-",CH363,FIND("-",CH363,FIND("-",CH363)+1)+1)-FIND("-",CH363,FIND("-",CH363)+1)-1))),""))</f>
        <v/>
      </c>
    </row>
    <row r="364">
      <c r="CH364">
        <f>IF(ISTEXT('월 가계부'!A364),SUBSTITUTE(SUBSTITUTE(SUBSTITUTE(SUBSTITUTE(SUBSTITUTE(SUBSTITUTE(SUBSTITUTE(SUBSTITUTE(SUBSTITUTE(TRIM('월 가계부'!A364),"년","-"),"월","-"),"일",""),".","-"),"/","-")," ","-"),"--","-"),"--","-"),"--","-")&amp;"-","")</f>
        <v/>
      </c>
      <c r="CI364">
        <f>IFERROR(IF('월 가계부'!A364="","",IF(ISNUMBER('월 가계부'!A364),IF(AND('월 가계부'!A364&gt;=19000101,'월 가계부'!A364&lt;=21001231),IF(AND(MOD(INT('월 가계부'!A364/100),100)&gt;=1,MOD(INT('월 가계부'!A364/100),100)&lt;=12,MOD(INT('월 가계부'!A364),100)&gt;=1,MOD(INT('월 가계부'!A364),100)&lt;=31),IF(MONTH(DATE(INT('월 가계부'!A364/10000),MOD(INT('월 가계부'!A364/100),100),MOD(INT('월 가계부'!A364),100)))=MOD(INT('월 가계부'!A364/100),100),DATE(INT('월 가계부'!A364/10000),MOD(INT('월 가계부'!A364/100),100),MOD(INT('월 가계부'!A364),100)),""),""),IF(AND('월 가계부'!A364&gt;=36526,'월 가계부'!A364&lt;73051),INT('월 가계부'!A364),"")),IF(OR(CM364="",CN364="",CO364=""),"",IF(AND(CM364&gt;=2000,CM364&lt;=2099,CN364&gt;=1,CN364&lt;=12,CO364&gt;=1,CO364&lt;=31),IF(MONTH(DATE(CM364,CN364,CO364))=CN364,DATE(CM364,CN364,CO364),""),"")))),"")</f>
        <v/>
      </c>
      <c r="CJ364">
        <f>IFERROR(IF('월 가계부'!C364="","",IF(ISNUMBER('월 가계부'!C364),'월 가계부'!C364,VALUE(SUBSTITUTE(SUBSTITUTE(SUBSTITUTE(SUBSTITUTE(TRIM('월 가계부'!C364),",",""),"원","")," ",""),"−","-")))),"")</f>
        <v/>
      </c>
      <c r="CK364">
        <f>IF(ISNUMBER(CI364),IF(CI364&lt;$B$13,CI364,""),"")</f>
        <v/>
      </c>
      <c r="CM364">
        <f>IF(CH364="","",IFERROR(IF(IF(AND(LEN(CH364)=9,ISERROR(FIND("-",LEFT(CH364,8))),ISNUMBER(-LEFT(CH364,8))),VALUE(LEFT(CH364,4)),VALUE(LEFT(CH364,FIND("-",CH364)-1)))&lt;100,IF(AND(LEN(CH364)=9,ISERROR(FIND("-",LEFT(CH364,8))),ISNUMBER(-LEFT(CH364,8))),VALUE(LEFT(CH364,4)),VALUE(LEFT(CH364,FIND("-",CH364)-1)))+2000,IF(AND(LEN(CH364)=9,ISERROR(FIND("-",LEFT(CH364,8))),ISNUMBER(-LEFT(CH364,8))),VALUE(LEFT(CH364,4)),VALUE(LEFT(CH364,FIND("-",CH364)-1)))),""))</f>
        <v/>
      </c>
      <c r="CN364">
        <f>IF(CH364="","",IFERROR(IF(AND(LEN(CH364)=9,ISERROR(FIND("-",LEFT(CH364,8))),ISNUMBER(-LEFT(CH364,8))),VALUE(MID(CH364,5,2)),VALUE(MID(CH364,FIND("-",CH364)+1,FIND("-",CH364,FIND("-",CH364)+1)-FIND("-",CH364)-1))),""))</f>
        <v/>
      </c>
      <c r="CO364">
        <f>IF(CH364="","",IFERROR(IF(AND(LEN(CH364)=9,ISERROR(FIND("-",LEFT(CH364,8))),ISNUMBER(-LEFT(CH364,8))),VALUE(MID(CH364,7,2)),VALUE(MID(CH364,FIND("-",CH364,FIND("-",CH364)+1)+1,FIND("-",CH364,FIND("-",CH364,FIND("-",CH364)+1)+1)-FIND("-",CH364,FIND("-",CH364)+1)-1))),""))</f>
        <v/>
      </c>
    </row>
    <row r="365">
      <c r="CH365">
        <f>IF(ISTEXT('월 가계부'!A365),SUBSTITUTE(SUBSTITUTE(SUBSTITUTE(SUBSTITUTE(SUBSTITUTE(SUBSTITUTE(SUBSTITUTE(SUBSTITUTE(SUBSTITUTE(TRIM('월 가계부'!A365),"년","-"),"월","-"),"일",""),".","-"),"/","-")," ","-"),"--","-"),"--","-"),"--","-")&amp;"-","")</f>
        <v/>
      </c>
      <c r="CI365">
        <f>IFERROR(IF('월 가계부'!A365="","",IF(ISNUMBER('월 가계부'!A365),IF(AND('월 가계부'!A365&gt;=19000101,'월 가계부'!A365&lt;=21001231),IF(AND(MOD(INT('월 가계부'!A365/100),100)&gt;=1,MOD(INT('월 가계부'!A365/100),100)&lt;=12,MOD(INT('월 가계부'!A365),100)&gt;=1,MOD(INT('월 가계부'!A365),100)&lt;=31),IF(MONTH(DATE(INT('월 가계부'!A365/10000),MOD(INT('월 가계부'!A365/100),100),MOD(INT('월 가계부'!A365),100)))=MOD(INT('월 가계부'!A365/100),100),DATE(INT('월 가계부'!A365/10000),MOD(INT('월 가계부'!A365/100),100),MOD(INT('월 가계부'!A365),100)),""),""),IF(AND('월 가계부'!A365&gt;=36526,'월 가계부'!A365&lt;73051),INT('월 가계부'!A365),"")),IF(OR(CM365="",CN365="",CO365=""),"",IF(AND(CM365&gt;=2000,CM365&lt;=2099,CN365&gt;=1,CN365&lt;=12,CO365&gt;=1,CO365&lt;=31),IF(MONTH(DATE(CM365,CN365,CO365))=CN365,DATE(CM365,CN365,CO365),""),"")))),"")</f>
        <v/>
      </c>
      <c r="CJ365">
        <f>IFERROR(IF('월 가계부'!C365="","",IF(ISNUMBER('월 가계부'!C365),'월 가계부'!C365,VALUE(SUBSTITUTE(SUBSTITUTE(SUBSTITUTE(SUBSTITUTE(TRIM('월 가계부'!C365),",",""),"원","")," ",""),"−","-")))),"")</f>
        <v/>
      </c>
      <c r="CK365">
        <f>IF(ISNUMBER(CI365),IF(CI365&lt;$B$13,CI365,""),"")</f>
        <v/>
      </c>
      <c r="CM365">
        <f>IF(CH365="","",IFERROR(IF(IF(AND(LEN(CH365)=9,ISERROR(FIND("-",LEFT(CH365,8))),ISNUMBER(-LEFT(CH365,8))),VALUE(LEFT(CH365,4)),VALUE(LEFT(CH365,FIND("-",CH365)-1)))&lt;100,IF(AND(LEN(CH365)=9,ISERROR(FIND("-",LEFT(CH365,8))),ISNUMBER(-LEFT(CH365,8))),VALUE(LEFT(CH365,4)),VALUE(LEFT(CH365,FIND("-",CH365)-1)))+2000,IF(AND(LEN(CH365)=9,ISERROR(FIND("-",LEFT(CH365,8))),ISNUMBER(-LEFT(CH365,8))),VALUE(LEFT(CH365,4)),VALUE(LEFT(CH365,FIND("-",CH365)-1)))),""))</f>
        <v/>
      </c>
      <c r="CN365">
        <f>IF(CH365="","",IFERROR(IF(AND(LEN(CH365)=9,ISERROR(FIND("-",LEFT(CH365,8))),ISNUMBER(-LEFT(CH365,8))),VALUE(MID(CH365,5,2)),VALUE(MID(CH365,FIND("-",CH365)+1,FIND("-",CH365,FIND("-",CH365)+1)-FIND("-",CH365)-1))),""))</f>
        <v/>
      </c>
      <c r="CO365">
        <f>IF(CH365="","",IFERROR(IF(AND(LEN(CH365)=9,ISERROR(FIND("-",LEFT(CH365,8))),ISNUMBER(-LEFT(CH365,8))),VALUE(MID(CH365,7,2)),VALUE(MID(CH365,FIND("-",CH365,FIND("-",CH365)+1)+1,FIND("-",CH365,FIND("-",CH365,FIND("-",CH365)+1)+1)-FIND("-",CH365,FIND("-",CH365)+1)-1))),""))</f>
        <v/>
      </c>
    </row>
    <row r="366">
      <c r="CH366">
        <f>IF(ISTEXT('월 가계부'!A366),SUBSTITUTE(SUBSTITUTE(SUBSTITUTE(SUBSTITUTE(SUBSTITUTE(SUBSTITUTE(SUBSTITUTE(SUBSTITUTE(SUBSTITUTE(TRIM('월 가계부'!A366),"년","-"),"월","-"),"일",""),".","-"),"/","-")," ","-"),"--","-"),"--","-"),"--","-")&amp;"-","")</f>
        <v/>
      </c>
      <c r="CI366">
        <f>IFERROR(IF('월 가계부'!A366="","",IF(ISNUMBER('월 가계부'!A366),IF(AND('월 가계부'!A366&gt;=19000101,'월 가계부'!A366&lt;=21001231),IF(AND(MOD(INT('월 가계부'!A366/100),100)&gt;=1,MOD(INT('월 가계부'!A366/100),100)&lt;=12,MOD(INT('월 가계부'!A366),100)&gt;=1,MOD(INT('월 가계부'!A366),100)&lt;=31),IF(MONTH(DATE(INT('월 가계부'!A366/10000),MOD(INT('월 가계부'!A366/100),100),MOD(INT('월 가계부'!A366),100)))=MOD(INT('월 가계부'!A366/100),100),DATE(INT('월 가계부'!A366/10000),MOD(INT('월 가계부'!A366/100),100),MOD(INT('월 가계부'!A366),100)),""),""),IF(AND('월 가계부'!A366&gt;=36526,'월 가계부'!A366&lt;73051),INT('월 가계부'!A366),"")),IF(OR(CM366="",CN366="",CO366=""),"",IF(AND(CM366&gt;=2000,CM366&lt;=2099,CN366&gt;=1,CN366&lt;=12,CO366&gt;=1,CO366&lt;=31),IF(MONTH(DATE(CM366,CN366,CO366))=CN366,DATE(CM366,CN366,CO366),""),"")))),"")</f>
        <v/>
      </c>
      <c r="CJ366">
        <f>IFERROR(IF('월 가계부'!C366="","",IF(ISNUMBER('월 가계부'!C366),'월 가계부'!C366,VALUE(SUBSTITUTE(SUBSTITUTE(SUBSTITUTE(SUBSTITUTE(TRIM('월 가계부'!C366),",",""),"원","")," ",""),"−","-")))),"")</f>
        <v/>
      </c>
      <c r="CK366">
        <f>IF(ISNUMBER(CI366),IF(CI366&lt;$B$13,CI366,""),"")</f>
        <v/>
      </c>
      <c r="CM366">
        <f>IF(CH366="","",IFERROR(IF(IF(AND(LEN(CH366)=9,ISERROR(FIND("-",LEFT(CH366,8))),ISNUMBER(-LEFT(CH366,8))),VALUE(LEFT(CH366,4)),VALUE(LEFT(CH366,FIND("-",CH366)-1)))&lt;100,IF(AND(LEN(CH366)=9,ISERROR(FIND("-",LEFT(CH366,8))),ISNUMBER(-LEFT(CH366,8))),VALUE(LEFT(CH366,4)),VALUE(LEFT(CH366,FIND("-",CH366)-1)))+2000,IF(AND(LEN(CH366)=9,ISERROR(FIND("-",LEFT(CH366,8))),ISNUMBER(-LEFT(CH366,8))),VALUE(LEFT(CH366,4)),VALUE(LEFT(CH366,FIND("-",CH366)-1)))),""))</f>
        <v/>
      </c>
      <c r="CN366">
        <f>IF(CH366="","",IFERROR(IF(AND(LEN(CH366)=9,ISERROR(FIND("-",LEFT(CH366,8))),ISNUMBER(-LEFT(CH366,8))),VALUE(MID(CH366,5,2)),VALUE(MID(CH366,FIND("-",CH366)+1,FIND("-",CH366,FIND("-",CH366)+1)-FIND("-",CH366)-1))),""))</f>
        <v/>
      </c>
      <c r="CO366">
        <f>IF(CH366="","",IFERROR(IF(AND(LEN(CH366)=9,ISERROR(FIND("-",LEFT(CH366,8))),ISNUMBER(-LEFT(CH366,8))),VALUE(MID(CH366,7,2)),VALUE(MID(CH366,FIND("-",CH366,FIND("-",CH366)+1)+1,FIND("-",CH366,FIND("-",CH366,FIND("-",CH366)+1)+1)-FIND("-",CH366,FIND("-",CH366)+1)-1))),""))</f>
        <v/>
      </c>
    </row>
    <row r="367">
      <c r="CH367">
        <f>IF(ISTEXT('월 가계부'!A367),SUBSTITUTE(SUBSTITUTE(SUBSTITUTE(SUBSTITUTE(SUBSTITUTE(SUBSTITUTE(SUBSTITUTE(SUBSTITUTE(SUBSTITUTE(TRIM('월 가계부'!A367),"년","-"),"월","-"),"일",""),".","-"),"/","-")," ","-"),"--","-"),"--","-"),"--","-")&amp;"-","")</f>
        <v/>
      </c>
      <c r="CI367">
        <f>IFERROR(IF('월 가계부'!A367="","",IF(ISNUMBER('월 가계부'!A367),IF(AND('월 가계부'!A367&gt;=19000101,'월 가계부'!A367&lt;=21001231),IF(AND(MOD(INT('월 가계부'!A367/100),100)&gt;=1,MOD(INT('월 가계부'!A367/100),100)&lt;=12,MOD(INT('월 가계부'!A367),100)&gt;=1,MOD(INT('월 가계부'!A367),100)&lt;=31),IF(MONTH(DATE(INT('월 가계부'!A367/10000),MOD(INT('월 가계부'!A367/100),100),MOD(INT('월 가계부'!A367),100)))=MOD(INT('월 가계부'!A367/100),100),DATE(INT('월 가계부'!A367/10000),MOD(INT('월 가계부'!A367/100),100),MOD(INT('월 가계부'!A367),100)),""),""),IF(AND('월 가계부'!A367&gt;=36526,'월 가계부'!A367&lt;73051),INT('월 가계부'!A367),"")),IF(OR(CM367="",CN367="",CO367=""),"",IF(AND(CM367&gt;=2000,CM367&lt;=2099,CN367&gt;=1,CN367&lt;=12,CO367&gt;=1,CO367&lt;=31),IF(MONTH(DATE(CM367,CN367,CO367))=CN367,DATE(CM367,CN367,CO367),""),"")))),"")</f>
        <v/>
      </c>
      <c r="CJ367">
        <f>IFERROR(IF('월 가계부'!C367="","",IF(ISNUMBER('월 가계부'!C367),'월 가계부'!C367,VALUE(SUBSTITUTE(SUBSTITUTE(SUBSTITUTE(SUBSTITUTE(TRIM('월 가계부'!C367),",",""),"원","")," ",""),"−","-")))),"")</f>
        <v/>
      </c>
      <c r="CK367">
        <f>IF(ISNUMBER(CI367),IF(CI367&lt;$B$13,CI367,""),"")</f>
        <v/>
      </c>
      <c r="CM367">
        <f>IF(CH367="","",IFERROR(IF(IF(AND(LEN(CH367)=9,ISERROR(FIND("-",LEFT(CH367,8))),ISNUMBER(-LEFT(CH367,8))),VALUE(LEFT(CH367,4)),VALUE(LEFT(CH367,FIND("-",CH367)-1)))&lt;100,IF(AND(LEN(CH367)=9,ISERROR(FIND("-",LEFT(CH367,8))),ISNUMBER(-LEFT(CH367,8))),VALUE(LEFT(CH367,4)),VALUE(LEFT(CH367,FIND("-",CH367)-1)))+2000,IF(AND(LEN(CH367)=9,ISERROR(FIND("-",LEFT(CH367,8))),ISNUMBER(-LEFT(CH367,8))),VALUE(LEFT(CH367,4)),VALUE(LEFT(CH367,FIND("-",CH367)-1)))),""))</f>
        <v/>
      </c>
      <c r="CN367">
        <f>IF(CH367="","",IFERROR(IF(AND(LEN(CH367)=9,ISERROR(FIND("-",LEFT(CH367,8))),ISNUMBER(-LEFT(CH367,8))),VALUE(MID(CH367,5,2)),VALUE(MID(CH367,FIND("-",CH367)+1,FIND("-",CH367,FIND("-",CH367)+1)-FIND("-",CH367)-1))),""))</f>
        <v/>
      </c>
      <c r="CO367">
        <f>IF(CH367="","",IFERROR(IF(AND(LEN(CH367)=9,ISERROR(FIND("-",LEFT(CH367,8))),ISNUMBER(-LEFT(CH367,8))),VALUE(MID(CH367,7,2)),VALUE(MID(CH367,FIND("-",CH367,FIND("-",CH367)+1)+1,FIND("-",CH367,FIND("-",CH367,FIND("-",CH367)+1)+1)-FIND("-",CH367,FIND("-",CH367)+1)-1))),""))</f>
        <v/>
      </c>
    </row>
    <row r="368">
      <c r="CH368">
        <f>IF(ISTEXT('월 가계부'!A368),SUBSTITUTE(SUBSTITUTE(SUBSTITUTE(SUBSTITUTE(SUBSTITUTE(SUBSTITUTE(SUBSTITUTE(SUBSTITUTE(SUBSTITUTE(TRIM('월 가계부'!A368),"년","-"),"월","-"),"일",""),".","-"),"/","-")," ","-"),"--","-"),"--","-"),"--","-")&amp;"-","")</f>
        <v/>
      </c>
      <c r="CI368">
        <f>IFERROR(IF('월 가계부'!A368="","",IF(ISNUMBER('월 가계부'!A368),IF(AND('월 가계부'!A368&gt;=19000101,'월 가계부'!A368&lt;=21001231),IF(AND(MOD(INT('월 가계부'!A368/100),100)&gt;=1,MOD(INT('월 가계부'!A368/100),100)&lt;=12,MOD(INT('월 가계부'!A368),100)&gt;=1,MOD(INT('월 가계부'!A368),100)&lt;=31),IF(MONTH(DATE(INT('월 가계부'!A368/10000),MOD(INT('월 가계부'!A368/100),100),MOD(INT('월 가계부'!A368),100)))=MOD(INT('월 가계부'!A368/100),100),DATE(INT('월 가계부'!A368/10000),MOD(INT('월 가계부'!A368/100),100),MOD(INT('월 가계부'!A368),100)),""),""),IF(AND('월 가계부'!A368&gt;=36526,'월 가계부'!A368&lt;73051),INT('월 가계부'!A368),"")),IF(OR(CM368="",CN368="",CO368=""),"",IF(AND(CM368&gt;=2000,CM368&lt;=2099,CN368&gt;=1,CN368&lt;=12,CO368&gt;=1,CO368&lt;=31),IF(MONTH(DATE(CM368,CN368,CO368))=CN368,DATE(CM368,CN368,CO368),""),"")))),"")</f>
        <v/>
      </c>
      <c r="CJ368">
        <f>IFERROR(IF('월 가계부'!C368="","",IF(ISNUMBER('월 가계부'!C368),'월 가계부'!C368,VALUE(SUBSTITUTE(SUBSTITUTE(SUBSTITUTE(SUBSTITUTE(TRIM('월 가계부'!C368),",",""),"원","")," ",""),"−","-")))),"")</f>
        <v/>
      </c>
      <c r="CK368">
        <f>IF(ISNUMBER(CI368),IF(CI368&lt;$B$13,CI368,""),"")</f>
        <v/>
      </c>
      <c r="CM368">
        <f>IF(CH368="","",IFERROR(IF(IF(AND(LEN(CH368)=9,ISERROR(FIND("-",LEFT(CH368,8))),ISNUMBER(-LEFT(CH368,8))),VALUE(LEFT(CH368,4)),VALUE(LEFT(CH368,FIND("-",CH368)-1)))&lt;100,IF(AND(LEN(CH368)=9,ISERROR(FIND("-",LEFT(CH368,8))),ISNUMBER(-LEFT(CH368,8))),VALUE(LEFT(CH368,4)),VALUE(LEFT(CH368,FIND("-",CH368)-1)))+2000,IF(AND(LEN(CH368)=9,ISERROR(FIND("-",LEFT(CH368,8))),ISNUMBER(-LEFT(CH368,8))),VALUE(LEFT(CH368,4)),VALUE(LEFT(CH368,FIND("-",CH368)-1)))),""))</f>
        <v/>
      </c>
      <c r="CN368">
        <f>IF(CH368="","",IFERROR(IF(AND(LEN(CH368)=9,ISERROR(FIND("-",LEFT(CH368,8))),ISNUMBER(-LEFT(CH368,8))),VALUE(MID(CH368,5,2)),VALUE(MID(CH368,FIND("-",CH368)+1,FIND("-",CH368,FIND("-",CH368)+1)-FIND("-",CH368)-1))),""))</f>
        <v/>
      </c>
      <c r="CO368">
        <f>IF(CH368="","",IFERROR(IF(AND(LEN(CH368)=9,ISERROR(FIND("-",LEFT(CH368,8))),ISNUMBER(-LEFT(CH368,8))),VALUE(MID(CH368,7,2)),VALUE(MID(CH368,FIND("-",CH368,FIND("-",CH368)+1)+1,FIND("-",CH368,FIND("-",CH368,FIND("-",CH368)+1)+1)-FIND("-",CH368,FIND("-",CH368)+1)-1))),""))</f>
        <v/>
      </c>
    </row>
    <row r="369">
      <c r="CH369">
        <f>IF(ISTEXT('월 가계부'!A369),SUBSTITUTE(SUBSTITUTE(SUBSTITUTE(SUBSTITUTE(SUBSTITUTE(SUBSTITUTE(SUBSTITUTE(SUBSTITUTE(SUBSTITUTE(TRIM('월 가계부'!A369),"년","-"),"월","-"),"일",""),".","-"),"/","-")," ","-"),"--","-"),"--","-"),"--","-")&amp;"-","")</f>
        <v/>
      </c>
      <c r="CI369">
        <f>IFERROR(IF('월 가계부'!A369="","",IF(ISNUMBER('월 가계부'!A369),IF(AND('월 가계부'!A369&gt;=19000101,'월 가계부'!A369&lt;=21001231),IF(AND(MOD(INT('월 가계부'!A369/100),100)&gt;=1,MOD(INT('월 가계부'!A369/100),100)&lt;=12,MOD(INT('월 가계부'!A369),100)&gt;=1,MOD(INT('월 가계부'!A369),100)&lt;=31),IF(MONTH(DATE(INT('월 가계부'!A369/10000),MOD(INT('월 가계부'!A369/100),100),MOD(INT('월 가계부'!A369),100)))=MOD(INT('월 가계부'!A369/100),100),DATE(INT('월 가계부'!A369/10000),MOD(INT('월 가계부'!A369/100),100),MOD(INT('월 가계부'!A369),100)),""),""),IF(AND('월 가계부'!A369&gt;=36526,'월 가계부'!A369&lt;73051),INT('월 가계부'!A369),"")),IF(OR(CM369="",CN369="",CO369=""),"",IF(AND(CM369&gt;=2000,CM369&lt;=2099,CN369&gt;=1,CN369&lt;=12,CO369&gt;=1,CO369&lt;=31),IF(MONTH(DATE(CM369,CN369,CO369))=CN369,DATE(CM369,CN369,CO369),""),"")))),"")</f>
        <v/>
      </c>
      <c r="CJ369">
        <f>IFERROR(IF('월 가계부'!C369="","",IF(ISNUMBER('월 가계부'!C369),'월 가계부'!C369,VALUE(SUBSTITUTE(SUBSTITUTE(SUBSTITUTE(SUBSTITUTE(TRIM('월 가계부'!C369),",",""),"원","")," ",""),"−","-")))),"")</f>
        <v/>
      </c>
      <c r="CK369">
        <f>IF(ISNUMBER(CI369),IF(CI369&lt;$B$13,CI369,""),"")</f>
        <v/>
      </c>
      <c r="CM369">
        <f>IF(CH369="","",IFERROR(IF(IF(AND(LEN(CH369)=9,ISERROR(FIND("-",LEFT(CH369,8))),ISNUMBER(-LEFT(CH369,8))),VALUE(LEFT(CH369,4)),VALUE(LEFT(CH369,FIND("-",CH369)-1)))&lt;100,IF(AND(LEN(CH369)=9,ISERROR(FIND("-",LEFT(CH369,8))),ISNUMBER(-LEFT(CH369,8))),VALUE(LEFT(CH369,4)),VALUE(LEFT(CH369,FIND("-",CH369)-1)))+2000,IF(AND(LEN(CH369)=9,ISERROR(FIND("-",LEFT(CH369,8))),ISNUMBER(-LEFT(CH369,8))),VALUE(LEFT(CH369,4)),VALUE(LEFT(CH369,FIND("-",CH369)-1)))),""))</f>
        <v/>
      </c>
      <c r="CN369">
        <f>IF(CH369="","",IFERROR(IF(AND(LEN(CH369)=9,ISERROR(FIND("-",LEFT(CH369,8))),ISNUMBER(-LEFT(CH369,8))),VALUE(MID(CH369,5,2)),VALUE(MID(CH369,FIND("-",CH369)+1,FIND("-",CH369,FIND("-",CH369)+1)-FIND("-",CH369)-1))),""))</f>
        <v/>
      </c>
      <c r="CO369">
        <f>IF(CH369="","",IFERROR(IF(AND(LEN(CH369)=9,ISERROR(FIND("-",LEFT(CH369,8))),ISNUMBER(-LEFT(CH369,8))),VALUE(MID(CH369,7,2)),VALUE(MID(CH369,FIND("-",CH369,FIND("-",CH369)+1)+1,FIND("-",CH369,FIND("-",CH369,FIND("-",CH369)+1)+1)-FIND("-",CH369,FIND("-",CH369)+1)-1))),""))</f>
        <v/>
      </c>
    </row>
    <row r="370">
      <c r="CH370">
        <f>IF(ISTEXT('월 가계부'!A370),SUBSTITUTE(SUBSTITUTE(SUBSTITUTE(SUBSTITUTE(SUBSTITUTE(SUBSTITUTE(SUBSTITUTE(SUBSTITUTE(SUBSTITUTE(TRIM('월 가계부'!A370),"년","-"),"월","-"),"일",""),".","-"),"/","-")," ","-"),"--","-"),"--","-"),"--","-")&amp;"-","")</f>
        <v/>
      </c>
      <c r="CI370">
        <f>IFERROR(IF('월 가계부'!A370="","",IF(ISNUMBER('월 가계부'!A370),IF(AND('월 가계부'!A370&gt;=19000101,'월 가계부'!A370&lt;=21001231),IF(AND(MOD(INT('월 가계부'!A370/100),100)&gt;=1,MOD(INT('월 가계부'!A370/100),100)&lt;=12,MOD(INT('월 가계부'!A370),100)&gt;=1,MOD(INT('월 가계부'!A370),100)&lt;=31),IF(MONTH(DATE(INT('월 가계부'!A370/10000),MOD(INT('월 가계부'!A370/100),100),MOD(INT('월 가계부'!A370),100)))=MOD(INT('월 가계부'!A370/100),100),DATE(INT('월 가계부'!A370/10000),MOD(INT('월 가계부'!A370/100),100),MOD(INT('월 가계부'!A370),100)),""),""),IF(AND('월 가계부'!A370&gt;=36526,'월 가계부'!A370&lt;73051),INT('월 가계부'!A370),"")),IF(OR(CM370="",CN370="",CO370=""),"",IF(AND(CM370&gt;=2000,CM370&lt;=2099,CN370&gt;=1,CN370&lt;=12,CO370&gt;=1,CO370&lt;=31),IF(MONTH(DATE(CM370,CN370,CO370))=CN370,DATE(CM370,CN370,CO370),""),"")))),"")</f>
        <v/>
      </c>
      <c r="CJ370">
        <f>IFERROR(IF('월 가계부'!C370="","",IF(ISNUMBER('월 가계부'!C370),'월 가계부'!C370,VALUE(SUBSTITUTE(SUBSTITUTE(SUBSTITUTE(SUBSTITUTE(TRIM('월 가계부'!C370),",",""),"원","")," ",""),"−","-")))),"")</f>
        <v/>
      </c>
      <c r="CK370">
        <f>IF(ISNUMBER(CI370),IF(CI370&lt;$B$13,CI370,""),"")</f>
        <v/>
      </c>
      <c r="CM370">
        <f>IF(CH370="","",IFERROR(IF(IF(AND(LEN(CH370)=9,ISERROR(FIND("-",LEFT(CH370,8))),ISNUMBER(-LEFT(CH370,8))),VALUE(LEFT(CH370,4)),VALUE(LEFT(CH370,FIND("-",CH370)-1)))&lt;100,IF(AND(LEN(CH370)=9,ISERROR(FIND("-",LEFT(CH370,8))),ISNUMBER(-LEFT(CH370,8))),VALUE(LEFT(CH370,4)),VALUE(LEFT(CH370,FIND("-",CH370)-1)))+2000,IF(AND(LEN(CH370)=9,ISERROR(FIND("-",LEFT(CH370,8))),ISNUMBER(-LEFT(CH370,8))),VALUE(LEFT(CH370,4)),VALUE(LEFT(CH370,FIND("-",CH370)-1)))),""))</f>
        <v/>
      </c>
      <c r="CN370">
        <f>IF(CH370="","",IFERROR(IF(AND(LEN(CH370)=9,ISERROR(FIND("-",LEFT(CH370,8))),ISNUMBER(-LEFT(CH370,8))),VALUE(MID(CH370,5,2)),VALUE(MID(CH370,FIND("-",CH370)+1,FIND("-",CH370,FIND("-",CH370)+1)-FIND("-",CH370)-1))),""))</f>
        <v/>
      </c>
      <c r="CO370">
        <f>IF(CH370="","",IFERROR(IF(AND(LEN(CH370)=9,ISERROR(FIND("-",LEFT(CH370,8))),ISNUMBER(-LEFT(CH370,8))),VALUE(MID(CH370,7,2)),VALUE(MID(CH370,FIND("-",CH370,FIND("-",CH370)+1)+1,FIND("-",CH370,FIND("-",CH370,FIND("-",CH370)+1)+1)-FIND("-",CH370,FIND("-",CH370)+1)-1))),""))</f>
        <v/>
      </c>
    </row>
    <row r="371">
      <c r="CH371">
        <f>IF(ISTEXT('월 가계부'!A371),SUBSTITUTE(SUBSTITUTE(SUBSTITUTE(SUBSTITUTE(SUBSTITUTE(SUBSTITUTE(SUBSTITUTE(SUBSTITUTE(SUBSTITUTE(TRIM('월 가계부'!A371),"년","-"),"월","-"),"일",""),".","-"),"/","-")," ","-"),"--","-"),"--","-"),"--","-")&amp;"-","")</f>
        <v/>
      </c>
      <c r="CI371">
        <f>IFERROR(IF('월 가계부'!A371="","",IF(ISNUMBER('월 가계부'!A371),IF(AND('월 가계부'!A371&gt;=19000101,'월 가계부'!A371&lt;=21001231),IF(AND(MOD(INT('월 가계부'!A371/100),100)&gt;=1,MOD(INT('월 가계부'!A371/100),100)&lt;=12,MOD(INT('월 가계부'!A371),100)&gt;=1,MOD(INT('월 가계부'!A371),100)&lt;=31),IF(MONTH(DATE(INT('월 가계부'!A371/10000),MOD(INT('월 가계부'!A371/100),100),MOD(INT('월 가계부'!A371),100)))=MOD(INT('월 가계부'!A371/100),100),DATE(INT('월 가계부'!A371/10000),MOD(INT('월 가계부'!A371/100),100),MOD(INT('월 가계부'!A371),100)),""),""),IF(AND('월 가계부'!A371&gt;=36526,'월 가계부'!A371&lt;73051),INT('월 가계부'!A371),"")),IF(OR(CM371="",CN371="",CO371=""),"",IF(AND(CM371&gt;=2000,CM371&lt;=2099,CN371&gt;=1,CN371&lt;=12,CO371&gt;=1,CO371&lt;=31),IF(MONTH(DATE(CM371,CN371,CO371))=CN371,DATE(CM371,CN371,CO371),""),"")))),"")</f>
        <v/>
      </c>
      <c r="CJ371">
        <f>IFERROR(IF('월 가계부'!C371="","",IF(ISNUMBER('월 가계부'!C371),'월 가계부'!C371,VALUE(SUBSTITUTE(SUBSTITUTE(SUBSTITUTE(SUBSTITUTE(TRIM('월 가계부'!C371),",",""),"원","")," ",""),"−","-")))),"")</f>
        <v/>
      </c>
      <c r="CK371">
        <f>IF(ISNUMBER(CI371),IF(CI371&lt;$B$13,CI371,""),"")</f>
        <v/>
      </c>
      <c r="CM371">
        <f>IF(CH371="","",IFERROR(IF(IF(AND(LEN(CH371)=9,ISERROR(FIND("-",LEFT(CH371,8))),ISNUMBER(-LEFT(CH371,8))),VALUE(LEFT(CH371,4)),VALUE(LEFT(CH371,FIND("-",CH371)-1)))&lt;100,IF(AND(LEN(CH371)=9,ISERROR(FIND("-",LEFT(CH371,8))),ISNUMBER(-LEFT(CH371,8))),VALUE(LEFT(CH371,4)),VALUE(LEFT(CH371,FIND("-",CH371)-1)))+2000,IF(AND(LEN(CH371)=9,ISERROR(FIND("-",LEFT(CH371,8))),ISNUMBER(-LEFT(CH371,8))),VALUE(LEFT(CH371,4)),VALUE(LEFT(CH371,FIND("-",CH371)-1)))),""))</f>
        <v/>
      </c>
      <c r="CN371">
        <f>IF(CH371="","",IFERROR(IF(AND(LEN(CH371)=9,ISERROR(FIND("-",LEFT(CH371,8))),ISNUMBER(-LEFT(CH371,8))),VALUE(MID(CH371,5,2)),VALUE(MID(CH371,FIND("-",CH371)+1,FIND("-",CH371,FIND("-",CH371)+1)-FIND("-",CH371)-1))),""))</f>
        <v/>
      </c>
      <c r="CO371">
        <f>IF(CH371="","",IFERROR(IF(AND(LEN(CH371)=9,ISERROR(FIND("-",LEFT(CH371,8))),ISNUMBER(-LEFT(CH371,8))),VALUE(MID(CH371,7,2)),VALUE(MID(CH371,FIND("-",CH371,FIND("-",CH371)+1)+1,FIND("-",CH371,FIND("-",CH371,FIND("-",CH371)+1)+1)-FIND("-",CH371,FIND("-",CH371)+1)-1))),""))</f>
        <v/>
      </c>
    </row>
    <row r="372">
      <c r="CH372">
        <f>IF(ISTEXT('월 가계부'!A372),SUBSTITUTE(SUBSTITUTE(SUBSTITUTE(SUBSTITUTE(SUBSTITUTE(SUBSTITUTE(SUBSTITUTE(SUBSTITUTE(SUBSTITUTE(TRIM('월 가계부'!A372),"년","-"),"월","-"),"일",""),".","-"),"/","-")," ","-"),"--","-"),"--","-"),"--","-")&amp;"-","")</f>
        <v/>
      </c>
      <c r="CI372">
        <f>IFERROR(IF('월 가계부'!A372="","",IF(ISNUMBER('월 가계부'!A372),IF(AND('월 가계부'!A372&gt;=19000101,'월 가계부'!A372&lt;=21001231),IF(AND(MOD(INT('월 가계부'!A372/100),100)&gt;=1,MOD(INT('월 가계부'!A372/100),100)&lt;=12,MOD(INT('월 가계부'!A372),100)&gt;=1,MOD(INT('월 가계부'!A372),100)&lt;=31),IF(MONTH(DATE(INT('월 가계부'!A372/10000),MOD(INT('월 가계부'!A372/100),100),MOD(INT('월 가계부'!A372),100)))=MOD(INT('월 가계부'!A372/100),100),DATE(INT('월 가계부'!A372/10000),MOD(INT('월 가계부'!A372/100),100),MOD(INT('월 가계부'!A372),100)),""),""),IF(AND('월 가계부'!A372&gt;=36526,'월 가계부'!A372&lt;73051),INT('월 가계부'!A372),"")),IF(OR(CM372="",CN372="",CO372=""),"",IF(AND(CM372&gt;=2000,CM372&lt;=2099,CN372&gt;=1,CN372&lt;=12,CO372&gt;=1,CO372&lt;=31),IF(MONTH(DATE(CM372,CN372,CO372))=CN372,DATE(CM372,CN372,CO372),""),"")))),"")</f>
        <v/>
      </c>
      <c r="CJ372">
        <f>IFERROR(IF('월 가계부'!C372="","",IF(ISNUMBER('월 가계부'!C372),'월 가계부'!C372,VALUE(SUBSTITUTE(SUBSTITUTE(SUBSTITUTE(SUBSTITUTE(TRIM('월 가계부'!C372),",",""),"원","")," ",""),"−","-")))),"")</f>
        <v/>
      </c>
      <c r="CK372">
        <f>IF(ISNUMBER(CI372),IF(CI372&lt;$B$13,CI372,""),"")</f>
        <v/>
      </c>
      <c r="CM372">
        <f>IF(CH372="","",IFERROR(IF(IF(AND(LEN(CH372)=9,ISERROR(FIND("-",LEFT(CH372,8))),ISNUMBER(-LEFT(CH372,8))),VALUE(LEFT(CH372,4)),VALUE(LEFT(CH372,FIND("-",CH372)-1)))&lt;100,IF(AND(LEN(CH372)=9,ISERROR(FIND("-",LEFT(CH372,8))),ISNUMBER(-LEFT(CH372,8))),VALUE(LEFT(CH372,4)),VALUE(LEFT(CH372,FIND("-",CH372)-1)))+2000,IF(AND(LEN(CH372)=9,ISERROR(FIND("-",LEFT(CH372,8))),ISNUMBER(-LEFT(CH372,8))),VALUE(LEFT(CH372,4)),VALUE(LEFT(CH372,FIND("-",CH372)-1)))),""))</f>
        <v/>
      </c>
      <c r="CN372">
        <f>IF(CH372="","",IFERROR(IF(AND(LEN(CH372)=9,ISERROR(FIND("-",LEFT(CH372,8))),ISNUMBER(-LEFT(CH372,8))),VALUE(MID(CH372,5,2)),VALUE(MID(CH372,FIND("-",CH372)+1,FIND("-",CH372,FIND("-",CH372)+1)-FIND("-",CH372)-1))),""))</f>
        <v/>
      </c>
      <c r="CO372">
        <f>IF(CH372="","",IFERROR(IF(AND(LEN(CH372)=9,ISERROR(FIND("-",LEFT(CH372,8))),ISNUMBER(-LEFT(CH372,8))),VALUE(MID(CH372,7,2)),VALUE(MID(CH372,FIND("-",CH372,FIND("-",CH372)+1)+1,FIND("-",CH372,FIND("-",CH372,FIND("-",CH372)+1)+1)-FIND("-",CH372,FIND("-",CH372)+1)-1))),""))</f>
        <v/>
      </c>
    </row>
    <row r="373">
      <c r="CH373">
        <f>IF(ISTEXT('월 가계부'!A373),SUBSTITUTE(SUBSTITUTE(SUBSTITUTE(SUBSTITUTE(SUBSTITUTE(SUBSTITUTE(SUBSTITUTE(SUBSTITUTE(SUBSTITUTE(TRIM('월 가계부'!A373),"년","-"),"월","-"),"일",""),".","-"),"/","-")," ","-"),"--","-"),"--","-"),"--","-")&amp;"-","")</f>
        <v/>
      </c>
      <c r="CI373">
        <f>IFERROR(IF('월 가계부'!A373="","",IF(ISNUMBER('월 가계부'!A373),IF(AND('월 가계부'!A373&gt;=19000101,'월 가계부'!A373&lt;=21001231),IF(AND(MOD(INT('월 가계부'!A373/100),100)&gt;=1,MOD(INT('월 가계부'!A373/100),100)&lt;=12,MOD(INT('월 가계부'!A373),100)&gt;=1,MOD(INT('월 가계부'!A373),100)&lt;=31),IF(MONTH(DATE(INT('월 가계부'!A373/10000),MOD(INT('월 가계부'!A373/100),100),MOD(INT('월 가계부'!A373),100)))=MOD(INT('월 가계부'!A373/100),100),DATE(INT('월 가계부'!A373/10000),MOD(INT('월 가계부'!A373/100),100),MOD(INT('월 가계부'!A373),100)),""),""),IF(AND('월 가계부'!A373&gt;=36526,'월 가계부'!A373&lt;73051),INT('월 가계부'!A373),"")),IF(OR(CM373="",CN373="",CO373=""),"",IF(AND(CM373&gt;=2000,CM373&lt;=2099,CN373&gt;=1,CN373&lt;=12,CO373&gt;=1,CO373&lt;=31),IF(MONTH(DATE(CM373,CN373,CO373))=CN373,DATE(CM373,CN373,CO373),""),"")))),"")</f>
        <v/>
      </c>
      <c r="CJ373">
        <f>IFERROR(IF('월 가계부'!C373="","",IF(ISNUMBER('월 가계부'!C373),'월 가계부'!C373,VALUE(SUBSTITUTE(SUBSTITUTE(SUBSTITUTE(SUBSTITUTE(TRIM('월 가계부'!C373),",",""),"원","")," ",""),"−","-")))),"")</f>
        <v/>
      </c>
      <c r="CK373">
        <f>IF(ISNUMBER(CI373),IF(CI373&lt;$B$13,CI373,""),"")</f>
        <v/>
      </c>
      <c r="CM373">
        <f>IF(CH373="","",IFERROR(IF(IF(AND(LEN(CH373)=9,ISERROR(FIND("-",LEFT(CH373,8))),ISNUMBER(-LEFT(CH373,8))),VALUE(LEFT(CH373,4)),VALUE(LEFT(CH373,FIND("-",CH373)-1)))&lt;100,IF(AND(LEN(CH373)=9,ISERROR(FIND("-",LEFT(CH373,8))),ISNUMBER(-LEFT(CH373,8))),VALUE(LEFT(CH373,4)),VALUE(LEFT(CH373,FIND("-",CH373)-1)))+2000,IF(AND(LEN(CH373)=9,ISERROR(FIND("-",LEFT(CH373,8))),ISNUMBER(-LEFT(CH373,8))),VALUE(LEFT(CH373,4)),VALUE(LEFT(CH373,FIND("-",CH373)-1)))),""))</f>
        <v/>
      </c>
      <c r="CN373">
        <f>IF(CH373="","",IFERROR(IF(AND(LEN(CH373)=9,ISERROR(FIND("-",LEFT(CH373,8))),ISNUMBER(-LEFT(CH373,8))),VALUE(MID(CH373,5,2)),VALUE(MID(CH373,FIND("-",CH373)+1,FIND("-",CH373,FIND("-",CH373)+1)-FIND("-",CH373)-1))),""))</f>
        <v/>
      </c>
      <c r="CO373">
        <f>IF(CH373="","",IFERROR(IF(AND(LEN(CH373)=9,ISERROR(FIND("-",LEFT(CH373,8))),ISNUMBER(-LEFT(CH373,8))),VALUE(MID(CH373,7,2)),VALUE(MID(CH373,FIND("-",CH373,FIND("-",CH373)+1)+1,FIND("-",CH373,FIND("-",CH373,FIND("-",CH373)+1)+1)-FIND("-",CH373,FIND("-",CH373)+1)-1))),""))</f>
        <v/>
      </c>
    </row>
    <row r="374">
      <c r="CH374">
        <f>IF(ISTEXT('월 가계부'!A374),SUBSTITUTE(SUBSTITUTE(SUBSTITUTE(SUBSTITUTE(SUBSTITUTE(SUBSTITUTE(SUBSTITUTE(SUBSTITUTE(SUBSTITUTE(TRIM('월 가계부'!A374),"년","-"),"월","-"),"일",""),".","-"),"/","-")," ","-"),"--","-"),"--","-"),"--","-")&amp;"-","")</f>
        <v/>
      </c>
      <c r="CI374">
        <f>IFERROR(IF('월 가계부'!A374="","",IF(ISNUMBER('월 가계부'!A374),IF(AND('월 가계부'!A374&gt;=19000101,'월 가계부'!A374&lt;=21001231),IF(AND(MOD(INT('월 가계부'!A374/100),100)&gt;=1,MOD(INT('월 가계부'!A374/100),100)&lt;=12,MOD(INT('월 가계부'!A374),100)&gt;=1,MOD(INT('월 가계부'!A374),100)&lt;=31),IF(MONTH(DATE(INT('월 가계부'!A374/10000),MOD(INT('월 가계부'!A374/100),100),MOD(INT('월 가계부'!A374),100)))=MOD(INT('월 가계부'!A374/100),100),DATE(INT('월 가계부'!A374/10000),MOD(INT('월 가계부'!A374/100),100),MOD(INT('월 가계부'!A374),100)),""),""),IF(AND('월 가계부'!A374&gt;=36526,'월 가계부'!A374&lt;73051),INT('월 가계부'!A374),"")),IF(OR(CM374="",CN374="",CO374=""),"",IF(AND(CM374&gt;=2000,CM374&lt;=2099,CN374&gt;=1,CN374&lt;=12,CO374&gt;=1,CO374&lt;=31),IF(MONTH(DATE(CM374,CN374,CO374))=CN374,DATE(CM374,CN374,CO374),""),"")))),"")</f>
        <v/>
      </c>
      <c r="CJ374">
        <f>IFERROR(IF('월 가계부'!C374="","",IF(ISNUMBER('월 가계부'!C374),'월 가계부'!C374,VALUE(SUBSTITUTE(SUBSTITUTE(SUBSTITUTE(SUBSTITUTE(TRIM('월 가계부'!C374),",",""),"원","")," ",""),"−","-")))),"")</f>
        <v/>
      </c>
      <c r="CK374">
        <f>IF(ISNUMBER(CI374),IF(CI374&lt;$B$13,CI374,""),"")</f>
        <v/>
      </c>
      <c r="CM374">
        <f>IF(CH374="","",IFERROR(IF(IF(AND(LEN(CH374)=9,ISERROR(FIND("-",LEFT(CH374,8))),ISNUMBER(-LEFT(CH374,8))),VALUE(LEFT(CH374,4)),VALUE(LEFT(CH374,FIND("-",CH374)-1)))&lt;100,IF(AND(LEN(CH374)=9,ISERROR(FIND("-",LEFT(CH374,8))),ISNUMBER(-LEFT(CH374,8))),VALUE(LEFT(CH374,4)),VALUE(LEFT(CH374,FIND("-",CH374)-1)))+2000,IF(AND(LEN(CH374)=9,ISERROR(FIND("-",LEFT(CH374,8))),ISNUMBER(-LEFT(CH374,8))),VALUE(LEFT(CH374,4)),VALUE(LEFT(CH374,FIND("-",CH374)-1)))),""))</f>
        <v/>
      </c>
      <c r="CN374">
        <f>IF(CH374="","",IFERROR(IF(AND(LEN(CH374)=9,ISERROR(FIND("-",LEFT(CH374,8))),ISNUMBER(-LEFT(CH374,8))),VALUE(MID(CH374,5,2)),VALUE(MID(CH374,FIND("-",CH374)+1,FIND("-",CH374,FIND("-",CH374)+1)-FIND("-",CH374)-1))),""))</f>
        <v/>
      </c>
      <c r="CO374">
        <f>IF(CH374="","",IFERROR(IF(AND(LEN(CH374)=9,ISERROR(FIND("-",LEFT(CH374,8))),ISNUMBER(-LEFT(CH374,8))),VALUE(MID(CH374,7,2)),VALUE(MID(CH374,FIND("-",CH374,FIND("-",CH374)+1)+1,FIND("-",CH374,FIND("-",CH374,FIND("-",CH374)+1)+1)-FIND("-",CH374,FIND("-",CH374)+1)-1))),""))</f>
        <v/>
      </c>
    </row>
    <row r="375">
      <c r="CH375">
        <f>IF(ISTEXT('월 가계부'!A375),SUBSTITUTE(SUBSTITUTE(SUBSTITUTE(SUBSTITUTE(SUBSTITUTE(SUBSTITUTE(SUBSTITUTE(SUBSTITUTE(SUBSTITUTE(TRIM('월 가계부'!A375),"년","-"),"월","-"),"일",""),".","-"),"/","-")," ","-"),"--","-"),"--","-"),"--","-")&amp;"-","")</f>
        <v/>
      </c>
      <c r="CI375">
        <f>IFERROR(IF('월 가계부'!A375="","",IF(ISNUMBER('월 가계부'!A375),IF(AND('월 가계부'!A375&gt;=19000101,'월 가계부'!A375&lt;=21001231),IF(AND(MOD(INT('월 가계부'!A375/100),100)&gt;=1,MOD(INT('월 가계부'!A375/100),100)&lt;=12,MOD(INT('월 가계부'!A375),100)&gt;=1,MOD(INT('월 가계부'!A375),100)&lt;=31),IF(MONTH(DATE(INT('월 가계부'!A375/10000),MOD(INT('월 가계부'!A375/100),100),MOD(INT('월 가계부'!A375),100)))=MOD(INT('월 가계부'!A375/100),100),DATE(INT('월 가계부'!A375/10000),MOD(INT('월 가계부'!A375/100),100),MOD(INT('월 가계부'!A375),100)),""),""),IF(AND('월 가계부'!A375&gt;=36526,'월 가계부'!A375&lt;73051),INT('월 가계부'!A375),"")),IF(OR(CM375="",CN375="",CO375=""),"",IF(AND(CM375&gt;=2000,CM375&lt;=2099,CN375&gt;=1,CN375&lt;=12,CO375&gt;=1,CO375&lt;=31),IF(MONTH(DATE(CM375,CN375,CO375))=CN375,DATE(CM375,CN375,CO375),""),"")))),"")</f>
        <v/>
      </c>
      <c r="CJ375">
        <f>IFERROR(IF('월 가계부'!C375="","",IF(ISNUMBER('월 가계부'!C375),'월 가계부'!C375,VALUE(SUBSTITUTE(SUBSTITUTE(SUBSTITUTE(SUBSTITUTE(TRIM('월 가계부'!C375),",",""),"원","")," ",""),"−","-")))),"")</f>
        <v/>
      </c>
      <c r="CK375">
        <f>IF(ISNUMBER(CI375),IF(CI375&lt;$B$13,CI375,""),"")</f>
        <v/>
      </c>
      <c r="CM375">
        <f>IF(CH375="","",IFERROR(IF(IF(AND(LEN(CH375)=9,ISERROR(FIND("-",LEFT(CH375,8))),ISNUMBER(-LEFT(CH375,8))),VALUE(LEFT(CH375,4)),VALUE(LEFT(CH375,FIND("-",CH375)-1)))&lt;100,IF(AND(LEN(CH375)=9,ISERROR(FIND("-",LEFT(CH375,8))),ISNUMBER(-LEFT(CH375,8))),VALUE(LEFT(CH375,4)),VALUE(LEFT(CH375,FIND("-",CH375)-1)))+2000,IF(AND(LEN(CH375)=9,ISERROR(FIND("-",LEFT(CH375,8))),ISNUMBER(-LEFT(CH375,8))),VALUE(LEFT(CH375,4)),VALUE(LEFT(CH375,FIND("-",CH375)-1)))),""))</f>
        <v/>
      </c>
      <c r="CN375">
        <f>IF(CH375="","",IFERROR(IF(AND(LEN(CH375)=9,ISERROR(FIND("-",LEFT(CH375,8))),ISNUMBER(-LEFT(CH375,8))),VALUE(MID(CH375,5,2)),VALUE(MID(CH375,FIND("-",CH375)+1,FIND("-",CH375,FIND("-",CH375)+1)-FIND("-",CH375)-1))),""))</f>
        <v/>
      </c>
      <c r="CO375">
        <f>IF(CH375="","",IFERROR(IF(AND(LEN(CH375)=9,ISERROR(FIND("-",LEFT(CH375,8))),ISNUMBER(-LEFT(CH375,8))),VALUE(MID(CH375,7,2)),VALUE(MID(CH375,FIND("-",CH375,FIND("-",CH375)+1)+1,FIND("-",CH375,FIND("-",CH375,FIND("-",CH375)+1)+1)-FIND("-",CH375,FIND("-",CH375)+1)-1))),""))</f>
        <v/>
      </c>
    </row>
    <row r="376">
      <c r="CH376">
        <f>IF(ISTEXT('월 가계부'!A376),SUBSTITUTE(SUBSTITUTE(SUBSTITUTE(SUBSTITUTE(SUBSTITUTE(SUBSTITUTE(SUBSTITUTE(SUBSTITUTE(SUBSTITUTE(TRIM('월 가계부'!A376),"년","-"),"월","-"),"일",""),".","-"),"/","-")," ","-"),"--","-"),"--","-"),"--","-")&amp;"-","")</f>
        <v/>
      </c>
      <c r="CI376">
        <f>IFERROR(IF('월 가계부'!A376="","",IF(ISNUMBER('월 가계부'!A376),IF(AND('월 가계부'!A376&gt;=19000101,'월 가계부'!A376&lt;=21001231),IF(AND(MOD(INT('월 가계부'!A376/100),100)&gt;=1,MOD(INT('월 가계부'!A376/100),100)&lt;=12,MOD(INT('월 가계부'!A376),100)&gt;=1,MOD(INT('월 가계부'!A376),100)&lt;=31),IF(MONTH(DATE(INT('월 가계부'!A376/10000),MOD(INT('월 가계부'!A376/100),100),MOD(INT('월 가계부'!A376),100)))=MOD(INT('월 가계부'!A376/100),100),DATE(INT('월 가계부'!A376/10000),MOD(INT('월 가계부'!A376/100),100),MOD(INT('월 가계부'!A376),100)),""),""),IF(AND('월 가계부'!A376&gt;=36526,'월 가계부'!A376&lt;73051),INT('월 가계부'!A376),"")),IF(OR(CM376="",CN376="",CO376=""),"",IF(AND(CM376&gt;=2000,CM376&lt;=2099,CN376&gt;=1,CN376&lt;=12,CO376&gt;=1,CO376&lt;=31),IF(MONTH(DATE(CM376,CN376,CO376))=CN376,DATE(CM376,CN376,CO376),""),"")))),"")</f>
        <v/>
      </c>
      <c r="CJ376">
        <f>IFERROR(IF('월 가계부'!C376="","",IF(ISNUMBER('월 가계부'!C376),'월 가계부'!C376,VALUE(SUBSTITUTE(SUBSTITUTE(SUBSTITUTE(SUBSTITUTE(TRIM('월 가계부'!C376),",",""),"원","")," ",""),"−","-")))),"")</f>
        <v/>
      </c>
      <c r="CK376">
        <f>IF(ISNUMBER(CI376),IF(CI376&lt;$B$13,CI376,""),"")</f>
        <v/>
      </c>
      <c r="CM376">
        <f>IF(CH376="","",IFERROR(IF(IF(AND(LEN(CH376)=9,ISERROR(FIND("-",LEFT(CH376,8))),ISNUMBER(-LEFT(CH376,8))),VALUE(LEFT(CH376,4)),VALUE(LEFT(CH376,FIND("-",CH376)-1)))&lt;100,IF(AND(LEN(CH376)=9,ISERROR(FIND("-",LEFT(CH376,8))),ISNUMBER(-LEFT(CH376,8))),VALUE(LEFT(CH376,4)),VALUE(LEFT(CH376,FIND("-",CH376)-1)))+2000,IF(AND(LEN(CH376)=9,ISERROR(FIND("-",LEFT(CH376,8))),ISNUMBER(-LEFT(CH376,8))),VALUE(LEFT(CH376,4)),VALUE(LEFT(CH376,FIND("-",CH376)-1)))),""))</f>
        <v/>
      </c>
      <c r="CN376">
        <f>IF(CH376="","",IFERROR(IF(AND(LEN(CH376)=9,ISERROR(FIND("-",LEFT(CH376,8))),ISNUMBER(-LEFT(CH376,8))),VALUE(MID(CH376,5,2)),VALUE(MID(CH376,FIND("-",CH376)+1,FIND("-",CH376,FIND("-",CH376)+1)-FIND("-",CH376)-1))),""))</f>
        <v/>
      </c>
      <c r="CO376">
        <f>IF(CH376="","",IFERROR(IF(AND(LEN(CH376)=9,ISERROR(FIND("-",LEFT(CH376,8))),ISNUMBER(-LEFT(CH376,8))),VALUE(MID(CH376,7,2)),VALUE(MID(CH376,FIND("-",CH376,FIND("-",CH376)+1)+1,FIND("-",CH376,FIND("-",CH376,FIND("-",CH376)+1)+1)-FIND("-",CH376,FIND("-",CH376)+1)-1))),""))</f>
        <v/>
      </c>
    </row>
    <row r="377">
      <c r="CH377">
        <f>IF(ISTEXT('월 가계부'!A377),SUBSTITUTE(SUBSTITUTE(SUBSTITUTE(SUBSTITUTE(SUBSTITUTE(SUBSTITUTE(SUBSTITUTE(SUBSTITUTE(SUBSTITUTE(TRIM('월 가계부'!A377),"년","-"),"월","-"),"일",""),".","-"),"/","-")," ","-"),"--","-"),"--","-"),"--","-")&amp;"-","")</f>
        <v/>
      </c>
      <c r="CI377">
        <f>IFERROR(IF('월 가계부'!A377="","",IF(ISNUMBER('월 가계부'!A377),IF(AND('월 가계부'!A377&gt;=19000101,'월 가계부'!A377&lt;=21001231),IF(AND(MOD(INT('월 가계부'!A377/100),100)&gt;=1,MOD(INT('월 가계부'!A377/100),100)&lt;=12,MOD(INT('월 가계부'!A377),100)&gt;=1,MOD(INT('월 가계부'!A377),100)&lt;=31),IF(MONTH(DATE(INT('월 가계부'!A377/10000),MOD(INT('월 가계부'!A377/100),100),MOD(INT('월 가계부'!A377),100)))=MOD(INT('월 가계부'!A377/100),100),DATE(INT('월 가계부'!A377/10000),MOD(INT('월 가계부'!A377/100),100),MOD(INT('월 가계부'!A377),100)),""),""),IF(AND('월 가계부'!A377&gt;=36526,'월 가계부'!A377&lt;73051),INT('월 가계부'!A377),"")),IF(OR(CM377="",CN377="",CO377=""),"",IF(AND(CM377&gt;=2000,CM377&lt;=2099,CN377&gt;=1,CN377&lt;=12,CO377&gt;=1,CO377&lt;=31),IF(MONTH(DATE(CM377,CN377,CO377))=CN377,DATE(CM377,CN377,CO377),""),"")))),"")</f>
        <v/>
      </c>
      <c r="CJ377">
        <f>IFERROR(IF('월 가계부'!C377="","",IF(ISNUMBER('월 가계부'!C377),'월 가계부'!C377,VALUE(SUBSTITUTE(SUBSTITUTE(SUBSTITUTE(SUBSTITUTE(TRIM('월 가계부'!C377),",",""),"원","")," ",""),"−","-")))),"")</f>
        <v/>
      </c>
      <c r="CK377">
        <f>IF(ISNUMBER(CI377),IF(CI377&lt;$B$13,CI377,""),"")</f>
        <v/>
      </c>
      <c r="CM377">
        <f>IF(CH377="","",IFERROR(IF(IF(AND(LEN(CH377)=9,ISERROR(FIND("-",LEFT(CH377,8))),ISNUMBER(-LEFT(CH377,8))),VALUE(LEFT(CH377,4)),VALUE(LEFT(CH377,FIND("-",CH377)-1)))&lt;100,IF(AND(LEN(CH377)=9,ISERROR(FIND("-",LEFT(CH377,8))),ISNUMBER(-LEFT(CH377,8))),VALUE(LEFT(CH377,4)),VALUE(LEFT(CH377,FIND("-",CH377)-1)))+2000,IF(AND(LEN(CH377)=9,ISERROR(FIND("-",LEFT(CH377,8))),ISNUMBER(-LEFT(CH377,8))),VALUE(LEFT(CH377,4)),VALUE(LEFT(CH377,FIND("-",CH377)-1)))),""))</f>
        <v/>
      </c>
      <c r="CN377">
        <f>IF(CH377="","",IFERROR(IF(AND(LEN(CH377)=9,ISERROR(FIND("-",LEFT(CH377,8))),ISNUMBER(-LEFT(CH377,8))),VALUE(MID(CH377,5,2)),VALUE(MID(CH377,FIND("-",CH377)+1,FIND("-",CH377,FIND("-",CH377)+1)-FIND("-",CH377)-1))),""))</f>
        <v/>
      </c>
      <c r="CO377">
        <f>IF(CH377="","",IFERROR(IF(AND(LEN(CH377)=9,ISERROR(FIND("-",LEFT(CH377,8))),ISNUMBER(-LEFT(CH377,8))),VALUE(MID(CH377,7,2)),VALUE(MID(CH377,FIND("-",CH377,FIND("-",CH377)+1)+1,FIND("-",CH377,FIND("-",CH377,FIND("-",CH377)+1)+1)-FIND("-",CH377,FIND("-",CH377)+1)-1))),""))</f>
        <v/>
      </c>
    </row>
    <row r="378">
      <c r="CH378">
        <f>IF(ISTEXT('월 가계부'!A378),SUBSTITUTE(SUBSTITUTE(SUBSTITUTE(SUBSTITUTE(SUBSTITUTE(SUBSTITUTE(SUBSTITUTE(SUBSTITUTE(SUBSTITUTE(TRIM('월 가계부'!A378),"년","-"),"월","-"),"일",""),".","-"),"/","-")," ","-"),"--","-"),"--","-"),"--","-")&amp;"-","")</f>
        <v/>
      </c>
      <c r="CI378">
        <f>IFERROR(IF('월 가계부'!A378="","",IF(ISNUMBER('월 가계부'!A378),IF(AND('월 가계부'!A378&gt;=19000101,'월 가계부'!A378&lt;=21001231),IF(AND(MOD(INT('월 가계부'!A378/100),100)&gt;=1,MOD(INT('월 가계부'!A378/100),100)&lt;=12,MOD(INT('월 가계부'!A378),100)&gt;=1,MOD(INT('월 가계부'!A378),100)&lt;=31),IF(MONTH(DATE(INT('월 가계부'!A378/10000),MOD(INT('월 가계부'!A378/100),100),MOD(INT('월 가계부'!A378),100)))=MOD(INT('월 가계부'!A378/100),100),DATE(INT('월 가계부'!A378/10000),MOD(INT('월 가계부'!A378/100),100),MOD(INT('월 가계부'!A378),100)),""),""),IF(AND('월 가계부'!A378&gt;=36526,'월 가계부'!A378&lt;73051),INT('월 가계부'!A378),"")),IF(OR(CM378="",CN378="",CO378=""),"",IF(AND(CM378&gt;=2000,CM378&lt;=2099,CN378&gt;=1,CN378&lt;=12,CO378&gt;=1,CO378&lt;=31),IF(MONTH(DATE(CM378,CN378,CO378))=CN378,DATE(CM378,CN378,CO378),""),"")))),"")</f>
        <v/>
      </c>
      <c r="CJ378">
        <f>IFERROR(IF('월 가계부'!C378="","",IF(ISNUMBER('월 가계부'!C378),'월 가계부'!C378,VALUE(SUBSTITUTE(SUBSTITUTE(SUBSTITUTE(SUBSTITUTE(TRIM('월 가계부'!C378),",",""),"원","")," ",""),"−","-")))),"")</f>
        <v/>
      </c>
      <c r="CK378">
        <f>IF(ISNUMBER(CI378),IF(CI378&lt;$B$13,CI378,""),"")</f>
        <v/>
      </c>
      <c r="CM378">
        <f>IF(CH378="","",IFERROR(IF(IF(AND(LEN(CH378)=9,ISERROR(FIND("-",LEFT(CH378,8))),ISNUMBER(-LEFT(CH378,8))),VALUE(LEFT(CH378,4)),VALUE(LEFT(CH378,FIND("-",CH378)-1)))&lt;100,IF(AND(LEN(CH378)=9,ISERROR(FIND("-",LEFT(CH378,8))),ISNUMBER(-LEFT(CH378,8))),VALUE(LEFT(CH378,4)),VALUE(LEFT(CH378,FIND("-",CH378)-1)))+2000,IF(AND(LEN(CH378)=9,ISERROR(FIND("-",LEFT(CH378,8))),ISNUMBER(-LEFT(CH378,8))),VALUE(LEFT(CH378,4)),VALUE(LEFT(CH378,FIND("-",CH378)-1)))),""))</f>
        <v/>
      </c>
      <c r="CN378">
        <f>IF(CH378="","",IFERROR(IF(AND(LEN(CH378)=9,ISERROR(FIND("-",LEFT(CH378,8))),ISNUMBER(-LEFT(CH378,8))),VALUE(MID(CH378,5,2)),VALUE(MID(CH378,FIND("-",CH378)+1,FIND("-",CH378,FIND("-",CH378)+1)-FIND("-",CH378)-1))),""))</f>
        <v/>
      </c>
      <c r="CO378">
        <f>IF(CH378="","",IFERROR(IF(AND(LEN(CH378)=9,ISERROR(FIND("-",LEFT(CH378,8))),ISNUMBER(-LEFT(CH378,8))),VALUE(MID(CH378,7,2)),VALUE(MID(CH378,FIND("-",CH378,FIND("-",CH378)+1)+1,FIND("-",CH378,FIND("-",CH378,FIND("-",CH378)+1)+1)-FIND("-",CH378,FIND("-",CH378)+1)-1))),""))</f>
        <v/>
      </c>
    </row>
    <row r="379">
      <c r="CH379">
        <f>IF(ISTEXT('월 가계부'!A379),SUBSTITUTE(SUBSTITUTE(SUBSTITUTE(SUBSTITUTE(SUBSTITUTE(SUBSTITUTE(SUBSTITUTE(SUBSTITUTE(SUBSTITUTE(TRIM('월 가계부'!A379),"년","-"),"월","-"),"일",""),".","-"),"/","-")," ","-"),"--","-"),"--","-"),"--","-")&amp;"-","")</f>
        <v/>
      </c>
      <c r="CI379">
        <f>IFERROR(IF('월 가계부'!A379="","",IF(ISNUMBER('월 가계부'!A379),IF(AND('월 가계부'!A379&gt;=19000101,'월 가계부'!A379&lt;=21001231),IF(AND(MOD(INT('월 가계부'!A379/100),100)&gt;=1,MOD(INT('월 가계부'!A379/100),100)&lt;=12,MOD(INT('월 가계부'!A379),100)&gt;=1,MOD(INT('월 가계부'!A379),100)&lt;=31),IF(MONTH(DATE(INT('월 가계부'!A379/10000),MOD(INT('월 가계부'!A379/100),100),MOD(INT('월 가계부'!A379),100)))=MOD(INT('월 가계부'!A379/100),100),DATE(INT('월 가계부'!A379/10000),MOD(INT('월 가계부'!A379/100),100),MOD(INT('월 가계부'!A379),100)),""),""),IF(AND('월 가계부'!A379&gt;=36526,'월 가계부'!A379&lt;73051),INT('월 가계부'!A379),"")),IF(OR(CM379="",CN379="",CO379=""),"",IF(AND(CM379&gt;=2000,CM379&lt;=2099,CN379&gt;=1,CN379&lt;=12,CO379&gt;=1,CO379&lt;=31),IF(MONTH(DATE(CM379,CN379,CO379))=CN379,DATE(CM379,CN379,CO379),""),"")))),"")</f>
        <v/>
      </c>
      <c r="CJ379">
        <f>IFERROR(IF('월 가계부'!C379="","",IF(ISNUMBER('월 가계부'!C379),'월 가계부'!C379,VALUE(SUBSTITUTE(SUBSTITUTE(SUBSTITUTE(SUBSTITUTE(TRIM('월 가계부'!C379),",",""),"원","")," ",""),"−","-")))),"")</f>
        <v/>
      </c>
      <c r="CK379">
        <f>IF(ISNUMBER(CI379),IF(CI379&lt;$B$13,CI379,""),"")</f>
        <v/>
      </c>
      <c r="CM379">
        <f>IF(CH379="","",IFERROR(IF(IF(AND(LEN(CH379)=9,ISERROR(FIND("-",LEFT(CH379,8))),ISNUMBER(-LEFT(CH379,8))),VALUE(LEFT(CH379,4)),VALUE(LEFT(CH379,FIND("-",CH379)-1)))&lt;100,IF(AND(LEN(CH379)=9,ISERROR(FIND("-",LEFT(CH379,8))),ISNUMBER(-LEFT(CH379,8))),VALUE(LEFT(CH379,4)),VALUE(LEFT(CH379,FIND("-",CH379)-1)))+2000,IF(AND(LEN(CH379)=9,ISERROR(FIND("-",LEFT(CH379,8))),ISNUMBER(-LEFT(CH379,8))),VALUE(LEFT(CH379,4)),VALUE(LEFT(CH379,FIND("-",CH379)-1)))),""))</f>
        <v/>
      </c>
      <c r="CN379">
        <f>IF(CH379="","",IFERROR(IF(AND(LEN(CH379)=9,ISERROR(FIND("-",LEFT(CH379,8))),ISNUMBER(-LEFT(CH379,8))),VALUE(MID(CH379,5,2)),VALUE(MID(CH379,FIND("-",CH379)+1,FIND("-",CH379,FIND("-",CH379)+1)-FIND("-",CH379)-1))),""))</f>
        <v/>
      </c>
      <c r="CO379">
        <f>IF(CH379="","",IFERROR(IF(AND(LEN(CH379)=9,ISERROR(FIND("-",LEFT(CH379,8))),ISNUMBER(-LEFT(CH379,8))),VALUE(MID(CH379,7,2)),VALUE(MID(CH379,FIND("-",CH379,FIND("-",CH379)+1)+1,FIND("-",CH379,FIND("-",CH379,FIND("-",CH379)+1)+1)-FIND("-",CH379,FIND("-",CH379)+1)-1))),""))</f>
        <v/>
      </c>
    </row>
    <row r="380">
      <c r="CH380">
        <f>IF(ISTEXT('월 가계부'!A380),SUBSTITUTE(SUBSTITUTE(SUBSTITUTE(SUBSTITUTE(SUBSTITUTE(SUBSTITUTE(SUBSTITUTE(SUBSTITUTE(SUBSTITUTE(TRIM('월 가계부'!A380),"년","-"),"월","-"),"일",""),".","-"),"/","-")," ","-"),"--","-"),"--","-"),"--","-")&amp;"-","")</f>
        <v/>
      </c>
      <c r="CI380">
        <f>IFERROR(IF('월 가계부'!A380="","",IF(ISNUMBER('월 가계부'!A380),IF(AND('월 가계부'!A380&gt;=19000101,'월 가계부'!A380&lt;=21001231),IF(AND(MOD(INT('월 가계부'!A380/100),100)&gt;=1,MOD(INT('월 가계부'!A380/100),100)&lt;=12,MOD(INT('월 가계부'!A380),100)&gt;=1,MOD(INT('월 가계부'!A380),100)&lt;=31),IF(MONTH(DATE(INT('월 가계부'!A380/10000),MOD(INT('월 가계부'!A380/100),100),MOD(INT('월 가계부'!A380),100)))=MOD(INT('월 가계부'!A380/100),100),DATE(INT('월 가계부'!A380/10000),MOD(INT('월 가계부'!A380/100),100),MOD(INT('월 가계부'!A380),100)),""),""),IF(AND('월 가계부'!A380&gt;=36526,'월 가계부'!A380&lt;73051),INT('월 가계부'!A380),"")),IF(OR(CM380="",CN380="",CO380=""),"",IF(AND(CM380&gt;=2000,CM380&lt;=2099,CN380&gt;=1,CN380&lt;=12,CO380&gt;=1,CO380&lt;=31),IF(MONTH(DATE(CM380,CN380,CO380))=CN380,DATE(CM380,CN380,CO380),""),"")))),"")</f>
        <v/>
      </c>
      <c r="CJ380">
        <f>IFERROR(IF('월 가계부'!C380="","",IF(ISNUMBER('월 가계부'!C380),'월 가계부'!C380,VALUE(SUBSTITUTE(SUBSTITUTE(SUBSTITUTE(SUBSTITUTE(TRIM('월 가계부'!C380),",",""),"원","")," ",""),"−","-")))),"")</f>
        <v/>
      </c>
      <c r="CK380">
        <f>IF(ISNUMBER(CI380),IF(CI380&lt;$B$13,CI380,""),"")</f>
        <v/>
      </c>
      <c r="CM380">
        <f>IF(CH380="","",IFERROR(IF(IF(AND(LEN(CH380)=9,ISERROR(FIND("-",LEFT(CH380,8))),ISNUMBER(-LEFT(CH380,8))),VALUE(LEFT(CH380,4)),VALUE(LEFT(CH380,FIND("-",CH380)-1)))&lt;100,IF(AND(LEN(CH380)=9,ISERROR(FIND("-",LEFT(CH380,8))),ISNUMBER(-LEFT(CH380,8))),VALUE(LEFT(CH380,4)),VALUE(LEFT(CH380,FIND("-",CH380)-1)))+2000,IF(AND(LEN(CH380)=9,ISERROR(FIND("-",LEFT(CH380,8))),ISNUMBER(-LEFT(CH380,8))),VALUE(LEFT(CH380,4)),VALUE(LEFT(CH380,FIND("-",CH380)-1)))),""))</f>
        <v/>
      </c>
      <c r="CN380">
        <f>IF(CH380="","",IFERROR(IF(AND(LEN(CH380)=9,ISERROR(FIND("-",LEFT(CH380,8))),ISNUMBER(-LEFT(CH380,8))),VALUE(MID(CH380,5,2)),VALUE(MID(CH380,FIND("-",CH380)+1,FIND("-",CH380,FIND("-",CH380)+1)-FIND("-",CH380)-1))),""))</f>
        <v/>
      </c>
      <c r="CO380">
        <f>IF(CH380="","",IFERROR(IF(AND(LEN(CH380)=9,ISERROR(FIND("-",LEFT(CH380,8))),ISNUMBER(-LEFT(CH380,8))),VALUE(MID(CH380,7,2)),VALUE(MID(CH380,FIND("-",CH380,FIND("-",CH380)+1)+1,FIND("-",CH380,FIND("-",CH380,FIND("-",CH380)+1)+1)-FIND("-",CH380,FIND("-",CH380)+1)-1))),""))</f>
        <v/>
      </c>
    </row>
    <row r="381">
      <c r="CH381">
        <f>IF(ISTEXT('월 가계부'!A381),SUBSTITUTE(SUBSTITUTE(SUBSTITUTE(SUBSTITUTE(SUBSTITUTE(SUBSTITUTE(SUBSTITUTE(SUBSTITUTE(SUBSTITUTE(TRIM('월 가계부'!A381),"년","-"),"월","-"),"일",""),".","-"),"/","-")," ","-"),"--","-"),"--","-"),"--","-")&amp;"-","")</f>
        <v/>
      </c>
      <c r="CI381">
        <f>IFERROR(IF('월 가계부'!A381="","",IF(ISNUMBER('월 가계부'!A381),IF(AND('월 가계부'!A381&gt;=19000101,'월 가계부'!A381&lt;=21001231),IF(AND(MOD(INT('월 가계부'!A381/100),100)&gt;=1,MOD(INT('월 가계부'!A381/100),100)&lt;=12,MOD(INT('월 가계부'!A381),100)&gt;=1,MOD(INT('월 가계부'!A381),100)&lt;=31),IF(MONTH(DATE(INT('월 가계부'!A381/10000),MOD(INT('월 가계부'!A381/100),100),MOD(INT('월 가계부'!A381),100)))=MOD(INT('월 가계부'!A381/100),100),DATE(INT('월 가계부'!A381/10000),MOD(INT('월 가계부'!A381/100),100),MOD(INT('월 가계부'!A381),100)),""),""),IF(AND('월 가계부'!A381&gt;=36526,'월 가계부'!A381&lt;73051),INT('월 가계부'!A381),"")),IF(OR(CM381="",CN381="",CO381=""),"",IF(AND(CM381&gt;=2000,CM381&lt;=2099,CN381&gt;=1,CN381&lt;=12,CO381&gt;=1,CO381&lt;=31),IF(MONTH(DATE(CM381,CN381,CO381))=CN381,DATE(CM381,CN381,CO381),""),"")))),"")</f>
        <v/>
      </c>
      <c r="CJ381">
        <f>IFERROR(IF('월 가계부'!C381="","",IF(ISNUMBER('월 가계부'!C381),'월 가계부'!C381,VALUE(SUBSTITUTE(SUBSTITUTE(SUBSTITUTE(SUBSTITUTE(TRIM('월 가계부'!C381),",",""),"원","")," ",""),"−","-")))),"")</f>
        <v/>
      </c>
      <c r="CK381">
        <f>IF(ISNUMBER(CI381),IF(CI381&lt;$B$13,CI381,""),"")</f>
        <v/>
      </c>
      <c r="CM381">
        <f>IF(CH381="","",IFERROR(IF(IF(AND(LEN(CH381)=9,ISERROR(FIND("-",LEFT(CH381,8))),ISNUMBER(-LEFT(CH381,8))),VALUE(LEFT(CH381,4)),VALUE(LEFT(CH381,FIND("-",CH381)-1)))&lt;100,IF(AND(LEN(CH381)=9,ISERROR(FIND("-",LEFT(CH381,8))),ISNUMBER(-LEFT(CH381,8))),VALUE(LEFT(CH381,4)),VALUE(LEFT(CH381,FIND("-",CH381)-1)))+2000,IF(AND(LEN(CH381)=9,ISERROR(FIND("-",LEFT(CH381,8))),ISNUMBER(-LEFT(CH381,8))),VALUE(LEFT(CH381,4)),VALUE(LEFT(CH381,FIND("-",CH381)-1)))),""))</f>
        <v/>
      </c>
      <c r="CN381">
        <f>IF(CH381="","",IFERROR(IF(AND(LEN(CH381)=9,ISERROR(FIND("-",LEFT(CH381,8))),ISNUMBER(-LEFT(CH381,8))),VALUE(MID(CH381,5,2)),VALUE(MID(CH381,FIND("-",CH381)+1,FIND("-",CH381,FIND("-",CH381)+1)-FIND("-",CH381)-1))),""))</f>
        <v/>
      </c>
      <c r="CO381">
        <f>IF(CH381="","",IFERROR(IF(AND(LEN(CH381)=9,ISERROR(FIND("-",LEFT(CH381,8))),ISNUMBER(-LEFT(CH381,8))),VALUE(MID(CH381,7,2)),VALUE(MID(CH381,FIND("-",CH381,FIND("-",CH381)+1)+1,FIND("-",CH381,FIND("-",CH381,FIND("-",CH381)+1)+1)-FIND("-",CH381,FIND("-",CH381)+1)-1))),""))</f>
        <v/>
      </c>
    </row>
    <row r="382">
      <c r="CH382">
        <f>IF(ISTEXT('월 가계부'!A382),SUBSTITUTE(SUBSTITUTE(SUBSTITUTE(SUBSTITUTE(SUBSTITUTE(SUBSTITUTE(SUBSTITUTE(SUBSTITUTE(SUBSTITUTE(TRIM('월 가계부'!A382),"년","-"),"월","-"),"일",""),".","-"),"/","-")," ","-"),"--","-"),"--","-"),"--","-")&amp;"-","")</f>
        <v/>
      </c>
      <c r="CI382">
        <f>IFERROR(IF('월 가계부'!A382="","",IF(ISNUMBER('월 가계부'!A382),IF(AND('월 가계부'!A382&gt;=19000101,'월 가계부'!A382&lt;=21001231),IF(AND(MOD(INT('월 가계부'!A382/100),100)&gt;=1,MOD(INT('월 가계부'!A382/100),100)&lt;=12,MOD(INT('월 가계부'!A382),100)&gt;=1,MOD(INT('월 가계부'!A382),100)&lt;=31),IF(MONTH(DATE(INT('월 가계부'!A382/10000),MOD(INT('월 가계부'!A382/100),100),MOD(INT('월 가계부'!A382),100)))=MOD(INT('월 가계부'!A382/100),100),DATE(INT('월 가계부'!A382/10000),MOD(INT('월 가계부'!A382/100),100),MOD(INT('월 가계부'!A382),100)),""),""),IF(AND('월 가계부'!A382&gt;=36526,'월 가계부'!A382&lt;73051),INT('월 가계부'!A382),"")),IF(OR(CM382="",CN382="",CO382=""),"",IF(AND(CM382&gt;=2000,CM382&lt;=2099,CN382&gt;=1,CN382&lt;=12,CO382&gt;=1,CO382&lt;=31),IF(MONTH(DATE(CM382,CN382,CO382))=CN382,DATE(CM382,CN382,CO382),""),"")))),"")</f>
        <v/>
      </c>
      <c r="CJ382">
        <f>IFERROR(IF('월 가계부'!C382="","",IF(ISNUMBER('월 가계부'!C382),'월 가계부'!C382,VALUE(SUBSTITUTE(SUBSTITUTE(SUBSTITUTE(SUBSTITUTE(TRIM('월 가계부'!C382),",",""),"원","")," ",""),"−","-")))),"")</f>
        <v/>
      </c>
      <c r="CK382">
        <f>IF(ISNUMBER(CI382),IF(CI382&lt;$B$13,CI382,""),"")</f>
        <v/>
      </c>
      <c r="CM382">
        <f>IF(CH382="","",IFERROR(IF(IF(AND(LEN(CH382)=9,ISERROR(FIND("-",LEFT(CH382,8))),ISNUMBER(-LEFT(CH382,8))),VALUE(LEFT(CH382,4)),VALUE(LEFT(CH382,FIND("-",CH382)-1)))&lt;100,IF(AND(LEN(CH382)=9,ISERROR(FIND("-",LEFT(CH382,8))),ISNUMBER(-LEFT(CH382,8))),VALUE(LEFT(CH382,4)),VALUE(LEFT(CH382,FIND("-",CH382)-1)))+2000,IF(AND(LEN(CH382)=9,ISERROR(FIND("-",LEFT(CH382,8))),ISNUMBER(-LEFT(CH382,8))),VALUE(LEFT(CH382,4)),VALUE(LEFT(CH382,FIND("-",CH382)-1)))),""))</f>
        <v/>
      </c>
      <c r="CN382">
        <f>IF(CH382="","",IFERROR(IF(AND(LEN(CH382)=9,ISERROR(FIND("-",LEFT(CH382,8))),ISNUMBER(-LEFT(CH382,8))),VALUE(MID(CH382,5,2)),VALUE(MID(CH382,FIND("-",CH382)+1,FIND("-",CH382,FIND("-",CH382)+1)-FIND("-",CH382)-1))),""))</f>
        <v/>
      </c>
      <c r="CO382">
        <f>IF(CH382="","",IFERROR(IF(AND(LEN(CH382)=9,ISERROR(FIND("-",LEFT(CH382,8))),ISNUMBER(-LEFT(CH382,8))),VALUE(MID(CH382,7,2)),VALUE(MID(CH382,FIND("-",CH382,FIND("-",CH382)+1)+1,FIND("-",CH382,FIND("-",CH382,FIND("-",CH382)+1)+1)-FIND("-",CH382,FIND("-",CH382)+1)-1))),""))</f>
        <v/>
      </c>
    </row>
    <row r="383">
      <c r="CH383">
        <f>IF(ISTEXT('월 가계부'!A383),SUBSTITUTE(SUBSTITUTE(SUBSTITUTE(SUBSTITUTE(SUBSTITUTE(SUBSTITUTE(SUBSTITUTE(SUBSTITUTE(SUBSTITUTE(TRIM('월 가계부'!A383),"년","-"),"월","-"),"일",""),".","-"),"/","-")," ","-"),"--","-"),"--","-"),"--","-")&amp;"-","")</f>
        <v/>
      </c>
      <c r="CI383">
        <f>IFERROR(IF('월 가계부'!A383="","",IF(ISNUMBER('월 가계부'!A383),IF(AND('월 가계부'!A383&gt;=19000101,'월 가계부'!A383&lt;=21001231),IF(AND(MOD(INT('월 가계부'!A383/100),100)&gt;=1,MOD(INT('월 가계부'!A383/100),100)&lt;=12,MOD(INT('월 가계부'!A383),100)&gt;=1,MOD(INT('월 가계부'!A383),100)&lt;=31),IF(MONTH(DATE(INT('월 가계부'!A383/10000),MOD(INT('월 가계부'!A383/100),100),MOD(INT('월 가계부'!A383),100)))=MOD(INT('월 가계부'!A383/100),100),DATE(INT('월 가계부'!A383/10000),MOD(INT('월 가계부'!A383/100),100),MOD(INT('월 가계부'!A383),100)),""),""),IF(AND('월 가계부'!A383&gt;=36526,'월 가계부'!A383&lt;73051),INT('월 가계부'!A383),"")),IF(OR(CM383="",CN383="",CO383=""),"",IF(AND(CM383&gt;=2000,CM383&lt;=2099,CN383&gt;=1,CN383&lt;=12,CO383&gt;=1,CO383&lt;=31),IF(MONTH(DATE(CM383,CN383,CO383))=CN383,DATE(CM383,CN383,CO383),""),"")))),"")</f>
        <v/>
      </c>
      <c r="CJ383">
        <f>IFERROR(IF('월 가계부'!C383="","",IF(ISNUMBER('월 가계부'!C383),'월 가계부'!C383,VALUE(SUBSTITUTE(SUBSTITUTE(SUBSTITUTE(SUBSTITUTE(TRIM('월 가계부'!C383),",",""),"원","")," ",""),"−","-")))),"")</f>
        <v/>
      </c>
      <c r="CK383">
        <f>IF(ISNUMBER(CI383),IF(CI383&lt;$B$13,CI383,""),"")</f>
        <v/>
      </c>
      <c r="CM383">
        <f>IF(CH383="","",IFERROR(IF(IF(AND(LEN(CH383)=9,ISERROR(FIND("-",LEFT(CH383,8))),ISNUMBER(-LEFT(CH383,8))),VALUE(LEFT(CH383,4)),VALUE(LEFT(CH383,FIND("-",CH383)-1)))&lt;100,IF(AND(LEN(CH383)=9,ISERROR(FIND("-",LEFT(CH383,8))),ISNUMBER(-LEFT(CH383,8))),VALUE(LEFT(CH383,4)),VALUE(LEFT(CH383,FIND("-",CH383)-1)))+2000,IF(AND(LEN(CH383)=9,ISERROR(FIND("-",LEFT(CH383,8))),ISNUMBER(-LEFT(CH383,8))),VALUE(LEFT(CH383,4)),VALUE(LEFT(CH383,FIND("-",CH383)-1)))),""))</f>
        <v/>
      </c>
      <c r="CN383">
        <f>IF(CH383="","",IFERROR(IF(AND(LEN(CH383)=9,ISERROR(FIND("-",LEFT(CH383,8))),ISNUMBER(-LEFT(CH383,8))),VALUE(MID(CH383,5,2)),VALUE(MID(CH383,FIND("-",CH383)+1,FIND("-",CH383,FIND("-",CH383)+1)-FIND("-",CH383)-1))),""))</f>
        <v/>
      </c>
      <c r="CO383">
        <f>IF(CH383="","",IFERROR(IF(AND(LEN(CH383)=9,ISERROR(FIND("-",LEFT(CH383,8))),ISNUMBER(-LEFT(CH383,8))),VALUE(MID(CH383,7,2)),VALUE(MID(CH383,FIND("-",CH383,FIND("-",CH383)+1)+1,FIND("-",CH383,FIND("-",CH383,FIND("-",CH383)+1)+1)-FIND("-",CH383,FIND("-",CH383)+1)-1))),""))</f>
        <v/>
      </c>
    </row>
    <row r="384">
      <c r="CH384">
        <f>IF(ISTEXT('월 가계부'!A384),SUBSTITUTE(SUBSTITUTE(SUBSTITUTE(SUBSTITUTE(SUBSTITUTE(SUBSTITUTE(SUBSTITUTE(SUBSTITUTE(SUBSTITUTE(TRIM('월 가계부'!A384),"년","-"),"월","-"),"일",""),".","-"),"/","-")," ","-"),"--","-"),"--","-"),"--","-")&amp;"-","")</f>
        <v/>
      </c>
      <c r="CI384">
        <f>IFERROR(IF('월 가계부'!A384="","",IF(ISNUMBER('월 가계부'!A384),IF(AND('월 가계부'!A384&gt;=19000101,'월 가계부'!A384&lt;=21001231),IF(AND(MOD(INT('월 가계부'!A384/100),100)&gt;=1,MOD(INT('월 가계부'!A384/100),100)&lt;=12,MOD(INT('월 가계부'!A384),100)&gt;=1,MOD(INT('월 가계부'!A384),100)&lt;=31),IF(MONTH(DATE(INT('월 가계부'!A384/10000),MOD(INT('월 가계부'!A384/100),100),MOD(INT('월 가계부'!A384),100)))=MOD(INT('월 가계부'!A384/100),100),DATE(INT('월 가계부'!A384/10000),MOD(INT('월 가계부'!A384/100),100),MOD(INT('월 가계부'!A384),100)),""),""),IF(AND('월 가계부'!A384&gt;=36526,'월 가계부'!A384&lt;73051),INT('월 가계부'!A384),"")),IF(OR(CM384="",CN384="",CO384=""),"",IF(AND(CM384&gt;=2000,CM384&lt;=2099,CN384&gt;=1,CN384&lt;=12,CO384&gt;=1,CO384&lt;=31),IF(MONTH(DATE(CM384,CN384,CO384))=CN384,DATE(CM384,CN384,CO384),""),"")))),"")</f>
        <v/>
      </c>
      <c r="CJ384">
        <f>IFERROR(IF('월 가계부'!C384="","",IF(ISNUMBER('월 가계부'!C384),'월 가계부'!C384,VALUE(SUBSTITUTE(SUBSTITUTE(SUBSTITUTE(SUBSTITUTE(TRIM('월 가계부'!C384),",",""),"원","")," ",""),"−","-")))),"")</f>
        <v/>
      </c>
      <c r="CK384">
        <f>IF(ISNUMBER(CI384),IF(CI384&lt;$B$13,CI384,""),"")</f>
        <v/>
      </c>
      <c r="CM384">
        <f>IF(CH384="","",IFERROR(IF(IF(AND(LEN(CH384)=9,ISERROR(FIND("-",LEFT(CH384,8))),ISNUMBER(-LEFT(CH384,8))),VALUE(LEFT(CH384,4)),VALUE(LEFT(CH384,FIND("-",CH384)-1)))&lt;100,IF(AND(LEN(CH384)=9,ISERROR(FIND("-",LEFT(CH384,8))),ISNUMBER(-LEFT(CH384,8))),VALUE(LEFT(CH384,4)),VALUE(LEFT(CH384,FIND("-",CH384)-1)))+2000,IF(AND(LEN(CH384)=9,ISERROR(FIND("-",LEFT(CH384,8))),ISNUMBER(-LEFT(CH384,8))),VALUE(LEFT(CH384,4)),VALUE(LEFT(CH384,FIND("-",CH384)-1)))),""))</f>
        <v/>
      </c>
      <c r="CN384">
        <f>IF(CH384="","",IFERROR(IF(AND(LEN(CH384)=9,ISERROR(FIND("-",LEFT(CH384,8))),ISNUMBER(-LEFT(CH384,8))),VALUE(MID(CH384,5,2)),VALUE(MID(CH384,FIND("-",CH384)+1,FIND("-",CH384,FIND("-",CH384)+1)-FIND("-",CH384)-1))),""))</f>
        <v/>
      </c>
      <c r="CO384">
        <f>IF(CH384="","",IFERROR(IF(AND(LEN(CH384)=9,ISERROR(FIND("-",LEFT(CH384,8))),ISNUMBER(-LEFT(CH384,8))),VALUE(MID(CH384,7,2)),VALUE(MID(CH384,FIND("-",CH384,FIND("-",CH384)+1)+1,FIND("-",CH384,FIND("-",CH384,FIND("-",CH384)+1)+1)-FIND("-",CH384,FIND("-",CH384)+1)-1))),""))</f>
        <v/>
      </c>
    </row>
    <row r="385">
      <c r="CH385">
        <f>IF(ISTEXT('월 가계부'!A385),SUBSTITUTE(SUBSTITUTE(SUBSTITUTE(SUBSTITUTE(SUBSTITUTE(SUBSTITUTE(SUBSTITUTE(SUBSTITUTE(SUBSTITUTE(TRIM('월 가계부'!A385),"년","-"),"월","-"),"일",""),".","-"),"/","-")," ","-"),"--","-"),"--","-"),"--","-")&amp;"-","")</f>
        <v/>
      </c>
      <c r="CI385">
        <f>IFERROR(IF('월 가계부'!A385="","",IF(ISNUMBER('월 가계부'!A385),IF(AND('월 가계부'!A385&gt;=19000101,'월 가계부'!A385&lt;=21001231),IF(AND(MOD(INT('월 가계부'!A385/100),100)&gt;=1,MOD(INT('월 가계부'!A385/100),100)&lt;=12,MOD(INT('월 가계부'!A385),100)&gt;=1,MOD(INT('월 가계부'!A385),100)&lt;=31),IF(MONTH(DATE(INT('월 가계부'!A385/10000),MOD(INT('월 가계부'!A385/100),100),MOD(INT('월 가계부'!A385),100)))=MOD(INT('월 가계부'!A385/100),100),DATE(INT('월 가계부'!A385/10000),MOD(INT('월 가계부'!A385/100),100),MOD(INT('월 가계부'!A385),100)),""),""),IF(AND('월 가계부'!A385&gt;=36526,'월 가계부'!A385&lt;73051),INT('월 가계부'!A385),"")),IF(OR(CM385="",CN385="",CO385=""),"",IF(AND(CM385&gt;=2000,CM385&lt;=2099,CN385&gt;=1,CN385&lt;=12,CO385&gt;=1,CO385&lt;=31),IF(MONTH(DATE(CM385,CN385,CO385))=CN385,DATE(CM385,CN385,CO385),""),"")))),"")</f>
        <v/>
      </c>
      <c r="CJ385">
        <f>IFERROR(IF('월 가계부'!C385="","",IF(ISNUMBER('월 가계부'!C385),'월 가계부'!C385,VALUE(SUBSTITUTE(SUBSTITUTE(SUBSTITUTE(SUBSTITUTE(TRIM('월 가계부'!C385),",",""),"원","")," ",""),"−","-")))),"")</f>
        <v/>
      </c>
      <c r="CK385">
        <f>IF(ISNUMBER(CI385),IF(CI385&lt;$B$13,CI385,""),"")</f>
        <v/>
      </c>
      <c r="CM385">
        <f>IF(CH385="","",IFERROR(IF(IF(AND(LEN(CH385)=9,ISERROR(FIND("-",LEFT(CH385,8))),ISNUMBER(-LEFT(CH385,8))),VALUE(LEFT(CH385,4)),VALUE(LEFT(CH385,FIND("-",CH385)-1)))&lt;100,IF(AND(LEN(CH385)=9,ISERROR(FIND("-",LEFT(CH385,8))),ISNUMBER(-LEFT(CH385,8))),VALUE(LEFT(CH385,4)),VALUE(LEFT(CH385,FIND("-",CH385)-1)))+2000,IF(AND(LEN(CH385)=9,ISERROR(FIND("-",LEFT(CH385,8))),ISNUMBER(-LEFT(CH385,8))),VALUE(LEFT(CH385,4)),VALUE(LEFT(CH385,FIND("-",CH385)-1)))),""))</f>
        <v/>
      </c>
      <c r="CN385">
        <f>IF(CH385="","",IFERROR(IF(AND(LEN(CH385)=9,ISERROR(FIND("-",LEFT(CH385,8))),ISNUMBER(-LEFT(CH385,8))),VALUE(MID(CH385,5,2)),VALUE(MID(CH385,FIND("-",CH385)+1,FIND("-",CH385,FIND("-",CH385)+1)-FIND("-",CH385)-1))),""))</f>
        <v/>
      </c>
      <c r="CO385">
        <f>IF(CH385="","",IFERROR(IF(AND(LEN(CH385)=9,ISERROR(FIND("-",LEFT(CH385,8))),ISNUMBER(-LEFT(CH385,8))),VALUE(MID(CH385,7,2)),VALUE(MID(CH385,FIND("-",CH385,FIND("-",CH385)+1)+1,FIND("-",CH385,FIND("-",CH385,FIND("-",CH385)+1)+1)-FIND("-",CH385,FIND("-",CH385)+1)-1))),""))</f>
        <v/>
      </c>
    </row>
    <row r="386">
      <c r="CH386">
        <f>IF(ISTEXT('월 가계부'!A386),SUBSTITUTE(SUBSTITUTE(SUBSTITUTE(SUBSTITUTE(SUBSTITUTE(SUBSTITUTE(SUBSTITUTE(SUBSTITUTE(SUBSTITUTE(TRIM('월 가계부'!A386),"년","-"),"월","-"),"일",""),".","-"),"/","-")," ","-"),"--","-"),"--","-"),"--","-")&amp;"-","")</f>
        <v/>
      </c>
      <c r="CI386">
        <f>IFERROR(IF('월 가계부'!A386="","",IF(ISNUMBER('월 가계부'!A386),IF(AND('월 가계부'!A386&gt;=19000101,'월 가계부'!A386&lt;=21001231),IF(AND(MOD(INT('월 가계부'!A386/100),100)&gt;=1,MOD(INT('월 가계부'!A386/100),100)&lt;=12,MOD(INT('월 가계부'!A386),100)&gt;=1,MOD(INT('월 가계부'!A386),100)&lt;=31),IF(MONTH(DATE(INT('월 가계부'!A386/10000),MOD(INT('월 가계부'!A386/100),100),MOD(INT('월 가계부'!A386),100)))=MOD(INT('월 가계부'!A386/100),100),DATE(INT('월 가계부'!A386/10000),MOD(INT('월 가계부'!A386/100),100),MOD(INT('월 가계부'!A386),100)),""),""),IF(AND('월 가계부'!A386&gt;=36526,'월 가계부'!A386&lt;73051),INT('월 가계부'!A386),"")),IF(OR(CM386="",CN386="",CO386=""),"",IF(AND(CM386&gt;=2000,CM386&lt;=2099,CN386&gt;=1,CN386&lt;=12,CO386&gt;=1,CO386&lt;=31),IF(MONTH(DATE(CM386,CN386,CO386))=CN386,DATE(CM386,CN386,CO386),""),"")))),"")</f>
        <v/>
      </c>
      <c r="CJ386">
        <f>IFERROR(IF('월 가계부'!C386="","",IF(ISNUMBER('월 가계부'!C386),'월 가계부'!C386,VALUE(SUBSTITUTE(SUBSTITUTE(SUBSTITUTE(SUBSTITUTE(TRIM('월 가계부'!C386),",",""),"원","")," ",""),"−","-")))),"")</f>
        <v/>
      </c>
      <c r="CK386">
        <f>IF(ISNUMBER(CI386),IF(CI386&lt;$B$13,CI386,""),"")</f>
        <v/>
      </c>
      <c r="CM386">
        <f>IF(CH386="","",IFERROR(IF(IF(AND(LEN(CH386)=9,ISERROR(FIND("-",LEFT(CH386,8))),ISNUMBER(-LEFT(CH386,8))),VALUE(LEFT(CH386,4)),VALUE(LEFT(CH386,FIND("-",CH386)-1)))&lt;100,IF(AND(LEN(CH386)=9,ISERROR(FIND("-",LEFT(CH386,8))),ISNUMBER(-LEFT(CH386,8))),VALUE(LEFT(CH386,4)),VALUE(LEFT(CH386,FIND("-",CH386)-1)))+2000,IF(AND(LEN(CH386)=9,ISERROR(FIND("-",LEFT(CH386,8))),ISNUMBER(-LEFT(CH386,8))),VALUE(LEFT(CH386,4)),VALUE(LEFT(CH386,FIND("-",CH386)-1)))),""))</f>
        <v/>
      </c>
      <c r="CN386">
        <f>IF(CH386="","",IFERROR(IF(AND(LEN(CH386)=9,ISERROR(FIND("-",LEFT(CH386,8))),ISNUMBER(-LEFT(CH386,8))),VALUE(MID(CH386,5,2)),VALUE(MID(CH386,FIND("-",CH386)+1,FIND("-",CH386,FIND("-",CH386)+1)-FIND("-",CH386)-1))),""))</f>
        <v/>
      </c>
      <c r="CO386">
        <f>IF(CH386="","",IFERROR(IF(AND(LEN(CH386)=9,ISERROR(FIND("-",LEFT(CH386,8))),ISNUMBER(-LEFT(CH386,8))),VALUE(MID(CH386,7,2)),VALUE(MID(CH386,FIND("-",CH386,FIND("-",CH386)+1)+1,FIND("-",CH386,FIND("-",CH386,FIND("-",CH386)+1)+1)-FIND("-",CH386,FIND("-",CH386)+1)-1))),""))</f>
        <v/>
      </c>
    </row>
    <row r="387">
      <c r="CH387">
        <f>IF(ISTEXT('월 가계부'!A387),SUBSTITUTE(SUBSTITUTE(SUBSTITUTE(SUBSTITUTE(SUBSTITUTE(SUBSTITUTE(SUBSTITUTE(SUBSTITUTE(SUBSTITUTE(TRIM('월 가계부'!A387),"년","-"),"월","-"),"일",""),".","-"),"/","-")," ","-"),"--","-"),"--","-"),"--","-")&amp;"-","")</f>
        <v/>
      </c>
      <c r="CI387">
        <f>IFERROR(IF('월 가계부'!A387="","",IF(ISNUMBER('월 가계부'!A387),IF(AND('월 가계부'!A387&gt;=19000101,'월 가계부'!A387&lt;=21001231),IF(AND(MOD(INT('월 가계부'!A387/100),100)&gt;=1,MOD(INT('월 가계부'!A387/100),100)&lt;=12,MOD(INT('월 가계부'!A387),100)&gt;=1,MOD(INT('월 가계부'!A387),100)&lt;=31),IF(MONTH(DATE(INT('월 가계부'!A387/10000),MOD(INT('월 가계부'!A387/100),100),MOD(INT('월 가계부'!A387),100)))=MOD(INT('월 가계부'!A387/100),100),DATE(INT('월 가계부'!A387/10000),MOD(INT('월 가계부'!A387/100),100),MOD(INT('월 가계부'!A387),100)),""),""),IF(AND('월 가계부'!A387&gt;=36526,'월 가계부'!A387&lt;73051),INT('월 가계부'!A387),"")),IF(OR(CM387="",CN387="",CO387=""),"",IF(AND(CM387&gt;=2000,CM387&lt;=2099,CN387&gt;=1,CN387&lt;=12,CO387&gt;=1,CO387&lt;=31),IF(MONTH(DATE(CM387,CN387,CO387))=CN387,DATE(CM387,CN387,CO387),""),"")))),"")</f>
        <v/>
      </c>
      <c r="CJ387">
        <f>IFERROR(IF('월 가계부'!C387="","",IF(ISNUMBER('월 가계부'!C387),'월 가계부'!C387,VALUE(SUBSTITUTE(SUBSTITUTE(SUBSTITUTE(SUBSTITUTE(TRIM('월 가계부'!C387),",",""),"원","")," ",""),"−","-")))),"")</f>
        <v/>
      </c>
      <c r="CK387">
        <f>IF(ISNUMBER(CI387),IF(CI387&lt;$B$13,CI387,""),"")</f>
        <v/>
      </c>
      <c r="CM387">
        <f>IF(CH387="","",IFERROR(IF(IF(AND(LEN(CH387)=9,ISERROR(FIND("-",LEFT(CH387,8))),ISNUMBER(-LEFT(CH387,8))),VALUE(LEFT(CH387,4)),VALUE(LEFT(CH387,FIND("-",CH387)-1)))&lt;100,IF(AND(LEN(CH387)=9,ISERROR(FIND("-",LEFT(CH387,8))),ISNUMBER(-LEFT(CH387,8))),VALUE(LEFT(CH387,4)),VALUE(LEFT(CH387,FIND("-",CH387)-1)))+2000,IF(AND(LEN(CH387)=9,ISERROR(FIND("-",LEFT(CH387,8))),ISNUMBER(-LEFT(CH387,8))),VALUE(LEFT(CH387,4)),VALUE(LEFT(CH387,FIND("-",CH387)-1)))),""))</f>
        <v/>
      </c>
      <c r="CN387">
        <f>IF(CH387="","",IFERROR(IF(AND(LEN(CH387)=9,ISERROR(FIND("-",LEFT(CH387,8))),ISNUMBER(-LEFT(CH387,8))),VALUE(MID(CH387,5,2)),VALUE(MID(CH387,FIND("-",CH387)+1,FIND("-",CH387,FIND("-",CH387)+1)-FIND("-",CH387)-1))),""))</f>
        <v/>
      </c>
      <c r="CO387">
        <f>IF(CH387="","",IFERROR(IF(AND(LEN(CH387)=9,ISERROR(FIND("-",LEFT(CH387,8))),ISNUMBER(-LEFT(CH387,8))),VALUE(MID(CH387,7,2)),VALUE(MID(CH387,FIND("-",CH387,FIND("-",CH387)+1)+1,FIND("-",CH387,FIND("-",CH387,FIND("-",CH387)+1)+1)-FIND("-",CH387,FIND("-",CH387)+1)-1))),""))</f>
        <v/>
      </c>
    </row>
    <row r="388">
      <c r="CH388">
        <f>IF(ISTEXT('월 가계부'!A388),SUBSTITUTE(SUBSTITUTE(SUBSTITUTE(SUBSTITUTE(SUBSTITUTE(SUBSTITUTE(SUBSTITUTE(SUBSTITUTE(SUBSTITUTE(TRIM('월 가계부'!A388),"년","-"),"월","-"),"일",""),".","-"),"/","-")," ","-"),"--","-"),"--","-"),"--","-")&amp;"-","")</f>
        <v/>
      </c>
      <c r="CI388">
        <f>IFERROR(IF('월 가계부'!A388="","",IF(ISNUMBER('월 가계부'!A388),IF(AND('월 가계부'!A388&gt;=19000101,'월 가계부'!A388&lt;=21001231),IF(AND(MOD(INT('월 가계부'!A388/100),100)&gt;=1,MOD(INT('월 가계부'!A388/100),100)&lt;=12,MOD(INT('월 가계부'!A388),100)&gt;=1,MOD(INT('월 가계부'!A388),100)&lt;=31),IF(MONTH(DATE(INT('월 가계부'!A388/10000),MOD(INT('월 가계부'!A388/100),100),MOD(INT('월 가계부'!A388),100)))=MOD(INT('월 가계부'!A388/100),100),DATE(INT('월 가계부'!A388/10000),MOD(INT('월 가계부'!A388/100),100),MOD(INT('월 가계부'!A388),100)),""),""),IF(AND('월 가계부'!A388&gt;=36526,'월 가계부'!A388&lt;73051),INT('월 가계부'!A388),"")),IF(OR(CM388="",CN388="",CO388=""),"",IF(AND(CM388&gt;=2000,CM388&lt;=2099,CN388&gt;=1,CN388&lt;=12,CO388&gt;=1,CO388&lt;=31),IF(MONTH(DATE(CM388,CN388,CO388))=CN388,DATE(CM388,CN388,CO388),""),"")))),"")</f>
        <v/>
      </c>
      <c r="CJ388">
        <f>IFERROR(IF('월 가계부'!C388="","",IF(ISNUMBER('월 가계부'!C388),'월 가계부'!C388,VALUE(SUBSTITUTE(SUBSTITUTE(SUBSTITUTE(SUBSTITUTE(TRIM('월 가계부'!C388),",",""),"원","")," ",""),"−","-")))),"")</f>
        <v/>
      </c>
      <c r="CK388">
        <f>IF(ISNUMBER(CI388),IF(CI388&lt;$B$13,CI388,""),"")</f>
        <v/>
      </c>
      <c r="CM388">
        <f>IF(CH388="","",IFERROR(IF(IF(AND(LEN(CH388)=9,ISERROR(FIND("-",LEFT(CH388,8))),ISNUMBER(-LEFT(CH388,8))),VALUE(LEFT(CH388,4)),VALUE(LEFT(CH388,FIND("-",CH388)-1)))&lt;100,IF(AND(LEN(CH388)=9,ISERROR(FIND("-",LEFT(CH388,8))),ISNUMBER(-LEFT(CH388,8))),VALUE(LEFT(CH388,4)),VALUE(LEFT(CH388,FIND("-",CH388)-1)))+2000,IF(AND(LEN(CH388)=9,ISERROR(FIND("-",LEFT(CH388,8))),ISNUMBER(-LEFT(CH388,8))),VALUE(LEFT(CH388,4)),VALUE(LEFT(CH388,FIND("-",CH388)-1)))),""))</f>
        <v/>
      </c>
      <c r="CN388">
        <f>IF(CH388="","",IFERROR(IF(AND(LEN(CH388)=9,ISERROR(FIND("-",LEFT(CH388,8))),ISNUMBER(-LEFT(CH388,8))),VALUE(MID(CH388,5,2)),VALUE(MID(CH388,FIND("-",CH388)+1,FIND("-",CH388,FIND("-",CH388)+1)-FIND("-",CH388)-1))),""))</f>
        <v/>
      </c>
      <c r="CO388">
        <f>IF(CH388="","",IFERROR(IF(AND(LEN(CH388)=9,ISERROR(FIND("-",LEFT(CH388,8))),ISNUMBER(-LEFT(CH388,8))),VALUE(MID(CH388,7,2)),VALUE(MID(CH388,FIND("-",CH388,FIND("-",CH388)+1)+1,FIND("-",CH388,FIND("-",CH388,FIND("-",CH388)+1)+1)-FIND("-",CH388,FIND("-",CH388)+1)-1))),""))</f>
        <v/>
      </c>
    </row>
    <row r="389">
      <c r="CH389">
        <f>IF(ISTEXT('월 가계부'!A389),SUBSTITUTE(SUBSTITUTE(SUBSTITUTE(SUBSTITUTE(SUBSTITUTE(SUBSTITUTE(SUBSTITUTE(SUBSTITUTE(SUBSTITUTE(TRIM('월 가계부'!A389),"년","-"),"월","-"),"일",""),".","-"),"/","-")," ","-"),"--","-"),"--","-"),"--","-")&amp;"-","")</f>
        <v/>
      </c>
      <c r="CI389">
        <f>IFERROR(IF('월 가계부'!A389="","",IF(ISNUMBER('월 가계부'!A389),IF(AND('월 가계부'!A389&gt;=19000101,'월 가계부'!A389&lt;=21001231),IF(AND(MOD(INT('월 가계부'!A389/100),100)&gt;=1,MOD(INT('월 가계부'!A389/100),100)&lt;=12,MOD(INT('월 가계부'!A389),100)&gt;=1,MOD(INT('월 가계부'!A389),100)&lt;=31),IF(MONTH(DATE(INT('월 가계부'!A389/10000),MOD(INT('월 가계부'!A389/100),100),MOD(INT('월 가계부'!A389),100)))=MOD(INT('월 가계부'!A389/100),100),DATE(INT('월 가계부'!A389/10000),MOD(INT('월 가계부'!A389/100),100),MOD(INT('월 가계부'!A389),100)),""),""),IF(AND('월 가계부'!A389&gt;=36526,'월 가계부'!A389&lt;73051),INT('월 가계부'!A389),"")),IF(OR(CM389="",CN389="",CO389=""),"",IF(AND(CM389&gt;=2000,CM389&lt;=2099,CN389&gt;=1,CN389&lt;=12,CO389&gt;=1,CO389&lt;=31),IF(MONTH(DATE(CM389,CN389,CO389))=CN389,DATE(CM389,CN389,CO389),""),"")))),"")</f>
        <v/>
      </c>
      <c r="CJ389">
        <f>IFERROR(IF('월 가계부'!C389="","",IF(ISNUMBER('월 가계부'!C389),'월 가계부'!C389,VALUE(SUBSTITUTE(SUBSTITUTE(SUBSTITUTE(SUBSTITUTE(TRIM('월 가계부'!C389),",",""),"원","")," ",""),"−","-")))),"")</f>
        <v/>
      </c>
      <c r="CK389">
        <f>IF(ISNUMBER(CI389),IF(CI389&lt;$B$13,CI389,""),"")</f>
        <v/>
      </c>
      <c r="CM389">
        <f>IF(CH389="","",IFERROR(IF(IF(AND(LEN(CH389)=9,ISERROR(FIND("-",LEFT(CH389,8))),ISNUMBER(-LEFT(CH389,8))),VALUE(LEFT(CH389,4)),VALUE(LEFT(CH389,FIND("-",CH389)-1)))&lt;100,IF(AND(LEN(CH389)=9,ISERROR(FIND("-",LEFT(CH389,8))),ISNUMBER(-LEFT(CH389,8))),VALUE(LEFT(CH389,4)),VALUE(LEFT(CH389,FIND("-",CH389)-1)))+2000,IF(AND(LEN(CH389)=9,ISERROR(FIND("-",LEFT(CH389,8))),ISNUMBER(-LEFT(CH389,8))),VALUE(LEFT(CH389,4)),VALUE(LEFT(CH389,FIND("-",CH389)-1)))),""))</f>
        <v/>
      </c>
      <c r="CN389">
        <f>IF(CH389="","",IFERROR(IF(AND(LEN(CH389)=9,ISERROR(FIND("-",LEFT(CH389,8))),ISNUMBER(-LEFT(CH389,8))),VALUE(MID(CH389,5,2)),VALUE(MID(CH389,FIND("-",CH389)+1,FIND("-",CH389,FIND("-",CH389)+1)-FIND("-",CH389)-1))),""))</f>
        <v/>
      </c>
      <c r="CO389">
        <f>IF(CH389="","",IFERROR(IF(AND(LEN(CH389)=9,ISERROR(FIND("-",LEFT(CH389,8))),ISNUMBER(-LEFT(CH389,8))),VALUE(MID(CH389,7,2)),VALUE(MID(CH389,FIND("-",CH389,FIND("-",CH389)+1)+1,FIND("-",CH389,FIND("-",CH389,FIND("-",CH389)+1)+1)-FIND("-",CH389,FIND("-",CH389)+1)-1))),""))</f>
        <v/>
      </c>
    </row>
    <row r="390">
      <c r="CH390">
        <f>IF(ISTEXT('월 가계부'!A390),SUBSTITUTE(SUBSTITUTE(SUBSTITUTE(SUBSTITUTE(SUBSTITUTE(SUBSTITUTE(SUBSTITUTE(SUBSTITUTE(SUBSTITUTE(TRIM('월 가계부'!A390),"년","-"),"월","-"),"일",""),".","-"),"/","-")," ","-"),"--","-"),"--","-"),"--","-")&amp;"-","")</f>
        <v/>
      </c>
      <c r="CI390">
        <f>IFERROR(IF('월 가계부'!A390="","",IF(ISNUMBER('월 가계부'!A390),IF(AND('월 가계부'!A390&gt;=19000101,'월 가계부'!A390&lt;=21001231),IF(AND(MOD(INT('월 가계부'!A390/100),100)&gt;=1,MOD(INT('월 가계부'!A390/100),100)&lt;=12,MOD(INT('월 가계부'!A390),100)&gt;=1,MOD(INT('월 가계부'!A390),100)&lt;=31),IF(MONTH(DATE(INT('월 가계부'!A390/10000),MOD(INT('월 가계부'!A390/100),100),MOD(INT('월 가계부'!A390),100)))=MOD(INT('월 가계부'!A390/100),100),DATE(INT('월 가계부'!A390/10000),MOD(INT('월 가계부'!A390/100),100),MOD(INT('월 가계부'!A390),100)),""),""),IF(AND('월 가계부'!A390&gt;=36526,'월 가계부'!A390&lt;73051),INT('월 가계부'!A390),"")),IF(OR(CM390="",CN390="",CO390=""),"",IF(AND(CM390&gt;=2000,CM390&lt;=2099,CN390&gt;=1,CN390&lt;=12,CO390&gt;=1,CO390&lt;=31),IF(MONTH(DATE(CM390,CN390,CO390))=CN390,DATE(CM390,CN390,CO390),""),"")))),"")</f>
        <v/>
      </c>
      <c r="CJ390">
        <f>IFERROR(IF('월 가계부'!C390="","",IF(ISNUMBER('월 가계부'!C390),'월 가계부'!C390,VALUE(SUBSTITUTE(SUBSTITUTE(SUBSTITUTE(SUBSTITUTE(TRIM('월 가계부'!C390),",",""),"원","")," ",""),"−","-")))),"")</f>
        <v/>
      </c>
      <c r="CK390">
        <f>IF(ISNUMBER(CI390),IF(CI390&lt;$B$13,CI390,""),"")</f>
        <v/>
      </c>
      <c r="CM390">
        <f>IF(CH390="","",IFERROR(IF(IF(AND(LEN(CH390)=9,ISERROR(FIND("-",LEFT(CH390,8))),ISNUMBER(-LEFT(CH390,8))),VALUE(LEFT(CH390,4)),VALUE(LEFT(CH390,FIND("-",CH390)-1)))&lt;100,IF(AND(LEN(CH390)=9,ISERROR(FIND("-",LEFT(CH390,8))),ISNUMBER(-LEFT(CH390,8))),VALUE(LEFT(CH390,4)),VALUE(LEFT(CH390,FIND("-",CH390)-1)))+2000,IF(AND(LEN(CH390)=9,ISERROR(FIND("-",LEFT(CH390,8))),ISNUMBER(-LEFT(CH390,8))),VALUE(LEFT(CH390,4)),VALUE(LEFT(CH390,FIND("-",CH390)-1)))),""))</f>
        <v/>
      </c>
      <c r="CN390">
        <f>IF(CH390="","",IFERROR(IF(AND(LEN(CH390)=9,ISERROR(FIND("-",LEFT(CH390,8))),ISNUMBER(-LEFT(CH390,8))),VALUE(MID(CH390,5,2)),VALUE(MID(CH390,FIND("-",CH390)+1,FIND("-",CH390,FIND("-",CH390)+1)-FIND("-",CH390)-1))),""))</f>
        <v/>
      </c>
      <c r="CO390">
        <f>IF(CH390="","",IFERROR(IF(AND(LEN(CH390)=9,ISERROR(FIND("-",LEFT(CH390,8))),ISNUMBER(-LEFT(CH390,8))),VALUE(MID(CH390,7,2)),VALUE(MID(CH390,FIND("-",CH390,FIND("-",CH390)+1)+1,FIND("-",CH390,FIND("-",CH390,FIND("-",CH390)+1)+1)-FIND("-",CH390,FIND("-",CH390)+1)-1))),""))</f>
        <v/>
      </c>
    </row>
    <row r="391">
      <c r="CH391">
        <f>IF(ISTEXT('월 가계부'!A391),SUBSTITUTE(SUBSTITUTE(SUBSTITUTE(SUBSTITUTE(SUBSTITUTE(SUBSTITUTE(SUBSTITUTE(SUBSTITUTE(SUBSTITUTE(TRIM('월 가계부'!A391),"년","-"),"월","-"),"일",""),".","-"),"/","-")," ","-"),"--","-"),"--","-"),"--","-")&amp;"-","")</f>
        <v/>
      </c>
      <c r="CI391">
        <f>IFERROR(IF('월 가계부'!A391="","",IF(ISNUMBER('월 가계부'!A391),IF(AND('월 가계부'!A391&gt;=19000101,'월 가계부'!A391&lt;=21001231),IF(AND(MOD(INT('월 가계부'!A391/100),100)&gt;=1,MOD(INT('월 가계부'!A391/100),100)&lt;=12,MOD(INT('월 가계부'!A391),100)&gt;=1,MOD(INT('월 가계부'!A391),100)&lt;=31),IF(MONTH(DATE(INT('월 가계부'!A391/10000),MOD(INT('월 가계부'!A391/100),100),MOD(INT('월 가계부'!A391),100)))=MOD(INT('월 가계부'!A391/100),100),DATE(INT('월 가계부'!A391/10000),MOD(INT('월 가계부'!A391/100),100),MOD(INT('월 가계부'!A391),100)),""),""),IF(AND('월 가계부'!A391&gt;=36526,'월 가계부'!A391&lt;73051),INT('월 가계부'!A391),"")),IF(OR(CM391="",CN391="",CO391=""),"",IF(AND(CM391&gt;=2000,CM391&lt;=2099,CN391&gt;=1,CN391&lt;=12,CO391&gt;=1,CO391&lt;=31),IF(MONTH(DATE(CM391,CN391,CO391))=CN391,DATE(CM391,CN391,CO391),""),"")))),"")</f>
        <v/>
      </c>
      <c r="CJ391">
        <f>IFERROR(IF('월 가계부'!C391="","",IF(ISNUMBER('월 가계부'!C391),'월 가계부'!C391,VALUE(SUBSTITUTE(SUBSTITUTE(SUBSTITUTE(SUBSTITUTE(TRIM('월 가계부'!C391),",",""),"원","")," ",""),"−","-")))),"")</f>
        <v/>
      </c>
      <c r="CK391">
        <f>IF(ISNUMBER(CI391),IF(CI391&lt;$B$13,CI391,""),"")</f>
        <v/>
      </c>
      <c r="CM391">
        <f>IF(CH391="","",IFERROR(IF(IF(AND(LEN(CH391)=9,ISERROR(FIND("-",LEFT(CH391,8))),ISNUMBER(-LEFT(CH391,8))),VALUE(LEFT(CH391,4)),VALUE(LEFT(CH391,FIND("-",CH391)-1)))&lt;100,IF(AND(LEN(CH391)=9,ISERROR(FIND("-",LEFT(CH391,8))),ISNUMBER(-LEFT(CH391,8))),VALUE(LEFT(CH391,4)),VALUE(LEFT(CH391,FIND("-",CH391)-1)))+2000,IF(AND(LEN(CH391)=9,ISERROR(FIND("-",LEFT(CH391,8))),ISNUMBER(-LEFT(CH391,8))),VALUE(LEFT(CH391,4)),VALUE(LEFT(CH391,FIND("-",CH391)-1)))),""))</f>
        <v/>
      </c>
      <c r="CN391">
        <f>IF(CH391="","",IFERROR(IF(AND(LEN(CH391)=9,ISERROR(FIND("-",LEFT(CH391,8))),ISNUMBER(-LEFT(CH391,8))),VALUE(MID(CH391,5,2)),VALUE(MID(CH391,FIND("-",CH391)+1,FIND("-",CH391,FIND("-",CH391)+1)-FIND("-",CH391)-1))),""))</f>
        <v/>
      </c>
      <c r="CO391">
        <f>IF(CH391="","",IFERROR(IF(AND(LEN(CH391)=9,ISERROR(FIND("-",LEFT(CH391,8))),ISNUMBER(-LEFT(CH391,8))),VALUE(MID(CH391,7,2)),VALUE(MID(CH391,FIND("-",CH391,FIND("-",CH391)+1)+1,FIND("-",CH391,FIND("-",CH391,FIND("-",CH391)+1)+1)-FIND("-",CH391,FIND("-",CH391)+1)-1))),""))</f>
        <v/>
      </c>
    </row>
    <row r="392">
      <c r="CH392">
        <f>IF(ISTEXT('월 가계부'!A392),SUBSTITUTE(SUBSTITUTE(SUBSTITUTE(SUBSTITUTE(SUBSTITUTE(SUBSTITUTE(SUBSTITUTE(SUBSTITUTE(SUBSTITUTE(TRIM('월 가계부'!A392),"년","-"),"월","-"),"일",""),".","-"),"/","-")," ","-"),"--","-"),"--","-"),"--","-")&amp;"-","")</f>
        <v/>
      </c>
      <c r="CI392">
        <f>IFERROR(IF('월 가계부'!A392="","",IF(ISNUMBER('월 가계부'!A392),IF(AND('월 가계부'!A392&gt;=19000101,'월 가계부'!A392&lt;=21001231),IF(AND(MOD(INT('월 가계부'!A392/100),100)&gt;=1,MOD(INT('월 가계부'!A392/100),100)&lt;=12,MOD(INT('월 가계부'!A392),100)&gt;=1,MOD(INT('월 가계부'!A392),100)&lt;=31),IF(MONTH(DATE(INT('월 가계부'!A392/10000),MOD(INT('월 가계부'!A392/100),100),MOD(INT('월 가계부'!A392),100)))=MOD(INT('월 가계부'!A392/100),100),DATE(INT('월 가계부'!A392/10000),MOD(INT('월 가계부'!A392/100),100),MOD(INT('월 가계부'!A392),100)),""),""),IF(AND('월 가계부'!A392&gt;=36526,'월 가계부'!A392&lt;73051),INT('월 가계부'!A392),"")),IF(OR(CM392="",CN392="",CO392=""),"",IF(AND(CM392&gt;=2000,CM392&lt;=2099,CN392&gt;=1,CN392&lt;=12,CO392&gt;=1,CO392&lt;=31),IF(MONTH(DATE(CM392,CN392,CO392))=CN392,DATE(CM392,CN392,CO392),""),"")))),"")</f>
        <v/>
      </c>
      <c r="CJ392">
        <f>IFERROR(IF('월 가계부'!C392="","",IF(ISNUMBER('월 가계부'!C392),'월 가계부'!C392,VALUE(SUBSTITUTE(SUBSTITUTE(SUBSTITUTE(SUBSTITUTE(TRIM('월 가계부'!C392),",",""),"원","")," ",""),"−","-")))),"")</f>
        <v/>
      </c>
      <c r="CK392">
        <f>IF(ISNUMBER(CI392),IF(CI392&lt;$B$13,CI392,""),"")</f>
        <v/>
      </c>
      <c r="CM392">
        <f>IF(CH392="","",IFERROR(IF(IF(AND(LEN(CH392)=9,ISERROR(FIND("-",LEFT(CH392,8))),ISNUMBER(-LEFT(CH392,8))),VALUE(LEFT(CH392,4)),VALUE(LEFT(CH392,FIND("-",CH392)-1)))&lt;100,IF(AND(LEN(CH392)=9,ISERROR(FIND("-",LEFT(CH392,8))),ISNUMBER(-LEFT(CH392,8))),VALUE(LEFT(CH392,4)),VALUE(LEFT(CH392,FIND("-",CH392)-1)))+2000,IF(AND(LEN(CH392)=9,ISERROR(FIND("-",LEFT(CH392,8))),ISNUMBER(-LEFT(CH392,8))),VALUE(LEFT(CH392,4)),VALUE(LEFT(CH392,FIND("-",CH392)-1)))),""))</f>
        <v/>
      </c>
      <c r="CN392">
        <f>IF(CH392="","",IFERROR(IF(AND(LEN(CH392)=9,ISERROR(FIND("-",LEFT(CH392,8))),ISNUMBER(-LEFT(CH392,8))),VALUE(MID(CH392,5,2)),VALUE(MID(CH392,FIND("-",CH392)+1,FIND("-",CH392,FIND("-",CH392)+1)-FIND("-",CH392)-1))),""))</f>
        <v/>
      </c>
      <c r="CO392">
        <f>IF(CH392="","",IFERROR(IF(AND(LEN(CH392)=9,ISERROR(FIND("-",LEFT(CH392,8))),ISNUMBER(-LEFT(CH392,8))),VALUE(MID(CH392,7,2)),VALUE(MID(CH392,FIND("-",CH392,FIND("-",CH392)+1)+1,FIND("-",CH392,FIND("-",CH392,FIND("-",CH392)+1)+1)-FIND("-",CH392,FIND("-",CH392)+1)-1))),""))</f>
        <v/>
      </c>
    </row>
    <row r="393">
      <c r="CH393">
        <f>IF(ISTEXT('월 가계부'!A393),SUBSTITUTE(SUBSTITUTE(SUBSTITUTE(SUBSTITUTE(SUBSTITUTE(SUBSTITUTE(SUBSTITUTE(SUBSTITUTE(SUBSTITUTE(TRIM('월 가계부'!A393),"년","-"),"월","-"),"일",""),".","-"),"/","-")," ","-"),"--","-"),"--","-"),"--","-")&amp;"-","")</f>
        <v/>
      </c>
      <c r="CI393">
        <f>IFERROR(IF('월 가계부'!A393="","",IF(ISNUMBER('월 가계부'!A393),IF(AND('월 가계부'!A393&gt;=19000101,'월 가계부'!A393&lt;=21001231),IF(AND(MOD(INT('월 가계부'!A393/100),100)&gt;=1,MOD(INT('월 가계부'!A393/100),100)&lt;=12,MOD(INT('월 가계부'!A393),100)&gt;=1,MOD(INT('월 가계부'!A393),100)&lt;=31),IF(MONTH(DATE(INT('월 가계부'!A393/10000),MOD(INT('월 가계부'!A393/100),100),MOD(INT('월 가계부'!A393),100)))=MOD(INT('월 가계부'!A393/100),100),DATE(INT('월 가계부'!A393/10000),MOD(INT('월 가계부'!A393/100),100),MOD(INT('월 가계부'!A393),100)),""),""),IF(AND('월 가계부'!A393&gt;=36526,'월 가계부'!A393&lt;73051),INT('월 가계부'!A393),"")),IF(OR(CM393="",CN393="",CO393=""),"",IF(AND(CM393&gt;=2000,CM393&lt;=2099,CN393&gt;=1,CN393&lt;=12,CO393&gt;=1,CO393&lt;=31),IF(MONTH(DATE(CM393,CN393,CO393))=CN393,DATE(CM393,CN393,CO393),""),"")))),"")</f>
        <v/>
      </c>
      <c r="CJ393">
        <f>IFERROR(IF('월 가계부'!C393="","",IF(ISNUMBER('월 가계부'!C393),'월 가계부'!C393,VALUE(SUBSTITUTE(SUBSTITUTE(SUBSTITUTE(SUBSTITUTE(TRIM('월 가계부'!C393),",",""),"원","")," ",""),"−","-")))),"")</f>
        <v/>
      </c>
      <c r="CK393">
        <f>IF(ISNUMBER(CI393),IF(CI393&lt;$B$13,CI393,""),"")</f>
        <v/>
      </c>
      <c r="CM393">
        <f>IF(CH393="","",IFERROR(IF(IF(AND(LEN(CH393)=9,ISERROR(FIND("-",LEFT(CH393,8))),ISNUMBER(-LEFT(CH393,8))),VALUE(LEFT(CH393,4)),VALUE(LEFT(CH393,FIND("-",CH393)-1)))&lt;100,IF(AND(LEN(CH393)=9,ISERROR(FIND("-",LEFT(CH393,8))),ISNUMBER(-LEFT(CH393,8))),VALUE(LEFT(CH393,4)),VALUE(LEFT(CH393,FIND("-",CH393)-1)))+2000,IF(AND(LEN(CH393)=9,ISERROR(FIND("-",LEFT(CH393,8))),ISNUMBER(-LEFT(CH393,8))),VALUE(LEFT(CH393,4)),VALUE(LEFT(CH393,FIND("-",CH393)-1)))),""))</f>
        <v/>
      </c>
      <c r="CN393">
        <f>IF(CH393="","",IFERROR(IF(AND(LEN(CH393)=9,ISERROR(FIND("-",LEFT(CH393,8))),ISNUMBER(-LEFT(CH393,8))),VALUE(MID(CH393,5,2)),VALUE(MID(CH393,FIND("-",CH393)+1,FIND("-",CH393,FIND("-",CH393)+1)-FIND("-",CH393)-1))),""))</f>
        <v/>
      </c>
      <c r="CO393">
        <f>IF(CH393="","",IFERROR(IF(AND(LEN(CH393)=9,ISERROR(FIND("-",LEFT(CH393,8))),ISNUMBER(-LEFT(CH393,8))),VALUE(MID(CH393,7,2)),VALUE(MID(CH393,FIND("-",CH393,FIND("-",CH393)+1)+1,FIND("-",CH393,FIND("-",CH393,FIND("-",CH393)+1)+1)-FIND("-",CH393,FIND("-",CH393)+1)-1))),""))</f>
        <v/>
      </c>
    </row>
    <row r="394">
      <c r="CH394">
        <f>IF(ISTEXT('월 가계부'!A394),SUBSTITUTE(SUBSTITUTE(SUBSTITUTE(SUBSTITUTE(SUBSTITUTE(SUBSTITUTE(SUBSTITUTE(SUBSTITUTE(SUBSTITUTE(TRIM('월 가계부'!A394),"년","-"),"월","-"),"일",""),".","-"),"/","-")," ","-"),"--","-"),"--","-"),"--","-")&amp;"-","")</f>
        <v/>
      </c>
      <c r="CI394">
        <f>IFERROR(IF('월 가계부'!A394="","",IF(ISNUMBER('월 가계부'!A394),IF(AND('월 가계부'!A394&gt;=19000101,'월 가계부'!A394&lt;=21001231),IF(AND(MOD(INT('월 가계부'!A394/100),100)&gt;=1,MOD(INT('월 가계부'!A394/100),100)&lt;=12,MOD(INT('월 가계부'!A394),100)&gt;=1,MOD(INT('월 가계부'!A394),100)&lt;=31),IF(MONTH(DATE(INT('월 가계부'!A394/10000),MOD(INT('월 가계부'!A394/100),100),MOD(INT('월 가계부'!A394),100)))=MOD(INT('월 가계부'!A394/100),100),DATE(INT('월 가계부'!A394/10000),MOD(INT('월 가계부'!A394/100),100),MOD(INT('월 가계부'!A394),100)),""),""),IF(AND('월 가계부'!A394&gt;=36526,'월 가계부'!A394&lt;73051),INT('월 가계부'!A394),"")),IF(OR(CM394="",CN394="",CO394=""),"",IF(AND(CM394&gt;=2000,CM394&lt;=2099,CN394&gt;=1,CN394&lt;=12,CO394&gt;=1,CO394&lt;=31),IF(MONTH(DATE(CM394,CN394,CO394))=CN394,DATE(CM394,CN394,CO394),""),"")))),"")</f>
        <v/>
      </c>
      <c r="CJ394">
        <f>IFERROR(IF('월 가계부'!C394="","",IF(ISNUMBER('월 가계부'!C394),'월 가계부'!C394,VALUE(SUBSTITUTE(SUBSTITUTE(SUBSTITUTE(SUBSTITUTE(TRIM('월 가계부'!C394),",",""),"원","")," ",""),"−","-")))),"")</f>
        <v/>
      </c>
      <c r="CK394">
        <f>IF(ISNUMBER(CI394),IF(CI394&lt;$B$13,CI394,""),"")</f>
        <v/>
      </c>
      <c r="CM394">
        <f>IF(CH394="","",IFERROR(IF(IF(AND(LEN(CH394)=9,ISERROR(FIND("-",LEFT(CH394,8))),ISNUMBER(-LEFT(CH394,8))),VALUE(LEFT(CH394,4)),VALUE(LEFT(CH394,FIND("-",CH394)-1)))&lt;100,IF(AND(LEN(CH394)=9,ISERROR(FIND("-",LEFT(CH394,8))),ISNUMBER(-LEFT(CH394,8))),VALUE(LEFT(CH394,4)),VALUE(LEFT(CH394,FIND("-",CH394)-1)))+2000,IF(AND(LEN(CH394)=9,ISERROR(FIND("-",LEFT(CH394,8))),ISNUMBER(-LEFT(CH394,8))),VALUE(LEFT(CH394,4)),VALUE(LEFT(CH394,FIND("-",CH394)-1)))),""))</f>
        <v/>
      </c>
      <c r="CN394">
        <f>IF(CH394="","",IFERROR(IF(AND(LEN(CH394)=9,ISERROR(FIND("-",LEFT(CH394,8))),ISNUMBER(-LEFT(CH394,8))),VALUE(MID(CH394,5,2)),VALUE(MID(CH394,FIND("-",CH394)+1,FIND("-",CH394,FIND("-",CH394)+1)-FIND("-",CH394)-1))),""))</f>
        <v/>
      </c>
      <c r="CO394">
        <f>IF(CH394="","",IFERROR(IF(AND(LEN(CH394)=9,ISERROR(FIND("-",LEFT(CH394,8))),ISNUMBER(-LEFT(CH394,8))),VALUE(MID(CH394,7,2)),VALUE(MID(CH394,FIND("-",CH394,FIND("-",CH394)+1)+1,FIND("-",CH394,FIND("-",CH394,FIND("-",CH394)+1)+1)-FIND("-",CH394,FIND("-",CH394)+1)-1))),""))</f>
        <v/>
      </c>
    </row>
    <row r="395">
      <c r="CH395">
        <f>IF(ISTEXT('월 가계부'!A395),SUBSTITUTE(SUBSTITUTE(SUBSTITUTE(SUBSTITUTE(SUBSTITUTE(SUBSTITUTE(SUBSTITUTE(SUBSTITUTE(SUBSTITUTE(TRIM('월 가계부'!A395),"년","-"),"월","-"),"일",""),".","-"),"/","-")," ","-"),"--","-"),"--","-"),"--","-")&amp;"-","")</f>
        <v/>
      </c>
      <c r="CI395">
        <f>IFERROR(IF('월 가계부'!A395="","",IF(ISNUMBER('월 가계부'!A395),IF(AND('월 가계부'!A395&gt;=19000101,'월 가계부'!A395&lt;=21001231),IF(AND(MOD(INT('월 가계부'!A395/100),100)&gt;=1,MOD(INT('월 가계부'!A395/100),100)&lt;=12,MOD(INT('월 가계부'!A395),100)&gt;=1,MOD(INT('월 가계부'!A395),100)&lt;=31),IF(MONTH(DATE(INT('월 가계부'!A395/10000),MOD(INT('월 가계부'!A395/100),100),MOD(INT('월 가계부'!A395),100)))=MOD(INT('월 가계부'!A395/100),100),DATE(INT('월 가계부'!A395/10000),MOD(INT('월 가계부'!A395/100),100),MOD(INT('월 가계부'!A395),100)),""),""),IF(AND('월 가계부'!A395&gt;=36526,'월 가계부'!A395&lt;73051),INT('월 가계부'!A395),"")),IF(OR(CM395="",CN395="",CO395=""),"",IF(AND(CM395&gt;=2000,CM395&lt;=2099,CN395&gt;=1,CN395&lt;=12,CO395&gt;=1,CO395&lt;=31),IF(MONTH(DATE(CM395,CN395,CO395))=CN395,DATE(CM395,CN395,CO395),""),"")))),"")</f>
        <v/>
      </c>
      <c r="CJ395">
        <f>IFERROR(IF('월 가계부'!C395="","",IF(ISNUMBER('월 가계부'!C395),'월 가계부'!C395,VALUE(SUBSTITUTE(SUBSTITUTE(SUBSTITUTE(SUBSTITUTE(TRIM('월 가계부'!C395),",",""),"원","")," ",""),"−","-")))),"")</f>
        <v/>
      </c>
      <c r="CK395">
        <f>IF(ISNUMBER(CI395),IF(CI395&lt;$B$13,CI395,""),"")</f>
        <v/>
      </c>
      <c r="CM395">
        <f>IF(CH395="","",IFERROR(IF(IF(AND(LEN(CH395)=9,ISERROR(FIND("-",LEFT(CH395,8))),ISNUMBER(-LEFT(CH395,8))),VALUE(LEFT(CH395,4)),VALUE(LEFT(CH395,FIND("-",CH395)-1)))&lt;100,IF(AND(LEN(CH395)=9,ISERROR(FIND("-",LEFT(CH395,8))),ISNUMBER(-LEFT(CH395,8))),VALUE(LEFT(CH395,4)),VALUE(LEFT(CH395,FIND("-",CH395)-1)))+2000,IF(AND(LEN(CH395)=9,ISERROR(FIND("-",LEFT(CH395,8))),ISNUMBER(-LEFT(CH395,8))),VALUE(LEFT(CH395,4)),VALUE(LEFT(CH395,FIND("-",CH395)-1)))),""))</f>
        <v/>
      </c>
      <c r="CN395">
        <f>IF(CH395="","",IFERROR(IF(AND(LEN(CH395)=9,ISERROR(FIND("-",LEFT(CH395,8))),ISNUMBER(-LEFT(CH395,8))),VALUE(MID(CH395,5,2)),VALUE(MID(CH395,FIND("-",CH395)+1,FIND("-",CH395,FIND("-",CH395)+1)-FIND("-",CH395)-1))),""))</f>
        <v/>
      </c>
      <c r="CO395">
        <f>IF(CH395="","",IFERROR(IF(AND(LEN(CH395)=9,ISERROR(FIND("-",LEFT(CH395,8))),ISNUMBER(-LEFT(CH395,8))),VALUE(MID(CH395,7,2)),VALUE(MID(CH395,FIND("-",CH395,FIND("-",CH395)+1)+1,FIND("-",CH395,FIND("-",CH395,FIND("-",CH395)+1)+1)-FIND("-",CH395,FIND("-",CH395)+1)-1))),""))</f>
        <v/>
      </c>
    </row>
    <row r="396">
      <c r="CH396">
        <f>IF(ISTEXT('월 가계부'!A396),SUBSTITUTE(SUBSTITUTE(SUBSTITUTE(SUBSTITUTE(SUBSTITUTE(SUBSTITUTE(SUBSTITUTE(SUBSTITUTE(SUBSTITUTE(TRIM('월 가계부'!A396),"년","-"),"월","-"),"일",""),".","-"),"/","-")," ","-"),"--","-"),"--","-"),"--","-")&amp;"-","")</f>
        <v/>
      </c>
      <c r="CI396">
        <f>IFERROR(IF('월 가계부'!A396="","",IF(ISNUMBER('월 가계부'!A396),IF(AND('월 가계부'!A396&gt;=19000101,'월 가계부'!A396&lt;=21001231),IF(AND(MOD(INT('월 가계부'!A396/100),100)&gt;=1,MOD(INT('월 가계부'!A396/100),100)&lt;=12,MOD(INT('월 가계부'!A396),100)&gt;=1,MOD(INT('월 가계부'!A396),100)&lt;=31),IF(MONTH(DATE(INT('월 가계부'!A396/10000),MOD(INT('월 가계부'!A396/100),100),MOD(INT('월 가계부'!A396),100)))=MOD(INT('월 가계부'!A396/100),100),DATE(INT('월 가계부'!A396/10000),MOD(INT('월 가계부'!A396/100),100),MOD(INT('월 가계부'!A396),100)),""),""),IF(AND('월 가계부'!A396&gt;=36526,'월 가계부'!A396&lt;73051),INT('월 가계부'!A396),"")),IF(OR(CM396="",CN396="",CO396=""),"",IF(AND(CM396&gt;=2000,CM396&lt;=2099,CN396&gt;=1,CN396&lt;=12,CO396&gt;=1,CO396&lt;=31),IF(MONTH(DATE(CM396,CN396,CO396))=CN396,DATE(CM396,CN396,CO396),""),"")))),"")</f>
        <v/>
      </c>
      <c r="CJ396">
        <f>IFERROR(IF('월 가계부'!C396="","",IF(ISNUMBER('월 가계부'!C396),'월 가계부'!C396,VALUE(SUBSTITUTE(SUBSTITUTE(SUBSTITUTE(SUBSTITUTE(TRIM('월 가계부'!C396),",",""),"원","")," ",""),"−","-")))),"")</f>
        <v/>
      </c>
      <c r="CK396">
        <f>IF(ISNUMBER(CI396),IF(CI396&lt;$B$13,CI396,""),"")</f>
        <v/>
      </c>
      <c r="CM396">
        <f>IF(CH396="","",IFERROR(IF(IF(AND(LEN(CH396)=9,ISERROR(FIND("-",LEFT(CH396,8))),ISNUMBER(-LEFT(CH396,8))),VALUE(LEFT(CH396,4)),VALUE(LEFT(CH396,FIND("-",CH396)-1)))&lt;100,IF(AND(LEN(CH396)=9,ISERROR(FIND("-",LEFT(CH396,8))),ISNUMBER(-LEFT(CH396,8))),VALUE(LEFT(CH396,4)),VALUE(LEFT(CH396,FIND("-",CH396)-1)))+2000,IF(AND(LEN(CH396)=9,ISERROR(FIND("-",LEFT(CH396,8))),ISNUMBER(-LEFT(CH396,8))),VALUE(LEFT(CH396,4)),VALUE(LEFT(CH396,FIND("-",CH396)-1)))),""))</f>
        <v/>
      </c>
      <c r="CN396">
        <f>IF(CH396="","",IFERROR(IF(AND(LEN(CH396)=9,ISERROR(FIND("-",LEFT(CH396,8))),ISNUMBER(-LEFT(CH396,8))),VALUE(MID(CH396,5,2)),VALUE(MID(CH396,FIND("-",CH396)+1,FIND("-",CH396,FIND("-",CH396)+1)-FIND("-",CH396)-1))),""))</f>
        <v/>
      </c>
      <c r="CO396">
        <f>IF(CH396="","",IFERROR(IF(AND(LEN(CH396)=9,ISERROR(FIND("-",LEFT(CH396,8))),ISNUMBER(-LEFT(CH396,8))),VALUE(MID(CH396,7,2)),VALUE(MID(CH396,FIND("-",CH396,FIND("-",CH396)+1)+1,FIND("-",CH396,FIND("-",CH396,FIND("-",CH396)+1)+1)-FIND("-",CH396,FIND("-",CH396)+1)-1))),""))</f>
        <v/>
      </c>
    </row>
    <row r="397">
      <c r="CH397">
        <f>IF(ISTEXT('월 가계부'!A397),SUBSTITUTE(SUBSTITUTE(SUBSTITUTE(SUBSTITUTE(SUBSTITUTE(SUBSTITUTE(SUBSTITUTE(SUBSTITUTE(SUBSTITUTE(TRIM('월 가계부'!A397),"년","-"),"월","-"),"일",""),".","-"),"/","-")," ","-"),"--","-"),"--","-"),"--","-")&amp;"-","")</f>
        <v/>
      </c>
      <c r="CI397">
        <f>IFERROR(IF('월 가계부'!A397="","",IF(ISNUMBER('월 가계부'!A397),IF(AND('월 가계부'!A397&gt;=19000101,'월 가계부'!A397&lt;=21001231),IF(AND(MOD(INT('월 가계부'!A397/100),100)&gt;=1,MOD(INT('월 가계부'!A397/100),100)&lt;=12,MOD(INT('월 가계부'!A397),100)&gt;=1,MOD(INT('월 가계부'!A397),100)&lt;=31),IF(MONTH(DATE(INT('월 가계부'!A397/10000),MOD(INT('월 가계부'!A397/100),100),MOD(INT('월 가계부'!A397),100)))=MOD(INT('월 가계부'!A397/100),100),DATE(INT('월 가계부'!A397/10000),MOD(INT('월 가계부'!A397/100),100),MOD(INT('월 가계부'!A397),100)),""),""),IF(AND('월 가계부'!A397&gt;=36526,'월 가계부'!A397&lt;73051),INT('월 가계부'!A397),"")),IF(OR(CM397="",CN397="",CO397=""),"",IF(AND(CM397&gt;=2000,CM397&lt;=2099,CN397&gt;=1,CN397&lt;=12,CO397&gt;=1,CO397&lt;=31),IF(MONTH(DATE(CM397,CN397,CO397))=CN397,DATE(CM397,CN397,CO397),""),"")))),"")</f>
        <v/>
      </c>
      <c r="CJ397">
        <f>IFERROR(IF('월 가계부'!C397="","",IF(ISNUMBER('월 가계부'!C397),'월 가계부'!C397,VALUE(SUBSTITUTE(SUBSTITUTE(SUBSTITUTE(SUBSTITUTE(TRIM('월 가계부'!C397),",",""),"원","")," ",""),"−","-")))),"")</f>
        <v/>
      </c>
      <c r="CK397">
        <f>IF(ISNUMBER(CI397),IF(CI397&lt;$B$13,CI397,""),"")</f>
        <v/>
      </c>
      <c r="CM397">
        <f>IF(CH397="","",IFERROR(IF(IF(AND(LEN(CH397)=9,ISERROR(FIND("-",LEFT(CH397,8))),ISNUMBER(-LEFT(CH397,8))),VALUE(LEFT(CH397,4)),VALUE(LEFT(CH397,FIND("-",CH397)-1)))&lt;100,IF(AND(LEN(CH397)=9,ISERROR(FIND("-",LEFT(CH397,8))),ISNUMBER(-LEFT(CH397,8))),VALUE(LEFT(CH397,4)),VALUE(LEFT(CH397,FIND("-",CH397)-1)))+2000,IF(AND(LEN(CH397)=9,ISERROR(FIND("-",LEFT(CH397,8))),ISNUMBER(-LEFT(CH397,8))),VALUE(LEFT(CH397,4)),VALUE(LEFT(CH397,FIND("-",CH397)-1)))),""))</f>
        <v/>
      </c>
      <c r="CN397">
        <f>IF(CH397="","",IFERROR(IF(AND(LEN(CH397)=9,ISERROR(FIND("-",LEFT(CH397,8))),ISNUMBER(-LEFT(CH397,8))),VALUE(MID(CH397,5,2)),VALUE(MID(CH397,FIND("-",CH397)+1,FIND("-",CH397,FIND("-",CH397)+1)-FIND("-",CH397)-1))),""))</f>
        <v/>
      </c>
      <c r="CO397">
        <f>IF(CH397="","",IFERROR(IF(AND(LEN(CH397)=9,ISERROR(FIND("-",LEFT(CH397,8))),ISNUMBER(-LEFT(CH397,8))),VALUE(MID(CH397,7,2)),VALUE(MID(CH397,FIND("-",CH397,FIND("-",CH397)+1)+1,FIND("-",CH397,FIND("-",CH397,FIND("-",CH397)+1)+1)-FIND("-",CH397,FIND("-",CH397)+1)-1))),""))</f>
        <v/>
      </c>
    </row>
    <row r="398">
      <c r="CH398">
        <f>IF(ISTEXT('월 가계부'!A398),SUBSTITUTE(SUBSTITUTE(SUBSTITUTE(SUBSTITUTE(SUBSTITUTE(SUBSTITUTE(SUBSTITUTE(SUBSTITUTE(SUBSTITUTE(TRIM('월 가계부'!A398),"년","-"),"월","-"),"일",""),".","-"),"/","-")," ","-"),"--","-"),"--","-"),"--","-")&amp;"-","")</f>
        <v/>
      </c>
      <c r="CI398">
        <f>IFERROR(IF('월 가계부'!A398="","",IF(ISNUMBER('월 가계부'!A398),IF(AND('월 가계부'!A398&gt;=19000101,'월 가계부'!A398&lt;=21001231),IF(AND(MOD(INT('월 가계부'!A398/100),100)&gt;=1,MOD(INT('월 가계부'!A398/100),100)&lt;=12,MOD(INT('월 가계부'!A398),100)&gt;=1,MOD(INT('월 가계부'!A398),100)&lt;=31),IF(MONTH(DATE(INT('월 가계부'!A398/10000),MOD(INT('월 가계부'!A398/100),100),MOD(INT('월 가계부'!A398),100)))=MOD(INT('월 가계부'!A398/100),100),DATE(INT('월 가계부'!A398/10000),MOD(INT('월 가계부'!A398/100),100),MOD(INT('월 가계부'!A398),100)),""),""),IF(AND('월 가계부'!A398&gt;=36526,'월 가계부'!A398&lt;73051),INT('월 가계부'!A398),"")),IF(OR(CM398="",CN398="",CO398=""),"",IF(AND(CM398&gt;=2000,CM398&lt;=2099,CN398&gt;=1,CN398&lt;=12,CO398&gt;=1,CO398&lt;=31),IF(MONTH(DATE(CM398,CN398,CO398))=CN398,DATE(CM398,CN398,CO398),""),"")))),"")</f>
        <v/>
      </c>
      <c r="CJ398">
        <f>IFERROR(IF('월 가계부'!C398="","",IF(ISNUMBER('월 가계부'!C398),'월 가계부'!C398,VALUE(SUBSTITUTE(SUBSTITUTE(SUBSTITUTE(SUBSTITUTE(TRIM('월 가계부'!C398),",",""),"원","")," ",""),"−","-")))),"")</f>
        <v/>
      </c>
      <c r="CK398">
        <f>IF(ISNUMBER(CI398),IF(CI398&lt;$B$13,CI398,""),"")</f>
        <v/>
      </c>
      <c r="CM398">
        <f>IF(CH398="","",IFERROR(IF(IF(AND(LEN(CH398)=9,ISERROR(FIND("-",LEFT(CH398,8))),ISNUMBER(-LEFT(CH398,8))),VALUE(LEFT(CH398,4)),VALUE(LEFT(CH398,FIND("-",CH398)-1)))&lt;100,IF(AND(LEN(CH398)=9,ISERROR(FIND("-",LEFT(CH398,8))),ISNUMBER(-LEFT(CH398,8))),VALUE(LEFT(CH398,4)),VALUE(LEFT(CH398,FIND("-",CH398)-1)))+2000,IF(AND(LEN(CH398)=9,ISERROR(FIND("-",LEFT(CH398,8))),ISNUMBER(-LEFT(CH398,8))),VALUE(LEFT(CH398,4)),VALUE(LEFT(CH398,FIND("-",CH398)-1)))),""))</f>
        <v/>
      </c>
      <c r="CN398">
        <f>IF(CH398="","",IFERROR(IF(AND(LEN(CH398)=9,ISERROR(FIND("-",LEFT(CH398,8))),ISNUMBER(-LEFT(CH398,8))),VALUE(MID(CH398,5,2)),VALUE(MID(CH398,FIND("-",CH398)+1,FIND("-",CH398,FIND("-",CH398)+1)-FIND("-",CH398)-1))),""))</f>
        <v/>
      </c>
      <c r="CO398">
        <f>IF(CH398="","",IFERROR(IF(AND(LEN(CH398)=9,ISERROR(FIND("-",LEFT(CH398,8))),ISNUMBER(-LEFT(CH398,8))),VALUE(MID(CH398,7,2)),VALUE(MID(CH398,FIND("-",CH398,FIND("-",CH398)+1)+1,FIND("-",CH398,FIND("-",CH398,FIND("-",CH398)+1)+1)-FIND("-",CH398,FIND("-",CH398)+1)-1))),""))</f>
        <v/>
      </c>
    </row>
    <row r="399">
      <c r="CH399">
        <f>IF(ISTEXT('월 가계부'!A399),SUBSTITUTE(SUBSTITUTE(SUBSTITUTE(SUBSTITUTE(SUBSTITUTE(SUBSTITUTE(SUBSTITUTE(SUBSTITUTE(SUBSTITUTE(TRIM('월 가계부'!A399),"년","-"),"월","-"),"일",""),".","-"),"/","-")," ","-"),"--","-"),"--","-"),"--","-")&amp;"-","")</f>
        <v/>
      </c>
      <c r="CI399">
        <f>IFERROR(IF('월 가계부'!A399="","",IF(ISNUMBER('월 가계부'!A399),IF(AND('월 가계부'!A399&gt;=19000101,'월 가계부'!A399&lt;=21001231),IF(AND(MOD(INT('월 가계부'!A399/100),100)&gt;=1,MOD(INT('월 가계부'!A399/100),100)&lt;=12,MOD(INT('월 가계부'!A399),100)&gt;=1,MOD(INT('월 가계부'!A399),100)&lt;=31),IF(MONTH(DATE(INT('월 가계부'!A399/10000),MOD(INT('월 가계부'!A399/100),100),MOD(INT('월 가계부'!A399),100)))=MOD(INT('월 가계부'!A399/100),100),DATE(INT('월 가계부'!A399/10000),MOD(INT('월 가계부'!A399/100),100),MOD(INT('월 가계부'!A399),100)),""),""),IF(AND('월 가계부'!A399&gt;=36526,'월 가계부'!A399&lt;73051),INT('월 가계부'!A399),"")),IF(OR(CM399="",CN399="",CO399=""),"",IF(AND(CM399&gt;=2000,CM399&lt;=2099,CN399&gt;=1,CN399&lt;=12,CO399&gt;=1,CO399&lt;=31),IF(MONTH(DATE(CM399,CN399,CO399))=CN399,DATE(CM399,CN399,CO399),""),"")))),"")</f>
        <v/>
      </c>
      <c r="CJ399">
        <f>IFERROR(IF('월 가계부'!C399="","",IF(ISNUMBER('월 가계부'!C399),'월 가계부'!C399,VALUE(SUBSTITUTE(SUBSTITUTE(SUBSTITUTE(SUBSTITUTE(TRIM('월 가계부'!C399),",",""),"원","")," ",""),"−","-")))),"")</f>
        <v/>
      </c>
      <c r="CK399">
        <f>IF(ISNUMBER(CI399),IF(CI399&lt;$B$13,CI399,""),"")</f>
        <v/>
      </c>
      <c r="CM399">
        <f>IF(CH399="","",IFERROR(IF(IF(AND(LEN(CH399)=9,ISERROR(FIND("-",LEFT(CH399,8))),ISNUMBER(-LEFT(CH399,8))),VALUE(LEFT(CH399,4)),VALUE(LEFT(CH399,FIND("-",CH399)-1)))&lt;100,IF(AND(LEN(CH399)=9,ISERROR(FIND("-",LEFT(CH399,8))),ISNUMBER(-LEFT(CH399,8))),VALUE(LEFT(CH399,4)),VALUE(LEFT(CH399,FIND("-",CH399)-1)))+2000,IF(AND(LEN(CH399)=9,ISERROR(FIND("-",LEFT(CH399,8))),ISNUMBER(-LEFT(CH399,8))),VALUE(LEFT(CH399,4)),VALUE(LEFT(CH399,FIND("-",CH399)-1)))),""))</f>
        <v/>
      </c>
      <c r="CN399">
        <f>IF(CH399="","",IFERROR(IF(AND(LEN(CH399)=9,ISERROR(FIND("-",LEFT(CH399,8))),ISNUMBER(-LEFT(CH399,8))),VALUE(MID(CH399,5,2)),VALUE(MID(CH399,FIND("-",CH399)+1,FIND("-",CH399,FIND("-",CH399)+1)-FIND("-",CH399)-1))),""))</f>
        <v/>
      </c>
      <c r="CO399">
        <f>IF(CH399="","",IFERROR(IF(AND(LEN(CH399)=9,ISERROR(FIND("-",LEFT(CH399,8))),ISNUMBER(-LEFT(CH399,8))),VALUE(MID(CH399,7,2)),VALUE(MID(CH399,FIND("-",CH399,FIND("-",CH399)+1)+1,FIND("-",CH399,FIND("-",CH399,FIND("-",CH399)+1)+1)-FIND("-",CH399,FIND("-",CH399)+1)-1))),""))</f>
        <v/>
      </c>
    </row>
    <row r="400">
      <c r="CH400">
        <f>IF(ISTEXT('월 가계부'!A400),SUBSTITUTE(SUBSTITUTE(SUBSTITUTE(SUBSTITUTE(SUBSTITUTE(SUBSTITUTE(SUBSTITUTE(SUBSTITUTE(SUBSTITUTE(TRIM('월 가계부'!A400),"년","-"),"월","-"),"일",""),".","-"),"/","-")," ","-"),"--","-"),"--","-"),"--","-")&amp;"-","")</f>
        <v/>
      </c>
      <c r="CI400">
        <f>IFERROR(IF('월 가계부'!A400="","",IF(ISNUMBER('월 가계부'!A400),IF(AND('월 가계부'!A400&gt;=19000101,'월 가계부'!A400&lt;=21001231),IF(AND(MOD(INT('월 가계부'!A400/100),100)&gt;=1,MOD(INT('월 가계부'!A400/100),100)&lt;=12,MOD(INT('월 가계부'!A400),100)&gt;=1,MOD(INT('월 가계부'!A400),100)&lt;=31),IF(MONTH(DATE(INT('월 가계부'!A400/10000),MOD(INT('월 가계부'!A400/100),100),MOD(INT('월 가계부'!A400),100)))=MOD(INT('월 가계부'!A400/100),100),DATE(INT('월 가계부'!A400/10000),MOD(INT('월 가계부'!A400/100),100),MOD(INT('월 가계부'!A400),100)),""),""),IF(AND('월 가계부'!A400&gt;=36526,'월 가계부'!A400&lt;73051),INT('월 가계부'!A400),"")),IF(OR(CM400="",CN400="",CO400=""),"",IF(AND(CM400&gt;=2000,CM400&lt;=2099,CN400&gt;=1,CN400&lt;=12,CO400&gt;=1,CO400&lt;=31),IF(MONTH(DATE(CM400,CN400,CO400))=CN400,DATE(CM400,CN400,CO400),""),"")))),"")</f>
        <v/>
      </c>
      <c r="CJ400">
        <f>IFERROR(IF('월 가계부'!C400="","",IF(ISNUMBER('월 가계부'!C400),'월 가계부'!C400,VALUE(SUBSTITUTE(SUBSTITUTE(SUBSTITUTE(SUBSTITUTE(TRIM('월 가계부'!C400),",",""),"원","")," ",""),"−","-")))),"")</f>
        <v/>
      </c>
      <c r="CK400">
        <f>IF(ISNUMBER(CI400),IF(CI400&lt;$B$13,CI400,""),"")</f>
        <v/>
      </c>
      <c r="CM400">
        <f>IF(CH400="","",IFERROR(IF(IF(AND(LEN(CH400)=9,ISERROR(FIND("-",LEFT(CH400,8))),ISNUMBER(-LEFT(CH400,8))),VALUE(LEFT(CH400,4)),VALUE(LEFT(CH400,FIND("-",CH400)-1)))&lt;100,IF(AND(LEN(CH400)=9,ISERROR(FIND("-",LEFT(CH400,8))),ISNUMBER(-LEFT(CH400,8))),VALUE(LEFT(CH400,4)),VALUE(LEFT(CH400,FIND("-",CH400)-1)))+2000,IF(AND(LEN(CH400)=9,ISERROR(FIND("-",LEFT(CH400,8))),ISNUMBER(-LEFT(CH400,8))),VALUE(LEFT(CH400,4)),VALUE(LEFT(CH400,FIND("-",CH400)-1)))),""))</f>
        <v/>
      </c>
      <c r="CN400">
        <f>IF(CH400="","",IFERROR(IF(AND(LEN(CH400)=9,ISERROR(FIND("-",LEFT(CH400,8))),ISNUMBER(-LEFT(CH400,8))),VALUE(MID(CH400,5,2)),VALUE(MID(CH400,FIND("-",CH400)+1,FIND("-",CH400,FIND("-",CH400)+1)-FIND("-",CH400)-1))),""))</f>
        <v/>
      </c>
      <c r="CO400">
        <f>IF(CH400="","",IFERROR(IF(AND(LEN(CH400)=9,ISERROR(FIND("-",LEFT(CH400,8))),ISNUMBER(-LEFT(CH400,8))),VALUE(MID(CH400,7,2)),VALUE(MID(CH400,FIND("-",CH400,FIND("-",CH400)+1)+1,FIND("-",CH400,FIND("-",CH400,FIND("-",CH400)+1)+1)-FIND("-",CH400,FIND("-",CH400)+1)-1))),""))</f>
        <v/>
      </c>
    </row>
    <row r="401">
      <c r="CH401">
        <f>IF(ISTEXT('월 가계부'!A401),SUBSTITUTE(SUBSTITUTE(SUBSTITUTE(SUBSTITUTE(SUBSTITUTE(SUBSTITUTE(SUBSTITUTE(SUBSTITUTE(SUBSTITUTE(TRIM('월 가계부'!A401),"년","-"),"월","-"),"일",""),".","-"),"/","-")," ","-"),"--","-"),"--","-"),"--","-")&amp;"-","")</f>
        <v/>
      </c>
      <c r="CI401">
        <f>IFERROR(IF('월 가계부'!A401="","",IF(ISNUMBER('월 가계부'!A401),IF(AND('월 가계부'!A401&gt;=19000101,'월 가계부'!A401&lt;=21001231),IF(AND(MOD(INT('월 가계부'!A401/100),100)&gt;=1,MOD(INT('월 가계부'!A401/100),100)&lt;=12,MOD(INT('월 가계부'!A401),100)&gt;=1,MOD(INT('월 가계부'!A401),100)&lt;=31),IF(MONTH(DATE(INT('월 가계부'!A401/10000),MOD(INT('월 가계부'!A401/100),100),MOD(INT('월 가계부'!A401),100)))=MOD(INT('월 가계부'!A401/100),100),DATE(INT('월 가계부'!A401/10000),MOD(INT('월 가계부'!A401/100),100),MOD(INT('월 가계부'!A401),100)),""),""),IF(AND('월 가계부'!A401&gt;=36526,'월 가계부'!A401&lt;73051),INT('월 가계부'!A401),"")),IF(OR(CM401="",CN401="",CO401=""),"",IF(AND(CM401&gt;=2000,CM401&lt;=2099,CN401&gt;=1,CN401&lt;=12,CO401&gt;=1,CO401&lt;=31),IF(MONTH(DATE(CM401,CN401,CO401))=CN401,DATE(CM401,CN401,CO401),""),"")))),"")</f>
        <v/>
      </c>
      <c r="CJ401">
        <f>IFERROR(IF('월 가계부'!C401="","",IF(ISNUMBER('월 가계부'!C401),'월 가계부'!C401,VALUE(SUBSTITUTE(SUBSTITUTE(SUBSTITUTE(SUBSTITUTE(TRIM('월 가계부'!C401),",",""),"원","")," ",""),"−","-")))),"")</f>
        <v/>
      </c>
      <c r="CK401">
        <f>IF(ISNUMBER(CI401),IF(CI401&lt;$B$13,CI401,""),"")</f>
        <v/>
      </c>
      <c r="CM401">
        <f>IF(CH401="","",IFERROR(IF(IF(AND(LEN(CH401)=9,ISERROR(FIND("-",LEFT(CH401,8))),ISNUMBER(-LEFT(CH401,8))),VALUE(LEFT(CH401,4)),VALUE(LEFT(CH401,FIND("-",CH401)-1)))&lt;100,IF(AND(LEN(CH401)=9,ISERROR(FIND("-",LEFT(CH401,8))),ISNUMBER(-LEFT(CH401,8))),VALUE(LEFT(CH401,4)),VALUE(LEFT(CH401,FIND("-",CH401)-1)))+2000,IF(AND(LEN(CH401)=9,ISERROR(FIND("-",LEFT(CH401,8))),ISNUMBER(-LEFT(CH401,8))),VALUE(LEFT(CH401,4)),VALUE(LEFT(CH401,FIND("-",CH401)-1)))),""))</f>
        <v/>
      </c>
      <c r="CN401">
        <f>IF(CH401="","",IFERROR(IF(AND(LEN(CH401)=9,ISERROR(FIND("-",LEFT(CH401,8))),ISNUMBER(-LEFT(CH401,8))),VALUE(MID(CH401,5,2)),VALUE(MID(CH401,FIND("-",CH401)+1,FIND("-",CH401,FIND("-",CH401)+1)-FIND("-",CH401)-1))),""))</f>
        <v/>
      </c>
      <c r="CO401">
        <f>IF(CH401="","",IFERROR(IF(AND(LEN(CH401)=9,ISERROR(FIND("-",LEFT(CH401,8))),ISNUMBER(-LEFT(CH401,8))),VALUE(MID(CH401,7,2)),VALUE(MID(CH401,FIND("-",CH401,FIND("-",CH401)+1)+1,FIND("-",CH401,FIND("-",CH401,FIND("-",CH401)+1)+1)-FIND("-",CH401,FIND("-",CH401)+1)-1))),""))</f>
        <v/>
      </c>
    </row>
    <row r="402">
      <c r="CH402">
        <f>IF(ISTEXT('월 가계부'!A402),SUBSTITUTE(SUBSTITUTE(SUBSTITUTE(SUBSTITUTE(SUBSTITUTE(SUBSTITUTE(SUBSTITUTE(SUBSTITUTE(SUBSTITUTE(TRIM('월 가계부'!A402),"년","-"),"월","-"),"일",""),".","-"),"/","-")," ","-"),"--","-"),"--","-"),"--","-")&amp;"-","")</f>
        <v/>
      </c>
      <c r="CI402">
        <f>IFERROR(IF('월 가계부'!A402="","",IF(ISNUMBER('월 가계부'!A402),IF(AND('월 가계부'!A402&gt;=19000101,'월 가계부'!A402&lt;=21001231),IF(AND(MOD(INT('월 가계부'!A402/100),100)&gt;=1,MOD(INT('월 가계부'!A402/100),100)&lt;=12,MOD(INT('월 가계부'!A402),100)&gt;=1,MOD(INT('월 가계부'!A402),100)&lt;=31),IF(MONTH(DATE(INT('월 가계부'!A402/10000),MOD(INT('월 가계부'!A402/100),100),MOD(INT('월 가계부'!A402),100)))=MOD(INT('월 가계부'!A402/100),100),DATE(INT('월 가계부'!A402/10000),MOD(INT('월 가계부'!A402/100),100),MOD(INT('월 가계부'!A402),100)),""),""),IF(AND('월 가계부'!A402&gt;=36526,'월 가계부'!A402&lt;73051),INT('월 가계부'!A402),"")),IF(OR(CM402="",CN402="",CO402=""),"",IF(AND(CM402&gt;=2000,CM402&lt;=2099,CN402&gt;=1,CN402&lt;=12,CO402&gt;=1,CO402&lt;=31),IF(MONTH(DATE(CM402,CN402,CO402))=CN402,DATE(CM402,CN402,CO402),""),"")))),"")</f>
        <v/>
      </c>
      <c r="CJ402">
        <f>IFERROR(IF('월 가계부'!C402="","",IF(ISNUMBER('월 가계부'!C402),'월 가계부'!C402,VALUE(SUBSTITUTE(SUBSTITUTE(SUBSTITUTE(SUBSTITUTE(TRIM('월 가계부'!C402),",",""),"원","")," ",""),"−","-")))),"")</f>
        <v/>
      </c>
      <c r="CK402">
        <f>IF(ISNUMBER(CI402),IF(CI402&lt;$B$13,CI402,""),"")</f>
        <v/>
      </c>
      <c r="CM402">
        <f>IF(CH402="","",IFERROR(IF(IF(AND(LEN(CH402)=9,ISERROR(FIND("-",LEFT(CH402,8))),ISNUMBER(-LEFT(CH402,8))),VALUE(LEFT(CH402,4)),VALUE(LEFT(CH402,FIND("-",CH402)-1)))&lt;100,IF(AND(LEN(CH402)=9,ISERROR(FIND("-",LEFT(CH402,8))),ISNUMBER(-LEFT(CH402,8))),VALUE(LEFT(CH402,4)),VALUE(LEFT(CH402,FIND("-",CH402)-1)))+2000,IF(AND(LEN(CH402)=9,ISERROR(FIND("-",LEFT(CH402,8))),ISNUMBER(-LEFT(CH402,8))),VALUE(LEFT(CH402,4)),VALUE(LEFT(CH402,FIND("-",CH402)-1)))),""))</f>
        <v/>
      </c>
      <c r="CN402">
        <f>IF(CH402="","",IFERROR(IF(AND(LEN(CH402)=9,ISERROR(FIND("-",LEFT(CH402,8))),ISNUMBER(-LEFT(CH402,8))),VALUE(MID(CH402,5,2)),VALUE(MID(CH402,FIND("-",CH402)+1,FIND("-",CH402,FIND("-",CH402)+1)-FIND("-",CH402)-1))),""))</f>
        <v/>
      </c>
      <c r="CO402">
        <f>IF(CH402="","",IFERROR(IF(AND(LEN(CH402)=9,ISERROR(FIND("-",LEFT(CH402,8))),ISNUMBER(-LEFT(CH402,8))),VALUE(MID(CH402,7,2)),VALUE(MID(CH402,FIND("-",CH402,FIND("-",CH402)+1)+1,FIND("-",CH402,FIND("-",CH402,FIND("-",CH402)+1)+1)-FIND("-",CH402,FIND("-",CH402)+1)-1))),""))</f>
        <v/>
      </c>
    </row>
    <row r="403">
      <c r="CH403">
        <f>IF(ISTEXT('월 가계부'!A403),SUBSTITUTE(SUBSTITUTE(SUBSTITUTE(SUBSTITUTE(SUBSTITUTE(SUBSTITUTE(SUBSTITUTE(SUBSTITUTE(SUBSTITUTE(TRIM('월 가계부'!A403),"년","-"),"월","-"),"일",""),".","-"),"/","-")," ","-"),"--","-"),"--","-"),"--","-")&amp;"-","")</f>
        <v/>
      </c>
      <c r="CI403">
        <f>IFERROR(IF('월 가계부'!A403="","",IF(ISNUMBER('월 가계부'!A403),IF(AND('월 가계부'!A403&gt;=19000101,'월 가계부'!A403&lt;=21001231),IF(AND(MOD(INT('월 가계부'!A403/100),100)&gt;=1,MOD(INT('월 가계부'!A403/100),100)&lt;=12,MOD(INT('월 가계부'!A403),100)&gt;=1,MOD(INT('월 가계부'!A403),100)&lt;=31),IF(MONTH(DATE(INT('월 가계부'!A403/10000),MOD(INT('월 가계부'!A403/100),100),MOD(INT('월 가계부'!A403),100)))=MOD(INT('월 가계부'!A403/100),100),DATE(INT('월 가계부'!A403/10000),MOD(INT('월 가계부'!A403/100),100),MOD(INT('월 가계부'!A403),100)),""),""),IF(AND('월 가계부'!A403&gt;=36526,'월 가계부'!A403&lt;73051),INT('월 가계부'!A403),"")),IF(OR(CM403="",CN403="",CO403=""),"",IF(AND(CM403&gt;=2000,CM403&lt;=2099,CN403&gt;=1,CN403&lt;=12,CO403&gt;=1,CO403&lt;=31),IF(MONTH(DATE(CM403,CN403,CO403))=CN403,DATE(CM403,CN403,CO403),""),"")))),"")</f>
        <v/>
      </c>
      <c r="CJ403">
        <f>IFERROR(IF('월 가계부'!C403="","",IF(ISNUMBER('월 가계부'!C403),'월 가계부'!C403,VALUE(SUBSTITUTE(SUBSTITUTE(SUBSTITUTE(SUBSTITUTE(TRIM('월 가계부'!C403),",",""),"원","")," ",""),"−","-")))),"")</f>
        <v/>
      </c>
      <c r="CK403">
        <f>IF(ISNUMBER(CI403),IF(CI403&lt;$B$13,CI403,""),"")</f>
        <v/>
      </c>
      <c r="CM403">
        <f>IF(CH403="","",IFERROR(IF(IF(AND(LEN(CH403)=9,ISERROR(FIND("-",LEFT(CH403,8))),ISNUMBER(-LEFT(CH403,8))),VALUE(LEFT(CH403,4)),VALUE(LEFT(CH403,FIND("-",CH403)-1)))&lt;100,IF(AND(LEN(CH403)=9,ISERROR(FIND("-",LEFT(CH403,8))),ISNUMBER(-LEFT(CH403,8))),VALUE(LEFT(CH403,4)),VALUE(LEFT(CH403,FIND("-",CH403)-1)))+2000,IF(AND(LEN(CH403)=9,ISERROR(FIND("-",LEFT(CH403,8))),ISNUMBER(-LEFT(CH403,8))),VALUE(LEFT(CH403,4)),VALUE(LEFT(CH403,FIND("-",CH403)-1)))),""))</f>
        <v/>
      </c>
      <c r="CN403">
        <f>IF(CH403="","",IFERROR(IF(AND(LEN(CH403)=9,ISERROR(FIND("-",LEFT(CH403,8))),ISNUMBER(-LEFT(CH403,8))),VALUE(MID(CH403,5,2)),VALUE(MID(CH403,FIND("-",CH403)+1,FIND("-",CH403,FIND("-",CH403)+1)-FIND("-",CH403)-1))),""))</f>
        <v/>
      </c>
      <c r="CO403">
        <f>IF(CH403="","",IFERROR(IF(AND(LEN(CH403)=9,ISERROR(FIND("-",LEFT(CH403,8))),ISNUMBER(-LEFT(CH403,8))),VALUE(MID(CH403,7,2)),VALUE(MID(CH403,FIND("-",CH403,FIND("-",CH403)+1)+1,FIND("-",CH403,FIND("-",CH403,FIND("-",CH403)+1)+1)-FIND("-",CH403,FIND("-",CH403)+1)-1))),""))</f>
        <v/>
      </c>
    </row>
    <row r="404">
      <c r="CH404">
        <f>IF(ISTEXT('월 가계부'!A404),SUBSTITUTE(SUBSTITUTE(SUBSTITUTE(SUBSTITUTE(SUBSTITUTE(SUBSTITUTE(SUBSTITUTE(SUBSTITUTE(SUBSTITUTE(TRIM('월 가계부'!A404),"년","-"),"월","-"),"일",""),".","-"),"/","-")," ","-"),"--","-"),"--","-"),"--","-")&amp;"-","")</f>
        <v/>
      </c>
      <c r="CI404">
        <f>IFERROR(IF('월 가계부'!A404="","",IF(ISNUMBER('월 가계부'!A404),IF(AND('월 가계부'!A404&gt;=19000101,'월 가계부'!A404&lt;=21001231),IF(AND(MOD(INT('월 가계부'!A404/100),100)&gt;=1,MOD(INT('월 가계부'!A404/100),100)&lt;=12,MOD(INT('월 가계부'!A404),100)&gt;=1,MOD(INT('월 가계부'!A404),100)&lt;=31),IF(MONTH(DATE(INT('월 가계부'!A404/10000),MOD(INT('월 가계부'!A404/100),100),MOD(INT('월 가계부'!A404),100)))=MOD(INT('월 가계부'!A404/100),100),DATE(INT('월 가계부'!A404/10000),MOD(INT('월 가계부'!A404/100),100),MOD(INT('월 가계부'!A404),100)),""),""),IF(AND('월 가계부'!A404&gt;=36526,'월 가계부'!A404&lt;73051),INT('월 가계부'!A404),"")),IF(OR(CM404="",CN404="",CO404=""),"",IF(AND(CM404&gt;=2000,CM404&lt;=2099,CN404&gt;=1,CN404&lt;=12,CO404&gt;=1,CO404&lt;=31),IF(MONTH(DATE(CM404,CN404,CO404))=CN404,DATE(CM404,CN404,CO404),""),"")))),"")</f>
        <v/>
      </c>
      <c r="CJ404">
        <f>IFERROR(IF('월 가계부'!C404="","",IF(ISNUMBER('월 가계부'!C404),'월 가계부'!C404,VALUE(SUBSTITUTE(SUBSTITUTE(SUBSTITUTE(SUBSTITUTE(TRIM('월 가계부'!C404),",",""),"원","")," ",""),"−","-")))),"")</f>
        <v/>
      </c>
      <c r="CK404">
        <f>IF(ISNUMBER(CI404),IF(CI404&lt;$B$13,CI404,""),"")</f>
        <v/>
      </c>
      <c r="CM404">
        <f>IF(CH404="","",IFERROR(IF(IF(AND(LEN(CH404)=9,ISERROR(FIND("-",LEFT(CH404,8))),ISNUMBER(-LEFT(CH404,8))),VALUE(LEFT(CH404,4)),VALUE(LEFT(CH404,FIND("-",CH404)-1)))&lt;100,IF(AND(LEN(CH404)=9,ISERROR(FIND("-",LEFT(CH404,8))),ISNUMBER(-LEFT(CH404,8))),VALUE(LEFT(CH404,4)),VALUE(LEFT(CH404,FIND("-",CH404)-1)))+2000,IF(AND(LEN(CH404)=9,ISERROR(FIND("-",LEFT(CH404,8))),ISNUMBER(-LEFT(CH404,8))),VALUE(LEFT(CH404,4)),VALUE(LEFT(CH404,FIND("-",CH404)-1)))),""))</f>
        <v/>
      </c>
      <c r="CN404">
        <f>IF(CH404="","",IFERROR(IF(AND(LEN(CH404)=9,ISERROR(FIND("-",LEFT(CH404,8))),ISNUMBER(-LEFT(CH404,8))),VALUE(MID(CH404,5,2)),VALUE(MID(CH404,FIND("-",CH404)+1,FIND("-",CH404,FIND("-",CH404)+1)-FIND("-",CH404)-1))),""))</f>
        <v/>
      </c>
      <c r="CO404">
        <f>IF(CH404="","",IFERROR(IF(AND(LEN(CH404)=9,ISERROR(FIND("-",LEFT(CH404,8))),ISNUMBER(-LEFT(CH404,8))),VALUE(MID(CH404,7,2)),VALUE(MID(CH404,FIND("-",CH404,FIND("-",CH404)+1)+1,FIND("-",CH404,FIND("-",CH404,FIND("-",CH404)+1)+1)-FIND("-",CH404,FIND("-",CH404)+1)-1))),""))</f>
        <v/>
      </c>
    </row>
    <row r="405">
      <c r="CH405">
        <f>IF(ISTEXT('월 가계부'!A405),SUBSTITUTE(SUBSTITUTE(SUBSTITUTE(SUBSTITUTE(SUBSTITUTE(SUBSTITUTE(SUBSTITUTE(SUBSTITUTE(SUBSTITUTE(TRIM('월 가계부'!A405),"년","-"),"월","-"),"일",""),".","-"),"/","-")," ","-"),"--","-"),"--","-"),"--","-")&amp;"-","")</f>
        <v/>
      </c>
      <c r="CI405">
        <f>IFERROR(IF('월 가계부'!A405="","",IF(ISNUMBER('월 가계부'!A405),IF(AND('월 가계부'!A405&gt;=19000101,'월 가계부'!A405&lt;=21001231),IF(AND(MOD(INT('월 가계부'!A405/100),100)&gt;=1,MOD(INT('월 가계부'!A405/100),100)&lt;=12,MOD(INT('월 가계부'!A405),100)&gt;=1,MOD(INT('월 가계부'!A405),100)&lt;=31),IF(MONTH(DATE(INT('월 가계부'!A405/10000),MOD(INT('월 가계부'!A405/100),100),MOD(INT('월 가계부'!A405),100)))=MOD(INT('월 가계부'!A405/100),100),DATE(INT('월 가계부'!A405/10000),MOD(INT('월 가계부'!A405/100),100),MOD(INT('월 가계부'!A405),100)),""),""),IF(AND('월 가계부'!A405&gt;=36526,'월 가계부'!A405&lt;73051),INT('월 가계부'!A405),"")),IF(OR(CM405="",CN405="",CO405=""),"",IF(AND(CM405&gt;=2000,CM405&lt;=2099,CN405&gt;=1,CN405&lt;=12,CO405&gt;=1,CO405&lt;=31),IF(MONTH(DATE(CM405,CN405,CO405))=CN405,DATE(CM405,CN405,CO405),""),"")))),"")</f>
        <v/>
      </c>
      <c r="CJ405">
        <f>IFERROR(IF('월 가계부'!C405="","",IF(ISNUMBER('월 가계부'!C405),'월 가계부'!C405,VALUE(SUBSTITUTE(SUBSTITUTE(SUBSTITUTE(SUBSTITUTE(TRIM('월 가계부'!C405),",",""),"원","")," ",""),"−","-")))),"")</f>
        <v/>
      </c>
      <c r="CK405">
        <f>IF(ISNUMBER(CI405),IF(CI405&lt;$B$13,CI405,""),"")</f>
        <v/>
      </c>
      <c r="CM405">
        <f>IF(CH405="","",IFERROR(IF(IF(AND(LEN(CH405)=9,ISERROR(FIND("-",LEFT(CH405,8))),ISNUMBER(-LEFT(CH405,8))),VALUE(LEFT(CH405,4)),VALUE(LEFT(CH405,FIND("-",CH405)-1)))&lt;100,IF(AND(LEN(CH405)=9,ISERROR(FIND("-",LEFT(CH405,8))),ISNUMBER(-LEFT(CH405,8))),VALUE(LEFT(CH405,4)),VALUE(LEFT(CH405,FIND("-",CH405)-1)))+2000,IF(AND(LEN(CH405)=9,ISERROR(FIND("-",LEFT(CH405,8))),ISNUMBER(-LEFT(CH405,8))),VALUE(LEFT(CH405,4)),VALUE(LEFT(CH405,FIND("-",CH405)-1)))),""))</f>
        <v/>
      </c>
      <c r="CN405">
        <f>IF(CH405="","",IFERROR(IF(AND(LEN(CH405)=9,ISERROR(FIND("-",LEFT(CH405,8))),ISNUMBER(-LEFT(CH405,8))),VALUE(MID(CH405,5,2)),VALUE(MID(CH405,FIND("-",CH405)+1,FIND("-",CH405,FIND("-",CH405)+1)-FIND("-",CH405)-1))),""))</f>
        <v/>
      </c>
      <c r="CO405">
        <f>IF(CH405="","",IFERROR(IF(AND(LEN(CH405)=9,ISERROR(FIND("-",LEFT(CH405,8))),ISNUMBER(-LEFT(CH405,8))),VALUE(MID(CH405,7,2)),VALUE(MID(CH405,FIND("-",CH405,FIND("-",CH405)+1)+1,FIND("-",CH405,FIND("-",CH405,FIND("-",CH405)+1)+1)-FIND("-",CH405,FIND("-",CH405)+1)-1))),""))</f>
        <v/>
      </c>
    </row>
    <row r="406">
      <c r="CH406">
        <f>IF(ISTEXT('월 가계부'!A406),SUBSTITUTE(SUBSTITUTE(SUBSTITUTE(SUBSTITUTE(SUBSTITUTE(SUBSTITUTE(SUBSTITUTE(SUBSTITUTE(SUBSTITUTE(TRIM('월 가계부'!A406),"년","-"),"월","-"),"일",""),".","-"),"/","-")," ","-"),"--","-"),"--","-"),"--","-")&amp;"-","")</f>
        <v/>
      </c>
      <c r="CI406">
        <f>IFERROR(IF('월 가계부'!A406="","",IF(ISNUMBER('월 가계부'!A406),IF(AND('월 가계부'!A406&gt;=19000101,'월 가계부'!A406&lt;=21001231),IF(AND(MOD(INT('월 가계부'!A406/100),100)&gt;=1,MOD(INT('월 가계부'!A406/100),100)&lt;=12,MOD(INT('월 가계부'!A406),100)&gt;=1,MOD(INT('월 가계부'!A406),100)&lt;=31),IF(MONTH(DATE(INT('월 가계부'!A406/10000),MOD(INT('월 가계부'!A406/100),100),MOD(INT('월 가계부'!A406),100)))=MOD(INT('월 가계부'!A406/100),100),DATE(INT('월 가계부'!A406/10000),MOD(INT('월 가계부'!A406/100),100),MOD(INT('월 가계부'!A406),100)),""),""),IF(AND('월 가계부'!A406&gt;=36526,'월 가계부'!A406&lt;73051),INT('월 가계부'!A406),"")),IF(OR(CM406="",CN406="",CO406=""),"",IF(AND(CM406&gt;=2000,CM406&lt;=2099,CN406&gt;=1,CN406&lt;=12,CO406&gt;=1,CO406&lt;=31),IF(MONTH(DATE(CM406,CN406,CO406))=CN406,DATE(CM406,CN406,CO406),""),"")))),"")</f>
        <v/>
      </c>
      <c r="CJ406">
        <f>IFERROR(IF('월 가계부'!C406="","",IF(ISNUMBER('월 가계부'!C406),'월 가계부'!C406,VALUE(SUBSTITUTE(SUBSTITUTE(SUBSTITUTE(SUBSTITUTE(TRIM('월 가계부'!C406),",",""),"원","")," ",""),"−","-")))),"")</f>
        <v/>
      </c>
      <c r="CK406">
        <f>IF(ISNUMBER(CI406),IF(CI406&lt;$B$13,CI406,""),"")</f>
        <v/>
      </c>
      <c r="CM406">
        <f>IF(CH406="","",IFERROR(IF(IF(AND(LEN(CH406)=9,ISERROR(FIND("-",LEFT(CH406,8))),ISNUMBER(-LEFT(CH406,8))),VALUE(LEFT(CH406,4)),VALUE(LEFT(CH406,FIND("-",CH406)-1)))&lt;100,IF(AND(LEN(CH406)=9,ISERROR(FIND("-",LEFT(CH406,8))),ISNUMBER(-LEFT(CH406,8))),VALUE(LEFT(CH406,4)),VALUE(LEFT(CH406,FIND("-",CH406)-1)))+2000,IF(AND(LEN(CH406)=9,ISERROR(FIND("-",LEFT(CH406,8))),ISNUMBER(-LEFT(CH406,8))),VALUE(LEFT(CH406,4)),VALUE(LEFT(CH406,FIND("-",CH406)-1)))),""))</f>
        <v/>
      </c>
      <c r="CN406">
        <f>IF(CH406="","",IFERROR(IF(AND(LEN(CH406)=9,ISERROR(FIND("-",LEFT(CH406,8))),ISNUMBER(-LEFT(CH406,8))),VALUE(MID(CH406,5,2)),VALUE(MID(CH406,FIND("-",CH406)+1,FIND("-",CH406,FIND("-",CH406)+1)-FIND("-",CH406)-1))),""))</f>
        <v/>
      </c>
      <c r="CO406">
        <f>IF(CH406="","",IFERROR(IF(AND(LEN(CH406)=9,ISERROR(FIND("-",LEFT(CH406,8))),ISNUMBER(-LEFT(CH406,8))),VALUE(MID(CH406,7,2)),VALUE(MID(CH406,FIND("-",CH406,FIND("-",CH406)+1)+1,FIND("-",CH406,FIND("-",CH406,FIND("-",CH406)+1)+1)-FIND("-",CH406,FIND("-",CH406)+1)-1))),""))</f>
        <v/>
      </c>
    </row>
    <row r="407">
      <c r="CH407">
        <f>IF(ISTEXT('월 가계부'!A407),SUBSTITUTE(SUBSTITUTE(SUBSTITUTE(SUBSTITUTE(SUBSTITUTE(SUBSTITUTE(SUBSTITUTE(SUBSTITUTE(SUBSTITUTE(TRIM('월 가계부'!A407),"년","-"),"월","-"),"일",""),".","-"),"/","-")," ","-"),"--","-"),"--","-"),"--","-")&amp;"-","")</f>
        <v/>
      </c>
      <c r="CI407">
        <f>IFERROR(IF('월 가계부'!A407="","",IF(ISNUMBER('월 가계부'!A407),IF(AND('월 가계부'!A407&gt;=19000101,'월 가계부'!A407&lt;=21001231),IF(AND(MOD(INT('월 가계부'!A407/100),100)&gt;=1,MOD(INT('월 가계부'!A407/100),100)&lt;=12,MOD(INT('월 가계부'!A407),100)&gt;=1,MOD(INT('월 가계부'!A407),100)&lt;=31),IF(MONTH(DATE(INT('월 가계부'!A407/10000),MOD(INT('월 가계부'!A407/100),100),MOD(INT('월 가계부'!A407),100)))=MOD(INT('월 가계부'!A407/100),100),DATE(INT('월 가계부'!A407/10000),MOD(INT('월 가계부'!A407/100),100),MOD(INT('월 가계부'!A407),100)),""),""),IF(AND('월 가계부'!A407&gt;=36526,'월 가계부'!A407&lt;73051),INT('월 가계부'!A407),"")),IF(OR(CM407="",CN407="",CO407=""),"",IF(AND(CM407&gt;=2000,CM407&lt;=2099,CN407&gt;=1,CN407&lt;=12,CO407&gt;=1,CO407&lt;=31),IF(MONTH(DATE(CM407,CN407,CO407))=CN407,DATE(CM407,CN407,CO407),""),"")))),"")</f>
        <v/>
      </c>
      <c r="CJ407">
        <f>IFERROR(IF('월 가계부'!C407="","",IF(ISNUMBER('월 가계부'!C407),'월 가계부'!C407,VALUE(SUBSTITUTE(SUBSTITUTE(SUBSTITUTE(SUBSTITUTE(TRIM('월 가계부'!C407),",",""),"원","")," ",""),"−","-")))),"")</f>
        <v/>
      </c>
      <c r="CK407">
        <f>IF(ISNUMBER(CI407),IF(CI407&lt;$B$13,CI407,""),"")</f>
        <v/>
      </c>
      <c r="CM407">
        <f>IF(CH407="","",IFERROR(IF(IF(AND(LEN(CH407)=9,ISERROR(FIND("-",LEFT(CH407,8))),ISNUMBER(-LEFT(CH407,8))),VALUE(LEFT(CH407,4)),VALUE(LEFT(CH407,FIND("-",CH407)-1)))&lt;100,IF(AND(LEN(CH407)=9,ISERROR(FIND("-",LEFT(CH407,8))),ISNUMBER(-LEFT(CH407,8))),VALUE(LEFT(CH407,4)),VALUE(LEFT(CH407,FIND("-",CH407)-1)))+2000,IF(AND(LEN(CH407)=9,ISERROR(FIND("-",LEFT(CH407,8))),ISNUMBER(-LEFT(CH407,8))),VALUE(LEFT(CH407,4)),VALUE(LEFT(CH407,FIND("-",CH407)-1)))),""))</f>
        <v/>
      </c>
      <c r="CN407">
        <f>IF(CH407="","",IFERROR(IF(AND(LEN(CH407)=9,ISERROR(FIND("-",LEFT(CH407,8))),ISNUMBER(-LEFT(CH407,8))),VALUE(MID(CH407,5,2)),VALUE(MID(CH407,FIND("-",CH407)+1,FIND("-",CH407,FIND("-",CH407)+1)-FIND("-",CH407)-1))),""))</f>
        <v/>
      </c>
      <c r="CO407">
        <f>IF(CH407="","",IFERROR(IF(AND(LEN(CH407)=9,ISERROR(FIND("-",LEFT(CH407,8))),ISNUMBER(-LEFT(CH407,8))),VALUE(MID(CH407,7,2)),VALUE(MID(CH407,FIND("-",CH407,FIND("-",CH407)+1)+1,FIND("-",CH407,FIND("-",CH407,FIND("-",CH407)+1)+1)-FIND("-",CH407,FIND("-",CH407)+1)-1))),""))</f>
        <v/>
      </c>
    </row>
    <row r="408">
      <c r="CH408">
        <f>IF(ISTEXT('월 가계부'!A408),SUBSTITUTE(SUBSTITUTE(SUBSTITUTE(SUBSTITUTE(SUBSTITUTE(SUBSTITUTE(SUBSTITUTE(SUBSTITUTE(SUBSTITUTE(TRIM('월 가계부'!A408),"년","-"),"월","-"),"일",""),".","-"),"/","-")," ","-"),"--","-"),"--","-"),"--","-")&amp;"-","")</f>
        <v/>
      </c>
      <c r="CI408">
        <f>IFERROR(IF('월 가계부'!A408="","",IF(ISNUMBER('월 가계부'!A408),IF(AND('월 가계부'!A408&gt;=19000101,'월 가계부'!A408&lt;=21001231),IF(AND(MOD(INT('월 가계부'!A408/100),100)&gt;=1,MOD(INT('월 가계부'!A408/100),100)&lt;=12,MOD(INT('월 가계부'!A408),100)&gt;=1,MOD(INT('월 가계부'!A408),100)&lt;=31),IF(MONTH(DATE(INT('월 가계부'!A408/10000),MOD(INT('월 가계부'!A408/100),100),MOD(INT('월 가계부'!A408),100)))=MOD(INT('월 가계부'!A408/100),100),DATE(INT('월 가계부'!A408/10000),MOD(INT('월 가계부'!A408/100),100),MOD(INT('월 가계부'!A408),100)),""),""),IF(AND('월 가계부'!A408&gt;=36526,'월 가계부'!A408&lt;73051),INT('월 가계부'!A408),"")),IF(OR(CM408="",CN408="",CO408=""),"",IF(AND(CM408&gt;=2000,CM408&lt;=2099,CN408&gt;=1,CN408&lt;=12,CO408&gt;=1,CO408&lt;=31),IF(MONTH(DATE(CM408,CN408,CO408))=CN408,DATE(CM408,CN408,CO408),""),"")))),"")</f>
        <v/>
      </c>
      <c r="CJ408">
        <f>IFERROR(IF('월 가계부'!C408="","",IF(ISNUMBER('월 가계부'!C408),'월 가계부'!C408,VALUE(SUBSTITUTE(SUBSTITUTE(SUBSTITUTE(SUBSTITUTE(TRIM('월 가계부'!C408),",",""),"원","")," ",""),"−","-")))),"")</f>
        <v/>
      </c>
      <c r="CK408">
        <f>IF(ISNUMBER(CI408),IF(CI408&lt;$B$13,CI408,""),"")</f>
        <v/>
      </c>
      <c r="CM408">
        <f>IF(CH408="","",IFERROR(IF(IF(AND(LEN(CH408)=9,ISERROR(FIND("-",LEFT(CH408,8))),ISNUMBER(-LEFT(CH408,8))),VALUE(LEFT(CH408,4)),VALUE(LEFT(CH408,FIND("-",CH408)-1)))&lt;100,IF(AND(LEN(CH408)=9,ISERROR(FIND("-",LEFT(CH408,8))),ISNUMBER(-LEFT(CH408,8))),VALUE(LEFT(CH408,4)),VALUE(LEFT(CH408,FIND("-",CH408)-1)))+2000,IF(AND(LEN(CH408)=9,ISERROR(FIND("-",LEFT(CH408,8))),ISNUMBER(-LEFT(CH408,8))),VALUE(LEFT(CH408,4)),VALUE(LEFT(CH408,FIND("-",CH408)-1)))),""))</f>
        <v/>
      </c>
      <c r="CN408">
        <f>IF(CH408="","",IFERROR(IF(AND(LEN(CH408)=9,ISERROR(FIND("-",LEFT(CH408,8))),ISNUMBER(-LEFT(CH408,8))),VALUE(MID(CH408,5,2)),VALUE(MID(CH408,FIND("-",CH408)+1,FIND("-",CH408,FIND("-",CH408)+1)-FIND("-",CH408)-1))),""))</f>
        <v/>
      </c>
      <c r="CO408">
        <f>IF(CH408="","",IFERROR(IF(AND(LEN(CH408)=9,ISERROR(FIND("-",LEFT(CH408,8))),ISNUMBER(-LEFT(CH408,8))),VALUE(MID(CH408,7,2)),VALUE(MID(CH408,FIND("-",CH408,FIND("-",CH408)+1)+1,FIND("-",CH408,FIND("-",CH408,FIND("-",CH408)+1)+1)-FIND("-",CH408,FIND("-",CH408)+1)-1))),""))</f>
        <v/>
      </c>
    </row>
    <row r="409">
      <c r="CH409">
        <f>IF(ISTEXT('월 가계부'!A409),SUBSTITUTE(SUBSTITUTE(SUBSTITUTE(SUBSTITUTE(SUBSTITUTE(SUBSTITUTE(SUBSTITUTE(SUBSTITUTE(SUBSTITUTE(TRIM('월 가계부'!A409),"년","-"),"월","-"),"일",""),".","-"),"/","-")," ","-"),"--","-"),"--","-"),"--","-")&amp;"-","")</f>
        <v/>
      </c>
      <c r="CI409">
        <f>IFERROR(IF('월 가계부'!A409="","",IF(ISNUMBER('월 가계부'!A409),IF(AND('월 가계부'!A409&gt;=19000101,'월 가계부'!A409&lt;=21001231),IF(AND(MOD(INT('월 가계부'!A409/100),100)&gt;=1,MOD(INT('월 가계부'!A409/100),100)&lt;=12,MOD(INT('월 가계부'!A409),100)&gt;=1,MOD(INT('월 가계부'!A409),100)&lt;=31),IF(MONTH(DATE(INT('월 가계부'!A409/10000),MOD(INT('월 가계부'!A409/100),100),MOD(INT('월 가계부'!A409),100)))=MOD(INT('월 가계부'!A409/100),100),DATE(INT('월 가계부'!A409/10000),MOD(INT('월 가계부'!A409/100),100),MOD(INT('월 가계부'!A409),100)),""),""),IF(AND('월 가계부'!A409&gt;=36526,'월 가계부'!A409&lt;73051),INT('월 가계부'!A409),"")),IF(OR(CM409="",CN409="",CO409=""),"",IF(AND(CM409&gt;=2000,CM409&lt;=2099,CN409&gt;=1,CN409&lt;=12,CO409&gt;=1,CO409&lt;=31),IF(MONTH(DATE(CM409,CN409,CO409))=CN409,DATE(CM409,CN409,CO409),""),"")))),"")</f>
        <v/>
      </c>
      <c r="CJ409">
        <f>IFERROR(IF('월 가계부'!C409="","",IF(ISNUMBER('월 가계부'!C409),'월 가계부'!C409,VALUE(SUBSTITUTE(SUBSTITUTE(SUBSTITUTE(SUBSTITUTE(TRIM('월 가계부'!C409),",",""),"원","")," ",""),"−","-")))),"")</f>
        <v/>
      </c>
      <c r="CK409">
        <f>IF(ISNUMBER(CI409),IF(CI409&lt;$B$13,CI409,""),"")</f>
        <v/>
      </c>
      <c r="CM409">
        <f>IF(CH409="","",IFERROR(IF(IF(AND(LEN(CH409)=9,ISERROR(FIND("-",LEFT(CH409,8))),ISNUMBER(-LEFT(CH409,8))),VALUE(LEFT(CH409,4)),VALUE(LEFT(CH409,FIND("-",CH409)-1)))&lt;100,IF(AND(LEN(CH409)=9,ISERROR(FIND("-",LEFT(CH409,8))),ISNUMBER(-LEFT(CH409,8))),VALUE(LEFT(CH409,4)),VALUE(LEFT(CH409,FIND("-",CH409)-1)))+2000,IF(AND(LEN(CH409)=9,ISERROR(FIND("-",LEFT(CH409,8))),ISNUMBER(-LEFT(CH409,8))),VALUE(LEFT(CH409,4)),VALUE(LEFT(CH409,FIND("-",CH409)-1)))),""))</f>
        <v/>
      </c>
      <c r="CN409">
        <f>IF(CH409="","",IFERROR(IF(AND(LEN(CH409)=9,ISERROR(FIND("-",LEFT(CH409,8))),ISNUMBER(-LEFT(CH409,8))),VALUE(MID(CH409,5,2)),VALUE(MID(CH409,FIND("-",CH409)+1,FIND("-",CH409,FIND("-",CH409)+1)-FIND("-",CH409)-1))),""))</f>
        <v/>
      </c>
      <c r="CO409">
        <f>IF(CH409="","",IFERROR(IF(AND(LEN(CH409)=9,ISERROR(FIND("-",LEFT(CH409,8))),ISNUMBER(-LEFT(CH409,8))),VALUE(MID(CH409,7,2)),VALUE(MID(CH409,FIND("-",CH409,FIND("-",CH409)+1)+1,FIND("-",CH409,FIND("-",CH409,FIND("-",CH409)+1)+1)-FIND("-",CH409,FIND("-",CH409)+1)-1))),""))</f>
        <v/>
      </c>
    </row>
    <row r="410">
      <c r="CH410">
        <f>IF(ISTEXT('월 가계부'!A410),SUBSTITUTE(SUBSTITUTE(SUBSTITUTE(SUBSTITUTE(SUBSTITUTE(SUBSTITUTE(SUBSTITUTE(SUBSTITUTE(SUBSTITUTE(TRIM('월 가계부'!A410),"년","-"),"월","-"),"일",""),".","-"),"/","-")," ","-"),"--","-"),"--","-"),"--","-")&amp;"-","")</f>
        <v/>
      </c>
      <c r="CI410">
        <f>IFERROR(IF('월 가계부'!A410="","",IF(ISNUMBER('월 가계부'!A410),IF(AND('월 가계부'!A410&gt;=19000101,'월 가계부'!A410&lt;=21001231),IF(AND(MOD(INT('월 가계부'!A410/100),100)&gt;=1,MOD(INT('월 가계부'!A410/100),100)&lt;=12,MOD(INT('월 가계부'!A410),100)&gt;=1,MOD(INT('월 가계부'!A410),100)&lt;=31),IF(MONTH(DATE(INT('월 가계부'!A410/10000),MOD(INT('월 가계부'!A410/100),100),MOD(INT('월 가계부'!A410),100)))=MOD(INT('월 가계부'!A410/100),100),DATE(INT('월 가계부'!A410/10000),MOD(INT('월 가계부'!A410/100),100),MOD(INT('월 가계부'!A410),100)),""),""),IF(AND('월 가계부'!A410&gt;=36526,'월 가계부'!A410&lt;73051),INT('월 가계부'!A410),"")),IF(OR(CM410="",CN410="",CO410=""),"",IF(AND(CM410&gt;=2000,CM410&lt;=2099,CN410&gt;=1,CN410&lt;=12,CO410&gt;=1,CO410&lt;=31),IF(MONTH(DATE(CM410,CN410,CO410))=CN410,DATE(CM410,CN410,CO410),""),"")))),"")</f>
        <v/>
      </c>
      <c r="CJ410">
        <f>IFERROR(IF('월 가계부'!C410="","",IF(ISNUMBER('월 가계부'!C410),'월 가계부'!C410,VALUE(SUBSTITUTE(SUBSTITUTE(SUBSTITUTE(SUBSTITUTE(TRIM('월 가계부'!C410),",",""),"원","")," ",""),"−","-")))),"")</f>
        <v/>
      </c>
      <c r="CK410">
        <f>IF(ISNUMBER(CI410),IF(CI410&lt;$B$13,CI410,""),"")</f>
        <v/>
      </c>
      <c r="CM410">
        <f>IF(CH410="","",IFERROR(IF(IF(AND(LEN(CH410)=9,ISERROR(FIND("-",LEFT(CH410,8))),ISNUMBER(-LEFT(CH410,8))),VALUE(LEFT(CH410,4)),VALUE(LEFT(CH410,FIND("-",CH410)-1)))&lt;100,IF(AND(LEN(CH410)=9,ISERROR(FIND("-",LEFT(CH410,8))),ISNUMBER(-LEFT(CH410,8))),VALUE(LEFT(CH410,4)),VALUE(LEFT(CH410,FIND("-",CH410)-1)))+2000,IF(AND(LEN(CH410)=9,ISERROR(FIND("-",LEFT(CH410,8))),ISNUMBER(-LEFT(CH410,8))),VALUE(LEFT(CH410,4)),VALUE(LEFT(CH410,FIND("-",CH410)-1)))),""))</f>
        <v/>
      </c>
      <c r="CN410">
        <f>IF(CH410="","",IFERROR(IF(AND(LEN(CH410)=9,ISERROR(FIND("-",LEFT(CH410,8))),ISNUMBER(-LEFT(CH410,8))),VALUE(MID(CH410,5,2)),VALUE(MID(CH410,FIND("-",CH410)+1,FIND("-",CH410,FIND("-",CH410)+1)-FIND("-",CH410)-1))),""))</f>
        <v/>
      </c>
      <c r="CO410">
        <f>IF(CH410="","",IFERROR(IF(AND(LEN(CH410)=9,ISERROR(FIND("-",LEFT(CH410,8))),ISNUMBER(-LEFT(CH410,8))),VALUE(MID(CH410,7,2)),VALUE(MID(CH410,FIND("-",CH410,FIND("-",CH410)+1)+1,FIND("-",CH410,FIND("-",CH410,FIND("-",CH410)+1)+1)-FIND("-",CH410,FIND("-",CH410)+1)-1))),""))</f>
        <v/>
      </c>
    </row>
    <row r="411">
      <c r="CH411">
        <f>IF(ISTEXT('월 가계부'!A411),SUBSTITUTE(SUBSTITUTE(SUBSTITUTE(SUBSTITUTE(SUBSTITUTE(SUBSTITUTE(SUBSTITUTE(SUBSTITUTE(SUBSTITUTE(TRIM('월 가계부'!A411),"년","-"),"월","-"),"일",""),".","-"),"/","-")," ","-"),"--","-"),"--","-"),"--","-")&amp;"-","")</f>
        <v/>
      </c>
      <c r="CI411">
        <f>IFERROR(IF('월 가계부'!A411="","",IF(ISNUMBER('월 가계부'!A411),IF(AND('월 가계부'!A411&gt;=19000101,'월 가계부'!A411&lt;=21001231),IF(AND(MOD(INT('월 가계부'!A411/100),100)&gt;=1,MOD(INT('월 가계부'!A411/100),100)&lt;=12,MOD(INT('월 가계부'!A411),100)&gt;=1,MOD(INT('월 가계부'!A411),100)&lt;=31),IF(MONTH(DATE(INT('월 가계부'!A411/10000),MOD(INT('월 가계부'!A411/100),100),MOD(INT('월 가계부'!A411),100)))=MOD(INT('월 가계부'!A411/100),100),DATE(INT('월 가계부'!A411/10000),MOD(INT('월 가계부'!A411/100),100),MOD(INT('월 가계부'!A411),100)),""),""),IF(AND('월 가계부'!A411&gt;=36526,'월 가계부'!A411&lt;73051),INT('월 가계부'!A411),"")),IF(OR(CM411="",CN411="",CO411=""),"",IF(AND(CM411&gt;=2000,CM411&lt;=2099,CN411&gt;=1,CN411&lt;=12,CO411&gt;=1,CO411&lt;=31),IF(MONTH(DATE(CM411,CN411,CO411))=CN411,DATE(CM411,CN411,CO411),""),"")))),"")</f>
        <v/>
      </c>
      <c r="CJ411">
        <f>IFERROR(IF('월 가계부'!C411="","",IF(ISNUMBER('월 가계부'!C411),'월 가계부'!C411,VALUE(SUBSTITUTE(SUBSTITUTE(SUBSTITUTE(SUBSTITUTE(TRIM('월 가계부'!C411),",",""),"원","")," ",""),"−","-")))),"")</f>
        <v/>
      </c>
      <c r="CK411">
        <f>IF(ISNUMBER(CI411),IF(CI411&lt;$B$13,CI411,""),"")</f>
        <v/>
      </c>
      <c r="CM411">
        <f>IF(CH411="","",IFERROR(IF(IF(AND(LEN(CH411)=9,ISERROR(FIND("-",LEFT(CH411,8))),ISNUMBER(-LEFT(CH411,8))),VALUE(LEFT(CH411,4)),VALUE(LEFT(CH411,FIND("-",CH411)-1)))&lt;100,IF(AND(LEN(CH411)=9,ISERROR(FIND("-",LEFT(CH411,8))),ISNUMBER(-LEFT(CH411,8))),VALUE(LEFT(CH411,4)),VALUE(LEFT(CH411,FIND("-",CH411)-1)))+2000,IF(AND(LEN(CH411)=9,ISERROR(FIND("-",LEFT(CH411,8))),ISNUMBER(-LEFT(CH411,8))),VALUE(LEFT(CH411,4)),VALUE(LEFT(CH411,FIND("-",CH411)-1)))),""))</f>
        <v/>
      </c>
      <c r="CN411">
        <f>IF(CH411="","",IFERROR(IF(AND(LEN(CH411)=9,ISERROR(FIND("-",LEFT(CH411,8))),ISNUMBER(-LEFT(CH411,8))),VALUE(MID(CH411,5,2)),VALUE(MID(CH411,FIND("-",CH411)+1,FIND("-",CH411,FIND("-",CH411)+1)-FIND("-",CH411)-1))),""))</f>
        <v/>
      </c>
      <c r="CO411">
        <f>IF(CH411="","",IFERROR(IF(AND(LEN(CH411)=9,ISERROR(FIND("-",LEFT(CH411,8))),ISNUMBER(-LEFT(CH411,8))),VALUE(MID(CH411,7,2)),VALUE(MID(CH411,FIND("-",CH411,FIND("-",CH411)+1)+1,FIND("-",CH411,FIND("-",CH411,FIND("-",CH411)+1)+1)-FIND("-",CH411,FIND("-",CH411)+1)-1))),""))</f>
        <v/>
      </c>
    </row>
    <row r="412">
      <c r="CH412">
        <f>IF(ISTEXT('월 가계부'!A412),SUBSTITUTE(SUBSTITUTE(SUBSTITUTE(SUBSTITUTE(SUBSTITUTE(SUBSTITUTE(SUBSTITUTE(SUBSTITUTE(SUBSTITUTE(TRIM('월 가계부'!A412),"년","-"),"월","-"),"일",""),".","-"),"/","-")," ","-"),"--","-"),"--","-"),"--","-")&amp;"-","")</f>
        <v/>
      </c>
      <c r="CI412">
        <f>IFERROR(IF('월 가계부'!A412="","",IF(ISNUMBER('월 가계부'!A412),IF(AND('월 가계부'!A412&gt;=19000101,'월 가계부'!A412&lt;=21001231),IF(AND(MOD(INT('월 가계부'!A412/100),100)&gt;=1,MOD(INT('월 가계부'!A412/100),100)&lt;=12,MOD(INT('월 가계부'!A412),100)&gt;=1,MOD(INT('월 가계부'!A412),100)&lt;=31),IF(MONTH(DATE(INT('월 가계부'!A412/10000),MOD(INT('월 가계부'!A412/100),100),MOD(INT('월 가계부'!A412),100)))=MOD(INT('월 가계부'!A412/100),100),DATE(INT('월 가계부'!A412/10000),MOD(INT('월 가계부'!A412/100),100),MOD(INT('월 가계부'!A412),100)),""),""),IF(AND('월 가계부'!A412&gt;=36526,'월 가계부'!A412&lt;73051),INT('월 가계부'!A412),"")),IF(OR(CM412="",CN412="",CO412=""),"",IF(AND(CM412&gt;=2000,CM412&lt;=2099,CN412&gt;=1,CN412&lt;=12,CO412&gt;=1,CO412&lt;=31),IF(MONTH(DATE(CM412,CN412,CO412))=CN412,DATE(CM412,CN412,CO412),""),"")))),"")</f>
        <v/>
      </c>
      <c r="CJ412">
        <f>IFERROR(IF('월 가계부'!C412="","",IF(ISNUMBER('월 가계부'!C412),'월 가계부'!C412,VALUE(SUBSTITUTE(SUBSTITUTE(SUBSTITUTE(SUBSTITUTE(TRIM('월 가계부'!C412),",",""),"원","")," ",""),"−","-")))),"")</f>
        <v/>
      </c>
      <c r="CK412">
        <f>IF(ISNUMBER(CI412),IF(CI412&lt;$B$13,CI412,""),"")</f>
        <v/>
      </c>
      <c r="CM412">
        <f>IF(CH412="","",IFERROR(IF(IF(AND(LEN(CH412)=9,ISERROR(FIND("-",LEFT(CH412,8))),ISNUMBER(-LEFT(CH412,8))),VALUE(LEFT(CH412,4)),VALUE(LEFT(CH412,FIND("-",CH412)-1)))&lt;100,IF(AND(LEN(CH412)=9,ISERROR(FIND("-",LEFT(CH412,8))),ISNUMBER(-LEFT(CH412,8))),VALUE(LEFT(CH412,4)),VALUE(LEFT(CH412,FIND("-",CH412)-1)))+2000,IF(AND(LEN(CH412)=9,ISERROR(FIND("-",LEFT(CH412,8))),ISNUMBER(-LEFT(CH412,8))),VALUE(LEFT(CH412,4)),VALUE(LEFT(CH412,FIND("-",CH412)-1)))),""))</f>
        <v/>
      </c>
      <c r="CN412">
        <f>IF(CH412="","",IFERROR(IF(AND(LEN(CH412)=9,ISERROR(FIND("-",LEFT(CH412,8))),ISNUMBER(-LEFT(CH412,8))),VALUE(MID(CH412,5,2)),VALUE(MID(CH412,FIND("-",CH412)+1,FIND("-",CH412,FIND("-",CH412)+1)-FIND("-",CH412)-1))),""))</f>
        <v/>
      </c>
      <c r="CO412">
        <f>IF(CH412="","",IFERROR(IF(AND(LEN(CH412)=9,ISERROR(FIND("-",LEFT(CH412,8))),ISNUMBER(-LEFT(CH412,8))),VALUE(MID(CH412,7,2)),VALUE(MID(CH412,FIND("-",CH412,FIND("-",CH412)+1)+1,FIND("-",CH412,FIND("-",CH412,FIND("-",CH412)+1)+1)-FIND("-",CH412,FIND("-",CH412)+1)-1))),""))</f>
        <v/>
      </c>
    </row>
    <row r="413">
      <c r="CH413">
        <f>IF(ISTEXT('월 가계부'!A413),SUBSTITUTE(SUBSTITUTE(SUBSTITUTE(SUBSTITUTE(SUBSTITUTE(SUBSTITUTE(SUBSTITUTE(SUBSTITUTE(SUBSTITUTE(TRIM('월 가계부'!A413),"년","-"),"월","-"),"일",""),".","-"),"/","-")," ","-"),"--","-"),"--","-"),"--","-")&amp;"-","")</f>
        <v/>
      </c>
      <c r="CI413">
        <f>IFERROR(IF('월 가계부'!A413="","",IF(ISNUMBER('월 가계부'!A413),IF(AND('월 가계부'!A413&gt;=19000101,'월 가계부'!A413&lt;=21001231),IF(AND(MOD(INT('월 가계부'!A413/100),100)&gt;=1,MOD(INT('월 가계부'!A413/100),100)&lt;=12,MOD(INT('월 가계부'!A413),100)&gt;=1,MOD(INT('월 가계부'!A413),100)&lt;=31),IF(MONTH(DATE(INT('월 가계부'!A413/10000),MOD(INT('월 가계부'!A413/100),100),MOD(INT('월 가계부'!A413),100)))=MOD(INT('월 가계부'!A413/100),100),DATE(INT('월 가계부'!A413/10000),MOD(INT('월 가계부'!A413/100),100),MOD(INT('월 가계부'!A413),100)),""),""),IF(AND('월 가계부'!A413&gt;=36526,'월 가계부'!A413&lt;73051),INT('월 가계부'!A413),"")),IF(OR(CM413="",CN413="",CO413=""),"",IF(AND(CM413&gt;=2000,CM413&lt;=2099,CN413&gt;=1,CN413&lt;=12,CO413&gt;=1,CO413&lt;=31),IF(MONTH(DATE(CM413,CN413,CO413))=CN413,DATE(CM413,CN413,CO413),""),"")))),"")</f>
        <v/>
      </c>
      <c r="CJ413">
        <f>IFERROR(IF('월 가계부'!C413="","",IF(ISNUMBER('월 가계부'!C413),'월 가계부'!C413,VALUE(SUBSTITUTE(SUBSTITUTE(SUBSTITUTE(SUBSTITUTE(TRIM('월 가계부'!C413),",",""),"원","")," ",""),"−","-")))),"")</f>
        <v/>
      </c>
      <c r="CK413">
        <f>IF(ISNUMBER(CI413),IF(CI413&lt;$B$13,CI413,""),"")</f>
        <v/>
      </c>
      <c r="CM413">
        <f>IF(CH413="","",IFERROR(IF(IF(AND(LEN(CH413)=9,ISERROR(FIND("-",LEFT(CH413,8))),ISNUMBER(-LEFT(CH413,8))),VALUE(LEFT(CH413,4)),VALUE(LEFT(CH413,FIND("-",CH413)-1)))&lt;100,IF(AND(LEN(CH413)=9,ISERROR(FIND("-",LEFT(CH413,8))),ISNUMBER(-LEFT(CH413,8))),VALUE(LEFT(CH413,4)),VALUE(LEFT(CH413,FIND("-",CH413)-1)))+2000,IF(AND(LEN(CH413)=9,ISERROR(FIND("-",LEFT(CH413,8))),ISNUMBER(-LEFT(CH413,8))),VALUE(LEFT(CH413,4)),VALUE(LEFT(CH413,FIND("-",CH413)-1)))),""))</f>
        <v/>
      </c>
      <c r="CN413">
        <f>IF(CH413="","",IFERROR(IF(AND(LEN(CH413)=9,ISERROR(FIND("-",LEFT(CH413,8))),ISNUMBER(-LEFT(CH413,8))),VALUE(MID(CH413,5,2)),VALUE(MID(CH413,FIND("-",CH413)+1,FIND("-",CH413,FIND("-",CH413)+1)-FIND("-",CH413)-1))),""))</f>
        <v/>
      </c>
      <c r="CO413">
        <f>IF(CH413="","",IFERROR(IF(AND(LEN(CH413)=9,ISERROR(FIND("-",LEFT(CH413,8))),ISNUMBER(-LEFT(CH413,8))),VALUE(MID(CH413,7,2)),VALUE(MID(CH413,FIND("-",CH413,FIND("-",CH413)+1)+1,FIND("-",CH413,FIND("-",CH413,FIND("-",CH413)+1)+1)-FIND("-",CH413,FIND("-",CH413)+1)-1))),""))</f>
        <v/>
      </c>
    </row>
    <row r="414">
      <c r="CH414">
        <f>IF(ISTEXT('월 가계부'!A414),SUBSTITUTE(SUBSTITUTE(SUBSTITUTE(SUBSTITUTE(SUBSTITUTE(SUBSTITUTE(SUBSTITUTE(SUBSTITUTE(SUBSTITUTE(TRIM('월 가계부'!A414),"년","-"),"월","-"),"일",""),".","-"),"/","-")," ","-"),"--","-"),"--","-"),"--","-")&amp;"-","")</f>
        <v/>
      </c>
      <c r="CI414">
        <f>IFERROR(IF('월 가계부'!A414="","",IF(ISNUMBER('월 가계부'!A414),IF(AND('월 가계부'!A414&gt;=19000101,'월 가계부'!A414&lt;=21001231),IF(AND(MOD(INT('월 가계부'!A414/100),100)&gt;=1,MOD(INT('월 가계부'!A414/100),100)&lt;=12,MOD(INT('월 가계부'!A414),100)&gt;=1,MOD(INT('월 가계부'!A414),100)&lt;=31),IF(MONTH(DATE(INT('월 가계부'!A414/10000),MOD(INT('월 가계부'!A414/100),100),MOD(INT('월 가계부'!A414),100)))=MOD(INT('월 가계부'!A414/100),100),DATE(INT('월 가계부'!A414/10000),MOD(INT('월 가계부'!A414/100),100),MOD(INT('월 가계부'!A414),100)),""),""),IF(AND('월 가계부'!A414&gt;=36526,'월 가계부'!A414&lt;73051),INT('월 가계부'!A414),"")),IF(OR(CM414="",CN414="",CO414=""),"",IF(AND(CM414&gt;=2000,CM414&lt;=2099,CN414&gt;=1,CN414&lt;=12,CO414&gt;=1,CO414&lt;=31),IF(MONTH(DATE(CM414,CN414,CO414))=CN414,DATE(CM414,CN414,CO414),""),"")))),"")</f>
        <v/>
      </c>
      <c r="CJ414">
        <f>IFERROR(IF('월 가계부'!C414="","",IF(ISNUMBER('월 가계부'!C414),'월 가계부'!C414,VALUE(SUBSTITUTE(SUBSTITUTE(SUBSTITUTE(SUBSTITUTE(TRIM('월 가계부'!C414),",",""),"원","")," ",""),"−","-")))),"")</f>
        <v/>
      </c>
      <c r="CK414">
        <f>IF(ISNUMBER(CI414),IF(CI414&lt;$B$13,CI414,""),"")</f>
        <v/>
      </c>
      <c r="CM414">
        <f>IF(CH414="","",IFERROR(IF(IF(AND(LEN(CH414)=9,ISERROR(FIND("-",LEFT(CH414,8))),ISNUMBER(-LEFT(CH414,8))),VALUE(LEFT(CH414,4)),VALUE(LEFT(CH414,FIND("-",CH414)-1)))&lt;100,IF(AND(LEN(CH414)=9,ISERROR(FIND("-",LEFT(CH414,8))),ISNUMBER(-LEFT(CH414,8))),VALUE(LEFT(CH414,4)),VALUE(LEFT(CH414,FIND("-",CH414)-1)))+2000,IF(AND(LEN(CH414)=9,ISERROR(FIND("-",LEFT(CH414,8))),ISNUMBER(-LEFT(CH414,8))),VALUE(LEFT(CH414,4)),VALUE(LEFT(CH414,FIND("-",CH414)-1)))),""))</f>
        <v/>
      </c>
      <c r="CN414">
        <f>IF(CH414="","",IFERROR(IF(AND(LEN(CH414)=9,ISERROR(FIND("-",LEFT(CH414,8))),ISNUMBER(-LEFT(CH414,8))),VALUE(MID(CH414,5,2)),VALUE(MID(CH414,FIND("-",CH414)+1,FIND("-",CH414,FIND("-",CH414)+1)-FIND("-",CH414)-1))),""))</f>
        <v/>
      </c>
      <c r="CO414">
        <f>IF(CH414="","",IFERROR(IF(AND(LEN(CH414)=9,ISERROR(FIND("-",LEFT(CH414,8))),ISNUMBER(-LEFT(CH414,8))),VALUE(MID(CH414,7,2)),VALUE(MID(CH414,FIND("-",CH414,FIND("-",CH414)+1)+1,FIND("-",CH414,FIND("-",CH414,FIND("-",CH414)+1)+1)-FIND("-",CH414,FIND("-",CH414)+1)-1))),""))</f>
        <v/>
      </c>
    </row>
    <row r="415">
      <c r="CH415">
        <f>IF(ISTEXT('월 가계부'!A415),SUBSTITUTE(SUBSTITUTE(SUBSTITUTE(SUBSTITUTE(SUBSTITUTE(SUBSTITUTE(SUBSTITUTE(SUBSTITUTE(SUBSTITUTE(TRIM('월 가계부'!A415),"년","-"),"월","-"),"일",""),".","-"),"/","-")," ","-"),"--","-"),"--","-"),"--","-")&amp;"-","")</f>
        <v/>
      </c>
      <c r="CI415">
        <f>IFERROR(IF('월 가계부'!A415="","",IF(ISNUMBER('월 가계부'!A415),IF(AND('월 가계부'!A415&gt;=19000101,'월 가계부'!A415&lt;=21001231),IF(AND(MOD(INT('월 가계부'!A415/100),100)&gt;=1,MOD(INT('월 가계부'!A415/100),100)&lt;=12,MOD(INT('월 가계부'!A415),100)&gt;=1,MOD(INT('월 가계부'!A415),100)&lt;=31),IF(MONTH(DATE(INT('월 가계부'!A415/10000),MOD(INT('월 가계부'!A415/100),100),MOD(INT('월 가계부'!A415),100)))=MOD(INT('월 가계부'!A415/100),100),DATE(INT('월 가계부'!A415/10000),MOD(INT('월 가계부'!A415/100),100),MOD(INT('월 가계부'!A415),100)),""),""),IF(AND('월 가계부'!A415&gt;=36526,'월 가계부'!A415&lt;73051),INT('월 가계부'!A415),"")),IF(OR(CM415="",CN415="",CO415=""),"",IF(AND(CM415&gt;=2000,CM415&lt;=2099,CN415&gt;=1,CN415&lt;=12,CO415&gt;=1,CO415&lt;=31),IF(MONTH(DATE(CM415,CN415,CO415))=CN415,DATE(CM415,CN415,CO415),""),"")))),"")</f>
        <v/>
      </c>
      <c r="CJ415">
        <f>IFERROR(IF('월 가계부'!C415="","",IF(ISNUMBER('월 가계부'!C415),'월 가계부'!C415,VALUE(SUBSTITUTE(SUBSTITUTE(SUBSTITUTE(SUBSTITUTE(TRIM('월 가계부'!C415),",",""),"원","")," ",""),"−","-")))),"")</f>
        <v/>
      </c>
      <c r="CK415">
        <f>IF(ISNUMBER(CI415),IF(CI415&lt;$B$13,CI415,""),"")</f>
        <v/>
      </c>
      <c r="CM415">
        <f>IF(CH415="","",IFERROR(IF(IF(AND(LEN(CH415)=9,ISERROR(FIND("-",LEFT(CH415,8))),ISNUMBER(-LEFT(CH415,8))),VALUE(LEFT(CH415,4)),VALUE(LEFT(CH415,FIND("-",CH415)-1)))&lt;100,IF(AND(LEN(CH415)=9,ISERROR(FIND("-",LEFT(CH415,8))),ISNUMBER(-LEFT(CH415,8))),VALUE(LEFT(CH415,4)),VALUE(LEFT(CH415,FIND("-",CH415)-1)))+2000,IF(AND(LEN(CH415)=9,ISERROR(FIND("-",LEFT(CH415,8))),ISNUMBER(-LEFT(CH415,8))),VALUE(LEFT(CH415,4)),VALUE(LEFT(CH415,FIND("-",CH415)-1)))),""))</f>
        <v/>
      </c>
      <c r="CN415">
        <f>IF(CH415="","",IFERROR(IF(AND(LEN(CH415)=9,ISERROR(FIND("-",LEFT(CH415,8))),ISNUMBER(-LEFT(CH415,8))),VALUE(MID(CH415,5,2)),VALUE(MID(CH415,FIND("-",CH415)+1,FIND("-",CH415,FIND("-",CH415)+1)-FIND("-",CH415)-1))),""))</f>
        <v/>
      </c>
      <c r="CO415">
        <f>IF(CH415="","",IFERROR(IF(AND(LEN(CH415)=9,ISERROR(FIND("-",LEFT(CH415,8))),ISNUMBER(-LEFT(CH415,8))),VALUE(MID(CH415,7,2)),VALUE(MID(CH415,FIND("-",CH415,FIND("-",CH415)+1)+1,FIND("-",CH415,FIND("-",CH415,FIND("-",CH415)+1)+1)-FIND("-",CH415,FIND("-",CH415)+1)-1))),""))</f>
        <v/>
      </c>
    </row>
    <row r="416">
      <c r="CH416">
        <f>IF(ISTEXT('월 가계부'!A416),SUBSTITUTE(SUBSTITUTE(SUBSTITUTE(SUBSTITUTE(SUBSTITUTE(SUBSTITUTE(SUBSTITUTE(SUBSTITUTE(SUBSTITUTE(TRIM('월 가계부'!A416),"년","-"),"월","-"),"일",""),".","-"),"/","-")," ","-"),"--","-"),"--","-"),"--","-")&amp;"-","")</f>
        <v/>
      </c>
      <c r="CI416">
        <f>IFERROR(IF('월 가계부'!A416="","",IF(ISNUMBER('월 가계부'!A416),IF(AND('월 가계부'!A416&gt;=19000101,'월 가계부'!A416&lt;=21001231),IF(AND(MOD(INT('월 가계부'!A416/100),100)&gt;=1,MOD(INT('월 가계부'!A416/100),100)&lt;=12,MOD(INT('월 가계부'!A416),100)&gt;=1,MOD(INT('월 가계부'!A416),100)&lt;=31),IF(MONTH(DATE(INT('월 가계부'!A416/10000),MOD(INT('월 가계부'!A416/100),100),MOD(INT('월 가계부'!A416),100)))=MOD(INT('월 가계부'!A416/100),100),DATE(INT('월 가계부'!A416/10000),MOD(INT('월 가계부'!A416/100),100),MOD(INT('월 가계부'!A416),100)),""),""),IF(AND('월 가계부'!A416&gt;=36526,'월 가계부'!A416&lt;73051),INT('월 가계부'!A416),"")),IF(OR(CM416="",CN416="",CO416=""),"",IF(AND(CM416&gt;=2000,CM416&lt;=2099,CN416&gt;=1,CN416&lt;=12,CO416&gt;=1,CO416&lt;=31),IF(MONTH(DATE(CM416,CN416,CO416))=CN416,DATE(CM416,CN416,CO416),""),"")))),"")</f>
        <v/>
      </c>
      <c r="CJ416">
        <f>IFERROR(IF('월 가계부'!C416="","",IF(ISNUMBER('월 가계부'!C416),'월 가계부'!C416,VALUE(SUBSTITUTE(SUBSTITUTE(SUBSTITUTE(SUBSTITUTE(TRIM('월 가계부'!C416),",",""),"원","")," ",""),"−","-")))),"")</f>
        <v/>
      </c>
      <c r="CK416">
        <f>IF(ISNUMBER(CI416),IF(CI416&lt;$B$13,CI416,""),"")</f>
        <v/>
      </c>
      <c r="CM416">
        <f>IF(CH416="","",IFERROR(IF(IF(AND(LEN(CH416)=9,ISERROR(FIND("-",LEFT(CH416,8))),ISNUMBER(-LEFT(CH416,8))),VALUE(LEFT(CH416,4)),VALUE(LEFT(CH416,FIND("-",CH416)-1)))&lt;100,IF(AND(LEN(CH416)=9,ISERROR(FIND("-",LEFT(CH416,8))),ISNUMBER(-LEFT(CH416,8))),VALUE(LEFT(CH416,4)),VALUE(LEFT(CH416,FIND("-",CH416)-1)))+2000,IF(AND(LEN(CH416)=9,ISERROR(FIND("-",LEFT(CH416,8))),ISNUMBER(-LEFT(CH416,8))),VALUE(LEFT(CH416,4)),VALUE(LEFT(CH416,FIND("-",CH416)-1)))),""))</f>
        <v/>
      </c>
      <c r="CN416">
        <f>IF(CH416="","",IFERROR(IF(AND(LEN(CH416)=9,ISERROR(FIND("-",LEFT(CH416,8))),ISNUMBER(-LEFT(CH416,8))),VALUE(MID(CH416,5,2)),VALUE(MID(CH416,FIND("-",CH416)+1,FIND("-",CH416,FIND("-",CH416)+1)-FIND("-",CH416)-1))),""))</f>
        <v/>
      </c>
      <c r="CO416">
        <f>IF(CH416="","",IFERROR(IF(AND(LEN(CH416)=9,ISERROR(FIND("-",LEFT(CH416,8))),ISNUMBER(-LEFT(CH416,8))),VALUE(MID(CH416,7,2)),VALUE(MID(CH416,FIND("-",CH416,FIND("-",CH416)+1)+1,FIND("-",CH416,FIND("-",CH416,FIND("-",CH416)+1)+1)-FIND("-",CH416,FIND("-",CH416)+1)-1))),""))</f>
        <v/>
      </c>
    </row>
    <row r="417">
      <c r="CH417">
        <f>IF(ISTEXT('월 가계부'!A417),SUBSTITUTE(SUBSTITUTE(SUBSTITUTE(SUBSTITUTE(SUBSTITUTE(SUBSTITUTE(SUBSTITUTE(SUBSTITUTE(SUBSTITUTE(TRIM('월 가계부'!A417),"년","-"),"월","-"),"일",""),".","-"),"/","-")," ","-"),"--","-"),"--","-"),"--","-")&amp;"-","")</f>
        <v/>
      </c>
      <c r="CI417">
        <f>IFERROR(IF('월 가계부'!A417="","",IF(ISNUMBER('월 가계부'!A417),IF(AND('월 가계부'!A417&gt;=19000101,'월 가계부'!A417&lt;=21001231),IF(AND(MOD(INT('월 가계부'!A417/100),100)&gt;=1,MOD(INT('월 가계부'!A417/100),100)&lt;=12,MOD(INT('월 가계부'!A417),100)&gt;=1,MOD(INT('월 가계부'!A417),100)&lt;=31),IF(MONTH(DATE(INT('월 가계부'!A417/10000),MOD(INT('월 가계부'!A417/100),100),MOD(INT('월 가계부'!A417),100)))=MOD(INT('월 가계부'!A417/100),100),DATE(INT('월 가계부'!A417/10000),MOD(INT('월 가계부'!A417/100),100),MOD(INT('월 가계부'!A417),100)),""),""),IF(AND('월 가계부'!A417&gt;=36526,'월 가계부'!A417&lt;73051),INT('월 가계부'!A417),"")),IF(OR(CM417="",CN417="",CO417=""),"",IF(AND(CM417&gt;=2000,CM417&lt;=2099,CN417&gt;=1,CN417&lt;=12,CO417&gt;=1,CO417&lt;=31),IF(MONTH(DATE(CM417,CN417,CO417))=CN417,DATE(CM417,CN417,CO417),""),"")))),"")</f>
        <v/>
      </c>
      <c r="CJ417">
        <f>IFERROR(IF('월 가계부'!C417="","",IF(ISNUMBER('월 가계부'!C417),'월 가계부'!C417,VALUE(SUBSTITUTE(SUBSTITUTE(SUBSTITUTE(SUBSTITUTE(TRIM('월 가계부'!C417),",",""),"원","")," ",""),"−","-")))),"")</f>
        <v/>
      </c>
      <c r="CK417">
        <f>IF(ISNUMBER(CI417),IF(CI417&lt;$B$13,CI417,""),"")</f>
        <v/>
      </c>
      <c r="CM417">
        <f>IF(CH417="","",IFERROR(IF(IF(AND(LEN(CH417)=9,ISERROR(FIND("-",LEFT(CH417,8))),ISNUMBER(-LEFT(CH417,8))),VALUE(LEFT(CH417,4)),VALUE(LEFT(CH417,FIND("-",CH417)-1)))&lt;100,IF(AND(LEN(CH417)=9,ISERROR(FIND("-",LEFT(CH417,8))),ISNUMBER(-LEFT(CH417,8))),VALUE(LEFT(CH417,4)),VALUE(LEFT(CH417,FIND("-",CH417)-1)))+2000,IF(AND(LEN(CH417)=9,ISERROR(FIND("-",LEFT(CH417,8))),ISNUMBER(-LEFT(CH417,8))),VALUE(LEFT(CH417,4)),VALUE(LEFT(CH417,FIND("-",CH417)-1)))),""))</f>
        <v/>
      </c>
      <c r="CN417">
        <f>IF(CH417="","",IFERROR(IF(AND(LEN(CH417)=9,ISERROR(FIND("-",LEFT(CH417,8))),ISNUMBER(-LEFT(CH417,8))),VALUE(MID(CH417,5,2)),VALUE(MID(CH417,FIND("-",CH417)+1,FIND("-",CH417,FIND("-",CH417)+1)-FIND("-",CH417)-1))),""))</f>
        <v/>
      </c>
      <c r="CO417">
        <f>IF(CH417="","",IFERROR(IF(AND(LEN(CH417)=9,ISERROR(FIND("-",LEFT(CH417,8))),ISNUMBER(-LEFT(CH417,8))),VALUE(MID(CH417,7,2)),VALUE(MID(CH417,FIND("-",CH417,FIND("-",CH417)+1)+1,FIND("-",CH417,FIND("-",CH417,FIND("-",CH417)+1)+1)-FIND("-",CH417,FIND("-",CH417)+1)-1))),""))</f>
        <v/>
      </c>
    </row>
    <row r="418">
      <c r="CH418">
        <f>IF(ISTEXT('월 가계부'!A418),SUBSTITUTE(SUBSTITUTE(SUBSTITUTE(SUBSTITUTE(SUBSTITUTE(SUBSTITUTE(SUBSTITUTE(SUBSTITUTE(SUBSTITUTE(TRIM('월 가계부'!A418),"년","-"),"월","-"),"일",""),".","-"),"/","-")," ","-"),"--","-"),"--","-"),"--","-")&amp;"-","")</f>
        <v/>
      </c>
      <c r="CI418">
        <f>IFERROR(IF('월 가계부'!A418="","",IF(ISNUMBER('월 가계부'!A418),IF(AND('월 가계부'!A418&gt;=19000101,'월 가계부'!A418&lt;=21001231),IF(AND(MOD(INT('월 가계부'!A418/100),100)&gt;=1,MOD(INT('월 가계부'!A418/100),100)&lt;=12,MOD(INT('월 가계부'!A418),100)&gt;=1,MOD(INT('월 가계부'!A418),100)&lt;=31),IF(MONTH(DATE(INT('월 가계부'!A418/10000),MOD(INT('월 가계부'!A418/100),100),MOD(INT('월 가계부'!A418),100)))=MOD(INT('월 가계부'!A418/100),100),DATE(INT('월 가계부'!A418/10000),MOD(INT('월 가계부'!A418/100),100),MOD(INT('월 가계부'!A418),100)),""),""),IF(AND('월 가계부'!A418&gt;=36526,'월 가계부'!A418&lt;73051),INT('월 가계부'!A418),"")),IF(OR(CM418="",CN418="",CO418=""),"",IF(AND(CM418&gt;=2000,CM418&lt;=2099,CN418&gt;=1,CN418&lt;=12,CO418&gt;=1,CO418&lt;=31),IF(MONTH(DATE(CM418,CN418,CO418))=CN418,DATE(CM418,CN418,CO418),""),"")))),"")</f>
        <v/>
      </c>
      <c r="CJ418">
        <f>IFERROR(IF('월 가계부'!C418="","",IF(ISNUMBER('월 가계부'!C418),'월 가계부'!C418,VALUE(SUBSTITUTE(SUBSTITUTE(SUBSTITUTE(SUBSTITUTE(TRIM('월 가계부'!C418),",",""),"원","")," ",""),"−","-")))),"")</f>
        <v/>
      </c>
      <c r="CK418">
        <f>IF(ISNUMBER(CI418),IF(CI418&lt;$B$13,CI418,""),"")</f>
        <v/>
      </c>
      <c r="CM418">
        <f>IF(CH418="","",IFERROR(IF(IF(AND(LEN(CH418)=9,ISERROR(FIND("-",LEFT(CH418,8))),ISNUMBER(-LEFT(CH418,8))),VALUE(LEFT(CH418,4)),VALUE(LEFT(CH418,FIND("-",CH418)-1)))&lt;100,IF(AND(LEN(CH418)=9,ISERROR(FIND("-",LEFT(CH418,8))),ISNUMBER(-LEFT(CH418,8))),VALUE(LEFT(CH418,4)),VALUE(LEFT(CH418,FIND("-",CH418)-1)))+2000,IF(AND(LEN(CH418)=9,ISERROR(FIND("-",LEFT(CH418,8))),ISNUMBER(-LEFT(CH418,8))),VALUE(LEFT(CH418,4)),VALUE(LEFT(CH418,FIND("-",CH418)-1)))),""))</f>
        <v/>
      </c>
      <c r="CN418">
        <f>IF(CH418="","",IFERROR(IF(AND(LEN(CH418)=9,ISERROR(FIND("-",LEFT(CH418,8))),ISNUMBER(-LEFT(CH418,8))),VALUE(MID(CH418,5,2)),VALUE(MID(CH418,FIND("-",CH418)+1,FIND("-",CH418,FIND("-",CH418)+1)-FIND("-",CH418)-1))),""))</f>
        <v/>
      </c>
      <c r="CO418">
        <f>IF(CH418="","",IFERROR(IF(AND(LEN(CH418)=9,ISERROR(FIND("-",LEFT(CH418,8))),ISNUMBER(-LEFT(CH418,8))),VALUE(MID(CH418,7,2)),VALUE(MID(CH418,FIND("-",CH418,FIND("-",CH418)+1)+1,FIND("-",CH418,FIND("-",CH418,FIND("-",CH418)+1)+1)-FIND("-",CH418,FIND("-",CH418)+1)-1))),""))</f>
        <v/>
      </c>
    </row>
    <row r="419">
      <c r="CH419">
        <f>IF(ISTEXT('월 가계부'!A419),SUBSTITUTE(SUBSTITUTE(SUBSTITUTE(SUBSTITUTE(SUBSTITUTE(SUBSTITUTE(SUBSTITUTE(SUBSTITUTE(SUBSTITUTE(TRIM('월 가계부'!A419),"년","-"),"월","-"),"일",""),".","-"),"/","-")," ","-"),"--","-"),"--","-"),"--","-")&amp;"-","")</f>
        <v/>
      </c>
      <c r="CI419">
        <f>IFERROR(IF('월 가계부'!A419="","",IF(ISNUMBER('월 가계부'!A419),IF(AND('월 가계부'!A419&gt;=19000101,'월 가계부'!A419&lt;=21001231),IF(AND(MOD(INT('월 가계부'!A419/100),100)&gt;=1,MOD(INT('월 가계부'!A419/100),100)&lt;=12,MOD(INT('월 가계부'!A419),100)&gt;=1,MOD(INT('월 가계부'!A419),100)&lt;=31),IF(MONTH(DATE(INT('월 가계부'!A419/10000),MOD(INT('월 가계부'!A419/100),100),MOD(INT('월 가계부'!A419),100)))=MOD(INT('월 가계부'!A419/100),100),DATE(INT('월 가계부'!A419/10000),MOD(INT('월 가계부'!A419/100),100),MOD(INT('월 가계부'!A419),100)),""),""),IF(AND('월 가계부'!A419&gt;=36526,'월 가계부'!A419&lt;73051),INT('월 가계부'!A419),"")),IF(OR(CM419="",CN419="",CO419=""),"",IF(AND(CM419&gt;=2000,CM419&lt;=2099,CN419&gt;=1,CN419&lt;=12,CO419&gt;=1,CO419&lt;=31),IF(MONTH(DATE(CM419,CN419,CO419))=CN419,DATE(CM419,CN419,CO419),""),"")))),"")</f>
        <v/>
      </c>
      <c r="CJ419">
        <f>IFERROR(IF('월 가계부'!C419="","",IF(ISNUMBER('월 가계부'!C419),'월 가계부'!C419,VALUE(SUBSTITUTE(SUBSTITUTE(SUBSTITUTE(SUBSTITUTE(TRIM('월 가계부'!C419),",",""),"원","")," ",""),"−","-")))),"")</f>
        <v/>
      </c>
      <c r="CK419">
        <f>IF(ISNUMBER(CI419),IF(CI419&lt;$B$13,CI419,""),"")</f>
        <v/>
      </c>
      <c r="CM419">
        <f>IF(CH419="","",IFERROR(IF(IF(AND(LEN(CH419)=9,ISERROR(FIND("-",LEFT(CH419,8))),ISNUMBER(-LEFT(CH419,8))),VALUE(LEFT(CH419,4)),VALUE(LEFT(CH419,FIND("-",CH419)-1)))&lt;100,IF(AND(LEN(CH419)=9,ISERROR(FIND("-",LEFT(CH419,8))),ISNUMBER(-LEFT(CH419,8))),VALUE(LEFT(CH419,4)),VALUE(LEFT(CH419,FIND("-",CH419)-1)))+2000,IF(AND(LEN(CH419)=9,ISERROR(FIND("-",LEFT(CH419,8))),ISNUMBER(-LEFT(CH419,8))),VALUE(LEFT(CH419,4)),VALUE(LEFT(CH419,FIND("-",CH419)-1)))),""))</f>
        <v/>
      </c>
      <c r="CN419">
        <f>IF(CH419="","",IFERROR(IF(AND(LEN(CH419)=9,ISERROR(FIND("-",LEFT(CH419,8))),ISNUMBER(-LEFT(CH419,8))),VALUE(MID(CH419,5,2)),VALUE(MID(CH419,FIND("-",CH419)+1,FIND("-",CH419,FIND("-",CH419)+1)-FIND("-",CH419)-1))),""))</f>
        <v/>
      </c>
      <c r="CO419">
        <f>IF(CH419="","",IFERROR(IF(AND(LEN(CH419)=9,ISERROR(FIND("-",LEFT(CH419,8))),ISNUMBER(-LEFT(CH419,8))),VALUE(MID(CH419,7,2)),VALUE(MID(CH419,FIND("-",CH419,FIND("-",CH419)+1)+1,FIND("-",CH419,FIND("-",CH419,FIND("-",CH419)+1)+1)-FIND("-",CH419,FIND("-",CH419)+1)-1))),""))</f>
        <v/>
      </c>
    </row>
    <row r="420">
      <c r="CH420">
        <f>IF(ISTEXT('월 가계부'!A420),SUBSTITUTE(SUBSTITUTE(SUBSTITUTE(SUBSTITUTE(SUBSTITUTE(SUBSTITUTE(SUBSTITUTE(SUBSTITUTE(SUBSTITUTE(TRIM('월 가계부'!A420),"년","-"),"월","-"),"일",""),".","-"),"/","-")," ","-"),"--","-"),"--","-"),"--","-")&amp;"-","")</f>
        <v/>
      </c>
      <c r="CI420">
        <f>IFERROR(IF('월 가계부'!A420="","",IF(ISNUMBER('월 가계부'!A420),IF(AND('월 가계부'!A420&gt;=19000101,'월 가계부'!A420&lt;=21001231),IF(AND(MOD(INT('월 가계부'!A420/100),100)&gt;=1,MOD(INT('월 가계부'!A420/100),100)&lt;=12,MOD(INT('월 가계부'!A420),100)&gt;=1,MOD(INT('월 가계부'!A420),100)&lt;=31),IF(MONTH(DATE(INT('월 가계부'!A420/10000),MOD(INT('월 가계부'!A420/100),100),MOD(INT('월 가계부'!A420),100)))=MOD(INT('월 가계부'!A420/100),100),DATE(INT('월 가계부'!A420/10000),MOD(INT('월 가계부'!A420/100),100),MOD(INT('월 가계부'!A420),100)),""),""),IF(AND('월 가계부'!A420&gt;=36526,'월 가계부'!A420&lt;73051),INT('월 가계부'!A420),"")),IF(OR(CM420="",CN420="",CO420=""),"",IF(AND(CM420&gt;=2000,CM420&lt;=2099,CN420&gt;=1,CN420&lt;=12,CO420&gt;=1,CO420&lt;=31),IF(MONTH(DATE(CM420,CN420,CO420))=CN420,DATE(CM420,CN420,CO420),""),"")))),"")</f>
        <v/>
      </c>
      <c r="CJ420">
        <f>IFERROR(IF('월 가계부'!C420="","",IF(ISNUMBER('월 가계부'!C420),'월 가계부'!C420,VALUE(SUBSTITUTE(SUBSTITUTE(SUBSTITUTE(SUBSTITUTE(TRIM('월 가계부'!C420),",",""),"원","")," ",""),"−","-")))),"")</f>
        <v/>
      </c>
      <c r="CK420">
        <f>IF(ISNUMBER(CI420),IF(CI420&lt;$B$13,CI420,""),"")</f>
        <v/>
      </c>
      <c r="CM420">
        <f>IF(CH420="","",IFERROR(IF(IF(AND(LEN(CH420)=9,ISERROR(FIND("-",LEFT(CH420,8))),ISNUMBER(-LEFT(CH420,8))),VALUE(LEFT(CH420,4)),VALUE(LEFT(CH420,FIND("-",CH420)-1)))&lt;100,IF(AND(LEN(CH420)=9,ISERROR(FIND("-",LEFT(CH420,8))),ISNUMBER(-LEFT(CH420,8))),VALUE(LEFT(CH420,4)),VALUE(LEFT(CH420,FIND("-",CH420)-1)))+2000,IF(AND(LEN(CH420)=9,ISERROR(FIND("-",LEFT(CH420,8))),ISNUMBER(-LEFT(CH420,8))),VALUE(LEFT(CH420,4)),VALUE(LEFT(CH420,FIND("-",CH420)-1)))),""))</f>
        <v/>
      </c>
      <c r="CN420">
        <f>IF(CH420="","",IFERROR(IF(AND(LEN(CH420)=9,ISERROR(FIND("-",LEFT(CH420,8))),ISNUMBER(-LEFT(CH420,8))),VALUE(MID(CH420,5,2)),VALUE(MID(CH420,FIND("-",CH420)+1,FIND("-",CH420,FIND("-",CH420)+1)-FIND("-",CH420)-1))),""))</f>
        <v/>
      </c>
      <c r="CO420">
        <f>IF(CH420="","",IFERROR(IF(AND(LEN(CH420)=9,ISERROR(FIND("-",LEFT(CH420,8))),ISNUMBER(-LEFT(CH420,8))),VALUE(MID(CH420,7,2)),VALUE(MID(CH420,FIND("-",CH420,FIND("-",CH420)+1)+1,FIND("-",CH420,FIND("-",CH420,FIND("-",CH420)+1)+1)-FIND("-",CH420,FIND("-",CH420)+1)-1))),""))</f>
        <v/>
      </c>
    </row>
    <row r="421">
      <c r="CH421">
        <f>IF(ISTEXT('월 가계부'!A421),SUBSTITUTE(SUBSTITUTE(SUBSTITUTE(SUBSTITUTE(SUBSTITUTE(SUBSTITUTE(SUBSTITUTE(SUBSTITUTE(SUBSTITUTE(TRIM('월 가계부'!A421),"년","-"),"월","-"),"일",""),".","-"),"/","-")," ","-"),"--","-"),"--","-"),"--","-")&amp;"-","")</f>
        <v/>
      </c>
      <c r="CI421">
        <f>IFERROR(IF('월 가계부'!A421="","",IF(ISNUMBER('월 가계부'!A421),IF(AND('월 가계부'!A421&gt;=19000101,'월 가계부'!A421&lt;=21001231),IF(AND(MOD(INT('월 가계부'!A421/100),100)&gt;=1,MOD(INT('월 가계부'!A421/100),100)&lt;=12,MOD(INT('월 가계부'!A421),100)&gt;=1,MOD(INT('월 가계부'!A421),100)&lt;=31),IF(MONTH(DATE(INT('월 가계부'!A421/10000),MOD(INT('월 가계부'!A421/100),100),MOD(INT('월 가계부'!A421),100)))=MOD(INT('월 가계부'!A421/100),100),DATE(INT('월 가계부'!A421/10000),MOD(INT('월 가계부'!A421/100),100),MOD(INT('월 가계부'!A421),100)),""),""),IF(AND('월 가계부'!A421&gt;=36526,'월 가계부'!A421&lt;73051),INT('월 가계부'!A421),"")),IF(OR(CM421="",CN421="",CO421=""),"",IF(AND(CM421&gt;=2000,CM421&lt;=2099,CN421&gt;=1,CN421&lt;=12,CO421&gt;=1,CO421&lt;=31),IF(MONTH(DATE(CM421,CN421,CO421))=CN421,DATE(CM421,CN421,CO421),""),"")))),"")</f>
        <v/>
      </c>
      <c r="CJ421">
        <f>IFERROR(IF('월 가계부'!C421="","",IF(ISNUMBER('월 가계부'!C421),'월 가계부'!C421,VALUE(SUBSTITUTE(SUBSTITUTE(SUBSTITUTE(SUBSTITUTE(TRIM('월 가계부'!C421),",",""),"원","")," ",""),"−","-")))),"")</f>
        <v/>
      </c>
      <c r="CK421">
        <f>IF(ISNUMBER(CI421),IF(CI421&lt;$B$13,CI421,""),"")</f>
        <v/>
      </c>
      <c r="CM421">
        <f>IF(CH421="","",IFERROR(IF(IF(AND(LEN(CH421)=9,ISERROR(FIND("-",LEFT(CH421,8))),ISNUMBER(-LEFT(CH421,8))),VALUE(LEFT(CH421,4)),VALUE(LEFT(CH421,FIND("-",CH421)-1)))&lt;100,IF(AND(LEN(CH421)=9,ISERROR(FIND("-",LEFT(CH421,8))),ISNUMBER(-LEFT(CH421,8))),VALUE(LEFT(CH421,4)),VALUE(LEFT(CH421,FIND("-",CH421)-1)))+2000,IF(AND(LEN(CH421)=9,ISERROR(FIND("-",LEFT(CH421,8))),ISNUMBER(-LEFT(CH421,8))),VALUE(LEFT(CH421,4)),VALUE(LEFT(CH421,FIND("-",CH421)-1)))),""))</f>
        <v/>
      </c>
      <c r="CN421">
        <f>IF(CH421="","",IFERROR(IF(AND(LEN(CH421)=9,ISERROR(FIND("-",LEFT(CH421,8))),ISNUMBER(-LEFT(CH421,8))),VALUE(MID(CH421,5,2)),VALUE(MID(CH421,FIND("-",CH421)+1,FIND("-",CH421,FIND("-",CH421)+1)-FIND("-",CH421)-1))),""))</f>
        <v/>
      </c>
      <c r="CO421">
        <f>IF(CH421="","",IFERROR(IF(AND(LEN(CH421)=9,ISERROR(FIND("-",LEFT(CH421,8))),ISNUMBER(-LEFT(CH421,8))),VALUE(MID(CH421,7,2)),VALUE(MID(CH421,FIND("-",CH421,FIND("-",CH421)+1)+1,FIND("-",CH421,FIND("-",CH421,FIND("-",CH421)+1)+1)-FIND("-",CH421,FIND("-",CH421)+1)-1))),""))</f>
        <v/>
      </c>
    </row>
    <row r="422">
      <c r="CH422">
        <f>IF(ISTEXT('월 가계부'!A422),SUBSTITUTE(SUBSTITUTE(SUBSTITUTE(SUBSTITUTE(SUBSTITUTE(SUBSTITUTE(SUBSTITUTE(SUBSTITUTE(SUBSTITUTE(TRIM('월 가계부'!A422),"년","-"),"월","-"),"일",""),".","-"),"/","-")," ","-"),"--","-"),"--","-"),"--","-")&amp;"-","")</f>
        <v/>
      </c>
      <c r="CI422">
        <f>IFERROR(IF('월 가계부'!A422="","",IF(ISNUMBER('월 가계부'!A422),IF(AND('월 가계부'!A422&gt;=19000101,'월 가계부'!A422&lt;=21001231),IF(AND(MOD(INT('월 가계부'!A422/100),100)&gt;=1,MOD(INT('월 가계부'!A422/100),100)&lt;=12,MOD(INT('월 가계부'!A422),100)&gt;=1,MOD(INT('월 가계부'!A422),100)&lt;=31),IF(MONTH(DATE(INT('월 가계부'!A422/10000),MOD(INT('월 가계부'!A422/100),100),MOD(INT('월 가계부'!A422),100)))=MOD(INT('월 가계부'!A422/100),100),DATE(INT('월 가계부'!A422/10000),MOD(INT('월 가계부'!A422/100),100),MOD(INT('월 가계부'!A422),100)),""),""),IF(AND('월 가계부'!A422&gt;=36526,'월 가계부'!A422&lt;73051),INT('월 가계부'!A422),"")),IF(OR(CM422="",CN422="",CO422=""),"",IF(AND(CM422&gt;=2000,CM422&lt;=2099,CN422&gt;=1,CN422&lt;=12,CO422&gt;=1,CO422&lt;=31),IF(MONTH(DATE(CM422,CN422,CO422))=CN422,DATE(CM422,CN422,CO422),""),"")))),"")</f>
        <v/>
      </c>
      <c r="CJ422">
        <f>IFERROR(IF('월 가계부'!C422="","",IF(ISNUMBER('월 가계부'!C422),'월 가계부'!C422,VALUE(SUBSTITUTE(SUBSTITUTE(SUBSTITUTE(SUBSTITUTE(TRIM('월 가계부'!C422),",",""),"원","")," ",""),"−","-")))),"")</f>
        <v/>
      </c>
      <c r="CK422">
        <f>IF(ISNUMBER(CI422),IF(CI422&lt;$B$13,CI422,""),"")</f>
        <v/>
      </c>
      <c r="CM422">
        <f>IF(CH422="","",IFERROR(IF(IF(AND(LEN(CH422)=9,ISERROR(FIND("-",LEFT(CH422,8))),ISNUMBER(-LEFT(CH422,8))),VALUE(LEFT(CH422,4)),VALUE(LEFT(CH422,FIND("-",CH422)-1)))&lt;100,IF(AND(LEN(CH422)=9,ISERROR(FIND("-",LEFT(CH422,8))),ISNUMBER(-LEFT(CH422,8))),VALUE(LEFT(CH422,4)),VALUE(LEFT(CH422,FIND("-",CH422)-1)))+2000,IF(AND(LEN(CH422)=9,ISERROR(FIND("-",LEFT(CH422,8))),ISNUMBER(-LEFT(CH422,8))),VALUE(LEFT(CH422,4)),VALUE(LEFT(CH422,FIND("-",CH422)-1)))),""))</f>
        <v/>
      </c>
      <c r="CN422">
        <f>IF(CH422="","",IFERROR(IF(AND(LEN(CH422)=9,ISERROR(FIND("-",LEFT(CH422,8))),ISNUMBER(-LEFT(CH422,8))),VALUE(MID(CH422,5,2)),VALUE(MID(CH422,FIND("-",CH422)+1,FIND("-",CH422,FIND("-",CH422)+1)-FIND("-",CH422)-1))),""))</f>
        <v/>
      </c>
      <c r="CO422">
        <f>IF(CH422="","",IFERROR(IF(AND(LEN(CH422)=9,ISERROR(FIND("-",LEFT(CH422,8))),ISNUMBER(-LEFT(CH422,8))),VALUE(MID(CH422,7,2)),VALUE(MID(CH422,FIND("-",CH422,FIND("-",CH422)+1)+1,FIND("-",CH422,FIND("-",CH422,FIND("-",CH422)+1)+1)-FIND("-",CH422,FIND("-",CH422)+1)-1))),""))</f>
        <v/>
      </c>
    </row>
    <row r="423">
      <c r="CH423">
        <f>IF(ISTEXT('월 가계부'!A423),SUBSTITUTE(SUBSTITUTE(SUBSTITUTE(SUBSTITUTE(SUBSTITUTE(SUBSTITUTE(SUBSTITUTE(SUBSTITUTE(SUBSTITUTE(TRIM('월 가계부'!A423),"년","-"),"월","-"),"일",""),".","-"),"/","-")," ","-"),"--","-"),"--","-"),"--","-")&amp;"-","")</f>
        <v/>
      </c>
      <c r="CI423">
        <f>IFERROR(IF('월 가계부'!A423="","",IF(ISNUMBER('월 가계부'!A423),IF(AND('월 가계부'!A423&gt;=19000101,'월 가계부'!A423&lt;=21001231),IF(AND(MOD(INT('월 가계부'!A423/100),100)&gt;=1,MOD(INT('월 가계부'!A423/100),100)&lt;=12,MOD(INT('월 가계부'!A423),100)&gt;=1,MOD(INT('월 가계부'!A423),100)&lt;=31),IF(MONTH(DATE(INT('월 가계부'!A423/10000),MOD(INT('월 가계부'!A423/100),100),MOD(INT('월 가계부'!A423),100)))=MOD(INT('월 가계부'!A423/100),100),DATE(INT('월 가계부'!A423/10000),MOD(INT('월 가계부'!A423/100),100),MOD(INT('월 가계부'!A423),100)),""),""),IF(AND('월 가계부'!A423&gt;=36526,'월 가계부'!A423&lt;73051),INT('월 가계부'!A423),"")),IF(OR(CM423="",CN423="",CO423=""),"",IF(AND(CM423&gt;=2000,CM423&lt;=2099,CN423&gt;=1,CN423&lt;=12,CO423&gt;=1,CO423&lt;=31),IF(MONTH(DATE(CM423,CN423,CO423))=CN423,DATE(CM423,CN423,CO423),""),"")))),"")</f>
        <v/>
      </c>
      <c r="CJ423">
        <f>IFERROR(IF('월 가계부'!C423="","",IF(ISNUMBER('월 가계부'!C423),'월 가계부'!C423,VALUE(SUBSTITUTE(SUBSTITUTE(SUBSTITUTE(SUBSTITUTE(TRIM('월 가계부'!C423),",",""),"원","")," ",""),"−","-")))),"")</f>
        <v/>
      </c>
      <c r="CK423">
        <f>IF(ISNUMBER(CI423),IF(CI423&lt;$B$13,CI423,""),"")</f>
        <v/>
      </c>
      <c r="CM423">
        <f>IF(CH423="","",IFERROR(IF(IF(AND(LEN(CH423)=9,ISERROR(FIND("-",LEFT(CH423,8))),ISNUMBER(-LEFT(CH423,8))),VALUE(LEFT(CH423,4)),VALUE(LEFT(CH423,FIND("-",CH423)-1)))&lt;100,IF(AND(LEN(CH423)=9,ISERROR(FIND("-",LEFT(CH423,8))),ISNUMBER(-LEFT(CH423,8))),VALUE(LEFT(CH423,4)),VALUE(LEFT(CH423,FIND("-",CH423)-1)))+2000,IF(AND(LEN(CH423)=9,ISERROR(FIND("-",LEFT(CH423,8))),ISNUMBER(-LEFT(CH423,8))),VALUE(LEFT(CH423,4)),VALUE(LEFT(CH423,FIND("-",CH423)-1)))),""))</f>
        <v/>
      </c>
      <c r="CN423">
        <f>IF(CH423="","",IFERROR(IF(AND(LEN(CH423)=9,ISERROR(FIND("-",LEFT(CH423,8))),ISNUMBER(-LEFT(CH423,8))),VALUE(MID(CH423,5,2)),VALUE(MID(CH423,FIND("-",CH423)+1,FIND("-",CH423,FIND("-",CH423)+1)-FIND("-",CH423)-1))),""))</f>
        <v/>
      </c>
      <c r="CO423">
        <f>IF(CH423="","",IFERROR(IF(AND(LEN(CH423)=9,ISERROR(FIND("-",LEFT(CH423,8))),ISNUMBER(-LEFT(CH423,8))),VALUE(MID(CH423,7,2)),VALUE(MID(CH423,FIND("-",CH423,FIND("-",CH423)+1)+1,FIND("-",CH423,FIND("-",CH423,FIND("-",CH423)+1)+1)-FIND("-",CH423,FIND("-",CH423)+1)-1))),""))</f>
        <v/>
      </c>
    </row>
    <row r="424">
      <c r="CH424">
        <f>IF(ISTEXT('월 가계부'!A424),SUBSTITUTE(SUBSTITUTE(SUBSTITUTE(SUBSTITUTE(SUBSTITUTE(SUBSTITUTE(SUBSTITUTE(SUBSTITUTE(SUBSTITUTE(TRIM('월 가계부'!A424),"년","-"),"월","-"),"일",""),".","-"),"/","-")," ","-"),"--","-"),"--","-"),"--","-")&amp;"-","")</f>
        <v/>
      </c>
      <c r="CI424">
        <f>IFERROR(IF('월 가계부'!A424="","",IF(ISNUMBER('월 가계부'!A424),IF(AND('월 가계부'!A424&gt;=19000101,'월 가계부'!A424&lt;=21001231),IF(AND(MOD(INT('월 가계부'!A424/100),100)&gt;=1,MOD(INT('월 가계부'!A424/100),100)&lt;=12,MOD(INT('월 가계부'!A424),100)&gt;=1,MOD(INT('월 가계부'!A424),100)&lt;=31),IF(MONTH(DATE(INT('월 가계부'!A424/10000),MOD(INT('월 가계부'!A424/100),100),MOD(INT('월 가계부'!A424),100)))=MOD(INT('월 가계부'!A424/100),100),DATE(INT('월 가계부'!A424/10000),MOD(INT('월 가계부'!A424/100),100),MOD(INT('월 가계부'!A424),100)),""),""),IF(AND('월 가계부'!A424&gt;=36526,'월 가계부'!A424&lt;73051),INT('월 가계부'!A424),"")),IF(OR(CM424="",CN424="",CO424=""),"",IF(AND(CM424&gt;=2000,CM424&lt;=2099,CN424&gt;=1,CN424&lt;=12,CO424&gt;=1,CO424&lt;=31),IF(MONTH(DATE(CM424,CN424,CO424))=CN424,DATE(CM424,CN424,CO424),""),"")))),"")</f>
        <v/>
      </c>
      <c r="CJ424">
        <f>IFERROR(IF('월 가계부'!C424="","",IF(ISNUMBER('월 가계부'!C424),'월 가계부'!C424,VALUE(SUBSTITUTE(SUBSTITUTE(SUBSTITUTE(SUBSTITUTE(TRIM('월 가계부'!C424),",",""),"원","")," ",""),"−","-")))),"")</f>
        <v/>
      </c>
      <c r="CK424">
        <f>IF(ISNUMBER(CI424),IF(CI424&lt;$B$13,CI424,""),"")</f>
        <v/>
      </c>
      <c r="CM424">
        <f>IF(CH424="","",IFERROR(IF(IF(AND(LEN(CH424)=9,ISERROR(FIND("-",LEFT(CH424,8))),ISNUMBER(-LEFT(CH424,8))),VALUE(LEFT(CH424,4)),VALUE(LEFT(CH424,FIND("-",CH424)-1)))&lt;100,IF(AND(LEN(CH424)=9,ISERROR(FIND("-",LEFT(CH424,8))),ISNUMBER(-LEFT(CH424,8))),VALUE(LEFT(CH424,4)),VALUE(LEFT(CH424,FIND("-",CH424)-1)))+2000,IF(AND(LEN(CH424)=9,ISERROR(FIND("-",LEFT(CH424,8))),ISNUMBER(-LEFT(CH424,8))),VALUE(LEFT(CH424,4)),VALUE(LEFT(CH424,FIND("-",CH424)-1)))),""))</f>
        <v/>
      </c>
      <c r="CN424">
        <f>IF(CH424="","",IFERROR(IF(AND(LEN(CH424)=9,ISERROR(FIND("-",LEFT(CH424,8))),ISNUMBER(-LEFT(CH424,8))),VALUE(MID(CH424,5,2)),VALUE(MID(CH424,FIND("-",CH424)+1,FIND("-",CH424,FIND("-",CH424)+1)-FIND("-",CH424)-1))),""))</f>
        <v/>
      </c>
      <c r="CO424">
        <f>IF(CH424="","",IFERROR(IF(AND(LEN(CH424)=9,ISERROR(FIND("-",LEFT(CH424,8))),ISNUMBER(-LEFT(CH424,8))),VALUE(MID(CH424,7,2)),VALUE(MID(CH424,FIND("-",CH424,FIND("-",CH424)+1)+1,FIND("-",CH424,FIND("-",CH424,FIND("-",CH424)+1)+1)-FIND("-",CH424,FIND("-",CH424)+1)-1))),""))</f>
        <v/>
      </c>
    </row>
    <row r="425">
      <c r="CH425">
        <f>IF(ISTEXT('월 가계부'!A425),SUBSTITUTE(SUBSTITUTE(SUBSTITUTE(SUBSTITUTE(SUBSTITUTE(SUBSTITUTE(SUBSTITUTE(SUBSTITUTE(SUBSTITUTE(TRIM('월 가계부'!A425),"년","-"),"월","-"),"일",""),".","-"),"/","-")," ","-"),"--","-"),"--","-"),"--","-")&amp;"-","")</f>
        <v/>
      </c>
      <c r="CI425">
        <f>IFERROR(IF('월 가계부'!A425="","",IF(ISNUMBER('월 가계부'!A425),IF(AND('월 가계부'!A425&gt;=19000101,'월 가계부'!A425&lt;=21001231),IF(AND(MOD(INT('월 가계부'!A425/100),100)&gt;=1,MOD(INT('월 가계부'!A425/100),100)&lt;=12,MOD(INT('월 가계부'!A425),100)&gt;=1,MOD(INT('월 가계부'!A425),100)&lt;=31),IF(MONTH(DATE(INT('월 가계부'!A425/10000),MOD(INT('월 가계부'!A425/100),100),MOD(INT('월 가계부'!A425),100)))=MOD(INT('월 가계부'!A425/100),100),DATE(INT('월 가계부'!A425/10000),MOD(INT('월 가계부'!A425/100),100),MOD(INT('월 가계부'!A425),100)),""),""),IF(AND('월 가계부'!A425&gt;=36526,'월 가계부'!A425&lt;73051),INT('월 가계부'!A425),"")),IF(OR(CM425="",CN425="",CO425=""),"",IF(AND(CM425&gt;=2000,CM425&lt;=2099,CN425&gt;=1,CN425&lt;=12,CO425&gt;=1,CO425&lt;=31),IF(MONTH(DATE(CM425,CN425,CO425))=CN425,DATE(CM425,CN425,CO425),""),"")))),"")</f>
        <v/>
      </c>
      <c r="CJ425">
        <f>IFERROR(IF('월 가계부'!C425="","",IF(ISNUMBER('월 가계부'!C425),'월 가계부'!C425,VALUE(SUBSTITUTE(SUBSTITUTE(SUBSTITUTE(SUBSTITUTE(TRIM('월 가계부'!C425),",",""),"원","")," ",""),"−","-")))),"")</f>
        <v/>
      </c>
      <c r="CK425">
        <f>IF(ISNUMBER(CI425),IF(CI425&lt;$B$13,CI425,""),"")</f>
        <v/>
      </c>
      <c r="CM425">
        <f>IF(CH425="","",IFERROR(IF(IF(AND(LEN(CH425)=9,ISERROR(FIND("-",LEFT(CH425,8))),ISNUMBER(-LEFT(CH425,8))),VALUE(LEFT(CH425,4)),VALUE(LEFT(CH425,FIND("-",CH425)-1)))&lt;100,IF(AND(LEN(CH425)=9,ISERROR(FIND("-",LEFT(CH425,8))),ISNUMBER(-LEFT(CH425,8))),VALUE(LEFT(CH425,4)),VALUE(LEFT(CH425,FIND("-",CH425)-1)))+2000,IF(AND(LEN(CH425)=9,ISERROR(FIND("-",LEFT(CH425,8))),ISNUMBER(-LEFT(CH425,8))),VALUE(LEFT(CH425,4)),VALUE(LEFT(CH425,FIND("-",CH425)-1)))),""))</f>
        <v/>
      </c>
      <c r="CN425">
        <f>IF(CH425="","",IFERROR(IF(AND(LEN(CH425)=9,ISERROR(FIND("-",LEFT(CH425,8))),ISNUMBER(-LEFT(CH425,8))),VALUE(MID(CH425,5,2)),VALUE(MID(CH425,FIND("-",CH425)+1,FIND("-",CH425,FIND("-",CH425)+1)-FIND("-",CH425)-1))),""))</f>
        <v/>
      </c>
      <c r="CO425">
        <f>IF(CH425="","",IFERROR(IF(AND(LEN(CH425)=9,ISERROR(FIND("-",LEFT(CH425,8))),ISNUMBER(-LEFT(CH425,8))),VALUE(MID(CH425,7,2)),VALUE(MID(CH425,FIND("-",CH425,FIND("-",CH425)+1)+1,FIND("-",CH425,FIND("-",CH425,FIND("-",CH425)+1)+1)-FIND("-",CH425,FIND("-",CH425)+1)-1))),""))</f>
        <v/>
      </c>
    </row>
    <row r="426">
      <c r="CH426">
        <f>IF(ISTEXT('월 가계부'!A426),SUBSTITUTE(SUBSTITUTE(SUBSTITUTE(SUBSTITUTE(SUBSTITUTE(SUBSTITUTE(SUBSTITUTE(SUBSTITUTE(SUBSTITUTE(TRIM('월 가계부'!A426),"년","-"),"월","-"),"일",""),".","-"),"/","-")," ","-"),"--","-"),"--","-"),"--","-")&amp;"-","")</f>
        <v/>
      </c>
      <c r="CI426">
        <f>IFERROR(IF('월 가계부'!A426="","",IF(ISNUMBER('월 가계부'!A426),IF(AND('월 가계부'!A426&gt;=19000101,'월 가계부'!A426&lt;=21001231),IF(AND(MOD(INT('월 가계부'!A426/100),100)&gt;=1,MOD(INT('월 가계부'!A426/100),100)&lt;=12,MOD(INT('월 가계부'!A426),100)&gt;=1,MOD(INT('월 가계부'!A426),100)&lt;=31),IF(MONTH(DATE(INT('월 가계부'!A426/10000),MOD(INT('월 가계부'!A426/100),100),MOD(INT('월 가계부'!A426),100)))=MOD(INT('월 가계부'!A426/100),100),DATE(INT('월 가계부'!A426/10000),MOD(INT('월 가계부'!A426/100),100),MOD(INT('월 가계부'!A426),100)),""),""),IF(AND('월 가계부'!A426&gt;=36526,'월 가계부'!A426&lt;73051),INT('월 가계부'!A426),"")),IF(OR(CM426="",CN426="",CO426=""),"",IF(AND(CM426&gt;=2000,CM426&lt;=2099,CN426&gt;=1,CN426&lt;=12,CO426&gt;=1,CO426&lt;=31),IF(MONTH(DATE(CM426,CN426,CO426))=CN426,DATE(CM426,CN426,CO426),""),"")))),"")</f>
        <v/>
      </c>
      <c r="CJ426">
        <f>IFERROR(IF('월 가계부'!C426="","",IF(ISNUMBER('월 가계부'!C426),'월 가계부'!C426,VALUE(SUBSTITUTE(SUBSTITUTE(SUBSTITUTE(SUBSTITUTE(TRIM('월 가계부'!C426),",",""),"원","")," ",""),"−","-")))),"")</f>
        <v/>
      </c>
      <c r="CK426">
        <f>IF(ISNUMBER(CI426),IF(CI426&lt;$B$13,CI426,""),"")</f>
        <v/>
      </c>
      <c r="CM426">
        <f>IF(CH426="","",IFERROR(IF(IF(AND(LEN(CH426)=9,ISERROR(FIND("-",LEFT(CH426,8))),ISNUMBER(-LEFT(CH426,8))),VALUE(LEFT(CH426,4)),VALUE(LEFT(CH426,FIND("-",CH426)-1)))&lt;100,IF(AND(LEN(CH426)=9,ISERROR(FIND("-",LEFT(CH426,8))),ISNUMBER(-LEFT(CH426,8))),VALUE(LEFT(CH426,4)),VALUE(LEFT(CH426,FIND("-",CH426)-1)))+2000,IF(AND(LEN(CH426)=9,ISERROR(FIND("-",LEFT(CH426,8))),ISNUMBER(-LEFT(CH426,8))),VALUE(LEFT(CH426,4)),VALUE(LEFT(CH426,FIND("-",CH426)-1)))),""))</f>
        <v/>
      </c>
      <c r="CN426">
        <f>IF(CH426="","",IFERROR(IF(AND(LEN(CH426)=9,ISERROR(FIND("-",LEFT(CH426,8))),ISNUMBER(-LEFT(CH426,8))),VALUE(MID(CH426,5,2)),VALUE(MID(CH426,FIND("-",CH426)+1,FIND("-",CH426,FIND("-",CH426)+1)-FIND("-",CH426)-1))),""))</f>
        <v/>
      </c>
      <c r="CO426">
        <f>IF(CH426="","",IFERROR(IF(AND(LEN(CH426)=9,ISERROR(FIND("-",LEFT(CH426,8))),ISNUMBER(-LEFT(CH426,8))),VALUE(MID(CH426,7,2)),VALUE(MID(CH426,FIND("-",CH426,FIND("-",CH426)+1)+1,FIND("-",CH426,FIND("-",CH426,FIND("-",CH426)+1)+1)-FIND("-",CH426,FIND("-",CH426)+1)-1))),""))</f>
        <v/>
      </c>
    </row>
    <row r="427">
      <c r="CH427">
        <f>IF(ISTEXT('월 가계부'!A427),SUBSTITUTE(SUBSTITUTE(SUBSTITUTE(SUBSTITUTE(SUBSTITUTE(SUBSTITUTE(SUBSTITUTE(SUBSTITUTE(SUBSTITUTE(TRIM('월 가계부'!A427),"년","-"),"월","-"),"일",""),".","-"),"/","-")," ","-"),"--","-"),"--","-"),"--","-")&amp;"-","")</f>
        <v/>
      </c>
      <c r="CI427">
        <f>IFERROR(IF('월 가계부'!A427="","",IF(ISNUMBER('월 가계부'!A427),IF(AND('월 가계부'!A427&gt;=19000101,'월 가계부'!A427&lt;=21001231),IF(AND(MOD(INT('월 가계부'!A427/100),100)&gt;=1,MOD(INT('월 가계부'!A427/100),100)&lt;=12,MOD(INT('월 가계부'!A427),100)&gt;=1,MOD(INT('월 가계부'!A427),100)&lt;=31),IF(MONTH(DATE(INT('월 가계부'!A427/10000),MOD(INT('월 가계부'!A427/100),100),MOD(INT('월 가계부'!A427),100)))=MOD(INT('월 가계부'!A427/100),100),DATE(INT('월 가계부'!A427/10000),MOD(INT('월 가계부'!A427/100),100),MOD(INT('월 가계부'!A427),100)),""),""),IF(AND('월 가계부'!A427&gt;=36526,'월 가계부'!A427&lt;73051),INT('월 가계부'!A427),"")),IF(OR(CM427="",CN427="",CO427=""),"",IF(AND(CM427&gt;=2000,CM427&lt;=2099,CN427&gt;=1,CN427&lt;=12,CO427&gt;=1,CO427&lt;=31),IF(MONTH(DATE(CM427,CN427,CO427))=CN427,DATE(CM427,CN427,CO427),""),"")))),"")</f>
        <v/>
      </c>
      <c r="CJ427">
        <f>IFERROR(IF('월 가계부'!C427="","",IF(ISNUMBER('월 가계부'!C427),'월 가계부'!C427,VALUE(SUBSTITUTE(SUBSTITUTE(SUBSTITUTE(SUBSTITUTE(TRIM('월 가계부'!C427),",",""),"원","")," ",""),"−","-")))),"")</f>
        <v/>
      </c>
      <c r="CK427">
        <f>IF(ISNUMBER(CI427),IF(CI427&lt;$B$13,CI427,""),"")</f>
        <v/>
      </c>
      <c r="CM427">
        <f>IF(CH427="","",IFERROR(IF(IF(AND(LEN(CH427)=9,ISERROR(FIND("-",LEFT(CH427,8))),ISNUMBER(-LEFT(CH427,8))),VALUE(LEFT(CH427,4)),VALUE(LEFT(CH427,FIND("-",CH427)-1)))&lt;100,IF(AND(LEN(CH427)=9,ISERROR(FIND("-",LEFT(CH427,8))),ISNUMBER(-LEFT(CH427,8))),VALUE(LEFT(CH427,4)),VALUE(LEFT(CH427,FIND("-",CH427)-1)))+2000,IF(AND(LEN(CH427)=9,ISERROR(FIND("-",LEFT(CH427,8))),ISNUMBER(-LEFT(CH427,8))),VALUE(LEFT(CH427,4)),VALUE(LEFT(CH427,FIND("-",CH427)-1)))),""))</f>
        <v/>
      </c>
      <c r="CN427">
        <f>IF(CH427="","",IFERROR(IF(AND(LEN(CH427)=9,ISERROR(FIND("-",LEFT(CH427,8))),ISNUMBER(-LEFT(CH427,8))),VALUE(MID(CH427,5,2)),VALUE(MID(CH427,FIND("-",CH427)+1,FIND("-",CH427,FIND("-",CH427)+1)-FIND("-",CH427)-1))),""))</f>
        <v/>
      </c>
      <c r="CO427">
        <f>IF(CH427="","",IFERROR(IF(AND(LEN(CH427)=9,ISERROR(FIND("-",LEFT(CH427,8))),ISNUMBER(-LEFT(CH427,8))),VALUE(MID(CH427,7,2)),VALUE(MID(CH427,FIND("-",CH427,FIND("-",CH427)+1)+1,FIND("-",CH427,FIND("-",CH427,FIND("-",CH427)+1)+1)-FIND("-",CH427,FIND("-",CH427)+1)-1))),""))</f>
        <v/>
      </c>
    </row>
    <row r="428">
      <c r="CH428">
        <f>IF(ISTEXT('월 가계부'!A428),SUBSTITUTE(SUBSTITUTE(SUBSTITUTE(SUBSTITUTE(SUBSTITUTE(SUBSTITUTE(SUBSTITUTE(SUBSTITUTE(SUBSTITUTE(TRIM('월 가계부'!A428),"년","-"),"월","-"),"일",""),".","-"),"/","-")," ","-"),"--","-"),"--","-"),"--","-")&amp;"-","")</f>
        <v/>
      </c>
      <c r="CI428">
        <f>IFERROR(IF('월 가계부'!A428="","",IF(ISNUMBER('월 가계부'!A428),IF(AND('월 가계부'!A428&gt;=19000101,'월 가계부'!A428&lt;=21001231),IF(AND(MOD(INT('월 가계부'!A428/100),100)&gt;=1,MOD(INT('월 가계부'!A428/100),100)&lt;=12,MOD(INT('월 가계부'!A428),100)&gt;=1,MOD(INT('월 가계부'!A428),100)&lt;=31),IF(MONTH(DATE(INT('월 가계부'!A428/10000),MOD(INT('월 가계부'!A428/100),100),MOD(INT('월 가계부'!A428),100)))=MOD(INT('월 가계부'!A428/100),100),DATE(INT('월 가계부'!A428/10000),MOD(INT('월 가계부'!A428/100),100),MOD(INT('월 가계부'!A428),100)),""),""),IF(AND('월 가계부'!A428&gt;=36526,'월 가계부'!A428&lt;73051),INT('월 가계부'!A428),"")),IF(OR(CM428="",CN428="",CO428=""),"",IF(AND(CM428&gt;=2000,CM428&lt;=2099,CN428&gt;=1,CN428&lt;=12,CO428&gt;=1,CO428&lt;=31),IF(MONTH(DATE(CM428,CN428,CO428))=CN428,DATE(CM428,CN428,CO428),""),"")))),"")</f>
        <v/>
      </c>
      <c r="CJ428">
        <f>IFERROR(IF('월 가계부'!C428="","",IF(ISNUMBER('월 가계부'!C428),'월 가계부'!C428,VALUE(SUBSTITUTE(SUBSTITUTE(SUBSTITUTE(SUBSTITUTE(TRIM('월 가계부'!C428),",",""),"원","")," ",""),"−","-")))),"")</f>
        <v/>
      </c>
      <c r="CK428">
        <f>IF(ISNUMBER(CI428),IF(CI428&lt;$B$13,CI428,""),"")</f>
        <v/>
      </c>
      <c r="CM428">
        <f>IF(CH428="","",IFERROR(IF(IF(AND(LEN(CH428)=9,ISERROR(FIND("-",LEFT(CH428,8))),ISNUMBER(-LEFT(CH428,8))),VALUE(LEFT(CH428,4)),VALUE(LEFT(CH428,FIND("-",CH428)-1)))&lt;100,IF(AND(LEN(CH428)=9,ISERROR(FIND("-",LEFT(CH428,8))),ISNUMBER(-LEFT(CH428,8))),VALUE(LEFT(CH428,4)),VALUE(LEFT(CH428,FIND("-",CH428)-1)))+2000,IF(AND(LEN(CH428)=9,ISERROR(FIND("-",LEFT(CH428,8))),ISNUMBER(-LEFT(CH428,8))),VALUE(LEFT(CH428,4)),VALUE(LEFT(CH428,FIND("-",CH428)-1)))),""))</f>
        <v/>
      </c>
      <c r="CN428">
        <f>IF(CH428="","",IFERROR(IF(AND(LEN(CH428)=9,ISERROR(FIND("-",LEFT(CH428,8))),ISNUMBER(-LEFT(CH428,8))),VALUE(MID(CH428,5,2)),VALUE(MID(CH428,FIND("-",CH428)+1,FIND("-",CH428,FIND("-",CH428)+1)-FIND("-",CH428)-1))),""))</f>
        <v/>
      </c>
      <c r="CO428">
        <f>IF(CH428="","",IFERROR(IF(AND(LEN(CH428)=9,ISERROR(FIND("-",LEFT(CH428,8))),ISNUMBER(-LEFT(CH428,8))),VALUE(MID(CH428,7,2)),VALUE(MID(CH428,FIND("-",CH428,FIND("-",CH428)+1)+1,FIND("-",CH428,FIND("-",CH428,FIND("-",CH428)+1)+1)-FIND("-",CH428,FIND("-",CH428)+1)-1))),""))</f>
        <v/>
      </c>
    </row>
    <row r="429">
      <c r="CH429">
        <f>IF(ISTEXT('월 가계부'!A429),SUBSTITUTE(SUBSTITUTE(SUBSTITUTE(SUBSTITUTE(SUBSTITUTE(SUBSTITUTE(SUBSTITUTE(SUBSTITUTE(SUBSTITUTE(TRIM('월 가계부'!A429),"년","-"),"월","-"),"일",""),".","-"),"/","-")," ","-"),"--","-"),"--","-"),"--","-")&amp;"-","")</f>
        <v/>
      </c>
      <c r="CI429">
        <f>IFERROR(IF('월 가계부'!A429="","",IF(ISNUMBER('월 가계부'!A429),IF(AND('월 가계부'!A429&gt;=19000101,'월 가계부'!A429&lt;=21001231),IF(AND(MOD(INT('월 가계부'!A429/100),100)&gt;=1,MOD(INT('월 가계부'!A429/100),100)&lt;=12,MOD(INT('월 가계부'!A429),100)&gt;=1,MOD(INT('월 가계부'!A429),100)&lt;=31),IF(MONTH(DATE(INT('월 가계부'!A429/10000),MOD(INT('월 가계부'!A429/100),100),MOD(INT('월 가계부'!A429),100)))=MOD(INT('월 가계부'!A429/100),100),DATE(INT('월 가계부'!A429/10000),MOD(INT('월 가계부'!A429/100),100),MOD(INT('월 가계부'!A429),100)),""),""),IF(AND('월 가계부'!A429&gt;=36526,'월 가계부'!A429&lt;73051),INT('월 가계부'!A429),"")),IF(OR(CM429="",CN429="",CO429=""),"",IF(AND(CM429&gt;=2000,CM429&lt;=2099,CN429&gt;=1,CN429&lt;=12,CO429&gt;=1,CO429&lt;=31),IF(MONTH(DATE(CM429,CN429,CO429))=CN429,DATE(CM429,CN429,CO429),""),"")))),"")</f>
        <v/>
      </c>
      <c r="CJ429">
        <f>IFERROR(IF('월 가계부'!C429="","",IF(ISNUMBER('월 가계부'!C429),'월 가계부'!C429,VALUE(SUBSTITUTE(SUBSTITUTE(SUBSTITUTE(SUBSTITUTE(TRIM('월 가계부'!C429),",",""),"원","")," ",""),"−","-")))),"")</f>
        <v/>
      </c>
      <c r="CK429">
        <f>IF(ISNUMBER(CI429),IF(CI429&lt;$B$13,CI429,""),"")</f>
        <v/>
      </c>
      <c r="CM429">
        <f>IF(CH429="","",IFERROR(IF(IF(AND(LEN(CH429)=9,ISERROR(FIND("-",LEFT(CH429,8))),ISNUMBER(-LEFT(CH429,8))),VALUE(LEFT(CH429,4)),VALUE(LEFT(CH429,FIND("-",CH429)-1)))&lt;100,IF(AND(LEN(CH429)=9,ISERROR(FIND("-",LEFT(CH429,8))),ISNUMBER(-LEFT(CH429,8))),VALUE(LEFT(CH429,4)),VALUE(LEFT(CH429,FIND("-",CH429)-1)))+2000,IF(AND(LEN(CH429)=9,ISERROR(FIND("-",LEFT(CH429,8))),ISNUMBER(-LEFT(CH429,8))),VALUE(LEFT(CH429,4)),VALUE(LEFT(CH429,FIND("-",CH429)-1)))),""))</f>
        <v/>
      </c>
      <c r="CN429">
        <f>IF(CH429="","",IFERROR(IF(AND(LEN(CH429)=9,ISERROR(FIND("-",LEFT(CH429,8))),ISNUMBER(-LEFT(CH429,8))),VALUE(MID(CH429,5,2)),VALUE(MID(CH429,FIND("-",CH429)+1,FIND("-",CH429,FIND("-",CH429)+1)-FIND("-",CH429)-1))),""))</f>
        <v/>
      </c>
      <c r="CO429">
        <f>IF(CH429="","",IFERROR(IF(AND(LEN(CH429)=9,ISERROR(FIND("-",LEFT(CH429,8))),ISNUMBER(-LEFT(CH429,8))),VALUE(MID(CH429,7,2)),VALUE(MID(CH429,FIND("-",CH429,FIND("-",CH429)+1)+1,FIND("-",CH429,FIND("-",CH429,FIND("-",CH429)+1)+1)-FIND("-",CH429,FIND("-",CH429)+1)-1))),""))</f>
        <v/>
      </c>
    </row>
    <row r="430">
      <c r="CH430">
        <f>IF(ISTEXT('월 가계부'!A430),SUBSTITUTE(SUBSTITUTE(SUBSTITUTE(SUBSTITUTE(SUBSTITUTE(SUBSTITUTE(SUBSTITUTE(SUBSTITUTE(SUBSTITUTE(TRIM('월 가계부'!A430),"년","-"),"월","-"),"일",""),".","-"),"/","-")," ","-"),"--","-"),"--","-"),"--","-")&amp;"-","")</f>
        <v/>
      </c>
      <c r="CI430">
        <f>IFERROR(IF('월 가계부'!A430="","",IF(ISNUMBER('월 가계부'!A430),IF(AND('월 가계부'!A430&gt;=19000101,'월 가계부'!A430&lt;=21001231),IF(AND(MOD(INT('월 가계부'!A430/100),100)&gt;=1,MOD(INT('월 가계부'!A430/100),100)&lt;=12,MOD(INT('월 가계부'!A430),100)&gt;=1,MOD(INT('월 가계부'!A430),100)&lt;=31),IF(MONTH(DATE(INT('월 가계부'!A430/10000),MOD(INT('월 가계부'!A430/100),100),MOD(INT('월 가계부'!A430),100)))=MOD(INT('월 가계부'!A430/100),100),DATE(INT('월 가계부'!A430/10000),MOD(INT('월 가계부'!A430/100),100),MOD(INT('월 가계부'!A430),100)),""),""),IF(AND('월 가계부'!A430&gt;=36526,'월 가계부'!A430&lt;73051),INT('월 가계부'!A430),"")),IF(OR(CM430="",CN430="",CO430=""),"",IF(AND(CM430&gt;=2000,CM430&lt;=2099,CN430&gt;=1,CN430&lt;=12,CO430&gt;=1,CO430&lt;=31),IF(MONTH(DATE(CM430,CN430,CO430))=CN430,DATE(CM430,CN430,CO430),""),"")))),"")</f>
        <v/>
      </c>
      <c r="CJ430">
        <f>IFERROR(IF('월 가계부'!C430="","",IF(ISNUMBER('월 가계부'!C430),'월 가계부'!C430,VALUE(SUBSTITUTE(SUBSTITUTE(SUBSTITUTE(SUBSTITUTE(TRIM('월 가계부'!C430),",",""),"원","")," ",""),"−","-")))),"")</f>
        <v/>
      </c>
      <c r="CK430">
        <f>IF(ISNUMBER(CI430),IF(CI430&lt;$B$13,CI430,""),"")</f>
        <v/>
      </c>
      <c r="CM430">
        <f>IF(CH430="","",IFERROR(IF(IF(AND(LEN(CH430)=9,ISERROR(FIND("-",LEFT(CH430,8))),ISNUMBER(-LEFT(CH430,8))),VALUE(LEFT(CH430,4)),VALUE(LEFT(CH430,FIND("-",CH430)-1)))&lt;100,IF(AND(LEN(CH430)=9,ISERROR(FIND("-",LEFT(CH430,8))),ISNUMBER(-LEFT(CH430,8))),VALUE(LEFT(CH430,4)),VALUE(LEFT(CH430,FIND("-",CH430)-1)))+2000,IF(AND(LEN(CH430)=9,ISERROR(FIND("-",LEFT(CH430,8))),ISNUMBER(-LEFT(CH430,8))),VALUE(LEFT(CH430,4)),VALUE(LEFT(CH430,FIND("-",CH430)-1)))),""))</f>
        <v/>
      </c>
      <c r="CN430">
        <f>IF(CH430="","",IFERROR(IF(AND(LEN(CH430)=9,ISERROR(FIND("-",LEFT(CH430,8))),ISNUMBER(-LEFT(CH430,8))),VALUE(MID(CH430,5,2)),VALUE(MID(CH430,FIND("-",CH430)+1,FIND("-",CH430,FIND("-",CH430)+1)-FIND("-",CH430)-1))),""))</f>
        <v/>
      </c>
      <c r="CO430">
        <f>IF(CH430="","",IFERROR(IF(AND(LEN(CH430)=9,ISERROR(FIND("-",LEFT(CH430,8))),ISNUMBER(-LEFT(CH430,8))),VALUE(MID(CH430,7,2)),VALUE(MID(CH430,FIND("-",CH430,FIND("-",CH430)+1)+1,FIND("-",CH430,FIND("-",CH430,FIND("-",CH430)+1)+1)-FIND("-",CH430,FIND("-",CH430)+1)-1))),""))</f>
        <v/>
      </c>
    </row>
    <row r="431">
      <c r="CH431">
        <f>IF(ISTEXT('월 가계부'!A431),SUBSTITUTE(SUBSTITUTE(SUBSTITUTE(SUBSTITUTE(SUBSTITUTE(SUBSTITUTE(SUBSTITUTE(SUBSTITUTE(SUBSTITUTE(TRIM('월 가계부'!A431),"년","-"),"월","-"),"일",""),".","-"),"/","-")," ","-"),"--","-"),"--","-"),"--","-")&amp;"-","")</f>
        <v/>
      </c>
      <c r="CI431">
        <f>IFERROR(IF('월 가계부'!A431="","",IF(ISNUMBER('월 가계부'!A431),IF(AND('월 가계부'!A431&gt;=19000101,'월 가계부'!A431&lt;=21001231),IF(AND(MOD(INT('월 가계부'!A431/100),100)&gt;=1,MOD(INT('월 가계부'!A431/100),100)&lt;=12,MOD(INT('월 가계부'!A431),100)&gt;=1,MOD(INT('월 가계부'!A431),100)&lt;=31),IF(MONTH(DATE(INT('월 가계부'!A431/10000),MOD(INT('월 가계부'!A431/100),100),MOD(INT('월 가계부'!A431),100)))=MOD(INT('월 가계부'!A431/100),100),DATE(INT('월 가계부'!A431/10000),MOD(INT('월 가계부'!A431/100),100),MOD(INT('월 가계부'!A431),100)),""),""),IF(AND('월 가계부'!A431&gt;=36526,'월 가계부'!A431&lt;73051),INT('월 가계부'!A431),"")),IF(OR(CM431="",CN431="",CO431=""),"",IF(AND(CM431&gt;=2000,CM431&lt;=2099,CN431&gt;=1,CN431&lt;=12,CO431&gt;=1,CO431&lt;=31),IF(MONTH(DATE(CM431,CN431,CO431))=CN431,DATE(CM431,CN431,CO431),""),"")))),"")</f>
        <v/>
      </c>
      <c r="CJ431">
        <f>IFERROR(IF('월 가계부'!C431="","",IF(ISNUMBER('월 가계부'!C431),'월 가계부'!C431,VALUE(SUBSTITUTE(SUBSTITUTE(SUBSTITUTE(SUBSTITUTE(TRIM('월 가계부'!C431),",",""),"원","")," ",""),"−","-")))),"")</f>
        <v/>
      </c>
      <c r="CK431">
        <f>IF(ISNUMBER(CI431),IF(CI431&lt;$B$13,CI431,""),"")</f>
        <v/>
      </c>
      <c r="CM431">
        <f>IF(CH431="","",IFERROR(IF(IF(AND(LEN(CH431)=9,ISERROR(FIND("-",LEFT(CH431,8))),ISNUMBER(-LEFT(CH431,8))),VALUE(LEFT(CH431,4)),VALUE(LEFT(CH431,FIND("-",CH431)-1)))&lt;100,IF(AND(LEN(CH431)=9,ISERROR(FIND("-",LEFT(CH431,8))),ISNUMBER(-LEFT(CH431,8))),VALUE(LEFT(CH431,4)),VALUE(LEFT(CH431,FIND("-",CH431)-1)))+2000,IF(AND(LEN(CH431)=9,ISERROR(FIND("-",LEFT(CH431,8))),ISNUMBER(-LEFT(CH431,8))),VALUE(LEFT(CH431,4)),VALUE(LEFT(CH431,FIND("-",CH431)-1)))),""))</f>
        <v/>
      </c>
      <c r="CN431">
        <f>IF(CH431="","",IFERROR(IF(AND(LEN(CH431)=9,ISERROR(FIND("-",LEFT(CH431,8))),ISNUMBER(-LEFT(CH431,8))),VALUE(MID(CH431,5,2)),VALUE(MID(CH431,FIND("-",CH431)+1,FIND("-",CH431,FIND("-",CH431)+1)-FIND("-",CH431)-1))),""))</f>
        <v/>
      </c>
      <c r="CO431">
        <f>IF(CH431="","",IFERROR(IF(AND(LEN(CH431)=9,ISERROR(FIND("-",LEFT(CH431,8))),ISNUMBER(-LEFT(CH431,8))),VALUE(MID(CH431,7,2)),VALUE(MID(CH431,FIND("-",CH431,FIND("-",CH431)+1)+1,FIND("-",CH431,FIND("-",CH431,FIND("-",CH431)+1)+1)-FIND("-",CH431,FIND("-",CH431)+1)-1))),""))</f>
        <v/>
      </c>
    </row>
    <row r="432">
      <c r="CH432">
        <f>IF(ISTEXT('월 가계부'!A432),SUBSTITUTE(SUBSTITUTE(SUBSTITUTE(SUBSTITUTE(SUBSTITUTE(SUBSTITUTE(SUBSTITUTE(SUBSTITUTE(SUBSTITUTE(TRIM('월 가계부'!A432),"년","-"),"월","-"),"일",""),".","-"),"/","-")," ","-"),"--","-"),"--","-"),"--","-")&amp;"-","")</f>
        <v/>
      </c>
      <c r="CI432">
        <f>IFERROR(IF('월 가계부'!A432="","",IF(ISNUMBER('월 가계부'!A432),IF(AND('월 가계부'!A432&gt;=19000101,'월 가계부'!A432&lt;=21001231),IF(AND(MOD(INT('월 가계부'!A432/100),100)&gt;=1,MOD(INT('월 가계부'!A432/100),100)&lt;=12,MOD(INT('월 가계부'!A432),100)&gt;=1,MOD(INT('월 가계부'!A432),100)&lt;=31),IF(MONTH(DATE(INT('월 가계부'!A432/10000),MOD(INT('월 가계부'!A432/100),100),MOD(INT('월 가계부'!A432),100)))=MOD(INT('월 가계부'!A432/100),100),DATE(INT('월 가계부'!A432/10000),MOD(INT('월 가계부'!A432/100),100),MOD(INT('월 가계부'!A432),100)),""),""),IF(AND('월 가계부'!A432&gt;=36526,'월 가계부'!A432&lt;73051),INT('월 가계부'!A432),"")),IF(OR(CM432="",CN432="",CO432=""),"",IF(AND(CM432&gt;=2000,CM432&lt;=2099,CN432&gt;=1,CN432&lt;=12,CO432&gt;=1,CO432&lt;=31),IF(MONTH(DATE(CM432,CN432,CO432))=CN432,DATE(CM432,CN432,CO432),""),"")))),"")</f>
        <v/>
      </c>
      <c r="CJ432">
        <f>IFERROR(IF('월 가계부'!C432="","",IF(ISNUMBER('월 가계부'!C432),'월 가계부'!C432,VALUE(SUBSTITUTE(SUBSTITUTE(SUBSTITUTE(SUBSTITUTE(TRIM('월 가계부'!C432),",",""),"원","")," ",""),"−","-")))),"")</f>
        <v/>
      </c>
      <c r="CK432">
        <f>IF(ISNUMBER(CI432),IF(CI432&lt;$B$13,CI432,""),"")</f>
        <v/>
      </c>
      <c r="CM432">
        <f>IF(CH432="","",IFERROR(IF(IF(AND(LEN(CH432)=9,ISERROR(FIND("-",LEFT(CH432,8))),ISNUMBER(-LEFT(CH432,8))),VALUE(LEFT(CH432,4)),VALUE(LEFT(CH432,FIND("-",CH432)-1)))&lt;100,IF(AND(LEN(CH432)=9,ISERROR(FIND("-",LEFT(CH432,8))),ISNUMBER(-LEFT(CH432,8))),VALUE(LEFT(CH432,4)),VALUE(LEFT(CH432,FIND("-",CH432)-1)))+2000,IF(AND(LEN(CH432)=9,ISERROR(FIND("-",LEFT(CH432,8))),ISNUMBER(-LEFT(CH432,8))),VALUE(LEFT(CH432,4)),VALUE(LEFT(CH432,FIND("-",CH432)-1)))),""))</f>
        <v/>
      </c>
      <c r="CN432">
        <f>IF(CH432="","",IFERROR(IF(AND(LEN(CH432)=9,ISERROR(FIND("-",LEFT(CH432,8))),ISNUMBER(-LEFT(CH432,8))),VALUE(MID(CH432,5,2)),VALUE(MID(CH432,FIND("-",CH432)+1,FIND("-",CH432,FIND("-",CH432)+1)-FIND("-",CH432)-1))),""))</f>
        <v/>
      </c>
      <c r="CO432">
        <f>IF(CH432="","",IFERROR(IF(AND(LEN(CH432)=9,ISERROR(FIND("-",LEFT(CH432,8))),ISNUMBER(-LEFT(CH432,8))),VALUE(MID(CH432,7,2)),VALUE(MID(CH432,FIND("-",CH432,FIND("-",CH432)+1)+1,FIND("-",CH432,FIND("-",CH432,FIND("-",CH432)+1)+1)-FIND("-",CH432,FIND("-",CH432)+1)-1))),""))</f>
        <v/>
      </c>
    </row>
    <row r="433">
      <c r="CH433">
        <f>IF(ISTEXT('월 가계부'!A433),SUBSTITUTE(SUBSTITUTE(SUBSTITUTE(SUBSTITUTE(SUBSTITUTE(SUBSTITUTE(SUBSTITUTE(SUBSTITUTE(SUBSTITUTE(TRIM('월 가계부'!A433),"년","-"),"월","-"),"일",""),".","-"),"/","-")," ","-"),"--","-"),"--","-"),"--","-")&amp;"-","")</f>
        <v/>
      </c>
      <c r="CI433">
        <f>IFERROR(IF('월 가계부'!A433="","",IF(ISNUMBER('월 가계부'!A433),IF(AND('월 가계부'!A433&gt;=19000101,'월 가계부'!A433&lt;=21001231),IF(AND(MOD(INT('월 가계부'!A433/100),100)&gt;=1,MOD(INT('월 가계부'!A433/100),100)&lt;=12,MOD(INT('월 가계부'!A433),100)&gt;=1,MOD(INT('월 가계부'!A433),100)&lt;=31),IF(MONTH(DATE(INT('월 가계부'!A433/10000),MOD(INT('월 가계부'!A433/100),100),MOD(INT('월 가계부'!A433),100)))=MOD(INT('월 가계부'!A433/100),100),DATE(INT('월 가계부'!A433/10000),MOD(INT('월 가계부'!A433/100),100),MOD(INT('월 가계부'!A433),100)),""),""),IF(AND('월 가계부'!A433&gt;=36526,'월 가계부'!A433&lt;73051),INT('월 가계부'!A433),"")),IF(OR(CM433="",CN433="",CO433=""),"",IF(AND(CM433&gt;=2000,CM433&lt;=2099,CN433&gt;=1,CN433&lt;=12,CO433&gt;=1,CO433&lt;=31),IF(MONTH(DATE(CM433,CN433,CO433))=CN433,DATE(CM433,CN433,CO433),""),"")))),"")</f>
        <v/>
      </c>
      <c r="CJ433">
        <f>IFERROR(IF('월 가계부'!C433="","",IF(ISNUMBER('월 가계부'!C433),'월 가계부'!C433,VALUE(SUBSTITUTE(SUBSTITUTE(SUBSTITUTE(SUBSTITUTE(TRIM('월 가계부'!C433),",",""),"원","")," ",""),"−","-")))),"")</f>
        <v/>
      </c>
      <c r="CK433">
        <f>IF(ISNUMBER(CI433),IF(CI433&lt;$B$13,CI433,""),"")</f>
        <v/>
      </c>
      <c r="CM433">
        <f>IF(CH433="","",IFERROR(IF(IF(AND(LEN(CH433)=9,ISERROR(FIND("-",LEFT(CH433,8))),ISNUMBER(-LEFT(CH433,8))),VALUE(LEFT(CH433,4)),VALUE(LEFT(CH433,FIND("-",CH433)-1)))&lt;100,IF(AND(LEN(CH433)=9,ISERROR(FIND("-",LEFT(CH433,8))),ISNUMBER(-LEFT(CH433,8))),VALUE(LEFT(CH433,4)),VALUE(LEFT(CH433,FIND("-",CH433)-1)))+2000,IF(AND(LEN(CH433)=9,ISERROR(FIND("-",LEFT(CH433,8))),ISNUMBER(-LEFT(CH433,8))),VALUE(LEFT(CH433,4)),VALUE(LEFT(CH433,FIND("-",CH433)-1)))),""))</f>
        <v/>
      </c>
      <c r="CN433">
        <f>IF(CH433="","",IFERROR(IF(AND(LEN(CH433)=9,ISERROR(FIND("-",LEFT(CH433,8))),ISNUMBER(-LEFT(CH433,8))),VALUE(MID(CH433,5,2)),VALUE(MID(CH433,FIND("-",CH433)+1,FIND("-",CH433,FIND("-",CH433)+1)-FIND("-",CH433)-1))),""))</f>
        <v/>
      </c>
      <c r="CO433">
        <f>IF(CH433="","",IFERROR(IF(AND(LEN(CH433)=9,ISERROR(FIND("-",LEFT(CH433,8))),ISNUMBER(-LEFT(CH433,8))),VALUE(MID(CH433,7,2)),VALUE(MID(CH433,FIND("-",CH433,FIND("-",CH433)+1)+1,FIND("-",CH433,FIND("-",CH433,FIND("-",CH433)+1)+1)-FIND("-",CH433,FIND("-",CH433)+1)-1))),""))</f>
        <v/>
      </c>
    </row>
    <row r="434">
      <c r="CH434">
        <f>IF(ISTEXT('월 가계부'!A434),SUBSTITUTE(SUBSTITUTE(SUBSTITUTE(SUBSTITUTE(SUBSTITUTE(SUBSTITUTE(SUBSTITUTE(SUBSTITUTE(SUBSTITUTE(TRIM('월 가계부'!A434),"년","-"),"월","-"),"일",""),".","-"),"/","-")," ","-"),"--","-"),"--","-"),"--","-")&amp;"-","")</f>
        <v/>
      </c>
      <c r="CI434">
        <f>IFERROR(IF('월 가계부'!A434="","",IF(ISNUMBER('월 가계부'!A434),IF(AND('월 가계부'!A434&gt;=19000101,'월 가계부'!A434&lt;=21001231),IF(AND(MOD(INT('월 가계부'!A434/100),100)&gt;=1,MOD(INT('월 가계부'!A434/100),100)&lt;=12,MOD(INT('월 가계부'!A434),100)&gt;=1,MOD(INT('월 가계부'!A434),100)&lt;=31),IF(MONTH(DATE(INT('월 가계부'!A434/10000),MOD(INT('월 가계부'!A434/100),100),MOD(INT('월 가계부'!A434),100)))=MOD(INT('월 가계부'!A434/100),100),DATE(INT('월 가계부'!A434/10000),MOD(INT('월 가계부'!A434/100),100),MOD(INT('월 가계부'!A434),100)),""),""),IF(AND('월 가계부'!A434&gt;=36526,'월 가계부'!A434&lt;73051),INT('월 가계부'!A434),"")),IF(OR(CM434="",CN434="",CO434=""),"",IF(AND(CM434&gt;=2000,CM434&lt;=2099,CN434&gt;=1,CN434&lt;=12,CO434&gt;=1,CO434&lt;=31),IF(MONTH(DATE(CM434,CN434,CO434))=CN434,DATE(CM434,CN434,CO434),""),"")))),"")</f>
        <v/>
      </c>
      <c r="CJ434">
        <f>IFERROR(IF('월 가계부'!C434="","",IF(ISNUMBER('월 가계부'!C434),'월 가계부'!C434,VALUE(SUBSTITUTE(SUBSTITUTE(SUBSTITUTE(SUBSTITUTE(TRIM('월 가계부'!C434),",",""),"원","")," ",""),"−","-")))),"")</f>
        <v/>
      </c>
      <c r="CK434">
        <f>IF(ISNUMBER(CI434),IF(CI434&lt;$B$13,CI434,""),"")</f>
        <v/>
      </c>
      <c r="CM434">
        <f>IF(CH434="","",IFERROR(IF(IF(AND(LEN(CH434)=9,ISERROR(FIND("-",LEFT(CH434,8))),ISNUMBER(-LEFT(CH434,8))),VALUE(LEFT(CH434,4)),VALUE(LEFT(CH434,FIND("-",CH434)-1)))&lt;100,IF(AND(LEN(CH434)=9,ISERROR(FIND("-",LEFT(CH434,8))),ISNUMBER(-LEFT(CH434,8))),VALUE(LEFT(CH434,4)),VALUE(LEFT(CH434,FIND("-",CH434)-1)))+2000,IF(AND(LEN(CH434)=9,ISERROR(FIND("-",LEFT(CH434,8))),ISNUMBER(-LEFT(CH434,8))),VALUE(LEFT(CH434,4)),VALUE(LEFT(CH434,FIND("-",CH434)-1)))),""))</f>
        <v/>
      </c>
      <c r="CN434">
        <f>IF(CH434="","",IFERROR(IF(AND(LEN(CH434)=9,ISERROR(FIND("-",LEFT(CH434,8))),ISNUMBER(-LEFT(CH434,8))),VALUE(MID(CH434,5,2)),VALUE(MID(CH434,FIND("-",CH434)+1,FIND("-",CH434,FIND("-",CH434)+1)-FIND("-",CH434)-1))),""))</f>
        <v/>
      </c>
      <c r="CO434">
        <f>IF(CH434="","",IFERROR(IF(AND(LEN(CH434)=9,ISERROR(FIND("-",LEFT(CH434,8))),ISNUMBER(-LEFT(CH434,8))),VALUE(MID(CH434,7,2)),VALUE(MID(CH434,FIND("-",CH434,FIND("-",CH434)+1)+1,FIND("-",CH434,FIND("-",CH434,FIND("-",CH434)+1)+1)-FIND("-",CH434,FIND("-",CH434)+1)-1))),""))</f>
        <v/>
      </c>
    </row>
    <row r="435">
      <c r="CH435">
        <f>IF(ISTEXT('월 가계부'!A435),SUBSTITUTE(SUBSTITUTE(SUBSTITUTE(SUBSTITUTE(SUBSTITUTE(SUBSTITUTE(SUBSTITUTE(SUBSTITUTE(SUBSTITUTE(TRIM('월 가계부'!A435),"년","-"),"월","-"),"일",""),".","-"),"/","-")," ","-"),"--","-"),"--","-"),"--","-")&amp;"-","")</f>
        <v/>
      </c>
      <c r="CI435">
        <f>IFERROR(IF('월 가계부'!A435="","",IF(ISNUMBER('월 가계부'!A435),IF(AND('월 가계부'!A435&gt;=19000101,'월 가계부'!A435&lt;=21001231),IF(AND(MOD(INT('월 가계부'!A435/100),100)&gt;=1,MOD(INT('월 가계부'!A435/100),100)&lt;=12,MOD(INT('월 가계부'!A435),100)&gt;=1,MOD(INT('월 가계부'!A435),100)&lt;=31),IF(MONTH(DATE(INT('월 가계부'!A435/10000),MOD(INT('월 가계부'!A435/100),100),MOD(INT('월 가계부'!A435),100)))=MOD(INT('월 가계부'!A435/100),100),DATE(INT('월 가계부'!A435/10000),MOD(INT('월 가계부'!A435/100),100),MOD(INT('월 가계부'!A435),100)),""),""),IF(AND('월 가계부'!A435&gt;=36526,'월 가계부'!A435&lt;73051),INT('월 가계부'!A435),"")),IF(OR(CM435="",CN435="",CO435=""),"",IF(AND(CM435&gt;=2000,CM435&lt;=2099,CN435&gt;=1,CN435&lt;=12,CO435&gt;=1,CO435&lt;=31),IF(MONTH(DATE(CM435,CN435,CO435))=CN435,DATE(CM435,CN435,CO435),""),"")))),"")</f>
        <v/>
      </c>
      <c r="CJ435">
        <f>IFERROR(IF('월 가계부'!C435="","",IF(ISNUMBER('월 가계부'!C435),'월 가계부'!C435,VALUE(SUBSTITUTE(SUBSTITUTE(SUBSTITUTE(SUBSTITUTE(TRIM('월 가계부'!C435),",",""),"원","")," ",""),"−","-")))),"")</f>
        <v/>
      </c>
      <c r="CK435">
        <f>IF(ISNUMBER(CI435),IF(CI435&lt;$B$13,CI435,""),"")</f>
        <v/>
      </c>
      <c r="CM435">
        <f>IF(CH435="","",IFERROR(IF(IF(AND(LEN(CH435)=9,ISERROR(FIND("-",LEFT(CH435,8))),ISNUMBER(-LEFT(CH435,8))),VALUE(LEFT(CH435,4)),VALUE(LEFT(CH435,FIND("-",CH435)-1)))&lt;100,IF(AND(LEN(CH435)=9,ISERROR(FIND("-",LEFT(CH435,8))),ISNUMBER(-LEFT(CH435,8))),VALUE(LEFT(CH435,4)),VALUE(LEFT(CH435,FIND("-",CH435)-1)))+2000,IF(AND(LEN(CH435)=9,ISERROR(FIND("-",LEFT(CH435,8))),ISNUMBER(-LEFT(CH435,8))),VALUE(LEFT(CH435,4)),VALUE(LEFT(CH435,FIND("-",CH435)-1)))),""))</f>
        <v/>
      </c>
      <c r="CN435">
        <f>IF(CH435="","",IFERROR(IF(AND(LEN(CH435)=9,ISERROR(FIND("-",LEFT(CH435,8))),ISNUMBER(-LEFT(CH435,8))),VALUE(MID(CH435,5,2)),VALUE(MID(CH435,FIND("-",CH435)+1,FIND("-",CH435,FIND("-",CH435)+1)-FIND("-",CH435)-1))),""))</f>
        <v/>
      </c>
      <c r="CO435">
        <f>IF(CH435="","",IFERROR(IF(AND(LEN(CH435)=9,ISERROR(FIND("-",LEFT(CH435,8))),ISNUMBER(-LEFT(CH435,8))),VALUE(MID(CH435,7,2)),VALUE(MID(CH435,FIND("-",CH435,FIND("-",CH435)+1)+1,FIND("-",CH435,FIND("-",CH435,FIND("-",CH435)+1)+1)-FIND("-",CH435,FIND("-",CH435)+1)-1))),""))</f>
        <v/>
      </c>
    </row>
    <row r="436">
      <c r="CH436">
        <f>IF(ISTEXT('월 가계부'!A436),SUBSTITUTE(SUBSTITUTE(SUBSTITUTE(SUBSTITUTE(SUBSTITUTE(SUBSTITUTE(SUBSTITUTE(SUBSTITUTE(SUBSTITUTE(TRIM('월 가계부'!A436),"년","-"),"월","-"),"일",""),".","-"),"/","-")," ","-"),"--","-"),"--","-"),"--","-")&amp;"-","")</f>
        <v/>
      </c>
      <c r="CI436">
        <f>IFERROR(IF('월 가계부'!A436="","",IF(ISNUMBER('월 가계부'!A436),IF(AND('월 가계부'!A436&gt;=19000101,'월 가계부'!A436&lt;=21001231),IF(AND(MOD(INT('월 가계부'!A436/100),100)&gt;=1,MOD(INT('월 가계부'!A436/100),100)&lt;=12,MOD(INT('월 가계부'!A436),100)&gt;=1,MOD(INT('월 가계부'!A436),100)&lt;=31),IF(MONTH(DATE(INT('월 가계부'!A436/10000),MOD(INT('월 가계부'!A436/100),100),MOD(INT('월 가계부'!A436),100)))=MOD(INT('월 가계부'!A436/100),100),DATE(INT('월 가계부'!A436/10000),MOD(INT('월 가계부'!A436/100),100),MOD(INT('월 가계부'!A436),100)),""),""),IF(AND('월 가계부'!A436&gt;=36526,'월 가계부'!A436&lt;73051),INT('월 가계부'!A436),"")),IF(OR(CM436="",CN436="",CO436=""),"",IF(AND(CM436&gt;=2000,CM436&lt;=2099,CN436&gt;=1,CN436&lt;=12,CO436&gt;=1,CO436&lt;=31),IF(MONTH(DATE(CM436,CN436,CO436))=CN436,DATE(CM436,CN436,CO436),""),"")))),"")</f>
        <v/>
      </c>
      <c r="CJ436">
        <f>IFERROR(IF('월 가계부'!C436="","",IF(ISNUMBER('월 가계부'!C436),'월 가계부'!C436,VALUE(SUBSTITUTE(SUBSTITUTE(SUBSTITUTE(SUBSTITUTE(TRIM('월 가계부'!C436),",",""),"원","")," ",""),"−","-")))),"")</f>
        <v/>
      </c>
      <c r="CK436">
        <f>IF(ISNUMBER(CI436),IF(CI436&lt;$B$13,CI436,""),"")</f>
        <v/>
      </c>
      <c r="CM436">
        <f>IF(CH436="","",IFERROR(IF(IF(AND(LEN(CH436)=9,ISERROR(FIND("-",LEFT(CH436,8))),ISNUMBER(-LEFT(CH436,8))),VALUE(LEFT(CH436,4)),VALUE(LEFT(CH436,FIND("-",CH436)-1)))&lt;100,IF(AND(LEN(CH436)=9,ISERROR(FIND("-",LEFT(CH436,8))),ISNUMBER(-LEFT(CH436,8))),VALUE(LEFT(CH436,4)),VALUE(LEFT(CH436,FIND("-",CH436)-1)))+2000,IF(AND(LEN(CH436)=9,ISERROR(FIND("-",LEFT(CH436,8))),ISNUMBER(-LEFT(CH436,8))),VALUE(LEFT(CH436,4)),VALUE(LEFT(CH436,FIND("-",CH436)-1)))),""))</f>
        <v/>
      </c>
      <c r="CN436">
        <f>IF(CH436="","",IFERROR(IF(AND(LEN(CH436)=9,ISERROR(FIND("-",LEFT(CH436,8))),ISNUMBER(-LEFT(CH436,8))),VALUE(MID(CH436,5,2)),VALUE(MID(CH436,FIND("-",CH436)+1,FIND("-",CH436,FIND("-",CH436)+1)-FIND("-",CH436)-1))),""))</f>
        <v/>
      </c>
      <c r="CO436">
        <f>IF(CH436="","",IFERROR(IF(AND(LEN(CH436)=9,ISERROR(FIND("-",LEFT(CH436,8))),ISNUMBER(-LEFT(CH436,8))),VALUE(MID(CH436,7,2)),VALUE(MID(CH436,FIND("-",CH436,FIND("-",CH436)+1)+1,FIND("-",CH436,FIND("-",CH436,FIND("-",CH436)+1)+1)-FIND("-",CH436,FIND("-",CH436)+1)-1))),""))</f>
        <v/>
      </c>
    </row>
    <row r="437">
      <c r="CH437">
        <f>IF(ISTEXT('월 가계부'!A437),SUBSTITUTE(SUBSTITUTE(SUBSTITUTE(SUBSTITUTE(SUBSTITUTE(SUBSTITUTE(SUBSTITUTE(SUBSTITUTE(SUBSTITUTE(TRIM('월 가계부'!A437),"년","-"),"월","-"),"일",""),".","-"),"/","-")," ","-"),"--","-"),"--","-"),"--","-")&amp;"-","")</f>
        <v/>
      </c>
      <c r="CI437">
        <f>IFERROR(IF('월 가계부'!A437="","",IF(ISNUMBER('월 가계부'!A437),IF(AND('월 가계부'!A437&gt;=19000101,'월 가계부'!A437&lt;=21001231),IF(AND(MOD(INT('월 가계부'!A437/100),100)&gt;=1,MOD(INT('월 가계부'!A437/100),100)&lt;=12,MOD(INT('월 가계부'!A437),100)&gt;=1,MOD(INT('월 가계부'!A437),100)&lt;=31),IF(MONTH(DATE(INT('월 가계부'!A437/10000),MOD(INT('월 가계부'!A437/100),100),MOD(INT('월 가계부'!A437),100)))=MOD(INT('월 가계부'!A437/100),100),DATE(INT('월 가계부'!A437/10000),MOD(INT('월 가계부'!A437/100),100),MOD(INT('월 가계부'!A437),100)),""),""),IF(AND('월 가계부'!A437&gt;=36526,'월 가계부'!A437&lt;73051),INT('월 가계부'!A437),"")),IF(OR(CM437="",CN437="",CO437=""),"",IF(AND(CM437&gt;=2000,CM437&lt;=2099,CN437&gt;=1,CN437&lt;=12,CO437&gt;=1,CO437&lt;=31),IF(MONTH(DATE(CM437,CN437,CO437))=CN437,DATE(CM437,CN437,CO437),""),"")))),"")</f>
        <v/>
      </c>
      <c r="CJ437">
        <f>IFERROR(IF('월 가계부'!C437="","",IF(ISNUMBER('월 가계부'!C437),'월 가계부'!C437,VALUE(SUBSTITUTE(SUBSTITUTE(SUBSTITUTE(SUBSTITUTE(TRIM('월 가계부'!C437),",",""),"원","")," ",""),"−","-")))),"")</f>
        <v/>
      </c>
      <c r="CK437">
        <f>IF(ISNUMBER(CI437),IF(CI437&lt;$B$13,CI437,""),"")</f>
        <v/>
      </c>
      <c r="CM437">
        <f>IF(CH437="","",IFERROR(IF(IF(AND(LEN(CH437)=9,ISERROR(FIND("-",LEFT(CH437,8))),ISNUMBER(-LEFT(CH437,8))),VALUE(LEFT(CH437,4)),VALUE(LEFT(CH437,FIND("-",CH437)-1)))&lt;100,IF(AND(LEN(CH437)=9,ISERROR(FIND("-",LEFT(CH437,8))),ISNUMBER(-LEFT(CH437,8))),VALUE(LEFT(CH437,4)),VALUE(LEFT(CH437,FIND("-",CH437)-1)))+2000,IF(AND(LEN(CH437)=9,ISERROR(FIND("-",LEFT(CH437,8))),ISNUMBER(-LEFT(CH437,8))),VALUE(LEFT(CH437,4)),VALUE(LEFT(CH437,FIND("-",CH437)-1)))),""))</f>
        <v/>
      </c>
      <c r="CN437">
        <f>IF(CH437="","",IFERROR(IF(AND(LEN(CH437)=9,ISERROR(FIND("-",LEFT(CH437,8))),ISNUMBER(-LEFT(CH437,8))),VALUE(MID(CH437,5,2)),VALUE(MID(CH437,FIND("-",CH437)+1,FIND("-",CH437,FIND("-",CH437)+1)-FIND("-",CH437)-1))),""))</f>
        <v/>
      </c>
      <c r="CO437">
        <f>IF(CH437="","",IFERROR(IF(AND(LEN(CH437)=9,ISERROR(FIND("-",LEFT(CH437,8))),ISNUMBER(-LEFT(CH437,8))),VALUE(MID(CH437,7,2)),VALUE(MID(CH437,FIND("-",CH437,FIND("-",CH437)+1)+1,FIND("-",CH437,FIND("-",CH437,FIND("-",CH437)+1)+1)-FIND("-",CH437,FIND("-",CH437)+1)-1))),""))</f>
        <v/>
      </c>
    </row>
    <row r="438">
      <c r="CH438">
        <f>IF(ISTEXT('월 가계부'!A438),SUBSTITUTE(SUBSTITUTE(SUBSTITUTE(SUBSTITUTE(SUBSTITUTE(SUBSTITUTE(SUBSTITUTE(SUBSTITUTE(SUBSTITUTE(TRIM('월 가계부'!A438),"년","-"),"월","-"),"일",""),".","-"),"/","-")," ","-"),"--","-"),"--","-"),"--","-")&amp;"-","")</f>
        <v/>
      </c>
      <c r="CI438">
        <f>IFERROR(IF('월 가계부'!A438="","",IF(ISNUMBER('월 가계부'!A438),IF(AND('월 가계부'!A438&gt;=19000101,'월 가계부'!A438&lt;=21001231),IF(AND(MOD(INT('월 가계부'!A438/100),100)&gt;=1,MOD(INT('월 가계부'!A438/100),100)&lt;=12,MOD(INT('월 가계부'!A438),100)&gt;=1,MOD(INT('월 가계부'!A438),100)&lt;=31),IF(MONTH(DATE(INT('월 가계부'!A438/10000),MOD(INT('월 가계부'!A438/100),100),MOD(INT('월 가계부'!A438),100)))=MOD(INT('월 가계부'!A438/100),100),DATE(INT('월 가계부'!A438/10000),MOD(INT('월 가계부'!A438/100),100),MOD(INT('월 가계부'!A438),100)),""),""),IF(AND('월 가계부'!A438&gt;=36526,'월 가계부'!A438&lt;73051),INT('월 가계부'!A438),"")),IF(OR(CM438="",CN438="",CO438=""),"",IF(AND(CM438&gt;=2000,CM438&lt;=2099,CN438&gt;=1,CN438&lt;=12,CO438&gt;=1,CO438&lt;=31),IF(MONTH(DATE(CM438,CN438,CO438))=CN438,DATE(CM438,CN438,CO438),""),"")))),"")</f>
        <v/>
      </c>
      <c r="CJ438">
        <f>IFERROR(IF('월 가계부'!C438="","",IF(ISNUMBER('월 가계부'!C438),'월 가계부'!C438,VALUE(SUBSTITUTE(SUBSTITUTE(SUBSTITUTE(SUBSTITUTE(TRIM('월 가계부'!C438),",",""),"원","")," ",""),"−","-")))),"")</f>
        <v/>
      </c>
      <c r="CK438">
        <f>IF(ISNUMBER(CI438),IF(CI438&lt;$B$13,CI438,""),"")</f>
        <v/>
      </c>
      <c r="CM438">
        <f>IF(CH438="","",IFERROR(IF(IF(AND(LEN(CH438)=9,ISERROR(FIND("-",LEFT(CH438,8))),ISNUMBER(-LEFT(CH438,8))),VALUE(LEFT(CH438,4)),VALUE(LEFT(CH438,FIND("-",CH438)-1)))&lt;100,IF(AND(LEN(CH438)=9,ISERROR(FIND("-",LEFT(CH438,8))),ISNUMBER(-LEFT(CH438,8))),VALUE(LEFT(CH438,4)),VALUE(LEFT(CH438,FIND("-",CH438)-1)))+2000,IF(AND(LEN(CH438)=9,ISERROR(FIND("-",LEFT(CH438,8))),ISNUMBER(-LEFT(CH438,8))),VALUE(LEFT(CH438,4)),VALUE(LEFT(CH438,FIND("-",CH438)-1)))),""))</f>
        <v/>
      </c>
      <c r="CN438">
        <f>IF(CH438="","",IFERROR(IF(AND(LEN(CH438)=9,ISERROR(FIND("-",LEFT(CH438,8))),ISNUMBER(-LEFT(CH438,8))),VALUE(MID(CH438,5,2)),VALUE(MID(CH438,FIND("-",CH438)+1,FIND("-",CH438,FIND("-",CH438)+1)-FIND("-",CH438)-1))),""))</f>
        <v/>
      </c>
      <c r="CO438">
        <f>IF(CH438="","",IFERROR(IF(AND(LEN(CH438)=9,ISERROR(FIND("-",LEFT(CH438,8))),ISNUMBER(-LEFT(CH438,8))),VALUE(MID(CH438,7,2)),VALUE(MID(CH438,FIND("-",CH438,FIND("-",CH438)+1)+1,FIND("-",CH438,FIND("-",CH438,FIND("-",CH438)+1)+1)-FIND("-",CH438,FIND("-",CH438)+1)-1))),""))</f>
        <v/>
      </c>
    </row>
    <row r="439">
      <c r="CH439">
        <f>IF(ISTEXT('월 가계부'!A439),SUBSTITUTE(SUBSTITUTE(SUBSTITUTE(SUBSTITUTE(SUBSTITUTE(SUBSTITUTE(SUBSTITUTE(SUBSTITUTE(SUBSTITUTE(TRIM('월 가계부'!A439),"년","-"),"월","-"),"일",""),".","-"),"/","-")," ","-"),"--","-"),"--","-"),"--","-")&amp;"-","")</f>
        <v/>
      </c>
      <c r="CI439">
        <f>IFERROR(IF('월 가계부'!A439="","",IF(ISNUMBER('월 가계부'!A439),IF(AND('월 가계부'!A439&gt;=19000101,'월 가계부'!A439&lt;=21001231),IF(AND(MOD(INT('월 가계부'!A439/100),100)&gt;=1,MOD(INT('월 가계부'!A439/100),100)&lt;=12,MOD(INT('월 가계부'!A439),100)&gt;=1,MOD(INT('월 가계부'!A439),100)&lt;=31),IF(MONTH(DATE(INT('월 가계부'!A439/10000),MOD(INT('월 가계부'!A439/100),100),MOD(INT('월 가계부'!A439),100)))=MOD(INT('월 가계부'!A439/100),100),DATE(INT('월 가계부'!A439/10000),MOD(INT('월 가계부'!A439/100),100),MOD(INT('월 가계부'!A439),100)),""),""),IF(AND('월 가계부'!A439&gt;=36526,'월 가계부'!A439&lt;73051),INT('월 가계부'!A439),"")),IF(OR(CM439="",CN439="",CO439=""),"",IF(AND(CM439&gt;=2000,CM439&lt;=2099,CN439&gt;=1,CN439&lt;=12,CO439&gt;=1,CO439&lt;=31),IF(MONTH(DATE(CM439,CN439,CO439))=CN439,DATE(CM439,CN439,CO439),""),"")))),"")</f>
        <v/>
      </c>
      <c r="CJ439">
        <f>IFERROR(IF('월 가계부'!C439="","",IF(ISNUMBER('월 가계부'!C439),'월 가계부'!C439,VALUE(SUBSTITUTE(SUBSTITUTE(SUBSTITUTE(SUBSTITUTE(TRIM('월 가계부'!C439),",",""),"원","")," ",""),"−","-")))),"")</f>
        <v/>
      </c>
      <c r="CK439">
        <f>IF(ISNUMBER(CI439),IF(CI439&lt;$B$13,CI439,""),"")</f>
        <v/>
      </c>
      <c r="CM439">
        <f>IF(CH439="","",IFERROR(IF(IF(AND(LEN(CH439)=9,ISERROR(FIND("-",LEFT(CH439,8))),ISNUMBER(-LEFT(CH439,8))),VALUE(LEFT(CH439,4)),VALUE(LEFT(CH439,FIND("-",CH439)-1)))&lt;100,IF(AND(LEN(CH439)=9,ISERROR(FIND("-",LEFT(CH439,8))),ISNUMBER(-LEFT(CH439,8))),VALUE(LEFT(CH439,4)),VALUE(LEFT(CH439,FIND("-",CH439)-1)))+2000,IF(AND(LEN(CH439)=9,ISERROR(FIND("-",LEFT(CH439,8))),ISNUMBER(-LEFT(CH439,8))),VALUE(LEFT(CH439,4)),VALUE(LEFT(CH439,FIND("-",CH439)-1)))),""))</f>
        <v/>
      </c>
      <c r="CN439">
        <f>IF(CH439="","",IFERROR(IF(AND(LEN(CH439)=9,ISERROR(FIND("-",LEFT(CH439,8))),ISNUMBER(-LEFT(CH439,8))),VALUE(MID(CH439,5,2)),VALUE(MID(CH439,FIND("-",CH439)+1,FIND("-",CH439,FIND("-",CH439)+1)-FIND("-",CH439)-1))),""))</f>
        <v/>
      </c>
      <c r="CO439">
        <f>IF(CH439="","",IFERROR(IF(AND(LEN(CH439)=9,ISERROR(FIND("-",LEFT(CH439,8))),ISNUMBER(-LEFT(CH439,8))),VALUE(MID(CH439,7,2)),VALUE(MID(CH439,FIND("-",CH439,FIND("-",CH439)+1)+1,FIND("-",CH439,FIND("-",CH439,FIND("-",CH439)+1)+1)-FIND("-",CH439,FIND("-",CH439)+1)-1))),""))</f>
        <v/>
      </c>
    </row>
    <row r="440">
      <c r="CH440">
        <f>IF(ISTEXT('월 가계부'!A440),SUBSTITUTE(SUBSTITUTE(SUBSTITUTE(SUBSTITUTE(SUBSTITUTE(SUBSTITUTE(SUBSTITUTE(SUBSTITUTE(SUBSTITUTE(TRIM('월 가계부'!A440),"년","-"),"월","-"),"일",""),".","-"),"/","-")," ","-"),"--","-"),"--","-"),"--","-")&amp;"-","")</f>
        <v/>
      </c>
      <c r="CI440">
        <f>IFERROR(IF('월 가계부'!A440="","",IF(ISNUMBER('월 가계부'!A440),IF(AND('월 가계부'!A440&gt;=19000101,'월 가계부'!A440&lt;=21001231),IF(AND(MOD(INT('월 가계부'!A440/100),100)&gt;=1,MOD(INT('월 가계부'!A440/100),100)&lt;=12,MOD(INT('월 가계부'!A440),100)&gt;=1,MOD(INT('월 가계부'!A440),100)&lt;=31),IF(MONTH(DATE(INT('월 가계부'!A440/10000),MOD(INT('월 가계부'!A440/100),100),MOD(INT('월 가계부'!A440),100)))=MOD(INT('월 가계부'!A440/100),100),DATE(INT('월 가계부'!A440/10000),MOD(INT('월 가계부'!A440/100),100),MOD(INT('월 가계부'!A440),100)),""),""),IF(AND('월 가계부'!A440&gt;=36526,'월 가계부'!A440&lt;73051),INT('월 가계부'!A440),"")),IF(OR(CM440="",CN440="",CO440=""),"",IF(AND(CM440&gt;=2000,CM440&lt;=2099,CN440&gt;=1,CN440&lt;=12,CO440&gt;=1,CO440&lt;=31),IF(MONTH(DATE(CM440,CN440,CO440))=CN440,DATE(CM440,CN440,CO440),""),"")))),"")</f>
        <v/>
      </c>
      <c r="CJ440">
        <f>IFERROR(IF('월 가계부'!C440="","",IF(ISNUMBER('월 가계부'!C440),'월 가계부'!C440,VALUE(SUBSTITUTE(SUBSTITUTE(SUBSTITUTE(SUBSTITUTE(TRIM('월 가계부'!C440),",",""),"원","")," ",""),"−","-")))),"")</f>
        <v/>
      </c>
      <c r="CK440">
        <f>IF(ISNUMBER(CI440),IF(CI440&lt;$B$13,CI440,""),"")</f>
        <v/>
      </c>
      <c r="CM440">
        <f>IF(CH440="","",IFERROR(IF(IF(AND(LEN(CH440)=9,ISERROR(FIND("-",LEFT(CH440,8))),ISNUMBER(-LEFT(CH440,8))),VALUE(LEFT(CH440,4)),VALUE(LEFT(CH440,FIND("-",CH440)-1)))&lt;100,IF(AND(LEN(CH440)=9,ISERROR(FIND("-",LEFT(CH440,8))),ISNUMBER(-LEFT(CH440,8))),VALUE(LEFT(CH440,4)),VALUE(LEFT(CH440,FIND("-",CH440)-1)))+2000,IF(AND(LEN(CH440)=9,ISERROR(FIND("-",LEFT(CH440,8))),ISNUMBER(-LEFT(CH440,8))),VALUE(LEFT(CH440,4)),VALUE(LEFT(CH440,FIND("-",CH440)-1)))),""))</f>
        <v/>
      </c>
      <c r="CN440">
        <f>IF(CH440="","",IFERROR(IF(AND(LEN(CH440)=9,ISERROR(FIND("-",LEFT(CH440,8))),ISNUMBER(-LEFT(CH440,8))),VALUE(MID(CH440,5,2)),VALUE(MID(CH440,FIND("-",CH440)+1,FIND("-",CH440,FIND("-",CH440)+1)-FIND("-",CH440)-1))),""))</f>
        <v/>
      </c>
      <c r="CO440">
        <f>IF(CH440="","",IFERROR(IF(AND(LEN(CH440)=9,ISERROR(FIND("-",LEFT(CH440,8))),ISNUMBER(-LEFT(CH440,8))),VALUE(MID(CH440,7,2)),VALUE(MID(CH440,FIND("-",CH440,FIND("-",CH440)+1)+1,FIND("-",CH440,FIND("-",CH440,FIND("-",CH440)+1)+1)-FIND("-",CH440,FIND("-",CH440)+1)-1))),""))</f>
        <v/>
      </c>
    </row>
    <row r="441">
      <c r="CH441">
        <f>IF(ISTEXT('월 가계부'!A441),SUBSTITUTE(SUBSTITUTE(SUBSTITUTE(SUBSTITUTE(SUBSTITUTE(SUBSTITUTE(SUBSTITUTE(SUBSTITUTE(SUBSTITUTE(TRIM('월 가계부'!A441),"년","-"),"월","-"),"일",""),".","-"),"/","-")," ","-"),"--","-"),"--","-"),"--","-")&amp;"-","")</f>
        <v/>
      </c>
      <c r="CI441">
        <f>IFERROR(IF('월 가계부'!A441="","",IF(ISNUMBER('월 가계부'!A441),IF(AND('월 가계부'!A441&gt;=19000101,'월 가계부'!A441&lt;=21001231),IF(AND(MOD(INT('월 가계부'!A441/100),100)&gt;=1,MOD(INT('월 가계부'!A441/100),100)&lt;=12,MOD(INT('월 가계부'!A441),100)&gt;=1,MOD(INT('월 가계부'!A441),100)&lt;=31),IF(MONTH(DATE(INT('월 가계부'!A441/10000),MOD(INT('월 가계부'!A441/100),100),MOD(INT('월 가계부'!A441),100)))=MOD(INT('월 가계부'!A441/100),100),DATE(INT('월 가계부'!A441/10000),MOD(INT('월 가계부'!A441/100),100),MOD(INT('월 가계부'!A441),100)),""),""),IF(AND('월 가계부'!A441&gt;=36526,'월 가계부'!A441&lt;73051),INT('월 가계부'!A441),"")),IF(OR(CM441="",CN441="",CO441=""),"",IF(AND(CM441&gt;=2000,CM441&lt;=2099,CN441&gt;=1,CN441&lt;=12,CO441&gt;=1,CO441&lt;=31),IF(MONTH(DATE(CM441,CN441,CO441))=CN441,DATE(CM441,CN441,CO441),""),"")))),"")</f>
        <v/>
      </c>
      <c r="CJ441">
        <f>IFERROR(IF('월 가계부'!C441="","",IF(ISNUMBER('월 가계부'!C441),'월 가계부'!C441,VALUE(SUBSTITUTE(SUBSTITUTE(SUBSTITUTE(SUBSTITUTE(TRIM('월 가계부'!C441),",",""),"원","")," ",""),"−","-")))),"")</f>
        <v/>
      </c>
      <c r="CK441">
        <f>IF(ISNUMBER(CI441),IF(CI441&lt;$B$13,CI441,""),"")</f>
        <v/>
      </c>
      <c r="CM441">
        <f>IF(CH441="","",IFERROR(IF(IF(AND(LEN(CH441)=9,ISERROR(FIND("-",LEFT(CH441,8))),ISNUMBER(-LEFT(CH441,8))),VALUE(LEFT(CH441,4)),VALUE(LEFT(CH441,FIND("-",CH441)-1)))&lt;100,IF(AND(LEN(CH441)=9,ISERROR(FIND("-",LEFT(CH441,8))),ISNUMBER(-LEFT(CH441,8))),VALUE(LEFT(CH441,4)),VALUE(LEFT(CH441,FIND("-",CH441)-1)))+2000,IF(AND(LEN(CH441)=9,ISERROR(FIND("-",LEFT(CH441,8))),ISNUMBER(-LEFT(CH441,8))),VALUE(LEFT(CH441,4)),VALUE(LEFT(CH441,FIND("-",CH441)-1)))),""))</f>
        <v/>
      </c>
      <c r="CN441">
        <f>IF(CH441="","",IFERROR(IF(AND(LEN(CH441)=9,ISERROR(FIND("-",LEFT(CH441,8))),ISNUMBER(-LEFT(CH441,8))),VALUE(MID(CH441,5,2)),VALUE(MID(CH441,FIND("-",CH441)+1,FIND("-",CH441,FIND("-",CH441)+1)-FIND("-",CH441)-1))),""))</f>
        <v/>
      </c>
      <c r="CO441">
        <f>IF(CH441="","",IFERROR(IF(AND(LEN(CH441)=9,ISERROR(FIND("-",LEFT(CH441,8))),ISNUMBER(-LEFT(CH441,8))),VALUE(MID(CH441,7,2)),VALUE(MID(CH441,FIND("-",CH441,FIND("-",CH441)+1)+1,FIND("-",CH441,FIND("-",CH441,FIND("-",CH441)+1)+1)-FIND("-",CH441,FIND("-",CH441)+1)-1))),""))</f>
        <v/>
      </c>
    </row>
    <row r="442">
      <c r="CH442">
        <f>IF(ISTEXT('월 가계부'!A442),SUBSTITUTE(SUBSTITUTE(SUBSTITUTE(SUBSTITUTE(SUBSTITUTE(SUBSTITUTE(SUBSTITUTE(SUBSTITUTE(SUBSTITUTE(TRIM('월 가계부'!A442),"년","-"),"월","-"),"일",""),".","-"),"/","-")," ","-"),"--","-"),"--","-"),"--","-")&amp;"-","")</f>
        <v/>
      </c>
      <c r="CI442">
        <f>IFERROR(IF('월 가계부'!A442="","",IF(ISNUMBER('월 가계부'!A442),IF(AND('월 가계부'!A442&gt;=19000101,'월 가계부'!A442&lt;=21001231),IF(AND(MOD(INT('월 가계부'!A442/100),100)&gt;=1,MOD(INT('월 가계부'!A442/100),100)&lt;=12,MOD(INT('월 가계부'!A442),100)&gt;=1,MOD(INT('월 가계부'!A442),100)&lt;=31),IF(MONTH(DATE(INT('월 가계부'!A442/10000),MOD(INT('월 가계부'!A442/100),100),MOD(INT('월 가계부'!A442),100)))=MOD(INT('월 가계부'!A442/100),100),DATE(INT('월 가계부'!A442/10000),MOD(INT('월 가계부'!A442/100),100),MOD(INT('월 가계부'!A442),100)),""),""),IF(AND('월 가계부'!A442&gt;=36526,'월 가계부'!A442&lt;73051),INT('월 가계부'!A442),"")),IF(OR(CM442="",CN442="",CO442=""),"",IF(AND(CM442&gt;=2000,CM442&lt;=2099,CN442&gt;=1,CN442&lt;=12,CO442&gt;=1,CO442&lt;=31),IF(MONTH(DATE(CM442,CN442,CO442))=CN442,DATE(CM442,CN442,CO442),""),"")))),"")</f>
        <v/>
      </c>
      <c r="CJ442">
        <f>IFERROR(IF('월 가계부'!C442="","",IF(ISNUMBER('월 가계부'!C442),'월 가계부'!C442,VALUE(SUBSTITUTE(SUBSTITUTE(SUBSTITUTE(SUBSTITUTE(TRIM('월 가계부'!C442),",",""),"원","")," ",""),"−","-")))),"")</f>
        <v/>
      </c>
      <c r="CK442">
        <f>IF(ISNUMBER(CI442),IF(CI442&lt;$B$13,CI442,""),"")</f>
        <v/>
      </c>
      <c r="CM442">
        <f>IF(CH442="","",IFERROR(IF(IF(AND(LEN(CH442)=9,ISERROR(FIND("-",LEFT(CH442,8))),ISNUMBER(-LEFT(CH442,8))),VALUE(LEFT(CH442,4)),VALUE(LEFT(CH442,FIND("-",CH442)-1)))&lt;100,IF(AND(LEN(CH442)=9,ISERROR(FIND("-",LEFT(CH442,8))),ISNUMBER(-LEFT(CH442,8))),VALUE(LEFT(CH442,4)),VALUE(LEFT(CH442,FIND("-",CH442)-1)))+2000,IF(AND(LEN(CH442)=9,ISERROR(FIND("-",LEFT(CH442,8))),ISNUMBER(-LEFT(CH442,8))),VALUE(LEFT(CH442,4)),VALUE(LEFT(CH442,FIND("-",CH442)-1)))),""))</f>
        <v/>
      </c>
      <c r="CN442">
        <f>IF(CH442="","",IFERROR(IF(AND(LEN(CH442)=9,ISERROR(FIND("-",LEFT(CH442,8))),ISNUMBER(-LEFT(CH442,8))),VALUE(MID(CH442,5,2)),VALUE(MID(CH442,FIND("-",CH442)+1,FIND("-",CH442,FIND("-",CH442)+1)-FIND("-",CH442)-1))),""))</f>
        <v/>
      </c>
      <c r="CO442">
        <f>IF(CH442="","",IFERROR(IF(AND(LEN(CH442)=9,ISERROR(FIND("-",LEFT(CH442,8))),ISNUMBER(-LEFT(CH442,8))),VALUE(MID(CH442,7,2)),VALUE(MID(CH442,FIND("-",CH442,FIND("-",CH442)+1)+1,FIND("-",CH442,FIND("-",CH442,FIND("-",CH442)+1)+1)-FIND("-",CH442,FIND("-",CH442)+1)-1))),""))</f>
        <v/>
      </c>
    </row>
    <row r="443">
      <c r="CH443">
        <f>IF(ISTEXT('월 가계부'!A443),SUBSTITUTE(SUBSTITUTE(SUBSTITUTE(SUBSTITUTE(SUBSTITUTE(SUBSTITUTE(SUBSTITUTE(SUBSTITUTE(SUBSTITUTE(TRIM('월 가계부'!A443),"년","-"),"월","-"),"일",""),".","-"),"/","-")," ","-"),"--","-"),"--","-"),"--","-")&amp;"-","")</f>
        <v/>
      </c>
      <c r="CI443">
        <f>IFERROR(IF('월 가계부'!A443="","",IF(ISNUMBER('월 가계부'!A443),IF(AND('월 가계부'!A443&gt;=19000101,'월 가계부'!A443&lt;=21001231),IF(AND(MOD(INT('월 가계부'!A443/100),100)&gt;=1,MOD(INT('월 가계부'!A443/100),100)&lt;=12,MOD(INT('월 가계부'!A443),100)&gt;=1,MOD(INT('월 가계부'!A443),100)&lt;=31),IF(MONTH(DATE(INT('월 가계부'!A443/10000),MOD(INT('월 가계부'!A443/100),100),MOD(INT('월 가계부'!A443),100)))=MOD(INT('월 가계부'!A443/100),100),DATE(INT('월 가계부'!A443/10000),MOD(INT('월 가계부'!A443/100),100),MOD(INT('월 가계부'!A443),100)),""),""),IF(AND('월 가계부'!A443&gt;=36526,'월 가계부'!A443&lt;73051),INT('월 가계부'!A443),"")),IF(OR(CM443="",CN443="",CO443=""),"",IF(AND(CM443&gt;=2000,CM443&lt;=2099,CN443&gt;=1,CN443&lt;=12,CO443&gt;=1,CO443&lt;=31),IF(MONTH(DATE(CM443,CN443,CO443))=CN443,DATE(CM443,CN443,CO443),""),"")))),"")</f>
        <v/>
      </c>
      <c r="CJ443">
        <f>IFERROR(IF('월 가계부'!C443="","",IF(ISNUMBER('월 가계부'!C443),'월 가계부'!C443,VALUE(SUBSTITUTE(SUBSTITUTE(SUBSTITUTE(SUBSTITUTE(TRIM('월 가계부'!C443),",",""),"원","")," ",""),"−","-")))),"")</f>
        <v/>
      </c>
      <c r="CK443">
        <f>IF(ISNUMBER(CI443),IF(CI443&lt;$B$13,CI443,""),"")</f>
        <v/>
      </c>
      <c r="CM443">
        <f>IF(CH443="","",IFERROR(IF(IF(AND(LEN(CH443)=9,ISERROR(FIND("-",LEFT(CH443,8))),ISNUMBER(-LEFT(CH443,8))),VALUE(LEFT(CH443,4)),VALUE(LEFT(CH443,FIND("-",CH443)-1)))&lt;100,IF(AND(LEN(CH443)=9,ISERROR(FIND("-",LEFT(CH443,8))),ISNUMBER(-LEFT(CH443,8))),VALUE(LEFT(CH443,4)),VALUE(LEFT(CH443,FIND("-",CH443)-1)))+2000,IF(AND(LEN(CH443)=9,ISERROR(FIND("-",LEFT(CH443,8))),ISNUMBER(-LEFT(CH443,8))),VALUE(LEFT(CH443,4)),VALUE(LEFT(CH443,FIND("-",CH443)-1)))),""))</f>
        <v/>
      </c>
      <c r="CN443">
        <f>IF(CH443="","",IFERROR(IF(AND(LEN(CH443)=9,ISERROR(FIND("-",LEFT(CH443,8))),ISNUMBER(-LEFT(CH443,8))),VALUE(MID(CH443,5,2)),VALUE(MID(CH443,FIND("-",CH443)+1,FIND("-",CH443,FIND("-",CH443)+1)-FIND("-",CH443)-1))),""))</f>
        <v/>
      </c>
      <c r="CO443">
        <f>IF(CH443="","",IFERROR(IF(AND(LEN(CH443)=9,ISERROR(FIND("-",LEFT(CH443,8))),ISNUMBER(-LEFT(CH443,8))),VALUE(MID(CH443,7,2)),VALUE(MID(CH443,FIND("-",CH443,FIND("-",CH443)+1)+1,FIND("-",CH443,FIND("-",CH443,FIND("-",CH443)+1)+1)-FIND("-",CH443,FIND("-",CH443)+1)-1))),""))</f>
        <v/>
      </c>
    </row>
    <row r="444">
      <c r="CH444">
        <f>IF(ISTEXT('월 가계부'!A444),SUBSTITUTE(SUBSTITUTE(SUBSTITUTE(SUBSTITUTE(SUBSTITUTE(SUBSTITUTE(SUBSTITUTE(SUBSTITUTE(SUBSTITUTE(TRIM('월 가계부'!A444),"년","-"),"월","-"),"일",""),".","-"),"/","-")," ","-"),"--","-"),"--","-"),"--","-")&amp;"-","")</f>
        <v/>
      </c>
      <c r="CI444">
        <f>IFERROR(IF('월 가계부'!A444="","",IF(ISNUMBER('월 가계부'!A444),IF(AND('월 가계부'!A444&gt;=19000101,'월 가계부'!A444&lt;=21001231),IF(AND(MOD(INT('월 가계부'!A444/100),100)&gt;=1,MOD(INT('월 가계부'!A444/100),100)&lt;=12,MOD(INT('월 가계부'!A444),100)&gt;=1,MOD(INT('월 가계부'!A444),100)&lt;=31),IF(MONTH(DATE(INT('월 가계부'!A444/10000),MOD(INT('월 가계부'!A444/100),100),MOD(INT('월 가계부'!A444),100)))=MOD(INT('월 가계부'!A444/100),100),DATE(INT('월 가계부'!A444/10000),MOD(INT('월 가계부'!A444/100),100),MOD(INT('월 가계부'!A444),100)),""),""),IF(AND('월 가계부'!A444&gt;=36526,'월 가계부'!A444&lt;73051),INT('월 가계부'!A444),"")),IF(OR(CM444="",CN444="",CO444=""),"",IF(AND(CM444&gt;=2000,CM444&lt;=2099,CN444&gt;=1,CN444&lt;=12,CO444&gt;=1,CO444&lt;=31),IF(MONTH(DATE(CM444,CN444,CO444))=CN444,DATE(CM444,CN444,CO444),""),"")))),"")</f>
        <v/>
      </c>
      <c r="CJ444">
        <f>IFERROR(IF('월 가계부'!C444="","",IF(ISNUMBER('월 가계부'!C444),'월 가계부'!C444,VALUE(SUBSTITUTE(SUBSTITUTE(SUBSTITUTE(SUBSTITUTE(TRIM('월 가계부'!C444),",",""),"원","")," ",""),"−","-")))),"")</f>
        <v/>
      </c>
      <c r="CK444">
        <f>IF(ISNUMBER(CI444),IF(CI444&lt;$B$13,CI444,""),"")</f>
        <v/>
      </c>
      <c r="CM444">
        <f>IF(CH444="","",IFERROR(IF(IF(AND(LEN(CH444)=9,ISERROR(FIND("-",LEFT(CH444,8))),ISNUMBER(-LEFT(CH444,8))),VALUE(LEFT(CH444,4)),VALUE(LEFT(CH444,FIND("-",CH444)-1)))&lt;100,IF(AND(LEN(CH444)=9,ISERROR(FIND("-",LEFT(CH444,8))),ISNUMBER(-LEFT(CH444,8))),VALUE(LEFT(CH444,4)),VALUE(LEFT(CH444,FIND("-",CH444)-1)))+2000,IF(AND(LEN(CH444)=9,ISERROR(FIND("-",LEFT(CH444,8))),ISNUMBER(-LEFT(CH444,8))),VALUE(LEFT(CH444,4)),VALUE(LEFT(CH444,FIND("-",CH444)-1)))),""))</f>
        <v/>
      </c>
      <c r="CN444">
        <f>IF(CH444="","",IFERROR(IF(AND(LEN(CH444)=9,ISERROR(FIND("-",LEFT(CH444,8))),ISNUMBER(-LEFT(CH444,8))),VALUE(MID(CH444,5,2)),VALUE(MID(CH444,FIND("-",CH444)+1,FIND("-",CH444,FIND("-",CH444)+1)-FIND("-",CH444)-1))),""))</f>
        <v/>
      </c>
      <c r="CO444">
        <f>IF(CH444="","",IFERROR(IF(AND(LEN(CH444)=9,ISERROR(FIND("-",LEFT(CH444,8))),ISNUMBER(-LEFT(CH444,8))),VALUE(MID(CH444,7,2)),VALUE(MID(CH444,FIND("-",CH444,FIND("-",CH444)+1)+1,FIND("-",CH444,FIND("-",CH444,FIND("-",CH444)+1)+1)-FIND("-",CH444,FIND("-",CH444)+1)-1))),""))</f>
        <v/>
      </c>
    </row>
    <row r="445">
      <c r="CH445">
        <f>IF(ISTEXT('월 가계부'!A445),SUBSTITUTE(SUBSTITUTE(SUBSTITUTE(SUBSTITUTE(SUBSTITUTE(SUBSTITUTE(SUBSTITUTE(SUBSTITUTE(SUBSTITUTE(TRIM('월 가계부'!A445),"년","-"),"월","-"),"일",""),".","-"),"/","-")," ","-"),"--","-"),"--","-"),"--","-")&amp;"-","")</f>
        <v/>
      </c>
      <c r="CI445">
        <f>IFERROR(IF('월 가계부'!A445="","",IF(ISNUMBER('월 가계부'!A445),IF(AND('월 가계부'!A445&gt;=19000101,'월 가계부'!A445&lt;=21001231),IF(AND(MOD(INT('월 가계부'!A445/100),100)&gt;=1,MOD(INT('월 가계부'!A445/100),100)&lt;=12,MOD(INT('월 가계부'!A445),100)&gt;=1,MOD(INT('월 가계부'!A445),100)&lt;=31),IF(MONTH(DATE(INT('월 가계부'!A445/10000),MOD(INT('월 가계부'!A445/100),100),MOD(INT('월 가계부'!A445),100)))=MOD(INT('월 가계부'!A445/100),100),DATE(INT('월 가계부'!A445/10000),MOD(INT('월 가계부'!A445/100),100),MOD(INT('월 가계부'!A445),100)),""),""),IF(AND('월 가계부'!A445&gt;=36526,'월 가계부'!A445&lt;73051),INT('월 가계부'!A445),"")),IF(OR(CM445="",CN445="",CO445=""),"",IF(AND(CM445&gt;=2000,CM445&lt;=2099,CN445&gt;=1,CN445&lt;=12,CO445&gt;=1,CO445&lt;=31),IF(MONTH(DATE(CM445,CN445,CO445))=CN445,DATE(CM445,CN445,CO445),""),"")))),"")</f>
        <v/>
      </c>
      <c r="CJ445">
        <f>IFERROR(IF('월 가계부'!C445="","",IF(ISNUMBER('월 가계부'!C445),'월 가계부'!C445,VALUE(SUBSTITUTE(SUBSTITUTE(SUBSTITUTE(SUBSTITUTE(TRIM('월 가계부'!C445),",",""),"원","")," ",""),"−","-")))),"")</f>
        <v/>
      </c>
      <c r="CK445">
        <f>IF(ISNUMBER(CI445),IF(CI445&lt;$B$13,CI445,""),"")</f>
        <v/>
      </c>
      <c r="CM445">
        <f>IF(CH445="","",IFERROR(IF(IF(AND(LEN(CH445)=9,ISERROR(FIND("-",LEFT(CH445,8))),ISNUMBER(-LEFT(CH445,8))),VALUE(LEFT(CH445,4)),VALUE(LEFT(CH445,FIND("-",CH445)-1)))&lt;100,IF(AND(LEN(CH445)=9,ISERROR(FIND("-",LEFT(CH445,8))),ISNUMBER(-LEFT(CH445,8))),VALUE(LEFT(CH445,4)),VALUE(LEFT(CH445,FIND("-",CH445)-1)))+2000,IF(AND(LEN(CH445)=9,ISERROR(FIND("-",LEFT(CH445,8))),ISNUMBER(-LEFT(CH445,8))),VALUE(LEFT(CH445,4)),VALUE(LEFT(CH445,FIND("-",CH445)-1)))),""))</f>
        <v/>
      </c>
      <c r="CN445">
        <f>IF(CH445="","",IFERROR(IF(AND(LEN(CH445)=9,ISERROR(FIND("-",LEFT(CH445,8))),ISNUMBER(-LEFT(CH445,8))),VALUE(MID(CH445,5,2)),VALUE(MID(CH445,FIND("-",CH445)+1,FIND("-",CH445,FIND("-",CH445)+1)-FIND("-",CH445)-1))),""))</f>
        <v/>
      </c>
      <c r="CO445">
        <f>IF(CH445="","",IFERROR(IF(AND(LEN(CH445)=9,ISERROR(FIND("-",LEFT(CH445,8))),ISNUMBER(-LEFT(CH445,8))),VALUE(MID(CH445,7,2)),VALUE(MID(CH445,FIND("-",CH445,FIND("-",CH445)+1)+1,FIND("-",CH445,FIND("-",CH445,FIND("-",CH445)+1)+1)-FIND("-",CH445,FIND("-",CH445)+1)-1))),""))</f>
        <v/>
      </c>
    </row>
    <row r="446">
      <c r="CH446">
        <f>IF(ISTEXT('월 가계부'!A446),SUBSTITUTE(SUBSTITUTE(SUBSTITUTE(SUBSTITUTE(SUBSTITUTE(SUBSTITUTE(SUBSTITUTE(SUBSTITUTE(SUBSTITUTE(TRIM('월 가계부'!A446),"년","-"),"월","-"),"일",""),".","-"),"/","-")," ","-"),"--","-"),"--","-"),"--","-")&amp;"-","")</f>
        <v/>
      </c>
      <c r="CI446">
        <f>IFERROR(IF('월 가계부'!A446="","",IF(ISNUMBER('월 가계부'!A446),IF(AND('월 가계부'!A446&gt;=19000101,'월 가계부'!A446&lt;=21001231),IF(AND(MOD(INT('월 가계부'!A446/100),100)&gt;=1,MOD(INT('월 가계부'!A446/100),100)&lt;=12,MOD(INT('월 가계부'!A446),100)&gt;=1,MOD(INT('월 가계부'!A446),100)&lt;=31),IF(MONTH(DATE(INT('월 가계부'!A446/10000),MOD(INT('월 가계부'!A446/100),100),MOD(INT('월 가계부'!A446),100)))=MOD(INT('월 가계부'!A446/100),100),DATE(INT('월 가계부'!A446/10000),MOD(INT('월 가계부'!A446/100),100),MOD(INT('월 가계부'!A446),100)),""),""),IF(AND('월 가계부'!A446&gt;=36526,'월 가계부'!A446&lt;73051),INT('월 가계부'!A446),"")),IF(OR(CM446="",CN446="",CO446=""),"",IF(AND(CM446&gt;=2000,CM446&lt;=2099,CN446&gt;=1,CN446&lt;=12,CO446&gt;=1,CO446&lt;=31),IF(MONTH(DATE(CM446,CN446,CO446))=CN446,DATE(CM446,CN446,CO446),""),"")))),"")</f>
        <v/>
      </c>
      <c r="CJ446">
        <f>IFERROR(IF('월 가계부'!C446="","",IF(ISNUMBER('월 가계부'!C446),'월 가계부'!C446,VALUE(SUBSTITUTE(SUBSTITUTE(SUBSTITUTE(SUBSTITUTE(TRIM('월 가계부'!C446),",",""),"원","")," ",""),"−","-")))),"")</f>
        <v/>
      </c>
      <c r="CK446">
        <f>IF(ISNUMBER(CI446),IF(CI446&lt;$B$13,CI446,""),"")</f>
        <v/>
      </c>
      <c r="CM446">
        <f>IF(CH446="","",IFERROR(IF(IF(AND(LEN(CH446)=9,ISERROR(FIND("-",LEFT(CH446,8))),ISNUMBER(-LEFT(CH446,8))),VALUE(LEFT(CH446,4)),VALUE(LEFT(CH446,FIND("-",CH446)-1)))&lt;100,IF(AND(LEN(CH446)=9,ISERROR(FIND("-",LEFT(CH446,8))),ISNUMBER(-LEFT(CH446,8))),VALUE(LEFT(CH446,4)),VALUE(LEFT(CH446,FIND("-",CH446)-1)))+2000,IF(AND(LEN(CH446)=9,ISERROR(FIND("-",LEFT(CH446,8))),ISNUMBER(-LEFT(CH446,8))),VALUE(LEFT(CH446,4)),VALUE(LEFT(CH446,FIND("-",CH446)-1)))),""))</f>
        <v/>
      </c>
      <c r="CN446">
        <f>IF(CH446="","",IFERROR(IF(AND(LEN(CH446)=9,ISERROR(FIND("-",LEFT(CH446,8))),ISNUMBER(-LEFT(CH446,8))),VALUE(MID(CH446,5,2)),VALUE(MID(CH446,FIND("-",CH446)+1,FIND("-",CH446,FIND("-",CH446)+1)-FIND("-",CH446)-1))),""))</f>
        <v/>
      </c>
      <c r="CO446">
        <f>IF(CH446="","",IFERROR(IF(AND(LEN(CH446)=9,ISERROR(FIND("-",LEFT(CH446,8))),ISNUMBER(-LEFT(CH446,8))),VALUE(MID(CH446,7,2)),VALUE(MID(CH446,FIND("-",CH446,FIND("-",CH446)+1)+1,FIND("-",CH446,FIND("-",CH446,FIND("-",CH446)+1)+1)-FIND("-",CH446,FIND("-",CH446)+1)-1))),""))</f>
        <v/>
      </c>
    </row>
    <row r="447">
      <c r="CH447">
        <f>IF(ISTEXT('월 가계부'!A447),SUBSTITUTE(SUBSTITUTE(SUBSTITUTE(SUBSTITUTE(SUBSTITUTE(SUBSTITUTE(SUBSTITUTE(SUBSTITUTE(SUBSTITUTE(TRIM('월 가계부'!A447),"년","-"),"월","-"),"일",""),".","-"),"/","-")," ","-"),"--","-"),"--","-"),"--","-")&amp;"-","")</f>
        <v/>
      </c>
      <c r="CI447">
        <f>IFERROR(IF('월 가계부'!A447="","",IF(ISNUMBER('월 가계부'!A447),IF(AND('월 가계부'!A447&gt;=19000101,'월 가계부'!A447&lt;=21001231),IF(AND(MOD(INT('월 가계부'!A447/100),100)&gt;=1,MOD(INT('월 가계부'!A447/100),100)&lt;=12,MOD(INT('월 가계부'!A447),100)&gt;=1,MOD(INT('월 가계부'!A447),100)&lt;=31),IF(MONTH(DATE(INT('월 가계부'!A447/10000),MOD(INT('월 가계부'!A447/100),100),MOD(INT('월 가계부'!A447),100)))=MOD(INT('월 가계부'!A447/100),100),DATE(INT('월 가계부'!A447/10000),MOD(INT('월 가계부'!A447/100),100),MOD(INT('월 가계부'!A447),100)),""),""),IF(AND('월 가계부'!A447&gt;=36526,'월 가계부'!A447&lt;73051),INT('월 가계부'!A447),"")),IF(OR(CM447="",CN447="",CO447=""),"",IF(AND(CM447&gt;=2000,CM447&lt;=2099,CN447&gt;=1,CN447&lt;=12,CO447&gt;=1,CO447&lt;=31),IF(MONTH(DATE(CM447,CN447,CO447))=CN447,DATE(CM447,CN447,CO447),""),"")))),"")</f>
        <v/>
      </c>
      <c r="CJ447">
        <f>IFERROR(IF('월 가계부'!C447="","",IF(ISNUMBER('월 가계부'!C447),'월 가계부'!C447,VALUE(SUBSTITUTE(SUBSTITUTE(SUBSTITUTE(SUBSTITUTE(TRIM('월 가계부'!C447),",",""),"원","")," ",""),"−","-")))),"")</f>
        <v/>
      </c>
      <c r="CK447">
        <f>IF(ISNUMBER(CI447),IF(CI447&lt;$B$13,CI447,""),"")</f>
        <v/>
      </c>
      <c r="CM447">
        <f>IF(CH447="","",IFERROR(IF(IF(AND(LEN(CH447)=9,ISERROR(FIND("-",LEFT(CH447,8))),ISNUMBER(-LEFT(CH447,8))),VALUE(LEFT(CH447,4)),VALUE(LEFT(CH447,FIND("-",CH447)-1)))&lt;100,IF(AND(LEN(CH447)=9,ISERROR(FIND("-",LEFT(CH447,8))),ISNUMBER(-LEFT(CH447,8))),VALUE(LEFT(CH447,4)),VALUE(LEFT(CH447,FIND("-",CH447)-1)))+2000,IF(AND(LEN(CH447)=9,ISERROR(FIND("-",LEFT(CH447,8))),ISNUMBER(-LEFT(CH447,8))),VALUE(LEFT(CH447,4)),VALUE(LEFT(CH447,FIND("-",CH447)-1)))),""))</f>
        <v/>
      </c>
      <c r="CN447">
        <f>IF(CH447="","",IFERROR(IF(AND(LEN(CH447)=9,ISERROR(FIND("-",LEFT(CH447,8))),ISNUMBER(-LEFT(CH447,8))),VALUE(MID(CH447,5,2)),VALUE(MID(CH447,FIND("-",CH447)+1,FIND("-",CH447,FIND("-",CH447)+1)-FIND("-",CH447)-1))),""))</f>
        <v/>
      </c>
      <c r="CO447">
        <f>IF(CH447="","",IFERROR(IF(AND(LEN(CH447)=9,ISERROR(FIND("-",LEFT(CH447,8))),ISNUMBER(-LEFT(CH447,8))),VALUE(MID(CH447,7,2)),VALUE(MID(CH447,FIND("-",CH447,FIND("-",CH447)+1)+1,FIND("-",CH447,FIND("-",CH447,FIND("-",CH447)+1)+1)-FIND("-",CH447,FIND("-",CH447)+1)-1))),""))</f>
        <v/>
      </c>
    </row>
    <row r="448">
      <c r="CH448">
        <f>IF(ISTEXT('월 가계부'!A448),SUBSTITUTE(SUBSTITUTE(SUBSTITUTE(SUBSTITUTE(SUBSTITUTE(SUBSTITUTE(SUBSTITUTE(SUBSTITUTE(SUBSTITUTE(TRIM('월 가계부'!A448),"년","-"),"월","-"),"일",""),".","-"),"/","-")," ","-"),"--","-"),"--","-"),"--","-")&amp;"-","")</f>
        <v/>
      </c>
      <c r="CI448">
        <f>IFERROR(IF('월 가계부'!A448="","",IF(ISNUMBER('월 가계부'!A448),IF(AND('월 가계부'!A448&gt;=19000101,'월 가계부'!A448&lt;=21001231),IF(AND(MOD(INT('월 가계부'!A448/100),100)&gt;=1,MOD(INT('월 가계부'!A448/100),100)&lt;=12,MOD(INT('월 가계부'!A448),100)&gt;=1,MOD(INT('월 가계부'!A448),100)&lt;=31),IF(MONTH(DATE(INT('월 가계부'!A448/10000),MOD(INT('월 가계부'!A448/100),100),MOD(INT('월 가계부'!A448),100)))=MOD(INT('월 가계부'!A448/100),100),DATE(INT('월 가계부'!A448/10000),MOD(INT('월 가계부'!A448/100),100),MOD(INT('월 가계부'!A448),100)),""),""),IF(AND('월 가계부'!A448&gt;=36526,'월 가계부'!A448&lt;73051),INT('월 가계부'!A448),"")),IF(OR(CM448="",CN448="",CO448=""),"",IF(AND(CM448&gt;=2000,CM448&lt;=2099,CN448&gt;=1,CN448&lt;=12,CO448&gt;=1,CO448&lt;=31),IF(MONTH(DATE(CM448,CN448,CO448))=CN448,DATE(CM448,CN448,CO448),""),"")))),"")</f>
        <v/>
      </c>
      <c r="CJ448">
        <f>IFERROR(IF('월 가계부'!C448="","",IF(ISNUMBER('월 가계부'!C448),'월 가계부'!C448,VALUE(SUBSTITUTE(SUBSTITUTE(SUBSTITUTE(SUBSTITUTE(TRIM('월 가계부'!C448),",",""),"원","")," ",""),"−","-")))),"")</f>
        <v/>
      </c>
      <c r="CK448">
        <f>IF(ISNUMBER(CI448),IF(CI448&lt;$B$13,CI448,""),"")</f>
        <v/>
      </c>
      <c r="CM448">
        <f>IF(CH448="","",IFERROR(IF(IF(AND(LEN(CH448)=9,ISERROR(FIND("-",LEFT(CH448,8))),ISNUMBER(-LEFT(CH448,8))),VALUE(LEFT(CH448,4)),VALUE(LEFT(CH448,FIND("-",CH448)-1)))&lt;100,IF(AND(LEN(CH448)=9,ISERROR(FIND("-",LEFT(CH448,8))),ISNUMBER(-LEFT(CH448,8))),VALUE(LEFT(CH448,4)),VALUE(LEFT(CH448,FIND("-",CH448)-1)))+2000,IF(AND(LEN(CH448)=9,ISERROR(FIND("-",LEFT(CH448,8))),ISNUMBER(-LEFT(CH448,8))),VALUE(LEFT(CH448,4)),VALUE(LEFT(CH448,FIND("-",CH448)-1)))),""))</f>
        <v/>
      </c>
      <c r="CN448">
        <f>IF(CH448="","",IFERROR(IF(AND(LEN(CH448)=9,ISERROR(FIND("-",LEFT(CH448,8))),ISNUMBER(-LEFT(CH448,8))),VALUE(MID(CH448,5,2)),VALUE(MID(CH448,FIND("-",CH448)+1,FIND("-",CH448,FIND("-",CH448)+1)-FIND("-",CH448)-1))),""))</f>
        <v/>
      </c>
      <c r="CO448">
        <f>IF(CH448="","",IFERROR(IF(AND(LEN(CH448)=9,ISERROR(FIND("-",LEFT(CH448,8))),ISNUMBER(-LEFT(CH448,8))),VALUE(MID(CH448,7,2)),VALUE(MID(CH448,FIND("-",CH448,FIND("-",CH448)+1)+1,FIND("-",CH448,FIND("-",CH448,FIND("-",CH448)+1)+1)-FIND("-",CH448,FIND("-",CH448)+1)-1))),""))</f>
        <v/>
      </c>
    </row>
    <row r="449">
      <c r="CH449">
        <f>IF(ISTEXT('월 가계부'!A449),SUBSTITUTE(SUBSTITUTE(SUBSTITUTE(SUBSTITUTE(SUBSTITUTE(SUBSTITUTE(SUBSTITUTE(SUBSTITUTE(SUBSTITUTE(TRIM('월 가계부'!A449),"년","-"),"월","-"),"일",""),".","-"),"/","-")," ","-"),"--","-"),"--","-"),"--","-")&amp;"-","")</f>
        <v/>
      </c>
      <c r="CI449">
        <f>IFERROR(IF('월 가계부'!A449="","",IF(ISNUMBER('월 가계부'!A449),IF(AND('월 가계부'!A449&gt;=19000101,'월 가계부'!A449&lt;=21001231),IF(AND(MOD(INT('월 가계부'!A449/100),100)&gt;=1,MOD(INT('월 가계부'!A449/100),100)&lt;=12,MOD(INT('월 가계부'!A449),100)&gt;=1,MOD(INT('월 가계부'!A449),100)&lt;=31),IF(MONTH(DATE(INT('월 가계부'!A449/10000),MOD(INT('월 가계부'!A449/100),100),MOD(INT('월 가계부'!A449),100)))=MOD(INT('월 가계부'!A449/100),100),DATE(INT('월 가계부'!A449/10000),MOD(INT('월 가계부'!A449/100),100),MOD(INT('월 가계부'!A449),100)),""),""),IF(AND('월 가계부'!A449&gt;=36526,'월 가계부'!A449&lt;73051),INT('월 가계부'!A449),"")),IF(OR(CM449="",CN449="",CO449=""),"",IF(AND(CM449&gt;=2000,CM449&lt;=2099,CN449&gt;=1,CN449&lt;=12,CO449&gt;=1,CO449&lt;=31),IF(MONTH(DATE(CM449,CN449,CO449))=CN449,DATE(CM449,CN449,CO449),""),"")))),"")</f>
        <v/>
      </c>
      <c r="CJ449">
        <f>IFERROR(IF('월 가계부'!C449="","",IF(ISNUMBER('월 가계부'!C449),'월 가계부'!C449,VALUE(SUBSTITUTE(SUBSTITUTE(SUBSTITUTE(SUBSTITUTE(TRIM('월 가계부'!C449),",",""),"원","")," ",""),"−","-")))),"")</f>
        <v/>
      </c>
      <c r="CK449">
        <f>IF(ISNUMBER(CI449),IF(CI449&lt;$B$13,CI449,""),"")</f>
        <v/>
      </c>
      <c r="CM449">
        <f>IF(CH449="","",IFERROR(IF(IF(AND(LEN(CH449)=9,ISERROR(FIND("-",LEFT(CH449,8))),ISNUMBER(-LEFT(CH449,8))),VALUE(LEFT(CH449,4)),VALUE(LEFT(CH449,FIND("-",CH449)-1)))&lt;100,IF(AND(LEN(CH449)=9,ISERROR(FIND("-",LEFT(CH449,8))),ISNUMBER(-LEFT(CH449,8))),VALUE(LEFT(CH449,4)),VALUE(LEFT(CH449,FIND("-",CH449)-1)))+2000,IF(AND(LEN(CH449)=9,ISERROR(FIND("-",LEFT(CH449,8))),ISNUMBER(-LEFT(CH449,8))),VALUE(LEFT(CH449,4)),VALUE(LEFT(CH449,FIND("-",CH449)-1)))),""))</f>
        <v/>
      </c>
      <c r="CN449">
        <f>IF(CH449="","",IFERROR(IF(AND(LEN(CH449)=9,ISERROR(FIND("-",LEFT(CH449,8))),ISNUMBER(-LEFT(CH449,8))),VALUE(MID(CH449,5,2)),VALUE(MID(CH449,FIND("-",CH449)+1,FIND("-",CH449,FIND("-",CH449)+1)-FIND("-",CH449)-1))),""))</f>
        <v/>
      </c>
      <c r="CO449">
        <f>IF(CH449="","",IFERROR(IF(AND(LEN(CH449)=9,ISERROR(FIND("-",LEFT(CH449,8))),ISNUMBER(-LEFT(CH449,8))),VALUE(MID(CH449,7,2)),VALUE(MID(CH449,FIND("-",CH449,FIND("-",CH449)+1)+1,FIND("-",CH449,FIND("-",CH449,FIND("-",CH449)+1)+1)-FIND("-",CH449,FIND("-",CH449)+1)-1))),""))</f>
        <v/>
      </c>
    </row>
    <row r="450">
      <c r="CH450">
        <f>IF(ISTEXT('월 가계부'!A450),SUBSTITUTE(SUBSTITUTE(SUBSTITUTE(SUBSTITUTE(SUBSTITUTE(SUBSTITUTE(SUBSTITUTE(SUBSTITUTE(SUBSTITUTE(TRIM('월 가계부'!A450),"년","-"),"월","-"),"일",""),".","-"),"/","-")," ","-"),"--","-"),"--","-"),"--","-")&amp;"-","")</f>
        <v/>
      </c>
      <c r="CI450">
        <f>IFERROR(IF('월 가계부'!A450="","",IF(ISNUMBER('월 가계부'!A450),IF(AND('월 가계부'!A450&gt;=19000101,'월 가계부'!A450&lt;=21001231),IF(AND(MOD(INT('월 가계부'!A450/100),100)&gt;=1,MOD(INT('월 가계부'!A450/100),100)&lt;=12,MOD(INT('월 가계부'!A450),100)&gt;=1,MOD(INT('월 가계부'!A450),100)&lt;=31),IF(MONTH(DATE(INT('월 가계부'!A450/10000),MOD(INT('월 가계부'!A450/100),100),MOD(INT('월 가계부'!A450),100)))=MOD(INT('월 가계부'!A450/100),100),DATE(INT('월 가계부'!A450/10000),MOD(INT('월 가계부'!A450/100),100),MOD(INT('월 가계부'!A450),100)),""),""),IF(AND('월 가계부'!A450&gt;=36526,'월 가계부'!A450&lt;73051),INT('월 가계부'!A450),"")),IF(OR(CM450="",CN450="",CO450=""),"",IF(AND(CM450&gt;=2000,CM450&lt;=2099,CN450&gt;=1,CN450&lt;=12,CO450&gt;=1,CO450&lt;=31),IF(MONTH(DATE(CM450,CN450,CO450))=CN450,DATE(CM450,CN450,CO450),""),"")))),"")</f>
        <v/>
      </c>
      <c r="CJ450">
        <f>IFERROR(IF('월 가계부'!C450="","",IF(ISNUMBER('월 가계부'!C450),'월 가계부'!C450,VALUE(SUBSTITUTE(SUBSTITUTE(SUBSTITUTE(SUBSTITUTE(TRIM('월 가계부'!C450),",",""),"원","")," ",""),"−","-")))),"")</f>
        <v/>
      </c>
      <c r="CK450">
        <f>IF(ISNUMBER(CI450),IF(CI450&lt;$B$13,CI450,""),"")</f>
        <v/>
      </c>
      <c r="CM450">
        <f>IF(CH450="","",IFERROR(IF(IF(AND(LEN(CH450)=9,ISERROR(FIND("-",LEFT(CH450,8))),ISNUMBER(-LEFT(CH450,8))),VALUE(LEFT(CH450,4)),VALUE(LEFT(CH450,FIND("-",CH450)-1)))&lt;100,IF(AND(LEN(CH450)=9,ISERROR(FIND("-",LEFT(CH450,8))),ISNUMBER(-LEFT(CH450,8))),VALUE(LEFT(CH450,4)),VALUE(LEFT(CH450,FIND("-",CH450)-1)))+2000,IF(AND(LEN(CH450)=9,ISERROR(FIND("-",LEFT(CH450,8))),ISNUMBER(-LEFT(CH450,8))),VALUE(LEFT(CH450,4)),VALUE(LEFT(CH450,FIND("-",CH450)-1)))),""))</f>
        <v/>
      </c>
      <c r="CN450">
        <f>IF(CH450="","",IFERROR(IF(AND(LEN(CH450)=9,ISERROR(FIND("-",LEFT(CH450,8))),ISNUMBER(-LEFT(CH450,8))),VALUE(MID(CH450,5,2)),VALUE(MID(CH450,FIND("-",CH450)+1,FIND("-",CH450,FIND("-",CH450)+1)-FIND("-",CH450)-1))),""))</f>
        <v/>
      </c>
      <c r="CO450">
        <f>IF(CH450="","",IFERROR(IF(AND(LEN(CH450)=9,ISERROR(FIND("-",LEFT(CH450,8))),ISNUMBER(-LEFT(CH450,8))),VALUE(MID(CH450,7,2)),VALUE(MID(CH450,FIND("-",CH450,FIND("-",CH450)+1)+1,FIND("-",CH450,FIND("-",CH450,FIND("-",CH450)+1)+1)-FIND("-",CH450,FIND("-",CH450)+1)-1))),""))</f>
        <v/>
      </c>
    </row>
    <row r="451">
      <c r="CH451">
        <f>IF(ISTEXT('월 가계부'!A451),SUBSTITUTE(SUBSTITUTE(SUBSTITUTE(SUBSTITUTE(SUBSTITUTE(SUBSTITUTE(SUBSTITUTE(SUBSTITUTE(SUBSTITUTE(TRIM('월 가계부'!A451),"년","-"),"월","-"),"일",""),".","-"),"/","-")," ","-"),"--","-"),"--","-"),"--","-")&amp;"-","")</f>
        <v/>
      </c>
      <c r="CI451">
        <f>IFERROR(IF('월 가계부'!A451="","",IF(ISNUMBER('월 가계부'!A451),IF(AND('월 가계부'!A451&gt;=19000101,'월 가계부'!A451&lt;=21001231),IF(AND(MOD(INT('월 가계부'!A451/100),100)&gt;=1,MOD(INT('월 가계부'!A451/100),100)&lt;=12,MOD(INT('월 가계부'!A451),100)&gt;=1,MOD(INT('월 가계부'!A451),100)&lt;=31),IF(MONTH(DATE(INT('월 가계부'!A451/10000),MOD(INT('월 가계부'!A451/100),100),MOD(INT('월 가계부'!A451),100)))=MOD(INT('월 가계부'!A451/100),100),DATE(INT('월 가계부'!A451/10000),MOD(INT('월 가계부'!A451/100),100),MOD(INT('월 가계부'!A451),100)),""),""),IF(AND('월 가계부'!A451&gt;=36526,'월 가계부'!A451&lt;73051),INT('월 가계부'!A451),"")),IF(OR(CM451="",CN451="",CO451=""),"",IF(AND(CM451&gt;=2000,CM451&lt;=2099,CN451&gt;=1,CN451&lt;=12,CO451&gt;=1,CO451&lt;=31),IF(MONTH(DATE(CM451,CN451,CO451))=CN451,DATE(CM451,CN451,CO451),""),"")))),"")</f>
        <v/>
      </c>
      <c r="CJ451">
        <f>IFERROR(IF('월 가계부'!C451="","",IF(ISNUMBER('월 가계부'!C451),'월 가계부'!C451,VALUE(SUBSTITUTE(SUBSTITUTE(SUBSTITUTE(SUBSTITUTE(TRIM('월 가계부'!C451),",",""),"원","")," ",""),"−","-")))),"")</f>
        <v/>
      </c>
      <c r="CK451">
        <f>IF(ISNUMBER(CI451),IF(CI451&lt;$B$13,CI451,""),"")</f>
        <v/>
      </c>
      <c r="CM451">
        <f>IF(CH451="","",IFERROR(IF(IF(AND(LEN(CH451)=9,ISERROR(FIND("-",LEFT(CH451,8))),ISNUMBER(-LEFT(CH451,8))),VALUE(LEFT(CH451,4)),VALUE(LEFT(CH451,FIND("-",CH451)-1)))&lt;100,IF(AND(LEN(CH451)=9,ISERROR(FIND("-",LEFT(CH451,8))),ISNUMBER(-LEFT(CH451,8))),VALUE(LEFT(CH451,4)),VALUE(LEFT(CH451,FIND("-",CH451)-1)))+2000,IF(AND(LEN(CH451)=9,ISERROR(FIND("-",LEFT(CH451,8))),ISNUMBER(-LEFT(CH451,8))),VALUE(LEFT(CH451,4)),VALUE(LEFT(CH451,FIND("-",CH451)-1)))),""))</f>
        <v/>
      </c>
      <c r="CN451">
        <f>IF(CH451="","",IFERROR(IF(AND(LEN(CH451)=9,ISERROR(FIND("-",LEFT(CH451,8))),ISNUMBER(-LEFT(CH451,8))),VALUE(MID(CH451,5,2)),VALUE(MID(CH451,FIND("-",CH451)+1,FIND("-",CH451,FIND("-",CH451)+1)-FIND("-",CH451)-1))),""))</f>
        <v/>
      </c>
      <c r="CO451">
        <f>IF(CH451="","",IFERROR(IF(AND(LEN(CH451)=9,ISERROR(FIND("-",LEFT(CH451,8))),ISNUMBER(-LEFT(CH451,8))),VALUE(MID(CH451,7,2)),VALUE(MID(CH451,FIND("-",CH451,FIND("-",CH451)+1)+1,FIND("-",CH451,FIND("-",CH451,FIND("-",CH451)+1)+1)-FIND("-",CH451,FIND("-",CH451)+1)-1))),""))</f>
        <v/>
      </c>
    </row>
    <row r="452">
      <c r="CH452">
        <f>IF(ISTEXT('월 가계부'!A452),SUBSTITUTE(SUBSTITUTE(SUBSTITUTE(SUBSTITUTE(SUBSTITUTE(SUBSTITUTE(SUBSTITUTE(SUBSTITUTE(SUBSTITUTE(TRIM('월 가계부'!A452),"년","-"),"월","-"),"일",""),".","-"),"/","-")," ","-"),"--","-"),"--","-"),"--","-")&amp;"-","")</f>
        <v/>
      </c>
      <c r="CI452">
        <f>IFERROR(IF('월 가계부'!A452="","",IF(ISNUMBER('월 가계부'!A452),IF(AND('월 가계부'!A452&gt;=19000101,'월 가계부'!A452&lt;=21001231),IF(AND(MOD(INT('월 가계부'!A452/100),100)&gt;=1,MOD(INT('월 가계부'!A452/100),100)&lt;=12,MOD(INT('월 가계부'!A452),100)&gt;=1,MOD(INT('월 가계부'!A452),100)&lt;=31),IF(MONTH(DATE(INT('월 가계부'!A452/10000),MOD(INT('월 가계부'!A452/100),100),MOD(INT('월 가계부'!A452),100)))=MOD(INT('월 가계부'!A452/100),100),DATE(INT('월 가계부'!A452/10000),MOD(INT('월 가계부'!A452/100),100),MOD(INT('월 가계부'!A452),100)),""),""),IF(AND('월 가계부'!A452&gt;=36526,'월 가계부'!A452&lt;73051),INT('월 가계부'!A452),"")),IF(OR(CM452="",CN452="",CO452=""),"",IF(AND(CM452&gt;=2000,CM452&lt;=2099,CN452&gt;=1,CN452&lt;=12,CO452&gt;=1,CO452&lt;=31),IF(MONTH(DATE(CM452,CN452,CO452))=CN452,DATE(CM452,CN452,CO452),""),"")))),"")</f>
        <v/>
      </c>
      <c r="CJ452">
        <f>IFERROR(IF('월 가계부'!C452="","",IF(ISNUMBER('월 가계부'!C452),'월 가계부'!C452,VALUE(SUBSTITUTE(SUBSTITUTE(SUBSTITUTE(SUBSTITUTE(TRIM('월 가계부'!C452),",",""),"원","")," ",""),"−","-")))),"")</f>
        <v/>
      </c>
      <c r="CK452">
        <f>IF(ISNUMBER(CI452),IF(CI452&lt;$B$13,CI452,""),"")</f>
        <v/>
      </c>
      <c r="CM452">
        <f>IF(CH452="","",IFERROR(IF(IF(AND(LEN(CH452)=9,ISERROR(FIND("-",LEFT(CH452,8))),ISNUMBER(-LEFT(CH452,8))),VALUE(LEFT(CH452,4)),VALUE(LEFT(CH452,FIND("-",CH452)-1)))&lt;100,IF(AND(LEN(CH452)=9,ISERROR(FIND("-",LEFT(CH452,8))),ISNUMBER(-LEFT(CH452,8))),VALUE(LEFT(CH452,4)),VALUE(LEFT(CH452,FIND("-",CH452)-1)))+2000,IF(AND(LEN(CH452)=9,ISERROR(FIND("-",LEFT(CH452,8))),ISNUMBER(-LEFT(CH452,8))),VALUE(LEFT(CH452,4)),VALUE(LEFT(CH452,FIND("-",CH452)-1)))),""))</f>
        <v/>
      </c>
      <c r="CN452">
        <f>IF(CH452="","",IFERROR(IF(AND(LEN(CH452)=9,ISERROR(FIND("-",LEFT(CH452,8))),ISNUMBER(-LEFT(CH452,8))),VALUE(MID(CH452,5,2)),VALUE(MID(CH452,FIND("-",CH452)+1,FIND("-",CH452,FIND("-",CH452)+1)-FIND("-",CH452)-1))),""))</f>
        <v/>
      </c>
      <c r="CO452">
        <f>IF(CH452="","",IFERROR(IF(AND(LEN(CH452)=9,ISERROR(FIND("-",LEFT(CH452,8))),ISNUMBER(-LEFT(CH452,8))),VALUE(MID(CH452,7,2)),VALUE(MID(CH452,FIND("-",CH452,FIND("-",CH452)+1)+1,FIND("-",CH452,FIND("-",CH452,FIND("-",CH452)+1)+1)-FIND("-",CH452,FIND("-",CH452)+1)-1))),""))</f>
        <v/>
      </c>
    </row>
    <row r="453">
      <c r="CH453">
        <f>IF(ISTEXT('월 가계부'!A453),SUBSTITUTE(SUBSTITUTE(SUBSTITUTE(SUBSTITUTE(SUBSTITUTE(SUBSTITUTE(SUBSTITUTE(SUBSTITUTE(SUBSTITUTE(TRIM('월 가계부'!A453),"년","-"),"월","-"),"일",""),".","-"),"/","-")," ","-"),"--","-"),"--","-"),"--","-")&amp;"-","")</f>
        <v/>
      </c>
      <c r="CI453">
        <f>IFERROR(IF('월 가계부'!A453="","",IF(ISNUMBER('월 가계부'!A453),IF(AND('월 가계부'!A453&gt;=19000101,'월 가계부'!A453&lt;=21001231),IF(AND(MOD(INT('월 가계부'!A453/100),100)&gt;=1,MOD(INT('월 가계부'!A453/100),100)&lt;=12,MOD(INT('월 가계부'!A453),100)&gt;=1,MOD(INT('월 가계부'!A453),100)&lt;=31),IF(MONTH(DATE(INT('월 가계부'!A453/10000),MOD(INT('월 가계부'!A453/100),100),MOD(INT('월 가계부'!A453),100)))=MOD(INT('월 가계부'!A453/100),100),DATE(INT('월 가계부'!A453/10000),MOD(INT('월 가계부'!A453/100),100),MOD(INT('월 가계부'!A453),100)),""),""),IF(AND('월 가계부'!A453&gt;=36526,'월 가계부'!A453&lt;73051),INT('월 가계부'!A453),"")),IF(OR(CM453="",CN453="",CO453=""),"",IF(AND(CM453&gt;=2000,CM453&lt;=2099,CN453&gt;=1,CN453&lt;=12,CO453&gt;=1,CO453&lt;=31),IF(MONTH(DATE(CM453,CN453,CO453))=CN453,DATE(CM453,CN453,CO453),""),"")))),"")</f>
        <v/>
      </c>
      <c r="CJ453">
        <f>IFERROR(IF('월 가계부'!C453="","",IF(ISNUMBER('월 가계부'!C453),'월 가계부'!C453,VALUE(SUBSTITUTE(SUBSTITUTE(SUBSTITUTE(SUBSTITUTE(TRIM('월 가계부'!C453),",",""),"원","")," ",""),"−","-")))),"")</f>
        <v/>
      </c>
      <c r="CK453">
        <f>IF(ISNUMBER(CI453),IF(CI453&lt;$B$13,CI453,""),"")</f>
        <v/>
      </c>
      <c r="CM453">
        <f>IF(CH453="","",IFERROR(IF(IF(AND(LEN(CH453)=9,ISERROR(FIND("-",LEFT(CH453,8))),ISNUMBER(-LEFT(CH453,8))),VALUE(LEFT(CH453,4)),VALUE(LEFT(CH453,FIND("-",CH453)-1)))&lt;100,IF(AND(LEN(CH453)=9,ISERROR(FIND("-",LEFT(CH453,8))),ISNUMBER(-LEFT(CH453,8))),VALUE(LEFT(CH453,4)),VALUE(LEFT(CH453,FIND("-",CH453)-1)))+2000,IF(AND(LEN(CH453)=9,ISERROR(FIND("-",LEFT(CH453,8))),ISNUMBER(-LEFT(CH453,8))),VALUE(LEFT(CH453,4)),VALUE(LEFT(CH453,FIND("-",CH453)-1)))),""))</f>
        <v/>
      </c>
      <c r="CN453">
        <f>IF(CH453="","",IFERROR(IF(AND(LEN(CH453)=9,ISERROR(FIND("-",LEFT(CH453,8))),ISNUMBER(-LEFT(CH453,8))),VALUE(MID(CH453,5,2)),VALUE(MID(CH453,FIND("-",CH453)+1,FIND("-",CH453,FIND("-",CH453)+1)-FIND("-",CH453)-1))),""))</f>
        <v/>
      </c>
      <c r="CO453">
        <f>IF(CH453="","",IFERROR(IF(AND(LEN(CH453)=9,ISERROR(FIND("-",LEFT(CH453,8))),ISNUMBER(-LEFT(CH453,8))),VALUE(MID(CH453,7,2)),VALUE(MID(CH453,FIND("-",CH453,FIND("-",CH453)+1)+1,FIND("-",CH453,FIND("-",CH453,FIND("-",CH453)+1)+1)-FIND("-",CH453,FIND("-",CH453)+1)-1))),""))</f>
        <v/>
      </c>
    </row>
    <row r="454">
      <c r="CH454">
        <f>IF(ISTEXT('월 가계부'!A454),SUBSTITUTE(SUBSTITUTE(SUBSTITUTE(SUBSTITUTE(SUBSTITUTE(SUBSTITUTE(SUBSTITUTE(SUBSTITUTE(SUBSTITUTE(TRIM('월 가계부'!A454),"년","-"),"월","-"),"일",""),".","-"),"/","-")," ","-"),"--","-"),"--","-"),"--","-")&amp;"-","")</f>
        <v/>
      </c>
      <c r="CI454">
        <f>IFERROR(IF('월 가계부'!A454="","",IF(ISNUMBER('월 가계부'!A454),IF(AND('월 가계부'!A454&gt;=19000101,'월 가계부'!A454&lt;=21001231),IF(AND(MOD(INT('월 가계부'!A454/100),100)&gt;=1,MOD(INT('월 가계부'!A454/100),100)&lt;=12,MOD(INT('월 가계부'!A454),100)&gt;=1,MOD(INT('월 가계부'!A454),100)&lt;=31),IF(MONTH(DATE(INT('월 가계부'!A454/10000),MOD(INT('월 가계부'!A454/100),100),MOD(INT('월 가계부'!A454),100)))=MOD(INT('월 가계부'!A454/100),100),DATE(INT('월 가계부'!A454/10000),MOD(INT('월 가계부'!A454/100),100),MOD(INT('월 가계부'!A454),100)),""),""),IF(AND('월 가계부'!A454&gt;=36526,'월 가계부'!A454&lt;73051),INT('월 가계부'!A454),"")),IF(OR(CM454="",CN454="",CO454=""),"",IF(AND(CM454&gt;=2000,CM454&lt;=2099,CN454&gt;=1,CN454&lt;=12,CO454&gt;=1,CO454&lt;=31),IF(MONTH(DATE(CM454,CN454,CO454))=CN454,DATE(CM454,CN454,CO454),""),"")))),"")</f>
        <v/>
      </c>
      <c r="CJ454">
        <f>IFERROR(IF('월 가계부'!C454="","",IF(ISNUMBER('월 가계부'!C454),'월 가계부'!C454,VALUE(SUBSTITUTE(SUBSTITUTE(SUBSTITUTE(SUBSTITUTE(TRIM('월 가계부'!C454),",",""),"원","")," ",""),"−","-")))),"")</f>
        <v/>
      </c>
      <c r="CK454">
        <f>IF(ISNUMBER(CI454),IF(CI454&lt;$B$13,CI454,""),"")</f>
        <v/>
      </c>
      <c r="CM454">
        <f>IF(CH454="","",IFERROR(IF(IF(AND(LEN(CH454)=9,ISERROR(FIND("-",LEFT(CH454,8))),ISNUMBER(-LEFT(CH454,8))),VALUE(LEFT(CH454,4)),VALUE(LEFT(CH454,FIND("-",CH454)-1)))&lt;100,IF(AND(LEN(CH454)=9,ISERROR(FIND("-",LEFT(CH454,8))),ISNUMBER(-LEFT(CH454,8))),VALUE(LEFT(CH454,4)),VALUE(LEFT(CH454,FIND("-",CH454)-1)))+2000,IF(AND(LEN(CH454)=9,ISERROR(FIND("-",LEFT(CH454,8))),ISNUMBER(-LEFT(CH454,8))),VALUE(LEFT(CH454,4)),VALUE(LEFT(CH454,FIND("-",CH454)-1)))),""))</f>
        <v/>
      </c>
      <c r="CN454">
        <f>IF(CH454="","",IFERROR(IF(AND(LEN(CH454)=9,ISERROR(FIND("-",LEFT(CH454,8))),ISNUMBER(-LEFT(CH454,8))),VALUE(MID(CH454,5,2)),VALUE(MID(CH454,FIND("-",CH454)+1,FIND("-",CH454,FIND("-",CH454)+1)-FIND("-",CH454)-1))),""))</f>
        <v/>
      </c>
      <c r="CO454">
        <f>IF(CH454="","",IFERROR(IF(AND(LEN(CH454)=9,ISERROR(FIND("-",LEFT(CH454,8))),ISNUMBER(-LEFT(CH454,8))),VALUE(MID(CH454,7,2)),VALUE(MID(CH454,FIND("-",CH454,FIND("-",CH454)+1)+1,FIND("-",CH454,FIND("-",CH454,FIND("-",CH454)+1)+1)-FIND("-",CH454,FIND("-",CH454)+1)-1))),""))</f>
        <v/>
      </c>
    </row>
    <row r="455">
      <c r="CH455">
        <f>IF(ISTEXT('월 가계부'!A455),SUBSTITUTE(SUBSTITUTE(SUBSTITUTE(SUBSTITUTE(SUBSTITUTE(SUBSTITUTE(SUBSTITUTE(SUBSTITUTE(SUBSTITUTE(TRIM('월 가계부'!A455),"년","-"),"월","-"),"일",""),".","-"),"/","-")," ","-"),"--","-"),"--","-"),"--","-")&amp;"-","")</f>
        <v/>
      </c>
      <c r="CI455">
        <f>IFERROR(IF('월 가계부'!A455="","",IF(ISNUMBER('월 가계부'!A455),IF(AND('월 가계부'!A455&gt;=19000101,'월 가계부'!A455&lt;=21001231),IF(AND(MOD(INT('월 가계부'!A455/100),100)&gt;=1,MOD(INT('월 가계부'!A455/100),100)&lt;=12,MOD(INT('월 가계부'!A455),100)&gt;=1,MOD(INT('월 가계부'!A455),100)&lt;=31),IF(MONTH(DATE(INT('월 가계부'!A455/10000),MOD(INT('월 가계부'!A455/100),100),MOD(INT('월 가계부'!A455),100)))=MOD(INT('월 가계부'!A455/100),100),DATE(INT('월 가계부'!A455/10000),MOD(INT('월 가계부'!A455/100),100),MOD(INT('월 가계부'!A455),100)),""),""),IF(AND('월 가계부'!A455&gt;=36526,'월 가계부'!A455&lt;73051),INT('월 가계부'!A455),"")),IF(OR(CM455="",CN455="",CO455=""),"",IF(AND(CM455&gt;=2000,CM455&lt;=2099,CN455&gt;=1,CN455&lt;=12,CO455&gt;=1,CO455&lt;=31),IF(MONTH(DATE(CM455,CN455,CO455))=CN455,DATE(CM455,CN455,CO455),""),"")))),"")</f>
        <v/>
      </c>
      <c r="CJ455">
        <f>IFERROR(IF('월 가계부'!C455="","",IF(ISNUMBER('월 가계부'!C455),'월 가계부'!C455,VALUE(SUBSTITUTE(SUBSTITUTE(SUBSTITUTE(SUBSTITUTE(TRIM('월 가계부'!C455),",",""),"원","")," ",""),"−","-")))),"")</f>
        <v/>
      </c>
      <c r="CK455">
        <f>IF(ISNUMBER(CI455),IF(CI455&lt;$B$13,CI455,""),"")</f>
        <v/>
      </c>
      <c r="CM455">
        <f>IF(CH455="","",IFERROR(IF(IF(AND(LEN(CH455)=9,ISERROR(FIND("-",LEFT(CH455,8))),ISNUMBER(-LEFT(CH455,8))),VALUE(LEFT(CH455,4)),VALUE(LEFT(CH455,FIND("-",CH455)-1)))&lt;100,IF(AND(LEN(CH455)=9,ISERROR(FIND("-",LEFT(CH455,8))),ISNUMBER(-LEFT(CH455,8))),VALUE(LEFT(CH455,4)),VALUE(LEFT(CH455,FIND("-",CH455)-1)))+2000,IF(AND(LEN(CH455)=9,ISERROR(FIND("-",LEFT(CH455,8))),ISNUMBER(-LEFT(CH455,8))),VALUE(LEFT(CH455,4)),VALUE(LEFT(CH455,FIND("-",CH455)-1)))),""))</f>
        <v/>
      </c>
      <c r="CN455">
        <f>IF(CH455="","",IFERROR(IF(AND(LEN(CH455)=9,ISERROR(FIND("-",LEFT(CH455,8))),ISNUMBER(-LEFT(CH455,8))),VALUE(MID(CH455,5,2)),VALUE(MID(CH455,FIND("-",CH455)+1,FIND("-",CH455,FIND("-",CH455)+1)-FIND("-",CH455)-1))),""))</f>
        <v/>
      </c>
      <c r="CO455">
        <f>IF(CH455="","",IFERROR(IF(AND(LEN(CH455)=9,ISERROR(FIND("-",LEFT(CH455,8))),ISNUMBER(-LEFT(CH455,8))),VALUE(MID(CH455,7,2)),VALUE(MID(CH455,FIND("-",CH455,FIND("-",CH455)+1)+1,FIND("-",CH455,FIND("-",CH455,FIND("-",CH455)+1)+1)-FIND("-",CH455,FIND("-",CH455)+1)-1))),""))</f>
        <v/>
      </c>
    </row>
    <row r="456">
      <c r="CH456">
        <f>IF(ISTEXT('월 가계부'!A456),SUBSTITUTE(SUBSTITUTE(SUBSTITUTE(SUBSTITUTE(SUBSTITUTE(SUBSTITUTE(SUBSTITUTE(SUBSTITUTE(SUBSTITUTE(TRIM('월 가계부'!A456),"년","-"),"월","-"),"일",""),".","-"),"/","-")," ","-"),"--","-"),"--","-"),"--","-")&amp;"-","")</f>
        <v/>
      </c>
      <c r="CI456">
        <f>IFERROR(IF('월 가계부'!A456="","",IF(ISNUMBER('월 가계부'!A456),IF(AND('월 가계부'!A456&gt;=19000101,'월 가계부'!A456&lt;=21001231),IF(AND(MOD(INT('월 가계부'!A456/100),100)&gt;=1,MOD(INT('월 가계부'!A456/100),100)&lt;=12,MOD(INT('월 가계부'!A456),100)&gt;=1,MOD(INT('월 가계부'!A456),100)&lt;=31),IF(MONTH(DATE(INT('월 가계부'!A456/10000),MOD(INT('월 가계부'!A456/100),100),MOD(INT('월 가계부'!A456),100)))=MOD(INT('월 가계부'!A456/100),100),DATE(INT('월 가계부'!A456/10000),MOD(INT('월 가계부'!A456/100),100),MOD(INT('월 가계부'!A456),100)),""),""),IF(AND('월 가계부'!A456&gt;=36526,'월 가계부'!A456&lt;73051),INT('월 가계부'!A456),"")),IF(OR(CM456="",CN456="",CO456=""),"",IF(AND(CM456&gt;=2000,CM456&lt;=2099,CN456&gt;=1,CN456&lt;=12,CO456&gt;=1,CO456&lt;=31),IF(MONTH(DATE(CM456,CN456,CO456))=CN456,DATE(CM456,CN456,CO456),""),"")))),"")</f>
        <v/>
      </c>
      <c r="CJ456">
        <f>IFERROR(IF('월 가계부'!C456="","",IF(ISNUMBER('월 가계부'!C456),'월 가계부'!C456,VALUE(SUBSTITUTE(SUBSTITUTE(SUBSTITUTE(SUBSTITUTE(TRIM('월 가계부'!C456),",",""),"원","")," ",""),"−","-")))),"")</f>
        <v/>
      </c>
      <c r="CK456">
        <f>IF(ISNUMBER(CI456),IF(CI456&lt;$B$13,CI456,""),"")</f>
        <v/>
      </c>
      <c r="CM456">
        <f>IF(CH456="","",IFERROR(IF(IF(AND(LEN(CH456)=9,ISERROR(FIND("-",LEFT(CH456,8))),ISNUMBER(-LEFT(CH456,8))),VALUE(LEFT(CH456,4)),VALUE(LEFT(CH456,FIND("-",CH456)-1)))&lt;100,IF(AND(LEN(CH456)=9,ISERROR(FIND("-",LEFT(CH456,8))),ISNUMBER(-LEFT(CH456,8))),VALUE(LEFT(CH456,4)),VALUE(LEFT(CH456,FIND("-",CH456)-1)))+2000,IF(AND(LEN(CH456)=9,ISERROR(FIND("-",LEFT(CH456,8))),ISNUMBER(-LEFT(CH456,8))),VALUE(LEFT(CH456,4)),VALUE(LEFT(CH456,FIND("-",CH456)-1)))),""))</f>
        <v/>
      </c>
      <c r="CN456">
        <f>IF(CH456="","",IFERROR(IF(AND(LEN(CH456)=9,ISERROR(FIND("-",LEFT(CH456,8))),ISNUMBER(-LEFT(CH456,8))),VALUE(MID(CH456,5,2)),VALUE(MID(CH456,FIND("-",CH456)+1,FIND("-",CH456,FIND("-",CH456)+1)-FIND("-",CH456)-1))),""))</f>
        <v/>
      </c>
      <c r="CO456">
        <f>IF(CH456="","",IFERROR(IF(AND(LEN(CH456)=9,ISERROR(FIND("-",LEFT(CH456,8))),ISNUMBER(-LEFT(CH456,8))),VALUE(MID(CH456,7,2)),VALUE(MID(CH456,FIND("-",CH456,FIND("-",CH456)+1)+1,FIND("-",CH456,FIND("-",CH456,FIND("-",CH456)+1)+1)-FIND("-",CH456,FIND("-",CH456)+1)-1))),""))</f>
        <v/>
      </c>
    </row>
    <row r="457">
      <c r="CH457">
        <f>IF(ISTEXT('월 가계부'!A457),SUBSTITUTE(SUBSTITUTE(SUBSTITUTE(SUBSTITUTE(SUBSTITUTE(SUBSTITUTE(SUBSTITUTE(SUBSTITUTE(SUBSTITUTE(TRIM('월 가계부'!A457),"년","-"),"월","-"),"일",""),".","-"),"/","-")," ","-"),"--","-"),"--","-"),"--","-")&amp;"-","")</f>
        <v/>
      </c>
      <c r="CI457">
        <f>IFERROR(IF('월 가계부'!A457="","",IF(ISNUMBER('월 가계부'!A457),IF(AND('월 가계부'!A457&gt;=19000101,'월 가계부'!A457&lt;=21001231),IF(AND(MOD(INT('월 가계부'!A457/100),100)&gt;=1,MOD(INT('월 가계부'!A457/100),100)&lt;=12,MOD(INT('월 가계부'!A457),100)&gt;=1,MOD(INT('월 가계부'!A457),100)&lt;=31),IF(MONTH(DATE(INT('월 가계부'!A457/10000),MOD(INT('월 가계부'!A457/100),100),MOD(INT('월 가계부'!A457),100)))=MOD(INT('월 가계부'!A457/100),100),DATE(INT('월 가계부'!A457/10000),MOD(INT('월 가계부'!A457/100),100),MOD(INT('월 가계부'!A457),100)),""),""),IF(AND('월 가계부'!A457&gt;=36526,'월 가계부'!A457&lt;73051),INT('월 가계부'!A457),"")),IF(OR(CM457="",CN457="",CO457=""),"",IF(AND(CM457&gt;=2000,CM457&lt;=2099,CN457&gt;=1,CN457&lt;=12,CO457&gt;=1,CO457&lt;=31),IF(MONTH(DATE(CM457,CN457,CO457))=CN457,DATE(CM457,CN457,CO457),""),"")))),"")</f>
        <v/>
      </c>
      <c r="CJ457">
        <f>IFERROR(IF('월 가계부'!C457="","",IF(ISNUMBER('월 가계부'!C457),'월 가계부'!C457,VALUE(SUBSTITUTE(SUBSTITUTE(SUBSTITUTE(SUBSTITUTE(TRIM('월 가계부'!C457),",",""),"원","")," ",""),"−","-")))),"")</f>
        <v/>
      </c>
      <c r="CK457">
        <f>IF(ISNUMBER(CI457),IF(CI457&lt;$B$13,CI457,""),"")</f>
        <v/>
      </c>
      <c r="CM457">
        <f>IF(CH457="","",IFERROR(IF(IF(AND(LEN(CH457)=9,ISERROR(FIND("-",LEFT(CH457,8))),ISNUMBER(-LEFT(CH457,8))),VALUE(LEFT(CH457,4)),VALUE(LEFT(CH457,FIND("-",CH457)-1)))&lt;100,IF(AND(LEN(CH457)=9,ISERROR(FIND("-",LEFT(CH457,8))),ISNUMBER(-LEFT(CH457,8))),VALUE(LEFT(CH457,4)),VALUE(LEFT(CH457,FIND("-",CH457)-1)))+2000,IF(AND(LEN(CH457)=9,ISERROR(FIND("-",LEFT(CH457,8))),ISNUMBER(-LEFT(CH457,8))),VALUE(LEFT(CH457,4)),VALUE(LEFT(CH457,FIND("-",CH457)-1)))),""))</f>
        <v/>
      </c>
      <c r="CN457">
        <f>IF(CH457="","",IFERROR(IF(AND(LEN(CH457)=9,ISERROR(FIND("-",LEFT(CH457,8))),ISNUMBER(-LEFT(CH457,8))),VALUE(MID(CH457,5,2)),VALUE(MID(CH457,FIND("-",CH457)+1,FIND("-",CH457,FIND("-",CH457)+1)-FIND("-",CH457)-1))),""))</f>
        <v/>
      </c>
      <c r="CO457">
        <f>IF(CH457="","",IFERROR(IF(AND(LEN(CH457)=9,ISERROR(FIND("-",LEFT(CH457,8))),ISNUMBER(-LEFT(CH457,8))),VALUE(MID(CH457,7,2)),VALUE(MID(CH457,FIND("-",CH457,FIND("-",CH457)+1)+1,FIND("-",CH457,FIND("-",CH457,FIND("-",CH457)+1)+1)-FIND("-",CH457,FIND("-",CH457)+1)-1))),""))</f>
        <v/>
      </c>
    </row>
    <row r="458">
      <c r="CH458">
        <f>IF(ISTEXT('월 가계부'!A458),SUBSTITUTE(SUBSTITUTE(SUBSTITUTE(SUBSTITUTE(SUBSTITUTE(SUBSTITUTE(SUBSTITUTE(SUBSTITUTE(SUBSTITUTE(TRIM('월 가계부'!A458),"년","-"),"월","-"),"일",""),".","-"),"/","-")," ","-"),"--","-"),"--","-"),"--","-")&amp;"-","")</f>
        <v/>
      </c>
      <c r="CI458">
        <f>IFERROR(IF('월 가계부'!A458="","",IF(ISNUMBER('월 가계부'!A458),IF(AND('월 가계부'!A458&gt;=19000101,'월 가계부'!A458&lt;=21001231),IF(AND(MOD(INT('월 가계부'!A458/100),100)&gt;=1,MOD(INT('월 가계부'!A458/100),100)&lt;=12,MOD(INT('월 가계부'!A458),100)&gt;=1,MOD(INT('월 가계부'!A458),100)&lt;=31),IF(MONTH(DATE(INT('월 가계부'!A458/10000),MOD(INT('월 가계부'!A458/100),100),MOD(INT('월 가계부'!A458),100)))=MOD(INT('월 가계부'!A458/100),100),DATE(INT('월 가계부'!A458/10000),MOD(INT('월 가계부'!A458/100),100),MOD(INT('월 가계부'!A458),100)),""),""),IF(AND('월 가계부'!A458&gt;=36526,'월 가계부'!A458&lt;73051),INT('월 가계부'!A458),"")),IF(OR(CM458="",CN458="",CO458=""),"",IF(AND(CM458&gt;=2000,CM458&lt;=2099,CN458&gt;=1,CN458&lt;=12,CO458&gt;=1,CO458&lt;=31),IF(MONTH(DATE(CM458,CN458,CO458))=CN458,DATE(CM458,CN458,CO458),""),"")))),"")</f>
        <v/>
      </c>
      <c r="CJ458">
        <f>IFERROR(IF('월 가계부'!C458="","",IF(ISNUMBER('월 가계부'!C458),'월 가계부'!C458,VALUE(SUBSTITUTE(SUBSTITUTE(SUBSTITUTE(SUBSTITUTE(TRIM('월 가계부'!C458),",",""),"원","")," ",""),"−","-")))),"")</f>
        <v/>
      </c>
      <c r="CK458">
        <f>IF(ISNUMBER(CI458),IF(CI458&lt;$B$13,CI458,""),"")</f>
        <v/>
      </c>
      <c r="CM458">
        <f>IF(CH458="","",IFERROR(IF(IF(AND(LEN(CH458)=9,ISERROR(FIND("-",LEFT(CH458,8))),ISNUMBER(-LEFT(CH458,8))),VALUE(LEFT(CH458,4)),VALUE(LEFT(CH458,FIND("-",CH458)-1)))&lt;100,IF(AND(LEN(CH458)=9,ISERROR(FIND("-",LEFT(CH458,8))),ISNUMBER(-LEFT(CH458,8))),VALUE(LEFT(CH458,4)),VALUE(LEFT(CH458,FIND("-",CH458)-1)))+2000,IF(AND(LEN(CH458)=9,ISERROR(FIND("-",LEFT(CH458,8))),ISNUMBER(-LEFT(CH458,8))),VALUE(LEFT(CH458,4)),VALUE(LEFT(CH458,FIND("-",CH458)-1)))),""))</f>
        <v/>
      </c>
      <c r="CN458">
        <f>IF(CH458="","",IFERROR(IF(AND(LEN(CH458)=9,ISERROR(FIND("-",LEFT(CH458,8))),ISNUMBER(-LEFT(CH458,8))),VALUE(MID(CH458,5,2)),VALUE(MID(CH458,FIND("-",CH458)+1,FIND("-",CH458,FIND("-",CH458)+1)-FIND("-",CH458)-1))),""))</f>
        <v/>
      </c>
      <c r="CO458">
        <f>IF(CH458="","",IFERROR(IF(AND(LEN(CH458)=9,ISERROR(FIND("-",LEFT(CH458,8))),ISNUMBER(-LEFT(CH458,8))),VALUE(MID(CH458,7,2)),VALUE(MID(CH458,FIND("-",CH458,FIND("-",CH458)+1)+1,FIND("-",CH458,FIND("-",CH458,FIND("-",CH458)+1)+1)-FIND("-",CH458,FIND("-",CH458)+1)-1))),""))</f>
        <v/>
      </c>
    </row>
    <row r="459">
      <c r="CH459">
        <f>IF(ISTEXT('월 가계부'!A459),SUBSTITUTE(SUBSTITUTE(SUBSTITUTE(SUBSTITUTE(SUBSTITUTE(SUBSTITUTE(SUBSTITUTE(SUBSTITUTE(SUBSTITUTE(TRIM('월 가계부'!A459),"년","-"),"월","-"),"일",""),".","-"),"/","-")," ","-"),"--","-"),"--","-"),"--","-")&amp;"-","")</f>
        <v/>
      </c>
      <c r="CI459">
        <f>IFERROR(IF('월 가계부'!A459="","",IF(ISNUMBER('월 가계부'!A459),IF(AND('월 가계부'!A459&gt;=19000101,'월 가계부'!A459&lt;=21001231),IF(AND(MOD(INT('월 가계부'!A459/100),100)&gt;=1,MOD(INT('월 가계부'!A459/100),100)&lt;=12,MOD(INT('월 가계부'!A459),100)&gt;=1,MOD(INT('월 가계부'!A459),100)&lt;=31),IF(MONTH(DATE(INT('월 가계부'!A459/10000),MOD(INT('월 가계부'!A459/100),100),MOD(INT('월 가계부'!A459),100)))=MOD(INT('월 가계부'!A459/100),100),DATE(INT('월 가계부'!A459/10000),MOD(INT('월 가계부'!A459/100),100),MOD(INT('월 가계부'!A459),100)),""),""),IF(AND('월 가계부'!A459&gt;=36526,'월 가계부'!A459&lt;73051),INT('월 가계부'!A459),"")),IF(OR(CM459="",CN459="",CO459=""),"",IF(AND(CM459&gt;=2000,CM459&lt;=2099,CN459&gt;=1,CN459&lt;=12,CO459&gt;=1,CO459&lt;=31),IF(MONTH(DATE(CM459,CN459,CO459))=CN459,DATE(CM459,CN459,CO459),""),"")))),"")</f>
        <v/>
      </c>
      <c r="CJ459">
        <f>IFERROR(IF('월 가계부'!C459="","",IF(ISNUMBER('월 가계부'!C459),'월 가계부'!C459,VALUE(SUBSTITUTE(SUBSTITUTE(SUBSTITUTE(SUBSTITUTE(TRIM('월 가계부'!C459),",",""),"원","")," ",""),"−","-")))),"")</f>
        <v/>
      </c>
      <c r="CK459">
        <f>IF(ISNUMBER(CI459),IF(CI459&lt;$B$13,CI459,""),"")</f>
        <v/>
      </c>
      <c r="CM459">
        <f>IF(CH459="","",IFERROR(IF(IF(AND(LEN(CH459)=9,ISERROR(FIND("-",LEFT(CH459,8))),ISNUMBER(-LEFT(CH459,8))),VALUE(LEFT(CH459,4)),VALUE(LEFT(CH459,FIND("-",CH459)-1)))&lt;100,IF(AND(LEN(CH459)=9,ISERROR(FIND("-",LEFT(CH459,8))),ISNUMBER(-LEFT(CH459,8))),VALUE(LEFT(CH459,4)),VALUE(LEFT(CH459,FIND("-",CH459)-1)))+2000,IF(AND(LEN(CH459)=9,ISERROR(FIND("-",LEFT(CH459,8))),ISNUMBER(-LEFT(CH459,8))),VALUE(LEFT(CH459,4)),VALUE(LEFT(CH459,FIND("-",CH459)-1)))),""))</f>
        <v/>
      </c>
      <c r="CN459">
        <f>IF(CH459="","",IFERROR(IF(AND(LEN(CH459)=9,ISERROR(FIND("-",LEFT(CH459,8))),ISNUMBER(-LEFT(CH459,8))),VALUE(MID(CH459,5,2)),VALUE(MID(CH459,FIND("-",CH459)+1,FIND("-",CH459,FIND("-",CH459)+1)-FIND("-",CH459)-1))),""))</f>
        <v/>
      </c>
      <c r="CO459">
        <f>IF(CH459="","",IFERROR(IF(AND(LEN(CH459)=9,ISERROR(FIND("-",LEFT(CH459,8))),ISNUMBER(-LEFT(CH459,8))),VALUE(MID(CH459,7,2)),VALUE(MID(CH459,FIND("-",CH459,FIND("-",CH459)+1)+1,FIND("-",CH459,FIND("-",CH459,FIND("-",CH459)+1)+1)-FIND("-",CH459,FIND("-",CH459)+1)-1))),""))</f>
        <v/>
      </c>
    </row>
    <row r="460">
      <c r="CH460">
        <f>IF(ISTEXT('월 가계부'!A460),SUBSTITUTE(SUBSTITUTE(SUBSTITUTE(SUBSTITUTE(SUBSTITUTE(SUBSTITUTE(SUBSTITUTE(SUBSTITUTE(SUBSTITUTE(TRIM('월 가계부'!A460),"년","-"),"월","-"),"일",""),".","-"),"/","-")," ","-"),"--","-"),"--","-"),"--","-")&amp;"-","")</f>
        <v/>
      </c>
      <c r="CI460">
        <f>IFERROR(IF('월 가계부'!A460="","",IF(ISNUMBER('월 가계부'!A460),IF(AND('월 가계부'!A460&gt;=19000101,'월 가계부'!A460&lt;=21001231),IF(AND(MOD(INT('월 가계부'!A460/100),100)&gt;=1,MOD(INT('월 가계부'!A460/100),100)&lt;=12,MOD(INT('월 가계부'!A460),100)&gt;=1,MOD(INT('월 가계부'!A460),100)&lt;=31),IF(MONTH(DATE(INT('월 가계부'!A460/10000),MOD(INT('월 가계부'!A460/100),100),MOD(INT('월 가계부'!A460),100)))=MOD(INT('월 가계부'!A460/100),100),DATE(INT('월 가계부'!A460/10000),MOD(INT('월 가계부'!A460/100),100),MOD(INT('월 가계부'!A460),100)),""),""),IF(AND('월 가계부'!A460&gt;=36526,'월 가계부'!A460&lt;73051),INT('월 가계부'!A460),"")),IF(OR(CM460="",CN460="",CO460=""),"",IF(AND(CM460&gt;=2000,CM460&lt;=2099,CN460&gt;=1,CN460&lt;=12,CO460&gt;=1,CO460&lt;=31),IF(MONTH(DATE(CM460,CN460,CO460))=CN460,DATE(CM460,CN460,CO460),""),"")))),"")</f>
        <v/>
      </c>
      <c r="CJ460">
        <f>IFERROR(IF('월 가계부'!C460="","",IF(ISNUMBER('월 가계부'!C460),'월 가계부'!C460,VALUE(SUBSTITUTE(SUBSTITUTE(SUBSTITUTE(SUBSTITUTE(TRIM('월 가계부'!C460),",",""),"원","")," ",""),"−","-")))),"")</f>
        <v/>
      </c>
      <c r="CK460">
        <f>IF(ISNUMBER(CI460),IF(CI460&lt;$B$13,CI460,""),"")</f>
        <v/>
      </c>
      <c r="CM460">
        <f>IF(CH460="","",IFERROR(IF(IF(AND(LEN(CH460)=9,ISERROR(FIND("-",LEFT(CH460,8))),ISNUMBER(-LEFT(CH460,8))),VALUE(LEFT(CH460,4)),VALUE(LEFT(CH460,FIND("-",CH460)-1)))&lt;100,IF(AND(LEN(CH460)=9,ISERROR(FIND("-",LEFT(CH460,8))),ISNUMBER(-LEFT(CH460,8))),VALUE(LEFT(CH460,4)),VALUE(LEFT(CH460,FIND("-",CH460)-1)))+2000,IF(AND(LEN(CH460)=9,ISERROR(FIND("-",LEFT(CH460,8))),ISNUMBER(-LEFT(CH460,8))),VALUE(LEFT(CH460,4)),VALUE(LEFT(CH460,FIND("-",CH460)-1)))),""))</f>
        <v/>
      </c>
      <c r="CN460">
        <f>IF(CH460="","",IFERROR(IF(AND(LEN(CH460)=9,ISERROR(FIND("-",LEFT(CH460,8))),ISNUMBER(-LEFT(CH460,8))),VALUE(MID(CH460,5,2)),VALUE(MID(CH460,FIND("-",CH460)+1,FIND("-",CH460,FIND("-",CH460)+1)-FIND("-",CH460)-1))),""))</f>
        <v/>
      </c>
      <c r="CO460">
        <f>IF(CH460="","",IFERROR(IF(AND(LEN(CH460)=9,ISERROR(FIND("-",LEFT(CH460,8))),ISNUMBER(-LEFT(CH460,8))),VALUE(MID(CH460,7,2)),VALUE(MID(CH460,FIND("-",CH460,FIND("-",CH460)+1)+1,FIND("-",CH460,FIND("-",CH460,FIND("-",CH460)+1)+1)-FIND("-",CH460,FIND("-",CH460)+1)-1))),""))</f>
        <v/>
      </c>
    </row>
    <row r="461">
      <c r="CH461">
        <f>IF(ISTEXT('월 가계부'!A461),SUBSTITUTE(SUBSTITUTE(SUBSTITUTE(SUBSTITUTE(SUBSTITUTE(SUBSTITUTE(SUBSTITUTE(SUBSTITUTE(SUBSTITUTE(TRIM('월 가계부'!A461),"년","-"),"월","-"),"일",""),".","-"),"/","-")," ","-"),"--","-"),"--","-"),"--","-")&amp;"-","")</f>
        <v/>
      </c>
      <c r="CI461">
        <f>IFERROR(IF('월 가계부'!A461="","",IF(ISNUMBER('월 가계부'!A461),IF(AND('월 가계부'!A461&gt;=19000101,'월 가계부'!A461&lt;=21001231),IF(AND(MOD(INT('월 가계부'!A461/100),100)&gt;=1,MOD(INT('월 가계부'!A461/100),100)&lt;=12,MOD(INT('월 가계부'!A461),100)&gt;=1,MOD(INT('월 가계부'!A461),100)&lt;=31),IF(MONTH(DATE(INT('월 가계부'!A461/10000),MOD(INT('월 가계부'!A461/100),100),MOD(INT('월 가계부'!A461),100)))=MOD(INT('월 가계부'!A461/100),100),DATE(INT('월 가계부'!A461/10000),MOD(INT('월 가계부'!A461/100),100),MOD(INT('월 가계부'!A461),100)),""),""),IF(AND('월 가계부'!A461&gt;=36526,'월 가계부'!A461&lt;73051),INT('월 가계부'!A461),"")),IF(OR(CM461="",CN461="",CO461=""),"",IF(AND(CM461&gt;=2000,CM461&lt;=2099,CN461&gt;=1,CN461&lt;=12,CO461&gt;=1,CO461&lt;=31),IF(MONTH(DATE(CM461,CN461,CO461))=CN461,DATE(CM461,CN461,CO461),""),"")))),"")</f>
        <v/>
      </c>
      <c r="CJ461">
        <f>IFERROR(IF('월 가계부'!C461="","",IF(ISNUMBER('월 가계부'!C461),'월 가계부'!C461,VALUE(SUBSTITUTE(SUBSTITUTE(SUBSTITUTE(SUBSTITUTE(TRIM('월 가계부'!C461),",",""),"원","")," ",""),"−","-")))),"")</f>
        <v/>
      </c>
      <c r="CK461">
        <f>IF(ISNUMBER(CI461),IF(CI461&lt;$B$13,CI461,""),"")</f>
        <v/>
      </c>
      <c r="CM461">
        <f>IF(CH461="","",IFERROR(IF(IF(AND(LEN(CH461)=9,ISERROR(FIND("-",LEFT(CH461,8))),ISNUMBER(-LEFT(CH461,8))),VALUE(LEFT(CH461,4)),VALUE(LEFT(CH461,FIND("-",CH461)-1)))&lt;100,IF(AND(LEN(CH461)=9,ISERROR(FIND("-",LEFT(CH461,8))),ISNUMBER(-LEFT(CH461,8))),VALUE(LEFT(CH461,4)),VALUE(LEFT(CH461,FIND("-",CH461)-1)))+2000,IF(AND(LEN(CH461)=9,ISERROR(FIND("-",LEFT(CH461,8))),ISNUMBER(-LEFT(CH461,8))),VALUE(LEFT(CH461,4)),VALUE(LEFT(CH461,FIND("-",CH461)-1)))),""))</f>
        <v/>
      </c>
      <c r="CN461">
        <f>IF(CH461="","",IFERROR(IF(AND(LEN(CH461)=9,ISERROR(FIND("-",LEFT(CH461,8))),ISNUMBER(-LEFT(CH461,8))),VALUE(MID(CH461,5,2)),VALUE(MID(CH461,FIND("-",CH461)+1,FIND("-",CH461,FIND("-",CH461)+1)-FIND("-",CH461)-1))),""))</f>
        <v/>
      </c>
      <c r="CO461">
        <f>IF(CH461="","",IFERROR(IF(AND(LEN(CH461)=9,ISERROR(FIND("-",LEFT(CH461,8))),ISNUMBER(-LEFT(CH461,8))),VALUE(MID(CH461,7,2)),VALUE(MID(CH461,FIND("-",CH461,FIND("-",CH461)+1)+1,FIND("-",CH461,FIND("-",CH461,FIND("-",CH461)+1)+1)-FIND("-",CH461,FIND("-",CH461)+1)-1))),""))</f>
        <v/>
      </c>
    </row>
    <row r="462">
      <c r="CH462">
        <f>IF(ISTEXT('월 가계부'!A462),SUBSTITUTE(SUBSTITUTE(SUBSTITUTE(SUBSTITUTE(SUBSTITUTE(SUBSTITUTE(SUBSTITUTE(SUBSTITUTE(SUBSTITUTE(TRIM('월 가계부'!A462),"년","-"),"월","-"),"일",""),".","-"),"/","-")," ","-"),"--","-"),"--","-"),"--","-")&amp;"-","")</f>
        <v/>
      </c>
      <c r="CI462">
        <f>IFERROR(IF('월 가계부'!A462="","",IF(ISNUMBER('월 가계부'!A462),IF(AND('월 가계부'!A462&gt;=19000101,'월 가계부'!A462&lt;=21001231),IF(AND(MOD(INT('월 가계부'!A462/100),100)&gt;=1,MOD(INT('월 가계부'!A462/100),100)&lt;=12,MOD(INT('월 가계부'!A462),100)&gt;=1,MOD(INT('월 가계부'!A462),100)&lt;=31),IF(MONTH(DATE(INT('월 가계부'!A462/10000),MOD(INT('월 가계부'!A462/100),100),MOD(INT('월 가계부'!A462),100)))=MOD(INT('월 가계부'!A462/100),100),DATE(INT('월 가계부'!A462/10000),MOD(INT('월 가계부'!A462/100),100),MOD(INT('월 가계부'!A462),100)),""),""),IF(AND('월 가계부'!A462&gt;=36526,'월 가계부'!A462&lt;73051),INT('월 가계부'!A462),"")),IF(OR(CM462="",CN462="",CO462=""),"",IF(AND(CM462&gt;=2000,CM462&lt;=2099,CN462&gt;=1,CN462&lt;=12,CO462&gt;=1,CO462&lt;=31),IF(MONTH(DATE(CM462,CN462,CO462))=CN462,DATE(CM462,CN462,CO462),""),"")))),"")</f>
        <v/>
      </c>
      <c r="CJ462">
        <f>IFERROR(IF('월 가계부'!C462="","",IF(ISNUMBER('월 가계부'!C462),'월 가계부'!C462,VALUE(SUBSTITUTE(SUBSTITUTE(SUBSTITUTE(SUBSTITUTE(TRIM('월 가계부'!C462),",",""),"원","")," ",""),"−","-")))),"")</f>
        <v/>
      </c>
      <c r="CK462">
        <f>IF(ISNUMBER(CI462),IF(CI462&lt;$B$13,CI462,""),"")</f>
        <v/>
      </c>
      <c r="CM462">
        <f>IF(CH462="","",IFERROR(IF(IF(AND(LEN(CH462)=9,ISERROR(FIND("-",LEFT(CH462,8))),ISNUMBER(-LEFT(CH462,8))),VALUE(LEFT(CH462,4)),VALUE(LEFT(CH462,FIND("-",CH462)-1)))&lt;100,IF(AND(LEN(CH462)=9,ISERROR(FIND("-",LEFT(CH462,8))),ISNUMBER(-LEFT(CH462,8))),VALUE(LEFT(CH462,4)),VALUE(LEFT(CH462,FIND("-",CH462)-1)))+2000,IF(AND(LEN(CH462)=9,ISERROR(FIND("-",LEFT(CH462,8))),ISNUMBER(-LEFT(CH462,8))),VALUE(LEFT(CH462,4)),VALUE(LEFT(CH462,FIND("-",CH462)-1)))),""))</f>
        <v/>
      </c>
      <c r="CN462">
        <f>IF(CH462="","",IFERROR(IF(AND(LEN(CH462)=9,ISERROR(FIND("-",LEFT(CH462,8))),ISNUMBER(-LEFT(CH462,8))),VALUE(MID(CH462,5,2)),VALUE(MID(CH462,FIND("-",CH462)+1,FIND("-",CH462,FIND("-",CH462)+1)-FIND("-",CH462)-1))),""))</f>
        <v/>
      </c>
      <c r="CO462">
        <f>IF(CH462="","",IFERROR(IF(AND(LEN(CH462)=9,ISERROR(FIND("-",LEFT(CH462,8))),ISNUMBER(-LEFT(CH462,8))),VALUE(MID(CH462,7,2)),VALUE(MID(CH462,FIND("-",CH462,FIND("-",CH462)+1)+1,FIND("-",CH462,FIND("-",CH462,FIND("-",CH462)+1)+1)-FIND("-",CH462,FIND("-",CH462)+1)-1))),""))</f>
        <v/>
      </c>
    </row>
    <row r="463">
      <c r="CH463">
        <f>IF(ISTEXT('월 가계부'!A463),SUBSTITUTE(SUBSTITUTE(SUBSTITUTE(SUBSTITUTE(SUBSTITUTE(SUBSTITUTE(SUBSTITUTE(SUBSTITUTE(SUBSTITUTE(TRIM('월 가계부'!A463),"년","-"),"월","-"),"일",""),".","-"),"/","-")," ","-"),"--","-"),"--","-"),"--","-")&amp;"-","")</f>
        <v/>
      </c>
      <c r="CI463">
        <f>IFERROR(IF('월 가계부'!A463="","",IF(ISNUMBER('월 가계부'!A463),IF(AND('월 가계부'!A463&gt;=19000101,'월 가계부'!A463&lt;=21001231),IF(AND(MOD(INT('월 가계부'!A463/100),100)&gt;=1,MOD(INT('월 가계부'!A463/100),100)&lt;=12,MOD(INT('월 가계부'!A463),100)&gt;=1,MOD(INT('월 가계부'!A463),100)&lt;=31),IF(MONTH(DATE(INT('월 가계부'!A463/10000),MOD(INT('월 가계부'!A463/100),100),MOD(INT('월 가계부'!A463),100)))=MOD(INT('월 가계부'!A463/100),100),DATE(INT('월 가계부'!A463/10000),MOD(INT('월 가계부'!A463/100),100),MOD(INT('월 가계부'!A463),100)),""),""),IF(AND('월 가계부'!A463&gt;=36526,'월 가계부'!A463&lt;73051),INT('월 가계부'!A463),"")),IF(OR(CM463="",CN463="",CO463=""),"",IF(AND(CM463&gt;=2000,CM463&lt;=2099,CN463&gt;=1,CN463&lt;=12,CO463&gt;=1,CO463&lt;=31),IF(MONTH(DATE(CM463,CN463,CO463))=CN463,DATE(CM463,CN463,CO463),""),"")))),"")</f>
        <v/>
      </c>
      <c r="CJ463">
        <f>IFERROR(IF('월 가계부'!C463="","",IF(ISNUMBER('월 가계부'!C463),'월 가계부'!C463,VALUE(SUBSTITUTE(SUBSTITUTE(SUBSTITUTE(SUBSTITUTE(TRIM('월 가계부'!C463),",",""),"원","")," ",""),"−","-")))),"")</f>
        <v/>
      </c>
      <c r="CK463">
        <f>IF(ISNUMBER(CI463),IF(CI463&lt;$B$13,CI463,""),"")</f>
        <v/>
      </c>
      <c r="CM463">
        <f>IF(CH463="","",IFERROR(IF(IF(AND(LEN(CH463)=9,ISERROR(FIND("-",LEFT(CH463,8))),ISNUMBER(-LEFT(CH463,8))),VALUE(LEFT(CH463,4)),VALUE(LEFT(CH463,FIND("-",CH463)-1)))&lt;100,IF(AND(LEN(CH463)=9,ISERROR(FIND("-",LEFT(CH463,8))),ISNUMBER(-LEFT(CH463,8))),VALUE(LEFT(CH463,4)),VALUE(LEFT(CH463,FIND("-",CH463)-1)))+2000,IF(AND(LEN(CH463)=9,ISERROR(FIND("-",LEFT(CH463,8))),ISNUMBER(-LEFT(CH463,8))),VALUE(LEFT(CH463,4)),VALUE(LEFT(CH463,FIND("-",CH463)-1)))),""))</f>
        <v/>
      </c>
      <c r="CN463">
        <f>IF(CH463="","",IFERROR(IF(AND(LEN(CH463)=9,ISERROR(FIND("-",LEFT(CH463,8))),ISNUMBER(-LEFT(CH463,8))),VALUE(MID(CH463,5,2)),VALUE(MID(CH463,FIND("-",CH463)+1,FIND("-",CH463,FIND("-",CH463)+1)-FIND("-",CH463)-1))),""))</f>
        <v/>
      </c>
      <c r="CO463">
        <f>IF(CH463="","",IFERROR(IF(AND(LEN(CH463)=9,ISERROR(FIND("-",LEFT(CH463,8))),ISNUMBER(-LEFT(CH463,8))),VALUE(MID(CH463,7,2)),VALUE(MID(CH463,FIND("-",CH463,FIND("-",CH463)+1)+1,FIND("-",CH463,FIND("-",CH463,FIND("-",CH463)+1)+1)-FIND("-",CH463,FIND("-",CH463)+1)-1))),""))</f>
        <v/>
      </c>
    </row>
    <row r="464">
      <c r="CH464">
        <f>IF(ISTEXT('월 가계부'!A464),SUBSTITUTE(SUBSTITUTE(SUBSTITUTE(SUBSTITUTE(SUBSTITUTE(SUBSTITUTE(SUBSTITUTE(SUBSTITUTE(SUBSTITUTE(TRIM('월 가계부'!A464),"년","-"),"월","-"),"일",""),".","-"),"/","-")," ","-"),"--","-"),"--","-"),"--","-")&amp;"-","")</f>
        <v/>
      </c>
      <c r="CI464">
        <f>IFERROR(IF('월 가계부'!A464="","",IF(ISNUMBER('월 가계부'!A464),IF(AND('월 가계부'!A464&gt;=19000101,'월 가계부'!A464&lt;=21001231),IF(AND(MOD(INT('월 가계부'!A464/100),100)&gt;=1,MOD(INT('월 가계부'!A464/100),100)&lt;=12,MOD(INT('월 가계부'!A464),100)&gt;=1,MOD(INT('월 가계부'!A464),100)&lt;=31),IF(MONTH(DATE(INT('월 가계부'!A464/10000),MOD(INT('월 가계부'!A464/100),100),MOD(INT('월 가계부'!A464),100)))=MOD(INT('월 가계부'!A464/100),100),DATE(INT('월 가계부'!A464/10000),MOD(INT('월 가계부'!A464/100),100),MOD(INT('월 가계부'!A464),100)),""),""),IF(AND('월 가계부'!A464&gt;=36526,'월 가계부'!A464&lt;73051),INT('월 가계부'!A464),"")),IF(OR(CM464="",CN464="",CO464=""),"",IF(AND(CM464&gt;=2000,CM464&lt;=2099,CN464&gt;=1,CN464&lt;=12,CO464&gt;=1,CO464&lt;=31),IF(MONTH(DATE(CM464,CN464,CO464))=CN464,DATE(CM464,CN464,CO464),""),"")))),"")</f>
        <v/>
      </c>
      <c r="CJ464">
        <f>IFERROR(IF('월 가계부'!C464="","",IF(ISNUMBER('월 가계부'!C464),'월 가계부'!C464,VALUE(SUBSTITUTE(SUBSTITUTE(SUBSTITUTE(SUBSTITUTE(TRIM('월 가계부'!C464),",",""),"원","")," ",""),"−","-")))),"")</f>
        <v/>
      </c>
      <c r="CK464">
        <f>IF(ISNUMBER(CI464),IF(CI464&lt;$B$13,CI464,""),"")</f>
        <v/>
      </c>
      <c r="CM464">
        <f>IF(CH464="","",IFERROR(IF(IF(AND(LEN(CH464)=9,ISERROR(FIND("-",LEFT(CH464,8))),ISNUMBER(-LEFT(CH464,8))),VALUE(LEFT(CH464,4)),VALUE(LEFT(CH464,FIND("-",CH464)-1)))&lt;100,IF(AND(LEN(CH464)=9,ISERROR(FIND("-",LEFT(CH464,8))),ISNUMBER(-LEFT(CH464,8))),VALUE(LEFT(CH464,4)),VALUE(LEFT(CH464,FIND("-",CH464)-1)))+2000,IF(AND(LEN(CH464)=9,ISERROR(FIND("-",LEFT(CH464,8))),ISNUMBER(-LEFT(CH464,8))),VALUE(LEFT(CH464,4)),VALUE(LEFT(CH464,FIND("-",CH464)-1)))),""))</f>
        <v/>
      </c>
      <c r="CN464">
        <f>IF(CH464="","",IFERROR(IF(AND(LEN(CH464)=9,ISERROR(FIND("-",LEFT(CH464,8))),ISNUMBER(-LEFT(CH464,8))),VALUE(MID(CH464,5,2)),VALUE(MID(CH464,FIND("-",CH464)+1,FIND("-",CH464,FIND("-",CH464)+1)-FIND("-",CH464)-1))),""))</f>
        <v/>
      </c>
      <c r="CO464">
        <f>IF(CH464="","",IFERROR(IF(AND(LEN(CH464)=9,ISERROR(FIND("-",LEFT(CH464,8))),ISNUMBER(-LEFT(CH464,8))),VALUE(MID(CH464,7,2)),VALUE(MID(CH464,FIND("-",CH464,FIND("-",CH464)+1)+1,FIND("-",CH464,FIND("-",CH464,FIND("-",CH464)+1)+1)-FIND("-",CH464,FIND("-",CH464)+1)-1))),""))</f>
        <v/>
      </c>
    </row>
    <row r="465">
      <c r="CH465">
        <f>IF(ISTEXT('월 가계부'!A465),SUBSTITUTE(SUBSTITUTE(SUBSTITUTE(SUBSTITUTE(SUBSTITUTE(SUBSTITUTE(SUBSTITUTE(SUBSTITUTE(SUBSTITUTE(TRIM('월 가계부'!A465),"년","-"),"월","-"),"일",""),".","-"),"/","-")," ","-"),"--","-"),"--","-"),"--","-")&amp;"-","")</f>
        <v/>
      </c>
      <c r="CI465">
        <f>IFERROR(IF('월 가계부'!A465="","",IF(ISNUMBER('월 가계부'!A465),IF(AND('월 가계부'!A465&gt;=19000101,'월 가계부'!A465&lt;=21001231),IF(AND(MOD(INT('월 가계부'!A465/100),100)&gt;=1,MOD(INT('월 가계부'!A465/100),100)&lt;=12,MOD(INT('월 가계부'!A465),100)&gt;=1,MOD(INT('월 가계부'!A465),100)&lt;=31),IF(MONTH(DATE(INT('월 가계부'!A465/10000),MOD(INT('월 가계부'!A465/100),100),MOD(INT('월 가계부'!A465),100)))=MOD(INT('월 가계부'!A465/100),100),DATE(INT('월 가계부'!A465/10000),MOD(INT('월 가계부'!A465/100),100),MOD(INT('월 가계부'!A465),100)),""),""),IF(AND('월 가계부'!A465&gt;=36526,'월 가계부'!A465&lt;73051),INT('월 가계부'!A465),"")),IF(OR(CM465="",CN465="",CO465=""),"",IF(AND(CM465&gt;=2000,CM465&lt;=2099,CN465&gt;=1,CN465&lt;=12,CO465&gt;=1,CO465&lt;=31),IF(MONTH(DATE(CM465,CN465,CO465))=CN465,DATE(CM465,CN465,CO465),""),"")))),"")</f>
        <v/>
      </c>
      <c r="CJ465">
        <f>IFERROR(IF('월 가계부'!C465="","",IF(ISNUMBER('월 가계부'!C465),'월 가계부'!C465,VALUE(SUBSTITUTE(SUBSTITUTE(SUBSTITUTE(SUBSTITUTE(TRIM('월 가계부'!C465),",",""),"원","")," ",""),"−","-")))),"")</f>
        <v/>
      </c>
      <c r="CK465">
        <f>IF(ISNUMBER(CI465),IF(CI465&lt;$B$13,CI465,""),"")</f>
        <v/>
      </c>
      <c r="CM465">
        <f>IF(CH465="","",IFERROR(IF(IF(AND(LEN(CH465)=9,ISERROR(FIND("-",LEFT(CH465,8))),ISNUMBER(-LEFT(CH465,8))),VALUE(LEFT(CH465,4)),VALUE(LEFT(CH465,FIND("-",CH465)-1)))&lt;100,IF(AND(LEN(CH465)=9,ISERROR(FIND("-",LEFT(CH465,8))),ISNUMBER(-LEFT(CH465,8))),VALUE(LEFT(CH465,4)),VALUE(LEFT(CH465,FIND("-",CH465)-1)))+2000,IF(AND(LEN(CH465)=9,ISERROR(FIND("-",LEFT(CH465,8))),ISNUMBER(-LEFT(CH465,8))),VALUE(LEFT(CH465,4)),VALUE(LEFT(CH465,FIND("-",CH465)-1)))),""))</f>
        <v/>
      </c>
      <c r="CN465">
        <f>IF(CH465="","",IFERROR(IF(AND(LEN(CH465)=9,ISERROR(FIND("-",LEFT(CH465,8))),ISNUMBER(-LEFT(CH465,8))),VALUE(MID(CH465,5,2)),VALUE(MID(CH465,FIND("-",CH465)+1,FIND("-",CH465,FIND("-",CH465)+1)-FIND("-",CH465)-1))),""))</f>
        <v/>
      </c>
      <c r="CO465">
        <f>IF(CH465="","",IFERROR(IF(AND(LEN(CH465)=9,ISERROR(FIND("-",LEFT(CH465,8))),ISNUMBER(-LEFT(CH465,8))),VALUE(MID(CH465,7,2)),VALUE(MID(CH465,FIND("-",CH465,FIND("-",CH465)+1)+1,FIND("-",CH465,FIND("-",CH465,FIND("-",CH465)+1)+1)-FIND("-",CH465,FIND("-",CH465)+1)-1))),""))</f>
        <v/>
      </c>
    </row>
    <row r="466">
      <c r="CH466">
        <f>IF(ISTEXT('월 가계부'!A466),SUBSTITUTE(SUBSTITUTE(SUBSTITUTE(SUBSTITUTE(SUBSTITUTE(SUBSTITUTE(SUBSTITUTE(SUBSTITUTE(SUBSTITUTE(TRIM('월 가계부'!A466),"년","-"),"월","-"),"일",""),".","-"),"/","-")," ","-"),"--","-"),"--","-"),"--","-")&amp;"-","")</f>
        <v/>
      </c>
      <c r="CI466">
        <f>IFERROR(IF('월 가계부'!A466="","",IF(ISNUMBER('월 가계부'!A466),IF(AND('월 가계부'!A466&gt;=19000101,'월 가계부'!A466&lt;=21001231),IF(AND(MOD(INT('월 가계부'!A466/100),100)&gt;=1,MOD(INT('월 가계부'!A466/100),100)&lt;=12,MOD(INT('월 가계부'!A466),100)&gt;=1,MOD(INT('월 가계부'!A466),100)&lt;=31),IF(MONTH(DATE(INT('월 가계부'!A466/10000),MOD(INT('월 가계부'!A466/100),100),MOD(INT('월 가계부'!A466),100)))=MOD(INT('월 가계부'!A466/100),100),DATE(INT('월 가계부'!A466/10000),MOD(INT('월 가계부'!A466/100),100),MOD(INT('월 가계부'!A466),100)),""),""),IF(AND('월 가계부'!A466&gt;=36526,'월 가계부'!A466&lt;73051),INT('월 가계부'!A466),"")),IF(OR(CM466="",CN466="",CO466=""),"",IF(AND(CM466&gt;=2000,CM466&lt;=2099,CN466&gt;=1,CN466&lt;=12,CO466&gt;=1,CO466&lt;=31),IF(MONTH(DATE(CM466,CN466,CO466))=CN466,DATE(CM466,CN466,CO466),""),"")))),"")</f>
        <v/>
      </c>
      <c r="CJ466">
        <f>IFERROR(IF('월 가계부'!C466="","",IF(ISNUMBER('월 가계부'!C466),'월 가계부'!C466,VALUE(SUBSTITUTE(SUBSTITUTE(SUBSTITUTE(SUBSTITUTE(TRIM('월 가계부'!C466),",",""),"원","")," ",""),"−","-")))),"")</f>
        <v/>
      </c>
      <c r="CK466">
        <f>IF(ISNUMBER(CI466),IF(CI466&lt;$B$13,CI466,""),"")</f>
        <v/>
      </c>
      <c r="CM466">
        <f>IF(CH466="","",IFERROR(IF(IF(AND(LEN(CH466)=9,ISERROR(FIND("-",LEFT(CH466,8))),ISNUMBER(-LEFT(CH466,8))),VALUE(LEFT(CH466,4)),VALUE(LEFT(CH466,FIND("-",CH466)-1)))&lt;100,IF(AND(LEN(CH466)=9,ISERROR(FIND("-",LEFT(CH466,8))),ISNUMBER(-LEFT(CH466,8))),VALUE(LEFT(CH466,4)),VALUE(LEFT(CH466,FIND("-",CH466)-1)))+2000,IF(AND(LEN(CH466)=9,ISERROR(FIND("-",LEFT(CH466,8))),ISNUMBER(-LEFT(CH466,8))),VALUE(LEFT(CH466,4)),VALUE(LEFT(CH466,FIND("-",CH466)-1)))),""))</f>
        <v/>
      </c>
      <c r="CN466">
        <f>IF(CH466="","",IFERROR(IF(AND(LEN(CH466)=9,ISERROR(FIND("-",LEFT(CH466,8))),ISNUMBER(-LEFT(CH466,8))),VALUE(MID(CH466,5,2)),VALUE(MID(CH466,FIND("-",CH466)+1,FIND("-",CH466,FIND("-",CH466)+1)-FIND("-",CH466)-1))),""))</f>
        <v/>
      </c>
      <c r="CO466">
        <f>IF(CH466="","",IFERROR(IF(AND(LEN(CH466)=9,ISERROR(FIND("-",LEFT(CH466,8))),ISNUMBER(-LEFT(CH466,8))),VALUE(MID(CH466,7,2)),VALUE(MID(CH466,FIND("-",CH466,FIND("-",CH466)+1)+1,FIND("-",CH466,FIND("-",CH466,FIND("-",CH466)+1)+1)-FIND("-",CH466,FIND("-",CH466)+1)-1))),""))</f>
        <v/>
      </c>
    </row>
    <row r="467">
      <c r="CH467">
        <f>IF(ISTEXT('월 가계부'!A467),SUBSTITUTE(SUBSTITUTE(SUBSTITUTE(SUBSTITUTE(SUBSTITUTE(SUBSTITUTE(SUBSTITUTE(SUBSTITUTE(SUBSTITUTE(TRIM('월 가계부'!A467),"년","-"),"월","-"),"일",""),".","-"),"/","-")," ","-"),"--","-"),"--","-"),"--","-")&amp;"-","")</f>
        <v/>
      </c>
      <c r="CI467">
        <f>IFERROR(IF('월 가계부'!A467="","",IF(ISNUMBER('월 가계부'!A467),IF(AND('월 가계부'!A467&gt;=19000101,'월 가계부'!A467&lt;=21001231),IF(AND(MOD(INT('월 가계부'!A467/100),100)&gt;=1,MOD(INT('월 가계부'!A467/100),100)&lt;=12,MOD(INT('월 가계부'!A467),100)&gt;=1,MOD(INT('월 가계부'!A467),100)&lt;=31),IF(MONTH(DATE(INT('월 가계부'!A467/10000),MOD(INT('월 가계부'!A467/100),100),MOD(INT('월 가계부'!A467),100)))=MOD(INT('월 가계부'!A467/100),100),DATE(INT('월 가계부'!A467/10000),MOD(INT('월 가계부'!A467/100),100),MOD(INT('월 가계부'!A467),100)),""),""),IF(AND('월 가계부'!A467&gt;=36526,'월 가계부'!A467&lt;73051),INT('월 가계부'!A467),"")),IF(OR(CM467="",CN467="",CO467=""),"",IF(AND(CM467&gt;=2000,CM467&lt;=2099,CN467&gt;=1,CN467&lt;=12,CO467&gt;=1,CO467&lt;=31),IF(MONTH(DATE(CM467,CN467,CO467))=CN467,DATE(CM467,CN467,CO467),""),"")))),"")</f>
        <v/>
      </c>
      <c r="CJ467">
        <f>IFERROR(IF('월 가계부'!C467="","",IF(ISNUMBER('월 가계부'!C467),'월 가계부'!C467,VALUE(SUBSTITUTE(SUBSTITUTE(SUBSTITUTE(SUBSTITUTE(TRIM('월 가계부'!C467),",",""),"원","")," ",""),"−","-")))),"")</f>
        <v/>
      </c>
      <c r="CK467">
        <f>IF(ISNUMBER(CI467),IF(CI467&lt;$B$13,CI467,""),"")</f>
        <v/>
      </c>
      <c r="CM467">
        <f>IF(CH467="","",IFERROR(IF(IF(AND(LEN(CH467)=9,ISERROR(FIND("-",LEFT(CH467,8))),ISNUMBER(-LEFT(CH467,8))),VALUE(LEFT(CH467,4)),VALUE(LEFT(CH467,FIND("-",CH467)-1)))&lt;100,IF(AND(LEN(CH467)=9,ISERROR(FIND("-",LEFT(CH467,8))),ISNUMBER(-LEFT(CH467,8))),VALUE(LEFT(CH467,4)),VALUE(LEFT(CH467,FIND("-",CH467)-1)))+2000,IF(AND(LEN(CH467)=9,ISERROR(FIND("-",LEFT(CH467,8))),ISNUMBER(-LEFT(CH467,8))),VALUE(LEFT(CH467,4)),VALUE(LEFT(CH467,FIND("-",CH467)-1)))),""))</f>
        <v/>
      </c>
      <c r="CN467">
        <f>IF(CH467="","",IFERROR(IF(AND(LEN(CH467)=9,ISERROR(FIND("-",LEFT(CH467,8))),ISNUMBER(-LEFT(CH467,8))),VALUE(MID(CH467,5,2)),VALUE(MID(CH467,FIND("-",CH467)+1,FIND("-",CH467,FIND("-",CH467)+1)-FIND("-",CH467)-1))),""))</f>
        <v/>
      </c>
      <c r="CO467">
        <f>IF(CH467="","",IFERROR(IF(AND(LEN(CH467)=9,ISERROR(FIND("-",LEFT(CH467,8))),ISNUMBER(-LEFT(CH467,8))),VALUE(MID(CH467,7,2)),VALUE(MID(CH467,FIND("-",CH467,FIND("-",CH467)+1)+1,FIND("-",CH467,FIND("-",CH467,FIND("-",CH467)+1)+1)-FIND("-",CH467,FIND("-",CH467)+1)-1))),""))</f>
        <v/>
      </c>
    </row>
    <row r="468">
      <c r="CH468">
        <f>IF(ISTEXT('월 가계부'!A468),SUBSTITUTE(SUBSTITUTE(SUBSTITUTE(SUBSTITUTE(SUBSTITUTE(SUBSTITUTE(SUBSTITUTE(SUBSTITUTE(SUBSTITUTE(TRIM('월 가계부'!A468),"년","-"),"월","-"),"일",""),".","-"),"/","-")," ","-"),"--","-"),"--","-"),"--","-")&amp;"-","")</f>
        <v/>
      </c>
      <c r="CI468">
        <f>IFERROR(IF('월 가계부'!A468="","",IF(ISNUMBER('월 가계부'!A468),IF(AND('월 가계부'!A468&gt;=19000101,'월 가계부'!A468&lt;=21001231),IF(AND(MOD(INT('월 가계부'!A468/100),100)&gt;=1,MOD(INT('월 가계부'!A468/100),100)&lt;=12,MOD(INT('월 가계부'!A468),100)&gt;=1,MOD(INT('월 가계부'!A468),100)&lt;=31),IF(MONTH(DATE(INT('월 가계부'!A468/10000),MOD(INT('월 가계부'!A468/100),100),MOD(INT('월 가계부'!A468),100)))=MOD(INT('월 가계부'!A468/100),100),DATE(INT('월 가계부'!A468/10000),MOD(INT('월 가계부'!A468/100),100),MOD(INT('월 가계부'!A468),100)),""),""),IF(AND('월 가계부'!A468&gt;=36526,'월 가계부'!A468&lt;73051),INT('월 가계부'!A468),"")),IF(OR(CM468="",CN468="",CO468=""),"",IF(AND(CM468&gt;=2000,CM468&lt;=2099,CN468&gt;=1,CN468&lt;=12,CO468&gt;=1,CO468&lt;=31),IF(MONTH(DATE(CM468,CN468,CO468))=CN468,DATE(CM468,CN468,CO468),""),"")))),"")</f>
        <v/>
      </c>
      <c r="CJ468">
        <f>IFERROR(IF('월 가계부'!C468="","",IF(ISNUMBER('월 가계부'!C468),'월 가계부'!C468,VALUE(SUBSTITUTE(SUBSTITUTE(SUBSTITUTE(SUBSTITUTE(TRIM('월 가계부'!C468),",",""),"원","")," ",""),"−","-")))),"")</f>
        <v/>
      </c>
      <c r="CK468">
        <f>IF(ISNUMBER(CI468),IF(CI468&lt;$B$13,CI468,""),"")</f>
        <v/>
      </c>
      <c r="CM468">
        <f>IF(CH468="","",IFERROR(IF(IF(AND(LEN(CH468)=9,ISERROR(FIND("-",LEFT(CH468,8))),ISNUMBER(-LEFT(CH468,8))),VALUE(LEFT(CH468,4)),VALUE(LEFT(CH468,FIND("-",CH468)-1)))&lt;100,IF(AND(LEN(CH468)=9,ISERROR(FIND("-",LEFT(CH468,8))),ISNUMBER(-LEFT(CH468,8))),VALUE(LEFT(CH468,4)),VALUE(LEFT(CH468,FIND("-",CH468)-1)))+2000,IF(AND(LEN(CH468)=9,ISERROR(FIND("-",LEFT(CH468,8))),ISNUMBER(-LEFT(CH468,8))),VALUE(LEFT(CH468,4)),VALUE(LEFT(CH468,FIND("-",CH468)-1)))),""))</f>
        <v/>
      </c>
      <c r="CN468">
        <f>IF(CH468="","",IFERROR(IF(AND(LEN(CH468)=9,ISERROR(FIND("-",LEFT(CH468,8))),ISNUMBER(-LEFT(CH468,8))),VALUE(MID(CH468,5,2)),VALUE(MID(CH468,FIND("-",CH468)+1,FIND("-",CH468,FIND("-",CH468)+1)-FIND("-",CH468)-1))),""))</f>
        <v/>
      </c>
      <c r="CO468">
        <f>IF(CH468="","",IFERROR(IF(AND(LEN(CH468)=9,ISERROR(FIND("-",LEFT(CH468,8))),ISNUMBER(-LEFT(CH468,8))),VALUE(MID(CH468,7,2)),VALUE(MID(CH468,FIND("-",CH468,FIND("-",CH468)+1)+1,FIND("-",CH468,FIND("-",CH468,FIND("-",CH468)+1)+1)-FIND("-",CH468,FIND("-",CH468)+1)-1))),""))</f>
        <v/>
      </c>
    </row>
    <row r="469">
      <c r="CH469">
        <f>IF(ISTEXT('월 가계부'!A469),SUBSTITUTE(SUBSTITUTE(SUBSTITUTE(SUBSTITUTE(SUBSTITUTE(SUBSTITUTE(SUBSTITUTE(SUBSTITUTE(SUBSTITUTE(TRIM('월 가계부'!A469),"년","-"),"월","-"),"일",""),".","-"),"/","-")," ","-"),"--","-"),"--","-"),"--","-")&amp;"-","")</f>
        <v/>
      </c>
      <c r="CI469">
        <f>IFERROR(IF('월 가계부'!A469="","",IF(ISNUMBER('월 가계부'!A469),IF(AND('월 가계부'!A469&gt;=19000101,'월 가계부'!A469&lt;=21001231),IF(AND(MOD(INT('월 가계부'!A469/100),100)&gt;=1,MOD(INT('월 가계부'!A469/100),100)&lt;=12,MOD(INT('월 가계부'!A469),100)&gt;=1,MOD(INT('월 가계부'!A469),100)&lt;=31),IF(MONTH(DATE(INT('월 가계부'!A469/10000),MOD(INT('월 가계부'!A469/100),100),MOD(INT('월 가계부'!A469),100)))=MOD(INT('월 가계부'!A469/100),100),DATE(INT('월 가계부'!A469/10000),MOD(INT('월 가계부'!A469/100),100),MOD(INT('월 가계부'!A469),100)),""),""),IF(AND('월 가계부'!A469&gt;=36526,'월 가계부'!A469&lt;73051),INT('월 가계부'!A469),"")),IF(OR(CM469="",CN469="",CO469=""),"",IF(AND(CM469&gt;=2000,CM469&lt;=2099,CN469&gt;=1,CN469&lt;=12,CO469&gt;=1,CO469&lt;=31),IF(MONTH(DATE(CM469,CN469,CO469))=CN469,DATE(CM469,CN469,CO469),""),"")))),"")</f>
        <v/>
      </c>
      <c r="CJ469">
        <f>IFERROR(IF('월 가계부'!C469="","",IF(ISNUMBER('월 가계부'!C469),'월 가계부'!C469,VALUE(SUBSTITUTE(SUBSTITUTE(SUBSTITUTE(SUBSTITUTE(TRIM('월 가계부'!C469),",",""),"원","")," ",""),"−","-")))),"")</f>
        <v/>
      </c>
      <c r="CK469">
        <f>IF(ISNUMBER(CI469),IF(CI469&lt;$B$13,CI469,""),"")</f>
        <v/>
      </c>
      <c r="CM469">
        <f>IF(CH469="","",IFERROR(IF(IF(AND(LEN(CH469)=9,ISERROR(FIND("-",LEFT(CH469,8))),ISNUMBER(-LEFT(CH469,8))),VALUE(LEFT(CH469,4)),VALUE(LEFT(CH469,FIND("-",CH469)-1)))&lt;100,IF(AND(LEN(CH469)=9,ISERROR(FIND("-",LEFT(CH469,8))),ISNUMBER(-LEFT(CH469,8))),VALUE(LEFT(CH469,4)),VALUE(LEFT(CH469,FIND("-",CH469)-1)))+2000,IF(AND(LEN(CH469)=9,ISERROR(FIND("-",LEFT(CH469,8))),ISNUMBER(-LEFT(CH469,8))),VALUE(LEFT(CH469,4)),VALUE(LEFT(CH469,FIND("-",CH469)-1)))),""))</f>
        <v/>
      </c>
      <c r="CN469">
        <f>IF(CH469="","",IFERROR(IF(AND(LEN(CH469)=9,ISERROR(FIND("-",LEFT(CH469,8))),ISNUMBER(-LEFT(CH469,8))),VALUE(MID(CH469,5,2)),VALUE(MID(CH469,FIND("-",CH469)+1,FIND("-",CH469,FIND("-",CH469)+1)-FIND("-",CH469)-1))),""))</f>
        <v/>
      </c>
      <c r="CO469">
        <f>IF(CH469="","",IFERROR(IF(AND(LEN(CH469)=9,ISERROR(FIND("-",LEFT(CH469,8))),ISNUMBER(-LEFT(CH469,8))),VALUE(MID(CH469,7,2)),VALUE(MID(CH469,FIND("-",CH469,FIND("-",CH469)+1)+1,FIND("-",CH469,FIND("-",CH469,FIND("-",CH469)+1)+1)-FIND("-",CH469,FIND("-",CH469)+1)-1))),""))</f>
        <v/>
      </c>
    </row>
    <row r="470">
      <c r="CH470">
        <f>IF(ISTEXT('월 가계부'!A470),SUBSTITUTE(SUBSTITUTE(SUBSTITUTE(SUBSTITUTE(SUBSTITUTE(SUBSTITUTE(SUBSTITUTE(SUBSTITUTE(SUBSTITUTE(TRIM('월 가계부'!A470),"년","-"),"월","-"),"일",""),".","-"),"/","-")," ","-"),"--","-"),"--","-"),"--","-")&amp;"-","")</f>
        <v/>
      </c>
      <c r="CI470">
        <f>IFERROR(IF('월 가계부'!A470="","",IF(ISNUMBER('월 가계부'!A470),IF(AND('월 가계부'!A470&gt;=19000101,'월 가계부'!A470&lt;=21001231),IF(AND(MOD(INT('월 가계부'!A470/100),100)&gt;=1,MOD(INT('월 가계부'!A470/100),100)&lt;=12,MOD(INT('월 가계부'!A470),100)&gt;=1,MOD(INT('월 가계부'!A470),100)&lt;=31),IF(MONTH(DATE(INT('월 가계부'!A470/10000),MOD(INT('월 가계부'!A470/100),100),MOD(INT('월 가계부'!A470),100)))=MOD(INT('월 가계부'!A470/100),100),DATE(INT('월 가계부'!A470/10000),MOD(INT('월 가계부'!A470/100),100),MOD(INT('월 가계부'!A470),100)),""),""),IF(AND('월 가계부'!A470&gt;=36526,'월 가계부'!A470&lt;73051),INT('월 가계부'!A470),"")),IF(OR(CM470="",CN470="",CO470=""),"",IF(AND(CM470&gt;=2000,CM470&lt;=2099,CN470&gt;=1,CN470&lt;=12,CO470&gt;=1,CO470&lt;=31),IF(MONTH(DATE(CM470,CN470,CO470))=CN470,DATE(CM470,CN470,CO470),""),"")))),"")</f>
        <v/>
      </c>
      <c r="CJ470">
        <f>IFERROR(IF('월 가계부'!C470="","",IF(ISNUMBER('월 가계부'!C470),'월 가계부'!C470,VALUE(SUBSTITUTE(SUBSTITUTE(SUBSTITUTE(SUBSTITUTE(TRIM('월 가계부'!C470),",",""),"원","")," ",""),"−","-")))),"")</f>
        <v/>
      </c>
      <c r="CK470">
        <f>IF(ISNUMBER(CI470),IF(CI470&lt;$B$13,CI470,""),"")</f>
        <v/>
      </c>
      <c r="CM470">
        <f>IF(CH470="","",IFERROR(IF(IF(AND(LEN(CH470)=9,ISERROR(FIND("-",LEFT(CH470,8))),ISNUMBER(-LEFT(CH470,8))),VALUE(LEFT(CH470,4)),VALUE(LEFT(CH470,FIND("-",CH470)-1)))&lt;100,IF(AND(LEN(CH470)=9,ISERROR(FIND("-",LEFT(CH470,8))),ISNUMBER(-LEFT(CH470,8))),VALUE(LEFT(CH470,4)),VALUE(LEFT(CH470,FIND("-",CH470)-1)))+2000,IF(AND(LEN(CH470)=9,ISERROR(FIND("-",LEFT(CH470,8))),ISNUMBER(-LEFT(CH470,8))),VALUE(LEFT(CH470,4)),VALUE(LEFT(CH470,FIND("-",CH470)-1)))),""))</f>
        <v/>
      </c>
      <c r="CN470">
        <f>IF(CH470="","",IFERROR(IF(AND(LEN(CH470)=9,ISERROR(FIND("-",LEFT(CH470,8))),ISNUMBER(-LEFT(CH470,8))),VALUE(MID(CH470,5,2)),VALUE(MID(CH470,FIND("-",CH470)+1,FIND("-",CH470,FIND("-",CH470)+1)-FIND("-",CH470)-1))),""))</f>
        <v/>
      </c>
      <c r="CO470">
        <f>IF(CH470="","",IFERROR(IF(AND(LEN(CH470)=9,ISERROR(FIND("-",LEFT(CH470,8))),ISNUMBER(-LEFT(CH470,8))),VALUE(MID(CH470,7,2)),VALUE(MID(CH470,FIND("-",CH470,FIND("-",CH470)+1)+1,FIND("-",CH470,FIND("-",CH470,FIND("-",CH470)+1)+1)-FIND("-",CH470,FIND("-",CH470)+1)-1))),""))</f>
        <v/>
      </c>
    </row>
    <row r="471">
      <c r="CH471">
        <f>IF(ISTEXT('월 가계부'!A471),SUBSTITUTE(SUBSTITUTE(SUBSTITUTE(SUBSTITUTE(SUBSTITUTE(SUBSTITUTE(SUBSTITUTE(SUBSTITUTE(SUBSTITUTE(TRIM('월 가계부'!A471),"년","-"),"월","-"),"일",""),".","-"),"/","-")," ","-"),"--","-"),"--","-"),"--","-")&amp;"-","")</f>
        <v/>
      </c>
      <c r="CI471">
        <f>IFERROR(IF('월 가계부'!A471="","",IF(ISNUMBER('월 가계부'!A471),IF(AND('월 가계부'!A471&gt;=19000101,'월 가계부'!A471&lt;=21001231),IF(AND(MOD(INT('월 가계부'!A471/100),100)&gt;=1,MOD(INT('월 가계부'!A471/100),100)&lt;=12,MOD(INT('월 가계부'!A471),100)&gt;=1,MOD(INT('월 가계부'!A471),100)&lt;=31),IF(MONTH(DATE(INT('월 가계부'!A471/10000),MOD(INT('월 가계부'!A471/100),100),MOD(INT('월 가계부'!A471),100)))=MOD(INT('월 가계부'!A471/100),100),DATE(INT('월 가계부'!A471/10000),MOD(INT('월 가계부'!A471/100),100),MOD(INT('월 가계부'!A471),100)),""),""),IF(AND('월 가계부'!A471&gt;=36526,'월 가계부'!A471&lt;73051),INT('월 가계부'!A471),"")),IF(OR(CM471="",CN471="",CO471=""),"",IF(AND(CM471&gt;=2000,CM471&lt;=2099,CN471&gt;=1,CN471&lt;=12,CO471&gt;=1,CO471&lt;=31),IF(MONTH(DATE(CM471,CN471,CO471))=CN471,DATE(CM471,CN471,CO471),""),"")))),"")</f>
        <v/>
      </c>
      <c r="CJ471">
        <f>IFERROR(IF('월 가계부'!C471="","",IF(ISNUMBER('월 가계부'!C471),'월 가계부'!C471,VALUE(SUBSTITUTE(SUBSTITUTE(SUBSTITUTE(SUBSTITUTE(TRIM('월 가계부'!C471),",",""),"원","")," ",""),"−","-")))),"")</f>
        <v/>
      </c>
      <c r="CK471">
        <f>IF(ISNUMBER(CI471),IF(CI471&lt;$B$13,CI471,""),"")</f>
        <v/>
      </c>
      <c r="CM471">
        <f>IF(CH471="","",IFERROR(IF(IF(AND(LEN(CH471)=9,ISERROR(FIND("-",LEFT(CH471,8))),ISNUMBER(-LEFT(CH471,8))),VALUE(LEFT(CH471,4)),VALUE(LEFT(CH471,FIND("-",CH471)-1)))&lt;100,IF(AND(LEN(CH471)=9,ISERROR(FIND("-",LEFT(CH471,8))),ISNUMBER(-LEFT(CH471,8))),VALUE(LEFT(CH471,4)),VALUE(LEFT(CH471,FIND("-",CH471)-1)))+2000,IF(AND(LEN(CH471)=9,ISERROR(FIND("-",LEFT(CH471,8))),ISNUMBER(-LEFT(CH471,8))),VALUE(LEFT(CH471,4)),VALUE(LEFT(CH471,FIND("-",CH471)-1)))),""))</f>
        <v/>
      </c>
      <c r="CN471">
        <f>IF(CH471="","",IFERROR(IF(AND(LEN(CH471)=9,ISERROR(FIND("-",LEFT(CH471,8))),ISNUMBER(-LEFT(CH471,8))),VALUE(MID(CH471,5,2)),VALUE(MID(CH471,FIND("-",CH471)+1,FIND("-",CH471,FIND("-",CH471)+1)-FIND("-",CH471)-1))),""))</f>
        <v/>
      </c>
      <c r="CO471">
        <f>IF(CH471="","",IFERROR(IF(AND(LEN(CH471)=9,ISERROR(FIND("-",LEFT(CH471,8))),ISNUMBER(-LEFT(CH471,8))),VALUE(MID(CH471,7,2)),VALUE(MID(CH471,FIND("-",CH471,FIND("-",CH471)+1)+1,FIND("-",CH471,FIND("-",CH471,FIND("-",CH471)+1)+1)-FIND("-",CH471,FIND("-",CH471)+1)-1))),""))</f>
        <v/>
      </c>
    </row>
    <row r="472">
      <c r="CH472">
        <f>IF(ISTEXT('월 가계부'!A472),SUBSTITUTE(SUBSTITUTE(SUBSTITUTE(SUBSTITUTE(SUBSTITUTE(SUBSTITUTE(SUBSTITUTE(SUBSTITUTE(SUBSTITUTE(TRIM('월 가계부'!A472),"년","-"),"월","-"),"일",""),".","-"),"/","-")," ","-"),"--","-"),"--","-"),"--","-")&amp;"-","")</f>
        <v/>
      </c>
      <c r="CI472">
        <f>IFERROR(IF('월 가계부'!A472="","",IF(ISNUMBER('월 가계부'!A472),IF(AND('월 가계부'!A472&gt;=19000101,'월 가계부'!A472&lt;=21001231),IF(AND(MOD(INT('월 가계부'!A472/100),100)&gt;=1,MOD(INT('월 가계부'!A472/100),100)&lt;=12,MOD(INT('월 가계부'!A472),100)&gt;=1,MOD(INT('월 가계부'!A472),100)&lt;=31),IF(MONTH(DATE(INT('월 가계부'!A472/10000),MOD(INT('월 가계부'!A472/100),100),MOD(INT('월 가계부'!A472),100)))=MOD(INT('월 가계부'!A472/100),100),DATE(INT('월 가계부'!A472/10000),MOD(INT('월 가계부'!A472/100),100),MOD(INT('월 가계부'!A472),100)),""),""),IF(AND('월 가계부'!A472&gt;=36526,'월 가계부'!A472&lt;73051),INT('월 가계부'!A472),"")),IF(OR(CM472="",CN472="",CO472=""),"",IF(AND(CM472&gt;=2000,CM472&lt;=2099,CN472&gt;=1,CN472&lt;=12,CO472&gt;=1,CO472&lt;=31),IF(MONTH(DATE(CM472,CN472,CO472))=CN472,DATE(CM472,CN472,CO472),""),"")))),"")</f>
        <v/>
      </c>
      <c r="CJ472">
        <f>IFERROR(IF('월 가계부'!C472="","",IF(ISNUMBER('월 가계부'!C472),'월 가계부'!C472,VALUE(SUBSTITUTE(SUBSTITUTE(SUBSTITUTE(SUBSTITUTE(TRIM('월 가계부'!C472),",",""),"원","")," ",""),"−","-")))),"")</f>
        <v/>
      </c>
      <c r="CK472">
        <f>IF(ISNUMBER(CI472),IF(CI472&lt;$B$13,CI472,""),"")</f>
        <v/>
      </c>
      <c r="CM472">
        <f>IF(CH472="","",IFERROR(IF(IF(AND(LEN(CH472)=9,ISERROR(FIND("-",LEFT(CH472,8))),ISNUMBER(-LEFT(CH472,8))),VALUE(LEFT(CH472,4)),VALUE(LEFT(CH472,FIND("-",CH472)-1)))&lt;100,IF(AND(LEN(CH472)=9,ISERROR(FIND("-",LEFT(CH472,8))),ISNUMBER(-LEFT(CH472,8))),VALUE(LEFT(CH472,4)),VALUE(LEFT(CH472,FIND("-",CH472)-1)))+2000,IF(AND(LEN(CH472)=9,ISERROR(FIND("-",LEFT(CH472,8))),ISNUMBER(-LEFT(CH472,8))),VALUE(LEFT(CH472,4)),VALUE(LEFT(CH472,FIND("-",CH472)-1)))),""))</f>
        <v/>
      </c>
      <c r="CN472">
        <f>IF(CH472="","",IFERROR(IF(AND(LEN(CH472)=9,ISERROR(FIND("-",LEFT(CH472,8))),ISNUMBER(-LEFT(CH472,8))),VALUE(MID(CH472,5,2)),VALUE(MID(CH472,FIND("-",CH472)+1,FIND("-",CH472,FIND("-",CH472)+1)-FIND("-",CH472)-1))),""))</f>
        <v/>
      </c>
      <c r="CO472">
        <f>IF(CH472="","",IFERROR(IF(AND(LEN(CH472)=9,ISERROR(FIND("-",LEFT(CH472,8))),ISNUMBER(-LEFT(CH472,8))),VALUE(MID(CH472,7,2)),VALUE(MID(CH472,FIND("-",CH472,FIND("-",CH472)+1)+1,FIND("-",CH472,FIND("-",CH472,FIND("-",CH472)+1)+1)-FIND("-",CH472,FIND("-",CH472)+1)-1))),""))</f>
        <v/>
      </c>
    </row>
    <row r="473">
      <c r="CH473">
        <f>IF(ISTEXT('월 가계부'!A473),SUBSTITUTE(SUBSTITUTE(SUBSTITUTE(SUBSTITUTE(SUBSTITUTE(SUBSTITUTE(SUBSTITUTE(SUBSTITUTE(SUBSTITUTE(TRIM('월 가계부'!A473),"년","-"),"월","-"),"일",""),".","-"),"/","-")," ","-"),"--","-"),"--","-"),"--","-")&amp;"-","")</f>
        <v/>
      </c>
      <c r="CI473">
        <f>IFERROR(IF('월 가계부'!A473="","",IF(ISNUMBER('월 가계부'!A473),IF(AND('월 가계부'!A473&gt;=19000101,'월 가계부'!A473&lt;=21001231),IF(AND(MOD(INT('월 가계부'!A473/100),100)&gt;=1,MOD(INT('월 가계부'!A473/100),100)&lt;=12,MOD(INT('월 가계부'!A473),100)&gt;=1,MOD(INT('월 가계부'!A473),100)&lt;=31),IF(MONTH(DATE(INT('월 가계부'!A473/10000),MOD(INT('월 가계부'!A473/100),100),MOD(INT('월 가계부'!A473),100)))=MOD(INT('월 가계부'!A473/100),100),DATE(INT('월 가계부'!A473/10000),MOD(INT('월 가계부'!A473/100),100),MOD(INT('월 가계부'!A473),100)),""),""),IF(AND('월 가계부'!A473&gt;=36526,'월 가계부'!A473&lt;73051),INT('월 가계부'!A473),"")),IF(OR(CM473="",CN473="",CO473=""),"",IF(AND(CM473&gt;=2000,CM473&lt;=2099,CN473&gt;=1,CN473&lt;=12,CO473&gt;=1,CO473&lt;=31),IF(MONTH(DATE(CM473,CN473,CO473))=CN473,DATE(CM473,CN473,CO473),""),"")))),"")</f>
        <v/>
      </c>
      <c r="CJ473">
        <f>IFERROR(IF('월 가계부'!C473="","",IF(ISNUMBER('월 가계부'!C473),'월 가계부'!C473,VALUE(SUBSTITUTE(SUBSTITUTE(SUBSTITUTE(SUBSTITUTE(TRIM('월 가계부'!C473),",",""),"원","")," ",""),"−","-")))),"")</f>
        <v/>
      </c>
      <c r="CK473">
        <f>IF(ISNUMBER(CI473),IF(CI473&lt;$B$13,CI473,""),"")</f>
        <v/>
      </c>
      <c r="CM473">
        <f>IF(CH473="","",IFERROR(IF(IF(AND(LEN(CH473)=9,ISERROR(FIND("-",LEFT(CH473,8))),ISNUMBER(-LEFT(CH473,8))),VALUE(LEFT(CH473,4)),VALUE(LEFT(CH473,FIND("-",CH473)-1)))&lt;100,IF(AND(LEN(CH473)=9,ISERROR(FIND("-",LEFT(CH473,8))),ISNUMBER(-LEFT(CH473,8))),VALUE(LEFT(CH473,4)),VALUE(LEFT(CH473,FIND("-",CH473)-1)))+2000,IF(AND(LEN(CH473)=9,ISERROR(FIND("-",LEFT(CH473,8))),ISNUMBER(-LEFT(CH473,8))),VALUE(LEFT(CH473,4)),VALUE(LEFT(CH473,FIND("-",CH473)-1)))),""))</f>
        <v/>
      </c>
      <c r="CN473">
        <f>IF(CH473="","",IFERROR(IF(AND(LEN(CH473)=9,ISERROR(FIND("-",LEFT(CH473,8))),ISNUMBER(-LEFT(CH473,8))),VALUE(MID(CH473,5,2)),VALUE(MID(CH473,FIND("-",CH473)+1,FIND("-",CH473,FIND("-",CH473)+1)-FIND("-",CH473)-1))),""))</f>
        <v/>
      </c>
      <c r="CO473">
        <f>IF(CH473="","",IFERROR(IF(AND(LEN(CH473)=9,ISERROR(FIND("-",LEFT(CH473,8))),ISNUMBER(-LEFT(CH473,8))),VALUE(MID(CH473,7,2)),VALUE(MID(CH473,FIND("-",CH473,FIND("-",CH473)+1)+1,FIND("-",CH473,FIND("-",CH473,FIND("-",CH473)+1)+1)-FIND("-",CH473,FIND("-",CH473)+1)-1))),""))</f>
        <v/>
      </c>
    </row>
    <row r="474">
      <c r="CH474">
        <f>IF(ISTEXT('월 가계부'!A474),SUBSTITUTE(SUBSTITUTE(SUBSTITUTE(SUBSTITUTE(SUBSTITUTE(SUBSTITUTE(SUBSTITUTE(SUBSTITUTE(SUBSTITUTE(TRIM('월 가계부'!A474),"년","-"),"월","-"),"일",""),".","-"),"/","-")," ","-"),"--","-"),"--","-"),"--","-")&amp;"-","")</f>
        <v/>
      </c>
      <c r="CI474">
        <f>IFERROR(IF('월 가계부'!A474="","",IF(ISNUMBER('월 가계부'!A474),IF(AND('월 가계부'!A474&gt;=19000101,'월 가계부'!A474&lt;=21001231),IF(AND(MOD(INT('월 가계부'!A474/100),100)&gt;=1,MOD(INT('월 가계부'!A474/100),100)&lt;=12,MOD(INT('월 가계부'!A474),100)&gt;=1,MOD(INT('월 가계부'!A474),100)&lt;=31),IF(MONTH(DATE(INT('월 가계부'!A474/10000),MOD(INT('월 가계부'!A474/100),100),MOD(INT('월 가계부'!A474),100)))=MOD(INT('월 가계부'!A474/100),100),DATE(INT('월 가계부'!A474/10000),MOD(INT('월 가계부'!A474/100),100),MOD(INT('월 가계부'!A474),100)),""),""),IF(AND('월 가계부'!A474&gt;=36526,'월 가계부'!A474&lt;73051),INT('월 가계부'!A474),"")),IF(OR(CM474="",CN474="",CO474=""),"",IF(AND(CM474&gt;=2000,CM474&lt;=2099,CN474&gt;=1,CN474&lt;=12,CO474&gt;=1,CO474&lt;=31),IF(MONTH(DATE(CM474,CN474,CO474))=CN474,DATE(CM474,CN474,CO474),""),"")))),"")</f>
        <v/>
      </c>
      <c r="CJ474">
        <f>IFERROR(IF('월 가계부'!C474="","",IF(ISNUMBER('월 가계부'!C474),'월 가계부'!C474,VALUE(SUBSTITUTE(SUBSTITUTE(SUBSTITUTE(SUBSTITUTE(TRIM('월 가계부'!C474),",",""),"원","")," ",""),"−","-")))),"")</f>
        <v/>
      </c>
      <c r="CK474">
        <f>IF(ISNUMBER(CI474),IF(CI474&lt;$B$13,CI474,""),"")</f>
        <v/>
      </c>
      <c r="CM474">
        <f>IF(CH474="","",IFERROR(IF(IF(AND(LEN(CH474)=9,ISERROR(FIND("-",LEFT(CH474,8))),ISNUMBER(-LEFT(CH474,8))),VALUE(LEFT(CH474,4)),VALUE(LEFT(CH474,FIND("-",CH474)-1)))&lt;100,IF(AND(LEN(CH474)=9,ISERROR(FIND("-",LEFT(CH474,8))),ISNUMBER(-LEFT(CH474,8))),VALUE(LEFT(CH474,4)),VALUE(LEFT(CH474,FIND("-",CH474)-1)))+2000,IF(AND(LEN(CH474)=9,ISERROR(FIND("-",LEFT(CH474,8))),ISNUMBER(-LEFT(CH474,8))),VALUE(LEFT(CH474,4)),VALUE(LEFT(CH474,FIND("-",CH474)-1)))),""))</f>
        <v/>
      </c>
      <c r="CN474">
        <f>IF(CH474="","",IFERROR(IF(AND(LEN(CH474)=9,ISERROR(FIND("-",LEFT(CH474,8))),ISNUMBER(-LEFT(CH474,8))),VALUE(MID(CH474,5,2)),VALUE(MID(CH474,FIND("-",CH474)+1,FIND("-",CH474,FIND("-",CH474)+1)-FIND("-",CH474)-1))),""))</f>
        <v/>
      </c>
      <c r="CO474">
        <f>IF(CH474="","",IFERROR(IF(AND(LEN(CH474)=9,ISERROR(FIND("-",LEFT(CH474,8))),ISNUMBER(-LEFT(CH474,8))),VALUE(MID(CH474,7,2)),VALUE(MID(CH474,FIND("-",CH474,FIND("-",CH474)+1)+1,FIND("-",CH474,FIND("-",CH474,FIND("-",CH474)+1)+1)-FIND("-",CH474,FIND("-",CH474)+1)-1))),""))</f>
        <v/>
      </c>
    </row>
    <row r="475">
      <c r="CH475">
        <f>IF(ISTEXT('월 가계부'!A475),SUBSTITUTE(SUBSTITUTE(SUBSTITUTE(SUBSTITUTE(SUBSTITUTE(SUBSTITUTE(SUBSTITUTE(SUBSTITUTE(SUBSTITUTE(TRIM('월 가계부'!A475),"년","-"),"월","-"),"일",""),".","-"),"/","-")," ","-"),"--","-"),"--","-"),"--","-")&amp;"-","")</f>
        <v/>
      </c>
      <c r="CI475">
        <f>IFERROR(IF('월 가계부'!A475="","",IF(ISNUMBER('월 가계부'!A475),IF(AND('월 가계부'!A475&gt;=19000101,'월 가계부'!A475&lt;=21001231),IF(AND(MOD(INT('월 가계부'!A475/100),100)&gt;=1,MOD(INT('월 가계부'!A475/100),100)&lt;=12,MOD(INT('월 가계부'!A475),100)&gt;=1,MOD(INT('월 가계부'!A475),100)&lt;=31),IF(MONTH(DATE(INT('월 가계부'!A475/10000),MOD(INT('월 가계부'!A475/100),100),MOD(INT('월 가계부'!A475),100)))=MOD(INT('월 가계부'!A475/100),100),DATE(INT('월 가계부'!A475/10000),MOD(INT('월 가계부'!A475/100),100),MOD(INT('월 가계부'!A475),100)),""),""),IF(AND('월 가계부'!A475&gt;=36526,'월 가계부'!A475&lt;73051),INT('월 가계부'!A475),"")),IF(OR(CM475="",CN475="",CO475=""),"",IF(AND(CM475&gt;=2000,CM475&lt;=2099,CN475&gt;=1,CN475&lt;=12,CO475&gt;=1,CO475&lt;=31),IF(MONTH(DATE(CM475,CN475,CO475))=CN475,DATE(CM475,CN475,CO475),""),"")))),"")</f>
        <v/>
      </c>
      <c r="CJ475">
        <f>IFERROR(IF('월 가계부'!C475="","",IF(ISNUMBER('월 가계부'!C475),'월 가계부'!C475,VALUE(SUBSTITUTE(SUBSTITUTE(SUBSTITUTE(SUBSTITUTE(TRIM('월 가계부'!C475),",",""),"원","")," ",""),"−","-")))),"")</f>
        <v/>
      </c>
      <c r="CK475">
        <f>IF(ISNUMBER(CI475),IF(CI475&lt;$B$13,CI475,""),"")</f>
        <v/>
      </c>
      <c r="CM475">
        <f>IF(CH475="","",IFERROR(IF(IF(AND(LEN(CH475)=9,ISERROR(FIND("-",LEFT(CH475,8))),ISNUMBER(-LEFT(CH475,8))),VALUE(LEFT(CH475,4)),VALUE(LEFT(CH475,FIND("-",CH475)-1)))&lt;100,IF(AND(LEN(CH475)=9,ISERROR(FIND("-",LEFT(CH475,8))),ISNUMBER(-LEFT(CH475,8))),VALUE(LEFT(CH475,4)),VALUE(LEFT(CH475,FIND("-",CH475)-1)))+2000,IF(AND(LEN(CH475)=9,ISERROR(FIND("-",LEFT(CH475,8))),ISNUMBER(-LEFT(CH475,8))),VALUE(LEFT(CH475,4)),VALUE(LEFT(CH475,FIND("-",CH475)-1)))),""))</f>
        <v/>
      </c>
      <c r="CN475">
        <f>IF(CH475="","",IFERROR(IF(AND(LEN(CH475)=9,ISERROR(FIND("-",LEFT(CH475,8))),ISNUMBER(-LEFT(CH475,8))),VALUE(MID(CH475,5,2)),VALUE(MID(CH475,FIND("-",CH475)+1,FIND("-",CH475,FIND("-",CH475)+1)-FIND("-",CH475)-1))),""))</f>
        <v/>
      </c>
      <c r="CO475">
        <f>IF(CH475="","",IFERROR(IF(AND(LEN(CH475)=9,ISERROR(FIND("-",LEFT(CH475,8))),ISNUMBER(-LEFT(CH475,8))),VALUE(MID(CH475,7,2)),VALUE(MID(CH475,FIND("-",CH475,FIND("-",CH475)+1)+1,FIND("-",CH475,FIND("-",CH475,FIND("-",CH475)+1)+1)-FIND("-",CH475,FIND("-",CH475)+1)-1))),""))</f>
        <v/>
      </c>
    </row>
    <row r="476">
      <c r="CH476">
        <f>IF(ISTEXT('월 가계부'!A476),SUBSTITUTE(SUBSTITUTE(SUBSTITUTE(SUBSTITUTE(SUBSTITUTE(SUBSTITUTE(SUBSTITUTE(SUBSTITUTE(SUBSTITUTE(TRIM('월 가계부'!A476),"년","-"),"월","-"),"일",""),".","-"),"/","-")," ","-"),"--","-"),"--","-"),"--","-")&amp;"-","")</f>
        <v/>
      </c>
      <c r="CI476">
        <f>IFERROR(IF('월 가계부'!A476="","",IF(ISNUMBER('월 가계부'!A476),IF(AND('월 가계부'!A476&gt;=19000101,'월 가계부'!A476&lt;=21001231),IF(AND(MOD(INT('월 가계부'!A476/100),100)&gt;=1,MOD(INT('월 가계부'!A476/100),100)&lt;=12,MOD(INT('월 가계부'!A476),100)&gt;=1,MOD(INT('월 가계부'!A476),100)&lt;=31),IF(MONTH(DATE(INT('월 가계부'!A476/10000),MOD(INT('월 가계부'!A476/100),100),MOD(INT('월 가계부'!A476),100)))=MOD(INT('월 가계부'!A476/100),100),DATE(INT('월 가계부'!A476/10000),MOD(INT('월 가계부'!A476/100),100),MOD(INT('월 가계부'!A476),100)),""),""),IF(AND('월 가계부'!A476&gt;=36526,'월 가계부'!A476&lt;73051),INT('월 가계부'!A476),"")),IF(OR(CM476="",CN476="",CO476=""),"",IF(AND(CM476&gt;=2000,CM476&lt;=2099,CN476&gt;=1,CN476&lt;=12,CO476&gt;=1,CO476&lt;=31),IF(MONTH(DATE(CM476,CN476,CO476))=CN476,DATE(CM476,CN476,CO476),""),"")))),"")</f>
        <v/>
      </c>
      <c r="CJ476">
        <f>IFERROR(IF('월 가계부'!C476="","",IF(ISNUMBER('월 가계부'!C476),'월 가계부'!C476,VALUE(SUBSTITUTE(SUBSTITUTE(SUBSTITUTE(SUBSTITUTE(TRIM('월 가계부'!C476),",",""),"원","")," ",""),"−","-")))),"")</f>
        <v/>
      </c>
      <c r="CK476">
        <f>IF(ISNUMBER(CI476),IF(CI476&lt;$B$13,CI476,""),"")</f>
        <v/>
      </c>
      <c r="CM476">
        <f>IF(CH476="","",IFERROR(IF(IF(AND(LEN(CH476)=9,ISERROR(FIND("-",LEFT(CH476,8))),ISNUMBER(-LEFT(CH476,8))),VALUE(LEFT(CH476,4)),VALUE(LEFT(CH476,FIND("-",CH476)-1)))&lt;100,IF(AND(LEN(CH476)=9,ISERROR(FIND("-",LEFT(CH476,8))),ISNUMBER(-LEFT(CH476,8))),VALUE(LEFT(CH476,4)),VALUE(LEFT(CH476,FIND("-",CH476)-1)))+2000,IF(AND(LEN(CH476)=9,ISERROR(FIND("-",LEFT(CH476,8))),ISNUMBER(-LEFT(CH476,8))),VALUE(LEFT(CH476,4)),VALUE(LEFT(CH476,FIND("-",CH476)-1)))),""))</f>
        <v/>
      </c>
      <c r="CN476">
        <f>IF(CH476="","",IFERROR(IF(AND(LEN(CH476)=9,ISERROR(FIND("-",LEFT(CH476,8))),ISNUMBER(-LEFT(CH476,8))),VALUE(MID(CH476,5,2)),VALUE(MID(CH476,FIND("-",CH476)+1,FIND("-",CH476,FIND("-",CH476)+1)-FIND("-",CH476)-1))),""))</f>
        <v/>
      </c>
      <c r="CO476">
        <f>IF(CH476="","",IFERROR(IF(AND(LEN(CH476)=9,ISERROR(FIND("-",LEFT(CH476,8))),ISNUMBER(-LEFT(CH476,8))),VALUE(MID(CH476,7,2)),VALUE(MID(CH476,FIND("-",CH476,FIND("-",CH476)+1)+1,FIND("-",CH476,FIND("-",CH476,FIND("-",CH476)+1)+1)-FIND("-",CH476,FIND("-",CH476)+1)-1))),""))</f>
        <v/>
      </c>
    </row>
    <row r="477">
      <c r="CH477">
        <f>IF(ISTEXT('월 가계부'!A477),SUBSTITUTE(SUBSTITUTE(SUBSTITUTE(SUBSTITUTE(SUBSTITUTE(SUBSTITUTE(SUBSTITUTE(SUBSTITUTE(SUBSTITUTE(TRIM('월 가계부'!A477),"년","-"),"월","-"),"일",""),".","-"),"/","-")," ","-"),"--","-"),"--","-"),"--","-")&amp;"-","")</f>
        <v/>
      </c>
      <c r="CI477">
        <f>IFERROR(IF('월 가계부'!A477="","",IF(ISNUMBER('월 가계부'!A477),IF(AND('월 가계부'!A477&gt;=19000101,'월 가계부'!A477&lt;=21001231),IF(AND(MOD(INT('월 가계부'!A477/100),100)&gt;=1,MOD(INT('월 가계부'!A477/100),100)&lt;=12,MOD(INT('월 가계부'!A477),100)&gt;=1,MOD(INT('월 가계부'!A477),100)&lt;=31),IF(MONTH(DATE(INT('월 가계부'!A477/10000),MOD(INT('월 가계부'!A477/100),100),MOD(INT('월 가계부'!A477),100)))=MOD(INT('월 가계부'!A477/100),100),DATE(INT('월 가계부'!A477/10000),MOD(INT('월 가계부'!A477/100),100),MOD(INT('월 가계부'!A477),100)),""),""),IF(AND('월 가계부'!A477&gt;=36526,'월 가계부'!A477&lt;73051),INT('월 가계부'!A477),"")),IF(OR(CM477="",CN477="",CO477=""),"",IF(AND(CM477&gt;=2000,CM477&lt;=2099,CN477&gt;=1,CN477&lt;=12,CO477&gt;=1,CO477&lt;=31),IF(MONTH(DATE(CM477,CN477,CO477))=CN477,DATE(CM477,CN477,CO477),""),"")))),"")</f>
        <v/>
      </c>
      <c r="CJ477">
        <f>IFERROR(IF('월 가계부'!C477="","",IF(ISNUMBER('월 가계부'!C477),'월 가계부'!C477,VALUE(SUBSTITUTE(SUBSTITUTE(SUBSTITUTE(SUBSTITUTE(TRIM('월 가계부'!C477),",",""),"원","")," ",""),"−","-")))),"")</f>
        <v/>
      </c>
      <c r="CK477">
        <f>IF(ISNUMBER(CI477),IF(CI477&lt;$B$13,CI477,""),"")</f>
        <v/>
      </c>
      <c r="CM477">
        <f>IF(CH477="","",IFERROR(IF(IF(AND(LEN(CH477)=9,ISERROR(FIND("-",LEFT(CH477,8))),ISNUMBER(-LEFT(CH477,8))),VALUE(LEFT(CH477,4)),VALUE(LEFT(CH477,FIND("-",CH477)-1)))&lt;100,IF(AND(LEN(CH477)=9,ISERROR(FIND("-",LEFT(CH477,8))),ISNUMBER(-LEFT(CH477,8))),VALUE(LEFT(CH477,4)),VALUE(LEFT(CH477,FIND("-",CH477)-1)))+2000,IF(AND(LEN(CH477)=9,ISERROR(FIND("-",LEFT(CH477,8))),ISNUMBER(-LEFT(CH477,8))),VALUE(LEFT(CH477,4)),VALUE(LEFT(CH477,FIND("-",CH477)-1)))),""))</f>
        <v/>
      </c>
      <c r="CN477">
        <f>IF(CH477="","",IFERROR(IF(AND(LEN(CH477)=9,ISERROR(FIND("-",LEFT(CH477,8))),ISNUMBER(-LEFT(CH477,8))),VALUE(MID(CH477,5,2)),VALUE(MID(CH477,FIND("-",CH477)+1,FIND("-",CH477,FIND("-",CH477)+1)-FIND("-",CH477)-1))),""))</f>
        <v/>
      </c>
      <c r="CO477">
        <f>IF(CH477="","",IFERROR(IF(AND(LEN(CH477)=9,ISERROR(FIND("-",LEFT(CH477,8))),ISNUMBER(-LEFT(CH477,8))),VALUE(MID(CH477,7,2)),VALUE(MID(CH477,FIND("-",CH477,FIND("-",CH477)+1)+1,FIND("-",CH477,FIND("-",CH477,FIND("-",CH477)+1)+1)-FIND("-",CH477,FIND("-",CH477)+1)-1))),""))</f>
        <v/>
      </c>
    </row>
    <row r="478">
      <c r="CH478">
        <f>IF(ISTEXT('월 가계부'!A478),SUBSTITUTE(SUBSTITUTE(SUBSTITUTE(SUBSTITUTE(SUBSTITUTE(SUBSTITUTE(SUBSTITUTE(SUBSTITUTE(SUBSTITUTE(TRIM('월 가계부'!A478),"년","-"),"월","-"),"일",""),".","-"),"/","-")," ","-"),"--","-"),"--","-"),"--","-")&amp;"-","")</f>
        <v/>
      </c>
      <c r="CI478">
        <f>IFERROR(IF('월 가계부'!A478="","",IF(ISNUMBER('월 가계부'!A478),IF(AND('월 가계부'!A478&gt;=19000101,'월 가계부'!A478&lt;=21001231),IF(AND(MOD(INT('월 가계부'!A478/100),100)&gt;=1,MOD(INT('월 가계부'!A478/100),100)&lt;=12,MOD(INT('월 가계부'!A478),100)&gt;=1,MOD(INT('월 가계부'!A478),100)&lt;=31),IF(MONTH(DATE(INT('월 가계부'!A478/10000),MOD(INT('월 가계부'!A478/100),100),MOD(INT('월 가계부'!A478),100)))=MOD(INT('월 가계부'!A478/100),100),DATE(INT('월 가계부'!A478/10000),MOD(INT('월 가계부'!A478/100),100),MOD(INT('월 가계부'!A478),100)),""),""),IF(AND('월 가계부'!A478&gt;=36526,'월 가계부'!A478&lt;73051),INT('월 가계부'!A478),"")),IF(OR(CM478="",CN478="",CO478=""),"",IF(AND(CM478&gt;=2000,CM478&lt;=2099,CN478&gt;=1,CN478&lt;=12,CO478&gt;=1,CO478&lt;=31),IF(MONTH(DATE(CM478,CN478,CO478))=CN478,DATE(CM478,CN478,CO478),""),"")))),"")</f>
        <v/>
      </c>
      <c r="CJ478">
        <f>IFERROR(IF('월 가계부'!C478="","",IF(ISNUMBER('월 가계부'!C478),'월 가계부'!C478,VALUE(SUBSTITUTE(SUBSTITUTE(SUBSTITUTE(SUBSTITUTE(TRIM('월 가계부'!C478),",",""),"원","")," ",""),"−","-")))),"")</f>
        <v/>
      </c>
      <c r="CK478">
        <f>IF(ISNUMBER(CI478),IF(CI478&lt;$B$13,CI478,""),"")</f>
        <v/>
      </c>
      <c r="CM478">
        <f>IF(CH478="","",IFERROR(IF(IF(AND(LEN(CH478)=9,ISERROR(FIND("-",LEFT(CH478,8))),ISNUMBER(-LEFT(CH478,8))),VALUE(LEFT(CH478,4)),VALUE(LEFT(CH478,FIND("-",CH478)-1)))&lt;100,IF(AND(LEN(CH478)=9,ISERROR(FIND("-",LEFT(CH478,8))),ISNUMBER(-LEFT(CH478,8))),VALUE(LEFT(CH478,4)),VALUE(LEFT(CH478,FIND("-",CH478)-1)))+2000,IF(AND(LEN(CH478)=9,ISERROR(FIND("-",LEFT(CH478,8))),ISNUMBER(-LEFT(CH478,8))),VALUE(LEFT(CH478,4)),VALUE(LEFT(CH478,FIND("-",CH478)-1)))),""))</f>
        <v/>
      </c>
      <c r="CN478">
        <f>IF(CH478="","",IFERROR(IF(AND(LEN(CH478)=9,ISERROR(FIND("-",LEFT(CH478,8))),ISNUMBER(-LEFT(CH478,8))),VALUE(MID(CH478,5,2)),VALUE(MID(CH478,FIND("-",CH478)+1,FIND("-",CH478,FIND("-",CH478)+1)-FIND("-",CH478)-1))),""))</f>
        <v/>
      </c>
      <c r="CO478">
        <f>IF(CH478="","",IFERROR(IF(AND(LEN(CH478)=9,ISERROR(FIND("-",LEFT(CH478,8))),ISNUMBER(-LEFT(CH478,8))),VALUE(MID(CH478,7,2)),VALUE(MID(CH478,FIND("-",CH478,FIND("-",CH478)+1)+1,FIND("-",CH478,FIND("-",CH478,FIND("-",CH478)+1)+1)-FIND("-",CH478,FIND("-",CH478)+1)-1))),""))</f>
        <v/>
      </c>
    </row>
    <row r="479">
      <c r="CH479">
        <f>IF(ISTEXT('월 가계부'!A479),SUBSTITUTE(SUBSTITUTE(SUBSTITUTE(SUBSTITUTE(SUBSTITUTE(SUBSTITUTE(SUBSTITUTE(SUBSTITUTE(SUBSTITUTE(TRIM('월 가계부'!A479),"년","-"),"월","-"),"일",""),".","-"),"/","-")," ","-"),"--","-"),"--","-"),"--","-")&amp;"-","")</f>
        <v/>
      </c>
      <c r="CI479">
        <f>IFERROR(IF('월 가계부'!A479="","",IF(ISNUMBER('월 가계부'!A479),IF(AND('월 가계부'!A479&gt;=19000101,'월 가계부'!A479&lt;=21001231),IF(AND(MOD(INT('월 가계부'!A479/100),100)&gt;=1,MOD(INT('월 가계부'!A479/100),100)&lt;=12,MOD(INT('월 가계부'!A479),100)&gt;=1,MOD(INT('월 가계부'!A479),100)&lt;=31),IF(MONTH(DATE(INT('월 가계부'!A479/10000),MOD(INT('월 가계부'!A479/100),100),MOD(INT('월 가계부'!A479),100)))=MOD(INT('월 가계부'!A479/100),100),DATE(INT('월 가계부'!A479/10000),MOD(INT('월 가계부'!A479/100),100),MOD(INT('월 가계부'!A479),100)),""),""),IF(AND('월 가계부'!A479&gt;=36526,'월 가계부'!A479&lt;73051),INT('월 가계부'!A479),"")),IF(OR(CM479="",CN479="",CO479=""),"",IF(AND(CM479&gt;=2000,CM479&lt;=2099,CN479&gt;=1,CN479&lt;=12,CO479&gt;=1,CO479&lt;=31),IF(MONTH(DATE(CM479,CN479,CO479))=CN479,DATE(CM479,CN479,CO479),""),"")))),"")</f>
        <v/>
      </c>
      <c r="CJ479">
        <f>IFERROR(IF('월 가계부'!C479="","",IF(ISNUMBER('월 가계부'!C479),'월 가계부'!C479,VALUE(SUBSTITUTE(SUBSTITUTE(SUBSTITUTE(SUBSTITUTE(TRIM('월 가계부'!C479),",",""),"원","")," ",""),"−","-")))),"")</f>
        <v/>
      </c>
      <c r="CK479">
        <f>IF(ISNUMBER(CI479),IF(CI479&lt;$B$13,CI479,""),"")</f>
        <v/>
      </c>
      <c r="CM479">
        <f>IF(CH479="","",IFERROR(IF(IF(AND(LEN(CH479)=9,ISERROR(FIND("-",LEFT(CH479,8))),ISNUMBER(-LEFT(CH479,8))),VALUE(LEFT(CH479,4)),VALUE(LEFT(CH479,FIND("-",CH479)-1)))&lt;100,IF(AND(LEN(CH479)=9,ISERROR(FIND("-",LEFT(CH479,8))),ISNUMBER(-LEFT(CH479,8))),VALUE(LEFT(CH479,4)),VALUE(LEFT(CH479,FIND("-",CH479)-1)))+2000,IF(AND(LEN(CH479)=9,ISERROR(FIND("-",LEFT(CH479,8))),ISNUMBER(-LEFT(CH479,8))),VALUE(LEFT(CH479,4)),VALUE(LEFT(CH479,FIND("-",CH479)-1)))),""))</f>
        <v/>
      </c>
      <c r="CN479">
        <f>IF(CH479="","",IFERROR(IF(AND(LEN(CH479)=9,ISERROR(FIND("-",LEFT(CH479,8))),ISNUMBER(-LEFT(CH479,8))),VALUE(MID(CH479,5,2)),VALUE(MID(CH479,FIND("-",CH479)+1,FIND("-",CH479,FIND("-",CH479)+1)-FIND("-",CH479)-1))),""))</f>
        <v/>
      </c>
      <c r="CO479">
        <f>IF(CH479="","",IFERROR(IF(AND(LEN(CH479)=9,ISERROR(FIND("-",LEFT(CH479,8))),ISNUMBER(-LEFT(CH479,8))),VALUE(MID(CH479,7,2)),VALUE(MID(CH479,FIND("-",CH479,FIND("-",CH479)+1)+1,FIND("-",CH479,FIND("-",CH479,FIND("-",CH479)+1)+1)-FIND("-",CH479,FIND("-",CH479)+1)-1))),""))</f>
        <v/>
      </c>
    </row>
    <row r="480">
      <c r="CH480">
        <f>IF(ISTEXT('월 가계부'!A480),SUBSTITUTE(SUBSTITUTE(SUBSTITUTE(SUBSTITUTE(SUBSTITUTE(SUBSTITUTE(SUBSTITUTE(SUBSTITUTE(SUBSTITUTE(TRIM('월 가계부'!A480),"년","-"),"월","-"),"일",""),".","-"),"/","-")," ","-"),"--","-"),"--","-"),"--","-")&amp;"-","")</f>
        <v/>
      </c>
      <c r="CI480">
        <f>IFERROR(IF('월 가계부'!A480="","",IF(ISNUMBER('월 가계부'!A480),IF(AND('월 가계부'!A480&gt;=19000101,'월 가계부'!A480&lt;=21001231),IF(AND(MOD(INT('월 가계부'!A480/100),100)&gt;=1,MOD(INT('월 가계부'!A480/100),100)&lt;=12,MOD(INT('월 가계부'!A480),100)&gt;=1,MOD(INT('월 가계부'!A480),100)&lt;=31),IF(MONTH(DATE(INT('월 가계부'!A480/10000),MOD(INT('월 가계부'!A480/100),100),MOD(INT('월 가계부'!A480),100)))=MOD(INT('월 가계부'!A480/100),100),DATE(INT('월 가계부'!A480/10000),MOD(INT('월 가계부'!A480/100),100),MOD(INT('월 가계부'!A480),100)),""),""),IF(AND('월 가계부'!A480&gt;=36526,'월 가계부'!A480&lt;73051),INT('월 가계부'!A480),"")),IF(OR(CM480="",CN480="",CO480=""),"",IF(AND(CM480&gt;=2000,CM480&lt;=2099,CN480&gt;=1,CN480&lt;=12,CO480&gt;=1,CO480&lt;=31),IF(MONTH(DATE(CM480,CN480,CO480))=CN480,DATE(CM480,CN480,CO480),""),"")))),"")</f>
        <v/>
      </c>
      <c r="CJ480">
        <f>IFERROR(IF('월 가계부'!C480="","",IF(ISNUMBER('월 가계부'!C480),'월 가계부'!C480,VALUE(SUBSTITUTE(SUBSTITUTE(SUBSTITUTE(SUBSTITUTE(TRIM('월 가계부'!C480),",",""),"원","")," ",""),"−","-")))),"")</f>
        <v/>
      </c>
      <c r="CK480">
        <f>IF(ISNUMBER(CI480),IF(CI480&lt;$B$13,CI480,""),"")</f>
        <v/>
      </c>
      <c r="CM480">
        <f>IF(CH480="","",IFERROR(IF(IF(AND(LEN(CH480)=9,ISERROR(FIND("-",LEFT(CH480,8))),ISNUMBER(-LEFT(CH480,8))),VALUE(LEFT(CH480,4)),VALUE(LEFT(CH480,FIND("-",CH480)-1)))&lt;100,IF(AND(LEN(CH480)=9,ISERROR(FIND("-",LEFT(CH480,8))),ISNUMBER(-LEFT(CH480,8))),VALUE(LEFT(CH480,4)),VALUE(LEFT(CH480,FIND("-",CH480)-1)))+2000,IF(AND(LEN(CH480)=9,ISERROR(FIND("-",LEFT(CH480,8))),ISNUMBER(-LEFT(CH480,8))),VALUE(LEFT(CH480,4)),VALUE(LEFT(CH480,FIND("-",CH480)-1)))),""))</f>
        <v/>
      </c>
      <c r="CN480">
        <f>IF(CH480="","",IFERROR(IF(AND(LEN(CH480)=9,ISERROR(FIND("-",LEFT(CH480,8))),ISNUMBER(-LEFT(CH480,8))),VALUE(MID(CH480,5,2)),VALUE(MID(CH480,FIND("-",CH480)+1,FIND("-",CH480,FIND("-",CH480)+1)-FIND("-",CH480)-1))),""))</f>
        <v/>
      </c>
      <c r="CO480">
        <f>IF(CH480="","",IFERROR(IF(AND(LEN(CH480)=9,ISERROR(FIND("-",LEFT(CH480,8))),ISNUMBER(-LEFT(CH480,8))),VALUE(MID(CH480,7,2)),VALUE(MID(CH480,FIND("-",CH480,FIND("-",CH480)+1)+1,FIND("-",CH480,FIND("-",CH480,FIND("-",CH480)+1)+1)-FIND("-",CH480,FIND("-",CH480)+1)-1))),""))</f>
        <v/>
      </c>
    </row>
    <row r="481">
      <c r="CH481">
        <f>IF(ISTEXT('월 가계부'!A481),SUBSTITUTE(SUBSTITUTE(SUBSTITUTE(SUBSTITUTE(SUBSTITUTE(SUBSTITUTE(SUBSTITUTE(SUBSTITUTE(SUBSTITUTE(TRIM('월 가계부'!A481),"년","-"),"월","-"),"일",""),".","-"),"/","-")," ","-"),"--","-"),"--","-"),"--","-")&amp;"-","")</f>
        <v/>
      </c>
      <c r="CI481">
        <f>IFERROR(IF('월 가계부'!A481="","",IF(ISNUMBER('월 가계부'!A481),IF(AND('월 가계부'!A481&gt;=19000101,'월 가계부'!A481&lt;=21001231),IF(AND(MOD(INT('월 가계부'!A481/100),100)&gt;=1,MOD(INT('월 가계부'!A481/100),100)&lt;=12,MOD(INT('월 가계부'!A481),100)&gt;=1,MOD(INT('월 가계부'!A481),100)&lt;=31),IF(MONTH(DATE(INT('월 가계부'!A481/10000),MOD(INT('월 가계부'!A481/100),100),MOD(INT('월 가계부'!A481),100)))=MOD(INT('월 가계부'!A481/100),100),DATE(INT('월 가계부'!A481/10000),MOD(INT('월 가계부'!A481/100),100),MOD(INT('월 가계부'!A481),100)),""),""),IF(AND('월 가계부'!A481&gt;=36526,'월 가계부'!A481&lt;73051),INT('월 가계부'!A481),"")),IF(OR(CM481="",CN481="",CO481=""),"",IF(AND(CM481&gt;=2000,CM481&lt;=2099,CN481&gt;=1,CN481&lt;=12,CO481&gt;=1,CO481&lt;=31),IF(MONTH(DATE(CM481,CN481,CO481))=CN481,DATE(CM481,CN481,CO481),""),"")))),"")</f>
        <v/>
      </c>
      <c r="CJ481">
        <f>IFERROR(IF('월 가계부'!C481="","",IF(ISNUMBER('월 가계부'!C481),'월 가계부'!C481,VALUE(SUBSTITUTE(SUBSTITUTE(SUBSTITUTE(SUBSTITUTE(TRIM('월 가계부'!C481),",",""),"원","")," ",""),"−","-")))),"")</f>
        <v/>
      </c>
      <c r="CK481">
        <f>IF(ISNUMBER(CI481),IF(CI481&lt;$B$13,CI481,""),"")</f>
        <v/>
      </c>
      <c r="CM481">
        <f>IF(CH481="","",IFERROR(IF(IF(AND(LEN(CH481)=9,ISERROR(FIND("-",LEFT(CH481,8))),ISNUMBER(-LEFT(CH481,8))),VALUE(LEFT(CH481,4)),VALUE(LEFT(CH481,FIND("-",CH481)-1)))&lt;100,IF(AND(LEN(CH481)=9,ISERROR(FIND("-",LEFT(CH481,8))),ISNUMBER(-LEFT(CH481,8))),VALUE(LEFT(CH481,4)),VALUE(LEFT(CH481,FIND("-",CH481)-1)))+2000,IF(AND(LEN(CH481)=9,ISERROR(FIND("-",LEFT(CH481,8))),ISNUMBER(-LEFT(CH481,8))),VALUE(LEFT(CH481,4)),VALUE(LEFT(CH481,FIND("-",CH481)-1)))),""))</f>
        <v/>
      </c>
      <c r="CN481">
        <f>IF(CH481="","",IFERROR(IF(AND(LEN(CH481)=9,ISERROR(FIND("-",LEFT(CH481,8))),ISNUMBER(-LEFT(CH481,8))),VALUE(MID(CH481,5,2)),VALUE(MID(CH481,FIND("-",CH481)+1,FIND("-",CH481,FIND("-",CH481)+1)-FIND("-",CH481)-1))),""))</f>
        <v/>
      </c>
      <c r="CO481">
        <f>IF(CH481="","",IFERROR(IF(AND(LEN(CH481)=9,ISERROR(FIND("-",LEFT(CH481,8))),ISNUMBER(-LEFT(CH481,8))),VALUE(MID(CH481,7,2)),VALUE(MID(CH481,FIND("-",CH481,FIND("-",CH481)+1)+1,FIND("-",CH481,FIND("-",CH481,FIND("-",CH481)+1)+1)-FIND("-",CH481,FIND("-",CH481)+1)-1))),""))</f>
        <v/>
      </c>
    </row>
    <row r="482">
      <c r="CH482">
        <f>IF(ISTEXT('월 가계부'!A482),SUBSTITUTE(SUBSTITUTE(SUBSTITUTE(SUBSTITUTE(SUBSTITUTE(SUBSTITUTE(SUBSTITUTE(SUBSTITUTE(SUBSTITUTE(TRIM('월 가계부'!A482),"년","-"),"월","-"),"일",""),".","-"),"/","-")," ","-"),"--","-"),"--","-"),"--","-")&amp;"-","")</f>
        <v/>
      </c>
      <c r="CI482">
        <f>IFERROR(IF('월 가계부'!A482="","",IF(ISNUMBER('월 가계부'!A482),IF(AND('월 가계부'!A482&gt;=19000101,'월 가계부'!A482&lt;=21001231),IF(AND(MOD(INT('월 가계부'!A482/100),100)&gt;=1,MOD(INT('월 가계부'!A482/100),100)&lt;=12,MOD(INT('월 가계부'!A482),100)&gt;=1,MOD(INT('월 가계부'!A482),100)&lt;=31),IF(MONTH(DATE(INT('월 가계부'!A482/10000),MOD(INT('월 가계부'!A482/100),100),MOD(INT('월 가계부'!A482),100)))=MOD(INT('월 가계부'!A482/100),100),DATE(INT('월 가계부'!A482/10000),MOD(INT('월 가계부'!A482/100),100),MOD(INT('월 가계부'!A482),100)),""),""),IF(AND('월 가계부'!A482&gt;=36526,'월 가계부'!A482&lt;73051),INT('월 가계부'!A482),"")),IF(OR(CM482="",CN482="",CO482=""),"",IF(AND(CM482&gt;=2000,CM482&lt;=2099,CN482&gt;=1,CN482&lt;=12,CO482&gt;=1,CO482&lt;=31),IF(MONTH(DATE(CM482,CN482,CO482))=CN482,DATE(CM482,CN482,CO482),""),"")))),"")</f>
        <v/>
      </c>
      <c r="CJ482">
        <f>IFERROR(IF('월 가계부'!C482="","",IF(ISNUMBER('월 가계부'!C482),'월 가계부'!C482,VALUE(SUBSTITUTE(SUBSTITUTE(SUBSTITUTE(SUBSTITUTE(TRIM('월 가계부'!C482),",",""),"원","")," ",""),"−","-")))),"")</f>
        <v/>
      </c>
      <c r="CK482">
        <f>IF(ISNUMBER(CI482),IF(CI482&lt;$B$13,CI482,""),"")</f>
        <v/>
      </c>
      <c r="CM482">
        <f>IF(CH482="","",IFERROR(IF(IF(AND(LEN(CH482)=9,ISERROR(FIND("-",LEFT(CH482,8))),ISNUMBER(-LEFT(CH482,8))),VALUE(LEFT(CH482,4)),VALUE(LEFT(CH482,FIND("-",CH482)-1)))&lt;100,IF(AND(LEN(CH482)=9,ISERROR(FIND("-",LEFT(CH482,8))),ISNUMBER(-LEFT(CH482,8))),VALUE(LEFT(CH482,4)),VALUE(LEFT(CH482,FIND("-",CH482)-1)))+2000,IF(AND(LEN(CH482)=9,ISERROR(FIND("-",LEFT(CH482,8))),ISNUMBER(-LEFT(CH482,8))),VALUE(LEFT(CH482,4)),VALUE(LEFT(CH482,FIND("-",CH482)-1)))),""))</f>
        <v/>
      </c>
      <c r="CN482">
        <f>IF(CH482="","",IFERROR(IF(AND(LEN(CH482)=9,ISERROR(FIND("-",LEFT(CH482,8))),ISNUMBER(-LEFT(CH482,8))),VALUE(MID(CH482,5,2)),VALUE(MID(CH482,FIND("-",CH482)+1,FIND("-",CH482,FIND("-",CH482)+1)-FIND("-",CH482)-1))),""))</f>
        <v/>
      </c>
      <c r="CO482">
        <f>IF(CH482="","",IFERROR(IF(AND(LEN(CH482)=9,ISERROR(FIND("-",LEFT(CH482,8))),ISNUMBER(-LEFT(CH482,8))),VALUE(MID(CH482,7,2)),VALUE(MID(CH482,FIND("-",CH482,FIND("-",CH482)+1)+1,FIND("-",CH482,FIND("-",CH482,FIND("-",CH482)+1)+1)-FIND("-",CH482,FIND("-",CH482)+1)-1))),""))</f>
        <v/>
      </c>
    </row>
    <row r="483">
      <c r="CH483">
        <f>IF(ISTEXT('월 가계부'!A483),SUBSTITUTE(SUBSTITUTE(SUBSTITUTE(SUBSTITUTE(SUBSTITUTE(SUBSTITUTE(SUBSTITUTE(SUBSTITUTE(SUBSTITUTE(TRIM('월 가계부'!A483),"년","-"),"월","-"),"일",""),".","-"),"/","-")," ","-"),"--","-"),"--","-"),"--","-")&amp;"-","")</f>
        <v/>
      </c>
      <c r="CI483">
        <f>IFERROR(IF('월 가계부'!A483="","",IF(ISNUMBER('월 가계부'!A483),IF(AND('월 가계부'!A483&gt;=19000101,'월 가계부'!A483&lt;=21001231),IF(AND(MOD(INT('월 가계부'!A483/100),100)&gt;=1,MOD(INT('월 가계부'!A483/100),100)&lt;=12,MOD(INT('월 가계부'!A483),100)&gt;=1,MOD(INT('월 가계부'!A483),100)&lt;=31),IF(MONTH(DATE(INT('월 가계부'!A483/10000),MOD(INT('월 가계부'!A483/100),100),MOD(INT('월 가계부'!A483),100)))=MOD(INT('월 가계부'!A483/100),100),DATE(INT('월 가계부'!A483/10000),MOD(INT('월 가계부'!A483/100),100),MOD(INT('월 가계부'!A483),100)),""),""),IF(AND('월 가계부'!A483&gt;=36526,'월 가계부'!A483&lt;73051),INT('월 가계부'!A483),"")),IF(OR(CM483="",CN483="",CO483=""),"",IF(AND(CM483&gt;=2000,CM483&lt;=2099,CN483&gt;=1,CN483&lt;=12,CO483&gt;=1,CO483&lt;=31),IF(MONTH(DATE(CM483,CN483,CO483))=CN483,DATE(CM483,CN483,CO483),""),"")))),"")</f>
        <v/>
      </c>
      <c r="CJ483">
        <f>IFERROR(IF('월 가계부'!C483="","",IF(ISNUMBER('월 가계부'!C483),'월 가계부'!C483,VALUE(SUBSTITUTE(SUBSTITUTE(SUBSTITUTE(SUBSTITUTE(TRIM('월 가계부'!C483),",",""),"원","")," ",""),"−","-")))),"")</f>
        <v/>
      </c>
      <c r="CK483">
        <f>IF(ISNUMBER(CI483),IF(CI483&lt;$B$13,CI483,""),"")</f>
        <v/>
      </c>
      <c r="CM483">
        <f>IF(CH483="","",IFERROR(IF(IF(AND(LEN(CH483)=9,ISERROR(FIND("-",LEFT(CH483,8))),ISNUMBER(-LEFT(CH483,8))),VALUE(LEFT(CH483,4)),VALUE(LEFT(CH483,FIND("-",CH483)-1)))&lt;100,IF(AND(LEN(CH483)=9,ISERROR(FIND("-",LEFT(CH483,8))),ISNUMBER(-LEFT(CH483,8))),VALUE(LEFT(CH483,4)),VALUE(LEFT(CH483,FIND("-",CH483)-1)))+2000,IF(AND(LEN(CH483)=9,ISERROR(FIND("-",LEFT(CH483,8))),ISNUMBER(-LEFT(CH483,8))),VALUE(LEFT(CH483,4)),VALUE(LEFT(CH483,FIND("-",CH483)-1)))),""))</f>
        <v/>
      </c>
      <c r="CN483">
        <f>IF(CH483="","",IFERROR(IF(AND(LEN(CH483)=9,ISERROR(FIND("-",LEFT(CH483,8))),ISNUMBER(-LEFT(CH483,8))),VALUE(MID(CH483,5,2)),VALUE(MID(CH483,FIND("-",CH483)+1,FIND("-",CH483,FIND("-",CH483)+1)-FIND("-",CH483)-1))),""))</f>
        <v/>
      </c>
      <c r="CO483">
        <f>IF(CH483="","",IFERROR(IF(AND(LEN(CH483)=9,ISERROR(FIND("-",LEFT(CH483,8))),ISNUMBER(-LEFT(CH483,8))),VALUE(MID(CH483,7,2)),VALUE(MID(CH483,FIND("-",CH483,FIND("-",CH483)+1)+1,FIND("-",CH483,FIND("-",CH483,FIND("-",CH483)+1)+1)-FIND("-",CH483,FIND("-",CH483)+1)-1))),""))</f>
        <v/>
      </c>
    </row>
    <row r="484">
      <c r="CH484">
        <f>IF(ISTEXT('월 가계부'!A484),SUBSTITUTE(SUBSTITUTE(SUBSTITUTE(SUBSTITUTE(SUBSTITUTE(SUBSTITUTE(SUBSTITUTE(SUBSTITUTE(SUBSTITUTE(TRIM('월 가계부'!A484),"년","-"),"월","-"),"일",""),".","-"),"/","-")," ","-"),"--","-"),"--","-"),"--","-")&amp;"-","")</f>
        <v/>
      </c>
      <c r="CI484">
        <f>IFERROR(IF('월 가계부'!A484="","",IF(ISNUMBER('월 가계부'!A484),IF(AND('월 가계부'!A484&gt;=19000101,'월 가계부'!A484&lt;=21001231),IF(AND(MOD(INT('월 가계부'!A484/100),100)&gt;=1,MOD(INT('월 가계부'!A484/100),100)&lt;=12,MOD(INT('월 가계부'!A484),100)&gt;=1,MOD(INT('월 가계부'!A484),100)&lt;=31),IF(MONTH(DATE(INT('월 가계부'!A484/10000),MOD(INT('월 가계부'!A484/100),100),MOD(INT('월 가계부'!A484),100)))=MOD(INT('월 가계부'!A484/100),100),DATE(INT('월 가계부'!A484/10000),MOD(INT('월 가계부'!A484/100),100),MOD(INT('월 가계부'!A484),100)),""),""),IF(AND('월 가계부'!A484&gt;=36526,'월 가계부'!A484&lt;73051),INT('월 가계부'!A484),"")),IF(OR(CM484="",CN484="",CO484=""),"",IF(AND(CM484&gt;=2000,CM484&lt;=2099,CN484&gt;=1,CN484&lt;=12,CO484&gt;=1,CO484&lt;=31),IF(MONTH(DATE(CM484,CN484,CO484))=CN484,DATE(CM484,CN484,CO484),""),"")))),"")</f>
        <v/>
      </c>
      <c r="CJ484">
        <f>IFERROR(IF('월 가계부'!C484="","",IF(ISNUMBER('월 가계부'!C484),'월 가계부'!C484,VALUE(SUBSTITUTE(SUBSTITUTE(SUBSTITUTE(SUBSTITUTE(TRIM('월 가계부'!C484),",",""),"원","")," ",""),"−","-")))),"")</f>
        <v/>
      </c>
      <c r="CK484">
        <f>IF(ISNUMBER(CI484),IF(CI484&lt;$B$13,CI484,""),"")</f>
        <v/>
      </c>
      <c r="CM484">
        <f>IF(CH484="","",IFERROR(IF(IF(AND(LEN(CH484)=9,ISERROR(FIND("-",LEFT(CH484,8))),ISNUMBER(-LEFT(CH484,8))),VALUE(LEFT(CH484,4)),VALUE(LEFT(CH484,FIND("-",CH484)-1)))&lt;100,IF(AND(LEN(CH484)=9,ISERROR(FIND("-",LEFT(CH484,8))),ISNUMBER(-LEFT(CH484,8))),VALUE(LEFT(CH484,4)),VALUE(LEFT(CH484,FIND("-",CH484)-1)))+2000,IF(AND(LEN(CH484)=9,ISERROR(FIND("-",LEFT(CH484,8))),ISNUMBER(-LEFT(CH484,8))),VALUE(LEFT(CH484,4)),VALUE(LEFT(CH484,FIND("-",CH484)-1)))),""))</f>
        <v/>
      </c>
      <c r="CN484">
        <f>IF(CH484="","",IFERROR(IF(AND(LEN(CH484)=9,ISERROR(FIND("-",LEFT(CH484,8))),ISNUMBER(-LEFT(CH484,8))),VALUE(MID(CH484,5,2)),VALUE(MID(CH484,FIND("-",CH484)+1,FIND("-",CH484,FIND("-",CH484)+1)-FIND("-",CH484)-1))),""))</f>
        <v/>
      </c>
      <c r="CO484">
        <f>IF(CH484="","",IFERROR(IF(AND(LEN(CH484)=9,ISERROR(FIND("-",LEFT(CH484,8))),ISNUMBER(-LEFT(CH484,8))),VALUE(MID(CH484,7,2)),VALUE(MID(CH484,FIND("-",CH484,FIND("-",CH484)+1)+1,FIND("-",CH484,FIND("-",CH484,FIND("-",CH484)+1)+1)-FIND("-",CH484,FIND("-",CH484)+1)-1))),""))</f>
        <v/>
      </c>
    </row>
    <row r="485">
      <c r="CH485">
        <f>IF(ISTEXT('월 가계부'!A485),SUBSTITUTE(SUBSTITUTE(SUBSTITUTE(SUBSTITUTE(SUBSTITUTE(SUBSTITUTE(SUBSTITUTE(SUBSTITUTE(SUBSTITUTE(TRIM('월 가계부'!A485),"년","-"),"월","-"),"일",""),".","-"),"/","-")," ","-"),"--","-"),"--","-"),"--","-")&amp;"-","")</f>
        <v/>
      </c>
      <c r="CI485">
        <f>IFERROR(IF('월 가계부'!A485="","",IF(ISNUMBER('월 가계부'!A485),IF(AND('월 가계부'!A485&gt;=19000101,'월 가계부'!A485&lt;=21001231),IF(AND(MOD(INT('월 가계부'!A485/100),100)&gt;=1,MOD(INT('월 가계부'!A485/100),100)&lt;=12,MOD(INT('월 가계부'!A485),100)&gt;=1,MOD(INT('월 가계부'!A485),100)&lt;=31),IF(MONTH(DATE(INT('월 가계부'!A485/10000),MOD(INT('월 가계부'!A485/100),100),MOD(INT('월 가계부'!A485),100)))=MOD(INT('월 가계부'!A485/100),100),DATE(INT('월 가계부'!A485/10000),MOD(INT('월 가계부'!A485/100),100),MOD(INT('월 가계부'!A485),100)),""),""),IF(AND('월 가계부'!A485&gt;=36526,'월 가계부'!A485&lt;73051),INT('월 가계부'!A485),"")),IF(OR(CM485="",CN485="",CO485=""),"",IF(AND(CM485&gt;=2000,CM485&lt;=2099,CN485&gt;=1,CN485&lt;=12,CO485&gt;=1,CO485&lt;=31),IF(MONTH(DATE(CM485,CN485,CO485))=CN485,DATE(CM485,CN485,CO485),""),"")))),"")</f>
        <v/>
      </c>
      <c r="CJ485">
        <f>IFERROR(IF('월 가계부'!C485="","",IF(ISNUMBER('월 가계부'!C485),'월 가계부'!C485,VALUE(SUBSTITUTE(SUBSTITUTE(SUBSTITUTE(SUBSTITUTE(TRIM('월 가계부'!C485),",",""),"원","")," ",""),"−","-")))),"")</f>
        <v/>
      </c>
      <c r="CK485">
        <f>IF(ISNUMBER(CI485),IF(CI485&lt;$B$13,CI485,""),"")</f>
        <v/>
      </c>
      <c r="CM485">
        <f>IF(CH485="","",IFERROR(IF(IF(AND(LEN(CH485)=9,ISERROR(FIND("-",LEFT(CH485,8))),ISNUMBER(-LEFT(CH485,8))),VALUE(LEFT(CH485,4)),VALUE(LEFT(CH485,FIND("-",CH485)-1)))&lt;100,IF(AND(LEN(CH485)=9,ISERROR(FIND("-",LEFT(CH485,8))),ISNUMBER(-LEFT(CH485,8))),VALUE(LEFT(CH485,4)),VALUE(LEFT(CH485,FIND("-",CH485)-1)))+2000,IF(AND(LEN(CH485)=9,ISERROR(FIND("-",LEFT(CH485,8))),ISNUMBER(-LEFT(CH485,8))),VALUE(LEFT(CH485,4)),VALUE(LEFT(CH485,FIND("-",CH485)-1)))),""))</f>
        <v/>
      </c>
      <c r="CN485">
        <f>IF(CH485="","",IFERROR(IF(AND(LEN(CH485)=9,ISERROR(FIND("-",LEFT(CH485,8))),ISNUMBER(-LEFT(CH485,8))),VALUE(MID(CH485,5,2)),VALUE(MID(CH485,FIND("-",CH485)+1,FIND("-",CH485,FIND("-",CH485)+1)-FIND("-",CH485)-1))),""))</f>
        <v/>
      </c>
      <c r="CO485">
        <f>IF(CH485="","",IFERROR(IF(AND(LEN(CH485)=9,ISERROR(FIND("-",LEFT(CH485,8))),ISNUMBER(-LEFT(CH485,8))),VALUE(MID(CH485,7,2)),VALUE(MID(CH485,FIND("-",CH485,FIND("-",CH485)+1)+1,FIND("-",CH485,FIND("-",CH485,FIND("-",CH485)+1)+1)-FIND("-",CH485,FIND("-",CH485)+1)-1))),""))</f>
        <v/>
      </c>
    </row>
    <row r="486">
      <c r="CH486">
        <f>IF(ISTEXT('월 가계부'!A486),SUBSTITUTE(SUBSTITUTE(SUBSTITUTE(SUBSTITUTE(SUBSTITUTE(SUBSTITUTE(SUBSTITUTE(SUBSTITUTE(SUBSTITUTE(TRIM('월 가계부'!A486),"년","-"),"월","-"),"일",""),".","-"),"/","-")," ","-"),"--","-"),"--","-"),"--","-")&amp;"-","")</f>
        <v/>
      </c>
      <c r="CI486">
        <f>IFERROR(IF('월 가계부'!A486="","",IF(ISNUMBER('월 가계부'!A486),IF(AND('월 가계부'!A486&gt;=19000101,'월 가계부'!A486&lt;=21001231),IF(AND(MOD(INT('월 가계부'!A486/100),100)&gt;=1,MOD(INT('월 가계부'!A486/100),100)&lt;=12,MOD(INT('월 가계부'!A486),100)&gt;=1,MOD(INT('월 가계부'!A486),100)&lt;=31),IF(MONTH(DATE(INT('월 가계부'!A486/10000),MOD(INT('월 가계부'!A486/100),100),MOD(INT('월 가계부'!A486),100)))=MOD(INT('월 가계부'!A486/100),100),DATE(INT('월 가계부'!A486/10000),MOD(INT('월 가계부'!A486/100),100),MOD(INT('월 가계부'!A486),100)),""),""),IF(AND('월 가계부'!A486&gt;=36526,'월 가계부'!A486&lt;73051),INT('월 가계부'!A486),"")),IF(OR(CM486="",CN486="",CO486=""),"",IF(AND(CM486&gt;=2000,CM486&lt;=2099,CN486&gt;=1,CN486&lt;=12,CO486&gt;=1,CO486&lt;=31),IF(MONTH(DATE(CM486,CN486,CO486))=CN486,DATE(CM486,CN486,CO486),""),"")))),"")</f>
        <v/>
      </c>
      <c r="CJ486">
        <f>IFERROR(IF('월 가계부'!C486="","",IF(ISNUMBER('월 가계부'!C486),'월 가계부'!C486,VALUE(SUBSTITUTE(SUBSTITUTE(SUBSTITUTE(SUBSTITUTE(TRIM('월 가계부'!C486),",",""),"원","")," ",""),"−","-")))),"")</f>
        <v/>
      </c>
      <c r="CK486">
        <f>IF(ISNUMBER(CI486),IF(CI486&lt;$B$13,CI486,""),"")</f>
        <v/>
      </c>
      <c r="CM486">
        <f>IF(CH486="","",IFERROR(IF(IF(AND(LEN(CH486)=9,ISERROR(FIND("-",LEFT(CH486,8))),ISNUMBER(-LEFT(CH486,8))),VALUE(LEFT(CH486,4)),VALUE(LEFT(CH486,FIND("-",CH486)-1)))&lt;100,IF(AND(LEN(CH486)=9,ISERROR(FIND("-",LEFT(CH486,8))),ISNUMBER(-LEFT(CH486,8))),VALUE(LEFT(CH486,4)),VALUE(LEFT(CH486,FIND("-",CH486)-1)))+2000,IF(AND(LEN(CH486)=9,ISERROR(FIND("-",LEFT(CH486,8))),ISNUMBER(-LEFT(CH486,8))),VALUE(LEFT(CH486,4)),VALUE(LEFT(CH486,FIND("-",CH486)-1)))),""))</f>
        <v/>
      </c>
      <c r="CN486">
        <f>IF(CH486="","",IFERROR(IF(AND(LEN(CH486)=9,ISERROR(FIND("-",LEFT(CH486,8))),ISNUMBER(-LEFT(CH486,8))),VALUE(MID(CH486,5,2)),VALUE(MID(CH486,FIND("-",CH486)+1,FIND("-",CH486,FIND("-",CH486)+1)-FIND("-",CH486)-1))),""))</f>
        <v/>
      </c>
      <c r="CO486">
        <f>IF(CH486="","",IFERROR(IF(AND(LEN(CH486)=9,ISERROR(FIND("-",LEFT(CH486,8))),ISNUMBER(-LEFT(CH486,8))),VALUE(MID(CH486,7,2)),VALUE(MID(CH486,FIND("-",CH486,FIND("-",CH486)+1)+1,FIND("-",CH486,FIND("-",CH486,FIND("-",CH486)+1)+1)-FIND("-",CH486,FIND("-",CH486)+1)-1))),""))</f>
        <v/>
      </c>
    </row>
    <row r="487">
      <c r="CH487">
        <f>IF(ISTEXT('월 가계부'!A487),SUBSTITUTE(SUBSTITUTE(SUBSTITUTE(SUBSTITUTE(SUBSTITUTE(SUBSTITUTE(SUBSTITUTE(SUBSTITUTE(SUBSTITUTE(TRIM('월 가계부'!A487),"년","-"),"월","-"),"일",""),".","-"),"/","-")," ","-"),"--","-"),"--","-"),"--","-")&amp;"-","")</f>
        <v/>
      </c>
      <c r="CI487">
        <f>IFERROR(IF('월 가계부'!A487="","",IF(ISNUMBER('월 가계부'!A487),IF(AND('월 가계부'!A487&gt;=19000101,'월 가계부'!A487&lt;=21001231),IF(AND(MOD(INT('월 가계부'!A487/100),100)&gt;=1,MOD(INT('월 가계부'!A487/100),100)&lt;=12,MOD(INT('월 가계부'!A487),100)&gt;=1,MOD(INT('월 가계부'!A487),100)&lt;=31),IF(MONTH(DATE(INT('월 가계부'!A487/10000),MOD(INT('월 가계부'!A487/100),100),MOD(INT('월 가계부'!A487),100)))=MOD(INT('월 가계부'!A487/100),100),DATE(INT('월 가계부'!A487/10000),MOD(INT('월 가계부'!A487/100),100),MOD(INT('월 가계부'!A487),100)),""),""),IF(AND('월 가계부'!A487&gt;=36526,'월 가계부'!A487&lt;73051),INT('월 가계부'!A487),"")),IF(OR(CM487="",CN487="",CO487=""),"",IF(AND(CM487&gt;=2000,CM487&lt;=2099,CN487&gt;=1,CN487&lt;=12,CO487&gt;=1,CO487&lt;=31),IF(MONTH(DATE(CM487,CN487,CO487))=CN487,DATE(CM487,CN487,CO487),""),"")))),"")</f>
        <v/>
      </c>
      <c r="CJ487">
        <f>IFERROR(IF('월 가계부'!C487="","",IF(ISNUMBER('월 가계부'!C487),'월 가계부'!C487,VALUE(SUBSTITUTE(SUBSTITUTE(SUBSTITUTE(SUBSTITUTE(TRIM('월 가계부'!C487),",",""),"원","")," ",""),"−","-")))),"")</f>
        <v/>
      </c>
      <c r="CK487">
        <f>IF(ISNUMBER(CI487),IF(CI487&lt;$B$13,CI487,""),"")</f>
        <v/>
      </c>
      <c r="CM487">
        <f>IF(CH487="","",IFERROR(IF(IF(AND(LEN(CH487)=9,ISERROR(FIND("-",LEFT(CH487,8))),ISNUMBER(-LEFT(CH487,8))),VALUE(LEFT(CH487,4)),VALUE(LEFT(CH487,FIND("-",CH487)-1)))&lt;100,IF(AND(LEN(CH487)=9,ISERROR(FIND("-",LEFT(CH487,8))),ISNUMBER(-LEFT(CH487,8))),VALUE(LEFT(CH487,4)),VALUE(LEFT(CH487,FIND("-",CH487)-1)))+2000,IF(AND(LEN(CH487)=9,ISERROR(FIND("-",LEFT(CH487,8))),ISNUMBER(-LEFT(CH487,8))),VALUE(LEFT(CH487,4)),VALUE(LEFT(CH487,FIND("-",CH487)-1)))),""))</f>
        <v/>
      </c>
      <c r="CN487">
        <f>IF(CH487="","",IFERROR(IF(AND(LEN(CH487)=9,ISERROR(FIND("-",LEFT(CH487,8))),ISNUMBER(-LEFT(CH487,8))),VALUE(MID(CH487,5,2)),VALUE(MID(CH487,FIND("-",CH487)+1,FIND("-",CH487,FIND("-",CH487)+1)-FIND("-",CH487)-1))),""))</f>
        <v/>
      </c>
      <c r="CO487">
        <f>IF(CH487="","",IFERROR(IF(AND(LEN(CH487)=9,ISERROR(FIND("-",LEFT(CH487,8))),ISNUMBER(-LEFT(CH487,8))),VALUE(MID(CH487,7,2)),VALUE(MID(CH487,FIND("-",CH487,FIND("-",CH487)+1)+1,FIND("-",CH487,FIND("-",CH487,FIND("-",CH487)+1)+1)-FIND("-",CH487,FIND("-",CH487)+1)-1))),""))</f>
        <v/>
      </c>
    </row>
    <row r="488">
      <c r="CH488">
        <f>IF(ISTEXT('월 가계부'!A488),SUBSTITUTE(SUBSTITUTE(SUBSTITUTE(SUBSTITUTE(SUBSTITUTE(SUBSTITUTE(SUBSTITUTE(SUBSTITUTE(SUBSTITUTE(TRIM('월 가계부'!A488),"년","-"),"월","-"),"일",""),".","-"),"/","-")," ","-"),"--","-"),"--","-"),"--","-")&amp;"-","")</f>
        <v/>
      </c>
      <c r="CI488">
        <f>IFERROR(IF('월 가계부'!A488="","",IF(ISNUMBER('월 가계부'!A488),IF(AND('월 가계부'!A488&gt;=19000101,'월 가계부'!A488&lt;=21001231),IF(AND(MOD(INT('월 가계부'!A488/100),100)&gt;=1,MOD(INT('월 가계부'!A488/100),100)&lt;=12,MOD(INT('월 가계부'!A488),100)&gt;=1,MOD(INT('월 가계부'!A488),100)&lt;=31),IF(MONTH(DATE(INT('월 가계부'!A488/10000),MOD(INT('월 가계부'!A488/100),100),MOD(INT('월 가계부'!A488),100)))=MOD(INT('월 가계부'!A488/100),100),DATE(INT('월 가계부'!A488/10000),MOD(INT('월 가계부'!A488/100),100),MOD(INT('월 가계부'!A488),100)),""),""),IF(AND('월 가계부'!A488&gt;=36526,'월 가계부'!A488&lt;73051),INT('월 가계부'!A488),"")),IF(OR(CM488="",CN488="",CO488=""),"",IF(AND(CM488&gt;=2000,CM488&lt;=2099,CN488&gt;=1,CN488&lt;=12,CO488&gt;=1,CO488&lt;=31),IF(MONTH(DATE(CM488,CN488,CO488))=CN488,DATE(CM488,CN488,CO488),""),"")))),"")</f>
        <v/>
      </c>
      <c r="CJ488">
        <f>IFERROR(IF('월 가계부'!C488="","",IF(ISNUMBER('월 가계부'!C488),'월 가계부'!C488,VALUE(SUBSTITUTE(SUBSTITUTE(SUBSTITUTE(SUBSTITUTE(TRIM('월 가계부'!C488),",",""),"원","")," ",""),"−","-")))),"")</f>
        <v/>
      </c>
      <c r="CK488">
        <f>IF(ISNUMBER(CI488),IF(CI488&lt;$B$13,CI488,""),"")</f>
        <v/>
      </c>
      <c r="CM488">
        <f>IF(CH488="","",IFERROR(IF(IF(AND(LEN(CH488)=9,ISERROR(FIND("-",LEFT(CH488,8))),ISNUMBER(-LEFT(CH488,8))),VALUE(LEFT(CH488,4)),VALUE(LEFT(CH488,FIND("-",CH488)-1)))&lt;100,IF(AND(LEN(CH488)=9,ISERROR(FIND("-",LEFT(CH488,8))),ISNUMBER(-LEFT(CH488,8))),VALUE(LEFT(CH488,4)),VALUE(LEFT(CH488,FIND("-",CH488)-1)))+2000,IF(AND(LEN(CH488)=9,ISERROR(FIND("-",LEFT(CH488,8))),ISNUMBER(-LEFT(CH488,8))),VALUE(LEFT(CH488,4)),VALUE(LEFT(CH488,FIND("-",CH488)-1)))),""))</f>
        <v/>
      </c>
      <c r="CN488">
        <f>IF(CH488="","",IFERROR(IF(AND(LEN(CH488)=9,ISERROR(FIND("-",LEFT(CH488,8))),ISNUMBER(-LEFT(CH488,8))),VALUE(MID(CH488,5,2)),VALUE(MID(CH488,FIND("-",CH488)+1,FIND("-",CH488,FIND("-",CH488)+1)-FIND("-",CH488)-1))),""))</f>
        <v/>
      </c>
      <c r="CO488">
        <f>IF(CH488="","",IFERROR(IF(AND(LEN(CH488)=9,ISERROR(FIND("-",LEFT(CH488,8))),ISNUMBER(-LEFT(CH488,8))),VALUE(MID(CH488,7,2)),VALUE(MID(CH488,FIND("-",CH488,FIND("-",CH488)+1)+1,FIND("-",CH488,FIND("-",CH488,FIND("-",CH488)+1)+1)-FIND("-",CH488,FIND("-",CH488)+1)-1))),""))</f>
        <v/>
      </c>
    </row>
    <row r="489">
      <c r="CH489">
        <f>IF(ISTEXT('월 가계부'!A489),SUBSTITUTE(SUBSTITUTE(SUBSTITUTE(SUBSTITUTE(SUBSTITUTE(SUBSTITUTE(SUBSTITUTE(SUBSTITUTE(SUBSTITUTE(TRIM('월 가계부'!A489),"년","-"),"월","-"),"일",""),".","-"),"/","-")," ","-"),"--","-"),"--","-"),"--","-")&amp;"-","")</f>
        <v/>
      </c>
      <c r="CI489">
        <f>IFERROR(IF('월 가계부'!A489="","",IF(ISNUMBER('월 가계부'!A489),IF(AND('월 가계부'!A489&gt;=19000101,'월 가계부'!A489&lt;=21001231),IF(AND(MOD(INT('월 가계부'!A489/100),100)&gt;=1,MOD(INT('월 가계부'!A489/100),100)&lt;=12,MOD(INT('월 가계부'!A489),100)&gt;=1,MOD(INT('월 가계부'!A489),100)&lt;=31),IF(MONTH(DATE(INT('월 가계부'!A489/10000),MOD(INT('월 가계부'!A489/100),100),MOD(INT('월 가계부'!A489),100)))=MOD(INT('월 가계부'!A489/100),100),DATE(INT('월 가계부'!A489/10000),MOD(INT('월 가계부'!A489/100),100),MOD(INT('월 가계부'!A489),100)),""),""),IF(AND('월 가계부'!A489&gt;=36526,'월 가계부'!A489&lt;73051),INT('월 가계부'!A489),"")),IF(OR(CM489="",CN489="",CO489=""),"",IF(AND(CM489&gt;=2000,CM489&lt;=2099,CN489&gt;=1,CN489&lt;=12,CO489&gt;=1,CO489&lt;=31),IF(MONTH(DATE(CM489,CN489,CO489))=CN489,DATE(CM489,CN489,CO489),""),"")))),"")</f>
        <v/>
      </c>
      <c r="CJ489">
        <f>IFERROR(IF('월 가계부'!C489="","",IF(ISNUMBER('월 가계부'!C489),'월 가계부'!C489,VALUE(SUBSTITUTE(SUBSTITUTE(SUBSTITUTE(SUBSTITUTE(TRIM('월 가계부'!C489),",",""),"원","")," ",""),"−","-")))),"")</f>
        <v/>
      </c>
      <c r="CK489">
        <f>IF(ISNUMBER(CI489),IF(CI489&lt;$B$13,CI489,""),"")</f>
        <v/>
      </c>
      <c r="CM489">
        <f>IF(CH489="","",IFERROR(IF(IF(AND(LEN(CH489)=9,ISERROR(FIND("-",LEFT(CH489,8))),ISNUMBER(-LEFT(CH489,8))),VALUE(LEFT(CH489,4)),VALUE(LEFT(CH489,FIND("-",CH489)-1)))&lt;100,IF(AND(LEN(CH489)=9,ISERROR(FIND("-",LEFT(CH489,8))),ISNUMBER(-LEFT(CH489,8))),VALUE(LEFT(CH489,4)),VALUE(LEFT(CH489,FIND("-",CH489)-1)))+2000,IF(AND(LEN(CH489)=9,ISERROR(FIND("-",LEFT(CH489,8))),ISNUMBER(-LEFT(CH489,8))),VALUE(LEFT(CH489,4)),VALUE(LEFT(CH489,FIND("-",CH489)-1)))),""))</f>
        <v/>
      </c>
      <c r="CN489">
        <f>IF(CH489="","",IFERROR(IF(AND(LEN(CH489)=9,ISERROR(FIND("-",LEFT(CH489,8))),ISNUMBER(-LEFT(CH489,8))),VALUE(MID(CH489,5,2)),VALUE(MID(CH489,FIND("-",CH489)+1,FIND("-",CH489,FIND("-",CH489)+1)-FIND("-",CH489)-1))),""))</f>
        <v/>
      </c>
      <c r="CO489">
        <f>IF(CH489="","",IFERROR(IF(AND(LEN(CH489)=9,ISERROR(FIND("-",LEFT(CH489,8))),ISNUMBER(-LEFT(CH489,8))),VALUE(MID(CH489,7,2)),VALUE(MID(CH489,FIND("-",CH489,FIND("-",CH489)+1)+1,FIND("-",CH489,FIND("-",CH489,FIND("-",CH489)+1)+1)-FIND("-",CH489,FIND("-",CH489)+1)-1))),""))</f>
        <v/>
      </c>
    </row>
    <row r="490">
      <c r="CH490">
        <f>IF(ISTEXT('월 가계부'!A490),SUBSTITUTE(SUBSTITUTE(SUBSTITUTE(SUBSTITUTE(SUBSTITUTE(SUBSTITUTE(SUBSTITUTE(SUBSTITUTE(SUBSTITUTE(TRIM('월 가계부'!A490),"년","-"),"월","-"),"일",""),".","-"),"/","-")," ","-"),"--","-"),"--","-"),"--","-")&amp;"-","")</f>
        <v/>
      </c>
      <c r="CI490">
        <f>IFERROR(IF('월 가계부'!A490="","",IF(ISNUMBER('월 가계부'!A490),IF(AND('월 가계부'!A490&gt;=19000101,'월 가계부'!A490&lt;=21001231),IF(AND(MOD(INT('월 가계부'!A490/100),100)&gt;=1,MOD(INT('월 가계부'!A490/100),100)&lt;=12,MOD(INT('월 가계부'!A490),100)&gt;=1,MOD(INT('월 가계부'!A490),100)&lt;=31),IF(MONTH(DATE(INT('월 가계부'!A490/10000),MOD(INT('월 가계부'!A490/100),100),MOD(INT('월 가계부'!A490),100)))=MOD(INT('월 가계부'!A490/100),100),DATE(INT('월 가계부'!A490/10000),MOD(INT('월 가계부'!A490/100),100),MOD(INT('월 가계부'!A490),100)),""),""),IF(AND('월 가계부'!A490&gt;=36526,'월 가계부'!A490&lt;73051),INT('월 가계부'!A490),"")),IF(OR(CM490="",CN490="",CO490=""),"",IF(AND(CM490&gt;=2000,CM490&lt;=2099,CN490&gt;=1,CN490&lt;=12,CO490&gt;=1,CO490&lt;=31),IF(MONTH(DATE(CM490,CN490,CO490))=CN490,DATE(CM490,CN490,CO490),""),"")))),"")</f>
        <v/>
      </c>
      <c r="CJ490">
        <f>IFERROR(IF('월 가계부'!C490="","",IF(ISNUMBER('월 가계부'!C490),'월 가계부'!C490,VALUE(SUBSTITUTE(SUBSTITUTE(SUBSTITUTE(SUBSTITUTE(TRIM('월 가계부'!C490),",",""),"원","")," ",""),"−","-")))),"")</f>
        <v/>
      </c>
      <c r="CK490">
        <f>IF(ISNUMBER(CI490),IF(CI490&lt;$B$13,CI490,""),"")</f>
        <v/>
      </c>
      <c r="CM490">
        <f>IF(CH490="","",IFERROR(IF(IF(AND(LEN(CH490)=9,ISERROR(FIND("-",LEFT(CH490,8))),ISNUMBER(-LEFT(CH490,8))),VALUE(LEFT(CH490,4)),VALUE(LEFT(CH490,FIND("-",CH490)-1)))&lt;100,IF(AND(LEN(CH490)=9,ISERROR(FIND("-",LEFT(CH490,8))),ISNUMBER(-LEFT(CH490,8))),VALUE(LEFT(CH490,4)),VALUE(LEFT(CH490,FIND("-",CH490)-1)))+2000,IF(AND(LEN(CH490)=9,ISERROR(FIND("-",LEFT(CH490,8))),ISNUMBER(-LEFT(CH490,8))),VALUE(LEFT(CH490,4)),VALUE(LEFT(CH490,FIND("-",CH490)-1)))),""))</f>
        <v/>
      </c>
      <c r="CN490">
        <f>IF(CH490="","",IFERROR(IF(AND(LEN(CH490)=9,ISERROR(FIND("-",LEFT(CH490,8))),ISNUMBER(-LEFT(CH490,8))),VALUE(MID(CH490,5,2)),VALUE(MID(CH490,FIND("-",CH490)+1,FIND("-",CH490,FIND("-",CH490)+1)-FIND("-",CH490)-1))),""))</f>
        <v/>
      </c>
      <c r="CO490">
        <f>IF(CH490="","",IFERROR(IF(AND(LEN(CH490)=9,ISERROR(FIND("-",LEFT(CH490,8))),ISNUMBER(-LEFT(CH490,8))),VALUE(MID(CH490,7,2)),VALUE(MID(CH490,FIND("-",CH490,FIND("-",CH490)+1)+1,FIND("-",CH490,FIND("-",CH490,FIND("-",CH490)+1)+1)-FIND("-",CH490,FIND("-",CH490)+1)-1))),""))</f>
        <v/>
      </c>
    </row>
    <row r="491">
      <c r="CH491">
        <f>IF(ISTEXT('월 가계부'!A491),SUBSTITUTE(SUBSTITUTE(SUBSTITUTE(SUBSTITUTE(SUBSTITUTE(SUBSTITUTE(SUBSTITUTE(SUBSTITUTE(SUBSTITUTE(TRIM('월 가계부'!A491),"년","-"),"월","-"),"일",""),".","-"),"/","-")," ","-"),"--","-"),"--","-"),"--","-")&amp;"-","")</f>
        <v/>
      </c>
      <c r="CI491">
        <f>IFERROR(IF('월 가계부'!A491="","",IF(ISNUMBER('월 가계부'!A491),IF(AND('월 가계부'!A491&gt;=19000101,'월 가계부'!A491&lt;=21001231),IF(AND(MOD(INT('월 가계부'!A491/100),100)&gt;=1,MOD(INT('월 가계부'!A491/100),100)&lt;=12,MOD(INT('월 가계부'!A491),100)&gt;=1,MOD(INT('월 가계부'!A491),100)&lt;=31),IF(MONTH(DATE(INT('월 가계부'!A491/10000),MOD(INT('월 가계부'!A491/100),100),MOD(INT('월 가계부'!A491),100)))=MOD(INT('월 가계부'!A491/100),100),DATE(INT('월 가계부'!A491/10000),MOD(INT('월 가계부'!A491/100),100),MOD(INT('월 가계부'!A491),100)),""),""),IF(AND('월 가계부'!A491&gt;=36526,'월 가계부'!A491&lt;73051),INT('월 가계부'!A491),"")),IF(OR(CM491="",CN491="",CO491=""),"",IF(AND(CM491&gt;=2000,CM491&lt;=2099,CN491&gt;=1,CN491&lt;=12,CO491&gt;=1,CO491&lt;=31),IF(MONTH(DATE(CM491,CN491,CO491))=CN491,DATE(CM491,CN491,CO491),""),"")))),"")</f>
        <v/>
      </c>
      <c r="CJ491">
        <f>IFERROR(IF('월 가계부'!C491="","",IF(ISNUMBER('월 가계부'!C491),'월 가계부'!C491,VALUE(SUBSTITUTE(SUBSTITUTE(SUBSTITUTE(SUBSTITUTE(TRIM('월 가계부'!C491),",",""),"원","")," ",""),"−","-")))),"")</f>
        <v/>
      </c>
      <c r="CK491">
        <f>IF(ISNUMBER(CI491),IF(CI491&lt;$B$13,CI491,""),"")</f>
        <v/>
      </c>
      <c r="CM491">
        <f>IF(CH491="","",IFERROR(IF(IF(AND(LEN(CH491)=9,ISERROR(FIND("-",LEFT(CH491,8))),ISNUMBER(-LEFT(CH491,8))),VALUE(LEFT(CH491,4)),VALUE(LEFT(CH491,FIND("-",CH491)-1)))&lt;100,IF(AND(LEN(CH491)=9,ISERROR(FIND("-",LEFT(CH491,8))),ISNUMBER(-LEFT(CH491,8))),VALUE(LEFT(CH491,4)),VALUE(LEFT(CH491,FIND("-",CH491)-1)))+2000,IF(AND(LEN(CH491)=9,ISERROR(FIND("-",LEFT(CH491,8))),ISNUMBER(-LEFT(CH491,8))),VALUE(LEFT(CH491,4)),VALUE(LEFT(CH491,FIND("-",CH491)-1)))),""))</f>
        <v/>
      </c>
      <c r="CN491">
        <f>IF(CH491="","",IFERROR(IF(AND(LEN(CH491)=9,ISERROR(FIND("-",LEFT(CH491,8))),ISNUMBER(-LEFT(CH491,8))),VALUE(MID(CH491,5,2)),VALUE(MID(CH491,FIND("-",CH491)+1,FIND("-",CH491,FIND("-",CH491)+1)-FIND("-",CH491)-1))),""))</f>
        <v/>
      </c>
      <c r="CO491">
        <f>IF(CH491="","",IFERROR(IF(AND(LEN(CH491)=9,ISERROR(FIND("-",LEFT(CH491,8))),ISNUMBER(-LEFT(CH491,8))),VALUE(MID(CH491,7,2)),VALUE(MID(CH491,FIND("-",CH491,FIND("-",CH491)+1)+1,FIND("-",CH491,FIND("-",CH491,FIND("-",CH491)+1)+1)-FIND("-",CH491,FIND("-",CH491)+1)-1))),""))</f>
        <v/>
      </c>
    </row>
    <row r="492">
      <c r="CH492">
        <f>IF(ISTEXT('월 가계부'!A492),SUBSTITUTE(SUBSTITUTE(SUBSTITUTE(SUBSTITUTE(SUBSTITUTE(SUBSTITUTE(SUBSTITUTE(SUBSTITUTE(SUBSTITUTE(TRIM('월 가계부'!A492),"년","-"),"월","-"),"일",""),".","-"),"/","-")," ","-"),"--","-"),"--","-"),"--","-")&amp;"-","")</f>
        <v/>
      </c>
      <c r="CI492">
        <f>IFERROR(IF('월 가계부'!A492="","",IF(ISNUMBER('월 가계부'!A492),IF(AND('월 가계부'!A492&gt;=19000101,'월 가계부'!A492&lt;=21001231),IF(AND(MOD(INT('월 가계부'!A492/100),100)&gt;=1,MOD(INT('월 가계부'!A492/100),100)&lt;=12,MOD(INT('월 가계부'!A492),100)&gt;=1,MOD(INT('월 가계부'!A492),100)&lt;=31),IF(MONTH(DATE(INT('월 가계부'!A492/10000),MOD(INT('월 가계부'!A492/100),100),MOD(INT('월 가계부'!A492),100)))=MOD(INT('월 가계부'!A492/100),100),DATE(INT('월 가계부'!A492/10000),MOD(INT('월 가계부'!A492/100),100),MOD(INT('월 가계부'!A492),100)),""),""),IF(AND('월 가계부'!A492&gt;=36526,'월 가계부'!A492&lt;73051),INT('월 가계부'!A492),"")),IF(OR(CM492="",CN492="",CO492=""),"",IF(AND(CM492&gt;=2000,CM492&lt;=2099,CN492&gt;=1,CN492&lt;=12,CO492&gt;=1,CO492&lt;=31),IF(MONTH(DATE(CM492,CN492,CO492))=CN492,DATE(CM492,CN492,CO492),""),"")))),"")</f>
        <v/>
      </c>
      <c r="CJ492">
        <f>IFERROR(IF('월 가계부'!C492="","",IF(ISNUMBER('월 가계부'!C492),'월 가계부'!C492,VALUE(SUBSTITUTE(SUBSTITUTE(SUBSTITUTE(SUBSTITUTE(TRIM('월 가계부'!C492),",",""),"원","")," ",""),"−","-")))),"")</f>
        <v/>
      </c>
      <c r="CK492">
        <f>IF(ISNUMBER(CI492),IF(CI492&lt;$B$13,CI492,""),"")</f>
        <v/>
      </c>
      <c r="CM492">
        <f>IF(CH492="","",IFERROR(IF(IF(AND(LEN(CH492)=9,ISERROR(FIND("-",LEFT(CH492,8))),ISNUMBER(-LEFT(CH492,8))),VALUE(LEFT(CH492,4)),VALUE(LEFT(CH492,FIND("-",CH492)-1)))&lt;100,IF(AND(LEN(CH492)=9,ISERROR(FIND("-",LEFT(CH492,8))),ISNUMBER(-LEFT(CH492,8))),VALUE(LEFT(CH492,4)),VALUE(LEFT(CH492,FIND("-",CH492)-1)))+2000,IF(AND(LEN(CH492)=9,ISERROR(FIND("-",LEFT(CH492,8))),ISNUMBER(-LEFT(CH492,8))),VALUE(LEFT(CH492,4)),VALUE(LEFT(CH492,FIND("-",CH492)-1)))),""))</f>
        <v/>
      </c>
      <c r="CN492">
        <f>IF(CH492="","",IFERROR(IF(AND(LEN(CH492)=9,ISERROR(FIND("-",LEFT(CH492,8))),ISNUMBER(-LEFT(CH492,8))),VALUE(MID(CH492,5,2)),VALUE(MID(CH492,FIND("-",CH492)+1,FIND("-",CH492,FIND("-",CH492)+1)-FIND("-",CH492)-1))),""))</f>
        <v/>
      </c>
      <c r="CO492">
        <f>IF(CH492="","",IFERROR(IF(AND(LEN(CH492)=9,ISERROR(FIND("-",LEFT(CH492,8))),ISNUMBER(-LEFT(CH492,8))),VALUE(MID(CH492,7,2)),VALUE(MID(CH492,FIND("-",CH492,FIND("-",CH492)+1)+1,FIND("-",CH492,FIND("-",CH492,FIND("-",CH492)+1)+1)-FIND("-",CH492,FIND("-",CH492)+1)-1))),""))</f>
        <v/>
      </c>
    </row>
    <row r="493">
      <c r="CH493">
        <f>IF(ISTEXT('월 가계부'!A493),SUBSTITUTE(SUBSTITUTE(SUBSTITUTE(SUBSTITUTE(SUBSTITUTE(SUBSTITUTE(SUBSTITUTE(SUBSTITUTE(SUBSTITUTE(TRIM('월 가계부'!A493),"년","-"),"월","-"),"일",""),".","-"),"/","-")," ","-"),"--","-"),"--","-"),"--","-")&amp;"-","")</f>
        <v/>
      </c>
      <c r="CI493">
        <f>IFERROR(IF('월 가계부'!A493="","",IF(ISNUMBER('월 가계부'!A493),IF(AND('월 가계부'!A493&gt;=19000101,'월 가계부'!A493&lt;=21001231),IF(AND(MOD(INT('월 가계부'!A493/100),100)&gt;=1,MOD(INT('월 가계부'!A493/100),100)&lt;=12,MOD(INT('월 가계부'!A493),100)&gt;=1,MOD(INT('월 가계부'!A493),100)&lt;=31),IF(MONTH(DATE(INT('월 가계부'!A493/10000),MOD(INT('월 가계부'!A493/100),100),MOD(INT('월 가계부'!A493),100)))=MOD(INT('월 가계부'!A493/100),100),DATE(INT('월 가계부'!A493/10000),MOD(INT('월 가계부'!A493/100),100),MOD(INT('월 가계부'!A493),100)),""),""),IF(AND('월 가계부'!A493&gt;=36526,'월 가계부'!A493&lt;73051),INT('월 가계부'!A493),"")),IF(OR(CM493="",CN493="",CO493=""),"",IF(AND(CM493&gt;=2000,CM493&lt;=2099,CN493&gt;=1,CN493&lt;=12,CO493&gt;=1,CO493&lt;=31),IF(MONTH(DATE(CM493,CN493,CO493))=CN493,DATE(CM493,CN493,CO493),""),"")))),"")</f>
        <v/>
      </c>
      <c r="CJ493">
        <f>IFERROR(IF('월 가계부'!C493="","",IF(ISNUMBER('월 가계부'!C493),'월 가계부'!C493,VALUE(SUBSTITUTE(SUBSTITUTE(SUBSTITUTE(SUBSTITUTE(TRIM('월 가계부'!C493),",",""),"원","")," ",""),"−","-")))),"")</f>
        <v/>
      </c>
      <c r="CK493">
        <f>IF(ISNUMBER(CI493),IF(CI493&lt;$B$13,CI493,""),"")</f>
        <v/>
      </c>
      <c r="CM493">
        <f>IF(CH493="","",IFERROR(IF(IF(AND(LEN(CH493)=9,ISERROR(FIND("-",LEFT(CH493,8))),ISNUMBER(-LEFT(CH493,8))),VALUE(LEFT(CH493,4)),VALUE(LEFT(CH493,FIND("-",CH493)-1)))&lt;100,IF(AND(LEN(CH493)=9,ISERROR(FIND("-",LEFT(CH493,8))),ISNUMBER(-LEFT(CH493,8))),VALUE(LEFT(CH493,4)),VALUE(LEFT(CH493,FIND("-",CH493)-1)))+2000,IF(AND(LEN(CH493)=9,ISERROR(FIND("-",LEFT(CH493,8))),ISNUMBER(-LEFT(CH493,8))),VALUE(LEFT(CH493,4)),VALUE(LEFT(CH493,FIND("-",CH493)-1)))),""))</f>
        <v/>
      </c>
      <c r="CN493">
        <f>IF(CH493="","",IFERROR(IF(AND(LEN(CH493)=9,ISERROR(FIND("-",LEFT(CH493,8))),ISNUMBER(-LEFT(CH493,8))),VALUE(MID(CH493,5,2)),VALUE(MID(CH493,FIND("-",CH493)+1,FIND("-",CH493,FIND("-",CH493)+1)-FIND("-",CH493)-1))),""))</f>
        <v/>
      </c>
      <c r="CO493">
        <f>IF(CH493="","",IFERROR(IF(AND(LEN(CH493)=9,ISERROR(FIND("-",LEFT(CH493,8))),ISNUMBER(-LEFT(CH493,8))),VALUE(MID(CH493,7,2)),VALUE(MID(CH493,FIND("-",CH493,FIND("-",CH493)+1)+1,FIND("-",CH493,FIND("-",CH493,FIND("-",CH493)+1)+1)-FIND("-",CH493,FIND("-",CH493)+1)-1))),""))</f>
        <v/>
      </c>
    </row>
    <row r="494">
      <c r="CH494">
        <f>IF(ISTEXT('월 가계부'!A494),SUBSTITUTE(SUBSTITUTE(SUBSTITUTE(SUBSTITUTE(SUBSTITUTE(SUBSTITUTE(SUBSTITUTE(SUBSTITUTE(SUBSTITUTE(TRIM('월 가계부'!A494),"년","-"),"월","-"),"일",""),".","-"),"/","-")," ","-"),"--","-"),"--","-"),"--","-")&amp;"-","")</f>
        <v/>
      </c>
      <c r="CI494">
        <f>IFERROR(IF('월 가계부'!A494="","",IF(ISNUMBER('월 가계부'!A494),IF(AND('월 가계부'!A494&gt;=19000101,'월 가계부'!A494&lt;=21001231),IF(AND(MOD(INT('월 가계부'!A494/100),100)&gt;=1,MOD(INT('월 가계부'!A494/100),100)&lt;=12,MOD(INT('월 가계부'!A494),100)&gt;=1,MOD(INT('월 가계부'!A494),100)&lt;=31),IF(MONTH(DATE(INT('월 가계부'!A494/10000),MOD(INT('월 가계부'!A494/100),100),MOD(INT('월 가계부'!A494),100)))=MOD(INT('월 가계부'!A494/100),100),DATE(INT('월 가계부'!A494/10000),MOD(INT('월 가계부'!A494/100),100),MOD(INT('월 가계부'!A494),100)),""),""),IF(AND('월 가계부'!A494&gt;=36526,'월 가계부'!A494&lt;73051),INT('월 가계부'!A494),"")),IF(OR(CM494="",CN494="",CO494=""),"",IF(AND(CM494&gt;=2000,CM494&lt;=2099,CN494&gt;=1,CN494&lt;=12,CO494&gt;=1,CO494&lt;=31),IF(MONTH(DATE(CM494,CN494,CO494))=CN494,DATE(CM494,CN494,CO494),""),"")))),"")</f>
        <v/>
      </c>
      <c r="CJ494">
        <f>IFERROR(IF('월 가계부'!C494="","",IF(ISNUMBER('월 가계부'!C494),'월 가계부'!C494,VALUE(SUBSTITUTE(SUBSTITUTE(SUBSTITUTE(SUBSTITUTE(TRIM('월 가계부'!C494),",",""),"원","")," ",""),"−","-")))),"")</f>
        <v/>
      </c>
      <c r="CK494">
        <f>IF(ISNUMBER(CI494),IF(CI494&lt;$B$13,CI494,""),"")</f>
        <v/>
      </c>
      <c r="CM494">
        <f>IF(CH494="","",IFERROR(IF(IF(AND(LEN(CH494)=9,ISERROR(FIND("-",LEFT(CH494,8))),ISNUMBER(-LEFT(CH494,8))),VALUE(LEFT(CH494,4)),VALUE(LEFT(CH494,FIND("-",CH494)-1)))&lt;100,IF(AND(LEN(CH494)=9,ISERROR(FIND("-",LEFT(CH494,8))),ISNUMBER(-LEFT(CH494,8))),VALUE(LEFT(CH494,4)),VALUE(LEFT(CH494,FIND("-",CH494)-1)))+2000,IF(AND(LEN(CH494)=9,ISERROR(FIND("-",LEFT(CH494,8))),ISNUMBER(-LEFT(CH494,8))),VALUE(LEFT(CH494,4)),VALUE(LEFT(CH494,FIND("-",CH494)-1)))),""))</f>
        <v/>
      </c>
      <c r="CN494">
        <f>IF(CH494="","",IFERROR(IF(AND(LEN(CH494)=9,ISERROR(FIND("-",LEFT(CH494,8))),ISNUMBER(-LEFT(CH494,8))),VALUE(MID(CH494,5,2)),VALUE(MID(CH494,FIND("-",CH494)+1,FIND("-",CH494,FIND("-",CH494)+1)-FIND("-",CH494)-1))),""))</f>
        <v/>
      </c>
      <c r="CO494">
        <f>IF(CH494="","",IFERROR(IF(AND(LEN(CH494)=9,ISERROR(FIND("-",LEFT(CH494,8))),ISNUMBER(-LEFT(CH494,8))),VALUE(MID(CH494,7,2)),VALUE(MID(CH494,FIND("-",CH494,FIND("-",CH494)+1)+1,FIND("-",CH494,FIND("-",CH494,FIND("-",CH494)+1)+1)-FIND("-",CH494,FIND("-",CH494)+1)-1))),""))</f>
        <v/>
      </c>
    </row>
    <row r="495">
      <c r="CH495">
        <f>IF(ISTEXT('월 가계부'!A495),SUBSTITUTE(SUBSTITUTE(SUBSTITUTE(SUBSTITUTE(SUBSTITUTE(SUBSTITUTE(SUBSTITUTE(SUBSTITUTE(SUBSTITUTE(TRIM('월 가계부'!A495),"년","-"),"월","-"),"일",""),".","-"),"/","-")," ","-"),"--","-"),"--","-"),"--","-")&amp;"-","")</f>
        <v/>
      </c>
      <c r="CI495">
        <f>IFERROR(IF('월 가계부'!A495="","",IF(ISNUMBER('월 가계부'!A495),IF(AND('월 가계부'!A495&gt;=19000101,'월 가계부'!A495&lt;=21001231),IF(AND(MOD(INT('월 가계부'!A495/100),100)&gt;=1,MOD(INT('월 가계부'!A495/100),100)&lt;=12,MOD(INT('월 가계부'!A495),100)&gt;=1,MOD(INT('월 가계부'!A495),100)&lt;=31),IF(MONTH(DATE(INT('월 가계부'!A495/10000),MOD(INT('월 가계부'!A495/100),100),MOD(INT('월 가계부'!A495),100)))=MOD(INT('월 가계부'!A495/100),100),DATE(INT('월 가계부'!A495/10000),MOD(INT('월 가계부'!A495/100),100),MOD(INT('월 가계부'!A495),100)),""),""),IF(AND('월 가계부'!A495&gt;=36526,'월 가계부'!A495&lt;73051),INT('월 가계부'!A495),"")),IF(OR(CM495="",CN495="",CO495=""),"",IF(AND(CM495&gt;=2000,CM495&lt;=2099,CN495&gt;=1,CN495&lt;=12,CO495&gt;=1,CO495&lt;=31),IF(MONTH(DATE(CM495,CN495,CO495))=CN495,DATE(CM495,CN495,CO495),""),"")))),"")</f>
        <v/>
      </c>
      <c r="CJ495">
        <f>IFERROR(IF('월 가계부'!C495="","",IF(ISNUMBER('월 가계부'!C495),'월 가계부'!C495,VALUE(SUBSTITUTE(SUBSTITUTE(SUBSTITUTE(SUBSTITUTE(TRIM('월 가계부'!C495),",",""),"원","")," ",""),"−","-")))),"")</f>
        <v/>
      </c>
      <c r="CK495">
        <f>IF(ISNUMBER(CI495),IF(CI495&lt;$B$13,CI495,""),"")</f>
        <v/>
      </c>
      <c r="CM495">
        <f>IF(CH495="","",IFERROR(IF(IF(AND(LEN(CH495)=9,ISERROR(FIND("-",LEFT(CH495,8))),ISNUMBER(-LEFT(CH495,8))),VALUE(LEFT(CH495,4)),VALUE(LEFT(CH495,FIND("-",CH495)-1)))&lt;100,IF(AND(LEN(CH495)=9,ISERROR(FIND("-",LEFT(CH495,8))),ISNUMBER(-LEFT(CH495,8))),VALUE(LEFT(CH495,4)),VALUE(LEFT(CH495,FIND("-",CH495)-1)))+2000,IF(AND(LEN(CH495)=9,ISERROR(FIND("-",LEFT(CH495,8))),ISNUMBER(-LEFT(CH495,8))),VALUE(LEFT(CH495,4)),VALUE(LEFT(CH495,FIND("-",CH495)-1)))),""))</f>
        <v/>
      </c>
      <c r="CN495">
        <f>IF(CH495="","",IFERROR(IF(AND(LEN(CH495)=9,ISERROR(FIND("-",LEFT(CH495,8))),ISNUMBER(-LEFT(CH495,8))),VALUE(MID(CH495,5,2)),VALUE(MID(CH495,FIND("-",CH495)+1,FIND("-",CH495,FIND("-",CH495)+1)-FIND("-",CH495)-1))),""))</f>
        <v/>
      </c>
      <c r="CO495">
        <f>IF(CH495="","",IFERROR(IF(AND(LEN(CH495)=9,ISERROR(FIND("-",LEFT(CH495,8))),ISNUMBER(-LEFT(CH495,8))),VALUE(MID(CH495,7,2)),VALUE(MID(CH495,FIND("-",CH495,FIND("-",CH495)+1)+1,FIND("-",CH495,FIND("-",CH495,FIND("-",CH495)+1)+1)-FIND("-",CH495,FIND("-",CH495)+1)-1))),""))</f>
        <v/>
      </c>
    </row>
    <row r="496">
      <c r="CH496">
        <f>IF(ISTEXT('월 가계부'!A496),SUBSTITUTE(SUBSTITUTE(SUBSTITUTE(SUBSTITUTE(SUBSTITUTE(SUBSTITUTE(SUBSTITUTE(SUBSTITUTE(SUBSTITUTE(TRIM('월 가계부'!A496),"년","-"),"월","-"),"일",""),".","-"),"/","-")," ","-"),"--","-"),"--","-"),"--","-")&amp;"-","")</f>
        <v/>
      </c>
      <c r="CI496">
        <f>IFERROR(IF('월 가계부'!A496="","",IF(ISNUMBER('월 가계부'!A496),IF(AND('월 가계부'!A496&gt;=19000101,'월 가계부'!A496&lt;=21001231),IF(AND(MOD(INT('월 가계부'!A496/100),100)&gt;=1,MOD(INT('월 가계부'!A496/100),100)&lt;=12,MOD(INT('월 가계부'!A496),100)&gt;=1,MOD(INT('월 가계부'!A496),100)&lt;=31),IF(MONTH(DATE(INT('월 가계부'!A496/10000),MOD(INT('월 가계부'!A496/100),100),MOD(INT('월 가계부'!A496),100)))=MOD(INT('월 가계부'!A496/100),100),DATE(INT('월 가계부'!A496/10000),MOD(INT('월 가계부'!A496/100),100),MOD(INT('월 가계부'!A496),100)),""),""),IF(AND('월 가계부'!A496&gt;=36526,'월 가계부'!A496&lt;73051),INT('월 가계부'!A496),"")),IF(OR(CM496="",CN496="",CO496=""),"",IF(AND(CM496&gt;=2000,CM496&lt;=2099,CN496&gt;=1,CN496&lt;=12,CO496&gt;=1,CO496&lt;=31),IF(MONTH(DATE(CM496,CN496,CO496))=CN496,DATE(CM496,CN496,CO496),""),"")))),"")</f>
        <v/>
      </c>
      <c r="CJ496">
        <f>IFERROR(IF('월 가계부'!C496="","",IF(ISNUMBER('월 가계부'!C496),'월 가계부'!C496,VALUE(SUBSTITUTE(SUBSTITUTE(SUBSTITUTE(SUBSTITUTE(TRIM('월 가계부'!C496),",",""),"원","")," ",""),"−","-")))),"")</f>
        <v/>
      </c>
      <c r="CK496">
        <f>IF(ISNUMBER(CI496),IF(CI496&lt;$B$13,CI496,""),"")</f>
        <v/>
      </c>
      <c r="CM496">
        <f>IF(CH496="","",IFERROR(IF(IF(AND(LEN(CH496)=9,ISERROR(FIND("-",LEFT(CH496,8))),ISNUMBER(-LEFT(CH496,8))),VALUE(LEFT(CH496,4)),VALUE(LEFT(CH496,FIND("-",CH496)-1)))&lt;100,IF(AND(LEN(CH496)=9,ISERROR(FIND("-",LEFT(CH496,8))),ISNUMBER(-LEFT(CH496,8))),VALUE(LEFT(CH496,4)),VALUE(LEFT(CH496,FIND("-",CH496)-1)))+2000,IF(AND(LEN(CH496)=9,ISERROR(FIND("-",LEFT(CH496,8))),ISNUMBER(-LEFT(CH496,8))),VALUE(LEFT(CH496,4)),VALUE(LEFT(CH496,FIND("-",CH496)-1)))),""))</f>
        <v/>
      </c>
      <c r="CN496">
        <f>IF(CH496="","",IFERROR(IF(AND(LEN(CH496)=9,ISERROR(FIND("-",LEFT(CH496,8))),ISNUMBER(-LEFT(CH496,8))),VALUE(MID(CH496,5,2)),VALUE(MID(CH496,FIND("-",CH496)+1,FIND("-",CH496,FIND("-",CH496)+1)-FIND("-",CH496)-1))),""))</f>
        <v/>
      </c>
      <c r="CO496">
        <f>IF(CH496="","",IFERROR(IF(AND(LEN(CH496)=9,ISERROR(FIND("-",LEFT(CH496,8))),ISNUMBER(-LEFT(CH496,8))),VALUE(MID(CH496,7,2)),VALUE(MID(CH496,FIND("-",CH496,FIND("-",CH496)+1)+1,FIND("-",CH496,FIND("-",CH496,FIND("-",CH496)+1)+1)-FIND("-",CH496,FIND("-",CH496)+1)-1))),""))</f>
        <v/>
      </c>
    </row>
    <row r="497">
      <c r="CH497">
        <f>IF(ISTEXT('월 가계부'!A497),SUBSTITUTE(SUBSTITUTE(SUBSTITUTE(SUBSTITUTE(SUBSTITUTE(SUBSTITUTE(SUBSTITUTE(SUBSTITUTE(SUBSTITUTE(TRIM('월 가계부'!A497),"년","-"),"월","-"),"일",""),".","-"),"/","-")," ","-"),"--","-"),"--","-"),"--","-")&amp;"-","")</f>
        <v/>
      </c>
      <c r="CI497">
        <f>IFERROR(IF('월 가계부'!A497="","",IF(ISNUMBER('월 가계부'!A497),IF(AND('월 가계부'!A497&gt;=19000101,'월 가계부'!A497&lt;=21001231),IF(AND(MOD(INT('월 가계부'!A497/100),100)&gt;=1,MOD(INT('월 가계부'!A497/100),100)&lt;=12,MOD(INT('월 가계부'!A497),100)&gt;=1,MOD(INT('월 가계부'!A497),100)&lt;=31),IF(MONTH(DATE(INT('월 가계부'!A497/10000),MOD(INT('월 가계부'!A497/100),100),MOD(INT('월 가계부'!A497),100)))=MOD(INT('월 가계부'!A497/100),100),DATE(INT('월 가계부'!A497/10000),MOD(INT('월 가계부'!A497/100),100),MOD(INT('월 가계부'!A497),100)),""),""),IF(AND('월 가계부'!A497&gt;=36526,'월 가계부'!A497&lt;73051),INT('월 가계부'!A497),"")),IF(OR(CM497="",CN497="",CO497=""),"",IF(AND(CM497&gt;=2000,CM497&lt;=2099,CN497&gt;=1,CN497&lt;=12,CO497&gt;=1,CO497&lt;=31),IF(MONTH(DATE(CM497,CN497,CO497))=CN497,DATE(CM497,CN497,CO497),""),"")))),"")</f>
        <v/>
      </c>
      <c r="CJ497">
        <f>IFERROR(IF('월 가계부'!C497="","",IF(ISNUMBER('월 가계부'!C497),'월 가계부'!C497,VALUE(SUBSTITUTE(SUBSTITUTE(SUBSTITUTE(SUBSTITUTE(TRIM('월 가계부'!C497),",",""),"원","")," ",""),"−","-")))),"")</f>
        <v/>
      </c>
      <c r="CK497">
        <f>IF(ISNUMBER(CI497),IF(CI497&lt;$B$13,CI497,""),"")</f>
        <v/>
      </c>
      <c r="CM497">
        <f>IF(CH497="","",IFERROR(IF(IF(AND(LEN(CH497)=9,ISERROR(FIND("-",LEFT(CH497,8))),ISNUMBER(-LEFT(CH497,8))),VALUE(LEFT(CH497,4)),VALUE(LEFT(CH497,FIND("-",CH497)-1)))&lt;100,IF(AND(LEN(CH497)=9,ISERROR(FIND("-",LEFT(CH497,8))),ISNUMBER(-LEFT(CH497,8))),VALUE(LEFT(CH497,4)),VALUE(LEFT(CH497,FIND("-",CH497)-1)))+2000,IF(AND(LEN(CH497)=9,ISERROR(FIND("-",LEFT(CH497,8))),ISNUMBER(-LEFT(CH497,8))),VALUE(LEFT(CH497,4)),VALUE(LEFT(CH497,FIND("-",CH497)-1)))),""))</f>
        <v/>
      </c>
      <c r="CN497">
        <f>IF(CH497="","",IFERROR(IF(AND(LEN(CH497)=9,ISERROR(FIND("-",LEFT(CH497,8))),ISNUMBER(-LEFT(CH497,8))),VALUE(MID(CH497,5,2)),VALUE(MID(CH497,FIND("-",CH497)+1,FIND("-",CH497,FIND("-",CH497)+1)-FIND("-",CH497)-1))),""))</f>
        <v/>
      </c>
      <c r="CO497">
        <f>IF(CH497="","",IFERROR(IF(AND(LEN(CH497)=9,ISERROR(FIND("-",LEFT(CH497,8))),ISNUMBER(-LEFT(CH497,8))),VALUE(MID(CH497,7,2)),VALUE(MID(CH497,FIND("-",CH497,FIND("-",CH497)+1)+1,FIND("-",CH497,FIND("-",CH497,FIND("-",CH497)+1)+1)-FIND("-",CH497,FIND("-",CH497)+1)-1))),""))</f>
        <v/>
      </c>
    </row>
    <row r="498">
      <c r="CH498">
        <f>IF(ISTEXT('월 가계부'!A498),SUBSTITUTE(SUBSTITUTE(SUBSTITUTE(SUBSTITUTE(SUBSTITUTE(SUBSTITUTE(SUBSTITUTE(SUBSTITUTE(SUBSTITUTE(TRIM('월 가계부'!A498),"년","-"),"월","-"),"일",""),".","-"),"/","-")," ","-"),"--","-"),"--","-"),"--","-")&amp;"-","")</f>
        <v/>
      </c>
      <c r="CI498">
        <f>IFERROR(IF('월 가계부'!A498="","",IF(ISNUMBER('월 가계부'!A498),IF(AND('월 가계부'!A498&gt;=19000101,'월 가계부'!A498&lt;=21001231),IF(AND(MOD(INT('월 가계부'!A498/100),100)&gt;=1,MOD(INT('월 가계부'!A498/100),100)&lt;=12,MOD(INT('월 가계부'!A498),100)&gt;=1,MOD(INT('월 가계부'!A498),100)&lt;=31),IF(MONTH(DATE(INT('월 가계부'!A498/10000),MOD(INT('월 가계부'!A498/100),100),MOD(INT('월 가계부'!A498),100)))=MOD(INT('월 가계부'!A498/100),100),DATE(INT('월 가계부'!A498/10000),MOD(INT('월 가계부'!A498/100),100),MOD(INT('월 가계부'!A498),100)),""),""),IF(AND('월 가계부'!A498&gt;=36526,'월 가계부'!A498&lt;73051),INT('월 가계부'!A498),"")),IF(OR(CM498="",CN498="",CO498=""),"",IF(AND(CM498&gt;=2000,CM498&lt;=2099,CN498&gt;=1,CN498&lt;=12,CO498&gt;=1,CO498&lt;=31),IF(MONTH(DATE(CM498,CN498,CO498))=CN498,DATE(CM498,CN498,CO498),""),"")))),"")</f>
        <v/>
      </c>
      <c r="CJ498">
        <f>IFERROR(IF('월 가계부'!C498="","",IF(ISNUMBER('월 가계부'!C498),'월 가계부'!C498,VALUE(SUBSTITUTE(SUBSTITUTE(SUBSTITUTE(SUBSTITUTE(TRIM('월 가계부'!C498),",",""),"원","")," ",""),"−","-")))),"")</f>
        <v/>
      </c>
      <c r="CK498">
        <f>IF(ISNUMBER(CI498),IF(CI498&lt;$B$13,CI498,""),"")</f>
        <v/>
      </c>
      <c r="CM498">
        <f>IF(CH498="","",IFERROR(IF(IF(AND(LEN(CH498)=9,ISERROR(FIND("-",LEFT(CH498,8))),ISNUMBER(-LEFT(CH498,8))),VALUE(LEFT(CH498,4)),VALUE(LEFT(CH498,FIND("-",CH498)-1)))&lt;100,IF(AND(LEN(CH498)=9,ISERROR(FIND("-",LEFT(CH498,8))),ISNUMBER(-LEFT(CH498,8))),VALUE(LEFT(CH498,4)),VALUE(LEFT(CH498,FIND("-",CH498)-1)))+2000,IF(AND(LEN(CH498)=9,ISERROR(FIND("-",LEFT(CH498,8))),ISNUMBER(-LEFT(CH498,8))),VALUE(LEFT(CH498,4)),VALUE(LEFT(CH498,FIND("-",CH498)-1)))),""))</f>
        <v/>
      </c>
      <c r="CN498">
        <f>IF(CH498="","",IFERROR(IF(AND(LEN(CH498)=9,ISERROR(FIND("-",LEFT(CH498,8))),ISNUMBER(-LEFT(CH498,8))),VALUE(MID(CH498,5,2)),VALUE(MID(CH498,FIND("-",CH498)+1,FIND("-",CH498,FIND("-",CH498)+1)-FIND("-",CH498)-1))),""))</f>
        <v/>
      </c>
      <c r="CO498">
        <f>IF(CH498="","",IFERROR(IF(AND(LEN(CH498)=9,ISERROR(FIND("-",LEFT(CH498,8))),ISNUMBER(-LEFT(CH498,8))),VALUE(MID(CH498,7,2)),VALUE(MID(CH498,FIND("-",CH498,FIND("-",CH498)+1)+1,FIND("-",CH498,FIND("-",CH498,FIND("-",CH498)+1)+1)-FIND("-",CH498,FIND("-",CH498)+1)-1))),""))</f>
        <v/>
      </c>
    </row>
    <row r="499">
      <c r="CH499">
        <f>IF(ISTEXT('월 가계부'!A499),SUBSTITUTE(SUBSTITUTE(SUBSTITUTE(SUBSTITUTE(SUBSTITUTE(SUBSTITUTE(SUBSTITUTE(SUBSTITUTE(SUBSTITUTE(TRIM('월 가계부'!A499),"년","-"),"월","-"),"일",""),".","-"),"/","-")," ","-"),"--","-"),"--","-"),"--","-")&amp;"-","")</f>
        <v/>
      </c>
      <c r="CI499">
        <f>IFERROR(IF('월 가계부'!A499="","",IF(ISNUMBER('월 가계부'!A499),IF(AND('월 가계부'!A499&gt;=19000101,'월 가계부'!A499&lt;=21001231),IF(AND(MOD(INT('월 가계부'!A499/100),100)&gt;=1,MOD(INT('월 가계부'!A499/100),100)&lt;=12,MOD(INT('월 가계부'!A499),100)&gt;=1,MOD(INT('월 가계부'!A499),100)&lt;=31),IF(MONTH(DATE(INT('월 가계부'!A499/10000),MOD(INT('월 가계부'!A499/100),100),MOD(INT('월 가계부'!A499),100)))=MOD(INT('월 가계부'!A499/100),100),DATE(INT('월 가계부'!A499/10000),MOD(INT('월 가계부'!A499/100),100),MOD(INT('월 가계부'!A499),100)),""),""),IF(AND('월 가계부'!A499&gt;=36526,'월 가계부'!A499&lt;73051),INT('월 가계부'!A499),"")),IF(OR(CM499="",CN499="",CO499=""),"",IF(AND(CM499&gt;=2000,CM499&lt;=2099,CN499&gt;=1,CN499&lt;=12,CO499&gt;=1,CO499&lt;=31),IF(MONTH(DATE(CM499,CN499,CO499))=CN499,DATE(CM499,CN499,CO499),""),"")))),"")</f>
        <v/>
      </c>
      <c r="CJ499">
        <f>IFERROR(IF('월 가계부'!C499="","",IF(ISNUMBER('월 가계부'!C499),'월 가계부'!C499,VALUE(SUBSTITUTE(SUBSTITUTE(SUBSTITUTE(SUBSTITUTE(TRIM('월 가계부'!C499),",",""),"원","")," ",""),"−","-")))),"")</f>
        <v/>
      </c>
      <c r="CK499">
        <f>IF(ISNUMBER(CI499),IF(CI499&lt;$B$13,CI499,""),"")</f>
        <v/>
      </c>
      <c r="CM499">
        <f>IF(CH499="","",IFERROR(IF(IF(AND(LEN(CH499)=9,ISERROR(FIND("-",LEFT(CH499,8))),ISNUMBER(-LEFT(CH499,8))),VALUE(LEFT(CH499,4)),VALUE(LEFT(CH499,FIND("-",CH499)-1)))&lt;100,IF(AND(LEN(CH499)=9,ISERROR(FIND("-",LEFT(CH499,8))),ISNUMBER(-LEFT(CH499,8))),VALUE(LEFT(CH499,4)),VALUE(LEFT(CH499,FIND("-",CH499)-1)))+2000,IF(AND(LEN(CH499)=9,ISERROR(FIND("-",LEFT(CH499,8))),ISNUMBER(-LEFT(CH499,8))),VALUE(LEFT(CH499,4)),VALUE(LEFT(CH499,FIND("-",CH499)-1)))),""))</f>
        <v/>
      </c>
      <c r="CN499">
        <f>IF(CH499="","",IFERROR(IF(AND(LEN(CH499)=9,ISERROR(FIND("-",LEFT(CH499,8))),ISNUMBER(-LEFT(CH499,8))),VALUE(MID(CH499,5,2)),VALUE(MID(CH499,FIND("-",CH499)+1,FIND("-",CH499,FIND("-",CH499)+1)-FIND("-",CH499)-1))),""))</f>
        <v/>
      </c>
      <c r="CO499">
        <f>IF(CH499="","",IFERROR(IF(AND(LEN(CH499)=9,ISERROR(FIND("-",LEFT(CH499,8))),ISNUMBER(-LEFT(CH499,8))),VALUE(MID(CH499,7,2)),VALUE(MID(CH499,FIND("-",CH499,FIND("-",CH499)+1)+1,FIND("-",CH499,FIND("-",CH499,FIND("-",CH499)+1)+1)-FIND("-",CH499,FIND("-",CH499)+1)-1))),""))</f>
        <v/>
      </c>
    </row>
    <row r="500">
      <c r="CH500">
        <f>IF(ISTEXT('월 가계부'!A500),SUBSTITUTE(SUBSTITUTE(SUBSTITUTE(SUBSTITUTE(SUBSTITUTE(SUBSTITUTE(SUBSTITUTE(SUBSTITUTE(SUBSTITUTE(TRIM('월 가계부'!A500),"년","-"),"월","-"),"일",""),".","-"),"/","-")," ","-"),"--","-"),"--","-"),"--","-")&amp;"-","")</f>
        <v/>
      </c>
      <c r="CI500">
        <f>IFERROR(IF('월 가계부'!A500="","",IF(ISNUMBER('월 가계부'!A500),IF(AND('월 가계부'!A500&gt;=19000101,'월 가계부'!A500&lt;=21001231),IF(AND(MOD(INT('월 가계부'!A500/100),100)&gt;=1,MOD(INT('월 가계부'!A500/100),100)&lt;=12,MOD(INT('월 가계부'!A500),100)&gt;=1,MOD(INT('월 가계부'!A500),100)&lt;=31),IF(MONTH(DATE(INT('월 가계부'!A500/10000),MOD(INT('월 가계부'!A500/100),100),MOD(INT('월 가계부'!A500),100)))=MOD(INT('월 가계부'!A500/100),100),DATE(INT('월 가계부'!A500/10000),MOD(INT('월 가계부'!A500/100),100),MOD(INT('월 가계부'!A500),100)),""),""),IF(AND('월 가계부'!A500&gt;=36526,'월 가계부'!A500&lt;73051),INT('월 가계부'!A500),"")),IF(OR(CM500="",CN500="",CO500=""),"",IF(AND(CM500&gt;=2000,CM500&lt;=2099,CN500&gt;=1,CN500&lt;=12,CO500&gt;=1,CO500&lt;=31),IF(MONTH(DATE(CM500,CN500,CO500))=CN500,DATE(CM500,CN500,CO500),""),"")))),"")</f>
        <v/>
      </c>
      <c r="CJ500">
        <f>IFERROR(IF('월 가계부'!C500="","",IF(ISNUMBER('월 가계부'!C500),'월 가계부'!C500,VALUE(SUBSTITUTE(SUBSTITUTE(SUBSTITUTE(SUBSTITUTE(TRIM('월 가계부'!C500),",",""),"원","")," ",""),"−","-")))),"")</f>
        <v/>
      </c>
      <c r="CK500">
        <f>IF(ISNUMBER(CI500),IF(CI500&lt;$B$13,CI500,""),"")</f>
        <v/>
      </c>
      <c r="CM500">
        <f>IF(CH500="","",IFERROR(IF(IF(AND(LEN(CH500)=9,ISERROR(FIND("-",LEFT(CH500,8))),ISNUMBER(-LEFT(CH500,8))),VALUE(LEFT(CH500,4)),VALUE(LEFT(CH500,FIND("-",CH500)-1)))&lt;100,IF(AND(LEN(CH500)=9,ISERROR(FIND("-",LEFT(CH500,8))),ISNUMBER(-LEFT(CH500,8))),VALUE(LEFT(CH500,4)),VALUE(LEFT(CH500,FIND("-",CH500)-1)))+2000,IF(AND(LEN(CH500)=9,ISERROR(FIND("-",LEFT(CH500,8))),ISNUMBER(-LEFT(CH500,8))),VALUE(LEFT(CH500,4)),VALUE(LEFT(CH500,FIND("-",CH500)-1)))),""))</f>
        <v/>
      </c>
      <c r="CN500">
        <f>IF(CH500="","",IFERROR(IF(AND(LEN(CH500)=9,ISERROR(FIND("-",LEFT(CH500,8))),ISNUMBER(-LEFT(CH500,8))),VALUE(MID(CH500,5,2)),VALUE(MID(CH500,FIND("-",CH500)+1,FIND("-",CH500,FIND("-",CH500)+1)-FIND("-",CH500)-1))),""))</f>
        <v/>
      </c>
      <c r="CO500">
        <f>IF(CH500="","",IFERROR(IF(AND(LEN(CH500)=9,ISERROR(FIND("-",LEFT(CH500,8))),ISNUMBER(-LEFT(CH500,8))),VALUE(MID(CH500,7,2)),VALUE(MID(CH500,FIND("-",CH500,FIND("-",CH500)+1)+1,FIND("-",CH500,FIND("-",CH500,FIND("-",CH500)+1)+1)-FIND("-",CH500,FIND("-",CH500)+1)-1))),""))</f>
        <v/>
      </c>
    </row>
    <row r="501">
      <c r="CH501">
        <f>IF(ISTEXT('월 가계부'!A501),SUBSTITUTE(SUBSTITUTE(SUBSTITUTE(SUBSTITUTE(SUBSTITUTE(SUBSTITUTE(SUBSTITUTE(SUBSTITUTE(SUBSTITUTE(TRIM('월 가계부'!A501),"년","-"),"월","-"),"일",""),".","-"),"/","-")," ","-"),"--","-"),"--","-"),"--","-")&amp;"-","")</f>
        <v/>
      </c>
      <c r="CI501">
        <f>IFERROR(IF('월 가계부'!A501="","",IF(ISNUMBER('월 가계부'!A501),IF(AND('월 가계부'!A501&gt;=19000101,'월 가계부'!A501&lt;=21001231),IF(AND(MOD(INT('월 가계부'!A501/100),100)&gt;=1,MOD(INT('월 가계부'!A501/100),100)&lt;=12,MOD(INT('월 가계부'!A501),100)&gt;=1,MOD(INT('월 가계부'!A501),100)&lt;=31),IF(MONTH(DATE(INT('월 가계부'!A501/10000),MOD(INT('월 가계부'!A501/100),100),MOD(INT('월 가계부'!A501),100)))=MOD(INT('월 가계부'!A501/100),100),DATE(INT('월 가계부'!A501/10000),MOD(INT('월 가계부'!A501/100),100),MOD(INT('월 가계부'!A501),100)),""),""),IF(AND('월 가계부'!A501&gt;=36526,'월 가계부'!A501&lt;73051),INT('월 가계부'!A501),"")),IF(OR(CM501="",CN501="",CO501=""),"",IF(AND(CM501&gt;=2000,CM501&lt;=2099,CN501&gt;=1,CN501&lt;=12,CO501&gt;=1,CO501&lt;=31),IF(MONTH(DATE(CM501,CN501,CO501))=CN501,DATE(CM501,CN501,CO501),""),"")))),"")</f>
        <v/>
      </c>
      <c r="CJ501">
        <f>IFERROR(IF('월 가계부'!C501="","",IF(ISNUMBER('월 가계부'!C501),'월 가계부'!C501,VALUE(SUBSTITUTE(SUBSTITUTE(SUBSTITUTE(SUBSTITUTE(TRIM('월 가계부'!C501),",",""),"원","")," ",""),"−","-")))),"")</f>
        <v/>
      </c>
      <c r="CK501">
        <f>IF(ISNUMBER(CI501),IF(CI501&lt;$B$13,CI501,""),"")</f>
        <v/>
      </c>
      <c r="CM501">
        <f>IF(CH501="","",IFERROR(IF(IF(AND(LEN(CH501)=9,ISERROR(FIND("-",LEFT(CH501,8))),ISNUMBER(-LEFT(CH501,8))),VALUE(LEFT(CH501,4)),VALUE(LEFT(CH501,FIND("-",CH501)-1)))&lt;100,IF(AND(LEN(CH501)=9,ISERROR(FIND("-",LEFT(CH501,8))),ISNUMBER(-LEFT(CH501,8))),VALUE(LEFT(CH501,4)),VALUE(LEFT(CH501,FIND("-",CH501)-1)))+2000,IF(AND(LEN(CH501)=9,ISERROR(FIND("-",LEFT(CH501,8))),ISNUMBER(-LEFT(CH501,8))),VALUE(LEFT(CH501,4)),VALUE(LEFT(CH501,FIND("-",CH501)-1)))),""))</f>
        <v/>
      </c>
      <c r="CN501">
        <f>IF(CH501="","",IFERROR(IF(AND(LEN(CH501)=9,ISERROR(FIND("-",LEFT(CH501,8))),ISNUMBER(-LEFT(CH501,8))),VALUE(MID(CH501,5,2)),VALUE(MID(CH501,FIND("-",CH501)+1,FIND("-",CH501,FIND("-",CH501)+1)-FIND("-",CH501)-1))),""))</f>
        <v/>
      </c>
      <c r="CO501">
        <f>IF(CH501="","",IFERROR(IF(AND(LEN(CH501)=9,ISERROR(FIND("-",LEFT(CH501,8))),ISNUMBER(-LEFT(CH501,8))),VALUE(MID(CH501,7,2)),VALUE(MID(CH501,FIND("-",CH501,FIND("-",CH501)+1)+1,FIND("-",CH501,FIND("-",CH501,FIND("-",CH501)+1)+1)-FIND("-",CH501,FIND("-",CH501)+1)-1))),""))</f>
        <v/>
      </c>
    </row>
    <row r="502">
      <c r="CH502">
        <f>IF(ISTEXT('월 가계부'!A502),SUBSTITUTE(SUBSTITUTE(SUBSTITUTE(SUBSTITUTE(SUBSTITUTE(SUBSTITUTE(SUBSTITUTE(SUBSTITUTE(SUBSTITUTE(TRIM('월 가계부'!A502),"년","-"),"월","-"),"일",""),".","-"),"/","-")," ","-"),"--","-"),"--","-"),"--","-")&amp;"-","")</f>
        <v/>
      </c>
      <c r="CI502">
        <f>IFERROR(IF('월 가계부'!A502="","",IF(ISNUMBER('월 가계부'!A502),IF(AND('월 가계부'!A502&gt;=19000101,'월 가계부'!A502&lt;=21001231),IF(AND(MOD(INT('월 가계부'!A502/100),100)&gt;=1,MOD(INT('월 가계부'!A502/100),100)&lt;=12,MOD(INT('월 가계부'!A502),100)&gt;=1,MOD(INT('월 가계부'!A502),100)&lt;=31),IF(MONTH(DATE(INT('월 가계부'!A502/10000),MOD(INT('월 가계부'!A502/100),100),MOD(INT('월 가계부'!A502),100)))=MOD(INT('월 가계부'!A502/100),100),DATE(INT('월 가계부'!A502/10000),MOD(INT('월 가계부'!A502/100),100),MOD(INT('월 가계부'!A502),100)),""),""),IF(AND('월 가계부'!A502&gt;=36526,'월 가계부'!A502&lt;73051),INT('월 가계부'!A502),"")),IF(OR(CM502="",CN502="",CO502=""),"",IF(AND(CM502&gt;=2000,CM502&lt;=2099,CN502&gt;=1,CN502&lt;=12,CO502&gt;=1,CO502&lt;=31),IF(MONTH(DATE(CM502,CN502,CO502))=CN502,DATE(CM502,CN502,CO502),""),"")))),"")</f>
        <v/>
      </c>
      <c r="CJ502">
        <f>IFERROR(IF('월 가계부'!C502="","",IF(ISNUMBER('월 가계부'!C502),'월 가계부'!C502,VALUE(SUBSTITUTE(SUBSTITUTE(SUBSTITUTE(SUBSTITUTE(TRIM('월 가계부'!C502),",",""),"원","")," ",""),"−","-")))),"")</f>
        <v/>
      </c>
      <c r="CK502">
        <f>IF(ISNUMBER(CI502),IF(CI502&lt;$B$13,CI502,""),"")</f>
        <v/>
      </c>
      <c r="CM502">
        <f>IF(CH502="","",IFERROR(IF(IF(AND(LEN(CH502)=9,ISERROR(FIND("-",LEFT(CH502,8))),ISNUMBER(-LEFT(CH502,8))),VALUE(LEFT(CH502,4)),VALUE(LEFT(CH502,FIND("-",CH502)-1)))&lt;100,IF(AND(LEN(CH502)=9,ISERROR(FIND("-",LEFT(CH502,8))),ISNUMBER(-LEFT(CH502,8))),VALUE(LEFT(CH502,4)),VALUE(LEFT(CH502,FIND("-",CH502)-1)))+2000,IF(AND(LEN(CH502)=9,ISERROR(FIND("-",LEFT(CH502,8))),ISNUMBER(-LEFT(CH502,8))),VALUE(LEFT(CH502,4)),VALUE(LEFT(CH502,FIND("-",CH502)-1)))),""))</f>
        <v/>
      </c>
      <c r="CN502">
        <f>IF(CH502="","",IFERROR(IF(AND(LEN(CH502)=9,ISERROR(FIND("-",LEFT(CH502,8))),ISNUMBER(-LEFT(CH502,8))),VALUE(MID(CH502,5,2)),VALUE(MID(CH502,FIND("-",CH502)+1,FIND("-",CH502,FIND("-",CH502)+1)-FIND("-",CH502)-1))),""))</f>
        <v/>
      </c>
      <c r="CO502">
        <f>IF(CH502="","",IFERROR(IF(AND(LEN(CH502)=9,ISERROR(FIND("-",LEFT(CH502,8))),ISNUMBER(-LEFT(CH502,8))),VALUE(MID(CH502,7,2)),VALUE(MID(CH502,FIND("-",CH502,FIND("-",CH502)+1)+1,FIND("-",CH502,FIND("-",CH502,FIND("-",CH502)+1)+1)-FIND("-",CH502,FIND("-",CH502)+1)-1))),""))</f>
        <v/>
      </c>
    </row>
    <row r="503">
      <c r="CH503">
        <f>IF(ISTEXT('월 가계부'!A503),SUBSTITUTE(SUBSTITUTE(SUBSTITUTE(SUBSTITUTE(SUBSTITUTE(SUBSTITUTE(SUBSTITUTE(SUBSTITUTE(SUBSTITUTE(TRIM('월 가계부'!A503),"년","-"),"월","-"),"일",""),".","-"),"/","-")," ","-"),"--","-"),"--","-"),"--","-")&amp;"-","")</f>
        <v/>
      </c>
      <c r="CI503">
        <f>IFERROR(IF('월 가계부'!A503="","",IF(ISNUMBER('월 가계부'!A503),IF(AND('월 가계부'!A503&gt;=19000101,'월 가계부'!A503&lt;=21001231),IF(AND(MOD(INT('월 가계부'!A503/100),100)&gt;=1,MOD(INT('월 가계부'!A503/100),100)&lt;=12,MOD(INT('월 가계부'!A503),100)&gt;=1,MOD(INT('월 가계부'!A503),100)&lt;=31),IF(MONTH(DATE(INT('월 가계부'!A503/10000),MOD(INT('월 가계부'!A503/100),100),MOD(INT('월 가계부'!A503),100)))=MOD(INT('월 가계부'!A503/100),100),DATE(INT('월 가계부'!A503/10000),MOD(INT('월 가계부'!A503/100),100),MOD(INT('월 가계부'!A503),100)),""),""),IF(AND('월 가계부'!A503&gt;=36526,'월 가계부'!A503&lt;73051),INT('월 가계부'!A503),"")),IF(OR(CM503="",CN503="",CO503=""),"",IF(AND(CM503&gt;=2000,CM503&lt;=2099,CN503&gt;=1,CN503&lt;=12,CO503&gt;=1,CO503&lt;=31),IF(MONTH(DATE(CM503,CN503,CO503))=CN503,DATE(CM503,CN503,CO503),""),"")))),"")</f>
        <v/>
      </c>
      <c r="CJ503">
        <f>IFERROR(IF('월 가계부'!C503="","",IF(ISNUMBER('월 가계부'!C503),'월 가계부'!C503,VALUE(SUBSTITUTE(SUBSTITUTE(SUBSTITUTE(SUBSTITUTE(TRIM('월 가계부'!C503),",",""),"원","")," ",""),"−","-")))),"")</f>
        <v/>
      </c>
      <c r="CK503">
        <f>IF(ISNUMBER(CI503),IF(CI503&lt;$B$13,CI503,""),"")</f>
        <v/>
      </c>
      <c r="CM503">
        <f>IF(CH503="","",IFERROR(IF(IF(AND(LEN(CH503)=9,ISERROR(FIND("-",LEFT(CH503,8))),ISNUMBER(-LEFT(CH503,8))),VALUE(LEFT(CH503,4)),VALUE(LEFT(CH503,FIND("-",CH503)-1)))&lt;100,IF(AND(LEN(CH503)=9,ISERROR(FIND("-",LEFT(CH503,8))),ISNUMBER(-LEFT(CH503,8))),VALUE(LEFT(CH503,4)),VALUE(LEFT(CH503,FIND("-",CH503)-1)))+2000,IF(AND(LEN(CH503)=9,ISERROR(FIND("-",LEFT(CH503,8))),ISNUMBER(-LEFT(CH503,8))),VALUE(LEFT(CH503,4)),VALUE(LEFT(CH503,FIND("-",CH503)-1)))),""))</f>
        <v/>
      </c>
      <c r="CN503">
        <f>IF(CH503="","",IFERROR(IF(AND(LEN(CH503)=9,ISERROR(FIND("-",LEFT(CH503,8))),ISNUMBER(-LEFT(CH503,8))),VALUE(MID(CH503,5,2)),VALUE(MID(CH503,FIND("-",CH503)+1,FIND("-",CH503,FIND("-",CH503)+1)-FIND("-",CH503)-1))),""))</f>
        <v/>
      </c>
      <c r="CO503">
        <f>IF(CH503="","",IFERROR(IF(AND(LEN(CH503)=9,ISERROR(FIND("-",LEFT(CH503,8))),ISNUMBER(-LEFT(CH503,8))),VALUE(MID(CH503,7,2)),VALUE(MID(CH503,FIND("-",CH503,FIND("-",CH503)+1)+1,FIND("-",CH503,FIND("-",CH503,FIND("-",CH503)+1)+1)-FIND("-",CH503,FIND("-",CH503)+1)-1))),""))</f>
        <v/>
      </c>
    </row>
    <row r="504">
      <c r="CH504">
        <f>IF(ISTEXT('월 가계부'!A504),SUBSTITUTE(SUBSTITUTE(SUBSTITUTE(SUBSTITUTE(SUBSTITUTE(SUBSTITUTE(SUBSTITUTE(SUBSTITUTE(SUBSTITUTE(TRIM('월 가계부'!A504),"년","-"),"월","-"),"일",""),".","-"),"/","-")," ","-"),"--","-"),"--","-"),"--","-")&amp;"-","")</f>
        <v/>
      </c>
      <c r="CI504">
        <f>IFERROR(IF('월 가계부'!A504="","",IF(ISNUMBER('월 가계부'!A504),IF(AND('월 가계부'!A504&gt;=19000101,'월 가계부'!A504&lt;=21001231),IF(AND(MOD(INT('월 가계부'!A504/100),100)&gt;=1,MOD(INT('월 가계부'!A504/100),100)&lt;=12,MOD(INT('월 가계부'!A504),100)&gt;=1,MOD(INT('월 가계부'!A504),100)&lt;=31),IF(MONTH(DATE(INT('월 가계부'!A504/10000),MOD(INT('월 가계부'!A504/100),100),MOD(INT('월 가계부'!A504),100)))=MOD(INT('월 가계부'!A504/100),100),DATE(INT('월 가계부'!A504/10000),MOD(INT('월 가계부'!A504/100),100),MOD(INT('월 가계부'!A504),100)),""),""),IF(AND('월 가계부'!A504&gt;=36526,'월 가계부'!A504&lt;73051),INT('월 가계부'!A504),"")),IF(OR(CM504="",CN504="",CO504=""),"",IF(AND(CM504&gt;=2000,CM504&lt;=2099,CN504&gt;=1,CN504&lt;=12,CO504&gt;=1,CO504&lt;=31),IF(MONTH(DATE(CM504,CN504,CO504))=CN504,DATE(CM504,CN504,CO504),""),"")))),"")</f>
        <v/>
      </c>
      <c r="CJ504">
        <f>IFERROR(IF('월 가계부'!C504="","",IF(ISNUMBER('월 가계부'!C504),'월 가계부'!C504,VALUE(SUBSTITUTE(SUBSTITUTE(SUBSTITUTE(SUBSTITUTE(TRIM('월 가계부'!C504),",",""),"원","")," ",""),"−","-")))),"")</f>
        <v/>
      </c>
      <c r="CK504">
        <f>IF(ISNUMBER(CI504),IF(CI504&lt;$B$13,CI504,""),"")</f>
        <v/>
      </c>
      <c r="CM504">
        <f>IF(CH504="","",IFERROR(IF(IF(AND(LEN(CH504)=9,ISERROR(FIND("-",LEFT(CH504,8))),ISNUMBER(-LEFT(CH504,8))),VALUE(LEFT(CH504,4)),VALUE(LEFT(CH504,FIND("-",CH504)-1)))&lt;100,IF(AND(LEN(CH504)=9,ISERROR(FIND("-",LEFT(CH504,8))),ISNUMBER(-LEFT(CH504,8))),VALUE(LEFT(CH504,4)),VALUE(LEFT(CH504,FIND("-",CH504)-1)))+2000,IF(AND(LEN(CH504)=9,ISERROR(FIND("-",LEFT(CH504,8))),ISNUMBER(-LEFT(CH504,8))),VALUE(LEFT(CH504,4)),VALUE(LEFT(CH504,FIND("-",CH504)-1)))),""))</f>
        <v/>
      </c>
      <c r="CN504">
        <f>IF(CH504="","",IFERROR(IF(AND(LEN(CH504)=9,ISERROR(FIND("-",LEFT(CH504,8))),ISNUMBER(-LEFT(CH504,8))),VALUE(MID(CH504,5,2)),VALUE(MID(CH504,FIND("-",CH504)+1,FIND("-",CH504,FIND("-",CH504)+1)-FIND("-",CH504)-1))),""))</f>
        <v/>
      </c>
      <c r="CO504">
        <f>IF(CH504="","",IFERROR(IF(AND(LEN(CH504)=9,ISERROR(FIND("-",LEFT(CH504,8))),ISNUMBER(-LEFT(CH504,8))),VALUE(MID(CH504,7,2)),VALUE(MID(CH504,FIND("-",CH504,FIND("-",CH504)+1)+1,FIND("-",CH504,FIND("-",CH504,FIND("-",CH504)+1)+1)-FIND("-",CH504,FIND("-",CH504)+1)-1))),""))</f>
        <v/>
      </c>
    </row>
    <row r="505">
      <c r="CH505">
        <f>IF(ISTEXT('월 가계부'!A505),SUBSTITUTE(SUBSTITUTE(SUBSTITUTE(SUBSTITUTE(SUBSTITUTE(SUBSTITUTE(SUBSTITUTE(SUBSTITUTE(SUBSTITUTE(TRIM('월 가계부'!A505),"년","-"),"월","-"),"일",""),".","-"),"/","-")," ","-"),"--","-"),"--","-"),"--","-")&amp;"-","")</f>
        <v/>
      </c>
      <c r="CI505">
        <f>IFERROR(IF('월 가계부'!A505="","",IF(ISNUMBER('월 가계부'!A505),IF(AND('월 가계부'!A505&gt;=19000101,'월 가계부'!A505&lt;=21001231),IF(AND(MOD(INT('월 가계부'!A505/100),100)&gt;=1,MOD(INT('월 가계부'!A505/100),100)&lt;=12,MOD(INT('월 가계부'!A505),100)&gt;=1,MOD(INT('월 가계부'!A505),100)&lt;=31),IF(MONTH(DATE(INT('월 가계부'!A505/10000),MOD(INT('월 가계부'!A505/100),100),MOD(INT('월 가계부'!A505),100)))=MOD(INT('월 가계부'!A505/100),100),DATE(INT('월 가계부'!A505/10000),MOD(INT('월 가계부'!A505/100),100),MOD(INT('월 가계부'!A505),100)),""),""),IF(AND('월 가계부'!A505&gt;=36526,'월 가계부'!A505&lt;73051),INT('월 가계부'!A505),"")),IF(OR(CM505="",CN505="",CO505=""),"",IF(AND(CM505&gt;=2000,CM505&lt;=2099,CN505&gt;=1,CN505&lt;=12,CO505&gt;=1,CO505&lt;=31),IF(MONTH(DATE(CM505,CN505,CO505))=CN505,DATE(CM505,CN505,CO505),""),"")))),"")</f>
        <v/>
      </c>
      <c r="CJ505">
        <f>IFERROR(IF('월 가계부'!C505="","",IF(ISNUMBER('월 가계부'!C505),'월 가계부'!C505,VALUE(SUBSTITUTE(SUBSTITUTE(SUBSTITUTE(SUBSTITUTE(TRIM('월 가계부'!C505),",",""),"원","")," ",""),"−","-")))),"")</f>
        <v/>
      </c>
      <c r="CK505">
        <f>IF(ISNUMBER(CI505),IF(CI505&lt;$B$13,CI505,""),"")</f>
        <v/>
      </c>
      <c r="CM505">
        <f>IF(CH505="","",IFERROR(IF(IF(AND(LEN(CH505)=9,ISERROR(FIND("-",LEFT(CH505,8))),ISNUMBER(-LEFT(CH505,8))),VALUE(LEFT(CH505,4)),VALUE(LEFT(CH505,FIND("-",CH505)-1)))&lt;100,IF(AND(LEN(CH505)=9,ISERROR(FIND("-",LEFT(CH505,8))),ISNUMBER(-LEFT(CH505,8))),VALUE(LEFT(CH505,4)),VALUE(LEFT(CH505,FIND("-",CH505)-1)))+2000,IF(AND(LEN(CH505)=9,ISERROR(FIND("-",LEFT(CH505,8))),ISNUMBER(-LEFT(CH505,8))),VALUE(LEFT(CH505,4)),VALUE(LEFT(CH505,FIND("-",CH505)-1)))),""))</f>
        <v/>
      </c>
      <c r="CN505">
        <f>IF(CH505="","",IFERROR(IF(AND(LEN(CH505)=9,ISERROR(FIND("-",LEFT(CH505,8))),ISNUMBER(-LEFT(CH505,8))),VALUE(MID(CH505,5,2)),VALUE(MID(CH505,FIND("-",CH505)+1,FIND("-",CH505,FIND("-",CH505)+1)-FIND("-",CH505)-1))),""))</f>
        <v/>
      </c>
      <c r="CO505">
        <f>IF(CH505="","",IFERROR(IF(AND(LEN(CH505)=9,ISERROR(FIND("-",LEFT(CH505,8))),ISNUMBER(-LEFT(CH505,8))),VALUE(MID(CH505,7,2)),VALUE(MID(CH505,FIND("-",CH505,FIND("-",CH505)+1)+1,FIND("-",CH505,FIND("-",CH505,FIND("-",CH505)+1)+1)-FIND("-",CH505,FIND("-",CH505)+1)-1))),""))</f>
        <v/>
      </c>
    </row>
    <row r="506">
      <c r="CH506">
        <f>IF(ISTEXT('월 가계부'!A506),SUBSTITUTE(SUBSTITUTE(SUBSTITUTE(SUBSTITUTE(SUBSTITUTE(SUBSTITUTE(SUBSTITUTE(SUBSTITUTE(SUBSTITUTE(TRIM('월 가계부'!A506),"년","-"),"월","-"),"일",""),".","-"),"/","-")," ","-"),"--","-"),"--","-"),"--","-")&amp;"-","")</f>
        <v/>
      </c>
      <c r="CI506">
        <f>IFERROR(IF('월 가계부'!A506="","",IF(ISNUMBER('월 가계부'!A506),IF(AND('월 가계부'!A506&gt;=19000101,'월 가계부'!A506&lt;=21001231),IF(AND(MOD(INT('월 가계부'!A506/100),100)&gt;=1,MOD(INT('월 가계부'!A506/100),100)&lt;=12,MOD(INT('월 가계부'!A506),100)&gt;=1,MOD(INT('월 가계부'!A506),100)&lt;=31),IF(MONTH(DATE(INT('월 가계부'!A506/10000),MOD(INT('월 가계부'!A506/100),100),MOD(INT('월 가계부'!A506),100)))=MOD(INT('월 가계부'!A506/100),100),DATE(INT('월 가계부'!A506/10000),MOD(INT('월 가계부'!A506/100),100),MOD(INT('월 가계부'!A506),100)),""),""),IF(AND('월 가계부'!A506&gt;=36526,'월 가계부'!A506&lt;73051),INT('월 가계부'!A506),"")),IF(OR(CM506="",CN506="",CO506=""),"",IF(AND(CM506&gt;=2000,CM506&lt;=2099,CN506&gt;=1,CN506&lt;=12,CO506&gt;=1,CO506&lt;=31),IF(MONTH(DATE(CM506,CN506,CO506))=CN506,DATE(CM506,CN506,CO506),""),"")))),"")</f>
        <v/>
      </c>
      <c r="CJ506">
        <f>IFERROR(IF('월 가계부'!C506="","",IF(ISNUMBER('월 가계부'!C506),'월 가계부'!C506,VALUE(SUBSTITUTE(SUBSTITUTE(SUBSTITUTE(SUBSTITUTE(TRIM('월 가계부'!C506),",",""),"원","")," ",""),"−","-")))),"")</f>
        <v/>
      </c>
      <c r="CK506">
        <f>IF(ISNUMBER(CI506),IF(CI506&lt;$B$13,CI506,""),"")</f>
        <v/>
      </c>
      <c r="CM506">
        <f>IF(CH506="","",IFERROR(IF(IF(AND(LEN(CH506)=9,ISERROR(FIND("-",LEFT(CH506,8))),ISNUMBER(-LEFT(CH506,8))),VALUE(LEFT(CH506,4)),VALUE(LEFT(CH506,FIND("-",CH506)-1)))&lt;100,IF(AND(LEN(CH506)=9,ISERROR(FIND("-",LEFT(CH506,8))),ISNUMBER(-LEFT(CH506,8))),VALUE(LEFT(CH506,4)),VALUE(LEFT(CH506,FIND("-",CH506)-1)))+2000,IF(AND(LEN(CH506)=9,ISERROR(FIND("-",LEFT(CH506,8))),ISNUMBER(-LEFT(CH506,8))),VALUE(LEFT(CH506,4)),VALUE(LEFT(CH506,FIND("-",CH506)-1)))),""))</f>
        <v/>
      </c>
      <c r="CN506">
        <f>IF(CH506="","",IFERROR(IF(AND(LEN(CH506)=9,ISERROR(FIND("-",LEFT(CH506,8))),ISNUMBER(-LEFT(CH506,8))),VALUE(MID(CH506,5,2)),VALUE(MID(CH506,FIND("-",CH506)+1,FIND("-",CH506,FIND("-",CH506)+1)-FIND("-",CH506)-1))),""))</f>
        <v/>
      </c>
      <c r="CO506">
        <f>IF(CH506="","",IFERROR(IF(AND(LEN(CH506)=9,ISERROR(FIND("-",LEFT(CH506,8))),ISNUMBER(-LEFT(CH506,8))),VALUE(MID(CH506,7,2)),VALUE(MID(CH506,FIND("-",CH506,FIND("-",CH506)+1)+1,FIND("-",CH506,FIND("-",CH506,FIND("-",CH506)+1)+1)-FIND("-",CH506,FIND("-",CH506)+1)-1))),""))</f>
        <v/>
      </c>
    </row>
    <row r="507">
      <c r="CH507">
        <f>IF(ISTEXT('월 가계부'!A507),SUBSTITUTE(SUBSTITUTE(SUBSTITUTE(SUBSTITUTE(SUBSTITUTE(SUBSTITUTE(SUBSTITUTE(SUBSTITUTE(SUBSTITUTE(TRIM('월 가계부'!A507),"년","-"),"월","-"),"일",""),".","-"),"/","-")," ","-"),"--","-"),"--","-"),"--","-")&amp;"-","")</f>
        <v/>
      </c>
      <c r="CI507">
        <f>IFERROR(IF('월 가계부'!A507="","",IF(ISNUMBER('월 가계부'!A507),IF(AND('월 가계부'!A507&gt;=19000101,'월 가계부'!A507&lt;=21001231),IF(AND(MOD(INT('월 가계부'!A507/100),100)&gt;=1,MOD(INT('월 가계부'!A507/100),100)&lt;=12,MOD(INT('월 가계부'!A507),100)&gt;=1,MOD(INT('월 가계부'!A507),100)&lt;=31),IF(MONTH(DATE(INT('월 가계부'!A507/10000),MOD(INT('월 가계부'!A507/100),100),MOD(INT('월 가계부'!A507),100)))=MOD(INT('월 가계부'!A507/100),100),DATE(INT('월 가계부'!A507/10000),MOD(INT('월 가계부'!A507/100),100),MOD(INT('월 가계부'!A507),100)),""),""),IF(AND('월 가계부'!A507&gt;=36526,'월 가계부'!A507&lt;73051),INT('월 가계부'!A507),"")),IF(OR(CM507="",CN507="",CO507=""),"",IF(AND(CM507&gt;=2000,CM507&lt;=2099,CN507&gt;=1,CN507&lt;=12,CO507&gt;=1,CO507&lt;=31),IF(MONTH(DATE(CM507,CN507,CO507))=CN507,DATE(CM507,CN507,CO507),""),"")))),"")</f>
        <v/>
      </c>
      <c r="CJ507">
        <f>IFERROR(IF('월 가계부'!C507="","",IF(ISNUMBER('월 가계부'!C507),'월 가계부'!C507,VALUE(SUBSTITUTE(SUBSTITUTE(SUBSTITUTE(SUBSTITUTE(TRIM('월 가계부'!C507),",",""),"원","")," ",""),"−","-")))),"")</f>
        <v/>
      </c>
      <c r="CK507">
        <f>IF(ISNUMBER(CI507),IF(CI507&lt;$B$13,CI507,""),"")</f>
        <v/>
      </c>
      <c r="CM507">
        <f>IF(CH507="","",IFERROR(IF(IF(AND(LEN(CH507)=9,ISERROR(FIND("-",LEFT(CH507,8))),ISNUMBER(-LEFT(CH507,8))),VALUE(LEFT(CH507,4)),VALUE(LEFT(CH507,FIND("-",CH507)-1)))&lt;100,IF(AND(LEN(CH507)=9,ISERROR(FIND("-",LEFT(CH507,8))),ISNUMBER(-LEFT(CH507,8))),VALUE(LEFT(CH507,4)),VALUE(LEFT(CH507,FIND("-",CH507)-1)))+2000,IF(AND(LEN(CH507)=9,ISERROR(FIND("-",LEFT(CH507,8))),ISNUMBER(-LEFT(CH507,8))),VALUE(LEFT(CH507,4)),VALUE(LEFT(CH507,FIND("-",CH507)-1)))),""))</f>
        <v/>
      </c>
      <c r="CN507">
        <f>IF(CH507="","",IFERROR(IF(AND(LEN(CH507)=9,ISERROR(FIND("-",LEFT(CH507,8))),ISNUMBER(-LEFT(CH507,8))),VALUE(MID(CH507,5,2)),VALUE(MID(CH507,FIND("-",CH507)+1,FIND("-",CH507,FIND("-",CH507)+1)-FIND("-",CH507)-1))),""))</f>
        <v/>
      </c>
      <c r="CO507">
        <f>IF(CH507="","",IFERROR(IF(AND(LEN(CH507)=9,ISERROR(FIND("-",LEFT(CH507,8))),ISNUMBER(-LEFT(CH507,8))),VALUE(MID(CH507,7,2)),VALUE(MID(CH507,FIND("-",CH507,FIND("-",CH507)+1)+1,FIND("-",CH507,FIND("-",CH507,FIND("-",CH507)+1)+1)-FIND("-",CH507,FIND("-",CH507)+1)-1))),""))</f>
        <v/>
      </c>
    </row>
    <row r="508">
      <c r="CH508">
        <f>IF(ISTEXT('월 가계부'!A508),SUBSTITUTE(SUBSTITUTE(SUBSTITUTE(SUBSTITUTE(SUBSTITUTE(SUBSTITUTE(SUBSTITUTE(SUBSTITUTE(SUBSTITUTE(TRIM('월 가계부'!A508),"년","-"),"월","-"),"일",""),".","-"),"/","-")," ","-"),"--","-"),"--","-"),"--","-")&amp;"-","")</f>
        <v/>
      </c>
      <c r="CI508">
        <f>IFERROR(IF('월 가계부'!A508="","",IF(ISNUMBER('월 가계부'!A508),IF(AND('월 가계부'!A508&gt;=19000101,'월 가계부'!A508&lt;=21001231),IF(AND(MOD(INT('월 가계부'!A508/100),100)&gt;=1,MOD(INT('월 가계부'!A508/100),100)&lt;=12,MOD(INT('월 가계부'!A508),100)&gt;=1,MOD(INT('월 가계부'!A508),100)&lt;=31),IF(MONTH(DATE(INT('월 가계부'!A508/10000),MOD(INT('월 가계부'!A508/100),100),MOD(INT('월 가계부'!A508),100)))=MOD(INT('월 가계부'!A508/100),100),DATE(INT('월 가계부'!A508/10000),MOD(INT('월 가계부'!A508/100),100),MOD(INT('월 가계부'!A508),100)),""),""),IF(AND('월 가계부'!A508&gt;=36526,'월 가계부'!A508&lt;73051),INT('월 가계부'!A508),"")),IF(OR(CM508="",CN508="",CO508=""),"",IF(AND(CM508&gt;=2000,CM508&lt;=2099,CN508&gt;=1,CN508&lt;=12,CO508&gt;=1,CO508&lt;=31),IF(MONTH(DATE(CM508,CN508,CO508))=CN508,DATE(CM508,CN508,CO508),""),"")))),"")</f>
        <v/>
      </c>
      <c r="CJ508">
        <f>IFERROR(IF('월 가계부'!C508="","",IF(ISNUMBER('월 가계부'!C508),'월 가계부'!C508,VALUE(SUBSTITUTE(SUBSTITUTE(SUBSTITUTE(SUBSTITUTE(TRIM('월 가계부'!C508),",",""),"원","")," ",""),"−","-")))),"")</f>
        <v/>
      </c>
      <c r="CK508">
        <f>IF(ISNUMBER(CI508),IF(CI508&lt;$B$13,CI508,""),"")</f>
        <v/>
      </c>
      <c r="CM508">
        <f>IF(CH508="","",IFERROR(IF(IF(AND(LEN(CH508)=9,ISERROR(FIND("-",LEFT(CH508,8))),ISNUMBER(-LEFT(CH508,8))),VALUE(LEFT(CH508,4)),VALUE(LEFT(CH508,FIND("-",CH508)-1)))&lt;100,IF(AND(LEN(CH508)=9,ISERROR(FIND("-",LEFT(CH508,8))),ISNUMBER(-LEFT(CH508,8))),VALUE(LEFT(CH508,4)),VALUE(LEFT(CH508,FIND("-",CH508)-1)))+2000,IF(AND(LEN(CH508)=9,ISERROR(FIND("-",LEFT(CH508,8))),ISNUMBER(-LEFT(CH508,8))),VALUE(LEFT(CH508,4)),VALUE(LEFT(CH508,FIND("-",CH508)-1)))),""))</f>
        <v/>
      </c>
      <c r="CN508">
        <f>IF(CH508="","",IFERROR(IF(AND(LEN(CH508)=9,ISERROR(FIND("-",LEFT(CH508,8))),ISNUMBER(-LEFT(CH508,8))),VALUE(MID(CH508,5,2)),VALUE(MID(CH508,FIND("-",CH508)+1,FIND("-",CH508,FIND("-",CH508)+1)-FIND("-",CH508)-1))),""))</f>
        <v/>
      </c>
      <c r="CO508">
        <f>IF(CH508="","",IFERROR(IF(AND(LEN(CH508)=9,ISERROR(FIND("-",LEFT(CH508,8))),ISNUMBER(-LEFT(CH508,8))),VALUE(MID(CH508,7,2)),VALUE(MID(CH508,FIND("-",CH508,FIND("-",CH508)+1)+1,FIND("-",CH508,FIND("-",CH508,FIND("-",CH508)+1)+1)-FIND("-",CH508,FIND("-",CH508)+1)-1))),""))</f>
        <v/>
      </c>
    </row>
    <row r="509">
      <c r="CH509">
        <f>IF(ISTEXT('월 가계부'!A509),SUBSTITUTE(SUBSTITUTE(SUBSTITUTE(SUBSTITUTE(SUBSTITUTE(SUBSTITUTE(SUBSTITUTE(SUBSTITUTE(SUBSTITUTE(TRIM('월 가계부'!A509),"년","-"),"월","-"),"일",""),".","-"),"/","-")," ","-"),"--","-"),"--","-"),"--","-")&amp;"-","")</f>
        <v/>
      </c>
      <c r="CI509">
        <f>IFERROR(IF('월 가계부'!A509="","",IF(ISNUMBER('월 가계부'!A509),IF(AND('월 가계부'!A509&gt;=19000101,'월 가계부'!A509&lt;=21001231),IF(AND(MOD(INT('월 가계부'!A509/100),100)&gt;=1,MOD(INT('월 가계부'!A509/100),100)&lt;=12,MOD(INT('월 가계부'!A509),100)&gt;=1,MOD(INT('월 가계부'!A509),100)&lt;=31),IF(MONTH(DATE(INT('월 가계부'!A509/10000),MOD(INT('월 가계부'!A509/100),100),MOD(INT('월 가계부'!A509),100)))=MOD(INT('월 가계부'!A509/100),100),DATE(INT('월 가계부'!A509/10000),MOD(INT('월 가계부'!A509/100),100),MOD(INT('월 가계부'!A509),100)),""),""),IF(AND('월 가계부'!A509&gt;=36526,'월 가계부'!A509&lt;73051),INT('월 가계부'!A509),"")),IF(OR(CM509="",CN509="",CO509=""),"",IF(AND(CM509&gt;=2000,CM509&lt;=2099,CN509&gt;=1,CN509&lt;=12,CO509&gt;=1,CO509&lt;=31),IF(MONTH(DATE(CM509,CN509,CO509))=CN509,DATE(CM509,CN509,CO509),""),"")))),"")</f>
        <v/>
      </c>
      <c r="CJ509">
        <f>IFERROR(IF('월 가계부'!C509="","",IF(ISNUMBER('월 가계부'!C509),'월 가계부'!C509,VALUE(SUBSTITUTE(SUBSTITUTE(SUBSTITUTE(SUBSTITUTE(TRIM('월 가계부'!C509),",",""),"원","")," ",""),"−","-")))),"")</f>
        <v/>
      </c>
      <c r="CK509">
        <f>IF(ISNUMBER(CI509),IF(CI509&lt;$B$13,CI509,""),"")</f>
        <v/>
      </c>
      <c r="CM509">
        <f>IF(CH509="","",IFERROR(IF(IF(AND(LEN(CH509)=9,ISERROR(FIND("-",LEFT(CH509,8))),ISNUMBER(-LEFT(CH509,8))),VALUE(LEFT(CH509,4)),VALUE(LEFT(CH509,FIND("-",CH509)-1)))&lt;100,IF(AND(LEN(CH509)=9,ISERROR(FIND("-",LEFT(CH509,8))),ISNUMBER(-LEFT(CH509,8))),VALUE(LEFT(CH509,4)),VALUE(LEFT(CH509,FIND("-",CH509)-1)))+2000,IF(AND(LEN(CH509)=9,ISERROR(FIND("-",LEFT(CH509,8))),ISNUMBER(-LEFT(CH509,8))),VALUE(LEFT(CH509,4)),VALUE(LEFT(CH509,FIND("-",CH509)-1)))),""))</f>
        <v/>
      </c>
      <c r="CN509">
        <f>IF(CH509="","",IFERROR(IF(AND(LEN(CH509)=9,ISERROR(FIND("-",LEFT(CH509,8))),ISNUMBER(-LEFT(CH509,8))),VALUE(MID(CH509,5,2)),VALUE(MID(CH509,FIND("-",CH509)+1,FIND("-",CH509,FIND("-",CH509)+1)-FIND("-",CH509)-1))),""))</f>
        <v/>
      </c>
      <c r="CO509">
        <f>IF(CH509="","",IFERROR(IF(AND(LEN(CH509)=9,ISERROR(FIND("-",LEFT(CH509,8))),ISNUMBER(-LEFT(CH509,8))),VALUE(MID(CH509,7,2)),VALUE(MID(CH509,FIND("-",CH509,FIND("-",CH509)+1)+1,FIND("-",CH509,FIND("-",CH509,FIND("-",CH509)+1)+1)-FIND("-",CH509,FIND("-",CH509)+1)-1))),""))</f>
        <v/>
      </c>
    </row>
    <row r="510">
      <c r="CH510">
        <f>IF(ISTEXT('월 가계부'!A510),SUBSTITUTE(SUBSTITUTE(SUBSTITUTE(SUBSTITUTE(SUBSTITUTE(SUBSTITUTE(SUBSTITUTE(SUBSTITUTE(SUBSTITUTE(TRIM('월 가계부'!A510),"년","-"),"월","-"),"일",""),".","-"),"/","-")," ","-"),"--","-"),"--","-"),"--","-")&amp;"-","")</f>
        <v/>
      </c>
      <c r="CI510">
        <f>IFERROR(IF('월 가계부'!A510="","",IF(ISNUMBER('월 가계부'!A510),IF(AND('월 가계부'!A510&gt;=19000101,'월 가계부'!A510&lt;=21001231),IF(AND(MOD(INT('월 가계부'!A510/100),100)&gt;=1,MOD(INT('월 가계부'!A510/100),100)&lt;=12,MOD(INT('월 가계부'!A510),100)&gt;=1,MOD(INT('월 가계부'!A510),100)&lt;=31),IF(MONTH(DATE(INT('월 가계부'!A510/10000),MOD(INT('월 가계부'!A510/100),100),MOD(INT('월 가계부'!A510),100)))=MOD(INT('월 가계부'!A510/100),100),DATE(INT('월 가계부'!A510/10000),MOD(INT('월 가계부'!A510/100),100),MOD(INT('월 가계부'!A510),100)),""),""),IF(AND('월 가계부'!A510&gt;=36526,'월 가계부'!A510&lt;73051),INT('월 가계부'!A510),"")),IF(OR(CM510="",CN510="",CO510=""),"",IF(AND(CM510&gt;=2000,CM510&lt;=2099,CN510&gt;=1,CN510&lt;=12,CO510&gt;=1,CO510&lt;=31),IF(MONTH(DATE(CM510,CN510,CO510))=CN510,DATE(CM510,CN510,CO510),""),"")))),"")</f>
        <v/>
      </c>
      <c r="CJ510">
        <f>IFERROR(IF('월 가계부'!C510="","",IF(ISNUMBER('월 가계부'!C510),'월 가계부'!C510,VALUE(SUBSTITUTE(SUBSTITUTE(SUBSTITUTE(SUBSTITUTE(TRIM('월 가계부'!C510),",",""),"원","")," ",""),"−","-")))),"")</f>
        <v/>
      </c>
      <c r="CK510">
        <f>IF(ISNUMBER(CI510),IF(CI510&lt;$B$13,CI510,""),"")</f>
        <v/>
      </c>
      <c r="CM510">
        <f>IF(CH510="","",IFERROR(IF(IF(AND(LEN(CH510)=9,ISERROR(FIND("-",LEFT(CH510,8))),ISNUMBER(-LEFT(CH510,8))),VALUE(LEFT(CH510,4)),VALUE(LEFT(CH510,FIND("-",CH510)-1)))&lt;100,IF(AND(LEN(CH510)=9,ISERROR(FIND("-",LEFT(CH510,8))),ISNUMBER(-LEFT(CH510,8))),VALUE(LEFT(CH510,4)),VALUE(LEFT(CH510,FIND("-",CH510)-1)))+2000,IF(AND(LEN(CH510)=9,ISERROR(FIND("-",LEFT(CH510,8))),ISNUMBER(-LEFT(CH510,8))),VALUE(LEFT(CH510,4)),VALUE(LEFT(CH510,FIND("-",CH510)-1)))),""))</f>
        <v/>
      </c>
      <c r="CN510">
        <f>IF(CH510="","",IFERROR(IF(AND(LEN(CH510)=9,ISERROR(FIND("-",LEFT(CH510,8))),ISNUMBER(-LEFT(CH510,8))),VALUE(MID(CH510,5,2)),VALUE(MID(CH510,FIND("-",CH510)+1,FIND("-",CH510,FIND("-",CH510)+1)-FIND("-",CH510)-1))),""))</f>
        <v/>
      </c>
      <c r="CO510">
        <f>IF(CH510="","",IFERROR(IF(AND(LEN(CH510)=9,ISERROR(FIND("-",LEFT(CH510,8))),ISNUMBER(-LEFT(CH510,8))),VALUE(MID(CH510,7,2)),VALUE(MID(CH510,FIND("-",CH510,FIND("-",CH510)+1)+1,FIND("-",CH510,FIND("-",CH510,FIND("-",CH510)+1)+1)-FIND("-",CH510,FIND("-",CH510)+1)-1))),""))</f>
        <v/>
      </c>
    </row>
    <row r="511">
      <c r="CH511">
        <f>IF(ISTEXT('월 가계부'!A511),SUBSTITUTE(SUBSTITUTE(SUBSTITUTE(SUBSTITUTE(SUBSTITUTE(SUBSTITUTE(SUBSTITUTE(SUBSTITUTE(SUBSTITUTE(TRIM('월 가계부'!A511),"년","-"),"월","-"),"일",""),".","-"),"/","-")," ","-"),"--","-"),"--","-"),"--","-")&amp;"-","")</f>
        <v/>
      </c>
      <c r="CI511">
        <f>IFERROR(IF('월 가계부'!A511="","",IF(ISNUMBER('월 가계부'!A511),IF(AND('월 가계부'!A511&gt;=19000101,'월 가계부'!A511&lt;=21001231),IF(AND(MOD(INT('월 가계부'!A511/100),100)&gt;=1,MOD(INT('월 가계부'!A511/100),100)&lt;=12,MOD(INT('월 가계부'!A511),100)&gt;=1,MOD(INT('월 가계부'!A511),100)&lt;=31),IF(MONTH(DATE(INT('월 가계부'!A511/10000),MOD(INT('월 가계부'!A511/100),100),MOD(INT('월 가계부'!A511),100)))=MOD(INT('월 가계부'!A511/100),100),DATE(INT('월 가계부'!A511/10000),MOD(INT('월 가계부'!A511/100),100),MOD(INT('월 가계부'!A511),100)),""),""),IF(AND('월 가계부'!A511&gt;=36526,'월 가계부'!A511&lt;73051),INT('월 가계부'!A511),"")),IF(OR(CM511="",CN511="",CO511=""),"",IF(AND(CM511&gt;=2000,CM511&lt;=2099,CN511&gt;=1,CN511&lt;=12,CO511&gt;=1,CO511&lt;=31),IF(MONTH(DATE(CM511,CN511,CO511))=CN511,DATE(CM511,CN511,CO511),""),"")))),"")</f>
        <v/>
      </c>
      <c r="CJ511">
        <f>IFERROR(IF('월 가계부'!C511="","",IF(ISNUMBER('월 가계부'!C511),'월 가계부'!C511,VALUE(SUBSTITUTE(SUBSTITUTE(SUBSTITUTE(SUBSTITUTE(TRIM('월 가계부'!C511),",",""),"원","")," ",""),"−","-")))),"")</f>
        <v/>
      </c>
      <c r="CK511">
        <f>IF(ISNUMBER(CI511),IF(CI511&lt;$B$13,CI511,""),"")</f>
        <v/>
      </c>
      <c r="CM511">
        <f>IF(CH511="","",IFERROR(IF(IF(AND(LEN(CH511)=9,ISERROR(FIND("-",LEFT(CH511,8))),ISNUMBER(-LEFT(CH511,8))),VALUE(LEFT(CH511,4)),VALUE(LEFT(CH511,FIND("-",CH511)-1)))&lt;100,IF(AND(LEN(CH511)=9,ISERROR(FIND("-",LEFT(CH511,8))),ISNUMBER(-LEFT(CH511,8))),VALUE(LEFT(CH511,4)),VALUE(LEFT(CH511,FIND("-",CH511)-1)))+2000,IF(AND(LEN(CH511)=9,ISERROR(FIND("-",LEFT(CH511,8))),ISNUMBER(-LEFT(CH511,8))),VALUE(LEFT(CH511,4)),VALUE(LEFT(CH511,FIND("-",CH511)-1)))),""))</f>
        <v/>
      </c>
      <c r="CN511">
        <f>IF(CH511="","",IFERROR(IF(AND(LEN(CH511)=9,ISERROR(FIND("-",LEFT(CH511,8))),ISNUMBER(-LEFT(CH511,8))),VALUE(MID(CH511,5,2)),VALUE(MID(CH511,FIND("-",CH511)+1,FIND("-",CH511,FIND("-",CH511)+1)-FIND("-",CH511)-1))),""))</f>
        <v/>
      </c>
      <c r="CO511">
        <f>IF(CH511="","",IFERROR(IF(AND(LEN(CH511)=9,ISERROR(FIND("-",LEFT(CH511,8))),ISNUMBER(-LEFT(CH511,8))),VALUE(MID(CH511,7,2)),VALUE(MID(CH511,FIND("-",CH511,FIND("-",CH511)+1)+1,FIND("-",CH511,FIND("-",CH511,FIND("-",CH511)+1)+1)-FIND("-",CH511,FIND("-",CH511)+1)-1))),""))</f>
        <v/>
      </c>
    </row>
    <row r="512">
      <c r="CH512">
        <f>IF(ISTEXT('월 가계부'!A512),SUBSTITUTE(SUBSTITUTE(SUBSTITUTE(SUBSTITUTE(SUBSTITUTE(SUBSTITUTE(SUBSTITUTE(SUBSTITUTE(SUBSTITUTE(TRIM('월 가계부'!A512),"년","-"),"월","-"),"일",""),".","-"),"/","-")," ","-"),"--","-"),"--","-"),"--","-")&amp;"-","")</f>
        <v/>
      </c>
      <c r="CI512">
        <f>IFERROR(IF('월 가계부'!A512="","",IF(ISNUMBER('월 가계부'!A512),IF(AND('월 가계부'!A512&gt;=19000101,'월 가계부'!A512&lt;=21001231),IF(AND(MOD(INT('월 가계부'!A512/100),100)&gt;=1,MOD(INT('월 가계부'!A512/100),100)&lt;=12,MOD(INT('월 가계부'!A512),100)&gt;=1,MOD(INT('월 가계부'!A512),100)&lt;=31),IF(MONTH(DATE(INT('월 가계부'!A512/10000),MOD(INT('월 가계부'!A512/100),100),MOD(INT('월 가계부'!A512),100)))=MOD(INT('월 가계부'!A512/100),100),DATE(INT('월 가계부'!A512/10000),MOD(INT('월 가계부'!A512/100),100),MOD(INT('월 가계부'!A512),100)),""),""),IF(AND('월 가계부'!A512&gt;=36526,'월 가계부'!A512&lt;73051),INT('월 가계부'!A512),"")),IF(OR(CM512="",CN512="",CO512=""),"",IF(AND(CM512&gt;=2000,CM512&lt;=2099,CN512&gt;=1,CN512&lt;=12,CO512&gt;=1,CO512&lt;=31),IF(MONTH(DATE(CM512,CN512,CO512))=CN512,DATE(CM512,CN512,CO512),""),"")))),"")</f>
        <v/>
      </c>
      <c r="CJ512">
        <f>IFERROR(IF('월 가계부'!C512="","",IF(ISNUMBER('월 가계부'!C512),'월 가계부'!C512,VALUE(SUBSTITUTE(SUBSTITUTE(SUBSTITUTE(SUBSTITUTE(TRIM('월 가계부'!C512),",",""),"원","")," ",""),"−","-")))),"")</f>
        <v/>
      </c>
      <c r="CK512">
        <f>IF(ISNUMBER(CI512),IF(CI512&lt;$B$13,CI512,""),"")</f>
        <v/>
      </c>
      <c r="CM512">
        <f>IF(CH512="","",IFERROR(IF(IF(AND(LEN(CH512)=9,ISERROR(FIND("-",LEFT(CH512,8))),ISNUMBER(-LEFT(CH512,8))),VALUE(LEFT(CH512,4)),VALUE(LEFT(CH512,FIND("-",CH512)-1)))&lt;100,IF(AND(LEN(CH512)=9,ISERROR(FIND("-",LEFT(CH512,8))),ISNUMBER(-LEFT(CH512,8))),VALUE(LEFT(CH512,4)),VALUE(LEFT(CH512,FIND("-",CH512)-1)))+2000,IF(AND(LEN(CH512)=9,ISERROR(FIND("-",LEFT(CH512,8))),ISNUMBER(-LEFT(CH512,8))),VALUE(LEFT(CH512,4)),VALUE(LEFT(CH512,FIND("-",CH512)-1)))),""))</f>
        <v/>
      </c>
      <c r="CN512">
        <f>IF(CH512="","",IFERROR(IF(AND(LEN(CH512)=9,ISERROR(FIND("-",LEFT(CH512,8))),ISNUMBER(-LEFT(CH512,8))),VALUE(MID(CH512,5,2)),VALUE(MID(CH512,FIND("-",CH512)+1,FIND("-",CH512,FIND("-",CH512)+1)-FIND("-",CH512)-1))),""))</f>
        <v/>
      </c>
      <c r="CO512">
        <f>IF(CH512="","",IFERROR(IF(AND(LEN(CH512)=9,ISERROR(FIND("-",LEFT(CH512,8))),ISNUMBER(-LEFT(CH512,8))),VALUE(MID(CH512,7,2)),VALUE(MID(CH512,FIND("-",CH512,FIND("-",CH512)+1)+1,FIND("-",CH512,FIND("-",CH512,FIND("-",CH512)+1)+1)-FIND("-",CH512,FIND("-",CH512)+1)-1))),""))</f>
        <v/>
      </c>
    </row>
    <row r="513">
      <c r="CH513">
        <f>IF(ISTEXT('월 가계부'!A513),SUBSTITUTE(SUBSTITUTE(SUBSTITUTE(SUBSTITUTE(SUBSTITUTE(SUBSTITUTE(SUBSTITUTE(SUBSTITUTE(SUBSTITUTE(TRIM('월 가계부'!A513),"년","-"),"월","-"),"일",""),".","-"),"/","-")," ","-"),"--","-"),"--","-"),"--","-")&amp;"-","")</f>
        <v/>
      </c>
      <c r="CI513">
        <f>IFERROR(IF('월 가계부'!A513="","",IF(ISNUMBER('월 가계부'!A513),IF(AND('월 가계부'!A513&gt;=19000101,'월 가계부'!A513&lt;=21001231),IF(AND(MOD(INT('월 가계부'!A513/100),100)&gt;=1,MOD(INT('월 가계부'!A513/100),100)&lt;=12,MOD(INT('월 가계부'!A513),100)&gt;=1,MOD(INT('월 가계부'!A513),100)&lt;=31),IF(MONTH(DATE(INT('월 가계부'!A513/10000),MOD(INT('월 가계부'!A513/100),100),MOD(INT('월 가계부'!A513),100)))=MOD(INT('월 가계부'!A513/100),100),DATE(INT('월 가계부'!A513/10000),MOD(INT('월 가계부'!A513/100),100),MOD(INT('월 가계부'!A513),100)),""),""),IF(AND('월 가계부'!A513&gt;=36526,'월 가계부'!A513&lt;73051),INT('월 가계부'!A513),"")),IF(OR(CM513="",CN513="",CO513=""),"",IF(AND(CM513&gt;=2000,CM513&lt;=2099,CN513&gt;=1,CN513&lt;=12,CO513&gt;=1,CO513&lt;=31),IF(MONTH(DATE(CM513,CN513,CO513))=CN513,DATE(CM513,CN513,CO513),""),"")))),"")</f>
        <v/>
      </c>
      <c r="CJ513">
        <f>IFERROR(IF('월 가계부'!C513="","",IF(ISNUMBER('월 가계부'!C513),'월 가계부'!C513,VALUE(SUBSTITUTE(SUBSTITUTE(SUBSTITUTE(SUBSTITUTE(TRIM('월 가계부'!C513),",",""),"원","")," ",""),"−","-")))),"")</f>
        <v/>
      </c>
      <c r="CK513">
        <f>IF(ISNUMBER(CI513),IF(CI513&lt;$B$13,CI513,""),"")</f>
        <v/>
      </c>
      <c r="CM513">
        <f>IF(CH513="","",IFERROR(IF(IF(AND(LEN(CH513)=9,ISERROR(FIND("-",LEFT(CH513,8))),ISNUMBER(-LEFT(CH513,8))),VALUE(LEFT(CH513,4)),VALUE(LEFT(CH513,FIND("-",CH513)-1)))&lt;100,IF(AND(LEN(CH513)=9,ISERROR(FIND("-",LEFT(CH513,8))),ISNUMBER(-LEFT(CH513,8))),VALUE(LEFT(CH513,4)),VALUE(LEFT(CH513,FIND("-",CH513)-1)))+2000,IF(AND(LEN(CH513)=9,ISERROR(FIND("-",LEFT(CH513,8))),ISNUMBER(-LEFT(CH513,8))),VALUE(LEFT(CH513,4)),VALUE(LEFT(CH513,FIND("-",CH513)-1)))),""))</f>
        <v/>
      </c>
      <c r="CN513">
        <f>IF(CH513="","",IFERROR(IF(AND(LEN(CH513)=9,ISERROR(FIND("-",LEFT(CH513,8))),ISNUMBER(-LEFT(CH513,8))),VALUE(MID(CH513,5,2)),VALUE(MID(CH513,FIND("-",CH513)+1,FIND("-",CH513,FIND("-",CH513)+1)-FIND("-",CH513)-1))),""))</f>
        <v/>
      </c>
      <c r="CO513">
        <f>IF(CH513="","",IFERROR(IF(AND(LEN(CH513)=9,ISERROR(FIND("-",LEFT(CH513,8))),ISNUMBER(-LEFT(CH513,8))),VALUE(MID(CH513,7,2)),VALUE(MID(CH513,FIND("-",CH513,FIND("-",CH513)+1)+1,FIND("-",CH513,FIND("-",CH513,FIND("-",CH513)+1)+1)-FIND("-",CH513,FIND("-",CH513)+1)-1))),""))</f>
        <v/>
      </c>
    </row>
    <row r="514">
      <c r="CH514">
        <f>IF(ISTEXT('월 가계부'!A514),SUBSTITUTE(SUBSTITUTE(SUBSTITUTE(SUBSTITUTE(SUBSTITUTE(SUBSTITUTE(SUBSTITUTE(SUBSTITUTE(SUBSTITUTE(TRIM('월 가계부'!A514),"년","-"),"월","-"),"일",""),".","-"),"/","-")," ","-"),"--","-"),"--","-"),"--","-")&amp;"-","")</f>
        <v/>
      </c>
      <c r="CI514">
        <f>IFERROR(IF('월 가계부'!A514="","",IF(ISNUMBER('월 가계부'!A514),IF(AND('월 가계부'!A514&gt;=19000101,'월 가계부'!A514&lt;=21001231),IF(AND(MOD(INT('월 가계부'!A514/100),100)&gt;=1,MOD(INT('월 가계부'!A514/100),100)&lt;=12,MOD(INT('월 가계부'!A514),100)&gt;=1,MOD(INT('월 가계부'!A514),100)&lt;=31),IF(MONTH(DATE(INT('월 가계부'!A514/10000),MOD(INT('월 가계부'!A514/100),100),MOD(INT('월 가계부'!A514),100)))=MOD(INT('월 가계부'!A514/100),100),DATE(INT('월 가계부'!A514/10000),MOD(INT('월 가계부'!A514/100),100),MOD(INT('월 가계부'!A514),100)),""),""),IF(AND('월 가계부'!A514&gt;=36526,'월 가계부'!A514&lt;73051),INT('월 가계부'!A514),"")),IF(OR(CM514="",CN514="",CO514=""),"",IF(AND(CM514&gt;=2000,CM514&lt;=2099,CN514&gt;=1,CN514&lt;=12,CO514&gt;=1,CO514&lt;=31),IF(MONTH(DATE(CM514,CN514,CO514))=CN514,DATE(CM514,CN514,CO514),""),"")))),"")</f>
        <v/>
      </c>
      <c r="CJ514">
        <f>IFERROR(IF('월 가계부'!C514="","",IF(ISNUMBER('월 가계부'!C514),'월 가계부'!C514,VALUE(SUBSTITUTE(SUBSTITUTE(SUBSTITUTE(SUBSTITUTE(TRIM('월 가계부'!C514),",",""),"원","")," ",""),"−","-")))),"")</f>
        <v/>
      </c>
      <c r="CK514">
        <f>IF(ISNUMBER(CI514),IF(CI514&lt;$B$13,CI514,""),"")</f>
        <v/>
      </c>
      <c r="CM514">
        <f>IF(CH514="","",IFERROR(IF(IF(AND(LEN(CH514)=9,ISERROR(FIND("-",LEFT(CH514,8))),ISNUMBER(-LEFT(CH514,8))),VALUE(LEFT(CH514,4)),VALUE(LEFT(CH514,FIND("-",CH514)-1)))&lt;100,IF(AND(LEN(CH514)=9,ISERROR(FIND("-",LEFT(CH514,8))),ISNUMBER(-LEFT(CH514,8))),VALUE(LEFT(CH514,4)),VALUE(LEFT(CH514,FIND("-",CH514)-1)))+2000,IF(AND(LEN(CH514)=9,ISERROR(FIND("-",LEFT(CH514,8))),ISNUMBER(-LEFT(CH514,8))),VALUE(LEFT(CH514,4)),VALUE(LEFT(CH514,FIND("-",CH514)-1)))),""))</f>
        <v/>
      </c>
      <c r="CN514">
        <f>IF(CH514="","",IFERROR(IF(AND(LEN(CH514)=9,ISERROR(FIND("-",LEFT(CH514,8))),ISNUMBER(-LEFT(CH514,8))),VALUE(MID(CH514,5,2)),VALUE(MID(CH514,FIND("-",CH514)+1,FIND("-",CH514,FIND("-",CH514)+1)-FIND("-",CH514)-1))),""))</f>
        <v/>
      </c>
      <c r="CO514">
        <f>IF(CH514="","",IFERROR(IF(AND(LEN(CH514)=9,ISERROR(FIND("-",LEFT(CH514,8))),ISNUMBER(-LEFT(CH514,8))),VALUE(MID(CH514,7,2)),VALUE(MID(CH514,FIND("-",CH514,FIND("-",CH514)+1)+1,FIND("-",CH514,FIND("-",CH514,FIND("-",CH514)+1)+1)-FIND("-",CH514,FIND("-",CH514)+1)-1))),""))</f>
        <v/>
      </c>
    </row>
    <row r="515">
      <c r="CH515">
        <f>IF(ISTEXT('월 가계부'!A515),SUBSTITUTE(SUBSTITUTE(SUBSTITUTE(SUBSTITUTE(SUBSTITUTE(SUBSTITUTE(SUBSTITUTE(SUBSTITUTE(SUBSTITUTE(TRIM('월 가계부'!A515),"년","-"),"월","-"),"일",""),".","-"),"/","-")," ","-"),"--","-"),"--","-"),"--","-")&amp;"-","")</f>
        <v/>
      </c>
      <c r="CI515">
        <f>IFERROR(IF('월 가계부'!A515="","",IF(ISNUMBER('월 가계부'!A515),IF(AND('월 가계부'!A515&gt;=19000101,'월 가계부'!A515&lt;=21001231),IF(AND(MOD(INT('월 가계부'!A515/100),100)&gt;=1,MOD(INT('월 가계부'!A515/100),100)&lt;=12,MOD(INT('월 가계부'!A515),100)&gt;=1,MOD(INT('월 가계부'!A515),100)&lt;=31),IF(MONTH(DATE(INT('월 가계부'!A515/10000),MOD(INT('월 가계부'!A515/100),100),MOD(INT('월 가계부'!A515),100)))=MOD(INT('월 가계부'!A515/100),100),DATE(INT('월 가계부'!A515/10000),MOD(INT('월 가계부'!A515/100),100),MOD(INT('월 가계부'!A515),100)),""),""),IF(AND('월 가계부'!A515&gt;=36526,'월 가계부'!A515&lt;73051),INT('월 가계부'!A515),"")),IF(OR(CM515="",CN515="",CO515=""),"",IF(AND(CM515&gt;=2000,CM515&lt;=2099,CN515&gt;=1,CN515&lt;=12,CO515&gt;=1,CO515&lt;=31),IF(MONTH(DATE(CM515,CN515,CO515))=CN515,DATE(CM515,CN515,CO515),""),"")))),"")</f>
        <v/>
      </c>
      <c r="CJ515">
        <f>IFERROR(IF('월 가계부'!C515="","",IF(ISNUMBER('월 가계부'!C515),'월 가계부'!C515,VALUE(SUBSTITUTE(SUBSTITUTE(SUBSTITUTE(SUBSTITUTE(TRIM('월 가계부'!C515),",",""),"원","")," ",""),"−","-")))),"")</f>
        <v/>
      </c>
      <c r="CK515">
        <f>IF(ISNUMBER(CI515),IF(CI515&lt;$B$13,CI515,""),"")</f>
        <v/>
      </c>
      <c r="CM515">
        <f>IF(CH515="","",IFERROR(IF(IF(AND(LEN(CH515)=9,ISERROR(FIND("-",LEFT(CH515,8))),ISNUMBER(-LEFT(CH515,8))),VALUE(LEFT(CH515,4)),VALUE(LEFT(CH515,FIND("-",CH515)-1)))&lt;100,IF(AND(LEN(CH515)=9,ISERROR(FIND("-",LEFT(CH515,8))),ISNUMBER(-LEFT(CH515,8))),VALUE(LEFT(CH515,4)),VALUE(LEFT(CH515,FIND("-",CH515)-1)))+2000,IF(AND(LEN(CH515)=9,ISERROR(FIND("-",LEFT(CH515,8))),ISNUMBER(-LEFT(CH515,8))),VALUE(LEFT(CH515,4)),VALUE(LEFT(CH515,FIND("-",CH515)-1)))),""))</f>
        <v/>
      </c>
      <c r="CN515">
        <f>IF(CH515="","",IFERROR(IF(AND(LEN(CH515)=9,ISERROR(FIND("-",LEFT(CH515,8))),ISNUMBER(-LEFT(CH515,8))),VALUE(MID(CH515,5,2)),VALUE(MID(CH515,FIND("-",CH515)+1,FIND("-",CH515,FIND("-",CH515)+1)-FIND("-",CH515)-1))),""))</f>
        <v/>
      </c>
      <c r="CO515">
        <f>IF(CH515="","",IFERROR(IF(AND(LEN(CH515)=9,ISERROR(FIND("-",LEFT(CH515,8))),ISNUMBER(-LEFT(CH515,8))),VALUE(MID(CH515,7,2)),VALUE(MID(CH515,FIND("-",CH515,FIND("-",CH515)+1)+1,FIND("-",CH515,FIND("-",CH515,FIND("-",CH515)+1)+1)-FIND("-",CH515,FIND("-",CH515)+1)-1))),""))</f>
        <v/>
      </c>
    </row>
    <row r="516">
      <c r="CH516">
        <f>IF(ISTEXT('월 가계부'!A516),SUBSTITUTE(SUBSTITUTE(SUBSTITUTE(SUBSTITUTE(SUBSTITUTE(SUBSTITUTE(SUBSTITUTE(SUBSTITUTE(SUBSTITUTE(TRIM('월 가계부'!A516),"년","-"),"월","-"),"일",""),".","-"),"/","-")," ","-"),"--","-"),"--","-"),"--","-")&amp;"-","")</f>
        <v/>
      </c>
      <c r="CI516">
        <f>IFERROR(IF('월 가계부'!A516="","",IF(ISNUMBER('월 가계부'!A516),IF(AND('월 가계부'!A516&gt;=19000101,'월 가계부'!A516&lt;=21001231),IF(AND(MOD(INT('월 가계부'!A516/100),100)&gt;=1,MOD(INT('월 가계부'!A516/100),100)&lt;=12,MOD(INT('월 가계부'!A516),100)&gt;=1,MOD(INT('월 가계부'!A516),100)&lt;=31),IF(MONTH(DATE(INT('월 가계부'!A516/10000),MOD(INT('월 가계부'!A516/100),100),MOD(INT('월 가계부'!A516),100)))=MOD(INT('월 가계부'!A516/100),100),DATE(INT('월 가계부'!A516/10000),MOD(INT('월 가계부'!A516/100),100),MOD(INT('월 가계부'!A516),100)),""),""),IF(AND('월 가계부'!A516&gt;=36526,'월 가계부'!A516&lt;73051),INT('월 가계부'!A516),"")),IF(OR(CM516="",CN516="",CO516=""),"",IF(AND(CM516&gt;=2000,CM516&lt;=2099,CN516&gt;=1,CN516&lt;=12,CO516&gt;=1,CO516&lt;=31),IF(MONTH(DATE(CM516,CN516,CO516))=CN516,DATE(CM516,CN516,CO516),""),"")))),"")</f>
        <v/>
      </c>
      <c r="CJ516">
        <f>IFERROR(IF('월 가계부'!C516="","",IF(ISNUMBER('월 가계부'!C516),'월 가계부'!C516,VALUE(SUBSTITUTE(SUBSTITUTE(SUBSTITUTE(SUBSTITUTE(TRIM('월 가계부'!C516),",",""),"원","")," ",""),"−","-")))),"")</f>
        <v/>
      </c>
      <c r="CK516">
        <f>IF(ISNUMBER(CI516),IF(CI516&lt;$B$13,CI516,""),"")</f>
        <v/>
      </c>
      <c r="CM516">
        <f>IF(CH516="","",IFERROR(IF(IF(AND(LEN(CH516)=9,ISERROR(FIND("-",LEFT(CH516,8))),ISNUMBER(-LEFT(CH516,8))),VALUE(LEFT(CH516,4)),VALUE(LEFT(CH516,FIND("-",CH516)-1)))&lt;100,IF(AND(LEN(CH516)=9,ISERROR(FIND("-",LEFT(CH516,8))),ISNUMBER(-LEFT(CH516,8))),VALUE(LEFT(CH516,4)),VALUE(LEFT(CH516,FIND("-",CH516)-1)))+2000,IF(AND(LEN(CH516)=9,ISERROR(FIND("-",LEFT(CH516,8))),ISNUMBER(-LEFT(CH516,8))),VALUE(LEFT(CH516,4)),VALUE(LEFT(CH516,FIND("-",CH516)-1)))),""))</f>
        <v/>
      </c>
      <c r="CN516">
        <f>IF(CH516="","",IFERROR(IF(AND(LEN(CH516)=9,ISERROR(FIND("-",LEFT(CH516,8))),ISNUMBER(-LEFT(CH516,8))),VALUE(MID(CH516,5,2)),VALUE(MID(CH516,FIND("-",CH516)+1,FIND("-",CH516,FIND("-",CH516)+1)-FIND("-",CH516)-1))),""))</f>
        <v/>
      </c>
      <c r="CO516">
        <f>IF(CH516="","",IFERROR(IF(AND(LEN(CH516)=9,ISERROR(FIND("-",LEFT(CH516,8))),ISNUMBER(-LEFT(CH516,8))),VALUE(MID(CH516,7,2)),VALUE(MID(CH516,FIND("-",CH516,FIND("-",CH516)+1)+1,FIND("-",CH516,FIND("-",CH516,FIND("-",CH516)+1)+1)-FIND("-",CH516,FIND("-",CH516)+1)-1))),""))</f>
        <v/>
      </c>
    </row>
    <row r="517">
      <c r="CH517">
        <f>IF(ISTEXT('월 가계부'!A517),SUBSTITUTE(SUBSTITUTE(SUBSTITUTE(SUBSTITUTE(SUBSTITUTE(SUBSTITUTE(SUBSTITUTE(SUBSTITUTE(SUBSTITUTE(TRIM('월 가계부'!A517),"년","-"),"월","-"),"일",""),".","-"),"/","-")," ","-"),"--","-"),"--","-"),"--","-")&amp;"-","")</f>
        <v/>
      </c>
      <c r="CI517">
        <f>IFERROR(IF('월 가계부'!A517="","",IF(ISNUMBER('월 가계부'!A517),IF(AND('월 가계부'!A517&gt;=19000101,'월 가계부'!A517&lt;=21001231),IF(AND(MOD(INT('월 가계부'!A517/100),100)&gt;=1,MOD(INT('월 가계부'!A517/100),100)&lt;=12,MOD(INT('월 가계부'!A517),100)&gt;=1,MOD(INT('월 가계부'!A517),100)&lt;=31),IF(MONTH(DATE(INT('월 가계부'!A517/10000),MOD(INT('월 가계부'!A517/100),100),MOD(INT('월 가계부'!A517),100)))=MOD(INT('월 가계부'!A517/100),100),DATE(INT('월 가계부'!A517/10000),MOD(INT('월 가계부'!A517/100),100),MOD(INT('월 가계부'!A517),100)),""),""),IF(AND('월 가계부'!A517&gt;=36526,'월 가계부'!A517&lt;73051),INT('월 가계부'!A517),"")),IF(OR(CM517="",CN517="",CO517=""),"",IF(AND(CM517&gt;=2000,CM517&lt;=2099,CN517&gt;=1,CN517&lt;=12,CO517&gt;=1,CO517&lt;=31),IF(MONTH(DATE(CM517,CN517,CO517))=CN517,DATE(CM517,CN517,CO517),""),"")))),"")</f>
        <v/>
      </c>
      <c r="CJ517">
        <f>IFERROR(IF('월 가계부'!C517="","",IF(ISNUMBER('월 가계부'!C517),'월 가계부'!C517,VALUE(SUBSTITUTE(SUBSTITUTE(SUBSTITUTE(SUBSTITUTE(TRIM('월 가계부'!C517),",",""),"원","")," ",""),"−","-")))),"")</f>
        <v/>
      </c>
      <c r="CK517">
        <f>IF(ISNUMBER(CI517),IF(CI517&lt;$B$13,CI517,""),"")</f>
        <v/>
      </c>
      <c r="CM517">
        <f>IF(CH517="","",IFERROR(IF(IF(AND(LEN(CH517)=9,ISERROR(FIND("-",LEFT(CH517,8))),ISNUMBER(-LEFT(CH517,8))),VALUE(LEFT(CH517,4)),VALUE(LEFT(CH517,FIND("-",CH517)-1)))&lt;100,IF(AND(LEN(CH517)=9,ISERROR(FIND("-",LEFT(CH517,8))),ISNUMBER(-LEFT(CH517,8))),VALUE(LEFT(CH517,4)),VALUE(LEFT(CH517,FIND("-",CH517)-1)))+2000,IF(AND(LEN(CH517)=9,ISERROR(FIND("-",LEFT(CH517,8))),ISNUMBER(-LEFT(CH517,8))),VALUE(LEFT(CH517,4)),VALUE(LEFT(CH517,FIND("-",CH517)-1)))),""))</f>
        <v/>
      </c>
      <c r="CN517">
        <f>IF(CH517="","",IFERROR(IF(AND(LEN(CH517)=9,ISERROR(FIND("-",LEFT(CH517,8))),ISNUMBER(-LEFT(CH517,8))),VALUE(MID(CH517,5,2)),VALUE(MID(CH517,FIND("-",CH517)+1,FIND("-",CH517,FIND("-",CH517)+1)-FIND("-",CH517)-1))),""))</f>
        <v/>
      </c>
      <c r="CO517">
        <f>IF(CH517="","",IFERROR(IF(AND(LEN(CH517)=9,ISERROR(FIND("-",LEFT(CH517,8))),ISNUMBER(-LEFT(CH517,8))),VALUE(MID(CH517,7,2)),VALUE(MID(CH517,FIND("-",CH517,FIND("-",CH517)+1)+1,FIND("-",CH517,FIND("-",CH517,FIND("-",CH517)+1)+1)-FIND("-",CH517,FIND("-",CH517)+1)-1))),""))</f>
        <v/>
      </c>
    </row>
    <row r="518">
      <c r="CH518">
        <f>IF(ISTEXT('월 가계부'!A518),SUBSTITUTE(SUBSTITUTE(SUBSTITUTE(SUBSTITUTE(SUBSTITUTE(SUBSTITUTE(SUBSTITUTE(SUBSTITUTE(SUBSTITUTE(TRIM('월 가계부'!A518),"년","-"),"월","-"),"일",""),".","-"),"/","-")," ","-"),"--","-"),"--","-"),"--","-")&amp;"-","")</f>
        <v/>
      </c>
      <c r="CI518">
        <f>IFERROR(IF('월 가계부'!A518="","",IF(ISNUMBER('월 가계부'!A518),IF(AND('월 가계부'!A518&gt;=19000101,'월 가계부'!A518&lt;=21001231),IF(AND(MOD(INT('월 가계부'!A518/100),100)&gt;=1,MOD(INT('월 가계부'!A518/100),100)&lt;=12,MOD(INT('월 가계부'!A518),100)&gt;=1,MOD(INT('월 가계부'!A518),100)&lt;=31),IF(MONTH(DATE(INT('월 가계부'!A518/10000),MOD(INT('월 가계부'!A518/100),100),MOD(INT('월 가계부'!A518),100)))=MOD(INT('월 가계부'!A518/100),100),DATE(INT('월 가계부'!A518/10000),MOD(INT('월 가계부'!A518/100),100),MOD(INT('월 가계부'!A518),100)),""),""),IF(AND('월 가계부'!A518&gt;=36526,'월 가계부'!A518&lt;73051),INT('월 가계부'!A518),"")),IF(OR(CM518="",CN518="",CO518=""),"",IF(AND(CM518&gt;=2000,CM518&lt;=2099,CN518&gt;=1,CN518&lt;=12,CO518&gt;=1,CO518&lt;=31),IF(MONTH(DATE(CM518,CN518,CO518))=CN518,DATE(CM518,CN518,CO518),""),"")))),"")</f>
        <v/>
      </c>
      <c r="CJ518">
        <f>IFERROR(IF('월 가계부'!C518="","",IF(ISNUMBER('월 가계부'!C518),'월 가계부'!C518,VALUE(SUBSTITUTE(SUBSTITUTE(SUBSTITUTE(SUBSTITUTE(TRIM('월 가계부'!C518),",",""),"원","")," ",""),"−","-")))),"")</f>
        <v/>
      </c>
      <c r="CK518">
        <f>IF(ISNUMBER(CI518),IF(CI518&lt;$B$13,CI518,""),"")</f>
        <v/>
      </c>
      <c r="CM518">
        <f>IF(CH518="","",IFERROR(IF(IF(AND(LEN(CH518)=9,ISERROR(FIND("-",LEFT(CH518,8))),ISNUMBER(-LEFT(CH518,8))),VALUE(LEFT(CH518,4)),VALUE(LEFT(CH518,FIND("-",CH518)-1)))&lt;100,IF(AND(LEN(CH518)=9,ISERROR(FIND("-",LEFT(CH518,8))),ISNUMBER(-LEFT(CH518,8))),VALUE(LEFT(CH518,4)),VALUE(LEFT(CH518,FIND("-",CH518)-1)))+2000,IF(AND(LEN(CH518)=9,ISERROR(FIND("-",LEFT(CH518,8))),ISNUMBER(-LEFT(CH518,8))),VALUE(LEFT(CH518,4)),VALUE(LEFT(CH518,FIND("-",CH518)-1)))),""))</f>
        <v/>
      </c>
      <c r="CN518">
        <f>IF(CH518="","",IFERROR(IF(AND(LEN(CH518)=9,ISERROR(FIND("-",LEFT(CH518,8))),ISNUMBER(-LEFT(CH518,8))),VALUE(MID(CH518,5,2)),VALUE(MID(CH518,FIND("-",CH518)+1,FIND("-",CH518,FIND("-",CH518)+1)-FIND("-",CH518)-1))),""))</f>
        <v/>
      </c>
      <c r="CO518">
        <f>IF(CH518="","",IFERROR(IF(AND(LEN(CH518)=9,ISERROR(FIND("-",LEFT(CH518,8))),ISNUMBER(-LEFT(CH518,8))),VALUE(MID(CH518,7,2)),VALUE(MID(CH518,FIND("-",CH518,FIND("-",CH518)+1)+1,FIND("-",CH518,FIND("-",CH518,FIND("-",CH518)+1)+1)-FIND("-",CH518,FIND("-",CH518)+1)-1))),""))</f>
        <v/>
      </c>
    </row>
    <row r="519">
      <c r="CH519">
        <f>IF(ISTEXT('월 가계부'!A519),SUBSTITUTE(SUBSTITUTE(SUBSTITUTE(SUBSTITUTE(SUBSTITUTE(SUBSTITUTE(SUBSTITUTE(SUBSTITUTE(SUBSTITUTE(TRIM('월 가계부'!A519),"년","-"),"월","-"),"일",""),".","-"),"/","-")," ","-"),"--","-"),"--","-"),"--","-")&amp;"-","")</f>
        <v/>
      </c>
      <c r="CI519">
        <f>IFERROR(IF('월 가계부'!A519="","",IF(ISNUMBER('월 가계부'!A519),IF(AND('월 가계부'!A519&gt;=19000101,'월 가계부'!A519&lt;=21001231),IF(AND(MOD(INT('월 가계부'!A519/100),100)&gt;=1,MOD(INT('월 가계부'!A519/100),100)&lt;=12,MOD(INT('월 가계부'!A519),100)&gt;=1,MOD(INT('월 가계부'!A519),100)&lt;=31),IF(MONTH(DATE(INT('월 가계부'!A519/10000),MOD(INT('월 가계부'!A519/100),100),MOD(INT('월 가계부'!A519),100)))=MOD(INT('월 가계부'!A519/100),100),DATE(INT('월 가계부'!A519/10000),MOD(INT('월 가계부'!A519/100),100),MOD(INT('월 가계부'!A519),100)),""),""),IF(AND('월 가계부'!A519&gt;=36526,'월 가계부'!A519&lt;73051),INT('월 가계부'!A519),"")),IF(OR(CM519="",CN519="",CO519=""),"",IF(AND(CM519&gt;=2000,CM519&lt;=2099,CN519&gt;=1,CN519&lt;=12,CO519&gt;=1,CO519&lt;=31),IF(MONTH(DATE(CM519,CN519,CO519))=CN519,DATE(CM519,CN519,CO519),""),"")))),"")</f>
        <v/>
      </c>
      <c r="CJ519">
        <f>IFERROR(IF('월 가계부'!C519="","",IF(ISNUMBER('월 가계부'!C519),'월 가계부'!C519,VALUE(SUBSTITUTE(SUBSTITUTE(SUBSTITUTE(SUBSTITUTE(TRIM('월 가계부'!C519),",",""),"원","")," ",""),"−","-")))),"")</f>
        <v/>
      </c>
      <c r="CK519">
        <f>IF(ISNUMBER(CI519),IF(CI519&lt;$B$13,CI519,""),"")</f>
        <v/>
      </c>
      <c r="CM519">
        <f>IF(CH519="","",IFERROR(IF(IF(AND(LEN(CH519)=9,ISERROR(FIND("-",LEFT(CH519,8))),ISNUMBER(-LEFT(CH519,8))),VALUE(LEFT(CH519,4)),VALUE(LEFT(CH519,FIND("-",CH519)-1)))&lt;100,IF(AND(LEN(CH519)=9,ISERROR(FIND("-",LEFT(CH519,8))),ISNUMBER(-LEFT(CH519,8))),VALUE(LEFT(CH519,4)),VALUE(LEFT(CH519,FIND("-",CH519)-1)))+2000,IF(AND(LEN(CH519)=9,ISERROR(FIND("-",LEFT(CH519,8))),ISNUMBER(-LEFT(CH519,8))),VALUE(LEFT(CH519,4)),VALUE(LEFT(CH519,FIND("-",CH519)-1)))),""))</f>
        <v/>
      </c>
      <c r="CN519">
        <f>IF(CH519="","",IFERROR(IF(AND(LEN(CH519)=9,ISERROR(FIND("-",LEFT(CH519,8))),ISNUMBER(-LEFT(CH519,8))),VALUE(MID(CH519,5,2)),VALUE(MID(CH519,FIND("-",CH519)+1,FIND("-",CH519,FIND("-",CH519)+1)-FIND("-",CH519)-1))),""))</f>
        <v/>
      </c>
      <c r="CO519">
        <f>IF(CH519="","",IFERROR(IF(AND(LEN(CH519)=9,ISERROR(FIND("-",LEFT(CH519,8))),ISNUMBER(-LEFT(CH519,8))),VALUE(MID(CH519,7,2)),VALUE(MID(CH519,FIND("-",CH519,FIND("-",CH519)+1)+1,FIND("-",CH519,FIND("-",CH519,FIND("-",CH519)+1)+1)-FIND("-",CH519,FIND("-",CH519)+1)-1))),""))</f>
        <v/>
      </c>
    </row>
    <row r="520">
      <c r="CH520">
        <f>IF(ISTEXT('월 가계부'!A520),SUBSTITUTE(SUBSTITUTE(SUBSTITUTE(SUBSTITUTE(SUBSTITUTE(SUBSTITUTE(SUBSTITUTE(SUBSTITUTE(SUBSTITUTE(TRIM('월 가계부'!A520),"년","-"),"월","-"),"일",""),".","-"),"/","-")," ","-"),"--","-"),"--","-"),"--","-")&amp;"-","")</f>
        <v/>
      </c>
      <c r="CI520">
        <f>IFERROR(IF('월 가계부'!A520="","",IF(ISNUMBER('월 가계부'!A520),IF(AND('월 가계부'!A520&gt;=19000101,'월 가계부'!A520&lt;=21001231),IF(AND(MOD(INT('월 가계부'!A520/100),100)&gt;=1,MOD(INT('월 가계부'!A520/100),100)&lt;=12,MOD(INT('월 가계부'!A520),100)&gt;=1,MOD(INT('월 가계부'!A520),100)&lt;=31),IF(MONTH(DATE(INT('월 가계부'!A520/10000),MOD(INT('월 가계부'!A520/100),100),MOD(INT('월 가계부'!A520),100)))=MOD(INT('월 가계부'!A520/100),100),DATE(INT('월 가계부'!A520/10000),MOD(INT('월 가계부'!A520/100),100),MOD(INT('월 가계부'!A520),100)),""),""),IF(AND('월 가계부'!A520&gt;=36526,'월 가계부'!A520&lt;73051),INT('월 가계부'!A520),"")),IF(OR(CM520="",CN520="",CO520=""),"",IF(AND(CM520&gt;=2000,CM520&lt;=2099,CN520&gt;=1,CN520&lt;=12,CO520&gt;=1,CO520&lt;=31),IF(MONTH(DATE(CM520,CN520,CO520))=CN520,DATE(CM520,CN520,CO520),""),"")))),"")</f>
        <v/>
      </c>
      <c r="CJ520">
        <f>IFERROR(IF('월 가계부'!C520="","",IF(ISNUMBER('월 가계부'!C520),'월 가계부'!C520,VALUE(SUBSTITUTE(SUBSTITUTE(SUBSTITUTE(SUBSTITUTE(TRIM('월 가계부'!C520),",",""),"원","")," ",""),"−","-")))),"")</f>
        <v/>
      </c>
      <c r="CK520">
        <f>IF(ISNUMBER(CI520),IF(CI520&lt;$B$13,CI520,""),"")</f>
        <v/>
      </c>
      <c r="CM520">
        <f>IF(CH520="","",IFERROR(IF(IF(AND(LEN(CH520)=9,ISERROR(FIND("-",LEFT(CH520,8))),ISNUMBER(-LEFT(CH520,8))),VALUE(LEFT(CH520,4)),VALUE(LEFT(CH520,FIND("-",CH520)-1)))&lt;100,IF(AND(LEN(CH520)=9,ISERROR(FIND("-",LEFT(CH520,8))),ISNUMBER(-LEFT(CH520,8))),VALUE(LEFT(CH520,4)),VALUE(LEFT(CH520,FIND("-",CH520)-1)))+2000,IF(AND(LEN(CH520)=9,ISERROR(FIND("-",LEFT(CH520,8))),ISNUMBER(-LEFT(CH520,8))),VALUE(LEFT(CH520,4)),VALUE(LEFT(CH520,FIND("-",CH520)-1)))),""))</f>
        <v/>
      </c>
      <c r="CN520">
        <f>IF(CH520="","",IFERROR(IF(AND(LEN(CH520)=9,ISERROR(FIND("-",LEFT(CH520,8))),ISNUMBER(-LEFT(CH520,8))),VALUE(MID(CH520,5,2)),VALUE(MID(CH520,FIND("-",CH520)+1,FIND("-",CH520,FIND("-",CH520)+1)-FIND("-",CH520)-1))),""))</f>
        <v/>
      </c>
      <c r="CO520">
        <f>IF(CH520="","",IFERROR(IF(AND(LEN(CH520)=9,ISERROR(FIND("-",LEFT(CH520,8))),ISNUMBER(-LEFT(CH520,8))),VALUE(MID(CH520,7,2)),VALUE(MID(CH520,FIND("-",CH520,FIND("-",CH520)+1)+1,FIND("-",CH520,FIND("-",CH520,FIND("-",CH520)+1)+1)-FIND("-",CH520,FIND("-",CH520)+1)-1))),""))</f>
        <v/>
      </c>
    </row>
    <row r="521">
      <c r="CH521">
        <f>IF(ISTEXT('월 가계부'!A521),SUBSTITUTE(SUBSTITUTE(SUBSTITUTE(SUBSTITUTE(SUBSTITUTE(SUBSTITUTE(SUBSTITUTE(SUBSTITUTE(SUBSTITUTE(TRIM('월 가계부'!A521),"년","-"),"월","-"),"일",""),".","-"),"/","-")," ","-"),"--","-"),"--","-"),"--","-")&amp;"-","")</f>
        <v/>
      </c>
      <c r="CI521">
        <f>IFERROR(IF('월 가계부'!A521="","",IF(ISNUMBER('월 가계부'!A521),IF(AND('월 가계부'!A521&gt;=19000101,'월 가계부'!A521&lt;=21001231),IF(AND(MOD(INT('월 가계부'!A521/100),100)&gt;=1,MOD(INT('월 가계부'!A521/100),100)&lt;=12,MOD(INT('월 가계부'!A521),100)&gt;=1,MOD(INT('월 가계부'!A521),100)&lt;=31),IF(MONTH(DATE(INT('월 가계부'!A521/10000),MOD(INT('월 가계부'!A521/100),100),MOD(INT('월 가계부'!A521),100)))=MOD(INT('월 가계부'!A521/100),100),DATE(INT('월 가계부'!A521/10000),MOD(INT('월 가계부'!A521/100),100),MOD(INT('월 가계부'!A521),100)),""),""),IF(AND('월 가계부'!A521&gt;=36526,'월 가계부'!A521&lt;73051),INT('월 가계부'!A521),"")),IF(OR(CM521="",CN521="",CO521=""),"",IF(AND(CM521&gt;=2000,CM521&lt;=2099,CN521&gt;=1,CN521&lt;=12,CO521&gt;=1,CO521&lt;=31),IF(MONTH(DATE(CM521,CN521,CO521))=CN521,DATE(CM521,CN521,CO521),""),"")))),"")</f>
        <v/>
      </c>
      <c r="CJ521">
        <f>IFERROR(IF('월 가계부'!C521="","",IF(ISNUMBER('월 가계부'!C521),'월 가계부'!C521,VALUE(SUBSTITUTE(SUBSTITUTE(SUBSTITUTE(SUBSTITUTE(TRIM('월 가계부'!C521),",",""),"원","")," ",""),"−","-")))),"")</f>
        <v/>
      </c>
      <c r="CK521">
        <f>IF(ISNUMBER(CI521),IF(CI521&lt;$B$13,CI521,""),"")</f>
        <v/>
      </c>
      <c r="CM521">
        <f>IF(CH521="","",IFERROR(IF(IF(AND(LEN(CH521)=9,ISERROR(FIND("-",LEFT(CH521,8))),ISNUMBER(-LEFT(CH521,8))),VALUE(LEFT(CH521,4)),VALUE(LEFT(CH521,FIND("-",CH521)-1)))&lt;100,IF(AND(LEN(CH521)=9,ISERROR(FIND("-",LEFT(CH521,8))),ISNUMBER(-LEFT(CH521,8))),VALUE(LEFT(CH521,4)),VALUE(LEFT(CH521,FIND("-",CH521)-1)))+2000,IF(AND(LEN(CH521)=9,ISERROR(FIND("-",LEFT(CH521,8))),ISNUMBER(-LEFT(CH521,8))),VALUE(LEFT(CH521,4)),VALUE(LEFT(CH521,FIND("-",CH521)-1)))),""))</f>
        <v/>
      </c>
      <c r="CN521">
        <f>IF(CH521="","",IFERROR(IF(AND(LEN(CH521)=9,ISERROR(FIND("-",LEFT(CH521,8))),ISNUMBER(-LEFT(CH521,8))),VALUE(MID(CH521,5,2)),VALUE(MID(CH521,FIND("-",CH521)+1,FIND("-",CH521,FIND("-",CH521)+1)-FIND("-",CH521)-1))),""))</f>
        <v/>
      </c>
      <c r="CO521">
        <f>IF(CH521="","",IFERROR(IF(AND(LEN(CH521)=9,ISERROR(FIND("-",LEFT(CH521,8))),ISNUMBER(-LEFT(CH521,8))),VALUE(MID(CH521,7,2)),VALUE(MID(CH521,FIND("-",CH521,FIND("-",CH521)+1)+1,FIND("-",CH521,FIND("-",CH521,FIND("-",CH521)+1)+1)-FIND("-",CH521,FIND("-",CH521)+1)-1))),""))</f>
        <v/>
      </c>
    </row>
    <row r="522">
      <c r="CH522">
        <f>IF(ISTEXT('월 가계부'!A522),SUBSTITUTE(SUBSTITUTE(SUBSTITUTE(SUBSTITUTE(SUBSTITUTE(SUBSTITUTE(SUBSTITUTE(SUBSTITUTE(SUBSTITUTE(TRIM('월 가계부'!A522),"년","-"),"월","-"),"일",""),".","-"),"/","-")," ","-"),"--","-"),"--","-"),"--","-")&amp;"-","")</f>
        <v/>
      </c>
      <c r="CI522">
        <f>IFERROR(IF('월 가계부'!A522="","",IF(ISNUMBER('월 가계부'!A522),IF(AND('월 가계부'!A522&gt;=19000101,'월 가계부'!A522&lt;=21001231),IF(AND(MOD(INT('월 가계부'!A522/100),100)&gt;=1,MOD(INT('월 가계부'!A522/100),100)&lt;=12,MOD(INT('월 가계부'!A522),100)&gt;=1,MOD(INT('월 가계부'!A522),100)&lt;=31),IF(MONTH(DATE(INT('월 가계부'!A522/10000),MOD(INT('월 가계부'!A522/100),100),MOD(INT('월 가계부'!A522),100)))=MOD(INT('월 가계부'!A522/100),100),DATE(INT('월 가계부'!A522/10000),MOD(INT('월 가계부'!A522/100),100),MOD(INT('월 가계부'!A522),100)),""),""),IF(AND('월 가계부'!A522&gt;=36526,'월 가계부'!A522&lt;73051),INT('월 가계부'!A522),"")),IF(OR(CM522="",CN522="",CO522=""),"",IF(AND(CM522&gt;=2000,CM522&lt;=2099,CN522&gt;=1,CN522&lt;=12,CO522&gt;=1,CO522&lt;=31),IF(MONTH(DATE(CM522,CN522,CO522))=CN522,DATE(CM522,CN522,CO522),""),"")))),"")</f>
        <v/>
      </c>
      <c r="CJ522">
        <f>IFERROR(IF('월 가계부'!C522="","",IF(ISNUMBER('월 가계부'!C522),'월 가계부'!C522,VALUE(SUBSTITUTE(SUBSTITUTE(SUBSTITUTE(SUBSTITUTE(TRIM('월 가계부'!C522),",",""),"원","")," ",""),"−","-")))),"")</f>
        <v/>
      </c>
      <c r="CK522">
        <f>IF(ISNUMBER(CI522),IF(CI522&lt;$B$13,CI522,""),"")</f>
        <v/>
      </c>
      <c r="CM522">
        <f>IF(CH522="","",IFERROR(IF(IF(AND(LEN(CH522)=9,ISERROR(FIND("-",LEFT(CH522,8))),ISNUMBER(-LEFT(CH522,8))),VALUE(LEFT(CH522,4)),VALUE(LEFT(CH522,FIND("-",CH522)-1)))&lt;100,IF(AND(LEN(CH522)=9,ISERROR(FIND("-",LEFT(CH522,8))),ISNUMBER(-LEFT(CH522,8))),VALUE(LEFT(CH522,4)),VALUE(LEFT(CH522,FIND("-",CH522)-1)))+2000,IF(AND(LEN(CH522)=9,ISERROR(FIND("-",LEFT(CH522,8))),ISNUMBER(-LEFT(CH522,8))),VALUE(LEFT(CH522,4)),VALUE(LEFT(CH522,FIND("-",CH522)-1)))),""))</f>
        <v/>
      </c>
      <c r="CN522">
        <f>IF(CH522="","",IFERROR(IF(AND(LEN(CH522)=9,ISERROR(FIND("-",LEFT(CH522,8))),ISNUMBER(-LEFT(CH522,8))),VALUE(MID(CH522,5,2)),VALUE(MID(CH522,FIND("-",CH522)+1,FIND("-",CH522,FIND("-",CH522)+1)-FIND("-",CH522)-1))),""))</f>
        <v/>
      </c>
      <c r="CO522">
        <f>IF(CH522="","",IFERROR(IF(AND(LEN(CH522)=9,ISERROR(FIND("-",LEFT(CH522,8))),ISNUMBER(-LEFT(CH522,8))),VALUE(MID(CH522,7,2)),VALUE(MID(CH522,FIND("-",CH522,FIND("-",CH522)+1)+1,FIND("-",CH522,FIND("-",CH522,FIND("-",CH522)+1)+1)-FIND("-",CH522,FIND("-",CH522)+1)-1))),""))</f>
        <v/>
      </c>
    </row>
    <row r="523">
      <c r="CH523">
        <f>IF(ISTEXT('월 가계부'!A523),SUBSTITUTE(SUBSTITUTE(SUBSTITUTE(SUBSTITUTE(SUBSTITUTE(SUBSTITUTE(SUBSTITUTE(SUBSTITUTE(SUBSTITUTE(TRIM('월 가계부'!A523),"년","-"),"월","-"),"일",""),".","-"),"/","-")," ","-"),"--","-"),"--","-"),"--","-")&amp;"-","")</f>
        <v/>
      </c>
      <c r="CI523">
        <f>IFERROR(IF('월 가계부'!A523="","",IF(ISNUMBER('월 가계부'!A523),IF(AND('월 가계부'!A523&gt;=19000101,'월 가계부'!A523&lt;=21001231),IF(AND(MOD(INT('월 가계부'!A523/100),100)&gt;=1,MOD(INT('월 가계부'!A523/100),100)&lt;=12,MOD(INT('월 가계부'!A523),100)&gt;=1,MOD(INT('월 가계부'!A523),100)&lt;=31),IF(MONTH(DATE(INT('월 가계부'!A523/10000),MOD(INT('월 가계부'!A523/100),100),MOD(INT('월 가계부'!A523),100)))=MOD(INT('월 가계부'!A523/100),100),DATE(INT('월 가계부'!A523/10000),MOD(INT('월 가계부'!A523/100),100),MOD(INT('월 가계부'!A523),100)),""),""),IF(AND('월 가계부'!A523&gt;=36526,'월 가계부'!A523&lt;73051),INT('월 가계부'!A523),"")),IF(OR(CM523="",CN523="",CO523=""),"",IF(AND(CM523&gt;=2000,CM523&lt;=2099,CN523&gt;=1,CN523&lt;=12,CO523&gt;=1,CO523&lt;=31),IF(MONTH(DATE(CM523,CN523,CO523))=CN523,DATE(CM523,CN523,CO523),""),"")))),"")</f>
        <v/>
      </c>
      <c r="CJ523">
        <f>IFERROR(IF('월 가계부'!C523="","",IF(ISNUMBER('월 가계부'!C523),'월 가계부'!C523,VALUE(SUBSTITUTE(SUBSTITUTE(SUBSTITUTE(SUBSTITUTE(TRIM('월 가계부'!C523),",",""),"원","")," ",""),"−","-")))),"")</f>
        <v/>
      </c>
      <c r="CK523">
        <f>IF(ISNUMBER(CI523),IF(CI523&lt;$B$13,CI523,""),"")</f>
        <v/>
      </c>
      <c r="CM523">
        <f>IF(CH523="","",IFERROR(IF(IF(AND(LEN(CH523)=9,ISERROR(FIND("-",LEFT(CH523,8))),ISNUMBER(-LEFT(CH523,8))),VALUE(LEFT(CH523,4)),VALUE(LEFT(CH523,FIND("-",CH523)-1)))&lt;100,IF(AND(LEN(CH523)=9,ISERROR(FIND("-",LEFT(CH523,8))),ISNUMBER(-LEFT(CH523,8))),VALUE(LEFT(CH523,4)),VALUE(LEFT(CH523,FIND("-",CH523)-1)))+2000,IF(AND(LEN(CH523)=9,ISERROR(FIND("-",LEFT(CH523,8))),ISNUMBER(-LEFT(CH523,8))),VALUE(LEFT(CH523,4)),VALUE(LEFT(CH523,FIND("-",CH523)-1)))),""))</f>
        <v/>
      </c>
      <c r="CN523">
        <f>IF(CH523="","",IFERROR(IF(AND(LEN(CH523)=9,ISERROR(FIND("-",LEFT(CH523,8))),ISNUMBER(-LEFT(CH523,8))),VALUE(MID(CH523,5,2)),VALUE(MID(CH523,FIND("-",CH523)+1,FIND("-",CH523,FIND("-",CH523)+1)-FIND("-",CH523)-1))),""))</f>
        <v/>
      </c>
      <c r="CO523">
        <f>IF(CH523="","",IFERROR(IF(AND(LEN(CH523)=9,ISERROR(FIND("-",LEFT(CH523,8))),ISNUMBER(-LEFT(CH523,8))),VALUE(MID(CH523,7,2)),VALUE(MID(CH523,FIND("-",CH523,FIND("-",CH523)+1)+1,FIND("-",CH523,FIND("-",CH523,FIND("-",CH523)+1)+1)-FIND("-",CH523,FIND("-",CH523)+1)-1))),""))</f>
        <v/>
      </c>
    </row>
    <row r="524">
      <c r="CH524">
        <f>IF(ISTEXT('월 가계부'!A524),SUBSTITUTE(SUBSTITUTE(SUBSTITUTE(SUBSTITUTE(SUBSTITUTE(SUBSTITUTE(SUBSTITUTE(SUBSTITUTE(SUBSTITUTE(TRIM('월 가계부'!A524),"년","-"),"월","-"),"일",""),".","-"),"/","-")," ","-"),"--","-"),"--","-"),"--","-")&amp;"-","")</f>
        <v/>
      </c>
      <c r="CI524">
        <f>IFERROR(IF('월 가계부'!A524="","",IF(ISNUMBER('월 가계부'!A524),IF(AND('월 가계부'!A524&gt;=19000101,'월 가계부'!A524&lt;=21001231),IF(AND(MOD(INT('월 가계부'!A524/100),100)&gt;=1,MOD(INT('월 가계부'!A524/100),100)&lt;=12,MOD(INT('월 가계부'!A524),100)&gt;=1,MOD(INT('월 가계부'!A524),100)&lt;=31),IF(MONTH(DATE(INT('월 가계부'!A524/10000),MOD(INT('월 가계부'!A524/100),100),MOD(INT('월 가계부'!A524),100)))=MOD(INT('월 가계부'!A524/100),100),DATE(INT('월 가계부'!A524/10000),MOD(INT('월 가계부'!A524/100),100),MOD(INT('월 가계부'!A524),100)),""),""),IF(AND('월 가계부'!A524&gt;=36526,'월 가계부'!A524&lt;73051),INT('월 가계부'!A524),"")),IF(OR(CM524="",CN524="",CO524=""),"",IF(AND(CM524&gt;=2000,CM524&lt;=2099,CN524&gt;=1,CN524&lt;=12,CO524&gt;=1,CO524&lt;=31),IF(MONTH(DATE(CM524,CN524,CO524))=CN524,DATE(CM524,CN524,CO524),""),"")))),"")</f>
        <v/>
      </c>
      <c r="CJ524">
        <f>IFERROR(IF('월 가계부'!C524="","",IF(ISNUMBER('월 가계부'!C524),'월 가계부'!C524,VALUE(SUBSTITUTE(SUBSTITUTE(SUBSTITUTE(SUBSTITUTE(TRIM('월 가계부'!C524),",",""),"원","")," ",""),"−","-")))),"")</f>
        <v/>
      </c>
      <c r="CK524">
        <f>IF(ISNUMBER(CI524),IF(CI524&lt;$B$13,CI524,""),"")</f>
        <v/>
      </c>
      <c r="CM524">
        <f>IF(CH524="","",IFERROR(IF(IF(AND(LEN(CH524)=9,ISERROR(FIND("-",LEFT(CH524,8))),ISNUMBER(-LEFT(CH524,8))),VALUE(LEFT(CH524,4)),VALUE(LEFT(CH524,FIND("-",CH524)-1)))&lt;100,IF(AND(LEN(CH524)=9,ISERROR(FIND("-",LEFT(CH524,8))),ISNUMBER(-LEFT(CH524,8))),VALUE(LEFT(CH524,4)),VALUE(LEFT(CH524,FIND("-",CH524)-1)))+2000,IF(AND(LEN(CH524)=9,ISERROR(FIND("-",LEFT(CH524,8))),ISNUMBER(-LEFT(CH524,8))),VALUE(LEFT(CH524,4)),VALUE(LEFT(CH524,FIND("-",CH524)-1)))),""))</f>
        <v/>
      </c>
      <c r="CN524">
        <f>IF(CH524="","",IFERROR(IF(AND(LEN(CH524)=9,ISERROR(FIND("-",LEFT(CH524,8))),ISNUMBER(-LEFT(CH524,8))),VALUE(MID(CH524,5,2)),VALUE(MID(CH524,FIND("-",CH524)+1,FIND("-",CH524,FIND("-",CH524)+1)-FIND("-",CH524)-1))),""))</f>
        <v/>
      </c>
      <c r="CO524">
        <f>IF(CH524="","",IFERROR(IF(AND(LEN(CH524)=9,ISERROR(FIND("-",LEFT(CH524,8))),ISNUMBER(-LEFT(CH524,8))),VALUE(MID(CH524,7,2)),VALUE(MID(CH524,FIND("-",CH524,FIND("-",CH524)+1)+1,FIND("-",CH524,FIND("-",CH524,FIND("-",CH524)+1)+1)-FIND("-",CH524,FIND("-",CH524)+1)-1))),""))</f>
        <v/>
      </c>
    </row>
    <row r="525">
      <c r="CH525">
        <f>IF(ISTEXT('월 가계부'!A525),SUBSTITUTE(SUBSTITUTE(SUBSTITUTE(SUBSTITUTE(SUBSTITUTE(SUBSTITUTE(SUBSTITUTE(SUBSTITUTE(SUBSTITUTE(TRIM('월 가계부'!A525),"년","-"),"월","-"),"일",""),".","-"),"/","-")," ","-"),"--","-"),"--","-"),"--","-")&amp;"-","")</f>
        <v/>
      </c>
      <c r="CI525">
        <f>IFERROR(IF('월 가계부'!A525="","",IF(ISNUMBER('월 가계부'!A525),IF(AND('월 가계부'!A525&gt;=19000101,'월 가계부'!A525&lt;=21001231),IF(AND(MOD(INT('월 가계부'!A525/100),100)&gt;=1,MOD(INT('월 가계부'!A525/100),100)&lt;=12,MOD(INT('월 가계부'!A525),100)&gt;=1,MOD(INT('월 가계부'!A525),100)&lt;=31),IF(MONTH(DATE(INT('월 가계부'!A525/10000),MOD(INT('월 가계부'!A525/100),100),MOD(INT('월 가계부'!A525),100)))=MOD(INT('월 가계부'!A525/100),100),DATE(INT('월 가계부'!A525/10000),MOD(INT('월 가계부'!A525/100),100),MOD(INT('월 가계부'!A525),100)),""),""),IF(AND('월 가계부'!A525&gt;=36526,'월 가계부'!A525&lt;73051),INT('월 가계부'!A525),"")),IF(OR(CM525="",CN525="",CO525=""),"",IF(AND(CM525&gt;=2000,CM525&lt;=2099,CN525&gt;=1,CN525&lt;=12,CO525&gt;=1,CO525&lt;=31),IF(MONTH(DATE(CM525,CN525,CO525))=CN525,DATE(CM525,CN525,CO525),""),"")))),"")</f>
        <v/>
      </c>
      <c r="CJ525">
        <f>IFERROR(IF('월 가계부'!C525="","",IF(ISNUMBER('월 가계부'!C525),'월 가계부'!C525,VALUE(SUBSTITUTE(SUBSTITUTE(SUBSTITUTE(SUBSTITUTE(TRIM('월 가계부'!C525),",",""),"원","")," ",""),"−","-")))),"")</f>
        <v/>
      </c>
      <c r="CK525">
        <f>IF(ISNUMBER(CI525),IF(CI525&lt;$B$13,CI525,""),"")</f>
        <v/>
      </c>
      <c r="CM525">
        <f>IF(CH525="","",IFERROR(IF(IF(AND(LEN(CH525)=9,ISERROR(FIND("-",LEFT(CH525,8))),ISNUMBER(-LEFT(CH525,8))),VALUE(LEFT(CH525,4)),VALUE(LEFT(CH525,FIND("-",CH525)-1)))&lt;100,IF(AND(LEN(CH525)=9,ISERROR(FIND("-",LEFT(CH525,8))),ISNUMBER(-LEFT(CH525,8))),VALUE(LEFT(CH525,4)),VALUE(LEFT(CH525,FIND("-",CH525)-1)))+2000,IF(AND(LEN(CH525)=9,ISERROR(FIND("-",LEFT(CH525,8))),ISNUMBER(-LEFT(CH525,8))),VALUE(LEFT(CH525,4)),VALUE(LEFT(CH525,FIND("-",CH525)-1)))),""))</f>
        <v/>
      </c>
      <c r="CN525">
        <f>IF(CH525="","",IFERROR(IF(AND(LEN(CH525)=9,ISERROR(FIND("-",LEFT(CH525,8))),ISNUMBER(-LEFT(CH525,8))),VALUE(MID(CH525,5,2)),VALUE(MID(CH525,FIND("-",CH525)+1,FIND("-",CH525,FIND("-",CH525)+1)-FIND("-",CH525)-1))),""))</f>
        <v/>
      </c>
      <c r="CO525">
        <f>IF(CH525="","",IFERROR(IF(AND(LEN(CH525)=9,ISERROR(FIND("-",LEFT(CH525,8))),ISNUMBER(-LEFT(CH525,8))),VALUE(MID(CH525,7,2)),VALUE(MID(CH525,FIND("-",CH525,FIND("-",CH525)+1)+1,FIND("-",CH525,FIND("-",CH525,FIND("-",CH525)+1)+1)-FIND("-",CH525,FIND("-",CH525)+1)-1))),""))</f>
        <v/>
      </c>
    </row>
    <row r="526">
      <c r="CH526">
        <f>IF(ISTEXT('월 가계부'!A526),SUBSTITUTE(SUBSTITUTE(SUBSTITUTE(SUBSTITUTE(SUBSTITUTE(SUBSTITUTE(SUBSTITUTE(SUBSTITUTE(SUBSTITUTE(TRIM('월 가계부'!A526),"년","-"),"월","-"),"일",""),".","-"),"/","-")," ","-"),"--","-"),"--","-"),"--","-")&amp;"-","")</f>
        <v/>
      </c>
      <c r="CI526">
        <f>IFERROR(IF('월 가계부'!A526="","",IF(ISNUMBER('월 가계부'!A526),IF(AND('월 가계부'!A526&gt;=19000101,'월 가계부'!A526&lt;=21001231),IF(AND(MOD(INT('월 가계부'!A526/100),100)&gt;=1,MOD(INT('월 가계부'!A526/100),100)&lt;=12,MOD(INT('월 가계부'!A526),100)&gt;=1,MOD(INT('월 가계부'!A526),100)&lt;=31),IF(MONTH(DATE(INT('월 가계부'!A526/10000),MOD(INT('월 가계부'!A526/100),100),MOD(INT('월 가계부'!A526),100)))=MOD(INT('월 가계부'!A526/100),100),DATE(INT('월 가계부'!A526/10000),MOD(INT('월 가계부'!A526/100),100),MOD(INT('월 가계부'!A526),100)),""),""),IF(AND('월 가계부'!A526&gt;=36526,'월 가계부'!A526&lt;73051),INT('월 가계부'!A526),"")),IF(OR(CM526="",CN526="",CO526=""),"",IF(AND(CM526&gt;=2000,CM526&lt;=2099,CN526&gt;=1,CN526&lt;=12,CO526&gt;=1,CO526&lt;=31),IF(MONTH(DATE(CM526,CN526,CO526))=CN526,DATE(CM526,CN526,CO526),""),"")))),"")</f>
        <v/>
      </c>
      <c r="CJ526">
        <f>IFERROR(IF('월 가계부'!C526="","",IF(ISNUMBER('월 가계부'!C526),'월 가계부'!C526,VALUE(SUBSTITUTE(SUBSTITUTE(SUBSTITUTE(SUBSTITUTE(TRIM('월 가계부'!C526),",",""),"원","")," ",""),"−","-")))),"")</f>
        <v/>
      </c>
      <c r="CK526">
        <f>IF(ISNUMBER(CI526),IF(CI526&lt;$B$13,CI526,""),"")</f>
        <v/>
      </c>
      <c r="CM526">
        <f>IF(CH526="","",IFERROR(IF(IF(AND(LEN(CH526)=9,ISERROR(FIND("-",LEFT(CH526,8))),ISNUMBER(-LEFT(CH526,8))),VALUE(LEFT(CH526,4)),VALUE(LEFT(CH526,FIND("-",CH526)-1)))&lt;100,IF(AND(LEN(CH526)=9,ISERROR(FIND("-",LEFT(CH526,8))),ISNUMBER(-LEFT(CH526,8))),VALUE(LEFT(CH526,4)),VALUE(LEFT(CH526,FIND("-",CH526)-1)))+2000,IF(AND(LEN(CH526)=9,ISERROR(FIND("-",LEFT(CH526,8))),ISNUMBER(-LEFT(CH526,8))),VALUE(LEFT(CH526,4)),VALUE(LEFT(CH526,FIND("-",CH526)-1)))),""))</f>
        <v/>
      </c>
      <c r="CN526">
        <f>IF(CH526="","",IFERROR(IF(AND(LEN(CH526)=9,ISERROR(FIND("-",LEFT(CH526,8))),ISNUMBER(-LEFT(CH526,8))),VALUE(MID(CH526,5,2)),VALUE(MID(CH526,FIND("-",CH526)+1,FIND("-",CH526,FIND("-",CH526)+1)-FIND("-",CH526)-1))),""))</f>
        <v/>
      </c>
      <c r="CO526">
        <f>IF(CH526="","",IFERROR(IF(AND(LEN(CH526)=9,ISERROR(FIND("-",LEFT(CH526,8))),ISNUMBER(-LEFT(CH526,8))),VALUE(MID(CH526,7,2)),VALUE(MID(CH526,FIND("-",CH526,FIND("-",CH526)+1)+1,FIND("-",CH526,FIND("-",CH526,FIND("-",CH526)+1)+1)-FIND("-",CH526,FIND("-",CH526)+1)-1))),""))</f>
        <v/>
      </c>
    </row>
    <row r="527">
      <c r="CH527">
        <f>IF(ISTEXT('월 가계부'!A527),SUBSTITUTE(SUBSTITUTE(SUBSTITUTE(SUBSTITUTE(SUBSTITUTE(SUBSTITUTE(SUBSTITUTE(SUBSTITUTE(SUBSTITUTE(TRIM('월 가계부'!A527),"년","-"),"월","-"),"일",""),".","-"),"/","-")," ","-"),"--","-"),"--","-"),"--","-")&amp;"-","")</f>
        <v/>
      </c>
      <c r="CI527">
        <f>IFERROR(IF('월 가계부'!A527="","",IF(ISNUMBER('월 가계부'!A527),IF(AND('월 가계부'!A527&gt;=19000101,'월 가계부'!A527&lt;=21001231),IF(AND(MOD(INT('월 가계부'!A527/100),100)&gt;=1,MOD(INT('월 가계부'!A527/100),100)&lt;=12,MOD(INT('월 가계부'!A527),100)&gt;=1,MOD(INT('월 가계부'!A527),100)&lt;=31),IF(MONTH(DATE(INT('월 가계부'!A527/10000),MOD(INT('월 가계부'!A527/100),100),MOD(INT('월 가계부'!A527),100)))=MOD(INT('월 가계부'!A527/100),100),DATE(INT('월 가계부'!A527/10000),MOD(INT('월 가계부'!A527/100),100),MOD(INT('월 가계부'!A527),100)),""),""),IF(AND('월 가계부'!A527&gt;=36526,'월 가계부'!A527&lt;73051),INT('월 가계부'!A527),"")),IF(OR(CM527="",CN527="",CO527=""),"",IF(AND(CM527&gt;=2000,CM527&lt;=2099,CN527&gt;=1,CN527&lt;=12,CO527&gt;=1,CO527&lt;=31),IF(MONTH(DATE(CM527,CN527,CO527))=CN527,DATE(CM527,CN527,CO527),""),"")))),"")</f>
        <v/>
      </c>
      <c r="CJ527">
        <f>IFERROR(IF('월 가계부'!C527="","",IF(ISNUMBER('월 가계부'!C527),'월 가계부'!C527,VALUE(SUBSTITUTE(SUBSTITUTE(SUBSTITUTE(SUBSTITUTE(TRIM('월 가계부'!C527),",",""),"원","")," ",""),"−","-")))),"")</f>
        <v/>
      </c>
      <c r="CK527">
        <f>IF(ISNUMBER(CI527),IF(CI527&lt;$B$13,CI527,""),"")</f>
        <v/>
      </c>
      <c r="CM527">
        <f>IF(CH527="","",IFERROR(IF(IF(AND(LEN(CH527)=9,ISERROR(FIND("-",LEFT(CH527,8))),ISNUMBER(-LEFT(CH527,8))),VALUE(LEFT(CH527,4)),VALUE(LEFT(CH527,FIND("-",CH527)-1)))&lt;100,IF(AND(LEN(CH527)=9,ISERROR(FIND("-",LEFT(CH527,8))),ISNUMBER(-LEFT(CH527,8))),VALUE(LEFT(CH527,4)),VALUE(LEFT(CH527,FIND("-",CH527)-1)))+2000,IF(AND(LEN(CH527)=9,ISERROR(FIND("-",LEFT(CH527,8))),ISNUMBER(-LEFT(CH527,8))),VALUE(LEFT(CH527,4)),VALUE(LEFT(CH527,FIND("-",CH527)-1)))),""))</f>
        <v/>
      </c>
      <c r="CN527">
        <f>IF(CH527="","",IFERROR(IF(AND(LEN(CH527)=9,ISERROR(FIND("-",LEFT(CH527,8))),ISNUMBER(-LEFT(CH527,8))),VALUE(MID(CH527,5,2)),VALUE(MID(CH527,FIND("-",CH527)+1,FIND("-",CH527,FIND("-",CH527)+1)-FIND("-",CH527)-1))),""))</f>
        <v/>
      </c>
      <c r="CO527">
        <f>IF(CH527="","",IFERROR(IF(AND(LEN(CH527)=9,ISERROR(FIND("-",LEFT(CH527,8))),ISNUMBER(-LEFT(CH527,8))),VALUE(MID(CH527,7,2)),VALUE(MID(CH527,FIND("-",CH527,FIND("-",CH527)+1)+1,FIND("-",CH527,FIND("-",CH527,FIND("-",CH527)+1)+1)-FIND("-",CH527,FIND("-",CH527)+1)-1))),""))</f>
        <v/>
      </c>
    </row>
    <row r="528">
      <c r="CH528">
        <f>IF(ISTEXT('월 가계부'!A528),SUBSTITUTE(SUBSTITUTE(SUBSTITUTE(SUBSTITUTE(SUBSTITUTE(SUBSTITUTE(SUBSTITUTE(SUBSTITUTE(SUBSTITUTE(TRIM('월 가계부'!A528),"년","-"),"월","-"),"일",""),".","-"),"/","-")," ","-"),"--","-"),"--","-"),"--","-")&amp;"-","")</f>
        <v/>
      </c>
      <c r="CI528">
        <f>IFERROR(IF('월 가계부'!A528="","",IF(ISNUMBER('월 가계부'!A528),IF(AND('월 가계부'!A528&gt;=19000101,'월 가계부'!A528&lt;=21001231),IF(AND(MOD(INT('월 가계부'!A528/100),100)&gt;=1,MOD(INT('월 가계부'!A528/100),100)&lt;=12,MOD(INT('월 가계부'!A528),100)&gt;=1,MOD(INT('월 가계부'!A528),100)&lt;=31),IF(MONTH(DATE(INT('월 가계부'!A528/10000),MOD(INT('월 가계부'!A528/100),100),MOD(INT('월 가계부'!A528),100)))=MOD(INT('월 가계부'!A528/100),100),DATE(INT('월 가계부'!A528/10000),MOD(INT('월 가계부'!A528/100),100),MOD(INT('월 가계부'!A528),100)),""),""),IF(AND('월 가계부'!A528&gt;=36526,'월 가계부'!A528&lt;73051),INT('월 가계부'!A528),"")),IF(OR(CM528="",CN528="",CO528=""),"",IF(AND(CM528&gt;=2000,CM528&lt;=2099,CN528&gt;=1,CN528&lt;=12,CO528&gt;=1,CO528&lt;=31),IF(MONTH(DATE(CM528,CN528,CO528))=CN528,DATE(CM528,CN528,CO528),""),"")))),"")</f>
        <v/>
      </c>
      <c r="CJ528">
        <f>IFERROR(IF('월 가계부'!C528="","",IF(ISNUMBER('월 가계부'!C528),'월 가계부'!C528,VALUE(SUBSTITUTE(SUBSTITUTE(SUBSTITUTE(SUBSTITUTE(TRIM('월 가계부'!C528),",",""),"원","")," ",""),"−","-")))),"")</f>
        <v/>
      </c>
      <c r="CK528">
        <f>IF(ISNUMBER(CI528),IF(CI528&lt;$B$13,CI528,""),"")</f>
        <v/>
      </c>
      <c r="CM528">
        <f>IF(CH528="","",IFERROR(IF(IF(AND(LEN(CH528)=9,ISERROR(FIND("-",LEFT(CH528,8))),ISNUMBER(-LEFT(CH528,8))),VALUE(LEFT(CH528,4)),VALUE(LEFT(CH528,FIND("-",CH528)-1)))&lt;100,IF(AND(LEN(CH528)=9,ISERROR(FIND("-",LEFT(CH528,8))),ISNUMBER(-LEFT(CH528,8))),VALUE(LEFT(CH528,4)),VALUE(LEFT(CH528,FIND("-",CH528)-1)))+2000,IF(AND(LEN(CH528)=9,ISERROR(FIND("-",LEFT(CH528,8))),ISNUMBER(-LEFT(CH528,8))),VALUE(LEFT(CH528,4)),VALUE(LEFT(CH528,FIND("-",CH528)-1)))),""))</f>
        <v/>
      </c>
      <c r="CN528">
        <f>IF(CH528="","",IFERROR(IF(AND(LEN(CH528)=9,ISERROR(FIND("-",LEFT(CH528,8))),ISNUMBER(-LEFT(CH528,8))),VALUE(MID(CH528,5,2)),VALUE(MID(CH528,FIND("-",CH528)+1,FIND("-",CH528,FIND("-",CH528)+1)-FIND("-",CH528)-1))),""))</f>
        <v/>
      </c>
      <c r="CO528">
        <f>IF(CH528="","",IFERROR(IF(AND(LEN(CH528)=9,ISERROR(FIND("-",LEFT(CH528,8))),ISNUMBER(-LEFT(CH528,8))),VALUE(MID(CH528,7,2)),VALUE(MID(CH528,FIND("-",CH528,FIND("-",CH528)+1)+1,FIND("-",CH528,FIND("-",CH528,FIND("-",CH528)+1)+1)-FIND("-",CH528,FIND("-",CH528)+1)-1))),""))</f>
        <v/>
      </c>
    </row>
    <row r="529">
      <c r="CH529">
        <f>IF(ISTEXT('월 가계부'!A529),SUBSTITUTE(SUBSTITUTE(SUBSTITUTE(SUBSTITUTE(SUBSTITUTE(SUBSTITUTE(SUBSTITUTE(SUBSTITUTE(SUBSTITUTE(TRIM('월 가계부'!A529),"년","-"),"월","-"),"일",""),".","-"),"/","-")," ","-"),"--","-"),"--","-"),"--","-")&amp;"-","")</f>
        <v/>
      </c>
      <c r="CI529">
        <f>IFERROR(IF('월 가계부'!A529="","",IF(ISNUMBER('월 가계부'!A529),IF(AND('월 가계부'!A529&gt;=19000101,'월 가계부'!A529&lt;=21001231),IF(AND(MOD(INT('월 가계부'!A529/100),100)&gt;=1,MOD(INT('월 가계부'!A529/100),100)&lt;=12,MOD(INT('월 가계부'!A529),100)&gt;=1,MOD(INT('월 가계부'!A529),100)&lt;=31),IF(MONTH(DATE(INT('월 가계부'!A529/10000),MOD(INT('월 가계부'!A529/100),100),MOD(INT('월 가계부'!A529),100)))=MOD(INT('월 가계부'!A529/100),100),DATE(INT('월 가계부'!A529/10000),MOD(INT('월 가계부'!A529/100),100),MOD(INT('월 가계부'!A529),100)),""),""),IF(AND('월 가계부'!A529&gt;=36526,'월 가계부'!A529&lt;73051),INT('월 가계부'!A529),"")),IF(OR(CM529="",CN529="",CO529=""),"",IF(AND(CM529&gt;=2000,CM529&lt;=2099,CN529&gt;=1,CN529&lt;=12,CO529&gt;=1,CO529&lt;=31),IF(MONTH(DATE(CM529,CN529,CO529))=CN529,DATE(CM529,CN529,CO529),""),"")))),"")</f>
        <v/>
      </c>
      <c r="CJ529">
        <f>IFERROR(IF('월 가계부'!C529="","",IF(ISNUMBER('월 가계부'!C529),'월 가계부'!C529,VALUE(SUBSTITUTE(SUBSTITUTE(SUBSTITUTE(SUBSTITUTE(TRIM('월 가계부'!C529),",",""),"원","")," ",""),"−","-")))),"")</f>
        <v/>
      </c>
      <c r="CK529">
        <f>IF(ISNUMBER(CI529),IF(CI529&lt;$B$13,CI529,""),"")</f>
        <v/>
      </c>
      <c r="CM529">
        <f>IF(CH529="","",IFERROR(IF(IF(AND(LEN(CH529)=9,ISERROR(FIND("-",LEFT(CH529,8))),ISNUMBER(-LEFT(CH529,8))),VALUE(LEFT(CH529,4)),VALUE(LEFT(CH529,FIND("-",CH529)-1)))&lt;100,IF(AND(LEN(CH529)=9,ISERROR(FIND("-",LEFT(CH529,8))),ISNUMBER(-LEFT(CH529,8))),VALUE(LEFT(CH529,4)),VALUE(LEFT(CH529,FIND("-",CH529)-1)))+2000,IF(AND(LEN(CH529)=9,ISERROR(FIND("-",LEFT(CH529,8))),ISNUMBER(-LEFT(CH529,8))),VALUE(LEFT(CH529,4)),VALUE(LEFT(CH529,FIND("-",CH529)-1)))),""))</f>
        <v/>
      </c>
      <c r="CN529">
        <f>IF(CH529="","",IFERROR(IF(AND(LEN(CH529)=9,ISERROR(FIND("-",LEFT(CH529,8))),ISNUMBER(-LEFT(CH529,8))),VALUE(MID(CH529,5,2)),VALUE(MID(CH529,FIND("-",CH529)+1,FIND("-",CH529,FIND("-",CH529)+1)-FIND("-",CH529)-1))),""))</f>
        <v/>
      </c>
      <c r="CO529">
        <f>IF(CH529="","",IFERROR(IF(AND(LEN(CH529)=9,ISERROR(FIND("-",LEFT(CH529,8))),ISNUMBER(-LEFT(CH529,8))),VALUE(MID(CH529,7,2)),VALUE(MID(CH529,FIND("-",CH529,FIND("-",CH529)+1)+1,FIND("-",CH529,FIND("-",CH529,FIND("-",CH529)+1)+1)-FIND("-",CH529,FIND("-",CH529)+1)-1))),""))</f>
        <v/>
      </c>
    </row>
    <row r="530">
      <c r="CH530">
        <f>IF(ISTEXT('월 가계부'!A530),SUBSTITUTE(SUBSTITUTE(SUBSTITUTE(SUBSTITUTE(SUBSTITUTE(SUBSTITUTE(SUBSTITUTE(SUBSTITUTE(SUBSTITUTE(TRIM('월 가계부'!A530),"년","-"),"월","-"),"일",""),".","-"),"/","-")," ","-"),"--","-"),"--","-"),"--","-")&amp;"-","")</f>
        <v/>
      </c>
      <c r="CI530">
        <f>IFERROR(IF('월 가계부'!A530="","",IF(ISNUMBER('월 가계부'!A530),IF(AND('월 가계부'!A530&gt;=19000101,'월 가계부'!A530&lt;=21001231),IF(AND(MOD(INT('월 가계부'!A530/100),100)&gt;=1,MOD(INT('월 가계부'!A530/100),100)&lt;=12,MOD(INT('월 가계부'!A530),100)&gt;=1,MOD(INT('월 가계부'!A530),100)&lt;=31),IF(MONTH(DATE(INT('월 가계부'!A530/10000),MOD(INT('월 가계부'!A530/100),100),MOD(INT('월 가계부'!A530),100)))=MOD(INT('월 가계부'!A530/100),100),DATE(INT('월 가계부'!A530/10000),MOD(INT('월 가계부'!A530/100),100),MOD(INT('월 가계부'!A530),100)),""),""),IF(AND('월 가계부'!A530&gt;=36526,'월 가계부'!A530&lt;73051),INT('월 가계부'!A530),"")),IF(OR(CM530="",CN530="",CO530=""),"",IF(AND(CM530&gt;=2000,CM530&lt;=2099,CN530&gt;=1,CN530&lt;=12,CO530&gt;=1,CO530&lt;=31),IF(MONTH(DATE(CM530,CN530,CO530))=CN530,DATE(CM530,CN530,CO530),""),"")))),"")</f>
        <v/>
      </c>
      <c r="CJ530">
        <f>IFERROR(IF('월 가계부'!C530="","",IF(ISNUMBER('월 가계부'!C530),'월 가계부'!C530,VALUE(SUBSTITUTE(SUBSTITUTE(SUBSTITUTE(SUBSTITUTE(TRIM('월 가계부'!C530),",",""),"원","")," ",""),"−","-")))),"")</f>
        <v/>
      </c>
      <c r="CK530">
        <f>IF(ISNUMBER(CI530),IF(CI530&lt;$B$13,CI530,""),"")</f>
        <v/>
      </c>
      <c r="CM530">
        <f>IF(CH530="","",IFERROR(IF(IF(AND(LEN(CH530)=9,ISERROR(FIND("-",LEFT(CH530,8))),ISNUMBER(-LEFT(CH530,8))),VALUE(LEFT(CH530,4)),VALUE(LEFT(CH530,FIND("-",CH530)-1)))&lt;100,IF(AND(LEN(CH530)=9,ISERROR(FIND("-",LEFT(CH530,8))),ISNUMBER(-LEFT(CH530,8))),VALUE(LEFT(CH530,4)),VALUE(LEFT(CH530,FIND("-",CH530)-1)))+2000,IF(AND(LEN(CH530)=9,ISERROR(FIND("-",LEFT(CH530,8))),ISNUMBER(-LEFT(CH530,8))),VALUE(LEFT(CH530,4)),VALUE(LEFT(CH530,FIND("-",CH530)-1)))),""))</f>
        <v/>
      </c>
      <c r="CN530">
        <f>IF(CH530="","",IFERROR(IF(AND(LEN(CH530)=9,ISERROR(FIND("-",LEFT(CH530,8))),ISNUMBER(-LEFT(CH530,8))),VALUE(MID(CH530,5,2)),VALUE(MID(CH530,FIND("-",CH530)+1,FIND("-",CH530,FIND("-",CH530)+1)-FIND("-",CH530)-1))),""))</f>
        <v/>
      </c>
      <c r="CO530">
        <f>IF(CH530="","",IFERROR(IF(AND(LEN(CH530)=9,ISERROR(FIND("-",LEFT(CH530,8))),ISNUMBER(-LEFT(CH530,8))),VALUE(MID(CH530,7,2)),VALUE(MID(CH530,FIND("-",CH530,FIND("-",CH530)+1)+1,FIND("-",CH530,FIND("-",CH530,FIND("-",CH530)+1)+1)-FIND("-",CH530,FIND("-",CH530)+1)-1))),""))</f>
        <v/>
      </c>
    </row>
    <row r="531">
      <c r="CH531">
        <f>IF(ISTEXT('월 가계부'!A531),SUBSTITUTE(SUBSTITUTE(SUBSTITUTE(SUBSTITUTE(SUBSTITUTE(SUBSTITUTE(SUBSTITUTE(SUBSTITUTE(SUBSTITUTE(TRIM('월 가계부'!A531),"년","-"),"월","-"),"일",""),".","-"),"/","-")," ","-"),"--","-"),"--","-"),"--","-")&amp;"-","")</f>
        <v/>
      </c>
      <c r="CI531">
        <f>IFERROR(IF('월 가계부'!A531="","",IF(ISNUMBER('월 가계부'!A531),IF(AND('월 가계부'!A531&gt;=19000101,'월 가계부'!A531&lt;=21001231),IF(AND(MOD(INT('월 가계부'!A531/100),100)&gt;=1,MOD(INT('월 가계부'!A531/100),100)&lt;=12,MOD(INT('월 가계부'!A531),100)&gt;=1,MOD(INT('월 가계부'!A531),100)&lt;=31),IF(MONTH(DATE(INT('월 가계부'!A531/10000),MOD(INT('월 가계부'!A531/100),100),MOD(INT('월 가계부'!A531),100)))=MOD(INT('월 가계부'!A531/100),100),DATE(INT('월 가계부'!A531/10000),MOD(INT('월 가계부'!A531/100),100),MOD(INT('월 가계부'!A531),100)),""),""),IF(AND('월 가계부'!A531&gt;=36526,'월 가계부'!A531&lt;73051),INT('월 가계부'!A531),"")),IF(OR(CM531="",CN531="",CO531=""),"",IF(AND(CM531&gt;=2000,CM531&lt;=2099,CN531&gt;=1,CN531&lt;=12,CO531&gt;=1,CO531&lt;=31),IF(MONTH(DATE(CM531,CN531,CO531))=CN531,DATE(CM531,CN531,CO531),""),"")))),"")</f>
        <v/>
      </c>
      <c r="CJ531">
        <f>IFERROR(IF('월 가계부'!C531="","",IF(ISNUMBER('월 가계부'!C531),'월 가계부'!C531,VALUE(SUBSTITUTE(SUBSTITUTE(SUBSTITUTE(SUBSTITUTE(TRIM('월 가계부'!C531),",",""),"원","")," ",""),"−","-")))),"")</f>
        <v/>
      </c>
      <c r="CK531">
        <f>IF(ISNUMBER(CI531),IF(CI531&lt;$B$13,CI531,""),"")</f>
        <v/>
      </c>
      <c r="CM531">
        <f>IF(CH531="","",IFERROR(IF(IF(AND(LEN(CH531)=9,ISERROR(FIND("-",LEFT(CH531,8))),ISNUMBER(-LEFT(CH531,8))),VALUE(LEFT(CH531,4)),VALUE(LEFT(CH531,FIND("-",CH531)-1)))&lt;100,IF(AND(LEN(CH531)=9,ISERROR(FIND("-",LEFT(CH531,8))),ISNUMBER(-LEFT(CH531,8))),VALUE(LEFT(CH531,4)),VALUE(LEFT(CH531,FIND("-",CH531)-1)))+2000,IF(AND(LEN(CH531)=9,ISERROR(FIND("-",LEFT(CH531,8))),ISNUMBER(-LEFT(CH531,8))),VALUE(LEFT(CH531,4)),VALUE(LEFT(CH531,FIND("-",CH531)-1)))),""))</f>
        <v/>
      </c>
      <c r="CN531">
        <f>IF(CH531="","",IFERROR(IF(AND(LEN(CH531)=9,ISERROR(FIND("-",LEFT(CH531,8))),ISNUMBER(-LEFT(CH531,8))),VALUE(MID(CH531,5,2)),VALUE(MID(CH531,FIND("-",CH531)+1,FIND("-",CH531,FIND("-",CH531)+1)-FIND("-",CH531)-1))),""))</f>
        <v/>
      </c>
      <c r="CO531">
        <f>IF(CH531="","",IFERROR(IF(AND(LEN(CH531)=9,ISERROR(FIND("-",LEFT(CH531,8))),ISNUMBER(-LEFT(CH531,8))),VALUE(MID(CH531,7,2)),VALUE(MID(CH531,FIND("-",CH531,FIND("-",CH531)+1)+1,FIND("-",CH531,FIND("-",CH531,FIND("-",CH531)+1)+1)-FIND("-",CH531,FIND("-",CH531)+1)-1))),""))</f>
        <v/>
      </c>
    </row>
    <row r="532">
      <c r="CH532">
        <f>IF(ISTEXT('월 가계부'!A532),SUBSTITUTE(SUBSTITUTE(SUBSTITUTE(SUBSTITUTE(SUBSTITUTE(SUBSTITUTE(SUBSTITUTE(SUBSTITUTE(SUBSTITUTE(TRIM('월 가계부'!A532),"년","-"),"월","-"),"일",""),".","-"),"/","-")," ","-"),"--","-"),"--","-"),"--","-")&amp;"-","")</f>
        <v/>
      </c>
      <c r="CI532">
        <f>IFERROR(IF('월 가계부'!A532="","",IF(ISNUMBER('월 가계부'!A532),IF(AND('월 가계부'!A532&gt;=19000101,'월 가계부'!A532&lt;=21001231),IF(AND(MOD(INT('월 가계부'!A532/100),100)&gt;=1,MOD(INT('월 가계부'!A532/100),100)&lt;=12,MOD(INT('월 가계부'!A532),100)&gt;=1,MOD(INT('월 가계부'!A532),100)&lt;=31),IF(MONTH(DATE(INT('월 가계부'!A532/10000),MOD(INT('월 가계부'!A532/100),100),MOD(INT('월 가계부'!A532),100)))=MOD(INT('월 가계부'!A532/100),100),DATE(INT('월 가계부'!A532/10000),MOD(INT('월 가계부'!A532/100),100),MOD(INT('월 가계부'!A532),100)),""),""),IF(AND('월 가계부'!A532&gt;=36526,'월 가계부'!A532&lt;73051),INT('월 가계부'!A532),"")),IF(OR(CM532="",CN532="",CO532=""),"",IF(AND(CM532&gt;=2000,CM532&lt;=2099,CN532&gt;=1,CN532&lt;=12,CO532&gt;=1,CO532&lt;=31),IF(MONTH(DATE(CM532,CN532,CO532))=CN532,DATE(CM532,CN532,CO532),""),"")))),"")</f>
        <v/>
      </c>
      <c r="CJ532">
        <f>IFERROR(IF('월 가계부'!C532="","",IF(ISNUMBER('월 가계부'!C532),'월 가계부'!C532,VALUE(SUBSTITUTE(SUBSTITUTE(SUBSTITUTE(SUBSTITUTE(TRIM('월 가계부'!C532),",",""),"원","")," ",""),"−","-")))),"")</f>
        <v/>
      </c>
      <c r="CK532">
        <f>IF(ISNUMBER(CI532),IF(CI532&lt;$B$13,CI532,""),"")</f>
        <v/>
      </c>
      <c r="CM532">
        <f>IF(CH532="","",IFERROR(IF(IF(AND(LEN(CH532)=9,ISERROR(FIND("-",LEFT(CH532,8))),ISNUMBER(-LEFT(CH532,8))),VALUE(LEFT(CH532,4)),VALUE(LEFT(CH532,FIND("-",CH532)-1)))&lt;100,IF(AND(LEN(CH532)=9,ISERROR(FIND("-",LEFT(CH532,8))),ISNUMBER(-LEFT(CH532,8))),VALUE(LEFT(CH532,4)),VALUE(LEFT(CH532,FIND("-",CH532)-1)))+2000,IF(AND(LEN(CH532)=9,ISERROR(FIND("-",LEFT(CH532,8))),ISNUMBER(-LEFT(CH532,8))),VALUE(LEFT(CH532,4)),VALUE(LEFT(CH532,FIND("-",CH532)-1)))),""))</f>
        <v/>
      </c>
      <c r="CN532">
        <f>IF(CH532="","",IFERROR(IF(AND(LEN(CH532)=9,ISERROR(FIND("-",LEFT(CH532,8))),ISNUMBER(-LEFT(CH532,8))),VALUE(MID(CH532,5,2)),VALUE(MID(CH532,FIND("-",CH532)+1,FIND("-",CH532,FIND("-",CH532)+1)-FIND("-",CH532)-1))),""))</f>
        <v/>
      </c>
      <c r="CO532">
        <f>IF(CH532="","",IFERROR(IF(AND(LEN(CH532)=9,ISERROR(FIND("-",LEFT(CH532,8))),ISNUMBER(-LEFT(CH532,8))),VALUE(MID(CH532,7,2)),VALUE(MID(CH532,FIND("-",CH532,FIND("-",CH532)+1)+1,FIND("-",CH532,FIND("-",CH532,FIND("-",CH532)+1)+1)-FIND("-",CH532,FIND("-",CH532)+1)-1))),""))</f>
        <v/>
      </c>
    </row>
    <row r="533">
      <c r="CH533">
        <f>IF(ISTEXT('월 가계부'!A533),SUBSTITUTE(SUBSTITUTE(SUBSTITUTE(SUBSTITUTE(SUBSTITUTE(SUBSTITUTE(SUBSTITUTE(SUBSTITUTE(SUBSTITUTE(TRIM('월 가계부'!A533),"년","-"),"월","-"),"일",""),".","-"),"/","-")," ","-"),"--","-"),"--","-"),"--","-")&amp;"-","")</f>
        <v/>
      </c>
      <c r="CI533">
        <f>IFERROR(IF('월 가계부'!A533="","",IF(ISNUMBER('월 가계부'!A533),IF(AND('월 가계부'!A533&gt;=19000101,'월 가계부'!A533&lt;=21001231),IF(AND(MOD(INT('월 가계부'!A533/100),100)&gt;=1,MOD(INT('월 가계부'!A533/100),100)&lt;=12,MOD(INT('월 가계부'!A533),100)&gt;=1,MOD(INT('월 가계부'!A533),100)&lt;=31),IF(MONTH(DATE(INT('월 가계부'!A533/10000),MOD(INT('월 가계부'!A533/100),100),MOD(INT('월 가계부'!A533),100)))=MOD(INT('월 가계부'!A533/100),100),DATE(INT('월 가계부'!A533/10000),MOD(INT('월 가계부'!A533/100),100),MOD(INT('월 가계부'!A533),100)),""),""),IF(AND('월 가계부'!A533&gt;=36526,'월 가계부'!A533&lt;73051),INT('월 가계부'!A533),"")),IF(OR(CM533="",CN533="",CO533=""),"",IF(AND(CM533&gt;=2000,CM533&lt;=2099,CN533&gt;=1,CN533&lt;=12,CO533&gt;=1,CO533&lt;=31),IF(MONTH(DATE(CM533,CN533,CO533))=CN533,DATE(CM533,CN533,CO533),""),"")))),"")</f>
        <v/>
      </c>
      <c r="CJ533">
        <f>IFERROR(IF('월 가계부'!C533="","",IF(ISNUMBER('월 가계부'!C533),'월 가계부'!C533,VALUE(SUBSTITUTE(SUBSTITUTE(SUBSTITUTE(SUBSTITUTE(TRIM('월 가계부'!C533),",",""),"원","")," ",""),"−","-")))),"")</f>
        <v/>
      </c>
      <c r="CK533">
        <f>IF(ISNUMBER(CI533),IF(CI533&lt;$B$13,CI533,""),"")</f>
        <v/>
      </c>
      <c r="CM533">
        <f>IF(CH533="","",IFERROR(IF(IF(AND(LEN(CH533)=9,ISERROR(FIND("-",LEFT(CH533,8))),ISNUMBER(-LEFT(CH533,8))),VALUE(LEFT(CH533,4)),VALUE(LEFT(CH533,FIND("-",CH533)-1)))&lt;100,IF(AND(LEN(CH533)=9,ISERROR(FIND("-",LEFT(CH533,8))),ISNUMBER(-LEFT(CH533,8))),VALUE(LEFT(CH533,4)),VALUE(LEFT(CH533,FIND("-",CH533)-1)))+2000,IF(AND(LEN(CH533)=9,ISERROR(FIND("-",LEFT(CH533,8))),ISNUMBER(-LEFT(CH533,8))),VALUE(LEFT(CH533,4)),VALUE(LEFT(CH533,FIND("-",CH533)-1)))),""))</f>
        <v/>
      </c>
      <c r="CN533">
        <f>IF(CH533="","",IFERROR(IF(AND(LEN(CH533)=9,ISERROR(FIND("-",LEFT(CH533,8))),ISNUMBER(-LEFT(CH533,8))),VALUE(MID(CH533,5,2)),VALUE(MID(CH533,FIND("-",CH533)+1,FIND("-",CH533,FIND("-",CH533)+1)-FIND("-",CH533)-1))),""))</f>
        <v/>
      </c>
      <c r="CO533">
        <f>IF(CH533="","",IFERROR(IF(AND(LEN(CH533)=9,ISERROR(FIND("-",LEFT(CH533,8))),ISNUMBER(-LEFT(CH533,8))),VALUE(MID(CH533,7,2)),VALUE(MID(CH533,FIND("-",CH533,FIND("-",CH533)+1)+1,FIND("-",CH533,FIND("-",CH533,FIND("-",CH533)+1)+1)-FIND("-",CH533,FIND("-",CH533)+1)-1))),""))</f>
        <v/>
      </c>
    </row>
    <row r="534">
      <c r="CH534">
        <f>IF(ISTEXT('월 가계부'!A534),SUBSTITUTE(SUBSTITUTE(SUBSTITUTE(SUBSTITUTE(SUBSTITUTE(SUBSTITUTE(SUBSTITUTE(SUBSTITUTE(SUBSTITUTE(TRIM('월 가계부'!A534),"년","-"),"월","-"),"일",""),".","-"),"/","-")," ","-"),"--","-"),"--","-"),"--","-")&amp;"-","")</f>
        <v/>
      </c>
      <c r="CI534">
        <f>IFERROR(IF('월 가계부'!A534="","",IF(ISNUMBER('월 가계부'!A534),IF(AND('월 가계부'!A534&gt;=19000101,'월 가계부'!A534&lt;=21001231),IF(AND(MOD(INT('월 가계부'!A534/100),100)&gt;=1,MOD(INT('월 가계부'!A534/100),100)&lt;=12,MOD(INT('월 가계부'!A534),100)&gt;=1,MOD(INT('월 가계부'!A534),100)&lt;=31),IF(MONTH(DATE(INT('월 가계부'!A534/10000),MOD(INT('월 가계부'!A534/100),100),MOD(INT('월 가계부'!A534),100)))=MOD(INT('월 가계부'!A534/100),100),DATE(INT('월 가계부'!A534/10000),MOD(INT('월 가계부'!A534/100),100),MOD(INT('월 가계부'!A534),100)),""),""),IF(AND('월 가계부'!A534&gt;=36526,'월 가계부'!A534&lt;73051),INT('월 가계부'!A534),"")),IF(OR(CM534="",CN534="",CO534=""),"",IF(AND(CM534&gt;=2000,CM534&lt;=2099,CN534&gt;=1,CN534&lt;=12,CO534&gt;=1,CO534&lt;=31),IF(MONTH(DATE(CM534,CN534,CO534))=CN534,DATE(CM534,CN534,CO534),""),"")))),"")</f>
        <v/>
      </c>
      <c r="CJ534">
        <f>IFERROR(IF('월 가계부'!C534="","",IF(ISNUMBER('월 가계부'!C534),'월 가계부'!C534,VALUE(SUBSTITUTE(SUBSTITUTE(SUBSTITUTE(SUBSTITUTE(TRIM('월 가계부'!C534),",",""),"원","")," ",""),"−","-")))),"")</f>
        <v/>
      </c>
      <c r="CK534">
        <f>IF(ISNUMBER(CI534),IF(CI534&lt;$B$13,CI534,""),"")</f>
        <v/>
      </c>
      <c r="CM534">
        <f>IF(CH534="","",IFERROR(IF(IF(AND(LEN(CH534)=9,ISERROR(FIND("-",LEFT(CH534,8))),ISNUMBER(-LEFT(CH534,8))),VALUE(LEFT(CH534,4)),VALUE(LEFT(CH534,FIND("-",CH534)-1)))&lt;100,IF(AND(LEN(CH534)=9,ISERROR(FIND("-",LEFT(CH534,8))),ISNUMBER(-LEFT(CH534,8))),VALUE(LEFT(CH534,4)),VALUE(LEFT(CH534,FIND("-",CH534)-1)))+2000,IF(AND(LEN(CH534)=9,ISERROR(FIND("-",LEFT(CH534,8))),ISNUMBER(-LEFT(CH534,8))),VALUE(LEFT(CH534,4)),VALUE(LEFT(CH534,FIND("-",CH534)-1)))),""))</f>
        <v/>
      </c>
      <c r="CN534">
        <f>IF(CH534="","",IFERROR(IF(AND(LEN(CH534)=9,ISERROR(FIND("-",LEFT(CH534,8))),ISNUMBER(-LEFT(CH534,8))),VALUE(MID(CH534,5,2)),VALUE(MID(CH534,FIND("-",CH534)+1,FIND("-",CH534,FIND("-",CH534)+1)-FIND("-",CH534)-1))),""))</f>
        <v/>
      </c>
      <c r="CO534">
        <f>IF(CH534="","",IFERROR(IF(AND(LEN(CH534)=9,ISERROR(FIND("-",LEFT(CH534,8))),ISNUMBER(-LEFT(CH534,8))),VALUE(MID(CH534,7,2)),VALUE(MID(CH534,FIND("-",CH534,FIND("-",CH534)+1)+1,FIND("-",CH534,FIND("-",CH534,FIND("-",CH534)+1)+1)-FIND("-",CH534,FIND("-",CH534)+1)-1))),""))</f>
        <v/>
      </c>
    </row>
    <row r="535">
      <c r="CH535">
        <f>IF(ISTEXT('월 가계부'!A535),SUBSTITUTE(SUBSTITUTE(SUBSTITUTE(SUBSTITUTE(SUBSTITUTE(SUBSTITUTE(SUBSTITUTE(SUBSTITUTE(SUBSTITUTE(TRIM('월 가계부'!A535),"년","-"),"월","-"),"일",""),".","-"),"/","-")," ","-"),"--","-"),"--","-"),"--","-")&amp;"-","")</f>
        <v/>
      </c>
      <c r="CI535">
        <f>IFERROR(IF('월 가계부'!A535="","",IF(ISNUMBER('월 가계부'!A535),IF(AND('월 가계부'!A535&gt;=19000101,'월 가계부'!A535&lt;=21001231),IF(AND(MOD(INT('월 가계부'!A535/100),100)&gt;=1,MOD(INT('월 가계부'!A535/100),100)&lt;=12,MOD(INT('월 가계부'!A535),100)&gt;=1,MOD(INT('월 가계부'!A535),100)&lt;=31),IF(MONTH(DATE(INT('월 가계부'!A535/10000),MOD(INT('월 가계부'!A535/100),100),MOD(INT('월 가계부'!A535),100)))=MOD(INT('월 가계부'!A535/100),100),DATE(INT('월 가계부'!A535/10000),MOD(INT('월 가계부'!A535/100),100),MOD(INT('월 가계부'!A535),100)),""),""),IF(AND('월 가계부'!A535&gt;=36526,'월 가계부'!A535&lt;73051),INT('월 가계부'!A535),"")),IF(OR(CM535="",CN535="",CO535=""),"",IF(AND(CM535&gt;=2000,CM535&lt;=2099,CN535&gt;=1,CN535&lt;=12,CO535&gt;=1,CO535&lt;=31),IF(MONTH(DATE(CM535,CN535,CO535))=CN535,DATE(CM535,CN535,CO535),""),"")))),"")</f>
        <v/>
      </c>
      <c r="CJ535">
        <f>IFERROR(IF('월 가계부'!C535="","",IF(ISNUMBER('월 가계부'!C535),'월 가계부'!C535,VALUE(SUBSTITUTE(SUBSTITUTE(SUBSTITUTE(SUBSTITUTE(TRIM('월 가계부'!C535),",",""),"원","")," ",""),"−","-")))),"")</f>
        <v/>
      </c>
      <c r="CK535">
        <f>IF(ISNUMBER(CI535),IF(CI535&lt;$B$13,CI535,""),"")</f>
        <v/>
      </c>
      <c r="CM535">
        <f>IF(CH535="","",IFERROR(IF(IF(AND(LEN(CH535)=9,ISERROR(FIND("-",LEFT(CH535,8))),ISNUMBER(-LEFT(CH535,8))),VALUE(LEFT(CH535,4)),VALUE(LEFT(CH535,FIND("-",CH535)-1)))&lt;100,IF(AND(LEN(CH535)=9,ISERROR(FIND("-",LEFT(CH535,8))),ISNUMBER(-LEFT(CH535,8))),VALUE(LEFT(CH535,4)),VALUE(LEFT(CH535,FIND("-",CH535)-1)))+2000,IF(AND(LEN(CH535)=9,ISERROR(FIND("-",LEFT(CH535,8))),ISNUMBER(-LEFT(CH535,8))),VALUE(LEFT(CH535,4)),VALUE(LEFT(CH535,FIND("-",CH535)-1)))),""))</f>
        <v/>
      </c>
      <c r="CN535">
        <f>IF(CH535="","",IFERROR(IF(AND(LEN(CH535)=9,ISERROR(FIND("-",LEFT(CH535,8))),ISNUMBER(-LEFT(CH535,8))),VALUE(MID(CH535,5,2)),VALUE(MID(CH535,FIND("-",CH535)+1,FIND("-",CH535,FIND("-",CH535)+1)-FIND("-",CH535)-1))),""))</f>
        <v/>
      </c>
      <c r="CO535">
        <f>IF(CH535="","",IFERROR(IF(AND(LEN(CH535)=9,ISERROR(FIND("-",LEFT(CH535,8))),ISNUMBER(-LEFT(CH535,8))),VALUE(MID(CH535,7,2)),VALUE(MID(CH535,FIND("-",CH535,FIND("-",CH535)+1)+1,FIND("-",CH535,FIND("-",CH535,FIND("-",CH535)+1)+1)-FIND("-",CH535,FIND("-",CH535)+1)-1))),""))</f>
        <v/>
      </c>
    </row>
    <row r="536">
      <c r="CH536">
        <f>IF(ISTEXT('월 가계부'!A536),SUBSTITUTE(SUBSTITUTE(SUBSTITUTE(SUBSTITUTE(SUBSTITUTE(SUBSTITUTE(SUBSTITUTE(SUBSTITUTE(SUBSTITUTE(TRIM('월 가계부'!A536),"년","-"),"월","-"),"일",""),".","-"),"/","-")," ","-"),"--","-"),"--","-"),"--","-")&amp;"-","")</f>
        <v/>
      </c>
      <c r="CI536">
        <f>IFERROR(IF('월 가계부'!A536="","",IF(ISNUMBER('월 가계부'!A536),IF(AND('월 가계부'!A536&gt;=19000101,'월 가계부'!A536&lt;=21001231),IF(AND(MOD(INT('월 가계부'!A536/100),100)&gt;=1,MOD(INT('월 가계부'!A536/100),100)&lt;=12,MOD(INT('월 가계부'!A536),100)&gt;=1,MOD(INT('월 가계부'!A536),100)&lt;=31),IF(MONTH(DATE(INT('월 가계부'!A536/10000),MOD(INT('월 가계부'!A536/100),100),MOD(INT('월 가계부'!A536),100)))=MOD(INT('월 가계부'!A536/100),100),DATE(INT('월 가계부'!A536/10000),MOD(INT('월 가계부'!A536/100),100),MOD(INT('월 가계부'!A536),100)),""),""),IF(AND('월 가계부'!A536&gt;=36526,'월 가계부'!A536&lt;73051),INT('월 가계부'!A536),"")),IF(OR(CM536="",CN536="",CO536=""),"",IF(AND(CM536&gt;=2000,CM536&lt;=2099,CN536&gt;=1,CN536&lt;=12,CO536&gt;=1,CO536&lt;=31),IF(MONTH(DATE(CM536,CN536,CO536))=CN536,DATE(CM536,CN536,CO536),""),"")))),"")</f>
        <v/>
      </c>
      <c r="CJ536">
        <f>IFERROR(IF('월 가계부'!C536="","",IF(ISNUMBER('월 가계부'!C536),'월 가계부'!C536,VALUE(SUBSTITUTE(SUBSTITUTE(SUBSTITUTE(SUBSTITUTE(TRIM('월 가계부'!C536),",",""),"원","")," ",""),"−","-")))),"")</f>
        <v/>
      </c>
      <c r="CK536">
        <f>IF(ISNUMBER(CI536),IF(CI536&lt;$B$13,CI536,""),"")</f>
        <v/>
      </c>
      <c r="CM536">
        <f>IF(CH536="","",IFERROR(IF(IF(AND(LEN(CH536)=9,ISERROR(FIND("-",LEFT(CH536,8))),ISNUMBER(-LEFT(CH536,8))),VALUE(LEFT(CH536,4)),VALUE(LEFT(CH536,FIND("-",CH536)-1)))&lt;100,IF(AND(LEN(CH536)=9,ISERROR(FIND("-",LEFT(CH536,8))),ISNUMBER(-LEFT(CH536,8))),VALUE(LEFT(CH536,4)),VALUE(LEFT(CH536,FIND("-",CH536)-1)))+2000,IF(AND(LEN(CH536)=9,ISERROR(FIND("-",LEFT(CH536,8))),ISNUMBER(-LEFT(CH536,8))),VALUE(LEFT(CH536,4)),VALUE(LEFT(CH536,FIND("-",CH536)-1)))),""))</f>
        <v/>
      </c>
      <c r="CN536">
        <f>IF(CH536="","",IFERROR(IF(AND(LEN(CH536)=9,ISERROR(FIND("-",LEFT(CH536,8))),ISNUMBER(-LEFT(CH536,8))),VALUE(MID(CH536,5,2)),VALUE(MID(CH536,FIND("-",CH536)+1,FIND("-",CH536,FIND("-",CH536)+1)-FIND("-",CH536)-1))),""))</f>
        <v/>
      </c>
      <c r="CO536">
        <f>IF(CH536="","",IFERROR(IF(AND(LEN(CH536)=9,ISERROR(FIND("-",LEFT(CH536,8))),ISNUMBER(-LEFT(CH536,8))),VALUE(MID(CH536,7,2)),VALUE(MID(CH536,FIND("-",CH536,FIND("-",CH536)+1)+1,FIND("-",CH536,FIND("-",CH536,FIND("-",CH536)+1)+1)-FIND("-",CH536,FIND("-",CH536)+1)-1))),""))</f>
        <v/>
      </c>
    </row>
    <row r="537">
      <c r="CH537">
        <f>IF(ISTEXT('월 가계부'!A537),SUBSTITUTE(SUBSTITUTE(SUBSTITUTE(SUBSTITUTE(SUBSTITUTE(SUBSTITUTE(SUBSTITUTE(SUBSTITUTE(SUBSTITUTE(TRIM('월 가계부'!A537),"년","-"),"월","-"),"일",""),".","-"),"/","-")," ","-"),"--","-"),"--","-"),"--","-")&amp;"-","")</f>
        <v/>
      </c>
      <c r="CI537">
        <f>IFERROR(IF('월 가계부'!A537="","",IF(ISNUMBER('월 가계부'!A537),IF(AND('월 가계부'!A537&gt;=19000101,'월 가계부'!A537&lt;=21001231),IF(AND(MOD(INT('월 가계부'!A537/100),100)&gt;=1,MOD(INT('월 가계부'!A537/100),100)&lt;=12,MOD(INT('월 가계부'!A537),100)&gt;=1,MOD(INT('월 가계부'!A537),100)&lt;=31),IF(MONTH(DATE(INT('월 가계부'!A537/10000),MOD(INT('월 가계부'!A537/100),100),MOD(INT('월 가계부'!A537),100)))=MOD(INT('월 가계부'!A537/100),100),DATE(INT('월 가계부'!A537/10000),MOD(INT('월 가계부'!A537/100),100),MOD(INT('월 가계부'!A537),100)),""),""),IF(AND('월 가계부'!A537&gt;=36526,'월 가계부'!A537&lt;73051),INT('월 가계부'!A537),"")),IF(OR(CM537="",CN537="",CO537=""),"",IF(AND(CM537&gt;=2000,CM537&lt;=2099,CN537&gt;=1,CN537&lt;=12,CO537&gt;=1,CO537&lt;=31),IF(MONTH(DATE(CM537,CN537,CO537))=CN537,DATE(CM537,CN537,CO537),""),"")))),"")</f>
        <v/>
      </c>
      <c r="CJ537">
        <f>IFERROR(IF('월 가계부'!C537="","",IF(ISNUMBER('월 가계부'!C537),'월 가계부'!C537,VALUE(SUBSTITUTE(SUBSTITUTE(SUBSTITUTE(SUBSTITUTE(TRIM('월 가계부'!C537),",",""),"원","")," ",""),"−","-")))),"")</f>
        <v/>
      </c>
      <c r="CK537">
        <f>IF(ISNUMBER(CI537),IF(CI537&lt;$B$13,CI537,""),"")</f>
        <v/>
      </c>
      <c r="CM537">
        <f>IF(CH537="","",IFERROR(IF(IF(AND(LEN(CH537)=9,ISERROR(FIND("-",LEFT(CH537,8))),ISNUMBER(-LEFT(CH537,8))),VALUE(LEFT(CH537,4)),VALUE(LEFT(CH537,FIND("-",CH537)-1)))&lt;100,IF(AND(LEN(CH537)=9,ISERROR(FIND("-",LEFT(CH537,8))),ISNUMBER(-LEFT(CH537,8))),VALUE(LEFT(CH537,4)),VALUE(LEFT(CH537,FIND("-",CH537)-1)))+2000,IF(AND(LEN(CH537)=9,ISERROR(FIND("-",LEFT(CH537,8))),ISNUMBER(-LEFT(CH537,8))),VALUE(LEFT(CH537,4)),VALUE(LEFT(CH537,FIND("-",CH537)-1)))),""))</f>
        <v/>
      </c>
      <c r="CN537">
        <f>IF(CH537="","",IFERROR(IF(AND(LEN(CH537)=9,ISERROR(FIND("-",LEFT(CH537,8))),ISNUMBER(-LEFT(CH537,8))),VALUE(MID(CH537,5,2)),VALUE(MID(CH537,FIND("-",CH537)+1,FIND("-",CH537,FIND("-",CH537)+1)-FIND("-",CH537)-1))),""))</f>
        <v/>
      </c>
      <c r="CO537">
        <f>IF(CH537="","",IFERROR(IF(AND(LEN(CH537)=9,ISERROR(FIND("-",LEFT(CH537,8))),ISNUMBER(-LEFT(CH537,8))),VALUE(MID(CH537,7,2)),VALUE(MID(CH537,FIND("-",CH537,FIND("-",CH537)+1)+1,FIND("-",CH537,FIND("-",CH537,FIND("-",CH537)+1)+1)-FIND("-",CH537,FIND("-",CH537)+1)-1))),""))</f>
        <v/>
      </c>
    </row>
    <row r="538">
      <c r="CH538">
        <f>IF(ISTEXT('월 가계부'!A538),SUBSTITUTE(SUBSTITUTE(SUBSTITUTE(SUBSTITUTE(SUBSTITUTE(SUBSTITUTE(SUBSTITUTE(SUBSTITUTE(SUBSTITUTE(TRIM('월 가계부'!A538),"년","-"),"월","-"),"일",""),".","-"),"/","-")," ","-"),"--","-"),"--","-"),"--","-")&amp;"-","")</f>
        <v/>
      </c>
      <c r="CI538">
        <f>IFERROR(IF('월 가계부'!A538="","",IF(ISNUMBER('월 가계부'!A538),IF(AND('월 가계부'!A538&gt;=19000101,'월 가계부'!A538&lt;=21001231),IF(AND(MOD(INT('월 가계부'!A538/100),100)&gt;=1,MOD(INT('월 가계부'!A538/100),100)&lt;=12,MOD(INT('월 가계부'!A538),100)&gt;=1,MOD(INT('월 가계부'!A538),100)&lt;=31),IF(MONTH(DATE(INT('월 가계부'!A538/10000),MOD(INT('월 가계부'!A538/100),100),MOD(INT('월 가계부'!A538),100)))=MOD(INT('월 가계부'!A538/100),100),DATE(INT('월 가계부'!A538/10000),MOD(INT('월 가계부'!A538/100),100),MOD(INT('월 가계부'!A538),100)),""),""),IF(AND('월 가계부'!A538&gt;=36526,'월 가계부'!A538&lt;73051),INT('월 가계부'!A538),"")),IF(OR(CM538="",CN538="",CO538=""),"",IF(AND(CM538&gt;=2000,CM538&lt;=2099,CN538&gt;=1,CN538&lt;=12,CO538&gt;=1,CO538&lt;=31),IF(MONTH(DATE(CM538,CN538,CO538))=CN538,DATE(CM538,CN538,CO538),""),"")))),"")</f>
        <v/>
      </c>
      <c r="CJ538">
        <f>IFERROR(IF('월 가계부'!C538="","",IF(ISNUMBER('월 가계부'!C538),'월 가계부'!C538,VALUE(SUBSTITUTE(SUBSTITUTE(SUBSTITUTE(SUBSTITUTE(TRIM('월 가계부'!C538),",",""),"원","")," ",""),"−","-")))),"")</f>
        <v/>
      </c>
      <c r="CK538">
        <f>IF(ISNUMBER(CI538),IF(CI538&lt;$B$13,CI538,""),"")</f>
        <v/>
      </c>
      <c r="CM538">
        <f>IF(CH538="","",IFERROR(IF(IF(AND(LEN(CH538)=9,ISERROR(FIND("-",LEFT(CH538,8))),ISNUMBER(-LEFT(CH538,8))),VALUE(LEFT(CH538,4)),VALUE(LEFT(CH538,FIND("-",CH538)-1)))&lt;100,IF(AND(LEN(CH538)=9,ISERROR(FIND("-",LEFT(CH538,8))),ISNUMBER(-LEFT(CH538,8))),VALUE(LEFT(CH538,4)),VALUE(LEFT(CH538,FIND("-",CH538)-1)))+2000,IF(AND(LEN(CH538)=9,ISERROR(FIND("-",LEFT(CH538,8))),ISNUMBER(-LEFT(CH538,8))),VALUE(LEFT(CH538,4)),VALUE(LEFT(CH538,FIND("-",CH538)-1)))),""))</f>
        <v/>
      </c>
      <c r="CN538">
        <f>IF(CH538="","",IFERROR(IF(AND(LEN(CH538)=9,ISERROR(FIND("-",LEFT(CH538,8))),ISNUMBER(-LEFT(CH538,8))),VALUE(MID(CH538,5,2)),VALUE(MID(CH538,FIND("-",CH538)+1,FIND("-",CH538,FIND("-",CH538)+1)-FIND("-",CH538)-1))),""))</f>
        <v/>
      </c>
      <c r="CO538">
        <f>IF(CH538="","",IFERROR(IF(AND(LEN(CH538)=9,ISERROR(FIND("-",LEFT(CH538,8))),ISNUMBER(-LEFT(CH538,8))),VALUE(MID(CH538,7,2)),VALUE(MID(CH538,FIND("-",CH538,FIND("-",CH538)+1)+1,FIND("-",CH538,FIND("-",CH538,FIND("-",CH538)+1)+1)-FIND("-",CH538,FIND("-",CH538)+1)-1))),""))</f>
        <v/>
      </c>
    </row>
    <row r="539">
      <c r="CH539">
        <f>IF(ISTEXT('월 가계부'!A539),SUBSTITUTE(SUBSTITUTE(SUBSTITUTE(SUBSTITUTE(SUBSTITUTE(SUBSTITUTE(SUBSTITUTE(SUBSTITUTE(SUBSTITUTE(TRIM('월 가계부'!A539),"년","-"),"월","-"),"일",""),".","-"),"/","-")," ","-"),"--","-"),"--","-"),"--","-")&amp;"-","")</f>
        <v/>
      </c>
      <c r="CI539">
        <f>IFERROR(IF('월 가계부'!A539="","",IF(ISNUMBER('월 가계부'!A539),IF(AND('월 가계부'!A539&gt;=19000101,'월 가계부'!A539&lt;=21001231),IF(AND(MOD(INT('월 가계부'!A539/100),100)&gt;=1,MOD(INT('월 가계부'!A539/100),100)&lt;=12,MOD(INT('월 가계부'!A539),100)&gt;=1,MOD(INT('월 가계부'!A539),100)&lt;=31),IF(MONTH(DATE(INT('월 가계부'!A539/10000),MOD(INT('월 가계부'!A539/100),100),MOD(INT('월 가계부'!A539),100)))=MOD(INT('월 가계부'!A539/100),100),DATE(INT('월 가계부'!A539/10000),MOD(INT('월 가계부'!A539/100),100),MOD(INT('월 가계부'!A539),100)),""),""),IF(AND('월 가계부'!A539&gt;=36526,'월 가계부'!A539&lt;73051),INT('월 가계부'!A539),"")),IF(OR(CM539="",CN539="",CO539=""),"",IF(AND(CM539&gt;=2000,CM539&lt;=2099,CN539&gt;=1,CN539&lt;=12,CO539&gt;=1,CO539&lt;=31),IF(MONTH(DATE(CM539,CN539,CO539))=CN539,DATE(CM539,CN539,CO539),""),"")))),"")</f>
        <v/>
      </c>
      <c r="CJ539">
        <f>IFERROR(IF('월 가계부'!C539="","",IF(ISNUMBER('월 가계부'!C539),'월 가계부'!C539,VALUE(SUBSTITUTE(SUBSTITUTE(SUBSTITUTE(SUBSTITUTE(TRIM('월 가계부'!C539),",",""),"원","")," ",""),"−","-")))),"")</f>
        <v/>
      </c>
      <c r="CK539">
        <f>IF(ISNUMBER(CI539),IF(CI539&lt;$B$13,CI539,""),"")</f>
        <v/>
      </c>
      <c r="CM539">
        <f>IF(CH539="","",IFERROR(IF(IF(AND(LEN(CH539)=9,ISERROR(FIND("-",LEFT(CH539,8))),ISNUMBER(-LEFT(CH539,8))),VALUE(LEFT(CH539,4)),VALUE(LEFT(CH539,FIND("-",CH539)-1)))&lt;100,IF(AND(LEN(CH539)=9,ISERROR(FIND("-",LEFT(CH539,8))),ISNUMBER(-LEFT(CH539,8))),VALUE(LEFT(CH539,4)),VALUE(LEFT(CH539,FIND("-",CH539)-1)))+2000,IF(AND(LEN(CH539)=9,ISERROR(FIND("-",LEFT(CH539,8))),ISNUMBER(-LEFT(CH539,8))),VALUE(LEFT(CH539,4)),VALUE(LEFT(CH539,FIND("-",CH539)-1)))),""))</f>
        <v/>
      </c>
      <c r="CN539">
        <f>IF(CH539="","",IFERROR(IF(AND(LEN(CH539)=9,ISERROR(FIND("-",LEFT(CH539,8))),ISNUMBER(-LEFT(CH539,8))),VALUE(MID(CH539,5,2)),VALUE(MID(CH539,FIND("-",CH539)+1,FIND("-",CH539,FIND("-",CH539)+1)-FIND("-",CH539)-1))),""))</f>
        <v/>
      </c>
      <c r="CO539">
        <f>IF(CH539="","",IFERROR(IF(AND(LEN(CH539)=9,ISERROR(FIND("-",LEFT(CH539,8))),ISNUMBER(-LEFT(CH539,8))),VALUE(MID(CH539,7,2)),VALUE(MID(CH539,FIND("-",CH539,FIND("-",CH539)+1)+1,FIND("-",CH539,FIND("-",CH539,FIND("-",CH539)+1)+1)-FIND("-",CH539,FIND("-",CH539)+1)-1))),""))</f>
        <v/>
      </c>
    </row>
    <row r="540">
      <c r="CH540">
        <f>IF(ISTEXT('월 가계부'!A540),SUBSTITUTE(SUBSTITUTE(SUBSTITUTE(SUBSTITUTE(SUBSTITUTE(SUBSTITUTE(SUBSTITUTE(SUBSTITUTE(SUBSTITUTE(TRIM('월 가계부'!A540),"년","-"),"월","-"),"일",""),".","-"),"/","-")," ","-"),"--","-"),"--","-"),"--","-")&amp;"-","")</f>
        <v/>
      </c>
      <c r="CI540">
        <f>IFERROR(IF('월 가계부'!A540="","",IF(ISNUMBER('월 가계부'!A540),IF(AND('월 가계부'!A540&gt;=19000101,'월 가계부'!A540&lt;=21001231),IF(AND(MOD(INT('월 가계부'!A540/100),100)&gt;=1,MOD(INT('월 가계부'!A540/100),100)&lt;=12,MOD(INT('월 가계부'!A540),100)&gt;=1,MOD(INT('월 가계부'!A540),100)&lt;=31),IF(MONTH(DATE(INT('월 가계부'!A540/10000),MOD(INT('월 가계부'!A540/100),100),MOD(INT('월 가계부'!A540),100)))=MOD(INT('월 가계부'!A540/100),100),DATE(INT('월 가계부'!A540/10000),MOD(INT('월 가계부'!A540/100),100),MOD(INT('월 가계부'!A540),100)),""),""),IF(AND('월 가계부'!A540&gt;=36526,'월 가계부'!A540&lt;73051),INT('월 가계부'!A540),"")),IF(OR(CM540="",CN540="",CO540=""),"",IF(AND(CM540&gt;=2000,CM540&lt;=2099,CN540&gt;=1,CN540&lt;=12,CO540&gt;=1,CO540&lt;=31),IF(MONTH(DATE(CM540,CN540,CO540))=CN540,DATE(CM540,CN540,CO540),""),"")))),"")</f>
        <v/>
      </c>
      <c r="CJ540">
        <f>IFERROR(IF('월 가계부'!C540="","",IF(ISNUMBER('월 가계부'!C540),'월 가계부'!C540,VALUE(SUBSTITUTE(SUBSTITUTE(SUBSTITUTE(SUBSTITUTE(TRIM('월 가계부'!C540),",",""),"원","")," ",""),"−","-")))),"")</f>
        <v/>
      </c>
      <c r="CK540">
        <f>IF(ISNUMBER(CI540),IF(CI540&lt;$B$13,CI540,""),"")</f>
        <v/>
      </c>
      <c r="CM540">
        <f>IF(CH540="","",IFERROR(IF(IF(AND(LEN(CH540)=9,ISERROR(FIND("-",LEFT(CH540,8))),ISNUMBER(-LEFT(CH540,8))),VALUE(LEFT(CH540,4)),VALUE(LEFT(CH540,FIND("-",CH540)-1)))&lt;100,IF(AND(LEN(CH540)=9,ISERROR(FIND("-",LEFT(CH540,8))),ISNUMBER(-LEFT(CH540,8))),VALUE(LEFT(CH540,4)),VALUE(LEFT(CH540,FIND("-",CH540)-1)))+2000,IF(AND(LEN(CH540)=9,ISERROR(FIND("-",LEFT(CH540,8))),ISNUMBER(-LEFT(CH540,8))),VALUE(LEFT(CH540,4)),VALUE(LEFT(CH540,FIND("-",CH540)-1)))),""))</f>
        <v/>
      </c>
      <c r="CN540">
        <f>IF(CH540="","",IFERROR(IF(AND(LEN(CH540)=9,ISERROR(FIND("-",LEFT(CH540,8))),ISNUMBER(-LEFT(CH540,8))),VALUE(MID(CH540,5,2)),VALUE(MID(CH540,FIND("-",CH540)+1,FIND("-",CH540,FIND("-",CH540)+1)-FIND("-",CH540)-1))),""))</f>
        <v/>
      </c>
      <c r="CO540">
        <f>IF(CH540="","",IFERROR(IF(AND(LEN(CH540)=9,ISERROR(FIND("-",LEFT(CH540,8))),ISNUMBER(-LEFT(CH540,8))),VALUE(MID(CH540,7,2)),VALUE(MID(CH540,FIND("-",CH540,FIND("-",CH540)+1)+1,FIND("-",CH540,FIND("-",CH540,FIND("-",CH540)+1)+1)-FIND("-",CH540,FIND("-",CH540)+1)-1))),""))</f>
        <v/>
      </c>
    </row>
    <row r="541">
      <c r="CH541">
        <f>IF(ISTEXT('월 가계부'!A541),SUBSTITUTE(SUBSTITUTE(SUBSTITUTE(SUBSTITUTE(SUBSTITUTE(SUBSTITUTE(SUBSTITUTE(SUBSTITUTE(SUBSTITUTE(TRIM('월 가계부'!A541),"년","-"),"월","-"),"일",""),".","-"),"/","-")," ","-"),"--","-"),"--","-"),"--","-")&amp;"-","")</f>
        <v/>
      </c>
      <c r="CI541">
        <f>IFERROR(IF('월 가계부'!A541="","",IF(ISNUMBER('월 가계부'!A541),IF(AND('월 가계부'!A541&gt;=19000101,'월 가계부'!A541&lt;=21001231),IF(AND(MOD(INT('월 가계부'!A541/100),100)&gt;=1,MOD(INT('월 가계부'!A541/100),100)&lt;=12,MOD(INT('월 가계부'!A541),100)&gt;=1,MOD(INT('월 가계부'!A541),100)&lt;=31),IF(MONTH(DATE(INT('월 가계부'!A541/10000),MOD(INT('월 가계부'!A541/100),100),MOD(INT('월 가계부'!A541),100)))=MOD(INT('월 가계부'!A541/100),100),DATE(INT('월 가계부'!A541/10000),MOD(INT('월 가계부'!A541/100),100),MOD(INT('월 가계부'!A541),100)),""),""),IF(AND('월 가계부'!A541&gt;=36526,'월 가계부'!A541&lt;73051),INT('월 가계부'!A541),"")),IF(OR(CM541="",CN541="",CO541=""),"",IF(AND(CM541&gt;=2000,CM541&lt;=2099,CN541&gt;=1,CN541&lt;=12,CO541&gt;=1,CO541&lt;=31),IF(MONTH(DATE(CM541,CN541,CO541))=CN541,DATE(CM541,CN541,CO541),""),"")))),"")</f>
        <v/>
      </c>
      <c r="CJ541">
        <f>IFERROR(IF('월 가계부'!C541="","",IF(ISNUMBER('월 가계부'!C541),'월 가계부'!C541,VALUE(SUBSTITUTE(SUBSTITUTE(SUBSTITUTE(SUBSTITUTE(TRIM('월 가계부'!C541),",",""),"원","")," ",""),"−","-")))),"")</f>
        <v/>
      </c>
      <c r="CK541">
        <f>IF(ISNUMBER(CI541),IF(CI541&lt;$B$13,CI541,""),"")</f>
        <v/>
      </c>
      <c r="CM541">
        <f>IF(CH541="","",IFERROR(IF(IF(AND(LEN(CH541)=9,ISERROR(FIND("-",LEFT(CH541,8))),ISNUMBER(-LEFT(CH541,8))),VALUE(LEFT(CH541,4)),VALUE(LEFT(CH541,FIND("-",CH541)-1)))&lt;100,IF(AND(LEN(CH541)=9,ISERROR(FIND("-",LEFT(CH541,8))),ISNUMBER(-LEFT(CH541,8))),VALUE(LEFT(CH541,4)),VALUE(LEFT(CH541,FIND("-",CH541)-1)))+2000,IF(AND(LEN(CH541)=9,ISERROR(FIND("-",LEFT(CH541,8))),ISNUMBER(-LEFT(CH541,8))),VALUE(LEFT(CH541,4)),VALUE(LEFT(CH541,FIND("-",CH541)-1)))),""))</f>
        <v/>
      </c>
      <c r="CN541">
        <f>IF(CH541="","",IFERROR(IF(AND(LEN(CH541)=9,ISERROR(FIND("-",LEFT(CH541,8))),ISNUMBER(-LEFT(CH541,8))),VALUE(MID(CH541,5,2)),VALUE(MID(CH541,FIND("-",CH541)+1,FIND("-",CH541,FIND("-",CH541)+1)-FIND("-",CH541)-1))),""))</f>
        <v/>
      </c>
      <c r="CO541">
        <f>IF(CH541="","",IFERROR(IF(AND(LEN(CH541)=9,ISERROR(FIND("-",LEFT(CH541,8))),ISNUMBER(-LEFT(CH541,8))),VALUE(MID(CH541,7,2)),VALUE(MID(CH541,FIND("-",CH541,FIND("-",CH541)+1)+1,FIND("-",CH541,FIND("-",CH541,FIND("-",CH541)+1)+1)-FIND("-",CH541,FIND("-",CH541)+1)-1))),""))</f>
        <v/>
      </c>
    </row>
    <row r="542">
      <c r="CH542">
        <f>IF(ISTEXT('월 가계부'!A542),SUBSTITUTE(SUBSTITUTE(SUBSTITUTE(SUBSTITUTE(SUBSTITUTE(SUBSTITUTE(SUBSTITUTE(SUBSTITUTE(SUBSTITUTE(TRIM('월 가계부'!A542),"년","-"),"월","-"),"일",""),".","-"),"/","-")," ","-"),"--","-"),"--","-"),"--","-")&amp;"-","")</f>
        <v/>
      </c>
      <c r="CI542">
        <f>IFERROR(IF('월 가계부'!A542="","",IF(ISNUMBER('월 가계부'!A542),IF(AND('월 가계부'!A542&gt;=19000101,'월 가계부'!A542&lt;=21001231),IF(AND(MOD(INT('월 가계부'!A542/100),100)&gt;=1,MOD(INT('월 가계부'!A542/100),100)&lt;=12,MOD(INT('월 가계부'!A542),100)&gt;=1,MOD(INT('월 가계부'!A542),100)&lt;=31),IF(MONTH(DATE(INT('월 가계부'!A542/10000),MOD(INT('월 가계부'!A542/100),100),MOD(INT('월 가계부'!A542),100)))=MOD(INT('월 가계부'!A542/100),100),DATE(INT('월 가계부'!A542/10000),MOD(INT('월 가계부'!A542/100),100),MOD(INT('월 가계부'!A542),100)),""),""),IF(AND('월 가계부'!A542&gt;=36526,'월 가계부'!A542&lt;73051),INT('월 가계부'!A542),"")),IF(OR(CM542="",CN542="",CO542=""),"",IF(AND(CM542&gt;=2000,CM542&lt;=2099,CN542&gt;=1,CN542&lt;=12,CO542&gt;=1,CO542&lt;=31),IF(MONTH(DATE(CM542,CN542,CO542))=CN542,DATE(CM542,CN542,CO542),""),"")))),"")</f>
        <v/>
      </c>
      <c r="CJ542">
        <f>IFERROR(IF('월 가계부'!C542="","",IF(ISNUMBER('월 가계부'!C542),'월 가계부'!C542,VALUE(SUBSTITUTE(SUBSTITUTE(SUBSTITUTE(SUBSTITUTE(TRIM('월 가계부'!C542),",",""),"원","")," ",""),"−","-")))),"")</f>
        <v/>
      </c>
      <c r="CK542">
        <f>IF(ISNUMBER(CI542),IF(CI542&lt;$B$13,CI542,""),"")</f>
        <v/>
      </c>
      <c r="CM542">
        <f>IF(CH542="","",IFERROR(IF(IF(AND(LEN(CH542)=9,ISERROR(FIND("-",LEFT(CH542,8))),ISNUMBER(-LEFT(CH542,8))),VALUE(LEFT(CH542,4)),VALUE(LEFT(CH542,FIND("-",CH542)-1)))&lt;100,IF(AND(LEN(CH542)=9,ISERROR(FIND("-",LEFT(CH542,8))),ISNUMBER(-LEFT(CH542,8))),VALUE(LEFT(CH542,4)),VALUE(LEFT(CH542,FIND("-",CH542)-1)))+2000,IF(AND(LEN(CH542)=9,ISERROR(FIND("-",LEFT(CH542,8))),ISNUMBER(-LEFT(CH542,8))),VALUE(LEFT(CH542,4)),VALUE(LEFT(CH542,FIND("-",CH542)-1)))),""))</f>
        <v/>
      </c>
      <c r="CN542">
        <f>IF(CH542="","",IFERROR(IF(AND(LEN(CH542)=9,ISERROR(FIND("-",LEFT(CH542,8))),ISNUMBER(-LEFT(CH542,8))),VALUE(MID(CH542,5,2)),VALUE(MID(CH542,FIND("-",CH542)+1,FIND("-",CH542,FIND("-",CH542)+1)-FIND("-",CH542)-1))),""))</f>
        <v/>
      </c>
      <c r="CO542">
        <f>IF(CH542="","",IFERROR(IF(AND(LEN(CH542)=9,ISERROR(FIND("-",LEFT(CH542,8))),ISNUMBER(-LEFT(CH542,8))),VALUE(MID(CH542,7,2)),VALUE(MID(CH542,FIND("-",CH542,FIND("-",CH542)+1)+1,FIND("-",CH542,FIND("-",CH542,FIND("-",CH542)+1)+1)-FIND("-",CH542,FIND("-",CH542)+1)-1))),""))</f>
        <v/>
      </c>
    </row>
    <row r="543">
      <c r="CH543">
        <f>IF(ISTEXT('월 가계부'!A543),SUBSTITUTE(SUBSTITUTE(SUBSTITUTE(SUBSTITUTE(SUBSTITUTE(SUBSTITUTE(SUBSTITUTE(SUBSTITUTE(SUBSTITUTE(TRIM('월 가계부'!A543),"년","-"),"월","-"),"일",""),".","-"),"/","-")," ","-"),"--","-"),"--","-"),"--","-")&amp;"-","")</f>
        <v/>
      </c>
      <c r="CI543">
        <f>IFERROR(IF('월 가계부'!A543="","",IF(ISNUMBER('월 가계부'!A543),IF(AND('월 가계부'!A543&gt;=19000101,'월 가계부'!A543&lt;=21001231),IF(AND(MOD(INT('월 가계부'!A543/100),100)&gt;=1,MOD(INT('월 가계부'!A543/100),100)&lt;=12,MOD(INT('월 가계부'!A543),100)&gt;=1,MOD(INT('월 가계부'!A543),100)&lt;=31),IF(MONTH(DATE(INT('월 가계부'!A543/10000),MOD(INT('월 가계부'!A543/100),100),MOD(INT('월 가계부'!A543),100)))=MOD(INT('월 가계부'!A543/100),100),DATE(INT('월 가계부'!A543/10000),MOD(INT('월 가계부'!A543/100),100),MOD(INT('월 가계부'!A543),100)),""),""),IF(AND('월 가계부'!A543&gt;=36526,'월 가계부'!A543&lt;73051),INT('월 가계부'!A543),"")),IF(OR(CM543="",CN543="",CO543=""),"",IF(AND(CM543&gt;=2000,CM543&lt;=2099,CN543&gt;=1,CN543&lt;=12,CO543&gt;=1,CO543&lt;=31),IF(MONTH(DATE(CM543,CN543,CO543))=CN543,DATE(CM543,CN543,CO543),""),"")))),"")</f>
        <v/>
      </c>
      <c r="CJ543">
        <f>IFERROR(IF('월 가계부'!C543="","",IF(ISNUMBER('월 가계부'!C543),'월 가계부'!C543,VALUE(SUBSTITUTE(SUBSTITUTE(SUBSTITUTE(SUBSTITUTE(TRIM('월 가계부'!C543),",",""),"원","")," ",""),"−","-")))),"")</f>
        <v/>
      </c>
      <c r="CK543">
        <f>IF(ISNUMBER(CI543),IF(CI543&lt;$B$13,CI543,""),"")</f>
        <v/>
      </c>
      <c r="CM543">
        <f>IF(CH543="","",IFERROR(IF(IF(AND(LEN(CH543)=9,ISERROR(FIND("-",LEFT(CH543,8))),ISNUMBER(-LEFT(CH543,8))),VALUE(LEFT(CH543,4)),VALUE(LEFT(CH543,FIND("-",CH543)-1)))&lt;100,IF(AND(LEN(CH543)=9,ISERROR(FIND("-",LEFT(CH543,8))),ISNUMBER(-LEFT(CH543,8))),VALUE(LEFT(CH543,4)),VALUE(LEFT(CH543,FIND("-",CH543)-1)))+2000,IF(AND(LEN(CH543)=9,ISERROR(FIND("-",LEFT(CH543,8))),ISNUMBER(-LEFT(CH543,8))),VALUE(LEFT(CH543,4)),VALUE(LEFT(CH543,FIND("-",CH543)-1)))),""))</f>
        <v/>
      </c>
      <c r="CN543">
        <f>IF(CH543="","",IFERROR(IF(AND(LEN(CH543)=9,ISERROR(FIND("-",LEFT(CH543,8))),ISNUMBER(-LEFT(CH543,8))),VALUE(MID(CH543,5,2)),VALUE(MID(CH543,FIND("-",CH543)+1,FIND("-",CH543,FIND("-",CH543)+1)-FIND("-",CH543)-1))),""))</f>
        <v/>
      </c>
      <c r="CO543">
        <f>IF(CH543="","",IFERROR(IF(AND(LEN(CH543)=9,ISERROR(FIND("-",LEFT(CH543,8))),ISNUMBER(-LEFT(CH543,8))),VALUE(MID(CH543,7,2)),VALUE(MID(CH543,FIND("-",CH543,FIND("-",CH543)+1)+1,FIND("-",CH543,FIND("-",CH543,FIND("-",CH543)+1)+1)-FIND("-",CH543,FIND("-",CH543)+1)-1))),""))</f>
        <v/>
      </c>
    </row>
    <row r="544">
      <c r="CH544">
        <f>IF(ISTEXT('월 가계부'!A544),SUBSTITUTE(SUBSTITUTE(SUBSTITUTE(SUBSTITUTE(SUBSTITUTE(SUBSTITUTE(SUBSTITUTE(SUBSTITUTE(SUBSTITUTE(TRIM('월 가계부'!A544),"년","-"),"월","-"),"일",""),".","-"),"/","-")," ","-"),"--","-"),"--","-"),"--","-")&amp;"-","")</f>
        <v/>
      </c>
      <c r="CI544">
        <f>IFERROR(IF('월 가계부'!A544="","",IF(ISNUMBER('월 가계부'!A544),IF(AND('월 가계부'!A544&gt;=19000101,'월 가계부'!A544&lt;=21001231),IF(AND(MOD(INT('월 가계부'!A544/100),100)&gt;=1,MOD(INT('월 가계부'!A544/100),100)&lt;=12,MOD(INT('월 가계부'!A544),100)&gt;=1,MOD(INT('월 가계부'!A544),100)&lt;=31),IF(MONTH(DATE(INT('월 가계부'!A544/10000),MOD(INT('월 가계부'!A544/100),100),MOD(INT('월 가계부'!A544),100)))=MOD(INT('월 가계부'!A544/100),100),DATE(INT('월 가계부'!A544/10000),MOD(INT('월 가계부'!A544/100),100),MOD(INT('월 가계부'!A544),100)),""),""),IF(AND('월 가계부'!A544&gt;=36526,'월 가계부'!A544&lt;73051),INT('월 가계부'!A544),"")),IF(OR(CM544="",CN544="",CO544=""),"",IF(AND(CM544&gt;=2000,CM544&lt;=2099,CN544&gt;=1,CN544&lt;=12,CO544&gt;=1,CO544&lt;=31),IF(MONTH(DATE(CM544,CN544,CO544))=CN544,DATE(CM544,CN544,CO544),""),"")))),"")</f>
        <v/>
      </c>
      <c r="CJ544">
        <f>IFERROR(IF('월 가계부'!C544="","",IF(ISNUMBER('월 가계부'!C544),'월 가계부'!C544,VALUE(SUBSTITUTE(SUBSTITUTE(SUBSTITUTE(SUBSTITUTE(TRIM('월 가계부'!C544),",",""),"원","")," ",""),"−","-")))),"")</f>
        <v/>
      </c>
      <c r="CK544">
        <f>IF(ISNUMBER(CI544),IF(CI544&lt;$B$13,CI544,""),"")</f>
        <v/>
      </c>
      <c r="CM544">
        <f>IF(CH544="","",IFERROR(IF(IF(AND(LEN(CH544)=9,ISERROR(FIND("-",LEFT(CH544,8))),ISNUMBER(-LEFT(CH544,8))),VALUE(LEFT(CH544,4)),VALUE(LEFT(CH544,FIND("-",CH544)-1)))&lt;100,IF(AND(LEN(CH544)=9,ISERROR(FIND("-",LEFT(CH544,8))),ISNUMBER(-LEFT(CH544,8))),VALUE(LEFT(CH544,4)),VALUE(LEFT(CH544,FIND("-",CH544)-1)))+2000,IF(AND(LEN(CH544)=9,ISERROR(FIND("-",LEFT(CH544,8))),ISNUMBER(-LEFT(CH544,8))),VALUE(LEFT(CH544,4)),VALUE(LEFT(CH544,FIND("-",CH544)-1)))),""))</f>
        <v/>
      </c>
      <c r="CN544">
        <f>IF(CH544="","",IFERROR(IF(AND(LEN(CH544)=9,ISERROR(FIND("-",LEFT(CH544,8))),ISNUMBER(-LEFT(CH544,8))),VALUE(MID(CH544,5,2)),VALUE(MID(CH544,FIND("-",CH544)+1,FIND("-",CH544,FIND("-",CH544)+1)-FIND("-",CH544)-1))),""))</f>
        <v/>
      </c>
      <c r="CO544">
        <f>IF(CH544="","",IFERROR(IF(AND(LEN(CH544)=9,ISERROR(FIND("-",LEFT(CH544,8))),ISNUMBER(-LEFT(CH544,8))),VALUE(MID(CH544,7,2)),VALUE(MID(CH544,FIND("-",CH544,FIND("-",CH544)+1)+1,FIND("-",CH544,FIND("-",CH544,FIND("-",CH544)+1)+1)-FIND("-",CH544,FIND("-",CH544)+1)-1))),""))</f>
        <v/>
      </c>
    </row>
    <row r="545">
      <c r="CH545">
        <f>IF(ISTEXT('월 가계부'!A545),SUBSTITUTE(SUBSTITUTE(SUBSTITUTE(SUBSTITUTE(SUBSTITUTE(SUBSTITUTE(SUBSTITUTE(SUBSTITUTE(SUBSTITUTE(TRIM('월 가계부'!A545),"년","-"),"월","-"),"일",""),".","-"),"/","-")," ","-"),"--","-"),"--","-"),"--","-")&amp;"-","")</f>
        <v/>
      </c>
      <c r="CI545">
        <f>IFERROR(IF('월 가계부'!A545="","",IF(ISNUMBER('월 가계부'!A545),IF(AND('월 가계부'!A545&gt;=19000101,'월 가계부'!A545&lt;=21001231),IF(AND(MOD(INT('월 가계부'!A545/100),100)&gt;=1,MOD(INT('월 가계부'!A545/100),100)&lt;=12,MOD(INT('월 가계부'!A545),100)&gt;=1,MOD(INT('월 가계부'!A545),100)&lt;=31),IF(MONTH(DATE(INT('월 가계부'!A545/10000),MOD(INT('월 가계부'!A545/100),100),MOD(INT('월 가계부'!A545),100)))=MOD(INT('월 가계부'!A545/100),100),DATE(INT('월 가계부'!A545/10000),MOD(INT('월 가계부'!A545/100),100),MOD(INT('월 가계부'!A545),100)),""),""),IF(AND('월 가계부'!A545&gt;=36526,'월 가계부'!A545&lt;73051),INT('월 가계부'!A545),"")),IF(OR(CM545="",CN545="",CO545=""),"",IF(AND(CM545&gt;=2000,CM545&lt;=2099,CN545&gt;=1,CN545&lt;=12,CO545&gt;=1,CO545&lt;=31),IF(MONTH(DATE(CM545,CN545,CO545))=CN545,DATE(CM545,CN545,CO545),""),"")))),"")</f>
        <v/>
      </c>
      <c r="CJ545">
        <f>IFERROR(IF('월 가계부'!C545="","",IF(ISNUMBER('월 가계부'!C545),'월 가계부'!C545,VALUE(SUBSTITUTE(SUBSTITUTE(SUBSTITUTE(SUBSTITUTE(TRIM('월 가계부'!C545),",",""),"원","")," ",""),"−","-")))),"")</f>
        <v/>
      </c>
      <c r="CK545">
        <f>IF(ISNUMBER(CI545),IF(CI545&lt;$B$13,CI545,""),"")</f>
        <v/>
      </c>
      <c r="CM545">
        <f>IF(CH545="","",IFERROR(IF(IF(AND(LEN(CH545)=9,ISERROR(FIND("-",LEFT(CH545,8))),ISNUMBER(-LEFT(CH545,8))),VALUE(LEFT(CH545,4)),VALUE(LEFT(CH545,FIND("-",CH545)-1)))&lt;100,IF(AND(LEN(CH545)=9,ISERROR(FIND("-",LEFT(CH545,8))),ISNUMBER(-LEFT(CH545,8))),VALUE(LEFT(CH545,4)),VALUE(LEFT(CH545,FIND("-",CH545)-1)))+2000,IF(AND(LEN(CH545)=9,ISERROR(FIND("-",LEFT(CH545,8))),ISNUMBER(-LEFT(CH545,8))),VALUE(LEFT(CH545,4)),VALUE(LEFT(CH545,FIND("-",CH545)-1)))),""))</f>
        <v/>
      </c>
      <c r="CN545">
        <f>IF(CH545="","",IFERROR(IF(AND(LEN(CH545)=9,ISERROR(FIND("-",LEFT(CH545,8))),ISNUMBER(-LEFT(CH545,8))),VALUE(MID(CH545,5,2)),VALUE(MID(CH545,FIND("-",CH545)+1,FIND("-",CH545,FIND("-",CH545)+1)-FIND("-",CH545)-1))),""))</f>
        <v/>
      </c>
      <c r="CO545">
        <f>IF(CH545="","",IFERROR(IF(AND(LEN(CH545)=9,ISERROR(FIND("-",LEFT(CH545,8))),ISNUMBER(-LEFT(CH545,8))),VALUE(MID(CH545,7,2)),VALUE(MID(CH545,FIND("-",CH545,FIND("-",CH545)+1)+1,FIND("-",CH545,FIND("-",CH545,FIND("-",CH545)+1)+1)-FIND("-",CH545,FIND("-",CH545)+1)-1))),""))</f>
        <v/>
      </c>
    </row>
    <row r="546">
      <c r="CH546">
        <f>IF(ISTEXT('월 가계부'!A546),SUBSTITUTE(SUBSTITUTE(SUBSTITUTE(SUBSTITUTE(SUBSTITUTE(SUBSTITUTE(SUBSTITUTE(SUBSTITUTE(SUBSTITUTE(TRIM('월 가계부'!A546),"년","-"),"월","-"),"일",""),".","-"),"/","-")," ","-"),"--","-"),"--","-"),"--","-")&amp;"-","")</f>
        <v/>
      </c>
      <c r="CI546">
        <f>IFERROR(IF('월 가계부'!A546="","",IF(ISNUMBER('월 가계부'!A546),IF(AND('월 가계부'!A546&gt;=19000101,'월 가계부'!A546&lt;=21001231),IF(AND(MOD(INT('월 가계부'!A546/100),100)&gt;=1,MOD(INT('월 가계부'!A546/100),100)&lt;=12,MOD(INT('월 가계부'!A546),100)&gt;=1,MOD(INT('월 가계부'!A546),100)&lt;=31),IF(MONTH(DATE(INT('월 가계부'!A546/10000),MOD(INT('월 가계부'!A546/100),100),MOD(INT('월 가계부'!A546),100)))=MOD(INT('월 가계부'!A546/100),100),DATE(INT('월 가계부'!A546/10000),MOD(INT('월 가계부'!A546/100),100),MOD(INT('월 가계부'!A546),100)),""),""),IF(AND('월 가계부'!A546&gt;=36526,'월 가계부'!A546&lt;73051),INT('월 가계부'!A546),"")),IF(OR(CM546="",CN546="",CO546=""),"",IF(AND(CM546&gt;=2000,CM546&lt;=2099,CN546&gt;=1,CN546&lt;=12,CO546&gt;=1,CO546&lt;=31),IF(MONTH(DATE(CM546,CN546,CO546))=CN546,DATE(CM546,CN546,CO546),""),"")))),"")</f>
        <v/>
      </c>
      <c r="CJ546">
        <f>IFERROR(IF('월 가계부'!C546="","",IF(ISNUMBER('월 가계부'!C546),'월 가계부'!C546,VALUE(SUBSTITUTE(SUBSTITUTE(SUBSTITUTE(SUBSTITUTE(TRIM('월 가계부'!C546),",",""),"원","")," ",""),"−","-")))),"")</f>
        <v/>
      </c>
      <c r="CK546">
        <f>IF(ISNUMBER(CI546),IF(CI546&lt;$B$13,CI546,""),"")</f>
        <v/>
      </c>
      <c r="CM546">
        <f>IF(CH546="","",IFERROR(IF(IF(AND(LEN(CH546)=9,ISERROR(FIND("-",LEFT(CH546,8))),ISNUMBER(-LEFT(CH546,8))),VALUE(LEFT(CH546,4)),VALUE(LEFT(CH546,FIND("-",CH546)-1)))&lt;100,IF(AND(LEN(CH546)=9,ISERROR(FIND("-",LEFT(CH546,8))),ISNUMBER(-LEFT(CH546,8))),VALUE(LEFT(CH546,4)),VALUE(LEFT(CH546,FIND("-",CH546)-1)))+2000,IF(AND(LEN(CH546)=9,ISERROR(FIND("-",LEFT(CH546,8))),ISNUMBER(-LEFT(CH546,8))),VALUE(LEFT(CH546,4)),VALUE(LEFT(CH546,FIND("-",CH546)-1)))),""))</f>
        <v/>
      </c>
      <c r="CN546">
        <f>IF(CH546="","",IFERROR(IF(AND(LEN(CH546)=9,ISERROR(FIND("-",LEFT(CH546,8))),ISNUMBER(-LEFT(CH546,8))),VALUE(MID(CH546,5,2)),VALUE(MID(CH546,FIND("-",CH546)+1,FIND("-",CH546,FIND("-",CH546)+1)-FIND("-",CH546)-1))),""))</f>
        <v/>
      </c>
      <c r="CO546">
        <f>IF(CH546="","",IFERROR(IF(AND(LEN(CH546)=9,ISERROR(FIND("-",LEFT(CH546,8))),ISNUMBER(-LEFT(CH546,8))),VALUE(MID(CH546,7,2)),VALUE(MID(CH546,FIND("-",CH546,FIND("-",CH546)+1)+1,FIND("-",CH546,FIND("-",CH546,FIND("-",CH546)+1)+1)-FIND("-",CH546,FIND("-",CH546)+1)-1))),""))</f>
        <v/>
      </c>
    </row>
    <row r="547">
      <c r="CH547">
        <f>IF(ISTEXT('월 가계부'!A547),SUBSTITUTE(SUBSTITUTE(SUBSTITUTE(SUBSTITUTE(SUBSTITUTE(SUBSTITUTE(SUBSTITUTE(SUBSTITUTE(SUBSTITUTE(TRIM('월 가계부'!A547),"년","-"),"월","-"),"일",""),".","-"),"/","-")," ","-"),"--","-"),"--","-"),"--","-")&amp;"-","")</f>
        <v/>
      </c>
      <c r="CI547">
        <f>IFERROR(IF('월 가계부'!A547="","",IF(ISNUMBER('월 가계부'!A547),IF(AND('월 가계부'!A547&gt;=19000101,'월 가계부'!A547&lt;=21001231),IF(AND(MOD(INT('월 가계부'!A547/100),100)&gt;=1,MOD(INT('월 가계부'!A547/100),100)&lt;=12,MOD(INT('월 가계부'!A547),100)&gt;=1,MOD(INT('월 가계부'!A547),100)&lt;=31),IF(MONTH(DATE(INT('월 가계부'!A547/10000),MOD(INT('월 가계부'!A547/100),100),MOD(INT('월 가계부'!A547),100)))=MOD(INT('월 가계부'!A547/100),100),DATE(INT('월 가계부'!A547/10000),MOD(INT('월 가계부'!A547/100),100),MOD(INT('월 가계부'!A547),100)),""),""),IF(AND('월 가계부'!A547&gt;=36526,'월 가계부'!A547&lt;73051),INT('월 가계부'!A547),"")),IF(OR(CM547="",CN547="",CO547=""),"",IF(AND(CM547&gt;=2000,CM547&lt;=2099,CN547&gt;=1,CN547&lt;=12,CO547&gt;=1,CO547&lt;=31),IF(MONTH(DATE(CM547,CN547,CO547))=CN547,DATE(CM547,CN547,CO547),""),"")))),"")</f>
        <v/>
      </c>
      <c r="CJ547">
        <f>IFERROR(IF('월 가계부'!C547="","",IF(ISNUMBER('월 가계부'!C547),'월 가계부'!C547,VALUE(SUBSTITUTE(SUBSTITUTE(SUBSTITUTE(SUBSTITUTE(TRIM('월 가계부'!C547),",",""),"원","")," ",""),"−","-")))),"")</f>
        <v/>
      </c>
      <c r="CK547">
        <f>IF(ISNUMBER(CI547),IF(CI547&lt;$B$13,CI547,""),"")</f>
        <v/>
      </c>
      <c r="CM547">
        <f>IF(CH547="","",IFERROR(IF(IF(AND(LEN(CH547)=9,ISERROR(FIND("-",LEFT(CH547,8))),ISNUMBER(-LEFT(CH547,8))),VALUE(LEFT(CH547,4)),VALUE(LEFT(CH547,FIND("-",CH547)-1)))&lt;100,IF(AND(LEN(CH547)=9,ISERROR(FIND("-",LEFT(CH547,8))),ISNUMBER(-LEFT(CH547,8))),VALUE(LEFT(CH547,4)),VALUE(LEFT(CH547,FIND("-",CH547)-1)))+2000,IF(AND(LEN(CH547)=9,ISERROR(FIND("-",LEFT(CH547,8))),ISNUMBER(-LEFT(CH547,8))),VALUE(LEFT(CH547,4)),VALUE(LEFT(CH547,FIND("-",CH547)-1)))),""))</f>
        <v/>
      </c>
      <c r="CN547">
        <f>IF(CH547="","",IFERROR(IF(AND(LEN(CH547)=9,ISERROR(FIND("-",LEFT(CH547,8))),ISNUMBER(-LEFT(CH547,8))),VALUE(MID(CH547,5,2)),VALUE(MID(CH547,FIND("-",CH547)+1,FIND("-",CH547,FIND("-",CH547)+1)-FIND("-",CH547)-1))),""))</f>
        <v/>
      </c>
      <c r="CO547">
        <f>IF(CH547="","",IFERROR(IF(AND(LEN(CH547)=9,ISERROR(FIND("-",LEFT(CH547,8))),ISNUMBER(-LEFT(CH547,8))),VALUE(MID(CH547,7,2)),VALUE(MID(CH547,FIND("-",CH547,FIND("-",CH547)+1)+1,FIND("-",CH547,FIND("-",CH547,FIND("-",CH547)+1)+1)-FIND("-",CH547,FIND("-",CH547)+1)-1))),""))</f>
        <v/>
      </c>
    </row>
    <row r="548">
      <c r="CH548">
        <f>IF(ISTEXT('월 가계부'!A548),SUBSTITUTE(SUBSTITUTE(SUBSTITUTE(SUBSTITUTE(SUBSTITUTE(SUBSTITUTE(SUBSTITUTE(SUBSTITUTE(SUBSTITUTE(TRIM('월 가계부'!A548),"년","-"),"월","-"),"일",""),".","-"),"/","-")," ","-"),"--","-"),"--","-"),"--","-")&amp;"-","")</f>
        <v/>
      </c>
      <c r="CI548">
        <f>IFERROR(IF('월 가계부'!A548="","",IF(ISNUMBER('월 가계부'!A548),IF(AND('월 가계부'!A548&gt;=19000101,'월 가계부'!A548&lt;=21001231),IF(AND(MOD(INT('월 가계부'!A548/100),100)&gt;=1,MOD(INT('월 가계부'!A548/100),100)&lt;=12,MOD(INT('월 가계부'!A548),100)&gt;=1,MOD(INT('월 가계부'!A548),100)&lt;=31),IF(MONTH(DATE(INT('월 가계부'!A548/10000),MOD(INT('월 가계부'!A548/100),100),MOD(INT('월 가계부'!A548),100)))=MOD(INT('월 가계부'!A548/100),100),DATE(INT('월 가계부'!A548/10000),MOD(INT('월 가계부'!A548/100),100),MOD(INT('월 가계부'!A548),100)),""),""),IF(AND('월 가계부'!A548&gt;=36526,'월 가계부'!A548&lt;73051),INT('월 가계부'!A548),"")),IF(OR(CM548="",CN548="",CO548=""),"",IF(AND(CM548&gt;=2000,CM548&lt;=2099,CN548&gt;=1,CN548&lt;=12,CO548&gt;=1,CO548&lt;=31),IF(MONTH(DATE(CM548,CN548,CO548))=CN548,DATE(CM548,CN548,CO548),""),"")))),"")</f>
        <v/>
      </c>
      <c r="CJ548">
        <f>IFERROR(IF('월 가계부'!C548="","",IF(ISNUMBER('월 가계부'!C548),'월 가계부'!C548,VALUE(SUBSTITUTE(SUBSTITUTE(SUBSTITUTE(SUBSTITUTE(TRIM('월 가계부'!C548),",",""),"원","")," ",""),"−","-")))),"")</f>
        <v/>
      </c>
      <c r="CK548">
        <f>IF(ISNUMBER(CI548),IF(CI548&lt;$B$13,CI548,""),"")</f>
        <v/>
      </c>
      <c r="CM548">
        <f>IF(CH548="","",IFERROR(IF(IF(AND(LEN(CH548)=9,ISERROR(FIND("-",LEFT(CH548,8))),ISNUMBER(-LEFT(CH548,8))),VALUE(LEFT(CH548,4)),VALUE(LEFT(CH548,FIND("-",CH548)-1)))&lt;100,IF(AND(LEN(CH548)=9,ISERROR(FIND("-",LEFT(CH548,8))),ISNUMBER(-LEFT(CH548,8))),VALUE(LEFT(CH548,4)),VALUE(LEFT(CH548,FIND("-",CH548)-1)))+2000,IF(AND(LEN(CH548)=9,ISERROR(FIND("-",LEFT(CH548,8))),ISNUMBER(-LEFT(CH548,8))),VALUE(LEFT(CH548,4)),VALUE(LEFT(CH548,FIND("-",CH548)-1)))),""))</f>
        <v/>
      </c>
      <c r="CN548">
        <f>IF(CH548="","",IFERROR(IF(AND(LEN(CH548)=9,ISERROR(FIND("-",LEFT(CH548,8))),ISNUMBER(-LEFT(CH548,8))),VALUE(MID(CH548,5,2)),VALUE(MID(CH548,FIND("-",CH548)+1,FIND("-",CH548,FIND("-",CH548)+1)-FIND("-",CH548)-1))),""))</f>
        <v/>
      </c>
      <c r="CO548">
        <f>IF(CH548="","",IFERROR(IF(AND(LEN(CH548)=9,ISERROR(FIND("-",LEFT(CH548,8))),ISNUMBER(-LEFT(CH548,8))),VALUE(MID(CH548,7,2)),VALUE(MID(CH548,FIND("-",CH548,FIND("-",CH548)+1)+1,FIND("-",CH548,FIND("-",CH548,FIND("-",CH548)+1)+1)-FIND("-",CH548,FIND("-",CH548)+1)-1))),""))</f>
        <v/>
      </c>
    </row>
    <row r="549">
      <c r="CH549">
        <f>IF(ISTEXT('월 가계부'!A549),SUBSTITUTE(SUBSTITUTE(SUBSTITUTE(SUBSTITUTE(SUBSTITUTE(SUBSTITUTE(SUBSTITUTE(SUBSTITUTE(SUBSTITUTE(TRIM('월 가계부'!A549),"년","-"),"월","-"),"일",""),".","-"),"/","-")," ","-"),"--","-"),"--","-"),"--","-")&amp;"-","")</f>
        <v/>
      </c>
      <c r="CI549">
        <f>IFERROR(IF('월 가계부'!A549="","",IF(ISNUMBER('월 가계부'!A549),IF(AND('월 가계부'!A549&gt;=19000101,'월 가계부'!A549&lt;=21001231),IF(AND(MOD(INT('월 가계부'!A549/100),100)&gt;=1,MOD(INT('월 가계부'!A549/100),100)&lt;=12,MOD(INT('월 가계부'!A549),100)&gt;=1,MOD(INT('월 가계부'!A549),100)&lt;=31),IF(MONTH(DATE(INT('월 가계부'!A549/10000),MOD(INT('월 가계부'!A549/100),100),MOD(INT('월 가계부'!A549),100)))=MOD(INT('월 가계부'!A549/100),100),DATE(INT('월 가계부'!A549/10000),MOD(INT('월 가계부'!A549/100),100),MOD(INT('월 가계부'!A549),100)),""),""),IF(AND('월 가계부'!A549&gt;=36526,'월 가계부'!A549&lt;73051),INT('월 가계부'!A549),"")),IF(OR(CM549="",CN549="",CO549=""),"",IF(AND(CM549&gt;=2000,CM549&lt;=2099,CN549&gt;=1,CN549&lt;=12,CO549&gt;=1,CO549&lt;=31),IF(MONTH(DATE(CM549,CN549,CO549))=CN549,DATE(CM549,CN549,CO549),""),"")))),"")</f>
        <v/>
      </c>
      <c r="CJ549">
        <f>IFERROR(IF('월 가계부'!C549="","",IF(ISNUMBER('월 가계부'!C549),'월 가계부'!C549,VALUE(SUBSTITUTE(SUBSTITUTE(SUBSTITUTE(SUBSTITUTE(TRIM('월 가계부'!C549),",",""),"원","")," ",""),"−","-")))),"")</f>
        <v/>
      </c>
      <c r="CK549">
        <f>IF(ISNUMBER(CI549),IF(CI549&lt;$B$13,CI549,""),"")</f>
        <v/>
      </c>
      <c r="CM549">
        <f>IF(CH549="","",IFERROR(IF(IF(AND(LEN(CH549)=9,ISERROR(FIND("-",LEFT(CH549,8))),ISNUMBER(-LEFT(CH549,8))),VALUE(LEFT(CH549,4)),VALUE(LEFT(CH549,FIND("-",CH549)-1)))&lt;100,IF(AND(LEN(CH549)=9,ISERROR(FIND("-",LEFT(CH549,8))),ISNUMBER(-LEFT(CH549,8))),VALUE(LEFT(CH549,4)),VALUE(LEFT(CH549,FIND("-",CH549)-1)))+2000,IF(AND(LEN(CH549)=9,ISERROR(FIND("-",LEFT(CH549,8))),ISNUMBER(-LEFT(CH549,8))),VALUE(LEFT(CH549,4)),VALUE(LEFT(CH549,FIND("-",CH549)-1)))),""))</f>
        <v/>
      </c>
      <c r="CN549">
        <f>IF(CH549="","",IFERROR(IF(AND(LEN(CH549)=9,ISERROR(FIND("-",LEFT(CH549,8))),ISNUMBER(-LEFT(CH549,8))),VALUE(MID(CH549,5,2)),VALUE(MID(CH549,FIND("-",CH549)+1,FIND("-",CH549,FIND("-",CH549)+1)-FIND("-",CH549)-1))),""))</f>
        <v/>
      </c>
      <c r="CO549">
        <f>IF(CH549="","",IFERROR(IF(AND(LEN(CH549)=9,ISERROR(FIND("-",LEFT(CH549,8))),ISNUMBER(-LEFT(CH549,8))),VALUE(MID(CH549,7,2)),VALUE(MID(CH549,FIND("-",CH549,FIND("-",CH549)+1)+1,FIND("-",CH549,FIND("-",CH549,FIND("-",CH549)+1)+1)-FIND("-",CH549,FIND("-",CH549)+1)-1))),""))</f>
        <v/>
      </c>
    </row>
    <row r="550">
      <c r="CH550">
        <f>IF(ISTEXT('월 가계부'!A550),SUBSTITUTE(SUBSTITUTE(SUBSTITUTE(SUBSTITUTE(SUBSTITUTE(SUBSTITUTE(SUBSTITUTE(SUBSTITUTE(SUBSTITUTE(TRIM('월 가계부'!A550),"년","-"),"월","-"),"일",""),".","-"),"/","-")," ","-"),"--","-"),"--","-"),"--","-")&amp;"-","")</f>
        <v/>
      </c>
      <c r="CI550">
        <f>IFERROR(IF('월 가계부'!A550="","",IF(ISNUMBER('월 가계부'!A550),IF(AND('월 가계부'!A550&gt;=19000101,'월 가계부'!A550&lt;=21001231),IF(AND(MOD(INT('월 가계부'!A550/100),100)&gt;=1,MOD(INT('월 가계부'!A550/100),100)&lt;=12,MOD(INT('월 가계부'!A550),100)&gt;=1,MOD(INT('월 가계부'!A550),100)&lt;=31),IF(MONTH(DATE(INT('월 가계부'!A550/10000),MOD(INT('월 가계부'!A550/100),100),MOD(INT('월 가계부'!A550),100)))=MOD(INT('월 가계부'!A550/100),100),DATE(INT('월 가계부'!A550/10000),MOD(INT('월 가계부'!A550/100),100),MOD(INT('월 가계부'!A550),100)),""),""),IF(AND('월 가계부'!A550&gt;=36526,'월 가계부'!A550&lt;73051),INT('월 가계부'!A550),"")),IF(OR(CM550="",CN550="",CO550=""),"",IF(AND(CM550&gt;=2000,CM550&lt;=2099,CN550&gt;=1,CN550&lt;=12,CO550&gt;=1,CO550&lt;=31),IF(MONTH(DATE(CM550,CN550,CO550))=CN550,DATE(CM550,CN550,CO550),""),"")))),"")</f>
        <v/>
      </c>
      <c r="CJ550">
        <f>IFERROR(IF('월 가계부'!C550="","",IF(ISNUMBER('월 가계부'!C550),'월 가계부'!C550,VALUE(SUBSTITUTE(SUBSTITUTE(SUBSTITUTE(SUBSTITUTE(TRIM('월 가계부'!C550),",",""),"원","")," ",""),"−","-")))),"")</f>
        <v/>
      </c>
      <c r="CK550">
        <f>IF(ISNUMBER(CI550),IF(CI550&lt;$B$13,CI550,""),"")</f>
        <v/>
      </c>
      <c r="CM550">
        <f>IF(CH550="","",IFERROR(IF(IF(AND(LEN(CH550)=9,ISERROR(FIND("-",LEFT(CH550,8))),ISNUMBER(-LEFT(CH550,8))),VALUE(LEFT(CH550,4)),VALUE(LEFT(CH550,FIND("-",CH550)-1)))&lt;100,IF(AND(LEN(CH550)=9,ISERROR(FIND("-",LEFT(CH550,8))),ISNUMBER(-LEFT(CH550,8))),VALUE(LEFT(CH550,4)),VALUE(LEFT(CH550,FIND("-",CH550)-1)))+2000,IF(AND(LEN(CH550)=9,ISERROR(FIND("-",LEFT(CH550,8))),ISNUMBER(-LEFT(CH550,8))),VALUE(LEFT(CH550,4)),VALUE(LEFT(CH550,FIND("-",CH550)-1)))),""))</f>
        <v/>
      </c>
      <c r="CN550">
        <f>IF(CH550="","",IFERROR(IF(AND(LEN(CH550)=9,ISERROR(FIND("-",LEFT(CH550,8))),ISNUMBER(-LEFT(CH550,8))),VALUE(MID(CH550,5,2)),VALUE(MID(CH550,FIND("-",CH550)+1,FIND("-",CH550,FIND("-",CH550)+1)-FIND("-",CH550)-1))),""))</f>
        <v/>
      </c>
      <c r="CO550">
        <f>IF(CH550="","",IFERROR(IF(AND(LEN(CH550)=9,ISERROR(FIND("-",LEFT(CH550,8))),ISNUMBER(-LEFT(CH550,8))),VALUE(MID(CH550,7,2)),VALUE(MID(CH550,FIND("-",CH550,FIND("-",CH550)+1)+1,FIND("-",CH550,FIND("-",CH550,FIND("-",CH550)+1)+1)-FIND("-",CH550,FIND("-",CH550)+1)-1))),""))</f>
        <v/>
      </c>
    </row>
    <row r="551">
      <c r="CH551">
        <f>IF(ISTEXT('월 가계부'!A551),SUBSTITUTE(SUBSTITUTE(SUBSTITUTE(SUBSTITUTE(SUBSTITUTE(SUBSTITUTE(SUBSTITUTE(SUBSTITUTE(SUBSTITUTE(TRIM('월 가계부'!A551),"년","-"),"월","-"),"일",""),".","-"),"/","-")," ","-"),"--","-"),"--","-"),"--","-")&amp;"-","")</f>
        <v/>
      </c>
      <c r="CI551">
        <f>IFERROR(IF('월 가계부'!A551="","",IF(ISNUMBER('월 가계부'!A551),IF(AND('월 가계부'!A551&gt;=19000101,'월 가계부'!A551&lt;=21001231),IF(AND(MOD(INT('월 가계부'!A551/100),100)&gt;=1,MOD(INT('월 가계부'!A551/100),100)&lt;=12,MOD(INT('월 가계부'!A551),100)&gt;=1,MOD(INT('월 가계부'!A551),100)&lt;=31),IF(MONTH(DATE(INT('월 가계부'!A551/10000),MOD(INT('월 가계부'!A551/100),100),MOD(INT('월 가계부'!A551),100)))=MOD(INT('월 가계부'!A551/100),100),DATE(INT('월 가계부'!A551/10000),MOD(INT('월 가계부'!A551/100),100),MOD(INT('월 가계부'!A551),100)),""),""),IF(AND('월 가계부'!A551&gt;=36526,'월 가계부'!A551&lt;73051),INT('월 가계부'!A551),"")),IF(OR(CM551="",CN551="",CO551=""),"",IF(AND(CM551&gt;=2000,CM551&lt;=2099,CN551&gt;=1,CN551&lt;=12,CO551&gt;=1,CO551&lt;=31),IF(MONTH(DATE(CM551,CN551,CO551))=CN551,DATE(CM551,CN551,CO551),""),"")))),"")</f>
        <v/>
      </c>
      <c r="CJ551">
        <f>IFERROR(IF('월 가계부'!C551="","",IF(ISNUMBER('월 가계부'!C551),'월 가계부'!C551,VALUE(SUBSTITUTE(SUBSTITUTE(SUBSTITUTE(SUBSTITUTE(TRIM('월 가계부'!C551),",",""),"원","")," ",""),"−","-")))),"")</f>
        <v/>
      </c>
      <c r="CK551">
        <f>IF(ISNUMBER(CI551),IF(CI551&lt;$B$13,CI551,""),"")</f>
        <v/>
      </c>
      <c r="CM551">
        <f>IF(CH551="","",IFERROR(IF(IF(AND(LEN(CH551)=9,ISERROR(FIND("-",LEFT(CH551,8))),ISNUMBER(-LEFT(CH551,8))),VALUE(LEFT(CH551,4)),VALUE(LEFT(CH551,FIND("-",CH551)-1)))&lt;100,IF(AND(LEN(CH551)=9,ISERROR(FIND("-",LEFT(CH551,8))),ISNUMBER(-LEFT(CH551,8))),VALUE(LEFT(CH551,4)),VALUE(LEFT(CH551,FIND("-",CH551)-1)))+2000,IF(AND(LEN(CH551)=9,ISERROR(FIND("-",LEFT(CH551,8))),ISNUMBER(-LEFT(CH551,8))),VALUE(LEFT(CH551,4)),VALUE(LEFT(CH551,FIND("-",CH551)-1)))),""))</f>
        <v/>
      </c>
      <c r="CN551">
        <f>IF(CH551="","",IFERROR(IF(AND(LEN(CH551)=9,ISERROR(FIND("-",LEFT(CH551,8))),ISNUMBER(-LEFT(CH551,8))),VALUE(MID(CH551,5,2)),VALUE(MID(CH551,FIND("-",CH551)+1,FIND("-",CH551,FIND("-",CH551)+1)-FIND("-",CH551)-1))),""))</f>
        <v/>
      </c>
      <c r="CO551">
        <f>IF(CH551="","",IFERROR(IF(AND(LEN(CH551)=9,ISERROR(FIND("-",LEFT(CH551,8))),ISNUMBER(-LEFT(CH551,8))),VALUE(MID(CH551,7,2)),VALUE(MID(CH551,FIND("-",CH551,FIND("-",CH551)+1)+1,FIND("-",CH551,FIND("-",CH551,FIND("-",CH551)+1)+1)-FIND("-",CH551,FIND("-",CH551)+1)-1))),""))</f>
        <v/>
      </c>
    </row>
    <row r="552">
      <c r="CH552">
        <f>IF(ISTEXT('월 가계부'!A552),SUBSTITUTE(SUBSTITUTE(SUBSTITUTE(SUBSTITUTE(SUBSTITUTE(SUBSTITUTE(SUBSTITUTE(SUBSTITUTE(SUBSTITUTE(TRIM('월 가계부'!A552),"년","-"),"월","-"),"일",""),".","-"),"/","-")," ","-"),"--","-"),"--","-"),"--","-")&amp;"-","")</f>
        <v/>
      </c>
      <c r="CI552">
        <f>IFERROR(IF('월 가계부'!A552="","",IF(ISNUMBER('월 가계부'!A552),IF(AND('월 가계부'!A552&gt;=19000101,'월 가계부'!A552&lt;=21001231),IF(AND(MOD(INT('월 가계부'!A552/100),100)&gt;=1,MOD(INT('월 가계부'!A552/100),100)&lt;=12,MOD(INT('월 가계부'!A552),100)&gt;=1,MOD(INT('월 가계부'!A552),100)&lt;=31),IF(MONTH(DATE(INT('월 가계부'!A552/10000),MOD(INT('월 가계부'!A552/100),100),MOD(INT('월 가계부'!A552),100)))=MOD(INT('월 가계부'!A552/100),100),DATE(INT('월 가계부'!A552/10000),MOD(INT('월 가계부'!A552/100),100),MOD(INT('월 가계부'!A552),100)),""),""),IF(AND('월 가계부'!A552&gt;=36526,'월 가계부'!A552&lt;73051),INT('월 가계부'!A552),"")),IF(OR(CM552="",CN552="",CO552=""),"",IF(AND(CM552&gt;=2000,CM552&lt;=2099,CN552&gt;=1,CN552&lt;=12,CO552&gt;=1,CO552&lt;=31),IF(MONTH(DATE(CM552,CN552,CO552))=CN552,DATE(CM552,CN552,CO552),""),"")))),"")</f>
        <v/>
      </c>
      <c r="CJ552">
        <f>IFERROR(IF('월 가계부'!C552="","",IF(ISNUMBER('월 가계부'!C552),'월 가계부'!C552,VALUE(SUBSTITUTE(SUBSTITUTE(SUBSTITUTE(SUBSTITUTE(TRIM('월 가계부'!C552),",",""),"원","")," ",""),"−","-")))),"")</f>
        <v/>
      </c>
      <c r="CK552">
        <f>IF(ISNUMBER(CI552),IF(CI552&lt;$B$13,CI552,""),"")</f>
        <v/>
      </c>
      <c r="CM552">
        <f>IF(CH552="","",IFERROR(IF(IF(AND(LEN(CH552)=9,ISERROR(FIND("-",LEFT(CH552,8))),ISNUMBER(-LEFT(CH552,8))),VALUE(LEFT(CH552,4)),VALUE(LEFT(CH552,FIND("-",CH552)-1)))&lt;100,IF(AND(LEN(CH552)=9,ISERROR(FIND("-",LEFT(CH552,8))),ISNUMBER(-LEFT(CH552,8))),VALUE(LEFT(CH552,4)),VALUE(LEFT(CH552,FIND("-",CH552)-1)))+2000,IF(AND(LEN(CH552)=9,ISERROR(FIND("-",LEFT(CH552,8))),ISNUMBER(-LEFT(CH552,8))),VALUE(LEFT(CH552,4)),VALUE(LEFT(CH552,FIND("-",CH552)-1)))),""))</f>
        <v/>
      </c>
      <c r="CN552">
        <f>IF(CH552="","",IFERROR(IF(AND(LEN(CH552)=9,ISERROR(FIND("-",LEFT(CH552,8))),ISNUMBER(-LEFT(CH552,8))),VALUE(MID(CH552,5,2)),VALUE(MID(CH552,FIND("-",CH552)+1,FIND("-",CH552,FIND("-",CH552)+1)-FIND("-",CH552)-1))),""))</f>
        <v/>
      </c>
      <c r="CO552">
        <f>IF(CH552="","",IFERROR(IF(AND(LEN(CH552)=9,ISERROR(FIND("-",LEFT(CH552,8))),ISNUMBER(-LEFT(CH552,8))),VALUE(MID(CH552,7,2)),VALUE(MID(CH552,FIND("-",CH552,FIND("-",CH552)+1)+1,FIND("-",CH552,FIND("-",CH552,FIND("-",CH552)+1)+1)-FIND("-",CH552,FIND("-",CH552)+1)-1))),""))</f>
        <v/>
      </c>
    </row>
    <row r="553">
      <c r="CH553">
        <f>IF(ISTEXT('월 가계부'!A553),SUBSTITUTE(SUBSTITUTE(SUBSTITUTE(SUBSTITUTE(SUBSTITUTE(SUBSTITUTE(SUBSTITUTE(SUBSTITUTE(SUBSTITUTE(TRIM('월 가계부'!A553),"년","-"),"월","-"),"일",""),".","-"),"/","-")," ","-"),"--","-"),"--","-"),"--","-")&amp;"-","")</f>
        <v/>
      </c>
      <c r="CI553">
        <f>IFERROR(IF('월 가계부'!A553="","",IF(ISNUMBER('월 가계부'!A553),IF(AND('월 가계부'!A553&gt;=19000101,'월 가계부'!A553&lt;=21001231),IF(AND(MOD(INT('월 가계부'!A553/100),100)&gt;=1,MOD(INT('월 가계부'!A553/100),100)&lt;=12,MOD(INT('월 가계부'!A553),100)&gt;=1,MOD(INT('월 가계부'!A553),100)&lt;=31),IF(MONTH(DATE(INT('월 가계부'!A553/10000),MOD(INT('월 가계부'!A553/100),100),MOD(INT('월 가계부'!A553),100)))=MOD(INT('월 가계부'!A553/100),100),DATE(INT('월 가계부'!A553/10000),MOD(INT('월 가계부'!A553/100),100),MOD(INT('월 가계부'!A553),100)),""),""),IF(AND('월 가계부'!A553&gt;=36526,'월 가계부'!A553&lt;73051),INT('월 가계부'!A553),"")),IF(OR(CM553="",CN553="",CO553=""),"",IF(AND(CM553&gt;=2000,CM553&lt;=2099,CN553&gt;=1,CN553&lt;=12,CO553&gt;=1,CO553&lt;=31),IF(MONTH(DATE(CM553,CN553,CO553))=CN553,DATE(CM553,CN553,CO553),""),"")))),"")</f>
        <v/>
      </c>
      <c r="CJ553">
        <f>IFERROR(IF('월 가계부'!C553="","",IF(ISNUMBER('월 가계부'!C553),'월 가계부'!C553,VALUE(SUBSTITUTE(SUBSTITUTE(SUBSTITUTE(SUBSTITUTE(TRIM('월 가계부'!C553),",",""),"원","")," ",""),"−","-")))),"")</f>
        <v/>
      </c>
      <c r="CK553">
        <f>IF(ISNUMBER(CI553),IF(CI553&lt;$B$13,CI553,""),"")</f>
        <v/>
      </c>
      <c r="CM553">
        <f>IF(CH553="","",IFERROR(IF(IF(AND(LEN(CH553)=9,ISERROR(FIND("-",LEFT(CH553,8))),ISNUMBER(-LEFT(CH553,8))),VALUE(LEFT(CH553,4)),VALUE(LEFT(CH553,FIND("-",CH553)-1)))&lt;100,IF(AND(LEN(CH553)=9,ISERROR(FIND("-",LEFT(CH553,8))),ISNUMBER(-LEFT(CH553,8))),VALUE(LEFT(CH553,4)),VALUE(LEFT(CH553,FIND("-",CH553)-1)))+2000,IF(AND(LEN(CH553)=9,ISERROR(FIND("-",LEFT(CH553,8))),ISNUMBER(-LEFT(CH553,8))),VALUE(LEFT(CH553,4)),VALUE(LEFT(CH553,FIND("-",CH553)-1)))),""))</f>
        <v/>
      </c>
      <c r="CN553">
        <f>IF(CH553="","",IFERROR(IF(AND(LEN(CH553)=9,ISERROR(FIND("-",LEFT(CH553,8))),ISNUMBER(-LEFT(CH553,8))),VALUE(MID(CH553,5,2)),VALUE(MID(CH553,FIND("-",CH553)+1,FIND("-",CH553,FIND("-",CH553)+1)-FIND("-",CH553)-1))),""))</f>
        <v/>
      </c>
      <c r="CO553">
        <f>IF(CH553="","",IFERROR(IF(AND(LEN(CH553)=9,ISERROR(FIND("-",LEFT(CH553,8))),ISNUMBER(-LEFT(CH553,8))),VALUE(MID(CH553,7,2)),VALUE(MID(CH553,FIND("-",CH553,FIND("-",CH553)+1)+1,FIND("-",CH553,FIND("-",CH553,FIND("-",CH553)+1)+1)-FIND("-",CH553,FIND("-",CH553)+1)-1))),""))</f>
        <v/>
      </c>
    </row>
    <row r="554">
      <c r="CH554">
        <f>IF(ISTEXT('월 가계부'!A554),SUBSTITUTE(SUBSTITUTE(SUBSTITUTE(SUBSTITUTE(SUBSTITUTE(SUBSTITUTE(SUBSTITUTE(SUBSTITUTE(SUBSTITUTE(TRIM('월 가계부'!A554),"년","-"),"월","-"),"일",""),".","-"),"/","-")," ","-"),"--","-"),"--","-"),"--","-")&amp;"-","")</f>
        <v/>
      </c>
      <c r="CI554">
        <f>IFERROR(IF('월 가계부'!A554="","",IF(ISNUMBER('월 가계부'!A554),IF(AND('월 가계부'!A554&gt;=19000101,'월 가계부'!A554&lt;=21001231),IF(AND(MOD(INT('월 가계부'!A554/100),100)&gt;=1,MOD(INT('월 가계부'!A554/100),100)&lt;=12,MOD(INT('월 가계부'!A554),100)&gt;=1,MOD(INT('월 가계부'!A554),100)&lt;=31),IF(MONTH(DATE(INT('월 가계부'!A554/10000),MOD(INT('월 가계부'!A554/100),100),MOD(INT('월 가계부'!A554),100)))=MOD(INT('월 가계부'!A554/100),100),DATE(INT('월 가계부'!A554/10000),MOD(INT('월 가계부'!A554/100),100),MOD(INT('월 가계부'!A554),100)),""),""),IF(AND('월 가계부'!A554&gt;=36526,'월 가계부'!A554&lt;73051),INT('월 가계부'!A554),"")),IF(OR(CM554="",CN554="",CO554=""),"",IF(AND(CM554&gt;=2000,CM554&lt;=2099,CN554&gt;=1,CN554&lt;=12,CO554&gt;=1,CO554&lt;=31),IF(MONTH(DATE(CM554,CN554,CO554))=CN554,DATE(CM554,CN554,CO554),""),"")))),"")</f>
        <v/>
      </c>
      <c r="CJ554">
        <f>IFERROR(IF('월 가계부'!C554="","",IF(ISNUMBER('월 가계부'!C554),'월 가계부'!C554,VALUE(SUBSTITUTE(SUBSTITUTE(SUBSTITUTE(SUBSTITUTE(TRIM('월 가계부'!C554),",",""),"원","")," ",""),"−","-")))),"")</f>
        <v/>
      </c>
      <c r="CK554">
        <f>IF(ISNUMBER(CI554),IF(CI554&lt;$B$13,CI554,""),"")</f>
        <v/>
      </c>
      <c r="CM554">
        <f>IF(CH554="","",IFERROR(IF(IF(AND(LEN(CH554)=9,ISERROR(FIND("-",LEFT(CH554,8))),ISNUMBER(-LEFT(CH554,8))),VALUE(LEFT(CH554,4)),VALUE(LEFT(CH554,FIND("-",CH554)-1)))&lt;100,IF(AND(LEN(CH554)=9,ISERROR(FIND("-",LEFT(CH554,8))),ISNUMBER(-LEFT(CH554,8))),VALUE(LEFT(CH554,4)),VALUE(LEFT(CH554,FIND("-",CH554)-1)))+2000,IF(AND(LEN(CH554)=9,ISERROR(FIND("-",LEFT(CH554,8))),ISNUMBER(-LEFT(CH554,8))),VALUE(LEFT(CH554,4)),VALUE(LEFT(CH554,FIND("-",CH554)-1)))),""))</f>
        <v/>
      </c>
      <c r="CN554">
        <f>IF(CH554="","",IFERROR(IF(AND(LEN(CH554)=9,ISERROR(FIND("-",LEFT(CH554,8))),ISNUMBER(-LEFT(CH554,8))),VALUE(MID(CH554,5,2)),VALUE(MID(CH554,FIND("-",CH554)+1,FIND("-",CH554,FIND("-",CH554)+1)-FIND("-",CH554)-1))),""))</f>
        <v/>
      </c>
      <c r="CO554">
        <f>IF(CH554="","",IFERROR(IF(AND(LEN(CH554)=9,ISERROR(FIND("-",LEFT(CH554,8))),ISNUMBER(-LEFT(CH554,8))),VALUE(MID(CH554,7,2)),VALUE(MID(CH554,FIND("-",CH554,FIND("-",CH554)+1)+1,FIND("-",CH554,FIND("-",CH554,FIND("-",CH554)+1)+1)-FIND("-",CH554,FIND("-",CH554)+1)-1))),""))</f>
        <v/>
      </c>
    </row>
    <row r="555">
      <c r="CH555">
        <f>IF(ISTEXT('월 가계부'!A555),SUBSTITUTE(SUBSTITUTE(SUBSTITUTE(SUBSTITUTE(SUBSTITUTE(SUBSTITUTE(SUBSTITUTE(SUBSTITUTE(SUBSTITUTE(TRIM('월 가계부'!A555),"년","-"),"월","-"),"일",""),".","-"),"/","-")," ","-"),"--","-"),"--","-"),"--","-")&amp;"-","")</f>
        <v/>
      </c>
      <c r="CI555">
        <f>IFERROR(IF('월 가계부'!A555="","",IF(ISNUMBER('월 가계부'!A555),IF(AND('월 가계부'!A555&gt;=19000101,'월 가계부'!A555&lt;=21001231),IF(AND(MOD(INT('월 가계부'!A555/100),100)&gt;=1,MOD(INT('월 가계부'!A555/100),100)&lt;=12,MOD(INT('월 가계부'!A555),100)&gt;=1,MOD(INT('월 가계부'!A555),100)&lt;=31),IF(MONTH(DATE(INT('월 가계부'!A555/10000),MOD(INT('월 가계부'!A555/100),100),MOD(INT('월 가계부'!A555),100)))=MOD(INT('월 가계부'!A555/100),100),DATE(INT('월 가계부'!A555/10000),MOD(INT('월 가계부'!A555/100),100),MOD(INT('월 가계부'!A555),100)),""),""),IF(AND('월 가계부'!A555&gt;=36526,'월 가계부'!A555&lt;73051),INT('월 가계부'!A555),"")),IF(OR(CM555="",CN555="",CO555=""),"",IF(AND(CM555&gt;=2000,CM555&lt;=2099,CN555&gt;=1,CN555&lt;=12,CO555&gt;=1,CO555&lt;=31),IF(MONTH(DATE(CM555,CN555,CO555))=CN555,DATE(CM555,CN555,CO555),""),"")))),"")</f>
        <v/>
      </c>
      <c r="CJ555">
        <f>IFERROR(IF('월 가계부'!C555="","",IF(ISNUMBER('월 가계부'!C555),'월 가계부'!C555,VALUE(SUBSTITUTE(SUBSTITUTE(SUBSTITUTE(SUBSTITUTE(TRIM('월 가계부'!C555),",",""),"원","")," ",""),"−","-")))),"")</f>
        <v/>
      </c>
      <c r="CK555">
        <f>IF(ISNUMBER(CI555),IF(CI555&lt;$B$13,CI555,""),"")</f>
        <v/>
      </c>
      <c r="CM555">
        <f>IF(CH555="","",IFERROR(IF(IF(AND(LEN(CH555)=9,ISERROR(FIND("-",LEFT(CH555,8))),ISNUMBER(-LEFT(CH555,8))),VALUE(LEFT(CH555,4)),VALUE(LEFT(CH555,FIND("-",CH555)-1)))&lt;100,IF(AND(LEN(CH555)=9,ISERROR(FIND("-",LEFT(CH555,8))),ISNUMBER(-LEFT(CH555,8))),VALUE(LEFT(CH555,4)),VALUE(LEFT(CH555,FIND("-",CH555)-1)))+2000,IF(AND(LEN(CH555)=9,ISERROR(FIND("-",LEFT(CH555,8))),ISNUMBER(-LEFT(CH555,8))),VALUE(LEFT(CH555,4)),VALUE(LEFT(CH555,FIND("-",CH555)-1)))),""))</f>
        <v/>
      </c>
      <c r="CN555">
        <f>IF(CH555="","",IFERROR(IF(AND(LEN(CH555)=9,ISERROR(FIND("-",LEFT(CH555,8))),ISNUMBER(-LEFT(CH555,8))),VALUE(MID(CH555,5,2)),VALUE(MID(CH555,FIND("-",CH555)+1,FIND("-",CH555,FIND("-",CH555)+1)-FIND("-",CH555)-1))),""))</f>
        <v/>
      </c>
      <c r="CO555">
        <f>IF(CH555="","",IFERROR(IF(AND(LEN(CH555)=9,ISERROR(FIND("-",LEFT(CH555,8))),ISNUMBER(-LEFT(CH555,8))),VALUE(MID(CH555,7,2)),VALUE(MID(CH555,FIND("-",CH555,FIND("-",CH555)+1)+1,FIND("-",CH555,FIND("-",CH555,FIND("-",CH555)+1)+1)-FIND("-",CH555,FIND("-",CH555)+1)-1))),""))</f>
        <v/>
      </c>
    </row>
    <row r="556">
      <c r="CH556">
        <f>IF(ISTEXT('월 가계부'!A556),SUBSTITUTE(SUBSTITUTE(SUBSTITUTE(SUBSTITUTE(SUBSTITUTE(SUBSTITUTE(SUBSTITUTE(SUBSTITUTE(SUBSTITUTE(TRIM('월 가계부'!A556),"년","-"),"월","-"),"일",""),".","-"),"/","-")," ","-"),"--","-"),"--","-"),"--","-")&amp;"-","")</f>
        <v/>
      </c>
      <c r="CI556">
        <f>IFERROR(IF('월 가계부'!A556="","",IF(ISNUMBER('월 가계부'!A556),IF(AND('월 가계부'!A556&gt;=19000101,'월 가계부'!A556&lt;=21001231),IF(AND(MOD(INT('월 가계부'!A556/100),100)&gt;=1,MOD(INT('월 가계부'!A556/100),100)&lt;=12,MOD(INT('월 가계부'!A556),100)&gt;=1,MOD(INT('월 가계부'!A556),100)&lt;=31),IF(MONTH(DATE(INT('월 가계부'!A556/10000),MOD(INT('월 가계부'!A556/100),100),MOD(INT('월 가계부'!A556),100)))=MOD(INT('월 가계부'!A556/100),100),DATE(INT('월 가계부'!A556/10000),MOD(INT('월 가계부'!A556/100),100),MOD(INT('월 가계부'!A556),100)),""),""),IF(AND('월 가계부'!A556&gt;=36526,'월 가계부'!A556&lt;73051),INT('월 가계부'!A556),"")),IF(OR(CM556="",CN556="",CO556=""),"",IF(AND(CM556&gt;=2000,CM556&lt;=2099,CN556&gt;=1,CN556&lt;=12,CO556&gt;=1,CO556&lt;=31),IF(MONTH(DATE(CM556,CN556,CO556))=CN556,DATE(CM556,CN556,CO556),""),"")))),"")</f>
        <v/>
      </c>
      <c r="CJ556">
        <f>IFERROR(IF('월 가계부'!C556="","",IF(ISNUMBER('월 가계부'!C556),'월 가계부'!C556,VALUE(SUBSTITUTE(SUBSTITUTE(SUBSTITUTE(SUBSTITUTE(TRIM('월 가계부'!C556),",",""),"원","")," ",""),"−","-")))),"")</f>
        <v/>
      </c>
      <c r="CK556">
        <f>IF(ISNUMBER(CI556),IF(CI556&lt;$B$13,CI556,""),"")</f>
        <v/>
      </c>
      <c r="CM556">
        <f>IF(CH556="","",IFERROR(IF(IF(AND(LEN(CH556)=9,ISERROR(FIND("-",LEFT(CH556,8))),ISNUMBER(-LEFT(CH556,8))),VALUE(LEFT(CH556,4)),VALUE(LEFT(CH556,FIND("-",CH556)-1)))&lt;100,IF(AND(LEN(CH556)=9,ISERROR(FIND("-",LEFT(CH556,8))),ISNUMBER(-LEFT(CH556,8))),VALUE(LEFT(CH556,4)),VALUE(LEFT(CH556,FIND("-",CH556)-1)))+2000,IF(AND(LEN(CH556)=9,ISERROR(FIND("-",LEFT(CH556,8))),ISNUMBER(-LEFT(CH556,8))),VALUE(LEFT(CH556,4)),VALUE(LEFT(CH556,FIND("-",CH556)-1)))),""))</f>
        <v/>
      </c>
      <c r="CN556">
        <f>IF(CH556="","",IFERROR(IF(AND(LEN(CH556)=9,ISERROR(FIND("-",LEFT(CH556,8))),ISNUMBER(-LEFT(CH556,8))),VALUE(MID(CH556,5,2)),VALUE(MID(CH556,FIND("-",CH556)+1,FIND("-",CH556,FIND("-",CH556)+1)-FIND("-",CH556)-1))),""))</f>
        <v/>
      </c>
      <c r="CO556">
        <f>IF(CH556="","",IFERROR(IF(AND(LEN(CH556)=9,ISERROR(FIND("-",LEFT(CH556,8))),ISNUMBER(-LEFT(CH556,8))),VALUE(MID(CH556,7,2)),VALUE(MID(CH556,FIND("-",CH556,FIND("-",CH556)+1)+1,FIND("-",CH556,FIND("-",CH556,FIND("-",CH556)+1)+1)-FIND("-",CH556,FIND("-",CH556)+1)-1))),""))</f>
        <v/>
      </c>
    </row>
    <row r="557">
      <c r="CH557">
        <f>IF(ISTEXT('월 가계부'!A557),SUBSTITUTE(SUBSTITUTE(SUBSTITUTE(SUBSTITUTE(SUBSTITUTE(SUBSTITUTE(SUBSTITUTE(SUBSTITUTE(SUBSTITUTE(TRIM('월 가계부'!A557),"년","-"),"월","-"),"일",""),".","-"),"/","-")," ","-"),"--","-"),"--","-"),"--","-")&amp;"-","")</f>
        <v/>
      </c>
      <c r="CI557">
        <f>IFERROR(IF('월 가계부'!A557="","",IF(ISNUMBER('월 가계부'!A557),IF(AND('월 가계부'!A557&gt;=19000101,'월 가계부'!A557&lt;=21001231),IF(AND(MOD(INT('월 가계부'!A557/100),100)&gt;=1,MOD(INT('월 가계부'!A557/100),100)&lt;=12,MOD(INT('월 가계부'!A557),100)&gt;=1,MOD(INT('월 가계부'!A557),100)&lt;=31),IF(MONTH(DATE(INT('월 가계부'!A557/10000),MOD(INT('월 가계부'!A557/100),100),MOD(INT('월 가계부'!A557),100)))=MOD(INT('월 가계부'!A557/100),100),DATE(INT('월 가계부'!A557/10000),MOD(INT('월 가계부'!A557/100),100),MOD(INT('월 가계부'!A557),100)),""),""),IF(AND('월 가계부'!A557&gt;=36526,'월 가계부'!A557&lt;73051),INT('월 가계부'!A557),"")),IF(OR(CM557="",CN557="",CO557=""),"",IF(AND(CM557&gt;=2000,CM557&lt;=2099,CN557&gt;=1,CN557&lt;=12,CO557&gt;=1,CO557&lt;=31),IF(MONTH(DATE(CM557,CN557,CO557))=CN557,DATE(CM557,CN557,CO557),""),"")))),"")</f>
        <v/>
      </c>
      <c r="CJ557">
        <f>IFERROR(IF('월 가계부'!C557="","",IF(ISNUMBER('월 가계부'!C557),'월 가계부'!C557,VALUE(SUBSTITUTE(SUBSTITUTE(SUBSTITUTE(SUBSTITUTE(TRIM('월 가계부'!C557),",",""),"원","")," ",""),"−","-")))),"")</f>
        <v/>
      </c>
      <c r="CK557">
        <f>IF(ISNUMBER(CI557),IF(CI557&lt;$B$13,CI557,""),"")</f>
        <v/>
      </c>
      <c r="CM557">
        <f>IF(CH557="","",IFERROR(IF(IF(AND(LEN(CH557)=9,ISERROR(FIND("-",LEFT(CH557,8))),ISNUMBER(-LEFT(CH557,8))),VALUE(LEFT(CH557,4)),VALUE(LEFT(CH557,FIND("-",CH557)-1)))&lt;100,IF(AND(LEN(CH557)=9,ISERROR(FIND("-",LEFT(CH557,8))),ISNUMBER(-LEFT(CH557,8))),VALUE(LEFT(CH557,4)),VALUE(LEFT(CH557,FIND("-",CH557)-1)))+2000,IF(AND(LEN(CH557)=9,ISERROR(FIND("-",LEFT(CH557,8))),ISNUMBER(-LEFT(CH557,8))),VALUE(LEFT(CH557,4)),VALUE(LEFT(CH557,FIND("-",CH557)-1)))),""))</f>
        <v/>
      </c>
      <c r="CN557">
        <f>IF(CH557="","",IFERROR(IF(AND(LEN(CH557)=9,ISERROR(FIND("-",LEFT(CH557,8))),ISNUMBER(-LEFT(CH557,8))),VALUE(MID(CH557,5,2)),VALUE(MID(CH557,FIND("-",CH557)+1,FIND("-",CH557,FIND("-",CH557)+1)-FIND("-",CH557)-1))),""))</f>
        <v/>
      </c>
      <c r="CO557">
        <f>IF(CH557="","",IFERROR(IF(AND(LEN(CH557)=9,ISERROR(FIND("-",LEFT(CH557,8))),ISNUMBER(-LEFT(CH557,8))),VALUE(MID(CH557,7,2)),VALUE(MID(CH557,FIND("-",CH557,FIND("-",CH557)+1)+1,FIND("-",CH557,FIND("-",CH557,FIND("-",CH557)+1)+1)-FIND("-",CH557,FIND("-",CH557)+1)-1))),""))</f>
        <v/>
      </c>
    </row>
    <row r="558">
      <c r="CH558">
        <f>IF(ISTEXT('월 가계부'!A558),SUBSTITUTE(SUBSTITUTE(SUBSTITUTE(SUBSTITUTE(SUBSTITUTE(SUBSTITUTE(SUBSTITUTE(SUBSTITUTE(SUBSTITUTE(TRIM('월 가계부'!A558),"년","-"),"월","-"),"일",""),".","-"),"/","-")," ","-"),"--","-"),"--","-"),"--","-")&amp;"-","")</f>
        <v/>
      </c>
      <c r="CI558">
        <f>IFERROR(IF('월 가계부'!A558="","",IF(ISNUMBER('월 가계부'!A558),IF(AND('월 가계부'!A558&gt;=19000101,'월 가계부'!A558&lt;=21001231),IF(AND(MOD(INT('월 가계부'!A558/100),100)&gt;=1,MOD(INT('월 가계부'!A558/100),100)&lt;=12,MOD(INT('월 가계부'!A558),100)&gt;=1,MOD(INT('월 가계부'!A558),100)&lt;=31),IF(MONTH(DATE(INT('월 가계부'!A558/10000),MOD(INT('월 가계부'!A558/100),100),MOD(INT('월 가계부'!A558),100)))=MOD(INT('월 가계부'!A558/100),100),DATE(INT('월 가계부'!A558/10000),MOD(INT('월 가계부'!A558/100),100),MOD(INT('월 가계부'!A558),100)),""),""),IF(AND('월 가계부'!A558&gt;=36526,'월 가계부'!A558&lt;73051),INT('월 가계부'!A558),"")),IF(OR(CM558="",CN558="",CO558=""),"",IF(AND(CM558&gt;=2000,CM558&lt;=2099,CN558&gt;=1,CN558&lt;=12,CO558&gt;=1,CO558&lt;=31),IF(MONTH(DATE(CM558,CN558,CO558))=CN558,DATE(CM558,CN558,CO558),""),"")))),"")</f>
        <v/>
      </c>
      <c r="CJ558">
        <f>IFERROR(IF('월 가계부'!C558="","",IF(ISNUMBER('월 가계부'!C558),'월 가계부'!C558,VALUE(SUBSTITUTE(SUBSTITUTE(SUBSTITUTE(SUBSTITUTE(TRIM('월 가계부'!C558),",",""),"원","")," ",""),"−","-")))),"")</f>
        <v/>
      </c>
      <c r="CK558">
        <f>IF(ISNUMBER(CI558),IF(CI558&lt;$B$13,CI558,""),"")</f>
        <v/>
      </c>
      <c r="CM558">
        <f>IF(CH558="","",IFERROR(IF(IF(AND(LEN(CH558)=9,ISERROR(FIND("-",LEFT(CH558,8))),ISNUMBER(-LEFT(CH558,8))),VALUE(LEFT(CH558,4)),VALUE(LEFT(CH558,FIND("-",CH558)-1)))&lt;100,IF(AND(LEN(CH558)=9,ISERROR(FIND("-",LEFT(CH558,8))),ISNUMBER(-LEFT(CH558,8))),VALUE(LEFT(CH558,4)),VALUE(LEFT(CH558,FIND("-",CH558)-1)))+2000,IF(AND(LEN(CH558)=9,ISERROR(FIND("-",LEFT(CH558,8))),ISNUMBER(-LEFT(CH558,8))),VALUE(LEFT(CH558,4)),VALUE(LEFT(CH558,FIND("-",CH558)-1)))),""))</f>
        <v/>
      </c>
      <c r="CN558">
        <f>IF(CH558="","",IFERROR(IF(AND(LEN(CH558)=9,ISERROR(FIND("-",LEFT(CH558,8))),ISNUMBER(-LEFT(CH558,8))),VALUE(MID(CH558,5,2)),VALUE(MID(CH558,FIND("-",CH558)+1,FIND("-",CH558,FIND("-",CH558)+1)-FIND("-",CH558)-1))),""))</f>
        <v/>
      </c>
      <c r="CO558">
        <f>IF(CH558="","",IFERROR(IF(AND(LEN(CH558)=9,ISERROR(FIND("-",LEFT(CH558,8))),ISNUMBER(-LEFT(CH558,8))),VALUE(MID(CH558,7,2)),VALUE(MID(CH558,FIND("-",CH558,FIND("-",CH558)+1)+1,FIND("-",CH558,FIND("-",CH558,FIND("-",CH558)+1)+1)-FIND("-",CH558,FIND("-",CH558)+1)-1))),""))</f>
        <v/>
      </c>
    </row>
    <row r="559">
      <c r="CH559">
        <f>IF(ISTEXT('월 가계부'!A559),SUBSTITUTE(SUBSTITUTE(SUBSTITUTE(SUBSTITUTE(SUBSTITUTE(SUBSTITUTE(SUBSTITUTE(SUBSTITUTE(SUBSTITUTE(TRIM('월 가계부'!A559),"년","-"),"월","-"),"일",""),".","-"),"/","-")," ","-"),"--","-"),"--","-"),"--","-")&amp;"-","")</f>
        <v/>
      </c>
      <c r="CI559">
        <f>IFERROR(IF('월 가계부'!A559="","",IF(ISNUMBER('월 가계부'!A559),IF(AND('월 가계부'!A559&gt;=19000101,'월 가계부'!A559&lt;=21001231),IF(AND(MOD(INT('월 가계부'!A559/100),100)&gt;=1,MOD(INT('월 가계부'!A559/100),100)&lt;=12,MOD(INT('월 가계부'!A559),100)&gt;=1,MOD(INT('월 가계부'!A559),100)&lt;=31),IF(MONTH(DATE(INT('월 가계부'!A559/10000),MOD(INT('월 가계부'!A559/100),100),MOD(INT('월 가계부'!A559),100)))=MOD(INT('월 가계부'!A559/100),100),DATE(INT('월 가계부'!A559/10000),MOD(INT('월 가계부'!A559/100),100),MOD(INT('월 가계부'!A559),100)),""),""),IF(AND('월 가계부'!A559&gt;=36526,'월 가계부'!A559&lt;73051),INT('월 가계부'!A559),"")),IF(OR(CM559="",CN559="",CO559=""),"",IF(AND(CM559&gt;=2000,CM559&lt;=2099,CN559&gt;=1,CN559&lt;=12,CO559&gt;=1,CO559&lt;=31),IF(MONTH(DATE(CM559,CN559,CO559))=CN559,DATE(CM559,CN559,CO559),""),"")))),"")</f>
        <v/>
      </c>
      <c r="CJ559">
        <f>IFERROR(IF('월 가계부'!C559="","",IF(ISNUMBER('월 가계부'!C559),'월 가계부'!C559,VALUE(SUBSTITUTE(SUBSTITUTE(SUBSTITUTE(SUBSTITUTE(TRIM('월 가계부'!C559),",",""),"원","")," ",""),"−","-")))),"")</f>
        <v/>
      </c>
      <c r="CK559">
        <f>IF(ISNUMBER(CI559),IF(CI559&lt;$B$13,CI559,""),"")</f>
        <v/>
      </c>
      <c r="CM559">
        <f>IF(CH559="","",IFERROR(IF(IF(AND(LEN(CH559)=9,ISERROR(FIND("-",LEFT(CH559,8))),ISNUMBER(-LEFT(CH559,8))),VALUE(LEFT(CH559,4)),VALUE(LEFT(CH559,FIND("-",CH559)-1)))&lt;100,IF(AND(LEN(CH559)=9,ISERROR(FIND("-",LEFT(CH559,8))),ISNUMBER(-LEFT(CH559,8))),VALUE(LEFT(CH559,4)),VALUE(LEFT(CH559,FIND("-",CH559)-1)))+2000,IF(AND(LEN(CH559)=9,ISERROR(FIND("-",LEFT(CH559,8))),ISNUMBER(-LEFT(CH559,8))),VALUE(LEFT(CH559,4)),VALUE(LEFT(CH559,FIND("-",CH559)-1)))),""))</f>
        <v/>
      </c>
      <c r="CN559">
        <f>IF(CH559="","",IFERROR(IF(AND(LEN(CH559)=9,ISERROR(FIND("-",LEFT(CH559,8))),ISNUMBER(-LEFT(CH559,8))),VALUE(MID(CH559,5,2)),VALUE(MID(CH559,FIND("-",CH559)+1,FIND("-",CH559,FIND("-",CH559)+1)-FIND("-",CH559)-1))),""))</f>
        <v/>
      </c>
      <c r="CO559">
        <f>IF(CH559="","",IFERROR(IF(AND(LEN(CH559)=9,ISERROR(FIND("-",LEFT(CH559,8))),ISNUMBER(-LEFT(CH559,8))),VALUE(MID(CH559,7,2)),VALUE(MID(CH559,FIND("-",CH559,FIND("-",CH559)+1)+1,FIND("-",CH559,FIND("-",CH559,FIND("-",CH559)+1)+1)-FIND("-",CH559,FIND("-",CH559)+1)-1))),""))</f>
        <v/>
      </c>
    </row>
    <row r="560">
      <c r="CH560">
        <f>IF(ISTEXT('월 가계부'!A560),SUBSTITUTE(SUBSTITUTE(SUBSTITUTE(SUBSTITUTE(SUBSTITUTE(SUBSTITUTE(SUBSTITUTE(SUBSTITUTE(SUBSTITUTE(TRIM('월 가계부'!A560),"년","-"),"월","-"),"일",""),".","-"),"/","-")," ","-"),"--","-"),"--","-"),"--","-")&amp;"-","")</f>
        <v/>
      </c>
      <c r="CI560">
        <f>IFERROR(IF('월 가계부'!A560="","",IF(ISNUMBER('월 가계부'!A560),IF(AND('월 가계부'!A560&gt;=19000101,'월 가계부'!A560&lt;=21001231),IF(AND(MOD(INT('월 가계부'!A560/100),100)&gt;=1,MOD(INT('월 가계부'!A560/100),100)&lt;=12,MOD(INT('월 가계부'!A560),100)&gt;=1,MOD(INT('월 가계부'!A560),100)&lt;=31),IF(MONTH(DATE(INT('월 가계부'!A560/10000),MOD(INT('월 가계부'!A560/100),100),MOD(INT('월 가계부'!A560),100)))=MOD(INT('월 가계부'!A560/100),100),DATE(INT('월 가계부'!A560/10000),MOD(INT('월 가계부'!A560/100),100),MOD(INT('월 가계부'!A560),100)),""),""),IF(AND('월 가계부'!A560&gt;=36526,'월 가계부'!A560&lt;73051),INT('월 가계부'!A560),"")),IF(OR(CM560="",CN560="",CO560=""),"",IF(AND(CM560&gt;=2000,CM560&lt;=2099,CN560&gt;=1,CN560&lt;=12,CO560&gt;=1,CO560&lt;=31),IF(MONTH(DATE(CM560,CN560,CO560))=CN560,DATE(CM560,CN560,CO560),""),"")))),"")</f>
        <v/>
      </c>
      <c r="CJ560">
        <f>IFERROR(IF('월 가계부'!C560="","",IF(ISNUMBER('월 가계부'!C560),'월 가계부'!C560,VALUE(SUBSTITUTE(SUBSTITUTE(SUBSTITUTE(SUBSTITUTE(TRIM('월 가계부'!C560),",",""),"원","")," ",""),"−","-")))),"")</f>
        <v/>
      </c>
      <c r="CK560">
        <f>IF(ISNUMBER(CI560),IF(CI560&lt;$B$13,CI560,""),"")</f>
        <v/>
      </c>
      <c r="CM560">
        <f>IF(CH560="","",IFERROR(IF(IF(AND(LEN(CH560)=9,ISERROR(FIND("-",LEFT(CH560,8))),ISNUMBER(-LEFT(CH560,8))),VALUE(LEFT(CH560,4)),VALUE(LEFT(CH560,FIND("-",CH560)-1)))&lt;100,IF(AND(LEN(CH560)=9,ISERROR(FIND("-",LEFT(CH560,8))),ISNUMBER(-LEFT(CH560,8))),VALUE(LEFT(CH560,4)),VALUE(LEFT(CH560,FIND("-",CH560)-1)))+2000,IF(AND(LEN(CH560)=9,ISERROR(FIND("-",LEFT(CH560,8))),ISNUMBER(-LEFT(CH560,8))),VALUE(LEFT(CH560,4)),VALUE(LEFT(CH560,FIND("-",CH560)-1)))),""))</f>
        <v/>
      </c>
      <c r="CN560">
        <f>IF(CH560="","",IFERROR(IF(AND(LEN(CH560)=9,ISERROR(FIND("-",LEFT(CH560,8))),ISNUMBER(-LEFT(CH560,8))),VALUE(MID(CH560,5,2)),VALUE(MID(CH560,FIND("-",CH560)+1,FIND("-",CH560,FIND("-",CH560)+1)-FIND("-",CH560)-1))),""))</f>
        <v/>
      </c>
      <c r="CO560">
        <f>IF(CH560="","",IFERROR(IF(AND(LEN(CH560)=9,ISERROR(FIND("-",LEFT(CH560,8))),ISNUMBER(-LEFT(CH560,8))),VALUE(MID(CH560,7,2)),VALUE(MID(CH560,FIND("-",CH560,FIND("-",CH560)+1)+1,FIND("-",CH560,FIND("-",CH560,FIND("-",CH560)+1)+1)-FIND("-",CH560,FIND("-",CH560)+1)-1))),""))</f>
        <v/>
      </c>
    </row>
    <row r="561">
      <c r="CH561">
        <f>IF(ISTEXT('월 가계부'!A561),SUBSTITUTE(SUBSTITUTE(SUBSTITUTE(SUBSTITUTE(SUBSTITUTE(SUBSTITUTE(SUBSTITUTE(SUBSTITUTE(SUBSTITUTE(TRIM('월 가계부'!A561),"년","-"),"월","-"),"일",""),".","-"),"/","-")," ","-"),"--","-"),"--","-"),"--","-")&amp;"-","")</f>
        <v/>
      </c>
      <c r="CI561">
        <f>IFERROR(IF('월 가계부'!A561="","",IF(ISNUMBER('월 가계부'!A561),IF(AND('월 가계부'!A561&gt;=19000101,'월 가계부'!A561&lt;=21001231),IF(AND(MOD(INT('월 가계부'!A561/100),100)&gt;=1,MOD(INT('월 가계부'!A561/100),100)&lt;=12,MOD(INT('월 가계부'!A561),100)&gt;=1,MOD(INT('월 가계부'!A561),100)&lt;=31),IF(MONTH(DATE(INT('월 가계부'!A561/10000),MOD(INT('월 가계부'!A561/100),100),MOD(INT('월 가계부'!A561),100)))=MOD(INT('월 가계부'!A561/100),100),DATE(INT('월 가계부'!A561/10000),MOD(INT('월 가계부'!A561/100),100),MOD(INT('월 가계부'!A561),100)),""),""),IF(AND('월 가계부'!A561&gt;=36526,'월 가계부'!A561&lt;73051),INT('월 가계부'!A561),"")),IF(OR(CM561="",CN561="",CO561=""),"",IF(AND(CM561&gt;=2000,CM561&lt;=2099,CN561&gt;=1,CN561&lt;=12,CO561&gt;=1,CO561&lt;=31),IF(MONTH(DATE(CM561,CN561,CO561))=CN561,DATE(CM561,CN561,CO561),""),"")))),"")</f>
        <v/>
      </c>
      <c r="CJ561">
        <f>IFERROR(IF('월 가계부'!C561="","",IF(ISNUMBER('월 가계부'!C561),'월 가계부'!C561,VALUE(SUBSTITUTE(SUBSTITUTE(SUBSTITUTE(SUBSTITUTE(TRIM('월 가계부'!C561),",",""),"원","")," ",""),"−","-")))),"")</f>
        <v/>
      </c>
      <c r="CK561">
        <f>IF(ISNUMBER(CI561),IF(CI561&lt;$B$13,CI561,""),"")</f>
        <v/>
      </c>
      <c r="CM561">
        <f>IF(CH561="","",IFERROR(IF(IF(AND(LEN(CH561)=9,ISERROR(FIND("-",LEFT(CH561,8))),ISNUMBER(-LEFT(CH561,8))),VALUE(LEFT(CH561,4)),VALUE(LEFT(CH561,FIND("-",CH561)-1)))&lt;100,IF(AND(LEN(CH561)=9,ISERROR(FIND("-",LEFT(CH561,8))),ISNUMBER(-LEFT(CH561,8))),VALUE(LEFT(CH561,4)),VALUE(LEFT(CH561,FIND("-",CH561)-1)))+2000,IF(AND(LEN(CH561)=9,ISERROR(FIND("-",LEFT(CH561,8))),ISNUMBER(-LEFT(CH561,8))),VALUE(LEFT(CH561,4)),VALUE(LEFT(CH561,FIND("-",CH561)-1)))),""))</f>
        <v/>
      </c>
      <c r="CN561">
        <f>IF(CH561="","",IFERROR(IF(AND(LEN(CH561)=9,ISERROR(FIND("-",LEFT(CH561,8))),ISNUMBER(-LEFT(CH561,8))),VALUE(MID(CH561,5,2)),VALUE(MID(CH561,FIND("-",CH561)+1,FIND("-",CH561,FIND("-",CH561)+1)-FIND("-",CH561)-1))),""))</f>
        <v/>
      </c>
      <c r="CO561">
        <f>IF(CH561="","",IFERROR(IF(AND(LEN(CH561)=9,ISERROR(FIND("-",LEFT(CH561,8))),ISNUMBER(-LEFT(CH561,8))),VALUE(MID(CH561,7,2)),VALUE(MID(CH561,FIND("-",CH561,FIND("-",CH561)+1)+1,FIND("-",CH561,FIND("-",CH561,FIND("-",CH561)+1)+1)-FIND("-",CH561,FIND("-",CH561)+1)-1))),""))</f>
        <v/>
      </c>
    </row>
    <row r="562">
      <c r="CH562">
        <f>IF(ISTEXT('월 가계부'!A562),SUBSTITUTE(SUBSTITUTE(SUBSTITUTE(SUBSTITUTE(SUBSTITUTE(SUBSTITUTE(SUBSTITUTE(SUBSTITUTE(SUBSTITUTE(TRIM('월 가계부'!A562),"년","-"),"월","-"),"일",""),".","-"),"/","-")," ","-"),"--","-"),"--","-"),"--","-")&amp;"-","")</f>
        <v/>
      </c>
      <c r="CI562">
        <f>IFERROR(IF('월 가계부'!A562="","",IF(ISNUMBER('월 가계부'!A562),IF(AND('월 가계부'!A562&gt;=19000101,'월 가계부'!A562&lt;=21001231),IF(AND(MOD(INT('월 가계부'!A562/100),100)&gt;=1,MOD(INT('월 가계부'!A562/100),100)&lt;=12,MOD(INT('월 가계부'!A562),100)&gt;=1,MOD(INT('월 가계부'!A562),100)&lt;=31),IF(MONTH(DATE(INT('월 가계부'!A562/10000),MOD(INT('월 가계부'!A562/100),100),MOD(INT('월 가계부'!A562),100)))=MOD(INT('월 가계부'!A562/100),100),DATE(INT('월 가계부'!A562/10000),MOD(INT('월 가계부'!A562/100),100),MOD(INT('월 가계부'!A562),100)),""),""),IF(AND('월 가계부'!A562&gt;=36526,'월 가계부'!A562&lt;73051),INT('월 가계부'!A562),"")),IF(OR(CM562="",CN562="",CO562=""),"",IF(AND(CM562&gt;=2000,CM562&lt;=2099,CN562&gt;=1,CN562&lt;=12,CO562&gt;=1,CO562&lt;=31),IF(MONTH(DATE(CM562,CN562,CO562))=CN562,DATE(CM562,CN562,CO562),""),"")))),"")</f>
        <v/>
      </c>
      <c r="CJ562">
        <f>IFERROR(IF('월 가계부'!C562="","",IF(ISNUMBER('월 가계부'!C562),'월 가계부'!C562,VALUE(SUBSTITUTE(SUBSTITUTE(SUBSTITUTE(SUBSTITUTE(TRIM('월 가계부'!C562),",",""),"원","")," ",""),"−","-")))),"")</f>
        <v/>
      </c>
      <c r="CK562">
        <f>IF(ISNUMBER(CI562),IF(CI562&lt;$B$13,CI562,""),"")</f>
        <v/>
      </c>
      <c r="CM562">
        <f>IF(CH562="","",IFERROR(IF(IF(AND(LEN(CH562)=9,ISERROR(FIND("-",LEFT(CH562,8))),ISNUMBER(-LEFT(CH562,8))),VALUE(LEFT(CH562,4)),VALUE(LEFT(CH562,FIND("-",CH562)-1)))&lt;100,IF(AND(LEN(CH562)=9,ISERROR(FIND("-",LEFT(CH562,8))),ISNUMBER(-LEFT(CH562,8))),VALUE(LEFT(CH562,4)),VALUE(LEFT(CH562,FIND("-",CH562)-1)))+2000,IF(AND(LEN(CH562)=9,ISERROR(FIND("-",LEFT(CH562,8))),ISNUMBER(-LEFT(CH562,8))),VALUE(LEFT(CH562,4)),VALUE(LEFT(CH562,FIND("-",CH562)-1)))),""))</f>
        <v/>
      </c>
      <c r="CN562">
        <f>IF(CH562="","",IFERROR(IF(AND(LEN(CH562)=9,ISERROR(FIND("-",LEFT(CH562,8))),ISNUMBER(-LEFT(CH562,8))),VALUE(MID(CH562,5,2)),VALUE(MID(CH562,FIND("-",CH562)+1,FIND("-",CH562,FIND("-",CH562)+1)-FIND("-",CH562)-1))),""))</f>
        <v/>
      </c>
      <c r="CO562">
        <f>IF(CH562="","",IFERROR(IF(AND(LEN(CH562)=9,ISERROR(FIND("-",LEFT(CH562,8))),ISNUMBER(-LEFT(CH562,8))),VALUE(MID(CH562,7,2)),VALUE(MID(CH562,FIND("-",CH562,FIND("-",CH562)+1)+1,FIND("-",CH562,FIND("-",CH562,FIND("-",CH562)+1)+1)-FIND("-",CH562,FIND("-",CH562)+1)-1))),""))</f>
        <v/>
      </c>
    </row>
    <row r="563">
      <c r="CH563">
        <f>IF(ISTEXT('월 가계부'!A563),SUBSTITUTE(SUBSTITUTE(SUBSTITUTE(SUBSTITUTE(SUBSTITUTE(SUBSTITUTE(SUBSTITUTE(SUBSTITUTE(SUBSTITUTE(TRIM('월 가계부'!A563),"년","-"),"월","-"),"일",""),".","-"),"/","-")," ","-"),"--","-"),"--","-"),"--","-")&amp;"-","")</f>
        <v/>
      </c>
      <c r="CI563">
        <f>IFERROR(IF('월 가계부'!A563="","",IF(ISNUMBER('월 가계부'!A563),IF(AND('월 가계부'!A563&gt;=19000101,'월 가계부'!A563&lt;=21001231),IF(AND(MOD(INT('월 가계부'!A563/100),100)&gt;=1,MOD(INT('월 가계부'!A563/100),100)&lt;=12,MOD(INT('월 가계부'!A563),100)&gt;=1,MOD(INT('월 가계부'!A563),100)&lt;=31),IF(MONTH(DATE(INT('월 가계부'!A563/10000),MOD(INT('월 가계부'!A563/100),100),MOD(INT('월 가계부'!A563),100)))=MOD(INT('월 가계부'!A563/100),100),DATE(INT('월 가계부'!A563/10000),MOD(INT('월 가계부'!A563/100),100),MOD(INT('월 가계부'!A563),100)),""),""),IF(AND('월 가계부'!A563&gt;=36526,'월 가계부'!A563&lt;73051),INT('월 가계부'!A563),"")),IF(OR(CM563="",CN563="",CO563=""),"",IF(AND(CM563&gt;=2000,CM563&lt;=2099,CN563&gt;=1,CN563&lt;=12,CO563&gt;=1,CO563&lt;=31),IF(MONTH(DATE(CM563,CN563,CO563))=CN563,DATE(CM563,CN563,CO563),""),"")))),"")</f>
        <v/>
      </c>
      <c r="CJ563">
        <f>IFERROR(IF('월 가계부'!C563="","",IF(ISNUMBER('월 가계부'!C563),'월 가계부'!C563,VALUE(SUBSTITUTE(SUBSTITUTE(SUBSTITUTE(SUBSTITUTE(TRIM('월 가계부'!C563),",",""),"원","")," ",""),"−","-")))),"")</f>
        <v/>
      </c>
      <c r="CK563">
        <f>IF(ISNUMBER(CI563),IF(CI563&lt;$B$13,CI563,""),"")</f>
        <v/>
      </c>
      <c r="CM563">
        <f>IF(CH563="","",IFERROR(IF(IF(AND(LEN(CH563)=9,ISERROR(FIND("-",LEFT(CH563,8))),ISNUMBER(-LEFT(CH563,8))),VALUE(LEFT(CH563,4)),VALUE(LEFT(CH563,FIND("-",CH563)-1)))&lt;100,IF(AND(LEN(CH563)=9,ISERROR(FIND("-",LEFT(CH563,8))),ISNUMBER(-LEFT(CH563,8))),VALUE(LEFT(CH563,4)),VALUE(LEFT(CH563,FIND("-",CH563)-1)))+2000,IF(AND(LEN(CH563)=9,ISERROR(FIND("-",LEFT(CH563,8))),ISNUMBER(-LEFT(CH563,8))),VALUE(LEFT(CH563,4)),VALUE(LEFT(CH563,FIND("-",CH563)-1)))),""))</f>
        <v/>
      </c>
      <c r="CN563">
        <f>IF(CH563="","",IFERROR(IF(AND(LEN(CH563)=9,ISERROR(FIND("-",LEFT(CH563,8))),ISNUMBER(-LEFT(CH563,8))),VALUE(MID(CH563,5,2)),VALUE(MID(CH563,FIND("-",CH563)+1,FIND("-",CH563,FIND("-",CH563)+1)-FIND("-",CH563)-1))),""))</f>
        <v/>
      </c>
      <c r="CO563">
        <f>IF(CH563="","",IFERROR(IF(AND(LEN(CH563)=9,ISERROR(FIND("-",LEFT(CH563,8))),ISNUMBER(-LEFT(CH563,8))),VALUE(MID(CH563,7,2)),VALUE(MID(CH563,FIND("-",CH563,FIND("-",CH563)+1)+1,FIND("-",CH563,FIND("-",CH563,FIND("-",CH563)+1)+1)-FIND("-",CH563,FIND("-",CH563)+1)-1))),""))</f>
        <v/>
      </c>
    </row>
    <row r="564">
      <c r="CH564">
        <f>IF(ISTEXT('월 가계부'!A564),SUBSTITUTE(SUBSTITUTE(SUBSTITUTE(SUBSTITUTE(SUBSTITUTE(SUBSTITUTE(SUBSTITUTE(SUBSTITUTE(SUBSTITUTE(TRIM('월 가계부'!A564),"년","-"),"월","-"),"일",""),".","-"),"/","-")," ","-"),"--","-"),"--","-"),"--","-")&amp;"-","")</f>
        <v/>
      </c>
      <c r="CI564">
        <f>IFERROR(IF('월 가계부'!A564="","",IF(ISNUMBER('월 가계부'!A564),IF(AND('월 가계부'!A564&gt;=19000101,'월 가계부'!A564&lt;=21001231),IF(AND(MOD(INT('월 가계부'!A564/100),100)&gt;=1,MOD(INT('월 가계부'!A564/100),100)&lt;=12,MOD(INT('월 가계부'!A564),100)&gt;=1,MOD(INT('월 가계부'!A564),100)&lt;=31),IF(MONTH(DATE(INT('월 가계부'!A564/10000),MOD(INT('월 가계부'!A564/100),100),MOD(INT('월 가계부'!A564),100)))=MOD(INT('월 가계부'!A564/100),100),DATE(INT('월 가계부'!A564/10000),MOD(INT('월 가계부'!A564/100),100),MOD(INT('월 가계부'!A564),100)),""),""),IF(AND('월 가계부'!A564&gt;=36526,'월 가계부'!A564&lt;73051),INT('월 가계부'!A564),"")),IF(OR(CM564="",CN564="",CO564=""),"",IF(AND(CM564&gt;=2000,CM564&lt;=2099,CN564&gt;=1,CN564&lt;=12,CO564&gt;=1,CO564&lt;=31),IF(MONTH(DATE(CM564,CN564,CO564))=CN564,DATE(CM564,CN564,CO564),""),"")))),"")</f>
        <v/>
      </c>
      <c r="CJ564">
        <f>IFERROR(IF('월 가계부'!C564="","",IF(ISNUMBER('월 가계부'!C564),'월 가계부'!C564,VALUE(SUBSTITUTE(SUBSTITUTE(SUBSTITUTE(SUBSTITUTE(TRIM('월 가계부'!C564),",",""),"원","")," ",""),"−","-")))),"")</f>
        <v/>
      </c>
      <c r="CK564">
        <f>IF(ISNUMBER(CI564),IF(CI564&lt;$B$13,CI564,""),"")</f>
        <v/>
      </c>
      <c r="CM564">
        <f>IF(CH564="","",IFERROR(IF(IF(AND(LEN(CH564)=9,ISERROR(FIND("-",LEFT(CH564,8))),ISNUMBER(-LEFT(CH564,8))),VALUE(LEFT(CH564,4)),VALUE(LEFT(CH564,FIND("-",CH564)-1)))&lt;100,IF(AND(LEN(CH564)=9,ISERROR(FIND("-",LEFT(CH564,8))),ISNUMBER(-LEFT(CH564,8))),VALUE(LEFT(CH564,4)),VALUE(LEFT(CH564,FIND("-",CH564)-1)))+2000,IF(AND(LEN(CH564)=9,ISERROR(FIND("-",LEFT(CH564,8))),ISNUMBER(-LEFT(CH564,8))),VALUE(LEFT(CH564,4)),VALUE(LEFT(CH564,FIND("-",CH564)-1)))),""))</f>
        <v/>
      </c>
      <c r="CN564">
        <f>IF(CH564="","",IFERROR(IF(AND(LEN(CH564)=9,ISERROR(FIND("-",LEFT(CH564,8))),ISNUMBER(-LEFT(CH564,8))),VALUE(MID(CH564,5,2)),VALUE(MID(CH564,FIND("-",CH564)+1,FIND("-",CH564,FIND("-",CH564)+1)-FIND("-",CH564)-1))),""))</f>
        <v/>
      </c>
      <c r="CO564">
        <f>IF(CH564="","",IFERROR(IF(AND(LEN(CH564)=9,ISERROR(FIND("-",LEFT(CH564,8))),ISNUMBER(-LEFT(CH564,8))),VALUE(MID(CH564,7,2)),VALUE(MID(CH564,FIND("-",CH564,FIND("-",CH564)+1)+1,FIND("-",CH564,FIND("-",CH564,FIND("-",CH564)+1)+1)-FIND("-",CH564,FIND("-",CH564)+1)-1))),""))</f>
        <v/>
      </c>
    </row>
    <row r="565">
      <c r="CH565">
        <f>IF(ISTEXT('월 가계부'!A565),SUBSTITUTE(SUBSTITUTE(SUBSTITUTE(SUBSTITUTE(SUBSTITUTE(SUBSTITUTE(SUBSTITUTE(SUBSTITUTE(SUBSTITUTE(TRIM('월 가계부'!A565),"년","-"),"월","-"),"일",""),".","-"),"/","-")," ","-"),"--","-"),"--","-"),"--","-")&amp;"-","")</f>
        <v/>
      </c>
      <c r="CI565">
        <f>IFERROR(IF('월 가계부'!A565="","",IF(ISNUMBER('월 가계부'!A565),IF(AND('월 가계부'!A565&gt;=19000101,'월 가계부'!A565&lt;=21001231),IF(AND(MOD(INT('월 가계부'!A565/100),100)&gt;=1,MOD(INT('월 가계부'!A565/100),100)&lt;=12,MOD(INT('월 가계부'!A565),100)&gt;=1,MOD(INT('월 가계부'!A565),100)&lt;=31),IF(MONTH(DATE(INT('월 가계부'!A565/10000),MOD(INT('월 가계부'!A565/100),100),MOD(INT('월 가계부'!A565),100)))=MOD(INT('월 가계부'!A565/100),100),DATE(INT('월 가계부'!A565/10000),MOD(INT('월 가계부'!A565/100),100),MOD(INT('월 가계부'!A565),100)),""),""),IF(AND('월 가계부'!A565&gt;=36526,'월 가계부'!A565&lt;73051),INT('월 가계부'!A565),"")),IF(OR(CM565="",CN565="",CO565=""),"",IF(AND(CM565&gt;=2000,CM565&lt;=2099,CN565&gt;=1,CN565&lt;=12,CO565&gt;=1,CO565&lt;=31),IF(MONTH(DATE(CM565,CN565,CO565))=CN565,DATE(CM565,CN565,CO565),""),"")))),"")</f>
        <v/>
      </c>
      <c r="CJ565">
        <f>IFERROR(IF('월 가계부'!C565="","",IF(ISNUMBER('월 가계부'!C565),'월 가계부'!C565,VALUE(SUBSTITUTE(SUBSTITUTE(SUBSTITUTE(SUBSTITUTE(TRIM('월 가계부'!C565),",",""),"원","")," ",""),"−","-")))),"")</f>
        <v/>
      </c>
      <c r="CK565">
        <f>IF(ISNUMBER(CI565),IF(CI565&lt;$B$13,CI565,""),"")</f>
        <v/>
      </c>
      <c r="CM565">
        <f>IF(CH565="","",IFERROR(IF(IF(AND(LEN(CH565)=9,ISERROR(FIND("-",LEFT(CH565,8))),ISNUMBER(-LEFT(CH565,8))),VALUE(LEFT(CH565,4)),VALUE(LEFT(CH565,FIND("-",CH565)-1)))&lt;100,IF(AND(LEN(CH565)=9,ISERROR(FIND("-",LEFT(CH565,8))),ISNUMBER(-LEFT(CH565,8))),VALUE(LEFT(CH565,4)),VALUE(LEFT(CH565,FIND("-",CH565)-1)))+2000,IF(AND(LEN(CH565)=9,ISERROR(FIND("-",LEFT(CH565,8))),ISNUMBER(-LEFT(CH565,8))),VALUE(LEFT(CH565,4)),VALUE(LEFT(CH565,FIND("-",CH565)-1)))),""))</f>
        <v/>
      </c>
      <c r="CN565">
        <f>IF(CH565="","",IFERROR(IF(AND(LEN(CH565)=9,ISERROR(FIND("-",LEFT(CH565,8))),ISNUMBER(-LEFT(CH565,8))),VALUE(MID(CH565,5,2)),VALUE(MID(CH565,FIND("-",CH565)+1,FIND("-",CH565,FIND("-",CH565)+1)-FIND("-",CH565)-1))),""))</f>
        <v/>
      </c>
      <c r="CO565">
        <f>IF(CH565="","",IFERROR(IF(AND(LEN(CH565)=9,ISERROR(FIND("-",LEFT(CH565,8))),ISNUMBER(-LEFT(CH565,8))),VALUE(MID(CH565,7,2)),VALUE(MID(CH565,FIND("-",CH565,FIND("-",CH565)+1)+1,FIND("-",CH565,FIND("-",CH565,FIND("-",CH565)+1)+1)-FIND("-",CH565,FIND("-",CH565)+1)-1))),""))</f>
        <v/>
      </c>
    </row>
    <row r="566">
      <c r="CH566">
        <f>IF(ISTEXT('월 가계부'!A566),SUBSTITUTE(SUBSTITUTE(SUBSTITUTE(SUBSTITUTE(SUBSTITUTE(SUBSTITUTE(SUBSTITUTE(SUBSTITUTE(SUBSTITUTE(TRIM('월 가계부'!A566),"년","-"),"월","-"),"일",""),".","-"),"/","-")," ","-"),"--","-"),"--","-"),"--","-")&amp;"-","")</f>
        <v/>
      </c>
      <c r="CI566">
        <f>IFERROR(IF('월 가계부'!A566="","",IF(ISNUMBER('월 가계부'!A566),IF(AND('월 가계부'!A566&gt;=19000101,'월 가계부'!A566&lt;=21001231),IF(AND(MOD(INT('월 가계부'!A566/100),100)&gt;=1,MOD(INT('월 가계부'!A566/100),100)&lt;=12,MOD(INT('월 가계부'!A566),100)&gt;=1,MOD(INT('월 가계부'!A566),100)&lt;=31),IF(MONTH(DATE(INT('월 가계부'!A566/10000),MOD(INT('월 가계부'!A566/100),100),MOD(INT('월 가계부'!A566),100)))=MOD(INT('월 가계부'!A566/100),100),DATE(INT('월 가계부'!A566/10000),MOD(INT('월 가계부'!A566/100),100),MOD(INT('월 가계부'!A566),100)),""),""),IF(AND('월 가계부'!A566&gt;=36526,'월 가계부'!A566&lt;73051),INT('월 가계부'!A566),"")),IF(OR(CM566="",CN566="",CO566=""),"",IF(AND(CM566&gt;=2000,CM566&lt;=2099,CN566&gt;=1,CN566&lt;=12,CO566&gt;=1,CO566&lt;=31),IF(MONTH(DATE(CM566,CN566,CO566))=CN566,DATE(CM566,CN566,CO566),""),"")))),"")</f>
        <v/>
      </c>
      <c r="CJ566">
        <f>IFERROR(IF('월 가계부'!C566="","",IF(ISNUMBER('월 가계부'!C566),'월 가계부'!C566,VALUE(SUBSTITUTE(SUBSTITUTE(SUBSTITUTE(SUBSTITUTE(TRIM('월 가계부'!C566),",",""),"원","")," ",""),"−","-")))),"")</f>
        <v/>
      </c>
      <c r="CK566">
        <f>IF(ISNUMBER(CI566),IF(CI566&lt;$B$13,CI566,""),"")</f>
        <v/>
      </c>
      <c r="CM566">
        <f>IF(CH566="","",IFERROR(IF(IF(AND(LEN(CH566)=9,ISERROR(FIND("-",LEFT(CH566,8))),ISNUMBER(-LEFT(CH566,8))),VALUE(LEFT(CH566,4)),VALUE(LEFT(CH566,FIND("-",CH566)-1)))&lt;100,IF(AND(LEN(CH566)=9,ISERROR(FIND("-",LEFT(CH566,8))),ISNUMBER(-LEFT(CH566,8))),VALUE(LEFT(CH566,4)),VALUE(LEFT(CH566,FIND("-",CH566)-1)))+2000,IF(AND(LEN(CH566)=9,ISERROR(FIND("-",LEFT(CH566,8))),ISNUMBER(-LEFT(CH566,8))),VALUE(LEFT(CH566,4)),VALUE(LEFT(CH566,FIND("-",CH566)-1)))),""))</f>
        <v/>
      </c>
      <c r="CN566">
        <f>IF(CH566="","",IFERROR(IF(AND(LEN(CH566)=9,ISERROR(FIND("-",LEFT(CH566,8))),ISNUMBER(-LEFT(CH566,8))),VALUE(MID(CH566,5,2)),VALUE(MID(CH566,FIND("-",CH566)+1,FIND("-",CH566,FIND("-",CH566)+1)-FIND("-",CH566)-1))),""))</f>
        <v/>
      </c>
      <c r="CO566">
        <f>IF(CH566="","",IFERROR(IF(AND(LEN(CH566)=9,ISERROR(FIND("-",LEFT(CH566,8))),ISNUMBER(-LEFT(CH566,8))),VALUE(MID(CH566,7,2)),VALUE(MID(CH566,FIND("-",CH566,FIND("-",CH566)+1)+1,FIND("-",CH566,FIND("-",CH566,FIND("-",CH566)+1)+1)-FIND("-",CH566,FIND("-",CH566)+1)-1))),""))</f>
        <v/>
      </c>
    </row>
    <row r="567">
      <c r="CH567">
        <f>IF(ISTEXT('월 가계부'!A567),SUBSTITUTE(SUBSTITUTE(SUBSTITUTE(SUBSTITUTE(SUBSTITUTE(SUBSTITUTE(SUBSTITUTE(SUBSTITUTE(SUBSTITUTE(TRIM('월 가계부'!A567),"년","-"),"월","-"),"일",""),".","-"),"/","-")," ","-"),"--","-"),"--","-"),"--","-")&amp;"-","")</f>
        <v/>
      </c>
      <c r="CI567">
        <f>IFERROR(IF('월 가계부'!A567="","",IF(ISNUMBER('월 가계부'!A567),IF(AND('월 가계부'!A567&gt;=19000101,'월 가계부'!A567&lt;=21001231),IF(AND(MOD(INT('월 가계부'!A567/100),100)&gt;=1,MOD(INT('월 가계부'!A567/100),100)&lt;=12,MOD(INT('월 가계부'!A567),100)&gt;=1,MOD(INT('월 가계부'!A567),100)&lt;=31),IF(MONTH(DATE(INT('월 가계부'!A567/10000),MOD(INT('월 가계부'!A567/100),100),MOD(INT('월 가계부'!A567),100)))=MOD(INT('월 가계부'!A567/100),100),DATE(INT('월 가계부'!A567/10000),MOD(INT('월 가계부'!A567/100),100),MOD(INT('월 가계부'!A567),100)),""),""),IF(AND('월 가계부'!A567&gt;=36526,'월 가계부'!A567&lt;73051),INT('월 가계부'!A567),"")),IF(OR(CM567="",CN567="",CO567=""),"",IF(AND(CM567&gt;=2000,CM567&lt;=2099,CN567&gt;=1,CN567&lt;=12,CO567&gt;=1,CO567&lt;=31),IF(MONTH(DATE(CM567,CN567,CO567))=CN567,DATE(CM567,CN567,CO567),""),"")))),"")</f>
        <v/>
      </c>
      <c r="CJ567">
        <f>IFERROR(IF('월 가계부'!C567="","",IF(ISNUMBER('월 가계부'!C567),'월 가계부'!C567,VALUE(SUBSTITUTE(SUBSTITUTE(SUBSTITUTE(SUBSTITUTE(TRIM('월 가계부'!C567),",",""),"원","")," ",""),"−","-")))),"")</f>
        <v/>
      </c>
      <c r="CK567">
        <f>IF(ISNUMBER(CI567),IF(CI567&lt;$B$13,CI567,""),"")</f>
        <v/>
      </c>
      <c r="CM567">
        <f>IF(CH567="","",IFERROR(IF(IF(AND(LEN(CH567)=9,ISERROR(FIND("-",LEFT(CH567,8))),ISNUMBER(-LEFT(CH567,8))),VALUE(LEFT(CH567,4)),VALUE(LEFT(CH567,FIND("-",CH567)-1)))&lt;100,IF(AND(LEN(CH567)=9,ISERROR(FIND("-",LEFT(CH567,8))),ISNUMBER(-LEFT(CH567,8))),VALUE(LEFT(CH567,4)),VALUE(LEFT(CH567,FIND("-",CH567)-1)))+2000,IF(AND(LEN(CH567)=9,ISERROR(FIND("-",LEFT(CH567,8))),ISNUMBER(-LEFT(CH567,8))),VALUE(LEFT(CH567,4)),VALUE(LEFT(CH567,FIND("-",CH567)-1)))),""))</f>
        <v/>
      </c>
      <c r="CN567">
        <f>IF(CH567="","",IFERROR(IF(AND(LEN(CH567)=9,ISERROR(FIND("-",LEFT(CH567,8))),ISNUMBER(-LEFT(CH567,8))),VALUE(MID(CH567,5,2)),VALUE(MID(CH567,FIND("-",CH567)+1,FIND("-",CH567,FIND("-",CH567)+1)-FIND("-",CH567)-1))),""))</f>
        <v/>
      </c>
      <c r="CO567">
        <f>IF(CH567="","",IFERROR(IF(AND(LEN(CH567)=9,ISERROR(FIND("-",LEFT(CH567,8))),ISNUMBER(-LEFT(CH567,8))),VALUE(MID(CH567,7,2)),VALUE(MID(CH567,FIND("-",CH567,FIND("-",CH567)+1)+1,FIND("-",CH567,FIND("-",CH567,FIND("-",CH567)+1)+1)-FIND("-",CH567,FIND("-",CH567)+1)-1))),""))</f>
        <v/>
      </c>
    </row>
    <row r="568">
      <c r="CH568">
        <f>IF(ISTEXT('월 가계부'!A568),SUBSTITUTE(SUBSTITUTE(SUBSTITUTE(SUBSTITUTE(SUBSTITUTE(SUBSTITUTE(SUBSTITUTE(SUBSTITUTE(SUBSTITUTE(TRIM('월 가계부'!A568),"년","-"),"월","-"),"일",""),".","-"),"/","-")," ","-"),"--","-"),"--","-"),"--","-")&amp;"-","")</f>
        <v/>
      </c>
      <c r="CI568">
        <f>IFERROR(IF('월 가계부'!A568="","",IF(ISNUMBER('월 가계부'!A568),IF(AND('월 가계부'!A568&gt;=19000101,'월 가계부'!A568&lt;=21001231),IF(AND(MOD(INT('월 가계부'!A568/100),100)&gt;=1,MOD(INT('월 가계부'!A568/100),100)&lt;=12,MOD(INT('월 가계부'!A568),100)&gt;=1,MOD(INT('월 가계부'!A568),100)&lt;=31),IF(MONTH(DATE(INT('월 가계부'!A568/10000),MOD(INT('월 가계부'!A568/100),100),MOD(INT('월 가계부'!A568),100)))=MOD(INT('월 가계부'!A568/100),100),DATE(INT('월 가계부'!A568/10000),MOD(INT('월 가계부'!A568/100),100),MOD(INT('월 가계부'!A568),100)),""),""),IF(AND('월 가계부'!A568&gt;=36526,'월 가계부'!A568&lt;73051),INT('월 가계부'!A568),"")),IF(OR(CM568="",CN568="",CO568=""),"",IF(AND(CM568&gt;=2000,CM568&lt;=2099,CN568&gt;=1,CN568&lt;=12,CO568&gt;=1,CO568&lt;=31),IF(MONTH(DATE(CM568,CN568,CO568))=CN568,DATE(CM568,CN568,CO568),""),"")))),"")</f>
        <v/>
      </c>
      <c r="CJ568">
        <f>IFERROR(IF('월 가계부'!C568="","",IF(ISNUMBER('월 가계부'!C568),'월 가계부'!C568,VALUE(SUBSTITUTE(SUBSTITUTE(SUBSTITUTE(SUBSTITUTE(TRIM('월 가계부'!C568),",",""),"원","")," ",""),"−","-")))),"")</f>
        <v/>
      </c>
      <c r="CK568">
        <f>IF(ISNUMBER(CI568),IF(CI568&lt;$B$13,CI568,""),"")</f>
        <v/>
      </c>
      <c r="CM568">
        <f>IF(CH568="","",IFERROR(IF(IF(AND(LEN(CH568)=9,ISERROR(FIND("-",LEFT(CH568,8))),ISNUMBER(-LEFT(CH568,8))),VALUE(LEFT(CH568,4)),VALUE(LEFT(CH568,FIND("-",CH568)-1)))&lt;100,IF(AND(LEN(CH568)=9,ISERROR(FIND("-",LEFT(CH568,8))),ISNUMBER(-LEFT(CH568,8))),VALUE(LEFT(CH568,4)),VALUE(LEFT(CH568,FIND("-",CH568)-1)))+2000,IF(AND(LEN(CH568)=9,ISERROR(FIND("-",LEFT(CH568,8))),ISNUMBER(-LEFT(CH568,8))),VALUE(LEFT(CH568,4)),VALUE(LEFT(CH568,FIND("-",CH568)-1)))),""))</f>
        <v/>
      </c>
      <c r="CN568">
        <f>IF(CH568="","",IFERROR(IF(AND(LEN(CH568)=9,ISERROR(FIND("-",LEFT(CH568,8))),ISNUMBER(-LEFT(CH568,8))),VALUE(MID(CH568,5,2)),VALUE(MID(CH568,FIND("-",CH568)+1,FIND("-",CH568,FIND("-",CH568)+1)-FIND("-",CH568)-1))),""))</f>
        <v/>
      </c>
      <c r="CO568">
        <f>IF(CH568="","",IFERROR(IF(AND(LEN(CH568)=9,ISERROR(FIND("-",LEFT(CH568,8))),ISNUMBER(-LEFT(CH568,8))),VALUE(MID(CH568,7,2)),VALUE(MID(CH568,FIND("-",CH568,FIND("-",CH568)+1)+1,FIND("-",CH568,FIND("-",CH568,FIND("-",CH568)+1)+1)-FIND("-",CH568,FIND("-",CH568)+1)-1))),""))</f>
        <v/>
      </c>
    </row>
    <row r="569">
      <c r="CH569">
        <f>IF(ISTEXT('월 가계부'!A569),SUBSTITUTE(SUBSTITUTE(SUBSTITUTE(SUBSTITUTE(SUBSTITUTE(SUBSTITUTE(SUBSTITUTE(SUBSTITUTE(SUBSTITUTE(TRIM('월 가계부'!A569),"년","-"),"월","-"),"일",""),".","-"),"/","-")," ","-"),"--","-"),"--","-"),"--","-")&amp;"-","")</f>
        <v/>
      </c>
      <c r="CI569">
        <f>IFERROR(IF('월 가계부'!A569="","",IF(ISNUMBER('월 가계부'!A569),IF(AND('월 가계부'!A569&gt;=19000101,'월 가계부'!A569&lt;=21001231),IF(AND(MOD(INT('월 가계부'!A569/100),100)&gt;=1,MOD(INT('월 가계부'!A569/100),100)&lt;=12,MOD(INT('월 가계부'!A569),100)&gt;=1,MOD(INT('월 가계부'!A569),100)&lt;=31),IF(MONTH(DATE(INT('월 가계부'!A569/10000),MOD(INT('월 가계부'!A569/100),100),MOD(INT('월 가계부'!A569),100)))=MOD(INT('월 가계부'!A569/100),100),DATE(INT('월 가계부'!A569/10000),MOD(INT('월 가계부'!A569/100),100),MOD(INT('월 가계부'!A569),100)),""),""),IF(AND('월 가계부'!A569&gt;=36526,'월 가계부'!A569&lt;73051),INT('월 가계부'!A569),"")),IF(OR(CM569="",CN569="",CO569=""),"",IF(AND(CM569&gt;=2000,CM569&lt;=2099,CN569&gt;=1,CN569&lt;=12,CO569&gt;=1,CO569&lt;=31),IF(MONTH(DATE(CM569,CN569,CO569))=CN569,DATE(CM569,CN569,CO569),""),"")))),"")</f>
        <v/>
      </c>
      <c r="CJ569">
        <f>IFERROR(IF('월 가계부'!C569="","",IF(ISNUMBER('월 가계부'!C569),'월 가계부'!C569,VALUE(SUBSTITUTE(SUBSTITUTE(SUBSTITUTE(SUBSTITUTE(TRIM('월 가계부'!C569),",",""),"원","")," ",""),"−","-")))),"")</f>
        <v/>
      </c>
      <c r="CK569">
        <f>IF(ISNUMBER(CI569),IF(CI569&lt;$B$13,CI569,""),"")</f>
        <v/>
      </c>
      <c r="CM569">
        <f>IF(CH569="","",IFERROR(IF(IF(AND(LEN(CH569)=9,ISERROR(FIND("-",LEFT(CH569,8))),ISNUMBER(-LEFT(CH569,8))),VALUE(LEFT(CH569,4)),VALUE(LEFT(CH569,FIND("-",CH569)-1)))&lt;100,IF(AND(LEN(CH569)=9,ISERROR(FIND("-",LEFT(CH569,8))),ISNUMBER(-LEFT(CH569,8))),VALUE(LEFT(CH569,4)),VALUE(LEFT(CH569,FIND("-",CH569)-1)))+2000,IF(AND(LEN(CH569)=9,ISERROR(FIND("-",LEFT(CH569,8))),ISNUMBER(-LEFT(CH569,8))),VALUE(LEFT(CH569,4)),VALUE(LEFT(CH569,FIND("-",CH569)-1)))),""))</f>
        <v/>
      </c>
      <c r="CN569">
        <f>IF(CH569="","",IFERROR(IF(AND(LEN(CH569)=9,ISERROR(FIND("-",LEFT(CH569,8))),ISNUMBER(-LEFT(CH569,8))),VALUE(MID(CH569,5,2)),VALUE(MID(CH569,FIND("-",CH569)+1,FIND("-",CH569,FIND("-",CH569)+1)-FIND("-",CH569)-1))),""))</f>
        <v/>
      </c>
      <c r="CO569">
        <f>IF(CH569="","",IFERROR(IF(AND(LEN(CH569)=9,ISERROR(FIND("-",LEFT(CH569,8))),ISNUMBER(-LEFT(CH569,8))),VALUE(MID(CH569,7,2)),VALUE(MID(CH569,FIND("-",CH569,FIND("-",CH569)+1)+1,FIND("-",CH569,FIND("-",CH569,FIND("-",CH569)+1)+1)-FIND("-",CH569,FIND("-",CH569)+1)-1))),""))</f>
        <v/>
      </c>
    </row>
    <row r="570">
      <c r="CH570">
        <f>IF(ISTEXT('월 가계부'!A570),SUBSTITUTE(SUBSTITUTE(SUBSTITUTE(SUBSTITUTE(SUBSTITUTE(SUBSTITUTE(SUBSTITUTE(SUBSTITUTE(SUBSTITUTE(TRIM('월 가계부'!A570),"년","-"),"월","-"),"일",""),".","-"),"/","-")," ","-"),"--","-"),"--","-"),"--","-")&amp;"-","")</f>
        <v/>
      </c>
      <c r="CI570">
        <f>IFERROR(IF('월 가계부'!A570="","",IF(ISNUMBER('월 가계부'!A570),IF(AND('월 가계부'!A570&gt;=19000101,'월 가계부'!A570&lt;=21001231),IF(AND(MOD(INT('월 가계부'!A570/100),100)&gt;=1,MOD(INT('월 가계부'!A570/100),100)&lt;=12,MOD(INT('월 가계부'!A570),100)&gt;=1,MOD(INT('월 가계부'!A570),100)&lt;=31),IF(MONTH(DATE(INT('월 가계부'!A570/10000),MOD(INT('월 가계부'!A570/100),100),MOD(INT('월 가계부'!A570),100)))=MOD(INT('월 가계부'!A570/100),100),DATE(INT('월 가계부'!A570/10000),MOD(INT('월 가계부'!A570/100),100),MOD(INT('월 가계부'!A570),100)),""),""),IF(AND('월 가계부'!A570&gt;=36526,'월 가계부'!A570&lt;73051),INT('월 가계부'!A570),"")),IF(OR(CM570="",CN570="",CO570=""),"",IF(AND(CM570&gt;=2000,CM570&lt;=2099,CN570&gt;=1,CN570&lt;=12,CO570&gt;=1,CO570&lt;=31),IF(MONTH(DATE(CM570,CN570,CO570))=CN570,DATE(CM570,CN570,CO570),""),"")))),"")</f>
        <v/>
      </c>
      <c r="CJ570">
        <f>IFERROR(IF('월 가계부'!C570="","",IF(ISNUMBER('월 가계부'!C570),'월 가계부'!C570,VALUE(SUBSTITUTE(SUBSTITUTE(SUBSTITUTE(SUBSTITUTE(TRIM('월 가계부'!C570),",",""),"원","")," ",""),"−","-")))),"")</f>
        <v/>
      </c>
      <c r="CK570">
        <f>IF(ISNUMBER(CI570),IF(CI570&lt;$B$13,CI570,""),"")</f>
        <v/>
      </c>
      <c r="CM570">
        <f>IF(CH570="","",IFERROR(IF(IF(AND(LEN(CH570)=9,ISERROR(FIND("-",LEFT(CH570,8))),ISNUMBER(-LEFT(CH570,8))),VALUE(LEFT(CH570,4)),VALUE(LEFT(CH570,FIND("-",CH570)-1)))&lt;100,IF(AND(LEN(CH570)=9,ISERROR(FIND("-",LEFT(CH570,8))),ISNUMBER(-LEFT(CH570,8))),VALUE(LEFT(CH570,4)),VALUE(LEFT(CH570,FIND("-",CH570)-1)))+2000,IF(AND(LEN(CH570)=9,ISERROR(FIND("-",LEFT(CH570,8))),ISNUMBER(-LEFT(CH570,8))),VALUE(LEFT(CH570,4)),VALUE(LEFT(CH570,FIND("-",CH570)-1)))),""))</f>
        <v/>
      </c>
      <c r="CN570">
        <f>IF(CH570="","",IFERROR(IF(AND(LEN(CH570)=9,ISERROR(FIND("-",LEFT(CH570,8))),ISNUMBER(-LEFT(CH570,8))),VALUE(MID(CH570,5,2)),VALUE(MID(CH570,FIND("-",CH570)+1,FIND("-",CH570,FIND("-",CH570)+1)-FIND("-",CH570)-1))),""))</f>
        <v/>
      </c>
      <c r="CO570">
        <f>IF(CH570="","",IFERROR(IF(AND(LEN(CH570)=9,ISERROR(FIND("-",LEFT(CH570,8))),ISNUMBER(-LEFT(CH570,8))),VALUE(MID(CH570,7,2)),VALUE(MID(CH570,FIND("-",CH570,FIND("-",CH570)+1)+1,FIND("-",CH570,FIND("-",CH570,FIND("-",CH570)+1)+1)-FIND("-",CH570,FIND("-",CH570)+1)-1))),""))</f>
        <v/>
      </c>
    </row>
    <row r="571">
      <c r="CH571">
        <f>IF(ISTEXT('월 가계부'!A571),SUBSTITUTE(SUBSTITUTE(SUBSTITUTE(SUBSTITUTE(SUBSTITUTE(SUBSTITUTE(SUBSTITUTE(SUBSTITUTE(SUBSTITUTE(TRIM('월 가계부'!A571),"년","-"),"월","-"),"일",""),".","-"),"/","-")," ","-"),"--","-"),"--","-"),"--","-")&amp;"-","")</f>
        <v/>
      </c>
      <c r="CI571">
        <f>IFERROR(IF('월 가계부'!A571="","",IF(ISNUMBER('월 가계부'!A571),IF(AND('월 가계부'!A571&gt;=19000101,'월 가계부'!A571&lt;=21001231),IF(AND(MOD(INT('월 가계부'!A571/100),100)&gt;=1,MOD(INT('월 가계부'!A571/100),100)&lt;=12,MOD(INT('월 가계부'!A571),100)&gt;=1,MOD(INT('월 가계부'!A571),100)&lt;=31),IF(MONTH(DATE(INT('월 가계부'!A571/10000),MOD(INT('월 가계부'!A571/100),100),MOD(INT('월 가계부'!A571),100)))=MOD(INT('월 가계부'!A571/100),100),DATE(INT('월 가계부'!A571/10000),MOD(INT('월 가계부'!A571/100),100),MOD(INT('월 가계부'!A571),100)),""),""),IF(AND('월 가계부'!A571&gt;=36526,'월 가계부'!A571&lt;73051),INT('월 가계부'!A571),"")),IF(OR(CM571="",CN571="",CO571=""),"",IF(AND(CM571&gt;=2000,CM571&lt;=2099,CN571&gt;=1,CN571&lt;=12,CO571&gt;=1,CO571&lt;=31),IF(MONTH(DATE(CM571,CN571,CO571))=CN571,DATE(CM571,CN571,CO571),""),"")))),"")</f>
        <v/>
      </c>
      <c r="CJ571">
        <f>IFERROR(IF('월 가계부'!C571="","",IF(ISNUMBER('월 가계부'!C571),'월 가계부'!C571,VALUE(SUBSTITUTE(SUBSTITUTE(SUBSTITUTE(SUBSTITUTE(TRIM('월 가계부'!C571),",",""),"원","")," ",""),"−","-")))),"")</f>
        <v/>
      </c>
      <c r="CK571">
        <f>IF(ISNUMBER(CI571),IF(CI571&lt;$B$13,CI571,""),"")</f>
        <v/>
      </c>
      <c r="CM571">
        <f>IF(CH571="","",IFERROR(IF(IF(AND(LEN(CH571)=9,ISERROR(FIND("-",LEFT(CH571,8))),ISNUMBER(-LEFT(CH571,8))),VALUE(LEFT(CH571,4)),VALUE(LEFT(CH571,FIND("-",CH571)-1)))&lt;100,IF(AND(LEN(CH571)=9,ISERROR(FIND("-",LEFT(CH571,8))),ISNUMBER(-LEFT(CH571,8))),VALUE(LEFT(CH571,4)),VALUE(LEFT(CH571,FIND("-",CH571)-1)))+2000,IF(AND(LEN(CH571)=9,ISERROR(FIND("-",LEFT(CH571,8))),ISNUMBER(-LEFT(CH571,8))),VALUE(LEFT(CH571,4)),VALUE(LEFT(CH571,FIND("-",CH571)-1)))),""))</f>
        <v/>
      </c>
      <c r="CN571">
        <f>IF(CH571="","",IFERROR(IF(AND(LEN(CH571)=9,ISERROR(FIND("-",LEFT(CH571,8))),ISNUMBER(-LEFT(CH571,8))),VALUE(MID(CH571,5,2)),VALUE(MID(CH571,FIND("-",CH571)+1,FIND("-",CH571,FIND("-",CH571)+1)-FIND("-",CH571)-1))),""))</f>
        <v/>
      </c>
      <c r="CO571">
        <f>IF(CH571="","",IFERROR(IF(AND(LEN(CH571)=9,ISERROR(FIND("-",LEFT(CH571,8))),ISNUMBER(-LEFT(CH571,8))),VALUE(MID(CH571,7,2)),VALUE(MID(CH571,FIND("-",CH571,FIND("-",CH571)+1)+1,FIND("-",CH571,FIND("-",CH571,FIND("-",CH571)+1)+1)-FIND("-",CH571,FIND("-",CH571)+1)-1))),""))</f>
        <v/>
      </c>
    </row>
    <row r="572">
      <c r="CH572">
        <f>IF(ISTEXT('월 가계부'!A572),SUBSTITUTE(SUBSTITUTE(SUBSTITUTE(SUBSTITUTE(SUBSTITUTE(SUBSTITUTE(SUBSTITUTE(SUBSTITUTE(SUBSTITUTE(TRIM('월 가계부'!A572),"년","-"),"월","-"),"일",""),".","-"),"/","-")," ","-"),"--","-"),"--","-"),"--","-")&amp;"-","")</f>
        <v/>
      </c>
      <c r="CI572">
        <f>IFERROR(IF('월 가계부'!A572="","",IF(ISNUMBER('월 가계부'!A572),IF(AND('월 가계부'!A572&gt;=19000101,'월 가계부'!A572&lt;=21001231),IF(AND(MOD(INT('월 가계부'!A572/100),100)&gt;=1,MOD(INT('월 가계부'!A572/100),100)&lt;=12,MOD(INT('월 가계부'!A572),100)&gt;=1,MOD(INT('월 가계부'!A572),100)&lt;=31),IF(MONTH(DATE(INT('월 가계부'!A572/10000),MOD(INT('월 가계부'!A572/100),100),MOD(INT('월 가계부'!A572),100)))=MOD(INT('월 가계부'!A572/100),100),DATE(INT('월 가계부'!A572/10000),MOD(INT('월 가계부'!A572/100),100),MOD(INT('월 가계부'!A572),100)),""),""),IF(AND('월 가계부'!A572&gt;=36526,'월 가계부'!A572&lt;73051),INT('월 가계부'!A572),"")),IF(OR(CM572="",CN572="",CO572=""),"",IF(AND(CM572&gt;=2000,CM572&lt;=2099,CN572&gt;=1,CN572&lt;=12,CO572&gt;=1,CO572&lt;=31),IF(MONTH(DATE(CM572,CN572,CO572))=CN572,DATE(CM572,CN572,CO572),""),"")))),"")</f>
        <v/>
      </c>
      <c r="CJ572">
        <f>IFERROR(IF('월 가계부'!C572="","",IF(ISNUMBER('월 가계부'!C572),'월 가계부'!C572,VALUE(SUBSTITUTE(SUBSTITUTE(SUBSTITUTE(SUBSTITUTE(TRIM('월 가계부'!C572),",",""),"원","")," ",""),"−","-")))),"")</f>
        <v/>
      </c>
      <c r="CK572">
        <f>IF(ISNUMBER(CI572),IF(CI572&lt;$B$13,CI572,""),"")</f>
        <v/>
      </c>
      <c r="CM572">
        <f>IF(CH572="","",IFERROR(IF(IF(AND(LEN(CH572)=9,ISERROR(FIND("-",LEFT(CH572,8))),ISNUMBER(-LEFT(CH572,8))),VALUE(LEFT(CH572,4)),VALUE(LEFT(CH572,FIND("-",CH572)-1)))&lt;100,IF(AND(LEN(CH572)=9,ISERROR(FIND("-",LEFT(CH572,8))),ISNUMBER(-LEFT(CH572,8))),VALUE(LEFT(CH572,4)),VALUE(LEFT(CH572,FIND("-",CH572)-1)))+2000,IF(AND(LEN(CH572)=9,ISERROR(FIND("-",LEFT(CH572,8))),ISNUMBER(-LEFT(CH572,8))),VALUE(LEFT(CH572,4)),VALUE(LEFT(CH572,FIND("-",CH572)-1)))),""))</f>
        <v/>
      </c>
      <c r="CN572">
        <f>IF(CH572="","",IFERROR(IF(AND(LEN(CH572)=9,ISERROR(FIND("-",LEFT(CH572,8))),ISNUMBER(-LEFT(CH572,8))),VALUE(MID(CH572,5,2)),VALUE(MID(CH572,FIND("-",CH572)+1,FIND("-",CH572,FIND("-",CH572)+1)-FIND("-",CH572)-1))),""))</f>
        <v/>
      </c>
      <c r="CO572">
        <f>IF(CH572="","",IFERROR(IF(AND(LEN(CH572)=9,ISERROR(FIND("-",LEFT(CH572,8))),ISNUMBER(-LEFT(CH572,8))),VALUE(MID(CH572,7,2)),VALUE(MID(CH572,FIND("-",CH572,FIND("-",CH572)+1)+1,FIND("-",CH572,FIND("-",CH572,FIND("-",CH572)+1)+1)-FIND("-",CH572,FIND("-",CH572)+1)-1))),""))</f>
        <v/>
      </c>
    </row>
    <row r="573">
      <c r="CH573">
        <f>IF(ISTEXT('월 가계부'!A573),SUBSTITUTE(SUBSTITUTE(SUBSTITUTE(SUBSTITUTE(SUBSTITUTE(SUBSTITUTE(SUBSTITUTE(SUBSTITUTE(SUBSTITUTE(TRIM('월 가계부'!A573),"년","-"),"월","-"),"일",""),".","-"),"/","-")," ","-"),"--","-"),"--","-"),"--","-")&amp;"-","")</f>
        <v/>
      </c>
      <c r="CI573">
        <f>IFERROR(IF('월 가계부'!A573="","",IF(ISNUMBER('월 가계부'!A573),IF(AND('월 가계부'!A573&gt;=19000101,'월 가계부'!A573&lt;=21001231),IF(AND(MOD(INT('월 가계부'!A573/100),100)&gt;=1,MOD(INT('월 가계부'!A573/100),100)&lt;=12,MOD(INT('월 가계부'!A573),100)&gt;=1,MOD(INT('월 가계부'!A573),100)&lt;=31),IF(MONTH(DATE(INT('월 가계부'!A573/10000),MOD(INT('월 가계부'!A573/100),100),MOD(INT('월 가계부'!A573),100)))=MOD(INT('월 가계부'!A573/100),100),DATE(INT('월 가계부'!A573/10000),MOD(INT('월 가계부'!A573/100),100),MOD(INT('월 가계부'!A573),100)),""),""),IF(AND('월 가계부'!A573&gt;=36526,'월 가계부'!A573&lt;73051),INT('월 가계부'!A573),"")),IF(OR(CM573="",CN573="",CO573=""),"",IF(AND(CM573&gt;=2000,CM573&lt;=2099,CN573&gt;=1,CN573&lt;=12,CO573&gt;=1,CO573&lt;=31),IF(MONTH(DATE(CM573,CN573,CO573))=CN573,DATE(CM573,CN573,CO573),""),"")))),"")</f>
        <v/>
      </c>
      <c r="CJ573">
        <f>IFERROR(IF('월 가계부'!C573="","",IF(ISNUMBER('월 가계부'!C573),'월 가계부'!C573,VALUE(SUBSTITUTE(SUBSTITUTE(SUBSTITUTE(SUBSTITUTE(TRIM('월 가계부'!C573),",",""),"원","")," ",""),"−","-")))),"")</f>
        <v/>
      </c>
      <c r="CK573">
        <f>IF(ISNUMBER(CI573),IF(CI573&lt;$B$13,CI573,""),"")</f>
        <v/>
      </c>
      <c r="CM573">
        <f>IF(CH573="","",IFERROR(IF(IF(AND(LEN(CH573)=9,ISERROR(FIND("-",LEFT(CH573,8))),ISNUMBER(-LEFT(CH573,8))),VALUE(LEFT(CH573,4)),VALUE(LEFT(CH573,FIND("-",CH573)-1)))&lt;100,IF(AND(LEN(CH573)=9,ISERROR(FIND("-",LEFT(CH573,8))),ISNUMBER(-LEFT(CH573,8))),VALUE(LEFT(CH573,4)),VALUE(LEFT(CH573,FIND("-",CH573)-1)))+2000,IF(AND(LEN(CH573)=9,ISERROR(FIND("-",LEFT(CH573,8))),ISNUMBER(-LEFT(CH573,8))),VALUE(LEFT(CH573,4)),VALUE(LEFT(CH573,FIND("-",CH573)-1)))),""))</f>
        <v/>
      </c>
      <c r="CN573">
        <f>IF(CH573="","",IFERROR(IF(AND(LEN(CH573)=9,ISERROR(FIND("-",LEFT(CH573,8))),ISNUMBER(-LEFT(CH573,8))),VALUE(MID(CH573,5,2)),VALUE(MID(CH573,FIND("-",CH573)+1,FIND("-",CH573,FIND("-",CH573)+1)-FIND("-",CH573)-1))),""))</f>
        <v/>
      </c>
      <c r="CO573">
        <f>IF(CH573="","",IFERROR(IF(AND(LEN(CH573)=9,ISERROR(FIND("-",LEFT(CH573,8))),ISNUMBER(-LEFT(CH573,8))),VALUE(MID(CH573,7,2)),VALUE(MID(CH573,FIND("-",CH573,FIND("-",CH573)+1)+1,FIND("-",CH573,FIND("-",CH573,FIND("-",CH573)+1)+1)-FIND("-",CH573,FIND("-",CH573)+1)-1))),""))</f>
        <v/>
      </c>
    </row>
    <row r="574">
      <c r="CH574">
        <f>IF(ISTEXT('월 가계부'!A574),SUBSTITUTE(SUBSTITUTE(SUBSTITUTE(SUBSTITUTE(SUBSTITUTE(SUBSTITUTE(SUBSTITUTE(SUBSTITUTE(SUBSTITUTE(TRIM('월 가계부'!A574),"년","-"),"월","-"),"일",""),".","-"),"/","-")," ","-"),"--","-"),"--","-"),"--","-")&amp;"-","")</f>
        <v/>
      </c>
      <c r="CI574">
        <f>IFERROR(IF('월 가계부'!A574="","",IF(ISNUMBER('월 가계부'!A574),IF(AND('월 가계부'!A574&gt;=19000101,'월 가계부'!A574&lt;=21001231),IF(AND(MOD(INT('월 가계부'!A574/100),100)&gt;=1,MOD(INT('월 가계부'!A574/100),100)&lt;=12,MOD(INT('월 가계부'!A574),100)&gt;=1,MOD(INT('월 가계부'!A574),100)&lt;=31),IF(MONTH(DATE(INT('월 가계부'!A574/10000),MOD(INT('월 가계부'!A574/100),100),MOD(INT('월 가계부'!A574),100)))=MOD(INT('월 가계부'!A574/100),100),DATE(INT('월 가계부'!A574/10000),MOD(INT('월 가계부'!A574/100),100),MOD(INT('월 가계부'!A574),100)),""),""),IF(AND('월 가계부'!A574&gt;=36526,'월 가계부'!A574&lt;73051),INT('월 가계부'!A574),"")),IF(OR(CM574="",CN574="",CO574=""),"",IF(AND(CM574&gt;=2000,CM574&lt;=2099,CN574&gt;=1,CN574&lt;=12,CO574&gt;=1,CO574&lt;=31),IF(MONTH(DATE(CM574,CN574,CO574))=CN574,DATE(CM574,CN574,CO574),""),"")))),"")</f>
        <v/>
      </c>
      <c r="CJ574">
        <f>IFERROR(IF('월 가계부'!C574="","",IF(ISNUMBER('월 가계부'!C574),'월 가계부'!C574,VALUE(SUBSTITUTE(SUBSTITUTE(SUBSTITUTE(SUBSTITUTE(TRIM('월 가계부'!C574),",",""),"원","")," ",""),"−","-")))),"")</f>
        <v/>
      </c>
      <c r="CK574">
        <f>IF(ISNUMBER(CI574),IF(CI574&lt;$B$13,CI574,""),"")</f>
        <v/>
      </c>
      <c r="CM574">
        <f>IF(CH574="","",IFERROR(IF(IF(AND(LEN(CH574)=9,ISERROR(FIND("-",LEFT(CH574,8))),ISNUMBER(-LEFT(CH574,8))),VALUE(LEFT(CH574,4)),VALUE(LEFT(CH574,FIND("-",CH574)-1)))&lt;100,IF(AND(LEN(CH574)=9,ISERROR(FIND("-",LEFT(CH574,8))),ISNUMBER(-LEFT(CH574,8))),VALUE(LEFT(CH574,4)),VALUE(LEFT(CH574,FIND("-",CH574)-1)))+2000,IF(AND(LEN(CH574)=9,ISERROR(FIND("-",LEFT(CH574,8))),ISNUMBER(-LEFT(CH574,8))),VALUE(LEFT(CH574,4)),VALUE(LEFT(CH574,FIND("-",CH574)-1)))),""))</f>
        <v/>
      </c>
      <c r="CN574">
        <f>IF(CH574="","",IFERROR(IF(AND(LEN(CH574)=9,ISERROR(FIND("-",LEFT(CH574,8))),ISNUMBER(-LEFT(CH574,8))),VALUE(MID(CH574,5,2)),VALUE(MID(CH574,FIND("-",CH574)+1,FIND("-",CH574,FIND("-",CH574)+1)-FIND("-",CH574)-1))),""))</f>
        <v/>
      </c>
      <c r="CO574">
        <f>IF(CH574="","",IFERROR(IF(AND(LEN(CH574)=9,ISERROR(FIND("-",LEFT(CH574,8))),ISNUMBER(-LEFT(CH574,8))),VALUE(MID(CH574,7,2)),VALUE(MID(CH574,FIND("-",CH574,FIND("-",CH574)+1)+1,FIND("-",CH574,FIND("-",CH574,FIND("-",CH574)+1)+1)-FIND("-",CH574,FIND("-",CH574)+1)-1))),""))</f>
        <v/>
      </c>
    </row>
    <row r="575">
      <c r="CH575">
        <f>IF(ISTEXT('월 가계부'!A575),SUBSTITUTE(SUBSTITUTE(SUBSTITUTE(SUBSTITUTE(SUBSTITUTE(SUBSTITUTE(SUBSTITUTE(SUBSTITUTE(SUBSTITUTE(TRIM('월 가계부'!A575),"년","-"),"월","-"),"일",""),".","-"),"/","-")," ","-"),"--","-"),"--","-"),"--","-")&amp;"-","")</f>
        <v/>
      </c>
      <c r="CI575">
        <f>IFERROR(IF('월 가계부'!A575="","",IF(ISNUMBER('월 가계부'!A575),IF(AND('월 가계부'!A575&gt;=19000101,'월 가계부'!A575&lt;=21001231),IF(AND(MOD(INT('월 가계부'!A575/100),100)&gt;=1,MOD(INT('월 가계부'!A575/100),100)&lt;=12,MOD(INT('월 가계부'!A575),100)&gt;=1,MOD(INT('월 가계부'!A575),100)&lt;=31),IF(MONTH(DATE(INT('월 가계부'!A575/10000),MOD(INT('월 가계부'!A575/100),100),MOD(INT('월 가계부'!A575),100)))=MOD(INT('월 가계부'!A575/100),100),DATE(INT('월 가계부'!A575/10000),MOD(INT('월 가계부'!A575/100),100),MOD(INT('월 가계부'!A575),100)),""),""),IF(AND('월 가계부'!A575&gt;=36526,'월 가계부'!A575&lt;73051),INT('월 가계부'!A575),"")),IF(OR(CM575="",CN575="",CO575=""),"",IF(AND(CM575&gt;=2000,CM575&lt;=2099,CN575&gt;=1,CN575&lt;=12,CO575&gt;=1,CO575&lt;=31),IF(MONTH(DATE(CM575,CN575,CO575))=CN575,DATE(CM575,CN575,CO575),""),"")))),"")</f>
        <v/>
      </c>
      <c r="CJ575">
        <f>IFERROR(IF('월 가계부'!C575="","",IF(ISNUMBER('월 가계부'!C575),'월 가계부'!C575,VALUE(SUBSTITUTE(SUBSTITUTE(SUBSTITUTE(SUBSTITUTE(TRIM('월 가계부'!C575),",",""),"원","")," ",""),"−","-")))),"")</f>
        <v/>
      </c>
      <c r="CK575">
        <f>IF(ISNUMBER(CI575),IF(CI575&lt;$B$13,CI575,""),"")</f>
        <v/>
      </c>
      <c r="CM575">
        <f>IF(CH575="","",IFERROR(IF(IF(AND(LEN(CH575)=9,ISERROR(FIND("-",LEFT(CH575,8))),ISNUMBER(-LEFT(CH575,8))),VALUE(LEFT(CH575,4)),VALUE(LEFT(CH575,FIND("-",CH575)-1)))&lt;100,IF(AND(LEN(CH575)=9,ISERROR(FIND("-",LEFT(CH575,8))),ISNUMBER(-LEFT(CH575,8))),VALUE(LEFT(CH575,4)),VALUE(LEFT(CH575,FIND("-",CH575)-1)))+2000,IF(AND(LEN(CH575)=9,ISERROR(FIND("-",LEFT(CH575,8))),ISNUMBER(-LEFT(CH575,8))),VALUE(LEFT(CH575,4)),VALUE(LEFT(CH575,FIND("-",CH575)-1)))),""))</f>
        <v/>
      </c>
      <c r="CN575">
        <f>IF(CH575="","",IFERROR(IF(AND(LEN(CH575)=9,ISERROR(FIND("-",LEFT(CH575,8))),ISNUMBER(-LEFT(CH575,8))),VALUE(MID(CH575,5,2)),VALUE(MID(CH575,FIND("-",CH575)+1,FIND("-",CH575,FIND("-",CH575)+1)-FIND("-",CH575)-1))),""))</f>
        <v/>
      </c>
      <c r="CO575">
        <f>IF(CH575="","",IFERROR(IF(AND(LEN(CH575)=9,ISERROR(FIND("-",LEFT(CH575,8))),ISNUMBER(-LEFT(CH575,8))),VALUE(MID(CH575,7,2)),VALUE(MID(CH575,FIND("-",CH575,FIND("-",CH575)+1)+1,FIND("-",CH575,FIND("-",CH575,FIND("-",CH575)+1)+1)-FIND("-",CH575,FIND("-",CH575)+1)-1))),""))</f>
        <v/>
      </c>
    </row>
    <row r="576">
      <c r="CH576">
        <f>IF(ISTEXT('월 가계부'!A576),SUBSTITUTE(SUBSTITUTE(SUBSTITUTE(SUBSTITUTE(SUBSTITUTE(SUBSTITUTE(SUBSTITUTE(SUBSTITUTE(SUBSTITUTE(TRIM('월 가계부'!A576),"년","-"),"월","-"),"일",""),".","-"),"/","-")," ","-"),"--","-"),"--","-"),"--","-")&amp;"-","")</f>
        <v/>
      </c>
      <c r="CI576">
        <f>IFERROR(IF('월 가계부'!A576="","",IF(ISNUMBER('월 가계부'!A576),IF(AND('월 가계부'!A576&gt;=19000101,'월 가계부'!A576&lt;=21001231),IF(AND(MOD(INT('월 가계부'!A576/100),100)&gt;=1,MOD(INT('월 가계부'!A576/100),100)&lt;=12,MOD(INT('월 가계부'!A576),100)&gt;=1,MOD(INT('월 가계부'!A576),100)&lt;=31),IF(MONTH(DATE(INT('월 가계부'!A576/10000),MOD(INT('월 가계부'!A576/100),100),MOD(INT('월 가계부'!A576),100)))=MOD(INT('월 가계부'!A576/100),100),DATE(INT('월 가계부'!A576/10000),MOD(INT('월 가계부'!A576/100),100),MOD(INT('월 가계부'!A576),100)),""),""),IF(AND('월 가계부'!A576&gt;=36526,'월 가계부'!A576&lt;73051),INT('월 가계부'!A576),"")),IF(OR(CM576="",CN576="",CO576=""),"",IF(AND(CM576&gt;=2000,CM576&lt;=2099,CN576&gt;=1,CN576&lt;=12,CO576&gt;=1,CO576&lt;=31),IF(MONTH(DATE(CM576,CN576,CO576))=CN576,DATE(CM576,CN576,CO576),""),"")))),"")</f>
        <v/>
      </c>
      <c r="CJ576">
        <f>IFERROR(IF('월 가계부'!C576="","",IF(ISNUMBER('월 가계부'!C576),'월 가계부'!C576,VALUE(SUBSTITUTE(SUBSTITUTE(SUBSTITUTE(SUBSTITUTE(TRIM('월 가계부'!C576),",",""),"원","")," ",""),"−","-")))),"")</f>
        <v/>
      </c>
      <c r="CK576">
        <f>IF(ISNUMBER(CI576),IF(CI576&lt;$B$13,CI576,""),"")</f>
        <v/>
      </c>
      <c r="CM576">
        <f>IF(CH576="","",IFERROR(IF(IF(AND(LEN(CH576)=9,ISERROR(FIND("-",LEFT(CH576,8))),ISNUMBER(-LEFT(CH576,8))),VALUE(LEFT(CH576,4)),VALUE(LEFT(CH576,FIND("-",CH576)-1)))&lt;100,IF(AND(LEN(CH576)=9,ISERROR(FIND("-",LEFT(CH576,8))),ISNUMBER(-LEFT(CH576,8))),VALUE(LEFT(CH576,4)),VALUE(LEFT(CH576,FIND("-",CH576)-1)))+2000,IF(AND(LEN(CH576)=9,ISERROR(FIND("-",LEFT(CH576,8))),ISNUMBER(-LEFT(CH576,8))),VALUE(LEFT(CH576,4)),VALUE(LEFT(CH576,FIND("-",CH576)-1)))),""))</f>
        <v/>
      </c>
      <c r="CN576">
        <f>IF(CH576="","",IFERROR(IF(AND(LEN(CH576)=9,ISERROR(FIND("-",LEFT(CH576,8))),ISNUMBER(-LEFT(CH576,8))),VALUE(MID(CH576,5,2)),VALUE(MID(CH576,FIND("-",CH576)+1,FIND("-",CH576,FIND("-",CH576)+1)-FIND("-",CH576)-1))),""))</f>
        <v/>
      </c>
      <c r="CO576">
        <f>IF(CH576="","",IFERROR(IF(AND(LEN(CH576)=9,ISERROR(FIND("-",LEFT(CH576,8))),ISNUMBER(-LEFT(CH576,8))),VALUE(MID(CH576,7,2)),VALUE(MID(CH576,FIND("-",CH576,FIND("-",CH576)+1)+1,FIND("-",CH576,FIND("-",CH576,FIND("-",CH576)+1)+1)-FIND("-",CH576,FIND("-",CH576)+1)-1))),""))</f>
        <v/>
      </c>
    </row>
    <row r="577">
      <c r="CH577">
        <f>IF(ISTEXT('월 가계부'!A577),SUBSTITUTE(SUBSTITUTE(SUBSTITUTE(SUBSTITUTE(SUBSTITUTE(SUBSTITUTE(SUBSTITUTE(SUBSTITUTE(SUBSTITUTE(TRIM('월 가계부'!A577),"년","-"),"월","-"),"일",""),".","-"),"/","-")," ","-"),"--","-"),"--","-"),"--","-")&amp;"-","")</f>
        <v/>
      </c>
      <c r="CI577">
        <f>IFERROR(IF('월 가계부'!A577="","",IF(ISNUMBER('월 가계부'!A577),IF(AND('월 가계부'!A577&gt;=19000101,'월 가계부'!A577&lt;=21001231),IF(AND(MOD(INT('월 가계부'!A577/100),100)&gt;=1,MOD(INT('월 가계부'!A577/100),100)&lt;=12,MOD(INT('월 가계부'!A577),100)&gt;=1,MOD(INT('월 가계부'!A577),100)&lt;=31),IF(MONTH(DATE(INT('월 가계부'!A577/10000),MOD(INT('월 가계부'!A577/100),100),MOD(INT('월 가계부'!A577),100)))=MOD(INT('월 가계부'!A577/100),100),DATE(INT('월 가계부'!A577/10000),MOD(INT('월 가계부'!A577/100),100),MOD(INT('월 가계부'!A577),100)),""),""),IF(AND('월 가계부'!A577&gt;=36526,'월 가계부'!A577&lt;73051),INT('월 가계부'!A577),"")),IF(OR(CM577="",CN577="",CO577=""),"",IF(AND(CM577&gt;=2000,CM577&lt;=2099,CN577&gt;=1,CN577&lt;=12,CO577&gt;=1,CO577&lt;=31),IF(MONTH(DATE(CM577,CN577,CO577))=CN577,DATE(CM577,CN577,CO577),""),"")))),"")</f>
        <v/>
      </c>
      <c r="CJ577">
        <f>IFERROR(IF('월 가계부'!C577="","",IF(ISNUMBER('월 가계부'!C577),'월 가계부'!C577,VALUE(SUBSTITUTE(SUBSTITUTE(SUBSTITUTE(SUBSTITUTE(TRIM('월 가계부'!C577),",",""),"원","")," ",""),"−","-")))),"")</f>
        <v/>
      </c>
      <c r="CK577">
        <f>IF(ISNUMBER(CI577),IF(CI577&lt;$B$13,CI577,""),"")</f>
        <v/>
      </c>
      <c r="CM577">
        <f>IF(CH577="","",IFERROR(IF(IF(AND(LEN(CH577)=9,ISERROR(FIND("-",LEFT(CH577,8))),ISNUMBER(-LEFT(CH577,8))),VALUE(LEFT(CH577,4)),VALUE(LEFT(CH577,FIND("-",CH577)-1)))&lt;100,IF(AND(LEN(CH577)=9,ISERROR(FIND("-",LEFT(CH577,8))),ISNUMBER(-LEFT(CH577,8))),VALUE(LEFT(CH577,4)),VALUE(LEFT(CH577,FIND("-",CH577)-1)))+2000,IF(AND(LEN(CH577)=9,ISERROR(FIND("-",LEFT(CH577,8))),ISNUMBER(-LEFT(CH577,8))),VALUE(LEFT(CH577,4)),VALUE(LEFT(CH577,FIND("-",CH577)-1)))),""))</f>
        <v/>
      </c>
      <c r="CN577">
        <f>IF(CH577="","",IFERROR(IF(AND(LEN(CH577)=9,ISERROR(FIND("-",LEFT(CH577,8))),ISNUMBER(-LEFT(CH577,8))),VALUE(MID(CH577,5,2)),VALUE(MID(CH577,FIND("-",CH577)+1,FIND("-",CH577,FIND("-",CH577)+1)-FIND("-",CH577)-1))),""))</f>
        <v/>
      </c>
      <c r="CO577">
        <f>IF(CH577="","",IFERROR(IF(AND(LEN(CH577)=9,ISERROR(FIND("-",LEFT(CH577,8))),ISNUMBER(-LEFT(CH577,8))),VALUE(MID(CH577,7,2)),VALUE(MID(CH577,FIND("-",CH577,FIND("-",CH577)+1)+1,FIND("-",CH577,FIND("-",CH577,FIND("-",CH577)+1)+1)-FIND("-",CH577,FIND("-",CH577)+1)-1))),""))</f>
        <v/>
      </c>
    </row>
    <row r="578">
      <c r="CH578">
        <f>IF(ISTEXT('월 가계부'!A578),SUBSTITUTE(SUBSTITUTE(SUBSTITUTE(SUBSTITUTE(SUBSTITUTE(SUBSTITUTE(SUBSTITUTE(SUBSTITUTE(SUBSTITUTE(TRIM('월 가계부'!A578),"년","-"),"월","-"),"일",""),".","-"),"/","-")," ","-"),"--","-"),"--","-"),"--","-")&amp;"-","")</f>
        <v/>
      </c>
      <c r="CI578">
        <f>IFERROR(IF('월 가계부'!A578="","",IF(ISNUMBER('월 가계부'!A578),IF(AND('월 가계부'!A578&gt;=19000101,'월 가계부'!A578&lt;=21001231),IF(AND(MOD(INT('월 가계부'!A578/100),100)&gt;=1,MOD(INT('월 가계부'!A578/100),100)&lt;=12,MOD(INT('월 가계부'!A578),100)&gt;=1,MOD(INT('월 가계부'!A578),100)&lt;=31),IF(MONTH(DATE(INT('월 가계부'!A578/10000),MOD(INT('월 가계부'!A578/100),100),MOD(INT('월 가계부'!A578),100)))=MOD(INT('월 가계부'!A578/100),100),DATE(INT('월 가계부'!A578/10000),MOD(INT('월 가계부'!A578/100),100),MOD(INT('월 가계부'!A578),100)),""),""),IF(AND('월 가계부'!A578&gt;=36526,'월 가계부'!A578&lt;73051),INT('월 가계부'!A578),"")),IF(OR(CM578="",CN578="",CO578=""),"",IF(AND(CM578&gt;=2000,CM578&lt;=2099,CN578&gt;=1,CN578&lt;=12,CO578&gt;=1,CO578&lt;=31),IF(MONTH(DATE(CM578,CN578,CO578))=CN578,DATE(CM578,CN578,CO578),""),"")))),"")</f>
        <v/>
      </c>
      <c r="CJ578">
        <f>IFERROR(IF('월 가계부'!C578="","",IF(ISNUMBER('월 가계부'!C578),'월 가계부'!C578,VALUE(SUBSTITUTE(SUBSTITUTE(SUBSTITUTE(SUBSTITUTE(TRIM('월 가계부'!C578),",",""),"원","")," ",""),"−","-")))),"")</f>
        <v/>
      </c>
      <c r="CK578">
        <f>IF(ISNUMBER(CI578),IF(CI578&lt;$B$13,CI578,""),"")</f>
        <v/>
      </c>
      <c r="CM578">
        <f>IF(CH578="","",IFERROR(IF(IF(AND(LEN(CH578)=9,ISERROR(FIND("-",LEFT(CH578,8))),ISNUMBER(-LEFT(CH578,8))),VALUE(LEFT(CH578,4)),VALUE(LEFT(CH578,FIND("-",CH578)-1)))&lt;100,IF(AND(LEN(CH578)=9,ISERROR(FIND("-",LEFT(CH578,8))),ISNUMBER(-LEFT(CH578,8))),VALUE(LEFT(CH578,4)),VALUE(LEFT(CH578,FIND("-",CH578)-1)))+2000,IF(AND(LEN(CH578)=9,ISERROR(FIND("-",LEFT(CH578,8))),ISNUMBER(-LEFT(CH578,8))),VALUE(LEFT(CH578,4)),VALUE(LEFT(CH578,FIND("-",CH578)-1)))),""))</f>
        <v/>
      </c>
      <c r="CN578">
        <f>IF(CH578="","",IFERROR(IF(AND(LEN(CH578)=9,ISERROR(FIND("-",LEFT(CH578,8))),ISNUMBER(-LEFT(CH578,8))),VALUE(MID(CH578,5,2)),VALUE(MID(CH578,FIND("-",CH578)+1,FIND("-",CH578,FIND("-",CH578)+1)-FIND("-",CH578)-1))),""))</f>
        <v/>
      </c>
      <c r="CO578">
        <f>IF(CH578="","",IFERROR(IF(AND(LEN(CH578)=9,ISERROR(FIND("-",LEFT(CH578,8))),ISNUMBER(-LEFT(CH578,8))),VALUE(MID(CH578,7,2)),VALUE(MID(CH578,FIND("-",CH578,FIND("-",CH578)+1)+1,FIND("-",CH578,FIND("-",CH578,FIND("-",CH578)+1)+1)-FIND("-",CH578,FIND("-",CH578)+1)-1))),""))</f>
        <v/>
      </c>
    </row>
    <row r="579">
      <c r="CH579">
        <f>IF(ISTEXT('월 가계부'!A579),SUBSTITUTE(SUBSTITUTE(SUBSTITUTE(SUBSTITUTE(SUBSTITUTE(SUBSTITUTE(SUBSTITUTE(SUBSTITUTE(SUBSTITUTE(TRIM('월 가계부'!A579),"년","-"),"월","-"),"일",""),".","-"),"/","-")," ","-"),"--","-"),"--","-"),"--","-")&amp;"-","")</f>
        <v/>
      </c>
      <c r="CI579">
        <f>IFERROR(IF('월 가계부'!A579="","",IF(ISNUMBER('월 가계부'!A579),IF(AND('월 가계부'!A579&gt;=19000101,'월 가계부'!A579&lt;=21001231),IF(AND(MOD(INT('월 가계부'!A579/100),100)&gt;=1,MOD(INT('월 가계부'!A579/100),100)&lt;=12,MOD(INT('월 가계부'!A579),100)&gt;=1,MOD(INT('월 가계부'!A579),100)&lt;=31),IF(MONTH(DATE(INT('월 가계부'!A579/10000),MOD(INT('월 가계부'!A579/100),100),MOD(INT('월 가계부'!A579),100)))=MOD(INT('월 가계부'!A579/100),100),DATE(INT('월 가계부'!A579/10000),MOD(INT('월 가계부'!A579/100),100),MOD(INT('월 가계부'!A579),100)),""),""),IF(AND('월 가계부'!A579&gt;=36526,'월 가계부'!A579&lt;73051),INT('월 가계부'!A579),"")),IF(OR(CM579="",CN579="",CO579=""),"",IF(AND(CM579&gt;=2000,CM579&lt;=2099,CN579&gt;=1,CN579&lt;=12,CO579&gt;=1,CO579&lt;=31),IF(MONTH(DATE(CM579,CN579,CO579))=CN579,DATE(CM579,CN579,CO579),""),"")))),"")</f>
        <v/>
      </c>
      <c r="CJ579">
        <f>IFERROR(IF('월 가계부'!C579="","",IF(ISNUMBER('월 가계부'!C579),'월 가계부'!C579,VALUE(SUBSTITUTE(SUBSTITUTE(SUBSTITUTE(SUBSTITUTE(TRIM('월 가계부'!C579),",",""),"원","")," ",""),"−","-")))),"")</f>
        <v/>
      </c>
      <c r="CK579">
        <f>IF(ISNUMBER(CI579),IF(CI579&lt;$B$13,CI579,""),"")</f>
        <v/>
      </c>
      <c r="CM579">
        <f>IF(CH579="","",IFERROR(IF(IF(AND(LEN(CH579)=9,ISERROR(FIND("-",LEFT(CH579,8))),ISNUMBER(-LEFT(CH579,8))),VALUE(LEFT(CH579,4)),VALUE(LEFT(CH579,FIND("-",CH579)-1)))&lt;100,IF(AND(LEN(CH579)=9,ISERROR(FIND("-",LEFT(CH579,8))),ISNUMBER(-LEFT(CH579,8))),VALUE(LEFT(CH579,4)),VALUE(LEFT(CH579,FIND("-",CH579)-1)))+2000,IF(AND(LEN(CH579)=9,ISERROR(FIND("-",LEFT(CH579,8))),ISNUMBER(-LEFT(CH579,8))),VALUE(LEFT(CH579,4)),VALUE(LEFT(CH579,FIND("-",CH579)-1)))),""))</f>
        <v/>
      </c>
      <c r="CN579">
        <f>IF(CH579="","",IFERROR(IF(AND(LEN(CH579)=9,ISERROR(FIND("-",LEFT(CH579,8))),ISNUMBER(-LEFT(CH579,8))),VALUE(MID(CH579,5,2)),VALUE(MID(CH579,FIND("-",CH579)+1,FIND("-",CH579,FIND("-",CH579)+1)-FIND("-",CH579)-1))),""))</f>
        <v/>
      </c>
      <c r="CO579">
        <f>IF(CH579="","",IFERROR(IF(AND(LEN(CH579)=9,ISERROR(FIND("-",LEFT(CH579,8))),ISNUMBER(-LEFT(CH579,8))),VALUE(MID(CH579,7,2)),VALUE(MID(CH579,FIND("-",CH579,FIND("-",CH579)+1)+1,FIND("-",CH579,FIND("-",CH579,FIND("-",CH579)+1)+1)-FIND("-",CH579,FIND("-",CH579)+1)-1))),""))</f>
        <v/>
      </c>
    </row>
    <row r="580">
      <c r="CH580">
        <f>IF(ISTEXT('월 가계부'!A580),SUBSTITUTE(SUBSTITUTE(SUBSTITUTE(SUBSTITUTE(SUBSTITUTE(SUBSTITUTE(SUBSTITUTE(SUBSTITUTE(SUBSTITUTE(TRIM('월 가계부'!A580),"년","-"),"월","-"),"일",""),".","-"),"/","-")," ","-"),"--","-"),"--","-"),"--","-")&amp;"-","")</f>
        <v/>
      </c>
      <c r="CI580">
        <f>IFERROR(IF('월 가계부'!A580="","",IF(ISNUMBER('월 가계부'!A580),IF(AND('월 가계부'!A580&gt;=19000101,'월 가계부'!A580&lt;=21001231),IF(AND(MOD(INT('월 가계부'!A580/100),100)&gt;=1,MOD(INT('월 가계부'!A580/100),100)&lt;=12,MOD(INT('월 가계부'!A580),100)&gt;=1,MOD(INT('월 가계부'!A580),100)&lt;=31),IF(MONTH(DATE(INT('월 가계부'!A580/10000),MOD(INT('월 가계부'!A580/100),100),MOD(INT('월 가계부'!A580),100)))=MOD(INT('월 가계부'!A580/100),100),DATE(INT('월 가계부'!A580/10000),MOD(INT('월 가계부'!A580/100),100),MOD(INT('월 가계부'!A580),100)),""),""),IF(AND('월 가계부'!A580&gt;=36526,'월 가계부'!A580&lt;73051),INT('월 가계부'!A580),"")),IF(OR(CM580="",CN580="",CO580=""),"",IF(AND(CM580&gt;=2000,CM580&lt;=2099,CN580&gt;=1,CN580&lt;=12,CO580&gt;=1,CO580&lt;=31),IF(MONTH(DATE(CM580,CN580,CO580))=CN580,DATE(CM580,CN580,CO580),""),"")))),"")</f>
        <v/>
      </c>
      <c r="CJ580">
        <f>IFERROR(IF('월 가계부'!C580="","",IF(ISNUMBER('월 가계부'!C580),'월 가계부'!C580,VALUE(SUBSTITUTE(SUBSTITUTE(SUBSTITUTE(SUBSTITUTE(TRIM('월 가계부'!C580),",",""),"원","")," ",""),"−","-")))),"")</f>
        <v/>
      </c>
      <c r="CK580">
        <f>IF(ISNUMBER(CI580),IF(CI580&lt;$B$13,CI580,""),"")</f>
        <v/>
      </c>
      <c r="CM580">
        <f>IF(CH580="","",IFERROR(IF(IF(AND(LEN(CH580)=9,ISERROR(FIND("-",LEFT(CH580,8))),ISNUMBER(-LEFT(CH580,8))),VALUE(LEFT(CH580,4)),VALUE(LEFT(CH580,FIND("-",CH580)-1)))&lt;100,IF(AND(LEN(CH580)=9,ISERROR(FIND("-",LEFT(CH580,8))),ISNUMBER(-LEFT(CH580,8))),VALUE(LEFT(CH580,4)),VALUE(LEFT(CH580,FIND("-",CH580)-1)))+2000,IF(AND(LEN(CH580)=9,ISERROR(FIND("-",LEFT(CH580,8))),ISNUMBER(-LEFT(CH580,8))),VALUE(LEFT(CH580,4)),VALUE(LEFT(CH580,FIND("-",CH580)-1)))),""))</f>
        <v/>
      </c>
      <c r="CN580">
        <f>IF(CH580="","",IFERROR(IF(AND(LEN(CH580)=9,ISERROR(FIND("-",LEFT(CH580,8))),ISNUMBER(-LEFT(CH580,8))),VALUE(MID(CH580,5,2)),VALUE(MID(CH580,FIND("-",CH580)+1,FIND("-",CH580,FIND("-",CH580)+1)-FIND("-",CH580)-1))),""))</f>
        <v/>
      </c>
      <c r="CO580">
        <f>IF(CH580="","",IFERROR(IF(AND(LEN(CH580)=9,ISERROR(FIND("-",LEFT(CH580,8))),ISNUMBER(-LEFT(CH580,8))),VALUE(MID(CH580,7,2)),VALUE(MID(CH580,FIND("-",CH580,FIND("-",CH580)+1)+1,FIND("-",CH580,FIND("-",CH580,FIND("-",CH580)+1)+1)-FIND("-",CH580,FIND("-",CH580)+1)-1))),""))</f>
        <v/>
      </c>
    </row>
    <row r="581">
      <c r="CH581">
        <f>IF(ISTEXT('월 가계부'!A581),SUBSTITUTE(SUBSTITUTE(SUBSTITUTE(SUBSTITUTE(SUBSTITUTE(SUBSTITUTE(SUBSTITUTE(SUBSTITUTE(SUBSTITUTE(TRIM('월 가계부'!A581),"년","-"),"월","-"),"일",""),".","-"),"/","-")," ","-"),"--","-"),"--","-"),"--","-")&amp;"-","")</f>
        <v/>
      </c>
      <c r="CI581">
        <f>IFERROR(IF('월 가계부'!A581="","",IF(ISNUMBER('월 가계부'!A581),IF(AND('월 가계부'!A581&gt;=19000101,'월 가계부'!A581&lt;=21001231),IF(AND(MOD(INT('월 가계부'!A581/100),100)&gt;=1,MOD(INT('월 가계부'!A581/100),100)&lt;=12,MOD(INT('월 가계부'!A581),100)&gt;=1,MOD(INT('월 가계부'!A581),100)&lt;=31),IF(MONTH(DATE(INT('월 가계부'!A581/10000),MOD(INT('월 가계부'!A581/100),100),MOD(INT('월 가계부'!A581),100)))=MOD(INT('월 가계부'!A581/100),100),DATE(INT('월 가계부'!A581/10000),MOD(INT('월 가계부'!A581/100),100),MOD(INT('월 가계부'!A581),100)),""),""),IF(AND('월 가계부'!A581&gt;=36526,'월 가계부'!A581&lt;73051),INT('월 가계부'!A581),"")),IF(OR(CM581="",CN581="",CO581=""),"",IF(AND(CM581&gt;=2000,CM581&lt;=2099,CN581&gt;=1,CN581&lt;=12,CO581&gt;=1,CO581&lt;=31),IF(MONTH(DATE(CM581,CN581,CO581))=CN581,DATE(CM581,CN581,CO581),""),"")))),"")</f>
        <v/>
      </c>
      <c r="CJ581">
        <f>IFERROR(IF('월 가계부'!C581="","",IF(ISNUMBER('월 가계부'!C581),'월 가계부'!C581,VALUE(SUBSTITUTE(SUBSTITUTE(SUBSTITUTE(SUBSTITUTE(TRIM('월 가계부'!C581),",",""),"원","")," ",""),"−","-")))),"")</f>
        <v/>
      </c>
      <c r="CK581">
        <f>IF(ISNUMBER(CI581),IF(CI581&lt;$B$13,CI581,""),"")</f>
        <v/>
      </c>
      <c r="CM581">
        <f>IF(CH581="","",IFERROR(IF(IF(AND(LEN(CH581)=9,ISERROR(FIND("-",LEFT(CH581,8))),ISNUMBER(-LEFT(CH581,8))),VALUE(LEFT(CH581,4)),VALUE(LEFT(CH581,FIND("-",CH581)-1)))&lt;100,IF(AND(LEN(CH581)=9,ISERROR(FIND("-",LEFT(CH581,8))),ISNUMBER(-LEFT(CH581,8))),VALUE(LEFT(CH581,4)),VALUE(LEFT(CH581,FIND("-",CH581)-1)))+2000,IF(AND(LEN(CH581)=9,ISERROR(FIND("-",LEFT(CH581,8))),ISNUMBER(-LEFT(CH581,8))),VALUE(LEFT(CH581,4)),VALUE(LEFT(CH581,FIND("-",CH581)-1)))),""))</f>
        <v/>
      </c>
      <c r="CN581">
        <f>IF(CH581="","",IFERROR(IF(AND(LEN(CH581)=9,ISERROR(FIND("-",LEFT(CH581,8))),ISNUMBER(-LEFT(CH581,8))),VALUE(MID(CH581,5,2)),VALUE(MID(CH581,FIND("-",CH581)+1,FIND("-",CH581,FIND("-",CH581)+1)-FIND("-",CH581)-1))),""))</f>
        <v/>
      </c>
      <c r="CO581">
        <f>IF(CH581="","",IFERROR(IF(AND(LEN(CH581)=9,ISERROR(FIND("-",LEFT(CH581,8))),ISNUMBER(-LEFT(CH581,8))),VALUE(MID(CH581,7,2)),VALUE(MID(CH581,FIND("-",CH581,FIND("-",CH581)+1)+1,FIND("-",CH581,FIND("-",CH581,FIND("-",CH581)+1)+1)-FIND("-",CH581,FIND("-",CH581)+1)-1))),""))</f>
        <v/>
      </c>
    </row>
    <row r="582">
      <c r="CH582">
        <f>IF(ISTEXT('월 가계부'!A582),SUBSTITUTE(SUBSTITUTE(SUBSTITUTE(SUBSTITUTE(SUBSTITUTE(SUBSTITUTE(SUBSTITUTE(SUBSTITUTE(SUBSTITUTE(TRIM('월 가계부'!A582),"년","-"),"월","-"),"일",""),".","-"),"/","-")," ","-"),"--","-"),"--","-"),"--","-")&amp;"-","")</f>
        <v/>
      </c>
      <c r="CI582">
        <f>IFERROR(IF('월 가계부'!A582="","",IF(ISNUMBER('월 가계부'!A582),IF(AND('월 가계부'!A582&gt;=19000101,'월 가계부'!A582&lt;=21001231),IF(AND(MOD(INT('월 가계부'!A582/100),100)&gt;=1,MOD(INT('월 가계부'!A582/100),100)&lt;=12,MOD(INT('월 가계부'!A582),100)&gt;=1,MOD(INT('월 가계부'!A582),100)&lt;=31),IF(MONTH(DATE(INT('월 가계부'!A582/10000),MOD(INT('월 가계부'!A582/100),100),MOD(INT('월 가계부'!A582),100)))=MOD(INT('월 가계부'!A582/100),100),DATE(INT('월 가계부'!A582/10000),MOD(INT('월 가계부'!A582/100),100),MOD(INT('월 가계부'!A582),100)),""),""),IF(AND('월 가계부'!A582&gt;=36526,'월 가계부'!A582&lt;73051),INT('월 가계부'!A582),"")),IF(OR(CM582="",CN582="",CO582=""),"",IF(AND(CM582&gt;=2000,CM582&lt;=2099,CN582&gt;=1,CN582&lt;=12,CO582&gt;=1,CO582&lt;=31),IF(MONTH(DATE(CM582,CN582,CO582))=CN582,DATE(CM582,CN582,CO582),""),"")))),"")</f>
        <v/>
      </c>
      <c r="CJ582">
        <f>IFERROR(IF('월 가계부'!C582="","",IF(ISNUMBER('월 가계부'!C582),'월 가계부'!C582,VALUE(SUBSTITUTE(SUBSTITUTE(SUBSTITUTE(SUBSTITUTE(TRIM('월 가계부'!C582),",",""),"원","")," ",""),"−","-")))),"")</f>
        <v/>
      </c>
      <c r="CK582">
        <f>IF(ISNUMBER(CI582),IF(CI582&lt;$B$13,CI582,""),"")</f>
        <v/>
      </c>
      <c r="CM582">
        <f>IF(CH582="","",IFERROR(IF(IF(AND(LEN(CH582)=9,ISERROR(FIND("-",LEFT(CH582,8))),ISNUMBER(-LEFT(CH582,8))),VALUE(LEFT(CH582,4)),VALUE(LEFT(CH582,FIND("-",CH582)-1)))&lt;100,IF(AND(LEN(CH582)=9,ISERROR(FIND("-",LEFT(CH582,8))),ISNUMBER(-LEFT(CH582,8))),VALUE(LEFT(CH582,4)),VALUE(LEFT(CH582,FIND("-",CH582)-1)))+2000,IF(AND(LEN(CH582)=9,ISERROR(FIND("-",LEFT(CH582,8))),ISNUMBER(-LEFT(CH582,8))),VALUE(LEFT(CH582,4)),VALUE(LEFT(CH582,FIND("-",CH582)-1)))),""))</f>
        <v/>
      </c>
      <c r="CN582">
        <f>IF(CH582="","",IFERROR(IF(AND(LEN(CH582)=9,ISERROR(FIND("-",LEFT(CH582,8))),ISNUMBER(-LEFT(CH582,8))),VALUE(MID(CH582,5,2)),VALUE(MID(CH582,FIND("-",CH582)+1,FIND("-",CH582,FIND("-",CH582)+1)-FIND("-",CH582)-1))),""))</f>
        <v/>
      </c>
      <c r="CO582">
        <f>IF(CH582="","",IFERROR(IF(AND(LEN(CH582)=9,ISERROR(FIND("-",LEFT(CH582,8))),ISNUMBER(-LEFT(CH582,8))),VALUE(MID(CH582,7,2)),VALUE(MID(CH582,FIND("-",CH582,FIND("-",CH582)+1)+1,FIND("-",CH582,FIND("-",CH582,FIND("-",CH582)+1)+1)-FIND("-",CH582,FIND("-",CH582)+1)-1))),""))</f>
        <v/>
      </c>
    </row>
    <row r="583">
      <c r="CH583">
        <f>IF(ISTEXT('월 가계부'!A583),SUBSTITUTE(SUBSTITUTE(SUBSTITUTE(SUBSTITUTE(SUBSTITUTE(SUBSTITUTE(SUBSTITUTE(SUBSTITUTE(SUBSTITUTE(TRIM('월 가계부'!A583),"년","-"),"월","-"),"일",""),".","-"),"/","-")," ","-"),"--","-"),"--","-"),"--","-")&amp;"-","")</f>
        <v/>
      </c>
      <c r="CI583">
        <f>IFERROR(IF('월 가계부'!A583="","",IF(ISNUMBER('월 가계부'!A583),IF(AND('월 가계부'!A583&gt;=19000101,'월 가계부'!A583&lt;=21001231),IF(AND(MOD(INT('월 가계부'!A583/100),100)&gt;=1,MOD(INT('월 가계부'!A583/100),100)&lt;=12,MOD(INT('월 가계부'!A583),100)&gt;=1,MOD(INT('월 가계부'!A583),100)&lt;=31),IF(MONTH(DATE(INT('월 가계부'!A583/10000),MOD(INT('월 가계부'!A583/100),100),MOD(INT('월 가계부'!A583),100)))=MOD(INT('월 가계부'!A583/100),100),DATE(INT('월 가계부'!A583/10000),MOD(INT('월 가계부'!A583/100),100),MOD(INT('월 가계부'!A583),100)),""),""),IF(AND('월 가계부'!A583&gt;=36526,'월 가계부'!A583&lt;73051),INT('월 가계부'!A583),"")),IF(OR(CM583="",CN583="",CO583=""),"",IF(AND(CM583&gt;=2000,CM583&lt;=2099,CN583&gt;=1,CN583&lt;=12,CO583&gt;=1,CO583&lt;=31),IF(MONTH(DATE(CM583,CN583,CO583))=CN583,DATE(CM583,CN583,CO583),""),"")))),"")</f>
        <v/>
      </c>
      <c r="CJ583">
        <f>IFERROR(IF('월 가계부'!C583="","",IF(ISNUMBER('월 가계부'!C583),'월 가계부'!C583,VALUE(SUBSTITUTE(SUBSTITUTE(SUBSTITUTE(SUBSTITUTE(TRIM('월 가계부'!C583),",",""),"원","")," ",""),"−","-")))),"")</f>
        <v/>
      </c>
      <c r="CK583">
        <f>IF(ISNUMBER(CI583),IF(CI583&lt;$B$13,CI583,""),"")</f>
        <v/>
      </c>
      <c r="CM583">
        <f>IF(CH583="","",IFERROR(IF(IF(AND(LEN(CH583)=9,ISERROR(FIND("-",LEFT(CH583,8))),ISNUMBER(-LEFT(CH583,8))),VALUE(LEFT(CH583,4)),VALUE(LEFT(CH583,FIND("-",CH583)-1)))&lt;100,IF(AND(LEN(CH583)=9,ISERROR(FIND("-",LEFT(CH583,8))),ISNUMBER(-LEFT(CH583,8))),VALUE(LEFT(CH583,4)),VALUE(LEFT(CH583,FIND("-",CH583)-1)))+2000,IF(AND(LEN(CH583)=9,ISERROR(FIND("-",LEFT(CH583,8))),ISNUMBER(-LEFT(CH583,8))),VALUE(LEFT(CH583,4)),VALUE(LEFT(CH583,FIND("-",CH583)-1)))),""))</f>
        <v/>
      </c>
      <c r="CN583">
        <f>IF(CH583="","",IFERROR(IF(AND(LEN(CH583)=9,ISERROR(FIND("-",LEFT(CH583,8))),ISNUMBER(-LEFT(CH583,8))),VALUE(MID(CH583,5,2)),VALUE(MID(CH583,FIND("-",CH583)+1,FIND("-",CH583,FIND("-",CH583)+1)-FIND("-",CH583)-1))),""))</f>
        <v/>
      </c>
      <c r="CO583">
        <f>IF(CH583="","",IFERROR(IF(AND(LEN(CH583)=9,ISERROR(FIND("-",LEFT(CH583,8))),ISNUMBER(-LEFT(CH583,8))),VALUE(MID(CH583,7,2)),VALUE(MID(CH583,FIND("-",CH583,FIND("-",CH583)+1)+1,FIND("-",CH583,FIND("-",CH583,FIND("-",CH583)+1)+1)-FIND("-",CH583,FIND("-",CH583)+1)-1))),""))</f>
        <v/>
      </c>
    </row>
    <row r="584">
      <c r="CH584">
        <f>IF(ISTEXT('월 가계부'!A584),SUBSTITUTE(SUBSTITUTE(SUBSTITUTE(SUBSTITUTE(SUBSTITUTE(SUBSTITUTE(SUBSTITUTE(SUBSTITUTE(SUBSTITUTE(TRIM('월 가계부'!A584),"년","-"),"월","-"),"일",""),".","-"),"/","-")," ","-"),"--","-"),"--","-"),"--","-")&amp;"-","")</f>
        <v/>
      </c>
      <c r="CI584">
        <f>IFERROR(IF('월 가계부'!A584="","",IF(ISNUMBER('월 가계부'!A584),IF(AND('월 가계부'!A584&gt;=19000101,'월 가계부'!A584&lt;=21001231),IF(AND(MOD(INT('월 가계부'!A584/100),100)&gt;=1,MOD(INT('월 가계부'!A584/100),100)&lt;=12,MOD(INT('월 가계부'!A584),100)&gt;=1,MOD(INT('월 가계부'!A584),100)&lt;=31),IF(MONTH(DATE(INT('월 가계부'!A584/10000),MOD(INT('월 가계부'!A584/100),100),MOD(INT('월 가계부'!A584),100)))=MOD(INT('월 가계부'!A584/100),100),DATE(INT('월 가계부'!A584/10000),MOD(INT('월 가계부'!A584/100),100),MOD(INT('월 가계부'!A584),100)),""),""),IF(AND('월 가계부'!A584&gt;=36526,'월 가계부'!A584&lt;73051),INT('월 가계부'!A584),"")),IF(OR(CM584="",CN584="",CO584=""),"",IF(AND(CM584&gt;=2000,CM584&lt;=2099,CN584&gt;=1,CN584&lt;=12,CO584&gt;=1,CO584&lt;=31),IF(MONTH(DATE(CM584,CN584,CO584))=CN584,DATE(CM584,CN584,CO584),""),"")))),"")</f>
        <v/>
      </c>
      <c r="CJ584">
        <f>IFERROR(IF('월 가계부'!C584="","",IF(ISNUMBER('월 가계부'!C584),'월 가계부'!C584,VALUE(SUBSTITUTE(SUBSTITUTE(SUBSTITUTE(SUBSTITUTE(TRIM('월 가계부'!C584),",",""),"원","")," ",""),"−","-")))),"")</f>
        <v/>
      </c>
      <c r="CK584">
        <f>IF(ISNUMBER(CI584),IF(CI584&lt;$B$13,CI584,""),"")</f>
        <v/>
      </c>
      <c r="CM584">
        <f>IF(CH584="","",IFERROR(IF(IF(AND(LEN(CH584)=9,ISERROR(FIND("-",LEFT(CH584,8))),ISNUMBER(-LEFT(CH584,8))),VALUE(LEFT(CH584,4)),VALUE(LEFT(CH584,FIND("-",CH584)-1)))&lt;100,IF(AND(LEN(CH584)=9,ISERROR(FIND("-",LEFT(CH584,8))),ISNUMBER(-LEFT(CH584,8))),VALUE(LEFT(CH584,4)),VALUE(LEFT(CH584,FIND("-",CH584)-1)))+2000,IF(AND(LEN(CH584)=9,ISERROR(FIND("-",LEFT(CH584,8))),ISNUMBER(-LEFT(CH584,8))),VALUE(LEFT(CH584,4)),VALUE(LEFT(CH584,FIND("-",CH584)-1)))),""))</f>
        <v/>
      </c>
      <c r="CN584">
        <f>IF(CH584="","",IFERROR(IF(AND(LEN(CH584)=9,ISERROR(FIND("-",LEFT(CH584,8))),ISNUMBER(-LEFT(CH584,8))),VALUE(MID(CH584,5,2)),VALUE(MID(CH584,FIND("-",CH584)+1,FIND("-",CH584,FIND("-",CH584)+1)-FIND("-",CH584)-1))),""))</f>
        <v/>
      </c>
      <c r="CO584">
        <f>IF(CH584="","",IFERROR(IF(AND(LEN(CH584)=9,ISERROR(FIND("-",LEFT(CH584,8))),ISNUMBER(-LEFT(CH584,8))),VALUE(MID(CH584,7,2)),VALUE(MID(CH584,FIND("-",CH584,FIND("-",CH584)+1)+1,FIND("-",CH584,FIND("-",CH584,FIND("-",CH584)+1)+1)-FIND("-",CH584,FIND("-",CH584)+1)-1))),""))</f>
        <v/>
      </c>
    </row>
    <row r="585">
      <c r="CH585">
        <f>IF(ISTEXT('월 가계부'!A585),SUBSTITUTE(SUBSTITUTE(SUBSTITUTE(SUBSTITUTE(SUBSTITUTE(SUBSTITUTE(SUBSTITUTE(SUBSTITUTE(SUBSTITUTE(TRIM('월 가계부'!A585),"년","-"),"월","-"),"일",""),".","-"),"/","-")," ","-"),"--","-"),"--","-"),"--","-")&amp;"-","")</f>
        <v/>
      </c>
      <c r="CI585">
        <f>IFERROR(IF('월 가계부'!A585="","",IF(ISNUMBER('월 가계부'!A585),IF(AND('월 가계부'!A585&gt;=19000101,'월 가계부'!A585&lt;=21001231),IF(AND(MOD(INT('월 가계부'!A585/100),100)&gt;=1,MOD(INT('월 가계부'!A585/100),100)&lt;=12,MOD(INT('월 가계부'!A585),100)&gt;=1,MOD(INT('월 가계부'!A585),100)&lt;=31),IF(MONTH(DATE(INT('월 가계부'!A585/10000),MOD(INT('월 가계부'!A585/100),100),MOD(INT('월 가계부'!A585),100)))=MOD(INT('월 가계부'!A585/100),100),DATE(INT('월 가계부'!A585/10000),MOD(INT('월 가계부'!A585/100),100),MOD(INT('월 가계부'!A585),100)),""),""),IF(AND('월 가계부'!A585&gt;=36526,'월 가계부'!A585&lt;73051),INT('월 가계부'!A585),"")),IF(OR(CM585="",CN585="",CO585=""),"",IF(AND(CM585&gt;=2000,CM585&lt;=2099,CN585&gt;=1,CN585&lt;=12,CO585&gt;=1,CO585&lt;=31),IF(MONTH(DATE(CM585,CN585,CO585))=CN585,DATE(CM585,CN585,CO585),""),"")))),"")</f>
        <v/>
      </c>
      <c r="CJ585">
        <f>IFERROR(IF('월 가계부'!C585="","",IF(ISNUMBER('월 가계부'!C585),'월 가계부'!C585,VALUE(SUBSTITUTE(SUBSTITUTE(SUBSTITUTE(SUBSTITUTE(TRIM('월 가계부'!C585),",",""),"원","")," ",""),"−","-")))),"")</f>
        <v/>
      </c>
      <c r="CK585">
        <f>IF(ISNUMBER(CI585),IF(CI585&lt;$B$13,CI585,""),"")</f>
        <v/>
      </c>
      <c r="CM585">
        <f>IF(CH585="","",IFERROR(IF(IF(AND(LEN(CH585)=9,ISERROR(FIND("-",LEFT(CH585,8))),ISNUMBER(-LEFT(CH585,8))),VALUE(LEFT(CH585,4)),VALUE(LEFT(CH585,FIND("-",CH585)-1)))&lt;100,IF(AND(LEN(CH585)=9,ISERROR(FIND("-",LEFT(CH585,8))),ISNUMBER(-LEFT(CH585,8))),VALUE(LEFT(CH585,4)),VALUE(LEFT(CH585,FIND("-",CH585)-1)))+2000,IF(AND(LEN(CH585)=9,ISERROR(FIND("-",LEFT(CH585,8))),ISNUMBER(-LEFT(CH585,8))),VALUE(LEFT(CH585,4)),VALUE(LEFT(CH585,FIND("-",CH585)-1)))),""))</f>
        <v/>
      </c>
      <c r="CN585">
        <f>IF(CH585="","",IFERROR(IF(AND(LEN(CH585)=9,ISERROR(FIND("-",LEFT(CH585,8))),ISNUMBER(-LEFT(CH585,8))),VALUE(MID(CH585,5,2)),VALUE(MID(CH585,FIND("-",CH585)+1,FIND("-",CH585,FIND("-",CH585)+1)-FIND("-",CH585)-1))),""))</f>
        <v/>
      </c>
      <c r="CO585">
        <f>IF(CH585="","",IFERROR(IF(AND(LEN(CH585)=9,ISERROR(FIND("-",LEFT(CH585,8))),ISNUMBER(-LEFT(CH585,8))),VALUE(MID(CH585,7,2)),VALUE(MID(CH585,FIND("-",CH585,FIND("-",CH585)+1)+1,FIND("-",CH585,FIND("-",CH585,FIND("-",CH585)+1)+1)-FIND("-",CH585,FIND("-",CH585)+1)-1))),""))</f>
        <v/>
      </c>
    </row>
    <row r="586">
      <c r="CH586">
        <f>IF(ISTEXT('월 가계부'!A586),SUBSTITUTE(SUBSTITUTE(SUBSTITUTE(SUBSTITUTE(SUBSTITUTE(SUBSTITUTE(SUBSTITUTE(SUBSTITUTE(SUBSTITUTE(TRIM('월 가계부'!A586),"년","-"),"월","-"),"일",""),".","-"),"/","-")," ","-"),"--","-"),"--","-"),"--","-")&amp;"-","")</f>
        <v/>
      </c>
      <c r="CI586">
        <f>IFERROR(IF('월 가계부'!A586="","",IF(ISNUMBER('월 가계부'!A586),IF(AND('월 가계부'!A586&gt;=19000101,'월 가계부'!A586&lt;=21001231),IF(AND(MOD(INT('월 가계부'!A586/100),100)&gt;=1,MOD(INT('월 가계부'!A586/100),100)&lt;=12,MOD(INT('월 가계부'!A586),100)&gt;=1,MOD(INT('월 가계부'!A586),100)&lt;=31),IF(MONTH(DATE(INT('월 가계부'!A586/10000),MOD(INT('월 가계부'!A586/100),100),MOD(INT('월 가계부'!A586),100)))=MOD(INT('월 가계부'!A586/100),100),DATE(INT('월 가계부'!A586/10000),MOD(INT('월 가계부'!A586/100),100),MOD(INT('월 가계부'!A586),100)),""),""),IF(AND('월 가계부'!A586&gt;=36526,'월 가계부'!A586&lt;73051),INT('월 가계부'!A586),"")),IF(OR(CM586="",CN586="",CO586=""),"",IF(AND(CM586&gt;=2000,CM586&lt;=2099,CN586&gt;=1,CN586&lt;=12,CO586&gt;=1,CO586&lt;=31),IF(MONTH(DATE(CM586,CN586,CO586))=CN586,DATE(CM586,CN586,CO586),""),"")))),"")</f>
        <v/>
      </c>
      <c r="CJ586">
        <f>IFERROR(IF('월 가계부'!C586="","",IF(ISNUMBER('월 가계부'!C586),'월 가계부'!C586,VALUE(SUBSTITUTE(SUBSTITUTE(SUBSTITUTE(SUBSTITUTE(TRIM('월 가계부'!C586),",",""),"원","")," ",""),"−","-")))),"")</f>
        <v/>
      </c>
      <c r="CK586">
        <f>IF(ISNUMBER(CI586),IF(CI586&lt;$B$13,CI586,""),"")</f>
        <v/>
      </c>
      <c r="CM586">
        <f>IF(CH586="","",IFERROR(IF(IF(AND(LEN(CH586)=9,ISERROR(FIND("-",LEFT(CH586,8))),ISNUMBER(-LEFT(CH586,8))),VALUE(LEFT(CH586,4)),VALUE(LEFT(CH586,FIND("-",CH586)-1)))&lt;100,IF(AND(LEN(CH586)=9,ISERROR(FIND("-",LEFT(CH586,8))),ISNUMBER(-LEFT(CH586,8))),VALUE(LEFT(CH586,4)),VALUE(LEFT(CH586,FIND("-",CH586)-1)))+2000,IF(AND(LEN(CH586)=9,ISERROR(FIND("-",LEFT(CH586,8))),ISNUMBER(-LEFT(CH586,8))),VALUE(LEFT(CH586,4)),VALUE(LEFT(CH586,FIND("-",CH586)-1)))),""))</f>
        <v/>
      </c>
      <c r="CN586">
        <f>IF(CH586="","",IFERROR(IF(AND(LEN(CH586)=9,ISERROR(FIND("-",LEFT(CH586,8))),ISNUMBER(-LEFT(CH586,8))),VALUE(MID(CH586,5,2)),VALUE(MID(CH586,FIND("-",CH586)+1,FIND("-",CH586,FIND("-",CH586)+1)-FIND("-",CH586)-1))),""))</f>
        <v/>
      </c>
      <c r="CO586">
        <f>IF(CH586="","",IFERROR(IF(AND(LEN(CH586)=9,ISERROR(FIND("-",LEFT(CH586,8))),ISNUMBER(-LEFT(CH586,8))),VALUE(MID(CH586,7,2)),VALUE(MID(CH586,FIND("-",CH586,FIND("-",CH586)+1)+1,FIND("-",CH586,FIND("-",CH586,FIND("-",CH586)+1)+1)-FIND("-",CH586,FIND("-",CH586)+1)-1))),""))</f>
        <v/>
      </c>
    </row>
    <row r="587">
      <c r="CH587">
        <f>IF(ISTEXT('월 가계부'!A587),SUBSTITUTE(SUBSTITUTE(SUBSTITUTE(SUBSTITUTE(SUBSTITUTE(SUBSTITUTE(SUBSTITUTE(SUBSTITUTE(SUBSTITUTE(TRIM('월 가계부'!A587),"년","-"),"월","-"),"일",""),".","-"),"/","-")," ","-"),"--","-"),"--","-"),"--","-")&amp;"-","")</f>
        <v/>
      </c>
      <c r="CI587">
        <f>IFERROR(IF('월 가계부'!A587="","",IF(ISNUMBER('월 가계부'!A587),IF(AND('월 가계부'!A587&gt;=19000101,'월 가계부'!A587&lt;=21001231),IF(AND(MOD(INT('월 가계부'!A587/100),100)&gt;=1,MOD(INT('월 가계부'!A587/100),100)&lt;=12,MOD(INT('월 가계부'!A587),100)&gt;=1,MOD(INT('월 가계부'!A587),100)&lt;=31),IF(MONTH(DATE(INT('월 가계부'!A587/10000),MOD(INT('월 가계부'!A587/100),100),MOD(INT('월 가계부'!A587),100)))=MOD(INT('월 가계부'!A587/100),100),DATE(INT('월 가계부'!A587/10000),MOD(INT('월 가계부'!A587/100),100),MOD(INT('월 가계부'!A587),100)),""),""),IF(AND('월 가계부'!A587&gt;=36526,'월 가계부'!A587&lt;73051),INT('월 가계부'!A587),"")),IF(OR(CM587="",CN587="",CO587=""),"",IF(AND(CM587&gt;=2000,CM587&lt;=2099,CN587&gt;=1,CN587&lt;=12,CO587&gt;=1,CO587&lt;=31),IF(MONTH(DATE(CM587,CN587,CO587))=CN587,DATE(CM587,CN587,CO587),""),"")))),"")</f>
        <v/>
      </c>
      <c r="CJ587">
        <f>IFERROR(IF('월 가계부'!C587="","",IF(ISNUMBER('월 가계부'!C587),'월 가계부'!C587,VALUE(SUBSTITUTE(SUBSTITUTE(SUBSTITUTE(SUBSTITUTE(TRIM('월 가계부'!C587),",",""),"원","")," ",""),"−","-")))),"")</f>
        <v/>
      </c>
      <c r="CK587">
        <f>IF(ISNUMBER(CI587),IF(CI587&lt;$B$13,CI587,""),"")</f>
        <v/>
      </c>
      <c r="CM587">
        <f>IF(CH587="","",IFERROR(IF(IF(AND(LEN(CH587)=9,ISERROR(FIND("-",LEFT(CH587,8))),ISNUMBER(-LEFT(CH587,8))),VALUE(LEFT(CH587,4)),VALUE(LEFT(CH587,FIND("-",CH587)-1)))&lt;100,IF(AND(LEN(CH587)=9,ISERROR(FIND("-",LEFT(CH587,8))),ISNUMBER(-LEFT(CH587,8))),VALUE(LEFT(CH587,4)),VALUE(LEFT(CH587,FIND("-",CH587)-1)))+2000,IF(AND(LEN(CH587)=9,ISERROR(FIND("-",LEFT(CH587,8))),ISNUMBER(-LEFT(CH587,8))),VALUE(LEFT(CH587,4)),VALUE(LEFT(CH587,FIND("-",CH587)-1)))),""))</f>
        <v/>
      </c>
      <c r="CN587">
        <f>IF(CH587="","",IFERROR(IF(AND(LEN(CH587)=9,ISERROR(FIND("-",LEFT(CH587,8))),ISNUMBER(-LEFT(CH587,8))),VALUE(MID(CH587,5,2)),VALUE(MID(CH587,FIND("-",CH587)+1,FIND("-",CH587,FIND("-",CH587)+1)-FIND("-",CH587)-1))),""))</f>
        <v/>
      </c>
      <c r="CO587">
        <f>IF(CH587="","",IFERROR(IF(AND(LEN(CH587)=9,ISERROR(FIND("-",LEFT(CH587,8))),ISNUMBER(-LEFT(CH587,8))),VALUE(MID(CH587,7,2)),VALUE(MID(CH587,FIND("-",CH587,FIND("-",CH587)+1)+1,FIND("-",CH587,FIND("-",CH587,FIND("-",CH587)+1)+1)-FIND("-",CH587,FIND("-",CH587)+1)-1))),""))</f>
        <v/>
      </c>
    </row>
    <row r="588">
      <c r="CH588">
        <f>IF(ISTEXT('월 가계부'!A588),SUBSTITUTE(SUBSTITUTE(SUBSTITUTE(SUBSTITUTE(SUBSTITUTE(SUBSTITUTE(SUBSTITUTE(SUBSTITUTE(SUBSTITUTE(TRIM('월 가계부'!A588),"년","-"),"월","-"),"일",""),".","-"),"/","-")," ","-"),"--","-"),"--","-"),"--","-")&amp;"-","")</f>
        <v/>
      </c>
      <c r="CI588">
        <f>IFERROR(IF('월 가계부'!A588="","",IF(ISNUMBER('월 가계부'!A588),IF(AND('월 가계부'!A588&gt;=19000101,'월 가계부'!A588&lt;=21001231),IF(AND(MOD(INT('월 가계부'!A588/100),100)&gt;=1,MOD(INT('월 가계부'!A588/100),100)&lt;=12,MOD(INT('월 가계부'!A588),100)&gt;=1,MOD(INT('월 가계부'!A588),100)&lt;=31),IF(MONTH(DATE(INT('월 가계부'!A588/10000),MOD(INT('월 가계부'!A588/100),100),MOD(INT('월 가계부'!A588),100)))=MOD(INT('월 가계부'!A588/100),100),DATE(INT('월 가계부'!A588/10000),MOD(INT('월 가계부'!A588/100),100),MOD(INT('월 가계부'!A588),100)),""),""),IF(AND('월 가계부'!A588&gt;=36526,'월 가계부'!A588&lt;73051),INT('월 가계부'!A588),"")),IF(OR(CM588="",CN588="",CO588=""),"",IF(AND(CM588&gt;=2000,CM588&lt;=2099,CN588&gt;=1,CN588&lt;=12,CO588&gt;=1,CO588&lt;=31),IF(MONTH(DATE(CM588,CN588,CO588))=CN588,DATE(CM588,CN588,CO588),""),"")))),"")</f>
        <v/>
      </c>
      <c r="CJ588">
        <f>IFERROR(IF('월 가계부'!C588="","",IF(ISNUMBER('월 가계부'!C588),'월 가계부'!C588,VALUE(SUBSTITUTE(SUBSTITUTE(SUBSTITUTE(SUBSTITUTE(TRIM('월 가계부'!C588),",",""),"원","")," ",""),"−","-")))),"")</f>
        <v/>
      </c>
      <c r="CK588">
        <f>IF(ISNUMBER(CI588),IF(CI588&lt;$B$13,CI588,""),"")</f>
        <v/>
      </c>
      <c r="CM588">
        <f>IF(CH588="","",IFERROR(IF(IF(AND(LEN(CH588)=9,ISERROR(FIND("-",LEFT(CH588,8))),ISNUMBER(-LEFT(CH588,8))),VALUE(LEFT(CH588,4)),VALUE(LEFT(CH588,FIND("-",CH588)-1)))&lt;100,IF(AND(LEN(CH588)=9,ISERROR(FIND("-",LEFT(CH588,8))),ISNUMBER(-LEFT(CH588,8))),VALUE(LEFT(CH588,4)),VALUE(LEFT(CH588,FIND("-",CH588)-1)))+2000,IF(AND(LEN(CH588)=9,ISERROR(FIND("-",LEFT(CH588,8))),ISNUMBER(-LEFT(CH588,8))),VALUE(LEFT(CH588,4)),VALUE(LEFT(CH588,FIND("-",CH588)-1)))),""))</f>
        <v/>
      </c>
      <c r="CN588">
        <f>IF(CH588="","",IFERROR(IF(AND(LEN(CH588)=9,ISERROR(FIND("-",LEFT(CH588,8))),ISNUMBER(-LEFT(CH588,8))),VALUE(MID(CH588,5,2)),VALUE(MID(CH588,FIND("-",CH588)+1,FIND("-",CH588,FIND("-",CH588)+1)-FIND("-",CH588)-1))),""))</f>
        <v/>
      </c>
      <c r="CO588">
        <f>IF(CH588="","",IFERROR(IF(AND(LEN(CH588)=9,ISERROR(FIND("-",LEFT(CH588,8))),ISNUMBER(-LEFT(CH588,8))),VALUE(MID(CH588,7,2)),VALUE(MID(CH588,FIND("-",CH588,FIND("-",CH588)+1)+1,FIND("-",CH588,FIND("-",CH588,FIND("-",CH588)+1)+1)-FIND("-",CH588,FIND("-",CH588)+1)-1))),""))</f>
        <v/>
      </c>
    </row>
    <row r="589">
      <c r="CH589">
        <f>IF(ISTEXT('월 가계부'!A589),SUBSTITUTE(SUBSTITUTE(SUBSTITUTE(SUBSTITUTE(SUBSTITUTE(SUBSTITUTE(SUBSTITUTE(SUBSTITUTE(SUBSTITUTE(TRIM('월 가계부'!A589),"년","-"),"월","-"),"일",""),".","-"),"/","-")," ","-"),"--","-"),"--","-"),"--","-")&amp;"-","")</f>
        <v/>
      </c>
      <c r="CI589">
        <f>IFERROR(IF('월 가계부'!A589="","",IF(ISNUMBER('월 가계부'!A589),IF(AND('월 가계부'!A589&gt;=19000101,'월 가계부'!A589&lt;=21001231),IF(AND(MOD(INT('월 가계부'!A589/100),100)&gt;=1,MOD(INT('월 가계부'!A589/100),100)&lt;=12,MOD(INT('월 가계부'!A589),100)&gt;=1,MOD(INT('월 가계부'!A589),100)&lt;=31),IF(MONTH(DATE(INT('월 가계부'!A589/10000),MOD(INT('월 가계부'!A589/100),100),MOD(INT('월 가계부'!A589),100)))=MOD(INT('월 가계부'!A589/100),100),DATE(INT('월 가계부'!A589/10000),MOD(INT('월 가계부'!A589/100),100),MOD(INT('월 가계부'!A589),100)),""),""),IF(AND('월 가계부'!A589&gt;=36526,'월 가계부'!A589&lt;73051),INT('월 가계부'!A589),"")),IF(OR(CM589="",CN589="",CO589=""),"",IF(AND(CM589&gt;=2000,CM589&lt;=2099,CN589&gt;=1,CN589&lt;=12,CO589&gt;=1,CO589&lt;=31),IF(MONTH(DATE(CM589,CN589,CO589))=CN589,DATE(CM589,CN589,CO589),""),"")))),"")</f>
        <v/>
      </c>
      <c r="CJ589">
        <f>IFERROR(IF('월 가계부'!C589="","",IF(ISNUMBER('월 가계부'!C589),'월 가계부'!C589,VALUE(SUBSTITUTE(SUBSTITUTE(SUBSTITUTE(SUBSTITUTE(TRIM('월 가계부'!C589),",",""),"원","")," ",""),"−","-")))),"")</f>
        <v/>
      </c>
      <c r="CK589">
        <f>IF(ISNUMBER(CI589),IF(CI589&lt;$B$13,CI589,""),"")</f>
        <v/>
      </c>
      <c r="CM589">
        <f>IF(CH589="","",IFERROR(IF(IF(AND(LEN(CH589)=9,ISERROR(FIND("-",LEFT(CH589,8))),ISNUMBER(-LEFT(CH589,8))),VALUE(LEFT(CH589,4)),VALUE(LEFT(CH589,FIND("-",CH589)-1)))&lt;100,IF(AND(LEN(CH589)=9,ISERROR(FIND("-",LEFT(CH589,8))),ISNUMBER(-LEFT(CH589,8))),VALUE(LEFT(CH589,4)),VALUE(LEFT(CH589,FIND("-",CH589)-1)))+2000,IF(AND(LEN(CH589)=9,ISERROR(FIND("-",LEFT(CH589,8))),ISNUMBER(-LEFT(CH589,8))),VALUE(LEFT(CH589,4)),VALUE(LEFT(CH589,FIND("-",CH589)-1)))),""))</f>
        <v/>
      </c>
      <c r="CN589">
        <f>IF(CH589="","",IFERROR(IF(AND(LEN(CH589)=9,ISERROR(FIND("-",LEFT(CH589,8))),ISNUMBER(-LEFT(CH589,8))),VALUE(MID(CH589,5,2)),VALUE(MID(CH589,FIND("-",CH589)+1,FIND("-",CH589,FIND("-",CH589)+1)-FIND("-",CH589)-1))),""))</f>
        <v/>
      </c>
      <c r="CO589">
        <f>IF(CH589="","",IFERROR(IF(AND(LEN(CH589)=9,ISERROR(FIND("-",LEFT(CH589,8))),ISNUMBER(-LEFT(CH589,8))),VALUE(MID(CH589,7,2)),VALUE(MID(CH589,FIND("-",CH589,FIND("-",CH589)+1)+1,FIND("-",CH589,FIND("-",CH589,FIND("-",CH589)+1)+1)-FIND("-",CH589,FIND("-",CH589)+1)-1))),""))</f>
        <v/>
      </c>
    </row>
    <row r="590">
      <c r="CH590">
        <f>IF(ISTEXT('월 가계부'!A590),SUBSTITUTE(SUBSTITUTE(SUBSTITUTE(SUBSTITUTE(SUBSTITUTE(SUBSTITUTE(SUBSTITUTE(SUBSTITUTE(SUBSTITUTE(TRIM('월 가계부'!A590),"년","-"),"월","-"),"일",""),".","-"),"/","-")," ","-"),"--","-"),"--","-"),"--","-")&amp;"-","")</f>
        <v/>
      </c>
      <c r="CI590">
        <f>IFERROR(IF('월 가계부'!A590="","",IF(ISNUMBER('월 가계부'!A590),IF(AND('월 가계부'!A590&gt;=19000101,'월 가계부'!A590&lt;=21001231),IF(AND(MOD(INT('월 가계부'!A590/100),100)&gt;=1,MOD(INT('월 가계부'!A590/100),100)&lt;=12,MOD(INT('월 가계부'!A590),100)&gt;=1,MOD(INT('월 가계부'!A590),100)&lt;=31),IF(MONTH(DATE(INT('월 가계부'!A590/10000),MOD(INT('월 가계부'!A590/100),100),MOD(INT('월 가계부'!A590),100)))=MOD(INT('월 가계부'!A590/100),100),DATE(INT('월 가계부'!A590/10000),MOD(INT('월 가계부'!A590/100),100),MOD(INT('월 가계부'!A590),100)),""),""),IF(AND('월 가계부'!A590&gt;=36526,'월 가계부'!A590&lt;73051),INT('월 가계부'!A590),"")),IF(OR(CM590="",CN590="",CO590=""),"",IF(AND(CM590&gt;=2000,CM590&lt;=2099,CN590&gt;=1,CN590&lt;=12,CO590&gt;=1,CO590&lt;=31),IF(MONTH(DATE(CM590,CN590,CO590))=CN590,DATE(CM590,CN590,CO590),""),"")))),"")</f>
        <v/>
      </c>
      <c r="CJ590">
        <f>IFERROR(IF('월 가계부'!C590="","",IF(ISNUMBER('월 가계부'!C590),'월 가계부'!C590,VALUE(SUBSTITUTE(SUBSTITUTE(SUBSTITUTE(SUBSTITUTE(TRIM('월 가계부'!C590),",",""),"원","")," ",""),"−","-")))),"")</f>
        <v/>
      </c>
      <c r="CK590">
        <f>IF(ISNUMBER(CI590),IF(CI590&lt;$B$13,CI590,""),"")</f>
        <v/>
      </c>
      <c r="CM590">
        <f>IF(CH590="","",IFERROR(IF(IF(AND(LEN(CH590)=9,ISERROR(FIND("-",LEFT(CH590,8))),ISNUMBER(-LEFT(CH590,8))),VALUE(LEFT(CH590,4)),VALUE(LEFT(CH590,FIND("-",CH590)-1)))&lt;100,IF(AND(LEN(CH590)=9,ISERROR(FIND("-",LEFT(CH590,8))),ISNUMBER(-LEFT(CH590,8))),VALUE(LEFT(CH590,4)),VALUE(LEFT(CH590,FIND("-",CH590)-1)))+2000,IF(AND(LEN(CH590)=9,ISERROR(FIND("-",LEFT(CH590,8))),ISNUMBER(-LEFT(CH590,8))),VALUE(LEFT(CH590,4)),VALUE(LEFT(CH590,FIND("-",CH590)-1)))),""))</f>
        <v/>
      </c>
      <c r="CN590">
        <f>IF(CH590="","",IFERROR(IF(AND(LEN(CH590)=9,ISERROR(FIND("-",LEFT(CH590,8))),ISNUMBER(-LEFT(CH590,8))),VALUE(MID(CH590,5,2)),VALUE(MID(CH590,FIND("-",CH590)+1,FIND("-",CH590,FIND("-",CH590)+1)-FIND("-",CH590)-1))),""))</f>
        <v/>
      </c>
      <c r="CO590">
        <f>IF(CH590="","",IFERROR(IF(AND(LEN(CH590)=9,ISERROR(FIND("-",LEFT(CH590,8))),ISNUMBER(-LEFT(CH590,8))),VALUE(MID(CH590,7,2)),VALUE(MID(CH590,FIND("-",CH590,FIND("-",CH590)+1)+1,FIND("-",CH590,FIND("-",CH590,FIND("-",CH590)+1)+1)-FIND("-",CH590,FIND("-",CH590)+1)-1))),""))</f>
        <v/>
      </c>
    </row>
    <row r="591">
      <c r="CH591">
        <f>IF(ISTEXT('월 가계부'!A591),SUBSTITUTE(SUBSTITUTE(SUBSTITUTE(SUBSTITUTE(SUBSTITUTE(SUBSTITUTE(SUBSTITUTE(SUBSTITUTE(SUBSTITUTE(TRIM('월 가계부'!A591),"년","-"),"월","-"),"일",""),".","-"),"/","-")," ","-"),"--","-"),"--","-"),"--","-")&amp;"-","")</f>
        <v/>
      </c>
      <c r="CI591">
        <f>IFERROR(IF('월 가계부'!A591="","",IF(ISNUMBER('월 가계부'!A591),IF(AND('월 가계부'!A591&gt;=19000101,'월 가계부'!A591&lt;=21001231),IF(AND(MOD(INT('월 가계부'!A591/100),100)&gt;=1,MOD(INT('월 가계부'!A591/100),100)&lt;=12,MOD(INT('월 가계부'!A591),100)&gt;=1,MOD(INT('월 가계부'!A591),100)&lt;=31),IF(MONTH(DATE(INT('월 가계부'!A591/10000),MOD(INT('월 가계부'!A591/100),100),MOD(INT('월 가계부'!A591),100)))=MOD(INT('월 가계부'!A591/100),100),DATE(INT('월 가계부'!A591/10000),MOD(INT('월 가계부'!A591/100),100),MOD(INT('월 가계부'!A591),100)),""),""),IF(AND('월 가계부'!A591&gt;=36526,'월 가계부'!A591&lt;73051),INT('월 가계부'!A591),"")),IF(OR(CM591="",CN591="",CO591=""),"",IF(AND(CM591&gt;=2000,CM591&lt;=2099,CN591&gt;=1,CN591&lt;=12,CO591&gt;=1,CO591&lt;=31),IF(MONTH(DATE(CM591,CN591,CO591))=CN591,DATE(CM591,CN591,CO591),""),"")))),"")</f>
        <v/>
      </c>
      <c r="CJ591">
        <f>IFERROR(IF('월 가계부'!C591="","",IF(ISNUMBER('월 가계부'!C591),'월 가계부'!C591,VALUE(SUBSTITUTE(SUBSTITUTE(SUBSTITUTE(SUBSTITUTE(TRIM('월 가계부'!C591),",",""),"원","")," ",""),"−","-")))),"")</f>
        <v/>
      </c>
      <c r="CK591">
        <f>IF(ISNUMBER(CI591),IF(CI591&lt;$B$13,CI591,""),"")</f>
        <v/>
      </c>
      <c r="CM591">
        <f>IF(CH591="","",IFERROR(IF(IF(AND(LEN(CH591)=9,ISERROR(FIND("-",LEFT(CH591,8))),ISNUMBER(-LEFT(CH591,8))),VALUE(LEFT(CH591,4)),VALUE(LEFT(CH591,FIND("-",CH591)-1)))&lt;100,IF(AND(LEN(CH591)=9,ISERROR(FIND("-",LEFT(CH591,8))),ISNUMBER(-LEFT(CH591,8))),VALUE(LEFT(CH591,4)),VALUE(LEFT(CH591,FIND("-",CH591)-1)))+2000,IF(AND(LEN(CH591)=9,ISERROR(FIND("-",LEFT(CH591,8))),ISNUMBER(-LEFT(CH591,8))),VALUE(LEFT(CH591,4)),VALUE(LEFT(CH591,FIND("-",CH591)-1)))),""))</f>
        <v/>
      </c>
      <c r="CN591">
        <f>IF(CH591="","",IFERROR(IF(AND(LEN(CH591)=9,ISERROR(FIND("-",LEFT(CH591,8))),ISNUMBER(-LEFT(CH591,8))),VALUE(MID(CH591,5,2)),VALUE(MID(CH591,FIND("-",CH591)+1,FIND("-",CH591,FIND("-",CH591)+1)-FIND("-",CH591)-1))),""))</f>
        <v/>
      </c>
      <c r="CO591">
        <f>IF(CH591="","",IFERROR(IF(AND(LEN(CH591)=9,ISERROR(FIND("-",LEFT(CH591,8))),ISNUMBER(-LEFT(CH591,8))),VALUE(MID(CH591,7,2)),VALUE(MID(CH591,FIND("-",CH591,FIND("-",CH591)+1)+1,FIND("-",CH591,FIND("-",CH591,FIND("-",CH591)+1)+1)-FIND("-",CH591,FIND("-",CH591)+1)-1))),""))</f>
        <v/>
      </c>
    </row>
    <row r="592">
      <c r="CH592">
        <f>IF(ISTEXT('월 가계부'!A592),SUBSTITUTE(SUBSTITUTE(SUBSTITUTE(SUBSTITUTE(SUBSTITUTE(SUBSTITUTE(SUBSTITUTE(SUBSTITUTE(SUBSTITUTE(TRIM('월 가계부'!A592),"년","-"),"월","-"),"일",""),".","-"),"/","-")," ","-"),"--","-"),"--","-"),"--","-")&amp;"-","")</f>
        <v/>
      </c>
      <c r="CI592">
        <f>IFERROR(IF('월 가계부'!A592="","",IF(ISNUMBER('월 가계부'!A592),IF(AND('월 가계부'!A592&gt;=19000101,'월 가계부'!A592&lt;=21001231),IF(AND(MOD(INT('월 가계부'!A592/100),100)&gt;=1,MOD(INT('월 가계부'!A592/100),100)&lt;=12,MOD(INT('월 가계부'!A592),100)&gt;=1,MOD(INT('월 가계부'!A592),100)&lt;=31),IF(MONTH(DATE(INT('월 가계부'!A592/10000),MOD(INT('월 가계부'!A592/100),100),MOD(INT('월 가계부'!A592),100)))=MOD(INT('월 가계부'!A592/100),100),DATE(INT('월 가계부'!A592/10000),MOD(INT('월 가계부'!A592/100),100),MOD(INT('월 가계부'!A592),100)),""),""),IF(AND('월 가계부'!A592&gt;=36526,'월 가계부'!A592&lt;73051),INT('월 가계부'!A592),"")),IF(OR(CM592="",CN592="",CO592=""),"",IF(AND(CM592&gt;=2000,CM592&lt;=2099,CN592&gt;=1,CN592&lt;=12,CO592&gt;=1,CO592&lt;=31),IF(MONTH(DATE(CM592,CN592,CO592))=CN592,DATE(CM592,CN592,CO592),""),"")))),"")</f>
        <v/>
      </c>
      <c r="CJ592">
        <f>IFERROR(IF('월 가계부'!C592="","",IF(ISNUMBER('월 가계부'!C592),'월 가계부'!C592,VALUE(SUBSTITUTE(SUBSTITUTE(SUBSTITUTE(SUBSTITUTE(TRIM('월 가계부'!C592),",",""),"원","")," ",""),"−","-")))),"")</f>
        <v/>
      </c>
      <c r="CK592">
        <f>IF(ISNUMBER(CI592),IF(CI592&lt;$B$13,CI592,""),"")</f>
        <v/>
      </c>
      <c r="CM592">
        <f>IF(CH592="","",IFERROR(IF(IF(AND(LEN(CH592)=9,ISERROR(FIND("-",LEFT(CH592,8))),ISNUMBER(-LEFT(CH592,8))),VALUE(LEFT(CH592,4)),VALUE(LEFT(CH592,FIND("-",CH592)-1)))&lt;100,IF(AND(LEN(CH592)=9,ISERROR(FIND("-",LEFT(CH592,8))),ISNUMBER(-LEFT(CH592,8))),VALUE(LEFT(CH592,4)),VALUE(LEFT(CH592,FIND("-",CH592)-1)))+2000,IF(AND(LEN(CH592)=9,ISERROR(FIND("-",LEFT(CH592,8))),ISNUMBER(-LEFT(CH592,8))),VALUE(LEFT(CH592,4)),VALUE(LEFT(CH592,FIND("-",CH592)-1)))),""))</f>
        <v/>
      </c>
      <c r="CN592">
        <f>IF(CH592="","",IFERROR(IF(AND(LEN(CH592)=9,ISERROR(FIND("-",LEFT(CH592,8))),ISNUMBER(-LEFT(CH592,8))),VALUE(MID(CH592,5,2)),VALUE(MID(CH592,FIND("-",CH592)+1,FIND("-",CH592,FIND("-",CH592)+1)-FIND("-",CH592)-1))),""))</f>
        <v/>
      </c>
      <c r="CO592">
        <f>IF(CH592="","",IFERROR(IF(AND(LEN(CH592)=9,ISERROR(FIND("-",LEFT(CH592,8))),ISNUMBER(-LEFT(CH592,8))),VALUE(MID(CH592,7,2)),VALUE(MID(CH592,FIND("-",CH592,FIND("-",CH592)+1)+1,FIND("-",CH592,FIND("-",CH592,FIND("-",CH592)+1)+1)-FIND("-",CH592,FIND("-",CH592)+1)-1))),""))</f>
        <v/>
      </c>
    </row>
    <row r="593">
      <c r="CH593">
        <f>IF(ISTEXT('월 가계부'!A593),SUBSTITUTE(SUBSTITUTE(SUBSTITUTE(SUBSTITUTE(SUBSTITUTE(SUBSTITUTE(SUBSTITUTE(SUBSTITUTE(SUBSTITUTE(TRIM('월 가계부'!A593),"년","-"),"월","-"),"일",""),".","-"),"/","-")," ","-"),"--","-"),"--","-"),"--","-")&amp;"-","")</f>
        <v/>
      </c>
      <c r="CI593">
        <f>IFERROR(IF('월 가계부'!A593="","",IF(ISNUMBER('월 가계부'!A593),IF(AND('월 가계부'!A593&gt;=19000101,'월 가계부'!A593&lt;=21001231),IF(AND(MOD(INT('월 가계부'!A593/100),100)&gt;=1,MOD(INT('월 가계부'!A593/100),100)&lt;=12,MOD(INT('월 가계부'!A593),100)&gt;=1,MOD(INT('월 가계부'!A593),100)&lt;=31),IF(MONTH(DATE(INT('월 가계부'!A593/10000),MOD(INT('월 가계부'!A593/100),100),MOD(INT('월 가계부'!A593),100)))=MOD(INT('월 가계부'!A593/100),100),DATE(INT('월 가계부'!A593/10000),MOD(INT('월 가계부'!A593/100),100),MOD(INT('월 가계부'!A593),100)),""),""),IF(AND('월 가계부'!A593&gt;=36526,'월 가계부'!A593&lt;73051),INT('월 가계부'!A593),"")),IF(OR(CM593="",CN593="",CO593=""),"",IF(AND(CM593&gt;=2000,CM593&lt;=2099,CN593&gt;=1,CN593&lt;=12,CO593&gt;=1,CO593&lt;=31),IF(MONTH(DATE(CM593,CN593,CO593))=CN593,DATE(CM593,CN593,CO593),""),"")))),"")</f>
        <v/>
      </c>
      <c r="CJ593">
        <f>IFERROR(IF('월 가계부'!C593="","",IF(ISNUMBER('월 가계부'!C593),'월 가계부'!C593,VALUE(SUBSTITUTE(SUBSTITUTE(SUBSTITUTE(SUBSTITUTE(TRIM('월 가계부'!C593),",",""),"원","")," ",""),"−","-")))),"")</f>
        <v/>
      </c>
      <c r="CK593">
        <f>IF(ISNUMBER(CI593),IF(CI593&lt;$B$13,CI593,""),"")</f>
        <v/>
      </c>
      <c r="CM593">
        <f>IF(CH593="","",IFERROR(IF(IF(AND(LEN(CH593)=9,ISERROR(FIND("-",LEFT(CH593,8))),ISNUMBER(-LEFT(CH593,8))),VALUE(LEFT(CH593,4)),VALUE(LEFT(CH593,FIND("-",CH593)-1)))&lt;100,IF(AND(LEN(CH593)=9,ISERROR(FIND("-",LEFT(CH593,8))),ISNUMBER(-LEFT(CH593,8))),VALUE(LEFT(CH593,4)),VALUE(LEFT(CH593,FIND("-",CH593)-1)))+2000,IF(AND(LEN(CH593)=9,ISERROR(FIND("-",LEFT(CH593,8))),ISNUMBER(-LEFT(CH593,8))),VALUE(LEFT(CH593,4)),VALUE(LEFT(CH593,FIND("-",CH593)-1)))),""))</f>
        <v/>
      </c>
      <c r="CN593">
        <f>IF(CH593="","",IFERROR(IF(AND(LEN(CH593)=9,ISERROR(FIND("-",LEFT(CH593,8))),ISNUMBER(-LEFT(CH593,8))),VALUE(MID(CH593,5,2)),VALUE(MID(CH593,FIND("-",CH593)+1,FIND("-",CH593,FIND("-",CH593)+1)-FIND("-",CH593)-1))),""))</f>
        <v/>
      </c>
      <c r="CO593">
        <f>IF(CH593="","",IFERROR(IF(AND(LEN(CH593)=9,ISERROR(FIND("-",LEFT(CH593,8))),ISNUMBER(-LEFT(CH593,8))),VALUE(MID(CH593,7,2)),VALUE(MID(CH593,FIND("-",CH593,FIND("-",CH593)+1)+1,FIND("-",CH593,FIND("-",CH593,FIND("-",CH593)+1)+1)-FIND("-",CH593,FIND("-",CH593)+1)-1))),""))</f>
        <v/>
      </c>
    </row>
    <row r="594">
      <c r="CH594">
        <f>IF(ISTEXT('월 가계부'!A594),SUBSTITUTE(SUBSTITUTE(SUBSTITUTE(SUBSTITUTE(SUBSTITUTE(SUBSTITUTE(SUBSTITUTE(SUBSTITUTE(SUBSTITUTE(TRIM('월 가계부'!A594),"년","-"),"월","-"),"일",""),".","-"),"/","-")," ","-"),"--","-"),"--","-"),"--","-")&amp;"-","")</f>
        <v/>
      </c>
      <c r="CI594">
        <f>IFERROR(IF('월 가계부'!A594="","",IF(ISNUMBER('월 가계부'!A594),IF(AND('월 가계부'!A594&gt;=19000101,'월 가계부'!A594&lt;=21001231),IF(AND(MOD(INT('월 가계부'!A594/100),100)&gt;=1,MOD(INT('월 가계부'!A594/100),100)&lt;=12,MOD(INT('월 가계부'!A594),100)&gt;=1,MOD(INT('월 가계부'!A594),100)&lt;=31),IF(MONTH(DATE(INT('월 가계부'!A594/10000),MOD(INT('월 가계부'!A594/100),100),MOD(INT('월 가계부'!A594),100)))=MOD(INT('월 가계부'!A594/100),100),DATE(INT('월 가계부'!A594/10000),MOD(INT('월 가계부'!A594/100),100),MOD(INT('월 가계부'!A594),100)),""),""),IF(AND('월 가계부'!A594&gt;=36526,'월 가계부'!A594&lt;73051),INT('월 가계부'!A594),"")),IF(OR(CM594="",CN594="",CO594=""),"",IF(AND(CM594&gt;=2000,CM594&lt;=2099,CN594&gt;=1,CN594&lt;=12,CO594&gt;=1,CO594&lt;=31),IF(MONTH(DATE(CM594,CN594,CO594))=CN594,DATE(CM594,CN594,CO594),""),"")))),"")</f>
        <v/>
      </c>
      <c r="CJ594">
        <f>IFERROR(IF('월 가계부'!C594="","",IF(ISNUMBER('월 가계부'!C594),'월 가계부'!C594,VALUE(SUBSTITUTE(SUBSTITUTE(SUBSTITUTE(SUBSTITUTE(TRIM('월 가계부'!C594),",",""),"원","")," ",""),"−","-")))),"")</f>
        <v/>
      </c>
      <c r="CK594">
        <f>IF(ISNUMBER(CI594),IF(CI594&lt;$B$13,CI594,""),"")</f>
        <v/>
      </c>
      <c r="CM594">
        <f>IF(CH594="","",IFERROR(IF(IF(AND(LEN(CH594)=9,ISERROR(FIND("-",LEFT(CH594,8))),ISNUMBER(-LEFT(CH594,8))),VALUE(LEFT(CH594,4)),VALUE(LEFT(CH594,FIND("-",CH594)-1)))&lt;100,IF(AND(LEN(CH594)=9,ISERROR(FIND("-",LEFT(CH594,8))),ISNUMBER(-LEFT(CH594,8))),VALUE(LEFT(CH594,4)),VALUE(LEFT(CH594,FIND("-",CH594)-1)))+2000,IF(AND(LEN(CH594)=9,ISERROR(FIND("-",LEFT(CH594,8))),ISNUMBER(-LEFT(CH594,8))),VALUE(LEFT(CH594,4)),VALUE(LEFT(CH594,FIND("-",CH594)-1)))),""))</f>
        <v/>
      </c>
      <c r="CN594">
        <f>IF(CH594="","",IFERROR(IF(AND(LEN(CH594)=9,ISERROR(FIND("-",LEFT(CH594,8))),ISNUMBER(-LEFT(CH594,8))),VALUE(MID(CH594,5,2)),VALUE(MID(CH594,FIND("-",CH594)+1,FIND("-",CH594,FIND("-",CH594)+1)-FIND("-",CH594)-1))),""))</f>
        <v/>
      </c>
      <c r="CO594">
        <f>IF(CH594="","",IFERROR(IF(AND(LEN(CH594)=9,ISERROR(FIND("-",LEFT(CH594,8))),ISNUMBER(-LEFT(CH594,8))),VALUE(MID(CH594,7,2)),VALUE(MID(CH594,FIND("-",CH594,FIND("-",CH594)+1)+1,FIND("-",CH594,FIND("-",CH594,FIND("-",CH594)+1)+1)-FIND("-",CH594,FIND("-",CH594)+1)-1))),""))</f>
        <v/>
      </c>
    </row>
    <row r="595">
      <c r="CH595">
        <f>IF(ISTEXT('월 가계부'!A595),SUBSTITUTE(SUBSTITUTE(SUBSTITUTE(SUBSTITUTE(SUBSTITUTE(SUBSTITUTE(SUBSTITUTE(SUBSTITUTE(SUBSTITUTE(TRIM('월 가계부'!A595),"년","-"),"월","-"),"일",""),".","-"),"/","-")," ","-"),"--","-"),"--","-"),"--","-")&amp;"-","")</f>
        <v/>
      </c>
      <c r="CI595">
        <f>IFERROR(IF('월 가계부'!A595="","",IF(ISNUMBER('월 가계부'!A595),IF(AND('월 가계부'!A595&gt;=19000101,'월 가계부'!A595&lt;=21001231),IF(AND(MOD(INT('월 가계부'!A595/100),100)&gt;=1,MOD(INT('월 가계부'!A595/100),100)&lt;=12,MOD(INT('월 가계부'!A595),100)&gt;=1,MOD(INT('월 가계부'!A595),100)&lt;=31),IF(MONTH(DATE(INT('월 가계부'!A595/10000),MOD(INT('월 가계부'!A595/100),100),MOD(INT('월 가계부'!A595),100)))=MOD(INT('월 가계부'!A595/100),100),DATE(INT('월 가계부'!A595/10000),MOD(INT('월 가계부'!A595/100),100),MOD(INT('월 가계부'!A595),100)),""),""),IF(AND('월 가계부'!A595&gt;=36526,'월 가계부'!A595&lt;73051),INT('월 가계부'!A595),"")),IF(OR(CM595="",CN595="",CO595=""),"",IF(AND(CM595&gt;=2000,CM595&lt;=2099,CN595&gt;=1,CN595&lt;=12,CO595&gt;=1,CO595&lt;=31),IF(MONTH(DATE(CM595,CN595,CO595))=CN595,DATE(CM595,CN595,CO595),""),"")))),"")</f>
        <v/>
      </c>
      <c r="CJ595">
        <f>IFERROR(IF('월 가계부'!C595="","",IF(ISNUMBER('월 가계부'!C595),'월 가계부'!C595,VALUE(SUBSTITUTE(SUBSTITUTE(SUBSTITUTE(SUBSTITUTE(TRIM('월 가계부'!C595),",",""),"원","")," ",""),"−","-")))),"")</f>
        <v/>
      </c>
      <c r="CK595">
        <f>IF(ISNUMBER(CI595),IF(CI595&lt;$B$13,CI595,""),"")</f>
        <v/>
      </c>
      <c r="CM595">
        <f>IF(CH595="","",IFERROR(IF(IF(AND(LEN(CH595)=9,ISERROR(FIND("-",LEFT(CH595,8))),ISNUMBER(-LEFT(CH595,8))),VALUE(LEFT(CH595,4)),VALUE(LEFT(CH595,FIND("-",CH595)-1)))&lt;100,IF(AND(LEN(CH595)=9,ISERROR(FIND("-",LEFT(CH595,8))),ISNUMBER(-LEFT(CH595,8))),VALUE(LEFT(CH595,4)),VALUE(LEFT(CH595,FIND("-",CH595)-1)))+2000,IF(AND(LEN(CH595)=9,ISERROR(FIND("-",LEFT(CH595,8))),ISNUMBER(-LEFT(CH595,8))),VALUE(LEFT(CH595,4)),VALUE(LEFT(CH595,FIND("-",CH595)-1)))),""))</f>
        <v/>
      </c>
      <c r="CN595">
        <f>IF(CH595="","",IFERROR(IF(AND(LEN(CH595)=9,ISERROR(FIND("-",LEFT(CH595,8))),ISNUMBER(-LEFT(CH595,8))),VALUE(MID(CH595,5,2)),VALUE(MID(CH595,FIND("-",CH595)+1,FIND("-",CH595,FIND("-",CH595)+1)-FIND("-",CH595)-1))),""))</f>
        <v/>
      </c>
      <c r="CO595">
        <f>IF(CH595="","",IFERROR(IF(AND(LEN(CH595)=9,ISERROR(FIND("-",LEFT(CH595,8))),ISNUMBER(-LEFT(CH595,8))),VALUE(MID(CH595,7,2)),VALUE(MID(CH595,FIND("-",CH595,FIND("-",CH595)+1)+1,FIND("-",CH595,FIND("-",CH595,FIND("-",CH595)+1)+1)-FIND("-",CH595,FIND("-",CH595)+1)-1))),""))</f>
        <v/>
      </c>
    </row>
    <row r="596">
      <c r="CH596">
        <f>IF(ISTEXT('월 가계부'!A596),SUBSTITUTE(SUBSTITUTE(SUBSTITUTE(SUBSTITUTE(SUBSTITUTE(SUBSTITUTE(SUBSTITUTE(SUBSTITUTE(SUBSTITUTE(TRIM('월 가계부'!A596),"년","-"),"월","-"),"일",""),".","-"),"/","-")," ","-"),"--","-"),"--","-"),"--","-")&amp;"-","")</f>
        <v/>
      </c>
      <c r="CI596">
        <f>IFERROR(IF('월 가계부'!A596="","",IF(ISNUMBER('월 가계부'!A596),IF(AND('월 가계부'!A596&gt;=19000101,'월 가계부'!A596&lt;=21001231),IF(AND(MOD(INT('월 가계부'!A596/100),100)&gt;=1,MOD(INT('월 가계부'!A596/100),100)&lt;=12,MOD(INT('월 가계부'!A596),100)&gt;=1,MOD(INT('월 가계부'!A596),100)&lt;=31),IF(MONTH(DATE(INT('월 가계부'!A596/10000),MOD(INT('월 가계부'!A596/100),100),MOD(INT('월 가계부'!A596),100)))=MOD(INT('월 가계부'!A596/100),100),DATE(INT('월 가계부'!A596/10000),MOD(INT('월 가계부'!A596/100),100),MOD(INT('월 가계부'!A596),100)),""),""),IF(AND('월 가계부'!A596&gt;=36526,'월 가계부'!A596&lt;73051),INT('월 가계부'!A596),"")),IF(OR(CM596="",CN596="",CO596=""),"",IF(AND(CM596&gt;=2000,CM596&lt;=2099,CN596&gt;=1,CN596&lt;=12,CO596&gt;=1,CO596&lt;=31),IF(MONTH(DATE(CM596,CN596,CO596))=CN596,DATE(CM596,CN596,CO596),""),"")))),"")</f>
        <v/>
      </c>
      <c r="CJ596">
        <f>IFERROR(IF('월 가계부'!C596="","",IF(ISNUMBER('월 가계부'!C596),'월 가계부'!C596,VALUE(SUBSTITUTE(SUBSTITUTE(SUBSTITUTE(SUBSTITUTE(TRIM('월 가계부'!C596),",",""),"원","")," ",""),"−","-")))),"")</f>
        <v/>
      </c>
      <c r="CK596">
        <f>IF(ISNUMBER(CI596),IF(CI596&lt;$B$13,CI596,""),"")</f>
        <v/>
      </c>
      <c r="CM596">
        <f>IF(CH596="","",IFERROR(IF(IF(AND(LEN(CH596)=9,ISERROR(FIND("-",LEFT(CH596,8))),ISNUMBER(-LEFT(CH596,8))),VALUE(LEFT(CH596,4)),VALUE(LEFT(CH596,FIND("-",CH596)-1)))&lt;100,IF(AND(LEN(CH596)=9,ISERROR(FIND("-",LEFT(CH596,8))),ISNUMBER(-LEFT(CH596,8))),VALUE(LEFT(CH596,4)),VALUE(LEFT(CH596,FIND("-",CH596)-1)))+2000,IF(AND(LEN(CH596)=9,ISERROR(FIND("-",LEFT(CH596,8))),ISNUMBER(-LEFT(CH596,8))),VALUE(LEFT(CH596,4)),VALUE(LEFT(CH596,FIND("-",CH596)-1)))),""))</f>
        <v/>
      </c>
      <c r="CN596">
        <f>IF(CH596="","",IFERROR(IF(AND(LEN(CH596)=9,ISERROR(FIND("-",LEFT(CH596,8))),ISNUMBER(-LEFT(CH596,8))),VALUE(MID(CH596,5,2)),VALUE(MID(CH596,FIND("-",CH596)+1,FIND("-",CH596,FIND("-",CH596)+1)-FIND("-",CH596)-1))),""))</f>
        <v/>
      </c>
      <c r="CO596">
        <f>IF(CH596="","",IFERROR(IF(AND(LEN(CH596)=9,ISERROR(FIND("-",LEFT(CH596,8))),ISNUMBER(-LEFT(CH596,8))),VALUE(MID(CH596,7,2)),VALUE(MID(CH596,FIND("-",CH596,FIND("-",CH596)+1)+1,FIND("-",CH596,FIND("-",CH596,FIND("-",CH596)+1)+1)-FIND("-",CH596,FIND("-",CH596)+1)-1))),""))</f>
        <v/>
      </c>
    </row>
    <row r="597">
      <c r="CH597">
        <f>IF(ISTEXT('월 가계부'!A597),SUBSTITUTE(SUBSTITUTE(SUBSTITUTE(SUBSTITUTE(SUBSTITUTE(SUBSTITUTE(SUBSTITUTE(SUBSTITUTE(SUBSTITUTE(TRIM('월 가계부'!A597),"년","-"),"월","-"),"일",""),".","-"),"/","-")," ","-"),"--","-"),"--","-"),"--","-")&amp;"-","")</f>
        <v/>
      </c>
      <c r="CI597">
        <f>IFERROR(IF('월 가계부'!A597="","",IF(ISNUMBER('월 가계부'!A597),IF(AND('월 가계부'!A597&gt;=19000101,'월 가계부'!A597&lt;=21001231),IF(AND(MOD(INT('월 가계부'!A597/100),100)&gt;=1,MOD(INT('월 가계부'!A597/100),100)&lt;=12,MOD(INT('월 가계부'!A597),100)&gt;=1,MOD(INT('월 가계부'!A597),100)&lt;=31),IF(MONTH(DATE(INT('월 가계부'!A597/10000),MOD(INT('월 가계부'!A597/100),100),MOD(INT('월 가계부'!A597),100)))=MOD(INT('월 가계부'!A597/100),100),DATE(INT('월 가계부'!A597/10000),MOD(INT('월 가계부'!A597/100),100),MOD(INT('월 가계부'!A597),100)),""),""),IF(AND('월 가계부'!A597&gt;=36526,'월 가계부'!A597&lt;73051),INT('월 가계부'!A597),"")),IF(OR(CM597="",CN597="",CO597=""),"",IF(AND(CM597&gt;=2000,CM597&lt;=2099,CN597&gt;=1,CN597&lt;=12,CO597&gt;=1,CO597&lt;=31),IF(MONTH(DATE(CM597,CN597,CO597))=CN597,DATE(CM597,CN597,CO597),""),"")))),"")</f>
        <v/>
      </c>
      <c r="CJ597">
        <f>IFERROR(IF('월 가계부'!C597="","",IF(ISNUMBER('월 가계부'!C597),'월 가계부'!C597,VALUE(SUBSTITUTE(SUBSTITUTE(SUBSTITUTE(SUBSTITUTE(TRIM('월 가계부'!C597),",",""),"원","")," ",""),"−","-")))),"")</f>
        <v/>
      </c>
      <c r="CK597">
        <f>IF(ISNUMBER(CI597),IF(CI597&lt;$B$13,CI597,""),"")</f>
        <v/>
      </c>
      <c r="CM597">
        <f>IF(CH597="","",IFERROR(IF(IF(AND(LEN(CH597)=9,ISERROR(FIND("-",LEFT(CH597,8))),ISNUMBER(-LEFT(CH597,8))),VALUE(LEFT(CH597,4)),VALUE(LEFT(CH597,FIND("-",CH597)-1)))&lt;100,IF(AND(LEN(CH597)=9,ISERROR(FIND("-",LEFT(CH597,8))),ISNUMBER(-LEFT(CH597,8))),VALUE(LEFT(CH597,4)),VALUE(LEFT(CH597,FIND("-",CH597)-1)))+2000,IF(AND(LEN(CH597)=9,ISERROR(FIND("-",LEFT(CH597,8))),ISNUMBER(-LEFT(CH597,8))),VALUE(LEFT(CH597,4)),VALUE(LEFT(CH597,FIND("-",CH597)-1)))),""))</f>
        <v/>
      </c>
      <c r="CN597">
        <f>IF(CH597="","",IFERROR(IF(AND(LEN(CH597)=9,ISERROR(FIND("-",LEFT(CH597,8))),ISNUMBER(-LEFT(CH597,8))),VALUE(MID(CH597,5,2)),VALUE(MID(CH597,FIND("-",CH597)+1,FIND("-",CH597,FIND("-",CH597)+1)-FIND("-",CH597)-1))),""))</f>
        <v/>
      </c>
      <c r="CO597">
        <f>IF(CH597="","",IFERROR(IF(AND(LEN(CH597)=9,ISERROR(FIND("-",LEFT(CH597,8))),ISNUMBER(-LEFT(CH597,8))),VALUE(MID(CH597,7,2)),VALUE(MID(CH597,FIND("-",CH597,FIND("-",CH597)+1)+1,FIND("-",CH597,FIND("-",CH597,FIND("-",CH597)+1)+1)-FIND("-",CH597,FIND("-",CH597)+1)-1))),""))</f>
        <v/>
      </c>
    </row>
    <row r="598">
      <c r="CH598">
        <f>IF(ISTEXT('월 가계부'!A598),SUBSTITUTE(SUBSTITUTE(SUBSTITUTE(SUBSTITUTE(SUBSTITUTE(SUBSTITUTE(SUBSTITUTE(SUBSTITUTE(SUBSTITUTE(TRIM('월 가계부'!A598),"년","-"),"월","-"),"일",""),".","-"),"/","-")," ","-"),"--","-"),"--","-"),"--","-")&amp;"-","")</f>
        <v/>
      </c>
      <c r="CI598">
        <f>IFERROR(IF('월 가계부'!A598="","",IF(ISNUMBER('월 가계부'!A598),IF(AND('월 가계부'!A598&gt;=19000101,'월 가계부'!A598&lt;=21001231),IF(AND(MOD(INT('월 가계부'!A598/100),100)&gt;=1,MOD(INT('월 가계부'!A598/100),100)&lt;=12,MOD(INT('월 가계부'!A598),100)&gt;=1,MOD(INT('월 가계부'!A598),100)&lt;=31),IF(MONTH(DATE(INT('월 가계부'!A598/10000),MOD(INT('월 가계부'!A598/100),100),MOD(INT('월 가계부'!A598),100)))=MOD(INT('월 가계부'!A598/100),100),DATE(INT('월 가계부'!A598/10000),MOD(INT('월 가계부'!A598/100),100),MOD(INT('월 가계부'!A598),100)),""),""),IF(AND('월 가계부'!A598&gt;=36526,'월 가계부'!A598&lt;73051),INT('월 가계부'!A598),"")),IF(OR(CM598="",CN598="",CO598=""),"",IF(AND(CM598&gt;=2000,CM598&lt;=2099,CN598&gt;=1,CN598&lt;=12,CO598&gt;=1,CO598&lt;=31),IF(MONTH(DATE(CM598,CN598,CO598))=CN598,DATE(CM598,CN598,CO598),""),"")))),"")</f>
        <v/>
      </c>
      <c r="CJ598">
        <f>IFERROR(IF('월 가계부'!C598="","",IF(ISNUMBER('월 가계부'!C598),'월 가계부'!C598,VALUE(SUBSTITUTE(SUBSTITUTE(SUBSTITUTE(SUBSTITUTE(TRIM('월 가계부'!C598),",",""),"원","")," ",""),"−","-")))),"")</f>
        <v/>
      </c>
      <c r="CK598">
        <f>IF(ISNUMBER(CI598),IF(CI598&lt;$B$13,CI598,""),"")</f>
        <v/>
      </c>
      <c r="CM598">
        <f>IF(CH598="","",IFERROR(IF(IF(AND(LEN(CH598)=9,ISERROR(FIND("-",LEFT(CH598,8))),ISNUMBER(-LEFT(CH598,8))),VALUE(LEFT(CH598,4)),VALUE(LEFT(CH598,FIND("-",CH598)-1)))&lt;100,IF(AND(LEN(CH598)=9,ISERROR(FIND("-",LEFT(CH598,8))),ISNUMBER(-LEFT(CH598,8))),VALUE(LEFT(CH598,4)),VALUE(LEFT(CH598,FIND("-",CH598)-1)))+2000,IF(AND(LEN(CH598)=9,ISERROR(FIND("-",LEFT(CH598,8))),ISNUMBER(-LEFT(CH598,8))),VALUE(LEFT(CH598,4)),VALUE(LEFT(CH598,FIND("-",CH598)-1)))),""))</f>
        <v/>
      </c>
      <c r="CN598">
        <f>IF(CH598="","",IFERROR(IF(AND(LEN(CH598)=9,ISERROR(FIND("-",LEFT(CH598,8))),ISNUMBER(-LEFT(CH598,8))),VALUE(MID(CH598,5,2)),VALUE(MID(CH598,FIND("-",CH598)+1,FIND("-",CH598,FIND("-",CH598)+1)-FIND("-",CH598)-1))),""))</f>
        <v/>
      </c>
      <c r="CO598">
        <f>IF(CH598="","",IFERROR(IF(AND(LEN(CH598)=9,ISERROR(FIND("-",LEFT(CH598,8))),ISNUMBER(-LEFT(CH598,8))),VALUE(MID(CH598,7,2)),VALUE(MID(CH598,FIND("-",CH598,FIND("-",CH598)+1)+1,FIND("-",CH598,FIND("-",CH598,FIND("-",CH598)+1)+1)-FIND("-",CH598,FIND("-",CH598)+1)-1))),""))</f>
        <v/>
      </c>
    </row>
    <row r="599">
      <c r="CH599">
        <f>IF(ISTEXT('월 가계부'!A599),SUBSTITUTE(SUBSTITUTE(SUBSTITUTE(SUBSTITUTE(SUBSTITUTE(SUBSTITUTE(SUBSTITUTE(SUBSTITUTE(SUBSTITUTE(TRIM('월 가계부'!A599),"년","-"),"월","-"),"일",""),".","-"),"/","-")," ","-"),"--","-"),"--","-"),"--","-")&amp;"-","")</f>
        <v/>
      </c>
      <c r="CI599">
        <f>IFERROR(IF('월 가계부'!A599="","",IF(ISNUMBER('월 가계부'!A599),IF(AND('월 가계부'!A599&gt;=19000101,'월 가계부'!A599&lt;=21001231),IF(AND(MOD(INT('월 가계부'!A599/100),100)&gt;=1,MOD(INT('월 가계부'!A599/100),100)&lt;=12,MOD(INT('월 가계부'!A599),100)&gt;=1,MOD(INT('월 가계부'!A599),100)&lt;=31),IF(MONTH(DATE(INT('월 가계부'!A599/10000),MOD(INT('월 가계부'!A599/100),100),MOD(INT('월 가계부'!A599),100)))=MOD(INT('월 가계부'!A599/100),100),DATE(INT('월 가계부'!A599/10000),MOD(INT('월 가계부'!A599/100),100),MOD(INT('월 가계부'!A599),100)),""),""),IF(AND('월 가계부'!A599&gt;=36526,'월 가계부'!A599&lt;73051),INT('월 가계부'!A599),"")),IF(OR(CM599="",CN599="",CO599=""),"",IF(AND(CM599&gt;=2000,CM599&lt;=2099,CN599&gt;=1,CN599&lt;=12,CO599&gt;=1,CO599&lt;=31),IF(MONTH(DATE(CM599,CN599,CO599))=CN599,DATE(CM599,CN599,CO599),""),"")))),"")</f>
        <v/>
      </c>
      <c r="CJ599">
        <f>IFERROR(IF('월 가계부'!C599="","",IF(ISNUMBER('월 가계부'!C599),'월 가계부'!C599,VALUE(SUBSTITUTE(SUBSTITUTE(SUBSTITUTE(SUBSTITUTE(TRIM('월 가계부'!C599),",",""),"원","")," ",""),"−","-")))),"")</f>
        <v/>
      </c>
      <c r="CK599">
        <f>IF(ISNUMBER(CI599),IF(CI599&lt;$B$13,CI599,""),"")</f>
        <v/>
      </c>
      <c r="CM599">
        <f>IF(CH599="","",IFERROR(IF(IF(AND(LEN(CH599)=9,ISERROR(FIND("-",LEFT(CH599,8))),ISNUMBER(-LEFT(CH599,8))),VALUE(LEFT(CH599,4)),VALUE(LEFT(CH599,FIND("-",CH599)-1)))&lt;100,IF(AND(LEN(CH599)=9,ISERROR(FIND("-",LEFT(CH599,8))),ISNUMBER(-LEFT(CH599,8))),VALUE(LEFT(CH599,4)),VALUE(LEFT(CH599,FIND("-",CH599)-1)))+2000,IF(AND(LEN(CH599)=9,ISERROR(FIND("-",LEFT(CH599,8))),ISNUMBER(-LEFT(CH599,8))),VALUE(LEFT(CH599,4)),VALUE(LEFT(CH599,FIND("-",CH599)-1)))),""))</f>
        <v/>
      </c>
      <c r="CN599">
        <f>IF(CH599="","",IFERROR(IF(AND(LEN(CH599)=9,ISERROR(FIND("-",LEFT(CH599,8))),ISNUMBER(-LEFT(CH599,8))),VALUE(MID(CH599,5,2)),VALUE(MID(CH599,FIND("-",CH599)+1,FIND("-",CH599,FIND("-",CH599)+1)-FIND("-",CH599)-1))),""))</f>
        <v/>
      </c>
      <c r="CO599">
        <f>IF(CH599="","",IFERROR(IF(AND(LEN(CH599)=9,ISERROR(FIND("-",LEFT(CH599,8))),ISNUMBER(-LEFT(CH599,8))),VALUE(MID(CH599,7,2)),VALUE(MID(CH599,FIND("-",CH599,FIND("-",CH599)+1)+1,FIND("-",CH599,FIND("-",CH599,FIND("-",CH599)+1)+1)-FIND("-",CH599,FIND("-",CH599)+1)-1))),""))</f>
        <v/>
      </c>
    </row>
    <row r="600">
      <c r="CH600">
        <f>IF(ISTEXT('월 가계부'!A600),SUBSTITUTE(SUBSTITUTE(SUBSTITUTE(SUBSTITUTE(SUBSTITUTE(SUBSTITUTE(SUBSTITUTE(SUBSTITUTE(SUBSTITUTE(TRIM('월 가계부'!A600),"년","-"),"월","-"),"일",""),".","-"),"/","-")," ","-"),"--","-"),"--","-"),"--","-")&amp;"-","")</f>
        <v/>
      </c>
      <c r="CI600">
        <f>IFERROR(IF('월 가계부'!A600="","",IF(ISNUMBER('월 가계부'!A600),IF(AND('월 가계부'!A600&gt;=19000101,'월 가계부'!A600&lt;=21001231),IF(AND(MOD(INT('월 가계부'!A600/100),100)&gt;=1,MOD(INT('월 가계부'!A600/100),100)&lt;=12,MOD(INT('월 가계부'!A600),100)&gt;=1,MOD(INT('월 가계부'!A600),100)&lt;=31),IF(MONTH(DATE(INT('월 가계부'!A600/10000),MOD(INT('월 가계부'!A600/100),100),MOD(INT('월 가계부'!A600),100)))=MOD(INT('월 가계부'!A600/100),100),DATE(INT('월 가계부'!A600/10000),MOD(INT('월 가계부'!A600/100),100),MOD(INT('월 가계부'!A600),100)),""),""),IF(AND('월 가계부'!A600&gt;=36526,'월 가계부'!A600&lt;73051),INT('월 가계부'!A600),"")),IF(OR(CM600="",CN600="",CO600=""),"",IF(AND(CM600&gt;=2000,CM600&lt;=2099,CN600&gt;=1,CN600&lt;=12,CO600&gt;=1,CO600&lt;=31),IF(MONTH(DATE(CM600,CN600,CO600))=CN600,DATE(CM600,CN600,CO600),""),"")))),"")</f>
        <v/>
      </c>
      <c r="CJ600">
        <f>IFERROR(IF('월 가계부'!C600="","",IF(ISNUMBER('월 가계부'!C600),'월 가계부'!C600,VALUE(SUBSTITUTE(SUBSTITUTE(SUBSTITUTE(SUBSTITUTE(TRIM('월 가계부'!C600),",",""),"원","")," ",""),"−","-")))),"")</f>
        <v/>
      </c>
      <c r="CK600">
        <f>IF(ISNUMBER(CI600),IF(CI600&lt;$B$13,CI600,""),"")</f>
        <v/>
      </c>
      <c r="CM600">
        <f>IF(CH600="","",IFERROR(IF(IF(AND(LEN(CH600)=9,ISERROR(FIND("-",LEFT(CH600,8))),ISNUMBER(-LEFT(CH600,8))),VALUE(LEFT(CH600,4)),VALUE(LEFT(CH600,FIND("-",CH600)-1)))&lt;100,IF(AND(LEN(CH600)=9,ISERROR(FIND("-",LEFT(CH600,8))),ISNUMBER(-LEFT(CH600,8))),VALUE(LEFT(CH600,4)),VALUE(LEFT(CH600,FIND("-",CH600)-1)))+2000,IF(AND(LEN(CH600)=9,ISERROR(FIND("-",LEFT(CH600,8))),ISNUMBER(-LEFT(CH600,8))),VALUE(LEFT(CH600,4)),VALUE(LEFT(CH600,FIND("-",CH600)-1)))),""))</f>
        <v/>
      </c>
      <c r="CN600">
        <f>IF(CH600="","",IFERROR(IF(AND(LEN(CH600)=9,ISERROR(FIND("-",LEFT(CH600,8))),ISNUMBER(-LEFT(CH600,8))),VALUE(MID(CH600,5,2)),VALUE(MID(CH600,FIND("-",CH600)+1,FIND("-",CH600,FIND("-",CH600)+1)-FIND("-",CH600)-1))),""))</f>
        <v/>
      </c>
      <c r="CO600">
        <f>IF(CH600="","",IFERROR(IF(AND(LEN(CH600)=9,ISERROR(FIND("-",LEFT(CH600,8))),ISNUMBER(-LEFT(CH600,8))),VALUE(MID(CH600,7,2)),VALUE(MID(CH600,FIND("-",CH600,FIND("-",CH600)+1)+1,FIND("-",CH600,FIND("-",CH600,FIND("-",CH600)+1)+1)-FIND("-",CH600,FIND("-",CH600)+1)-1))),""))</f>
        <v/>
      </c>
    </row>
    <row r="601">
      <c r="CH601">
        <f>IF(ISTEXT('월 가계부'!A601),SUBSTITUTE(SUBSTITUTE(SUBSTITUTE(SUBSTITUTE(SUBSTITUTE(SUBSTITUTE(SUBSTITUTE(SUBSTITUTE(SUBSTITUTE(TRIM('월 가계부'!A601),"년","-"),"월","-"),"일",""),".","-"),"/","-")," ","-"),"--","-"),"--","-"),"--","-")&amp;"-","")</f>
        <v/>
      </c>
      <c r="CI601">
        <f>IFERROR(IF('월 가계부'!A601="","",IF(ISNUMBER('월 가계부'!A601),IF(AND('월 가계부'!A601&gt;=19000101,'월 가계부'!A601&lt;=21001231),IF(AND(MOD(INT('월 가계부'!A601/100),100)&gt;=1,MOD(INT('월 가계부'!A601/100),100)&lt;=12,MOD(INT('월 가계부'!A601),100)&gt;=1,MOD(INT('월 가계부'!A601),100)&lt;=31),IF(MONTH(DATE(INT('월 가계부'!A601/10000),MOD(INT('월 가계부'!A601/100),100),MOD(INT('월 가계부'!A601),100)))=MOD(INT('월 가계부'!A601/100),100),DATE(INT('월 가계부'!A601/10000),MOD(INT('월 가계부'!A601/100),100),MOD(INT('월 가계부'!A601),100)),""),""),IF(AND('월 가계부'!A601&gt;=36526,'월 가계부'!A601&lt;73051),INT('월 가계부'!A601),"")),IF(OR(CM601="",CN601="",CO601=""),"",IF(AND(CM601&gt;=2000,CM601&lt;=2099,CN601&gt;=1,CN601&lt;=12,CO601&gt;=1,CO601&lt;=31),IF(MONTH(DATE(CM601,CN601,CO601))=CN601,DATE(CM601,CN601,CO601),""),"")))),"")</f>
        <v/>
      </c>
      <c r="CJ601">
        <f>IFERROR(IF('월 가계부'!C601="","",IF(ISNUMBER('월 가계부'!C601),'월 가계부'!C601,VALUE(SUBSTITUTE(SUBSTITUTE(SUBSTITUTE(SUBSTITUTE(TRIM('월 가계부'!C601),",",""),"원","")," ",""),"−","-")))),"")</f>
        <v/>
      </c>
      <c r="CK601">
        <f>IF(ISNUMBER(CI601),IF(CI601&lt;$B$13,CI601,""),"")</f>
        <v/>
      </c>
      <c r="CM601">
        <f>IF(CH601="","",IFERROR(IF(IF(AND(LEN(CH601)=9,ISERROR(FIND("-",LEFT(CH601,8))),ISNUMBER(-LEFT(CH601,8))),VALUE(LEFT(CH601,4)),VALUE(LEFT(CH601,FIND("-",CH601)-1)))&lt;100,IF(AND(LEN(CH601)=9,ISERROR(FIND("-",LEFT(CH601,8))),ISNUMBER(-LEFT(CH601,8))),VALUE(LEFT(CH601,4)),VALUE(LEFT(CH601,FIND("-",CH601)-1)))+2000,IF(AND(LEN(CH601)=9,ISERROR(FIND("-",LEFT(CH601,8))),ISNUMBER(-LEFT(CH601,8))),VALUE(LEFT(CH601,4)),VALUE(LEFT(CH601,FIND("-",CH601)-1)))),""))</f>
        <v/>
      </c>
      <c r="CN601">
        <f>IF(CH601="","",IFERROR(IF(AND(LEN(CH601)=9,ISERROR(FIND("-",LEFT(CH601,8))),ISNUMBER(-LEFT(CH601,8))),VALUE(MID(CH601,5,2)),VALUE(MID(CH601,FIND("-",CH601)+1,FIND("-",CH601,FIND("-",CH601)+1)-FIND("-",CH601)-1))),""))</f>
        <v/>
      </c>
      <c r="CO601">
        <f>IF(CH601="","",IFERROR(IF(AND(LEN(CH601)=9,ISERROR(FIND("-",LEFT(CH601,8))),ISNUMBER(-LEFT(CH601,8))),VALUE(MID(CH601,7,2)),VALUE(MID(CH601,FIND("-",CH601,FIND("-",CH601)+1)+1,FIND("-",CH601,FIND("-",CH601,FIND("-",CH601)+1)+1)-FIND("-",CH601,FIND("-",CH601)+1)-1))),""))</f>
        <v/>
      </c>
    </row>
    <row r="602">
      <c r="CH602">
        <f>IF(ISTEXT('월 가계부'!A602),SUBSTITUTE(SUBSTITUTE(SUBSTITUTE(SUBSTITUTE(SUBSTITUTE(SUBSTITUTE(SUBSTITUTE(SUBSTITUTE(SUBSTITUTE(TRIM('월 가계부'!A602),"년","-"),"월","-"),"일",""),".","-"),"/","-")," ","-"),"--","-"),"--","-"),"--","-")&amp;"-","")</f>
        <v/>
      </c>
      <c r="CI602">
        <f>IFERROR(IF('월 가계부'!A602="","",IF(ISNUMBER('월 가계부'!A602),IF(AND('월 가계부'!A602&gt;=19000101,'월 가계부'!A602&lt;=21001231),IF(AND(MOD(INT('월 가계부'!A602/100),100)&gt;=1,MOD(INT('월 가계부'!A602/100),100)&lt;=12,MOD(INT('월 가계부'!A602),100)&gt;=1,MOD(INT('월 가계부'!A602),100)&lt;=31),IF(MONTH(DATE(INT('월 가계부'!A602/10000),MOD(INT('월 가계부'!A602/100),100),MOD(INT('월 가계부'!A602),100)))=MOD(INT('월 가계부'!A602/100),100),DATE(INT('월 가계부'!A602/10000),MOD(INT('월 가계부'!A602/100),100),MOD(INT('월 가계부'!A602),100)),""),""),IF(AND('월 가계부'!A602&gt;=36526,'월 가계부'!A602&lt;73051),INT('월 가계부'!A602),"")),IF(OR(CM602="",CN602="",CO602=""),"",IF(AND(CM602&gt;=2000,CM602&lt;=2099,CN602&gt;=1,CN602&lt;=12,CO602&gt;=1,CO602&lt;=31),IF(MONTH(DATE(CM602,CN602,CO602))=CN602,DATE(CM602,CN602,CO602),""),"")))),"")</f>
        <v/>
      </c>
      <c r="CJ602">
        <f>IFERROR(IF('월 가계부'!C602="","",IF(ISNUMBER('월 가계부'!C602),'월 가계부'!C602,VALUE(SUBSTITUTE(SUBSTITUTE(SUBSTITUTE(SUBSTITUTE(TRIM('월 가계부'!C602),",",""),"원","")," ",""),"−","-")))),"")</f>
        <v/>
      </c>
      <c r="CK602">
        <f>IF(ISNUMBER(CI602),IF(CI602&lt;$B$13,CI602,""),"")</f>
        <v/>
      </c>
      <c r="CM602">
        <f>IF(CH602="","",IFERROR(IF(IF(AND(LEN(CH602)=9,ISERROR(FIND("-",LEFT(CH602,8))),ISNUMBER(-LEFT(CH602,8))),VALUE(LEFT(CH602,4)),VALUE(LEFT(CH602,FIND("-",CH602)-1)))&lt;100,IF(AND(LEN(CH602)=9,ISERROR(FIND("-",LEFT(CH602,8))),ISNUMBER(-LEFT(CH602,8))),VALUE(LEFT(CH602,4)),VALUE(LEFT(CH602,FIND("-",CH602)-1)))+2000,IF(AND(LEN(CH602)=9,ISERROR(FIND("-",LEFT(CH602,8))),ISNUMBER(-LEFT(CH602,8))),VALUE(LEFT(CH602,4)),VALUE(LEFT(CH602,FIND("-",CH602)-1)))),""))</f>
        <v/>
      </c>
      <c r="CN602">
        <f>IF(CH602="","",IFERROR(IF(AND(LEN(CH602)=9,ISERROR(FIND("-",LEFT(CH602,8))),ISNUMBER(-LEFT(CH602,8))),VALUE(MID(CH602,5,2)),VALUE(MID(CH602,FIND("-",CH602)+1,FIND("-",CH602,FIND("-",CH602)+1)-FIND("-",CH602)-1))),""))</f>
        <v/>
      </c>
      <c r="CO602">
        <f>IF(CH602="","",IFERROR(IF(AND(LEN(CH602)=9,ISERROR(FIND("-",LEFT(CH602,8))),ISNUMBER(-LEFT(CH602,8))),VALUE(MID(CH602,7,2)),VALUE(MID(CH602,FIND("-",CH602,FIND("-",CH602)+1)+1,FIND("-",CH602,FIND("-",CH602,FIND("-",CH602)+1)+1)-FIND("-",CH602,FIND("-",CH602)+1)-1))),""))</f>
        <v/>
      </c>
    </row>
    <row r="603">
      <c r="CH603">
        <f>IF(ISTEXT('월 가계부'!A603),SUBSTITUTE(SUBSTITUTE(SUBSTITUTE(SUBSTITUTE(SUBSTITUTE(SUBSTITUTE(SUBSTITUTE(SUBSTITUTE(SUBSTITUTE(TRIM('월 가계부'!A603),"년","-"),"월","-"),"일",""),".","-"),"/","-")," ","-"),"--","-"),"--","-"),"--","-")&amp;"-","")</f>
        <v/>
      </c>
      <c r="CI603">
        <f>IFERROR(IF('월 가계부'!A603="","",IF(ISNUMBER('월 가계부'!A603),IF(AND('월 가계부'!A603&gt;=19000101,'월 가계부'!A603&lt;=21001231),IF(AND(MOD(INT('월 가계부'!A603/100),100)&gt;=1,MOD(INT('월 가계부'!A603/100),100)&lt;=12,MOD(INT('월 가계부'!A603),100)&gt;=1,MOD(INT('월 가계부'!A603),100)&lt;=31),IF(MONTH(DATE(INT('월 가계부'!A603/10000),MOD(INT('월 가계부'!A603/100),100),MOD(INT('월 가계부'!A603),100)))=MOD(INT('월 가계부'!A603/100),100),DATE(INT('월 가계부'!A603/10000),MOD(INT('월 가계부'!A603/100),100),MOD(INT('월 가계부'!A603),100)),""),""),IF(AND('월 가계부'!A603&gt;=36526,'월 가계부'!A603&lt;73051),INT('월 가계부'!A603),"")),IF(OR(CM603="",CN603="",CO603=""),"",IF(AND(CM603&gt;=2000,CM603&lt;=2099,CN603&gt;=1,CN603&lt;=12,CO603&gt;=1,CO603&lt;=31),IF(MONTH(DATE(CM603,CN603,CO603))=CN603,DATE(CM603,CN603,CO603),""),"")))),"")</f>
        <v/>
      </c>
      <c r="CJ603">
        <f>IFERROR(IF('월 가계부'!C603="","",IF(ISNUMBER('월 가계부'!C603),'월 가계부'!C603,VALUE(SUBSTITUTE(SUBSTITUTE(SUBSTITUTE(SUBSTITUTE(TRIM('월 가계부'!C603),",",""),"원","")," ",""),"−","-")))),"")</f>
        <v/>
      </c>
      <c r="CK603">
        <f>IF(ISNUMBER(CI603),IF(CI603&lt;$B$13,CI603,""),"")</f>
        <v/>
      </c>
      <c r="CM603">
        <f>IF(CH603="","",IFERROR(IF(IF(AND(LEN(CH603)=9,ISERROR(FIND("-",LEFT(CH603,8))),ISNUMBER(-LEFT(CH603,8))),VALUE(LEFT(CH603,4)),VALUE(LEFT(CH603,FIND("-",CH603)-1)))&lt;100,IF(AND(LEN(CH603)=9,ISERROR(FIND("-",LEFT(CH603,8))),ISNUMBER(-LEFT(CH603,8))),VALUE(LEFT(CH603,4)),VALUE(LEFT(CH603,FIND("-",CH603)-1)))+2000,IF(AND(LEN(CH603)=9,ISERROR(FIND("-",LEFT(CH603,8))),ISNUMBER(-LEFT(CH603,8))),VALUE(LEFT(CH603,4)),VALUE(LEFT(CH603,FIND("-",CH603)-1)))),""))</f>
        <v/>
      </c>
      <c r="CN603">
        <f>IF(CH603="","",IFERROR(IF(AND(LEN(CH603)=9,ISERROR(FIND("-",LEFT(CH603,8))),ISNUMBER(-LEFT(CH603,8))),VALUE(MID(CH603,5,2)),VALUE(MID(CH603,FIND("-",CH603)+1,FIND("-",CH603,FIND("-",CH603)+1)-FIND("-",CH603)-1))),""))</f>
        <v/>
      </c>
      <c r="CO603">
        <f>IF(CH603="","",IFERROR(IF(AND(LEN(CH603)=9,ISERROR(FIND("-",LEFT(CH603,8))),ISNUMBER(-LEFT(CH603,8))),VALUE(MID(CH603,7,2)),VALUE(MID(CH603,FIND("-",CH603,FIND("-",CH603)+1)+1,FIND("-",CH603,FIND("-",CH603,FIND("-",CH603)+1)+1)-FIND("-",CH603,FIND("-",CH603)+1)-1))),""))</f>
        <v/>
      </c>
    </row>
    <row r="604">
      <c r="CH604">
        <f>IF(ISTEXT('월 가계부'!A604),SUBSTITUTE(SUBSTITUTE(SUBSTITUTE(SUBSTITUTE(SUBSTITUTE(SUBSTITUTE(SUBSTITUTE(SUBSTITUTE(SUBSTITUTE(TRIM('월 가계부'!A604),"년","-"),"월","-"),"일",""),".","-"),"/","-")," ","-"),"--","-"),"--","-"),"--","-")&amp;"-","")</f>
        <v/>
      </c>
      <c r="CI604">
        <f>IFERROR(IF('월 가계부'!A604="","",IF(ISNUMBER('월 가계부'!A604),IF(AND('월 가계부'!A604&gt;=19000101,'월 가계부'!A604&lt;=21001231),IF(AND(MOD(INT('월 가계부'!A604/100),100)&gt;=1,MOD(INT('월 가계부'!A604/100),100)&lt;=12,MOD(INT('월 가계부'!A604),100)&gt;=1,MOD(INT('월 가계부'!A604),100)&lt;=31),IF(MONTH(DATE(INT('월 가계부'!A604/10000),MOD(INT('월 가계부'!A604/100),100),MOD(INT('월 가계부'!A604),100)))=MOD(INT('월 가계부'!A604/100),100),DATE(INT('월 가계부'!A604/10000),MOD(INT('월 가계부'!A604/100),100),MOD(INT('월 가계부'!A604),100)),""),""),IF(AND('월 가계부'!A604&gt;=36526,'월 가계부'!A604&lt;73051),INT('월 가계부'!A604),"")),IF(OR(CM604="",CN604="",CO604=""),"",IF(AND(CM604&gt;=2000,CM604&lt;=2099,CN604&gt;=1,CN604&lt;=12,CO604&gt;=1,CO604&lt;=31),IF(MONTH(DATE(CM604,CN604,CO604))=CN604,DATE(CM604,CN604,CO604),""),"")))),"")</f>
        <v/>
      </c>
      <c r="CJ604">
        <f>IFERROR(IF('월 가계부'!C604="","",IF(ISNUMBER('월 가계부'!C604),'월 가계부'!C604,VALUE(SUBSTITUTE(SUBSTITUTE(SUBSTITUTE(SUBSTITUTE(TRIM('월 가계부'!C604),",",""),"원","")," ",""),"−","-")))),"")</f>
        <v/>
      </c>
      <c r="CK604">
        <f>IF(ISNUMBER(CI604),IF(CI604&lt;$B$13,CI604,""),"")</f>
        <v/>
      </c>
      <c r="CM604">
        <f>IF(CH604="","",IFERROR(IF(IF(AND(LEN(CH604)=9,ISERROR(FIND("-",LEFT(CH604,8))),ISNUMBER(-LEFT(CH604,8))),VALUE(LEFT(CH604,4)),VALUE(LEFT(CH604,FIND("-",CH604)-1)))&lt;100,IF(AND(LEN(CH604)=9,ISERROR(FIND("-",LEFT(CH604,8))),ISNUMBER(-LEFT(CH604,8))),VALUE(LEFT(CH604,4)),VALUE(LEFT(CH604,FIND("-",CH604)-1)))+2000,IF(AND(LEN(CH604)=9,ISERROR(FIND("-",LEFT(CH604,8))),ISNUMBER(-LEFT(CH604,8))),VALUE(LEFT(CH604,4)),VALUE(LEFT(CH604,FIND("-",CH604)-1)))),""))</f>
        <v/>
      </c>
      <c r="CN604">
        <f>IF(CH604="","",IFERROR(IF(AND(LEN(CH604)=9,ISERROR(FIND("-",LEFT(CH604,8))),ISNUMBER(-LEFT(CH604,8))),VALUE(MID(CH604,5,2)),VALUE(MID(CH604,FIND("-",CH604)+1,FIND("-",CH604,FIND("-",CH604)+1)-FIND("-",CH604)-1))),""))</f>
        <v/>
      </c>
      <c r="CO604">
        <f>IF(CH604="","",IFERROR(IF(AND(LEN(CH604)=9,ISERROR(FIND("-",LEFT(CH604,8))),ISNUMBER(-LEFT(CH604,8))),VALUE(MID(CH604,7,2)),VALUE(MID(CH604,FIND("-",CH604,FIND("-",CH604)+1)+1,FIND("-",CH604,FIND("-",CH604,FIND("-",CH604)+1)+1)-FIND("-",CH604,FIND("-",CH604)+1)-1))),""))</f>
        <v/>
      </c>
    </row>
    <row r="605">
      <c r="CH605">
        <f>IF(ISTEXT('월 가계부'!A605),SUBSTITUTE(SUBSTITUTE(SUBSTITUTE(SUBSTITUTE(SUBSTITUTE(SUBSTITUTE(SUBSTITUTE(SUBSTITUTE(SUBSTITUTE(TRIM('월 가계부'!A605),"년","-"),"월","-"),"일",""),".","-"),"/","-")," ","-"),"--","-"),"--","-"),"--","-")&amp;"-","")</f>
        <v/>
      </c>
      <c r="CI605">
        <f>IFERROR(IF('월 가계부'!A605="","",IF(ISNUMBER('월 가계부'!A605),IF(AND('월 가계부'!A605&gt;=19000101,'월 가계부'!A605&lt;=21001231),IF(AND(MOD(INT('월 가계부'!A605/100),100)&gt;=1,MOD(INT('월 가계부'!A605/100),100)&lt;=12,MOD(INT('월 가계부'!A605),100)&gt;=1,MOD(INT('월 가계부'!A605),100)&lt;=31),IF(MONTH(DATE(INT('월 가계부'!A605/10000),MOD(INT('월 가계부'!A605/100),100),MOD(INT('월 가계부'!A605),100)))=MOD(INT('월 가계부'!A605/100),100),DATE(INT('월 가계부'!A605/10000),MOD(INT('월 가계부'!A605/100),100),MOD(INT('월 가계부'!A605),100)),""),""),IF(AND('월 가계부'!A605&gt;=36526,'월 가계부'!A605&lt;73051),INT('월 가계부'!A605),"")),IF(OR(CM605="",CN605="",CO605=""),"",IF(AND(CM605&gt;=2000,CM605&lt;=2099,CN605&gt;=1,CN605&lt;=12,CO605&gt;=1,CO605&lt;=31),IF(MONTH(DATE(CM605,CN605,CO605))=CN605,DATE(CM605,CN605,CO605),""),"")))),"")</f>
        <v/>
      </c>
      <c r="CJ605">
        <f>IFERROR(IF('월 가계부'!C605="","",IF(ISNUMBER('월 가계부'!C605),'월 가계부'!C605,VALUE(SUBSTITUTE(SUBSTITUTE(SUBSTITUTE(SUBSTITUTE(TRIM('월 가계부'!C605),",",""),"원","")," ",""),"−","-")))),"")</f>
        <v/>
      </c>
      <c r="CK605">
        <f>IF(ISNUMBER(CI605),IF(CI605&lt;$B$13,CI605,""),"")</f>
        <v/>
      </c>
      <c r="CM605">
        <f>IF(CH605="","",IFERROR(IF(IF(AND(LEN(CH605)=9,ISERROR(FIND("-",LEFT(CH605,8))),ISNUMBER(-LEFT(CH605,8))),VALUE(LEFT(CH605,4)),VALUE(LEFT(CH605,FIND("-",CH605)-1)))&lt;100,IF(AND(LEN(CH605)=9,ISERROR(FIND("-",LEFT(CH605,8))),ISNUMBER(-LEFT(CH605,8))),VALUE(LEFT(CH605,4)),VALUE(LEFT(CH605,FIND("-",CH605)-1)))+2000,IF(AND(LEN(CH605)=9,ISERROR(FIND("-",LEFT(CH605,8))),ISNUMBER(-LEFT(CH605,8))),VALUE(LEFT(CH605,4)),VALUE(LEFT(CH605,FIND("-",CH605)-1)))),""))</f>
        <v/>
      </c>
      <c r="CN605">
        <f>IF(CH605="","",IFERROR(IF(AND(LEN(CH605)=9,ISERROR(FIND("-",LEFT(CH605,8))),ISNUMBER(-LEFT(CH605,8))),VALUE(MID(CH605,5,2)),VALUE(MID(CH605,FIND("-",CH605)+1,FIND("-",CH605,FIND("-",CH605)+1)-FIND("-",CH605)-1))),""))</f>
        <v/>
      </c>
      <c r="CO605">
        <f>IF(CH605="","",IFERROR(IF(AND(LEN(CH605)=9,ISERROR(FIND("-",LEFT(CH605,8))),ISNUMBER(-LEFT(CH605,8))),VALUE(MID(CH605,7,2)),VALUE(MID(CH605,FIND("-",CH605,FIND("-",CH605)+1)+1,FIND("-",CH605,FIND("-",CH605,FIND("-",CH605)+1)+1)-FIND("-",CH605,FIND("-",CH605)+1)-1))),""))</f>
        <v/>
      </c>
    </row>
    <row r="606">
      <c r="CH606">
        <f>IF(ISTEXT('월 가계부'!A606),SUBSTITUTE(SUBSTITUTE(SUBSTITUTE(SUBSTITUTE(SUBSTITUTE(SUBSTITUTE(SUBSTITUTE(SUBSTITUTE(SUBSTITUTE(TRIM('월 가계부'!A606),"년","-"),"월","-"),"일",""),".","-"),"/","-")," ","-"),"--","-"),"--","-"),"--","-")&amp;"-","")</f>
        <v/>
      </c>
      <c r="CI606">
        <f>IFERROR(IF('월 가계부'!A606="","",IF(ISNUMBER('월 가계부'!A606),IF(AND('월 가계부'!A606&gt;=19000101,'월 가계부'!A606&lt;=21001231),IF(AND(MOD(INT('월 가계부'!A606/100),100)&gt;=1,MOD(INT('월 가계부'!A606/100),100)&lt;=12,MOD(INT('월 가계부'!A606),100)&gt;=1,MOD(INT('월 가계부'!A606),100)&lt;=31),IF(MONTH(DATE(INT('월 가계부'!A606/10000),MOD(INT('월 가계부'!A606/100),100),MOD(INT('월 가계부'!A606),100)))=MOD(INT('월 가계부'!A606/100),100),DATE(INT('월 가계부'!A606/10000),MOD(INT('월 가계부'!A606/100),100),MOD(INT('월 가계부'!A606),100)),""),""),IF(AND('월 가계부'!A606&gt;=36526,'월 가계부'!A606&lt;73051),INT('월 가계부'!A606),"")),IF(OR(CM606="",CN606="",CO606=""),"",IF(AND(CM606&gt;=2000,CM606&lt;=2099,CN606&gt;=1,CN606&lt;=12,CO606&gt;=1,CO606&lt;=31),IF(MONTH(DATE(CM606,CN606,CO606))=CN606,DATE(CM606,CN606,CO606),""),"")))),"")</f>
        <v/>
      </c>
      <c r="CJ606">
        <f>IFERROR(IF('월 가계부'!C606="","",IF(ISNUMBER('월 가계부'!C606),'월 가계부'!C606,VALUE(SUBSTITUTE(SUBSTITUTE(SUBSTITUTE(SUBSTITUTE(TRIM('월 가계부'!C606),",",""),"원","")," ",""),"−","-")))),"")</f>
        <v/>
      </c>
      <c r="CK606">
        <f>IF(ISNUMBER(CI606),IF(CI606&lt;$B$13,CI606,""),"")</f>
        <v/>
      </c>
      <c r="CM606">
        <f>IF(CH606="","",IFERROR(IF(IF(AND(LEN(CH606)=9,ISERROR(FIND("-",LEFT(CH606,8))),ISNUMBER(-LEFT(CH606,8))),VALUE(LEFT(CH606,4)),VALUE(LEFT(CH606,FIND("-",CH606)-1)))&lt;100,IF(AND(LEN(CH606)=9,ISERROR(FIND("-",LEFT(CH606,8))),ISNUMBER(-LEFT(CH606,8))),VALUE(LEFT(CH606,4)),VALUE(LEFT(CH606,FIND("-",CH606)-1)))+2000,IF(AND(LEN(CH606)=9,ISERROR(FIND("-",LEFT(CH606,8))),ISNUMBER(-LEFT(CH606,8))),VALUE(LEFT(CH606,4)),VALUE(LEFT(CH606,FIND("-",CH606)-1)))),""))</f>
        <v/>
      </c>
      <c r="CN606">
        <f>IF(CH606="","",IFERROR(IF(AND(LEN(CH606)=9,ISERROR(FIND("-",LEFT(CH606,8))),ISNUMBER(-LEFT(CH606,8))),VALUE(MID(CH606,5,2)),VALUE(MID(CH606,FIND("-",CH606)+1,FIND("-",CH606,FIND("-",CH606)+1)-FIND("-",CH606)-1))),""))</f>
        <v/>
      </c>
      <c r="CO606">
        <f>IF(CH606="","",IFERROR(IF(AND(LEN(CH606)=9,ISERROR(FIND("-",LEFT(CH606,8))),ISNUMBER(-LEFT(CH606,8))),VALUE(MID(CH606,7,2)),VALUE(MID(CH606,FIND("-",CH606,FIND("-",CH606)+1)+1,FIND("-",CH606,FIND("-",CH606,FIND("-",CH606)+1)+1)-FIND("-",CH606,FIND("-",CH606)+1)-1))),""))</f>
        <v/>
      </c>
    </row>
    <row r="607">
      <c r="CH607">
        <f>IF(ISTEXT('월 가계부'!A607),SUBSTITUTE(SUBSTITUTE(SUBSTITUTE(SUBSTITUTE(SUBSTITUTE(SUBSTITUTE(SUBSTITUTE(SUBSTITUTE(SUBSTITUTE(TRIM('월 가계부'!A607),"년","-"),"월","-"),"일",""),".","-"),"/","-")," ","-"),"--","-"),"--","-"),"--","-")&amp;"-","")</f>
        <v/>
      </c>
      <c r="CI607">
        <f>IFERROR(IF('월 가계부'!A607="","",IF(ISNUMBER('월 가계부'!A607),IF(AND('월 가계부'!A607&gt;=19000101,'월 가계부'!A607&lt;=21001231),IF(AND(MOD(INT('월 가계부'!A607/100),100)&gt;=1,MOD(INT('월 가계부'!A607/100),100)&lt;=12,MOD(INT('월 가계부'!A607),100)&gt;=1,MOD(INT('월 가계부'!A607),100)&lt;=31),IF(MONTH(DATE(INT('월 가계부'!A607/10000),MOD(INT('월 가계부'!A607/100),100),MOD(INT('월 가계부'!A607),100)))=MOD(INT('월 가계부'!A607/100),100),DATE(INT('월 가계부'!A607/10000),MOD(INT('월 가계부'!A607/100),100),MOD(INT('월 가계부'!A607),100)),""),""),IF(AND('월 가계부'!A607&gt;=36526,'월 가계부'!A607&lt;73051),INT('월 가계부'!A607),"")),IF(OR(CM607="",CN607="",CO607=""),"",IF(AND(CM607&gt;=2000,CM607&lt;=2099,CN607&gt;=1,CN607&lt;=12,CO607&gt;=1,CO607&lt;=31),IF(MONTH(DATE(CM607,CN607,CO607))=CN607,DATE(CM607,CN607,CO607),""),"")))),"")</f>
        <v/>
      </c>
      <c r="CJ607">
        <f>IFERROR(IF('월 가계부'!C607="","",IF(ISNUMBER('월 가계부'!C607),'월 가계부'!C607,VALUE(SUBSTITUTE(SUBSTITUTE(SUBSTITUTE(SUBSTITUTE(TRIM('월 가계부'!C607),",",""),"원","")," ",""),"−","-")))),"")</f>
        <v/>
      </c>
      <c r="CK607">
        <f>IF(ISNUMBER(CI607),IF(CI607&lt;$B$13,CI607,""),"")</f>
        <v/>
      </c>
      <c r="CM607">
        <f>IF(CH607="","",IFERROR(IF(IF(AND(LEN(CH607)=9,ISERROR(FIND("-",LEFT(CH607,8))),ISNUMBER(-LEFT(CH607,8))),VALUE(LEFT(CH607,4)),VALUE(LEFT(CH607,FIND("-",CH607)-1)))&lt;100,IF(AND(LEN(CH607)=9,ISERROR(FIND("-",LEFT(CH607,8))),ISNUMBER(-LEFT(CH607,8))),VALUE(LEFT(CH607,4)),VALUE(LEFT(CH607,FIND("-",CH607)-1)))+2000,IF(AND(LEN(CH607)=9,ISERROR(FIND("-",LEFT(CH607,8))),ISNUMBER(-LEFT(CH607,8))),VALUE(LEFT(CH607,4)),VALUE(LEFT(CH607,FIND("-",CH607)-1)))),""))</f>
        <v/>
      </c>
      <c r="CN607">
        <f>IF(CH607="","",IFERROR(IF(AND(LEN(CH607)=9,ISERROR(FIND("-",LEFT(CH607,8))),ISNUMBER(-LEFT(CH607,8))),VALUE(MID(CH607,5,2)),VALUE(MID(CH607,FIND("-",CH607)+1,FIND("-",CH607,FIND("-",CH607)+1)-FIND("-",CH607)-1))),""))</f>
        <v/>
      </c>
      <c r="CO607">
        <f>IF(CH607="","",IFERROR(IF(AND(LEN(CH607)=9,ISERROR(FIND("-",LEFT(CH607,8))),ISNUMBER(-LEFT(CH607,8))),VALUE(MID(CH607,7,2)),VALUE(MID(CH607,FIND("-",CH607,FIND("-",CH607)+1)+1,FIND("-",CH607,FIND("-",CH607,FIND("-",CH607)+1)+1)-FIND("-",CH607,FIND("-",CH607)+1)-1))),""))</f>
        <v/>
      </c>
    </row>
    <row r="608">
      <c r="CH608">
        <f>IF(ISTEXT('월 가계부'!A608),SUBSTITUTE(SUBSTITUTE(SUBSTITUTE(SUBSTITUTE(SUBSTITUTE(SUBSTITUTE(SUBSTITUTE(SUBSTITUTE(SUBSTITUTE(TRIM('월 가계부'!A608),"년","-"),"월","-"),"일",""),".","-"),"/","-")," ","-"),"--","-"),"--","-"),"--","-")&amp;"-","")</f>
        <v/>
      </c>
      <c r="CI608">
        <f>IFERROR(IF('월 가계부'!A608="","",IF(ISNUMBER('월 가계부'!A608),IF(AND('월 가계부'!A608&gt;=19000101,'월 가계부'!A608&lt;=21001231),IF(AND(MOD(INT('월 가계부'!A608/100),100)&gt;=1,MOD(INT('월 가계부'!A608/100),100)&lt;=12,MOD(INT('월 가계부'!A608),100)&gt;=1,MOD(INT('월 가계부'!A608),100)&lt;=31),IF(MONTH(DATE(INT('월 가계부'!A608/10000),MOD(INT('월 가계부'!A608/100),100),MOD(INT('월 가계부'!A608),100)))=MOD(INT('월 가계부'!A608/100),100),DATE(INT('월 가계부'!A608/10000),MOD(INT('월 가계부'!A608/100),100),MOD(INT('월 가계부'!A608),100)),""),""),IF(AND('월 가계부'!A608&gt;=36526,'월 가계부'!A608&lt;73051),INT('월 가계부'!A608),"")),IF(OR(CM608="",CN608="",CO608=""),"",IF(AND(CM608&gt;=2000,CM608&lt;=2099,CN608&gt;=1,CN608&lt;=12,CO608&gt;=1,CO608&lt;=31),IF(MONTH(DATE(CM608,CN608,CO608))=CN608,DATE(CM608,CN608,CO608),""),"")))),"")</f>
        <v/>
      </c>
      <c r="CJ608">
        <f>IFERROR(IF('월 가계부'!C608="","",IF(ISNUMBER('월 가계부'!C608),'월 가계부'!C608,VALUE(SUBSTITUTE(SUBSTITUTE(SUBSTITUTE(SUBSTITUTE(TRIM('월 가계부'!C608),",",""),"원","")," ",""),"−","-")))),"")</f>
        <v/>
      </c>
      <c r="CK608">
        <f>IF(ISNUMBER(CI608),IF(CI608&lt;$B$13,CI608,""),"")</f>
        <v/>
      </c>
      <c r="CM608">
        <f>IF(CH608="","",IFERROR(IF(IF(AND(LEN(CH608)=9,ISERROR(FIND("-",LEFT(CH608,8))),ISNUMBER(-LEFT(CH608,8))),VALUE(LEFT(CH608,4)),VALUE(LEFT(CH608,FIND("-",CH608)-1)))&lt;100,IF(AND(LEN(CH608)=9,ISERROR(FIND("-",LEFT(CH608,8))),ISNUMBER(-LEFT(CH608,8))),VALUE(LEFT(CH608,4)),VALUE(LEFT(CH608,FIND("-",CH608)-1)))+2000,IF(AND(LEN(CH608)=9,ISERROR(FIND("-",LEFT(CH608,8))),ISNUMBER(-LEFT(CH608,8))),VALUE(LEFT(CH608,4)),VALUE(LEFT(CH608,FIND("-",CH608)-1)))),""))</f>
        <v/>
      </c>
      <c r="CN608">
        <f>IF(CH608="","",IFERROR(IF(AND(LEN(CH608)=9,ISERROR(FIND("-",LEFT(CH608,8))),ISNUMBER(-LEFT(CH608,8))),VALUE(MID(CH608,5,2)),VALUE(MID(CH608,FIND("-",CH608)+1,FIND("-",CH608,FIND("-",CH608)+1)-FIND("-",CH608)-1))),""))</f>
        <v/>
      </c>
      <c r="CO608">
        <f>IF(CH608="","",IFERROR(IF(AND(LEN(CH608)=9,ISERROR(FIND("-",LEFT(CH608,8))),ISNUMBER(-LEFT(CH608,8))),VALUE(MID(CH608,7,2)),VALUE(MID(CH608,FIND("-",CH608,FIND("-",CH608)+1)+1,FIND("-",CH608,FIND("-",CH608,FIND("-",CH608)+1)+1)-FIND("-",CH608,FIND("-",CH608)+1)-1))),""))</f>
        <v/>
      </c>
    </row>
    <row r="609">
      <c r="CH609">
        <f>IF(ISTEXT('월 가계부'!A609),SUBSTITUTE(SUBSTITUTE(SUBSTITUTE(SUBSTITUTE(SUBSTITUTE(SUBSTITUTE(SUBSTITUTE(SUBSTITUTE(SUBSTITUTE(TRIM('월 가계부'!A609),"년","-"),"월","-"),"일",""),".","-"),"/","-")," ","-"),"--","-"),"--","-"),"--","-")&amp;"-","")</f>
        <v/>
      </c>
      <c r="CI609">
        <f>IFERROR(IF('월 가계부'!A609="","",IF(ISNUMBER('월 가계부'!A609),IF(AND('월 가계부'!A609&gt;=19000101,'월 가계부'!A609&lt;=21001231),IF(AND(MOD(INT('월 가계부'!A609/100),100)&gt;=1,MOD(INT('월 가계부'!A609/100),100)&lt;=12,MOD(INT('월 가계부'!A609),100)&gt;=1,MOD(INT('월 가계부'!A609),100)&lt;=31),IF(MONTH(DATE(INT('월 가계부'!A609/10000),MOD(INT('월 가계부'!A609/100),100),MOD(INT('월 가계부'!A609),100)))=MOD(INT('월 가계부'!A609/100),100),DATE(INT('월 가계부'!A609/10000),MOD(INT('월 가계부'!A609/100),100),MOD(INT('월 가계부'!A609),100)),""),""),IF(AND('월 가계부'!A609&gt;=36526,'월 가계부'!A609&lt;73051),INT('월 가계부'!A609),"")),IF(OR(CM609="",CN609="",CO609=""),"",IF(AND(CM609&gt;=2000,CM609&lt;=2099,CN609&gt;=1,CN609&lt;=12,CO609&gt;=1,CO609&lt;=31),IF(MONTH(DATE(CM609,CN609,CO609))=CN609,DATE(CM609,CN609,CO609),""),"")))),"")</f>
        <v/>
      </c>
      <c r="CJ609">
        <f>IFERROR(IF('월 가계부'!C609="","",IF(ISNUMBER('월 가계부'!C609),'월 가계부'!C609,VALUE(SUBSTITUTE(SUBSTITUTE(SUBSTITUTE(SUBSTITUTE(TRIM('월 가계부'!C609),",",""),"원","")," ",""),"−","-")))),"")</f>
        <v/>
      </c>
      <c r="CK609">
        <f>IF(ISNUMBER(CI609),IF(CI609&lt;$B$13,CI609,""),"")</f>
        <v/>
      </c>
      <c r="CM609">
        <f>IF(CH609="","",IFERROR(IF(IF(AND(LEN(CH609)=9,ISERROR(FIND("-",LEFT(CH609,8))),ISNUMBER(-LEFT(CH609,8))),VALUE(LEFT(CH609,4)),VALUE(LEFT(CH609,FIND("-",CH609)-1)))&lt;100,IF(AND(LEN(CH609)=9,ISERROR(FIND("-",LEFT(CH609,8))),ISNUMBER(-LEFT(CH609,8))),VALUE(LEFT(CH609,4)),VALUE(LEFT(CH609,FIND("-",CH609)-1)))+2000,IF(AND(LEN(CH609)=9,ISERROR(FIND("-",LEFT(CH609,8))),ISNUMBER(-LEFT(CH609,8))),VALUE(LEFT(CH609,4)),VALUE(LEFT(CH609,FIND("-",CH609)-1)))),""))</f>
        <v/>
      </c>
      <c r="CN609">
        <f>IF(CH609="","",IFERROR(IF(AND(LEN(CH609)=9,ISERROR(FIND("-",LEFT(CH609,8))),ISNUMBER(-LEFT(CH609,8))),VALUE(MID(CH609,5,2)),VALUE(MID(CH609,FIND("-",CH609)+1,FIND("-",CH609,FIND("-",CH609)+1)-FIND("-",CH609)-1))),""))</f>
        <v/>
      </c>
      <c r="CO609">
        <f>IF(CH609="","",IFERROR(IF(AND(LEN(CH609)=9,ISERROR(FIND("-",LEFT(CH609,8))),ISNUMBER(-LEFT(CH609,8))),VALUE(MID(CH609,7,2)),VALUE(MID(CH609,FIND("-",CH609,FIND("-",CH609)+1)+1,FIND("-",CH609,FIND("-",CH609,FIND("-",CH609)+1)+1)-FIND("-",CH609,FIND("-",CH609)+1)-1))),""))</f>
        <v/>
      </c>
    </row>
    <row r="610">
      <c r="CH610">
        <f>IF(ISTEXT('월 가계부'!A610),SUBSTITUTE(SUBSTITUTE(SUBSTITUTE(SUBSTITUTE(SUBSTITUTE(SUBSTITUTE(SUBSTITUTE(SUBSTITUTE(SUBSTITUTE(TRIM('월 가계부'!A610),"년","-"),"월","-"),"일",""),".","-"),"/","-")," ","-"),"--","-"),"--","-"),"--","-")&amp;"-","")</f>
        <v/>
      </c>
      <c r="CI610">
        <f>IFERROR(IF('월 가계부'!A610="","",IF(ISNUMBER('월 가계부'!A610),IF(AND('월 가계부'!A610&gt;=19000101,'월 가계부'!A610&lt;=21001231),IF(AND(MOD(INT('월 가계부'!A610/100),100)&gt;=1,MOD(INT('월 가계부'!A610/100),100)&lt;=12,MOD(INT('월 가계부'!A610),100)&gt;=1,MOD(INT('월 가계부'!A610),100)&lt;=31),IF(MONTH(DATE(INT('월 가계부'!A610/10000),MOD(INT('월 가계부'!A610/100),100),MOD(INT('월 가계부'!A610),100)))=MOD(INT('월 가계부'!A610/100),100),DATE(INT('월 가계부'!A610/10000),MOD(INT('월 가계부'!A610/100),100),MOD(INT('월 가계부'!A610),100)),""),""),IF(AND('월 가계부'!A610&gt;=36526,'월 가계부'!A610&lt;73051),INT('월 가계부'!A610),"")),IF(OR(CM610="",CN610="",CO610=""),"",IF(AND(CM610&gt;=2000,CM610&lt;=2099,CN610&gt;=1,CN610&lt;=12,CO610&gt;=1,CO610&lt;=31),IF(MONTH(DATE(CM610,CN610,CO610))=CN610,DATE(CM610,CN610,CO610),""),"")))),"")</f>
        <v/>
      </c>
      <c r="CJ610">
        <f>IFERROR(IF('월 가계부'!C610="","",IF(ISNUMBER('월 가계부'!C610),'월 가계부'!C610,VALUE(SUBSTITUTE(SUBSTITUTE(SUBSTITUTE(SUBSTITUTE(TRIM('월 가계부'!C610),",",""),"원","")," ",""),"−","-")))),"")</f>
        <v/>
      </c>
      <c r="CK610">
        <f>IF(ISNUMBER(CI610),IF(CI610&lt;$B$13,CI610,""),"")</f>
        <v/>
      </c>
      <c r="CM610">
        <f>IF(CH610="","",IFERROR(IF(IF(AND(LEN(CH610)=9,ISERROR(FIND("-",LEFT(CH610,8))),ISNUMBER(-LEFT(CH610,8))),VALUE(LEFT(CH610,4)),VALUE(LEFT(CH610,FIND("-",CH610)-1)))&lt;100,IF(AND(LEN(CH610)=9,ISERROR(FIND("-",LEFT(CH610,8))),ISNUMBER(-LEFT(CH610,8))),VALUE(LEFT(CH610,4)),VALUE(LEFT(CH610,FIND("-",CH610)-1)))+2000,IF(AND(LEN(CH610)=9,ISERROR(FIND("-",LEFT(CH610,8))),ISNUMBER(-LEFT(CH610,8))),VALUE(LEFT(CH610,4)),VALUE(LEFT(CH610,FIND("-",CH610)-1)))),""))</f>
        <v/>
      </c>
      <c r="CN610">
        <f>IF(CH610="","",IFERROR(IF(AND(LEN(CH610)=9,ISERROR(FIND("-",LEFT(CH610,8))),ISNUMBER(-LEFT(CH610,8))),VALUE(MID(CH610,5,2)),VALUE(MID(CH610,FIND("-",CH610)+1,FIND("-",CH610,FIND("-",CH610)+1)-FIND("-",CH610)-1))),""))</f>
        <v/>
      </c>
      <c r="CO610">
        <f>IF(CH610="","",IFERROR(IF(AND(LEN(CH610)=9,ISERROR(FIND("-",LEFT(CH610,8))),ISNUMBER(-LEFT(CH610,8))),VALUE(MID(CH610,7,2)),VALUE(MID(CH610,FIND("-",CH610,FIND("-",CH610)+1)+1,FIND("-",CH610,FIND("-",CH610,FIND("-",CH610)+1)+1)-FIND("-",CH610,FIND("-",CH610)+1)-1))),""))</f>
        <v/>
      </c>
    </row>
    <row r="611">
      <c r="CH611">
        <f>IF(ISTEXT('월 가계부'!A611),SUBSTITUTE(SUBSTITUTE(SUBSTITUTE(SUBSTITUTE(SUBSTITUTE(SUBSTITUTE(SUBSTITUTE(SUBSTITUTE(SUBSTITUTE(TRIM('월 가계부'!A611),"년","-"),"월","-"),"일",""),".","-"),"/","-")," ","-"),"--","-"),"--","-"),"--","-")&amp;"-","")</f>
        <v/>
      </c>
      <c r="CI611">
        <f>IFERROR(IF('월 가계부'!A611="","",IF(ISNUMBER('월 가계부'!A611),IF(AND('월 가계부'!A611&gt;=19000101,'월 가계부'!A611&lt;=21001231),IF(AND(MOD(INT('월 가계부'!A611/100),100)&gt;=1,MOD(INT('월 가계부'!A611/100),100)&lt;=12,MOD(INT('월 가계부'!A611),100)&gt;=1,MOD(INT('월 가계부'!A611),100)&lt;=31),IF(MONTH(DATE(INT('월 가계부'!A611/10000),MOD(INT('월 가계부'!A611/100),100),MOD(INT('월 가계부'!A611),100)))=MOD(INT('월 가계부'!A611/100),100),DATE(INT('월 가계부'!A611/10000),MOD(INT('월 가계부'!A611/100),100),MOD(INT('월 가계부'!A611),100)),""),""),IF(AND('월 가계부'!A611&gt;=36526,'월 가계부'!A611&lt;73051),INT('월 가계부'!A611),"")),IF(OR(CM611="",CN611="",CO611=""),"",IF(AND(CM611&gt;=2000,CM611&lt;=2099,CN611&gt;=1,CN611&lt;=12,CO611&gt;=1,CO611&lt;=31),IF(MONTH(DATE(CM611,CN611,CO611))=CN611,DATE(CM611,CN611,CO611),""),"")))),"")</f>
        <v/>
      </c>
      <c r="CJ611">
        <f>IFERROR(IF('월 가계부'!C611="","",IF(ISNUMBER('월 가계부'!C611),'월 가계부'!C611,VALUE(SUBSTITUTE(SUBSTITUTE(SUBSTITUTE(SUBSTITUTE(TRIM('월 가계부'!C611),",",""),"원","")," ",""),"−","-")))),"")</f>
        <v/>
      </c>
      <c r="CK611">
        <f>IF(ISNUMBER(CI611),IF(CI611&lt;$B$13,CI611,""),"")</f>
        <v/>
      </c>
      <c r="CM611">
        <f>IF(CH611="","",IFERROR(IF(IF(AND(LEN(CH611)=9,ISERROR(FIND("-",LEFT(CH611,8))),ISNUMBER(-LEFT(CH611,8))),VALUE(LEFT(CH611,4)),VALUE(LEFT(CH611,FIND("-",CH611)-1)))&lt;100,IF(AND(LEN(CH611)=9,ISERROR(FIND("-",LEFT(CH611,8))),ISNUMBER(-LEFT(CH611,8))),VALUE(LEFT(CH611,4)),VALUE(LEFT(CH611,FIND("-",CH611)-1)))+2000,IF(AND(LEN(CH611)=9,ISERROR(FIND("-",LEFT(CH611,8))),ISNUMBER(-LEFT(CH611,8))),VALUE(LEFT(CH611,4)),VALUE(LEFT(CH611,FIND("-",CH611)-1)))),""))</f>
        <v/>
      </c>
      <c r="CN611">
        <f>IF(CH611="","",IFERROR(IF(AND(LEN(CH611)=9,ISERROR(FIND("-",LEFT(CH611,8))),ISNUMBER(-LEFT(CH611,8))),VALUE(MID(CH611,5,2)),VALUE(MID(CH611,FIND("-",CH611)+1,FIND("-",CH611,FIND("-",CH611)+1)-FIND("-",CH611)-1))),""))</f>
        <v/>
      </c>
      <c r="CO611">
        <f>IF(CH611="","",IFERROR(IF(AND(LEN(CH611)=9,ISERROR(FIND("-",LEFT(CH611,8))),ISNUMBER(-LEFT(CH611,8))),VALUE(MID(CH611,7,2)),VALUE(MID(CH611,FIND("-",CH611,FIND("-",CH611)+1)+1,FIND("-",CH611,FIND("-",CH611,FIND("-",CH611)+1)+1)-FIND("-",CH611,FIND("-",CH611)+1)-1))),""))</f>
        <v/>
      </c>
    </row>
    <row r="612">
      <c r="CH612">
        <f>IF(ISTEXT('월 가계부'!A612),SUBSTITUTE(SUBSTITUTE(SUBSTITUTE(SUBSTITUTE(SUBSTITUTE(SUBSTITUTE(SUBSTITUTE(SUBSTITUTE(SUBSTITUTE(TRIM('월 가계부'!A612),"년","-"),"월","-"),"일",""),".","-"),"/","-")," ","-"),"--","-"),"--","-"),"--","-")&amp;"-","")</f>
        <v/>
      </c>
      <c r="CI612">
        <f>IFERROR(IF('월 가계부'!A612="","",IF(ISNUMBER('월 가계부'!A612),IF(AND('월 가계부'!A612&gt;=19000101,'월 가계부'!A612&lt;=21001231),IF(AND(MOD(INT('월 가계부'!A612/100),100)&gt;=1,MOD(INT('월 가계부'!A612/100),100)&lt;=12,MOD(INT('월 가계부'!A612),100)&gt;=1,MOD(INT('월 가계부'!A612),100)&lt;=31),IF(MONTH(DATE(INT('월 가계부'!A612/10000),MOD(INT('월 가계부'!A612/100),100),MOD(INT('월 가계부'!A612),100)))=MOD(INT('월 가계부'!A612/100),100),DATE(INT('월 가계부'!A612/10000),MOD(INT('월 가계부'!A612/100),100),MOD(INT('월 가계부'!A612),100)),""),""),IF(AND('월 가계부'!A612&gt;=36526,'월 가계부'!A612&lt;73051),INT('월 가계부'!A612),"")),IF(OR(CM612="",CN612="",CO612=""),"",IF(AND(CM612&gt;=2000,CM612&lt;=2099,CN612&gt;=1,CN612&lt;=12,CO612&gt;=1,CO612&lt;=31),IF(MONTH(DATE(CM612,CN612,CO612))=CN612,DATE(CM612,CN612,CO612),""),"")))),"")</f>
        <v/>
      </c>
      <c r="CJ612">
        <f>IFERROR(IF('월 가계부'!C612="","",IF(ISNUMBER('월 가계부'!C612),'월 가계부'!C612,VALUE(SUBSTITUTE(SUBSTITUTE(SUBSTITUTE(SUBSTITUTE(TRIM('월 가계부'!C612),",",""),"원","")," ",""),"−","-")))),"")</f>
        <v/>
      </c>
      <c r="CK612">
        <f>IF(ISNUMBER(CI612),IF(CI612&lt;$B$13,CI612,""),"")</f>
        <v/>
      </c>
      <c r="CM612">
        <f>IF(CH612="","",IFERROR(IF(IF(AND(LEN(CH612)=9,ISERROR(FIND("-",LEFT(CH612,8))),ISNUMBER(-LEFT(CH612,8))),VALUE(LEFT(CH612,4)),VALUE(LEFT(CH612,FIND("-",CH612)-1)))&lt;100,IF(AND(LEN(CH612)=9,ISERROR(FIND("-",LEFT(CH612,8))),ISNUMBER(-LEFT(CH612,8))),VALUE(LEFT(CH612,4)),VALUE(LEFT(CH612,FIND("-",CH612)-1)))+2000,IF(AND(LEN(CH612)=9,ISERROR(FIND("-",LEFT(CH612,8))),ISNUMBER(-LEFT(CH612,8))),VALUE(LEFT(CH612,4)),VALUE(LEFT(CH612,FIND("-",CH612)-1)))),""))</f>
        <v/>
      </c>
      <c r="CN612">
        <f>IF(CH612="","",IFERROR(IF(AND(LEN(CH612)=9,ISERROR(FIND("-",LEFT(CH612,8))),ISNUMBER(-LEFT(CH612,8))),VALUE(MID(CH612,5,2)),VALUE(MID(CH612,FIND("-",CH612)+1,FIND("-",CH612,FIND("-",CH612)+1)-FIND("-",CH612)-1))),""))</f>
        <v/>
      </c>
      <c r="CO612">
        <f>IF(CH612="","",IFERROR(IF(AND(LEN(CH612)=9,ISERROR(FIND("-",LEFT(CH612,8))),ISNUMBER(-LEFT(CH612,8))),VALUE(MID(CH612,7,2)),VALUE(MID(CH612,FIND("-",CH612,FIND("-",CH612)+1)+1,FIND("-",CH612,FIND("-",CH612,FIND("-",CH612)+1)+1)-FIND("-",CH612,FIND("-",CH612)+1)-1))),""))</f>
        <v/>
      </c>
    </row>
    <row r="613">
      <c r="CH613">
        <f>IF(ISTEXT('월 가계부'!A613),SUBSTITUTE(SUBSTITUTE(SUBSTITUTE(SUBSTITUTE(SUBSTITUTE(SUBSTITUTE(SUBSTITUTE(SUBSTITUTE(SUBSTITUTE(TRIM('월 가계부'!A613),"년","-"),"월","-"),"일",""),".","-"),"/","-")," ","-"),"--","-"),"--","-"),"--","-")&amp;"-","")</f>
        <v/>
      </c>
      <c r="CI613">
        <f>IFERROR(IF('월 가계부'!A613="","",IF(ISNUMBER('월 가계부'!A613),IF(AND('월 가계부'!A613&gt;=19000101,'월 가계부'!A613&lt;=21001231),IF(AND(MOD(INT('월 가계부'!A613/100),100)&gt;=1,MOD(INT('월 가계부'!A613/100),100)&lt;=12,MOD(INT('월 가계부'!A613),100)&gt;=1,MOD(INT('월 가계부'!A613),100)&lt;=31),IF(MONTH(DATE(INT('월 가계부'!A613/10000),MOD(INT('월 가계부'!A613/100),100),MOD(INT('월 가계부'!A613),100)))=MOD(INT('월 가계부'!A613/100),100),DATE(INT('월 가계부'!A613/10000),MOD(INT('월 가계부'!A613/100),100),MOD(INT('월 가계부'!A613),100)),""),""),IF(AND('월 가계부'!A613&gt;=36526,'월 가계부'!A613&lt;73051),INT('월 가계부'!A613),"")),IF(OR(CM613="",CN613="",CO613=""),"",IF(AND(CM613&gt;=2000,CM613&lt;=2099,CN613&gt;=1,CN613&lt;=12,CO613&gt;=1,CO613&lt;=31),IF(MONTH(DATE(CM613,CN613,CO613))=CN613,DATE(CM613,CN613,CO613),""),"")))),"")</f>
        <v/>
      </c>
      <c r="CJ613">
        <f>IFERROR(IF('월 가계부'!C613="","",IF(ISNUMBER('월 가계부'!C613),'월 가계부'!C613,VALUE(SUBSTITUTE(SUBSTITUTE(SUBSTITUTE(SUBSTITUTE(TRIM('월 가계부'!C613),",",""),"원","")," ",""),"−","-")))),"")</f>
        <v/>
      </c>
      <c r="CK613">
        <f>IF(ISNUMBER(CI613),IF(CI613&lt;$B$13,CI613,""),"")</f>
        <v/>
      </c>
      <c r="CM613">
        <f>IF(CH613="","",IFERROR(IF(IF(AND(LEN(CH613)=9,ISERROR(FIND("-",LEFT(CH613,8))),ISNUMBER(-LEFT(CH613,8))),VALUE(LEFT(CH613,4)),VALUE(LEFT(CH613,FIND("-",CH613)-1)))&lt;100,IF(AND(LEN(CH613)=9,ISERROR(FIND("-",LEFT(CH613,8))),ISNUMBER(-LEFT(CH613,8))),VALUE(LEFT(CH613,4)),VALUE(LEFT(CH613,FIND("-",CH613)-1)))+2000,IF(AND(LEN(CH613)=9,ISERROR(FIND("-",LEFT(CH613,8))),ISNUMBER(-LEFT(CH613,8))),VALUE(LEFT(CH613,4)),VALUE(LEFT(CH613,FIND("-",CH613)-1)))),""))</f>
        <v/>
      </c>
      <c r="CN613">
        <f>IF(CH613="","",IFERROR(IF(AND(LEN(CH613)=9,ISERROR(FIND("-",LEFT(CH613,8))),ISNUMBER(-LEFT(CH613,8))),VALUE(MID(CH613,5,2)),VALUE(MID(CH613,FIND("-",CH613)+1,FIND("-",CH613,FIND("-",CH613)+1)-FIND("-",CH613)-1))),""))</f>
        <v/>
      </c>
      <c r="CO613">
        <f>IF(CH613="","",IFERROR(IF(AND(LEN(CH613)=9,ISERROR(FIND("-",LEFT(CH613,8))),ISNUMBER(-LEFT(CH613,8))),VALUE(MID(CH613,7,2)),VALUE(MID(CH613,FIND("-",CH613,FIND("-",CH613)+1)+1,FIND("-",CH613,FIND("-",CH613,FIND("-",CH613)+1)+1)-FIND("-",CH613,FIND("-",CH613)+1)-1))),""))</f>
        <v/>
      </c>
    </row>
    <row r="614">
      <c r="CH614">
        <f>IF(ISTEXT('월 가계부'!A614),SUBSTITUTE(SUBSTITUTE(SUBSTITUTE(SUBSTITUTE(SUBSTITUTE(SUBSTITUTE(SUBSTITUTE(SUBSTITUTE(SUBSTITUTE(TRIM('월 가계부'!A614),"년","-"),"월","-"),"일",""),".","-"),"/","-")," ","-"),"--","-"),"--","-"),"--","-")&amp;"-","")</f>
        <v/>
      </c>
      <c r="CI614">
        <f>IFERROR(IF('월 가계부'!A614="","",IF(ISNUMBER('월 가계부'!A614),IF(AND('월 가계부'!A614&gt;=19000101,'월 가계부'!A614&lt;=21001231),IF(AND(MOD(INT('월 가계부'!A614/100),100)&gt;=1,MOD(INT('월 가계부'!A614/100),100)&lt;=12,MOD(INT('월 가계부'!A614),100)&gt;=1,MOD(INT('월 가계부'!A614),100)&lt;=31),IF(MONTH(DATE(INT('월 가계부'!A614/10000),MOD(INT('월 가계부'!A614/100),100),MOD(INT('월 가계부'!A614),100)))=MOD(INT('월 가계부'!A614/100),100),DATE(INT('월 가계부'!A614/10000),MOD(INT('월 가계부'!A614/100),100),MOD(INT('월 가계부'!A614),100)),""),""),IF(AND('월 가계부'!A614&gt;=36526,'월 가계부'!A614&lt;73051),INT('월 가계부'!A614),"")),IF(OR(CM614="",CN614="",CO614=""),"",IF(AND(CM614&gt;=2000,CM614&lt;=2099,CN614&gt;=1,CN614&lt;=12,CO614&gt;=1,CO614&lt;=31),IF(MONTH(DATE(CM614,CN614,CO614))=CN614,DATE(CM614,CN614,CO614),""),"")))),"")</f>
        <v/>
      </c>
      <c r="CJ614">
        <f>IFERROR(IF('월 가계부'!C614="","",IF(ISNUMBER('월 가계부'!C614),'월 가계부'!C614,VALUE(SUBSTITUTE(SUBSTITUTE(SUBSTITUTE(SUBSTITUTE(TRIM('월 가계부'!C614),",",""),"원","")," ",""),"−","-")))),"")</f>
        <v/>
      </c>
      <c r="CK614">
        <f>IF(ISNUMBER(CI614),IF(CI614&lt;$B$13,CI614,""),"")</f>
        <v/>
      </c>
      <c r="CM614">
        <f>IF(CH614="","",IFERROR(IF(IF(AND(LEN(CH614)=9,ISERROR(FIND("-",LEFT(CH614,8))),ISNUMBER(-LEFT(CH614,8))),VALUE(LEFT(CH614,4)),VALUE(LEFT(CH614,FIND("-",CH614)-1)))&lt;100,IF(AND(LEN(CH614)=9,ISERROR(FIND("-",LEFT(CH614,8))),ISNUMBER(-LEFT(CH614,8))),VALUE(LEFT(CH614,4)),VALUE(LEFT(CH614,FIND("-",CH614)-1)))+2000,IF(AND(LEN(CH614)=9,ISERROR(FIND("-",LEFT(CH614,8))),ISNUMBER(-LEFT(CH614,8))),VALUE(LEFT(CH614,4)),VALUE(LEFT(CH614,FIND("-",CH614)-1)))),""))</f>
        <v/>
      </c>
      <c r="CN614">
        <f>IF(CH614="","",IFERROR(IF(AND(LEN(CH614)=9,ISERROR(FIND("-",LEFT(CH614,8))),ISNUMBER(-LEFT(CH614,8))),VALUE(MID(CH614,5,2)),VALUE(MID(CH614,FIND("-",CH614)+1,FIND("-",CH614,FIND("-",CH614)+1)-FIND("-",CH614)-1))),""))</f>
        <v/>
      </c>
      <c r="CO614">
        <f>IF(CH614="","",IFERROR(IF(AND(LEN(CH614)=9,ISERROR(FIND("-",LEFT(CH614,8))),ISNUMBER(-LEFT(CH614,8))),VALUE(MID(CH614,7,2)),VALUE(MID(CH614,FIND("-",CH614,FIND("-",CH614)+1)+1,FIND("-",CH614,FIND("-",CH614,FIND("-",CH614)+1)+1)-FIND("-",CH614,FIND("-",CH614)+1)-1))),""))</f>
        <v/>
      </c>
    </row>
    <row r="615">
      <c r="CH615">
        <f>IF(ISTEXT('월 가계부'!A615),SUBSTITUTE(SUBSTITUTE(SUBSTITUTE(SUBSTITUTE(SUBSTITUTE(SUBSTITUTE(SUBSTITUTE(SUBSTITUTE(SUBSTITUTE(TRIM('월 가계부'!A615),"년","-"),"월","-"),"일",""),".","-"),"/","-")," ","-"),"--","-"),"--","-"),"--","-")&amp;"-","")</f>
        <v/>
      </c>
      <c r="CI615">
        <f>IFERROR(IF('월 가계부'!A615="","",IF(ISNUMBER('월 가계부'!A615),IF(AND('월 가계부'!A615&gt;=19000101,'월 가계부'!A615&lt;=21001231),IF(AND(MOD(INT('월 가계부'!A615/100),100)&gt;=1,MOD(INT('월 가계부'!A615/100),100)&lt;=12,MOD(INT('월 가계부'!A615),100)&gt;=1,MOD(INT('월 가계부'!A615),100)&lt;=31),IF(MONTH(DATE(INT('월 가계부'!A615/10000),MOD(INT('월 가계부'!A615/100),100),MOD(INT('월 가계부'!A615),100)))=MOD(INT('월 가계부'!A615/100),100),DATE(INT('월 가계부'!A615/10000),MOD(INT('월 가계부'!A615/100),100),MOD(INT('월 가계부'!A615),100)),""),""),IF(AND('월 가계부'!A615&gt;=36526,'월 가계부'!A615&lt;73051),INT('월 가계부'!A615),"")),IF(OR(CM615="",CN615="",CO615=""),"",IF(AND(CM615&gt;=2000,CM615&lt;=2099,CN615&gt;=1,CN615&lt;=12,CO615&gt;=1,CO615&lt;=31),IF(MONTH(DATE(CM615,CN615,CO615))=CN615,DATE(CM615,CN615,CO615),""),"")))),"")</f>
        <v/>
      </c>
      <c r="CJ615">
        <f>IFERROR(IF('월 가계부'!C615="","",IF(ISNUMBER('월 가계부'!C615),'월 가계부'!C615,VALUE(SUBSTITUTE(SUBSTITUTE(SUBSTITUTE(SUBSTITUTE(TRIM('월 가계부'!C615),",",""),"원","")," ",""),"−","-")))),"")</f>
        <v/>
      </c>
      <c r="CK615">
        <f>IF(ISNUMBER(CI615),IF(CI615&lt;$B$13,CI615,""),"")</f>
        <v/>
      </c>
      <c r="CM615">
        <f>IF(CH615="","",IFERROR(IF(IF(AND(LEN(CH615)=9,ISERROR(FIND("-",LEFT(CH615,8))),ISNUMBER(-LEFT(CH615,8))),VALUE(LEFT(CH615,4)),VALUE(LEFT(CH615,FIND("-",CH615)-1)))&lt;100,IF(AND(LEN(CH615)=9,ISERROR(FIND("-",LEFT(CH615,8))),ISNUMBER(-LEFT(CH615,8))),VALUE(LEFT(CH615,4)),VALUE(LEFT(CH615,FIND("-",CH615)-1)))+2000,IF(AND(LEN(CH615)=9,ISERROR(FIND("-",LEFT(CH615,8))),ISNUMBER(-LEFT(CH615,8))),VALUE(LEFT(CH615,4)),VALUE(LEFT(CH615,FIND("-",CH615)-1)))),""))</f>
        <v/>
      </c>
      <c r="CN615">
        <f>IF(CH615="","",IFERROR(IF(AND(LEN(CH615)=9,ISERROR(FIND("-",LEFT(CH615,8))),ISNUMBER(-LEFT(CH615,8))),VALUE(MID(CH615,5,2)),VALUE(MID(CH615,FIND("-",CH615)+1,FIND("-",CH615,FIND("-",CH615)+1)-FIND("-",CH615)-1))),""))</f>
        <v/>
      </c>
      <c r="CO615">
        <f>IF(CH615="","",IFERROR(IF(AND(LEN(CH615)=9,ISERROR(FIND("-",LEFT(CH615,8))),ISNUMBER(-LEFT(CH615,8))),VALUE(MID(CH615,7,2)),VALUE(MID(CH615,FIND("-",CH615,FIND("-",CH615)+1)+1,FIND("-",CH615,FIND("-",CH615,FIND("-",CH615)+1)+1)-FIND("-",CH615,FIND("-",CH615)+1)-1))),""))</f>
        <v/>
      </c>
    </row>
    <row r="616">
      <c r="CH616">
        <f>IF(ISTEXT('월 가계부'!A616),SUBSTITUTE(SUBSTITUTE(SUBSTITUTE(SUBSTITUTE(SUBSTITUTE(SUBSTITUTE(SUBSTITUTE(SUBSTITUTE(SUBSTITUTE(TRIM('월 가계부'!A616),"년","-"),"월","-"),"일",""),".","-"),"/","-")," ","-"),"--","-"),"--","-"),"--","-")&amp;"-","")</f>
        <v/>
      </c>
      <c r="CI616">
        <f>IFERROR(IF('월 가계부'!A616="","",IF(ISNUMBER('월 가계부'!A616),IF(AND('월 가계부'!A616&gt;=19000101,'월 가계부'!A616&lt;=21001231),IF(AND(MOD(INT('월 가계부'!A616/100),100)&gt;=1,MOD(INT('월 가계부'!A616/100),100)&lt;=12,MOD(INT('월 가계부'!A616),100)&gt;=1,MOD(INT('월 가계부'!A616),100)&lt;=31),IF(MONTH(DATE(INT('월 가계부'!A616/10000),MOD(INT('월 가계부'!A616/100),100),MOD(INT('월 가계부'!A616),100)))=MOD(INT('월 가계부'!A616/100),100),DATE(INT('월 가계부'!A616/10000),MOD(INT('월 가계부'!A616/100),100),MOD(INT('월 가계부'!A616),100)),""),""),IF(AND('월 가계부'!A616&gt;=36526,'월 가계부'!A616&lt;73051),INT('월 가계부'!A616),"")),IF(OR(CM616="",CN616="",CO616=""),"",IF(AND(CM616&gt;=2000,CM616&lt;=2099,CN616&gt;=1,CN616&lt;=12,CO616&gt;=1,CO616&lt;=31),IF(MONTH(DATE(CM616,CN616,CO616))=CN616,DATE(CM616,CN616,CO616),""),"")))),"")</f>
        <v/>
      </c>
      <c r="CJ616">
        <f>IFERROR(IF('월 가계부'!C616="","",IF(ISNUMBER('월 가계부'!C616),'월 가계부'!C616,VALUE(SUBSTITUTE(SUBSTITUTE(SUBSTITUTE(SUBSTITUTE(TRIM('월 가계부'!C616),",",""),"원","")," ",""),"−","-")))),"")</f>
        <v/>
      </c>
      <c r="CK616">
        <f>IF(ISNUMBER(CI616),IF(CI616&lt;$B$13,CI616,""),"")</f>
        <v/>
      </c>
      <c r="CM616">
        <f>IF(CH616="","",IFERROR(IF(IF(AND(LEN(CH616)=9,ISERROR(FIND("-",LEFT(CH616,8))),ISNUMBER(-LEFT(CH616,8))),VALUE(LEFT(CH616,4)),VALUE(LEFT(CH616,FIND("-",CH616)-1)))&lt;100,IF(AND(LEN(CH616)=9,ISERROR(FIND("-",LEFT(CH616,8))),ISNUMBER(-LEFT(CH616,8))),VALUE(LEFT(CH616,4)),VALUE(LEFT(CH616,FIND("-",CH616)-1)))+2000,IF(AND(LEN(CH616)=9,ISERROR(FIND("-",LEFT(CH616,8))),ISNUMBER(-LEFT(CH616,8))),VALUE(LEFT(CH616,4)),VALUE(LEFT(CH616,FIND("-",CH616)-1)))),""))</f>
        <v/>
      </c>
      <c r="CN616">
        <f>IF(CH616="","",IFERROR(IF(AND(LEN(CH616)=9,ISERROR(FIND("-",LEFT(CH616,8))),ISNUMBER(-LEFT(CH616,8))),VALUE(MID(CH616,5,2)),VALUE(MID(CH616,FIND("-",CH616)+1,FIND("-",CH616,FIND("-",CH616)+1)-FIND("-",CH616)-1))),""))</f>
        <v/>
      </c>
      <c r="CO616">
        <f>IF(CH616="","",IFERROR(IF(AND(LEN(CH616)=9,ISERROR(FIND("-",LEFT(CH616,8))),ISNUMBER(-LEFT(CH616,8))),VALUE(MID(CH616,7,2)),VALUE(MID(CH616,FIND("-",CH616,FIND("-",CH616)+1)+1,FIND("-",CH616,FIND("-",CH616,FIND("-",CH616)+1)+1)-FIND("-",CH616,FIND("-",CH616)+1)-1))),""))</f>
        <v/>
      </c>
    </row>
    <row r="617">
      <c r="CH617">
        <f>IF(ISTEXT('월 가계부'!A617),SUBSTITUTE(SUBSTITUTE(SUBSTITUTE(SUBSTITUTE(SUBSTITUTE(SUBSTITUTE(SUBSTITUTE(SUBSTITUTE(SUBSTITUTE(TRIM('월 가계부'!A617),"년","-"),"월","-"),"일",""),".","-"),"/","-")," ","-"),"--","-"),"--","-"),"--","-")&amp;"-","")</f>
        <v/>
      </c>
      <c r="CI617">
        <f>IFERROR(IF('월 가계부'!A617="","",IF(ISNUMBER('월 가계부'!A617),IF(AND('월 가계부'!A617&gt;=19000101,'월 가계부'!A617&lt;=21001231),IF(AND(MOD(INT('월 가계부'!A617/100),100)&gt;=1,MOD(INT('월 가계부'!A617/100),100)&lt;=12,MOD(INT('월 가계부'!A617),100)&gt;=1,MOD(INT('월 가계부'!A617),100)&lt;=31),IF(MONTH(DATE(INT('월 가계부'!A617/10000),MOD(INT('월 가계부'!A617/100),100),MOD(INT('월 가계부'!A617),100)))=MOD(INT('월 가계부'!A617/100),100),DATE(INT('월 가계부'!A617/10000),MOD(INT('월 가계부'!A617/100),100),MOD(INT('월 가계부'!A617),100)),""),""),IF(AND('월 가계부'!A617&gt;=36526,'월 가계부'!A617&lt;73051),INT('월 가계부'!A617),"")),IF(OR(CM617="",CN617="",CO617=""),"",IF(AND(CM617&gt;=2000,CM617&lt;=2099,CN617&gt;=1,CN617&lt;=12,CO617&gt;=1,CO617&lt;=31),IF(MONTH(DATE(CM617,CN617,CO617))=CN617,DATE(CM617,CN617,CO617),""),"")))),"")</f>
        <v/>
      </c>
      <c r="CJ617">
        <f>IFERROR(IF('월 가계부'!C617="","",IF(ISNUMBER('월 가계부'!C617),'월 가계부'!C617,VALUE(SUBSTITUTE(SUBSTITUTE(SUBSTITUTE(SUBSTITUTE(TRIM('월 가계부'!C617),",",""),"원","")," ",""),"−","-")))),"")</f>
        <v/>
      </c>
      <c r="CK617">
        <f>IF(ISNUMBER(CI617),IF(CI617&lt;$B$13,CI617,""),"")</f>
        <v/>
      </c>
      <c r="CM617">
        <f>IF(CH617="","",IFERROR(IF(IF(AND(LEN(CH617)=9,ISERROR(FIND("-",LEFT(CH617,8))),ISNUMBER(-LEFT(CH617,8))),VALUE(LEFT(CH617,4)),VALUE(LEFT(CH617,FIND("-",CH617)-1)))&lt;100,IF(AND(LEN(CH617)=9,ISERROR(FIND("-",LEFT(CH617,8))),ISNUMBER(-LEFT(CH617,8))),VALUE(LEFT(CH617,4)),VALUE(LEFT(CH617,FIND("-",CH617)-1)))+2000,IF(AND(LEN(CH617)=9,ISERROR(FIND("-",LEFT(CH617,8))),ISNUMBER(-LEFT(CH617,8))),VALUE(LEFT(CH617,4)),VALUE(LEFT(CH617,FIND("-",CH617)-1)))),""))</f>
        <v/>
      </c>
      <c r="CN617">
        <f>IF(CH617="","",IFERROR(IF(AND(LEN(CH617)=9,ISERROR(FIND("-",LEFT(CH617,8))),ISNUMBER(-LEFT(CH617,8))),VALUE(MID(CH617,5,2)),VALUE(MID(CH617,FIND("-",CH617)+1,FIND("-",CH617,FIND("-",CH617)+1)-FIND("-",CH617)-1))),""))</f>
        <v/>
      </c>
      <c r="CO617">
        <f>IF(CH617="","",IFERROR(IF(AND(LEN(CH617)=9,ISERROR(FIND("-",LEFT(CH617,8))),ISNUMBER(-LEFT(CH617,8))),VALUE(MID(CH617,7,2)),VALUE(MID(CH617,FIND("-",CH617,FIND("-",CH617)+1)+1,FIND("-",CH617,FIND("-",CH617,FIND("-",CH617)+1)+1)-FIND("-",CH617,FIND("-",CH617)+1)-1))),""))</f>
        <v/>
      </c>
    </row>
    <row r="618">
      <c r="CH618">
        <f>IF(ISTEXT('월 가계부'!A618),SUBSTITUTE(SUBSTITUTE(SUBSTITUTE(SUBSTITUTE(SUBSTITUTE(SUBSTITUTE(SUBSTITUTE(SUBSTITUTE(SUBSTITUTE(TRIM('월 가계부'!A618),"년","-"),"월","-"),"일",""),".","-"),"/","-")," ","-"),"--","-"),"--","-"),"--","-")&amp;"-","")</f>
        <v/>
      </c>
      <c r="CI618">
        <f>IFERROR(IF('월 가계부'!A618="","",IF(ISNUMBER('월 가계부'!A618),IF(AND('월 가계부'!A618&gt;=19000101,'월 가계부'!A618&lt;=21001231),IF(AND(MOD(INT('월 가계부'!A618/100),100)&gt;=1,MOD(INT('월 가계부'!A618/100),100)&lt;=12,MOD(INT('월 가계부'!A618),100)&gt;=1,MOD(INT('월 가계부'!A618),100)&lt;=31),IF(MONTH(DATE(INT('월 가계부'!A618/10000),MOD(INT('월 가계부'!A618/100),100),MOD(INT('월 가계부'!A618),100)))=MOD(INT('월 가계부'!A618/100),100),DATE(INT('월 가계부'!A618/10000),MOD(INT('월 가계부'!A618/100),100),MOD(INT('월 가계부'!A618),100)),""),""),IF(AND('월 가계부'!A618&gt;=36526,'월 가계부'!A618&lt;73051),INT('월 가계부'!A618),"")),IF(OR(CM618="",CN618="",CO618=""),"",IF(AND(CM618&gt;=2000,CM618&lt;=2099,CN618&gt;=1,CN618&lt;=12,CO618&gt;=1,CO618&lt;=31),IF(MONTH(DATE(CM618,CN618,CO618))=CN618,DATE(CM618,CN618,CO618),""),"")))),"")</f>
        <v/>
      </c>
      <c r="CJ618">
        <f>IFERROR(IF('월 가계부'!C618="","",IF(ISNUMBER('월 가계부'!C618),'월 가계부'!C618,VALUE(SUBSTITUTE(SUBSTITUTE(SUBSTITUTE(SUBSTITUTE(TRIM('월 가계부'!C618),",",""),"원","")," ",""),"−","-")))),"")</f>
        <v/>
      </c>
      <c r="CK618">
        <f>IF(ISNUMBER(CI618),IF(CI618&lt;$B$13,CI618,""),"")</f>
        <v/>
      </c>
      <c r="CM618">
        <f>IF(CH618="","",IFERROR(IF(IF(AND(LEN(CH618)=9,ISERROR(FIND("-",LEFT(CH618,8))),ISNUMBER(-LEFT(CH618,8))),VALUE(LEFT(CH618,4)),VALUE(LEFT(CH618,FIND("-",CH618)-1)))&lt;100,IF(AND(LEN(CH618)=9,ISERROR(FIND("-",LEFT(CH618,8))),ISNUMBER(-LEFT(CH618,8))),VALUE(LEFT(CH618,4)),VALUE(LEFT(CH618,FIND("-",CH618)-1)))+2000,IF(AND(LEN(CH618)=9,ISERROR(FIND("-",LEFT(CH618,8))),ISNUMBER(-LEFT(CH618,8))),VALUE(LEFT(CH618,4)),VALUE(LEFT(CH618,FIND("-",CH618)-1)))),""))</f>
        <v/>
      </c>
      <c r="CN618">
        <f>IF(CH618="","",IFERROR(IF(AND(LEN(CH618)=9,ISERROR(FIND("-",LEFT(CH618,8))),ISNUMBER(-LEFT(CH618,8))),VALUE(MID(CH618,5,2)),VALUE(MID(CH618,FIND("-",CH618)+1,FIND("-",CH618,FIND("-",CH618)+1)-FIND("-",CH618)-1))),""))</f>
        <v/>
      </c>
      <c r="CO618">
        <f>IF(CH618="","",IFERROR(IF(AND(LEN(CH618)=9,ISERROR(FIND("-",LEFT(CH618,8))),ISNUMBER(-LEFT(CH618,8))),VALUE(MID(CH618,7,2)),VALUE(MID(CH618,FIND("-",CH618,FIND("-",CH618)+1)+1,FIND("-",CH618,FIND("-",CH618,FIND("-",CH618)+1)+1)-FIND("-",CH618,FIND("-",CH618)+1)-1))),""))</f>
        <v/>
      </c>
    </row>
    <row r="619">
      <c r="CH619">
        <f>IF(ISTEXT('월 가계부'!A619),SUBSTITUTE(SUBSTITUTE(SUBSTITUTE(SUBSTITUTE(SUBSTITUTE(SUBSTITUTE(SUBSTITUTE(SUBSTITUTE(SUBSTITUTE(TRIM('월 가계부'!A619),"년","-"),"월","-"),"일",""),".","-"),"/","-")," ","-"),"--","-"),"--","-"),"--","-")&amp;"-","")</f>
        <v/>
      </c>
      <c r="CI619">
        <f>IFERROR(IF('월 가계부'!A619="","",IF(ISNUMBER('월 가계부'!A619),IF(AND('월 가계부'!A619&gt;=19000101,'월 가계부'!A619&lt;=21001231),IF(AND(MOD(INT('월 가계부'!A619/100),100)&gt;=1,MOD(INT('월 가계부'!A619/100),100)&lt;=12,MOD(INT('월 가계부'!A619),100)&gt;=1,MOD(INT('월 가계부'!A619),100)&lt;=31),IF(MONTH(DATE(INT('월 가계부'!A619/10000),MOD(INT('월 가계부'!A619/100),100),MOD(INT('월 가계부'!A619),100)))=MOD(INT('월 가계부'!A619/100),100),DATE(INT('월 가계부'!A619/10000),MOD(INT('월 가계부'!A619/100),100),MOD(INT('월 가계부'!A619),100)),""),""),IF(AND('월 가계부'!A619&gt;=36526,'월 가계부'!A619&lt;73051),INT('월 가계부'!A619),"")),IF(OR(CM619="",CN619="",CO619=""),"",IF(AND(CM619&gt;=2000,CM619&lt;=2099,CN619&gt;=1,CN619&lt;=12,CO619&gt;=1,CO619&lt;=31),IF(MONTH(DATE(CM619,CN619,CO619))=CN619,DATE(CM619,CN619,CO619),""),"")))),"")</f>
        <v/>
      </c>
      <c r="CJ619">
        <f>IFERROR(IF('월 가계부'!C619="","",IF(ISNUMBER('월 가계부'!C619),'월 가계부'!C619,VALUE(SUBSTITUTE(SUBSTITUTE(SUBSTITUTE(SUBSTITUTE(TRIM('월 가계부'!C619),",",""),"원","")," ",""),"−","-")))),"")</f>
        <v/>
      </c>
      <c r="CK619">
        <f>IF(ISNUMBER(CI619),IF(CI619&lt;$B$13,CI619,""),"")</f>
        <v/>
      </c>
      <c r="CM619">
        <f>IF(CH619="","",IFERROR(IF(IF(AND(LEN(CH619)=9,ISERROR(FIND("-",LEFT(CH619,8))),ISNUMBER(-LEFT(CH619,8))),VALUE(LEFT(CH619,4)),VALUE(LEFT(CH619,FIND("-",CH619)-1)))&lt;100,IF(AND(LEN(CH619)=9,ISERROR(FIND("-",LEFT(CH619,8))),ISNUMBER(-LEFT(CH619,8))),VALUE(LEFT(CH619,4)),VALUE(LEFT(CH619,FIND("-",CH619)-1)))+2000,IF(AND(LEN(CH619)=9,ISERROR(FIND("-",LEFT(CH619,8))),ISNUMBER(-LEFT(CH619,8))),VALUE(LEFT(CH619,4)),VALUE(LEFT(CH619,FIND("-",CH619)-1)))),""))</f>
        <v/>
      </c>
      <c r="CN619">
        <f>IF(CH619="","",IFERROR(IF(AND(LEN(CH619)=9,ISERROR(FIND("-",LEFT(CH619,8))),ISNUMBER(-LEFT(CH619,8))),VALUE(MID(CH619,5,2)),VALUE(MID(CH619,FIND("-",CH619)+1,FIND("-",CH619,FIND("-",CH619)+1)-FIND("-",CH619)-1))),""))</f>
        <v/>
      </c>
      <c r="CO619">
        <f>IF(CH619="","",IFERROR(IF(AND(LEN(CH619)=9,ISERROR(FIND("-",LEFT(CH619,8))),ISNUMBER(-LEFT(CH619,8))),VALUE(MID(CH619,7,2)),VALUE(MID(CH619,FIND("-",CH619,FIND("-",CH619)+1)+1,FIND("-",CH619,FIND("-",CH619,FIND("-",CH619)+1)+1)-FIND("-",CH619,FIND("-",CH619)+1)-1))),""))</f>
        <v/>
      </c>
    </row>
    <row r="620">
      <c r="CH620">
        <f>IF(ISTEXT('월 가계부'!A620),SUBSTITUTE(SUBSTITUTE(SUBSTITUTE(SUBSTITUTE(SUBSTITUTE(SUBSTITUTE(SUBSTITUTE(SUBSTITUTE(SUBSTITUTE(TRIM('월 가계부'!A620),"년","-"),"월","-"),"일",""),".","-"),"/","-")," ","-"),"--","-"),"--","-"),"--","-")&amp;"-","")</f>
        <v/>
      </c>
      <c r="CI620">
        <f>IFERROR(IF('월 가계부'!A620="","",IF(ISNUMBER('월 가계부'!A620),IF(AND('월 가계부'!A620&gt;=19000101,'월 가계부'!A620&lt;=21001231),IF(AND(MOD(INT('월 가계부'!A620/100),100)&gt;=1,MOD(INT('월 가계부'!A620/100),100)&lt;=12,MOD(INT('월 가계부'!A620),100)&gt;=1,MOD(INT('월 가계부'!A620),100)&lt;=31),IF(MONTH(DATE(INT('월 가계부'!A620/10000),MOD(INT('월 가계부'!A620/100),100),MOD(INT('월 가계부'!A620),100)))=MOD(INT('월 가계부'!A620/100),100),DATE(INT('월 가계부'!A620/10000),MOD(INT('월 가계부'!A620/100),100),MOD(INT('월 가계부'!A620),100)),""),""),IF(AND('월 가계부'!A620&gt;=36526,'월 가계부'!A620&lt;73051),INT('월 가계부'!A620),"")),IF(OR(CM620="",CN620="",CO620=""),"",IF(AND(CM620&gt;=2000,CM620&lt;=2099,CN620&gt;=1,CN620&lt;=12,CO620&gt;=1,CO620&lt;=31),IF(MONTH(DATE(CM620,CN620,CO620))=CN620,DATE(CM620,CN620,CO620),""),"")))),"")</f>
        <v/>
      </c>
      <c r="CJ620">
        <f>IFERROR(IF('월 가계부'!C620="","",IF(ISNUMBER('월 가계부'!C620),'월 가계부'!C620,VALUE(SUBSTITUTE(SUBSTITUTE(SUBSTITUTE(SUBSTITUTE(TRIM('월 가계부'!C620),",",""),"원","")," ",""),"−","-")))),"")</f>
        <v/>
      </c>
      <c r="CK620">
        <f>IF(ISNUMBER(CI620),IF(CI620&lt;$B$13,CI620,""),"")</f>
        <v/>
      </c>
      <c r="CM620">
        <f>IF(CH620="","",IFERROR(IF(IF(AND(LEN(CH620)=9,ISERROR(FIND("-",LEFT(CH620,8))),ISNUMBER(-LEFT(CH620,8))),VALUE(LEFT(CH620,4)),VALUE(LEFT(CH620,FIND("-",CH620)-1)))&lt;100,IF(AND(LEN(CH620)=9,ISERROR(FIND("-",LEFT(CH620,8))),ISNUMBER(-LEFT(CH620,8))),VALUE(LEFT(CH620,4)),VALUE(LEFT(CH620,FIND("-",CH620)-1)))+2000,IF(AND(LEN(CH620)=9,ISERROR(FIND("-",LEFT(CH620,8))),ISNUMBER(-LEFT(CH620,8))),VALUE(LEFT(CH620,4)),VALUE(LEFT(CH620,FIND("-",CH620)-1)))),""))</f>
        <v/>
      </c>
      <c r="CN620">
        <f>IF(CH620="","",IFERROR(IF(AND(LEN(CH620)=9,ISERROR(FIND("-",LEFT(CH620,8))),ISNUMBER(-LEFT(CH620,8))),VALUE(MID(CH620,5,2)),VALUE(MID(CH620,FIND("-",CH620)+1,FIND("-",CH620,FIND("-",CH620)+1)-FIND("-",CH620)-1))),""))</f>
        <v/>
      </c>
      <c r="CO620">
        <f>IF(CH620="","",IFERROR(IF(AND(LEN(CH620)=9,ISERROR(FIND("-",LEFT(CH620,8))),ISNUMBER(-LEFT(CH620,8))),VALUE(MID(CH620,7,2)),VALUE(MID(CH620,FIND("-",CH620,FIND("-",CH620)+1)+1,FIND("-",CH620,FIND("-",CH620,FIND("-",CH620)+1)+1)-FIND("-",CH620,FIND("-",CH620)+1)-1))),""))</f>
        <v/>
      </c>
    </row>
    <row r="621">
      <c r="CH621">
        <f>IF(ISTEXT('월 가계부'!A621),SUBSTITUTE(SUBSTITUTE(SUBSTITUTE(SUBSTITUTE(SUBSTITUTE(SUBSTITUTE(SUBSTITUTE(SUBSTITUTE(SUBSTITUTE(TRIM('월 가계부'!A621),"년","-"),"월","-"),"일",""),".","-"),"/","-")," ","-"),"--","-"),"--","-"),"--","-")&amp;"-","")</f>
        <v/>
      </c>
      <c r="CI621">
        <f>IFERROR(IF('월 가계부'!A621="","",IF(ISNUMBER('월 가계부'!A621),IF(AND('월 가계부'!A621&gt;=19000101,'월 가계부'!A621&lt;=21001231),IF(AND(MOD(INT('월 가계부'!A621/100),100)&gt;=1,MOD(INT('월 가계부'!A621/100),100)&lt;=12,MOD(INT('월 가계부'!A621),100)&gt;=1,MOD(INT('월 가계부'!A621),100)&lt;=31),IF(MONTH(DATE(INT('월 가계부'!A621/10000),MOD(INT('월 가계부'!A621/100),100),MOD(INT('월 가계부'!A621),100)))=MOD(INT('월 가계부'!A621/100),100),DATE(INT('월 가계부'!A621/10000),MOD(INT('월 가계부'!A621/100),100),MOD(INT('월 가계부'!A621),100)),""),""),IF(AND('월 가계부'!A621&gt;=36526,'월 가계부'!A621&lt;73051),INT('월 가계부'!A621),"")),IF(OR(CM621="",CN621="",CO621=""),"",IF(AND(CM621&gt;=2000,CM621&lt;=2099,CN621&gt;=1,CN621&lt;=12,CO621&gt;=1,CO621&lt;=31),IF(MONTH(DATE(CM621,CN621,CO621))=CN621,DATE(CM621,CN621,CO621),""),"")))),"")</f>
        <v/>
      </c>
      <c r="CJ621">
        <f>IFERROR(IF('월 가계부'!C621="","",IF(ISNUMBER('월 가계부'!C621),'월 가계부'!C621,VALUE(SUBSTITUTE(SUBSTITUTE(SUBSTITUTE(SUBSTITUTE(TRIM('월 가계부'!C621),",",""),"원","")," ",""),"−","-")))),"")</f>
        <v/>
      </c>
      <c r="CK621">
        <f>IF(ISNUMBER(CI621),IF(CI621&lt;$B$13,CI621,""),"")</f>
        <v/>
      </c>
      <c r="CM621">
        <f>IF(CH621="","",IFERROR(IF(IF(AND(LEN(CH621)=9,ISERROR(FIND("-",LEFT(CH621,8))),ISNUMBER(-LEFT(CH621,8))),VALUE(LEFT(CH621,4)),VALUE(LEFT(CH621,FIND("-",CH621)-1)))&lt;100,IF(AND(LEN(CH621)=9,ISERROR(FIND("-",LEFT(CH621,8))),ISNUMBER(-LEFT(CH621,8))),VALUE(LEFT(CH621,4)),VALUE(LEFT(CH621,FIND("-",CH621)-1)))+2000,IF(AND(LEN(CH621)=9,ISERROR(FIND("-",LEFT(CH621,8))),ISNUMBER(-LEFT(CH621,8))),VALUE(LEFT(CH621,4)),VALUE(LEFT(CH621,FIND("-",CH621)-1)))),""))</f>
        <v/>
      </c>
      <c r="CN621">
        <f>IF(CH621="","",IFERROR(IF(AND(LEN(CH621)=9,ISERROR(FIND("-",LEFT(CH621,8))),ISNUMBER(-LEFT(CH621,8))),VALUE(MID(CH621,5,2)),VALUE(MID(CH621,FIND("-",CH621)+1,FIND("-",CH621,FIND("-",CH621)+1)-FIND("-",CH621)-1))),""))</f>
        <v/>
      </c>
      <c r="CO621">
        <f>IF(CH621="","",IFERROR(IF(AND(LEN(CH621)=9,ISERROR(FIND("-",LEFT(CH621,8))),ISNUMBER(-LEFT(CH621,8))),VALUE(MID(CH621,7,2)),VALUE(MID(CH621,FIND("-",CH621,FIND("-",CH621)+1)+1,FIND("-",CH621,FIND("-",CH621,FIND("-",CH621)+1)+1)-FIND("-",CH621,FIND("-",CH621)+1)-1))),""))</f>
        <v/>
      </c>
    </row>
    <row r="622">
      <c r="CH622">
        <f>IF(ISTEXT('월 가계부'!A622),SUBSTITUTE(SUBSTITUTE(SUBSTITUTE(SUBSTITUTE(SUBSTITUTE(SUBSTITUTE(SUBSTITUTE(SUBSTITUTE(SUBSTITUTE(TRIM('월 가계부'!A622),"년","-"),"월","-"),"일",""),".","-"),"/","-")," ","-"),"--","-"),"--","-"),"--","-")&amp;"-","")</f>
        <v/>
      </c>
      <c r="CI622">
        <f>IFERROR(IF('월 가계부'!A622="","",IF(ISNUMBER('월 가계부'!A622),IF(AND('월 가계부'!A622&gt;=19000101,'월 가계부'!A622&lt;=21001231),IF(AND(MOD(INT('월 가계부'!A622/100),100)&gt;=1,MOD(INT('월 가계부'!A622/100),100)&lt;=12,MOD(INT('월 가계부'!A622),100)&gt;=1,MOD(INT('월 가계부'!A622),100)&lt;=31),IF(MONTH(DATE(INT('월 가계부'!A622/10000),MOD(INT('월 가계부'!A622/100),100),MOD(INT('월 가계부'!A622),100)))=MOD(INT('월 가계부'!A622/100),100),DATE(INT('월 가계부'!A622/10000),MOD(INT('월 가계부'!A622/100),100),MOD(INT('월 가계부'!A622),100)),""),""),IF(AND('월 가계부'!A622&gt;=36526,'월 가계부'!A622&lt;73051),INT('월 가계부'!A622),"")),IF(OR(CM622="",CN622="",CO622=""),"",IF(AND(CM622&gt;=2000,CM622&lt;=2099,CN622&gt;=1,CN622&lt;=12,CO622&gt;=1,CO622&lt;=31),IF(MONTH(DATE(CM622,CN622,CO622))=CN622,DATE(CM622,CN622,CO622),""),"")))),"")</f>
        <v/>
      </c>
      <c r="CJ622">
        <f>IFERROR(IF('월 가계부'!C622="","",IF(ISNUMBER('월 가계부'!C622),'월 가계부'!C622,VALUE(SUBSTITUTE(SUBSTITUTE(SUBSTITUTE(SUBSTITUTE(TRIM('월 가계부'!C622),",",""),"원","")," ",""),"−","-")))),"")</f>
        <v/>
      </c>
      <c r="CK622">
        <f>IF(ISNUMBER(CI622),IF(CI622&lt;$B$13,CI622,""),"")</f>
        <v/>
      </c>
      <c r="CM622">
        <f>IF(CH622="","",IFERROR(IF(IF(AND(LEN(CH622)=9,ISERROR(FIND("-",LEFT(CH622,8))),ISNUMBER(-LEFT(CH622,8))),VALUE(LEFT(CH622,4)),VALUE(LEFT(CH622,FIND("-",CH622)-1)))&lt;100,IF(AND(LEN(CH622)=9,ISERROR(FIND("-",LEFT(CH622,8))),ISNUMBER(-LEFT(CH622,8))),VALUE(LEFT(CH622,4)),VALUE(LEFT(CH622,FIND("-",CH622)-1)))+2000,IF(AND(LEN(CH622)=9,ISERROR(FIND("-",LEFT(CH622,8))),ISNUMBER(-LEFT(CH622,8))),VALUE(LEFT(CH622,4)),VALUE(LEFT(CH622,FIND("-",CH622)-1)))),""))</f>
        <v/>
      </c>
      <c r="CN622">
        <f>IF(CH622="","",IFERROR(IF(AND(LEN(CH622)=9,ISERROR(FIND("-",LEFT(CH622,8))),ISNUMBER(-LEFT(CH622,8))),VALUE(MID(CH622,5,2)),VALUE(MID(CH622,FIND("-",CH622)+1,FIND("-",CH622,FIND("-",CH622)+1)-FIND("-",CH622)-1))),""))</f>
        <v/>
      </c>
      <c r="CO622">
        <f>IF(CH622="","",IFERROR(IF(AND(LEN(CH622)=9,ISERROR(FIND("-",LEFT(CH622,8))),ISNUMBER(-LEFT(CH622,8))),VALUE(MID(CH622,7,2)),VALUE(MID(CH622,FIND("-",CH622,FIND("-",CH622)+1)+1,FIND("-",CH622,FIND("-",CH622,FIND("-",CH622)+1)+1)-FIND("-",CH622,FIND("-",CH622)+1)-1))),""))</f>
        <v/>
      </c>
    </row>
    <row r="623">
      <c r="CH623">
        <f>IF(ISTEXT('월 가계부'!A623),SUBSTITUTE(SUBSTITUTE(SUBSTITUTE(SUBSTITUTE(SUBSTITUTE(SUBSTITUTE(SUBSTITUTE(SUBSTITUTE(SUBSTITUTE(TRIM('월 가계부'!A623),"년","-"),"월","-"),"일",""),".","-"),"/","-")," ","-"),"--","-"),"--","-"),"--","-")&amp;"-","")</f>
        <v/>
      </c>
      <c r="CI623">
        <f>IFERROR(IF('월 가계부'!A623="","",IF(ISNUMBER('월 가계부'!A623),IF(AND('월 가계부'!A623&gt;=19000101,'월 가계부'!A623&lt;=21001231),IF(AND(MOD(INT('월 가계부'!A623/100),100)&gt;=1,MOD(INT('월 가계부'!A623/100),100)&lt;=12,MOD(INT('월 가계부'!A623),100)&gt;=1,MOD(INT('월 가계부'!A623),100)&lt;=31),IF(MONTH(DATE(INT('월 가계부'!A623/10000),MOD(INT('월 가계부'!A623/100),100),MOD(INT('월 가계부'!A623),100)))=MOD(INT('월 가계부'!A623/100),100),DATE(INT('월 가계부'!A623/10000),MOD(INT('월 가계부'!A623/100),100),MOD(INT('월 가계부'!A623),100)),""),""),IF(AND('월 가계부'!A623&gt;=36526,'월 가계부'!A623&lt;73051),INT('월 가계부'!A623),"")),IF(OR(CM623="",CN623="",CO623=""),"",IF(AND(CM623&gt;=2000,CM623&lt;=2099,CN623&gt;=1,CN623&lt;=12,CO623&gt;=1,CO623&lt;=31),IF(MONTH(DATE(CM623,CN623,CO623))=CN623,DATE(CM623,CN623,CO623),""),"")))),"")</f>
        <v/>
      </c>
      <c r="CJ623">
        <f>IFERROR(IF('월 가계부'!C623="","",IF(ISNUMBER('월 가계부'!C623),'월 가계부'!C623,VALUE(SUBSTITUTE(SUBSTITUTE(SUBSTITUTE(SUBSTITUTE(TRIM('월 가계부'!C623),",",""),"원","")," ",""),"−","-")))),"")</f>
        <v/>
      </c>
      <c r="CK623">
        <f>IF(ISNUMBER(CI623),IF(CI623&lt;$B$13,CI623,""),"")</f>
        <v/>
      </c>
      <c r="CM623">
        <f>IF(CH623="","",IFERROR(IF(IF(AND(LEN(CH623)=9,ISERROR(FIND("-",LEFT(CH623,8))),ISNUMBER(-LEFT(CH623,8))),VALUE(LEFT(CH623,4)),VALUE(LEFT(CH623,FIND("-",CH623)-1)))&lt;100,IF(AND(LEN(CH623)=9,ISERROR(FIND("-",LEFT(CH623,8))),ISNUMBER(-LEFT(CH623,8))),VALUE(LEFT(CH623,4)),VALUE(LEFT(CH623,FIND("-",CH623)-1)))+2000,IF(AND(LEN(CH623)=9,ISERROR(FIND("-",LEFT(CH623,8))),ISNUMBER(-LEFT(CH623,8))),VALUE(LEFT(CH623,4)),VALUE(LEFT(CH623,FIND("-",CH623)-1)))),""))</f>
        <v/>
      </c>
      <c r="CN623">
        <f>IF(CH623="","",IFERROR(IF(AND(LEN(CH623)=9,ISERROR(FIND("-",LEFT(CH623,8))),ISNUMBER(-LEFT(CH623,8))),VALUE(MID(CH623,5,2)),VALUE(MID(CH623,FIND("-",CH623)+1,FIND("-",CH623,FIND("-",CH623)+1)-FIND("-",CH623)-1))),""))</f>
        <v/>
      </c>
      <c r="CO623">
        <f>IF(CH623="","",IFERROR(IF(AND(LEN(CH623)=9,ISERROR(FIND("-",LEFT(CH623,8))),ISNUMBER(-LEFT(CH623,8))),VALUE(MID(CH623,7,2)),VALUE(MID(CH623,FIND("-",CH623,FIND("-",CH623)+1)+1,FIND("-",CH623,FIND("-",CH623,FIND("-",CH623)+1)+1)-FIND("-",CH623,FIND("-",CH623)+1)-1))),""))</f>
        <v/>
      </c>
    </row>
    <row r="624">
      <c r="CH624">
        <f>IF(ISTEXT('월 가계부'!A624),SUBSTITUTE(SUBSTITUTE(SUBSTITUTE(SUBSTITUTE(SUBSTITUTE(SUBSTITUTE(SUBSTITUTE(SUBSTITUTE(SUBSTITUTE(TRIM('월 가계부'!A624),"년","-"),"월","-"),"일",""),".","-"),"/","-")," ","-"),"--","-"),"--","-"),"--","-")&amp;"-","")</f>
        <v/>
      </c>
      <c r="CI624">
        <f>IFERROR(IF('월 가계부'!A624="","",IF(ISNUMBER('월 가계부'!A624),IF(AND('월 가계부'!A624&gt;=19000101,'월 가계부'!A624&lt;=21001231),IF(AND(MOD(INT('월 가계부'!A624/100),100)&gt;=1,MOD(INT('월 가계부'!A624/100),100)&lt;=12,MOD(INT('월 가계부'!A624),100)&gt;=1,MOD(INT('월 가계부'!A624),100)&lt;=31),IF(MONTH(DATE(INT('월 가계부'!A624/10000),MOD(INT('월 가계부'!A624/100),100),MOD(INT('월 가계부'!A624),100)))=MOD(INT('월 가계부'!A624/100),100),DATE(INT('월 가계부'!A624/10000),MOD(INT('월 가계부'!A624/100),100),MOD(INT('월 가계부'!A624),100)),""),""),IF(AND('월 가계부'!A624&gt;=36526,'월 가계부'!A624&lt;73051),INT('월 가계부'!A624),"")),IF(OR(CM624="",CN624="",CO624=""),"",IF(AND(CM624&gt;=2000,CM624&lt;=2099,CN624&gt;=1,CN624&lt;=12,CO624&gt;=1,CO624&lt;=31),IF(MONTH(DATE(CM624,CN624,CO624))=CN624,DATE(CM624,CN624,CO624),""),"")))),"")</f>
        <v/>
      </c>
      <c r="CJ624">
        <f>IFERROR(IF('월 가계부'!C624="","",IF(ISNUMBER('월 가계부'!C624),'월 가계부'!C624,VALUE(SUBSTITUTE(SUBSTITUTE(SUBSTITUTE(SUBSTITUTE(TRIM('월 가계부'!C624),",",""),"원","")," ",""),"−","-")))),"")</f>
        <v/>
      </c>
      <c r="CK624">
        <f>IF(ISNUMBER(CI624),IF(CI624&lt;$B$13,CI624,""),"")</f>
        <v/>
      </c>
      <c r="CM624">
        <f>IF(CH624="","",IFERROR(IF(IF(AND(LEN(CH624)=9,ISERROR(FIND("-",LEFT(CH624,8))),ISNUMBER(-LEFT(CH624,8))),VALUE(LEFT(CH624,4)),VALUE(LEFT(CH624,FIND("-",CH624)-1)))&lt;100,IF(AND(LEN(CH624)=9,ISERROR(FIND("-",LEFT(CH624,8))),ISNUMBER(-LEFT(CH624,8))),VALUE(LEFT(CH624,4)),VALUE(LEFT(CH624,FIND("-",CH624)-1)))+2000,IF(AND(LEN(CH624)=9,ISERROR(FIND("-",LEFT(CH624,8))),ISNUMBER(-LEFT(CH624,8))),VALUE(LEFT(CH624,4)),VALUE(LEFT(CH624,FIND("-",CH624)-1)))),""))</f>
        <v/>
      </c>
      <c r="CN624">
        <f>IF(CH624="","",IFERROR(IF(AND(LEN(CH624)=9,ISERROR(FIND("-",LEFT(CH624,8))),ISNUMBER(-LEFT(CH624,8))),VALUE(MID(CH624,5,2)),VALUE(MID(CH624,FIND("-",CH624)+1,FIND("-",CH624,FIND("-",CH624)+1)-FIND("-",CH624)-1))),""))</f>
        <v/>
      </c>
      <c r="CO624">
        <f>IF(CH624="","",IFERROR(IF(AND(LEN(CH624)=9,ISERROR(FIND("-",LEFT(CH624,8))),ISNUMBER(-LEFT(CH624,8))),VALUE(MID(CH624,7,2)),VALUE(MID(CH624,FIND("-",CH624,FIND("-",CH624)+1)+1,FIND("-",CH624,FIND("-",CH624,FIND("-",CH624)+1)+1)-FIND("-",CH624,FIND("-",CH624)+1)-1))),""))</f>
        <v/>
      </c>
    </row>
    <row r="625">
      <c r="CH625">
        <f>IF(ISTEXT('월 가계부'!A625),SUBSTITUTE(SUBSTITUTE(SUBSTITUTE(SUBSTITUTE(SUBSTITUTE(SUBSTITUTE(SUBSTITUTE(SUBSTITUTE(SUBSTITUTE(TRIM('월 가계부'!A625),"년","-"),"월","-"),"일",""),".","-"),"/","-")," ","-"),"--","-"),"--","-"),"--","-")&amp;"-","")</f>
        <v/>
      </c>
      <c r="CI625">
        <f>IFERROR(IF('월 가계부'!A625="","",IF(ISNUMBER('월 가계부'!A625),IF(AND('월 가계부'!A625&gt;=19000101,'월 가계부'!A625&lt;=21001231),IF(AND(MOD(INT('월 가계부'!A625/100),100)&gt;=1,MOD(INT('월 가계부'!A625/100),100)&lt;=12,MOD(INT('월 가계부'!A625),100)&gt;=1,MOD(INT('월 가계부'!A625),100)&lt;=31),IF(MONTH(DATE(INT('월 가계부'!A625/10000),MOD(INT('월 가계부'!A625/100),100),MOD(INT('월 가계부'!A625),100)))=MOD(INT('월 가계부'!A625/100),100),DATE(INT('월 가계부'!A625/10000),MOD(INT('월 가계부'!A625/100),100),MOD(INT('월 가계부'!A625),100)),""),""),IF(AND('월 가계부'!A625&gt;=36526,'월 가계부'!A625&lt;73051),INT('월 가계부'!A625),"")),IF(OR(CM625="",CN625="",CO625=""),"",IF(AND(CM625&gt;=2000,CM625&lt;=2099,CN625&gt;=1,CN625&lt;=12,CO625&gt;=1,CO625&lt;=31),IF(MONTH(DATE(CM625,CN625,CO625))=CN625,DATE(CM625,CN625,CO625),""),"")))),"")</f>
        <v/>
      </c>
      <c r="CJ625">
        <f>IFERROR(IF('월 가계부'!C625="","",IF(ISNUMBER('월 가계부'!C625),'월 가계부'!C625,VALUE(SUBSTITUTE(SUBSTITUTE(SUBSTITUTE(SUBSTITUTE(TRIM('월 가계부'!C625),",",""),"원","")," ",""),"−","-")))),"")</f>
        <v/>
      </c>
      <c r="CK625">
        <f>IF(ISNUMBER(CI625),IF(CI625&lt;$B$13,CI625,""),"")</f>
        <v/>
      </c>
      <c r="CM625">
        <f>IF(CH625="","",IFERROR(IF(IF(AND(LEN(CH625)=9,ISERROR(FIND("-",LEFT(CH625,8))),ISNUMBER(-LEFT(CH625,8))),VALUE(LEFT(CH625,4)),VALUE(LEFT(CH625,FIND("-",CH625)-1)))&lt;100,IF(AND(LEN(CH625)=9,ISERROR(FIND("-",LEFT(CH625,8))),ISNUMBER(-LEFT(CH625,8))),VALUE(LEFT(CH625,4)),VALUE(LEFT(CH625,FIND("-",CH625)-1)))+2000,IF(AND(LEN(CH625)=9,ISERROR(FIND("-",LEFT(CH625,8))),ISNUMBER(-LEFT(CH625,8))),VALUE(LEFT(CH625,4)),VALUE(LEFT(CH625,FIND("-",CH625)-1)))),""))</f>
        <v/>
      </c>
      <c r="CN625">
        <f>IF(CH625="","",IFERROR(IF(AND(LEN(CH625)=9,ISERROR(FIND("-",LEFT(CH625,8))),ISNUMBER(-LEFT(CH625,8))),VALUE(MID(CH625,5,2)),VALUE(MID(CH625,FIND("-",CH625)+1,FIND("-",CH625,FIND("-",CH625)+1)-FIND("-",CH625)-1))),""))</f>
        <v/>
      </c>
      <c r="CO625">
        <f>IF(CH625="","",IFERROR(IF(AND(LEN(CH625)=9,ISERROR(FIND("-",LEFT(CH625,8))),ISNUMBER(-LEFT(CH625,8))),VALUE(MID(CH625,7,2)),VALUE(MID(CH625,FIND("-",CH625,FIND("-",CH625)+1)+1,FIND("-",CH625,FIND("-",CH625,FIND("-",CH625)+1)+1)-FIND("-",CH625,FIND("-",CH625)+1)-1))),""))</f>
        <v/>
      </c>
    </row>
    <row r="626">
      <c r="CH626">
        <f>IF(ISTEXT('월 가계부'!A626),SUBSTITUTE(SUBSTITUTE(SUBSTITUTE(SUBSTITUTE(SUBSTITUTE(SUBSTITUTE(SUBSTITUTE(SUBSTITUTE(SUBSTITUTE(TRIM('월 가계부'!A626),"년","-"),"월","-"),"일",""),".","-"),"/","-")," ","-"),"--","-"),"--","-"),"--","-")&amp;"-","")</f>
        <v/>
      </c>
      <c r="CI626">
        <f>IFERROR(IF('월 가계부'!A626="","",IF(ISNUMBER('월 가계부'!A626),IF(AND('월 가계부'!A626&gt;=19000101,'월 가계부'!A626&lt;=21001231),IF(AND(MOD(INT('월 가계부'!A626/100),100)&gt;=1,MOD(INT('월 가계부'!A626/100),100)&lt;=12,MOD(INT('월 가계부'!A626),100)&gt;=1,MOD(INT('월 가계부'!A626),100)&lt;=31),IF(MONTH(DATE(INT('월 가계부'!A626/10000),MOD(INT('월 가계부'!A626/100),100),MOD(INT('월 가계부'!A626),100)))=MOD(INT('월 가계부'!A626/100),100),DATE(INT('월 가계부'!A626/10000),MOD(INT('월 가계부'!A626/100),100),MOD(INT('월 가계부'!A626),100)),""),""),IF(AND('월 가계부'!A626&gt;=36526,'월 가계부'!A626&lt;73051),INT('월 가계부'!A626),"")),IF(OR(CM626="",CN626="",CO626=""),"",IF(AND(CM626&gt;=2000,CM626&lt;=2099,CN626&gt;=1,CN626&lt;=12,CO626&gt;=1,CO626&lt;=31),IF(MONTH(DATE(CM626,CN626,CO626))=CN626,DATE(CM626,CN626,CO626),""),"")))),"")</f>
        <v/>
      </c>
      <c r="CJ626">
        <f>IFERROR(IF('월 가계부'!C626="","",IF(ISNUMBER('월 가계부'!C626),'월 가계부'!C626,VALUE(SUBSTITUTE(SUBSTITUTE(SUBSTITUTE(SUBSTITUTE(TRIM('월 가계부'!C626),",",""),"원","")," ",""),"−","-")))),"")</f>
        <v/>
      </c>
      <c r="CK626">
        <f>IF(ISNUMBER(CI626),IF(CI626&lt;$B$13,CI626,""),"")</f>
        <v/>
      </c>
      <c r="CM626">
        <f>IF(CH626="","",IFERROR(IF(IF(AND(LEN(CH626)=9,ISERROR(FIND("-",LEFT(CH626,8))),ISNUMBER(-LEFT(CH626,8))),VALUE(LEFT(CH626,4)),VALUE(LEFT(CH626,FIND("-",CH626)-1)))&lt;100,IF(AND(LEN(CH626)=9,ISERROR(FIND("-",LEFT(CH626,8))),ISNUMBER(-LEFT(CH626,8))),VALUE(LEFT(CH626,4)),VALUE(LEFT(CH626,FIND("-",CH626)-1)))+2000,IF(AND(LEN(CH626)=9,ISERROR(FIND("-",LEFT(CH626,8))),ISNUMBER(-LEFT(CH626,8))),VALUE(LEFT(CH626,4)),VALUE(LEFT(CH626,FIND("-",CH626)-1)))),""))</f>
        <v/>
      </c>
      <c r="CN626">
        <f>IF(CH626="","",IFERROR(IF(AND(LEN(CH626)=9,ISERROR(FIND("-",LEFT(CH626,8))),ISNUMBER(-LEFT(CH626,8))),VALUE(MID(CH626,5,2)),VALUE(MID(CH626,FIND("-",CH626)+1,FIND("-",CH626,FIND("-",CH626)+1)-FIND("-",CH626)-1))),""))</f>
        <v/>
      </c>
      <c r="CO626">
        <f>IF(CH626="","",IFERROR(IF(AND(LEN(CH626)=9,ISERROR(FIND("-",LEFT(CH626,8))),ISNUMBER(-LEFT(CH626,8))),VALUE(MID(CH626,7,2)),VALUE(MID(CH626,FIND("-",CH626,FIND("-",CH626)+1)+1,FIND("-",CH626,FIND("-",CH626,FIND("-",CH626)+1)+1)-FIND("-",CH626,FIND("-",CH626)+1)-1))),""))</f>
        <v/>
      </c>
    </row>
    <row r="627">
      <c r="CH627">
        <f>IF(ISTEXT('월 가계부'!A627),SUBSTITUTE(SUBSTITUTE(SUBSTITUTE(SUBSTITUTE(SUBSTITUTE(SUBSTITUTE(SUBSTITUTE(SUBSTITUTE(SUBSTITUTE(TRIM('월 가계부'!A627),"년","-"),"월","-"),"일",""),".","-"),"/","-")," ","-"),"--","-"),"--","-"),"--","-")&amp;"-","")</f>
        <v/>
      </c>
      <c r="CI627">
        <f>IFERROR(IF('월 가계부'!A627="","",IF(ISNUMBER('월 가계부'!A627),IF(AND('월 가계부'!A627&gt;=19000101,'월 가계부'!A627&lt;=21001231),IF(AND(MOD(INT('월 가계부'!A627/100),100)&gt;=1,MOD(INT('월 가계부'!A627/100),100)&lt;=12,MOD(INT('월 가계부'!A627),100)&gt;=1,MOD(INT('월 가계부'!A627),100)&lt;=31),IF(MONTH(DATE(INT('월 가계부'!A627/10000),MOD(INT('월 가계부'!A627/100),100),MOD(INT('월 가계부'!A627),100)))=MOD(INT('월 가계부'!A627/100),100),DATE(INT('월 가계부'!A627/10000),MOD(INT('월 가계부'!A627/100),100),MOD(INT('월 가계부'!A627),100)),""),""),IF(AND('월 가계부'!A627&gt;=36526,'월 가계부'!A627&lt;73051),INT('월 가계부'!A627),"")),IF(OR(CM627="",CN627="",CO627=""),"",IF(AND(CM627&gt;=2000,CM627&lt;=2099,CN627&gt;=1,CN627&lt;=12,CO627&gt;=1,CO627&lt;=31),IF(MONTH(DATE(CM627,CN627,CO627))=CN627,DATE(CM627,CN627,CO627),""),"")))),"")</f>
        <v/>
      </c>
      <c r="CJ627">
        <f>IFERROR(IF('월 가계부'!C627="","",IF(ISNUMBER('월 가계부'!C627),'월 가계부'!C627,VALUE(SUBSTITUTE(SUBSTITUTE(SUBSTITUTE(SUBSTITUTE(TRIM('월 가계부'!C627),",",""),"원","")," ",""),"−","-")))),"")</f>
        <v/>
      </c>
      <c r="CK627">
        <f>IF(ISNUMBER(CI627),IF(CI627&lt;$B$13,CI627,""),"")</f>
        <v/>
      </c>
      <c r="CM627">
        <f>IF(CH627="","",IFERROR(IF(IF(AND(LEN(CH627)=9,ISERROR(FIND("-",LEFT(CH627,8))),ISNUMBER(-LEFT(CH627,8))),VALUE(LEFT(CH627,4)),VALUE(LEFT(CH627,FIND("-",CH627)-1)))&lt;100,IF(AND(LEN(CH627)=9,ISERROR(FIND("-",LEFT(CH627,8))),ISNUMBER(-LEFT(CH627,8))),VALUE(LEFT(CH627,4)),VALUE(LEFT(CH627,FIND("-",CH627)-1)))+2000,IF(AND(LEN(CH627)=9,ISERROR(FIND("-",LEFT(CH627,8))),ISNUMBER(-LEFT(CH627,8))),VALUE(LEFT(CH627,4)),VALUE(LEFT(CH627,FIND("-",CH627)-1)))),""))</f>
        <v/>
      </c>
      <c r="CN627">
        <f>IF(CH627="","",IFERROR(IF(AND(LEN(CH627)=9,ISERROR(FIND("-",LEFT(CH627,8))),ISNUMBER(-LEFT(CH627,8))),VALUE(MID(CH627,5,2)),VALUE(MID(CH627,FIND("-",CH627)+1,FIND("-",CH627,FIND("-",CH627)+1)-FIND("-",CH627)-1))),""))</f>
        <v/>
      </c>
      <c r="CO627">
        <f>IF(CH627="","",IFERROR(IF(AND(LEN(CH627)=9,ISERROR(FIND("-",LEFT(CH627,8))),ISNUMBER(-LEFT(CH627,8))),VALUE(MID(CH627,7,2)),VALUE(MID(CH627,FIND("-",CH627,FIND("-",CH627)+1)+1,FIND("-",CH627,FIND("-",CH627,FIND("-",CH627)+1)+1)-FIND("-",CH627,FIND("-",CH627)+1)-1))),""))</f>
        <v/>
      </c>
    </row>
    <row r="628">
      <c r="CH628">
        <f>IF(ISTEXT('월 가계부'!A628),SUBSTITUTE(SUBSTITUTE(SUBSTITUTE(SUBSTITUTE(SUBSTITUTE(SUBSTITUTE(SUBSTITUTE(SUBSTITUTE(SUBSTITUTE(TRIM('월 가계부'!A628),"년","-"),"월","-"),"일",""),".","-"),"/","-")," ","-"),"--","-"),"--","-"),"--","-")&amp;"-","")</f>
        <v/>
      </c>
      <c r="CI628">
        <f>IFERROR(IF('월 가계부'!A628="","",IF(ISNUMBER('월 가계부'!A628),IF(AND('월 가계부'!A628&gt;=19000101,'월 가계부'!A628&lt;=21001231),IF(AND(MOD(INT('월 가계부'!A628/100),100)&gt;=1,MOD(INT('월 가계부'!A628/100),100)&lt;=12,MOD(INT('월 가계부'!A628),100)&gt;=1,MOD(INT('월 가계부'!A628),100)&lt;=31),IF(MONTH(DATE(INT('월 가계부'!A628/10000),MOD(INT('월 가계부'!A628/100),100),MOD(INT('월 가계부'!A628),100)))=MOD(INT('월 가계부'!A628/100),100),DATE(INT('월 가계부'!A628/10000),MOD(INT('월 가계부'!A628/100),100),MOD(INT('월 가계부'!A628),100)),""),""),IF(AND('월 가계부'!A628&gt;=36526,'월 가계부'!A628&lt;73051),INT('월 가계부'!A628),"")),IF(OR(CM628="",CN628="",CO628=""),"",IF(AND(CM628&gt;=2000,CM628&lt;=2099,CN628&gt;=1,CN628&lt;=12,CO628&gt;=1,CO628&lt;=31),IF(MONTH(DATE(CM628,CN628,CO628))=CN628,DATE(CM628,CN628,CO628),""),"")))),"")</f>
        <v/>
      </c>
      <c r="CJ628">
        <f>IFERROR(IF('월 가계부'!C628="","",IF(ISNUMBER('월 가계부'!C628),'월 가계부'!C628,VALUE(SUBSTITUTE(SUBSTITUTE(SUBSTITUTE(SUBSTITUTE(TRIM('월 가계부'!C628),",",""),"원","")," ",""),"−","-")))),"")</f>
        <v/>
      </c>
      <c r="CK628">
        <f>IF(ISNUMBER(CI628),IF(CI628&lt;$B$13,CI628,""),"")</f>
        <v/>
      </c>
      <c r="CM628">
        <f>IF(CH628="","",IFERROR(IF(IF(AND(LEN(CH628)=9,ISERROR(FIND("-",LEFT(CH628,8))),ISNUMBER(-LEFT(CH628,8))),VALUE(LEFT(CH628,4)),VALUE(LEFT(CH628,FIND("-",CH628)-1)))&lt;100,IF(AND(LEN(CH628)=9,ISERROR(FIND("-",LEFT(CH628,8))),ISNUMBER(-LEFT(CH628,8))),VALUE(LEFT(CH628,4)),VALUE(LEFT(CH628,FIND("-",CH628)-1)))+2000,IF(AND(LEN(CH628)=9,ISERROR(FIND("-",LEFT(CH628,8))),ISNUMBER(-LEFT(CH628,8))),VALUE(LEFT(CH628,4)),VALUE(LEFT(CH628,FIND("-",CH628)-1)))),""))</f>
        <v/>
      </c>
      <c r="CN628">
        <f>IF(CH628="","",IFERROR(IF(AND(LEN(CH628)=9,ISERROR(FIND("-",LEFT(CH628,8))),ISNUMBER(-LEFT(CH628,8))),VALUE(MID(CH628,5,2)),VALUE(MID(CH628,FIND("-",CH628)+1,FIND("-",CH628,FIND("-",CH628)+1)-FIND("-",CH628)-1))),""))</f>
        <v/>
      </c>
      <c r="CO628">
        <f>IF(CH628="","",IFERROR(IF(AND(LEN(CH628)=9,ISERROR(FIND("-",LEFT(CH628,8))),ISNUMBER(-LEFT(CH628,8))),VALUE(MID(CH628,7,2)),VALUE(MID(CH628,FIND("-",CH628,FIND("-",CH628)+1)+1,FIND("-",CH628,FIND("-",CH628,FIND("-",CH628)+1)+1)-FIND("-",CH628,FIND("-",CH628)+1)-1))),""))</f>
        <v/>
      </c>
    </row>
    <row r="629">
      <c r="CH629">
        <f>IF(ISTEXT('월 가계부'!A629),SUBSTITUTE(SUBSTITUTE(SUBSTITUTE(SUBSTITUTE(SUBSTITUTE(SUBSTITUTE(SUBSTITUTE(SUBSTITUTE(SUBSTITUTE(TRIM('월 가계부'!A629),"년","-"),"월","-"),"일",""),".","-"),"/","-")," ","-"),"--","-"),"--","-"),"--","-")&amp;"-","")</f>
        <v/>
      </c>
      <c r="CI629">
        <f>IFERROR(IF('월 가계부'!A629="","",IF(ISNUMBER('월 가계부'!A629),IF(AND('월 가계부'!A629&gt;=19000101,'월 가계부'!A629&lt;=21001231),IF(AND(MOD(INT('월 가계부'!A629/100),100)&gt;=1,MOD(INT('월 가계부'!A629/100),100)&lt;=12,MOD(INT('월 가계부'!A629),100)&gt;=1,MOD(INT('월 가계부'!A629),100)&lt;=31),IF(MONTH(DATE(INT('월 가계부'!A629/10000),MOD(INT('월 가계부'!A629/100),100),MOD(INT('월 가계부'!A629),100)))=MOD(INT('월 가계부'!A629/100),100),DATE(INT('월 가계부'!A629/10000),MOD(INT('월 가계부'!A629/100),100),MOD(INT('월 가계부'!A629),100)),""),""),IF(AND('월 가계부'!A629&gt;=36526,'월 가계부'!A629&lt;73051),INT('월 가계부'!A629),"")),IF(OR(CM629="",CN629="",CO629=""),"",IF(AND(CM629&gt;=2000,CM629&lt;=2099,CN629&gt;=1,CN629&lt;=12,CO629&gt;=1,CO629&lt;=31),IF(MONTH(DATE(CM629,CN629,CO629))=CN629,DATE(CM629,CN629,CO629),""),"")))),"")</f>
        <v/>
      </c>
      <c r="CJ629">
        <f>IFERROR(IF('월 가계부'!C629="","",IF(ISNUMBER('월 가계부'!C629),'월 가계부'!C629,VALUE(SUBSTITUTE(SUBSTITUTE(SUBSTITUTE(SUBSTITUTE(TRIM('월 가계부'!C629),",",""),"원","")," ",""),"−","-")))),"")</f>
        <v/>
      </c>
      <c r="CK629">
        <f>IF(ISNUMBER(CI629),IF(CI629&lt;$B$13,CI629,""),"")</f>
        <v/>
      </c>
      <c r="CM629">
        <f>IF(CH629="","",IFERROR(IF(IF(AND(LEN(CH629)=9,ISERROR(FIND("-",LEFT(CH629,8))),ISNUMBER(-LEFT(CH629,8))),VALUE(LEFT(CH629,4)),VALUE(LEFT(CH629,FIND("-",CH629)-1)))&lt;100,IF(AND(LEN(CH629)=9,ISERROR(FIND("-",LEFT(CH629,8))),ISNUMBER(-LEFT(CH629,8))),VALUE(LEFT(CH629,4)),VALUE(LEFT(CH629,FIND("-",CH629)-1)))+2000,IF(AND(LEN(CH629)=9,ISERROR(FIND("-",LEFT(CH629,8))),ISNUMBER(-LEFT(CH629,8))),VALUE(LEFT(CH629,4)),VALUE(LEFT(CH629,FIND("-",CH629)-1)))),""))</f>
        <v/>
      </c>
      <c r="CN629">
        <f>IF(CH629="","",IFERROR(IF(AND(LEN(CH629)=9,ISERROR(FIND("-",LEFT(CH629,8))),ISNUMBER(-LEFT(CH629,8))),VALUE(MID(CH629,5,2)),VALUE(MID(CH629,FIND("-",CH629)+1,FIND("-",CH629,FIND("-",CH629)+1)-FIND("-",CH629)-1))),""))</f>
        <v/>
      </c>
      <c r="CO629">
        <f>IF(CH629="","",IFERROR(IF(AND(LEN(CH629)=9,ISERROR(FIND("-",LEFT(CH629,8))),ISNUMBER(-LEFT(CH629,8))),VALUE(MID(CH629,7,2)),VALUE(MID(CH629,FIND("-",CH629,FIND("-",CH629)+1)+1,FIND("-",CH629,FIND("-",CH629,FIND("-",CH629)+1)+1)-FIND("-",CH629,FIND("-",CH629)+1)-1))),""))</f>
        <v/>
      </c>
    </row>
    <row r="630">
      <c r="CH630">
        <f>IF(ISTEXT('월 가계부'!A630),SUBSTITUTE(SUBSTITUTE(SUBSTITUTE(SUBSTITUTE(SUBSTITUTE(SUBSTITUTE(SUBSTITUTE(SUBSTITUTE(SUBSTITUTE(TRIM('월 가계부'!A630),"년","-"),"월","-"),"일",""),".","-"),"/","-")," ","-"),"--","-"),"--","-"),"--","-")&amp;"-","")</f>
        <v/>
      </c>
      <c r="CI630">
        <f>IFERROR(IF('월 가계부'!A630="","",IF(ISNUMBER('월 가계부'!A630),IF(AND('월 가계부'!A630&gt;=19000101,'월 가계부'!A630&lt;=21001231),IF(AND(MOD(INT('월 가계부'!A630/100),100)&gt;=1,MOD(INT('월 가계부'!A630/100),100)&lt;=12,MOD(INT('월 가계부'!A630),100)&gt;=1,MOD(INT('월 가계부'!A630),100)&lt;=31),IF(MONTH(DATE(INT('월 가계부'!A630/10000),MOD(INT('월 가계부'!A630/100),100),MOD(INT('월 가계부'!A630),100)))=MOD(INT('월 가계부'!A630/100),100),DATE(INT('월 가계부'!A630/10000),MOD(INT('월 가계부'!A630/100),100),MOD(INT('월 가계부'!A630),100)),""),""),IF(AND('월 가계부'!A630&gt;=36526,'월 가계부'!A630&lt;73051),INT('월 가계부'!A630),"")),IF(OR(CM630="",CN630="",CO630=""),"",IF(AND(CM630&gt;=2000,CM630&lt;=2099,CN630&gt;=1,CN630&lt;=12,CO630&gt;=1,CO630&lt;=31),IF(MONTH(DATE(CM630,CN630,CO630))=CN630,DATE(CM630,CN630,CO630),""),"")))),"")</f>
        <v/>
      </c>
      <c r="CJ630">
        <f>IFERROR(IF('월 가계부'!C630="","",IF(ISNUMBER('월 가계부'!C630),'월 가계부'!C630,VALUE(SUBSTITUTE(SUBSTITUTE(SUBSTITUTE(SUBSTITUTE(TRIM('월 가계부'!C630),",",""),"원","")," ",""),"−","-")))),"")</f>
        <v/>
      </c>
      <c r="CK630">
        <f>IF(ISNUMBER(CI630),IF(CI630&lt;$B$13,CI630,""),"")</f>
        <v/>
      </c>
      <c r="CM630">
        <f>IF(CH630="","",IFERROR(IF(IF(AND(LEN(CH630)=9,ISERROR(FIND("-",LEFT(CH630,8))),ISNUMBER(-LEFT(CH630,8))),VALUE(LEFT(CH630,4)),VALUE(LEFT(CH630,FIND("-",CH630)-1)))&lt;100,IF(AND(LEN(CH630)=9,ISERROR(FIND("-",LEFT(CH630,8))),ISNUMBER(-LEFT(CH630,8))),VALUE(LEFT(CH630,4)),VALUE(LEFT(CH630,FIND("-",CH630)-1)))+2000,IF(AND(LEN(CH630)=9,ISERROR(FIND("-",LEFT(CH630,8))),ISNUMBER(-LEFT(CH630,8))),VALUE(LEFT(CH630,4)),VALUE(LEFT(CH630,FIND("-",CH630)-1)))),""))</f>
        <v/>
      </c>
      <c r="CN630">
        <f>IF(CH630="","",IFERROR(IF(AND(LEN(CH630)=9,ISERROR(FIND("-",LEFT(CH630,8))),ISNUMBER(-LEFT(CH630,8))),VALUE(MID(CH630,5,2)),VALUE(MID(CH630,FIND("-",CH630)+1,FIND("-",CH630,FIND("-",CH630)+1)-FIND("-",CH630)-1))),""))</f>
        <v/>
      </c>
      <c r="CO630">
        <f>IF(CH630="","",IFERROR(IF(AND(LEN(CH630)=9,ISERROR(FIND("-",LEFT(CH630,8))),ISNUMBER(-LEFT(CH630,8))),VALUE(MID(CH630,7,2)),VALUE(MID(CH630,FIND("-",CH630,FIND("-",CH630)+1)+1,FIND("-",CH630,FIND("-",CH630,FIND("-",CH630)+1)+1)-FIND("-",CH630,FIND("-",CH630)+1)-1))),""))</f>
        <v/>
      </c>
    </row>
    <row r="631">
      <c r="CH631">
        <f>IF(ISTEXT('월 가계부'!A631),SUBSTITUTE(SUBSTITUTE(SUBSTITUTE(SUBSTITUTE(SUBSTITUTE(SUBSTITUTE(SUBSTITUTE(SUBSTITUTE(SUBSTITUTE(TRIM('월 가계부'!A631),"년","-"),"월","-"),"일",""),".","-"),"/","-")," ","-"),"--","-"),"--","-"),"--","-")&amp;"-","")</f>
        <v/>
      </c>
      <c r="CI631">
        <f>IFERROR(IF('월 가계부'!A631="","",IF(ISNUMBER('월 가계부'!A631),IF(AND('월 가계부'!A631&gt;=19000101,'월 가계부'!A631&lt;=21001231),IF(AND(MOD(INT('월 가계부'!A631/100),100)&gt;=1,MOD(INT('월 가계부'!A631/100),100)&lt;=12,MOD(INT('월 가계부'!A631),100)&gt;=1,MOD(INT('월 가계부'!A631),100)&lt;=31),IF(MONTH(DATE(INT('월 가계부'!A631/10000),MOD(INT('월 가계부'!A631/100),100),MOD(INT('월 가계부'!A631),100)))=MOD(INT('월 가계부'!A631/100),100),DATE(INT('월 가계부'!A631/10000),MOD(INT('월 가계부'!A631/100),100),MOD(INT('월 가계부'!A631),100)),""),""),IF(AND('월 가계부'!A631&gt;=36526,'월 가계부'!A631&lt;73051),INT('월 가계부'!A631),"")),IF(OR(CM631="",CN631="",CO631=""),"",IF(AND(CM631&gt;=2000,CM631&lt;=2099,CN631&gt;=1,CN631&lt;=12,CO631&gt;=1,CO631&lt;=31),IF(MONTH(DATE(CM631,CN631,CO631))=CN631,DATE(CM631,CN631,CO631),""),"")))),"")</f>
        <v/>
      </c>
      <c r="CJ631">
        <f>IFERROR(IF('월 가계부'!C631="","",IF(ISNUMBER('월 가계부'!C631),'월 가계부'!C631,VALUE(SUBSTITUTE(SUBSTITUTE(SUBSTITUTE(SUBSTITUTE(TRIM('월 가계부'!C631),",",""),"원","")," ",""),"−","-")))),"")</f>
        <v/>
      </c>
      <c r="CK631">
        <f>IF(ISNUMBER(CI631),IF(CI631&lt;$B$13,CI631,""),"")</f>
        <v/>
      </c>
      <c r="CM631">
        <f>IF(CH631="","",IFERROR(IF(IF(AND(LEN(CH631)=9,ISERROR(FIND("-",LEFT(CH631,8))),ISNUMBER(-LEFT(CH631,8))),VALUE(LEFT(CH631,4)),VALUE(LEFT(CH631,FIND("-",CH631)-1)))&lt;100,IF(AND(LEN(CH631)=9,ISERROR(FIND("-",LEFT(CH631,8))),ISNUMBER(-LEFT(CH631,8))),VALUE(LEFT(CH631,4)),VALUE(LEFT(CH631,FIND("-",CH631)-1)))+2000,IF(AND(LEN(CH631)=9,ISERROR(FIND("-",LEFT(CH631,8))),ISNUMBER(-LEFT(CH631,8))),VALUE(LEFT(CH631,4)),VALUE(LEFT(CH631,FIND("-",CH631)-1)))),""))</f>
        <v/>
      </c>
      <c r="CN631">
        <f>IF(CH631="","",IFERROR(IF(AND(LEN(CH631)=9,ISERROR(FIND("-",LEFT(CH631,8))),ISNUMBER(-LEFT(CH631,8))),VALUE(MID(CH631,5,2)),VALUE(MID(CH631,FIND("-",CH631)+1,FIND("-",CH631,FIND("-",CH631)+1)-FIND("-",CH631)-1))),""))</f>
        <v/>
      </c>
      <c r="CO631">
        <f>IF(CH631="","",IFERROR(IF(AND(LEN(CH631)=9,ISERROR(FIND("-",LEFT(CH631,8))),ISNUMBER(-LEFT(CH631,8))),VALUE(MID(CH631,7,2)),VALUE(MID(CH631,FIND("-",CH631,FIND("-",CH631)+1)+1,FIND("-",CH631,FIND("-",CH631,FIND("-",CH631)+1)+1)-FIND("-",CH631,FIND("-",CH631)+1)-1))),""))</f>
        <v/>
      </c>
    </row>
    <row r="632">
      <c r="CH632">
        <f>IF(ISTEXT('월 가계부'!A632),SUBSTITUTE(SUBSTITUTE(SUBSTITUTE(SUBSTITUTE(SUBSTITUTE(SUBSTITUTE(SUBSTITUTE(SUBSTITUTE(SUBSTITUTE(TRIM('월 가계부'!A632),"년","-"),"월","-"),"일",""),".","-"),"/","-")," ","-"),"--","-"),"--","-"),"--","-")&amp;"-","")</f>
        <v/>
      </c>
      <c r="CI632">
        <f>IFERROR(IF('월 가계부'!A632="","",IF(ISNUMBER('월 가계부'!A632),IF(AND('월 가계부'!A632&gt;=19000101,'월 가계부'!A632&lt;=21001231),IF(AND(MOD(INT('월 가계부'!A632/100),100)&gt;=1,MOD(INT('월 가계부'!A632/100),100)&lt;=12,MOD(INT('월 가계부'!A632),100)&gt;=1,MOD(INT('월 가계부'!A632),100)&lt;=31),IF(MONTH(DATE(INT('월 가계부'!A632/10000),MOD(INT('월 가계부'!A632/100),100),MOD(INT('월 가계부'!A632),100)))=MOD(INT('월 가계부'!A632/100),100),DATE(INT('월 가계부'!A632/10000),MOD(INT('월 가계부'!A632/100),100),MOD(INT('월 가계부'!A632),100)),""),""),IF(AND('월 가계부'!A632&gt;=36526,'월 가계부'!A632&lt;73051),INT('월 가계부'!A632),"")),IF(OR(CM632="",CN632="",CO632=""),"",IF(AND(CM632&gt;=2000,CM632&lt;=2099,CN632&gt;=1,CN632&lt;=12,CO632&gt;=1,CO632&lt;=31),IF(MONTH(DATE(CM632,CN632,CO632))=CN632,DATE(CM632,CN632,CO632),""),"")))),"")</f>
        <v/>
      </c>
      <c r="CJ632">
        <f>IFERROR(IF('월 가계부'!C632="","",IF(ISNUMBER('월 가계부'!C632),'월 가계부'!C632,VALUE(SUBSTITUTE(SUBSTITUTE(SUBSTITUTE(SUBSTITUTE(TRIM('월 가계부'!C632),",",""),"원","")," ",""),"−","-")))),"")</f>
        <v/>
      </c>
      <c r="CK632">
        <f>IF(ISNUMBER(CI632),IF(CI632&lt;$B$13,CI632,""),"")</f>
        <v/>
      </c>
      <c r="CM632">
        <f>IF(CH632="","",IFERROR(IF(IF(AND(LEN(CH632)=9,ISERROR(FIND("-",LEFT(CH632,8))),ISNUMBER(-LEFT(CH632,8))),VALUE(LEFT(CH632,4)),VALUE(LEFT(CH632,FIND("-",CH632)-1)))&lt;100,IF(AND(LEN(CH632)=9,ISERROR(FIND("-",LEFT(CH632,8))),ISNUMBER(-LEFT(CH632,8))),VALUE(LEFT(CH632,4)),VALUE(LEFT(CH632,FIND("-",CH632)-1)))+2000,IF(AND(LEN(CH632)=9,ISERROR(FIND("-",LEFT(CH632,8))),ISNUMBER(-LEFT(CH632,8))),VALUE(LEFT(CH632,4)),VALUE(LEFT(CH632,FIND("-",CH632)-1)))),""))</f>
        <v/>
      </c>
      <c r="CN632">
        <f>IF(CH632="","",IFERROR(IF(AND(LEN(CH632)=9,ISERROR(FIND("-",LEFT(CH632,8))),ISNUMBER(-LEFT(CH632,8))),VALUE(MID(CH632,5,2)),VALUE(MID(CH632,FIND("-",CH632)+1,FIND("-",CH632,FIND("-",CH632)+1)-FIND("-",CH632)-1))),""))</f>
        <v/>
      </c>
      <c r="CO632">
        <f>IF(CH632="","",IFERROR(IF(AND(LEN(CH632)=9,ISERROR(FIND("-",LEFT(CH632,8))),ISNUMBER(-LEFT(CH632,8))),VALUE(MID(CH632,7,2)),VALUE(MID(CH632,FIND("-",CH632,FIND("-",CH632)+1)+1,FIND("-",CH632,FIND("-",CH632,FIND("-",CH632)+1)+1)-FIND("-",CH632,FIND("-",CH632)+1)-1))),""))</f>
        <v/>
      </c>
    </row>
    <row r="633">
      <c r="CH633">
        <f>IF(ISTEXT('월 가계부'!A633),SUBSTITUTE(SUBSTITUTE(SUBSTITUTE(SUBSTITUTE(SUBSTITUTE(SUBSTITUTE(SUBSTITUTE(SUBSTITUTE(SUBSTITUTE(TRIM('월 가계부'!A633),"년","-"),"월","-"),"일",""),".","-"),"/","-")," ","-"),"--","-"),"--","-"),"--","-")&amp;"-","")</f>
        <v/>
      </c>
      <c r="CI633">
        <f>IFERROR(IF('월 가계부'!A633="","",IF(ISNUMBER('월 가계부'!A633),IF(AND('월 가계부'!A633&gt;=19000101,'월 가계부'!A633&lt;=21001231),IF(AND(MOD(INT('월 가계부'!A633/100),100)&gt;=1,MOD(INT('월 가계부'!A633/100),100)&lt;=12,MOD(INT('월 가계부'!A633),100)&gt;=1,MOD(INT('월 가계부'!A633),100)&lt;=31),IF(MONTH(DATE(INT('월 가계부'!A633/10000),MOD(INT('월 가계부'!A633/100),100),MOD(INT('월 가계부'!A633),100)))=MOD(INT('월 가계부'!A633/100),100),DATE(INT('월 가계부'!A633/10000),MOD(INT('월 가계부'!A633/100),100),MOD(INT('월 가계부'!A633),100)),""),""),IF(AND('월 가계부'!A633&gt;=36526,'월 가계부'!A633&lt;73051),INT('월 가계부'!A633),"")),IF(OR(CM633="",CN633="",CO633=""),"",IF(AND(CM633&gt;=2000,CM633&lt;=2099,CN633&gt;=1,CN633&lt;=12,CO633&gt;=1,CO633&lt;=31),IF(MONTH(DATE(CM633,CN633,CO633))=CN633,DATE(CM633,CN633,CO633),""),"")))),"")</f>
        <v/>
      </c>
      <c r="CJ633">
        <f>IFERROR(IF('월 가계부'!C633="","",IF(ISNUMBER('월 가계부'!C633),'월 가계부'!C633,VALUE(SUBSTITUTE(SUBSTITUTE(SUBSTITUTE(SUBSTITUTE(TRIM('월 가계부'!C633),",",""),"원","")," ",""),"−","-")))),"")</f>
        <v/>
      </c>
      <c r="CK633">
        <f>IF(ISNUMBER(CI633),IF(CI633&lt;$B$13,CI633,""),"")</f>
        <v/>
      </c>
      <c r="CM633">
        <f>IF(CH633="","",IFERROR(IF(IF(AND(LEN(CH633)=9,ISERROR(FIND("-",LEFT(CH633,8))),ISNUMBER(-LEFT(CH633,8))),VALUE(LEFT(CH633,4)),VALUE(LEFT(CH633,FIND("-",CH633)-1)))&lt;100,IF(AND(LEN(CH633)=9,ISERROR(FIND("-",LEFT(CH633,8))),ISNUMBER(-LEFT(CH633,8))),VALUE(LEFT(CH633,4)),VALUE(LEFT(CH633,FIND("-",CH633)-1)))+2000,IF(AND(LEN(CH633)=9,ISERROR(FIND("-",LEFT(CH633,8))),ISNUMBER(-LEFT(CH633,8))),VALUE(LEFT(CH633,4)),VALUE(LEFT(CH633,FIND("-",CH633)-1)))),""))</f>
        <v/>
      </c>
      <c r="CN633">
        <f>IF(CH633="","",IFERROR(IF(AND(LEN(CH633)=9,ISERROR(FIND("-",LEFT(CH633,8))),ISNUMBER(-LEFT(CH633,8))),VALUE(MID(CH633,5,2)),VALUE(MID(CH633,FIND("-",CH633)+1,FIND("-",CH633,FIND("-",CH633)+1)-FIND("-",CH633)-1))),""))</f>
        <v/>
      </c>
      <c r="CO633">
        <f>IF(CH633="","",IFERROR(IF(AND(LEN(CH633)=9,ISERROR(FIND("-",LEFT(CH633,8))),ISNUMBER(-LEFT(CH633,8))),VALUE(MID(CH633,7,2)),VALUE(MID(CH633,FIND("-",CH633,FIND("-",CH633)+1)+1,FIND("-",CH633,FIND("-",CH633,FIND("-",CH633)+1)+1)-FIND("-",CH633,FIND("-",CH633)+1)-1))),""))</f>
        <v/>
      </c>
    </row>
    <row r="634">
      <c r="CH634">
        <f>IF(ISTEXT('월 가계부'!A634),SUBSTITUTE(SUBSTITUTE(SUBSTITUTE(SUBSTITUTE(SUBSTITUTE(SUBSTITUTE(SUBSTITUTE(SUBSTITUTE(SUBSTITUTE(TRIM('월 가계부'!A634),"년","-"),"월","-"),"일",""),".","-"),"/","-")," ","-"),"--","-"),"--","-"),"--","-")&amp;"-","")</f>
        <v/>
      </c>
      <c r="CI634">
        <f>IFERROR(IF('월 가계부'!A634="","",IF(ISNUMBER('월 가계부'!A634),IF(AND('월 가계부'!A634&gt;=19000101,'월 가계부'!A634&lt;=21001231),IF(AND(MOD(INT('월 가계부'!A634/100),100)&gt;=1,MOD(INT('월 가계부'!A634/100),100)&lt;=12,MOD(INT('월 가계부'!A634),100)&gt;=1,MOD(INT('월 가계부'!A634),100)&lt;=31),IF(MONTH(DATE(INT('월 가계부'!A634/10000),MOD(INT('월 가계부'!A634/100),100),MOD(INT('월 가계부'!A634),100)))=MOD(INT('월 가계부'!A634/100),100),DATE(INT('월 가계부'!A634/10000),MOD(INT('월 가계부'!A634/100),100),MOD(INT('월 가계부'!A634),100)),""),""),IF(AND('월 가계부'!A634&gt;=36526,'월 가계부'!A634&lt;73051),INT('월 가계부'!A634),"")),IF(OR(CM634="",CN634="",CO634=""),"",IF(AND(CM634&gt;=2000,CM634&lt;=2099,CN634&gt;=1,CN634&lt;=12,CO634&gt;=1,CO634&lt;=31),IF(MONTH(DATE(CM634,CN634,CO634))=CN634,DATE(CM634,CN634,CO634),""),"")))),"")</f>
        <v/>
      </c>
      <c r="CJ634">
        <f>IFERROR(IF('월 가계부'!C634="","",IF(ISNUMBER('월 가계부'!C634),'월 가계부'!C634,VALUE(SUBSTITUTE(SUBSTITUTE(SUBSTITUTE(SUBSTITUTE(TRIM('월 가계부'!C634),",",""),"원","")," ",""),"−","-")))),"")</f>
        <v/>
      </c>
      <c r="CK634">
        <f>IF(ISNUMBER(CI634),IF(CI634&lt;$B$13,CI634,""),"")</f>
        <v/>
      </c>
      <c r="CM634">
        <f>IF(CH634="","",IFERROR(IF(IF(AND(LEN(CH634)=9,ISERROR(FIND("-",LEFT(CH634,8))),ISNUMBER(-LEFT(CH634,8))),VALUE(LEFT(CH634,4)),VALUE(LEFT(CH634,FIND("-",CH634)-1)))&lt;100,IF(AND(LEN(CH634)=9,ISERROR(FIND("-",LEFT(CH634,8))),ISNUMBER(-LEFT(CH634,8))),VALUE(LEFT(CH634,4)),VALUE(LEFT(CH634,FIND("-",CH634)-1)))+2000,IF(AND(LEN(CH634)=9,ISERROR(FIND("-",LEFT(CH634,8))),ISNUMBER(-LEFT(CH634,8))),VALUE(LEFT(CH634,4)),VALUE(LEFT(CH634,FIND("-",CH634)-1)))),""))</f>
        <v/>
      </c>
      <c r="CN634">
        <f>IF(CH634="","",IFERROR(IF(AND(LEN(CH634)=9,ISERROR(FIND("-",LEFT(CH634,8))),ISNUMBER(-LEFT(CH634,8))),VALUE(MID(CH634,5,2)),VALUE(MID(CH634,FIND("-",CH634)+1,FIND("-",CH634,FIND("-",CH634)+1)-FIND("-",CH634)-1))),""))</f>
        <v/>
      </c>
      <c r="CO634">
        <f>IF(CH634="","",IFERROR(IF(AND(LEN(CH634)=9,ISERROR(FIND("-",LEFT(CH634,8))),ISNUMBER(-LEFT(CH634,8))),VALUE(MID(CH634,7,2)),VALUE(MID(CH634,FIND("-",CH634,FIND("-",CH634)+1)+1,FIND("-",CH634,FIND("-",CH634,FIND("-",CH634)+1)+1)-FIND("-",CH634,FIND("-",CH634)+1)-1))),""))</f>
        <v/>
      </c>
    </row>
    <row r="635">
      <c r="CH635">
        <f>IF(ISTEXT('월 가계부'!A635),SUBSTITUTE(SUBSTITUTE(SUBSTITUTE(SUBSTITUTE(SUBSTITUTE(SUBSTITUTE(SUBSTITUTE(SUBSTITUTE(SUBSTITUTE(TRIM('월 가계부'!A635),"년","-"),"월","-"),"일",""),".","-"),"/","-")," ","-"),"--","-"),"--","-"),"--","-")&amp;"-","")</f>
        <v/>
      </c>
      <c r="CI635">
        <f>IFERROR(IF('월 가계부'!A635="","",IF(ISNUMBER('월 가계부'!A635),IF(AND('월 가계부'!A635&gt;=19000101,'월 가계부'!A635&lt;=21001231),IF(AND(MOD(INT('월 가계부'!A635/100),100)&gt;=1,MOD(INT('월 가계부'!A635/100),100)&lt;=12,MOD(INT('월 가계부'!A635),100)&gt;=1,MOD(INT('월 가계부'!A635),100)&lt;=31),IF(MONTH(DATE(INT('월 가계부'!A635/10000),MOD(INT('월 가계부'!A635/100),100),MOD(INT('월 가계부'!A635),100)))=MOD(INT('월 가계부'!A635/100),100),DATE(INT('월 가계부'!A635/10000),MOD(INT('월 가계부'!A635/100),100),MOD(INT('월 가계부'!A635),100)),""),""),IF(AND('월 가계부'!A635&gt;=36526,'월 가계부'!A635&lt;73051),INT('월 가계부'!A635),"")),IF(OR(CM635="",CN635="",CO635=""),"",IF(AND(CM635&gt;=2000,CM635&lt;=2099,CN635&gt;=1,CN635&lt;=12,CO635&gt;=1,CO635&lt;=31),IF(MONTH(DATE(CM635,CN635,CO635))=CN635,DATE(CM635,CN635,CO635),""),"")))),"")</f>
        <v/>
      </c>
      <c r="CJ635">
        <f>IFERROR(IF('월 가계부'!C635="","",IF(ISNUMBER('월 가계부'!C635),'월 가계부'!C635,VALUE(SUBSTITUTE(SUBSTITUTE(SUBSTITUTE(SUBSTITUTE(TRIM('월 가계부'!C635),",",""),"원","")," ",""),"−","-")))),"")</f>
        <v/>
      </c>
      <c r="CK635">
        <f>IF(ISNUMBER(CI635),IF(CI635&lt;$B$13,CI635,""),"")</f>
        <v/>
      </c>
      <c r="CM635">
        <f>IF(CH635="","",IFERROR(IF(IF(AND(LEN(CH635)=9,ISERROR(FIND("-",LEFT(CH635,8))),ISNUMBER(-LEFT(CH635,8))),VALUE(LEFT(CH635,4)),VALUE(LEFT(CH635,FIND("-",CH635)-1)))&lt;100,IF(AND(LEN(CH635)=9,ISERROR(FIND("-",LEFT(CH635,8))),ISNUMBER(-LEFT(CH635,8))),VALUE(LEFT(CH635,4)),VALUE(LEFT(CH635,FIND("-",CH635)-1)))+2000,IF(AND(LEN(CH635)=9,ISERROR(FIND("-",LEFT(CH635,8))),ISNUMBER(-LEFT(CH635,8))),VALUE(LEFT(CH635,4)),VALUE(LEFT(CH635,FIND("-",CH635)-1)))),""))</f>
        <v/>
      </c>
      <c r="CN635">
        <f>IF(CH635="","",IFERROR(IF(AND(LEN(CH635)=9,ISERROR(FIND("-",LEFT(CH635,8))),ISNUMBER(-LEFT(CH635,8))),VALUE(MID(CH635,5,2)),VALUE(MID(CH635,FIND("-",CH635)+1,FIND("-",CH635,FIND("-",CH635)+1)-FIND("-",CH635)-1))),""))</f>
        <v/>
      </c>
      <c r="CO635">
        <f>IF(CH635="","",IFERROR(IF(AND(LEN(CH635)=9,ISERROR(FIND("-",LEFT(CH635,8))),ISNUMBER(-LEFT(CH635,8))),VALUE(MID(CH635,7,2)),VALUE(MID(CH635,FIND("-",CH635,FIND("-",CH635)+1)+1,FIND("-",CH635,FIND("-",CH635,FIND("-",CH635)+1)+1)-FIND("-",CH635,FIND("-",CH635)+1)-1))),""))</f>
        <v/>
      </c>
    </row>
    <row r="636">
      <c r="CH636">
        <f>IF(ISTEXT('월 가계부'!A636),SUBSTITUTE(SUBSTITUTE(SUBSTITUTE(SUBSTITUTE(SUBSTITUTE(SUBSTITUTE(SUBSTITUTE(SUBSTITUTE(SUBSTITUTE(TRIM('월 가계부'!A636),"년","-"),"월","-"),"일",""),".","-"),"/","-")," ","-"),"--","-"),"--","-"),"--","-")&amp;"-","")</f>
        <v/>
      </c>
      <c r="CI636">
        <f>IFERROR(IF('월 가계부'!A636="","",IF(ISNUMBER('월 가계부'!A636),IF(AND('월 가계부'!A636&gt;=19000101,'월 가계부'!A636&lt;=21001231),IF(AND(MOD(INT('월 가계부'!A636/100),100)&gt;=1,MOD(INT('월 가계부'!A636/100),100)&lt;=12,MOD(INT('월 가계부'!A636),100)&gt;=1,MOD(INT('월 가계부'!A636),100)&lt;=31),IF(MONTH(DATE(INT('월 가계부'!A636/10000),MOD(INT('월 가계부'!A636/100),100),MOD(INT('월 가계부'!A636),100)))=MOD(INT('월 가계부'!A636/100),100),DATE(INT('월 가계부'!A636/10000),MOD(INT('월 가계부'!A636/100),100),MOD(INT('월 가계부'!A636),100)),""),""),IF(AND('월 가계부'!A636&gt;=36526,'월 가계부'!A636&lt;73051),INT('월 가계부'!A636),"")),IF(OR(CM636="",CN636="",CO636=""),"",IF(AND(CM636&gt;=2000,CM636&lt;=2099,CN636&gt;=1,CN636&lt;=12,CO636&gt;=1,CO636&lt;=31),IF(MONTH(DATE(CM636,CN636,CO636))=CN636,DATE(CM636,CN636,CO636),""),"")))),"")</f>
        <v/>
      </c>
      <c r="CJ636">
        <f>IFERROR(IF('월 가계부'!C636="","",IF(ISNUMBER('월 가계부'!C636),'월 가계부'!C636,VALUE(SUBSTITUTE(SUBSTITUTE(SUBSTITUTE(SUBSTITUTE(TRIM('월 가계부'!C636),",",""),"원","")," ",""),"−","-")))),"")</f>
        <v/>
      </c>
      <c r="CK636">
        <f>IF(ISNUMBER(CI636),IF(CI636&lt;$B$13,CI636,""),"")</f>
        <v/>
      </c>
      <c r="CM636">
        <f>IF(CH636="","",IFERROR(IF(IF(AND(LEN(CH636)=9,ISERROR(FIND("-",LEFT(CH636,8))),ISNUMBER(-LEFT(CH636,8))),VALUE(LEFT(CH636,4)),VALUE(LEFT(CH636,FIND("-",CH636)-1)))&lt;100,IF(AND(LEN(CH636)=9,ISERROR(FIND("-",LEFT(CH636,8))),ISNUMBER(-LEFT(CH636,8))),VALUE(LEFT(CH636,4)),VALUE(LEFT(CH636,FIND("-",CH636)-1)))+2000,IF(AND(LEN(CH636)=9,ISERROR(FIND("-",LEFT(CH636,8))),ISNUMBER(-LEFT(CH636,8))),VALUE(LEFT(CH636,4)),VALUE(LEFT(CH636,FIND("-",CH636)-1)))),""))</f>
        <v/>
      </c>
      <c r="CN636">
        <f>IF(CH636="","",IFERROR(IF(AND(LEN(CH636)=9,ISERROR(FIND("-",LEFT(CH636,8))),ISNUMBER(-LEFT(CH636,8))),VALUE(MID(CH636,5,2)),VALUE(MID(CH636,FIND("-",CH636)+1,FIND("-",CH636,FIND("-",CH636)+1)-FIND("-",CH636)-1))),""))</f>
        <v/>
      </c>
      <c r="CO636">
        <f>IF(CH636="","",IFERROR(IF(AND(LEN(CH636)=9,ISERROR(FIND("-",LEFT(CH636,8))),ISNUMBER(-LEFT(CH636,8))),VALUE(MID(CH636,7,2)),VALUE(MID(CH636,FIND("-",CH636,FIND("-",CH636)+1)+1,FIND("-",CH636,FIND("-",CH636,FIND("-",CH636)+1)+1)-FIND("-",CH636,FIND("-",CH636)+1)-1))),""))</f>
        <v/>
      </c>
    </row>
    <row r="637">
      <c r="CH637">
        <f>IF(ISTEXT('월 가계부'!A637),SUBSTITUTE(SUBSTITUTE(SUBSTITUTE(SUBSTITUTE(SUBSTITUTE(SUBSTITUTE(SUBSTITUTE(SUBSTITUTE(SUBSTITUTE(TRIM('월 가계부'!A637),"년","-"),"월","-"),"일",""),".","-"),"/","-")," ","-"),"--","-"),"--","-"),"--","-")&amp;"-","")</f>
        <v/>
      </c>
      <c r="CI637">
        <f>IFERROR(IF('월 가계부'!A637="","",IF(ISNUMBER('월 가계부'!A637),IF(AND('월 가계부'!A637&gt;=19000101,'월 가계부'!A637&lt;=21001231),IF(AND(MOD(INT('월 가계부'!A637/100),100)&gt;=1,MOD(INT('월 가계부'!A637/100),100)&lt;=12,MOD(INT('월 가계부'!A637),100)&gt;=1,MOD(INT('월 가계부'!A637),100)&lt;=31),IF(MONTH(DATE(INT('월 가계부'!A637/10000),MOD(INT('월 가계부'!A637/100),100),MOD(INT('월 가계부'!A637),100)))=MOD(INT('월 가계부'!A637/100),100),DATE(INT('월 가계부'!A637/10000),MOD(INT('월 가계부'!A637/100),100),MOD(INT('월 가계부'!A637),100)),""),""),IF(AND('월 가계부'!A637&gt;=36526,'월 가계부'!A637&lt;73051),INT('월 가계부'!A637),"")),IF(OR(CM637="",CN637="",CO637=""),"",IF(AND(CM637&gt;=2000,CM637&lt;=2099,CN637&gt;=1,CN637&lt;=12,CO637&gt;=1,CO637&lt;=31),IF(MONTH(DATE(CM637,CN637,CO637))=CN637,DATE(CM637,CN637,CO637),""),"")))),"")</f>
        <v/>
      </c>
      <c r="CJ637">
        <f>IFERROR(IF('월 가계부'!C637="","",IF(ISNUMBER('월 가계부'!C637),'월 가계부'!C637,VALUE(SUBSTITUTE(SUBSTITUTE(SUBSTITUTE(SUBSTITUTE(TRIM('월 가계부'!C637),",",""),"원","")," ",""),"−","-")))),"")</f>
        <v/>
      </c>
      <c r="CK637">
        <f>IF(ISNUMBER(CI637),IF(CI637&lt;$B$13,CI637,""),"")</f>
        <v/>
      </c>
      <c r="CM637">
        <f>IF(CH637="","",IFERROR(IF(IF(AND(LEN(CH637)=9,ISERROR(FIND("-",LEFT(CH637,8))),ISNUMBER(-LEFT(CH637,8))),VALUE(LEFT(CH637,4)),VALUE(LEFT(CH637,FIND("-",CH637)-1)))&lt;100,IF(AND(LEN(CH637)=9,ISERROR(FIND("-",LEFT(CH637,8))),ISNUMBER(-LEFT(CH637,8))),VALUE(LEFT(CH637,4)),VALUE(LEFT(CH637,FIND("-",CH637)-1)))+2000,IF(AND(LEN(CH637)=9,ISERROR(FIND("-",LEFT(CH637,8))),ISNUMBER(-LEFT(CH637,8))),VALUE(LEFT(CH637,4)),VALUE(LEFT(CH637,FIND("-",CH637)-1)))),""))</f>
        <v/>
      </c>
      <c r="CN637">
        <f>IF(CH637="","",IFERROR(IF(AND(LEN(CH637)=9,ISERROR(FIND("-",LEFT(CH637,8))),ISNUMBER(-LEFT(CH637,8))),VALUE(MID(CH637,5,2)),VALUE(MID(CH637,FIND("-",CH637)+1,FIND("-",CH637,FIND("-",CH637)+1)-FIND("-",CH637)-1))),""))</f>
        <v/>
      </c>
      <c r="CO637">
        <f>IF(CH637="","",IFERROR(IF(AND(LEN(CH637)=9,ISERROR(FIND("-",LEFT(CH637,8))),ISNUMBER(-LEFT(CH637,8))),VALUE(MID(CH637,7,2)),VALUE(MID(CH637,FIND("-",CH637,FIND("-",CH637)+1)+1,FIND("-",CH637,FIND("-",CH637,FIND("-",CH637)+1)+1)-FIND("-",CH637,FIND("-",CH637)+1)-1))),""))</f>
        <v/>
      </c>
    </row>
    <row r="638">
      <c r="CH638">
        <f>IF(ISTEXT('월 가계부'!A638),SUBSTITUTE(SUBSTITUTE(SUBSTITUTE(SUBSTITUTE(SUBSTITUTE(SUBSTITUTE(SUBSTITUTE(SUBSTITUTE(SUBSTITUTE(TRIM('월 가계부'!A638),"년","-"),"월","-"),"일",""),".","-"),"/","-")," ","-"),"--","-"),"--","-"),"--","-")&amp;"-","")</f>
        <v/>
      </c>
      <c r="CI638">
        <f>IFERROR(IF('월 가계부'!A638="","",IF(ISNUMBER('월 가계부'!A638),IF(AND('월 가계부'!A638&gt;=19000101,'월 가계부'!A638&lt;=21001231),IF(AND(MOD(INT('월 가계부'!A638/100),100)&gt;=1,MOD(INT('월 가계부'!A638/100),100)&lt;=12,MOD(INT('월 가계부'!A638),100)&gt;=1,MOD(INT('월 가계부'!A638),100)&lt;=31),IF(MONTH(DATE(INT('월 가계부'!A638/10000),MOD(INT('월 가계부'!A638/100),100),MOD(INT('월 가계부'!A638),100)))=MOD(INT('월 가계부'!A638/100),100),DATE(INT('월 가계부'!A638/10000),MOD(INT('월 가계부'!A638/100),100),MOD(INT('월 가계부'!A638),100)),""),""),IF(AND('월 가계부'!A638&gt;=36526,'월 가계부'!A638&lt;73051),INT('월 가계부'!A638),"")),IF(OR(CM638="",CN638="",CO638=""),"",IF(AND(CM638&gt;=2000,CM638&lt;=2099,CN638&gt;=1,CN638&lt;=12,CO638&gt;=1,CO638&lt;=31),IF(MONTH(DATE(CM638,CN638,CO638))=CN638,DATE(CM638,CN638,CO638),""),"")))),"")</f>
        <v/>
      </c>
      <c r="CJ638">
        <f>IFERROR(IF('월 가계부'!C638="","",IF(ISNUMBER('월 가계부'!C638),'월 가계부'!C638,VALUE(SUBSTITUTE(SUBSTITUTE(SUBSTITUTE(SUBSTITUTE(TRIM('월 가계부'!C638),",",""),"원","")," ",""),"−","-")))),"")</f>
        <v/>
      </c>
      <c r="CK638">
        <f>IF(ISNUMBER(CI638),IF(CI638&lt;$B$13,CI638,""),"")</f>
        <v/>
      </c>
      <c r="CM638">
        <f>IF(CH638="","",IFERROR(IF(IF(AND(LEN(CH638)=9,ISERROR(FIND("-",LEFT(CH638,8))),ISNUMBER(-LEFT(CH638,8))),VALUE(LEFT(CH638,4)),VALUE(LEFT(CH638,FIND("-",CH638)-1)))&lt;100,IF(AND(LEN(CH638)=9,ISERROR(FIND("-",LEFT(CH638,8))),ISNUMBER(-LEFT(CH638,8))),VALUE(LEFT(CH638,4)),VALUE(LEFT(CH638,FIND("-",CH638)-1)))+2000,IF(AND(LEN(CH638)=9,ISERROR(FIND("-",LEFT(CH638,8))),ISNUMBER(-LEFT(CH638,8))),VALUE(LEFT(CH638,4)),VALUE(LEFT(CH638,FIND("-",CH638)-1)))),""))</f>
        <v/>
      </c>
      <c r="CN638">
        <f>IF(CH638="","",IFERROR(IF(AND(LEN(CH638)=9,ISERROR(FIND("-",LEFT(CH638,8))),ISNUMBER(-LEFT(CH638,8))),VALUE(MID(CH638,5,2)),VALUE(MID(CH638,FIND("-",CH638)+1,FIND("-",CH638,FIND("-",CH638)+1)-FIND("-",CH638)-1))),""))</f>
        <v/>
      </c>
      <c r="CO638">
        <f>IF(CH638="","",IFERROR(IF(AND(LEN(CH638)=9,ISERROR(FIND("-",LEFT(CH638,8))),ISNUMBER(-LEFT(CH638,8))),VALUE(MID(CH638,7,2)),VALUE(MID(CH638,FIND("-",CH638,FIND("-",CH638)+1)+1,FIND("-",CH638,FIND("-",CH638,FIND("-",CH638)+1)+1)-FIND("-",CH638,FIND("-",CH638)+1)-1))),""))</f>
        <v/>
      </c>
    </row>
    <row r="639">
      <c r="CH639">
        <f>IF(ISTEXT('월 가계부'!A639),SUBSTITUTE(SUBSTITUTE(SUBSTITUTE(SUBSTITUTE(SUBSTITUTE(SUBSTITUTE(SUBSTITUTE(SUBSTITUTE(SUBSTITUTE(TRIM('월 가계부'!A639),"년","-"),"월","-"),"일",""),".","-"),"/","-")," ","-"),"--","-"),"--","-"),"--","-")&amp;"-","")</f>
        <v/>
      </c>
      <c r="CI639">
        <f>IFERROR(IF('월 가계부'!A639="","",IF(ISNUMBER('월 가계부'!A639),IF(AND('월 가계부'!A639&gt;=19000101,'월 가계부'!A639&lt;=21001231),IF(AND(MOD(INT('월 가계부'!A639/100),100)&gt;=1,MOD(INT('월 가계부'!A639/100),100)&lt;=12,MOD(INT('월 가계부'!A639),100)&gt;=1,MOD(INT('월 가계부'!A639),100)&lt;=31),IF(MONTH(DATE(INT('월 가계부'!A639/10000),MOD(INT('월 가계부'!A639/100),100),MOD(INT('월 가계부'!A639),100)))=MOD(INT('월 가계부'!A639/100),100),DATE(INT('월 가계부'!A639/10000),MOD(INT('월 가계부'!A639/100),100),MOD(INT('월 가계부'!A639),100)),""),""),IF(AND('월 가계부'!A639&gt;=36526,'월 가계부'!A639&lt;73051),INT('월 가계부'!A639),"")),IF(OR(CM639="",CN639="",CO639=""),"",IF(AND(CM639&gt;=2000,CM639&lt;=2099,CN639&gt;=1,CN639&lt;=12,CO639&gt;=1,CO639&lt;=31),IF(MONTH(DATE(CM639,CN639,CO639))=CN639,DATE(CM639,CN639,CO639),""),"")))),"")</f>
        <v/>
      </c>
      <c r="CJ639">
        <f>IFERROR(IF('월 가계부'!C639="","",IF(ISNUMBER('월 가계부'!C639),'월 가계부'!C639,VALUE(SUBSTITUTE(SUBSTITUTE(SUBSTITUTE(SUBSTITUTE(TRIM('월 가계부'!C639),",",""),"원","")," ",""),"−","-")))),"")</f>
        <v/>
      </c>
      <c r="CK639">
        <f>IF(ISNUMBER(CI639),IF(CI639&lt;$B$13,CI639,""),"")</f>
        <v/>
      </c>
      <c r="CM639">
        <f>IF(CH639="","",IFERROR(IF(IF(AND(LEN(CH639)=9,ISERROR(FIND("-",LEFT(CH639,8))),ISNUMBER(-LEFT(CH639,8))),VALUE(LEFT(CH639,4)),VALUE(LEFT(CH639,FIND("-",CH639)-1)))&lt;100,IF(AND(LEN(CH639)=9,ISERROR(FIND("-",LEFT(CH639,8))),ISNUMBER(-LEFT(CH639,8))),VALUE(LEFT(CH639,4)),VALUE(LEFT(CH639,FIND("-",CH639)-1)))+2000,IF(AND(LEN(CH639)=9,ISERROR(FIND("-",LEFT(CH639,8))),ISNUMBER(-LEFT(CH639,8))),VALUE(LEFT(CH639,4)),VALUE(LEFT(CH639,FIND("-",CH639)-1)))),""))</f>
        <v/>
      </c>
      <c r="CN639">
        <f>IF(CH639="","",IFERROR(IF(AND(LEN(CH639)=9,ISERROR(FIND("-",LEFT(CH639,8))),ISNUMBER(-LEFT(CH639,8))),VALUE(MID(CH639,5,2)),VALUE(MID(CH639,FIND("-",CH639)+1,FIND("-",CH639,FIND("-",CH639)+1)-FIND("-",CH639)-1))),""))</f>
        <v/>
      </c>
      <c r="CO639">
        <f>IF(CH639="","",IFERROR(IF(AND(LEN(CH639)=9,ISERROR(FIND("-",LEFT(CH639,8))),ISNUMBER(-LEFT(CH639,8))),VALUE(MID(CH639,7,2)),VALUE(MID(CH639,FIND("-",CH639,FIND("-",CH639)+1)+1,FIND("-",CH639,FIND("-",CH639,FIND("-",CH639)+1)+1)-FIND("-",CH639,FIND("-",CH639)+1)-1))),""))</f>
        <v/>
      </c>
    </row>
    <row r="640">
      <c r="CH640">
        <f>IF(ISTEXT('월 가계부'!A640),SUBSTITUTE(SUBSTITUTE(SUBSTITUTE(SUBSTITUTE(SUBSTITUTE(SUBSTITUTE(SUBSTITUTE(SUBSTITUTE(SUBSTITUTE(TRIM('월 가계부'!A640),"년","-"),"월","-"),"일",""),".","-"),"/","-")," ","-"),"--","-"),"--","-"),"--","-")&amp;"-","")</f>
        <v/>
      </c>
      <c r="CI640">
        <f>IFERROR(IF('월 가계부'!A640="","",IF(ISNUMBER('월 가계부'!A640),IF(AND('월 가계부'!A640&gt;=19000101,'월 가계부'!A640&lt;=21001231),IF(AND(MOD(INT('월 가계부'!A640/100),100)&gt;=1,MOD(INT('월 가계부'!A640/100),100)&lt;=12,MOD(INT('월 가계부'!A640),100)&gt;=1,MOD(INT('월 가계부'!A640),100)&lt;=31),IF(MONTH(DATE(INT('월 가계부'!A640/10000),MOD(INT('월 가계부'!A640/100),100),MOD(INT('월 가계부'!A640),100)))=MOD(INT('월 가계부'!A640/100),100),DATE(INT('월 가계부'!A640/10000),MOD(INT('월 가계부'!A640/100),100),MOD(INT('월 가계부'!A640),100)),""),""),IF(AND('월 가계부'!A640&gt;=36526,'월 가계부'!A640&lt;73051),INT('월 가계부'!A640),"")),IF(OR(CM640="",CN640="",CO640=""),"",IF(AND(CM640&gt;=2000,CM640&lt;=2099,CN640&gt;=1,CN640&lt;=12,CO640&gt;=1,CO640&lt;=31),IF(MONTH(DATE(CM640,CN640,CO640))=CN640,DATE(CM640,CN640,CO640),""),"")))),"")</f>
        <v/>
      </c>
      <c r="CJ640">
        <f>IFERROR(IF('월 가계부'!C640="","",IF(ISNUMBER('월 가계부'!C640),'월 가계부'!C640,VALUE(SUBSTITUTE(SUBSTITUTE(SUBSTITUTE(SUBSTITUTE(TRIM('월 가계부'!C640),",",""),"원","")," ",""),"−","-")))),"")</f>
        <v/>
      </c>
      <c r="CK640">
        <f>IF(ISNUMBER(CI640),IF(CI640&lt;$B$13,CI640,""),"")</f>
        <v/>
      </c>
      <c r="CM640">
        <f>IF(CH640="","",IFERROR(IF(IF(AND(LEN(CH640)=9,ISERROR(FIND("-",LEFT(CH640,8))),ISNUMBER(-LEFT(CH640,8))),VALUE(LEFT(CH640,4)),VALUE(LEFT(CH640,FIND("-",CH640)-1)))&lt;100,IF(AND(LEN(CH640)=9,ISERROR(FIND("-",LEFT(CH640,8))),ISNUMBER(-LEFT(CH640,8))),VALUE(LEFT(CH640,4)),VALUE(LEFT(CH640,FIND("-",CH640)-1)))+2000,IF(AND(LEN(CH640)=9,ISERROR(FIND("-",LEFT(CH640,8))),ISNUMBER(-LEFT(CH640,8))),VALUE(LEFT(CH640,4)),VALUE(LEFT(CH640,FIND("-",CH640)-1)))),""))</f>
        <v/>
      </c>
      <c r="CN640">
        <f>IF(CH640="","",IFERROR(IF(AND(LEN(CH640)=9,ISERROR(FIND("-",LEFT(CH640,8))),ISNUMBER(-LEFT(CH640,8))),VALUE(MID(CH640,5,2)),VALUE(MID(CH640,FIND("-",CH640)+1,FIND("-",CH640,FIND("-",CH640)+1)-FIND("-",CH640)-1))),""))</f>
        <v/>
      </c>
      <c r="CO640">
        <f>IF(CH640="","",IFERROR(IF(AND(LEN(CH640)=9,ISERROR(FIND("-",LEFT(CH640,8))),ISNUMBER(-LEFT(CH640,8))),VALUE(MID(CH640,7,2)),VALUE(MID(CH640,FIND("-",CH640,FIND("-",CH640)+1)+1,FIND("-",CH640,FIND("-",CH640,FIND("-",CH640)+1)+1)-FIND("-",CH640,FIND("-",CH640)+1)-1))),""))</f>
        <v/>
      </c>
    </row>
    <row r="641">
      <c r="CH641">
        <f>IF(ISTEXT('월 가계부'!A641),SUBSTITUTE(SUBSTITUTE(SUBSTITUTE(SUBSTITUTE(SUBSTITUTE(SUBSTITUTE(SUBSTITUTE(SUBSTITUTE(SUBSTITUTE(TRIM('월 가계부'!A641),"년","-"),"월","-"),"일",""),".","-"),"/","-")," ","-"),"--","-"),"--","-"),"--","-")&amp;"-","")</f>
        <v/>
      </c>
      <c r="CI641">
        <f>IFERROR(IF('월 가계부'!A641="","",IF(ISNUMBER('월 가계부'!A641),IF(AND('월 가계부'!A641&gt;=19000101,'월 가계부'!A641&lt;=21001231),IF(AND(MOD(INT('월 가계부'!A641/100),100)&gt;=1,MOD(INT('월 가계부'!A641/100),100)&lt;=12,MOD(INT('월 가계부'!A641),100)&gt;=1,MOD(INT('월 가계부'!A641),100)&lt;=31),IF(MONTH(DATE(INT('월 가계부'!A641/10000),MOD(INT('월 가계부'!A641/100),100),MOD(INT('월 가계부'!A641),100)))=MOD(INT('월 가계부'!A641/100),100),DATE(INT('월 가계부'!A641/10000),MOD(INT('월 가계부'!A641/100),100),MOD(INT('월 가계부'!A641),100)),""),""),IF(AND('월 가계부'!A641&gt;=36526,'월 가계부'!A641&lt;73051),INT('월 가계부'!A641),"")),IF(OR(CM641="",CN641="",CO641=""),"",IF(AND(CM641&gt;=2000,CM641&lt;=2099,CN641&gt;=1,CN641&lt;=12,CO641&gt;=1,CO641&lt;=31),IF(MONTH(DATE(CM641,CN641,CO641))=CN641,DATE(CM641,CN641,CO641),""),"")))),"")</f>
        <v/>
      </c>
      <c r="CJ641">
        <f>IFERROR(IF('월 가계부'!C641="","",IF(ISNUMBER('월 가계부'!C641),'월 가계부'!C641,VALUE(SUBSTITUTE(SUBSTITUTE(SUBSTITUTE(SUBSTITUTE(TRIM('월 가계부'!C641),",",""),"원","")," ",""),"−","-")))),"")</f>
        <v/>
      </c>
      <c r="CK641">
        <f>IF(ISNUMBER(CI641),IF(CI641&lt;$B$13,CI641,""),"")</f>
        <v/>
      </c>
      <c r="CM641">
        <f>IF(CH641="","",IFERROR(IF(IF(AND(LEN(CH641)=9,ISERROR(FIND("-",LEFT(CH641,8))),ISNUMBER(-LEFT(CH641,8))),VALUE(LEFT(CH641,4)),VALUE(LEFT(CH641,FIND("-",CH641)-1)))&lt;100,IF(AND(LEN(CH641)=9,ISERROR(FIND("-",LEFT(CH641,8))),ISNUMBER(-LEFT(CH641,8))),VALUE(LEFT(CH641,4)),VALUE(LEFT(CH641,FIND("-",CH641)-1)))+2000,IF(AND(LEN(CH641)=9,ISERROR(FIND("-",LEFT(CH641,8))),ISNUMBER(-LEFT(CH641,8))),VALUE(LEFT(CH641,4)),VALUE(LEFT(CH641,FIND("-",CH641)-1)))),""))</f>
        <v/>
      </c>
      <c r="CN641">
        <f>IF(CH641="","",IFERROR(IF(AND(LEN(CH641)=9,ISERROR(FIND("-",LEFT(CH641,8))),ISNUMBER(-LEFT(CH641,8))),VALUE(MID(CH641,5,2)),VALUE(MID(CH641,FIND("-",CH641)+1,FIND("-",CH641,FIND("-",CH641)+1)-FIND("-",CH641)-1))),""))</f>
        <v/>
      </c>
      <c r="CO641">
        <f>IF(CH641="","",IFERROR(IF(AND(LEN(CH641)=9,ISERROR(FIND("-",LEFT(CH641,8))),ISNUMBER(-LEFT(CH641,8))),VALUE(MID(CH641,7,2)),VALUE(MID(CH641,FIND("-",CH641,FIND("-",CH641)+1)+1,FIND("-",CH641,FIND("-",CH641,FIND("-",CH641)+1)+1)-FIND("-",CH641,FIND("-",CH641)+1)-1))),""))</f>
        <v/>
      </c>
    </row>
    <row r="642">
      <c r="CH642">
        <f>IF(ISTEXT('월 가계부'!A642),SUBSTITUTE(SUBSTITUTE(SUBSTITUTE(SUBSTITUTE(SUBSTITUTE(SUBSTITUTE(SUBSTITUTE(SUBSTITUTE(SUBSTITUTE(TRIM('월 가계부'!A642),"년","-"),"월","-"),"일",""),".","-"),"/","-")," ","-"),"--","-"),"--","-"),"--","-")&amp;"-","")</f>
        <v/>
      </c>
      <c r="CI642">
        <f>IFERROR(IF('월 가계부'!A642="","",IF(ISNUMBER('월 가계부'!A642),IF(AND('월 가계부'!A642&gt;=19000101,'월 가계부'!A642&lt;=21001231),IF(AND(MOD(INT('월 가계부'!A642/100),100)&gt;=1,MOD(INT('월 가계부'!A642/100),100)&lt;=12,MOD(INT('월 가계부'!A642),100)&gt;=1,MOD(INT('월 가계부'!A642),100)&lt;=31),IF(MONTH(DATE(INT('월 가계부'!A642/10000),MOD(INT('월 가계부'!A642/100),100),MOD(INT('월 가계부'!A642),100)))=MOD(INT('월 가계부'!A642/100),100),DATE(INT('월 가계부'!A642/10000),MOD(INT('월 가계부'!A642/100),100),MOD(INT('월 가계부'!A642),100)),""),""),IF(AND('월 가계부'!A642&gt;=36526,'월 가계부'!A642&lt;73051),INT('월 가계부'!A642),"")),IF(OR(CM642="",CN642="",CO642=""),"",IF(AND(CM642&gt;=2000,CM642&lt;=2099,CN642&gt;=1,CN642&lt;=12,CO642&gt;=1,CO642&lt;=31),IF(MONTH(DATE(CM642,CN642,CO642))=CN642,DATE(CM642,CN642,CO642),""),"")))),"")</f>
        <v/>
      </c>
      <c r="CJ642">
        <f>IFERROR(IF('월 가계부'!C642="","",IF(ISNUMBER('월 가계부'!C642),'월 가계부'!C642,VALUE(SUBSTITUTE(SUBSTITUTE(SUBSTITUTE(SUBSTITUTE(TRIM('월 가계부'!C642),",",""),"원","")," ",""),"−","-")))),"")</f>
        <v/>
      </c>
      <c r="CK642">
        <f>IF(ISNUMBER(CI642),IF(CI642&lt;$B$13,CI642,""),"")</f>
        <v/>
      </c>
      <c r="CM642">
        <f>IF(CH642="","",IFERROR(IF(IF(AND(LEN(CH642)=9,ISERROR(FIND("-",LEFT(CH642,8))),ISNUMBER(-LEFT(CH642,8))),VALUE(LEFT(CH642,4)),VALUE(LEFT(CH642,FIND("-",CH642)-1)))&lt;100,IF(AND(LEN(CH642)=9,ISERROR(FIND("-",LEFT(CH642,8))),ISNUMBER(-LEFT(CH642,8))),VALUE(LEFT(CH642,4)),VALUE(LEFT(CH642,FIND("-",CH642)-1)))+2000,IF(AND(LEN(CH642)=9,ISERROR(FIND("-",LEFT(CH642,8))),ISNUMBER(-LEFT(CH642,8))),VALUE(LEFT(CH642,4)),VALUE(LEFT(CH642,FIND("-",CH642)-1)))),""))</f>
        <v/>
      </c>
      <c r="CN642">
        <f>IF(CH642="","",IFERROR(IF(AND(LEN(CH642)=9,ISERROR(FIND("-",LEFT(CH642,8))),ISNUMBER(-LEFT(CH642,8))),VALUE(MID(CH642,5,2)),VALUE(MID(CH642,FIND("-",CH642)+1,FIND("-",CH642,FIND("-",CH642)+1)-FIND("-",CH642)-1))),""))</f>
        <v/>
      </c>
      <c r="CO642">
        <f>IF(CH642="","",IFERROR(IF(AND(LEN(CH642)=9,ISERROR(FIND("-",LEFT(CH642,8))),ISNUMBER(-LEFT(CH642,8))),VALUE(MID(CH642,7,2)),VALUE(MID(CH642,FIND("-",CH642,FIND("-",CH642)+1)+1,FIND("-",CH642,FIND("-",CH642,FIND("-",CH642)+1)+1)-FIND("-",CH642,FIND("-",CH642)+1)-1))),""))</f>
        <v/>
      </c>
    </row>
    <row r="643">
      <c r="CH643">
        <f>IF(ISTEXT('월 가계부'!A643),SUBSTITUTE(SUBSTITUTE(SUBSTITUTE(SUBSTITUTE(SUBSTITUTE(SUBSTITUTE(SUBSTITUTE(SUBSTITUTE(SUBSTITUTE(TRIM('월 가계부'!A643),"년","-"),"월","-"),"일",""),".","-"),"/","-")," ","-"),"--","-"),"--","-"),"--","-")&amp;"-","")</f>
        <v/>
      </c>
      <c r="CI643">
        <f>IFERROR(IF('월 가계부'!A643="","",IF(ISNUMBER('월 가계부'!A643),IF(AND('월 가계부'!A643&gt;=19000101,'월 가계부'!A643&lt;=21001231),IF(AND(MOD(INT('월 가계부'!A643/100),100)&gt;=1,MOD(INT('월 가계부'!A643/100),100)&lt;=12,MOD(INT('월 가계부'!A643),100)&gt;=1,MOD(INT('월 가계부'!A643),100)&lt;=31),IF(MONTH(DATE(INT('월 가계부'!A643/10000),MOD(INT('월 가계부'!A643/100),100),MOD(INT('월 가계부'!A643),100)))=MOD(INT('월 가계부'!A643/100),100),DATE(INT('월 가계부'!A643/10000),MOD(INT('월 가계부'!A643/100),100),MOD(INT('월 가계부'!A643),100)),""),""),IF(AND('월 가계부'!A643&gt;=36526,'월 가계부'!A643&lt;73051),INT('월 가계부'!A643),"")),IF(OR(CM643="",CN643="",CO643=""),"",IF(AND(CM643&gt;=2000,CM643&lt;=2099,CN643&gt;=1,CN643&lt;=12,CO643&gt;=1,CO643&lt;=31),IF(MONTH(DATE(CM643,CN643,CO643))=CN643,DATE(CM643,CN643,CO643),""),"")))),"")</f>
        <v/>
      </c>
      <c r="CJ643">
        <f>IFERROR(IF('월 가계부'!C643="","",IF(ISNUMBER('월 가계부'!C643),'월 가계부'!C643,VALUE(SUBSTITUTE(SUBSTITUTE(SUBSTITUTE(SUBSTITUTE(TRIM('월 가계부'!C643),",",""),"원","")," ",""),"−","-")))),"")</f>
        <v/>
      </c>
      <c r="CK643">
        <f>IF(ISNUMBER(CI643),IF(CI643&lt;$B$13,CI643,""),"")</f>
        <v/>
      </c>
      <c r="CM643">
        <f>IF(CH643="","",IFERROR(IF(IF(AND(LEN(CH643)=9,ISERROR(FIND("-",LEFT(CH643,8))),ISNUMBER(-LEFT(CH643,8))),VALUE(LEFT(CH643,4)),VALUE(LEFT(CH643,FIND("-",CH643)-1)))&lt;100,IF(AND(LEN(CH643)=9,ISERROR(FIND("-",LEFT(CH643,8))),ISNUMBER(-LEFT(CH643,8))),VALUE(LEFT(CH643,4)),VALUE(LEFT(CH643,FIND("-",CH643)-1)))+2000,IF(AND(LEN(CH643)=9,ISERROR(FIND("-",LEFT(CH643,8))),ISNUMBER(-LEFT(CH643,8))),VALUE(LEFT(CH643,4)),VALUE(LEFT(CH643,FIND("-",CH643)-1)))),""))</f>
        <v/>
      </c>
      <c r="CN643">
        <f>IF(CH643="","",IFERROR(IF(AND(LEN(CH643)=9,ISERROR(FIND("-",LEFT(CH643,8))),ISNUMBER(-LEFT(CH643,8))),VALUE(MID(CH643,5,2)),VALUE(MID(CH643,FIND("-",CH643)+1,FIND("-",CH643,FIND("-",CH643)+1)-FIND("-",CH643)-1))),""))</f>
        <v/>
      </c>
      <c r="CO643">
        <f>IF(CH643="","",IFERROR(IF(AND(LEN(CH643)=9,ISERROR(FIND("-",LEFT(CH643,8))),ISNUMBER(-LEFT(CH643,8))),VALUE(MID(CH643,7,2)),VALUE(MID(CH643,FIND("-",CH643,FIND("-",CH643)+1)+1,FIND("-",CH643,FIND("-",CH643,FIND("-",CH643)+1)+1)-FIND("-",CH643,FIND("-",CH643)+1)-1))),""))</f>
        <v/>
      </c>
    </row>
    <row r="644">
      <c r="CH644">
        <f>IF(ISTEXT('월 가계부'!A644),SUBSTITUTE(SUBSTITUTE(SUBSTITUTE(SUBSTITUTE(SUBSTITUTE(SUBSTITUTE(SUBSTITUTE(SUBSTITUTE(SUBSTITUTE(TRIM('월 가계부'!A644),"년","-"),"월","-"),"일",""),".","-"),"/","-")," ","-"),"--","-"),"--","-"),"--","-")&amp;"-","")</f>
        <v/>
      </c>
      <c r="CI644">
        <f>IFERROR(IF('월 가계부'!A644="","",IF(ISNUMBER('월 가계부'!A644),IF(AND('월 가계부'!A644&gt;=19000101,'월 가계부'!A644&lt;=21001231),IF(AND(MOD(INT('월 가계부'!A644/100),100)&gt;=1,MOD(INT('월 가계부'!A644/100),100)&lt;=12,MOD(INT('월 가계부'!A644),100)&gt;=1,MOD(INT('월 가계부'!A644),100)&lt;=31),IF(MONTH(DATE(INT('월 가계부'!A644/10000),MOD(INT('월 가계부'!A644/100),100),MOD(INT('월 가계부'!A644),100)))=MOD(INT('월 가계부'!A644/100),100),DATE(INT('월 가계부'!A644/10000),MOD(INT('월 가계부'!A644/100),100),MOD(INT('월 가계부'!A644),100)),""),""),IF(AND('월 가계부'!A644&gt;=36526,'월 가계부'!A644&lt;73051),INT('월 가계부'!A644),"")),IF(OR(CM644="",CN644="",CO644=""),"",IF(AND(CM644&gt;=2000,CM644&lt;=2099,CN644&gt;=1,CN644&lt;=12,CO644&gt;=1,CO644&lt;=31),IF(MONTH(DATE(CM644,CN644,CO644))=CN644,DATE(CM644,CN644,CO644),""),"")))),"")</f>
        <v/>
      </c>
      <c r="CJ644">
        <f>IFERROR(IF('월 가계부'!C644="","",IF(ISNUMBER('월 가계부'!C644),'월 가계부'!C644,VALUE(SUBSTITUTE(SUBSTITUTE(SUBSTITUTE(SUBSTITUTE(TRIM('월 가계부'!C644),",",""),"원","")," ",""),"−","-")))),"")</f>
        <v/>
      </c>
      <c r="CK644">
        <f>IF(ISNUMBER(CI644),IF(CI644&lt;$B$13,CI644,""),"")</f>
        <v/>
      </c>
      <c r="CM644">
        <f>IF(CH644="","",IFERROR(IF(IF(AND(LEN(CH644)=9,ISERROR(FIND("-",LEFT(CH644,8))),ISNUMBER(-LEFT(CH644,8))),VALUE(LEFT(CH644,4)),VALUE(LEFT(CH644,FIND("-",CH644)-1)))&lt;100,IF(AND(LEN(CH644)=9,ISERROR(FIND("-",LEFT(CH644,8))),ISNUMBER(-LEFT(CH644,8))),VALUE(LEFT(CH644,4)),VALUE(LEFT(CH644,FIND("-",CH644)-1)))+2000,IF(AND(LEN(CH644)=9,ISERROR(FIND("-",LEFT(CH644,8))),ISNUMBER(-LEFT(CH644,8))),VALUE(LEFT(CH644,4)),VALUE(LEFT(CH644,FIND("-",CH644)-1)))),""))</f>
        <v/>
      </c>
      <c r="CN644">
        <f>IF(CH644="","",IFERROR(IF(AND(LEN(CH644)=9,ISERROR(FIND("-",LEFT(CH644,8))),ISNUMBER(-LEFT(CH644,8))),VALUE(MID(CH644,5,2)),VALUE(MID(CH644,FIND("-",CH644)+1,FIND("-",CH644,FIND("-",CH644)+1)-FIND("-",CH644)-1))),""))</f>
        <v/>
      </c>
      <c r="CO644">
        <f>IF(CH644="","",IFERROR(IF(AND(LEN(CH644)=9,ISERROR(FIND("-",LEFT(CH644,8))),ISNUMBER(-LEFT(CH644,8))),VALUE(MID(CH644,7,2)),VALUE(MID(CH644,FIND("-",CH644,FIND("-",CH644)+1)+1,FIND("-",CH644,FIND("-",CH644,FIND("-",CH644)+1)+1)-FIND("-",CH644,FIND("-",CH644)+1)-1))),""))</f>
        <v/>
      </c>
    </row>
    <row r="645">
      <c r="CH645">
        <f>IF(ISTEXT('월 가계부'!A645),SUBSTITUTE(SUBSTITUTE(SUBSTITUTE(SUBSTITUTE(SUBSTITUTE(SUBSTITUTE(SUBSTITUTE(SUBSTITUTE(SUBSTITUTE(TRIM('월 가계부'!A645),"년","-"),"월","-"),"일",""),".","-"),"/","-")," ","-"),"--","-"),"--","-"),"--","-")&amp;"-","")</f>
        <v/>
      </c>
      <c r="CI645">
        <f>IFERROR(IF('월 가계부'!A645="","",IF(ISNUMBER('월 가계부'!A645),IF(AND('월 가계부'!A645&gt;=19000101,'월 가계부'!A645&lt;=21001231),IF(AND(MOD(INT('월 가계부'!A645/100),100)&gt;=1,MOD(INT('월 가계부'!A645/100),100)&lt;=12,MOD(INT('월 가계부'!A645),100)&gt;=1,MOD(INT('월 가계부'!A645),100)&lt;=31),IF(MONTH(DATE(INT('월 가계부'!A645/10000),MOD(INT('월 가계부'!A645/100),100),MOD(INT('월 가계부'!A645),100)))=MOD(INT('월 가계부'!A645/100),100),DATE(INT('월 가계부'!A645/10000),MOD(INT('월 가계부'!A645/100),100),MOD(INT('월 가계부'!A645),100)),""),""),IF(AND('월 가계부'!A645&gt;=36526,'월 가계부'!A645&lt;73051),INT('월 가계부'!A645),"")),IF(OR(CM645="",CN645="",CO645=""),"",IF(AND(CM645&gt;=2000,CM645&lt;=2099,CN645&gt;=1,CN645&lt;=12,CO645&gt;=1,CO645&lt;=31),IF(MONTH(DATE(CM645,CN645,CO645))=CN645,DATE(CM645,CN645,CO645),""),"")))),"")</f>
        <v/>
      </c>
      <c r="CJ645">
        <f>IFERROR(IF('월 가계부'!C645="","",IF(ISNUMBER('월 가계부'!C645),'월 가계부'!C645,VALUE(SUBSTITUTE(SUBSTITUTE(SUBSTITUTE(SUBSTITUTE(TRIM('월 가계부'!C645),",",""),"원","")," ",""),"−","-")))),"")</f>
        <v/>
      </c>
      <c r="CK645">
        <f>IF(ISNUMBER(CI645),IF(CI645&lt;$B$13,CI645,""),"")</f>
        <v/>
      </c>
      <c r="CM645">
        <f>IF(CH645="","",IFERROR(IF(IF(AND(LEN(CH645)=9,ISERROR(FIND("-",LEFT(CH645,8))),ISNUMBER(-LEFT(CH645,8))),VALUE(LEFT(CH645,4)),VALUE(LEFT(CH645,FIND("-",CH645)-1)))&lt;100,IF(AND(LEN(CH645)=9,ISERROR(FIND("-",LEFT(CH645,8))),ISNUMBER(-LEFT(CH645,8))),VALUE(LEFT(CH645,4)),VALUE(LEFT(CH645,FIND("-",CH645)-1)))+2000,IF(AND(LEN(CH645)=9,ISERROR(FIND("-",LEFT(CH645,8))),ISNUMBER(-LEFT(CH645,8))),VALUE(LEFT(CH645,4)),VALUE(LEFT(CH645,FIND("-",CH645)-1)))),""))</f>
        <v/>
      </c>
      <c r="CN645">
        <f>IF(CH645="","",IFERROR(IF(AND(LEN(CH645)=9,ISERROR(FIND("-",LEFT(CH645,8))),ISNUMBER(-LEFT(CH645,8))),VALUE(MID(CH645,5,2)),VALUE(MID(CH645,FIND("-",CH645)+1,FIND("-",CH645,FIND("-",CH645)+1)-FIND("-",CH645)-1))),""))</f>
        <v/>
      </c>
      <c r="CO645">
        <f>IF(CH645="","",IFERROR(IF(AND(LEN(CH645)=9,ISERROR(FIND("-",LEFT(CH645,8))),ISNUMBER(-LEFT(CH645,8))),VALUE(MID(CH645,7,2)),VALUE(MID(CH645,FIND("-",CH645,FIND("-",CH645)+1)+1,FIND("-",CH645,FIND("-",CH645,FIND("-",CH645)+1)+1)-FIND("-",CH645,FIND("-",CH645)+1)-1))),""))</f>
        <v/>
      </c>
    </row>
    <row r="646">
      <c r="CH646">
        <f>IF(ISTEXT('월 가계부'!A646),SUBSTITUTE(SUBSTITUTE(SUBSTITUTE(SUBSTITUTE(SUBSTITUTE(SUBSTITUTE(SUBSTITUTE(SUBSTITUTE(SUBSTITUTE(TRIM('월 가계부'!A646),"년","-"),"월","-"),"일",""),".","-"),"/","-")," ","-"),"--","-"),"--","-"),"--","-")&amp;"-","")</f>
        <v/>
      </c>
      <c r="CI646">
        <f>IFERROR(IF('월 가계부'!A646="","",IF(ISNUMBER('월 가계부'!A646),IF(AND('월 가계부'!A646&gt;=19000101,'월 가계부'!A646&lt;=21001231),IF(AND(MOD(INT('월 가계부'!A646/100),100)&gt;=1,MOD(INT('월 가계부'!A646/100),100)&lt;=12,MOD(INT('월 가계부'!A646),100)&gt;=1,MOD(INT('월 가계부'!A646),100)&lt;=31),IF(MONTH(DATE(INT('월 가계부'!A646/10000),MOD(INT('월 가계부'!A646/100),100),MOD(INT('월 가계부'!A646),100)))=MOD(INT('월 가계부'!A646/100),100),DATE(INT('월 가계부'!A646/10000),MOD(INT('월 가계부'!A646/100),100),MOD(INT('월 가계부'!A646),100)),""),""),IF(AND('월 가계부'!A646&gt;=36526,'월 가계부'!A646&lt;73051),INT('월 가계부'!A646),"")),IF(OR(CM646="",CN646="",CO646=""),"",IF(AND(CM646&gt;=2000,CM646&lt;=2099,CN646&gt;=1,CN646&lt;=12,CO646&gt;=1,CO646&lt;=31),IF(MONTH(DATE(CM646,CN646,CO646))=CN646,DATE(CM646,CN646,CO646),""),"")))),"")</f>
        <v/>
      </c>
      <c r="CJ646">
        <f>IFERROR(IF('월 가계부'!C646="","",IF(ISNUMBER('월 가계부'!C646),'월 가계부'!C646,VALUE(SUBSTITUTE(SUBSTITUTE(SUBSTITUTE(SUBSTITUTE(TRIM('월 가계부'!C646),",",""),"원","")," ",""),"−","-")))),"")</f>
        <v/>
      </c>
      <c r="CK646">
        <f>IF(ISNUMBER(CI646),IF(CI646&lt;$B$13,CI646,""),"")</f>
        <v/>
      </c>
      <c r="CM646">
        <f>IF(CH646="","",IFERROR(IF(IF(AND(LEN(CH646)=9,ISERROR(FIND("-",LEFT(CH646,8))),ISNUMBER(-LEFT(CH646,8))),VALUE(LEFT(CH646,4)),VALUE(LEFT(CH646,FIND("-",CH646)-1)))&lt;100,IF(AND(LEN(CH646)=9,ISERROR(FIND("-",LEFT(CH646,8))),ISNUMBER(-LEFT(CH646,8))),VALUE(LEFT(CH646,4)),VALUE(LEFT(CH646,FIND("-",CH646)-1)))+2000,IF(AND(LEN(CH646)=9,ISERROR(FIND("-",LEFT(CH646,8))),ISNUMBER(-LEFT(CH646,8))),VALUE(LEFT(CH646,4)),VALUE(LEFT(CH646,FIND("-",CH646)-1)))),""))</f>
        <v/>
      </c>
      <c r="CN646">
        <f>IF(CH646="","",IFERROR(IF(AND(LEN(CH646)=9,ISERROR(FIND("-",LEFT(CH646,8))),ISNUMBER(-LEFT(CH646,8))),VALUE(MID(CH646,5,2)),VALUE(MID(CH646,FIND("-",CH646)+1,FIND("-",CH646,FIND("-",CH646)+1)-FIND("-",CH646)-1))),""))</f>
        <v/>
      </c>
      <c r="CO646">
        <f>IF(CH646="","",IFERROR(IF(AND(LEN(CH646)=9,ISERROR(FIND("-",LEFT(CH646,8))),ISNUMBER(-LEFT(CH646,8))),VALUE(MID(CH646,7,2)),VALUE(MID(CH646,FIND("-",CH646,FIND("-",CH646)+1)+1,FIND("-",CH646,FIND("-",CH646,FIND("-",CH646)+1)+1)-FIND("-",CH646,FIND("-",CH646)+1)-1))),""))</f>
        <v/>
      </c>
    </row>
    <row r="647">
      <c r="CH647">
        <f>IF(ISTEXT('월 가계부'!A647),SUBSTITUTE(SUBSTITUTE(SUBSTITUTE(SUBSTITUTE(SUBSTITUTE(SUBSTITUTE(SUBSTITUTE(SUBSTITUTE(SUBSTITUTE(TRIM('월 가계부'!A647),"년","-"),"월","-"),"일",""),".","-"),"/","-")," ","-"),"--","-"),"--","-"),"--","-")&amp;"-","")</f>
        <v/>
      </c>
      <c r="CI647">
        <f>IFERROR(IF('월 가계부'!A647="","",IF(ISNUMBER('월 가계부'!A647),IF(AND('월 가계부'!A647&gt;=19000101,'월 가계부'!A647&lt;=21001231),IF(AND(MOD(INT('월 가계부'!A647/100),100)&gt;=1,MOD(INT('월 가계부'!A647/100),100)&lt;=12,MOD(INT('월 가계부'!A647),100)&gt;=1,MOD(INT('월 가계부'!A647),100)&lt;=31),IF(MONTH(DATE(INT('월 가계부'!A647/10000),MOD(INT('월 가계부'!A647/100),100),MOD(INT('월 가계부'!A647),100)))=MOD(INT('월 가계부'!A647/100),100),DATE(INT('월 가계부'!A647/10000),MOD(INT('월 가계부'!A647/100),100),MOD(INT('월 가계부'!A647),100)),""),""),IF(AND('월 가계부'!A647&gt;=36526,'월 가계부'!A647&lt;73051),INT('월 가계부'!A647),"")),IF(OR(CM647="",CN647="",CO647=""),"",IF(AND(CM647&gt;=2000,CM647&lt;=2099,CN647&gt;=1,CN647&lt;=12,CO647&gt;=1,CO647&lt;=31),IF(MONTH(DATE(CM647,CN647,CO647))=CN647,DATE(CM647,CN647,CO647),""),"")))),"")</f>
        <v/>
      </c>
      <c r="CJ647">
        <f>IFERROR(IF('월 가계부'!C647="","",IF(ISNUMBER('월 가계부'!C647),'월 가계부'!C647,VALUE(SUBSTITUTE(SUBSTITUTE(SUBSTITUTE(SUBSTITUTE(TRIM('월 가계부'!C647),",",""),"원","")," ",""),"−","-")))),"")</f>
        <v/>
      </c>
      <c r="CK647">
        <f>IF(ISNUMBER(CI647),IF(CI647&lt;$B$13,CI647,""),"")</f>
        <v/>
      </c>
      <c r="CM647">
        <f>IF(CH647="","",IFERROR(IF(IF(AND(LEN(CH647)=9,ISERROR(FIND("-",LEFT(CH647,8))),ISNUMBER(-LEFT(CH647,8))),VALUE(LEFT(CH647,4)),VALUE(LEFT(CH647,FIND("-",CH647)-1)))&lt;100,IF(AND(LEN(CH647)=9,ISERROR(FIND("-",LEFT(CH647,8))),ISNUMBER(-LEFT(CH647,8))),VALUE(LEFT(CH647,4)),VALUE(LEFT(CH647,FIND("-",CH647)-1)))+2000,IF(AND(LEN(CH647)=9,ISERROR(FIND("-",LEFT(CH647,8))),ISNUMBER(-LEFT(CH647,8))),VALUE(LEFT(CH647,4)),VALUE(LEFT(CH647,FIND("-",CH647)-1)))),""))</f>
        <v/>
      </c>
      <c r="CN647">
        <f>IF(CH647="","",IFERROR(IF(AND(LEN(CH647)=9,ISERROR(FIND("-",LEFT(CH647,8))),ISNUMBER(-LEFT(CH647,8))),VALUE(MID(CH647,5,2)),VALUE(MID(CH647,FIND("-",CH647)+1,FIND("-",CH647,FIND("-",CH647)+1)-FIND("-",CH647)-1))),""))</f>
        <v/>
      </c>
      <c r="CO647">
        <f>IF(CH647="","",IFERROR(IF(AND(LEN(CH647)=9,ISERROR(FIND("-",LEFT(CH647,8))),ISNUMBER(-LEFT(CH647,8))),VALUE(MID(CH647,7,2)),VALUE(MID(CH647,FIND("-",CH647,FIND("-",CH647)+1)+1,FIND("-",CH647,FIND("-",CH647,FIND("-",CH647)+1)+1)-FIND("-",CH647,FIND("-",CH647)+1)-1))),""))</f>
        <v/>
      </c>
    </row>
    <row r="648">
      <c r="CH648">
        <f>IF(ISTEXT('월 가계부'!A648),SUBSTITUTE(SUBSTITUTE(SUBSTITUTE(SUBSTITUTE(SUBSTITUTE(SUBSTITUTE(SUBSTITUTE(SUBSTITUTE(SUBSTITUTE(TRIM('월 가계부'!A648),"년","-"),"월","-"),"일",""),".","-"),"/","-")," ","-"),"--","-"),"--","-"),"--","-")&amp;"-","")</f>
        <v/>
      </c>
      <c r="CI648">
        <f>IFERROR(IF('월 가계부'!A648="","",IF(ISNUMBER('월 가계부'!A648),IF(AND('월 가계부'!A648&gt;=19000101,'월 가계부'!A648&lt;=21001231),IF(AND(MOD(INT('월 가계부'!A648/100),100)&gt;=1,MOD(INT('월 가계부'!A648/100),100)&lt;=12,MOD(INT('월 가계부'!A648),100)&gt;=1,MOD(INT('월 가계부'!A648),100)&lt;=31),IF(MONTH(DATE(INT('월 가계부'!A648/10000),MOD(INT('월 가계부'!A648/100),100),MOD(INT('월 가계부'!A648),100)))=MOD(INT('월 가계부'!A648/100),100),DATE(INT('월 가계부'!A648/10000),MOD(INT('월 가계부'!A648/100),100),MOD(INT('월 가계부'!A648),100)),""),""),IF(AND('월 가계부'!A648&gt;=36526,'월 가계부'!A648&lt;73051),INT('월 가계부'!A648),"")),IF(OR(CM648="",CN648="",CO648=""),"",IF(AND(CM648&gt;=2000,CM648&lt;=2099,CN648&gt;=1,CN648&lt;=12,CO648&gt;=1,CO648&lt;=31),IF(MONTH(DATE(CM648,CN648,CO648))=CN648,DATE(CM648,CN648,CO648),""),"")))),"")</f>
        <v/>
      </c>
      <c r="CJ648">
        <f>IFERROR(IF('월 가계부'!C648="","",IF(ISNUMBER('월 가계부'!C648),'월 가계부'!C648,VALUE(SUBSTITUTE(SUBSTITUTE(SUBSTITUTE(SUBSTITUTE(TRIM('월 가계부'!C648),",",""),"원","")," ",""),"−","-")))),"")</f>
        <v/>
      </c>
      <c r="CK648">
        <f>IF(ISNUMBER(CI648),IF(CI648&lt;$B$13,CI648,""),"")</f>
        <v/>
      </c>
      <c r="CM648">
        <f>IF(CH648="","",IFERROR(IF(IF(AND(LEN(CH648)=9,ISERROR(FIND("-",LEFT(CH648,8))),ISNUMBER(-LEFT(CH648,8))),VALUE(LEFT(CH648,4)),VALUE(LEFT(CH648,FIND("-",CH648)-1)))&lt;100,IF(AND(LEN(CH648)=9,ISERROR(FIND("-",LEFT(CH648,8))),ISNUMBER(-LEFT(CH648,8))),VALUE(LEFT(CH648,4)),VALUE(LEFT(CH648,FIND("-",CH648)-1)))+2000,IF(AND(LEN(CH648)=9,ISERROR(FIND("-",LEFT(CH648,8))),ISNUMBER(-LEFT(CH648,8))),VALUE(LEFT(CH648,4)),VALUE(LEFT(CH648,FIND("-",CH648)-1)))),""))</f>
        <v/>
      </c>
      <c r="CN648">
        <f>IF(CH648="","",IFERROR(IF(AND(LEN(CH648)=9,ISERROR(FIND("-",LEFT(CH648,8))),ISNUMBER(-LEFT(CH648,8))),VALUE(MID(CH648,5,2)),VALUE(MID(CH648,FIND("-",CH648)+1,FIND("-",CH648,FIND("-",CH648)+1)-FIND("-",CH648)-1))),""))</f>
        <v/>
      </c>
      <c r="CO648">
        <f>IF(CH648="","",IFERROR(IF(AND(LEN(CH648)=9,ISERROR(FIND("-",LEFT(CH648,8))),ISNUMBER(-LEFT(CH648,8))),VALUE(MID(CH648,7,2)),VALUE(MID(CH648,FIND("-",CH648,FIND("-",CH648)+1)+1,FIND("-",CH648,FIND("-",CH648,FIND("-",CH648)+1)+1)-FIND("-",CH648,FIND("-",CH648)+1)-1))),""))</f>
        <v/>
      </c>
    </row>
    <row r="649">
      <c r="CH649">
        <f>IF(ISTEXT('월 가계부'!A649),SUBSTITUTE(SUBSTITUTE(SUBSTITUTE(SUBSTITUTE(SUBSTITUTE(SUBSTITUTE(SUBSTITUTE(SUBSTITUTE(SUBSTITUTE(TRIM('월 가계부'!A649),"년","-"),"월","-"),"일",""),".","-"),"/","-")," ","-"),"--","-"),"--","-"),"--","-")&amp;"-","")</f>
        <v/>
      </c>
      <c r="CI649">
        <f>IFERROR(IF('월 가계부'!A649="","",IF(ISNUMBER('월 가계부'!A649),IF(AND('월 가계부'!A649&gt;=19000101,'월 가계부'!A649&lt;=21001231),IF(AND(MOD(INT('월 가계부'!A649/100),100)&gt;=1,MOD(INT('월 가계부'!A649/100),100)&lt;=12,MOD(INT('월 가계부'!A649),100)&gt;=1,MOD(INT('월 가계부'!A649),100)&lt;=31),IF(MONTH(DATE(INT('월 가계부'!A649/10000),MOD(INT('월 가계부'!A649/100),100),MOD(INT('월 가계부'!A649),100)))=MOD(INT('월 가계부'!A649/100),100),DATE(INT('월 가계부'!A649/10000),MOD(INT('월 가계부'!A649/100),100),MOD(INT('월 가계부'!A649),100)),""),""),IF(AND('월 가계부'!A649&gt;=36526,'월 가계부'!A649&lt;73051),INT('월 가계부'!A649),"")),IF(OR(CM649="",CN649="",CO649=""),"",IF(AND(CM649&gt;=2000,CM649&lt;=2099,CN649&gt;=1,CN649&lt;=12,CO649&gt;=1,CO649&lt;=31),IF(MONTH(DATE(CM649,CN649,CO649))=CN649,DATE(CM649,CN649,CO649),""),"")))),"")</f>
        <v/>
      </c>
      <c r="CJ649">
        <f>IFERROR(IF('월 가계부'!C649="","",IF(ISNUMBER('월 가계부'!C649),'월 가계부'!C649,VALUE(SUBSTITUTE(SUBSTITUTE(SUBSTITUTE(SUBSTITUTE(TRIM('월 가계부'!C649),",",""),"원","")," ",""),"−","-")))),"")</f>
        <v/>
      </c>
      <c r="CK649">
        <f>IF(ISNUMBER(CI649),IF(CI649&lt;$B$13,CI649,""),"")</f>
        <v/>
      </c>
      <c r="CM649">
        <f>IF(CH649="","",IFERROR(IF(IF(AND(LEN(CH649)=9,ISERROR(FIND("-",LEFT(CH649,8))),ISNUMBER(-LEFT(CH649,8))),VALUE(LEFT(CH649,4)),VALUE(LEFT(CH649,FIND("-",CH649)-1)))&lt;100,IF(AND(LEN(CH649)=9,ISERROR(FIND("-",LEFT(CH649,8))),ISNUMBER(-LEFT(CH649,8))),VALUE(LEFT(CH649,4)),VALUE(LEFT(CH649,FIND("-",CH649)-1)))+2000,IF(AND(LEN(CH649)=9,ISERROR(FIND("-",LEFT(CH649,8))),ISNUMBER(-LEFT(CH649,8))),VALUE(LEFT(CH649,4)),VALUE(LEFT(CH649,FIND("-",CH649)-1)))),""))</f>
        <v/>
      </c>
      <c r="CN649">
        <f>IF(CH649="","",IFERROR(IF(AND(LEN(CH649)=9,ISERROR(FIND("-",LEFT(CH649,8))),ISNUMBER(-LEFT(CH649,8))),VALUE(MID(CH649,5,2)),VALUE(MID(CH649,FIND("-",CH649)+1,FIND("-",CH649,FIND("-",CH649)+1)-FIND("-",CH649)-1))),""))</f>
        <v/>
      </c>
      <c r="CO649">
        <f>IF(CH649="","",IFERROR(IF(AND(LEN(CH649)=9,ISERROR(FIND("-",LEFT(CH649,8))),ISNUMBER(-LEFT(CH649,8))),VALUE(MID(CH649,7,2)),VALUE(MID(CH649,FIND("-",CH649,FIND("-",CH649)+1)+1,FIND("-",CH649,FIND("-",CH649,FIND("-",CH649)+1)+1)-FIND("-",CH649,FIND("-",CH649)+1)-1))),""))</f>
        <v/>
      </c>
    </row>
    <row r="650">
      <c r="CH650">
        <f>IF(ISTEXT('월 가계부'!A650),SUBSTITUTE(SUBSTITUTE(SUBSTITUTE(SUBSTITUTE(SUBSTITUTE(SUBSTITUTE(SUBSTITUTE(SUBSTITUTE(SUBSTITUTE(TRIM('월 가계부'!A650),"년","-"),"월","-"),"일",""),".","-"),"/","-")," ","-"),"--","-"),"--","-"),"--","-")&amp;"-","")</f>
        <v/>
      </c>
      <c r="CI650">
        <f>IFERROR(IF('월 가계부'!A650="","",IF(ISNUMBER('월 가계부'!A650),IF(AND('월 가계부'!A650&gt;=19000101,'월 가계부'!A650&lt;=21001231),IF(AND(MOD(INT('월 가계부'!A650/100),100)&gt;=1,MOD(INT('월 가계부'!A650/100),100)&lt;=12,MOD(INT('월 가계부'!A650),100)&gt;=1,MOD(INT('월 가계부'!A650),100)&lt;=31),IF(MONTH(DATE(INT('월 가계부'!A650/10000),MOD(INT('월 가계부'!A650/100),100),MOD(INT('월 가계부'!A650),100)))=MOD(INT('월 가계부'!A650/100),100),DATE(INT('월 가계부'!A650/10000),MOD(INT('월 가계부'!A650/100),100),MOD(INT('월 가계부'!A650),100)),""),""),IF(AND('월 가계부'!A650&gt;=36526,'월 가계부'!A650&lt;73051),INT('월 가계부'!A650),"")),IF(OR(CM650="",CN650="",CO650=""),"",IF(AND(CM650&gt;=2000,CM650&lt;=2099,CN650&gt;=1,CN650&lt;=12,CO650&gt;=1,CO650&lt;=31),IF(MONTH(DATE(CM650,CN650,CO650))=CN650,DATE(CM650,CN650,CO650),""),"")))),"")</f>
        <v/>
      </c>
      <c r="CJ650">
        <f>IFERROR(IF('월 가계부'!C650="","",IF(ISNUMBER('월 가계부'!C650),'월 가계부'!C650,VALUE(SUBSTITUTE(SUBSTITUTE(SUBSTITUTE(SUBSTITUTE(TRIM('월 가계부'!C650),",",""),"원","")," ",""),"−","-")))),"")</f>
        <v/>
      </c>
      <c r="CK650">
        <f>IF(ISNUMBER(CI650),IF(CI650&lt;$B$13,CI650,""),"")</f>
        <v/>
      </c>
      <c r="CM650">
        <f>IF(CH650="","",IFERROR(IF(IF(AND(LEN(CH650)=9,ISERROR(FIND("-",LEFT(CH650,8))),ISNUMBER(-LEFT(CH650,8))),VALUE(LEFT(CH650,4)),VALUE(LEFT(CH650,FIND("-",CH650)-1)))&lt;100,IF(AND(LEN(CH650)=9,ISERROR(FIND("-",LEFT(CH650,8))),ISNUMBER(-LEFT(CH650,8))),VALUE(LEFT(CH650,4)),VALUE(LEFT(CH650,FIND("-",CH650)-1)))+2000,IF(AND(LEN(CH650)=9,ISERROR(FIND("-",LEFT(CH650,8))),ISNUMBER(-LEFT(CH650,8))),VALUE(LEFT(CH650,4)),VALUE(LEFT(CH650,FIND("-",CH650)-1)))),""))</f>
        <v/>
      </c>
      <c r="CN650">
        <f>IF(CH650="","",IFERROR(IF(AND(LEN(CH650)=9,ISERROR(FIND("-",LEFT(CH650,8))),ISNUMBER(-LEFT(CH650,8))),VALUE(MID(CH650,5,2)),VALUE(MID(CH650,FIND("-",CH650)+1,FIND("-",CH650,FIND("-",CH650)+1)-FIND("-",CH650)-1))),""))</f>
        <v/>
      </c>
      <c r="CO650">
        <f>IF(CH650="","",IFERROR(IF(AND(LEN(CH650)=9,ISERROR(FIND("-",LEFT(CH650,8))),ISNUMBER(-LEFT(CH650,8))),VALUE(MID(CH650,7,2)),VALUE(MID(CH650,FIND("-",CH650,FIND("-",CH650)+1)+1,FIND("-",CH650,FIND("-",CH650,FIND("-",CH650)+1)+1)-FIND("-",CH650,FIND("-",CH650)+1)-1))),""))</f>
        <v/>
      </c>
    </row>
    <row r="651">
      <c r="CH651">
        <f>IF(ISTEXT('월 가계부'!A651),SUBSTITUTE(SUBSTITUTE(SUBSTITUTE(SUBSTITUTE(SUBSTITUTE(SUBSTITUTE(SUBSTITUTE(SUBSTITUTE(SUBSTITUTE(TRIM('월 가계부'!A651),"년","-"),"월","-"),"일",""),".","-"),"/","-")," ","-"),"--","-"),"--","-"),"--","-")&amp;"-","")</f>
        <v/>
      </c>
      <c r="CI651">
        <f>IFERROR(IF('월 가계부'!A651="","",IF(ISNUMBER('월 가계부'!A651),IF(AND('월 가계부'!A651&gt;=19000101,'월 가계부'!A651&lt;=21001231),IF(AND(MOD(INT('월 가계부'!A651/100),100)&gt;=1,MOD(INT('월 가계부'!A651/100),100)&lt;=12,MOD(INT('월 가계부'!A651),100)&gt;=1,MOD(INT('월 가계부'!A651),100)&lt;=31),IF(MONTH(DATE(INT('월 가계부'!A651/10000),MOD(INT('월 가계부'!A651/100),100),MOD(INT('월 가계부'!A651),100)))=MOD(INT('월 가계부'!A651/100),100),DATE(INT('월 가계부'!A651/10000),MOD(INT('월 가계부'!A651/100),100),MOD(INT('월 가계부'!A651),100)),""),""),IF(AND('월 가계부'!A651&gt;=36526,'월 가계부'!A651&lt;73051),INT('월 가계부'!A651),"")),IF(OR(CM651="",CN651="",CO651=""),"",IF(AND(CM651&gt;=2000,CM651&lt;=2099,CN651&gt;=1,CN651&lt;=12,CO651&gt;=1,CO651&lt;=31),IF(MONTH(DATE(CM651,CN651,CO651))=CN651,DATE(CM651,CN651,CO651),""),"")))),"")</f>
        <v/>
      </c>
      <c r="CJ651">
        <f>IFERROR(IF('월 가계부'!C651="","",IF(ISNUMBER('월 가계부'!C651),'월 가계부'!C651,VALUE(SUBSTITUTE(SUBSTITUTE(SUBSTITUTE(SUBSTITUTE(TRIM('월 가계부'!C651),",",""),"원","")," ",""),"−","-")))),"")</f>
        <v/>
      </c>
      <c r="CK651">
        <f>IF(ISNUMBER(CI651),IF(CI651&lt;$B$13,CI651,""),"")</f>
        <v/>
      </c>
      <c r="CM651">
        <f>IF(CH651="","",IFERROR(IF(IF(AND(LEN(CH651)=9,ISERROR(FIND("-",LEFT(CH651,8))),ISNUMBER(-LEFT(CH651,8))),VALUE(LEFT(CH651,4)),VALUE(LEFT(CH651,FIND("-",CH651)-1)))&lt;100,IF(AND(LEN(CH651)=9,ISERROR(FIND("-",LEFT(CH651,8))),ISNUMBER(-LEFT(CH651,8))),VALUE(LEFT(CH651,4)),VALUE(LEFT(CH651,FIND("-",CH651)-1)))+2000,IF(AND(LEN(CH651)=9,ISERROR(FIND("-",LEFT(CH651,8))),ISNUMBER(-LEFT(CH651,8))),VALUE(LEFT(CH651,4)),VALUE(LEFT(CH651,FIND("-",CH651)-1)))),""))</f>
        <v/>
      </c>
      <c r="CN651">
        <f>IF(CH651="","",IFERROR(IF(AND(LEN(CH651)=9,ISERROR(FIND("-",LEFT(CH651,8))),ISNUMBER(-LEFT(CH651,8))),VALUE(MID(CH651,5,2)),VALUE(MID(CH651,FIND("-",CH651)+1,FIND("-",CH651,FIND("-",CH651)+1)-FIND("-",CH651)-1))),""))</f>
        <v/>
      </c>
      <c r="CO651">
        <f>IF(CH651="","",IFERROR(IF(AND(LEN(CH651)=9,ISERROR(FIND("-",LEFT(CH651,8))),ISNUMBER(-LEFT(CH651,8))),VALUE(MID(CH651,7,2)),VALUE(MID(CH651,FIND("-",CH651,FIND("-",CH651)+1)+1,FIND("-",CH651,FIND("-",CH651,FIND("-",CH651)+1)+1)-FIND("-",CH651,FIND("-",CH651)+1)-1))),""))</f>
        <v/>
      </c>
    </row>
    <row r="652">
      <c r="CH652">
        <f>IF(ISTEXT('월 가계부'!A652),SUBSTITUTE(SUBSTITUTE(SUBSTITUTE(SUBSTITUTE(SUBSTITUTE(SUBSTITUTE(SUBSTITUTE(SUBSTITUTE(SUBSTITUTE(TRIM('월 가계부'!A652),"년","-"),"월","-"),"일",""),".","-"),"/","-")," ","-"),"--","-"),"--","-"),"--","-")&amp;"-","")</f>
        <v/>
      </c>
      <c r="CI652">
        <f>IFERROR(IF('월 가계부'!A652="","",IF(ISNUMBER('월 가계부'!A652),IF(AND('월 가계부'!A652&gt;=19000101,'월 가계부'!A652&lt;=21001231),IF(AND(MOD(INT('월 가계부'!A652/100),100)&gt;=1,MOD(INT('월 가계부'!A652/100),100)&lt;=12,MOD(INT('월 가계부'!A652),100)&gt;=1,MOD(INT('월 가계부'!A652),100)&lt;=31),IF(MONTH(DATE(INT('월 가계부'!A652/10000),MOD(INT('월 가계부'!A652/100),100),MOD(INT('월 가계부'!A652),100)))=MOD(INT('월 가계부'!A652/100),100),DATE(INT('월 가계부'!A652/10000),MOD(INT('월 가계부'!A652/100),100),MOD(INT('월 가계부'!A652),100)),""),""),IF(AND('월 가계부'!A652&gt;=36526,'월 가계부'!A652&lt;73051),INT('월 가계부'!A652),"")),IF(OR(CM652="",CN652="",CO652=""),"",IF(AND(CM652&gt;=2000,CM652&lt;=2099,CN652&gt;=1,CN652&lt;=12,CO652&gt;=1,CO652&lt;=31),IF(MONTH(DATE(CM652,CN652,CO652))=CN652,DATE(CM652,CN652,CO652),""),"")))),"")</f>
        <v/>
      </c>
      <c r="CJ652">
        <f>IFERROR(IF('월 가계부'!C652="","",IF(ISNUMBER('월 가계부'!C652),'월 가계부'!C652,VALUE(SUBSTITUTE(SUBSTITUTE(SUBSTITUTE(SUBSTITUTE(TRIM('월 가계부'!C652),",",""),"원","")," ",""),"−","-")))),"")</f>
        <v/>
      </c>
      <c r="CK652">
        <f>IF(ISNUMBER(CI652),IF(CI652&lt;$B$13,CI652,""),"")</f>
        <v/>
      </c>
      <c r="CM652">
        <f>IF(CH652="","",IFERROR(IF(IF(AND(LEN(CH652)=9,ISERROR(FIND("-",LEFT(CH652,8))),ISNUMBER(-LEFT(CH652,8))),VALUE(LEFT(CH652,4)),VALUE(LEFT(CH652,FIND("-",CH652)-1)))&lt;100,IF(AND(LEN(CH652)=9,ISERROR(FIND("-",LEFT(CH652,8))),ISNUMBER(-LEFT(CH652,8))),VALUE(LEFT(CH652,4)),VALUE(LEFT(CH652,FIND("-",CH652)-1)))+2000,IF(AND(LEN(CH652)=9,ISERROR(FIND("-",LEFT(CH652,8))),ISNUMBER(-LEFT(CH652,8))),VALUE(LEFT(CH652,4)),VALUE(LEFT(CH652,FIND("-",CH652)-1)))),""))</f>
        <v/>
      </c>
      <c r="CN652">
        <f>IF(CH652="","",IFERROR(IF(AND(LEN(CH652)=9,ISERROR(FIND("-",LEFT(CH652,8))),ISNUMBER(-LEFT(CH652,8))),VALUE(MID(CH652,5,2)),VALUE(MID(CH652,FIND("-",CH652)+1,FIND("-",CH652,FIND("-",CH652)+1)-FIND("-",CH652)-1))),""))</f>
        <v/>
      </c>
      <c r="CO652">
        <f>IF(CH652="","",IFERROR(IF(AND(LEN(CH652)=9,ISERROR(FIND("-",LEFT(CH652,8))),ISNUMBER(-LEFT(CH652,8))),VALUE(MID(CH652,7,2)),VALUE(MID(CH652,FIND("-",CH652,FIND("-",CH652)+1)+1,FIND("-",CH652,FIND("-",CH652,FIND("-",CH652)+1)+1)-FIND("-",CH652,FIND("-",CH652)+1)-1))),""))</f>
        <v/>
      </c>
    </row>
    <row r="653">
      <c r="CH653">
        <f>IF(ISTEXT('월 가계부'!A653),SUBSTITUTE(SUBSTITUTE(SUBSTITUTE(SUBSTITUTE(SUBSTITUTE(SUBSTITUTE(SUBSTITUTE(SUBSTITUTE(SUBSTITUTE(TRIM('월 가계부'!A653),"년","-"),"월","-"),"일",""),".","-"),"/","-")," ","-"),"--","-"),"--","-"),"--","-")&amp;"-","")</f>
        <v/>
      </c>
      <c r="CI653">
        <f>IFERROR(IF('월 가계부'!A653="","",IF(ISNUMBER('월 가계부'!A653),IF(AND('월 가계부'!A653&gt;=19000101,'월 가계부'!A653&lt;=21001231),IF(AND(MOD(INT('월 가계부'!A653/100),100)&gt;=1,MOD(INT('월 가계부'!A653/100),100)&lt;=12,MOD(INT('월 가계부'!A653),100)&gt;=1,MOD(INT('월 가계부'!A653),100)&lt;=31),IF(MONTH(DATE(INT('월 가계부'!A653/10000),MOD(INT('월 가계부'!A653/100),100),MOD(INT('월 가계부'!A653),100)))=MOD(INT('월 가계부'!A653/100),100),DATE(INT('월 가계부'!A653/10000),MOD(INT('월 가계부'!A653/100),100),MOD(INT('월 가계부'!A653),100)),""),""),IF(AND('월 가계부'!A653&gt;=36526,'월 가계부'!A653&lt;73051),INT('월 가계부'!A653),"")),IF(OR(CM653="",CN653="",CO653=""),"",IF(AND(CM653&gt;=2000,CM653&lt;=2099,CN653&gt;=1,CN653&lt;=12,CO653&gt;=1,CO653&lt;=31),IF(MONTH(DATE(CM653,CN653,CO653))=CN653,DATE(CM653,CN653,CO653),""),"")))),"")</f>
        <v/>
      </c>
      <c r="CJ653">
        <f>IFERROR(IF('월 가계부'!C653="","",IF(ISNUMBER('월 가계부'!C653),'월 가계부'!C653,VALUE(SUBSTITUTE(SUBSTITUTE(SUBSTITUTE(SUBSTITUTE(TRIM('월 가계부'!C653),",",""),"원","")," ",""),"−","-")))),"")</f>
        <v/>
      </c>
      <c r="CK653">
        <f>IF(ISNUMBER(CI653),IF(CI653&lt;$B$13,CI653,""),"")</f>
        <v/>
      </c>
      <c r="CM653">
        <f>IF(CH653="","",IFERROR(IF(IF(AND(LEN(CH653)=9,ISERROR(FIND("-",LEFT(CH653,8))),ISNUMBER(-LEFT(CH653,8))),VALUE(LEFT(CH653,4)),VALUE(LEFT(CH653,FIND("-",CH653)-1)))&lt;100,IF(AND(LEN(CH653)=9,ISERROR(FIND("-",LEFT(CH653,8))),ISNUMBER(-LEFT(CH653,8))),VALUE(LEFT(CH653,4)),VALUE(LEFT(CH653,FIND("-",CH653)-1)))+2000,IF(AND(LEN(CH653)=9,ISERROR(FIND("-",LEFT(CH653,8))),ISNUMBER(-LEFT(CH653,8))),VALUE(LEFT(CH653,4)),VALUE(LEFT(CH653,FIND("-",CH653)-1)))),""))</f>
        <v/>
      </c>
      <c r="CN653">
        <f>IF(CH653="","",IFERROR(IF(AND(LEN(CH653)=9,ISERROR(FIND("-",LEFT(CH653,8))),ISNUMBER(-LEFT(CH653,8))),VALUE(MID(CH653,5,2)),VALUE(MID(CH653,FIND("-",CH653)+1,FIND("-",CH653,FIND("-",CH653)+1)-FIND("-",CH653)-1))),""))</f>
        <v/>
      </c>
      <c r="CO653">
        <f>IF(CH653="","",IFERROR(IF(AND(LEN(CH653)=9,ISERROR(FIND("-",LEFT(CH653,8))),ISNUMBER(-LEFT(CH653,8))),VALUE(MID(CH653,7,2)),VALUE(MID(CH653,FIND("-",CH653,FIND("-",CH653)+1)+1,FIND("-",CH653,FIND("-",CH653,FIND("-",CH653)+1)+1)-FIND("-",CH653,FIND("-",CH653)+1)-1))),""))</f>
        <v/>
      </c>
    </row>
    <row r="654">
      <c r="CH654">
        <f>IF(ISTEXT('월 가계부'!A654),SUBSTITUTE(SUBSTITUTE(SUBSTITUTE(SUBSTITUTE(SUBSTITUTE(SUBSTITUTE(SUBSTITUTE(SUBSTITUTE(SUBSTITUTE(TRIM('월 가계부'!A654),"년","-"),"월","-"),"일",""),".","-"),"/","-")," ","-"),"--","-"),"--","-"),"--","-")&amp;"-","")</f>
        <v/>
      </c>
      <c r="CI654">
        <f>IFERROR(IF('월 가계부'!A654="","",IF(ISNUMBER('월 가계부'!A654),IF(AND('월 가계부'!A654&gt;=19000101,'월 가계부'!A654&lt;=21001231),IF(AND(MOD(INT('월 가계부'!A654/100),100)&gt;=1,MOD(INT('월 가계부'!A654/100),100)&lt;=12,MOD(INT('월 가계부'!A654),100)&gt;=1,MOD(INT('월 가계부'!A654),100)&lt;=31),IF(MONTH(DATE(INT('월 가계부'!A654/10000),MOD(INT('월 가계부'!A654/100),100),MOD(INT('월 가계부'!A654),100)))=MOD(INT('월 가계부'!A654/100),100),DATE(INT('월 가계부'!A654/10000),MOD(INT('월 가계부'!A654/100),100),MOD(INT('월 가계부'!A654),100)),""),""),IF(AND('월 가계부'!A654&gt;=36526,'월 가계부'!A654&lt;73051),INT('월 가계부'!A654),"")),IF(OR(CM654="",CN654="",CO654=""),"",IF(AND(CM654&gt;=2000,CM654&lt;=2099,CN654&gt;=1,CN654&lt;=12,CO654&gt;=1,CO654&lt;=31),IF(MONTH(DATE(CM654,CN654,CO654))=CN654,DATE(CM654,CN654,CO654),""),"")))),"")</f>
        <v/>
      </c>
      <c r="CJ654">
        <f>IFERROR(IF('월 가계부'!C654="","",IF(ISNUMBER('월 가계부'!C654),'월 가계부'!C654,VALUE(SUBSTITUTE(SUBSTITUTE(SUBSTITUTE(SUBSTITUTE(TRIM('월 가계부'!C654),",",""),"원","")," ",""),"−","-")))),"")</f>
        <v/>
      </c>
      <c r="CK654">
        <f>IF(ISNUMBER(CI654),IF(CI654&lt;$B$13,CI654,""),"")</f>
        <v/>
      </c>
      <c r="CM654">
        <f>IF(CH654="","",IFERROR(IF(IF(AND(LEN(CH654)=9,ISERROR(FIND("-",LEFT(CH654,8))),ISNUMBER(-LEFT(CH654,8))),VALUE(LEFT(CH654,4)),VALUE(LEFT(CH654,FIND("-",CH654)-1)))&lt;100,IF(AND(LEN(CH654)=9,ISERROR(FIND("-",LEFT(CH654,8))),ISNUMBER(-LEFT(CH654,8))),VALUE(LEFT(CH654,4)),VALUE(LEFT(CH654,FIND("-",CH654)-1)))+2000,IF(AND(LEN(CH654)=9,ISERROR(FIND("-",LEFT(CH654,8))),ISNUMBER(-LEFT(CH654,8))),VALUE(LEFT(CH654,4)),VALUE(LEFT(CH654,FIND("-",CH654)-1)))),""))</f>
        <v/>
      </c>
      <c r="CN654">
        <f>IF(CH654="","",IFERROR(IF(AND(LEN(CH654)=9,ISERROR(FIND("-",LEFT(CH654,8))),ISNUMBER(-LEFT(CH654,8))),VALUE(MID(CH654,5,2)),VALUE(MID(CH654,FIND("-",CH654)+1,FIND("-",CH654,FIND("-",CH654)+1)-FIND("-",CH654)-1))),""))</f>
        <v/>
      </c>
      <c r="CO654">
        <f>IF(CH654="","",IFERROR(IF(AND(LEN(CH654)=9,ISERROR(FIND("-",LEFT(CH654,8))),ISNUMBER(-LEFT(CH654,8))),VALUE(MID(CH654,7,2)),VALUE(MID(CH654,FIND("-",CH654,FIND("-",CH654)+1)+1,FIND("-",CH654,FIND("-",CH654,FIND("-",CH654)+1)+1)-FIND("-",CH654,FIND("-",CH654)+1)-1))),""))</f>
        <v/>
      </c>
    </row>
    <row r="655">
      <c r="CH655">
        <f>IF(ISTEXT('월 가계부'!A655),SUBSTITUTE(SUBSTITUTE(SUBSTITUTE(SUBSTITUTE(SUBSTITUTE(SUBSTITUTE(SUBSTITUTE(SUBSTITUTE(SUBSTITUTE(TRIM('월 가계부'!A655),"년","-"),"월","-"),"일",""),".","-"),"/","-")," ","-"),"--","-"),"--","-"),"--","-")&amp;"-","")</f>
        <v/>
      </c>
      <c r="CI655">
        <f>IFERROR(IF('월 가계부'!A655="","",IF(ISNUMBER('월 가계부'!A655),IF(AND('월 가계부'!A655&gt;=19000101,'월 가계부'!A655&lt;=21001231),IF(AND(MOD(INT('월 가계부'!A655/100),100)&gt;=1,MOD(INT('월 가계부'!A655/100),100)&lt;=12,MOD(INT('월 가계부'!A655),100)&gt;=1,MOD(INT('월 가계부'!A655),100)&lt;=31),IF(MONTH(DATE(INT('월 가계부'!A655/10000),MOD(INT('월 가계부'!A655/100),100),MOD(INT('월 가계부'!A655),100)))=MOD(INT('월 가계부'!A655/100),100),DATE(INT('월 가계부'!A655/10000),MOD(INT('월 가계부'!A655/100),100),MOD(INT('월 가계부'!A655),100)),""),""),IF(AND('월 가계부'!A655&gt;=36526,'월 가계부'!A655&lt;73051),INT('월 가계부'!A655),"")),IF(OR(CM655="",CN655="",CO655=""),"",IF(AND(CM655&gt;=2000,CM655&lt;=2099,CN655&gt;=1,CN655&lt;=12,CO655&gt;=1,CO655&lt;=31),IF(MONTH(DATE(CM655,CN655,CO655))=CN655,DATE(CM655,CN655,CO655),""),"")))),"")</f>
        <v/>
      </c>
      <c r="CJ655">
        <f>IFERROR(IF('월 가계부'!C655="","",IF(ISNUMBER('월 가계부'!C655),'월 가계부'!C655,VALUE(SUBSTITUTE(SUBSTITUTE(SUBSTITUTE(SUBSTITUTE(TRIM('월 가계부'!C655),",",""),"원","")," ",""),"−","-")))),"")</f>
        <v/>
      </c>
      <c r="CK655">
        <f>IF(ISNUMBER(CI655),IF(CI655&lt;$B$13,CI655,""),"")</f>
        <v/>
      </c>
      <c r="CM655">
        <f>IF(CH655="","",IFERROR(IF(IF(AND(LEN(CH655)=9,ISERROR(FIND("-",LEFT(CH655,8))),ISNUMBER(-LEFT(CH655,8))),VALUE(LEFT(CH655,4)),VALUE(LEFT(CH655,FIND("-",CH655)-1)))&lt;100,IF(AND(LEN(CH655)=9,ISERROR(FIND("-",LEFT(CH655,8))),ISNUMBER(-LEFT(CH655,8))),VALUE(LEFT(CH655,4)),VALUE(LEFT(CH655,FIND("-",CH655)-1)))+2000,IF(AND(LEN(CH655)=9,ISERROR(FIND("-",LEFT(CH655,8))),ISNUMBER(-LEFT(CH655,8))),VALUE(LEFT(CH655,4)),VALUE(LEFT(CH655,FIND("-",CH655)-1)))),""))</f>
        <v/>
      </c>
      <c r="CN655">
        <f>IF(CH655="","",IFERROR(IF(AND(LEN(CH655)=9,ISERROR(FIND("-",LEFT(CH655,8))),ISNUMBER(-LEFT(CH655,8))),VALUE(MID(CH655,5,2)),VALUE(MID(CH655,FIND("-",CH655)+1,FIND("-",CH655,FIND("-",CH655)+1)-FIND("-",CH655)-1))),""))</f>
        <v/>
      </c>
      <c r="CO655">
        <f>IF(CH655="","",IFERROR(IF(AND(LEN(CH655)=9,ISERROR(FIND("-",LEFT(CH655,8))),ISNUMBER(-LEFT(CH655,8))),VALUE(MID(CH655,7,2)),VALUE(MID(CH655,FIND("-",CH655,FIND("-",CH655)+1)+1,FIND("-",CH655,FIND("-",CH655,FIND("-",CH655)+1)+1)-FIND("-",CH655,FIND("-",CH655)+1)-1))),""))</f>
        <v/>
      </c>
    </row>
    <row r="656">
      <c r="CH656">
        <f>IF(ISTEXT('월 가계부'!A656),SUBSTITUTE(SUBSTITUTE(SUBSTITUTE(SUBSTITUTE(SUBSTITUTE(SUBSTITUTE(SUBSTITUTE(SUBSTITUTE(SUBSTITUTE(TRIM('월 가계부'!A656),"년","-"),"월","-"),"일",""),".","-"),"/","-")," ","-"),"--","-"),"--","-"),"--","-")&amp;"-","")</f>
        <v/>
      </c>
      <c r="CI656">
        <f>IFERROR(IF('월 가계부'!A656="","",IF(ISNUMBER('월 가계부'!A656),IF(AND('월 가계부'!A656&gt;=19000101,'월 가계부'!A656&lt;=21001231),IF(AND(MOD(INT('월 가계부'!A656/100),100)&gt;=1,MOD(INT('월 가계부'!A656/100),100)&lt;=12,MOD(INT('월 가계부'!A656),100)&gt;=1,MOD(INT('월 가계부'!A656),100)&lt;=31),IF(MONTH(DATE(INT('월 가계부'!A656/10000),MOD(INT('월 가계부'!A656/100),100),MOD(INT('월 가계부'!A656),100)))=MOD(INT('월 가계부'!A656/100),100),DATE(INT('월 가계부'!A656/10000),MOD(INT('월 가계부'!A656/100),100),MOD(INT('월 가계부'!A656),100)),""),""),IF(AND('월 가계부'!A656&gt;=36526,'월 가계부'!A656&lt;73051),INT('월 가계부'!A656),"")),IF(OR(CM656="",CN656="",CO656=""),"",IF(AND(CM656&gt;=2000,CM656&lt;=2099,CN656&gt;=1,CN656&lt;=12,CO656&gt;=1,CO656&lt;=31),IF(MONTH(DATE(CM656,CN656,CO656))=CN656,DATE(CM656,CN656,CO656),""),"")))),"")</f>
        <v/>
      </c>
      <c r="CJ656">
        <f>IFERROR(IF('월 가계부'!C656="","",IF(ISNUMBER('월 가계부'!C656),'월 가계부'!C656,VALUE(SUBSTITUTE(SUBSTITUTE(SUBSTITUTE(SUBSTITUTE(TRIM('월 가계부'!C656),",",""),"원","")," ",""),"−","-")))),"")</f>
        <v/>
      </c>
      <c r="CK656">
        <f>IF(ISNUMBER(CI656),IF(CI656&lt;$B$13,CI656,""),"")</f>
        <v/>
      </c>
      <c r="CM656">
        <f>IF(CH656="","",IFERROR(IF(IF(AND(LEN(CH656)=9,ISERROR(FIND("-",LEFT(CH656,8))),ISNUMBER(-LEFT(CH656,8))),VALUE(LEFT(CH656,4)),VALUE(LEFT(CH656,FIND("-",CH656)-1)))&lt;100,IF(AND(LEN(CH656)=9,ISERROR(FIND("-",LEFT(CH656,8))),ISNUMBER(-LEFT(CH656,8))),VALUE(LEFT(CH656,4)),VALUE(LEFT(CH656,FIND("-",CH656)-1)))+2000,IF(AND(LEN(CH656)=9,ISERROR(FIND("-",LEFT(CH656,8))),ISNUMBER(-LEFT(CH656,8))),VALUE(LEFT(CH656,4)),VALUE(LEFT(CH656,FIND("-",CH656)-1)))),""))</f>
        <v/>
      </c>
      <c r="CN656">
        <f>IF(CH656="","",IFERROR(IF(AND(LEN(CH656)=9,ISERROR(FIND("-",LEFT(CH656,8))),ISNUMBER(-LEFT(CH656,8))),VALUE(MID(CH656,5,2)),VALUE(MID(CH656,FIND("-",CH656)+1,FIND("-",CH656,FIND("-",CH656)+1)-FIND("-",CH656)-1))),""))</f>
        <v/>
      </c>
      <c r="CO656">
        <f>IF(CH656="","",IFERROR(IF(AND(LEN(CH656)=9,ISERROR(FIND("-",LEFT(CH656,8))),ISNUMBER(-LEFT(CH656,8))),VALUE(MID(CH656,7,2)),VALUE(MID(CH656,FIND("-",CH656,FIND("-",CH656)+1)+1,FIND("-",CH656,FIND("-",CH656,FIND("-",CH656)+1)+1)-FIND("-",CH656,FIND("-",CH656)+1)-1))),""))</f>
        <v/>
      </c>
    </row>
    <row r="657">
      <c r="CH657">
        <f>IF(ISTEXT('월 가계부'!A657),SUBSTITUTE(SUBSTITUTE(SUBSTITUTE(SUBSTITUTE(SUBSTITUTE(SUBSTITUTE(SUBSTITUTE(SUBSTITUTE(SUBSTITUTE(TRIM('월 가계부'!A657),"년","-"),"월","-"),"일",""),".","-"),"/","-")," ","-"),"--","-"),"--","-"),"--","-")&amp;"-","")</f>
        <v/>
      </c>
      <c r="CI657">
        <f>IFERROR(IF('월 가계부'!A657="","",IF(ISNUMBER('월 가계부'!A657),IF(AND('월 가계부'!A657&gt;=19000101,'월 가계부'!A657&lt;=21001231),IF(AND(MOD(INT('월 가계부'!A657/100),100)&gt;=1,MOD(INT('월 가계부'!A657/100),100)&lt;=12,MOD(INT('월 가계부'!A657),100)&gt;=1,MOD(INT('월 가계부'!A657),100)&lt;=31),IF(MONTH(DATE(INT('월 가계부'!A657/10000),MOD(INT('월 가계부'!A657/100),100),MOD(INT('월 가계부'!A657),100)))=MOD(INT('월 가계부'!A657/100),100),DATE(INT('월 가계부'!A657/10000),MOD(INT('월 가계부'!A657/100),100),MOD(INT('월 가계부'!A657),100)),""),""),IF(AND('월 가계부'!A657&gt;=36526,'월 가계부'!A657&lt;73051),INT('월 가계부'!A657),"")),IF(OR(CM657="",CN657="",CO657=""),"",IF(AND(CM657&gt;=2000,CM657&lt;=2099,CN657&gt;=1,CN657&lt;=12,CO657&gt;=1,CO657&lt;=31),IF(MONTH(DATE(CM657,CN657,CO657))=CN657,DATE(CM657,CN657,CO657),""),"")))),"")</f>
        <v/>
      </c>
      <c r="CJ657">
        <f>IFERROR(IF('월 가계부'!C657="","",IF(ISNUMBER('월 가계부'!C657),'월 가계부'!C657,VALUE(SUBSTITUTE(SUBSTITUTE(SUBSTITUTE(SUBSTITUTE(TRIM('월 가계부'!C657),",",""),"원","")," ",""),"−","-")))),"")</f>
        <v/>
      </c>
      <c r="CK657">
        <f>IF(ISNUMBER(CI657),IF(CI657&lt;$B$13,CI657,""),"")</f>
        <v/>
      </c>
      <c r="CM657">
        <f>IF(CH657="","",IFERROR(IF(IF(AND(LEN(CH657)=9,ISERROR(FIND("-",LEFT(CH657,8))),ISNUMBER(-LEFT(CH657,8))),VALUE(LEFT(CH657,4)),VALUE(LEFT(CH657,FIND("-",CH657)-1)))&lt;100,IF(AND(LEN(CH657)=9,ISERROR(FIND("-",LEFT(CH657,8))),ISNUMBER(-LEFT(CH657,8))),VALUE(LEFT(CH657,4)),VALUE(LEFT(CH657,FIND("-",CH657)-1)))+2000,IF(AND(LEN(CH657)=9,ISERROR(FIND("-",LEFT(CH657,8))),ISNUMBER(-LEFT(CH657,8))),VALUE(LEFT(CH657,4)),VALUE(LEFT(CH657,FIND("-",CH657)-1)))),""))</f>
        <v/>
      </c>
      <c r="CN657">
        <f>IF(CH657="","",IFERROR(IF(AND(LEN(CH657)=9,ISERROR(FIND("-",LEFT(CH657,8))),ISNUMBER(-LEFT(CH657,8))),VALUE(MID(CH657,5,2)),VALUE(MID(CH657,FIND("-",CH657)+1,FIND("-",CH657,FIND("-",CH657)+1)-FIND("-",CH657)-1))),""))</f>
        <v/>
      </c>
      <c r="CO657">
        <f>IF(CH657="","",IFERROR(IF(AND(LEN(CH657)=9,ISERROR(FIND("-",LEFT(CH657,8))),ISNUMBER(-LEFT(CH657,8))),VALUE(MID(CH657,7,2)),VALUE(MID(CH657,FIND("-",CH657,FIND("-",CH657)+1)+1,FIND("-",CH657,FIND("-",CH657,FIND("-",CH657)+1)+1)-FIND("-",CH657,FIND("-",CH657)+1)-1))),""))</f>
        <v/>
      </c>
    </row>
    <row r="658">
      <c r="CH658">
        <f>IF(ISTEXT('월 가계부'!A658),SUBSTITUTE(SUBSTITUTE(SUBSTITUTE(SUBSTITUTE(SUBSTITUTE(SUBSTITUTE(SUBSTITUTE(SUBSTITUTE(SUBSTITUTE(TRIM('월 가계부'!A658),"년","-"),"월","-"),"일",""),".","-"),"/","-")," ","-"),"--","-"),"--","-"),"--","-")&amp;"-","")</f>
        <v/>
      </c>
      <c r="CI658">
        <f>IFERROR(IF('월 가계부'!A658="","",IF(ISNUMBER('월 가계부'!A658),IF(AND('월 가계부'!A658&gt;=19000101,'월 가계부'!A658&lt;=21001231),IF(AND(MOD(INT('월 가계부'!A658/100),100)&gt;=1,MOD(INT('월 가계부'!A658/100),100)&lt;=12,MOD(INT('월 가계부'!A658),100)&gt;=1,MOD(INT('월 가계부'!A658),100)&lt;=31),IF(MONTH(DATE(INT('월 가계부'!A658/10000),MOD(INT('월 가계부'!A658/100),100),MOD(INT('월 가계부'!A658),100)))=MOD(INT('월 가계부'!A658/100),100),DATE(INT('월 가계부'!A658/10000),MOD(INT('월 가계부'!A658/100),100),MOD(INT('월 가계부'!A658),100)),""),""),IF(AND('월 가계부'!A658&gt;=36526,'월 가계부'!A658&lt;73051),INT('월 가계부'!A658),"")),IF(OR(CM658="",CN658="",CO658=""),"",IF(AND(CM658&gt;=2000,CM658&lt;=2099,CN658&gt;=1,CN658&lt;=12,CO658&gt;=1,CO658&lt;=31),IF(MONTH(DATE(CM658,CN658,CO658))=CN658,DATE(CM658,CN658,CO658),""),"")))),"")</f>
        <v/>
      </c>
      <c r="CJ658">
        <f>IFERROR(IF('월 가계부'!C658="","",IF(ISNUMBER('월 가계부'!C658),'월 가계부'!C658,VALUE(SUBSTITUTE(SUBSTITUTE(SUBSTITUTE(SUBSTITUTE(TRIM('월 가계부'!C658),",",""),"원","")," ",""),"−","-")))),"")</f>
        <v/>
      </c>
      <c r="CK658">
        <f>IF(ISNUMBER(CI658),IF(CI658&lt;$B$13,CI658,""),"")</f>
        <v/>
      </c>
      <c r="CM658">
        <f>IF(CH658="","",IFERROR(IF(IF(AND(LEN(CH658)=9,ISERROR(FIND("-",LEFT(CH658,8))),ISNUMBER(-LEFT(CH658,8))),VALUE(LEFT(CH658,4)),VALUE(LEFT(CH658,FIND("-",CH658)-1)))&lt;100,IF(AND(LEN(CH658)=9,ISERROR(FIND("-",LEFT(CH658,8))),ISNUMBER(-LEFT(CH658,8))),VALUE(LEFT(CH658,4)),VALUE(LEFT(CH658,FIND("-",CH658)-1)))+2000,IF(AND(LEN(CH658)=9,ISERROR(FIND("-",LEFT(CH658,8))),ISNUMBER(-LEFT(CH658,8))),VALUE(LEFT(CH658,4)),VALUE(LEFT(CH658,FIND("-",CH658)-1)))),""))</f>
        <v/>
      </c>
      <c r="CN658">
        <f>IF(CH658="","",IFERROR(IF(AND(LEN(CH658)=9,ISERROR(FIND("-",LEFT(CH658,8))),ISNUMBER(-LEFT(CH658,8))),VALUE(MID(CH658,5,2)),VALUE(MID(CH658,FIND("-",CH658)+1,FIND("-",CH658,FIND("-",CH658)+1)-FIND("-",CH658)-1))),""))</f>
        <v/>
      </c>
      <c r="CO658">
        <f>IF(CH658="","",IFERROR(IF(AND(LEN(CH658)=9,ISERROR(FIND("-",LEFT(CH658,8))),ISNUMBER(-LEFT(CH658,8))),VALUE(MID(CH658,7,2)),VALUE(MID(CH658,FIND("-",CH658,FIND("-",CH658)+1)+1,FIND("-",CH658,FIND("-",CH658,FIND("-",CH658)+1)+1)-FIND("-",CH658,FIND("-",CH658)+1)-1))),""))</f>
        <v/>
      </c>
    </row>
    <row r="659">
      <c r="CH659">
        <f>IF(ISTEXT('월 가계부'!A659),SUBSTITUTE(SUBSTITUTE(SUBSTITUTE(SUBSTITUTE(SUBSTITUTE(SUBSTITUTE(SUBSTITUTE(SUBSTITUTE(SUBSTITUTE(TRIM('월 가계부'!A659),"년","-"),"월","-"),"일",""),".","-"),"/","-")," ","-"),"--","-"),"--","-"),"--","-")&amp;"-","")</f>
        <v/>
      </c>
      <c r="CI659">
        <f>IFERROR(IF('월 가계부'!A659="","",IF(ISNUMBER('월 가계부'!A659),IF(AND('월 가계부'!A659&gt;=19000101,'월 가계부'!A659&lt;=21001231),IF(AND(MOD(INT('월 가계부'!A659/100),100)&gt;=1,MOD(INT('월 가계부'!A659/100),100)&lt;=12,MOD(INT('월 가계부'!A659),100)&gt;=1,MOD(INT('월 가계부'!A659),100)&lt;=31),IF(MONTH(DATE(INT('월 가계부'!A659/10000),MOD(INT('월 가계부'!A659/100),100),MOD(INT('월 가계부'!A659),100)))=MOD(INT('월 가계부'!A659/100),100),DATE(INT('월 가계부'!A659/10000),MOD(INT('월 가계부'!A659/100),100),MOD(INT('월 가계부'!A659),100)),""),""),IF(AND('월 가계부'!A659&gt;=36526,'월 가계부'!A659&lt;73051),INT('월 가계부'!A659),"")),IF(OR(CM659="",CN659="",CO659=""),"",IF(AND(CM659&gt;=2000,CM659&lt;=2099,CN659&gt;=1,CN659&lt;=12,CO659&gt;=1,CO659&lt;=31),IF(MONTH(DATE(CM659,CN659,CO659))=CN659,DATE(CM659,CN659,CO659),""),"")))),"")</f>
        <v/>
      </c>
      <c r="CJ659">
        <f>IFERROR(IF('월 가계부'!C659="","",IF(ISNUMBER('월 가계부'!C659),'월 가계부'!C659,VALUE(SUBSTITUTE(SUBSTITUTE(SUBSTITUTE(SUBSTITUTE(TRIM('월 가계부'!C659),",",""),"원","")," ",""),"−","-")))),"")</f>
        <v/>
      </c>
      <c r="CK659">
        <f>IF(ISNUMBER(CI659),IF(CI659&lt;$B$13,CI659,""),"")</f>
        <v/>
      </c>
      <c r="CM659">
        <f>IF(CH659="","",IFERROR(IF(IF(AND(LEN(CH659)=9,ISERROR(FIND("-",LEFT(CH659,8))),ISNUMBER(-LEFT(CH659,8))),VALUE(LEFT(CH659,4)),VALUE(LEFT(CH659,FIND("-",CH659)-1)))&lt;100,IF(AND(LEN(CH659)=9,ISERROR(FIND("-",LEFT(CH659,8))),ISNUMBER(-LEFT(CH659,8))),VALUE(LEFT(CH659,4)),VALUE(LEFT(CH659,FIND("-",CH659)-1)))+2000,IF(AND(LEN(CH659)=9,ISERROR(FIND("-",LEFT(CH659,8))),ISNUMBER(-LEFT(CH659,8))),VALUE(LEFT(CH659,4)),VALUE(LEFT(CH659,FIND("-",CH659)-1)))),""))</f>
        <v/>
      </c>
      <c r="CN659">
        <f>IF(CH659="","",IFERROR(IF(AND(LEN(CH659)=9,ISERROR(FIND("-",LEFT(CH659,8))),ISNUMBER(-LEFT(CH659,8))),VALUE(MID(CH659,5,2)),VALUE(MID(CH659,FIND("-",CH659)+1,FIND("-",CH659,FIND("-",CH659)+1)-FIND("-",CH659)-1))),""))</f>
        <v/>
      </c>
      <c r="CO659">
        <f>IF(CH659="","",IFERROR(IF(AND(LEN(CH659)=9,ISERROR(FIND("-",LEFT(CH659,8))),ISNUMBER(-LEFT(CH659,8))),VALUE(MID(CH659,7,2)),VALUE(MID(CH659,FIND("-",CH659,FIND("-",CH659)+1)+1,FIND("-",CH659,FIND("-",CH659,FIND("-",CH659)+1)+1)-FIND("-",CH659,FIND("-",CH659)+1)-1))),""))</f>
        <v/>
      </c>
    </row>
    <row r="660">
      <c r="CH660">
        <f>IF(ISTEXT('월 가계부'!A660),SUBSTITUTE(SUBSTITUTE(SUBSTITUTE(SUBSTITUTE(SUBSTITUTE(SUBSTITUTE(SUBSTITUTE(SUBSTITUTE(SUBSTITUTE(TRIM('월 가계부'!A660),"년","-"),"월","-"),"일",""),".","-"),"/","-")," ","-"),"--","-"),"--","-"),"--","-")&amp;"-","")</f>
        <v/>
      </c>
      <c r="CI660">
        <f>IFERROR(IF('월 가계부'!A660="","",IF(ISNUMBER('월 가계부'!A660),IF(AND('월 가계부'!A660&gt;=19000101,'월 가계부'!A660&lt;=21001231),IF(AND(MOD(INT('월 가계부'!A660/100),100)&gt;=1,MOD(INT('월 가계부'!A660/100),100)&lt;=12,MOD(INT('월 가계부'!A660),100)&gt;=1,MOD(INT('월 가계부'!A660),100)&lt;=31),IF(MONTH(DATE(INT('월 가계부'!A660/10000),MOD(INT('월 가계부'!A660/100),100),MOD(INT('월 가계부'!A660),100)))=MOD(INT('월 가계부'!A660/100),100),DATE(INT('월 가계부'!A660/10000),MOD(INT('월 가계부'!A660/100),100),MOD(INT('월 가계부'!A660),100)),""),""),IF(AND('월 가계부'!A660&gt;=36526,'월 가계부'!A660&lt;73051),INT('월 가계부'!A660),"")),IF(OR(CM660="",CN660="",CO660=""),"",IF(AND(CM660&gt;=2000,CM660&lt;=2099,CN660&gt;=1,CN660&lt;=12,CO660&gt;=1,CO660&lt;=31),IF(MONTH(DATE(CM660,CN660,CO660))=CN660,DATE(CM660,CN660,CO660),""),"")))),"")</f>
        <v/>
      </c>
      <c r="CJ660">
        <f>IFERROR(IF('월 가계부'!C660="","",IF(ISNUMBER('월 가계부'!C660),'월 가계부'!C660,VALUE(SUBSTITUTE(SUBSTITUTE(SUBSTITUTE(SUBSTITUTE(TRIM('월 가계부'!C660),",",""),"원","")," ",""),"−","-")))),"")</f>
        <v/>
      </c>
      <c r="CK660">
        <f>IF(ISNUMBER(CI660),IF(CI660&lt;$B$13,CI660,""),"")</f>
        <v/>
      </c>
      <c r="CM660">
        <f>IF(CH660="","",IFERROR(IF(IF(AND(LEN(CH660)=9,ISERROR(FIND("-",LEFT(CH660,8))),ISNUMBER(-LEFT(CH660,8))),VALUE(LEFT(CH660,4)),VALUE(LEFT(CH660,FIND("-",CH660)-1)))&lt;100,IF(AND(LEN(CH660)=9,ISERROR(FIND("-",LEFT(CH660,8))),ISNUMBER(-LEFT(CH660,8))),VALUE(LEFT(CH660,4)),VALUE(LEFT(CH660,FIND("-",CH660)-1)))+2000,IF(AND(LEN(CH660)=9,ISERROR(FIND("-",LEFT(CH660,8))),ISNUMBER(-LEFT(CH660,8))),VALUE(LEFT(CH660,4)),VALUE(LEFT(CH660,FIND("-",CH660)-1)))),""))</f>
        <v/>
      </c>
      <c r="CN660">
        <f>IF(CH660="","",IFERROR(IF(AND(LEN(CH660)=9,ISERROR(FIND("-",LEFT(CH660,8))),ISNUMBER(-LEFT(CH660,8))),VALUE(MID(CH660,5,2)),VALUE(MID(CH660,FIND("-",CH660)+1,FIND("-",CH660,FIND("-",CH660)+1)-FIND("-",CH660)-1))),""))</f>
        <v/>
      </c>
      <c r="CO660">
        <f>IF(CH660="","",IFERROR(IF(AND(LEN(CH660)=9,ISERROR(FIND("-",LEFT(CH660,8))),ISNUMBER(-LEFT(CH660,8))),VALUE(MID(CH660,7,2)),VALUE(MID(CH660,FIND("-",CH660,FIND("-",CH660)+1)+1,FIND("-",CH660,FIND("-",CH660,FIND("-",CH660)+1)+1)-FIND("-",CH660,FIND("-",CH660)+1)-1))),""))</f>
        <v/>
      </c>
    </row>
    <row r="661">
      <c r="CH661">
        <f>IF(ISTEXT('월 가계부'!A661),SUBSTITUTE(SUBSTITUTE(SUBSTITUTE(SUBSTITUTE(SUBSTITUTE(SUBSTITUTE(SUBSTITUTE(SUBSTITUTE(SUBSTITUTE(TRIM('월 가계부'!A661),"년","-"),"월","-"),"일",""),".","-"),"/","-")," ","-"),"--","-"),"--","-"),"--","-")&amp;"-","")</f>
        <v/>
      </c>
      <c r="CI661">
        <f>IFERROR(IF('월 가계부'!A661="","",IF(ISNUMBER('월 가계부'!A661),IF(AND('월 가계부'!A661&gt;=19000101,'월 가계부'!A661&lt;=21001231),IF(AND(MOD(INT('월 가계부'!A661/100),100)&gt;=1,MOD(INT('월 가계부'!A661/100),100)&lt;=12,MOD(INT('월 가계부'!A661),100)&gt;=1,MOD(INT('월 가계부'!A661),100)&lt;=31),IF(MONTH(DATE(INT('월 가계부'!A661/10000),MOD(INT('월 가계부'!A661/100),100),MOD(INT('월 가계부'!A661),100)))=MOD(INT('월 가계부'!A661/100),100),DATE(INT('월 가계부'!A661/10000),MOD(INT('월 가계부'!A661/100),100),MOD(INT('월 가계부'!A661),100)),""),""),IF(AND('월 가계부'!A661&gt;=36526,'월 가계부'!A661&lt;73051),INT('월 가계부'!A661),"")),IF(OR(CM661="",CN661="",CO661=""),"",IF(AND(CM661&gt;=2000,CM661&lt;=2099,CN661&gt;=1,CN661&lt;=12,CO661&gt;=1,CO661&lt;=31),IF(MONTH(DATE(CM661,CN661,CO661))=CN661,DATE(CM661,CN661,CO661),""),"")))),"")</f>
        <v/>
      </c>
      <c r="CJ661">
        <f>IFERROR(IF('월 가계부'!C661="","",IF(ISNUMBER('월 가계부'!C661),'월 가계부'!C661,VALUE(SUBSTITUTE(SUBSTITUTE(SUBSTITUTE(SUBSTITUTE(TRIM('월 가계부'!C661),",",""),"원","")," ",""),"−","-")))),"")</f>
        <v/>
      </c>
      <c r="CK661">
        <f>IF(ISNUMBER(CI661),IF(CI661&lt;$B$13,CI661,""),"")</f>
        <v/>
      </c>
      <c r="CM661">
        <f>IF(CH661="","",IFERROR(IF(IF(AND(LEN(CH661)=9,ISERROR(FIND("-",LEFT(CH661,8))),ISNUMBER(-LEFT(CH661,8))),VALUE(LEFT(CH661,4)),VALUE(LEFT(CH661,FIND("-",CH661)-1)))&lt;100,IF(AND(LEN(CH661)=9,ISERROR(FIND("-",LEFT(CH661,8))),ISNUMBER(-LEFT(CH661,8))),VALUE(LEFT(CH661,4)),VALUE(LEFT(CH661,FIND("-",CH661)-1)))+2000,IF(AND(LEN(CH661)=9,ISERROR(FIND("-",LEFT(CH661,8))),ISNUMBER(-LEFT(CH661,8))),VALUE(LEFT(CH661,4)),VALUE(LEFT(CH661,FIND("-",CH661)-1)))),""))</f>
        <v/>
      </c>
      <c r="CN661">
        <f>IF(CH661="","",IFERROR(IF(AND(LEN(CH661)=9,ISERROR(FIND("-",LEFT(CH661,8))),ISNUMBER(-LEFT(CH661,8))),VALUE(MID(CH661,5,2)),VALUE(MID(CH661,FIND("-",CH661)+1,FIND("-",CH661,FIND("-",CH661)+1)-FIND("-",CH661)-1))),""))</f>
        <v/>
      </c>
      <c r="CO661">
        <f>IF(CH661="","",IFERROR(IF(AND(LEN(CH661)=9,ISERROR(FIND("-",LEFT(CH661,8))),ISNUMBER(-LEFT(CH661,8))),VALUE(MID(CH661,7,2)),VALUE(MID(CH661,FIND("-",CH661,FIND("-",CH661)+1)+1,FIND("-",CH661,FIND("-",CH661,FIND("-",CH661)+1)+1)-FIND("-",CH661,FIND("-",CH661)+1)-1))),""))</f>
        <v/>
      </c>
    </row>
    <row r="662">
      <c r="CH662">
        <f>IF(ISTEXT('월 가계부'!A662),SUBSTITUTE(SUBSTITUTE(SUBSTITUTE(SUBSTITUTE(SUBSTITUTE(SUBSTITUTE(SUBSTITUTE(SUBSTITUTE(SUBSTITUTE(TRIM('월 가계부'!A662),"년","-"),"월","-"),"일",""),".","-"),"/","-")," ","-"),"--","-"),"--","-"),"--","-")&amp;"-","")</f>
        <v/>
      </c>
      <c r="CI662">
        <f>IFERROR(IF('월 가계부'!A662="","",IF(ISNUMBER('월 가계부'!A662),IF(AND('월 가계부'!A662&gt;=19000101,'월 가계부'!A662&lt;=21001231),IF(AND(MOD(INT('월 가계부'!A662/100),100)&gt;=1,MOD(INT('월 가계부'!A662/100),100)&lt;=12,MOD(INT('월 가계부'!A662),100)&gt;=1,MOD(INT('월 가계부'!A662),100)&lt;=31),IF(MONTH(DATE(INT('월 가계부'!A662/10000),MOD(INT('월 가계부'!A662/100),100),MOD(INT('월 가계부'!A662),100)))=MOD(INT('월 가계부'!A662/100),100),DATE(INT('월 가계부'!A662/10000),MOD(INT('월 가계부'!A662/100),100),MOD(INT('월 가계부'!A662),100)),""),""),IF(AND('월 가계부'!A662&gt;=36526,'월 가계부'!A662&lt;73051),INT('월 가계부'!A662),"")),IF(OR(CM662="",CN662="",CO662=""),"",IF(AND(CM662&gt;=2000,CM662&lt;=2099,CN662&gt;=1,CN662&lt;=12,CO662&gt;=1,CO662&lt;=31),IF(MONTH(DATE(CM662,CN662,CO662))=CN662,DATE(CM662,CN662,CO662),""),"")))),"")</f>
        <v/>
      </c>
      <c r="CJ662">
        <f>IFERROR(IF('월 가계부'!C662="","",IF(ISNUMBER('월 가계부'!C662),'월 가계부'!C662,VALUE(SUBSTITUTE(SUBSTITUTE(SUBSTITUTE(SUBSTITUTE(TRIM('월 가계부'!C662),",",""),"원","")," ",""),"−","-")))),"")</f>
        <v/>
      </c>
      <c r="CK662">
        <f>IF(ISNUMBER(CI662),IF(CI662&lt;$B$13,CI662,""),"")</f>
        <v/>
      </c>
      <c r="CM662">
        <f>IF(CH662="","",IFERROR(IF(IF(AND(LEN(CH662)=9,ISERROR(FIND("-",LEFT(CH662,8))),ISNUMBER(-LEFT(CH662,8))),VALUE(LEFT(CH662,4)),VALUE(LEFT(CH662,FIND("-",CH662)-1)))&lt;100,IF(AND(LEN(CH662)=9,ISERROR(FIND("-",LEFT(CH662,8))),ISNUMBER(-LEFT(CH662,8))),VALUE(LEFT(CH662,4)),VALUE(LEFT(CH662,FIND("-",CH662)-1)))+2000,IF(AND(LEN(CH662)=9,ISERROR(FIND("-",LEFT(CH662,8))),ISNUMBER(-LEFT(CH662,8))),VALUE(LEFT(CH662,4)),VALUE(LEFT(CH662,FIND("-",CH662)-1)))),""))</f>
        <v/>
      </c>
      <c r="CN662">
        <f>IF(CH662="","",IFERROR(IF(AND(LEN(CH662)=9,ISERROR(FIND("-",LEFT(CH662,8))),ISNUMBER(-LEFT(CH662,8))),VALUE(MID(CH662,5,2)),VALUE(MID(CH662,FIND("-",CH662)+1,FIND("-",CH662,FIND("-",CH662)+1)-FIND("-",CH662)-1))),""))</f>
        <v/>
      </c>
      <c r="CO662">
        <f>IF(CH662="","",IFERROR(IF(AND(LEN(CH662)=9,ISERROR(FIND("-",LEFT(CH662,8))),ISNUMBER(-LEFT(CH662,8))),VALUE(MID(CH662,7,2)),VALUE(MID(CH662,FIND("-",CH662,FIND("-",CH662)+1)+1,FIND("-",CH662,FIND("-",CH662,FIND("-",CH662)+1)+1)-FIND("-",CH662,FIND("-",CH662)+1)-1))),""))</f>
        <v/>
      </c>
    </row>
    <row r="663">
      <c r="CH663">
        <f>IF(ISTEXT('월 가계부'!A663),SUBSTITUTE(SUBSTITUTE(SUBSTITUTE(SUBSTITUTE(SUBSTITUTE(SUBSTITUTE(SUBSTITUTE(SUBSTITUTE(SUBSTITUTE(TRIM('월 가계부'!A663),"년","-"),"월","-"),"일",""),".","-"),"/","-")," ","-"),"--","-"),"--","-"),"--","-")&amp;"-","")</f>
        <v/>
      </c>
      <c r="CI663">
        <f>IFERROR(IF('월 가계부'!A663="","",IF(ISNUMBER('월 가계부'!A663),IF(AND('월 가계부'!A663&gt;=19000101,'월 가계부'!A663&lt;=21001231),IF(AND(MOD(INT('월 가계부'!A663/100),100)&gt;=1,MOD(INT('월 가계부'!A663/100),100)&lt;=12,MOD(INT('월 가계부'!A663),100)&gt;=1,MOD(INT('월 가계부'!A663),100)&lt;=31),IF(MONTH(DATE(INT('월 가계부'!A663/10000),MOD(INT('월 가계부'!A663/100),100),MOD(INT('월 가계부'!A663),100)))=MOD(INT('월 가계부'!A663/100),100),DATE(INT('월 가계부'!A663/10000),MOD(INT('월 가계부'!A663/100),100),MOD(INT('월 가계부'!A663),100)),""),""),IF(AND('월 가계부'!A663&gt;=36526,'월 가계부'!A663&lt;73051),INT('월 가계부'!A663),"")),IF(OR(CM663="",CN663="",CO663=""),"",IF(AND(CM663&gt;=2000,CM663&lt;=2099,CN663&gt;=1,CN663&lt;=12,CO663&gt;=1,CO663&lt;=31),IF(MONTH(DATE(CM663,CN663,CO663))=CN663,DATE(CM663,CN663,CO663),""),"")))),"")</f>
        <v/>
      </c>
      <c r="CJ663">
        <f>IFERROR(IF('월 가계부'!C663="","",IF(ISNUMBER('월 가계부'!C663),'월 가계부'!C663,VALUE(SUBSTITUTE(SUBSTITUTE(SUBSTITUTE(SUBSTITUTE(TRIM('월 가계부'!C663),",",""),"원","")," ",""),"−","-")))),"")</f>
        <v/>
      </c>
      <c r="CK663">
        <f>IF(ISNUMBER(CI663),IF(CI663&lt;$B$13,CI663,""),"")</f>
        <v/>
      </c>
      <c r="CM663">
        <f>IF(CH663="","",IFERROR(IF(IF(AND(LEN(CH663)=9,ISERROR(FIND("-",LEFT(CH663,8))),ISNUMBER(-LEFT(CH663,8))),VALUE(LEFT(CH663,4)),VALUE(LEFT(CH663,FIND("-",CH663)-1)))&lt;100,IF(AND(LEN(CH663)=9,ISERROR(FIND("-",LEFT(CH663,8))),ISNUMBER(-LEFT(CH663,8))),VALUE(LEFT(CH663,4)),VALUE(LEFT(CH663,FIND("-",CH663)-1)))+2000,IF(AND(LEN(CH663)=9,ISERROR(FIND("-",LEFT(CH663,8))),ISNUMBER(-LEFT(CH663,8))),VALUE(LEFT(CH663,4)),VALUE(LEFT(CH663,FIND("-",CH663)-1)))),""))</f>
        <v/>
      </c>
      <c r="CN663">
        <f>IF(CH663="","",IFERROR(IF(AND(LEN(CH663)=9,ISERROR(FIND("-",LEFT(CH663,8))),ISNUMBER(-LEFT(CH663,8))),VALUE(MID(CH663,5,2)),VALUE(MID(CH663,FIND("-",CH663)+1,FIND("-",CH663,FIND("-",CH663)+1)-FIND("-",CH663)-1))),""))</f>
        <v/>
      </c>
      <c r="CO663">
        <f>IF(CH663="","",IFERROR(IF(AND(LEN(CH663)=9,ISERROR(FIND("-",LEFT(CH663,8))),ISNUMBER(-LEFT(CH663,8))),VALUE(MID(CH663,7,2)),VALUE(MID(CH663,FIND("-",CH663,FIND("-",CH663)+1)+1,FIND("-",CH663,FIND("-",CH663,FIND("-",CH663)+1)+1)-FIND("-",CH663,FIND("-",CH663)+1)-1))),""))</f>
        <v/>
      </c>
    </row>
    <row r="664">
      <c r="CH664">
        <f>IF(ISTEXT('월 가계부'!A664),SUBSTITUTE(SUBSTITUTE(SUBSTITUTE(SUBSTITUTE(SUBSTITUTE(SUBSTITUTE(SUBSTITUTE(SUBSTITUTE(SUBSTITUTE(TRIM('월 가계부'!A664),"년","-"),"월","-"),"일",""),".","-"),"/","-")," ","-"),"--","-"),"--","-"),"--","-")&amp;"-","")</f>
        <v/>
      </c>
      <c r="CI664">
        <f>IFERROR(IF('월 가계부'!A664="","",IF(ISNUMBER('월 가계부'!A664),IF(AND('월 가계부'!A664&gt;=19000101,'월 가계부'!A664&lt;=21001231),IF(AND(MOD(INT('월 가계부'!A664/100),100)&gt;=1,MOD(INT('월 가계부'!A664/100),100)&lt;=12,MOD(INT('월 가계부'!A664),100)&gt;=1,MOD(INT('월 가계부'!A664),100)&lt;=31),IF(MONTH(DATE(INT('월 가계부'!A664/10000),MOD(INT('월 가계부'!A664/100),100),MOD(INT('월 가계부'!A664),100)))=MOD(INT('월 가계부'!A664/100),100),DATE(INT('월 가계부'!A664/10000),MOD(INT('월 가계부'!A664/100),100),MOD(INT('월 가계부'!A664),100)),""),""),IF(AND('월 가계부'!A664&gt;=36526,'월 가계부'!A664&lt;73051),INT('월 가계부'!A664),"")),IF(OR(CM664="",CN664="",CO664=""),"",IF(AND(CM664&gt;=2000,CM664&lt;=2099,CN664&gt;=1,CN664&lt;=12,CO664&gt;=1,CO664&lt;=31),IF(MONTH(DATE(CM664,CN664,CO664))=CN664,DATE(CM664,CN664,CO664),""),"")))),"")</f>
        <v/>
      </c>
      <c r="CJ664">
        <f>IFERROR(IF('월 가계부'!C664="","",IF(ISNUMBER('월 가계부'!C664),'월 가계부'!C664,VALUE(SUBSTITUTE(SUBSTITUTE(SUBSTITUTE(SUBSTITUTE(TRIM('월 가계부'!C664),",",""),"원","")," ",""),"−","-")))),"")</f>
        <v/>
      </c>
      <c r="CK664">
        <f>IF(ISNUMBER(CI664),IF(CI664&lt;$B$13,CI664,""),"")</f>
        <v/>
      </c>
      <c r="CM664">
        <f>IF(CH664="","",IFERROR(IF(IF(AND(LEN(CH664)=9,ISERROR(FIND("-",LEFT(CH664,8))),ISNUMBER(-LEFT(CH664,8))),VALUE(LEFT(CH664,4)),VALUE(LEFT(CH664,FIND("-",CH664)-1)))&lt;100,IF(AND(LEN(CH664)=9,ISERROR(FIND("-",LEFT(CH664,8))),ISNUMBER(-LEFT(CH664,8))),VALUE(LEFT(CH664,4)),VALUE(LEFT(CH664,FIND("-",CH664)-1)))+2000,IF(AND(LEN(CH664)=9,ISERROR(FIND("-",LEFT(CH664,8))),ISNUMBER(-LEFT(CH664,8))),VALUE(LEFT(CH664,4)),VALUE(LEFT(CH664,FIND("-",CH664)-1)))),""))</f>
        <v/>
      </c>
      <c r="CN664">
        <f>IF(CH664="","",IFERROR(IF(AND(LEN(CH664)=9,ISERROR(FIND("-",LEFT(CH664,8))),ISNUMBER(-LEFT(CH664,8))),VALUE(MID(CH664,5,2)),VALUE(MID(CH664,FIND("-",CH664)+1,FIND("-",CH664,FIND("-",CH664)+1)-FIND("-",CH664)-1))),""))</f>
        <v/>
      </c>
      <c r="CO664">
        <f>IF(CH664="","",IFERROR(IF(AND(LEN(CH664)=9,ISERROR(FIND("-",LEFT(CH664,8))),ISNUMBER(-LEFT(CH664,8))),VALUE(MID(CH664,7,2)),VALUE(MID(CH664,FIND("-",CH664,FIND("-",CH664)+1)+1,FIND("-",CH664,FIND("-",CH664,FIND("-",CH664)+1)+1)-FIND("-",CH664,FIND("-",CH664)+1)-1))),""))</f>
        <v/>
      </c>
    </row>
    <row r="665">
      <c r="CH665">
        <f>IF(ISTEXT('월 가계부'!A665),SUBSTITUTE(SUBSTITUTE(SUBSTITUTE(SUBSTITUTE(SUBSTITUTE(SUBSTITUTE(SUBSTITUTE(SUBSTITUTE(SUBSTITUTE(TRIM('월 가계부'!A665),"년","-"),"월","-"),"일",""),".","-"),"/","-")," ","-"),"--","-"),"--","-"),"--","-")&amp;"-","")</f>
        <v/>
      </c>
      <c r="CI665">
        <f>IFERROR(IF('월 가계부'!A665="","",IF(ISNUMBER('월 가계부'!A665),IF(AND('월 가계부'!A665&gt;=19000101,'월 가계부'!A665&lt;=21001231),IF(AND(MOD(INT('월 가계부'!A665/100),100)&gt;=1,MOD(INT('월 가계부'!A665/100),100)&lt;=12,MOD(INT('월 가계부'!A665),100)&gt;=1,MOD(INT('월 가계부'!A665),100)&lt;=31),IF(MONTH(DATE(INT('월 가계부'!A665/10000),MOD(INT('월 가계부'!A665/100),100),MOD(INT('월 가계부'!A665),100)))=MOD(INT('월 가계부'!A665/100),100),DATE(INT('월 가계부'!A665/10000),MOD(INT('월 가계부'!A665/100),100),MOD(INT('월 가계부'!A665),100)),""),""),IF(AND('월 가계부'!A665&gt;=36526,'월 가계부'!A665&lt;73051),INT('월 가계부'!A665),"")),IF(OR(CM665="",CN665="",CO665=""),"",IF(AND(CM665&gt;=2000,CM665&lt;=2099,CN665&gt;=1,CN665&lt;=12,CO665&gt;=1,CO665&lt;=31),IF(MONTH(DATE(CM665,CN665,CO665))=CN665,DATE(CM665,CN665,CO665),""),"")))),"")</f>
        <v/>
      </c>
      <c r="CJ665">
        <f>IFERROR(IF('월 가계부'!C665="","",IF(ISNUMBER('월 가계부'!C665),'월 가계부'!C665,VALUE(SUBSTITUTE(SUBSTITUTE(SUBSTITUTE(SUBSTITUTE(TRIM('월 가계부'!C665),",",""),"원","")," ",""),"−","-")))),"")</f>
        <v/>
      </c>
      <c r="CK665">
        <f>IF(ISNUMBER(CI665),IF(CI665&lt;$B$13,CI665,""),"")</f>
        <v/>
      </c>
      <c r="CM665">
        <f>IF(CH665="","",IFERROR(IF(IF(AND(LEN(CH665)=9,ISERROR(FIND("-",LEFT(CH665,8))),ISNUMBER(-LEFT(CH665,8))),VALUE(LEFT(CH665,4)),VALUE(LEFT(CH665,FIND("-",CH665)-1)))&lt;100,IF(AND(LEN(CH665)=9,ISERROR(FIND("-",LEFT(CH665,8))),ISNUMBER(-LEFT(CH665,8))),VALUE(LEFT(CH665,4)),VALUE(LEFT(CH665,FIND("-",CH665)-1)))+2000,IF(AND(LEN(CH665)=9,ISERROR(FIND("-",LEFT(CH665,8))),ISNUMBER(-LEFT(CH665,8))),VALUE(LEFT(CH665,4)),VALUE(LEFT(CH665,FIND("-",CH665)-1)))),""))</f>
        <v/>
      </c>
      <c r="CN665">
        <f>IF(CH665="","",IFERROR(IF(AND(LEN(CH665)=9,ISERROR(FIND("-",LEFT(CH665,8))),ISNUMBER(-LEFT(CH665,8))),VALUE(MID(CH665,5,2)),VALUE(MID(CH665,FIND("-",CH665)+1,FIND("-",CH665,FIND("-",CH665)+1)-FIND("-",CH665)-1))),""))</f>
        <v/>
      </c>
      <c r="CO665">
        <f>IF(CH665="","",IFERROR(IF(AND(LEN(CH665)=9,ISERROR(FIND("-",LEFT(CH665,8))),ISNUMBER(-LEFT(CH665,8))),VALUE(MID(CH665,7,2)),VALUE(MID(CH665,FIND("-",CH665,FIND("-",CH665)+1)+1,FIND("-",CH665,FIND("-",CH665,FIND("-",CH665)+1)+1)-FIND("-",CH665,FIND("-",CH665)+1)-1))),""))</f>
        <v/>
      </c>
    </row>
    <row r="666">
      <c r="CH666">
        <f>IF(ISTEXT('월 가계부'!A666),SUBSTITUTE(SUBSTITUTE(SUBSTITUTE(SUBSTITUTE(SUBSTITUTE(SUBSTITUTE(SUBSTITUTE(SUBSTITUTE(SUBSTITUTE(TRIM('월 가계부'!A666),"년","-"),"월","-"),"일",""),".","-"),"/","-")," ","-"),"--","-"),"--","-"),"--","-")&amp;"-","")</f>
        <v/>
      </c>
      <c r="CI666">
        <f>IFERROR(IF('월 가계부'!A666="","",IF(ISNUMBER('월 가계부'!A666),IF(AND('월 가계부'!A666&gt;=19000101,'월 가계부'!A666&lt;=21001231),IF(AND(MOD(INT('월 가계부'!A666/100),100)&gt;=1,MOD(INT('월 가계부'!A666/100),100)&lt;=12,MOD(INT('월 가계부'!A666),100)&gt;=1,MOD(INT('월 가계부'!A666),100)&lt;=31),IF(MONTH(DATE(INT('월 가계부'!A666/10000),MOD(INT('월 가계부'!A666/100),100),MOD(INT('월 가계부'!A666),100)))=MOD(INT('월 가계부'!A666/100),100),DATE(INT('월 가계부'!A666/10000),MOD(INT('월 가계부'!A666/100),100),MOD(INT('월 가계부'!A666),100)),""),""),IF(AND('월 가계부'!A666&gt;=36526,'월 가계부'!A666&lt;73051),INT('월 가계부'!A666),"")),IF(OR(CM666="",CN666="",CO666=""),"",IF(AND(CM666&gt;=2000,CM666&lt;=2099,CN666&gt;=1,CN666&lt;=12,CO666&gt;=1,CO666&lt;=31),IF(MONTH(DATE(CM666,CN666,CO666))=CN666,DATE(CM666,CN666,CO666),""),"")))),"")</f>
        <v/>
      </c>
      <c r="CJ666">
        <f>IFERROR(IF('월 가계부'!C666="","",IF(ISNUMBER('월 가계부'!C666),'월 가계부'!C666,VALUE(SUBSTITUTE(SUBSTITUTE(SUBSTITUTE(SUBSTITUTE(TRIM('월 가계부'!C666),",",""),"원","")," ",""),"−","-")))),"")</f>
        <v/>
      </c>
      <c r="CK666">
        <f>IF(ISNUMBER(CI666),IF(CI666&lt;$B$13,CI666,""),"")</f>
        <v/>
      </c>
      <c r="CM666">
        <f>IF(CH666="","",IFERROR(IF(IF(AND(LEN(CH666)=9,ISERROR(FIND("-",LEFT(CH666,8))),ISNUMBER(-LEFT(CH666,8))),VALUE(LEFT(CH666,4)),VALUE(LEFT(CH666,FIND("-",CH666)-1)))&lt;100,IF(AND(LEN(CH666)=9,ISERROR(FIND("-",LEFT(CH666,8))),ISNUMBER(-LEFT(CH666,8))),VALUE(LEFT(CH666,4)),VALUE(LEFT(CH666,FIND("-",CH666)-1)))+2000,IF(AND(LEN(CH666)=9,ISERROR(FIND("-",LEFT(CH666,8))),ISNUMBER(-LEFT(CH666,8))),VALUE(LEFT(CH666,4)),VALUE(LEFT(CH666,FIND("-",CH666)-1)))),""))</f>
        <v/>
      </c>
      <c r="CN666">
        <f>IF(CH666="","",IFERROR(IF(AND(LEN(CH666)=9,ISERROR(FIND("-",LEFT(CH666,8))),ISNUMBER(-LEFT(CH666,8))),VALUE(MID(CH666,5,2)),VALUE(MID(CH666,FIND("-",CH666)+1,FIND("-",CH666,FIND("-",CH666)+1)-FIND("-",CH666)-1))),""))</f>
        <v/>
      </c>
      <c r="CO666">
        <f>IF(CH666="","",IFERROR(IF(AND(LEN(CH666)=9,ISERROR(FIND("-",LEFT(CH666,8))),ISNUMBER(-LEFT(CH666,8))),VALUE(MID(CH666,7,2)),VALUE(MID(CH666,FIND("-",CH666,FIND("-",CH666)+1)+1,FIND("-",CH666,FIND("-",CH666,FIND("-",CH666)+1)+1)-FIND("-",CH666,FIND("-",CH666)+1)-1))),""))</f>
        <v/>
      </c>
    </row>
    <row r="667">
      <c r="CH667">
        <f>IF(ISTEXT('월 가계부'!A667),SUBSTITUTE(SUBSTITUTE(SUBSTITUTE(SUBSTITUTE(SUBSTITUTE(SUBSTITUTE(SUBSTITUTE(SUBSTITUTE(SUBSTITUTE(TRIM('월 가계부'!A667),"년","-"),"월","-"),"일",""),".","-"),"/","-")," ","-"),"--","-"),"--","-"),"--","-")&amp;"-","")</f>
        <v/>
      </c>
      <c r="CI667">
        <f>IFERROR(IF('월 가계부'!A667="","",IF(ISNUMBER('월 가계부'!A667),IF(AND('월 가계부'!A667&gt;=19000101,'월 가계부'!A667&lt;=21001231),IF(AND(MOD(INT('월 가계부'!A667/100),100)&gt;=1,MOD(INT('월 가계부'!A667/100),100)&lt;=12,MOD(INT('월 가계부'!A667),100)&gt;=1,MOD(INT('월 가계부'!A667),100)&lt;=31),IF(MONTH(DATE(INT('월 가계부'!A667/10000),MOD(INT('월 가계부'!A667/100),100),MOD(INT('월 가계부'!A667),100)))=MOD(INT('월 가계부'!A667/100),100),DATE(INT('월 가계부'!A667/10000),MOD(INT('월 가계부'!A667/100),100),MOD(INT('월 가계부'!A667),100)),""),""),IF(AND('월 가계부'!A667&gt;=36526,'월 가계부'!A667&lt;73051),INT('월 가계부'!A667),"")),IF(OR(CM667="",CN667="",CO667=""),"",IF(AND(CM667&gt;=2000,CM667&lt;=2099,CN667&gt;=1,CN667&lt;=12,CO667&gt;=1,CO667&lt;=31),IF(MONTH(DATE(CM667,CN667,CO667))=CN667,DATE(CM667,CN667,CO667),""),"")))),"")</f>
        <v/>
      </c>
      <c r="CJ667">
        <f>IFERROR(IF('월 가계부'!C667="","",IF(ISNUMBER('월 가계부'!C667),'월 가계부'!C667,VALUE(SUBSTITUTE(SUBSTITUTE(SUBSTITUTE(SUBSTITUTE(TRIM('월 가계부'!C667),",",""),"원","")," ",""),"−","-")))),"")</f>
        <v/>
      </c>
      <c r="CK667">
        <f>IF(ISNUMBER(CI667),IF(CI667&lt;$B$13,CI667,""),"")</f>
        <v/>
      </c>
      <c r="CM667">
        <f>IF(CH667="","",IFERROR(IF(IF(AND(LEN(CH667)=9,ISERROR(FIND("-",LEFT(CH667,8))),ISNUMBER(-LEFT(CH667,8))),VALUE(LEFT(CH667,4)),VALUE(LEFT(CH667,FIND("-",CH667)-1)))&lt;100,IF(AND(LEN(CH667)=9,ISERROR(FIND("-",LEFT(CH667,8))),ISNUMBER(-LEFT(CH667,8))),VALUE(LEFT(CH667,4)),VALUE(LEFT(CH667,FIND("-",CH667)-1)))+2000,IF(AND(LEN(CH667)=9,ISERROR(FIND("-",LEFT(CH667,8))),ISNUMBER(-LEFT(CH667,8))),VALUE(LEFT(CH667,4)),VALUE(LEFT(CH667,FIND("-",CH667)-1)))),""))</f>
        <v/>
      </c>
      <c r="CN667">
        <f>IF(CH667="","",IFERROR(IF(AND(LEN(CH667)=9,ISERROR(FIND("-",LEFT(CH667,8))),ISNUMBER(-LEFT(CH667,8))),VALUE(MID(CH667,5,2)),VALUE(MID(CH667,FIND("-",CH667)+1,FIND("-",CH667,FIND("-",CH667)+1)-FIND("-",CH667)-1))),""))</f>
        <v/>
      </c>
      <c r="CO667">
        <f>IF(CH667="","",IFERROR(IF(AND(LEN(CH667)=9,ISERROR(FIND("-",LEFT(CH667,8))),ISNUMBER(-LEFT(CH667,8))),VALUE(MID(CH667,7,2)),VALUE(MID(CH667,FIND("-",CH667,FIND("-",CH667)+1)+1,FIND("-",CH667,FIND("-",CH667,FIND("-",CH667)+1)+1)-FIND("-",CH667,FIND("-",CH667)+1)-1))),""))</f>
        <v/>
      </c>
    </row>
    <row r="668">
      <c r="CH668">
        <f>IF(ISTEXT('월 가계부'!A668),SUBSTITUTE(SUBSTITUTE(SUBSTITUTE(SUBSTITUTE(SUBSTITUTE(SUBSTITUTE(SUBSTITUTE(SUBSTITUTE(SUBSTITUTE(TRIM('월 가계부'!A668),"년","-"),"월","-"),"일",""),".","-"),"/","-")," ","-"),"--","-"),"--","-"),"--","-")&amp;"-","")</f>
        <v/>
      </c>
      <c r="CI668">
        <f>IFERROR(IF('월 가계부'!A668="","",IF(ISNUMBER('월 가계부'!A668),IF(AND('월 가계부'!A668&gt;=19000101,'월 가계부'!A668&lt;=21001231),IF(AND(MOD(INT('월 가계부'!A668/100),100)&gt;=1,MOD(INT('월 가계부'!A668/100),100)&lt;=12,MOD(INT('월 가계부'!A668),100)&gt;=1,MOD(INT('월 가계부'!A668),100)&lt;=31),IF(MONTH(DATE(INT('월 가계부'!A668/10000),MOD(INT('월 가계부'!A668/100),100),MOD(INT('월 가계부'!A668),100)))=MOD(INT('월 가계부'!A668/100),100),DATE(INT('월 가계부'!A668/10000),MOD(INT('월 가계부'!A668/100),100),MOD(INT('월 가계부'!A668),100)),""),""),IF(AND('월 가계부'!A668&gt;=36526,'월 가계부'!A668&lt;73051),INT('월 가계부'!A668),"")),IF(OR(CM668="",CN668="",CO668=""),"",IF(AND(CM668&gt;=2000,CM668&lt;=2099,CN668&gt;=1,CN668&lt;=12,CO668&gt;=1,CO668&lt;=31),IF(MONTH(DATE(CM668,CN668,CO668))=CN668,DATE(CM668,CN668,CO668),""),"")))),"")</f>
        <v/>
      </c>
      <c r="CJ668">
        <f>IFERROR(IF('월 가계부'!C668="","",IF(ISNUMBER('월 가계부'!C668),'월 가계부'!C668,VALUE(SUBSTITUTE(SUBSTITUTE(SUBSTITUTE(SUBSTITUTE(TRIM('월 가계부'!C668),",",""),"원","")," ",""),"−","-")))),"")</f>
        <v/>
      </c>
      <c r="CK668">
        <f>IF(ISNUMBER(CI668),IF(CI668&lt;$B$13,CI668,""),"")</f>
        <v/>
      </c>
      <c r="CM668">
        <f>IF(CH668="","",IFERROR(IF(IF(AND(LEN(CH668)=9,ISERROR(FIND("-",LEFT(CH668,8))),ISNUMBER(-LEFT(CH668,8))),VALUE(LEFT(CH668,4)),VALUE(LEFT(CH668,FIND("-",CH668)-1)))&lt;100,IF(AND(LEN(CH668)=9,ISERROR(FIND("-",LEFT(CH668,8))),ISNUMBER(-LEFT(CH668,8))),VALUE(LEFT(CH668,4)),VALUE(LEFT(CH668,FIND("-",CH668)-1)))+2000,IF(AND(LEN(CH668)=9,ISERROR(FIND("-",LEFT(CH668,8))),ISNUMBER(-LEFT(CH668,8))),VALUE(LEFT(CH668,4)),VALUE(LEFT(CH668,FIND("-",CH668)-1)))),""))</f>
        <v/>
      </c>
      <c r="CN668">
        <f>IF(CH668="","",IFERROR(IF(AND(LEN(CH668)=9,ISERROR(FIND("-",LEFT(CH668,8))),ISNUMBER(-LEFT(CH668,8))),VALUE(MID(CH668,5,2)),VALUE(MID(CH668,FIND("-",CH668)+1,FIND("-",CH668,FIND("-",CH668)+1)-FIND("-",CH668)-1))),""))</f>
        <v/>
      </c>
      <c r="CO668">
        <f>IF(CH668="","",IFERROR(IF(AND(LEN(CH668)=9,ISERROR(FIND("-",LEFT(CH668,8))),ISNUMBER(-LEFT(CH668,8))),VALUE(MID(CH668,7,2)),VALUE(MID(CH668,FIND("-",CH668,FIND("-",CH668)+1)+1,FIND("-",CH668,FIND("-",CH668,FIND("-",CH668)+1)+1)-FIND("-",CH668,FIND("-",CH668)+1)-1))),""))</f>
        <v/>
      </c>
    </row>
    <row r="669">
      <c r="CH669">
        <f>IF(ISTEXT('월 가계부'!A669),SUBSTITUTE(SUBSTITUTE(SUBSTITUTE(SUBSTITUTE(SUBSTITUTE(SUBSTITUTE(SUBSTITUTE(SUBSTITUTE(SUBSTITUTE(TRIM('월 가계부'!A669),"년","-"),"월","-"),"일",""),".","-"),"/","-")," ","-"),"--","-"),"--","-"),"--","-")&amp;"-","")</f>
        <v/>
      </c>
      <c r="CI669">
        <f>IFERROR(IF('월 가계부'!A669="","",IF(ISNUMBER('월 가계부'!A669),IF(AND('월 가계부'!A669&gt;=19000101,'월 가계부'!A669&lt;=21001231),IF(AND(MOD(INT('월 가계부'!A669/100),100)&gt;=1,MOD(INT('월 가계부'!A669/100),100)&lt;=12,MOD(INT('월 가계부'!A669),100)&gt;=1,MOD(INT('월 가계부'!A669),100)&lt;=31),IF(MONTH(DATE(INT('월 가계부'!A669/10000),MOD(INT('월 가계부'!A669/100),100),MOD(INT('월 가계부'!A669),100)))=MOD(INT('월 가계부'!A669/100),100),DATE(INT('월 가계부'!A669/10000),MOD(INT('월 가계부'!A669/100),100),MOD(INT('월 가계부'!A669),100)),""),""),IF(AND('월 가계부'!A669&gt;=36526,'월 가계부'!A669&lt;73051),INT('월 가계부'!A669),"")),IF(OR(CM669="",CN669="",CO669=""),"",IF(AND(CM669&gt;=2000,CM669&lt;=2099,CN669&gt;=1,CN669&lt;=12,CO669&gt;=1,CO669&lt;=31),IF(MONTH(DATE(CM669,CN669,CO669))=CN669,DATE(CM669,CN669,CO669),""),"")))),"")</f>
        <v/>
      </c>
      <c r="CJ669">
        <f>IFERROR(IF('월 가계부'!C669="","",IF(ISNUMBER('월 가계부'!C669),'월 가계부'!C669,VALUE(SUBSTITUTE(SUBSTITUTE(SUBSTITUTE(SUBSTITUTE(TRIM('월 가계부'!C669),",",""),"원","")," ",""),"−","-")))),"")</f>
        <v/>
      </c>
      <c r="CK669">
        <f>IF(ISNUMBER(CI669),IF(CI669&lt;$B$13,CI669,""),"")</f>
        <v/>
      </c>
      <c r="CM669">
        <f>IF(CH669="","",IFERROR(IF(IF(AND(LEN(CH669)=9,ISERROR(FIND("-",LEFT(CH669,8))),ISNUMBER(-LEFT(CH669,8))),VALUE(LEFT(CH669,4)),VALUE(LEFT(CH669,FIND("-",CH669)-1)))&lt;100,IF(AND(LEN(CH669)=9,ISERROR(FIND("-",LEFT(CH669,8))),ISNUMBER(-LEFT(CH669,8))),VALUE(LEFT(CH669,4)),VALUE(LEFT(CH669,FIND("-",CH669)-1)))+2000,IF(AND(LEN(CH669)=9,ISERROR(FIND("-",LEFT(CH669,8))),ISNUMBER(-LEFT(CH669,8))),VALUE(LEFT(CH669,4)),VALUE(LEFT(CH669,FIND("-",CH669)-1)))),""))</f>
        <v/>
      </c>
      <c r="CN669">
        <f>IF(CH669="","",IFERROR(IF(AND(LEN(CH669)=9,ISERROR(FIND("-",LEFT(CH669,8))),ISNUMBER(-LEFT(CH669,8))),VALUE(MID(CH669,5,2)),VALUE(MID(CH669,FIND("-",CH669)+1,FIND("-",CH669,FIND("-",CH669)+1)-FIND("-",CH669)-1))),""))</f>
        <v/>
      </c>
      <c r="CO669">
        <f>IF(CH669="","",IFERROR(IF(AND(LEN(CH669)=9,ISERROR(FIND("-",LEFT(CH669,8))),ISNUMBER(-LEFT(CH669,8))),VALUE(MID(CH669,7,2)),VALUE(MID(CH669,FIND("-",CH669,FIND("-",CH669)+1)+1,FIND("-",CH669,FIND("-",CH669,FIND("-",CH669)+1)+1)-FIND("-",CH669,FIND("-",CH669)+1)-1))),""))</f>
        <v/>
      </c>
    </row>
    <row r="670">
      <c r="CH670">
        <f>IF(ISTEXT('월 가계부'!A670),SUBSTITUTE(SUBSTITUTE(SUBSTITUTE(SUBSTITUTE(SUBSTITUTE(SUBSTITUTE(SUBSTITUTE(SUBSTITUTE(SUBSTITUTE(TRIM('월 가계부'!A670),"년","-"),"월","-"),"일",""),".","-"),"/","-")," ","-"),"--","-"),"--","-"),"--","-")&amp;"-","")</f>
        <v/>
      </c>
      <c r="CI670">
        <f>IFERROR(IF('월 가계부'!A670="","",IF(ISNUMBER('월 가계부'!A670),IF(AND('월 가계부'!A670&gt;=19000101,'월 가계부'!A670&lt;=21001231),IF(AND(MOD(INT('월 가계부'!A670/100),100)&gt;=1,MOD(INT('월 가계부'!A670/100),100)&lt;=12,MOD(INT('월 가계부'!A670),100)&gt;=1,MOD(INT('월 가계부'!A670),100)&lt;=31),IF(MONTH(DATE(INT('월 가계부'!A670/10000),MOD(INT('월 가계부'!A670/100),100),MOD(INT('월 가계부'!A670),100)))=MOD(INT('월 가계부'!A670/100),100),DATE(INT('월 가계부'!A670/10000),MOD(INT('월 가계부'!A670/100),100),MOD(INT('월 가계부'!A670),100)),""),""),IF(AND('월 가계부'!A670&gt;=36526,'월 가계부'!A670&lt;73051),INT('월 가계부'!A670),"")),IF(OR(CM670="",CN670="",CO670=""),"",IF(AND(CM670&gt;=2000,CM670&lt;=2099,CN670&gt;=1,CN670&lt;=12,CO670&gt;=1,CO670&lt;=31),IF(MONTH(DATE(CM670,CN670,CO670))=CN670,DATE(CM670,CN670,CO670),""),"")))),"")</f>
        <v/>
      </c>
      <c r="CJ670">
        <f>IFERROR(IF('월 가계부'!C670="","",IF(ISNUMBER('월 가계부'!C670),'월 가계부'!C670,VALUE(SUBSTITUTE(SUBSTITUTE(SUBSTITUTE(SUBSTITUTE(TRIM('월 가계부'!C670),",",""),"원","")," ",""),"−","-")))),"")</f>
        <v/>
      </c>
      <c r="CK670">
        <f>IF(ISNUMBER(CI670),IF(CI670&lt;$B$13,CI670,""),"")</f>
        <v/>
      </c>
      <c r="CM670">
        <f>IF(CH670="","",IFERROR(IF(IF(AND(LEN(CH670)=9,ISERROR(FIND("-",LEFT(CH670,8))),ISNUMBER(-LEFT(CH670,8))),VALUE(LEFT(CH670,4)),VALUE(LEFT(CH670,FIND("-",CH670)-1)))&lt;100,IF(AND(LEN(CH670)=9,ISERROR(FIND("-",LEFT(CH670,8))),ISNUMBER(-LEFT(CH670,8))),VALUE(LEFT(CH670,4)),VALUE(LEFT(CH670,FIND("-",CH670)-1)))+2000,IF(AND(LEN(CH670)=9,ISERROR(FIND("-",LEFT(CH670,8))),ISNUMBER(-LEFT(CH670,8))),VALUE(LEFT(CH670,4)),VALUE(LEFT(CH670,FIND("-",CH670)-1)))),""))</f>
        <v/>
      </c>
      <c r="CN670">
        <f>IF(CH670="","",IFERROR(IF(AND(LEN(CH670)=9,ISERROR(FIND("-",LEFT(CH670,8))),ISNUMBER(-LEFT(CH670,8))),VALUE(MID(CH670,5,2)),VALUE(MID(CH670,FIND("-",CH670)+1,FIND("-",CH670,FIND("-",CH670)+1)-FIND("-",CH670)-1))),""))</f>
        <v/>
      </c>
      <c r="CO670">
        <f>IF(CH670="","",IFERROR(IF(AND(LEN(CH670)=9,ISERROR(FIND("-",LEFT(CH670,8))),ISNUMBER(-LEFT(CH670,8))),VALUE(MID(CH670,7,2)),VALUE(MID(CH670,FIND("-",CH670,FIND("-",CH670)+1)+1,FIND("-",CH670,FIND("-",CH670,FIND("-",CH670)+1)+1)-FIND("-",CH670,FIND("-",CH670)+1)-1))),""))</f>
        <v/>
      </c>
    </row>
    <row r="671">
      <c r="CH671">
        <f>IF(ISTEXT('월 가계부'!A671),SUBSTITUTE(SUBSTITUTE(SUBSTITUTE(SUBSTITUTE(SUBSTITUTE(SUBSTITUTE(SUBSTITUTE(SUBSTITUTE(SUBSTITUTE(TRIM('월 가계부'!A671),"년","-"),"월","-"),"일",""),".","-"),"/","-")," ","-"),"--","-"),"--","-"),"--","-")&amp;"-","")</f>
        <v/>
      </c>
      <c r="CI671">
        <f>IFERROR(IF('월 가계부'!A671="","",IF(ISNUMBER('월 가계부'!A671),IF(AND('월 가계부'!A671&gt;=19000101,'월 가계부'!A671&lt;=21001231),IF(AND(MOD(INT('월 가계부'!A671/100),100)&gt;=1,MOD(INT('월 가계부'!A671/100),100)&lt;=12,MOD(INT('월 가계부'!A671),100)&gt;=1,MOD(INT('월 가계부'!A671),100)&lt;=31),IF(MONTH(DATE(INT('월 가계부'!A671/10000),MOD(INT('월 가계부'!A671/100),100),MOD(INT('월 가계부'!A671),100)))=MOD(INT('월 가계부'!A671/100),100),DATE(INT('월 가계부'!A671/10000),MOD(INT('월 가계부'!A671/100),100),MOD(INT('월 가계부'!A671),100)),""),""),IF(AND('월 가계부'!A671&gt;=36526,'월 가계부'!A671&lt;73051),INT('월 가계부'!A671),"")),IF(OR(CM671="",CN671="",CO671=""),"",IF(AND(CM671&gt;=2000,CM671&lt;=2099,CN671&gt;=1,CN671&lt;=12,CO671&gt;=1,CO671&lt;=31),IF(MONTH(DATE(CM671,CN671,CO671))=CN671,DATE(CM671,CN671,CO671),""),"")))),"")</f>
        <v/>
      </c>
      <c r="CJ671">
        <f>IFERROR(IF('월 가계부'!C671="","",IF(ISNUMBER('월 가계부'!C671),'월 가계부'!C671,VALUE(SUBSTITUTE(SUBSTITUTE(SUBSTITUTE(SUBSTITUTE(TRIM('월 가계부'!C671),",",""),"원","")," ",""),"−","-")))),"")</f>
        <v/>
      </c>
      <c r="CK671">
        <f>IF(ISNUMBER(CI671),IF(CI671&lt;$B$13,CI671,""),"")</f>
        <v/>
      </c>
      <c r="CM671">
        <f>IF(CH671="","",IFERROR(IF(IF(AND(LEN(CH671)=9,ISERROR(FIND("-",LEFT(CH671,8))),ISNUMBER(-LEFT(CH671,8))),VALUE(LEFT(CH671,4)),VALUE(LEFT(CH671,FIND("-",CH671)-1)))&lt;100,IF(AND(LEN(CH671)=9,ISERROR(FIND("-",LEFT(CH671,8))),ISNUMBER(-LEFT(CH671,8))),VALUE(LEFT(CH671,4)),VALUE(LEFT(CH671,FIND("-",CH671)-1)))+2000,IF(AND(LEN(CH671)=9,ISERROR(FIND("-",LEFT(CH671,8))),ISNUMBER(-LEFT(CH671,8))),VALUE(LEFT(CH671,4)),VALUE(LEFT(CH671,FIND("-",CH671)-1)))),""))</f>
        <v/>
      </c>
      <c r="CN671">
        <f>IF(CH671="","",IFERROR(IF(AND(LEN(CH671)=9,ISERROR(FIND("-",LEFT(CH671,8))),ISNUMBER(-LEFT(CH671,8))),VALUE(MID(CH671,5,2)),VALUE(MID(CH671,FIND("-",CH671)+1,FIND("-",CH671,FIND("-",CH671)+1)-FIND("-",CH671)-1))),""))</f>
        <v/>
      </c>
      <c r="CO671">
        <f>IF(CH671="","",IFERROR(IF(AND(LEN(CH671)=9,ISERROR(FIND("-",LEFT(CH671,8))),ISNUMBER(-LEFT(CH671,8))),VALUE(MID(CH671,7,2)),VALUE(MID(CH671,FIND("-",CH671,FIND("-",CH671)+1)+1,FIND("-",CH671,FIND("-",CH671,FIND("-",CH671)+1)+1)-FIND("-",CH671,FIND("-",CH671)+1)-1))),""))</f>
        <v/>
      </c>
    </row>
    <row r="672">
      <c r="CH672">
        <f>IF(ISTEXT('월 가계부'!A672),SUBSTITUTE(SUBSTITUTE(SUBSTITUTE(SUBSTITUTE(SUBSTITUTE(SUBSTITUTE(SUBSTITUTE(SUBSTITUTE(SUBSTITUTE(TRIM('월 가계부'!A672),"년","-"),"월","-"),"일",""),".","-"),"/","-")," ","-"),"--","-"),"--","-"),"--","-")&amp;"-","")</f>
        <v/>
      </c>
      <c r="CI672">
        <f>IFERROR(IF('월 가계부'!A672="","",IF(ISNUMBER('월 가계부'!A672),IF(AND('월 가계부'!A672&gt;=19000101,'월 가계부'!A672&lt;=21001231),IF(AND(MOD(INT('월 가계부'!A672/100),100)&gt;=1,MOD(INT('월 가계부'!A672/100),100)&lt;=12,MOD(INT('월 가계부'!A672),100)&gt;=1,MOD(INT('월 가계부'!A672),100)&lt;=31),IF(MONTH(DATE(INT('월 가계부'!A672/10000),MOD(INT('월 가계부'!A672/100),100),MOD(INT('월 가계부'!A672),100)))=MOD(INT('월 가계부'!A672/100),100),DATE(INT('월 가계부'!A672/10000),MOD(INT('월 가계부'!A672/100),100),MOD(INT('월 가계부'!A672),100)),""),""),IF(AND('월 가계부'!A672&gt;=36526,'월 가계부'!A672&lt;73051),INT('월 가계부'!A672),"")),IF(OR(CM672="",CN672="",CO672=""),"",IF(AND(CM672&gt;=2000,CM672&lt;=2099,CN672&gt;=1,CN672&lt;=12,CO672&gt;=1,CO672&lt;=31),IF(MONTH(DATE(CM672,CN672,CO672))=CN672,DATE(CM672,CN672,CO672),""),"")))),"")</f>
        <v/>
      </c>
      <c r="CJ672">
        <f>IFERROR(IF('월 가계부'!C672="","",IF(ISNUMBER('월 가계부'!C672),'월 가계부'!C672,VALUE(SUBSTITUTE(SUBSTITUTE(SUBSTITUTE(SUBSTITUTE(TRIM('월 가계부'!C672),",",""),"원","")," ",""),"−","-")))),"")</f>
        <v/>
      </c>
      <c r="CK672">
        <f>IF(ISNUMBER(CI672),IF(CI672&lt;$B$13,CI672,""),"")</f>
        <v/>
      </c>
      <c r="CM672">
        <f>IF(CH672="","",IFERROR(IF(IF(AND(LEN(CH672)=9,ISERROR(FIND("-",LEFT(CH672,8))),ISNUMBER(-LEFT(CH672,8))),VALUE(LEFT(CH672,4)),VALUE(LEFT(CH672,FIND("-",CH672)-1)))&lt;100,IF(AND(LEN(CH672)=9,ISERROR(FIND("-",LEFT(CH672,8))),ISNUMBER(-LEFT(CH672,8))),VALUE(LEFT(CH672,4)),VALUE(LEFT(CH672,FIND("-",CH672)-1)))+2000,IF(AND(LEN(CH672)=9,ISERROR(FIND("-",LEFT(CH672,8))),ISNUMBER(-LEFT(CH672,8))),VALUE(LEFT(CH672,4)),VALUE(LEFT(CH672,FIND("-",CH672)-1)))),""))</f>
        <v/>
      </c>
      <c r="CN672">
        <f>IF(CH672="","",IFERROR(IF(AND(LEN(CH672)=9,ISERROR(FIND("-",LEFT(CH672,8))),ISNUMBER(-LEFT(CH672,8))),VALUE(MID(CH672,5,2)),VALUE(MID(CH672,FIND("-",CH672)+1,FIND("-",CH672,FIND("-",CH672)+1)-FIND("-",CH672)-1))),""))</f>
        <v/>
      </c>
      <c r="CO672">
        <f>IF(CH672="","",IFERROR(IF(AND(LEN(CH672)=9,ISERROR(FIND("-",LEFT(CH672,8))),ISNUMBER(-LEFT(CH672,8))),VALUE(MID(CH672,7,2)),VALUE(MID(CH672,FIND("-",CH672,FIND("-",CH672)+1)+1,FIND("-",CH672,FIND("-",CH672,FIND("-",CH672)+1)+1)-FIND("-",CH672,FIND("-",CH672)+1)-1))),""))</f>
        <v/>
      </c>
    </row>
    <row r="673">
      <c r="CH673">
        <f>IF(ISTEXT('월 가계부'!A673),SUBSTITUTE(SUBSTITUTE(SUBSTITUTE(SUBSTITUTE(SUBSTITUTE(SUBSTITUTE(SUBSTITUTE(SUBSTITUTE(SUBSTITUTE(TRIM('월 가계부'!A673),"년","-"),"월","-"),"일",""),".","-"),"/","-")," ","-"),"--","-"),"--","-"),"--","-")&amp;"-","")</f>
        <v/>
      </c>
      <c r="CI673">
        <f>IFERROR(IF('월 가계부'!A673="","",IF(ISNUMBER('월 가계부'!A673),IF(AND('월 가계부'!A673&gt;=19000101,'월 가계부'!A673&lt;=21001231),IF(AND(MOD(INT('월 가계부'!A673/100),100)&gt;=1,MOD(INT('월 가계부'!A673/100),100)&lt;=12,MOD(INT('월 가계부'!A673),100)&gt;=1,MOD(INT('월 가계부'!A673),100)&lt;=31),IF(MONTH(DATE(INT('월 가계부'!A673/10000),MOD(INT('월 가계부'!A673/100),100),MOD(INT('월 가계부'!A673),100)))=MOD(INT('월 가계부'!A673/100),100),DATE(INT('월 가계부'!A673/10000),MOD(INT('월 가계부'!A673/100),100),MOD(INT('월 가계부'!A673),100)),""),""),IF(AND('월 가계부'!A673&gt;=36526,'월 가계부'!A673&lt;73051),INT('월 가계부'!A673),"")),IF(OR(CM673="",CN673="",CO673=""),"",IF(AND(CM673&gt;=2000,CM673&lt;=2099,CN673&gt;=1,CN673&lt;=12,CO673&gt;=1,CO673&lt;=31),IF(MONTH(DATE(CM673,CN673,CO673))=CN673,DATE(CM673,CN673,CO673),""),"")))),"")</f>
        <v/>
      </c>
      <c r="CJ673">
        <f>IFERROR(IF('월 가계부'!C673="","",IF(ISNUMBER('월 가계부'!C673),'월 가계부'!C673,VALUE(SUBSTITUTE(SUBSTITUTE(SUBSTITUTE(SUBSTITUTE(TRIM('월 가계부'!C673),",",""),"원","")," ",""),"−","-")))),"")</f>
        <v/>
      </c>
      <c r="CK673">
        <f>IF(ISNUMBER(CI673),IF(CI673&lt;$B$13,CI673,""),"")</f>
        <v/>
      </c>
      <c r="CM673">
        <f>IF(CH673="","",IFERROR(IF(IF(AND(LEN(CH673)=9,ISERROR(FIND("-",LEFT(CH673,8))),ISNUMBER(-LEFT(CH673,8))),VALUE(LEFT(CH673,4)),VALUE(LEFT(CH673,FIND("-",CH673)-1)))&lt;100,IF(AND(LEN(CH673)=9,ISERROR(FIND("-",LEFT(CH673,8))),ISNUMBER(-LEFT(CH673,8))),VALUE(LEFT(CH673,4)),VALUE(LEFT(CH673,FIND("-",CH673)-1)))+2000,IF(AND(LEN(CH673)=9,ISERROR(FIND("-",LEFT(CH673,8))),ISNUMBER(-LEFT(CH673,8))),VALUE(LEFT(CH673,4)),VALUE(LEFT(CH673,FIND("-",CH673)-1)))),""))</f>
        <v/>
      </c>
      <c r="CN673">
        <f>IF(CH673="","",IFERROR(IF(AND(LEN(CH673)=9,ISERROR(FIND("-",LEFT(CH673,8))),ISNUMBER(-LEFT(CH673,8))),VALUE(MID(CH673,5,2)),VALUE(MID(CH673,FIND("-",CH673)+1,FIND("-",CH673,FIND("-",CH673)+1)-FIND("-",CH673)-1))),""))</f>
        <v/>
      </c>
      <c r="CO673">
        <f>IF(CH673="","",IFERROR(IF(AND(LEN(CH673)=9,ISERROR(FIND("-",LEFT(CH673,8))),ISNUMBER(-LEFT(CH673,8))),VALUE(MID(CH673,7,2)),VALUE(MID(CH673,FIND("-",CH673,FIND("-",CH673)+1)+1,FIND("-",CH673,FIND("-",CH673,FIND("-",CH673)+1)+1)-FIND("-",CH673,FIND("-",CH673)+1)-1))),""))</f>
        <v/>
      </c>
    </row>
    <row r="674">
      <c r="CH674">
        <f>IF(ISTEXT('월 가계부'!A674),SUBSTITUTE(SUBSTITUTE(SUBSTITUTE(SUBSTITUTE(SUBSTITUTE(SUBSTITUTE(SUBSTITUTE(SUBSTITUTE(SUBSTITUTE(TRIM('월 가계부'!A674),"년","-"),"월","-"),"일",""),".","-"),"/","-")," ","-"),"--","-"),"--","-"),"--","-")&amp;"-","")</f>
        <v/>
      </c>
      <c r="CI674">
        <f>IFERROR(IF('월 가계부'!A674="","",IF(ISNUMBER('월 가계부'!A674),IF(AND('월 가계부'!A674&gt;=19000101,'월 가계부'!A674&lt;=21001231),IF(AND(MOD(INT('월 가계부'!A674/100),100)&gt;=1,MOD(INT('월 가계부'!A674/100),100)&lt;=12,MOD(INT('월 가계부'!A674),100)&gt;=1,MOD(INT('월 가계부'!A674),100)&lt;=31),IF(MONTH(DATE(INT('월 가계부'!A674/10000),MOD(INT('월 가계부'!A674/100),100),MOD(INT('월 가계부'!A674),100)))=MOD(INT('월 가계부'!A674/100),100),DATE(INT('월 가계부'!A674/10000),MOD(INT('월 가계부'!A674/100),100),MOD(INT('월 가계부'!A674),100)),""),""),IF(AND('월 가계부'!A674&gt;=36526,'월 가계부'!A674&lt;73051),INT('월 가계부'!A674),"")),IF(OR(CM674="",CN674="",CO674=""),"",IF(AND(CM674&gt;=2000,CM674&lt;=2099,CN674&gt;=1,CN674&lt;=12,CO674&gt;=1,CO674&lt;=31),IF(MONTH(DATE(CM674,CN674,CO674))=CN674,DATE(CM674,CN674,CO674),""),"")))),"")</f>
        <v/>
      </c>
      <c r="CJ674">
        <f>IFERROR(IF('월 가계부'!C674="","",IF(ISNUMBER('월 가계부'!C674),'월 가계부'!C674,VALUE(SUBSTITUTE(SUBSTITUTE(SUBSTITUTE(SUBSTITUTE(TRIM('월 가계부'!C674),",",""),"원","")," ",""),"−","-")))),"")</f>
        <v/>
      </c>
      <c r="CK674">
        <f>IF(ISNUMBER(CI674),IF(CI674&lt;$B$13,CI674,""),"")</f>
        <v/>
      </c>
      <c r="CM674">
        <f>IF(CH674="","",IFERROR(IF(IF(AND(LEN(CH674)=9,ISERROR(FIND("-",LEFT(CH674,8))),ISNUMBER(-LEFT(CH674,8))),VALUE(LEFT(CH674,4)),VALUE(LEFT(CH674,FIND("-",CH674)-1)))&lt;100,IF(AND(LEN(CH674)=9,ISERROR(FIND("-",LEFT(CH674,8))),ISNUMBER(-LEFT(CH674,8))),VALUE(LEFT(CH674,4)),VALUE(LEFT(CH674,FIND("-",CH674)-1)))+2000,IF(AND(LEN(CH674)=9,ISERROR(FIND("-",LEFT(CH674,8))),ISNUMBER(-LEFT(CH674,8))),VALUE(LEFT(CH674,4)),VALUE(LEFT(CH674,FIND("-",CH674)-1)))),""))</f>
        <v/>
      </c>
      <c r="CN674">
        <f>IF(CH674="","",IFERROR(IF(AND(LEN(CH674)=9,ISERROR(FIND("-",LEFT(CH674,8))),ISNUMBER(-LEFT(CH674,8))),VALUE(MID(CH674,5,2)),VALUE(MID(CH674,FIND("-",CH674)+1,FIND("-",CH674,FIND("-",CH674)+1)-FIND("-",CH674)-1))),""))</f>
        <v/>
      </c>
      <c r="CO674">
        <f>IF(CH674="","",IFERROR(IF(AND(LEN(CH674)=9,ISERROR(FIND("-",LEFT(CH674,8))),ISNUMBER(-LEFT(CH674,8))),VALUE(MID(CH674,7,2)),VALUE(MID(CH674,FIND("-",CH674,FIND("-",CH674)+1)+1,FIND("-",CH674,FIND("-",CH674,FIND("-",CH674)+1)+1)-FIND("-",CH674,FIND("-",CH674)+1)-1))),""))</f>
        <v/>
      </c>
    </row>
    <row r="675">
      <c r="CH675">
        <f>IF(ISTEXT('월 가계부'!A675),SUBSTITUTE(SUBSTITUTE(SUBSTITUTE(SUBSTITUTE(SUBSTITUTE(SUBSTITUTE(SUBSTITUTE(SUBSTITUTE(SUBSTITUTE(TRIM('월 가계부'!A675),"년","-"),"월","-"),"일",""),".","-"),"/","-")," ","-"),"--","-"),"--","-"),"--","-")&amp;"-","")</f>
        <v/>
      </c>
      <c r="CI675">
        <f>IFERROR(IF('월 가계부'!A675="","",IF(ISNUMBER('월 가계부'!A675),IF(AND('월 가계부'!A675&gt;=19000101,'월 가계부'!A675&lt;=21001231),IF(AND(MOD(INT('월 가계부'!A675/100),100)&gt;=1,MOD(INT('월 가계부'!A675/100),100)&lt;=12,MOD(INT('월 가계부'!A675),100)&gt;=1,MOD(INT('월 가계부'!A675),100)&lt;=31),IF(MONTH(DATE(INT('월 가계부'!A675/10000),MOD(INT('월 가계부'!A675/100),100),MOD(INT('월 가계부'!A675),100)))=MOD(INT('월 가계부'!A675/100),100),DATE(INT('월 가계부'!A675/10000),MOD(INT('월 가계부'!A675/100),100),MOD(INT('월 가계부'!A675),100)),""),""),IF(AND('월 가계부'!A675&gt;=36526,'월 가계부'!A675&lt;73051),INT('월 가계부'!A675),"")),IF(OR(CM675="",CN675="",CO675=""),"",IF(AND(CM675&gt;=2000,CM675&lt;=2099,CN675&gt;=1,CN675&lt;=12,CO675&gt;=1,CO675&lt;=31),IF(MONTH(DATE(CM675,CN675,CO675))=CN675,DATE(CM675,CN675,CO675),""),"")))),"")</f>
        <v/>
      </c>
      <c r="CJ675">
        <f>IFERROR(IF('월 가계부'!C675="","",IF(ISNUMBER('월 가계부'!C675),'월 가계부'!C675,VALUE(SUBSTITUTE(SUBSTITUTE(SUBSTITUTE(SUBSTITUTE(TRIM('월 가계부'!C675),",",""),"원","")," ",""),"−","-")))),"")</f>
        <v/>
      </c>
      <c r="CK675">
        <f>IF(ISNUMBER(CI675),IF(CI675&lt;$B$13,CI675,""),"")</f>
        <v/>
      </c>
      <c r="CM675">
        <f>IF(CH675="","",IFERROR(IF(IF(AND(LEN(CH675)=9,ISERROR(FIND("-",LEFT(CH675,8))),ISNUMBER(-LEFT(CH675,8))),VALUE(LEFT(CH675,4)),VALUE(LEFT(CH675,FIND("-",CH675)-1)))&lt;100,IF(AND(LEN(CH675)=9,ISERROR(FIND("-",LEFT(CH675,8))),ISNUMBER(-LEFT(CH675,8))),VALUE(LEFT(CH675,4)),VALUE(LEFT(CH675,FIND("-",CH675)-1)))+2000,IF(AND(LEN(CH675)=9,ISERROR(FIND("-",LEFT(CH675,8))),ISNUMBER(-LEFT(CH675,8))),VALUE(LEFT(CH675,4)),VALUE(LEFT(CH675,FIND("-",CH675)-1)))),""))</f>
        <v/>
      </c>
      <c r="CN675">
        <f>IF(CH675="","",IFERROR(IF(AND(LEN(CH675)=9,ISERROR(FIND("-",LEFT(CH675,8))),ISNUMBER(-LEFT(CH675,8))),VALUE(MID(CH675,5,2)),VALUE(MID(CH675,FIND("-",CH675)+1,FIND("-",CH675,FIND("-",CH675)+1)-FIND("-",CH675)-1))),""))</f>
        <v/>
      </c>
      <c r="CO675">
        <f>IF(CH675="","",IFERROR(IF(AND(LEN(CH675)=9,ISERROR(FIND("-",LEFT(CH675,8))),ISNUMBER(-LEFT(CH675,8))),VALUE(MID(CH675,7,2)),VALUE(MID(CH675,FIND("-",CH675,FIND("-",CH675)+1)+1,FIND("-",CH675,FIND("-",CH675,FIND("-",CH675)+1)+1)-FIND("-",CH675,FIND("-",CH675)+1)-1))),""))</f>
        <v/>
      </c>
    </row>
    <row r="676">
      <c r="CH676">
        <f>IF(ISTEXT('월 가계부'!A676),SUBSTITUTE(SUBSTITUTE(SUBSTITUTE(SUBSTITUTE(SUBSTITUTE(SUBSTITUTE(SUBSTITUTE(SUBSTITUTE(SUBSTITUTE(TRIM('월 가계부'!A676),"년","-"),"월","-"),"일",""),".","-"),"/","-")," ","-"),"--","-"),"--","-"),"--","-")&amp;"-","")</f>
        <v/>
      </c>
      <c r="CI676">
        <f>IFERROR(IF('월 가계부'!A676="","",IF(ISNUMBER('월 가계부'!A676),IF(AND('월 가계부'!A676&gt;=19000101,'월 가계부'!A676&lt;=21001231),IF(AND(MOD(INT('월 가계부'!A676/100),100)&gt;=1,MOD(INT('월 가계부'!A676/100),100)&lt;=12,MOD(INT('월 가계부'!A676),100)&gt;=1,MOD(INT('월 가계부'!A676),100)&lt;=31),IF(MONTH(DATE(INT('월 가계부'!A676/10000),MOD(INT('월 가계부'!A676/100),100),MOD(INT('월 가계부'!A676),100)))=MOD(INT('월 가계부'!A676/100),100),DATE(INT('월 가계부'!A676/10000),MOD(INT('월 가계부'!A676/100),100),MOD(INT('월 가계부'!A676),100)),""),""),IF(AND('월 가계부'!A676&gt;=36526,'월 가계부'!A676&lt;73051),INT('월 가계부'!A676),"")),IF(OR(CM676="",CN676="",CO676=""),"",IF(AND(CM676&gt;=2000,CM676&lt;=2099,CN676&gt;=1,CN676&lt;=12,CO676&gt;=1,CO676&lt;=31),IF(MONTH(DATE(CM676,CN676,CO676))=CN676,DATE(CM676,CN676,CO676),""),"")))),"")</f>
        <v/>
      </c>
      <c r="CJ676">
        <f>IFERROR(IF('월 가계부'!C676="","",IF(ISNUMBER('월 가계부'!C676),'월 가계부'!C676,VALUE(SUBSTITUTE(SUBSTITUTE(SUBSTITUTE(SUBSTITUTE(TRIM('월 가계부'!C676),",",""),"원","")," ",""),"−","-")))),"")</f>
        <v/>
      </c>
      <c r="CK676">
        <f>IF(ISNUMBER(CI676),IF(CI676&lt;$B$13,CI676,""),"")</f>
        <v/>
      </c>
      <c r="CM676">
        <f>IF(CH676="","",IFERROR(IF(IF(AND(LEN(CH676)=9,ISERROR(FIND("-",LEFT(CH676,8))),ISNUMBER(-LEFT(CH676,8))),VALUE(LEFT(CH676,4)),VALUE(LEFT(CH676,FIND("-",CH676)-1)))&lt;100,IF(AND(LEN(CH676)=9,ISERROR(FIND("-",LEFT(CH676,8))),ISNUMBER(-LEFT(CH676,8))),VALUE(LEFT(CH676,4)),VALUE(LEFT(CH676,FIND("-",CH676)-1)))+2000,IF(AND(LEN(CH676)=9,ISERROR(FIND("-",LEFT(CH676,8))),ISNUMBER(-LEFT(CH676,8))),VALUE(LEFT(CH676,4)),VALUE(LEFT(CH676,FIND("-",CH676)-1)))),""))</f>
        <v/>
      </c>
      <c r="CN676">
        <f>IF(CH676="","",IFERROR(IF(AND(LEN(CH676)=9,ISERROR(FIND("-",LEFT(CH676,8))),ISNUMBER(-LEFT(CH676,8))),VALUE(MID(CH676,5,2)),VALUE(MID(CH676,FIND("-",CH676)+1,FIND("-",CH676,FIND("-",CH676)+1)-FIND("-",CH676)-1))),""))</f>
        <v/>
      </c>
      <c r="CO676">
        <f>IF(CH676="","",IFERROR(IF(AND(LEN(CH676)=9,ISERROR(FIND("-",LEFT(CH676,8))),ISNUMBER(-LEFT(CH676,8))),VALUE(MID(CH676,7,2)),VALUE(MID(CH676,FIND("-",CH676,FIND("-",CH676)+1)+1,FIND("-",CH676,FIND("-",CH676,FIND("-",CH676)+1)+1)-FIND("-",CH676,FIND("-",CH676)+1)-1))),""))</f>
        <v/>
      </c>
    </row>
    <row r="677">
      <c r="CH677">
        <f>IF(ISTEXT('월 가계부'!A677),SUBSTITUTE(SUBSTITUTE(SUBSTITUTE(SUBSTITUTE(SUBSTITUTE(SUBSTITUTE(SUBSTITUTE(SUBSTITUTE(SUBSTITUTE(TRIM('월 가계부'!A677),"년","-"),"월","-"),"일",""),".","-"),"/","-")," ","-"),"--","-"),"--","-"),"--","-")&amp;"-","")</f>
        <v/>
      </c>
      <c r="CI677">
        <f>IFERROR(IF('월 가계부'!A677="","",IF(ISNUMBER('월 가계부'!A677),IF(AND('월 가계부'!A677&gt;=19000101,'월 가계부'!A677&lt;=21001231),IF(AND(MOD(INT('월 가계부'!A677/100),100)&gt;=1,MOD(INT('월 가계부'!A677/100),100)&lt;=12,MOD(INT('월 가계부'!A677),100)&gt;=1,MOD(INT('월 가계부'!A677),100)&lt;=31),IF(MONTH(DATE(INT('월 가계부'!A677/10000),MOD(INT('월 가계부'!A677/100),100),MOD(INT('월 가계부'!A677),100)))=MOD(INT('월 가계부'!A677/100),100),DATE(INT('월 가계부'!A677/10000),MOD(INT('월 가계부'!A677/100),100),MOD(INT('월 가계부'!A677),100)),""),""),IF(AND('월 가계부'!A677&gt;=36526,'월 가계부'!A677&lt;73051),INT('월 가계부'!A677),"")),IF(OR(CM677="",CN677="",CO677=""),"",IF(AND(CM677&gt;=2000,CM677&lt;=2099,CN677&gt;=1,CN677&lt;=12,CO677&gt;=1,CO677&lt;=31),IF(MONTH(DATE(CM677,CN677,CO677))=CN677,DATE(CM677,CN677,CO677),""),"")))),"")</f>
        <v/>
      </c>
      <c r="CJ677">
        <f>IFERROR(IF('월 가계부'!C677="","",IF(ISNUMBER('월 가계부'!C677),'월 가계부'!C677,VALUE(SUBSTITUTE(SUBSTITUTE(SUBSTITUTE(SUBSTITUTE(TRIM('월 가계부'!C677),",",""),"원","")," ",""),"−","-")))),"")</f>
        <v/>
      </c>
      <c r="CK677">
        <f>IF(ISNUMBER(CI677),IF(CI677&lt;$B$13,CI677,""),"")</f>
        <v/>
      </c>
      <c r="CM677">
        <f>IF(CH677="","",IFERROR(IF(IF(AND(LEN(CH677)=9,ISERROR(FIND("-",LEFT(CH677,8))),ISNUMBER(-LEFT(CH677,8))),VALUE(LEFT(CH677,4)),VALUE(LEFT(CH677,FIND("-",CH677)-1)))&lt;100,IF(AND(LEN(CH677)=9,ISERROR(FIND("-",LEFT(CH677,8))),ISNUMBER(-LEFT(CH677,8))),VALUE(LEFT(CH677,4)),VALUE(LEFT(CH677,FIND("-",CH677)-1)))+2000,IF(AND(LEN(CH677)=9,ISERROR(FIND("-",LEFT(CH677,8))),ISNUMBER(-LEFT(CH677,8))),VALUE(LEFT(CH677,4)),VALUE(LEFT(CH677,FIND("-",CH677)-1)))),""))</f>
        <v/>
      </c>
      <c r="CN677">
        <f>IF(CH677="","",IFERROR(IF(AND(LEN(CH677)=9,ISERROR(FIND("-",LEFT(CH677,8))),ISNUMBER(-LEFT(CH677,8))),VALUE(MID(CH677,5,2)),VALUE(MID(CH677,FIND("-",CH677)+1,FIND("-",CH677,FIND("-",CH677)+1)-FIND("-",CH677)-1))),""))</f>
        <v/>
      </c>
      <c r="CO677">
        <f>IF(CH677="","",IFERROR(IF(AND(LEN(CH677)=9,ISERROR(FIND("-",LEFT(CH677,8))),ISNUMBER(-LEFT(CH677,8))),VALUE(MID(CH677,7,2)),VALUE(MID(CH677,FIND("-",CH677,FIND("-",CH677)+1)+1,FIND("-",CH677,FIND("-",CH677,FIND("-",CH677)+1)+1)-FIND("-",CH677,FIND("-",CH677)+1)-1))),""))</f>
        <v/>
      </c>
    </row>
    <row r="678">
      <c r="CH678">
        <f>IF(ISTEXT('월 가계부'!A678),SUBSTITUTE(SUBSTITUTE(SUBSTITUTE(SUBSTITUTE(SUBSTITUTE(SUBSTITUTE(SUBSTITUTE(SUBSTITUTE(SUBSTITUTE(TRIM('월 가계부'!A678),"년","-"),"월","-"),"일",""),".","-"),"/","-")," ","-"),"--","-"),"--","-"),"--","-")&amp;"-","")</f>
        <v/>
      </c>
      <c r="CI678">
        <f>IFERROR(IF('월 가계부'!A678="","",IF(ISNUMBER('월 가계부'!A678),IF(AND('월 가계부'!A678&gt;=19000101,'월 가계부'!A678&lt;=21001231),IF(AND(MOD(INT('월 가계부'!A678/100),100)&gt;=1,MOD(INT('월 가계부'!A678/100),100)&lt;=12,MOD(INT('월 가계부'!A678),100)&gt;=1,MOD(INT('월 가계부'!A678),100)&lt;=31),IF(MONTH(DATE(INT('월 가계부'!A678/10000),MOD(INT('월 가계부'!A678/100),100),MOD(INT('월 가계부'!A678),100)))=MOD(INT('월 가계부'!A678/100),100),DATE(INT('월 가계부'!A678/10000),MOD(INT('월 가계부'!A678/100),100),MOD(INT('월 가계부'!A678),100)),""),""),IF(AND('월 가계부'!A678&gt;=36526,'월 가계부'!A678&lt;73051),INT('월 가계부'!A678),"")),IF(OR(CM678="",CN678="",CO678=""),"",IF(AND(CM678&gt;=2000,CM678&lt;=2099,CN678&gt;=1,CN678&lt;=12,CO678&gt;=1,CO678&lt;=31),IF(MONTH(DATE(CM678,CN678,CO678))=CN678,DATE(CM678,CN678,CO678),""),"")))),"")</f>
        <v/>
      </c>
      <c r="CJ678">
        <f>IFERROR(IF('월 가계부'!C678="","",IF(ISNUMBER('월 가계부'!C678),'월 가계부'!C678,VALUE(SUBSTITUTE(SUBSTITUTE(SUBSTITUTE(SUBSTITUTE(TRIM('월 가계부'!C678),",",""),"원","")," ",""),"−","-")))),"")</f>
        <v/>
      </c>
      <c r="CK678">
        <f>IF(ISNUMBER(CI678),IF(CI678&lt;$B$13,CI678,""),"")</f>
        <v/>
      </c>
      <c r="CM678">
        <f>IF(CH678="","",IFERROR(IF(IF(AND(LEN(CH678)=9,ISERROR(FIND("-",LEFT(CH678,8))),ISNUMBER(-LEFT(CH678,8))),VALUE(LEFT(CH678,4)),VALUE(LEFT(CH678,FIND("-",CH678)-1)))&lt;100,IF(AND(LEN(CH678)=9,ISERROR(FIND("-",LEFT(CH678,8))),ISNUMBER(-LEFT(CH678,8))),VALUE(LEFT(CH678,4)),VALUE(LEFT(CH678,FIND("-",CH678)-1)))+2000,IF(AND(LEN(CH678)=9,ISERROR(FIND("-",LEFT(CH678,8))),ISNUMBER(-LEFT(CH678,8))),VALUE(LEFT(CH678,4)),VALUE(LEFT(CH678,FIND("-",CH678)-1)))),""))</f>
        <v/>
      </c>
      <c r="CN678">
        <f>IF(CH678="","",IFERROR(IF(AND(LEN(CH678)=9,ISERROR(FIND("-",LEFT(CH678,8))),ISNUMBER(-LEFT(CH678,8))),VALUE(MID(CH678,5,2)),VALUE(MID(CH678,FIND("-",CH678)+1,FIND("-",CH678,FIND("-",CH678)+1)-FIND("-",CH678)-1))),""))</f>
        <v/>
      </c>
      <c r="CO678">
        <f>IF(CH678="","",IFERROR(IF(AND(LEN(CH678)=9,ISERROR(FIND("-",LEFT(CH678,8))),ISNUMBER(-LEFT(CH678,8))),VALUE(MID(CH678,7,2)),VALUE(MID(CH678,FIND("-",CH678,FIND("-",CH678)+1)+1,FIND("-",CH678,FIND("-",CH678,FIND("-",CH678)+1)+1)-FIND("-",CH678,FIND("-",CH678)+1)-1))),""))</f>
        <v/>
      </c>
    </row>
    <row r="679">
      <c r="CH679">
        <f>IF(ISTEXT('월 가계부'!A679),SUBSTITUTE(SUBSTITUTE(SUBSTITUTE(SUBSTITUTE(SUBSTITUTE(SUBSTITUTE(SUBSTITUTE(SUBSTITUTE(SUBSTITUTE(TRIM('월 가계부'!A679),"년","-"),"월","-"),"일",""),".","-"),"/","-")," ","-"),"--","-"),"--","-"),"--","-")&amp;"-","")</f>
        <v/>
      </c>
      <c r="CI679">
        <f>IFERROR(IF('월 가계부'!A679="","",IF(ISNUMBER('월 가계부'!A679),IF(AND('월 가계부'!A679&gt;=19000101,'월 가계부'!A679&lt;=21001231),IF(AND(MOD(INT('월 가계부'!A679/100),100)&gt;=1,MOD(INT('월 가계부'!A679/100),100)&lt;=12,MOD(INT('월 가계부'!A679),100)&gt;=1,MOD(INT('월 가계부'!A679),100)&lt;=31),IF(MONTH(DATE(INT('월 가계부'!A679/10000),MOD(INT('월 가계부'!A679/100),100),MOD(INT('월 가계부'!A679),100)))=MOD(INT('월 가계부'!A679/100),100),DATE(INT('월 가계부'!A679/10000),MOD(INT('월 가계부'!A679/100),100),MOD(INT('월 가계부'!A679),100)),""),""),IF(AND('월 가계부'!A679&gt;=36526,'월 가계부'!A679&lt;73051),INT('월 가계부'!A679),"")),IF(OR(CM679="",CN679="",CO679=""),"",IF(AND(CM679&gt;=2000,CM679&lt;=2099,CN679&gt;=1,CN679&lt;=12,CO679&gt;=1,CO679&lt;=31),IF(MONTH(DATE(CM679,CN679,CO679))=CN679,DATE(CM679,CN679,CO679),""),"")))),"")</f>
        <v/>
      </c>
      <c r="CJ679">
        <f>IFERROR(IF('월 가계부'!C679="","",IF(ISNUMBER('월 가계부'!C679),'월 가계부'!C679,VALUE(SUBSTITUTE(SUBSTITUTE(SUBSTITUTE(SUBSTITUTE(TRIM('월 가계부'!C679),",",""),"원","")," ",""),"−","-")))),"")</f>
        <v/>
      </c>
      <c r="CK679">
        <f>IF(ISNUMBER(CI679),IF(CI679&lt;$B$13,CI679,""),"")</f>
        <v/>
      </c>
      <c r="CM679">
        <f>IF(CH679="","",IFERROR(IF(IF(AND(LEN(CH679)=9,ISERROR(FIND("-",LEFT(CH679,8))),ISNUMBER(-LEFT(CH679,8))),VALUE(LEFT(CH679,4)),VALUE(LEFT(CH679,FIND("-",CH679)-1)))&lt;100,IF(AND(LEN(CH679)=9,ISERROR(FIND("-",LEFT(CH679,8))),ISNUMBER(-LEFT(CH679,8))),VALUE(LEFT(CH679,4)),VALUE(LEFT(CH679,FIND("-",CH679)-1)))+2000,IF(AND(LEN(CH679)=9,ISERROR(FIND("-",LEFT(CH679,8))),ISNUMBER(-LEFT(CH679,8))),VALUE(LEFT(CH679,4)),VALUE(LEFT(CH679,FIND("-",CH679)-1)))),""))</f>
        <v/>
      </c>
      <c r="CN679">
        <f>IF(CH679="","",IFERROR(IF(AND(LEN(CH679)=9,ISERROR(FIND("-",LEFT(CH679,8))),ISNUMBER(-LEFT(CH679,8))),VALUE(MID(CH679,5,2)),VALUE(MID(CH679,FIND("-",CH679)+1,FIND("-",CH679,FIND("-",CH679)+1)-FIND("-",CH679)-1))),""))</f>
        <v/>
      </c>
      <c r="CO679">
        <f>IF(CH679="","",IFERROR(IF(AND(LEN(CH679)=9,ISERROR(FIND("-",LEFT(CH679,8))),ISNUMBER(-LEFT(CH679,8))),VALUE(MID(CH679,7,2)),VALUE(MID(CH679,FIND("-",CH679,FIND("-",CH679)+1)+1,FIND("-",CH679,FIND("-",CH679,FIND("-",CH679)+1)+1)-FIND("-",CH679,FIND("-",CH679)+1)-1))),""))</f>
        <v/>
      </c>
    </row>
    <row r="680">
      <c r="CH680">
        <f>IF(ISTEXT('월 가계부'!A680),SUBSTITUTE(SUBSTITUTE(SUBSTITUTE(SUBSTITUTE(SUBSTITUTE(SUBSTITUTE(SUBSTITUTE(SUBSTITUTE(SUBSTITUTE(TRIM('월 가계부'!A680),"년","-"),"월","-"),"일",""),".","-"),"/","-")," ","-"),"--","-"),"--","-"),"--","-")&amp;"-","")</f>
        <v/>
      </c>
      <c r="CI680">
        <f>IFERROR(IF('월 가계부'!A680="","",IF(ISNUMBER('월 가계부'!A680),IF(AND('월 가계부'!A680&gt;=19000101,'월 가계부'!A680&lt;=21001231),IF(AND(MOD(INT('월 가계부'!A680/100),100)&gt;=1,MOD(INT('월 가계부'!A680/100),100)&lt;=12,MOD(INT('월 가계부'!A680),100)&gt;=1,MOD(INT('월 가계부'!A680),100)&lt;=31),IF(MONTH(DATE(INT('월 가계부'!A680/10000),MOD(INT('월 가계부'!A680/100),100),MOD(INT('월 가계부'!A680),100)))=MOD(INT('월 가계부'!A680/100),100),DATE(INT('월 가계부'!A680/10000),MOD(INT('월 가계부'!A680/100),100),MOD(INT('월 가계부'!A680),100)),""),""),IF(AND('월 가계부'!A680&gt;=36526,'월 가계부'!A680&lt;73051),INT('월 가계부'!A680),"")),IF(OR(CM680="",CN680="",CO680=""),"",IF(AND(CM680&gt;=2000,CM680&lt;=2099,CN680&gt;=1,CN680&lt;=12,CO680&gt;=1,CO680&lt;=31),IF(MONTH(DATE(CM680,CN680,CO680))=CN680,DATE(CM680,CN680,CO680),""),"")))),"")</f>
        <v/>
      </c>
      <c r="CJ680">
        <f>IFERROR(IF('월 가계부'!C680="","",IF(ISNUMBER('월 가계부'!C680),'월 가계부'!C680,VALUE(SUBSTITUTE(SUBSTITUTE(SUBSTITUTE(SUBSTITUTE(TRIM('월 가계부'!C680),",",""),"원","")," ",""),"−","-")))),"")</f>
        <v/>
      </c>
      <c r="CK680">
        <f>IF(ISNUMBER(CI680),IF(CI680&lt;$B$13,CI680,""),"")</f>
        <v/>
      </c>
      <c r="CM680">
        <f>IF(CH680="","",IFERROR(IF(IF(AND(LEN(CH680)=9,ISERROR(FIND("-",LEFT(CH680,8))),ISNUMBER(-LEFT(CH680,8))),VALUE(LEFT(CH680,4)),VALUE(LEFT(CH680,FIND("-",CH680)-1)))&lt;100,IF(AND(LEN(CH680)=9,ISERROR(FIND("-",LEFT(CH680,8))),ISNUMBER(-LEFT(CH680,8))),VALUE(LEFT(CH680,4)),VALUE(LEFT(CH680,FIND("-",CH680)-1)))+2000,IF(AND(LEN(CH680)=9,ISERROR(FIND("-",LEFT(CH680,8))),ISNUMBER(-LEFT(CH680,8))),VALUE(LEFT(CH680,4)),VALUE(LEFT(CH680,FIND("-",CH680)-1)))),""))</f>
        <v/>
      </c>
      <c r="CN680">
        <f>IF(CH680="","",IFERROR(IF(AND(LEN(CH680)=9,ISERROR(FIND("-",LEFT(CH680,8))),ISNUMBER(-LEFT(CH680,8))),VALUE(MID(CH680,5,2)),VALUE(MID(CH680,FIND("-",CH680)+1,FIND("-",CH680,FIND("-",CH680)+1)-FIND("-",CH680)-1))),""))</f>
        <v/>
      </c>
      <c r="CO680">
        <f>IF(CH680="","",IFERROR(IF(AND(LEN(CH680)=9,ISERROR(FIND("-",LEFT(CH680,8))),ISNUMBER(-LEFT(CH680,8))),VALUE(MID(CH680,7,2)),VALUE(MID(CH680,FIND("-",CH680,FIND("-",CH680)+1)+1,FIND("-",CH680,FIND("-",CH680,FIND("-",CH680)+1)+1)-FIND("-",CH680,FIND("-",CH680)+1)-1))),""))</f>
        <v/>
      </c>
    </row>
    <row r="681">
      <c r="CH681">
        <f>IF(ISTEXT('월 가계부'!A681),SUBSTITUTE(SUBSTITUTE(SUBSTITUTE(SUBSTITUTE(SUBSTITUTE(SUBSTITUTE(SUBSTITUTE(SUBSTITUTE(SUBSTITUTE(TRIM('월 가계부'!A681),"년","-"),"월","-"),"일",""),".","-"),"/","-")," ","-"),"--","-"),"--","-"),"--","-")&amp;"-","")</f>
        <v/>
      </c>
      <c r="CI681">
        <f>IFERROR(IF('월 가계부'!A681="","",IF(ISNUMBER('월 가계부'!A681),IF(AND('월 가계부'!A681&gt;=19000101,'월 가계부'!A681&lt;=21001231),IF(AND(MOD(INT('월 가계부'!A681/100),100)&gt;=1,MOD(INT('월 가계부'!A681/100),100)&lt;=12,MOD(INT('월 가계부'!A681),100)&gt;=1,MOD(INT('월 가계부'!A681),100)&lt;=31),IF(MONTH(DATE(INT('월 가계부'!A681/10000),MOD(INT('월 가계부'!A681/100),100),MOD(INT('월 가계부'!A681),100)))=MOD(INT('월 가계부'!A681/100),100),DATE(INT('월 가계부'!A681/10000),MOD(INT('월 가계부'!A681/100),100),MOD(INT('월 가계부'!A681),100)),""),""),IF(AND('월 가계부'!A681&gt;=36526,'월 가계부'!A681&lt;73051),INT('월 가계부'!A681),"")),IF(OR(CM681="",CN681="",CO681=""),"",IF(AND(CM681&gt;=2000,CM681&lt;=2099,CN681&gt;=1,CN681&lt;=12,CO681&gt;=1,CO681&lt;=31),IF(MONTH(DATE(CM681,CN681,CO681))=CN681,DATE(CM681,CN681,CO681),""),"")))),"")</f>
        <v/>
      </c>
      <c r="CJ681">
        <f>IFERROR(IF('월 가계부'!C681="","",IF(ISNUMBER('월 가계부'!C681),'월 가계부'!C681,VALUE(SUBSTITUTE(SUBSTITUTE(SUBSTITUTE(SUBSTITUTE(TRIM('월 가계부'!C681),",",""),"원","")," ",""),"−","-")))),"")</f>
        <v/>
      </c>
      <c r="CK681">
        <f>IF(ISNUMBER(CI681),IF(CI681&lt;$B$13,CI681,""),"")</f>
        <v/>
      </c>
      <c r="CM681">
        <f>IF(CH681="","",IFERROR(IF(IF(AND(LEN(CH681)=9,ISERROR(FIND("-",LEFT(CH681,8))),ISNUMBER(-LEFT(CH681,8))),VALUE(LEFT(CH681,4)),VALUE(LEFT(CH681,FIND("-",CH681)-1)))&lt;100,IF(AND(LEN(CH681)=9,ISERROR(FIND("-",LEFT(CH681,8))),ISNUMBER(-LEFT(CH681,8))),VALUE(LEFT(CH681,4)),VALUE(LEFT(CH681,FIND("-",CH681)-1)))+2000,IF(AND(LEN(CH681)=9,ISERROR(FIND("-",LEFT(CH681,8))),ISNUMBER(-LEFT(CH681,8))),VALUE(LEFT(CH681,4)),VALUE(LEFT(CH681,FIND("-",CH681)-1)))),""))</f>
        <v/>
      </c>
      <c r="CN681">
        <f>IF(CH681="","",IFERROR(IF(AND(LEN(CH681)=9,ISERROR(FIND("-",LEFT(CH681,8))),ISNUMBER(-LEFT(CH681,8))),VALUE(MID(CH681,5,2)),VALUE(MID(CH681,FIND("-",CH681)+1,FIND("-",CH681,FIND("-",CH681)+1)-FIND("-",CH681)-1))),""))</f>
        <v/>
      </c>
      <c r="CO681">
        <f>IF(CH681="","",IFERROR(IF(AND(LEN(CH681)=9,ISERROR(FIND("-",LEFT(CH681,8))),ISNUMBER(-LEFT(CH681,8))),VALUE(MID(CH681,7,2)),VALUE(MID(CH681,FIND("-",CH681,FIND("-",CH681)+1)+1,FIND("-",CH681,FIND("-",CH681,FIND("-",CH681)+1)+1)-FIND("-",CH681,FIND("-",CH681)+1)-1))),""))</f>
        <v/>
      </c>
    </row>
    <row r="682">
      <c r="CH682">
        <f>IF(ISTEXT('월 가계부'!A682),SUBSTITUTE(SUBSTITUTE(SUBSTITUTE(SUBSTITUTE(SUBSTITUTE(SUBSTITUTE(SUBSTITUTE(SUBSTITUTE(SUBSTITUTE(TRIM('월 가계부'!A682),"년","-"),"월","-"),"일",""),".","-"),"/","-")," ","-"),"--","-"),"--","-"),"--","-")&amp;"-","")</f>
        <v/>
      </c>
      <c r="CI682">
        <f>IFERROR(IF('월 가계부'!A682="","",IF(ISNUMBER('월 가계부'!A682),IF(AND('월 가계부'!A682&gt;=19000101,'월 가계부'!A682&lt;=21001231),IF(AND(MOD(INT('월 가계부'!A682/100),100)&gt;=1,MOD(INT('월 가계부'!A682/100),100)&lt;=12,MOD(INT('월 가계부'!A682),100)&gt;=1,MOD(INT('월 가계부'!A682),100)&lt;=31),IF(MONTH(DATE(INT('월 가계부'!A682/10000),MOD(INT('월 가계부'!A682/100),100),MOD(INT('월 가계부'!A682),100)))=MOD(INT('월 가계부'!A682/100),100),DATE(INT('월 가계부'!A682/10000),MOD(INT('월 가계부'!A682/100),100),MOD(INT('월 가계부'!A682),100)),""),""),IF(AND('월 가계부'!A682&gt;=36526,'월 가계부'!A682&lt;73051),INT('월 가계부'!A682),"")),IF(OR(CM682="",CN682="",CO682=""),"",IF(AND(CM682&gt;=2000,CM682&lt;=2099,CN682&gt;=1,CN682&lt;=12,CO682&gt;=1,CO682&lt;=31),IF(MONTH(DATE(CM682,CN682,CO682))=CN682,DATE(CM682,CN682,CO682),""),"")))),"")</f>
        <v/>
      </c>
      <c r="CJ682">
        <f>IFERROR(IF('월 가계부'!C682="","",IF(ISNUMBER('월 가계부'!C682),'월 가계부'!C682,VALUE(SUBSTITUTE(SUBSTITUTE(SUBSTITUTE(SUBSTITUTE(TRIM('월 가계부'!C682),",",""),"원","")," ",""),"−","-")))),"")</f>
        <v/>
      </c>
      <c r="CK682">
        <f>IF(ISNUMBER(CI682),IF(CI682&lt;$B$13,CI682,""),"")</f>
        <v/>
      </c>
      <c r="CM682">
        <f>IF(CH682="","",IFERROR(IF(IF(AND(LEN(CH682)=9,ISERROR(FIND("-",LEFT(CH682,8))),ISNUMBER(-LEFT(CH682,8))),VALUE(LEFT(CH682,4)),VALUE(LEFT(CH682,FIND("-",CH682)-1)))&lt;100,IF(AND(LEN(CH682)=9,ISERROR(FIND("-",LEFT(CH682,8))),ISNUMBER(-LEFT(CH682,8))),VALUE(LEFT(CH682,4)),VALUE(LEFT(CH682,FIND("-",CH682)-1)))+2000,IF(AND(LEN(CH682)=9,ISERROR(FIND("-",LEFT(CH682,8))),ISNUMBER(-LEFT(CH682,8))),VALUE(LEFT(CH682,4)),VALUE(LEFT(CH682,FIND("-",CH682)-1)))),""))</f>
        <v/>
      </c>
      <c r="CN682">
        <f>IF(CH682="","",IFERROR(IF(AND(LEN(CH682)=9,ISERROR(FIND("-",LEFT(CH682,8))),ISNUMBER(-LEFT(CH682,8))),VALUE(MID(CH682,5,2)),VALUE(MID(CH682,FIND("-",CH682)+1,FIND("-",CH682,FIND("-",CH682)+1)-FIND("-",CH682)-1))),""))</f>
        <v/>
      </c>
      <c r="CO682">
        <f>IF(CH682="","",IFERROR(IF(AND(LEN(CH682)=9,ISERROR(FIND("-",LEFT(CH682,8))),ISNUMBER(-LEFT(CH682,8))),VALUE(MID(CH682,7,2)),VALUE(MID(CH682,FIND("-",CH682,FIND("-",CH682)+1)+1,FIND("-",CH682,FIND("-",CH682,FIND("-",CH682)+1)+1)-FIND("-",CH682,FIND("-",CH682)+1)-1))),""))</f>
        <v/>
      </c>
    </row>
    <row r="683">
      <c r="CH683">
        <f>IF(ISTEXT('월 가계부'!A683),SUBSTITUTE(SUBSTITUTE(SUBSTITUTE(SUBSTITUTE(SUBSTITUTE(SUBSTITUTE(SUBSTITUTE(SUBSTITUTE(SUBSTITUTE(TRIM('월 가계부'!A683),"년","-"),"월","-"),"일",""),".","-"),"/","-")," ","-"),"--","-"),"--","-"),"--","-")&amp;"-","")</f>
        <v/>
      </c>
      <c r="CI683">
        <f>IFERROR(IF('월 가계부'!A683="","",IF(ISNUMBER('월 가계부'!A683),IF(AND('월 가계부'!A683&gt;=19000101,'월 가계부'!A683&lt;=21001231),IF(AND(MOD(INT('월 가계부'!A683/100),100)&gt;=1,MOD(INT('월 가계부'!A683/100),100)&lt;=12,MOD(INT('월 가계부'!A683),100)&gt;=1,MOD(INT('월 가계부'!A683),100)&lt;=31),IF(MONTH(DATE(INT('월 가계부'!A683/10000),MOD(INT('월 가계부'!A683/100),100),MOD(INT('월 가계부'!A683),100)))=MOD(INT('월 가계부'!A683/100),100),DATE(INT('월 가계부'!A683/10000),MOD(INT('월 가계부'!A683/100),100),MOD(INT('월 가계부'!A683),100)),""),""),IF(AND('월 가계부'!A683&gt;=36526,'월 가계부'!A683&lt;73051),INT('월 가계부'!A683),"")),IF(OR(CM683="",CN683="",CO683=""),"",IF(AND(CM683&gt;=2000,CM683&lt;=2099,CN683&gt;=1,CN683&lt;=12,CO683&gt;=1,CO683&lt;=31),IF(MONTH(DATE(CM683,CN683,CO683))=CN683,DATE(CM683,CN683,CO683),""),"")))),"")</f>
        <v/>
      </c>
      <c r="CJ683">
        <f>IFERROR(IF('월 가계부'!C683="","",IF(ISNUMBER('월 가계부'!C683),'월 가계부'!C683,VALUE(SUBSTITUTE(SUBSTITUTE(SUBSTITUTE(SUBSTITUTE(TRIM('월 가계부'!C683),",",""),"원","")," ",""),"−","-")))),"")</f>
        <v/>
      </c>
      <c r="CK683">
        <f>IF(ISNUMBER(CI683),IF(CI683&lt;$B$13,CI683,""),"")</f>
        <v/>
      </c>
      <c r="CM683">
        <f>IF(CH683="","",IFERROR(IF(IF(AND(LEN(CH683)=9,ISERROR(FIND("-",LEFT(CH683,8))),ISNUMBER(-LEFT(CH683,8))),VALUE(LEFT(CH683,4)),VALUE(LEFT(CH683,FIND("-",CH683)-1)))&lt;100,IF(AND(LEN(CH683)=9,ISERROR(FIND("-",LEFT(CH683,8))),ISNUMBER(-LEFT(CH683,8))),VALUE(LEFT(CH683,4)),VALUE(LEFT(CH683,FIND("-",CH683)-1)))+2000,IF(AND(LEN(CH683)=9,ISERROR(FIND("-",LEFT(CH683,8))),ISNUMBER(-LEFT(CH683,8))),VALUE(LEFT(CH683,4)),VALUE(LEFT(CH683,FIND("-",CH683)-1)))),""))</f>
        <v/>
      </c>
      <c r="CN683">
        <f>IF(CH683="","",IFERROR(IF(AND(LEN(CH683)=9,ISERROR(FIND("-",LEFT(CH683,8))),ISNUMBER(-LEFT(CH683,8))),VALUE(MID(CH683,5,2)),VALUE(MID(CH683,FIND("-",CH683)+1,FIND("-",CH683,FIND("-",CH683)+1)-FIND("-",CH683)-1))),""))</f>
        <v/>
      </c>
      <c r="CO683">
        <f>IF(CH683="","",IFERROR(IF(AND(LEN(CH683)=9,ISERROR(FIND("-",LEFT(CH683,8))),ISNUMBER(-LEFT(CH683,8))),VALUE(MID(CH683,7,2)),VALUE(MID(CH683,FIND("-",CH683,FIND("-",CH683)+1)+1,FIND("-",CH683,FIND("-",CH683,FIND("-",CH683)+1)+1)-FIND("-",CH683,FIND("-",CH683)+1)-1))),""))</f>
        <v/>
      </c>
    </row>
    <row r="684">
      <c r="CH684">
        <f>IF(ISTEXT('월 가계부'!A684),SUBSTITUTE(SUBSTITUTE(SUBSTITUTE(SUBSTITUTE(SUBSTITUTE(SUBSTITUTE(SUBSTITUTE(SUBSTITUTE(SUBSTITUTE(TRIM('월 가계부'!A684),"년","-"),"월","-"),"일",""),".","-"),"/","-")," ","-"),"--","-"),"--","-"),"--","-")&amp;"-","")</f>
        <v/>
      </c>
      <c r="CI684">
        <f>IFERROR(IF('월 가계부'!A684="","",IF(ISNUMBER('월 가계부'!A684),IF(AND('월 가계부'!A684&gt;=19000101,'월 가계부'!A684&lt;=21001231),IF(AND(MOD(INT('월 가계부'!A684/100),100)&gt;=1,MOD(INT('월 가계부'!A684/100),100)&lt;=12,MOD(INT('월 가계부'!A684),100)&gt;=1,MOD(INT('월 가계부'!A684),100)&lt;=31),IF(MONTH(DATE(INT('월 가계부'!A684/10000),MOD(INT('월 가계부'!A684/100),100),MOD(INT('월 가계부'!A684),100)))=MOD(INT('월 가계부'!A684/100),100),DATE(INT('월 가계부'!A684/10000),MOD(INT('월 가계부'!A684/100),100),MOD(INT('월 가계부'!A684),100)),""),""),IF(AND('월 가계부'!A684&gt;=36526,'월 가계부'!A684&lt;73051),INT('월 가계부'!A684),"")),IF(OR(CM684="",CN684="",CO684=""),"",IF(AND(CM684&gt;=2000,CM684&lt;=2099,CN684&gt;=1,CN684&lt;=12,CO684&gt;=1,CO684&lt;=31),IF(MONTH(DATE(CM684,CN684,CO684))=CN684,DATE(CM684,CN684,CO684),""),"")))),"")</f>
        <v/>
      </c>
      <c r="CJ684">
        <f>IFERROR(IF('월 가계부'!C684="","",IF(ISNUMBER('월 가계부'!C684),'월 가계부'!C684,VALUE(SUBSTITUTE(SUBSTITUTE(SUBSTITUTE(SUBSTITUTE(TRIM('월 가계부'!C684),",",""),"원","")," ",""),"−","-")))),"")</f>
        <v/>
      </c>
      <c r="CK684">
        <f>IF(ISNUMBER(CI684),IF(CI684&lt;$B$13,CI684,""),"")</f>
        <v/>
      </c>
      <c r="CM684">
        <f>IF(CH684="","",IFERROR(IF(IF(AND(LEN(CH684)=9,ISERROR(FIND("-",LEFT(CH684,8))),ISNUMBER(-LEFT(CH684,8))),VALUE(LEFT(CH684,4)),VALUE(LEFT(CH684,FIND("-",CH684)-1)))&lt;100,IF(AND(LEN(CH684)=9,ISERROR(FIND("-",LEFT(CH684,8))),ISNUMBER(-LEFT(CH684,8))),VALUE(LEFT(CH684,4)),VALUE(LEFT(CH684,FIND("-",CH684)-1)))+2000,IF(AND(LEN(CH684)=9,ISERROR(FIND("-",LEFT(CH684,8))),ISNUMBER(-LEFT(CH684,8))),VALUE(LEFT(CH684,4)),VALUE(LEFT(CH684,FIND("-",CH684)-1)))),""))</f>
        <v/>
      </c>
      <c r="CN684">
        <f>IF(CH684="","",IFERROR(IF(AND(LEN(CH684)=9,ISERROR(FIND("-",LEFT(CH684,8))),ISNUMBER(-LEFT(CH684,8))),VALUE(MID(CH684,5,2)),VALUE(MID(CH684,FIND("-",CH684)+1,FIND("-",CH684,FIND("-",CH684)+1)-FIND("-",CH684)-1))),""))</f>
        <v/>
      </c>
      <c r="CO684">
        <f>IF(CH684="","",IFERROR(IF(AND(LEN(CH684)=9,ISERROR(FIND("-",LEFT(CH684,8))),ISNUMBER(-LEFT(CH684,8))),VALUE(MID(CH684,7,2)),VALUE(MID(CH684,FIND("-",CH684,FIND("-",CH684)+1)+1,FIND("-",CH684,FIND("-",CH684,FIND("-",CH684)+1)+1)-FIND("-",CH684,FIND("-",CH684)+1)-1))),""))</f>
        <v/>
      </c>
    </row>
    <row r="685">
      <c r="CH685">
        <f>IF(ISTEXT('월 가계부'!A685),SUBSTITUTE(SUBSTITUTE(SUBSTITUTE(SUBSTITUTE(SUBSTITUTE(SUBSTITUTE(SUBSTITUTE(SUBSTITUTE(SUBSTITUTE(TRIM('월 가계부'!A685),"년","-"),"월","-"),"일",""),".","-"),"/","-")," ","-"),"--","-"),"--","-"),"--","-")&amp;"-","")</f>
        <v/>
      </c>
      <c r="CI685">
        <f>IFERROR(IF('월 가계부'!A685="","",IF(ISNUMBER('월 가계부'!A685),IF(AND('월 가계부'!A685&gt;=19000101,'월 가계부'!A685&lt;=21001231),IF(AND(MOD(INT('월 가계부'!A685/100),100)&gt;=1,MOD(INT('월 가계부'!A685/100),100)&lt;=12,MOD(INT('월 가계부'!A685),100)&gt;=1,MOD(INT('월 가계부'!A685),100)&lt;=31),IF(MONTH(DATE(INT('월 가계부'!A685/10000),MOD(INT('월 가계부'!A685/100),100),MOD(INT('월 가계부'!A685),100)))=MOD(INT('월 가계부'!A685/100),100),DATE(INT('월 가계부'!A685/10000),MOD(INT('월 가계부'!A685/100),100),MOD(INT('월 가계부'!A685),100)),""),""),IF(AND('월 가계부'!A685&gt;=36526,'월 가계부'!A685&lt;73051),INT('월 가계부'!A685),"")),IF(OR(CM685="",CN685="",CO685=""),"",IF(AND(CM685&gt;=2000,CM685&lt;=2099,CN685&gt;=1,CN685&lt;=12,CO685&gt;=1,CO685&lt;=31),IF(MONTH(DATE(CM685,CN685,CO685))=CN685,DATE(CM685,CN685,CO685),""),"")))),"")</f>
        <v/>
      </c>
      <c r="CJ685">
        <f>IFERROR(IF('월 가계부'!C685="","",IF(ISNUMBER('월 가계부'!C685),'월 가계부'!C685,VALUE(SUBSTITUTE(SUBSTITUTE(SUBSTITUTE(SUBSTITUTE(TRIM('월 가계부'!C685),",",""),"원","")," ",""),"−","-")))),"")</f>
        <v/>
      </c>
      <c r="CK685">
        <f>IF(ISNUMBER(CI685),IF(CI685&lt;$B$13,CI685,""),"")</f>
        <v/>
      </c>
      <c r="CM685">
        <f>IF(CH685="","",IFERROR(IF(IF(AND(LEN(CH685)=9,ISERROR(FIND("-",LEFT(CH685,8))),ISNUMBER(-LEFT(CH685,8))),VALUE(LEFT(CH685,4)),VALUE(LEFT(CH685,FIND("-",CH685)-1)))&lt;100,IF(AND(LEN(CH685)=9,ISERROR(FIND("-",LEFT(CH685,8))),ISNUMBER(-LEFT(CH685,8))),VALUE(LEFT(CH685,4)),VALUE(LEFT(CH685,FIND("-",CH685)-1)))+2000,IF(AND(LEN(CH685)=9,ISERROR(FIND("-",LEFT(CH685,8))),ISNUMBER(-LEFT(CH685,8))),VALUE(LEFT(CH685,4)),VALUE(LEFT(CH685,FIND("-",CH685)-1)))),""))</f>
        <v/>
      </c>
      <c r="CN685">
        <f>IF(CH685="","",IFERROR(IF(AND(LEN(CH685)=9,ISERROR(FIND("-",LEFT(CH685,8))),ISNUMBER(-LEFT(CH685,8))),VALUE(MID(CH685,5,2)),VALUE(MID(CH685,FIND("-",CH685)+1,FIND("-",CH685,FIND("-",CH685)+1)-FIND("-",CH685)-1))),""))</f>
        <v/>
      </c>
      <c r="CO685">
        <f>IF(CH685="","",IFERROR(IF(AND(LEN(CH685)=9,ISERROR(FIND("-",LEFT(CH685,8))),ISNUMBER(-LEFT(CH685,8))),VALUE(MID(CH685,7,2)),VALUE(MID(CH685,FIND("-",CH685,FIND("-",CH685)+1)+1,FIND("-",CH685,FIND("-",CH685,FIND("-",CH685)+1)+1)-FIND("-",CH685,FIND("-",CH685)+1)-1))),""))</f>
        <v/>
      </c>
    </row>
    <row r="686">
      <c r="CH686">
        <f>IF(ISTEXT('월 가계부'!A686),SUBSTITUTE(SUBSTITUTE(SUBSTITUTE(SUBSTITUTE(SUBSTITUTE(SUBSTITUTE(SUBSTITUTE(SUBSTITUTE(SUBSTITUTE(TRIM('월 가계부'!A686),"년","-"),"월","-"),"일",""),".","-"),"/","-")," ","-"),"--","-"),"--","-"),"--","-")&amp;"-","")</f>
        <v/>
      </c>
      <c r="CI686">
        <f>IFERROR(IF('월 가계부'!A686="","",IF(ISNUMBER('월 가계부'!A686),IF(AND('월 가계부'!A686&gt;=19000101,'월 가계부'!A686&lt;=21001231),IF(AND(MOD(INT('월 가계부'!A686/100),100)&gt;=1,MOD(INT('월 가계부'!A686/100),100)&lt;=12,MOD(INT('월 가계부'!A686),100)&gt;=1,MOD(INT('월 가계부'!A686),100)&lt;=31),IF(MONTH(DATE(INT('월 가계부'!A686/10000),MOD(INT('월 가계부'!A686/100),100),MOD(INT('월 가계부'!A686),100)))=MOD(INT('월 가계부'!A686/100),100),DATE(INT('월 가계부'!A686/10000),MOD(INT('월 가계부'!A686/100),100),MOD(INT('월 가계부'!A686),100)),""),""),IF(AND('월 가계부'!A686&gt;=36526,'월 가계부'!A686&lt;73051),INT('월 가계부'!A686),"")),IF(OR(CM686="",CN686="",CO686=""),"",IF(AND(CM686&gt;=2000,CM686&lt;=2099,CN686&gt;=1,CN686&lt;=12,CO686&gt;=1,CO686&lt;=31),IF(MONTH(DATE(CM686,CN686,CO686))=CN686,DATE(CM686,CN686,CO686),""),"")))),"")</f>
        <v/>
      </c>
      <c r="CJ686">
        <f>IFERROR(IF('월 가계부'!C686="","",IF(ISNUMBER('월 가계부'!C686),'월 가계부'!C686,VALUE(SUBSTITUTE(SUBSTITUTE(SUBSTITUTE(SUBSTITUTE(TRIM('월 가계부'!C686),",",""),"원","")," ",""),"−","-")))),"")</f>
        <v/>
      </c>
      <c r="CK686">
        <f>IF(ISNUMBER(CI686),IF(CI686&lt;$B$13,CI686,""),"")</f>
        <v/>
      </c>
      <c r="CM686">
        <f>IF(CH686="","",IFERROR(IF(IF(AND(LEN(CH686)=9,ISERROR(FIND("-",LEFT(CH686,8))),ISNUMBER(-LEFT(CH686,8))),VALUE(LEFT(CH686,4)),VALUE(LEFT(CH686,FIND("-",CH686)-1)))&lt;100,IF(AND(LEN(CH686)=9,ISERROR(FIND("-",LEFT(CH686,8))),ISNUMBER(-LEFT(CH686,8))),VALUE(LEFT(CH686,4)),VALUE(LEFT(CH686,FIND("-",CH686)-1)))+2000,IF(AND(LEN(CH686)=9,ISERROR(FIND("-",LEFT(CH686,8))),ISNUMBER(-LEFT(CH686,8))),VALUE(LEFT(CH686,4)),VALUE(LEFT(CH686,FIND("-",CH686)-1)))),""))</f>
        <v/>
      </c>
      <c r="CN686">
        <f>IF(CH686="","",IFERROR(IF(AND(LEN(CH686)=9,ISERROR(FIND("-",LEFT(CH686,8))),ISNUMBER(-LEFT(CH686,8))),VALUE(MID(CH686,5,2)),VALUE(MID(CH686,FIND("-",CH686)+1,FIND("-",CH686,FIND("-",CH686)+1)-FIND("-",CH686)-1))),""))</f>
        <v/>
      </c>
      <c r="CO686">
        <f>IF(CH686="","",IFERROR(IF(AND(LEN(CH686)=9,ISERROR(FIND("-",LEFT(CH686,8))),ISNUMBER(-LEFT(CH686,8))),VALUE(MID(CH686,7,2)),VALUE(MID(CH686,FIND("-",CH686,FIND("-",CH686)+1)+1,FIND("-",CH686,FIND("-",CH686,FIND("-",CH686)+1)+1)-FIND("-",CH686,FIND("-",CH686)+1)-1))),""))</f>
        <v/>
      </c>
    </row>
    <row r="687">
      <c r="CH687">
        <f>IF(ISTEXT('월 가계부'!A687),SUBSTITUTE(SUBSTITUTE(SUBSTITUTE(SUBSTITUTE(SUBSTITUTE(SUBSTITUTE(SUBSTITUTE(SUBSTITUTE(SUBSTITUTE(TRIM('월 가계부'!A687),"년","-"),"월","-"),"일",""),".","-"),"/","-")," ","-"),"--","-"),"--","-"),"--","-")&amp;"-","")</f>
        <v/>
      </c>
      <c r="CI687">
        <f>IFERROR(IF('월 가계부'!A687="","",IF(ISNUMBER('월 가계부'!A687),IF(AND('월 가계부'!A687&gt;=19000101,'월 가계부'!A687&lt;=21001231),IF(AND(MOD(INT('월 가계부'!A687/100),100)&gt;=1,MOD(INT('월 가계부'!A687/100),100)&lt;=12,MOD(INT('월 가계부'!A687),100)&gt;=1,MOD(INT('월 가계부'!A687),100)&lt;=31),IF(MONTH(DATE(INT('월 가계부'!A687/10000),MOD(INT('월 가계부'!A687/100),100),MOD(INT('월 가계부'!A687),100)))=MOD(INT('월 가계부'!A687/100),100),DATE(INT('월 가계부'!A687/10000),MOD(INT('월 가계부'!A687/100),100),MOD(INT('월 가계부'!A687),100)),""),""),IF(AND('월 가계부'!A687&gt;=36526,'월 가계부'!A687&lt;73051),INT('월 가계부'!A687),"")),IF(OR(CM687="",CN687="",CO687=""),"",IF(AND(CM687&gt;=2000,CM687&lt;=2099,CN687&gt;=1,CN687&lt;=12,CO687&gt;=1,CO687&lt;=31),IF(MONTH(DATE(CM687,CN687,CO687))=CN687,DATE(CM687,CN687,CO687),""),"")))),"")</f>
        <v/>
      </c>
      <c r="CJ687">
        <f>IFERROR(IF('월 가계부'!C687="","",IF(ISNUMBER('월 가계부'!C687),'월 가계부'!C687,VALUE(SUBSTITUTE(SUBSTITUTE(SUBSTITUTE(SUBSTITUTE(TRIM('월 가계부'!C687),",",""),"원","")," ",""),"−","-")))),"")</f>
        <v/>
      </c>
      <c r="CK687">
        <f>IF(ISNUMBER(CI687),IF(CI687&lt;$B$13,CI687,""),"")</f>
        <v/>
      </c>
      <c r="CM687">
        <f>IF(CH687="","",IFERROR(IF(IF(AND(LEN(CH687)=9,ISERROR(FIND("-",LEFT(CH687,8))),ISNUMBER(-LEFT(CH687,8))),VALUE(LEFT(CH687,4)),VALUE(LEFT(CH687,FIND("-",CH687)-1)))&lt;100,IF(AND(LEN(CH687)=9,ISERROR(FIND("-",LEFT(CH687,8))),ISNUMBER(-LEFT(CH687,8))),VALUE(LEFT(CH687,4)),VALUE(LEFT(CH687,FIND("-",CH687)-1)))+2000,IF(AND(LEN(CH687)=9,ISERROR(FIND("-",LEFT(CH687,8))),ISNUMBER(-LEFT(CH687,8))),VALUE(LEFT(CH687,4)),VALUE(LEFT(CH687,FIND("-",CH687)-1)))),""))</f>
        <v/>
      </c>
      <c r="CN687">
        <f>IF(CH687="","",IFERROR(IF(AND(LEN(CH687)=9,ISERROR(FIND("-",LEFT(CH687,8))),ISNUMBER(-LEFT(CH687,8))),VALUE(MID(CH687,5,2)),VALUE(MID(CH687,FIND("-",CH687)+1,FIND("-",CH687,FIND("-",CH687)+1)-FIND("-",CH687)-1))),""))</f>
        <v/>
      </c>
      <c r="CO687">
        <f>IF(CH687="","",IFERROR(IF(AND(LEN(CH687)=9,ISERROR(FIND("-",LEFT(CH687,8))),ISNUMBER(-LEFT(CH687,8))),VALUE(MID(CH687,7,2)),VALUE(MID(CH687,FIND("-",CH687,FIND("-",CH687)+1)+1,FIND("-",CH687,FIND("-",CH687,FIND("-",CH687)+1)+1)-FIND("-",CH687,FIND("-",CH687)+1)-1))),""))</f>
        <v/>
      </c>
    </row>
    <row r="688">
      <c r="CH688">
        <f>IF(ISTEXT('월 가계부'!A688),SUBSTITUTE(SUBSTITUTE(SUBSTITUTE(SUBSTITUTE(SUBSTITUTE(SUBSTITUTE(SUBSTITUTE(SUBSTITUTE(SUBSTITUTE(TRIM('월 가계부'!A688),"년","-"),"월","-"),"일",""),".","-"),"/","-")," ","-"),"--","-"),"--","-"),"--","-")&amp;"-","")</f>
        <v/>
      </c>
      <c r="CI688">
        <f>IFERROR(IF('월 가계부'!A688="","",IF(ISNUMBER('월 가계부'!A688),IF(AND('월 가계부'!A688&gt;=19000101,'월 가계부'!A688&lt;=21001231),IF(AND(MOD(INT('월 가계부'!A688/100),100)&gt;=1,MOD(INT('월 가계부'!A688/100),100)&lt;=12,MOD(INT('월 가계부'!A688),100)&gt;=1,MOD(INT('월 가계부'!A688),100)&lt;=31),IF(MONTH(DATE(INT('월 가계부'!A688/10000),MOD(INT('월 가계부'!A688/100),100),MOD(INT('월 가계부'!A688),100)))=MOD(INT('월 가계부'!A688/100),100),DATE(INT('월 가계부'!A688/10000),MOD(INT('월 가계부'!A688/100),100),MOD(INT('월 가계부'!A688),100)),""),""),IF(AND('월 가계부'!A688&gt;=36526,'월 가계부'!A688&lt;73051),INT('월 가계부'!A688),"")),IF(OR(CM688="",CN688="",CO688=""),"",IF(AND(CM688&gt;=2000,CM688&lt;=2099,CN688&gt;=1,CN688&lt;=12,CO688&gt;=1,CO688&lt;=31),IF(MONTH(DATE(CM688,CN688,CO688))=CN688,DATE(CM688,CN688,CO688),""),"")))),"")</f>
        <v/>
      </c>
      <c r="CJ688">
        <f>IFERROR(IF('월 가계부'!C688="","",IF(ISNUMBER('월 가계부'!C688),'월 가계부'!C688,VALUE(SUBSTITUTE(SUBSTITUTE(SUBSTITUTE(SUBSTITUTE(TRIM('월 가계부'!C688),",",""),"원","")," ",""),"−","-")))),"")</f>
        <v/>
      </c>
      <c r="CK688">
        <f>IF(ISNUMBER(CI688),IF(CI688&lt;$B$13,CI688,""),"")</f>
        <v/>
      </c>
      <c r="CM688">
        <f>IF(CH688="","",IFERROR(IF(IF(AND(LEN(CH688)=9,ISERROR(FIND("-",LEFT(CH688,8))),ISNUMBER(-LEFT(CH688,8))),VALUE(LEFT(CH688,4)),VALUE(LEFT(CH688,FIND("-",CH688)-1)))&lt;100,IF(AND(LEN(CH688)=9,ISERROR(FIND("-",LEFT(CH688,8))),ISNUMBER(-LEFT(CH688,8))),VALUE(LEFT(CH688,4)),VALUE(LEFT(CH688,FIND("-",CH688)-1)))+2000,IF(AND(LEN(CH688)=9,ISERROR(FIND("-",LEFT(CH688,8))),ISNUMBER(-LEFT(CH688,8))),VALUE(LEFT(CH688,4)),VALUE(LEFT(CH688,FIND("-",CH688)-1)))),""))</f>
        <v/>
      </c>
      <c r="CN688">
        <f>IF(CH688="","",IFERROR(IF(AND(LEN(CH688)=9,ISERROR(FIND("-",LEFT(CH688,8))),ISNUMBER(-LEFT(CH688,8))),VALUE(MID(CH688,5,2)),VALUE(MID(CH688,FIND("-",CH688)+1,FIND("-",CH688,FIND("-",CH688)+1)-FIND("-",CH688)-1))),""))</f>
        <v/>
      </c>
      <c r="CO688">
        <f>IF(CH688="","",IFERROR(IF(AND(LEN(CH688)=9,ISERROR(FIND("-",LEFT(CH688,8))),ISNUMBER(-LEFT(CH688,8))),VALUE(MID(CH688,7,2)),VALUE(MID(CH688,FIND("-",CH688,FIND("-",CH688)+1)+1,FIND("-",CH688,FIND("-",CH688,FIND("-",CH688)+1)+1)-FIND("-",CH688,FIND("-",CH688)+1)-1))),""))</f>
        <v/>
      </c>
    </row>
    <row r="689">
      <c r="CH689">
        <f>IF(ISTEXT('월 가계부'!A689),SUBSTITUTE(SUBSTITUTE(SUBSTITUTE(SUBSTITUTE(SUBSTITUTE(SUBSTITUTE(SUBSTITUTE(SUBSTITUTE(SUBSTITUTE(TRIM('월 가계부'!A689),"년","-"),"월","-"),"일",""),".","-"),"/","-")," ","-"),"--","-"),"--","-"),"--","-")&amp;"-","")</f>
        <v/>
      </c>
      <c r="CI689">
        <f>IFERROR(IF('월 가계부'!A689="","",IF(ISNUMBER('월 가계부'!A689),IF(AND('월 가계부'!A689&gt;=19000101,'월 가계부'!A689&lt;=21001231),IF(AND(MOD(INT('월 가계부'!A689/100),100)&gt;=1,MOD(INT('월 가계부'!A689/100),100)&lt;=12,MOD(INT('월 가계부'!A689),100)&gt;=1,MOD(INT('월 가계부'!A689),100)&lt;=31),IF(MONTH(DATE(INT('월 가계부'!A689/10000),MOD(INT('월 가계부'!A689/100),100),MOD(INT('월 가계부'!A689),100)))=MOD(INT('월 가계부'!A689/100),100),DATE(INT('월 가계부'!A689/10000),MOD(INT('월 가계부'!A689/100),100),MOD(INT('월 가계부'!A689),100)),""),""),IF(AND('월 가계부'!A689&gt;=36526,'월 가계부'!A689&lt;73051),INT('월 가계부'!A689),"")),IF(OR(CM689="",CN689="",CO689=""),"",IF(AND(CM689&gt;=2000,CM689&lt;=2099,CN689&gt;=1,CN689&lt;=12,CO689&gt;=1,CO689&lt;=31),IF(MONTH(DATE(CM689,CN689,CO689))=CN689,DATE(CM689,CN689,CO689),""),"")))),"")</f>
        <v/>
      </c>
      <c r="CJ689">
        <f>IFERROR(IF('월 가계부'!C689="","",IF(ISNUMBER('월 가계부'!C689),'월 가계부'!C689,VALUE(SUBSTITUTE(SUBSTITUTE(SUBSTITUTE(SUBSTITUTE(TRIM('월 가계부'!C689),",",""),"원","")," ",""),"−","-")))),"")</f>
        <v/>
      </c>
      <c r="CK689">
        <f>IF(ISNUMBER(CI689),IF(CI689&lt;$B$13,CI689,""),"")</f>
        <v/>
      </c>
      <c r="CM689">
        <f>IF(CH689="","",IFERROR(IF(IF(AND(LEN(CH689)=9,ISERROR(FIND("-",LEFT(CH689,8))),ISNUMBER(-LEFT(CH689,8))),VALUE(LEFT(CH689,4)),VALUE(LEFT(CH689,FIND("-",CH689)-1)))&lt;100,IF(AND(LEN(CH689)=9,ISERROR(FIND("-",LEFT(CH689,8))),ISNUMBER(-LEFT(CH689,8))),VALUE(LEFT(CH689,4)),VALUE(LEFT(CH689,FIND("-",CH689)-1)))+2000,IF(AND(LEN(CH689)=9,ISERROR(FIND("-",LEFT(CH689,8))),ISNUMBER(-LEFT(CH689,8))),VALUE(LEFT(CH689,4)),VALUE(LEFT(CH689,FIND("-",CH689)-1)))),""))</f>
        <v/>
      </c>
      <c r="CN689">
        <f>IF(CH689="","",IFERROR(IF(AND(LEN(CH689)=9,ISERROR(FIND("-",LEFT(CH689,8))),ISNUMBER(-LEFT(CH689,8))),VALUE(MID(CH689,5,2)),VALUE(MID(CH689,FIND("-",CH689)+1,FIND("-",CH689,FIND("-",CH689)+1)-FIND("-",CH689)-1))),""))</f>
        <v/>
      </c>
      <c r="CO689">
        <f>IF(CH689="","",IFERROR(IF(AND(LEN(CH689)=9,ISERROR(FIND("-",LEFT(CH689,8))),ISNUMBER(-LEFT(CH689,8))),VALUE(MID(CH689,7,2)),VALUE(MID(CH689,FIND("-",CH689,FIND("-",CH689)+1)+1,FIND("-",CH689,FIND("-",CH689,FIND("-",CH689)+1)+1)-FIND("-",CH689,FIND("-",CH689)+1)-1))),""))</f>
        <v/>
      </c>
    </row>
    <row r="690">
      <c r="CH690">
        <f>IF(ISTEXT('월 가계부'!A690),SUBSTITUTE(SUBSTITUTE(SUBSTITUTE(SUBSTITUTE(SUBSTITUTE(SUBSTITUTE(SUBSTITUTE(SUBSTITUTE(SUBSTITUTE(TRIM('월 가계부'!A690),"년","-"),"월","-"),"일",""),".","-"),"/","-")," ","-"),"--","-"),"--","-"),"--","-")&amp;"-","")</f>
        <v/>
      </c>
      <c r="CI690">
        <f>IFERROR(IF('월 가계부'!A690="","",IF(ISNUMBER('월 가계부'!A690),IF(AND('월 가계부'!A690&gt;=19000101,'월 가계부'!A690&lt;=21001231),IF(AND(MOD(INT('월 가계부'!A690/100),100)&gt;=1,MOD(INT('월 가계부'!A690/100),100)&lt;=12,MOD(INT('월 가계부'!A690),100)&gt;=1,MOD(INT('월 가계부'!A690),100)&lt;=31),IF(MONTH(DATE(INT('월 가계부'!A690/10000),MOD(INT('월 가계부'!A690/100),100),MOD(INT('월 가계부'!A690),100)))=MOD(INT('월 가계부'!A690/100),100),DATE(INT('월 가계부'!A690/10000),MOD(INT('월 가계부'!A690/100),100),MOD(INT('월 가계부'!A690),100)),""),""),IF(AND('월 가계부'!A690&gt;=36526,'월 가계부'!A690&lt;73051),INT('월 가계부'!A690),"")),IF(OR(CM690="",CN690="",CO690=""),"",IF(AND(CM690&gt;=2000,CM690&lt;=2099,CN690&gt;=1,CN690&lt;=12,CO690&gt;=1,CO690&lt;=31),IF(MONTH(DATE(CM690,CN690,CO690))=CN690,DATE(CM690,CN690,CO690),""),"")))),"")</f>
        <v/>
      </c>
      <c r="CJ690">
        <f>IFERROR(IF('월 가계부'!C690="","",IF(ISNUMBER('월 가계부'!C690),'월 가계부'!C690,VALUE(SUBSTITUTE(SUBSTITUTE(SUBSTITUTE(SUBSTITUTE(TRIM('월 가계부'!C690),",",""),"원","")," ",""),"−","-")))),"")</f>
        <v/>
      </c>
      <c r="CK690">
        <f>IF(ISNUMBER(CI690),IF(CI690&lt;$B$13,CI690,""),"")</f>
        <v/>
      </c>
      <c r="CM690">
        <f>IF(CH690="","",IFERROR(IF(IF(AND(LEN(CH690)=9,ISERROR(FIND("-",LEFT(CH690,8))),ISNUMBER(-LEFT(CH690,8))),VALUE(LEFT(CH690,4)),VALUE(LEFT(CH690,FIND("-",CH690)-1)))&lt;100,IF(AND(LEN(CH690)=9,ISERROR(FIND("-",LEFT(CH690,8))),ISNUMBER(-LEFT(CH690,8))),VALUE(LEFT(CH690,4)),VALUE(LEFT(CH690,FIND("-",CH690)-1)))+2000,IF(AND(LEN(CH690)=9,ISERROR(FIND("-",LEFT(CH690,8))),ISNUMBER(-LEFT(CH690,8))),VALUE(LEFT(CH690,4)),VALUE(LEFT(CH690,FIND("-",CH690)-1)))),""))</f>
        <v/>
      </c>
      <c r="CN690">
        <f>IF(CH690="","",IFERROR(IF(AND(LEN(CH690)=9,ISERROR(FIND("-",LEFT(CH690,8))),ISNUMBER(-LEFT(CH690,8))),VALUE(MID(CH690,5,2)),VALUE(MID(CH690,FIND("-",CH690)+1,FIND("-",CH690,FIND("-",CH690)+1)-FIND("-",CH690)-1))),""))</f>
        <v/>
      </c>
      <c r="CO690">
        <f>IF(CH690="","",IFERROR(IF(AND(LEN(CH690)=9,ISERROR(FIND("-",LEFT(CH690,8))),ISNUMBER(-LEFT(CH690,8))),VALUE(MID(CH690,7,2)),VALUE(MID(CH690,FIND("-",CH690,FIND("-",CH690)+1)+1,FIND("-",CH690,FIND("-",CH690,FIND("-",CH690)+1)+1)-FIND("-",CH690,FIND("-",CH690)+1)-1))),""))</f>
        <v/>
      </c>
    </row>
    <row r="691">
      <c r="CH691">
        <f>IF(ISTEXT('월 가계부'!A691),SUBSTITUTE(SUBSTITUTE(SUBSTITUTE(SUBSTITUTE(SUBSTITUTE(SUBSTITUTE(SUBSTITUTE(SUBSTITUTE(SUBSTITUTE(TRIM('월 가계부'!A691),"년","-"),"월","-"),"일",""),".","-"),"/","-")," ","-"),"--","-"),"--","-"),"--","-")&amp;"-","")</f>
        <v/>
      </c>
      <c r="CI691">
        <f>IFERROR(IF('월 가계부'!A691="","",IF(ISNUMBER('월 가계부'!A691),IF(AND('월 가계부'!A691&gt;=19000101,'월 가계부'!A691&lt;=21001231),IF(AND(MOD(INT('월 가계부'!A691/100),100)&gt;=1,MOD(INT('월 가계부'!A691/100),100)&lt;=12,MOD(INT('월 가계부'!A691),100)&gt;=1,MOD(INT('월 가계부'!A691),100)&lt;=31),IF(MONTH(DATE(INT('월 가계부'!A691/10000),MOD(INT('월 가계부'!A691/100),100),MOD(INT('월 가계부'!A691),100)))=MOD(INT('월 가계부'!A691/100),100),DATE(INT('월 가계부'!A691/10000),MOD(INT('월 가계부'!A691/100),100),MOD(INT('월 가계부'!A691),100)),""),""),IF(AND('월 가계부'!A691&gt;=36526,'월 가계부'!A691&lt;73051),INT('월 가계부'!A691),"")),IF(OR(CM691="",CN691="",CO691=""),"",IF(AND(CM691&gt;=2000,CM691&lt;=2099,CN691&gt;=1,CN691&lt;=12,CO691&gt;=1,CO691&lt;=31),IF(MONTH(DATE(CM691,CN691,CO691))=CN691,DATE(CM691,CN691,CO691),""),"")))),"")</f>
        <v/>
      </c>
      <c r="CJ691">
        <f>IFERROR(IF('월 가계부'!C691="","",IF(ISNUMBER('월 가계부'!C691),'월 가계부'!C691,VALUE(SUBSTITUTE(SUBSTITUTE(SUBSTITUTE(SUBSTITUTE(TRIM('월 가계부'!C691),",",""),"원","")," ",""),"−","-")))),"")</f>
        <v/>
      </c>
      <c r="CK691">
        <f>IF(ISNUMBER(CI691),IF(CI691&lt;$B$13,CI691,""),"")</f>
        <v/>
      </c>
      <c r="CM691">
        <f>IF(CH691="","",IFERROR(IF(IF(AND(LEN(CH691)=9,ISERROR(FIND("-",LEFT(CH691,8))),ISNUMBER(-LEFT(CH691,8))),VALUE(LEFT(CH691,4)),VALUE(LEFT(CH691,FIND("-",CH691)-1)))&lt;100,IF(AND(LEN(CH691)=9,ISERROR(FIND("-",LEFT(CH691,8))),ISNUMBER(-LEFT(CH691,8))),VALUE(LEFT(CH691,4)),VALUE(LEFT(CH691,FIND("-",CH691)-1)))+2000,IF(AND(LEN(CH691)=9,ISERROR(FIND("-",LEFT(CH691,8))),ISNUMBER(-LEFT(CH691,8))),VALUE(LEFT(CH691,4)),VALUE(LEFT(CH691,FIND("-",CH691)-1)))),""))</f>
        <v/>
      </c>
      <c r="CN691">
        <f>IF(CH691="","",IFERROR(IF(AND(LEN(CH691)=9,ISERROR(FIND("-",LEFT(CH691,8))),ISNUMBER(-LEFT(CH691,8))),VALUE(MID(CH691,5,2)),VALUE(MID(CH691,FIND("-",CH691)+1,FIND("-",CH691,FIND("-",CH691)+1)-FIND("-",CH691)-1))),""))</f>
        <v/>
      </c>
      <c r="CO691">
        <f>IF(CH691="","",IFERROR(IF(AND(LEN(CH691)=9,ISERROR(FIND("-",LEFT(CH691,8))),ISNUMBER(-LEFT(CH691,8))),VALUE(MID(CH691,7,2)),VALUE(MID(CH691,FIND("-",CH691,FIND("-",CH691)+1)+1,FIND("-",CH691,FIND("-",CH691,FIND("-",CH691)+1)+1)-FIND("-",CH691,FIND("-",CH691)+1)-1))),""))</f>
        <v/>
      </c>
    </row>
    <row r="692">
      <c r="CH692">
        <f>IF(ISTEXT('월 가계부'!A692),SUBSTITUTE(SUBSTITUTE(SUBSTITUTE(SUBSTITUTE(SUBSTITUTE(SUBSTITUTE(SUBSTITUTE(SUBSTITUTE(SUBSTITUTE(TRIM('월 가계부'!A692),"년","-"),"월","-"),"일",""),".","-"),"/","-")," ","-"),"--","-"),"--","-"),"--","-")&amp;"-","")</f>
        <v/>
      </c>
      <c r="CI692">
        <f>IFERROR(IF('월 가계부'!A692="","",IF(ISNUMBER('월 가계부'!A692),IF(AND('월 가계부'!A692&gt;=19000101,'월 가계부'!A692&lt;=21001231),IF(AND(MOD(INT('월 가계부'!A692/100),100)&gt;=1,MOD(INT('월 가계부'!A692/100),100)&lt;=12,MOD(INT('월 가계부'!A692),100)&gt;=1,MOD(INT('월 가계부'!A692),100)&lt;=31),IF(MONTH(DATE(INT('월 가계부'!A692/10000),MOD(INT('월 가계부'!A692/100),100),MOD(INT('월 가계부'!A692),100)))=MOD(INT('월 가계부'!A692/100),100),DATE(INT('월 가계부'!A692/10000),MOD(INT('월 가계부'!A692/100),100),MOD(INT('월 가계부'!A692),100)),""),""),IF(AND('월 가계부'!A692&gt;=36526,'월 가계부'!A692&lt;73051),INT('월 가계부'!A692),"")),IF(OR(CM692="",CN692="",CO692=""),"",IF(AND(CM692&gt;=2000,CM692&lt;=2099,CN692&gt;=1,CN692&lt;=12,CO692&gt;=1,CO692&lt;=31),IF(MONTH(DATE(CM692,CN692,CO692))=CN692,DATE(CM692,CN692,CO692),""),"")))),"")</f>
        <v/>
      </c>
      <c r="CJ692">
        <f>IFERROR(IF('월 가계부'!C692="","",IF(ISNUMBER('월 가계부'!C692),'월 가계부'!C692,VALUE(SUBSTITUTE(SUBSTITUTE(SUBSTITUTE(SUBSTITUTE(TRIM('월 가계부'!C692),",",""),"원","")," ",""),"−","-")))),"")</f>
        <v/>
      </c>
      <c r="CK692">
        <f>IF(ISNUMBER(CI692),IF(CI692&lt;$B$13,CI692,""),"")</f>
        <v/>
      </c>
      <c r="CM692">
        <f>IF(CH692="","",IFERROR(IF(IF(AND(LEN(CH692)=9,ISERROR(FIND("-",LEFT(CH692,8))),ISNUMBER(-LEFT(CH692,8))),VALUE(LEFT(CH692,4)),VALUE(LEFT(CH692,FIND("-",CH692)-1)))&lt;100,IF(AND(LEN(CH692)=9,ISERROR(FIND("-",LEFT(CH692,8))),ISNUMBER(-LEFT(CH692,8))),VALUE(LEFT(CH692,4)),VALUE(LEFT(CH692,FIND("-",CH692)-1)))+2000,IF(AND(LEN(CH692)=9,ISERROR(FIND("-",LEFT(CH692,8))),ISNUMBER(-LEFT(CH692,8))),VALUE(LEFT(CH692,4)),VALUE(LEFT(CH692,FIND("-",CH692)-1)))),""))</f>
        <v/>
      </c>
      <c r="CN692">
        <f>IF(CH692="","",IFERROR(IF(AND(LEN(CH692)=9,ISERROR(FIND("-",LEFT(CH692,8))),ISNUMBER(-LEFT(CH692,8))),VALUE(MID(CH692,5,2)),VALUE(MID(CH692,FIND("-",CH692)+1,FIND("-",CH692,FIND("-",CH692)+1)-FIND("-",CH692)-1))),""))</f>
        <v/>
      </c>
      <c r="CO692">
        <f>IF(CH692="","",IFERROR(IF(AND(LEN(CH692)=9,ISERROR(FIND("-",LEFT(CH692,8))),ISNUMBER(-LEFT(CH692,8))),VALUE(MID(CH692,7,2)),VALUE(MID(CH692,FIND("-",CH692,FIND("-",CH692)+1)+1,FIND("-",CH692,FIND("-",CH692,FIND("-",CH692)+1)+1)-FIND("-",CH692,FIND("-",CH692)+1)-1))),""))</f>
        <v/>
      </c>
    </row>
    <row r="693">
      <c r="CH693">
        <f>IF(ISTEXT('월 가계부'!A693),SUBSTITUTE(SUBSTITUTE(SUBSTITUTE(SUBSTITUTE(SUBSTITUTE(SUBSTITUTE(SUBSTITUTE(SUBSTITUTE(SUBSTITUTE(TRIM('월 가계부'!A693),"년","-"),"월","-"),"일",""),".","-"),"/","-")," ","-"),"--","-"),"--","-"),"--","-")&amp;"-","")</f>
        <v/>
      </c>
      <c r="CI693">
        <f>IFERROR(IF('월 가계부'!A693="","",IF(ISNUMBER('월 가계부'!A693),IF(AND('월 가계부'!A693&gt;=19000101,'월 가계부'!A693&lt;=21001231),IF(AND(MOD(INT('월 가계부'!A693/100),100)&gt;=1,MOD(INT('월 가계부'!A693/100),100)&lt;=12,MOD(INT('월 가계부'!A693),100)&gt;=1,MOD(INT('월 가계부'!A693),100)&lt;=31),IF(MONTH(DATE(INT('월 가계부'!A693/10000),MOD(INT('월 가계부'!A693/100),100),MOD(INT('월 가계부'!A693),100)))=MOD(INT('월 가계부'!A693/100),100),DATE(INT('월 가계부'!A693/10000),MOD(INT('월 가계부'!A693/100),100),MOD(INT('월 가계부'!A693),100)),""),""),IF(AND('월 가계부'!A693&gt;=36526,'월 가계부'!A693&lt;73051),INT('월 가계부'!A693),"")),IF(OR(CM693="",CN693="",CO693=""),"",IF(AND(CM693&gt;=2000,CM693&lt;=2099,CN693&gt;=1,CN693&lt;=12,CO693&gt;=1,CO693&lt;=31),IF(MONTH(DATE(CM693,CN693,CO693))=CN693,DATE(CM693,CN693,CO693),""),"")))),"")</f>
        <v/>
      </c>
      <c r="CJ693">
        <f>IFERROR(IF('월 가계부'!C693="","",IF(ISNUMBER('월 가계부'!C693),'월 가계부'!C693,VALUE(SUBSTITUTE(SUBSTITUTE(SUBSTITUTE(SUBSTITUTE(TRIM('월 가계부'!C693),",",""),"원","")," ",""),"−","-")))),"")</f>
        <v/>
      </c>
      <c r="CK693">
        <f>IF(ISNUMBER(CI693),IF(CI693&lt;$B$13,CI693,""),"")</f>
        <v/>
      </c>
      <c r="CM693">
        <f>IF(CH693="","",IFERROR(IF(IF(AND(LEN(CH693)=9,ISERROR(FIND("-",LEFT(CH693,8))),ISNUMBER(-LEFT(CH693,8))),VALUE(LEFT(CH693,4)),VALUE(LEFT(CH693,FIND("-",CH693)-1)))&lt;100,IF(AND(LEN(CH693)=9,ISERROR(FIND("-",LEFT(CH693,8))),ISNUMBER(-LEFT(CH693,8))),VALUE(LEFT(CH693,4)),VALUE(LEFT(CH693,FIND("-",CH693)-1)))+2000,IF(AND(LEN(CH693)=9,ISERROR(FIND("-",LEFT(CH693,8))),ISNUMBER(-LEFT(CH693,8))),VALUE(LEFT(CH693,4)),VALUE(LEFT(CH693,FIND("-",CH693)-1)))),""))</f>
        <v/>
      </c>
      <c r="CN693">
        <f>IF(CH693="","",IFERROR(IF(AND(LEN(CH693)=9,ISERROR(FIND("-",LEFT(CH693,8))),ISNUMBER(-LEFT(CH693,8))),VALUE(MID(CH693,5,2)),VALUE(MID(CH693,FIND("-",CH693)+1,FIND("-",CH693,FIND("-",CH693)+1)-FIND("-",CH693)-1))),""))</f>
        <v/>
      </c>
      <c r="CO693">
        <f>IF(CH693="","",IFERROR(IF(AND(LEN(CH693)=9,ISERROR(FIND("-",LEFT(CH693,8))),ISNUMBER(-LEFT(CH693,8))),VALUE(MID(CH693,7,2)),VALUE(MID(CH693,FIND("-",CH693,FIND("-",CH693)+1)+1,FIND("-",CH693,FIND("-",CH693,FIND("-",CH693)+1)+1)-FIND("-",CH693,FIND("-",CH693)+1)-1))),""))</f>
        <v/>
      </c>
    </row>
    <row r="694">
      <c r="CH694">
        <f>IF(ISTEXT('월 가계부'!A694),SUBSTITUTE(SUBSTITUTE(SUBSTITUTE(SUBSTITUTE(SUBSTITUTE(SUBSTITUTE(SUBSTITUTE(SUBSTITUTE(SUBSTITUTE(TRIM('월 가계부'!A694),"년","-"),"월","-"),"일",""),".","-"),"/","-")," ","-"),"--","-"),"--","-"),"--","-")&amp;"-","")</f>
        <v/>
      </c>
      <c r="CI694">
        <f>IFERROR(IF('월 가계부'!A694="","",IF(ISNUMBER('월 가계부'!A694),IF(AND('월 가계부'!A694&gt;=19000101,'월 가계부'!A694&lt;=21001231),IF(AND(MOD(INT('월 가계부'!A694/100),100)&gt;=1,MOD(INT('월 가계부'!A694/100),100)&lt;=12,MOD(INT('월 가계부'!A694),100)&gt;=1,MOD(INT('월 가계부'!A694),100)&lt;=31),IF(MONTH(DATE(INT('월 가계부'!A694/10000),MOD(INT('월 가계부'!A694/100),100),MOD(INT('월 가계부'!A694),100)))=MOD(INT('월 가계부'!A694/100),100),DATE(INT('월 가계부'!A694/10000),MOD(INT('월 가계부'!A694/100),100),MOD(INT('월 가계부'!A694),100)),""),""),IF(AND('월 가계부'!A694&gt;=36526,'월 가계부'!A694&lt;73051),INT('월 가계부'!A694),"")),IF(OR(CM694="",CN694="",CO694=""),"",IF(AND(CM694&gt;=2000,CM694&lt;=2099,CN694&gt;=1,CN694&lt;=12,CO694&gt;=1,CO694&lt;=31),IF(MONTH(DATE(CM694,CN694,CO694))=CN694,DATE(CM694,CN694,CO694),""),"")))),"")</f>
        <v/>
      </c>
      <c r="CJ694">
        <f>IFERROR(IF('월 가계부'!C694="","",IF(ISNUMBER('월 가계부'!C694),'월 가계부'!C694,VALUE(SUBSTITUTE(SUBSTITUTE(SUBSTITUTE(SUBSTITUTE(TRIM('월 가계부'!C694),",",""),"원","")," ",""),"−","-")))),"")</f>
        <v/>
      </c>
      <c r="CK694">
        <f>IF(ISNUMBER(CI694),IF(CI694&lt;$B$13,CI694,""),"")</f>
        <v/>
      </c>
      <c r="CM694">
        <f>IF(CH694="","",IFERROR(IF(IF(AND(LEN(CH694)=9,ISERROR(FIND("-",LEFT(CH694,8))),ISNUMBER(-LEFT(CH694,8))),VALUE(LEFT(CH694,4)),VALUE(LEFT(CH694,FIND("-",CH694)-1)))&lt;100,IF(AND(LEN(CH694)=9,ISERROR(FIND("-",LEFT(CH694,8))),ISNUMBER(-LEFT(CH694,8))),VALUE(LEFT(CH694,4)),VALUE(LEFT(CH694,FIND("-",CH694)-1)))+2000,IF(AND(LEN(CH694)=9,ISERROR(FIND("-",LEFT(CH694,8))),ISNUMBER(-LEFT(CH694,8))),VALUE(LEFT(CH694,4)),VALUE(LEFT(CH694,FIND("-",CH694)-1)))),""))</f>
        <v/>
      </c>
      <c r="CN694">
        <f>IF(CH694="","",IFERROR(IF(AND(LEN(CH694)=9,ISERROR(FIND("-",LEFT(CH694,8))),ISNUMBER(-LEFT(CH694,8))),VALUE(MID(CH694,5,2)),VALUE(MID(CH694,FIND("-",CH694)+1,FIND("-",CH694,FIND("-",CH694)+1)-FIND("-",CH694)-1))),""))</f>
        <v/>
      </c>
      <c r="CO694">
        <f>IF(CH694="","",IFERROR(IF(AND(LEN(CH694)=9,ISERROR(FIND("-",LEFT(CH694,8))),ISNUMBER(-LEFT(CH694,8))),VALUE(MID(CH694,7,2)),VALUE(MID(CH694,FIND("-",CH694,FIND("-",CH694)+1)+1,FIND("-",CH694,FIND("-",CH694,FIND("-",CH694)+1)+1)-FIND("-",CH694,FIND("-",CH694)+1)-1))),""))</f>
        <v/>
      </c>
    </row>
    <row r="695">
      <c r="CH695">
        <f>IF(ISTEXT('월 가계부'!A695),SUBSTITUTE(SUBSTITUTE(SUBSTITUTE(SUBSTITUTE(SUBSTITUTE(SUBSTITUTE(SUBSTITUTE(SUBSTITUTE(SUBSTITUTE(TRIM('월 가계부'!A695),"년","-"),"월","-"),"일",""),".","-"),"/","-")," ","-"),"--","-"),"--","-"),"--","-")&amp;"-","")</f>
        <v/>
      </c>
      <c r="CI695">
        <f>IFERROR(IF('월 가계부'!A695="","",IF(ISNUMBER('월 가계부'!A695),IF(AND('월 가계부'!A695&gt;=19000101,'월 가계부'!A695&lt;=21001231),IF(AND(MOD(INT('월 가계부'!A695/100),100)&gt;=1,MOD(INT('월 가계부'!A695/100),100)&lt;=12,MOD(INT('월 가계부'!A695),100)&gt;=1,MOD(INT('월 가계부'!A695),100)&lt;=31),IF(MONTH(DATE(INT('월 가계부'!A695/10000),MOD(INT('월 가계부'!A695/100),100),MOD(INT('월 가계부'!A695),100)))=MOD(INT('월 가계부'!A695/100),100),DATE(INT('월 가계부'!A695/10000),MOD(INT('월 가계부'!A695/100),100),MOD(INT('월 가계부'!A695),100)),""),""),IF(AND('월 가계부'!A695&gt;=36526,'월 가계부'!A695&lt;73051),INT('월 가계부'!A695),"")),IF(OR(CM695="",CN695="",CO695=""),"",IF(AND(CM695&gt;=2000,CM695&lt;=2099,CN695&gt;=1,CN695&lt;=12,CO695&gt;=1,CO695&lt;=31),IF(MONTH(DATE(CM695,CN695,CO695))=CN695,DATE(CM695,CN695,CO695),""),"")))),"")</f>
        <v/>
      </c>
      <c r="CJ695">
        <f>IFERROR(IF('월 가계부'!C695="","",IF(ISNUMBER('월 가계부'!C695),'월 가계부'!C695,VALUE(SUBSTITUTE(SUBSTITUTE(SUBSTITUTE(SUBSTITUTE(TRIM('월 가계부'!C695),",",""),"원","")," ",""),"−","-")))),"")</f>
        <v/>
      </c>
      <c r="CK695">
        <f>IF(ISNUMBER(CI695),IF(CI695&lt;$B$13,CI695,""),"")</f>
        <v/>
      </c>
      <c r="CM695">
        <f>IF(CH695="","",IFERROR(IF(IF(AND(LEN(CH695)=9,ISERROR(FIND("-",LEFT(CH695,8))),ISNUMBER(-LEFT(CH695,8))),VALUE(LEFT(CH695,4)),VALUE(LEFT(CH695,FIND("-",CH695)-1)))&lt;100,IF(AND(LEN(CH695)=9,ISERROR(FIND("-",LEFT(CH695,8))),ISNUMBER(-LEFT(CH695,8))),VALUE(LEFT(CH695,4)),VALUE(LEFT(CH695,FIND("-",CH695)-1)))+2000,IF(AND(LEN(CH695)=9,ISERROR(FIND("-",LEFT(CH695,8))),ISNUMBER(-LEFT(CH695,8))),VALUE(LEFT(CH695,4)),VALUE(LEFT(CH695,FIND("-",CH695)-1)))),""))</f>
        <v/>
      </c>
      <c r="CN695">
        <f>IF(CH695="","",IFERROR(IF(AND(LEN(CH695)=9,ISERROR(FIND("-",LEFT(CH695,8))),ISNUMBER(-LEFT(CH695,8))),VALUE(MID(CH695,5,2)),VALUE(MID(CH695,FIND("-",CH695)+1,FIND("-",CH695,FIND("-",CH695)+1)-FIND("-",CH695)-1))),""))</f>
        <v/>
      </c>
      <c r="CO695">
        <f>IF(CH695="","",IFERROR(IF(AND(LEN(CH695)=9,ISERROR(FIND("-",LEFT(CH695,8))),ISNUMBER(-LEFT(CH695,8))),VALUE(MID(CH695,7,2)),VALUE(MID(CH695,FIND("-",CH695,FIND("-",CH695)+1)+1,FIND("-",CH695,FIND("-",CH695,FIND("-",CH695)+1)+1)-FIND("-",CH695,FIND("-",CH695)+1)-1))),""))</f>
        <v/>
      </c>
    </row>
    <row r="696">
      <c r="CH696">
        <f>IF(ISTEXT('월 가계부'!A696),SUBSTITUTE(SUBSTITUTE(SUBSTITUTE(SUBSTITUTE(SUBSTITUTE(SUBSTITUTE(SUBSTITUTE(SUBSTITUTE(SUBSTITUTE(TRIM('월 가계부'!A696),"년","-"),"월","-"),"일",""),".","-"),"/","-")," ","-"),"--","-"),"--","-"),"--","-")&amp;"-","")</f>
        <v/>
      </c>
      <c r="CI696">
        <f>IFERROR(IF('월 가계부'!A696="","",IF(ISNUMBER('월 가계부'!A696),IF(AND('월 가계부'!A696&gt;=19000101,'월 가계부'!A696&lt;=21001231),IF(AND(MOD(INT('월 가계부'!A696/100),100)&gt;=1,MOD(INT('월 가계부'!A696/100),100)&lt;=12,MOD(INT('월 가계부'!A696),100)&gt;=1,MOD(INT('월 가계부'!A696),100)&lt;=31),IF(MONTH(DATE(INT('월 가계부'!A696/10000),MOD(INT('월 가계부'!A696/100),100),MOD(INT('월 가계부'!A696),100)))=MOD(INT('월 가계부'!A696/100),100),DATE(INT('월 가계부'!A696/10000),MOD(INT('월 가계부'!A696/100),100),MOD(INT('월 가계부'!A696),100)),""),""),IF(AND('월 가계부'!A696&gt;=36526,'월 가계부'!A696&lt;73051),INT('월 가계부'!A696),"")),IF(OR(CM696="",CN696="",CO696=""),"",IF(AND(CM696&gt;=2000,CM696&lt;=2099,CN696&gt;=1,CN696&lt;=12,CO696&gt;=1,CO696&lt;=31),IF(MONTH(DATE(CM696,CN696,CO696))=CN696,DATE(CM696,CN696,CO696),""),"")))),"")</f>
        <v/>
      </c>
      <c r="CJ696">
        <f>IFERROR(IF('월 가계부'!C696="","",IF(ISNUMBER('월 가계부'!C696),'월 가계부'!C696,VALUE(SUBSTITUTE(SUBSTITUTE(SUBSTITUTE(SUBSTITUTE(TRIM('월 가계부'!C696),",",""),"원","")," ",""),"−","-")))),"")</f>
        <v/>
      </c>
      <c r="CK696">
        <f>IF(ISNUMBER(CI696),IF(CI696&lt;$B$13,CI696,""),"")</f>
        <v/>
      </c>
      <c r="CM696">
        <f>IF(CH696="","",IFERROR(IF(IF(AND(LEN(CH696)=9,ISERROR(FIND("-",LEFT(CH696,8))),ISNUMBER(-LEFT(CH696,8))),VALUE(LEFT(CH696,4)),VALUE(LEFT(CH696,FIND("-",CH696)-1)))&lt;100,IF(AND(LEN(CH696)=9,ISERROR(FIND("-",LEFT(CH696,8))),ISNUMBER(-LEFT(CH696,8))),VALUE(LEFT(CH696,4)),VALUE(LEFT(CH696,FIND("-",CH696)-1)))+2000,IF(AND(LEN(CH696)=9,ISERROR(FIND("-",LEFT(CH696,8))),ISNUMBER(-LEFT(CH696,8))),VALUE(LEFT(CH696,4)),VALUE(LEFT(CH696,FIND("-",CH696)-1)))),""))</f>
        <v/>
      </c>
      <c r="CN696">
        <f>IF(CH696="","",IFERROR(IF(AND(LEN(CH696)=9,ISERROR(FIND("-",LEFT(CH696,8))),ISNUMBER(-LEFT(CH696,8))),VALUE(MID(CH696,5,2)),VALUE(MID(CH696,FIND("-",CH696)+1,FIND("-",CH696,FIND("-",CH696)+1)-FIND("-",CH696)-1))),""))</f>
        <v/>
      </c>
      <c r="CO696">
        <f>IF(CH696="","",IFERROR(IF(AND(LEN(CH696)=9,ISERROR(FIND("-",LEFT(CH696,8))),ISNUMBER(-LEFT(CH696,8))),VALUE(MID(CH696,7,2)),VALUE(MID(CH696,FIND("-",CH696,FIND("-",CH696)+1)+1,FIND("-",CH696,FIND("-",CH696,FIND("-",CH696)+1)+1)-FIND("-",CH696,FIND("-",CH696)+1)-1))),""))</f>
        <v/>
      </c>
    </row>
    <row r="697">
      <c r="CH697">
        <f>IF(ISTEXT('월 가계부'!A697),SUBSTITUTE(SUBSTITUTE(SUBSTITUTE(SUBSTITUTE(SUBSTITUTE(SUBSTITUTE(SUBSTITUTE(SUBSTITUTE(SUBSTITUTE(TRIM('월 가계부'!A697),"년","-"),"월","-"),"일",""),".","-"),"/","-")," ","-"),"--","-"),"--","-"),"--","-")&amp;"-","")</f>
        <v/>
      </c>
      <c r="CI697">
        <f>IFERROR(IF('월 가계부'!A697="","",IF(ISNUMBER('월 가계부'!A697),IF(AND('월 가계부'!A697&gt;=19000101,'월 가계부'!A697&lt;=21001231),IF(AND(MOD(INT('월 가계부'!A697/100),100)&gt;=1,MOD(INT('월 가계부'!A697/100),100)&lt;=12,MOD(INT('월 가계부'!A697),100)&gt;=1,MOD(INT('월 가계부'!A697),100)&lt;=31),IF(MONTH(DATE(INT('월 가계부'!A697/10000),MOD(INT('월 가계부'!A697/100),100),MOD(INT('월 가계부'!A697),100)))=MOD(INT('월 가계부'!A697/100),100),DATE(INT('월 가계부'!A697/10000),MOD(INT('월 가계부'!A697/100),100),MOD(INT('월 가계부'!A697),100)),""),""),IF(AND('월 가계부'!A697&gt;=36526,'월 가계부'!A697&lt;73051),INT('월 가계부'!A697),"")),IF(OR(CM697="",CN697="",CO697=""),"",IF(AND(CM697&gt;=2000,CM697&lt;=2099,CN697&gt;=1,CN697&lt;=12,CO697&gt;=1,CO697&lt;=31),IF(MONTH(DATE(CM697,CN697,CO697))=CN697,DATE(CM697,CN697,CO697),""),"")))),"")</f>
        <v/>
      </c>
      <c r="CJ697">
        <f>IFERROR(IF('월 가계부'!C697="","",IF(ISNUMBER('월 가계부'!C697),'월 가계부'!C697,VALUE(SUBSTITUTE(SUBSTITUTE(SUBSTITUTE(SUBSTITUTE(TRIM('월 가계부'!C697),",",""),"원","")," ",""),"−","-")))),"")</f>
        <v/>
      </c>
      <c r="CK697">
        <f>IF(ISNUMBER(CI697),IF(CI697&lt;$B$13,CI697,""),"")</f>
        <v/>
      </c>
      <c r="CM697">
        <f>IF(CH697="","",IFERROR(IF(IF(AND(LEN(CH697)=9,ISERROR(FIND("-",LEFT(CH697,8))),ISNUMBER(-LEFT(CH697,8))),VALUE(LEFT(CH697,4)),VALUE(LEFT(CH697,FIND("-",CH697)-1)))&lt;100,IF(AND(LEN(CH697)=9,ISERROR(FIND("-",LEFT(CH697,8))),ISNUMBER(-LEFT(CH697,8))),VALUE(LEFT(CH697,4)),VALUE(LEFT(CH697,FIND("-",CH697)-1)))+2000,IF(AND(LEN(CH697)=9,ISERROR(FIND("-",LEFT(CH697,8))),ISNUMBER(-LEFT(CH697,8))),VALUE(LEFT(CH697,4)),VALUE(LEFT(CH697,FIND("-",CH697)-1)))),""))</f>
        <v/>
      </c>
      <c r="CN697">
        <f>IF(CH697="","",IFERROR(IF(AND(LEN(CH697)=9,ISERROR(FIND("-",LEFT(CH697,8))),ISNUMBER(-LEFT(CH697,8))),VALUE(MID(CH697,5,2)),VALUE(MID(CH697,FIND("-",CH697)+1,FIND("-",CH697,FIND("-",CH697)+1)-FIND("-",CH697)-1))),""))</f>
        <v/>
      </c>
      <c r="CO697">
        <f>IF(CH697="","",IFERROR(IF(AND(LEN(CH697)=9,ISERROR(FIND("-",LEFT(CH697,8))),ISNUMBER(-LEFT(CH697,8))),VALUE(MID(CH697,7,2)),VALUE(MID(CH697,FIND("-",CH697,FIND("-",CH697)+1)+1,FIND("-",CH697,FIND("-",CH697,FIND("-",CH697)+1)+1)-FIND("-",CH697,FIND("-",CH697)+1)-1))),""))</f>
        <v/>
      </c>
    </row>
    <row r="698">
      <c r="CH698">
        <f>IF(ISTEXT('월 가계부'!A698),SUBSTITUTE(SUBSTITUTE(SUBSTITUTE(SUBSTITUTE(SUBSTITUTE(SUBSTITUTE(SUBSTITUTE(SUBSTITUTE(SUBSTITUTE(TRIM('월 가계부'!A698),"년","-"),"월","-"),"일",""),".","-"),"/","-")," ","-"),"--","-"),"--","-"),"--","-")&amp;"-","")</f>
        <v/>
      </c>
      <c r="CI698">
        <f>IFERROR(IF('월 가계부'!A698="","",IF(ISNUMBER('월 가계부'!A698),IF(AND('월 가계부'!A698&gt;=19000101,'월 가계부'!A698&lt;=21001231),IF(AND(MOD(INT('월 가계부'!A698/100),100)&gt;=1,MOD(INT('월 가계부'!A698/100),100)&lt;=12,MOD(INT('월 가계부'!A698),100)&gt;=1,MOD(INT('월 가계부'!A698),100)&lt;=31),IF(MONTH(DATE(INT('월 가계부'!A698/10000),MOD(INT('월 가계부'!A698/100),100),MOD(INT('월 가계부'!A698),100)))=MOD(INT('월 가계부'!A698/100),100),DATE(INT('월 가계부'!A698/10000),MOD(INT('월 가계부'!A698/100),100),MOD(INT('월 가계부'!A698),100)),""),""),IF(AND('월 가계부'!A698&gt;=36526,'월 가계부'!A698&lt;73051),INT('월 가계부'!A698),"")),IF(OR(CM698="",CN698="",CO698=""),"",IF(AND(CM698&gt;=2000,CM698&lt;=2099,CN698&gt;=1,CN698&lt;=12,CO698&gt;=1,CO698&lt;=31),IF(MONTH(DATE(CM698,CN698,CO698))=CN698,DATE(CM698,CN698,CO698),""),"")))),"")</f>
        <v/>
      </c>
      <c r="CJ698">
        <f>IFERROR(IF('월 가계부'!C698="","",IF(ISNUMBER('월 가계부'!C698),'월 가계부'!C698,VALUE(SUBSTITUTE(SUBSTITUTE(SUBSTITUTE(SUBSTITUTE(TRIM('월 가계부'!C698),",",""),"원","")," ",""),"−","-")))),"")</f>
        <v/>
      </c>
      <c r="CK698">
        <f>IF(ISNUMBER(CI698),IF(CI698&lt;$B$13,CI698,""),"")</f>
        <v/>
      </c>
      <c r="CM698">
        <f>IF(CH698="","",IFERROR(IF(IF(AND(LEN(CH698)=9,ISERROR(FIND("-",LEFT(CH698,8))),ISNUMBER(-LEFT(CH698,8))),VALUE(LEFT(CH698,4)),VALUE(LEFT(CH698,FIND("-",CH698)-1)))&lt;100,IF(AND(LEN(CH698)=9,ISERROR(FIND("-",LEFT(CH698,8))),ISNUMBER(-LEFT(CH698,8))),VALUE(LEFT(CH698,4)),VALUE(LEFT(CH698,FIND("-",CH698)-1)))+2000,IF(AND(LEN(CH698)=9,ISERROR(FIND("-",LEFT(CH698,8))),ISNUMBER(-LEFT(CH698,8))),VALUE(LEFT(CH698,4)),VALUE(LEFT(CH698,FIND("-",CH698)-1)))),""))</f>
        <v/>
      </c>
      <c r="CN698">
        <f>IF(CH698="","",IFERROR(IF(AND(LEN(CH698)=9,ISERROR(FIND("-",LEFT(CH698,8))),ISNUMBER(-LEFT(CH698,8))),VALUE(MID(CH698,5,2)),VALUE(MID(CH698,FIND("-",CH698)+1,FIND("-",CH698,FIND("-",CH698)+1)-FIND("-",CH698)-1))),""))</f>
        <v/>
      </c>
      <c r="CO698">
        <f>IF(CH698="","",IFERROR(IF(AND(LEN(CH698)=9,ISERROR(FIND("-",LEFT(CH698,8))),ISNUMBER(-LEFT(CH698,8))),VALUE(MID(CH698,7,2)),VALUE(MID(CH698,FIND("-",CH698,FIND("-",CH698)+1)+1,FIND("-",CH698,FIND("-",CH698,FIND("-",CH698)+1)+1)-FIND("-",CH698,FIND("-",CH698)+1)-1))),""))</f>
        <v/>
      </c>
    </row>
    <row r="699">
      <c r="CH699">
        <f>IF(ISTEXT('월 가계부'!A699),SUBSTITUTE(SUBSTITUTE(SUBSTITUTE(SUBSTITUTE(SUBSTITUTE(SUBSTITUTE(SUBSTITUTE(SUBSTITUTE(SUBSTITUTE(TRIM('월 가계부'!A699),"년","-"),"월","-"),"일",""),".","-"),"/","-")," ","-"),"--","-"),"--","-"),"--","-")&amp;"-","")</f>
        <v/>
      </c>
      <c r="CI699">
        <f>IFERROR(IF('월 가계부'!A699="","",IF(ISNUMBER('월 가계부'!A699),IF(AND('월 가계부'!A699&gt;=19000101,'월 가계부'!A699&lt;=21001231),IF(AND(MOD(INT('월 가계부'!A699/100),100)&gt;=1,MOD(INT('월 가계부'!A699/100),100)&lt;=12,MOD(INT('월 가계부'!A699),100)&gt;=1,MOD(INT('월 가계부'!A699),100)&lt;=31),IF(MONTH(DATE(INT('월 가계부'!A699/10000),MOD(INT('월 가계부'!A699/100),100),MOD(INT('월 가계부'!A699),100)))=MOD(INT('월 가계부'!A699/100),100),DATE(INT('월 가계부'!A699/10000),MOD(INT('월 가계부'!A699/100),100),MOD(INT('월 가계부'!A699),100)),""),""),IF(AND('월 가계부'!A699&gt;=36526,'월 가계부'!A699&lt;73051),INT('월 가계부'!A699),"")),IF(OR(CM699="",CN699="",CO699=""),"",IF(AND(CM699&gt;=2000,CM699&lt;=2099,CN699&gt;=1,CN699&lt;=12,CO699&gt;=1,CO699&lt;=31),IF(MONTH(DATE(CM699,CN699,CO699))=CN699,DATE(CM699,CN699,CO699),""),"")))),"")</f>
        <v/>
      </c>
      <c r="CJ699">
        <f>IFERROR(IF('월 가계부'!C699="","",IF(ISNUMBER('월 가계부'!C699),'월 가계부'!C699,VALUE(SUBSTITUTE(SUBSTITUTE(SUBSTITUTE(SUBSTITUTE(TRIM('월 가계부'!C699),",",""),"원","")," ",""),"−","-")))),"")</f>
        <v/>
      </c>
      <c r="CK699">
        <f>IF(ISNUMBER(CI699),IF(CI699&lt;$B$13,CI699,""),"")</f>
        <v/>
      </c>
      <c r="CM699">
        <f>IF(CH699="","",IFERROR(IF(IF(AND(LEN(CH699)=9,ISERROR(FIND("-",LEFT(CH699,8))),ISNUMBER(-LEFT(CH699,8))),VALUE(LEFT(CH699,4)),VALUE(LEFT(CH699,FIND("-",CH699)-1)))&lt;100,IF(AND(LEN(CH699)=9,ISERROR(FIND("-",LEFT(CH699,8))),ISNUMBER(-LEFT(CH699,8))),VALUE(LEFT(CH699,4)),VALUE(LEFT(CH699,FIND("-",CH699)-1)))+2000,IF(AND(LEN(CH699)=9,ISERROR(FIND("-",LEFT(CH699,8))),ISNUMBER(-LEFT(CH699,8))),VALUE(LEFT(CH699,4)),VALUE(LEFT(CH699,FIND("-",CH699)-1)))),""))</f>
        <v/>
      </c>
      <c r="CN699">
        <f>IF(CH699="","",IFERROR(IF(AND(LEN(CH699)=9,ISERROR(FIND("-",LEFT(CH699,8))),ISNUMBER(-LEFT(CH699,8))),VALUE(MID(CH699,5,2)),VALUE(MID(CH699,FIND("-",CH699)+1,FIND("-",CH699,FIND("-",CH699)+1)-FIND("-",CH699)-1))),""))</f>
        <v/>
      </c>
      <c r="CO699">
        <f>IF(CH699="","",IFERROR(IF(AND(LEN(CH699)=9,ISERROR(FIND("-",LEFT(CH699,8))),ISNUMBER(-LEFT(CH699,8))),VALUE(MID(CH699,7,2)),VALUE(MID(CH699,FIND("-",CH699,FIND("-",CH699)+1)+1,FIND("-",CH699,FIND("-",CH699,FIND("-",CH699)+1)+1)-FIND("-",CH699,FIND("-",CH699)+1)-1))),""))</f>
        <v/>
      </c>
    </row>
    <row r="700">
      <c r="CH700">
        <f>IF(ISTEXT('월 가계부'!A700),SUBSTITUTE(SUBSTITUTE(SUBSTITUTE(SUBSTITUTE(SUBSTITUTE(SUBSTITUTE(SUBSTITUTE(SUBSTITUTE(SUBSTITUTE(TRIM('월 가계부'!A700),"년","-"),"월","-"),"일",""),".","-"),"/","-")," ","-"),"--","-"),"--","-"),"--","-")&amp;"-","")</f>
        <v/>
      </c>
      <c r="CI700">
        <f>IFERROR(IF('월 가계부'!A700="","",IF(ISNUMBER('월 가계부'!A700),IF(AND('월 가계부'!A700&gt;=19000101,'월 가계부'!A700&lt;=21001231),IF(AND(MOD(INT('월 가계부'!A700/100),100)&gt;=1,MOD(INT('월 가계부'!A700/100),100)&lt;=12,MOD(INT('월 가계부'!A700),100)&gt;=1,MOD(INT('월 가계부'!A700),100)&lt;=31),IF(MONTH(DATE(INT('월 가계부'!A700/10000),MOD(INT('월 가계부'!A700/100),100),MOD(INT('월 가계부'!A700),100)))=MOD(INT('월 가계부'!A700/100),100),DATE(INT('월 가계부'!A700/10000),MOD(INT('월 가계부'!A700/100),100),MOD(INT('월 가계부'!A700),100)),""),""),IF(AND('월 가계부'!A700&gt;=36526,'월 가계부'!A700&lt;73051),INT('월 가계부'!A700),"")),IF(OR(CM700="",CN700="",CO700=""),"",IF(AND(CM700&gt;=2000,CM700&lt;=2099,CN700&gt;=1,CN700&lt;=12,CO700&gt;=1,CO700&lt;=31),IF(MONTH(DATE(CM700,CN700,CO700))=CN700,DATE(CM700,CN700,CO700),""),"")))),"")</f>
        <v/>
      </c>
      <c r="CJ700">
        <f>IFERROR(IF('월 가계부'!C700="","",IF(ISNUMBER('월 가계부'!C700),'월 가계부'!C700,VALUE(SUBSTITUTE(SUBSTITUTE(SUBSTITUTE(SUBSTITUTE(TRIM('월 가계부'!C700),",",""),"원","")," ",""),"−","-")))),"")</f>
        <v/>
      </c>
      <c r="CK700">
        <f>IF(ISNUMBER(CI700),IF(CI700&lt;$B$13,CI700,""),"")</f>
        <v/>
      </c>
      <c r="CM700">
        <f>IF(CH700="","",IFERROR(IF(IF(AND(LEN(CH700)=9,ISERROR(FIND("-",LEFT(CH700,8))),ISNUMBER(-LEFT(CH700,8))),VALUE(LEFT(CH700,4)),VALUE(LEFT(CH700,FIND("-",CH700)-1)))&lt;100,IF(AND(LEN(CH700)=9,ISERROR(FIND("-",LEFT(CH700,8))),ISNUMBER(-LEFT(CH700,8))),VALUE(LEFT(CH700,4)),VALUE(LEFT(CH700,FIND("-",CH700)-1)))+2000,IF(AND(LEN(CH700)=9,ISERROR(FIND("-",LEFT(CH700,8))),ISNUMBER(-LEFT(CH700,8))),VALUE(LEFT(CH700,4)),VALUE(LEFT(CH700,FIND("-",CH700)-1)))),""))</f>
        <v/>
      </c>
      <c r="CN700">
        <f>IF(CH700="","",IFERROR(IF(AND(LEN(CH700)=9,ISERROR(FIND("-",LEFT(CH700,8))),ISNUMBER(-LEFT(CH700,8))),VALUE(MID(CH700,5,2)),VALUE(MID(CH700,FIND("-",CH700)+1,FIND("-",CH700,FIND("-",CH700)+1)-FIND("-",CH700)-1))),""))</f>
        <v/>
      </c>
      <c r="CO700">
        <f>IF(CH700="","",IFERROR(IF(AND(LEN(CH700)=9,ISERROR(FIND("-",LEFT(CH700,8))),ISNUMBER(-LEFT(CH700,8))),VALUE(MID(CH700,7,2)),VALUE(MID(CH700,FIND("-",CH700,FIND("-",CH700)+1)+1,FIND("-",CH700,FIND("-",CH700,FIND("-",CH700)+1)+1)-FIND("-",CH700,FIND("-",CH700)+1)-1))),""))</f>
        <v/>
      </c>
    </row>
    <row r="701">
      <c r="CH701">
        <f>IF(ISTEXT('월 가계부'!A701),SUBSTITUTE(SUBSTITUTE(SUBSTITUTE(SUBSTITUTE(SUBSTITUTE(SUBSTITUTE(SUBSTITUTE(SUBSTITUTE(SUBSTITUTE(TRIM('월 가계부'!A701),"년","-"),"월","-"),"일",""),".","-"),"/","-")," ","-"),"--","-"),"--","-"),"--","-")&amp;"-","")</f>
        <v/>
      </c>
      <c r="CI701">
        <f>IFERROR(IF('월 가계부'!A701="","",IF(ISNUMBER('월 가계부'!A701),IF(AND('월 가계부'!A701&gt;=19000101,'월 가계부'!A701&lt;=21001231),IF(AND(MOD(INT('월 가계부'!A701/100),100)&gt;=1,MOD(INT('월 가계부'!A701/100),100)&lt;=12,MOD(INT('월 가계부'!A701),100)&gt;=1,MOD(INT('월 가계부'!A701),100)&lt;=31),IF(MONTH(DATE(INT('월 가계부'!A701/10000),MOD(INT('월 가계부'!A701/100),100),MOD(INT('월 가계부'!A701),100)))=MOD(INT('월 가계부'!A701/100),100),DATE(INT('월 가계부'!A701/10000),MOD(INT('월 가계부'!A701/100),100),MOD(INT('월 가계부'!A701),100)),""),""),IF(AND('월 가계부'!A701&gt;=36526,'월 가계부'!A701&lt;73051),INT('월 가계부'!A701),"")),IF(OR(CM701="",CN701="",CO701=""),"",IF(AND(CM701&gt;=2000,CM701&lt;=2099,CN701&gt;=1,CN701&lt;=12,CO701&gt;=1,CO701&lt;=31),IF(MONTH(DATE(CM701,CN701,CO701))=CN701,DATE(CM701,CN701,CO701),""),"")))),"")</f>
        <v/>
      </c>
      <c r="CJ701">
        <f>IFERROR(IF('월 가계부'!C701="","",IF(ISNUMBER('월 가계부'!C701),'월 가계부'!C701,VALUE(SUBSTITUTE(SUBSTITUTE(SUBSTITUTE(SUBSTITUTE(TRIM('월 가계부'!C701),",",""),"원","")," ",""),"−","-")))),"")</f>
        <v/>
      </c>
      <c r="CK701">
        <f>IF(ISNUMBER(CI701),IF(CI701&lt;$B$13,CI701,""),"")</f>
        <v/>
      </c>
      <c r="CM701">
        <f>IF(CH701="","",IFERROR(IF(IF(AND(LEN(CH701)=9,ISERROR(FIND("-",LEFT(CH701,8))),ISNUMBER(-LEFT(CH701,8))),VALUE(LEFT(CH701,4)),VALUE(LEFT(CH701,FIND("-",CH701)-1)))&lt;100,IF(AND(LEN(CH701)=9,ISERROR(FIND("-",LEFT(CH701,8))),ISNUMBER(-LEFT(CH701,8))),VALUE(LEFT(CH701,4)),VALUE(LEFT(CH701,FIND("-",CH701)-1)))+2000,IF(AND(LEN(CH701)=9,ISERROR(FIND("-",LEFT(CH701,8))),ISNUMBER(-LEFT(CH701,8))),VALUE(LEFT(CH701,4)),VALUE(LEFT(CH701,FIND("-",CH701)-1)))),""))</f>
        <v/>
      </c>
      <c r="CN701">
        <f>IF(CH701="","",IFERROR(IF(AND(LEN(CH701)=9,ISERROR(FIND("-",LEFT(CH701,8))),ISNUMBER(-LEFT(CH701,8))),VALUE(MID(CH701,5,2)),VALUE(MID(CH701,FIND("-",CH701)+1,FIND("-",CH701,FIND("-",CH701)+1)-FIND("-",CH701)-1))),""))</f>
        <v/>
      </c>
      <c r="CO701">
        <f>IF(CH701="","",IFERROR(IF(AND(LEN(CH701)=9,ISERROR(FIND("-",LEFT(CH701,8))),ISNUMBER(-LEFT(CH701,8))),VALUE(MID(CH701,7,2)),VALUE(MID(CH701,FIND("-",CH701,FIND("-",CH701)+1)+1,FIND("-",CH701,FIND("-",CH701,FIND("-",CH701)+1)+1)-FIND("-",CH701,FIND("-",CH701)+1)-1))),""))</f>
        <v/>
      </c>
    </row>
    <row r="702">
      <c r="CH702">
        <f>IF(ISTEXT('월 가계부'!A702),SUBSTITUTE(SUBSTITUTE(SUBSTITUTE(SUBSTITUTE(SUBSTITUTE(SUBSTITUTE(SUBSTITUTE(SUBSTITUTE(SUBSTITUTE(TRIM('월 가계부'!A702),"년","-"),"월","-"),"일",""),".","-"),"/","-")," ","-"),"--","-"),"--","-"),"--","-")&amp;"-","")</f>
        <v/>
      </c>
      <c r="CI702">
        <f>IFERROR(IF('월 가계부'!A702="","",IF(ISNUMBER('월 가계부'!A702),IF(AND('월 가계부'!A702&gt;=19000101,'월 가계부'!A702&lt;=21001231),IF(AND(MOD(INT('월 가계부'!A702/100),100)&gt;=1,MOD(INT('월 가계부'!A702/100),100)&lt;=12,MOD(INT('월 가계부'!A702),100)&gt;=1,MOD(INT('월 가계부'!A702),100)&lt;=31),IF(MONTH(DATE(INT('월 가계부'!A702/10000),MOD(INT('월 가계부'!A702/100),100),MOD(INT('월 가계부'!A702),100)))=MOD(INT('월 가계부'!A702/100),100),DATE(INT('월 가계부'!A702/10000),MOD(INT('월 가계부'!A702/100),100),MOD(INT('월 가계부'!A702),100)),""),""),IF(AND('월 가계부'!A702&gt;=36526,'월 가계부'!A702&lt;73051),INT('월 가계부'!A702),"")),IF(OR(CM702="",CN702="",CO702=""),"",IF(AND(CM702&gt;=2000,CM702&lt;=2099,CN702&gt;=1,CN702&lt;=12,CO702&gt;=1,CO702&lt;=31),IF(MONTH(DATE(CM702,CN702,CO702))=CN702,DATE(CM702,CN702,CO702),""),"")))),"")</f>
        <v/>
      </c>
      <c r="CJ702">
        <f>IFERROR(IF('월 가계부'!C702="","",IF(ISNUMBER('월 가계부'!C702),'월 가계부'!C702,VALUE(SUBSTITUTE(SUBSTITUTE(SUBSTITUTE(SUBSTITUTE(TRIM('월 가계부'!C702),",",""),"원","")," ",""),"−","-")))),"")</f>
        <v/>
      </c>
      <c r="CK702">
        <f>IF(ISNUMBER(CI702),IF(CI702&lt;$B$13,CI702,""),"")</f>
        <v/>
      </c>
      <c r="CM702">
        <f>IF(CH702="","",IFERROR(IF(IF(AND(LEN(CH702)=9,ISERROR(FIND("-",LEFT(CH702,8))),ISNUMBER(-LEFT(CH702,8))),VALUE(LEFT(CH702,4)),VALUE(LEFT(CH702,FIND("-",CH702)-1)))&lt;100,IF(AND(LEN(CH702)=9,ISERROR(FIND("-",LEFT(CH702,8))),ISNUMBER(-LEFT(CH702,8))),VALUE(LEFT(CH702,4)),VALUE(LEFT(CH702,FIND("-",CH702)-1)))+2000,IF(AND(LEN(CH702)=9,ISERROR(FIND("-",LEFT(CH702,8))),ISNUMBER(-LEFT(CH702,8))),VALUE(LEFT(CH702,4)),VALUE(LEFT(CH702,FIND("-",CH702)-1)))),""))</f>
        <v/>
      </c>
      <c r="CN702">
        <f>IF(CH702="","",IFERROR(IF(AND(LEN(CH702)=9,ISERROR(FIND("-",LEFT(CH702,8))),ISNUMBER(-LEFT(CH702,8))),VALUE(MID(CH702,5,2)),VALUE(MID(CH702,FIND("-",CH702)+1,FIND("-",CH702,FIND("-",CH702)+1)-FIND("-",CH702)-1))),""))</f>
        <v/>
      </c>
      <c r="CO702">
        <f>IF(CH702="","",IFERROR(IF(AND(LEN(CH702)=9,ISERROR(FIND("-",LEFT(CH702,8))),ISNUMBER(-LEFT(CH702,8))),VALUE(MID(CH702,7,2)),VALUE(MID(CH702,FIND("-",CH702,FIND("-",CH702)+1)+1,FIND("-",CH702,FIND("-",CH702,FIND("-",CH702)+1)+1)-FIND("-",CH702,FIND("-",CH702)+1)-1))),""))</f>
        <v/>
      </c>
    </row>
    <row r="703">
      <c r="CH703">
        <f>IF(ISTEXT('월 가계부'!A703),SUBSTITUTE(SUBSTITUTE(SUBSTITUTE(SUBSTITUTE(SUBSTITUTE(SUBSTITUTE(SUBSTITUTE(SUBSTITUTE(SUBSTITUTE(TRIM('월 가계부'!A703),"년","-"),"월","-"),"일",""),".","-"),"/","-")," ","-"),"--","-"),"--","-"),"--","-")&amp;"-","")</f>
        <v/>
      </c>
      <c r="CI703">
        <f>IFERROR(IF('월 가계부'!A703="","",IF(ISNUMBER('월 가계부'!A703),IF(AND('월 가계부'!A703&gt;=19000101,'월 가계부'!A703&lt;=21001231),IF(AND(MOD(INT('월 가계부'!A703/100),100)&gt;=1,MOD(INT('월 가계부'!A703/100),100)&lt;=12,MOD(INT('월 가계부'!A703),100)&gt;=1,MOD(INT('월 가계부'!A703),100)&lt;=31),IF(MONTH(DATE(INT('월 가계부'!A703/10000),MOD(INT('월 가계부'!A703/100),100),MOD(INT('월 가계부'!A703),100)))=MOD(INT('월 가계부'!A703/100),100),DATE(INT('월 가계부'!A703/10000),MOD(INT('월 가계부'!A703/100),100),MOD(INT('월 가계부'!A703),100)),""),""),IF(AND('월 가계부'!A703&gt;=36526,'월 가계부'!A703&lt;73051),INT('월 가계부'!A703),"")),IF(OR(CM703="",CN703="",CO703=""),"",IF(AND(CM703&gt;=2000,CM703&lt;=2099,CN703&gt;=1,CN703&lt;=12,CO703&gt;=1,CO703&lt;=31),IF(MONTH(DATE(CM703,CN703,CO703))=CN703,DATE(CM703,CN703,CO703),""),"")))),"")</f>
        <v/>
      </c>
      <c r="CJ703">
        <f>IFERROR(IF('월 가계부'!C703="","",IF(ISNUMBER('월 가계부'!C703),'월 가계부'!C703,VALUE(SUBSTITUTE(SUBSTITUTE(SUBSTITUTE(SUBSTITUTE(TRIM('월 가계부'!C703),",",""),"원","")," ",""),"−","-")))),"")</f>
        <v/>
      </c>
      <c r="CK703">
        <f>IF(ISNUMBER(CI703),IF(CI703&lt;$B$13,CI703,""),"")</f>
        <v/>
      </c>
      <c r="CM703">
        <f>IF(CH703="","",IFERROR(IF(IF(AND(LEN(CH703)=9,ISERROR(FIND("-",LEFT(CH703,8))),ISNUMBER(-LEFT(CH703,8))),VALUE(LEFT(CH703,4)),VALUE(LEFT(CH703,FIND("-",CH703)-1)))&lt;100,IF(AND(LEN(CH703)=9,ISERROR(FIND("-",LEFT(CH703,8))),ISNUMBER(-LEFT(CH703,8))),VALUE(LEFT(CH703,4)),VALUE(LEFT(CH703,FIND("-",CH703)-1)))+2000,IF(AND(LEN(CH703)=9,ISERROR(FIND("-",LEFT(CH703,8))),ISNUMBER(-LEFT(CH703,8))),VALUE(LEFT(CH703,4)),VALUE(LEFT(CH703,FIND("-",CH703)-1)))),""))</f>
        <v/>
      </c>
      <c r="CN703">
        <f>IF(CH703="","",IFERROR(IF(AND(LEN(CH703)=9,ISERROR(FIND("-",LEFT(CH703,8))),ISNUMBER(-LEFT(CH703,8))),VALUE(MID(CH703,5,2)),VALUE(MID(CH703,FIND("-",CH703)+1,FIND("-",CH703,FIND("-",CH703)+1)-FIND("-",CH703)-1))),""))</f>
        <v/>
      </c>
      <c r="CO703">
        <f>IF(CH703="","",IFERROR(IF(AND(LEN(CH703)=9,ISERROR(FIND("-",LEFT(CH703,8))),ISNUMBER(-LEFT(CH703,8))),VALUE(MID(CH703,7,2)),VALUE(MID(CH703,FIND("-",CH703,FIND("-",CH703)+1)+1,FIND("-",CH703,FIND("-",CH703,FIND("-",CH703)+1)+1)-FIND("-",CH703,FIND("-",CH703)+1)-1))),""))</f>
        <v/>
      </c>
    </row>
    <row r="704">
      <c r="CH704">
        <f>IF(ISTEXT('월 가계부'!A704),SUBSTITUTE(SUBSTITUTE(SUBSTITUTE(SUBSTITUTE(SUBSTITUTE(SUBSTITUTE(SUBSTITUTE(SUBSTITUTE(SUBSTITUTE(TRIM('월 가계부'!A704),"년","-"),"월","-"),"일",""),".","-"),"/","-")," ","-"),"--","-"),"--","-"),"--","-")&amp;"-","")</f>
        <v/>
      </c>
      <c r="CI704">
        <f>IFERROR(IF('월 가계부'!A704="","",IF(ISNUMBER('월 가계부'!A704),IF(AND('월 가계부'!A704&gt;=19000101,'월 가계부'!A704&lt;=21001231),IF(AND(MOD(INT('월 가계부'!A704/100),100)&gt;=1,MOD(INT('월 가계부'!A704/100),100)&lt;=12,MOD(INT('월 가계부'!A704),100)&gt;=1,MOD(INT('월 가계부'!A704),100)&lt;=31),IF(MONTH(DATE(INT('월 가계부'!A704/10000),MOD(INT('월 가계부'!A704/100),100),MOD(INT('월 가계부'!A704),100)))=MOD(INT('월 가계부'!A704/100),100),DATE(INT('월 가계부'!A704/10000),MOD(INT('월 가계부'!A704/100),100),MOD(INT('월 가계부'!A704),100)),""),""),IF(AND('월 가계부'!A704&gt;=36526,'월 가계부'!A704&lt;73051),INT('월 가계부'!A704),"")),IF(OR(CM704="",CN704="",CO704=""),"",IF(AND(CM704&gt;=2000,CM704&lt;=2099,CN704&gt;=1,CN704&lt;=12,CO704&gt;=1,CO704&lt;=31),IF(MONTH(DATE(CM704,CN704,CO704))=CN704,DATE(CM704,CN704,CO704),""),"")))),"")</f>
        <v/>
      </c>
      <c r="CJ704">
        <f>IFERROR(IF('월 가계부'!C704="","",IF(ISNUMBER('월 가계부'!C704),'월 가계부'!C704,VALUE(SUBSTITUTE(SUBSTITUTE(SUBSTITUTE(SUBSTITUTE(TRIM('월 가계부'!C704),",",""),"원","")," ",""),"−","-")))),"")</f>
        <v/>
      </c>
      <c r="CK704">
        <f>IF(ISNUMBER(CI704),IF(CI704&lt;$B$13,CI704,""),"")</f>
        <v/>
      </c>
      <c r="CM704">
        <f>IF(CH704="","",IFERROR(IF(IF(AND(LEN(CH704)=9,ISERROR(FIND("-",LEFT(CH704,8))),ISNUMBER(-LEFT(CH704,8))),VALUE(LEFT(CH704,4)),VALUE(LEFT(CH704,FIND("-",CH704)-1)))&lt;100,IF(AND(LEN(CH704)=9,ISERROR(FIND("-",LEFT(CH704,8))),ISNUMBER(-LEFT(CH704,8))),VALUE(LEFT(CH704,4)),VALUE(LEFT(CH704,FIND("-",CH704)-1)))+2000,IF(AND(LEN(CH704)=9,ISERROR(FIND("-",LEFT(CH704,8))),ISNUMBER(-LEFT(CH704,8))),VALUE(LEFT(CH704,4)),VALUE(LEFT(CH704,FIND("-",CH704)-1)))),""))</f>
        <v/>
      </c>
      <c r="CN704">
        <f>IF(CH704="","",IFERROR(IF(AND(LEN(CH704)=9,ISERROR(FIND("-",LEFT(CH704,8))),ISNUMBER(-LEFT(CH704,8))),VALUE(MID(CH704,5,2)),VALUE(MID(CH704,FIND("-",CH704)+1,FIND("-",CH704,FIND("-",CH704)+1)-FIND("-",CH704)-1))),""))</f>
        <v/>
      </c>
      <c r="CO704">
        <f>IF(CH704="","",IFERROR(IF(AND(LEN(CH704)=9,ISERROR(FIND("-",LEFT(CH704,8))),ISNUMBER(-LEFT(CH704,8))),VALUE(MID(CH704,7,2)),VALUE(MID(CH704,FIND("-",CH704,FIND("-",CH704)+1)+1,FIND("-",CH704,FIND("-",CH704,FIND("-",CH704)+1)+1)-FIND("-",CH704,FIND("-",CH704)+1)-1))),""))</f>
        <v/>
      </c>
    </row>
    <row r="705">
      <c r="CH705">
        <f>IF(ISTEXT('월 가계부'!A705),SUBSTITUTE(SUBSTITUTE(SUBSTITUTE(SUBSTITUTE(SUBSTITUTE(SUBSTITUTE(SUBSTITUTE(SUBSTITUTE(SUBSTITUTE(TRIM('월 가계부'!A705),"년","-"),"월","-"),"일",""),".","-"),"/","-")," ","-"),"--","-"),"--","-"),"--","-")&amp;"-","")</f>
        <v/>
      </c>
      <c r="CI705">
        <f>IFERROR(IF('월 가계부'!A705="","",IF(ISNUMBER('월 가계부'!A705),IF(AND('월 가계부'!A705&gt;=19000101,'월 가계부'!A705&lt;=21001231),IF(AND(MOD(INT('월 가계부'!A705/100),100)&gt;=1,MOD(INT('월 가계부'!A705/100),100)&lt;=12,MOD(INT('월 가계부'!A705),100)&gt;=1,MOD(INT('월 가계부'!A705),100)&lt;=31),IF(MONTH(DATE(INT('월 가계부'!A705/10000),MOD(INT('월 가계부'!A705/100),100),MOD(INT('월 가계부'!A705),100)))=MOD(INT('월 가계부'!A705/100),100),DATE(INT('월 가계부'!A705/10000),MOD(INT('월 가계부'!A705/100),100),MOD(INT('월 가계부'!A705),100)),""),""),IF(AND('월 가계부'!A705&gt;=36526,'월 가계부'!A705&lt;73051),INT('월 가계부'!A705),"")),IF(OR(CM705="",CN705="",CO705=""),"",IF(AND(CM705&gt;=2000,CM705&lt;=2099,CN705&gt;=1,CN705&lt;=12,CO705&gt;=1,CO705&lt;=31),IF(MONTH(DATE(CM705,CN705,CO705))=CN705,DATE(CM705,CN705,CO705),""),"")))),"")</f>
        <v/>
      </c>
      <c r="CJ705">
        <f>IFERROR(IF('월 가계부'!C705="","",IF(ISNUMBER('월 가계부'!C705),'월 가계부'!C705,VALUE(SUBSTITUTE(SUBSTITUTE(SUBSTITUTE(SUBSTITUTE(TRIM('월 가계부'!C705),",",""),"원","")," ",""),"−","-")))),"")</f>
        <v/>
      </c>
      <c r="CK705">
        <f>IF(ISNUMBER(CI705),IF(CI705&lt;$B$13,CI705,""),"")</f>
        <v/>
      </c>
      <c r="CM705">
        <f>IF(CH705="","",IFERROR(IF(IF(AND(LEN(CH705)=9,ISERROR(FIND("-",LEFT(CH705,8))),ISNUMBER(-LEFT(CH705,8))),VALUE(LEFT(CH705,4)),VALUE(LEFT(CH705,FIND("-",CH705)-1)))&lt;100,IF(AND(LEN(CH705)=9,ISERROR(FIND("-",LEFT(CH705,8))),ISNUMBER(-LEFT(CH705,8))),VALUE(LEFT(CH705,4)),VALUE(LEFT(CH705,FIND("-",CH705)-1)))+2000,IF(AND(LEN(CH705)=9,ISERROR(FIND("-",LEFT(CH705,8))),ISNUMBER(-LEFT(CH705,8))),VALUE(LEFT(CH705,4)),VALUE(LEFT(CH705,FIND("-",CH705)-1)))),""))</f>
        <v/>
      </c>
      <c r="CN705">
        <f>IF(CH705="","",IFERROR(IF(AND(LEN(CH705)=9,ISERROR(FIND("-",LEFT(CH705,8))),ISNUMBER(-LEFT(CH705,8))),VALUE(MID(CH705,5,2)),VALUE(MID(CH705,FIND("-",CH705)+1,FIND("-",CH705,FIND("-",CH705)+1)-FIND("-",CH705)-1))),""))</f>
        <v/>
      </c>
      <c r="CO705">
        <f>IF(CH705="","",IFERROR(IF(AND(LEN(CH705)=9,ISERROR(FIND("-",LEFT(CH705,8))),ISNUMBER(-LEFT(CH705,8))),VALUE(MID(CH705,7,2)),VALUE(MID(CH705,FIND("-",CH705,FIND("-",CH705)+1)+1,FIND("-",CH705,FIND("-",CH705,FIND("-",CH705)+1)+1)-FIND("-",CH705,FIND("-",CH705)+1)-1))),""))</f>
        <v/>
      </c>
    </row>
    <row r="706">
      <c r="CH706">
        <f>IF(ISTEXT('월 가계부'!A706),SUBSTITUTE(SUBSTITUTE(SUBSTITUTE(SUBSTITUTE(SUBSTITUTE(SUBSTITUTE(SUBSTITUTE(SUBSTITUTE(SUBSTITUTE(TRIM('월 가계부'!A706),"년","-"),"월","-"),"일",""),".","-"),"/","-")," ","-"),"--","-"),"--","-"),"--","-")&amp;"-","")</f>
        <v/>
      </c>
      <c r="CI706">
        <f>IFERROR(IF('월 가계부'!A706="","",IF(ISNUMBER('월 가계부'!A706),IF(AND('월 가계부'!A706&gt;=19000101,'월 가계부'!A706&lt;=21001231),IF(AND(MOD(INT('월 가계부'!A706/100),100)&gt;=1,MOD(INT('월 가계부'!A706/100),100)&lt;=12,MOD(INT('월 가계부'!A706),100)&gt;=1,MOD(INT('월 가계부'!A706),100)&lt;=31),IF(MONTH(DATE(INT('월 가계부'!A706/10000),MOD(INT('월 가계부'!A706/100),100),MOD(INT('월 가계부'!A706),100)))=MOD(INT('월 가계부'!A706/100),100),DATE(INT('월 가계부'!A706/10000),MOD(INT('월 가계부'!A706/100),100),MOD(INT('월 가계부'!A706),100)),""),""),IF(AND('월 가계부'!A706&gt;=36526,'월 가계부'!A706&lt;73051),INT('월 가계부'!A706),"")),IF(OR(CM706="",CN706="",CO706=""),"",IF(AND(CM706&gt;=2000,CM706&lt;=2099,CN706&gt;=1,CN706&lt;=12,CO706&gt;=1,CO706&lt;=31),IF(MONTH(DATE(CM706,CN706,CO706))=CN706,DATE(CM706,CN706,CO706),""),"")))),"")</f>
        <v/>
      </c>
      <c r="CJ706">
        <f>IFERROR(IF('월 가계부'!C706="","",IF(ISNUMBER('월 가계부'!C706),'월 가계부'!C706,VALUE(SUBSTITUTE(SUBSTITUTE(SUBSTITUTE(SUBSTITUTE(TRIM('월 가계부'!C706),",",""),"원","")," ",""),"−","-")))),"")</f>
        <v/>
      </c>
      <c r="CK706">
        <f>IF(ISNUMBER(CI706),IF(CI706&lt;$B$13,CI706,""),"")</f>
        <v/>
      </c>
      <c r="CM706">
        <f>IF(CH706="","",IFERROR(IF(IF(AND(LEN(CH706)=9,ISERROR(FIND("-",LEFT(CH706,8))),ISNUMBER(-LEFT(CH706,8))),VALUE(LEFT(CH706,4)),VALUE(LEFT(CH706,FIND("-",CH706)-1)))&lt;100,IF(AND(LEN(CH706)=9,ISERROR(FIND("-",LEFT(CH706,8))),ISNUMBER(-LEFT(CH706,8))),VALUE(LEFT(CH706,4)),VALUE(LEFT(CH706,FIND("-",CH706)-1)))+2000,IF(AND(LEN(CH706)=9,ISERROR(FIND("-",LEFT(CH706,8))),ISNUMBER(-LEFT(CH706,8))),VALUE(LEFT(CH706,4)),VALUE(LEFT(CH706,FIND("-",CH706)-1)))),""))</f>
        <v/>
      </c>
      <c r="CN706">
        <f>IF(CH706="","",IFERROR(IF(AND(LEN(CH706)=9,ISERROR(FIND("-",LEFT(CH706,8))),ISNUMBER(-LEFT(CH706,8))),VALUE(MID(CH706,5,2)),VALUE(MID(CH706,FIND("-",CH706)+1,FIND("-",CH706,FIND("-",CH706)+1)-FIND("-",CH706)-1))),""))</f>
        <v/>
      </c>
      <c r="CO706">
        <f>IF(CH706="","",IFERROR(IF(AND(LEN(CH706)=9,ISERROR(FIND("-",LEFT(CH706,8))),ISNUMBER(-LEFT(CH706,8))),VALUE(MID(CH706,7,2)),VALUE(MID(CH706,FIND("-",CH706,FIND("-",CH706)+1)+1,FIND("-",CH706,FIND("-",CH706,FIND("-",CH706)+1)+1)-FIND("-",CH706,FIND("-",CH706)+1)-1))),""))</f>
        <v/>
      </c>
    </row>
    <row r="707">
      <c r="CH707">
        <f>IF(ISTEXT('월 가계부'!A707),SUBSTITUTE(SUBSTITUTE(SUBSTITUTE(SUBSTITUTE(SUBSTITUTE(SUBSTITUTE(SUBSTITUTE(SUBSTITUTE(SUBSTITUTE(TRIM('월 가계부'!A707),"년","-"),"월","-"),"일",""),".","-"),"/","-")," ","-"),"--","-"),"--","-"),"--","-")&amp;"-","")</f>
        <v/>
      </c>
      <c r="CI707">
        <f>IFERROR(IF('월 가계부'!A707="","",IF(ISNUMBER('월 가계부'!A707),IF(AND('월 가계부'!A707&gt;=19000101,'월 가계부'!A707&lt;=21001231),IF(AND(MOD(INT('월 가계부'!A707/100),100)&gt;=1,MOD(INT('월 가계부'!A707/100),100)&lt;=12,MOD(INT('월 가계부'!A707),100)&gt;=1,MOD(INT('월 가계부'!A707),100)&lt;=31),IF(MONTH(DATE(INT('월 가계부'!A707/10000),MOD(INT('월 가계부'!A707/100),100),MOD(INT('월 가계부'!A707),100)))=MOD(INT('월 가계부'!A707/100),100),DATE(INT('월 가계부'!A707/10000),MOD(INT('월 가계부'!A707/100),100),MOD(INT('월 가계부'!A707),100)),""),""),IF(AND('월 가계부'!A707&gt;=36526,'월 가계부'!A707&lt;73051),INT('월 가계부'!A707),"")),IF(OR(CM707="",CN707="",CO707=""),"",IF(AND(CM707&gt;=2000,CM707&lt;=2099,CN707&gt;=1,CN707&lt;=12,CO707&gt;=1,CO707&lt;=31),IF(MONTH(DATE(CM707,CN707,CO707))=CN707,DATE(CM707,CN707,CO707),""),"")))),"")</f>
        <v/>
      </c>
      <c r="CJ707">
        <f>IFERROR(IF('월 가계부'!C707="","",IF(ISNUMBER('월 가계부'!C707),'월 가계부'!C707,VALUE(SUBSTITUTE(SUBSTITUTE(SUBSTITUTE(SUBSTITUTE(TRIM('월 가계부'!C707),",",""),"원","")," ",""),"−","-")))),"")</f>
        <v/>
      </c>
      <c r="CK707">
        <f>IF(ISNUMBER(CI707),IF(CI707&lt;$B$13,CI707,""),"")</f>
        <v/>
      </c>
      <c r="CM707">
        <f>IF(CH707="","",IFERROR(IF(IF(AND(LEN(CH707)=9,ISERROR(FIND("-",LEFT(CH707,8))),ISNUMBER(-LEFT(CH707,8))),VALUE(LEFT(CH707,4)),VALUE(LEFT(CH707,FIND("-",CH707)-1)))&lt;100,IF(AND(LEN(CH707)=9,ISERROR(FIND("-",LEFT(CH707,8))),ISNUMBER(-LEFT(CH707,8))),VALUE(LEFT(CH707,4)),VALUE(LEFT(CH707,FIND("-",CH707)-1)))+2000,IF(AND(LEN(CH707)=9,ISERROR(FIND("-",LEFT(CH707,8))),ISNUMBER(-LEFT(CH707,8))),VALUE(LEFT(CH707,4)),VALUE(LEFT(CH707,FIND("-",CH707)-1)))),""))</f>
        <v/>
      </c>
      <c r="CN707">
        <f>IF(CH707="","",IFERROR(IF(AND(LEN(CH707)=9,ISERROR(FIND("-",LEFT(CH707,8))),ISNUMBER(-LEFT(CH707,8))),VALUE(MID(CH707,5,2)),VALUE(MID(CH707,FIND("-",CH707)+1,FIND("-",CH707,FIND("-",CH707)+1)-FIND("-",CH707)-1))),""))</f>
        <v/>
      </c>
      <c r="CO707">
        <f>IF(CH707="","",IFERROR(IF(AND(LEN(CH707)=9,ISERROR(FIND("-",LEFT(CH707,8))),ISNUMBER(-LEFT(CH707,8))),VALUE(MID(CH707,7,2)),VALUE(MID(CH707,FIND("-",CH707,FIND("-",CH707)+1)+1,FIND("-",CH707,FIND("-",CH707,FIND("-",CH707)+1)+1)-FIND("-",CH707,FIND("-",CH707)+1)-1))),""))</f>
        <v/>
      </c>
    </row>
    <row r="708">
      <c r="CH708">
        <f>IF(ISTEXT('월 가계부'!A708),SUBSTITUTE(SUBSTITUTE(SUBSTITUTE(SUBSTITUTE(SUBSTITUTE(SUBSTITUTE(SUBSTITUTE(SUBSTITUTE(SUBSTITUTE(TRIM('월 가계부'!A708),"년","-"),"월","-"),"일",""),".","-"),"/","-")," ","-"),"--","-"),"--","-"),"--","-")&amp;"-","")</f>
        <v/>
      </c>
      <c r="CI708">
        <f>IFERROR(IF('월 가계부'!A708="","",IF(ISNUMBER('월 가계부'!A708),IF(AND('월 가계부'!A708&gt;=19000101,'월 가계부'!A708&lt;=21001231),IF(AND(MOD(INT('월 가계부'!A708/100),100)&gt;=1,MOD(INT('월 가계부'!A708/100),100)&lt;=12,MOD(INT('월 가계부'!A708),100)&gt;=1,MOD(INT('월 가계부'!A708),100)&lt;=31),IF(MONTH(DATE(INT('월 가계부'!A708/10000),MOD(INT('월 가계부'!A708/100),100),MOD(INT('월 가계부'!A708),100)))=MOD(INT('월 가계부'!A708/100),100),DATE(INT('월 가계부'!A708/10000),MOD(INT('월 가계부'!A708/100),100),MOD(INT('월 가계부'!A708),100)),""),""),IF(AND('월 가계부'!A708&gt;=36526,'월 가계부'!A708&lt;73051),INT('월 가계부'!A708),"")),IF(OR(CM708="",CN708="",CO708=""),"",IF(AND(CM708&gt;=2000,CM708&lt;=2099,CN708&gt;=1,CN708&lt;=12,CO708&gt;=1,CO708&lt;=31),IF(MONTH(DATE(CM708,CN708,CO708))=CN708,DATE(CM708,CN708,CO708),""),"")))),"")</f>
        <v/>
      </c>
      <c r="CJ708">
        <f>IFERROR(IF('월 가계부'!C708="","",IF(ISNUMBER('월 가계부'!C708),'월 가계부'!C708,VALUE(SUBSTITUTE(SUBSTITUTE(SUBSTITUTE(SUBSTITUTE(TRIM('월 가계부'!C708),",",""),"원","")," ",""),"−","-")))),"")</f>
        <v/>
      </c>
      <c r="CK708">
        <f>IF(ISNUMBER(CI708),IF(CI708&lt;$B$13,CI708,""),"")</f>
        <v/>
      </c>
      <c r="CM708">
        <f>IF(CH708="","",IFERROR(IF(IF(AND(LEN(CH708)=9,ISERROR(FIND("-",LEFT(CH708,8))),ISNUMBER(-LEFT(CH708,8))),VALUE(LEFT(CH708,4)),VALUE(LEFT(CH708,FIND("-",CH708)-1)))&lt;100,IF(AND(LEN(CH708)=9,ISERROR(FIND("-",LEFT(CH708,8))),ISNUMBER(-LEFT(CH708,8))),VALUE(LEFT(CH708,4)),VALUE(LEFT(CH708,FIND("-",CH708)-1)))+2000,IF(AND(LEN(CH708)=9,ISERROR(FIND("-",LEFT(CH708,8))),ISNUMBER(-LEFT(CH708,8))),VALUE(LEFT(CH708,4)),VALUE(LEFT(CH708,FIND("-",CH708)-1)))),""))</f>
        <v/>
      </c>
      <c r="CN708">
        <f>IF(CH708="","",IFERROR(IF(AND(LEN(CH708)=9,ISERROR(FIND("-",LEFT(CH708,8))),ISNUMBER(-LEFT(CH708,8))),VALUE(MID(CH708,5,2)),VALUE(MID(CH708,FIND("-",CH708)+1,FIND("-",CH708,FIND("-",CH708)+1)-FIND("-",CH708)-1))),""))</f>
        <v/>
      </c>
      <c r="CO708">
        <f>IF(CH708="","",IFERROR(IF(AND(LEN(CH708)=9,ISERROR(FIND("-",LEFT(CH708,8))),ISNUMBER(-LEFT(CH708,8))),VALUE(MID(CH708,7,2)),VALUE(MID(CH708,FIND("-",CH708,FIND("-",CH708)+1)+1,FIND("-",CH708,FIND("-",CH708,FIND("-",CH708)+1)+1)-FIND("-",CH708,FIND("-",CH708)+1)-1))),""))</f>
        <v/>
      </c>
    </row>
    <row r="709">
      <c r="CH709">
        <f>IF(ISTEXT('월 가계부'!A709),SUBSTITUTE(SUBSTITUTE(SUBSTITUTE(SUBSTITUTE(SUBSTITUTE(SUBSTITUTE(SUBSTITUTE(SUBSTITUTE(SUBSTITUTE(TRIM('월 가계부'!A709),"년","-"),"월","-"),"일",""),".","-"),"/","-")," ","-"),"--","-"),"--","-"),"--","-")&amp;"-","")</f>
        <v/>
      </c>
      <c r="CI709">
        <f>IFERROR(IF('월 가계부'!A709="","",IF(ISNUMBER('월 가계부'!A709),IF(AND('월 가계부'!A709&gt;=19000101,'월 가계부'!A709&lt;=21001231),IF(AND(MOD(INT('월 가계부'!A709/100),100)&gt;=1,MOD(INT('월 가계부'!A709/100),100)&lt;=12,MOD(INT('월 가계부'!A709),100)&gt;=1,MOD(INT('월 가계부'!A709),100)&lt;=31),IF(MONTH(DATE(INT('월 가계부'!A709/10000),MOD(INT('월 가계부'!A709/100),100),MOD(INT('월 가계부'!A709),100)))=MOD(INT('월 가계부'!A709/100),100),DATE(INT('월 가계부'!A709/10000),MOD(INT('월 가계부'!A709/100),100),MOD(INT('월 가계부'!A709),100)),""),""),IF(AND('월 가계부'!A709&gt;=36526,'월 가계부'!A709&lt;73051),INT('월 가계부'!A709),"")),IF(OR(CM709="",CN709="",CO709=""),"",IF(AND(CM709&gt;=2000,CM709&lt;=2099,CN709&gt;=1,CN709&lt;=12,CO709&gt;=1,CO709&lt;=31),IF(MONTH(DATE(CM709,CN709,CO709))=CN709,DATE(CM709,CN709,CO709),""),"")))),"")</f>
        <v/>
      </c>
      <c r="CJ709">
        <f>IFERROR(IF('월 가계부'!C709="","",IF(ISNUMBER('월 가계부'!C709),'월 가계부'!C709,VALUE(SUBSTITUTE(SUBSTITUTE(SUBSTITUTE(SUBSTITUTE(TRIM('월 가계부'!C709),",",""),"원","")," ",""),"−","-")))),"")</f>
        <v/>
      </c>
      <c r="CK709">
        <f>IF(ISNUMBER(CI709),IF(CI709&lt;$B$13,CI709,""),"")</f>
        <v/>
      </c>
      <c r="CM709">
        <f>IF(CH709="","",IFERROR(IF(IF(AND(LEN(CH709)=9,ISERROR(FIND("-",LEFT(CH709,8))),ISNUMBER(-LEFT(CH709,8))),VALUE(LEFT(CH709,4)),VALUE(LEFT(CH709,FIND("-",CH709)-1)))&lt;100,IF(AND(LEN(CH709)=9,ISERROR(FIND("-",LEFT(CH709,8))),ISNUMBER(-LEFT(CH709,8))),VALUE(LEFT(CH709,4)),VALUE(LEFT(CH709,FIND("-",CH709)-1)))+2000,IF(AND(LEN(CH709)=9,ISERROR(FIND("-",LEFT(CH709,8))),ISNUMBER(-LEFT(CH709,8))),VALUE(LEFT(CH709,4)),VALUE(LEFT(CH709,FIND("-",CH709)-1)))),""))</f>
        <v/>
      </c>
      <c r="CN709">
        <f>IF(CH709="","",IFERROR(IF(AND(LEN(CH709)=9,ISERROR(FIND("-",LEFT(CH709,8))),ISNUMBER(-LEFT(CH709,8))),VALUE(MID(CH709,5,2)),VALUE(MID(CH709,FIND("-",CH709)+1,FIND("-",CH709,FIND("-",CH709)+1)-FIND("-",CH709)-1))),""))</f>
        <v/>
      </c>
      <c r="CO709">
        <f>IF(CH709="","",IFERROR(IF(AND(LEN(CH709)=9,ISERROR(FIND("-",LEFT(CH709,8))),ISNUMBER(-LEFT(CH709,8))),VALUE(MID(CH709,7,2)),VALUE(MID(CH709,FIND("-",CH709,FIND("-",CH709)+1)+1,FIND("-",CH709,FIND("-",CH709,FIND("-",CH709)+1)+1)-FIND("-",CH709,FIND("-",CH709)+1)-1))),""))</f>
        <v/>
      </c>
    </row>
    <row r="710">
      <c r="CH710">
        <f>IF(ISTEXT('월 가계부'!A710),SUBSTITUTE(SUBSTITUTE(SUBSTITUTE(SUBSTITUTE(SUBSTITUTE(SUBSTITUTE(SUBSTITUTE(SUBSTITUTE(SUBSTITUTE(TRIM('월 가계부'!A710),"년","-"),"월","-"),"일",""),".","-"),"/","-")," ","-"),"--","-"),"--","-"),"--","-")&amp;"-","")</f>
        <v/>
      </c>
      <c r="CI710">
        <f>IFERROR(IF('월 가계부'!A710="","",IF(ISNUMBER('월 가계부'!A710),IF(AND('월 가계부'!A710&gt;=19000101,'월 가계부'!A710&lt;=21001231),IF(AND(MOD(INT('월 가계부'!A710/100),100)&gt;=1,MOD(INT('월 가계부'!A710/100),100)&lt;=12,MOD(INT('월 가계부'!A710),100)&gt;=1,MOD(INT('월 가계부'!A710),100)&lt;=31),IF(MONTH(DATE(INT('월 가계부'!A710/10000),MOD(INT('월 가계부'!A710/100),100),MOD(INT('월 가계부'!A710),100)))=MOD(INT('월 가계부'!A710/100),100),DATE(INT('월 가계부'!A710/10000),MOD(INT('월 가계부'!A710/100),100),MOD(INT('월 가계부'!A710),100)),""),""),IF(AND('월 가계부'!A710&gt;=36526,'월 가계부'!A710&lt;73051),INT('월 가계부'!A710),"")),IF(OR(CM710="",CN710="",CO710=""),"",IF(AND(CM710&gt;=2000,CM710&lt;=2099,CN710&gt;=1,CN710&lt;=12,CO710&gt;=1,CO710&lt;=31),IF(MONTH(DATE(CM710,CN710,CO710))=CN710,DATE(CM710,CN710,CO710),""),"")))),"")</f>
        <v/>
      </c>
      <c r="CJ710">
        <f>IFERROR(IF('월 가계부'!C710="","",IF(ISNUMBER('월 가계부'!C710),'월 가계부'!C710,VALUE(SUBSTITUTE(SUBSTITUTE(SUBSTITUTE(SUBSTITUTE(TRIM('월 가계부'!C710),",",""),"원","")," ",""),"−","-")))),"")</f>
        <v/>
      </c>
      <c r="CK710">
        <f>IF(ISNUMBER(CI710),IF(CI710&lt;$B$13,CI710,""),"")</f>
        <v/>
      </c>
      <c r="CM710">
        <f>IF(CH710="","",IFERROR(IF(IF(AND(LEN(CH710)=9,ISERROR(FIND("-",LEFT(CH710,8))),ISNUMBER(-LEFT(CH710,8))),VALUE(LEFT(CH710,4)),VALUE(LEFT(CH710,FIND("-",CH710)-1)))&lt;100,IF(AND(LEN(CH710)=9,ISERROR(FIND("-",LEFT(CH710,8))),ISNUMBER(-LEFT(CH710,8))),VALUE(LEFT(CH710,4)),VALUE(LEFT(CH710,FIND("-",CH710)-1)))+2000,IF(AND(LEN(CH710)=9,ISERROR(FIND("-",LEFT(CH710,8))),ISNUMBER(-LEFT(CH710,8))),VALUE(LEFT(CH710,4)),VALUE(LEFT(CH710,FIND("-",CH710)-1)))),""))</f>
        <v/>
      </c>
      <c r="CN710">
        <f>IF(CH710="","",IFERROR(IF(AND(LEN(CH710)=9,ISERROR(FIND("-",LEFT(CH710,8))),ISNUMBER(-LEFT(CH710,8))),VALUE(MID(CH710,5,2)),VALUE(MID(CH710,FIND("-",CH710)+1,FIND("-",CH710,FIND("-",CH710)+1)-FIND("-",CH710)-1))),""))</f>
        <v/>
      </c>
      <c r="CO710">
        <f>IF(CH710="","",IFERROR(IF(AND(LEN(CH710)=9,ISERROR(FIND("-",LEFT(CH710,8))),ISNUMBER(-LEFT(CH710,8))),VALUE(MID(CH710,7,2)),VALUE(MID(CH710,FIND("-",CH710,FIND("-",CH710)+1)+1,FIND("-",CH710,FIND("-",CH710,FIND("-",CH710)+1)+1)-FIND("-",CH710,FIND("-",CH710)+1)-1))),""))</f>
        <v/>
      </c>
    </row>
    <row r="711">
      <c r="CH711">
        <f>IF(ISTEXT('월 가계부'!A711),SUBSTITUTE(SUBSTITUTE(SUBSTITUTE(SUBSTITUTE(SUBSTITUTE(SUBSTITUTE(SUBSTITUTE(SUBSTITUTE(SUBSTITUTE(TRIM('월 가계부'!A711),"년","-"),"월","-"),"일",""),".","-"),"/","-")," ","-"),"--","-"),"--","-"),"--","-")&amp;"-","")</f>
        <v/>
      </c>
      <c r="CI711">
        <f>IFERROR(IF('월 가계부'!A711="","",IF(ISNUMBER('월 가계부'!A711),IF(AND('월 가계부'!A711&gt;=19000101,'월 가계부'!A711&lt;=21001231),IF(AND(MOD(INT('월 가계부'!A711/100),100)&gt;=1,MOD(INT('월 가계부'!A711/100),100)&lt;=12,MOD(INT('월 가계부'!A711),100)&gt;=1,MOD(INT('월 가계부'!A711),100)&lt;=31),IF(MONTH(DATE(INT('월 가계부'!A711/10000),MOD(INT('월 가계부'!A711/100),100),MOD(INT('월 가계부'!A711),100)))=MOD(INT('월 가계부'!A711/100),100),DATE(INT('월 가계부'!A711/10000),MOD(INT('월 가계부'!A711/100),100),MOD(INT('월 가계부'!A711),100)),""),""),IF(AND('월 가계부'!A711&gt;=36526,'월 가계부'!A711&lt;73051),INT('월 가계부'!A711),"")),IF(OR(CM711="",CN711="",CO711=""),"",IF(AND(CM711&gt;=2000,CM711&lt;=2099,CN711&gt;=1,CN711&lt;=12,CO711&gt;=1,CO711&lt;=31),IF(MONTH(DATE(CM711,CN711,CO711))=CN711,DATE(CM711,CN711,CO711),""),"")))),"")</f>
        <v/>
      </c>
      <c r="CJ711">
        <f>IFERROR(IF('월 가계부'!C711="","",IF(ISNUMBER('월 가계부'!C711),'월 가계부'!C711,VALUE(SUBSTITUTE(SUBSTITUTE(SUBSTITUTE(SUBSTITUTE(TRIM('월 가계부'!C711),",",""),"원","")," ",""),"−","-")))),"")</f>
        <v/>
      </c>
      <c r="CK711">
        <f>IF(ISNUMBER(CI711),IF(CI711&lt;$B$13,CI711,""),"")</f>
        <v/>
      </c>
      <c r="CM711">
        <f>IF(CH711="","",IFERROR(IF(IF(AND(LEN(CH711)=9,ISERROR(FIND("-",LEFT(CH711,8))),ISNUMBER(-LEFT(CH711,8))),VALUE(LEFT(CH711,4)),VALUE(LEFT(CH711,FIND("-",CH711)-1)))&lt;100,IF(AND(LEN(CH711)=9,ISERROR(FIND("-",LEFT(CH711,8))),ISNUMBER(-LEFT(CH711,8))),VALUE(LEFT(CH711,4)),VALUE(LEFT(CH711,FIND("-",CH711)-1)))+2000,IF(AND(LEN(CH711)=9,ISERROR(FIND("-",LEFT(CH711,8))),ISNUMBER(-LEFT(CH711,8))),VALUE(LEFT(CH711,4)),VALUE(LEFT(CH711,FIND("-",CH711)-1)))),""))</f>
        <v/>
      </c>
      <c r="CN711">
        <f>IF(CH711="","",IFERROR(IF(AND(LEN(CH711)=9,ISERROR(FIND("-",LEFT(CH711,8))),ISNUMBER(-LEFT(CH711,8))),VALUE(MID(CH711,5,2)),VALUE(MID(CH711,FIND("-",CH711)+1,FIND("-",CH711,FIND("-",CH711)+1)-FIND("-",CH711)-1))),""))</f>
        <v/>
      </c>
      <c r="CO711">
        <f>IF(CH711="","",IFERROR(IF(AND(LEN(CH711)=9,ISERROR(FIND("-",LEFT(CH711,8))),ISNUMBER(-LEFT(CH711,8))),VALUE(MID(CH711,7,2)),VALUE(MID(CH711,FIND("-",CH711,FIND("-",CH711)+1)+1,FIND("-",CH711,FIND("-",CH711,FIND("-",CH711)+1)+1)-FIND("-",CH711,FIND("-",CH711)+1)-1))),""))</f>
        <v/>
      </c>
    </row>
    <row r="712">
      <c r="CH712">
        <f>IF(ISTEXT('월 가계부'!A712),SUBSTITUTE(SUBSTITUTE(SUBSTITUTE(SUBSTITUTE(SUBSTITUTE(SUBSTITUTE(SUBSTITUTE(SUBSTITUTE(SUBSTITUTE(TRIM('월 가계부'!A712),"년","-"),"월","-"),"일",""),".","-"),"/","-")," ","-"),"--","-"),"--","-"),"--","-")&amp;"-","")</f>
        <v/>
      </c>
      <c r="CI712">
        <f>IFERROR(IF('월 가계부'!A712="","",IF(ISNUMBER('월 가계부'!A712),IF(AND('월 가계부'!A712&gt;=19000101,'월 가계부'!A712&lt;=21001231),IF(AND(MOD(INT('월 가계부'!A712/100),100)&gt;=1,MOD(INT('월 가계부'!A712/100),100)&lt;=12,MOD(INT('월 가계부'!A712),100)&gt;=1,MOD(INT('월 가계부'!A712),100)&lt;=31),IF(MONTH(DATE(INT('월 가계부'!A712/10000),MOD(INT('월 가계부'!A712/100),100),MOD(INT('월 가계부'!A712),100)))=MOD(INT('월 가계부'!A712/100),100),DATE(INT('월 가계부'!A712/10000),MOD(INT('월 가계부'!A712/100),100),MOD(INT('월 가계부'!A712),100)),""),""),IF(AND('월 가계부'!A712&gt;=36526,'월 가계부'!A712&lt;73051),INT('월 가계부'!A712),"")),IF(OR(CM712="",CN712="",CO712=""),"",IF(AND(CM712&gt;=2000,CM712&lt;=2099,CN712&gt;=1,CN712&lt;=12,CO712&gt;=1,CO712&lt;=31),IF(MONTH(DATE(CM712,CN712,CO712))=CN712,DATE(CM712,CN712,CO712),""),"")))),"")</f>
        <v/>
      </c>
      <c r="CJ712">
        <f>IFERROR(IF('월 가계부'!C712="","",IF(ISNUMBER('월 가계부'!C712),'월 가계부'!C712,VALUE(SUBSTITUTE(SUBSTITUTE(SUBSTITUTE(SUBSTITUTE(TRIM('월 가계부'!C712),",",""),"원","")," ",""),"−","-")))),"")</f>
        <v/>
      </c>
      <c r="CK712">
        <f>IF(ISNUMBER(CI712),IF(CI712&lt;$B$13,CI712,""),"")</f>
        <v/>
      </c>
      <c r="CM712">
        <f>IF(CH712="","",IFERROR(IF(IF(AND(LEN(CH712)=9,ISERROR(FIND("-",LEFT(CH712,8))),ISNUMBER(-LEFT(CH712,8))),VALUE(LEFT(CH712,4)),VALUE(LEFT(CH712,FIND("-",CH712)-1)))&lt;100,IF(AND(LEN(CH712)=9,ISERROR(FIND("-",LEFT(CH712,8))),ISNUMBER(-LEFT(CH712,8))),VALUE(LEFT(CH712,4)),VALUE(LEFT(CH712,FIND("-",CH712)-1)))+2000,IF(AND(LEN(CH712)=9,ISERROR(FIND("-",LEFT(CH712,8))),ISNUMBER(-LEFT(CH712,8))),VALUE(LEFT(CH712,4)),VALUE(LEFT(CH712,FIND("-",CH712)-1)))),""))</f>
        <v/>
      </c>
      <c r="CN712">
        <f>IF(CH712="","",IFERROR(IF(AND(LEN(CH712)=9,ISERROR(FIND("-",LEFT(CH712,8))),ISNUMBER(-LEFT(CH712,8))),VALUE(MID(CH712,5,2)),VALUE(MID(CH712,FIND("-",CH712)+1,FIND("-",CH712,FIND("-",CH712)+1)-FIND("-",CH712)-1))),""))</f>
        <v/>
      </c>
      <c r="CO712">
        <f>IF(CH712="","",IFERROR(IF(AND(LEN(CH712)=9,ISERROR(FIND("-",LEFT(CH712,8))),ISNUMBER(-LEFT(CH712,8))),VALUE(MID(CH712,7,2)),VALUE(MID(CH712,FIND("-",CH712,FIND("-",CH712)+1)+1,FIND("-",CH712,FIND("-",CH712,FIND("-",CH712)+1)+1)-FIND("-",CH712,FIND("-",CH712)+1)-1))),""))</f>
        <v/>
      </c>
    </row>
    <row r="713">
      <c r="CH713">
        <f>IF(ISTEXT('월 가계부'!A713),SUBSTITUTE(SUBSTITUTE(SUBSTITUTE(SUBSTITUTE(SUBSTITUTE(SUBSTITUTE(SUBSTITUTE(SUBSTITUTE(SUBSTITUTE(TRIM('월 가계부'!A713),"년","-"),"월","-"),"일",""),".","-"),"/","-")," ","-"),"--","-"),"--","-"),"--","-")&amp;"-","")</f>
        <v/>
      </c>
      <c r="CI713">
        <f>IFERROR(IF('월 가계부'!A713="","",IF(ISNUMBER('월 가계부'!A713),IF(AND('월 가계부'!A713&gt;=19000101,'월 가계부'!A713&lt;=21001231),IF(AND(MOD(INT('월 가계부'!A713/100),100)&gt;=1,MOD(INT('월 가계부'!A713/100),100)&lt;=12,MOD(INT('월 가계부'!A713),100)&gt;=1,MOD(INT('월 가계부'!A713),100)&lt;=31),IF(MONTH(DATE(INT('월 가계부'!A713/10000),MOD(INT('월 가계부'!A713/100),100),MOD(INT('월 가계부'!A713),100)))=MOD(INT('월 가계부'!A713/100),100),DATE(INT('월 가계부'!A713/10000),MOD(INT('월 가계부'!A713/100),100),MOD(INT('월 가계부'!A713),100)),""),""),IF(AND('월 가계부'!A713&gt;=36526,'월 가계부'!A713&lt;73051),INT('월 가계부'!A713),"")),IF(OR(CM713="",CN713="",CO713=""),"",IF(AND(CM713&gt;=2000,CM713&lt;=2099,CN713&gt;=1,CN713&lt;=12,CO713&gt;=1,CO713&lt;=31),IF(MONTH(DATE(CM713,CN713,CO713))=CN713,DATE(CM713,CN713,CO713),""),"")))),"")</f>
        <v/>
      </c>
      <c r="CJ713">
        <f>IFERROR(IF('월 가계부'!C713="","",IF(ISNUMBER('월 가계부'!C713),'월 가계부'!C713,VALUE(SUBSTITUTE(SUBSTITUTE(SUBSTITUTE(SUBSTITUTE(TRIM('월 가계부'!C713),",",""),"원","")," ",""),"−","-")))),"")</f>
        <v/>
      </c>
      <c r="CK713">
        <f>IF(ISNUMBER(CI713),IF(CI713&lt;$B$13,CI713,""),"")</f>
        <v/>
      </c>
      <c r="CM713">
        <f>IF(CH713="","",IFERROR(IF(IF(AND(LEN(CH713)=9,ISERROR(FIND("-",LEFT(CH713,8))),ISNUMBER(-LEFT(CH713,8))),VALUE(LEFT(CH713,4)),VALUE(LEFT(CH713,FIND("-",CH713)-1)))&lt;100,IF(AND(LEN(CH713)=9,ISERROR(FIND("-",LEFT(CH713,8))),ISNUMBER(-LEFT(CH713,8))),VALUE(LEFT(CH713,4)),VALUE(LEFT(CH713,FIND("-",CH713)-1)))+2000,IF(AND(LEN(CH713)=9,ISERROR(FIND("-",LEFT(CH713,8))),ISNUMBER(-LEFT(CH713,8))),VALUE(LEFT(CH713,4)),VALUE(LEFT(CH713,FIND("-",CH713)-1)))),""))</f>
        <v/>
      </c>
      <c r="CN713">
        <f>IF(CH713="","",IFERROR(IF(AND(LEN(CH713)=9,ISERROR(FIND("-",LEFT(CH713,8))),ISNUMBER(-LEFT(CH713,8))),VALUE(MID(CH713,5,2)),VALUE(MID(CH713,FIND("-",CH713)+1,FIND("-",CH713,FIND("-",CH713)+1)-FIND("-",CH713)-1))),""))</f>
        <v/>
      </c>
      <c r="CO713">
        <f>IF(CH713="","",IFERROR(IF(AND(LEN(CH713)=9,ISERROR(FIND("-",LEFT(CH713,8))),ISNUMBER(-LEFT(CH713,8))),VALUE(MID(CH713,7,2)),VALUE(MID(CH713,FIND("-",CH713,FIND("-",CH713)+1)+1,FIND("-",CH713,FIND("-",CH713,FIND("-",CH713)+1)+1)-FIND("-",CH713,FIND("-",CH713)+1)-1))),""))</f>
        <v/>
      </c>
    </row>
    <row r="714">
      <c r="CH714">
        <f>IF(ISTEXT('월 가계부'!A714),SUBSTITUTE(SUBSTITUTE(SUBSTITUTE(SUBSTITUTE(SUBSTITUTE(SUBSTITUTE(SUBSTITUTE(SUBSTITUTE(SUBSTITUTE(TRIM('월 가계부'!A714),"년","-"),"월","-"),"일",""),".","-"),"/","-")," ","-"),"--","-"),"--","-"),"--","-")&amp;"-","")</f>
        <v/>
      </c>
      <c r="CI714">
        <f>IFERROR(IF('월 가계부'!A714="","",IF(ISNUMBER('월 가계부'!A714),IF(AND('월 가계부'!A714&gt;=19000101,'월 가계부'!A714&lt;=21001231),IF(AND(MOD(INT('월 가계부'!A714/100),100)&gt;=1,MOD(INT('월 가계부'!A714/100),100)&lt;=12,MOD(INT('월 가계부'!A714),100)&gt;=1,MOD(INT('월 가계부'!A714),100)&lt;=31),IF(MONTH(DATE(INT('월 가계부'!A714/10000),MOD(INT('월 가계부'!A714/100),100),MOD(INT('월 가계부'!A714),100)))=MOD(INT('월 가계부'!A714/100),100),DATE(INT('월 가계부'!A714/10000),MOD(INT('월 가계부'!A714/100),100),MOD(INT('월 가계부'!A714),100)),""),""),IF(AND('월 가계부'!A714&gt;=36526,'월 가계부'!A714&lt;73051),INT('월 가계부'!A714),"")),IF(OR(CM714="",CN714="",CO714=""),"",IF(AND(CM714&gt;=2000,CM714&lt;=2099,CN714&gt;=1,CN714&lt;=12,CO714&gt;=1,CO714&lt;=31),IF(MONTH(DATE(CM714,CN714,CO714))=CN714,DATE(CM714,CN714,CO714),""),"")))),"")</f>
        <v/>
      </c>
      <c r="CJ714">
        <f>IFERROR(IF('월 가계부'!C714="","",IF(ISNUMBER('월 가계부'!C714),'월 가계부'!C714,VALUE(SUBSTITUTE(SUBSTITUTE(SUBSTITUTE(SUBSTITUTE(TRIM('월 가계부'!C714),",",""),"원","")," ",""),"−","-")))),"")</f>
        <v/>
      </c>
      <c r="CK714">
        <f>IF(ISNUMBER(CI714),IF(CI714&lt;$B$13,CI714,""),"")</f>
        <v/>
      </c>
      <c r="CM714">
        <f>IF(CH714="","",IFERROR(IF(IF(AND(LEN(CH714)=9,ISERROR(FIND("-",LEFT(CH714,8))),ISNUMBER(-LEFT(CH714,8))),VALUE(LEFT(CH714,4)),VALUE(LEFT(CH714,FIND("-",CH714)-1)))&lt;100,IF(AND(LEN(CH714)=9,ISERROR(FIND("-",LEFT(CH714,8))),ISNUMBER(-LEFT(CH714,8))),VALUE(LEFT(CH714,4)),VALUE(LEFT(CH714,FIND("-",CH714)-1)))+2000,IF(AND(LEN(CH714)=9,ISERROR(FIND("-",LEFT(CH714,8))),ISNUMBER(-LEFT(CH714,8))),VALUE(LEFT(CH714,4)),VALUE(LEFT(CH714,FIND("-",CH714)-1)))),""))</f>
        <v/>
      </c>
      <c r="CN714">
        <f>IF(CH714="","",IFERROR(IF(AND(LEN(CH714)=9,ISERROR(FIND("-",LEFT(CH714,8))),ISNUMBER(-LEFT(CH714,8))),VALUE(MID(CH714,5,2)),VALUE(MID(CH714,FIND("-",CH714)+1,FIND("-",CH714,FIND("-",CH714)+1)-FIND("-",CH714)-1))),""))</f>
        <v/>
      </c>
      <c r="CO714">
        <f>IF(CH714="","",IFERROR(IF(AND(LEN(CH714)=9,ISERROR(FIND("-",LEFT(CH714,8))),ISNUMBER(-LEFT(CH714,8))),VALUE(MID(CH714,7,2)),VALUE(MID(CH714,FIND("-",CH714,FIND("-",CH714)+1)+1,FIND("-",CH714,FIND("-",CH714,FIND("-",CH714)+1)+1)-FIND("-",CH714,FIND("-",CH714)+1)-1))),""))</f>
        <v/>
      </c>
    </row>
    <row r="715">
      <c r="CH715">
        <f>IF(ISTEXT('월 가계부'!A715),SUBSTITUTE(SUBSTITUTE(SUBSTITUTE(SUBSTITUTE(SUBSTITUTE(SUBSTITUTE(SUBSTITUTE(SUBSTITUTE(SUBSTITUTE(TRIM('월 가계부'!A715),"년","-"),"월","-"),"일",""),".","-"),"/","-")," ","-"),"--","-"),"--","-"),"--","-")&amp;"-","")</f>
        <v/>
      </c>
      <c r="CI715">
        <f>IFERROR(IF('월 가계부'!A715="","",IF(ISNUMBER('월 가계부'!A715),IF(AND('월 가계부'!A715&gt;=19000101,'월 가계부'!A715&lt;=21001231),IF(AND(MOD(INT('월 가계부'!A715/100),100)&gt;=1,MOD(INT('월 가계부'!A715/100),100)&lt;=12,MOD(INT('월 가계부'!A715),100)&gt;=1,MOD(INT('월 가계부'!A715),100)&lt;=31),IF(MONTH(DATE(INT('월 가계부'!A715/10000),MOD(INT('월 가계부'!A715/100),100),MOD(INT('월 가계부'!A715),100)))=MOD(INT('월 가계부'!A715/100),100),DATE(INT('월 가계부'!A715/10000),MOD(INT('월 가계부'!A715/100),100),MOD(INT('월 가계부'!A715),100)),""),""),IF(AND('월 가계부'!A715&gt;=36526,'월 가계부'!A715&lt;73051),INT('월 가계부'!A715),"")),IF(OR(CM715="",CN715="",CO715=""),"",IF(AND(CM715&gt;=2000,CM715&lt;=2099,CN715&gt;=1,CN715&lt;=12,CO715&gt;=1,CO715&lt;=31),IF(MONTH(DATE(CM715,CN715,CO715))=CN715,DATE(CM715,CN715,CO715),""),"")))),"")</f>
        <v/>
      </c>
      <c r="CJ715">
        <f>IFERROR(IF('월 가계부'!C715="","",IF(ISNUMBER('월 가계부'!C715),'월 가계부'!C715,VALUE(SUBSTITUTE(SUBSTITUTE(SUBSTITUTE(SUBSTITUTE(TRIM('월 가계부'!C715),",",""),"원","")," ",""),"−","-")))),"")</f>
        <v/>
      </c>
      <c r="CK715">
        <f>IF(ISNUMBER(CI715),IF(CI715&lt;$B$13,CI715,""),"")</f>
        <v/>
      </c>
      <c r="CM715">
        <f>IF(CH715="","",IFERROR(IF(IF(AND(LEN(CH715)=9,ISERROR(FIND("-",LEFT(CH715,8))),ISNUMBER(-LEFT(CH715,8))),VALUE(LEFT(CH715,4)),VALUE(LEFT(CH715,FIND("-",CH715)-1)))&lt;100,IF(AND(LEN(CH715)=9,ISERROR(FIND("-",LEFT(CH715,8))),ISNUMBER(-LEFT(CH715,8))),VALUE(LEFT(CH715,4)),VALUE(LEFT(CH715,FIND("-",CH715)-1)))+2000,IF(AND(LEN(CH715)=9,ISERROR(FIND("-",LEFT(CH715,8))),ISNUMBER(-LEFT(CH715,8))),VALUE(LEFT(CH715,4)),VALUE(LEFT(CH715,FIND("-",CH715)-1)))),""))</f>
        <v/>
      </c>
      <c r="CN715">
        <f>IF(CH715="","",IFERROR(IF(AND(LEN(CH715)=9,ISERROR(FIND("-",LEFT(CH715,8))),ISNUMBER(-LEFT(CH715,8))),VALUE(MID(CH715,5,2)),VALUE(MID(CH715,FIND("-",CH715)+1,FIND("-",CH715,FIND("-",CH715)+1)-FIND("-",CH715)-1))),""))</f>
        <v/>
      </c>
      <c r="CO715">
        <f>IF(CH715="","",IFERROR(IF(AND(LEN(CH715)=9,ISERROR(FIND("-",LEFT(CH715,8))),ISNUMBER(-LEFT(CH715,8))),VALUE(MID(CH715,7,2)),VALUE(MID(CH715,FIND("-",CH715,FIND("-",CH715)+1)+1,FIND("-",CH715,FIND("-",CH715,FIND("-",CH715)+1)+1)-FIND("-",CH715,FIND("-",CH715)+1)-1))),""))</f>
        <v/>
      </c>
    </row>
    <row r="716">
      <c r="CH716">
        <f>IF(ISTEXT('월 가계부'!A716),SUBSTITUTE(SUBSTITUTE(SUBSTITUTE(SUBSTITUTE(SUBSTITUTE(SUBSTITUTE(SUBSTITUTE(SUBSTITUTE(SUBSTITUTE(TRIM('월 가계부'!A716),"년","-"),"월","-"),"일",""),".","-"),"/","-")," ","-"),"--","-"),"--","-"),"--","-")&amp;"-","")</f>
        <v/>
      </c>
      <c r="CI716">
        <f>IFERROR(IF('월 가계부'!A716="","",IF(ISNUMBER('월 가계부'!A716),IF(AND('월 가계부'!A716&gt;=19000101,'월 가계부'!A716&lt;=21001231),IF(AND(MOD(INT('월 가계부'!A716/100),100)&gt;=1,MOD(INT('월 가계부'!A716/100),100)&lt;=12,MOD(INT('월 가계부'!A716),100)&gt;=1,MOD(INT('월 가계부'!A716),100)&lt;=31),IF(MONTH(DATE(INT('월 가계부'!A716/10000),MOD(INT('월 가계부'!A716/100),100),MOD(INT('월 가계부'!A716),100)))=MOD(INT('월 가계부'!A716/100),100),DATE(INT('월 가계부'!A716/10000),MOD(INT('월 가계부'!A716/100),100),MOD(INT('월 가계부'!A716),100)),""),""),IF(AND('월 가계부'!A716&gt;=36526,'월 가계부'!A716&lt;73051),INT('월 가계부'!A716),"")),IF(OR(CM716="",CN716="",CO716=""),"",IF(AND(CM716&gt;=2000,CM716&lt;=2099,CN716&gt;=1,CN716&lt;=12,CO716&gt;=1,CO716&lt;=31),IF(MONTH(DATE(CM716,CN716,CO716))=CN716,DATE(CM716,CN716,CO716),""),"")))),"")</f>
        <v/>
      </c>
      <c r="CJ716">
        <f>IFERROR(IF('월 가계부'!C716="","",IF(ISNUMBER('월 가계부'!C716),'월 가계부'!C716,VALUE(SUBSTITUTE(SUBSTITUTE(SUBSTITUTE(SUBSTITUTE(TRIM('월 가계부'!C716),",",""),"원","")," ",""),"−","-")))),"")</f>
        <v/>
      </c>
      <c r="CK716">
        <f>IF(ISNUMBER(CI716),IF(CI716&lt;$B$13,CI716,""),"")</f>
        <v/>
      </c>
      <c r="CM716">
        <f>IF(CH716="","",IFERROR(IF(IF(AND(LEN(CH716)=9,ISERROR(FIND("-",LEFT(CH716,8))),ISNUMBER(-LEFT(CH716,8))),VALUE(LEFT(CH716,4)),VALUE(LEFT(CH716,FIND("-",CH716)-1)))&lt;100,IF(AND(LEN(CH716)=9,ISERROR(FIND("-",LEFT(CH716,8))),ISNUMBER(-LEFT(CH716,8))),VALUE(LEFT(CH716,4)),VALUE(LEFT(CH716,FIND("-",CH716)-1)))+2000,IF(AND(LEN(CH716)=9,ISERROR(FIND("-",LEFT(CH716,8))),ISNUMBER(-LEFT(CH716,8))),VALUE(LEFT(CH716,4)),VALUE(LEFT(CH716,FIND("-",CH716)-1)))),""))</f>
        <v/>
      </c>
      <c r="CN716">
        <f>IF(CH716="","",IFERROR(IF(AND(LEN(CH716)=9,ISERROR(FIND("-",LEFT(CH716,8))),ISNUMBER(-LEFT(CH716,8))),VALUE(MID(CH716,5,2)),VALUE(MID(CH716,FIND("-",CH716)+1,FIND("-",CH716,FIND("-",CH716)+1)-FIND("-",CH716)-1))),""))</f>
        <v/>
      </c>
      <c r="CO716">
        <f>IF(CH716="","",IFERROR(IF(AND(LEN(CH716)=9,ISERROR(FIND("-",LEFT(CH716,8))),ISNUMBER(-LEFT(CH716,8))),VALUE(MID(CH716,7,2)),VALUE(MID(CH716,FIND("-",CH716,FIND("-",CH716)+1)+1,FIND("-",CH716,FIND("-",CH716,FIND("-",CH716)+1)+1)-FIND("-",CH716,FIND("-",CH716)+1)-1))),""))</f>
        <v/>
      </c>
    </row>
    <row r="717">
      <c r="CH717">
        <f>IF(ISTEXT('월 가계부'!A717),SUBSTITUTE(SUBSTITUTE(SUBSTITUTE(SUBSTITUTE(SUBSTITUTE(SUBSTITUTE(SUBSTITUTE(SUBSTITUTE(SUBSTITUTE(TRIM('월 가계부'!A717),"년","-"),"월","-"),"일",""),".","-"),"/","-")," ","-"),"--","-"),"--","-"),"--","-")&amp;"-","")</f>
        <v/>
      </c>
      <c r="CI717">
        <f>IFERROR(IF('월 가계부'!A717="","",IF(ISNUMBER('월 가계부'!A717),IF(AND('월 가계부'!A717&gt;=19000101,'월 가계부'!A717&lt;=21001231),IF(AND(MOD(INT('월 가계부'!A717/100),100)&gt;=1,MOD(INT('월 가계부'!A717/100),100)&lt;=12,MOD(INT('월 가계부'!A717),100)&gt;=1,MOD(INT('월 가계부'!A717),100)&lt;=31),IF(MONTH(DATE(INT('월 가계부'!A717/10000),MOD(INT('월 가계부'!A717/100),100),MOD(INT('월 가계부'!A717),100)))=MOD(INT('월 가계부'!A717/100),100),DATE(INT('월 가계부'!A717/10000),MOD(INT('월 가계부'!A717/100),100),MOD(INT('월 가계부'!A717),100)),""),""),IF(AND('월 가계부'!A717&gt;=36526,'월 가계부'!A717&lt;73051),INT('월 가계부'!A717),"")),IF(OR(CM717="",CN717="",CO717=""),"",IF(AND(CM717&gt;=2000,CM717&lt;=2099,CN717&gt;=1,CN717&lt;=12,CO717&gt;=1,CO717&lt;=31),IF(MONTH(DATE(CM717,CN717,CO717))=CN717,DATE(CM717,CN717,CO717),""),"")))),"")</f>
        <v/>
      </c>
      <c r="CJ717">
        <f>IFERROR(IF('월 가계부'!C717="","",IF(ISNUMBER('월 가계부'!C717),'월 가계부'!C717,VALUE(SUBSTITUTE(SUBSTITUTE(SUBSTITUTE(SUBSTITUTE(TRIM('월 가계부'!C717),",",""),"원","")," ",""),"−","-")))),"")</f>
        <v/>
      </c>
      <c r="CK717">
        <f>IF(ISNUMBER(CI717),IF(CI717&lt;$B$13,CI717,""),"")</f>
        <v/>
      </c>
      <c r="CM717">
        <f>IF(CH717="","",IFERROR(IF(IF(AND(LEN(CH717)=9,ISERROR(FIND("-",LEFT(CH717,8))),ISNUMBER(-LEFT(CH717,8))),VALUE(LEFT(CH717,4)),VALUE(LEFT(CH717,FIND("-",CH717)-1)))&lt;100,IF(AND(LEN(CH717)=9,ISERROR(FIND("-",LEFT(CH717,8))),ISNUMBER(-LEFT(CH717,8))),VALUE(LEFT(CH717,4)),VALUE(LEFT(CH717,FIND("-",CH717)-1)))+2000,IF(AND(LEN(CH717)=9,ISERROR(FIND("-",LEFT(CH717,8))),ISNUMBER(-LEFT(CH717,8))),VALUE(LEFT(CH717,4)),VALUE(LEFT(CH717,FIND("-",CH717)-1)))),""))</f>
        <v/>
      </c>
      <c r="CN717">
        <f>IF(CH717="","",IFERROR(IF(AND(LEN(CH717)=9,ISERROR(FIND("-",LEFT(CH717,8))),ISNUMBER(-LEFT(CH717,8))),VALUE(MID(CH717,5,2)),VALUE(MID(CH717,FIND("-",CH717)+1,FIND("-",CH717,FIND("-",CH717)+1)-FIND("-",CH717)-1))),""))</f>
        <v/>
      </c>
      <c r="CO717">
        <f>IF(CH717="","",IFERROR(IF(AND(LEN(CH717)=9,ISERROR(FIND("-",LEFT(CH717,8))),ISNUMBER(-LEFT(CH717,8))),VALUE(MID(CH717,7,2)),VALUE(MID(CH717,FIND("-",CH717,FIND("-",CH717)+1)+1,FIND("-",CH717,FIND("-",CH717,FIND("-",CH717)+1)+1)-FIND("-",CH717,FIND("-",CH717)+1)-1))),""))</f>
        <v/>
      </c>
    </row>
    <row r="718">
      <c r="CH718">
        <f>IF(ISTEXT('월 가계부'!A718),SUBSTITUTE(SUBSTITUTE(SUBSTITUTE(SUBSTITUTE(SUBSTITUTE(SUBSTITUTE(SUBSTITUTE(SUBSTITUTE(SUBSTITUTE(TRIM('월 가계부'!A718),"년","-"),"월","-"),"일",""),".","-"),"/","-")," ","-"),"--","-"),"--","-"),"--","-")&amp;"-","")</f>
        <v/>
      </c>
      <c r="CI718">
        <f>IFERROR(IF('월 가계부'!A718="","",IF(ISNUMBER('월 가계부'!A718),IF(AND('월 가계부'!A718&gt;=19000101,'월 가계부'!A718&lt;=21001231),IF(AND(MOD(INT('월 가계부'!A718/100),100)&gt;=1,MOD(INT('월 가계부'!A718/100),100)&lt;=12,MOD(INT('월 가계부'!A718),100)&gt;=1,MOD(INT('월 가계부'!A718),100)&lt;=31),IF(MONTH(DATE(INT('월 가계부'!A718/10000),MOD(INT('월 가계부'!A718/100),100),MOD(INT('월 가계부'!A718),100)))=MOD(INT('월 가계부'!A718/100),100),DATE(INT('월 가계부'!A718/10000),MOD(INT('월 가계부'!A718/100),100),MOD(INT('월 가계부'!A718),100)),""),""),IF(AND('월 가계부'!A718&gt;=36526,'월 가계부'!A718&lt;73051),INT('월 가계부'!A718),"")),IF(OR(CM718="",CN718="",CO718=""),"",IF(AND(CM718&gt;=2000,CM718&lt;=2099,CN718&gt;=1,CN718&lt;=12,CO718&gt;=1,CO718&lt;=31),IF(MONTH(DATE(CM718,CN718,CO718))=CN718,DATE(CM718,CN718,CO718),""),"")))),"")</f>
        <v/>
      </c>
      <c r="CJ718">
        <f>IFERROR(IF('월 가계부'!C718="","",IF(ISNUMBER('월 가계부'!C718),'월 가계부'!C718,VALUE(SUBSTITUTE(SUBSTITUTE(SUBSTITUTE(SUBSTITUTE(TRIM('월 가계부'!C718),",",""),"원","")," ",""),"−","-")))),"")</f>
        <v/>
      </c>
      <c r="CK718">
        <f>IF(ISNUMBER(CI718),IF(CI718&lt;$B$13,CI718,""),"")</f>
        <v/>
      </c>
      <c r="CM718">
        <f>IF(CH718="","",IFERROR(IF(IF(AND(LEN(CH718)=9,ISERROR(FIND("-",LEFT(CH718,8))),ISNUMBER(-LEFT(CH718,8))),VALUE(LEFT(CH718,4)),VALUE(LEFT(CH718,FIND("-",CH718)-1)))&lt;100,IF(AND(LEN(CH718)=9,ISERROR(FIND("-",LEFT(CH718,8))),ISNUMBER(-LEFT(CH718,8))),VALUE(LEFT(CH718,4)),VALUE(LEFT(CH718,FIND("-",CH718)-1)))+2000,IF(AND(LEN(CH718)=9,ISERROR(FIND("-",LEFT(CH718,8))),ISNUMBER(-LEFT(CH718,8))),VALUE(LEFT(CH718,4)),VALUE(LEFT(CH718,FIND("-",CH718)-1)))),""))</f>
        <v/>
      </c>
      <c r="CN718">
        <f>IF(CH718="","",IFERROR(IF(AND(LEN(CH718)=9,ISERROR(FIND("-",LEFT(CH718,8))),ISNUMBER(-LEFT(CH718,8))),VALUE(MID(CH718,5,2)),VALUE(MID(CH718,FIND("-",CH718)+1,FIND("-",CH718,FIND("-",CH718)+1)-FIND("-",CH718)-1))),""))</f>
        <v/>
      </c>
      <c r="CO718">
        <f>IF(CH718="","",IFERROR(IF(AND(LEN(CH718)=9,ISERROR(FIND("-",LEFT(CH718,8))),ISNUMBER(-LEFT(CH718,8))),VALUE(MID(CH718,7,2)),VALUE(MID(CH718,FIND("-",CH718,FIND("-",CH718)+1)+1,FIND("-",CH718,FIND("-",CH718,FIND("-",CH718)+1)+1)-FIND("-",CH718,FIND("-",CH718)+1)-1))),""))</f>
        <v/>
      </c>
    </row>
    <row r="719">
      <c r="CH719">
        <f>IF(ISTEXT('월 가계부'!A719),SUBSTITUTE(SUBSTITUTE(SUBSTITUTE(SUBSTITUTE(SUBSTITUTE(SUBSTITUTE(SUBSTITUTE(SUBSTITUTE(SUBSTITUTE(TRIM('월 가계부'!A719),"년","-"),"월","-"),"일",""),".","-"),"/","-")," ","-"),"--","-"),"--","-"),"--","-")&amp;"-","")</f>
        <v/>
      </c>
      <c r="CI719">
        <f>IFERROR(IF('월 가계부'!A719="","",IF(ISNUMBER('월 가계부'!A719),IF(AND('월 가계부'!A719&gt;=19000101,'월 가계부'!A719&lt;=21001231),IF(AND(MOD(INT('월 가계부'!A719/100),100)&gt;=1,MOD(INT('월 가계부'!A719/100),100)&lt;=12,MOD(INT('월 가계부'!A719),100)&gt;=1,MOD(INT('월 가계부'!A719),100)&lt;=31),IF(MONTH(DATE(INT('월 가계부'!A719/10000),MOD(INT('월 가계부'!A719/100),100),MOD(INT('월 가계부'!A719),100)))=MOD(INT('월 가계부'!A719/100),100),DATE(INT('월 가계부'!A719/10000),MOD(INT('월 가계부'!A719/100),100),MOD(INT('월 가계부'!A719),100)),""),""),IF(AND('월 가계부'!A719&gt;=36526,'월 가계부'!A719&lt;73051),INT('월 가계부'!A719),"")),IF(OR(CM719="",CN719="",CO719=""),"",IF(AND(CM719&gt;=2000,CM719&lt;=2099,CN719&gt;=1,CN719&lt;=12,CO719&gt;=1,CO719&lt;=31),IF(MONTH(DATE(CM719,CN719,CO719))=CN719,DATE(CM719,CN719,CO719),""),"")))),"")</f>
        <v/>
      </c>
      <c r="CJ719">
        <f>IFERROR(IF('월 가계부'!C719="","",IF(ISNUMBER('월 가계부'!C719),'월 가계부'!C719,VALUE(SUBSTITUTE(SUBSTITUTE(SUBSTITUTE(SUBSTITUTE(TRIM('월 가계부'!C719),",",""),"원","")," ",""),"−","-")))),"")</f>
        <v/>
      </c>
      <c r="CK719">
        <f>IF(ISNUMBER(CI719),IF(CI719&lt;$B$13,CI719,""),"")</f>
        <v/>
      </c>
      <c r="CM719">
        <f>IF(CH719="","",IFERROR(IF(IF(AND(LEN(CH719)=9,ISERROR(FIND("-",LEFT(CH719,8))),ISNUMBER(-LEFT(CH719,8))),VALUE(LEFT(CH719,4)),VALUE(LEFT(CH719,FIND("-",CH719)-1)))&lt;100,IF(AND(LEN(CH719)=9,ISERROR(FIND("-",LEFT(CH719,8))),ISNUMBER(-LEFT(CH719,8))),VALUE(LEFT(CH719,4)),VALUE(LEFT(CH719,FIND("-",CH719)-1)))+2000,IF(AND(LEN(CH719)=9,ISERROR(FIND("-",LEFT(CH719,8))),ISNUMBER(-LEFT(CH719,8))),VALUE(LEFT(CH719,4)),VALUE(LEFT(CH719,FIND("-",CH719)-1)))),""))</f>
        <v/>
      </c>
      <c r="CN719">
        <f>IF(CH719="","",IFERROR(IF(AND(LEN(CH719)=9,ISERROR(FIND("-",LEFT(CH719,8))),ISNUMBER(-LEFT(CH719,8))),VALUE(MID(CH719,5,2)),VALUE(MID(CH719,FIND("-",CH719)+1,FIND("-",CH719,FIND("-",CH719)+1)-FIND("-",CH719)-1))),""))</f>
        <v/>
      </c>
      <c r="CO719">
        <f>IF(CH719="","",IFERROR(IF(AND(LEN(CH719)=9,ISERROR(FIND("-",LEFT(CH719,8))),ISNUMBER(-LEFT(CH719,8))),VALUE(MID(CH719,7,2)),VALUE(MID(CH719,FIND("-",CH719,FIND("-",CH719)+1)+1,FIND("-",CH719,FIND("-",CH719,FIND("-",CH719)+1)+1)-FIND("-",CH719,FIND("-",CH719)+1)-1))),""))</f>
        <v/>
      </c>
    </row>
    <row r="720">
      <c r="CH720">
        <f>IF(ISTEXT('월 가계부'!A720),SUBSTITUTE(SUBSTITUTE(SUBSTITUTE(SUBSTITUTE(SUBSTITUTE(SUBSTITUTE(SUBSTITUTE(SUBSTITUTE(SUBSTITUTE(TRIM('월 가계부'!A720),"년","-"),"월","-"),"일",""),".","-"),"/","-")," ","-"),"--","-"),"--","-"),"--","-")&amp;"-","")</f>
        <v/>
      </c>
      <c r="CI720">
        <f>IFERROR(IF('월 가계부'!A720="","",IF(ISNUMBER('월 가계부'!A720),IF(AND('월 가계부'!A720&gt;=19000101,'월 가계부'!A720&lt;=21001231),IF(AND(MOD(INT('월 가계부'!A720/100),100)&gt;=1,MOD(INT('월 가계부'!A720/100),100)&lt;=12,MOD(INT('월 가계부'!A720),100)&gt;=1,MOD(INT('월 가계부'!A720),100)&lt;=31),IF(MONTH(DATE(INT('월 가계부'!A720/10000),MOD(INT('월 가계부'!A720/100),100),MOD(INT('월 가계부'!A720),100)))=MOD(INT('월 가계부'!A720/100),100),DATE(INT('월 가계부'!A720/10000),MOD(INT('월 가계부'!A720/100),100),MOD(INT('월 가계부'!A720),100)),""),""),IF(AND('월 가계부'!A720&gt;=36526,'월 가계부'!A720&lt;73051),INT('월 가계부'!A720),"")),IF(OR(CM720="",CN720="",CO720=""),"",IF(AND(CM720&gt;=2000,CM720&lt;=2099,CN720&gt;=1,CN720&lt;=12,CO720&gt;=1,CO720&lt;=31),IF(MONTH(DATE(CM720,CN720,CO720))=CN720,DATE(CM720,CN720,CO720),""),"")))),"")</f>
        <v/>
      </c>
      <c r="CJ720">
        <f>IFERROR(IF('월 가계부'!C720="","",IF(ISNUMBER('월 가계부'!C720),'월 가계부'!C720,VALUE(SUBSTITUTE(SUBSTITUTE(SUBSTITUTE(SUBSTITUTE(TRIM('월 가계부'!C720),",",""),"원","")," ",""),"−","-")))),"")</f>
        <v/>
      </c>
      <c r="CK720">
        <f>IF(ISNUMBER(CI720),IF(CI720&lt;$B$13,CI720,""),"")</f>
        <v/>
      </c>
      <c r="CM720">
        <f>IF(CH720="","",IFERROR(IF(IF(AND(LEN(CH720)=9,ISERROR(FIND("-",LEFT(CH720,8))),ISNUMBER(-LEFT(CH720,8))),VALUE(LEFT(CH720,4)),VALUE(LEFT(CH720,FIND("-",CH720)-1)))&lt;100,IF(AND(LEN(CH720)=9,ISERROR(FIND("-",LEFT(CH720,8))),ISNUMBER(-LEFT(CH720,8))),VALUE(LEFT(CH720,4)),VALUE(LEFT(CH720,FIND("-",CH720)-1)))+2000,IF(AND(LEN(CH720)=9,ISERROR(FIND("-",LEFT(CH720,8))),ISNUMBER(-LEFT(CH720,8))),VALUE(LEFT(CH720,4)),VALUE(LEFT(CH720,FIND("-",CH720)-1)))),""))</f>
        <v/>
      </c>
      <c r="CN720">
        <f>IF(CH720="","",IFERROR(IF(AND(LEN(CH720)=9,ISERROR(FIND("-",LEFT(CH720,8))),ISNUMBER(-LEFT(CH720,8))),VALUE(MID(CH720,5,2)),VALUE(MID(CH720,FIND("-",CH720)+1,FIND("-",CH720,FIND("-",CH720)+1)-FIND("-",CH720)-1))),""))</f>
        <v/>
      </c>
      <c r="CO720">
        <f>IF(CH720="","",IFERROR(IF(AND(LEN(CH720)=9,ISERROR(FIND("-",LEFT(CH720,8))),ISNUMBER(-LEFT(CH720,8))),VALUE(MID(CH720,7,2)),VALUE(MID(CH720,FIND("-",CH720,FIND("-",CH720)+1)+1,FIND("-",CH720,FIND("-",CH720,FIND("-",CH720)+1)+1)-FIND("-",CH720,FIND("-",CH720)+1)-1))),""))</f>
        <v/>
      </c>
    </row>
    <row r="721">
      <c r="CH721">
        <f>IF(ISTEXT('월 가계부'!A721),SUBSTITUTE(SUBSTITUTE(SUBSTITUTE(SUBSTITUTE(SUBSTITUTE(SUBSTITUTE(SUBSTITUTE(SUBSTITUTE(SUBSTITUTE(TRIM('월 가계부'!A721),"년","-"),"월","-"),"일",""),".","-"),"/","-")," ","-"),"--","-"),"--","-"),"--","-")&amp;"-","")</f>
        <v/>
      </c>
      <c r="CI721">
        <f>IFERROR(IF('월 가계부'!A721="","",IF(ISNUMBER('월 가계부'!A721),IF(AND('월 가계부'!A721&gt;=19000101,'월 가계부'!A721&lt;=21001231),IF(AND(MOD(INT('월 가계부'!A721/100),100)&gt;=1,MOD(INT('월 가계부'!A721/100),100)&lt;=12,MOD(INT('월 가계부'!A721),100)&gt;=1,MOD(INT('월 가계부'!A721),100)&lt;=31),IF(MONTH(DATE(INT('월 가계부'!A721/10000),MOD(INT('월 가계부'!A721/100),100),MOD(INT('월 가계부'!A721),100)))=MOD(INT('월 가계부'!A721/100),100),DATE(INT('월 가계부'!A721/10000),MOD(INT('월 가계부'!A721/100),100),MOD(INT('월 가계부'!A721),100)),""),""),IF(AND('월 가계부'!A721&gt;=36526,'월 가계부'!A721&lt;73051),INT('월 가계부'!A721),"")),IF(OR(CM721="",CN721="",CO721=""),"",IF(AND(CM721&gt;=2000,CM721&lt;=2099,CN721&gt;=1,CN721&lt;=12,CO721&gt;=1,CO721&lt;=31),IF(MONTH(DATE(CM721,CN721,CO721))=CN721,DATE(CM721,CN721,CO721),""),"")))),"")</f>
        <v/>
      </c>
      <c r="CJ721">
        <f>IFERROR(IF('월 가계부'!C721="","",IF(ISNUMBER('월 가계부'!C721),'월 가계부'!C721,VALUE(SUBSTITUTE(SUBSTITUTE(SUBSTITUTE(SUBSTITUTE(TRIM('월 가계부'!C721),",",""),"원","")," ",""),"−","-")))),"")</f>
        <v/>
      </c>
      <c r="CK721">
        <f>IF(ISNUMBER(CI721),IF(CI721&lt;$B$13,CI721,""),"")</f>
        <v/>
      </c>
      <c r="CM721">
        <f>IF(CH721="","",IFERROR(IF(IF(AND(LEN(CH721)=9,ISERROR(FIND("-",LEFT(CH721,8))),ISNUMBER(-LEFT(CH721,8))),VALUE(LEFT(CH721,4)),VALUE(LEFT(CH721,FIND("-",CH721)-1)))&lt;100,IF(AND(LEN(CH721)=9,ISERROR(FIND("-",LEFT(CH721,8))),ISNUMBER(-LEFT(CH721,8))),VALUE(LEFT(CH721,4)),VALUE(LEFT(CH721,FIND("-",CH721)-1)))+2000,IF(AND(LEN(CH721)=9,ISERROR(FIND("-",LEFT(CH721,8))),ISNUMBER(-LEFT(CH721,8))),VALUE(LEFT(CH721,4)),VALUE(LEFT(CH721,FIND("-",CH721)-1)))),""))</f>
        <v/>
      </c>
      <c r="CN721">
        <f>IF(CH721="","",IFERROR(IF(AND(LEN(CH721)=9,ISERROR(FIND("-",LEFT(CH721,8))),ISNUMBER(-LEFT(CH721,8))),VALUE(MID(CH721,5,2)),VALUE(MID(CH721,FIND("-",CH721)+1,FIND("-",CH721,FIND("-",CH721)+1)-FIND("-",CH721)-1))),""))</f>
        <v/>
      </c>
      <c r="CO721">
        <f>IF(CH721="","",IFERROR(IF(AND(LEN(CH721)=9,ISERROR(FIND("-",LEFT(CH721,8))),ISNUMBER(-LEFT(CH721,8))),VALUE(MID(CH721,7,2)),VALUE(MID(CH721,FIND("-",CH721,FIND("-",CH721)+1)+1,FIND("-",CH721,FIND("-",CH721,FIND("-",CH721)+1)+1)-FIND("-",CH721,FIND("-",CH721)+1)-1))),""))</f>
        <v/>
      </c>
    </row>
    <row r="722">
      <c r="CH722">
        <f>IF(ISTEXT('월 가계부'!A722),SUBSTITUTE(SUBSTITUTE(SUBSTITUTE(SUBSTITUTE(SUBSTITUTE(SUBSTITUTE(SUBSTITUTE(SUBSTITUTE(SUBSTITUTE(TRIM('월 가계부'!A722),"년","-"),"월","-"),"일",""),".","-"),"/","-")," ","-"),"--","-"),"--","-"),"--","-")&amp;"-","")</f>
        <v/>
      </c>
      <c r="CI722">
        <f>IFERROR(IF('월 가계부'!A722="","",IF(ISNUMBER('월 가계부'!A722),IF(AND('월 가계부'!A722&gt;=19000101,'월 가계부'!A722&lt;=21001231),IF(AND(MOD(INT('월 가계부'!A722/100),100)&gt;=1,MOD(INT('월 가계부'!A722/100),100)&lt;=12,MOD(INT('월 가계부'!A722),100)&gt;=1,MOD(INT('월 가계부'!A722),100)&lt;=31),IF(MONTH(DATE(INT('월 가계부'!A722/10000),MOD(INT('월 가계부'!A722/100),100),MOD(INT('월 가계부'!A722),100)))=MOD(INT('월 가계부'!A722/100),100),DATE(INT('월 가계부'!A722/10000),MOD(INT('월 가계부'!A722/100),100),MOD(INT('월 가계부'!A722),100)),""),""),IF(AND('월 가계부'!A722&gt;=36526,'월 가계부'!A722&lt;73051),INT('월 가계부'!A722),"")),IF(OR(CM722="",CN722="",CO722=""),"",IF(AND(CM722&gt;=2000,CM722&lt;=2099,CN722&gt;=1,CN722&lt;=12,CO722&gt;=1,CO722&lt;=31),IF(MONTH(DATE(CM722,CN722,CO722))=CN722,DATE(CM722,CN722,CO722),""),"")))),"")</f>
        <v/>
      </c>
      <c r="CJ722">
        <f>IFERROR(IF('월 가계부'!C722="","",IF(ISNUMBER('월 가계부'!C722),'월 가계부'!C722,VALUE(SUBSTITUTE(SUBSTITUTE(SUBSTITUTE(SUBSTITUTE(TRIM('월 가계부'!C722),",",""),"원","")," ",""),"−","-")))),"")</f>
        <v/>
      </c>
      <c r="CK722">
        <f>IF(ISNUMBER(CI722),IF(CI722&lt;$B$13,CI722,""),"")</f>
        <v/>
      </c>
      <c r="CM722">
        <f>IF(CH722="","",IFERROR(IF(IF(AND(LEN(CH722)=9,ISERROR(FIND("-",LEFT(CH722,8))),ISNUMBER(-LEFT(CH722,8))),VALUE(LEFT(CH722,4)),VALUE(LEFT(CH722,FIND("-",CH722)-1)))&lt;100,IF(AND(LEN(CH722)=9,ISERROR(FIND("-",LEFT(CH722,8))),ISNUMBER(-LEFT(CH722,8))),VALUE(LEFT(CH722,4)),VALUE(LEFT(CH722,FIND("-",CH722)-1)))+2000,IF(AND(LEN(CH722)=9,ISERROR(FIND("-",LEFT(CH722,8))),ISNUMBER(-LEFT(CH722,8))),VALUE(LEFT(CH722,4)),VALUE(LEFT(CH722,FIND("-",CH722)-1)))),""))</f>
        <v/>
      </c>
      <c r="CN722">
        <f>IF(CH722="","",IFERROR(IF(AND(LEN(CH722)=9,ISERROR(FIND("-",LEFT(CH722,8))),ISNUMBER(-LEFT(CH722,8))),VALUE(MID(CH722,5,2)),VALUE(MID(CH722,FIND("-",CH722)+1,FIND("-",CH722,FIND("-",CH722)+1)-FIND("-",CH722)-1))),""))</f>
        <v/>
      </c>
      <c r="CO722">
        <f>IF(CH722="","",IFERROR(IF(AND(LEN(CH722)=9,ISERROR(FIND("-",LEFT(CH722,8))),ISNUMBER(-LEFT(CH722,8))),VALUE(MID(CH722,7,2)),VALUE(MID(CH722,FIND("-",CH722,FIND("-",CH722)+1)+1,FIND("-",CH722,FIND("-",CH722,FIND("-",CH722)+1)+1)-FIND("-",CH722,FIND("-",CH722)+1)-1))),""))</f>
        <v/>
      </c>
    </row>
    <row r="723">
      <c r="CH723">
        <f>IF(ISTEXT('월 가계부'!A723),SUBSTITUTE(SUBSTITUTE(SUBSTITUTE(SUBSTITUTE(SUBSTITUTE(SUBSTITUTE(SUBSTITUTE(SUBSTITUTE(SUBSTITUTE(TRIM('월 가계부'!A723),"년","-"),"월","-"),"일",""),".","-"),"/","-")," ","-"),"--","-"),"--","-"),"--","-")&amp;"-","")</f>
        <v/>
      </c>
      <c r="CI723">
        <f>IFERROR(IF('월 가계부'!A723="","",IF(ISNUMBER('월 가계부'!A723),IF(AND('월 가계부'!A723&gt;=19000101,'월 가계부'!A723&lt;=21001231),IF(AND(MOD(INT('월 가계부'!A723/100),100)&gt;=1,MOD(INT('월 가계부'!A723/100),100)&lt;=12,MOD(INT('월 가계부'!A723),100)&gt;=1,MOD(INT('월 가계부'!A723),100)&lt;=31),IF(MONTH(DATE(INT('월 가계부'!A723/10000),MOD(INT('월 가계부'!A723/100),100),MOD(INT('월 가계부'!A723),100)))=MOD(INT('월 가계부'!A723/100),100),DATE(INT('월 가계부'!A723/10000),MOD(INT('월 가계부'!A723/100),100),MOD(INT('월 가계부'!A723),100)),""),""),IF(AND('월 가계부'!A723&gt;=36526,'월 가계부'!A723&lt;73051),INT('월 가계부'!A723),"")),IF(OR(CM723="",CN723="",CO723=""),"",IF(AND(CM723&gt;=2000,CM723&lt;=2099,CN723&gt;=1,CN723&lt;=12,CO723&gt;=1,CO723&lt;=31),IF(MONTH(DATE(CM723,CN723,CO723))=CN723,DATE(CM723,CN723,CO723),""),"")))),"")</f>
        <v/>
      </c>
      <c r="CJ723">
        <f>IFERROR(IF('월 가계부'!C723="","",IF(ISNUMBER('월 가계부'!C723),'월 가계부'!C723,VALUE(SUBSTITUTE(SUBSTITUTE(SUBSTITUTE(SUBSTITUTE(TRIM('월 가계부'!C723),",",""),"원","")," ",""),"−","-")))),"")</f>
        <v/>
      </c>
      <c r="CK723">
        <f>IF(ISNUMBER(CI723),IF(CI723&lt;$B$13,CI723,""),"")</f>
        <v/>
      </c>
      <c r="CM723">
        <f>IF(CH723="","",IFERROR(IF(IF(AND(LEN(CH723)=9,ISERROR(FIND("-",LEFT(CH723,8))),ISNUMBER(-LEFT(CH723,8))),VALUE(LEFT(CH723,4)),VALUE(LEFT(CH723,FIND("-",CH723)-1)))&lt;100,IF(AND(LEN(CH723)=9,ISERROR(FIND("-",LEFT(CH723,8))),ISNUMBER(-LEFT(CH723,8))),VALUE(LEFT(CH723,4)),VALUE(LEFT(CH723,FIND("-",CH723)-1)))+2000,IF(AND(LEN(CH723)=9,ISERROR(FIND("-",LEFT(CH723,8))),ISNUMBER(-LEFT(CH723,8))),VALUE(LEFT(CH723,4)),VALUE(LEFT(CH723,FIND("-",CH723)-1)))),""))</f>
        <v/>
      </c>
      <c r="CN723">
        <f>IF(CH723="","",IFERROR(IF(AND(LEN(CH723)=9,ISERROR(FIND("-",LEFT(CH723,8))),ISNUMBER(-LEFT(CH723,8))),VALUE(MID(CH723,5,2)),VALUE(MID(CH723,FIND("-",CH723)+1,FIND("-",CH723,FIND("-",CH723)+1)-FIND("-",CH723)-1))),""))</f>
        <v/>
      </c>
      <c r="CO723">
        <f>IF(CH723="","",IFERROR(IF(AND(LEN(CH723)=9,ISERROR(FIND("-",LEFT(CH723,8))),ISNUMBER(-LEFT(CH723,8))),VALUE(MID(CH723,7,2)),VALUE(MID(CH723,FIND("-",CH723,FIND("-",CH723)+1)+1,FIND("-",CH723,FIND("-",CH723,FIND("-",CH723)+1)+1)-FIND("-",CH723,FIND("-",CH723)+1)-1))),""))</f>
        <v/>
      </c>
    </row>
    <row r="724">
      <c r="CH724">
        <f>IF(ISTEXT('월 가계부'!A724),SUBSTITUTE(SUBSTITUTE(SUBSTITUTE(SUBSTITUTE(SUBSTITUTE(SUBSTITUTE(SUBSTITUTE(SUBSTITUTE(SUBSTITUTE(TRIM('월 가계부'!A724),"년","-"),"월","-"),"일",""),".","-"),"/","-")," ","-"),"--","-"),"--","-"),"--","-")&amp;"-","")</f>
        <v/>
      </c>
      <c r="CI724">
        <f>IFERROR(IF('월 가계부'!A724="","",IF(ISNUMBER('월 가계부'!A724),IF(AND('월 가계부'!A724&gt;=19000101,'월 가계부'!A724&lt;=21001231),IF(AND(MOD(INT('월 가계부'!A724/100),100)&gt;=1,MOD(INT('월 가계부'!A724/100),100)&lt;=12,MOD(INT('월 가계부'!A724),100)&gt;=1,MOD(INT('월 가계부'!A724),100)&lt;=31),IF(MONTH(DATE(INT('월 가계부'!A724/10000),MOD(INT('월 가계부'!A724/100),100),MOD(INT('월 가계부'!A724),100)))=MOD(INT('월 가계부'!A724/100),100),DATE(INT('월 가계부'!A724/10000),MOD(INT('월 가계부'!A724/100),100),MOD(INT('월 가계부'!A724),100)),""),""),IF(AND('월 가계부'!A724&gt;=36526,'월 가계부'!A724&lt;73051),INT('월 가계부'!A724),"")),IF(OR(CM724="",CN724="",CO724=""),"",IF(AND(CM724&gt;=2000,CM724&lt;=2099,CN724&gt;=1,CN724&lt;=12,CO724&gt;=1,CO724&lt;=31),IF(MONTH(DATE(CM724,CN724,CO724))=CN724,DATE(CM724,CN724,CO724),""),"")))),"")</f>
        <v/>
      </c>
      <c r="CJ724">
        <f>IFERROR(IF('월 가계부'!C724="","",IF(ISNUMBER('월 가계부'!C724),'월 가계부'!C724,VALUE(SUBSTITUTE(SUBSTITUTE(SUBSTITUTE(SUBSTITUTE(TRIM('월 가계부'!C724),",",""),"원","")," ",""),"−","-")))),"")</f>
        <v/>
      </c>
      <c r="CK724">
        <f>IF(ISNUMBER(CI724),IF(CI724&lt;$B$13,CI724,""),"")</f>
        <v/>
      </c>
      <c r="CM724">
        <f>IF(CH724="","",IFERROR(IF(IF(AND(LEN(CH724)=9,ISERROR(FIND("-",LEFT(CH724,8))),ISNUMBER(-LEFT(CH724,8))),VALUE(LEFT(CH724,4)),VALUE(LEFT(CH724,FIND("-",CH724)-1)))&lt;100,IF(AND(LEN(CH724)=9,ISERROR(FIND("-",LEFT(CH724,8))),ISNUMBER(-LEFT(CH724,8))),VALUE(LEFT(CH724,4)),VALUE(LEFT(CH724,FIND("-",CH724)-1)))+2000,IF(AND(LEN(CH724)=9,ISERROR(FIND("-",LEFT(CH724,8))),ISNUMBER(-LEFT(CH724,8))),VALUE(LEFT(CH724,4)),VALUE(LEFT(CH724,FIND("-",CH724)-1)))),""))</f>
        <v/>
      </c>
      <c r="CN724">
        <f>IF(CH724="","",IFERROR(IF(AND(LEN(CH724)=9,ISERROR(FIND("-",LEFT(CH724,8))),ISNUMBER(-LEFT(CH724,8))),VALUE(MID(CH724,5,2)),VALUE(MID(CH724,FIND("-",CH724)+1,FIND("-",CH724,FIND("-",CH724)+1)-FIND("-",CH724)-1))),""))</f>
        <v/>
      </c>
      <c r="CO724">
        <f>IF(CH724="","",IFERROR(IF(AND(LEN(CH724)=9,ISERROR(FIND("-",LEFT(CH724,8))),ISNUMBER(-LEFT(CH724,8))),VALUE(MID(CH724,7,2)),VALUE(MID(CH724,FIND("-",CH724,FIND("-",CH724)+1)+1,FIND("-",CH724,FIND("-",CH724,FIND("-",CH724)+1)+1)-FIND("-",CH724,FIND("-",CH724)+1)-1))),""))</f>
        <v/>
      </c>
    </row>
    <row r="725">
      <c r="CH725">
        <f>IF(ISTEXT('월 가계부'!A725),SUBSTITUTE(SUBSTITUTE(SUBSTITUTE(SUBSTITUTE(SUBSTITUTE(SUBSTITUTE(SUBSTITUTE(SUBSTITUTE(SUBSTITUTE(TRIM('월 가계부'!A725),"년","-"),"월","-"),"일",""),".","-"),"/","-")," ","-"),"--","-"),"--","-"),"--","-")&amp;"-","")</f>
        <v/>
      </c>
      <c r="CI725">
        <f>IFERROR(IF('월 가계부'!A725="","",IF(ISNUMBER('월 가계부'!A725),IF(AND('월 가계부'!A725&gt;=19000101,'월 가계부'!A725&lt;=21001231),IF(AND(MOD(INT('월 가계부'!A725/100),100)&gt;=1,MOD(INT('월 가계부'!A725/100),100)&lt;=12,MOD(INT('월 가계부'!A725),100)&gt;=1,MOD(INT('월 가계부'!A725),100)&lt;=31),IF(MONTH(DATE(INT('월 가계부'!A725/10000),MOD(INT('월 가계부'!A725/100),100),MOD(INT('월 가계부'!A725),100)))=MOD(INT('월 가계부'!A725/100),100),DATE(INT('월 가계부'!A725/10000),MOD(INT('월 가계부'!A725/100),100),MOD(INT('월 가계부'!A725),100)),""),""),IF(AND('월 가계부'!A725&gt;=36526,'월 가계부'!A725&lt;73051),INT('월 가계부'!A725),"")),IF(OR(CM725="",CN725="",CO725=""),"",IF(AND(CM725&gt;=2000,CM725&lt;=2099,CN725&gt;=1,CN725&lt;=12,CO725&gt;=1,CO725&lt;=31),IF(MONTH(DATE(CM725,CN725,CO725))=CN725,DATE(CM725,CN725,CO725),""),"")))),"")</f>
        <v/>
      </c>
      <c r="CJ725">
        <f>IFERROR(IF('월 가계부'!C725="","",IF(ISNUMBER('월 가계부'!C725),'월 가계부'!C725,VALUE(SUBSTITUTE(SUBSTITUTE(SUBSTITUTE(SUBSTITUTE(TRIM('월 가계부'!C725),",",""),"원","")," ",""),"−","-")))),"")</f>
        <v/>
      </c>
      <c r="CK725">
        <f>IF(ISNUMBER(CI725),IF(CI725&lt;$B$13,CI725,""),"")</f>
        <v/>
      </c>
      <c r="CM725">
        <f>IF(CH725="","",IFERROR(IF(IF(AND(LEN(CH725)=9,ISERROR(FIND("-",LEFT(CH725,8))),ISNUMBER(-LEFT(CH725,8))),VALUE(LEFT(CH725,4)),VALUE(LEFT(CH725,FIND("-",CH725)-1)))&lt;100,IF(AND(LEN(CH725)=9,ISERROR(FIND("-",LEFT(CH725,8))),ISNUMBER(-LEFT(CH725,8))),VALUE(LEFT(CH725,4)),VALUE(LEFT(CH725,FIND("-",CH725)-1)))+2000,IF(AND(LEN(CH725)=9,ISERROR(FIND("-",LEFT(CH725,8))),ISNUMBER(-LEFT(CH725,8))),VALUE(LEFT(CH725,4)),VALUE(LEFT(CH725,FIND("-",CH725)-1)))),""))</f>
        <v/>
      </c>
      <c r="CN725">
        <f>IF(CH725="","",IFERROR(IF(AND(LEN(CH725)=9,ISERROR(FIND("-",LEFT(CH725,8))),ISNUMBER(-LEFT(CH725,8))),VALUE(MID(CH725,5,2)),VALUE(MID(CH725,FIND("-",CH725)+1,FIND("-",CH725,FIND("-",CH725)+1)-FIND("-",CH725)-1))),""))</f>
        <v/>
      </c>
      <c r="CO725">
        <f>IF(CH725="","",IFERROR(IF(AND(LEN(CH725)=9,ISERROR(FIND("-",LEFT(CH725,8))),ISNUMBER(-LEFT(CH725,8))),VALUE(MID(CH725,7,2)),VALUE(MID(CH725,FIND("-",CH725,FIND("-",CH725)+1)+1,FIND("-",CH725,FIND("-",CH725,FIND("-",CH725)+1)+1)-FIND("-",CH725,FIND("-",CH725)+1)-1))),""))</f>
        <v/>
      </c>
    </row>
    <row r="726">
      <c r="CH726">
        <f>IF(ISTEXT('월 가계부'!A726),SUBSTITUTE(SUBSTITUTE(SUBSTITUTE(SUBSTITUTE(SUBSTITUTE(SUBSTITUTE(SUBSTITUTE(SUBSTITUTE(SUBSTITUTE(TRIM('월 가계부'!A726),"년","-"),"월","-"),"일",""),".","-"),"/","-")," ","-"),"--","-"),"--","-"),"--","-")&amp;"-","")</f>
        <v/>
      </c>
      <c r="CI726">
        <f>IFERROR(IF('월 가계부'!A726="","",IF(ISNUMBER('월 가계부'!A726),IF(AND('월 가계부'!A726&gt;=19000101,'월 가계부'!A726&lt;=21001231),IF(AND(MOD(INT('월 가계부'!A726/100),100)&gt;=1,MOD(INT('월 가계부'!A726/100),100)&lt;=12,MOD(INT('월 가계부'!A726),100)&gt;=1,MOD(INT('월 가계부'!A726),100)&lt;=31),IF(MONTH(DATE(INT('월 가계부'!A726/10000),MOD(INT('월 가계부'!A726/100),100),MOD(INT('월 가계부'!A726),100)))=MOD(INT('월 가계부'!A726/100),100),DATE(INT('월 가계부'!A726/10000),MOD(INT('월 가계부'!A726/100),100),MOD(INT('월 가계부'!A726),100)),""),""),IF(AND('월 가계부'!A726&gt;=36526,'월 가계부'!A726&lt;73051),INT('월 가계부'!A726),"")),IF(OR(CM726="",CN726="",CO726=""),"",IF(AND(CM726&gt;=2000,CM726&lt;=2099,CN726&gt;=1,CN726&lt;=12,CO726&gt;=1,CO726&lt;=31),IF(MONTH(DATE(CM726,CN726,CO726))=CN726,DATE(CM726,CN726,CO726),""),"")))),"")</f>
        <v/>
      </c>
      <c r="CJ726">
        <f>IFERROR(IF('월 가계부'!C726="","",IF(ISNUMBER('월 가계부'!C726),'월 가계부'!C726,VALUE(SUBSTITUTE(SUBSTITUTE(SUBSTITUTE(SUBSTITUTE(TRIM('월 가계부'!C726),",",""),"원","")," ",""),"−","-")))),"")</f>
        <v/>
      </c>
      <c r="CK726">
        <f>IF(ISNUMBER(CI726),IF(CI726&lt;$B$13,CI726,""),"")</f>
        <v/>
      </c>
      <c r="CM726">
        <f>IF(CH726="","",IFERROR(IF(IF(AND(LEN(CH726)=9,ISERROR(FIND("-",LEFT(CH726,8))),ISNUMBER(-LEFT(CH726,8))),VALUE(LEFT(CH726,4)),VALUE(LEFT(CH726,FIND("-",CH726)-1)))&lt;100,IF(AND(LEN(CH726)=9,ISERROR(FIND("-",LEFT(CH726,8))),ISNUMBER(-LEFT(CH726,8))),VALUE(LEFT(CH726,4)),VALUE(LEFT(CH726,FIND("-",CH726)-1)))+2000,IF(AND(LEN(CH726)=9,ISERROR(FIND("-",LEFT(CH726,8))),ISNUMBER(-LEFT(CH726,8))),VALUE(LEFT(CH726,4)),VALUE(LEFT(CH726,FIND("-",CH726)-1)))),""))</f>
        <v/>
      </c>
      <c r="CN726">
        <f>IF(CH726="","",IFERROR(IF(AND(LEN(CH726)=9,ISERROR(FIND("-",LEFT(CH726,8))),ISNUMBER(-LEFT(CH726,8))),VALUE(MID(CH726,5,2)),VALUE(MID(CH726,FIND("-",CH726)+1,FIND("-",CH726,FIND("-",CH726)+1)-FIND("-",CH726)-1))),""))</f>
        <v/>
      </c>
      <c r="CO726">
        <f>IF(CH726="","",IFERROR(IF(AND(LEN(CH726)=9,ISERROR(FIND("-",LEFT(CH726,8))),ISNUMBER(-LEFT(CH726,8))),VALUE(MID(CH726,7,2)),VALUE(MID(CH726,FIND("-",CH726,FIND("-",CH726)+1)+1,FIND("-",CH726,FIND("-",CH726,FIND("-",CH726)+1)+1)-FIND("-",CH726,FIND("-",CH726)+1)-1))),""))</f>
        <v/>
      </c>
    </row>
    <row r="727">
      <c r="CH727">
        <f>IF(ISTEXT('월 가계부'!A727),SUBSTITUTE(SUBSTITUTE(SUBSTITUTE(SUBSTITUTE(SUBSTITUTE(SUBSTITUTE(SUBSTITUTE(SUBSTITUTE(SUBSTITUTE(TRIM('월 가계부'!A727),"년","-"),"월","-"),"일",""),".","-"),"/","-")," ","-"),"--","-"),"--","-"),"--","-")&amp;"-","")</f>
        <v/>
      </c>
      <c r="CI727">
        <f>IFERROR(IF('월 가계부'!A727="","",IF(ISNUMBER('월 가계부'!A727),IF(AND('월 가계부'!A727&gt;=19000101,'월 가계부'!A727&lt;=21001231),IF(AND(MOD(INT('월 가계부'!A727/100),100)&gt;=1,MOD(INT('월 가계부'!A727/100),100)&lt;=12,MOD(INT('월 가계부'!A727),100)&gt;=1,MOD(INT('월 가계부'!A727),100)&lt;=31),IF(MONTH(DATE(INT('월 가계부'!A727/10000),MOD(INT('월 가계부'!A727/100),100),MOD(INT('월 가계부'!A727),100)))=MOD(INT('월 가계부'!A727/100),100),DATE(INT('월 가계부'!A727/10000),MOD(INT('월 가계부'!A727/100),100),MOD(INT('월 가계부'!A727),100)),""),""),IF(AND('월 가계부'!A727&gt;=36526,'월 가계부'!A727&lt;73051),INT('월 가계부'!A727),"")),IF(OR(CM727="",CN727="",CO727=""),"",IF(AND(CM727&gt;=2000,CM727&lt;=2099,CN727&gt;=1,CN727&lt;=12,CO727&gt;=1,CO727&lt;=31),IF(MONTH(DATE(CM727,CN727,CO727))=CN727,DATE(CM727,CN727,CO727),""),"")))),"")</f>
        <v/>
      </c>
      <c r="CJ727">
        <f>IFERROR(IF('월 가계부'!C727="","",IF(ISNUMBER('월 가계부'!C727),'월 가계부'!C727,VALUE(SUBSTITUTE(SUBSTITUTE(SUBSTITUTE(SUBSTITUTE(TRIM('월 가계부'!C727),",",""),"원","")," ",""),"−","-")))),"")</f>
        <v/>
      </c>
      <c r="CK727">
        <f>IF(ISNUMBER(CI727),IF(CI727&lt;$B$13,CI727,""),"")</f>
        <v/>
      </c>
      <c r="CM727">
        <f>IF(CH727="","",IFERROR(IF(IF(AND(LEN(CH727)=9,ISERROR(FIND("-",LEFT(CH727,8))),ISNUMBER(-LEFT(CH727,8))),VALUE(LEFT(CH727,4)),VALUE(LEFT(CH727,FIND("-",CH727)-1)))&lt;100,IF(AND(LEN(CH727)=9,ISERROR(FIND("-",LEFT(CH727,8))),ISNUMBER(-LEFT(CH727,8))),VALUE(LEFT(CH727,4)),VALUE(LEFT(CH727,FIND("-",CH727)-1)))+2000,IF(AND(LEN(CH727)=9,ISERROR(FIND("-",LEFT(CH727,8))),ISNUMBER(-LEFT(CH727,8))),VALUE(LEFT(CH727,4)),VALUE(LEFT(CH727,FIND("-",CH727)-1)))),""))</f>
        <v/>
      </c>
      <c r="CN727">
        <f>IF(CH727="","",IFERROR(IF(AND(LEN(CH727)=9,ISERROR(FIND("-",LEFT(CH727,8))),ISNUMBER(-LEFT(CH727,8))),VALUE(MID(CH727,5,2)),VALUE(MID(CH727,FIND("-",CH727)+1,FIND("-",CH727,FIND("-",CH727)+1)-FIND("-",CH727)-1))),""))</f>
        <v/>
      </c>
      <c r="CO727">
        <f>IF(CH727="","",IFERROR(IF(AND(LEN(CH727)=9,ISERROR(FIND("-",LEFT(CH727,8))),ISNUMBER(-LEFT(CH727,8))),VALUE(MID(CH727,7,2)),VALUE(MID(CH727,FIND("-",CH727,FIND("-",CH727)+1)+1,FIND("-",CH727,FIND("-",CH727,FIND("-",CH727)+1)+1)-FIND("-",CH727,FIND("-",CH727)+1)-1))),""))</f>
        <v/>
      </c>
    </row>
    <row r="728">
      <c r="CH728">
        <f>IF(ISTEXT('월 가계부'!A728),SUBSTITUTE(SUBSTITUTE(SUBSTITUTE(SUBSTITUTE(SUBSTITUTE(SUBSTITUTE(SUBSTITUTE(SUBSTITUTE(SUBSTITUTE(TRIM('월 가계부'!A728),"년","-"),"월","-"),"일",""),".","-"),"/","-")," ","-"),"--","-"),"--","-"),"--","-")&amp;"-","")</f>
        <v/>
      </c>
      <c r="CI728">
        <f>IFERROR(IF('월 가계부'!A728="","",IF(ISNUMBER('월 가계부'!A728),IF(AND('월 가계부'!A728&gt;=19000101,'월 가계부'!A728&lt;=21001231),IF(AND(MOD(INT('월 가계부'!A728/100),100)&gt;=1,MOD(INT('월 가계부'!A728/100),100)&lt;=12,MOD(INT('월 가계부'!A728),100)&gt;=1,MOD(INT('월 가계부'!A728),100)&lt;=31),IF(MONTH(DATE(INT('월 가계부'!A728/10000),MOD(INT('월 가계부'!A728/100),100),MOD(INT('월 가계부'!A728),100)))=MOD(INT('월 가계부'!A728/100),100),DATE(INT('월 가계부'!A728/10000),MOD(INT('월 가계부'!A728/100),100),MOD(INT('월 가계부'!A728),100)),""),""),IF(AND('월 가계부'!A728&gt;=36526,'월 가계부'!A728&lt;73051),INT('월 가계부'!A728),"")),IF(OR(CM728="",CN728="",CO728=""),"",IF(AND(CM728&gt;=2000,CM728&lt;=2099,CN728&gt;=1,CN728&lt;=12,CO728&gt;=1,CO728&lt;=31),IF(MONTH(DATE(CM728,CN728,CO728))=CN728,DATE(CM728,CN728,CO728),""),"")))),"")</f>
        <v/>
      </c>
      <c r="CJ728">
        <f>IFERROR(IF('월 가계부'!C728="","",IF(ISNUMBER('월 가계부'!C728),'월 가계부'!C728,VALUE(SUBSTITUTE(SUBSTITUTE(SUBSTITUTE(SUBSTITUTE(TRIM('월 가계부'!C728),",",""),"원","")," ",""),"−","-")))),"")</f>
        <v/>
      </c>
      <c r="CK728">
        <f>IF(ISNUMBER(CI728),IF(CI728&lt;$B$13,CI728,""),"")</f>
        <v/>
      </c>
      <c r="CM728">
        <f>IF(CH728="","",IFERROR(IF(IF(AND(LEN(CH728)=9,ISERROR(FIND("-",LEFT(CH728,8))),ISNUMBER(-LEFT(CH728,8))),VALUE(LEFT(CH728,4)),VALUE(LEFT(CH728,FIND("-",CH728)-1)))&lt;100,IF(AND(LEN(CH728)=9,ISERROR(FIND("-",LEFT(CH728,8))),ISNUMBER(-LEFT(CH728,8))),VALUE(LEFT(CH728,4)),VALUE(LEFT(CH728,FIND("-",CH728)-1)))+2000,IF(AND(LEN(CH728)=9,ISERROR(FIND("-",LEFT(CH728,8))),ISNUMBER(-LEFT(CH728,8))),VALUE(LEFT(CH728,4)),VALUE(LEFT(CH728,FIND("-",CH728)-1)))),""))</f>
        <v/>
      </c>
      <c r="CN728">
        <f>IF(CH728="","",IFERROR(IF(AND(LEN(CH728)=9,ISERROR(FIND("-",LEFT(CH728,8))),ISNUMBER(-LEFT(CH728,8))),VALUE(MID(CH728,5,2)),VALUE(MID(CH728,FIND("-",CH728)+1,FIND("-",CH728,FIND("-",CH728)+1)-FIND("-",CH728)-1))),""))</f>
        <v/>
      </c>
      <c r="CO728">
        <f>IF(CH728="","",IFERROR(IF(AND(LEN(CH728)=9,ISERROR(FIND("-",LEFT(CH728,8))),ISNUMBER(-LEFT(CH728,8))),VALUE(MID(CH728,7,2)),VALUE(MID(CH728,FIND("-",CH728,FIND("-",CH728)+1)+1,FIND("-",CH728,FIND("-",CH728,FIND("-",CH728)+1)+1)-FIND("-",CH728,FIND("-",CH728)+1)-1))),""))</f>
        <v/>
      </c>
    </row>
    <row r="729">
      <c r="CH729">
        <f>IF(ISTEXT('월 가계부'!A729),SUBSTITUTE(SUBSTITUTE(SUBSTITUTE(SUBSTITUTE(SUBSTITUTE(SUBSTITUTE(SUBSTITUTE(SUBSTITUTE(SUBSTITUTE(TRIM('월 가계부'!A729),"년","-"),"월","-"),"일",""),".","-"),"/","-")," ","-"),"--","-"),"--","-"),"--","-")&amp;"-","")</f>
        <v/>
      </c>
      <c r="CI729">
        <f>IFERROR(IF('월 가계부'!A729="","",IF(ISNUMBER('월 가계부'!A729),IF(AND('월 가계부'!A729&gt;=19000101,'월 가계부'!A729&lt;=21001231),IF(AND(MOD(INT('월 가계부'!A729/100),100)&gt;=1,MOD(INT('월 가계부'!A729/100),100)&lt;=12,MOD(INT('월 가계부'!A729),100)&gt;=1,MOD(INT('월 가계부'!A729),100)&lt;=31),IF(MONTH(DATE(INT('월 가계부'!A729/10000),MOD(INT('월 가계부'!A729/100),100),MOD(INT('월 가계부'!A729),100)))=MOD(INT('월 가계부'!A729/100),100),DATE(INT('월 가계부'!A729/10000),MOD(INT('월 가계부'!A729/100),100),MOD(INT('월 가계부'!A729),100)),""),""),IF(AND('월 가계부'!A729&gt;=36526,'월 가계부'!A729&lt;73051),INT('월 가계부'!A729),"")),IF(OR(CM729="",CN729="",CO729=""),"",IF(AND(CM729&gt;=2000,CM729&lt;=2099,CN729&gt;=1,CN729&lt;=12,CO729&gt;=1,CO729&lt;=31),IF(MONTH(DATE(CM729,CN729,CO729))=CN729,DATE(CM729,CN729,CO729),""),"")))),"")</f>
        <v/>
      </c>
      <c r="CJ729">
        <f>IFERROR(IF('월 가계부'!C729="","",IF(ISNUMBER('월 가계부'!C729),'월 가계부'!C729,VALUE(SUBSTITUTE(SUBSTITUTE(SUBSTITUTE(SUBSTITUTE(TRIM('월 가계부'!C729),",",""),"원","")," ",""),"−","-")))),"")</f>
        <v/>
      </c>
      <c r="CK729">
        <f>IF(ISNUMBER(CI729),IF(CI729&lt;$B$13,CI729,""),"")</f>
        <v/>
      </c>
      <c r="CM729">
        <f>IF(CH729="","",IFERROR(IF(IF(AND(LEN(CH729)=9,ISERROR(FIND("-",LEFT(CH729,8))),ISNUMBER(-LEFT(CH729,8))),VALUE(LEFT(CH729,4)),VALUE(LEFT(CH729,FIND("-",CH729)-1)))&lt;100,IF(AND(LEN(CH729)=9,ISERROR(FIND("-",LEFT(CH729,8))),ISNUMBER(-LEFT(CH729,8))),VALUE(LEFT(CH729,4)),VALUE(LEFT(CH729,FIND("-",CH729)-1)))+2000,IF(AND(LEN(CH729)=9,ISERROR(FIND("-",LEFT(CH729,8))),ISNUMBER(-LEFT(CH729,8))),VALUE(LEFT(CH729,4)),VALUE(LEFT(CH729,FIND("-",CH729)-1)))),""))</f>
        <v/>
      </c>
      <c r="CN729">
        <f>IF(CH729="","",IFERROR(IF(AND(LEN(CH729)=9,ISERROR(FIND("-",LEFT(CH729,8))),ISNUMBER(-LEFT(CH729,8))),VALUE(MID(CH729,5,2)),VALUE(MID(CH729,FIND("-",CH729)+1,FIND("-",CH729,FIND("-",CH729)+1)-FIND("-",CH729)-1))),""))</f>
        <v/>
      </c>
      <c r="CO729">
        <f>IF(CH729="","",IFERROR(IF(AND(LEN(CH729)=9,ISERROR(FIND("-",LEFT(CH729,8))),ISNUMBER(-LEFT(CH729,8))),VALUE(MID(CH729,7,2)),VALUE(MID(CH729,FIND("-",CH729,FIND("-",CH729)+1)+1,FIND("-",CH729,FIND("-",CH729,FIND("-",CH729)+1)+1)-FIND("-",CH729,FIND("-",CH729)+1)-1))),""))</f>
        <v/>
      </c>
    </row>
    <row r="730">
      <c r="CH730">
        <f>IF(ISTEXT('월 가계부'!A730),SUBSTITUTE(SUBSTITUTE(SUBSTITUTE(SUBSTITUTE(SUBSTITUTE(SUBSTITUTE(SUBSTITUTE(SUBSTITUTE(SUBSTITUTE(TRIM('월 가계부'!A730),"년","-"),"월","-"),"일",""),".","-"),"/","-")," ","-"),"--","-"),"--","-"),"--","-")&amp;"-","")</f>
        <v/>
      </c>
      <c r="CI730">
        <f>IFERROR(IF('월 가계부'!A730="","",IF(ISNUMBER('월 가계부'!A730),IF(AND('월 가계부'!A730&gt;=19000101,'월 가계부'!A730&lt;=21001231),IF(AND(MOD(INT('월 가계부'!A730/100),100)&gt;=1,MOD(INT('월 가계부'!A730/100),100)&lt;=12,MOD(INT('월 가계부'!A730),100)&gt;=1,MOD(INT('월 가계부'!A730),100)&lt;=31),IF(MONTH(DATE(INT('월 가계부'!A730/10000),MOD(INT('월 가계부'!A730/100),100),MOD(INT('월 가계부'!A730),100)))=MOD(INT('월 가계부'!A730/100),100),DATE(INT('월 가계부'!A730/10000),MOD(INT('월 가계부'!A730/100),100),MOD(INT('월 가계부'!A730),100)),""),""),IF(AND('월 가계부'!A730&gt;=36526,'월 가계부'!A730&lt;73051),INT('월 가계부'!A730),"")),IF(OR(CM730="",CN730="",CO730=""),"",IF(AND(CM730&gt;=2000,CM730&lt;=2099,CN730&gt;=1,CN730&lt;=12,CO730&gt;=1,CO730&lt;=31),IF(MONTH(DATE(CM730,CN730,CO730))=CN730,DATE(CM730,CN730,CO730),""),"")))),"")</f>
        <v/>
      </c>
      <c r="CJ730">
        <f>IFERROR(IF('월 가계부'!C730="","",IF(ISNUMBER('월 가계부'!C730),'월 가계부'!C730,VALUE(SUBSTITUTE(SUBSTITUTE(SUBSTITUTE(SUBSTITUTE(TRIM('월 가계부'!C730),",",""),"원","")," ",""),"−","-")))),"")</f>
        <v/>
      </c>
      <c r="CK730">
        <f>IF(ISNUMBER(CI730),IF(CI730&lt;$B$13,CI730,""),"")</f>
        <v/>
      </c>
      <c r="CM730">
        <f>IF(CH730="","",IFERROR(IF(IF(AND(LEN(CH730)=9,ISERROR(FIND("-",LEFT(CH730,8))),ISNUMBER(-LEFT(CH730,8))),VALUE(LEFT(CH730,4)),VALUE(LEFT(CH730,FIND("-",CH730)-1)))&lt;100,IF(AND(LEN(CH730)=9,ISERROR(FIND("-",LEFT(CH730,8))),ISNUMBER(-LEFT(CH730,8))),VALUE(LEFT(CH730,4)),VALUE(LEFT(CH730,FIND("-",CH730)-1)))+2000,IF(AND(LEN(CH730)=9,ISERROR(FIND("-",LEFT(CH730,8))),ISNUMBER(-LEFT(CH730,8))),VALUE(LEFT(CH730,4)),VALUE(LEFT(CH730,FIND("-",CH730)-1)))),""))</f>
        <v/>
      </c>
      <c r="CN730">
        <f>IF(CH730="","",IFERROR(IF(AND(LEN(CH730)=9,ISERROR(FIND("-",LEFT(CH730,8))),ISNUMBER(-LEFT(CH730,8))),VALUE(MID(CH730,5,2)),VALUE(MID(CH730,FIND("-",CH730)+1,FIND("-",CH730,FIND("-",CH730)+1)-FIND("-",CH730)-1))),""))</f>
        <v/>
      </c>
      <c r="CO730">
        <f>IF(CH730="","",IFERROR(IF(AND(LEN(CH730)=9,ISERROR(FIND("-",LEFT(CH730,8))),ISNUMBER(-LEFT(CH730,8))),VALUE(MID(CH730,7,2)),VALUE(MID(CH730,FIND("-",CH730,FIND("-",CH730)+1)+1,FIND("-",CH730,FIND("-",CH730,FIND("-",CH730)+1)+1)-FIND("-",CH730,FIND("-",CH730)+1)-1))),""))</f>
        <v/>
      </c>
    </row>
    <row r="731">
      <c r="CH731">
        <f>IF(ISTEXT('월 가계부'!A731),SUBSTITUTE(SUBSTITUTE(SUBSTITUTE(SUBSTITUTE(SUBSTITUTE(SUBSTITUTE(SUBSTITUTE(SUBSTITUTE(SUBSTITUTE(TRIM('월 가계부'!A731),"년","-"),"월","-"),"일",""),".","-"),"/","-")," ","-"),"--","-"),"--","-"),"--","-")&amp;"-","")</f>
        <v/>
      </c>
      <c r="CI731">
        <f>IFERROR(IF('월 가계부'!A731="","",IF(ISNUMBER('월 가계부'!A731),IF(AND('월 가계부'!A731&gt;=19000101,'월 가계부'!A731&lt;=21001231),IF(AND(MOD(INT('월 가계부'!A731/100),100)&gt;=1,MOD(INT('월 가계부'!A731/100),100)&lt;=12,MOD(INT('월 가계부'!A731),100)&gt;=1,MOD(INT('월 가계부'!A731),100)&lt;=31),IF(MONTH(DATE(INT('월 가계부'!A731/10000),MOD(INT('월 가계부'!A731/100),100),MOD(INT('월 가계부'!A731),100)))=MOD(INT('월 가계부'!A731/100),100),DATE(INT('월 가계부'!A731/10000),MOD(INT('월 가계부'!A731/100),100),MOD(INT('월 가계부'!A731),100)),""),""),IF(AND('월 가계부'!A731&gt;=36526,'월 가계부'!A731&lt;73051),INT('월 가계부'!A731),"")),IF(OR(CM731="",CN731="",CO731=""),"",IF(AND(CM731&gt;=2000,CM731&lt;=2099,CN731&gt;=1,CN731&lt;=12,CO731&gt;=1,CO731&lt;=31),IF(MONTH(DATE(CM731,CN731,CO731))=CN731,DATE(CM731,CN731,CO731),""),"")))),"")</f>
        <v/>
      </c>
      <c r="CJ731">
        <f>IFERROR(IF('월 가계부'!C731="","",IF(ISNUMBER('월 가계부'!C731),'월 가계부'!C731,VALUE(SUBSTITUTE(SUBSTITUTE(SUBSTITUTE(SUBSTITUTE(TRIM('월 가계부'!C731),",",""),"원","")," ",""),"−","-")))),"")</f>
        <v/>
      </c>
      <c r="CK731">
        <f>IF(ISNUMBER(CI731),IF(CI731&lt;$B$13,CI731,""),"")</f>
        <v/>
      </c>
      <c r="CM731">
        <f>IF(CH731="","",IFERROR(IF(IF(AND(LEN(CH731)=9,ISERROR(FIND("-",LEFT(CH731,8))),ISNUMBER(-LEFT(CH731,8))),VALUE(LEFT(CH731,4)),VALUE(LEFT(CH731,FIND("-",CH731)-1)))&lt;100,IF(AND(LEN(CH731)=9,ISERROR(FIND("-",LEFT(CH731,8))),ISNUMBER(-LEFT(CH731,8))),VALUE(LEFT(CH731,4)),VALUE(LEFT(CH731,FIND("-",CH731)-1)))+2000,IF(AND(LEN(CH731)=9,ISERROR(FIND("-",LEFT(CH731,8))),ISNUMBER(-LEFT(CH731,8))),VALUE(LEFT(CH731,4)),VALUE(LEFT(CH731,FIND("-",CH731)-1)))),""))</f>
        <v/>
      </c>
      <c r="CN731">
        <f>IF(CH731="","",IFERROR(IF(AND(LEN(CH731)=9,ISERROR(FIND("-",LEFT(CH731,8))),ISNUMBER(-LEFT(CH731,8))),VALUE(MID(CH731,5,2)),VALUE(MID(CH731,FIND("-",CH731)+1,FIND("-",CH731,FIND("-",CH731)+1)-FIND("-",CH731)-1))),""))</f>
        <v/>
      </c>
      <c r="CO731">
        <f>IF(CH731="","",IFERROR(IF(AND(LEN(CH731)=9,ISERROR(FIND("-",LEFT(CH731,8))),ISNUMBER(-LEFT(CH731,8))),VALUE(MID(CH731,7,2)),VALUE(MID(CH731,FIND("-",CH731,FIND("-",CH731)+1)+1,FIND("-",CH731,FIND("-",CH731,FIND("-",CH731)+1)+1)-FIND("-",CH731,FIND("-",CH731)+1)-1))),""))</f>
        <v/>
      </c>
    </row>
    <row r="732">
      <c r="CH732">
        <f>IF(ISTEXT('월 가계부'!A732),SUBSTITUTE(SUBSTITUTE(SUBSTITUTE(SUBSTITUTE(SUBSTITUTE(SUBSTITUTE(SUBSTITUTE(SUBSTITUTE(SUBSTITUTE(TRIM('월 가계부'!A732),"년","-"),"월","-"),"일",""),".","-"),"/","-")," ","-"),"--","-"),"--","-"),"--","-")&amp;"-","")</f>
        <v/>
      </c>
      <c r="CI732">
        <f>IFERROR(IF('월 가계부'!A732="","",IF(ISNUMBER('월 가계부'!A732),IF(AND('월 가계부'!A732&gt;=19000101,'월 가계부'!A732&lt;=21001231),IF(AND(MOD(INT('월 가계부'!A732/100),100)&gt;=1,MOD(INT('월 가계부'!A732/100),100)&lt;=12,MOD(INT('월 가계부'!A732),100)&gt;=1,MOD(INT('월 가계부'!A732),100)&lt;=31),IF(MONTH(DATE(INT('월 가계부'!A732/10000),MOD(INT('월 가계부'!A732/100),100),MOD(INT('월 가계부'!A732),100)))=MOD(INT('월 가계부'!A732/100),100),DATE(INT('월 가계부'!A732/10000),MOD(INT('월 가계부'!A732/100),100),MOD(INT('월 가계부'!A732),100)),""),""),IF(AND('월 가계부'!A732&gt;=36526,'월 가계부'!A732&lt;73051),INT('월 가계부'!A732),"")),IF(OR(CM732="",CN732="",CO732=""),"",IF(AND(CM732&gt;=2000,CM732&lt;=2099,CN732&gt;=1,CN732&lt;=12,CO732&gt;=1,CO732&lt;=31),IF(MONTH(DATE(CM732,CN732,CO732))=CN732,DATE(CM732,CN732,CO732),""),"")))),"")</f>
        <v/>
      </c>
      <c r="CJ732">
        <f>IFERROR(IF('월 가계부'!C732="","",IF(ISNUMBER('월 가계부'!C732),'월 가계부'!C732,VALUE(SUBSTITUTE(SUBSTITUTE(SUBSTITUTE(SUBSTITUTE(TRIM('월 가계부'!C732),",",""),"원","")," ",""),"−","-")))),"")</f>
        <v/>
      </c>
      <c r="CK732">
        <f>IF(ISNUMBER(CI732),IF(CI732&lt;$B$13,CI732,""),"")</f>
        <v/>
      </c>
      <c r="CM732">
        <f>IF(CH732="","",IFERROR(IF(IF(AND(LEN(CH732)=9,ISERROR(FIND("-",LEFT(CH732,8))),ISNUMBER(-LEFT(CH732,8))),VALUE(LEFT(CH732,4)),VALUE(LEFT(CH732,FIND("-",CH732)-1)))&lt;100,IF(AND(LEN(CH732)=9,ISERROR(FIND("-",LEFT(CH732,8))),ISNUMBER(-LEFT(CH732,8))),VALUE(LEFT(CH732,4)),VALUE(LEFT(CH732,FIND("-",CH732)-1)))+2000,IF(AND(LEN(CH732)=9,ISERROR(FIND("-",LEFT(CH732,8))),ISNUMBER(-LEFT(CH732,8))),VALUE(LEFT(CH732,4)),VALUE(LEFT(CH732,FIND("-",CH732)-1)))),""))</f>
        <v/>
      </c>
      <c r="CN732">
        <f>IF(CH732="","",IFERROR(IF(AND(LEN(CH732)=9,ISERROR(FIND("-",LEFT(CH732,8))),ISNUMBER(-LEFT(CH732,8))),VALUE(MID(CH732,5,2)),VALUE(MID(CH732,FIND("-",CH732)+1,FIND("-",CH732,FIND("-",CH732)+1)-FIND("-",CH732)-1))),""))</f>
        <v/>
      </c>
      <c r="CO732">
        <f>IF(CH732="","",IFERROR(IF(AND(LEN(CH732)=9,ISERROR(FIND("-",LEFT(CH732,8))),ISNUMBER(-LEFT(CH732,8))),VALUE(MID(CH732,7,2)),VALUE(MID(CH732,FIND("-",CH732,FIND("-",CH732)+1)+1,FIND("-",CH732,FIND("-",CH732,FIND("-",CH732)+1)+1)-FIND("-",CH732,FIND("-",CH732)+1)-1))),""))</f>
        <v/>
      </c>
    </row>
    <row r="733">
      <c r="CH733">
        <f>IF(ISTEXT('월 가계부'!A733),SUBSTITUTE(SUBSTITUTE(SUBSTITUTE(SUBSTITUTE(SUBSTITUTE(SUBSTITUTE(SUBSTITUTE(SUBSTITUTE(SUBSTITUTE(TRIM('월 가계부'!A733),"년","-"),"월","-"),"일",""),".","-"),"/","-")," ","-"),"--","-"),"--","-"),"--","-")&amp;"-","")</f>
        <v/>
      </c>
      <c r="CI733">
        <f>IFERROR(IF('월 가계부'!A733="","",IF(ISNUMBER('월 가계부'!A733),IF(AND('월 가계부'!A733&gt;=19000101,'월 가계부'!A733&lt;=21001231),IF(AND(MOD(INT('월 가계부'!A733/100),100)&gt;=1,MOD(INT('월 가계부'!A733/100),100)&lt;=12,MOD(INT('월 가계부'!A733),100)&gt;=1,MOD(INT('월 가계부'!A733),100)&lt;=31),IF(MONTH(DATE(INT('월 가계부'!A733/10000),MOD(INT('월 가계부'!A733/100),100),MOD(INT('월 가계부'!A733),100)))=MOD(INT('월 가계부'!A733/100),100),DATE(INT('월 가계부'!A733/10000),MOD(INT('월 가계부'!A733/100),100),MOD(INT('월 가계부'!A733),100)),""),""),IF(AND('월 가계부'!A733&gt;=36526,'월 가계부'!A733&lt;73051),INT('월 가계부'!A733),"")),IF(OR(CM733="",CN733="",CO733=""),"",IF(AND(CM733&gt;=2000,CM733&lt;=2099,CN733&gt;=1,CN733&lt;=12,CO733&gt;=1,CO733&lt;=31),IF(MONTH(DATE(CM733,CN733,CO733))=CN733,DATE(CM733,CN733,CO733),""),"")))),"")</f>
        <v/>
      </c>
      <c r="CJ733">
        <f>IFERROR(IF('월 가계부'!C733="","",IF(ISNUMBER('월 가계부'!C733),'월 가계부'!C733,VALUE(SUBSTITUTE(SUBSTITUTE(SUBSTITUTE(SUBSTITUTE(TRIM('월 가계부'!C733),",",""),"원","")," ",""),"−","-")))),"")</f>
        <v/>
      </c>
      <c r="CK733">
        <f>IF(ISNUMBER(CI733),IF(CI733&lt;$B$13,CI733,""),"")</f>
        <v/>
      </c>
      <c r="CM733">
        <f>IF(CH733="","",IFERROR(IF(IF(AND(LEN(CH733)=9,ISERROR(FIND("-",LEFT(CH733,8))),ISNUMBER(-LEFT(CH733,8))),VALUE(LEFT(CH733,4)),VALUE(LEFT(CH733,FIND("-",CH733)-1)))&lt;100,IF(AND(LEN(CH733)=9,ISERROR(FIND("-",LEFT(CH733,8))),ISNUMBER(-LEFT(CH733,8))),VALUE(LEFT(CH733,4)),VALUE(LEFT(CH733,FIND("-",CH733)-1)))+2000,IF(AND(LEN(CH733)=9,ISERROR(FIND("-",LEFT(CH733,8))),ISNUMBER(-LEFT(CH733,8))),VALUE(LEFT(CH733,4)),VALUE(LEFT(CH733,FIND("-",CH733)-1)))),""))</f>
        <v/>
      </c>
      <c r="CN733">
        <f>IF(CH733="","",IFERROR(IF(AND(LEN(CH733)=9,ISERROR(FIND("-",LEFT(CH733,8))),ISNUMBER(-LEFT(CH733,8))),VALUE(MID(CH733,5,2)),VALUE(MID(CH733,FIND("-",CH733)+1,FIND("-",CH733,FIND("-",CH733)+1)-FIND("-",CH733)-1))),""))</f>
        <v/>
      </c>
      <c r="CO733">
        <f>IF(CH733="","",IFERROR(IF(AND(LEN(CH733)=9,ISERROR(FIND("-",LEFT(CH733,8))),ISNUMBER(-LEFT(CH733,8))),VALUE(MID(CH733,7,2)),VALUE(MID(CH733,FIND("-",CH733,FIND("-",CH733)+1)+1,FIND("-",CH733,FIND("-",CH733,FIND("-",CH733)+1)+1)-FIND("-",CH733,FIND("-",CH733)+1)-1))),""))</f>
        <v/>
      </c>
    </row>
    <row r="734">
      <c r="CH734">
        <f>IF(ISTEXT('월 가계부'!A734),SUBSTITUTE(SUBSTITUTE(SUBSTITUTE(SUBSTITUTE(SUBSTITUTE(SUBSTITUTE(SUBSTITUTE(SUBSTITUTE(SUBSTITUTE(TRIM('월 가계부'!A734),"년","-"),"월","-"),"일",""),".","-"),"/","-")," ","-"),"--","-"),"--","-"),"--","-")&amp;"-","")</f>
        <v/>
      </c>
      <c r="CI734">
        <f>IFERROR(IF('월 가계부'!A734="","",IF(ISNUMBER('월 가계부'!A734),IF(AND('월 가계부'!A734&gt;=19000101,'월 가계부'!A734&lt;=21001231),IF(AND(MOD(INT('월 가계부'!A734/100),100)&gt;=1,MOD(INT('월 가계부'!A734/100),100)&lt;=12,MOD(INT('월 가계부'!A734),100)&gt;=1,MOD(INT('월 가계부'!A734),100)&lt;=31),IF(MONTH(DATE(INT('월 가계부'!A734/10000),MOD(INT('월 가계부'!A734/100),100),MOD(INT('월 가계부'!A734),100)))=MOD(INT('월 가계부'!A734/100),100),DATE(INT('월 가계부'!A734/10000),MOD(INT('월 가계부'!A734/100),100),MOD(INT('월 가계부'!A734),100)),""),""),IF(AND('월 가계부'!A734&gt;=36526,'월 가계부'!A734&lt;73051),INT('월 가계부'!A734),"")),IF(OR(CM734="",CN734="",CO734=""),"",IF(AND(CM734&gt;=2000,CM734&lt;=2099,CN734&gt;=1,CN734&lt;=12,CO734&gt;=1,CO734&lt;=31),IF(MONTH(DATE(CM734,CN734,CO734))=CN734,DATE(CM734,CN734,CO734),""),"")))),"")</f>
        <v/>
      </c>
      <c r="CJ734">
        <f>IFERROR(IF('월 가계부'!C734="","",IF(ISNUMBER('월 가계부'!C734),'월 가계부'!C734,VALUE(SUBSTITUTE(SUBSTITUTE(SUBSTITUTE(SUBSTITUTE(TRIM('월 가계부'!C734),",",""),"원","")," ",""),"−","-")))),"")</f>
        <v/>
      </c>
      <c r="CK734">
        <f>IF(ISNUMBER(CI734),IF(CI734&lt;$B$13,CI734,""),"")</f>
        <v/>
      </c>
      <c r="CM734">
        <f>IF(CH734="","",IFERROR(IF(IF(AND(LEN(CH734)=9,ISERROR(FIND("-",LEFT(CH734,8))),ISNUMBER(-LEFT(CH734,8))),VALUE(LEFT(CH734,4)),VALUE(LEFT(CH734,FIND("-",CH734)-1)))&lt;100,IF(AND(LEN(CH734)=9,ISERROR(FIND("-",LEFT(CH734,8))),ISNUMBER(-LEFT(CH734,8))),VALUE(LEFT(CH734,4)),VALUE(LEFT(CH734,FIND("-",CH734)-1)))+2000,IF(AND(LEN(CH734)=9,ISERROR(FIND("-",LEFT(CH734,8))),ISNUMBER(-LEFT(CH734,8))),VALUE(LEFT(CH734,4)),VALUE(LEFT(CH734,FIND("-",CH734)-1)))),""))</f>
        <v/>
      </c>
      <c r="CN734">
        <f>IF(CH734="","",IFERROR(IF(AND(LEN(CH734)=9,ISERROR(FIND("-",LEFT(CH734,8))),ISNUMBER(-LEFT(CH734,8))),VALUE(MID(CH734,5,2)),VALUE(MID(CH734,FIND("-",CH734)+1,FIND("-",CH734,FIND("-",CH734)+1)-FIND("-",CH734)-1))),""))</f>
        <v/>
      </c>
      <c r="CO734">
        <f>IF(CH734="","",IFERROR(IF(AND(LEN(CH734)=9,ISERROR(FIND("-",LEFT(CH734,8))),ISNUMBER(-LEFT(CH734,8))),VALUE(MID(CH734,7,2)),VALUE(MID(CH734,FIND("-",CH734,FIND("-",CH734)+1)+1,FIND("-",CH734,FIND("-",CH734,FIND("-",CH734)+1)+1)-FIND("-",CH734,FIND("-",CH734)+1)-1))),""))</f>
        <v/>
      </c>
    </row>
    <row r="735">
      <c r="CH735">
        <f>IF(ISTEXT('월 가계부'!A735),SUBSTITUTE(SUBSTITUTE(SUBSTITUTE(SUBSTITUTE(SUBSTITUTE(SUBSTITUTE(SUBSTITUTE(SUBSTITUTE(SUBSTITUTE(TRIM('월 가계부'!A735),"년","-"),"월","-"),"일",""),".","-"),"/","-")," ","-"),"--","-"),"--","-"),"--","-")&amp;"-","")</f>
        <v/>
      </c>
      <c r="CI735">
        <f>IFERROR(IF('월 가계부'!A735="","",IF(ISNUMBER('월 가계부'!A735),IF(AND('월 가계부'!A735&gt;=19000101,'월 가계부'!A735&lt;=21001231),IF(AND(MOD(INT('월 가계부'!A735/100),100)&gt;=1,MOD(INT('월 가계부'!A735/100),100)&lt;=12,MOD(INT('월 가계부'!A735),100)&gt;=1,MOD(INT('월 가계부'!A735),100)&lt;=31),IF(MONTH(DATE(INT('월 가계부'!A735/10000),MOD(INT('월 가계부'!A735/100),100),MOD(INT('월 가계부'!A735),100)))=MOD(INT('월 가계부'!A735/100),100),DATE(INT('월 가계부'!A735/10000),MOD(INT('월 가계부'!A735/100),100),MOD(INT('월 가계부'!A735),100)),""),""),IF(AND('월 가계부'!A735&gt;=36526,'월 가계부'!A735&lt;73051),INT('월 가계부'!A735),"")),IF(OR(CM735="",CN735="",CO735=""),"",IF(AND(CM735&gt;=2000,CM735&lt;=2099,CN735&gt;=1,CN735&lt;=12,CO735&gt;=1,CO735&lt;=31),IF(MONTH(DATE(CM735,CN735,CO735))=CN735,DATE(CM735,CN735,CO735),""),"")))),"")</f>
        <v/>
      </c>
      <c r="CJ735">
        <f>IFERROR(IF('월 가계부'!C735="","",IF(ISNUMBER('월 가계부'!C735),'월 가계부'!C735,VALUE(SUBSTITUTE(SUBSTITUTE(SUBSTITUTE(SUBSTITUTE(TRIM('월 가계부'!C735),",",""),"원","")," ",""),"−","-")))),"")</f>
        <v/>
      </c>
      <c r="CK735">
        <f>IF(ISNUMBER(CI735),IF(CI735&lt;$B$13,CI735,""),"")</f>
        <v/>
      </c>
      <c r="CM735">
        <f>IF(CH735="","",IFERROR(IF(IF(AND(LEN(CH735)=9,ISERROR(FIND("-",LEFT(CH735,8))),ISNUMBER(-LEFT(CH735,8))),VALUE(LEFT(CH735,4)),VALUE(LEFT(CH735,FIND("-",CH735)-1)))&lt;100,IF(AND(LEN(CH735)=9,ISERROR(FIND("-",LEFT(CH735,8))),ISNUMBER(-LEFT(CH735,8))),VALUE(LEFT(CH735,4)),VALUE(LEFT(CH735,FIND("-",CH735)-1)))+2000,IF(AND(LEN(CH735)=9,ISERROR(FIND("-",LEFT(CH735,8))),ISNUMBER(-LEFT(CH735,8))),VALUE(LEFT(CH735,4)),VALUE(LEFT(CH735,FIND("-",CH735)-1)))),""))</f>
        <v/>
      </c>
      <c r="CN735">
        <f>IF(CH735="","",IFERROR(IF(AND(LEN(CH735)=9,ISERROR(FIND("-",LEFT(CH735,8))),ISNUMBER(-LEFT(CH735,8))),VALUE(MID(CH735,5,2)),VALUE(MID(CH735,FIND("-",CH735)+1,FIND("-",CH735,FIND("-",CH735)+1)-FIND("-",CH735)-1))),""))</f>
        <v/>
      </c>
      <c r="CO735">
        <f>IF(CH735="","",IFERROR(IF(AND(LEN(CH735)=9,ISERROR(FIND("-",LEFT(CH735,8))),ISNUMBER(-LEFT(CH735,8))),VALUE(MID(CH735,7,2)),VALUE(MID(CH735,FIND("-",CH735,FIND("-",CH735)+1)+1,FIND("-",CH735,FIND("-",CH735,FIND("-",CH735)+1)+1)-FIND("-",CH735,FIND("-",CH735)+1)-1))),""))</f>
        <v/>
      </c>
    </row>
    <row r="736">
      <c r="CH736">
        <f>IF(ISTEXT('월 가계부'!A736),SUBSTITUTE(SUBSTITUTE(SUBSTITUTE(SUBSTITUTE(SUBSTITUTE(SUBSTITUTE(SUBSTITUTE(SUBSTITUTE(SUBSTITUTE(TRIM('월 가계부'!A736),"년","-"),"월","-"),"일",""),".","-"),"/","-")," ","-"),"--","-"),"--","-"),"--","-")&amp;"-","")</f>
        <v/>
      </c>
      <c r="CI736">
        <f>IFERROR(IF('월 가계부'!A736="","",IF(ISNUMBER('월 가계부'!A736),IF(AND('월 가계부'!A736&gt;=19000101,'월 가계부'!A736&lt;=21001231),IF(AND(MOD(INT('월 가계부'!A736/100),100)&gt;=1,MOD(INT('월 가계부'!A736/100),100)&lt;=12,MOD(INT('월 가계부'!A736),100)&gt;=1,MOD(INT('월 가계부'!A736),100)&lt;=31),IF(MONTH(DATE(INT('월 가계부'!A736/10000),MOD(INT('월 가계부'!A736/100),100),MOD(INT('월 가계부'!A736),100)))=MOD(INT('월 가계부'!A736/100),100),DATE(INT('월 가계부'!A736/10000),MOD(INT('월 가계부'!A736/100),100),MOD(INT('월 가계부'!A736),100)),""),""),IF(AND('월 가계부'!A736&gt;=36526,'월 가계부'!A736&lt;73051),INT('월 가계부'!A736),"")),IF(OR(CM736="",CN736="",CO736=""),"",IF(AND(CM736&gt;=2000,CM736&lt;=2099,CN736&gt;=1,CN736&lt;=12,CO736&gt;=1,CO736&lt;=31),IF(MONTH(DATE(CM736,CN736,CO736))=CN736,DATE(CM736,CN736,CO736),""),"")))),"")</f>
        <v/>
      </c>
      <c r="CJ736">
        <f>IFERROR(IF('월 가계부'!C736="","",IF(ISNUMBER('월 가계부'!C736),'월 가계부'!C736,VALUE(SUBSTITUTE(SUBSTITUTE(SUBSTITUTE(SUBSTITUTE(TRIM('월 가계부'!C736),",",""),"원","")," ",""),"−","-")))),"")</f>
        <v/>
      </c>
      <c r="CK736">
        <f>IF(ISNUMBER(CI736),IF(CI736&lt;$B$13,CI736,""),"")</f>
        <v/>
      </c>
      <c r="CM736">
        <f>IF(CH736="","",IFERROR(IF(IF(AND(LEN(CH736)=9,ISERROR(FIND("-",LEFT(CH736,8))),ISNUMBER(-LEFT(CH736,8))),VALUE(LEFT(CH736,4)),VALUE(LEFT(CH736,FIND("-",CH736)-1)))&lt;100,IF(AND(LEN(CH736)=9,ISERROR(FIND("-",LEFT(CH736,8))),ISNUMBER(-LEFT(CH736,8))),VALUE(LEFT(CH736,4)),VALUE(LEFT(CH736,FIND("-",CH736)-1)))+2000,IF(AND(LEN(CH736)=9,ISERROR(FIND("-",LEFT(CH736,8))),ISNUMBER(-LEFT(CH736,8))),VALUE(LEFT(CH736,4)),VALUE(LEFT(CH736,FIND("-",CH736)-1)))),""))</f>
        <v/>
      </c>
      <c r="CN736">
        <f>IF(CH736="","",IFERROR(IF(AND(LEN(CH736)=9,ISERROR(FIND("-",LEFT(CH736,8))),ISNUMBER(-LEFT(CH736,8))),VALUE(MID(CH736,5,2)),VALUE(MID(CH736,FIND("-",CH736)+1,FIND("-",CH736,FIND("-",CH736)+1)-FIND("-",CH736)-1))),""))</f>
        <v/>
      </c>
      <c r="CO736">
        <f>IF(CH736="","",IFERROR(IF(AND(LEN(CH736)=9,ISERROR(FIND("-",LEFT(CH736,8))),ISNUMBER(-LEFT(CH736,8))),VALUE(MID(CH736,7,2)),VALUE(MID(CH736,FIND("-",CH736,FIND("-",CH736)+1)+1,FIND("-",CH736,FIND("-",CH736,FIND("-",CH736)+1)+1)-FIND("-",CH736,FIND("-",CH736)+1)-1))),""))</f>
        <v/>
      </c>
    </row>
    <row r="737">
      <c r="CH737">
        <f>IF(ISTEXT('월 가계부'!A737),SUBSTITUTE(SUBSTITUTE(SUBSTITUTE(SUBSTITUTE(SUBSTITUTE(SUBSTITUTE(SUBSTITUTE(SUBSTITUTE(SUBSTITUTE(TRIM('월 가계부'!A737),"년","-"),"월","-"),"일",""),".","-"),"/","-")," ","-"),"--","-"),"--","-"),"--","-")&amp;"-","")</f>
        <v/>
      </c>
      <c r="CI737">
        <f>IFERROR(IF('월 가계부'!A737="","",IF(ISNUMBER('월 가계부'!A737),IF(AND('월 가계부'!A737&gt;=19000101,'월 가계부'!A737&lt;=21001231),IF(AND(MOD(INT('월 가계부'!A737/100),100)&gt;=1,MOD(INT('월 가계부'!A737/100),100)&lt;=12,MOD(INT('월 가계부'!A737),100)&gt;=1,MOD(INT('월 가계부'!A737),100)&lt;=31),IF(MONTH(DATE(INT('월 가계부'!A737/10000),MOD(INT('월 가계부'!A737/100),100),MOD(INT('월 가계부'!A737),100)))=MOD(INT('월 가계부'!A737/100),100),DATE(INT('월 가계부'!A737/10000),MOD(INT('월 가계부'!A737/100),100),MOD(INT('월 가계부'!A737),100)),""),""),IF(AND('월 가계부'!A737&gt;=36526,'월 가계부'!A737&lt;73051),INT('월 가계부'!A737),"")),IF(OR(CM737="",CN737="",CO737=""),"",IF(AND(CM737&gt;=2000,CM737&lt;=2099,CN737&gt;=1,CN737&lt;=12,CO737&gt;=1,CO737&lt;=31),IF(MONTH(DATE(CM737,CN737,CO737))=CN737,DATE(CM737,CN737,CO737),""),"")))),"")</f>
        <v/>
      </c>
      <c r="CJ737">
        <f>IFERROR(IF('월 가계부'!C737="","",IF(ISNUMBER('월 가계부'!C737),'월 가계부'!C737,VALUE(SUBSTITUTE(SUBSTITUTE(SUBSTITUTE(SUBSTITUTE(TRIM('월 가계부'!C737),",",""),"원","")," ",""),"−","-")))),"")</f>
        <v/>
      </c>
      <c r="CK737">
        <f>IF(ISNUMBER(CI737),IF(CI737&lt;$B$13,CI737,""),"")</f>
        <v/>
      </c>
      <c r="CM737">
        <f>IF(CH737="","",IFERROR(IF(IF(AND(LEN(CH737)=9,ISERROR(FIND("-",LEFT(CH737,8))),ISNUMBER(-LEFT(CH737,8))),VALUE(LEFT(CH737,4)),VALUE(LEFT(CH737,FIND("-",CH737)-1)))&lt;100,IF(AND(LEN(CH737)=9,ISERROR(FIND("-",LEFT(CH737,8))),ISNUMBER(-LEFT(CH737,8))),VALUE(LEFT(CH737,4)),VALUE(LEFT(CH737,FIND("-",CH737)-1)))+2000,IF(AND(LEN(CH737)=9,ISERROR(FIND("-",LEFT(CH737,8))),ISNUMBER(-LEFT(CH737,8))),VALUE(LEFT(CH737,4)),VALUE(LEFT(CH737,FIND("-",CH737)-1)))),""))</f>
        <v/>
      </c>
      <c r="CN737">
        <f>IF(CH737="","",IFERROR(IF(AND(LEN(CH737)=9,ISERROR(FIND("-",LEFT(CH737,8))),ISNUMBER(-LEFT(CH737,8))),VALUE(MID(CH737,5,2)),VALUE(MID(CH737,FIND("-",CH737)+1,FIND("-",CH737,FIND("-",CH737)+1)-FIND("-",CH737)-1))),""))</f>
        <v/>
      </c>
      <c r="CO737">
        <f>IF(CH737="","",IFERROR(IF(AND(LEN(CH737)=9,ISERROR(FIND("-",LEFT(CH737,8))),ISNUMBER(-LEFT(CH737,8))),VALUE(MID(CH737,7,2)),VALUE(MID(CH737,FIND("-",CH737,FIND("-",CH737)+1)+1,FIND("-",CH737,FIND("-",CH737,FIND("-",CH737)+1)+1)-FIND("-",CH737,FIND("-",CH737)+1)-1))),""))</f>
        <v/>
      </c>
    </row>
    <row r="738">
      <c r="CH738">
        <f>IF(ISTEXT('월 가계부'!A738),SUBSTITUTE(SUBSTITUTE(SUBSTITUTE(SUBSTITUTE(SUBSTITUTE(SUBSTITUTE(SUBSTITUTE(SUBSTITUTE(SUBSTITUTE(TRIM('월 가계부'!A738),"년","-"),"월","-"),"일",""),".","-"),"/","-")," ","-"),"--","-"),"--","-"),"--","-")&amp;"-","")</f>
        <v/>
      </c>
      <c r="CI738">
        <f>IFERROR(IF('월 가계부'!A738="","",IF(ISNUMBER('월 가계부'!A738),IF(AND('월 가계부'!A738&gt;=19000101,'월 가계부'!A738&lt;=21001231),IF(AND(MOD(INT('월 가계부'!A738/100),100)&gt;=1,MOD(INT('월 가계부'!A738/100),100)&lt;=12,MOD(INT('월 가계부'!A738),100)&gt;=1,MOD(INT('월 가계부'!A738),100)&lt;=31),IF(MONTH(DATE(INT('월 가계부'!A738/10000),MOD(INT('월 가계부'!A738/100),100),MOD(INT('월 가계부'!A738),100)))=MOD(INT('월 가계부'!A738/100),100),DATE(INT('월 가계부'!A738/10000),MOD(INT('월 가계부'!A738/100),100),MOD(INT('월 가계부'!A738),100)),""),""),IF(AND('월 가계부'!A738&gt;=36526,'월 가계부'!A738&lt;73051),INT('월 가계부'!A738),"")),IF(OR(CM738="",CN738="",CO738=""),"",IF(AND(CM738&gt;=2000,CM738&lt;=2099,CN738&gt;=1,CN738&lt;=12,CO738&gt;=1,CO738&lt;=31),IF(MONTH(DATE(CM738,CN738,CO738))=CN738,DATE(CM738,CN738,CO738),""),"")))),"")</f>
        <v/>
      </c>
      <c r="CJ738">
        <f>IFERROR(IF('월 가계부'!C738="","",IF(ISNUMBER('월 가계부'!C738),'월 가계부'!C738,VALUE(SUBSTITUTE(SUBSTITUTE(SUBSTITUTE(SUBSTITUTE(TRIM('월 가계부'!C738),",",""),"원","")," ",""),"−","-")))),"")</f>
        <v/>
      </c>
      <c r="CK738">
        <f>IF(ISNUMBER(CI738),IF(CI738&lt;$B$13,CI738,""),"")</f>
        <v/>
      </c>
      <c r="CM738">
        <f>IF(CH738="","",IFERROR(IF(IF(AND(LEN(CH738)=9,ISERROR(FIND("-",LEFT(CH738,8))),ISNUMBER(-LEFT(CH738,8))),VALUE(LEFT(CH738,4)),VALUE(LEFT(CH738,FIND("-",CH738)-1)))&lt;100,IF(AND(LEN(CH738)=9,ISERROR(FIND("-",LEFT(CH738,8))),ISNUMBER(-LEFT(CH738,8))),VALUE(LEFT(CH738,4)),VALUE(LEFT(CH738,FIND("-",CH738)-1)))+2000,IF(AND(LEN(CH738)=9,ISERROR(FIND("-",LEFT(CH738,8))),ISNUMBER(-LEFT(CH738,8))),VALUE(LEFT(CH738,4)),VALUE(LEFT(CH738,FIND("-",CH738)-1)))),""))</f>
        <v/>
      </c>
      <c r="CN738">
        <f>IF(CH738="","",IFERROR(IF(AND(LEN(CH738)=9,ISERROR(FIND("-",LEFT(CH738,8))),ISNUMBER(-LEFT(CH738,8))),VALUE(MID(CH738,5,2)),VALUE(MID(CH738,FIND("-",CH738)+1,FIND("-",CH738,FIND("-",CH738)+1)-FIND("-",CH738)-1))),""))</f>
        <v/>
      </c>
      <c r="CO738">
        <f>IF(CH738="","",IFERROR(IF(AND(LEN(CH738)=9,ISERROR(FIND("-",LEFT(CH738,8))),ISNUMBER(-LEFT(CH738,8))),VALUE(MID(CH738,7,2)),VALUE(MID(CH738,FIND("-",CH738,FIND("-",CH738)+1)+1,FIND("-",CH738,FIND("-",CH738,FIND("-",CH738)+1)+1)-FIND("-",CH738,FIND("-",CH738)+1)-1))),""))</f>
        <v/>
      </c>
    </row>
    <row r="739">
      <c r="CH739">
        <f>IF(ISTEXT('월 가계부'!A739),SUBSTITUTE(SUBSTITUTE(SUBSTITUTE(SUBSTITUTE(SUBSTITUTE(SUBSTITUTE(SUBSTITUTE(SUBSTITUTE(SUBSTITUTE(TRIM('월 가계부'!A739),"년","-"),"월","-"),"일",""),".","-"),"/","-")," ","-"),"--","-"),"--","-"),"--","-")&amp;"-","")</f>
        <v/>
      </c>
      <c r="CI739">
        <f>IFERROR(IF('월 가계부'!A739="","",IF(ISNUMBER('월 가계부'!A739),IF(AND('월 가계부'!A739&gt;=19000101,'월 가계부'!A739&lt;=21001231),IF(AND(MOD(INT('월 가계부'!A739/100),100)&gt;=1,MOD(INT('월 가계부'!A739/100),100)&lt;=12,MOD(INT('월 가계부'!A739),100)&gt;=1,MOD(INT('월 가계부'!A739),100)&lt;=31),IF(MONTH(DATE(INT('월 가계부'!A739/10000),MOD(INT('월 가계부'!A739/100),100),MOD(INT('월 가계부'!A739),100)))=MOD(INT('월 가계부'!A739/100),100),DATE(INT('월 가계부'!A739/10000),MOD(INT('월 가계부'!A739/100),100),MOD(INT('월 가계부'!A739),100)),""),""),IF(AND('월 가계부'!A739&gt;=36526,'월 가계부'!A739&lt;73051),INT('월 가계부'!A739),"")),IF(OR(CM739="",CN739="",CO739=""),"",IF(AND(CM739&gt;=2000,CM739&lt;=2099,CN739&gt;=1,CN739&lt;=12,CO739&gt;=1,CO739&lt;=31),IF(MONTH(DATE(CM739,CN739,CO739))=CN739,DATE(CM739,CN739,CO739),""),"")))),"")</f>
        <v/>
      </c>
      <c r="CJ739">
        <f>IFERROR(IF('월 가계부'!C739="","",IF(ISNUMBER('월 가계부'!C739),'월 가계부'!C739,VALUE(SUBSTITUTE(SUBSTITUTE(SUBSTITUTE(SUBSTITUTE(TRIM('월 가계부'!C739),",",""),"원","")," ",""),"−","-")))),"")</f>
        <v/>
      </c>
      <c r="CK739">
        <f>IF(ISNUMBER(CI739),IF(CI739&lt;$B$13,CI739,""),"")</f>
        <v/>
      </c>
      <c r="CM739">
        <f>IF(CH739="","",IFERROR(IF(IF(AND(LEN(CH739)=9,ISERROR(FIND("-",LEFT(CH739,8))),ISNUMBER(-LEFT(CH739,8))),VALUE(LEFT(CH739,4)),VALUE(LEFT(CH739,FIND("-",CH739)-1)))&lt;100,IF(AND(LEN(CH739)=9,ISERROR(FIND("-",LEFT(CH739,8))),ISNUMBER(-LEFT(CH739,8))),VALUE(LEFT(CH739,4)),VALUE(LEFT(CH739,FIND("-",CH739)-1)))+2000,IF(AND(LEN(CH739)=9,ISERROR(FIND("-",LEFT(CH739,8))),ISNUMBER(-LEFT(CH739,8))),VALUE(LEFT(CH739,4)),VALUE(LEFT(CH739,FIND("-",CH739)-1)))),""))</f>
        <v/>
      </c>
      <c r="CN739">
        <f>IF(CH739="","",IFERROR(IF(AND(LEN(CH739)=9,ISERROR(FIND("-",LEFT(CH739,8))),ISNUMBER(-LEFT(CH739,8))),VALUE(MID(CH739,5,2)),VALUE(MID(CH739,FIND("-",CH739)+1,FIND("-",CH739,FIND("-",CH739)+1)-FIND("-",CH739)-1))),""))</f>
        <v/>
      </c>
      <c r="CO739">
        <f>IF(CH739="","",IFERROR(IF(AND(LEN(CH739)=9,ISERROR(FIND("-",LEFT(CH739,8))),ISNUMBER(-LEFT(CH739,8))),VALUE(MID(CH739,7,2)),VALUE(MID(CH739,FIND("-",CH739,FIND("-",CH739)+1)+1,FIND("-",CH739,FIND("-",CH739,FIND("-",CH739)+1)+1)-FIND("-",CH739,FIND("-",CH739)+1)-1))),""))</f>
        <v/>
      </c>
    </row>
    <row r="740">
      <c r="CH740">
        <f>IF(ISTEXT('월 가계부'!A740),SUBSTITUTE(SUBSTITUTE(SUBSTITUTE(SUBSTITUTE(SUBSTITUTE(SUBSTITUTE(SUBSTITUTE(SUBSTITUTE(SUBSTITUTE(TRIM('월 가계부'!A740),"년","-"),"월","-"),"일",""),".","-"),"/","-")," ","-"),"--","-"),"--","-"),"--","-")&amp;"-","")</f>
        <v/>
      </c>
      <c r="CI740">
        <f>IFERROR(IF('월 가계부'!A740="","",IF(ISNUMBER('월 가계부'!A740),IF(AND('월 가계부'!A740&gt;=19000101,'월 가계부'!A740&lt;=21001231),IF(AND(MOD(INT('월 가계부'!A740/100),100)&gt;=1,MOD(INT('월 가계부'!A740/100),100)&lt;=12,MOD(INT('월 가계부'!A740),100)&gt;=1,MOD(INT('월 가계부'!A740),100)&lt;=31),IF(MONTH(DATE(INT('월 가계부'!A740/10000),MOD(INT('월 가계부'!A740/100),100),MOD(INT('월 가계부'!A740),100)))=MOD(INT('월 가계부'!A740/100),100),DATE(INT('월 가계부'!A740/10000),MOD(INT('월 가계부'!A740/100),100),MOD(INT('월 가계부'!A740),100)),""),""),IF(AND('월 가계부'!A740&gt;=36526,'월 가계부'!A740&lt;73051),INT('월 가계부'!A740),"")),IF(OR(CM740="",CN740="",CO740=""),"",IF(AND(CM740&gt;=2000,CM740&lt;=2099,CN740&gt;=1,CN740&lt;=12,CO740&gt;=1,CO740&lt;=31),IF(MONTH(DATE(CM740,CN740,CO740))=CN740,DATE(CM740,CN740,CO740),""),"")))),"")</f>
        <v/>
      </c>
      <c r="CJ740">
        <f>IFERROR(IF('월 가계부'!C740="","",IF(ISNUMBER('월 가계부'!C740),'월 가계부'!C740,VALUE(SUBSTITUTE(SUBSTITUTE(SUBSTITUTE(SUBSTITUTE(TRIM('월 가계부'!C740),",",""),"원","")," ",""),"−","-")))),"")</f>
        <v/>
      </c>
      <c r="CK740">
        <f>IF(ISNUMBER(CI740),IF(CI740&lt;$B$13,CI740,""),"")</f>
        <v/>
      </c>
      <c r="CM740">
        <f>IF(CH740="","",IFERROR(IF(IF(AND(LEN(CH740)=9,ISERROR(FIND("-",LEFT(CH740,8))),ISNUMBER(-LEFT(CH740,8))),VALUE(LEFT(CH740,4)),VALUE(LEFT(CH740,FIND("-",CH740)-1)))&lt;100,IF(AND(LEN(CH740)=9,ISERROR(FIND("-",LEFT(CH740,8))),ISNUMBER(-LEFT(CH740,8))),VALUE(LEFT(CH740,4)),VALUE(LEFT(CH740,FIND("-",CH740)-1)))+2000,IF(AND(LEN(CH740)=9,ISERROR(FIND("-",LEFT(CH740,8))),ISNUMBER(-LEFT(CH740,8))),VALUE(LEFT(CH740,4)),VALUE(LEFT(CH740,FIND("-",CH740)-1)))),""))</f>
        <v/>
      </c>
      <c r="CN740">
        <f>IF(CH740="","",IFERROR(IF(AND(LEN(CH740)=9,ISERROR(FIND("-",LEFT(CH740,8))),ISNUMBER(-LEFT(CH740,8))),VALUE(MID(CH740,5,2)),VALUE(MID(CH740,FIND("-",CH740)+1,FIND("-",CH740,FIND("-",CH740)+1)-FIND("-",CH740)-1))),""))</f>
        <v/>
      </c>
      <c r="CO740">
        <f>IF(CH740="","",IFERROR(IF(AND(LEN(CH740)=9,ISERROR(FIND("-",LEFT(CH740,8))),ISNUMBER(-LEFT(CH740,8))),VALUE(MID(CH740,7,2)),VALUE(MID(CH740,FIND("-",CH740,FIND("-",CH740)+1)+1,FIND("-",CH740,FIND("-",CH740,FIND("-",CH740)+1)+1)-FIND("-",CH740,FIND("-",CH740)+1)-1))),""))</f>
        <v/>
      </c>
    </row>
    <row r="741">
      <c r="CH741">
        <f>IF(ISTEXT('월 가계부'!A741),SUBSTITUTE(SUBSTITUTE(SUBSTITUTE(SUBSTITUTE(SUBSTITUTE(SUBSTITUTE(SUBSTITUTE(SUBSTITUTE(SUBSTITUTE(TRIM('월 가계부'!A741),"년","-"),"월","-"),"일",""),".","-"),"/","-")," ","-"),"--","-"),"--","-"),"--","-")&amp;"-","")</f>
        <v/>
      </c>
      <c r="CI741">
        <f>IFERROR(IF('월 가계부'!A741="","",IF(ISNUMBER('월 가계부'!A741),IF(AND('월 가계부'!A741&gt;=19000101,'월 가계부'!A741&lt;=21001231),IF(AND(MOD(INT('월 가계부'!A741/100),100)&gt;=1,MOD(INT('월 가계부'!A741/100),100)&lt;=12,MOD(INT('월 가계부'!A741),100)&gt;=1,MOD(INT('월 가계부'!A741),100)&lt;=31),IF(MONTH(DATE(INT('월 가계부'!A741/10000),MOD(INT('월 가계부'!A741/100),100),MOD(INT('월 가계부'!A741),100)))=MOD(INT('월 가계부'!A741/100),100),DATE(INT('월 가계부'!A741/10000),MOD(INT('월 가계부'!A741/100),100),MOD(INT('월 가계부'!A741),100)),""),""),IF(AND('월 가계부'!A741&gt;=36526,'월 가계부'!A741&lt;73051),INT('월 가계부'!A741),"")),IF(OR(CM741="",CN741="",CO741=""),"",IF(AND(CM741&gt;=2000,CM741&lt;=2099,CN741&gt;=1,CN741&lt;=12,CO741&gt;=1,CO741&lt;=31),IF(MONTH(DATE(CM741,CN741,CO741))=CN741,DATE(CM741,CN741,CO741),""),"")))),"")</f>
        <v/>
      </c>
      <c r="CJ741">
        <f>IFERROR(IF('월 가계부'!C741="","",IF(ISNUMBER('월 가계부'!C741),'월 가계부'!C741,VALUE(SUBSTITUTE(SUBSTITUTE(SUBSTITUTE(SUBSTITUTE(TRIM('월 가계부'!C741),",",""),"원","")," ",""),"−","-")))),"")</f>
        <v/>
      </c>
      <c r="CK741">
        <f>IF(ISNUMBER(CI741),IF(CI741&lt;$B$13,CI741,""),"")</f>
        <v/>
      </c>
      <c r="CM741">
        <f>IF(CH741="","",IFERROR(IF(IF(AND(LEN(CH741)=9,ISERROR(FIND("-",LEFT(CH741,8))),ISNUMBER(-LEFT(CH741,8))),VALUE(LEFT(CH741,4)),VALUE(LEFT(CH741,FIND("-",CH741)-1)))&lt;100,IF(AND(LEN(CH741)=9,ISERROR(FIND("-",LEFT(CH741,8))),ISNUMBER(-LEFT(CH741,8))),VALUE(LEFT(CH741,4)),VALUE(LEFT(CH741,FIND("-",CH741)-1)))+2000,IF(AND(LEN(CH741)=9,ISERROR(FIND("-",LEFT(CH741,8))),ISNUMBER(-LEFT(CH741,8))),VALUE(LEFT(CH741,4)),VALUE(LEFT(CH741,FIND("-",CH741)-1)))),""))</f>
        <v/>
      </c>
      <c r="CN741">
        <f>IF(CH741="","",IFERROR(IF(AND(LEN(CH741)=9,ISERROR(FIND("-",LEFT(CH741,8))),ISNUMBER(-LEFT(CH741,8))),VALUE(MID(CH741,5,2)),VALUE(MID(CH741,FIND("-",CH741)+1,FIND("-",CH741,FIND("-",CH741)+1)-FIND("-",CH741)-1))),""))</f>
        <v/>
      </c>
      <c r="CO741">
        <f>IF(CH741="","",IFERROR(IF(AND(LEN(CH741)=9,ISERROR(FIND("-",LEFT(CH741,8))),ISNUMBER(-LEFT(CH741,8))),VALUE(MID(CH741,7,2)),VALUE(MID(CH741,FIND("-",CH741,FIND("-",CH741)+1)+1,FIND("-",CH741,FIND("-",CH741,FIND("-",CH741)+1)+1)-FIND("-",CH741,FIND("-",CH741)+1)-1))),""))</f>
        <v/>
      </c>
    </row>
    <row r="742">
      <c r="CH742">
        <f>IF(ISTEXT('월 가계부'!A742),SUBSTITUTE(SUBSTITUTE(SUBSTITUTE(SUBSTITUTE(SUBSTITUTE(SUBSTITUTE(SUBSTITUTE(SUBSTITUTE(SUBSTITUTE(TRIM('월 가계부'!A742),"년","-"),"월","-"),"일",""),".","-"),"/","-")," ","-"),"--","-"),"--","-"),"--","-")&amp;"-","")</f>
        <v/>
      </c>
      <c r="CI742">
        <f>IFERROR(IF('월 가계부'!A742="","",IF(ISNUMBER('월 가계부'!A742),IF(AND('월 가계부'!A742&gt;=19000101,'월 가계부'!A742&lt;=21001231),IF(AND(MOD(INT('월 가계부'!A742/100),100)&gt;=1,MOD(INT('월 가계부'!A742/100),100)&lt;=12,MOD(INT('월 가계부'!A742),100)&gt;=1,MOD(INT('월 가계부'!A742),100)&lt;=31),IF(MONTH(DATE(INT('월 가계부'!A742/10000),MOD(INT('월 가계부'!A742/100),100),MOD(INT('월 가계부'!A742),100)))=MOD(INT('월 가계부'!A742/100),100),DATE(INT('월 가계부'!A742/10000),MOD(INT('월 가계부'!A742/100),100),MOD(INT('월 가계부'!A742),100)),""),""),IF(AND('월 가계부'!A742&gt;=36526,'월 가계부'!A742&lt;73051),INT('월 가계부'!A742),"")),IF(OR(CM742="",CN742="",CO742=""),"",IF(AND(CM742&gt;=2000,CM742&lt;=2099,CN742&gt;=1,CN742&lt;=12,CO742&gt;=1,CO742&lt;=31),IF(MONTH(DATE(CM742,CN742,CO742))=CN742,DATE(CM742,CN742,CO742),""),"")))),"")</f>
        <v/>
      </c>
      <c r="CJ742">
        <f>IFERROR(IF('월 가계부'!C742="","",IF(ISNUMBER('월 가계부'!C742),'월 가계부'!C742,VALUE(SUBSTITUTE(SUBSTITUTE(SUBSTITUTE(SUBSTITUTE(TRIM('월 가계부'!C742),",",""),"원","")," ",""),"−","-")))),"")</f>
        <v/>
      </c>
      <c r="CK742">
        <f>IF(ISNUMBER(CI742),IF(CI742&lt;$B$13,CI742,""),"")</f>
        <v/>
      </c>
      <c r="CM742">
        <f>IF(CH742="","",IFERROR(IF(IF(AND(LEN(CH742)=9,ISERROR(FIND("-",LEFT(CH742,8))),ISNUMBER(-LEFT(CH742,8))),VALUE(LEFT(CH742,4)),VALUE(LEFT(CH742,FIND("-",CH742)-1)))&lt;100,IF(AND(LEN(CH742)=9,ISERROR(FIND("-",LEFT(CH742,8))),ISNUMBER(-LEFT(CH742,8))),VALUE(LEFT(CH742,4)),VALUE(LEFT(CH742,FIND("-",CH742)-1)))+2000,IF(AND(LEN(CH742)=9,ISERROR(FIND("-",LEFT(CH742,8))),ISNUMBER(-LEFT(CH742,8))),VALUE(LEFT(CH742,4)),VALUE(LEFT(CH742,FIND("-",CH742)-1)))),""))</f>
        <v/>
      </c>
      <c r="CN742">
        <f>IF(CH742="","",IFERROR(IF(AND(LEN(CH742)=9,ISERROR(FIND("-",LEFT(CH742,8))),ISNUMBER(-LEFT(CH742,8))),VALUE(MID(CH742,5,2)),VALUE(MID(CH742,FIND("-",CH742)+1,FIND("-",CH742,FIND("-",CH742)+1)-FIND("-",CH742)-1))),""))</f>
        <v/>
      </c>
      <c r="CO742">
        <f>IF(CH742="","",IFERROR(IF(AND(LEN(CH742)=9,ISERROR(FIND("-",LEFT(CH742,8))),ISNUMBER(-LEFT(CH742,8))),VALUE(MID(CH742,7,2)),VALUE(MID(CH742,FIND("-",CH742,FIND("-",CH742)+1)+1,FIND("-",CH742,FIND("-",CH742,FIND("-",CH742)+1)+1)-FIND("-",CH742,FIND("-",CH742)+1)-1))),""))</f>
        <v/>
      </c>
    </row>
    <row r="743">
      <c r="CH743">
        <f>IF(ISTEXT('월 가계부'!A743),SUBSTITUTE(SUBSTITUTE(SUBSTITUTE(SUBSTITUTE(SUBSTITUTE(SUBSTITUTE(SUBSTITUTE(SUBSTITUTE(SUBSTITUTE(TRIM('월 가계부'!A743),"년","-"),"월","-"),"일",""),".","-"),"/","-")," ","-"),"--","-"),"--","-"),"--","-")&amp;"-","")</f>
        <v/>
      </c>
      <c r="CI743">
        <f>IFERROR(IF('월 가계부'!A743="","",IF(ISNUMBER('월 가계부'!A743),IF(AND('월 가계부'!A743&gt;=19000101,'월 가계부'!A743&lt;=21001231),IF(AND(MOD(INT('월 가계부'!A743/100),100)&gt;=1,MOD(INT('월 가계부'!A743/100),100)&lt;=12,MOD(INT('월 가계부'!A743),100)&gt;=1,MOD(INT('월 가계부'!A743),100)&lt;=31),IF(MONTH(DATE(INT('월 가계부'!A743/10000),MOD(INT('월 가계부'!A743/100),100),MOD(INT('월 가계부'!A743),100)))=MOD(INT('월 가계부'!A743/100),100),DATE(INT('월 가계부'!A743/10000),MOD(INT('월 가계부'!A743/100),100),MOD(INT('월 가계부'!A743),100)),""),""),IF(AND('월 가계부'!A743&gt;=36526,'월 가계부'!A743&lt;73051),INT('월 가계부'!A743),"")),IF(OR(CM743="",CN743="",CO743=""),"",IF(AND(CM743&gt;=2000,CM743&lt;=2099,CN743&gt;=1,CN743&lt;=12,CO743&gt;=1,CO743&lt;=31),IF(MONTH(DATE(CM743,CN743,CO743))=CN743,DATE(CM743,CN743,CO743),""),"")))),"")</f>
        <v/>
      </c>
      <c r="CJ743">
        <f>IFERROR(IF('월 가계부'!C743="","",IF(ISNUMBER('월 가계부'!C743),'월 가계부'!C743,VALUE(SUBSTITUTE(SUBSTITUTE(SUBSTITUTE(SUBSTITUTE(TRIM('월 가계부'!C743),",",""),"원","")," ",""),"−","-")))),"")</f>
        <v/>
      </c>
      <c r="CK743">
        <f>IF(ISNUMBER(CI743),IF(CI743&lt;$B$13,CI743,""),"")</f>
        <v/>
      </c>
      <c r="CM743">
        <f>IF(CH743="","",IFERROR(IF(IF(AND(LEN(CH743)=9,ISERROR(FIND("-",LEFT(CH743,8))),ISNUMBER(-LEFT(CH743,8))),VALUE(LEFT(CH743,4)),VALUE(LEFT(CH743,FIND("-",CH743)-1)))&lt;100,IF(AND(LEN(CH743)=9,ISERROR(FIND("-",LEFT(CH743,8))),ISNUMBER(-LEFT(CH743,8))),VALUE(LEFT(CH743,4)),VALUE(LEFT(CH743,FIND("-",CH743)-1)))+2000,IF(AND(LEN(CH743)=9,ISERROR(FIND("-",LEFT(CH743,8))),ISNUMBER(-LEFT(CH743,8))),VALUE(LEFT(CH743,4)),VALUE(LEFT(CH743,FIND("-",CH743)-1)))),""))</f>
        <v/>
      </c>
      <c r="CN743">
        <f>IF(CH743="","",IFERROR(IF(AND(LEN(CH743)=9,ISERROR(FIND("-",LEFT(CH743,8))),ISNUMBER(-LEFT(CH743,8))),VALUE(MID(CH743,5,2)),VALUE(MID(CH743,FIND("-",CH743)+1,FIND("-",CH743,FIND("-",CH743)+1)-FIND("-",CH743)-1))),""))</f>
        <v/>
      </c>
      <c r="CO743">
        <f>IF(CH743="","",IFERROR(IF(AND(LEN(CH743)=9,ISERROR(FIND("-",LEFT(CH743,8))),ISNUMBER(-LEFT(CH743,8))),VALUE(MID(CH743,7,2)),VALUE(MID(CH743,FIND("-",CH743,FIND("-",CH743)+1)+1,FIND("-",CH743,FIND("-",CH743,FIND("-",CH743)+1)+1)-FIND("-",CH743,FIND("-",CH743)+1)-1))),""))</f>
        <v/>
      </c>
    </row>
    <row r="744">
      <c r="CH744">
        <f>IF(ISTEXT('월 가계부'!A744),SUBSTITUTE(SUBSTITUTE(SUBSTITUTE(SUBSTITUTE(SUBSTITUTE(SUBSTITUTE(SUBSTITUTE(SUBSTITUTE(SUBSTITUTE(TRIM('월 가계부'!A744),"년","-"),"월","-"),"일",""),".","-"),"/","-")," ","-"),"--","-"),"--","-"),"--","-")&amp;"-","")</f>
        <v/>
      </c>
      <c r="CI744">
        <f>IFERROR(IF('월 가계부'!A744="","",IF(ISNUMBER('월 가계부'!A744),IF(AND('월 가계부'!A744&gt;=19000101,'월 가계부'!A744&lt;=21001231),IF(AND(MOD(INT('월 가계부'!A744/100),100)&gt;=1,MOD(INT('월 가계부'!A744/100),100)&lt;=12,MOD(INT('월 가계부'!A744),100)&gt;=1,MOD(INT('월 가계부'!A744),100)&lt;=31),IF(MONTH(DATE(INT('월 가계부'!A744/10000),MOD(INT('월 가계부'!A744/100),100),MOD(INT('월 가계부'!A744),100)))=MOD(INT('월 가계부'!A744/100),100),DATE(INT('월 가계부'!A744/10000),MOD(INT('월 가계부'!A744/100),100),MOD(INT('월 가계부'!A744),100)),""),""),IF(AND('월 가계부'!A744&gt;=36526,'월 가계부'!A744&lt;73051),INT('월 가계부'!A744),"")),IF(OR(CM744="",CN744="",CO744=""),"",IF(AND(CM744&gt;=2000,CM744&lt;=2099,CN744&gt;=1,CN744&lt;=12,CO744&gt;=1,CO744&lt;=31),IF(MONTH(DATE(CM744,CN744,CO744))=CN744,DATE(CM744,CN744,CO744),""),"")))),"")</f>
        <v/>
      </c>
      <c r="CJ744">
        <f>IFERROR(IF('월 가계부'!C744="","",IF(ISNUMBER('월 가계부'!C744),'월 가계부'!C744,VALUE(SUBSTITUTE(SUBSTITUTE(SUBSTITUTE(SUBSTITUTE(TRIM('월 가계부'!C744),",",""),"원","")," ",""),"−","-")))),"")</f>
        <v/>
      </c>
      <c r="CK744">
        <f>IF(ISNUMBER(CI744),IF(CI744&lt;$B$13,CI744,""),"")</f>
        <v/>
      </c>
      <c r="CM744">
        <f>IF(CH744="","",IFERROR(IF(IF(AND(LEN(CH744)=9,ISERROR(FIND("-",LEFT(CH744,8))),ISNUMBER(-LEFT(CH744,8))),VALUE(LEFT(CH744,4)),VALUE(LEFT(CH744,FIND("-",CH744)-1)))&lt;100,IF(AND(LEN(CH744)=9,ISERROR(FIND("-",LEFT(CH744,8))),ISNUMBER(-LEFT(CH744,8))),VALUE(LEFT(CH744,4)),VALUE(LEFT(CH744,FIND("-",CH744)-1)))+2000,IF(AND(LEN(CH744)=9,ISERROR(FIND("-",LEFT(CH744,8))),ISNUMBER(-LEFT(CH744,8))),VALUE(LEFT(CH744,4)),VALUE(LEFT(CH744,FIND("-",CH744)-1)))),""))</f>
        <v/>
      </c>
      <c r="CN744">
        <f>IF(CH744="","",IFERROR(IF(AND(LEN(CH744)=9,ISERROR(FIND("-",LEFT(CH744,8))),ISNUMBER(-LEFT(CH744,8))),VALUE(MID(CH744,5,2)),VALUE(MID(CH744,FIND("-",CH744)+1,FIND("-",CH744,FIND("-",CH744)+1)-FIND("-",CH744)-1))),""))</f>
        <v/>
      </c>
      <c r="CO744">
        <f>IF(CH744="","",IFERROR(IF(AND(LEN(CH744)=9,ISERROR(FIND("-",LEFT(CH744,8))),ISNUMBER(-LEFT(CH744,8))),VALUE(MID(CH744,7,2)),VALUE(MID(CH744,FIND("-",CH744,FIND("-",CH744)+1)+1,FIND("-",CH744,FIND("-",CH744,FIND("-",CH744)+1)+1)-FIND("-",CH744,FIND("-",CH744)+1)-1))),""))</f>
        <v/>
      </c>
    </row>
    <row r="745">
      <c r="CH745">
        <f>IF(ISTEXT('월 가계부'!A745),SUBSTITUTE(SUBSTITUTE(SUBSTITUTE(SUBSTITUTE(SUBSTITUTE(SUBSTITUTE(SUBSTITUTE(SUBSTITUTE(SUBSTITUTE(TRIM('월 가계부'!A745),"년","-"),"월","-"),"일",""),".","-"),"/","-")," ","-"),"--","-"),"--","-"),"--","-")&amp;"-","")</f>
        <v/>
      </c>
      <c r="CI745">
        <f>IFERROR(IF('월 가계부'!A745="","",IF(ISNUMBER('월 가계부'!A745),IF(AND('월 가계부'!A745&gt;=19000101,'월 가계부'!A745&lt;=21001231),IF(AND(MOD(INT('월 가계부'!A745/100),100)&gt;=1,MOD(INT('월 가계부'!A745/100),100)&lt;=12,MOD(INT('월 가계부'!A745),100)&gt;=1,MOD(INT('월 가계부'!A745),100)&lt;=31),IF(MONTH(DATE(INT('월 가계부'!A745/10000),MOD(INT('월 가계부'!A745/100),100),MOD(INT('월 가계부'!A745),100)))=MOD(INT('월 가계부'!A745/100),100),DATE(INT('월 가계부'!A745/10000),MOD(INT('월 가계부'!A745/100),100),MOD(INT('월 가계부'!A745),100)),""),""),IF(AND('월 가계부'!A745&gt;=36526,'월 가계부'!A745&lt;73051),INT('월 가계부'!A745),"")),IF(OR(CM745="",CN745="",CO745=""),"",IF(AND(CM745&gt;=2000,CM745&lt;=2099,CN745&gt;=1,CN745&lt;=12,CO745&gt;=1,CO745&lt;=31),IF(MONTH(DATE(CM745,CN745,CO745))=CN745,DATE(CM745,CN745,CO745),""),"")))),"")</f>
        <v/>
      </c>
      <c r="CJ745">
        <f>IFERROR(IF('월 가계부'!C745="","",IF(ISNUMBER('월 가계부'!C745),'월 가계부'!C745,VALUE(SUBSTITUTE(SUBSTITUTE(SUBSTITUTE(SUBSTITUTE(TRIM('월 가계부'!C745),",",""),"원","")," ",""),"−","-")))),"")</f>
        <v/>
      </c>
      <c r="CK745">
        <f>IF(ISNUMBER(CI745),IF(CI745&lt;$B$13,CI745,""),"")</f>
        <v/>
      </c>
      <c r="CM745">
        <f>IF(CH745="","",IFERROR(IF(IF(AND(LEN(CH745)=9,ISERROR(FIND("-",LEFT(CH745,8))),ISNUMBER(-LEFT(CH745,8))),VALUE(LEFT(CH745,4)),VALUE(LEFT(CH745,FIND("-",CH745)-1)))&lt;100,IF(AND(LEN(CH745)=9,ISERROR(FIND("-",LEFT(CH745,8))),ISNUMBER(-LEFT(CH745,8))),VALUE(LEFT(CH745,4)),VALUE(LEFT(CH745,FIND("-",CH745)-1)))+2000,IF(AND(LEN(CH745)=9,ISERROR(FIND("-",LEFT(CH745,8))),ISNUMBER(-LEFT(CH745,8))),VALUE(LEFT(CH745,4)),VALUE(LEFT(CH745,FIND("-",CH745)-1)))),""))</f>
        <v/>
      </c>
      <c r="CN745">
        <f>IF(CH745="","",IFERROR(IF(AND(LEN(CH745)=9,ISERROR(FIND("-",LEFT(CH745,8))),ISNUMBER(-LEFT(CH745,8))),VALUE(MID(CH745,5,2)),VALUE(MID(CH745,FIND("-",CH745)+1,FIND("-",CH745,FIND("-",CH745)+1)-FIND("-",CH745)-1))),""))</f>
        <v/>
      </c>
      <c r="CO745">
        <f>IF(CH745="","",IFERROR(IF(AND(LEN(CH745)=9,ISERROR(FIND("-",LEFT(CH745,8))),ISNUMBER(-LEFT(CH745,8))),VALUE(MID(CH745,7,2)),VALUE(MID(CH745,FIND("-",CH745,FIND("-",CH745)+1)+1,FIND("-",CH745,FIND("-",CH745,FIND("-",CH745)+1)+1)-FIND("-",CH745,FIND("-",CH745)+1)-1))),""))</f>
        <v/>
      </c>
    </row>
    <row r="746">
      <c r="CH746">
        <f>IF(ISTEXT('월 가계부'!A746),SUBSTITUTE(SUBSTITUTE(SUBSTITUTE(SUBSTITUTE(SUBSTITUTE(SUBSTITUTE(SUBSTITUTE(SUBSTITUTE(SUBSTITUTE(TRIM('월 가계부'!A746),"년","-"),"월","-"),"일",""),".","-"),"/","-")," ","-"),"--","-"),"--","-"),"--","-")&amp;"-","")</f>
        <v/>
      </c>
      <c r="CI746">
        <f>IFERROR(IF('월 가계부'!A746="","",IF(ISNUMBER('월 가계부'!A746),IF(AND('월 가계부'!A746&gt;=19000101,'월 가계부'!A746&lt;=21001231),IF(AND(MOD(INT('월 가계부'!A746/100),100)&gt;=1,MOD(INT('월 가계부'!A746/100),100)&lt;=12,MOD(INT('월 가계부'!A746),100)&gt;=1,MOD(INT('월 가계부'!A746),100)&lt;=31),IF(MONTH(DATE(INT('월 가계부'!A746/10000),MOD(INT('월 가계부'!A746/100),100),MOD(INT('월 가계부'!A746),100)))=MOD(INT('월 가계부'!A746/100),100),DATE(INT('월 가계부'!A746/10000),MOD(INT('월 가계부'!A746/100),100),MOD(INT('월 가계부'!A746),100)),""),""),IF(AND('월 가계부'!A746&gt;=36526,'월 가계부'!A746&lt;73051),INT('월 가계부'!A746),"")),IF(OR(CM746="",CN746="",CO746=""),"",IF(AND(CM746&gt;=2000,CM746&lt;=2099,CN746&gt;=1,CN746&lt;=12,CO746&gt;=1,CO746&lt;=31),IF(MONTH(DATE(CM746,CN746,CO746))=CN746,DATE(CM746,CN746,CO746),""),"")))),"")</f>
        <v/>
      </c>
      <c r="CJ746">
        <f>IFERROR(IF('월 가계부'!C746="","",IF(ISNUMBER('월 가계부'!C746),'월 가계부'!C746,VALUE(SUBSTITUTE(SUBSTITUTE(SUBSTITUTE(SUBSTITUTE(TRIM('월 가계부'!C746),",",""),"원","")," ",""),"−","-")))),"")</f>
        <v/>
      </c>
      <c r="CK746">
        <f>IF(ISNUMBER(CI746),IF(CI746&lt;$B$13,CI746,""),"")</f>
        <v/>
      </c>
      <c r="CM746">
        <f>IF(CH746="","",IFERROR(IF(IF(AND(LEN(CH746)=9,ISERROR(FIND("-",LEFT(CH746,8))),ISNUMBER(-LEFT(CH746,8))),VALUE(LEFT(CH746,4)),VALUE(LEFT(CH746,FIND("-",CH746)-1)))&lt;100,IF(AND(LEN(CH746)=9,ISERROR(FIND("-",LEFT(CH746,8))),ISNUMBER(-LEFT(CH746,8))),VALUE(LEFT(CH746,4)),VALUE(LEFT(CH746,FIND("-",CH746)-1)))+2000,IF(AND(LEN(CH746)=9,ISERROR(FIND("-",LEFT(CH746,8))),ISNUMBER(-LEFT(CH746,8))),VALUE(LEFT(CH746,4)),VALUE(LEFT(CH746,FIND("-",CH746)-1)))),""))</f>
        <v/>
      </c>
      <c r="CN746">
        <f>IF(CH746="","",IFERROR(IF(AND(LEN(CH746)=9,ISERROR(FIND("-",LEFT(CH746,8))),ISNUMBER(-LEFT(CH746,8))),VALUE(MID(CH746,5,2)),VALUE(MID(CH746,FIND("-",CH746)+1,FIND("-",CH746,FIND("-",CH746)+1)-FIND("-",CH746)-1))),""))</f>
        <v/>
      </c>
      <c r="CO746">
        <f>IF(CH746="","",IFERROR(IF(AND(LEN(CH746)=9,ISERROR(FIND("-",LEFT(CH746,8))),ISNUMBER(-LEFT(CH746,8))),VALUE(MID(CH746,7,2)),VALUE(MID(CH746,FIND("-",CH746,FIND("-",CH746)+1)+1,FIND("-",CH746,FIND("-",CH746,FIND("-",CH746)+1)+1)-FIND("-",CH746,FIND("-",CH746)+1)-1))),""))</f>
        <v/>
      </c>
    </row>
    <row r="747">
      <c r="CH747">
        <f>IF(ISTEXT('월 가계부'!A747),SUBSTITUTE(SUBSTITUTE(SUBSTITUTE(SUBSTITUTE(SUBSTITUTE(SUBSTITUTE(SUBSTITUTE(SUBSTITUTE(SUBSTITUTE(TRIM('월 가계부'!A747),"년","-"),"월","-"),"일",""),".","-"),"/","-")," ","-"),"--","-"),"--","-"),"--","-")&amp;"-","")</f>
        <v/>
      </c>
      <c r="CI747">
        <f>IFERROR(IF('월 가계부'!A747="","",IF(ISNUMBER('월 가계부'!A747),IF(AND('월 가계부'!A747&gt;=19000101,'월 가계부'!A747&lt;=21001231),IF(AND(MOD(INT('월 가계부'!A747/100),100)&gt;=1,MOD(INT('월 가계부'!A747/100),100)&lt;=12,MOD(INT('월 가계부'!A747),100)&gt;=1,MOD(INT('월 가계부'!A747),100)&lt;=31),IF(MONTH(DATE(INT('월 가계부'!A747/10000),MOD(INT('월 가계부'!A747/100),100),MOD(INT('월 가계부'!A747),100)))=MOD(INT('월 가계부'!A747/100),100),DATE(INT('월 가계부'!A747/10000),MOD(INT('월 가계부'!A747/100),100),MOD(INT('월 가계부'!A747),100)),""),""),IF(AND('월 가계부'!A747&gt;=36526,'월 가계부'!A747&lt;73051),INT('월 가계부'!A747),"")),IF(OR(CM747="",CN747="",CO747=""),"",IF(AND(CM747&gt;=2000,CM747&lt;=2099,CN747&gt;=1,CN747&lt;=12,CO747&gt;=1,CO747&lt;=31),IF(MONTH(DATE(CM747,CN747,CO747))=CN747,DATE(CM747,CN747,CO747),""),"")))),"")</f>
        <v/>
      </c>
      <c r="CJ747">
        <f>IFERROR(IF('월 가계부'!C747="","",IF(ISNUMBER('월 가계부'!C747),'월 가계부'!C747,VALUE(SUBSTITUTE(SUBSTITUTE(SUBSTITUTE(SUBSTITUTE(TRIM('월 가계부'!C747),",",""),"원","")," ",""),"−","-")))),"")</f>
        <v/>
      </c>
      <c r="CK747">
        <f>IF(ISNUMBER(CI747),IF(CI747&lt;$B$13,CI747,""),"")</f>
        <v/>
      </c>
      <c r="CM747">
        <f>IF(CH747="","",IFERROR(IF(IF(AND(LEN(CH747)=9,ISERROR(FIND("-",LEFT(CH747,8))),ISNUMBER(-LEFT(CH747,8))),VALUE(LEFT(CH747,4)),VALUE(LEFT(CH747,FIND("-",CH747)-1)))&lt;100,IF(AND(LEN(CH747)=9,ISERROR(FIND("-",LEFT(CH747,8))),ISNUMBER(-LEFT(CH747,8))),VALUE(LEFT(CH747,4)),VALUE(LEFT(CH747,FIND("-",CH747)-1)))+2000,IF(AND(LEN(CH747)=9,ISERROR(FIND("-",LEFT(CH747,8))),ISNUMBER(-LEFT(CH747,8))),VALUE(LEFT(CH747,4)),VALUE(LEFT(CH747,FIND("-",CH747)-1)))),""))</f>
        <v/>
      </c>
      <c r="CN747">
        <f>IF(CH747="","",IFERROR(IF(AND(LEN(CH747)=9,ISERROR(FIND("-",LEFT(CH747,8))),ISNUMBER(-LEFT(CH747,8))),VALUE(MID(CH747,5,2)),VALUE(MID(CH747,FIND("-",CH747)+1,FIND("-",CH747,FIND("-",CH747)+1)-FIND("-",CH747)-1))),""))</f>
        <v/>
      </c>
      <c r="CO747">
        <f>IF(CH747="","",IFERROR(IF(AND(LEN(CH747)=9,ISERROR(FIND("-",LEFT(CH747,8))),ISNUMBER(-LEFT(CH747,8))),VALUE(MID(CH747,7,2)),VALUE(MID(CH747,FIND("-",CH747,FIND("-",CH747)+1)+1,FIND("-",CH747,FIND("-",CH747,FIND("-",CH747)+1)+1)-FIND("-",CH747,FIND("-",CH747)+1)-1))),""))</f>
        <v/>
      </c>
    </row>
    <row r="748">
      <c r="CH748">
        <f>IF(ISTEXT('월 가계부'!A748),SUBSTITUTE(SUBSTITUTE(SUBSTITUTE(SUBSTITUTE(SUBSTITUTE(SUBSTITUTE(SUBSTITUTE(SUBSTITUTE(SUBSTITUTE(TRIM('월 가계부'!A748),"년","-"),"월","-"),"일",""),".","-"),"/","-")," ","-"),"--","-"),"--","-"),"--","-")&amp;"-","")</f>
        <v/>
      </c>
      <c r="CI748">
        <f>IFERROR(IF('월 가계부'!A748="","",IF(ISNUMBER('월 가계부'!A748),IF(AND('월 가계부'!A748&gt;=19000101,'월 가계부'!A748&lt;=21001231),IF(AND(MOD(INT('월 가계부'!A748/100),100)&gt;=1,MOD(INT('월 가계부'!A748/100),100)&lt;=12,MOD(INT('월 가계부'!A748),100)&gt;=1,MOD(INT('월 가계부'!A748),100)&lt;=31),IF(MONTH(DATE(INT('월 가계부'!A748/10000),MOD(INT('월 가계부'!A748/100),100),MOD(INT('월 가계부'!A748),100)))=MOD(INT('월 가계부'!A748/100),100),DATE(INT('월 가계부'!A748/10000),MOD(INT('월 가계부'!A748/100),100),MOD(INT('월 가계부'!A748),100)),""),""),IF(AND('월 가계부'!A748&gt;=36526,'월 가계부'!A748&lt;73051),INT('월 가계부'!A748),"")),IF(OR(CM748="",CN748="",CO748=""),"",IF(AND(CM748&gt;=2000,CM748&lt;=2099,CN748&gt;=1,CN748&lt;=12,CO748&gt;=1,CO748&lt;=31),IF(MONTH(DATE(CM748,CN748,CO748))=CN748,DATE(CM748,CN748,CO748),""),"")))),"")</f>
        <v/>
      </c>
      <c r="CJ748">
        <f>IFERROR(IF('월 가계부'!C748="","",IF(ISNUMBER('월 가계부'!C748),'월 가계부'!C748,VALUE(SUBSTITUTE(SUBSTITUTE(SUBSTITUTE(SUBSTITUTE(TRIM('월 가계부'!C748),",",""),"원","")," ",""),"−","-")))),"")</f>
        <v/>
      </c>
      <c r="CK748">
        <f>IF(ISNUMBER(CI748),IF(CI748&lt;$B$13,CI748,""),"")</f>
        <v/>
      </c>
      <c r="CM748">
        <f>IF(CH748="","",IFERROR(IF(IF(AND(LEN(CH748)=9,ISERROR(FIND("-",LEFT(CH748,8))),ISNUMBER(-LEFT(CH748,8))),VALUE(LEFT(CH748,4)),VALUE(LEFT(CH748,FIND("-",CH748)-1)))&lt;100,IF(AND(LEN(CH748)=9,ISERROR(FIND("-",LEFT(CH748,8))),ISNUMBER(-LEFT(CH748,8))),VALUE(LEFT(CH748,4)),VALUE(LEFT(CH748,FIND("-",CH748)-1)))+2000,IF(AND(LEN(CH748)=9,ISERROR(FIND("-",LEFT(CH748,8))),ISNUMBER(-LEFT(CH748,8))),VALUE(LEFT(CH748,4)),VALUE(LEFT(CH748,FIND("-",CH748)-1)))),""))</f>
        <v/>
      </c>
      <c r="CN748">
        <f>IF(CH748="","",IFERROR(IF(AND(LEN(CH748)=9,ISERROR(FIND("-",LEFT(CH748,8))),ISNUMBER(-LEFT(CH748,8))),VALUE(MID(CH748,5,2)),VALUE(MID(CH748,FIND("-",CH748)+1,FIND("-",CH748,FIND("-",CH748)+1)-FIND("-",CH748)-1))),""))</f>
        <v/>
      </c>
      <c r="CO748">
        <f>IF(CH748="","",IFERROR(IF(AND(LEN(CH748)=9,ISERROR(FIND("-",LEFT(CH748,8))),ISNUMBER(-LEFT(CH748,8))),VALUE(MID(CH748,7,2)),VALUE(MID(CH748,FIND("-",CH748,FIND("-",CH748)+1)+1,FIND("-",CH748,FIND("-",CH748,FIND("-",CH748)+1)+1)-FIND("-",CH748,FIND("-",CH748)+1)-1))),""))</f>
        <v/>
      </c>
    </row>
    <row r="749">
      <c r="CH749">
        <f>IF(ISTEXT('월 가계부'!A749),SUBSTITUTE(SUBSTITUTE(SUBSTITUTE(SUBSTITUTE(SUBSTITUTE(SUBSTITUTE(SUBSTITUTE(SUBSTITUTE(SUBSTITUTE(TRIM('월 가계부'!A749),"년","-"),"월","-"),"일",""),".","-"),"/","-")," ","-"),"--","-"),"--","-"),"--","-")&amp;"-","")</f>
        <v/>
      </c>
      <c r="CI749">
        <f>IFERROR(IF('월 가계부'!A749="","",IF(ISNUMBER('월 가계부'!A749),IF(AND('월 가계부'!A749&gt;=19000101,'월 가계부'!A749&lt;=21001231),IF(AND(MOD(INT('월 가계부'!A749/100),100)&gt;=1,MOD(INT('월 가계부'!A749/100),100)&lt;=12,MOD(INT('월 가계부'!A749),100)&gt;=1,MOD(INT('월 가계부'!A749),100)&lt;=31),IF(MONTH(DATE(INT('월 가계부'!A749/10000),MOD(INT('월 가계부'!A749/100),100),MOD(INT('월 가계부'!A749),100)))=MOD(INT('월 가계부'!A749/100),100),DATE(INT('월 가계부'!A749/10000),MOD(INT('월 가계부'!A749/100),100),MOD(INT('월 가계부'!A749),100)),""),""),IF(AND('월 가계부'!A749&gt;=36526,'월 가계부'!A749&lt;73051),INT('월 가계부'!A749),"")),IF(OR(CM749="",CN749="",CO749=""),"",IF(AND(CM749&gt;=2000,CM749&lt;=2099,CN749&gt;=1,CN749&lt;=12,CO749&gt;=1,CO749&lt;=31),IF(MONTH(DATE(CM749,CN749,CO749))=CN749,DATE(CM749,CN749,CO749),""),"")))),"")</f>
        <v/>
      </c>
      <c r="CJ749">
        <f>IFERROR(IF('월 가계부'!C749="","",IF(ISNUMBER('월 가계부'!C749),'월 가계부'!C749,VALUE(SUBSTITUTE(SUBSTITUTE(SUBSTITUTE(SUBSTITUTE(TRIM('월 가계부'!C749),",",""),"원","")," ",""),"−","-")))),"")</f>
        <v/>
      </c>
      <c r="CK749">
        <f>IF(ISNUMBER(CI749),IF(CI749&lt;$B$13,CI749,""),"")</f>
        <v/>
      </c>
      <c r="CM749">
        <f>IF(CH749="","",IFERROR(IF(IF(AND(LEN(CH749)=9,ISERROR(FIND("-",LEFT(CH749,8))),ISNUMBER(-LEFT(CH749,8))),VALUE(LEFT(CH749,4)),VALUE(LEFT(CH749,FIND("-",CH749)-1)))&lt;100,IF(AND(LEN(CH749)=9,ISERROR(FIND("-",LEFT(CH749,8))),ISNUMBER(-LEFT(CH749,8))),VALUE(LEFT(CH749,4)),VALUE(LEFT(CH749,FIND("-",CH749)-1)))+2000,IF(AND(LEN(CH749)=9,ISERROR(FIND("-",LEFT(CH749,8))),ISNUMBER(-LEFT(CH749,8))),VALUE(LEFT(CH749,4)),VALUE(LEFT(CH749,FIND("-",CH749)-1)))),""))</f>
        <v/>
      </c>
      <c r="CN749">
        <f>IF(CH749="","",IFERROR(IF(AND(LEN(CH749)=9,ISERROR(FIND("-",LEFT(CH749,8))),ISNUMBER(-LEFT(CH749,8))),VALUE(MID(CH749,5,2)),VALUE(MID(CH749,FIND("-",CH749)+1,FIND("-",CH749,FIND("-",CH749)+1)-FIND("-",CH749)-1))),""))</f>
        <v/>
      </c>
      <c r="CO749">
        <f>IF(CH749="","",IFERROR(IF(AND(LEN(CH749)=9,ISERROR(FIND("-",LEFT(CH749,8))),ISNUMBER(-LEFT(CH749,8))),VALUE(MID(CH749,7,2)),VALUE(MID(CH749,FIND("-",CH749,FIND("-",CH749)+1)+1,FIND("-",CH749,FIND("-",CH749,FIND("-",CH749)+1)+1)-FIND("-",CH749,FIND("-",CH749)+1)-1))),""))</f>
        <v/>
      </c>
    </row>
    <row r="750">
      <c r="CH750">
        <f>IF(ISTEXT('월 가계부'!A750),SUBSTITUTE(SUBSTITUTE(SUBSTITUTE(SUBSTITUTE(SUBSTITUTE(SUBSTITUTE(SUBSTITUTE(SUBSTITUTE(SUBSTITUTE(TRIM('월 가계부'!A750),"년","-"),"월","-"),"일",""),".","-"),"/","-")," ","-"),"--","-"),"--","-"),"--","-")&amp;"-","")</f>
        <v/>
      </c>
      <c r="CI750">
        <f>IFERROR(IF('월 가계부'!A750="","",IF(ISNUMBER('월 가계부'!A750),IF(AND('월 가계부'!A750&gt;=19000101,'월 가계부'!A750&lt;=21001231),IF(AND(MOD(INT('월 가계부'!A750/100),100)&gt;=1,MOD(INT('월 가계부'!A750/100),100)&lt;=12,MOD(INT('월 가계부'!A750),100)&gt;=1,MOD(INT('월 가계부'!A750),100)&lt;=31),IF(MONTH(DATE(INT('월 가계부'!A750/10000),MOD(INT('월 가계부'!A750/100),100),MOD(INT('월 가계부'!A750),100)))=MOD(INT('월 가계부'!A750/100),100),DATE(INT('월 가계부'!A750/10000),MOD(INT('월 가계부'!A750/100),100),MOD(INT('월 가계부'!A750),100)),""),""),IF(AND('월 가계부'!A750&gt;=36526,'월 가계부'!A750&lt;73051),INT('월 가계부'!A750),"")),IF(OR(CM750="",CN750="",CO750=""),"",IF(AND(CM750&gt;=2000,CM750&lt;=2099,CN750&gt;=1,CN750&lt;=12,CO750&gt;=1,CO750&lt;=31),IF(MONTH(DATE(CM750,CN750,CO750))=CN750,DATE(CM750,CN750,CO750),""),"")))),"")</f>
        <v/>
      </c>
      <c r="CJ750">
        <f>IFERROR(IF('월 가계부'!C750="","",IF(ISNUMBER('월 가계부'!C750),'월 가계부'!C750,VALUE(SUBSTITUTE(SUBSTITUTE(SUBSTITUTE(SUBSTITUTE(TRIM('월 가계부'!C750),",",""),"원","")," ",""),"−","-")))),"")</f>
        <v/>
      </c>
      <c r="CK750">
        <f>IF(ISNUMBER(CI750),IF(CI750&lt;$B$13,CI750,""),"")</f>
        <v/>
      </c>
      <c r="CM750">
        <f>IF(CH750="","",IFERROR(IF(IF(AND(LEN(CH750)=9,ISERROR(FIND("-",LEFT(CH750,8))),ISNUMBER(-LEFT(CH750,8))),VALUE(LEFT(CH750,4)),VALUE(LEFT(CH750,FIND("-",CH750)-1)))&lt;100,IF(AND(LEN(CH750)=9,ISERROR(FIND("-",LEFT(CH750,8))),ISNUMBER(-LEFT(CH750,8))),VALUE(LEFT(CH750,4)),VALUE(LEFT(CH750,FIND("-",CH750)-1)))+2000,IF(AND(LEN(CH750)=9,ISERROR(FIND("-",LEFT(CH750,8))),ISNUMBER(-LEFT(CH750,8))),VALUE(LEFT(CH750,4)),VALUE(LEFT(CH750,FIND("-",CH750)-1)))),""))</f>
        <v/>
      </c>
      <c r="CN750">
        <f>IF(CH750="","",IFERROR(IF(AND(LEN(CH750)=9,ISERROR(FIND("-",LEFT(CH750,8))),ISNUMBER(-LEFT(CH750,8))),VALUE(MID(CH750,5,2)),VALUE(MID(CH750,FIND("-",CH750)+1,FIND("-",CH750,FIND("-",CH750)+1)-FIND("-",CH750)-1))),""))</f>
        <v/>
      </c>
      <c r="CO750">
        <f>IF(CH750="","",IFERROR(IF(AND(LEN(CH750)=9,ISERROR(FIND("-",LEFT(CH750,8))),ISNUMBER(-LEFT(CH750,8))),VALUE(MID(CH750,7,2)),VALUE(MID(CH750,FIND("-",CH750,FIND("-",CH750)+1)+1,FIND("-",CH750,FIND("-",CH750,FIND("-",CH750)+1)+1)-FIND("-",CH750,FIND("-",CH750)+1)-1))),""))</f>
        <v/>
      </c>
    </row>
    <row r="751">
      <c r="CH751">
        <f>IF(ISTEXT('월 가계부'!A751),SUBSTITUTE(SUBSTITUTE(SUBSTITUTE(SUBSTITUTE(SUBSTITUTE(SUBSTITUTE(SUBSTITUTE(SUBSTITUTE(SUBSTITUTE(TRIM('월 가계부'!A751),"년","-"),"월","-"),"일",""),".","-"),"/","-")," ","-"),"--","-"),"--","-"),"--","-")&amp;"-","")</f>
        <v/>
      </c>
      <c r="CI751">
        <f>IFERROR(IF('월 가계부'!A751="","",IF(ISNUMBER('월 가계부'!A751),IF(AND('월 가계부'!A751&gt;=19000101,'월 가계부'!A751&lt;=21001231),IF(AND(MOD(INT('월 가계부'!A751/100),100)&gt;=1,MOD(INT('월 가계부'!A751/100),100)&lt;=12,MOD(INT('월 가계부'!A751),100)&gt;=1,MOD(INT('월 가계부'!A751),100)&lt;=31),IF(MONTH(DATE(INT('월 가계부'!A751/10000),MOD(INT('월 가계부'!A751/100),100),MOD(INT('월 가계부'!A751),100)))=MOD(INT('월 가계부'!A751/100),100),DATE(INT('월 가계부'!A751/10000),MOD(INT('월 가계부'!A751/100),100),MOD(INT('월 가계부'!A751),100)),""),""),IF(AND('월 가계부'!A751&gt;=36526,'월 가계부'!A751&lt;73051),INT('월 가계부'!A751),"")),IF(OR(CM751="",CN751="",CO751=""),"",IF(AND(CM751&gt;=2000,CM751&lt;=2099,CN751&gt;=1,CN751&lt;=12,CO751&gt;=1,CO751&lt;=31),IF(MONTH(DATE(CM751,CN751,CO751))=CN751,DATE(CM751,CN751,CO751),""),"")))),"")</f>
        <v/>
      </c>
      <c r="CJ751">
        <f>IFERROR(IF('월 가계부'!C751="","",IF(ISNUMBER('월 가계부'!C751),'월 가계부'!C751,VALUE(SUBSTITUTE(SUBSTITUTE(SUBSTITUTE(SUBSTITUTE(TRIM('월 가계부'!C751),",",""),"원","")," ",""),"−","-")))),"")</f>
        <v/>
      </c>
      <c r="CK751">
        <f>IF(ISNUMBER(CI751),IF(CI751&lt;$B$13,CI751,""),"")</f>
        <v/>
      </c>
      <c r="CM751">
        <f>IF(CH751="","",IFERROR(IF(IF(AND(LEN(CH751)=9,ISERROR(FIND("-",LEFT(CH751,8))),ISNUMBER(-LEFT(CH751,8))),VALUE(LEFT(CH751,4)),VALUE(LEFT(CH751,FIND("-",CH751)-1)))&lt;100,IF(AND(LEN(CH751)=9,ISERROR(FIND("-",LEFT(CH751,8))),ISNUMBER(-LEFT(CH751,8))),VALUE(LEFT(CH751,4)),VALUE(LEFT(CH751,FIND("-",CH751)-1)))+2000,IF(AND(LEN(CH751)=9,ISERROR(FIND("-",LEFT(CH751,8))),ISNUMBER(-LEFT(CH751,8))),VALUE(LEFT(CH751,4)),VALUE(LEFT(CH751,FIND("-",CH751)-1)))),""))</f>
        <v/>
      </c>
      <c r="CN751">
        <f>IF(CH751="","",IFERROR(IF(AND(LEN(CH751)=9,ISERROR(FIND("-",LEFT(CH751,8))),ISNUMBER(-LEFT(CH751,8))),VALUE(MID(CH751,5,2)),VALUE(MID(CH751,FIND("-",CH751)+1,FIND("-",CH751,FIND("-",CH751)+1)-FIND("-",CH751)-1))),""))</f>
        <v/>
      </c>
      <c r="CO751">
        <f>IF(CH751="","",IFERROR(IF(AND(LEN(CH751)=9,ISERROR(FIND("-",LEFT(CH751,8))),ISNUMBER(-LEFT(CH751,8))),VALUE(MID(CH751,7,2)),VALUE(MID(CH751,FIND("-",CH751,FIND("-",CH751)+1)+1,FIND("-",CH751,FIND("-",CH751,FIND("-",CH751)+1)+1)-FIND("-",CH751,FIND("-",CH751)+1)-1))),""))</f>
        <v/>
      </c>
    </row>
    <row r="752">
      <c r="CH752">
        <f>IF(ISTEXT('월 가계부'!A752),SUBSTITUTE(SUBSTITUTE(SUBSTITUTE(SUBSTITUTE(SUBSTITUTE(SUBSTITUTE(SUBSTITUTE(SUBSTITUTE(SUBSTITUTE(TRIM('월 가계부'!A752),"년","-"),"월","-"),"일",""),".","-"),"/","-")," ","-"),"--","-"),"--","-"),"--","-")&amp;"-","")</f>
        <v/>
      </c>
      <c r="CI752">
        <f>IFERROR(IF('월 가계부'!A752="","",IF(ISNUMBER('월 가계부'!A752),IF(AND('월 가계부'!A752&gt;=19000101,'월 가계부'!A752&lt;=21001231),IF(AND(MOD(INT('월 가계부'!A752/100),100)&gt;=1,MOD(INT('월 가계부'!A752/100),100)&lt;=12,MOD(INT('월 가계부'!A752),100)&gt;=1,MOD(INT('월 가계부'!A752),100)&lt;=31),IF(MONTH(DATE(INT('월 가계부'!A752/10000),MOD(INT('월 가계부'!A752/100),100),MOD(INT('월 가계부'!A752),100)))=MOD(INT('월 가계부'!A752/100),100),DATE(INT('월 가계부'!A752/10000),MOD(INT('월 가계부'!A752/100),100),MOD(INT('월 가계부'!A752),100)),""),""),IF(AND('월 가계부'!A752&gt;=36526,'월 가계부'!A752&lt;73051),INT('월 가계부'!A752),"")),IF(OR(CM752="",CN752="",CO752=""),"",IF(AND(CM752&gt;=2000,CM752&lt;=2099,CN752&gt;=1,CN752&lt;=12,CO752&gt;=1,CO752&lt;=31),IF(MONTH(DATE(CM752,CN752,CO752))=CN752,DATE(CM752,CN752,CO752),""),"")))),"")</f>
        <v/>
      </c>
      <c r="CJ752">
        <f>IFERROR(IF('월 가계부'!C752="","",IF(ISNUMBER('월 가계부'!C752),'월 가계부'!C752,VALUE(SUBSTITUTE(SUBSTITUTE(SUBSTITUTE(SUBSTITUTE(TRIM('월 가계부'!C752),",",""),"원","")," ",""),"−","-")))),"")</f>
        <v/>
      </c>
      <c r="CK752">
        <f>IF(ISNUMBER(CI752),IF(CI752&lt;$B$13,CI752,""),"")</f>
        <v/>
      </c>
      <c r="CM752">
        <f>IF(CH752="","",IFERROR(IF(IF(AND(LEN(CH752)=9,ISERROR(FIND("-",LEFT(CH752,8))),ISNUMBER(-LEFT(CH752,8))),VALUE(LEFT(CH752,4)),VALUE(LEFT(CH752,FIND("-",CH752)-1)))&lt;100,IF(AND(LEN(CH752)=9,ISERROR(FIND("-",LEFT(CH752,8))),ISNUMBER(-LEFT(CH752,8))),VALUE(LEFT(CH752,4)),VALUE(LEFT(CH752,FIND("-",CH752)-1)))+2000,IF(AND(LEN(CH752)=9,ISERROR(FIND("-",LEFT(CH752,8))),ISNUMBER(-LEFT(CH752,8))),VALUE(LEFT(CH752,4)),VALUE(LEFT(CH752,FIND("-",CH752)-1)))),""))</f>
        <v/>
      </c>
      <c r="CN752">
        <f>IF(CH752="","",IFERROR(IF(AND(LEN(CH752)=9,ISERROR(FIND("-",LEFT(CH752,8))),ISNUMBER(-LEFT(CH752,8))),VALUE(MID(CH752,5,2)),VALUE(MID(CH752,FIND("-",CH752)+1,FIND("-",CH752,FIND("-",CH752)+1)-FIND("-",CH752)-1))),""))</f>
        <v/>
      </c>
      <c r="CO752">
        <f>IF(CH752="","",IFERROR(IF(AND(LEN(CH752)=9,ISERROR(FIND("-",LEFT(CH752,8))),ISNUMBER(-LEFT(CH752,8))),VALUE(MID(CH752,7,2)),VALUE(MID(CH752,FIND("-",CH752,FIND("-",CH752)+1)+1,FIND("-",CH752,FIND("-",CH752,FIND("-",CH752)+1)+1)-FIND("-",CH752,FIND("-",CH752)+1)-1))),""))</f>
        <v/>
      </c>
    </row>
    <row r="753">
      <c r="CH753">
        <f>IF(ISTEXT('월 가계부'!A753),SUBSTITUTE(SUBSTITUTE(SUBSTITUTE(SUBSTITUTE(SUBSTITUTE(SUBSTITUTE(SUBSTITUTE(SUBSTITUTE(SUBSTITUTE(TRIM('월 가계부'!A753),"년","-"),"월","-"),"일",""),".","-"),"/","-")," ","-"),"--","-"),"--","-"),"--","-")&amp;"-","")</f>
        <v/>
      </c>
      <c r="CI753">
        <f>IFERROR(IF('월 가계부'!A753="","",IF(ISNUMBER('월 가계부'!A753),IF(AND('월 가계부'!A753&gt;=19000101,'월 가계부'!A753&lt;=21001231),IF(AND(MOD(INT('월 가계부'!A753/100),100)&gt;=1,MOD(INT('월 가계부'!A753/100),100)&lt;=12,MOD(INT('월 가계부'!A753),100)&gt;=1,MOD(INT('월 가계부'!A753),100)&lt;=31),IF(MONTH(DATE(INT('월 가계부'!A753/10000),MOD(INT('월 가계부'!A753/100),100),MOD(INT('월 가계부'!A753),100)))=MOD(INT('월 가계부'!A753/100),100),DATE(INT('월 가계부'!A753/10000),MOD(INT('월 가계부'!A753/100),100),MOD(INT('월 가계부'!A753),100)),""),""),IF(AND('월 가계부'!A753&gt;=36526,'월 가계부'!A753&lt;73051),INT('월 가계부'!A753),"")),IF(OR(CM753="",CN753="",CO753=""),"",IF(AND(CM753&gt;=2000,CM753&lt;=2099,CN753&gt;=1,CN753&lt;=12,CO753&gt;=1,CO753&lt;=31),IF(MONTH(DATE(CM753,CN753,CO753))=CN753,DATE(CM753,CN753,CO753),""),"")))),"")</f>
        <v/>
      </c>
      <c r="CJ753">
        <f>IFERROR(IF('월 가계부'!C753="","",IF(ISNUMBER('월 가계부'!C753),'월 가계부'!C753,VALUE(SUBSTITUTE(SUBSTITUTE(SUBSTITUTE(SUBSTITUTE(TRIM('월 가계부'!C753),",",""),"원","")," ",""),"−","-")))),"")</f>
        <v/>
      </c>
      <c r="CK753">
        <f>IF(ISNUMBER(CI753),IF(CI753&lt;$B$13,CI753,""),"")</f>
        <v/>
      </c>
      <c r="CM753">
        <f>IF(CH753="","",IFERROR(IF(IF(AND(LEN(CH753)=9,ISERROR(FIND("-",LEFT(CH753,8))),ISNUMBER(-LEFT(CH753,8))),VALUE(LEFT(CH753,4)),VALUE(LEFT(CH753,FIND("-",CH753)-1)))&lt;100,IF(AND(LEN(CH753)=9,ISERROR(FIND("-",LEFT(CH753,8))),ISNUMBER(-LEFT(CH753,8))),VALUE(LEFT(CH753,4)),VALUE(LEFT(CH753,FIND("-",CH753)-1)))+2000,IF(AND(LEN(CH753)=9,ISERROR(FIND("-",LEFT(CH753,8))),ISNUMBER(-LEFT(CH753,8))),VALUE(LEFT(CH753,4)),VALUE(LEFT(CH753,FIND("-",CH753)-1)))),""))</f>
        <v/>
      </c>
      <c r="CN753">
        <f>IF(CH753="","",IFERROR(IF(AND(LEN(CH753)=9,ISERROR(FIND("-",LEFT(CH753,8))),ISNUMBER(-LEFT(CH753,8))),VALUE(MID(CH753,5,2)),VALUE(MID(CH753,FIND("-",CH753)+1,FIND("-",CH753,FIND("-",CH753)+1)-FIND("-",CH753)-1))),""))</f>
        <v/>
      </c>
      <c r="CO753">
        <f>IF(CH753="","",IFERROR(IF(AND(LEN(CH753)=9,ISERROR(FIND("-",LEFT(CH753,8))),ISNUMBER(-LEFT(CH753,8))),VALUE(MID(CH753,7,2)),VALUE(MID(CH753,FIND("-",CH753,FIND("-",CH753)+1)+1,FIND("-",CH753,FIND("-",CH753,FIND("-",CH753)+1)+1)-FIND("-",CH753,FIND("-",CH753)+1)-1))),""))</f>
        <v/>
      </c>
    </row>
    <row r="754">
      <c r="CH754">
        <f>IF(ISTEXT('월 가계부'!A754),SUBSTITUTE(SUBSTITUTE(SUBSTITUTE(SUBSTITUTE(SUBSTITUTE(SUBSTITUTE(SUBSTITUTE(SUBSTITUTE(SUBSTITUTE(TRIM('월 가계부'!A754),"년","-"),"월","-"),"일",""),".","-"),"/","-")," ","-"),"--","-"),"--","-"),"--","-")&amp;"-","")</f>
        <v/>
      </c>
      <c r="CI754">
        <f>IFERROR(IF('월 가계부'!A754="","",IF(ISNUMBER('월 가계부'!A754),IF(AND('월 가계부'!A754&gt;=19000101,'월 가계부'!A754&lt;=21001231),IF(AND(MOD(INT('월 가계부'!A754/100),100)&gt;=1,MOD(INT('월 가계부'!A754/100),100)&lt;=12,MOD(INT('월 가계부'!A754),100)&gt;=1,MOD(INT('월 가계부'!A754),100)&lt;=31),IF(MONTH(DATE(INT('월 가계부'!A754/10000),MOD(INT('월 가계부'!A754/100),100),MOD(INT('월 가계부'!A754),100)))=MOD(INT('월 가계부'!A754/100),100),DATE(INT('월 가계부'!A754/10000),MOD(INT('월 가계부'!A754/100),100),MOD(INT('월 가계부'!A754),100)),""),""),IF(AND('월 가계부'!A754&gt;=36526,'월 가계부'!A754&lt;73051),INT('월 가계부'!A754),"")),IF(OR(CM754="",CN754="",CO754=""),"",IF(AND(CM754&gt;=2000,CM754&lt;=2099,CN754&gt;=1,CN754&lt;=12,CO754&gt;=1,CO754&lt;=31),IF(MONTH(DATE(CM754,CN754,CO754))=CN754,DATE(CM754,CN754,CO754),""),"")))),"")</f>
        <v/>
      </c>
      <c r="CJ754">
        <f>IFERROR(IF('월 가계부'!C754="","",IF(ISNUMBER('월 가계부'!C754),'월 가계부'!C754,VALUE(SUBSTITUTE(SUBSTITUTE(SUBSTITUTE(SUBSTITUTE(TRIM('월 가계부'!C754),",",""),"원","")," ",""),"−","-")))),"")</f>
        <v/>
      </c>
      <c r="CK754">
        <f>IF(ISNUMBER(CI754),IF(CI754&lt;$B$13,CI754,""),"")</f>
        <v/>
      </c>
      <c r="CM754">
        <f>IF(CH754="","",IFERROR(IF(IF(AND(LEN(CH754)=9,ISERROR(FIND("-",LEFT(CH754,8))),ISNUMBER(-LEFT(CH754,8))),VALUE(LEFT(CH754,4)),VALUE(LEFT(CH754,FIND("-",CH754)-1)))&lt;100,IF(AND(LEN(CH754)=9,ISERROR(FIND("-",LEFT(CH754,8))),ISNUMBER(-LEFT(CH754,8))),VALUE(LEFT(CH754,4)),VALUE(LEFT(CH754,FIND("-",CH754)-1)))+2000,IF(AND(LEN(CH754)=9,ISERROR(FIND("-",LEFT(CH754,8))),ISNUMBER(-LEFT(CH754,8))),VALUE(LEFT(CH754,4)),VALUE(LEFT(CH754,FIND("-",CH754)-1)))),""))</f>
        <v/>
      </c>
      <c r="CN754">
        <f>IF(CH754="","",IFERROR(IF(AND(LEN(CH754)=9,ISERROR(FIND("-",LEFT(CH754,8))),ISNUMBER(-LEFT(CH754,8))),VALUE(MID(CH754,5,2)),VALUE(MID(CH754,FIND("-",CH754)+1,FIND("-",CH754,FIND("-",CH754)+1)-FIND("-",CH754)-1))),""))</f>
        <v/>
      </c>
      <c r="CO754">
        <f>IF(CH754="","",IFERROR(IF(AND(LEN(CH754)=9,ISERROR(FIND("-",LEFT(CH754,8))),ISNUMBER(-LEFT(CH754,8))),VALUE(MID(CH754,7,2)),VALUE(MID(CH754,FIND("-",CH754,FIND("-",CH754)+1)+1,FIND("-",CH754,FIND("-",CH754,FIND("-",CH754)+1)+1)-FIND("-",CH754,FIND("-",CH754)+1)-1))),""))</f>
        <v/>
      </c>
    </row>
    <row r="755">
      <c r="CH755">
        <f>IF(ISTEXT('월 가계부'!A755),SUBSTITUTE(SUBSTITUTE(SUBSTITUTE(SUBSTITUTE(SUBSTITUTE(SUBSTITUTE(SUBSTITUTE(SUBSTITUTE(SUBSTITUTE(TRIM('월 가계부'!A755),"년","-"),"월","-"),"일",""),".","-"),"/","-")," ","-"),"--","-"),"--","-"),"--","-")&amp;"-","")</f>
        <v/>
      </c>
      <c r="CI755">
        <f>IFERROR(IF('월 가계부'!A755="","",IF(ISNUMBER('월 가계부'!A755),IF(AND('월 가계부'!A755&gt;=19000101,'월 가계부'!A755&lt;=21001231),IF(AND(MOD(INT('월 가계부'!A755/100),100)&gt;=1,MOD(INT('월 가계부'!A755/100),100)&lt;=12,MOD(INT('월 가계부'!A755),100)&gt;=1,MOD(INT('월 가계부'!A755),100)&lt;=31),IF(MONTH(DATE(INT('월 가계부'!A755/10000),MOD(INT('월 가계부'!A755/100),100),MOD(INT('월 가계부'!A755),100)))=MOD(INT('월 가계부'!A755/100),100),DATE(INT('월 가계부'!A755/10000),MOD(INT('월 가계부'!A755/100),100),MOD(INT('월 가계부'!A755),100)),""),""),IF(AND('월 가계부'!A755&gt;=36526,'월 가계부'!A755&lt;73051),INT('월 가계부'!A755),"")),IF(OR(CM755="",CN755="",CO755=""),"",IF(AND(CM755&gt;=2000,CM755&lt;=2099,CN755&gt;=1,CN755&lt;=12,CO755&gt;=1,CO755&lt;=31),IF(MONTH(DATE(CM755,CN755,CO755))=CN755,DATE(CM755,CN755,CO755),""),"")))),"")</f>
        <v/>
      </c>
      <c r="CJ755">
        <f>IFERROR(IF('월 가계부'!C755="","",IF(ISNUMBER('월 가계부'!C755),'월 가계부'!C755,VALUE(SUBSTITUTE(SUBSTITUTE(SUBSTITUTE(SUBSTITUTE(TRIM('월 가계부'!C755),",",""),"원","")," ",""),"−","-")))),"")</f>
        <v/>
      </c>
      <c r="CK755">
        <f>IF(ISNUMBER(CI755),IF(CI755&lt;$B$13,CI755,""),"")</f>
        <v/>
      </c>
      <c r="CM755">
        <f>IF(CH755="","",IFERROR(IF(IF(AND(LEN(CH755)=9,ISERROR(FIND("-",LEFT(CH755,8))),ISNUMBER(-LEFT(CH755,8))),VALUE(LEFT(CH755,4)),VALUE(LEFT(CH755,FIND("-",CH755)-1)))&lt;100,IF(AND(LEN(CH755)=9,ISERROR(FIND("-",LEFT(CH755,8))),ISNUMBER(-LEFT(CH755,8))),VALUE(LEFT(CH755,4)),VALUE(LEFT(CH755,FIND("-",CH755)-1)))+2000,IF(AND(LEN(CH755)=9,ISERROR(FIND("-",LEFT(CH755,8))),ISNUMBER(-LEFT(CH755,8))),VALUE(LEFT(CH755,4)),VALUE(LEFT(CH755,FIND("-",CH755)-1)))),""))</f>
        <v/>
      </c>
      <c r="CN755">
        <f>IF(CH755="","",IFERROR(IF(AND(LEN(CH755)=9,ISERROR(FIND("-",LEFT(CH755,8))),ISNUMBER(-LEFT(CH755,8))),VALUE(MID(CH755,5,2)),VALUE(MID(CH755,FIND("-",CH755)+1,FIND("-",CH755,FIND("-",CH755)+1)-FIND("-",CH755)-1))),""))</f>
        <v/>
      </c>
      <c r="CO755">
        <f>IF(CH755="","",IFERROR(IF(AND(LEN(CH755)=9,ISERROR(FIND("-",LEFT(CH755,8))),ISNUMBER(-LEFT(CH755,8))),VALUE(MID(CH755,7,2)),VALUE(MID(CH755,FIND("-",CH755,FIND("-",CH755)+1)+1,FIND("-",CH755,FIND("-",CH755,FIND("-",CH755)+1)+1)-FIND("-",CH755,FIND("-",CH755)+1)-1))),""))</f>
        <v/>
      </c>
    </row>
    <row r="756">
      <c r="CH756">
        <f>IF(ISTEXT('월 가계부'!A756),SUBSTITUTE(SUBSTITUTE(SUBSTITUTE(SUBSTITUTE(SUBSTITUTE(SUBSTITUTE(SUBSTITUTE(SUBSTITUTE(SUBSTITUTE(TRIM('월 가계부'!A756),"년","-"),"월","-"),"일",""),".","-"),"/","-")," ","-"),"--","-"),"--","-"),"--","-")&amp;"-","")</f>
        <v/>
      </c>
      <c r="CI756">
        <f>IFERROR(IF('월 가계부'!A756="","",IF(ISNUMBER('월 가계부'!A756),IF(AND('월 가계부'!A756&gt;=19000101,'월 가계부'!A756&lt;=21001231),IF(AND(MOD(INT('월 가계부'!A756/100),100)&gt;=1,MOD(INT('월 가계부'!A756/100),100)&lt;=12,MOD(INT('월 가계부'!A756),100)&gt;=1,MOD(INT('월 가계부'!A756),100)&lt;=31),IF(MONTH(DATE(INT('월 가계부'!A756/10000),MOD(INT('월 가계부'!A756/100),100),MOD(INT('월 가계부'!A756),100)))=MOD(INT('월 가계부'!A756/100),100),DATE(INT('월 가계부'!A756/10000),MOD(INT('월 가계부'!A756/100),100),MOD(INT('월 가계부'!A756),100)),""),""),IF(AND('월 가계부'!A756&gt;=36526,'월 가계부'!A756&lt;73051),INT('월 가계부'!A756),"")),IF(OR(CM756="",CN756="",CO756=""),"",IF(AND(CM756&gt;=2000,CM756&lt;=2099,CN756&gt;=1,CN756&lt;=12,CO756&gt;=1,CO756&lt;=31),IF(MONTH(DATE(CM756,CN756,CO756))=CN756,DATE(CM756,CN756,CO756),""),"")))),"")</f>
        <v/>
      </c>
      <c r="CJ756">
        <f>IFERROR(IF('월 가계부'!C756="","",IF(ISNUMBER('월 가계부'!C756),'월 가계부'!C756,VALUE(SUBSTITUTE(SUBSTITUTE(SUBSTITUTE(SUBSTITUTE(TRIM('월 가계부'!C756),",",""),"원","")," ",""),"−","-")))),"")</f>
        <v/>
      </c>
      <c r="CK756">
        <f>IF(ISNUMBER(CI756),IF(CI756&lt;$B$13,CI756,""),"")</f>
        <v/>
      </c>
      <c r="CM756">
        <f>IF(CH756="","",IFERROR(IF(IF(AND(LEN(CH756)=9,ISERROR(FIND("-",LEFT(CH756,8))),ISNUMBER(-LEFT(CH756,8))),VALUE(LEFT(CH756,4)),VALUE(LEFT(CH756,FIND("-",CH756)-1)))&lt;100,IF(AND(LEN(CH756)=9,ISERROR(FIND("-",LEFT(CH756,8))),ISNUMBER(-LEFT(CH756,8))),VALUE(LEFT(CH756,4)),VALUE(LEFT(CH756,FIND("-",CH756)-1)))+2000,IF(AND(LEN(CH756)=9,ISERROR(FIND("-",LEFT(CH756,8))),ISNUMBER(-LEFT(CH756,8))),VALUE(LEFT(CH756,4)),VALUE(LEFT(CH756,FIND("-",CH756)-1)))),""))</f>
        <v/>
      </c>
      <c r="CN756">
        <f>IF(CH756="","",IFERROR(IF(AND(LEN(CH756)=9,ISERROR(FIND("-",LEFT(CH756,8))),ISNUMBER(-LEFT(CH756,8))),VALUE(MID(CH756,5,2)),VALUE(MID(CH756,FIND("-",CH756)+1,FIND("-",CH756,FIND("-",CH756)+1)-FIND("-",CH756)-1))),""))</f>
        <v/>
      </c>
      <c r="CO756">
        <f>IF(CH756="","",IFERROR(IF(AND(LEN(CH756)=9,ISERROR(FIND("-",LEFT(CH756,8))),ISNUMBER(-LEFT(CH756,8))),VALUE(MID(CH756,7,2)),VALUE(MID(CH756,FIND("-",CH756,FIND("-",CH756)+1)+1,FIND("-",CH756,FIND("-",CH756,FIND("-",CH756)+1)+1)-FIND("-",CH756,FIND("-",CH756)+1)-1))),""))</f>
        <v/>
      </c>
    </row>
    <row r="757">
      <c r="CH757">
        <f>IF(ISTEXT('월 가계부'!A757),SUBSTITUTE(SUBSTITUTE(SUBSTITUTE(SUBSTITUTE(SUBSTITUTE(SUBSTITUTE(SUBSTITUTE(SUBSTITUTE(SUBSTITUTE(TRIM('월 가계부'!A757),"년","-"),"월","-"),"일",""),".","-"),"/","-")," ","-"),"--","-"),"--","-"),"--","-")&amp;"-","")</f>
        <v/>
      </c>
      <c r="CI757">
        <f>IFERROR(IF('월 가계부'!A757="","",IF(ISNUMBER('월 가계부'!A757),IF(AND('월 가계부'!A757&gt;=19000101,'월 가계부'!A757&lt;=21001231),IF(AND(MOD(INT('월 가계부'!A757/100),100)&gt;=1,MOD(INT('월 가계부'!A757/100),100)&lt;=12,MOD(INT('월 가계부'!A757),100)&gt;=1,MOD(INT('월 가계부'!A757),100)&lt;=31),IF(MONTH(DATE(INT('월 가계부'!A757/10000),MOD(INT('월 가계부'!A757/100),100),MOD(INT('월 가계부'!A757),100)))=MOD(INT('월 가계부'!A757/100),100),DATE(INT('월 가계부'!A757/10000),MOD(INT('월 가계부'!A757/100),100),MOD(INT('월 가계부'!A757),100)),""),""),IF(AND('월 가계부'!A757&gt;=36526,'월 가계부'!A757&lt;73051),INT('월 가계부'!A757),"")),IF(OR(CM757="",CN757="",CO757=""),"",IF(AND(CM757&gt;=2000,CM757&lt;=2099,CN757&gt;=1,CN757&lt;=12,CO757&gt;=1,CO757&lt;=31),IF(MONTH(DATE(CM757,CN757,CO757))=CN757,DATE(CM757,CN757,CO757),""),"")))),"")</f>
        <v/>
      </c>
      <c r="CJ757">
        <f>IFERROR(IF('월 가계부'!C757="","",IF(ISNUMBER('월 가계부'!C757),'월 가계부'!C757,VALUE(SUBSTITUTE(SUBSTITUTE(SUBSTITUTE(SUBSTITUTE(TRIM('월 가계부'!C757),",",""),"원","")," ",""),"−","-")))),"")</f>
        <v/>
      </c>
      <c r="CK757">
        <f>IF(ISNUMBER(CI757),IF(CI757&lt;$B$13,CI757,""),"")</f>
        <v/>
      </c>
      <c r="CM757">
        <f>IF(CH757="","",IFERROR(IF(IF(AND(LEN(CH757)=9,ISERROR(FIND("-",LEFT(CH757,8))),ISNUMBER(-LEFT(CH757,8))),VALUE(LEFT(CH757,4)),VALUE(LEFT(CH757,FIND("-",CH757)-1)))&lt;100,IF(AND(LEN(CH757)=9,ISERROR(FIND("-",LEFT(CH757,8))),ISNUMBER(-LEFT(CH757,8))),VALUE(LEFT(CH757,4)),VALUE(LEFT(CH757,FIND("-",CH757)-1)))+2000,IF(AND(LEN(CH757)=9,ISERROR(FIND("-",LEFT(CH757,8))),ISNUMBER(-LEFT(CH757,8))),VALUE(LEFT(CH757,4)),VALUE(LEFT(CH757,FIND("-",CH757)-1)))),""))</f>
        <v/>
      </c>
      <c r="CN757">
        <f>IF(CH757="","",IFERROR(IF(AND(LEN(CH757)=9,ISERROR(FIND("-",LEFT(CH757,8))),ISNUMBER(-LEFT(CH757,8))),VALUE(MID(CH757,5,2)),VALUE(MID(CH757,FIND("-",CH757)+1,FIND("-",CH757,FIND("-",CH757)+1)-FIND("-",CH757)-1))),""))</f>
        <v/>
      </c>
      <c r="CO757">
        <f>IF(CH757="","",IFERROR(IF(AND(LEN(CH757)=9,ISERROR(FIND("-",LEFT(CH757,8))),ISNUMBER(-LEFT(CH757,8))),VALUE(MID(CH757,7,2)),VALUE(MID(CH757,FIND("-",CH757,FIND("-",CH757)+1)+1,FIND("-",CH757,FIND("-",CH757,FIND("-",CH757)+1)+1)-FIND("-",CH757,FIND("-",CH757)+1)-1))),""))</f>
        <v/>
      </c>
    </row>
    <row r="758">
      <c r="CH758">
        <f>IF(ISTEXT('월 가계부'!A758),SUBSTITUTE(SUBSTITUTE(SUBSTITUTE(SUBSTITUTE(SUBSTITUTE(SUBSTITUTE(SUBSTITUTE(SUBSTITUTE(SUBSTITUTE(TRIM('월 가계부'!A758),"년","-"),"월","-"),"일",""),".","-"),"/","-")," ","-"),"--","-"),"--","-"),"--","-")&amp;"-","")</f>
        <v/>
      </c>
      <c r="CI758">
        <f>IFERROR(IF('월 가계부'!A758="","",IF(ISNUMBER('월 가계부'!A758),IF(AND('월 가계부'!A758&gt;=19000101,'월 가계부'!A758&lt;=21001231),IF(AND(MOD(INT('월 가계부'!A758/100),100)&gt;=1,MOD(INT('월 가계부'!A758/100),100)&lt;=12,MOD(INT('월 가계부'!A758),100)&gt;=1,MOD(INT('월 가계부'!A758),100)&lt;=31),IF(MONTH(DATE(INT('월 가계부'!A758/10000),MOD(INT('월 가계부'!A758/100),100),MOD(INT('월 가계부'!A758),100)))=MOD(INT('월 가계부'!A758/100),100),DATE(INT('월 가계부'!A758/10000),MOD(INT('월 가계부'!A758/100),100),MOD(INT('월 가계부'!A758),100)),""),""),IF(AND('월 가계부'!A758&gt;=36526,'월 가계부'!A758&lt;73051),INT('월 가계부'!A758),"")),IF(OR(CM758="",CN758="",CO758=""),"",IF(AND(CM758&gt;=2000,CM758&lt;=2099,CN758&gt;=1,CN758&lt;=12,CO758&gt;=1,CO758&lt;=31),IF(MONTH(DATE(CM758,CN758,CO758))=CN758,DATE(CM758,CN758,CO758),""),"")))),"")</f>
        <v/>
      </c>
      <c r="CJ758">
        <f>IFERROR(IF('월 가계부'!C758="","",IF(ISNUMBER('월 가계부'!C758),'월 가계부'!C758,VALUE(SUBSTITUTE(SUBSTITUTE(SUBSTITUTE(SUBSTITUTE(TRIM('월 가계부'!C758),",",""),"원","")," ",""),"−","-")))),"")</f>
        <v/>
      </c>
      <c r="CK758">
        <f>IF(ISNUMBER(CI758),IF(CI758&lt;$B$13,CI758,""),"")</f>
        <v/>
      </c>
      <c r="CM758">
        <f>IF(CH758="","",IFERROR(IF(IF(AND(LEN(CH758)=9,ISERROR(FIND("-",LEFT(CH758,8))),ISNUMBER(-LEFT(CH758,8))),VALUE(LEFT(CH758,4)),VALUE(LEFT(CH758,FIND("-",CH758)-1)))&lt;100,IF(AND(LEN(CH758)=9,ISERROR(FIND("-",LEFT(CH758,8))),ISNUMBER(-LEFT(CH758,8))),VALUE(LEFT(CH758,4)),VALUE(LEFT(CH758,FIND("-",CH758)-1)))+2000,IF(AND(LEN(CH758)=9,ISERROR(FIND("-",LEFT(CH758,8))),ISNUMBER(-LEFT(CH758,8))),VALUE(LEFT(CH758,4)),VALUE(LEFT(CH758,FIND("-",CH758)-1)))),""))</f>
        <v/>
      </c>
      <c r="CN758">
        <f>IF(CH758="","",IFERROR(IF(AND(LEN(CH758)=9,ISERROR(FIND("-",LEFT(CH758,8))),ISNUMBER(-LEFT(CH758,8))),VALUE(MID(CH758,5,2)),VALUE(MID(CH758,FIND("-",CH758)+1,FIND("-",CH758,FIND("-",CH758)+1)-FIND("-",CH758)-1))),""))</f>
        <v/>
      </c>
      <c r="CO758">
        <f>IF(CH758="","",IFERROR(IF(AND(LEN(CH758)=9,ISERROR(FIND("-",LEFT(CH758,8))),ISNUMBER(-LEFT(CH758,8))),VALUE(MID(CH758,7,2)),VALUE(MID(CH758,FIND("-",CH758,FIND("-",CH758)+1)+1,FIND("-",CH758,FIND("-",CH758,FIND("-",CH758)+1)+1)-FIND("-",CH758,FIND("-",CH758)+1)-1))),""))</f>
        <v/>
      </c>
    </row>
    <row r="759">
      <c r="CH759">
        <f>IF(ISTEXT('월 가계부'!A759),SUBSTITUTE(SUBSTITUTE(SUBSTITUTE(SUBSTITUTE(SUBSTITUTE(SUBSTITUTE(SUBSTITUTE(SUBSTITUTE(SUBSTITUTE(TRIM('월 가계부'!A759),"년","-"),"월","-"),"일",""),".","-"),"/","-")," ","-"),"--","-"),"--","-"),"--","-")&amp;"-","")</f>
        <v/>
      </c>
      <c r="CI759">
        <f>IFERROR(IF('월 가계부'!A759="","",IF(ISNUMBER('월 가계부'!A759),IF(AND('월 가계부'!A759&gt;=19000101,'월 가계부'!A759&lt;=21001231),IF(AND(MOD(INT('월 가계부'!A759/100),100)&gt;=1,MOD(INT('월 가계부'!A759/100),100)&lt;=12,MOD(INT('월 가계부'!A759),100)&gt;=1,MOD(INT('월 가계부'!A759),100)&lt;=31),IF(MONTH(DATE(INT('월 가계부'!A759/10000),MOD(INT('월 가계부'!A759/100),100),MOD(INT('월 가계부'!A759),100)))=MOD(INT('월 가계부'!A759/100),100),DATE(INT('월 가계부'!A759/10000),MOD(INT('월 가계부'!A759/100),100),MOD(INT('월 가계부'!A759),100)),""),""),IF(AND('월 가계부'!A759&gt;=36526,'월 가계부'!A759&lt;73051),INT('월 가계부'!A759),"")),IF(OR(CM759="",CN759="",CO759=""),"",IF(AND(CM759&gt;=2000,CM759&lt;=2099,CN759&gt;=1,CN759&lt;=12,CO759&gt;=1,CO759&lt;=31),IF(MONTH(DATE(CM759,CN759,CO759))=CN759,DATE(CM759,CN759,CO759),""),"")))),"")</f>
        <v/>
      </c>
      <c r="CJ759">
        <f>IFERROR(IF('월 가계부'!C759="","",IF(ISNUMBER('월 가계부'!C759),'월 가계부'!C759,VALUE(SUBSTITUTE(SUBSTITUTE(SUBSTITUTE(SUBSTITUTE(TRIM('월 가계부'!C759),",",""),"원","")," ",""),"−","-")))),"")</f>
        <v/>
      </c>
      <c r="CK759">
        <f>IF(ISNUMBER(CI759),IF(CI759&lt;$B$13,CI759,""),"")</f>
        <v/>
      </c>
      <c r="CM759">
        <f>IF(CH759="","",IFERROR(IF(IF(AND(LEN(CH759)=9,ISERROR(FIND("-",LEFT(CH759,8))),ISNUMBER(-LEFT(CH759,8))),VALUE(LEFT(CH759,4)),VALUE(LEFT(CH759,FIND("-",CH759)-1)))&lt;100,IF(AND(LEN(CH759)=9,ISERROR(FIND("-",LEFT(CH759,8))),ISNUMBER(-LEFT(CH759,8))),VALUE(LEFT(CH759,4)),VALUE(LEFT(CH759,FIND("-",CH759)-1)))+2000,IF(AND(LEN(CH759)=9,ISERROR(FIND("-",LEFT(CH759,8))),ISNUMBER(-LEFT(CH759,8))),VALUE(LEFT(CH759,4)),VALUE(LEFT(CH759,FIND("-",CH759)-1)))),""))</f>
        <v/>
      </c>
      <c r="CN759">
        <f>IF(CH759="","",IFERROR(IF(AND(LEN(CH759)=9,ISERROR(FIND("-",LEFT(CH759,8))),ISNUMBER(-LEFT(CH759,8))),VALUE(MID(CH759,5,2)),VALUE(MID(CH759,FIND("-",CH759)+1,FIND("-",CH759,FIND("-",CH759)+1)-FIND("-",CH759)-1))),""))</f>
        <v/>
      </c>
      <c r="CO759">
        <f>IF(CH759="","",IFERROR(IF(AND(LEN(CH759)=9,ISERROR(FIND("-",LEFT(CH759,8))),ISNUMBER(-LEFT(CH759,8))),VALUE(MID(CH759,7,2)),VALUE(MID(CH759,FIND("-",CH759,FIND("-",CH759)+1)+1,FIND("-",CH759,FIND("-",CH759,FIND("-",CH759)+1)+1)-FIND("-",CH759,FIND("-",CH759)+1)-1))),""))</f>
        <v/>
      </c>
    </row>
    <row r="760">
      <c r="CH760">
        <f>IF(ISTEXT('월 가계부'!A760),SUBSTITUTE(SUBSTITUTE(SUBSTITUTE(SUBSTITUTE(SUBSTITUTE(SUBSTITUTE(SUBSTITUTE(SUBSTITUTE(SUBSTITUTE(TRIM('월 가계부'!A760),"년","-"),"월","-"),"일",""),".","-"),"/","-")," ","-"),"--","-"),"--","-"),"--","-")&amp;"-","")</f>
        <v/>
      </c>
      <c r="CI760">
        <f>IFERROR(IF('월 가계부'!A760="","",IF(ISNUMBER('월 가계부'!A760),IF(AND('월 가계부'!A760&gt;=19000101,'월 가계부'!A760&lt;=21001231),IF(AND(MOD(INT('월 가계부'!A760/100),100)&gt;=1,MOD(INT('월 가계부'!A760/100),100)&lt;=12,MOD(INT('월 가계부'!A760),100)&gt;=1,MOD(INT('월 가계부'!A760),100)&lt;=31),IF(MONTH(DATE(INT('월 가계부'!A760/10000),MOD(INT('월 가계부'!A760/100),100),MOD(INT('월 가계부'!A760),100)))=MOD(INT('월 가계부'!A760/100),100),DATE(INT('월 가계부'!A760/10000),MOD(INT('월 가계부'!A760/100),100),MOD(INT('월 가계부'!A760),100)),""),""),IF(AND('월 가계부'!A760&gt;=36526,'월 가계부'!A760&lt;73051),INT('월 가계부'!A760),"")),IF(OR(CM760="",CN760="",CO760=""),"",IF(AND(CM760&gt;=2000,CM760&lt;=2099,CN760&gt;=1,CN760&lt;=12,CO760&gt;=1,CO760&lt;=31),IF(MONTH(DATE(CM760,CN760,CO760))=CN760,DATE(CM760,CN760,CO760),""),"")))),"")</f>
        <v/>
      </c>
      <c r="CJ760">
        <f>IFERROR(IF('월 가계부'!C760="","",IF(ISNUMBER('월 가계부'!C760),'월 가계부'!C760,VALUE(SUBSTITUTE(SUBSTITUTE(SUBSTITUTE(SUBSTITUTE(TRIM('월 가계부'!C760),",",""),"원","")," ",""),"−","-")))),"")</f>
        <v/>
      </c>
      <c r="CK760">
        <f>IF(ISNUMBER(CI760),IF(CI760&lt;$B$13,CI760,""),"")</f>
        <v/>
      </c>
      <c r="CM760">
        <f>IF(CH760="","",IFERROR(IF(IF(AND(LEN(CH760)=9,ISERROR(FIND("-",LEFT(CH760,8))),ISNUMBER(-LEFT(CH760,8))),VALUE(LEFT(CH760,4)),VALUE(LEFT(CH760,FIND("-",CH760)-1)))&lt;100,IF(AND(LEN(CH760)=9,ISERROR(FIND("-",LEFT(CH760,8))),ISNUMBER(-LEFT(CH760,8))),VALUE(LEFT(CH760,4)),VALUE(LEFT(CH760,FIND("-",CH760)-1)))+2000,IF(AND(LEN(CH760)=9,ISERROR(FIND("-",LEFT(CH760,8))),ISNUMBER(-LEFT(CH760,8))),VALUE(LEFT(CH760,4)),VALUE(LEFT(CH760,FIND("-",CH760)-1)))),""))</f>
        <v/>
      </c>
      <c r="CN760">
        <f>IF(CH760="","",IFERROR(IF(AND(LEN(CH760)=9,ISERROR(FIND("-",LEFT(CH760,8))),ISNUMBER(-LEFT(CH760,8))),VALUE(MID(CH760,5,2)),VALUE(MID(CH760,FIND("-",CH760)+1,FIND("-",CH760,FIND("-",CH760)+1)-FIND("-",CH760)-1))),""))</f>
        <v/>
      </c>
      <c r="CO760">
        <f>IF(CH760="","",IFERROR(IF(AND(LEN(CH760)=9,ISERROR(FIND("-",LEFT(CH760,8))),ISNUMBER(-LEFT(CH760,8))),VALUE(MID(CH760,7,2)),VALUE(MID(CH760,FIND("-",CH760,FIND("-",CH760)+1)+1,FIND("-",CH760,FIND("-",CH760,FIND("-",CH760)+1)+1)-FIND("-",CH760,FIND("-",CH760)+1)-1))),""))</f>
        <v/>
      </c>
    </row>
    <row r="761">
      <c r="CH761">
        <f>IF(ISTEXT('월 가계부'!A761),SUBSTITUTE(SUBSTITUTE(SUBSTITUTE(SUBSTITUTE(SUBSTITUTE(SUBSTITUTE(SUBSTITUTE(SUBSTITUTE(SUBSTITUTE(TRIM('월 가계부'!A761),"년","-"),"월","-"),"일",""),".","-"),"/","-")," ","-"),"--","-"),"--","-"),"--","-")&amp;"-","")</f>
        <v/>
      </c>
      <c r="CI761">
        <f>IFERROR(IF('월 가계부'!A761="","",IF(ISNUMBER('월 가계부'!A761),IF(AND('월 가계부'!A761&gt;=19000101,'월 가계부'!A761&lt;=21001231),IF(AND(MOD(INT('월 가계부'!A761/100),100)&gt;=1,MOD(INT('월 가계부'!A761/100),100)&lt;=12,MOD(INT('월 가계부'!A761),100)&gt;=1,MOD(INT('월 가계부'!A761),100)&lt;=31),IF(MONTH(DATE(INT('월 가계부'!A761/10000),MOD(INT('월 가계부'!A761/100),100),MOD(INT('월 가계부'!A761),100)))=MOD(INT('월 가계부'!A761/100),100),DATE(INT('월 가계부'!A761/10000),MOD(INT('월 가계부'!A761/100),100),MOD(INT('월 가계부'!A761),100)),""),""),IF(AND('월 가계부'!A761&gt;=36526,'월 가계부'!A761&lt;73051),INT('월 가계부'!A761),"")),IF(OR(CM761="",CN761="",CO761=""),"",IF(AND(CM761&gt;=2000,CM761&lt;=2099,CN761&gt;=1,CN761&lt;=12,CO761&gt;=1,CO761&lt;=31),IF(MONTH(DATE(CM761,CN761,CO761))=CN761,DATE(CM761,CN761,CO761),""),"")))),"")</f>
        <v/>
      </c>
      <c r="CJ761">
        <f>IFERROR(IF('월 가계부'!C761="","",IF(ISNUMBER('월 가계부'!C761),'월 가계부'!C761,VALUE(SUBSTITUTE(SUBSTITUTE(SUBSTITUTE(SUBSTITUTE(TRIM('월 가계부'!C761),",",""),"원","")," ",""),"−","-")))),"")</f>
        <v/>
      </c>
      <c r="CK761">
        <f>IF(ISNUMBER(CI761),IF(CI761&lt;$B$13,CI761,""),"")</f>
        <v/>
      </c>
      <c r="CM761">
        <f>IF(CH761="","",IFERROR(IF(IF(AND(LEN(CH761)=9,ISERROR(FIND("-",LEFT(CH761,8))),ISNUMBER(-LEFT(CH761,8))),VALUE(LEFT(CH761,4)),VALUE(LEFT(CH761,FIND("-",CH761)-1)))&lt;100,IF(AND(LEN(CH761)=9,ISERROR(FIND("-",LEFT(CH761,8))),ISNUMBER(-LEFT(CH761,8))),VALUE(LEFT(CH761,4)),VALUE(LEFT(CH761,FIND("-",CH761)-1)))+2000,IF(AND(LEN(CH761)=9,ISERROR(FIND("-",LEFT(CH761,8))),ISNUMBER(-LEFT(CH761,8))),VALUE(LEFT(CH761,4)),VALUE(LEFT(CH761,FIND("-",CH761)-1)))),""))</f>
        <v/>
      </c>
      <c r="CN761">
        <f>IF(CH761="","",IFERROR(IF(AND(LEN(CH761)=9,ISERROR(FIND("-",LEFT(CH761,8))),ISNUMBER(-LEFT(CH761,8))),VALUE(MID(CH761,5,2)),VALUE(MID(CH761,FIND("-",CH761)+1,FIND("-",CH761,FIND("-",CH761)+1)-FIND("-",CH761)-1))),""))</f>
        <v/>
      </c>
      <c r="CO761">
        <f>IF(CH761="","",IFERROR(IF(AND(LEN(CH761)=9,ISERROR(FIND("-",LEFT(CH761,8))),ISNUMBER(-LEFT(CH761,8))),VALUE(MID(CH761,7,2)),VALUE(MID(CH761,FIND("-",CH761,FIND("-",CH761)+1)+1,FIND("-",CH761,FIND("-",CH761,FIND("-",CH761)+1)+1)-FIND("-",CH761,FIND("-",CH761)+1)-1))),""))</f>
        <v/>
      </c>
    </row>
    <row r="762">
      <c r="CH762">
        <f>IF(ISTEXT('월 가계부'!A762),SUBSTITUTE(SUBSTITUTE(SUBSTITUTE(SUBSTITUTE(SUBSTITUTE(SUBSTITUTE(SUBSTITUTE(SUBSTITUTE(SUBSTITUTE(TRIM('월 가계부'!A762),"년","-"),"월","-"),"일",""),".","-"),"/","-")," ","-"),"--","-"),"--","-"),"--","-")&amp;"-","")</f>
        <v/>
      </c>
      <c r="CI762">
        <f>IFERROR(IF('월 가계부'!A762="","",IF(ISNUMBER('월 가계부'!A762),IF(AND('월 가계부'!A762&gt;=19000101,'월 가계부'!A762&lt;=21001231),IF(AND(MOD(INT('월 가계부'!A762/100),100)&gt;=1,MOD(INT('월 가계부'!A762/100),100)&lt;=12,MOD(INT('월 가계부'!A762),100)&gt;=1,MOD(INT('월 가계부'!A762),100)&lt;=31),IF(MONTH(DATE(INT('월 가계부'!A762/10000),MOD(INT('월 가계부'!A762/100),100),MOD(INT('월 가계부'!A762),100)))=MOD(INT('월 가계부'!A762/100),100),DATE(INT('월 가계부'!A762/10000),MOD(INT('월 가계부'!A762/100),100),MOD(INT('월 가계부'!A762),100)),""),""),IF(AND('월 가계부'!A762&gt;=36526,'월 가계부'!A762&lt;73051),INT('월 가계부'!A762),"")),IF(OR(CM762="",CN762="",CO762=""),"",IF(AND(CM762&gt;=2000,CM762&lt;=2099,CN762&gt;=1,CN762&lt;=12,CO762&gt;=1,CO762&lt;=31),IF(MONTH(DATE(CM762,CN762,CO762))=CN762,DATE(CM762,CN762,CO762),""),"")))),"")</f>
        <v/>
      </c>
      <c r="CJ762">
        <f>IFERROR(IF('월 가계부'!C762="","",IF(ISNUMBER('월 가계부'!C762),'월 가계부'!C762,VALUE(SUBSTITUTE(SUBSTITUTE(SUBSTITUTE(SUBSTITUTE(TRIM('월 가계부'!C762),",",""),"원","")," ",""),"−","-")))),"")</f>
        <v/>
      </c>
      <c r="CK762">
        <f>IF(ISNUMBER(CI762),IF(CI762&lt;$B$13,CI762,""),"")</f>
        <v/>
      </c>
      <c r="CM762">
        <f>IF(CH762="","",IFERROR(IF(IF(AND(LEN(CH762)=9,ISERROR(FIND("-",LEFT(CH762,8))),ISNUMBER(-LEFT(CH762,8))),VALUE(LEFT(CH762,4)),VALUE(LEFT(CH762,FIND("-",CH762)-1)))&lt;100,IF(AND(LEN(CH762)=9,ISERROR(FIND("-",LEFT(CH762,8))),ISNUMBER(-LEFT(CH762,8))),VALUE(LEFT(CH762,4)),VALUE(LEFT(CH762,FIND("-",CH762)-1)))+2000,IF(AND(LEN(CH762)=9,ISERROR(FIND("-",LEFT(CH762,8))),ISNUMBER(-LEFT(CH762,8))),VALUE(LEFT(CH762,4)),VALUE(LEFT(CH762,FIND("-",CH762)-1)))),""))</f>
        <v/>
      </c>
      <c r="CN762">
        <f>IF(CH762="","",IFERROR(IF(AND(LEN(CH762)=9,ISERROR(FIND("-",LEFT(CH762,8))),ISNUMBER(-LEFT(CH762,8))),VALUE(MID(CH762,5,2)),VALUE(MID(CH762,FIND("-",CH762)+1,FIND("-",CH762,FIND("-",CH762)+1)-FIND("-",CH762)-1))),""))</f>
        <v/>
      </c>
      <c r="CO762">
        <f>IF(CH762="","",IFERROR(IF(AND(LEN(CH762)=9,ISERROR(FIND("-",LEFT(CH762,8))),ISNUMBER(-LEFT(CH762,8))),VALUE(MID(CH762,7,2)),VALUE(MID(CH762,FIND("-",CH762,FIND("-",CH762)+1)+1,FIND("-",CH762,FIND("-",CH762,FIND("-",CH762)+1)+1)-FIND("-",CH762,FIND("-",CH762)+1)-1))),""))</f>
        <v/>
      </c>
    </row>
    <row r="763">
      <c r="CH763">
        <f>IF(ISTEXT('월 가계부'!A763),SUBSTITUTE(SUBSTITUTE(SUBSTITUTE(SUBSTITUTE(SUBSTITUTE(SUBSTITUTE(SUBSTITUTE(SUBSTITUTE(SUBSTITUTE(TRIM('월 가계부'!A763),"년","-"),"월","-"),"일",""),".","-"),"/","-")," ","-"),"--","-"),"--","-"),"--","-")&amp;"-","")</f>
        <v/>
      </c>
      <c r="CI763">
        <f>IFERROR(IF('월 가계부'!A763="","",IF(ISNUMBER('월 가계부'!A763),IF(AND('월 가계부'!A763&gt;=19000101,'월 가계부'!A763&lt;=21001231),IF(AND(MOD(INT('월 가계부'!A763/100),100)&gt;=1,MOD(INT('월 가계부'!A763/100),100)&lt;=12,MOD(INT('월 가계부'!A763),100)&gt;=1,MOD(INT('월 가계부'!A763),100)&lt;=31),IF(MONTH(DATE(INT('월 가계부'!A763/10000),MOD(INT('월 가계부'!A763/100),100),MOD(INT('월 가계부'!A763),100)))=MOD(INT('월 가계부'!A763/100),100),DATE(INT('월 가계부'!A763/10000),MOD(INT('월 가계부'!A763/100),100),MOD(INT('월 가계부'!A763),100)),""),""),IF(AND('월 가계부'!A763&gt;=36526,'월 가계부'!A763&lt;73051),INT('월 가계부'!A763),"")),IF(OR(CM763="",CN763="",CO763=""),"",IF(AND(CM763&gt;=2000,CM763&lt;=2099,CN763&gt;=1,CN763&lt;=12,CO763&gt;=1,CO763&lt;=31),IF(MONTH(DATE(CM763,CN763,CO763))=CN763,DATE(CM763,CN763,CO763),""),"")))),"")</f>
        <v/>
      </c>
      <c r="CJ763">
        <f>IFERROR(IF('월 가계부'!C763="","",IF(ISNUMBER('월 가계부'!C763),'월 가계부'!C763,VALUE(SUBSTITUTE(SUBSTITUTE(SUBSTITUTE(SUBSTITUTE(TRIM('월 가계부'!C763),",",""),"원","")," ",""),"−","-")))),"")</f>
        <v/>
      </c>
      <c r="CK763">
        <f>IF(ISNUMBER(CI763),IF(CI763&lt;$B$13,CI763,""),"")</f>
        <v/>
      </c>
      <c r="CM763">
        <f>IF(CH763="","",IFERROR(IF(IF(AND(LEN(CH763)=9,ISERROR(FIND("-",LEFT(CH763,8))),ISNUMBER(-LEFT(CH763,8))),VALUE(LEFT(CH763,4)),VALUE(LEFT(CH763,FIND("-",CH763)-1)))&lt;100,IF(AND(LEN(CH763)=9,ISERROR(FIND("-",LEFT(CH763,8))),ISNUMBER(-LEFT(CH763,8))),VALUE(LEFT(CH763,4)),VALUE(LEFT(CH763,FIND("-",CH763)-1)))+2000,IF(AND(LEN(CH763)=9,ISERROR(FIND("-",LEFT(CH763,8))),ISNUMBER(-LEFT(CH763,8))),VALUE(LEFT(CH763,4)),VALUE(LEFT(CH763,FIND("-",CH763)-1)))),""))</f>
        <v/>
      </c>
      <c r="CN763">
        <f>IF(CH763="","",IFERROR(IF(AND(LEN(CH763)=9,ISERROR(FIND("-",LEFT(CH763,8))),ISNUMBER(-LEFT(CH763,8))),VALUE(MID(CH763,5,2)),VALUE(MID(CH763,FIND("-",CH763)+1,FIND("-",CH763,FIND("-",CH763)+1)-FIND("-",CH763)-1))),""))</f>
        <v/>
      </c>
      <c r="CO763">
        <f>IF(CH763="","",IFERROR(IF(AND(LEN(CH763)=9,ISERROR(FIND("-",LEFT(CH763,8))),ISNUMBER(-LEFT(CH763,8))),VALUE(MID(CH763,7,2)),VALUE(MID(CH763,FIND("-",CH763,FIND("-",CH763)+1)+1,FIND("-",CH763,FIND("-",CH763,FIND("-",CH763)+1)+1)-FIND("-",CH763,FIND("-",CH763)+1)-1))),""))</f>
        <v/>
      </c>
    </row>
    <row r="764">
      <c r="CH764">
        <f>IF(ISTEXT('월 가계부'!A764),SUBSTITUTE(SUBSTITUTE(SUBSTITUTE(SUBSTITUTE(SUBSTITUTE(SUBSTITUTE(SUBSTITUTE(SUBSTITUTE(SUBSTITUTE(TRIM('월 가계부'!A764),"년","-"),"월","-"),"일",""),".","-"),"/","-")," ","-"),"--","-"),"--","-"),"--","-")&amp;"-","")</f>
        <v/>
      </c>
      <c r="CI764">
        <f>IFERROR(IF('월 가계부'!A764="","",IF(ISNUMBER('월 가계부'!A764),IF(AND('월 가계부'!A764&gt;=19000101,'월 가계부'!A764&lt;=21001231),IF(AND(MOD(INT('월 가계부'!A764/100),100)&gt;=1,MOD(INT('월 가계부'!A764/100),100)&lt;=12,MOD(INT('월 가계부'!A764),100)&gt;=1,MOD(INT('월 가계부'!A764),100)&lt;=31),IF(MONTH(DATE(INT('월 가계부'!A764/10000),MOD(INT('월 가계부'!A764/100),100),MOD(INT('월 가계부'!A764),100)))=MOD(INT('월 가계부'!A764/100),100),DATE(INT('월 가계부'!A764/10000),MOD(INT('월 가계부'!A764/100),100),MOD(INT('월 가계부'!A764),100)),""),""),IF(AND('월 가계부'!A764&gt;=36526,'월 가계부'!A764&lt;73051),INT('월 가계부'!A764),"")),IF(OR(CM764="",CN764="",CO764=""),"",IF(AND(CM764&gt;=2000,CM764&lt;=2099,CN764&gt;=1,CN764&lt;=12,CO764&gt;=1,CO764&lt;=31),IF(MONTH(DATE(CM764,CN764,CO764))=CN764,DATE(CM764,CN764,CO764),""),"")))),"")</f>
        <v/>
      </c>
      <c r="CJ764">
        <f>IFERROR(IF('월 가계부'!C764="","",IF(ISNUMBER('월 가계부'!C764),'월 가계부'!C764,VALUE(SUBSTITUTE(SUBSTITUTE(SUBSTITUTE(SUBSTITUTE(TRIM('월 가계부'!C764),",",""),"원","")," ",""),"−","-")))),"")</f>
        <v/>
      </c>
      <c r="CK764">
        <f>IF(ISNUMBER(CI764),IF(CI764&lt;$B$13,CI764,""),"")</f>
        <v/>
      </c>
      <c r="CM764">
        <f>IF(CH764="","",IFERROR(IF(IF(AND(LEN(CH764)=9,ISERROR(FIND("-",LEFT(CH764,8))),ISNUMBER(-LEFT(CH764,8))),VALUE(LEFT(CH764,4)),VALUE(LEFT(CH764,FIND("-",CH764)-1)))&lt;100,IF(AND(LEN(CH764)=9,ISERROR(FIND("-",LEFT(CH764,8))),ISNUMBER(-LEFT(CH764,8))),VALUE(LEFT(CH764,4)),VALUE(LEFT(CH764,FIND("-",CH764)-1)))+2000,IF(AND(LEN(CH764)=9,ISERROR(FIND("-",LEFT(CH764,8))),ISNUMBER(-LEFT(CH764,8))),VALUE(LEFT(CH764,4)),VALUE(LEFT(CH764,FIND("-",CH764)-1)))),""))</f>
        <v/>
      </c>
      <c r="CN764">
        <f>IF(CH764="","",IFERROR(IF(AND(LEN(CH764)=9,ISERROR(FIND("-",LEFT(CH764,8))),ISNUMBER(-LEFT(CH764,8))),VALUE(MID(CH764,5,2)),VALUE(MID(CH764,FIND("-",CH764)+1,FIND("-",CH764,FIND("-",CH764)+1)-FIND("-",CH764)-1))),""))</f>
        <v/>
      </c>
      <c r="CO764">
        <f>IF(CH764="","",IFERROR(IF(AND(LEN(CH764)=9,ISERROR(FIND("-",LEFT(CH764,8))),ISNUMBER(-LEFT(CH764,8))),VALUE(MID(CH764,7,2)),VALUE(MID(CH764,FIND("-",CH764,FIND("-",CH764)+1)+1,FIND("-",CH764,FIND("-",CH764,FIND("-",CH764)+1)+1)-FIND("-",CH764,FIND("-",CH764)+1)-1))),""))</f>
        <v/>
      </c>
    </row>
    <row r="765">
      <c r="CH765">
        <f>IF(ISTEXT('월 가계부'!A765),SUBSTITUTE(SUBSTITUTE(SUBSTITUTE(SUBSTITUTE(SUBSTITUTE(SUBSTITUTE(SUBSTITUTE(SUBSTITUTE(SUBSTITUTE(TRIM('월 가계부'!A765),"년","-"),"월","-"),"일",""),".","-"),"/","-")," ","-"),"--","-"),"--","-"),"--","-")&amp;"-","")</f>
        <v/>
      </c>
      <c r="CI765">
        <f>IFERROR(IF('월 가계부'!A765="","",IF(ISNUMBER('월 가계부'!A765),IF(AND('월 가계부'!A765&gt;=19000101,'월 가계부'!A765&lt;=21001231),IF(AND(MOD(INT('월 가계부'!A765/100),100)&gt;=1,MOD(INT('월 가계부'!A765/100),100)&lt;=12,MOD(INT('월 가계부'!A765),100)&gt;=1,MOD(INT('월 가계부'!A765),100)&lt;=31),IF(MONTH(DATE(INT('월 가계부'!A765/10000),MOD(INT('월 가계부'!A765/100),100),MOD(INT('월 가계부'!A765),100)))=MOD(INT('월 가계부'!A765/100),100),DATE(INT('월 가계부'!A765/10000),MOD(INT('월 가계부'!A765/100),100),MOD(INT('월 가계부'!A765),100)),""),""),IF(AND('월 가계부'!A765&gt;=36526,'월 가계부'!A765&lt;73051),INT('월 가계부'!A765),"")),IF(OR(CM765="",CN765="",CO765=""),"",IF(AND(CM765&gt;=2000,CM765&lt;=2099,CN765&gt;=1,CN765&lt;=12,CO765&gt;=1,CO765&lt;=31),IF(MONTH(DATE(CM765,CN765,CO765))=CN765,DATE(CM765,CN765,CO765),""),"")))),"")</f>
        <v/>
      </c>
      <c r="CJ765">
        <f>IFERROR(IF('월 가계부'!C765="","",IF(ISNUMBER('월 가계부'!C765),'월 가계부'!C765,VALUE(SUBSTITUTE(SUBSTITUTE(SUBSTITUTE(SUBSTITUTE(TRIM('월 가계부'!C765),",",""),"원","")," ",""),"−","-")))),"")</f>
        <v/>
      </c>
      <c r="CK765">
        <f>IF(ISNUMBER(CI765),IF(CI765&lt;$B$13,CI765,""),"")</f>
        <v/>
      </c>
      <c r="CM765">
        <f>IF(CH765="","",IFERROR(IF(IF(AND(LEN(CH765)=9,ISERROR(FIND("-",LEFT(CH765,8))),ISNUMBER(-LEFT(CH765,8))),VALUE(LEFT(CH765,4)),VALUE(LEFT(CH765,FIND("-",CH765)-1)))&lt;100,IF(AND(LEN(CH765)=9,ISERROR(FIND("-",LEFT(CH765,8))),ISNUMBER(-LEFT(CH765,8))),VALUE(LEFT(CH765,4)),VALUE(LEFT(CH765,FIND("-",CH765)-1)))+2000,IF(AND(LEN(CH765)=9,ISERROR(FIND("-",LEFT(CH765,8))),ISNUMBER(-LEFT(CH765,8))),VALUE(LEFT(CH765,4)),VALUE(LEFT(CH765,FIND("-",CH765)-1)))),""))</f>
        <v/>
      </c>
      <c r="CN765">
        <f>IF(CH765="","",IFERROR(IF(AND(LEN(CH765)=9,ISERROR(FIND("-",LEFT(CH765,8))),ISNUMBER(-LEFT(CH765,8))),VALUE(MID(CH765,5,2)),VALUE(MID(CH765,FIND("-",CH765)+1,FIND("-",CH765,FIND("-",CH765)+1)-FIND("-",CH765)-1))),""))</f>
        <v/>
      </c>
      <c r="CO765">
        <f>IF(CH765="","",IFERROR(IF(AND(LEN(CH765)=9,ISERROR(FIND("-",LEFT(CH765,8))),ISNUMBER(-LEFT(CH765,8))),VALUE(MID(CH765,7,2)),VALUE(MID(CH765,FIND("-",CH765,FIND("-",CH765)+1)+1,FIND("-",CH765,FIND("-",CH765,FIND("-",CH765)+1)+1)-FIND("-",CH765,FIND("-",CH765)+1)-1))),""))</f>
        <v/>
      </c>
    </row>
    <row r="766">
      <c r="CH766">
        <f>IF(ISTEXT('월 가계부'!A766),SUBSTITUTE(SUBSTITUTE(SUBSTITUTE(SUBSTITUTE(SUBSTITUTE(SUBSTITUTE(SUBSTITUTE(SUBSTITUTE(SUBSTITUTE(TRIM('월 가계부'!A766),"년","-"),"월","-"),"일",""),".","-"),"/","-")," ","-"),"--","-"),"--","-"),"--","-")&amp;"-","")</f>
        <v/>
      </c>
      <c r="CI766">
        <f>IFERROR(IF('월 가계부'!A766="","",IF(ISNUMBER('월 가계부'!A766),IF(AND('월 가계부'!A766&gt;=19000101,'월 가계부'!A766&lt;=21001231),IF(AND(MOD(INT('월 가계부'!A766/100),100)&gt;=1,MOD(INT('월 가계부'!A766/100),100)&lt;=12,MOD(INT('월 가계부'!A766),100)&gt;=1,MOD(INT('월 가계부'!A766),100)&lt;=31),IF(MONTH(DATE(INT('월 가계부'!A766/10000),MOD(INT('월 가계부'!A766/100),100),MOD(INT('월 가계부'!A766),100)))=MOD(INT('월 가계부'!A766/100),100),DATE(INT('월 가계부'!A766/10000),MOD(INT('월 가계부'!A766/100),100),MOD(INT('월 가계부'!A766),100)),""),""),IF(AND('월 가계부'!A766&gt;=36526,'월 가계부'!A766&lt;73051),INT('월 가계부'!A766),"")),IF(OR(CM766="",CN766="",CO766=""),"",IF(AND(CM766&gt;=2000,CM766&lt;=2099,CN766&gt;=1,CN766&lt;=12,CO766&gt;=1,CO766&lt;=31),IF(MONTH(DATE(CM766,CN766,CO766))=CN766,DATE(CM766,CN766,CO766),""),"")))),"")</f>
        <v/>
      </c>
      <c r="CJ766">
        <f>IFERROR(IF('월 가계부'!C766="","",IF(ISNUMBER('월 가계부'!C766),'월 가계부'!C766,VALUE(SUBSTITUTE(SUBSTITUTE(SUBSTITUTE(SUBSTITUTE(TRIM('월 가계부'!C766),",",""),"원","")," ",""),"−","-")))),"")</f>
        <v/>
      </c>
      <c r="CK766">
        <f>IF(ISNUMBER(CI766),IF(CI766&lt;$B$13,CI766,""),"")</f>
        <v/>
      </c>
      <c r="CM766">
        <f>IF(CH766="","",IFERROR(IF(IF(AND(LEN(CH766)=9,ISERROR(FIND("-",LEFT(CH766,8))),ISNUMBER(-LEFT(CH766,8))),VALUE(LEFT(CH766,4)),VALUE(LEFT(CH766,FIND("-",CH766)-1)))&lt;100,IF(AND(LEN(CH766)=9,ISERROR(FIND("-",LEFT(CH766,8))),ISNUMBER(-LEFT(CH766,8))),VALUE(LEFT(CH766,4)),VALUE(LEFT(CH766,FIND("-",CH766)-1)))+2000,IF(AND(LEN(CH766)=9,ISERROR(FIND("-",LEFT(CH766,8))),ISNUMBER(-LEFT(CH766,8))),VALUE(LEFT(CH766,4)),VALUE(LEFT(CH766,FIND("-",CH766)-1)))),""))</f>
        <v/>
      </c>
      <c r="CN766">
        <f>IF(CH766="","",IFERROR(IF(AND(LEN(CH766)=9,ISERROR(FIND("-",LEFT(CH766,8))),ISNUMBER(-LEFT(CH766,8))),VALUE(MID(CH766,5,2)),VALUE(MID(CH766,FIND("-",CH766)+1,FIND("-",CH766,FIND("-",CH766)+1)-FIND("-",CH766)-1))),""))</f>
        <v/>
      </c>
      <c r="CO766">
        <f>IF(CH766="","",IFERROR(IF(AND(LEN(CH766)=9,ISERROR(FIND("-",LEFT(CH766,8))),ISNUMBER(-LEFT(CH766,8))),VALUE(MID(CH766,7,2)),VALUE(MID(CH766,FIND("-",CH766,FIND("-",CH766)+1)+1,FIND("-",CH766,FIND("-",CH766,FIND("-",CH766)+1)+1)-FIND("-",CH766,FIND("-",CH766)+1)-1))),""))</f>
        <v/>
      </c>
    </row>
    <row r="767">
      <c r="CH767">
        <f>IF(ISTEXT('월 가계부'!A767),SUBSTITUTE(SUBSTITUTE(SUBSTITUTE(SUBSTITUTE(SUBSTITUTE(SUBSTITUTE(SUBSTITUTE(SUBSTITUTE(SUBSTITUTE(TRIM('월 가계부'!A767),"년","-"),"월","-"),"일",""),".","-"),"/","-")," ","-"),"--","-"),"--","-"),"--","-")&amp;"-","")</f>
        <v/>
      </c>
      <c r="CI767">
        <f>IFERROR(IF('월 가계부'!A767="","",IF(ISNUMBER('월 가계부'!A767),IF(AND('월 가계부'!A767&gt;=19000101,'월 가계부'!A767&lt;=21001231),IF(AND(MOD(INT('월 가계부'!A767/100),100)&gt;=1,MOD(INT('월 가계부'!A767/100),100)&lt;=12,MOD(INT('월 가계부'!A767),100)&gt;=1,MOD(INT('월 가계부'!A767),100)&lt;=31),IF(MONTH(DATE(INT('월 가계부'!A767/10000),MOD(INT('월 가계부'!A767/100),100),MOD(INT('월 가계부'!A767),100)))=MOD(INT('월 가계부'!A767/100),100),DATE(INT('월 가계부'!A767/10000),MOD(INT('월 가계부'!A767/100),100),MOD(INT('월 가계부'!A767),100)),""),""),IF(AND('월 가계부'!A767&gt;=36526,'월 가계부'!A767&lt;73051),INT('월 가계부'!A767),"")),IF(OR(CM767="",CN767="",CO767=""),"",IF(AND(CM767&gt;=2000,CM767&lt;=2099,CN767&gt;=1,CN767&lt;=12,CO767&gt;=1,CO767&lt;=31),IF(MONTH(DATE(CM767,CN767,CO767))=CN767,DATE(CM767,CN767,CO767),""),"")))),"")</f>
        <v/>
      </c>
      <c r="CJ767">
        <f>IFERROR(IF('월 가계부'!C767="","",IF(ISNUMBER('월 가계부'!C767),'월 가계부'!C767,VALUE(SUBSTITUTE(SUBSTITUTE(SUBSTITUTE(SUBSTITUTE(TRIM('월 가계부'!C767),",",""),"원","")," ",""),"−","-")))),"")</f>
        <v/>
      </c>
      <c r="CK767">
        <f>IF(ISNUMBER(CI767),IF(CI767&lt;$B$13,CI767,""),"")</f>
        <v/>
      </c>
      <c r="CM767">
        <f>IF(CH767="","",IFERROR(IF(IF(AND(LEN(CH767)=9,ISERROR(FIND("-",LEFT(CH767,8))),ISNUMBER(-LEFT(CH767,8))),VALUE(LEFT(CH767,4)),VALUE(LEFT(CH767,FIND("-",CH767)-1)))&lt;100,IF(AND(LEN(CH767)=9,ISERROR(FIND("-",LEFT(CH767,8))),ISNUMBER(-LEFT(CH767,8))),VALUE(LEFT(CH767,4)),VALUE(LEFT(CH767,FIND("-",CH767)-1)))+2000,IF(AND(LEN(CH767)=9,ISERROR(FIND("-",LEFT(CH767,8))),ISNUMBER(-LEFT(CH767,8))),VALUE(LEFT(CH767,4)),VALUE(LEFT(CH767,FIND("-",CH767)-1)))),""))</f>
        <v/>
      </c>
      <c r="CN767">
        <f>IF(CH767="","",IFERROR(IF(AND(LEN(CH767)=9,ISERROR(FIND("-",LEFT(CH767,8))),ISNUMBER(-LEFT(CH767,8))),VALUE(MID(CH767,5,2)),VALUE(MID(CH767,FIND("-",CH767)+1,FIND("-",CH767,FIND("-",CH767)+1)-FIND("-",CH767)-1))),""))</f>
        <v/>
      </c>
      <c r="CO767">
        <f>IF(CH767="","",IFERROR(IF(AND(LEN(CH767)=9,ISERROR(FIND("-",LEFT(CH767,8))),ISNUMBER(-LEFT(CH767,8))),VALUE(MID(CH767,7,2)),VALUE(MID(CH767,FIND("-",CH767,FIND("-",CH767)+1)+1,FIND("-",CH767,FIND("-",CH767,FIND("-",CH767)+1)+1)-FIND("-",CH767,FIND("-",CH767)+1)-1))),""))</f>
        <v/>
      </c>
    </row>
    <row r="768">
      <c r="CH768">
        <f>IF(ISTEXT('월 가계부'!A768),SUBSTITUTE(SUBSTITUTE(SUBSTITUTE(SUBSTITUTE(SUBSTITUTE(SUBSTITUTE(SUBSTITUTE(SUBSTITUTE(SUBSTITUTE(TRIM('월 가계부'!A768),"년","-"),"월","-"),"일",""),".","-"),"/","-")," ","-"),"--","-"),"--","-"),"--","-")&amp;"-","")</f>
        <v/>
      </c>
      <c r="CI768">
        <f>IFERROR(IF('월 가계부'!A768="","",IF(ISNUMBER('월 가계부'!A768),IF(AND('월 가계부'!A768&gt;=19000101,'월 가계부'!A768&lt;=21001231),IF(AND(MOD(INT('월 가계부'!A768/100),100)&gt;=1,MOD(INT('월 가계부'!A768/100),100)&lt;=12,MOD(INT('월 가계부'!A768),100)&gt;=1,MOD(INT('월 가계부'!A768),100)&lt;=31),IF(MONTH(DATE(INT('월 가계부'!A768/10000),MOD(INT('월 가계부'!A768/100),100),MOD(INT('월 가계부'!A768),100)))=MOD(INT('월 가계부'!A768/100),100),DATE(INT('월 가계부'!A768/10000),MOD(INT('월 가계부'!A768/100),100),MOD(INT('월 가계부'!A768),100)),""),""),IF(AND('월 가계부'!A768&gt;=36526,'월 가계부'!A768&lt;73051),INT('월 가계부'!A768),"")),IF(OR(CM768="",CN768="",CO768=""),"",IF(AND(CM768&gt;=2000,CM768&lt;=2099,CN768&gt;=1,CN768&lt;=12,CO768&gt;=1,CO768&lt;=31),IF(MONTH(DATE(CM768,CN768,CO768))=CN768,DATE(CM768,CN768,CO768),""),"")))),"")</f>
        <v/>
      </c>
      <c r="CJ768">
        <f>IFERROR(IF('월 가계부'!C768="","",IF(ISNUMBER('월 가계부'!C768),'월 가계부'!C768,VALUE(SUBSTITUTE(SUBSTITUTE(SUBSTITUTE(SUBSTITUTE(TRIM('월 가계부'!C768),",",""),"원","")," ",""),"−","-")))),"")</f>
        <v/>
      </c>
      <c r="CK768">
        <f>IF(ISNUMBER(CI768),IF(CI768&lt;$B$13,CI768,""),"")</f>
        <v/>
      </c>
      <c r="CM768">
        <f>IF(CH768="","",IFERROR(IF(IF(AND(LEN(CH768)=9,ISERROR(FIND("-",LEFT(CH768,8))),ISNUMBER(-LEFT(CH768,8))),VALUE(LEFT(CH768,4)),VALUE(LEFT(CH768,FIND("-",CH768)-1)))&lt;100,IF(AND(LEN(CH768)=9,ISERROR(FIND("-",LEFT(CH768,8))),ISNUMBER(-LEFT(CH768,8))),VALUE(LEFT(CH768,4)),VALUE(LEFT(CH768,FIND("-",CH768)-1)))+2000,IF(AND(LEN(CH768)=9,ISERROR(FIND("-",LEFT(CH768,8))),ISNUMBER(-LEFT(CH768,8))),VALUE(LEFT(CH768,4)),VALUE(LEFT(CH768,FIND("-",CH768)-1)))),""))</f>
        <v/>
      </c>
      <c r="CN768">
        <f>IF(CH768="","",IFERROR(IF(AND(LEN(CH768)=9,ISERROR(FIND("-",LEFT(CH768,8))),ISNUMBER(-LEFT(CH768,8))),VALUE(MID(CH768,5,2)),VALUE(MID(CH768,FIND("-",CH768)+1,FIND("-",CH768,FIND("-",CH768)+1)-FIND("-",CH768)-1))),""))</f>
        <v/>
      </c>
      <c r="CO768">
        <f>IF(CH768="","",IFERROR(IF(AND(LEN(CH768)=9,ISERROR(FIND("-",LEFT(CH768,8))),ISNUMBER(-LEFT(CH768,8))),VALUE(MID(CH768,7,2)),VALUE(MID(CH768,FIND("-",CH768,FIND("-",CH768)+1)+1,FIND("-",CH768,FIND("-",CH768,FIND("-",CH768)+1)+1)-FIND("-",CH768,FIND("-",CH768)+1)-1))),""))</f>
        <v/>
      </c>
    </row>
    <row r="769">
      <c r="CH769">
        <f>IF(ISTEXT('월 가계부'!A769),SUBSTITUTE(SUBSTITUTE(SUBSTITUTE(SUBSTITUTE(SUBSTITUTE(SUBSTITUTE(SUBSTITUTE(SUBSTITUTE(SUBSTITUTE(TRIM('월 가계부'!A769),"년","-"),"월","-"),"일",""),".","-"),"/","-")," ","-"),"--","-"),"--","-"),"--","-")&amp;"-","")</f>
        <v/>
      </c>
      <c r="CI769">
        <f>IFERROR(IF('월 가계부'!A769="","",IF(ISNUMBER('월 가계부'!A769),IF(AND('월 가계부'!A769&gt;=19000101,'월 가계부'!A769&lt;=21001231),IF(AND(MOD(INT('월 가계부'!A769/100),100)&gt;=1,MOD(INT('월 가계부'!A769/100),100)&lt;=12,MOD(INT('월 가계부'!A769),100)&gt;=1,MOD(INT('월 가계부'!A769),100)&lt;=31),IF(MONTH(DATE(INT('월 가계부'!A769/10000),MOD(INT('월 가계부'!A769/100),100),MOD(INT('월 가계부'!A769),100)))=MOD(INT('월 가계부'!A769/100),100),DATE(INT('월 가계부'!A769/10000),MOD(INT('월 가계부'!A769/100),100),MOD(INT('월 가계부'!A769),100)),""),""),IF(AND('월 가계부'!A769&gt;=36526,'월 가계부'!A769&lt;73051),INT('월 가계부'!A769),"")),IF(OR(CM769="",CN769="",CO769=""),"",IF(AND(CM769&gt;=2000,CM769&lt;=2099,CN769&gt;=1,CN769&lt;=12,CO769&gt;=1,CO769&lt;=31),IF(MONTH(DATE(CM769,CN769,CO769))=CN769,DATE(CM769,CN769,CO769),""),"")))),"")</f>
        <v/>
      </c>
      <c r="CJ769">
        <f>IFERROR(IF('월 가계부'!C769="","",IF(ISNUMBER('월 가계부'!C769),'월 가계부'!C769,VALUE(SUBSTITUTE(SUBSTITUTE(SUBSTITUTE(SUBSTITUTE(TRIM('월 가계부'!C769),",",""),"원","")," ",""),"−","-")))),"")</f>
        <v/>
      </c>
      <c r="CK769">
        <f>IF(ISNUMBER(CI769),IF(CI769&lt;$B$13,CI769,""),"")</f>
        <v/>
      </c>
      <c r="CM769">
        <f>IF(CH769="","",IFERROR(IF(IF(AND(LEN(CH769)=9,ISERROR(FIND("-",LEFT(CH769,8))),ISNUMBER(-LEFT(CH769,8))),VALUE(LEFT(CH769,4)),VALUE(LEFT(CH769,FIND("-",CH769)-1)))&lt;100,IF(AND(LEN(CH769)=9,ISERROR(FIND("-",LEFT(CH769,8))),ISNUMBER(-LEFT(CH769,8))),VALUE(LEFT(CH769,4)),VALUE(LEFT(CH769,FIND("-",CH769)-1)))+2000,IF(AND(LEN(CH769)=9,ISERROR(FIND("-",LEFT(CH769,8))),ISNUMBER(-LEFT(CH769,8))),VALUE(LEFT(CH769,4)),VALUE(LEFT(CH769,FIND("-",CH769)-1)))),""))</f>
        <v/>
      </c>
      <c r="CN769">
        <f>IF(CH769="","",IFERROR(IF(AND(LEN(CH769)=9,ISERROR(FIND("-",LEFT(CH769,8))),ISNUMBER(-LEFT(CH769,8))),VALUE(MID(CH769,5,2)),VALUE(MID(CH769,FIND("-",CH769)+1,FIND("-",CH769,FIND("-",CH769)+1)-FIND("-",CH769)-1))),""))</f>
        <v/>
      </c>
      <c r="CO769">
        <f>IF(CH769="","",IFERROR(IF(AND(LEN(CH769)=9,ISERROR(FIND("-",LEFT(CH769,8))),ISNUMBER(-LEFT(CH769,8))),VALUE(MID(CH769,7,2)),VALUE(MID(CH769,FIND("-",CH769,FIND("-",CH769)+1)+1,FIND("-",CH769,FIND("-",CH769,FIND("-",CH769)+1)+1)-FIND("-",CH769,FIND("-",CH769)+1)-1))),""))</f>
        <v/>
      </c>
    </row>
    <row r="770">
      <c r="CH770">
        <f>IF(ISTEXT('월 가계부'!A770),SUBSTITUTE(SUBSTITUTE(SUBSTITUTE(SUBSTITUTE(SUBSTITUTE(SUBSTITUTE(SUBSTITUTE(SUBSTITUTE(SUBSTITUTE(TRIM('월 가계부'!A770),"년","-"),"월","-"),"일",""),".","-"),"/","-")," ","-"),"--","-"),"--","-"),"--","-")&amp;"-","")</f>
        <v/>
      </c>
      <c r="CI770">
        <f>IFERROR(IF('월 가계부'!A770="","",IF(ISNUMBER('월 가계부'!A770),IF(AND('월 가계부'!A770&gt;=19000101,'월 가계부'!A770&lt;=21001231),IF(AND(MOD(INT('월 가계부'!A770/100),100)&gt;=1,MOD(INT('월 가계부'!A770/100),100)&lt;=12,MOD(INT('월 가계부'!A770),100)&gt;=1,MOD(INT('월 가계부'!A770),100)&lt;=31),IF(MONTH(DATE(INT('월 가계부'!A770/10000),MOD(INT('월 가계부'!A770/100),100),MOD(INT('월 가계부'!A770),100)))=MOD(INT('월 가계부'!A770/100),100),DATE(INT('월 가계부'!A770/10000),MOD(INT('월 가계부'!A770/100),100),MOD(INT('월 가계부'!A770),100)),""),""),IF(AND('월 가계부'!A770&gt;=36526,'월 가계부'!A770&lt;73051),INT('월 가계부'!A770),"")),IF(OR(CM770="",CN770="",CO770=""),"",IF(AND(CM770&gt;=2000,CM770&lt;=2099,CN770&gt;=1,CN770&lt;=12,CO770&gt;=1,CO770&lt;=31),IF(MONTH(DATE(CM770,CN770,CO770))=CN770,DATE(CM770,CN770,CO770),""),"")))),"")</f>
        <v/>
      </c>
      <c r="CJ770">
        <f>IFERROR(IF('월 가계부'!C770="","",IF(ISNUMBER('월 가계부'!C770),'월 가계부'!C770,VALUE(SUBSTITUTE(SUBSTITUTE(SUBSTITUTE(SUBSTITUTE(TRIM('월 가계부'!C770),",",""),"원","")," ",""),"−","-")))),"")</f>
        <v/>
      </c>
      <c r="CK770">
        <f>IF(ISNUMBER(CI770),IF(CI770&lt;$B$13,CI770,""),"")</f>
        <v/>
      </c>
      <c r="CM770">
        <f>IF(CH770="","",IFERROR(IF(IF(AND(LEN(CH770)=9,ISERROR(FIND("-",LEFT(CH770,8))),ISNUMBER(-LEFT(CH770,8))),VALUE(LEFT(CH770,4)),VALUE(LEFT(CH770,FIND("-",CH770)-1)))&lt;100,IF(AND(LEN(CH770)=9,ISERROR(FIND("-",LEFT(CH770,8))),ISNUMBER(-LEFT(CH770,8))),VALUE(LEFT(CH770,4)),VALUE(LEFT(CH770,FIND("-",CH770)-1)))+2000,IF(AND(LEN(CH770)=9,ISERROR(FIND("-",LEFT(CH770,8))),ISNUMBER(-LEFT(CH770,8))),VALUE(LEFT(CH770,4)),VALUE(LEFT(CH770,FIND("-",CH770)-1)))),""))</f>
        <v/>
      </c>
      <c r="CN770">
        <f>IF(CH770="","",IFERROR(IF(AND(LEN(CH770)=9,ISERROR(FIND("-",LEFT(CH770,8))),ISNUMBER(-LEFT(CH770,8))),VALUE(MID(CH770,5,2)),VALUE(MID(CH770,FIND("-",CH770)+1,FIND("-",CH770,FIND("-",CH770)+1)-FIND("-",CH770)-1))),""))</f>
        <v/>
      </c>
      <c r="CO770">
        <f>IF(CH770="","",IFERROR(IF(AND(LEN(CH770)=9,ISERROR(FIND("-",LEFT(CH770,8))),ISNUMBER(-LEFT(CH770,8))),VALUE(MID(CH770,7,2)),VALUE(MID(CH770,FIND("-",CH770,FIND("-",CH770)+1)+1,FIND("-",CH770,FIND("-",CH770,FIND("-",CH770)+1)+1)-FIND("-",CH770,FIND("-",CH770)+1)-1))),""))</f>
        <v/>
      </c>
    </row>
    <row r="771">
      <c r="CH771">
        <f>IF(ISTEXT('월 가계부'!A771),SUBSTITUTE(SUBSTITUTE(SUBSTITUTE(SUBSTITUTE(SUBSTITUTE(SUBSTITUTE(SUBSTITUTE(SUBSTITUTE(SUBSTITUTE(TRIM('월 가계부'!A771),"년","-"),"월","-"),"일",""),".","-"),"/","-")," ","-"),"--","-"),"--","-"),"--","-")&amp;"-","")</f>
        <v/>
      </c>
      <c r="CI771">
        <f>IFERROR(IF('월 가계부'!A771="","",IF(ISNUMBER('월 가계부'!A771),IF(AND('월 가계부'!A771&gt;=19000101,'월 가계부'!A771&lt;=21001231),IF(AND(MOD(INT('월 가계부'!A771/100),100)&gt;=1,MOD(INT('월 가계부'!A771/100),100)&lt;=12,MOD(INT('월 가계부'!A771),100)&gt;=1,MOD(INT('월 가계부'!A771),100)&lt;=31),IF(MONTH(DATE(INT('월 가계부'!A771/10000),MOD(INT('월 가계부'!A771/100),100),MOD(INT('월 가계부'!A771),100)))=MOD(INT('월 가계부'!A771/100),100),DATE(INT('월 가계부'!A771/10000),MOD(INT('월 가계부'!A771/100),100),MOD(INT('월 가계부'!A771),100)),""),""),IF(AND('월 가계부'!A771&gt;=36526,'월 가계부'!A771&lt;73051),INT('월 가계부'!A771),"")),IF(OR(CM771="",CN771="",CO771=""),"",IF(AND(CM771&gt;=2000,CM771&lt;=2099,CN771&gt;=1,CN771&lt;=12,CO771&gt;=1,CO771&lt;=31),IF(MONTH(DATE(CM771,CN771,CO771))=CN771,DATE(CM771,CN771,CO771),""),"")))),"")</f>
        <v/>
      </c>
      <c r="CJ771">
        <f>IFERROR(IF('월 가계부'!C771="","",IF(ISNUMBER('월 가계부'!C771),'월 가계부'!C771,VALUE(SUBSTITUTE(SUBSTITUTE(SUBSTITUTE(SUBSTITUTE(TRIM('월 가계부'!C771),",",""),"원","")," ",""),"−","-")))),"")</f>
        <v/>
      </c>
      <c r="CK771">
        <f>IF(ISNUMBER(CI771),IF(CI771&lt;$B$13,CI771,""),"")</f>
        <v/>
      </c>
      <c r="CM771">
        <f>IF(CH771="","",IFERROR(IF(IF(AND(LEN(CH771)=9,ISERROR(FIND("-",LEFT(CH771,8))),ISNUMBER(-LEFT(CH771,8))),VALUE(LEFT(CH771,4)),VALUE(LEFT(CH771,FIND("-",CH771)-1)))&lt;100,IF(AND(LEN(CH771)=9,ISERROR(FIND("-",LEFT(CH771,8))),ISNUMBER(-LEFT(CH771,8))),VALUE(LEFT(CH771,4)),VALUE(LEFT(CH771,FIND("-",CH771)-1)))+2000,IF(AND(LEN(CH771)=9,ISERROR(FIND("-",LEFT(CH771,8))),ISNUMBER(-LEFT(CH771,8))),VALUE(LEFT(CH771,4)),VALUE(LEFT(CH771,FIND("-",CH771)-1)))),""))</f>
        <v/>
      </c>
      <c r="CN771">
        <f>IF(CH771="","",IFERROR(IF(AND(LEN(CH771)=9,ISERROR(FIND("-",LEFT(CH771,8))),ISNUMBER(-LEFT(CH771,8))),VALUE(MID(CH771,5,2)),VALUE(MID(CH771,FIND("-",CH771)+1,FIND("-",CH771,FIND("-",CH771)+1)-FIND("-",CH771)-1))),""))</f>
        <v/>
      </c>
      <c r="CO771">
        <f>IF(CH771="","",IFERROR(IF(AND(LEN(CH771)=9,ISERROR(FIND("-",LEFT(CH771,8))),ISNUMBER(-LEFT(CH771,8))),VALUE(MID(CH771,7,2)),VALUE(MID(CH771,FIND("-",CH771,FIND("-",CH771)+1)+1,FIND("-",CH771,FIND("-",CH771,FIND("-",CH771)+1)+1)-FIND("-",CH771,FIND("-",CH771)+1)-1))),""))</f>
        <v/>
      </c>
    </row>
    <row r="772">
      <c r="CH772">
        <f>IF(ISTEXT('월 가계부'!A772),SUBSTITUTE(SUBSTITUTE(SUBSTITUTE(SUBSTITUTE(SUBSTITUTE(SUBSTITUTE(SUBSTITUTE(SUBSTITUTE(SUBSTITUTE(TRIM('월 가계부'!A772),"년","-"),"월","-"),"일",""),".","-"),"/","-")," ","-"),"--","-"),"--","-"),"--","-")&amp;"-","")</f>
        <v/>
      </c>
      <c r="CI772">
        <f>IFERROR(IF('월 가계부'!A772="","",IF(ISNUMBER('월 가계부'!A772),IF(AND('월 가계부'!A772&gt;=19000101,'월 가계부'!A772&lt;=21001231),IF(AND(MOD(INT('월 가계부'!A772/100),100)&gt;=1,MOD(INT('월 가계부'!A772/100),100)&lt;=12,MOD(INT('월 가계부'!A772),100)&gt;=1,MOD(INT('월 가계부'!A772),100)&lt;=31),IF(MONTH(DATE(INT('월 가계부'!A772/10000),MOD(INT('월 가계부'!A772/100),100),MOD(INT('월 가계부'!A772),100)))=MOD(INT('월 가계부'!A772/100),100),DATE(INT('월 가계부'!A772/10000),MOD(INT('월 가계부'!A772/100),100),MOD(INT('월 가계부'!A772),100)),""),""),IF(AND('월 가계부'!A772&gt;=36526,'월 가계부'!A772&lt;73051),INT('월 가계부'!A772),"")),IF(OR(CM772="",CN772="",CO772=""),"",IF(AND(CM772&gt;=2000,CM772&lt;=2099,CN772&gt;=1,CN772&lt;=12,CO772&gt;=1,CO772&lt;=31),IF(MONTH(DATE(CM772,CN772,CO772))=CN772,DATE(CM772,CN772,CO772),""),"")))),"")</f>
        <v/>
      </c>
      <c r="CJ772">
        <f>IFERROR(IF('월 가계부'!C772="","",IF(ISNUMBER('월 가계부'!C772),'월 가계부'!C772,VALUE(SUBSTITUTE(SUBSTITUTE(SUBSTITUTE(SUBSTITUTE(TRIM('월 가계부'!C772),",",""),"원","")," ",""),"−","-")))),"")</f>
        <v/>
      </c>
      <c r="CK772">
        <f>IF(ISNUMBER(CI772),IF(CI772&lt;$B$13,CI772,""),"")</f>
        <v/>
      </c>
      <c r="CM772">
        <f>IF(CH772="","",IFERROR(IF(IF(AND(LEN(CH772)=9,ISERROR(FIND("-",LEFT(CH772,8))),ISNUMBER(-LEFT(CH772,8))),VALUE(LEFT(CH772,4)),VALUE(LEFT(CH772,FIND("-",CH772)-1)))&lt;100,IF(AND(LEN(CH772)=9,ISERROR(FIND("-",LEFT(CH772,8))),ISNUMBER(-LEFT(CH772,8))),VALUE(LEFT(CH772,4)),VALUE(LEFT(CH772,FIND("-",CH772)-1)))+2000,IF(AND(LEN(CH772)=9,ISERROR(FIND("-",LEFT(CH772,8))),ISNUMBER(-LEFT(CH772,8))),VALUE(LEFT(CH772,4)),VALUE(LEFT(CH772,FIND("-",CH772)-1)))),""))</f>
        <v/>
      </c>
      <c r="CN772">
        <f>IF(CH772="","",IFERROR(IF(AND(LEN(CH772)=9,ISERROR(FIND("-",LEFT(CH772,8))),ISNUMBER(-LEFT(CH772,8))),VALUE(MID(CH772,5,2)),VALUE(MID(CH772,FIND("-",CH772)+1,FIND("-",CH772,FIND("-",CH772)+1)-FIND("-",CH772)-1))),""))</f>
        <v/>
      </c>
      <c r="CO772">
        <f>IF(CH772="","",IFERROR(IF(AND(LEN(CH772)=9,ISERROR(FIND("-",LEFT(CH772,8))),ISNUMBER(-LEFT(CH772,8))),VALUE(MID(CH772,7,2)),VALUE(MID(CH772,FIND("-",CH772,FIND("-",CH772)+1)+1,FIND("-",CH772,FIND("-",CH772,FIND("-",CH772)+1)+1)-FIND("-",CH772,FIND("-",CH772)+1)-1))),""))</f>
        <v/>
      </c>
    </row>
    <row r="773">
      <c r="CH773">
        <f>IF(ISTEXT('월 가계부'!A773),SUBSTITUTE(SUBSTITUTE(SUBSTITUTE(SUBSTITUTE(SUBSTITUTE(SUBSTITUTE(SUBSTITUTE(SUBSTITUTE(SUBSTITUTE(TRIM('월 가계부'!A773),"년","-"),"월","-"),"일",""),".","-"),"/","-")," ","-"),"--","-"),"--","-"),"--","-")&amp;"-","")</f>
        <v/>
      </c>
      <c r="CI773">
        <f>IFERROR(IF('월 가계부'!A773="","",IF(ISNUMBER('월 가계부'!A773),IF(AND('월 가계부'!A773&gt;=19000101,'월 가계부'!A773&lt;=21001231),IF(AND(MOD(INT('월 가계부'!A773/100),100)&gt;=1,MOD(INT('월 가계부'!A773/100),100)&lt;=12,MOD(INT('월 가계부'!A773),100)&gt;=1,MOD(INT('월 가계부'!A773),100)&lt;=31),IF(MONTH(DATE(INT('월 가계부'!A773/10000),MOD(INT('월 가계부'!A773/100),100),MOD(INT('월 가계부'!A773),100)))=MOD(INT('월 가계부'!A773/100),100),DATE(INT('월 가계부'!A773/10000),MOD(INT('월 가계부'!A773/100),100),MOD(INT('월 가계부'!A773),100)),""),""),IF(AND('월 가계부'!A773&gt;=36526,'월 가계부'!A773&lt;73051),INT('월 가계부'!A773),"")),IF(OR(CM773="",CN773="",CO773=""),"",IF(AND(CM773&gt;=2000,CM773&lt;=2099,CN773&gt;=1,CN773&lt;=12,CO773&gt;=1,CO773&lt;=31),IF(MONTH(DATE(CM773,CN773,CO773))=CN773,DATE(CM773,CN773,CO773),""),"")))),"")</f>
        <v/>
      </c>
      <c r="CJ773">
        <f>IFERROR(IF('월 가계부'!C773="","",IF(ISNUMBER('월 가계부'!C773),'월 가계부'!C773,VALUE(SUBSTITUTE(SUBSTITUTE(SUBSTITUTE(SUBSTITUTE(TRIM('월 가계부'!C773),",",""),"원","")," ",""),"−","-")))),"")</f>
        <v/>
      </c>
      <c r="CK773">
        <f>IF(ISNUMBER(CI773),IF(CI773&lt;$B$13,CI773,""),"")</f>
        <v/>
      </c>
      <c r="CM773">
        <f>IF(CH773="","",IFERROR(IF(IF(AND(LEN(CH773)=9,ISERROR(FIND("-",LEFT(CH773,8))),ISNUMBER(-LEFT(CH773,8))),VALUE(LEFT(CH773,4)),VALUE(LEFT(CH773,FIND("-",CH773)-1)))&lt;100,IF(AND(LEN(CH773)=9,ISERROR(FIND("-",LEFT(CH773,8))),ISNUMBER(-LEFT(CH773,8))),VALUE(LEFT(CH773,4)),VALUE(LEFT(CH773,FIND("-",CH773)-1)))+2000,IF(AND(LEN(CH773)=9,ISERROR(FIND("-",LEFT(CH773,8))),ISNUMBER(-LEFT(CH773,8))),VALUE(LEFT(CH773,4)),VALUE(LEFT(CH773,FIND("-",CH773)-1)))),""))</f>
        <v/>
      </c>
      <c r="CN773">
        <f>IF(CH773="","",IFERROR(IF(AND(LEN(CH773)=9,ISERROR(FIND("-",LEFT(CH773,8))),ISNUMBER(-LEFT(CH773,8))),VALUE(MID(CH773,5,2)),VALUE(MID(CH773,FIND("-",CH773)+1,FIND("-",CH773,FIND("-",CH773)+1)-FIND("-",CH773)-1))),""))</f>
        <v/>
      </c>
      <c r="CO773">
        <f>IF(CH773="","",IFERROR(IF(AND(LEN(CH773)=9,ISERROR(FIND("-",LEFT(CH773,8))),ISNUMBER(-LEFT(CH773,8))),VALUE(MID(CH773,7,2)),VALUE(MID(CH773,FIND("-",CH773,FIND("-",CH773)+1)+1,FIND("-",CH773,FIND("-",CH773,FIND("-",CH773)+1)+1)-FIND("-",CH773,FIND("-",CH773)+1)-1))),""))</f>
        <v/>
      </c>
    </row>
    <row r="774">
      <c r="CH774">
        <f>IF(ISTEXT('월 가계부'!A774),SUBSTITUTE(SUBSTITUTE(SUBSTITUTE(SUBSTITUTE(SUBSTITUTE(SUBSTITUTE(SUBSTITUTE(SUBSTITUTE(SUBSTITUTE(TRIM('월 가계부'!A774),"년","-"),"월","-"),"일",""),".","-"),"/","-")," ","-"),"--","-"),"--","-"),"--","-")&amp;"-","")</f>
        <v/>
      </c>
      <c r="CI774">
        <f>IFERROR(IF('월 가계부'!A774="","",IF(ISNUMBER('월 가계부'!A774),IF(AND('월 가계부'!A774&gt;=19000101,'월 가계부'!A774&lt;=21001231),IF(AND(MOD(INT('월 가계부'!A774/100),100)&gt;=1,MOD(INT('월 가계부'!A774/100),100)&lt;=12,MOD(INT('월 가계부'!A774),100)&gt;=1,MOD(INT('월 가계부'!A774),100)&lt;=31),IF(MONTH(DATE(INT('월 가계부'!A774/10000),MOD(INT('월 가계부'!A774/100),100),MOD(INT('월 가계부'!A774),100)))=MOD(INT('월 가계부'!A774/100),100),DATE(INT('월 가계부'!A774/10000),MOD(INT('월 가계부'!A774/100),100),MOD(INT('월 가계부'!A774),100)),""),""),IF(AND('월 가계부'!A774&gt;=36526,'월 가계부'!A774&lt;73051),INT('월 가계부'!A774),"")),IF(OR(CM774="",CN774="",CO774=""),"",IF(AND(CM774&gt;=2000,CM774&lt;=2099,CN774&gt;=1,CN774&lt;=12,CO774&gt;=1,CO774&lt;=31),IF(MONTH(DATE(CM774,CN774,CO774))=CN774,DATE(CM774,CN774,CO774),""),"")))),"")</f>
        <v/>
      </c>
      <c r="CJ774">
        <f>IFERROR(IF('월 가계부'!C774="","",IF(ISNUMBER('월 가계부'!C774),'월 가계부'!C774,VALUE(SUBSTITUTE(SUBSTITUTE(SUBSTITUTE(SUBSTITUTE(TRIM('월 가계부'!C774),",",""),"원","")," ",""),"−","-")))),"")</f>
        <v/>
      </c>
      <c r="CK774">
        <f>IF(ISNUMBER(CI774),IF(CI774&lt;$B$13,CI774,""),"")</f>
        <v/>
      </c>
      <c r="CM774">
        <f>IF(CH774="","",IFERROR(IF(IF(AND(LEN(CH774)=9,ISERROR(FIND("-",LEFT(CH774,8))),ISNUMBER(-LEFT(CH774,8))),VALUE(LEFT(CH774,4)),VALUE(LEFT(CH774,FIND("-",CH774)-1)))&lt;100,IF(AND(LEN(CH774)=9,ISERROR(FIND("-",LEFT(CH774,8))),ISNUMBER(-LEFT(CH774,8))),VALUE(LEFT(CH774,4)),VALUE(LEFT(CH774,FIND("-",CH774)-1)))+2000,IF(AND(LEN(CH774)=9,ISERROR(FIND("-",LEFT(CH774,8))),ISNUMBER(-LEFT(CH774,8))),VALUE(LEFT(CH774,4)),VALUE(LEFT(CH774,FIND("-",CH774)-1)))),""))</f>
        <v/>
      </c>
      <c r="CN774">
        <f>IF(CH774="","",IFERROR(IF(AND(LEN(CH774)=9,ISERROR(FIND("-",LEFT(CH774,8))),ISNUMBER(-LEFT(CH774,8))),VALUE(MID(CH774,5,2)),VALUE(MID(CH774,FIND("-",CH774)+1,FIND("-",CH774,FIND("-",CH774)+1)-FIND("-",CH774)-1))),""))</f>
        <v/>
      </c>
      <c r="CO774">
        <f>IF(CH774="","",IFERROR(IF(AND(LEN(CH774)=9,ISERROR(FIND("-",LEFT(CH774,8))),ISNUMBER(-LEFT(CH774,8))),VALUE(MID(CH774,7,2)),VALUE(MID(CH774,FIND("-",CH774,FIND("-",CH774)+1)+1,FIND("-",CH774,FIND("-",CH774,FIND("-",CH774)+1)+1)-FIND("-",CH774,FIND("-",CH774)+1)-1))),""))</f>
        <v/>
      </c>
    </row>
    <row r="775">
      <c r="CH775">
        <f>IF(ISTEXT('월 가계부'!A775),SUBSTITUTE(SUBSTITUTE(SUBSTITUTE(SUBSTITUTE(SUBSTITUTE(SUBSTITUTE(SUBSTITUTE(SUBSTITUTE(SUBSTITUTE(TRIM('월 가계부'!A775),"년","-"),"월","-"),"일",""),".","-"),"/","-")," ","-"),"--","-"),"--","-"),"--","-")&amp;"-","")</f>
        <v/>
      </c>
      <c r="CI775">
        <f>IFERROR(IF('월 가계부'!A775="","",IF(ISNUMBER('월 가계부'!A775),IF(AND('월 가계부'!A775&gt;=19000101,'월 가계부'!A775&lt;=21001231),IF(AND(MOD(INT('월 가계부'!A775/100),100)&gt;=1,MOD(INT('월 가계부'!A775/100),100)&lt;=12,MOD(INT('월 가계부'!A775),100)&gt;=1,MOD(INT('월 가계부'!A775),100)&lt;=31),IF(MONTH(DATE(INT('월 가계부'!A775/10000),MOD(INT('월 가계부'!A775/100),100),MOD(INT('월 가계부'!A775),100)))=MOD(INT('월 가계부'!A775/100),100),DATE(INT('월 가계부'!A775/10000),MOD(INT('월 가계부'!A775/100),100),MOD(INT('월 가계부'!A775),100)),""),""),IF(AND('월 가계부'!A775&gt;=36526,'월 가계부'!A775&lt;73051),INT('월 가계부'!A775),"")),IF(OR(CM775="",CN775="",CO775=""),"",IF(AND(CM775&gt;=2000,CM775&lt;=2099,CN775&gt;=1,CN775&lt;=12,CO775&gt;=1,CO775&lt;=31),IF(MONTH(DATE(CM775,CN775,CO775))=CN775,DATE(CM775,CN775,CO775),""),"")))),"")</f>
        <v/>
      </c>
      <c r="CJ775">
        <f>IFERROR(IF('월 가계부'!C775="","",IF(ISNUMBER('월 가계부'!C775),'월 가계부'!C775,VALUE(SUBSTITUTE(SUBSTITUTE(SUBSTITUTE(SUBSTITUTE(TRIM('월 가계부'!C775),",",""),"원","")," ",""),"−","-")))),"")</f>
        <v/>
      </c>
      <c r="CK775">
        <f>IF(ISNUMBER(CI775),IF(CI775&lt;$B$13,CI775,""),"")</f>
        <v/>
      </c>
      <c r="CM775">
        <f>IF(CH775="","",IFERROR(IF(IF(AND(LEN(CH775)=9,ISERROR(FIND("-",LEFT(CH775,8))),ISNUMBER(-LEFT(CH775,8))),VALUE(LEFT(CH775,4)),VALUE(LEFT(CH775,FIND("-",CH775)-1)))&lt;100,IF(AND(LEN(CH775)=9,ISERROR(FIND("-",LEFT(CH775,8))),ISNUMBER(-LEFT(CH775,8))),VALUE(LEFT(CH775,4)),VALUE(LEFT(CH775,FIND("-",CH775)-1)))+2000,IF(AND(LEN(CH775)=9,ISERROR(FIND("-",LEFT(CH775,8))),ISNUMBER(-LEFT(CH775,8))),VALUE(LEFT(CH775,4)),VALUE(LEFT(CH775,FIND("-",CH775)-1)))),""))</f>
        <v/>
      </c>
      <c r="CN775">
        <f>IF(CH775="","",IFERROR(IF(AND(LEN(CH775)=9,ISERROR(FIND("-",LEFT(CH775,8))),ISNUMBER(-LEFT(CH775,8))),VALUE(MID(CH775,5,2)),VALUE(MID(CH775,FIND("-",CH775)+1,FIND("-",CH775,FIND("-",CH775)+1)-FIND("-",CH775)-1))),""))</f>
        <v/>
      </c>
      <c r="CO775">
        <f>IF(CH775="","",IFERROR(IF(AND(LEN(CH775)=9,ISERROR(FIND("-",LEFT(CH775,8))),ISNUMBER(-LEFT(CH775,8))),VALUE(MID(CH775,7,2)),VALUE(MID(CH775,FIND("-",CH775,FIND("-",CH775)+1)+1,FIND("-",CH775,FIND("-",CH775,FIND("-",CH775)+1)+1)-FIND("-",CH775,FIND("-",CH775)+1)-1))),""))</f>
        <v/>
      </c>
    </row>
    <row r="776">
      <c r="CH776">
        <f>IF(ISTEXT('월 가계부'!A776),SUBSTITUTE(SUBSTITUTE(SUBSTITUTE(SUBSTITUTE(SUBSTITUTE(SUBSTITUTE(SUBSTITUTE(SUBSTITUTE(SUBSTITUTE(TRIM('월 가계부'!A776),"년","-"),"월","-"),"일",""),".","-"),"/","-")," ","-"),"--","-"),"--","-"),"--","-")&amp;"-","")</f>
        <v/>
      </c>
      <c r="CI776">
        <f>IFERROR(IF('월 가계부'!A776="","",IF(ISNUMBER('월 가계부'!A776),IF(AND('월 가계부'!A776&gt;=19000101,'월 가계부'!A776&lt;=21001231),IF(AND(MOD(INT('월 가계부'!A776/100),100)&gt;=1,MOD(INT('월 가계부'!A776/100),100)&lt;=12,MOD(INT('월 가계부'!A776),100)&gt;=1,MOD(INT('월 가계부'!A776),100)&lt;=31),IF(MONTH(DATE(INT('월 가계부'!A776/10000),MOD(INT('월 가계부'!A776/100),100),MOD(INT('월 가계부'!A776),100)))=MOD(INT('월 가계부'!A776/100),100),DATE(INT('월 가계부'!A776/10000),MOD(INT('월 가계부'!A776/100),100),MOD(INT('월 가계부'!A776),100)),""),""),IF(AND('월 가계부'!A776&gt;=36526,'월 가계부'!A776&lt;73051),INT('월 가계부'!A776),"")),IF(OR(CM776="",CN776="",CO776=""),"",IF(AND(CM776&gt;=2000,CM776&lt;=2099,CN776&gt;=1,CN776&lt;=12,CO776&gt;=1,CO776&lt;=31),IF(MONTH(DATE(CM776,CN776,CO776))=CN776,DATE(CM776,CN776,CO776),""),"")))),"")</f>
        <v/>
      </c>
      <c r="CJ776">
        <f>IFERROR(IF('월 가계부'!C776="","",IF(ISNUMBER('월 가계부'!C776),'월 가계부'!C776,VALUE(SUBSTITUTE(SUBSTITUTE(SUBSTITUTE(SUBSTITUTE(TRIM('월 가계부'!C776),",",""),"원","")," ",""),"−","-")))),"")</f>
        <v/>
      </c>
      <c r="CK776">
        <f>IF(ISNUMBER(CI776),IF(CI776&lt;$B$13,CI776,""),"")</f>
        <v/>
      </c>
      <c r="CM776">
        <f>IF(CH776="","",IFERROR(IF(IF(AND(LEN(CH776)=9,ISERROR(FIND("-",LEFT(CH776,8))),ISNUMBER(-LEFT(CH776,8))),VALUE(LEFT(CH776,4)),VALUE(LEFT(CH776,FIND("-",CH776)-1)))&lt;100,IF(AND(LEN(CH776)=9,ISERROR(FIND("-",LEFT(CH776,8))),ISNUMBER(-LEFT(CH776,8))),VALUE(LEFT(CH776,4)),VALUE(LEFT(CH776,FIND("-",CH776)-1)))+2000,IF(AND(LEN(CH776)=9,ISERROR(FIND("-",LEFT(CH776,8))),ISNUMBER(-LEFT(CH776,8))),VALUE(LEFT(CH776,4)),VALUE(LEFT(CH776,FIND("-",CH776)-1)))),""))</f>
        <v/>
      </c>
      <c r="CN776">
        <f>IF(CH776="","",IFERROR(IF(AND(LEN(CH776)=9,ISERROR(FIND("-",LEFT(CH776,8))),ISNUMBER(-LEFT(CH776,8))),VALUE(MID(CH776,5,2)),VALUE(MID(CH776,FIND("-",CH776)+1,FIND("-",CH776,FIND("-",CH776)+1)-FIND("-",CH776)-1))),""))</f>
        <v/>
      </c>
      <c r="CO776">
        <f>IF(CH776="","",IFERROR(IF(AND(LEN(CH776)=9,ISERROR(FIND("-",LEFT(CH776,8))),ISNUMBER(-LEFT(CH776,8))),VALUE(MID(CH776,7,2)),VALUE(MID(CH776,FIND("-",CH776,FIND("-",CH776)+1)+1,FIND("-",CH776,FIND("-",CH776,FIND("-",CH776)+1)+1)-FIND("-",CH776,FIND("-",CH776)+1)-1))),""))</f>
        <v/>
      </c>
    </row>
    <row r="777">
      <c r="CH777">
        <f>IF(ISTEXT('월 가계부'!A777),SUBSTITUTE(SUBSTITUTE(SUBSTITUTE(SUBSTITUTE(SUBSTITUTE(SUBSTITUTE(SUBSTITUTE(SUBSTITUTE(SUBSTITUTE(TRIM('월 가계부'!A777),"년","-"),"월","-"),"일",""),".","-"),"/","-")," ","-"),"--","-"),"--","-"),"--","-")&amp;"-","")</f>
        <v/>
      </c>
      <c r="CI777">
        <f>IFERROR(IF('월 가계부'!A777="","",IF(ISNUMBER('월 가계부'!A777),IF(AND('월 가계부'!A777&gt;=19000101,'월 가계부'!A777&lt;=21001231),IF(AND(MOD(INT('월 가계부'!A777/100),100)&gt;=1,MOD(INT('월 가계부'!A777/100),100)&lt;=12,MOD(INT('월 가계부'!A777),100)&gt;=1,MOD(INT('월 가계부'!A777),100)&lt;=31),IF(MONTH(DATE(INT('월 가계부'!A777/10000),MOD(INT('월 가계부'!A777/100),100),MOD(INT('월 가계부'!A777),100)))=MOD(INT('월 가계부'!A777/100),100),DATE(INT('월 가계부'!A777/10000),MOD(INT('월 가계부'!A777/100),100),MOD(INT('월 가계부'!A777),100)),""),""),IF(AND('월 가계부'!A777&gt;=36526,'월 가계부'!A777&lt;73051),INT('월 가계부'!A777),"")),IF(OR(CM777="",CN777="",CO777=""),"",IF(AND(CM777&gt;=2000,CM777&lt;=2099,CN777&gt;=1,CN777&lt;=12,CO777&gt;=1,CO777&lt;=31),IF(MONTH(DATE(CM777,CN777,CO777))=CN777,DATE(CM777,CN777,CO777),""),"")))),"")</f>
        <v/>
      </c>
      <c r="CJ777">
        <f>IFERROR(IF('월 가계부'!C777="","",IF(ISNUMBER('월 가계부'!C777),'월 가계부'!C777,VALUE(SUBSTITUTE(SUBSTITUTE(SUBSTITUTE(SUBSTITUTE(TRIM('월 가계부'!C777),",",""),"원","")," ",""),"−","-")))),"")</f>
        <v/>
      </c>
      <c r="CK777">
        <f>IF(ISNUMBER(CI777),IF(CI777&lt;$B$13,CI777,""),"")</f>
        <v/>
      </c>
      <c r="CM777">
        <f>IF(CH777="","",IFERROR(IF(IF(AND(LEN(CH777)=9,ISERROR(FIND("-",LEFT(CH777,8))),ISNUMBER(-LEFT(CH777,8))),VALUE(LEFT(CH777,4)),VALUE(LEFT(CH777,FIND("-",CH777)-1)))&lt;100,IF(AND(LEN(CH777)=9,ISERROR(FIND("-",LEFT(CH777,8))),ISNUMBER(-LEFT(CH777,8))),VALUE(LEFT(CH777,4)),VALUE(LEFT(CH777,FIND("-",CH777)-1)))+2000,IF(AND(LEN(CH777)=9,ISERROR(FIND("-",LEFT(CH777,8))),ISNUMBER(-LEFT(CH777,8))),VALUE(LEFT(CH777,4)),VALUE(LEFT(CH777,FIND("-",CH777)-1)))),""))</f>
        <v/>
      </c>
      <c r="CN777">
        <f>IF(CH777="","",IFERROR(IF(AND(LEN(CH777)=9,ISERROR(FIND("-",LEFT(CH777,8))),ISNUMBER(-LEFT(CH777,8))),VALUE(MID(CH777,5,2)),VALUE(MID(CH777,FIND("-",CH777)+1,FIND("-",CH777,FIND("-",CH777)+1)-FIND("-",CH777)-1))),""))</f>
        <v/>
      </c>
      <c r="CO777">
        <f>IF(CH777="","",IFERROR(IF(AND(LEN(CH777)=9,ISERROR(FIND("-",LEFT(CH777,8))),ISNUMBER(-LEFT(CH777,8))),VALUE(MID(CH777,7,2)),VALUE(MID(CH777,FIND("-",CH777,FIND("-",CH777)+1)+1,FIND("-",CH777,FIND("-",CH777,FIND("-",CH777)+1)+1)-FIND("-",CH777,FIND("-",CH777)+1)-1))),""))</f>
        <v/>
      </c>
    </row>
    <row r="778">
      <c r="CH778">
        <f>IF(ISTEXT('월 가계부'!A778),SUBSTITUTE(SUBSTITUTE(SUBSTITUTE(SUBSTITUTE(SUBSTITUTE(SUBSTITUTE(SUBSTITUTE(SUBSTITUTE(SUBSTITUTE(TRIM('월 가계부'!A778),"년","-"),"월","-"),"일",""),".","-"),"/","-")," ","-"),"--","-"),"--","-"),"--","-")&amp;"-","")</f>
        <v/>
      </c>
      <c r="CI778">
        <f>IFERROR(IF('월 가계부'!A778="","",IF(ISNUMBER('월 가계부'!A778),IF(AND('월 가계부'!A778&gt;=19000101,'월 가계부'!A778&lt;=21001231),IF(AND(MOD(INT('월 가계부'!A778/100),100)&gt;=1,MOD(INT('월 가계부'!A778/100),100)&lt;=12,MOD(INT('월 가계부'!A778),100)&gt;=1,MOD(INT('월 가계부'!A778),100)&lt;=31),IF(MONTH(DATE(INT('월 가계부'!A778/10000),MOD(INT('월 가계부'!A778/100),100),MOD(INT('월 가계부'!A778),100)))=MOD(INT('월 가계부'!A778/100),100),DATE(INT('월 가계부'!A778/10000),MOD(INT('월 가계부'!A778/100),100),MOD(INT('월 가계부'!A778),100)),""),""),IF(AND('월 가계부'!A778&gt;=36526,'월 가계부'!A778&lt;73051),INT('월 가계부'!A778),"")),IF(OR(CM778="",CN778="",CO778=""),"",IF(AND(CM778&gt;=2000,CM778&lt;=2099,CN778&gt;=1,CN778&lt;=12,CO778&gt;=1,CO778&lt;=31),IF(MONTH(DATE(CM778,CN778,CO778))=CN778,DATE(CM778,CN778,CO778),""),"")))),"")</f>
        <v/>
      </c>
      <c r="CJ778">
        <f>IFERROR(IF('월 가계부'!C778="","",IF(ISNUMBER('월 가계부'!C778),'월 가계부'!C778,VALUE(SUBSTITUTE(SUBSTITUTE(SUBSTITUTE(SUBSTITUTE(TRIM('월 가계부'!C778),",",""),"원","")," ",""),"−","-")))),"")</f>
        <v/>
      </c>
      <c r="CK778">
        <f>IF(ISNUMBER(CI778),IF(CI778&lt;$B$13,CI778,""),"")</f>
        <v/>
      </c>
      <c r="CM778">
        <f>IF(CH778="","",IFERROR(IF(IF(AND(LEN(CH778)=9,ISERROR(FIND("-",LEFT(CH778,8))),ISNUMBER(-LEFT(CH778,8))),VALUE(LEFT(CH778,4)),VALUE(LEFT(CH778,FIND("-",CH778)-1)))&lt;100,IF(AND(LEN(CH778)=9,ISERROR(FIND("-",LEFT(CH778,8))),ISNUMBER(-LEFT(CH778,8))),VALUE(LEFT(CH778,4)),VALUE(LEFT(CH778,FIND("-",CH778)-1)))+2000,IF(AND(LEN(CH778)=9,ISERROR(FIND("-",LEFT(CH778,8))),ISNUMBER(-LEFT(CH778,8))),VALUE(LEFT(CH778,4)),VALUE(LEFT(CH778,FIND("-",CH778)-1)))),""))</f>
        <v/>
      </c>
      <c r="CN778">
        <f>IF(CH778="","",IFERROR(IF(AND(LEN(CH778)=9,ISERROR(FIND("-",LEFT(CH778,8))),ISNUMBER(-LEFT(CH778,8))),VALUE(MID(CH778,5,2)),VALUE(MID(CH778,FIND("-",CH778)+1,FIND("-",CH778,FIND("-",CH778)+1)-FIND("-",CH778)-1))),""))</f>
        <v/>
      </c>
      <c r="CO778">
        <f>IF(CH778="","",IFERROR(IF(AND(LEN(CH778)=9,ISERROR(FIND("-",LEFT(CH778,8))),ISNUMBER(-LEFT(CH778,8))),VALUE(MID(CH778,7,2)),VALUE(MID(CH778,FIND("-",CH778,FIND("-",CH778)+1)+1,FIND("-",CH778,FIND("-",CH778,FIND("-",CH778)+1)+1)-FIND("-",CH778,FIND("-",CH778)+1)-1))),""))</f>
        <v/>
      </c>
    </row>
    <row r="779">
      <c r="CH779">
        <f>IF(ISTEXT('월 가계부'!A779),SUBSTITUTE(SUBSTITUTE(SUBSTITUTE(SUBSTITUTE(SUBSTITUTE(SUBSTITUTE(SUBSTITUTE(SUBSTITUTE(SUBSTITUTE(TRIM('월 가계부'!A779),"년","-"),"월","-"),"일",""),".","-"),"/","-")," ","-"),"--","-"),"--","-"),"--","-")&amp;"-","")</f>
        <v/>
      </c>
      <c r="CI779">
        <f>IFERROR(IF('월 가계부'!A779="","",IF(ISNUMBER('월 가계부'!A779),IF(AND('월 가계부'!A779&gt;=19000101,'월 가계부'!A779&lt;=21001231),IF(AND(MOD(INT('월 가계부'!A779/100),100)&gt;=1,MOD(INT('월 가계부'!A779/100),100)&lt;=12,MOD(INT('월 가계부'!A779),100)&gt;=1,MOD(INT('월 가계부'!A779),100)&lt;=31),IF(MONTH(DATE(INT('월 가계부'!A779/10000),MOD(INT('월 가계부'!A779/100),100),MOD(INT('월 가계부'!A779),100)))=MOD(INT('월 가계부'!A779/100),100),DATE(INT('월 가계부'!A779/10000),MOD(INT('월 가계부'!A779/100),100),MOD(INT('월 가계부'!A779),100)),""),""),IF(AND('월 가계부'!A779&gt;=36526,'월 가계부'!A779&lt;73051),INT('월 가계부'!A779),"")),IF(OR(CM779="",CN779="",CO779=""),"",IF(AND(CM779&gt;=2000,CM779&lt;=2099,CN779&gt;=1,CN779&lt;=12,CO779&gt;=1,CO779&lt;=31),IF(MONTH(DATE(CM779,CN779,CO779))=CN779,DATE(CM779,CN779,CO779),""),"")))),"")</f>
        <v/>
      </c>
      <c r="CJ779">
        <f>IFERROR(IF('월 가계부'!C779="","",IF(ISNUMBER('월 가계부'!C779),'월 가계부'!C779,VALUE(SUBSTITUTE(SUBSTITUTE(SUBSTITUTE(SUBSTITUTE(TRIM('월 가계부'!C779),",",""),"원","")," ",""),"−","-")))),"")</f>
        <v/>
      </c>
      <c r="CK779">
        <f>IF(ISNUMBER(CI779),IF(CI779&lt;$B$13,CI779,""),"")</f>
        <v/>
      </c>
      <c r="CM779">
        <f>IF(CH779="","",IFERROR(IF(IF(AND(LEN(CH779)=9,ISERROR(FIND("-",LEFT(CH779,8))),ISNUMBER(-LEFT(CH779,8))),VALUE(LEFT(CH779,4)),VALUE(LEFT(CH779,FIND("-",CH779)-1)))&lt;100,IF(AND(LEN(CH779)=9,ISERROR(FIND("-",LEFT(CH779,8))),ISNUMBER(-LEFT(CH779,8))),VALUE(LEFT(CH779,4)),VALUE(LEFT(CH779,FIND("-",CH779)-1)))+2000,IF(AND(LEN(CH779)=9,ISERROR(FIND("-",LEFT(CH779,8))),ISNUMBER(-LEFT(CH779,8))),VALUE(LEFT(CH779,4)),VALUE(LEFT(CH779,FIND("-",CH779)-1)))),""))</f>
        <v/>
      </c>
      <c r="CN779">
        <f>IF(CH779="","",IFERROR(IF(AND(LEN(CH779)=9,ISERROR(FIND("-",LEFT(CH779,8))),ISNUMBER(-LEFT(CH779,8))),VALUE(MID(CH779,5,2)),VALUE(MID(CH779,FIND("-",CH779)+1,FIND("-",CH779,FIND("-",CH779)+1)-FIND("-",CH779)-1))),""))</f>
        <v/>
      </c>
      <c r="CO779">
        <f>IF(CH779="","",IFERROR(IF(AND(LEN(CH779)=9,ISERROR(FIND("-",LEFT(CH779,8))),ISNUMBER(-LEFT(CH779,8))),VALUE(MID(CH779,7,2)),VALUE(MID(CH779,FIND("-",CH779,FIND("-",CH779)+1)+1,FIND("-",CH779,FIND("-",CH779,FIND("-",CH779)+1)+1)-FIND("-",CH779,FIND("-",CH779)+1)-1))),""))</f>
        <v/>
      </c>
    </row>
    <row r="780">
      <c r="CH780">
        <f>IF(ISTEXT('월 가계부'!A780),SUBSTITUTE(SUBSTITUTE(SUBSTITUTE(SUBSTITUTE(SUBSTITUTE(SUBSTITUTE(SUBSTITUTE(SUBSTITUTE(SUBSTITUTE(TRIM('월 가계부'!A780),"년","-"),"월","-"),"일",""),".","-"),"/","-")," ","-"),"--","-"),"--","-"),"--","-")&amp;"-","")</f>
        <v/>
      </c>
      <c r="CI780">
        <f>IFERROR(IF('월 가계부'!A780="","",IF(ISNUMBER('월 가계부'!A780),IF(AND('월 가계부'!A780&gt;=19000101,'월 가계부'!A780&lt;=21001231),IF(AND(MOD(INT('월 가계부'!A780/100),100)&gt;=1,MOD(INT('월 가계부'!A780/100),100)&lt;=12,MOD(INT('월 가계부'!A780),100)&gt;=1,MOD(INT('월 가계부'!A780),100)&lt;=31),IF(MONTH(DATE(INT('월 가계부'!A780/10000),MOD(INT('월 가계부'!A780/100),100),MOD(INT('월 가계부'!A780),100)))=MOD(INT('월 가계부'!A780/100),100),DATE(INT('월 가계부'!A780/10000),MOD(INT('월 가계부'!A780/100),100),MOD(INT('월 가계부'!A780),100)),""),""),IF(AND('월 가계부'!A780&gt;=36526,'월 가계부'!A780&lt;73051),INT('월 가계부'!A780),"")),IF(OR(CM780="",CN780="",CO780=""),"",IF(AND(CM780&gt;=2000,CM780&lt;=2099,CN780&gt;=1,CN780&lt;=12,CO780&gt;=1,CO780&lt;=31),IF(MONTH(DATE(CM780,CN780,CO780))=CN780,DATE(CM780,CN780,CO780),""),"")))),"")</f>
        <v/>
      </c>
      <c r="CJ780">
        <f>IFERROR(IF('월 가계부'!C780="","",IF(ISNUMBER('월 가계부'!C780),'월 가계부'!C780,VALUE(SUBSTITUTE(SUBSTITUTE(SUBSTITUTE(SUBSTITUTE(TRIM('월 가계부'!C780),",",""),"원","")," ",""),"−","-")))),"")</f>
        <v/>
      </c>
      <c r="CK780">
        <f>IF(ISNUMBER(CI780),IF(CI780&lt;$B$13,CI780,""),"")</f>
        <v/>
      </c>
      <c r="CM780">
        <f>IF(CH780="","",IFERROR(IF(IF(AND(LEN(CH780)=9,ISERROR(FIND("-",LEFT(CH780,8))),ISNUMBER(-LEFT(CH780,8))),VALUE(LEFT(CH780,4)),VALUE(LEFT(CH780,FIND("-",CH780)-1)))&lt;100,IF(AND(LEN(CH780)=9,ISERROR(FIND("-",LEFT(CH780,8))),ISNUMBER(-LEFT(CH780,8))),VALUE(LEFT(CH780,4)),VALUE(LEFT(CH780,FIND("-",CH780)-1)))+2000,IF(AND(LEN(CH780)=9,ISERROR(FIND("-",LEFT(CH780,8))),ISNUMBER(-LEFT(CH780,8))),VALUE(LEFT(CH780,4)),VALUE(LEFT(CH780,FIND("-",CH780)-1)))),""))</f>
        <v/>
      </c>
      <c r="CN780">
        <f>IF(CH780="","",IFERROR(IF(AND(LEN(CH780)=9,ISERROR(FIND("-",LEFT(CH780,8))),ISNUMBER(-LEFT(CH780,8))),VALUE(MID(CH780,5,2)),VALUE(MID(CH780,FIND("-",CH780)+1,FIND("-",CH780,FIND("-",CH780)+1)-FIND("-",CH780)-1))),""))</f>
        <v/>
      </c>
      <c r="CO780">
        <f>IF(CH780="","",IFERROR(IF(AND(LEN(CH780)=9,ISERROR(FIND("-",LEFT(CH780,8))),ISNUMBER(-LEFT(CH780,8))),VALUE(MID(CH780,7,2)),VALUE(MID(CH780,FIND("-",CH780,FIND("-",CH780)+1)+1,FIND("-",CH780,FIND("-",CH780,FIND("-",CH780)+1)+1)-FIND("-",CH780,FIND("-",CH780)+1)-1))),""))</f>
        <v/>
      </c>
    </row>
    <row r="781">
      <c r="CH781">
        <f>IF(ISTEXT('월 가계부'!A781),SUBSTITUTE(SUBSTITUTE(SUBSTITUTE(SUBSTITUTE(SUBSTITUTE(SUBSTITUTE(SUBSTITUTE(SUBSTITUTE(SUBSTITUTE(TRIM('월 가계부'!A781),"년","-"),"월","-"),"일",""),".","-"),"/","-")," ","-"),"--","-"),"--","-"),"--","-")&amp;"-","")</f>
        <v/>
      </c>
      <c r="CI781">
        <f>IFERROR(IF('월 가계부'!A781="","",IF(ISNUMBER('월 가계부'!A781),IF(AND('월 가계부'!A781&gt;=19000101,'월 가계부'!A781&lt;=21001231),IF(AND(MOD(INT('월 가계부'!A781/100),100)&gt;=1,MOD(INT('월 가계부'!A781/100),100)&lt;=12,MOD(INT('월 가계부'!A781),100)&gt;=1,MOD(INT('월 가계부'!A781),100)&lt;=31),IF(MONTH(DATE(INT('월 가계부'!A781/10000),MOD(INT('월 가계부'!A781/100),100),MOD(INT('월 가계부'!A781),100)))=MOD(INT('월 가계부'!A781/100),100),DATE(INT('월 가계부'!A781/10000),MOD(INT('월 가계부'!A781/100),100),MOD(INT('월 가계부'!A781),100)),""),""),IF(AND('월 가계부'!A781&gt;=36526,'월 가계부'!A781&lt;73051),INT('월 가계부'!A781),"")),IF(OR(CM781="",CN781="",CO781=""),"",IF(AND(CM781&gt;=2000,CM781&lt;=2099,CN781&gt;=1,CN781&lt;=12,CO781&gt;=1,CO781&lt;=31),IF(MONTH(DATE(CM781,CN781,CO781))=CN781,DATE(CM781,CN781,CO781),""),"")))),"")</f>
        <v/>
      </c>
      <c r="CJ781">
        <f>IFERROR(IF('월 가계부'!C781="","",IF(ISNUMBER('월 가계부'!C781),'월 가계부'!C781,VALUE(SUBSTITUTE(SUBSTITUTE(SUBSTITUTE(SUBSTITUTE(TRIM('월 가계부'!C781),",",""),"원","")," ",""),"−","-")))),"")</f>
        <v/>
      </c>
      <c r="CK781">
        <f>IF(ISNUMBER(CI781),IF(CI781&lt;$B$13,CI781,""),"")</f>
        <v/>
      </c>
      <c r="CM781">
        <f>IF(CH781="","",IFERROR(IF(IF(AND(LEN(CH781)=9,ISERROR(FIND("-",LEFT(CH781,8))),ISNUMBER(-LEFT(CH781,8))),VALUE(LEFT(CH781,4)),VALUE(LEFT(CH781,FIND("-",CH781)-1)))&lt;100,IF(AND(LEN(CH781)=9,ISERROR(FIND("-",LEFT(CH781,8))),ISNUMBER(-LEFT(CH781,8))),VALUE(LEFT(CH781,4)),VALUE(LEFT(CH781,FIND("-",CH781)-1)))+2000,IF(AND(LEN(CH781)=9,ISERROR(FIND("-",LEFT(CH781,8))),ISNUMBER(-LEFT(CH781,8))),VALUE(LEFT(CH781,4)),VALUE(LEFT(CH781,FIND("-",CH781)-1)))),""))</f>
        <v/>
      </c>
      <c r="CN781">
        <f>IF(CH781="","",IFERROR(IF(AND(LEN(CH781)=9,ISERROR(FIND("-",LEFT(CH781,8))),ISNUMBER(-LEFT(CH781,8))),VALUE(MID(CH781,5,2)),VALUE(MID(CH781,FIND("-",CH781)+1,FIND("-",CH781,FIND("-",CH781)+1)-FIND("-",CH781)-1))),""))</f>
        <v/>
      </c>
      <c r="CO781">
        <f>IF(CH781="","",IFERROR(IF(AND(LEN(CH781)=9,ISERROR(FIND("-",LEFT(CH781,8))),ISNUMBER(-LEFT(CH781,8))),VALUE(MID(CH781,7,2)),VALUE(MID(CH781,FIND("-",CH781,FIND("-",CH781)+1)+1,FIND("-",CH781,FIND("-",CH781,FIND("-",CH781)+1)+1)-FIND("-",CH781,FIND("-",CH781)+1)-1))),""))</f>
        <v/>
      </c>
    </row>
    <row r="782">
      <c r="CH782">
        <f>IF(ISTEXT('월 가계부'!A782),SUBSTITUTE(SUBSTITUTE(SUBSTITUTE(SUBSTITUTE(SUBSTITUTE(SUBSTITUTE(SUBSTITUTE(SUBSTITUTE(SUBSTITUTE(TRIM('월 가계부'!A782),"년","-"),"월","-"),"일",""),".","-"),"/","-")," ","-"),"--","-"),"--","-"),"--","-")&amp;"-","")</f>
        <v/>
      </c>
      <c r="CI782">
        <f>IFERROR(IF('월 가계부'!A782="","",IF(ISNUMBER('월 가계부'!A782),IF(AND('월 가계부'!A782&gt;=19000101,'월 가계부'!A782&lt;=21001231),IF(AND(MOD(INT('월 가계부'!A782/100),100)&gt;=1,MOD(INT('월 가계부'!A782/100),100)&lt;=12,MOD(INT('월 가계부'!A782),100)&gt;=1,MOD(INT('월 가계부'!A782),100)&lt;=31),IF(MONTH(DATE(INT('월 가계부'!A782/10000),MOD(INT('월 가계부'!A782/100),100),MOD(INT('월 가계부'!A782),100)))=MOD(INT('월 가계부'!A782/100),100),DATE(INT('월 가계부'!A782/10000),MOD(INT('월 가계부'!A782/100),100),MOD(INT('월 가계부'!A782),100)),""),""),IF(AND('월 가계부'!A782&gt;=36526,'월 가계부'!A782&lt;73051),INT('월 가계부'!A782),"")),IF(OR(CM782="",CN782="",CO782=""),"",IF(AND(CM782&gt;=2000,CM782&lt;=2099,CN782&gt;=1,CN782&lt;=12,CO782&gt;=1,CO782&lt;=31),IF(MONTH(DATE(CM782,CN782,CO782))=CN782,DATE(CM782,CN782,CO782),""),"")))),"")</f>
        <v/>
      </c>
      <c r="CJ782">
        <f>IFERROR(IF('월 가계부'!C782="","",IF(ISNUMBER('월 가계부'!C782),'월 가계부'!C782,VALUE(SUBSTITUTE(SUBSTITUTE(SUBSTITUTE(SUBSTITUTE(TRIM('월 가계부'!C782),",",""),"원","")," ",""),"−","-")))),"")</f>
        <v/>
      </c>
      <c r="CK782">
        <f>IF(ISNUMBER(CI782),IF(CI782&lt;$B$13,CI782,""),"")</f>
        <v/>
      </c>
      <c r="CM782">
        <f>IF(CH782="","",IFERROR(IF(IF(AND(LEN(CH782)=9,ISERROR(FIND("-",LEFT(CH782,8))),ISNUMBER(-LEFT(CH782,8))),VALUE(LEFT(CH782,4)),VALUE(LEFT(CH782,FIND("-",CH782)-1)))&lt;100,IF(AND(LEN(CH782)=9,ISERROR(FIND("-",LEFT(CH782,8))),ISNUMBER(-LEFT(CH782,8))),VALUE(LEFT(CH782,4)),VALUE(LEFT(CH782,FIND("-",CH782)-1)))+2000,IF(AND(LEN(CH782)=9,ISERROR(FIND("-",LEFT(CH782,8))),ISNUMBER(-LEFT(CH782,8))),VALUE(LEFT(CH782,4)),VALUE(LEFT(CH782,FIND("-",CH782)-1)))),""))</f>
        <v/>
      </c>
      <c r="CN782">
        <f>IF(CH782="","",IFERROR(IF(AND(LEN(CH782)=9,ISERROR(FIND("-",LEFT(CH782,8))),ISNUMBER(-LEFT(CH782,8))),VALUE(MID(CH782,5,2)),VALUE(MID(CH782,FIND("-",CH782)+1,FIND("-",CH782,FIND("-",CH782)+1)-FIND("-",CH782)-1))),""))</f>
        <v/>
      </c>
      <c r="CO782">
        <f>IF(CH782="","",IFERROR(IF(AND(LEN(CH782)=9,ISERROR(FIND("-",LEFT(CH782,8))),ISNUMBER(-LEFT(CH782,8))),VALUE(MID(CH782,7,2)),VALUE(MID(CH782,FIND("-",CH782,FIND("-",CH782)+1)+1,FIND("-",CH782,FIND("-",CH782,FIND("-",CH782)+1)+1)-FIND("-",CH782,FIND("-",CH782)+1)-1))),""))</f>
        <v/>
      </c>
    </row>
    <row r="783">
      <c r="CH783">
        <f>IF(ISTEXT('월 가계부'!A783),SUBSTITUTE(SUBSTITUTE(SUBSTITUTE(SUBSTITUTE(SUBSTITUTE(SUBSTITUTE(SUBSTITUTE(SUBSTITUTE(SUBSTITUTE(TRIM('월 가계부'!A783),"년","-"),"월","-"),"일",""),".","-"),"/","-")," ","-"),"--","-"),"--","-"),"--","-")&amp;"-","")</f>
        <v/>
      </c>
      <c r="CI783">
        <f>IFERROR(IF('월 가계부'!A783="","",IF(ISNUMBER('월 가계부'!A783),IF(AND('월 가계부'!A783&gt;=19000101,'월 가계부'!A783&lt;=21001231),IF(AND(MOD(INT('월 가계부'!A783/100),100)&gt;=1,MOD(INT('월 가계부'!A783/100),100)&lt;=12,MOD(INT('월 가계부'!A783),100)&gt;=1,MOD(INT('월 가계부'!A783),100)&lt;=31),IF(MONTH(DATE(INT('월 가계부'!A783/10000),MOD(INT('월 가계부'!A783/100),100),MOD(INT('월 가계부'!A783),100)))=MOD(INT('월 가계부'!A783/100),100),DATE(INT('월 가계부'!A783/10000),MOD(INT('월 가계부'!A783/100),100),MOD(INT('월 가계부'!A783),100)),""),""),IF(AND('월 가계부'!A783&gt;=36526,'월 가계부'!A783&lt;73051),INT('월 가계부'!A783),"")),IF(OR(CM783="",CN783="",CO783=""),"",IF(AND(CM783&gt;=2000,CM783&lt;=2099,CN783&gt;=1,CN783&lt;=12,CO783&gt;=1,CO783&lt;=31),IF(MONTH(DATE(CM783,CN783,CO783))=CN783,DATE(CM783,CN783,CO783),""),"")))),"")</f>
        <v/>
      </c>
      <c r="CJ783">
        <f>IFERROR(IF('월 가계부'!C783="","",IF(ISNUMBER('월 가계부'!C783),'월 가계부'!C783,VALUE(SUBSTITUTE(SUBSTITUTE(SUBSTITUTE(SUBSTITUTE(TRIM('월 가계부'!C783),",",""),"원","")," ",""),"−","-")))),"")</f>
        <v/>
      </c>
      <c r="CK783">
        <f>IF(ISNUMBER(CI783),IF(CI783&lt;$B$13,CI783,""),"")</f>
        <v/>
      </c>
      <c r="CM783">
        <f>IF(CH783="","",IFERROR(IF(IF(AND(LEN(CH783)=9,ISERROR(FIND("-",LEFT(CH783,8))),ISNUMBER(-LEFT(CH783,8))),VALUE(LEFT(CH783,4)),VALUE(LEFT(CH783,FIND("-",CH783)-1)))&lt;100,IF(AND(LEN(CH783)=9,ISERROR(FIND("-",LEFT(CH783,8))),ISNUMBER(-LEFT(CH783,8))),VALUE(LEFT(CH783,4)),VALUE(LEFT(CH783,FIND("-",CH783)-1)))+2000,IF(AND(LEN(CH783)=9,ISERROR(FIND("-",LEFT(CH783,8))),ISNUMBER(-LEFT(CH783,8))),VALUE(LEFT(CH783,4)),VALUE(LEFT(CH783,FIND("-",CH783)-1)))),""))</f>
        <v/>
      </c>
      <c r="CN783">
        <f>IF(CH783="","",IFERROR(IF(AND(LEN(CH783)=9,ISERROR(FIND("-",LEFT(CH783,8))),ISNUMBER(-LEFT(CH783,8))),VALUE(MID(CH783,5,2)),VALUE(MID(CH783,FIND("-",CH783)+1,FIND("-",CH783,FIND("-",CH783)+1)-FIND("-",CH783)-1))),""))</f>
        <v/>
      </c>
      <c r="CO783">
        <f>IF(CH783="","",IFERROR(IF(AND(LEN(CH783)=9,ISERROR(FIND("-",LEFT(CH783,8))),ISNUMBER(-LEFT(CH783,8))),VALUE(MID(CH783,7,2)),VALUE(MID(CH783,FIND("-",CH783,FIND("-",CH783)+1)+1,FIND("-",CH783,FIND("-",CH783,FIND("-",CH783)+1)+1)-FIND("-",CH783,FIND("-",CH783)+1)-1))),""))</f>
        <v/>
      </c>
    </row>
    <row r="784">
      <c r="CH784">
        <f>IF(ISTEXT('월 가계부'!A784),SUBSTITUTE(SUBSTITUTE(SUBSTITUTE(SUBSTITUTE(SUBSTITUTE(SUBSTITUTE(SUBSTITUTE(SUBSTITUTE(SUBSTITUTE(TRIM('월 가계부'!A784),"년","-"),"월","-"),"일",""),".","-"),"/","-")," ","-"),"--","-"),"--","-"),"--","-")&amp;"-","")</f>
        <v/>
      </c>
      <c r="CI784">
        <f>IFERROR(IF('월 가계부'!A784="","",IF(ISNUMBER('월 가계부'!A784),IF(AND('월 가계부'!A784&gt;=19000101,'월 가계부'!A784&lt;=21001231),IF(AND(MOD(INT('월 가계부'!A784/100),100)&gt;=1,MOD(INT('월 가계부'!A784/100),100)&lt;=12,MOD(INT('월 가계부'!A784),100)&gt;=1,MOD(INT('월 가계부'!A784),100)&lt;=31),IF(MONTH(DATE(INT('월 가계부'!A784/10000),MOD(INT('월 가계부'!A784/100),100),MOD(INT('월 가계부'!A784),100)))=MOD(INT('월 가계부'!A784/100),100),DATE(INT('월 가계부'!A784/10000),MOD(INT('월 가계부'!A784/100),100),MOD(INT('월 가계부'!A784),100)),""),""),IF(AND('월 가계부'!A784&gt;=36526,'월 가계부'!A784&lt;73051),INT('월 가계부'!A784),"")),IF(OR(CM784="",CN784="",CO784=""),"",IF(AND(CM784&gt;=2000,CM784&lt;=2099,CN784&gt;=1,CN784&lt;=12,CO784&gt;=1,CO784&lt;=31),IF(MONTH(DATE(CM784,CN784,CO784))=CN784,DATE(CM784,CN784,CO784),""),"")))),"")</f>
        <v/>
      </c>
      <c r="CJ784">
        <f>IFERROR(IF('월 가계부'!C784="","",IF(ISNUMBER('월 가계부'!C784),'월 가계부'!C784,VALUE(SUBSTITUTE(SUBSTITUTE(SUBSTITUTE(SUBSTITUTE(TRIM('월 가계부'!C784),",",""),"원","")," ",""),"−","-")))),"")</f>
        <v/>
      </c>
      <c r="CK784">
        <f>IF(ISNUMBER(CI784),IF(CI784&lt;$B$13,CI784,""),"")</f>
        <v/>
      </c>
      <c r="CM784">
        <f>IF(CH784="","",IFERROR(IF(IF(AND(LEN(CH784)=9,ISERROR(FIND("-",LEFT(CH784,8))),ISNUMBER(-LEFT(CH784,8))),VALUE(LEFT(CH784,4)),VALUE(LEFT(CH784,FIND("-",CH784)-1)))&lt;100,IF(AND(LEN(CH784)=9,ISERROR(FIND("-",LEFT(CH784,8))),ISNUMBER(-LEFT(CH784,8))),VALUE(LEFT(CH784,4)),VALUE(LEFT(CH784,FIND("-",CH784)-1)))+2000,IF(AND(LEN(CH784)=9,ISERROR(FIND("-",LEFT(CH784,8))),ISNUMBER(-LEFT(CH784,8))),VALUE(LEFT(CH784,4)),VALUE(LEFT(CH784,FIND("-",CH784)-1)))),""))</f>
        <v/>
      </c>
      <c r="CN784">
        <f>IF(CH784="","",IFERROR(IF(AND(LEN(CH784)=9,ISERROR(FIND("-",LEFT(CH784,8))),ISNUMBER(-LEFT(CH784,8))),VALUE(MID(CH784,5,2)),VALUE(MID(CH784,FIND("-",CH784)+1,FIND("-",CH784,FIND("-",CH784)+1)-FIND("-",CH784)-1))),""))</f>
        <v/>
      </c>
      <c r="CO784">
        <f>IF(CH784="","",IFERROR(IF(AND(LEN(CH784)=9,ISERROR(FIND("-",LEFT(CH784,8))),ISNUMBER(-LEFT(CH784,8))),VALUE(MID(CH784,7,2)),VALUE(MID(CH784,FIND("-",CH784,FIND("-",CH784)+1)+1,FIND("-",CH784,FIND("-",CH784,FIND("-",CH784)+1)+1)-FIND("-",CH784,FIND("-",CH784)+1)-1))),""))</f>
        <v/>
      </c>
    </row>
    <row r="785">
      <c r="CH785">
        <f>IF(ISTEXT('월 가계부'!A785),SUBSTITUTE(SUBSTITUTE(SUBSTITUTE(SUBSTITUTE(SUBSTITUTE(SUBSTITUTE(SUBSTITUTE(SUBSTITUTE(SUBSTITUTE(TRIM('월 가계부'!A785),"년","-"),"월","-"),"일",""),".","-"),"/","-")," ","-"),"--","-"),"--","-"),"--","-")&amp;"-","")</f>
        <v/>
      </c>
      <c r="CI785">
        <f>IFERROR(IF('월 가계부'!A785="","",IF(ISNUMBER('월 가계부'!A785),IF(AND('월 가계부'!A785&gt;=19000101,'월 가계부'!A785&lt;=21001231),IF(AND(MOD(INT('월 가계부'!A785/100),100)&gt;=1,MOD(INT('월 가계부'!A785/100),100)&lt;=12,MOD(INT('월 가계부'!A785),100)&gt;=1,MOD(INT('월 가계부'!A785),100)&lt;=31),IF(MONTH(DATE(INT('월 가계부'!A785/10000),MOD(INT('월 가계부'!A785/100),100),MOD(INT('월 가계부'!A785),100)))=MOD(INT('월 가계부'!A785/100),100),DATE(INT('월 가계부'!A785/10000),MOD(INT('월 가계부'!A785/100),100),MOD(INT('월 가계부'!A785),100)),""),""),IF(AND('월 가계부'!A785&gt;=36526,'월 가계부'!A785&lt;73051),INT('월 가계부'!A785),"")),IF(OR(CM785="",CN785="",CO785=""),"",IF(AND(CM785&gt;=2000,CM785&lt;=2099,CN785&gt;=1,CN785&lt;=12,CO785&gt;=1,CO785&lt;=31),IF(MONTH(DATE(CM785,CN785,CO785))=CN785,DATE(CM785,CN785,CO785),""),"")))),"")</f>
        <v/>
      </c>
      <c r="CJ785">
        <f>IFERROR(IF('월 가계부'!C785="","",IF(ISNUMBER('월 가계부'!C785),'월 가계부'!C785,VALUE(SUBSTITUTE(SUBSTITUTE(SUBSTITUTE(SUBSTITUTE(TRIM('월 가계부'!C785),",",""),"원","")," ",""),"−","-")))),"")</f>
        <v/>
      </c>
      <c r="CK785">
        <f>IF(ISNUMBER(CI785),IF(CI785&lt;$B$13,CI785,""),"")</f>
        <v/>
      </c>
      <c r="CM785">
        <f>IF(CH785="","",IFERROR(IF(IF(AND(LEN(CH785)=9,ISERROR(FIND("-",LEFT(CH785,8))),ISNUMBER(-LEFT(CH785,8))),VALUE(LEFT(CH785,4)),VALUE(LEFT(CH785,FIND("-",CH785)-1)))&lt;100,IF(AND(LEN(CH785)=9,ISERROR(FIND("-",LEFT(CH785,8))),ISNUMBER(-LEFT(CH785,8))),VALUE(LEFT(CH785,4)),VALUE(LEFT(CH785,FIND("-",CH785)-1)))+2000,IF(AND(LEN(CH785)=9,ISERROR(FIND("-",LEFT(CH785,8))),ISNUMBER(-LEFT(CH785,8))),VALUE(LEFT(CH785,4)),VALUE(LEFT(CH785,FIND("-",CH785)-1)))),""))</f>
        <v/>
      </c>
      <c r="CN785">
        <f>IF(CH785="","",IFERROR(IF(AND(LEN(CH785)=9,ISERROR(FIND("-",LEFT(CH785,8))),ISNUMBER(-LEFT(CH785,8))),VALUE(MID(CH785,5,2)),VALUE(MID(CH785,FIND("-",CH785)+1,FIND("-",CH785,FIND("-",CH785)+1)-FIND("-",CH785)-1))),""))</f>
        <v/>
      </c>
      <c r="CO785">
        <f>IF(CH785="","",IFERROR(IF(AND(LEN(CH785)=9,ISERROR(FIND("-",LEFT(CH785,8))),ISNUMBER(-LEFT(CH785,8))),VALUE(MID(CH785,7,2)),VALUE(MID(CH785,FIND("-",CH785,FIND("-",CH785)+1)+1,FIND("-",CH785,FIND("-",CH785,FIND("-",CH785)+1)+1)-FIND("-",CH785,FIND("-",CH785)+1)-1))),""))</f>
        <v/>
      </c>
    </row>
    <row r="786">
      <c r="CH786">
        <f>IF(ISTEXT('월 가계부'!A786),SUBSTITUTE(SUBSTITUTE(SUBSTITUTE(SUBSTITUTE(SUBSTITUTE(SUBSTITUTE(SUBSTITUTE(SUBSTITUTE(SUBSTITUTE(TRIM('월 가계부'!A786),"년","-"),"월","-"),"일",""),".","-"),"/","-")," ","-"),"--","-"),"--","-"),"--","-")&amp;"-","")</f>
        <v/>
      </c>
      <c r="CI786">
        <f>IFERROR(IF('월 가계부'!A786="","",IF(ISNUMBER('월 가계부'!A786),IF(AND('월 가계부'!A786&gt;=19000101,'월 가계부'!A786&lt;=21001231),IF(AND(MOD(INT('월 가계부'!A786/100),100)&gt;=1,MOD(INT('월 가계부'!A786/100),100)&lt;=12,MOD(INT('월 가계부'!A786),100)&gt;=1,MOD(INT('월 가계부'!A786),100)&lt;=31),IF(MONTH(DATE(INT('월 가계부'!A786/10000),MOD(INT('월 가계부'!A786/100),100),MOD(INT('월 가계부'!A786),100)))=MOD(INT('월 가계부'!A786/100),100),DATE(INT('월 가계부'!A786/10000),MOD(INT('월 가계부'!A786/100),100),MOD(INT('월 가계부'!A786),100)),""),""),IF(AND('월 가계부'!A786&gt;=36526,'월 가계부'!A786&lt;73051),INT('월 가계부'!A786),"")),IF(OR(CM786="",CN786="",CO786=""),"",IF(AND(CM786&gt;=2000,CM786&lt;=2099,CN786&gt;=1,CN786&lt;=12,CO786&gt;=1,CO786&lt;=31),IF(MONTH(DATE(CM786,CN786,CO786))=CN786,DATE(CM786,CN786,CO786),""),"")))),"")</f>
        <v/>
      </c>
      <c r="CJ786">
        <f>IFERROR(IF('월 가계부'!C786="","",IF(ISNUMBER('월 가계부'!C786),'월 가계부'!C786,VALUE(SUBSTITUTE(SUBSTITUTE(SUBSTITUTE(SUBSTITUTE(TRIM('월 가계부'!C786),",",""),"원","")," ",""),"−","-")))),"")</f>
        <v/>
      </c>
      <c r="CK786">
        <f>IF(ISNUMBER(CI786),IF(CI786&lt;$B$13,CI786,""),"")</f>
        <v/>
      </c>
      <c r="CM786">
        <f>IF(CH786="","",IFERROR(IF(IF(AND(LEN(CH786)=9,ISERROR(FIND("-",LEFT(CH786,8))),ISNUMBER(-LEFT(CH786,8))),VALUE(LEFT(CH786,4)),VALUE(LEFT(CH786,FIND("-",CH786)-1)))&lt;100,IF(AND(LEN(CH786)=9,ISERROR(FIND("-",LEFT(CH786,8))),ISNUMBER(-LEFT(CH786,8))),VALUE(LEFT(CH786,4)),VALUE(LEFT(CH786,FIND("-",CH786)-1)))+2000,IF(AND(LEN(CH786)=9,ISERROR(FIND("-",LEFT(CH786,8))),ISNUMBER(-LEFT(CH786,8))),VALUE(LEFT(CH786,4)),VALUE(LEFT(CH786,FIND("-",CH786)-1)))),""))</f>
        <v/>
      </c>
      <c r="CN786">
        <f>IF(CH786="","",IFERROR(IF(AND(LEN(CH786)=9,ISERROR(FIND("-",LEFT(CH786,8))),ISNUMBER(-LEFT(CH786,8))),VALUE(MID(CH786,5,2)),VALUE(MID(CH786,FIND("-",CH786)+1,FIND("-",CH786,FIND("-",CH786)+1)-FIND("-",CH786)-1))),""))</f>
        <v/>
      </c>
      <c r="CO786">
        <f>IF(CH786="","",IFERROR(IF(AND(LEN(CH786)=9,ISERROR(FIND("-",LEFT(CH786,8))),ISNUMBER(-LEFT(CH786,8))),VALUE(MID(CH786,7,2)),VALUE(MID(CH786,FIND("-",CH786,FIND("-",CH786)+1)+1,FIND("-",CH786,FIND("-",CH786,FIND("-",CH786)+1)+1)-FIND("-",CH786,FIND("-",CH786)+1)-1))),""))</f>
        <v/>
      </c>
    </row>
    <row r="787">
      <c r="CH787">
        <f>IF(ISTEXT('월 가계부'!A787),SUBSTITUTE(SUBSTITUTE(SUBSTITUTE(SUBSTITUTE(SUBSTITUTE(SUBSTITUTE(SUBSTITUTE(SUBSTITUTE(SUBSTITUTE(TRIM('월 가계부'!A787),"년","-"),"월","-"),"일",""),".","-"),"/","-")," ","-"),"--","-"),"--","-"),"--","-")&amp;"-","")</f>
        <v/>
      </c>
      <c r="CI787">
        <f>IFERROR(IF('월 가계부'!A787="","",IF(ISNUMBER('월 가계부'!A787),IF(AND('월 가계부'!A787&gt;=19000101,'월 가계부'!A787&lt;=21001231),IF(AND(MOD(INT('월 가계부'!A787/100),100)&gt;=1,MOD(INT('월 가계부'!A787/100),100)&lt;=12,MOD(INT('월 가계부'!A787),100)&gt;=1,MOD(INT('월 가계부'!A787),100)&lt;=31),IF(MONTH(DATE(INT('월 가계부'!A787/10000),MOD(INT('월 가계부'!A787/100),100),MOD(INT('월 가계부'!A787),100)))=MOD(INT('월 가계부'!A787/100),100),DATE(INT('월 가계부'!A787/10000),MOD(INT('월 가계부'!A787/100),100),MOD(INT('월 가계부'!A787),100)),""),""),IF(AND('월 가계부'!A787&gt;=36526,'월 가계부'!A787&lt;73051),INT('월 가계부'!A787),"")),IF(OR(CM787="",CN787="",CO787=""),"",IF(AND(CM787&gt;=2000,CM787&lt;=2099,CN787&gt;=1,CN787&lt;=12,CO787&gt;=1,CO787&lt;=31),IF(MONTH(DATE(CM787,CN787,CO787))=CN787,DATE(CM787,CN787,CO787),""),"")))),"")</f>
        <v/>
      </c>
      <c r="CJ787">
        <f>IFERROR(IF('월 가계부'!C787="","",IF(ISNUMBER('월 가계부'!C787),'월 가계부'!C787,VALUE(SUBSTITUTE(SUBSTITUTE(SUBSTITUTE(SUBSTITUTE(TRIM('월 가계부'!C787),",",""),"원","")," ",""),"−","-")))),"")</f>
        <v/>
      </c>
      <c r="CK787">
        <f>IF(ISNUMBER(CI787),IF(CI787&lt;$B$13,CI787,""),"")</f>
        <v/>
      </c>
      <c r="CM787">
        <f>IF(CH787="","",IFERROR(IF(IF(AND(LEN(CH787)=9,ISERROR(FIND("-",LEFT(CH787,8))),ISNUMBER(-LEFT(CH787,8))),VALUE(LEFT(CH787,4)),VALUE(LEFT(CH787,FIND("-",CH787)-1)))&lt;100,IF(AND(LEN(CH787)=9,ISERROR(FIND("-",LEFT(CH787,8))),ISNUMBER(-LEFT(CH787,8))),VALUE(LEFT(CH787,4)),VALUE(LEFT(CH787,FIND("-",CH787)-1)))+2000,IF(AND(LEN(CH787)=9,ISERROR(FIND("-",LEFT(CH787,8))),ISNUMBER(-LEFT(CH787,8))),VALUE(LEFT(CH787,4)),VALUE(LEFT(CH787,FIND("-",CH787)-1)))),""))</f>
        <v/>
      </c>
      <c r="CN787">
        <f>IF(CH787="","",IFERROR(IF(AND(LEN(CH787)=9,ISERROR(FIND("-",LEFT(CH787,8))),ISNUMBER(-LEFT(CH787,8))),VALUE(MID(CH787,5,2)),VALUE(MID(CH787,FIND("-",CH787)+1,FIND("-",CH787,FIND("-",CH787)+1)-FIND("-",CH787)-1))),""))</f>
        <v/>
      </c>
      <c r="CO787">
        <f>IF(CH787="","",IFERROR(IF(AND(LEN(CH787)=9,ISERROR(FIND("-",LEFT(CH787,8))),ISNUMBER(-LEFT(CH787,8))),VALUE(MID(CH787,7,2)),VALUE(MID(CH787,FIND("-",CH787,FIND("-",CH787)+1)+1,FIND("-",CH787,FIND("-",CH787,FIND("-",CH787)+1)+1)-FIND("-",CH787,FIND("-",CH787)+1)-1))),""))</f>
        <v/>
      </c>
    </row>
    <row r="788">
      <c r="CH788">
        <f>IF(ISTEXT('월 가계부'!A788),SUBSTITUTE(SUBSTITUTE(SUBSTITUTE(SUBSTITUTE(SUBSTITUTE(SUBSTITUTE(SUBSTITUTE(SUBSTITUTE(SUBSTITUTE(TRIM('월 가계부'!A788),"년","-"),"월","-"),"일",""),".","-"),"/","-")," ","-"),"--","-"),"--","-"),"--","-")&amp;"-","")</f>
        <v/>
      </c>
      <c r="CI788">
        <f>IFERROR(IF('월 가계부'!A788="","",IF(ISNUMBER('월 가계부'!A788),IF(AND('월 가계부'!A788&gt;=19000101,'월 가계부'!A788&lt;=21001231),IF(AND(MOD(INT('월 가계부'!A788/100),100)&gt;=1,MOD(INT('월 가계부'!A788/100),100)&lt;=12,MOD(INT('월 가계부'!A788),100)&gt;=1,MOD(INT('월 가계부'!A788),100)&lt;=31),IF(MONTH(DATE(INT('월 가계부'!A788/10000),MOD(INT('월 가계부'!A788/100),100),MOD(INT('월 가계부'!A788),100)))=MOD(INT('월 가계부'!A788/100),100),DATE(INT('월 가계부'!A788/10000),MOD(INT('월 가계부'!A788/100),100),MOD(INT('월 가계부'!A788),100)),""),""),IF(AND('월 가계부'!A788&gt;=36526,'월 가계부'!A788&lt;73051),INT('월 가계부'!A788),"")),IF(OR(CM788="",CN788="",CO788=""),"",IF(AND(CM788&gt;=2000,CM788&lt;=2099,CN788&gt;=1,CN788&lt;=12,CO788&gt;=1,CO788&lt;=31),IF(MONTH(DATE(CM788,CN788,CO788))=CN788,DATE(CM788,CN788,CO788),""),"")))),"")</f>
        <v/>
      </c>
      <c r="CJ788">
        <f>IFERROR(IF('월 가계부'!C788="","",IF(ISNUMBER('월 가계부'!C788),'월 가계부'!C788,VALUE(SUBSTITUTE(SUBSTITUTE(SUBSTITUTE(SUBSTITUTE(TRIM('월 가계부'!C788),",",""),"원","")," ",""),"−","-")))),"")</f>
        <v/>
      </c>
      <c r="CK788">
        <f>IF(ISNUMBER(CI788),IF(CI788&lt;$B$13,CI788,""),"")</f>
        <v/>
      </c>
      <c r="CM788">
        <f>IF(CH788="","",IFERROR(IF(IF(AND(LEN(CH788)=9,ISERROR(FIND("-",LEFT(CH788,8))),ISNUMBER(-LEFT(CH788,8))),VALUE(LEFT(CH788,4)),VALUE(LEFT(CH788,FIND("-",CH788)-1)))&lt;100,IF(AND(LEN(CH788)=9,ISERROR(FIND("-",LEFT(CH788,8))),ISNUMBER(-LEFT(CH788,8))),VALUE(LEFT(CH788,4)),VALUE(LEFT(CH788,FIND("-",CH788)-1)))+2000,IF(AND(LEN(CH788)=9,ISERROR(FIND("-",LEFT(CH788,8))),ISNUMBER(-LEFT(CH788,8))),VALUE(LEFT(CH788,4)),VALUE(LEFT(CH788,FIND("-",CH788)-1)))),""))</f>
        <v/>
      </c>
      <c r="CN788">
        <f>IF(CH788="","",IFERROR(IF(AND(LEN(CH788)=9,ISERROR(FIND("-",LEFT(CH788,8))),ISNUMBER(-LEFT(CH788,8))),VALUE(MID(CH788,5,2)),VALUE(MID(CH788,FIND("-",CH788)+1,FIND("-",CH788,FIND("-",CH788)+1)-FIND("-",CH788)-1))),""))</f>
        <v/>
      </c>
      <c r="CO788">
        <f>IF(CH788="","",IFERROR(IF(AND(LEN(CH788)=9,ISERROR(FIND("-",LEFT(CH788,8))),ISNUMBER(-LEFT(CH788,8))),VALUE(MID(CH788,7,2)),VALUE(MID(CH788,FIND("-",CH788,FIND("-",CH788)+1)+1,FIND("-",CH788,FIND("-",CH788,FIND("-",CH788)+1)+1)-FIND("-",CH788,FIND("-",CH788)+1)-1))),""))</f>
        <v/>
      </c>
    </row>
    <row r="789">
      <c r="CH789">
        <f>IF(ISTEXT('월 가계부'!A789),SUBSTITUTE(SUBSTITUTE(SUBSTITUTE(SUBSTITUTE(SUBSTITUTE(SUBSTITUTE(SUBSTITUTE(SUBSTITUTE(SUBSTITUTE(TRIM('월 가계부'!A789),"년","-"),"월","-"),"일",""),".","-"),"/","-")," ","-"),"--","-"),"--","-"),"--","-")&amp;"-","")</f>
        <v/>
      </c>
      <c r="CI789">
        <f>IFERROR(IF('월 가계부'!A789="","",IF(ISNUMBER('월 가계부'!A789),IF(AND('월 가계부'!A789&gt;=19000101,'월 가계부'!A789&lt;=21001231),IF(AND(MOD(INT('월 가계부'!A789/100),100)&gt;=1,MOD(INT('월 가계부'!A789/100),100)&lt;=12,MOD(INT('월 가계부'!A789),100)&gt;=1,MOD(INT('월 가계부'!A789),100)&lt;=31),IF(MONTH(DATE(INT('월 가계부'!A789/10000),MOD(INT('월 가계부'!A789/100),100),MOD(INT('월 가계부'!A789),100)))=MOD(INT('월 가계부'!A789/100),100),DATE(INT('월 가계부'!A789/10000),MOD(INT('월 가계부'!A789/100),100),MOD(INT('월 가계부'!A789),100)),""),""),IF(AND('월 가계부'!A789&gt;=36526,'월 가계부'!A789&lt;73051),INT('월 가계부'!A789),"")),IF(OR(CM789="",CN789="",CO789=""),"",IF(AND(CM789&gt;=2000,CM789&lt;=2099,CN789&gt;=1,CN789&lt;=12,CO789&gt;=1,CO789&lt;=31),IF(MONTH(DATE(CM789,CN789,CO789))=CN789,DATE(CM789,CN789,CO789),""),"")))),"")</f>
        <v/>
      </c>
      <c r="CJ789">
        <f>IFERROR(IF('월 가계부'!C789="","",IF(ISNUMBER('월 가계부'!C789),'월 가계부'!C789,VALUE(SUBSTITUTE(SUBSTITUTE(SUBSTITUTE(SUBSTITUTE(TRIM('월 가계부'!C789),",",""),"원","")," ",""),"−","-")))),"")</f>
        <v/>
      </c>
      <c r="CK789">
        <f>IF(ISNUMBER(CI789),IF(CI789&lt;$B$13,CI789,""),"")</f>
        <v/>
      </c>
      <c r="CM789">
        <f>IF(CH789="","",IFERROR(IF(IF(AND(LEN(CH789)=9,ISERROR(FIND("-",LEFT(CH789,8))),ISNUMBER(-LEFT(CH789,8))),VALUE(LEFT(CH789,4)),VALUE(LEFT(CH789,FIND("-",CH789)-1)))&lt;100,IF(AND(LEN(CH789)=9,ISERROR(FIND("-",LEFT(CH789,8))),ISNUMBER(-LEFT(CH789,8))),VALUE(LEFT(CH789,4)),VALUE(LEFT(CH789,FIND("-",CH789)-1)))+2000,IF(AND(LEN(CH789)=9,ISERROR(FIND("-",LEFT(CH789,8))),ISNUMBER(-LEFT(CH789,8))),VALUE(LEFT(CH789,4)),VALUE(LEFT(CH789,FIND("-",CH789)-1)))),""))</f>
        <v/>
      </c>
      <c r="CN789">
        <f>IF(CH789="","",IFERROR(IF(AND(LEN(CH789)=9,ISERROR(FIND("-",LEFT(CH789,8))),ISNUMBER(-LEFT(CH789,8))),VALUE(MID(CH789,5,2)),VALUE(MID(CH789,FIND("-",CH789)+1,FIND("-",CH789,FIND("-",CH789)+1)-FIND("-",CH789)-1))),""))</f>
        <v/>
      </c>
      <c r="CO789">
        <f>IF(CH789="","",IFERROR(IF(AND(LEN(CH789)=9,ISERROR(FIND("-",LEFT(CH789,8))),ISNUMBER(-LEFT(CH789,8))),VALUE(MID(CH789,7,2)),VALUE(MID(CH789,FIND("-",CH789,FIND("-",CH789)+1)+1,FIND("-",CH789,FIND("-",CH789,FIND("-",CH789)+1)+1)-FIND("-",CH789,FIND("-",CH789)+1)-1))),""))</f>
        <v/>
      </c>
    </row>
    <row r="790">
      <c r="CH790">
        <f>IF(ISTEXT('월 가계부'!A790),SUBSTITUTE(SUBSTITUTE(SUBSTITUTE(SUBSTITUTE(SUBSTITUTE(SUBSTITUTE(SUBSTITUTE(SUBSTITUTE(SUBSTITUTE(TRIM('월 가계부'!A790),"년","-"),"월","-"),"일",""),".","-"),"/","-")," ","-"),"--","-"),"--","-"),"--","-")&amp;"-","")</f>
        <v/>
      </c>
      <c r="CI790">
        <f>IFERROR(IF('월 가계부'!A790="","",IF(ISNUMBER('월 가계부'!A790),IF(AND('월 가계부'!A790&gt;=19000101,'월 가계부'!A790&lt;=21001231),IF(AND(MOD(INT('월 가계부'!A790/100),100)&gt;=1,MOD(INT('월 가계부'!A790/100),100)&lt;=12,MOD(INT('월 가계부'!A790),100)&gt;=1,MOD(INT('월 가계부'!A790),100)&lt;=31),IF(MONTH(DATE(INT('월 가계부'!A790/10000),MOD(INT('월 가계부'!A790/100),100),MOD(INT('월 가계부'!A790),100)))=MOD(INT('월 가계부'!A790/100),100),DATE(INT('월 가계부'!A790/10000),MOD(INT('월 가계부'!A790/100),100),MOD(INT('월 가계부'!A790),100)),""),""),IF(AND('월 가계부'!A790&gt;=36526,'월 가계부'!A790&lt;73051),INT('월 가계부'!A790),"")),IF(OR(CM790="",CN790="",CO790=""),"",IF(AND(CM790&gt;=2000,CM790&lt;=2099,CN790&gt;=1,CN790&lt;=12,CO790&gt;=1,CO790&lt;=31),IF(MONTH(DATE(CM790,CN790,CO790))=CN790,DATE(CM790,CN790,CO790),""),"")))),"")</f>
        <v/>
      </c>
      <c r="CJ790">
        <f>IFERROR(IF('월 가계부'!C790="","",IF(ISNUMBER('월 가계부'!C790),'월 가계부'!C790,VALUE(SUBSTITUTE(SUBSTITUTE(SUBSTITUTE(SUBSTITUTE(TRIM('월 가계부'!C790),",",""),"원","")," ",""),"−","-")))),"")</f>
        <v/>
      </c>
      <c r="CK790">
        <f>IF(ISNUMBER(CI790),IF(CI790&lt;$B$13,CI790,""),"")</f>
        <v/>
      </c>
      <c r="CM790">
        <f>IF(CH790="","",IFERROR(IF(IF(AND(LEN(CH790)=9,ISERROR(FIND("-",LEFT(CH790,8))),ISNUMBER(-LEFT(CH790,8))),VALUE(LEFT(CH790,4)),VALUE(LEFT(CH790,FIND("-",CH790)-1)))&lt;100,IF(AND(LEN(CH790)=9,ISERROR(FIND("-",LEFT(CH790,8))),ISNUMBER(-LEFT(CH790,8))),VALUE(LEFT(CH790,4)),VALUE(LEFT(CH790,FIND("-",CH790)-1)))+2000,IF(AND(LEN(CH790)=9,ISERROR(FIND("-",LEFT(CH790,8))),ISNUMBER(-LEFT(CH790,8))),VALUE(LEFT(CH790,4)),VALUE(LEFT(CH790,FIND("-",CH790)-1)))),""))</f>
        <v/>
      </c>
      <c r="CN790">
        <f>IF(CH790="","",IFERROR(IF(AND(LEN(CH790)=9,ISERROR(FIND("-",LEFT(CH790,8))),ISNUMBER(-LEFT(CH790,8))),VALUE(MID(CH790,5,2)),VALUE(MID(CH790,FIND("-",CH790)+1,FIND("-",CH790,FIND("-",CH790)+1)-FIND("-",CH790)-1))),""))</f>
        <v/>
      </c>
      <c r="CO790">
        <f>IF(CH790="","",IFERROR(IF(AND(LEN(CH790)=9,ISERROR(FIND("-",LEFT(CH790,8))),ISNUMBER(-LEFT(CH790,8))),VALUE(MID(CH790,7,2)),VALUE(MID(CH790,FIND("-",CH790,FIND("-",CH790)+1)+1,FIND("-",CH790,FIND("-",CH790,FIND("-",CH790)+1)+1)-FIND("-",CH790,FIND("-",CH790)+1)-1))),""))</f>
        <v/>
      </c>
    </row>
    <row r="791">
      <c r="CH791">
        <f>IF(ISTEXT('월 가계부'!A791),SUBSTITUTE(SUBSTITUTE(SUBSTITUTE(SUBSTITUTE(SUBSTITUTE(SUBSTITUTE(SUBSTITUTE(SUBSTITUTE(SUBSTITUTE(TRIM('월 가계부'!A791),"년","-"),"월","-"),"일",""),".","-"),"/","-")," ","-"),"--","-"),"--","-"),"--","-")&amp;"-","")</f>
        <v/>
      </c>
      <c r="CI791">
        <f>IFERROR(IF('월 가계부'!A791="","",IF(ISNUMBER('월 가계부'!A791),IF(AND('월 가계부'!A791&gt;=19000101,'월 가계부'!A791&lt;=21001231),IF(AND(MOD(INT('월 가계부'!A791/100),100)&gt;=1,MOD(INT('월 가계부'!A791/100),100)&lt;=12,MOD(INT('월 가계부'!A791),100)&gt;=1,MOD(INT('월 가계부'!A791),100)&lt;=31),IF(MONTH(DATE(INT('월 가계부'!A791/10000),MOD(INT('월 가계부'!A791/100),100),MOD(INT('월 가계부'!A791),100)))=MOD(INT('월 가계부'!A791/100),100),DATE(INT('월 가계부'!A791/10000),MOD(INT('월 가계부'!A791/100),100),MOD(INT('월 가계부'!A791),100)),""),""),IF(AND('월 가계부'!A791&gt;=36526,'월 가계부'!A791&lt;73051),INT('월 가계부'!A791),"")),IF(OR(CM791="",CN791="",CO791=""),"",IF(AND(CM791&gt;=2000,CM791&lt;=2099,CN791&gt;=1,CN791&lt;=12,CO791&gt;=1,CO791&lt;=31),IF(MONTH(DATE(CM791,CN791,CO791))=CN791,DATE(CM791,CN791,CO791),""),"")))),"")</f>
        <v/>
      </c>
      <c r="CJ791">
        <f>IFERROR(IF('월 가계부'!C791="","",IF(ISNUMBER('월 가계부'!C791),'월 가계부'!C791,VALUE(SUBSTITUTE(SUBSTITUTE(SUBSTITUTE(SUBSTITUTE(TRIM('월 가계부'!C791),",",""),"원","")," ",""),"−","-")))),"")</f>
        <v/>
      </c>
      <c r="CK791">
        <f>IF(ISNUMBER(CI791),IF(CI791&lt;$B$13,CI791,""),"")</f>
        <v/>
      </c>
      <c r="CM791">
        <f>IF(CH791="","",IFERROR(IF(IF(AND(LEN(CH791)=9,ISERROR(FIND("-",LEFT(CH791,8))),ISNUMBER(-LEFT(CH791,8))),VALUE(LEFT(CH791,4)),VALUE(LEFT(CH791,FIND("-",CH791)-1)))&lt;100,IF(AND(LEN(CH791)=9,ISERROR(FIND("-",LEFT(CH791,8))),ISNUMBER(-LEFT(CH791,8))),VALUE(LEFT(CH791,4)),VALUE(LEFT(CH791,FIND("-",CH791)-1)))+2000,IF(AND(LEN(CH791)=9,ISERROR(FIND("-",LEFT(CH791,8))),ISNUMBER(-LEFT(CH791,8))),VALUE(LEFT(CH791,4)),VALUE(LEFT(CH791,FIND("-",CH791)-1)))),""))</f>
        <v/>
      </c>
      <c r="CN791">
        <f>IF(CH791="","",IFERROR(IF(AND(LEN(CH791)=9,ISERROR(FIND("-",LEFT(CH791,8))),ISNUMBER(-LEFT(CH791,8))),VALUE(MID(CH791,5,2)),VALUE(MID(CH791,FIND("-",CH791)+1,FIND("-",CH791,FIND("-",CH791)+1)-FIND("-",CH791)-1))),""))</f>
        <v/>
      </c>
      <c r="CO791">
        <f>IF(CH791="","",IFERROR(IF(AND(LEN(CH791)=9,ISERROR(FIND("-",LEFT(CH791,8))),ISNUMBER(-LEFT(CH791,8))),VALUE(MID(CH791,7,2)),VALUE(MID(CH791,FIND("-",CH791,FIND("-",CH791)+1)+1,FIND("-",CH791,FIND("-",CH791,FIND("-",CH791)+1)+1)-FIND("-",CH791,FIND("-",CH791)+1)-1))),""))</f>
        <v/>
      </c>
    </row>
    <row r="792">
      <c r="CH792">
        <f>IF(ISTEXT('월 가계부'!A792),SUBSTITUTE(SUBSTITUTE(SUBSTITUTE(SUBSTITUTE(SUBSTITUTE(SUBSTITUTE(SUBSTITUTE(SUBSTITUTE(SUBSTITUTE(TRIM('월 가계부'!A792),"년","-"),"월","-"),"일",""),".","-"),"/","-")," ","-"),"--","-"),"--","-"),"--","-")&amp;"-","")</f>
        <v/>
      </c>
      <c r="CI792">
        <f>IFERROR(IF('월 가계부'!A792="","",IF(ISNUMBER('월 가계부'!A792),IF(AND('월 가계부'!A792&gt;=19000101,'월 가계부'!A792&lt;=21001231),IF(AND(MOD(INT('월 가계부'!A792/100),100)&gt;=1,MOD(INT('월 가계부'!A792/100),100)&lt;=12,MOD(INT('월 가계부'!A792),100)&gt;=1,MOD(INT('월 가계부'!A792),100)&lt;=31),IF(MONTH(DATE(INT('월 가계부'!A792/10000),MOD(INT('월 가계부'!A792/100),100),MOD(INT('월 가계부'!A792),100)))=MOD(INT('월 가계부'!A792/100),100),DATE(INT('월 가계부'!A792/10000),MOD(INT('월 가계부'!A792/100),100),MOD(INT('월 가계부'!A792),100)),""),""),IF(AND('월 가계부'!A792&gt;=36526,'월 가계부'!A792&lt;73051),INT('월 가계부'!A792),"")),IF(OR(CM792="",CN792="",CO792=""),"",IF(AND(CM792&gt;=2000,CM792&lt;=2099,CN792&gt;=1,CN792&lt;=12,CO792&gt;=1,CO792&lt;=31),IF(MONTH(DATE(CM792,CN792,CO792))=CN792,DATE(CM792,CN792,CO792),""),"")))),"")</f>
        <v/>
      </c>
      <c r="CJ792">
        <f>IFERROR(IF('월 가계부'!C792="","",IF(ISNUMBER('월 가계부'!C792),'월 가계부'!C792,VALUE(SUBSTITUTE(SUBSTITUTE(SUBSTITUTE(SUBSTITUTE(TRIM('월 가계부'!C792),",",""),"원","")," ",""),"−","-")))),"")</f>
        <v/>
      </c>
      <c r="CK792">
        <f>IF(ISNUMBER(CI792),IF(CI792&lt;$B$13,CI792,""),"")</f>
        <v/>
      </c>
      <c r="CM792">
        <f>IF(CH792="","",IFERROR(IF(IF(AND(LEN(CH792)=9,ISERROR(FIND("-",LEFT(CH792,8))),ISNUMBER(-LEFT(CH792,8))),VALUE(LEFT(CH792,4)),VALUE(LEFT(CH792,FIND("-",CH792)-1)))&lt;100,IF(AND(LEN(CH792)=9,ISERROR(FIND("-",LEFT(CH792,8))),ISNUMBER(-LEFT(CH792,8))),VALUE(LEFT(CH792,4)),VALUE(LEFT(CH792,FIND("-",CH792)-1)))+2000,IF(AND(LEN(CH792)=9,ISERROR(FIND("-",LEFT(CH792,8))),ISNUMBER(-LEFT(CH792,8))),VALUE(LEFT(CH792,4)),VALUE(LEFT(CH792,FIND("-",CH792)-1)))),""))</f>
        <v/>
      </c>
      <c r="CN792">
        <f>IF(CH792="","",IFERROR(IF(AND(LEN(CH792)=9,ISERROR(FIND("-",LEFT(CH792,8))),ISNUMBER(-LEFT(CH792,8))),VALUE(MID(CH792,5,2)),VALUE(MID(CH792,FIND("-",CH792)+1,FIND("-",CH792,FIND("-",CH792)+1)-FIND("-",CH792)-1))),""))</f>
        <v/>
      </c>
      <c r="CO792">
        <f>IF(CH792="","",IFERROR(IF(AND(LEN(CH792)=9,ISERROR(FIND("-",LEFT(CH792,8))),ISNUMBER(-LEFT(CH792,8))),VALUE(MID(CH792,7,2)),VALUE(MID(CH792,FIND("-",CH792,FIND("-",CH792)+1)+1,FIND("-",CH792,FIND("-",CH792,FIND("-",CH792)+1)+1)-FIND("-",CH792,FIND("-",CH792)+1)-1))),""))</f>
        <v/>
      </c>
    </row>
    <row r="793">
      <c r="CH793">
        <f>IF(ISTEXT('월 가계부'!A793),SUBSTITUTE(SUBSTITUTE(SUBSTITUTE(SUBSTITUTE(SUBSTITUTE(SUBSTITUTE(SUBSTITUTE(SUBSTITUTE(SUBSTITUTE(TRIM('월 가계부'!A793),"년","-"),"월","-"),"일",""),".","-"),"/","-")," ","-"),"--","-"),"--","-"),"--","-")&amp;"-","")</f>
        <v/>
      </c>
      <c r="CI793">
        <f>IFERROR(IF('월 가계부'!A793="","",IF(ISNUMBER('월 가계부'!A793),IF(AND('월 가계부'!A793&gt;=19000101,'월 가계부'!A793&lt;=21001231),IF(AND(MOD(INT('월 가계부'!A793/100),100)&gt;=1,MOD(INT('월 가계부'!A793/100),100)&lt;=12,MOD(INT('월 가계부'!A793),100)&gt;=1,MOD(INT('월 가계부'!A793),100)&lt;=31),IF(MONTH(DATE(INT('월 가계부'!A793/10000),MOD(INT('월 가계부'!A793/100),100),MOD(INT('월 가계부'!A793),100)))=MOD(INT('월 가계부'!A793/100),100),DATE(INT('월 가계부'!A793/10000),MOD(INT('월 가계부'!A793/100),100),MOD(INT('월 가계부'!A793),100)),""),""),IF(AND('월 가계부'!A793&gt;=36526,'월 가계부'!A793&lt;73051),INT('월 가계부'!A793),"")),IF(OR(CM793="",CN793="",CO793=""),"",IF(AND(CM793&gt;=2000,CM793&lt;=2099,CN793&gt;=1,CN793&lt;=12,CO793&gt;=1,CO793&lt;=31),IF(MONTH(DATE(CM793,CN793,CO793))=CN793,DATE(CM793,CN793,CO793),""),"")))),"")</f>
        <v/>
      </c>
      <c r="CJ793">
        <f>IFERROR(IF('월 가계부'!C793="","",IF(ISNUMBER('월 가계부'!C793),'월 가계부'!C793,VALUE(SUBSTITUTE(SUBSTITUTE(SUBSTITUTE(SUBSTITUTE(TRIM('월 가계부'!C793),",",""),"원","")," ",""),"−","-")))),"")</f>
        <v/>
      </c>
      <c r="CK793">
        <f>IF(ISNUMBER(CI793),IF(CI793&lt;$B$13,CI793,""),"")</f>
        <v/>
      </c>
      <c r="CM793">
        <f>IF(CH793="","",IFERROR(IF(IF(AND(LEN(CH793)=9,ISERROR(FIND("-",LEFT(CH793,8))),ISNUMBER(-LEFT(CH793,8))),VALUE(LEFT(CH793,4)),VALUE(LEFT(CH793,FIND("-",CH793)-1)))&lt;100,IF(AND(LEN(CH793)=9,ISERROR(FIND("-",LEFT(CH793,8))),ISNUMBER(-LEFT(CH793,8))),VALUE(LEFT(CH793,4)),VALUE(LEFT(CH793,FIND("-",CH793)-1)))+2000,IF(AND(LEN(CH793)=9,ISERROR(FIND("-",LEFT(CH793,8))),ISNUMBER(-LEFT(CH793,8))),VALUE(LEFT(CH793,4)),VALUE(LEFT(CH793,FIND("-",CH793)-1)))),""))</f>
        <v/>
      </c>
      <c r="CN793">
        <f>IF(CH793="","",IFERROR(IF(AND(LEN(CH793)=9,ISERROR(FIND("-",LEFT(CH793,8))),ISNUMBER(-LEFT(CH793,8))),VALUE(MID(CH793,5,2)),VALUE(MID(CH793,FIND("-",CH793)+1,FIND("-",CH793,FIND("-",CH793)+1)-FIND("-",CH793)-1))),""))</f>
        <v/>
      </c>
      <c r="CO793">
        <f>IF(CH793="","",IFERROR(IF(AND(LEN(CH793)=9,ISERROR(FIND("-",LEFT(CH793,8))),ISNUMBER(-LEFT(CH793,8))),VALUE(MID(CH793,7,2)),VALUE(MID(CH793,FIND("-",CH793,FIND("-",CH793)+1)+1,FIND("-",CH793,FIND("-",CH793,FIND("-",CH793)+1)+1)-FIND("-",CH793,FIND("-",CH793)+1)-1))),""))</f>
        <v/>
      </c>
    </row>
    <row r="794">
      <c r="CH794">
        <f>IF(ISTEXT('월 가계부'!A794),SUBSTITUTE(SUBSTITUTE(SUBSTITUTE(SUBSTITUTE(SUBSTITUTE(SUBSTITUTE(SUBSTITUTE(SUBSTITUTE(SUBSTITUTE(TRIM('월 가계부'!A794),"년","-"),"월","-"),"일",""),".","-"),"/","-")," ","-"),"--","-"),"--","-"),"--","-")&amp;"-","")</f>
        <v/>
      </c>
      <c r="CI794">
        <f>IFERROR(IF('월 가계부'!A794="","",IF(ISNUMBER('월 가계부'!A794),IF(AND('월 가계부'!A794&gt;=19000101,'월 가계부'!A794&lt;=21001231),IF(AND(MOD(INT('월 가계부'!A794/100),100)&gt;=1,MOD(INT('월 가계부'!A794/100),100)&lt;=12,MOD(INT('월 가계부'!A794),100)&gt;=1,MOD(INT('월 가계부'!A794),100)&lt;=31),IF(MONTH(DATE(INT('월 가계부'!A794/10000),MOD(INT('월 가계부'!A794/100),100),MOD(INT('월 가계부'!A794),100)))=MOD(INT('월 가계부'!A794/100),100),DATE(INT('월 가계부'!A794/10000),MOD(INT('월 가계부'!A794/100),100),MOD(INT('월 가계부'!A794),100)),""),""),IF(AND('월 가계부'!A794&gt;=36526,'월 가계부'!A794&lt;73051),INT('월 가계부'!A794),"")),IF(OR(CM794="",CN794="",CO794=""),"",IF(AND(CM794&gt;=2000,CM794&lt;=2099,CN794&gt;=1,CN794&lt;=12,CO794&gt;=1,CO794&lt;=31),IF(MONTH(DATE(CM794,CN794,CO794))=CN794,DATE(CM794,CN794,CO794),""),"")))),"")</f>
        <v/>
      </c>
      <c r="CJ794">
        <f>IFERROR(IF('월 가계부'!C794="","",IF(ISNUMBER('월 가계부'!C794),'월 가계부'!C794,VALUE(SUBSTITUTE(SUBSTITUTE(SUBSTITUTE(SUBSTITUTE(TRIM('월 가계부'!C794),",",""),"원","")," ",""),"−","-")))),"")</f>
        <v/>
      </c>
      <c r="CK794">
        <f>IF(ISNUMBER(CI794),IF(CI794&lt;$B$13,CI794,""),"")</f>
        <v/>
      </c>
      <c r="CM794">
        <f>IF(CH794="","",IFERROR(IF(IF(AND(LEN(CH794)=9,ISERROR(FIND("-",LEFT(CH794,8))),ISNUMBER(-LEFT(CH794,8))),VALUE(LEFT(CH794,4)),VALUE(LEFT(CH794,FIND("-",CH794)-1)))&lt;100,IF(AND(LEN(CH794)=9,ISERROR(FIND("-",LEFT(CH794,8))),ISNUMBER(-LEFT(CH794,8))),VALUE(LEFT(CH794,4)),VALUE(LEFT(CH794,FIND("-",CH794)-1)))+2000,IF(AND(LEN(CH794)=9,ISERROR(FIND("-",LEFT(CH794,8))),ISNUMBER(-LEFT(CH794,8))),VALUE(LEFT(CH794,4)),VALUE(LEFT(CH794,FIND("-",CH794)-1)))),""))</f>
        <v/>
      </c>
      <c r="CN794">
        <f>IF(CH794="","",IFERROR(IF(AND(LEN(CH794)=9,ISERROR(FIND("-",LEFT(CH794,8))),ISNUMBER(-LEFT(CH794,8))),VALUE(MID(CH794,5,2)),VALUE(MID(CH794,FIND("-",CH794)+1,FIND("-",CH794,FIND("-",CH794)+1)-FIND("-",CH794)-1))),""))</f>
        <v/>
      </c>
      <c r="CO794">
        <f>IF(CH794="","",IFERROR(IF(AND(LEN(CH794)=9,ISERROR(FIND("-",LEFT(CH794,8))),ISNUMBER(-LEFT(CH794,8))),VALUE(MID(CH794,7,2)),VALUE(MID(CH794,FIND("-",CH794,FIND("-",CH794)+1)+1,FIND("-",CH794,FIND("-",CH794,FIND("-",CH794)+1)+1)-FIND("-",CH794,FIND("-",CH794)+1)-1))),""))</f>
        <v/>
      </c>
    </row>
    <row r="795">
      <c r="CH795">
        <f>IF(ISTEXT('월 가계부'!A795),SUBSTITUTE(SUBSTITUTE(SUBSTITUTE(SUBSTITUTE(SUBSTITUTE(SUBSTITUTE(SUBSTITUTE(SUBSTITUTE(SUBSTITUTE(TRIM('월 가계부'!A795),"년","-"),"월","-"),"일",""),".","-"),"/","-")," ","-"),"--","-"),"--","-"),"--","-")&amp;"-","")</f>
        <v/>
      </c>
      <c r="CI795">
        <f>IFERROR(IF('월 가계부'!A795="","",IF(ISNUMBER('월 가계부'!A795),IF(AND('월 가계부'!A795&gt;=19000101,'월 가계부'!A795&lt;=21001231),IF(AND(MOD(INT('월 가계부'!A795/100),100)&gt;=1,MOD(INT('월 가계부'!A795/100),100)&lt;=12,MOD(INT('월 가계부'!A795),100)&gt;=1,MOD(INT('월 가계부'!A795),100)&lt;=31),IF(MONTH(DATE(INT('월 가계부'!A795/10000),MOD(INT('월 가계부'!A795/100),100),MOD(INT('월 가계부'!A795),100)))=MOD(INT('월 가계부'!A795/100),100),DATE(INT('월 가계부'!A795/10000),MOD(INT('월 가계부'!A795/100),100),MOD(INT('월 가계부'!A795),100)),""),""),IF(AND('월 가계부'!A795&gt;=36526,'월 가계부'!A795&lt;73051),INT('월 가계부'!A795),"")),IF(OR(CM795="",CN795="",CO795=""),"",IF(AND(CM795&gt;=2000,CM795&lt;=2099,CN795&gt;=1,CN795&lt;=12,CO795&gt;=1,CO795&lt;=31),IF(MONTH(DATE(CM795,CN795,CO795))=CN795,DATE(CM795,CN795,CO795),""),"")))),"")</f>
        <v/>
      </c>
      <c r="CJ795">
        <f>IFERROR(IF('월 가계부'!C795="","",IF(ISNUMBER('월 가계부'!C795),'월 가계부'!C795,VALUE(SUBSTITUTE(SUBSTITUTE(SUBSTITUTE(SUBSTITUTE(TRIM('월 가계부'!C795),",",""),"원","")," ",""),"−","-")))),"")</f>
        <v/>
      </c>
      <c r="CK795">
        <f>IF(ISNUMBER(CI795),IF(CI795&lt;$B$13,CI795,""),"")</f>
        <v/>
      </c>
      <c r="CM795">
        <f>IF(CH795="","",IFERROR(IF(IF(AND(LEN(CH795)=9,ISERROR(FIND("-",LEFT(CH795,8))),ISNUMBER(-LEFT(CH795,8))),VALUE(LEFT(CH795,4)),VALUE(LEFT(CH795,FIND("-",CH795)-1)))&lt;100,IF(AND(LEN(CH795)=9,ISERROR(FIND("-",LEFT(CH795,8))),ISNUMBER(-LEFT(CH795,8))),VALUE(LEFT(CH795,4)),VALUE(LEFT(CH795,FIND("-",CH795)-1)))+2000,IF(AND(LEN(CH795)=9,ISERROR(FIND("-",LEFT(CH795,8))),ISNUMBER(-LEFT(CH795,8))),VALUE(LEFT(CH795,4)),VALUE(LEFT(CH795,FIND("-",CH795)-1)))),""))</f>
        <v/>
      </c>
      <c r="CN795">
        <f>IF(CH795="","",IFERROR(IF(AND(LEN(CH795)=9,ISERROR(FIND("-",LEFT(CH795,8))),ISNUMBER(-LEFT(CH795,8))),VALUE(MID(CH795,5,2)),VALUE(MID(CH795,FIND("-",CH795)+1,FIND("-",CH795,FIND("-",CH795)+1)-FIND("-",CH795)-1))),""))</f>
        <v/>
      </c>
      <c r="CO795">
        <f>IF(CH795="","",IFERROR(IF(AND(LEN(CH795)=9,ISERROR(FIND("-",LEFT(CH795,8))),ISNUMBER(-LEFT(CH795,8))),VALUE(MID(CH795,7,2)),VALUE(MID(CH795,FIND("-",CH795,FIND("-",CH795)+1)+1,FIND("-",CH795,FIND("-",CH795,FIND("-",CH795)+1)+1)-FIND("-",CH795,FIND("-",CH795)+1)-1))),""))</f>
        <v/>
      </c>
    </row>
    <row r="796">
      <c r="CH796">
        <f>IF(ISTEXT('월 가계부'!A796),SUBSTITUTE(SUBSTITUTE(SUBSTITUTE(SUBSTITUTE(SUBSTITUTE(SUBSTITUTE(SUBSTITUTE(SUBSTITUTE(SUBSTITUTE(TRIM('월 가계부'!A796),"년","-"),"월","-"),"일",""),".","-"),"/","-")," ","-"),"--","-"),"--","-"),"--","-")&amp;"-","")</f>
        <v/>
      </c>
      <c r="CI796">
        <f>IFERROR(IF('월 가계부'!A796="","",IF(ISNUMBER('월 가계부'!A796),IF(AND('월 가계부'!A796&gt;=19000101,'월 가계부'!A796&lt;=21001231),IF(AND(MOD(INT('월 가계부'!A796/100),100)&gt;=1,MOD(INT('월 가계부'!A796/100),100)&lt;=12,MOD(INT('월 가계부'!A796),100)&gt;=1,MOD(INT('월 가계부'!A796),100)&lt;=31),IF(MONTH(DATE(INT('월 가계부'!A796/10000),MOD(INT('월 가계부'!A796/100),100),MOD(INT('월 가계부'!A796),100)))=MOD(INT('월 가계부'!A796/100),100),DATE(INT('월 가계부'!A796/10000),MOD(INT('월 가계부'!A796/100),100),MOD(INT('월 가계부'!A796),100)),""),""),IF(AND('월 가계부'!A796&gt;=36526,'월 가계부'!A796&lt;73051),INT('월 가계부'!A796),"")),IF(OR(CM796="",CN796="",CO796=""),"",IF(AND(CM796&gt;=2000,CM796&lt;=2099,CN796&gt;=1,CN796&lt;=12,CO796&gt;=1,CO796&lt;=31),IF(MONTH(DATE(CM796,CN796,CO796))=CN796,DATE(CM796,CN796,CO796),""),"")))),"")</f>
        <v/>
      </c>
      <c r="CJ796">
        <f>IFERROR(IF('월 가계부'!C796="","",IF(ISNUMBER('월 가계부'!C796),'월 가계부'!C796,VALUE(SUBSTITUTE(SUBSTITUTE(SUBSTITUTE(SUBSTITUTE(TRIM('월 가계부'!C796),",",""),"원","")," ",""),"−","-")))),"")</f>
        <v/>
      </c>
      <c r="CK796">
        <f>IF(ISNUMBER(CI796),IF(CI796&lt;$B$13,CI796,""),"")</f>
        <v/>
      </c>
      <c r="CM796">
        <f>IF(CH796="","",IFERROR(IF(IF(AND(LEN(CH796)=9,ISERROR(FIND("-",LEFT(CH796,8))),ISNUMBER(-LEFT(CH796,8))),VALUE(LEFT(CH796,4)),VALUE(LEFT(CH796,FIND("-",CH796)-1)))&lt;100,IF(AND(LEN(CH796)=9,ISERROR(FIND("-",LEFT(CH796,8))),ISNUMBER(-LEFT(CH796,8))),VALUE(LEFT(CH796,4)),VALUE(LEFT(CH796,FIND("-",CH796)-1)))+2000,IF(AND(LEN(CH796)=9,ISERROR(FIND("-",LEFT(CH796,8))),ISNUMBER(-LEFT(CH796,8))),VALUE(LEFT(CH796,4)),VALUE(LEFT(CH796,FIND("-",CH796)-1)))),""))</f>
        <v/>
      </c>
      <c r="CN796">
        <f>IF(CH796="","",IFERROR(IF(AND(LEN(CH796)=9,ISERROR(FIND("-",LEFT(CH796,8))),ISNUMBER(-LEFT(CH796,8))),VALUE(MID(CH796,5,2)),VALUE(MID(CH796,FIND("-",CH796)+1,FIND("-",CH796,FIND("-",CH796)+1)-FIND("-",CH796)-1))),""))</f>
        <v/>
      </c>
      <c r="CO796">
        <f>IF(CH796="","",IFERROR(IF(AND(LEN(CH796)=9,ISERROR(FIND("-",LEFT(CH796,8))),ISNUMBER(-LEFT(CH796,8))),VALUE(MID(CH796,7,2)),VALUE(MID(CH796,FIND("-",CH796,FIND("-",CH796)+1)+1,FIND("-",CH796,FIND("-",CH796,FIND("-",CH796)+1)+1)-FIND("-",CH796,FIND("-",CH796)+1)-1))),""))</f>
        <v/>
      </c>
    </row>
    <row r="797">
      <c r="CH797">
        <f>IF(ISTEXT('월 가계부'!A797),SUBSTITUTE(SUBSTITUTE(SUBSTITUTE(SUBSTITUTE(SUBSTITUTE(SUBSTITUTE(SUBSTITUTE(SUBSTITUTE(SUBSTITUTE(TRIM('월 가계부'!A797),"년","-"),"월","-"),"일",""),".","-"),"/","-")," ","-"),"--","-"),"--","-"),"--","-")&amp;"-","")</f>
        <v/>
      </c>
      <c r="CI797">
        <f>IFERROR(IF('월 가계부'!A797="","",IF(ISNUMBER('월 가계부'!A797),IF(AND('월 가계부'!A797&gt;=19000101,'월 가계부'!A797&lt;=21001231),IF(AND(MOD(INT('월 가계부'!A797/100),100)&gt;=1,MOD(INT('월 가계부'!A797/100),100)&lt;=12,MOD(INT('월 가계부'!A797),100)&gt;=1,MOD(INT('월 가계부'!A797),100)&lt;=31),IF(MONTH(DATE(INT('월 가계부'!A797/10000),MOD(INT('월 가계부'!A797/100),100),MOD(INT('월 가계부'!A797),100)))=MOD(INT('월 가계부'!A797/100),100),DATE(INT('월 가계부'!A797/10000),MOD(INT('월 가계부'!A797/100),100),MOD(INT('월 가계부'!A797),100)),""),""),IF(AND('월 가계부'!A797&gt;=36526,'월 가계부'!A797&lt;73051),INT('월 가계부'!A797),"")),IF(OR(CM797="",CN797="",CO797=""),"",IF(AND(CM797&gt;=2000,CM797&lt;=2099,CN797&gt;=1,CN797&lt;=12,CO797&gt;=1,CO797&lt;=31),IF(MONTH(DATE(CM797,CN797,CO797))=CN797,DATE(CM797,CN797,CO797),""),"")))),"")</f>
        <v/>
      </c>
      <c r="CJ797">
        <f>IFERROR(IF('월 가계부'!C797="","",IF(ISNUMBER('월 가계부'!C797),'월 가계부'!C797,VALUE(SUBSTITUTE(SUBSTITUTE(SUBSTITUTE(SUBSTITUTE(TRIM('월 가계부'!C797),",",""),"원","")," ",""),"−","-")))),"")</f>
        <v/>
      </c>
      <c r="CK797">
        <f>IF(ISNUMBER(CI797),IF(CI797&lt;$B$13,CI797,""),"")</f>
        <v/>
      </c>
      <c r="CM797">
        <f>IF(CH797="","",IFERROR(IF(IF(AND(LEN(CH797)=9,ISERROR(FIND("-",LEFT(CH797,8))),ISNUMBER(-LEFT(CH797,8))),VALUE(LEFT(CH797,4)),VALUE(LEFT(CH797,FIND("-",CH797)-1)))&lt;100,IF(AND(LEN(CH797)=9,ISERROR(FIND("-",LEFT(CH797,8))),ISNUMBER(-LEFT(CH797,8))),VALUE(LEFT(CH797,4)),VALUE(LEFT(CH797,FIND("-",CH797)-1)))+2000,IF(AND(LEN(CH797)=9,ISERROR(FIND("-",LEFT(CH797,8))),ISNUMBER(-LEFT(CH797,8))),VALUE(LEFT(CH797,4)),VALUE(LEFT(CH797,FIND("-",CH797)-1)))),""))</f>
        <v/>
      </c>
      <c r="CN797">
        <f>IF(CH797="","",IFERROR(IF(AND(LEN(CH797)=9,ISERROR(FIND("-",LEFT(CH797,8))),ISNUMBER(-LEFT(CH797,8))),VALUE(MID(CH797,5,2)),VALUE(MID(CH797,FIND("-",CH797)+1,FIND("-",CH797,FIND("-",CH797)+1)-FIND("-",CH797)-1))),""))</f>
        <v/>
      </c>
      <c r="CO797">
        <f>IF(CH797="","",IFERROR(IF(AND(LEN(CH797)=9,ISERROR(FIND("-",LEFT(CH797,8))),ISNUMBER(-LEFT(CH797,8))),VALUE(MID(CH797,7,2)),VALUE(MID(CH797,FIND("-",CH797,FIND("-",CH797)+1)+1,FIND("-",CH797,FIND("-",CH797,FIND("-",CH797)+1)+1)-FIND("-",CH797,FIND("-",CH797)+1)-1))),""))</f>
        <v/>
      </c>
    </row>
    <row r="798">
      <c r="CH798">
        <f>IF(ISTEXT('월 가계부'!A798),SUBSTITUTE(SUBSTITUTE(SUBSTITUTE(SUBSTITUTE(SUBSTITUTE(SUBSTITUTE(SUBSTITUTE(SUBSTITUTE(SUBSTITUTE(TRIM('월 가계부'!A798),"년","-"),"월","-"),"일",""),".","-"),"/","-")," ","-"),"--","-"),"--","-"),"--","-")&amp;"-","")</f>
        <v/>
      </c>
      <c r="CI798">
        <f>IFERROR(IF('월 가계부'!A798="","",IF(ISNUMBER('월 가계부'!A798),IF(AND('월 가계부'!A798&gt;=19000101,'월 가계부'!A798&lt;=21001231),IF(AND(MOD(INT('월 가계부'!A798/100),100)&gt;=1,MOD(INT('월 가계부'!A798/100),100)&lt;=12,MOD(INT('월 가계부'!A798),100)&gt;=1,MOD(INT('월 가계부'!A798),100)&lt;=31),IF(MONTH(DATE(INT('월 가계부'!A798/10000),MOD(INT('월 가계부'!A798/100),100),MOD(INT('월 가계부'!A798),100)))=MOD(INT('월 가계부'!A798/100),100),DATE(INT('월 가계부'!A798/10000),MOD(INT('월 가계부'!A798/100),100),MOD(INT('월 가계부'!A798),100)),""),""),IF(AND('월 가계부'!A798&gt;=36526,'월 가계부'!A798&lt;73051),INT('월 가계부'!A798),"")),IF(OR(CM798="",CN798="",CO798=""),"",IF(AND(CM798&gt;=2000,CM798&lt;=2099,CN798&gt;=1,CN798&lt;=12,CO798&gt;=1,CO798&lt;=31),IF(MONTH(DATE(CM798,CN798,CO798))=CN798,DATE(CM798,CN798,CO798),""),"")))),"")</f>
        <v/>
      </c>
      <c r="CJ798">
        <f>IFERROR(IF('월 가계부'!C798="","",IF(ISNUMBER('월 가계부'!C798),'월 가계부'!C798,VALUE(SUBSTITUTE(SUBSTITUTE(SUBSTITUTE(SUBSTITUTE(TRIM('월 가계부'!C798),",",""),"원","")," ",""),"−","-")))),"")</f>
        <v/>
      </c>
      <c r="CK798">
        <f>IF(ISNUMBER(CI798),IF(CI798&lt;$B$13,CI798,""),"")</f>
        <v/>
      </c>
      <c r="CM798">
        <f>IF(CH798="","",IFERROR(IF(IF(AND(LEN(CH798)=9,ISERROR(FIND("-",LEFT(CH798,8))),ISNUMBER(-LEFT(CH798,8))),VALUE(LEFT(CH798,4)),VALUE(LEFT(CH798,FIND("-",CH798)-1)))&lt;100,IF(AND(LEN(CH798)=9,ISERROR(FIND("-",LEFT(CH798,8))),ISNUMBER(-LEFT(CH798,8))),VALUE(LEFT(CH798,4)),VALUE(LEFT(CH798,FIND("-",CH798)-1)))+2000,IF(AND(LEN(CH798)=9,ISERROR(FIND("-",LEFT(CH798,8))),ISNUMBER(-LEFT(CH798,8))),VALUE(LEFT(CH798,4)),VALUE(LEFT(CH798,FIND("-",CH798)-1)))),""))</f>
        <v/>
      </c>
      <c r="CN798">
        <f>IF(CH798="","",IFERROR(IF(AND(LEN(CH798)=9,ISERROR(FIND("-",LEFT(CH798,8))),ISNUMBER(-LEFT(CH798,8))),VALUE(MID(CH798,5,2)),VALUE(MID(CH798,FIND("-",CH798)+1,FIND("-",CH798,FIND("-",CH798)+1)-FIND("-",CH798)-1))),""))</f>
        <v/>
      </c>
      <c r="CO798">
        <f>IF(CH798="","",IFERROR(IF(AND(LEN(CH798)=9,ISERROR(FIND("-",LEFT(CH798,8))),ISNUMBER(-LEFT(CH798,8))),VALUE(MID(CH798,7,2)),VALUE(MID(CH798,FIND("-",CH798,FIND("-",CH798)+1)+1,FIND("-",CH798,FIND("-",CH798,FIND("-",CH798)+1)+1)-FIND("-",CH798,FIND("-",CH798)+1)-1))),""))</f>
        <v/>
      </c>
    </row>
    <row r="799">
      <c r="CH799">
        <f>IF(ISTEXT('월 가계부'!A799),SUBSTITUTE(SUBSTITUTE(SUBSTITUTE(SUBSTITUTE(SUBSTITUTE(SUBSTITUTE(SUBSTITUTE(SUBSTITUTE(SUBSTITUTE(TRIM('월 가계부'!A799),"년","-"),"월","-"),"일",""),".","-"),"/","-")," ","-"),"--","-"),"--","-"),"--","-")&amp;"-","")</f>
        <v/>
      </c>
      <c r="CI799">
        <f>IFERROR(IF('월 가계부'!A799="","",IF(ISNUMBER('월 가계부'!A799),IF(AND('월 가계부'!A799&gt;=19000101,'월 가계부'!A799&lt;=21001231),IF(AND(MOD(INT('월 가계부'!A799/100),100)&gt;=1,MOD(INT('월 가계부'!A799/100),100)&lt;=12,MOD(INT('월 가계부'!A799),100)&gt;=1,MOD(INT('월 가계부'!A799),100)&lt;=31),IF(MONTH(DATE(INT('월 가계부'!A799/10000),MOD(INT('월 가계부'!A799/100),100),MOD(INT('월 가계부'!A799),100)))=MOD(INT('월 가계부'!A799/100),100),DATE(INT('월 가계부'!A799/10000),MOD(INT('월 가계부'!A799/100),100),MOD(INT('월 가계부'!A799),100)),""),""),IF(AND('월 가계부'!A799&gt;=36526,'월 가계부'!A799&lt;73051),INT('월 가계부'!A799),"")),IF(OR(CM799="",CN799="",CO799=""),"",IF(AND(CM799&gt;=2000,CM799&lt;=2099,CN799&gt;=1,CN799&lt;=12,CO799&gt;=1,CO799&lt;=31),IF(MONTH(DATE(CM799,CN799,CO799))=CN799,DATE(CM799,CN799,CO799),""),"")))),"")</f>
        <v/>
      </c>
      <c r="CJ799">
        <f>IFERROR(IF('월 가계부'!C799="","",IF(ISNUMBER('월 가계부'!C799),'월 가계부'!C799,VALUE(SUBSTITUTE(SUBSTITUTE(SUBSTITUTE(SUBSTITUTE(TRIM('월 가계부'!C799),",",""),"원","")," ",""),"−","-")))),"")</f>
        <v/>
      </c>
      <c r="CK799">
        <f>IF(ISNUMBER(CI799),IF(CI799&lt;$B$13,CI799,""),"")</f>
        <v/>
      </c>
      <c r="CM799">
        <f>IF(CH799="","",IFERROR(IF(IF(AND(LEN(CH799)=9,ISERROR(FIND("-",LEFT(CH799,8))),ISNUMBER(-LEFT(CH799,8))),VALUE(LEFT(CH799,4)),VALUE(LEFT(CH799,FIND("-",CH799)-1)))&lt;100,IF(AND(LEN(CH799)=9,ISERROR(FIND("-",LEFT(CH799,8))),ISNUMBER(-LEFT(CH799,8))),VALUE(LEFT(CH799,4)),VALUE(LEFT(CH799,FIND("-",CH799)-1)))+2000,IF(AND(LEN(CH799)=9,ISERROR(FIND("-",LEFT(CH799,8))),ISNUMBER(-LEFT(CH799,8))),VALUE(LEFT(CH799,4)),VALUE(LEFT(CH799,FIND("-",CH799)-1)))),""))</f>
        <v/>
      </c>
      <c r="CN799">
        <f>IF(CH799="","",IFERROR(IF(AND(LEN(CH799)=9,ISERROR(FIND("-",LEFT(CH799,8))),ISNUMBER(-LEFT(CH799,8))),VALUE(MID(CH799,5,2)),VALUE(MID(CH799,FIND("-",CH799)+1,FIND("-",CH799,FIND("-",CH799)+1)-FIND("-",CH799)-1))),""))</f>
        <v/>
      </c>
      <c r="CO799">
        <f>IF(CH799="","",IFERROR(IF(AND(LEN(CH799)=9,ISERROR(FIND("-",LEFT(CH799,8))),ISNUMBER(-LEFT(CH799,8))),VALUE(MID(CH799,7,2)),VALUE(MID(CH799,FIND("-",CH799,FIND("-",CH799)+1)+1,FIND("-",CH799,FIND("-",CH799,FIND("-",CH799)+1)+1)-FIND("-",CH799,FIND("-",CH799)+1)-1))),""))</f>
        <v/>
      </c>
    </row>
    <row r="800">
      <c r="CH800">
        <f>IF(ISTEXT('월 가계부'!A800),SUBSTITUTE(SUBSTITUTE(SUBSTITUTE(SUBSTITUTE(SUBSTITUTE(SUBSTITUTE(SUBSTITUTE(SUBSTITUTE(SUBSTITUTE(TRIM('월 가계부'!A800),"년","-"),"월","-"),"일",""),".","-"),"/","-")," ","-"),"--","-"),"--","-"),"--","-")&amp;"-","")</f>
        <v/>
      </c>
      <c r="CI800">
        <f>IFERROR(IF('월 가계부'!A800="","",IF(ISNUMBER('월 가계부'!A800),IF(AND('월 가계부'!A800&gt;=19000101,'월 가계부'!A800&lt;=21001231),IF(AND(MOD(INT('월 가계부'!A800/100),100)&gt;=1,MOD(INT('월 가계부'!A800/100),100)&lt;=12,MOD(INT('월 가계부'!A800),100)&gt;=1,MOD(INT('월 가계부'!A800),100)&lt;=31),IF(MONTH(DATE(INT('월 가계부'!A800/10000),MOD(INT('월 가계부'!A800/100),100),MOD(INT('월 가계부'!A800),100)))=MOD(INT('월 가계부'!A800/100),100),DATE(INT('월 가계부'!A800/10000),MOD(INT('월 가계부'!A800/100),100),MOD(INT('월 가계부'!A800),100)),""),""),IF(AND('월 가계부'!A800&gt;=36526,'월 가계부'!A800&lt;73051),INT('월 가계부'!A800),"")),IF(OR(CM800="",CN800="",CO800=""),"",IF(AND(CM800&gt;=2000,CM800&lt;=2099,CN800&gt;=1,CN800&lt;=12,CO800&gt;=1,CO800&lt;=31),IF(MONTH(DATE(CM800,CN800,CO800))=CN800,DATE(CM800,CN800,CO800),""),"")))),"")</f>
        <v/>
      </c>
      <c r="CJ800">
        <f>IFERROR(IF('월 가계부'!C800="","",IF(ISNUMBER('월 가계부'!C800),'월 가계부'!C800,VALUE(SUBSTITUTE(SUBSTITUTE(SUBSTITUTE(SUBSTITUTE(TRIM('월 가계부'!C800),",",""),"원","")," ",""),"−","-")))),"")</f>
        <v/>
      </c>
      <c r="CK800">
        <f>IF(ISNUMBER(CI800),IF(CI800&lt;$B$13,CI800,""),"")</f>
        <v/>
      </c>
      <c r="CM800">
        <f>IF(CH800="","",IFERROR(IF(IF(AND(LEN(CH800)=9,ISERROR(FIND("-",LEFT(CH800,8))),ISNUMBER(-LEFT(CH800,8))),VALUE(LEFT(CH800,4)),VALUE(LEFT(CH800,FIND("-",CH800)-1)))&lt;100,IF(AND(LEN(CH800)=9,ISERROR(FIND("-",LEFT(CH800,8))),ISNUMBER(-LEFT(CH800,8))),VALUE(LEFT(CH800,4)),VALUE(LEFT(CH800,FIND("-",CH800)-1)))+2000,IF(AND(LEN(CH800)=9,ISERROR(FIND("-",LEFT(CH800,8))),ISNUMBER(-LEFT(CH800,8))),VALUE(LEFT(CH800,4)),VALUE(LEFT(CH800,FIND("-",CH800)-1)))),""))</f>
        <v/>
      </c>
      <c r="CN800">
        <f>IF(CH800="","",IFERROR(IF(AND(LEN(CH800)=9,ISERROR(FIND("-",LEFT(CH800,8))),ISNUMBER(-LEFT(CH800,8))),VALUE(MID(CH800,5,2)),VALUE(MID(CH800,FIND("-",CH800)+1,FIND("-",CH800,FIND("-",CH800)+1)-FIND("-",CH800)-1))),""))</f>
        <v/>
      </c>
      <c r="CO800">
        <f>IF(CH800="","",IFERROR(IF(AND(LEN(CH800)=9,ISERROR(FIND("-",LEFT(CH800,8))),ISNUMBER(-LEFT(CH800,8))),VALUE(MID(CH800,7,2)),VALUE(MID(CH800,FIND("-",CH800,FIND("-",CH800)+1)+1,FIND("-",CH800,FIND("-",CH800,FIND("-",CH800)+1)+1)-FIND("-",CH800,FIND("-",CH800)+1)-1))),""))</f>
        <v/>
      </c>
    </row>
    <row r="801">
      <c r="CH801">
        <f>IF(ISTEXT('월 가계부'!A801),SUBSTITUTE(SUBSTITUTE(SUBSTITUTE(SUBSTITUTE(SUBSTITUTE(SUBSTITUTE(SUBSTITUTE(SUBSTITUTE(SUBSTITUTE(TRIM('월 가계부'!A801),"년","-"),"월","-"),"일",""),".","-"),"/","-")," ","-"),"--","-"),"--","-"),"--","-")&amp;"-","")</f>
        <v/>
      </c>
      <c r="CI801">
        <f>IFERROR(IF('월 가계부'!A801="","",IF(ISNUMBER('월 가계부'!A801),IF(AND('월 가계부'!A801&gt;=19000101,'월 가계부'!A801&lt;=21001231),IF(AND(MOD(INT('월 가계부'!A801/100),100)&gt;=1,MOD(INT('월 가계부'!A801/100),100)&lt;=12,MOD(INT('월 가계부'!A801),100)&gt;=1,MOD(INT('월 가계부'!A801),100)&lt;=31),IF(MONTH(DATE(INT('월 가계부'!A801/10000),MOD(INT('월 가계부'!A801/100),100),MOD(INT('월 가계부'!A801),100)))=MOD(INT('월 가계부'!A801/100),100),DATE(INT('월 가계부'!A801/10000),MOD(INT('월 가계부'!A801/100),100),MOD(INT('월 가계부'!A801),100)),""),""),IF(AND('월 가계부'!A801&gt;=36526,'월 가계부'!A801&lt;73051),INT('월 가계부'!A801),"")),IF(OR(CM801="",CN801="",CO801=""),"",IF(AND(CM801&gt;=2000,CM801&lt;=2099,CN801&gt;=1,CN801&lt;=12,CO801&gt;=1,CO801&lt;=31),IF(MONTH(DATE(CM801,CN801,CO801))=CN801,DATE(CM801,CN801,CO801),""),"")))),"")</f>
        <v/>
      </c>
      <c r="CJ801">
        <f>IFERROR(IF('월 가계부'!C801="","",IF(ISNUMBER('월 가계부'!C801),'월 가계부'!C801,VALUE(SUBSTITUTE(SUBSTITUTE(SUBSTITUTE(SUBSTITUTE(TRIM('월 가계부'!C801),",",""),"원","")," ",""),"−","-")))),"")</f>
        <v/>
      </c>
      <c r="CK801">
        <f>IF(ISNUMBER(CI801),IF(CI801&lt;$B$13,CI801,""),"")</f>
        <v/>
      </c>
      <c r="CM801">
        <f>IF(CH801="","",IFERROR(IF(IF(AND(LEN(CH801)=9,ISERROR(FIND("-",LEFT(CH801,8))),ISNUMBER(-LEFT(CH801,8))),VALUE(LEFT(CH801,4)),VALUE(LEFT(CH801,FIND("-",CH801)-1)))&lt;100,IF(AND(LEN(CH801)=9,ISERROR(FIND("-",LEFT(CH801,8))),ISNUMBER(-LEFT(CH801,8))),VALUE(LEFT(CH801,4)),VALUE(LEFT(CH801,FIND("-",CH801)-1)))+2000,IF(AND(LEN(CH801)=9,ISERROR(FIND("-",LEFT(CH801,8))),ISNUMBER(-LEFT(CH801,8))),VALUE(LEFT(CH801,4)),VALUE(LEFT(CH801,FIND("-",CH801)-1)))),""))</f>
        <v/>
      </c>
      <c r="CN801">
        <f>IF(CH801="","",IFERROR(IF(AND(LEN(CH801)=9,ISERROR(FIND("-",LEFT(CH801,8))),ISNUMBER(-LEFT(CH801,8))),VALUE(MID(CH801,5,2)),VALUE(MID(CH801,FIND("-",CH801)+1,FIND("-",CH801,FIND("-",CH801)+1)-FIND("-",CH801)-1))),""))</f>
        <v/>
      </c>
      <c r="CO801">
        <f>IF(CH801="","",IFERROR(IF(AND(LEN(CH801)=9,ISERROR(FIND("-",LEFT(CH801,8))),ISNUMBER(-LEFT(CH801,8))),VALUE(MID(CH801,7,2)),VALUE(MID(CH801,FIND("-",CH801,FIND("-",CH801)+1)+1,FIND("-",CH801,FIND("-",CH801,FIND("-",CH801)+1)+1)-FIND("-",CH801,FIND("-",CH801)+1)-1))),""))</f>
        <v/>
      </c>
    </row>
    <row r="802">
      <c r="CH802">
        <f>IF(ISTEXT('월 가계부'!A802),SUBSTITUTE(SUBSTITUTE(SUBSTITUTE(SUBSTITUTE(SUBSTITUTE(SUBSTITUTE(SUBSTITUTE(SUBSTITUTE(SUBSTITUTE(TRIM('월 가계부'!A802),"년","-"),"월","-"),"일",""),".","-"),"/","-")," ","-"),"--","-"),"--","-"),"--","-")&amp;"-","")</f>
        <v/>
      </c>
      <c r="CI802">
        <f>IFERROR(IF('월 가계부'!A802="","",IF(ISNUMBER('월 가계부'!A802),IF(AND('월 가계부'!A802&gt;=19000101,'월 가계부'!A802&lt;=21001231),IF(AND(MOD(INT('월 가계부'!A802/100),100)&gt;=1,MOD(INT('월 가계부'!A802/100),100)&lt;=12,MOD(INT('월 가계부'!A802),100)&gt;=1,MOD(INT('월 가계부'!A802),100)&lt;=31),IF(MONTH(DATE(INT('월 가계부'!A802/10000),MOD(INT('월 가계부'!A802/100),100),MOD(INT('월 가계부'!A802),100)))=MOD(INT('월 가계부'!A802/100),100),DATE(INT('월 가계부'!A802/10000),MOD(INT('월 가계부'!A802/100),100),MOD(INT('월 가계부'!A802),100)),""),""),IF(AND('월 가계부'!A802&gt;=36526,'월 가계부'!A802&lt;73051),INT('월 가계부'!A802),"")),IF(OR(CM802="",CN802="",CO802=""),"",IF(AND(CM802&gt;=2000,CM802&lt;=2099,CN802&gt;=1,CN802&lt;=12,CO802&gt;=1,CO802&lt;=31),IF(MONTH(DATE(CM802,CN802,CO802))=CN802,DATE(CM802,CN802,CO802),""),"")))),"")</f>
        <v/>
      </c>
      <c r="CJ802">
        <f>IFERROR(IF('월 가계부'!C802="","",IF(ISNUMBER('월 가계부'!C802),'월 가계부'!C802,VALUE(SUBSTITUTE(SUBSTITUTE(SUBSTITUTE(SUBSTITUTE(TRIM('월 가계부'!C802),",",""),"원","")," ",""),"−","-")))),"")</f>
        <v/>
      </c>
      <c r="CK802">
        <f>IF(ISNUMBER(CI802),IF(CI802&lt;$B$13,CI802,""),"")</f>
        <v/>
      </c>
      <c r="CM802">
        <f>IF(CH802="","",IFERROR(IF(IF(AND(LEN(CH802)=9,ISERROR(FIND("-",LEFT(CH802,8))),ISNUMBER(-LEFT(CH802,8))),VALUE(LEFT(CH802,4)),VALUE(LEFT(CH802,FIND("-",CH802)-1)))&lt;100,IF(AND(LEN(CH802)=9,ISERROR(FIND("-",LEFT(CH802,8))),ISNUMBER(-LEFT(CH802,8))),VALUE(LEFT(CH802,4)),VALUE(LEFT(CH802,FIND("-",CH802)-1)))+2000,IF(AND(LEN(CH802)=9,ISERROR(FIND("-",LEFT(CH802,8))),ISNUMBER(-LEFT(CH802,8))),VALUE(LEFT(CH802,4)),VALUE(LEFT(CH802,FIND("-",CH802)-1)))),""))</f>
        <v/>
      </c>
      <c r="CN802">
        <f>IF(CH802="","",IFERROR(IF(AND(LEN(CH802)=9,ISERROR(FIND("-",LEFT(CH802,8))),ISNUMBER(-LEFT(CH802,8))),VALUE(MID(CH802,5,2)),VALUE(MID(CH802,FIND("-",CH802)+1,FIND("-",CH802,FIND("-",CH802)+1)-FIND("-",CH802)-1))),""))</f>
        <v/>
      </c>
      <c r="CO802">
        <f>IF(CH802="","",IFERROR(IF(AND(LEN(CH802)=9,ISERROR(FIND("-",LEFT(CH802,8))),ISNUMBER(-LEFT(CH802,8))),VALUE(MID(CH802,7,2)),VALUE(MID(CH802,FIND("-",CH802,FIND("-",CH802)+1)+1,FIND("-",CH802,FIND("-",CH802,FIND("-",CH802)+1)+1)-FIND("-",CH802,FIND("-",CH802)+1)-1))),""))</f>
        <v/>
      </c>
    </row>
    <row r="803">
      <c r="CH803">
        <f>IF(ISTEXT('월 가계부'!A803),SUBSTITUTE(SUBSTITUTE(SUBSTITUTE(SUBSTITUTE(SUBSTITUTE(SUBSTITUTE(SUBSTITUTE(SUBSTITUTE(SUBSTITUTE(TRIM('월 가계부'!A803),"년","-"),"월","-"),"일",""),".","-"),"/","-")," ","-"),"--","-"),"--","-"),"--","-")&amp;"-","")</f>
        <v/>
      </c>
      <c r="CI803">
        <f>IFERROR(IF('월 가계부'!A803="","",IF(ISNUMBER('월 가계부'!A803),IF(AND('월 가계부'!A803&gt;=19000101,'월 가계부'!A803&lt;=21001231),IF(AND(MOD(INT('월 가계부'!A803/100),100)&gt;=1,MOD(INT('월 가계부'!A803/100),100)&lt;=12,MOD(INT('월 가계부'!A803),100)&gt;=1,MOD(INT('월 가계부'!A803),100)&lt;=31),IF(MONTH(DATE(INT('월 가계부'!A803/10000),MOD(INT('월 가계부'!A803/100),100),MOD(INT('월 가계부'!A803),100)))=MOD(INT('월 가계부'!A803/100),100),DATE(INT('월 가계부'!A803/10000),MOD(INT('월 가계부'!A803/100),100),MOD(INT('월 가계부'!A803),100)),""),""),IF(AND('월 가계부'!A803&gt;=36526,'월 가계부'!A803&lt;73051),INT('월 가계부'!A803),"")),IF(OR(CM803="",CN803="",CO803=""),"",IF(AND(CM803&gt;=2000,CM803&lt;=2099,CN803&gt;=1,CN803&lt;=12,CO803&gt;=1,CO803&lt;=31),IF(MONTH(DATE(CM803,CN803,CO803))=CN803,DATE(CM803,CN803,CO803),""),"")))),"")</f>
        <v/>
      </c>
      <c r="CJ803">
        <f>IFERROR(IF('월 가계부'!C803="","",IF(ISNUMBER('월 가계부'!C803),'월 가계부'!C803,VALUE(SUBSTITUTE(SUBSTITUTE(SUBSTITUTE(SUBSTITUTE(TRIM('월 가계부'!C803),",",""),"원","")," ",""),"−","-")))),"")</f>
        <v/>
      </c>
      <c r="CK803">
        <f>IF(ISNUMBER(CI803),IF(CI803&lt;$B$13,CI803,""),"")</f>
        <v/>
      </c>
      <c r="CM803">
        <f>IF(CH803="","",IFERROR(IF(IF(AND(LEN(CH803)=9,ISERROR(FIND("-",LEFT(CH803,8))),ISNUMBER(-LEFT(CH803,8))),VALUE(LEFT(CH803,4)),VALUE(LEFT(CH803,FIND("-",CH803)-1)))&lt;100,IF(AND(LEN(CH803)=9,ISERROR(FIND("-",LEFT(CH803,8))),ISNUMBER(-LEFT(CH803,8))),VALUE(LEFT(CH803,4)),VALUE(LEFT(CH803,FIND("-",CH803)-1)))+2000,IF(AND(LEN(CH803)=9,ISERROR(FIND("-",LEFT(CH803,8))),ISNUMBER(-LEFT(CH803,8))),VALUE(LEFT(CH803,4)),VALUE(LEFT(CH803,FIND("-",CH803)-1)))),""))</f>
        <v/>
      </c>
      <c r="CN803">
        <f>IF(CH803="","",IFERROR(IF(AND(LEN(CH803)=9,ISERROR(FIND("-",LEFT(CH803,8))),ISNUMBER(-LEFT(CH803,8))),VALUE(MID(CH803,5,2)),VALUE(MID(CH803,FIND("-",CH803)+1,FIND("-",CH803,FIND("-",CH803)+1)-FIND("-",CH803)-1))),""))</f>
        <v/>
      </c>
      <c r="CO803">
        <f>IF(CH803="","",IFERROR(IF(AND(LEN(CH803)=9,ISERROR(FIND("-",LEFT(CH803,8))),ISNUMBER(-LEFT(CH803,8))),VALUE(MID(CH803,7,2)),VALUE(MID(CH803,FIND("-",CH803,FIND("-",CH803)+1)+1,FIND("-",CH803,FIND("-",CH803,FIND("-",CH803)+1)+1)-FIND("-",CH803,FIND("-",CH803)+1)-1))),""))</f>
        <v/>
      </c>
    </row>
    <row r="804">
      <c r="CH804">
        <f>IF(ISTEXT('월 가계부'!A804),SUBSTITUTE(SUBSTITUTE(SUBSTITUTE(SUBSTITUTE(SUBSTITUTE(SUBSTITUTE(SUBSTITUTE(SUBSTITUTE(SUBSTITUTE(TRIM('월 가계부'!A804),"년","-"),"월","-"),"일",""),".","-"),"/","-")," ","-"),"--","-"),"--","-"),"--","-")&amp;"-","")</f>
        <v/>
      </c>
      <c r="CI804">
        <f>IFERROR(IF('월 가계부'!A804="","",IF(ISNUMBER('월 가계부'!A804),IF(AND('월 가계부'!A804&gt;=19000101,'월 가계부'!A804&lt;=21001231),IF(AND(MOD(INT('월 가계부'!A804/100),100)&gt;=1,MOD(INT('월 가계부'!A804/100),100)&lt;=12,MOD(INT('월 가계부'!A804),100)&gt;=1,MOD(INT('월 가계부'!A804),100)&lt;=31),IF(MONTH(DATE(INT('월 가계부'!A804/10000),MOD(INT('월 가계부'!A804/100),100),MOD(INT('월 가계부'!A804),100)))=MOD(INT('월 가계부'!A804/100),100),DATE(INT('월 가계부'!A804/10000),MOD(INT('월 가계부'!A804/100),100),MOD(INT('월 가계부'!A804),100)),""),""),IF(AND('월 가계부'!A804&gt;=36526,'월 가계부'!A804&lt;73051),INT('월 가계부'!A804),"")),IF(OR(CM804="",CN804="",CO804=""),"",IF(AND(CM804&gt;=2000,CM804&lt;=2099,CN804&gt;=1,CN804&lt;=12,CO804&gt;=1,CO804&lt;=31),IF(MONTH(DATE(CM804,CN804,CO804))=CN804,DATE(CM804,CN804,CO804),""),"")))),"")</f>
        <v/>
      </c>
      <c r="CJ804">
        <f>IFERROR(IF('월 가계부'!C804="","",IF(ISNUMBER('월 가계부'!C804),'월 가계부'!C804,VALUE(SUBSTITUTE(SUBSTITUTE(SUBSTITUTE(SUBSTITUTE(TRIM('월 가계부'!C804),",",""),"원","")," ",""),"−","-")))),"")</f>
        <v/>
      </c>
      <c r="CK804">
        <f>IF(ISNUMBER(CI804),IF(CI804&lt;$B$13,CI804,""),"")</f>
        <v/>
      </c>
      <c r="CM804">
        <f>IF(CH804="","",IFERROR(IF(IF(AND(LEN(CH804)=9,ISERROR(FIND("-",LEFT(CH804,8))),ISNUMBER(-LEFT(CH804,8))),VALUE(LEFT(CH804,4)),VALUE(LEFT(CH804,FIND("-",CH804)-1)))&lt;100,IF(AND(LEN(CH804)=9,ISERROR(FIND("-",LEFT(CH804,8))),ISNUMBER(-LEFT(CH804,8))),VALUE(LEFT(CH804,4)),VALUE(LEFT(CH804,FIND("-",CH804)-1)))+2000,IF(AND(LEN(CH804)=9,ISERROR(FIND("-",LEFT(CH804,8))),ISNUMBER(-LEFT(CH804,8))),VALUE(LEFT(CH804,4)),VALUE(LEFT(CH804,FIND("-",CH804)-1)))),""))</f>
        <v/>
      </c>
      <c r="CN804">
        <f>IF(CH804="","",IFERROR(IF(AND(LEN(CH804)=9,ISERROR(FIND("-",LEFT(CH804,8))),ISNUMBER(-LEFT(CH804,8))),VALUE(MID(CH804,5,2)),VALUE(MID(CH804,FIND("-",CH804)+1,FIND("-",CH804,FIND("-",CH804)+1)-FIND("-",CH804)-1))),""))</f>
        <v/>
      </c>
      <c r="CO804">
        <f>IF(CH804="","",IFERROR(IF(AND(LEN(CH804)=9,ISERROR(FIND("-",LEFT(CH804,8))),ISNUMBER(-LEFT(CH804,8))),VALUE(MID(CH804,7,2)),VALUE(MID(CH804,FIND("-",CH804,FIND("-",CH804)+1)+1,FIND("-",CH804,FIND("-",CH804,FIND("-",CH804)+1)+1)-FIND("-",CH804,FIND("-",CH804)+1)-1))),""))</f>
        <v/>
      </c>
    </row>
    <row r="805">
      <c r="CH805">
        <f>IF(ISTEXT('월 가계부'!A805),SUBSTITUTE(SUBSTITUTE(SUBSTITUTE(SUBSTITUTE(SUBSTITUTE(SUBSTITUTE(SUBSTITUTE(SUBSTITUTE(SUBSTITUTE(TRIM('월 가계부'!A805),"년","-"),"월","-"),"일",""),".","-"),"/","-")," ","-"),"--","-"),"--","-"),"--","-")&amp;"-","")</f>
        <v/>
      </c>
      <c r="CI805">
        <f>IFERROR(IF('월 가계부'!A805="","",IF(ISNUMBER('월 가계부'!A805),IF(AND('월 가계부'!A805&gt;=19000101,'월 가계부'!A805&lt;=21001231),IF(AND(MOD(INT('월 가계부'!A805/100),100)&gt;=1,MOD(INT('월 가계부'!A805/100),100)&lt;=12,MOD(INT('월 가계부'!A805),100)&gt;=1,MOD(INT('월 가계부'!A805),100)&lt;=31),IF(MONTH(DATE(INT('월 가계부'!A805/10000),MOD(INT('월 가계부'!A805/100),100),MOD(INT('월 가계부'!A805),100)))=MOD(INT('월 가계부'!A805/100),100),DATE(INT('월 가계부'!A805/10000),MOD(INT('월 가계부'!A805/100),100),MOD(INT('월 가계부'!A805),100)),""),""),IF(AND('월 가계부'!A805&gt;=36526,'월 가계부'!A805&lt;73051),INT('월 가계부'!A805),"")),IF(OR(CM805="",CN805="",CO805=""),"",IF(AND(CM805&gt;=2000,CM805&lt;=2099,CN805&gt;=1,CN805&lt;=12,CO805&gt;=1,CO805&lt;=31),IF(MONTH(DATE(CM805,CN805,CO805))=CN805,DATE(CM805,CN805,CO805),""),"")))),"")</f>
        <v/>
      </c>
      <c r="CJ805">
        <f>IFERROR(IF('월 가계부'!C805="","",IF(ISNUMBER('월 가계부'!C805),'월 가계부'!C805,VALUE(SUBSTITUTE(SUBSTITUTE(SUBSTITUTE(SUBSTITUTE(TRIM('월 가계부'!C805),",",""),"원","")," ",""),"−","-")))),"")</f>
        <v/>
      </c>
      <c r="CK805">
        <f>IF(ISNUMBER(CI805),IF(CI805&lt;$B$13,CI805,""),"")</f>
        <v/>
      </c>
      <c r="CM805">
        <f>IF(CH805="","",IFERROR(IF(IF(AND(LEN(CH805)=9,ISERROR(FIND("-",LEFT(CH805,8))),ISNUMBER(-LEFT(CH805,8))),VALUE(LEFT(CH805,4)),VALUE(LEFT(CH805,FIND("-",CH805)-1)))&lt;100,IF(AND(LEN(CH805)=9,ISERROR(FIND("-",LEFT(CH805,8))),ISNUMBER(-LEFT(CH805,8))),VALUE(LEFT(CH805,4)),VALUE(LEFT(CH805,FIND("-",CH805)-1)))+2000,IF(AND(LEN(CH805)=9,ISERROR(FIND("-",LEFT(CH805,8))),ISNUMBER(-LEFT(CH805,8))),VALUE(LEFT(CH805,4)),VALUE(LEFT(CH805,FIND("-",CH805)-1)))),""))</f>
        <v/>
      </c>
      <c r="CN805">
        <f>IF(CH805="","",IFERROR(IF(AND(LEN(CH805)=9,ISERROR(FIND("-",LEFT(CH805,8))),ISNUMBER(-LEFT(CH805,8))),VALUE(MID(CH805,5,2)),VALUE(MID(CH805,FIND("-",CH805)+1,FIND("-",CH805,FIND("-",CH805)+1)-FIND("-",CH805)-1))),""))</f>
        <v/>
      </c>
      <c r="CO805">
        <f>IF(CH805="","",IFERROR(IF(AND(LEN(CH805)=9,ISERROR(FIND("-",LEFT(CH805,8))),ISNUMBER(-LEFT(CH805,8))),VALUE(MID(CH805,7,2)),VALUE(MID(CH805,FIND("-",CH805,FIND("-",CH805)+1)+1,FIND("-",CH805,FIND("-",CH805,FIND("-",CH805)+1)+1)-FIND("-",CH805,FIND("-",CH805)+1)-1))),""))</f>
        <v/>
      </c>
    </row>
    <row r="806">
      <c r="CH806">
        <f>IF(ISTEXT('월 가계부'!A806),SUBSTITUTE(SUBSTITUTE(SUBSTITUTE(SUBSTITUTE(SUBSTITUTE(SUBSTITUTE(SUBSTITUTE(SUBSTITUTE(SUBSTITUTE(TRIM('월 가계부'!A806),"년","-"),"월","-"),"일",""),".","-"),"/","-")," ","-"),"--","-"),"--","-"),"--","-")&amp;"-","")</f>
        <v/>
      </c>
      <c r="CI806">
        <f>IFERROR(IF('월 가계부'!A806="","",IF(ISNUMBER('월 가계부'!A806),IF(AND('월 가계부'!A806&gt;=19000101,'월 가계부'!A806&lt;=21001231),IF(AND(MOD(INT('월 가계부'!A806/100),100)&gt;=1,MOD(INT('월 가계부'!A806/100),100)&lt;=12,MOD(INT('월 가계부'!A806),100)&gt;=1,MOD(INT('월 가계부'!A806),100)&lt;=31),IF(MONTH(DATE(INT('월 가계부'!A806/10000),MOD(INT('월 가계부'!A806/100),100),MOD(INT('월 가계부'!A806),100)))=MOD(INT('월 가계부'!A806/100),100),DATE(INT('월 가계부'!A806/10000),MOD(INT('월 가계부'!A806/100),100),MOD(INT('월 가계부'!A806),100)),""),""),IF(AND('월 가계부'!A806&gt;=36526,'월 가계부'!A806&lt;73051),INT('월 가계부'!A806),"")),IF(OR(CM806="",CN806="",CO806=""),"",IF(AND(CM806&gt;=2000,CM806&lt;=2099,CN806&gt;=1,CN806&lt;=12,CO806&gt;=1,CO806&lt;=31),IF(MONTH(DATE(CM806,CN806,CO806))=CN806,DATE(CM806,CN806,CO806),""),"")))),"")</f>
        <v/>
      </c>
      <c r="CJ806">
        <f>IFERROR(IF('월 가계부'!C806="","",IF(ISNUMBER('월 가계부'!C806),'월 가계부'!C806,VALUE(SUBSTITUTE(SUBSTITUTE(SUBSTITUTE(SUBSTITUTE(TRIM('월 가계부'!C806),",",""),"원","")," ",""),"−","-")))),"")</f>
        <v/>
      </c>
      <c r="CK806">
        <f>IF(ISNUMBER(CI806),IF(CI806&lt;$B$13,CI806,""),"")</f>
        <v/>
      </c>
      <c r="CM806">
        <f>IF(CH806="","",IFERROR(IF(IF(AND(LEN(CH806)=9,ISERROR(FIND("-",LEFT(CH806,8))),ISNUMBER(-LEFT(CH806,8))),VALUE(LEFT(CH806,4)),VALUE(LEFT(CH806,FIND("-",CH806)-1)))&lt;100,IF(AND(LEN(CH806)=9,ISERROR(FIND("-",LEFT(CH806,8))),ISNUMBER(-LEFT(CH806,8))),VALUE(LEFT(CH806,4)),VALUE(LEFT(CH806,FIND("-",CH806)-1)))+2000,IF(AND(LEN(CH806)=9,ISERROR(FIND("-",LEFT(CH806,8))),ISNUMBER(-LEFT(CH806,8))),VALUE(LEFT(CH806,4)),VALUE(LEFT(CH806,FIND("-",CH806)-1)))),""))</f>
        <v/>
      </c>
      <c r="CN806">
        <f>IF(CH806="","",IFERROR(IF(AND(LEN(CH806)=9,ISERROR(FIND("-",LEFT(CH806,8))),ISNUMBER(-LEFT(CH806,8))),VALUE(MID(CH806,5,2)),VALUE(MID(CH806,FIND("-",CH806)+1,FIND("-",CH806,FIND("-",CH806)+1)-FIND("-",CH806)-1))),""))</f>
        <v/>
      </c>
      <c r="CO806">
        <f>IF(CH806="","",IFERROR(IF(AND(LEN(CH806)=9,ISERROR(FIND("-",LEFT(CH806,8))),ISNUMBER(-LEFT(CH806,8))),VALUE(MID(CH806,7,2)),VALUE(MID(CH806,FIND("-",CH806,FIND("-",CH806)+1)+1,FIND("-",CH806,FIND("-",CH806,FIND("-",CH806)+1)+1)-FIND("-",CH806,FIND("-",CH806)+1)-1))),""))</f>
        <v/>
      </c>
    </row>
    <row r="807">
      <c r="CH807">
        <f>IF(ISTEXT('월 가계부'!A807),SUBSTITUTE(SUBSTITUTE(SUBSTITUTE(SUBSTITUTE(SUBSTITUTE(SUBSTITUTE(SUBSTITUTE(SUBSTITUTE(SUBSTITUTE(TRIM('월 가계부'!A807),"년","-"),"월","-"),"일",""),".","-"),"/","-")," ","-"),"--","-"),"--","-"),"--","-")&amp;"-","")</f>
        <v/>
      </c>
      <c r="CI807">
        <f>IFERROR(IF('월 가계부'!A807="","",IF(ISNUMBER('월 가계부'!A807),IF(AND('월 가계부'!A807&gt;=19000101,'월 가계부'!A807&lt;=21001231),IF(AND(MOD(INT('월 가계부'!A807/100),100)&gt;=1,MOD(INT('월 가계부'!A807/100),100)&lt;=12,MOD(INT('월 가계부'!A807),100)&gt;=1,MOD(INT('월 가계부'!A807),100)&lt;=31),IF(MONTH(DATE(INT('월 가계부'!A807/10000),MOD(INT('월 가계부'!A807/100),100),MOD(INT('월 가계부'!A807),100)))=MOD(INT('월 가계부'!A807/100),100),DATE(INT('월 가계부'!A807/10000),MOD(INT('월 가계부'!A807/100),100),MOD(INT('월 가계부'!A807),100)),""),""),IF(AND('월 가계부'!A807&gt;=36526,'월 가계부'!A807&lt;73051),INT('월 가계부'!A807),"")),IF(OR(CM807="",CN807="",CO807=""),"",IF(AND(CM807&gt;=2000,CM807&lt;=2099,CN807&gt;=1,CN807&lt;=12,CO807&gt;=1,CO807&lt;=31),IF(MONTH(DATE(CM807,CN807,CO807))=CN807,DATE(CM807,CN807,CO807),""),"")))),"")</f>
        <v/>
      </c>
      <c r="CJ807">
        <f>IFERROR(IF('월 가계부'!C807="","",IF(ISNUMBER('월 가계부'!C807),'월 가계부'!C807,VALUE(SUBSTITUTE(SUBSTITUTE(SUBSTITUTE(SUBSTITUTE(TRIM('월 가계부'!C807),",",""),"원","")," ",""),"−","-")))),"")</f>
        <v/>
      </c>
      <c r="CK807">
        <f>IF(ISNUMBER(CI807),IF(CI807&lt;$B$13,CI807,""),"")</f>
        <v/>
      </c>
      <c r="CM807">
        <f>IF(CH807="","",IFERROR(IF(IF(AND(LEN(CH807)=9,ISERROR(FIND("-",LEFT(CH807,8))),ISNUMBER(-LEFT(CH807,8))),VALUE(LEFT(CH807,4)),VALUE(LEFT(CH807,FIND("-",CH807)-1)))&lt;100,IF(AND(LEN(CH807)=9,ISERROR(FIND("-",LEFT(CH807,8))),ISNUMBER(-LEFT(CH807,8))),VALUE(LEFT(CH807,4)),VALUE(LEFT(CH807,FIND("-",CH807)-1)))+2000,IF(AND(LEN(CH807)=9,ISERROR(FIND("-",LEFT(CH807,8))),ISNUMBER(-LEFT(CH807,8))),VALUE(LEFT(CH807,4)),VALUE(LEFT(CH807,FIND("-",CH807)-1)))),""))</f>
        <v/>
      </c>
      <c r="CN807">
        <f>IF(CH807="","",IFERROR(IF(AND(LEN(CH807)=9,ISERROR(FIND("-",LEFT(CH807,8))),ISNUMBER(-LEFT(CH807,8))),VALUE(MID(CH807,5,2)),VALUE(MID(CH807,FIND("-",CH807)+1,FIND("-",CH807,FIND("-",CH807)+1)-FIND("-",CH807)-1))),""))</f>
        <v/>
      </c>
      <c r="CO807">
        <f>IF(CH807="","",IFERROR(IF(AND(LEN(CH807)=9,ISERROR(FIND("-",LEFT(CH807,8))),ISNUMBER(-LEFT(CH807,8))),VALUE(MID(CH807,7,2)),VALUE(MID(CH807,FIND("-",CH807,FIND("-",CH807)+1)+1,FIND("-",CH807,FIND("-",CH807,FIND("-",CH807)+1)+1)-FIND("-",CH807,FIND("-",CH807)+1)-1))),""))</f>
        <v/>
      </c>
    </row>
    <row r="808">
      <c r="CH808">
        <f>IF(ISTEXT('월 가계부'!A808),SUBSTITUTE(SUBSTITUTE(SUBSTITUTE(SUBSTITUTE(SUBSTITUTE(SUBSTITUTE(SUBSTITUTE(SUBSTITUTE(SUBSTITUTE(TRIM('월 가계부'!A808),"년","-"),"월","-"),"일",""),".","-"),"/","-")," ","-"),"--","-"),"--","-"),"--","-")&amp;"-","")</f>
        <v/>
      </c>
      <c r="CI808">
        <f>IFERROR(IF('월 가계부'!A808="","",IF(ISNUMBER('월 가계부'!A808),IF(AND('월 가계부'!A808&gt;=19000101,'월 가계부'!A808&lt;=21001231),IF(AND(MOD(INT('월 가계부'!A808/100),100)&gt;=1,MOD(INT('월 가계부'!A808/100),100)&lt;=12,MOD(INT('월 가계부'!A808),100)&gt;=1,MOD(INT('월 가계부'!A808),100)&lt;=31),IF(MONTH(DATE(INT('월 가계부'!A808/10000),MOD(INT('월 가계부'!A808/100),100),MOD(INT('월 가계부'!A808),100)))=MOD(INT('월 가계부'!A808/100),100),DATE(INT('월 가계부'!A808/10000),MOD(INT('월 가계부'!A808/100),100),MOD(INT('월 가계부'!A808),100)),""),""),IF(AND('월 가계부'!A808&gt;=36526,'월 가계부'!A808&lt;73051),INT('월 가계부'!A808),"")),IF(OR(CM808="",CN808="",CO808=""),"",IF(AND(CM808&gt;=2000,CM808&lt;=2099,CN808&gt;=1,CN808&lt;=12,CO808&gt;=1,CO808&lt;=31),IF(MONTH(DATE(CM808,CN808,CO808))=CN808,DATE(CM808,CN808,CO808),""),"")))),"")</f>
        <v/>
      </c>
      <c r="CJ808">
        <f>IFERROR(IF('월 가계부'!C808="","",IF(ISNUMBER('월 가계부'!C808),'월 가계부'!C808,VALUE(SUBSTITUTE(SUBSTITUTE(SUBSTITUTE(SUBSTITUTE(TRIM('월 가계부'!C808),",",""),"원","")," ",""),"−","-")))),"")</f>
        <v/>
      </c>
      <c r="CK808">
        <f>IF(ISNUMBER(CI808),IF(CI808&lt;$B$13,CI808,""),"")</f>
        <v/>
      </c>
      <c r="CM808">
        <f>IF(CH808="","",IFERROR(IF(IF(AND(LEN(CH808)=9,ISERROR(FIND("-",LEFT(CH808,8))),ISNUMBER(-LEFT(CH808,8))),VALUE(LEFT(CH808,4)),VALUE(LEFT(CH808,FIND("-",CH808)-1)))&lt;100,IF(AND(LEN(CH808)=9,ISERROR(FIND("-",LEFT(CH808,8))),ISNUMBER(-LEFT(CH808,8))),VALUE(LEFT(CH808,4)),VALUE(LEFT(CH808,FIND("-",CH808)-1)))+2000,IF(AND(LEN(CH808)=9,ISERROR(FIND("-",LEFT(CH808,8))),ISNUMBER(-LEFT(CH808,8))),VALUE(LEFT(CH808,4)),VALUE(LEFT(CH808,FIND("-",CH808)-1)))),""))</f>
        <v/>
      </c>
      <c r="CN808">
        <f>IF(CH808="","",IFERROR(IF(AND(LEN(CH808)=9,ISERROR(FIND("-",LEFT(CH808,8))),ISNUMBER(-LEFT(CH808,8))),VALUE(MID(CH808,5,2)),VALUE(MID(CH808,FIND("-",CH808)+1,FIND("-",CH808,FIND("-",CH808)+1)-FIND("-",CH808)-1))),""))</f>
        <v/>
      </c>
      <c r="CO808">
        <f>IF(CH808="","",IFERROR(IF(AND(LEN(CH808)=9,ISERROR(FIND("-",LEFT(CH808,8))),ISNUMBER(-LEFT(CH808,8))),VALUE(MID(CH808,7,2)),VALUE(MID(CH808,FIND("-",CH808,FIND("-",CH808)+1)+1,FIND("-",CH808,FIND("-",CH808,FIND("-",CH808)+1)+1)-FIND("-",CH808,FIND("-",CH808)+1)-1))),""))</f>
        <v/>
      </c>
    </row>
    <row r="809">
      <c r="CH809">
        <f>IF(ISTEXT('월 가계부'!A809),SUBSTITUTE(SUBSTITUTE(SUBSTITUTE(SUBSTITUTE(SUBSTITUTE(SUBSTITUTE(SUBSTITUTE(SUBSTITUTE(SUBSTITUTE(TRIM('월 가계부'!A809),"년","-"),"월","-"),"일",""),".","-"),"/","-")," ","-"),"--","-"),"--","-"),"--","-")&amp;"-","")</f>
        <v/>
      </c>
      <c r="CI809">
        <f>IFERROR(IF('월 가계부'!A809="","",IF(ISNUMBER('월 가계부'!A809),IF(AND('월 가계부'!A809&gt;=19000101,'월 가계부'!A809&lt;=21001231),IF(AND(MOD(INT('월 가계부'!A809/100),100)&gt;=1,MOD(INT('월 가계부'!A809/100),100)&lt;=12,MOD(INT('월 가계부'!A809),100)&gt;=1,MOD(INT('월 가계부'!A809),100)&lt;=31),IF(MONTH(DATE(INT('월 가계부'!A809/10000),MOD(INT('월 가계부'!A809/100),100),MOD(INT('월 가계부'!A809),100)))=MOD(INT('월 가계부'!A809/100),100),DATE(INT('월 가계부'!A809/10000),MOD(INT('월 가계부'!A809/100),100),MOD(INT('월 가계부'!A809),100)),""),""),IF(AND('월 가계부'!A809&gt;=36526,'월 가계부'!A809&lt;73051),INT('월 가계부'!A809),"")),IF(OR(CM809="",CN809="",CO809=""),"",IF(AND(CM809&gt;=2000,CM809&lt;=2099,CN809&gt;=1,CN809&lt;=12,CO809&gt;=1,CO809&lt;=31),IF(MONTH(DATE(CM809,CN809,CO809))=CN809,DATE(CM809,CN809,CO809),""),"")))),"")</f>
        <v/>
      </c>
      <c r="CJ809">
        <f>IFERROR(IF('월 가계부'!C809="","",IF(ISNUMBER('월 가계부'!C809),'월 가계부'!C809,VALUE(SUBSTITUTE(SUBSTITUTE(SUBSTITUTE(SUBSTITUTE(TRIM('월 가계부'!C809),",",""),"원","")," ",""),"−","-")))),"")</f>
        <v/>
      </c>
      <c r="CK809">
        <f>IF(ISNUMBER(CI809),IF(CI809&lt;$B$13,CI809,""),"")</f>
        <v/>
      </c>
      <c r="CM809">
        <f>IF(CH809="","",IFERROR(IF(IF(AND(LEN(CH809)=9,ISERROR(FIND("-",LEFT(CH809,8))),ISNUMBER(-LEFT(CH809,8))),VALUE(LEFT(CH809,4)),VALUE(LEFT(CH809,FIND("-",CH809)-1)))&lt;100,IF(AND(LEN(CH809)=9,ISERROR(FIND("-",LEFT(CH809,8))),ISNUMBER(-LEFT(CH809,8))),VALUE(LEFT(CH809,4)),VALUE(LEFT(CH809,FIND("-",CH809)-1)))+2000,IF(AND(LEN(CH809)=9,ISERROR(FIND("-",LEFT(CH809,8))),ISNUMBER(-LEFT(CH809,8))),VALUE(LEFT(CH809,4)),VALUE(LEFT(CH809,FIND("-",CH809)-1)))),""))</f>
        <v/>
      </c>
      <c r="CN809">
        <f>IF(CH809="","",IFERROR(IF(AND(LEN(CH809)=9,ISERROR(FIND("-",LEFT(CH809,8))),ISNUMBER(-LEFT(CH809,8))),VALUE(MID(CH809,5,2)),VALUE(MID(CH809,FIND("-",CH809)+1,FIND("-",CH809,FIND("-",CH809)+1)-FIND("-",CH809)-1))),""))</f>
        <v/>
      </c>
      <c r="CO809">
        <f>IF(CH809="","",IFERROR(IF(AND(LEN(CH809)=9,ISERROR(FIND("-",LEFT(CH809,8))),ISNUMBER(-LEFT(CH809,8))),VALUE(MID(CH809,7,2)),VALUE(MID(CH809,FIND("-",CH809,FIND("-",CH809)+1)+1,FIND("-",CH809,FIND("-",CH809,FIND("-",CH809)+1)+1)-FIND("-",CH809,FIND("-",CH809)+1)-1))),""))</f>
        <v/>
      </c>
    </row>
    <row r="810">
      <c r="CH810">
        <f>IF(ISTEXT('월 가계부'!A810),SUBSTITUTE(SUBSTITUTE(SUBSTITUTE(SUBSTITUTE(SUBSTITUTE(SUBSTITUTE(SUBSTITUTE(SUBSTITUTE(SUBSTITUTE(TRIM('월 가계부'!A810),"년","-"),"월","-"),"일",""),".","-"),"/","-")," ","-"),"--","-"),"--","-"),"--","-")&amp;"-","")</f>
        <v/>
      </c>
      <c r="CI810">
        <f>IFERROR(IF('월 가계부'!A810="","",IF(ISNUMBER('월 가계부'!A810),IF(AND('월 가계부'!A810&gt;=19000101,'월 가계부'!A810&lt;=21001231),IF(AND(MOD(INT('월 가계부'!A810/100),100)&gt;=1,MOD(INT('월 가계부'!A810/100),100)&lt;=12,MOD(INT('월 가계부'!A810),100)&gt;=1,MOD(INT('월 가계부'!A810),100)&lt;=31),IF(MONTH(DATE(INT('월 가계부'!A810/10000),MOD(INT('월 가계부'!A810/100),100),MOD(INT('월 가계부'!A810),100)))=MOD(INT('월 가계부'!A810/100),100),DATE(INT('월 가계부'!A810/10000),MOD(INT('월 가계부'!A810/100),100),MOD(INT('월 가계부'!A810),100)),""),""),IF(AND('월 가계부'!A810&gt;=36526,'월 가계부'!A810&lt;73051),INT('월 가계부'!A810),"")),IF(OR(CM810="",CN810="",CO810=""),"",IF(AND(CM810&gt;=2000,CM810&lt;=2099,CN810&gt;=1,CN810&lt;=12,CO810&gt;=1,CO810&lt;=31),IF(MONTH(DATE(CM810,CN810,CO810))=CN810,DATE(CM810,CN810,CO810),""),"")))),"")</f>
        <v/>
      </c>
      <c r="CJ810">
        <f>IFERROR(IF('월 가계부'!C810="","",IF(ISNUMBER('월 가계부'!C810),'월 가계부'!C810,VALUE(SUBSTITUTE(SUBSTITUTE(SUBSTITUTE(SUBSTITUTE(TRIM('월 가계부'!C810),",",""),"원","")," ",""),"−","-")))),"")</f>
        <v/>
      </c>
      <c r="CK810">
        <f>IF(ISNUMBER(CI810),IF(CI810&lt;$B$13,CI810,""),"")</f>
        <v/>
      </c>
      <c r="CM810">
        <f>IF(CH810="","",IFERROR(IF(IF(AND(LEN(CH810)=9,ISERROR(FIND("-",LEFT(CH810,8))),ISNUMBER(-LEFT(CH810,8))),VALUE(LEFT(CH810,4)),VALUE(LEFT(CH810,FIND("-",CH810)-1)))&lt;100,IF(AND(LEN(CH810)=9,ISERROR(FIND("-",LEFT(CH810,8))),ISNUMBER(-LEFT(CH810,8))),VALUE(LEFT(CH810,4)),VALUE(LEFT(CH810,FIND("-",CH810)-1)))+2000,IF(AND(LEN(CH810)=9,ISERROR(FIND("-",LEFT(CH810,8))),ISNUMBER(-LEFT(CH810,8))),VALUE(LEFT(CH810,4)),VALUE(LEFT(CH810,FIND("-",CH810)-1)))),""))</f>
        <v/>
      </c>
      <c r="CN810">
        <f>IF(CH810="","",IFERROR(IF(AND(LEN(CH810)=9,ISERROR(FIND("-",LEFT(CH810,8))),ISNUMBER(-LEFT(CH810,8))),VALUE(MID(CH810,5,2)),VALUE(MID(CH810,FIND("-",CH810)+1,FIND("-",CH810,FIND("-",CH810)+1)-FIND("-",CH810)-1))),""))</f>
        <v/>
      </c>
      <c r="CO810">
        <f>IF(CH810="","",IFERROR(IF(AND(LEN(CH810)=9,ISERROR(FIND("-",LEFT(CH810,8))),ISNUMBER(-LEFT(CH810,8))),VALUE(MID(CH810,7,2)),VALUE(MID(CH810,FIND("-",CH810,FIND("-",CH810)+1)+1,FIND("-",CH810,FIND("-",CH810,FIND("-",CH810)+1)+1)-FIND("-",CH810,FIND("-",CH810)+1)-1))),""))</f>
        <v/>
      </c>
    </row>
    <row r="811">
      <c r="CH811">
        <f>IF(ISTEXT('월 가계부'!A811),SUBSTITUTE(SUBSTITUTE(SUBSTITUTE(SUBSTITUTE(SUBSTITUTE(SUBSTITUTE(SUBSTITUTE(SUBSTITUTE(SUBSTITUTE(TRIM('월 가계부'!A811),"년","-"),"월","-"),"일",""),".","-"),"/","-")," ","-"),"--","-"),"--","-"),"--","-")&amp;"-","")</f>
        <v/>
      </c>
      <c r="CI811">
        <f>IFERROR(IF('월 가계부'!A811="","",IF(ISNUMBER('월 가계부'!A811),IF(AND('월 가계부'!A811&gt;=19000101,'월 가계부'!A811&lt;=21001231),IF(AND(MOD(INT('월 가계부'!A811/100),100)&gt;=1,MOD(INT('월 가계부'!A811/100),100)&lt;=12,MOD(INT('월 가계부'!A811),100)&gt;=1,MOD(INT('월 가계부'!A811),100)&lt;=31),IF(MONTH(DATE(INT('월 가계부'!A811/10000),MOD(INT('월 가계부'!A811/100),100),MOD(INT('월 가계부'!A811),100)))=MOD(INT('월 가계부'!A811/100),100),DATE(INT('월 가계부'!A811/10000),MOD(INT('월 가계부'!A811/100),100),MOD(INT('월 가계부'!A811),100)),""),""),IF(AND('월 가계부'!A811&gt;=36526,'월 가계부'!A811&lt;73051),INT('월 가계부'!A811),"")),IF(OR(CM811="",CN811="",CO811=""),"",IF(AND(CM811&gt;=2000,CM811&lt;=2099,CN811&gt;=1,CN811&lt;=12,CO811&gt;=1,CO811&lt;=31),IF(MONTH(DATE(CM811,CN811,CO811))=CN811,DATE(CM811,CN811,CO811),""),"")))),"")</f>
        <v/>
      </c>
      <c r="CJ811">
        <f>IFERROR(IF('월 가계부'!C811="","",IF(ISNUMBER('월 가계부'!C811),'월 가계부'!C811,VALUE(SUBSTITUTE(SUBSTITUTE(SUBSTITUTE(SUBSTITUTE(TRIM('월 가계부'!C811),",",""),"원","")," ",""),"−","-")))),"")</f>
        <v/>
      </c>
      <c r="CK811">
        <f>IF(ISNUMBER(CI811),IF(CI811&lt;$B$13,CI811,""),"")</f>
        <v/>
      </c>
      <c r="CM811">
        <f>IF(CH811="","",IFERROR(IF(IF(AND(LEN(CH811)=9,ISERROR(FIND("-",LEFT(CH811,8))),ISNUMBER(-LEFT(CH811,8))),VALUE(LEFT(CH811,4)),VALUE(LEFT(CH811,FIND("-",CH811)-1)))&lt;100,IF(AND(LEN(CH811)=9,ISERROR(FIND("-",LEFT(CH811,8))),ISNUMBER(-LEFT(CH811,8))),VALUE(LEFT(CH811,4)),VALUE(LEFT(CH811,FIND("-",CH811)-1)))+2000,IF(AND(LEN(CH811)=9,ISERROR(FIND("-",LEFT(CH811,8))),ISNUMBER(-LEFT(CH811,8))),VALUE(LEFT(CH811,4)),VALUE(LEFT(CH811,FIND("-",CH811)-1)))),""))</f>
        <v/>
      </c>
      <c r="CN811">
        <f>IF(CH811="","",IFERROR(IF(AND(LEN(CH811)=9,ISERROR(FIND("-",LEFT(CH811,8))),ISNUMBER(-LEFT(CH811,8))),VALUE(MID(CH811,5,2)),VALUE(MID(CH811,FIND("-",CH811)+1,FIND("-",CH811,FIND("-",CH811)+1)-FIND("-",CH811)-1))),""))</f>
        <v/>
      </c>
      <c r="CO811">
        <f>IF(CH811="","",IFERROR(IF(AND(LEN(CH811)=9,ISERROR(FIND("-",LEFT(CH811,8))),ISNUMBER(-LEFT(CH811,8))),VALUE(MID(CH811,7,2)),VALUE(MID(CH811,FIND("-",CH811,FIND("-",CH811)+1)+1,FIND("-",CH811,FIND("-",CH811,FIND("-",CH811)+1)+1)-FIND("-",CH811,FIND("-",CH811)+1)-1))),""))</f>
        <v/>
      </c>
    </row>
    <row r="812">
      <c r="CH812">
        <f>IF(ISTEXT('월 가계부'!A812),SUBSTITUTE(SUBSTITUTE(SUBSTITUTE(SUBSTITUTE(SUBSTITUTE(SUBSTITUTE(SUBSTITUTE(SUBSTITUTE(SUBSTITUTE(TRIM('월 가계부'!A812),"년","-"),"월","-"),"일",""),".","-"),"/","-")," ","-"),"--","-"),"--","-"),"--","-")&amp;"-","")</f>
        <v/>
      </c>
      <c r="CI812">
        <f>IFERROR(IF('월 가계부'!A812="","",IF(ISNUMBER('월 가계부'!A812),IF(AND('월 가계부'!A812&gt;=19000101,'월 가계부'!A812&lt;=21001231),IF(AND(MOD(INT('월 가계부'!A812/100),100)&gt;=1,MOD(INT('월 가계부'!A812/100),100)&lt;=12,MOD(INT('월 가계부'!A812),100)&gt;=1,MOD(INT('월 가계부'!A812),100)&lt;=31),IF(MONTH(DATE(INT('월 가계부'!A812/10000),MOD(INT('월 가계부'!A812/100),100),MOD(INT('월 가계부'!A812),100)))=MOD(INT('월 가계부'!A812/100),100),DATE(INT('월 가계부'!A812/10000),MOD(INT('월 가계부'!A812/100),100),MOD(INT('월 가계부'!A812),100)),""),""),IF(AND('월 가계부'!A812&gt;=36526,'월 가계부'!A812&lt;73051),INT('월 가계부'!A812),"")),IF(OR(CM812="",CN812="",CO812=""),"",IF(AND(CM812&gt;=2000,CM812&lt;=2099,CN812&gt;=1,CN812&lt;=12,CO812&gt;=1,CO812&lt;=31),IF(MONTH(DATE(CM812,CN812,CO812))=CN812,DATE(CM812,CN812,CO812),""),"")))),"")</f>
        <v/>
      </c>
      <c r="CJ812">
        <f>IFERROR(IF('월 가계부'!C812="","",IF(ISNUMBER('월 가계부'!C812),'월 가계부'!C812,VALUE(SUBSTITUTE(SUBSTITUTE(SUBSTITUTE(SUBSTITUTE(TRIM('월 가계부'!C812),",",""),"원","")," ",""),"−","-")))),"")</f>
        <v/>
      </c>
      <c r="CK812">
        <f>IF(ISNUMBER(CI812),IF(CI812&lt;$B$13,CI812,""),"")</f>
        <v/>
      </c>
      <c r="CM812">
        <f>IF(CH812="","",IFERROR(IF(IF(AND(LEN(CH812)=9,ISERROR(FIND("-",LEFT(CH812,8))),ISNUMBER(-LEFT(CH812,8))),VALUE(LEFT(CH812,4)),VALUE(LEFT(CH812,FIND("-",CH812)-1)))&lt;100,IF(AND(LEN(CH812)=9,ISERROR(FIND("-",LEFT(CH812,8))),ISNUMBER(-LEFT(CH812,8))),VALUE(LEFT(CH812,4)),VALUE(LEFT(CH812,FIND("-",CH812)-1)))+2000,IF(AND(LEN(CH812)=9,ISERROR(FIND("-",LEFT(CH812,8))),ISNUMBER(-LEFT(CH812,8))),VALUE(LEFT(CH812,4)),VALUE(LEFT(CH812,FIND("-",CH812)-1)))),""))</f>
        <v/>
      </c>
      <c r="CN812">
        <f>IF(CH812="","",IFERROR(IF(AND(LEN(CH812)=9,ISERROR(FIND("-",LEFT(CH812,8))),ISNUMBER(-LEFT(CH812,8))),VALUE(MID(CH812,5,2)),VALUE(MID(CH812,FIND("-",CH812)+1,FIND("-",CH812,FIND("-",CH812)+1)-FIND("-",CH812)-1))),""))</f>
        <v/>
      </c>
      <c r="CO812">
        <f>IF(CH812="","",IFERROR(IF(AND(LEN(CH812)=9,ISERROR(FIND("-",LEFT(CH812,8))),ISNUMBER(-LEFT(CH812,8))),VALUE(MID(CH812,7,2)),VALUE(MID(CH812,FIND("-",CH812,FIND("-",CH812)+1)+1,FIND("-",CH812,FIND("-",CH812,FIND("-",CH812)+1)+1)-FIND("-",CH812,FIND("-",CH812)+1)-1))),""))</f>
        <v/>
      </c>
    </row>
    <row r="813">
      <c r="CH813">
        <f>IF(ISTEXT('월 가계부'!A813),SUBSTITUTE(SUBSTITUTE(SUBSTITUTE(SUBSTITUTE(SUBSTITUTE(SUBSTITUTE(SUBSTITUTE(SUBSTITUTE(SUBSTITUTE(TRIM('월 가계부'!A813),"년","-"),"월","-"),"일",""),".","-"),"/","-")," ","-"),"--","-"),"--","-"),"--","-")&amp;"-","")</f>
        <v/>
      </c>
      <c r="CI813">
        <f>IFERROR(IF('월 가계부'!A813="","",IF(ISNUMBER('월 가계부'!A813),IF(AND('월 가계부'!A813&gt;=19000101,'월 가계부'!A813&lt;=21001231),IF(AND(MOD(INT('월 가계부'!A813/100),100)&gt;=1,MOD(INT('월 가계부'!A813/100),100)&lt;=12,MOD(INT('월 가계부'!A813),100)&gt;=1,MOD(INT('월 가계부'!A813),100)&lt;=31),IF(MONTH(DATE(INT('월 가계부'!A813/10000),MOD(INT('월 가계부'!A813/100),100),MOD(INT('월 가계부'!A813),100)))=MOD(INT('월 가계부'!A813/100),100),DATE(INT('월 가계부'!A813/10000),MOD(INT('월 가계부'!A813/100),100),MOD(INT('월 가계부'!A813),100)),""),""),IF(AND('월 가계부'!A813&gt;=36526,'월 가계부'!A813&lt;73051),INT('월 가계부'!A813),"")),IF(OR(CM813="",CN813="",CO813=""),"",IF(AND(CM813&gt;=2000,CM813&lt;=2099,CN813&gt;=1,CN813&lt;=12,CO813&gt;=1,CO813&lt;=31),IF(MONTH(DATE(CM813,CN813,CO813))=CN813,DATE(CM813,CN813,CO813),""),"")))),"")</f>
        <v/>
      </c>
      <c r="CJ813">
        <f>IFERROR(IF('월 가계부'!C813="","",IF(ISNUMBER('월 가계부'!C813),'월 가계부'!C813,VALUE(SUBSTITUTE(SUBSTITUTE(SUBSTITUTE(SUBSTITUTE(TRIM('월 가계부'!C813),",",""),"원","")," ",""),"−","-")))),"")</f>
        <v/>
      </c>
      <c r="CK813">
        <f>IF(ISNUMBER(CI813),IF(CI813&lt;$B$13,CI813,""),"")</f>
        <v/>
      </c>
      <c r="CM813">
        <f>IF(CH813="","",IFERROR(IF(IF(AND(LEN(CH813)=9,ISERROR(FIND("-",LEFT(CH813,8))),ISNUMBER(-LEFT(CH813,8))),VALUE(LEFT(CH813,4)),VALUE(LEFT(CH813,FIND("-",CH813)-1)))&lt;100,IF(AND(LEN(CH813)=9,ISERROR(FIND("-",LEFT(CH813,8))),ISNUMBER(-LEFT(CH813,8))),VALUE(LEFT(CH813,4)),VALUE(LEFT(CH813,FIND("-",CH813)-1)))+2000,IF(AND(LEN(CH813)=9,ISERROR(FIND("-",LEFT(CH813,8))),ISNUMBER(-LEFT(CH813,8))),VALUE(LEFT(CH813,4)),VALUE(LEFT(CH813,FIND("-",CH813)-1)))),""))</f>
        <v/>
      </c>
      <c r="CN813">
        <f>IF(CH813="","",IFERROR(IF(AND(LEN(CH813)=9,ISERROR(FIND("-",LEFT(CH813,8))),ISNUMBER(-LEFT(CH813,8))),VALUE(MID(CH813,5,2)),VALUE(MID(CH813,FIND("-",CH813)+1,FIND("-",CH813,FIND("-",CH813)+1)-FIND("-",CH813)-1))),""))</f>
        <v/>
      </c>
      <c r="CO813">
        <f>IF(CH813="","",IFERROR(IF(AND(LEN(CH813)=9,ISERROR(FIND("-",LEFT(CH813,8))),ISNUMBER(-LEFT(CH813,8))),VALUE(MID(CH813,7,2)),VALUE(MID(CH813,FIND("-",CH813,FIND("-",CH813)+1)+1,FIND("-",CH813,FIND("-",CH813,FIND("-",CH813)+1)+1)-FIND("-",CH813,FIND("-",CH813)+1)-1))),""))</f>
        <v/>
      </c>
    </row>
    <row r="814">
      <c r="CH814">
        <f>IF(ISTEXT('월 가계부'!A814),SUBSTITUTE(SUBSTITUTE(SUBSTITUTE(SUBSTITUTE(SUBSTITUTE(SUBSTITUTE(SUBSTITUTE(SUBSTITUTE(SUBSTITUTE(TRIM('월 가계부'!A814),"년","-"),"월","-"),"일",""),".","-"),"/","-")," ","-"),"--","-"),"--","-"),"--","-")&amp;"-","")</f>
        <v/>
      </c>
      <c r="CI814">
        <f>IFERROR(IF('월 가계부'!A814="","",IF(ISNUMBER('월 가계부'!A814),IF(AND('월 가계부'!A814&gt;=19000101,'월 가계부'!A814&lt;=21001231),IF(AND(MOD(INT('월 가계부'!A814/100),100)&gt;=1,MOD(INT('월 가계부'!A814/100),100)&lt;=12,MOD(INT('월 가계부'!A814),100)&gt;=1,MOD(INT('월 가계부'!A814),100)&lt;=31),IF(MONTH(DATE(INT('월 가계부'!A814/10000),MOD(INT('월 가계부'!A814/100),100),MOD(INT('월 가계부'!A814),100)))=MOD(INT('월 가계부'!A814/100),100),DATE(INT('월 가계부'!A814/10000),MOD(INT('월 가계부'!A814/100),100),MOD(INT('월 가계부'!A814),100)),""),""),IF(AND('월 가계부'!A814&gt;=36526,'월 가계부'!A814&lt;73051),INT('월 가계부'!A814),"")),IF(OR(CM814="",CN814="",CO814=""),"",IF(AND(CM814&gt;=2000,CM814&lt;=2099,CN814&gt;=1,CN814&lt;=12,CO814&gt;=1,CO814&lt;=31),IF(MONTH(DATE(CM814,CN814,CO814))=CN814,DATE(CM814,CN814,CO814),""),"")))),"")</f>
        <v/>
      </c>
      <c r="CJ814">
        <f>IFERROR(IF('월 가계부'!C814="","",IF(ISNUMBER('월 가계부'!C814),'월 가계부'!C814,VALUE(SUBSTITUTE(SUBSTITUTE(SUBSTITUTE(SUBSTITUTE(TRIM('월 가계부'!C814),",",""),"원","")," ",""),"−","-")))),"")</f>
        <v/>
      </c>
      <c r="CK814">
        <f>IF(ISNUMBER(CI814),IF(CI814&lt;$B$13,CI814,""),"")</f>
        <v/>
      </c>
      <c r="CM814">
        <f>IF(CH814="","",IFERROR(IF(IF(AND(LEN(CH814)=9,ISERROR(FIND("-",LEFT(CH814,8))),ISNUMBER(-LEFT(CH814,8))),VALUE(LEFT(CH814,4)),VALUE(LEFT(CH814,FIND("-",CH814)-1)))&lt;100,IF(AND(LEN(CH814)=9,ISERROR(FIND("-",LEFT(CH814,8))),ISNUMBER(-LEFT(CH814,8))),VALUE(LEFT(CH814,4)),VALUE(LEFT(CH814,FIND("-",CH814)-1)))+2000,IF(AND(LEN(CH814)=9,ISERROR(FIND("-",LEFT(CH814,8))),ISNUMBER(-LEFT(CH814,8))),VALUE(LEFT(CH814,4)),VALUE(LEFT(CH814,FIND("-",CH814)-1)))),""))</f>
        <v/>
      </c>
      <c r="CN814">
        <f>IF(CH814="","",IFERROR(IF(AND(LEN(CH814)=9,ISERROR(FIND("-",LEFT(CH814,8))),ISNUMBER(-LEFT(CH814,8))),VALUE(MID(CH814,5,2)),VALUE(MID(CH814,FIND("-",CH814)+1,FIND("-",CH814,FIND("-",CH814)+1)-FIND("-",CH814)-1))),""))</f>
        <v/>
      </c>
      <c r="CO814">
        <f>IF(CH814="","",IFERROR(IF(AND(LEN(CH814)=9,ISERROR(FIND("-",LEFT(CH814,8))),ISNUMBER(-LEFT(CH814,8))),VALUE(MID(CH814,7,2)),VALUE(MID(CH814,FIND("-",CH814,FIND("-",CH814)+1)+1,FIND("-",CH814,FIND("-",CH814,FIND("-",CH814)+1)+1)-FIND("-",CH814,FIND("-",CH814)+1)-1))),""))</f>
        <v/>
      </c>
    </row>
    <row r="815">
      <c r="CH815">
        <f>IF(ISTEXT('월 가계부'!A815),SUBSTITUTE(SUBSTITUTE(SUBSTITUTE(SUBSTITUTE(SUBSTITUTE(SUBSTITUTE(SUBSTITUTE(SUBSTITUTE(SUBSTITUTE(TRIM('월 가계부'!A815),"년","-"),"월","-"),"일",""),".","-"),"/","-")," ","-"),"--","-"),"--","-"),"--","-")&amp;"-","")</f>
        <v/>
      </c>
      <c r="CI815">
        <f>IFERROR(IF('월 가계부'!A815="","",IF(ISNUMBER('월 가계부'!A815),IF(AND('월 가계부'!A815&gt;=19000101,'월 가계부'!A815&lt;=21001231),IF(AND(MOD(INT('월 가계부'!A815/100),100)&gt;=1,MOD(INT('월 가계부'!A815/100),100)&lt;=12,MOD(INT('월 가계부'!A815),100)&gt;=1,MOD(INT('월 가계부'!A815),100)&lt;=31),IF(MONTH(DATE(INT('월 가계부'!A815/10000),MOD(INT('월 가계부'!A815/100),100),MOD(INT('월 가계부'!A815),100)))=MOD(INT('월 가계부'!A815/100),100),DATE(INT('월 가계부'!A815/10000),MOD(INT('월 가계부'!A815/100),100),MOD(INT('월 가계부'!A815),100)),""),""),IF(AND('월 가계부'!A815&gt;=36526,'월 가계부'!A815&lt;73051),INT('월 가계부'!A815),"")),IF(OR(CM815="",CN815="",CO815=""),"",IF(AND(CM815&gt;=2000,CM815&lt;=2099,CN815&gt;=1,CN815&lt;=12,CO815&gt;=1,CO815&lt;=31),IF(MONTH(DATE(CM815,CN815,CO815))=CN815,DATE(CM815,CN815,CO815),""),"")))),"")</f>
        <v/>
      </c>
      <c r="CJ815">
        <f>IFERROR(IF('월 가계부'!C815="","",IF(ISNUMBER('월 가계부'!C815),'월 가계부'!C815,VALUE(SUBSTITUTE(SUBSTITUTE(SUBSTITUTE(SUBSTITUTE(TRIM('월 가계부'!C815),",",""),"원","")," ",""),"−","-")))),"")</f>
        <v/>
      </c>
      <c r="CK815">
        <f>IF(ISNUMBER(CI815),IF(CI815&lt;$B$13,CI815,""),"")</f>
        <v/>
      </c>
      <c r="CM815">
        <f>IF(CH815="","",IFERROR(IF(IF(AND(LEN(CH815)=9,ISERROR(FIND("-",LEFT(CH815,8))),ISNUMBER(-LEFT(CH815,8))),VALUE(LEFT(CH815,4)),VALUE(LEFT(CH815,FIND("-",CH815)-1)))&lt;100,IF(AND(LEN(CH815)=9,ISERROR(FIND("-",LEFT(CH815,8))),ISNUMBER(-LEFT(CH815,8))),VALUE(LEFT(CH815,4)),VALUE(LEFT(CH815,FIND("-",CH815)-1)))+2000,IF(AND(LEN(CH815)=9,ISERROR(FIND("-",LEFT(CH815,8))),ISNUMBER(-LEFT(CH815,8))),VALUE(LEFT(CH815,4)),VALUE(LEFT(CH815,FIND("-",CH815)-1)))),""))</f>
        <v/>
      </c>
      <c r="CN815">
        <f>IF(CH815="","",IFERROR(IF(AND(LEN(CH815)=9,ISERROR(FIND("-",LEFT(CH815,8))),ISNUMBER(-LEFT(CH815,8))),VALUE(MID(CH815,5,2)),VALUE(MID(CH815,FIND("-",CH815)+1,FIND("-",CH815,FIND("-",CH815)+1)-FIND("-",CH815)-1))),""))</f>
        <v/>
      </c>
      <c r="CO815">
        <f>IF(CH815="","",IFERROR(IF(AND(LEN(CH815)=9,ISERROR(FIND("-",LEFT(CH815,8))),ISNUMBER(-LEFT(CH815,8))),VALUE(MID(CH815,7,2)),VALUE(MID(CH815,FIND("-",CH815,FIND("-",CH815)+1)+1,FIND("-",CH815,FIND("-",CH815,FIND("-",CH815)+1)+1)-FIND("-",CH815,FIND("-",CH815)+1)-1))),""))</f>
        <v/>
      </c>
    </row>
    <row r="816">
      <c r="CH816">
        <f>IF(ISTEXT('월 가계부'!A816),SUBSTITUTE(SUBSTITUTE(SUBSTITUTE(SUBSTITUTE(SUBSTITUTE(SUBSTITUTE(SUBSTITUTE(SUBSTITUTE(SUBSTITUTE(TRIM('월 가계부'!A816),"년","-"),"월","-"),"일",""),".","-"),"/","-")," ","-"),"--","-"),"--","-"),"--","-")&amp;"-","")</f>
        <v/>
      </c>
      <c r="CI816">
        <f>IFERROR(IF('월 가계부'!A816="","",IF(ISNUMBER('월 가계부'!A816),IF(AND('월 가계부'!A816&gt;=19000101,'월 가계부'!A816&lt;=21001231),IF(AND(MOD(INT('월 가계부'!A816/100),100)&gt;=1,MOD(INT('월 가계부'!A816/100),100)&lt;=12,MOD(INT('월 가계부'!A816),100)&gt;=1,MOD(INT('월 가계부'!A816),100)&lt;=31),IF(MONTH(DATE(INT('월 가계부'!A816/10000),MOD(INT('월 가계부'!A816/100),100),MOD(INT('월 가계부'!A816),100)))=MOD(INT('월 가계부'!A816/100),100),DATE(INT('월 가계부'!A816/10000),MOD(INT('월 가계부'!A816/100),100),MOD(INT('월 가계부'!A816),100)),""),""),IF(AND('월 가계부'!A816&gt;=36526,'월 가계부'!A816&lt;73051),INT('월 가계부'!A816),"")),IF(OR(CM816="",CN816="",CO816=""),"",IF(AND(CM816&gt;=2000,CM816&lt;=2099,CN816&gt;=1,CN816&lt;=12,CO816&gt;=1,CO816&lt;=31),IF(MONTH(DATE(CM816,CN816,CO816))=CN816,DATE(CM816,CN816,CO816),""),"")))),"")</f>
        <v/>
      </c>
      <c r="CJ816">
        <f>IFERROR(IF('월 가계부'!C816="","",IF(ISNUMBER('월 가계부'!C816),'월 가계부'!C816,VALUE(SUBSTITUTE(SUBSTITUTE(SUBSTITUTE(SUBSTITUTE(TRIM('월 가계부'!C816),",",""),"원","")," ",""),"−","-")))),"")</f>
        <v/>
      </c>
      <c r="CK816">
        <f>IF(ISNUMBER(CI816),IF(CI816&lt;$B$13,CI816,""),"")</f>
        <v/>
      </c>
      <c r="CM816">
        <f>IF(CH816="","",IFERROR(IF(IF(AND(LEN(CH816)=9,ISERROR(FIND("-",LEFT(CH816,8))),ISNUMBER(-LEFT(CH816,8))),VALUE(LEFT(CH816,4)),VALUE(LEFT(CH816,FIND("-",CH816)-1)))&lt;100,IF(AND(LEN(CH816)=9,ISERROR(FIND("-",LEFT(CH816,8))),ISNUMBER(-LEFT(CH816,8))),VALUE(LEFT(CH816,4)),VALUE(LEFT(CH816,FIND("-",CH816)-1)))+2000,IF(AND(LEN(CH816)=9,ISERROR(FIND("-",LEFT(CH816,8))),ISNUMBER(-LEFT(CH816,8))),VALUE(LEFT(CH816,4)),VALUE(LEFT(CH816,FIND("-",CH816)-1)))),""))</f>
        <v/>
      </c>
      <c r="CN816">
        <f>IF(CH816="","",IFERROR(IF(AND(LEN(CH816)=9,ISERROR(FIND("-",LEFT(CH816,8))),ISNUMBER(-LEFT(CH816,8))),VALUE(MID(CH816,5,2)),VALUE(MID(CH816,FIND("-",CH816)+1,FIND("-",CH816,FIND("-",CH816)+1)-FIND("-",CH816)-1))),""))</f>
        <v/>
      </c>
      <c r="CO816">
        <f>IF(CH816="","",IFERROR(IF(AND(LEN(CH816)=9,ISERROR(FIND("-",LEFT(CH816,8))),ISNUMBER(-LEFT(CH816,8))),VALUE(MID(CH816,7,2)),VALUE(MID(CH816,FIND("-",CH816,FIND("-",CH816)+1)+1,FIND("-",CH816,FIND("-",CH816,FIND("-",CH816)+1)+1)-FIND("-",CH816,FIND("-",CH816)+1)-1))),""))</f>
        <v/>
      </c>
    </row>
    <row r="817">
      <c r="CH817">
        <f>IF(ISTEXT('월 가계부'!A817),SUBSTITUTE(SUBSTITUTE(SUBSTITUTE(SUBSTITUTE(SUBSTITUTE(SUBSTITUTE(SUBSTITUTE(SUBSTITUTE(SUBSTITUTE(TRIM('월 가계부'!A817),"년","-"),"월","-"),"일",""),".","-"),"/","-")," ","-"),"--","-"),"--","-"),"--","-")&amp;"-","")</f>
        <v/>
      </c>
      <c r="CI817">
        <f>IFERROR(IF('월 가계부'!A817="","",IF(ISNUMBER('월 가계부'!A817),IF(AND('월 가계부'!A817&gt;=19000101,'월 가계부'!A817&lt;=21001231),IF(AND(MOD(INT('월 가계부'!A817/100),100)&gt;=1,MOD(INT('월 가계부'!A817/100),100)&lt;=12,MOD(INT('월 가계부'!A817),100)&gt;=1,MOD(INT('월 가계부'!A817),100)&lt;=31),IF(MONTH(DATE(INT('월 가계부'!A817/10000),MOD(INT('월 가계부'!A817/100),100),MOD(INT('월 가계부'!A817),100)))=MOD(INT('월 가계부'!A817/100),100),DATE(INT('월 가계부'!A817/10000),MOD(INT('월 가계부'!A817/100),100),MOD(INT('월 가계부'!A817),100)),""),""),IF(AND('월 가계부'!A817&gt;=36526,'월 가계부'!A817&lt;73051),INT('월 가계부'!A817),"")),IF(OR(CM817="",CN817="",CO817=""),"",IF(AND(CM817&gt;=2000,CM817&lt;=2099,CN817&gt;=1,CN817&lt;=12,CO817&gt;=1,CO817&lt;=31),IF(MONTH(DATE(CM817,CN817,CO817))=CN817,DATE(CM817,CN817,CO817),""),"")))),"")</f>
        <v/>
      </c>
      <c r="CJ817">
        <f>IFERROR(IF('월 가계부'!C817="","",IF(ISNUMBER('월 가계부'!C817),'월 가계부'!C817,VALUE(SUBSTITUTE(SUBSTITUTE(SUBSTITUTE(SUBSTITUTE(TRIM('월 가계부'!C817),",",""),"원","")," ",""),"−","-")))),"")</f>
        <v/>
      </c>
      <c r="CK817">
        <f>IF(ISNUMBER(CI817),IF(CI817&lt;$B$13,CI817,""),"")</f>
        <v/>
      </c>
      <c r="CM817">
        <f>IF(CH817="","",IFERROR(IF(IF(AND(LEN(CH817)=9,ISERROR(FIND("-",LEFT(CH817,8))),ISNUMBER(-LEFT(CH817,8))),VALUE(LEFT(CH817,4)),VALUE(LEFT(CH817,FIND("-",CH817)-1)))&lt;100,IF(AND(LEN(CH817)=9,ISERROR(FIND("-",LEFT(CH817,8))),ISNUMBER(-LEFT(CH817,8))),VALUE(LEFT(CH817,4)),VALUE(LEFT(CH817,FIND("-",CH817)-1)))+2000,IF(AND(LEN(CH817)=9,ISERROR(FIND("-",LEFT(CH817,8))),ISNUMBER(-LEFT(CH817,8))),VALUE(LEFT(CH817,4)),VALUE(LEFT(CH817,FIND("-",CH817)-1)))),""))</f>
        <v/>
      </c>
      <c r="CN817">
        <f>IF(CH817="","",IFERROR(IF(AND(LEN(CH817)=9,ISERROR(FIND("-",LEFT(CH817,8))),ISNUMBER(-LEFT(CH817,8))),VALUE(MID(CH817,5,2)),VALUE(MID(CH817,FIND("-",CH817)+1,FIND("-",CH817,FIND("-",CH817)+1)-FIND("-",CH817)-1))),""))</f>
        <v/>
      </c>
      <c r="CO817">
        <f>IF(CH817="","",IFERROR(IF(AND(LEN(CH817)=9,ISERROR(FIND("-",LEFT(CH817,8))),ISNUMBER(-LEFT(CH817,8))),VALUE(MID(CH817,7,2)),VALUE(MID(CH817,FIND("-",CH817,FIND("-",CH817)+1)+1,FIND("-",CH817,FIND("-",CH817,FIND("-",CH817)+1)+1)-FIND("-",CH817,FIND("-",CH817)+1)-1))),""))</f>
        <v/>
      </c>
    </row>
    <row r="818">
      <c r="CH818">
        <f>IF(ISTEXT('월 가계부'!A818),SUBSTITUTE(SUBSTITUTE(SUBSTITUTE(SUBSTITUTE(SUBSTITUTE(SUBSTITUTE(SUBSTITUTE(SUBSTITUTE(SUBSTITUTE(TRIM('월 가계부'!A818),"년","-"),"월","-"),"일",""),".","-"),"/","-")," ","-"),"--","-"),"--","-"),"--","-")&amp;"-","")</f>
        <v/>
      </c>
      <c r="CI818">
        <f>IFERROR(IF('월 가계부'!A818="","",IF(ISNUMBER('월 가계부'!A818),IF(AND('월 가계부'!A818&gt;=19000101,'월 가계부'!A818&lt;=21001231),IF(AND(MOD(INT('월 가계부'!A818/100),100)&gt;=1,MOD(INT('월 가계부'!A818/100),100)&lt;=12,MOD(INT('월 가계부'!A818),100)&gt;=1,MOD(INT('월 가계부'!A818),100)&lt;=31),IF(MONTH(DATE(INT('월 가계부'!A818/10000),MOD(INT('월 가계부'!A818/100),100),MOD(INT('월 가계부'!A818),100)))=MOD(INT('월 가계부'!A818/100),100),DATE(INT('월 가계부'!A818/10000),MOD(INT('월 가계부'!A818/100),100),MOD(INT('월 가계부'!A818),100)),""),""),IF(AND('월 가계부'!A818&gt;=36526,'월 가계부'!A818&lt;73051),INT('월 가계부'!A818),"")),IF(OR(CM818="",CN818="",CO818=""),"",IF(AND(CM818&gt;=2000,CM818&lt;=2099,CN818&gt;=1,CN818&lt;=12,CO818&gt;=1,CO818&lt;=31),IF(MONTH(DATE(CM818,CN818,CO818))=CN818,DATE(CM818,CN818,CO818),""),"")))),"")</f>
        <v/>
      </c>
      <c r="CJ818">
        <f>IFERROR(IF('월 가계부'!C818="","",IF(ISNUMBER('월 가계부'!C818),'월 가계부'!C818,VALUE(SUBSTITUTE(SUBSTITUTE(SUBSTITUTE(SUBSTITUTE(TRIM('월 가계부'!C818),",",""),"원","")," ",""),"−","-")))),"")</f>
        <v/>
      </c>
      <c r="CK818">
        <f>IF(ISNUMBER(CI818),IF(CI818&lt;$B$13,CI818,""),"")</f>
        <v/>
      </c>
      <c r="CM818">
        <f>IF(CH818="","",IFERROR(IF(IF(AND(LEN(CH818)=9,ISERROR(FIND("-",LEFT(CH818,8))),ISNUMBER(-LEFT(CH818,8))),VALUE(LEFT(CH818,4)),VALUE(LEFT(CH818,FIND("-",CH818)-1)))&lt;100,IF(AND(LEN(CH818)=9,ISERROR(FIND("-",LEFT(CH818,8))),ISNUMBER(-LEFT(CH818,8))),VALUE(LEFT(CH818,4)),VALUE(LEFT(CH818,FIND("-",CH818)-1)))+2000,IF(AND(LEN(CH818)=9,ISERROR(FIND("-",LEFT(CH818,8))),ISNUMBER(-LEFT(CH818,8))),VALUE(LEFT(CH818,4)),VALUE(LEFT(CH818,FIND("-",CH818)-1)))),""))</f>
        <v/>
      </c>
      <c r="CN818">
        <f>IF(CH818="","",IFERROR(IF(AND(LEN(CH818)=9,ISERROR(FIND("-",LEFT(CH818,8))),ISNUMBER(-LEFT(CH818,8))),VALUE(MID(CH818,5,2)),VALUE(MID(CH818,FIND("-",CH818)+1,FIND("-",CH818,FIND("-",CH818)+1)-FIND("-",CH818)-1))),""))</f>
        <v/>
      </c>
      <c r="CO818">
        <f>IF(CH818="","",IFERROR(IF(AND(LEN(CH818)=9,ISERROR(FIND("-",LEFT(CH818,8))),ISNUMBER(-LEFT(CH818,8))),VALUE(MID(CH818,7,2)),VALUE(MID(CH818,FIND("-",CH818,FIND("-",CH818)+1)+1,FIND("-",CH818,FIND("-",CH818,FIND("-",CH818)+1)+1)-FIND("-",CH818,FIND("-",CH818)+1)-1))),""))</f>
        <v/>
      </c>
    </row>
    <row r="819">
      <c r="CH819">
        <f>IF(ISTEXT('월 가계부'!A819),SUBSTITUTE(SUBSTITUTE(SUBSTITUTE(SUBSTITUTE(SUBSTITUTE(SUBSTITUTE(SUBSTITUTE(SUBSTITUTE(SUBSTITUTE(TRIM('월 가계부'!A819),"년","-"),"월","-"),"일",""),".","-"),"/","-")," ","-"),"--","-"),"--","-"),"--","-")&amp;"-","")</f>
        <v/>
      </c>
      <c r="CI819">
        <f>IFERROR(IF('월 가계부'!A819="","",IF(ISNUMBER('월 가계부'!A819),IF(AND('월 가계부'!A819&gt;=19000101,'월 가계부'!A819&lt;=21001231),IF(AND(MOD(INT('월 가계부'!A819/100),100)&gt;=1,MOD(INT('월 가계부'!A819/100),100)&lt;=12,MOD(INT('월 가계부'!A819),100)&gt;=1,MOD(INT('월 가계부'!A819),100)&lt;=31),IF(MONTH(DATE(INT('월 가계부'!A819/10000),MOD(INT('월 가계부'!A819/100),100),MOD(INT('월 가계부'!A819),100)))=MOD(INT('월 가계부'!A819/100),100),DATE(INT('월 가계부'!A819/10000),MOD(INT('월 가계부'!A819/100),100),MOD(INT('월 가계부'!A819),100)),""),""),IF(AND('월 가계부'!A819&gt;=36526,'월 가계부'!A819&lt;73051),INT('월 가계부'!A819),"")),IF(OR(CM819="",CN819="",CO819=""),"",IF(AND(CM819&gt;=2000,CM819&lt;=2099,CN819&gt;=1,CN819&lt;=12,CO819&gt;=1,CO819&lt;=31),IF(MONTH(DATE(CM819,CN819,CO819))=CN819,DATE(CM819,CN819,CO819),""),"")))),"")</f>
        <v/>
      </c>
      <c r="CJ819">
        <f>IFERROR(IF('월 가계부'!C819="","",IF(ISNUMBER('월 가계부'!C819),'월 가계부'!C819,VALUE(SUBSTITUTE(SUBSTITUTE(SUBSTITUTE(SUBSTITUTE(TRIM('월 가계부'!C819),",",""),"원","")," ",""),"−","-")))),"")</f>
        <v/>
      </c>
      <c r="CK819">
        <f>IF(ISNUMBER(CI819),IF(CI819&lt;$B$13,CI819,""),"")</f>
        <v/>
      </c>
      <c r="CM819">
        <f>IF(CH819="","",IFERROR(IF(IF(AND(LEN(CH819)=9,ISERROR(FIND("-",LEFT(CH819,8))),ISNUMBER(-LEFT(CH819,8))),VALUE(LEFT(CH819,4)),VALUE(LEFT(CH819,FIND("-",CH819)-1)))&lt;100,IF(AND(LEN(CH819)=9,ISERROR(FIND("-",LEFT(CH819,8))),ISNUMBER(-LEFT(CH819,8))),VALUE(LEFT(CH819,4)),VALUE(LEFT(CH819,FIND("-",CH819)-1)))+2000,IF(AND(LEN(CH819)=9,ISERROR(FIND("-",LEFT(CH819,8))),ISNUMBER(-LEFT(CH819,8))),VALUE(LEFT(CH819,4)),VALUE(LEFT(CH819,FIND("-",CH819)-1)))),""))</f>
        <v/>
      </c>
      <c r="CN819">
        <f>IF(CH819="","",IFERROR(IF(AND(LEN(CH819)=9,ISERROR(FIND("-",LEFT(CH819,8))),ISNUMBER(-LEFT(CH819,8))),VALUE(MID(CH819,5,2)),VALUE(MID(CH819,FIND("-",CH819)+1,FIND("-",CH819,FIND("-",CH819)+1)-FIND("-",CH819)-1))),""))</f>
        <v/>
      </c>
      <c r="CO819">
        <f>IF(CH819="","",IFERROR(IF(AND(LEN(CH819)=9,ISERROR(FIND("-",LEFT(CH819,8))),ISNUMBER(-LEFT(CH819,8))),VALUE(MID(CH819,7,2)),VALUE(MID(CH819,FIND("-",CH819,FIND("-",CH819)+1)+1,FIND("-",CH819,FIND("-",CH819,FIND("-",CH819)+1)+1)-FIND("-",CH819,FIND("-",CH819)+1)-1))),""))</f>
        <v/>
      </c>
    </row>
    <row r="820">
      <c r="CH820">
        <f>IF(ISTEXT('월 가계부'!A820),SUBSTITUTE(SUBSTITUTE(SUBSTITUTE(SUBSTITUTE(SUBSTITUTE(SUBSTITUTE(SUBSTITUTE(SUBSTITUTE(SUBSTITUTE(TRIM('월 가계부'!A820),"년","-"),"월","-"),"일",""),".","-"),"/","-")," ","-"),"--","-"),"--","-"),"--","-")&amp;"-","")</f>
        <v/>
      </c>
      <c r="CI820">
        <f>IFERROR(IF('월 가계부'!A820="","",IF(ISNUMBER('월 가계부'!A820),IF(AND('월 가계부'!A820&gt;=19000101,'월 가계부'!A820&lt;=21001231),IF(AND(MOD(INT('월 가계부'!A820/100),100)&gt;=1,MOD(INT('월 가계부'!A820/100),100)&lt;=12,MOD(INT('월 가계부'!A820),100)&gt;=1,MOD(INT('월 가계부'!A820),100)&lt;=31),IF(MONTH(DATE(INT('월 가계부'!A820/10000),MOD(INT('월 가계부'!A820/100),100),MOD(INT('월 가계부'!A820),100)))=MOD(INT('월 가계부'!A820/100),100),DATE(INT('월 가계부'!A820/10000),MOD(INT('월 가계부'!A820/100),100),MOD(INT('월 가계부'!A820),100)),""),""),IF(AND('월 가계부'!A820&gt;=36526,'월 가계부'!A820&lt;73051),INT('월 가계부'!A820),"")),IF(OR(CM820="",CN820="",CO820=""),"",IF(AND(CM820&gt;=2000,CM820&lt;=2099,CN820&gt;=1,CN820&lt;=12,CO820&gt;=1,CO820&lt;=31),IF(MONTH(DATE(CM820,CN820,CO820))=CN820,DATE(CM820,CN820,CO820),""),"")))),"")</f>
        <v/>
      </c>
      <c r="CJ820">
        <f>IFERROR(IF('월 가계부'!C820="","",IF(ISNUMBER('월 가계부'!C820),'월 가계부'!C820,VALUE(SUBSTITUTE(SUBSTITUTE(SUBSTITUTE(SUBSTITUTE(TRIM('월 가계부'!C820),",",""),"원","")," ",""),"−","-")))),"")</f>
        <v/>
      </c>
      <c r="CK820">
        <f>IF(ISNUMBER(CI820),IF(CI820&lt;$B$13,CI820,""),"")</f>
        <v/>
      </c>
      <c r="CM820">
        <f>IF(CH820="","",IFERROR(IF(IF(AND(LEN(CH820)=9,ISERROR(FIND("-",LEFT(CH820,8))),ISNUMBER(-LEFT(CH820,8))),VALUE(LEFT(CH820,4)),VALUE(LEFT(CH820,FIND("-",CH820)-1)))&lt;100,IF(AND(LEN(CH820)=9,ISERROR(FIND("-",LEFT(CH820,8))),ISNUMBER(-LEFT(CH820,8))),VALUE(LEFT(CH820,4)),VALUE(LEFT(CH820,FIND("-",CH820)-1)))+2000,IF(AND(LEN(CH820)=9,ISERROR(FIND("-",LEFT(CH820,8))),ISNUMBER(-LEFT(CH820,8))),VALUE(LEFT(CH820,4)),VALUE(LEFT(CH820,FIND("-",CH820)-1)))),""))</f>
        <v/>
      </c>
      <c r="CN820">
        <f>IF(CH820="","",IFERROR(IF(AND(LEN(CH820)=9,ISERROR(FIND("-",LEFT(CH820,8))),ISNUMBER(-LEFT(CH820,8))),VALUE(MID(CH820,5,2)),VALUE(MID(CH820,FIND("-",CH820)+1,FIND("-",CH820,FIND("-",CH820)+1)-FIND("-",CH820)-1))),""))</f>
        <v/>
      </c>
      <c r="CO820">
        <f>IF(CH820="","",IFERROR(IF(AND(LEN(CH820)=9,ISERROR(FIND("-",LEFT(CH820,8))),ISNUMBER(-LEFT(CH820,8))),VALUE(MID(CH820,7,2)),VALUE(MID(CH820,FIND("-",CH820,FIND("-",CH820)+1)+1,FIND("-",CH820,FIND("-",CH820,FIND("-",CH820)+1)+1)-FIND("-",CH820,FIND("-",CH820)+1)-1))),""))</f>
        <v/>
      </c>
    </row>
    <row r="821">
      <c r="CH821">
        <f>IF(ISTEXT('월 가계부'!A821),SUBSTITUTE(SUBSTITUTE(SUBSTITUTE(SUBSTITUTE(SUBSTITUTE(SUBSTITUTE(SUBSTITUTE(SUBSTITUTE(SUBSTITUTE(TRIM('월 가계부'!A821),"년","-"),"월","-"),"일",""),".","-"),"/","-")," ","-"),"--","-"),"--","-"),"--","-")&amp;"-","")</f>
        <v/>
      </c>
      <c r="CI821">
        <f>IFERROR(IF('월 가계부'!A821="","",IF(ISNUMBER('월 가계부'!A821),IF(AND('월 가계부'!A821&gt;=19000101,'월 가계부'!A821&lt;=21001231),IF(AND(MOD(INT('월 가계부'!A821/100),100)&gt;=1,MOD(INT('월 가계부'!A821/100),100)&lt;=12,MOD(INT('월 가계부'!A821),100)&gt;=1,MOD(INT('월 가계부'!A821),100)&lt;=31),IF(MONTH(DATE(INT('월 가계부'!A821/10000),MOD(INT('월 가계부'!A821/100),100),MOD(INT('월 가계부'!A821),100)))=MOD(INT('월 가계부'!A821/100),100),DATE(INT('월 가계부'!A821/10000),MOD(INT('월 가계부'!A821/100),100),MOD(INT('월 가계부'!A821),100)),""),""),IF(AND('월 가계부'!A821&gt;=36526,'월 가계부'!A821&lt;73051),INT('월 가계부'!A821),"")),IF(OR(CM821="",CN821="",CO821=""),"",IF(AND(CM821&gt;=2000,CM821&lt;=2099,CN821&gt;=1,CN821&lt;=12,CO821&gt;=1,CO821&lt;=31),IF(MONTH(DATE(CM821,CN821,CO821))=CN821,DATE(CM821,CN821,CO821),""),"")))),"")</f>
        <v/>
      </c>
      <c r="CJ821">
        <f>IFERROR(IF('월 가계부'!C821="","",IF(ISNUMBER('월 가계부'!C821),'월 가계부'!C821,VALUE(SUBSTITUTE(SUBSTITUTE(SUBSTITUTE(SUBSTITUTE(TRIM('월 가계부'!C821),",",""),"원","")," ",""),"−","-")))),"")</f>
        <v/>
      </c>
      <c r="CK821">
        <f>IF(ISNUMBER(CI821),IF(CI821&lt;$B$13,CI821,""),"")</f>
        <v/>
      </c>
      <c r="CM821">
        <f>IF(CH821="","",IFERROR(IF(IF(AND(LEN(CH821)=9,ISERROR(FIND("-",LEFT(CH821,8))),ISNUMBER(-LEFT(CH821,8))),VALUE(LEFT(CH821,4)),VALUE(LEFT(CH821,FIND("-",CH821)-1)))&lt;100,IF(AND(LEN(CH821)=9,ISERROR(FIND("-",LEFT(CH821,8))),ISNUMBER(-LEFT(CH821,8))),VALUE(LEFT(CH821,4)),VALUE(LEFT(CH821,FIND("-",CH821)-1)))+2000,IF(AND(LEN(CH821)=9,ISERROR(FIND("-",LEFT(CH821,8))),ISNUMBER(-LEFT(CH821,8))),VALUE(LEFT(CH821,4)),VALUE(LEFT(CH821,FIND("-",CH821)-1)))),""))</f>
        <v/>
      </c>
      <c r="CN821">
        <f>IF(CH821="","",IFERROR(IF(AND(LEN(CH821)=9,ISERROR(FIND("-",LEFT(CH821,8))),ISNUMBER(-LEFT(CH821,8))),VALUE(MID(CH821,5,2)),VALUE(MID(CH821,FIND("-",CH821)+1,FIND("-",CH821,FIND("-",CH821)+1)-FIND("-",CH821)-1))),""))</f>
        <v/>
      </c>
      <c r="CO821">
        <f>IF(CH821="","",IFERROR(IF(AND(LEN(CH821)=9,ISERROR(FIND("-",LEFT(CH821,8))),ISNUMBER(-LEFT(CH821,8))),VALUE(MID(CH821,7,2)),VALUE(MID(CH821,FIND("-",CH821,FIND("-",CH821)+1)+1,FIND("-",CH821,FIND("-",CH821,FIND("-",CH821)+1)+1)-FIND("-",CH821,FIND("-",CH821)+1)-1))),""))</f>
        <v/>
      </c>
    </row>
    <row r="822">
      <c r="CH822">
        <f>IF(ISTEXT('월 가계부'!A822),SUBSTITUTE(SUBSTITUTE(SUBSTITUTE(SUBSTITUTE(SUBSTITUTE(SUBSTITUTE(SUBSTITUTE(SUBSTITUTE(SUBSTITUTE(TRIM('월 가계부'!A822),"년","-"),"월","-"),"일",""),".","-"),"/","-")," ","-"),"--","-"),"--","-"),"--","-")&amp;"-","")</f>
        <v/>
      </c>
      <c r="CI822">
        <f>IFERROR(IF('월 가계부'!A822="","",IF(ISNUMBER('월 가계부'!A822),IF(AND('월 가계부'!A822&gt;=19000101,'월 가계부'!A822&lt;=21001231),IF(AND(MOD(INT('월 가계부'!A822/100),100)&gt;=1,MOD(INT('월 가계부'!A822/100),100)&lt;=12,MOD(INT('월 가계부'!A822),100)&gt;=1,MOD(INT('월 가계부'!A822),100)&lt;=31),IF(MONTH(DATE(INT('월 가계부'!A822/10000),MOD(INT('월 가계부'!A822/100),100),MOD(INT('월 가계부'!A822),100)))=MOD(INT('월 가계부'!A822/100),100),DATE(INT('월 가계부'!A822/10000),MOD(INT('월 가계부'!A822/100),100),MOD(INT('월 가계부'!A822),100)),""),""),IF(AND('월 가계부'!A822&gt;=36526,'월 가계부'!A822&lt;73051),INT('월 가계부'!A822),"")),IF(OR(CM822="",CN822="",CO822=""),"",IF(AND(CM822&gt;=2000,CM822&lt;=2099,CN822&gt;=1,CN822&lt;=12,CO822&gt;=1,CO822&lt;=31),IF(MONTH(DATE(CM822,CN822,CO822))=CN822,DATE(CM822,CN822,CO822),""),"")))),"")</f>
        <v/>
      </c>
      <c r="CJ822">
        <f>IFERROR(IF('월 가계부'!C822="","",IF(ISNUMBER('월 가계부'!C822),'월 가계부'!C822,VALUE(SUBSTITUTE(SUBSTITUTE(SUBSTITUTE(SUBSTITUTE(TRIM('월 가계부'!C822),",",""),"원","")," ",""),"−","-")))),"")</f>
        <v/>
      </c>
      <c r="CK822">
        <f>IF(ISNUMBER(CI822),IF(CI822&lt;$B$13,CI822,""),"")</f>
        <v/>
      </c>
      <c r="CM822">
        <f>IF(CH822="","",IFERROR(IF(IF(AND(LEN(CH822)=9,ISERROR(FIND("-",LEFT(CH822,8))),ISNUMBER(-LEFT(CH822,8))),VALUE(LEFT(CH822,4)),VALUE(LEFT(CH822,FIND("-",CH822)-1)))&lt;100,IF(AND(LEN(CH822)=9,ISERROR(FIND("-",LEFT(CH822,8))),ISNUMBER(-LEFT(CH822,8))),VALUE(LEFT(CH822,4)),VALUE(LEFT(CH822,FIND("-",CH822)-1)))+2000,IF(AND(LEN(CH822)=9,ISERROR(FIND("-",LEFT(CH822,8))),ISNUMBER(-LEFT(CH822,8))),VALUE(LEFT(CH822,4)),VALUE(LEFT(CH822,FIND("-",CH822)-1)))),""))</f>
        <v/>
      </c>
      <c r="CN822">
        <f>IF(CH822="","",IFERROR(IF(AND(LEN(CH822)=9,ISERROR(FIND("-",LEFT(CH822,8))),ISNUMBER(-LEFT(CH822,8))),VALUE(MID(CH822,5,2)),VALUE(MID(CH822,FIND("-",CH822)+1,FIND("-",CH822,FIND("-",CH822)+1)-FIND("-",CH822)-1))),""))</f>
        <v/>
      </c>
      <c r="CO822">
        <f>IF(CH822="","",IFERROR(IF(AND(LEN(CH822)=9,ISERROR(FIND("-",LEFT(CH822,8))),ISNUMBER(-LEFT(CH822,8))),VALUE(MID(CH822,7,2)),VALUE(MID(CH822,FIND("-",CH822,FIND("-",CH822)+1)+1,FIND("-",CH822,FIND("-",CH822,FIND("-",CH822)+1)+1)-FIND("-",CH822,FIND("-",CH822)+1)-1))),""))</f>
        <v/>
      </c>
    </row>
    <row r="823">
      <c r="CH823">
        <f>IF(ISTEXT('월 가계부'!A823),SUBSTITUTE(SUBSTITUTE(SUBSTITUTE(SUBSTITUTE(SUBSTITUTE(SUBSTITUTE(SUBSTITUTE(SUBSTITUTE(SUBSTITUTE(TRIM('월 가계부'!A823),"년","-"),"월","-"),"일",""),".","-"),"/","-")," ","-"),"--","-"),"--","-"),"--","-")&amp;"-","")</f>
        <v/>
      </c>
      <c r="CI823">
        <f>IFERROR(IF('월 가계부'!A823="","",IF(ISNUMBER('월 가계부'!A823),IF(AND('월 가계부'!A823&gt;=19000101,'월 가계부'!A823&lt;=21001231),IF(AND(MOD(INT('월 가계부'!A823/100),100)&gt;=1,MOD(INT('월 가계부'!A823/100),100)&lt;=12,MOD(INT('월 가계부'!A823),100)&gt;=1,MOD(INT('월 가계부'!A823),100)&lt;=31),IF(MONTH(DATE(INT('월 가계부'!A823/10000),MOD(INT('월 가계부'!A823/100),100),MOD(INT('월 가계부'!A823),100)))=MOD(INT('월 가계부'!A823/100),100),DATE(INT('월 가계부'!A823/10000),MOD(INT('월 가계부'!A823/100),100),MOD(INT('월 가계부'!A823),100)),""),""),IF(AND('월 가계부'!A823&gt;=36526,'월 가계부'!A823&lt;73051),INT('월 가계부'!A823),"")),IF(OR(CM823="",CN823="",CO823=""),"",IF(AND(CM823&gt;=2000,CM823&lt;=2099,CN823&gt;=1,CN823&lt;=12,CO823&gt;=1,CO823&lt;=31),IF(MONTH(DATE(CM823,CN823,CO823))=CN823,DATE(CM823,CN823,CO823),""),"")))),"")</f>
        <v/>
      </c>
      <c r="CJ823">
        <f>IFERROR(IF('월 가계부'!C823="","",IF(ISNUMBER('월 가계부'!C823),'월 가계부'!C823,VALUE(SUBSTITUTE(SUBSTITUTE(SUBSTITUTE(SUBSTITUTE(TRIM('월 가계부'!C823),",",""),"원","")," ",""),"−","-")))),"")</f>
        <v/>
      </c>
      <c r="CK823">
        <f>IF(ISNUMBER(CI823),IF(CI823&lt;$B$13,CI823,""),"")</f>
        <v/>
      </c>
      <c r="CM823">
        <f>IF(CH823="","",IFERROR(IF(IF(AND(LEN(CH823)=9,ISERROR(FIND("-",LEFT(CH823,8))),ISNUMBER(-LEFT(CH823,8))),VALUE(LEFT(CH823,4)),VALUE(LEFT(CH823,FIND("-",CH823)-1)))&lt;100,IF(AND(LEN(CH823)=9,ISERROR(FIND("-",LEFT(CH823,8))),ISNUMBER(-LEFT(CH823,8))),VALUE(LEFT(CH823,4)),VALUE(LEFT(CH823,FIND("-",CH823)-1)))+2000,IF(AND(LEN(CH823)=9,ISERROR(FIND("-",LEFT(CH823,8))),ISNUMBER(-LEFT(CH823,8))),VALUE(LEFT(CH823,4)),VALUE(LEFT(CH823,FIND("-",CH823)-1)))),""))</f>
        <v/>
      </c>
      <c r="CN823">
        <f>IF(CH823="","",IFERROR(IF(AND(LEN(CH823)=9,ISERROR(FIND("-",LEFT(CH823,8))),ISNUMBER(-LEFT(CH823,8))),VALUE(MID(CH823,5,2)),VALUE(MID(CH823,FIND("-",CH823)+1,FIND("-",CH823,FIND("-",CH823)+1)-FIND("-",CH823)-1))),""))</f>
        <v/>
      </c>
      <c r="CO823">
        <f>IF(CH823="","",IFERROR(IF(AND(LEN(CH823)=9,ISERROR(FIND("-",LEFT(CH823,8))),ISNUMBER(-LEFT(CH823,8))),VALUE(MID(CH823,7,2)),VALUE(MID(CH823,FIND("-",CH823,FIND("-",CH823)+1)+1,FIND("-",CH823,FIND("-",CH823,FIND("-",CH823)+1)+1)-FIND("-",CH823,FIND("-",CH823)+1)-1))),""))</f>
        <v/>
      </c>
    </row>
    <row r="824">
      <c r="CH824">
        <f>IF(ISTEXT('월 가계부'!A824),SUBSTITUTE(SUBSTITUTE(SUBSTITUTE(SUBSTITUTE(SUBSTITUTE(SUBSTITUTE(SUBSTITUTE(SUBSTITUTE(SUBSTITUTE(TRIM('월 가계부'!A824),"년","-"),"월","-"),"일",""),".","-"),"/","-")," ","-"),"--","-"),"--","-"),"--","-")&amp;"-","")</f>
        <v/>
      </c>
      <c r="CI824">
        <f>IFERROR(IF('월 가계부'!A824="","",IF(ISNUMBER('월 가계부'!A824),IF(AND('월 가계부'!A824&gt;=19000101,'월 가계부'!A824&lt;=21001231),IF(AND(MOD(INT('월 가계부'!A824/100),100)&gt;=1,MOD(INT('월 가계부'!A824/100),100)&lt;=12,MOD(INT('월 가계부'!A824),100)&gt;=1,MOD(INT('월 가계부'!A824),100)&lt;=31),IF(MONTH(DATE(INT('월 가계부'!A824/10000),MOD(INT('월 가계부'!A824/100),100),MOD(INT('월 가계부'!A824),100)))=MOD(INT('월 가계부'!A824/100),100),DATE(INT('월 가계부'!A824/10000),MOD(INT('월 가계부'!A824/100),100),MOD(INT('월 가계부'!A824),100)),""),""),IF(AND('월 가계부'!A824&gt;=36526,'월 가계부'!A824&lt;73051),INT('월 가계부'!A824),"")),IF(OR(CM824="",CN824="",CO824=""),"",IF(AND(CM824&gt;=2000,CM824&lt;=2099,CN824&gt;=1,CN824&lt;=12,CO824&gt;=1,CO824&lt;=31),IF(MONTH(DATE(CM824,CN824,CO824))=CN824,DATE(CM824,CN824,CO824),""),"")))),"")</f>
        <v/>
      </c>
      <c r="CJ824">
        <f>IFERROR(IF('월 가계부'!C824="","",IF(ISNUMBER('월 가계부'!C824),'월 가계부'!C824,VALUE(SUBSTITUTE(SUBSTITUTE(SUBSTITUTE(SUBSTITUTE(TRIM('월 가계부'!C824),",",""),"원","")," ",""),"−","-")))),"")</f>
        <v/>
      </c>
      <c r="CK824">
        <f>IF(ISNUMBER(CI824),IF(CI824&lt;$B$13,CI824,""),"")</f>
        <v/>
      </c>
      <c r="CM824">
        <f>IF(CH824="","",IFERROR(IF(IF(AND(LEN(CH824)=9,ISERROR(FIND("-",LEFT(CH824,8))),ISNUMBER(-LEFT(CH824,8))),VALUE(LEFT(CH824,4)),VALUE(LEFT(CH824,FIND("-",CH824)-1)))&lt;100,IF(AND(LEN(CH824)=9,ISERROR(FIND("-",LEFT(CH824,8))),ISNUMBER(-LEFT(CH824,8))),VALUE(LEFT(CH824,4)),VALUE(LEFT(CH824,FIND("-",CH824)-1)))+2000,IF(AND(LEN(CH824)=9,ISERROR(FIND("-",LEFT(CH824,8))),ISNUMBER(-LEFT(CH824,8))),VALUE(LEFT(CH824,4)),VALUE(LEFT(CH824,FIND("-",CH824)-1)))),""))</f>
        <v/>
      </c>
      <c r="CN824">
        <f>IF(CH824="","",IFERROR(IF(AND(LEN(CH824)=9,ISERROR(FIND("-",LEFT(CH824,8))),ISNUMBER(-LEFT(CH824,8))),VALUE(MID(CH824,5,2)),VALUE(MID(CH824,FIND("-",CH824)+1,FIND("-",CH824,FIND("-",CH824)+1)-FIND("-",CH824)-1))),""))</f>
        <v/>
      </c>
      <c r="CO824">
        <f>IF(CH824="","",IFERROR(IF(AND(LEN(CH824)=9,ISERROR(FIND("-",LEFT(CH824,8))),ISNUMBER(-LEFT(CH824,8))),VALUE(MID(CH824,7,2)),VALUE(MID(CH824,FIND("-",CH824,FIND("-",CH824)+1)+1,FIND("-",CH824,FIND("-",CH824,FIND("-",CH824)+1)+1)-FIND("-",CH824,FIND("-",CH824)+1)-1))),""))</f>
        <v/>
      </c>
    </row>
    <row r="825">
      <c r="CH825">
        <f>IF(ISTEXT('월 가계부'!A825),SUBSTITUTE(SUBSTITUTE(SUBSTITUTE(SUBSTITUTE(SUBSTITUTE(SUBSTITUTE(SUBSTITUTE(SUBSTITUTE(SUBSTITUTE(TRIM('월 가계부'!A825),"년","-"),"월","-"),"일",""),".","-"),"/","-")," ","-"),"--","-"),"--","-"),"--","-")&amp;"-","")</f>
        <v/>
      </c>
      <c r="CI825">
        <f>IFERROR(IF('월 가계부'!A825="","",IF(ISNUMBER('월 가계부'!A825),IF(AND('월 가계부'!A825&gt;=19000101,'월 가계부'!A825&lt;=21001231),IF(AND(MOD(INT('월 가계부'!A825/100),100)&gt;=1,MOD(INT('월 가계부'!A825/100),100)&lt;=12,MOD(INT('월 가계부'!A825),100)&gt;=1,MOD(INT('월 가계부'!A825),100)&lt;=31),IF(MONTH(DATE(INT('월 가계부'!A825/10000),MOD(INT('월 가계부'!A825/100),100),MOD(INT('월 가계부'!A825),100)))=MOD(INT('월 가계부'!A825/100),100),DATE(INT('월 가계부'!A825/10000),MOD(INT('월 가계부'!A825/100),100),MOD(INT('월 가계부'!A825),100)),""),""),IF(AND('월 가계부'!A825&gt;=36526,'월 가계부'!A825&lt;73051),INT('월 가계부'!A825),"")),IF(OR(CM825="",CN825="",CO825=""),"",IF(AND(CM825&gt;=2000,CM825&lt;=2099,CN825&gt;=1,CN825&lt;=12,CO825&gt;=1,CO825&lt;=31),IF(MONTH(DATE(CM825,CN825,CO825))=CN825,DATE(CM825,CN825,CO825),""),"")))),"")</f>
        <v/>
      </c>
      <c r="CJ825">
        <f>IFERROR(IF('월 가계부'!C825="","",IF(ISNUMBER('월 가계부'!C825),'월 가계부'!C825,VALUE(SUBSTITUTE(SUBSTITUTE(SUBSTITUTE(SUBSTITUTE(TRIM('월 가계부'!C825),",",""),"원","")," ",""),"−","-")))),"")</f>
        <v/>
      </c>
      <c r="CK825">
        <f>IF(ISNUMBER(CI825),IF(CI825&lt;$B$13,CI825,""),"")</f>
        <v/>
      </c>
      <c r="CM825">
        <f>IF(CH825="","",IFERROR(IF(IF(AND(LEN(CH825)=9,ISERROR(FIND("-",LEFT(CH825,8))),ISNUMBER(-LEFT(CH825,8))),VALUE(LEFT(CH825,4)),VALUE(LEFT(CH825,FIND("-",CH825)-1)))&lt;100,IF(AND(LEN(CH825)=9,ISERROR(FIND("-",LEFT(CH825,8))),ISNUMBER(-LEFT(CH825,8))),VALUE(LEFT(CH825,4)),VALUE(LEFT(CH825,FIND("-",CH825)-1)))+2000,IF(AND(LEN(CH825)=9,ISERROR(FIND("-",LEFT(CH825,8))),ISNUMBER(-LEFT(CH825,8))),VALUE(LEFT(CH825,4)),VALUE(LEFT(CH825,FIND("-",CH825)-1)))),""))</f>
        <v/>
      </c>
      <c r="CN825">
        <f>IF(CH825="","",IFERROR(IF(AND(LEN(CH825)=9,ISERROR(FIND("-",LEFT(CH825,8))),ISNUMBER(-LEFT(CH825,8))),VALUE(MID(CH825,5,2)),VALUE(MID(CH825,FIND("-",CH825)+1,FIND("-",CH825,FIND("-",CH825)+1)-FIND("-",CH825)-1))),""))</f>
        <v/>
      </c>
      <c r="CO825">
        <f>IF(CH825="","",IFERROR(IF(AND(LEN(CH825)=9,ISERROR(FIND("-",LEFT(CH825,8))),ISNUMBER(-LEFT(CH825,8))),VALUE(MID(CH825,7,2)),VALUE(MID(CH825,FIND("-",CH825,FIND("-",CH825)+1)+1,FIND("-",CH825,FIND("-",CH825,FIND("-",CH825)+1)+1)-FIND("-",CH825,FIND("-",CH825)+1)-1))),""))</f>
        <v/>
      </c>
    </row>
    <row r="826">
      <c r="CH826">
        <f>IF(ISTEXT('월 가계부'!A826),SUBSTITUTE(SUBSTITUTE(SUBSTITUTE(SUBSTITUTE(SUBSTITUTE(SUBSTITUTE(SUBSTITUTE(SUBSTITUTE(SUBSTITUTE(TRIM('월 가계부'!A826),"년","-"),"월","-"),"일",""),".","-"),"/","-")," ","-"),"--","-"),"--","-"),"--","-")&amp;"-","")</f>
        <v/>
      </c>
      <c r="CI826">
        <f>IFERROR(IF('월 가계부'!A826="","",IF(ISNUMBER('월 가계부'!A826),IF(AND('월 가계부'!A826&gt;=19000101,'월 가계부'!A826&lt;=21001231),IF(AND(MOD(INT('월 가계부'!A826/100),100)&gt;=1,MOD(INT('월 가계부'!A826/100),100)&lt;=12,MOD(INT('월 가계부'!A826),100)&gt;=1,MOD(INT('월 가계부'!A826),100)&lt;=31),IF(MONTH(DATE(INT('월 가계부'!A826/10000),MOD(INT('월 가계부'!A826/100),100),MOD(INT('월 가계부'!A826),100)))=MOD(INT('월 가계부'!A826/100),100),DATE(INT('월 가계부'!A826/10000),MOD(INT('월 가계부'!A826/100),100),MOD(INT('월 가계부'!A826),100)),""),""),IF(AND('월 가계부'!A826&gt;=36526,'월 가계부'!A826&lt;73051),INT('월 가계부'!A826),"")),IF(OR(CM826="",CN826="",CO826=""),"",IF(AND(CM826&gt;=2000,CM826&lt;=2099,CN826&gt;=1,CN826&lt;=12,CO826&gt;=1,CO826&lt;=31),IF(MONTH(DATE(CM826,CN826,CO826))=CN826,DATE(CM826,CN826,CO826),""),"")))),"")</f>
        <v/>
      </c>
      <c r="CJ826">
        <f>IFERROR(IF('월 가계부'!C826="","",IF(ISNUMBER('월 가계부'!C826),'월 가계부'!C826,VALUE(SUBSTITUTE(SUBSTITUTE(SUBSTITUTE(SUBSTITUTE(TRIM('월 가계부'!C826),",",""),"원","")," ",""),"−","-")))),"")</f>
        <v/>
      </c>
      <c r="CK826">
        <f>IF(ISNUMBER(CI826),IF(CI826&lt;$B$13,CI826,""),"")</f>
        <v/>
      </c>
      <c r="CM826">
        <f>IF(CH826="","",IFERROR(IF(IF(AND(LEN(CH826)=9,ISERROR(FIND("-",LEFT(CH826,8))),ISNUMBER(-LEFT(CH826,8))),VALUE(LEFT(CH826,4)),VALUE(LEFT(CH826,FIND("-",CH826)-1)))&lt;100,IF(AND(LEN(CH826)=9,ISERROR(FIND("-",LEFT(CH826,8))),ISNUMBER(-LEFT(CH826,8))),VALUE(LEFT(CH826,4)),VALUE(LEFT(CH826,FIND("-",CH826)-1)))+2000,IF(AND(LEN(CH826)=9,ISERROR(FIND("-",LEFT(CH826,8))),ISNUMBER(-LEFT(CH826,8))),VALUE(LEFT(CH826,4)),VALUE(LEFT(CH826,FIND("-",CH826)-1)))),""))</f>
        <v/>
      </c>
      <c r="CN826">
        <f>IF(CH826="","",IFERROR(IF(AND(LEN(CH826)=9,ISERROR(FIND("-",LEFT(CH826,8))),ISNUMBER(-LEFT(CH826,8))),VALUE(MID(CH826,5,2)),VALUE(MID(CH826,FIND("-",CH826)+1,FIND("-",CH826,FIND("-",CH826)+1)-FIND("-",CH826)-1))),""))</f>
        <v/>
      </c>
      <c r="CO826">
        <f>IF(CH826="","",IFERROR(IF(AND(LEN(CH826)=9,ISERROR(FIND("-",LEFT(CH826,8))),ISNUMBER(-LEFT(CH826,8))),VALUE(MID(CH826,7,2)),VALUE(MID(CH826,FIND("-",CH826,FIND("-",CH826)+1)+1,FIND("-",CH826,FIND("-",CH826,FIND("-",CH826)+1)+1)-FIND("-",CH826,FIND("-",CH826)+1)-1))),""))</f>
        <v/>
      </c>
    </row>
    <row r="827">
      <c r="CH827">
        <f>IF(ISTEXT('월 가계부'!A827),SUBSTITUTE(SUBSTITUTE(SUBSTITUTE(SUBSTITUTE(SUBSTITUTE(SUBSTITUTE(SUBSTITUTE(SUBSTITUTE(SUBSTITUTE(TRIM('월 가계부'!A827),"년","-"),"월","-"),"일",""),".","-"),"/","-")," ","-"),"--","-"),"--","-"),"--","-")&amp;"-","")</f>
        <v/>
      </c>
      <c r="CI827">
        <f>IFERROR(IF('월 가계부'!A827="","",IF(ISNUMBER('월 가계부'!A827),IF(AND('월 가계부'!A827&gt;=19000101,'월 가계부'!A827&lt;=21001231),IF(AND(MOD(INT('월 가계부'!A827/100),100)&gt;=1,MOD(INT('월 가계부'!A827/100),100)&lt;=12,MOD(INT('월 가계부'!A827),100)&gt;=1,MOD(INT('월 가계부'!A827),100)&lt;=31),IF(MONTH(DATE(INT('월 가계부'!A827/10000),MOD(INT('월 가계부'!A827/100),100),MOD(INT('월 가계부'!A827),100)))=MOD(INT('월 가계부'!A827/100),100),DATE(INT('월 가계부'!A827/10000),MOD(INT('월 가계부'!A827/100),100),MOD(INT('월 가계부'!A827),100)),""),""),IF(AND('월 가계부'!A827&gt;=36526,'월 가계부'!A827&lt;73051),INT('월 가계부'!A827),"")),IF(OR(CM827="",CN827="",CO827=""),"",IF(AND(CM827&gt;=2000,CM827&lt;=2099,CN827&gt;=1,CN827&lt;=12,CO827&gt;=1,CO827&lt;=31),IF(MONTH(DATE(CM827,CN827,CO827))=CN827,DATE(CM827,CN827,CO827),""),"")))),"")</f>
        <v/>
      </c>
      <c r="CJ827">
        <f>IFERROR(IF('월 가계부'!C827="","",IF(ISNUMBER('월 가계부'!C827),'월 가계부'!C827,VALUE(SUBSTITUTE(SUBSTITUTE(SUBSTITUTE(SUBSTITUTE(TRIM('월 가계부'!C827),",",""),"원","")," ",""),"−","-")))),"")</f>
        <v/>
      </c>
      <c r="CK827">
        <f>IF(ISNUMBER(CI827),IF(CI827&lt;$B$13,CI827,""),"")</f>
        <v/>
      </c>
      <c r="CM827">
        <f>IF(CH827="","",IFERROR(IF(IF(AND(LEN(CH827)=9,ISERROR(FIND("-",LEFT(CH827,8))),ISNUMBER(-LEFT(CH827,8))),VALUE(LEFT(CH827,4)),VALUE(LEFT(CH827,FIND("-",CH827)-1)))&lt;100,IF(AND(LEN(CH827)=9,ISERROR(FIND("-",LEFT(CH827,8))),ISNUMBER(-LEFT(CH827,8))),VALUE(LEFT(CH827,4)),VALUE(LEFT(CH827,FIND("-",CH827)-1)))+2000,IF(AND(LEN(CH827)=9,ISERROR(FIND("-",LEFT(CH827,8))),ISNUMBER(-LEFT(CH827,8))),VALUE(LEFT(CH827,4)),VALUE(LEFT(CH827,FIND("-",CH827)-1)))),""))</f>
        <v/>
      </c>
      <c r="CN827">
        <f>IF(CH827="","",IFERROR(IF(AND(LEN(CH827)=9,ISERROR(FIND("-",LEFT(CH827,8))),ISNUMBER(-LEFT(CH827,8))),VALUE(MID(CH827,5,2)),VALUE(MID(CH827,FIND("-",CH827)+1,FIND("-",CH827,FIND("-",CH827)+1)-FIND("-",CH827)-1))),""))</f>
        <v/>
      </c>
      <c r="CO827">
        <f>IF(CH827="","",IFERROR(IF(AND(LEN(CH827)=9,ISERROR(FIND("-",LEFT(CH827,8))),ISNUMBER(-LEFT(CH827,8))),VALUE(MID(CH827,7,2)),VALUE(MID(CH827,FIND("-",CH827,FIND("-",CH827)+1)+1,FIND("-",CH827,FIND("-",CH827,FIND("-",CH827)+1)+1)-FIND("-",CH827,FIND("-",CH827)+1)-1))),""))</f>
        <v/>
      </c>
    </row>
    <row r="828">
      <c r="CH828">
        <f>IF(ISTEXT('월 가계부'!A828),SUBSTITUTE(SUBSTITUTE(SUBSTITUTE(SUBSTITUTE(SUBSTITUTE(SUBSTITUTE(SUBSTITUTE(SUBSTITUTE(SUBSTITUTE(TRIM('월 가계부'!A828),"년","-"),"월","-"),"일",""),".","-"),"/","-")," ","-"),"--","-"),"--","-"),"--","-")&amp;"-","")</f>
        <v/>
      </c>
      <c r="CI828">
        <f>IFERROR(IF('월 가계부'!A828="","",IF(ISNUMBER('월 가계부'!A828),IF(AND('월 가계부'!A828&gt;=19000101,'월 가계부'!A828&lt;=21001231),IF(AND(MOD(INT('월 가계부'!A828/100),100)&gt;=1,MOD(INT('월 가계부'!A828/100),100)&lt;=12,MOD(INT('월 가계부'!A828),100)&gt;=1,MOD(INT('월 가계부'!A828),100)&lt;=31),IF(MONTH(DATE(INT('월 가계부'!A828/10000),MOD(INT('월 가계부'!A828/100),100),MOD(INT('월 가계부'!A828),100)))=MOD(INT('월 가계부'!A828/100),100),DATE(INT('월 가계부'!A828/10000),MOD(INT('월 가계부'!A828/100),100),MOD(INT('월 가계부'!A828),100)),""),""),IF(AND('월 가계부'!A828&gt;=36526,'월 가계부'!A828&lt;73051),INT('월 가계부'!A828),"")),IF(OR(CM828="",CN828="",CO828=""),"",IF(AND(CM828&gt;=2000,CM828&lt;=2099,CN828&gt;=1,CN828&lt;=12,CO828&gt;=1,CO828&lt;=31),IF(MONTH(DATE(CM828,CN828,CO828))=CN828,DATE(CM828,CN828,CO828),""),"")))),"")</f>
        <v/>
      </c>
      <c r="CJ828">
        <f>IFERROR(IF('월 가계부'!C828="","",IF(ISNUMBER('월 가계부'!C828),'월 가계부'!C828,VALUE(SUBSTITUTE(SUBSTITUTE(SUBSTITUTE(SUBSTITUTE(TRIM('월 가계부'!C828),",",""),"원","")," ",""),"−","-")))),"")</f>
        <v/>
      </c>
      <c r="CK828">
        <f>IF(ISNUMBER(CI828),IF(CI828&lt;$B$13,CI828,""),"")</f>
        <v/>
      </c>
      <c r="CM828">
        <f>IF(CH828="","",IFERROR(IF(IF(AND(LEN(CH828)=9,ISERROR(FIND("-",LEFT(CH828,8))),ISNUMBER(-LEFT(CH828,8))),VALUE(LEFT(CH828,4)),VALUE(LEFT(CH828,FIND("-",CH828)-1)))&lt;100,IF(AND(LEN(CH828)=9,ISERROR(FIND("-",LEFT(CH828,8))),ISNUMBER(-LEFT(CH828,8))),VALUE(LEFT(CH828,4)),VALUE(LEFT(CH828,FIND("-",CH828)-1)))+2000,IF(AND(LEN(CH828)=9,ISERROR(FIND("-",LEFT(CH828,8))),ISNUMBER(-LEFT(CH828,8))),VALUE(LEFT(CH828,4)),VALUE(LEFT(CH828,FIND("-",CH828)-1)))),""))</f>
        <v/>
      </c>
      <c r="CN828">
        <f>IF(CH828="","",IFERROR(IF(AND(LEN(CH828)=9,ISERROR(FIND("-",LEFT(CH828,8))),ISNUMBER(-LEFT(CH828,8))),VALUE(MID(CH828,5,2)),VALUE(MID(CH828,FIND("-",CH828)+1,FIND("-",CH828,FIND("-",CH828)+1)-FIND("-",CH828)-1))),""))</f>
        <v/>
      </c>
      <c r="CO828">
        <f>IF(CH828="","",IFERROR(IF(AND(LEN(CH828)=9,ISERROR(FIND("-",LEFT(CH828,8))),ISNUMBER(-LEFT(CH828,8))),VALUE(MID(CH828,7,2)),VALUE(MID(CH828,FIND("-",CH828,FIND("-",CH828)+1)+1,FIND("-",CH828,FIND("-",CH828,FIND("-",CH828)+1)+1)-FIND("-",CH828,FIND("-",CH828)+1)-1))),""))</f>
        <v/>
      </c>
    </row>
    <row r="829">
      <c r="CH829">
        <f>IF(ISTEXT('월 가계부'!A829),SUBSTITUTE(SUBSTITUTE(SUBSTITUTE(SUBSTITUTE(SUBSTITUTE(SUBSTITUTE(SUBSTITUTE(SUBSTITUTE(SUBSTITUTE(TRIM('월 가계부'!A829),"년","-"),"월","-"),"일",""),".","-"),"/","-")," ","-"),"--","-"),"--","-"),"--","-")&amp;"-","")</f>
        <v/>
      </c>
      <c r="CI829">
        <f>IFERROR(IF('월 가계부'!A829="","",IF(ISNUMBER('월 가계부'!A829),IF(AND('월 가계부'!A829&gt;=19000101,'월 가계부'!A829&lt;=21001231),IF(AND(MOD(INT('월 가계부'!A829/100),100)&gt;=1,MOD(INT('월 가계부'!A829/100),100)&lt;=12,MOD(INT('월 가계부'!A829),100)&gt;=1,MOD(INT('월 가계부'!A829),100)&lt;=31),IF(MONTH(DATE(INT('월 가계부'!A829/10000),MOD(INT('월 가계부'!A829/100),100),MOD(INT('월 가계부'!A829),100)))=MOD(INT('월 가계부'!A829/100),100),DATE(INT('월 가계부'!A829/10000),MOD(INT('월 가계부'!A829/100),100),MOD(INT('월 가계부'!A829),100)),""),""),IF(AND('월 가계부'!A829&gt;=36526,'월 가계부'!A829&lt;73051),INT('월 가계부'!A829),"")),IF(OR(CM829="",CN829="",CO829=""),"",IF(AND(CM829&gt;=2000,CM829&lt;=2099,CN829&gt;=1,CN829&lt;=12,CO829&gt;=1,CO829&lt;=31),IF(MONTH(DATE(CM829,CN829,CO829))=CN829,DATE(CM829,CN829,CO829),""),"")))),"")</f>
        <v/>
      </c>
      <c r="CJ829">
        <f>IFERROR(IF('월 가계부'!C829="","",IF(ISNUMBER('월 가계부'!C829),'월 가계부'!C829,VALUE(SUBSTITUTE(SUBSTITUTE(SUBSTITUTE(SUBSTITUTE(TRIM('월 가계부'!C829),",",""),"원","")," ",""),"−","-")))),"")</f>
        <v/>
      </c>
      <c r="CK829">
        <f>IF(ISNUMBER(CI829),IF(CI829&lt;$B$13,CI829,""),"")</f>
        <v/>
      </c>
      <c r="CM829">
        <f>IF(CH829="","",IFERROR(IF(IF(AND(LEN(CH829)=9,ISERROR(FIND("-",LEFT(CH829,8))),ISNUMBER(-LEFT(CH829,8))),VALUE(LEFT(CH829,4)),VALUE(LEFT(CH829,FIND("-",CH829)-1)))&lt;100,IF(AND(LEN(CH829)=9,ISERROR(FIND("-",LEFT(CH829,8))),ISNUMBER(-LEFT(CH829,8))),VALUE(LEFT(CH829,4)),VALUE(LEFT(CH829,FIND("-",CH829)-1)))+2000,IF(AND(LEN(CH829)=9,ISERROR(FIND("-",LEFT(CH829,8))),ISNUMBER(-LEFT(CH829,8))),VALUE(LEFT(CH829,4)),VALUE(LEFT(CH829,FIND("-",CH829)-1)))),""))</f>
        <v/>
      </c>
      <c r="CN829">
        <f>IF(CH829="","",IFERROR(IF(AND(LEN(CH829)=9,ISERROR(FIND("-",LEFT(CH829,8))),ISNUMBER(-LEFT(CH829,8))),VALUE(MID(CH829,5,2)),VALUE(MID(CH829,FIND("-",CH829)+1,FIND("-",CH829,FIND("-",CH829)+1)-FIND("-",CH829)-1))),""))</f>
        <v/>
      </c>
      <c r="CO829">
        <f>IF(CH829="","",IFERROR(IF(AND(LEN(CH829)=9,ISERROR(FIND("-",LEFT(CH829,8))),ISNUMBER(-LEFT(CH829,8))),VALUE(MID(CH829,7,2)),VALUE(MID(CH829,FIND("-",CH829,FIND("-",CH829)+1)+1,FIND("-",CH829,FIND("-",CH829,FIND("-",CH829)+1)+1)-FIND("-",CH829,FIND("-",CH829)+1)-1))),""))</f>
        <v/>
      </c>
    </row>
    <row r="830">
      <c r="CH830">
        <f>IF(ISTEXT('월 가계부'!A830),SUBSTITUTE(SUBSTITUTE(SUBSTITUTE(SUBSTITUTE(SUBSTITUTE(SUBSTITUTE(SUBSTITUTE(SUBSTITUTE(SUBSTITUTE(TRIM('월 가계부'!A830),"년","-"),"월","-"),"일",""),".","-"),"/","-")," ","-"),"--","-"),"--","-"),"--","-")&amp;"-","")</f>
        <v/>
      </c>
      <c r="CI830">
        <f>IFERROR(IF('월 가계부'!A830="","",IF(ISNUMBER('월 가계부'!A830),IF(AND('월 가계부'!A830&gt;=19000101,'월 가계부'!A830&lt;=21001231),IF(AND(MOD(INT('월 가계부'!A830/100),100)&gt;=1,MOD(INT('월 가계부'!A830/100),100)&lt;=12,MOD(INT('월 가계부'!A830),100)&gt;=1,MOD(INT('월 가계부'!A830),100)&lt;=31),IF(MONTH(DATE(INT('월 가계부'!A830/10000),MOD(INT('월 가계부'!A830/100),100),MOD(INT('월 가계부'!A830),100)))=MOD(INT('월 가계부'!A830/100),100),DATE(INT('월 가계부'!A830/10000),MOD(INT('월 가계부'!A830/100),100),MOD(INT('월 가계부'!A830),100)),""),""),IF(AND('월 가계부'!A830&gt;=36526,'월 가계부'!A830&lt;73051),INT('월 가계부'!A830),"")),IF(OR(CM830="",CN830="",CO830=""),"",IF(AND(CM830&gt;=2000,CM830&lt;=2099,CN830&gt;=1,CN830&lt;=12,CO830&gt;=1,CO830&lt;=31),IF(MONTH(DATE(CM830,CN830,CO830))=CN830,DATE(CM830,CN830,CO830),""),"")))),"")</f>
        <v/>
      </c>
      <c r="CJ830">
        <f>IFERROR(IF('월 가계부'!C830="","",IF(ISNUMBER('월 가계부'!C830),'월 가계부'!C830,VALUE(SUBSTITUTE(SUBSTITUTE(SUBSTITUTE(SUBSTITUTE(TRIM('월 가계부'!C830),",",""),"원","")," ",""),"−","-")))),"")</f>
        <v/>
      </c>
      <c r="CK830">
        <f>IF(ISNUMBER(CI830),IF(CI830&lt;$B$13,CI830,""),"")</f>
        <v/>
      </c>
      <c r="CM830">
        <f>IF(CH830="","",IFERROR(IF(IF(AND(LEN(CH830)=9,ISERROR(FIND("-",LEFT(CH830,8))),ISNUMBER(-LEFT(CH830,8))),VALUE(LEFT(CH830,4)),VALUE(LEFT(CH830,FIND("-",CH830)-1)))&lt;100,IF(AND(LEN(CH830)=9,ISERROR(FIND("-",LEFT(CH830,8))),ISNUMBER(-LEFT(CH830,8))),VALUE(LEFT(CH830,4)),VALUE(LEFT(CH830,FIND("-",CH830)-1)))+2000,IF(AND(LEN(CH830)=9,ISERROR(FIND("-",LEFT(CH830,8))),ISNUMBER(-LEFT(CH830,8))),VALUE(LEFT(CH830,4)),VALUE(LEFT(CH830,FIND("-",CH830)-1)))),""))</f>
        <v/>
      </c>
      <c r="CN830">
        <f>IF(CH830="","",IFERROR(IF(AND(LEN(CH830)=9,ISERROR(FIND("-",LEFT(CH830,8))),ISNUMBER(-LEFT(CH830,8))),VALUE(MID(CH830,5,2)),VALUE(MID(CH830,FIND("-",CH830)+1,FIND("-",CH830,FIND("-",CH830)+1)-FIND("-",CH830)-1))),""))</f>
        <v/>
      </c>
      <c r="CO830">
        <f>IF(CH830="","",IFERROR(IF(AND(LEN(CH830)=9,ISERROR(FIND("-",LEFT(CH830,8))),ISNUMBER(-LEFT(CH830,8))),VALUE(MID(CH830,7,2)),VALUE(MID(CH830,FIND("-",CH830,FIND("-",CH830)+1)+1,FIND("-",CH830,FIND("-",CH830,FIND("-",CH830)+1)+1)-FIND("-",CH830,FIND("-",CH830)+1)-1))),""))</f>
        <v/>
      </c>
    </row>
    <row r="831">
      <c r="CH831">
        <f>IF(ISTEXT('월 가계부'!A831),SUBSTITUTE(SUBSTITUTE(SUBSTITUTE(SUBSTITUTE(SUBSTITUTE(SUBSTITUTE(SUBSTITUTE(SUBSTITUTE(SUBSTITUTE(TRIM('월 가계부'!A831),"년","-"),"월","-"),"일",""),".","-"),"/","-")," ","-"),"--","-"),"--","-"),"--","-")&amp;"-","")</f>
        <v/>
      </c>
      <c r="CI831">
        <f>IFERROR(IF('월 가계부'!A831="","",IF(ISNUMBER('월 가계부'!A831),IF(AND('월 가계부'!A831&gt;=19000101,'월 가계부'!A831&lt;=21001231),IF(AND(MOD(INT('월 가계부'!A831/100),100)&gt;=1,MOD(INT('월 가계부'!A831/100),100)&lt;=12,MOD(INT('월 가계부'!A831),100)&gt;=1,MOD(INT('월 가계부'!A831),100)&lt;=31),IF(MONTH(DATE(INT('월 가계부'!A831/10000),MOD(INT('월 가계부'!A831/100),100),MOD(INT('월 가계부'!A831),100)))=MOD(INT('월 가계부'!A831/100),100),DATE(INT('월 가계부'!A831/10000),MOD(INT('월 가계부'!A831/100),100),MOD(INT('월 가계부'!A831),100)),""),""),IF(AND('월 가계부'!A831&gt;=36526,'월 가계부'!A831&lt;73051),INT('월 가계부'!A831),"")),IF(OR(CM831="",CN831="",CO831=""),"",IF(AND(CM831&gt;=2000,CM831&lt;=2099,CN831&gt;=1,CN831&lt;=12,CO831&gt;=1,CO831&lt;=31),IF(MONTH(DATE(CM831,CN831,CO831))=CN831,DATE(CM831,CN831,CO831),""),"")))),"")</f>
        <v/>
      </c>
      <c r="CJ831">
        <f>IFERROR(IF('월 가계부'!C831="","",IF(ISNUMBER('월 가계부'!C831),'월 가계부'!C831,VALUE(SUBSTITUTE(SUBSTITUTE(SUBSTITUTE(SUBSTITUTE(TRIM('월 가계부'!C831),",",""),"원","")," ",""),"−","-")))),"")</f>
        <v/>
      </c>
      <c r="CK831">
        <f>IF(ISNUMBER(CI831),IF(CI831&lt;$B$13,CI831,""),"")</f>
        <v/>
      </c>
      <c r="CM831">
        <f>IF(CH831="","",IFERROR(IF(IF(AND(LEN(CH831)=9,ISERROR(FIND("-",LEFT(CH831,8))),ISNUMBER(-LEFT(CH831,8))),VALUE(LEFT(CH831,4)),VALUE(LEFT(CH831,FIND("-",CH831)-1)))&lt;100,IF(AND(LEN(CH831)=9,ISERROR(FIND("-",LEFT(CH831,8))),ISNUMBER(-LEFT(CH831,8))),VALUE(LEFT(CH831,4)),VALUE(LEFT(CH831,FIND("-",CH831)-1)))+2000,IF(AND(LEN(CH831)=9,ISERROR(FIND("-",LEFT(CH831,8))),ISNUMBER(-LEFT(CH831,8))),VALUE(LEFT(CH831,4)),VALUE(LEFT(CH831,FIND("-",CH831)-1)))),""))</f>
        <v/>
      </c>
      <c r="CN831">
        <f>IF(CH831="","",IFERROR(IF(AND(LEN(CH831)=9,ISERROR(FIND("-",LEFT(CH831,8))),ISNUMBER(-LEFT(CH831,8))),VALUE(MID(CH831,5,2)),VALUE(MID(CH831,FIND("-",CH831)+1,FIND("-",CH831,FIND("-",CH831)+1)-FIND("-",CH831)-1))),""))</f>
        <v/>
      </c>
      <c r="CO831">
        <f>IF(CH831="","",IFERROR(IF(AND(LEN(CH831)=9,ISERROR(FIND("-",LEFT(CH831,8))),ISNUMBER(-LEFT(CH831,8))),VALUE(MID(CH831,7,2)),VALUE(MID(CH831,FIND("-",CH831,FIND("-",CH831)+1)+1,FIND("-",CH831,FIND("-",CH831,FIND("-",CH831)+1)+1)-FIND("-",CH831,FIND("-",CH831)+1)-1))),""))</f>
        <v/>
      </c>
    </row>
    <row r="832">
      <c r="CH832">
        <f>IF(ISTEXT('월 가계부'!A832),SUBSTITUTE(SUBSTITUTE(SUBSTITUTE(SUBSTITUTE(SUBSTITUTE(SUBSTITUTE(SUBSTITUTE(SUBSTITUTE(SUBSTITUTE(TRIM('월 가계부'!A832),"년","-"),"월","-"),"일",""),".","-"),"/","-")," ","-"),"--","-"),"--","-"),"--","-")&amp;"-","")</f>
        <v/>
      </c>
      <c r="CI832">
        <f>IFERROR(IF('월 가계부'!A832="","",IF(ISNUMBER('월 가계부'!A832),IF(AND('월 가계부'!A832&gt;=19000101,'월 가계부'!A832&lt;=21001231),IF(AND(MOD(INT('월 가계부'!A832/100),100)&gt;=1,MOD(INT('월 가계부'!A832/100),100)&lt;=12,MOD(INT('월 가계부'!A832),100)&gt;=1,MOD(INT('월 가계부'!A832),100)&lt;=31),IF(MONTH(DATE(INT('월 가계부'!A832/10000),MOD(INT('월 가계부'!A832/100),100),MOD(INT('월 가계부'!A832),100)))=MOD(INT('월 가계부'!A832/100),100),DATE(INT('월 가계부'!A832/10000),MOD(INT('월 가계부'!A832/100),100),MOD(INT('월 가계부'!A832),100)),""),""),IF(AND('월 가계부'!A832&gt;=36526,'월 가계부'!A832&lt;73051),INT('월 가계부'!A832),"")),IF(OR(CM832="",CN832="",CO832=""),"",IF(AND(CM832&gt;=2000,CM832&lt;=2099,CN832&gt;=1,CN832&lt;=12,CO832&gt;=1,CO832&lt;=31),IF(MONTH(DATE(CM832,CN832,CO832))=CN832,DATE(CM832,CN832,CO832),""),"")))),"")</f>
        <v/>
      </c>
      <c r="CJ832">
        <f>IFERROR(IF('월 가계부'!C832="","",IF(ISNUMBER('월 가계부'!C832),'월 가계부'!C832,VALUE(SUBSTITUTE(SUBSTITUTE(SUBSTITUTE(SUBSTITUTE(TRIM('월 가계부'!C832),",",""),"원","")," ",""),"−","-")))),"")</f>
        <v/>
      </c>
      <c r="CK832">
        <f>IF(ISNUMBER(CI832),IF(CI832&lt;$B$13,CI832,""),"")</f>
        <v/>
      </c>
      <c r="CM832">
        <f>IF(CH832="","",IFERROR(IF(IF(AND(LEN(CH832)=9,ISERROR(FIND("-",LEFT(CH832,8))),ISNUMBER(-LEFT(CH832,8))),VALUE(LEFT(CH832,4)),VALUE(LEFT(CH832,FIND("-",CH832)-1)))&lt;100,IF(AND(LEN(CH832)=9,ISERROR(FIND("-",LEFT(CH832,8))),ISNUMBER(-LEFT(CH832,8))),VALUE(LEFT(CH832,4)),VALUE(LEFT(CH832,FIND("-",CH832)-1)))+2000,IF(AND(LEN(CH832)=9,ISERROR(FIND("-",LEFT(CH832,8))),ISNUMBER(-LEFT(CH832,8))),VALUE(LEFT(CH832,4)),VALUE(LEFT(CH832,FIND("-",CH832)-1)))),""))</f>
        <v/>
      </c>
      <c r="CN832">
        <f>IF(CH832="","",IFERROR(IF(AND(LEN(CH832)=9,ISERROR(FIND("-",LEFT(CH832,8))),ISNUMBER(-LEFT(CH832,8))),VALUE(MID(CH832,5,2)),VALUE(MID(CH832,FIND("-",CH832)+1,FIND("-",CH832,FIND("-",CH832)+1)-FIND("-",CH832)-1))),""))</f>
        <v/>
      </c>
      <c r="CO832">
        <f>IF(CH832="","",IFERROR(IF(AND(LEN(CH832)=9,ISERROR(FIND("-",LEFT(CH832,8))),ISNUMBER(-LEFT(CH832,8))),VALUE(MID(CH832,7,2)),VALUE(MID(CH832,FIND("-",CH832,FIND("-",CH832)+1)+1,FIND("-",CH832,FIND("-",CH832,FIND("-",CH832)+1)+1)-FIND("-",CH832,FIND("-",CH832)+1)-1))),""))</f>
        <v/>
      </c>
    </row>
    <row r="833">
      <c r="CH833">
        <f>IF(ISTEXT('월 가계부'!A833),SUBSTITUTE(SUBSTITUTE(SUBSTITUTE(SUBSTITUTE(SUBSTITUTE(SUBSTITUTE(SUBSTITUTE(SUBSTITUTE(SUBSTITUTE(TRIM('월 가계부'!A833),"년","-"),"월","-"),"일",""),".","-"),"/","-")," ","-"),"--","-"),"--","-"),"--","-")&amp;"-","")</f>
        <v/>
      </c>
      <c r="CI833">
        <f>IFERROR(IF('월 가계부'!A833="","",IF(ISNUMBER('월 가계부'!A833),IF(AND('월 가계부'!A833&gt;=19000101,'월 가계부'!A833&lt;=21001231),IF(AND(MOD(INT('월 가계부'!A833/100),100)&gt;=1,MOD(INT('월 가계부'!A833/100),100)&lt;=12,MOD(INT('월 가계부'!A833),100)&gt;=1,MOD(INT('월 가계부'!A833),100)&lt;=31),IF(MONTH(DATE(INT('월 가계부'!A833/10000),MOD(INT('월 가계부'!A833/100),100),MOD(INT('월 가계부'!A833),100)))=MOD(INT('월 가계부'!A833/100),100),DATE(INT('월 가계부'!A833/10000),MOD(INT('월 가계부'!A833/100),100),MOD(INT('월 가계부'!A833),100)),""),""),IF(AND('월 가계부'!A833&gt;=36526,'월 가계부'!A833&lt;73051),INT('월 가계부'!A833),"")),IF(OR(CM833="",CN833="",CO833=""),"",IF(AND(CM833&gt;=2000,CM833&lt;=2099,CN833&gt;=1,CN833&lt;=12,CO833&gt;=1,CO833&lt;=31),IF(MONTH(DATE(CM833,CN833,CO833))=CN833,DATE(CM833,CN833,CO833),""),"")))),"")</f>
        <v/>
      </c>
      <c r="CJ833">
        <f>IFERROR(IF('월 가계부'!C833="","",IF(ISNUMBER('월 가계부'!C833),'월 가계부'!C833,VALUE(SUBSTITUTE(SUBSTITUTE(SUBSTITUTE(SUBSTITUTE(TRIM('월 가계부'!C833),",",""),"원","")," ",""),"−","-")))),"")</f>
        <v/>
      </c>
      <c r="CK833">
        <f>IF(ISNUMBER(CI833),IF(CI833&lt;$B$13,CI833,""),"")</f>
        <v/>
      </c>
      <c r="CM833">
        <f>IF(CH833="","",IFERROR(IF(IF(AND(LEN(CH833)=9,ISERROR(FIND("-",LEFT(CH833,8))),ISNUMBER(-LEFT(CH833,8))),VALUE(LEFT(CH833,4)),VALUE(LEFT(CH833,FIND("-",CH833)-1)))&lt;100,IF(AND(LEN(CH833)=9,ISERROR(FIND("-",LEFT(CH833,8))),ISNUMBER(-LEFT(CH833,8))),VALUE(LEFT(CH833,4)),VALUE(LEFT(CH833,FIND("-",CH833)-1)))+2000,IF(AND(LEN(CH833)=9,ISERROR(FIND("-",LEFT(CH833,8))),ISNUMBER(-LEFT(CH833,8))),VALUE(LEFT(CH833,4)),VALUE(LEFT(CH833,FIND("-",CH833)-1)))),""))</f>
        <v/>
      </c>
      <c r="CN833">
        <f>IF(CH833="","",IFERROR(IF(AND(LEN(CH833)=9,ISERROR(FIND("-",LEFT(CH833,8))),ISNUMBER(-LEFT(CH833,8))),VALUE(MID(CH833,5,2)),VALUE(MID(CH833,FIND("-",CH833)+1,FIND("-",CH833,FIND("-",CH833)+1)-FIND("-",CH833)-1))),""))</f>
        <v/>
      </c>
      <c r="CO833">
        <f>IF(CH833="","",IFERROR(IF(AND(LEN(CH833)=9,ISERROR(FIND("-",LEFT(CH833,8))),ISNUMBER(-LEFT(CH833,8))),VALUE(MID(CH833,7,2)),VALUE(MID(CH833,FIND("-",CH833,FIND("-",CH833)+1)+1,FIND("-",CH833,FIND("-",CH833,FIND("-",CH833)+1)+1)-FIND("-",CH833,FIND("-",CH833)+1)-1))),""))</f>
        <v/>
      </c>
    </row>
    <row r="834">
      <c r="CH834">
        <f>IF(ISTEXT('월 가계부'!A834),SUBSTITUTE(SUBSTITUTE(SUBSTITUTE(SUBSTITUTE(SUBSTITUTE(SUBSTITUTE(SUBSTITUTE(SUBSTITUTE(SUBSTITUTE(TRIM('월 가계부'!A834),"년","-"),"월","-"),"일",""),".","-"),"/","-")," ","-"),"--","-"),"--","-"),"--","-")&amp;"-","")</f>
        <v/>
      </c>
      <c r="CI834">
        <f>IFERROR(IF('월 가계부'!A834="","",IF(ISNUMBER('월 가계부'!A834),IF(AND('월 가계부'!A834&gt;=19000101,'월 가계부'!A834&lt;=21001231),IF(AND(MOD(INT('월 가계부'!A834/100),100)&gt;=1,MOD(INT('월 가계부'!A834/100),100)&lt;=12,MOD(INT('월 가계부'!A834),100)&gt;=1,MOD(INT('월 가계부'!A834),100)&lt;=31),IF(MONTH(DATE(INT('월 가계부'!A834/10000),MOD(INT('월 가계부'!A834/100),100),MOD(INT('월 가계부'!A834),100)))=MOD(INT('월 가계부'!A834/100),100),DATE(INT('월 가계부'!A834/10000),MOD(INT('월 가계부'!A834/100),100),MOD(INT('월 가계부'!A834),100)),""),""),IF(AND('월 가계부'!A834&gt;=36526,'월 가계부'!A834&lt;73051),INT('월 가계부'!A834),"")),IF(OR(CM834="",CN834="",CO834=""),"",IF(AND(CM834&gt;=2000,CM834&lt;=2099,CN834&gt;=1,CN834&lt;=12,CO834&gt;=1,CO834&lt;=31),IF(MONTH(DATE(CM834,CN834,CO834))=CN834,DATE(CM834,CN834,CO834),""),"")))),"")</f>
        <v/>
      </c>
      <c r="CJ834">
        <f>IFERROR(IF('월 가계부'!C834="","",IF(ISNUMBER('월 가계부'!C834),'월 가계부'!C834,VALUE(SUBSTITUTE(SUBSTITUTE(SUBSTITUTE(SUBSTITUTE(TRIM('월 가계부'!C834),",",""),"원","")," ",""),"−","-")))),"")</f>
        <v/>
      </c>
      <c r="CK834">
        <f>IF(ISNUMBER(CI834),IF(CI834&lt;$B$13,CI834,""),"")</f>
        <v/>
      </c>
      <c r="CM834">
        <f>IF(CH834="","",IFERROR(IF(IF(AND(LEN(CH834)=9,ISERROR(FIND("-",LEFT(CH834,8))),ISNUMBER(-LEFT(CH834,8))),VALUE(LEFT(CH834,4)),VALUE(LEFT(CH834,FIND("-",CH834)-1)))&lt;100,IF(AND(LEN(CH834)=9,ISERROR(FIND("-",LEFT(CH834,8))),ISNUMBER(-LEFT(CH834,8))),VALUE(LEFT(CH834,4)),VALUE(LEFT(CH834,FIND("-",CH834)-1)))+2000,IF(AND(LEN(CH834)=9,ISERROR(FIND("-",LEFT(CH834,8))),ISNUMBER(-LEFT(CH834,8))),VALUE(LEFT(CH834,4)),VALUE(LEFT(CH834,FIND("-",CH834)-1)))),""))</f>
        <v/>
      </c>
      <c r="CN834">
        <f>IF(CH834="","",IFERROR(IF(AND(LEN(CH834)=9,ISERROR(FIND("-",LEFT(CH834,8))),ISNUMBER(-LEFT(CH834,8))),VALUE(MID(CH834,5,2)),VALUE(MID(CH834,FIND("-",CH834)+1,FIND("-",CH834,FIND("-",CH834)+1)-FIND("-",CH834)-1))),""))</f>
        <v/>
      </c>
      <c r="CO834">
        <f>IF(CH834="","",IFERROR(IF(AND(LEN(CH834)=9,ISERROR(FIND("-",LEFT(CH834,8))),ISNUMBER(-LEFT(CH834,8))),VALUE(MID(CH834,7,2)),VALUE(MID(CH834,FIND("-",CH834,FIND("-",CH834)+1)+1,FIND("-",CH834,FIND("-",CH834,FIND("-",CH834)+1)+1)-FIND("-",CH834,FIND("-",CH834)+1)-1))),""))</f>
        <v/>
      </c>
    </row>
    <row r="835">
      <c r="CH835">
        <f>IF(ISTEXT('월 가계부'!A835),SUBSTITUTE(SUBSTITUTE(SUBSTITUTE(SUBSTITUTE(SUBSTITUTE(SUBSTITUTE(SUBSTITUTE(SUBSTITUTE(SUBSTITUTE(TRIM('월 가계부'!A835),"년","-"),"월","-"),"일",""),".","-"),"/","-")," ","-"),"--","-"),"--","-"),"--","-")&amp;"-","")</f>
        <v/>
      </c>
      <c r="CI835">
        <f>IFERROR(IF('월 가계부'!A835="","",IF(ISNUMBER('월 가계부'!A835),IF(AND('월 가계부'!A835&gt;=19000101,'월 가계부'!A835&lt;=21001231),IF(AND(MOD(INT('월 가계부'!A835/100),100)&gt;=1,MOD(INT('월 가계부'!A835/100),100)&lt;=12,MOD(INT('월 가계부'!A835),100)&gt;=1,MOD(INT('월 가계부'!A835),100)&lt;=31),IF(MONTH(DATE(INT('월 가계부'!A835/10000),MOD(INT('월 가계부'!A835/100),100),MOD(INT('월 가계부'!A835),100)))=MOD(INT('월 가계부'!A835/100),100),DATE(INT('월 가계부'!A835/10000),MOD(INT('월 가계부'!A835/100),100),MOD(INT('월 가계부'!A835),100)),""),""),IF(AND('월 가계부'!A835&gt;=36526,'월 가계부'!A835&lt;73051),INT('월 가계부'!A835),"")),IF(OR(CM835="",CN835="",CO835=""),"",IF(AND(CM835&gt;=2000,CM835&lt;=2099,CN835&gt;=1,CN835&lt;=12,CO835&gt;=1,CO835&lt;=31),IF(MONTH(DATE(CM835,CN835,CO835))=CN835,DATE(CM835,CN835,CO835),""),"")))),"")</f>
        <v/>
      </c>
      <c r="CJ835">
        <f>IFERROR(IF('월 가계부'!C835="","",IF(ISNUMBER('월 가계부'!C835),'월 가계부'!C835,VALUE(SUBSTITUTE(SUBSTITUTE(SUBSTITUTE(SUBSTITUTE(TRIM('월 가계부'!C835),",",""),"원","")," ",""),"−","-")))),"")</f>
        <v/>
      </c>
      <c r="CK835">
        <f>IF(ISNUMBER(CI835),IF(CI835&lt;$B$13,CI835,""),"")</f>
        <v/>
      </c>
      <c r="CM835">
        <f>IF(CH835="","",IFERROR(IF(IF(AND(LEN(CH835)=9,ISERROR(FIND("-",LEFT(CH835,8))),ISNUMBER(-LEFT(CH835,8))),VALUE(LEFT(CH835,4)),VALUE(LEFT(CH835,FIND("-",CH835)-1)))&lt;100,IF(AND(LEN(CH835)=9,ISERROR(FIND("-",LEFT(CH835,8))),ISNUMBER(-LEFT(CH835,8))),VALUE(LEFT(CH835,4)),VALUE(LEFT(CH835,FIND("-",CH835)-1)))+2000,IF(AND(LEN(CH835)=9,ISERROR(FIND("-",LEFT(CH835,8))),ISNUMBER(-LEFT(CH835,8))),VALUE(LEFT(CH835,4)),VALUE(LEFT(CH835,FIND("-",CH835)-1)))),""))</f>
        <v/>
      </c>
      <c r="CN835">
        <f>IF(CH835="","",IFERROR(IF(AND(LEN(CH835)=9,ISERROR(FIND("-",LEFT(CH835,8))),ISNUMBER(-LEFT(CH835,8))),VALUE(MID(CH835,5,2)),VALUE(MID(CH835,FIND("-",CH835)+1,FIND("-",CH835,FIND("-",CH835)+1)-FIND("-",CH835)-1))),""))</f>
        <v/>
      </c>
      <c r="CO835">
        <f>IF(CH835="","",IFERROR(IF(AND(LEN(CH835)=9,ISERROR(FIND("-",LEFT(CH835,8))),ISNUMBER(-LEFT(CH835,8))),VALUE(MID(CH835,7,2)),VALUE(MID(CH835,FIND("-",CH835,FIND("-",CH835)+1)+1,FIND("-",CH835,FIND("-",CH835,FIND("-",CH835)+1)+1)-FIND("-",CH835,FIND("-",CH835)+1)-1))),""))</f>
        <v/>
      </c>
    </row>
    <row r="836">
      <c r="CH836">
        <f>IF(ISTEXT('월 가계부'!A836),SUBSTITUTE(SUBSTITUTE(SUBSTITUTE(SUBSTITUTE(SUBSTITUTE(SUBSTITUTE(SUBSTITUTE(SUBSTITUTE(SUBSTITUTE(TRIM('월 가계부'!A836),"년","-"),"월","-"),"일",""),".","-"),"/","-")," ","-"),"--","-"),"--","-"),"--","-")&amp;"-","")</f>
        <v/>
      </c>
      <c r="CI836">
        <f>IFERROR(IF('월 가계부'!A836="","",IF(ISNUMBER('월 가계부'!A836),IF(AND('월 가계부'!A836&gt;=19000101,'월 가계부'!A836&lt;=21001231),IF(AND(MOD(INT('월 가계부'!A836/100),100)&gt;=1,MOD(INT('월 가계부'!A836/100),100)&lt;=12,MOD(INT('월 가계부'!A836),100)&gt;=1,MOD(INT('월 가계부'!A836),100)&lt;=31),IF(MONTH(DATE(INT('월 가계부'!A836/10000),MOD(INT('월 가계부'!A836/100),100),MOD(INT('월 가계부'!A836),100)))=MOD(INT('월 가계부'!A836/100),100),DATE(INT('월 가계부'!A836/10000),MOD(INT('월 가계부'!A836/100),100),MOD(INT('월 가계부'!A836),100)),""),""),IF(AND('월 가계부'!A836&gt;=36526,'월 가계부'!A836&lt;73051),INT('월 가계부'!A836),"")),IF(OR(CM836="",CN836="",CO836=""),"",IF(AND(CM836&gt;=2000,CM836&lt;=2099,CN836&gt;=1,CN836&lt;=12,CO836&gt;=1,CO836&lt;=31),IF(MONTH(DATE(CM836,CN836,CO836))=CN836,DATE(CM836,CN836,CO836),""),"")))),"")</f>
        <v/>
      </c>
      <c r="CJ836">
        <f>IFERROR(IF('월 가계부'!C836="","",IF(ISNUMBER('월 가계부'!C836),'월 가계부'!C836,VALUE(SUBSTITUTE(SUBSTITUTE(SUBSTITUTE(SUBSTITUTE(TRIM('월 가계부'!C836),",",""),"원","")," ",""),"−","-")))),"")</f>
        <v/>
      </c>
      <c r="CK836">
        <f>IF(ISNUMBER(CI836),IF(CI836&lt;$B$13,CI836,""),"")</f>
        <v/>
      </c>
      <c r="CM836">
        <f>IF(CH836="","",IFERROR(IF(IF(AND(LEN(CH836)=9,ISERROR(FIND("-",LEFT(CH836,8))),ISNUMBER(-LEFT(CH836,8))),VALUE(LEFT(CH836,4)),VALUE(LEFT(CH836,FIND("-",CH836)-1)))&lt;100,IF(AND(LEN(CH836)=9,ISERROR(FIND("-",LEFT(CH836,8))),ISNUMBER(-LEFT(CH836,8))),VALUE(LEFT(CH836,4)),VALUE(LEFT(CH836,FIND("-",CH836)-1)))+2000,IF(AND(LEN(CH836)=9,ISERROR(FIND("-",LEFT(CH836,8))),ISNUMBER(-LEFT(CH836,8))),VALUE(LEFT(CH836,4)),VALUE(LEFT(CH836,FIND("-",CH836)-1)))),""))</f>
        <v/>
      </c>
      <c r="CN836">
        <f>IF(CH836="","",IFERROR(IF(AND(LEN(CH836)=9,ISERROR(FIND("-",LEFT(CH836,8))),ISNUMBER(-LEFT(CH836,8))),VALUE(MID(CH836,5,2)),VALUE(MID(CH836,FIND("-",CH836)+1,FIND("-",CH836,FIND("-",CH836)+1)-FIND("-",CH836)-1))),""))</f>
        <v/>
      </c>
      <c r="CO836">
        <f>IF(CH836="","",IFERROR(IF(AND(LEN(CH836)=9,ISERROR(FIND("-",LEFT(CH836,8))),ISNUMBER(-LEFT(CH836,8))),VALUE(MID(CH836,7,2)),VALUE(MID(CH836,FIND("-",CH836,FIND("-",CH836)+1)+1,FIND("-",CH836,FIND("-",CH836,FIND("-",CH836)+1)+1)-FIND("-",CH836,FIND("-",CH836)+1)-1))),""))</f>
        <v/>
      </c>
    </row>
    <row r="837">
      <c r="CH837">
        <f>IF(ISTEXT('월 가계부'!A837),SUBSTITUTE(SUBSTITUTE(SUBSTITUTE(SUBSTITUTE(SUBSTITUTE(SUBSTITUTE(SUBSTITUTE(SUBSTITUTE(SUBSTITUTE(TRIM('월 가계부'!A837),"년","-"),"월","-"),"일",""),".","-"),"/","-")," ","-"),"--","-"),"--","-"),"--","-")&amp;"-","")</f>
        <v/>
      </c>
      <c r="CI837">
        <f>IFERROR(IF('월 가계부'!A837="","",IF(ISNUMBER('월 가계부'!A837),IF(AND('월 가계부'!A837&gt;=19000101,'월 가계부'!A837&lt;=21001231),IF(AND(MOD(INT('월 가계부'!A837/100),100)&gt;=1,MOD(INT('월 가계부'!A837/100),100)&lt;=12,MOD(INT('월 가계부'!A837),100)&gt;=1,MOD(INT('월 가계부'!A837),100)&lt;=31),IF(MONTH(DATE(INT('월 가계부'!A837/10000),MOD(INT('월 가계부'!A837/100),100),MOD(INT('월 가계부'!A837),100)))=MOD(INT('월 가계부'!A837/100),100),DATE(INT('월 가계부'!A837/10000),MOD(INT('월 가계부'!A837/100),100),MOD(INT('월 가계부'!A837),100)),""),""),IF(AND('월 가계부'!A837&gt;=36526,'월 가계부'!A837&lt;73051),INT('월 가계부'!A837),"")),IF(OR(CM837="",CN837="",CO837=""),"",IF(AND(CM837&gt;=2000,CM837&lt;=2099,CN837&gt;=1,CN837&lt;=12,CO837&gt;=1,CO837&lt;=31),IF(MONTH(DATE(CM837,CN837,CO837))=CN837,DATE(CM837,CN837,CO837),""),"")))),"")</f>
        <v/>
      </c>
      <c r="CJ837">
        <f>IFERROR(IF('월 가계부'!C837="","",IF(ISNUMBER('월 가계부'!C837),'월 가계부'!C837,VALUE(SUBSTITUTE(SUBSTITUTE(SUBSTITUTE(SUBSTITUTE(TRIM('월 가계부'!C837),",",""),"원","")," ",""),"−","-")))),"")</f>
        <v/>
      </c>
      <c r="CK837">
        <f>IF(ISNUMBER(CI837),IF(CI837&lt;$B$13,CI837,""),"")</f>
        <v/>
      </c>
      <c r="CM837">
        <f>IF(CH837="","",IFERROR(IF(IF(AND(LEN(CH837)=9,ISERROR(FIND("-",LEFT(CH837,8))),ISNUMBER(-LEFT(CH837,8))),VALUE(LEFT(CH837,4)),VALUE(LEFT(CH837,FIND("-",CH837)-1)))&lt;100,IF(AND(LEN(CH837)=9,ISERROR(FIND("-",LEFT(CH837,8))),ISNUMBER(-LEFT(CH837,8))),VALUE(LEFT(CH837,4)),VALUE(LEFT(CH837,FIND("-",CH837)-1)))+2000,IF(AND(LEN(CH837)=9,ISERROR(FIND("-",LEFT(CH837,8))),ISNUMBER(-LEFT(CH837,8))),VALUE(LEFT(CH837,4)),VALUE(LEFT(CH837,FIND("-",CH837)-1)))),""))</f>
        <v/>
      </c>
      <c r="CN837">
        <f>IF(CH837="","",IFERROR(IF(AND(LEN(CH837)=9,ISERROR(FIND("-",LEFT(CH837,8))),ISNUMBER(-LEFT(CH837,8))),VALUE(MID(CH837,5,2)),VALUE(MID(CH837,FIND("-",CH837)+1,FIND("-",CH837,FIND("-",CH837)+1)-FIND("-",CH837)-1))),""))</f>
        <v/>
      </c>
      <c r="CO837">
        <f>IF(CH837="","",IFERROR(IF(AND(LEN(CH837)=9,ISERROR(FIND("-",LEFT(CH837,8))),ISNUMBER(-LEFT(CH837,8))),VALUE(MID(CH837,7,2)),VALUE(MID(CH837,FIND("-",CH837,FIND("-",CH837)+1)+1,FIND("-",CH837,FIND("-",CH837,FIND("-",CH837)+1)+1)-FIND("-",CH837,FIND("-",CH837)+1)-1))),""))</f>
        <v/>
      </c>
    </row>
    <row r="838">
      <c r="CH838">
        <f>IF(ISTEXT('월 가계부'!A838),SUBSTITUTE(SUBSTITUTE(SUBSTITUTE(SUBSTITUTE(SUBSTITUTE(SUBSTITUTE(SUBSTITUTE(SUBSTITUTE(SUBSTITUTE(TRIM('월 가계부'!A838),"년","-"),"월","-"),"일",""),".","-"),"/","-")," ","-"),"--","-"),"--","-"),"--","-")&amp;"-","")</f>
        <v/>
      </c>
      <c r="CI838">
        <f>IFERROR(IF('월 가계부'!A838="","",IF(ISNUMBER('월 가계부'!A838),IF(AND('월 가계부'!A838&gt;=19000101,'월 가계부'!A838&lt;=21001231),IF(AND(MOD(INT('월 가계부'!A838/100),100)&gt;=1,MOD(INT('월 가계부'!A838/100),100)&lt;=12,MOD(INT('월 가계부'!A838),100)&gt;=1,MOD(INT('월 가계부'!A838),100)&lt;=31),IF(MONTH(DATE(INT('월 가계부'!A838/10000),MOD(INT('월 가계부'!A838/100),100),MOD(INT('월 가계부'!A838),100)))=MOD(INT('월 가계부'!A838/100),100),DATE(INT('월 가계부'!A838/10000),MOD(INT('월 가계부'!A838/100),100),MOD(INT('월 가계부'!A838),100)),""),""),IF(AND('월 가계부'!A838&gt;=36526,'월 가계부'!A838&lt;73051),INT('월 가계부'!A838),"")),IF(OR(CM838="",CN838="",CO838=""),"",IF(AND(CM838&gt;=2000,CM838&lt;=2099,CN838&gt;=1,CN838&lt;=12,CO838&gt;=1,CO838&lt;=31),IF(MONTH(DATE(CM838,CN838,CO838))=CN838,DATE(CM838,CN838,CO838),""),"")))),"")</f>
        <v/>
      </c>
      <c r="CJ838">
        <f>IFERROR(IF('월 가계부'!C838="","",IF(ISNUMBER('월 가계부'!C838),'월 가계부'!C838,VALUE(SUBSTITUTE(SUBSTITUTE(SUBSTITUTE(SUBSTITUTE(TRIM('월 가계부'!C838),",",""),"원","")," ",""),"−","-")))),"")</f>
        <v/>
      </c>
      <c r="CK838">
        <f>IF(ISNUMBER(CI838),IF(CI838&lt;$B$13,CI838,""),"")</f>
        <v/>
      </c>
      <c r="CM838">
        <f>IF(CH838="","",IFERROR(IF(IF(AND(LEN(CH838)=9,ISERROR(FIND("-",LEFT(CH838,8))),ISNUMBER(-LEFT(CH838,8))),VALUE(LEFT(CH838,4)),VALUE(LEFT(CH838,FIND("-",CH838)-1)))&lt;100,IF(AND(LEN(CH838)=9,ISERROR(FIND("-",LEFT(CH838,8))),ISNUMBER(-LEFT(CH838,8))),VALUE(LEFT(CH838,4)),VALUE(LEFT(CH838,FIND("-",CH838)-1)))+2000,IF(AND(LEN(CH838)=9,ISERROR(FIND("-",LEFT(CH838,8))),ISNUMBER(-LEFT(CH838,8))),VALUE(LEFT(CH838,4)),VALUE(LEFT(CH838,FIND("-",CH838)-1)))),""))</f>
        <v/>
      </c>
      <c r="CN838">
        <f>IF(CH838="","",IFERROR(IF(AND(LEN(CH838)=9,ISERROR(FIND("-",LEFT(CH838,8))),ISNUMBER(-LEFT(CH838,8))),VALUE(MID(CH838,5,2)),VALUE(MID(CH838,FIND("-",CH838)+1,FIND("-",CH838,FIND("-",CH838)+1)-FIND("-",CH838)-1))),""))</f>
        <v/>
      </c>
      <c r="CO838">
        <f>IF(CH838="","",IFERROR(IF(AND(LEN(CH838)=9,ISERROR(FIND("-",LEFT(CH838,8))),ISNUMBER(-LEFT(CH838,8))),VALUE(MID(CH838,7,2)),VALUE(MID(CH838,FIND("-",CH838,FIND("-",CH838)+1)+1,FIND("-",CH838,FIND("-",CH838,FIND("-",CH838)+1)+1)-FIND("-",CH838,FIND("-",CH838)+1)-1))),""))</f>
        <v/>
      </c>
    </row>
    <row r="839">
      <c r="CH839">
        <f>IF(ISTEXT('월 가계부'!A839),SUBSTITUTE(SUBSTITUTE(SUBSTITUTE(SUBSTITUTE(SUBSTITUTE(SUBSTITUTE(SUBSTITUTE(SUBSTITUTE(SUBSTITUTE(TRIM('월 가계부'!A839),"년","-"),"월","-"),"일",""),".","-"),"/","-")," ","-"),"--","-"),"--","-"),"--","-")&amp;"-","")</f>
        <v/>
      </c>
      <c r="CI839">
        <f>IFERROR(IF('월 가계부'!A839="","",IF(ISNUMBER('월 가계부'!A839),IF(AND('월 가계부'!A839&gt;=19000101,'월 가계부'!A839&lt;=21001231),IF(AND(MOD(INT('월 가계부'!A839/100),100)&gt;=1,MOD(INT('월 가계부'!A839/100),100)&lt;=12,MOD(INT('월 가계부'!A839),100)&gt;=1,MOD(INT('월 가계부'!A839),100)&lt;=31),IF(MONTH(DATE(INT('월 가계부'!A839/10000),MOD(INT('월 가계부'!A839/100),100),MOD(INT('월 가계부'!A839),100)))=MOD(INT('월 가계부'!A839/100),100),DATE(INT('월 가계부'!A839/10000),MOD(INT('월 가계부'!A839/100),100),MOD(INT('월 가계부'!A839),100)),""),""),IF(AND('월 가계부'!A839&gt;=36526,'월 가계부'!A839&lt;73051),INT('월 가계부'!A839),"")),IF(OR(CM839="",CN839="",CO839=""),"",IF(AND(CM839&gt;=2000,CM839&lt;=2099,CN839&gt;=1,CN839&lt;=12,CO839&gt;=1,CO839&lt;=31),IF(MONTH(DATE(CM839,CN839,CO839))=CN839,DATE(CM839,CN839,CO839),""),"")))),"")</f>
        <v/>
      </c>
      <c r="CJ839">
        <f>IFERROR(IF('월 가계부'!C839="","",IF(ISNUMBER('월 가계부'!C839),'월 가계부'!C839,VALUE(SUBSTITUTE(SUBSTITUTE(SUBSTITUTE(SUBSTITUTE(TRIM('월 가계부'!C839),",",""),"원","")," ",""),"−","-")))),"")</f>
        <v/>
      </c>
      <c r="CK839">
        <f>IF(ISNUMBER(CI839),IF(CI839&lt;$B$13,CI839,""),"")</f>
        <v/>
      </c>
      <c r="CM839">
        <f>IF(CH839="","",IFERROR(IF(IF(AND(LEN(CH839)=9,ISERROR(FIND("-",LEFT(CH839,8))),ISNUMBER(-LEFT(CH839,8))),VALUE(LEFT(CH839,4)),VALUE(LEFT(CH839,FIND("-",CH839)-1)))&lt;100,IF(AND(LEN(CH839)=9,ISERROR(FIND("-",LEFT(CH839,8))),ISNUMBER(-LEFT(CH839,8))),VALUE(LEFT(CH839,4)),VALUE(LEFT(CH839,FIND("-",CH839)-1)))+2000,IF(AND(LEN(CH839)=9,ISERROR(FIND("-",LEFT(CH839,8))),ISNUMBER(-LEFT(CH839,8))),VALUE(LEFT(CH839,4)),VALUE(LEFT(CH839,FIND("-",CH839)-1)))),""))</f>
        <v/>
      </c>
      <c r="CN839">
        <f>IF(CH839="","",IFERROR(IF(AND(LEN(CH839)=9,ISERROR(FIND("-",LEFT(CH839,8))),ISNUMBER(-LEFT(CH839,8))),VALUE(MID(CH839,5,2)),VALUE(MID(CH839,FIND("-",CH839)+1,FIND("-",CH839,FIND("-",CH839)+1)-FIND("-",CH839)-1))),""))</f>
        <v/>
      </c>
      <c r="CO839">
        <f>IF(CH839="","",IFERROR(IF(AND(LEN(CH839)=9,ISERROR(FIND("-",LEFT(CH839,8))),ISNUMBER(-LEFT(CH839,8))),VALUE(MID(CH839,7,2)),VALUE(MID(CH839,FIND("-",CH839,FIND("-",CH839)+1)+1,FIND("-",CH839,FIND("-",CH839,FIND("-",CH839)+1)+1)-FIND("-",CH839,FIND("-",CH839)+1)-1))),""))</f>
        <v/>
      </c>
    </row>
    <row r="840">
      <c r="CH840">
        <f>IF(ISTEXT('월 가계부'!A840),SUBSTITUTE(SUBSTITUTE(SUBSTITUTE(SUBSTITUTE(SUBSTITUTE(SUBSTITUTE(SUBSTITUTE(SUBSTITUTE(SUBSTITUTE(TRIM('월 가계부'!A840),"년","-"),"월","-"),"일",""),".","-"),"/","-")," ","-"),"--","-"),"--","-"),"--","-")&amp;"-","")</f>
        <v/>
      </c>
      <c r="CI840">
        <f>IFERROR(IF('월 가계부'!A840="","",IF(ISNUMBER('월 가계부'!A840),IF(AND('월 가계부'!A840&gt;=19000101,'월 가계부'!A840&lt;=21001231),IF(AND(MOD(INT('월 가계부'!A840/100),100)&gt;=1,MOD(INT('월 가계부'!A840/100),100)&lt;=12,MOD(INT('월 가계부'!A840),100)&gt;=1,MOD(INT('월 가계부'!A840),100)&lt;=31),IF(MONTH(DATE(INT('월 가계부'!A840/10000),MOD(INT('월 가계부'!A840/100),100),MOD(INT('월 가계부'!A840),100)))=MOD(INT('월 가계부'!A840/100),100),DATE(INT('월 가계부'!A840/10000),MOD(INT('월 가계부'!A840/100),100),MOD(INT('월 가계부'!A840),100)),""),""),IF(AND('월 가계부'!A840&gt;=36526,'월 가계부'!A840&lt;73051),INT('월 가계부'!A840),"")),IF(OR(CM840="",CN840="",CO840=""),"",IF(AND(CM840&gt;=2000,CM840&lt;=2099,CN840&gt;=1,CN840&lt;=12,CO840&gt;=1,CO840&lt;=31),IF(MONTH(DATE(CM840,CN840,CO840))=CN840,DATE(CM840,CN840,CO840),""),"")))),"")</f>
        <v/>
      </c>
      <c r="CJ840">
        <f>IFERROR(IF('월 가계부'!C840="","",IF(ISNUMBER('월 가계부'!C840),'월 가계부'!C840,VALUE(SUBSTITUTE(SUBSTITUTE(SUBSTITUTE(SUBSTITUTE(TRIM('월 가계부'!C840),",",""),"원","")," ",""),"−","-")))),"")</f>
        <v/>
      </c>
      <c r="CK840">
        <f>IF(ISNUMBER(CI840),IF(CI840&lt;$B$13,CI840,""),"")</f>
        <v/>
      </c>
      <c r="CM840">
        <f>IF(CH840="","",IFERROR(IF(IF(AND(LEN(CH840)=9,ISERROR(FIND("-",LEFT(CH840,8))),ISNUMBER(-LEFT(CH840,8))),VALUE(LEFT(CH840,4)),VALUE(LEFT(CH840,FIND("-",CH840)-1)))&lt;100,IF(AND(LEN(CH840)=9,ISERROR(FIND("-",LEFT(CH840,8))),ISNUMBER(-LEFT(CH840,8))),VALUE(LEFT(CH840,4)),VALUE(LEFT(CH840,FIND("-",CH840)-1)))+2000,IF(AND(LEN(CH840)=9,ISERROR(FIND("-",LEFT(CH840,8))),ISNUMBER(-LEFT(CH840,8))),VALUE(LEFT(CH840,4)),VALUE(LEFT(CH840,FIND("-",CH840)-1)))),""))</f>
        <v/>
      </c>
      <c r="CN840">
        <f>IF(CH840="","",IFERROR(IF(AND(LEN(CH840)=9,ISERROR(FIND("-",LEFT(CH840,8))),ISNUMBER(-LEFT(CH840,8))),VALUE(MID(CH840,5,2)),VALUE(MID(CH840,FIND("-",CH840)+1,FIND("-",CH840,FIND("-",CH840)+1)-FIND("-",CH840)-1))),""))</f>
        <v/>
      </c>
      <c r="CO840">
        <f>IF(CH840="","",IFERROR(IF(AND(LEN(CH840)=9,ISERROR(FIND("-",LEFT(CH840,8))),ISNUMBER(-LEFT(CH840,8))),VALUE(MID(CH840,7,2)),VALUE(MID(CH840,FIND("-",CH840,FIND("-",CH840)+1)+1,FIND("-",CH840,FIND("-",CH840,FIND("-",CH840)+1)+1)-FIND("-",CH840,FIND("-",CH840)+1)-1))),""))</f>
        <v/>
      </c>
    </row>
    <row r="841">
      <c r="CH841">
        <f>IF(ISTEXT('월 가계부'!A841),SUBSTITUTE(SUBSTITUTE(SUBSTITUTE(SUBSTITUTE(SUBSTITUTE(SUBSTITUTE(SUBSTITUTE(SUBSTITUTE(SUBSTITUTE(TRIM('월 가계부'!A841),"년","-"),"월","-"),"일",""),".","-"),"/","-")," ","-"),"--","-"),"--","-"),"--","-")&amp;"-","")</f>
        <v/>
      </c>
      <c r="CI841">
        <f>IFERROR(IF('월 가계부'!A841="","",IF(ISNUMBER('월 가계부'!A841),IF(AND('월 가계부'!A841&gt;=19000101,'월 가계부'!A841&lt;=21001231),IF(AND(MOD(INT('월 가계부'!A841/100),100)&gt;=1,MOD(INT('월 가계부'!A841/100),100)&lt;=12,MOD(INT('월 가계부'!A841),100)&gt;=1,MOD(INT('월 가계부'!A841),100)&lt;=31),IF(MONTH(DATE(INT('월 가계부'!A841/10000),MOD(INT('월 가계부'!A841/100),100),MOD(INT('월 가계부'!A841),100)))=MOD(INT('월 가계부'!A841/100),100),DATE(INT('월 가계부'!A841/10000),MOD(INT('월 가계부'!A841/100),100),MOD(INT('월 가계부'!A841),100)),""),""),IF(AND('월 가계부'!A841&gt;=36526,'월 가계부'!A841&lt;73051),INT('월 가계부'!A841),"")),IF(OR(CM841="",CN841="",CO841=""),"",IF(AND(CM841&gt;=2000,CM841&lt;=2099,CN841&gt;=1,CN841&lt;=12,CO841&gt;=1,CO841&lt;=31),IF(MONTH(DATE(CM841,CN841,CO841))=CN841,DATE(CM841,CN841,CO841),""),"")))),"")</f>
        <v/>
      </c>
      <c r="CJ841">
        <f>IFERROR(IF('월 가계부'!C841="","",IF(ISNUMBER('월 가계부'!C841),'월 가계부'!C841,VALUE(SUBSTITUTE(SUBSTITUTE(SUBSTITUTE(SUBSTITUTE(TRIM('월 가계부'!C841),",",""),"원","")," ",""),"−","-")))),"")</f>
        <v/>
      </c>
      <c r="CK841">
        <f>IF(ISNUMBER(CI841),IF(CI841&lt;$B$13,CI841,""),"")</f>
        <v/>
      </c>
      <c r="CM841">
        <f>IF(CH841="","",IFERROR(IF(IF(AND(LEN(CH841)=9,ISERROR(FIND("-",LEFT(CH841,8))),ISNUMBER(-LEFT(CH841,8))),VALUE(LEFT(CH841,4)),VALUE(LEFT(CH841,FIND("-",CH841)-1)))&lt;100,IF(AND(LEN(CH841)=9,ISERROR(FIND("-",LEFT(CH841,8))),ISNUMBER(-LEFT(CH841,8))),VALUE(LEFT(CH841,4)),VALUE(LEFT(CH841,FIND("-",CH841)-1)))+2000,IF(AND(LEN(CH841)=9,ISERROR(FIND("-",LEFT(CH841,8))),ISNUMBER(-LEFT(CH841,8))),VALUE(LEFT(CH841,4)),VALUE(LEFT(CH841,FIND("-",CH841)-1)))),""))</f>
        <v/>
      </c>
      <c r="CN841">
        <f>IF(CH841="","",IFERROR(IF(AND(LEN(CH841)=9,ISERROR(FIND("-",LEFT(CH841,8))),ISNUMBER(-LEFT(CH841,8))),VALUE(MID(CH841,5,2)),VALUE(MID(CH841,FIND("-",CH841)+1,FIND("-",CH841,FIND("-",CH841)+1)-FIND("-",CH841)-1))),""))</f>
        <v/>
      </c>
      <c r="CO841">
        <f>IF(CH841="","",IFERROR(IF(AND(LEN(CH841)=9,ISERROR(FIND("-",LEFT(CH841,8))),ISNUMBER(-LEFT(CH841,8))),VALUE(MID(CH841,7,2)),VALUE(MID(CH841,FIND("-",CH841,FIND("-",CH841)+1)+1,FIND("-",CH841,FIND("-",CH841,FIND("-",CH841)+1)+1)-FIND("-",CH841,FIND("-",CH841)+1)-1))),""))</f>
        <v/>
      </c>
    </row>
    <row r="842">
      <c r="CH842">
        <f>IF(ISTEXT('월 가계부'!A842),SUBSTITUTE(SUBSTITUTE(SUBSTITUTE(SUBSTITUTE(SUBSTITUTE(SUBSTITUTE(SUBSTITUTE(SUBSTITUTE(SUBSTITUTE(TRIM('월 가계부'!A842),"년","-"),"월","-"),"일",""),".","-"),"/","-")," ","-"),"--","-"),"--","-"),"--","-")&amp;"-","")</f>
        <v/>
      </c>
      <c r="CI842">
        <f>IFERROR(IF('월 가계부'!A842="","",IF(ISNUMBER('월 가계부'!A842),IF(AND('월 가계부'!A842&gt;=19000101,'월 가계부'!A842&lt;=21001231),IF(AND(MOD(INT('월 가계부'!A842/100),100)&gt;=1,MOD(INT('월 가계부'!A842/100),100)&lt;=12,MOD(INT('월 가계부'!A842),100)&gt;=1,MOD(INT('월 가계부'!A842),100)&lt;=31),IF(MONTH(DATE(INT('월 가계부'!A842/10000),MOD(INT('월 가계부'!A842/100),100),MOD(INT('월 가계부'!A842),100)))=MOD(INT('월 가계부'!A842/100),100),DATE(INT('월 가계부'!A842/10000),MOD(INT('월 가계부'!A842/100),100),MOD(INT('월 가계부'!A842),100)),""),""),IF(AND('월 가계부'!A842&gt;=36526,'월 가계부'!A842&lt;73051),INT('월 가계부'!A842),"")),IF(OR(CM842="",CN842="",CO842=""),"",IF(AND(CM842&gt;=2000,CM842&lt;=2099,CN842&gt;=1,CN842&lt;=12,CO842&gt;=1,CO842&lt;=31),IF(MONTH(DATE(CM842,CN842,CO842))=CN842,DATE(CM842,CN842,CO842),""),"")))),"")</f>
        <v/>
      </c>
      <c r="CJ842">
        <f>IFERROR(IF('월 가계부'!C842="","",IF(ISNUMBER('월 가계부'!C842),'월 가계부'!C842,VALUE(SUBSTITUTE(SUBSTITUTE(SUBSTITUTE(SUBSTITUTE(TRIM('월 가계부'!C842),",",""),"원","")," ",""),"−","-")))),"")</f>
        <v/>
      </c>
      <c r="CK842">
        <f>IF(ISNUMBER(CI842),IF(CI842&lt;$B$13,CI842,""),"")</f>
        <v/>
      </c>
      <c r="CM842">
        <f>IF(CH842="","",IFERROR(IF(IF(AND(LEN(CH842)=9,ISERROR(FIND("-",LEFT(CH842,8))),ISNUMBER(-LEFT(CH842,8))),VALUE(LEFT(CH842,4)),VALUE(LEFT(CH842,FIND("-",CH842)-1)))&lt;100,IF(AND(LEN(CH842)=9,ISERROR(FIND("-",LEFT(CH842,8))),ISNUMBER(-LEFT(CH842,8))),VALUE(LEFT(CH842,4)),VALUE(LEFT(CH842,FIND("-",CH842)-1)))+2000,IF(AND(LEN(CH842)=9,ISERROR(FIND("-",LEFT(CH842,8))),ISNUMBER(-LEFT(CH842,8))),VALUE(LEFT(CH842,4)),VALUE(LEFT(CH842,FIND("-",CH842)-1)))),""))</f>
        <v/>
      </c>
      <c r="CN842">
        <f>IF(CH842="","",IFERROR(IF(AND(LEN(CH842)=9,ISERROR(FIND("-",LEFT(CH842,8))),ISNUMBER(-LEFT(CH842,8))),VALUE(MID(CH842,5,2)),VALUE(MID(CH842,FIND("-",CH842)+1,FIND("-",CH842,FIND("-",CH842)+1)-FIND("-",CH842)-1))),""))</f>
        <v/>
      </c>
      <c r="CO842">
        <f>IF(CH842="","",IFERROR(IF(AND(LEN(CH842)=9,ISERROR(FIND("-",LEFT(CH842,8))),ISNUMBER(-LEFT(CH842,8))),VALUE(MID(CH842,7,2)),VALUE(MID(CH842,FIND("-",CH842,FIND("-",CH842)+1)+1,FIND("-",CH842,FIND("-",CH842,FIND("-",CH842)+1)+1)-FIND("-",CH842,FIND("-",CH842)+1)-1))),""))</f>
        <v/>
      </c>
    </row>
    <row r="843">
      <c r="CH843">
        <f>IF(ISTEXT('월 가계부'!A843),SUBSTITUTE(SUBSTITUTE(SUBSTITUTE(SUBSTITUTE(SUBSTITUTE(SUBSTITUTE(SUBSTITUTE(SUBSTITUTE(SUBSTITUTE(TRIM('월 가계부'!A843),"년","-"),"월","-"),"일",""),".","-"),"/","-")," ","-"),"--","-"),"--","-"),"--","-")&amp;"-","")</f>
        <v/>
      </c>
      <c r="CI843">
        <f>IFERROR(IF('월 가계부'!A843="","",IF(ISNUMBER('월 가계부'!A843),IF(AND('월 가계부'!A843&gt;=19000101,'월 가계부'!A843&lt;=21001231),IF(AND(MOD(INT('월 가계부'!A843/100),100)&gt;=1,MOD(INT('월 가계부'!A843/100),100)&lt;=12,MOD(INT('월 가계부'!A843),100)&gt;=1,MOD(INT('월 가계부'!A843),100)&lt;=31),IF(MONTH(DATE(INT('월 가계부'!A843/10000),MOD(INT('월 가계부'!A843/100),100),MOD(INT('월 가계부'!A843),100)))=MOD(INT('월 가계부'!A843/100),100),DATE(INT('월 가계부'!A843/10000),MOD(INT('월 가계부'!A843/100),100),MOD(INT('월 가계부'!A843),100)),""),""),IF(AND('월 가계부'!A843&gt;=36526,'월 가계부'!A843&lt;73051),INT('월 가계부'!A843),"")),IF(OR(CM843="",CN843="",CO843=""),"",IF(AND(CM843&gt;=2000,CM843&lt;=2099,CN843&gt;=1,CN843&lt;=12,CO843&gt;=1,CO843&lt;=31),IF(MONTH(DATE(CM843,CN843,CO843))=CN843,DATE(CM843,CN843,CO843),""),"")))),"")</f>
        <v/>
      </c>
      <c r="CJ843">
        <f>IFERROR(IF('월 가계부'!C843="","",IF(ISNUMBER('월 가계부'!C843),'월 가계부'!C843,VALUE(SUBSTITUTE(SUBSTITUTE(SUBSTITUTE(SUBSTITUTE(TRIM('월 가계부'!C843),",",""),"원","")," ",""),"−","-")))),"")</f>
        <v/>
      </c>
      <c r="CK843">
        <f>IF(ISNUMBER(CI843),IF(CI843&lt;$B$13,CI843,""),"")</f>
        <v/>
      </c>
      <c r="CM843">
        <f>IF(CH843="","",IFERROR(IF(IF(AND(LEN(CH843)=9,ISERROR(FIND("-",LEFT(CH843,8))),ISNUMBER(-LEFT(CH843,8))),VALUE(LEFT(CH843,4)),VALUE(LEFT(CH843,FIND("-",CH843)-1)))&lt;100,IF(AND(LEN(CH843)=9,ISERROR(FIND("-",LEFT(CH843,8))),ISNUMBER(-LEFT(CH843,8))),VALUE(LEFT(CH843,4)),VALUE(LEFT(CH843,FIND("-",CH843)-1)))+2000,IF(AND(LEN(CH843)=9,ISERROR(FIND("-",LEFT(CH843,8))),ISNUMBER(-LEFT(CH843,8))),VALUE(LEFT(CH843,4)),VALUE(LEFT(CH843,FIND("-",CH843)-1)))),""))</f>
        <v/>
      </c>
      <c r="CN843">
        <f>IF(CH843="","",IFERROR(IF(AND(LEN(CH843)=9,ISERROR(FIND("-",LEFT(CH843,8))),ISNUMBER(-LEFT(CH843,8))),VALUE(MID(CH843,5,2)),VALUE(MID(CH843,FIND("-",CH843)+1,FIND("-",CH843,FIND("-",CH843)+1)-FIND("-",CH843)-1))),""))</f>
        <v/>
      </c>
      <c r="CO843">
        <f>IF(CH843="","",IFERROR(IF(AND(LEN(CH843)=9,ISERROR(FIND("-",LEFT(CH843,8))),ISNUMBER(-LEFT(CH843,8))),VALUE(MID(CH843,7,2)),VALUE(MID(CH843,FIND("-",CH843,FIND("-",CH843)+1)+1,FIND("-",CH843,FIND("-",CH843,FIND("-",CH843)+1)+1)-FIND("-",CH843,FIND("-",CH843)+1)-1))),""))</f>
        <v/>
      </c>
    </row>
    <row r="844">
      <c r="CH844">
        <f>IF(ISTEXT('월 가계부'!A844),SUBSTITUTE(SUBSTITUTE(SUBSTITUTE(SUBSTITUTE(SUBSTITUTE(SUBSTITUTE(SUBSTITUTE(SUBSTITUTE(SUBSTITUTE(TRIM('월 가계부'!A844),"년","-"),"월","-"),"일",""),".","-"),"/","-")," ","-"),"--","-"),"--","-"),"--","-")&amp;"-","")</f>
        <v/>
      </c>
      <c r="CI844">
        <f>IFERROR(IF('월 가계부'!A844="","",IF(ISNUMBER('월 가계부'!A844),IF(AND('월 가계부'!A844&gt;=19000101,'월 가계부'!A844&lt;=21001231),IF(AND(MOD(INT('월 가계부'!A844/100),100)&gt;=1,MOD(INT('월 가계부'!A844/100),100)&lt;=12,MOD(INT('월 가계부'!A844),100)&gt;=1,MOD(INT('월 가계부'!A844),100)&lt;=31),IF(MONTH(DATE(INT('월 가계부'!A844/10000),MOD(INT('월 가계부'!A844/100),100),MOD(INT('월 가계부'!A844),100)))=MOD(INT('월 가계부'!A844/100),100),DATE(INT('월 가계부'!A844/10000),MOD(INT('월 가계부'!A844/100),100),MOD(INT('월 가계부'!A844),100)),""),""),IF(AND('월 가계부'!A844&gt;=36526,'월 가계부'!A844&lt;73051),INT('월 가계부'!A844),"")),IF(OR(CM844="",CN844="",CO844=""),"",IF(AND(CM844&gt;=2000,CM844&lt;=2099,CN844&gt;=1,CN844&lt;=12,CO844&gt;=1,CO844&lt;=31),IF(MONTH(DATE(CM844,CN844,CO844))=CN844,DATE(CM844,CN844,CO844),""),"")))),"")</f>
        <v/>
      </c>
      <c r="CJ844">
        <f>IFERROR(IF('월 가계부'!C844="","",IF(ISNUMBER('월 가계부'!C844),'월 가계부'!C844,VALUE(SUBSTITUTE(SUBSTITUTE(SUBSTITUTE(SUBSTITUTE(TRIM('월 가계부'!C844),",",""),"원","")," ",""),"−","-")))),"")</f>
        <v/>
      </c>
      <c r="CK844">
        <f>IF(ISNUMBER(CI844),IF(CI844&lt;$B$13,CI844,""),"")</f>
        <v/>
      </c>
      <c r="CM844">
        <f>IF(CH844="","",IFERROR(IF(IF(AND(LEN(CH844)=9,ISERROR(FIND("-",LEFT(CH844,8))),ISNUMBER(-LEFT(CH844,8))),VALUE(LEFT(CH844,4)),VALUE(LEFT(CH844,FIND("-",CH844)-1)))&lt;100,IF(AND(LEN(CH844)=9,ISERROR(FIND("-",LEFT(CH844,8))),ISNUMBER(-LEFT(CH844,8))),VALUE(LEFT(CH844,4)),VALUE(LEFT(CH844,FIND("-",CH844)-1)))+2000,IF(AND(LEN(CH844)=9,ISERROR(FIND("-",LEFT(CH844,8))),ISNUMBER(-LEFT(CH844,8))),VALUE(LEFT(CH844,4)),VALUE(LEFT(CH844,FIND("-",CH844)-1)))),""))</f>
        <v/>
      </c>
      <c r="CN844">
        <f>IF(CH844="","",IFERROR(IF(AND(LEN(CH844)=9,ISERROR(FIND("-",LEFT(CH844,8))),ISNUMBER(-LEFT(CH844,8))),VALUE(MID(CH844,5,2)),VALUE(MID(CH844,FIND("-",CH844)+1,FIND("-",CH844,FIND("-",CH844)+1)-FIND("-",CH844)-1))),""))</f>
        <v/>
      </c>
      <c r="CO844">
        <f>IF(CH844="","",IFERROR(IF(AND(LEN(CH844)=9,ISERROR(FIND("-",LEFT(CH844,8))),ISNUMBER(-LEFT(CH844,8))),VALUE(MID(CH844,7,2)),VALUE(MID(CH844,FIND("-",CH844,FIND("-",CH844)+1)+1,FIND("-",CH844,FIND("-",CH844,FIND("-",CH844)+1)+1)-FIND("-",CH844,FIND("-",CH844)+1)-1))),""))</f>
        <v/>
      </c>
    </row>
    <row r="845">
      <c r="CH845">
        <f>IF(ISTEXT('월 가계부'!A845),SUBSTITUTE(SUBSTITUTE(SUBSTITUTE(SUBSTITUTE(SUBSTITUTE(SUBSTITUTE(SUBSTITUTE(SUBSTITUTE(SUBSTITUTE(TRIM('월 가계부'!A845),"년","-"),"월","-"),"일",""),".","-"),"/","-")," ","-"),"--","-"),"--","-"),"--","-")&amp;"-","")</f>
        <v/>
      </c>
      <c r="CI845">
        <f>IFERROR(IF('월 가계부'!A845="","",IF(ISNUMBER('월 가계부'!A845),IF(AND('월 가계부'!A845&gt;=19000101,'월 가계부'!A845&lt;=21001231),IF(AND(MOD(INT('월 가계부'!A845/100),100)&gt;=1,MOD(INT('월 가계부'!A845/100),100)&lt;=12,MOD(INT('월 가계부'!A845),100)&gt;=1,MOD(INT('월 가계부'!A845),100)&lt;=31),IF(MONTH(DATE(INT('월 가계부'!A845/10000),MOD(INT('월 가계부'!A845/100),100),MOD(INT('월 가계부'!A845),100)))=MOD(INT('월 가계부'!A845/100),100),DATE(INT('월 가계부'!A845/10000),MOD(INT('월 가계부'!A845/100),100),MOD(INT('월 가계부'!A845),100)),""),""),IF(AND('월 가계부'!A845&gt;=36526,'월 가계부'!A845&lt;73051),INT('월 가계부'!A845),"")),IF(OR(CM845="",CN845="",CO845=""),"",IF(AND(CM845&gt;=2000,CM845&lt;=2099,CN845&gt;=1,CN845&lt;=12,CO845&gt;=1,CO845&lt;=31),IF(MONTH(DATE(CM845,CN845,CO845))=CN845,DATE(CM845,CN845,CO845),""),"")))),"")</f>
        <v/>
      </c>
      <c r="CJ845">
        <f>IFERROR(IF('월 가계부'!C845="","",IF(ISNUMBER('월 가계부'!C845),'월 가계부'!C845,VALUE(SUBSTITUTE(SUBSTITUTE(SUBSTITUTE(SUBSTITUTE(TRIM('월 가계부'!C845),",",""),"원","")," ",""),"−","-")))),"")</f>
        <v/>
      </c>
      <c r="CK845">
        <f>IF(ISNUMBER(CI845),IF(CI845&lt;$B$13,CI845,""),"")</f>
        <v/>
      </c>
      <c r="CM845">
        <f>IF(CH845="","",IFERROR(IF(IF(AND(LEN(CH845)=9,ISERROR(FIND("-",LEFT(CH845,8))),ISNUMBER(-LEFT(CH845,8))),VALUE(LEFT(CH845,4)),VALUE(LEFT(CH845,FIND("-",CH845)-1)))&lt;100,IF(AND(LEN(CH845)=9,ISERROR(FIND("-",LEFT(CH845,8))),ISNUMBER(-LEFT(CH845,8))),VALUE(LEFT(CH845,4)),VALUE(LEFT(CH845,FIND("-",CH845)-1)))+2000,IF(AND(LEN(CH845)=9,ISERROR(FIND("-",LEFT(CH845,8))),ISNUMBER(-LEFT(CH845,8))),VALUE(LEFT(CH845,4)),VALUE(LEFT(CH845,FIND("-",CH845)-1)))),""))</f>
        <v/>
      </c>
      <c r="CN845">
        <f>IF(CH845="","",IFERROR(IF(AND(LEN(CH845)=9,ISERROR(FIND("-",LEFT(CH845,8))),ISNUMBER(-LEFT(CH845,8))),VALUE(MID(CH845,5,2)),VALUE(MID(CH845,FIND("-",CH845)+1,FIND("-",CH845,FIND("-",CH845)+1)-FIND("-",CH845)-1))),""))</f>
        <v/>
      </c>
      <c r="CO845">
        <f>IF(CH845="","",IFERROR(IF(AND(LEN(CH845)=9,ISERROR(FIND("-",LEFT(CH845,8))),ISNUMBER(-LEFT(CH845,8))),VALUE(MID(CH845,7,2)),VALUE(MID(CH845,FIND("-",CH845,FIND("-",CH845)+1)+1,FIND("-",CH845,FIND("-",CH845,FIND("-",CH845)+1)+1)-FIND("-",CH845,FIND("-",CH845)+1)-1))),""))</f>
        <v/>
      </c>
    </row>
    <row r="846">
      <c r="CH846">
        <f>IF(ISTEXT('월 가계부'!A846),SUBSTITUTE(SUBSTITUTE(SUBSTITUTE(SUBSTITUTE(SUBSTITUTE(SUBSTITUTE(SUBSTITUTE(SUBSTITUTE(SUBSTITUTE(TRIM('월 가계부'!A846),"년","-"),"월","-"),"일",""),".","-"),"/","-")," ","-"),"--","-"),"--","-"),"--","-")&amp;"-","")</f>
        <v/>
      </c>
      <c r="CI846">
        <f>IFERROR(IF('월 가계부'!A846="","",IF(ISNUMBER('월 가계부'!A846),IF(AND('월 가계부'!A846&gt;=19000101,'월 가계부'!A846&lt;=21001231),IF(AND(MOD(INT('월 가계부'!A846/100),100)&gt;=1,MOD(INT('월 가계부'!A846/100),100)&lt;=12,MOD(INT('월 가계부'!A846),100)&gt;=1,MOD(INT('월 가계부'!A846),100)&lt;=31),IF(MONTH(DATE(INT('월 가계부'!A846/10000),MOD(INT('월 가계부'!A846/100),100),MOD(INT('월 가계부'!A846),100)))=MOD(INT('월 가계부'!A846/100),100),DATE(INT('월 가계부'!A846/10000),MOD(INT('월 가계부'!A846/100),100),MOD(INT('월 가계부'!A846),100)),""),""),IF(AND('월 가계부'!A846&gt;=36526,'월 가계부'!A846&lt;73051),INT('월 가계부'!A846),"")),IF(OR(CM846="",CN846="",CO846=""),"",IF(AND(CM846&gt;=2000,CM846&lt;=2099,CN846&gt;=1,CN846&lt;=12,CO846&gt;=1,CO846&lt;=31),IF(MONTH(DATE(CM846,CN846,CO846))=CN846,DATE(CM846,CN846,CO846),""),"")))),"")</f>
        <v/>
      </c>
      <c r="CJ846">
        <f>IFERROR(IF('월 가계부'!C846="","",IF(ISNUMBER('월 가계부'!C846),'월 가계부'!C846,VALUE(SUBSTITUTE(SUBSTITUTE(SUBSTITUTE(SUBSTITUTE(TRIM('월 가계부'!C846),",",""),"원","")," ",""),"−","-")))),"")</f>
        <v/>
      </c>
      <c r="CK846">
        <f>IF(ISNUMBER(CI846),IF(CI846&lt;$B$13,CI846,""),"")</f>
        <v/>
      </c>
      <c r="CM846">
        <f>IF(CH846="","",IFERROR(IF(IF(AND(LEN(CH846)=9,ISERROR(FIND("-",LEFT(CH846,8))),ISNUMBER(-LEFT(CH846,8))),VALUE(LEFT(CH846,4)),VALUE(LEFT(CH846,FIND("-",CH846)-1)))&lt;100,IF(AND(LEN(CH846)=9,ISERROR(FIND("-",LEFT(CH846,8))),ISNUMBER(-LEFT(CH846,8))),VALUE(LEFT(CH846,4)),VALUE(LEFT(CH846,FIND("-",CH846)-1)))+2000,IF(AND(LEN(CH846)=9,ISERROR(FIND("-",LEFT(CH846,8))),ISNUMBER(-LEFT(CH846,8))),VALUE(LEFT(CH846,4)),VALUE(LEFT(CH846,FIND("-",CH846)-1)))),""))</f>
        <v/>
      </c>
      <c r="CN846">
        <f>IF(CH846="","",IFERROR(IF(AND(LEN(CH846)=9,ISERROR(FIND("-",LEFT(CH846,8))),ISNUMBER(-LEFT(CH846,8))),VALUE(MID(CH846,5,2)),VALUE(MID(CH846,FIND("-",CH846)+1,FIND("-",CH846,FIND("-",CH846)+1)-FIND("-",CH846)-1))),""))</f>
        <v/>
      </c>
      <c r="CO846">
        <f>IF(CH846="","",IFERROR(IF(AND(LEN(CH846)=9,ISERROR(FIND("-",LEFT(CH846,8))),ISNUMBER(-LEFT(CH846,8))),VALUE(MID(CH846,7,2)),VALUE(MID(CH846,FIND("-",CH846,FIND("-",CH846)+1)+1,FIND("-",CH846,FIND("-",CH846,FIND("-",CH846)+1)+1)-FIND("-",CH846,FIND("-",CH846)+1)-1))),""))</f>
        <v/>
      </c>
    </row>
    <row r="847">
      <c r="CH847">
        <f>IF(ISTEXT('월 가계부'!A847),SUBSTITUTE(SUBSTITUTE(SUBSTITUTE(SUBSTITUTE(SUBSTITUTE(SUBSTITUTE(SUBSTITUTE(SUBSTITUTE(SUBSTITUTE(TRIM('월 가계부'!A847),"년","-"),"월","-"),"일",""),".","-"),"/","-")," ","-"),"--","-"),"--","-"),"--","-")&amp;"-","")</f>
        <v/>
      </c>
      <c r="CI847">
        <f>IFERROR(IF('월 가계부'!A847="","",IF(ISNUMBER('월 가계부'!A847),IF(AND('월 가계부'!A847&gt;=19000101,'월 가계부'!A847&lt;=21001231),IF(AND(MOD(INT('월 가계부'!A847/100),100)&gt;=1,MOD(INT('월 가계부'!A847/100),100)&lt;=12,MOD(INT('월 가계부'!A847),100)&gt;=1,MOD(INT('월 가계부'!A847),100)&lt;=31),IF(MONTH(DATE(INT('월 가계부'!A847/10000),MOD(INT('월 가계부'!A847/100),100),MOD(INT('월 가계부'!A847),100)))=MOD(INT('월 가계부'!A847/100),100),DATE(INT('월 가계부'!A847/10000),MOD(INT('월 가계부'!A847/100),100),MOD(INT('월 가계부'!A847),100)),""),""),IF(AND('월 가계부'!A847&gt;=36526,'월 가계부'!A847&lt;73051),INT('월 가계부'!A847),"")),IF(OR(CM847="",CN847="",CO847=""),"",IF(AND(CM847&gt;=2000,CM847&lt;=2099,CN847&gt;=1,CN847&lt;=12,CO847&gt;=1,CO847&lt;=31),IF(MONTH(DATE(CM847,CN847,CO847))=CN847,DATE(CM847,CN847,CO847),""),"")))),"")</f>
        <v/>
      </c>
      <c r="CJ847">
        <f>IFERROR(IF('월 가계부'!C847="","",IF(ISNUMBER('월 가계부'!C847),'월 가계부'!C847,VALUE(SUBSTITUTE(SUBSTITUTE(SUBSTITUTE(SUBSTITUTE(TRIM('월 가계부'!C847),",",""),"원","")," ",""),"−","-")))),"")</f>
        <v/>
      </c>
      <c r="CK847">
        <f>IF(ISNUMBER(CI847),IF(CI847&lt;$B$13,CI847,""),"")</f>
        <v/>
      </c>
      <c r="CM847">
        <f>IF(CH847="","",IFERROR(IF(IF(AND(LEN(CH847)=9,ISERROR(FIND("-",LEFT(CH847,8))),ISNUMBER(-LEFT(CH847,8))),VALUE(LEFT(CH847,4)),VALUE(LEFT(CH847,FIND("-",CH847)-1)))&lt;100,IF(AND(LEN(CH847)=9,ISERROR(FIND("-",LEFT(CH847,8))),ISNUMBER(-LEFT(CH847,8))),VALUE(LEFT(CH847,4)),VALUE(LEFT(CH847,FIND("-",CH847)-1)))+2000,IF(AND(LEN(CH847)=9,ISERROR(FIND("-",LEFT(CH847,8))),ISNUMBER(-LEFT(CH847,8))),VALUE(LEFT(CH847,4)),VALUE(LEFT(CH847,FIND("-",CH847)-1)))),""))</f>
        <v/>
      </c>
      <c r="CN847">
        <f>IF(CH847="","",IFERROR(IF(AND(LEN(CH847)=9,ISERROR(FIND("-",LEFT(CH847,8))),ISNUMBER(-LEFT(CH847,8))),VALUE(MID(CH847,5,2)),VALUE(MID(CH847,FIND("-",CH847)+1,FIND("-",CH847,FIND("-",CH847)+1)-FIND("-",CH847)-1))),""))</f>
        <v/>
      </c>
      <c r="CO847">
        <f>IF(CH847="","",IFERROR(IF(AND(LEN(CH847)=9,ISERROR(FIND("-",LEFT(CH847,8))),ISNUMBER(-LEFT(CH847,8))),VALUE(MID(CH847,7,2)),VALUE(MID(CH847,FIND("-",CH847,FIND("-",CH847)+1)+1,FIND("-",CH847,FIND("-",CH847,FIND("-",CH847)+1)+1)-FIND("-",CH847,FIND("-",CH847)+1)-1))),""))</f>
        <v/>
      </c>
    </row>
    <row r="848">
      <c r="CH848">
        <f>IF(ISTEXT('월 가계부'!A848),SUBSTITUTE(SUBSTITUTE(SUBSTITUTE(SUBSTITUTE(SUBSTITUTE(SUBSTITUTE(SUBSTITUTE(SUBSTITUTE(SUBSTITUTE(TRIM('월 가계부'!A848),"년","-"),"월","-"),"일",""),".","-"),"/","-")," ","-"),"--","-"),"--","-"),"--","-")&amp;"-","")</f>
        <v/>
      </c>
      <c r="CI848">
        <f>IFERROR(IF('월 가계부'!A848="","",IF(ISNUMBER('월 가계부'!A848),IF(AND('월 가계부'!A848&gt;=19000101,'월 가계부'!A848&lt;=21001231),IF(AND(MOD(INT('월 가계부'!A848/100),100)&gt;=1,MOD(INT('월 가계부'!A848/100),100)&lt;=12,MOD(INT('월 가계부'!A848),100)&gt;=1,MOD(INT('월 가계부'!A848),100)&lt;=31),IF(MONTH(DATE(INT('월 가계부'!A848/10000),MOD(INT('월 가계부'!A848/100),100),MOD(INT('월 가계부'!A848),100)))=MOD(INT('월 가계부'!A848/100),100),DATE(INT('월 가계부'!A848/10000),MOD(INT('월 가계부'!A848/100),100),MOD(INT('월 가계부'!A848),100)),""),""),IF(AND('월 가계부'!A848&gt;=36526,'월 가계부'!A848&lt;73051),INT('월 가계부'!A848),"")),IF(OR(CM848="",CN848="",CO848=""),"",IF(AND(CM848&gt;=2000,CM848&lt;=2099,CN848&gt;=1,CN848&lt;=12,CO848&gt;=1,CO848&lt;=31),IF(MONTH(DATE(CM848,CN848,CO848))=CN848,DATE(CM848,CN848,CO848),""),"")))),"")</f>
        <v/>
      </c>
      <c r="CJ848">
        <f>IFERROR(IF('월 가계부'!C848="","",IF(ISNUMBER('월 가계부'!C848),'월 가계부'!C848,VALUE(SUBSTITUTE(SUBSTITUTE(SUBSTITUTE(SUBSTITUTE(TRIM('월 가계부'!C848),",",""),"원","")," ",""),"−","-")))),"")</f>
        <v/>
      </c>
      <c r="CK848">
        <f>IF(ISNUMBER(CI848),IF(CI848&lt;$B$13,CI848,""),"")</f>
        <v/>
      </c>
      <c r="CM848">
        <f>IF(CH848="","",IFERROR(IF(IF(AND(LEN(CH848)=9,ISERROR(FIND("-",LEFT(CH848,8))),ISNUMBER(-LEFT(CH848,8))),VALUE(LEFT(CH848,4)),VALUE(LEFT(CH848,FIND("-",CH848)-1)))&lt;100,IF(AND(LEN(CH848)=9,ISERROR(FIND("-",LEFT(CH848,8))),ISNUMBER(-LEFT(CH848,8))),VALUE(LEFT(CH848,4)),VALUE(LEFT(CH848,FIND("-",CH848)-1)))+2000,IF(AND(LEN(CH848)=9,ISERROR(FIND("-",LEFT(CH848,8))),ISNUMBER(-LEFT(CH848,8))),VALUE(LEFT(CH848,4)),VALUE(LEFT(CH848,FIND("-",CH848)-1)))),""))</f>
        <v/>
      </c>
      <c r="CN848">
        <f>IF(CH848="","",IFERROR(IF(AND(LEN(CH848)=9,ISERROR(FIND("-",LEFT(CH848,8))),ISNUMBER(-LEFT(CH848,8))),VALUE(MID(CH848,5,2)),VALUE(MID(CH848,FIND("-",CH848)+1,FIND("-",CH848,FIND("-",CH848)+1)-FIND("-",CH848)-1))),""))</f>
        <v/>
      </c>
      <c r="CO848">
        <f>IF(CH848="","",IFERROR(IF(AND(LEN(CH848)=9,ISERROR(FIND("-",LEFT(CH848,8))),ISNUMBER(-LEFT(CH848,8))),VALUE(MID(CH848,7,2)),VALUE(MID(CH848,FIND("-",CH848,FIND("-",CH848)+1)+1,FIND("-",CH848,FIND("-",CH848,FIND("-",CH848)+1)+1)-FIND("-",CH848,FIND("-",CH848)+1)-1))),""))</f>
        <v/>
      </c>
    </row>
    <row r="849">
      <c r="CH849">
        <f>IF(ISTEXT('월 가계부'!A849),SUBSTITUTE(SUBSTITUTE(SUBSTITUTE(SUBSTITUTE(SUBSTITUTE(SUBSTITUTE(SUBSTITUTE(SUBSTITUTE(SUBSTITUTE(TRIM('월 가계부'!A849),"년","-"),"월","-"),"일",""),".","-"),"/","-")," ","-"),"--","-"),"--","-"),"--","-")&amp;"-","")</f>
        <v/>
      </c>
      <c r="CI849">
        <f>IFERROR(IF('월 가계부'!A849="","",IF(ISNUMBER('월 가계부'!A849),IF(AND('월 가계부'!A849&gt;=19000101,'월 가계부'!A849&lt;=21001231),IF(AND(MOD(INT('월 가계부'!A849/100),100)&gt;=1,MOD(INT('월 가계부'!A849/100),100)&lt;=12,MOD(INT('월 가계부'!A849),100)&gt;=1,MOD(INT('월 가계부'!A849),100)&lt;=31),IF(MONTH(DATE(INT('월 가계부'!A849/10000),MOD(INT('월 가계부'!A849/100),100),MOD(INT('월 가계부'!A849),100)))=MOD(INT('월 가계부'!A849/100),100),DATE(INT('월 가계부'!A849/10000),MOD(INT('월 가계부'!A849/100),100),MOD(INT('월 가계부'!A849),100)),""),""),IF(AND('월 가계부'!A849&gt;=36526,'월 가계부'!A849&lt;73051),INT('월 가계부'!A849),"")),IF(OR(CM849="",CN849="",CO849=""),"",IF(AND(CM849&gt;=2000,CM849&lt;=2099,CN849&gt;=1,CN849&lt;=12,CO849&gt;=1,CO849&lt;=31),IF(MONTH(DATE(CM849,CN849,CO849))=CN849,DATE(CM849,CN849,CO849),""),"")))),"")</f>
        <v/>
      </c>
      <c r="CJ849">
        <f>IFERROR(IF('월 가계부'!C849="","",IF(ISNUMBER('월 가계부'!C849),'월 가계부'!C849,VALUE(SUBSTITUTE(SUBSTITUTE(SUBSTITUTE(SUBSTITUTE(TRIM('월 가계부'!C849),",",""),"원","")," ",""),"−","-")))),"")</f>
        <v/>
      </c>
      <c r="CK849">
        <f>IF(ISNUMBER(CI849),IF(CI849&lt;$B$13,CI849,""),"")</f>
        <v/>
      </c>
      <c r="CM849">
        <f>IF(CH849="","",IFERROR(IF(IF(AND(LEN(CH849)=9,ISERROR(FIND("-",LEFT(CH849,8))),ISNUMBER(-LEFT(CH849,8))),VALUE(LEFT(CH849,4)),VALUE(LEFT(CH849,FIND("-",CH849)-1)))&lt;100,IF(AND(LEN(CH849)=9,ISERROR(FIND("-",LEFT(CH849,8))),ISNUMBER(-LEFT(CH849,8))),VALUE(LEFT(CH849,4)),VALUE(LEFT(CH849,FIND("-",CH849)-1)))+2000,IF(AND(LEN(CH849)=9,ISERROR(FIND("-",LEFT(CH849,8))),ISNUMBER(-LEFT(CH849,8))),VALUE(LEFT(CH849,4)),VALUE(LEFT(CH849,FIND("-",CH849)-1)))),""))</f>
        <v/>
      </c>
      <c r="CN849">
        <f>IF(CH849="","",IFERROR(IF(AND(LEN(CH849)=9,ISERROR(FIND("-",LEFT(CH849,8))),ISNUMBER(-LEFT(CH849,8))),VALUE(MID(CH849,5,2)),VALUE(MID(CH849,FIND("-",CH849)+1,FIND("-",CH849,FIND("-",CH849)+1)-FIND("-",CH849)-1))),""))</f>
        <v/>
      </c>
      <c r="CO849">
        <f>IF(CH849="","",IFERROR(IF(AND(LEN(CH849)=9,ISERROR(FIND("-",LEFT(CH849,8))),ISNUMBER(-LEFT(CH849,8))),VALUE(MID(CH849,7,2)),VALUE(MID(CH849,FIND("-",CH849,FIND("-",CH849)+1)+1,FIND("-",CH849,FIND("-",CH849,FIND("-",CH849)+1)+1)-FIND("-",CH849,FIND("-",CH849)+1)-1))),""))</f>
        <v/>
      </c>
    </row>
    <row r="850">
      <c r="CH850">
        <f>IF(ISTEXT('월 가계부'!A850),SUBSTITUTE(SUBSTITUTE(SUBSTITUTE(SUBSTITUTE(SUBSTITUTE(SUBSTITUTE(SUBSTITUTE(SUBSTITUTE(SUBSTITUTE(TRIM('월 가계부'!A850),"년","-"),"월","-"),"일",""),".","-"),"/","-")," ","-"),"--","-"),"--","-"),"--","-")&amp;"-","")</f>
        <v/>
      </c>
      <c r="CI850">
        <f>IFERROR(IF('월 가계부'!A850="","",IF(ISNUMBER('월 가계부'!A850),IF(AND('월 가계부'!A850&gt;=19000101,'월 가계부'!A850&lt;=21001231),IF(AND(MOD(INT('월 가계부'!A850/100),100)&gt;=1,MOD(INT('월 가계부'!A850/100),100)&lt;=12,MOD(INT('월 가계부'!A850),100)&gt;=1,MOD(INT('월 가계부'!A850),100)&lt;=31),IF(MONTH(DATE(INT('월 가계부'!A850/10000),MOD(INT('월 가계부'!A850/100),100),MOD(INT('월 가계부'!A850),100)))=MOD(INT('월 가계부'!A850/100),100),DATE(INT('월 가계부'!A850/10000),MOD(INT('월 가계부'!A850/100),100),MOD(INT('월 가계부'!A850),100)),""),""),IF(AND('월 가계부'!A850&gt;=36526,'월 가계부'!A850&lt;73051),INT('월 가계부'!A850),"")),IF(OR(CM850="",CN850="",CO850=""),"",IF(AND(CM850&gt;=2000,CM850&lt;=2099,CN850&gt;=1,CN850&lt;=12,CO850&gt;=1,CO850&lt;=31),IF(MONTH(DATE(CM850,CN850,CO850))=CN850,DATE(CM850,CN850,CO850),""),"")))),"")</f>
        <v/>
      </c>
      <c r="CJ850">
        <f>IFERROR(IF('월 가계부'!C850="","",IF(ISNUMBER('월 가계부'!C850),'월 가계부'!C850,VALUE(SUBSTITUTE(SUBSTITUTE(SUBSTITUTE(SUBSTITUTE(TRIM('월 가계부'!C850),",",""),"원","")," ",""),"−","-")))),"")</f>
        <v/>
      </c>
      <c r="CK850">
        <f>IF(ISNUMBER(CI850),IF(CI850&lt;$B$13,CI850,""),"")</f>
        <v/>
      </c>
      <c r="CM850">
        <f>IF(CH850="","",IFERROR(IF(IF(AND(LEN(CH850)=9,ISERROR(FIND("-",LEFT(CH850,8))),ISNUMBER(-LEFT(CH850,8))),VALUE(LEFT(CH850,4)),VALUE(LEFT(CH850,FIND("-",CH850)-1)))&lt;100,IF(AND(LEN(CH850)=9,ISERROR(FIND("-",LEFT(CH850,8))),ISNUMBER(-LEFT(CH850,8))),VALUE(LEFT(CH850,4)),VALUE(LEFT(CH850,FIND("-",CH850)-1)))+2000,IF(AND(LEN(CH850)=9,ISERROR(FIND("-",LEFT(CH850,8))),ISNUMBER(-LEFT(CH850,8))),VALUE(LEFT(CH850,4)),VALUE(LEFT(CH850,FIND("-",CH850)-1)))),""))</f>
        <v/>
      </c>
      <c r="CN850">
        <f>IF(CH850="","",IFERROR(IF(AND(LEN(CH850)=9,ISERROR(FIND("-",LEFT(CH850,8))),ISNUMBER(-LEFT(CH850,8))),VALUE(MID(CH850,5,2)),VALUE(MID(CH850,FIND("-",CH850)+1,FIND("-",CH850,FIND("-",CH850)+1)-FIND("-",CH850)-1))),""))</f>
        <v/>
      </c>
      <c r="CO850">
        <f>IF(CH850="","",IFERROR(IF(AND(LEN(CH850)=9,ISERROR(FIND("-",LEFT(CH850,8))),ISNUMBER(-LEFT(CH850,8))),VALUE(MID(CH850,7,2)),VALUE(MID(CH850,FIND("-",CH850,FIND("-",CH850)+1)+1,FIND("-",CH850,FIND("-",CH850,FIND("-",CH850)+1)+1)-FIND("-",CH850,FIND("-",CH850)+1)-1))),""))</f>
        <v/>
      </c>
    </row>
    <row r="851">
      <c r="CH851">
        <f>IF(ISTEXT('월 가계부'!A851),SUBSTITUTE(SUBSTITUTE(SUBSTITUTE(SUBSTITUTE(SUBSTITUTE(SUBSTITUTE(SUBSTITUTE(SUBSTITUTE(SUBSTITUTE(TRIM('월 가계부'!A851),"년","-"),"월","-"),"일",""),".","-"),"/","-")," ","-"),"--","-"),"--","-"),"--","-")&amp;"-","")</f>
        <v/>
      </c>
      <c r="CI851">
        <f>IFERROR(IF('월 가계부'!A851="","",IF(ISNUMBER('월 가계부'!A851),IF(AND('월 가계부'!A851&gt;=19000101,'월 가계부'!A851&lt;=21001231),IF(AND(MOD(INT('월 가계부'!A851/100),100)&gt;=1,MOD(INT('월 가계부'!A851/100),100)&lt;=12,MOD(INT('월 가계부'!A851),100)&gt;=1,MOD(INT('월 가계부'!A851),100)&lt;=31),IF(MONTH(DATE(INT('월 가계부'!A851/10000),MOD(INT('월 가계부'!A851/100),100),MOD(INT('월 가계부'!A851),100)))=MOD(INT('월 가계부'!A851/100),100),DATE(INT('월 가계부'!A851/10000),MOD(INT('월 가계부'!A851/100),100),MOD(INT('월 가계부'!A851),100)),""),""),IF(AND('월 가계부'!A851&gt;=36526,'월 가계부'!A851&lt;73051),INT('월 가계부'!A851),"")),IF(OR(CM851="",CN851="",CO851=""),"",IF(AND(CM851&gt;=2000,CM851&lt;=2099,CN851&gt;=1,CN851&lt;=12,CO851&gt;=1,CO851&lt;=31),IF(MONTH(DATE(CM851,CN851,CO851))=CN851,DATE(CM851,CN851,CO851),""),"")))),"")</f>
        <v/>
      </c>
      <c r="CJ851">
        <f>IFERROR(IF('월 가계부'!C851="","",IF(ISNUMBER('월 가계부'!C851),'월 가계부'!C851,VALUE(SUBSTITUTE(SUBSTITUTE(SUBSTITUTE(SUBSTITUTE(TRIM('월 가계부'!C851),",",""),"원","")," ",""),"−","-")))),"")</f>
        <v/>
      </c>
      <c r="CK851">
        <f>IF(ISNUMBER(CI851),IF(CI851&lt;$B$13,CI851,""),"")</f>
        <v/>
      </c>
      <c r="CM851">
        <f>IF(CH851="","",IFERROR(IF(IF(AND(LEN(CH851)=9,ISERROR(FIND("-",LEFT(CH851,8))),ISNUMBER(-LEFT(CH851,8))),VALUE(LEFT(CH851,4)),VALUE(LEFT(CH851,FIND("-",CH851)-1)))&lt;100,IF(AND(LEN(CH851)=9,ISERROR(FIND("-",LEFT(CH851,8))),ISNUMBER(-LEFT(CH851,8))),VALUE(LEFT(CH851,4)),VALUE(LEFT(CH851,FIND("-",CH851)-1)))+2000,IF(AND(LEN(CH851)=9,ISERROR(FIND("-",LEFT(CH851,8))),ISNUMBER(-LEFT(CH851,8))),VALUE(LEFT(CH851,4)),VALUE(LEFT(CH851,FIND("-",CH851)-1)))),""))</f>
        <v/>
      </c>
      <c r="CN851">
        <f>IF(CH851="","",IFERROR(IF(AND(LEN(CH851)=9,ISERROR(FIND("-",LEFT(CH851,8))),ISNUMBER(-LEFT(CH851,8))),VALUE(MID(CH851,5,2)),VALUE(MID(CH851,FIND("-",CH851)+1,FIND("-",CH851,FIND("-",CH851)+1)-FIND("-",CH851)-1))),""))</f>
        <v/>
      </c>
      <c r="CO851">
        <f>IF(CH851="","",IFERROR(IF(AND(LEN(CH851)=9,ISERROR(FIND("-",LEFT(CH851,8))),ISNUMBER(-LEFT(CH851,8))),VALUE(MID(CH851,7,2)),VALUE(MID(CH851,FIND("-",CH851,FIND("-",CH851)+1)+1,FIND("-",CH851,FIND("-",CH851,FIND("-",CH851)+1)+1)-FIND("-",CH851,FIND("-",CH851)+1)-1))),""))</f>
        <v/>
      </c>
    </row>
    <row r="852">
      <c r="CH852">
        <f>IF(ISTEXT('월 가계부'!A852),SUBSTITUTE(SUBSTITUTE(SUBSTITUTE(SUBSTITUTE(SUBSTITUTE(SUBSTITUTE(SUBSTITUTE(SUBSTITUTE(SUBSTITUTE(TRIM('월 가계부'!A852),"년","-"),"월","-"),"일",""),".","-"),"/","-")," ","-"),"--","-"),"--","-"),"--","-")&amp;"-","")</f>
        <v/>
      </c>
      <c r="CI852">
        <f>IFERROR(IF('월 가계부'!A852="","",IF(ISNUMBER('월 가계부'!A852),IF(AND('월 가계부'!A852&gt;=19000101,'월 가계부'!A852&lt;=21001231),IF(AND(MOD(INT('월 가계부'!A852/100),100)&gt;=1,MOD(INT('월 가계부'!A852/100),100)&lt;=12,MOD(INT('월 가계부'!A852),100)&gt;=1,MOD(INT('월 가계부'!A852),100)&lt;=31),IF(MONTH(DATE(INT('월 가계부'!A852/10000),MOD(INT('월 가계부'!A852/100),100),MOD(INT('월 가계부'!A852),100)))=MOD(INT('월 가계부'!A852/100),100),DATE(INT('월 가계부'!A852/10000),MOD(INT('월 가계부'!A852/100),100),MOD(INT('월 가계부'!A852),100)),""),""),IF(AND('월 가계부'!A852&gt;=36526,'월 가계부'!A852&lt;73051),INT('월 가계부'!A852),"")),IF(OR(CM852="",CN852="",CO852=""),"",IF(AND(CM852&gt;=2000,CM852&lt;=2099,CN852&gt;=1,CN852&lt;=12,CO852&gt;=1,CO852&lt;=31),IF(MONTH(DATE(CM852,CN852,CO852))=CN852,DATE(CM852,CN852,CO852),""),"")))),"")</f>
        <v/>
      </c>
      <c r="CJ852">
        <f>IFERROR(IF('월 가계부'!C852="","",IF(ISNUMBER('월 가계부'!C852),'월 가계부'!C852,VALUE(SUBSTITUTE(SUBSTITUTE(SUBSTITUTE(SUBSTITUTE(TRIM('월 가계부'!C852),",",""),"원","")," ",""),"−","-")))),"")</f>
        <v/>
      </c>
      <c r="CK852">
        <f>IF(ISNUMBER(CI852),IF(CI852&lt;$B$13,CI852,""),"")</f>
        <v/>
      </c>
      <c r="CM852">
        <f>IF(CH852="","",IFERROR(IF(IF(AND(LEN(CH852)=9,ISERROR(FIND("-",LEFT(CH852,8))),ISNUMBER(-LEFT(CH852,8))),VALUE(LEFT(CH852,4)),VALUE(LEFT(CH852,FIND("-",CH852)-1)))&lt;100,IF(AND(LEN(CH852)=9,ISERROR(FIND("-",LEFT(CH852,8))),ISNUMBER(-LEFT(CH852,8))),VALUE(LEFT(CH852,4)),VALUE(LEFT(CH852,FIND("-",CH852)-1)))+2000,IF(AND(LEN(CH852)=9,ISERROR(FIND("-",LEFT(CH852,8))),ISNUMBER(-LEFT(CH852,8))),VALUE(LEFT(CH852,4)),VALUE(LEFT(CH852,FIND("-",CH852)-1)))),""))</f>
        <v/>
      </c>
      <c r="CN852">
        <f>IF(CH852="","",IFERROR(IF(AND(LEN(CH852)=9,ISERROR(FIND("-",LEFT(CH852,8))),ISNUMBER(-LEFT(CH852,8))),VALUE(MID(CH852,5,2)),VALUE(MID(CH852,FIND("-",CH852)+1,FIND("-",CH852,FIND("-",CH852)+1)-FIND("-",CH852)-1))),""))</f>
        <v/>
      </c>
      <c r="CO852">
        <f>IF(CH852="","",IFERROR(IF(AND(LEN(CH852)=9,ISERROR(FIND("-",LEFT(CH852,8))),ISNUMBER(-LEFT(CH852,8))),VALUE(MID(CH852,7,2)),VALUE(MID(CH852,FIND("-",CH852,FIND("-",CH852)+1)+1,FIND("-",CH852,FIND("-",CH852,FIND("-",CH852)+1)+1)-FIND("-",CH852,FIND("-",CH852)+1)-1))),""))</f>
        <v/>
      </c>
    </row>
    <row r="853">
      <c r="CH853">
        <f>IF(ISTEXT('월 가계부'!A853),SUBSTITUTE(SUBSTITUTE(SUBSTITUTE(SUBSTITUTE(SUBSTITUTE(SUBSTITUTE(SUBSTITUTE(SUBSTITUTE(SUBSTITUTE(TRIM('월 가계부'!A853),"년","-"),"월","-"),"일",""),".","-"),"/","-")," ","-"),"--","-"),"--","-"),"--","-")&amp;"-","")</f>
        <v/>
      </c>
      <c r="CI853">
        <f>IFERROR(IF('월 가계부'!A853="","",IF(ISNUMBER('월 가계부'!A853),IF(AND('월 가계부'!A853&gt;=19000101,'월 가계부'!A853&lt;=21001231),IF(AND(MOD(INT('월 가계부'!A853/100),100)&gt;=1,MOD(INT('월 가계부'!A853/100),100)&lt;=12,MOD(INT('월 가계부'!A853),100)&gt;=1,MOD(INT('월 가계부'!A853),100)&lt;=31),IF(MONTH(DATE(INT('월 가계부'!A853/10000),MOD(INT('월 가계부'!A853/100),100),MOD(INT('월 가계부'!A853),100)))=MOD(INT('월 가계부'!A853/100),100),DATE(INT('월 가계부'!A853/10000),MOD(INT('월 가계부'!A853/100),100),MOD(INT('월 가계부'!A853),100)),""),""),IF(AND('월 가계부'!A853&gt;=36526,'월 가계부'!A853&lt;73051),INT('월 가계부'!A853),"")),IF(OR(CM853="",CN853="",CO853=""),"",IF(AND(CM853&gt;=2000,CM853&lt;=2099,CN853&gt;=1,CN853&lt;=12,CO853&gt;=1,CO853&lt;=31),IF(MONTH(DATE(CM853,CN853,CO853))=CN853,DATE(CM853,CN853,CO853),""),"")))),"")</f>
        <v/>
      </c>
      <c r="CJ853">
        <f>IFERROR(IF('월 가계부'!C853="","",IF(ISNUMBER('월 가계부'!C853),'월 가계부'!C853,VALUE(SUBSTITUTE(SUBSTITUTE(SUBSTITUTE(SUBSTITUTE(TRIM('월 가계부'!C853),",",""),"원","")," ",""),"−","-")))),"")</f>
        <v/>
      </c>
      <c r="CK853">
        <f>IF(ISNUMBER(CI853),IF(CI853&lt;$B$13,CI853,""),"")</f>
        <v/>
      </c>
      <c r="CM853">
        <f>IF(CH853="","",IFERROR(IF(IF(AND(LEN(CH853)=9,ISERROR(FIND("-",LEFT(CH853,8))),ISNUMBER(-LEFT(CH853,8))),VALUE(LEFT(CH853,4)),VALUE(LEFT(CH853,FIND("-",CH853)-1)))&lt;100,IF(AND(LEN(CH853)=9,ISERROR(FIND("-",LEFT(CH853,8))),ISNUMBER(-LEFT(CH853,8))),VALUE(LEFT(CH853,4)),VALUE(LEFT(CH853,FIND("-",CH853)-1)))+2000,IF(AND(LEN(CH853)=9,ISERROR(FIND("-",LEFT(CH853,8))),ISNUMBER(-LEFT(CH853,8))),VALUE(LEFT(CH853,4)),VALUE(LEFT(CH853,FIND("-",CH853)-1)))),""))</f>
        <v/>
      </c>
      <c r="CN853">
        <f>IF(CH853="","",IFERROR(IF(AND(LEN(CH853)=9,ISERROR(FIND("-",LEFT(CH853,8))),ISNUMBER(-LEFT(CH853,8))),VALUE(MID(CH853,5,2)),VALUE(MID(CH853,FIND("-",CH853)+1,FIND("-",CH853,FIND("-",CH853)+1)-FIND("-",CH853)-1))),""))</f>
        <v/>
      </c>
      <c r="CO853">
        <f>IF(CH853="","",IFERROR(IF(AND(LEN(CH853)=9,ISERROR(FIND("-",LEFT(CH853,8))),ISNUMBER(-LEFT(CH853,8))),VALUE(MID(CH853,7,2)),VALUE(MID(CH853,FIND("-",CH853,FIND("-",CH853)+1)+1,FIND("-",CH853,FIND("-",CH853,FIND("-",CH853)+1)+1)-FIND("-",CH853,FIND("-",CH853)+1)-1))),""))</f>
        <v/>
      </c>
    </row>
    <row r="854">
      <c r="CH854">
        <f>IF(ISTEXT('월 가계부'!A854),SUBSTITUTE(SUBSTITUTE(SUBSTITUTE(SUBSTITUTE(SUBSTITUTE(SUBSTITUTE(SUBSTITUTE(SUBSTITUTE(SUBSTITUTE(TRIM('월 가계부'!A854),"년","-"),"월","-"),"일",""),".","-"),"/","-")," ","-"),"--","-"),"--","-"),"--","-")&amp;"-","")</f>
        <v/>
      </c>
      <c r="CI854">
        <f>IFERROR(IF('월 가계부'!A854="","",IF(ISNUMBER('월 가계부'!A854),IF(AND('월 가계부'!A854&gt;=19000101,'월 가계부'!A854&lt;=21001231),IF(AND(MOD(INT('월 가계부'!A854/100),100)&gt;=1,MOD(INT('월 가계부'!A854/100),100)&lt;=12,MOD(INT('월 가계부'!A854),100)&gt;=1,MOD(INT('월 가계부'!A854),100)&lt;=31),IF(MONTH(DATE(INT('월 가계부'!A854/10000),MOD(INT('월 가계부'!A854/100),100),MOD(INT('월 가계부'!A854),100)))=MOD(INT('월 가계부'!A854/100),100),DATE(INT('월 가계부'!A854/10000),MOD(INT('월 가계부'!A854/100),100),MOD(INT('월 가계부'!A854),100)),""),""),IF(AND('월 가계부'!A854&gt;=36526,'월 가계부'!A854&lt;73051),INT('월 가계부'!A854),"")),IF(OR(CM854="",CN854="",CO854=""),"",IF(AND(CM854&gt;=2000,CM854&lt;=2099,CN854&gt;=1,CN854&lt;=12,CO854&gt;=1,CO854&lt;=31),IF(MONTH(DATE(CM854,CN854,CO854))=CN854,DATE(CM854,CN854,CO854),""),"")))),"")</f>
        <v/>
      </c>
      <c r="CJ854">
        <f>IFERROR(IF('월 가계부'!C854="","",IF(ISNUMBER('월 가계부'!C854),'월 가계부'!C854,VALUE(SUBSTITUTE(SUBSTITUTE(SUBSTITUTE(SUBSTITUTE(TRIM('월 가계부'!C854),",",""),"원","")," ",""),"−","-")))),"")</f>
        <v/>
      </c>
      <c r="CK854">
        <f>IF(ISNUMBER(CI854),IF(CI854&lt;$B$13,CI854,""),"")</f>
        <v/>
      </c>
      <c r="CM854">
        <f>IF(CH854="","",IFERROR(IF(IF(AND(LEN(CH854)=9,ISERROR(FIND("-",LEFT(CH854,8))),ISNUMBER(-LEFT(CH854,8))),VALUE(LEFT(CH854,4)),VALUE(LEFT(CH854,FIND("-",CH854)-1)))&lt;100,IF(AND(LEN(CH854)=9,ISERROR(FIND("-",LEFT(CH854,8))),ISNUMBER(-LEFT(CH854,8))),VALUE(LEFT(CH854,4)),VALUE(LEFT(CH854,FIND("-",CH854)-1)))+2000,IF(AND(LEN(CH854)=9,ISERROR(FIND("-",LEFT(CH854,8))),ISNUMBER(-LEFT(CH854,8))),VALUE(LEFT(CH854,4)),VALUE(LEFT(CH854,FIND("-",CH854)-1)))),""))</f>
        <v/>
      </c>
      <c r="CN854">
        <f>IF(CH854="","",IFERROR(IF(AND(LEN(CH854)=9,ISERROR(FIND("-",LEFT(CH854,8))),ISNUMBER(-LEFT(CH854,8))),VALUE(MID(CH854,5,2)),VALUE(MID(CH854,FIND("-",CH854)+1,FIND("-",CH854,FIND("-",CH854)+1)-FIND("-",CH854)-1))),""))</f>
        <v/>
      </c>
      <c r="CO854">
        <f>IF(CH854="","",IFERROR(IF(AND(LEN(CH854)=9,ISERROR(FIND("-",LEFT(CH854,8))),ISNUMBER(-LEFT(CH854,8))),VALUE(MID(CH854,7,2)),VALUE(MID(CH854,FIND("-",CH854,FIND("-",CH854)+1)+1,FIND("-",CH854,FIND("-",CH854,FIND("-",CH854)+1)+1)-FIND("-",CH854,FIND("-",CH854)+1)-1))),""))</f>
        <v/>
      </c>
    </row>
    <row r="855">
      <c r="CH855">
        <f>IF(ISTEXT('월 가계부'!A855),SUBSTITUTE(SUBSTITUTE(SUBSTITUTE(SUBSTITUTE(SUBSTITUTE(SUBSTITUTE(SUBSTITUTE(SUBSTITUTE(SUBSTITUTE(TRIM('월 가계부'!A855),"년","-"),"월","-"),"일",""),".","-"),"/","-")," ","-"),"--","-"),"--","-"),"--","-")&amp;"-","")</f>
        <v/>
      </c>
      <c r="CI855">
        <f>IFERROR(IF('월 가계부'!A855="","",IF(ISNUMBER('월 가계부'!A855),IF(AND('월 가계부'!A855&gt;=19000101,'월 가계부'!A855&lt;=21001231),IF(AND(MOD(INT('월 가계부'!A855/100),100)&gt;=1,MOD(INT('월 가계부'!A855/100),100)&lt;=12,MOD(INT('월 가계부'!A855),100)&gt;=1,MOD(INT('월 가계부'!A855),100)&lt;=31),IF(MONTH(DATE(INT('월 가계부'!A855/10000),MOD(INT('월 가계부'!A855/100),100),MOD(INT('월 가계부'!A855),100)))=MOD(INT('월 가계부'!A855/100),100),DATE(INT('월 가계부'!A855/10000),MOD(INT('월 가계부'!A855/100),100),MOD(INT('월 가계부'!A855),100)),""),""),IF(AND('월 가계부'!A855&gt;=36526,'월 가계부'!A855&lt;73051),INT('월 가계부'!A855),"")),IF(OR(CM855="",CN855="",CO855=""),"",IF(AND(CM855&gt;=2000,CM855&lt;=2099,CN855&gt;=1,CN855&lt;=12,CO855&gt;=1,CO855&lt;=31),IF(MONTH(DATE(CM855,CN855,CO855))=CN855,DATE(CM855,CN855,CO855),""),"")))),"")</f>
        <v/>
      </c>
      <c r="CJ855">
        <f>IFERROR(IF('월 가계부'!C855="","",IF(ISNUMBER('월 가계부'!C855),'월 가계부'!C855,VALUE(SUBSTITUTE(SUBSTITUTE(SUBSTITUTE(SUBSTITUTE(TRIM('월 가계부'!C855),",",""),"원","")," ",""),"−","-")))),"")</f>
        <v/>
      </c>
      <c r="CK855">
        <f>IF(ISNUMBER(CI855),IF(CI855&lt;$B$13,CI855,""),"")</f>
        <v/>
      </c>
      <c r="CM855">
        <f>IF(CH855="","",IFERROR(IF(IF(AND(LEN(CH855)=9,ISERROR(FIND("-",LEFT(CH855,8))),ISNUMBER(-LEFT(CH855,8))),VALUE(LEFT(CH855,4)),VALUE(LEFT(CH855,FIND("-",CH855)-1)))&lt;100,IF(AND(LEN(CH855)=9,ISERROR(FIND("-",LEFT(CH855,8))),ISNUMBER(-LEFT(CH855,8))),VALUE(LEFT(CH855,4)),VALUE(LEFT(CH855,FIND("-",CH855)-1)))+2000,IF(AND(LEN(CH855)=9,ISERROR(FIND("-",LEFT(CH855,8))),ISNUMBER(-LEFT(CH855,8))),VALUE(LEFT(CH855,4)),VALUE(LEFT(CH855,FIND("-",CH855)-1)))),""))</f>
        <v/>
      </c>
      <c r="CN855">
        <f>IF(CH855="","",IFERROR(IF(AND(LEN(CH855)=9,ISERROR(FIND("-",LEFT(CH855,8))),ISNUMBER(-LEFT(CH855,8))),VALUE(MID(CH855,5,2)),VALUE(MID(CH855,FIND("-",CH855)+1,FIND("-",CH855,FIND("-",CH855)+1)-FIND("-",CH855)-1))),""))</f>
        <v/>
      </c>
      <c r="CO855">
        <f>IF(CH855="","",IFERROR(IF(AND(LEN(CH855)=9,ISERROR(FIND("-",LEFT(CH855,8))),ISNUMBER(-LEFT(CH855,8))),VALUE(MID(CH855,7,2)),VALUE(MID(CH855,FIND("-",CH855,FIND("-",CH855)+1)+1,FIND("-",CH855,FIND("-",CH855,FIND("-",CH855)+1)+1)-FIND("-",CH855,FIND("-",CH855)+1)-1))),""))</f>
        <v/>
      </c>
    </row>
    <row r="856">
      <c r="CH856">
        <f>IF(ISTEXT('월 가계부'!A856),SUBSTITUTE(SUBSTITUTE(SUBSTITUTE(SUBSTITUTE(SUBSTITUTE(SUBSTITUTE(SUBSTITUTE(SUBSTITUTE(SUBSTITUTE(TRIM('월 가계부'!A856),"년","-"),"월","-"),"일",""),".","-"),"/","-")," ","-"),"--","-"),"--","-"),"--","-")&amp;"-","")</f>
        <v/>
      </c>
      <c r="CI856">
        <f>IFERROR(IF('월 가계부'!A856="","",IF(ISNUMBER('월 가계부'!A856),IF(AND('월 가계부'!A856&gt;=19000101,'월 가계부'!A856&lt;=21001231),IF(AND(MOD(INT('월 가계부'!A856/100),100)&gt;=1,MOD(INT('월 가계부'!A856/100),100)&lt;=12,MOD(INT('월 가계부'!A856),100)&gt;=1,MOD(INT('월 가계부'!A856),100)&lt;=31),IF(MONTH(DATE(INT('월 가계부'!A856/10000),MOD(INT('월 가계부'!A856/100),100),MOD(INT('월 가계부'!A856),100)))=MOD(INT('월 가계부'!A856/100),100),DATE(INT('월 가계부'!A856/10000),MOD(INT('월 가계부'!A856/100),100),MOD(INT('월 가계부'!A856),100)),""),""),IF(AND('월 가계부'!A856&gt;=36526,'월 가계부'!A856&lt;73051),INT('월 가계부'!A856),"")),IF(OR(CM856="",CN856="",CO856=""),"",IF(AND(CM856&gt;=2000,CM856&lt;=2099,CN856&gt;=1,CN856&lt;=12,CO856&gt;=1,CO856&lt;=31),IF(MONTH(DATE(CM856,CN856,CO856))=CN856,DATE(CM856,CN856,CO856),""),"")))),"")</f>
        <v/>
      </c>
      <c r="CJ856">
        <f>IFERROR(IF('월 가계부'!C856="","",IF(ISNUMBER('월 가계부'!C856),'월 가계부'!C856,VALUE(SUBSTITUTE(SUBSTITUTE(SUBSTITUTE(SUBSTITUTE(TRIM('월 가계부'!C856),",",""),"원","")," ",""),"−","-")))),"")</f>
        <v/>
      </c>
      <c r="CK856">
        <f>IF(ISNUMBER(CI856),IF(CI856&lt;$B$13,CI856,""),"")</f>
        <v/>
      </c>
      <c r="CM856">
        <f>IF(CH856="","",IFERROR(IF(IF(AND(LEN(CH856)=9,ISERROR(FIND("-",LEFT(CH856,8))),ISNUMBER(-LEFT(CH856,8))),VALUE(LEFT(CH856,4)),VALUE(LEFT(CH856,FIND("-",CH856)-1)))&lt;100,IF(AND(LEN(CH856)=9,ISERROR(FIND("-",LEFT(CH856,8))),ISNUMBER(-LEFT(CH856,8))),VALUE(LEFT(CH856,4)),VALUE(LEFT(CH856,FIND("-",CH856)-1)))+2000,IF(AND(LEN(CH856)=9,ISERROR(FIND("-",LEFT(CH856,8))),ISNUMBER(-LEFT(CH856,8))),VALUE(LEFT(CH856,4)),VALUE(LEFT(CH856,FIND("-",CH856)-1)))),""))</f>
        <v/>
      </c>
      <c r="CN856">
        <f>IF(CH856="","",IFERROR(IF(AND(LEN(CH856)=9,ISERROR(FIND("-",LEFT(CH856,8))),ISNUMBER(-LEFT(CH856,8))),VALUE(MID(CH856,5,2)),VALUE(MID(CH856,FIND("-",CH856)+1,FIND("-",CH856,FIND("-",CH856)+1)-FIND("-",CH856)-1))),""))</f>
        <v/>
      </c>
      <c r="CO856">
        <f>IF(CH856="","",IFERROR(IF(AND(LEN(CH856)=9,ISERROR(FIND("-",LEFT(CH856,8))),ISNUMBER(-LEFT(CH856,8))),VALUE(MID(CH856,7,2)),VALUE(MID(CH856,FIND("-",CH856,FIND("-",CH856)+1)+1,FIND("-",CH856,FIND("-",CH856,FIND("-",CH856)+1)+1)-FIND("-",CH856,FIND("-",CH856)+1)-1))),""))</f>
        <v/>
      </c>
    </row>
    <row r="857">
      <c r="CH857">
        <f>IF(ISTEXT('월 가계부'!A857),SUBSTITUTE(SUBSTITUTE(SUBSTITUTE(SUBSTITUTE(SUBSTITUTE(SUBSTITUTE(SUBSTITUTE(SUBSTITUTE(SUBSTITUTE(TRIM('월 가계부'!A857),"년","-"),"월","-"),"일",""),".","-"),"/","-")," ","-"),"--","-"),"--","-"),"--","-")&amp;"-","")</f>
        <v/>
      </c>
      <c r="CI857">
        <f>IFERROR(IF('월 가계부'!A857="","",IF(ISNUMBER('월 가계부'!A857),IF(AND('월 가계부'!A857&gt;=19000101,'월 가계부'!A857&lt;=21001231),IF(AND(MOD(INT('월 가계부'!A857/100),100)&gt;=1,MOD(INT('월 가계부'!A857/100),100)&lt;=12,MOD(INT('월 가계부'!A857),100)&gt;=1,MOD(INT('월 가계부'!A857),100)&lt;=31),IF(MONTH(DATE(INT('월 가계부'!A857/10000),MOD(INT('월 가계부'!A857/100),100),MOD(INT('월 가계부'!A857),100)))=MOD(INT('월 가계부'!A857/100),100),DATE(INT('월 가계부'!A857/10000),MOD(INT('월 가계부'!A857/100),100),MOD(INT('월 가계부'!A857),100)),""),""),IF(AND('월 가계부'!A857&gt;=36526,'월 가계부'!A857&lt;73051),INT('월 가계부'!A857),"")),IF(OR(CM857="",CN857="",CO857=""),"",IF(AND(CM857&gt;=2000,CM857&lt;=2099,CN857&gt;=1,CN857&lt;=12,CO857&gt;=1,CO857&lt;=31),IF(MONTH(DATE(CM857,CN857,CO857))=CN857,DATE(CM857,CN857,CO857),""),"")))),"")</f>
        <v/>
      </c>
      <c r="CJ857">
        <f>IFERROR(IF('월 가계부'!C857="","",IF(ISNUMBER('월 가계부'!C857),'월 가계부'!C857,VALUE(SUBSTITUTE(SUBSTITUTE(SUBSTITUTE(SUBSTITUTE(TRIM('월 가계부'!C857),",",""),"원","")," ",""),"−","-")))),"")</f>
        <v/>
      </c>
      <c r="CK857">
        <f>IF(ISNUMBER(CI857),IF(CI857&lt;$B$13,CI857,""),"")</f>
        <v/>
      </c>
      <c r="CM857">
        <f>IF(CH857="","",IFERROR(IF(IF(AND(LEN(CH857)=9,ISERROR(FIND("-",LEFT(CH857,8))),ISNUMBER(-LEFT(CH857,8))),VALUE(LEFT(CH857,4)),VALUE(LEFT(CH857,FIND("-",CH857)-1)))&lt;100,IF(AND(LEN(CH857)=9,ISERROR(FIND("-",LEFT(CH857,8))),ISNUMBER(-LEFT(CH857,8))),VALUE(LEFT(CH857,4)),VALUE(LEFT(CH857,FIND("-",CH857)-1)))+2000,IF(AND(LEN(CH857)=9,ISERROR(FIND("-",LEFT(CH857,8))),ISNUMBER(-LEFT(CH857,8))),VALUE(LEFT(CH857,4)),VALUE(LEFT(CH857,FIND("-",CH857)-1)))),""))</f>
        <v/>
      </c>
      <c r="CN857">
        <f>IF(CH857="","",IFERROR(IF(AND(LEN(CH857)=9,ISERROR(FIND("-",LEFT(CH857,8))),ISNUMBER(-LEFT(CH857,8))),VALUE(MID(CH857,5,2)),VALUE(MID(CH857,FIND("-",CH857)+1,FIND("-",CH857,FIND("-",CH857)+1)-FIND("-",CH857)-1))),""))</f>
        <v/>
      </c>
      <c r="CO857">
        <f>IF(CH857="","",IFERROR(IF(AND(LEN(CH857)=9,ISERROR(FIND("-",LEFT(CH857,8))),ISNUMBER(-LEFT(CH857,8))),VALUE(MID(CH857,7,2)),VALUE(MID(CH857,FIND("-",CH857,FIND("-",CH857)+1)+1,FIND("-",CH857,FIND("-",CH857,FIND("-",CH857)+1)+1)-FIND("-",CH857,FIND("-",CH857)+1)-1))),""))</f>
        <v/>
      </c>
    </row>
    <row r="858">
      <c r="CH858">
        <f>IF(ISTEXT('월 가계부'!A858),SUBSTITUTE(SUBSTITUTE(SUBSTITUTE(SUBSTITUTE(SUBSTITUTE(SUBSTITUTE(SUBSTITUTE(SUBSTITUTE(SUBSTITUTE(TRIM('월 가계부'!A858),"년","-"),"월","-"),"일",""),".","-"),"/","-")," ","-"),"--","-"),"--","-"),"--","-")&amp;"-","")</f>
        <v/>
      </c>
      <c r="CI858">
        <f>IFERROR(IF('월 가계부'!A858="","",IF(ISNUMBER('월 가계부'!A858),IF(AND('월 가계부'!A858&gt;=19000101,'월 가계부'!A858&lt;=21001231),IF(AND(MOD(INT('월 가계부'!A858/100),100)&gt;=1,MOD(INT('월 가계부'!A858/100),100)&lt;=12,MOD(INT('월 가계부'!A858),100)&gt;=1,MOD(INT('월 가계부'!A858),100)&lt;=31),IF(MONTH(DATE(INT('월 가계부'!A858/10000),MOD(INT('월 가계부'!A858/100),100),MOD(INT('월 가계부'!A858),100)))=MOD(INT('월 가계부'!A858/100),100),DATE(INT('월 가계부'!A858/10000),MOD(INT('월 가계부'!A858/100),100),MOD(INT('월 가계부'!A858),100)),""),""),IF(AND('월 가계부'!A858&gt;=36526,'월 가계부'!A858&lt;73051),INT('월 가계부'!A858),"")),IF(OR(CM858="",CN858="",CO858=""),"",IF(AND(CM858&gt;=2000,CM858&lt;=2099,CN858&gt;=1,CN858&lt;=12,CO858&gt;=1,CO858&lt;=31),IF(MONTH(DATE(CM858,CN858,CO858))=CN858,DATE(CM858,CN858,CO858),""),"")))),"")</f>
        <v/>
      </c>
      <c r="CJ858">
        <f>IFERROR(IF('월 가계부'!C858="","",IF(ISNUMBER('월 가계부'!C858),'월 가계부'!C858,VALUE(SUBSTITUTE(SUBSTITUTE(SUBSTITUTE(SUBSTITUTE(TRIM('월 가계부'!C858),",",""),"원","")," ",""),"−","-")))),"")</f>
        <v/>
      </c>
      <c r="CK858">
        <f>IF(ISNUMBER(CI858),IF(CI858&lt;$B$13,CI858,""),"")</f>
        <v/>
      </c>
      <c r="CM858">
        <f>IF(CH858="","",IFERROR(IF(IF(AND(LEN(CH858)=9,ISERROR(FIND("-",LEFT(CH858,8))),ISNUMBER(-LEFT(CH858,8))),VALUE(LEFT(CH858,4)),VALUE(LEFT(CH858,FIND("-",CH858)-1)))&lt;100,IF(AND(LEN(CH858)=9,ISERROR(FIND("-",LEFT(CH858,8))),ISNUMBER(-LEFT(CH858,8))),VALUE(LEFT(CH858,4)),VALUE(LEFT(CH858,FIND("-",CH858)-1)))+2000,IF(AND(LEN(CH858)=9,ISERROR(FIND("-",LEFT(CH858,8))),ISNUMBER(-LEFT(CH858,8))),VALUE(LEFT(CH858,4)),VALUE(LEFT(CH858,FIND("-",CH858)-1)))),""))</f>
        <v/>
      </c>
      <c r="CN858">
        <f>IF(CH858="","",IFERROR(IF(AND(LEN(CH858)=9,ISERROR(FIND("-",LEFT(CH858,8))),ISNUMBER(-LEFT(CH858,8))),VALUE(MID(CH858,5,2)),VALUE(MID(CH858,FIND("-",CH858)+1,FIND("-",CH858,FIND("-",CH858)+1)-FIND("-",CH858)-1))),""))</f>
        <v/>
      </c>
      <c r="CO858">
        <f>IF(CH858="","",IFERROR(IF(AND(LEN(CH858)=9,ISERROR(FIND("-",LEFT(CH858,8))),ISNUMBER(-LEFT(CH858,8))),VALUE(MID(CH858,7,2)),VALUE(MID(CH858,FIND("-",CH858,FIND("-",CH858)+1)+1,FIND("-",CH858,FIND("-",CH858,FIND("-",CH858)+1)+1)-FIND("-",CH858,FIND("-",CH858)+1)-1))),""))</f>
        <v/>
      </c>
    </row>
    <row r="859">
      <c r="CH859">
        <f>IF(ISTEXT('월 가계부'!A859),SUBSTITUTE(SUBSTITUTE(SUBSTITUTE(SUBSTITUTE(SUBSTITUTE(SUBSTITUTE(SUBSTITUTE(SUBSTITUTE(SUBSTITUTE(TRIM('월 가계부'!A859),"년","-"),"월","-"),"일",""),".","-"),"/","-")," ","-"),"--","-"),"--","-"),"--","-")&amp;"-","")</f>
        <v/>
      </c>
      <c r="CI859">
        <f>IFERROR(IF('월 가계부'!A859="","",IF(ISNUMBER('월 가계부'!A859),IF(AND('월 가계부'!A859&gt;=19000101,'월 가계부'!A859&lt;=21001231),IF(AND(MOD(INT('월 가계부'!A859/100),100)&gt;=1,MOD(INT('월 가계부'!A859/100),100)&lt;=12,MOD(INT('월 가계부'!A859),100)&gt;=1,MOD(INT('월 가계부'!A859),100)&lt;=31),IF(MONTH(DATE(INT('월 가계부'!A859/10000),MOD(INT('월 가계부'!A859/100),100),MOD(INT('월 가계부'!A859),100)))=MOD(INT('월 가계부'!A859/100),100),DATE(INT('월 가계부'!A859/10000),MOD(INT('월 가계부'!A859/100),100),MOD(INT('월 가계부'!A859),100)),""),""),IF(AND('월 가계부'!A859&gt;=36526,'월 가계부'!A859&lt;73051),INT('월 가계부'!A859),"")),IF(OR(CM859="",CN859="",CO859=""),"",IF(AND(CM859&gt;=2000,CM859&lt;=2099,CN859&gt;=1,CN859&lt;=12,CO859&gt;=1,CO859&lt;=31),IF(MONTH(DATE(CM859,CN859,CO859))=CN859,DATE(CM859,CN859,CO859),""),"")))),"")</f>
        <v/>
      </c>
      <c r="CJ859">
        <f>IFERROR(IF('월 가계부'!C859="","",IF(ISNUMBER('월 가계부'!C859),'월 가계부'!C859,VALUE(SUBSTITUTE(SUBSTITUTE(SUBSTITUTE(SUBSTITUTE(TRIM('월 가계부'!C859),",",""),"원","")," ",""),"−","-")))),"")</f>
        <v/>
      </c>
      <c r="CK859">
        <f>IF(ISNUMBER(CI859),IF(CI859&lt;$B$13,CI859,""),"")</f>
        <v/>
      </c>
      <c r="CM859">
        <f>IF(CH859="","",IFERROR(IF(IF(AND(LEN(CH859)=9,ISERROR(FIND("-",LEFT(CH859,8))),ISNUMBER(-LEFT(CH859,8))),VALUE(LEFT(CH859,4)),VALUE(LEFT(CH859,FIND("-",CH859)-1)))&lt;100,IF(AND(LEN(CH859)=9,ISERROR(FIND("-",LEFT(CH859,8))),ISNUMBER(-LEFT(CH859,8))),VALUE(LEFT(CH859,4)),VALUE(LEFT(CH859,FIND("-",CH859)-1)))+2000,IF(AND(LEN(CH859)=9,ISERROR(FIND("-",LEFT(CH859,8))),ISNUMBER(-LEFT(CH859,8))),VALUE(LEFT(CH859,4)),VALUE(LEFT(CH859,FIND("-",CH859)-1)))),""))</f>
        <v/>
      </c>
      <c r="CN859">
        <f>IF(CH859="","",IFERROR(IF(AND(LEN(CH859)=9,ISERROR(FIND("-",LEFT(CH859,8))),ISNUMBER(-LEFT(CH859,8))),VALUE(MID(CH859,5,2)),VALUE(MID(CH859,FIND("-",CH859)+1,FIND("-",CH859,FIND("-",CH859)+1)-FIND("-",CH859)-1))),""))</f>
        <v/>
      </c>
      <c r="CO859">
        <f>IF(CH859="","",IFERROR(IF(AND(LEN(CH859)=9,ISERROR(FIND("-",LEFT(CH859,8))),ISNUMBER(-LEFT(CH859,8))),VALUE(MID(CH859,7,2)),VALUE(MID(CH859,FIND("-",CH859,FIND("-",CH859)+1)+1,FIND("-",CH859,FIND("-",CH859,FIND("-",CH859)+1)+1)-FIND("-",CH859,FIND("-",CH859)+1)-1))),""))</f>
        <v/>
      </c>
    </row>
    <row r="860">
      <c r="CH860">
        <f>IF(ISTEXT('월 가계부'!A860),SUBSTITUTE(SUBSTITUTE(SUBSTITUTE(SUBSTITUTE(SUBSTITUTE(SUBSTITUTE(SUBSTITUTE(SUBSTITUTE(SUBSTITUTE(TRIM('월 가계부'!A860),"년","-"),"월","-"),"일",""),".","-"),"/","-")," ","-"),"--","-"),"--","-"),"--","-")&amp;"-","")</f>
        <v/>
      </c>
      <c r="CI860">
        <f>IFERROR(IF('월 가계부'!A860="","",IF(ISNUMBER('월 가계부'!A860),IF(AND('월 가계부'!A860&gt;=19000101,'월 가계부'!A860&lt;=21001231),IF(AND(MOD(INT('월 가계부'!A860/100),100)&gt;=1,MOD(INT('월 가계부'!A860/100),100)&lt;=12,MOD(INT('월 가계부'!A860),100)&gt;=1,MOD(INT('월 가계부'!A860),100)&lt;=31),IF(MONTH(DATE(INT('월 가계부'!A860/10000),MOD(INT('월 가계부'!A860/100),100),MOD(INT('월 가계부'!A860),100)))=MOD(INT('월 가계부'!A860/100),100),DATE(INT('월 가계부'!A860/10000),MOD(INT('월 가계부'!A860/100),100),MOD(INT('월 가계부'!A860),100)),""),""),IF(AND('월 가계부'!A860&gt;=36526,'월 가계부'!A860&lt;73051),INT('월 가계부'!A860),"")),IF(OR(CM860="",CN860="",CO860=""),"",IF(AND(CM860&gt;=2000,CM860&lt;=2099,CN860&gt;=1,CN860&lt;=12,CO860&gt;=1,CO860&lt;=31),IF(MONTH(DATE(CM860,CN860,CO860))=CN860,DATE(CM860,CN860,CO860),""),"")))),"")</f>
        <v/>
      </c>
      <c r="CJ860">
        <f>IFERROR(IF('월 가계부'!C860="","",IF(ISNUMBER('월 가계부'!C860),'월 가계부'!C860,VALUE(SUBSTITUTE(SUBSTITUTE(SUBSTITUTE(SUBSTITUTE(TRIM('월 가계부'!C860),",",""),"원","")," ",""),"−","-")))),"")</f>
        <v/>
      </c>
      <c r="CK860">
        <f>IF(ISNUMBER(CI860),IF(CI860&lt;$B$13,CI860,""),"")</f>
        <v/>
      </c>
      <c r="CM860">
        <f>IF(CH860="","",IFERROR(IF(IF(AND(LEN(CH860)=9,ISERROR(FIND("-",LEFT(CH860,8))),ISNUMBER(-LEFT(CH860,8))),VALUE(LEFT(CH860,4)),VALUE(LEFT(CH860,FIND("-",CH860)-1)))&lt;100,IF(AND(LEN(CH860)=9,ISERROR(FIND("-",LEFT(CH860,8))),ISNUMBER(-LEFT(CH860,8))),VALUE(LEFT(CH860,4)),VALUE(LEFT(CH860,FIND("-",CH860)-1)))+2000,IF(AND(LEN(CH860)=9,ISERROR(FIND("-",LEFT(CH860,8))),ISNUMBER(-LEFT(CH860,8))),VALUE(LEFT(CH860,4)),VALUE(LEFT(CH860,FIND("-",CH860)-1)))),""))</f>
        <v/>
      </c>
      <c r="CN860">
        <f>IF(CH860="","",IFERROR(IF(AND(LEN(CH860)=9,ISERROR(FIND("-",LEFT(CH860,8))),ISNUMBER(-LEFT(CH860,8))),VALUE(MID(CH860,5,2)),VALUE(MID(CH860,FIND("-",CH860)+1,FIND("-",CH860,FIND("-",CH860)+1)-FIND("-",CH860)-1))),""))</f>
        <v/>
      </c>
      <c r="CO860">
        <f>IF(CH860="","",IFERROR(IF(AND(LEN(CH860)=9,ISERROR(FIND("-",LEFT(CH860,8))),ISNUMBER(-LEFT(CH860,8))),VALUE(MID(CH860,7,2)),VALUE(MID(CH860,FIND("-",CH860,FIND("-",CH860)+1)+1,FIND("-",CH860,FIND("-",CH860,FIND("-",CH860)+1)+1)-FIND("-",CH860,FIND("-",CH860)+1)-1))),""))</f>
        <v/>
      </c>
    </row>
    <row r="861">
      <c r="CH861">
        <f>IF(ISTEXT('월 가계부'!A861),SUBSTITUTE(SUBSTITUTE(SUBSTITUTE(SUBSTITUTE(SUBSTITUTE(SUBSTITUTE(SUBSTITUTE(SUBSTITUTE(SUBSTITUTE(TRIM('월 가계부'!A861),"년","-"),"월","-"),"일",""),".","-"),"/","-")," ","-"),"--","-"),"--","-"),"--","-")&amp;"-","")</f>
        <v/>
      </c>
      <c r="CI861">
        <f>IFERROR(IF('월 가계부'!A861="","",IF(ISNUMBER('월 가계부'!A861),IF(AND('월 가계부'!A861&gt;=19000101,'월 가계부'!A861&lt;=21001231),IF(AND(MOD(INT('월 가계부'!A861/100),100)&gt;=1,MOD(INT('월 가계부'!A861/100),100)&lt;=12,MOD(INT('월 가계부'!A861),100)&gt;=1,MOD(INT('월 가계부'!A861),100)&lt;=31),IF(MONTH(DATE(INT('월 가계부'!A861/10000),MOD(INT('월 가계부'!A861/100),100),MOD(INT('월 가계부'!A861),100)))=MOD(INT('월 가계부'!A861/100),100),DATE(INT('월 가계부'!A861/10000),MOD(INT('월 가계부'!A861/100),100),MOD(INT('월 가계부'!A861),100)),""),""),IF(AND('월 가계부'!A861&gt;=36526,'월 가계부'!A861&lt;73051),INT('월 가계부'!A861),"")),IF(OR(CM861="",CN861="",CO861=""),"",IF(AND(CM861&gt;=2000,CM861&lt;=2099,CN861&gt;=1,CN861&lt;=12,CO861&gt;=1,CO861&lt;=31),IF(MONTH(DATE(CM861,CN861,CO861))=CN861,DATE(CM861,CN861,CO861),""),"")))),"")</f>
        <v/>
      </c>
      <c r="CJ861">
        <f>IFERROR(IF('월 가계부'!C861="","",IF(ISNUMBER('월 가계부'!C861),'월 가계부'!C861,VALUE(SUBSTITUTE(SUBSTITUTE(SUBSTITUTE(SUBSTITUTE(TRIM('월 가계부'!C861),",",""),"원","")," ",""),"−","-")))),"")</f>
        <v/>
      </c>
      <c r="CK861">
        <f>IF(ISNUMBER(CI861),IF(CI861&lt;$B$13,CI861,""),"")</f>
        <v/>
      </c>
      <c r="CM861">
        <f>IF(CH861="","",IFERROR(IF(IF(AND(LEN(CH861)=9,ISERROR(FIND("-",LEFT(CH861,8))),ISNUMBER(-LEFT(CH861,8))),VALUE(LEFT(CH861,4)),VALUE(LEFT(CH861,FIND("-",CH861)-1)))&lt;100,IF(AND(LEN(CH861)=9,ISERROR(FIND("-",LEFT(CH861,8))),ISNUMBER(-LEFT(CH861,8))),VALUE(LEFT(CH861,4)),VALUE(LEFT(CH861,FIND("-",CH861)-1)))+2000,IF(AND(LEN(CH861)=9,ISERROR(FIND("-",LEFT(CH861,8))),ISNUMBER(-LEFT(CH861,8))),VALUE(LEFT(CH861,4)),VALUE(LEFT(CH861,FIND("-",CH861)-1)))),""))</f>
        <v/>
      </c>
      <c r="CN861">
        <f>IF(CH861="","",IFERROR(IF(AND(LEN(CH861)=9,ISERROR(FIND("-",LEFT(CH861,8))),ISNUMBER(-LEFT(CH861,8))),VALUE(MID(CH861,5,2)),VALUE(MID(CH861,FIND("-",CH861)+1,FIND("-",CH861,FIND("-",CH861)+1)-FIND("-",CH861)-1))),""))</f>
        <v/>
      </c>
      <c r="CO861">
        <f>IF(CH861="","",IFERROR(IF(AND(LEN(CH861)=9,ISERROR(FIND("-",LEFT(CH861,8))),ISNUMBER(-LEFT(CH861,8))),VALUE(MID(CH861,7,2)),VALUE(MID(CH861,FIND("-",CH861,FIND("-",CH861)+1)+1,FIND("-",CH861,FIND("-",CH861,FIND("-",CH861)+1)+1)-FIND("-",CH861,FIND("-",CH861)+1)-1))),""))</f>
        <v/>
      </c>
    </row>
    <row r="862">
      <c r="CH862">
        <f>IF(ISTEXT('월 가계부'!A862),SUBSTITUTE(SUBSTITUTE(SUBSTITUTE(SUBSTITUTE(SUBSTITUTE(SUBSTITUTE(SUBSTITUTE(SUBSTITUTE(SUBSTITUTE(TRIM('월 가계부'!A862),"년","-"),"월","-"),"일",""),".","-"),"/","-")," ","-"),"--","-"),"--","-"),"--","-")&amp;"-","")</f>
        <v/>
      </c>
      <c r="CI862">
        <f>IFERROR(IF('월 가계부'!A862="","",IF(ISNUMBER('월 가계부'!A862),IF(AND('월 가계부'!A862&gt;=19000101,'월 가계부'!A862&lt;=21001231),IF(AND(MOD(INT('월 가계부'!A862/100),100)&gt;=1,MOD(INT('월 가계부'!A862/100),100)&lt;=12,MOD(INT('월 가계부'!A862),100)&gt;=1,MOD(INT('월 가계부'!A862),100)&lt;=31),IF(MONTH(DATE(INT('월 가계부'!A862/10000),MOD(INT('월 가계부'!A862/100),100),MOD(INT('월 가계부'!A862),100)))=MOD(INT('월 가계부'!A862/100),100),DATE(INT('월 가계부'!A862/10000),MOD(INT('월 가계부'!A862/100),100),MOD(INT('월 가계부'!A862),100)),""),""),IF(AND('월 가계부'!A862&gt;=36526,'월 가계부'!A862&lt;73051),INT('월 가계부'!A862),"")),IF(OR(CM862="",CN862="",CO862=""),"",IF(AND(CM862&gt;=2000,CM862&lt;=2099,CN862&gt;=1,CN862&lt;=12,CO862&gt;=1,CO862&lt;=31),IF(MONTH(DATE(CM862,CN862,CO862))=CN862,DATE(CM862,CN862,CO862),""),"")))),"")</f>
        <v/>
      </c>
      <c r="CJ862">
        <f>IFERROR(IF('월 가계부'!C862="","",IF(ISNUMBER('월 가계부'!C862),'월 가계부'!C862,VALUE(SUBSTITUTE(SUBSTITUTE(SUBSTITUTE(SUBSTITUTE(TRIM('월 가계부'!C862),",",""),"원","")," ",""),"−","-")))),"")</f>
        <v/>
      </c>
      <c r="CK862">
        <f>IF(ISNUMBER(CI862),IF(CI862&lt;$B$13,CI862,""),"")</f>
        <v/>
      </c>
      <c r="CM862">
        <f>IF(CH862="","",IFERROR(IF(IF(AND(LEN(CH862)=9,ISERROR(FIND("-",LEFT(CH862,8))),ISNUMBER(-LEFT(CH862,8))),VALUE(LEFT(CH862,4)),VALUE(LEFT(CH862,FIND("-",CH862)-1)))&lt;100,IF(AND(LEN(CH862)=9,ISERROR(FIND("-",LEFT(CH862,8))),ISNUMBER(-LEFT(CH862,8))),VALUE(LEFT(CH862,4)),VALUE(LEFT(CH862,FIND("-",CH862)-1)))+2000,IF(AND(LEN(CH862)=9,ISERROR(FIND("-",LEFT(CH862,8))),ISNUMBER(-LEFT(CH862,8))),VALUE(LEFT(CH862,4)),VALUE(LEFT(CH862,FIND("-",CH862)-1)))),""))</f>
        <v/>
      </c>
      <c r="CN862">
        <f>IF(CH862="","",IFERROR(IF(AND(LEN(CH862)=9,ISERROR(FIND("-",LEFT(CH862,8))),ISNUMBER(-LEFT(CH862,8))),VALUE(MID(CH862,5,2)),VALUE(MID(CH862,FIND("-",CH862)+1,FIND("-",CH862,FIND("-",CH862)+1)-FIND("-",CH862)-1))),""))</f>
        <v/>
      </c>
      <c r="CO862">
        <f>IF(CH862="","",IFERROR(IF(AND(LEN(CH862)=9,ISERROR(FIND("-",LEFT(CH862,8))),ISNUMBER(-LEFT(CH862,8))),VALUE(MID(CH862,7,2)),VALUE(MID(CH862,FIND("-",CH862,FIND("-",CH862)+1)+1,FIND("-",CH862,FIND("-",CH862,FIND("-",CH862)+1)+1)-FIND("-",CH862,FIND("-",CH862)+1)-1))),""))</f>
        <v/>
      </c>
    </row>
    <row r="863">
      <c r="CH863">
        <f>IF(ISTEXT('월 가계부'!A863),SUBSTITUTE(SUBSTITUTE(SUBSTITUTE(SUBSTITUTE(SUBSTITUTE(SUBSTITUTE(SUBSTITUTE(SUBSTITUTE(SUBSTITUTE(TRIM('월 가계부'!A863),"년","-"),"월","-"),"일",""),".","-"),"/","-")," ","-"),"--","-"),"--","-"),"--","-")&amp;"-","")</f>
        <v/>
      </c>
      <c r="CI863">
        <f>IFERROR(IF('월 가계부'!A863="","",IF(ISNUMBER('월 가계부'!A863),IF(AND('월 가계부'!A863&gt;=19000101,'월 가계부'!A863&lt;=21001231),IF(AND(MOD(INT('월 가계부'!A863/100),100)&gt;=1,MOD(INT('월 가계부'!A863/100),100)&lt;=12,MOD(INT('월 가계부'!A863),100)&gt;=1,MOD(INT('월 가계부'!A863),100)&lt;=31),IF(MONTH(DATE(INT('월 가계부'!A863/10000),MOD(INT('월 가계부'!A863/100),100),MOD(INT('월 가계부'!A863),100)))=MOD(INT('월 가계부'!A863/100),100),DATE(INT('월 가계부'!A863/10000),MOD(INT('월 가계부'!A863/100),100),MOD(INT('월 가계부'!A863),100)),""),""),IF(AND('월 가계부'!A863&gt;=36526,'월 가계부'!A863&lt;73051),INT('월 가계부'!A863),"")),IF(OR(CM863="",CN863="",CO863=""),"",IF(AND(CM863&gt;=2000,CM863&lt;=2099,CN863&gt;=1,CN863&lt;=12,CO863&gt;=1,CO863&lt;=31),IF(MONTH(DATE(CM863,CN863,CO863))=CN863,DATE(CM863,CN863,CO863),""),"")))),"")</f>
        <v/>
      </c>
      <c r="CJ863">
        <f>IFERROR(IF('월 가계부'!C863="","",IF(ISNUMBER('월 가계부'!C863),'월 가계부'!C863,VALUE(SUBSTITUTE(SUBSTITUTE(SUBSTITUTE(SUBSTITUTE(TRIM('월 가계부'!C863),",",""),"원","")," ",""),"−","-")))),"")</f>
        <v/>
      </c>
      <c r="CK863">
        <f>IF(ISNUMBER(CI863),IF(CI863&lt;$B$13,CI863,""),"")</f>
        <v/>
      </c>
      <c r="CM863">
        <f>IF(CH863="","",IFERROR(IF(IF(AND(LEN(CH863)=9,ISERROR(FIND("-",LEFT(CH863,8))),ISNUMBER(-LEFT(CH863,8))),VALUE(LEFT(CH863,4)),VALUE(LEFT(CH863,FIND("-",CH863)-1)))&lt;100,IF(AND(LEN(CH863)=9,ISERROR(FIND("-",LEFT(CH863,8))),ISNUMBER(-LEFT(CH863,8))),VALUE(LEFT(CH863,4)),VALUE(LEFT(CH863,FIND("-",CH863)-1)))+2000,IF(AND(LEN(CH863)=9,ISERROR(FIND("-",LEFT(CH863,8))),ISNUMBER(-LEFT(CH863,8))),VALUE(LEFT(CH863,4)),VALUE(LEFT(CH863,FIND("-",CH863)-1)))),""))</f>
        <v/>
      </c>
      <c r="CN863">
        <f>IF(CH863="","",IFERROR(IF(AND(LEN(CH863)=9,ISERROR(FIND("-",LEFT(CH863,8))),ISNUMBER(-LEFT(CH863,8))),VALUE(MID(CH863,5,2)),VALUE(MID(CH863,FIND("-",CH863)+1,FIND("-",CH863,FIND("-",CH863)+1)-FIND("-",CH863)-1))),""))</f>
        <v/>
      </c>
      <c r="CO863">
        <f>IF(CH863="","",IFERROR(IF(AND(LEN(CH863)=9,ISERROR(FIND("-",LEFT(CH863,8))),ISNUMBER(-LEFT(CH863,8))),VALUE(MID(CH863,7,2)),VALUE(MID(CH863,FIND("-",CH863,FIND("-",CH863)+1)+1,FIND("-",CH863,FIND("-",CH863,FIND("-",CH863)+1)+1)-FIND("-",CH863,FIND("-",CH863)+1)-1))),""))</f>
        <v/>
      </c>
    </row>
    <row r="864">
      <c r="CH864">
        <f>IF(ISTEXT('월 가계부'!A864),SUBSTITUTE(SUBSTITUTE(SUBSTITUTE(SUBSTITUTE(SUBSTITUTE(SUBSTITUTE(SUBSTITUTE(SUBSTITUTE(SUBSTITUTE(TRIM('월 가계부'!A864),"년","-"),"월","-"),"일",""),".","-"),"/","-")," ","-"),"--","-"),"--","-"),"--","-")&amp;"-","")</f>
        <v/>
      </c>
      <c r="CI864">
        <f>IFERROR(IF('월 가계부'!A864="","",IF(ISNUMBER('월 가계부'!A864),IF(AND('월 가계부'!A864&gt;=19000101,'월 가계부'!A864&lt;=21001231),IF(AND(MOD(INT('월 가계부'!A864/100),100)&gt;=1,MOD(INT('월 가계부'!A864/100),100)&lt;=12,MOD(INT('월 가계부'!A864),100)&gt;=1,MOD(INT('월 가계부'!A864),100)&lt;=31),IF(MONTH(DATE(INT('월 가계부'!A864/10000),MOD(INT('월 가계부'!A864/100),100),MOD(INT('월 가계부'!A864),100)))=MOD(INT('월 가계부'!A864/100),100),DATE(INT('월 가계부'!A864/10000),MOD(INT('월 가계부'!A864/100),100),MOD(INT('월 가계부'!A864),100)),""),""),IF(AND('월 가계부'!A864&gt;=36526,'월 가계부'!A864&lt;73051),INT('월 가계부'!A864),"")),IF(OR(CM864="",CN864="",CO864=""),"",IF(AND(CM864&gt;=2000,CM864&lt;=2099,CN864&gt;=1,CN864&lt;=12,CO864&gt;=1,CO864&lt;=31),IF(MONTH(DATE(CM864,CN864,CO864))=CN864,DATE(CM864,CN864,CO864),""),"")))),"")</f>
        <v/>
      </c>
      <c r="CJ864">
        <f>IFERROR(IF('월 가계부'!C864="","",IF(ISNUMBER('월 가계부'!C864),'월 가계부'!C864,VALUE(SUBSTITUTE(SUBSTITUTE(SUBSTITUTE(SUBSTITUTE(TRIM('월 가계부'!C864),",",""),"원","")," ",""),"−","-")))),"")</f>
        <v/>
      </c>
      <c r="CK864">
        <f>IF(ISNUMBER(CI864),IF(CI864&lt;$B$13,CI864,""),"")</f>
        <v/>
      </c>
      <c r="CM864">
        <f>IF(CH864="","",IFERROR(IF(IF(AND(LEN(CH864)=9,ISERROR(FIND("-",LEFT(CH864,8))),ISNUMBER(-LEFT(CH864,8))),VALUE(LEFT(CH864,4)),VALUE(LEFT(CH864,FIND("-",CH864)-1)))&lt;100,IF(AND(LEN(CH864)=9,ISERROR(FIND("-",LEFT(CH864,8))),ISNUMBER(-LEFT(CH864,8))),VALUE(LEFT(CH864,4)),VALUE(LEFT(CH864,FIND("-",CH864)-1)))+2000,IF(AND(LEN(CH864)=9,ISERROR(FIND("-",LEFT(CH864,8))),ISNUMBER(-LEFT(CH864,8))),VALUE(LEFT(CH864,4)),VALUE(LEFT(CH864,FIND("-",CH864)-1)))),""))</f>
        <v/>
      </c>
      <c r="CN864">
        <f>IF(CH864="","",IFERROR(IF(AND(LEN(CH864)=9,ISERROR(FIND("-",LEFT(CH864,8))),ISNUMBER(-LEFT(CH864,8))),VALUE(MID(CH864,5,2)),VALUE(MID(CH864,FIND("-",CH864)+1,FIND("-",CH864,FIND("-",CH864)+1)-FIND("-",CH864)-1))),""))</f>
        <v/>
      </c>
      <c r="CO864">
        <f>IF(CH864="","",IFERROR(IF(AND(LEN(CH864)=9,ISERROR(FIND("-",LEFT(CH864,8))),ISNUMBER(-LEFT(CH864,8))),VALUE(MID(CH864,7,2)),VALUE(MID(CH864,FIND("-",CH864,FIND("-",CH864)+1)+1,FIND("-",CH864,FIND("-",CH864,FIND("-",CH864)+1)+1)-FIND("-",CH864,FIND("-",CH864)+1)-1))),""))</f>
        <v/>
      </c>
    </row>
    <row r="865">
      <c r="CH865">
        <f>IF(ISTEXT('월 가계부'!A865),SUBSTITUTE(SUBSTITUTE(SUBSTITUTE(SUBSTITUTE(SUBSTITUTE(SUBSTITUTE(SUBSTITUTE(SUBSTITUTE(SUBSTITUTE(TRIM('월 가계부'!A865),"년","-"),"월","-"),"일",""),".","-"),"/","-")," ","-"),"--","-"),"--","-"),"--","-")&amp;"-","")</f>
        <v/>
      </c>
      <c r="CI865">
        <f>IFERROR(IF('월 가계부'!A865="","",IF(ISNUMBER('월 가계부'!A865),IF(AND('월 가계부'!A865&gt;=19000101,'월 가계부'!A865&lt;=21001231),IF(AND(MOD(INT('월 가계부'!A865/100),100)&gt;=1,MOD(INT('월 가계부'!A865/100),100)&lt;=12,MOD(INT('월 가계부'!A865),100)&gt;=1,MOD(INT('월 가계부'!A865),100)&lt;=31),IF(MONTH(DATE(INT('월 가계부'!A865/10000),MOD(INT('월 가계부'!A865/100),100),MOD(INT('월 가계부'!A865),100)))=MOD(INT('월 가계부'!A865/100),100),DATE(INT('월 가계부'!A865/10000),MOD(INT('월 가계부'!A865/100),100),MOD(INT('월 가계부'!A865),100)),""),""),IF(AND('월 가계부'!A865&gt;=36526,'월 가계부'!A865&lt;73051),INT('월 가계부'!A865),"")),IF(OR(CM865="",CN865="",CO865=""),"",IF(AND(CM865&gt;=2000,CM865&lt;=2099,CN865&gt;=1,CN865&lt;=12,CO865&gt;=1,CO865&lt;=31),IF(MONTH(DATE(CM865,CN865,CO865))=CN865,DATE(CM865,CN865,CO865),""),"")))),"")</f>
        <v/>
      </c>
      <c r="CJ865">
        <f>IFERROR(IF('월 가계부'!C865="","",IF(ISNUMBER('월 가계부'!C865),'월 가계부'!C865,VALUE(SUBSTITUTE(SUBSTITUTE(SUBSTITUTE(SUBSTITUTE(TRIM('월 가계부'!C865),",",""),"원","")," ",""),"−","-")))),"")</f>
        <v/>
      </c>
      <c r="CK865">
        <f>IF(ISNUMBER(CI865),IF(CI865&lt;$B$13,CI865,""),"")</f>
        <v/>
      </c>
      <c r="CM865">
        <f>IF(CH865="","",IFERROR(IF(IF(AND(LEN(CH865)=9,ISERROR(FIND("-",LEFT(CH865,8))),ISNUMBER(-LEFT(CH865,8))),VALUE(LEFT(CH865,4)),VALUE(LEFT(CH865,FIND("-",CH865)-1)))&lt;100,IF(AND(LEN(CH865)=9,ISERROR(FIND("-",LEFT(CH865,8))),ISNUMBER(-LEFT(CH865,8))),VALUE(LEFT(CH865,4)),VALUE(LEFT(CH865,FIND("-",CH865)-1)))+2000,IF(AND(LEN(CH865)=9,ISERROR(FIND("-",LEFT(CH865,8))),ISNUMBER(-LEFT(CH865,8))),VALUE(LEFT(CH865,4)),VALUE(LEFT(CH865,FIND("-",CH865)-1)))),""))</f>
        <v/>
      </c>
      <c r="CN865">
        <f>IF(CH865="","",IFERROR(IF(AND(LEN(CH865)=9,ISERROR(FIND("-",LEFT(CH865,8))),ISNUMBER(-LEFT(CH865,8))),VALUE(MID(CH865,5,2)),VALUE(MID(CH865,FIND("-",CH865)+1,FIND("-",CH865,FIND("-",CH865)+1)-FIND("-",CH865)-1))),""))</f>
        <v/>
      </c>
      <c r="CO865">
        <f>IF(CH865="","",IFERROR(IF(AND(LEN(CH865)=9,ISERROR(FIND("-",LEFT(CH865,8))),ISNUMBER(-LEFT(CH865,8))),VALUE(MID(CH865,7,2)),VALUE(MID(CH865,FIND("-",CH865,FIND("-",CH865)+1)+1,FIND("-",CH865,FIND("-",CH865,FIND("-",CH865)+1)+1)-FIND("-",CH865,FIND("-",CH865)+1)-1))),""))</f>
        <v/>
      </c>
    </row>
    <row r="866">
      <c r="CH866">
        <f>IF(ISTEXT('월 가계부'!A866),SUBSTITUTE(SUBSTITUTE(SUBSTITUTE(SUBSTITUTE(SUBSTITUTE(SUBSTITUTE(SUBSTITUTE(SUBSTITUTE(SUBSTITUTE(TRIM('월 가계부'!A866),"년","-"),"월","-"),"일",""),".","-"),"/","-")," ","-"),"--","-"),"--","-"),"--","-")&amp;"-","")</f>
        <v/>
      </c>
      <c r="CI866">
        <f>IFERROR(IF('월 가계부'!A866="","",IF(ISNUMBER('월 가계부'!A866),IF(AND('월 가계부'!A866&gt;=19000101,'월 가계부'!A866&lt;=21001231),IF(AND(MOD(INT('월 가계부'!A866/100),100)&gt;=1,MOD(INT('월 가계부'!A866/100),100)&lt;=12,MOD(INT('월 가계부'!A866),100)&gt;=1,MOD(INT('월 가계부'!A866),100)&lt;=31),IF(MONTH(DATE(INT('월 가계부'!A866/10000),MOD(INT('월 가계부'!A866/100),100),MOD(INT('월 가계부'!A866),100)))=MOD(INT('월 가계부'!A866/100),100),DATE(INT('월 가계부'!A866/10000),MOD(INT('월 가계부'!A866/100),100),MOD(INT('월 가계부'!A866),100)),""),""),IF(AND('월 가계부'!A866&gt;=36526,'월 가계부'!A866&lt;73051),INT('월 가계부'!A866),"")),IF(OR(CM866="",CN866="",CO866=""),"",IF(AND(CM866&gt;=2000,CM866&lt;=2099,CN866&gt;=1,CN866&lt;=12,CO866&gt;=1,CO866&lt;=31),IF(MONTH(DATE(CM866,CN866,CO866))=CN866,DATE(CM866,CN866,CO866),""),"")))),"")</f>
        <v/>
      </c>
      <c r="CJ866">
        <f>IFERROR(IF('월 가계부'!C866="","",IF(ISNUMBER('월 가계부'!C866),'월 가계부'!C866,VALUE(SUBSTITUTE(SUBSTITUTE(SUBSTITUTE(SUBSTITUTE(TRIM('월 가계부'!C866),",",""),"원","")," ",""),"−","-")))),"")</f>
        <v/>
      </c>
      <c r="CK866">
        <f>IF(ISNUMBER(CI866),IF(CI866&lt;$B$13,CI866,""),"")</f>
        <v/>
      </c>
      <c r="CM866">
        <f>IF(CH866="","",IFERROR(IF(IF(AND(LEN(CH866)=9,ISERROR(FIND("-",LEFT(CH866,8))),ISNUMBER(-LEFT(CH866,8))),VALUE(LEFT(CH866,4)),VALUE(LEFT(CH866,FIND("-",CH866)-1)))&lt;100,IF(AND(LEN(CH866)=9,ISERROR(FIND("-",LEFT(CH866,8))),ISNUMBER(-LEFT(CH866,8))),VALUE(LEFT(CH866,4)),VALUE(LEFT(CH866,FIND("-",CH866)-1)))+2000,IF(AND(LEN(CH866)=9,ISERROR(FIND("-",LEFT(CH866,8))),ISNUMBER(-LEFT(CH866,8))),VALUE(LEFT(CH866,4)),VALUE(LEFT(CH866,FIND("-",CH866)-1)))),""))</f>
        <v/>
      </c>
      <c r="CN866">
        <f>IF(CH866="","",IFERROR(IF(AND(LEN(CH866)=9,ISERROR(FIND("-",LEFT(CH866,8))),ISNUMBER(-LEFT(CH866,8))),VALUE(MID(CH866,5,2)),VALUE(MID(CH866,FIND("-",CH866)+1,FIND("-",CH866,FIND("-",CH866)+1)-FIND("-",CH866)-1))),""))</f>
        <v/>
      </c>
      <c r="CO866">
        <f>IF(CH866="","",IFERROR(IF(AND(LEN(CH866)=9,ISERROR(FIND("-",LEFT(CH866,8))),ISNUMBER(-LEFT(CH866,8))),VALUE(MID(CH866,7,2)),VALUE(MID(CH866,FIND("-",CH866,FIND("-",CH866)+1)+1,FIND("-",CH866,FIND("-",CH866,FIND("-",CH866)+1)+1)-FIND("-",CH866,FIND("-",CH866)+1)-1))),""))</f>
        <v/>
      </c>
    </row>
    <row r="867">
      <c r="CH867">
        <f>IF(ISTEXT('월 가계부'!A867),SUBSTITUTE(SUBSTITUTE(SUBSTITUTE(SUBSTITUTE(SUBSTITUTE(SUBSTITUTE(SUBSTITUTE(SUBSTITUTE(SUBSTITUTE(TRIM('월 가계부'!A867),"년","-"),"월","-"),"일",""),".","-"),"/","-")," ","-"),"--","-"),"--","-"),"--","-")&amp;"-","")</f>
        <v/>
      </c>
      <c r="CI867">
        <f>IFERROR(IF('월 가계부'!A867="","",IF(ISNUMBER('월 가계부'!A867),IF(AND('월 가계부'!A867&gt;=19000101,'월 가계부'!A867&lt;=21001231),IF(AND(MOD(INT('월 가계부'!A867/100),100)&gt;=1,MOD(INT('월 가계부'!A867/100),100)&lt;=12,MOD(INT('월 가계부'!A867),100)&gt;=1,MOD(INT('월 가계부'!A867),100)&lt;=31),IF(MONTH(DATE(INT('월 가계부'!A867/10000),MOD(INT('월 가계부'!A867/100),100),MOD(INT('월 가계부'!A867),100)))=MOD(INT('월 가계부'!A867/100),100),DATE(INT('월 가계부'!A867/10000),MOD(INT('월 가계부'!A867/100),100),MOD(INT('월 가계부'!A867),100)),""),""),IF(AND('월 가계부'!A867&gt;=36526,'월 가계부'!A867&lt;73051),INT('월 가계부'!A867),"")),IF(OR(CM867="",CN867="",CO867=""),"",IF(AND(CM867&gt;=2000,CM867&lt;=2099,CN867&gt;=1,CN867&lt;=12,CO867&gt;=1,CO867&lt;=31),IF(MONTH(DATE(CM867,CN867,CO867))=CN867,DATE(CM867,CN867,CO867),""),"")))),"")</f>
        <v/>
      </c>
      <c r="CJ867">
        <f>IFERROR(IF('월 가계부'!C867="","",IF(ISNUMBER('월 가계부'!C867),'월 가계부'!C867,VALUE(SUBSTITUTE(SUBSTITUTE(SUBSTITUTE(SUBSTITUTE(TRIM('월 가계부'!C867),",",""),"원","")," ",""),"−","-")))),"")</f>
        <v/>
      </c>
      <c r="CK867">
        <f>IF(ISNUMBER(CI867),IF(CI867&lt;$B$13,CI867,""),"")</f>
        <v/>
      </c>
      <c r="CM867">
        <f>IF(CH867="","",IFERROR(IF(IF(AND(LEN(CH867)=9,ISERROR(FIND("-",LEFT(CH867,8))),ISNUMBER(-LEFT(CH867,8))),VALUE(LEFT(CH867,4)),VALUE(LEFT(CH867,FIND("-",CH867)-1)))&lt;100,IF(AND(LEN(CH867)=9,ISERROR(FIND("-",LEFT(CH867,8))),ISNUMBER(-LEFT(CH867,8))),VALUE(LEFT(CH867,4)),VALUE(LEFT(CH867,FIND("-",CH867)-1)))+2000,IF(AND(LEN(CH867)=9,ISERROR(FIND("-",LEFT(CH867,8))),ISNUMBER(-LEFT(CH867,8))),VALUE(LEFT(CH867,4)),VALUE(LEFT(CH867,FIND("-",CH867)-1)))),""))</f>
        <v/>
      </c>
      <c r="CN867">
        <f>IF(CH867="","",IFERROR(IF(AND(LEN(CH867)=9,ISERROR(FIND("-",LEFT(CH867,8))),ISNUMBER(-LEFT(CH867,8))),VALUE(MID(CH867,5,2)),VALUE(MID(CH867,FIND("-",CH867)+1,FIND("-",CH867,FIND("-",CH867)+1)-FIND("-",CH867)-1))),""))</f>
        <v/>
      </c>
      <c r="CO867">
        <f>IF(CH867="","",IFERROR(IF(AND(LEN(CH867)=9,ISERROR(FIND("-",LEFT(CH867,8))),ISNUMBER(-LEFT(CH867,8))),VALUE(MID(CH867,7,2)),VALUE(MID(CH867,FIND("-",CH867,FIND("-",CH867)+1)+1,FIND("-",CH867,FIND("-",CH867,FIND("-",CH867)+1)+1)-FIND("-",CH867,FIND("-",CH867)+1)-1))),""))</f>
        <v/>
      </c>
    </row>
    <row r="868">
      <c r="CH868">
        <f>IF(ISTEXT('월 가계부'!A868),SUBSTITUTE(SUBSTITUTE(SUBSTITUTE(SUBSTITUTE(SUBSTITUTE(SUBSTITUTE(SUBSTITUTE(SUBSTITUTE(SUBSTITUTE(TRIM('월 가계부'!A868),"년","-"),"월","-"),"일",""),".","-"),"/","-")," ","-"),"--","-"),"--","-"),"--","-")&amp;"-","")</f>
        <v/>
      </c>
      <c r="CI868">
        <f>IFERROR(IF('월 가계부'!A868="","",IF(ISNUMBER('월 가계부'!A868),IF(AND('월 가계부'!A868&gt;=19000101,'월 가계부'!A868&lt;=21001231),IF(AND(MOD(INT('월 가계부'!A868/100),100)&gt;=1,MOD(INT('월 가계부'!A868/100),100)&lt;=12,MOD(INT('월 가계부'!A868),100)&gt;=1,MOD(INT('월 가계부'!A868),100)&lt;=31),IF(MONTH(DATE(INT('월 가계부'!A868/10000),MOD(INT('월 가계부'!A868/100),100),MOD(INT('월 가계부'!A868),100)))=MOD(INT('월 가계부'!A868/100),100),DATE(INT('월 가계부'!A868/10000),MOD(INT('월 가계부'!A868/100),100),MOD(INT('월 가계부'!A868),100)),""),""),IF(AND('월 가계부'!A868&gt;=36526,'월 가계부'!A868&lt;73051),INT('월 가계부'!A868),"")),IF(OR(CM868="",CN868="",CO868=""),"",IF(AND(CM868&gt;=2000,CM868&lt;=2099,CN868&gt;=1,CN868&lt;=12,CO868&gt;=1,CO868&lt;=31),IF(MONTH(DATE(CM868,CN868,CO868))=CN868,DATE(CM868,CN868,CO868),""),"")))),"")</f>
        <v/>
      </c>
      <c r="CJ868">
        <f>IFERROR(IF('월 가계부'!C868="","",IF(ISNUMBER('월 가계부'!C868),'월 가계부'!C868,VALUE(SUBSTITUTE(SUBSTITUTE(SUBSTITUTE(SUBSTITUTE(TRIM('월 가계부'!C868),",",""),"원","")," ",""),"−","-")))),"")</f>
        <v/>
      </c>
      <c r="CK868">
        <f>IF(ISNUMBER(CI868),IF(CI868&lt;$B$13,CI868,""),"")</f>
        <v/>
      </c>
      <c r="CM868">
        <f>IF(CH868="","",IFERROR(IF(IF(AND(LEN(CH868)=9,ISERROR(FIND("-",LEFT(CH868,8))),ISNUMBER(-LEFT(CH868,8))),VALUE(LEFT(CH868,4)),VALUE(LEFT(CH868,FIND("-",CH868)-1)))&lt;100,IF(AND(LEN(CH868)=9,ISERROR(FIND("-",LEFT(CH868,8))),ISNUMBER(-LEFT(CH868,8))),VALUE(LEFT(CH868,4)),VALUE(LEFT(CH868,FIND("-",CH868)-1)))+2000,IF(AND(LEN(CH868)=9,ISERROR(FIND("-",LEFT(CH868,8))),ISNUMBER(-LEFT(CH868,8))),VALUE(LEFT(CH868,4)),VALUE(LEFT(CH868,FIND("-",CH868)-1)))),""))</f>
        <v/>
      </c>
      <c r="CN868">
        <f>IF(CH868="","",IFERROR(IF(AND(LEN(CH868)=9,ISERROR(FIND("-",LEFT(CH868,8))),ISNUMBER(-LEFT(CH868,8))),VALUE(MID(CH868,5,2)),VALUE(MID(CH868,FIND("-",CH868)+1,FIND("-",CH868,FIND("-",CH868)+1)-FIND("-",CH868)-1))),""))</f>
        <v/>
      </c>
      <c r="CO868">
        <f>IF(CH868="","",IFERROR(IF(AND(LEN(CH868)=9,ISERROR(FIND("-",LEFT(CH868,8))),ISNUMBER(-LEFT(CH868,8))),VALUE(MID(CH868,7,2)),VALUE(MID(CH868,FIND("-",CH868,FIND("-",CH868)+1)+1,FIND("-",CH868,FIND("-",CH868,FIND("-",CH868)+1)+1)-FIND("-",CH868,FIND("-",CH868)+1)-1))),""))</f>
        <v/>
      </c>
    </row>
    <row r="869">
      <c r="CH869">
        <f>IF(ISTEXT('월 가계부'!A869),SUBSTITUTE(SUBSTITUTE(SUBSTITUTE(SUBSTITUTE(SUBSTITUTE(SUBSTITUTE(SUBSTITUTE(SUBSTITUTE(SUBSTITUTE(TRIM('월 가계부'!A869),"년","-"),"월","-"),"일",""),".","-"),"/","-")," ","-"),"--","-"),"--","-"),"--","-")&amp;"-","")</f>
        <v/>
      </c>
      <c r="CI869">
        <f>IFERROR(IF('월 가계부'!A869="","",IF(ISNUMBER('월 가계부'!A869),IF(AND('월 가계부'!A869&gt;=19000101,'월 가계부'!A869&lt;=21001231),IF(AND(MOD(INT('월 가계부'!A869/100),100)&gt;=1,MOD(INT('월 가계부'!A869/100),100)&lt;=12,MOD(INT('월 가계부'!A869),100)&gt;=1,MOD(INT('월 가계부'!A869),100)&lt;=31),IF(MONTH(DATE(INT('월 가계부'!A869/10000),MOD(INT('월 가계부'!A869/100),100),MOD(INT('월 가계부'!A869),100)))=MOD(INT('월 가계부'!A869/100),100),DATE(INT('월 가계부'!A869/10000),MOD(INT('월 가계부'!A869/100),100),MOD(INT('월 가계부'!A869),100)),""),""),IF(AND('월 가계부'!A869&gt;=36526,'월 가계부'!A869&lt;73051),INT('월 가계부'!A869),"")),IF(OR(CM869="",CN869="",CO869=""),"",IF(AND(CM869&gt;=2000,CM869&lt;=2099,CN869&gt;=1,CN869&lt;=12,CO869&gt;=1,CO869&lt;=31),IF(MONTH(DATE(CM869,CN869,CO869))=CN869,DATE(CM869,CN869,CO869),""),"")))),"")</f>
        <v/>
      </c>
      <c r="CJ869">
        <f>IFERROR(IF('월 가계부'!C869="","",IF(ISNUMBER('월 가계부'!C869),'월 가계부'!C869,VALUE(SUBSTITUTE(SUBSTITUTE(SUBSTITUTE(SUBSTITUTE(TRIM('월 가계부'!C869),",",""),"원","")," ",""),"−","-")))),"")</f>
        <v/>
      </c>
      <c r="CK869">
        <f>IF(ISNUMBER(CI869),IF(CI869&lt;$B$13,CI869,""),"")</f>
        <v/>
      </c>
      <c r="CM869">
        <f>IF(CH869="","",IFERROR(IF(IF(AND(LEN(CH869)=9,ISERROR(FIND("-",LEFT(CH869,8))),ISNUMBER(-LEFT(CH869,8))),VALUE(LEFT(CH869,4)),VALUE(LEFT(CH869,FIND("-",CH869)-1)))&lt;100,IF(AND(LEN(CH869)=9,ISERROR(FIND("-",LEFT(CH869,8))),ISNUMBER(-LEFT(CH869,8))),VALUE(LEFT(CH869,4)),VALUE(LEFT(CH869,FIND("-",CH869)-1)))+2000,IF(AND(LEN(CH869)=9,ISERROR(FIND("-",LEFT(CH869,8))),ISNUMBER(-LEFT(CH869,8))),VALUE(LEFT(CH869,4)),VALUE(LEFT(CH869,FIND("-",CH869)-1)))),""))</f>
        <v/>
      </c>
      <c r="CN869">
        <f>IF(CH869="","",IFERROR(IF(AND(LEN(CH869)=9,ISERROR(FIND("-",LEFT(CH869,8))),ISNUMBER(-LEFT(CH869,8))),VALUE(MID(CH869,5,2)),VALUE(MID(CH869,FIND("-",CH869)+1,FIND("-",CH869,FIND("-",CH869)+1)-FIND("-",CH869)-1))),""))</f>
        <v/>
      </c>
      <c r="CO869">
        <f>IF(CH869="","",IFERROR(IF(AND(LEN(CH869)=9,ISERROR(FIND("-",LEFT(CH869,8))),ISNUMBER(-LEFT(CH869,8))),VALUE(MID(CH869,7,2)),VALUE(MID(CH869,FIND("-",CH869,FIND("-",CH869)+1)+1,FIND("-",CH869,FIND("-",CH869,FIND("-",CH869)+1)+1)-FIND("-",CH869,FIND("-",CH869)+1)-1))),""))</f>
        <v/>
      </c>
    </row>
    <row r="870">
      <c r="CH870">
        <f>IF(ISTEXT('월 가계부'!A870),SUBSTITUTE(SUBSTITUTE(SUBSTITUTE(SUBSTITUTE(SUBSTITUTE(SUBSTITUTE(SUBSTITUTE(SUBSTITUTE(SUBSTITUTE(TRIM('월 가계부'!A870),"년","-"),"월","-"),"일",""),".","-"),"/","-")," ","-"),"--","-"),"--","-"),"--","-")&amp;"-","")</f>
        <v/>
      </c>
      <c r="CI870">
        <f>IFERROR(IF('월 가계부'!A870="","",IF(ISNUMBER('월 가계부'!A870),IF(AND('월 가계부'!A870&gt;=19000101,'월 가계부'!A870&lt;=21001231),IF(AND(MOD(INT('월 가계부'!A870/100),100)&gt;=1,MOD(INT('월 가계부'!A870/100),100)&lt;=12,MOD(INT('월 가계부'!A870),100)&gt;=1,MOD(INT('월 가계부'!A870),100)&lt;=31),IF(MONTH(DATE(INT('월 가계부'!A870/10000),MOD(INT('월 가계부'!A870/100),100),MOD(INT('월 가계부'!A870),100)))=MOD(INT('월 가계부'!A870/100),100),DATE(INT('월 가계부'!A870/10000),MOD(INT('월 가계부'!A870/100),100),MOD(INT('월 가계부'!A870),100)),""),""),IF(AND('월 가계부'!A870&gt;=36526,'월 가계부'!A870&lt;73051),INT('월 가계부'!A870),"")),IF(OR(CM870="",CN870="",CO870=""),"",IF(AND(CM870&gt;=2000,CM870&lt;=2099,CN870&gt;=1,CN870&lt;=12,CO870&gt;=1,CO870&lt;=31),IF(MONTH(DATE(CM870,CN870,CO870))=CN870,DATE(CM870,CN870,CO870),""),"")))),"")</f>
        <v/>
      </c>
      <c r="CJ870">
        <f>IFERROR(IF('월 가계부'!C870="","",IF(ISNUMBER('월 가계부'!C870),'월 가계부'!C870,VALUE(SUBSTITUTE(SUBSTITUTE(SUBSTITUTE(SUBSTITUTE(TRIM('월 가계부'!C870),",",""),"원","")," ",""),"−","-")))),"")</f>
        <v/>
      </c>
      <c r="CK870">
        <f>IF(ISNUMBER(CI870),IF(CI870&lt;$B$13,CI870,""),"")</f>
        <v/>
      </c>
      <c r="CM870">
        <f>IF(CH870="","",IFERROR(IF(IF(AND(LEN(CH870)=9,ISERROR(FIND("-",LEFT(CH870,8))),ISNUMBER(-LEFT(CH870,8))),VALUE(LEFT(CH870,4)),VALUE(LEFT(CH870,FIND("-",CH870)-1)))&lt;100,IF(AND(LEN(CH870)=9,ISERROR(FIND("-",LEFT(CH870,8))),ISNUMBER(-LEFT(CH870,8))),VALUE(LEFT(CH870,4)),VALUE(LEFT(CH870,FIND("-",CH870)-1)))+2000,IF(AND(LEN(CH870)=9,ISERROR(FIND("-",LEFT(CH870,8))),ISNUMBER(-LEFT(CH870,8))),VALUE(LEFT(CH870,4)),VALUE(LEFT(CH870,FIND("-",CH870)-1)))),""))</f>
        <v/>
      </c>
      <c r="CN870">
        <f>IF(CH870="","",IFERROR(IF(AND(LEN(CH870)=9,ISERROR(FIND("-",LEFT(CH870,8))),ISNUMBER(-LEFT(CH870,8))),VALUE(MID(CH870,5,2)),VALUE(MID(CH870,FIND("-",CH870)+1,FIND("-",CH870,FIND("-",CH870)+1)-FIND("-",CH870)-1))),""))</f>
        <v/>
      </c>
      <c r="CO870">
        <f>IF(CH870="","",IFERROR(IF(AND(LEN(CH870)=9,ISERROR(FIND("-",LEFT(CH870,8))),ISNUMBER(-LEFT(CH870,8))),VALUE(MID(CH870,7,2)),VALUE(MID(CH870,FIND("-",CH870,FIND("-",CH870)+1)+1,FIND("-",CH870,FIND("-",CH870,FIND("-",CH870)+1)+1)-FIND("-",CH870,FIND("-",CH870)+1)-1))),""))</f>
        <v/>
      </c>
    </row>
    <row r="871">
      <c r="CH871">
        <f>IF(ISTEXT('월 가계부'!A871),SUBSTITUTE(SUBSTITUTE(SUBSTITUTE(SUBSTITUTE(SUBSTITUTE(SUBSTITUTE(SUBSTITUTE(SUBSTITUTE(SUBSTITUTE(TRIM('월 가계부'!A871),"년","-"),"월","-"),"일",""),".","-"),"/","-")," ","-"),"--","-"),"--","-"),"--","-")&amp;"-","")</f>
        <v/>
      </c>
      <c r="CI871">
        <f>IFERROR(IF('월 가계부'!A871="","",IF(ISNUMBER('월 가계부'!A871),IF(AND('월 가계부'!A871&gt;=19000101,'월 가계부'!A871&lt;=21001231),IF(AND(MOD(INT('월 가계부'!A871/100),100)&gt;=1,MOD(INT('월 가계부'!A871/100),100)&lt;=12,MOD(INT('월 가계부'!A871),100)&gt;=1,MOD(INT('월 가계부'!A871),100)&lt;=31),IF(MONTH(DATE(INT('월 가계부'!A871/10000),MOD(INT('월 가계부'!A871/100),100),MOD(INT('월 가계부'!A871),100)))=MOD(INT('월 가계부'!A871/100),100),DATE(INT('월 가계부'!A871/10000),MOD(INT('월 가계부'!A871/100),100),MOD(INT('월 가계부'!A871),100)),""),""),IF(AND('월 가계부'!A871&gt;=36526,'월 가계부'!A871&lt;73051),INT('월 가계부'!A871),"")),IF(OR(CM871="",CN871="",CO871=""),"",IF(AND(CM871&gt;=2000,CM871&lt;=2099,CN871&gt;=1,CN871&lt;=12,CO871&gt;=1,CO871&lt;=31),IF(MONTH(DATE(CM871,CN871,CO871))=CN871,DATE(CM871,CN871,CO871),""),"")))),"")</f>
        <v/>
      </c>
      <c r="CJ871">
        <f>IFERROR(IF('월 가계부'!C871="","",IF(ISNUMBER('월 가계부'!C871),'월 가계부'!C871,VALUE(SUBSTITUTE(SUBSTITUTE(SUBSTITUTE(SUBSTITUTE(TRIM('월 가계부'!C871),",",""),"원","")," ",""),"−","-")))),"")</f>
        <v/>
      </c>
      <c r="CK871">
        <f>IF(ISNUMBER(CI871),IF(CI871&lt;$B$13,CI871,""),"")</f>
        <v/>
      </c>
      <c r="CM871">
        <f>IF(CH871="","",IFERROR(IF(IF(AND(LEN(CH871)=9,ISERROR(FIND("-",LEFT(CH871,8))),ISNUMBER(-LEFT(CH871,8))),VALUE(LEFT(CH871,4)),VALUE(LEFT(CH871,FIND("-",CH871)-1)))&lt;100,IF(AND(LEN(CH871)=9,ISERROR(FIND("-",LEFT(CH871,8))),ISNUMBER(-LEFT(CH871,8))),VALUE(LEFT(CH871,4)),VALUE(LEFT(CH871,FIND("-",CH871)-1)))+2000,IF(AND(LEN(CH871)=9,ISERROR(FIND("-",LEFT(CH871,8))),ISNUMBER(-LEFT(CH871,8))),VALUE(LEFT(CH871,4)),VALUE(LEFT(CH871,FIND("-",CH871)-1)))),""))</f>
        <v/>
      </c>
      <c r="CN871">
        <f>IF(CH871="","",IFERROR(IF(AND(LEN(CH871)=9,ISERROR(FIND("-",LEFT(CH871,8))),ISNUMBER(-LEFT(CH871,8))),VALUE(MID(CH871,5,2)),VALUE(MID(CH871,FIND("-",CH871)+1,FIND("-",CH871,FIND("-",CH871)+1)-FIND("-",CH871)-1))),""))</f>
        <v/>
      </c>
      <c r="CO871">
        <f>IF(CH871="","",IFERROR(IF(AND(LEN(CH871)=9,ISERROR(FIND("-",LEFT(CH871,8))),ISNUMBER(-LEFT(CH871,8))),VALUE(MID(CH871,7,2)),VALUE(MID(CH871,FIND("-",CH871,FIND("-",CH871)+1)+1,FIND("-",CH871,FIND("-",CH871,FIND("-",CH871)+1)+1)-FIND("-",CH871,FIND("-",CH871)+1)-1))),""))</f>
        <v/>
      </c>
    </row>
    <row r="872">
      <c r="CH872">
        <f>IF(ISTEXT('월 가계부'!A872),SUBSTITUTE(SUBSTITUTE(SUBSTITUTE(SUBSTITUTE(SUBSTITUTE(SUBSTITUTE(SUBSTITUTE(SUBSTITUTE(SUBSTITUTE(TRIM('월 가계부'!A872),"년","-"),"월","-"),"일",""),".","-"),"/","-")," ","-"),"--","-"),"--","-"),"--","-")&amp;"-","")</f>
        <v/>
      </c>
      <c r="CI872">
        <f>IFERROR(IF('월 가계부'!A872="","",IF(ISNUMBER('월 가계부'!A872),IF(AND('월 가계부'!A872&gt;=19000101,'월 가계부'!A872&lt;=21001231),IF(AND(MOD(INT('월 가계부'!A872/100),100)&gt;=1,MOD(INT('월 가계부'!A872/100),100)&lt;=12,MOD(INT('월 가계부'!A872),100)&gt;=1,MOD(INT('월 가계부'!A872),100)&lt;=31),IF(MONTH(DATE(INT('월 가계부'!A872/10000),MOD(INT('월 가계부'!A872/100),100),MOD(INT('월 가계부'!A872),100)))=MOD(INT('월 가계부'!A872/100),100),DATE(INT('월 가계부'!A872/10000),MOD(INT('월 가계부'!A872/100),100),MOD(INT('월 가계부'!A872),100)),""),""),IF(AND('월 가계부'!A872&gt;=36526,'월 가계부'!A872&lt;73051),INT('월 가계부'!A872),"")),IF(OR(CM872="",CN872="",CO872=""),"",IF(AND(CM872&gt;=2000,CM872&lt;=2099,CN872&gt;=1,CN872&lt;=12,CO872&gt;=1,CO872&lt;=31),IF(MONTH(DATE(CM872,CN872,CO872))=CN872,DATE(CM872,CN872,CO872),""),"")))),"")</f>
        <v/>
      </c>
      <c r="CJ872">
        <f>IFERROR(IF('월 가계부'!C872="","",IF(ISNUMBER('월 가계부'!C872),'월 가계부'!C872,VALUE(SUBSTITUTE(SUBSTITUTE(SUBSTITUTE(SUBSTITUTE(TRIM('월 가계부'!C872),",",""),"원","")," ",""),"−","-")))),"")</f>
        <v/>
      </c>
      <c r="CK872">
        <f>IF(ISNUMBER(CI872),IF(CI872&lt;$B$13,CI872,""),"")</f>
        <v/>
      </c>
      <c r="CM872">
        <f>IF(CH872="","",IFERROR(IF(IF(AND(LEN(CH872)=9,ISERROR(FIND("-",LEFT(CH872,8))),ISNUMBER(-LEFT(CH872,8))),VALUE(LEFT(CH872,4)),VALUE(LEFT(CH872,FIND("-",CH872)-1)))&lt;100,IF(AND(LEN(CH872)=9,ISERROR(FIND("-",LEFT(CH872,8))),ISNUMBER(-LEFT(CH872,8))),VALUE(LEFT(CH872,4)),VALUE(LEFT(CH872,FIND("-",CH872)-1)))+2000,IF(AND(LEN(CH872)=9,ISERROR(FIND("-",LEFT(CH872,8))),ISNUMBER(-LEFT(CH872,8))),VALUE(LEFT(CH872,4)),VALUE(LEFT(CH872,FIND("-",CH872)-1)))),""))</f>
        <v/>
      </c>
      <c r="CN872">
        <f>IF(CH872="","",IFERROR(IF(AND(LEN(CH872)=9,ISERROR(FIND("-",LEFT(CH872,8))),ISNUMBER(-LEFT(CH872,8))),VALUE(MID(CH872,5,2)),VALUE(MID(CH872,FIND("-",CH872)+1,FIND("-",CH872,FIND("-",CH872)+1)-FIND("-",CH872)-1))),""))</f>
        <v/>
      </c>
      <c r="CO872">
        <f>IF(CH872="","",IFERROR(IF(AND(LEN(CH872)=9,ISERROR(FIND("-",LEFT(CH872,8))),ISNUMBER(-LEFT(CH872,8))),VALUE(MID(CH872,7,2)),VALUE(MID(CH872,FIND("-",CH872,FIND("-",CH872)+1)+1,FIND("-",CH872,FIND("-",CH872,FIND("-",CH872)+1)+1)-FIND("-",CH872,FIND("-",CH872)+1)-1))),""))</f>
        <v/>
      </c>
    </row>
    <row r="873">
      <c r="CH873">
        <f>IF(ISTEXT('월 가계부'!A873),SUBSTITUTE(SUBSTITUTE(SUBSTITUTE(SUBSTITUTE(SUBSTITUTE(SUBSTITUTE(SUBSTITUTE(SUBSTITUTE(SUBSTITUTE(TRIM('월 가계부'!A873),"년","-"),"월","-"),"일",""),".","-"),"/","-")," ","-"),"--","-"),"--","-"),"--","-")&amp;"-","")</f>
        <v/>
      </c>
      <c r="CI873">
        <f>IFERROR(IF('월 가계부'!A873="","",IF(ISNUMBER('월 가계부'!A873),IF(AND('월 가계부'!A873&gt;=19000101,'월 가계부'!A873&lt;=21001231),IF(AND(MOD(INT('월 가계부'!A873/100),100)&gt;=1,MOD(INT('월 가계부'!A873/100),100)&lt;=12,MOD(INT('월 가계부'!A873),100)&gt;=1,MOD(INT('월 가계부'!A873),100)&lt;=31),IF(MONTH(DATE(INT('월 가계부'!A873/10000),MOD(INT('월 가계부'!A873/100),100),MOD(INT('월 가계부'!A873),100)))=MOD(INT('월 가계부'!A873/100),100),DATE(INT('월 가계부'!A873/10000),MOD(INT('월 가계부'!A873/100),100),MOD(INT('월 가계부'!A873),100)),""),""),IF(AND('월 가계부'!A873&gt;=36526,'월 가계부'!A873&lt;73051),INT('월 가계부'!A873),"")),IF(OR(CM873="",CN873="",CO873=""),"",IF(AND(CM873&gt;=2000,CM873&lt;=2099,CN873&gt;=1,CN873&lt;=12,CO873&gt;=1,CO873&lt;=31),IF(MONTH(DATE(CM873,CN873,CO873))=CN873,DATE(CM873,CN873,CO873),""),"")))),"")</f>
        <v/>
      </c>
      <c r="CJ873">
        <f>IFERROR(IF('월 가계부'!C873="","",IF(ISNUMBER('월 가계부'!C873),'월 가계부'!C873,VALUE(SUBSTITUTE(SUBSTITUTE(SUBSTITUTE(SUBSTITUTE(TRIM('월 가계부'!C873),",",""),"원","")," ",""),"−","-")))),"")</f>
        <v/>
      </c>
      <c r="CK873">
        <f>IF(ISNUMBER(CI873),IF(CI873&lt;$B$13,CI873,""),"")</f>
        <v/>
      </c>
      <c r="CM873">
        <f>IF(CH873="","",IFERROR(IF(IF(AND(LEN(CH873)=9,ISERROR(FIND("-",LEFT(CH873,8))),ISNUMBER(-LEFT(CH873,8))),VALUE(LEFT(CH873,4)),VALUE(LEFT(CH873,FIND("-",CH873)-1)))&lt;100,IF(AND(LEN(CH873)=9,ISERROR(FIND("-",LEFT(CH873,8))),ISNUMBER(-LEFT(CH873,8))),VALUE(LEFT(CH873,4)),VALUE(LEFT(CH873,FIND("-",CH873)-1)))+2000,IF(AND(LEN(CH873)=9,ISERROR(FIND("-",LEFT(CH873,8))),ISNUMBER(-LEFT(CH873,8))),VALUE(LEFT(CH873,4)),VALUE(LEFT(CH873,FIND("-",CH873)-1)))),""))</f>
        <v/>
      </c>
      <c r="CN873">
        <f>IF(CH873="","",IFERROR(IF(AND(LEN(CH873)=9,ISERROR(FIND("-",LEFT(CH873,8))),ISNUMBER(-LEFT(CH873,8))),VALUE(MID(CH873,5,2)),VALUE(MID(CH873,FIND("-",CH873)+1,FIND("-",CH873,FIND("-",CH873)+1)-FIND("-",CH873)-1))),""))</f>
        <v/>
      </c>
      <c r="CO873">
        <f>IF(CH873="","",IFERROR(IF(AND(LEN(CH873)=9,ISERROR(FIND("-",LEFT(CH873,8))),ISNUMBER(-LEFT(CH873,8))),VALUE(MID(CH873,7,2)),VALUE(MID(CH873,FIND("-",CH873,FIND("-",CH873)+1)+1,FIND("-",CH873,FIND("-",CH873,FIND("-",CH873)+1)+1)-FIND("-",CH873,FIND("-",CH873)+1)-1))),""))</f>
        <v/>
      </c>
    </row>
    <row r="874">
      <c r="CH874">
        <f>IF(ISTEXT('월 가계부'!A874),SUBSTITUTE(SUBSTITUTE(SUBSTITUTE(SUBSTITUTE(SUBSTITUTE(SUBSTITUTE(SUBSTITUTE(SUBSTITUTE(SUBSTITUTE(TRIM('월 가계부'!A874),"년","-"),"월","-"),"일",""),".","-"),"/","-")," ","-"),"--","-"),"--","-"),"--","-")&amp;"-","")</f>
        <v/>
      </c>
      <c r="CI874">
        <f>IFERROR(IF('월 가계부'!A874="","",IF(ISNUMBER('월 가계부'!A874),IF(AND('월 가계부'!A874&gt;=19000101,'월 가계부'!A874&lt;=21001231),IF(AND(MOD(INT('월 가계부'!A874/100),100)&gt;=1,MOD(INT('월 가계부'!A874/100),100)&lt;=12,MOD(INT('월 가계부'!A874),100)&gt;=1,MOD(INT('월 가계부'!A874),100)&lt;=31),IF(MONTH(DATE(INT('월 가계부'!A874/10000),MOD(INT('월 가계부'!A874/100),100),MOD(INT('월 가계부'!A874),100)))=MOD(INT('월 가계부'!A874/100),100),DATE(INT('월 가계부'!A874/10000),MOD(INT('월 가계부'!A874/100),100),MOD(INT('월 가계부'!A874),100)),""),""),IF(AND('월 가계부'!A874&gt;=36526,'월 가계부'!A874&lt;73051),INT('월 가계부'!A874),"")),IF(OR(CM874="",CN874="",CO874=""),"",IF(AND(CM874&gt;=2000,CM874&lt;=2099,CN874&gt;=1,CN874&lt;=12,CO874&gt;=1,CO874&lt;=31),IF(MONTH(DATE(CM874,CN874,CO874))=CN874,DATE(CM874,CN874,CO874),""),"")))),"")</f>
        <v/>
      </c>
      <c r="CJ874">
        <f>IFERROR(IF('월 가계부'!C874="","",IF(ISNUMBER('월 가계부'!C874),'월 가계부'!C874,VALUE(SUBSTITUTE(SUBSTITUTE(SUBSTITUTE(SUBSTITUTE(TRIM('월 가계부'!C874),",",""),"원","")," ",""),"−","-")))),"")</f>
        <v/>
      </c>
      <c r="CK874">
        <f>IF(ISNUMBER(CI874),IF(CI874&lt;$B$13,CI874,""),"")</f>
        <v/>
      </c>
      <c r="CM874">
        <f>IF(CH874="","",IFERROR(IF(IF(AND(LEN(CH874)=9,ISERROR(FIND("-",LEFT(CH874,8))),ISNUMBER(-LEFT(CH874,8))),VALUE(LEFT(CH874,4)),VALUE(LEFT(CH874,FIND("-",CH874)-1)))&lt;100,IF(AND(LEN(CH874)=9,ISERROR(FIND("-",LEFT(CH874,8))),ISNUMBER(-LEFT(CH874,8))),VALUE(LEFT(CH874,4)),VALUE(LEFT(CH874,FIND("-",CH874)-1)))+2000,IF(AND(LEN(CH874)=9,ISERROR(FIND("-",LEFT(CH874,8))),ISNUMBER(-LEFT(CH874,8))),VALUE(LEFT(CH874,4)),VALUE(LEFT(CH874,FIND("-",CH874)-1)))),""))</f>
        <v/>
      </c>
      <c r="CN874">
        <f>IF(CH874="","",IFERROR(IF(AND(LEN(CH874)=9,ISERROR(FIND("-",LEFT(CH874,8))),ISNUMBER(-LEFT(CH874,8))),VALUE(MID(CH874,5,2)),VALUE(MID(CH874,FIND("-",CH874)+1,FIND("-",CH874,FIND("-",CH874)+1)-FIND("-",CH874)-1))),""))</f>
        <v/>
      </c>
      <c r="CO874">
        <f>IF(CH874="","",IFERROR(IF(AND(LEN(CH874)=9,ISERROR(FIND("-",LEFT(CH874,8))),ISNUMBER(-LEFT(CH874,8))),VALUE(MID(CH874,7,2)),VALUE(MID(CH874,FIND("-",CH874,FIND("-",CH874)+1)+1,FIND("-",CH874,FIND("-",CH874,FIND("-",CH874)+1)+1)-FIND("-",CH874,FIND("-",CH874)+1)-1))),""))</f>
        <v/>
      </c>
    </row>
    <row r="875">
      <c r="CH875">
        <f>IF(ISTEXT('월 가계부'!A875),SUBSTITUTE(SUBSTITUTE(SUBSTITUTE(SUBSTITUTE(SUBSTITUTE(SUBSTITUTE(SUBSTITUTE(SUBSTITUTE(SUBSTITUTE(TRIM('월 가계부'!A875),"년","-"),"월","-"),"일",""),".","-"),"/","-")," ","-"),"--","-"),"--","-"),"--","-")&amp;"-","")</f>
        <v/>
      </c>
      <c r="CI875">
        <f>IFERROR(IF('월 가계부'!A875="","",IF(ISNUMBER('월 가계부'!A875),IF(AND('월 가계부'!A875&gt;=19000101,'월 가계부'!A875&lt;=21001231),IF(AND(MOD(INT('월 가계부'!A875/100),100)&gt;=1,MOD(INT('월 가계부'!A875/100),100)&lt;=12,MOD(INT('월 가계부'!A875),100)&gt;=1,MOD(INT('월 가계부'!A875),100)&lt;=31),IF(MONTH(DATE(INT('월 가계부'!A875/10000),MOD(INT('월 가계부'!A875/100),100),MOD(INT('월 가계부'!A875),100)))=MOD(INT('월 가계부'!A875/100),100),DATE(INT('월 가계부'!A875/10000),MOD(INT('월 가계부'!A875/100),100),MOD(INT('월 가계부'!A875),100)),""),""),IF(AND('월 가계부'!A875&gt;=36526,'월 가계부'!A875&lt;73051),INT('월 가계부'!A875),"")),IF(OR(CM875="",CN875="",CO875=""),"",IF(AND(CM875&gt;=2000,CM875&lt;=2099,CN875&gt;=1,CN875&lt;=12,CO875&gt;=1,CO875&lt;=31),IF(MONTH(DATE(CM875,CN875,CO875))=CN875,DATE(CM875,CN875,CO875),""),"")))),"")</f>
        <v/>
      </c>
      <c r="CJ875">
        <f>IFERROR(IF('월 가계부'!C875="","",IF(ISNUMBER('월 가계부'!C875),'월 가계부'!C875,VALUE(SUBSTITUTE(SUBSTITUTE(SUBSTITUTE(SUBSTITUTE(TRIM('월 가계부'!C875),",",""),"원","")," ",""),"−","-")))),"")</f>
        <v/>
      </c>
      <c r="CK875">
        <f>IF(ISNUMBER(CI875),IF(CI875&lt;$B$13,CI875,""),"")</f>
        <v/>
      </c>
      <c r="CM875">
        <f>IF(CH875="","",IFERROR(IF(IF(AND(LEN(CH875)=9,ISERROR(FIND("-",LEFT(CH875,8))),ISNUMBER(-LEFT(CH875,8))),VALUE(LEFT(CH875,4)),VALUE(LEFT(CH875,FIND("-",CH875)-1)))&lt;100,IF(AND(LEN(CH875)=9,ISERROR(FIND("-",LEFT(CH875,8))),ISNUMBER(-LEFT(CH875,8))),VALUE(LEFT(CH875,4)),VALUE(LEFT(CH875,FIND("-",CH875)-1)))+2000,IF(AND(LEN(CH875)=9,ISERROR(FIND("-",LEFT(CH875,8))),ISNUMBER(-LEFT(CH875,8))),VALUE(LEFT(CH875,4)),VALUE(LEFT(CH875,FIND("-",CH875)-1)))),""))</f>
        <v/>
      </c>
      <c r="CN875">
        <f>IF(CH875="","",IFERROR(IF(AND(LEN(CH875)=9,ISERROR(FIND("-",LEFT(CH875,8))),ISNUMBER(-LEFT(CH875,8))),VALUE(MID(CH875,5,2)),VALUE(MID(CH875,FIND("-",CH875)+1,FIND("-",CH875,FIND("-",CH875)+1)-FIND("-",CH875)-1))),""))</f>
        <v/>
      </c>
      <c r="CO875">
        <f>IF(CH875="","",IFERROR(IF(AND(LEN(CH875)=9,ISERROR(FIND("-",LEFT(CH875,8))),ISNUMBER(-LEFT(CH875,8))),VALUE(MID(CH875,7,2)),VALUE(MID(CH875,FIND("-",CH875,FIND("-",CH875)+1)+1,FIND("-",CH875,FIND("-",CH875,FIND("-",CH875)+1)+1)-FIND("-",CH875,FIND("-",CH875)+1)-1))),""))</f>
        <v/>
      </c>
    </row>
    <row r="876">
      <c r="CH876">
        <f>IF(ISTEXT('월 가계부'!A876),SUBSTITUTE(SUBSTITUTE(SUBSTITUTE(SUBSTITUTE(SUBSTITUTE(SUBSTITUTE(SUBSTITUTE(SUBSTITUTE(SUBSTITUTE(TRIM('월 가계부'!A876),"년","-"),"월","-"),"일",""),".","-"),"/","-")," ","-"),"--","-"),"--","-"),"--","-")&amp;"-","")</f>
        <v/>
      </c>
      <c r="CI876">
        <f>IFERROR(IF('월 가계부'!A876="","",IF(ISNUMBER('월 가계부'!A876),IF(AND('월 가계부'!A876&gt;=19000101,'월 가계부'!A876&lt;=21001231),IF(AND(MOD(INT('월 가계부'!A876/100),100)&gt;=1,MOD(INT('월 가계부'!A876/100),100)&lt;=12,MOD(INT('월 가계부'!A876),100)&gt;=1,MOD(INT('월 가계부'!A876),100)&lt;=31),IF(MONTH(DATE(INT('월 가계부'!A876/10000),MOD(INT('월 가계부'!A876/100),100),MOD(INT('월 가계부'!A876),100)))=MOD(INT('월 가계부'!A876/100),100),DATE(INT('월 가계부'!A876/10000),MOD(INT('월 가계부'!A876/100),100),MOD(INT('월 가계부'!A876),100)),""),""),IF(AND('월 가계부'!A876&gt;=36526,'월 가계부'!A876&lt;73051),INT('월 가계부'!A876),"")),IF(OR(CM876="",CN876="",CO876=""),"",IF(AND(CM876&gt;=2000,CM876&lt;=2099,CN876&gt;=1,CN876&lt;=12,CO876&gt;=1,CO876&lt;=31),IF(MONTH(DATE(CM876,CN876,CO876))=CN876,DATE(CM876,CN876,CO876),""),"")))),"")</f>
        <v/>
      </c>
      <c r="CJ876">
        <f>IFERROR(IF('월 가계부'!C876="","",IF(ISNUMBER('월 가계부'!C876),'월 가계부'!C876,VALUE(SUBSTITUTE(SUBSTITUTE(SUBSTITUTE(SUBSTITUTE(TRIM('월 가계부'!C876),",",""),"원","")," ",""),"−","-")))),"")</f>
        <v/>
      </c>
      <c r="CK876">
        <f>IF(ISNUMBER(CI876),IF(CI876&lt;$B$13,CI876,""),"")</f>
        <v/>
      </c>
      <c r="CM876">
        <f>IF(CH876="","",IFERROR(IF(IF(AND(LEN(CH876)=9,ISERROR(FIND("-",LEFT(CH876,8))),ISNUMBER(-LEFT(CH876,8))),VALUE(LEFT(CH876,4)),VALUE(LEFT(CH876,FIND("-",CH876)-1)))&lt;100,IF(AND(LEN(CH876)=9,ISERROR(FIND("-",LEFT(CH876,8))),ISNUMBER(-LEFT(CH876,8))),VALUE(LEFT(CH876,4)),VALUE(LEFT(CH876,FIND("-",CH876)-1)))+2000,IF(AND(LEN(CH876)=9,ISERROR(FIND("-",LEFT(CH876,8))),ISNUMBER(-LEFT(CH876,8))),VALUE(LEFT(CH876,4)),VALUE(LEFT(CH876,FIND("-",CH876)-1)))),""))</f>
        <v/>
      </c>
      <c r="CN876">
        <f>IF(CH876="","",IFERROR(IF(AND(LEN(CH876)=9,ISERROR(FIND("-",LEFT(CH876,8))),ISNUMBER(-LEFT(CH876,8))),VALUE(MID(CH876,5,2)),VALUE(MID(CH876,FIND("-",CH876)+1,FIND("-",CH876,FIND("-",CH876)+1)-FIND("-",CH876)-1))),""))</f>
        <v/>
      </c>
      <c r="CO876">
        <f>IF(CH876="","",IFERROR(IF(AND(LEN(CH876)=9,ISERROR(FIND("-",LEFT(CH876,8))),ISNUMBER(-LEFT(CH876,8))),VALUE(MID(CH876,7,2)),VALUE(MID(CH876,FIND("-",CH876,FIND("-",CH876)+1)+1,FIND("-",CH876,FIND("-",CH876,FIND("-",CH876)+1)+1)-FIND("-",CH876,FIND("-",CH876)+1)-1))),""))</f>
        <v/>
      </c>
    </row>
    <row r="877">
      <c r="CH877">
        <f>IF(ISTEXT('월 가계부'!A877),SUBSTITUTE(SUBSTITUTE(SUBSTITUTE(SUBSTITUTE(SUBSTITUTE(SUBSTITUTE(SUBSTITUTE(SUBSTITUTE(SUBSTITUTE(TRIM('월 가계부'!A877),"년","-"),"월","-"),"일",""),".","-"),"/","-")," ","-"),"--","-"),"--","-"),"--","-")&amp;"-","")</f>
        <v/>
      </c>
      <c r="CI877">
        <f>IFERROR(IF('월 가계부'!A877="","",IF(ISNUMBER('월 가계부'!A877),IF(AND('월 가계부'!A877&gt;=19000101,'월 가계부'!A877&lt;=21001231),IF(AND(MOD(INT('월 가계부'!A877/100),100)&gt;=1,MOD(INT('월 가계부'!A877/100),100)&lt;=12,MOD(INT('월 가계부'!A877),100)&gt;=1,MOD(INT('월 가계부'!A877),100)&lt;=31),IF(MONTH(DATE(INT('월 가계부'!A877/10000),MOD(INT('월 가계부'!A877/100),100),MOD(INT('월 가계부'!A877),100)))=MOD(INT('월 가계부'!A877/100),100),DATE(INT('월 가계부'!A877/10000),MOD(INT('월 가계부'!A877/100),100),MOD(INT('월 가계부'!A877),100)),""),""),IF(AND('월 가계부'!A877&gt;=36526,'월 가계부'!A877&lt;73051),INT('월 가계부'!A877),"")),IF(OR(CM877="",CN877="",CO877=""),"",IF(AND(CM877&gt;=2000,CM877&lt;=2099,CN877&gt;=1,CN877&lt;=12,CO877&gt;=1,CO877&lt;=31),IF(MONTH(DATE(CM877,CN877,CO877))=CN877,DATE(CM877,CN877,CO877),""),"")))),"")</f>
        <v/>
      </c>
      <c r="CJ877">
        <f>IFERROR(IF('월 가계부'!C877="","",IF(ISNUMBER('월 가계부'!C877),'월 가계부'!C877,VALUE(SUBSTITUTE(SUBSTITUTE(SUBSTITUTE(SUBSTITUTE(TRIM('월 가계부'!C877),",",""),"원","")," ",""),"−","-")))),"")</f>
        <v/>
      </c>
      <c r="CK877">
        <f>IF(ISNUMBER(CI877),IF(CI877&lt;$B$13,CI877,""),"")</f>
        <v/>
      </c>
      <c r="CM877">
        <f>IF(CH877="","",IFERROR(IF(IF(AND(LEN(CH877)=9,ISERROR(FIND("-",LEFT(CH877,8))),ISNUMBER(-LEFT(CH877,8))),VALUE(LEFT(CH877,4)),VALUE(LEFT(CH877,FIND("-",CH877)-1)))&lt;100,IF(AND(LEN(CH877)=9,ISERROR(FIND("-",LEFT(CH877,8))),ISNUMBER(-LEFT(CH877,8))),VALUE(LEFT(CH877,4)),VALUE(LEFT(CH877,FIND("-",CH877)-1)))+2000,IF(AND(LEN(CH877)=9,ISERROR(FIND("-",LEFT(CH877,8))),ISNUMBER(-LEFT(CH877,8))),VALUE(LEFT(CH877,4)),VALUE(LEFT(CH877,FIND("-",CH877)-1)))),""))</f>
        <v/>
      </c>
      <c r="CN877">
        <f>IF(CH877="","",IFERROR(IF(AND(LEN(CH877)=9,ISERROR(FIND("-",LEFT(CH877,8))),ISNUMBER(-LEFT(CH877,8))),VALUE(MID(CH877,5,2)),VALUE(MID(CH877,FIND("-",CH877)+1,FIND("-",CH877,FIND("-",CH877)+1)-FIND("-",CH877)-1))),""))</f>
        <v/>
      </c>
      <c r="CO877">
        <f>IF(CH877="","",IFERROR(IF(AND(LEN(CH877)=9,ISERROR(FIND("-",LEFT(CH877,8))),ISNUMBER(-LEFT(CH877,8))),VALUE(MID(CH877,7,2)),VALUE(MID(CH877,FIND("-",CH877,FIND("-",CH877)+1)+1,FIND("-",CH877,FIND("-",CH877,FIND("-",CH877)+1)+1)-FIND("-",CH877,FIND("-",CH877)+1)-1))),""))</f>
        <v/>
      </c>
    </row>
    <row r="878">
      <c r="CH878">
        <f>IF(ISTEXT('월 가계부'!A878),SUBSTITUTE(SUBSTITUTE(SUBSTITUTE(SUBSTITUTE(SUBSTITUTE(SUBSTITUTE(SUBSTITUTE(SUBSTITUTE(SUBSTITUTE(TRIM('월 가계부'!A878),"년","-"),"월","-"),"일",""),".","-"),"/","-")," ","-"),"--","-"),"--","-"),"--","-")&amp;"-","")</f>
        <v/>
      </c>
      <c r="CI878">
        <f>IFERROR(IF('월 가계부'!A878="","",IF(ISNUMBER('월 가계부'!A878),IF(AND('월 가계부'!A878&gt;=19000101,'월 가계부'!A878&lt;=21001231),IF(AND(MOD(INT('월 가계부'!A878/100),100)&gt;=1,MOD(INT('월 가계부'!A878/100),100)&lt;=12,MOD(INT('월 가계부'!A878),100)&gt;=1,MOD(INT('월 가계부'!A878),100)&lt;=31),IF(MONTH(DATE(INT('월 가계부'!A878/10000),MOD(INT('월 가계부'!A878/100),100),MOD(INT('월 가계부'!A878),100)))=MOD(INT('월 가계부'!A878/100),100),DATE(INT('월 가계부'!A878/10000),MOD(INT('월 가계부'!A878/100),100),MOD(INT('월 가계부'!A878),100)),""),""),IF(AND('월 가계부'!A878&gt;=36526,'월 가계부'!A878&lt;73051),INT('월 가계부'!A878),"")),IF(OR(CM878="",CN878="",CO878=""),"",IF(AND(CM878&gt;=2000,CM878&lt;=2099,CN878&gt;=1,CN878&lt;=12,CO878&gt;=1,CO878&lt;=31),IF(MONTH(DATE(CM878,CN878,CO878))=CN878,DATE(CM878,CN878,CO878),""),"")))),"")</f>
        <v/>
      </c>
      <c r="CJ878">
        <f>IFERROR(IF('월 가계부'!C878="","",IF(ISNUMBER('월 가계부'!C878),'월 가계부'!C878,VALUE(SUBSTITUTE(SUBSTITUTE(SUBSTITUTE(SUBSTITUTE(TRIM('월 가계부'!C878),",",""),"원","")," ",""),"−","-")))),"")</f>
        <v/>
      </c>
      <c r="CK878">
        <f>IF(ISNUMBER(CI878),IF(CI878&lt;$B$13,CI878,""),"")</f>
        <v/>
      </c>
      <c r="CM878">
        <f>IF(CH878="","",IFERROR(IF(IF(AND(LEN(CH878)=9,ISERROR(FIND("-",LEFT(CH878,8))),ISNUMBER(-LEFT(CH878,8))),VALUE(LEFT(CH878,4)),VALUE(LEFT(CH878,FIND("-",CH878)-1)))&lt;100,IF(AND(LEN(CH878)=9,ISERROR(FIND("-",LEFT(CH878,8))),ISNUMBER(-LEFT(CH878,8))),VALUE(LEFT(CH878,4)),VALUE(LEFT(CH878,FIND("-",CH878)-1)))+2000,IF(AND(LEN(CH878)=9,ISERROR(FIND("-",LEFT(CH878,8))),ISNUMBER(-LEFT(CH878,8))),VALUE(LEFT(CH878,4)),VALUE(LEFT(CH878,FIND("-",CH878)-1)))),""))</f>
        <v/>
      </c>
      <c r="CN878">
        <f>IF(CH878="","",IFERROR(IF(AND(LEN(CH878)=9,ISERROR(FIND("-",LEFT(CH878,8))),ISNUMBER(-LEFT(CH878,8))),VALUE(MID(CH878,5,2)),VALUE(MID(CH878,FIND("-",CH878)+1,FIND("-",CH878,FIND("-",CH878)+1)-FIND("-",CH878)-1))),""))</f>
        <v/>
      </c>
      <c r="CO878">
        <f>IF(CH878="","",IFERROR(IF(AND(LEN(CH878)=9,ISERROR(FIND("-",LEFT(CH878,8))),ISNUMBER(-LEFT(CH878,8))),VALUE(MID(CH878,7,2)),VALUE(MID(CH878,FIND("-",CH878,FIND("-",CH878)+1)+1,FIND("-",CH878,FIND("-",CH878,FIND("-",CH878)+1)+1)-FIND("-",CH878,FIND("-",CH878)+1)-1))),""))</f>
        <v/>
      </c>
    </row>
    <row r="879">
      <c r="CH879">
        <f>IF(ISTEXT('월 가계부'!A879),SUBSTITUTE(SUBSTITUTE(SUBSTITUTE(SUBSTITUTE(SUBSTITUTE(SUBSTITUTE(SUBSTITUTE(SUBSTITUTE(SUBSTITUTE(TRIM('월 가계부'!A879),"년","-"),"월","-"),"일",""),".","-"),"/","-")," ","-"),"--","-"),"--","-"),"--","-")&amp;"-","")</f>
        <v/>
      </c>
      <c r="CI879">
        <f>IFERROR(IF('월 가계부'!A879="","",IF(ISNUMBER('월 가계부'!A879),IF(AND('월 가계부'!A879&gt;=19000101,'월 가계부'!A879&lt;=21001231),IF(AND(MOD(INT('월 가계부'!A879/100),100)&gt;=1,MOD(INT('월 가계부'!A879/100),100)&lt;=12,MOD(INT('월 가계부'!A879),100)&gt;=1,MOD(INT('월 가계부'!A879),100)&lt;=31),IF(MONTH(DATE(INT('월 가계부'!A879/10000),MOD(INT('월 가계부'!A879/100),100),MOD(INT('월 가계부'!A879),100)))=MOD(INT('월 가계부'!A879/100),100),DATE(INT('월 가계부'!A879/10000),MOD(INT('월 가계부'!A879/100),100),MOD(INT('월 가계부'!A879),100)),""),""),IF(AND('월 가계부'!A879&gt;=36526,'월 가계부'!A879&lt;73051),INT('월 가계부'!A879),"")),IF(OR(CM879="",CN879="",CO879=""),"",IF(AND(CM879&gt;=2000,CM879&lt;=2099,CN879&gt;=1,CN879&lt;=12,CO879&gt;=1,CO879&lt;=31),IF(MONTH(DATE(CM879,CN879,CO879))=CN879,DATE(CM879,CN879,CO879),""),"")))),"")</f>
        <v/>
      </c>
      <c r="CJ879">
        <f>IFERROR(IF('월 가계부'!C879="","",IF(ISNUMBER('월 가계부'!C879),'월 가계부'!C879,VALUE(SUBSTITUTE(SUBSTITUTE(SUBSTITUTE(SUBSTITUTE(TRIM('월 가계부'!C879),",",""),"원","")," ",""),"−","-")))),"")</f>
        <v/>
      </c>
      <c r="CK879">
        <f>IF(ISNUMBER(CI879),IF(CI879&lt;$B$13,CI879,""),"")</f>
        <v/>
      </c>
      <c r="CM879">
        <f>IF(CH879="","",IFERROR(IF(IF(AND(LEN(CH879)=9,ISERROR(FIND("-",LEFT(CH879,8))),ISNUMBER(-LEFT(CH879,8))),VALUE(LEFT(CH879,4)),VALUE(LEFT(CH879,FIND("-",CH879)-1)))&lt;100,IF(AND(LEN(CH879)=9,ISERROR(FIND("-",LEFT(CH879,8))),ISNUMBER(-LEFT(CH879,8))),VALUE(LEFT(CH879,4)),VALUE(LEFT(CH879,FIND("-",CH879)-1)))+2000,IF(AND(LEN(CH879)=9,ISERROR(FIND("-",LEFT(CH879,8))),ISNUMBER(-LEFT(CH879,8))),VALUE(LEFT(CH879,4)),VALUE(LEFT(CH879,FIND("-",CH879)-1)))),""))</f>
        <v/>
      </c>
      <c r="CN879">
        <f>IF(CH879="","",IFERROR(IF(AND(LEN(CH879)=9,ISERROR(FIND("-",LEFT(CH879,8))),ISNUMBER(-LEFT(CH879,8))),VALUE(MID(CH879,5,2)),VALUE(MID(CH879,FIND("-",CH879)+1,FIND("-",CH879,FIND("-",CH879)+1)-FIND("-",CH879)-1))),""))</f>
        <v/>
      </c>
      <c r="CO879">
        <f>IF(CH879="","",IFERROR(IF(AND(LEN(CH879)=9,ISERROR(FIND("-",LEFT(CH879,8))),ISNUMBER(-LEFT(CH879,8))),VALUE(MID(CH879,7,2)),VALUE(MID(CH879,FIND("-",CH879,FIND("-",CH879)+1)+1,FIND("-",CH879,FIND("-",CH879,FIND("-",CH879)+1)+1)-FIND("-",CH879,FIND("-",CH879)+1)-1))),""))</f>
        <v/>
      </c>
    </row>
    <row r="880">
      <c r="CH880">
        <f>IF(ISTEXT('월 가계부'!A880),SUBSTITUTE(SUBSTITUTE(SUBSTITUTE(SUBSTITUTE(SUBSTITUTE(SUBSTITUTE(SUBSTITUTE(SUBSTITUTE(SUBSTITUTE(TRIM('월 가계부'!A880),"년","-"),"월","-"),"일",""),".","-"),"/","-")," ","-"),"--","-"),"--","-"),"--","-")&amp;"-","")</f>
        <v/>
      </c>
      <c r="CI880">
        <f>IFERROR(IF('월 가계부'!A880="","",IF(ISNUMBER('월 가계부'!A880),IF(AND('월 가계부'!A880&gt;=19000101,'월 가계부'!A880&lt;=21001231),IF(AND(MOD(INT('월 가계부'!A880/100),100)&gt;=1,MOD(INT('월 가계부'!A880/100),100)&lt;=12,MOD(INT('월 가계부'!A880),100)&gt;=1,MOD(INT('월 가계부'!A880),100)&lt;=31),IF(MONTH(DATE(INT('월 가계부'!A880/10000),MOD(INT('월 가계부'!A880/100),100),MOD(INT('월 가계부'!A880),100)))=MOD(INT('월 가계부'!A880/100),100),DATE(INT('월 가계부'!A880/10000),MOD(INT('월 가계부'!A880/100),100),MOD(INT('월 가계부'!A880),100)),""),""),IF(AND('월 가계부'!A880&gt;=36526,'월 가계부'!A880&lt;73051),INT('월 가계부'!A880),"")),IF(OR(CM880="",CN880="",CO880=""),"",IF(AND(CM880&gt;=2000,CM880&lt;=2099,CN880&gt;=1,CN880&lt;=12,CO880&gt;=1,CO880&lt;=31),IF(MONTH(DATE(CM880,CN880,CO880))=CN880,DATE(CM880,CN880,CO880),""),"")))),"")</f>
        <v/>
      </c>
      <c r="CJ880">
        <f>IFERROR(IF('월 가계부'!C880="","",IF(ISNUMBER('월 가계부'!C880),'월 가계부'!C880,VALUE(SUBSTITUTE(SUBSTITUTE(SUBSTITUTE(SUBSTITUTE(TRIM('월 가계부'!C880),",",""),"원","")," ",""),"−","-")))),"")</f>
        <v/>
      </c>
      <c r="CK880">
        <f>IF(ISNUMBER(CI880),IF(CI880&lt;$B$13,CI880,""),"")</f>
        <v/>
      </c>
      <c r="CM880">
        <f>IF(CH880="","",IFERROR(IF(IF(AND(LEN(CH880)=9,ISERROR(FIND("-",LEFT(CH880,8))),ISNUMBER(-LEFT(CH880,8))),VALUE(LEFT(CH880,4)),VALUE(LEFT(CH880,FIND("-",CH880)-1)))&lt;100,IF(AND(LEN(CH880)=9,ISERROR(FIND("-",LEFT(CH880,8))),ISNUMBER(-LEFT(CH880,8))),VALUE(LEFT(CH880,4)),VALUE(LEFT(CH880,FIND("-",CH880)-1)))+2000,IF(AND(LEN(CH880)=9,ISERROR(FIND("-",LEFT(CH880,8))),ISNUMBER(-LEFT(CH880,8))),VALUE(LEFT(CH880,4)),VALUE(LEFT(CH880,FIND("-",CH880)-1)))),""))</f>
        <v/>
      </c>
      <c r="CN880">
        <f>IF(CH880="","",IFERROR(IF(AND(LEN(CH880)=9,ISERROR(FIND("-",LEFT(CH880,8))),ISNUMBER(-LEFT(CH880,8))),VALUE(MID(CH880,5,2)),VALUE(MID(CH880,FIND("-",CH880)+1,FIND("-",CH880,FIND("-",CH880)+1)-FIND("-",CH880)-1))),""))</f>
        <v/>
      </c>
      <c r="CO880">
        <f>IF(CH880="","",IFERROR(IF(AND(LEN(CH880)=9,ISERROR(FIND("-",LEFT(CH880,8))),ISNUMBER(-LEFT(CH880,8))),VALUE(MID(CH880,7,2)),VALUE(MID(CH880,FIND("-",CH880,FIND("-",CH880)+1)+1,FIND("-",CH880,FIND("-",CH880,FIND("-",CH880)+1)+1)-FIND("-",CH880,FIND("-",CH880)+1)-1))),""))</f>
        <v/>
      </c>
    </row>
    <row r="881">
      <c r="CH881">
        <f>IF(ISTEXT('월 가계부'!A881),SUBSTITUTE(SUBSTITUTE(SUBSTITUTE(SUBSTITUTE(SUBSTITUTE(SUBSTITUTE(SUBSTITUTE(SUBSTITUTE(SUBSTITUTE(TRIM('월 가계부'!A881),"년","-"),"월","-"),"일",""),".","-"),"/","-")," ","-"),"--","-"),"--","-"),"--","-")&amp;"-","")</f>
        <v/>
      </c>
      <c r="CI881">
        <f>IFERROR(IF('월 가계부'!A881="","",IF(ISNUMBER('월 가계부'!A881),IF(AND('월 가계부'!A881&gt;=19000101,'월 가계부'!A881&lt;=21001231),IF(AND(MOD(INT('월 가계부'!A881/100),100)&gt;=1,MOD(INT('월 가계부'!A881/100),100)&lt;=12,MOD(INT('월 가계부'!A881),100)&gt;=1,MOD(INT('월 가계부'!A881),100)&lt;=31),IF(MONTH(DATE(INT('월 가계부'!A881/10000),MOD(INT('월 가계부'!A881/100),100),MOD(INT('월 가계부'!A881),100)))=MOD(INT('월 가계부'!A881/100),100),DATE(INT('월 가계부'!A881/10000),MOD(INT('월 가계부'!A881/100),100),MOD(INT('월 가계부'!A881),100)),""),""),IF(AND('월 가계부'!A881&gt;=36526,'월 가계부'!A881&lt;73051),INT('월 가계부'!A881),"")),IF(OR(CM881="",CN881="",CO881=""),"",IF(AND(CM881&gt;=2000,CM881&lt;=2099,CN881&gt;=1,CN881&lt;=12,CO881&gt;=1,CO881&lt;=31),IF(MONTH(DATE(CM881,CN881,CO881))=CN881,DATE(CM881,CN881,CO881),""),"")))),"")</f>
        <v/>
      </c>
      <c r="CJ881">
        <f>IFERROR(IF('월 가계부'!C881="","",IF(ISNUMBER('월 가계부'!C881),'월 가계부'!C881,VALUE(SUBSTITUTE(SUBSTITUTE(SUBSTITUTE(SUBSTITUTE(TRIM('월 가계부'!C881),",",""),"원","")," ",""),"−","-")))),"")</f>
        <v/>
      </c>
      <c r="CK881">
        <f>IF(ISNUMBER(CI881),IF(CI881&lt;$B$13,CI881,""),"")</f>
        <v/>
      </c>
      <c r="CM881">
        <f>IF(CH881="","",IFERROR(IF(IF(AND(LEN(CH881)=9,ISERROR(FIND("-",LEFT(CH881,8))),ISNUMBER(-LEFT(CH881,8))),VALUE(LEFT(CH881,4)),VALUE(LEFT(CH881,FIND("-",CH881)-1)))&lt;100,IF(AND(LEN(CH881)=9,ISERROR(FIND("-",LEFT(CH881,8))),ISNUMBER(-LEFT(CH881,8))),VALUE(LEFT(CH881,4)),VALUE(LEFT(CH881,FIND("-",CH881)-1)))+2000,IF(AND(LEN(CH881)=9,ISERROR(FIND("-",LEFT(CH881,8))),ISNUMBER(-LEFT(CH881,8))),VALUE(LEFT(CH881,4)),VALUE(LEFT(CH881,FIND("-",CH881)-1)))),""))</f>
        <v/>
      </c>
      <c r="CN881">
        <f>IF(CH881="","",IFERROR(IF(AND(LEN(CH881)=9,ISERROR(FIND("-",LEFT(CH881,8))),ISNUMBER(-LEFT(CH881,8))),VALUE(MID(CH881,5,2)),VALUE(MID(CH881,FIND("-",CH881)+1,FIND("-",CH881,FIND("-",CH881)+1)-FIND("-",CH881)-1))),""))</f>
        <v/>
      </c>
      <c r="CO881">
        <f>IF(CH881="","",IFERROR(IF(AND(LEN(CH881)=9,ISERROR(FIND("-",LEFT(CH881,8))),ISNUMBER(-LEFT(CH881,8))),VALUE(MID(CH881,7,2)),VALUE(MID(CH881,FIND("-",CH881,FIND("-",CH881)+1)+1,FIND("-",CH881,FIND("-",CH881,FIND("-",CH881)+1)+1)-FIND("-",CH881,FIND("-",CH881)+1)-1))),""))</f>
        <v/>
      </c>
    </row>
    <row r="882">
      <c r="CH882">
        <f>IF(ISTEXT('월 가계부'!A882),SUBSTITUTE(SUBSTITUTE(SUBSTITUTE(SUBSTITUTE(SUBSTITUTE(SUBSTITUTE(SUBSTITUTE(SUBSTITUTE(SUBSTITUTE(TRIM('월 가계부'!A882),"년","-"),"월","-"),"일",""),".","-"),"/","-")," ","-"),"--","-"),"--","-"),"--","-")&amp;"-","")</f>
        <v/>
      </c>
      <c r="CI882">
        <f>IFERROR(IF('월 가계부'!A882="","",IF(ISNUMBER('월 가계부'!A882),IF(AND('월 가계부'!A882&gt;=19000101,'월 가계부'!A882&lt;=21001231),IF(AND(MOD(INT('월 가계부'!A882/100),100)&gt;=1,MOD(INT('월 가계부'!A882/100),100)&lt;=12,MOD(INT('월 가계부'!A882),100)&gt;=1,MOD(INT('월 가계부'!A882),100)&lt;=31),IF(MONTH(DATE(INT('월 가계부'!A882/10000),MOD(INT('월 가계부'!A882/100),100),MOD(INT('월 가계부'!A882),100)))=MOD(INT('월 가계부'!A882/100),100),DATE(INT('월 가계부'!A882/10000),MOD(INT('월 가계부'!A882/100),100),MOD(INT('월 가계부'!A882),100)),""),""),IF(AND('월 가계부'!A882&gt;=36526,'월 가계부'!A882&lt;73051),INT('월 가계부'!A882),"")),IF(OR(CM882="",CN882="",CO882=""),"",IF(AND(CM882&gt;=2000,CM882&lt;=2099,CN882&gt;=1,CN882&lt;=12,CO882&gt;=1,CO882&lt;=31),IF(MONTH(DATE(CM882,CN882,CO882))=CN882,DATE(CM882,CN882,CO882),""),"")))),"")</f>
        <v/>
      </c>
      <c r="CJ882">
        <f>IFERROR(IF('월 가계부'!C882="","",IF(ISNUMBER('월 가계부'!C882),'월 가계부'!C882,VALUE(SUBSTITUTE(SUBSTITUTE(SUBSTITUTE(SUBSTITUTE(TRIM('월 가계부'!C882),",",""),"원","")," ",""),"−","-")))),"")</f>
        <v/>
      </c>
      <c r="CK882">
        <f>IF(ISNUMBER(CI882),IF(CI882&lt;$B$13,CI882,""),"")</f>
        <v/>
      </c>
      <c r="CM882">
        <f>IF(CH882="","",IFERROR(IF(IF(AND(LEN(CH882)=9,ISERROR(FIND("-",LEFT(CH882,8))),ISNUMBER(-LEFT(CH882,8))),VALUE(LEFT(CH882,4)),VALUE(LEFT(CH882,FIND("-",CH882)-1)))&lt;100,IF(AND(LEN(CH882)=9,ISERROR(FIND("-",LEFT(CH882,8))),ISNUMBER(-LEFT(CH882,8))),VALUE(LEFT(CH882,4)),VALUE(LEFT(CH882,FIND("-",CH882)-1)))+2000,IF(AND(LEN(CH882)=9,ISERROR(FIND("-",LEFT(CH882,8))),ISNUMBER(-LEFT(CH882,8))),VALUE(LEFT(CH882,4)),VALUE(LEFT(CH882,FIND("-",CH882)-1)))),""))</f>
        <v/>
      </c>
      <c r="CN882">
        <f>IF(CH882="","",IFERROR(IF(AND(LEN(CH882)=9,ISERROR(FIND("-",LEFT(CH882,8))),ISNUMBER(-LEFT(CH882,8))),VALUE(MID(CH882,5,2)),VALUE(MID(CH882,FIND("-",CH882)+1,FIND("-",CH882,FIND("-",CH882)+1)-FIND("-",CH882)-1))),""))</f>
        <v/>
      </c>
      <c r="CO882">
        <f>IF(CH882="","",IFERROR(IF(AND(LEN(CH882)=9,ISERROR(FIND("-",LEFT(CH882,8))),ISNUMBER(-LEFT(CH882,8))),VALUE(MID(CH882,7,2)),VALUE(MID(CH882,FIND("-",CH882,FIND("-",CH882)+1)+1,FIND("-",CH882,FIND("-",CH882,FIND("-",CH882)+1)+1)-FIND("-",CH882,FIND("-",CH882)+1)-1))),""))</f>
        <v/>
      </c>
    </row>
    <row r="883">
      <c r="CH883">
        <f>IF(ISTEXT('월 가계부'!A883),SUBSTITUTE(SUBSTITUTE(SUBSTITUTE(SUBSTITUTE(SUBSTITUTE(SUBSTITUTE(SUBSTITUTE(SUBSTITUTE(SUBSTITUTE(TRIM('월 가계부'!A883),"년","-"),"월","-"),"일",""),".","-"),"/","-")," ","-"),"--","-"),"--","-"),"--","-")&amp;"-","")</f>
        <v/>
      </c>
      <c r="CI883">
        <f>IFERROR(IF('월 가계부'!A883="","",IF(ISNUMBER('월 가계부'!A883),IF(AND('월 가계부'!A883&gt;=19000101,'월 가계부'!A883&lt;=21001231),IF(AND(MOD(INT('월 가계부'!A883/100),100)&gt;=1,MOD(INT('월 가계부'!A883/100),100)&lt;=12,MOD(INT('월 가계부'!A883),100)&gt;=1,MOD(INT('월 가계부'!A883),100)&lt;=31),IF(MONTH(DATE(INT('월 가계부'!A883/10000),MOD(INT('월 가계부'!A883/100),100),MOD(INT('월 가계부'!A883),100)))=MOD(INT('월 가계부'!A883/100),100),DATE(INT('월 가계부'!A883/10000),MOD(INT('월 가계부'!A883/100),100),MOD(INT('월 가계부'!A883),100)),""),""),IF(AND('월 가계부'!A883&gt;=36526,'월 가계부'!A883&lt;73051),INT('월 가계부'!A883),"")),IF(OR(CM883="",CN883="",CO883=""),"",IF(AND(CM883&gt;=2000,CM883&lt;=2099,CN883&gt;=1,CN883&lt;=12,CO883&gt;=1,CO883&lt;=31),IF(MONTH(DATE(CM883,CN883,CO883))=CN883,DATE(CM883,CN883,CO883),""),"")))),"")</f>
        <v/>
      </c>
      <c r="CJ883">
        <f>IFERROR(IF('월 가계부'!C883="","",IF(ISNUMBER('월 가계부'!C883),'월 가계부'!C883,VALUE(SUBSTITUTE(SUBSTITUTE(SUBSTITUTE(SUBSTITUTE(TRIM('월 가계부'!C883),",",""),"원","")," ",""),"−","-")))),"")</f>
        <v/>
      </c>
      <c r="CK883">
        <f>IF(ISNUMBER(CI883),IF(CI883&lt;$B$13,CI883,""),"")</f>
        <v/>
      </c>
      <c r="CM883">
        <f>IF(CH883="","",IFERROR(IF(IF(AND(LEN(CH883)=9,ISERROR(FIND("-",LEFT(CH883,8))),ISNUMBER(-LEFT(CH883,8))),VALUE(LEFT(CH883,4)),VALUE(LEFT(CH883,FIND("-",CH883)-1)))&lt;100,IF(AND(LEN(CH883)=9,ISERROR(FIND("-",LEFT(CH883,8))),ISNUMBER(-LEFT(CH883,8))),VALUE(LEFT(CH883,4)),VALUE(LEFT(CH883,FIND("-",CH883)-1)))+2000,IF(AND(LEN(CH883)=9,ISERROR(FIND("-",LEFT(CH883,8))),ISNUMBER(-LEFT(CH883,8))),VALUE(LEFT(CH883,4)),VALUE(LEFT(CH883,FIND("-",CH883)-1)))),""))</f>
        <v/>
      </c>
      <c r="CN883">
        <f>IF(CH883="","",IFERROR(IF(AND(LEN(CH883)=9,ISERROR(FIND("-",LEFT(CH883,8))),ISNUMBER(-LEFT(CH883,8))),VALUE(MID(CH883,5,2)),VALUE(MID(CH883,FIND("-",CH883)+1,FIND("-",CH883,FIND("-",CH883)+1)-FIND("-",CH883)-1))),""))</f>
        <v/>
      </c>
      <c r="CO883">
        <f>IF(CH883="","",IFERROR(IF(AND(LEN(CH883)=9,ISERROR(FIND("-",LEFT(CH883,8))),ISNUMBER(-LEFT(CH883,8))),VALUE(MID(CH883,7,2)),VALUE(MID(CH883,FIND("-",CH883,FIND("-",CH883)+1)+1,FIND("-",CH883,FIND("-",CH883,FIND("-",CH883)+1)+1)-FIND("-",CH883,FIND("-",CH883)+1)-1))),""))</f>
        <v/>
      </c>
    </row>
    <row r="884">
      <c r="CH884">
        <f>IF(ISTEXT('월 가계부'!A884),SUBSTITUTE(SUBSTITUTE(SUBSTITUTE(SUBSTITUTE(SUBSTITUTE(SUBSTITUTE(SUBSTITUTE(SUBSTITUTE(SUBSTITUTE(TRIM('월 가계부'!A884),"년","-"),"월","-"),"일",""),".","-"),"/","-")," ","-"),"--","-"),"--","-"),"--","-")&amp;"-","")</f>
        <v/>
      </c>
      <c r="CI884">
        <f>IFERROR(IF('월 가계부'!A884="","",IF(ISNUMBER('월 가계부'!A884),IF(AND('월 가계부'!A884&gt;=19000101,'월 가계부'!A884&lt;=21001231),IF(AND(MOD(INT('월 가계부'!A884/100),100)&gt;=1,MOD(INT('월 가계부'!A884/100),100)&lt;=12,MOD(INT('월 가계부'!A884),100)&gt;=1,MOD(INT('월 가계부'!A884),100)&lt;=31),IF(MONTH(DATE(INT('월 가계부'!A884/10000),MOD(INT('월 가계부'!A884/100),100),MOD(INT('월 가계부'!A884),100)))=MOD(INT('월 가계부'!A884/100),100),DATE(INT('월 가계부'!A884/10000),MOD(INT('월 가계부'!A884/100),100),MOD(INT('월 가계부'!A884),100)),""),""),IF(AND('월 가계부'!A884&gt;=36526,'월 가계부'!A884&lt;73051),INT('월 가계부'!A884),"")),IF(OR(CM884="",CN884="",CO884=""),"",IF(AND(CM884&gt;=2000,CM884&lt;=2099,CN884&gt;=1,CN884&lt;=12,CO884&gt;=1,CO884&lt;=31),IF(MONTH(DATE(CM884,CN884,CO884))=CN884,DATE(CM884,CN884,CO884),""),"")))),"")</f>
        <v/>
      </c>
      <c r="CJ884">
        <f>IFERROR(IF('월 가계부'!C884="","",IF(ISNUMBER('월 가계부'!C884),'월 가계부'!C884,VALUE(SUBSTITUTE(SUBSTITUTE(SUBSTITUTE(SUBSTITUTE(TRIM('월 가계부'!C884),",",""),"원","")," ",""),"−","-")))),"")</f>
        <v/>
      </c>
      <c r="CK884">
        <f>IF(ISNUMBER(CI884),IF(CI884&lt;$B$13,CI884,""),"")</f>
        <v/>
      </c>
      <c r="CM884">
        <f>IF(CH884="","",IFERROR(IF(IF(AND(LEN(CH884)=9,ISERROR(FIND("-",LEFT(CH884,8))),ISNUMBER(-LEFT(CH884,8))),VALUE(LEFT(CH884,4)),VALUE(LEFT(CH884,FIND("-",CH884)-1)))&lt;100,IF(AND(LEN(CH884)=9,ISERROR(FIND("-",LEFT(CH884,8))),ISNUMBER(-LEFT(CH884,8))),VALUE(LEFT(CH884,4)),VALUE(LEFT(CH884,FIND("-",CH884)-1)))+2000,IF(AND(LEN(CH884)=9,ISERROR(FIND("-",LEFT(CH884,8))),ISNUMBER(-LEFT(CH884,8))),VALUE(LEFT(CH884,4)),VALUE(LEFT(CH884,FIND("-",CH884)-1)))),""))</f>
        <v/>
      </c>
      <c r="CN884">
        <f>IF(CH884="","",IFERROR(IF(AND(LEN(CH884)=9,ISERROR(FIND("-",LEFT(CH884,8))),ISNUMBER(-LEFT(CH884,8))),VALUE(MID(CH884,5,2)),VALUE(MID(CH884,FIND("-",CH884)+1,FIND("-",CH884,FIND("-",CH884)+1)-FIND("-",CH884)-1))),""))</f>
        <v/>
      </c>
      <c r="CO884">
        <f>IF(CH884="","",IFERROR(IF(AND(LEN(CH884)=9,ISERROR(FIND("-",LEFT(CH884,8))),ISNUMBER(-LEFT(CH884,8))),VALUE(MID(CH884,7,2)),VALUE(MID(CH884,FIND("-",CH884,FIND("-",CH884)+1)+1,FIND("-",CH884,FIND("-",CH884,FIND("-",CH884)+1)+1)-FIND("-",CH884,FIND("-",CH884)+1)-1))),""))</f>
        <v/>
      </c>
    </row>
    <row r="885">
      <c r="CH885">
        <f>IF(ISTEXT('월 가계부'!A885),SUBSTITUTE(SUBSTITUTE(SUBSTITUTE(SUBSTITUTE(SUBSTITUTE(SUBSTITUTE(SUBSTITUTE(SUBSTITUTE(SUBSTITUTE(TRIM('월 가계부'!A885),"년","-"),"월","-"),"일",""),".","-"),"/","-")," ","-"),"--","-"),"--","-"),"--","-")&amp;"-","")</f>
        <v/>
      </c>
      <c r="CI885">
        <f>IFERROR(IF('월 가계부'!A885="","",IF(ISNUMBER('월 가계부'!A885),IF(AND('월 가계부'!A885&gt;=19000101,'월 가계부'!A885&lt;=21001231),IF(AND(MOD(INT('월 가계부'!A885/100),100)&gt;=1,MOD(INT('월 가계부'!A885/100),100)&lt;=12,MOD(INT('월 가계부'!A885),100)&gt;=1,MOD(INT('월 가계부'!A885),100)&lt;=31),IF(MONTH(DATE(INT('월 가계부'!A885/10000),MOD(INT('월 가계부'!A885/100),100),MOD(INT('월 가계부'!A885),100)))=MOD(INT('월 가계부'!A885/100),100),DATE(INT('월 가계부'!A885/10000),MOD(INT('월 가계부'!A885/100),100),MOD(INT('월 가계부'!A885),100)),""),""),IF(AND('월 가계부'!A885&gt;=36526,'월 가계부'!A885&lt;73051),INT('월 가계부'!A885),"")),IF(OR(CM885="",CN885="",CO885=""),"",IF(AND(CM885&gt;=2000,CM885&lt;=2099,CN885&gt;=1,CN885&lt;=12,CO885&gt;=1,CO885&lt;=31),IF(MONTH(DATE(CM885,CN885,CO885))=CN885,DATE(CM885,CN885,CO885),""),"")))),"")</f>
        <v/>
      </c>
      <c r="CJ885">
        <f>IFERROR(IF('월 가계부'!C885="","",IF(ISNUMBER('월 가계부'!C885),'월 가계부'!C885,VALUE(SUBSTITUTE(SUBSTITUTE(SUBSTITUTE(SUBSTITUTE(TRIM('월 가계부'!C885),",",""),"원","")," ",""),"−","-")))),"")</f>
        <v/>
      </c>
      <c r="CK885">
        <f>IF(ISNUMBER(CI885),IF(CI885&lt;$B$13,CI885,""),"")</f>
        <v/>
      </c>
      <c r="CM885">
        <f>IF(CH885="","",IFERROR(IF(IF(AND(LEN(CH885)=9,ISERROR(FIND("-",LEFT(CH885,8))),ISNUMBER(-LEFT(CH885,8))),VALUE(LEFT(CH885,4)),VALUE(LEFT(CH885,FIND("-",CH885)-1)))&lt;100,IF(AND(LEN(CH885)=9,ISERROR(FIND("-",LEFT(CH885,8))),ISNUMBER(-LEFT(CH885,8))),VALUE(LEFT(CH885,4)),VALUE(LEFT(CH885,FIND("-",CH885)-1)))+2000,IF(AND(LEN(CH885)=9,ISERROR(FIND("-",LEFT(CH885,8))),ISNUMBER(-LEFT(CH885,8))),VALUE(LEFT(CH885,4)),VALUE(LEFT(CH885,FIND("-",CH885)-1)))),""))</f>
        <v/>
      </c>
      <c r="CN885">
        <f>IF(CH885="","",IFERROR(IF(AND(LEN(CH885)=9,ISERROR(FIND("-",LEFT(CH885,8))),ISNUMBER(-LEFT(CH885,8))),VALUE(MID(CH885,5,2)),VALUE(MID(CH885,FIND("-",CH885)+1,FIND("-",CH885,FIND("-",CH885)+1)-FIND("-",CH885)-1))),""))</f>
        <v/>
      </c>
      <c r="CO885">
        <f>IF(CH885="","",IFERROR(IF(AND(LEN(CH885)=9,ISERROR(FIND("-",LEFT(CH885,8))),ISNUMBER(-LEFT(CH885,8))),VALUE(MID(CH885,7,2)),VALUE(MID(CH885,FIND("-",CH885,FIND("-",CH885)+1)+1,FIND("-",CH885,FIND("-",CH885,FIND("-",CH885)+1)+1)-FIND("-",CH885,FIND("-",CH885)+1)-1))),""))</f>
        <v/>
      </c>
    </row>
    <row r="886">
      <c r="CH886">
        <f>IF(ISTEXT('월 가계부'!A886),SUBSTITUTE(SUBSTITUTE(SUBSTITUTE(SUBSTITUTE(SUBSTITUTE(SUBSTITUTE(SUBSTITUTE(SUBSTITUTE(SUBSTITUTE(TRIM('월 가계부'!A886),"년","-"),"월","-"),"일",""),".","-"),"/","-")," ","-"),"--","-"),"--","-"),"--","-")&amp;"-","")</f>
        <v/>
      </c>
      <c r="CI886">
        <f>IFERROR(IF('월 가계부'!A886="","",IF(ISNUMBER('월 가계부'!A886),IF(AND('월 가계부'!A886&gt;=19000101,'월 가계부'!A886&lt;=21001231),IF(AND(MOD(INT('월 가계부'!A886/100),100)&gt;=1,MOD(INT('월 가계부'!A886/100),100)&lt;=12,MOD(INT('월 가계부'!A886),100)&gt;=1,MOD(INT('월 가계부'!A886),100)&lt;=31),IF(MONTH(DATE(INT('월 가계부'!A886/10000),MOD(INT('월 가계부'!A886/100),100),MOD(INT('월 가계부'!A886),100)))=MOD(INT('월 가계부'!A886/100),100),DATE(INT('월 가계부'!A886/10000),MOD(INT('월 가계부'!A886/100),100),MOD(INT('월 가계부'!A886),100)),""),""),IF(AND('월 가계부'!A886&gt;=36526,'월 가계부'!A886&lt;73051),INT('월 가계부'!A886),"")),IF(OR(CM886="",CN886="",CO886=""),"",IF(AND(CM886&gt;=2000,CM886&lt;=2099,CN886&gt;=1,CN886&lt;=12,CO886&gt;=1,CO886&lt;=31),IF(MONTH(DATE(CM886,CN886,CO886))=CN886,DATE(CM886,CN886,CO886),""),"")))),"")</f>
        <v/>
      </c>
      <c r="CJ886">
        <f>IFERROR(IF('월 가계부'!C886="","",IF(ISNUMBER('월 가계부'!C886),'월 가계부'!C886,VALUE(SUBSTITUTE(SUBSTITUTE(SUBSTITUTE(SUBSTITUTE(TRIM('월 가계부'!C886),",",""),"원","")," ",""),"−","-")))),"")</f>
        <v/>
      </c>
      <c r="CK886">
        <f>IF(ISNUMBER(CI886),IF(CI886&lt;$B$13,CI886,""),"")</f>
        <v/>
      </c>
      <c r="CM886">
        <f>IF(CH886="","",IFERROR(IF(IF(AND(LEN(CH886)=9,ISERROR(FIND("-",LEFT(CH886,8))),ISNUMBER(-LEFT(CH886,8))),VALUE(LEFT(CH886,4)),VALUE(LEFT(CH886,FIND("-",CH886)-1)))&lt;100,IF(AND(LEN(CH886)=9,ISERROR(FIND("-",LEFT(CH886,8))),ISNUMBER(-LEFT(CH886,8))),VALUE(LEFT(CH886,4)),VALUE(LEFT(CH886,FIND("-",CH886)-1)))+2000,IF(AND(LEN(CH886)=9,ISERROR(FIND("-",LEFT(CH886,8))),ISNUMBER(-LEFT(CH886,8))),VALUE(LEFT(CH886,4)),VALUE(LEFT(CH886,FIND("-",CH886)-1)))),""))</f>
        <v/>
      </c>
      <c r="CN886">
        <f>IF(CH886="","",IFERROR(IF(AND(LEN(CH886)=9,ISERROR(FIND("-",LEFT(CH886,8))),ISNUMBER(-LEFT(CH886,8))),VALUE(MID(CH886,5,2)),VALUE(MID(CH886,FIND("-",CH886)+1,FIND("-",CH886,FIND("-",CH886)+1)-FIND("-",CH886)-1))),""))</f>
        <v/>
      </c>
      <c r="CO886">
        <f>IF(CH886="","",IFERROR(IF(AND(LEN(CH886)=9,ISERROR(FIND("-",LEFT(CH886,8))),ISNUMBER(-LEFT(CH886,8))),VALUE(MID(CH886,7,2)),VALUE(MID(CH886,FIND("-",CH886,FIND("-",CH886)+1)+1,FIND("-",CH886,FIND("-",CH886,FIND("-",CH886)+1)+1)-FIND("-",CH886,FIND("-",CH886)+1)-1))),""))</f>
        <v/>
      </c>
    </row>
    <row r="887">
      <c r="CH887">
        <f>IF(ISTEXT('월 가계부'!A887),SUBSTITUTE(SUBSTITUTE(SUBSTITUTE(SUBSTITUTE(SUBSTITUTE(SUBSTITUTE(SUBSTITUTE(SUBSTITUTE(SUBSTITUTE(TRIM('월 가계부'!A887),"년","-"),"월","-"),"일",""),".","-"),"/","-")," ","-"),"--","-"),"--","-"),"--","-")&amp;"-","")</f>
        <v/>
      </c>
      <c r="CI887">
        <f>IFERROR(IF('월 가계부'!A887="","",IF(ISNUMBER('월 가계부'!A887),IF(AND('월 가계부'!A887&gt;=19000101,'월 가계부'!A887&lt;=21001231),IF(AND(MOD(INT('월 가계부'!A887/100),100)&gt;=1,MOD(INT('월 가계부'!A887/100),100)&lt;=12,MOD(INT('월 가계부'!A887),100)&gt;=1,MOD(INT('월 가계부'!A887),100)&lt;=31),IF(MONTH(DATE(INT('월 가계부'!A887/10000),MOD(INT('월 가계부'!A887/100),100),MOD(INT('월 가계부'!A887),100)))=MOD(INT('월 가계부'!A887/100),100),DATE(INT('월 가계부'!A887/10000),MOD(INT('월 가계부'!A887/100),100),MOD(INT('월 가계부'!A887),100)),""),""),IF(AND('월 가계부'!A887&gt;=36526,'월 가계부'!A887&lt;73051),INT('월 가계부'!A887),"")),IF(OR(CM887="",CN887="",CO887=""),"",IF(AND(CM887&gt;=2000,CM887&lt;=2099,CN887&gt;=1,CN887&lt;=12,CO887&gt;=1,CO887&lt;=31),IF(MONTH(DATE(CM887,CN887,CO887))=CN887,DATE(CM887,CN887,CO887),""),"")))),"")</f>
        <v/>
      </c>
      <c r="CJ887">
        <f>IFERROR(IF('월 가계부'!C887="","",IF(ISNUMBER('월 가계부'!C887),'월 가계부'!C887,VALUE(SUBSTITUTE(SUBSTITUTE(SUBSTITUTE(SUBSTITUTE(TRIM('월 가계부'!C887),",",""),"원","")," ",""),"−","-")))),"")</f>
        <v/>
      </c>
      <c r="CK887">
        <f>IF(ISNUMBER(CI887),IF(CI887&lt;$B$13,CI887,""),"")</f>
        <v/>
      </c>
      <c r="CM887">
        <f>IF(CH887="","",IFERROR(IF(IF(AND(LEN(CH887)=9,ISERROR(FIND("-",LEFT(CH887,8))),ISNUMBER(-LEFT(CH887,8))),VALUE(LEFT(CH887,4)),VALUE(LEFT(CH887,FIND("-",CH887)-1)))&lt;100,IF(AND(LEN(CH887)=9,ISERROR(FIND("-",LEFT(CH887,8))),ISNUMBER(-LEFT(CH887,8))),VALUE(LEFT(CH887,4)),VALUE(LEFT(CH887,FIND("-",CH887)-1)))+2000,IF(AND(LEN(CH887)=9,ISERROR(FIND("-",LEFT(CH887,8))),ISNUMBER(-LEFT(CH887,8))),VALUE(LEFT(CH887,4)),VALUE(LEFT(CH887,FIND("-",CH887)-1)))),""))</f>
        <v/>
      </c>
      <c r="CN887">
        <f>IF(CH887="","",IFERROR(IF(AND(LEN(CH887)=9,ISERROR(FIND("-",LEFT(CH887,8))),ISNUMBER(-LEFT(CH887,8))),VALUE(MID(CH887,5,2)),VALUE(MID(CH887,FIND("-",CH887)+1,FIND("-",CH887,FIND("-",CH887)+1)-FIND("-",CH887)-1))),""))</f>
        <v/>
      </c>
      <c r="CO887">
        <f>IF(CH887="","",IFERROR(IF(AND(LEN(CH887)=9,ISERROR(FIND("-",LEFT(CH887,8))),ISNUMBER(-LEFT(CH887,8))),VALUE(MID(CH887,7,2)),VALUE(MID(CH887,FIND("-",CH887,FIND("-",CH887)+1)+1,FIND("-",CH887,FIND("-",CH887,FIND("-",CH887)+1)+1)-FIND("-",CH887,FIND("-",CH887)+1)-1))),""))</f>
        <v/>
      </c>
    </row>
    <row r="888">
      <c r="CH888">
        <f>IF(ISTEXT('월 가계부'!A888),SUBSTITUTE(SUBSTITUTE(SUBSTITUTE(SUBSTITUTE(SUBSTITUTE(SUBSTITUTE(SUBSTITUTE(SUBSTITUTE(SUBSTITUTE(TRIM('월 가계부'!A888),"년","-"),"월","-"),"일",""),".","-"),"/","-")," ","-"),"--","-"),"--","-"),"--","-")&amp;"-","")</f>
        <v/>
      </c>
      <c r="CI888">
        <f>IFERROR(IF('월 가계부'!A888="","",IF(ISNUMBER('월 가계부'!A888),IF(AND('월 가계부'!A888&gt;=19000101,'월 가계부'!A888&lt;=21001231),IF(AND(MOD(INT('월 가계부'!A888/100),100)&gt;=1,MOD(INT('월 가계부'!A888/100),100)&lt;=12,MOD(INT('월 가계부'!A888),100)&gt;=1,MOD(INT('월 가계부'!A888),100)&lt;=31),IF(MONTH(DATE(INT('월 가계부'!A888/10000),MOD(INT('월 가계부'!A888/100),100),MOD(INT('월 가계부'!A888),100)))=MOD(INT('월 가계부'!A888/100),100),DATE(INT('월 가계부'!A888/10000),MOD(INT('월 가계부'!A888/100),100),MOD(INT('월 가계부'!A888),100)),""),""),IF(AND('월 가계부'!A888&gt;=36526,'월 가계부'!A888&lt;73051),INT('월 가계부'!A888),"")),IF(OR(CM888="",CN888="",CO888=""),"",IF(AND(CM888&gt;=2000,CM888&lt;=2099,CN888&gt;=1,CN888&lt;=12,CO888&gt;=1,CO888&lt;=31),IF(MONTH(DATE(CM888,CN888,CO888))=CN888,DATE(CM888,CN888,CO888),""),"")))),"")</f>
        <v/>
      </c>
      <c r="CJ888">
        <f>IFERROR(IF('월 가계부'!C888="","",IF(ISNUMBER('월 가계부'!C888),'월 가계부'!C888,VALUE(SUBSTITUTE(SUBSTITUTE(SUBSTITUTE(SUBSTITUTE(TRIM('월 가계부'!C888),",",""),"원","")," ",""),"−","-")))),"")</f>
        <v/>
      </c>
      <c r="CK888">
        <f>IF(ISNUMBER(CI888),IF(CI888&lt;$B$13,CI888,""),"")</f>
        <v/>
      </c>
      <c r="CM888">
        <f>IF(CH888="","",IFERROR(IF(IF(AND(LEN(CH888)=9,ISERROR(FIND("-",LEFT(CH888,8))),ISNUMBER(-LEFT(CH888,8))),VALUE(LEFT(CH888,4)),VALUE(LEFT(CH888,FIND("-",CH888)-1)))&lt;100,IF(AND(LEN(CH888)=9,ISERROR(FIND("-",LEFT(CH888,8))),ISNUMBER(-LEFT(CH888,8))),VALUE(LEFT(CH888,4)),VALUE(LEFT(CH888,FIND("-",CH888)-1)))+2000,IF(AND(LEN(CH888)=9,ISERROR(FIND("-",LEFT(CH888,8))),ISNUMBER(-LEFT(CH888,8))),VALUE(LEFT(CH888,4)),VALUE(LEFT(CH888,FIND("-",CH888)-1)))),""))</f>
        <v/>
      </c>
      <c r="CN888">
        <f>IF(CH888="","",IFERROR(IF(AND(LEN(CH888)=9,ISERROR(FIND("-",LEFT(CH888,8))),ISNUMBER(-LEFT(CH888,8))),VALUE(MID(CH888,5,2)),VALUE(MID(CH888,FIND("-",CH888)+1,FIND("-",CH888,FIND("-",CH888)+1)-FIND("-",CH888)-1))),""))</f>
        <v/>
      </c>
      <c r="CO888">
        <f>IF(CH888="","",IFERROR(IF(AND(LEN(CH888)=9,ISERROR(FIND("-",LEFT(CH888,8))),ISNUMBER(-LEFT(CH888,8))),VALUE(MID(CH888,7,2)),VALUE(MID(CH888,FIND("-",CH888,FIND("-",CH888)+1)+1,FIND("-",CH888,FIND("-",CH888,FIND("-",CH888)+1)+1)-FIND("-",CH888,FIND("-",CH888)+1)-1))),""))</f>
        <v/>
      </c>
    </row>
    <row r="889">
      <c r="CH889">
        <f>IF(ISTEXT('월 가계부'!A889),SUBSTITUTE(SUBSTITUTE(SUBSTITUTE(SUBSTITUTE(SUBSTITUTE(SUBSTITUTE(SUBSTITUTE(SUBSTITUTE(SUBSTITUTE(TRIM('월 가계부'!A889),"년","-"),"월","-"),"일",""),".","-"),"/","-")," ","-"),"--","-"),"--","-"),"--","-")&amp;"-","")</f>
        <v/>
      </c>
      <c r="CI889">
        <f>IFERROR(IF('월 가계부'!A889="","",IF(ISNUMBER('월 가계부'!A889),IF(AND('월 가계부'!A889&gt;=19000101,'월 가계부'!A889&lt;=21001231),IF(AND(MOD(INT('월 가계부'!A889/100),100)&gt;=1,MOD(INT('월 가계부'!A889/100),100)&lt;=12,MOD(INT('월 가계부'!A889),100)&gt;=1,MOD(INT('월 가계부'!A889),100)&lt;=31),IF(MONTH(DATE(INT('월 가계부'!A889/10000),MOD(INT('월 가계부'!A889/100),100),MOD(INT('월 가계부'!A889),100)))=MOD(INT('월 가계부'!A889/100),100),DATE(INT('월 가계부'!A889/10000),MOD(INT('월 가계부'!A889/100),100),MOD(INT('월 가계부'!A889),100)),""),""),IF(AND('월 가계부'!A889&gt;=36526,'월 가계부'!A889&lt;73051),INT('월 가계부'!A889),"")),IF(OR(CM889="",CN889="",CO889=""),"",IF(AND(CM889&gt;=2000,CM889&lt;=2099,CN889&gt;=1,CN889&lt;=12,CO889&gt;=1,CO889&lt;=31),IF(MONTH(DATE(CM889,CN889,CO889))=CN889,DATE(CM889,CN889,CO889),""),"")))),"")</f>
        <v/>
      </c>
      <c r="CJ889">
        <f>IFERROR(IF('월 가계부'!C889="","",IF(ISNUMBER('월 가계부'!C889),'월 가계부'!C889,VALUE(SUBSTITUTE(SUBSTITUTE(SUBSTITUTE(SUBSTITUTE(TRIM('월 가계부'!C889),",",""),"원","")," ",""),"−","-")))),"")</f>
        <v/>
      </c>
      <c r="CK889">
        <f>IF(ISNUMBER(CI889),IF(CI889&lt;$B$13,CI889,""),"")</f>
        <v/>
      </c>
      <c r="CM889">
        <f>IF(CH889="","",IFERROR(IF(IF(AND(LEN(CH889)=9,ISERROR(FIND("-",LEFT(CH889,8))),ISNUMBER(-LEFT(CH889,8))),VALUE(LEFT(CH889,4)),VALUE(LEFT(CH889,FIND("-",CH889)-1)))&lt;100,IF(AND(LEN(CH889)=9,ISERROR(FIND("-",LEFT(CH889,8))),ISNUMBER(-LEFT(CH889,8))),VALUE(LEFT(CH889,4)),VALUE(LEFT(CH889,FIND("-",CH889)-1)))+2000,IF(AND(LEN(CH889)=9,ISERROR(FIND("-",LEFT(CH889,8))),ISNUMBER(-LEFT(CH889,8))),VALUE(LEFT(CH889,4)),VALUE(LEFT(CH889,FIND("-",CH889)-1)))),""))</f>
        <v/>
      </c>
      <c r="CN889">
        <f>IF(CH889="","",IFERROR(IF(AND(LEN(CH889)=9,ISERROR(FIND("-",LEFT(CH889,8))),ISNUMBER(-LEFT(CH889,8))),VALUE(MID(CH889,5,2)),VALUE(MID(CH889,FIND("-",CH889)+1,FIND("-",CH889,FIND("-",CH889)+1)-FIND("-",CH889)-1))),""))</f>
        <v/>
      </c>
      <c r="CO889">
        <f>IF(CH889="","",IFERROR(IF(AND(LEN(CH889)=9,ISERROR(FIND("-",LEFT(CH889,8))),ISNUMBER(-LEFT(CH889,8))),VALUE(MID(CH889,7,2)),VALUE(MID(CH889,FIND("-",CH889,FIND("-",CH889)+1)+1,FIND("-",CH889,FIND("-",CH889,FIND("-",CH889)+1)+1)-FIND("-",CH889,FIND("-",CH889)+1)-1))),""))</f>
        <v/>
      </c>
    </row>
    <row r="890">
      <c r="CH890">
        <f>IF(ISTEXT('월 가계부'!A890),SUBSTITUTE(SUBSTITUTE(SUBSTITUTE(SUBSTITUTE(SUBSTITUTE(SUBSTITUTE(SUBSTITUTE(SUBSTITUTE(SUBSTITUTE(TRIM('월 가계부'!A890),"년","-"),"월","-"),"일",""),".","-"),"/","-")," ","-"),"--","-"),"--","-"),"--","-")&amp;"-","")</f>
        <v/>
      </c>
      <c r="CI890">
        <f>IFERROR(IF('월 가계부'!A890="","",IF(ISNUMBER('월 가계부'!A890),IF(AND('월 가계부'!A890&gt;=19000101,'월 가계부'!A890&lt;=21001231),IF(AND(MOD(INT('월 가계부'!A890/100),100)&gt;=1,MOD(INT('월 가계부'!A890/100),100)&lt;=12,MOD(INT('월 가계부'!A890),100)&gt;=1,MOD(INT('월 가계부'!A890),100)&lt;=31),IF(MONTH(DATE(INT('월 가계부'!A890/10000),MOD(INT('월 가계부'!A890/100),100),MOD(INT('월 가계부'!A890),100)))=MOD(INT('월 가계부'!A890/100),100),DATE(INT('월 가계부'!A890/10000),MOD(INT('월 가계부'!A890/100),100),MOD(INT('월 가계부'!A890),100)),""),""),IF(AND('월 가계부'!A890&gt;=36526,'월 가계부'!A890&lt;73051),INT('월 가계부'!A890),"")),IF(OR(CM890="",CN890="",CO890=""),"",IF(AND(CM890&gt;=2000,CM890&lt;=2099,CN890&gt;=1,CN890&lt;=12,CO890&gt;=1,CO890&lt;=31),IF(MONTH(DATE(CM890,CN890,CO890))=CN890,DATE(CM890,CN890,CO890),""),"")))),"")</f>
        <v/>
      </c>
      <c r="CJ890">
        <f>IFERROR(IF('월 가계부'!C890="","",IF(ISNUMBER('월 가계부'!C890),'월 가계부'!C890,VALUE(SUBSTITUTE(SUBSTITUTE(SUBSTITUTE(SUBSTITUTE(TRIM('월 가계부'!C890),",",""),"원","")," ",""),"−","-")))),"")</f>
        <v/>
      </c>
      <c r="CK890">
        <f>IF(ISNUMBER(CI890),IF(CI890&lt;$B$13,CI890,""),"")</f>
        <v/>
      </c>
      <c r="CM890">
        <f>IF(CH890="","",IFERROR(IF(IF(AND(LEN(CH890)=9,ISERROR(FIND("-",LEFT(CH890,8))),ISNUMBER(-LEFT(CH890,8))),VALUE(LEFT(CH890,4)),VALUE(LEFT(CH890,FIND("-",CH890)-1)))&lt;100,IF(AND(LEN(CH890)=9,ISERROR(FIND("-",LEFT(CH890,8))),ISNUMBER(-LEFT(CH890,8))),VALUE(LEFT(CH890,4)),VALUE(LEFT(CH890,FIND("-",CH890)-1)))+2000,IF(AND(LEN(CH890)=9,ISERROR(FIND("-",LEFT(CH890,8))),ISNUMBER(-LEFT(CH890,8))),VALUE(LEFT(CH890,4)),VALUE(LEFT(CH890,FIND("-",CH890)-1)))),""))</f>
        <v/>
      </c>
      <c r="CN890">
        <f>IF(CH890="","",IFERROR(IF(AND(LEN(CH890)=9,ISERROR(FIND("-",LEFT(CH890,8))),ISNUMBER(-LEFT(CH890,8))),VALUE(MID(CH890,5,2)),VALUE(MID(CH890,FIND("-",CH890)+1,FIND("-",CH890,FIND("-",CH890)+1)-FIND("-",CH890)-1))),""))</f>
        <v/>
      </c>
      <c r="CO890">
        <f>IF(CH890="","",IFERROR(IF(AND(LEN(CH890)=9,ISERROR(FIND("-",LEFT(CH890,8))),ISNUMBER(-LEFT(CH890,8))),VALUE(MID(CH890,7,2)),VALUE(MID(CH890,FIND("-",CH890,FIND("-",CH890)+1)+1,FIND("-",CH890,FIND("-",CH890,FIND("-",CH890)+1)+1)-FIND("-",CH890,FIND("-",CH890)+1)-1))),""))</f>
        <v/>
      </c>
    </row>
    <row r="891">
      <c r="CH891">
        <f>IF(ISTEXT('월 가계부'!A891),SUBSTITUTE(SUBSTITUTE(SUBSTITUTE(SUBSTITUTE(SUBSTITUTE(SUBSTITUTE(SUBSTITUTE(SUBSTITUTE(SUBSTITUTE(TRIM('월 가계부'!A891),"년","-"),"월","-"),"일",""),".","-"),"/","-")," ","-"),"--","-"),"--","-"),"--","-")&amp;"-","")</f>
        <v/>
      </c>
      <c r="CI891">
        <f>IFERROR(IF('월 가계부'!A891="","",IF(ISNUMBER('월 가계부'!A891),IF(AND('월 가계부'!A891&gt;=19000101,'월 가계부'!A891&lt;=21001231),IF(AND(MOD(INT('월 가계부'!A891/100),100)&gt;=1,MOD(INT('월 가계부'!A891/100),100)&lt;=12,MOD(INT('월 가계부'!A891),100)&gt;=1,MOD(INT('월 가계부'!A891),100)&lt;=31),IF(MONTH(DATE(INT('월 가계부'!A891/10000),MOD(INT('월 가계부'!A891/100),100),MOD(INT('월 가계부'!A891),100)))=MOD(INT('월 가계부'!A891/100),100),DATE(INT('월 가계부'!A891/10000),MOD(INT('월 가계부'!A891/100),100),MOD(INT('월 가계부'!A891),100)),""),""),IF(AND('월 가계부'!A891&gt;=36526,'월 가계부'!A891&lt;73051),INT('월 가계부'!A891),"")),IF(OR(CM891="",CN891="",CO891=""),"",IF(AND(CM891&gt;=2000,CM891&lt;=2099,CN891&gt;=1,CN891&lt;=12,CO891&gt;=1,CO891&lt;=31),IF(MONTH(DATE(CM891,CN891,CO891))=CN891,DATE(CM891,CN891,CO891),""),"")))),"")</f>
        <v/>
      </c>
      <c r="CJ891">
        <f>IFERROR(IF('월 가계부'!C891="","",IF(ISNUMBER('월 가계부'!C891),'월 가계부'!C891,VALUE(SUBSTITUTE(SUBSTITUTE(SUBSTITUTE(SUBSTITUTE(TRIM('월 가계부'!C891),",",""),"원","")," ",""),"−","-")))),"")</f>
        <v/>
      </c>
      <c r="CK891">
        <f>IF(ISNUMBER(CI891),IF(CI891&lt;$B$13,CI891,""),"")</f>
        <v/>
      </c>
      <c r="CM891">
        <f>IF(CH891="","",IFERROR(IF(IF(AND(LEN(CH891)=9,ISERROR(FIND("-",LEFT(CH891,8))),ISNUMBER(-LEFT(CH891,8))),VALUE(LEFT(CH891,4)),VALUE(LEFT(CH891,FIND("-",CH891)-1)))&lt;100,IF(AND(LEN(CH891)=9,ISERROR(FIND("-",LEFT(CH891,8))),ISNUMBER(-LEFT(CH891,8))),VALUE(LEFT(CH891,4)),VALUE(LEFT(CH891,FIND("-",CH891)-1)))+2000,IF(AND(LEN(CH891)=9,ISERROR(FIND("-",LEFT(CH891,8))),ISNUMBER(-LEFT(CH891,8))),VALUE(LEFT(CH891,4)),VALUE(LEFT(CH891,FIND("-",CH891)-1)))),""))</f>
        <v/>
      </c>
      <c r="CN891">
        <f>IF(CH891="","",IFERROR(IF(AND(LEN(CH891)=9,ISERROR(FIND("-",LEFT(CH891,8))),ISNUMBER(-LEFT(CH891,8))),VALUE(MID(CH891,5,2)),VALUE(MID(CH891,FIND("-",CH891)+1,FIND("-",CH891,FIND("-",CH891)+1)-FIND("-",CH891)-1))),""))</f>
        <v/>
      </c>
      <c r="CO891">
        <f>IF(CH891="","",IFERROR(IF(AND(LEN(CH891)=9,ISERROR(FIND("-",LEFT(CH891,8))),ISNUMBER(-LEFT(CH891,8))),VALUE(MID(CH891,7,2)),VALUE(MID(CH891,FIND("-",CH891,FIND("-",CH891)+1)+1,FIND("-",CH891,FIND("-",CH891,FIND("-",CH891)+1)+1)-FIND("-",CH891,FIND("-",CH891)+1)-1))),""))</f>
        <v/>
      </c>
    </row>
    <row r="892">
      <c r="CH892">
        <f>IF(ISTEXT('월 가계부'!A892),SUBSTITUTE(SUBSTITUTE(SUBSTITUTE(SUBSTITUTE(SUBSTITUTE(SUBSTITUTE(SUBSTITUTE(SUBSTITUTE(SUBSTITUTE(TRIM('월 가계부'!A892),"년","-"),"월","-"),"일",""),".","-"),"/","-")," ","-"),"--","-"),"--","-"),"--","-")&amp;"-","")</f>
        <v/>
      </c>
      <c r="CI892">
        <f>IFERROR(IF('월 가계부'!A892="","",IF(ISNUMBER('월 가계부'!A892),IF(AND('월 가계부'!A892&gt;=19000101,'월 가계부'!A892&lt;=21001231),IF(AND(MOD(INT('월 가계부'!A892/100),100)&gt;=1,MOD(INT('월 가계부'!A892/100),100)&lt;=12,MOD(INT('월 가계부'!A892),100)&gt;=1,MOD(INT('월 가계부'!A892),100)&lt;=31),IF(MONTH(DATE(INT('월 가계부'!A892/10000),MOD(INT('월 가계부'!A892/100),100),MOD(INT('월 가계부'!A892),100)))=MOD(INT('월 가계부'!A892/100),100),DATE(INT('월 가계부'!A892/10000),MOD(INT('월 가계부'!A892/100),100),MOD(INT('월 가계부'!A892),100)),""),""),IF(AND('월 가계부'!A892&gt;=36526,'월 가계부'!A892&lt;73051),INT('월 가계부'!A892),"")),IF(OR(CM892="",CN892="",CO892=""),"",IF(AND(CM892&gt;=2000,CM892&lt;=2099,CN892&gt;=1,CN892&lt;=12,CO892&gt;=1,CO892&lt;=31),IF(MONTH(DATE(CM892,CN892,CO892))=CN892,DATE(CM892,CN892,CO892),""),"")))),"")</f>
        <v/>
      </c>
      <c r="CJ892">
        <f>IFERROR(IF('월 가계부'!C892="","",IF(ISNUMBER('월 가계부'!C892),'월 가계부'!C892,VALUE(SUBSTITUTE(SUBSTITUTE(SUBSTITUTE(SUBSTITUTE(TRIM('월 가계부'!C892),",",""),"원","")," ",""),"−","-")))),"")</f>
        <v/>
      </c>
      <c r="CK892">
        <f>IF(ISNUMBER(CI892),IF(CI892&lt;$B$13,CI892,""),"")</f>
        <v/>
      </c>
      <c r="CM892">
        <f>IF(CH892="","",IFERROR(IF(IF(AND(LEN(CH892)=9,ISERROR(FIND("-",LEFT(CH892,8))),ISNUMBER(-LEFT(CH892,8))),VALUE(LEFT(CH892,4)),VALUE(LEFT(CH892,FIND("-",CH892)-1)))&lt;100,IF(AND(LEN(CH892)=9,ISERROR(FIND("-",LEFT(CH892,8))),ISNUMBER(-LEFT(CH892,8))),VALUE(LEFT(CH892,4)),VALUE(LEFT(CH892,FIND("-",CH892)-1)))+2000,IF(AND(LEN(CH892)=9,ISERROR(FIND("-",LEFT(CH892,8))),ISNUMBER(-LEFT(CH892,8))),VALUE(LEFT(CH892,4)),VALUE(LEFT(CH892,FIND("-",CH892)-1)))),""))</f>
        <v/>
      </c>
      <c r="CN892">
        <f>IF(CH892="","",IFERROR(IF(AND(LEN(CH892)=9,ISERROR(FIND("-",LEFT(CH892,8))),ISNUMBER(-LEFT(CH892,8))),VALUE(MID(CH892,5,2)),VALUE(MID(CH892,FIND("-",CH892)+1,FIND("-",CH892,FIND("-",CH892)+1)-FIND("-",CH892)-1))),""))</f>
        <v/>
      </c>
      <c r="CO892">
        <f>IF(CH892="","",IFERROR(IF(AND(LEN(CH892)=9,ISERROR(FIND("-",LEFT(CH892,8))),ISNUMBER(-LEFT(CH892,8))),VALUE(MID(CH892,7,2)),VALUE(MID(CH892,FIND("-",CH892,FIND("-",CH892)+1)+1,FIND("-",CH892,FIND("-",CH892,FIND("-",CH892)+1)+1)-FIND("-",CH892,FIND("-",CH892)+1)-1))),""))</f>
        <v/>
      </c>
    </row>
    <row r="893">
      <c r="CH893">
        <f>IF(ISTEXT('월 가계부'!A893),SUBSTITUTE(SUBSTITUTE(SUBSTITUTE(SUBSTITUTE(SUBSTITUTE(SUBSTITUTE(SUBSTITUTE(SUBSTITUTE(SUBSTITUTE(TRIM('월 가계부'!A893),"년","-"),"월","-"),"일",""),".","-"),"/","-")," ","-"),"--","-"),"--","-"),"--","-")&amp;"-","")</f>
        <v/>
      </c>
      <c r="CI893">
        <f>IFERROR(IF('월 가계부'!A893="","",IF(ISNUMBER('월 가계부'!A893),IF(AND('월 가계부'!A893&gt;=19000101,'월 가계부'!A893&lt;=21001231),IF(AND(MOD(INT('월 가계부'!A893/100),100)&gt;=1,MOD(INT('월 가계부'!A893/100),100)&lt;=12,MOD(INT('월 가계부'!A893),100)&gt;=1,MOD(INT('월 가계부'!A893),100)&lt;=31),IF(MONTH(DATE(INT('월 가계부'!A893/10000),MOD(INT('월 가계부'!A893/100),100),MOD(INT('월 가계부'!A893),100)))=MOD(INT('월 가계부'!A893/100),100),DATE(INT('월 가계부'!A893/10000),MOD(INT('월 가계부'!A893/100),100),MOD(INT('월 가계부'!A893),100)),""),""),IF(AND('월 가계부'!A893&gt;=36526,'월 가계부'!A893&lt;73051),INT('월 가계부'!A893),"")),IF(OR(CM893="",CN893="",CO893=""),"",IF(AND(CM893&gt;=2000,CM893&lt;=2099,CN893&gt;=1,CN893&lt;=12,CO893&gt;=1,CO893&lt;=31),IF(MONTH(DATE(CM893,CN893,CO893))=CN893,DATE(CM893,CN893,CO893),""),"")))),"")</f>
        <v/>
      </c>
      <c r="CJ893">
        <f>IFERROR(IF('월 가계부'!C893="","",IF(ISNUMBER('월 가계부'!C893),'월 가계부'!C893,VALUE(SUBSTITUTE(SUBSTITUTE(SUBSTITUTE(SUBSTITUTE(TRIM('월 가계부'!C893),",",""),"원","")," ",""),"−","-")))),"")</f>
        <v/>
      </c>
      <c r="CK893">
        <f>IF(ISNUMBER(CI893),IF(CI893&lt;$B$13,CI893,""),"")</f>
        <v/>
      </c>
      <c r="CM893">
        <f>IF(CH893="","",IFERROR(IF(IF(AND(LEN(CH893)=9,ISERROR(FIND("-",LEFT(CH893,8))),ISNUMBER(-LEFT(CH893,8))),VALUE(LEFT(CH893,4)),VALUE(LEFT(CH893,FIND("-",CH893)-1)))&lt;100,IF(AND(LEN(CH893)=9,ISERROR(FIND("-",LEFT(CH893,8))),ISNUMBER(-LEFT(CH893,8))),VALUE(LEFT(CH893,4)),VALUE(LEFT(CH893,FIND("-",CH893)-1)))+2000,IF(AND(LEN(CH893)=9,ISERROR(FIND("-",LEFT(CH893,8))),ISNUMBER(-LEFT(CH893,8))),VALUE(LEFT(CH893,4)),VALUE(LEFT(CH893,FIND("-",CH893)-1)))),""))</f>
        <v/>
      </c>
      <c r="CN893">
        <f>IF(CH893="","",IFERROR(IF(AND(LEN(CH893)=9,ISERROR(FIND("-",LEFT(CH893,8))),ISNUMBER(-LEFT(CH893,8))),VALUE(MID(CH893,5,2)),VALUE(MID(CH893,FIND("-",CH893)+1,FIND("-",CH893,FIND("-",CH893)+1)-FIND("-",CH893)-1))),""))</f>
        <v/>
      </c>
      <c r="CO893">
        <f>IF(CH893="","",IFERROR(IF(AND(LEN(CH893)=9,ISERROR(FIND("-",LEFT(CH893,8))),ISNUMBER(-LEFT(CH893,8))),VALUE(MID(CH893,7,2)),VALUE(MID(CH893,FIND("-",CH893,FIND("-",CH893)+1)+1,FIND("-",CH893,FIND("-",CH893,FIND("-",CH893)+1)+1)-FIND("-",CH893,FIND("-",CH893)+1)-1))),""))</f>
        <v/>
      </c>
    </row>
    <row r="894">
      <c r="CH894">
        <f>IF(ISTEXT('월 가계부'!A894),SUBSTITUTE(SUBSTITUTE(SUBSTITUTE(SUBSTITUTE(SUBSTITUTE(SUBSTITUTE(SUBSTITUTE(SUBSTITUTE(SUBSTITUTE(TRIM('월 가계부'!A894),"년","-"),"월","-"),"일",""),".","-"),"/","-")," ","-"),"--","-"),"--","-"),"--","-")&amp;"-","")</f>
        <v/>
      </c>
      <c r="CI894">
        <f>IFERROR(IF('월 가계부'!A894="","",IF(ISNUMBER('월 가계부'!A894),IF(AND('월 가계부'!A894&gt;=19000101,'월 가계부'!A894&lt;=21001231),IF(AND(MOD(INT('월 가계부'!A894/100),100)&gt;=1,MOD(INT('월 가계부'!A894/100),100)&lt;=12,MOD(INT('월 가계부'!A894),100)&gt;=1,MOD(INT('월 가계부'!A894),100)&lt;=31),IF(MONTH(DATE(INT('월 가계부'!A894/10000),MOD(INT('월 가계부'!A894/100),100),MOD(INT('월 가계부'!A894),100)))=MOD(INT('월 가계부'!A894/100),100),DATE(INT('월 가계부'!A894/10000),MOD(INT('월 가계부'!A894/100),100),MOD(INT('월 가계부'!A894),100)),""),""),IF(AND('월 가계부'!A894&gt;=36526,'월 가계부'!A894&lt;73051),INT('월 가계부'!A894),"")),IF(OR(CM894="",CN894="",CO894=""),"",IF(AND(CM894&gt;=2000,CM894&lt;=2099,CN894&gt;=1,CN894&lt;=12,CO894&gt;=1,CO894&lt;=31),IF(MONTH(DATE(CM894,CN894,CO894))=CN894,DATE(CM894,CN894,CO894),""),"")))),"")</f>
        <v/>
      </c>
      <c r="CJ894">
        <f>IFERROR(IF('월 가계부'!C894="","",IF(ISNUMBER('월 가계부'!C894),'월 가계부'!C894,VALUE(SUBSTITUTE(SUBSTITUTE(SUBSTITUTE(SUBSTITUTE(TRIM('월 가계부'!C894),",",""),"원","")," ",""),"−","-")))),"")</f>
        <v/>
      </c>
      <c r="CK894">
        <f>IF(ISNUMBER(CI894),IF(CI894&lt;$B$13,CI894,""),"")</f>
        <v/>
      </c>
      <c r="CM894">
        <f>IF(CH894="","",IFERROR(IF(IF(AND(LEN(CH894)=9,ISERROR(FIND("-",LEFT(CH894,8))),ISNUMBER(-LEFT(CH894,8))),VALUE(LEFT(CH894,4)),VALUE(LEFT(CH894,FIND("-",CH894)-1)))&lt;100,IF(AND(LEN(CH894)=9,ISERROR(FIND("-",LEFT(CH894,8))),ISNUMBER(-LEFT(CH894,8))),VALUE(LEFT(CH894,4)),VALUE(LEFT(CH894,FIND("-",CH894)-1)))+2000,IF(AND(LEN(CH894)=9,ISERROR(FIND("-",LEFT(CH894,8))),ISNUMBER(-LEFT(CH894,8))),VALUE(LEFT(CH894,4)),VALUE(LEFT(CH894,FIND("-",CH894)-1)))),""))</f>
        <v/>
      </c>
      <c r="CN894">
        <f>IF(CH894="","",IFERROR(IF(AND(LEN(CH894)=9,ISERROR(FIND("-",LEFT(CH894,8))),ISNUMBER(-LEFT(CH894,8))),VALUE(MID(CH894,5,2)),VALUE(MID(CH894,FIND("-",CH894)+1,FIND("-",CH894,FIND("-",CH894)+1)-FIND("-",CH894)-1))),""))</f>
        <v/>
      </c>
      <c r="CO894">
        <f>IF(CH894="","",IFERROR(IF(AND(LEN(CH894)=9,ISERROR(FIND("-",LEFT(CH894,8))),ISNUMBER(-LEFT(CH894,8))),VALUE(MID(CH894,7,2)),VALUE(MID(CH894,FIND("-",CH894,FIND("-",CH894)+1)+1,FIND("-",CH894,FIND("-",CH894,FIND("-",CH894)+1)+1)-FIND("-",CH894,FIND("-",CH894)+1)-1))),""))</f>
        <v/>
      </c>
    </row>
    <row r="895">
      <c r="CH895">
        <f>IF(ISTEXT('월 가계부'!A895),SUBSTITUTE(SUBSTITUTE(SUBSTITUTE(SUBSTITUTE(SUBSTITUTE(SUBSTITUTE(SUBSTITUTE(SUBSTITUTE(SUBSTITUTE(TRIM('월 가계부'!A895),"년","-"),"월","-"),"일",""),".","-"),"/","-")," ","-"),"--","-"),"--","-"),"--","-")&amp;"-","")</f>
        <v/>
      </c>
      <c r="CI895">
        <f>IFERROR(IF('월 가계부'!A895="","",IF(ISNUMBER('월 가계부'!A895),IF(AND('월 가계부'!A895&gt;=19000101,'월 가계부'!A895&lt;=21001231),IF(AND(MOD(INT('월 가계부'!A895/100),100)&gt;=1,MOD(INT('월 가계부'!A895/100),100)&lt;=12,MOD(INT('월 가계부'!A895),100)&gt;=1,MOD(INT('월 가계부'!A895),100)&lt;=31),IF(MONTH(DATE(INT('월 가계부'!A895/10000),MOD(INT('월 가계부'!A895/100),100),MOD(INT('월 가계부'!A895),100)))=MOD(INT('월 가계부'!A895/100),100),DATE(INT('월 가계부'!A895/10000),MOD(INT('월 가계부'!A895/100),100),MOD(INT('월 가계부'!A895),100)),""),""),IF(AND('월 가계부'!A895&gt;=36526,'월 가계부'!A895&lt;73051),INT('월 가계부'!A895),"")),IF(OR(CM895="",CN895="",CO895=""),"",IF(AND(CM895&gt;=2000,CM895&lt;=2099,CN895&gt;=1,CN895&lt;=12,CO895&gt;=1,CO895&lt;=31),IF(MONTH(DATE(CM895,CN895,CO895))=CN895,DATE(CM895,CN895,CO895),""),"")))),"")</f>
        <v/>
      </c>
      <c r="CJ895">
        <f>IFERROR(IF('월 가계부'!C895="","",IF(ISNUMBER('월 가계부'!C895),'월 가계부'!C895,VALUE(SUBSTITUTE(SUBSTITUTE(SUBSTITUTE(SUBSTITUTE(TRIM('월 가계부'!C895),",",""),"원","")," ",""),"−","-")))),"")</f>
        <v/>
      </c>
      <c r="CK895">
        <f>IF(ISNUMBER(CI895),IF(CI895&lt;$B$13,CI895,""),"")</f>
        <v/>
      </c>
      <c r="CM895">
        <f>IF(CH895="","",IFERROR(IF(IF(AND(LEN(CH895)=9,ISERROR(FIND("-",LEFT(CH895,8))),ISNUMBER(-LEFT(CH895,8))),VALUE(LEFT(CH895,4)),VALUE(LEFT(CH895,FIND("-",CH895)-1)))&lt;100,IF(AND(LEN(CH895)=9,ISERROR(FIND("-",LEFT(CH895,8))),ISNUMBER(-LEFT(CH895,8))),VALUE(LEFT(CH895,4)),VALUE(LEFT(CH895,FIND("-",CH895)-1)))+2000,IF(AND(LEN(CH895)=9,ISERROR(FIND("-",LEFT(CH895,8))),ISNUMBER(-LEFT(CH895,8))),VALUE(LEFT(CH895,4)),VALUE(LEFT(CH895,FIND("-",CH895)-1)))),""))</f>
        <v/>
      </c>
      <c r="CN895">
        <f>IF(CH895="","",IFERROR(IF(AND(LEN(CH895)=9,ISERROR(FIND("-",LEFT(CH895,8))),ISNUMBER(-LEFT(CH895,8))),VALUE(MID(CH895,5,2)),VALUE(MID(CH895,FIND("-",CH895)+1,FIND("-",CH895,FIND("-",CH895)+1)-FIND("-",CH895)-1))),""))</f>
        <v/>
      </c>
      <c r="CO895">
        <f>IF(CH895="","",IFERROR(IF(AND(LEN(CH895)=9,ISERROR(FIND("-",LEFT(CH895,8))),ISNUMBER(-LEFT(CH895,8))),VALUE(MID(CH895,7,2)),VALUE(MID(CH895,FIND("-",CH895,FIND("-",CH895)+1)+1,FIND("-",CH895,FIND("-",CH895,FIND("-",CH895)+1)+1)-FIND("-",CH895,FIND("-",CH895)+1)-1))),""))</f>
        <v/>
      </c>
    </row>
    <row r="896">
      <c r="CH896">
        <f>IF(ISTEXT('월 가계부'!A896),SUBSTITUTE(SUBSTITUTE(SUBSTITUTE(SUBSTITUTE(SUBSTITUTE(SUBSTITUTE(SUBSTITUTE(SUBSTITUTE(SUBSTITUTE(TRIM('월 가계부'!A896),"년","-"),"월","-"),"일",""),".","-"),"/","-")," ","-"),"--","-"),"--","-"),"--","-")&amp;"-","")</f>
        <v/>
      </c>
      <c r="CI896">
        <f>IFERROR(IF('월 가계부'!A896="","",IF(ISNUMBER('월 가계부'!A896),IF(AND('월 가계부'!A896&gt;=19000101,'월 가계부'!A896&lt;=21001231),IF(AND(MOD(INT('월 가계부'!A896/100),100)&gt;=1,MOD(INT('월 가계부'!A896/100),100)&lt;=12,MOD(INT('월 가계부'!A896),100)&gt;=1,MOD(INT('월 가계부'!A896),100)&lt;=31),IF(MONTH(DATE(INT('월 가계부'!A896/10000),MOD(INT('월 가계부'!A896/100),100),MOD(INT('월 가계부'!A896),100)))=MOD(INT('월 가계부'!A896/100),100),DATE(INT('월 가계부'!A896/10000),MOD(INT('월 가계부'!A896/100),100),MOD(INT('월 가계부'!A896),100)),""),""),IF(AND('월 가계부'!A896&gt;=36526,'월 가계부'!A896&lt;73051),INT('월 가계부'!A896),"")),IF(OR(CM896="",CN896="",CO896=""),"",IF(AND(CM896&gt;=2000,CM896&lt;=2099,CN896&gt;=1,CN896&lt;=12,CO896&gt;=1,CO896&lt;=31),IF(MONTH(DATE(CM896,CN896,CO896))=CN896,DATE(CM896,CN896,CO896),""),"")))),"")</f>
        <v/>
      </c>
      <c r="CJ896">
        <f>IFERROR(IF('월 가계부'!C896="","",IF(ISNUMBER('월 가계부'!C896),'월 가계부'!C896,VALUE(SUBSTITUTE(SUBSTITUTE(SUBSTITUTE(SUBSTITUTE(TRIM('월 가계부'!C896),",",""),"원","")," ",""),"−","-")))),"")</f>
        <v/>
      </c>
      <c r="CK896">
        <f>IF(ISNUMBER(CI896),IF(CI896&lt;$B$13,CI896,""),"")</f>
        <v/>
      </c>
      <c r="CM896">
        <f>IF(CH896="","",IFERROR(IF(IF(AND(LEN(CH896)=9,ISERROR(FIND("-",LEFT(CH896,8))),ISNUMBER(-LEFT(CH896,8))),VALUE(LEFT(CH896,4)),VALUE(LEFT(CH896,FIND("-",CH896)-1)))&lt;100,IF(AND(LEN(CH896)=9,ISERROR(FIND("-",LEFT(CH896,8))),ISNUMBER(-LEFT(CH896,8))),VALUE(LEFT(CH896,4)),VALUE(LEFT(CH896,FIND("-",CH896)-1)))+2000,IF(AND(LEN(CH896)=9,ISERROR(FIND("-",LEFT(CH896,8))),ISNUMBER(-LEFT(CH896,8))),VALUE(LEFT(CH896,4)),VALUE(LEFT(CH896,FIND("-",CH896)-1)))),""))</f>
        <v/>
      </c>
      <c r="CN896">
        <f>IF(CH896="","",IFERROR(IF(AND(LEN(CH896)=9,ISERROR(FIND("-",LEFT(CH896,8))),ISNUMBER(-LEFT(CH896,8))),VALUE(MID(CH896,5,2)),VALUE(MID(CH896,FIND("-",CH896)+1,FIND("-",CH896,FIND("-",CH896)+1)-FIND("-",CH896)-1))),""))</f>
        <v/>
      </c>
      <c r="CO896">
        <f>IF(CH896="","",IFERROR(IF(AND(LEN(CH896)=9,ISERROR(FIND("-",LEFT(CH896,8))),ISNUMBER(-LEFT(CH896,8))),VALUE(MID(CH896,7,2)),VALUE(MID(CH896,FIND("-",CH896,FIND("-",CH896)+1)+1,FIND("-",CH896,FIND("-",CH896,FIND("-",CH896)+1)+1)-FIND("-",CH896,FIND("-",CH896)+1)-1))),""))</f>
        <v/>
      </c>
    </row>
    <row r="897">
      <c r="CH897">
        <f>IF(ISTEXT('월 가계부'!A897),SUBSTITUTE(SUBSTITUTE(SUBSTITUTE(SUBSTITUTE(SUBSTITUTE(SUBSTITUTE(SUBSTITUTE(SUBSTITUTE(SUBSTITUTE(TRIM('월 가계부'!A897),"년","-"),"월","-"),"일",""),".","-"),"/","-")," ","-"),"--","-"),"--","-"),"--","-")&amp;"-","")</f>
        <v/>
      </c>
      <c r="CI897">
        <f>IFERROR(IF('월 가계부'!A897="","",IF(ISNUMBER('월 가계부'!A897),IF(AND('월 가계부'!A897&gt;=19000101,'월 가계부'!A897&lt;=21001231),IF(AND(MOD(INT('월 가계부'!A897/100),100)&gt;=1,MOD(INT('월 가계부'!A897/100),100)&lt;=12,MOD(INT('월 가계부'!A897),100)&gt;=1,MOD(INT('월 가계부'!A897),100)&lt;=31),IF(MONTH(DATE(INT('월 가계부'!A897/10000),MOD(INT('월 가계부'!A897/100),100),MOD(INT('월 가계부'!A897),100)))=MOD(INT('월 가계부'!A897/100),100),DATE(INT('월 가계부'!A897/10000),MOD(INT('월 가계부'!A897/100),100),MOD(INT('월 가계부'!A897),100)),""),""),IF(AND('월 가계부'!A897&gt;=36526,'월 가계부'!A897&lt;73051),INT('월 가계부'!A897),"")),IF(OR(CM897="",CN897="",CO897=""),"",IF(AND(CM897&gt;=2000,CM897&lt;=2099,CN897&gt;=1,CN897&lt;=12,CO897&gt;=1,CO897&lt;=31),IF(MONTH(DATE(CM897,CN897,CO897))=CN897,DATE(CM897,CN897,CO897),""),"")))),"")</f>
        <v/>
      </c>
      <c r="CJ897">
        <f>IFERROR(IF('월 가계부'!C897="","",IF(ISNUMBER('월 가계부'!C897),'월 가계부'!C897,VALUE(SUBSTITUTE(SUBSTITUTE(SUBSTITUTE(SUBSTITUTE(TRIM('월 가계부'!C897),",",""),"원","")," ",""),"−","-")))),"")</f>
        <v/>
      </c>
      <c r="CK897">
        <f>IF(ISNUMBER(CI897),IF(CI897&lt;$B$13,CI897,""),"")</f>
        <v/>
      </c>
      <c r="CM897">
        <f>IF(CH897="","",IFERROR(IF(IF(AND(LEN(CH897)=9,ISERROR(FIND("-",LEFT(CH897,8))),ISNUMBER(-LEFT(CH897,8))),VALUE(LEFT(CH897,4)),VALUE(LEFT(CH897,FIND("-",CH897)-1)))&lt;100,IF(AND(LEN(CH897)=9,ISERROR(FIND("-",LEFT(CH897,8))),ISNUMBER(-LEFT(CH897,8))),VALUE(LEFT(CH897,4)),VALUE(LEFT(CH897,FIND("-",CH897)-1)))+2000,IF(AND(LEN(CH897)=9,ISERROR(FIND("-",LEFT(CH897,8))),ISNUMBER(-LEFT(CH897,8))),VALUE(LEFT(CH897,4)),VALUE(LEFT(CH897,FIND("-",CH897)-1)))),""))</f>
        <v/>
      </c>
      <c r="CN897">
        <f>IF(CH897="","",IFERROR(IF(AND(LEN(CH897)=9,ISERROR(FIND("-",LEFT(CH897,8))),ISNUMBER(-LEFT(CH897,8))),VALUE(MID(CH897,5,2)),VALUE(MID(CH897,FIND("-",CH897)+1,FIND("-",CH897,FIND("-",CH897)+1)-FIND("-",CH897)-1))),""))</f>
        <v/>
      </c>
      <c r="CO897">
        <f>IF(CH897="","",IFERROR(IF(AND(LEN(CH897)=9,ISERROR(FIND("-",LEFT(CH897,8))),ISNUMBER(-LEFT(CH897,8))),VALUE(MID(CH897,7,2)),VALUE(MID(CH897,FIND("-",CH897,FIND("-",CH897)+1)+1,FIND("-",CH897,FIND("-",CH897,FIND("-",CH897)+1)+1)-FIND("-",CH897,FIND("-",CH897)+1)-1))),""))</f>
        <v/>
      </c>
    </row>
    <row r="898">
      <c r="CH898">
        <f>IF(ISTEXT('월 가계부'!A898),SUBSTITUTE(SUBSTITUTE(SUBSTITUTE(SUBSTITUTE(SUBSTITUTE(SUBSTITUTE(SUBSTITUTE(SUBSTITUTE(SUBSTITUTE(TRIM('월 가계부'!A898),"년","-"),"월","-"),"일",""),".","-"),"/","-")," ","-"),"--","-"),"--","-"),"--","-")&amp;"-","")</f>
        <v/>
      </c>
      <c r="CI898">
        <f>IFERROR(IF('월 가계부'!A898="","",IF(ISNUMBER('월 가계부'!A898),IF(AND('월 가계부'!A898&gt;=19000101,'월 가계부'!A898&lt;=21001231),IF(AND(MOD(INT('월 가계부'!A898/100),100)&gt;=1,MOD(INT('월 가계부'!A898/100),100)&lt;=12,MOD(INT('월 가계부'!A898),100)&gt;=1,MOD(INT('월 가계부'!A898),100)&lt;=31),IF(MONTH(DATE(INT('월 가계부'!A898/10000),MOD(INT('월 가계부'!A898/100),100),MOD(INT('월 가계부'!A898),100)))=MOD(INT('월 가계부'!A898/100),100),DATE(INT('월 가계부'!A898/10000),MOD(INT('월 가계부'!A898/100),100),MOD(INT('월 가계부'!A898),100)),""),""),IF(AND('월 가계부'!A898&gt;=36526,'월 가계부'!A898&lt;73051),INT('월 가계부'!A898),"")),IF(OR(CM898="",CN898="",CO898=""),"",IF(AND(CM898&gt;=2000,CM898&lt;=2099,CN898&gt;=1,CN898&lt;=12,CO898&gt;=1,CO898&lt;=31),IF(MONTH(DATE(CM898,CN898,CO898))=CN898,DATE(CM898,CN898,CO898),""),"")))),"")</f>
        <v/>
      </c>
      <c r="CJ898">
        <f>IFERROR(IF('월 가계부'!C898="","",IF(ISNUMBER('월 가계부'!C898),'월 가계부'!C898,VALUE(SUBSTITUTE(SUBSTITUTE(SUBSTITUTE(SUBSTITUTE(TRIM('월 가계부'!C898),",",""),"원","")," ",""),"−","-")))),"")</f>
        <v/>
      </c>
      <c r="CK898">
        <f>IF(ISNUMBER(CI898),IF(CI898&lt;$B$13,CI898,""),"")</f>
        <v/>
      </c>
      <c r="CM898">
        <f>IF(CH898="","",IFERROR(IF(IF(AND(LEN(CH898)=9,ISERROR(FIND("-",LEFT(CH898,8))),ISNUMBER(-LEFT(CH898,8))),VALUE(LEFT(CH898,4)),VALUE(LEFT(CH898,FIND("-",CH898)-1)))&lt;100,IF(AND(LEN(CH898)=9,ISERROR(FIND("-",LEFT(CH898,8))),ISNUMBER(-LEFT(CH898,8))),VALUE(LEFT(CH898,4)),VALUE(LEFT(CH898,FIND("-",CH898)-1)))+2000,IF(AND(LEN(CH898)=9,ISERROR(FIND("-",LEFT(CH898,8))),ISNUMBER(-LEFT(CH898,8))),VALUE(LEFT(CH898,4)),VALUE(LEFT(CH898,FIND("-",CH898)-1)))),""))</f>
        <v/>
      </c>
      <c r="CN898">
        <f>IF(CH898="","",IFERROR(IF(AND(LEN(CH898)=9,ISERROR(FIND("-",LEFT(CH898,8))),ISNUMBER(-LEFT(CH898,8))),VALUE(MID(CH898,5,2)),VALUE(MID(CH898,FIND("-",CH898)+1,FIND("-",CH898,FIND("-",CH898)+1)-FIND("-",CH898)-1))),""))</f>
        <v/>
      </c>
      <c r="CO898">
        <f>IF(CH898="","",IFERROR(IF(AND(LEN(CH898)=9,ISERROR(FIND("-",LEFT(CH898,8))),ISNUMBER(-LEFT(CH898,8))),VALUE(MID(CH898,7,2)),VALUE(MID(CH898,FIND("-",CH898,FIND("-",CH898)+1)+1,FIND("-",CH898,FIND("-",CH898,FIND("-",CH898)+1)+1)-FIND("-",CH898,FIND("-",CH898)+1)-1))),""))</f>
        <v/>
      </c>
    </row>
    <row r="899">
      <c r="CH899">
        <f>IF(ISTEXT('월 가계부'!A899),SUBSTITUTE(SUBSTITUTE(SUBSTITUTE(SUBSTITUTE(SUBSTITUTE(SUBSTITUTE(SUBSTITUTE(SUBSTITUTE(SUBSTITUTE(TRIM('월 가계부'!A899),"년","-"),"월","-"),"일",""),".","-"),"/","-")," ","-"),"--","-"),"--","-"),"--","-")&amp;"-","")</f>
        <v/>
      </c>
      <c r="CI899">
        <f>IFERROR(IF('월 가계부'!A899="","",IF(ISNUMBER('월 가계부'!A899),IF(AND('월 가계부'!A899&gt;=19000101,'월 가계부'!A899&lt;=21001231),IF(AND(MOD(INT('월 가계부'!A899/100),100)&gt;=1,MOD(INT('월 가계부'!A899/100),100)&lt;=12,MOD(INT('월 가계부'!A899),100)&gt;=1,MOD(INT('월 가계부'!A899),100)&lt;=31),IF(MONTH(DATE(INT('월 가계부'!A899/10000),MOD(INT('월 가계부'!A899/100),100),MOD(INT('월 가계부'!A899),100)))=MOD(INT('월 가계부'!A899/100),100),DATE(INT('월 가계부'!A899/10000),MOD(INT('월 가계부'!A899/100),100),MOD(INT('월 가계부'!A899),100)),""),""),IF(AND('월 가계부'!A899&gt;=36526,'월 가계부'!A899&lt;73051),INT('월 가계부'!A899),"")),IF(OR(CM899="",CN899="",CO899=""),"",IF(AND(CM899&gt;=2000,CM899&lt;=2099,CN899&gt;=1,CN899&lt;=12,CO899&gt;=1,CO899&lt;=31),IF(MONTH(DATE(CM899,CN899,CO899))=CN899,DATE(CM899,CN899,CO899),""),"")))),"")</f>
        <v/>
      </c>
      <c r="CJ899">
        <f>IFERROR(IF('월 가계부'!C899="","",IF(ISNUMBER('월 가계부'!C899),'월 가계부'!C899,VALUE(SUBSTITUTE(SUBSTITUTE(SUBSTITUTE(SUBSTITUTE(TRIM('월 가계부'!C899),",",""),"원","")," ",""),"−","-")))),"")</f>
        <v/>
      </c>
      <c r="CK899">
        <f>IF(ISNUMBER(CI899),IF(CI899&lt;$B$13,CI899,""),"")</f>
        <v/>
      </c>
      <c r="CM899">
        <f>IF(CH899="","",IFERROR(IF(IF(AND(LEN(CH899)=9,ISERROR(FIND("-",LEFT(CH899,8))),ISNUMBER(-LEFT(CH899,8))),VALUE(LEFT(CH899,4)),VALUE(LEFT(CH899,FIND("-",CH899)-1)))&lt;100,IF(AND(LEN(CH899)=9,ISERROR(FIND("-",LEFT(CH899,8))),ISNUMBER(-LEFT(CH899,8))),VALUE(LEFT(CH899,4)),VALUE(LEFT(CH899,FIND("-",CH899)-1)))+2000,IF(AND(LEN(CH899)=9,ISERROR(FIND("-",LEFT(CH899,8))),ISNUMBER(-LEFT(CH899,8))),VALUE(LEFT(CH899,4)),VALUE(LEFT(CH899,FIND("-",CH899)-1)))),""))</f>
        <v/>
      </c>
      <c r="CN899">
        <f>IF(CH899="","",IFERROR(IF(AND(LEN(CH899)=9,ISERROR(FIND("-",LEFT(CH899,8))),ISNUMBER(-LEFT(CH899,8))),VALUE(MID(CH899,5,2)),VALUE(MID(CH899,FIND("-",CH899)+1,FIND("-",CH899,FIND("-",CH899)+1)-FIND("-",CH899)-1))),""))</f>
        <v/>
      </c>
      <c r="CO899">
        <f>IF(CH899="","",IFERROR(IF(AND(LEN(CH899)=9,ISERROR(FIND("-",LEFT(CH899,8))),ISNUMBER(-LEFT(CH899,8))),VALUE(MID(CH899,7,2)),VALUE(MID(CH899,FIND("-",CH899,FIND("-",CH899)+1)+1,FIND("-",CH899,FIND("-",CH899,FIND("-",CH899)+1)+1)-FIND("-",CH899,FIND("-",CH899)+1)-1))),""))</f>
        <v/>
      </c>
    </row>
    <row r="900">
      <c r="CH900">
        <f>IF(ISTEXT('월 가계부'!A900),SUBSTITUTE(SUBSTITUTE(SUBSTITUTE(SUBSTITUTE(SUBSTITUTE(SUBSTITUTE(SUBSTITUTE(SUBSTITUTE(SUBSTITUTE(TRIM('월 가계부'!A900),"년","-"),"월","-"),"일",""),".","-"),"/","-")," ","-"),"--","-"),"--","-"),"--","-")&amp;"-","")</f>
        <v/>
      </c>
      <c r="CI900">
        <f>IFERROR(IF('월 가계부'!A900="","",IF(ISNUMBER('월 가계부'!A900),IF(AND('월 가계부'!A900&gt;=19000101,'월 가계부'!A900&lt;=21001231),IF(AND(MOD(INT('월 가계부'!A900/100),100)&gt;=1,MOD(INT('월 가계부'!A900/100),100)&lt;=12,MOD(INT('월 가계부'!A900),100)&gt;=1,MOD(INT('월 가계부'!A900),100)&lt;=31),IF(MONTH(DATE(INT('월 가계부'!A900/10000),MOD(INT('월 가계부'!A900/100),100),MOD(INT('월 가계부'!A900),100)))=MOD(INT('월 가계부'!A900/100),100),DATE(INT('월 가계부'!A900/10000),MOD(INT('월 가계부'!A900/100),100),MOD(INT('월 가계부'!A900),100)),""),""),IF(AND('월 가계부'!A900&gt;=36526,'월 가계부'!A900&lt;73051),INT('월 가계부'!A900),"")),IF(OR(CM900="",CN900="",CO900=""),"",IF(AND(CM900&gt;=2000,CM900&lt;=2099,CN900&gt;=1,CN900&lt;=12,CO900&gt;=1,CO900&lt;=31),IF(MONTH(DATE(CM900,CN900,CO900))=CN900,DATE(CM900,CN900,CO900),""),"")))),"")</f>
        <v/>
      </c>
      <c r="CJ900">
        <f>IFERROR(IF('월 가계부'!C900="","",IF(ISNUMBER('월 가계부'!C900),'월 가계부'!C900,VALUE(SUBSTITUTE(SUBSTITUTE(SUBSTITUTE(SUBSTITUTE(TRIM('월 가계부'!C900),",",""),"원","")," ",""),"−","-")))),"")</f>
        <v/>
      </c>
      <c r="CK900">
        <f>IF(ISNUMBER(CI900),IF(CI900&lt;$B$13,CI900,""),"")</f>
        <v/>
      </c>
      <c r="CM900">
        <f>IF(CH900="","",IFERROR(IF(IF(AND(LEN(CH900)=9,ISERROR(FIND("-",LEFT(CH900,8))),ISNUMBER(-LEFT(CH900,8))),VALUE(LEFT(CH900,4)),VALUE(LEFT(CH900,FIND("-",CH900)-1)))&lt;100,IF(AND(LEN(CH900)=9,ISERROR(FIND("-",LEFT(CH900,8))),ISNUMBER(-LEFT(CH900,8))),VALUE(LEFT(CH900,4)),VALUE(LEFT(CH900,FIND("-",CH900)-1)))+2000,IF(AND(LEN(CH900)=9,ISERROR(FIND("-",LEFT(CH900,8))),ISNUMBER(-LEFT(CH900,8))),VALUE(LEFT(CH900,4)),VALUE(LEFT(CH900,FIND("-",CH900)-1)))),""))</f>
        <v/>
      </c>
      <c r="CN900">
        <f>IF(CH900="","",IFERROR(IF(AND(LEN(CH900)=9,ISERROR(FIND("-",LEFT(CH900,8))),ISNUMBER(-LEFT(CH900,8))),VALUE(MID(CH900,5,2)),VALUE(MID(CH900,FIND("-",CH900)+1,FIND("-",CH900,FIND("-",CH900)+1)-FIND("-",CH900)-1))),""))</f>
        <v/>
      </c>
      <c r="CO900">
        <f>IF(CH900="","",IFERROR(IF(AND(LEN(CH900)=9,ISERROR(FIND("-",LEFT(CH900,8))),ISNUMBER(-LEFT(CH900,8))),VALUE(MID(CH900,7,2)),VALUE(MID(CH900,FIND("-",CH900,FIND("-",CH900)+1)+1,FIND("-",CH900,FIND("-",CH900,FIND("-",CH900)+1)+1)-FIND("-",CH900,FIND("-",CH900)+1)-1))),""))</f>
        <v/>
      </c>
    </row>
    <row r="901">
      <c r="CH901">
        <f>IF(ISTEXT('월 가계부'!A901),SUBSTITUTE(SUBSTITUTE(SUBSTITUTE(SUBSTITUTE(SUBSTITUTE(SUBSTITUTE(SUBSTITUTE(SUBSTITUTE(SUBSTITUTE(TRIM('월 가계부'!A901),"년","-"),"월","-"),"일",""),".","-"),"/","-")," ","-"),"--","-"),"--","-"),"--","-")&amp;"-","")</f>
        <v/>
      </c>
      <c r="CI901">
        <f>IFERROR(IF('월 가계부'!A901="","",IF(ISNUMBER('월 가계부'!A901),IF(AND('월 가계부'!A901&gt;=19000101,'월 가계부'!A901&lt;=21001231),IF(AND(MOD(INT('월 가계부'!A901/100),100)&gt;=1,MOD(INT('월 가계부'!A901/100),100)&lt;=12,MOD(INT('월 가계부'!A901),100)&gt;=1,MOD(INT('월 가계부'!A901),100)&lt;=31),IF(MONTH(DATE(INT('월 가계부'!A901/10000),MOD(INT('월 가계부'!A901/100),100),MOD(INT('월 가계부'!A901),100)))=MOD(INT('월 가계부'!A901/100),100),DATE(INT('월 가계부'!A901/10000),MOD(INT('월 가계부'!A901/100),100),MOD(INT('월 가계부'!A901),100)),""),""),IF(AND('월 가계부'!A901&gt;=36526,'월 가계부'!A901&lt;73051),INT('월 가계부'!A901),"")),IF(OR(CM901="",CN901="",CO901=""),"",IF(AND(CM901&gt;=2000,CM901&lt;=2099,CN901&gt;=1,CN901&lt;=12,CO901&gt;=1,CO901&lt;=31),IF(MONTH(DATE(CM901,CN901,CO901))=CN901,DATE(CM901,CN901,CO901),""),"")))),"")</f>
        <v/>
      </c>
      <c r="CJ901">
        <f>IFERROR(IF('월 가계부'!C901="","",IF(ISNUMBER('월 가계부'!C901),'월 가계부'!C901,VALUE(SUBSTITUTE(SUBSTITUTE(SUBSTITUTE(SUBSTITUTE(TRIM('월 가계부'!C901),",",""),"원","")," ",""),"−","-")))),"")</f>
        <v/>
      </c>
      <c r="CK901">
        <f>IF(ISNUMBER(CI901),IF(CI901&lt;$B$13,CI901,""),"")</f>
        <v/>
      </c>
      <c r="CM901">
        <f>IF(CH901="","",IFERROR(IF(IF(AND(LEN(CH901)=9,ISERROR(FIND("-",LEFT(CH901,8))),ISNUMBER(-LEFT(CH901,8))),VALUE(LEFT(CH901,4)),VALUE(LEFT(CH901,FIND("-",CH901)-1)))&lt;100,IF(AND(LEN(CH901)=9,ISERROR(FIND("-",LEFT(CH901,8))),ISNUMBER(-LEFT(CH901,8))),VALUE(LEFT(CH901,4)),VALUE(LEFT(CH901,FIND("-",CH901)-1)))+2000,IF(AND(LEN(CH901)=9,ISERROR(FIND("-",LEFT(CH901,8))),ISNUMBER(-LEFT(CH901,8))),VALUE(LEFT(CH901,4)),VALUE(LEFT(CH901,FIND("-",CH901)-1)))),""))</f>
        <v/>
      </c>
      <c r="CN901">
        <f>IF(CH901="","",IFERROR(IF(AND(LEN(CH901)=9,ISERROR(FIND("-",LEFT(CH901,8))),ISNUMBER(-LEFT(CH901,8))),VALUE(MID(CH901,5,2)),VALUE(MID(CH901,FIND("-",CH901)+1,FIND("-",CH901,FIND("-",CH901)+1)-FIND("-",CH901)-1))),""))</f>
        <v/>
      </c>
      <c r="CO901">
        <f>IF(CH901="","",IFERROR(IF(AND(LEN(CH901)=9,ISERROR(FIND("-",LEFT(CH901,8))),ISNUMBER(-LEFT(CH901,8))),VALUE(MID(CH901,7,2)),VALUE(MID(CH901,FIND("-",CH901,FIND("-",CH901)+1)+1,FIND("-",CH901,FIND("-",CH901,FIND("-",CH901)+1)+1)-FIND("-",CH901,FIND("-",CH901)+1)-1))),""))</f>
        <v/>
      </c>
    </row>
    <row r="902">
      <c r="CH902">
        <f>IF(ISTEXT('월 가계부'!A902),SUBSTITUTE(SUBSTITUTE(SUBSTITUTE(SUBSTITUTE(SUBSTITUTE(SUBSTITUTE(SUBSTITUTE(SUBSTITUTE(SUBSTITUTE(TRIM('월 가계부'!A902),"년","-"),"월","-"),"일",""),".","-"),"/","-")," ","-"),"--","-"),"--","-"),"--","-")&amp;"-","")</f>
        <v/>
      </c>
      <c r="CI902">
        <f>IFERROR(IF('월 가계부'!A902="","",IF(ISNUMBER('월 가계부'!A902),IF(AND('월 가계부'!A902&gt;=19000101,'월 가계부'!A902&lt;=21001231),IF(AND(MOD(INT('월 가계부'!A902/100),100)&gt;=1,MOD(INT('월 가계부'!A902/100),100)&lt;=12,MOD(INT('월 가계부'!A902),100)&gt;=1,MOD(INT('월 가계부'!A902),100)&lt;=31),IF(MONTH(DATE(INT('월 가계부'!A902/10000),MOD(INT('월 가계부'!A902/100),100),MOD(INT('월 가계부'!A902),100)))=MOD(INT('월 가계부'!A902/100),100),DATE(INT('월 가계부'!A902/10000),MOD(INT('월 가계부'!A902/100),100),MOD(INT('월 가계부'!A902),100)),""),""),IF(AND('월 가계부'!A902&gt;=36526,'월 가계부'!A902&lt;73051),INT('월 가계부'!A902),"")),IF(OR(CM902="",CN902="",CO902=""),"",IF(AND(CM902&gt;=2000,CM902&lt;=2099,CN902&gt;=1,CN902&lt;=12,CO902&gt;=1,CO902&lt;=31),IF(MONTH(DATE(CM902,CN902,CO902))=CN902,DATE(CM902,CN902,CO902),""),"")))),"")</f>
        <v/>
      </c>
      <c r="CJ902">
        <f>IFERROR(IF('월 가계부'!C902="","",IF(ISNUMBER('월 가계부'!C902),'월 가계부'!C902,VALUE(SUBSTITUTE(SUBSTITUTE(SUBSTITUTE(SUBSTITUTE(TRIM('월 가계부'!C902),",",""),"원","")," ",""),"−","-")))),"")</f>
        <v/>
      </c>
      <c r="CK902">
        <f>IF(ISNUMBER(CI902),IF(CI902&lt;$B$13,CI902,""),"")</f>
        <v/>
      </c>
      <c r="CM902">
        <f>IF(CH902="","",IFERROR(IF(IF(AND(LEN(CH902)=9,ISERROR(FIND("-",LEFT(CH902,8))),ISNUMBER(-LEFT(CH902,8))),VALUE(LEFT(CH902,4)),VALUE(LEFT(CH902,FIND("-",CH902)-1)))&lt;100,IF(AND(LEN(CH902)=9,ISERROR(FIND("-",LEFT(CH902,8))),ISNUMBER(-LEFT(CH902,8))),VALUE(LEFT(CH902,4)),VALUE(LEFT(CH902,FIND("-",CH902)-1)))+2000,IF(AND(LEN(CH902)=9,ISERROR(FIND("-",LEFT(CH902,8))),ISNUMBER(-LEFT(CH902,8))),VALUE(LEFT(CH902,4)),VALUE(LEFT(CH902,FIND("-",CH902)-1)))),""))</f>
        <v/>
      </c>
      <c r="CN902">
        <f>IF(CH902="","",IFERROR(IF(AND(LEN(CH902)=9,ISERROR(FIND("-",LEFT(CH902,8))),ISNUMBER(-LEFT(CH902,8))),VALUE(MID(CH902,5,2)),VALUE(MID(CH902,FIND("-",CH902)+1,FIND("-",CH902,FIND("-",CH902)+1)-FIND("-",CH902)-1))),""))</f>
        <v/>
      </c>
      <c r="CO902">
        <f>IF(CH902="","",IFERROR(IF(AND(LEN(CH902)=9,ISERROR(FIND("-",LEFT(CH902,8))),ISNUMBER(-LEFT(CH902,8))),VALUE(MID(CH902,7,2)),VALUE(MID(CH902,FIND("-",CH902,FIND("-",CH902)+1)+1,FIND("-",CH902,FIND("-",CH902,FIND("-",CH902)+1)+1)-FIND("-",CH902,FIND("-",CH902)+1)-1))),""))</f>
        <v/>
      </c>
    </row>
    <row r="903">
      <c r="CH903">
        <f>IF(ISTEXT('월 가계부'!A903),SUBSTITUTE(SUBSTITUTE(SUBSTITUTE(SUBSTITUTE(SUBSTITUTE(SUBSTITUTE(SUBSTITUTE(SUBSTITUTE(SUBSTITUTE(TRIM('월 가계부'!A903),"년","-"),"월","-"),"일",""),".","-"),"/","-")," ","-"),"--","-"),"--","-"),"--","-")&amp;"-","")</f>
        <v/>
      </c>
      <c r="CI903">
        <f>IFERROR(IF('월 가계부'!A903="","",IF(ISNUMBER('월 가계부'!A903),IF(AND('월 가계부'!A903&gt;=19000101,'월 가계부'!A903&lt;=21001231),IF(AND(MOD(INT('월 가계부'!A903/100),100)&gt;=1,MOD(INT('월 가계부'!A903/100),100)&lt;=12,MOD(INT('월 가계부'!A903),100)&gt;=1,MOD(INT('월 가계부'!A903),100)&lt;=31),IF(MONTH(DATE(INT('월 가계부'!A903/10000),MOD(INT('월 가계부'!A903/100),100),MOD(INT('월 가계부'!A903),100)))=MOD(INT('월 가계부'!A903/100),100),DATE(INT('월 가계부'!A903/10000),MOD(INT('월 가계부'!A903/100),100),MOD(INT('월 가계부'!A903),100)),""),""),IF(AND('월 가계부'!A903&gt;=36526,'월 가계부'!A903&lt;73051),INT('월 가계부'!A903),"")),IF(OR(CM903="",CN903="",CO903=""),"",IF(AND(CM903&gt;=2000,CM903&lt;=2099,CN903&gt;=1,CN903&lt;=12,CO903&gt;=1,CO903&lt;=31),IF(MONTH(DATE(CM903,CN903,CO903))=CN903,DATE(CM903,CN903,CO903),""),"")))),"")</f>
        <v/>
      </c>
      <c r="CJ903">
        <f>IFERROR(IF('월 가계부'!C903="","",IF(ISNUMBER('월 가계부'!C903),'월 가계부'!C903,VALUE(SUBSTITUTE(SUBSTITUTE(SUBSTITUTE(SUBSTITUTE(TRIM('월 가계부'!C903),",",""),"원","")," ",""),"−","-")))),"")</f>
        <v/>
      </c>
      <c r="CK903">
        <f>IF(ISNUMBER(CI903),IF(CI903&lt;$B$13,CI903,""),"")</f>
        <v/>
      </c>
      <c r="CM903">
        <f>IF(CH903="","",IFERROR(IF(IF(AND(LEN(CH903)=9,ISERROR(FIND("-",LEFT(CH903,8))),ISNUMBER(-LEFT(CH903,8))),VALUE(LEFT(CH903,4)),VALUE(LEFT(CH903,FIND("-",CH903)-1)))&lt;100,IF(AND(LEN(CH903)=9,ISERROR(FIND("-",LEFT(CH903,8))),ISNUMBER(-LEFT(CH903,8))),VALUE(LEFT(CH903,4)),VALUE(LEFT(CH903,FIND("-",CH903)-1)))+2000,IF(AND(LEN(CH903)=9,ISERROR(FIND("-",LEFT(CH903,8))),ISNUMBER(-LEFT(CH903,8))),VALUE(LEFT(CH903,4)),VALUE(LEFT(CH903,FIND("-",CH903)-1)))),""))</f>
        <v/>
      </c>
      <c r="CN903">
        <f>IF(CH903="","",IFERROR(IF(AND(LEN(CH903)=9,ISERROR(FIND("-",LEFT(CH903,8))),ISNUMBER(-LEFT(CH903,8))),VALUE(MID(CH903,5,2)),VALUE(MID(CH903,FIND("-",CH903)+1,FIND("-",CH903,FIND("-",CH903)+1)-FIND("-",CH903)-1))),""))</f>
        <v/>
      </c>
      <c r="CO903">
        <f>IF(CH903="","",IFERROR(IF(AND(LEN(CH903)=9,ISERROR(FIND("-",LEFT(CH903,8))),ISNUMBER(-LEFT(CH903,8))),VALUE(MID(CH903,7,2)),VALUE(MID(CH903,FIND("-",CH903,FIND("-",CH903)+1)+1,FIND("-",CH903,FIND("-",CH903,FIND("-",CH903)+1)+1)-FIND("-",CH903,FIND("-",CH903)+1)-1))),""))</f>
        <v/>
      </c>
    </row>
    <row r="904">
      <c r="CH904">
        <f>IF(ISTEXT('월 가계부'!A904),SUBSTITUTE(SUBSTITUTE(SUBSTITUTE(SUBSTITUTE(SUBSTITUTE(SUBSTITUTE(SUBSTITUTE(SUBSTITUTE(SUBSTITUTE(TRIM('월 가계부'!A904),"년","-"),"월","-"),"일",""),".","-"),"/","-")," ","-"),"--","-"),"--","-"),"--","-")&amp;"-","")</f>
        <v/>
      </c>
      <c r="CI904">
        <f>IFERROR(IF('월 가계부'!A904="","",IF(ISNUMBER('월 가계부'!A904),IF(AND('월 가계부'!A904&gt;=19000101,'월 가계부'!A904&lt;=21001231),IF(AND(MOD(INT('월 가계부'!A904/100),100)&gt;=1,MOD(INT('월 가계부'!A904/100),100)&lt;=12,MOD(INT('월 가계부'!A904),100)&gt;=1,MOD(INT('월 가계부'!A904),100)&lt;=31),IF(MONTH(DATE(INT('월 가계부'!A904/10000),MOD(INT('월 가계부'!A904/100),100),MOD(INT('월 가계부'!A904),100)))=MOD(INT('월 가계부'!A904/100),100),DATE(INT('월 가계부'!A904/10000),MOD(INT('월 가계부'!A904/100),100),MOD(INT('월 가계부'!A904),100)),""),""),IF(AND('월 가계부'!A904&gt;=36526,'월 가계부'!A904&lt;73051),INT('월 가계부'!A904),"")),IF(OR(CM904="",CN904="",CO904=""),"",IF(AND(CM904&gt;=2000,CM904&lt;=2099,CN904&gt;=1,CN904&lt;=12,CO904&gt;=1,CO904&lt;=31),IF(MONTH(DATE(CM904,CN904,CO904))=CN904,DATE(CM904,CN904,CO904),""),"")))),"")</f>
        <v/>
      </c>
      <c r="CJ904">
        <f>IFERROR(IF('월 가계부'!C904="","",IF(ISNUMBER('월 가계부'!C904),'월 가계부'!C904,VALUE(SUBSTITUTE(SUBSTITUTE(SUBSTITUTE(SUBSTITUTE(TRIM('월 가계부'!C904),",",""),"원","")," ",""),"−","-")))),"")</f>
        <v/>
      </c>
      <c r="CK904">
        <f>IF(ISNUMBER(CI904),IF(CI904&lt;$B$13,CI904,""),"")</f>
        <v/>
      </c>
      <c r="CM904">
        <f>IF(CH904="","",IFERROR(IF(IF(AND(LEN(CH904)=9,ISERROR(FIND("-",LEFT(CH904,8))),ISNUMBER(-LEFT(CH904,8))),VALUE(LEFT(CH904,4)),VALUE(LEFT(CH904,FIND("-",CH904)-1)))&lt;100,IF(AND(LEN(CH904)=9,ISERROR(FIND("-",LEFT(CH904,8))),ISNUMBER(-LEFT(CH904,8))),VALUE(LEFT(CH904,4)),VALUE(LEFT(CH904,FIND("-",CH904)-1)))+2000,IF(AND(LEN(CH904)=9,ISERROR(FIND("-",LEFT(CH904,8))),ISNUMBER(-LEFT(CH904,8))),VALUE(LEFT(CH904,4)),VALUE(LEFT(CH904,FIND("-",CH904)-1)))),""))</f>
        <v/>
      </c>
      <c r="CN904">
        <f>IF(CH904="","",IFERROR(IF(AND(LEN(CH904)=9,ISERROR(FIND("-",LEFT(CH904,8))),ISNUMBER(-LEFT(CH904,8))),VALUE(MID(CH904,5,2)),VALUE(MID(CH904,FIND("-",CH904)+1,FIND("-",CH904,FIND("-",CH904)+1)-FIND("-",CH904)-1))),""))</f>
        <v/>
      </c>
      <c r="CO904">
        <f>IF(CH904="","",IFERROR(IF(AND(LEN(CH904)=9,ISERROR(FIND("-",LEFT(CH904,8))),ISNUMBER(-LEFT(CH904,8))),VALUE(MID(CH904,7,2)),VALUE(MID(CH904,FIND("-",CH904,FIND("-",CH904)+1)+1,FIND("-",CH904,FIND("-",CH904,FIND("-",CH904)+1)+1)-FIND("-",CH904,FIND("-",CH904)+1)-1))),""))</f>
        <v/>
      </c>
    </row>
    <row r="905">
      <c r="CH905">
        <f>IF(ISTEXT('월 가계부'!A905),SUBSTITUTE(SUBSTITUTE(SUBSTITUTE(SUBSTITUTE(SUBSTITUTE(SUBSTITUTE(SUBSTITUTE(SUBSTITUTE(SUBSTITUTE(TRIM('월 가계부'!A905),"년","-"),"월","-"),"일",""),".","-"),"/","-")," ","-"),"--","-"),"--","-"),"--","-")&amp;"-","")</f>
        <v/>
      </c>
      <c r="CI905">
        <f>IFERROR(IF('월 가계부'!A905="","",IF(ISNUMBER('월 가계부'!A905),IF(AND('월 가계부'!A905&gt;=19000101,'월 가계부'!A905&lt;=21001231),IF(AND(MOD(INT('월 가계부'!A905/100),100)&gt;=1,MOD(INT('월 가계부'!A905/100),100)&lt;=12,MOD(INT('월 가계부'!A905),100)&gt;=1,MOD(INT('월 가계부'!A905),100)&lt;=31),IF(MONTH(DATE(INT('월 가계부'!A905/10000),MOD(INT('월 가계부'!A905/100),100),MOD(INT('월 가계부'!A905),100)))=MOD(INT('월 가계부'!A905/100),100),DATE(INT('월 가계부'!A905/10000),MOD(INT('월 가계부'!A905/100),100),MOD(INT('월 가계부'!A905),100)),""),""),IF(AND('월 가계부'!A905&gt;=36526,'월 가계부'!A905&lt;73051),INT('월 가계부'!A905),"")),IF(OR(CM905="",CN905="",CO905=""),"",IF(AND(CM905&gt;=2000,CM905&lt;=2099,CN905&gt;=1,CN905&lt;=12,CO905&gt;=1,CO905&lt;=31),IF(MONTH(DATE(CM905,CN905,CO905))=CN905,DATE(CM905,CN905,CO905),""),"")))),"")</f>
        <v/>
      </c>
      <c r="CJ905">
        <f>IFERROR(IF('월 가계부'!C905="","",IF(ISNUMBER('월 가계부'!C905),'월 가계부'!C905,VALUE(SUBSTITUTE(SUBSTITUTE(SUBSTITUTE(SUBSTITUTE(TRIM('월 가계부'!C905),",",""),"원","")," ",""),"−","-")))),"")</f>
        <v/>
      </c>
      <c r="CK905">
        <f>IF(ISNUMBER(CI905),IF(CI905&lt;$B$13,CI905,""),"")</f>
        <v/>
      </c>
      <c r="CM905">
        <f>IF(CH905="","",IFERROR(IF(IF(AND(LEN(CH905)=9,ISERROR(FIND("-",LEFT(CH905,8))),ISNUMBER(-LEFT(CH905,8))),VALUE(LEFT(CH905,4)),VALUE(LEFT(CH905,FIND("-",CH905)-1)))&lt;100,IF(AND(LEN(CH905)=9,ISERROR(FIND("-",LEFT(CH905,8))),ISNUMBER(-LEFT(CH905,8))),VALUE(LEFT(CH905,4)),VALUE(LEFT(CH905,FIND("-",CH905)-1)))+2000,IF(AND(LEN(CH905)=9,ISERROR(FIND("-",LEFT(CH905,8))),ISNUMBER(-LEFT(CH905,8))),VALUE(LEFT(CH905,4)),VALUE(LEFT(CH905,FIND("-",CH905)-1)))),""))</f>
        <v/>
      </c>
      <c r="CN905">
        <f>IF(CH905="","",IFERROR(IF(AND(LEN(CH905)=9,ISERROR(FIND("-",LEFT(CH905,8))),ISNUMBER(-LEFT(CH905,8))),VALUE(MID(CH905,5,2)),VALUE(MID(CH905,FIND("-",CH905)+1,FIND("-",CH905,FIND("-",CH905)+1)-FIND("-",CH905)-1))),""))</f>
        <v/>
      </c>
      <c r="CO905">
        <f>IF(CH905="","",IFERROR(IF(AND(LEN(CH905)=9,ISERROR(FIND("-",LEFT(CH905,8))),ISNUMBER(-LEFT(CH905,8))),VALUE(MID(CH905,7,2)),VALUE(MID(CH905,FIND("-",CH905,FIND("-",CH905)+1)+1,FIND("-",CH905,FIND("-",CH905,FIND("-",CH905)+1)+1)-FIND("-",CH905,FIND("-",CH905)+1)-1))),""))</f>
        <v/>
      </c>
    </row>
    <row r="906">
      <c r="CH906">
        <f>IF(ISTEXT('월 가계부'!A906),SUBSTITUTE(SUBSTITUTE(SUBSTITUTE(SUBSTITUTE(SUBSTITUTE(SUBSTITUTE(SUBSTITUTE(SUBSTITUTE(SUBSTITUTE(TRIM('월 가계부'!A906),"년","-"),"월","-"),"일",""),".","-"),"/","-")," ","-"),"--","-"),"--","-"),"--","-")&amp;"-","")</f>
        <v/>
      </c>
      <c r="CI906">
        <f>IFERROR(IF('월 가계부'!A906="","",IF(ISNUMBER('월 가계부'!A906),IF(AND('월 가계부'!A906&gt;=19000101,'월 가계부'!A906&lt;=21001231),IF(AND(MOD(INT('월 가계부'!A906/100),100)&gt;=1,MOD(INT('월 가계부'!A906/100),100)&lt;=12,MOD(INT('월 가계부'!A906),100)&gt;=1,MOD(INT('월 가계부'!A906),100)&lt;=31),IF(MONTH(DATE(INT('월 가계부'!A906/10000),MOD(INT('월 가계부'!A906/100),100),MOD(INT('월 가계부'!A906),100)))=MOD(INT('월 가계부'!A906/100),100),DATE(INT('월 가계부'!A906/10000),MOD(INT('월 가계부'!A906/100),100),MOD(INT('월 가계부'!A906),100)),""),""),IF(AND('월 가계부'!A906&gt;=36526,'월 가계부'!A906&lt;73051),INT('월 가계부'!A906),"")),IF(OR(CM906="",CN906="",CO906=""),"",IF(AND(CM906&gt;=2000,CM906&lt;=2099,CN906&gt;=1,CN906&lt;=12,CO906&gt;=1,CO906&lt;=31),IF(MONTH(DATE(CM906,CN906,CO906))=CN906,DATE(CM906,CN906,CO906),""),"")))),"")</f>
        <v/>
      </c>
      <c r="CJ906">
        <f>IFERROR(IF('월 가계부'!C906="","",IF(ISNUMBER('월 가계부'!C906),'월 가계부'!C906,VALUE(SUBSTITUTE(SUBSTITUTE(SUBSTITUTE(SUBSTITUTE(TRIM('월 가계부'!C906),",",""),"원","")," ",""),"−","-")))),"")</f>
        <v/>
      </c>
      <c r="CK906">
        <f>IF(ISNUMBER(CI906),IF(CI906&lt;$B$13,CI906,""),"")</f>
        <v/>
      </c>
      <c r="CM906">
        <f>IF(CH906="","",IFERROR(IF(IF(AND(LEN(CH906)=9,ISERROR(FIND("-",LEFT(CH906,8))),ISNUMBER(-LEFT(CH906,8))),VALUE(LEFT(CH906,4)),VALUE(LEFT(CH906,FIND("-",CH906)-1)))&lt;100,IF(AND(LEN(CH906)=9,ISERROR(FIND("-",LEFT(CH906,8))),ISNUMBER(-LEFT(CH906,8))),VALUE(LEFT(CH906,4)),VALUE(LEFT(CH906,FIND("-",CH906)-1)))+2000,IF(AND(LEN(CH906)=9,ISERROR(FIND("-",LEFT(CH906,8))),ISNUMBER(-LEFT(CH906,8))),VALUE(LEFT(CH906,4)),VALUE(LEFT(CH906,FIND("-",CH906)-1)))),""))</f>
        <v/>
      </c>
      <c r="CN906">
        <f>IF(CH906="","",IFERROR(IF(AND(LEN(CH906)=9,ISERROR(FIND("-",LEFT(CH906,8))),ISNUMBER(-LEFT(CH906,8))),VALUE(MID(CH906,5,2)),VALUE(MID(CH906,FIND("-",CH906)+1,FIND("-",CH906,FIND("-",CH906)+1)-FIND("-",CH906)-1))),""))</f>
        <v/>
      </c>
      <c r="CO906">
        <f>IF(CH906="","",IFERROR(IF(AND(LEN(CH906)=9,ISERROR(FIND("-",LEFT(CH906,8))),ISNUMBER(-LEFT(CH906,8))),VALUE(MID(CH906,7,2)),VALUE(MID(CH906,FIND("-",CH906,FIND("-",CH906)+1)+1,FIND("-",CH906,FIND("-",CH906,FIND("-",CH906)+1)+1)-FIND("-",CH906,FIND("-",CH906)+1)-1))),""))</f>
        <v/>
      </c>
    </row>
    <row r="907">
      <c r="CH907">
        <f>IF(ISTEXT('월 가계부'!A907),SUBSTITUTE(SUBSTITUTE(SUBSTITUTE(SUBSTITUTE(SUBSTITUTE(SUBSTITUTE(SUBSTITUTE(SUBSTITUTE(SUBSTITUTE(TRIM('월 가계부'!A907),"년","-"),"월","-"),"일",""),".","-"),"/","-")," ","-"),"--","-"),"--","-"),"--","-")&amp;"-","")</f>
        <v/>
      </c>
      <c r="CI907">
        <f>IFERROR(IF('월 가계부'!A907="","",IF(ISNUMBER('월 가계부'!A907),IF(AND('월 가계부'!A907&gt;=19000101,'월 가계부'!A907&lt;=21001231),IF(AND(MOD(INT('월 가계부'!A907/100),100)&gt;=1,MOD(INT('월 가계부'!A907/100),100)&lt;=12,MOD(INT('월 가계부'!A907),100)&gt;=1,MOD(INT('월 가계부'!A907),100)&lt;=31),IF(MONTH(DATE(INT('월 가계부'!A907/10000),MOD(INT('월 가계부'!A907/100),100),MOD(INT('월 가계부'!A907),100)))=MOD(INT('월 가계부'!A907/100),100),DATE(INT('월 가계부'!A907/10000),MOD(INT('월 가계부'!A907/100),100),MOD(INT('월 가계부'!A907),100)),""),""),IF(AND('월 가계부'!A907&gt;=36526,'월 가계부'!A907&lt;73051),INT('월 가계부'!A907),"")),IF(OR(CM907="",CN907="",CO907=""),"",IF(AND(CM907&gt;=2000,CM907&lt;=2099,CN907&gt;=1,CN907&lt;=12,CO907&gt;=1,CO907&lt;=31),IF(MONTH(DATE(CM907,CN907,CO907))=CN907,DATE(CM907,CN907,CO907),""),"")))),"")</f>
        <v/>
      </c>
      <c r="CJ907">
        <f>IFERROR(IF('월 가계부'!C907="","",IF(ISNUMBER('월 가계부'!C907),'월 가계부'!C907,VALUE(SUBSTITUTE(SUBSTITUTE(SUBSTITUTE(SUBSTITUTE(TRIM('월 가계부'!C907),",",""),"원","")," ",""),"−","-")))),"")</f>
        <v/>
      </c>
      <c r="CK907">
        <f>IF(ISNUMBER(CI907),IF(CI907&lt;$B$13,CI907,""),"")</f>
        <v/>
      </c>
      <c r="CM907">
        <f>IF(CH907="","",IFERROR(IF(IF(AND(LEN(CH907)=9,ISERROR(FIND("-",LEFT(CH907,8))),ISNUMBER(-LEFT(CH907,8))),VALUE(LEFT(CH907,4)),VALUE(LEFT(CH907,FIND("-",CH907)-1)))&lt;100,IF(AND(LEN(CH907)=9,ISERROR(FIND("-",LEFT(CH907,8))),ISNUMBER(-LEFT(CH907,8))),VALUE(LEFT(CH907,4)),VALUE(LEFT(CH907,FIND("-",CH907)-1)))+2000,IF(AND(LEN(CH907)=9,ISERROR(FIND("-",LEFT(CH907,8))),ISNUMBER(-LEFT(CH907,8))),VALUE(LEFT(CH907,4)),VALUE(LEFT(CH907,FIND("-",CH907)-1)))),""))</f>
        <v/>
      </c>
      <c r="CN907">
        <f>IF(CH907="","",IFERROR(IF(AND(LEN(CH907)=9,ISERROR(FIND("-",LEFT(CH907,8))),ISNUMBER(-LEFT(CH907,8))),VALUE(MID(CH907,5,2)),VALUE(MID(CH907,FIND("-",CH907)+1,FIND("-",CH907,FIND("-",CH907)+1)-FIND("-",CH907)-1))),""))</f>
        <v/>
      </c>
      <c r="CO907">
        <f>IF(CH907="","",IFERROR(IF(AND(LEN(CH907)=9,ISERROR(FIND("-",LEFT(CH907,8))),ISNUMBER(-LEFT(CH907,8))),VALUE(MID(CH907,7,2)),VALUE(MID(CH907,FIND("-",CH907,FIND("-",CH907)+1)+1,FIND("-",CH907,FIND("-",CH907,FIND("-",CH907)+1)+1)-FIND("-",CH907,FIND("-",CH907)+1)-1))),""))</f>
        <v/>
      </c>
    </row>
    <row r="908">
      <c r="CH908">
        <f>IF(ISTEXT('월 가계부'!A908),SUBSTITUTE(SUBSTITUTE(SUBSTITUTE(SUBSTITUTE(SUBSTITUTE(SUBSTITUTE(SUBSTITUTE(SUBSTITUTE(SUBSTITUTE(TRIM('월 가계부'!A908),"년","-"),"월","-"),"일",""),".","-"),"/","-")," ","-"),"--","-"),"--","-"),"--","-")&amp;"-","")</f>
        <v/>
      </c>
      <c r="CI908">
        <f>IFERROR(IF('월 가계부'!A908="","",IF(ISNUMBER('월 가계부'!A908),IF(AND('월 가계부'!A908&gt;=19000101,'월 가계부'!A908&lt;=21001231),IF(AND(MOD(INT('월 가계부'!A908/100),100)&gt;=1,MOD(INT('월 가계부'!A908/100),100)&lt;=12,MOD(INT('월 가계부'!A908),100)&gt;=1,MOD(INT('월 가계부'!A908),100)&lt;=31),IF(MONTH(DATE(INT('월 가계부'!A908/10000),MOD(INT('월 가계부'!A908/100),100),MOD(INT('월 가계부'!A908),100)))=MOD(INT('월 가계부'!A908/100),100),DATE(INT('월 가계부'!A908/10000),MOD(INT('월 가계부'!A908/100),100),MOD(INT('월 가계부'!A908),100)),""),""),IF(AND('월 가계부'!A908&gt;=36526,'월 가계부'!A908&lt;73051),INT('월 가계부'!A908),"")),IF(OR(CM908="",CN908="",CO908=""),"",IF(AND(CM908&gt;=2000,CM908&lt;=2099,CN908&gt;=1,CN908&lt;=12,CO908&gt;=1,CO908&lt;=31),IF(MONTH(DATE(CM908,CN908,CO908))=CN908,DATE(CM908,CN908,CO908),""),"")))),"")</f>
        <v/>
      </c>
      <c r="CJ908">
        <f>IFERROR(IF('월 가계부'!C908="","",IF(ISNUMBER('월 가계부'!C908),'월 가계부'!C908,VALUE(SUBSTITUTE(SUBSTITUTE(SUBSTITUTE(SUBSTITUTE(TRIM('월 가계부'!C908),",",""),"원","")," ",""),"−","-")))),"")</f>
        <v/>
      </c>
      <c r="CK908">
        <f>IF(ISNUMBER(CI908),IF(CI908&lt;$B$13,CI908,""),"")</f>
        <v/>
      </c>
      <c r="CM908">
        <f>IF(CH908="","",IFERROR(IF(IF(AND(LEN(CH908)=9,ISERROR(FIND("-",LEFT(CH908,8))),ISNUMBER(-LEFT(CH908,8))),VALUE(LEFT(CH908,4)),VALUE(LEFT(CH908,FIND("-",CH908)-1)))&lt;100,IF(AND(LEN(CH908)=9,ISERROR(FIND("-",LEFT(CH908,8))),ISNUMBER(-LEFT(CH908,8))),VALUE(LEFT(CH908,4)),VALUE(LEFT(CH908,FIND("-",CH908)-1)))+2000,IF(AND(LEN(CH908)=9,ISERROR(FIND("-",LEFT(CH908,8))),ISNUMBER(-LEFT(CH908,8))),VALUE(LEFT(CH908,4)),VALUE(LEFT(CH908,FIND("-",CH908)-1)))),""))</f>
        <v/>
      </c>
      <c r="CN908">
        <f>IF(CH908="","",IFERROR(IF(AND(LEN(CH908)=9,ISERROR(FIND("-",LEFT(CH908,8))),ISNUMBER(-LEFT(CH908,8))),VALUE(MID(CH908,5,2)),VALUE(MID(CH908,FIND("-",CH908)+1,FIND("-",CH908,FIND("-",CH908)+1)-FIND("-",CH908)-1))),""))</f>
        <v/>
      </c>
      <c r="CO908">
        <f>IF(CH908="","",IFERROR(IF(AND(LEN(CH908)=9,ISERROR(FIND("-",LEFT(CH908,8))),ISNUMBER(-LEFT(CH908,8))),VALUE(MID(CH908,7,2)),VALUE(MID(CH908,FIND("-",CH908,FIND("-",CH908)+1)+1,FIND("-",CH908,FIND("-",CH908,FIND("-",CH908)+1)+1)-FIND("-",CH908,FIND("-",CH908)+1)-1))),""))</f>
        <v/>
      </c>
    </row>
    <row r="909">
      <c r="CH909">
        <f>IF(ISTEXT('월 가계부'!A909),SUBSTITUTE(SUBSTITUTE(SUBSTITUTE(SUBSTITUTE(SUBSTITUTE(SUBSTITUTE(SUBSTITUTE(SUBSTITUTE(SUBSTITUTE(TRIM('월 가계부'!A909),"년","-"),"월","-"),"일",""),".","-"),"/","-")," ","-"),"--","-"),"--","-"),"--","-")&amp;"-","")</f>
        <v/>
      </c>
      <c r="CI909">
        <f>IFERROR(IF('월 가계부'!A909="","",IF(ISNUMBER('월 가계부'!A909),IF(AND('월 가계부'!A909&gt;=19000101,'월 가계부'!A909&lt;=21001231),IF(AND(MOD(INT('월 가계부'!A909/100),100)&gt;=1,MOD(INT('월 가계부'!A909/100),100)&lt;=12,MOD(INT('월 가계부'!A909),100)&gt;=1,MOD(INT('월 가계부'!A909),100)&lt;=31),IF(MONTH(DATE(INT('월 가계부'!A909/10000),MOD(INT('월 가계부'!A909/100),100),MOD(INT('월 가계부'!A909),100)))=MOD(INT('월 가계부'!A909/100),100),DATE(INT('월 가계부'!A909/10000),MOD(INT('월 가계부'!A909/100),100),MOD(INT('월 가계부'!A909),100)),""),""),IF(AND('월 가계부'!A909&gt;=36526,'월 가계부'!A909&lt;73051),INT('월 가계부'!A909),"")),IF(OR(CM909="",CN909="",CO909=""),"",IF(AND(CM909&gt;=2000,CM909&lt;=2099,CN909&gt;=1,CN909&lt;=12,CO909&gt;=1,CO909&lt;=31),IF(MONTH(DATE(CM909,CN909,CO909))=CN909,DATE(CM909,CN909,CO909),""),"")))),"")</f>
        <v/>
      </c>
      <c r="CJ909">
        <f>IFERROR(IF('월 가계부'!C909="","",IF(ISNUMBER('월 가계부'!C909),'월 가계부'!C909,VALUE(SUBSTITUTE(SUBSTITUTE(SUBSTITUTE(SUBSTITUTE(TRIM('월 가계부'!C909),",",""),"원","")," ",""),"−","-")))),"")</f>
        <v/>
      </c>
      <c r="CK909">
        <f>IF(ISNUMBER(CI909),IF(CI909&lt;$B$13,CI909,""),"")</f>
        <v/>
      </c>
      <c r="CM909">
        <f>IF(CH909="","",IFERROR(IF(IF(AND(LEN(CH909)=9,ISERROR(FIND("-",LEFT(CH909,8))),ISNUMBER(-LEFT(CH909,8))),VALUE(LEFT(CH909,4)),VALUE(LEFT(CH909,FIND("-",CH909)-1)))&lt;100,IF(AND(LEN(CH909)=9,ISERROR(FIND("-",LEFT(CH909,8))),ISNUMBER(-LEFT(CH909,8))),VALUE(LEFT(CH909,4)),VALUE(LEFT(CH909,FIND("-",CH909)-1)))+2000,IF(AND(LEN(CH909)=9,ISERROR(FIND("-",LEFT(CH909,8))),ISNUMBER(-LEFT(CH909,8))),VALUE(LEFT(CH909,4)),VALUE(LEFT(CH909,FIND("-",CH909)-1)))),""))</f>
        <v/>
      </c>
      <c r="CN909">
        <f>IF(CH909="","",IFERROR(IF(AND(LEN(CH909)=9,ISERROR(FIND("-",LEFT(CH909,8))),ISNUMBER(-LEFT(CH909,8))),VALUE(MID(CH909,5,2)),VALUE(MID(CH909,FIND("-",CH909)+1,FIND("-",CH909,FIND("-",CH909)+1)-FIND("-",CH909)-1))),""))</f>
        <v/>
      </c>
      <c r="CO909">
        <f>IF(CH909="","",IFERROR(IF(AND(LEN(CH909)=9,ISERROR(FIND("-",LEFT(CH909,8))),ISNUMBER(-LEFT(CH909,8))),VALUE(MID(CH909,7,2)),VALUE(MID(CH909,FIND("-",CH909,FIND("-",CH909)+1)+1,FIND("-",CH909,FIND("-",CH909,FIND("-",CH909)+1)+1)-FIND("-",CH909,FIND("-",CH909)+1)-1))),""))</f>
        <v/>
      </c>
    </row>
    <row r="910">
      <c r="CH910">
        <f>IF(ISTEXT('월 가계부'!A910),SUBSTITUTE(SUBSTITUTE(SUBSTITUTE(SUBSTITUTE(SUBSTITUTE(SUBSTITUTE(SUBSTITUTE(SUBSTITUTE(SUBSTITUTE(TRIM('월 가계부'!A910),"년","-"),"월","-"),"일",""),".","-"),"/","-")," ","-"),"--","-"),"--","-"),"--","-")&amp;"-","")</f>
        <v/>
      </c>
      <c r="CI910">
        <f>IFERROR(IF('월 가계부'!A910="","",IF(ISNUMBER('월 가계부'!A910),IF(AND('월 가계부'!A910&gt;=19000101,'월 가계부'!A910&lt;=21001231),IF(AND(MOD(INT('월 가계부'!A910/100),100)&gt;=1,MOD(INT('월 가계부'!A910/100),100)&lt;=12,MOD(INT('월 가계부'!A910),100)&gt;=1,MOD(INT('월 가계부'!A910),100)&lt;=31),IF(MONTH(DATE(INT('월 가계부'!A910/10000),MOD(INT('월 가계부'!A910/100),100),MOD(INT('월 가계부'!A910),100)))=MOD(INT('월 가계부'!A910/100),100),DATE(INT('월 가계부'!A910/10000),MOD(INT('월 가계부'!A910/100),100),MOD(INT('월 가계부'!A910),100)),""),""),IF(AND('월 가계부'!A910&gt;=36526,'월 가계부'!A910&lt;73051),INT('월 가계부'!A910),"")),IF(OR(CM910="",CN910="",CO910=""),"",IF(AND(CM910&gt;=2000,CM910&lt;=2099,CN910&gt;=1,CN910&lt;=12,CO910&gt;=1,CO910&lt;=31),IF(MONTH(DATE(CM910,CN910,CO910))=CN910,DATE(CM910,CN910,CO910),""),"")))),"")</f>
        <v/>
      </c>
      <c r="CJ910">
        <f>IFERROR(IF('월 가계부'!C910="","",IF(ISNUMBER('월 가계부'!C910),'월 가계부'!C910,VALUE(SUBSTITUTE(SUBSTITUTE(SUBSTITUTE(SUBSTITUTE(TRIM('월 가계부'!C910),",",""),"원","")," ",""),"−","-")))),"")</f>
        <v/>
      </c>
      <c r="CK910">
        <f>IF(ISNUMBER(CI910),IF(CI910&lt;$B$13,CI910,""),"")</f>
        <v/>
      </c>
      <c r="CM910">
        <f>IF(CH910="","",IFERROR(IF(IF(AND(LEN(CH910)=9,ISERROR(FIND("-",LEFT(CH910,8))),ISNUMBER(-LEFT(CH910,8))),VALUE(LEFT(CH910,4)),VALUE(LEFT(CH910,FIND("-",CH910)-1)))&lt;100,IF(AND(LEN(CH910)=9,ISERROR(FIND("-",LEFT(CH910,8))),ISNUMBER(-LEFT(CH910,8))),VALUE(LEFT(CH910,4)),VALUE(LEFT(CH910,FIND("-",CH910)-1)))+2000,IF(AND(LEN(CH910)=9,ISERROR(FIND("-",LEFT(CH910,8))),ISNUMBER(-LEFT(CH910,8))),VALUE(LEFT(CH910,4)),VALUE(LEFT(CH910,FIND("-",CH910)-1)))),""))</f>
        <v/>
      </c>
      <c r="CN910">
        <f>IF(CH910="","",IFERROR(IF(AND(LEN(CH910)=9,ISERROR(FIND("-",LEFT(CH910,8))),ISNUMBER(-LEFT(CH910,8))),VALUE(MID(CH910,5,2)),VALUE(MID(CH910,FIND("-",CH910)+1,FIND("-",CH910,FIND("-",CH910)+1)-FIND("-",CH910)-1))),""))</f>
        <v/>
      </c>
      <c r="CO910">
        <f>IF(CH910="","",IFERROR(IF(AND(LEN(CH910)=9,ISERROR(FIND("-",LEFT(CH910,8))),ISNUMBER(-LEFT(CH910,8))),VALUE(MID(CH910,7,2)),VALUE(MID(CH910,FIND("-",CH910,FIND("-",CH910)+1)+1,FIND("-",CH910,FIND("-",CH910,FIND("-",CH910)+1)+1)-FIND("-",CH910,FIND("-",CH910)+1)-1))),""))</f>
        <v/>
      </c>
    </row>
    <row r="911">
      <c r="CH911">
        <f>IF(ISTEXT('월 가계부'!A911),SUBSTITUTE(SUBSTITUTE(SUBSTITUTE(SUBSTITUTE(SUBSTITUTE(SUBSTITUTE(SUBSTITUTE(SUBSTITUTE(SUBSTITUTE(TRIM('월 가계부'!A911),"년","-"),"월","-"),"일",""),".","-"),"/","-")," ","-"),"--","-"),"--","-"),"--","-")&amp;"-","")</f>
        <v/>
      </c>
      <c r="CI911">
        <f>IFERROR(IF('월 가계부'!A911="","",IF(ISNUMBER('월 가계부'!A911),IF(AND('월 가계부'!A911&gt;=19000101,'월 가계부'!A911&lt;=21001231),IF(AND(MOD(INT('월 가계부'!A911/100),100)&gt;=1,MOD(INT('월 가계부'!A911/100),100)&lt;=12,MOD(INT('월 가계부'!A911),100)&gt;=1,MOD(INT('월 가계부'!A911),100)&lt;=31),IF(MONTH(DATE(INT('월 가계부'!A911/10000),MOD(INT('월 가계부'!A911/100),100),MOD(INT('월 가계부'!A911),100)))=MOD(INT('월 가계부'!A911/100),100),DATE(INT('월 가계부'!A911/10000),MOD(INT('월 가계부'!A911/100),100),MOD(INT('월 가계부'!A911),100)),""),""),IF(AND('월 가계부'!A911&gt;=36526,'월 가계부'!A911&lt;73051),INT('월 가계부'!A911),"")),IF(OR(CM911="",CN911="",CO911=""),"",IF(AND(CM911&gt;=2000,CM911&lt;=2099,CN911&gt;=1,CN911&lt;=12,CO911&gt;=1,CO911&lt;=31),IF(MONTH(DATE(CM911,CN911,CO911))=CN911,DATE(CM911,CN911,CO911),""),"")))),"")</f>
        <v/>
      </c>
      <c r="CJ911">
        <f>IFERROR(IF('월 가계부'!C911="","",IF(ISNUMBER('월 가계부'!C911),'월 가계부'!C911,VALUE(SUBSTITUTE(SUBSTITUTE(SUBSTITUTE(SUBSTITUTE(TRIM('월 가계부'!C911),",",""),"원","")," ",""),"−","-")))),"")</f>
        <v/>
      </c>
      <c r="CK911">
        <f>IF(ISNUMBER(CI911),IF(CI911&lt;$B$13,CI911,""),"")</f>
        <v/>
      </c>
      <c r="CM911">
        <f>IF(CH911="","",IFERROR(IF(IF(AND(LEN(CH911)=9,ISERROR(FIND("-",LEFT(CH911,8))),ISNUMBER(-LEFT(CH911,8))),VALUE(LEFT(CH911,4)),VALUE(LEFT(CH911,FIND("-",CH911)-1)))&lt;100,IF(AND(LEN(CH911)=9,ISERROR(FIND("-",LEFT(CH911,8))),ISNUMBER(-LEFT(CH911,8))),VALUE(LEFT(CH911,4)),VALUE(LEFT(CH911,FIND("-",CH911)-1)))+2000,IF(AND(LEN(CH911)=9,ISERROR(FIND("-",LEFT(CH911,8))),ISNUMBER(-LEFT(CH911,8))),VALUE(LEFT(CH911,4)),VALUE(LEFT(CH911,FIND("-",CH911)-1)))),""))</f>
        <v/>
      </c>
      <c r="CN911">
        <f>IF(CH911="","",IFERROR(IF(AND(LEN(CH911)=9,ISERROR(FIND("-",LEFT(CH911,8))),ISNUMBER(-LEFT(CH911,8))),VALUE(MID(CH911,5,2)),VALUE(MID(CH911,FIND("-",CH911)+1,FIND("-",CH911,FIND("-",CH911)+1)-FIND("-",CH911)-1))),""))</f>
        <v/>
      </c>
      <c r="CO911">
        <f>IF(CH911="","",IFERROR(IF(AND(LEN(CH911)=9,ISERROR(FIND("-",LEFT(CH911,8))),ISNUMBER(-LEFT(CH911,8))),VALUE(MID(CH911,7,2)),VALUE(MID(CH911,FIND("-",CH911,FIND("-",CH911)+1)+1,FIND("-",CH911,FIND("-",CH911,FIND("-",CH911)+1)+1)-FIND("-",CH911,FIND("-",CH911)+1)-1))),""))</f>
        <v/>
      </c>
    </row>
    <row r="912">
      <c r="CH912">
        <f>IF(ISTEXT('월 가계부'!A912),SUBSTITUTE(SUBSTITUTE(SUBSTITUTE(SUBSTITUTE(SUBSTITUTE(SUBSTITUTE(SUBSTITUTE(SUBSTITUTE(SUBSTITUTE(TRIM('월 가계부'!A912),"년","-"),"월","-"),"일",""),".","-"),"/","-")," ","-"),"--","-"),"--","-"),"--","-")&amp;"-","")</f>
        <v/>
      </c>
      <c r="CI912">
        <f>IFERROR(IF('월 가계부'!A912="","",IF(ISNUMBER('월 가계부'!A912),IF(AND('월 가계부'!A912&gt;=19000101,'월 가계부'!A912&lt;=21001231),IF(AND(MOD(INT('월 가계부'!A912/100),100)&gt;=1,MOD(INT('월 가계부'!A912/100),100)&lt;=12,MOD(INT('월 가계부'!A912),100)&gt;=1,MOD(INT('월 가계부'!A912),100)&lt;=31),IF(MONTH(DATE(INT('월 가계부'!A912/10000),MOD(INT('월 가계부'!A912/100),100),MOD(INT('월 가계부'!A912),100)))=MOD(INT('월 가계부'!A912/100),100),DATE(INT('월 가계부'!A912/10000),MOD(INT('월 가계부'!A912/100),100),MOD(INT('월 가계부'!A912),100)),""),""),IF(AND('월 가계부'!A912&gt;=36526,'월 가계부'!A912&lt;73051),INT('월 가계부'!A912),"")),IF(OR(CM912="",CN912="",CO912=""),"",IF(AND(CM912&gt;=2000,CM912&lt;=2099,CN912&gt;=1,CN912&lt;=12,CO912&gt;=1,CO912&lt;=31),IF(MONTH(DATE(CM912,CN912,CO912))=CN912,DATE(CM912,CN912,CO912),""),"")))),"")</f>
        <v/>
      </c>
      <c r="CJ912">
        <f>IFERROR(IF('월 가계부'!C912="","",IF(ISNUMBER('월 가계부'!C912),'월 가계부'!C912,VALUE(SUBSTITUTE(SUBSTITUTE(SUBSTITUTE(SUBSTITUTE(TRIM('월 가계부'!C912),",",""),"원","")," ",""),"−","-")))),"")</f>
        <v/>
      </c>
      <c r="CK912">
        <f>IF(ISNUMBER(CI912),IF(CI912&lt;$B$13,CI912,""),"")</f>
        <v/>
      </c>
      <c r="CM912">
        <f>IF(CH912="","",IFERROR(IF(IF(AND(LEN(CH912)=9,ISERROR(FIND("-",LEFT(CH912,8))),ISNUMBER(-LEFT(CH912,8))),VALUE(LEFT(CH912,4)),VALUE(LEFT(CH912,FIND("-",CH912)-1)))&lt;100,IF(AND(LEN(CH912)=9,ISERROR(FIND("-",LEFT(CH912,8))),ISNUMBER(-LEFT(CH912,8))),VALUE(LEFT(CH912,4)),VALUE(LEFT(CH912,FIND("-",CH912)-1)))+2000,IF(AND(LEN(CH912)=9,ISERROR(FIND("-",LEFT(CH912,8))),ISNUMBER(-LEFT(CH912,8))),VALUE(LEFT(CH912,4)),VALUE(LEFT(CH912,FIND("-",CH912)-1)))),""))</f>
        <v/>
      </c>
      <c r="CN912">
        <f>IF(CH912="","",IFERROR(IF(AND(LEN(CH912)=9,ISERROR(FIND("-",LEFT(CH912,8))),ISNUMBER(-LEFT(CH912,8))),VALUE(MID(CH912,5,2)),VALUE(MID(CH912,FIND("-",CH912)+1,FIND("-",CH912,FIND("-",CH912)+1)-FIND("-",CH912)-1))),""))</f>
        <v/>
      </c>
      <c r="CO912">
        <f>IF(CH912="","",IFERROR(IF(AND(LEN(CH912)=9,ISERROR(FIND("-",LEFT(CH912,8))),ISNUMBER(-LEFT(CH912,8))),VALUE(MID(CH912,7,2)),VALUE(MID(CH912,FIND("-",CH912,FIND("-",CH912)+1)+1,FIND("-",CH912,FIND("-",CH912,FIND("-",CH912)+1)+1)-FIND("-",CH912,FIND("-",CH912)+1)-1))),""))</f>
        <v/>
      </c>
    </row>
    <row r="913">
      <c r="CH913">
        <f>IF(ISTEXT('월 가계부'!A913),SUBSTITUTE(SUBSTITUTE(SUBSTITUTE(SUBSTITUTE(SUBSTITUTE(SUBSTITUTE(SUBSTITUTE(SUBSTITUTE(SUBSTITUTE(TRIM('월 가계부'!A913),"년","-"),"월","-"),"일",""),".","-"),"/","-")," ","-"),"--","-"),"--","-"),"--","-")&amp;"-","")</f>
        <v/>
      </c>
      <c r="CI913">
        <f>IFERROR(IF('월 가계부'!A913="","",IF(ISNUMBER('월 가계부'!A913),IF(AND('월 가계부'!A913&gt;=19000101,'월 가계부'!A913&lt;=21001231),IF(AND(MOD(INT('월 가계부'!A913/100),100)&gt;=1,MOD(INT('월 가계부'!A913/100),100)&lt;=12,MOD(INT('월 가계부'!A913),100)&gt;=1,MOD(INT('월 가계부'!A913),100)&lt;=31),IF(MONTH(DATE(INT('월 가계부'!A913/10000),MOD(INT('월 가계부'!A913/100),100),MOD(INT('월 가계부'!A913),100)))=MOD(INT('월 가계부'!A913/100),100),DATE(INT('월 가계부'!A913/10000),MOD(INT('월 가계부'!A913/100),100),MOD(INT('월 가계부'!A913),100)),""),""),IF(AND('월 가계부'!A913&gt;=36526,'월 가계부'!A913&lt;73051),INT('월 가계부'!A913),"")),IF(OR(CM913="",CN913="",CO913=""),"",IF(AND(CM913&gt;=2000,CM913&lt;=2099,CN913&gt;=1,CN913&lt;=12,CO913&gt;=1,CO913&lt;=31),IF(MONTH(DATE(CM913,CN913,CO913))=CN913,DATE(CM913,CN913,CO913),""),"")))),"")</f>
        <v/>
      </c>
      <c r="CJ913">
        <f>IFERROR(IF('월 가계부'!C913="","",IF(ISNUMBER('월 가계부'!C913),'월 가계부'!C913,VALUE(SUBSTITUTE(SUBSTITUTE(SUBSTITUTE(SUBSTITUTE(TRIM('월 가계부'!C913),",",""),"원","")," ",""),"−","-")))),"")</f>
        <v/>
      </c>
      <c r="CK913">
        <f>IF(ISNUMBER(CI913),IF(CI913&lt;$B$13,CI913,""),"")</f>
        <v/>
      </c>
      <c r="CM913">
        <f>IF(CH913="","",IFERROR(IF(IF(AND(LEN(CH913)=9,ISERROR(FIND("-",LEFT(CH913,8))),ISNUMBER(-LEFT(CH913,8))),VALUE(LEFT(CH913,4)),VALUE(LEFT(CH913,FIND("-",CH913)-1)))&lt;100,IF(AND(LEN(CH913)=9,ISERROR(FIND("-",LEFT(CH913,8))),ISNUMBER(-LEFT(CH913,8))),VALUE(LEFT(CH913,4)),VALUE(LEFT(CH913,FIND("-",CH913)-1)))+2000,IF(AND(LEN(CH913)=9,ISERROR(FIND("-",LEFT(CH913,8))),ISNUMBER(-LEFT(CH913,8))),VALUE(LEFT(CH913,4)),VALUE(LEFT(CH913,FIND("-",CH913)-1)))),""))</f>
        <v/>
      </c>
      <c r="CN913">
        <f>IF(CH913="","",IFERROR(IF(AND(LEN(CH913)=9,ISERROR(FIND("-",LEFT(CH913,8))),ISNUMBER(-LEFT(CH913,8))),VALUE(MID(CH913,5,2)),VALUE(MID(CH913,FIND("-",CH913)+1,FIND("-",CH913,FIND("-",CH913)+1)-FIND("-",CH913)-1))),""))</f>
        <v/>
      </c>
      <c r="CO913">
        <f>IF(CH913="","",IFERROR(IF(AND(LEN(CH913)=9,ISERROR(FIND("-",LEFT(CH913,8))),ISNUMBER(-LEFT(CH913,8))),VALUE(MID(CH913,7,2)),VALUE(MID(CH913,FIND("-",CH913,FIND("-",CH913)+1)+1,FIND("-",CH913,FIND("-",CH913,FIND("-",CH913)+1)+1)-FIND("-",CH913,FIND("-",CH913)+1)-1))),""))</f>
        <v/>
      </c>
    </row>
    <row r="914">
      <c r="CH914">
        <f>IF(ISTEXT('월 가계부'!A914),SUBSTITUTE(SUBSTITUTE(SUBSTITUTE(SUBSTITUTE(SUBSTITUTE(SUBSTITUTE(SUBSTITUTE(SUBSTITUTE(SUBSTITUTE(TRIM('월 가계부'!A914),"년","-"),"월","-"),"일",""),".","-"),"/","-")," ","-"),"--","-"),"--","-"),"--","-")&amp;"-","")</f>
        <v/>
      </c>
      <c r="CI914">
        <f>IFERROR(IF('월 가계부'!A914="","",IF(ISNUMBER('월 가계부'!A914),IF(AND('월 가계부'!A914&gt;=19000101,'월 가계부'!A914&lt;=21001231),IF(AND(MOD(INT('월 가계부'!A914/100),100)&gt;=1,MOD(INT('월 가계부'!A914/100),100)&lt;=12,MOD(INT('월 가계부'!A914),100)&gt;=1,MOD(INT('월 가계부'!A914),100)&lt;=31),IF(MONTH(DATE(INT('월 가계부'!A914/10000),MOD(INT('월 가계부'!A914/100),100),MOD(INT('월 가계부'!A914),100)))=MOD(INT('월 가계부'!A914/100),100),DATE(INT('월 가계부'!A914/10000),MOD(INT('월 가계부'!A914/100),100),MOD(INT('월 가계부'!A914),100)),""),""),IF(AND('월 가계부'!A914&gt;=36526,'월 가계부'!A914&lt;73051),INT('월 가계부'!A914),"")),IF(OR(CM914="",CN914="",CO914=""),"",IF(AND(CM914&gt;=2000,CM914&lt;=2099,CN914&gt;=1,CN914&lt;=12,CO914&gt;=1,CO914&lt;=31),IF(MONTH(DATE(CM914,CN914,CO914))=CN914,DATE(CM914,CN914,CO914),""),"")))),"")</f>
        <v/>
      </c>
      <c r="CJ914">
        <f>IFERROR(IF('월 가계부'!C914="","",IF(ISNUMBER('월 가계부'!C914),'월 가계부'!C914,VALUE(SUBSTITUTE(SUBSTITUTE(SUBSTITUTE(SUBSTITUTE(TRIM('월 가계부'!C914),",",""),"원","")," ",""),"−","-")))),"")</f>
        <v/>
      </c>
      <c r="CK914">
        <f>IF(ISNUMBER(CI914),IF(CI914&lt;$B$13,CI914,""),"")</f>
        <v/>
      </c>
      <c r="CM914">
        <f>IF(CH914="","",IFERROR(IF(IF(AND(LEN(CH914)=9,ISERROR(FIND("-",LEFT(CH914,8))),ISNUMBER(-LEFT(CH914,8))),VALUE(LEFT(CH914,4)),VALUE(LEFT(CH914,FIND("-",CH914)-1)))&lt;100,IF(AND(LEN(CH914)=9,ISERROR(FIND("-",LEFT(CH914,8))),ISNUMBER(-LEFT(CH914,8))),VALUE(LEFT(CH914,4)),VALUE(LEFT(CH914,FIND("-",CH914)-1)))+2000,IF(AND(LEN(CH914)=9,ISERROR(FIND("-",LEFT(CH914,8))),ISNUMBER(-LEFT(CH914,8))),VALUE(LEFT(CH914,4)),VALUE(LEFT(CH914,FIND("-",CH914)-1)))),""))</f>
        <v/>
      </c>
      <c r="CN914">
        <f>IF(CH914="","",IFERROR(IF(AND(LEN(CH914)=9,ISERROR(FIND("-",LEFT(CH914,8))),ISNUMBER(-LEFT(CH914,8))),VALUE(MID(CH914,5,2)),VALUE(MID(CH914,FIND("-",CH914)+1,FIND("-",CH914,FIND("-",CH914)+1)-FIND("-",CH914)-1))),""))</f>
        <v/>
      </c>
      <c r="CO914">
        <f>IF(CH914="","",IFERROR(IF(AND(LEN(CH914)=9,ISERROR(FIND("-",LEFT(CH914,8))),ISNUMBER(-LEFT(CH914,8))),VALUE(MID(CH914,7,2)),VALUE(MID(CH914,FIND("-",CH914,FIND("-",CH914)+1)+1,FIND("-",CH914,FIND("-",CH914,FIND("-",CH914)+1)+1)-FIND("-",CH914,FIND("-",CH914)+1)-1))),""))</f>
        <v/>
      </c>
    </row>
    <row r="915">
      <c r="CH915">
        <f>IF(ISTEXT('월 가계부'!A915),SUBSTITUTE(SUBSTITUTE(SUBSTITUTE(SUBSTITUTE(SUBSTITUTE(SUBSTITUTE(SUBSTITUTE(SUBSTITUTE(SUBSTITUTE(TRIM('월 가계부'!A915),"년","-"),"월","-"),"일",""),".","-"),"/","-")," ","-"),"--","-"),"--","-"),"--","-")&amp;"-","")</f>
        <v/>
      </c>
      <c r="CI915">
        <f>IFERROR(IF('월 가계부'!A915="","",IF(ISNUMBER('월 가계부'!A915),IF(AND('월 가계부'!A915&gt;=19000101,'월 가계부'!A915&lt;=21001231),IF(AND(MOD(INT('월 가계부'!A915/100),100)&gt;=1,MOD(INT('월 가계부'!A915/100),100)&lt;=12,MOD(INT('월 가계부'!A915),100)&gt;=1,MOD(INT('월 가계부'!A915),100)&lt;=31),IF(MONTH(DATE(INT('월 가계부'!A915/10000),MOD(INT('월 가계부'!A915/100),100),MOD(INT('월 가계부'!A915),100)))=MOD(INT('월 가계부'!A915/100),100),DATE(INT('월 가계부'!A915/10000),MOD(INT('월 가계부'!A915/100),100),MOD(INT('월 가계부'!A915),100)),""),""),IF(AND('월 가계부'!A915&gt;=36526,'월 가계부'!A915&lt;73051),INT('월 가계부'!A915),"")),IF(OR(CM915="",CN915="",CO915=""),"",IF(AND(CM915&gt;=2000,CM915&lt;=2099,CN915&gt;=1,CN915&lt;=12,CO915&gt;=1,CO915&lt;=31),IF(MONTH(DATE(CM915,CN915,CO915))=CN915,DATE(CM915,CN915,CO915),""),"")))),"")</f>
        <v/>
      </c>
      <c r="CJ915">
        <f>IFERROR(IF('월 가계부'!C915="","",IF(ISNUMBER('월 가계부'!C915),'월 가계부'!C915,VALUE(SUBSTITUTE(SUBSTITUTE(SUBSTITUTE(SUBSTITUTE(TRIM('월 가계부'!C915),",",""),"원","")," ",""),"−","-")))),"")</f>
        <v/>
      </c>
      <c r="CK915">
        <f>IF(ISNUMBER(CI915),IF(CI915&lt;$B$13,CI915,""),"")</f>
        <v/>
      </c>
      <c r="CM915">
        <f>IF(CH915="","",IFERROR(IF(IF(AND(LEN(CH915)=9,ISERROR(FIND("-",LEFT(CH915,8))),ISNUMBER(-LEFT(CH915,8))),VALUE(LEFT(CH915,4)),VALUE(LEFT(CH915,FIND("-",CH915)-1)))&lt;100,IF(AND(LEN(CH915)=9,ISERROR(FIND("-",LEFT(CH915,8))),ISNUMBER(-LEFT(CH915,8))),VALUE(LEFT(CH915,4)),VALUE(LEFT(CH915,FIND("-",CH915)-1)))+2000,IF(AND(LEN(CH915)=9,ISERROR(FIND("-",LEFT(CH915,8))),ISNUMBER(-LEFT(CH915,8))),VALUE(LEFT(CH915,4)),VALUE(LEFT(CH915,FIND("-",CH915)-1)))),""))</f>
        <v/>
      </c>
      <c r="CN915">
        <f>IF(CH915="","",IFERROR(IF(AND(LEN(CH915)=9,ISERROR(FIND("-",LEFT(CH915,8))),ISNUMBER(-LEFT(CH915,8))),VALUE(MID(CH915,5,2)),VALUE(MID(CH915,FIND("-",CH915)+1,FIND("-",CH915,FIND("-",CH915)+1)-FIND("-",CH915)-1))),""))</f>
        <v/>
      </c>
      <c r="CO915">
        <f>IF(CH915="","",IFERROR(IF(AND(LEN(CH915)=9,ISERROR(FIND("-",LEFT(CH915,8))),ISNUMBER(-LEFT(CH915,8))),VALUE(MID(CH915,7,2)),VALUE(MID(CH915,FIND("-",CH915,FIND("-",CH915)+1)+1,FIND("-",CH915,FIND("-",CH915,FIND("-",CH915)+1)+1)-FIND("-",CH915,FIND("-",CH915)+1)-1))),""))</f>
        <v/>
      </c>
    </row>
    <row r="916">
      <c r="CH916">
        <f>IF(ISTEXT('월 가계부'!A916),SUBSTITUTE(SUBSTITUTE(SUBSTITUTE(SUBSTITUTE(SUBSTITUTE(SUBSTITUTE(SUBSTITUTE(SUBSTITUTE(SUBSTITUTE(TRIM('월 가계부'!A916),"년","-"),"월","-"),"일",""),".","-"),"/","-")," ","-"),"--","-"),"--","-"),"--","-")&amp;"-","")</f>
        <v/>
      </c>
      <c r="CI916">
        <f>IFERROR(IF('월 가계부'!A916="","",IF(ISNUMBER('월 가계부'!A916),IF(AND('월 가계부'!A916&gt;=19000101,'월 가계부'!A916&lt;=21001231),IF(AND(MOD(INT('월 가계부'!A916/100),100)&gt;=1,MOD(INT('월 가계부'!A916/100),100)&lt;=12,MOD(INT('월 가계부'!A916),100)&gt;=1,MOD(INT('월 가계부'!A916),100)&lt;=31),IF(MONTH(DATE(INT('월 가계부'!A916/10000),MOD(INT('월 가계부'!A916/100),100),MOD(INT('월 가계부'!A916),100)))=MOD(INT('월 가계부'!A916/100),100),DATE(INT('월 가계부'!A916/10000),MOD(INT('월 가계부'!A916/100),100),MOD(INT('월 가계부'!A916),100)),""),""),IF(AND('월 가계부'!A916&gt;=36526,'월 가계부'!A916&lt;73051),INT('월 가계부'!A916),"")),IF(OR(CM916="",CN916="",CO916=""),"",IF(AND(CM916&gt;=2000,CM916&lt;=2099,CN916&gt;=1,CN916&lt;=12,CO916&gt;=1,CO916&lt;=31),IF(MONTH(DATE(CM916,CN916,CO916))=CN916,DATE(CM916,CN916,CO916),""),"")))),"")</f>
        <v/>
      </c>
      <c r="CJ916">
        <f>IFERROR(IF('월 가계부'!C916="","",IF(ISNUMBER('월 가계부'!C916),'월 가계부'!C916,VALUE(SUBSTITUTE(SUBSTITUTE(SUBSTITUTE(SUBSTITUTE(TRIM('월 가계부'!C916),",",""),"원","")," ",""),"−","-")))),"")</f>
        <v/>
      </c>
      <c r="CK916">
        <f>IF(ISNUMBER(CI916),IF(CI916&lt;$B$13,CI916,""),"")</f>
        <v/>
      </c>
      <c r="CM916">
        <f>IF(CH916="","",IFERROR(IF(IF(AND(LEN(CH916)=9,ISERROR(FIND("-",LEFT(CH916,8))),ISNUMBER(-LEFT(CH916,8))),VALUE(LEFT(CH916,4)),VALUE(LEFT(CH916,FIND("-",CH916)-1)))&lt;100,IF(AND(LEN(CH916)=9,ISERROR(FIND("-",LEFT(CH916,8))),ISNUMBER(-LEFT(CH916,8))),VALUE(LEFT(CH916,4)),VALUE(LEFT(CH916,FIND("-",CH916)-1)))+2000,IF(AND(LEN(CH916)=9,ISERROR(FIND("-",LEFT(CH916,8))),ISNUMBER(-LEFT(CH916,8))),VALUE(LEFT(CH916,4)),VALUE(LEFT(CH916,FIND("-",CH916)-1)))),""))</f>
        <v/>
      </c>
      <c r="CN916">
        <f>IF(CH916="","",IFERROR(IF(AND(LEN(CH916)=9,ISERROR(FIND("-",LEFT(CH916,8))),ISNUMBER(-LEFT(CH916,8))),VALUE(MID(CH916,5,2)),VALUE(MID(CH916,FIND("-",CH916)+1,FIND("-",CH916,FIND("-",CH916)+1)-FIND("-",CH916)-1))),""))</f>
        <v/>
      </c>
      <c r="CO916">
        <f>IF(CH916="","",IFERROR(IF(AND(LEN(CH916)=9,ISERROR(FIND("-",LEFT(CH916,8))),ISNUMBER(-LEFT(CH916,8))),VALUE(MID(CH916,7,2)),VALUE(MID(CH916,FIND("-",CH916,FIND("-",CH916)+1)+1,FIND("-",CH916,FIND("-",CH916,FIND("-",CH916)+1)+1)-FIND("-",CH916,FIND("-",CH916)+1)-1))),""))</f>
        <v/>
      </c>
    </row>
    <row r="917">
      <c r="CH917">
        <f>IF(ISTEXT('월 가계부'!A917),SUBSTITUTE(SUBSTITUTE(SUBSTITUTE(SUBSTITUTE(SUBSTITUTE(SUBSTITUTE(SUBSTITUTE(SUBSTITUTE(SUBSTITUTE(TRIM('월 가계부'!A917),"년","-"),"월","-"),"일",""),".","-"),"/","-")," ","-"),"--","-"),"--","-"),"--","-")&amp;"-","")</f>
        <v/>
      </c>
      <c r="CI917">
        <f>IFERROR(IF('월 가계부'!A917="","",IF(ISNUMBER('월 가계부'!A917),IF(AND('월 가계부'!A917&gt;=19000101,'월 가계부'!A917&lt;=21001231),IF(AND(MOD(INT('월 가계부'!A917/100),100)&gt;=1,MOD(INT('월 가계부'!A917/100),100)&lt;=12,MOD(INT('월 가계부'!A917),100)&gt;=1,MOD(INT('월 가계부'!A917),100)&lt;=31),IF(MONTH(DATE(INT('월 가계부'!A917/10000),MOD(INT('월 가계부'!A917/100),100),MOD(INT('월 가계부'!A917),100)))=MOD(INT('월 가계부'!A917/100),100),DATE(INT('월 가계부'!A917/10000),MOD(INT('월 가계부'!A917/100),100),MOD(INT('월 가계부'!A917),100)),""),""),IF(AND('월 가계부'!A917&gt;=36526,'월 가계부'!A917&lt;73051),INT('월 가계부'!A917),"")),IF(OR(CM917="",CN917="",CO917=""),"",IF(AND(CM917&gt;=2000,CM917&lt;=2099,CN917&gt;=1,CN917&lt;=12,CO917&gt;=1,CO917&lt;=31),IF(MONTH(DATE(CM917,CN917,CO917))=CN917,DATE(CM917,CN917,CO917),""),"")))),"")</f>
        <v/>
      </c>
      <c r="CJ917">
        <f>IFERROR(IF('월 가계부'!C917="","",IF(ISNUMBER('월 가계부'!C917),'월 가계부'!C917,VALUE(SUBSTITUTE(SUBSTITUTE(SUBSTITUTE(SUBSTITUTE(TRIM('월 가계부'!C917),",",""),"원","")," ",""),"−","-")))),"")</f>
        <v/>
      </c>
      <c r="CK917">
        <f>IF(ISNUMBER(CI917),IF(CI917&lt;$B$13,CI917,""),"")</f>
        <v/>
      </c>
      <c r="CM917">
        <f>IF(CH917="","",IFERROR(IF(IF(AND(LEN(CH917)=9,ISERROR(FIND("-",LEFT(CH917,8))),ISNUMBER(-LEFT(CH917,8))),VALUE(LEFT(CH917,4)),VALUE(LEFT(CH917,FIND("-",CH917)-1)))&lt;100,IF(AND(LEN(CH917)=9,ISERROR(FIND("-",LEFT(CH917,8))),ISNUMBER(-LEFT(CH917,8))),VALUE(LEFT(CH917,4)),VALUE(LEFT(CH917,FIND("-",CH917)-1)))+2000,IF(AND(LEN(CH917)=9,ISERROR(FIND("-",LEFT(CH917,8))),ISNUMBER(-LEFT(CH917,8))),VALUE(LEFT(CH917,4)),VALUE(LEFT(CH917,FIND("-",CH917)-1)))),""))</f>
        <v/>
      </c>
      <c r="CN917">
        <f>IF(CH917="","",IFERROR(IF(AND(LEN(CH917)=9,ISERROR(FIND("-",LEFT(CH917,8))),ISNUMBER(-LEFT(CH917,8))),VALUE(MID(CH917,5,2)),VALUE(MID(CH917,FIND("-",CH917)+1,FIND("-",CH917,FIND("-",CH917)+1)-FIND("-",CH917)-1))),""))</f>
        <v/>
      </c>
      <c r="CO917">
        <f>IF(CH917="","",IFERROR(IF(AND(LEN(CH917)=9,ISERROR(FIND("-",LEFT(CH917,8))),ISNUMBER(-LEFT(CH917,8))),VALUE(MID(CH917,7,2)),VALUE(MID(CH917,FIND("-",CH917,FIND("-",CH917)+1)+1,FIND("-",CH917,FIND("-",CH917,FIND("-",CH917)+1)+1)-FIND("-",CH917,FIND("-",CH917)+1)-1))),""))</f>
        <v/>
      </c>
    </row>
    <row r="918">
      <c r="CH918">
        <f>IF(ISTEXT('월 가계부'!A918),SUBSTITUTE(SUBSTITUTE(SUBSTITUTE(SUBSTITUTE(SUBSTITUTE(SUBSTITUTE(SUBSTITUTE(SUBSTITUTE(SUBSTITUTE(TRIM('월 가계부'!A918),"년","-"),"월","-"),"일",""),".","-"),"/","-")," ","-"),"--","-"),"--","-"),"--","-")&amp;"-","")</f>
        <v/>
      </c>
      <c r="CI918">
        <f>IFERROR(IF('월 가계부'!A918="","",IF(ISNUMBER('월 가계부'!A918),IF(AND('월 가계부'!A918&gt;=19000101,'월 가계부'!A918&lt;=21001231),IF(AND(MOD(INT('월 가계부'!A918/100),100)&gt;=1,MOD(INT('월 가계부'!A918/100),100)&lt;=12,MOD(INT('월 가계부'!A918),100)&gt;=1,MOD(INT('월 가계부'!A918),100)&lt;=31),IF(MONTH(DATE(INT('월 가계부'!A918/10000),MOD(INT('월 가계부'!A918/100),100),MOD(INT('월 가계부'!A918),100)))=MOD(INT('월 가계부'!A918/100),100),DATE(INT('월 가계부'!A918/10000),MOD(INT('월 가계부'!A918/100),100),MOD(INT('월 가계부'!A918),100)),""),""),IF(AND('월 가계부'!A918&gt;=36526,'월 가계부'!A918&lt;73051),INT('월 가계부'!A918),"")),IF(OR(CM918="",CN918="",CO918=""),"",IF(AND(CM918&gt;=2000,CM918&lt;=2099,CN918&gt;=1,CN918&lt;=12,CO918&gt;=1,CO918&lt;=31),IF(MONTH(DATE(CM918,CN918,CO918))=CN918,DATE(CM918,CN918,CO918),""),"")))),"")</f>
        <v/>
      </c>
      <c r="CJ918">
        <f>IFERROR(IF('월 가계부'!C918="","",IF(ISNUMBER('월 가계부'!C918),'월 가계부'!C918,VALUE(SUBSTITUTE(SUBSTITUTE(SUBSTITUTE(SUBSTITUTE(TRIM('월 가계부'!C918),",",""),"원","")," ",""),"−","-")))),"")</f>
        <v/>
      </c>
      <c r="CK918">
        <f>IF(ISNUMBER(CI918),IF(CI918&lt;$B$13,CI918,""),"")</f>
        <v/>
      </c>
      <c r="CM918">
        <f>IF(CH918="","",IFERROR(IF(IF(AND(LEN(CH918)=9,ISERROR(FIND("-",LEFT(CH918,8))),ISNUMBER(-LEFT(CH918,8))),VALUE(LEFT(CH918,4)),VALUE(LEFT(CH918,FIND("-",CH918)-1)))&lt;100,IF(AND(LEN(CH918)=9,ISERROR(FIND("-",LEFT(CH918,8))),ISNUMBER(-LEFT(CH918,8))),VALUE(LEFT(CH918,4)),VALUE(LEFT(CH918,FIND("-",CH918)-1)))+2000,IF(AND(LEN(CH918)=9,ISERROR(FIND("-",LEFT(CH918,8))),ISNUMBER(-LEFT(CH918,8))),VALUE(LEFT(CH918,4)),VALUE(LEFT(CH918,FIND("-",CH918)-1)))),""))</f>
        <v/>
      </c>
      <c r="CN918">
        <f>IF(CH918="","",IFERROR(IF(AND(LEN(CH918)=9,ISERROR(FIND("-",LEFT(CH918,8))),ISNUMBER(-LEFT(CH918,8))),VALUE(MID(CH918,5,2)),VALUE(MID(CH918,FIND("-",CH918)+1,FIND("-",CH918,FIND("-",CH918)+1)-FIND("-",CH918)-1))),""))</f>
        <v/>
      </c>
      <c r="CO918">
        <f>IF(CH918="","",IFERROR(IF(AND(LEN(CH918)=9,ISERROR(FIND("-",LEFT(CH918,8))),ISNUMBER(-LEFT(CH918,8))),VALUE(MID(CH918,7,2)),VALUE(MID(CH918,FIND("-",CH918,FIND("-",CH918)+1)+1,FIND("-",CH918,FIND("-",CH918,FIND("-",CH918)+1)+1)-FIND("-",CH918,FIND("-",CH918)+1)-1))),""))</f>
        <v/>
      </c>
    </row>
    <row r="919">
      <c r="CH919">
        <f>IF(ISTEXT('월 가계부'!A919),SUBSTITUTE(SUBSTITUTE(SUBSTITUTE(SUBSTITUTE(SUBSTITUTE(SUBSTITUTE(SUBSTITUTE(SUBSTITUTE(SUBSTITUTE(TRIM('월 가계부'!A919),"년","-"),"월","-"),"일",""),".","-"),"/","-")," ","-"),"--","-"),"--","-"),"--","-")&amp;"-","")</f>
        <v/>
      </c>
      <c r="CI919">
        <f>IFERROR(IF('월 가계부'!A919="","",IF(ISNUMBER('월 가계부'!A919),IF(AND('월 가계부'!A919&gt;=19000101,'월 가계부'!A919&lt;=21001231),IF(AND(MOD(INT('월 가계부'!A919/100),100)&gt;=1,MOD(INT('월 가계부'!A919/100),100)&lt;=12,MOD(INT('월 가계부'!A919),100)&gt;=1,MOD(INT('월 가계부'!A919),100)&lt;=31),IF(MONTH(DATE(INT('월 가계부'!A919/10000),MOD(INT('월 가계부'!A919/100),100),MOD(INT('월 가계부'!A919),100)))=MOD(INT('월 가계부'!A919/100),100),DATE(INT('월 가계부'!A919/10000),MOD(INT('월 가계부'!A919/100),100),MOD(INT('월 가계부'!A919),100)),""),""),IF(AND('월 가계부'!A919&gt;=36526,'월 가계부'!A919&lt;73051),INT('월 가계부'!A919),"")),IF(OR(CM919="",CN919="",CO919=""),"",IF(AND(CM919&gt;=2000,CM919&lt;=2099,CN919&gt;=1,CN919&lt;=12,CO919&gt;=1,CO919&lt;=31),IF(MONTH(DATE(CM919,CN919,CO919))=CN919,DATE(CM919,CN919,CO919),""),"")))),"")</f>
        <v/>
      </c>
      <c r="CJ919">
        <f>IFERROR(IF('월 가계부'!C919="","",IF(ISNUMBER('월 가계부'!C919),'월 가계부'!C919,VALUE(SUBSTITUTE(SUBSTITUTE(SUBSTITUTE(SUBSTITUTE(TRIM('월 가계부'!C919),",",""),"원","")," ",""),"−","-")))),"")</f>
        <v/>
      </c>
      <c r="CK919">
        <f>IF(ISNUMBER(CI919),IF(CI919&lt;$B$13,CI919,""),"")</f>
        <v/>
      </c>
      <c r="CM919">
        <f>IF(CH919="","",IFERROR(IF(IF(AND(LEN(CH919)=9,ISERROR(FIND("-",LEFT(CH919,8))),ISNUMBER(-LEFT(CH919,8))),VALUE(LEFT(CH919,4)),VALUE(LEFT(CH919,FIND("-",CH919)-1)))&lt;100,IF(AND(LEN(CH919)=9,ISERROR(FIND("-",LEFT(CH919,8))),ISNUMBER(-LEFT(CH919,8))),VALUE(LEFT(CH919,4)),VALUE(LEFT(CH919,FIND("-",CH919)-1)))+2000,IF(AND(LEN(CH919)=9,ISERROR(FIND("-",LEFT(CH919,8))),ISNUMBER(-LEFT(CH919,8))),VALUE(LEFT(CH919,4)),VALUE(LEFT(CH919,FIND("-",CH919)-1)))),""))</f>
        <v/>
      </c>
      <c r="CN919">
        <f>IF(CH919="","",IFERROR(IF(AND(LEN(CH919)=9,ISERROR(FIND("-",LEFT(CH919,8))),ISNUMBER(-LEFT(CH919,8))),VALUE(MID(CH919,5,2)),VALUE(MID(CH919,FIND("-",CH919)+1,FIND("-",CH919,FIND("-",CH919)+1)-FIND("-",CH919)-1))),""))</f>
        <v/>
      </c>
      <c r="CO919">
        <f>IF(CH919="","",IFERROR(IF(AND(LEN(CH919)=9,ISERROR(FIND("-",LEFT(CH919,8))),ISNUMBER(-LEFT(CH919,8))),VALUE(MID(CH919,7,2)),VALUE(MID(CH919,FIND("-",CH919,FIND("-",CH919)+1)+1,FIND("-",CH919,FIND("-",CH919,FIND("-",CH919)+1)+1)-FIND("-",CH919,FIND("-",CH919)+1)-1))),""))</f>
        <v/>
      </c>
    </row>
    <row r="920">
      <c r="CH920">
        <f>IF(ISTEXT('월 가계부'!A920),SUBSTITUTE(SUBSTITUTE(SUBSTITUTE(SUBSTITUTE(SUBSTITUTE(SUBSTITUTE(SUBSTITUTE(SUBSTITUTE(SUBSTITUTE(TRIM('월 가계부'!A920),"년","-"),"월","-"),"일",""),".","-"),"/","-")," ","-"),"--","-"),"--","-"),"--","-")&amp;"-","")</f>
        <v/>
      </c>
      <c r="CI920">
        <f>IFERROR(IF('월 가계부'!A920="","",IF(ISNUMBER('월 가계부'!A920),IF(AND('월 가계부'!A920&gt;=19000101,'월 가계부'!A920&lt;=21001231),IF(AND(MOD(INT('월 가계부'!A920/100),100)&gt;=1,MOD(INT('월 가계부'!A920/100),100)&lt;=12,MOD(INT('월 가계부'!A920),100)&gt;=1,MOD(INT('월 가계부'!A920),100)&lt;=31),IF(MONTH(DATE(INT('월 가계부'!A920/10000),MOD(INT('월 가계부'!A920/100),100),MOD(INT('월 가계부'!A920),100)))=MOD(INT('월 가계부'!A920/100),100),DATE(INT('월 가계부'!A920/10000),MOD(INT('월 가계부'!A920/100),100),MOD(INT('월 가계부'!A920),100)),""),""),IF(AND('월 가계부'!A920&gt;=36526,'월 가계부'!A920&lt;73051),INT('월 가계부'!A920),"")),IF(OR(CM920="",CN920="",CO920=""),"",IF(AND(CM920&gt;=2000,CM920&lt;=2099,CN920&gt;=1,CN920&lt;=12,CO920&gt;=1,CO920&lt;=31),IF(MONTH(DATE(CM920,CN920,CO920))=CN920,DATE(CM920,CN920,CO920),""),"")))),"")</f>
        <v/>
      </c>
      <c r="CJ920">
        <f>IFERROR(IF('월 가계부'!C920="","",IF(ISNUMBER('월 가계부'!C920),'월 가계부'!C920,VALUE(SUBSTITUTE(SUBSTITUTE(SUBSTITUTE(SUBSTITUTE(TRIM('월 가계부'!C920),",",""),"원","")," ",""),"−","-")))),"")</f>
        <v/>
      </c>
      <c r="CK920">
        <f>IF(ISNUMBER(CI920),IF(CI920&lt;$B$13,CI920,""),"")</f>
        <v/>
      </c>
      <c r="CM920">
        <f>IF(CH920="","",IFERROR(IF(IF(AND(LEN(CH920)=9,ISERROR(FIND("-",LEFT(CH920,8))),ISNUMBER(-LEFT(CH920,8))),VALUE(LEFT(CH920,4)),VALUE(LEFT(CH920,FIND("-",CH920)-1)))&lt;100,IF(AND(LEN(CH920)=9,ISERROR(FIND("-",LEFT(CH920,8))),ISNUMBER(-LEFT(CH920,8))),VALUE(LEFT(CH920,4)),VALUE(LEFT(CH920,FIND("-",CH920)-1)))+2000,IF(AND(LEN(CH920)=9,ISERROR(FIND("-",LEFT(CH920,8))),ISNUMBER(-LEFT(CH920,8))),VALUE(LEFT(CH920,4)),VALUE(LEFT(CH920,FIND("-",CH920)-1)))),""))</f>
        <v/>
      </c>
      <c r="CN920">
        <f>IF(CH920="","",IFERROR(IF(AND(LEN(CH920)=9,ISERROR(FIND("-",LEFT(CH920,8))),ISNUMBER(-LEFT(CH920,8))),VALUE(MID(CH920,5,2)),VALUE(MID(CH920,FIND("-",CH920)+1,FIND("-",CH920,FIND("-",CH920)+1)-FIND("-",CH920)-1))),""))</f>
        <v/>
      </c>
      <c r="CO920">
        <f>IF(CH920="","",IFERROR(IF(AND(LEN(CH920)=9,ISERROR(FIND("-",LEFT(CH920,8))),ISNUMBER(-LEFT(CH920,8))),VALUE(MID(CH920,7,2)),VALUE(MID(CH920,FIND("-",CH920,FIND("-",CH920)+1)+1,FIND("-",CH920,FIND("-",CH920,FIND("-",CH920)+1)+1)-FIND("-",CH920,FIND("-",CH920)+1)-1))),""))</f>
        <v/>
      </c>
    </row>
    <row r="921">
      <c r="CH921">
        <f>IF(ISTEXT('월 가계부'!A921),SUBSTITUTE(SUBSTITUTE(SUBSTITUTE(SUBSTITUTE(SUBSTITUTE(SUBSTITUTE(SUBSTITUTE(SUBSTITUTE(SUBSTITUTE(TRIM('월 가계부'!A921),"년","-"),"월","-"),"일",""),".","-"),"/","-")," ","-"),"--","-"),"--","-"),"--","-")&amp;"-","")</f>
        <v/>
      </c>
      <c r="CI921">
        <f>IFERROR(IF('월 가계부'!A921="","",IF(ISNUMBER('월 가계부'!A921),IF(AND('월 가계부'!A921&gt;=19000101,'월 가계부'!A921&lt;=21001231),IF(AND(MOD(INT('월 가계부'!A921/100),100)&gt;=1,MOD(INT('월 가계부'!A921/100),100)&lt;=12,MOD(INT('월 가계부'!A921),100)&gt;=1,MOD(INT('월 가계부'!A921),100)&lt;=31),IF(MONTH(DATE(INT('월 가계부'!A921/10000),MOD(INT('월 가계부'!A921/100),100),MOD(INT('월 가계부'!A921),100)))=MOD(INT('월 가계부'!A921/100),100),DATE(INT('월 가계부'!A921/10000),MOD(INT('월 가계부'!A921/100),100),MOD(INT('월 가계부'!A921),100)),""),""),IF(AND('월 가계부'!A921&gt;=36526,'월 가계부'!A921&lt;73051),INT('월 가계부'!A921),"")),IF(OR(CM921="",CN921="",CO921=""),"",IF(AND(CM921&gt;=2000,CM921&lt;=2099,CN921&gt;=1,CN921&lt;=12,CO921&gt;=1,CO921&lt;=31),IF(MONTH(DATE(CM921,CN921,CO921))=CN921,DATE(CM921,CN921,CO921),""),"")))),"")</f>
        <v/>
      </c>
      <c r="CJ921">
        <f>IFERROR(IF('월 가계부'!C921="","",IF(ISNUMBER('월 가계부'!C921),'월 가계부'!C921,VALUE(SUBSTITUTE(SUBSTITUTE(SUBSTITUTE(SUBSTITUTE(TRIM('월 가계부'!C921),",",""),"원","")," ",""),"−","-")))),"")</f>
        <v/>
      </c>
      <c r="CK921">
        <f>IF(ISNUMBER(CI921),IF(CI921&lt;$B$13,CI921,""),"")</f>
        <v/>
      </c>
      <c r="CM921">
        <f>IF(CH921="","",IFERROR(IF(IF(AND(LEN(CH921)=9,ISERROR(FIND("-",LEFT(CH921,8))),ISNUMBER(-LEFT(CH921,8))),VALUE(LEFT(CH921,4)),VALUE(LEFT(CH921,FIND("-",CH921)-1)))&lt;100,IF(AND(LEN(CH921)=9,ISERROR(FIND("-",LEFT(CH921,8))),ISNUMBER(-LEFT(CH921,8))),VALUE(LEFT(CH921,4)),VALUE(LEFT(CH921,FIND("-",CH921)-1)))+2000,IF(AND(LEN(CH921)=9,ISERROR(FIND("-",LEFT(CH921,8))),ISNUMBER(-LEFT(CH921,8))),VALUE(LEFT(CH921,4)),VALUE(LEFT(CH921,FIND("-",CH921)-1)))),""))</f>
        <v/>
      </c>
      <c r="CN921">
        <f>IF(CH921="","",IFERROR(IF(AND(LEN(CH921)=9,ISERROR(FIND("-",LEFT(CH921,8))),ISNUMBER(-LEFT(CH921,8))),VALUE(MID(CH921,5,2)),VALUE(MID(CH921,FIND("-",CH921)+1,FIND("-",CH921,FIND("-",CH921)+1)-FIND("-",CH921)-1))),""))</f>
        <v/>
      </c>
      <c r="CO921">
        <f>IF(CH921="","",IFERROR(IF(AND(LEN(CH921)=9,ISERROR(FIND("-",LEFT(CH921,8))),ISNUMBER(-LEFT(CH921,8))),VALUE(MID(CH921,7,2)),VALUE(MID(CH921,FIND("-",CH921,FIND("-",CH921)+1)+1,FIND("-",CH921,FIND("-",CH921,FIND("-",CH921)+1)+1)-FIND("-",CH921,FIND("-",CH921)+1)-1))),""))</f>
        <v/>
      </c>
    </row>
    <row r="922">
      <c r="CH922">
        <f>IF(ISTEXT('월 가계부'!A922),SUBSTITUTE(SUBSTITUTE(SUBSTITUTE(SUBSTITUTE(SUBSTITUTE(SUBSTITUTE(SUBSTITUTE(SUBSTITUTE(SUBSTITUTE(TRIM('월 가계부'!A922),"년","-"),"월","-"),"일",""),".","-"),"/","-")," ","-"),"--","-"),"--","-"),"--","-")&amp;"-","")</f>
        <v/>
      </c>
      <c r="CI922">
        <f>IFERROR(IF('월 가계부'!A922="","",IF(ISNUMBER('월 가계부'!A922),IF(AND('월 가계부'!A922&gt;=19000101,'월 가계부'!A922&lt;=21001231),IF(AND(MOD(INT('월 가계부'!A922/100),100)&gt;=1,MOD(INT('월 가계부'!A922/100),100)&lt;=12,MOD(INT('월 가계부'!A922),100)&gt;=1,MOD(INT('월 가계부'!A922),100)&lt;=31),IF(MONTH(DATE(INT('월 가계부'!A922/10000),MOD(INT('월 가계부'!A922/100),100),MOD(INT('월 가계부'!A922),100)))=MOD(INT('월 가계부'!A922/100),100),DATE(INT('월 가계부'!A922/10000),MOD(INT('월 가계부'!A922/100),100),MOD(INT('월 가계부'!A922),100)),""),""),IF(AND('월 가계부'!A922&gt;=36526,'월 가계부'!A922&lt;73051),INT('월 가계부'!A922),"")),IF(OR(CM922="",CN922="",CO922=""),"",IF(AND(CM922&gt;=2000,CM922&lt;=2099,CN922&gt;=1,CN922&lt;=12,CO922&gt;=1,CO922&lt;=31),IF(MONTH(DATE(CM922,CN922,CO922))=CN922,DATE(CM922,CN922,CO922),""),"")))),"")</f>
        <v/>
      </c>
      <c r="CJ922">
        <f>IFERROR(IF('월 가계부'!C922="","",IF(ISNUMBER('월 가계부'!C922),'월 가계부'!C922,VALUE(SUBSTITUTE(SUBSTITUTE(SUBSTITUTE(SUBSTITUTE(TRIM('월 가계부'!C922),",",""),"원","")," ",""),"−","-")))),"")</f>
        <v/>
      </c>
      <c r="CK922">
        <f>IF(ISNUMBER(CI922),IF(CI922&lt;$B$13,CI922,""),"")</f>
        <v/>
      </c>
      <c r="CM922">
        <f>IF(CH922="","",IFERROR(IF(IF(AND(LEN(CH922)=9,ISERROR(FIND("-",LEFT(CH922,8))),ISNUMBER(-LEFT(CH922,8))),VALUE(LEFT(CH922,4)),VALUE(LEFT(CH922,FIND("-",CH922)-1)))&lt;100,IF(AND(LEN(CH922)=9,ISERROR(FIND("-",LEFT(CH922,8))),ISNUMBER(-LEFT(CH922,8))),VALUE(LEFT(CH922,4)),VALUE(LEFT(CH922,FIND("-",CH922)-1)))+2000,IF(AND(LEN(CH922)=9,ISERROR(FIND("-",LEFT(CH922,8))),ISNUMBER(-LEFT(CH922,8))),VALUE(LEFT(CH922,4)),VALUE(LEFT(CH922,FIND("-",CH922)-1)))),""))</f>
        <v/>
      </c>
      <c r="CN922">
        <f>IF(CH922="","",IFERROR(IF(AND(LEN(CH922)=9,ISERROR(FIND("-",LEFT(CH922,8))),ISNUMBER(-LEFT(CH922,8))),VALUE(MID(CH922,5,2)),VALUE(MID(CH922,FIND("-",CH922)+1,FIND("-",CH922,FIND("-",CH922)+1)-FIND("-",CH922)-1))),""))</f>
        <v/>
      </c>
      <c r="CO922">
        <f>IF(CH922="","",IFERROR(IF(AND(LEN(CH922)=9,ISERROR(FIND("-",LEFT(CH922,8))),ISNUMBER(-LEFT(CH922,8))),VALUE(MID(CH922,7,2)),VALUE(MID(CH922,FIND("-",CH922,FIND("-",CH922)+1)+1,FIND("-",CH922,FIND("-",CH922,FIND("-",CH922)+1)+1)-FIND("-",CH922,FIND("-",CH922)+1)-1))),""))</f>
        <v/>
      </c>
    </row>
    <row r="923">
      <c r="CH923">
        <f>IF(ISTEXT('월 가계부'!A923),SUBSTITUTE(SUBSTITUTE(SUBSTITUTE(SUBSTITUTE(SUBSTITUTE(SUBSTITUTE(SUBSTITUTE(SUBSTITUTE(SUBSTITUTE(TRIM('월 가계부'!A923),"년","-"),"월","-"),"일",""),".","-"),"/","-")," ","-"),"--","-"),"--","-"),"--","-")&amp;"-","")</f>
        <v/>
      </c>
      <c r="CI923">
        <f>IFERROR(IF('월 가계부'!A923="","",IF(ISNUMBER('월 가계부'!A923),IF(AND('월 가계부'!A923&gt;=19000101,'월 가계부'!A923&lt;=21001231),IF(AND(MOD(INT('월 가계부'!A923/100),100)&gt;=1,MOD(INT('월 가계부'!A923/100),100)&lt;=12,MOD(INT('월 가계부'!A923),100)&gt;=1,MOD(INT('월 가계부'!A923),100)&lt;=31),IF(MONTH(DATE(INT('월 가계부'!A923/10000),MOD(INT('월 가계부'!A923/100),100),MOD(INT('월 가계부'!A923),100)))=MOD(INT('월 가계부'!A923/100),100),DATE(INT('월 가계부'!A923/10000),MOD(INT('월 가계부'!A923/100),100),MOD(INT('월 가계부'!A923),100)),""),""),IF(AND('월 가계부'!A923&gt;=36526,'월 가계부'!A923&lt;73051),INT('월 가계부'!A923),"")),IF(OR(CM923="",CN923="",CO923=""),"",IF(AND(CM923&gt;=2000,CM923&lt;=2099,CN923&gt;=1,CN923&lt;=12,CO923&gt;=1,CO923&lt;=31),IF(MONTH(DATE(CM923,CN923,CO923))=CN923,DATE(CM923,CN923,CO923),""),"")))),"")</f>
        <v/>
      </c>
      <c r="CJ923">
        <f>IFERROR(IF('월 가계부'!C923="","",IF(ISNUMBER('월 가계부'!C923),'월 가계부'!C923,VALUE(SUBSTITUTE(SUBSTITUTE(SUBSTITUTE(SUBSTITUTE(TRIM('월 가계부'!C923),",",""),"원","")," ",""),"−","-")))),"")</f>
        <v/>
      </c>
      <c r="CK923">
        <f>IF(ISNUMBER(CI923),IF(CI923&lt;$B$13,CI923,""),"")</f>
        <v/>
      </c>
      <c r="CM923">
        <f>IF(CH923="","",IFERROR(IF(IF(AND(LEN(CH923)=9,ISERROR(FIND("-",LEFT(CH923,8))),ISNUMBER(-LEFT(CH923,8))),VALUE(LEFT(CH923,4)),VALUE(LEFT(CH923,FIND("-",CH923)-1)))&lt;100,IF(AND(LEN(CH923)=9,ISERROR(FIND("-",LEFT(CH923,8))),ISNUMBER(-LEFT(CH923,8))),VALUE(LEFT(CH923,4)),VALUE(LEFT(CH923,FIND("-",CH923)-1)))+2000,IF(AND(LEN(CH923)=9,ISERROR(FIND("-",LEFT(CH923,8))),ISNUMBER(-LEFT(CH923,8))),VALUE(LEFT(CH923,4)),VALUE(LEFT(CH923,FIND("-",CH923)-1)))),""))</f>
        <v/>
      </c>
      <c r="CN923">
        <f>IF(CH923="","",IFERROR(IF(AND(LEN(CH923)=9,ISERROR(FIND("-",LEFT(CH923,8))),ISNUMBER(-LEFT(CH923,8))),VALUE(MID(CH923,5,2)),VALUE(MID(CH923,FIND("-",CH923)+1,FIND("-",CH923,FIND("-",CH923)+1)-FIND("-",CH923)-1))),""))</f>
        <v/>
      </c>
      <c r="CO923">
        <f>IF(CH923="","",IFERROR(IF(AND(LEN(CH923)=9,ISERROR(FIND("-",LEFT(CH923,8))),ISNUMBER(-LEFT(CH923,8))),VALUE(MID(CH923,7,2)),VALUE(MID(CH923,FIND("-",CH923,FIND("-",CH923)+1)+1,FIND("-",CH923,FIND("-",CH923,FIND("-",CH923)+1)+1)-FIND("-",CH923,FIND("-",CH923)+1)-1))),""))</f>
        <v/>
      </c>
    </row>
    <row r="924">
      <c r="CH924">
        <f>IF(ISTEXT('월 가계부'!A924),SUBSTITUTE(SUBSTITUTE(SUBSTITUTE(SUBSTITUTE(SUBSTITUTE(SUBSTITUTE(SUBSTITUTE(SUBSTITUTE(SUBSTITUTE(TRIM('월 가계부'!A924),"년","-"),"월","-"),"일",""),".","-"),"/","-")," ","-"),"--","-"),"--","-"),"--","-")&amp;"-","")</f>
        <v/>
      </c>
      <c r="CI924">
        <f>IFERROR(IF('월 가계부'!A924="","",IF(ISNUMBER('월 가계부'!A924),IF(AND('월 가계부'!A924&gt;=19000101,'월 가계부'!A924&lt;=21001231),IF(AND(MOD(INT('월 가계부'!A924/100),100)&gt;=1,MOD(INT('월 가계부'!A924/100),100)&lt;=12,MOD(INT('월 가계부'!A924),100)&gt;=1,MOD(INT('월 가계부'!A924),100)&lt;=31),IF(MONTH(DATE(INT('월 가계부'!A924/10000),MOD(INT('월 가계부'!A924/100),100),MOD(INT('월 가계부'!A924),100)))=MOD(INT('월 가계부'!A924/100),100),DATE(INT('월 가계부'!A924/10000),MOD(INT('월 가계부'!A924/100),100),MOD(INT('월 가계부'!A924),100)),""),""),IF(AND('월 가계부'!A924&gt;=36526,'월 가계부'!A924&lt;73051),INT('월 가계부'!A924),"")),IF(OR(CM924="",CN924="",CO924=""),"",IF(AND(CM924&gt;=2000,CM924&lt;=2099,CN924&gt;=1,CN924&lt;=12,CO924&gt;=1,CO924&lt;=31),IF(MONTH(DATE(CM924,CN924,CO924))=CN924,DATE(CM924,CN924,CO924),""),"")))),"")</f>
        <v/>
      </c>
      <c r="CJ924">
        <f>IFERROR(IF('월 가계부'!C924="","",IF(ISNUMBER('월 가계부'!C924),'월 가계부'!C924,VALUE(SUBSTITUTE(SUBSTITUTE(SUBSTITUTE(SUBSTITUTE(TRIM('월 가계부'!C924),",",""),"원","")," ",""),"−","-")))),"")</f>
        <v/>
      </c>
      <c r="CK924">
        <f>IF(ISNUMBER(CI924),IF(CI924&lt;$B$13,CI924,""),"")</f>
        <v/>
      </c>
      <c r="CM924">
        <f>IF(CH924="","",IFERROR(IF(IF(AND(LEN(CH924)=9,ISERROR(FIND("-",LEFT(CH924,8))),ISNUMBER(-LEFT(CH924,8))),VALUE(LEFT(CH924,4)),VALUE(LEFT(CH924,FIND("-",CH924)-1)))&lt;100,IF(AND(LEN(CH924)=9,ISERROR(FIND("-",LEFT(CH924,8))),ISNUMBER(-LEFT(CH924,8))),VALUE(LEFT(CH924,4)),VALUE(LEFT(CH924,FIND("-",CH924)-1)))+2000,IF(AND(LEN(CH924)=9,ISERROR(FIND("-",LEFT(CH924,8))),ISNUMBER(-LEFT(CH924,8))),VALUE(LEFT(CH924,4)),VALUE(LEFT(CH924,FIND("-",CH924)-1)))),""))</f>
        <v/>
      </c>
      <c r="CN924">
        <f>IF(CH924="","",IFERROR(IF(AND(LEN(CH924)=9,ISERROR(FIND("-",LEFT(CH924,8))),ISNUMBER(-LEFT(CH924,8))),VALUE(MID(CH924,5,2)),VALUE(MID(CH924,FIND("-",CH924)+1,FIND("-",CH924,FIND("-",CH924)+1)-FIND("-",CH924)-1))),""))</f>
        <v/>
      </c>
      <c r="CO924">
        <f>IF(CH924="","",IFERROR(IF(AND(LEN(CH924)=9,ISERROR(FIND("-",LEFT(CH924,8))),ISNUMBER(-LEFT(CH924,8))),VALUE(MID(CH924,7,2)),VALUE(MID(CH924,FIND("-",CH924,FIND("-",CH924)+1)+1,FIND("-",CH924,FIND("-",CH924,FIND("-",CH924)+1)+1)-FIND("-",CH924,FIND("-",CH924)+1)-1))),""))</f>
        <v/>
      </c>
    </row>
    <row r="925">
      <c r="CH925">
        <f>IF(ISTEXT('월 가계부'!A925),SUBSTITUTE(SUBSTITUTE(SUBSTITUTE(SUBSTITUTE(SUBSTITUTE(SUBSTITUTE(SUBSTITUTE(SUBSTITUTE(SUBSTITUTE(TRIM('월 가계부'!A925),"년","-"),"월","-"),"일",""),".","-"),"/","-")," ","-"),"--","-"),"--","-"),"--","-")&amp;"-","")</f>
        <v/>
      </c>
      <c r="CI925">
        <f>IFERROR(IF('월 가계부'!A925="","",IF(ISNUMBER('월 가계부'!A925),IF(AND('월 가계부'!A925&gt;=19000101,'월 가계부'!A925&lt;=21001231),IF(AND(MOD(INT('월 가계부'!A925/100),100)&gt;=1,MOD(INT('월 가계부'!A925/100),100)&lt;=12,MOD(INT('월 가계부'!A925),100)&gt;=1,MOD(INT('월 가계부'!A925),100)&lt;=31),IF(MONTH(DATE(INT('월 가계부'!A925/10000),MOD(INT('월 가계부'!A925/100),100),MOD(INT('월 가계부'!A925),100)))=MOD(INT('월 가계부'!A925/100),100),DATE(INT('월 가계부'!A925/10000),MOD(INT('월 가계부'!A925/100),100),MOD(INT('월 가계부'!A925),100)),""),""),IF(AND('월 가계부'!A925&gt;=36526,'월 가계부'!A925&lt;73051),INT('월 가계부'!A925),"")),IF(OR(CM925="",CN925="",CO925=""),"",IF(AND(CM925&gt;=2000,CM925&lt;=2099,CN925&gt;=1,CN925&lt;=12,CO925&gt;=1,CO925&lt;=31),IF(MONTH(DATE(CM925,CN925,CO925))=CN925,DATE(CM925,CN925,CO925),""),"")))),"")</f>
        <v/>
      </c>
      <c r="CJ925">
        <f>IFERROR(IF('월 가계부'!C925="","",IF(ISNUMBER('월 가계부'!C925),'월 가계부'!C925,VALUE(SUBSTITUTE(SUBSTITUTE(SUBSTITUTE(SUBSTITUTE(TRIM('월 가계부'!C925),",",""),"원","")," ",""),"−","-")))),"")</f>
        <v/>
      </c>
      <c r="CK925">
        <f>IF(ISNUMBER(CI925),IF(CI925&lt;$B$13,CI925,""),"")</f>
        <v/>
      </c>
      <c r="CM925">
        <f>IF(CH925="","",IFERROR(IF(IF(AND(LEN(CH925)=9,ISERROR(FIND("-",LEFT(CH925,8))),ISNUMBER(-LEFT(CH925,8))),VALUE(LEFT(CH925,4)),VALUE(LEFT(CH925,FIND("-",CH925)-1)))&lt;100,IF(AND(LEN(CH925)=9,ISERROR(FIND("-",LEFT(CH925,8))),ISNUMBER(-LEFT(CH925,8))),VALUE(LEFT(CH925,4)),VALUE(LEFT(CH925,FIND("-",CH925)-1)))+2000,IF(AND(LEN(CH925)=9,ISERROR(FIND("-",LEFT(CH925,8))),ISNUMBER(-LEFT(CH925,8))),VALUE(LEFT(CH925,4)),VALUE(LEFT(CH925,FIND("-",CH925)-1)))),""))</f>
        <v/>
      </c>
      <c r="CN925">
        <f>IF(CH925="","",IFERROR(IF(AND(LEN(CH925)=9,ISERROR(FIND("-",LEFT(CH925,8))),ISNUMBER(-LEFT(CH925,8))),VALUE(MID(CH925,5,2)),VALUE(MID(CH925,FIND("-",CH925)+1,FIND("-",CH925,FIND("-",CH925)+1)-FIND("-",CH925)-1))),""))</f>
        <v/>
      </c>
      <c r="CO925">
        <f>IF(CH925="","",IFERROR(IF(AND(LEN(CH925)=9,ISERROR(FIND("-",LEFT(CH925,8))),ISNUMBER(-LEFT(CH925,8))),VALUE(MID(CH925,7,2)),VALUE(MID(CH925,FIND("-",CH925,FIND("-",CH925)+1)+1,FIND("-",CH925,FIND("-",CH925,FIND("-",CH925)+1)+1)-FIND("-",CH925,FIND("-",CH925)+1)-1))),""))</f>
        <v/>
      </c>
    </row>
    <row r="926">
      <c r="CH926">
        <f>IF(ISTEXT('월 가계부'!A926),SUBSTITUTE(SUBSTITUTE(SUBSTITUTE(SUBSTITUTE(SUBSTITUTE(SUBSTITUTE(SUBSTITUTE(SUBSTITUTE(SUBSTITUTE(TRIM('월 가계부'!A926),"년","-"),"월","-"),"일",""),".","-"),"/","-")," ","-"),"--","-"),"--","-"),"--","-")&amp;"-","")</f>
        <v/>
      </c>
      <c r="CI926">
        <f>IFERROR(IF('월 가계부'!A926="","",IF(ISNUMBER('월 가계부'!A926),IF(AND('월 가계부'!A926&gt;=19000101,'월 가계부'!A926&lt;=21001231),IF(AND(MOD(INT('월 가계부'!A926/100),100)&gt;=1,MOD(INT('월 가계부'!A926/100),100)&lt;=12,MOD(INT('월 가계부'!A926),100)&gt;=1,MOD(INT('월 가계부'!A926),100)&lt;=31),IF(MONTH(DATE(INT('월 가계부'!A926/10000),MOD(INT('월 가계부'!A926/100),100),MOD(INT('월 가계부'!A926),100)))=MOD(INT('월 가계부'!A926/100),100),DATE(INT('월 가계부'!A926/10000),MOD(INT('월 가계부'!A926/100),100),MOD(INT('월 가계부'!A926),100)),""),""),IF(AND('월 가계부'!A926&gt;=36526,'월 가계부'!A926&lt;73051),INT('월 가계부'!A926),"")),IF(OR(CM926="",CN926="",CO926=""),"",IF(AND(CM926&gt;=2000,CM926&lt;=2099,CN926&gt;=1,CN926&lt;=12,CO926&gt;=1,CO926&lt;=31),IF(MONTH(DATE(CM926,CN926,CO926))=CN926,DATE(CM926,CN926,CO926),""),"")))),"")</f>
        <v/>
      </c>
      <c r="CJ926">
        <f>IFERROR(IF('월 가계부'!C926="","",IF(ISNUMBER('월 가계부'!C926),'월 가계부'!C926,VALUE(SUBSTITUTE(SUBSTITUTE(SUBSTITUTE(SUBSTITUTE(TRIM('월 가계부'!C926),",",""),"원","")," ",""),"−","-")))),"")</f>
        <v/>
      </c>
      <c r="CK926">
        <f>IF(ISNUMBER(CI926),IF(CI926&lt;$B$13,CI926,""),"")</f>
        <v/>
      </c>
      <c r="CM926">
        <f>IF(CH926="","",IFERROR(IF(IF(AND(LEN(CH926)=9,ISERROR(FIND("-",LEFT(CH926,8))),ISNUMBER(-LEFT(CH926,8))),VALUE(LEFT(CH926,4)),VALUE(LEFT(CH926,FIND("-",CH926)-1)))&lt;100,IF(AND(LEN(CH926)=9,ISERROR(FIND("-",LEFT(CH926,8))),ISNUMBER(-LEFT(CH926,8))),VALUE(LEFT(CH926,4)),VALUE(LEFT(CH926,FIND("-",CH926)-1)))+2000,IF(AND(LEN(CH926)=9,ISERROR(FIND("-",LEFT(CH926,8))),ISNUMBER(-LEFT(CH926,8))),VALUE(LEFT(CH926,4)),VALUE(LEFT(CH926,FIND("-",CH926)-1)))),""))</f>
        <v/>
      </c>
      <c r="CN926">
        <f>IF(CH926="","",IFERROR(IF(AND(LEN(CH926)=9,ISERROR(FIND("-",LEFT(CH926,8))),ISNUMBER(-LEFT(CH926,8))),VALUE(MID(CH926,5,2)),VALUE(MID(CH926,FIND("-",CH926)+1,FIND("-",CH926,FIND("-",CH926)+1)-FIND("-",CH926)-1))),""))</f>
        <v/>
      </c>
      <c r="CO926">
        <f>IF(CH926="","",IFERROR(IF(AND(LEN(CH926)=9,ISERROR(FIND("-",LEFT(CH926,8))),ISNUMBER(-LEFT(CH926,8))),VALUE(MID(CH926,7,2)),VALUE(MID(CH926,FIND("-",CH926,FIND("-",CH926)+1)+1,FIND("-",CH926,FIND("-",CH926,FIND("-",CH926)+1)+1)-FIND("-",CH926,FIND("-",CH926)+1)-1))),""))</f>
        <v/>
      </c>
    </row>
    <row r="927">
      <c r="CH927">
        <f>IF(ISTEXT('월 가계부'!A927),SUBSTITUTE(SUBSTITUTE(SUBSTITUTE(SUBSTITUTE(SUBSTITUTE(SUBSTITUTE(SUBSTITUTE(SUBSTITUTE(SUBSTITUTE(TRIM('월 가계부'!A927),"년","-"),"월","-"),"일",""),".","-"),"/","-")," ","-"),"--","-"),"--","-"),"--","-")&amp;"-","")</f>
        <v/>
      </c>
      <c r="CI927">
        <f>IFERROR(IF('월 가계부'!A927="","",IF(ISNUMBER('월 가계부'!A927),IF(AND('월 가계부'!A927&gt;=19000101,'월 가계부'!A927&lt;=21001231),IF(AND(MOD(INT('월 가계부'!A927/100),100)&gt;=1,MOD(INT('월 가계부'!A927/100),100)&lt;=12,MOD(INT('월 가계부'!A927),100)&gt;=1,MOD(INT('월 가계부'!A927),100)&lt;=31),IF(MONTH(DATE(INT('월 가계부'!A927/10000),MOD(INT('월 가계부'!A927/100),100),MOD(INT('월 가계부'!A927),100)))=MOD(INT('월 가계부'!A927/100),100),DATE(INT('월 가계부'!A927/10000),MOD(INT('월 가계부'!A927/100),100),MOD(INT('월 가계부'!A927),100)),""),""),IF(AND('월 가계부'!A927&gt;=36526,'월 가계부'!A927&lt;73051),INT('월 가계부'!A927),"")),IF(OR(CM927="",CN927="",CO927=""),"",IF(AND(CM927&gt;=2000,CM927&lt;=2099,CN927&gt;=1,CN927&lt;=12,CO927&gt;=1,CO927&lt;=31),IF(MONTH(DATE(CM927,CN927,CO927))=CN927,DATE(CM927,CN927,CO927),""),"")))),"")</f>
        <v/>
      </c>
      <c r="CJ927">
        <f>IFERROR(IF('월 가계부'!C927="","",IF(ISNUMBER('월 가계부'!C927),'월 가계부'!C927,VALUE(SUBSTITUTE(SUBSTITUTE(SUBSTITUTE(SUBSTITUTE(TRIM('월 가계부'!C927),",",""),"원","")," ",""),"−","-")))),"")</f>
        <v/>
      </c>
      <c r="CK927">
        <f>IF(ISNUMBER(CI927),IF(CI927&lt;$B$13,CI927,""),"")</f>
        <v/>
      </c>
      <c r="CM927">
        <f>IF(CH927="","",IFERROR(IF(IF(AND(LEN(CH927)=9,ISERROR(FIND("-",LEFT(CH927,8))),ISNUMBER(-LEFT(CH927,8))),VALUE(LEFT(CH927,4)),VALUE(LEFT(CH927,FIND("-",CH927)-1)))&lt;100,IF(AND(LEN(CH927)=9,ISERROR(FIND("-",LEFT(CH927,8))),ISNUMBER(-LEFT(CH927,8))),VALUE(LEFT(CH927,4)),VALUE(LEFT(CH927,FIND("-",CH927)-1)))+2000,IF(AND(LEN(CH927)=9,ISERROR(FIND("-",LEFT(CH927,8))),ISNUMBER(-LEFT(CH927,8))),VALUE(LEFT(CH927,4)),VALUE(LEFT(CH927,FIND("-",CH927)-1)))),""))</f>
        <v/>
      </c>
      <c r="CN927">
        <f>IF(CH927="","",IFERROR(IF(AND(LEN(CH927)=9,ISERROR(FIND("-",LEFT(CH927,8))),ISNUMBER(-LEFT(CH927,8))),VALUE(MID(CH927,5,2)),VALUE(MID(CH927,FIND("-",CH927)+1,FIND("-",CH927,FIND("-",CH927)+1)-FIND("-",CH927)-1))),""))</f>
        <v/>
      </c>
      <c r="CO927">
        <f>IF(CH927="","",IFERROR(IF(AND(LEN(CH927)=9,ISERROR(FIND("-",LEFT(CH927,8))),ISNUMBER(-LEFT(CH927,8))),VALUE(MID(CH927,7,2)),VALUE(MID(CH927,FIND("-",CH927,FIND("-",CH927)+1)+1,FIND("-",CH927,FIND("-",CH927,FIND("-",CH927)+1)+1)-FIND("-",CH927,FIND("-",CH927)+1)-1))),""))</f>
        <v/>
      </c>
    </row>
    <row r="928">
      <c r="CH928">
        <f>IF(ISTEXT('월 가계부'!A928),SUBSTITUTE(SUBSTITUTE(SUBSTITUTE(SUBSTITUTE(SUBSTITUTE(SUBSTITUTE(SUBSTITUTE(SUBSTITUTE(SUBSTITUTE(TRIM('월 가계부'!A928),"년","-"),"월","-"),"일",""),".","-"),"/","-")," ","-"),"--","-"),"--","-"),"--","-")&amp;"-","")</f>
        <v/>
      </c>
      <c r="CI928">
        <f>IFERROR(IF('월 가계부'!A928="","",IF(ISNUMBER('월 가계부'!A928),IF(AND('월 가계부'!A928&gt;=19000101,'월 가계부'!A928&lt;=21001231),IF(AND(MOD(INT('월 가계부'!A928/100),100)&gt;=1,MOD(INT('월 가계부'!A928/100),100)&lt;=12,MOD(INT('월 가계부'!A928),100)&gt;=1,MOD(INT('월 가계부'!A928),100)&lt;=31),IF(MONTH(DATE(INT('월 가계부'!A928/10000),MOD(INT('월 가계부'!A928/100),100),MOD(INT('월 가계부'!A928),100)))=MOD(INT('월 가계부'!A928/100),100),DATE(INT('월 가계부'!A928/10000),MOD(INT('월 가계부'!A928/100),100),MOD(INT('월 가계부'!A928),100)),""),""),IF(AND('월 가계부'!A928&gt;=36526,'월 가계부'!A928&lt;73051),INT('월 가계부'!A928),"")),IF(OR(CM928="",CN928="",CO928=""),"",IF(AND(CM928&gt;=2000,CM928&lt;=2099,CN928&gt;=1,CN928&lt;=12,CO928&gt;=1,CO928&lt;=31),IF(MONTH(DATE(CM928,CN928,CO928))=CN928,DATE(CM928,CN928,CO928),""),"")))),"")</f>
        <v/>
      </c>
      <c r="CJ928">
        <f>IFERROR(IF('월 가계부'!C928="","",IF(ISNUMBER('월 가계부'!C928),'월 가계부'!C928,VALUE(SUBSTITUTE(SUBSTITUTE(SUBSTITUTE(SUBSTITUTE(TRIM('월 가계부'!C928),",",""),"원","")," ",""),"−","-")))),"")</f>
        <v/>
      </c>
      <c r="CK928">
        <f>IF(ISNUMBER(CI928),IF(CI928&lt;$B$13,CI928,""),"")</f>
        <v/>
      </c>
      <c r="CM928">
        <f>IF(CH928="","",IFERROR(IF(IF(AND(LEN(CH928)=9,ISERROR(FIND("-",LEFT(CH928,8))),ISNUMBER(-LEFT(CH928,8))),VALUE(LEFT(CH928,4)),VALUE(LEFT(CH928,FIND("-",CH928)-1)))&lt;100,IF(AND(LEN(CH928)=9,ISERROR(FIND("-",LEFT(CH928,8))),ISNUMBER(-LEFT(CH928,8))),VALUE(LEFT(CH928,4)),VALUE(LEFT(CH928,FIND("-",CH928)-1)))+2000,IF(AND(LEN(CH928)=9,ISERROR(FIND("-",LEFT(CH928,8))),ISNUMBER(-LEFT(CH928,8))),VALUE(LEFT(CH928,4)),VALUE(LEFT(CH928,FIND("-",CH928)-1)))),""))</f>
        <v/>
      </c>
      <c r="CN928">
        <f>IF(CH928="","",IFERROR(IF(AND(LEN(CH928)=9,ISERROR(FIND("-",LEFT(CH928,8))),ISNUMBER(-LEFT(CH928,8))),VALUE(MID(CH928,5,2)),VALUE(MID(CH928,FIND("-",CH928)+1,FIND("-",CH928,FIND("-",CH928)+1)-FIND("-",CH928)-1))),""))</f>
        <v/>
      </c>
      <c r="CO928">
        <f>IF(CH928="","",IFERROR(IF(AND(LEN(CH928)=9,ISERROR(FIND("-",LEFT(CH928,8))),ISNUMBER(-LEFT(CH928,8))),VALUE(MID(CH928,7,2)),VALUE(MID(CH928,FIND("-",CH928,FIND("-",CH928)+1)+1,FIND("-",CH928,FIND("-",CH928,FIND("-",CH928)+1)+1)-FIND("-",CH928,FIND("-",CH928)+1)-1))),""))</f>
        <v/>
      </c>
    </row>
    <row r="929">
      <c r="CH929">
        <f>IF(ISTEXT('월 가계부'!A929),SUBSTITUTE(SUBSTITUTE(SUBSTITUTE(SUBSTITUTE(SUBSTITUTE(SUBSTITUTE(SUBSTITUTE(SUBSTITUTE(SUBSTITUTE(TRIM('월 가계부'!A929),"년","-"),"월","-"),"일",""),".","-"),"/","-")," ","-"),"--","-"),"--","-"),"--","-")&amp;"-","")</f>
        <v/>
      </c>
      <c r="CI929">
        <f>IFERROR(IF('월 가계부'!A929="","",IF(ISNUMBER('월 가계부'!A929),IF(AND('월 가계부'!A929&gt;=19000101,'월 가계부'!A929&lt;=21001231),IF(AND(MOD(INT('월 가계부'!A929/100),100)&gt;=1,MOD(INT('월 가계부'!A929/100),100)&lt;=12,MOD(INT('월 가계부'!A929),100)&gt;=1,MOD(INT('월 가계부'!A929),100)&lt;=31),IF(MONTH(DATE(INT('월 가계부'!A929/10000),MOD(INT('월 가계부'!A929/100),100),MOD(INT('월 가계부'!A929),100)))=MOD(INT('월 가계부'!A929/100),100),DATE(INT('월 가계부'!A929/10000),MOD(INT('월 가계부'!A929/100),100),MOD(INT('월 가계부'!A929),100)),""),""),IF(AND('월 가계부'!A929&gt;=36526,'월 가계부'!A929&lt;73051),INT('월 가계부'!A929),"")),IF(OR(CM929="",CN929="",CO929=""),"",IF(AND(CM929&gt;=2000,CM929&lt;=2099,CN929&gt;=1,CN929&lt;=12,CO929&gt;=1,CO929&lt;=31),IF(MONTH(DATE(CM929,CN929,CO929))=CN929,DATE(CM929,CN929,CO929),""),"")))),"")</f>
        <v/>
      </c>
      <c r="CJ929">
        <f>IFERROR(IF('월 가계부'!C929="","",IF(ISNUMBER('월 가계부'!C929),'월 가계부'!C929,VALUE(SUBSTITUTE(SUBSTITUTE(SUBSTITUTE(SUBSTITUTE(TRIM('월 가계부'!C929),",",""),"원","")," ",""),"−","-")))),"")</f>
        <v/>
      </c>
      <c r="CK929">
        <f>IF(ISNUMBER(CI929),IF(CI929&lt;$B$13,CI929,""),"")</f>
        <v/>
      </c>
      <c r="CM929">
        <f>IF(CH929="","",IFERROR(IF(IF(AND(LEN(CH929)=9,ISERROR(FIND("-",LEFT(CH929,8))),ISNUMBER(-LEFT(CH929,8))),VALUE(LEFT(CH929,4)),VALUE(LEFT(CH929,FIND("-",CH929)-1)))&lt;100,IF(AND(LEN(CH929)=9,ISERROR(FIND("-",LEFT(CH929,8))),ISNUMBER(-LEFT(CH929,8))),VALUE(LEFT(CH929,4)),VALUE(LEFT(CH929,FIND("-",CH929)-1)))+2000,IF(AND(LEN(CH929)=9,ISERROR(FIND("-",LEFT(CH929,8))),ISNUMBER(-LEFT(CH929,8))),VALUE(LEFT(CH929,4)),VALUE(LEFT(CH929,FIND("-",CH929)-1)))),""))</f>
        <v/>
      </c>
      <c r="CN929">
        <f>IF(CH929="","",IFERROR(IF(AND(LEN(CH929)=9,ISERROR(FIND("-",LEFT(CH929,8))),ISNUMBER(-LEFT(CH929,8))),VALUE(MID(CH929,5,2)),VALUE(MID(CH929,FIND("-",CH929)+1,FIND("-",CH929,FIND("-",CH929)+1)-FIND("-",CH929)-1))),""))</f>
        <v/>
      </c>
      <c r="CO929">
        <f>IF(CH929="","",IFERROR(IF(AND(LEN(CH929)=9,ISERROR(FIND("-",LEFT(CH929,8))),ISNUMBER(-LEFT(CH929,8))),VALUE(MID(CH929,7,2)),VALUE(MID(CH929,FIND("-",CH929,FIND("-",CH929)+1)+1,FIND("-",CH929,FIND("-",CH929,FIND("-",CH929)+1)+1)-FIND("-",CH929,FIND("-",CH929)+1)-1))),""))</f>
        <v/>
      </c>
    </row>
    <row r="930">
      <c r="CH930">
        <f>IF(ISTEXT('월 가계부'!A930),SUBSTITUTE(SUBSTITUTE(SUBSTITUTE(SUBSTITUTE(SUBSTITUTE(SUBSTITUTE(SUBSTITUTE(SUBSTITUTE(SUBSTITUTE(TRIM('월 가계부'!A930),"년","-"),"월","-"),"일",""),".","-"),"/","-")," ","-"),"--","-"),"--","-"),"--","-")&amp;"-","")</f>
        <v/>
      </c>
      <c r="CI930">
        <f>IFERROR(IF('월 가계부'!A930="","",IF(ISNUMBER('월 가계부'!A930),IF(AND('월 가계부'!A930&gt;=19000101,'월 가계부'!A930&lt;=21001231),IF(AND(MOD(INT('월 가계부'!A930/100),100)&gt;=1,MOD(INT('월 가계부'!A930/100),100)&lt;=12,MOD(INT('월 가계부'!A930),100)&gt;=1,MOD(INT('월 가계부'!A930),100)&lt;=31),IF(MONTH(DATE(INT('월 가계부'!A930/10000),MOD(INT('월 가계부'!A930/100),100),MOD(INT('월 가계부'!A930),100)))=MOD(INT('월 가계부'!A930/100),100),DATE(INT('월 가계부'!A930/10000),MOD(INT('월 가계부'!A930/100),100),MOD(INT('월 가계부'!A930),100)),""),""),IF(AND('월 가계부'!A930&gt;=36526,'월 가계부'!A930&lt;73051),INT('월 가계부'!A930),"")),IF(OR(CM930="",CN930="",CO930=""),"",IF(AND(CM930&gt;=2000,CM930&lt;=2099,CN930&gt;=1,CN930&lt;=12,CO930&gt;=1,CO930&lt;=31),IF(MONTH(DATE(CM930,CN930,CO930))=CN930,DATE(CM930,CN930,CO930),""),"")))),"")</f>
        <v/>
      </c>
      <c r="CJ930">
        <f>IFERROR(IF('월 가계부'!C930="","",IF(ISNUMBER('월 가계부'!C930),'월 가계부'!C930,VALUE(SUBSTITUTE(SUBSTITUTE(SUBSTITUTE(SUBSTITUTE(TRIM('월 가계부'!C930),",",""),"원","")," ",""),"−","-")))),"")</f>
        <v/>
      </c>
      <c r="CK930">
        <f>IF(ISNUMBER(CI930),IF(CI930&lt;$B$13,CI930,""),"")</f>
        <v/>
      </c>
      <c r="CM930">
        <f>IF(CH930="","",IFERROR(IF(IF(AND(LEN(CH930)=9,ISERROR(FIND("-",LEFT(CH930,8))),ISNUMBER(-LEFT(CH930,8))),VALUE(LEFT(CH930,4)),VALUE(LEFT(CH930,FIND("-",CH930)-1)))&lt;100,IF(AND(LEN(CH930)=9,ISERROR(FIND("-",LEFT(CH930,8))),ISNUMBER(-LEFT(CH930,8))),VALUE(LEFT(CH930,4)),VALUE(LEFT(CH930,FIND("-",CH930)-1)))+2000,IF(AND(LEN(CH930)=9,ISERROR(FIND("-",LEFT(CH930,8))),ISNUMBER(-LEFT(CH930,8))),VALUE(LEFT(CH930,4)),VALUE(LEFT(CH930,FIND("-",CH930)-1)))),""))</f>
        <v/>
      </c>
      <c r="CN930">
        <f>IF(CH930="","",IFERROR(IF(AND(LEN(CH930)=9,ISERROR(FIND("-",LEFT(CH930,8))),ISNUMBER(-LEFT(CH930,8))),VALUE(MID(CH930,5,2)),VALUE(MID(CH930,FIND("-",CH930)+1,FIND("-",CH930,FIND("-",CH930)+1)-FIND("-",CH930)-1))),""))</f>
        <v/>
      </c>
      <c r="CO930">
        <f>IF(CH930="","",IFERROR(IF(AND(LEN(CH930)=9,ISERROR(FIND("-",LEFT(CH930,8))),ISNUMBER(-LEFT(CH930,8))),VALUE(MID(CH930,7,2)),VALUE(MID(CH930,FIND("-",CH930,FIND("-",CH930)+1)+1,FIND("-",CH930,FIND("-",CH930,FIND("-",CH930)+1)+1)-FIND("-",CH930,FIND("-",CH930)+1)-1))),""))</f>
        <v/>
      </c>
    </row>
    <row r="931">
      <c r="CH931">
        <f>IF(ISTEXT('월 가계부'!A931),SUBSTITUTE(SUBSTITUTE(SUBSTITUTE(SUBSTITUTE(SUBSTITUTE(SUBSTITUTE(SUBSTITUTE(SUBSTITUTE(SUBSTITUTE(TRIM('월 가계부'!A931),"년","-"),"월","-"),"일",""),".","-"),"/","-")," ","-"),"--","-"),"--","-"),"--","-")&amp;"-","")</f>
        <v/>
      </c>
      <c r="CI931">
        <f>IFERROR(IF('월 가계부'!A931="","",IF(ISNUMBER('월 가계부'!A931),IF(AND('월 가계부'!A931&gt;=19000101,'월 가계부'!A931&lt;=21001231),IF(AND(MOD(INT('월 가계부'!A931/100),100)&gt;=1,MOD(INT('월 가계부'!A931/100),100)&lt;=12,MOD(INT('월 가계부'!A931),100)&gt;=1,MOD(INT('월 가계부'!A931),100)&lt;=31),IF(MONTH(DATE(INT('월 가계부'!A931/10000),MOD(INT('월 가계부'!A931/100),100),MOD(INT('월 가계부'!A931),100)))=MOD(INT('월 가계부'!A931/100),100),DATE(INT('월 가계부'!A931/10000),MOD(INT('월 가계부'!A931/100),100),MOD(INT('월 가계부'!A931),100)),""),""),IF(AND('월 가계부'!A931&gt;=36526,'월 가계부'!A931&lt;73051),INT('월 가계부'!A931),"")),IF(OR(CM931="",CN931="",CO931=""),"",IF(AND(CM931&gt;=2000,CM931&lt;=2099,CN931&gt;=1,CN931&lt;=12,CO931&gt;=1,CO931&lt;=31),IF(MONTH(DATE(CM931,CN931,CO931))=CN931,DATE(CM931,CN931,CO931),""),"")))),"")</f>
        <v/>
      </c>
      <c r="CJ931">
        <f>IFERROR(IF('월 가계부'!C931="","",IF(ISNUMBER('월 가계부'!C931),'월 가계부'!C931,VALUE(SUBSTITUTE(SUBSTITUTE(SUBSTITUTE(SUBSTITUTE(TRIM('월 가계부'!C931),",",""),"원","")," ",""),"−","-")))),"")</f>
        <v/>
      </c>
      <c r="CK931">
        <f>IF(ISNUMBER(CI931),IF(CI931&lt;$B$13,CI931,""),"")</f>
        <v/>
      </c>
      <c r="CM931">
        <f>IF(CH931="","",IFERROR(IF(IF(AND(LEN(CH931)=9,ISERROR(FIND("-",LEFT(CH931,8))),ISNUMBER(-LEFT(CH931,8))),VALUE(LEFT(CH931,4)),VALUE(LEFT(CH931,FIND("-",CH931)-1)))&lt;100,IF(AND(LEN(CH931)=9,ISERROR(FIND("-",LEFT(CH931,8))),ISNUMBER(-LEFT(CH931,8))),VALUE(LEFT(CH931,4)),VALUE(LEFT(CH931,FIND("-",CH931)-1)))+2000,IF(AND(LEN(CH931)=9,ISERROR(FIND("-",LEFT(CH931,8))),ISNUMBER(-LEFT(CH931,8))),VALUE(LEFT(CH931,4)),VALUE(LEFT(CH931,FIND("-",CH931)-1)))),""))</f>
        <v/>
      </c>
      <c r="CN931">
        <f>IF(CH931="","",IFERROR(IF(AND(LEN(CH931)=9,ISERROR(FIND("-",LEFT(CH931,8))),ISNUMBER(-LEFT(CH931,8))),VALUE(MID(CH931,5,2)),VALUE(MID(CH931,FIND("-",CH931)+1,FIND("-",CH931,FIND("-",CH931)+1)-FIND("-",CH931)-1))),""))</f>
        <v/>
      </c>
      <c r="CO931">
        <f>IF(CH931="","",IFERROR(IF(AND(LEN(CH931)=9,ISERROR(FIND("-",LEFT(CH931,8))),ISNUMBER(-LEFT(CH931,8))),VALUE(MID(CH931,7,2)),VALUE(MID(CH931,FIND("-",CH931,FIND("-",CH931)+1)+1,FIND("-",CH931,FIND("-",CH931,FIND("-",CH931)+1)+1)-FIND("-",CH931,FIND("-",CH931)+1)-1))),""))</f>
        <v/>
      </c>
    </row>
    <row r="932">
      <c r="CH932">
        <f>IF(ISTEXT('월 가계부'!A932),SUBSTITUTE(SUBSTITUTE(SUBSTITUTE(SUBSTITUTE(SUBSTITUTE(SUBSTITUTE(SUBSTITUTE(SUBSTITUTE(SUBSTITUTE(TRIM('월 가계부'!A932),"년","-"),"월","-"),"일",""),".","-"),"/","-")," ","-"),"--","-"),"--","-"),"--","-")&amp;"-","")</f>
        <v/>
      </c>
      <c r="CI932">
        <f>IFERROR(IF('월 가계부'!A932="","",IF(ISNUMBER('월 가계부'!A932),IF(AND('월 가계부'!A932&gt;=19000101,'월 가계부'!A932&lt;=21001231),IF(AND(MOD(INT('월 가계부'!A932/100),100)&gt;=1,MOD(INT('월 가계부'!A932/100),100)&lt;=12,MOD(INT('월 가계부'!A932),100)&gt;=1,MOD(INT('월 가계부'!A932),100)&lt;=31),IF(MONTH(DATE(INT('월 가계부'!A932/10000),MOD(INT('월 가계부'!A932/100),100),MOD(INT('월 가계부'!A932),100)))=MOD(INT('월 가계부'!A932/100),100),DATE(INT('월 가계부'!A932/10000),MOD(INT('월 가계부'!A932/100),100),MOD(INT('월 가계부'!A932),100)),""),""),IF(AND('월 가계부'!A932&gt;=36526,'월 가계부'!A932&lt;73051),INT('월 가계부'!A932),"")),IF(OR(CM932="",CN932="",CO932=""),"",IF(AND(CM932&gt;=2000,CM932&lt;=2099,CN932&gt;=1,CN932&lt;=12,CO932&gt;=1,CO932&lt;=31),IF(MONTH(DATE(CM932,CN932,CO932))=CN932,DATE(CM932,CN932,CO932),""),"")))),"")</f>
        <v/>
      </c>
      <c r="CJ932">
        <f>IFERROR(IF('월 가계부'!C932="","",IF(ISNUMBER('월 가계부'!C932),'월 가계부'!C932,VALUE(SUBSTITUTE(SUBSTITUTE(SUBSTITUTE(SUBSTITUTE(TRIM('월 가계부'!C932),",",""),"원","")," ",""),"−","-")))),"")</f>
        <v/>
      </c>
      <c r="CK932">
        <f>IF(ISNUMBER(CI932),IF(CI932&lt;$B$13,CI932,""),"")</f>
        <v/>
      </c>
      <c r="CM932">
        <f>IF(CH932="","",IFERROR(IF(IF(AND(LEN(CH932)=9,ISERROR(FIND("-",LEFT(CH932,8))),ISNUMBER(-LEFT(CH932,8))),VALUE(LEFT(CH932,4)),VALUE(LEFT(CH932,FIND("-",CH932)-1)))&lt;100,IF(AND(LEN(CH932)=9,ISERROR(FIND("-",LEFT(CH932,8))),ISNUMBER(-LEFT(CH932,8))),VALUE(LEFT(CH932,4)),VALUE(LEFT(CH932,FIND("-",CH932)-1)))+2000,IF(AND(LEN(CH932)=9,ISERROR(FIND("-",LEFT(CH932,8))),ISNUMBER(-LEFT(CH932,8))),VALUE(LEFT(CH932,4)),VALUE(LEFT(CH932,FIND("-",CH932)-1)))),""))</f>
        <v/>
      </c>
      <c r="CN932">
        <f>IF(CH932="","",IFERROR(IF(AND(LEN(CH932)=9,ISERROR(FIND("-",LEFT(CH932,8))),ISNUMBER(-LEFT(CH932,8))),VALUE(MID(CH932,5,2)),VALUE(MID(CH932,FIND("-",CH932)+1,FIND("-",CH932,FIND("-",CH932)+1)-FIND("-",CH932)-1))),""))</f>
        <v/>
      </c>
      <c r="CO932">
        <f>IF(CH932="","",IFERROR(IF(AND(LEN(CH932)=9,ISERROR(FIND("-",LEFT(CH932,8))),ISNUMBER(-LEFT(CH932,8))),VALUE(MID(CH932,7,2)),VALUE(MID(CH932,FIND("-",CH932,FIND("-",CH932)+1)+1,FIND("-",CH932,FIND("-",CH932,FIND("-",CH932)+1)+1)-FIND("-",CH932,FIND("-",CH932)+1)-1))),""))</f>
        <v/>
      </c>
    </row>
    <row r="933">
      <c r="CH933">
        <f>IF(ISTEXT('월 가계부'!A933),SUBSTITUTE(SUBSTITUTE(SUBSTITUTE(SUBSTITUTE(SUBSTITUTE(SUBSTITUTE(SUBSTITUTE(SUBSTITUTE(SUBSTITUTE(TRIM('월 가계부'!A933),"년","-"),"월","-"),"일",""),".","-"),"/","-")," ","-"),"--","-"),"--","-"),"--","-")&amp;"-","")</f>
        <v/>
      </c>
      <c r="CI933">
        <f>IFERROR(IF('월 가계부'!A933="","",IF(ISNUMBER('월 가계부'!A933),IF(AND('월 가계부'!A933&gt;=19000101,'월 가계부'!A933&lt;=21001231),IF(AND(MOD(INT('월 가계부'!A933/100),100)&gt;=1,MOD(INT('월 가계부'!A933/100),100)&lt;=12,MOD(INT('월 가계부'!A933),100)&gt;=1,MOD(INT('월 가계부'!A933),100)&lt;=31),IF(MONTH(DATE(INT('월 가계부'!A933/10000),MOD(INT('월 가계부'!A933/100),100),MOD(INT('월 가계부'!A933),100)))=MOD(INT('월 가계부'!A933/100),100),DATE(INT('월 가계부'!A933/10000),MOD(INT('월 가계부'!A933/100),100),MOD(INT('월 가계부'!A933),100)),""),""),IF(AND('월 가계부'!A933&gt;=36526,'월 가계부'!A933&lt;73051),INT('월 가계부'!A933),"")),IF(OR(CM933="",CN933="",CO933=""),"",IF(AND(CM933&gt;=2000,CM933&lt;=2099,CN933&gt;=1,CN933&lt;=12,CO933&gt;=1,CO933&lt;=31),IF(MONTH(DATE(CM933,CN933,CO933))=CN933,DATE(CM933,CN933,CO933),""),"")))),"")</f>
        <v/>
      </c>
      <c r="CJ933">
        <f>IFERROR(IF('월 가계부'!C933="","",IF(ISNUMBER('월 가계부'!C933),'월 가계부'!C933,VALUE(SUBSTITUTE(SUBSTITUTE(SUBSTITUTE(SUBSTITUTE(TRIM('월 가계부'!C933),",",""),"원","")," ",""),"−","-")))),"")</f>
        <v/>
      </c>
      <c r="CK933">
        <f>IF(ISNUMBER(CI933),IF(CI933&lt;$B$13,CI933,""),"")</f>
        <v/>
      </c>
      <c r="CM933">
        <f>IF(CH933="","",IFERROR(IF(IF(AND(LEN(CH933)=9,ISERROR(FIND("-",LEFT(CH933,8))),ISNUMBER(-LEFT(CH933,8))),VALUE(LEFT(CH933,4)),VALUE(LEFT(CH933,FIND("-",CH933)-1)))&lt;100,IF(AND(LEN(CH933)=9,ISERROR(FIND("-",LEFT(CH933,8))),ISNUMBER(-LEFT(CH933,8))),VALUE(LEFT(CH933,4)),VALUE(LEFT(CH933,FIND("-",CH933)-1)))+2000,IF(AND(LEN(CH933)=9,ISERROR(FIND("-",LEFT(CH933,8))),ISNUMBER(-LEFT(CH933,8))),VALUE(LEFT(CH933,4)),VALUE(LEFT(CH933,FIND("-",CH933)-1)))),""))</f>
        <v/>
      </c>
      <c r="CN933">
        <f>IF(CH933="","",IFERROR(IF(AND(LEN(CH933)=9,ISERROR(FIND("-",LEFT(CH933,8))),ISNUMBER(-LEFT(CH933,8))),VALUE(MID(CH933,5,2)),VALUE(MID(CH933,FIND("-",CH933)+1,FIND("-",CH933,FIND("-",CH933)+1)-FIND("-",CH933)-1))),""))</f>
        <v/>
      </c>
      <c r="CO933">
        <f>IF(CH933="","",IFERROR(IF(AND(LEN(CH933)=9,ISERROR(FIND("-",LEFT(CH933,8))),ISNUMBER(-LEFT(CH933,8))),VALUE(MID(CH933,7,2)),VALUE(MID(CH933,FIND("-",CH933,FIND("-",CH933)+1)+1,FIND("-",CH933,FIND("-",CH933,FIND("-",CH933)+1)+1)-FIND("-",CH933,FIND("-",CH933)+1)-1))),""))</f>
        <v/>
      </c>
    </row>
    <row r="934">
      <c r="CH934">
        <f>IF(ISTEXT('월 가계부'!A934),SUBSTITUTE(SUBSTITUTE(SUBSTITUTE(SUBSTITUTE(SUBSTITUTE(SUBSTITUTE(SUBSTITUTE(SUBSTITUTE(SUBSTITUTE(TRIM('월 가계부'!A934),"년","-"),"월","-"),"일",""),".","-"),"/","-")," ","-"),"--","-"),"--","-"),"--","-")&amp;"-","")</f>
        <v/>
      </c>
      <c r="CI934">
        <f>IFERROR(IF('월 가계부'!A934="","",IF(ISNUMBER('월 가계부'!A934),IF(AND('월 가계부'!A934&gt;=19000101,'월 가계부'!A934&lt;=21001231),IF(AND(MOD(INT('월 가계부'!A934/100),100)&gt;=1,MOD(INT('월 가계부'!A934/100),100)&lt;=12,MOD(INT('월 가계부'!A934),100)&gt;=1,MOD(INT('월 가계부'!A934),100)&lt;=31),IF(MONTH(DATE(INT('월 가계부'!A934/10000),MOD(INT('월 가계부'!A934/100),100),MOD(INT('월 가계부'!A934),100)))=MOD(INT('월 가계부'!A934/100),100),DATE(INT('월 가계부'!A934/10000),MOD(INT('월 가계부'!A934/100),100),MOD(INT('월 가계부'!A934),100)),""),""),IF(AND('월 가계부'!A934&gt;=36526,'월 가계부'!A934&lt;73051),INT('월 가계부'!A934),"")),IF(OR(CM934="",CN934="",CO934=""),"",IF(AND(CM934&gt;=2000,CM934&lt;=2099,CN934&gt;=1,CN934&lt;=12,CO934&gt;=1,CO934&lt;=31),IF(MONTH(DATE(CM934,CN934,CO934))=CN934,DATE(CM934,CN934,CO934),""),"")))),"")</f>
        <v/>
      </c>
      <c r="CJ934">
        <f>IFERROR(IF('월 가계부'!C934="","",IF(ISNUMBER('월 가계부'!C934),'월 가계부'!C934,VALUE(SUBSTITUTE(SUBSTITUTE(SUBSTITUTE(SUBSTITUTE(TRIM('월 가계부'!C934),",",""),"원","")," ",""),"−","-")))),"")</f>
        <v/>
      </c>
      <c r="CK934">
        <f>IF(ISNUMBER(CI934),IF(CI934&lt;$B$13,CI934,""),"")</f>
        <v/>
      </c>
      <c r="CM934">
        <f>IF(CH934="","",IFERROR(IF(IF(AND(LEN(CH934)=9,ISERROR(FIND("-",LEFT(CH934,8))),ISNUMBER(-LEFT(CH934,8))),VALUE(LEFT(CH934,4)),VALUE(LEFT(CH934,FIND("-",CH934)-1)))&lt;100,IF(AND(LEN(CH934)=9,ISERROR(FIND("-",LEFT(CH934,8))),ISNUMBER(-LEFT(CH934,8))),VALUE(LEFT(CH934,4)),VALUE(LEFT(CH934,FIND("-",CH934)-1)))+2000,IF(AND(LEN(CH934)=9,ISERROR(FIND("-",LEFT(CH934,8))),ISNUMBER(-LEFT(CH934,8))),VALUE(LEFT(CH934,4)),VALUE(LEFT(CH934,FIND("-",CH934)-1)))),""))</f>
        <v/>
      </c>
      <c r="CN934">
        <f>IF(CH934="","",IFERROR(IF(AND(LEN(CH934)=9,ISERROR(FIND("-",LEFT(CH934,8))),ISNUMBER(-LEFT(CH934,8))),VALUE(MID(CH934,5,2)),VALUE(MID(CH934,FIND("-",CH934)+1,FIND("-",CH934,FIND("-",CH934)+1)-FIND("-",CH934)-1))),""))</f>
        <v/>
      </c>
      <c r="CO934">
        <f>IF(CH934="","",IFERROR(IF(AND(LEN(CH934)=9,ISERROR(FIND("-",LEFT(CH934,8))),ISNUMBER(-LEFT(CH934,8))),VALUE(MID(CH934,7,2)),VALUE(MID(CH934,FIND("-",CH934,FIND("-",CH934)+1)+1,FIND("-",CH934,FIND("-",CH934,FIND("-",CH934)+1)+1)-FIND("-",CH934,FIND("-",CH934)+1)-1))),""))</f>
        <v/>
      </c>
    </row>
    <row r="935">
      <c r="CH935">
        <f>IF(ISTEXT('월 가계부'!A935),SUBSTITUTE(SUBSTITUTE(SUBSTITUTE(SUBSTITUTE(SUBSTITUTE(SUBSTITUTE(SUBSTITUTE(SUBSTITUTE(SUBSTITUTE(TRIM('월 가계부'!A935),"년","-"),"월","-"),"일",""),".","-"),"/","-")," ","-"),"--","-"),"--","-"),"--","-")&amp;"-","")</f>
        <v/>
      </c>
      <c r="CI935">
        <f>IFERROR(IF('월 가계부'!A935="","",IF(ISNUMBER('월 가계부'!A935),IF(AND('월 가계부'!A935&gt;=19000101,'월 가계부'!A935&lt;=21001231),IF(AND(MOD(INT('월 가계부'!A935/100),100)&gt;=1,MOD(INT('월 가계부'!A935/100),100)&lt;=12,MOD(INT('월 가계부'!A935),100)&gt;=1,MOD(INT('월 가계부'!A935),100)&lt;=31),IF(MONTH(DATE(INT('월 가계부'!A935/10000),MOD(INT('월 가계부'!A935/100),100),MOD(INT('월 가계부'!A935),100)))=MOD(INT('월 가계부'!A935/100),100),DATE(INT('월 가계부'!A935/10000),MOD(INT('월 가계부'!A935/100),100),MOD(INT('월 가계부'!A935),100)),""),""),IF(AND('월 가계부'!A935&gt;=36526,'월 가계부'!A935&lt;73051),INT('월 가계부'!A935),"")),IF(OR(CM935="",CN935="",CO935=""),"",IF(AND(CM935&gt;=2000,CM935&lt;=2099,CN935&gt;=1,CN935&lt;=12,CO935&gt;=1,CO935&lt;=31),IF(MONTH(DATE(CM935,CN935,CO935))=CN935,DATE(CM935,CN935,CO935),""),"")))),"")</f>
        <v/>
      </c>
      <c r="CJ935">
        <f>IFERROR(IF('월 가계부'!C935="","",IF(ISNUMBER('월 가계부'!C935),'월 가계부'!C935,VALUE(SUBSTITUTE(SUBSTITUTE(SUBSTITUTE(SUBSTITUTE(TRIM('월 가계부'!C935),",",""),"원","")," ",""),"−","-")))),"")</f>
        <v/>
      </c>
      <c r="CK935">
        <f>IF(ISNUMBER(CI935),IF(CI935&lt;$B$13,CI935,""),"")</f>
        <v/>
      </c>
      <c r="CM935">
        <f>IF(CH935="","",IFERROR(IF(IF(AND(LEN(CH935)=9,ISERROR(FIND("-",LEFT(CH935,8))),ISNUMBER(-LEFT(CH935,8))),VALUE(LEFT(CH935,4)),VALUE(LEFT(CH935,FIND("-",CH935)-1)))&lt;100,IF(AND(LEN(CH935)=9,ISERROR(FIND("-",LEFT(CH935,8))),ISNUMBER(-LEFT(CH935,8))),VALUE(LEFT(CH935,4)),VALUE(LEFT(CH935,FIND("-",CH935)-1)))+2000,IF(AND(LEN(CH935)=9,ISERROR(FIND("-",LEFT(CH935,8))),ISNUMBER(-LEFT(CH935,8))),VALUE(LEFT(CH935,4)),VALUE(LEFT(CH935,FIND("-",CH935)-1)))),""))</f>
        <v/>
      </c>
      <c r="CN935">
        <f>IF(CH935="","",IFERROR(IF(AND(LEN(CH935)=9,ISERROR(FIND("-",LEFT(CH935,8))),ISNUMBER(-LEFT(CH935,8))),VALUE(MID(CH935,5,2)),VALUE(MID(CH935,FIND("-",CH935)+1,FIND("-",CH935,FIND("-",CH935)+1)-FIND("-",CH935)-1))),""))</f>
        <v/>
      </c>
      <c r="CO935">
        <f>IF(CH935="","",IFERROR(IF(AND(LEN(CH935)=9,ISERROR(FIND("-",LEFT(CH935,8))),ISNUMBER(-LEFT(CH935,8))),VALUE(MID(CH935,7,2)),VALUE(MID(CH935,FIND("-",CH935,FIND("-",CH935)+1)+1,FIND("-",CH935,FIND("-",CH935,FIND("-",CH935)+1)+1)-FIND("-",CH935,FIND("-",CH935)+1)-1))),""))</f>
        <v/>
      </c>
    </row>
    <row r="936">
      <c r="CH936">
        <f>IF(ISTEXT('월 가계부'!A936),SUBSTITUTE(SUBSTITUTE(SUBSTITUTE(SUBSTITUTE(SUBSTITUTE(SUBSTITUTE(SUBSTITUTE(SUBSTITUTE(SUBSTITUTE(TRIM('월 가계부'!A936),"년","-"),"월","-"),"일",""),".","-"),"/","-")," ","-"),"--","-"),"--","-"),"--","-")&amp;"-","")</f>
        <v/>
      </c>
      <c r="CI936">
        <f>IFERROR(IF('월 가계부'!A936="","",IF(ISNUMBER('월 가계부'!A936),IF(AND('월 가계부'!A936&gt;=19000101,'월 가계부'!A936&lt;=21001231),IF(AND(MOD(INT('월 가계부'!A936/100),100)&gt;=1,MOD(INT('월 가계부'!A936/100),100)&lt;=12,MOD(INT('월 가계부'!A936),100)&gt;=1,MOD(INT('월 가계부'!A936),100)&lt;=31),IF(MONTH(DATE(INT('월 가계부'!A936/10000),MOD(INT('월 가계부'!A936/100),100),MOD(INT('월 가계부'!A936),100)))=MOD(INT('월 가계부'!A936/100),100),DATE(INT('월 가계부'!A936/10000),MOD(INT('월 가계부'!A936/100),100),MOD(INT('월 가계부'!A936),100)),""),""),IF(AND('월 가계부'!A936&gt;=36526,'월 가계부'!A936&lt;73051),INT('월 가계부'!A936),"")),IF(OR(CM936="",CN936="",CO936=""),"",IF(AND(CM936&gt;=2000,CM936&lt;=2099,CN936&gt;=1,CN936&lt;=12,CO936&gt;=1,CO936&lt;=31),IF(MONTH(DATE(CM936,CN936,CO936))=CN936,DATE(CM936,CN936,CO936),""),"")))),"")</f>
        <v/>
      </c>
      <c r="CJ936">
        <f>IFERROR(IF('월 가계부'!C936="","",IF(ISNUMBER('월 가계부'!C936),'월 가계부'!C936,VALUE(SUBSTITUTE(SUBSTITUTE(SUBSTITUTE(SUBSTITUTE(TRIM('월 가계부'!C936),",",""),"원","")," ",""),"−","-")))),"")</f>
        <v/>
      </c>
      <c r="CK936">
        <f>IF(ISNUMBER(CI936),IF(CI936&lt;$B$13,CI936,""),"")</f>
        <v/>
      </c>
      <c r="CM936">
        <f>IF(CH936="","",IFERROR(IF(IF(AND(LEN(CH936)=9,ISERROR(FIND("-",LEFT(CH936,8))),ISNUMBER(-LEFT(CH936,8))),VALUE(LEFT(CH936,4)),VALUE(LEFT(CH936,FIND("-",CH936)-1)))&lt;100,IF(AND(LEN(CH936)=9,ISERROR(FIND("-",LEFT(CH936,8))),ISNUMBER(-LEFT(CH936,8))),VALUE(LEFT(CH936,4)),VALUE(LEFT(CH936,FIND("-",CH936)-1)))+2000,IF(AND(LEN(CH936)=9,ISERROR(FIND("-",LEFT(CH936,8))),ISNUMBER(-LEFT(CH936,8))),VALUE(LEFT(CH936,4)),VALUE(LEFT(CH936,FIND("-",CH936)-1)))),""))</f>
        <v/>
      </c>
      <c r="CN936">
        <f>IF(CH936="","",IFERROR(IF(AND(LEN(CH936)=9,ISERROR(FIND("-",LEFT(CH936,8))),ISNUMBER(-LEFT(CH936,8))),VALUE(MID(CH936,5,2)),VALUE(MID(CH936,FIND("-",CH936)+1,FIND("-",CH936,FIND("-",CH936)+1)-FIND("-",CH936)-1))),""))</f>
        <v/>
      </c>
      <c r="CO936">
        <f>IF(CH936="","",IFERROR(IF(AND(LEN(CH936)=9,ISERROR(FIND("-",LEFT(CH936,8))),ISNUMBER(-LEFT(CH936,8))),VALUE(MID(CH936,7,2)),VALUE(MID(CH936,FIND("-",CH936,FIND("-",CH936)+1)+1,FIND("-",CH936,FIND("-",CH936,FIND("-",CH936)+1)+1)-FIND("-",CH936,FIND("-",CH936)+1)-1))),""))</f>
        <v/>
      </c>
    </row>
    <row r="937">
      <c r="CH937">
        <f>IF(ISTEXT('월 가계부'!A937),SUBSTITUTE(SUBSTITUTE(SUBSTITUTE(SUBSTITUTE(SUBSTITUTE(SUBSTITUTE(SUBSTITUTE(SUBSTITUTE(SUBSTITUTE(TRIM('월 가계부'!A937),"년","-"),"월","-"),"일",""),".","-"),"/","-")," ","-"),"--","-"),"--","-"),"--","-")&amp;"-","")</f>
        <v/>
      </c>
      <c r="CI937">
        <f>IFERROR(IF('월 가계부'!A937="","",IF(ISNUMBER('월 가계부'!A937),IF(AND('월 가계부'!A937&gt;=19000101,'월 가계부'!A937&lt;=21001231),IF(AND(MOD(INT('월 가계부'!A937/100),100)&gt;=1,MOD(INT('월 가계부'!A937/100),100)&lt;=12,MOD(INT('월 가계부'!A937),100)&gt;=1,MOD(INT('월 가계부'!A937),100)&lt;=31),IF(MONTH(DATE(INT('월 가계부'!A937/10000),MOD(INT('월 가계부'!A937/100),100),MOD(INT('월 가계부'!A937),100)))=MOD(INT('월 가계부'!A937/100),100),DATE(INT('월 가계부'!A937/10000),MOD(INT('월 가계부'!A937/100),100),MOD(INT('월 가계부'!A937),100)),""),""),IF(AND('월 가계부'!A937&gt;=36526,'월 가계부'!A937&lt;73051),INT('월 가계부'!A937),"")),IF(OR(CM937="",CN937="",CO937=""),"",IF(AND(CM937&gt;=2000,CM937&lt;=2099,CN937&gt;=1,CN937&lt;=12,CO937&gt;=1,CO937&lt;=31),IF(MONTH(DATE(CM937,CN937,CO937))=CN937,DATE(CM937,CN937,CO937),""),"")))),"")</f>
        <v/>
      </c>
      <c r="CJ937">
        <f>IFERROR(IF('월 가계부'!C937="","",IF(ISNUMBER('월 가계부'!C937),'월 가계부'!C937,VALUE(SUBSTITUTE(SUBSTITUTE(SUBSTITUTE(SUBSTITUTE(TRIM('월 가계부'!C937),",",""),"원","")," ",""),"−","-")))),"")</f>
        <v/>
      </c>
      <c r="CK937">
        <f>IF(ISNUMBER(CI937),IF(CI937&lt;$B$13,CI937,""),"")</f>
        <v/>
      </c>
      <c r="CM937">
        <f>IF(CH937="","",IFERROR(IF(IF(AND(LEN(CH937)=9,ISERROR(FIND("-",LEFT(CH937,8))),ISNUMBER(-LEFT(CH937,8))),VALUE(LEFT(CH937,4)),VALUE(LEFT(CH937,FIND("-",CH937)-1)))&lt;100,IF(AND(LEN(CH937)=9,ISERROR(FIND("-",LEFT(CH937,8))),ISNUMBER(-LEFT(CH937,8))),VALUE(LEFT(CH937,4)),VALUE(LEFT(CH937,FIND("-",CH937)-1)))+2000,IF(AND(LEN(CH937)=9,ISERROR(FIND("-",LEFT(CH937,8))),ISNUMBER(-LEFT(CH937,8))),VALUE(LEFT(CH937,4)),VALUE(LEFT(CH937,FIND("-",CH937)-1)))),""))</f>
        <v/>
      </c>
      <c r="CN937">
        <f>IF(CH937="","",IFERROR(IF(AND(LEN(CH937)=9,ISERROR(FIND("-",LEFT(CH937,8))),ISNUMBER(-LEFT(CH937,8))),VALUE(MID(CH937,5,2)),VALUE(MID(CH937,FIND("-",CH937)+1,FIND("-",CH937,FIND("-",CH937)+1)-FIND("-",CH937)-1))),""))</f>
        <v/>
      </c>
      <c r="CO937">
        <f>IF(CH937="","",IFERROR(IF(AND(LEN(CH937)=9,ISERROR(FIND("-",LEFT(CH937,8))),ISNUMBER(-LEFT(CH937,8))),VALUE(MID(CH937,7,2)),VALUE(MID(CH937,FIND("-",CH937,FIND("-",CH937)+1)+1,FIND("-",CH937,FIND("-",CH937,FIND("-",CH937)+1)+1)-FIND("-",CH937,FIND("-",CH937)+1)-1))),""))</f>
        <v/>
      </c>
    </row>
    <row r="938">
      <c r="CH938">
        <f>IF(ISTEXT('월 가계부'!A938),SUBSTITUTE(SUBSTITUTE(SUBSTITUTE(SUBSTITUTE(SUBSTITUTE(SUBSTITUTE(SUBSTITUTE(SUBSTITUTE(SUBSTITUTE(TRIM('월 가계부'!A938),"년","-"),"월","-"),"일",""),".","-"),"/","-")," ","-"),"--","-"),"--","-"),"--","-")&amp;"-","")</f>
        <v/>
      </c>
      <c r="CI938">
        <f>IFERROR(IF('월 가계부'!A938="","",IF(ISNUMBER('월 가계부'!A938),IF(AND('월 가계부'!A938&gt;=19000101,'월 가계부'!A938&lt;=21001231),IF(AND(MOD(INT('월 가계부'!A938/100),100)&gt;=1,MOD(INT('월 가계부'!A938/100),100)&lt;=12,MOD(INT('월 가계부'!A938),100)&gt;=1,MOD(INT('월 가계부'!A938),100)&lt;=31),IF(MONTH(DATE(INT('월 가계부'!A938/10000),MOD(INT('월 가계부'!A938/100),100),MOD(INT('월 가계부'!A938),100)))=MOD(INT('월 가계부'!A938/100),100),DATE(INT('월 가계부'!A938/10000),MOD(INT('월 가계부'!A938/100),100),MOD(INT('월 가계부'!A938),100)),""),""),IF(AND('월 가계부'!A938&gt;=36526,'월 가계부'!A938&lt;73051),INT('월 가계부'!A938),"")),IF(OR(CM938="",CN938="",CO938=""),"",IF(AND(CM938&gt;=2000,CM938&lt;=2099,CN938&gt;=1,CN938&lt;=12,CO938&gt;=1,CO938&lt;=31),IF(MONTH(DATE(CM938,CN938,CO938))=CN938,DATE(CM938,CN938,CO938),""),"")))),"")</f>
        <v/>
      </c>
      <c r="CJ938">
        <f>IFERROR(IF('월 가계부'!C938="","",IF(ISNUMBER('월 가계부'!C938),'월 가계부'!C938,VALUE(SUBSTITUTE(SUBSTITUTE(SUBSTITUTE(SUBSTITUTE(TRIM('월 가계부'!C938),",",""),"원","")," ",""),"−","-")))),"")</f>
        <v/>
      </c>
      <c r="CK938">
        <f>IF(ISNUMBER(CI938),IF(CI938&lt;$B$13,CI938,""),"")</f>
        <v/>
      </c>
      <c r="CM938">
        <f>IF(CH938="","",IFERROR(IF(IF(AND(LEN(CH938)=9,ISERROR(FIND("-",LEFT(CH938,8))),ISNUMBER(-LEFT(CH938,8))),VALUE(LEFT(CH938,4)),VALUE(LEFT(CH938,FIND("-",CH938)-1)))&lt;100,IF(AND(LEN(CH938)=9,ISERROR(FIND("-",LEFT(CH938,8))),ISNUMBER(-LEFT(CH938,8))),VALUE(LEFT(CH938,4)),VALUE(LEFT(CH938,FIND("-",CH938)-1)))+2000,IF(AND(LEN(CH938)=9,ISERROR(FIND("-",LEFT(CH938,8))),ISNUMBER(-LEFT(CH938,8))),VALUE(LEFT(CH938,4)),VALUE(LEFT(CH938,FIND("-",CH938)-1)))),""))</f>
        <v/>
      </c>
      <c r="CN938">
        <f>IF(CH938="","",IFERROR(IF(AND(LEN(CH938)=9,ISERROR(FIND("-",LEFT(CH938,8))),ISNUMBER(-LEFT(CH938,8))),VALUE(MID(CH938,5,2)),VALUE(MID(CH938,FIND("-",CH938)+1,FIND("-",CH938,FIND("-",CH938)+1)-FIND("-",CH938)-1))),""))</f>
        <v/>
      </c>
      <c r="CO938">
        <f>IF(CH938="","",IFERROR(IF(AND(LEN(CH938)=9,ISERROR(FIND("-",LEFT(CH938,8))),ISNUMBER(-LEFT(CH938,8))),VALUE(MID(CH938,7,2)),VALUE(MID(CH938,FIND("-",CH938,FIND("-",CH938)+1)+1,FIND("-",CH938,FIND("-",CH938,FIND("-",CH938)+1)+1)-FIND("-",CH938,FIND("-",CH938)+1)-1))),""))</f>
        <v/>
      </c>
    </row>
    <row r="939">
      <c r="CH939">
        <f>IF(ISTEXT('월 가계부'!A939),SUBSTITUTE(SUBSTITUTE(SUBSTITUTE(SUBSTITUTE(SUBSTITUTE(SUBSTITUTE(SUBSTITUTE(SUBSTITUTE(SUBSTITUTE(TRIM('월 가계부'!A939),"년","-"),"월","-"),"일",""),".","-"),"/","-")," ","-"),"--","-"),"--","-"),"--","-")&amp;"-","")</f>
        <v/>
      </c>
      <c r="CI939">
        <f>IFERROR(IF('월 가계부'!A939="","",IF(ISNUMBER('월 가계부'!A939),IF(AND('월 가계부'!A939&gt;=19000101,'월 가계부'!A939&lt;=21001231),IF(AND(MOD(INT('월 가계부'!A939/100),100)&gt;=1,MOD(INT('월 가계부'!A939/100),100)&lt;=12,MOD(INT('월 가계부'!A939),100)&gt;=1,MOD(INT('월 가계부'!A939),100)&lt;=31),IF(MONTH(DATE(INT('월 가계부'!A939/10000),MOD(INT('월 가계부'!A939/100),100),MOD(INT('월 가계부'!A939),100)))=MOD(INT('월 가계부'!A939/100),100),DATE(INT('월 가계부'!A939/10000),MOD(INT('월 가계부'!A939/100),100),MOD(INT('월 가계부'!A939),100)),""),""),IF(AND('월 가계부'!A939&gt;=36526,'월 가계부'!A939&lt;73051),INT('월 가계부'!A939),"")),IF(OR(CM939="",CN939="",CO939=""),"",IF(AND(CM939&gt;=2000,CM939&lt;=2099,CN939&gt;=1,CN939&lt;=12,CO939&gt;=1,CO939&lt;=31),IF(MONTH(DATE(CM939,CN939,CO939))=CN939,DATE(CM939,CN939,CO939),""),"")))),"")</f>
        <v/>
      </c>
      <c r="CJ939">
        <f>IFERROR(IF('월 가계부'!C939="","",IF(ISNUMBER('월 가계부'!C939),'월 가계부'!C939,VALUE(SUBSTITUTE(SUBSTITUTE(SUBSTITUTE(SUBSTITUTE(TRIM('월 가계부'!C939),",",""),"원","")," ",""),"−","-")))),"")</f>
        <v/>
      </c>
      <c r="CK939">
        <f>IF(ISNUMBER(CI939),IF(CI939&lt;$B$13,CI939,""),"")</f>
        <v/>
      </c>
      <c r="CM939">
        <f>IF(CH939="","",IFERROR(IF(IF(AND(LEN(CH939)=9,ISERROR(FIND("-",LEFT(CH939,8))),ISNUMBER(-LEFT(CH939,8))),VALUE(LEFT(CH939,4)),VALUE(LEFT(CH939,FIND("-",CH939)-1)))&lt;100,IF(AND(LEN(CH939)=9,ISERROR(FIND("-",LEFT(CH939,8))),ISNUMBER(-LEFT(CH939,8))),VALUE(LEFT(CH939,4)),VALUE(LEFT(CH939,FIND("-",CH939)-1)))+2000,IF(AND(LEN(CH939)=9,ISERROR(FIND("-",LEFT(CH939,8))),ISNUMBER(-LEFT(CH939,8))),VALUE(LEFT(CH939,4)),VALUE(LEFT(CH939,FIND("-",CH939)-1)))),""))</f>
        <v/>
      </c>
      <c r="CN939">
        <f>IF(CH939="","",IFERROR(IF(AND(LEN(CH939)=9,ISERROR(FIND("-",LEFT(CH939,8))),ISNUMBER(-LEFT(CH939,8))),VALUE(MID(CH939,5,2)),VALUE(MID(CH939,FIND("-",CH939)+1,FIND("-",CH939,FIND("-",CH939)+1)-FIND("-",CH939)-1))),""))</f>
        <v/>
      </c>
      <c r="CO939">
        <f>IF(CH939="","",IFERROR(IF(AND(LEN(CH939)=9,ISERROR(FIND("-",LEFT(CH939,8))),ISNUMBER(-LEFT(CH939,8))),VALUE(MID(CH939,7,2)),VALUE(MID(CH939,FIND("-",CH939,FIND("-",CH939)+1)+1,FIND("-",CH939,FIND("-",CH939,FIND("-",CH939)+1)+1)-FIND("-",CH939,FIND("-",CH939)+1)-1))),""))</f>
        <v/>
      </c>
    </row>
    <row r="940">
      <c r="CH940">
        <f>IF(ISTEXT('월 가계부'!A940),SUBSTITUTE(SUBSTITUTE(SUBSTITUTE(SUBSTITUTE(SUBSTITUTE(SUBSTITUTE(SUBSTITUTE(SUBSTITUTE(SUBSTITUTE(TRIM('월 가계부'!A940),"년","-"),"월","-"),"일",""),".","-"),"/","-")," ","-"),"--","-"),"--","-"),"--","-")&amp;"-","")</f>
        <v/>
      </c>
      <c r="CI940">
        <f>IFERROR(IF('월 가계부'!A940="","",IF(ISNUMBER('월 가계부'!A940),IF(AND('월 가계부'!A940&gt;=19000101,'월 가계부'!A940&lt;=21001231),IF(AND(MOD(INT('월 가계부'!A940/100),100)&gt;=1,MOD(INT('월 가계부'!A940/100),100)&lt;=12,MOD(INT('월 가계부'!A940),100)&gt;=1,MOD(INT('월 가계부'!A940),100)&lt;=31),IF(MONTH(DATE(INT('월 가계부'!A940/10000),MOD(INT('월 가계부'!A940/100),100),MOD(INT('월 가계부'!A940),100)))=MOD(INT('월 가계부'!A940/100),100),DATE(INT('월 가계부'!A940/10000),MOD(INT('월 가계부'!A940/100),100),MOD(INT('월 가계부'!A940),100)),""),""),IF(AND('월 가계부'!A940&gt;=36526,'월 가계부'!A940&lt;73051),INT('월 가계부'!A940),"")),IF(OR(CM940="",CN940="",CO940=""),"",IF(AND(CM940&gt;=2000,CM940&lt;=2099,CN940&gt;=1,CN940&lt;=12,CO940&gt;=1,CO940&lt;=31),IF(MONTH(DATE(CM940,CN940,CO940))=CN940,DATE(CM940,CN940,CO940),""),"")))),"")</f>
        <v/>
      </c>
      <c r="CJ940">
        <f>IFERROR(IF('월 가계부'!C940="","",IF(ISNUMBER('월 가계부'!C940),'월 가계부'!C940,VALUE(SUBSTITUTE(SUBSTITUTE(SUBSTITUTE(SUBSTITUTE(TRIM('월 가계부'!C940),",",""),"원","")," ",""),"−","-")))),"")</f>
        <v/>
      </c>
      <c r="CK940">
        <f>IF(ISNUMBER(CI940),IF(CI940&lt;$B$13,CI940,""),"")</f>
        <v/>
      </c>
      <c r="CM940">
        <f>IF(CH940="","",IFERROR(IF(IF(AND(LEN(CH940)=9,ISERROR(FIND("-",LEFT(CH940,8))),ISNUMBER(-LEFT(CH940,8))),VALUE(LEFT(CH940,4)),VALUE(LEFT(CH940,FIND("-",CH940)-1)))&lt;100,IF(AND(LEN(CH940)=9,ISERROR(FIND("-",LEFT(CH940,8))),ISNUMBER(-LEFT(CH940,8))),VALUE(LEFT(CH940,4)),VALUE(LEFT(CH940,FIND("-",CH940)-1)))+2000,IF(AND(LEN(CH940)=9,ISERROR(FIND("-",LEFT(CH940,8))),ISNUMBER(-LEFT(CH940,8))),VALUE(LEFT(CH940,4)),VALUE(LEFT(CH940,FIND("-",CH940)-1)))),""))</f>
        <v/>
      </c>
      <c r="CN940">
        <f>IF(CH940="","",IFERROR(IF(AND(LEN(CH940)=9,ISERROR(FIND("-",LEFT(CH940,8))),ISNUMBER(-LEFT(CH940,8))),VALUE(MID(CH940,5,2)),VALUE(MID(CH940,FIND("-",CH940)+1,FIND("-",CH940,FIND("-",CH940)+1)-FIND("-",CH940)-1))),""))</f>
        <v/>
      </c>
      <c r="CO940">
        <f>IF(CH940="","",IFERROR(IF(AND(LEN(CH940)=9,ISERROR(FIND("-",LEFT(CH940,8))),ISNUMBER(-LEFT(CH940,8))),VALUE(MID(CH940,7,2)),VALUE(MID(CH940,FIND("-",CH940,FIND("-",CH940)+1)+1,FIND("-",CH940,FIND("-",CH940,FIND("-",CH940)+1)+1)-FIND("-",CH940,FIND("-",CH940)+1)-1))),""))</f>
        <v/>
      </c>
    </row>
    <row r="941">
      <c r="CH941">
        <f>IF(ISTEXT('월 가계부'!A941),SUBSTITUTE(SUBSTITUTE(SUBSTITUTE(SUBSTITUTE(SUBSTITUTE(SUBSTITUTE(SUBSTITUTE(SUBSTITUTE(SUBSTITUTE(TRIM('월 가계부'!A941),"년","-"),"월","-"),"일",""),".","-"),"/","-")," ","-"),"--","-"),"--","-"),"--","-")&amp;"-","")</f>
        <v/>
      </c>
      <c r="CI941">
        <f>IFERROR(IF('월 가계부'!A941="","",IF(ISNUMBER('월 가계부'!A941),IF(AND('월 가계부'!A941&gt;=19000101,'월 가계부'!A941&lt;=21001231),IF(AND(MOD(INT('월 가계부'!A941/100),100)&gt;=1,MOD(INT('월 가계부'!A941/100),100)&lt;=12,MOD(INT('월 가계부'!A941),100)&gt;=1,MOD(INT('월 가계부'!A941),100)&lt;=31),IF(MONTH(DATE(INT('월 가계부'!A941/10000),MOD(INT('월 가계부'!A941/100),100),MOD(INT('월 가계부'!A941),100)))=MOD(INT('월 가계부'!A941/100),100),DATE(INT('월 가계부'!A941/10000),MOD(INT('월 가계부'!A941/100),100),MOD(INT('월 가계부'!A941),100)),""),""),IF(AND('월 가계부'!A941&gt;=36526,'월 가계부'!A941&lt;73051),INT('월 가계부'!A941),"")),IF(OR(CM941="",CN941="",CO941=""),"",IF(AND(CM941&gt;=2000,CM941&lt;=2099,CN941&gt;=1,CN941&lt;=12,CO941&gt;=1,CO941&lt;=31),IF(MONTH(DATE(CM941,CN941,CO941))=CN941,DATE(CM941,CN941,CO941),""),"")))),"")</f>
        <v/>
      </c>
      <c r="CJ941">
        <f>IFERROR(IF('월 가계부'!C941="","",IF(ISNUMBER('월 가계부'!C941),'월 가계부'!C941,VALUE(SUBSTITUTE(SUBSTITUTE(SUBSTITUTE(SUBSTITUTE(TRIM('월 가계부'!C941),",",""),"원","")," ",""),"−","-")))),"")</f>
        <v/>
      </c>
      <c r="CK941">
        <f>IF(ISNUMBER(CI941),IF(CI941&lt;$B$13,CI941,""),"")</f>
        <v/>
      </c>
      <c r="CM941">
        <f>IF(CH941="","",IFERROR(IF(IF(AND(LEN(CH941)=9,ISERROR(FIND("-",LEFT(CH941,8))),ISNUMBER(-LEFT(CH941,8))),VALUE(LEFT(CH941,4)),VALUE(LEFT(CH941,FIND("-",CH941)-1)))&lt;100,IF(AND(LEN(CH941)=9,ISERROR(FIND("-",LEFT(CH941,8))),ISNUMBER(-LEFT(CH941,8))),VALUE(LEFT(CH941,4)),VALUE(LEFT(CH941,FIND("-",CH941)-1)))+2000,IF(AND(LEN(CH941)=9,ISERROR(FIND("-",LEFT(CH941,8))),ISNUMBER(-LEFT(CH941,8))),VALUE(LEFT(CH941,4)),VALUE(LEFT(CH941,FIND("-",CH941)-1)))),""))</f>
        <v/>
      </c>
      <c r="CN941">
        <f>IF(CH941="","",IFERROR(IF(AND(LEN(CH941)=9,ISERROR(FIND("-",LEFT(CH941,8))),ISNUMBER(-LEFT(CH941,8))),VALUE(MID(CH941,5,2)),VALUE(MID(CH941,FIND("-",CH941)+1,FIND("-",CH941,FIND("-",CH941)+1)-FIND("-",CH941)-1))),""))</f>
        <v/>
      </c>
      <c r="CO941">
        <f>IF(CH941="","",IFERROR(IF(AND(LEN(CH941)=9,ISERROR(FIND("-",LEFT(CH941,8))),ISNUMBER(-LEFT(CH941,8))),VALUE(MID(CH941,7,2)),VALUE(MID(CH941,FIND("-",CH941,FIND("-",CH941)+1)+1,FIND("-",CH941,FIND("-",CH941,FIND("-",CH941)+1)+1)-FIND("-",CH941,FIND("-",CH941)+1)-1))),""))</f>
        <v/>
      </c>
    </row>
    <row r="942">
      <c r="CH942">
        <f>IF(ISTEXT('월 가계부'!A942),SUBSTITUTE(SUBSTITUTE(SUBSTITUTE(SUBSTITUTE(SUBSTITUTE(SUBSTITUTE(SUBSTITUTE(SUBSTITUTE(SUBSTITUTE(TRIM('월 가계부'!A942),"년","-"),"월","-"),"일",""),".","-"),"/","-")," ","-"),"--","-"),"--","-"),"--","-")&amp;"-","")</f>
        <v/>
      </c>
      <c r="CI942">
        <f>IFERROR(IF('월 가계부'!A942="","",IF(ISNUMBER('월 가계부'!A942),IF(AND('월 가계부'!A942&gt;=19000101,'월 가계부'!A942&lt;=21001231),IF(AND(MOD(INT('월 가계부'!A942/100),100)&gt;=1,MOD(INT('월 가계부'!A942/100),100)&lt;=12,MOD(INT('월 가계부'!A942),100)&gt;=1,MOD(INT('월 가계부'!A942),100)&lt;=31),IF(MONTH(DATE(INT('월 가계부'!A942/10000),MOD(INT('월 가계부'!A942/100),100),MOD(INT('월 가계부'!A942),100)))=MOD(INT('월 가계부'!A942/100),100),DATE(INT('월 가계부'!A942/10000),MOD(INT('월 가계부'!A942/100),100),MOD(INT('월 가계부'!A942),100)),""),""),IF(AND('월 가계부'!A942&gt;=36526,'월 가계부'!A942&lt;73051),INT('월 가계부'!A942),"")),IF(OR(CM942="",CN942="",CO942=""),"",IF(AND(CM942&gt;=2000,CM942&lt;=2099,CN942&gt;=1,CN942&lt;=12,CO942&gt;=1,CO942&lt;=31),IF(MONTH(DATE(CM942,CN942,CO942))=CN942,DATE(CM942,CN942,CO942),""),"")))),"")</f>
        <v/>
      </c>
      <c r="CJ942">
        <f>IFERROR(IF('월 가계부'!C942="","",IF(ISNUMBER('월 가계부'!C942),'월 가계부'!C942,VALUE(SUBSTITUTE(SUBSTITUTE(SUBSTITUTE(SUBSTITUTE(TRIM('월 가계부'!C942),",",""),"원","")," ",""),"−","-")))),"")</f>
        <v/>
      </c>
      <c r="CK942">
        <f>IF(ISNUMBER(CI942),IF(CI942&lt;$B$13,CI942,""),"")</f>
        <v/>
      </c>
      <c r="CM942">
        <f>IF(CH942="","",IFERROR(IF(IF(AND(LEN(CH942)=9,ISERROR(FIND("-",LEFT(CH942,8))),ISNUMBER(-LEFT(CH942,8))),VALUE(LEFT(CH942,4)),VALUE(LEFT(CH942,FIND("-",CH942)-1)))&lt;100,IF(AND(LEN(CH942)=9,ISERROR(FIND("-",LEFT(CH942,8))),ISNUMBER(-LEFT(CH942,8))),VALUE(LEFT(CH942,4)),VALUE(LEFT(CH942,FIND("-",CH942)-1)))+2000,IF(AND(LEN(CH942)=9,ISERROR(FIND("-",LEFT(CH942,8))),ISNUMBER(-LEFT(CH942,8))),VALUE(LEFT(CH942,4)),VALUE(LEFT(CH942,FIND("-",CH942)-1)))),""))</f>
        <v/>
      </c>
      <c r="CN942">
        <f>IF(CH942="","",IFERROR(IF(AND(LEN(CH942)=9,ISERROR(FIND("-",LEFT(CH942,8))),ISNUMBER(-LEFT(CH942,8))),VALUE(MID(CH942,5,2)),VALUE(MID(CH942,FIND("-",CH942)+1,FIND("-",CH942,FIND("-",CH942)+1)-FIND("-",CH942)-1))),""))</f>
        <v/>
      </c>
      <c r="CO942">
        <f>IF(CH942="","",IFERROR(IF(AND(LEN(CH942)=9,ISERROR(FIND("-",LEFT(CH942,8))),ISNUMBER(-LEFT(CH942,8))),VALUE(MID(CH942,7,2)),VALUE(MID(CH942,FIND("-",CH942,FIND("-",CH942)+1)+1,FIND("-",CH942,FIND("-",CH942,FIND("-",CH942)+1)+1)-FIND("-",CH942,FIND("-",CH942)+1)-1))),""))</f>
        <v/>
      </c>
    </row>
    <row r="943">
      <c r="CH943">
        <f>IF(ISTEXT('월 가계부'!A943),SUBSTITUTE(SUBSTITUTE(SUBSTITUTE(SUBSTITUTE(SUBSTITUTE(SUBSTITUTE(SUBSTITUTE(SUBSTITUTE(SUBSTITUTE(TRIM('월 가계부'!A943),"년","-"),"월","-"),"일",""),".","-"),"/","-")," ","-"),"--","-"),"--","-"),"--","-")&amp;"-","")</f>
        <v/>
      </c>
      <c r="CI943">
        <f>IFERROR(IF('월 가계부'!A943="","",IF(ISNUMBER('월 가계부'!A943),IF(AND('월 가계부'!A943&gt;=19000101,'월 가계부'!A943&lt;=21001231),IF(AND(MOD(INT('월 가계부'!A943/100),100)&gt;=1,MOD(INT('월 가계부'!A943/100),100)&lt;=12,MOD(INT('월 가계부'!A943),100)&gt;=1,MOD(INT('월 가계부'!A943),100)&lt;=31),IF(MONTH(DATE(INT('월 가계부'!A943/10000),MOD(INT('월 가계부'!A943/100),100),MOD(INT('월 가계부'!A943),100)))=MOD(INT('월 가계부'!A943/100),100),DATE(INT('월 가계부'!A943/10000),MOD(INT('월 가계부'!A943/100),100),MOD(INT('월 가계부'!A943),100)),""),""),IF(AND('월 가계부'!A943&gt;=36526,'월 가계부'!A943&lt;73051),INT('월 가계부'!A943),"")),IF(OR(CM943="",CN943="",CO943=""),"",IF(AND(CM943&gt;=2000,CM943&lt;=2099,CN943&gt;=1,CN943&lt;=12,CO943&gt;=1,CO943&lt;=31),IF(MONTH(DATE(CM943,CN943,CO943))=CN943,DATE(CM943,CN943,CO943),""),"")))),"")</f>
        <v/>
      </c>
      <c r="CJ943">
        <f>IFERROR(IF('월 가계부'!C943="","",IF(ISNUMBER('월 가계부'!C943),'월 가계부'!C943,VALUE(SUBSTITUTE(SUBSTITUTE(SUBSTITUTE(SUBSTITUTE(TRIM('월 가계부'!C943),",",""),"원","")," ",""),"−","-")))),"")</f>
        <v/>
      </c>
      <c r="CK943">
        <f>IF(ISNUMBER(CI943),IF(CI943&lt;$B$13,CI943,""),"")</f>
        <v/>
      </c>
      <c r="CM943">
        <f>IF(CH943="","",IFERROR(IF(IF(AND(LEN(CH943)=9,ISERROR(FIND("-",LEFT(CH943,8))),ISNUMBER(-LEFT(CH943,8))),VALUE(LEFT(CH943,4)),VALUE(LEFT(CH943,FIND("-",CH943)-1)))&lt;100,IF(AND(LEN(CH943)=9,ISERROR(FIND("-",LEFT(CH943,8))),ISNUMBER(-LEFT(CH943,8))),VALUE(LEFT(CH943,4)),VALUE(LEFT(CH943,FIND("-",CH943)-1)))+2000,IF(AND(LEN(CH943)=9,ISERROR(FIND("-",LEFT(CH943,8))),ISNUMBER(-LEFT(CH943,8))),VALUE(LEFT(CH943,4)),VALUE(LEFT(CH943,FIND("-",CH943)-1)))),""))</f>
        <v/>
      </c>
      <c r="CN943">
        <f>IF(CH943="","",IFERROR(IF(AND(LEN(CH943)=9,ISERROR(FIND("-",LEFT(CH943,8))),ISNUMBER(-LEFT(CH943,8))),VALUE(MID(CH943,5,2)),VALUE(MID(CH943,FIND("-",CH943)+1,FIND("-",CH943,FIND("-",CH943)+1)-FIND("-",CH943)-1))),""))</f>
        <v/>
      </c>
      <c r="CO943">
        <f>IF(CH943="","",IFERROR(IF(AND(LEN(CH943)=9,ISERROR(FIND("-",LEFT(CH943,8))),ISNUMBER(-LEFT(CH943,8))),VALUE(MID(CH943,7,2)),VALUE(MID(CH943,FIND("-",CH943,FIND("-",CH943)+1)+1,FIND("-",CH943,FIND("-",CH943,FIND("-",CH943)+1)+1)-FIND("-",CH943,FIND("-",CH943)+1)-1))),""))</f>
        <v/>
      </c>
    </row>
    <row r="944">
      <c r="CH944">
        <f>IF(ISTEXT('월 가계부'!A944),SUBSTITUTE(SUBSTITUTE(SUBSTITUTE(SUBSTITUTE(SUBSTITUTE(SUBSTITUTE(SUBSTITUTE(SUBSTITUTE(SUBSTITUTE(TRIM('월 가계부'!A944),"년","-"),"월","-"),"일",""),".","-"),"/","-")," ","-"),"--","-"),"--","-"),"--","-")&amp;"-","")</f>
        <v/>
      </c>
      <c r="CI944">
        <f>IFERROR(IF('월 가계부'!A944="","",IF(ISNUMBER('월 가계부'!A944),IF(AND('월 가계부'!A944&gt;=19000101,'월 가계부'!A944&lt;=21001231),IF(AND(MOD(INT('월 가계부'!A944/100),100)&gt;=1,MOD(INT('월 가계부'!A944/100),100)&lt;=12,MOD(INT('월 가계부'!A944),100)&gt;=1,MOD(INT('월 가계부'!A944),100)&lt;=31),IF(MONTH(DATE(INT('월 가계부'!A944/10000),MOD(INT('월 가계부'!A944/100),100),MOD(INT('월 가계부'!A944),100)))=MOD(INT('월 가계부'!A944/100),100),DATE(INT('월 가계부'!A944/10000),MOD(INT('월 가계부'!A944/100),100),MOD(INT('월 가계부'!A944),100)),""),""),IF(AND('월 가계부'!A944&gt;=36526,'월 가계부'!A944&lt;73051),INT('월 가계부'!A944),"")),IF(OR(CM944="",CN944="",CO944=""),"",IF(AND(CM944&gt;=2000,CM944&lt;=2099,CN944&gt;=1,CN944&lt;=12,CO944&gt;=1,CO944&lt;=31),IF(MONTH(DATE(CM944,CN944,CO944))=CN944,DATE(CM944,CN944,CO944),""),"")))),"")</f>
        <v/>
      </c>
      <c r="CJ944">
        <f>IFERROR(IF('월 가계부'!C944="","",IF(ISNUMBER('월 가계부'!C944),'월 가계부'!C944,VALUE(SUBSTITUTE(SUBSTITUTE(SUBSTITUTE(SUBSTITUTE(TRIM('월 가계부'!C944),",",""),"원","")," ",""),"−","-")))),"")</f>
        <v/>
      </c>
      <c r="CK944">
        <f>IF(ISNUMBER(CI944),IF(CI944&lt;$B$13,CI944,""),"")</f>
        <v/>
      </c>
      <c r="CM944">
        <f>IF(CH944="","",IFERROR(IF(IF(AND(LEN(CH944)=9,ISERROR(FIND("-",LEFT(CH944,8))),ISNUMBER(-LEFT(CH944,8))),VALUE(LEFT(CH944,4)),VALUE(LEFT(CH944,FIND("-",CH944)-1)))&lt;100,IF(AND(LEN(CH944)=9,ISERROR(FIND("-",LEFT(CH944,8))),ISNUMBER(-LEFT(CH944,8))),VALUE(LEFT(CH944,4)),VALUE(LEFT(CH944,FIND("-",CH944)-1)))+2000,IF(AND(LEN(CH944)=9,ISERROR(FIND("-",LEFT(CH944,8))),ISNUMBER(-LEFT(CH944,8))),VALUE(LEFT(CH944,4)),VALUE(LEFT(CH944,FIND("-",CH944)-1)))),""))</f>
        <v/>
      </c>
      <c r="CN944">
        <f>IF(CH944="","",IFERROR(IF(AND(LEN(CH944)=9,ISERROR(FIND("-",LEFT(CH944,8))),ISNUMBER(-LEFT(CH944,8))),VALUE(MID(CH944,5,2)),VALUE(MID(CH944,FIND("-",CH944)+1,FIND("-",CH944,FIND("-",CH944)+1)-FIND("-",CH944)-1))),""))</f>
        <v/>
      </c>
      <c r="CO944">
        <f>IF(CH944="","",IFERROR(IF(AND(LEN(CH944)=9,ISERROR(FIND("-",LEFT(CH944,8))),ISNUMBER(-LEFT(CH944,8))),VALUE(MID(CH944,7,2)),VALUE(MID(CH944,FIND("-",CH944,FIND("-",CH944)+1)+1,FIND("-",CH944,FIND("-",CH944,FIND("-",CH944)+1)+1)-FIND("-",CH944,FIND("-",CH944)+1)-1))),""))</f>
        <v/>
      </c>
    </row>
    <row r="945">
      <c r="CH945">
        <f>IF(ISTEXT('월 가계부'!A945),SUBSTITUTE(SUBSTITUTE(SUBSTITUTE(SUBSTITUTE(SUBSTITUTE(SUBSTITUTE(SUBSTITUTE(SUBSTITUTE(SUBSTITUTE(TRIM('월 가계부'!A945),"년","-"),"월","-"),"일",""),".","-"),"/","-")," ","-"),"--","-"),"--","-"),"--","-")&amp;"-","")</f>
        <v/>
      </c>
      <c r="CI945">
        <f>IFERROR(IF('월 가계부'!A945="","",IF(ISNUMBER('월 가계부'!A945),IF(AND('월 가계부'!A945&gt;=19000101,'월 가계부'!A945&lt;=21001231),IF(AND(MOD(INT('월 가계부'!A945/100),100)&gt;=1,MOD(INT('월 가계부'!A945/100),100)&lt;=12,MOD(INT('월 가계부'!A945),100)&gt;=1,MOD(INT('월 가계부'!A945),100)&lt;=31),IF(MONTH(DATE(INT('월 가계부'!A945/10000),MOD(INT('월 가계부'!A945/100),100),MOD(INT('월 가계부'!A945),100)))=MOD(INT('월 가계부'!A945/100),100),DATE(INT('월 가계부'!A945/10000),MOD(INT('월 가계부'!A945/100),100),MOD(INT('월 가계부'!A945),100)),""),""),IF(AND('월 가계부'!A945&gt;=36526,'월 가계부'!A945&lt;73051),INT('월 가계부'!A945),"")),IF(OR(CM945="",CN945="",CO945=""),"",IF(AND(CM945&gt;=2000,CM945&lt;=2099,CN945&gt;=1,CN945&lt;=12,CO945&gt;=1,CO945&lt;=31),IF(MONTH(DATE(CM945,CN945,CO945))=CN945,DATE(CM945,CN945,CO945),""),"")))),"")</f>
        <v/>
      </c>
      <c r="CJ945">
        <f>IFERROR(IF('월 가계부'!C945="","",IF(ISNUMBER('월 가계부'!C945),'월 가계부'!C945,VALUE(SUBSTITUTE(SUBSTITUTE(SUBSTITUTE(SUBSTITUTE(TRIM('월 가계부'!C945),",",""),"원","")," ",""),"−","-")))),"")</f>
        <v/>
      </c>
      <c r="CK945">
        <f>IF(ISNUMBER(CI945),IF(CI945&lt;$B$13,CI945,""),"")</f>
        <v/>
      </c>
      <c r="CM945">
        <f>IF(CH945="","",IFERROR(IF(IF(AND(LEN(CH945)=9,ISERROR(FIND("-",LEFT(CH945,8))),ISNUMBER(-LEFT(CH945,8))),VALUE(LEFT(CH945,4)),VALUE(LEFT(CH945,FIND("-",CH945)-1)))&lt;100,IF(AND(LEN(CH945)=9,ISERROR(FIND("-",LEFT(CH945,8))),ISNUMBER(-LEFT(CH945,8))),VALUE(LEFT(CH945,4)),VALUE(LEFT(CH945,FIND("-",CH945)-1)))+2000,IF(AND(LEN(CH945)=9,ISERROR(FIND("-",LEFT(CH945,8))),ISNUMBER(-LEFT(CH945,8))),VALUE(LEFT(CH945,4)),VALUE(LEFT(CH945,FIND("-",CH945)-1)))),""))</f>
        <v/>
      </c>
      <c r="CN945">
        <f>IF(CH945="","",IFERROR(IF(AND(LEN(CH945)=9,ISERROR(FIND("-",LEFT(CH945,8))),ISNUMBER(-LEFT(CH945,8))),VALUE(MID(CH945,5,2)),VALUE(MID(CH945,FIND("-",CH945)+1,FIND("-",CH945,FIND("-",CH945)+1)-FIND("-",CH945)-1))),""))</f>
        <v/>
      </c>
      <c r="CO945">
        <f>IF(CH945="","",IFERROR(IF(AND(LEN(CH945)=9,ISERROR(FIND("-",LEFT(CH945,8))),ISNUMBER(-LEFT(CH945,8))),VALUE(MID(CH945,7,2)),VALUE(MID(CH945,FIND("-",CH945,FIND("-",CH945)+1)+1,FIND("-",CH945,FIND("-",CH945,FIND("-",CH945)+1)+1)-FIND("-",CH945,FIND("-",CH945)+1)-1))),""))</f>
        <v/>
      </c>
    </row>
    <row r="946">
      <c r="CH946">
        <f>IF(ISTEXT('월 가계부'!A946),SUBSTITUTE(SUBSTITUTE(SUBSTITUTE(SUBSTITUTE(SUBSTITUTE(SUBSTITUTE(SUBSTITUTE(SUBSTITUTE(SUBSTITUTE(TRIM('월 가계부'!A946),"년","-"),"월","-"),"일",""),".","-"),"/","-")," ","-"),"--","-"),"--","-"),"--","-")&amp;"-","")</f>
        <v/>
      </c>
      <c r="CI946">
        <f>IFERROR(IF('월 가계부'!A946="","",IF(ISNUMBER('월 가계부'!A946),IF(AND('월 가계부'!A946&gt;=19000101,'월 가계부'!A946&lt;=21001231),IF(AND(MOD(INT('월 가계부'!A946/100),100)&gt;=1,MOD(INT('월 가계부'!A946/100),100)&lt;=12,MOD(INT('월 가계부'!A946),100)&gt;=1,MOD(INT('월 가계부'!A946),100)&lt;=31),IF(MONTH(DATE(INT('월 가계부'!A946/10000),MOD(INT('월 가계부'!A946/100),100),MOD(INT('월 가계부'!A946),100)))=MOD(INT('월 가계부'!A946/100),100),DATE(INT('월 가계부'!A946/10000),MOD(INT('월 가계부'!A946/100),100),MOD(INT('월 가계부'!A946),100)),""),""),IF(AND('월 가계부'!A946&gt;=36526,'월 가계부'!A946&lt;73051),INT('월 가계부'!A946),"")),IF(OR(CM946="",CN946="",CO946=""),"",IF(AND(CM946&gt;=2000,CM946&lt;=2099,CN946&gt;=1,CN946&lt;=12,CO946&gt;=1,CO946&lt;=31),IF(MONTH(DATE(CM946,CN946,CO946))=CN946,DATE(CM946,CN946,CO946),""),"")))),"")</f>
        <v/>
      </c>
      <c r="CJ946">
        <f>IFERROR(IF('월 가계부'!C946="","",IF(ISNUMBER('월 가계부'!C946),'월 가계부'!C946,VALUE(SUBSTITUTE(SUBSTITUTE(SUBSTITUTE(SUBSTITUTE(TRIM('월 가계부'!C946),",",""),"원","")," ",""),"−","-")))),"")</f>
        <v/>
      </c>
      <c r="CK946">
        <f>IF(ISNUMBER(CI946),IF(CI946&lt;$B$13,CI946,""),"")</f>
        <v/>
      </c>
      <c r="CM946">
        <f>IF(CH946="","",IFERROR(IF(IF(AND(LEN(CH946)=9,ISERROR(FIND("-",LEFT(CH946,8))),ISNUMBER(-LEFT(CH946,8))),VALUE(LEFT(CH946,4)),VALUE(LEFT(CH946,FIND("-",CH946)-1)))&lt;100,IF(AND(LEN(CH946)=9,ISERROR(FIND("-",LEFT(CH946,8))),ISNUMBER(-LEFT(CH946,8))),VALUE(LEFT(CH946,4)),VALUE(LEFT(CH946,FIND("-",CH946)-1)))+2000,IF(AND(LEN(CH946)=9,ISERROR(FIND("-",LEFT(CH946,8))),ISNUMBER(-LEFT(CH946,8))),VALUE(LEFT(CH946,4)),VALUE(LEFT(CH946,FIND("-",CH946)-1)))),""))</f>
        <v/>
      </c>
      <c r="CN946">
        <f>IF(CH946="","",IFERROR(IF(AND(LEN(CH946)=9,ISERROR(FIND("-",LEFT(CH946,8))),ISNUMBER(-LEFT(CH946,8))),VALUE(MID(CH946,5,2)),VALUE(MID(CH946,FIND("-",CH946)+1,FIND("-",CH946,FIND("-",CH946)+1)-FIND("-",CH946)-1))),""))</f>
        <v/>
      </c>
      <c r="CO946">
        <f>IF(CH946="","",IFERROR(IF(AND(LEN(CH946)=9,ISERROR(FIND("-",LEFT(CH946,8))),ISNUMBER(-LEFT(CH946,8))),VALUE(MID(CH946,7,2)),VALUE(MID(CH946,FIND("-",CH946,FIND("-",CH946)+1)+1,FIND("-",CH946,FIND("-",CH946,FIND("-",CH946)+1)+1)-FIND("-",CH946,FIND("-",CH946)+1)-1))),""))</f>
        <v/>
      </c>
    </row>
    <row r="947">
      <c r="CH947">
        <f>IF(ISTEXT('월 가계부'!A947),SUBSTITUTE(SUBSTITUTE(SUBSTITUTE(SUBSTITUTE(SUBSTITUTE(SUBSTITUTE(SUBSTITUTE(SUBSTITUTE(SUBSTITUTE(TRIM('월 가계부'!A947),"년","-"),"월","-"),"일",""),".","-"),"/","-")," ","-"),"--","-"),"--","-"),"--","-")&amp;"-","")</f>
        <v/>
      </c>
      <c r="CI947">
        <f>IFERROR(IF('월 가계부'!A947="","",IF(ISNUMBER('월 가계부'!A947),IF(AND('월 가계부'!A947&gt;=19000101,'월 가계부'!A947&lt;=21001231),IF(AND(MOD(INT('월 가계부'!A947/100),100)&gt;=1,MOD(INT('월 가계부'!A947/100),100)&lt;=12,MOD(INT('월 가계부'!A947),100)&gt;=1,MOD(INT('월 가계부'!A947),100)&lt;=31),IF(MONTH(DATE(INT('월 가계부'!A947/10000),MOD(INT('월 가계부'!A947/100),100),MOD(INT('월 가계부'!A947),100)))=MOD(INT('월 가계부'!A947/100),100),DATE(INT('월 가계부'!A947/10000),MOD(INT('월 가계부'!A947/100),100),MOD(INT('월 가계부'!A947),100)),""),""),IF(AND('월 가계부'!A947&gt;=36526,'월 가계부'!A947&lt;73051),INT('월 가계부'!A947),"")),IF(OR(CM947="",CN947="",CO947=""),"",IF(AND(CM947&gt;=2000,CM947&lt;=2099,CN947&gt;=1,CN947&lt;=12,CO947&gt;=1,CO947&lt;=31),IF(MONTH(DATE(CM947,CN947,CO947))=CN947,DATE(CM947,CN947,CO947),""),"")))),"")</f>
        <v/>
      </c>
      <c r="CJ947">
        <f>IFERROR(IF('월 가계부'!C947="","",IF(ISNUMBER('월 가계부'!C947),'월 가계부'!C947,VALUE(SUBSTITUTE(SUBSTITUTE(SUBSTITUTE(SUBSTITUTE(TRIM('월 가계부'!C947),",",""),"원","")," ",""),"−","-")))),"")</f>
        <v/>
      </c>
      <c r="CK947">
        <f>IF(ISNUMBER(CI947),IF(CI947&lt;$B$13,CI947,""),"")</f>
        <v/>
      </c>
      <c r="CM947">
        <f>IF(CH947="","",IFERROR(IF(IF(AND(LEN(CH947)=9,ISERROR(FIND("-",LEFT(CH947,8))),ISNUMBER(-LEFT(CH947,8))),VALUE(LEFT(CH947,4)),VALUE(LEFT(CH947,FIND("-",CH947)-1)))&lt;100,IF(AND(LEN(CH947)=9,ISERROR(FIND("-",LEFT(CH947,8))),ISNUMBER(-LEFT(CH947,8))),VALUE(LEFT(CH947,4)),VALUE(LEFT(CH947,FIND("-",CH947)-1)))+2000,IF(AND(LEN(CH947)=9,ISERROR(FIND("-",LEFT(CH947,8))),ISNUMBER(-LEFT(CH947,8))),VALUE(LEFT(CH947,4)),VALUE(LEFT(CH947,FIND("-",CH947)-1)))),""))</f>
        <v/>
      </c>
      <c r="CN947">
        <f>IF(CH947="","",IFERROR(IF(AND(LEN(CH947)=9,ISERROR(FIND("-",LEFT(CH947,8))),ISNUMBER(-LEFT(CH947,8))),VALUE(MID(CH947,5,2)),VALUE(MID(CH947,FIND("-",CH947)+1,FIND("-",CH947,FIND("-",CH947)+1)-FIND("-",CH947)-1))),""))</f>
        <v/>
      </c>
      <c r="CO947">
        <f>IF(CH947="","",IFERROR(IF(AND(LEN(CH947)=9,ISERROR(FIND("-",LEFT(CH947,8))),ISNUMBER(-LEFT(CH947,8))),VALUE(MID(CH947,7,2)),VALUE(MID(CH947,FIND("-",CH947,FIND("-",CH947)+1)+1,FIND("-",CH947,FIND("-",CH947,FIND("-",CH947)+1)+1)-FIND("-",CH947,FIND("-",CH947)+1)-1))),""))</f>
        <v/>
      </c>
    </row>
    <row r="948">
      <c r="CH948">
        <f>IF(ISTEXT('월 가계부'!A948),SUBSTITUTE(SUBSTITUTE(SUBSTITUTE(SUBSTITUTE(SUBSTITUTE(SUBSTITUTE(SUBSTITUTE(SUBSTITUTE(SUBSTITUTE(TRIM('월 가계부'!A948),"년","-"),"월","-"),"일",""),".","-"),"/","-")," ","-"),"--","-"),"--","-"),"--","-")&amp;"-","")</f>
        <v/>
      </c>
      <c r="CI948">
        <f>IFERROR(IF('월 가계부'!A948="","",IF(ISNUMBER('월 가계부'!A948),IF(AND('월 가계부'!A948&gt;=19000101,'월 가계부'!A948&lt;=21001231),IF(AND(MOD(INT('월 가계부'!A948/100),100)&gt;=1,MOD(INT('월 가계부'!A948/100),100)&lt;=12,MOD(INT('월 가계부'!A948),100)&gt;=1,MOD(INT('월 가계부'!A948),100)&lt;=31),IF(MONTH(DATE(INT('월 가계부'!A948/10000),MOD(INT('월 가계부'!A948/100),100),MOD(INT('월 가계부'!A948),100)))=MOD(INT('월 가계부'!A948/100),100),DATE(INT('월 가계부'!A948/10000),MOD(INT('월 가계부'!A948/100),100),MOD(INT('월 가계부'!A948),100)),""),""),IF(AND('월 가계부'!A948&gt;=36526,'월 가계부'!A948&lt;73051),INT('월 가계부'!A948),"")),IF(OR(CM948="",CN948="",CO948=""),"",IF(AND(CM948&gt;=2000,CM948&lt;=2099,CN948&gt;=1,CN948&lt;=12,CO948&gt;=1,CO948&lt;=31),IF(MONTH(DATE(CM948,CN948,CO948))=CN948,DATE(CM948,CN948,CO948),""),"")))),"")</f>
        <v/>
      </c>
      <c r="CJ948">
        <f>IFERROR(IF('월 가계부'!C948="","",IF(ISNUMBER('월 가계부'!C948),'월 가계부'!C948,VALUE(SUBSTITUTE(SUBSTITUTE(SUBSTITUTE(SUBSTITUTE(TRIM('월 가계부'!C948),",",""),"원","")," ",""),"−","-")))),"")</f>
        <v/>
      </c>
      <c r="CK948">
        <f>IF(ISNUMBER(CI948),IF(CI948&lt;$B$13,CI948,""),"")</f>
        <v/>
      </c>
      <c r="CM948">
        <f>IF(CH948="","",IFERROR(IF(IF(AND(LEN(CH948)=9,ISERROR(FIND("-",LEFT(CH948,8))),ISNUMBER(-LEFT(CH948,8))),VALUE(LEFT(CH948,4)),VALUE(LEFT(CH948,FIND("-",CH948)-1)))&lt;100,IF(AND(LEN(CH948)=9,ISERROR(FIND("-",LEFT(CH948,8))),ISNUMBER(-LEFT(CH948,8))),VALUE(LEFT(CH948,4)),VALUE(LEFT(CH948,FIND("-",CH948)-1)))+2000,IF(AND(LEN(CH948)=9,ISERROR(FIND("-",LEFT(CH948,8))),ISNUMBER(-LEFT(CH948,8))),VALUE(LEFT(CH948,4)),VALUE(LEFT(CH948,FIND("-",CH948)-1)))),""))</f>
        <v/>
      </c>
      <c r="CN948">
        <f>IF(CH948="","",IFERROR(IF(AND(LEN(CH948)=9,ISERROR(FIND("-",LEFT(CH948,8))),ISNUMBER(-LEFT(CH948,8))),VALUE(MID(CH948,5,2)),VALUE(MID(CH948,FIND("-",CH948)+1,FIND("-",CH948,FIND("-",CH948)+1)-FIND("-",CH948)-1))),""))</f>
        <v/>
      </c>
      <c r="CO948">
        <f>IF(CH948="","",IFERROR(IF(AND(LEN(CH948)=9,ISERROR(FIND("-",LEFT(CH948,8))),ISNUMBER(-LEFT(CH948,8))),VALUE(MID(CH948,7,2)),VALUE(MID(CH948,FIND("-",CH948,FIND("-",CH948)+1)+1,FIND("-",CH948,FIND("-",CH948,FIND("-",CH948)+1)+1)-FIND("-",CH948,FIND("-",CH948)+1)-1))),""))</f>
        <v/>
      </c>
    </row>
    <row r="949">
      <c r="CH949">
        <f>IF(ISTEXT('월 가계부'!A949),SUBSTITUTE(SUBSTITUTE(SUBSTITUTE(SUBSTITUTE(SUBSTITUTE(SUBSTITUTE(SUBSTITUTE(SUBSTITUTE(SUBSTITUTE(TRIM('월 가계부'!A949),"년","-"),"월","-"),"일",""),".","-"),"/","-")," ","-"),"--","-"),"--","-"),"--","-")&amp;"-","")</f>
        <v/>
      </c>
      <c r="CI949">
        <f>IFERROR(IF('월 가계부'!A949="","",IF(ISNUMBER('월 가계부'!A949),IF(AND('월 가계부'!A949&gt;=19000101,'월 가계부'!A949&lt;=21001231),IF(AND(MOD(INT('월 가계부'!A949/100),100)&gt;=1,MOD(INT('월 가계부'!A949/100),100)&lt;=12,MOD(INT('월 가계부'!A949),100)&gt;=1,MOD(INT('월 가계부'!A949),100)&lt;=31),IF(MONTH(DATE(INT('월 가계부'!A949/10000),MOD(INT('월 가계부'!A949/100),100),MOD(INT('월 가계부'!A949),100)))=MOD(INT('월 가계부'!A949/100),100),DATE(INT('월 가계부'!A949/10000),MOD(INT('월 가계부'!A949/100),100),MOD(INT('월 가계부'!A949),100)),""),""),IF(AND('월 가계부'!A949&gt;=36526,'월 가계부'!A949&lt;73051),INT('월 가계부'!A949),"")),IF(OR(CM949="",CN949="",CO949=""),"",IF(AND(CM949&gt;=2000,CM949&lt;=2099,CN949&gt;=1,CN949&lt;=12,CO949&gt;=1,CO949&lt;=31),IF(MONTH(DATE(CM949,CN949,CO949))=CN949,DATE(CM949,CN949,CO949),""),"")))),"")</f>
        <v/>
      </c>
      <c r="CJ949">
        <f>IFERROR(IF('월 가계부'!C949="","",IF(ISNUMBER('월 가계부'!C949),'월 가계부'!C949,VALUE(SUBSTITUTE(SUBSTITUTE(SUBSTITUTE(SUBSTITUTE(TRIM('월 가계부'!C949),",",""),"원","")," ",""),"−","-")))),"")</f>
        <v/>
      </c>
      <c r="CK949">
        <f>IF(ISNUMBER(CI949),IF(CI949&lt;$B$13,CI949,""),"")</f>
        <v/>
      </c>
      <c r="CM949">
        <f>IF(CH949="","",IFERROR(IF(IF(AND(LEN(CH949)=9,ISERROR(FIND("-",LEFT(CH949,8))),ISNUMBER(-LEFT(CH949,8))),VALUE(LEFT(CH949,4)),VALUE(LEFT(CH949,FIND("-",CH949)-1)))&lt;100,IF(AND(LEN(CH949)=9,ISERROR(FIND("-",LEFT(CH949,8))),ISNUMBER(-LEFT(CH949,8))),VALUE(LEFT(CH949,4)),VALUE(LEFT(CH949,FIND("-",CH949)-1)))+2000,IF(AND(LEN(CH949)=9,ISERROR(FIND("-",LEFT(CH949,8))),ISNUMBER(-LEFT(CH949,8))),VALUE(LEFT(CH949,4)),VALUE(LEFT(CH949,FIND("-",CH949)-1)))),""))</f>
        <v/>
      </c>
      <c r="CN949">
        <f>IF(CH949="","",IFERROR(IF(AND(LEN(CH949)=9,ISERROR(FIND("-",LEFT(CH949,8))),ISNUMBER(-LEFT(CH949,8))),VALUE(MID(CH949,5,2)),VALUE(MID(CH949,FIND("-",CH949)+1,FIND("-",CH949,FIND("-",CH949)+1)-FIND("-",CH949)-1))),""))</f>
        <v/>
      </c>
      <c r="CO949">
        <f>IF(CH949="","",IFERROR(IF(AND(LEN(CH949)=9,ISERROR(FIND("-",LEFT(CH949,8))),ISNUMBER(-LEFT(CH949,8))),VALUE(MID(CH949,7,2)),VALUE(MID(CH949,FIND("-",CH949,FIND("-",CH949)+1)+1,FIND("-",CH949,FIND("-",CH949,FIND("-",CH949)+1)+1)-FIND("-",CH949,FIND("-",CH949)+1)-1))),""))</f>
        <v/>
      </c>
    </row>
    <row r="950">
      <c r="CH950">
        <f>IF(ISTEXT('월 가계부'!A950),SUBSTITUTE(SUBSTITUTE(SUBSTITUTE(SUBSTITUTE(SUBSTITUTE(SUBSTITUTE(SUBSTITUTE(SUBSTITUTE(SUBSTITUTE(TRIM('월 가계부'!A950),"년","-"),"월","-"),"일",""),".","-"),"/","-")," ","-"),"--","-"),"--","-"),"--","-")&amp;"-","")</f>
        <v/>
      </c>
      <c r="CI950">
        <f>IFERROR(IF('월 가계부'!A950="","",IF(ISNUMBER('월 가계부'!A950),IF(AND('월 가계부'!A950&gt;=19000101,'월 가계부'!A950&lt;=21001231),IF(AND(MOD(INT('월 가계부'!A950/100),100)&gt;=1,MOD(INT('월 가계부'!A950/100),100)&lt;=12,MOD(INT('월 가계부'!A950),100)&gt;=1,MOD(INT('월 가계부'!A950),100)&lt;=31),IF(MONTH(DATE(INT('월 가계부'!A950/10000),MOD(INT('월 가계부'!A950/100),100),MOD(INT('월 가계부'!A950),100)))=MOD(INT('월 가계부'!A950/100),100),DATE(INT('월 가계부'!A950/10000),MOD(INT('월 가계부'!A950/100),100),MOD(INT('월 가계부'!A950),100)),""),""),IF(AND('월 가계부'!A950&gt;=36526,'월 가계부'!A950&lt;73051),INT('월 가계부'!A950),"")),IF(OR(CM950="",CN950="",CO950=""),"",IF(AND(CM950&gt;=2000,CM950&lt;=2099,CN950&gt;=1,CN950&lt;=12,CO950&gt;=1,CO950&lt;=31),IF(MONTH(DATE(CM950,CN950,CO950))=CN950,DATE(CM950,CN950,CO950),""),"")))),"")</f>
        <v/>
      </c>
      <c r="CJ950">
        <f>IFERROR(IF('월 가계부'!C950="","",IF(ISNUMBER('월 가계부'!C950),'월 가계부'!C950,VALUE(SUBSTITUTE(SUBSTITUTE(SUBSTITUTE(SUBSTITUTE(TRIM('월 가계부'!C950),",",""),"원","")," ",""),"−","-")))),"")</f>
        <v/>
      </c>
      <c r="CK950">
        <f>IF(ISNUMBER(CI950),IF(CI950&lt;$B$13,CI950,""),"")</f>
        <v/>
      </c>
      <c r="CM950">
        <f>IF(CH950="","",IFERROR(IF(IF(AND(LEN(CH950)=9,ISERROR(FIND("-",LEFT(CH950,8))),ISNUMBER(-LEFT(CH950,8))),VALUE(LEFT(CH950,4)),VALUE(LEFT(CH950,FIND("-",CH950)-1)))&lt;100,IF(AND(LEN(CH950)=9,ISERROR(FIND("-",LEFT(CH950,8))),ISNUMBER(-LEFT(CH950,8))),VALUE(LEFT(CH950,4)),VALUE(LEFT(CH950,FIND("-",CH950)-1)))+2000,IF(AND(LEN(CH950)=9,ISERROR(FIND("-",LEFT(CH950,8))),ISNUMBER(-LEFT(CH950,8))),VALUE(LEFT(CH950,4)),VALUE(LEFT(CH950,FIND("-",CH950)-1)))),""))</f>
        <v/>
      </c>
      <c r="CN950">
        <f>IF(CH950="","",IFERROR(IF(AND(LEN(CH950)=9,ISERROR(FIND("-",LEFT(CH950,8))),ISNUMBER(-LEFT(CH950,8))),VALUE(MID(CH950,5,2)),VALUE(MID(CH950,FIND("-",CH950)+1,FIND("-",CH950,FIND("-",CH950)+1)-FIND("-",CH950)-1))),""))</f>
        <v/>
      </c>
      <c r="CO950">
        <f>IF(CH950="","",IFERROR(IF(AND(LEN(CH950)=9,ISERROR(FIND("-",LEFT(CH950,8))),ISNUMBER(-LEFT(CH950,8))),VALUE(MID(CH950,7,2)),VALUE(MID(CH950,FIND("-",CH950,FIND("-",CH950)+1)+1,FIND("-",CH950,FIND("-",CH950,FIND("-",CH950)+1)+1)-FIND("-",CH950,FIND("-",CH950)+1)-1))),""))</f>
        <v/>
      </c>
    </row>
    <row r="951">
      <c r="CH951">
        <f>IF(ISTEXT('월 가계부'!A951),SUBSTITUTE(SUBSTITUTE(SUBSTITUTE(SUBSTITUTE(SUBSTITUTE(SUBSTITUTE(SUBSTITUTE(SUBSTITUTE(SUBSTITUTE(TRIM('월 가계부'!A951),"년","-"),"월","-"),"일",""),".","-"),"/","-")," ","-"),"--","-"),"--","-"),"--","-")&amp;"-","")</f>
        <v/>
      </c>
      <c r="CI951">
        <f>IFERROR(IF('월 가계부'!A951="","",IF(ISNUMBER('월 가계부'!A951),IF(AND('월 가계부'!A951&gt;=19000101,'월 가계부'!A951&lt;=21001231),IF(AND(MOD(INT('월 가계부'!A951/100),100)&gt;=1,MOD(INT('월 가계부'!A951/100),100)&lt;=12,MOD(INT('월 가계부'!A951),100)&gt;=1,MOD(INT('월 가계부'!A951),100)&lt;=31),IF(MONTH(DATE(INT('월 가계부'!A951/10000),MOD(INT('월 가계부'!A951/100),100),MOD(INT('월 가계부'!A951),100)))=MOD(INT('월 가계부'!A951/100),100),DATE(INT('월 가계부'!A951/10000),MOD(INT('월 가계부'!A951/100),100),MOD(INT('월 가계부'!A951),100)),""),""),IF(AND('월 가계부'!A951&gt;=36526,'월 가계부'!A951&lt;73051),INT('월 가계부'!A951),"")),IF(OR(CM951="",CN951="",CO951=""),"",IF(AND(CM951&gt;=2000,CM951&lt;=2099,CN951&gt;=1,CN951&lt;=12,CO951&gt;=1,CO951&lt;=31),IF(MONTH(DATE(CM951,CN951,CO951))=CN951,DATE(CM951,CN951,CO951),""),"")))),"")</f>
        <v/>
      </c>
      <c r="CJ951">
        <f>IFERROR(IF('월 가계부'!C951="","",IF(ISNUMBER('월 가계부'!C951),'월 가계부'!C951,VALUE(SUBSTITUTE(SUBSTITUTE(SUBSTITUTE(SUBSTITUTE(TRIM('월 가계부'!C951),",",""),"원","")," ",""),"−","-")))),"")</f>
        <v/>
      </c>
      <c r="CK951">
        <f>IF(ISNUMBER(CI951),IF(CI951&lt;$B$13,CI951,""),"")</f>
        <v/>
      </c>
      <c r="CM951">
        <f>IF(CH951="","",IFERROR(IF(IF(AND(LEN(CH951)=9,ISERROR(FIND("-",LEFT(CH951,8))),ISNUMBER(-LEFT(CH951,8))),VALUE(LEFT(CH951,4)),VALUE(LEFT(CH951,FIND("-",CH951)-1)))&lt;100,IF(AND(LEN(CH951)=9,ISERROR(FIND("-",LEFT(CH951,8))),ISNUMBER(-LEFT(CH951,8))),VALUE(LEFT(CH951,4)),VALUE(LEFT(CH951,FIND("-",CH951)-1)))+2000,IF(AND(LEN(CH951)=9,ISERROR(FIND("-",LEFT(CH951,8))),ISNUMBER(-LEFT(CH951,8))),VALUE(LEFT(CH951,4)),VALUE(LEFT(CH951,FIND("-",CH951)-1)))),""))</f>
        <v/>
      </c>
      <c r="CN951">
        <f>IF(CH951="","",IFERROR(IF(AND(LEN(CH951)=9,ISERROR(FIND("-",LEFT(CH951,8))),ISNUMBER(-LEFT(CH951,8))),VALUE(MID(CH951,5,2)),VALUE(MID(CH951,FIND("-",CH951)+1,FIND("-",CH951,FIND("-",CH951)+1)-FIND("-",CH951)-1))),""))</f>
        <v/>
      </c>
      <c r="CO951">
        <f>IF(CH951="","",IFERROR(IF(AND(LEN(CH951)=9,ISERROR(FIND("-",LEFT(CH951,8))),ISNUMBER(-LEFT(CH951,8))),VALUE(MID(CH951,7,2)),VALUE(MID(CH951,FIND("-",CH951,FIND("-",CH951)+1)+1,FIND("-",CH951,FIND("-",CH951,FIND("-",CH951)+1)+1)-FIND("-",CH951,FIND("-",CH951)+1)-1))),""))</f>
        <v/>
      </c>
    </row>
    <row r="952">
      <c r="CH952">
        <f>IF(ISTEXT('월 가계부'!A952),SUBSTITUTE(SUBSTITUTE(SUBSTITUTE(SUBSTITUTE(SUBSTITUTE(SUBSTITUTE(SUBSTITUTE(SUBSTITUTE(SUBSTITUTE(TRIM('월 가계부'!A952),"년","-"),"월","-"),"일",""),".","-"),"/","-")," ","-"),"--","-"),"--","-"),"--","-")&amp;"-","")</f>
        <v/>
      </c>
      <c r="CI952">
        <f>IFERROR(IF('월 가계부'!A952="","",IF(ISNUMBER('월 가계부'!A952),IF(AND('월 가계부'!A952&gt;=19000101,'월 가계부'!A952&lt;=21001231),IF(AND(MOD(INT('월 가계부'!A952/100),100)&gt;=1,MOD(INT('월 가계부'!A952/100),100)&lt;=12,MOD(INT('월 가계부'!A952),100)&gt;=1,MOD(INT('월 가계부'!A952),100)&lt;=31),IF(MONTH(DATE(INT('월 가계부'!A952/10000),MOD(INT('월 가계부'!A952/100),100),MOD(INT('월 가계부'!A952),100)))=MOD(INT('월 가계부'!A952/100),100),DATE(INT('월 가계부'!A952/10000),MOD(INT('월 가계부'!A952/100),100),MOD(INT('월 가계부'!A952),100)),""),""),IF(AND('월 가계부'!A952&gt;=36526,'월 가계부'!A952&lt;73051),INT('월 가계부'!A952),"")),IF(OR(CM952="",CN952="",CO952=""),"",IF(AND(CM952&gt;=2000,CM952&lt;=2099,CN952&gt;=1,CN952&lt;=12,CO952&gt;=1,CO952&lt;=31),IF(MONTH(DATE(CM952,CN952,CO952))=CN952,DATE(CM952,CN952,CO952),""),"")))),"")</f>
        <v/>
      </c>
      <c r="CJ952">
        <f>IFERROR(IF('월 가계부'!C952="","",IF(ISNUMBER('월 가계부'!C952),'월 가계부'!C952,VALUE(SUBSTITUTE(SUBSTITUTE(SUBSTITUTE(SUBSTITUTE(TRIM('월 가계부'!C952),",",""),"원","")," ",""),"−","-")))),"")</f>
        <v/>
      </c>
      <c r="CK952">
        <f>IF(ISNUMBER(CI952),IF(CI952&lt;$B$13,CI952,""),"")</f>
        <v/>
      </c>
      <c r="CM952">
        <f>IF(CH952="","",IFERROR(IF(IF(AND(LEN(CH952)=9,ISERROR(FIND("-",LEFT(CH952,8))),ISNUMBER(-LEFT(CH952,8))),VALUE(LEFT(CH952,4)),VALUE(LEFT(CH952,FIND("-",CH952)-1)))&lt;100,IF(AND(LEN(CH952)=9,ISERROR(FIND("-",LEFT(CH952,8))),ISNUMBER(-LEFT(CH952,8))),VALUE(LEFT(CH952,4)),VALUE(LEFT(CH952,FIND("-",CH952)-1)))+2000,IF(AND(LEN(CH952)=9,ISERROR(FIND("-",LEFT(CH952,8))),ISNUMBER(-LEFT(CH952,8))),VALUE(LEFT(CH952,4)),VALUE(LEFT(CH952,FIND("-",CH952)-1)))),""))</f>
        <v/>
      </c>
      <c r="CN952">
        <f>IF(CH952="","",IFERROR(IF(AND(LEN(CH952)=9,ISERROR(FIND("-",LEFT(CH952,8))),ISNUMBER(-LEFT(CH952,8))),VALUE(MID(CH952,5,2)),VALUE(MID(CH952,FIND("-",CH952)+1,FIND("-",CH952,FIND("-",CH952)+1)-FIND("-",CH952)-1))),""))</f>
        <v/>
      </c>
      <c r="CO952">
        <f>IF(CH952="","",IFERROR(IF(AND(LEN(CH952)=9,ISERROR(FIND("-",LEFT(CH952,8))),ISNUMBER(-LEFT(CH952,8))),VALUE(MID(CH952,7,2)),VALUE(MID(CH952,FIND("-",CH952,FIND("-",CH952)+1)+1,FIND("-",CH952,FIND("-",CH952,FIND("-",CH952)+1)+1)-FIND("-",CH952,FIND("-",CH952)+1)-1))),""))</f>
        <v/>
      </c>
    </row>
    <row r="953">
      <c r="CH953">
        <f>IF(ISTEXT('월 가계부'!A953),SUBSTITUTE(SUBSTITUTE(SUBSTITUTE(SUBSTITUTE(SUBSTITUTE(SUBSTITUTE(SUBSTITUTE(SUBSTITUTE(SUBSTITUTE(TRIM('월 가계부'!A953),"년","-"),"월","-"),"일",""),".","-"),"/","-")," ","-"),"--","-"),"--","-"),"--","-")&amp;"-","")</f>
        <v/>
      </c>
      <c r="CI953">
        <f>IFERROR(IF('월 가계부'!A953="","",IF(ISNUMBER('월 가계부'!A953),IF(AND('월 가계부'!A953&gt;=19000101,'월 가계부'!A953&lt;=21001231),IF(AND(MOD(INT('월 가계부'!A953/100),100)&gt;=1,MOD(INT('월 가계부'!A953/100),100)&lt;=12,MOD(INT('월 가계부'!A953),100)&gt;=1,MOD(INT('월 가계부'!A953),100)&lt;=31),IF(MONTH(DATE(INT('월 가계부'!A953/10000),MOD(INT('월 가계부'!A953/100),100),MOD(INT('월 가계부'!A953),100)))=MOD(INT('월 가계부'!A953/100),100),DATE(INT('월 가계부'!A953/10000),MOD(INT('월 가계부'!A953/100),100),MOD(INT('월 가계부'!A953),100)),""),""),IF(AND('월 가계부'!A953&gt;=36526,'월 가계부'!A953&lt;73051),INT('월 가계부'!A953),"")),IF(OR(CM953="",CN953="",CO953=""),"",IF(AND(CM953&gt;=2000,CM953&lt;=2099,CN953&gt;=1,CN953&lt;=12,CO953&gt;=1,CO953&lt;=31),IF(MONTH(DATE(CM953,CN953,CO953))=CN953,DATE(CM953,CN953,CO953),""),"")))),"")</f>
        <v/>
      </c>
      <c r="CJ953">
        <f>IFERROR(IF('월 가계부'!C953="","",IF(ISNUMBER('월 가계부'!C953),'월 가계부'!C953,VALUE(SUBSTITUTE(SUBSTITUTE(SUBSTITUTE(SUBSTITUTE(TRIM('월 가계부'!C953),",",""),"원","")," ",""),"−","-")))),"")</f>
        <v/>
      </c>
      <c r="CK953">
        <f>IF(ISNUMBER(CI953),IF(CI953&lt;$B$13,CI953,""),"")</f>
        <v/>
      </c>
      <c r="CM953">
        <f>IF(CH953="","",IFERROR(IF(IF(AND(LEN(CH953)=9,ISERROR(FIND("-",LEFT(CH953,8))),ISNUMBER(-LEFT(CH953,8))),VALUE(LEFT(CH953,4)),VALUE(LEFT(CH953,FIND("-",CH953)-1)))&lt;100,IF(AND(LEN(CH953)=9,ISERROR(FIND("-",LEFT(CH953,8))),ISNUMBER(-LEFT(CH953,8))),VALUE(LEFT(CH953,4)),VALUE(LEFT(CH953,FIND("-",CH953)-1)))+2000,IF(AND(LEN(CH953)=9,ISERROR(FIND("-",LEFT(CH953,8))),ISNUMBER(-LEFT(CH953,8))),VALUE(LEFT(CH953,4)),VALUE(LEFT(CH953,FIND("-",CH953)-1)))),""))</f>
        <v/>
      </c>
      <c r="CN953">
        <f>IF(CH953="","",IFERROR(IF(AND(LEN(CH953)=9,ISERROR(FIND("-",LEFT(CH953,8))),ISNUMBER(-LEFT(CH953,8))),VALUE(MID(CH953,5,2)),VALUE(MID(CH953,FIND("-",CH953)+1,FIND("-",CH953,FIND("-",CH953)+1)-FIND("-",CH953)-1))),""))</f>
        <v/>
      </c>
      <c r="CO953">
        <f>IF(CH953="","",IFERROR(IF(AND(LEN(CH953)=9,ISERROR(FIND("-",LEFT(CH953,8))),ISNUMBER(-LEFT(CH953,8))),VALUE(MID(CH953,7,2)),VALUE(MID(CH953,FIND("-",CH953,FIND("-",CH953)+1)+1,FIND("-",CH953,FIND("-",CH953,FIND("-",CH953)+1)+1)-FIND("-",CH953,FIND("-",CH953)+1)-1))),""))</f>
        <v/>
      </c>
    </row>
    <row r="954">
      <c r="CH954">
        <f>IF(ISTEXT('월 가계부'!A954),SUBSTITUTE(SUBSTITUTE(SUBSTITUTE(SUBSTITUTE(SUBSTITUTE(SUBSTITUTE(SUBSTITUTE(SUBSTITUTE(SUBSTITUTE(TRIM('월 가계부'!A954),"년","-"),"월","-"),"일",""),".","-"),"/","-")," ","-"),"--","-"),"--","-"),"--","-")&amp;"-","")</f>
        <v/>
      </c>
      <c r="CI954">
        <f>IFERROR(IF('월 가계부'!A954="","",IF(ISNUMBER('월 가계부'!A954),IF(AND('월 가계부'!A954&gt;=19000101,'월 가계부'!A954&lt;=21001231),IF(AND(MOD(INT('월 가계부'!A954/100),100)&gt;=1,MOD(INT('월 가계부'!A954/100),100)&lt;=12,MOD(INT('월 가계부'!A954),100)&gt;=1,MOD(INT('월 가계부'!A954),100)&lt;=31),IF(MONTH(DATE(INT('월 가계부'!A954/10000),MOD(INT('월 가계부'!A954/100),100),MOD(INT('월 가계부'!A954),100)))=MOD(INT('월 가계부'!A954/100),100),DATE(INT('월 가계부'!A954/10000),MOD(INT('월 가계부'!A954/100),100),MOD(INT('월 가계부'!A954),100)),""),""),IF(AND('월 가계부'!A954&gt;=36526,'월 가계부'!A954&lt;73051),INT('월 가계부'!A954),"")),IF(OR(CM954="",CN954="",CO954=""),"",IF(AND(CM954&gt;=2000,CM954&lt;=2099,CN954&gt;=1,CN954&lt;=12,CO954&gt;=1,CO954&lt;=31),IF(MONTH(DATE(CM954,CN954,CO954))=CN954,DATE(CM954,CN954,CO954),""),"")))),"")</f>
        <v/>
      </c>
      <c r="CJ954">
        <f>IFERROR(IF('월 가계부'!C954="","",IF(ISNUMBER('월 가계부'!C954),'월 가계부'!C954,VALUE(SUBSTITUTE(SUBSTITUTE(SUBSTITUTE(SUBSTITUTE(TRIM('월 가계부'!C954),",",""),"원","")," ",""),"−","-")))),"")</f>
        <v/>
      </c>
      <c r="CK954">
        <f>IF(ISNUMBER(CI954),IF(CI954&lt;$B$13,CI954,""),"")</f>
        <v/>
      </c>
      <c r="CM954">
        <f>IF(CH954="","",IFERROR(IF(IF(AND(LEN(CH954)=9,ISERROR(FIND("-",LEFT(CH954,8))),ISNUMBER(-LEFT(CH954,8))),VALUE(LEFT(CH954,4)),VALUE(LEFT(CH954,FIND("-",CH954)-1)))&lt;100,IF(AND(LEN(CH954)=9,ISERROR(FIND("-",LEFT(CH954,8))),ISNUMBER(-LEFT(CH954,8))),VALUE(LEFT(CH954,4)),VALUE(LEFT(CH954,FIND("-",CH954)-1)))+2000,IF(AND(LEN(CH954)=9,ISERROR(FIND("-",LEFT(CH954,8))),ISNUMBER(-LEFT(CH954,8))),VALUE(LEFT(CH954,4)),VALUE(LEFT(CH954,FIND("-",CH954)-1)))),""))</f>
        <v/>
      </c>
      <c r="CN954">
        <f>IF(CH954="","",IFERROR(IF(AND(LEN(CH954)=9,ISERROR(FIND("-",LEFT(CH954,8))),ISNUMBER(-LEFT(CH954,8))),VALUE(MID(CH954,5,2)),VALUE(MID(CH954,FIND("-",CH954)+1,FIND("-",CH954,FIND("-",CH954)+1)-FIND("-",CH954)-1))),""))</f>
        <v/>
      </c>
      <c r="CO954">
        <f>IF(CH954="","",IFERROR(IF(AND(LEN(CH954)=9,ISERROR(FIND("-",LEFT(CH954,8))),ISNUMBER(-LEFT(CH954,8))),VALUE(MID(CH954,7,2)),VALUE(MID(CH954,FIND("-",CH954,FIND("-",CH954)+1)+1,FIND("-",CH954,FIND("-",CH954,FIND("-",CH954)+1)+1)-FIND("-",CH954,FIND("-",CH954)+1)-1))),""))</f>
        <v/>
      </c>
    </row>
    <row r="955">
      <c r="CH955">
        <f>IF(ISTEXT('월 가계부'!A955),SUBSTITUTE(SUBSTITUTE(SUBSTITUTE(SUBSTITUTE(SUBSTITUTE(SUBSTITUTE(SUBSTITUTE(SUBSTITUTE(SUBSTITUTE(TRIM('월 가계부'!A955),"년","-"),"월","-"),"일",""),".","-"),"/","-")," ","-"),"--","-"),"--","-"),"--","-")&amp;"-","")</f>
        <v/>
      </c>
      <c r="CI955">
        <f>IFERROR(IF('월 가계부'!A955="","",IF(ISNUMBER('월 가계부'!A955),IF(AND('월 가계부'!A955&gt;=19000101,'월 가계부'!A955&lt;=21001231),IF(AND(MOD(INT('월 가계부'!A955/100),100)&gt;=1,MOD(INT('월 가계부'!A955/100),100)&lt;=12,MOD(INT('월 가계부'!A955),100)&gt;=1,MOD(INT('월 가계부'!A955),100)&lt;=31),IF(MONTH(DATE(INT('월 가계부'!A955/10000),MOD(INT('월 가계부'!A955/100),100),MOD(INT('월 가계부'!A955),100)))=MOD(INT('월 가계부'!A955/100),100),DATE(INT('월 가계부'!A955/10000),MOD(INT('월 가계부'!A955/100),100),MOD(INT('월 가계부'!A955),100)),""),""),IF(AND('월 가계부'!A955&gt;=36526,'월 가계부'!A955&lt;73051),INT('월 가계부'!A955),"")),IF(OR(CM955="",CN955="",CO955=""),"",IF(AND(CM955&gt;=2000,CM955&lt;=2099,CN955&gt;=1,CN955&lt;=12,CO955&gt;=1,CO955&lt;=31),IF(MONTH(DATE(CM955,CN955,CO955))=CN955,DATE(CM955,CN955,CO955),""),"")))),"")</f>
        <v/>
      </c>
      <c r="CJ955">
        <f>IFERROR(IF('월 가계부'!C955="","",IF(ISNUMBER('월 가계부'!C955),'월 가계부'!C955,VALUE(SUBSTITUTE(SUBSTITUTE(SUBSTITUTE(SUBSTITUTE(TRIM('월 가계부'!C955),",",""),"원","")," ",""),"−","-")))),"")</f>
        <v/>
      </c>
      <c r="CK955">
        <f>IF(ISNUMBER(CI955),IF(CI955&lt;$B$13,CI955,""),"")</f>
        <v/>
      </c>
      <c r="CM955">
        <f>IF(CH955="","",IFERROR(IF(IF(AND(LEN(CH955)=9,ISERROR(FIND("-",LEFT(CH955,8))),ISNUMBER(-LEFT(CH955,8))),VALUE(LEFT(CH955,4)),VALUE(LEFT(CH955,FIND("-",CH955)-1)))&lt;100,IF(AND(LEN(CH955)=9,ISERROR(FIND("-",LEFT(CH955,8))),ISNUMBER(-LEFT(CH955,8))),VALUE(LEFT(CH955,4)),VALUE(LEFT(CH955,FIND("-",CH955)-1)))+2000,IF(AND(LEN(CH955)=9,ISERROR(FIND("-",LEFT(CH955,8))),ISNUMBER(-LEFT(CH955,8))),VALUE(LEFT(CH955,4)),VALUE(LEFT(CH955,FIND("-",CH955)-1)))),""))</f>
        <v/>
      </c>
      <c r="CN955">
        <f>IF(CH955="","",IFERROR(IF(AND(LEN(CH955)=9,ISERROR(FIND("-",LEFT(CH955,8))),ISNUMBER(-LEFT(CH955,8))),VALUE(MID(CH955,5,2)),VALUE(MID(CH955,FIND("-",CH955)+1,FIND("-",CH955,FIND("-",CH955)+1)-FIND("-",CH955)-1))),""))</f>
        <v/>
      </c>
      <c r="CO955">
        <f>IF(CH955="","",IFERROR(IF(AND(LEN(CH955)=9,ISERROR(FIND("-",LEFT(CH955,8))),ISNUMBER(-LEFT(CH955,8))),VALUE(MID(CH955,7,2)),VALUE(MID(CH955,FIND("-",CH955,FIND("-",CH955)+1)+1,FIND("-",CH955,FIND("-",CH955,FIND("-",CH955)+1)+1)-FIND("-",CH955,FIND("-",CH955)+1)-1))),""))</f>
        <v/>
      </c>
    </row>
    <row r="956">
      <c r="CH956">
        <f>IF(ISTEXT('월 가계부'!A956),SUBSTITUTE(SUBSTITUTE(SUBSTITUTE(SUBSTITUTE(SUBSTITUTE(SUBSTITUTE(SUBSTITUTE(SUBSTITUTE(SUBSTITUTE(TRIM('월 가계부'!A956),"년","-"),"월","-"),"일",""),".","-"),"/","-")," ","-"),"--","-"),"--","-"),"--","-")&amp;"-","")</f>
        <v/>
      </c>
      <c r="CI956">
        <f>IFERROR(IF('월 가계부'!A956="","",IF(ISNUMBER('월 가계부'!A956),IF(AND('월 가계부'!A956&gt;=19000101,'월 가계부'!A956&lt;=21001231),IF(AND(MOD(INT('월 가계부'!A956/100),100)&gt;=1,MOD(INT('월 가계부'!A956/100),100)&lt;=12,MOD(INT('월 가계부'!A956),100)&gt;=1,MOD(INT('월 가계부'!A956),100)&lt;=31),IF(MONTH(DATE(INT('월 가계부'!A956/10000),MOD(INT('월 가계부'!A956/100),100),MOD(INT('월 가계부'!A956),100)))=MOD(INT('월 가계부'!A956/100),100),DATE(INT('월 가계부'!A956/10000),MOD(INT('월 가계부'!A956/100),100),MOD(INT('월 가계부'!A956),100)),""),""),IF(AND('월 가계부'!A956&gt;=36526,'월 가계부'!A956&lt;73051),INT('월 가계부'!A956),"")),IF(OR(CM956="",CN956="",CO956=""),"",IF(AND(CM956&gt;=2000,CM956&lt;=2099,CN956&gt;=1,CN956&lt;=12,CO956&gt;=1,CO956&lt;=31),IF(MONTH(DATE(CM956,CN956,CO956))=CN956,DATE(CM956,CN956,CO956),""),"")))),"")</f>
        <v/>
      </c>
      <c r="CJ956">
        <f>IFERROR(IF('월 가계부'!C956="","",IF(ISNUMBER('월 가계부'!C956),'월 가계부'!C956,VALUE(SUBSTITUTE(SUBSTITUTE(SUBSTITUTE(SUBSTITUTE(TRIM('월 가계부'!C956),",",""),"원","")," ",""),"−","-")))),"")</f>
        <v/>
      </c>
      <c r="CK956">
        <f>IF(ISNUMBER(CI956),IF(CI956&lt;$B$13,CI956,""),"")</f>
        <v/>
      </c>
      <c r="CM956">
        <f>IF(CH956="","",IFERROR(IF(IF(AND(LEN(CH956)=9,ISERROR(FIND("-",LEFT(CH956,8))),ISNUMBER(-LEFT(CH956,8))),VALUE(LEFT(CH956,4)),VALUE(LEFT(CH956,FIND("-",CH956)-1)))&lt;100,IF(AND(LEN(CH956)=9,ISERROR(FIND("-",LEFT(CH956,8))),ISNUMBER(-LEFT(CH956,8))),VALUE(LEFT(CH956,4)),VALUE(LEFT(CH956,FIND("-",CH956)-1)))+2000,IF(AND(LEN(CH956)=9,ISERROR(FIND("-",LEFT(CH956,8))),ISNUMBER(-LEFT(CH956,8))),VALUE(LEFT(CH956,4)),VALUE(LEFT(CH956,FIND("-",CH956)-1)))),""))</f>
        <v/>
      </c>
      <c r="CN956">
        <f>IF(CH956="","",IFERROR(IF(AND(LEN(CH956)=9,ISERROR(FIND("-",LEFT(CH956,8))),ISNUMBER(-LEFT(CH956,8))),VALUE(MID(CH956,5,2)),VALUE(MID(CH956,FIND("-",CH956)+1,FIND("-",CH956,FIND("-",CH956)+1)-FIND("-",CH956)-1))),""))</f>
        <v/>
      </c>
      <c r="CO956">
        <f>IF(CH956="","",IFERROR(IF(AND(LEN(CH956)=9,ISERROR(FIND("-",LEFT(CH956,8))),ISNUMBER(-LEFT(CH956,8))),VALUE(MID(CH956,7,2)),VALUE(MID(CH956,FIND("-",CH956,FIND("-",CH956)+1)+1,FIND("-",CH956,FIND("-",CH956,FIND("-",CH956)+1)+1)-FIND("-",CH956,FIND("-",CH956)+1)-1))),""))</f>
        <v/>
      </c>
    </row>
    <row r="957">
      <c r="CH957">
        <f>IF(ISTEXT('월 가계부'!A957),SUBSTITUTE(SUBSTITUTE(SUBSTITUTE(SUBSTITUTE(SUBSTITUTE(SUBSTITUTE(SUBSTITUTE(SUBSTITUTE(SUBSTITUTE(TRIM('월 가계부'!A957),"년","-"),"월","-"),"일",""),".","-"),"/","-")," ","-"),"--","-"),"--","-"),"--","-")&amp;"-","")</f>
        <v/>
      </c>
      <c r="CI957">
        <f>IFERROR(IF('월 가계부'!A957="","",IF(ISNUMBER('월 가계부'!A957),IF(AND('월 가계부'!A957&gt;=19000101,'월 가계부'!A957&lt;=21001231),IF(AND(MOD(INT('월 가계부'!A957/100),100)&gt;=1,MOD(INT('월 가계부'!A957/100),100)&lt;=12,MOD(INT('월 가계부'!A957),100)&gt;=1,MOD(INT('월 가계부'!A957),100)&lt;=31),IF(MONTH(DATE(INT('월 가계부'!A957/10000),MOD(INT('월 가계부'!A957/100),100),MOD(INT('월 가계부'!A957),100)))=MOD(INT('월 가계부'!A957/100),100),DATE(INT('월 가계부'!A957/10000),MOD(INT('월 가계부'!A957/100),100),MOD(INT('월 가계부'!A957),100)),""),""),IF(AND('월 가계부'!A957&gt;=36526,'월 가계부'!A957&lt;73051),INT('월 가계부'!A957),"")),IF(OR(CM957="",CN957="",CO957=""),"",IF(AND(CM957&gt;=2000,CM957&lt;=2099,CN957&gt;=1,CN957&lt;=12,CO957&gt;=1,CO957&lt;=31),IF(MONTH(DATE(CM957,CN957,CO957))=CN957,DATE(CM957,CN957,CO957),""),"")))),"")</f>
        <v/>
      </c>
      <c r="CJ957">
        <f>IFERROR(IF('월 가계부'!C957="","",IF(ISNUMBER('월 가계부'!C957),'월 가계부'!C957,VALUE(SUBSTITUTE(SUBSTITUTE(SUBSTITUTE(SUBSTITUTE(TRIM('월 가계부'!C957),",",""),"원","")," ",""),"−","-")))),"")</f>
        <v/>
      </c>
      <c r="CK957">
        <f>IF(ISNUMBER(CI957),IF(CI957&lt;$B$13,CI957,""),"")</f>
        <v/>
      </c>
      <c r="CM957">
        <f>IF(CH957="","",IFERROR(IF(IF(AND(LEN(CH957)=9,ISERROR(FIND("-",LEFT(CH957,8))),ISNUMBER(-LEFT(CH957,8))),VALUE(LEFT(CH957,4)),VALUE(LEFT(CH957,FIND("-",CH957)-1)))&lt;100,IF(AND(LEN(CH957)=9,ISERROR(FIND("-",LEFT(CH957,8))),ISNUMBER(-LEFT(CH957,8))),VALUE(LEFT(CH957,4)),VALUE(LEFT(CH957,FIND("-",CH957)-1)))+2000,IF(AND(LEN(CH957)=9,ISERROR(FIND("-",LEFT(CH957,8))),ISNUMBER(-LEFT(CH957,8))),VALUE(LEFT(CH957,4)),VALUE(LEFT(CH957,FIND("-",CH957)-1)))),""))</f>
        <v/>
      </c>
      <c r="CN957">
        <f>IF(CH957="","",IFERROR(IF(AND(LEN(CH957)=9,ISERROR(FIND("-",LEFT(CH957,8))),ISNUMBER(-LEFT(CH957,8))),VALUE(MID(CH957,5,2)),VALUE(MID(CH957,FIND("-",CH957)+1,FIND("-",CH957,FIND("-",CH957)+1)-FIND("-",CH957)-1))),""))</f>
        <v/>
      </c>
      <c r="CO957">
        <f>IF(CH957="","",IFERROR(IF(AND(LEN(CH957)=9,ISERROR(FIND("-",LEFT(CH957,8))),ISNUMBER(-LEFT(CH957,8))),VALUE(MID(CH957,7,2)),VALUE(MID(CH957,FIND("-",CH957,FIND("-",CH957)+1)+1,FIND("-",CH957,FIND("-",CH957,FIND("-",CH957)+1)+1)-FIND("-",CH957,FIND("-",CH957)+1)-1))),""))</f>
        <v/>
      </c>
    </row>
    <row r="958">
      <c r="CH958">
        <f>IF(ISTEXT('월 가계부'!A958),SUBSTITUTE(SUBSTITUTE(SUBSTITUTE(SUBSTITUTE(SUBSTITUTE(SUBSTITUTE(SUBSTITUTE(SUBSTITUTE(SUBSTITUTE(TRIM('월 가계부'!A958),"년","-"),"월","-"),"일",""),".","-"),"/","-")," ","-"),"--","-"),"--","-"),"--","-")&amp;"-","")</f>
        <v/>
      </c>
      <c r="CI958">
        <f>IFERROR(IF('월 가계부'!A958="","",IF(ISNUMBER('월 가계부'!A958),IF(AND('월 가계부'!A958&gt;=19000101,'월 가계부'!A958&lt;=21001231),IF(AND(MOD(INT('월 가계부'!A958/100),100)&gt;=1,MOD(INT('월 가계부'!A958/100),100)&lt;=12,MOD(INT('월 가계부'!A958),100)&gt;=1,MOD(INT('월 가계부'!A958),100)&lt;=31),IF(MONTH(DATE(INT('월 가계부'!A958/10000),MOD(INT('월 가계부'!A958/100),100),MOD(INT('월 가계부'!A958),100)))=MOD(INT('월 가계부'!A958/100),100),DATE(INT('월 가계부'!A958/10000),MOD(INT('월 가계부'!A958/100),100),MOD(INT('월 가계부'!A958),100)),""),""),IF(AND('월 가계부'!A958&gt;=36526,'월 가계부'!A958&lt;73051),INT('월 가계부'!A958),"")),IF(OR(CM958="",CN958="",CO958=""),"",IF(AND(CM958&gt;=2000,CM958&lt;=2099,CN958&gt;=1,CN958&lt;=12,CO958&gt;=1,CO958&lt;=31),IF(MONTH(DATE(CM958,CN958,CO958))=CN958,DATE(CM958,CN958,CO958),""),"")))),"")</f>
        <v/>
      </c>
      <c r="CJ958">
        <f>IFERROR(IF('월 가계부'!C958="","",IF(ISNUMBER('월 가계부'!C958),'월 가계부'!C958,VALUE(SUBSTITUTE(SUBSTITUTE(SUBSTITUTE(SUBSTITUTE(TRIM('월 가계부'!C958),",",""),"원","")," ",""),"−","-")))),"")</f>
        <v/>
      </c>
      <c r="CK958">
        <f>IF(ISNUMBER(CI958),IF(CI958&lt;$B$13,CI958,""),"")</f>
        <v/>
      </c>
      <c r="CM958">
        <f>IF(CH958="","",IFERROR(IF(IF(AND(LEN(CH958)=9,ISERROR(FIND("-",LEFT(CH958,8))),ISNUMBER(-LEFT(CH958,8))),VALUE(LEFT(CH958,4)),VALUE(LEFT(CH958,FIND("-",CH958)-1)))&lt;100,IF(AND(LEN(CH958)=9,ISERROR(FIND("-",LEFT(CH958,8))),ISNUMBER(-LEFT(CH958,8))),VALUE(LEFT(CH958,4)),VALUE(LEFT(CH958,FIND("-",CH958)-1)))+2000,IF(AND(LEN(CH958)=9,ISERROR(FIND("-",LEFT(CH958,8))),ISNUMBER(-LEFT(CH958,8))),VALUE(LEFT(CH958,4)),VALUE(LEFT(CH958,FIND("-",CH958)-1)))),""))</f>
        <v/>
      </c>
      <c r="CN958">
        <f>IF(CH958="","",IFERROR(IF(AND(LEN(CH958)=9,ISERROR(FIND("-",LEFT(CH958,8))),ISNUMBER(-LEFT(CH958,8))),VALUE(MID(CH958,5,2)),VALUE(MID(CH958,FIND("-",CH958)+1,FIND("-",CH958,FIND("-",CH958)+1)-FIND("-",CH958)-1))),""))</f>
        <v/>
      </c>
      <c r="CO958">
        <f>IF(CH958="","",IFERROR(IF(AND(LEN(CH958)=9,ISERROR(FIND("-",LEFT(CH958,8))),ISNUMBER(-LEFT(CH958,8))),VALUE(MID(CH958,7,2)),VALUE(MID(CH958,FIND("-",CH958,FIND("-",CH958)+1)+1,FIND("-",CH958,FIND("-",CH958,FIND("-",CH958)+1)+1)-FIND("-",CH958,FIND("-",CH958)+1)-1))),""))</f>
        <v/>
      </c>
    </row>
    <row r="959">
      <c r="CH959">
        <f>IF(ISTEXT('월 가계부'!A959),SUBSTITUTE(SUBSTITUTE(SUBSTITUTE(SUBSTITUTE(SUBSTITUTE(SUBSTITUTE(SUBSTITUTE(SUBSTITUTE(SUBSTITUTE(TRIM('월 가계부'!A959),"년","-"),"월","-"),"일",""),".","-"),"/","-")," ","-"),"--","-"),"--","-"),"--","-")&amp;"-","")</f>
        <v/>
      </c>
      <c r="CI959">
        <f>IFERROR(IF('월 가계부'!A959="","",IF(ISNUMBER('월 가계부'!A959),IF(AND('월 가계부'!A959&gt;=19000101,'월 가계부'!A959&lt;=21001231),IF(AND(MOD(INT('월 가계부'!A959/100),100)&gt;=1,MOD(INT('월 가계부'!A959/100),100)&lt;=12,MOD(INT('월 가계부'!A959),100)&gt;=1,MOD(INT('월 가계부'!A959),100)&lt;=31),IF(MONTH(DATE(INT('월 가계부'!A959/10000),MOD(INT('월 가계부'!A959/100),100),MOD(INT('월 가계부'!A959),100)))=MOD(INT('월 가계부'!A959/100),100),DATE(INT('월 가계부'!A959/10000),MOD(INT('월 가계부'!A959/100),100),MOD(INT('월 가계부'!A959),100)),""),""),IF(AND('월 가계부'!A959&gt;=36526,'월 가계부'!A959&lt;73051),INT('월 가계부'!A959),"")),IF(OR(CM959="",CN959="",CO959=""),"",IF(AND(CM959&gt;=2000,CM959&lt;=2099,CN959&gt;=1,CN959&lt;=12,CO959&gt;=1,CO959&lt;=31),IF(MONTH(DATE(CM959,CN959,CO959))=CN959,DATE(CM959,CN959,CO959),""),"")))),"")</f>
        <v/>
      </c>
      <c r="CJ959">
        <f>IFERROR(IF('월 가계부'!C959="","",IF(ISNUMBER('월 가계부'!C959),'월 가계부'!C959,VALUE(SUBSTITUTE(SUBSTITUTE(SUBSTITUTE(SUBSTITUTE(TRIM('월 가계부'!C959),",",""),"원","")," ",""),"−","-")))),"")</f>
        <v/>
      </c>
      <c r="CK959">
        <f>IF(ISNUMBER(CI959),IF(CI959&lt;$B$13,CI959,""),"")</f>
        <v/>
      </c>
      <c r="CM959">
        <f>IF(CH959="","",IFERROR(IF(IF(AND(LEN(CH959)=9,ISERROR(FIND("-",LEFT(CH959,8))),ISNUMBER(-LEFT(CH959,8))),VALUE(LEFT(CH959,4)),VALUE(LEFT(CH959,FIND("-",CH959)-1)))&lt;100,IF(AND(LEN(CH959)=9,ISERROR(FIND("-",LEFT(CH959,8))),ISNUMBER(-LEFT(CH959,8))),VALUE(LEFT(CH959,4)),VALUE(LEFT(CH959,FIND("-",CH959)-1)))+2000,IF(AND(LEN(CH959)=9,ISERROR(FIND("-",LEFT(CH959,8))),ISNUMBER(-LEFT(CH959,8))),VALUE(LEFT(CH959,4)),VALUE(LEFT(CH959,FIND("-",CH959)-1)))),""))</f>
        <v/>
      </c>
      <c r="CN959">
        <f>IF(CH959="","",IFERROR(IF(AND(LEN(CH959)=9,ISERROR(FIND("-",LEFT(CH959,8))),ISNUMBER(-LEFT(CH959,8))),VALUE(MID(CH959,5,2)),VALUE(MID(CH959,FIND("-",CH959)+1,FIND("-",CH959,FIND("-",CH959)+1)-FIND("-",CH959)-1))),""))</f>
        <v/>
      </c>
      <c r="CO959">
        <f>IF(CH959="","",IFERROR(IF(AND(LEN(CH959)=9,ISERROR(FIND("-",LEFT(CH959,8))),ISNUMBER(-LEFT(CH959,8))),VALUE(MID(CH959,7,2)),VALUE(MID(CH959,FIND("-",CH959,FIND("-",CH959)+1)+1,FIND("-",CH959,FIND("-",CH959,FIND("-",CH959)+1)+1)-FIND("-",CH959,FIND("-",CH959)+1)-1))),""))</f>
        <v/>
      </c>
    </row>
    <row r="960">
      <c r="CH960">
        <f>IF(ISTEXT('월 가계부'!A960),SUBSTITUTE(SUBSTITUTE(SUBSTITUTE(SUBSTITUTE(SUBSTITUTE(SUBSTITUTE(SUBSTITUTE(SUBSTITUTE(SUBSTITUTE(TRIM('월 가계부'!A960),"년","-"),"월","-"),"일",""),".","-"),"/","-")," ","-"),"--","-"),"--","-"),"--","-")&amp;"-","")</f>
        <v/>
      </c>
      <c r="CI960">
        <f>IFERROR(IF('월 가계부'!A960="","",IF(ISNUMBER('월 가계부'!A960),IF(AND('월 가계부'!A960&gt;=19000101,'월 가계부'!A960&lt;=21001231),IF(AND(MOD(INT('월 가계부'!A960/100),100)&gt;=1,MOD(INT('월 가계부'!A960/100),100)&lt;=12,MOD(INT('월 가계부'!A960),100)&gt;=1,MOD(INT('월 가계부'!A960),100)&lt;=31),IF(MONTH(DATE(INT('월 가계부'!A960/10000),MOD(INT('월 가계부'!A960/100),100),MOD(INT('월 가계부'!A960),100)))=MOD(INT('월 가계부'!A960/100),100),DATE(INT('월 가계부'!A960/10000),MOD(INT('월 가계부'!A960/100),100),MOD(INT('월 가계부'!A960),100)),""),""),IF(AND('월 가계부'!A960&gt;=36526,'월 가계부'!A960&lt;73051),INT('월 가계부'!A960),"")),IF(OR(CM960="",CN960="",CO960=""),"",IF(AND(CM960&gt;=2000,CM960&lt;=2099,CN960&gt;=1,CN960&lt;=12,CO960&gt;=1,CO960&lt;=31),IF(MONTH(DATE(CM960,CN960,CO960))=CN960,DATE(CM960,CN960,CO960),""),"")))),"")</f>
        <v/>
      </c>
      <c r="CJ960">
        <f>IFERROR(IF('월 가계부'!C960="","",IF(ISNUMBER('월 가계부'!C960),'월 가계부'!C960,VALUE(SUBSTITUTE(SUBSTITUTE(SUBSTITUTE(SUBSTITUTE(TRIM('월 가계부'!C960),",",""),"원","")," ",""),"−","-")))),"")</f>
        <v/>
      </c>
      <c r="CK960">
        <f>IF(ISNUMBER(CI960),IF(CI960&lt;$B$13,CI960,""),"")</f>
        <v/>
      </c>
      <c r="CM960">
        <f>IF(CH960="","",IFERROR(IF(IF(AND(LEN(CH960)=9,ISERROR(FIND("-",LEFT(CH960,8))),ISNUMBER(-LEFT(CH960,8))),VALUE(LEFT(CH960,4)),VALUE(LEFT(CH960,FIND("-",CH960)-1)))&lt;100,IF(AND(LEN(CH960)=9,ISERROR(FIND("-",LEFT(CH960,8))),ISNUMBER(-LEFT(CH960,8))),VALUE(LEFT(CH960,4)),VALUE(LEFT(CH960,FIND("-",CH960)-1)))+2000,IF(AND(LEN(CH960)=9,ISERROR(FIND("-",LEFT(CH960,8))),ISNUMBER(-LEFT(CH960,8))),VALUE(LEFT(CH960,4)),VALUE(LEFT(CH960,FIND("-",CH960)-1)))),""))</f>
        <v/>
      </c>
      <c r="CN960">
        <f>IF(CH960="","",IFERROR(IF(AND(LEN(CH960)=9,ISERROR(FIND("-",LEFT(CH960,8))),ISNUMBER(-LEFT(CH960,8))),VALUE(MID(CH960,5,2)),VALUE(MID(CH960,FIND("-",CH960)+1,FIND("-",CH960,FIND("-",CH960)+1)-FIND("-",CH960)-1))),""))</f>
        <v/>
      </c>
      <c r="CO960">
        <f>IF(CH960="","",IFERROR(IF(AND(LEN(CH960)=9,ISERROR(FIND("-",LEFT(CH960,8))),ISNUMBER(-LEFT(CH960,8))),VALUE(MID(CH960,7,2)),VALUE(MID(CH960,FIND("-",CH960,FIND("-",CH960)+1)+1,FIND("-",CH960,FIND("-",CH960,FIND("-",CH960)+1)+1)-FIND("-",CH960,FIND("-",CH960)+1)-1))),""))</f>
        <v/>
      </c>
    </row>
    <row r="961">
      <c r="CH961">
        <f>IF(ISTEXT('월 가계부'!A961),SUBSTITUTE(SUBSTITUTE(SUBSTITUTE(SUBSTITUTE(SUBSTITUTE(SUBSTITUTE(SUBSTITUTE(SUBSTITUTE(SUBSTITUTE(TRIM('월 가계부'!A961),"년","-"),"월","-"),"일",""),".","-"),"/","-")," ","-"),"--","-"),"--","-"),"--","-")&amp;"-","")</f>
        <v/>
      </c>
      <c r="CI961">
        <f>IFERROR(IF('월 가계부'!A961="","",IF(ISNUMBER('월 가계부'!A961),IF(AND('월 가계부'!A961&gt;=19000101,'월 가계부'!A961&lt;=21001231),IF(AND(MOD(INT('월 가계부'!A961/100),100)&gt;=1,MOD(INT('월 가계부'!A961/100),100)&lt;=12,MOD(INT('월 가계부'!A961),100)&gt;=1,MOD(INT('월 가계부'!A961),100)&lt;=31),IF(MONTH(DATE(INT('월 가계부'!A961/10000),MOD(INT('월 가계부'!A961/100),100),MOD(INT('월 가계부'!A961),100)))=MOD(INT('월 가계부'!A961/100),100),DATE(INT('월 가계부'!A961/10000),MOD(INT('월 가계부'!A961/100),100),MOD(INT('월 가계부'!A961),100)),""),""),IF(AND('월 가계부'!A961&gt;=36526,'월 가계부'!A961&lt;73051),INT('월 가계부'!A961),"")),IF(OR(CM961="",CN961="",CO961=""),"",IF(AND(CM961&gt;=2000,CM961&lt;=2099,CN961&gt;=1,CN961&lt;=12,CO961&gt;=1,CO961&lt;=31),IF(MONTH(DATE(CM961,CN961,CO961))=CN961,DATE(CM961,CN961,CO961),""),"")))),"")</f>
        <v/>
      </c>
      <c r="CJ961">
        <f>IFERROR(IF('월 가계부'!C961="","",IF(ISNUMBER('월 가계부'!C961),'월 가계부'!C961,VALUE(SUBSTITUTE(SUBSTITUTE(SUBSTITUTE(SUBSTITUTE(TRIM('월 가계부'!C961),",",""),"원","")," ",""),"−","-")))),"")</f>
        <v/>
      </c>
      <c r="CK961">
        <f>IF(ISNUMBER(CI961),IF(CI961&lt;$B$13,CI961,""),"")</f>
        <v/>
      </c>
      <c r="CM961">
        <f>IF(CH961="","",IFERROR(IF(IF(AND(LEN(CH961)=9,ISERROR(FIND("-",LEFT(CH961,8))),ISNUMBER(-LEFT(CH961,8))),VALUE(LEFT(CH961,4)),VALUE(LEFT(CH961,FIND("-",CH961)-1)))&lt;100,IF(AND(LEN(CH961)=9,ISERROR(FIND("-",LEFT(CH961,8))),ISNUMBER(-LEFT(CH961,8))),VALUE(LEFT(CH961,4)),VALUE(LEFT(CH961,FIND("-",CH961)-1)))+2000,IF(AND(LEN(CH961)=9,ISERROR(FIND("-",LEFT(CH961,8))),ISNUMBER(-LEFT(CH961,8))),VALUE(LEFT(CH961,4)),VALUE(LEFT(CH961,FIND("-",CH961)-1)))),""))</f>
        <v/>
      </c>
      <c r="CN961">
        <f>IF(CH961="","",IFERROR(IF(AND(LEN(CH961)=9,ISERROR(FIND("-",LEFT(CH961,8))),ISNUMBER(-LEFT(CH961,8))),VALUE(MID(CH961,5,2)),VALUE(MID(CH961,FIND("-",CH961)+1,FIND("-",CH961,FIND("-",CH961)+1)-FIND("-",CH961)-1))),""))</f>
        <v/>
      </c>
      <c r="CO961">
        <f>IF(CH961="","",IFERROR(IF(AND(LEN(CH961)=9,ISERROR(FIND("-",LEFT(CH961,8))),ISNUMBER(-LEFT(CH961,8))),VALUE(MID(CH961,7,2)),VALUE(MID(CH961,FIND("-",CH961,FIND("-",CH961)+1)+1,FIND("-",CH961,FIND("-",CH961,FIND("-",CH961)+1)+1)-FIND("-",CH961,FIND("-",CH961)+1)-1))),""))</f>
        <v/>
      </c>
    </row>
    <row r="962">
      <c r="CH962">
        <f>IF(ISTEXT('월 가계부'!A962),SUBSTITUTE(SUBSTITUTE(SUBSTITUTE(SUBSTITUTE(SUBSTITUTE(SUBSTITUTE(SUBSTITUTE(SUBSTITUTE(SUBSTITUTE(TRIM('월 가계부'!A962),"년","-"),"월","-"),"일",""),".","-"),"/","-")," ","-"),"--","-"),"--","-"),"--","-")&amp;"-","")</f>
        <v/>
      </c>
      <c r="CI962">
        <f>IFERROR(IF('월 가계부'!A962="","",IF(ISNUMBER('월 가계부'!A962),IF(AND('월 가계부'!A962&gt;=19000101,'월 가계부'!A962&lt;=21001231),IF(AND(MOD(INT('월 가계부'!A962/100),100)&gt;=1,MOD(INT('월 가계부'!A962/100),100)&lt;=12,MOD(INT('월 가계부'!A962),100)&gt;=1,MOD(INT('월 가계부'!A962),100)&lt;=31),IF(MONTH(DATE(INT('월 가계부'!A962/10000),MOD(INT('월 가계부'!A962/100),100),MOD(INT('월 가계부'!A962),100)))=MOD(INT('월 가계부'!A962/100),100),DATE(INT('월 가계부'!A962/10000),MOD(INT('월 가계부'!A962/100),100),MOD(INT('월 가계부'!A962),100)),""),""),IF(AND('월 가계부'!A962&gt;=36526,'월 가계부'!A962&lt;73051),INT('월 가계부'!A962),"")),IF(OR(CM962="",CN962="",CO962=""),"",IF(AND(CM962&gt;=2000,CM962&lt;=2099,CN962&gt;=1,CN962&lt;=12,CO962&gt;=1,CO962&lt;=31),IF(MONTH(DATE(CM962,CN962,CO962))=CN962,DATE(CM962,CN962,CO962),""),"")))),"")</f>
        <v/>
      </c>
      <c r="CJ962">
        <f>IFERROR(IF('월 가계부'!C962="","",IF(ISNUMBER('월 가계부'!C962),'월 가계부'!C962,VALUE(SUBSTITUTE(SUBSTITUTE(SUBSTITUTE(SUBSTITUTE(TRIM('월 가계부'!C962),",",""),"원","")," ",""),"−","-")))),"")</f>
        <v/>
      </c>
      <c r="CK962">
        <f>IF(ISNUMBER(CI962),IF(CI962&lt;$B$13,CI962,""),"")</f>
        <v/>
      </c>
      <c r="CM962">
        <f>IF(CH962="","",IFERROR(IF(IF(AND(LEN(CH962)=9,ISERROR(FIND("-",LEFT(CH962,8))),ISNUMBER(-LEFT(CH962,8))),VALUE(LEFT(CH962,4)),VALUE(LEFT(CH962,FIND("-",CH962)-1)))&lt;100,IF(AND(LEN(CH962)=9,ISERROR(FIND("-",LEFT(CH962,8))),ISNUMBER(-LEFT(CH962,8))),VALUE(LEFT(CH962,4)),VALUE(LEFT(CH962,FIND("-",CH962)-1)))+2000,IF(AND(LEN(CH962)=9,ISERROR(FIND("-",LEFT(CH962,8))),ISNUMBER(-LEFT(CH962,8))),VALUE(LEFT(CH962,4)),VALUE(LEFT(CH962,FIND("-",CH962)-1)))),""))</f>
        <v/>
      </c>
      <c r="CN962">
        <f>IF(CH962="","",IFERROR(IF(AND(LEN(CH962)=9,ISERROR(FIND("-",LEFT(CH962,8))),ISNUMBER(-LEFT(CH962,8))),VALUE(MID(CH962,5,2)),VALUE(MID(CH962,FIND("-",CH962)+1,FIND("-",CH962,FIND("-",CH962)+1)-FIND("-",CH962)-1))),""))</f>
        <v/>
      </c>
      <c r="CO962">
        <f>IF(CH962="","",IFERROR(IF(AND(LEN(CH962)=9,ISERROR(FIND("-",LEFT(CH962,8))),ISNUMBER(-LEFT(CH962,8))),VALUE(MID(CH962,7,2)),VALUE(MID(CH962,FIND("-",CH962,FIND("-",CH962)+1)+1,FIND("-",CH962,FIND("-",CH962,FIND("-",CH962)+1)+1)-FIND("-",CH962,FIND("-",CH962)+1)-1))),""))</f>
        <v/>
      </c>
    </row>
    <row r="963">
      <c r="CH963">
        <f>IF(ISTEXT('월 가계부'!A963),SUBSTITUTE(SUBSTITUTE(SUBSTITUTE(SUBSTITUTE(SUBSTITUTE(SUBSTITUTE(SUBSTITUTE(SUBSTITUTE(SUBSTITUTE(TRIM('월 가계부'!A963),"년","-"),"월","-"),"일",""),".","-"),"/","-")," ","-"),"--","-"),"--","-"),"--","-")&amp;"-","")</f>
        <v/>
      </c>
      <c r="CI963">
        <f>IFERROR(IF('월 가계부'!A963="","",IF(ISNUMBER('월 가계부'!A963),IF(AND('월 가계부'!A963&gt;=19000101,'월 가계부'!A963&lt;=21001231),IF(AND(MOD(INT('월 가계부'!A963/100),100)&gt;=1,MOD(INT('월 가계부'!A963/100),100)&lt;=12,MOD(INT('월 가계부'!A963),100)&gt;=1,MOD(INT('월 가계부'!A963),100)&lt;=31),IF(MONTH(DATE(INT('월 가계부'!A963/10000),MOD(INT('월 가계부'!A963/100),100),MOD(INT('월 가계부'!A963),100)))=MOD(INT('월 가계부'!A963/100),100),DATE(INT('월 가계부'!A963/10000),MOD(INT('월 가계부'!A963/100),100),MOD(INT('월 가계부'!A963),100)),""),""),IF(AND('월 가계부'!A963&gt;=36526,'월 가계부'!A963&lt;73051),INT('월 가계부'!A963),"")),IF(OR(CM963="",CN963="",CO963=""),"",IF(AND(CM963&gt;=2000,CM963&lt;=2099,CN963&gt;=1,CN963&lt;=12,CO963&gt;=1,CO963&lt;=31),IF(MONTH(DATE(CM963,CN963,CO963))=CN963,DATE(CM963,CN963,CO963),""),"")))),"")</f>
        <v/>
      </c>
      <c r="CJ963">
        <f>IFERROR(IF('월 가계부'!C963="","",IF(ISNUMBER('월 가계부'!C963),'월 가계부'!C963,VALUE(SUBSTITUTE(SUBSTITUTE(SUBSTITUTE(SUBSTITUTE(TRIM('월 가계부'!C963),",",""),"원","")," ",""),"−","-")))),"")</f>
        <v/>
      </c>
      <c r="CK963">
        <f>IF(ISNUMBER(CI963),IF(CI963&lt;$B$13,CI963,""),"")</f>
        <v/>
      </c>
      <c r="CM963">
        <f>IF(CH963="","",IFERROR(IF(IF(AND(LEN(CH963)=9,ISERROR(FIND("-",LEFT(CH963,8))),ISNUMBER(-LEFT(CH963,8))),VALUE(LEFT(CH963,4)),VALUE(LEFT(CH963,FIND("-",CH963)-1)))&lt;100,IF(AND(LEN(CH963)=9,ISERROR(FIND("-",LEFT(CH963,8))),ISNUMBER(-LEFT(CH963,8))),VALUE(LEFT(CH963,4)),VALUE(LEFT(CH963,FIND("-",CH963)-1)))+2000,IF(AND(LEN(CH963)=9,ISERROR(FIND("-",LEFT(CH963,8))),ISNUMBER(-LEFT(CH963,8))),VALUE(LEFT(CH963,4)),VALUE(LEFT(CH963,FIND("-",CH963)-1)))),""))</f>
        <v/>
      </c>
      <c r="CN963">
        <f>IF(CH963="","",IFERROR(IF(AND(LEN(CH963)=9,ISERROR(FIND("-",LEFT(CH963,8))),ISNUMBER(-LEFT(CH963,8))),VALUE(MID(CH963,5,2)),VALUE(MID(CH963,FIND("-",CH963)+1,FIND("-",CH963,FIND("-",CH963)+1)-FIND("-",CH963)-1))),""))</f>
        <v/>
      </c>
      <c r="CO963">
        <f>IF(CH963="","",IFERROR(IF(AND(LEN(CH963)=9,ISERROR(FIND("-",LEFT(CH963,8))),ISNUMBER(-LEFT(CH963,8))),VALUE(MID(CH963,7,2)),VALUE(MID(CH963,FIND("-",CH963,FIND("-",CH963)+1)+1,FIND("-",CH963,FIND("-",CH963,FIND("-",CH963)+1)+1)-FIND("-",CH963,FIND("-",CH963)+1)-1))),""))</f>
        <v/>
      </c>
    </row>
    <row r="964">
      <c r="CH964">
        <f>IF(ISTEXT('월 가계부'!A964),SUBSTITUTE(SUBSTITUTE(SUBSTITUTE(SUBSTITUTE(SUBSTITUTE(SUBSTITUTE(SUBSTITUTE(SUBSTITUTE(SUBSTITUTE(TRIM('월 가계부'!A964),"년","-"),"월","-"),"일",""),".","-"),"/","-")," ","-"),"--","-"),"--","-"),"--","-")&amp;"-","")</f>
        <v/>
      </c>
      <c r="CI964">
        <f>IFERROR(IF('월 가계부'!A964="","",IF(ISNUMBER('월 가계부'!A964),IF(AND('월 가계부'!A964&gt;=19000101,'월 가계부'!A964&lt;=21001231),IF(AND(MOD(INT('월 가계부'!A964/100),100)&gt;=1,MOD(INT('월 가계부'!A964/100),100)&lt;=12,MOD(INT('월 가계부'!A964),100)&gt;=1,MOD(INT('월 가계부'!A964),100)&lt;=31),IF(MONTH(DATE(INT('월 가계부'!A964/10000),MOD(INT('월 가계부'!A964/100),100),MOD(INT('월 가계부'!A964),100)))=MOD(INT('월 가계부'!A964/100),100),DATE(INT('월 가계부'!A964/10000),MOD(INT('월 가계부'!A964/100),100),MOD(INT('월 가계부'!A964),100)),""),""),IF(AND('월 가계부'!A964&gt;=36526,'월 가계부'!A964&lt;73051),INT('월 가계부'!A964),"")),IF(OR(CM964="",CN964="",CO964=""),"",IF(AND(CM964&gt;=2000,CM964&lt;=2099,CN964&gt;=1,CN964&lt;=12,CO964&gt;=1,CO964&lt;=31),IF(MONTH(DATE(CM964,CN964,CO964))=CN964,DATE(CM964,CN964,CO964),""),"")))),"")</f>
        <v/>
      </c>
      <c r="CJ964">
        <f>IFERROR(IF('월 가계부'!C964="","",IF(ISNUMBER('월 가계부'!C964),'월 가계부'!C964,VALUE(SUBSTITUTE(SUBSTITUTE(SUBSTITUTE(SUBSTITUTE(TRIM('월 가계부'!C964),",",""),"원","")," ",""),"−","-")))),"")</f>
        <v/>
      </c>
      <c r="CK964">
        <f>IF(ISNUMBER(CI964),IF(CI964&lt;$B$13,CI964,""),"")</f>
        <v/>
      </c>
      <c r="CM964">
        <f>IF(CH964="","",IFERROR(IF(IF(AND(LEN(CH964)=9,ISERROR(FIND("-",LEFT(CH964,8))),ISNUMBER(-LEFT(CH964,8))),VALUE(LEFT(CH964,4)),VALUE(LEFT(CH964,FIND("-",CH964)-1)))&lt;100,IF(AND(LEN(CH964)=9,ISERROR(FIND("-",LEFT(CH964,8))),ISNUMBER(-LEFT(CH964,8))),VALUE(LEFT(CH964,4)),VALUE(LEFT(CH964,FIND("-",CH964)-1)))+2000,IF(AND(LEN(CH964)=9,ISERROR(FIND("-",LEFT(CH964,8))),ISNUMBER(-LEFT(CH964,8))),VALUE(LEFT(CH964,4)),VALUE(LEFT(CH964,FIND("-",CH964)-1)))),""))</f>
        <v/>
      </c>
      <c r="CN964">
        <f>IF(CH964="","",IFERROR(IF(AND(LEN(CH964)=9,ISERROR(FIND("-",LEFT(CH964,8))),ISNUMBER(-LEFT(CH964,8))),VALUE(MID(CH964,5,2)),VALUE(MID(CH964,FIND("-",CH964)+1,FIND("-",CH964,FIND("-",CH964)+1)-FIND("-",CH964)-1))),""))</f>
        <v/>
      </c>
      <c r="CO964">
        <f>IF(CH964="","",IFERROR(IF(AND(LEN(CH964)=9,ISERROR(FIND("-",LEFT(CH964,8))),ISNUMBER(-LEFT(CH964,8))),VALUE(MID(CH964,7,2)),VALUE(MID(CH964,FIND("-",CH964,FIND("-",CH964)+1)+1,FIND("-",CH964,FIND("-",CH964,FIND("-",CH964)+1)+1)-FIND("-",CH964,FIND("-",CH964)+1)-1))),""))</f>
        <v/>
      </c>
    </row>
    <row r="965">
      <c r="CH965">
        <f>IF(ISTEXT('월 가계부'!A965),SUBSTITUTE(SUBSTITUTE(SUBSTITUTE(SUBSTITUTE(SUBSTITUTE(SUBSTITUTE(SUBSTITUTE(SUBSTITUTE(SUBSTITUTE(TRIM('월 가계부'!A965),"년","-"),"월","-"),"일",""),".","-"),"/","-")," ","-"),"--","-"),"--","-"),"--","-")&amp;"-","")</f>
        <v/>
      </c>
      <c r="CI965">
        <f>IFERROR(IF('월 가계부'!A965="","",IF(ISNUMBER('월 가계부'!A965),IF(AND('월 가계부'!A965&gt;=19000101,'월 가계부'!A965&lt;=21001231),IF(AND(MOD(INT('월 가계부'!A965/100),100)&gt;=1,MOD(INT('월 가계부'!A965/100),100)&lt;=12,MOD(INT('월 가계부'!A965),100)&gt;=1,MOD(INT('월 가계부'!A965),100)&lt;=31),IF(MONTH(DATE(INT('월 가계부'!A965/10000),MOD(INT('월 가계부'!A965/100),100),MOD(INT('월 가계부'!A965),100)))=MOD(INT('월 가계부'!A965/100),100),DATE(INT('월 가계부'!A965/10000),MOD(INT('월 가계부'!A965/100),100),MOD(INT('월 가계부'!A965),100)),""),""),IF(AND('월 가계부'!A965&gt;=36526,'월 가계부'!A965&lt;73051),INT('월 가계부'!A965),"")),IF(OR(CM965="",CN965="",CO965=""),"",IF(AND(CM965&gt;=2000,CM965&lt;=2099,CN965&gt;=1,CN965&lt;=12,CO965&gt;=1,CO965&lt;=31),IF(MONTH(DATE(CM965,CN965,CO965))=CN965,DATE(CM965,CN965,CO965),""),"")))),"")</f>
        <v/>
      </c>
      <c r="CJ965">
        <f>IFERROR(IF('월 가계부'!C965="","",IF(ISNUMBER('월 가계부'!C965),'월 가계부'!C965,VALUE(SUBSTITUTE(SUBSTITUTE(SUBSTITUTE(SUBSTITUTE(TRIM('월 가계부'!C965),",",""),"원","")," ",""),"−","-")))),"")</f>
        <v/>
      </c>
      <c r="CK965">
        <f>IF(ISNUMBER(CI965),IF(CI965&lt;$B$13,CI965,""),"")</f>
        <v/>
      </c>
      <c r="CM965">
        <f>IF(CH965="","",IFERROR(IF(IF(AND(LEN(CH965)=9,ISERROR(FIND("-",LEFT(CH965,8))),ISNUMBER(-LEFT(CH965,8))),VALUE(LEFT(CH965,4)),VALUE(LEFT(CH965,FIND("-",CH965)-1)))&lt;100,IF(AND(LEN(CH965)=9,ISERROR(FIND("-",LEFT(CH965,8))),ISNUMBER(-LEFT(CH965,8))),VALUE(LEFT(CH965,4)),VALUE(LEFT(CH965,FIND("-",CH965)-1)))+2000,IF(AND(LEN(CH965)=9,ISERROR(FIND("-",LEFT(CH965,8))),ISNUMBER(-LEFT(CH965,8))),VALUE(LEFT(CH965,4)),VALUE(LEFT(CH965,FIND("-",CH965)-1)))),""))</f>
        <v/>
      </c>
      <c r="CN965">
        <f>IF(CH965="","",IFERROR(IF(AND(LEN(CH965)=9,ISERROR(FIND("-",LEFT(CH965,8))),ISNUMBER(-LEFT(CH965,8))),VALUE(MID(CH965,5,2)),VALUE(MID(CH965,FIND("-",CH965)+1,FIND("-",CH965,FIND("-",CH965)+1)-FIND("-",CH965)-1))),""))</f>
        <v/>
      </c>
      <c r="CO965">
        <f>IF(CH965="","",IFERROR(IF(AND(LEN(CH965)=9,ISERROR(FIND("-",LEFT(CH965,8))),ISNUMBER(-LEFT(CH965,8))),VALUE(MID(CH965,7,2)),VALUE(MID(CH965,FIND("-",CH965,FIND("-",CH965)+1)+1,FIND("-",CH965,FIND("-",CH965,FIND("-",CH965)+1)+1)-FIND("-",CH965,FIND("-",CH965)+1)-1))),""))</f>
        <v/>
      </c>
    </row>
    <row r="966">
      <c r="CH966">
        <f>IF(ISTEXT('월 가계부'!A966),SUBSTITUTE(SUBSTITUTE(SUBSTITUTE(SUBSTITUTE(SUBSTITUTE(SUBSTITUTE(SUBSTITUTE(SUBSTITUTE(SUBSTITUTE(TRIM('월 가계부'!A966),"년","-"),"월","-"),"일",""),".","-"),"/","-")," ","-"),"--","-"),"--","-"),"--","-")&amp;"-","")</f>
        <v/>
      </c>
      <c r="CI966">
        <f>IFERROR(IF('월 가계부'!A966="","",IF(ISNUMBER('월 가계부'!A966),IF(AND('월 가계부'!A966&gt;=19000101,'월 가계부'!A966&lt;=21001231),IF(AND(MOD(INT('월 가계부'!A966/100),100)&gt;=1,MOD(INT('월 가계부'!A966/100),100)&lt;=12,MOD(INT('월 가계부'!A966),100)&gt;=1,MOD(INT('월 가계부'!A966),100)&lt;=31),IF(MONTH(DATE(INT('월 가계부'!A966/10000),MOD(INT('월 가계부'!A966/100),100),MOD(INT('월 가계부'!A966),100)))=MOD(INT('월 가계부'!A966/100),100),DATE(INT('월 가계부'!A966/10000),MOD(INT('월 가계부'!A966/100),100),MOD(INT('월 가계부'!A966),100)),""),""),IF(AND('월 가계부'!A966&gt;=36526,'월 가계부'!A966&lt;73051),INT('월 가계부'!A966),"")),IF(OR(CM966="",CN966="",CO966=""),"",IF(AND(CM966&gt;=2000,CM966&lt;=2099,CN966&gt;=1,CN966&lt;=12,CO966&gt;=1,CO966&lt;=31),IF(MONTH(DATE(CM966,CN966,CO966))=CN966,DATE(CM966,CN966,CO966),""),"")))),"")</f>
        <v/>
      </c>
      <c r="CJ966">
        <f>IFERROR(IF('월 가계부'!C966="","",IF(ISNUMBER('월 가계부'!C966),'월 가계부'!C966,VALUE(SUBSTITUTE(SUBSTITUTE(SUBSTITUTE(SUBSTITUTE(TRIM('월 가계부'!C966),",",""),"원","")," ",""),"−","-")))),"")</f>
        <v/>
      </c>
      <c r="CK966">
        <f>IF(ISNUMBER(CI966),IF(CI966&lt;$B$13,CI966,""),"")</f>
        <v/>
      </c>
      <c r="CM966">
        <f>IF(CH966="","",IFERROR(IF(IF(AND(LEN(CH966)=9,ISERROR(FIND("-",LEFT(CH966,8))),ISNUMBER(-LEFT(CH966,8))),VALUE(LEFT(CH966,4)),VALUE(LEFT(CH966,FIND("-",CH966)-1)))&lt;100,IF(AND(LEN(CH966)=9,ISERROR(FIND("-",LEFT(CH966,8))),ISNUMBER(-LEFT(CH966,8))),VALUE(LEFT(CH966,4)),VALUE(LEFT(CH966,FIND("-",CH966)-1)))+2000,IF(AND(LEN(CH966)=9,ISERROR(FIND("-",LEFT(CH966,8))),ISNUMBER(-LEFT(CH966,8))),VALUE(LEFT(CH966,4)),VALUE(LEFT(CH966,FIND("-",CH966)-1)))),""))</f>
        <v/>
      </c>
      <c r="CN966">
        <f>IF(CH966="","",IFERROR(IF(AND(LEN(CH966)=9,ISERROR(FIND("-",LEFT(CH966,8))),ISNUMBER(-LEFT(CH966,8))),VALUE(MID(CH966,5,2)),VALUE(MID(CH966,FIND("-",CH966)+1,FIND("-",CH966,FIND("-",CH966)+1)-FIND("-",CH966)-1))),""))</f>
        <v/>
      </c>
      <c r="CO966">
        <f>IF(CH966="","",IFERROR(IF(AND(LEN(CH966)=9,ISERROR(FIND("-",LEFT(CH966,8))),ISNUMBER(-LEFT(CH966,8))),VALUE(MID(CH966,7,2)),VALUE(MID(CH966,FIND("-",CH966,FIND("-",CH966)+1)+1,FIND("-",CH966,FIND("-",CH966,FIND("-",CH966)+1)+1)-FIND("-",CH966,FIND("-",CH966)+1)-1))),""))</f>
        <v/>
      </c>
    </row>
    <row r="967">
      <c r="CH967">
        <f>IF(ISTEXT('월 가계부'!A967),SUBSTITUTE(SUBSTITUTE(SUBSTITUTE(SUBSTITUTE(SUBSTITUTE(SUBSTITUTE(SUBSTITUTE(SUBSTITUTE(SUBSTITUTE(TRIM('월 가계부'!A967),"년","-"),"월","-"),"일",""),".","-"),"/","-")," ","-"),"--","-"),"--","-"),"--","-")&amp;"-","")</f>
        <v/>
      </c>
      <c r="CI967">
        <f>IFERROR(IF('월 가계부'!A967="","",IF(ISNUMBER('월 가계부'!A967),IF(AND('월 가계부'!A967&gt;=19000101,'월 가계부'!A967&lt;=21001231),IF(AND(MOD(INT('월 가계부'!A967/100),100)&gt;=1,MOD(INT('월 가계부'!A967/100),100)&lt;=12,MOD(INT('월 가계부'!A967),100)&gt;=1,MOD(INT('월 가계부'!A967),100)&lt;=31),IF(MONTH(DATE(INT('월 가계부'!A967/10000),MOD(INT('월 가계부'!A967/100),100),MOD(INT('월 가계부'!A967),100)))=MOD(INT('월 가계부'!A967/100),100),DATE(INT('월 가계부'!A967/10000),MOD(INT('월 가계부'!A967/100),100),MOD(INT('월 가계부'!A967),100)),""),""),IF(AND('월 가계부'!A967&gt;=36526,'월 가계부'!A967&lt;73051),INT('월 가계부'!A967),"")),IF(OR(CM967="",CN967="",CO967=""),"",IF(AND(CM967&gt;=2000,CM967&lt;=2099,CN967&gt;=1,CN967&lt;=12,CO967&gt;=1,CO967&lt;=31),IF(MONTH(DATE(CM967,CN967,CO967))=CN967,DATE(CM967,CN967,CO967),""),"")))),"")</f>
        <v/>
      </c>
      <c r="CJ967">
        <f>IFERROR(IF('월 가계부'!C967="","",IF(ISNUMBER('월 가계부'!C967),'월 가계부'!C967,VALUE(SUBSTITUTE(SUBSTITUTE(SUBSTITUTE(SUBSTITUTE(TRIM('월 가계부'!C967),",",""),"원","")," ",""),"−","-")))),"")</f>
        <v/>
      </c>
      <c r="CK967">
        <f>IF(ISNUMBER(CI967),IF(CI967&lt;$B$13,CI967,""),"")</f>
        <v/>
      </c>
      <c r="CM967">
        <f>IF(CH967="","",IFERROR(IF(IF(AND(LEN(CH967)=9,ISERROR(FIND("-",LEFT(CH967,8))),ISNUMBER(-LEFT(CH967,8))),VALUE(LEFT(CH967,4)),VALUE(LEFT(CH967,FIND("-",CH967)-1)))&lt;100,IF(AND(LEN(CH967)=9,ISERROR(FIND("-",LEFT(CH967,8))),ISNUMBER(-LEFT(CH967,8))),VALUE(LEFT(CH967,4)),VALUE(LEFT(CH967,FIND("-",CH967)-1)))+2000,IF(AND(LEN(CH967)=9,ISERROR(FIND("-",LEFT(CH967,8))),ISNUMBER(-LEFT(CH967,8))),VALUE(LEFT(CH967,4)),VALUE(LEFT(CH967,FIND("-",CH967)-1)))),""))</f>
        <v/>
      </c>
      <c r="CN967">
        <f>IF(CH967="","",IFERROR(IF(AND(LEN(CH967)=9,ISERROR(FIND("-",LEFT(CH967,8))),ISNUMBER(-LEFT(CH967,8))),VALUE(MID(CH967,5,2)),VALUE(MID(CH967,FIND("-",CH967)+1,FIND("-",CH967,FIND("-",CH967)+1)-FIND("-",CH967)-1))),""))</f>
        <v/>
      </c>
      <c r="CO967">
        <f>IF(CH967="","",IFERROR(IF(AND(LEN(CH967)=9,ISERROR(FIND("-",LEFT(CH967,8))),ISNUMBER(-LEFT(CH967,8))),VALUE(MID(CH967,7,2)),VALUE(MID(CH967,FIND("-",CH967,FIND("-",CH967)+1)+1,FIND("-",CH967,FIND("-",CH967,FIND("-",CH967)+1)+1)-FIND("-",CH967,FIND("-",CH967)+1)-1))),""))</f>
        <v/>
      </c>
    </row>
    <row r="968">
      <c r="CH968">
        <f>IF(ISTEXT('월 가계부'!A968),SUBSTITUTE(SUBSTITUTE(SUBSTITUTE(SUBSTITUTE(SUBSTITUTE(SUBSTITUTE(SUBSTITUTE(SUBSTITUTE(SUBSTITUTE(TRIM('월 가계부'!A968),"년","-"),"월","-"),"일",""),".","-"),"/","-")," ","-"),"--","-"),"--","-"),"--","-")&amp;"-","")</f>
        <v/>
      </c>
      <c r="CI968">
        <f>IFERROR(IF('월 가계부'!A968="","",IF(ISNUMBER('월 가계부'!A968),IF(AND('월 가계부'!A968&gt;=19000101,'월 가계부'!A968&lt;=21001231),IF(AND(MOD(INT('월 가계부'!A968/100),100)&gt;=1,MOD(INT('월 가계부'!A968/100),100)&lt;=12,MOD(INT('월 가계부'!A968),100)&gt;=1,MOD(INT('월 가계부'!A968),100)&lt;=31),IF(MONTH(DATE(INT('월 가계부'!A968/10000),MOD(INT('월 가계부'!A968/100),100),MOD(INT('월 가계부'!A968),100)))=MOD(INT('월 가계부'!A968/100),100),DATE(INT('월 가계부'!A968/10000),MOD(INT('월 가계부'!A968/100),100),MOD(INT('월 가계부'!A968),100)),""),""),IF(AND('월 가계부'!A968&gt;=36526,'월 가계부'!A968&lt;73051),INT('월 가계부'!A968),"")),IF(OR(CM968="",CN968="",CO968=""),"",IF(AND(CM968&gt;=2000,CM968&lt;=2099,CN968&gt;=1,CN968&lt;=12,CO968&gt;=1,CO968&lt;=31),IF(MONTH(DATE(CM968,CN968,CO968))=CN968,DATE(CM968,CN968,CO968),""),"")))),"")</f>
        <v/>
      </c>
      <c r="CJ968">
        <f>IFERROR(IF('월 가계부'!C968="","",IF(ISNUMBER('월 가계부'!C968),'월 가계부'!C968,VALUE(SUBSTITUTE(SUBSTITUTE(SUBSTITUTE(SUBSTITUTE(TRIM('월 가계부'!C968),",",""),"원","")," ",""),"−","-")))),"")</f>
        <v/>
      </c>
      <c r="CK968">
        <f>IF(ISNUMBER(CI968),IF(CI968&lt;$B$13,CI968,""),"")</f>
        <v/>
      </c>
      <c r="CM968">
        <f>IF(CH968="","",IFERROR(IF(IF(AND(LEN(CH968)=9,ISERROR(FIND("-",LEFT(CH968,8))),ISNUMBER(-LEFT(CH968,8))),VALUE(LEFT(CH968,4)),VALUE(LEFT(CH968,FIND("-",CH968)-1)))&lt;100,IF(AND(LEN(CH968)=9,ISERROR(FIND("-",LEFT(CH968,8))),ISNUMBER(-LEFT(CH968,8))),VALUE(LEFT(CH968,4)),VALUE(LEFT(CH968,FIND("-",CH968)-1)))+2000,IF(AND(LEN(CH968)=9,ISERROR(FIND("-",LEFT(CH968,8))),ISNUMBER(-LEFT(CH968,8))),VALUE(LEFT(CH968,4)),VALUE(LEFT(CH968,FIND("-",CH968)-1)))),""))</f>
        <v/>
      </c>
      <c r="CN968">
        <f>IF(CH968="","",IFERROR(IF(AND(LEN(CH968)=9,ISERROR(FIND("-",LEFT(CH968,8))),ISNUMBER(-LEFT(CH968,8))),VALUE(MID(CH968,5,2)),VALUE(MID(CH968,FIND("-",CH968)+1,FIND("-",CH968,FIND("-",CH968)+1)-FIND("-",CH968)-1))),""))</f>
        <v/>
      </c>
      <c r="CO968">
        <f>IF(CH968="","",IFERROR(IF(AND(LEN(CH968)=9,ISERROR(FIND("-",LEFT(CH968,8))),ISNUMBER(-LEFT(CH968,8))),VALUE(MID(CH968,7,2)),VALUE(MID(CH968,FIND("-",CH968,FIND("-",CH968)+1)+1,FIND("-",CH968,FIND("-",CH968,FIND("-",CH968)+1)+1)-FIND("-",CH968,FIND("-",CH968)+1)-1))),""))</f>
        <v/>
      </c>
    </row>
    <row r="969">
      <c r="CH969">
        <f>IF(ISTEXT('월 가계부'!A969),SUBSTITUTE(SUBSTITUTE(SUBSTITUTE(SUBSTITUTE(SUBSTITUTE(SUBSTITUTE(SUBSTITUTE(SUBSTITUTE(SUBSTITUTE(TRIM('월 가계부'!A969),"년","-"),"월","-"),"일",""),".","-"),"/","-")," ","-"),"--","-"),"--","-"),"--","-")&amp;"-","")</f>
        <v/>
      </c>
      <c r="CI969">
        <f>IFERROR(IF('월 가계부'!A969="","",IF(ISNUMBER('월 가계부'!A969),IF(AND('월 가계부'!A969&gt;=19000101,'월 가계부'!A969&lt;=21001231),IF(AND(MOD(INT('월 가계부'!A969/100),100)&gt;=1,MOD(INT('월 가계부'!A969/100),100)&lt;=12,MOD(INT('월 가계부'!A969),100)&gt;=1,MOD(INT('월 가계부'!A969),100)&lt;=31),IF(MONTH(DATE(INT('월 가계부'!A969/10000),MOD(INT('월 가계부'!A969/100),100),MOD(INT('월 가계부'!A969),100)))=MOD(INT('월 가계부'!A969/100),100),DATE(INT('월 가계부'!A969/10000),MOD(INT('월 가계부'!A969/100),100),MOD(INT('월 가계부'!A969),100)),""),""),IF(AND('월 가계부'!A969&gt;=36526,'월 가계부'!A969&lt;73051),INT('월 가계부'!A969),"")),IF(OR(CM969="",CN969="",CO969=""),"",IF(AND(CM969&gt;=2000,CM969&lt;=2099,CN969&gt;=1,CN969&lt;=12,CO969&gt;=1,CO969&lt;=31),IF(MONTH(DATE(CM969,CN969,CO969))=CN969,DATE(CM969,CN969,CO969),""),"")))),"")</f>
        <v/>
      </c>
      <c r="CJ969">
        <f>IFERROR(IF('월 가계부'!C969="","",IF(ISNUMBER('월 가계부'!C969),'월 가계부'!C969,VALUE(SUBSTITUTE(SUBSTITUTE(SUBSTITUTE(SUBSTITUTE(TRIM('월 가계부'!C969),",",""),"원","")," ",""),"−","-")))),"")</f>
        <v/>
      </c>
      <c r="CK969">
        <f>IF(ISNUMBER(CI969),IF(CI969&lt;$B$13,CI969,""),"")</f>
        <v/>
      </c>
      <c r="CM969">
        <f>IF(CH969="","",IFERROR(IF(IF(AND(LEN(CH969)=9,ISERROR(FIND("-",LEFT(CH969,8))),ISNUMBER(-LEFT(CH969,8))),VALUE(LEFT(CH969,4)),VALUE(LEFT(CH969,FIND("-",CH969)-1)))&lt;100,IF(AND(LEN(CH969)=9,ISERROR(FIND("-",LEFT(CH969,8))),ISNUMBER(-LEFT(CH969,8))),VALUE(LEFT(CH969,4)),VALUE(LEFT(CH969,FIND("-",CH969)-1)))+2000,IF(AND(LEN(CH969)=9,ISERROR(FIND("-",LEFT(CH969,8))),ISNUMBER(-LEFT(CH969,8))),VALUE(LEFT(CH969,4)),VALUE(LEFT(CH969,FIND("-",CH969)-1)))),""))</f>
        <v/>
      </c>
      <c r="CN969">
        <f>IF(CH969="","",IFERROR(IF(AND(LEN(CH969)=9,ISERROR(FIND("-",LEFT(CH969,8))),ISNUMBER(-LEFT(CH969,8))),VALUE(MID(CH969,5,2)),VALUE(MID(CH969,FIND("-",CH969)+1,FIND("-",CH969,FIND("-",CH969)+1)-FIND("-",CH969)-1))),""))</f>
        <v/>
      </c>
      <c r="CO969">
        <f>IF(CH969="","",IFERROR(IF(AND(LEN(CH969)=9,ISERROR(FIND("-",LEFT(CH969,8))),ISNUMBER(-LEFT(CH969,8))),VALUE(MID(CH969,7,2)),VALUE(MID(CH969,FIND("-",CH969,FIND("-",CH969)+1)+1,FIND("-",CH969,FIND("-",CH969,FIND("-",CH969)+1)+1)-FIND("-",CH969,FIND("-",CH969)+1)-1))),""))</f>
        <v/>
      </c>
    </row>
    <row r="970">
      <c r="CH970">
        <f>IF(ISTEXT('월 가계부'!A970),SUBSTITUTE(SUBSTITUTE(SUBSTITUTE(SUBSTITUTE(SUBSTITUTE(SUBSTITUTE(SUBSTITUTE(SUBSTITUTE(SUBSTITUTE(TRIM('월 가계부'!A970),"년","-"),"월","-"),"일",""),".","-"),"/","-")," ","-"),"--","-"),"--","-"),"--","-")&amp;"-","")</f>
        <v/>
      </c>
      <c r="CI970">
        <f>IFERROR(IF('월 가계부'!A970="","",IF(ISNUMBER('월 가계부'!A970),IF(AND('월 가계부'!A970&gt;=19000101,'월 가계부'!A970&lt;=21001231),IF(AND(MOD(INT('월 가계부'!A970/100),100)&gt;=1,MOD(INT('월 가계부'!A970/100),100)&lt;=12,MOD(INT('월 가계부'!A970),100)&gt;=1,MOD(INT('월 가계부'!A970),100)&lt;=31),IF(MONTH(DATE(INT('월 가계부'!A970/10000),MOD(INT('월 가계부'!A970/100),100),MOD(INT('월 가계부'!A970),100)))=MOD(INT('월 가계부'!A970/100),100),DATE(INT('월 가계부'!A970/10000),MOD(INT('월 가계부'!A970/100),100),MOD(INT('월 가계부'!A970),100)),""),""),IF(AND('월 가계부'!A970&gt;=36526,'월 가계부'!A970&lt;73051),INT('월 가계부'!A970),"")),IF(OR(CM970="",CN970="",CO970=""),"",IF(AND(CM970&gt;=2000,CM970&lt;=2099,CN970&gt;=1,CN970&lt;=12,CO970&gt;=1,CO970&lt;=31),IF(MONTH(DATE(CM970,CN970,CO970))=CN970,DATE(CM970,CN970,CO970),""),"")))),"")</f>
        <v/>
      </c>
      <c r="CJ970">
        <f>IFERROR(IF('월 가계부'!C970="","",IF(ISNUMBER('월 가계부'!C970),'월 가계부'!C970,VALUE(SUBSTITUTE(SUBSTITUTE(SUBSTITUTE(SUBSTITUTE(TRIM('월 가계부'!C970),",",""),"원","")," ",""),"−","-")))),"")</f>
        <v/>
      </c>
      <c r="CK970">
        <f>IF(ISNUMBER(CI970),IF(CI970&lt;$B$13,CI970,""),"")</f>
        <v/>
      </c>
      <c r="CM970">
        <f>IF(CH970="","",IFERROR(IF(IF(AND(LEN(CH970)=9,ISERROR(FIND("-",LEFT(CH970,8))),ISNUMBER(-LEFT(CH970,8))),VALUE(LEFT(CH970,4)),VALUE(LEFT(CH970,FIND("-",CH970)-1)))&lt;100,IF(AND(LEN(CH970)=9,ISERROR(FIND("-",LEFT(CH970,8))),ISNUMBER(-LEFT(CH970,8))),VALUE(LEFT(CH970,4)),VALUE(LEFT(CH970,FIND("-",CH970)-1)))+2000,IF(AND(LEN(CH970)=9,ISERROR(FIND("-",LEFT(CH970,8))),ISNUMBER(-LEFT(CH970,8))),VALUE(LEFT(CH970,4)),VALUE(LEFT(CH970,FIND("-",CH970)-1)))),""))</f>
        <v/>
      </c>
      <c r="CN970">
        <f>IF(CH970="","",IFERROR(IF(AND(LEN(CH970)=9,ISERROR(FIND("-",LEFT(CH970,8))),ISNUMBER(-LEFT(CH970,8))),VALUE(MID(CH970,5,2)),VALUE(MID(CH970,FIND("-",CH970)+1,FIND("-",CH970,FIND("-",CH970)+1)-FIND("-",CH970)-1))),""))</f>
        <v/>
      </c>
      <c r="CO970">
        <f>IF(CH970="","",IFERROR(IF(AND(LEN(CH970)=9,ISERROR(FIND("-",LEFT(CH970,8))),ISNUMBER(-LEFT(CH970,8))),VALUE(MID(CH970,7,2)),VALUE(MID(CH970,FIND("-",CH970,FIND("-",CH970)+1)+1,FIND("-",CH970,FIND("-",CH970,FIND("-",CH970)+1)+1)-FIND("-",CH970,FIND("-",CH970)+1)-1))),""))</f>
        <v/>
      </c>
    </row>
    <row r="971">
      <c r="CH971">
        <f>IF(ISTEXT('월 가계부'!A971),SUBSTITUTE(SUBSTITUTE(SUBSTITUTE(SUBSTITUTE(SUBSTITUTE(SUBSTITUTE(SUBSTITUTE(SUBSTITUTE(SUBSTITUTE(TRIM('월 가계부'!A971),"년","-"),"월","-"),"일",""),".","-"),"/","-")," ","-"),"--","-"),"--","-"),"--","-")&amp;"-","")</f>
        <v/>
      </c>
      <c r="CI971">
        <f>IFERROR(IF('월 가계부'!A971="","",IF(ISNUMBER('월 가계부'!A971),IF(AND('월 가계부'!A971&gt;=19000101,'월 가계부'!A971&lt;=21001231),IF(AND(MOD(INT('월 가계부'!A971/100),100)&gt;=1,MOD(INT('월 가계부'!A971/100),100)&lt;=12,MOD(INT('월 가계부'!A971),100)&gt;=1,MOD(INT('월 가계부'!A971),100)&lt;=31),IF(MONTH(DATE(INT('월 가계부'!A971/10000),MOD(INT('월 가계부'!A971/100),100),MOD(INT('월 가계부'!A971),100)))=MOD(INT('월 가계부'!A971/100),100),DATE(INT('월 가계부'!A971/10000),MOD(INT('월 가계부'!A971/100),100),MOD(INT('월 가계부'!A971),100)),""),""),IF(AND('월 가계부'!A971&gt;=36526,'월 가계부'!A971&lt;73051),INT('월 가계부'!A971),"")),IF(OR(CM971="",CN971="",CO971=""),"",IF(AND(CM971&gt;=2000,CM971&lt;=2099,CN971&gt;=1,CN971&lt;=12,CO971&gt;=1,CO971&lt;=31),IF(MONTH(DATE(CM971,CN971,CO971))=CN971,DATE(CM971,CN971,CO971),""),"")))),"")</f>
        <v/>
      </c>
      <c r="CJ971">
        <f>IFERROR(IF('월 가계부'!C971="","",IF(ISNUMBER('월 가계부'!C971),'월 가계부'!C971,VALUE(SUBSTITUTE(SUBSTITUTE(SUBSTITUTE(SUBSTITUTE(TRIM('월 가계부'!C971),",",""),"원","")," ",""),"−","-")))),"")</f>
        <v/>
      </c>
      <c r="CK971">
        <f>IF(ISNUMBER(CI971),IF(CI971&lt;$B$13,CI971,""),"")</f>
        <v/>
      </c>
      <c r="CM971">
        <f>IF(CH971="","",IFERROR(IF(IF(AND(LEN(CH971)=9,ISERROR(FIND("-",LEFT(CH971,8))),ISNUMBER(-LEFT(CH971,8))),VALUE(LEFT(CH971,4)),VALUE(LEFT(CH971,FIND("-",CH971)-1)))&lt;100,IF(AND(LEN(CH971)=9,ISERROR(FIND("-",LEFT(CH971,8))),ISNUMBER(-LEFT(CH971,8))),VALUE(LEFT(CH971,4)),VALUE(LEFT(CH971,FIND("-",CH971)-1)))+2000,IF(AND(LEN(CH971)=9,ISERROR(FIND("-",LEFT(CH971,8))),ISNUMBER(-LEFT(CH971,8))),VALUE(LEFT(CH971,4)),VALUE(LEFT(CH971,FIND("-",CH971)-1)))),""))</f>
        <v/>
      </c>
      <c r="CN971">
        <f>IF(CH971="","",IFERROR(IF(AND(LEN(CH971)=9,ISERROR(FIND("-",LEFT(CH971,8))),ISNUMBER(-LEFT(CH971,8))),VALUE(MID(CH971,5,2)),VALUE(MID(CH971,FIND("-",CH971)+1,FIND("-",CH971,FIND("-",CH971)+1)-FIND("-",CH971)-1))),""))</f>
        <v/>
      </c>
      <c r="CO971">
        <f>IF(CH971="","",IFERROR(IF(AND(LEN(CH971)=9,ISERROR(FIND("-",LEFT(CH971,8))),ISNUMBER(-LEFT(CH971,8))),VALUE(MID(CH971,7,2)),VALUE(MID(CH971,FIND("-",CH971,FIND("-",CH971)+1)+1,FIND("-",CH971,FIND("-",CH971,FIND("-",CH971)+1)+1)-FIND("-",CH971,FIND("-",CH971)+1)-1))),""))</f>
        <v/>
      </c>
    </row>
    <row r="972">
      <c r="CH972">
        <f>IF(ISTEXT('월 가계부'!A972),SUBSTITUTE(SUBSTITUTE(SUBSTITUTE(SUBSTITUTE(SUBSTITUTE(SUBSTITUTE(SUBSTITUTE(SUBSTITUTE(SUBSTITUTE(TRIM('월 가계부'!A972),"년","-"),"월","-"),"일",""),".","-"),"/","-")," ","-"),"--","-"),"--","-"),"--","-")&amp;"-","")</f>
        <v/>
      </c>
      <c r="CI972">
        <f>IFERROR(IF('월 가계부'!A972="","",IF(ISNUMBER('월 가계부'!A972),IF(AND('월 가계부'!A972&gt;=19000101,'월 가계부'!A972&lt;=21001231),IF(AND(MOD(INT('월 가계부'!A972/100),100)&gt;=1,MOD(INT('월 가계부'!A972/100),100)&lt;=12,MOD(INT('월 가계부'!A972),100)&gt;=1,MOD(INT('월 가계부'!A972),100)&lt;=31),IF(MONTH(DATE(INT('월 가계부'!A972/10000),MOD(INT('월 가계부'!A972/100),100),MOD(INT('월 가계부'!A972),100)))=MOD(INT('월 가계부'!A972/100),100),DATE(INT('월 가계부'!A972/10000),MOD(INT('월 가계부'!A972/100),100),MOD(INT('월 가계부'!A972),100)),""),""),IF(AND('월 가계부'!A972&gt;=36526,'월 가계부'!A972&lt;73051),INT('월 가계부'!A972),"")),IF(OR(CM972="",CN972="",CO972=""),"",IF(AND(CM972&gt;=2000,CM972&lt;=2099,CN972&gt;=1,CN972&lt;=12,CO972&gt;=1,CO972&lt;=31),IF(MONTH(DATE(CM972,CN972,CO972))=CN972,DATE(CM972,CN972,CO972),""),"")))),"")</f>
        <v/>
      </c>
      <c r="CJ972">
        <f>IFERROR(IF('월 가계부'!C972="","",IF(ISNUMBER('월 가계부'!C972),'월 가계부'!C972,VALUE(SUBSTITUTE(SUBSTITUTE(SUBSTITUTE(SUBSTITUTE(TRIM('월 가계부'!C972),",",""),"원","")," ",""),"−","-")))),"")</f>
        <v/>
      </c>
      <c r="CK972">
        <f>IF(ISNUMBER(CI972),IF(CI972&lt;$B$13,CI972,""),"")</f>
        <v/>
      </c>
      <c r="CM972">
        <f>IF(CH972="","",IFERROR(IF(IF(AND(LEN(CH972)=9,ISERROR(FIND("-",LEFT(CH972,8))),ISNUMBER(-LEFT(CH972,8))),VALUE(LEFT(CH972,4)),VALUE(LEFT(CH972,FIND("-",CH972)-1)))&lt;100,IF(AND(LEN(CH972)=9,ISERROR(FIND("-",LEFT(CH972,8))),ISNUMBER(-LEFT(CH972,8))),VALUE(LEFT(CH972,4)),VALUE(LEFT(CH972,FIND("-",CH972)-1)))+2000,IF(AND(LEN(CH972)=9,ISERROR(FIND("-",LEFT(CH972,8))),ISNUMBER(-LEFT(CH972,8))),VALUE(LEFT(CH972,4)),VALUE(LEFT(CH972,FIND("-",CH972)-1)))),""))</f>
        <v/>
      </c>
      <c r="CN972">
        <f>IF(CH972="","",IFERROR(IF(AND(LEN(CH972)=9,ISERROR(FIND("-",LEFT(CH972,8))),ISNUMBER(-LEFT(CH972,8))),VALUE(MID(CH972,5,2)),VALUE(MID(CH972,FIND("-",CH972)+1,FIND("-",CH972,FIND("-",CH972)+1)-FIND("-",CH972)-1))),""))</f>
        <v/>
      </c>
      <c r="CO972">
        <f>IF(CH972="","",IFERROR(IF(AND(LEN(CH972)=9,ISERROR(FIND("-",LEFT(CH972,8))),ISNUMBER(-LEFT(CH972,8))),VALUE(MID(CH972,7,2)),VALUE(MID(CH972,FIND("-",CH972,FIND("-",CH972)+1)+1,FIND("-",CH972,FIND("-",CH972,FIND("-",CH972)+1)+1)-FIND("-",CH972,FIND("-",CH972)+1)-1))),""))</f>
        <v/>
      </c>
    </row>
    <row r="973">
      <c r="CH973">
        <f>IF(ISTEXT('월 가계부'!A973),SUBSTITUTE(SUBSTITUTE(SUBSTITUTE(SUBSTITUTE(SUBSTITUTE(SUBSTITUTE(SUBSTITUTE(SUBSTITUTE(SUBSTITUTE(TRIM('월 가계부'!A973),"년","-"),"월","-"),"일",""),".","-"),"/","-")," ","-"),"--","-"),"--","-"),"--","-")&amp;"-","")</f>
        <v/>
      </c>
      <c r="CI973">
        <f>IFERROR(IF('월 가계부'!A973="","",IF(ISNUMBER('월 가계부'!A973),IF(AND('월 가계부'!A973&gt;=19000101,'월 가계부'!A973&lt;=21001231),IF(AND(MOD(INT('월 가계부'!A973/100),100)&gt;=1,MOD(INT('월 가계부'!A973/100),100)&lt;=12,MOD(INT('월 가계부'!A973),100)&gt;=1,MOD(INT('월 가계부'!A973),100)&lt;=31),IF(MONTH(DATE(INT('월 가계부'!A973/10000),MOD(INT('월 가계부'!A973/100),100),MOD(INT('월 가계부'!A973),100)))=MOD(INT('월 가계부'!A973/100),100),DATE(INT('월 가계부'!A973/10000),MOD(INT('월 가계부'!A973/100),100),MOD(INT('월 가계부'!A973),100)),""),""),IF(AND('월 가계부'!A973&gt;=36526,'월 가계부'!A973&lt;73051),INT('월 가계부'!A973),"")),IF(OR(CM973="",CN973="",CO973=""),"",IF(AND(CM973&gt;=2000,CM973&lt;=2099,CN973&gt;=1,CN973&lt;=12,CO973&gt;=1,CO973&lt;=31),IF(MONTH(DATE(CM973,CN973,CO973))=CN973,DATE(CM973,CN973,CO973),""),"")))),"")</f>
        <v/>
      </c>
      <c r="CJ973">
        <f>IFERROR(IF('월 가계부'!C973="","",IF(ISNUMBER('월 가계부'!C973),'월 가계부'!C973,VALUE(SUBSTITUTE(SUBSTITUTE(SUBSTITUTE(SUBSTITUTE(TRIM('월 가계부'!C973),",",""),"원","")," ",""),"−","-")))),"")</f>
        <v/>
      </c>
      <c r="CK973">
        <f>IF(ISNUMBER(CI973),IF(CI973&lt;$B$13,CI973,""),"")</f>
        <v/>
      </c>
      <c r="CM973">
        <f>IF(CH973="","",IFERROR(IF(IF(AND(LEN(CH973)=9,ISERROR(FIND("-",LEFT(CH973,8))),ISNUMBER(-LEFT(CH973,8))),VALUE(LEFT(CH973,4)),VALUE(LEFT(CH973,FIND("-",CH973)-1)))&lt;100,IF(AND(LEN(CH973)=9,ISERROR(FIND("-",LEFT(CH973,8))),ISNUMBER(-LEFT(CH973,8))),VALUE(LEFT(CH973,4)),VALUE(LEFT(CH973,FIND("-",CH973)-1)))+2000,IF(AND(LEN(CH973)=9,ISERROR(FIND("-",LEFT(CH973,8))),ISNUMBER(-LEFT(CH973,8))),VALUE(LEFT(CH973,4)),VALUE(LEFT(CH973,FIND("-",CH973)-1)))),""))</f>
        <v/>
      </c>
      <c r="CN973">
        <f>IF(CH973="","",IFERROR(IF(AND(LEN(CH973)=9,ISERROR(FIND("-",LEFT(CH973,8))),ISNUMBER(-LEFT(CH973,8))),VALUE(MID(CH973,5,2)),VALUE(MID(CH973,FIND("-",CH973)+1,FIND("-",CH973,FIND("-",CH973)+1)-FIND("-",CH973)-1))),""))</f>
        <v/>
      </c>
      <c r="CO973">
        <f>IF(CH973="","",IFERROR(IF(AND(LEN(CH973)=9,ISERROR(FIND("-",LEFT(CH973,8))),ISNUMBER(-LEFT(CH973,8))),VALUE(MID(CH973,7,2)),VALUE(MID(CH973,FIND("-",CH973,FIND("-",CH973)+1)+1,FIND("-",CH973,FIND("-",CH973,FIND("-",CH973)+1)+1)-FIND("-",CH973,FIND("-",CH973)+1)-1))),""))</f>
        <v/>
      </c>
    </row>
    <row r="974">
      <c r="CH974">
        <f>IF(ISTEXT('월 가계부'!A974),SUBSTITUTE(SUBSTITUTE(SUBSTITUTE(SUBSTITUTE(SUBSTITUTE(SUBSTITUTE(SUBSTITUTE(SUBSTITUTE(SUBSTITUTE(TRIM('월 가계부'!A974),"년","-"),"월","-"),"일",""),".","-"),"/","-")," ","-"),"--","-"),"--","-"),"--","-")&amp;"-","")</f>
        <v/>
      </c>
      <c r="CI974">
        <f>IFERROR(IF('월 가계부'!A974="","",IF(ISNUMBER('월 가계부'!A974),IF(AND('월 가계부'!A974&gt;=19000101,'월 가계부'!A974&lt;=21001231),IF(AND(MOD(INT('월 가계부'!A974/100),100)&gt;=1,MOD(INT('월 가계부'!A974/100),100)&lt;=12,MOD(INT('월 가계부'!A974),100)&gt;=1,MOD(INT('월 가계부'!A974),100)&lt;=31),IF(MONTH(DATE(INT('월 가계부'!A974/10000),MOD(INT('월 가계부'!A974/100),100),MOD(INT('월 가계부'!A974),100)))=MOD(INT('월 가계부'!A974/100),100),DATE(INT('월 가계부'!A974/10000),MOD(INT('월 가계부'!A974/100),100),MOD(INT('월 가계부'!A974),100)),""),""),IF(AND('월 가계부'!A974&gt;=36526,'월 가계부'!A974&lt;73051),INT('월 가계부'!A974),"")),IF(OR(CM974="",CN974="",CO974=""),"",IF(AND(CM974&gt;=2000,CM974&lt;=2099,CN974&gt;=1,CN974&lt;=12,CO974&gt;=1,CO974&lt;=31),IF(MONTH(DATE(CM974,CN974,CO974))=CN974,DATE(CM974,CN974,CO974),""),"")))),"")</f>
        <v/>
      </c>
      <c r="CJ974">
        <f>IFERROR(IF('월 가계부'!C974="","",IF(ISNUMBER('월 가계부'!C974),'월 가계부'!C974,VALUE(SUBSTITUTE(SUBSTITUTE(SUBSTITUTE(SUBSTITUTE(TRIM('월 가계부'!C974),",",""),"원","")," ",""),"−","-")))),"")</f>
        <v/>
      </c>
      <c r="CK974">
        <f>IF(ISNUMBER(CI974),IF(CI974&lt;$B$13,CI974,""),"")</f>
        <v/>
      </c>
      <c r="CM974">
        <f>IF(CH974="","",IFERROR(IF(IF(AND(LEN(CH974)=9,ISERROR(FIND("-",LEFT(CH974,8))),ISNUMBER(-LEFT(CH974,8))),VALUE(LEFT(CH974,4)),VALUE(LEFT(CH974,FIND("-",CH974)-1)))&lt;100,IF(AND(LEN(CH974)=9,ISERROR(FIND("-",LEFT(CH974,8))),ISNUMBER(-LEFT(CH974,8))),VALUE(LEFT(CH974,4)),VALUE(LEFT(CH974,FIND("-",CH974)-1)))+2000,IF(AND(LEN(CH974)=9,ISERROR(FIND("-",LEFT(CH974,8))),ISNUMBER(-LEFT(CH974,8))),VALUE(LEFT(CH974,4)),VALUE(LEFT(CH974,FIND("-",CH974)-1)))),""))</f>
        <v/>
      </c>
      <c r="CN974">
        <f>IF(CH974="","",IFERROR(IF(AND(LEN(CH974)=9,ISERROR(FIND("-",LEFT(CH974,8))),ISNUMBER(-LEFT(CH974,8))),VALUE(MID(CH974,5,2)),VALUE(MID(CH974,FIND("-",CH974)+1,FIND("-",CH974,FIND("-",CH974)+1)-FIND("-",CH974)-1))),""))</f>
        <v/>
      </c>
      <c r="CO974">
        <f>IF(CH974="","",IFERROR(IF(AND(LEN(CH974)=9,ISERROR(FIND("-",LEFT(CH974,8))),ISNUMBER(-LEFT(CH974,8))),VALUE(MID(CH974,7,2)),VALUE(MID(CH974,FIND("-",CH974,FIND("-",CH974)+1)+1,FIND("-",CH974,FIND("-",CH974,FIND("-",CH974)+1)+1)-FIND("-",CH974,FIND("-",CH974)+1)-1))),""))</f>
        <v/>
      </c>
    </row>
    <row r="975">
      <c r="CH975">
        <f>IF(ISTEXT('월 가계부'!A975),SUBSTITUTE(SUBSTITUTE(SUBSTITUTE(SUBSTITUTE(SUBSTITUTE(SUBSTITUTE(SUBSTITUTE(SUBSTITUTE(SUBSTITUTE(TRIM('월 가계부'!A975),"년","-"),"월","-"),"일",""),".","-"),"/","-")," ","-"),"--","-"),"--","-"),"--","-")&amp;"-","")</f>
        <v/>
      </c>
      <c r="CI975">
        <f>IFERROR(IF('월 가계부'!A975="","",IF(ISNUMBER('월 가계부'!A975),IF(AND('월 가계부'!A975&gt;=19000101,'월 가계부'!A975&lt;=21001231),IF(AND(MOD(INT('월 가계부'!A975/100),100)&gt;=1,MOD(INT('월 가계부'!A975/100),100)&lt;=12,MOD(INT('월 가계부'!A975),100)&gt;=1,MOD(INT('월 가계부'!A975),100)&lt;=31),IF(MONTH(DATE(INT('월 가계부'!A975/10000),MOD(INT('월 가계부'!A975/100),100),MOD(INT('월 가계부'!A975),100)))=MOD(INT('월 가계부'!A975/100),100),DATE(INT('월 가계부'!A975/10000),MOD(INT('월 가계부'!A975/100),100),MOD(INT('월 가계부'!A975),100)),""),""),IF(AND('월 가계부'!A975&gt;=36526,'월 가계부'!A975&lt;73051),INT('월 가계부'!A975),"")),IF(OR(CM975="",CN975="",CO975=""),"",IF(AND(CM975&gt;=2000,CM975&lt;=2099,CN975&gt;=1,CN975&lt;=12,CO975&gt;=1,CO975&lt;=31),IF(MONTH(DATE(CM975,CN975,CO975))=CN975,DATE(CM975,CN975,CO975),""),"")))),"")</f>
        <v/>
      </c>
      <c r="CJ975">
        <f>IFERROR(IF('월 가계부'!C975="","",IF(ISNUMBER('월 가계부'!C975),'월 가계부'!C975,VALUE(SUBSTITUTE(SUBSTITUTE(SUBSTITUTE(SUBSTITUTE(TRIM('월 가계부'!C975),",",""),"원","")," ",""),"−","-")))),"")</f>
        <v/>
      </c>
      <c r="CK975">
        <f>IF(ISNUMBER(CI975),IF(CI975&lt;$B$13,CI975,""),"")</f>
        <v/>
      </c>
      <c r="CM975">
        <f>IF(CH975="","",IFERROR(IF(IF(AND(LEN(CH975)=9,ISERROR(FIND("-",LEFT(CH975,8))),ISNUMBER(-LEFT(CH975,8))),VALUE(LEFT(CH975,4)),VALUE(LEFT(CH975,FIND("-",CH975)-1)))&lt;100,IF(AND(LEN(CH975)=9,ISERROR(FIND("-",LEFT(CH975,8))),ISNUMBER(-LEFT(CH975,8))),VALUE(LEFT(CH975,4)),VALUE(LEFT(CH975,FIND("-",CH975)-1)))+2000,IF(AND(LEN(CH975)=9,ISERROR(FIND("-",LEFT(CH975,8))),ISNUMBER(-LEFT(CH975,8))),VALUE(LEFT(CH975,4)),VALUE(LEFT(CH975,FIND("-",CH975)-1)))),""))</f>
        <v/>
      </c>
      <c r="CN975">
        <f>IF(CH975="","",IFERROR(IF(AND(LEN(CH975)=9,ISERROR(FIND("-",LEFT(CH975,8))),ISNUMBER(-LEFT(CH975,8))),VALUE(MID(CH975,5,2)),VALUE(MID(CH975,FIND("-",CH975)+1,FIND("-",CH975,FIND("-",CH975)+1)-FIND("-",CH975)-1))),""))</f>
        <v/>
      </c>
      <c r="CO975">
        <f>IF(CH975="","",IFERROR(IF(AND(LEN(CH975)=9,ISERROR(FIND("-",LEFT(CH975,8))),ISNUMBER(-LEFT(CH975,8))),VALUE(MID(CH975,7,2)),VALUE(MID(CH975,FIND("-",CH975,FIND("-",CH975)+1)+1,FIND("-",CH975,FIND("-",CH975,FIND("-",CH975)+1)+1)-FIND("-",CH975,FIND("-",CH975)+1)-1))),""))</f>
        <v/>
      </c>
    </row>
    <row r="976">
      <c r="CH976">
        <f>IF(ISTEXT('월 가계부'!A976),SUBSTITUTE(SUBSTITUTE(SUBSTITUTE(SUBSTITUTE(SUBSTITUTE(SUBSTITUTE(SUBSTITUTE(SUBSTITUTE(SUBSTITUTE(TRIM('월 가계부'!A976),"년","-"),"월","-"),"일",""),".","-"),"/","-")," ","-"),"--","-"),"--","-"),"--","-")&amp;"-","")</f>
        <v/>
      </c>
      <c r="CI976">
        <f>IFERROR(IF('월 가계부'!A976="","",IF(ISNUMBER('월 가계부'!A976),IF(AND('월 가계부'!A976&gt;=19000101,'월 가계부'!A976&lt;=21001231),IF(AND(MOD(INT('월 가계부'!A976/100),100)&gt;=1,MOD(INT('월 가계부'!A976/100),100)&lt;=12,MOD(INT('월 가계부'!A976),100)&gt;=1,MOD(INT('월 가계부'!A976),100)&lt;=31),IF(MONTH(DATE(INT('월 가계부'!A976/10000),MOD(INT('월 가계부'!A976/100),100),MOD(INT('월 가계부'!A976),100)))=MOD(INT('월 가계부'!A976/100),100),DATE(INT('월 가계부'!A976/10000),MOD(INT('월 가계부'!A976/100),100),MOD(INT('월 가계부'!A976),100)),""),""),IF(AND('월 가계부'!A976&gt;=36526,'월 가계부'!A976&lt;73051),INT('월 가계부'!A976),"")),IF(OR(CM976="",CN976="",CO976=""),"",IF(AND(CM976&gt;=2000,CM976&lt;=2099,CN976&gt;=1,CN976&lt;=12,CO976&gt;=1,CO976&lt;=31),IF(MONTH(DATE(CM976,CN976,CO976))=CN976,DATE(CM976,CN976,CO976),""),"")))),"")</f>
        <v/>
      </c>
      <c r="CJ976">
        <f>IFERROR(IF('월 가계부'!C976="","",IF(ISNUMBER('월 가계부'!C976),'월 가계부'!C976,VALUE(SUBSTITUTE(SUBSTITUTE(SUBSTITUTE(SUBSTITUTE(TRIM('월 가계부'!C976),",",""),"원","")," ",""),"−","-")))),"")</f>
        <v/>
      </c>
      <c r="CK976">
        <f>IF(ISNUMBER(CI976),IF(CI976&lt;$B$13,CI976,""),"")</f>
        <v/>
      </c>
      <c r="CM976">
        <f>IF(CH976="","",IFERROR(IF(IF(AND(LEN(CH976)=9,ISERROR(FIND("-",LEFT(CH976,8))),ISNUMBER(-LEFT(CH976,8))),VALUE(LEFT(CH976,4)),VALUE(LEFT(CH976,FIND("-",CH976)-1)))&lt;100,IF(AND(LEN(CH976)=9,ISERROR(FIND("-",LEFT(CH976,8))),ISNUMBER(-LEFT(CH976,8))),VALUE(LEFT(CH976,4)),VALUE(LEFT(CH976,FIND("-",CH976)-1)))+2000,IF(AND(LEN(CH976)=9,ISERROR(FIND("-",LEFT(CH976,8))),ISNUMBER(-LEFT(CH976,8))),VALUE(LEFT(CH976,4)),VALUE(LEFT(CH976,FIND("-",CH976)-1)))),""))</f>
        <v/>
      </c>
      <c r="CN976">
        <f>IF(CH976="","",IFERROR(IF(AND(LEN(CH976)=9,ISERROR(FIND("-",LEFT(CH976,8))),ISNUMBER(-LEFT(CH976,8))),VALUE(MID(CH976,5,2)),VALUE(MID(CH976,FIND("-",CH976)+1,FIND("-",CH976,FIND("-",CH976)+1)-FIND("-",CH976)-1))),""))</f>
        <v/>
      </c>
      <c r="CO976">
        <f>IF(CH976="","",IFERROR(IF(AND(LEN(CH976)=9,ISERROR(FIND("-",LEFT(CH976,8))),ISNUMBER(-LEFT(CH976,8))),VALUE(MID(CH976,7,2)),VALUE(MID(CH976,FIND("-",CH976,FIND("-",CH976)+1)+1,FIND("-",CH976,FIND("-",CH976,FIND("-",CH976)+1)+1)-FIND("-",CH976,FIND("-",CH976)+1)-1))),""))</f>
        <v/>
      </c>
    </row>
    <row r="977">
      <c r="CH977">
        <f>IF(ISTEXT('월 가계부'!A977),SUBSTITUTE(SUBSTITUTE(SUBSTITUTE(SUBSTITUTE(SUBSTITUTE(SUBSTITUTE(SUBSTITUTE(SUBSTITUTE(SUBSTITUTE(TRIM('월 가계부'!A977),"년","-"),"월","-"),"일",""),".","-"),"/","-")," ","-"),"--","-"),"--","-"),"--","-")&amp;"-","")</f>
        <v/>
      </c>
      <c r="CI977">
        <f>IFERROR(IF('월 가계부'!A977="","",IF(ISNUMBER('월 가계부'!A977),IF(AND('월 가계부'!A977&gt;=19000101,'월 가계부'!A977&lt;=21001231),IF(AND(MOD(INT('월 가계부'!A977/100),100)&gt;=1,MOD(INT('월 가계부'!A977/100),100)&lt;=12,MOD(INT('월 가계부'!A977),100)&gt;=1,MOD(INT('월 가계부'!A977),100)&lt;=31),IF(MONTH(DATE(INT('월 가계부'!A977/10000),MOD(INT('월 가계부'!A977/100),100),MOD(INT('월 가계부'!A977),100)))=MOD(INT('월 가계부'!A977/100),100),DATE(INT('월 가계부'!A977/10000),MOD(INT('월 가계부'!A977/100),100),MOD(INT('월 가계부'!A977),100)),""),""),IF(AND('월 가계부'!A977&gt;=36526,'월 가계부'!A977&lt;73051),INT('월 가계부'!A977),"")),IF(OR(CM977="",CN977="",CO977=""),"",IF(AND(CM977&gt;=2000,CM977&lt;=2099,CN977&gt;=1,CN977&lt;=12,CO977&gt;=1,CO977&lt;=31),IF(MONTH(DATE(CM977,CN977,CO977))=CN977,DATE(CM977,CN977,CO977),""),"")))),"")</f>
        <v/>
      </c>
      <c r="CJ977">
        <f>IFERROR(IF('월 가계부'!C977="","",IF(ISNUMBER('월 가계부'!C977),'월 가계부'!C977,VALUE(SUBSTITUTE(SUBSTITUTE(SUBSTITUTE(SUBSTITUTE(TRIM('월 가계부'!C977),",",""),"원","")," ",""),"−","-")))),"")</f>
        <v/>
      </c>
      <c r="CK977">
        <f>IF(ISNUMBER(CI977),IF(CI977&lt;$B$13,CI977,""),"")</f>
        <v/>
      </c>
      <c r="CM977">
        <f>IF(CH977="","",IFERROR(IF(IF(AND(LEN(CH977)=9,ISERROR(FIND("-",LEFT(CH977,8))),ISNUMBER(-LEFT(CH977,8))),VALUE(LEFT(CH977,4)),VALUE(LEFT(CH977,FIND("-",CH977)-1)))&lt;100,IF(AND(LEN(CH977)=9,ISERROR(FIND("-",LEFT(CH977,8))),ISNUMBER(-LEFT(CH977,8))),VALUE(LEFT(CH977,4)),VALUE(LEFT(CH977,FIND("-",CH977)-1)))+2000,IF(AND(LEN(CH977)=9,ISERROR(FIND("-",LEFT(CH977,8))),ISNUMBER(-LEFT(CH977,8))),VALUE(LEFT(CH977,4)),VALUE(LEFT(CH977,FIND("-",CH977)-1)))),""))</f>
        <v/>
      </c>
      <c r="CN977">
        <f>IF(CH977="","",IFERROR(IF(AND(LEN(CH977)=9,ISERROR(FIND("-",LEFT(CH977,8))),ISNUMBER(-LEFT(CH977,8))),VALUE(MID(CH977,5,2)),VALUE(MID(CH977,FIND("-",CH977)+1,FIND("-",CH977,FIND("-",CH977)+1)-FIND("-",CH977)-1))),""))</f>
        <v/>
      </c>
      <c r="CO977">
        <f>IF(CH977="","",IFERROR(IF(AND(LEN(CH977)=9,ISERROR(FIND("-",LEFT(CH977,8))),ISNUMBER(-LEFT(CH977,8))),VALUE(MID(CH977,7,2)),VALUE(MID(CH977,FIND("-",CH977,FIND("-",CH977)+1)+1,FIND("-",CH977,FIND("-",CH977,FIND("-",CH977)+1)+1)-FIND("-",CH977,FIND("-",CH977)+1)-1))),""))</f>
        <v/>
      </c>
    </row>
    <row r="978">
      <c r="CH978">
        <f>IF(ISTEXT('월 가계부'!A978),SUBSTITUTE(SUBSTITUTE(SUBSTITUTE(SUBSTITUTE(SUBSTITUTE(SUBSTITUTE(SUBSTITUTE(SUBSTITUTE(SUBSTITUTE(TRIM('월 가계부'!A978),"년","-"),"월","-"),"일",""),".","-"),"/","-")," ","-"),"--","-"),"--","-"),"--","-")&amp;"-","")</f>
        <v/>
      </c>
      <c r="CI978">
        <f>IFERROR(IF('월 가계부'!A978="","",IF(ISNUMBER('월 가계부'!A978),IF(AND('월 가계부'!A978&gt;=19000101,'월 가계부'!A978&lt;=21001231),IF(AND(MOD(INT('월 가계부'!A978/100),100)&gt;=1,MOD(INT('월 가계부'!A978/100),100)&lt;=12,MOD(INT('월 가계부'!A978),100)&gt;=1,MOD(INT('월 가계부'!A978),100)&lt;=31),IF(MONTH(DATE(INT('월 가계부'!A978/10000),MOD(INT('월 가계부'!A978/100),100),MOD(INT('월 가계부'!A978),100)))=MOD(INT('월 가계부'!A978/100),100),DATE(INT('월 가계부'!A978/10000),MOD(INT('월 가계부'!A978/100),100),MOD(INT('월 가계부'!A978),100)),""),""),IF(AND('월 가계부'!A978&gt;=36526,'월 가계부'!A978&lt;73051),INT('월 가계부'!A978),"")),IF(OR(CM978="",CN978="",CO978=""),"",IF(AND(CM978&gt;=2000,CM978&lt;=2099,CN978&gt;=1,CN978&lt;=12,CO978&gt;=1,CO978&lt;=31),IF(MONTH(DATE(CM978,CN978,CO978))=CN978,DATE(CM978,CN978,CO978),""),"")))),"")</f>
        <v/>
      </c>
      <c r="CJ978">
        <f>IFERROR(IF('월 가계부'!C978="","",IF(ISNUMBER('월 가계부'!C978),'월 가계부'!C978,VALUE(SUBSTITUTE(SUBSTITUTE(SUBSTITUTE(SUBSTITUTE(TRIM('월 가계부'!C978),",",""),"원","")," ",""),"−","-")))),"")</f>
        <v/>
      </c>
      <c r="CK978">
        <f>IF(ISNUMBER(CI978),IF(CI978&lt;$B$13,CI978,""),"")</f>
        <v/>
      </c>
      <c r="CM978">
        <f>IF(CH978="","",IFERROR(IF(IF(AND(LEN(CH978)=9,ISERROR(FIND("-",LEFT(CH978,8))),ISNUMBER(-LEFT(CH978,8))),VALUE(LEFT(CH978,4)),VALUE(LEFT(CH978,FIND("-",CH978)-1)))&lt;100,IF(AND(LEN(CH978)=9,ISERROR(FIND("-",LEFT(CH978,8))),ISNUMBER(-LEFT(CH978,8))),VALUE(LEFT(CH978,4)),VALUE(LEFT(CH978,FIND("-",CH978)-1)))+2000,IF(AND(LEN(CH978)=9,ISERROR(FIND("-",LEFT(CH978,8))),ISNUMBER(-LEFT(CH978,8))),VALUE(LEFT(CH978,4)),VALUE(LEFT(CH978,FIND("-",CH978)-1)))),""))</f>
        <v/>
      </c>
      <c r="CN978">
        <f>IF(CH978="","",IFERROR(IF(AND(LEN(CH978)=9,ISERROR(FIND("-",LEFT(CH978,8))),ISNUMBER(-LEFT(CH978,8))),VALUE(MID(CH978,5,2)),VALUE(MID(CH978,FIND("-",CH978)+1,FIND("-",CH978,FIND("-",CH978)+1)-FIND("-",CH978)-1))),""))</f>
        <v/>
      </c>
      <c r="CO978">
        <f>IF(CH978="","",IFERROR(IF(AND(LEN(CH978)=9,ISERROR(FIND("-",LEFT(CH978,8))),ISNUMBER(-LEFT(CH978,8))),VALUE(MID(CH978,7,2)),VALUE(MID(CH978,FIND("-",CH978,FIND("-",CH978)+1)+1,FIND("-",CH978,FIND("-",CH978,FIND("-",CH978)+1)+1)-FIND("-",CH978,FIND("-",CH978)+1)-1))),""))</f>
        <v/>
      </c>
    </row>
    <row r="979">
      <c r="CH979">
        <f>IF(ISTEXT('월 가계부'!A979),SUBSTITUTE(SUBSTITUTE(SUBSTITUTE(SUBSTITUTE(SUBSTITUTE(SUBSTITUTE(SUBSTITUTE(SUBSTITUTE(SUBSTITUTE(TRIM('월 가계부'!A979),"년","-"),"월","-"),"일",""),".","-"),"/","-")," ","-"),"--","-"),"--","-"),"--","-")&amp;"-","")</f>
        <v/>
      </c>
      <c r="CI979">
        <f>IFERROR(IF('월 가계부'!A979="","",IF(ISNUMBER('월 가계부'!A979),IF(AND('월 가계부'!A979&gt;=19000101,'월 가계부'!A979&lt;=21001231),IF(AND(MOD(INT('월 가계부'!A979/100),100)&gt;=1,MOD(INT('월 가계부'!A979/100),100)&lt;=12,MOD(INT('월 가계부'!A979),100)&gt;=1,MOD(INT('월 가계부'!A979),100)&lt;=31),IF(MONTH(DATE(INT('월 가계부'!A979/10000),MOD(INT('월 가계부'!A979/100),100),MOD(INT('월 가계부'!A979),100)))=MOD(INT('월 가계부'!A979/100),100),DATE(INT('월 가계부'!A979/10000),MOD(INT('월 가계부'!A979/100),100),MOD(INT('월 가계부'!A979),100)),""),""),IF(AND('월 가계부'!A979&gt;=36526,'월 가계부'!A979&lt;73051),INT('월 가계부'!A979),"")),IF(OR(CM979="",CN979="",CO979=""),"",IF(AND(CM979&gt;=2000,CM979&lt;=2099,CN979&gt;=1,CN979&lt;=12,CO979&gt;=1,CO979&lt;=31),IF(MONTH(DATE(CM979,CN979,CO979))=CN979,DATE(CM979,CN979,CO979),""),"")))),"")</f>
        <v/>
      </c>
      <c r="CJ979">
        <f>IFERROR(IF('월 가계부'!C979="","",IF(ISNUMBER('월 가계부'!C979),'월 가계부'!C979,VALUE(SUBSTITUTE(SUBSTITUTE(SUBSTITUTE(SUBSTITUTE(TRIM('월 가계부'!C979),",",""),"원","")," ",""),"−","-")))),"")</f>
        <v/>
      </c>
      <c r="CK979">
        <f>IF(ISNUMBER(CI979),IF(CI979&lt;$B$13,CI979,""),"")</f>
        <v/>
      </c>
      <c r="CM979">
        <f>IF(CH979="","",IFERROR(IF(IF(AND(LEN(CH979)=9,ISERROR(FIND("-",LEFT(CH979,8))),ISNUMBER(-LEFT(CH979,8))),VALUE(LEFT(CH979,4)),VALUE(LEFT(CH979,FIND("-",CH979)-1)))&lt;100,IF(AND(LEN(CH979)=9,ISERROR(FIND("-",LEFT(CH979,8))),ISNUMBER(-LEFT(CH979,8))),VALUE(LEFT(CH979,4)),VALUE(LEFT(CH979,FIND("-",CH979)-1)))+2000,IF(AND(LEN(CH979)=9,ISERROR(FIND("-",LEFT(CH979,8))),ISNUMBER(-LEFT(CH979,8))),VALUE(LEFT(CH979,4)),VALUE(LEFT(CH979,FIND("-",CH979)-1)))),""))</f>
        <v/>
      </c>
      <c r="CN979">
        <f>IF(CH979="","",IFERROR(IF(AND(LEN(CH979)=9,ISERROR(FIND("-",LEFT(CH979,8))),ISNUMBER(-LEFT(CH979,8))),VALUE(MID(CH979,5,2)),VALUE(MID(CH979,FIND("-",CH979)+1,FIND("-",CH979,FIND("-",CH979)+1)-FIND("-",CH979)-1))),""))</f>
        <v/>
      </c>
      <c r="CO979">
        <f>IF(CH979="","",IFERROR(IF(AND(LEN(CH979)=9,ISERROR(FIND("-",LEFT(CH979,8))),ISNUMBER(-LEFT(CH979,8))),VALUE(MID(CH979,7,2)),VALUE(MID(CH979,FIND("-",CH979,FIND("-",CH979)+1)+1,FIND("-",CH979,FIND("-",CH979,FIND("-",CH979)+1)+1)-FIND("-",CH979,FIND("-",CH979)+1)-1))),""))</f>
        <v/>
      </c>
    </row>
    <row r="980">
      <c r="CH980">
        <f>IF(ISTEXT('월 가계부'!A980),SUBSTITUTE(SUBSTITUTE(SUBSTITUTE(SUBSTITUTE(SUBSTITUTE(SUBSTITUTE(SUBSTITUTE(SUBSTITUTE(SUBSTITUTE(TRIM('월 가계부'!A980),"년","-"),"월","-"),"일",""),".","-"),"/","-")," ","-"),"--","-"),"--","-"),"--","-")&amp;"-","")</f>
        <v/>
      </c>
      <c r="CI980">
        <f>IFERROR(IF('월 가계부'!A980="","",IF(ISNUMBER('월 가계부'!A980),IF(AND('월 가계부'!A980&gt;=19000101,'월 가계부'!A980&lt;=21001231),IF(AND(MOD(INT('월 가계부'!A980/100),100)&gt;=1,MOD(INT('월 가계부'!A980/100),100)&lt;=12,MOD(INT('월 가계부'!A980),100)&gt;=1,MOD(INT('월 가계부'!A980),100)&lt;=31),IF(MONTH(DATE(INT('월 가계부'!A980/10000),MOD(INT('월 가계부'!A980/100),100),MOD(INT('월 가계부'!A980),100)))=MOD(INT('월 가계부'!A980/100),100),DATE(INT('월 가계부'!A980/10000),MOD(INT('월 가계부'!A980/100),100),MOD(INT('월 가계부'!A980),100)),""),""),IF(AND('월 가계부'!A980&gt;=36526,'월 가계부'!A980&lt;73051),INT('월 가계부'!A980),"")),IF(OR(CM980="",CN980="",CO980=""),"",IF(AND(CM980&gt;=2000,CM980&lt;=2099,CN980&gt;=1,CN980&lt;=12,CO980&gt;=1,CO980&lt;=31),IF(MONTH(DATE(CM980,CN980,CO980))=CN980,DATE(CM980,CN980,CO980),""),"")))),"")</f>
        <v/>
      </c>
      <c r="CJ980">
        <f>IFERROR(IF('월 가계부'!C980="","",IF(ISNUMBER('월 가계부'!C980),'월 가계부'!C980,VALUE(SUBSTITUTE(SUBSTITUTE(SUBSTITUTE(SUBSTITUTE(TRIM('월 가계부'!C980),",",""),"원","")," ",""),"−","-")))),"")</f>
        <v/>
      </c>
      <c r="CK980">
        <f>IF(ISNUMBER(CI980),IF(CI980&lt;$B$13,CI980,""),"")</f>
        <v/>
      </c>
      <c r="CM980">
        <f>IF(CH980="","",IFERROR(IF(IF(AND(LEN(CH980)=9,ISERROR(FIND("-",LEFT(CH980,8))),ISNUMBER(-LEFT(CH980,8))),VALUE(LEFT(CH980,4)),VALUE(LEFT(CH980,FIND("-",CH980)-1)))&lt;100,IF(AND(LEN(CH980)=9,ISERROR(FIND("-",LEFT(CH980,8))),ISNUMBER(-LEFT(CH980,8))),VALUE(LEFT(CH980,4)),VALUE(LEFT(CH980,FIND("-",CH980)-1)))+2000,IF(AND(LEN(CH980)=9,ISERROR(FIND("-",LEFT(CH980,8))),ISNUMBER(-LEFT(CH980,8))),VALUE(LEFT(CH980,4)),VALUE(LEFT(CH980,FIND("-",CH980)-1)))),""))</f>
        <v/>
      </c>
      <c r="CN980">
        <f>IF(CH980="","",IFERROR(IF(AND(LEN(CH980)=9,ISERROR(FIND("-",LEFT(CH980,8))),ISNUMBER(-LEFT(CH980,8))),VALUE(MID(CH980,5,2)),VALUE(MID(CH980,FIND("-",CH980)+1,FIND("-",CH980,FIND("-",CH980)+1)-FIND("-",CH980)-1))),""))</f>
        <v/>
      </c>
      <c r="CO980">
        <f>IF(CH980="","",IFERROR(IF(AND(LEN(CH980)=9,ISERROR(FIND("-",LEFT(CH980,8))),ISNUMBER(-LEFT(CH980,8))),VALUE(MID(CH980,7,2)),VALUE(MID(CH980,FIND("-",CH980,FIND("-",CH980)+1)+1,FIND("-",CH980,FIND("-",CH980,FIND("-",CH980)+1)+1)-FIND("-",CH980,FIND("-",CH980)+1)-1))),""))</f>
        <v/>
      </c>
    </row>
    <row r="981">
      <c r="CH981">
        <f>IF(ISTEXT('월 가계부'!A981),SUBSTITUTE(SUBSTITUTE(SUBSTITUTE(SUBSTITUTE(SUBSTITUTE(SUBSTITUTE(SUBSTITUTE(SUBSTITUTE(SUBSTITUTE(TRIM('월 가계부'!A981),"년","-"),"월","-"),"일",""),".","-"),"/","-")," ","-"),"--","-"),"--","-"),"--","-")&amp;"-","")</f>
        <v/>
      </c>
      <c r="CI981">
        <f>IFERROR(IF('월 가계부'!A981="","",IF(ISNUMBER('월 가계부'!A981),IF(AND('월 가계부'!A981&gt;=19000101,'월 가계부'!A981&lt;=21001231),IF(AND(MOD(INT('월 가계부'!A981/100),100)&gt;=1,MOD(INT('월 가계부'!A981/100),100)&lt;=12,MOD(INT('월 가계부'!A981),100)&gt;=1,MOD(INT('월 가계부'!A981),100)&lt;=31),IF(MONTH(DATE(INT('월 가계부'!A981/10000),MOD(INT('월 가계부'!A981/100),100),MOD(INT('월 가계부'!A981),100)))=MOD(INT('월 가계부'!A981/100),100),DATE(INT('월 가계부'!A981/10000),MOD(INT('월 가계부'!A981/100),100),MOD(INT('월 가계부'!A981),100)),""),""),IF(AND('월 가계부'!A981&gt;=36526,'월 가계부'!A981&lt;73051),INT('월 가계부'!A981),"")),IF(OR(CM981="",CN981="",CO981=""),"",IF(AND(CM981&gt;=2000,CM981&lt;=2099,CN981&gt;=1,CN981&lt;=12,CO981&gt;=1,CO981&lt;=31),IF(MONTH(DATE(CM981,CN981,CO981))=CN981,DATE(CM981,CN981,CO981),""),"")))),"")</f>
        <v/>
      </c>
      <c r="CJ981">
        <f>IFERROR(IF('월 가계부'!C981="","",IF(ISNUMBER('월 가계부'!C981),'월 가계부'!C981,VALUE(SUBSTITUTE(SUBSTITUTE(SUBSTITUTE(SUBSTITUTE(TRIM('월 가계부'!C981),",",""),"원","")," ",""),"−","-")))),"")</f>
        <v/>
      </c>
      <c r="CK981">
        <f>IF(ISNUMBER(CI981),IF(CI981&lt;$B$13,CI981,""),"")</f>
        <v/>
      </c>
      <c r="CM981">
        <f>IF(CH981="","",IFERROR(IF(IF(AND(LEN(CH981)=9,ISERROR(FIND("-",LEFT(CH981,8))),ISNUMBER(-LEFT(CH981,8))),VALUE(LEFT(CH981,4)),VALUE(LEFT(CH981,FIND("-",CH981)-1)))&lt;100,IF(AND(LEN(CH981)=9,ISERROR(FIND("-",LEFT(CH981,8))),ISNUMBER(-LEFT(CH981,8))),VALUE(LEFT(CH981,4)),VALUE(LEFT(CH981,FIND("-",CH981)-1)))+2000,IF(AND(LEN(CH981)=9,ISERROR(FIND("-",LEFT(CH981,8))),ISNUMBER(-LEFT(CH981,8))),VALUE(LEFT(CH981,4)),VALUE(LEFT(CH981,FIND("-",CH981)-1)))),""))</f>
        <v/>
      </c>
      <c r="CN981">
        <f>IF(CH981="","",IFERROR(IF(AND(LEN(CH981)=9,ISERROR(FIND("-",LEFT(CH981,8))),ISNUMBER(-LEFT(CH981,8))),VALUE(MID(CH981,5,2)),VALUE(MID(CH981,FIND("-",CH981)+1,FIND("-",CH981,FIND("-",CH981)+1)-FIND("-",CH981)-1))),""))</f>
        <v/>
      </c>
      <c r="CO981">
        <f>IF(CH981="","",IFERROR(IF(AND(LEN(CH981)=9,ISERROR(FIND("-",LEFT(CH981,8))),ISNUMBER(-LEFT(CH981,8))),VALUE(MID(CH981,7,2)),VALUE(MID(CH981,FIND("-",CH981,FIND("-",CH981)+1)+1,FIND("-",CH981,FIND("-",CH981,FIND("-",CH981)+1)+1)-FIND("-",CH981,FIND("-",CH981)+1)-1))),""))</f>
        <v/>
      </c>
    </row>
    <row r="982">
      <c r="CH982">
        <f>IF(ISTEXT('월 가계부'!A982),SUBSTITUTE(SUBSTITUTE(SUBSTITUTE(SUBSTITUTE(SUBSTITUTE(SUBSTITUTE(SUBSTITUTE(SUBSTITUTE(SUBSTITUTE(TRIM('월 가계부'!A982),"년","-"),"월","-"),"일",""),".","-"),"/","-")," ","-"),"--","-"),"--","-"),"--","-")&amp;"-","")</f>
        <v/>
      </c>
      <c r="CI982">
        <f>IFERROR(IF('월 가계부'!A982="","",IF(ISNUMBER('월 가계부'!A982),IF(AND('월 가계부'!A982&gt;=19000101,'월 가계부'!A982&lt;=21001231),IF(AND(MOD(INT('월 가계부'!A982/100),100)&gt;=1,MOD(INT('월 가계부'!A982/100),100)&lt;=12,MOD(INT('월 가계부'!A982),100)&gt;=1,MOD(INT('월 가계부'!A982),100)&lt;=31),IF(MONTH(DATE(INT('월 가계부'!A982/10000),MOD(INT('월 가계부'!A982/100),100),MOD(INT('월 가계부'!A982),100)))=MOD(INT('월 가계부'!A982/100),100),DATE(INT('월 가계부'!A982/10000),MOD(INT('월 가계부'!A982/100),100),MOD(INT('월 가계부'!A982),100)),""),""),IF(AND('월 가계부'!A982&gt;=36526,'월 가계부'!A982&lt;73051),INT('월 가계부'!A982),"")),IF(OR(CM982="",CN982="",CO982=""),"",IF(AND(CM982&gt;=2000,CM982&lt;=2099,CN982&gt;=1,CN982&lt;=12,CO982&gt;=1,CO982&lt;=31),IF(MONTH(DATE(CM982,CN982,CO982))=CN982,DATE(CM982,CN982,CO982),""),"")))),"")</f>
        <v/>
      </c>
      <c r="CJ982">
        <f>IFERROR(IF('월 가계부'!C982="","",IF(ISNUMBER('월 가계부'!C982),'월 가계부'!C982,VALUE(SUBSTITUTE(SUBSTITUTE(SUBSTITUTE(SUBSTITUTE(TRIM('월 가계부'!C982),",",""),"원","")," ",""),"−","-")))),"")</f>
        <v/>
      </c>
      <c r="CK982">
        <f>IF(ISNUMBER(CI982),IF(CI982&lt;$B$13,CI982,""),"")</f>
        <v/>
      </c>
      <c r="CM982">
        <f>IF(CH982="","",IFERROR(IF(IF(AND(LEN(CH982)=9,ISERROR(FIND("-",LEFT(CH982,8))),ISNUMBER(-LEFT(CH982,8))),VALUE(LEFT(CH982,4)),VALUE(LEFT(CH982,FIND("-",CH982)-1)))&lt;100,IF(AND(LEN(CH982)=9,ISERROR(FIND("-",LEFT(CH982,8))),ISNUMBER(-LEFT(CH982,8))),VALUE(LEFT(CH982,4)),VALUE(LEFT(CH982,FIND("-",CH982)-1)))+2000,IF(AND(LEN(CH982)=9,ISERROR(FIND("-",LEFT(CH982,8))),ISNUMBER(-LEFT(CH982,8))),VALUE(LEFT(CH982,4)),VALUE(LEFT(CH982,FIND("-",CH982)-1)))),""))</f>
        <v/>
      </c>
      <c r="CN982">
        <f>IF(CH982="","",IFERROR(IF(AND(LEN(CH982)=9,ISERROR(FIND("-",LEFT(CH982,8))),ISNUMBER(-LEFT(CH982,8))),VALUE(MID(CH982,5,2)),VALUE(MID(CH982,FIND("-",CH982)+1,FIND("-",CH982,FIND("-",CH982)+1)-FIND("-",CH982)-1))),""))</f>
        <v/>
      </c>
      <c r="CO982">
        <f>IF(CH982="","",IFERROR(IF(AND(LEN(CH982)=9,ISERROR(FIND("-",LEFT(CH982,8))),ISNUMBER(-LEFT(CH982,8))),VALUE(MID(CH982,7,2)),VALUE(MID(CH982,FIND("-",CH982,FIND("-",CH982)+1)+1,FIND("-",CH982,FIND("-",CH982,FIND("-",CH982)+1)+1)-FIND("-",CH982,FIND("-",CH982)+1)-1))),""))</f>
        <v/>
      </c>
    </row>
    <row r="983">
      <c r="CH983">
        <f>IF(ISTEXT('월 가계부'!A983),SUBSTITUTE(SUBSTITUTE(SUBSTITUTE(SUBSTITUTE(SUBSTITUTE(SUBSTITUTE(SUBSTITUTE(SUBSTITUTE(SUBSTITUTE(TRIM('월 가계부'!A983),"년","-"),"월","-"),"일",""),".","-"),"/","-")," ","-"),"--","-"),"--","-"),"--","-")&amp;"-","")</f>
        <v/>
      </c>
      <c r="CI983">
        <f>IFERROR(IF('월 가계부'!A983="","",IF(ISNUMBER('월 가계부'!A983),IF(AND('월 가계부'!A983&gt;=19000101,'월 가계부'!A983&lt;=21001231),IF(AND(MOD(INT('월 가계부'!A983/100),100)&gt;=1,MOD(INT('월 가계부'!A983/100),100)&lt;=12,MOD(INT('월 가계부'!A983),100)&gt;=1,MOD(INT('월 가계부'!A983),100)&lt;=31),IF(MONTH(DATE(INT('월 가계부'!A983/10000),MOD(INT('월 가계부'!A983/100),100),MOD(INT('월 가계부'!A983),100)))=MOD(INT('월 가계부'!A983/100),100),DATE(INT('월 가계부'!A983/10000),MOD(INT('월 가계부'!A983/100),100),MOD(INT('월 가계부'!A983),100)),""),""),IF(AND('월 가계부'!A983&gt;=36526,'월 가계부'!A983&lt;73051),INT('월 가계부'!A983),"")),IF(OR(CM983="",CN983="",CO983=""),"",IF(AND(CM983&gt;=2000,CM983&lt;=2099,CN983&gt;=1,CN983&lt;=12,CO983&gt;=1,CO983&lt;=31),IF(MONTH(DATE(CM983,CN983,CO983))=CN983,DATE(CM983,CN983,CO983),""),"")))),"")</f>
        <v/>
      </c>
      <c r="CJ983">
        <f>IFERROR(IF('월 가계부'!C983="","",IF(ISNUMBER('월 가계부'!C983),'월 가계부'!C983,VALUE(SUBSTITUTE(SUBSTITUTE(SUBSTITUTE(SUBSTITUTE(TRIM('월 가계부'!C983),",",""),"원","")," ",""),"−","-")))),"")</f>
        <v/>
      </c>
      <c r="CK983">
        <f>IF(ISNUMBER(CI983),IF(CI983&lt;$B$13,CI983,""),"")</f>
        <v/>
      </c>
      <c r="CM983">
        <f>IF(CH983="","",IFERROR(IF(IF(AND(LEN(CH983)=9,ISERROR(FIND("-",LEFT(CH983,8))),ISNUMBER(-LEFT(CH983,8))),VALUE(LEFT(CH983,4)),VALUE(LEFT(CH983,FIND("-",CH983)-1)))&lt;100,IF(AND(LEN(CH983)=9,ISERROR(FIND("-",LEFT(CH983,8))),ISNUMBER(-LEFT(CH983,8))),VALUE(LEFT(CH983,4)),VALUE(LEFT(CH983,FIND("-",CH983)-1)))+2000,IF(AND(LEN(CH983)=9,ISERROR(FIND("-",LEFT(CH983,8))),ISNUMBER(-LEFT(CH983,8))),VALUE(LEFT(CH983,4)),VALUE(LEFT(CH983,FIND("-",CH983)-1)))),""))</f>
        <v/>
      </c>
      <c r="CN983">
        <f>IF(CH983="","",IFERROR(IF(AND(LEN(CH983)=9,ISERROR(FIND("-",LEFT(CH983,8))),ISNUMBER(-LEFT(CH983,8))),VALUE(MID(CH983,5,2)),VALUE(MID(CH983,FIND("-",CH983)+1,FIND("-",CH983,FIND("-",CH983)+1)-FIND("-",CH983)-1))),""))</f>
        <v/>
      </c>
      <c r="CO983">
        <f>IF(CH983="","",IFERROR(IF(AND(LEN(CH983)=9,ISERROR(FIND("-",LEFT(CH983,8))),ISNUMBER(-LEFT(CH983,8))),VALUE(MID(CH983,7,2)),VALUE(MID(CH983,FIND("-",CH983,FIND("-",CH983)+1)+1,FIND("-",CH983,FIND("-",CH983,FIND("-",CH983)+1)+1)-FIND("-",CH983,FIND("-",CH983)+1)-1))),""))</f>
        <v/>
      </c>
    </row>
    <row r="984">
      <c r="CH984">
        <f>IF(ISTEXT('월 가계부'!A984),SUBSTITUTE(SUBSTITUTE(SUBSTITUTE(SUBSTITUTE(SUBSTITUTE(SUBSTITUTE(SUBSTITUTE(SUBSTITUTE(SUBSTITUTE(TRIM('월 가계부'!A984),"년","-"),"월","-"),"일",""),".","-"),"/","-")," ","-"),"--","-"),"--","-"),"--","-")&amp;"-","")</f>
        <v/>
      </c>
      <c r="CI984">
        <f>IFERROR(IF('월 가계부'!A984="","",IF(ISNUMBER('월 가계부'!A984),IF(AND('월 가계부'!A984&gt;=19000101,'월 가계부'!A984&lt;=21001231),IF(AND(MOD(INT('월 가계부'!A984/100),100)&gt;=1,MOD(INT('월 가계부'!A984/100),100)&lt;=12,MOD(INT('월 가계부'!A984),100)&gt;=1,MOD(INT('월 가계부'!A984),100)&lt;=31),IF(MONTH(DATE(INT('월 가계부'!A984/10000),MOD(INT('월 가계부'!A984/100),100),MOD(INT('월 가계부'!A984),100)))=MOD(INT('월 가계부'!A984/100),100),DATE(INT('월 가계부'!A984/10000),MOD(INT('월 가계부'!A984/100),100),MOD(INT('월 가계부'!A984),100)),""),""),IF(AND('월 가계부'!A984&gt;=36526,'월 가계부'!A984&lt;73051),INT('월 가계부'!A984),"")),IF(OR(CM984="",CN984="",CO984=""),"",IF(AND(CM984&gt;=2000,CM984&lt;=2099,CN984&gt;=1,CN984&lt;=12,CO984&gt;=1,CO984&lt;=31),IF(MONTH(DATE(CM984,CN984,CO984))=CN984,DATE(CM984,CN984,CO984),""),"")))),"")</f>
        <v/>
      </c>
      <c r="CJ984">
        <f>IFERROR(IF('월 가계부'!C984="","",IF(ISNUMBER('월 가계부'!C984),'월 가계부'!C984,VALUE(SUBSTITUTE(SUBSTITUTE(SUBSTITUTE(SUBSTITUTE(TRIM('월 가계부'!C984),",",""),"원","")," ",""),"−","-")))),"")</f>
        <v/>
      </c>
      <c r="CK984">
        <f>IF(ISNUMBER(CI984),IF(CI984&lt;$B$13,CI984,""),"")</f>
        <v/>
      </c>
      <c r="CM984">
        <f>IF(CH984="","",IFERROR(IF(IF(AND(LEN(CH984)=9,ISERROR(FIND("-",LEFT(CH984,8))),ISNUMBER(-LEFT(CH984,8))),VALUE(LEFT(CH984,4)),VALUE(LEFT(CH984,FIND("-",CH984)-1)))&lt;100,IF(AND(LEN(CH984)=9,ISERROR(FIND("-",LEFT(CH984,8))),ISNUMBER(-LEFT(CH984,8))),VALUE(LEFT(CH984,4)),VALUE(LEFT(CH984,FIND("-",CH984)-1)))+2000,IF(AND(LEN(CH984)=9,ISERROR(FIND("-",LEFT(CH984,8))),ISNUMBER(-LEFT(CH984,8))),VALUE(LEFT(CH984,4)),VALUE(LEFT(CH984,FIND("-",CH984)-1)))),""))</f>
        <v/>
      </c>
      <c r="CN984">
        <f>IF(CH984="","",IFERROR(IF(AND(LEN(CH984)=9,ISERROR(FIND("-",LEFT(CH984,8))),ISNUMBER(-LEFT(CH984,8))),VALUE(MID(CH984,5,2)),VALUE(MID(CH984,FIND("-",CH984)+1,FIND("-",CH984,FIND("-",CH984)+1)-FIND("-",CH984)-1))),""))</f>
        <v/>
      </c>
      <c r="CO984">
        <f>IF(CH984="","",IFERROR(IF(AND(LEN(CH984)=9,ISERROR(FIND("-",LEFT(CH984,8))),ISNUMBER(-LEFT(CH984,8))),VALUE(MID(CH984,7,2)),VALUE(MID(CH984,FIND("-",CH984,FIND("-",CH984)+1)+1,FIND("-",CH984,FIND("-",CH984,FIND("-",CH984)+1)+1)-FIND("-",CH984,FIND("-",CH984)+1)-1))),""))</f>
        <v/>
      </c>
    </row>
    <row r="985">
      <c r="CH985">
        <f>IF(ISTEXT('월 가계부'!A985),SUBSTITUTE(SUBSTITUTE(SUBSTITUTE(SUBSTITUTE(SUBSTITUTE(SUBSTITUTE(SUBSTITUTE(SUBSTITUTE(SUBSTITUTE(TRIM('월 가계부'!A985),"년","-"),"월","-"),"일",""),".","-"),"/","-")," ","-"),"--","-"),"--","-"),"--","-")&amp;"-","")</f>
        <v/>
      </c>
      <c r="CI985">
        <f>IFERROR(IF('월 가계부'!A985="","",IF(ISNUMBER('월 가계부'!A985),IF(AND('월 가계부'!A985&gt;=19000101,'월 가계부'!A985&lt;=21001231),IF(AND(MOD(INT('월 가계부'!A985/100),100)&gt;=1,MOD(INT('월 가계부'!A985/100),100)&lt;=12,MOD(INT('월 가계부'!A985),100)&gt;=1,MOD(INT('월 가계부'!A985),100)&lt;=31),IF(MONTH(DATE(INT('월 가계부'!A985/10000),MOD(INT('월 가계부'!A985/100),100),MOD(INT('월 가계부'!A985),100)))=MOD(INT('월 가계부'!A985/100),100),DATE(INT('월 가계부'!A985/10000),MOD(INT('월 가계부'!A985/100),100),MOD(INT('월 가계부'!A985),100)),""),""),IF(AND('월 가계부'!A985&gt;=36526,'월 가계부'!A985&lt;73051),INT('월 가계부'!A985),"")),IF(OR(CM985="",CN985="",CO985=""),"",IF(AND(CM985&gt;=2000,CM985&lt;=2099,CN985&gt;=1,CN985&lt;=12,CO985&gt;=1,CO985&lt;=31),IF(MONTH(DATE(CM985,CN985,CO985))=CN985,DATE(CM985,CN985,CO985),""),"")))),"")</f>
        <v/>
      </c>
      <c r="CJ985">
        <f>IFERROR(IF('월 가계부'!C985="","",IF(ISNUMBER('월 가계부'!C985),'월 가계부'!C985,VALUE(SUBSTITUTE(SUBSTITUTE(SUBSTITUTE(SUBSTITUTE(TRIM('월 가계부'!C985),",",""),"원","")," ",""),"−","-")))),"")</f>
        <v/>
      </c>
      <c r="CK985">
        <f>IF(ISNUMBER(CI985),IF(CI985&lt;$B$13,CI985,""),"")</f>
        <v/>
      </c>
      <c r="CM985">
        <f>IF(CH985="","",IFERROR(IF(IF(AND(LEN(CH985)=9,ISERROR(FIND("-",LEFT(CH985,8))),ISNUMBER(-LEFT(CH985,8))),VALUE(LEFT(CH985,4)),VALUE(LEFT(CH985,FIND("-",CH985)-1)))&lt;100,IF(AND(LEN(CH985)=9,ISERROR(FIND("-",LEFT(CH985,8))),ISNUMBER(-LEFT(CH985,8))),VALUE(LEFT(CH985,4)),VALUE(LEFT(CH985,FIND("-",CH985)-1)))+2000,IF(AND(LEN(CH985)=9,ISERROR(FIND("-",LEFT(CH985,8))),ISNUMBER(-LEFT(CH985,8))),VALUE(LEFT(CH985,4)),VALUE(LEFT(CH985,FIND("-",CH985)-1)))),""))</f>
        <v/>
      </c>
      <c r="CN985">
        <f>IF(CH985="","",IFERROR(IF(AND(LEN(CH985)=9,ISERROR(FIND("-",LEFT(CH985,8))),ISNUMBER(-LEFT(CH985,8))),VALUE(MID(CH985,5,2)),VALUE(MID(CH985,FIND("-",CH985)+1,FIND("-",CH985,FIND("-",CH985)+1)-FIND("-",CH985)-1))),""))</f>
        <v/>
      </c>
      <c r="CO985">
        <f>IF(CH985="","",IFERROR(IF(AND(LEN(CH985)=9,ISERROR(FIND("-",LEFT(CH985,8))),ISNUMBER(-LEFT(CH985,8))),VALUE(MID(CH985,7,2)),VALUE(MID(CH985,FIND("-",CH985,FIND("-",CH985)+1)+1,FIND("-",CH985,FIND("-",CH985,FIND("-",CH985)+1)+1)-FIND("-",CH985,FIND("-",CH985)+1)-1))),""))</f>
        <v/>
      </c>
    </row>
    <row r="986">
      <c r="CH986">
        <f>IF(ISTEXT('월 가계부'!A986),SUBSTITUTE(SUBSTITUTE(SUBSTITUTE(SUBSTITUTE(SUBSTITUTE(SUBSTITUTE(SUBSTITUTE(SUBSTITUTE(SUBSTITUTE(TRIM('월 가계부'!A986),"년","-"),"월","-"),"일",""),".","-"),"/","-")," ","-"),"--","-"),"--","-"),"--","-")&amp;"-","")</f>
        <v/>
      </c>
      <c r="CI986">
        <f>IFERROR(IF('월 가계부'!A986="","",IF(ISNUMBER('월 가계부'!A986),IF(AND('월 가계부'!A986&gt;=19000101,'월 가계부'!A986&lt;=21001231),IF(AND(MOD(INT('월 가계부'!A986/100),100)&gt;=1,MOD(INT('월 가계부'!A986/100),100)&lt;=12,MOD(INT('월 가계부'!A986),100)&gt;=1,MOD(INT('월 가계부'!A986),100)&lt;=31),IF(MONTH(DATE(INT('월 가계부'!A986/10000),MOD(INT('월 가계부'!A986/100),100),MOD(INT('월 가계부'!A986),100)))=MOD(INT('월 가계부'!A986/100),100),DATE(INT('월 가계부'!A986/10000),MOD(INT('월 가계부'!A986/100),100),MOD(INT('월 가계부'!A986),100)),""),""),IF(AND('월 가계부'!A986&gt;=36526,'월 가계부'!A986&lt;73051),INT('월 가계부'!A986),"")),IF(OR(CM986="",CN986="",CO986=""),"",IF(AND(CM986&gt;=2000,CM986&lt;=2099,CN986&gt;=1,CN986&lt;=12,CO986&gt;=1,CO986&lt;=31),IF(MONTH(DATE(CM986,CN986,CO986))=CN986,DATE(CM986,CN986,CO986),""),"")))),"")</f>
        <v/>
      </c>
      <c r="CJ986">
        <f>IFERROR(IF('월 가계부'!C986="","",IF(ISNUMBER('월 가계부'!C986),'월 가계부'!C986,VALUE(SUBSTITUTE(SUBSTITUTE(SUBSTITUTE(SUBSTITUTE(TRIM('월 가계부'!C986),",",""),"원","")," ",""),"−","-")))),"")</f>
        <v/>
      </c>
      <c r="CK986">
        <f>IF(ISNUMBER(CI986),IF(CI986&lt;$B$13,CI986,""),"")</f>
        <v/>
      </c>
      <c r="CM986">
        <f>IF(CH986="","",IFERROR(IF(IF(AND(LEN(CH986)=9,ISERROR(FIND("-",LEFT(CH986,8))),ISNUMBER(-LEFT(CH986,8))),VALUE(LEFT(CH986,4)),VALUE(LEFT(CH986,FIND("-",CH986)-1)))&lt;100,IF(AND(LEN(CH986)=9,ISERROR(FIND("-",LEFT(CH986,8))),ISNUMBER(-LEFT(CH986,8))),VALUE(LEFT(CH986,4)),VALUE(LEFT(CH986,FIND("-",CH986)-1)))+2000,IF(AND(LEN(CH986)=9,ISERROR(FIND("-",LEFT(CH986,8))),ISNUMBER(-LEFT(CH986,8))),VALUE(LEFT(CH986,4)),VALUE(LEFT(CH986,FIND("-",CH986)-1)))),""))</f>
        <v/>
      </c>
      <c r="CN986">
        <f>IF(CH986="","",IFERROR(IF(AND(LEN(CH986)=9,ISERROR(FIND("-",LEFT(CH986,8))),ISNUMBER(-LEFT(CH986,8))),VALUE(MID(CH986,5,2)),VALUE(MID(CH986,FIND("-",CH986)+1,FIND("-",CH986,FIND("-",CH986)+1)-FIND("-",CH986)-1))),""))</f>
        <v/>
      </c>
      <c r="CO986">
        <f>IF(CH986="","",IFERROR(IF(AND(LEN(CH986)=9,ISERROR(FIND("-",LEFT(CH986,8))),ISNUMBER(-LEFT(CH986,8))),VALUE(MID(CH986,7,2)),VALUE(MID(CH986,FIND("-",CH986,FIND("-",CH986)+1)+1,FIND("-",CH986,FIND("-",CH986,FIND("-",CH986)+1)+1)-FIND("-",CH986,FIND("-",CH986)+1)-1))),""))</f>
        <v/>
      </c>
    </row>
    <row r="987">
      <c r="CH987">
        <f>IF(ISTEXT('월 가계부'!A987),SUBSTITUTE(SUBSTITUTE(SUBSTITUTE(SUBSTITUTE(SUBSTITUTE(SUBSTITUTE(SUBSTITUTE(SUBSTITUTE(SUBSTITUTE(TRIM('월 가계부'!A987),"년","-"),"월","-"),"일",""),".","-"),"/","-")," ","-"),"--","-"),"--","-"),"--","-")&amp;"-","")</f>
        <v/>
      </c>
      <c r="CI987">
        <f>IFERROR(IF('월 가계부'!A987="","",IF(ISNUMBER('월 가계부'!A987),IF(AND('월 가계부'!A987&gt;=19000101,'월 가계부'!A987&lt;=21001231),IF(AND(MOD(INT('월 가계부'!A987/100),100)&gt;=1,MOD(INT('월 가계부'!A987/100),100)&lt;=12,MOD(INT('월 가계부'!A987),100)&gt;=1,MOD(INT('월 가계부'!A987),100)&lt;=31),IF(MONTH(DATE(INT('월 가계부'!A987/10000),MOD(INT('월 가계부'!A987/100),100),MOD(INT('월 가계부'!A987),100)))=MOD(INT('월 가계부'!A987/100),100),DATE(INT('월 가계부'!A987/10000),MOD(INT('월 가계부'!A987/100),100),MOD(INT('월 가계부'!A987),100)),""),""),IF(AND('월 가계부'!A987&gt;=36526,'월 가계부'!A987&lt;73051),INT('월 가계부'!A987),"")),IF(OR(CM987="",CN987="",CO987=""),"",IF(AND(CM987&gt;=2000,CM987&lt;=2099,CN987&gt;=1,CN987&lt;=12,CO987&gt;=1,CO987&lt;=31),IF(MONTH(DATE(CM987,CN987,CO987))=CN987,DATE(CM987,CN987,CO987),""),"")))),"")</f>
        <v/>
      </c>
      <c r="CJ987">
        <f>IFERROR(IF('월 가계부'!C987="","",IF(ISNUMBER('월 가계부'!C987),'월 가계부'!C987,VALUE(SUBSTITUTE(SUBSTITUTE(SUBSTITUTE(SUBSTITUTE(TRIM('월 가계부'!C987),",",""),"원","")," ",""),"−","-")))),"")</f>
        <v/>
      </c>
      <c r="CK987">
        <f>IF(ISNUMBER(CI987),IF(CI987&lt;$B$13,CI987,""),"")</f>
        <v/>
      </c>
      <c r="CM987">
        <f>IF(CH987="","",IFERROR(IF(IF(AND(LEN(CH987)=9,ISERROR(FIND("-",LEFT(CH987,8))),ISNUMBER(-LEFT(CH987,8))),VALUE(LEFT(CH987,4)),VALUE(LEFT(CH987,FIND("-",CH987)-1)))&lt;100,IF(AND(LEN(CH987)=9,ISERROR(FIND("-",LEFT(CH987,8))),ISNUMBER(-LEFT(CH987,8))),VALUE(LEFT(CH987,4)),VALUE(LEFT(CH987,FIND("-",CH987)-1)))+2000,IF(AND(LEN(CH987)=9,ISERROR(FIND("-",LEFT(CH987,8))),ISNUMBER(-LEFT(CH987,8))),VALUE(LEFT(CH987,4)),VALUE(LEFT(CH987,FIND("-",CH987)-1)))),""))</f>
        <v/>
      </c>
      <c r="CN987">
        <f>IF(CH987="","",IFERROR(IF(AND(LEN(CH987)=9,ISERROR(FIND("-",LEFT(CH987,8))),ISNUMBER(-LEFT(CH987,8))),VALUE(MID(CH987,5,2)),VALUE(MID(CH987,FIND("-",CH987)+1,FIND("-",CH987,FIND("-",CH987)+1)-FIND("-",CH987)-1))),""))</f>
        <v/>
      </c>
      <c r="CO987">
        <f>IF(CH987="","",IFERROR(IF(AND(LEN(CH987)=9,ISERROR(FIND("-",LEFT(CH987,8))),ISNUMBER(-LEFT(CH987,8))),VALUE(MID(CH987,7,2)),VALUE(MID(CH987,FIND("-",CH987,FIND("-",CH987)+1)+1,FIND("-",CH987,FIND("-",CH987,FIND("-",CH987)+1)+1)-FIND("-",CH987,FIND("-",CH987)+1)-1))),""))</f>
        <v/>
      </c>
    </row>
    <row r="988">
      <c r="CH988">
        <f>IF(ISTEXT('월 가계부'!A988),SUBSTITUTE(SUBSTITUTE(SUBSTITUTE(SUBSTITUTE(SUBSTITUTE(SUBSTITUTE(SUBSTITUTE(SUBSTITUTE(SUBSTITUTE(TRIM('월 가계부'!A988),"년","-"),"월","-"),"일",""),".","-"),"/","-")," ","-"),"--","-"),"--","-"),"--","-")&amp;"-","")</f>
        <v/>
      </c>
      <c r="CI988">
        <f>IFERROR(IF('월 가계부'!A988="","",IF(ISNUMBER('월 가계부'!A988),IF(AND('월 가계부'!A988&gt;=19000101,'월 가계부'!A988&lt;=21001231),IF(AND(MOD(INT('월 가계부'!A988/100),100)&gt;=1,MOD(INT('월 가계부'!A988/100),100)&lt;=12,MOD(INT('월 가계부'!A988),100)&gt;=1,MOD(INT('월 가계부'!A988),100)&lt;=31),IF(MONTH(DATE(INT('월 가계부'!A988/10000),MOD(INT('월 가계부'!A988/100),100),MOD(INT('월 가계부'!A988),100)))=MOD(INT('월 가계부'!A988/100),100),DATE(INT('월 가계부'!A988/10000),MOD(INT('월 가계부'!A988/100),100),MOD(INT('월 가계부'!A988),100)),""),""),IF(AND('월 가계부'!A988&gt;=36526,'월 가계부'!A988&lt;73051),INT('월 가계부'!A988),"")),IF(OR(CM988="",CN988="",CO988=""),"",IF(AND(CM988&gt;=2000,CM988&lt;=2099,CN988&gt;=1,CN988&lt;=12,CO988&gt;=1,CO988&lt;=31),IF(MONTH(DATE(CM988,CN988,CO988))=CN988,DATE(CM988,CN988,CO988),""),"")))),"")</f>
        <v/>
      </c>
      <c r="CJ988">
        <f>IFERROR(IF('월 가계부'!C988="","",IF(ISNUMBER('월 가계부'!C988),'월 가계부'!C988,VALUE(SUBSTITUTE(SUBSTITUTE(SUBSTITUTE(SUBSTITUTE(TRIM('월 가계부'!C988),",",""),"원","")," ",""),"−","-")))),"")</f>
        <v/>
      </c>
      <c r="CK988">
        <f>IF(ISNUMBER(CI988),IF(CI988&lt;$B$13,CI988,""),"")</f>
        <v/>
      </c>
      <c r="CM988">
        <f>IF(CH988="","",IFERROR(IF(IF(AND(LEN(CH988)=9,ISERROR(FIND("-",LEFT(CH988,8))),ISNUMBER(-LEFT(CH988,8))),VALUE(LEFT(CH988,4)),VALUE(LEFT(CH988,FIND("-",CH988)-1)))&lt;100,IF(AND(LEN(CH988)=9,ISERROR(FIND("-",LEFT(CH988,8))),ISNUMBER(-LEFT(CH988,8))),VALUE(LEFT(CH988,4)),VALUE(LEFT(CH988,FIND("-",CH988)-1)))+2000,IF(AND(LEN(CH988)=9,ISERROR(FIND("-",LEFT(CH988,8))),ISNUMBER(-LEFT(CH988,8))),VALUE(LEFT(CH988,4)),VALUE(LEFT(CH988,FIND("-",CH988)-1)))),""))</f>
        <v/>
      </c>
      <c r="CN988">
        <f>IF(CH988="","",IFERROR(IF(AND(LEN(CH988)=9,ISERROR(FIND("-",LEFT(CH988,8))),ISNUMBER(-LEFT(CH988,8))),VALUE(MID(CH988,5,2)),VALUE(MID(CH988,FIND("-",CH988)+1,FIND("-",CH988,FIND("-",CH988)+1)-FIND("-",CH988)-1))),""))</f>
        <v/>
      </c>
      <c r="CO988">
        <f>IF(CH988="","",IFERROR(IF(AND(LEN(CH988)=9,ISERROR(FIND("-",LEFT(CH988,8))),ISNUMBER(-LEFT(CH988,8))),VALUE(MID(CH988,7,2)),VALUE(MID(CH988,FIND("-",CH988,FIND("-",CH988)+1)+1,FIND("-",CH988,FIND("-",CH988,FIND("-",CH988)+1)+1)-FIND("-",CH988,FIND("-",CH988)+1)-1))),""))</f>
        <v/>
      </c>
    </row>
    <row r="989">
      <c r="CH989">
        <f>IF(ISTEXT('월 가계부'!A989),SUBSTITUTE(SUBSTITUTE(SUBSTITUTE(SUBSTITUTE(SUBSTITUTE(SUBSTITUTE(SUBSTITUTE(SUBSTITUTE(SUBSTITUTE(TRIM('월 가계부'!A989),"년","-"),"월","-"),"일",""),".","-"),"/","-")," ","-"),"--","-"),"--","-"),"--","-")&amp;"-","")</f>
        <v/>
      </c>
      <c r="CI989">
        <f>IFERROR(IF('월 가계부'!A989="","",IF(ISNUMBER('월 가계부'!A989),IF(AND('월 가계부'!A989&gt;=19000101,'월 가계부'!A989&lt;=21001231),IF(AND(MOD(INT('월 가계부'!A989/100),100)&gt;=1,MOD(INT('월 가계부'!A989/100),100)&lt;=12,MOD(INT('월 가계부'!A989),100)&gt;=1,MOD(INT('월 가계부'!A989),100)&lt;=31),IF(MONTH(DATE(INT('월 가계부'!A989/10000),MOD(INT('월 가계부'!A989/100),100),MOD(INT('월 가계부'!A989),100)))=MOD(INT('월 가계부'!A989/100),100),DATE(INT('월 가계부'!A989/10000),MOD(INT('월 가계부'!A989/100),100),MOD(INT('월 가계부'!A989),100)),""),""),IF(AND('월 가계부'!A989&gt;=36526,'월 가계부'!A989&lt;73051),INT('월 가계부'!A989),"")),IF(OR(CM989="",CN989="",CO989=""),"",IF(AND(CM989&gt;=2000,CM989&lt;=2099,CN989&gt;=1,CN989&lt;=12,CO989&gt;=1,CO989&lt;=31),IF(MONTH(DATE(CM989,CN989,CO989))=CN989,DATE(CM989,CN989,CO989),""),"")))),"")</f>
        <v/>
      </c>
      <c r="CJ989">
        <f>IFERROR(IF('월 가계부'!C989="","",IF(ISNUMBER('월 가계부'!C989),'월 가계부'!C989,VALUE(SUBSTITUTE(SUBSTITUTE(SUBSTITUTE(SUBSTITUTE(TRIM('월 가계부'!C989),",",""),"원","")," ",""),"−","-")))),"")</f>
        <v/>
      </c>
      <c r="CK989">
        <f>IF(ISNUMBER(CI989),IF(CI989&lt;$B$13,CI989,""),"")</f>
        <v/>
      </c>
      <c r="CM989">
        <f>IF(CH989="","",IFERROR(IF(IF(AND(LEN(CH989)=9,ISERROR(FIND("-",LEFT(CH989,8))),ISNUMBER(-LEFT(CH989,8))),VALUE(LEFT(CH989,4)),VALUE(LEFT(CH989,FIND("-",CH989)-1)))&lt;100,IF(AND(LEN(CH989)=9,ISERROR(FIND("-",LEFT(CH989,8))),ISNUMBER(-LEFT(CH989,8))),VALUE(LEFT(CH989,4)),VALUE(LEFT(CH989,FIND("-",CH989)-1)))+2000,IF(AND(LEN(CH989)=9,ISERROR(FIND("-",LEFT(CH989,8))),ISNUMBER(-LEFT(CH989,8))),VALUE(LEFT(CH989,4)),VALUE(LEFT(CH989,FIND("-",CH989)-1)))),""))</f>
        <v/>
      </c>
      <c r="CN989">
        <f>IF(CH989="","",IFERROR(IF(AND(LEN(CH989)=9,ISERROR(FIND("-",LEFT(CH989,8))),ISNUMBER(-LEFT(CH989,8))),VALUE(MID(CH989,5,2)),VALUE(MID(CH989,FIND("-",CH989)+1,FIND("-",CH989,FIND("-",CH989)+1)-FIND("-",CH989)-1))),""))</f>
        <v/>
      </c>
      <c r="CO989">
        <f>IF(CH989="","",IFERROR(IF(AND(LEN(CH989)=9,ISERROR(FIND("-",LEFT(CH989,8))),ISNUMBER(-LEFT(CH989,8))),VALUE(MID(CH989,7,2)),VALUE(MID(CH989,FIND("-",CH989,FIND("-",CH989)+1)+1,FIND("-",CH989,FIND("-",CH989,FIND("-",CH989)+1)+1)-FIND("-",CH989,FIND("-",CH989)+1)-1))),""))</f>
        <v/>
      </c>
    </row>
    <row r="990">
      <c r="CH990">
        <f>IF(ISTEXT('월 가계부'!A990),SUBSTITUTE(SUBSTITUTE(SUBSTITUTE(SUBSTITUTE(SUBSTITUTE(SUBSTITUTE(SUBSTITUTE(SUBSTITUTE(SUBSTITUTE(TRIM('월 가계부'!A990),"년","-"),"월","-"),"일",""),".","-"),"/","-")," ","-"),"--","-"),"--","-"),"--","-")&amp;"-","")</f>
        <v/>
      </c>
      <c r="CI990">
        <f>IFERROR(IF('월 가계부'!A990="","",IF(ISNUMBER('월 가계부'!A990),IF(AND('월 가계부'!A990&gt;=19000101,'월 가계부'!A990&lt;=21001231),IF(AND(MOD(INT('월 가계부'!A990/100),100)&gt;=1,MOD(INT('월 가계부'!A990/100),100)&lt;=12,MOD(INT('월 가계부'!A990),100)&gt;=1,MOD(INT('월 가계부'!A990),100)&lt;=31),IF(MONTH(DATE(INT('월 가계부'!A990/10000),MOD(INT('월 가계부'!A990/100),100),MOD(INT('월 가계부'!A990),100)))=MOD(INT('월 가계부'!A990/100),100),DATE(INT('월 가계부'!A990/10000),MOD(INT('월 가계부'!A990/100),100),MOD(INT('월 가계부'!A990),100)),""),""),IF(AND('월 가계부'!A990&gt;=36526,'월 가계부'!A990&lt;73051),INT('월 가계부'!A990),"")),IF(OR(CM990="",CN990="",CO990=""),"",IF(AND(CM990&gt;=2000,CM990&lt;=2099,CN990&gt;=1,CN990&lt;=12,CO990&gt;=1,CO990&lt;=31),IF(MONTH(DATE(CM990,CN990,CO990))=CN990,DATE(CM990,CN990,CO990),""),"")))),"")</f>
        <v/>
      </c>
      <c r="CJ990">
        <f>IFERROR(IF('월 가계부'!C990="","",IF(ISNUMBER('월 가계부'!C990),'월 가계부'!C990,VALUE(SUBSTITUTE(SUBSTITUTE(SUBSTITUTE(SUBSTITUTE(TRIM('월 가계부'!C990),",",""),"원","")," ",""),"−","-")))),"")</f>
        <v/>
      </c>
      <c r="CK990">
        <f>IF(ISNUMBER(CI990),IF(CI990&lt;$B$13,CI990,""),"")</f>
        <v/>
      </c>
      <c r="CM990">
        <f>IF(CH990="","",IFERROR(IF(IF(AND(LEN(CH990)=9,ISERROR(FIND("-",LEFT(CH990,8))),ISNUMBER(-LEFT(CH990,8))),VALUE(LEFT(CH990,4)),VALUE(LEFT(CH990,FIND("-",CH990)-1)))&lt;100,IF(AND(LEN(CH990)=9,ISERROR(FIND("-",LEFT(CH990,8))),ISNUMBER(-LEFT(CH990,8))),VALUE(LEFT(CH990,4)),VALUE(LEFT(CH990,FIND("-",CH990)-1)))+2000,IF(AND(LEN(CH990)=9,ISERROR(FIND("-",LEFT(CH990,8))),ISNUMBER(-LEFT(CH990,8))),VALUE(LEFT(CH990,4)),VALUE(LEFT(CH990,FIND("-",CH990)-1)))),""))</f>
        <v/>
      </c>
      <c r="CN990">
        <f>IF(CH990="","",IFERROR(IF(AND(LEN(CH990)=9,ISERROR(FIND("-",LEFT(CH990,8))),ISNUMBER(-LEFT(CH990,8))),VALUE(MID(CH990,5,2)),VALUE(MID(CH990,FIND("-",CH990)+1,FIND("-",CH990,FIND("-",CH990)+1)-FIND("-",CH990)-1))),""))</f>
        <v/>
      </c>
      <c r="CO990">
        <f>IF(CH990="","",IFERROR(IF(AND(LEN(CH990)=9,ISERROR(FIND("-",LEFT(CH990,8))),ISNUMBER(-LEFT(CH990,8))),VALUE(MID(CH990,7,2)),VALUE(MID(CH990,FIND("-",CH990,FIND("-",CH990)+1)+1,FIND("-",CH990,FIND("-",CH990,FIND("-",CH990)+1)+1)-FIND("-",CH990,FIND("-",CH990)+1)-1))),""))</f>
        <v/>
      </c>
    </row>
    <row r="991">
      <c r="CH991">
        <f>IF(ISTEXT('월 가계부'!A991),SUBSTITUTE(SUBSTITUTE(SUBSTITUTE(SUBSTITUTE(SUBSTITUTE(SUBSTITUTE(SUBSTITUTE(SUBSTITUTE(SUBSTITUTE(TRIM('월 가계부'!A991),"년","-"),"월","-"),"일",""),".","-"),"/","-")," ","-"),"--","-"),"--","-"),"--","-")&amp;"-","")</f>
        <v/>
      </c>
      <c r="CI991">
        <f>IFERROR(IF('월 가계부'!A991="","",IF(ISNUMBER('월 가계부'!A991),IF(AND('월 가계부'!A991&gt;=19000101,'월 가계부'!A991&lt;=21001231),IF(AND(MOD(INT('월 가계부'!A991/100),100)&gt;=1,MOD(INT('월 가계부'!A991/100),100)&lt;=12,MOD(INT('월 가계부'!A991),100)&gt;=1,MOD(INT('월 가계부'!A991),100)&lt;=31),IF(MONTH(DATE(INT('월 가계부'!A991/10000),MOD(INT('월 가계부'!A991/100),100),MOD(INT('월 가계부'!A991),100)))=MOD(INT('월 가계부'!A991/100),100),DATE(INT('월 가계부'!A991/10000),MOD(INT('월 가계부'!A991/100),100),MOD(INT('월 가계부'!A991),100)),""),""),IF(AND('월 가계부'!A991&gt;=36526,'월 가계부'!A991&lt;73051),INT('월 가계부'!A991),"")),IF(OR(CM991="",CN991="",CO991=""),"",IF(AND(CM991&gt;=2000,CM991&lt;=2099,CN991&gt;=1,CN991&lt;=12,CO991&gt;=1,CO991&lt;=31),IF(MONTH(DATE(CM991,CN991,CO991))=CN991,DATE(CM991,CN991,CO991),""),"")))),"")</f>
        <v/>
      </c>
      <c r="CJ991">
        <f>IFERROR(IF('월 가계부'!C991="","",IF(ISNUMBER('월 가계부'!C991),'월 가계부'!C991,VALUE(SUBSTITUTE(SUBSTITUTE(SUBSTITUTE(SUBSTITUTE(TRIM('월 가계부'!C991),",",""),"원","")," ",""),"−","-")))),"")</f>
        <v/>
      </c>
      <c r="CK991">
        <f>IF(ISNUMBER(CI991),IF(CI991&lt;$B$13,CI991,""),"")</f>
        <v/>
      </c>
      <c r="CM991">
        <f>IF(CH991="","",IFERROR(IF(IF(AND(LEN(CH991)=9,ISERROR(FIND("-",LEFT(CH991,8))),ISNUMBER(-LEFT(CH991,8))),VALUE(LEFT(CH991,4)),VALUE(LEFT(CH991,FIND("-",CH991)-1)))&lt;100,IF(AND(LEN(CH991)=9,ISERROR(FIND("-",LEFT(CH991,8))),ISNUMBER(-LEFT(CH991,8))),VALUE(LEFT(CH991,4)),VALUE(LEFT(CH991,FIND("-",CH991)-1)))+2000,IF(AND(LEN(CH991)=9,ISERROR(FIND("-",LEFT(CH991,8))),ISNUMBER(-LEFT(CH991,8))),VALUE(LEFT(CH991,4)),VALUE(LEFT(CH991,FIND("-",CH991)-1)))),""))</f>
        <v/>
      </c>
      <c r="CN991">
        <f>IF(CH991="","",IFERROR(IF(AND(LEN(CH991)=9,ISERROR(FIND("-",LEFT(CH991,8))),ISNUMBER(-LEFT(CH991,8))),VALUE(MID(CH991,5,2)),VALUE(MID(CH991,FIND("-",CH991)+1,FIND("-",CH991,FIND("-",CH991)+1)-FIND("-",CH991)-1))),""))</f>
        <v/>
      </c>
      <c r="CO991">
        <f>IF(CH991="","",IFERROR(IF(AND(LEN(CH991)=9,ISERROR(FIND("-",LEFT(CH991,8))),ISNUMBER(-LEFT(CH991,8))),VALUE(MID(CH991,7,2)),VALUE(MID(CH991,FIND("-",CH991,FIND("-",CH991)+1)+1,FIND("-",CH991,FIND("-",CH991,FIND("-",CH991)+1)+1)-FIND("-",CH991,FIND("-",CH991)+1)-1))),""))</f>
        <v/>
      </c>
    </row>
    <row r="992">
      <c r="CH992">
        <f>IF(ISTEXT('월 가계부'!A992),SUBSTITUTE(SUBSTITUTE(SUBSTITUTE(SUBSTITUTE(SUBSTITUTE(SUBSTITUTE(SUBSTITUTE(SUBSTITUTE(SUBSTITUTE(TRIM('월 가계부'!A992),"년","-"),"월","-"),"일",""),".","-"),"/","-")," ","-"),"--","-"),"--","-"),"--","-")&amp;"-","")</f>
        <v/>
      </c>
      <c r="CI992">
        <f>IFERROR(IF('월 가계부'!A992="","",IF(ISNUMBER('월 가계부'!A992),IF(AND('월 가계부'!A992&gt;=19000101,'월 가계부'!A992&lt;=21001231),IF(AND(MOD(INT('월 가계부'!A992/100),100)&gt;=1,MOD(INT('월 가계부'!A992/100),100)&lt;=12,MOD(INT('월 가계부'!A992),100)&gt;=1,MOD(INT('월 가계부'!A992),100)&lt;=31),IF(MONTH(DATE(INT('월 가계부'!A992/10000),MOD(INT('월 가계부'!A992/100),100),MOD(INT('월 가계부'!A992),100)))=MOD(INT('월 가계부'!A992/100),100),DATE(INT('월 가계부'!A992/10000),MOD(INT('월 가계부'!A992/100),100),MOD(INT('월 가계부'!A992),100)),""),""),IF(AND('월 가계부'!A992&gt;=36526,'월 가계부'!A992&lt;73051),INT('월 가계부'!A992),"")),IF(OR(CM992="",CN992="",CO992=""),"",IF(AND(CM992&gt;=2000,CM992&lt;=2099,CN992&gt;=1,CN992&lt;=12,CO992&gt;=1,CO992&lt;=31),IF(MONTH(DATE(CM992,CN992,CO992))=CN992,DATE(CM992,CN992,CO992),""),"")))),"")</f>
        <v/>
      </c>
      <c r="CJ992">
        <f>IFERROR(IF('월 가계부'!C992="","",IF(ISNUMBER('월 가계부'!C992),'월 가계부'!C992,VALUE(SUBSTITUTE(SUBSTITUTE(SUBSTITUTE(SUBSTITUTE(TRIM('월 가계부'!C992),",",""),"원","")," ",""),"−","-")))),"")</f>
        <v/>
      </c>
      <c r="CK992">
        <f>IF(ISNUMBER(CI992),IF(CI992&lt;$B$13,CI992,""),"")</f>
        <v/>
      </c>
      <c r="CM992">
        <f>IF(CH992="","",IFERROR(IF(IF(AND(LEN(CH992)=9,ISERROR(FIND("-",LEFT(CH992,8))),ISNUMBER(-LEFT(CH992,8))),VALUE(LEFT(CH992,4)),VALUE(LEFT(CH992,FIND("-",CH992)-1)))&lt;100,IF(AND(LEN(CH992)=9,ISERROR(FIND("-",LEFT(CH992,8))),ISNUMBER(-LEFT(CH992,8))),VALUE(LEFT(CH992,4)),VALUE(LEFT(CH992,FIND("-",CH992)-1)))+2000,IF(AND(LEN(CH992)=9,ISERROR(FIND("-",LEFT(CH992,8))),ISNUMBER(-LEFT(CH992,8))),VALUE(LEFT(CH992,4)),VALUE(LEFT(CH992,FIND("-",CH992)-1)))),""))</f>
        <v/>
      </c>
      <c r="CN992">
        <f>IF(CH992="","",IFERROR(IF(AND(LEN(CH992)=9,ISERROR(FIND("-",LEFT(CH992,8))),ISNUMBER(-LEFT(CH992,8))),VALUE(MID(CH992,5,2)),VALUE(MID(CH992,FIND("-",CH992)+1,FIND("-",CH992,FIND("-",CH992)+1)-FIND("-",CH992)-1))),""))</f>
        <v/>
      </c>
      <c r="CO992">
        <f>IF(CH992="","",IFERROR(IF(AND(LEN(CH992)=9,ISERROR(FIND("-",LEFT(CH992,8))),ISNUMBER(-LEFT(CH992,8))),VALUE(MID(CH992,7,2)),VALUE(MID(CH992,FIND("-",CH992,FIND("-",CH992)+1)+1,FIND("-",CH992,FIND("-",CH992,FIND("-",CH992)+1)+1)-FIND("-",CH992,FIND("-",CH992)+1)-1))),""))</f>
        <v/>
      </c>
    </row>
    <row r="993">
      <c r="CH993">
        <f>IF(ISTEXT('월 가계부'!A993),SUBSTITUTE(SUBSTITUTE(SUBSTITUTE(SUBSTITUTE(SUBSTITUTE(SUBSTITUTE(SUBSTITUTE(SUBSTITUTE(SUBSTITUTE(TRIM('월 가계부'!A993),"년","-"),"월","-"),"일",""),".","-"),"/","-")," ","-"),"--","-"),"--","-"),"--","-")&amp;"-","")</f>
        <v/>
      </c>
      <c r="CI993">
        <f>IFERROR(IF('월 가계부'!A993="","",IF(ISNUMBER('월 가계부'!A993),IF(AND('월 가계부'!A993&gt;=19000101,'월 가계부'!A993&lt;=21001231),IF(AND(MOD(INT('월 가계부'!A993/100),100)&gt;=1,MOD(INT('월 가계부'!A993/100),100)&lt;=12,MOD(INT('월 가계부'!A993),100)&gt;=1,MOD(INT('월 가계부'!A993),100)&lt;=31),IF(MONTH(DATE(INT('월 가계부'!A993/10000),MOD(INT('월 가계부'!A993/100),100),MOD(INT('월 가계부'!A993),100)))=MOD(INT('월 가계부'!A993/100),100),DATE(INT('월 가계부'!A993/10000),MOD(INT('월 가계부'!A993/100),100),MOD(INT('월 가계부'!A993),100)),""),""),IF(AND('월 가계부'!A993&gt;=36526,'월 가계부'!A993&lt;73051),INT('월 가계부'!A993),"")),IF(OR(CM993="",CN993="",CO993=""),"",IF(AND(CM993&gt;=2000,CM993&lt;=2099,CN993&gt;=1,CN993&lt;=12,CO993&gt;=1,CO993&lt;=31),IF(MONTH(DATE(CM993,CN993,CO993))=CN993,DATE(CM993,CN993,CO993),""),"")))),"")</f>
        <v/>
      </c>
      <c r="CJ993">
        <f>IFERROR(IF('월 가계부'!C993="","",IF(ISNUMBER('월 가계부'!C993),'월 가계부'!C993,VALUE(SUBSTITUTE(SUBSTITUTE(SUBSTITUTE(SUBSTITUTE(TRIM('월 가계부'!C993),",",""),"원","")," ",""),"−","-")))),"")</f>
        <v/>
      </c>
      <c r="CK993">
        <f>IF(ISNUMBER(CI993),IF(CI993&lt;$B$13,CI993,""),"")</f>
        <v/>
      </c>
      <c r="CM993">
        <f>IF(CH993="","",IFERROR(IF(IF(AND(LEN(CH993)=9,ISERROR(FIND("-",LEFT(CH993,8))),ISNUMBER(-LEFT(CH993,8))),VALUE(LEFT(CH993,4)),VALUE(LEFT(CH993,FIND("-",CH993)-1)))&lt;100,IF(AND(LEN(CH993)=9,ISERROR(FIND("-",LEFT(CH993,8))),ISNUMBER(-LEFT(CH993,8))),VALUE(LEFT(CH993,4)),VALUE(LEFT(CH993,FIND("-",CH993)-1)))+2000,IF(AND(LEN(CH993)=9,ISERROR(FIND("-",LEFT(CH993,8))),ISNUMBER(-LEFT(CH993,8))),VALUE(LEFT(CH993,4)),VALUE(LEFT(CH993,FIND("-",CH993)-1)))),""))</f>
        <v/>
      </c>
      <c r="CN993">
        <f>IF(CH993="","",IFERROR(IF(AND(LEN(CH993)=9,ISERROR(FIND("-",LEFT(CH993,8))),ISNUMBER(-LEFT(CH993,8))),VALUE(MID(CH993,5,2)),VALUE(MID(CH993,FIND("-",CH993)+1,FIND("-",CH993,FIND("-",CH993)+1)-FIND("-",CH993)-1))),""))</f>
        <v/>
      </c>
      <c r="CO993">
        <f>IF(CH993="","",IFERROR(IF(AND(LEN(CH993)=9,ISERROR(FIND("-",LEFT(CH993,8))),ISNUMBER(-LEFT(CH993,8))),VALUE(MID(CH993,7,2)),VALUE(MID(CH993,FIND("-",CH993,FIND("-",CH993)+1)+1,FIND("-",CH993,FIND("-",CH993,FIND("-",CH993)+1)+1)-FIND("-",CH993,FIND("-",CH993)+1)-1))),""))</f>
        <v/>
      </c>
    </row>
    <row r="994">
      <c r="CH994">
        <f>IF(ISTEXT('월 가계부'!A994),SUBSTITUTE(SUBSTITUTE(SUBSTITUTE(SUBSTITUTE(SUBSTITUTE(SUBSTITUTE(SUBSTITUTE(SUBSTITUTE(SUBSTITUTE(TRIM('월 가계부'!A994),"년","-"),"월","-"),"일",""),".","-"),"/","-")," ","-"),"--","-"),"--","-"),"--","-")&amp;"-","")</f>
        <v/>
      </c>
      <c r="CI994">
        <f>IFERROR(IF('월 가계부'!A994="","",IF(ISNUMBER('월 가계부'!A994),IF(AND('월 가계부'!A994&gt;=19000101,'월 가계부'!A994&lt;=21001231),IF(AND(MOD(INT('월 가계부'!A994/100),100)&gt;=1,MOD(INT('월 가계부'!A994/100),100)&lt;=12,MOD(INT('월 가계부'!A994),100)&gt;=1,MOD(INT('월 가계부'!A994),100)&lt;=31),IF(MONTH(DATE(INT('월 가계부'!A994/10000),MOD(INT('월 가계부'!A994/100),100),MOD(INT('월 가계부'!A994),100)))=MOD(INT('월 가계부'!A994/100),100),DATE(INT('월 가계부'!A994/10000),MOD(INT('월 가계부'!A994/100),100),MOD(INT('월 가계부'!A994),100)),""),""),IF(AND('월 가계부'!A994&gt;=36526,'월 가계부'!A994&lt;73051),INT('월 가계부'!A994),"")),IF(OR(CM994="",CN994="",CO994=""),"",IF(AND(CM994&gt;=2000,CM994&lt;=2099,CN994&gt;=1,CN994&lt;=12,CO994&gt;=1,CO994&lt;=31),IF(MONTH(DATE(CM994,CN994,CO994))=CN994,DATE(CM994,CN994,CO994),""),"")))),"")</f>
        <v/>
      </c>
      <c r="CJ994">
        <f>IFERROR(IF('월 가계부'!C994="","",IF(ISNUMBER('월 가계부'!C994),'월 가계부'!C994,VALUE(SUBSTITUTE(SUBSTITUTE(SUBSTITUTE(SUBSTITUTE(TRIM('월 가계부'!C994),",",""),"원","")," ",""),"−","-")))),"")</f>
        <v/>
      </c>
      <c r="CK994">
        <f>IF(ISNUMBER(CI994),IF(CI994&lt;$B$13,CI994,""),"")</f>
        <v/>
      </c>
      <c r="CM994">
        <f>IF(CH994="","",IFERROR(IF(IF(AND(LEN(CH994)=9,ISERROR(FIND("-",LEFT(CH994,8))),ISNUMBER(-LEFT(CH994,8))),VALUE(LEFT(CH994,4)),VALUE(LEFT(CH994,FIND("-",CH994)-1)))&lt;100,IF(AND(LEN(CH994)=9,ISERROR(FIND("-",LEFT(CH994,8))),ISNUMBER(-LEFT(CH994,8))),VALUE(LEFT(CH994,4)),VALUE(LEFT(CH994,FIND("-",CH994)-1)))+2000,IF(AND(LEN(CH994)=9,ISERROR(FIND("-",LEFT(CH994,8))),ISNUMBER(-LEFT(CH994,8))),VALUE(LEFT(CH994,4)),VALUE(LEFT(CH994,FIND("-",CH994)-1)))),""))</f>
        <v/>
      </c>
      <c r="CN994">
        <f>IF(CH994="","",IFERROR(IF(AND(LEN(CH994)=9,ISERROR(FIND("-",LEFT(CH994,8))),ISNUMBER(-LEFT(CH994,8))),VALUE(MID(CH994,5,2)),VALUE(MID(CH994,FIND("-",CH994)+1,FIND("-",CH994,FIND("-",CH994)+1)-FIND("-",CH994)-1))),""))</f>
        <v/>
      </c>
      <c r="CO994">
        <f>IF(CH994="","",IFERROR(IF(AND(LEN(CH994)=9,ISERROR(FIND("-",LEFT(CH994,8))),ISNUMBER(-LEFT(CH994,8))),VALUE(MID(CH994,7,2)),VALUE(MID(CH994,FIND("-",CH994,FIND("-",CH994)+1)+1,FIND("-",CH994,FIND("-",CH994,FIND("-",CH994)+1)+1)-FIND("-",CH994,FIND("-",CH994)+1)-1))),""))</f>
        <v/>
      </c>
    </row>
    <row r="995">
      <c r="CH995">
        <f>IF(ISTEXT('월 가계부'!A995),SUBSTITUTE(SUBSTITUTE(SUBSTITUTE(SUBSTITUTE(SUBSTITUTE(SUBSTITUTE(SUBSTITUTE(SUBSTITUTE(SUBSTITUTE(TRIM('월 가계부'!A995),"년","-"),"월","-"),"일",""),".","-"),"/","-")," ","-"),"--","-"),"--","-"),"--","-")&amp;"-","")</f>
        <v/>
      </c>
      <c r="CI995">
        <f>IFERROR(IF('월 가계부'!A995="","",IF(ISNUMBER('월 가계부'!A995),IF(AND('월 가계부'!A995&gt;=19000101,'월 가계부'!A995&lt;=21001231),IF(AND(MOD(INT('월 가계부'!A995/100),100)&gt;=1,MOD(INT('월 가계부'!A995/100),100)&lt;=12,MOD(INT('월 가계부'!A995),100)&gt;=1,MOD(INT('월 가계부'!A995),100)&lt;=31),IF(MONTH(DATE(INT('월 가계부'!A995/10000),MOD(INT('월 가계부'!A995/100),100),MOD(INT('월 가계부'!A995),100)))=MOD(INT('월 가계부'!A995/100),100),DATE(INT('월 가계부'!A995/10000),MOD(INT('월 가계부'!A995/100),100),MOD(INT('월 가계부'!A995),100)),""),""),IF(AND('월 가계부'!A995&gt;=36526,'월 가계부'!A995&lt;73051),INT('월 가계부'!A995),"")),IF(OR(CM995="",CN995="",CO995=""),"",IF(AND(CM995&gt;=2000,CM995&lt;=2099,CN995&gt;=1,CN995&lt;=12,CO995&gt;=1,CO995&lt;=31),IF(MONTH(DATE(CM995,CN995,CO995))=CN995,DATE(CM995,CN995,CO995),""),"")))),"")</f>
        <v/>
      </c>
      <c r="CJ995">
        <f>IFERROR(IF('월 가계부'!C995="","",IF(ISNUMBER('월 가계부'!C995),'월 가계부'!C995,VALUE(SUBSTITUTE(SUBSTITUTE(SUBSTITUTE(SUBSTITUTE(TRIM('월 가계부'!C995),",",""),"원","")," ",""),"−","-")))),"")</f>
        <v/>
      </c>
      <c r="CK995">
        <f>IF(ISNUMBER(CI995),IF(CI995&lt;$B$13,CI995,""),"")</f>
        <v/>
      </c>
      <c r="CM995">
        <f>IF(CH995="","",IFERROR(IF(IF(AND(LEN(CH995)=9,ISERROR(FIND("-",LEFT(CH995,8))),ISNUMBER(-LEFT(CH995,8))),VALUE(LEFT(CH995,4)),VALUE(LEFT(CH995,FIND("-",CH995)-1)))&lt;100,IF(AND(LEN(CH995)=9,ISERROR(FIND("-",LEFT(CH995,8))),ISNUMBER(-LEFT(CH995,8))),VALUE(LEFT(CH995,4)),VALUE(LEFT(CH995,FIND("-",CH995)-1)))+2000,IF(AND(LEN(CH995)=9,ISERROR(FIND("-",LEFT(CH995,8))),ISNUMBER(-LEFT(CH995,8))),VALUE(LEFT(CH995,4)),VALUE(LEFT(CH995,FIND("-",CH995)-1)))),""))</f>
        <v/>
      </c>
      <c r="CN995">
        <f>IF(CH995="","",IFERROR(IF(AND(LEN(CH995)=9,ISERROR(FIND("-",LEFT(CH995,8))),ISNUMBER(-LEFT(CH995,8))),VALUE(MID(CH995,5,2)),VALUE(MID(CH995,FIND("-",CH995)+1,FIND("-",CH995,FIND("-",CH995)+1)-FIND("-",CH995)-1))),""))</f>
        <v/>
      </c>
      <c r="CO995">
        <f>IF(CH995="","",IFERROR(IF(AND(LEN(CH995)=9,ISERROR(FIND("-",LEFT(CH995,8))),ISNUMBER(-LEFT(CH995,8))),VALUE(MID(CH995,7,2)),VALUE(MID(CH995,FIND("-",CH995,FIND("-",CH995)+1)+1,FIND("-",CH995,FIND("-",CH995,FIND("-",CH995)+1)+1)-FIND("-",CH995,FIND("-",CH995)+1)-1))),""))</f>
        <v/>
      </c>
    </row>
    <row r="996">
      <c r="CH996">
        <f>IF(ISTEXT('월 가계부'!A996),SUBSTITUTE(SUBSTITUTE(SUBSTITUTE(SUBSTITUTE(SUBSTITUTE(SUBSTITUTE(SUBSTITUTE(SUBSTITUTE(SUBSTITUTE(TRIM('월 가계부'!A996),"년","-"),"월","-"),"일",""),".","-"),"/","-")," ","-"),"--","-"),"--","-"),"--","-")&amp;"-","")</f>
        <v/>
      </c>
      <c r="CI996">
        <f>IFERROR(IF('월 가계부'!A996="","",IF(ISNUMBER('월 가계부'!A996),IF(AND('월 가계부'!A996&gt;=19000101,'월 가계부'!A996&lt;=21001231),IF(AND(MOD(INT('월 가계부'!A996/100),100)&gt;=1,MOD(INT('월 가계부'!A996/100),100)&lt;=12,MOD(INT('월 가계부'!A996),100)&gt;=1,MOD(INT('월 가계부'!A996),100)&lt;=31),IF(MONTH(DATE(INT('월 가계부'!A996/10000),MOD(INT('월 가계부'!A996/100),100),MOD(INT('월 가계부'!A996),100)))=MOD(INT('월 가계부'!A996/100),100),DATE(INT('월 가계부'!A996/10000),MOD(INT('월 가계부'!A996/100),100),MOD(INT('월 가계부'!A996),100)),""),""),IF(AND('월 가계부'!A996&gt;=36526,'월 가계부'!A996&lt;73051),INT('월 가계부'!A996),"")),IF(OR(CM996="",CN996="",CO996=""),"",IF(AND(CM996&gt;=2000,CM996&lt;=2099,CN996&gt;=1,CN996&lt;=12,CO996&gt;=1,CO996&lt;=31),IF(MONTH(DATE(CM996,CN996,CO996))=CN996,DATE(CM996,CN996,CO996),""),"")))),"")</f>
        <v/>
      </c>
      <c r="CJ996">
        <f>IFERROR(IF('월 가계부'!C996="","",IF(ISNUMBER('월 가계부'!C996),'월 가계부'!C996,VALUE(SUBSTITUTE(SUBSTITUTE(SUBSTITUTE(SUBSTITUTE(TRIM('월 가계부'!C996),",",""),"원","")," ",""),"−","-")))),"")</f>
        <v/>
      </c>
      <c r="CK996">
        <f>IF(ISNUMBER(CI996),IF(CI996&lt;$B$13,CI996,""),"")</f>
        <v/>
      </c>
      <c r="CM996">
        <f>IF(CH996="","",IFERROR(IF(IF(AND(LEN(CH996)=9,ISERROR(FIND("-",LEFT(CH996,8))),ISNUMBER(-LEFT(CH996,8))),VALUE(LEFT(CH996,4)),VALUE(LEFT(CH996,FIND("-",CH996)-1)))&lt;100,IF(AND(LEN(CH996)=9,ISERROR(FIND("-",LEFT(CH996,8))),ISNUMBER(-LEFT(CH996,8))),VALUE(LEFT(CH996,4)),VALUE(LEFT(CH996,FIND("-",CH996)-1)))+2000,IF(AND(LEN(CH996)=9,ISERROR(FIND("-",LEFT(CH996,8))),ISNUMBER(-LEFT(CH996,8))),VALUE(LEFT(CH996,4)),VALUE(LEFT(CH996,FIND("-",CH996)-1)))),""))</f>
        <v/>
      </c>
      <c r="CN996">
        <f>IF(CH996="","",IFERROR(IF(AND(LEN(CH996)=9,ISERROR(FIND("-",LEFT(CH996,8))),ISNUMBER(-LEFT(CH996,8))),VALUE(MID(CH996,5,2)),VALUE(MID(CH996,FIND("-",CH996)+1,FIND("-",CH996,FIND("-",CH996)+1)-FIND("-",CH996)-1))),""))</f>
        <v/>
      </c>
      <c r="CO996">
        <f>IF(CH996="","",IFERROR(IF(AND(LEN(CH996)=9,ISERROR(FIND("-",LEFT(CH996,8))),ISNUMBER(-LEFT(CH996,8))),VALUE(MID(CH996,7,2)),VALUE(MID(CH996,FIND("-",CH996,FIND("-",CH996)+1)+1,FIND("-",CH996,FIND("-",CH996,FIND("-",CH996)+1)+1)-FIND("-",CH996,FIND("-",CH996)+1)-1))),""))</f>
        <v/>
      </c>
    </row>
    <row r="997">
      <c r="CH997">
        <f>IF(ISTEXT('월 가계부'!A997),SUBSTITUTE(SUBSTITUTE(SUBSTITUTE(SUBSTITUTE(SUBSTITUTE(SUBSTITUTE(SUBSTITUTE(SUBSTITUTE(SUBSTITUTE(TRIM('월 가계부'!A997),"년","-"),"월","-"),"일",""),".","-"),"/","-")," ","-"),"--","-"),"--","-"),"--","-")&amp;"-","")</f>
        <v/>
      </c>
      <c r="CI997">
        <f>IFERROR(IF('월 가계부'!A997="","",IF(ISNUMBER('월 가계부'!A997),IF(AND('월 가계부'!A997&gt;=19000101,'월 가계부'!A997&lt;=21001231),IF(AND(MOD(INT('월 가계부'!A997/100),100)&gt;=1,MOD(INT('월 가계부'!A997/100),100)&lt;=12,MOD(INT('월 가계부'!A997),100)&gt;=1,MOD(INT('월 가계부'!A997),100)&lt;=31),IF(MONTH(DATE(INT('월 가계부'!A997/10000),MOD(INT('월 가계부'!A997/100),100),MOD(INT('월 가계부'!A997),100)))=MOD(INT('월 가계부'!A997/100),100),DATE(INT('월 가계부'!A997/10000),MOD(INT('월 가계부'!A997/100),100),MOD(INT('월 가계부'!A997),100)),""),""),IF(AND('월 가계부'!A997&gt;=36526,'월 가계부'!A997&lt;73051),INT('월 가계부'!A997),"")),IF(OR(CM997="",CN997="",CO997=""),"",IF(AND(CM997&gt;=2000,CM997&lt;=2099,CN997&gt;=1,CN997&lt;=12,CO997&gt;=1,CO997&lt;=31),IF(MONTH(DATE(CM997,CN997,CO997))=CN997,DATE(CM997,CN997,CO997),""),"")))),"")</f>
        <v/>
      </c>
      <c r="CJ997">
        <f>IFERROR(IF('월 가계부'!C997="","",IF(ISNUMBER('월 가계부'!C997),'월 가계부'!C997,VALUE(SUBSTITUTE(SUBSTITUTE(SUBSTITUTE(SUBSTITUTE(TRIM('월 가계부'!C997),",",""),"원","")," ",""),"−","-")))),"")</f>
        <v/>
      </c>
      <c r="CK997">
        <f>IF(ISNUMBER(CI997),IF(CI997&lt;$B$13,CI997,""),"")</f>
        <v/>
      </c>
      <c r="CM997">
        <f>IF(CH997="","",IFERROR(IF(IF(AND(LEN(CH997)=9,ISERROR(FIND("-",LEFT(CH997,8))),ISNUMBER(-LEFT(CH997,8))),VALUE(LEFT(CH997,4)),VALUE(LEFT(CH997,FIND("-",CH997)-1)))&lt;100,IF(AND(LEN(CH997)=9,ISERROR(FIND("-",LEFT(CH997,8))),ISNUMBER(-LEFT(CH997,8))),VALUE(LEFT(CH997,4)),VALUE(LEFT(CH997,FIND("-",CH997)-1)))+2000,IF(AND(LEN(CH997)=9,ISERROR(FIND("-",LEFT(CH997,8))),ISNUMBER(-LEFT(CH997,8))),VALUE(LEFT(CH997,4)),VALUE(LEFT(CH997,FIND("-",CH997)-1)))),""))</f>
        <v/>
      </c>
      <c r="CN997">
        <f>IF(CH997="","",IFERROR(IF(AND(LEN(CH997)=9,ISERROR(FIND("-",LEFT(CH997,8))),ISNUMBER(-LEFT(CH997,8))),VALUE(MID(CH997,5,2)),VALUE(MID(CH997,FIND("-",CH997)+1,FIND("-",CH997,FIND("-",CH997)+1)-FIND("-",CH997)-1))),""))</f>
        <v/>
      </c>
      <c r="CO997">
        <f>IF(CH997="","",IFERROR(IF(AND(LEN(CH997)=9,ISERROR(FIND("-",LEFT(CH997,8))),ISNUMBER(-LEFT(CH997,8))),VALUE(MID(CH997,7,2)),VALUE(MID(CH997,FIND("-",CH997,FIND("-",CH997)+1)+1,FIND("-",CH997,FIND("-",CH997,FIND("-",CH997)+1)+1)-FIND("-",CH997,FIND("-",CH997)+1)-1))),""))</f>
        <v/>
      </c>
    </row>
    <row r="998">
      <c r="CH998">
        <f>IF(ISTEXT('월 가계부'!A998),SUBSTITUTE(SUBSTITUTE(SUBSTITUTE(SUBSTITUTE(SUBSTITUTE(SUBSTITUTE(SUBSTITUTE(SUBSTITUTE(SUBSTITUTE(TRIM('월 가계부'!A998),"년","-"),"월","-"),"일",""),".","-"),"/","-")," ","-"),"--","-"),"--","-"),"--","-")&amp;"-","")</f>
        <v/>
      </c>
      <c r="CI998">
        <f>IFERROR(IF('월 가계부'!A998="","",IF(ISNUMBER('월 가계부'!A998),IF(AND('월 가계부'!A998&gt;=19000101,'월 가계부'!A998&lt;=21001231),IF(AND(MOD(INT('월 가계부'!A998/100),100)&gt;=1,MOD(INT('월 가계부'!A998/100),100)&lt;=12,MOD(INT('월 가계부'!A998),100)&gt;=1,MOD(INT('월 가계부'!A998),100)&lt;=31),IF(MONTH(DATE(INT('월 가계부'!A998/10000),MOD(INT('월 가계부'!A998/100),100),MOD(INT('월 가계부'!A998),100)))=MOD(INT('월 가계부'!A998/100),100),DATE(INT('월 가계부'!A998/10000),MOD(INT('월 가계부'!A998/100),100),MOD(INT('월 가계부'!A998),100)),""),""),IF(AND('월 가계부'!A998&gt;=36526,'월 가계부'!A998&lt;73051),INT('월 가계부'!A998),"")),IF(OR(CM998="",CN998="",CO998=""),"",IF(AND(CM998&gt;=2000,CM998&lt;=2099,CN998&gt;=1,CN998&lt;=12,CO998&gt;=1,CO998&lt;=31),IF(MONTH(DATE(CM998,CN998,CO998))=CN998,DATE(CM998,CN998,CO998),""),"")))),"")</f>
        <v/>
      </c>
      <c r="CJ998">
        <f>IFERROR(IF('월 가계부'!C998="","",IF(ISNUMBER('월 가계부'!C998),'월 가계부'!C998,VALUE(SUBSTITUTE(SUBSTITUTE(SUBSTITUTE(SUBSTITUTE(TRIM('월 가계부'!C998),",",""),"원","")," ",""),"−","-")))),"")</f>
        <v/>
      </c>
      <c r="CK998">
        <f>IF(ISNUMBER(CI998),IF(CI998&lt;$B$13,CI998,""),"")</f>
        <v/>
      </c>
      <c r="CM998">
        <f>IF(CH998="","",IFERROR(IF(IF(AND(LEN(CH998)=9,ISERROR(FIND("-",LEFT(CH998,8))),ISNUMBER(-LEFT(CH998,8))),VALUE(LEFT(CH998,4)),VALUE(LEFT(CH998,FIND("-",CH998)-1)))&lt;100,IF(AND(LEN(CH998)=9,ISERROR(FIND("-",LEFT(CH998,8))),ISNUMBER(-LEFT(CH998,8))),VALUE(LEFT(CH998,4)),VALUE(LEFT(CH998,FIND("-",CH998)-1)))+2000,IF(AND(LEN(CH998)=9,ISERROR(FIND("-",LEFT(CH998,8))),ISNUMBER(-LEFT(CH998,8))),VALUE(LEFT(CH998,4)),VALUE(LEFT(CH998,FIND("-",CH998)-1)))),""))</f>
        <v/>
      </c>
      <c r="CN998">
        <f>IF(CH998="","",IFERROR(IF(AND(LEN(CH998)=9,ISERROR(FIND("-",LEFT(CH998,8))),ISNUMBER(-LEFT(CH998,8))),VALUE(MID(CH998,5,2)),VALUE(MID(CH998,FIND("-",CH998)+1,FIND("-",CH998,FIND("-",CH998)+1)-FIND("-",CH998)-1))),""))</f>
        <v/>
      </c>
      <c r="CO998">
        <f>IF(CH998="","",IFERROR(IF(AND(LEN(CH998)=9,ISERROR(FIND("-",LEFT(CH998,8))),ISNUMBER(-LEFT(CH998,8))),VALUE(MID(CH998,7,2)),VALUE(MID(CH998,FIND("-",CH998,FIND("-",CH998)+1)+1,FIND("-",CH998,FIND("-",CH998,FIND("-",CH998)+1)+1)-FIND("-",CH998,FIND("-",CH998)+1)-1))),""))</f>
        <v/>
      </c>
    </row>
    <row r="999">
      <c r="CH999">
        <f>IF(ISTEXT('월 가계부'!A999),SUBSTITUTE(SUBSTITUTE(SUBSTITUTE(SUBSTITUTE(SUBSTITUTE(SUBSTITUTE(SUBSTITUTE(SUBSTITUTE(SUBSTITUTE(TRIM('월 가계부'!A999),"년","-"),"월","-"),"일",""),".","-"),"/","-")," ","-"),"--","-"),"--","-"),"--","-")&amp;"-","")</f>
        <v/>
      </c>
      <c r="CI999">
        <f>IFERROR(IF('월 가계부'!A999="","",IF(ISNUMBER('월 가계부'!A999),IF(AND('월 가계부'!A999&gt;=19000101,'월 가계부'!A999&lt;=21001231),IF(AND(MOD(INT('월 가계부'!A999/100),100)&gt;=1,MOD(INT('월 가계부'!A999/100),100)&lt;=12,MOD(INT('월 가계부'!A999),100)&gt;=1,MOD(INT('월 가계부'!A999),100)&lt;=31),IF(MONTH(DATE(INT('월 가계부'!A999/10000),MOD(INT('월 가계부'!A999/100),100),MOD(INT('월 가계부'!A999),100)))=MOD(INT('월 가계부'!A999/100),100),DATE(INT('월 가계부'!A999/10000),MOD(INT('월 가계부'!A999/100),100),MOD(INT('월 가계부'!A999),100)),""),""),IF(AND('월 가계부'!A999&gt;=36526,'월 가계부'!A999&lt;73051),INT('월 가계부'!A999),"")),IF(OR(CM999="",CN999="",CO999=""),"",IF(AND(CM999&gt;=2000,CM999&lt;=2099,CN999&gt;=1,CN999&lt;=12,CO999&gt;=1,CO999&lt;=31),IF(MONTH(DATE(CM999,CN999,CO999))=CN999,DATE(CM999,CN999,CO999),""),"")))),"")</f>
        <v/>
      </c>
      <c r="CJ999">
        <f>IFERROR(IF('월 가계부'!C999="","",IF(ISNUMBER('월 가계부'!C999),'월 가계부'!C999,VALUE(SUBSTITUTE(SUBSTITUTE(SUBSTITUTE(SUBSTITUTE(TRIM('월 가계부'!C999),",",""),"원","")," ",""),"−","-")))),"")</f>
        <v/>
      </c>
      <c r="CK999">
        <f>IF(ISNUMBER(CI999),IF(CI999&lt;$B$13,CI999,""),"")</f>
        <v/>
      </c>
      <c r="CM999">
        <f>IF(CH999="","",IFERROR(IF(IF(AND(LEN(CH999)=9,ISERROR(FIND("-",LEFT(CH999,8))),ISNUMBER(-LEFT(CH999,8))),VALUE(LEFT(CH999,4)),VALUE(LEFT(CH999,FIND("-",CH999)-1)))&lt;100,IF(AND(LEN(CH999)=9,ISERROR(FIND("-",LEFT(CH999,8))),ISNUMBER(-LEFT(CH999,8))),VALUE(LEFT(CH999,4)),VALUE(LEFT(CH999,FIND("-",CH999)-1)))+2000,IF(AND(LEN(CH999)=9,ISERROR(FIND("-",LEFT(CH999,8))),ISNUMBER(-LEFT(CH999,8))),VALUE(LEFT(CH999,4)),VALUE(LEFT(CH999,FIND("-",CH999)-1)))),""))</f>
        <v/>
      </c>
      <c r="CN999">
        <f>IF(CH999="","",IFERROR(IF(AND(LEN(CH999)=9,ISERROR(FIND("-",LEFT(CH999,8))),ISNUMBER(-LEFT(CH999,8))),VALUE(MID(CH999,5,2)),VALUE(MID(CH999,FIND("-",CH999)+1,FIND("-",CH999,FIND("-",CH999)+1)-FIND("-",CH999)-1))),""))</f>
        <v/>
      </c>
      <c r="CO999">
        <f>IF(CH999="","",IFERROR(IF(AND(LEN(CH999)=9,ISERROR(FIND("-",LEFT(CH999,8))),ISNUMBER(-LEFT(CH999,8))),VALUE(MID(CH999,7,2)),VALUE(MID(CH999,FIND("-",CH999,FIND("-",CH999)+1)+1,FIND("-",CH999,FIND("-",CH999,FIND("-",CH999)+1)+1)-FIND("-",CH999,FIND("-",CH999)+1)-1))),""))</f>
        <v/>
      </c>
    </row>
    <row r="1000">
      <c r="CH1000">
        <f>IF(ISTEXT('월 가계부'!A1000),SUBSTITUTE(SUBSTITUTE(SUBSTITUTE(SUBSTITUTE(SUBSTITUTE(SUBSTITUTE(SUBSTITUTE(SUBSTITUTE(SUBSTITUTE(TRIM('월 가계부'!A1000),"년","-"),"월","-"),"일",""),".","-"),"/","-")," ","-"),"--","-"),"--","-"),"--","-")&amp;"-","")</f>
        <v/>
      </c>
      <c r="CI1000">
        <f>IFERROR(IF('월 가계부'!A1000="","",IF(ISNUMBER('월 가계부'!A1000),IF(AND('월 가계부'!A1000&gt;=19000101,'월 가계부'!A1000&lt;=21001231),IF(AND(MOD(INT('월 가계부'!A1000/100),100)&gt;=1,MOD(INT('월 가계부'!A1000/100),100)&lt;=12,MOD(INT('월 가계부'!A1000),100)&gt;=1,MOD(INT('월 가계부'!A1000),100)&lt;=31),IF(MONTH(DATE(INT('월 가계부'!A1000/10000),MOD(INT('월 가계부'!A1000/100),100),MOD(INT('월 가계부'!A1000),100)))=MOD(INT('월 가계부'!A1000/100),100),DATE(INT('월 가계부'!A1000/10000),MOD(INT('월 가계부'!A1000/100),100),MOD(INT('월 가계부'!A1000),100)),""),""),IF(AND('월 가계부'!A1000&gt;=36526,'월 가계부'!A1000&lt;73051),INT('월 가계부'!A1000),"")),IF(OR(CM1000="",CN1000="",CO1000=""),"",IF(AND(CM1000&gt;=2000,CM1000&lt;=2099,CN1000&gt;=1,CN1000&lt;=12,CO1000&gt;=1,CO1000&lt;=31),IF(MONTH(DATE(CM1000,CN1000,CO1000))=CN1000,DATE(CM1000,CN1000,CO1000),""),"")))),"")</f>
        <v/>
      </c>
      <c r="CJ1000">
        <f>IFERROR(IF('월 가계부'!C1000="","",IF(ISNUMBER('월 가계부'!C1000),'월 가계부'!C1000,VALUE(SUBSTITUTE(SUBSTITUTE(SUBSTITUTE(SUBSTITUTE(TRIM('월 가계부'!C1000),",",""),"원","")," ",""),"−","-")))),"")</f>
        <v/>
      </c>
      <c r="CK1000">
        <f>IF(ISNUMBER(CI1000),IF(CI1000&lt;$B$13,CI1000,""),"")</f>
        <v/>
      </c>
      <c r="CM1000">
        <f>IF(CH1000="","",IFERROR(IF(IF(AND(LEN(CH1000)=9,ISERROR(FIND("-",LEFT(CH1000,8))),ISNUMBER(-LEFT(CH1000,8))),VALUE(LEFT(CH1000,4)),VALUE(LEFT(CH1000,FIND("-",CH1000)-1)))&lt;100,IF(AND(LEN(CH1000)=9,ISERROR(FIND("-",LEFT(CH1000,8))),ISNUMBER(-LEFT(CH1000,8))),VALUE(LEFT(CH1000,4)),VALUE(LEFT(CH1000,FIND("-",CH1000)-1)))+2000,IF(AND(LEN(CH1000)=9,ISERROR(FIND("-",LEFT(CH1000,8))),ISNUMBER(-LEFT(CH1000,8))),VALUE(LEFT(CH1000,4)),VALUE(LEFT(CH1000,FIND("-",CH1000)-1)))),""))</f>
        <v/>
      </c>
      <c r="CN1000">
        <f>IF(CH1000="","",IFERROR(IF(AND(LEN(CH1000)=9,ISERROR(FIND("-",LEFT(CH1000,8))),ISNUMBER(-LEFT(CH1000,8))),VALUE(MID(CH1000,5,2)),VALUE(MID(CH1000,FIND("-",CH1000)+1,FIND("-",CH1000,FIND("-",CH1000)+1)-FIND("-",CH1000)-1))),""))</f>
        <v/>
      </c>
      <c r="CO1000">
        <f>IF(CH1000="","",IFERROR(IF(AND(LEN(CH1000)=9,ISERROR(FIND("-",LEFT(CH1000,8))),ISNUMBER(-LEFT(CH1000,8))),VALUE(MID(CH1000,7,2)),VALUE(MID(CH1000,FIND("-",CH1000,FIND("-",CH1000)+1)+1,FIND("-",CH1000,FIND("-",CH1000,FIND("-",CH1000)+1)+1)-FIND("-",CH1000,FIND("-",CH1000)+1)-1))),""))</f>
        <v/>
      </c>
    </row>
    <row r="1001">
      <c r="CH1001">
        <f>IF(ISTEXT('월 가계부'!A1001),SUBSTITUTE(SUBSTITUTE(SUBSTITUTE(SUBSTITUTE(SUBSTITUTE(SUBSTITUTE(SUBSTITUTE(SUBSTITUTE(SUBSTITUTE(TRIM('월 가계부'!A1001),"년","-"),"월","-"),"일",""),".","-"),"/","-")," ","-"),"--","-"),"--","-"),"--","-")&amp;"-","")</f>
        <v/>
      </c>
      <c r="CI1001">
        <f>IFERROR(IF('월 가계부'!A1001="","",IF(ISNUMBER('월 가계부'!A1001),IF(AND('월 가계부'!A1001&gt;=19000101,'월 가계부'!A1001&lt;=21001231),IF(AND(MOD(INT('월 가계부'!A1001/100),100)&gt;=1,MOD(INT('월 가계부'!A1001/100),100)&lt;=12,MOD(INT('월 가계부'!A1001),100)&gt;=1,MOD(INT('월 가계부'!A1001),100)&lt;=31),IF(MONTH(DATE(INT('월 가계부'!A1001/10000),MOD(INT('월 가계부'!A1001/100),100),MOD(INT('월 가계부'!A1001),100)))=MOD(INT('월 가계부'!A1001/100),100),DATE(INT('월 가계부'!A1001/10000),MOD(INT('월 가계부'!A1001/100),100),MOD(INT('월 가계부'!A1001),100)),""),""),IF(AND('월 가계부'!A1001&gt;=36526,'월 가계부'!A1001&lt;73051),INT('월 가계부'!A1001),"")),IF(OR(CM1001="",CN1001="",CO1001=""),"",IF(AND(CM1001&gt;=2000,CM1001&lt;=2099,CN1001&gt;=1,CN1001&lt;=12,CO1001&gt;=1,CO1001&lt;=31),IF(MONTH(DATE(CM1001,CN1001,CO1001))=CN1001,DATE(CM1001,CN1001,CO1001),""),"")))),"")</f>
        <v/>
      </c>
      <c r="CJ1001">
        <f>IFERROR(IF('월 가계부'!C1001="","",IF(ISNUMBER('월 가계부'!C1001),'월 가계부'!C1001,VALUE(SUBSTITUTE(SUBSTITUTE(SUBSTITUTE(SUBSTITUTE(TRIM('월 가계부'!C1001),",",""),"원","")," ",""),"−","-")))),"")</f>
        <v/>
      </c>
      <c r="CK1001">
        <f>IF(ISNUMBER(CI1001),IF(CI1001&lt;$B$13,CI1001,""),"")</f>
        <v/>
      </c>
      <c r="CM1001">
        <f>IF(CH1001="","",IFERROR(IF(IF(AND(LEN(CH1001)=9,ISERROR(FIND("-",LEFT(CH1001,8))),ISNUMBER(-LEFT(CH1001,8))),VALUE(LEFT(CH1001,4)),VALUE(LEFT(CH1001,FIND("-",CH1001)-1)))&lt;100,IF(AND(LEN(CH1001)=9,ISERROR(FIND("-",LEFT(CH1001,8))),ISNUMBER(-LEFT(CH1001,8))),VALUE(LEFT(CH1001,4)),VALUE(LEFT(CH1001,FIND("-",CH1001)-1)))+2000,IF(AND(LEN(CH1001)=9,ISERROR(FIND("-",LEFT(CH1001,8))),ISNUMBER(-LEFT(CH1001,8))),VALUE(LEFT(CH1001,4)),VALUE(LEFT(CH1001,FIND("-",CH1001)-1)))),""))</f>
        <v/>
      </c>
      <c r="CN1001">
        <f>IF(CH1001="","",IFERROR(IF(AND(LEN(CH1001)=9,ISERROR(FIND("-",LEFT(CH1001,8))),ISNUMBER(-LEFT(CH1001,8))),VALUE(MID(CH1001,5,2)),VALUE(MID(CH1001,FIND("-",CH1001)+1,FIND("-",CH1001,FIND("-",CH1001)+1)-FIND("-",CH1001)-1))),""))</f>
        <v/>
      </c>
      <c r="CO1001">
        <f>IF(CH1001="","",IFERROR(IF(AND(LEN(CH1001)=9,ISERROR(FIND("-",LEFT(CH1001,8))),ISNUMBER(-LEFT(CH1001,8))),VALUE(MID(CH1001,7,2)),VALUE(MID(CH1001,FIND("-",CH1001,FIND("-",CH1001)+1)+1,FIND("-",CH1001,FIND("-",CH1001,FIND("-",CH1001)+1)+1)-FIND("-",CH1001,FIND("-",CH1001)+1)-1))),""))</f>
        <v/>
      </c>
    </row>
    <row r="1002">
      <c r="CH1002">
        <f>IF(ISTEXT('월 가계부'!A1002),SUBSTITUTE(SUBSTITUTE(SUBSTITUTE(SUBSTITUTE(SUBSTITUTE(SUBSTITUTE(SUBSTITUTE(SUBSTITUTE(SUBSTITUTE(TRIM('월 가계부'!A1002),"년","-"),"월","-"),"일",""),".","-"),"/","-")," ","-"),"--","-"),"--","-"),"--","-")&amp;"-","")</f>
        <v/>
      </c>
      <c r="CI1002">
        <f>IFERROR(IF('월 가계부'!A1002="","",IF(ISNUMBER('월 가계부'!A1002),IF(AND('월 가계부'!A1002&gt;=19000101,'월 가계부'!A1002&lt;=21001231),IF(AND(MOD(INT('월 가계부'!A1002/100),100)&gt;=1,MOD(INT('월 가계부'!A1002/100),100)&lt;=12,MOD(INT('월 가계부'!A1002),100)&gt;=1,MOD(INT('월 가계부'!A1002),100)&lt;=31),IF(MONTH(DATE(INT('월 가계부'!A1002/10000),MOD(INT('월 가계부'!A1002/100),100),MOD(INT('월 가계부'!A1002),100)))=MOD(INT('월 가계부'!A1002/100),100),DATE(INT('월 가계부'!A1002/10000),MOD(INT('월 가계부'!A1002/100),100),MOD(INT('월 가계부'!A1002),100)),""),""),IF(AND('월 가계부'!A1002&gt;=36526,'월 가계부'!A1002&lt;73051),INT('월 가계부'!A1002),"")),IF(OR(CM1002="",CN1002="",CO1002=""),"",IF(AND(CM1002&gt;=2000,CM1002&lt;=2099,CN1002&gt;=1,CN1002&lt;=12,CO1002&gt;=1,CO1002&lt;=31),IF(MONTH(DATE(CM1002,CN1002,CO1002))=CN1002,DATE(CM1002,CN1002,CO1002),""),"")))),"")</f>
        <v/>
      </c>
      <c r="CJ1002">
        <f>IFERROR(IF('월 가계부'!C1002="","",IF(ISNUMBER('월 가계부'!C1002),'월 가계부'!C1002,VALUE(SUBSTITUTE(SUBSTITUTE(SUBSTITUTE(SUBSTITUTE(TRIM('월 가계부'!C1002),",",""),"원","")," ",""),"−","-")))),"")</f>
        <v/>
      </c>
      <c r="CK1002">
        <f>IF(ISNUMBER(CI1002),IF(CI1002&lt;$B$13,CI1002,""),"")</f>
        <v/>
      </c>
      <c r="CM1002">
        <f>IF(CH1002="","",IFERROR(IF(IF(AND(LEN(CH1002)=9,ISERROR(FIND("-",LEFT(CH1002,8))),ISNUMBER(-LEFT(CH1002,8))),VALUE(LEFT(CH1002,4)),VALUE(LEFT(CH1002,FIND("-",CH1002)-1)))&lt;100,IF(AND(LEN(CH1002)=9,ISERROR(FIND("-",LEFT(CH1002,8))),ISNUMBER(-LEFT(CH1002,8))),VALUE(LEFT(CH1002,4)),VALUE(LEFT(CH1002,FIND("-",CH1002)-1)))+2000,IF(AND(LEN(CH1002)=9,ISERROR(FIND("-",LEFT(CH1002,8))),ISNUMBER(-LEFT(CH1002,8))),VALUE(LEFT(CH1002,4)),VALUE(LEFT(CH1002,FIND("-",CH1002)-1)))),""))</f>
        <v/>
      </c>
      <c r="CN1002">
        <f>IF(CH1002="","",IFERROR(IF(AND(LEN(CH1002)=9,ISERROR(FIND("-",LEFT(CH1002,8))),ISNUMBER(-LEFT(CH1002,8))),VALUE(MID(CH1002,5,2)),VALUE(MID(CH1002,FIND("-",CH1002)+1,FIND("-",CH1002,FIND("-",CH1002)+1)-FIND("-",CH1002)-1))),""))</f>
        <v/>
      </c>
      <c r="CO1002">
        <f>IF(CH1002="","",IFERROR(IF(AND(LEN(CH1002)=9,ISERROR(FIND("-",LEFT(CH1002,8))),ISNUMBER(-LEFT(CH1002,8))),VALUE(MID(CH1002,7,2)),VALUE(MID(CH1002,FIND("-",CH1002,FIND("-",CH1002)+1)+1,FIND("-",CH1002,FIND("-",CH1002,FIND("-",CH1002)+1)+1)-FIND("-",CH1002,FIND("-",CH1002)+1)-1))),""))</f>
        <v/>
      </c>
    </row>
    <row r="1003">
      <c r="CH1003">
        <f>IF(ISTEXT('월 가계부'!A1003),SUBSTITUTE(SUBSTITUTE(SUBSTITUTE(SUBSTITUTE(SUBSTITUTE(SUBSTITUTE(SUBSTITUTE(SUBSTITUTE(SUBSTITUTE(TRIM('월 가계부'!A1003),"년","-"),"월","-"),"일",""),".","-"),"/","-")," ","-"),"--","-"),"--","-"),"--","-")&amp;"-","")</f>
        <v/>
      </c>
      <c r="CI1003">
        <f>IFERROR(IF('월 가계부'!A1003="","",IF(ISNUMBER('월 가계부'!A1003),IF(AND('월 가계부'!A1003&gt;=19000101,'월 가계부'!A1003&lt;=21001231),IF(AND(MOD(INT('월 가계부'!A1003/100),100)&gt;=1,MOD(INT('월 가계부'!A1003/100),100)&lt;=12,MOD(INT('월 가계부'!A1003),100)&gt;=1,MOD(INT('월 가계부'!A1003),100)&lt;=31),IF(MONTH(DATE(INT('월 가계부'!A1003/10000),MOD(INT('월 가계부'!A1003/100),100),MOD(INT('월 가계부'!A1003),100)))=MOD(INT('월 가계부'!A1003/100),100),DATE(INT('월 가계부'!A1003/10000),MOD(INT('월 가계부'!A1003/100),100),MOD(INT('월 가계부'!A1003),100)),""),""),IF(AND('월 가계부'!A1003&gt;=36526,'월 가계부'!A1003&lt;73051),INT('월 가계부'!A1003),"")),IF(OR(CM1003="",CN1003="",CO1003=""),"",IF(AND(CM1003&gt;=2000,CM1003&lt;=2099,CN1003&gt;=1,CN1003&lt;=12,CO1003&gt;=1,CO1003&lt;=31),IF(MONTH(DATE(CM1003,CN1003,CO1003))=CN1003,DATE(CM1003,CN1003,CO1003),""),"")))),"")</f>
        <v/>
      </c>
      <c r="CJ1003">
        <f>IFERROR(IF('월 가계부'!C1003="","",IF(ISNUMBER('월 가계부'!C1003),'월 가계부'!C1003,VALUE(SUBSTITUTE(SUBSTITUTE(SUBSTITUTE(SUBSTITUTE(TRIM('월 가계부'!C1003),",",""),"원","")," ",""),"−","-")))),"")</f>
        <v/>
      </c>
      <c r="CK1003">
        <f>IF(ISNUMBER(CI1003),IF(CI1003&lt;$B$13,CI1003,""),"")</f>
        <v/>
      </c>
      <c r="CM1003">
        <f>IF(CH1003="","",IFERROR(IF(IF(AND(LEN(CH1003)=9,ISERROR(FIND("-",LEFT(CH1003,8))),ISNUMBER(-LEFT(CH1003,8))),VALUE(LEFT(CH1003,4)),VALUE(LEFT(CH1003,FIND("-",CH1003)-1)))&lt;100,IF(AND(LEN(CH1003)=9,ISERROR(FIND("-",LEFT(CH1003,8))),ISNUMBER(-LEFT(CH1003,8))),VALUE(LEFT(CH1003,4)),VALUE(LEFT(CH1003,FIND("-",CH1003)-1)))+2000,IF(AND(LEN(CH1003)=9,ISERROR(FIND("-",LEFT(CH1003,8))),ISNUMBER(-LEFT(CH1003,8))),VALUE(LEFT(CH1003,4)),VALUE(LEFT(CH1003,FIND("-",CH1003)-1)))),""))</f>
        <v/>
      </c>
      <c r="CN1003">
        <f>IF(CH1003="","",IFERROR(IF(AND(LEN(CH1003)=9,ISERROR(FIND("-",LEFT(CH1003,8))),ISNUMBER(-LEFT(CH1003,8))),VALUE(MID(CH1003,5,2)),VALUE(MID(CH1003,FIND("-",CH1003)+1,FIND("-",CH1003,FIND("-",CH1003)+1)-FIND("-",CH1003)-1))),""))</f>
        <v/>
      </c>
      <c r="CO1003">
        <f>IF(CH1003="","",IFERROR(IF(AND(LEN(CH1003)=9,ISERROR(FIND("-",LEFT(CH1003,8))),ISNUMBER(-LEFT(CH1003,8))),VALUE(MID(CH1003,7,2)),VALUE(MID(CH1003,FIND("-",CH1003,FIND("-",CH1003)+1)+1,FIND("-",CH1003,FIND("-",CH1003,FIND("-",CH1003)+1)+1)-FIND("-",CH1003,FIND("-",CH1003)+1)-1))),""))</f>
        <v/>
      </c>
    </row>
    <row r="1004">
      <c r="CH1004">
        <f>IF(ISTEXT('월 가계부'!A1004),SUBSTITUTE(SUBSTITUTE(SUBSTITUTE(SUBSTITUTE(SUBSTITUTE(SUBSTITUTE(SUBSTITUTE(SUBSTITUTE(SUBSTITUTE(TRIM('월 가계부'!A1004),"년","-"),"월","-"),"일",""),".","-"),"/","-")," ","-"),"--","-"),"--","-"),"--","-")&amp;"-","")</f>
        <v/>
      </c>
      <c r="CI1004">
        <f>IFERROR(IF('월 가계부'!A1004="","",IF(ISNUMBER('월 가계부'!A1004),IF(AND('월 가계부'!A1004&gt;=19000101,'월 가계부'!A1004&lt;=21001231),IF(AND(MOD(INT('월 가계부'!A1004/100),100)&gt;=1,MOD(INT('월 가계부'!A1004/100),100)&lt;=12,MOD(INT('월 가계부'!A1004),100)&gt;=1,MOD(INT('월 가계부'!A1004),100)&lt;=31),IF(MONTH(DATE(INT('월 가계부'!A1004/10000),MOD(INT('월 가계부'!A1004/100),100),MOD(INT('월 가계부'!A1004),100)))=MOD(INT('월 가계부'!A1004/100),100),DATE(INT('월 가계부'!A1004/10000),MOD(INT('월 가계부'!A1004/100),100),MOD(INT('월 가계부'!A1004),100)),""),""),IF(AND('월 가계부'!A1004&gt;=36526,'월 가계부'!A1004&lt;73051),INT('월 가계부'!A1004),"")),IF(OR(CM1004="",CN1004="",CO1004=""),"",IF(AND(CM1004&gt;=2000,CM1004&lt;=2099,CN1004&gt;=1,CN1004&lt;=12,CO1004&gt;=1,CO1004&lt;=31),IF(MONTH(DATE(CM1004,CN1004,CO1004))=CN1004,DATE(CM1004,CN1004,CO1004),""),"")))),"")</f>
        <v/>
      </c>
      <c r="CJ1004">
        <f>IFERROR(IF('월 가계부'!C1004="","",IF(ISNUMBER('월 가계부'!C1004),'월 가계부'!C1004,VALUE(SUBSTITUTE(SUBSTITUTE(SUBSTITUTE(SUBSTITUTE(TRIM('월 가계부'!C1004),",",""),"원","")," ",""),"−","-")))),"")</f>
        <v/>
      </c>
      <c r="CK1004">
        <f>IF(ISNUMBER(CI1004),IF(CI1004&lt;$B$13,CI1004,""),"")</f>
        <v/>
      </c>
      <c r="CM1004">
        <f>IF(CH1004="","",IFERROR(IF(IF(AND(LEN(CH1004)=9,ISERROR(FIND("-",LEFT(CH1004,8))),ISNUMBER(-LEFT(CH1004,8))),VALUE(LEFT(CH1004,4)),VALUE(LEFT(CH1004,FIND("-",CH1004)-1)))&lt;100,IF(AND(LEN(CH1004)=9,ISERROR(FIND("-",LEFT(CH1004,8))),ISNUMBER(-LEFT(CH1004,8))),VALUE(LEFT(CH1004,4)),VALUE(LEFT(CH1004,FIND("-",CH1004)-1)))+2000,IF(AND(LEN(CH1004)=9,ISERROR(FIND("-",LEFT(CH1004,8))),ISNUMBER(-LEFT(CH1004,8))),VALUE(LEFT(CH1004,4)),VALUE(LEFT(CH1004,FIND("-",CH1004)-1)))),""))</f>
        <v/>
      </c>
      <c r="CN1004">
        <f>IF(CH1004="","",IFERROR(IF(AND(LEN(CH1004)=9,ISERROR(FIND("-",LEFT(CH1004,8))),ISNUMBER(-LEFT(CH1004,8))),VALUE(MID(CH1004,5,2)),VALUE(MID(CH1004,FIND("-",CH1004)+1,FIND("-",CH1004,FIND("-",CH1004)+1)-FIND("-",CH1004)-1))),""))</f>
        <v/>
      </c>
      <c r="CO1004">
        <f>IF(CH1004="","",IFERROR(IF(AND(LEN(CH1004)=9,ISERROR(FIND("-",LEFT(CH1004,8))),ISNUMBER(-LEFT(CH1004,8))),VALUE(MID(CH1004,7,2)),VALUE(MID(CH1004,FIND("-",CH1004,FIND("-",CH1004)+1)+1,FIND("-",CH1004,FIND("-",CH1004,FIND("-",CH1004)+1)+1)-FIND("-",CH1004,FIND("-",CH1004)+1)-1))),""))</f>
        <v/>
      </c>
    </row>
    <row r="1005">
      <c r="CH1005">
        <f>IF(ISTEXT('월 가계부'!A1005),SUBSTITUTE(SUBSTITUTE(SUBSTITUTE(SUBSTITUTE(SUBSTITUTE(SUBSTITUTE(SUBSTITUTE(SUBSTITUTE(SUBSTITUTE(TRIM('월 가계부'!A1005),"년","-"),"월","-"),"일",""),".","-"),"/","-")," ","-"),"--","-"),"--","-"),"--","-")&amp;"-","")</f>
        <v/>
      </c>
      <c r="CI1005">
        <f>IFERROR(IF('월 가계부'!A1005="","",IF(ISNUMBER('월 가계부'!A1005),IF(AND('월 가계부'!A1005&gt;=19000101,'월 가계부'!A1005&lt;=21001231),IF(AND(MOD(INT('월 가계부'!A1005/100),100)&gt;=1,MOD(INT('월 가계부'!A1005/100),100)&lt;=12,MOD(INT('월 가계부'!A1005),100)&gt;=1,MOD(INT('월 가계부'!A1005),100)&lt;=31),IF(MONTH(DATE(INT('월 가계부'!A1005/10000),MOD(INT('월 가계부'!A1005/100),100),MOD(INT('월 가계부'!A1005),100)))=MOD(INT('월 가계부'!A1005/100),100),DATE(INT('월 가계부'!A1005/10000),MOD(INT('월 가계부'!A1005/100),100),MOD(INT('월 가계부'!A1005),100)),""),""),IF(AND('월 가계부'!A1005&gt;=36526,'월 가계부'!A1005&lt;73051),INT('월 가계부'!A1005),"")),IF(OR(CM1005="",CN1005="",CO1005=""),"",IF(AND(CM1005&gt;=2000,CM1005&lt;=2099,CN1005&gt;=1,CN1005&lt;=12,CO1005&gt;=1,CO1005&lt;=31),IF(MONTH(DATE(CM1005,CN1005,CO1005))=CN1005,DATE(CM1005,CN1005,CO1005),""),"")))),"")</f>
        <v/>
      </c>
      <c r="CJ1005">
        <f>IFERROR(IF('월 가계부'!C1005="","",IF(ISNUMBER('월 가계부'!C1005),'월 가계부'!C1005,VALUE(SUBSTITUTE(SUBSTITUTE(SUBSTITUTE(SUBSTITUTE(TRIM('월 가계부'!C1005),",",""),"원","")," ",""),"−","-")))),"")</f>
        <v/>
      </c>
      <c r="CK1005">
        <f>IF(ISNUMBER(CI1005),IF(CI1005&lt;$B$13,CI1005,""),"")</f>
        <v/>
      </c>
      <c r="CM1005">
        <f>IF(CH1005="","",IFERROR(IF(IF(AND(LEN(CH1005)=9,ISERROR(FIND("-",LEFT(CH1005,8))),ISNUMBER(-LEFT(CH1005,8))),VALUE(LEFT(CH1005,4)),VALUE(LEFT(CH1005,FIND("-",CH1005)-1)))&lt;100,IF(AND(LEN(CH1005)=9,ISERROR(FIND("-",LEFT(CH1005,8))),ISNUMBER(-LEFT(CH1005,8))),VALUE(LEFT(CH1005,4)),VALUE(LEFT(CH1005,FIND("-",CH1005)-1)))+2000,IF(AND(LEN(CH1005)=9,ISERROR(FIND("-",LEFT(CH1005,8))),ISNUMBER(-LEFT(CH1005,8))),VALUE(LEFT(CH1005,4)),VALUE(LEFT(CH1005,FIND("-",CH1005)-1)))),""))</f>
        <v/>
      </c>
      <c r="CN1005">
        <f>IF(CH1005="","",IFERROR(IF(AND(LEN(CH1005)=9,ISERROR(FIND("-",LEFT(CH1005,8))),ISNUMBER(-LEFT(CH1005,8))),VALUE(MID(CH1005,5,2)),VALUE(MID(CH1005,FIND("-",CH1005)+1,FIND("-",CH1005,FIND("-",CH1005)+1)-FIND("-",CH1005)-1))),""))</f>
        <v/>
      </c>
      <c r="CO1005">
        <f>IF(CH1005="","",IFERROR(IF(AND(LEN(CH1005)=9,ISERROR(FIND("-",LEFT(CH1005,8))),ISNUMBER(-LEFT(CH1005,8))),VALUE(MID(CH1005,7,2)),VALUE(MID(CH1005,FIND("-",CH1005,FIND("-",CH1005)+1)+1,FIND("-",CH1005,FIND("-",CH1005,FIND("-",CH1005)+1)+1)-FIND("-",CH1005,FIND("-",CH1005)+1)-1))),""))</f>
        <v/>
      </c>
    </row>
    <row r="1006">
      <c r="CH1006">
        <f>IF(ISTEXT('월 가계부'!A1006),SUBSTITUTE(SUBSTITUTE(SUBSTITUTE(SUBSTITUTE(SUBSTITUTE(SUBSTITUTE(SUBSTITUTE(SUBSTITUTE(SUBSTITUTE(TRIM('월 가계부'!A1006),"년","-"),"월","-"),"일",""),".","-"),"/","-")," ","-"),"--","-"),"--","-"),"--","-")&amp;"-","")</f>
        <v/>
      </c>
      <c r="CI1006">
        <f>IFERROR(IF('월 가계부'!A1006="","",IF(ISNUMBER('월 가계부'!A1006),IF(AND('월 가계부'!A1006&gt;=19000101,'월 가계부'!A1006&lt;=21001231),IF(AND(MOD(INT('월 가계부'!A1006/100),100)&gt;=1,MOD(INT('월 가계부'!A1006/100),100)&lt;=12,MOD(INT('월 가계부'!A1006),100)&gt;=1,MOD(INT('월 가계부'!A1006),100)&lt;=31),IF(MONTH(DATE(INT('월 가계부'!A1006/10000),MOD(INT('월 가계부'!A1006/100),100),MOD(INT('월 가계부'!A1006),100)))=MOD(INT('월 가계부'!A1006/100),100),DATE(INT('월 가계부'!A1006/10000),MOD(INT('월 가계부'!A1006/100),100),MOD(INT('월 가계부'!A1006),100)),""),""),IF(AND('월 가계부'!A1006&gt;=36526,'월 가계부'!A1006&lt;73051),INT('월 가계부'!A1006),"")),IF(OR(CM1006="",CN1006="",CO1006=""),"",IF(AND(CM1006&gt;=2000,CM1006&lt;=2099,CN1006&gt;=1,CN1006&lt;=12,CO1006&gt;=1,CO1006&lt;=31),IF(MONTH(DATE(CM1006,CN1006,CO1006))=CN1006,DATE(CM1006,CN1006,CO1006),""),"")))),"")</f>
        <v/>
      </c>
      <c r="CJ1006">
        <f>IFERROR(IF('월 가계부'!C1006="","",IF(ISNUMBER('월 가계부'!C1006),'월 가계부'!C1006,VALUE(SUBSTITUTE(SUBSTITUTE(SUBSTITUTE(SUBSTITUTE(TRIM('월 가계부'!C1006),",",""),"원","")," ",""),"−","-")))),"")</f>
        <v/>
      </c>
      <c r="CK1006">
        <f>IF(ISNUMBER(CI1006),IF(CI1006&lt;$B$13,CI1006,""),"")</f>
        <v/>
      </c>
      <c r="CM1006">
        <f>IF(CH1006="","",IFERROR(IF(IF(AND(LEN(CH1006)=9,ISERROR(FIND("-",LEFT(CH1006,8))),ISNUMBER(-LEFT(CH1006,8))),VALUE(LEFT(CH1006,4)),VALUE(LEFT(CH1006,FIND("-",CH1006)-1)))&lt;100,IF(AND(LEN(CH1006)=9,ISERROR(FIND("-",LEFT(CH1006,8))),ISNUMBER(-LEFT(CH1006,8))),VALUE(LEFT(CH1006,4)),VALUE(LEFT(CH1006,FIND("-",CH1006)-1)))+2000,IF(AND(LEN(CH1006)=9,ISERROR(FIND("-",LEFT(CH1006,8))),ISNUMBER(-LEFT(CH1006,8))),VALUE(LEFT(CH1006,4)),VALUE(LEFT(CH1006,FIND("-",CH1006)-1)))),""))</f>
        <v/>
      </c>
      <c r="CN1006">
        <f>IF(CH1006="","",IFERROR(IF(AND(LEN(CH1006)=9,ISERROR(FIND("-",LEFT(CH1006,8))),ISNUMBER(-LEFT(CH1006,8))),VALUE(MID(CH1006,5,2)),VALUE(MID(CH1006,FIND("-",CH1006)+1,FIND("-",CH1006,FIND("-",CH1006)+1)-FIND("-",CH1006)-1))),""))</f>
        <v/>
      </c>
      <c r="CO1006">
        <f>IF(CH1006="","",IFERROR(IF(AND(LEN(CH1006)=9,ISERROR(FIND("-",LEFT(CH1006,8))),ISNUMBER(-LEFT(CH1006,8))),VALUE(MID(CH1006,7,2)),VALUE(MID(CH1006,FIND("-",CH1006,FIND("-",CH1006)+1)+1,FIND("-",CH1006,FIND("-",CH1006,FIND("-",CH1006)+1)+1)-FIND("-",CH1006,FIND("-",CH1006)+1)-1))),""))</f>
        <v/>
      </c>
    </row>
    <row r="1007">
      <c r="CH1007">
        <f>IF(ISTEXT('월 가계부'!A1007),SUBSTITUTE(SUBSTITUTE(SUBSTITUTE(SUBSTITUTE(SUBSTITUTE(SUBSTITUTE(SUBSTITUTE(SUBSTITUTE(SUBSTITUTE(TRIM('월 가계부'!A1007),"년","-"),"월","-"),"일",""),".","-"),"/","-")," ","-"),"--","-"),"--","-"),"--","-")&amp;"-","")</f>
        <v/>
      </c>
      <c r="CI1007">
        <f>IFERROR(IF('월 가계부'!A1007="","",IF(ISNUMBER('월 가계부'!A1007),IF(AND('월 가계부'!A1007&gt;=19000101,'월 가계부'!A1007&lt;=21001231),IF(AND(MOD(INT('월 가계부'!A1007/100),100)&gt;=1,MOD(INT('월 가계부'!A1007/100),100)&lt;=12,MOD(INT('월 가계부'!A1007),100)&gt;=1,MOD(INT('월 가계부'!A1007),100)&lt;=31),IF(MONTH(DATE(INT('월 가계부'!A1007/10000),MOD(INT('월 가계부'!A1007/100),100),MOD(INT('월 가계부'!A1007),100)))=MOD(INT('월 가계부'!A1007/100),100),DATE(INT('월 가계부'!A1007/10000),MOD(INT('월 가계부'!A1007/100),100),MOD(INT('월 가계부'!A1007),100)),""),""),IF(AND('월 가계부'!A1007&gt;=36526,'월 가계부'!A1007&lt;73051),INT('월 가계부'!A1007),"")),IF(OR(CM1007="",CN1007="",CO1007=""),"",IF(AND(CM1007&gt;=2000,CM1007&lt;=2099,CN1007&gt;=1,CN1007&lt;=12,CO1007&gt;=1,CO1007&lt;=31),IF(MONTH(DATE(CM1007,CN1007,CO1007))=CN1007,DATE(CM1007,CN1007,CO1007),""),"")))),"")</f>
        <v/>
      </c>
      <c r="CJ1007">
        <f>IFERROR(IF('월 가계부'!C1007="","",IF(ISNUMBER('월 가계부'!C1007),'월 가계부'!C1007,VALUE(SUBSTITUTE(SUBSTITUTE(SUBSTITUTE(SUBSTITUTE(TRIM('월 가계부'!C1007),",",""),"원","")," ",""),"−","-")))),"")</f>
        <v/>
      </c>
      <c r="CK1007">
        <f>IF(ISNUMBER(CI1007),IF(CI1007&lt;$B$13,CI1007,""),"")</f>
        <v/>
      </c>
      <c r="CM1007">
        <f>IF(CH1007="","",IFERROR(IF(IF(AND(LEN(CH1007)=9,ISERROR(FIND("-",LEFT(CH1007,8))),ISNUMBER(-LEFT(CH1007,8))),VALUE(LEFT(CH1007,4)),VALUE(LEFT(CH1007,FIND("-",CH1007)-1)))&lt;100,IF(AND(LEN(CH1007)=9,ISERROR(FIND("-",LEFT(CH1007,8))),ISNUMBER(-LEFT(CH1007,8))),VALUE(LEFT(CH1007,4)),VALUE(LEFT(CH1007,FIND("-",CH1007)-1)))+2000,IF(AND(LEN(CH1007)=9,ISERROR(FIND("-",LEFT(CH1007,8))),ISNUMBER(-LEFT(CH1007,8))),VALUE(LEFT(CH1007,4)),VALUE(LEFT(CH1007,FIND("-",CH1007)-1)))),""))</f>
        <v/>
      </c>
      <c r="CN1007">
        <f>IF(CH1007="","",IFERROR(IF(AND(LEN(CH1007)=9,ISERROR(FIND("-",LEFT(CH1007,8))),ISNUMBER(-LEFT(CH1007,8))),VALUE(MID(CH1007,5,2)),VALUE(MID(CH1007,FIND("-",CH1007)+1,FIND("-",CH1007,FIND("-",CH1007)+1)-FIND("-",CH1007)-1))),""))</f>
        <v/>
      </c>
      <c r="CO1007">
        <f>IF(CH1007="","",IFERROR(IF(AND(LEN(CH1007)=9,ISERROR(FIND("-",LEFT(CH1007,8))),ISNUMBER(-LEFT(CH1007,8))),VALUE(MID(CH1007,7,2)),VALUE(MID(CH1007,FIND("-",CH1007,FIND("-",CH1007)+1)+1,FIND("-",CH1007,FIND("-",CH1007,FIND("-",CH1007)+1)+1)-FIND("-",CH1007,FIND("-",CH1007)+1)-1))),""))</f>
        <v/>
      </c>
    </row>
    <row r="1008">
      <c r="CH1008">
        <f>IF(ISTEXT('월 가계부'!A1008),SUBSTITUTE(SUBSTITUTE(SUBSTITUTE(SUBSTITUTE(SUBSTITUTE(SUBSTITUTE(SUBSTITUTE(SUBSTITUTE(SUBSTITUTE(TRIM('월 가계부'!A1008),"년","-"),"월","-"),"일",""),".","-"),"/","-")," ","-"),"--","-"),"--","-"),"--","-")&amp;"-","")</f>
        <v/>
      </c>
      <c r="CI1008">
        <f>IFERROR(IF('월 가계부'!A1008="","",IF(ISNUMBER('월 가계부'!A1008),IF(AND('월 가계부'!A1008&gt;=19000101,'월 가계부'!A1008&lt;=21001231),IF(AND(MOD(INT('월 가계부'!A1008/100),100)&gt;=1,MOD(INT('월 가계부'!A1008/100),100)&lt;=12,MOD(INT('월 가계부'!A1008),100)&gt;=1,MOD(INT('월 가계부'!A1008),100)&lt;=31),IF(MONTH(DATE(INT('월 가계부'!A1008/10000),MOD(INT('월 가계부'!A1008/100),100),MOD(INT('월 가계부'!A1008),100)))=MOD(INT('월 가계부'!A1008/100),100),DATE(INT('월 가계부'!A1008/10000),MOD(INT('월 가계부'!A1008/100),100),MOD(INT('월 가계부'!A1008),100)),""),""),IF(AND('월 가계부'!A1008&gt;=36526,'월 가계부'!A1008&lt;73051),INT('월 가계부'!A1008),"")),IF(OR(CM1008="",CN1008="",CO1008=""),"",IF(AND(CM1008&gt;=2000,CM1008&lt;=2099,CN1008&gt;=1,CN1008&lt;=12,CO1008&gt;=1,CO1008&lt;=31),IF(MONTH(DATE(CM1008,CN1008,CO1008))=CN1008,DATE(CM1008,CN1008,CO1008),""),"")))),"")</f>
        <v/>
      </c>
      <c r="CJ1008">
        <f>IFERROR(IF('월 가계부'!C1008="","",IF(ISNUMBER('월 가계부'!C1008),'월 가계부'!C1008,VALUE(SUBSTITUTE(SUBSTITUTE(SUBSTITUTE(SUBSTITUTE(TRIM('월 가계부'!C1008),",",""),"원","")," ",""),"−","-")))),"")</f>
        <v/>
      </c>
      <c r="CK1008">
        <f>IF(ISNUMBER(CI1008),IF(CI1008&lt;$B$13,CI1008,""),"")</f>
        <v/>
      </c>
      <c r="CM1008">
        <f>IF(CH1008="","",IFERROR(IF(IF(AND(LEN(CH1008)=9,ISERROR(FIND("-",LEFT(CH1008,8))),ISNUMBER(-LEFT(CH1008,8))),VALUE(LEFT(CH1008,4)),VALUE(LEFT(CH1008,FIND("-",CH1008)-1)))&lt;100,IF(AND(LEN(CH1008)=9,ISERROR(FIND("-",LEFT(CH1008,8))),ISNUMBER(-LEFT(CH1008,8))),VALUE(LEFT(CH1008,4)),VALUE(LEFT(CH1008,FIND("-",CH1008)-1)))+2000,IF(AND(LEN(CH1008)=9,ISERROR(FIND("-",LEFT(CH1008,8))),ISNUMBER(-LEFT(CH1008,8))),VALUE(LEFT(CH1008,4)),VALUE(LEFT(CH1008,FIND("-",CH1008)-1)))),""))</f>
        <v/>
      </c>
      <c r="CN1008">
        <f>IF(CH1008="","",IFERROR(IF(AND(LEN(CH1008)=9,ISERROR(FIND("-",LEFT(CH1008,8))),ISNUMBER(-LEFT(CH1008,8))),VALUE(MID(CH1008,5,2)),VALUE(MID(CH1008,FIND("-",CH1008)+1,FIND("-",CH1008,FIND("-",CH1008)+1)-FIND("-",CH1008)-1))),""))</f>
        <v/>
      </c>
      <c r="CO1008">
        <f>IF(CH1008="","",IFERROR(IF(AND(LEN(CH1008)=9,ISERROR(FIND("-",LEFT(CH1008,8))),ISNUMBER(-LEFT(CH1008,8))),VALUE(MID(CH1008,7,2)),VALUE(MID(CH1008,FIND("-",CH1008,FIND("-",CH1008)+1)+1,FIND("-",CH1008,FIND("-",CH1008,FIND("-",CH1008)+1)+1)-FIND("-",CH1008,FIND("-",CH1008)+1)-1))),""))</f>
        <v/>
      </c>
    </row>
    <row r="1009">
      <c r="CH1009">
        <f>IF(ISTEXT('월 가계부'!A1009),SUBSTITUTE(SUBSTITUTE(SUBSTITUTE(SUBSTITUTE(SUBSTITUTE(SUBSTITUTE(SUBSTITUTE(SUBSTITUTE(SUBSTITUTE(TRIM('월 가계부'!A1009),"년","-"),"월","-"),"일",""),".","-"),"/","-")," ","-"),"--","-"),"--","-"),"--","-")&amp;"-","")</f>
        <v/>
      </c>
      <c r="CI1009">
        <f>IFERROR(IF('월 가계부'!A1009="","",IF(ISNUMBER('월 가계부'!A1009),IF(AND('월 가계부'!A1009&gt;=19000101,'월 가계부'!A1009&lt;=21001231),IF(AND(MOD(INT('월 가계부'!A1009/100),100)&gt;=1,MOD(INT('월 가계부'!A1009/100),100)&lt;=12,MOD(INT('월 가계부'!A1009),100)&gt;=1,MOD(INT('월 가계부'!A1009),100)&lt;=31),IF(MONTH(DATE(INT('월 가계부'!A1009/10000),MOD(INT('월 가계부'!A1009/100),100),MOD(INT('월 가계부'!A1009),100)))=MOD(INT('월 가계부'!A1009/100),100),DATE(INT('월 가계부'!A1009/10000),MOD(INT('월 가계부'!A1009/100),100),MOD(INT('월 가계부'!A1009),100)),""),""),IF(AND('월 가계부'!A1009&gt;=36526,'월 가계부'!A1009&lt;73051),INT('월 가계부'!A1009),"")),IF(OR(CM1009="",CN1009="",CO1009=""),"",IF(AND(CM1009&gt;=2000,CM1009&lt;=2099,CN1009&gt;=1,CN1009&lt;=12,CO1009&gt;=1,CO1009&lt;=31),IF(MONTH(DATE(CM1009,CN1009,CO1009))=CN1009,DATE(CM1009,CN1009,CO1009),""),"")))),"")</f>
        <v/>
      </c>
      <c r="CJ1009">
        <f>IFERROR(IF('월 가계부'!C1009="","",IF(ISNUMBER('월 가계부'!C1009),'월 가계부'!C1009,VALUE(SUBSTITUTE(SUBSTITUTE(SUBSTITUTE(SUBSTITUTE(TRIM('월 가계부'!C1009),",",""),"원","")," ",""),"−","-")))),"")</f>
        <v/>
      </c>
      <c r="CK1009">
        <f>IF(ISNUMBER(CI1009),IF(CI1009&lt;$B$13,CI1009,""),"")</f>
        <v/>
      </c>
      <c r="CM1009">
        <f>IF(CH1009="","",IFERROR(IF(IF(AND(LEN(CH1009)=9,ISERROR(FIND("-",LEFT(CH1009,8))),ISNUMBER(-LEFT(CH1009,8))),VALUE(LEFT(CH1009,4)),VALUE(LEFT(CH1009,FIND("-",CH1009)-1)))&lt;100,IF(AND(LEN(CH1009)=9,ISERROR(FIND("-",LEFT(CH1009,8))),ISNUMBER(-LEFT(CH1009,8))),VALUE(LEFT(CH1009,4)),VALUE(LEFT(CH1009,FIND("-",CH1009)-1)))+2000,IF(AND(LEN(CH1009)=9,ISERROR(FIND("-",LEFT(CH1009,8))),ISNUMBER(-LEFT(CH1009,8))),VALUE(LEFT(CH1009,4)),VALUE(LEFT(CH1009,FIND("-",CH1009)-1)))),""))</f>
        <v/>
      </c>
      <c r="CN1009">
        <f>IF(CH1009="","",IFERROR(IF(AND(LEN(CH1009)=9,ISERROR(FIND("-",LEFT(CH1009,8))),ISNUMBER(-LEFT(CH1009,8))),VALUE(MID(CH1009,5,2)),VALUE(MID(CH1009,FIND("-",CH1009)+1,FIND("-",CH1009,FIND("-",CH1009)+1)-FIND("-",CH1009)-1))),""))</f>
        <v/>
      </c>
      <c r="CO1009">
        <f>IF(CH1009="","",IFERROR(IF(AND(LEN(CH1009)=9,ISERROR(FIND("-",LEFT(CH1009,8))),ISNUMBER(-LEFT(CH1009,8))),VALUE(MID(CH1009,7,2)),VALUE(MID(CH1009,FIND("-",CH1009,FIND("-",CH1009)+1)+1,FIND("-",CH1009,FIND("-",CH1009,FIND("-",CH1009)+1)+1)-FIND("-",CH1009,FIND("-",CH1009)+1)-1))),""))</f>
        <v/>
      </c>
    </row>
    <row r="1010">
      <c r="CH1010">
        <f>IF(ISTEXT('월 가계부'!A1010),SUBSTITUTE(SUBSTITUTE(SUBSTITUTE(SUBSTITUTE(SUBSTITUTE(SUBSTITUTE(SUBSTITUTE(SUBSTITUTE(SUBSTITUTE(TRIM('월 가계부'!A1010),"년","-"),"월","-"),"일",""),".","-"),"/","-")," ","-"),"--","-"),"--","-"),"--","-")&amp;"-","")</f>
        <v/>
      </c>
      <c r="CI1010">
        <f>IFERROR(IF('월 가계부'!A1010="","",IF(ISNUMBER('월 가계부'!A1010),IF(AND('월 가계부'!A1010&gt;=19000101,'월 가계부'!A1010&lt;=21001231),IF(AND(MOD(INT('월 가계부'!A1010/100),100)&gt;=1,MOD(INT('월 가계부'!A1010/100),100)&lt;=12,MOD(INT('월 가계부'!A1010),100)&gt;=1,MOD(INT('월 가계부'!A1010),100)&lt;=31),IF(MONTH(DATE(INT('월 가계부'!A1010/10000),MOD(INT('월 가계부'!A1010/100),100),MOD(INT('월 가계부'!A1010),100)))=MOD(INT('월 가계부'!A1010/100),100),DATE(INT('월 가계부'!A1010/10000),MOD(INT('월 가계부'!A1010/100),100),MOD(INT('월 가계부'!A1010),100)),""),""),IF(AND('월 가계부'!A1010&gt;=36526,'월 가계부'!A1010&lt;73051),INT('월 가계부'!A1010),"")),IF(OR(CM1010="",CN1010="",CO1010=""),"",IF(AND(CM1010&gt;=2000,CM1010&lt;=2099,CN1010&gt;=1,CN1010&lt;=12,CO1010&gt;=1,CO1010&lt;=31),IF(MONTH(DATE(CM1010,CN1010,CO1010))=CN1010,DATE(CM1010,CN1010,CO1010),""),"")))),"")</f>
        <v/>
      </c>
      <c r="CJ1010">
        <f>IFERROR(IF('월 가계부'!C1010="","",IF(ISNUMBER('월 가계부'!C1010),'월 가계부'!C1010,VALUE(SUBSTITUTE(SUBSTITUTE(SUBSTITUTE(SUBSTITUTE(TRIM('월 가계부'!C1010),",",""),"원","")," ",""),"−","-")))),"")</f>
        <v/>
      </c>
      <c r="CK1010">
        <f>IF(ISNUMBER(CI1010),IF(CI1010&lt;$B$13,CI1010,""),"")</f>
        <v/>
      </c>
      <c r="CM1010">
        <f>IF(CH1010="","",IFERROR(IF(IF(AND(LEN(CH1010)=9,ISERROR(FIND("-",LEFT(CH1010,8))),ISNUMBER(-LEFT(CH1010,8))),VALUE(LEFT(CH1010,4)),VALUE(LEFT(CH1010,FIND("-",CH1010)-1)))&lt;100,IF(AND(LEN(CH1010)=9,ISERROR(FIND("-",LEFT(CH1010,8))),ISNUMBER(-LEFT(CH1010,8))),VALUE(LEFT(CH1010,4)),VALUE(LEFT(CH1010,FIND("-",CH1010)-1)))+2000,IF(AND(LEN(CH1010)=9,ISERROR(FIND("-",LEFT(CH1010,8))),ISNUMBER(-LEFT(CH1010,8))),VALUE(LEFT(CH1010,4)),VALUE(LEFT(CH1010,FIND("-",CH1010)-1)))),""))</f>
        <v/>
      </c>
      <c r="CN1010">
        <f>IF(CH1010="","",IFERROR(IF(AND(LEN(CH1010)=9,ISERROR(FIND("-",LEFT(CH1010,8))),ISNUMBER(-LEFT(CH1010,8))),VALUE(MID(CH1010,5,2)),VALUE(MID(CH1010,FIND("-",CH1010)+1,FIND("-",CH1010,FIND("-",CH1010)+1)-FIND("-",CH1010)-1))),""))</f>
        <v/>
      </c>
      <c r="CO1010">
        <f>IF(CH1010="","",IFERROR(IF(AND(LEN(CH1010)=9,ISERROR(FIND("-",LEFT(CH1010,8))),ISNUMBER(-LEFT(CH1010,8))),VALUE(MID(CH1010,7,2)),VALUE(MID(CH1010,FIND("-",CH1010,FIND("-",CH1010)+1)+1,FIND("-",CH1010,FIND("-",CH1010,FIND("-",CH1010)+1)+1)-FIND("-",CH1010,FIND("-",CH1010)+1)-1))),""))</f>
        <v/>
      </c>
    </row>
    <row r="1011">
      <c r="CH1011">
        <f>IF(ISTEXT('월 가계부'!A1011),SUBSTITUTE(SUBSTITUTE(SUBSTITUTE(SUBSTITUTE(SUBSTITUTE(SUBSTITUTE(SUBSTITUTE(SUBSTITUTE(SUBSTITUTE(TRIM('월 가계부'!A1011),"년","-"),"월","-"),"일",""),".","-"),"/","-")," ","-"),"--","-"),"--","-"),"--","-")&amp;"-","")</f>
        <v/>
      </c>
      <c r="CI1011">
        <f>IFERROR(IF('월 가계부'!A1011="","",IF(ISNUMBER('월 가계부'!A1011),IF(AND('월 가계부'!A1011&gt;=19000101,'월 가계부'!A1011&lt;=21001231),IF(AND(MOD(INT('월 가계부'!A1011/100),100)&gt;=1,MOD(INT('월 가계부'!A1011/100),100)&lt;=12,MOD(INT('월 가계부'!A1011),100)&gt;=1,MOD(INT('월 가계부'!A1011),100)&lt;=31),IF(MONTH(DATE(INT('월 가계부'!A1011/10000),MOD(INT('월 가계부'!A1011/100),100),MOD(INT('월 가계부'!A1011),100)))=MOD(INT('월 가계부'!A1011/100),100),DATE(INT('월 가계부'!A1011/10000),MOD(INT('월 가계부'!A1011/100),100),MOD(INT('월 가계부'!A1011),100)),""),""),IF(AND('월 가계부'!A1011&gt;=36526,'월 가계부'!A1011&lt;73051),INT('월 가계부'!A1011),"")),IF(OR(CM1011="",CN1011="",CO1011=""),"",IF(AND(CM1011&gt;=2000,CM1011&lt;=2099,CN1011&gt;=1,CN1011&lt;=12,CO1011&gt;=1,CO1011&lt;=31),IF(MONTH(DATE(CM1011,CN1011,CO1011))=CN1011,DATE(CM1011,CN1011,CO1011),""),"")))),"")</f>
        <v/>
      </c>
      <c r="CJ1011">
        <f>IFERROR(IF('월 가계부'!C1011="","",IF(ISNUMBER('월 가계부'!C1011),'월 가계부'!C1011,VALUE(SUBSTITUTE(SUBSTITUTE(SUBSTITUTE(SUBSTITUTE(TRIM('월 가계부'!C1011),",",""),"원","")," ",""),"−","-")))),"")</f>
        <v/>
      </c>
      <c r="CK1011">
        <f>IF(ISNUMBER(CI1011),IF(CI1011&lt;$B$13,CI1011,""),"")</f>
        <v/>
      </c>
      <c r="CM1011">
        <f>IF(CH1011="","",IFERROR(IF(IF(AND(LEN(CH1011)=9,ISERROR(FIND("-",LEFT(CH1011,8))),ISNUMBER(-LEFT(CH1011,8))),VALUE(LEFT(CH1011,4)),VALUE(LEFT(CH1011,FIND("-",CH1011)-1)))&lt;100,IF(AND(LEN(CH1011)=9,ISERROR(FIND("-",LEFT(CH1011,8))),ISNUMBER(-LEFT(CH1011,8))),VALUE(LEFT(CH1011,4)),VALUE(LEFT(CH1011,FIND("-",CH1011)-1)))+2000,IF(AND(LEN(CH1011)=9,ISERROR(FIND("-",LEFT(CH1011,8))),ISNUMBER(-LEFT(CH1011,8))),VALUE(LEFT(CH1011,4)),VALUE(LEFT(CH1011,FIND("-",CH1011)-1)))),""))</f>
        <v/>
      </c>
      <c r="CN1011">
        <f>IF(CH1011="","",IFERROR(IF(AND(LEN(CH1011)=9,ISERROR(FIND("-",LEFT(CH1011,8))),ISNUMBER(-LEFT(CH1011,8))),VALUE(MID(CH1011,5,2)),VALUE(MID(CH1011,FIND("-",CH1011)+1,FIND("-",CH1011,FIND("-",CH1011)+1)-FIND("-",CH1011)-1))),""))</f>
        <v/>
      </c>
      <c r="CO1011">
        <f>IF(CH1011="","",IFERROR(IF(AND(LEN(CH1011)=9,ISERROR(FIND("-",LEFT(CH1011,8))),ISNUMBER(-LEFT(CH1011,8))),VALUE(MID(CH1011,7,2)),VALUE(MID(CH1011,FIND("-",CH1011,FIND("-",CH1011)+1)+1,FIND("-",CH1011,FIND("-",CH1011,FIND("-",CH1011)+1)+1)-FIND("-",CH1011,FIND("-",CH1011)+1)-1))),""))</f>
        <v/>
      </c>
    </row>
    <row r="1012">
      <c r="CH1012">
        <f>IF(ISTEXT('월 가계부'!A1012),SUBSTITUTE(SUBSTITUTE(SUBSTITUTE(SUBSTITUTE(SUBSTITUTE(SUBSTITUTE(SUBSTITUTE(SUBSTITUTE(SUBSTITUTE(TRIM('월 가계부'!A1012),"년","-"),"월","-"),"일",""),".","-"),"/","-")," ","-"),"--","-"),"--","-"),"--","-")&amp;"-","")</f>
        <v/>
      </c>
      <c r="CI1012">
        <f>IFERROR(IF('월 가계부'!A1012="","",IF(ISNUMBER('월 가계부'!A1012),IF(AND('월 가계부'!A1012&gt;=19000101,'월 가계부'!A1012&lt;=21001231),IF(AND(MOD(INT('월 가계부'!A1012/100),100)&gt;=1,MOD(INT('월 가계부'!A1012/100),100)&lt;=12,MOD(INT('월 가계부'!A1012),100)&gt;=1,MOD(INT('월 가계부'!A1012),100)&lt;=31),IF(MONTH(DATE(INT('월 가계부'!A1012/10000),MOD(INT('월 가계부'!A1012/100),100),MOD(INT('월 가계부'!A1012),100)))=MOD(INT('월 가계부'!A1012/100),100),DATE(INT('월 가계부'!A1012/10000),MOD(INT('월 가계부'!A1012/100),100),MOD(INT('월 가계부'!A1012),100)),""),""),IF(AND('월 가계부'!A1012&gt;=36526,'월 가계부'!A1012&lt;73051),INT('월 가계부'!A1012),"")),IF(OR(CM1012="",CN1012="",CO1012=""),"",IF(AND(CM1012&gt;=2000,CM1012&lt;=2099,CN1012&gt;=1,CN1012&lt;=12,CO1012&gt;=1,CO1012&lt;=31),IF(MONTH(DATE(CM1012,CN1012,CO1012))=CN1012,DATE(CM1012,CN1012,CO1012),""),"")))),"")</f>
        <v/>
      </c>
      <c r="CJ1012">
        <f>IFERROR(IF('월 가계부'!C1012="","",IF(ISNUMBER('월 가계부'!C1012),'월 가계부'!C1012,VALUE(SUBSTITUTE(SUBSTITUTE(SUBSTITUTE(SUBSTITUTE(TRIM('월 가계부'!C1012),",",""),"원","")," ",""),"−","-")))),"")</f>
        <v/>
      </c>
      <c r="CK1012">
        <f>IF(ISNUMBER(CI1012),IF(CI1012&lt;$B$13,CI1012,""),"")</f>
        <v/>
      </c>
      <c r="CM1012">
        <f>IF(CH1012="","",IFERROR(IF(IF(AND(LEN(CH1012)=9,ISERROR(FIND("-",LEFT(CH1012,8))),ISNUMBER(-LEFT(CH1012,8))),VALUE(LEFT(CH1012,4)),VALUE(LEFT(CH1012,FIND("-",CH1012)-1)))&lt;100,IF(AND(LEN(CH1012)=9,ISERROR(FIND("-",LEFT(CH1012,8))),ISNUMBER(-LEFT(CH1012,8))),VALUE(LEFT(CH1012,4)),VALUE(LEFT(CH1012,FIND("-",CH1012)-1)))+2000,IF(AND(LEN(CH1012)=9,ISERROR(FIND("-",LEFT(CH1012,8))),ISNUMBER(-LEFT(CH1012,8))),VALUE(LEFT(CH1012,4)),VALUE(LEFT(CH1012,FIND("-",CH1012)-1)))),""))</f>
        <v/>
      </c>
      <c r="CN1012">
        <f>IF(CH1012="","",IFERROR(IF(AND(LEN(CH1012)=9,ISERROR(FIND("-",LEFT(CH1012,8))),ISNUMBER(-LEFT(CH1012,8))),VALUE(MID(CH1012,5,2)),VALUE(MID(CH1012,FIND("-",CH1012)+1,FIND("-",CH1012,FIND("-",CH1012)+1)-FIND("-",CH1012)-1))),""))</f>
        <v/>
      </c>
      <c r="CO1012">
        <f>IF(CH1012="","",IFERROR(IF(AND(LEN(CH1012)=9,ISERROR(FIND("-",LEFT(CH1012,8))),ISNUMBER(-LEFT(CH1012,8))),VALUE(MID(CH1012,7,2)),VALUE(MID(CH1012,FIND("-",CH1012,FIND("-",CH1012)+1)+1,FIND("-",CH1012,FIND("-",CH1012,FIND("-",CH1012)+1)+1)-FIND("-",CH1012,FIND("-",CH1012)+1)-1))),""))</f>
        <v/>
      </c>
    </row>
    <row r="1013">
      <c r="CH1013">
        <f>IF(ISTEXT('월 가계부'!A1013),SUBSTITUTE(SUBSTITUTE(SUBSTITUTE(SUBSTITUTE(SUBSTITUTE(SUBSTITUTE(SUBSTITUTE(SUBSTITUTE(SUBSTITUTE(TRIM('월 가계부'!A1013),"년","-"),"월","-"),"일",""),".","-"),"/","-")," ","-"),"--","-"),"--","-"),"--","-")&amp;"-","")</f>
        <v/>
      </c>
      <c r="CI1013">
        <f>IFERROR(IF('월 가계부'!A1013="","",IF(ISNUMBER('월 가계부'!A1013),IF(AND('월 가계부'!A1013&gt;=19000101,'월 가계부'!A1013&lt;=21001231),IF(AND(MOD(INT('월 가계부'!A1013/100),100)&gt;=1,MOD(INT('월 가계부'!A1013/100),100)&lt;=12,MOD(INT('월 가계부'!A1013),100)&gt;=1,MOD(INT('월 가계부'!A1013),100)&lt;=31),IF(MONTH(DATE(INT('월 가계부'!A1013/10000),MOD(INT('월 가계부'!A1013/100),100),MOD(INT('월 가계부'!A1013),100)))=MOD(INT('월 가계부'!A1013/100),100),DATE(INT('월 가계부'!A1013/10000),MOD(INT('월 가계부'!A1013/100),100),MOD(INT('월 가계부'!A1013),100)),""),""),IF(AND('월 가계부'!A1013&gt;=36526,'월 가계부'!A1013&lt;73051),INT('월 가계부'!A1013),"")),IF(OR(CM1013="",CN1013="",CO1013=""),"",IF(AND(CM1013&gt;=2000,CM1013&lt;=2099,CN1013&gt;=1,CN1013&lt;=12,CO1013&gt;=1,CO1013&lt;=31),IF(MONTH(DATE(CM1013,CN1013,CO1013))=CN1013,DATE(CM1013,CN1013,CO1013),""),"")))),"")</f>
        <v/>
      </c>
      <c r="CJ1013">
        <f>IFERROR(IF('월 가계부'!C1013="","",IF(ISNUMBER('월 가계부'!C1013),'월 가계부'!C1013,VALUE(SUBSTITUTE(SUBSTITUTE(SUBSTITUTE(SUBSTITUTE(TRIM('월 가계부'!C1013),",",""),"원","")," ",""),"−","-")))),"")</f>
        <v/>
      </c>
      <c r="CK1013">
        <f>IF(ISNUMBER(CI1013),IF(CI1013&lt;$B$13,CI1013,""),"")</f>
        <v/>
      </c>
      <c r="CM1013">
        <f>IF(CH1013="","",IFERROR(IF(IF(AND(LEN(CH1013)=9,ISERROR(FIND("-",LEFT(CH1013,8))),ISNUMBER(-LEFT(CH1013,8))),VALUE(LEFT(CH1013,4)),VALUE(LEFT(CH1013,FIND("-",CH1013)-1)))&lt;100,IF(AND(LEN(CH1013)=9,ISERROR(FIND("-",LEFT(CH1013,8))),ISNUMBER(-LEFT(CH1013,8))),VALUE(LEFT(CH1013,4)),VALUE(LEFT(CH1013,FIND("-",CH1013)-1)))+2000,IF(AND(LEN(CH1013)=9,ISERROR(FIND("-",LEFT(CH1013,8))),ISNUMBER(-LEFT(CH1013,8))),VALUE(LEFT(CH1013,4)),VALUE(LEFT(CH1013,FIND("-",CH1013)-1)))),""))</f>
        <v/>
      </c>
      <c r="CN1013">
        <f>IF(CH1013="","",IFERROR(IF(AND(LEN(CH1013)=9,ISERROR(FIND("-",LEFT(CH1013,8))),ISNUMBER(-LEFT(CH1013,8))),VALUE(MID(CH1013,5,2)),VALUE(MID(CH1013,FIND("-",CH1013)+1,FIND("-",CH1013,FIND("-",CH1013)+1)-FIND("-",CH1013)-1))),""))</f>
        <v/>
      </c>
      <c r="CO1013">
        <f>IF(CH1013="","",IFERROR(IF(AND(LEN(CH1013)=9,ISERROR(FIND("-",LEFT(CH1013,8))),ISNUMBER(-LEFT(CH1013,8))),VALUE(MID(CH1013,7,2)),VALUE(MID(CH1013,FIND("-",CH1013,FIND("-",CH1013)+1)+1,FIND("-",CH1013,FIND("-",CH1013,FIND("-",CH1013)+1)+1)-FIND("-",CH1013,FIND("-",CH1013)+1)-1))),""))</f>
        <v/>
      </c>
    </row>
    <row r="1014">
      <c r="CH1014">
        <f>IF(ISTEXT('월 가계부'!A1014),SUBSTITUTE(SUBSTITUTE(SUBSTITUTE(SUBSTITUTE(SUBSTITUTE(SUBSTITUTE(SUBSTITUTE(SUBSTITUTE(SUBSTITUTE(TRIM('월 가계부'!A1014),"년","-"),"월","-"),"일",""),".","-"),"/","-")," ","-"),"--","-"),"--","-"),"--","-")&amp;"-","")</f>
        <v/>
      </c>
      <c r="CI1014">
        <f>IFERROR(IF('월 가계부'!A1014="","",IF(ISNUMBER('월 가계부'!A1014),IF(AND('월 가계부'!A1014&gt;=19000101,'월 가계부'!A1014&lt;=21001231),IF(AND(MOD(INT('월 가계부'!A1014/100),100)&gt;=1,MOD(INT('월 가계부'!A1014/100),100)&lt;=12,MOD(INT('월 가계부'!A1014),100)&gt;=1,MOD(INT('월 가계부'!A1014),100)&lt;=31),IF(MONTH(DATE(INT('월 가계부'!A1014/10000),MOD(INT('월 가계부'!A1014/100),100),MOD(INT('월 가계부'!A1014),100)))=MOD(INT('월 가계부'!A1014/100),100),DATE(INT('월 가계부'!A1014/10000),MOD(INT('월 가계부'!A1014/100),100),MOD(INT('월 가계부'!A1014),100)),""),""),IF(AND('월 가계부'!A1014&gt;=36526,'월 가계부'!A1014&lt;73051),INT('월 가계부'!A1014),"")),IF(OR(CM1014="",CN1014="",CO1014=""),"",IF(AND(CM1014&gt;=2000,CM1014&lt;=2099,CN1014&gt;=1,CN1014&lt;=12,CO1014&gt;=1,CO1014&lt;=31),IF(MONTH(DATE(CM1014,CN1014,CO1014))=CN1014,DATE(CM1014,CN1014,CO1014),""),"")))),"")</f>
        <v/>
      </c>
      <c r="CJ1014">
        <f>IFERROR(IF('월 가계부'!C1014="","",IF(ISNUMBER('월 가계부'!C1014),'월 가계부'!C1014,VALUE(SUBSTITUTE(SUBSTITUTE(SUBSTITUTE(SUBSTITUTE(TRIM('월 가계부'!C1014),",",""),"원","")," ",""),"−","-")))),"")</f>
        <v/>
      </c>
      <c r="CK1014">
        <f>IF(ISNUMBER(CI1014),IF(CI1014&lt;$B$13,CI1014,""),"")</f>
        <v/>
      </c>
      <c r="CM1014">
        <f>IF(CH1014="","",IFERROR(IF(IF(AND(LEN(CH1014)=9,ISERROR(FIND("-",LEFT(CH1014,8))),ISNUMBER(-LEFT(CH1014,8))),VALUE(LEFT(CH1014,4)),VALUE(LEFT(CH1014,FIND("-",CH1014)-1)))&lt;100,IF(AND(LEN(CH1014)=9,ISERROR(FIND("-",LEFT(CH1014,8))),ISNUMBER(-LEFT(CH1014,8))),VALUE(LEFT(CH1014,4)),VALUE(LEFT(CH1014,FIND("-",CH1014)-1)))+2000,IF(AND(LEN(CH1014)=9,ISERROR(FIND("-",LEFT(CH1014,8))),ISNUMBER(-LEFT(CH1014,8))),VALUE(LEFT(CH1014,4)),VALUE(LEFT(CH1014,FIND("-",CH1014)-1)))),""))</f>
        <v/>
      </c>
      <c r="CN1014">
        <f>IF(CH1014="","",IFERROR(IF(AND(LEN(CH1014)=9,ISERROR(FIND("-",LEFT(CH1014,8))),ISNUMBER(-LEFT(CH1014,8))),VALUE(MID(CH1014,5,2)),VALUE(MID(CH1014,FIND("-",CH1014)+1,FIND("-",CH1014,FIND("-",CH1014)+1)-FIND("-",CH1014)-1))),""))</f>
        <v/>
      </c>
      <c r="CO1014">
        <f>IF(CH1014="","",IFERROR(IF(AND(LEN(CH1014)=9,ISERROR(FIND("-",LEFT(CH1014,8))),ISNUMBER(-LEFT(CH1014,8))),VALUE(MID(CH1014,7,2)),VALUE(MID(CH1014,FIND("-",CH1014,FIND("-",CH1014)+1)+1,FIND("-",CH1014,FIND("-",CH1014,FIND("-",CH1014)+1)+1)-FIND("-",CH1014,FIND("-",CH1014)+1)-1))),""))</f>
        <v/>
      </c>
    </row>
    <row r="1015">
      <c r="CH1015">
        <f>IF(ISTEXT('월 가계부'!A1015),SUBSTITUTE(SUBSTITUTE(SUBSTITUTE(SUBSTITUTE(SUBSTITUTE(SUBSTITUTE(SUBSTITUTE(SUBSTITUTE(SUBSTITUTE(TRIM('월 가계부'!A1015),"년","-"),"월","-"),"일",""),".","-"),"/","-")," ","-"),"--","-"),"--","-"),"--","-")&amp;"-","")</f>
        <v/>
      </c>
      <c r="CI1015">
        <f>IFERROR(IF('월 가계부'!A1015="","",IF(ISNUMBER('월 가계부'!A1015),IF(AND('월 가계부'!A1015&gt;=19000101,'월 가계부'!A1015&lt;=21001231),IF(AND(MOD(INT('월 가계부'!A1015/100),100)&gt;=1,MOD(INT('월 가계부'!A1015/100),100)&lt;=12,MOD(INT('월 가계부'!A1015),100)&gt;=1,MOD(INT('월 가계부'!A1015),100)&lt;=31),IF(MONTH(DATE(INT('월 가계부'!A1015/10000),MOD(INT('월 가계부'!A1015/100),100),MOD(INT('월 가계부'!A1015),100)))=MOD(INT('월 가계부'!A1015/100),100),DATE(INT('월 가계부'!A1015/10000),MOD(INT('월 가계부'!A1015/100),100),MOD(INT('월 가계부'!A1015),100)),""),""),IF(AND('월 가계부'!A1015&gt;=36526,'월 가계부'!A1015&lt;73051),INT('월 가계부'!A1015),"")),IF(OR(CM1015="",CN1015="",CO1015=""),"",IF(AND(CM1015&gt;=2000,CM1015&lt;=2099,CN1015&gt;=1,CN1015&lt;=12,CO1015&gt;=1,CO1015&lt;=31),IF(MONTH(DATE(CM1015,CN1015,CO1015))=CN1015,DATE(CM1015,CN1015,CO1015),""),"")))),"")</f>
        <v/>
      </c>
      <c r="CJ1015">
        <f>IFERROR(IF('월 가계부'!C1015="","",IF(ISNUMBER('월 가계부'!C1015),'월 가계부'!C1015,VALUE(SUBSTITUTE(SUBSTITUTE(SUBSTITUTE(SUBSTITUTE(TRIM('월 가계부'!C1015),",",""),"원","")," ",""),"−","-")))),"")</f>
        <v/>
      </c>
      <c r="CK1015">
        <f>IF(ISNUMBER(CI1015),IF(CI1015&lt;$B$13,CI1015,""),"")</f>
        <v/>
      </c>
      <c r="CM1015">
        <f>IF(CH1015="","",IFERROR(IF(IF(AND(LEN(CH1015)=9,ISERROR(FIND("-",LEFT(CH1015,8))),ISNUMBER(-LEFT(CH1015,8))),VALUE(LEFT(CH1015,4)),VALUE(LEFT(CH1015,FIND("-",CH1015)-1)))&lt;100,IF(AND(LEN(CH1015)=9,ISERROR(FIND("-",LEFT(CH1015,8))),ISNUMBER(-LEFT(CH1015,8))),VALUE(LEFT(CH1015,4)),VALUE(LEFT(CH1015,FIND("-",CH1015)-1)))+2000,IF(AND(LEN(CH1015)=9,ISERROR(FIND("-",LEFT(CH1015,8))),ISNUMBER(-LEFT(CH1015,8))),VALUE(LEFT(CH1015,4)),VALUE(LEFT(CH1015,FIND("-",CH1015)-1)))),""))</f>
        <v/>
      </c>
      <c r="CN1015">
        <f>IF(CH1015="","",IFERROR(IF(AND(LEN(CH1015)=9,ISERROR(FIND("-",LEFT(CH1015,8))),ISNUMBER(-LEFT(CH1015,8))),VALUE(MID(CH1015,5,2)),VALUE(MID(CH1015,FIND("-",CH1015)+1,FIND("-",CH1015,FIND("-",CH1015)+1)-FIND("-",CH1015)-1))),""))</f>
        <v/>
      </c>
      <c r="CO1015">
        <f>IF(CH1015="","",IFERROR(IF(AND(LEN(CH1015)=9,ISERROR(FIND("-",LEFT(CH1015,8))),ISNUMBER(-LEFT(CH1015,8))),VALUE(MID(CH1015,7,2)),VALUE(MID(CH1015,FIND("-",CH1015,FIND("-",CH1015)+1)+1,FIND("-",CH1015,FIND("-",CH1015,FIND("-",CH1015)+1)+1)-FIND("-",CH1015,FIND("-",CH1015)+1)-1))),""))</f>
        <v/>
      </c>
    </row>
    <row r="1016">
      <c r="CH1016">
        <f>IF(ISTEXT('월 가계부'!A1016),SUBSTITUTE(SUBSTITUTE(SUBSTITUTE(SUBSTITUTE(SUBSTITUTE(SUBSTITUTE(SUBSTITUTE(SUBSTITUTE(SUBSTITUTE(TRIM('월 가계부'!A1016),"년","-"),"월","-"),"일",""),".","-"),"/","-")," ","-"),"--","-"),"--","-"),"--","-")&amp;"-","")</f>
        <v/>
      </c>
      <c r="CI1016">
        <f>IFERROR(IF('월 가계부'!A1016="","",IF(ISNUMBER('월 가계부'!A1016),IF(AND('월 가계부'!A1016&gt;=19000101,'월 가계부'!A1016&lt;=21001231),IF(AND(MOD(INT('월 가계부'!A1016/100),100)&gt;=1,MOD(INT('월 가계부'!A1016/100),100)&lt;=12,MOD(INT('월 가계부'!A1016),100)&gt;=1,MOD(INT('월 가계부'!A1016),100)&lt;=31),IF(MONTH(DATE(INT('월 가계부'!A1016/10000),MOD(INT('월 가계부'!A1016/100),100),MOD(INT('월 가계부'!A1016),100)))=MOD(INT('월 가계부'!A1016/100),100),DATE(INT('월 가계부'!A1016/10000),MOD(INT('월 가계부'!A1016/100),100),MOD(INT('월 가계부'!A1016),100)),""),""),IF(AND('월 가계부'!A1016&gt;=36526,'월 가계부'!A1016&lt;73051),INT('월 가계부'!A1016),"")),IF(OR(CM1016="",CN1016="",CO1016=""),"",IF(AND(CM1016&gt;=2000,CM1016&lt;=2099,CN1016&gt;=1,CN1016&lt;=12,CO1016&gt;=1,CO1016&lt;=31),IF(MONTH(DATE(CM1016,CN1016,CO1016))=CN1016,DATE(CM1016,CN1016,CO1016),""),"")))),"")</f>
        <v/>
      </c>
      <c r="CJ1016">
        <f>IFERROR(IF('월 가계부'!C1016="","",IF(ISNUMBER('월 가계부'!C1016),'월 가계부'!C1016,VALUE(SUBSTITUTE(SUBSTITUTE(SUBSTITUTE(SUBSTITUTE(TRIM('월 가계부'!C1016),",",""),"원","")," ",""),"−","-")))),"")</f>
        <v/>
      </c>
      <c r="CK1016">
        <f>IF(ISNUMBER(CI1016),IF(CI1016&lt;$B$13,CI1016,""),"")</f>
        <v/>
      </c>
      <c r="CM1016">
        <f>IF(CH1016="","",IFERROR(IF(IF(AND(LEN(CH1016)=9,ISERROR(FIND("-",LEFT(CH1016,8))),ISNUMBER(-LEFT(CH1016,8))),VALUE(LEFT(CH1016,4)),VALUE(LEFT(CH1016,FIND("-",CH1016)-1)))&lt;100,IF(AND(LEN(CH1016)=9,ISERROR(FIND("-",LEFT(CH1016,8))),ISNUMBER(-LEFT(CH1016,8))),VALUE(LEFT(CH1016,4)),VALUE(LEFT(CH1016,FIND("-",CH1016)-1)))+2000,IF(AND(LEN(CH1016)=9,ISERROR(FIND("-",LEFT(CH1016,8))),ISNUMBER(-LEFT(CH1016,8))),VALUE(LEFT(CH1016,4)),VALUE(LEFT(CH1016,FIND("-",CH1016)-1)))),""))</f>
        <v/>
      </c>
      <c r="CN1016">
        <f>IF(CH1016="","",IFERROR(IF(AND(LEN(CH1016)=9,ISERROR(FIND("-",LEFT(CH1016,8))),ISNUMBER(-LEFT(CH1016,8))),VALUE(MID(CH1016,5,2)),VALUE(MID(CH1016,FIND("-",CH1016)+1,FIND("-",CH1016,FIND("-",CH1016)+1)-FIND("-",CH1016)-1))),""))</f>
        <v/>
      </c>
      <c r="CO1016">
        <f>IF(CH1016="","",IFERROR(IF(AND(LEN(CH1016)=9,ISERROR(FIND("-",LEFT(CH1016,8))),ISNUMBER(-LEFT(CH1016,8))),VALUE(MID(CH1016,7,2)),VALUE(MID(CH1016,FIND("-",CH1016,FIND("-",CH1016)+1)+1,FIND("-",CH1016,FIND("-",CH1016,FIND("-",CH1016)+1)+1)-FIND("-",CH1016,FIND("-",CH1016)+1)-1))),""))</f>
        <v/>
      </c>
    </row>
    <row r="1017">
      <c r="CH1017">
        <f>IF(ISTEXT('월 가계부'!A1017),SUBSTITUTE(SUBSTITUTE(SUBSTITUTE(SUBSTITUTE(SUBSTITUTE(SUBSTITUTE(SUBSTITUTE(SUBSTITUTE(SUBSTITUTE(TRIM('월 가계부'!A1017),"년","-"),"월","-"),"일",""),".","-"),"/","-")," ","-"),"--","-"),"--","-"),"--","-")&amp;"-","")</f>
        <v/>
      </c>
      <c r="CI1017">
        <f>IFERROR(IF('월 가계부'!A1017="","",IF(ISNUMBER('월 가계부'!A1017),IF(AND('월 가계부'!A1017&gt;=19000101,'월 가계부'!A1017&lt;=21001231),IF(AND(MOD(INT('월 가계부'!A1017/100),100)&gt;=1,MOD(INT('월 가계부'!A1017/100),100)&lt;=12,MOD(INT('월 가계부'!A1017),100)&gt;=1,MOD(INT('월 가계부'!A1017),100)&lt;=31),IF(MONTH(DATE(INT('월 가계부'!A1017/10000),MOD(INT('월 가계부'!A1017/100),100),MOD(INT('월 가계부'!A1017),100)))=MOD(INT('월 가계부'!A1017/100),100),DATE(INT('월 가계부'!A1017/10000),MOD(INT('월 가계부'!A1017/100),100),MOD(INT('월 가계부'!A1017),100)),""),""),IF(AND('월 가계부'!A1017&gt;=36526,'월 가계부'!A1017&lt;73051),INT('월 가계부'!A1017),"")),IF(OR(CM1017="",CN1017="",CO1017=""),"",IF(AND(CM1017&gt;=2000,CM1017&lt;=2099,CN1017&gt;=1,CN1017&lt;=12,CO1017&gt;=1,CO1017&lt;=31),IF(MONTH(DATE(CM1017,CN1017,CO1017))=CN1017,DATE(CM1017,CN1017,CO1017),""),"")))),"")</f>
        <v/>
      </c>
      <c r="CJ1017">
        <f>IFERROR(IF('월 가계부'!C1017="","",IF(ISNUMBER('월 가계부'!C1017),'월 가계부'!C1017,VALUE(SUBSTITUTE(SUBSTITUTE(SUBSTITUTE(SUBSTITUTE(TRIM('월 가계부'!C1017),",",""),"원","")," ",""),"−","-")))),"")</f>
        <v/>
      </c>
      <c r="CK1017">
        <f>IF(ISNUMBER(CI1017),IF(CI1017&lt;$B$13,CI1017,""),"")</f>
        <v/>
      </c>
      <c r="CM1017">
        <f>IF(CH1017="","",IFERROR(IF(IF(AND(LEN(CH1017)=9,ISERROR(FIND("-",LEFT(CH1017,8))),ISNUMBER(-LEFT(CH1017,8))),VALUE(LEFT(CH1017,4)),VALUE(LEFT(CH1017,FIND("-",CH1017)-1)))&lt;100,IF(AND(LEN(CH1017)=9,ISERROR(FIND("-",LEFT(CH1017,8))),ISNUMBER(-LEFT(CH1017,8))),VALUE(LEFT(CH1017,4)),VALUE(LEFT(CH1017,FIND("-",CH1017)-1)))+2000,IF(AND(LEN(CH1017)=9,ISERROR(FIND("-",LEFT(CH1017,8))),ISNUMBER(-LEFT(CH1017,8))),VALUE(LEFT(CH1017,4)),VALUE(LEFT(CH1017,FIND("-",CH1017)-1)))),""))</f>
        <v/>
      </c>
      <c r="CN1017">
        <f>IF(CH1017="","",IFERROR(IF(AND(LEN(CH1017)=9,ISERROR(FIND("-",LEFT(CH1017,8))),ISNUMBER(-LEFT(CH1017,8))),VALUE(MID(CH1017,5,2)),VALUE(MID(CH1017,FIND("-",CH1017)+1,FIND("-",CH1017,FIND("-",CH1017)+1)-FIND("-",CH1017)-1))),""))</f>
        <v/>
      </c>
      <c r="CO1017">
        <f>IF(CH1017="","",IFERROR(IF(AND(LEN(CH1017)=9,ISERROR(FIND("-",LEFT(CH1017,8))),ISNUMBER(-LEFT(CH1017,8))),VALUE(MID(CH1017,7,2)),VALUE(MID(CH1017,FIND("-",CH1017,FIND("-",CH1017)+1)+1,FIND("-",CH1017,FIND("-",CH1017,FIND("-",CH1017)+1)+1)-FIND("-",CH1017,FIND("-",CH1017)+1)-1))),""))</f>
        <v/>
      </c>
    </row>
    <row r="1018">
      <c r="CH1018">
        <f>IF(ISTEXT('월 가계부'!A1018),SUBSTITUTE(SUBSTITUTE(SUBSTITUTE(SUBSTITUTE(SUBSTITUTE(SUBSTITUTE(SUBSTITUTE(SUBSTITUTE(SUBSTITUTE(TRIM('월 가계부'!A1018),"년","-"),"월","-"),"일",""),".","-"),"/","-")," ","-"),"--","-"),"--","-"),"--","-")&amp;"-","")</f>
        <v/>
      </c>
      <c r="CI1018">
        <f>IFERROR(IF('월 가계부'!A1018="","",IF(ISNUMBER('월 가계부'!A1018),IF(AND('월 가계부'!A1018&gt;=19000101,'월 가계부'!A1018&lt;=21001231),IF(AND(MOD(INT('월 가계부'!A1018/100),100)&gt;=1,MOD(INT('월 가계부'!A1018/100),100)&lt;=12,MOD(INT('월 가계부'!A1018),100)&gt;=1,MOD(INT('월 가계부'!A1018),100)&lt;=31),IF(MONTH(DATE(INT('월 가계부'!A1018/10000),MOD(INT('월 가계부'!A1018/100),100),MOD(INT('월 가계부'!A1018),100)))=MOD(INT('월 가계부'!A1018/100),100),DATE(INT('월 가계부'!A1018/10000),MOD(INT('월 가계부'!A1018/100),100),MOD(INT('월 가계부'!A1018),100)),""),""),IF(AND('월 가계부'!A1018&gt;=36526,'월 가계부'!A1018&lt;73051),INT('월 가계부'!A1018),"")),IF(OR(CM1018="",CN1018="",CO1018=""),"",IF(AND(CM1018&gt;=2000,CM1018&lt;=2099,CN1018&gt;=1,CN1018&lt;=12,CO1018&gt;=1,CO1018&lt;=31),IF(MONTH(DATE(CM1018,CN1018,CO1018))=CN1018,DATE(CM1018,CN1018,CO1018),""),"")))),"")</f>
        <v/>
      </c>
      <c r="CJ1018">
        <f>IFERROR(IF('월 가계부'!C1018="","",IF(ISNUMBER('월 가계부'!C1018),'월 가계부'!C1018,VALUE(SUBSTITUTE(SUBSTITUTE(SUBSTITUTE(SUBSTITUTE(TRIM('월 가계부'!C1018),",",""),"원","")," ",""),"−","-")))),"")</f>
        <v/>
      </c>
      <c r="CK1018">
        <f>IF(ISNUMBER(CI1018),IF(CI1018&lt;$B$13,CI1018,""),"")</f>
        <v/>
      </c>
      <c r="CM1018">
        <f>IF(CH1018="","",IFERROR(IF(IF(AND(LEN(CH1018)=9,ISERROR(FIND("-",LEFT(CH1018,8))),ISNUMBER(-LEFT(CH1018,8))),VALUE(LEFT(CH1018,4)),VALUE(LEFT(CH1018,FIND("-",CH1018)-1)))&lt;100,IF(AND(LEN(CH1018)=9,ISERROR(FIND("-",LEFT(CH1018,8))),ISNUMBER(-LEFT(CH1018,8))),VALUE(LEFT(CH1018,4)),VALUE(LEFT(CH1018,FIND("-",CH1018)-1)))+2000,IF(AND(LEN(CH1018)=9,ISERROR(FIND("-",LEFT(CH1018,8))),ISNUMBER(-LEFT(CH1018,8))),VALUE(LEFT(CH1018,4)),VALUE(LEFT(CH1018,FIND("-",CH1018)-1)))),""))</f>
        <v/>
      </c>
      <c r="CN1018">
        <f>IF(CH1018="","",IFERROR(IF(AND(LEN(CH1018)=9,ISERROR(FIND("-",LEFT(CH1018,8))),ISNUMBER(-LEFT(CH1018,8))),VALUE(MID(CH1018,5,2)),VALUE(MID(CH1018,FIND("-",CH1018)+1,FIND("-",CH1018,FIND("-",CH1018)+1)-FIND("-",CH1018)-1))),""))</f>
        <v/>
      </c>
      <c r="CO1018">
        <f>IF(CH1018="","",IFERROR(IF(AND(LEN(CH1018)=9,ISERROR(FIND("-",LEFT(CH1018,8))),ISNUMBER(-LEFT(CH1018,8))),VALUE(MID(CH1018,7,2)),VALUE(MID(CH1018,FIND("-",CH1018,FIND("-",CH1018)+1)+1,FIND("-",CH1018,FIND("-",CH1018,FIND("-",CH1018)+1)+1)-FIND("-",CH1018,FIND("-",CH1018)+1)-1))),""))</f>
        <v/>
      </c>
    </row>
    <row r="1019">
      <c r="CH1019">
        <f>IF(ISTEXT('월 가계부'!A1019),SUBSTITUTE(SUBSTITUTE(SUBSTITUTE(SUBSTITUTE(SUBSTITUTE(SUBSTITUTE(SUBSTITUTE(SUBSTITUTE(SUBSTITUTE(TRIM('월 가계부'!A1019),"년","-"),"월","-"),"일",""),".","-"),"/","-")," ","-"),"--","-"),"--","-"),"--","-")&amp;"-","")</f>
        <v/>
      </c>
      <c r="CI1019">
        <f>IFERROR(IF('월 가계부'!A1019="","",IF(ISNUMBER('월 가계부'!A1019),IF(AND('월 가계부'!A1019&gt;=19000101,'월 가계부'!A1019&lt;=21001231),IF(AND(MOD(INT('월 가계부'!A1019/100),100)&gt;=1,MOD(INT('월 가계부'!A1019/100),100)&lt;=12,MOD(INT('월 가계부'!A1019),100)&gt;=1,MOD(INT('월 가계부'!A1019),100)&lt;=31),IF(MONTH(DATE(INT('월 가계부'!A1019/10000),MOD(INT('월 가계부'!A1019/100),100),MOD(INT('월 가계부'!A1019),100)))=MOD(INT('월 가계부'!A1019/100),100),DATE(INT('월 가계부'!A1019/10000),MOD(INT('월 가계부'!A1019/100),100),MOD(INT('월 가계부'!A1019),100)),""),""),IF(AND('월 가계부'!A1019&gt;=36526,'월 가계부'!A1019&lt;73051),INT('월 가계부'!A1019),"")),IF(OR(CM1019="",CN1019="",CO1019=""),"",IF(AND(CM1019&gt;=2000,CM1019&lt;=2099,CN1019&gt;=1,CN1019&lt;=12,CO1019&gt;=1,CO1019&lt;=31),IF(MONTH(DATE(CM1019,CN1019,CO1019))=CN1019,DATE(CM1019,CN1019,CO1019),""),"")))),"")</f>
        <v/>
      </c>
      <c r="CJ1019">
        <f>IFERROR(IF('월 가계부'!C1019="","",IF(ISNUMBER('월 가계부'!C1019),'월 가계부'!C1019,VALUE(SUBSTITUTE(SUBSTITUTE(SUBSTITUTE(SUBSTITUTE(TRIM('월 가계부'!C1019),",",""),"원","")," ",""),"−","-")))),"")</f>
        <v/>
      </c>
      <c r="CK1019">
        <f>IF(ISNUMBER(CI1019),IF(CI1019&lt;$B$13,CI1019,""),"")</f>
        <v/>
      </c>
      <c r="CM1019">
        <f>IF(CH1019="","",IFERROR(IF(IF(AND(LEN(CH1019)=9,ISERROR(FIND("-",LEFT(CH1019,8))),ISNUMBER(-LEFT(CH1019,8))),VALUE(LEFT(CH1019,4)),VALUE(LEFT(CH1019,FIND("-",CH1019)-1)))&lt;100,IF(AND(LEN(CH1019)=9,ISERROR(FIND("-",LEFT(CH1019,8))),ISNUMBER(-LEFT(CH1019,8))),VALUE(LEFT(CH1019,4)),VALUE(LEFT(CH1019,FIND("-",CH1019)-1)))+2000,IF(AND(LEN(CH1019)=9,ISERROR(FIND("-",LEFT(CH1019,8))),ISNUMBER(-LEFT(CH1019,8))),VALUE(LEFT(CH1019,4)),VALUE(LEFT(CH1019,FIND("-",CH1019)-1)))),""))</f>
        <v/>
      </c>
      <c r="CN1019">
        <f>IF(CH1019="","",IFERROR(IF(AND(LEN(CH1019)=9,ISERROR(FIND("-",LEFT(CH1019,8))),ISNUMBER(-LEFT(CH1019,8))),VALUE(MID(CH1019,5,2)),VALUE(MID(CH1019,FIND("-",CH1019)+1,FIND("-",CH1019,FIND("-",CH1019)+1)-FIND("-",CH1019)-1))),""))</f>
        <v/>
      </c>
      <c r="CO1019">
        <f>IF(CH1019="","",IFERROR(IF(AND(LEN(CH1019)=9,ISERROR(FIND("-",LEFT(CH1019,8))),ISNUMBER(-LEFT(CH1019,8))),VALUE(MID(CH1019,7,2)),VALUE(MID(CH1019,FIND("-",CH1019,FIND("-",CH1019)+1)+1,FIND("-",CH1019,FIND("-",CH1019,FIND("-",CH1019)+1)+1)-FIND("-",CH1019,FIND("-",CH1019)+1)-1))),""))</f>
        <v/>
      </c>
    </row>
    <row r="1020">
      <c r="CH1020">
        <f>IF(ISTEXT('월 가계부'!A1020),SUBSTITUTE(SUBSTITUTE(SUBSTITUTE(SUBSTITUTE(SUBSTITUTE(SUBSTITUTE(SUBSTITUTE(SUBSTITUTE(SUBSTITUTE(TRIM('월 가계부'!A1020),"년","-"),"월","-"),"일",""),".","-"),"/","-")," ","-"),"--","-"),"--","-"),"--","-")&amp;"-","")</f>
        <v/>
      </c>
      <c r="CI1020">
        <f>IFERROR(IF('월 가계부'!A1020="","",IF(ISNUMBER('월 가계부'!A1020),IF(AND('월 가계부'!A1020&gt;=19000101,'월 가계부'!A1020&lt;=21001231),IF(AND(MOD(INT('월 가계부'!A1020/100),100)&gt;=1,MOD(INT('월 가계부'!A1020/100),100)&lt;=12,MOD(INT('월 가계부'!A1020),100)&gt;=1,MOD(INT('월 가계부'!A1020),100)&lt;=31),IF(MONTH(DATE(INT('월 가계부'!A1020/10000),MOD(INT('월 가계부'!A1020/100),100),MOD(INT('월 가계부'!A1020),100)))=MOD(INT('월 가계부'!A1020/100),100),DATE(INT('월 가계부'!A1020/10000),MOD(INT('월 가계부'!A1020/100),100),MOD(INT('월 가계부'!A1020),100)),""),""),IF(AND('월 가계부'!A1020&gt;=36526,'월 가계부'!A1020&lt;73051),INT('월 가계부'!A1020),"")),IF(OR(CM1020="",CN1020="",CO1020=""),"",IF(AND(CM1020&gt;=2000,CM1020&lt;=2099,CN1020&gt;=1,CN1020&lt;=12,CO1020&gt;=1,CO1020&lt;=31),IF(MONTH(DATE(CM1020,CN1020,CO1020))=CN1020,DATE(CM1020,CN1020,CO1020),""),"")))),"")</f>
        <v/>
      </c>
      <c r="CJ1020">
        <f>IFERROR(IF('월 가계부'!C1020="","",IF(ISNUMBER('월 가계부'!C1020),'월 가계부'!C1020,VALUE(SUBSTITUTE(SUBSTITUTE(SUBSTITUTE(SUBSTITUTE(TRIM('월 가계부'!C1020),",",""),"원","")," ",""),"−","-")))),"")</f>
        <v/>
      </c>
      <c r="CK1020">
        <f>IF(ISNUMBER(CI1020),IF(CI1020&lt;$B$13,CI1020,""),"")</f>
        <v/>
      </c>
      <c r="CM1020">
        <f>IF(CH1020="","",IFERROR(IF(IF(AND(LEN(CH1020)=9,ISERROR(FIND("-",LEFT(CH1020,8))),ISNUMBER(-LEFT(CH1020,8))),VALUE(LEFT(CH1020,4)),VALUE(LEFT(CH1020,FIND("-",CH1020)-1)))&lt;100,IF(AND(LEN(CH1020)=9,ISERROR(FIND("-",LEFT(CH1020,8))),ISNUMBER(-LEFT(CH1020,8))),VALUE(LEFT(CH1020,4)),VALUE(LEFT(CH1020,FIND("-",CH1020)-1)))+2000,IF(AND(LEN(CH1020)=9,ISERROR(FIND("-",LEFT(CH1020,8))),ISNUMBER(-LEFT(CH1020,8))),VALUE(LEFT(CH1020,4)),VALUE(LEFT(CH1020,FIND("-",CH1020)-1)))),""))</f>
        <v/>
      </c>
      <c r="CN1020">
        <f>IF(CH1020="","",IFERROR(IF(AND(LEN(CH1020)=9,ISERROR(FIND("-",LEFT(CH1020,8))),ISNUMBER(-LEFT(CH1020,8))),VALUE(MID(CH1020,5,2)),VALUE(MID(CH1020,FIND("-",CH1020)+1,FIND("-",CH1020,FIND("-",CH1020)+1)-FIND("-",CH1020)-1))),""))</f>
        <v/>
      </c>
      <c r="CO1020">
        <f>IF(CH1020="","",IFERROR(IF(AND(LEN(CH1020)=9,ISERROR(FIND("-",LEFT(CH1020,8))),ISNUMBER(-LEFT(CH1020,8))),VALUE(MID(CH1020,7,2)),VALUE(MID(CH1020,FIND("-",CH1020,FIND("-",CH1020)+1)+1,FIND("-",CH1020,FIND("-",CH1020,FIND("-",CH1020)+1)+1)-FIND("-",CH1020,FIND("-",CH1020)+1)-1))),""))</f>
        <v/>
      </c>
    </row>
    <row r="1021">
      <c r="CH1021">
        <f>IF(ISTEXT('월 가계부'!A1021),SUBSTITUTE(SUBSTITUTE(SUBSTITUTE(SUBSTITUTE(SUBSTITUTE(SUBSTITUTE(SUBSTITUTE(SUBSTITUTE(SUBSTITUTE(TRIM('월 가계부'!A1021),"년","-"),"월","-"),"일",""),".","-"),"/","-")," ","-"),"--","-"),"--","-"),"--","-")&amp;"-","")</f>
        <v/>
      </c>
      <c r="CI1021">
        <f>IFERROR(IF('월 가계부'!A1021="","",IF(ISNUMBER('월 가계부'!A1021),IF(AND('월 가계부'!A1021&gt;=19000101,'월 가계부'!A1021&lt;=21001231),IF(AND(MOD(INT('월 가계부'!A1021/100),100)&gt;=1,MOD(INT('월 가계부'!A1021/100),100)&lt;=12,MOD(INT('월 가계부'!A1021),100)&gt;=1,MOD(INT('월 가계부'!A1021),100)&lt;=31),IF(MONTH(DATE(INT('월 가계부'!A1021/10000),MOD(INT('월 가계부'!A1021/100),100),MOD(INT('월 가계부'!A1021),100)))=MOD(INT('월 가계부'!A1021/100),100),DATE(INT('월 가계부'!A1021/10000),MOD(INT('월 가계부'!A1021/100),100),MOD(INT('월 가계부'!A1021),100)),""),""),IF(AND('월 가계부'!A1021&gt;=36526,'월 가계부'!A1021&lt;73051),INT('월 가계부'!A1021),"")),IF(OR(CM1021="",CN1021="",CO1021=""),"",IF(AND(CM1021&gt;=2000,CM1021&lt;=2099,CN1021&gt;=1,CN1021&lt;=12,CO1021&gt;=1,CO1021&lt;=31),IF(MONTH(DATE(CM1021,CN1021,CO1021))=CN1021,DATE(CM1021,CN1021,CO1021),""),"")))),"")</f>
        <v/>
      </c>
      <c r="CJ1021">
        <f>IFERROR(IF('월 가계부'!C1021="","",IF(ISNUMBER('월 가계부'!C1021),'월 가계부'!C1021,VALUE(SUBSTITUTE(SUBSTITUTE(SUBSTITUTE(SUBSTITUTE(TRIM('월 가계부'!C1021),",",""),"원","")," ",""),"−","-")))),"")</f>
        <v/>
      </c>
      <c r="CK1021">
        <f>IF(ISNUMBER(CI1021),IF(CI1021&lt;$B$13,CI1021,""),"")</f>
        <v/>
      </c>
      <c r="CM1021">
        <f>IF(CH1021="","",IFERROR(IF(IF(AND(LEN(CH1021)=9,ISERROR(FIND("-",LEFT(CH1021,8))),ISNUMBER(-LEFT(CH1021,8))),VALUE(LEFT(CH1021,4)),VALUE(LEFT(CH1021,FIND("-",CH1021)-1)))&lt;100,IF(AND(LEN(CH1021)=9,ISERROR(FIND("-",LEFT(CH1021,8))),ISNUMBER(-LEFT(CH1021,8))),VALUE(LEFT(CH1021,4)),VALUE(LEFT(CH1021,FIND("-",CH1021)-1)))+2000,IF(AND(LEN(CH1021)=9,ISERROR(FIND("-",LEFT(CH1021,8))),ISNUMBER(-LEFT(CH1021,8))),VALUE(LEFT(CH1021,4)),VALUE(LEFT(CH1021,FIND("-",CH1021)-1)))),""))</f>
        <v/>
      </c>
      <c r="CN1021">
        <f>IF(CH1021="","",IFERROR(IF(AND(LEN(CH1021)=9,ISERROR(FIND("-",LEFT(CH1021,8))),ISNUMBER(-LEFT(CH1021,8))),VALUE(MID(CH1021,5,2)),VALUE(MID(CH1021,FIND("-",CH1021)+1,FIND("-",CH1021,FIND("-",CH1021)+1)-FIND("-",CH1021)-1))),""))</f>
        <v/>
      </c>
      <c r="CO1021">
        <f>IF(CH1021="","",IFERROR(IF(AND(LEN(CH1021)=9,ISERROR(FIND("-",LEFT(CH1021,8))),ISNUMBER(-LEFT(CH1021,8))),VALUE(MID(CH1021,7,2)),VALUE(MID(CH1021,FIND("-",CH1021,FIND("-",CH1021)+1)+1,FIND("-",CH1021,FIND("-",CH1021,FIND("-",CH1021)+1)+1)-FIND("-",CH1021,FIND("-",CH1021)+1)-1))),""))</f>
        <v/>
      </c>
    </row>
    <row r="1022">
      <c r="CH1022">
        <f>IF(ISTEXT('월 가계부'!A1022),SUBSTITUTE(SUBSTITUTE(SUBSTITUTE(SUBSTITUTE(SUBSTITUTE(SUBSTITUTE(SUBSTITUTE(SUBSTITUTE(SUBSTITUTE(TRIM('월 가계부'!A1022),"년","-"),"월","-"),"일",""),".","-"),"/","-")," ","-"),"--","-"),"--","-"),"--","-")&amp;"-","")</f>
        <v/>
      </c>
      <c r="CI1022">
        <f>IFERROR(IF('월 가계부'!A1022="","",IF(ISNUMBER('월 가계부'!A1022),IF(AND('월 가계부'!A1022&gt;=19000101,'월 가계부'!A1022&lt;=21001231),IF(AND(MOD(INT('월 가계부'!A1022/100),100)&gt;=1,MOD(INT('월 가계부'!A1022/100),100)&lt;=12,MOD(INT('월 가계부'!A1022),100)&gt;=1,MOD(INT('월 가계부'!A1022),100)&lt;=31),IF(MONTH(DATE(INT('월 가계부'!A1022/10000),MOD(INT('월 가계부'!A1022/100),100),MOD(INT('월 가계부'!A1022),100)))=MOD(INT('월 가계부'!A1022/100),100),DATE(INT('월 가계부'!A1022/10000),MOD(INT('월 가계부'!A1022/100),100),MOD(INT('월 가계부'!A1022),100)),""),""),IF(AND('월 가계부'!A1022&gt;=36526,'월 가계부'!A1022&lt;73051),INT('월 가계부'!A1022),"")),IF(OR(CM1022="",CN1022="",CO1022=""),"",IF(AND(CM1022&gt;=2000,CM1022&lt;=2099,CN1022&gt;=1,CN1022&lt;=12,CO1022&gt;=1,CO1022&lt;=31),IF(MONTH(DATE(CM1022,CN1022,CO1022))=CN1022,DATE(CM1022,CN1022,CO1022),""),"")))),"")</f>
        <v/>
      </c>
      <c r="CJ1022">
        <f>IFERROR(IF('월 가계부'!C1022="","",IF(ISNUMBER('월 가계부'!C1022),'월 가계부'!C1022,VALUE(SUBSTITUTE(SUBSTITUTE(SUBSTITUTE(SUBSTITUTE(TRIM('월 가계부'!C1022),",",""),"원","")," ",""),"−","-")))),"")</f>
        <v/>
      </c>
      <c r="CK1022">
        <f>IF(ISNUMBER(CI1022),IF(CI1022&lt;$B$13,CI1022,""),"")</f>
        <v/>
      </c>
      <c r="CM1022">
        <f>IF(CH1022="","",IFERROR(IF(IF(AND(LEN(CH1022)=9,ISERROR(FIND("-",LEFT(CH1022,8))),ISNUMBER(-LEFT(CH1022,8))),VALUE(LEFT(CH1022,4)),VALUE(LEFT(CH1022,FIND("-",CH1022)-1)))&lt;100,IF(AND(LEN(CH1022)=9,ISERROR(FIND("-",LEFT(CH1022,8))),ISNUMBER(-LEFT(CH1022,8))),VALUE(LEFT(CH1022,4)),VALUE(LEFT(CH1022,FIND("-",CH1022)-1)))+2000,IF(AND(LEN(CH1022)=9,ISERROR(FIND("-",LEFT(CH1022,8))),ISNUMBER(-LEFT(CH1022,8))),VALUE(LEFT(CH1022,4)),VALUE(LEFT(CH1022,FIND("-",CH1022)-1)))),""))</f>
        <v/>
      </c>
      <c r="CN1022">
        <f>IF(CH1022="","",IFERROR(IF(AND(LEN(CH1022)=9,ISERROR(FIND("-",LEFT(CH1022,8))),ISNUMBER(-LEFT(CH1022,8))),VALUE(MID(CH1022,5,2)),VALUE(MID(CH1022,FIND("-",CH1022)+1,FIND("-",CH1022,FIND("-",CH1022)+1)-FIND("-",CH1022)-1))),""))</f>
        <v/>
      </c>
      <c r="CO1022">
        <f>IF(CH1022="","",IFERROR(IF(AND(LEN(CH1022)=9,ISERROR(FIND("-",LEFT(CH1022,8))),ISNUMBER(-LEFT(CH1022,8))),VALUE(MID(CH1022,7,2)),VALUE(MID(CH1022,FIND("-",CH1022,FIND("-",CH1022)+1)+1,FIND("-",CH1022,FIND("-",CH1022,FIND("-",CH1022)+1)+1)-FIND("-",CH1022,FIND("-",CH1022)+1)-1))),""))</f>
        <v/>
      </c>
    </row>
    <row r="1023">
      <c r="CH1023">
        <f>IF(ISTEXT('월 가계부'!A1023),SUBSTITUTE(SUBSTITUTE(SUBSTITUTE(SUBSTITUTE(SUBSTITUTE(SUBSTITUTE(SUBSTITUTE(SUBSTITUTE(SUBSTITUTE(TRIM('월 가계부'!A1023),"년","-"),"월","-"),"일",""),".","-"),"/","-")," ","-"),"--","-"),"--","-"),"--","-")&amp;"-","")</f>
        <v/>
      </c>
      <c r="CI1023">
        <f>IFERROR(IF('월 가계부'!A1023="","",IF(ISNUMBER('월 가계부'!A1023),IF(AND('월 가계부'!A1023&gt;=19000101,'월 가계부'!A1023&lt;=21001231),IF(AND(MOD(INT('월 가계부'!A1023/100),100)&gt;=1,MOD(INT('월 가계부'!A1023/100),100)&lt;=12,MOD(INT('월 가계부'!A1023),100)&gt;=1,MOD(INT('월 가계부'!A1023),100)&lt;=31),IF(MONTH(DATE(INT('월 가계부'!A1023/10000),MOD(INT('월 가계부'!A1023/100),100),MOD(INT('월 가계부'!A1023),100)))=MOD(INT('월 가계부'!A1023/100),100),DATE(INT('월 가계부'!A1023/10000),MOD(INT('월 가계부'!A1023/100),100),MOD(INT('월 가계부'!A1023),100)),""),""),IF(AND('월 가계부'!A1023&gt;=36526,'월 가계부'!A1023&lt;73051),INT('월 가계부'!A1023),"")),IF(OR(CM1023="",CN1023="",CO1023=""),"",IF(AND(CM1023&gt;=2000,CM1023&lt;=2099,CN1023&gt;=1,CN1023&lt;=12,CO1023&gt;=1,CO1023&lt;=31),IF(MONTH(DATE(CM1023,CN1023,CO1023))=CN1023,DATE(CM1023,CN1023,CO1023),""),"")))),"")</f>
        <v/>
      </c>
      <c r="CJ1023">
        <f>IFERROR(IF('월 가계부'!C1023="","",IF(ISNUMBER('월 가계부'!C1023),'월 가계부'!C1023,VALUE(SUBSTITUTE(SUBSTITUTE(SUBSTITUTE(SUBSTITUTE(TRIM('월 가계부'!C1023),",",""),"원","")," ",""),"−","-")))),"")</f>
        <v/>
      </c>
      <c r="CK1023">
        <f>IF(ISNUMBER(CI1023),IF(CI1023&lt;$B$13,CI1023,""),"")</f>
        <v/>
      </c>
      <c r="CM1023">
        <f>IF(CH1023="","",IFERROR(IF(IF(AND(LEN(CH1023)=9,ISERROR(FIND("-",LEFT(CH1023,8))),ISNUMBER(-LEFT(CH1023,8))),VALUE(LEFT(CH1023,4)),VALUE(LEFT(CH1023,FIND("-",CH1023)-1)))&lt;100,IF(AND(LEN(CH1023)=9,ISERROR(FIND("-",LEFT(CH1023,8))),ISNUMBER(-LEFT(CH1023,8))),VALUE(LEFT(CH1023,4)),VALUE(LEFT(CH1023,FIND("-",CH1023)-1)))+2000,IF(AND(LEN(CH1023)=9,ISERROR(FIND("-",LEFT(CH1023,8))),ISNUMBER(-LEFT(CH1023,8))),VALUE(LEFT(CH1023,4)),VALUE(LEFT(CH1023,FIND("-",CH1023)-1)))),""))</f>
        <v/>
      </c>
      <c r="CN1023">
        <f>IF(CH1023="","",IFERROR(IF(AND(LEN(CH1023)=9,ISERROR(FIND("-",LEFT(CH1023,8))),ISNUMBER(-LEFT(CH1023,8))),VALUE(MID(CH1023,5,2)),VALUE(MID(CH1023,FIND("-",CH1023)+1,FIND("-",CH1023,FIND("-",CH1023)+1)-FIND("-",CH1023)-1))),""))</f>
        <v/>
      </c>
      <c r="CO1023">
        <f>IF(CH1023="","",IFERROR(IF(AND(LEN(CH1023)=9,ISERROR(FIND("-",LEFT(CH1023,8))),ISNUMBER(-LEFT(CH1023,8))),VALUE(MID(CH1023,7,2)),VALUE(MID(CH1023,FIND("-",CH1023,FIND("-",CH1023)+1)+1,FIND("-",CH1023,FIND("-",CH1023,FIND("-",CH1023)+1)+1)-FIND("-",CH1023,FIND("-",CH1023)+1)-1))),""))</f>
        <v/>
      </c>
    </row>
    <row r="1024">
      <c r="CH1024">
        <f>IF(ISTEXT('월 가계부'!A1024),SUBSTITUTE(SUBSTITUTE(SUBSTITUTE(SUBSTITUTE(SUBSTITUTE(SUBSTITUTE(SUBSTITUTE(SUBSTITUTE(SUBSTITUTE(TRIM('월 가계부'!A1024),"년","-"),"월","-"),"일",""),".","-"),"/","-")," ","-"),"--","-"),"--","-"),"--","-")&amp;"-","")</f>
        <v/>
      </c>
      <c r="CI1024">
        <f>IFERROR(IF('월 가계부'!A1024="","",IF(ISNUMBER('월 가계부'!A1024),IF(AND('월 가계부'!A1024&gt;=19000101,'월 가계부'!A1024&lt;=21001231),IF(AND(MOD(INT('월 가계부'!A1024/100),100)&gt;=1,MOD(INT('월 가계부'!A1024/100),100)&lt;=12,MOD(INT('월 가계부'!A1024),100)&gt;=1,MOD(INT('월 가계부'!A1024),100)&lt;=31),IF(MONTH(DATE(INT('월 가계부'!A1024/10000),MOD(INT('월 가계부'!A1024/100),100),MOD(INT('월 가계부'!A1024),100)))=MOD(INT('월 가계부'!A1024/100),100),DATE(INT('월 가계부'!A1024/10000),MOD(INT('월 가계부'!A1024/100),100),MOD(INT('월 가계부'!A1024),100)),""),""),IF(AND('월 가계부'!A1024&gt;=36526,'월 가계부'!A1024&lt;73051),INT('월 가계부'!A1024),"")),IF(OR(CM1024="",CN1024="",CO1024=""),"",IF(AND(CM1024&gt;=2000,CM1024&lt;=2099,CN1024&gt;=1,CN1024&lt;=12,CO1024&gt;=1,CO1024&lt;=31),IF(MONTH(DATE(CM1024,CN1024,CO1024))=CN1024,DATE(CM1024,CN1024,CO1024),""),"")))),"")</f>
        <v/>
      </c>
      <c r="CJ1024">
        <f>IFERROR(IF('월 가계부'!C1024="","",IF(ISNUMBER('월 가계부'!C1024),'월 가계부'!C1024,VALUE(SUBSTITUTE(SUBSTITUTE(SUBSTITUTE(SUBSTITUTE(TRIM('월 가계부'!C1024),",",""),"원","")," ",""),"−","-")))),"")</f>
        <v/>
      </c>
      <c r="CK1024">
        <f>IF(ISNUMBER(CI1024),IF(CI1024&lt;$B$13,CI1024,""),"")</f>
        <v/>
      </c>
      <c r="CM1024">
        <f>IF(CH1024="","",IFERROR(IF(IF(AND(LEN(CH1024)=9,ISERROR(FIND("-",LEFT(CH1024,8))),ISNUMBER(-LEFT(CH1024,8))),VALUE(LEFT(CH1024,4)),VALUE(LEFT(CH1024,FIND("-",CH1024)-1)))&lt;100,IF(AND(LEN(CH1024)=9,ISERROR(FIND("-",LEFT(CH1024,8))),ISNUMBER(-LEFT(CH1024,8))),VALUE(LEFT(CH1024,4)),VALUE(LEFT(CH1024,FIND("-",CH1024)-1)))+2000,IF(AND(LEN(CH1024)=9,ISERROR(FIND("-",LEFT(CH1024,8))),ISNUMBER(-LEFT(CH1024,8))),VALUE(LEFT(CH1024,4)),VALUE(LEFT(CH1024,FIND("-",CH1024)-1)))),""))</f>
        <v/>
      </c>
      <c r="CN1024">
        <f>IF(CH1024="","",IFERROR(IF(AND(LEN(CH1024)=9,ISERROR(FIND("-",LEFT(CH1024,8))),ISNUMBER(-LEFT(CH1024,8))),VALUE(MID(CH1024,5,2)),VALUE(MID(CH1024,FIND("-",CH1024)+1,FIND("-",CH1024,FIND("-",CH1024)+1)-FIND("-",CH1024)-1))),""))</f>
        <v/>
      </c>
      <c r="CO1024">
        <f>IF(CH1024="","",IFERROR(IF(AND(LEN(CH1024)=9,ISERROR(FIND("-",LEFT(CH1024,8))),ISNUMBER(-LEFT(CH1024,8))),VALUE(MID(CH1024,7,2)),VALUE(MID(CH1024,FIND("-",CH1024,FIND("-",CH1024)+1)+1,FIND("-",CH1024,FIND("-",CH1024,FIND("-",CH1024)+1)+1)-FIND("-",CH1024,FIND("-",CH1024)+1)-1))),""))</f>
        <v/>
      </c>
    </row>
    <row r="1025">
      <c r="CH1025">
        <f>IF(ISTEXT('월 가계부'!A1025),SUBSTITUTE(SUBSTITUTE(SUBSTITUTE(SUBSTITUTE(SUBSTITUTE(SUBSTITUTE(SUBSTITUTE(SUBSTITUTE(SUBSTITUTE(TRIM('월 가계부'!A1025),"년","-"),"월","-"),"일",""),".","-"),"/","-")," ","-"),"--","-"),"--","-"),"--","-")&amp;"-","")</f>
        <v/>
      </c>
      <c r="CI1025">
        <f>IFERROR(IF('월 가계부'!A1025="","",IF(ISNUMBER('월 가계부'!A1025),IF(AND('월 가계부'!A1025&gt;=19000101,'월 가계부'!A1025&lt;=21001231),IF(AND(MOD(INT('월 가계부'!A1025/100),100)&gt;=1,MOD(INT('월 가계부'!A1025/100),100)&lt;=12,MOD(INT('월 가계부'!A1025),100)&gt;=1,MOD(INT('월 가계부'!A1025),100)&lt;=31),IF(MONTH(DATE(INT('월 가계부'!A1025/10000),MOD(INT('월 가계부'!A1025/100),100),MOD(INT('월 가계부'!A1025),100)))=MOD(INT('월 가계부'!A1025/100),100),DATE(INT('월 가계부'!A1025/10000),MOD(INT('월 가계부'!A1025/100),100),MOD(INT('월 가계부'!A1025),100)),""),""),IF(AND('월 가계부'!A1025&gt;=36526,'월 가계부'!A1025&lt;73051),INT('월 가계부'!A1025),"")),IF(OR(CM1025="",CN1025="",CO1025=""),"",IF(AND(CM1025&gt;=2000,CM1025&lt;=2099,CN1025&gt;=1,CN1025&lt;=12,CO1025&gt;=1,CO1025&lt;=31),IF(MONTH(DATE(CM1025,CN1025,CO1025))=CN1025,DATE(CM1025,CN1025,CO1025),""),"")))),"")</f>
        <v/>
      </c>
      <c r="CJ1025">
        <f>IFERROR(IF('월 가계부'!C1025="","",IF(ISNUMBER('월 가계부'!C1025),'월 가계부'!C1025,VALUE(SUBSTITUTE(SUBSTITUTE(SUBSTITUTE(SUBSTITUTE(TRIM('월 가계부'!C1025),",",""),"원","")," ",""),"−","-")))),"")</f>
        <v/>
      </c>
      <c r="CK1025">
        <f>IF(ISNUMBER(CI1025),IF(CI1025&lt;$B$13,CI1025,""),"")</f>
        <v/>
      </c>
      <c r="CM1025">
        <f>IF(CH1025="","",IFERROR(IF(IF(AND(LEN(CH1025)=9,ISERROR(FIND("-",LEFT(CH1025,8))),ISNUMBER(-LEFT(CH1025,8))),VALUE(LEFT(CH1025,4)),VALUE(LEFT(CH1025,FIND("-",CH1025)-1)))&lt;100,IF(AND(LEN(CH1025)=9,ISERROR(FIND("-",LEFT(CH1025,8))),ISNUMBER(-LEFT(CH1025,8))),VALUE(LEFT(CH1025,4)),VALUE(LEFT(CH1025,FIND("-",CH1025)-1)))+2000,IF(AND(LEN(CH1025)=9,ISERROR(FIND("-",LEFT(CH1025,8))),ISNUMBER(-LEFT(CH1025,8))),VALUE(LEFT(CH1025,4)),VALUE(LEFT(CH1025,FIND("-",CH1025)-1)))),""))</f>
        <v/>
      </c>
      <c r="CN1025">
        <f>IF(CH1025="","",IFERROR(IF(AND(LEN(CH1025)=9,ISERROR(FIND("-",LEFT(CH1025,8))),ISNUMBER(-LEFT(CH1025,8))),VALUE(MID(CH1025,5,2)),VALUE(MID(CH1025,FIND("-",CH1025)+1,FIND("-",CH1025,FIND("-",CH1025)+1)-FIND("-",CH1025)-1))),""))</f>
        <v/>
      </c>
      <c r="CO1025">
        <f>IF(CH1025="","",IFERROR(IF(AND(LEN(CH1025)=9,ISERROR(FIND("-",LEFT(CH1025,8))),ISNUMBER(-LEFT(CH1025,8))),VALUE(MID(CH1025,7,2)),VALUE(MID(CH1025,FIND("-",CH1025,FIND("-",CH1025)+1)+1,FIND("-",CH1025,FIND("-",CH1025,FIND("-",CH1025)+1)+1)-FIND("-",CH1025,FIND("-",CH1025)+1)-1))),""))</f>
        <v/>
      </c>
    </row>
    <row r="1026">
      <c r="CH1026">
        <f>IF(ISTEXT('월 가계부'!A1026),SUBSTITUTE(SUBSTITUTE(SUBSTITUTE(SUBSTITUTE(SUBSTITUTE(SUBSTITUTE(SUBSTITUTE(SUBSTITUTE(SUBSTITUTE(TRIM('월 가계부'!A1026),"년","-"),"월","-"),"일",""),".","-"),"/","-")," ","-"),"--","-"),"--","-"),"--","-")&amp;"-","")</f>
        <v/>
      </c>
      <c r="CI1026">
        <f>IFERROR(IF('월 가계부'!A1026="","",IF(ISNUMBER('월 가계부'!A1026),IF(AND('월 가계부'!A1026&gt;=19000101,'월 가계부'!A1026&lt;=21001231),IF(AND(MOD(INT('월 가계부'!A1026/100),100)&gt;=1,MOD(INT('월 가계부'!A1026/100),100)&lt;=12,MOD(INT('월 가계부'!A1026),100)&gt;=1,MOD(INT('월 가계부'!A1026),100)&lt;=31),IF(MONTH(DATE(INT('월 가계부'!A1026/10000),MOD(INT('월 가계부'!A1026/100),100),MOD(INT('월 가계부'!A1026),100)))=MOD(INT('월 가계부'!A1026/100),100),DATE(INT('월 가계부'!A1026/10000),MOD(INT('월 가계부'!A1026/100),100),MOD(INT('월 가계부'!A1026),100)),""),""),IF(AND('월 가계부'!A1026&gt;=36526,'월 가계부'!A1026&lt;73051),INT('월 가계부'!A1026),"")),IF(OR(CM1026="",CN1026="",CO1026=""),"",IF(AND(CM1026&gt;=2000,CM1026&lt;=2099,CN1026&gt;=1,CN1026&lt;=12,CO1026&gt;=1,CO1026&lt;=31),IF(MONTH(DATE(CM1026,CN1026,CO1026))=CN1026,DATE(CM1026,CN1026,CO1026),""),"")))),"")</f>
        <v/>
      </c>
      <c r="CJ1026">
        <f>IFERROR(IF('월 가계부'!C1026="","",IF(ISNUMBER('월 가계부'!C1026),'월 가계부'!C1026,VALUE(SUBSTITUTE(SUBSTITUTE(SUBSTITUTE(SUBSTITUTE(TRIM('월 가계부'!C1026),",",""),"원","")," ",""),"−","-")))),"")</f>
        <v/>
      </c>
      <c r="CK1026">
        <f>IF(ISNUMBER(CI1026),IF(CI1026&lt;$B$13,CI1026,""),"")</f>
        <v/>
      </c>
      <c r="CM1026">
        <f>IF(CH1026="","",IFERROR(IF(IF(AND(LEN(CH1026)=9,ISERROR(FIND("-",LEFT(CH1026,8))),ISNUMBER(-LEFT(CH1026,8))),VALUE(LEFT(CH1026,4)),VALUE(LEFT(CH1026,FIND("-",CH1026)-1)))&lt;100,IF(AND(LEN(CH1026)=9,ISERROR(FIND("-",LEFT(CH1026,8))),ISNUMBER(-LEFT(CH1026,8))),VALUE(LEFT(CH1026,4)),VALUE(LEFT(CH1026,FIND("-",CH1026)-1)))+2000,IF(AND(LEN(CH1026)=9,ISERROR(FIND("-",LEFT(CH1026,8))),ISNUMBER(-LEFT(CH1026,8))),VALUE(LEFT(CH1026,4)),VALUE(LEFT(CH1026,FIND("-",CH1026)-1)))),""))</f>
        <v/>
      </c>
      <c r="CN1026">
        <f>IF(CH1026="","",IFERROR(IF(AND(LEN(CH1026)=9,ISERROR(FIND("-",LEFT(CH1026,8))),ISNUMBER(-LEFT(CH1026,8))),VALUE(MID(CH1026,5,2)),VALUE(MID(CH1026,FIND("-",CH1026)+1,FIND("-",CH1026,FIND("-",CH1026)+1)-FIND("-",CH1026)-1))),""))</f>
        <v/>
      </c>
      <c r="CO1026">
        <f>IF(CH1026="","",IFERROR(IF(AND(LEN(CH1026)=9,ISERROR(FIND("-",LEFT(CH1026,8))),ISNUMBER(-LEFT(CH1026,8))),VALUE(MID(CH1026,7,2)),VALUE(MID(CH1026,FIND("-",CH1026,FIND("-",CH1026)+1)+1,FIND("-",CH1026,FIND("-",CH1026,FIND("-",CH1026)+1)+1)-FIND("-",CH1026,FIND("-",CH1026)+1)-1))),""))</f>
        <v/>
      </c>
    </row>
    <row r="1027">
      <c r="CH1027">
        <f>IF(ISTEXT('월 가계부'!A1027),SUBSTITUTE(SUBSTITUTE(SUBSTITUTE(SUBSTITUTE(SUBSTITUTE(SUBSTITUTE(SUBSTITUTE(SUBSTITUTE(SUBSTITUTE(TRIM('월 가계부'!A1027),"년","-"),"월","-"),"일",""),".","-"),"/","-")," ","-"),"--","-"),"--","-"),"--","-")&amp;"-","")</f>
        <v/>
      </c>
      <c r="CI1027">
        <f>IFERROR(IF('월 가계부'!A1027="","",IF(ISNUMBER('월 가계부'!A1027),IF(AND('월 가계부'!A1027&gt;=19000101,'월 가계부'!A1027&lt;=21001231),IF(AND(MOD(INT('월 가계부'!A1027/100),100)&gt;=1,MOD(INT('월 가계부'!A1027/100),100)&lt;=12,MOD(INT('월 가계부'!A1027),100)&gt;=1,MOD(INT('월 가계부'!A1027),100)&lt;=31),IF(MONTH(DATE(INT('월 가계부'!A1027/10000),MOD(INT('월 가계부'!A1027/100),100),MOD(INT('월 가계부'!A1027),100)))=MOD(INT('월 가계부'!A1027/100),100),DATE(INT('월 가계부'!A1027/10000),MOD(INT('월 가계부'!A1027/100),100),MOD(INT('월 가계부'!A1027),100)),""),""),IF(AND('월 가계부'!A1027&gt;=36526,'월 가계부'!A1027&lt;73051),INT('월 가계부'!A1027),"")),IF(OR(CM1027="",CN1027="",CO1027=""),"",IF(AND(CM1027&gt;=2000,CM1027&lt;=2099,CN1027&gt;=1,CN1027&lt;=12,CO1027&gt;=1,CO1027&lt;=31),IF(MONTH(DATE(CM1027,CN1027,CO1027))=CN1027,DATE(CM1027,CN1027,CO1027),""),"")))),"")</f>
        <v/>
      </c>
      <c r="CJ1027">
        <f>IFERROR(IF('월 가계부'!C1027="","",IF(ISNUMBER('월 가계부'!C1027),'월 가계부'!C1027,VALUE(SUBSTITUTE(SUBSTITUTE(SUBSTITUTE(SUBSTITUTE(TRIM('월 가계부'!C1027),",",""),"원","")," ",""),"−","-")))),"")</f>
        <v/>
      </c>
      <c r="CK1027">
        <f>IF(ISNUMBER(CI1027),IF(CI1027&lt;$B$13,CI1027,""),"")</f>
        <v/>
      </c>
      <c r="CM1027">
        <f>IF(CH1027="","",IFERROR(IF(IF(AND(LEN(CH1027)=9,ISERROR(FIND("-",LEFT(CH1027,8))),ISNUMBER(-LEFT(CH1027,8))),VALUE(LEFT(CH1027,4)),VALUE(LEFT(CH1027,FIND("-",CH1027)-1)))&lt;100,IF(AND(LEN(CH1027)=9,ISERROR(FIND("-",LEFT(CH1027,8))),ISNUMBER(-LEFT(CH1027,8))),VALUE(LEFT(CH1027,4)),VALUE(LEFT(CH1027,FIND("-",CH1027)-1)))+2000,IF(AND(LEN(CH1027)=9,ISERROR(FIND("-",LEFT(CH1027,8))),ISNUMBER(-LEFT(CH1027,8))),VALUE(LEFT(CH1027,4)),VALUE(LEFT(CH1027,FIND("-",CH1027)-1)))),""))</f>
        <v/>
      </c>
      <c r="CN1027">
        <f>IF(CH1027="","",IFERROR(IF(AND(LEN(CH1027)=9,ISERROR(FIND("-",LEFT(CH1027,8))),ISNUMBER(-LEFT(CH1027,8))),VALUE(MID(CH1027,5,2)),VALUE(MID(CH1027,FIND("-",CH1027)+1,FIND("-",CH1027,FIND("-",CH1027)+1)-FIND("-",CH1027)-1))),""))</f>
        <v/>
      </c>
      <c r="CO1027">
        <f>IF(CH1027="","",IFERROR(IF(AND(LEN(CH1027)=9,ISERROR(FIND("-",LEFT(CH1027,8))),ISNUMBER(-LEFT(CH1027,8))),VALUE(MID(CH1027,7,2)),VALUE(MID(CH1027,FIND("-",CH1027,FIND("-",CH1027)+1)+1,FIND("-",CH1027,FIND("-",CH1027,FIND("-",CH1027)+1)+1)-FIND("-",CH1027,FIND("-",CH1027)+1)-1))),""))</f>
        <v/>
      </c>
    </row>
    <row r="1028">
      <c r="CH1028">
        <f>IF(ISTEXT('월 가계부'!A1028),SUBSTITUTE(SUBSTITUTE(SUBSTITUTE(SUBSTITUTE(SUBSTITUTE(SUBSTITUTE(SUBSTITUTE(SUBSTITUTE(SUBSTITUTE(TRIM('월 가계부'!A1028),"년","-"),"월","-"),"일",""),".","-"),"/","-")," ","-"),"--","-"),"--","-"),"--","-")&amp;"-","")</f>
        <v/>
      </c>
      <c r="CI1028">
        <f>IFERROR(IF('월 가계부'!A1028="","",IF(ISNUMBER('월 가계부'!A1028),IF(AND('월 가계부'!A1028&gt;=19000101,'월 가계부'!A1028&lt;=21001231),IF(AND(MOD(INT('월 가계부'!A1028/100),100)&gt;=1,MOD(INT('월 가계부'!A1028/100),100)&lt;=12,MOD(INT('월 가계부'!A1028),100)&gt;=1,MOD(INT('월 가계부'!A1028),100)&lt;=31),IF(MONTH(DATE(INT('월 가계부'!A1028/10000),MOD(INT('월 가계부'!A1028/100),100),MOD(INT('월 가계부'!A1028),100)))=MOD(INT('월 가계부'!A1028/100),100),DATE(INT('월 가계부'!A1028/10000),MOD(INT('월 가계부'!A1028/100),100),MOD(INT('월 가계부'!A1028),100)),""),""),IF(AND('월 가계부'!A1028&gt;=36526,'월 가계부'!A1028&lt;73051),INT('월 가계부'!A1028),"")),IF(OR(CM1028="",CN1028="",CO1028=""),"",IF(AND(CM1028&gt;=2000,CM1028&lt;=2099,CN1028&gt;=1,CN1028&lt;=12,CO1028&gt;=1,CO1028&lt;=31),IF(MONTH(DATE(CM1028,CN1028,CO1028))=CN1028,DATE(CM1028,CN1028,CO1028),""),"")))),"")</f>
        <v/>
      </c>
      <c r="CJ1028">
        <f>IFERROR(IF('월 가계부'!C1028="","",IF(ISNUMBER('월 가계부'!C1028),'월 가계부'!C1028,VALUE(SUBSTITUTE(SUBSTITUTE(SUBSTITUTE(SUBSTITUTE(TRIM('월 가계부'!C1028),",",""),"원","")," ",""),"−","-")))),"")</f>
        <v/>
      </c>
      <c r="CK1028">
        <f>IF(ISNUMBER(CI1028),IF(CI1028&lt;$B$13,CI1028,""),"")</f>
        <v/>
      </c>
      <c r="CM1028">
        <f>IF(CH1028="","",IFERROR(IF(IF(AND(LEN(CH1028)=9,ISERROR(FIND("-",LEFT(CH1028,8))),ISNUMBER(-LEFT(CH1028,8))),VALUE(LEFT(CH1028,4)),VALUE(LEFT(CH1028,FIND("-",CH1028)-1)))&lt;100,IF(AND(LEN(CH1028)=9,ISERROR(FIND("-",LEFT(CH1028,8))),ISNUMBER(-LEFT(CH1028,8))),VALUE(LEFT(CH1028,4)),VALUE(LEFT(CH1028,FIND("-",CH1028)-1)))+2000,IF(AND(LEN(CH1028)=9,ISERROR(FIND("-",LEFT(CH1028,8))),ISNUMBER(-LEFT(CH1028,8))),VALUE(LEFT(CH1028,4)),VALUE(LEFT(CH1028,FIND("-",CH1028)-1)))),""))</f>
        <v/>
      </c>
      <c r="CN1028">
        <f>IF(CH1028="","",IFERROR(IF(AND(LEN(CH1028)=9,ISERROR(FIND("-",LEFT(CH1028,8))),ISNUMBER(-LEFT(CH1028,8))),VALUE(MID(CH1028,5,2)),VALUE(MID(CH1028,FIND("-",CH1028)+1,FIND("-",CH1028,FIND("-",CH1028)+1)-FIND("-",CH1028)-1))),""))</f>
        <v/>
      </c>
      <c r="CO1028">
        <f>IF(CH1028="","",IFERROR(IF(AND(LEN(CH1028)=9,ISERROR(FIND("-",LEFT(CH1028,8))),ISNUMBER(-LEFT(CH1028,8))),VALUE(MID(CH1028,7,2)),VALUE(MID(CH1028,FIND("-",CH1028,FIND("-",CH1028)+1)+1,FIND("-",CH1028,FIND("-",CH1028,FIND("-",CH1028)+1)+1)-FIND("-",CH1028,FIND("-",CH1028)+1)-1))),""))</f>
        <v/>
      </c>
    </row>
    <row r="1029">
      <c r="CH1029">
        <f>IF(ISTEXT('월 가계부'!A1029),SUBSTITUTE(SUBSTITUTE(SUBSTITUTE(SUBSTITUTE(SUBSTITUTE(SUBSTITUTE(SUBSTITUTE(SUBSTITUTE(SUBSTITUTE(TRIM('월 가계부'!A1029),"년","-"),"월","-"),"일",""),".","-"),"/","-")," ","-"),"--","-"),"--","-"),"--","-")&amp;"-","")</f>
        <v/>
      </c>
      <c r="CI1029">
        <f>IFERROR(IF('월 가계부'!A1029="","",IF(ISNUMBER('월 가계부'!A1029),IF(AND('월 가계부'!A1029&gt;=19000101,'월 가계부'!A1029&lt;=21001231),IF(AND(MOD(INT('월 가계부'!A1029/100),100)&gt;=1,MOD(INT('월 가계부'!A1029/100),100)&lt;=12,MOD(INT('월 가계부'!A1029),100)&gt;=1,MOD(INT('월 가계부'!A1029),100)&lt;=31),IF(MONTH(DATE(INT('월 가계부'!A1029/10000),MOD(INT('월 가계부'!A1029/100),100),MOD(INT('월 가계부'!A1029),100)))=MOD(INT('월 가계부'!A1029/100),100),DATE(INT('월 가계부'!A1029/10000),MOD(INT('월 가계부'!A1029/100),100),MOD(INT('월 가계부'!A1029),100)),""),""),IF(AND('월 가계부'!A1029&gt;=36526,'월 가계부'!A1029&lt;73051),INT('월 가계부'!A1029),"")),IF(OR(CM1029="",CN1029="",CO1029=""),"",IF(AND(CM1029&gt;=2000,CM1029&lt;=2099,CN1029&gt;=1,CN1029&lt;=12,CO1029&gt;=1,CO1029&lt;=31),IF(MONTH(DATE(CM1029,CN1029,CO1029))=CN1029,DATE(CM1029,CN1029,CO1029),""),"")))),"")</f>
        <v/>
      </c>
      <c r="CJ1029">
        <f>IFERROR(IF('월 가계부'!C1029="","",IF(ISNUMBER('월 가계부'!C1029),'월 가계부'!C1029,VALUE(SUBSTITUTE(SUBSTITUTE(SUBSTITUTE(SUBSTITUTE(TRIM('월 가계부'!C1029),",",""),"원","")," ",""),"−","-")))),"")</f>
        <v/>
      </c>
      <c r="CK1029">
        <f>IF(ISNUMBER(CI1029),IF(CI1029&lt;$B$13,CI1029,""),"")</f>
        <v/>
      </c>
      <c r="CM1029">
        <f>IF(CH1029="","",IFERROR(IF(IF(AND(LEN(CH1029)=9,ISERROR(FIND("-",LEFT(CH1029,8))),ISNUMBER(-LEFT(CH1029,8))),VALUE(LEFT(CH1029,4)),VALUE(LEFT(CH1029,FIND("-",CH1029)-1)))&lt;100,IF(AND(LEN(CH1029)=9,ISERROR(FIND("-",LEFT(CH1029,8))),ISNUMBER(-LEFT(CH1029,8))),VALUE(LEFT(CH1029,4)),VALUE(LEFT(CH1029,FIND("-",CH1029)-1)))+2000,IF(AND(LEN(CH1029)=9,ISERROR(FIND("-",LEFT(CH1029,8))),ISNUMBER(-LEFT(CH1029,8))),VALUE(LEFT(CH1029,4)),VALUE(LEFT(CH1029,FIND("-",CH1029)-1)))),""))</f>
        <v/>
      </c>
      <c r="CN1029">
        <f>IF(CH1029="","",IFERROR(IF(AND(LEN(CH1029)=9,ISERROR(FIND("-",LEFT(CH1029,8))),ISNUMBER(-LEFT(CH1029,8))),VALUE(MID(CH1029,5,2)),VALUE(MID(CH1029,FIND("-",CH1029)+1,FIND("-",CH1029,FIND("-",CH1029)+1)-FIND("-",CH1029)-1))),""))</f>
        <v/>
      </c>
      <c r="CO1029">
        <f>IF(CH1029="","",IFERROR(IF(AND(LEN(CH1029)=9,ISERROR(FIND("-",LEFT(CH1029,8))),ISNUMBER(-LEFT(CH1029,8))),VALUE(MID(CH1029,7,2)),VALUE(MID(CH1029,FIND("-",CH1029,FIND("-",CH1029)+1)+1,FIND("-",CH1029,FIND("-",CH1029,FIND("-",CH1029)+1)+1)-FIND("-",CH1029,FIND("-",CH1029)+1)-1))),""))</f>
        <v/>
      </c>
    </row>
    <row r="1030">
      <c r="CH1030">
        <f>IF(ISTEXT('월 가계부'!A1030),SUBSTITUTE(SUBSTITUTE(SUBSTITUTE(SUBSTITUTE(SUBSTITUTE(SUBSTITUTE(SUBSTITUTE(SUBSTITUTE(SUBSTITUTE(TRIM('월 가계부'!A1030),"년","-"),"월","-"),"일",""),".","-"),"/","-")," ","-"),"--","-"),"--","-"),"--","-")&amp;"-","")</f>
        <v/>
      </c>
      <c r="CI1030">
        <f>IFERROR(IF('월 가계부'!A1030="","",IF(ISNUMBER('월 가계부'!A1030),IF(AND('월 가계부'!A1030&gt;=19000101,'월 가계부'!A1030&lt;=21001231),IF(AND(MOD(INT('월 가계부'!A1030/100),100)&gt;=1,MOD(INT('월 가계부'!A1030/100),100)&lt;=12,MOD(INT('월 가계부'!A1030),100)&gt;=1,MOD(INT('월 가계부'!A1030),100)&lt;=31),IF(MONTH(DATE(INT('월 가계부'!A1030/10000),MOD(INT('월 가계부'!A1030/100),100),MOD(INT('월 가계부'!A1030),100)))=MOD(INT('월 가계부'!A1030/100),100),DATE(INT('월 가계부'!A1030/10000),MOD(INT('월 가계부'!A1030/100),100),MOD(INT('월 가계부'!A1030),100)),""),""),IF(AND('월 가계부'!A1030&gt;=36526,'월 가계부'!A1030&lt;73051),INT('월 가계부'!A1030),"")),IF(OR(CM1030="",CN1030="",CO1030=""),"",IF(AND(CM1030&gt;=2000,CM1030&lt;=2099,CN1030&gt;=1,CN1030&lt;=12,CO1030&gt;=1,CO1030&lt;=31),IF(MONTH(DATE(CM1030,CN1030,CO1030))=CN1030,DATE(CM1030,CN1030,CO1030),""),"")))),"")</f>
        <v/>
      </c>
      <c r="CJ1030">
        <f>IFERROR(IF('월 가계부'!C1030="","",IF(ISNUMBER('월 가계부'!C1030),'월 가계부'!C1030,VALUE(SUBSTITUTE(SUBSTITUTE(SUBSTITUTE(SUBSTITUTE(TRIM('월 가계부'!C1030),",",""),"원","")," ",""),"−","-")))),"")</f>
        <v/>
      </c>
      <c r="CK1030">
        <f>IF(ISNUMBER(CI1030),IF(CI1030&lt;$B$13,CI1030,""),"")</f>
        <v/>
      </c>
      <c r="CM1030">
        <f>IF(CH1030="","",IFERROR(IF(IF(AND(LEN(CH1030)=9,ISERROR(FIND("-",LEFT(CH1030,8))),ISNUMBER(-LEFT(CH1030,8))),VALUE(LEFT(CH1030,4)),VALUE(LEFT(CH1030,FIND("-",CH1030)-1)))&lt;100,IF(AND(LEN(CH1030)=9,ISERROR(FIND("-",LEFT(CH1030,8))),ISNUMBER(-LEFT(CH1030,8))),VALUE(LEFT(CH1030,4)),VALUE(LEFT(CH1030,FIND("-",CH1030)-1)))+2000,IF(AND(LEN(CH1030)=9,ISERROR(FIND("-",LEFT(CH1030,8))),ISNUMBER(-LEFT(CH1030,8))),VALUE(LEFT(CH1030,4)),VALUE(LEFT(CH1030,FIND("-",CH1030)-1)))),""))</f>
        <v/>
      </c>
      <c r="CN1030">
        <f>IF(CH1030="","",IFERROR(IF(AND(LEN(CH1030)=9,ISERROR(FIND("-",LEFT(CH1030,8))),ISNUMBER(-LEFT(CH1030,8))),VALUE(MID(CH1030,5,2)),VALUE(MID(CH1030,FIND("-",CH1030)+1,FIND("-",CH1030,FIND("-",CH1030)+1)-FIND("-",CH1030)-1))),""))</f>
        <v/>
      </c>
      <c r="CO1030">
        <f>IF(CH1030="","",IFERROR(IF(AND(LEN(CH1030)=9,ISERROR(FIND("-",LEFT(CH1030,8))),ISNUMBER(-LEFT(CH1030,8))),VALUE(MID(CH1030,7,2)),VALUE(MID(CH1030,FIND("-",CH1030,FIND("-",CH1030)+1)+1,FIND("-",CH1030,FIND("-",CH1030,FIND("-",CH1030)+1)+1)-FIND("-",CH1030,FIND("-",CH1030)+1)-1))),""))</f>
        <v/>
      </c>
    </row>
    <row r="1031">
      <c r="CH1031">
        <f>IF(ISTEXT('월 가계부'!A1031),SUBSTITUTE(SUBSTITUTE(SUBSTITUTE(SUBSTITUTE(SUBSTITUTE(SUBSTITUTE(SUBSTITUTE(SUBSTITUTE(SUBSTITUTE(TRIM('월 가계부'!A1031),"년","-"),"월","-"),"일",""),".","-"),"/","-")," ","-"),"--","-"),"--","-"),"--","-")&amp;"-","")</f>
        <v/>
      </c>
      <c r="CI1031">
        <f>IFERROR(IF('월 가계부'!A1031="","",IF(ISNUMBER('월 가계부'!A1031),IF(AND('월 가계부'!A1031&gt;=19000101,'월 가계부'!A1031&lt;=21001231),IF(AND(MOD(INT('월 가계부'!A1031/100),100)&gt;=1,MOD(INT('월 가계부'!A1031/100),100)&lt;=12,MOD(INT('월 가계부'!A1031),100)&gt;=1,MOD(INT('월 가계부'!A1031),100)&lt;=31),IF(MONTH(DATE(INT('월 가계부'!A1031/10000),MOD(INT('월 가계부'!A1031/100),100),MOD(INT('월 가계부'!A1031),100)))=MOD(INT('월 가계부'!A1031/100),100),DATE(INT('월 가계부'!A1031/10000),MOD(INT('월 가계부'!A1031/100),100),MOD(INT('월 가계부'!A1031),100)),""),""),IF(AND('월 가계부'!A1031&gt;=36526,'월 가계부'!A1031&lt;73051),INT('월 가계부'!A1031),"")),IF(OR(CM1031="",CN1031="",CO1031=""),"",IF(AND(CM1031&gt;=2000,CM1031&lt;=2099,CN1031&gt;=1,CN1031&lt;=12,CO1031&gt;=1,CO1031&lt;=31),IF(MONTH(DATE(CM1031,CN1031,CO1031))=CN1031,DATE(CM1031,CN1031,CO1031),""),"")))),"")</f>
        <v/>
      </c>
      <c r="CJ1031">
        <f>IFERROR(IF('월 가계부'!C1031="","",IF(ISNUMBER('월 가계부'!C1031),'월 가계부'!C1031,VALUE(SUBSTITUTE(SUBSTITUTE(SUBSTITUTE(SUBSTITUTE(TRIM('월 가계부'!C1031),",",""),"원","")," ",""),"−","-")))),"")</f>
        <v/>
      </c>
      <c r="CK1031">
        <f>IF(ISNUMBER(CI1031),IF(CI1031&lt;$B$13,CI1031,""),"")</f>
        <v/>
      </c>
      <c r="CM1031">
        <f>IF(CH1031="","",IFERROR(IF(IF(AND(LEN(CH1031)=9,ISERROR(FIND("-",LEFT(CH1031,8))),ISNUMBER(-LEFT(CH1031,8))),VALUE(LEFT(CH1031,4)),VALUE(LEFT(CH1031,FIND("-",CH1031)-1)))&lt;100,IF(AND(LEN(CH1031)=9,ISERROR(FIND("-",LEFT(CH1031,8))),ISNUMBER(-LEFT(CH1031,8))),VALUE(LEFT(CH1031,4)),VALUE(LEFT(CH1031,FIND("-",CH1031)-1)))+2000,IF(AND(LEN(CH1031)=9,ISERROR(FIND("-",LEFT(CH1031,8))),ISNUMBER(-LEFT(CH1031,8))),VALUE(LEFT(CH1031,4)),VALUE(LEFT(CH1031,FIND("-",CH1031)-1)))),""))</f>
        <v/>
      </c>
      <c r="CN1031">
        <f>IF(CH1031="","",IFERROR(IF(AND(LEN(CH1031)=9,ISERROR(FIND("-",LEFT(CH1031,8))),ISNUMBER(-LEFT(CH1031,8))),VALUE(MID(CH1031,5,2)),VALUE(MID(CH1031,FIND("-",CH1031)+1,FIND("-",CH1031,FIND("-",CH1031)+1)-FIND("-",CH1031)-1))),""))</f>
        <v/>
      </c>
      <c r="CO1031">
        <f>IF(CH1031="","",IFERROR(IF(AND(LEN(CH1031)=9,ISERROR(FIND("-",LEFT(CH1031,8))),ISNUMBER(-LEFT(CH1031,8))),VALUE(MID(CH1031,7,2)),VALUE(MID(CH1031,FIND("-",CH1031,FIND("-",CH1031)+1)+1,FIND("-",CH1031,FIND("-",CH1031,FIND("-",CH1031)+1)+1)-FIND("-",CH1031,FIND("-",CH1031)+1)-1))),""))</f>
        <v/>
      </c>
    </row>
    <row r="1032">
      <c r="CH1032">
        <f>IF(ISTEXT('월 가계부'!A1032),SUBSTITUTE(SUBSTITUTE(SUBSTITUTE(SUBSTITUTE(SUBSTITUTE(SUBSTITUTE(SUBSTITUTE(SUBSTITUTE(SUBSTITUTE(TRIM('월 가계부'!A1032),"년","-"),"월","-"),"일",""),".","-"),"/","-")," ","-"),"--","-"),"--","-"),"--","-")&amp;"-","")</f>
        <v/>
      </c>
      <c r="CI1032">
        <f>IFERROR(IF('월 가계부'!A1032="","",IF(ISNUMBER('월 가계부'!A1032),IF(AND('월 가계부'!A1032&gt;=19000101,'월 가계부'!A1032&lt;=21001231),IF(AND(MOD(INT('월 가계부'!A1032/100),100)&gt;=1,MOD(INT('월 가계부'!A1032/100),100)&lt;=12,MOD(INT('월 가계부'!A1032),100)&gt;=1,MOD(INT('월 가계부'!A1032),100)&lt;=31),IF(MONTH(DATE(INT('월 가계부'!A1032/10000),MOD(INT('월 가계부'!A1032/100),100),MOD(INT('월 가계부'!A1032),100)))=MOD(INT('월 가계부'!A1032/100),100),DATE(INT('월 가계부'!A1032/10000),MOD(INT('월 가계부'!A1032/100),100),MOD(INT('월 가계부'!A1032),100)),""),""),IF(AND('월 가계부'!A1032&gt;=36526,'월 가계부'!A1032&lt;73051),INT('월 가계부'!A1032),"")),IF(OR(CM1032="",CN1032="",CO1032=""),"",IF(AND(CM1032&gt;=2000,CM1032&lt;=2099,CN1032&gt;=1,CN1032&lt;=12,CO1032&gt;=1,CO1032&lt;=31),IF(MONTH(DATE(CM1032,CN1032,CO1032))=CN1032,DATE(CM1032,CN1032,CO1032),""),"")))),"")</f>
        <v/>
      </c>
      <c r="CJ1032">
        <f>IFERROR(IF('월 가계부'!C1032="","",IF(ISNUMBER('월 가계부'!C1032),'월 가계부'!C1032,VALUE(SUBSTITUTE(SUBSTITUTE(SUBSTITUTE(SUBSTITUTE(TRIM('월 가계부'!C1032),",",""),"원","")," ",""),"−","-")))),"")</f>
        <v/>
      </c>
      <c r="CK1032">
        <f>IF(ISNUMBER(CI1032),IF(CI1032&lt;$B$13,CI1032,""),"")</f>
        <v/>
      </c>
      <c r="CM1032">
        <f>IF(CH1032="","",IFERROR(IF(IF(AND(LEN(CH1032)=9,ISERROR(FIND("-",LEFT(CH1032,8))),ISNUMBER(-LEFT(CH1032,8))),VALUE(LEFT(CH1032,4)),VALUE(LEFT(CH1032,FIND("-",CH1032)-1)))&lt;100,IF(AND(LEN(CH1032)=9,ISERROR(FIND("-",LEFT(CH1032,8))),ISNUMBER(-LEFT(CH1032,8))),VALUE(LEFT(CH1032,4)),VALUE(LEFT(CH1032,FIND("-",CH1032)-1)))+2000,IF(AND(LEN(CH1032)=9,ISERROR(FIND("-",LEFT(CH1032,8))),ISNUMBER(-LEFT(CH1032,8))),VALUE(LEFT(CH1032,4)),VALUE(LEFT(CH1032,FIND("-",CH1032)-1)))),""))</f>
        <v/>
      </c>
      <c r="CN1032">
        <f>IF(CH1032="","",IFERROR(IF(AND(LEN(CH1032)=9,ISERROR(FIND("-",LEFT(CH1032,8))),ISNUMBER(-LEFT(CH1032,8))),VALUE(MID(CH1032,5,2)),VALUE(MID(CH1032,FIND("-",CH1032)+1,FIND("-",CH1032,FIND("-",CH1032)+1)-FIND("-",CH1032)-1))),""))</f>
        <v/>
      </c>
      <c r="CO1032">
        <f>IF(CH1032="","",IFERROR(IF(AND(LEN(CH1032)=9,ISERROR(FIND("-",LEFT(CH1032,8))),ISNUMBER(-LEFT(CH1032,8))),VALUE(MID(CH1032,7,2)),VALUE(MID(CH1032,FIND("-",CH1032,FIND("-",CH1032)+1)+1,FIND("-",CH1032,FIND("-",CH1032,FIND("-",CH1032)+1)+1)-FIND("-",CH1032,FIND("-",CH1032)+1)-1))),""))</f>
        <v/>
      </c>
    </row>
    <row r="1033">
      <c r="CH1033">
        <f>IF(ISTEXT('월 가계부'!A1033),SUBSTITUTE(SUBSTITUTE(SUBSTITUTE(SUBSTITUTE(SUBSTITUTE(SUBSTITUTE(SUBSTITUTE(SUBSTITUTE(SUBSTITUTE(TRIM('월 가계부'!A1033),"년","-"),"월","-"),"일",""),".","-"),"/","-")," ","-"),"--","-"),"--","-"),"--","-")&amp;"-","")</f>
        <v/>
      </c>
      <c r="CI1033">
        <f>IFERROR(IF('월 가계부'!A1033="","",IF(ISNUMBER('월 가계부'!A1033),IF(AND('월 가계부'!A1033&gt;=19000101,'월 가계부'!A1033&lt;=21001231),IF(AND(MOD(INT('월 가계부'!A1033/100),100)&gt;=1,MOD(INT('월 가계부'!A1033/100),100)&lt;=12,MOD(INT('월 가계부'!A1033),100)&gt;=1,MOD(INT('월 가계부'!A1033),100)&lt;=31),IF(MONTH(DATE(INT('월 가계부'!A1033/10000),MOD(INT('월 가계부'!A1033/100),100),MOD(INT('월 가계부'!A1033),100)))=MOD(INT('월 가계부'!A1033/100),100),DATE(INT('월 가계부'!A1033/10000),MOD(INT('월 가계부'!A1033/100),100),MOD(INT('월 가계부'!A1033),100)),""),""),IF(AND('월 가계부'!A1033&gt;=36526,'월 가계부'!A1033&lt;73051),INT('월 가계부'!A1033),"")),IF(OR(CM1033="",CN1033="",CO1033=""),"",IF(AND(CM1033&gt;=2000,CM1033&lt;=2099,CN1033&gt;=1,CN1033&lt;=12,CO1033&gt;=1,CO1033&lt;=31),IF(MONTH(DATE(CM1033,CN1033,CO1033))=CN1033,DATE(CM1033,CN1033,CO1033),""),"")))),"")</f>
        <v/>
      </c>
      <c r="CJ1033">
        <f>IFERROR(IF('월 가계부'!C1033="","",IF(ISNUMBER('월 가계부'!C1033),'월 가계부'!C1033,VALUE(SUBSTITUTE(SUBSTITUTE(SUBSTITUTE(SUBSTITUTE(TRIM('월 가계부'!C1033),",",""),"원","")," ",""),"−","-")))),"")</f>
        <v/>
      </c>
      <c r="CK1033">
        <f>IF(ISNUMBER(CI1033),IF(CI1033&lt;$B$13,CI1033,""),"")</f>
        <v/>
      </c>
      <c r="CM1033">
        <f>IF(CH1033="","",IFERROR(IF(IF(AND(LEN(CH1033)=9,ISERROR(FIND("-",LEFT(CH1033,8))),ISNUMBER(-LEFT(CH1033,8))),VALUE(LEFT(CH1033,4)),VALUE(LEFT(CH1033,FIND("-",CH1033)-1)))&lt;100,IF(AND(LEN(CH1033)=9,ISERROR(FIND("-",LEFT(CH1033,8))),ISNUMBER(-LEFT(CH1033,8))),VALUE(LEFT(CH1033,4)),VALUE(LEFT(CH1033,FIND("-",CH1033)-1)))+2000,IF(AND(LEN(CH1033)=9,ISERROR(FIND("-",LEFT(CH1033,8))),ISNUMBER(-LEFT(CH1033,8))),VALUE(LEFT(CH1033,4)),VALUE(LEFT(CH1033,FIND("-",CH1033)-1)))),""))</f>
        <v/>
      </c>
      <c r="CN1033">
        <f>IF(CH1033="","",IFERROR(IF(AND(LEN(CH1033)=9,ISERROR(FIND("-",LEFT(CH1033,8))),ISNUMBER(-LEFT(CH1033,8))),VALUE(MID(CH1033,5,2)),VALUE(MID(CH1033,FIND("-",CH1033)+1,FIND("-",CH1033,FIND("-",CH1033)+1)-FIND("-",CH1033)-1))),""))</f>
        <v/>
      </c>
      <c r="CO1033">
        <f>IF(CH1033="","",IFERROR(IF(AND(LEN(CH1033)=9,ISERROR(FIND("-",LEFT(CH1033,8))),ISNUMBER(-LEFT(CH1033,8))),VALUE(MID(CH1033,7,2)),VALUE(MID(CH1033,FIND("-",CH1033,FIND("-",CH1033)+1)+1,FIND("-",CH1033,FIND("-",CH1033,FIND("-",CH1033)+1)+1)-FIND("-",CH1033,FIND("-",CH1033)+1)-1))),""))</f>
        <v/>
      </c>
    </row>
    <row r="1034">
      <c r="CH1034">
        <f>IF(ISTEXT('월 가계부'!A1034),SUBSTITUTE(SUBSTITUTE(SUBSTITUTE(SUBSTITUTE(SUBSTITUTE(SUBSTITUTE(SUBSTITUTE(SUBSTITUTE(SUBSTITUTE(TRIM('월 가계부'!A1034),"년","-"),"월","-"),"일",""),".","-"),"/","-")," ","-"),"--","-"),"--","-"),"--","-")&amp;"-","")</f>
        <v/>
      </c>
      <c r="CI1034">
        <f>IFERROR(IF('월 가계부'!A1034="","",IF(ISNUMBER('월 가계부'!A1034),IF(AND('월 가계부'!A1034&gt;=19000101,'월 가계부'!A1034&lt;=21001231),IF(AND(MOD(INT('월 가계부'!A1034/100),100)&gt;=1,MOD(INT('월 가계부'!A1034/100),100)&lt;=12,MOD(INT('월 가계부'!A1034),100)&gt;=1,MOD(INT('월 가계부'!A1034),100)&lt;=31),IF(MONTH(DATE(INT('월 가계부'!A1034/10000),MOD(INT('월 가계부'!A1034/100),100),MOD(INT('월 가계부'!A1034),100)))=MOD(INT('월 가계부'!A1034/100),100),DATE(INT('월 가계부'!A1034/10000),MOD(INT('월 가계부'!A1034/100),100),MOD(INT('월 가계부'!A1034),100)),""),""),IF(AND('월 가계부'!A1034&gt;=36526,'월 가계부'!A1034&lt;73051),INT('월 가계부'!A1034),"")),IF(OR(CM1034="",CN1034="",CO1034=""),"",IF(AND(CM1034&gt;=2000,CM1034&lt;=2099,CN1034&gt;=1,CN1034&lt;=12,CO1034&gt;=1,CO1034&lt;=31),IF(MONTH(DATE(CM1034,CN1034,CO1034))=CN1034,DATE(CM1034,CN1034,CO1034),""),"")))),"")</f>
        <v/>
      </c>
      <c r="CJ1034">
        <f>IFERROR(IF('월 가계부'!C1034="","",IF(ISNUMBER('월 가계부'!C1034),'월 가계부'!C1034,VALUE(SUBSTITUTE(SUBSTITUTE(SUBSTITUTE(SUBSTITUTE(TRIM('월 가계부'!C1034),",",""),"원","")," ",""),"−","-")))),"")</f>
        <v/>
      </c>
      <c r="CK1034">
        <f>IF(ISNUMBER(CI1034),IF(CI1034&lt;$B$13,CI1034,""),"")</f>
        <v/>
      </c>
      <c r="CM1034">
        <f>IF(CH1034="","",IFERROR(IF(IF(AND(LEN(CH1034)=9,ISERROR(FIND("-",LEFT(CH1034,8))),ISNUMBER(-LEFT(CH1034,8))),VALUE(LEFT(CH1034,4)),VALUE(LEFT(CH1034,FIND("-",CH1034)-1)))&lt;100,IF(AND(LEN(CH1034)=9,ISERROR(FIND("-",LEFT(CH1034,8))),ISNUMBER(-LEFT(CH1034,8))),VALUE(LEFT(CH1034,4)),VALUE(LEFT(CH1034,FIND("-",CH1034)-1)))+2000,IF(AND(LEN(CH1034)=9,ISERROR(FIND("-",LEFT(CH1034,8))),ISNUMBER(-LEFT(CH1034,8))),VALUE(LEFT(CH1034,4)),VALUE(LEFT(CH1034,FIND("-",CH1034)-1)))),""))</f>
        <v/>
      </c>
      <c r="CN1034">
        <f>IF(CH1034="","",IFERROR(IF(AND(LEN(CH1034)=9,ISERROR(FIND("-",LEFT(CH1034,8))),ISNUMBER(-LEFT(CH1034,8))),VALUE(MID(CH1034,5,2)),VALUE(MID(CH1034,FIND("-",CH1034)+1,FIND("-",CH1034,FIND("-",CH1034)+1)-FIND("-",CH1034)-1))),""))</f>
        <v/>
      </c>
      <c r="CO1034">
        <f>IF(CH1034="","",IFERROR(IF(AND(LEN(CH1034)=9,ISERROR(FIND("-",LEFT(CH1034,8))),ISNUMBER(-LEFT(CH1034,8))),VALUE(MID(CH1034,7,2)),VALUE(MID(CH1034,FIND("-",CH1034,FIND("-",CH1034)+1)+1,FIND("-",CH1034,FIND("-",CH1034,FIND("-",CH1034)+1)+1)-FIND("-",CH1034,FIND("-",CH1034)+1)-1))),""))</f>
        <v/>
      </c>
    </row>
    <row r="1035">
      <c r="CH1035">
        <f>IF(ISTEXT('월 가계부'!A1035),SUBSTITUTE(SUBSTITUTE(SUBSTITUTE(SUBSTITUTE(SUBSTITUTE(SUBSTITUTE(SUBSTITUTE(SUBSTITUTE(SUBSTITUTE(TRIM('월 가계부'!A1035),"년","-"),"월","-"),"일",""),".","-"),"/","-")," ","-"),"--","-"),"--","-"),"--","-")&amp;"-","")</f>
        <v/>
      </c>
      <c r="CI1035">
        <f>IFERROR(IF('월 가계부'!A1035="","",IF(ISNUMBER('월 가계부'!A1035),IF(AND('월 가계부'!A1035&gt;=19000101,'월 가계부'!A1035&lt;=21001231),IF(AND(MOD(INT('월 가계부'!A1035/100),100)&gt;=1,MOD(INT('월 가계부'!A1035/100),100)&lt;=12,MOD(INT('월 가계부'!A1035),100)&gt;=1,MOD(INT('월 가계부'!A1035),100)&lt;=31),IF(MONTH(DATE(INT('월 가계부'!A1035/10000),MOD(INT('월 가계부'!A1035/100),100),MOD(INT('월 가계부'!A1035),100)))=MOD(INT('월 가계부'!A1035/100),100),DATE(INT('월 가계부'!A1035/10000),MOD(INT('월 가계부'!A1035/100),100),MOD(INT('월 가계부'!A1035),100)),""),""),IF(AND('월 가계부'!A1035&gt;=36526,'월 가계부'!A1035&lt;73051),INT('월 가계부'!A1035),"")),IF(OR(CM1035="",CN1035="",CO1035=""),"",IF(AND(CM1035&gt;=2000,CM1035&lt;=2099,CN1035&gt;=1,CN1035&lt;=12,CO1035&gt;=1,CO1035&lt;=31),IF(MONTH(DATE(CM1035,CN1035,CO1035))=CN1035,DATE(CM1035,CN1035,CO1035),""),"")))),"")</f>
        <v/>
      </c>
      <c r="CJ1035">
        <f>IFERROR(IF('월 가계부'!C1035="","",IF(ISNUMBER('월 가계부'!C1035),'월 가계부'!C1035,VALUE(SUBSTITUTE(SUBSTITUTE(SUBSTITUTE(SUBSTITUTE(TRIM('월 가계부'!C1035),",",""),"원","")," ",""),"−","-")))),"")</f>
        <v/>
      </c>
      <c r="CK1035">
        <f>IF(ISNUMBER(CI1035),IF(CI1035&lt;$B$13,CI1035,""),"")</f>
        <v/>
      </c>
      <c r="CM1035">
        <f>IF(CH1035="","",IFERROR(IF(IF(AND(LEN(CH1035)=9,ISERROR(FIND("-",LEFT(CH1035,8))),ISNUMBER(-LEFT(CH1035,8))),VALUE(LEFT(CH1035,4)),VALUE(LEFT(CH1035,FIND("-",CH1035)-1)))&lt;100,IF(AND(LEN(CH1035)=9,ISERROR(FIND("-",LEFT(CH1035,8))),ISNUMBER(-LEFT(CH1035,8))),VALUE(LEFT(CH1035,4)),VALUE(LEFT(CH1035,FIND("-",CH1035)-1)))+2000,IF(AND(LEN(CH1035)=9,ISERROR(FIND("-",LEFT(CH1035,8))),ISNUMBER(-LEFT(CH1035,8))),VALUE(LEFT(CH1035,4)),VALUE(LEFT(CH1035,FIND("-",CH1035)-1)))),""))</f>
        <v/>
      </c>
      <c r="CN1035">
        <f>IF(CH1035="","",IFERROR(IF(AND(LEN(CH1035)=9,ISERROR(FIND("-",LEFT(CH1035,8))),ISNUMBER(-LEFT(CH1035,8))),VALUE(MID(CH1035,5,2)),VALUE(MID(CH1035,FIND("-",CH1035)+1,FIND("-",CH1035,FIND("-",CH1035)+1)-FIND("-",CH1035)-1))),""))</f>
        <v/>
      </c>
      <c r="CO1035">
        <f>IF(CH1035="","",IFERROR(IF(AND(LEN(CH1035)=9,ISERROR(FIND("-",LEFT(CH1035,8))),ISNUMBER(-LEFT(CH1035,8))),VALUE(MID(CH1035,7,2)),VALUE(MID(CH1035,FIND("-",CH1035,FIND("-",CH1035)+1)+1,FIND("-",CH1035,FIND("-",CH1035,FIND("-",CH1035)+1)+1)-FIND("-",CH1035,FIND("-",CH1035)+1)-1))),""))</f>
        <v/>
      </c>
    </row>
    <row r="1036">
      <c r="CH1036">
        <f>IF(ISTEXT('월 가계부'!A1036),SUBSTITUTE(SUBSTITUTE(SUBSTITUTE(SUBSTITUTE(SUBSTITUTE(SUBSTITUTE(SUBSTITUTE(SUBSTITUTE(SUBSTITUTE(TRIM('월 가계부'!A1036),"년","-"),"월","-"),"일",""),".","-"),"/","-")," ","-"),"--","-"),"--","-"),"--","-")&amp;"-","")</f>
        <v/>
      </c>
      <c r="CI1036">
        <f>IFERROR(IF('월 가계부'!A1036="","",IF(ISNUMBER('월 가계부'!A1036),IF(AND('월 가계부'!A1036&gt;=19000101,'월 가계부'!A1036&lt;=21001231),IF(AND(MOD(INT('월 가계부'!A1036/100),100)&gt;=1,MOD(INT('월 가계부'!A1036/100),100)&lt;=12,MOD(INT('월 가계부'!A1036),100)&gt;=1,MOD(INT('월 가계부'!A1036),100)&lt;=31),IF(MONTH(DATE(INT('월 가계부'!A1036/10000),MOD(INT('월 가계부'!A1036/100),100),MOD(INT('월 가계부'!A1036),100)))=MOD(INT('월 가계부'!A1036/100),100),DATE(INT('월 가계부'!A1036/10000),MOD(INT('월 가계부'!A1036/100),100),MOD(INT('월 가계부'!A1036),100)),""),""),IF(AND('월 가계부'!A1036&gt;=36526,'월 가계부'!A1036&lt;73051),INT('월 가계부'!A1036),"")),IF(OR(CM1036="",CN1036="",CO1036=""),"",IF(AND(CM1036&gt;=2000,CM1036&lt;=2099,CN1036&gt;=1,CN1036&lt;=12,CO1036&gt;=1,CO1036&lt;=31),IF(MONTH(DATE(CM1036,CN1036,CO1036))=CN1036,DATE(CM1036,CN1036,CO1036),""),"")))),"")</f>
        <v/>
      </c>
      <c r="CJ1036">
        <f>IFERROR(IF('월 가계부'!C1036="","",IF(ISNUMBER('월 가계부'!C1036),'월 가계부'!C1036,VALUE(SUBSTITUTE(SUBSTITUTE(SUBSTITUTE(SUBSTITUTE(TRIM('월 가계부'!C1036),",",""),"원","")," ",""),"−","-")))),"")</f>
        <v/>
      </c>
      <c r="CK1036">
        <f>IF(ISNUMBER(CI1036),IF(CI1036&lt;$B$13,CI1036,""),"")</f>
        <v/>
      </c>
      <c r="CM1036">
        <f>IF(CH1036="","",IFERROR(IF(IF(AND(LEN(CH1036)=9,ISERROR(FIND("-",LEFT(CH1036,8))),ISNUMBER(-LEFT(CH1036,8))),VALUE(LEFT(CH1036,4)),VALUE(LEFT(CH1036,FIND("-",CH1036)-1)))&lt;100,IF(AND(LEN(CH1036)=9,ISERROR(FIND("-",LEFT(CH1036,8))),ISNUMBER(-LEFT(CH1036,8))),VALUE(LEFT(CH1036,4)),VALUE(LEFT(CH1036,FIND("-",CH1036)-1)))+2000,IF(AND(LEN(CH1036)=9,ISERROR(FIND("-",LEFT(CH1036,8))),ISNUMBER(-LEFT(CH1036,8))),VALUE(LEFT(CH1036,4)),VALUE(LEFT(CH1036,FIND("-",CH1036)-1)))),""))</f>
        <v/>
      </c>
      <c r="CN1036">
        <f>IF(CH1036="","",IFERROR(IF(AND(LEN(CH1036)=9,ISERROR(FIND("-",LEFT(CH1036,8))),ISNUMBER(-LEFT(CH1036,8))),VALUE(MID(CH1036,5,2)),VALUE(MID(CH1036,FIND("-",CH1036)+1,FIND("-",CH1036,FIND("-",CH1036)+1)-FIND("-",CH1036)-1))),""))</f>
        <v/>
      </c>
      <c r="CO1036">
        <f>IF(CH1036="","",IFERROR(IF(AND(LEN(CH1036)=9,ISERROR(FIND("-",LEFT(CH1036,8))),ISNUMBER(-LEFT(CH1036,8))),VALUE(MID(CH1036,7,2)),VALUE(MID(CH1036,FIND("-",CH1036,FIND("-",CH1036)+1)+1,FIND("-",CH1036,FIND("-",CH1036,FIND("-",CH1036)+1)+1)-FIND("-",CH1036,FIND("-",CH1036)+1)-1))),""))</f>
        <v/>
      </c>
    </row>
    <row r="1037">
      <c r="CH1037">
        <f>IF(ISTEXT('월 가계부'!A1037),SUBSTITUTE(SUBSTITUTE(SUBSTITUTE(SUBSTITUTE(SUBSTITUTE(SUBSTITUTE(SUBSTITUTE(SUBSTITUTE(SUBSTITUTE(TRIM('월 가계부'!A1037),"년","-"),"월","-"),"일",""),".","-"),"/","-")," ","-"),"--","-"),"--","-"),"--","-")&amp;"-","")</f>
        <v/>
      </c>
      <c r="CI1037">
        <f>IFERROR(IF('월 가계부'!A1037="","",IF(ISNUMBER('월 가계부'!A1037),IF(AND('월 가계부'!A1037&gt;=19000101,'월 가계부'!A1037&lt;=21001231),IF(AND(MOD(INT('월 가계부'!A1037/100),100)&gt;=1,MOD(INT('월 가계부'!A1037/100),100)&lt;=12,MOD(INT('월 가계부'!A1037),100)&gt;=1,MOD(INT('월 가계부'!A1037),100)&lt;=31),IF(MONTH(DATE(INT('월 가계부'!A1037/10000),MOD(INT('월 가계부'!A1037/100),100),MOD(INT('월 가계부'!A1037),100)))=MOD(INT('월 가계부'!A1037/100),100),DATE(INT('월 가계부'!A1037/10000),MOD(INT('월 가계부'!A1037/100),100),MOD(INT('월 가계부'!A1037),100)),""),""),IF(AND('월 가계부'!A1037&gt;=36526,'월 가계부'!A1037&lt;73051),INT('월 가계부'!A1037),"")),IF(OR(CM1037="",CN1037="",CO1037=""),"",IF(AND(CM1037&gt;=2000,CM1037&lt;=2099,CN1037&gt;=1,CN1037&lt;=12,CO1037&gt;=1,CO1037&lt;=31),IF(MONTH(DATE(CM1037,CN1037,CO1037))=CN1037,DATE(CM1037,CN1037,CO1037),""),"")))),"")</f>
        <v/>
      </c>
      <c r="CJ1037">
        <f>IFERROR(IF('월 가계부'!C1037="","",IF(ISNUMBER('월 가계부'!C1037),'월 가계부'!C1037,VALUE(SUBSTITUTE(SUBSTITUTE(SUBSTITUTE(SUBSTITUTE(TRIM('월 가계부'!C1037),",",""),"원","")," ",""),"−","-")))),"")</f>
        <v/>
      </c>
      <c r="CK1037">
        <f>IF(ISNUMBER(CI1037),IF(CI1037&lt;$B$13,CI1037,""),"")</f>
        <v/>
      </c>
      <c r="CM1037">
        <f>IF(CH1037="","",IFERROR(IF(IF(AND(LEN(CH1037)=9,ISERROR(FIND("-",LEFT(CH1037,8))),ISNUMBER(-LEFT(CH1037,8))),VALUE(LEFT(CH1037,4)),VALUE(LEFT(CH1037,FIND("-",CH1037)-1)))&lt;100,IF(AND(LEN(CH1037)=9,ISERROR(FIND("-",LEFT(CH1037,8))),ISNUMBER(-LEFT(CH1037,8))),VALUE(LEFT(CH1037,4)),VALUE(LEFT(CH1037,FIND("-",CH1037)-1)))+2000,IF(AND(LEN(CH1037)=9,ISERROR(FIND("-",LEFT(CH1037,8))),ISNUMBER(-LEFT(CH1037,8))),VALUE(LEFT(CH1037,4)),VALUE(LEFT(CH1037,FIND("-",CH1037)-1)))),""))</f>
        <v/>
      </c>
      <c r="CN1037">
        <f>IF(CH1037="","",IFERROR(IF(AND(LEN(CH1037)=9,ISERROR(FIND("-",LEFT(CH1037,8))),ISNUMBER(-LEFT(CH1037,8))),VALUE(MID(CH1037,5,2)),VALUE(MID(CH1037,FIND("-",CH1037)+1,FIND("-",CH1037,FIND("-",CH1037)+1)-FIND("-",CH1037)-1))),""))</f>
        <v/>
      </c>
      <c r="CO1037">
        <f>IF(CH1037="","",IFERROR(IF(AND(LEN(CH1037)=9,ISERROR(FIND("-",LEFT(CH1037,8))),ISNUMBER(-LEFT(CH1037,8))),VALUE(MID(CH1037,7,2)),VALUE(MID(CH1037,FIND("-",CH1037,FIND("-",CH1037)+1)+1,FIND("-",CH1037,FIND("-",CH1037,FIND("-",CH1037)+1)+1)-FIND("-",CH1037,FIND("-",CH1037)+1)-1))),""))</f>
        <v/>
      </c>
    </row>
    <row r="1038">
      <c r="CH1038">
        <f>IF(ISTEXT('월 가계부'!A1038),SUBSTITUTE(SUBSTITUTE(SUBSTITUTE(SUBSTITUTE(SUBSTITUTE(SUBSTITUTE(SUBSTITUTE(SUBSTITUTE(SUBSTITUTE(TRIM('월 가계부'!A1038),"년","-"),"월","-"),"일",""),".","-"),"/","-")," ","-"),"--","-"),"--","-"),"--","-")&amp;"-","")</f>
        <v/>
      </c>
      <c r="CI1038">
        <f>IFERROR(IF('월 가계부'!A1038="","",IF(ISNUMBER('월 가계부'!A1038),IF(AND('월 가계부'!A1038&gt;=19000101,'월 가계부'!A1038&lt;=21001231),IF(AND(MOD(INT('월 가계부'!A1038/100),100)&gt;=1,MOD(INT('월 가계부'!A1038/100),100)&lt;=12,MOD(INT('월 가계부'!A1038),100)&gt;=1,MOD(INT('월 가계부'!A1038),100)&lt;=31),IF(MONTH(DATE(INT('월 가계부'!A1038/10000),MOD(INT('월 가계부'!A1038/100),100),MOD(INT('월 가계부'!A1038),100)))=MOD(INT('월 가계부'!A1038/100),100),DATE(INT('월 가계부'!A1038/10000),MOD(INT('월 가계부'!A1038/100),100),MOD(INT('월 가계부'!A1038),100)),""),""),IF(AND('월 가계부'!A1038&gt;=36526,'월 가계부'!A1038&lt;73051),INT('월 가계부'!A1038),"")),IF(OR(CM1038="",CN1038="",CO1038=""),"",IF(AND(CM1038&gt;=2000,CM1038&lt;=2099,CN1038&gt;=1,CN1038&lt;=12,CO1038&gt;=1,CO1038&lt;=31),IF(MONTH(DATE(CM1038,CN1038,CO1038))=CN1038,DATE(CM1038,CN1038,CO1038),""),"")))),"")</f>
        <v/>
      </c>
      <c r="CJ1038">
        <f>IFERROR(IF('월 가계부'!C1038="","",IF(ISNUMBER('월 가계부'!C1038),'월 가계부'!C1038,VALUE(SUBSTITUTE(SUBSTITUTE(SUBSTITUTE(SUBSTITUTE(TRIM('월 가계부'!C1038),",",""),"원","")," ",""),"−","-")))),"")</f>
        <v/>
      </c>
      <c r="CK1038">
        <f>IF(ISNUMBER(CI1038),IF(CI1038&lt;$B$13,CI1038,""),"")</f>
        <v/>
      </c>
      <c r="CM1038">
        <f>IF(CH1038="","",IFERROR(IF(IF(AND(LEN(CH1038)=9,ISERROR(FIND("-",LEFT(CH1038,8))),ISNUMBER(-LEFT(CH1038,8))),VALUE(LEFT(CH1038,4)),VALUE(LEFT(CH1038,FIND("-",CH1038)-1)))&lt;100,IF(AND(LEN(CH1038)=9,ISERROR(FIND("-",LEFT(CH1038,8))),ISNUMBER(-LEFT(CH1038,8))),VALUE(LEFT(CH1038,4)),VALUE(LEFT(CH1038,FIND("-",CH1038)-1)))+2000,IF(AND(LEN(CH1038)=9,ISERROR(FIND("-",LEFT(CH1038,8))),ISNUMBER(-LEFT(CH1038,8))),VALUE(LEFT(CH1038,4)),VALUE(LEFT(CH1038,FIND("-",CH1038)-1)))),""))</f>
        <v/>
      </c>
      <c r="CN1038">
        <f>IF(CH1038="","",IFERROR(IF(AND(LEN(CH1038)=9,ISERROR(FIND("-",LEFT(CH1038,8))),ISNUMBER(-LEFT(CH1038,8))),VALUE(MID(CH1038,5,2)),VALUE(MID(CH1038,FIND("-",CH1038)+1,FIND("-",CH1038,FIND("-",CH1038)+1)-FIND("-",CH1038)-1))),""))</f>
        <v/>
      </c>
      <c r="CO1038">
        <f>IF(CH1038="","",IFERROR(IF(AND(LEN(CH1038)=9,ISERROR(FIND("-",LEFT(CH1038,8))),ISNUMBER(-LEFT(CH1038,8))),VALUE(MID(CH1038,7,2)),VALUE(MID(CH1038,FIND("-",CH1038,FIND("-",CH1038)+1)+1,FIND("-",CH1038,FIND("-",CH1038,FIND("-",CH1038)+1)+1)-FIND("-",CH1038,FIND("-",CH1038)+1)-1))),""))</f>
        <v/>
      </c>
    </row>
    <row r="1039">
      <c r="CH1039">
        <f>IF(ISTEXT('월 가계부'!A1039),SUBSTITUTE(SUBSTITUTE(SUBSTITUTE(SUBSTITUTE(SUBSTITUTE(SUBSTITUTE(SUBSTITUTE(SUBSTITUTE(SUBSTITUTE(TRIM('월 가계부'!A1039),"년","-"),"월","-"),"일",""),".","-"),"/","-")," ","-"),"--","-"),"--","-"),"--","-")&amp;"-","")</f>
        <v/>
      </c>
      <c r="CI1039">
        <f>IFERROR(IF('월 가계부'!A1039="","",IF(ISNUMBER('월 가계부'!A1039),IF(AND('월 가계부'!A1039&gt;=19000101,'월 가계부'!A1039&lt;=21001231),IF(AND(MOD(INT('월 가계부'!A1039/100),100)&gt;=1,MOD(INT('월 가계부'!A1039/100),100)&lt;=12,MOD(INT('월 가계부'!A1039),100)&gt;=1,MOD(INT('월 가계부'!A1039),100)&lt;=31),IF(MONTH(DATE(INT('월 가계부'!A1039/10000),MOD(INT('월 가계부'!A1039/100),100),MOD(INT('월 가계부'!A1039),100)))=MOD(INT('월 가계부'!A1039/100),100),DATE(INT('월 가계부'!A1039/10000),MOD(INT('월 가계부'!A1039/100),100),MOD(INT('월 가계부'!A1039),100)),""),""),IF(AND('월 가계부'!A1039&gt;=36526,'월 가계부'!A1039&lt;73051),INT('월 가계부'!A1039),"")),IF(OR(CM1039="",CN1039="",CO1039=""),"",IF(AND(CM1039&gt;=2000,CM1039&lt;=2099,CN1039&gt;=1,CN1039&lt;=12,CO1039&gt;=1,CO1039&lt;=31),IF(MONTH(DATE(CM1039,CN1039,CO1039))=CN1039,DATE(CM1039,CN1039,CO1039),""),"")))),"")</f>
        <v/>
      </c>
      <c r="CJ1039">
        <f>IFERROR(IF('월 가계부'!C1039="","",IF(ISNUMBER('월 가계부'!C1039),'월 가계부'!C1039,VALUE(SUBSTITUTE(SUBSTITUTE(SUBSTITUTE(SUBSTITUTE(TRIM('월 가계부'!C1039),",",""),"원","")," ",""),"−","-")))),"")</f>
        <v/>
      </c>
      <c r="CK1039">
        <f>IF(ISNUMBER(CI1039),IF(CI1039&lt;$B$13,CI1039,""),"")</f>
        <v/>
      </c>
      <c r="CM1039">
        <f>IF(CH1039="","",IFERROR(IF(IF(AND(LEN(CH1039)=9,ISERROR(FIND("-",LEFT(CH1039,8))),ISNUMBER(-LEFT(CH1039,8))),VALUE(LEFT(CH1039,4)),VALUE(LEFT(CH1039,FIND("-",CH1039)-1)))&lt;100,IF(AND(LEN(CH1039)=9,ISERROR(FIND("-",LEFT(CH1039,8))),ISNUMBER(-LEFT(CH1039,8))),VALUE(LEFT(CH1039,4)),VALUE(LEFT(CH1039,FIND("-",CH1039)-1)))+2000,IF(AND(LEN(CH1039)=9,ISERROR(FIND("-",LEFT(CH1039,8))),ISNUMBER(-LEFT(CH1039,8))),VALUE(LEFT(CH1039,4)),VALUE(LEFT(CH1039,FIND("-",CH1039)-1)))),""))</f>
        <v/>
      </c>
      <c r="CN1039">
        <f>IF(CH1039="","",IFERROR(IF(AND(LEN(CH1039)=9,ISERROR(FIND("-",LEFT(CH1039,8))),ISNUMBER(-LEFT(CH1039,8))),VALUE(MID(CH1039,5,2)),VALUE(MID(CH1039,FIND("-",CH1039)+1,FIND("-",CH1039,FIND("-",CH1039)+1)-FIND("-",CH1039)-1))),""))</f>
        <v/>
      </c>
      <c r="CO1039">
        <f>IF(CH1039="","",IFERROR(IF(AND(LEN(CH1039)=9,ISERROR(FIND("-",LEFT(CH1039,8))),ISNUMBER(-LEFT(CH1039,8))),VALUE(MID(CH1039,7,2)),VALUE(MID(CH1039,FIND("-",CH1039,FIND("-",CH1039)+1)+1,FIND("-",CH1039,FIND("-",CH1039,FIND("-",CH1039)+1)+1)-FIND("-",CH1039,FIND("-",CH1039)+1)-1))),""))</f>
        <v/>
      </c>
    </row>
    <row r="1040">
      <c r="CH1040">
        <f>IF(ISTEXT('월 가계부'!A1040),SUBSTITUTE(SUBSTITUTE(SUBSTITUTE(SUBSTITUTE(SUBSTITUTE(SUBSTITUTE(SUBSTITUTE(SUBSTITUTE(SUBSTITUTE(TRIM('월 가계부'!A1040),"년","-"),"월","-"),"일",""),".","-"),"/","-")," ","-"),"--","-"),"--","-"),"--","-")&amp;"-","")</f>
        <v/>
      </c>
      <c r="CI1040">
        <f>IFERROR(IF('월 가계부'!A1040="","",IF(ISNUMBER('월 가계부'!A1040),IF(AND('월 가계부'!A1040&gt;=19000101,'월 가계부'!A1040&lt;=21001231),IF(AND(MOD(INT('월 가계부'!A1040/100),100)&gt;=1,MOD(INT('월 가계부'!A1040/100),100)&lt;=12,MOD(INT('월 가계부'!A1040),100)&gt;=1,MOD(INT('월 가계부'!A1040),100)&lt;=31),IF(MONTH(DATE(INT('월 가계부'!A1040/10000),MOD(INT('월 가계부'!A1040/100),100),MOD(INT('월 가계부'!A1040),100)))=MOD(INT('월 가계부'!A1040/100),100),DATE(INT('월 가계부'!A1040/10000),MOD(INT('월 가계부'!A1040/100),100),MOD(INT('월 가계부'!A1040),100)),""),""),IF(AND('월 가계부'!A1040&gt;=36526,'월 가계부'!A1040&lt;73051),INT('월 가계부'!A1040),"")),IF(OR(CM1040="",CN1040="",CO1040=""),"",IF(AND(CM1040&gt;=2000,CM1040&lt;=2099,CN1040&gt;=1,CN1040&lt;=12,CO1040&gt;=1,CO1040&lt;=31),IF(MONTH(DATE(CM1040,CN1040,CO1040))=CN1040,DATE(CM1040,CN1040,CO1040),""),"")))),"")</f>
        <v/>
      </c>
      <c r="CJ1040">
        <f>IFERROR(IF('월 가계부'!C1040="","",IF(ISNUMBER('월 가계부'!C1040),'월 가계부'!C1040,VALUE(SUBSTITUTE(SUBSTITUTE(SUBSTITUTE(SUBSTITUTE(TRIM('월 가계부'!C1040),",",""),"원","")," ",""),"−","-")))),"")</f>
        <v/>
      </c>
      <c r="CK1040">
        <f>IF(ISNUMBER(CI1040),IF(CI1040&lt;$B$13,CI1040,""),"")</f>
        <v/>
      </c>
      <c r="CM1040">
        <f>IF(CH1040="","",IFERROR(IF(IF(AND(LEN(CH1040)=9,ISERROR(FIND("-",LEFT(CH1040,8))),ISNUMBER(-LEFT(CH1040,8))),VALUE(LEFT(CH1040,4)),VALUE(LEFT(CH1040,FIND("-",CH1040)-1)))&lt;100,IF(AND(LEN(CH1040)=9,ISERROR(FIND("-",LEFT(CH1040,8))),ISNUMBER(-LEFT(CH1040,8))),VALUE(LEFT(CH1040,4)),VALUE(LEFT(CH1040,FIND("-",CH1040)-1)))+2000,IF(AND(LEN(CH1040)=9,ISERROR(FIND("-",LEFT(CH1040,8))),ISNUMBER(-LEFT(CH1040,8))),VALUE(LEFT(CH1040,4)),VALUE(LEFT(CH1040,FIND("-",CH1040)-1)))),""))</f>
        <v/>
      </c>
      <c r="CN1040">
        <f>IF(CH1040="","",IFERROR(IF(AND(LEN(CH1040)=9,ISERROR(FIND("-",LEFT(CH1040,8))),ISNUMBER(-LEFT(CH1040,8))),VALUE(MID(CH1040,5,2)),VALUE(MID(CH1040,FIND("-",CH1040)+1,FIND("-",CH1040,FIND("-",CH1040)+1)-FIND("-",CH1040)-1))),""))</f>
        <v/>
      </c>
      <c r="CO1040">
        <f>IF(CH1040="","",IFERROR(IF(AND(LEN(CH1040)=9,ISERROR(FIND("-",LEFT(CH1040,8))),ISNUMBER(-LEFT(CH1040,8))),VALUE(MID(CH1040,7,2)),VALUE(MID(CH1040,FIND("-",CH1040,FIND("-",CH1040)+1)+1,FIND("-",CH1040,FIND("-",CH1040,FIND("-",CH1040)+1)+1)-FIND("-",CH1040,FIND("-",CH1040)+1)-1))),""))</f>
        <v/>
      </c>
    </row>
    <row r="1041">
      <c r="CH1041">
        <f>IF(ISTEXT('월 가계부'!A1041),SUBSTITUTE(SUBSTITUTE(SUBSTITUTE(SUBSTITUTE(SUBSTITUTE(SUBSTITUTE(SUBSTITUTE(SUBSTITUTE(SUBSTITUTE(TRIM('월 가계부'!A1041),"년","-"),"월","-"),"일",""),".","-"),"/","-")," ","-"),"--","-"),"--","-"),"--","-")&amp;"-","")</f>
        <v/>
      </c>
      <c r="CI1041">
        <f>IFERROR(IF('월 가계부'!A1041="","",IF(ISNUMBER('월 가계부'!A1041),IF(AND('월 가계부'!A1041&gt;=19000101,'월 가계부'!A1041&lt;=21001231),IF(AND(MOD(INT('월 가계부'!A1041/100),100)&gt;=1,MOD(INT('월 가계부'!A1041/100),100)&lt;=12,MOD(INT('월 가계부'!A1041),100)&gt;=1,MOD(INT('월 가계부'!A1041),100)&lt;=31),IF(MONTH(DATE(INT('월 가계부'!A1041/10000),MOD(INT('월 가계부'!A1041/100),100),MOD(INT('월 가계부'!A1041),100)))=MOD(INT('월 가계부'!A1041/100),100),DATE(INT('월 가계부'!A1041/10000),MOD(INT('월 가계부'!A1041/100),100),MOD(INT('월 가계부'!A1041),100)),""),""),IF(AND('월 가계부'!A1041&gt;=36526,'월 가계부'!A1041&lt;73051),INT('월 가계부'!A1041),"")),IF(OR(CM1041="",CN1041="",CO1041=""),"",IF(AND(CM1041&gt;=2000,CM1041&lt;=2099,CN1041&gt;=1,CN1041&lt;=12,CO1041&gt;=1,CO1041&lt;=31),IF(MONTH(DATE(CM1041,CN1041,CO1041))=CN1041,DATE(CM1041,CN1041,CO1041),""),"")))),"")</f>
        <v/>
      </c>
      <c r="CJ1041">
        <f>IFERROR(IF('월 가계부'!C1041="","",IF(ISNUMBER('월 가계부'!C1041),'월 가계부'!C1041,VALUE(SUBSTITUTE(SUBSTITUTE(SUBSTITUTE(SUBSTITUTE(TRIM('월 가계부'!C1041),",",""),"원","")," ",""),"−","-")))),"")</f>
        <v/>
      </c>
      <c r="CK1041">
        <f>IF(ISNUMBER(CI1041),IF(CI1041&lt;$B$13,CI1041,""),"")</f>
        <v/>
      </c>
      <c r="CM1041">
        <f>IF(CH1041="","",IFERROR(IF(IF(AND(LEN(CH1041)=9,ISERROR(FIND("-",LEFT(CH1041,8))),ISNUMBER(-LEFT(CH1041,8))),VALUE(LEFT(CH1041,4)),VALUE(LEFT(CH1041,FIND("-",CH1041)-1)))&lt;100,IF(AND(LEN(CH1041)=9,ISERROR(FIND("-",LEFT(CH1041,8))),ISNUMBER(-LEFT(CH1041,8))),VALUE(LEFT(CH1041,4)),VALUE(LEFT(CH1041,FIND("-",CH1041)-1)))+2000,IF(AND(LEN(CH1041)=9,ISERROR(FIND("-",LEFT(CH1041,8))),ISNUMBER(-LEFT(CH1041,8))),VALUE(LEFT(CH1041,4)),VALUE(LEFT(CH1041,FIND("-",CH1041)-1)))),""))</f>
        <v/>
      </c>
      <c r="CN1041">
        <f>IF(CH1041="","",IFERROR(IF(AND(LEN(CH1041)=9,ISERROR(FIND("-",LEFT(CH1041,8))),ISNUMBER(-LEFT(CH1041,8))),VALUE(MID(CH1041,5,2)),VALUE(MID(CH1041,FIND("-",CH1041)+1,FIND("-",CH1041,FIND("-",CH1041)+1)-FIND("-",CH1041)-1))),""))</f>
        <v/>
      </c>
      <c r="CO1041">
        <f>IF(CH1041="","",IFERROR(IF(AND(LEN(CH1041)=9,ISERROR(FIND("-",LEFT(CH1041,8))),ISNUMBER(-LEFT(CH1041,8))),VALUE(MID(CH1041,7,2)),VALUE(MID(CH1041,FIND("-",CH1041,FIND("-",CH1041)+1)+1,FIND("-",CH1041,FIND("-",CH1041,FIND("-",CH1041)+1)+1)-FIND("-",CH1041,FIND("-",CH1041)+1)-1))),""))</f>
        <v/>
      </c>
    </row>
    <row r="1042">
      <c r="CH1042">
        <f>IF(ISTEXT('월 가계부'!A1042),SUBSTITUTE(SUBSTITUTE(SUBSTITUTE(SUBSTITUTE(SUBSTITUTE(SUBSTITUTE(SUBSTITUTE(SUBSTITUTE(SUBSTITUTE(TRIM('월 가계부'!A1042),"년","-"),"월","-"),"일",""),".","-"),"/","-")," ","-"),"--","-"),"--","-"),"--","-")&amp;"-","")</f>
        <v/>
      </c>
      <c r="CI1042">
        <f>IFERROR(IF('월 가계부'!A1042="","",IF(ISNUMBER('월 가계부'!A1042),IF(AND('월 가계부'!A1042&gt;=19000101,'월 가계부'!A1042&lt;=21001231),IF(AND(MOD(INT('월 가계부'!A1042/100),100)&gt;=1,MOD(INT('월 가계부'!A1042/100),100)&lt;=12,MOD(INT('월 가계부'!A1042),100)&gt;=1,MOD(INT('월 가계부'!A1042),100)&lt;=31),IF(MONTH(DATE(INT('월 가계부'!A1042/10000),MOD(INT('월 가계부'!A1042/100),100),MOD(INT('월 가계부'!A1042),100)))=MOD(INT('월 가계부'!A1042/100),100),DATE(INT('월 가계부'!A1042/10000),MOD(INT('월 가계부'!A1042/100),100),MOD(INT('월 가계부'!A1042),100)),""),""),IF(AND('월 가계부'!A1042&gt;=36526,'월 가계부'!A1042&lt;73051),INT('월 가계부'!A1042),"")),IF(OR(CM1042="",CN1042="",CO1042=""),"",IF(AND(CM1042&gt;=2000,CM1042&lt;=2099,CN1042&gt;=1,CN1042&lt;=12,CO1042&gt;=1,CO1042&lt;=31),IF(MONTH(DATE(CM1042,CN1042,CO1042))=CN1042,DATE(CM1042,CN1042,CO1042),""),"")))),"")</f>
        <v/>
      </c>
      <c r="CJ1042">
        <f>IFERROR(IF('월 가계부'!C1042="","",IF(ISNUMBER('월 가계부'!C1042),'월 가계부'!C1042,VALUE(SUBSTITUTE(SUBSTITUTE(SUBSTITUTE(SUBSTITUTE(TRIM('월 가계부'!C1042),",",""),"원","")," ",""),"−","-")))),"")</f>
        <v/>
      </c>
      <c r="CK1042">
        <f>IF(ISNUMBER(CI1042),IF(CI1042&lt;$B$13,CI1042,""),"")</f>
        <v/>
      </c>
      <c r="CM1042">
        <f>IF(CH1042="","",IFERROR(IF(IF(AND(LEN(CH1042)=9,ISERROR(FIND("-",LEFT(CH1042,8))),ISNUMBER(-LEFT(CH1042,8))),VALUE(LEFT(CH1042,4)),VALUE(LEFT(CH1042,FIND("-",CH1042)-1)))&lt;100,IF(AND(LEN(CH1042)=9,ISERROR(FIND("-",LEFT(CH1042,8))),ISNUMBER(-LEFT(CH1042,8))),VALUE(LEFT(CH1042,4)),VALUE(LEFT(CH1042,FIND("-",CH1042)-1)))+2000,IF(AND(LEN(CH1042)=9,ISERROR(FIND("-",LEFT(CH1042,8))),ISNUMBER(-LEFT(CH1042,8))),VALUE(LEFT(CH1042,4)),VALUE(LEFT(CH1042,FIND("-",CH1042)-1)))),""))</f>
        <v/>
      </c>
      <c r="CN1042">
        <f>IF(CH1042="","",IFERROR(IF(AND(LEN(CH1042)=9,ISERROR(FIND("-",LEFT(CH1042,8))),ISNUMBER(-LEFT(CH1042,8))),VALUE(MID(CH1042,5,2)),VALUE(MID(CH1042,FIND("-",CH1042)+1,FIND("-",CH1042,FIND("-",CH1042)+1)-FIND("-",CH1042)-1))),""))</f>
        <v/>
      </c>
      <c r="CO1042">
        <f>IF(CH1042="","",IFERROR(IF(AND(LEN(CH1042)=9,ISERROR(FIND("-",LEFT(CH1042,8))),ISNUMBER(-LEFT(CH1042,8))),VALUE(MID(CH1042,7,2)),VALUE(MID(CH1042,FIND("-",CH1042,FIND("-",CH1042)+1)+1,FIND("-",CH1042,FIND("-",CH1042,FIND("-",CH1042)+1)+1)-FIND("-",CH1042,FIND("-",CH1042)+1)-1))),""))</f>
        <v/>
      </c>
    </row>
    <row r="1043">
      <c r="CH1043">
        <f>IF(ISTEXT('월 가계부'!A1043),SUBSTITUTE(SUBSTITUTE(SUBSTITUTE(SUBSTITUTE(SUBSTITUTE(SUBSTITUTE(SUBSTITUTE(SUBSTITUTE(SUBSTITUTE(TRIM('월 가계부'!A1043),"년","-"),"월","-"),"일",""),".","-"),"/","-")," ","-"),"--","-"),"--","-"),"--","-")&amp;"-","")</f>
        <v/>
      </c>
      <c r="CI1043">
        <f>IFERROR(IF('월 가계부'!A1043="","",IF(ISNUMBER('월 가계부'!A1043),IF(AND('월 가계부'!A1043&gt;=19000101,'월 가계부'!A1043&lt;=21001231),IF(AND(MOD(INT('월 가계부'!A1043/100),100)&gt;=1,MOD(INT('월 가계부'!A1043/100),100)&lt;=12,MOD(INT('월 가계부'!A1043),100)&gt;=1,MOD(INT('월 가계부'!A1043),100)&lt;=31),IF(MONTH(DATE(INT('월 가계부'!A1043/10000),MOD(INT('월 가계부'!A1043/100),100),MOD(INT('월 가계부'!A1043),100)))=MOD(INT('월 가계부'!A1043/100),100),DATE(INT('월 가계부'!A1043/10000),MOD(INT('월 가계부'!A1043/100),100),MOD(INT('월 가계부'!A1043),100)),""),""),IF(AND('월 가계부'!A1043&gt;=36526,'월 가계부'!A1043&lt;73051),INT('월 가계부'!A1043),"")),IF(OR(CM1043="",CN1043="",CO1043=""),"",IF(AND(CM1043&gt;=2000,CM1043&lt;=2099,CN1043&gt;=1,CN1043&lt;=12,CO1043&gt;=1,CO1043&lt;=31),IF(MONTH(DATE(CM1043,CN1043,CO1043))=CN1043,DATE(CM1043,CN1043,CO1043),""),"")))),"")</f>
        <v/>
      </c>
      <c r="CJ1043">
        <f>IFERROR(IF('월 가계부'!C1043="","",IF(ISNUMBER('월 가계부'!C1043),'월 가계부'!C1043,VALUE(SUBSTITUTE(SUBSTITUTE(SUBSTITUTE(SUBSTITUTE(TRIM('월 가계부'!C1043),",",""),"원","")," ",""),"−","-")))),"")</f>
        <v/>
      </c>
      <c r="CK1043">
        <f>IF(ISNUMBER(CI1043),IF(CI1043&lt;$B$13,CI1043,""),"")</f>
        <v/>
      </c>
      <c r="CM1043">
        <f>IF(CH1043="","",IFERROR(IF(IF(AND(LEN(CH1043)=9,ISERROR(FIND("-",LEFT(CH1043,8))),ISNUMBER(-LEFT(CH1043,8))),VALUE(LEFT(CH1043,4)),VALUE(LEFT(CH1043,FIND("-",CH1043)-1)))&lt;100,IF(AND(LEN(CH1043)=9,ISERROR(FIND("-",LEFT(CH1043,8))),ISNUMBER(-LEFT(CH1043,8))),VALUE(LEFT(CH1043,4)),VALUE(LEFT(CH1043,FIND("-",CH1043)-1)))+2000,IF(AND(LEN(CH1043)=9,ISERROR(FIND("-",LEFT(CH1043,8))),ISNUMBER(-LEFT(CH1043,8))),VALUE(LEFT(CH1043,4)),VALUE(LEFT(CH1043,FIND("-",CH1043)-1)))),""))</f>
        <v/>
      </c>
      <c r="CN1043">
        <f>IF(CH1043="","",IFERROR(IF(AND(LEN(CH1043)=9,ISERROR(FIND("-",LEFT(CH1043,8))),ISNUMBER(-LEFT(CH1043,8))),VALUE(MID(CH1043,5,2)),VALUE(MID(CH1043,FIND("-",CH1043)+1,FIND("-",CH1043,FIND("-",CH1043)+1)-FIND("-",CH1043)-1))),""))</f>
        <v/>
      </c>
      <c r="CO1043">
        <f>IF(CH1043="","",IFERROR(IF(AND(LEN(CH1043)=9,ISERROR(FIND("-",LEFT(CH1043,8))),ISNUMBER(-LEFT(CH1043,8))),VALUE(MID(CH1043,7,2)),VALUE(MID(CH1043,FIND("-",CH1043,FIND("-",CH1043)+1)+1,FIND("-",CH1043,FIND("-",CH1043,FIND("-",CH1043)+1)+1)-FIND("-",CH1043,FIND("-",CH1043)+1)-1))),""))</f>
        <v/>
      </c>
    </row>
    <row r="1044">
      <c r="CH1044">
        <f>IF(ISTEXT('월 가계부'!A1044),SUBSTITUTE(SUBSTITUTE(SUBSTITUTE(SUBSTITUTE(SUBSTITUTE(SUBSTITUTE(SUBSTITUTE(SUBSTITUTE(SUBSTITUTE(TRIM('월 가계부'!A1044),"년","-"),"월","-"),"일",""),".","-"),"/","-")," ","-"),"--","-"),"--","-"),"--","-")&amp;"-","")</f>
        <v/>
      </c>
      <c r="CI1044">
        <f>IFERROR(IF('월 가계부'!A1044="","",IF(ISNUMBER('월 가계부'!A1044),IF(AND('월 가계부'!A1044&gt;=19000101,'월 가계부'!A1044&lt;=21001231),IF(AND(MOD(INT('월 가계부'!A1044/100),100)&gt;=1,MOD(INT('월 가계부'!A1044/100),100)&lt;=12,MOD(INT('월 가계부'!A1044),100)&gt;=1,MOD(INT('월 가계부'!A1044),100)&lt;=31),IF(MONTH(DATE(INT('월 가계부'!A1044/10000),MOD(INT('월 가계부'!A1044/100),100),MOD(INT('월 가계부'!A1044),100)))=MOD(INT('월 가계부'!A1044/100),100),DATE(INT('월 가계부'!A1044/10000),MOD(INT('월 가계부'!A1044/100),100),MOD(INT('월 가계부'!A1044),100)),""),""),IF(AND('월 가계부'!A1044&gt;=36526,'월 가계부'!A1044&lt;73051),INT('월 가계부'!A1044),"")),IF(OR(CM1044="",CN1044="",CO1044=""),"",IF(AND(CM1044&gt;=2000,CM1044&lt;=2099,CN1044&gt;=1,CN1044&lt;=12,CO1044&gt;=1,CO1044&lt;=31),IF(MONTH(DATE(CM1044,CN1044,CO1044))=CN1044,DATE(CM1044,CN1044,CO1044),""),"")))),"")</f>
        <v/>
      </c>
      <c r="CJ1044">
        <f>IFERROR(IF('월 가계부'!C1044="","",IF(ISNUMBER('월 가계부'!C1044),'월 가계부'!C1044,VALUE(SUBSTITUTE(SUBSTITUTE(SUBSTITUTE(SUBSTITUTE(TRIM('월 가계부'!C1044),",",""),"원","")," ",""),"−","-")))),"")</f>
        <v/>
      </c>
      <c r="CK1044">
        <f>IF(ISNUMBER(CI1044),IF(CI1044&lt;$B$13,CI1044,""),"")</f>
        <v/>
      </c>
      <c r="CM1044">
        <f>IF(CH1044="","",IFERROR(IF(IF(AND(LEN(CH1044)=9,ISERROR(FIND("-",LEFT(CH1044,8))),ISNUMBER(-LEFT(CH1044,8))),VALUE(LEFT(CH1044,4)),VALUE(LEFT(CH1044,FIND("-",CH1044)-1)))&lt;100,IF(AND(LEN(CH1044)=9,ISERROR(FIND("-",LEFT(CH1044,8))),ISNUMBER(-LEFT(CH1044,8))),VALUE(LEFT(CH1044,4)),VALUE(LEFT(CH1044,FIND("-",CH1044)-1)))+2000,IF(AND(LEN(CH1044)=9,ISERROR(FIND("-",LEFT(CH1044,8))),ISNUMBER(-LEFT(CH1044,8))),VALUE(LEFT(CH1044,4)),VALUE(LEFT(CH1044,FIND("-",CH1044)-1)))),""))</f>
        <v/>
      </c>
      <c r="CN1044">
        <f>IF(CH1044="","",IFERROR(IF(AND(LEN(CH1044)=9,ISERROR(FIND("-",LEFT(CH1044,8))),ISNUMBER(-LEFT(CH1044,8))),VALUE(MID(CH1044,5,2)),VALUE(MID(CH1044,FIND("-",CH1044)+1,FIND("-",CH1044,FIND("-",CH1044)+1)-FIND("-",CH1044)-1))),""))</f>
        <v/>
      </c>
      <c r="CO1044">
        <f>IF(CH1044="","",IFERROR(IF(AND(LEN(CH1044)=9,ISERROR(FIND("-",LEFT(CH1044,8))),ISNUMBER(-LEFT(CH1044,8))),VALUE(MID(CH1044,7,2)),VALUE(MID(CH1044,FIND("-",CH1044,FIND("-",CH1044)+1)+1,FIND("-",CH1044,FIND("-",CH1044,FIND("-",CH1044)+1)+1)-FIND("-",CH1044,FIND("-",CH1044)+1)-1))),""))</f>
        <v/>
      </c>
    </row>
    <row r="1045">
      <c r="CH1045">
        <f>IF(ISTEXT('월 가계부'!A1045),SUBSTITUTE(SUBSTITUTE(SUBSTITUTE(SUBSTITUTE(SUBSTITUTE(SUBSTITUTE(SUBSTITUTE(SUBSTITUTE(SUBSTITUTE(TRIM('월 가계부'!A1045),"년","-"),"월","-"),"일",""),".","-"),"/","-")," ","-"),"--","-"),"--","-"),"--","-")&amp;"-","")</f>
        <v/>
      </c>
      <c r="CI1045">
        <f>IFERROR(IF('월 가계부'!A1045="","",IF(ISNUMBER('월 가계부'!A1045),IF(AND('월 가계부'!A1045&gt;=19000101,'월 가계부'!A1045&lt;=21001231),IF(AND(MOD(INT('월 가계부'!A1045/100),100)&gt;=1,MOD(INT('월 가계부'!A1045/100),100)&lt;=12,MOD(INT('월 가계부'!A1045),100)&gt;=1,MOD(INT('월 가계부'!A1045),100)&lt;=31),IF(MONTH(DATE(INT('월 가계부'!A1045/10000),MOD(INT('월 가계부'!A1045/100),100),MOD(INT('월 가계부'!A1045),100)))=MOD(INT('월 가계부'!A1045/100),100),DATE(INT('월 가계부'!A1045/10000),MOD(INT('월 가계부'!A1045/100),100),MOD(INT('월 가계부'!A1045),100)),""),""),IF(AND('월 가계부'!A1045&gt;=36526,'월 가계부'!A1045&lt;73051),INT('월 가계부'!A1045),"")),IF(OR(CM1045="",CN1045="",CO1045=""),"",IF(AND(CM1045&gt;=2000,CM1045&lt;=2099,CN1045&gt;=1,CN1045&lt;=12,CO1045&gt;=1,CO1045&lt;=31),IF(MONTH(DATE(CM1045,CN1045,CO1045))=CN1045,DATE(CM1045,CN1045,CO1045),""),"")))),"")</f>
        <v/>
      </c>
      <c r="CJ1045">
        <f>IFERROR(IF('월 가계부'!C1045="","",IF(ISNUMBER('월 가계부'!C1045),'월 가계부'!C1045,VALUE(SUBSTITUTE(SUBSTITUTE(SUBSTITUTE(SUBSTITUTE(TRIM('월 가계부'!C1045),",",""),"원","")," ",""),"−","-")))),"")</f>
        <v/>
      </c>
      <c r="CK1045">
        <f>IF(ISNUMBER(CI1045),IF(CI1045&lt;$B$13,CI1045,""),"")</f>
        <v/>
      </c>
      <c r="CM1045">
        <f>IF(CH1045="","",IFERROR(IF(IF(AND(LEN(CH1045)=9,ISERROR(FIND("-",LEFT(CH1045,8))),ISNUMBER(-LEFT(CH1045,8))),VALUE(LEFT(CH1045,4)),VALUE(LEFT(CH1045,FIND("-",CH1045)-1)))&lt;100,IF(AND(LEN(CH1045)=9,ISERROR(FIND("-",LEFT(CH1045,8))),ISNUMBER(-LEFT(CH1045,8))),VALUE(LEFT(CH1045,4)),VALUE(LEFT(CH1045,FIND("-",CH1045)-1)))+2000,IF(AND(LEN(CH1045)=9,ISERROR(FIND("-",LEFT(CH1045,8))),ISNUMBER(-LEFT(CH1045,8))),VALUE(LEFT(CH1045,4)),VALUE(LEFT(CH1045,FIND("-",CH1045)-1)))),""))</f>
        <v/>
      </c>
      <c r="CN1045">
        <f>IF(CH1045="","",IFERROR(IF(AND(LEN(CH1045)=9,ISERROR(FIND("-",LEFT(CH1045,8))),ISNUMBER(-LEFT(CH1045,8))),VALUE(MID(CH1045,5,2)),VALUE(MID(CH1045,FIND("-",CH1045)+1,FIND("-",CH1045,FIND("-",CH1045)+1)-FIND("-",CH1045)-1))),""))</f>
        <v/>
      </c>
      <c r="CO1045">
        <f>IF(CH1045="","",IFERROR(IF(AND(LEN(CH1045)=9,ISERROR(FIND("-",LEFT(CH1045,8))),ISNUMBER(-LEFT(CH1045,8))),VALUE(MID(CH1045,7,2)),VALUE(MID(CH1045,FIND("-",CH1045,FIND("-",CH1045)+1)+1,FIND("-",CH1045,FIND("-",CH1045,FIND("-",CH1045)+1)+1)-FIND("-",CH1045,FIND("-",CH1045)+1)-1))),""))</f>
        <v/>
      </c>
    </row>
    <row r="1046">
      <c r="CH1046">
        <f>IF(ISTEXT('월 가계부'!A1046),SUBSTITUTE(SUBSTITUTE(SUBSTITUTE(SUBSTITUTE(SUBSTITUTE(SUBSTITUTE(SUBSTITUTE(SUBSTITUTE(SUBSTITUTE(TRIM('월 가계부'!A1046),"년","-"),"월","-"),"일",""),".","-"),"/","-")," ","-"),"--","-"),"--","-"),"--","-")&amp;"-","")</f>
        <v/>
      </c>
      <c r="CI1046">
        <f>IFERROR(IF('월 가계부'!A1046="","",IF(ISNUMBER('월 가계부'!A1046),IF(AND('월 가계부'!A1046&gt;=19000101,'월 가계부'!A1046&lt;=21001231),IF(AND(MOD(INT('월 가계부'!A1046/100),100)&gt;=1,MOD(INT('월 가계부'!A1046/100),100)&lt;=12,MOD(INT('월 가계부'!A1046),100)&gt;=1,MOD(INT('월 가계부'!A1046),100)&lt;=31),IF(MONTH(DATE(INT('월 가계부'!A1046/10000),MOD(INT('월 가계부'!A1046/100),100),MOD(INT('월 가계부'!A1046),100)))=MOD(INT('월 가계부'!A1046/100),100),DATE(INT('월 가계부'!A1046/10000),MOD(INT('월 가계부'!A1046/100),100),MOD(INT('월 가계부'!A1046),100)),""),""),IF(AND('월 가계부'!A1046&gt;=36526,'월 가계부'!A1046&lt;73051),INT('월 가계부'!A1046),"")),IF(OR(CM1046="",CN1046="",CO1046=""),"",IF(AND(CM1046&gt;=2000,CM1046&lt;=2099,CN1046&gt;=1,CN1046&lt;=12,CO1046&gt;=1,CO1046&lt;=31),IF(MONTH(DATE(CM1046,CN1046,CO1046))=CN1046,DATE(CM1046,CN1046,CO1046),""),"")))),"")</f>
        <v/>
      </c>
      <c r="CJ1046">
        <f>IFERROR(IF('월 가계부'!C1046="","",IF(ISNUMBER('월 가계부'!C1046),'월 가계부'!C1046,VALUE(SUBSTITUTE(SUBSTITUTE(SUBSTITUTE(SUBSTITUTE(TRIM('월 가계부'!C1046),",",""),"원","")," ",""),"−","-")))),"")</f>
        <v/>
      </c>
      <c r="CK1046">
        <f>IF(ISNUMBER(CI1046),IF(CI1046&lt;$B$13,CI1046,""),"")</f>
        <v/>
      </c>
      <c r="CM1046">
        <f>IF(CH1046="","",IFERROR(IF(IF(AND(LEN(CH1046)=9,ISERROR(FIND("-",LEFT(CH1046,8))),ISNUMBER(-LEFT(CH1046,8))),VALUE(LEFT(CH1046,4)),VALUE(LEFT(CH1046,FIND("-",CH1046)-1)))&lt;100,IF(AND(LEN(CH1046)=9,ISERROR(FIND("-",LEFT(CH1046,8))),ISNUMBER(-LEFT(CH1046,8))),VALUE(LEFT(CH1046,4)),VALUE(LEFT(CH1046,FIND("-",CH1046)-1)))+2000,IF(AND(LEN(CH1046)=9,ISERROR(FIND("-",LEFT(CH1046,8))),ISNUMBER(-LEFT(CH1046,8))),VALUE(LEFT(CH1046,4)),VALUE(LEFT(CH1046,FIND("-",CH1046)-1)))),""))</f>
        <v/>
      </c>
      <c r="CN1046">
        <f>IF(CH1046="","",IFERROR(IF(AND(LEN(CH1046)=9,ISERROR(FIND("-",LEFT(CH1046,8))),ISNUMBER(-LEFT(CH1046,8))),VALUE(MID(CH1046,5,2)),VALUE(MID(CH1046,FIND("-",CH1046)+1,FIND("-",CH1046,FIND("-",CH1046)+1)-FIND("-",CH1046)-1))),""))</f>
        <v/>
      </c>
      <c r="CO1046">
        <f>IF(CH1046="","",IFERROR(IF(AND(LEN(CH1046)=9,ISERROR(FIND("-",LEFT(CH1046,8))),ISNUMBER(-LEFT(CH1046,8))),VALUE(MID(CH1046,7,2)),VALUE(MID(CH1046,FIND("-",CH1046,FIND("-",CH1046)+1)+1,FIND("-",CH1046,FIND("-",CH1046,FIND("-",CH1046)+1)+1)-FIND("-",CH1046,FIND("-",CH1046)+1)-1))),""))</f>
        <v/>
      </c>
    </row>
    <row r="1047">
      <c r="CH1047">
        <f>IF(ISTEXT('월 가계부'!A1047),SUBSTITUTE(SUBSTITUTE(SUBSTITUTE(SUBSTITUTE(SUBSTITUTE(SUBSTITUTE(SUBSTITUTE(SUBSTITUTE(SUBSTITUTE(TRIM('월 가계부'!A1047),"년","-"),"월","-"),"일",""),".","-"),"/","-")," ","-"),"--","-"),"--","-"),"--","-")&amp;"-","")</f>
        <v/>
      </c>
      <c r="CI1047">
        <f>IFERROR(IF('월 가계부'!A1047="","",IF(ISNUMBER('월 가계부'!A1047),IF(AND('월 가계부'!A1047&gt;=19000101,'월 가계부'!A1047&lt;=21001231),IF(AND(MOD(INT('월 가계부'!A1047/100),100)&gt;=1,MOD(INT('월 가계부'!A1047/100),100)&lt;=12,MOD(INT('월 가계부'!A1047),100)&gt;=1,MOD(INT('월 가계부'!A1047),100)&lt;=31),IF(MONTH(DATE(INT('월 가계부'!A1047/10000),MOD(INT('월 가계부'!A1047/100),100),MOD(INT('월 가계부'!A1047),100)))=MOD(INT('월 가계부'!A1047/100),100),DATE(INT('월 가계부'!A1047/10000),MOD(INT('월 가계부'!A1047/100),100),MOD(INT('월 가계부'!A1047),100)),""),""),IF(AND('월 가계부'!A1047&gt;=36526,'월 가계부'!A1047&lt;73051),INT('월 가계부'!A1047),"")),IF(OR(CM1047="",CN1047="",CO1047=""),"",IF(AND(CM1047&gt;=2000,CM1047&lt;=2099,CN1047&gt;=1,CN1047&lt;=12,CO1047&gt;=1,CO1047&lt;=31),IF(MONTH(DATE(CM1047,CN1047,CO1047))=CN1047,DATE(CM1047,CN1047,CO1047),""),"")))),"")</f>
        <v/>
      </c>
      <c r="CJ1047">
        <f>IFERROR(IF('월 가계부'!C1047="","",IF(ISNUMBER('월 가계부'!C1047),'월 가계부'!C1047,VALUE(SUBSTITUTE(SUBSTITUTE(SUBSTITUTE(SUBSTITUTE(TRIM('월 가계부'!C1047),",",""),"원","")," ",""),"−","-")))),"")</f>
        <v/>
      </c>
      <c r="CK1047">
        <f>IF(ISNUMBER(CI1047),IF(CI1047&lt;$B$13,CI1047,""),"")</f>
        <v/>
      </c>
      <c r="CM1047">
        <f>IF(CH1047="","",IFERROR(IF(IF(AND(LEN(CH1047)=9,ISERROR(FIND("-",LEFT(CH1047,8))),ISNUMBER(-LEFT(CH1047,8))),VALUE(LEFT(CH1047,4)),VALUE(LEFT(CH1047,FIND("-",CH1047)-1)))&lt;100,IF(AND(LEN(CH1047)=9,ISERROR(FIND("-",LEFT(CH1047,8))),ISNUMBER(-LEFT(CH1047,8))),VALUE(LEFT(CH1047,4)),VALUE(LEFT(CH1047,FIND("-",CH1047)-1)))+2000,IF(AND(LEN(CH1047)=9,ISERROR(FIND("-",LEFT(CH1047,8))),ISNUMBER(-LEFT(CH1047,8))),VALUE(LEFT(CH1047,4)),VALUE(LEFT(CH1047,FIND("-",CH1047)-1)))),""))</f>
        <v/>
      </c>
      <c r="CN1047">
        <f>IF(CH1047="","",IFERROR(IF(AND(LEN(CH1047)=9,ISERROR(FIND("-",LEFT(CH1047,8))),ISNUMBER(-LEFT(CH1047,8))),VALUE(MID(CH1047,5,2)),VALUE(MID(CH1047,FIND("-",CH1047)+1,FIND("-",CH1047,FIND("-",CH1047)+1)-FIND("-",CH1047)-1))),""))</f>
        <v/>
      </c>
      <c r="CO1047">
        <f>IF(CH1047="","",IFERROR(IF(AND(LEN(CH1047)=9,ISERROR(FIND("-",LEFT(CH1047,8))),ISNUMBER(-LEFT(CH1047,8))),VALUE(MID(CH1047,7,2)),VALUE(MID(CH1047,FIND("-",CH1047,FIND("-",CH1047)+1)+1,FIND("-",CH1047,FIND("-",CH1047,FIND("-",CH1047)+1)+1)-FIND("-",CH1047,FIND("-",CH1047)+1)-1))),""))</f>
        <v/>
      </c>
    </row>
    <row r="1048">
      <c r="CH1048">
        <f>IF(ISTEXT('월 가계부'!A1048),SUBSTITUTE(SUBSTITUTE(SUBSTITUTE(SUBSTITUTE(SUBSTITUTE(SUBSTITUTE(SUBSTITUTE(SUBSTITUTE(SUBSTITUTE(TRIM('월 가계부'!A1048),"년","-"),"월","-"),"일",""),".","-"),"/","-")," ","-"),"--","-"),"--","-"),"--","-")&amp;"-","")</f>
        <v/>
      </c>
      <c r="CI1048">
        <f>IFERROR(IF('월 가계부'!A1048="","",IF(ISNUMBER('월 가계부'!A1048),IF(AND('월 가계부'!A1048&gt;=19000101,'월 가계부'!A1048&lt;=21001231),IF(AND(MOD(INT('월 가계부'!A1048/100),100)&gt;=1,MOD(INT('월 가계부'!A1048/100),100)&lt;=12,MOD(INT('월 가계부'!A1048),100)&gt;=1,MOD(INT('월 가계부'!A1048),100)&lt;=31),IF(MONTH(DATE(INT('월 가계부'!A1048/10000),MOD(INT('월 가계부'!A1048/100),100),MOD(INT('월 가계부'!A1048),100)))=MOD(INT('월 가계부'!A1048/100),100),DATE(INT('월 가계부'!A1048/10000),MOD(INT('월 가계부'!A1048/100),100),MOD(INT('월 가계부'!A1048),100)),""),""),IF(AND('월 가계부'!A1048&gt;=36526,'월 가계부'!A1048&lt;73051),INT('월 가계부'!A1048),"")),IF(OR(CM1048="",CN1048="",CO1048=""),"",IF(AND(CM1048&gt;=2000,CM1048&lt;=2099,CN1048&gt;=1,CN1048&lt;=12,CO1048&gt;=1,CO1048&lt;=31),IF(MONTH(DATE(CM1048,CN1048,CO1048))=CN1048,DATE(CM1048,CN1048,CO1048),""),"")))),"")</f>
        <v/>
      </c>
      <c r="CJ1048">
        <f>IFERROR(IF('월 가계부'!C1048="","",IF(ISNUMBER('월 가계부'!C1048),'월 가계부'!C1048,VALUE(SUBSTITUTE(SUBSTITUTE(SUBSTITUTE(SUBSTITUTE(TRIM('월 가계부'!C1048),",",""),"원","")," ",""),"−","-")))),"")</f>
        <v/>
      </c>
      <c r="CK1048">
        <f>IF(ISNUMBER(CI1048),IF(CI1048&lt;$B$13,CI1048,""),"")</f>
        <v/>
      </c>
      <c r="CM1048">
        <f>IF(CH1048="","",IFERROR(IF(IF(AND(LEN(CH1048)=9,ISERROR(FIND("-",LEFT(CH1048,8))),ISNUMBER(-LEFT(CH1048,8))),VALUE(LEFT(CH1048,4)),VALUE(LEFT(CH1048,FIND("-",CH1048)-1)))&lt;100,IF(AND(LEN(CH1048)=9,ISERROR(FIND("-",LEFT(CH1048,8))),ISNUMBER(-LEFT(CH1048,8))),VALUE(LEFT(CH1048,4)),VALUE(LEFT(CH1048,FIND("-",CH1048)-1)))+2000,IF(AND(LEN(CH1048)=9,ISERROR(FIND("-",LEFT(CH1048,8))),ISNUMBER(-LEFT(CH1048,8))),VALUE(LEFT(CH1048,4)),VALUE(LEFT(CH1048,FIND("-",CH1048)-1)))),""))</f>
        <v/>
      </c>
      <c r="CN1048">
        <f>IF(CH1048="","",IFERROR(IF(AND(LEN(CH1048)=9,ISERROR(FIND("-",LEFT(CH1048,8))),ISNUMBER(-LEFT(CH1048,8))),VALUE(MID(CH1048,5,2)),VALUE(MID(CH1048,FIND("-",CH1048)+1,FIND("-",CH1048,FIND("-",CH1048)+1)-FIND("-",CH1048)-1))),""))</f>
        <v/>
      </c>
      <c r="CO1048">
        <f>IF(CH1048="","",IFERROR(IF(AND(LEN(CH1048)=9,ISERROR(FIND("-",LEFT(CH1048,8))),ISNUMBER(-LEFT(CH1048,8))),VALUE(MID(CH1048,7,2)),VALUE(MID(CH1048,FIND("-",CH1048,FIND("-",CH1048)+1)+1,FIND("-",CH1048,FIND("-",CH1048,FIND("-",CH1048)+1)+1)-FIND("-",CH1048,FIND("-",CH1048)+1)-1))),""))</f>
        <v/>
      </c>
    </row>
    <row r="1049">
      <c r="CH1049">
        <f>IF(ISTEXT('월 가계부'!A1049),SUBSTITUTE(SUBSTITUTE(SUBSTITUTE(SUBSTITUTE(SUBSTITUTE(SUBSTITUTE(SUBSTITUTE(SUBSTITUTE(SUBSTITUTE(TRIM('월 가계부'!A1049),"년","-"),"월","-"),"일",""),".","-"),"/","-")," ","-"),"--","-"),"--","-"),"--","-")&amp;"-","")</f>
        <v/>
      </c>
      <c r="CI1049">
        <f>IFERROR(IF('월 가계부'!A1049="","",IF(ISNUMBER('월 가계부'!A1049),IF(AND('월 가계부'!A1049&gt;=19000101,'월 가계부'!A1049&lt;=21001231),IF(AND(MOD(INT('월 가계부'!A1049/100),100)&gt;=1,MOD(INT('월 가계부'!A1049/100),100)&lt;=12,MOD(INT('월 가계부'!A1049),100)&gt;=1,MOD(INT('월 가계부'!A1049),100)&lt;=31),IF(MONTH(DATE(INT('월 가계부'!A1049/10000),MOD(INT('월 가계부'!A1049/100),100),MOD(INT('월 가계부'!A1049),100)))=MOD(INT('월 가계부'!A1049/100),100),DATE(INT('월 가계부'!A1049/10000),MOD(INT('월 가계부'!A1049/100),100),MOD(INT('월 가계부'!A1049),100)),""),""),IF(AND('월 가계부'!A1049&gt;=36526,'월 가계부'!A1049&lt;73051),INT('월 가계부'!A1049),"")),IF(OR(CM1049="",CN1049="",CO1049=""),"",IF(AND(CM1049&gt;=2000,CM1049&lt;=2099,CN1049&gt;=1,CN1049&lt;=12,CO1049&gt;=1,CO1049&lt;=31),IF(MONTH(DATE(CM1049,CN1049,CO1049))=CN1049,DATE(CM1049,CN1049,CO1049),""),"")))),"")</f>
        <v/>
      </c>
      <c r="CJ1049">
        <f>IFERROR(IF('월 가계부'!C1049="","",IF(ISNUMBER('월 가계부'!C1049),'월 가계부'!C1049,VALUE(SUBSTITUTE(SUBSTITUTE(SUBSTITUTE(SUBSTITUTE(TRIM('월 가계부'!C1049),",",""),"원","")," ",""),"−","-")))),"")</f>
        <v/>
      </c>
      <c r="CK1049">
        <f>IF(ISNUMBER(CI1049),IF(CI1049&lt;$B$13,CI1049,""),"")</f>
        <v/>
      </c>
      <c r="CM1049">
        <f>IF(CH1049="","",IFERROR(IF(IF(AND(LEN(CH1049)=9,ISERROR(FIND("-",LEFT(CH1049,8))),ISNUMBER(-LEFT(CH1049,8))),VALUE(LEFT(CH1049,4)),VALUE(LEFT(CH1049,FIND("-",CH1049)-1)))&lt;100,IF(AND(LEN(CH1049)=9,ISERROR(FIND("-",LEFT(CH1049,8))),ISNUMBER(-LEFT(CH1049,8))),VALUE(LEFT(CH1049,4)),VALUE(LEFT(CH1049,FIND("-",CH1049)-1)))+2000,IF(AND(LEN(CH1049)=9,ISERROR(FIND("-",LEFT(CH1049,8))),ISNUMBER(-LEFT(CH1049,8))),VALUE(LEFT(CH1049,4)),VALUE(LEFT(CH1049,FIND("-",CH1049)-1)))),""))</f>
        <v/>
      </c>
      <c r="CN1049">
        <f>IF(CH1049="","",IFERROR(IF(AND(LEN(CH1049)=9,ISERROR(FIND("-",LEFT(CH1049,8))),ISNUMBER(-LEFT(CH1049,8))),VALUE(MID(CH1049,5,2)),VALUE(MID(CH1049,FIND("-",CH1049)+1,FIND("-",CH1049,FIND("-",CH1049)+1)-FIND("-",CH1049)-1))),""))</f>
        <v/>
      </c>
      <c r="CO1049">
        <f>IF(CH1049="","",IFERROR(IF(AND(LEN(CH1049)=9,ISERROR(FIND("-",LEFT(CH1049,8))),ISNUMBER(-LEFT(CH1049,8))),VALUE(MID(CH1049,7,2)),VALUE(MID(CH1049,FIND("-",CH1049,FIND("-",CH1049)+1)+1,FIND("-",CH1049,FIND("-",CH1049,FIND("-",CH1049)+1)+1)-FIND("-",CH1049,FIND("-",CH1049)+1)-1))),""))</f>
        <v/>
      </c>
    </row>
    <row r="1050">
      <c r="CH1050">
        <f>IF(ISTEXT('월 가계부'!A1050),SUBSTITUTE(SUBSTITUTE(SUBSTITUTE(SUBSTITUTE(SUBSTITUTE(SUBSTITUTE(SUBSTITUTE(SUBSTITUTE(SUBSTITUTE(TRIM('월 가계부'!A1050),"년","-"),"월","-"),"일",""),".","-"),"/","-")," ","-"),"--","-"),"--","-"),"--","-")&amp;"-","")</f>
        <v/>
      </c>
      <c r="CI1050">
        <f>IFERROR(IF('월 가계부'!A1050="","",IF(ISNUMBER('월 가계부'!A1050),IF(AND('월 가계부'!A1050&gt;=19000101,'월 가계부'!A1050&lt;=21001231),IF(AND(MOD(INT('월 가계부'!A1050/100),100)&gt;=1,MOD(INT('월 가계부'!A1050/100),100)&lt;=12,MOD(INT('월 가계부'!A1050),100)&gt;=1,MOD(INT('월 가계부'!A1050),100)&lt;=31),IF(MONTH(DATE(INT('월 가계부'!A1050/10000),MOD(INT('월 가계부'!A1050/100),100),MOD(INT('월 가계부'!A1050),100)))=MOD(INT('월 가계부'!A1050/100),100),DATE(INT('월 가계부'!A1050/10000),MOD(INT('월 가계부'!A1050/100),100),MOD(INT('월 가계부'!A1050),100)),""),""),IF(AND('월 가계부'!A1050&gt;=36526,'월 가계부'!A1050&lt;73051),INT('월 가계부'!A1050),"")),IF(OR(CM1050="",CN1050="",CO1050=""),"",IF(AND(CM1050&gt;=2000,CM1050&lt;=2099,CN1050&gt;=1,CN1050&lt;=12,CO1050&gt;=1,CO1050&lt;=31),IF(MONTH(DATE(CM1050,CN1050,CO1050))=CN1050,DATE(CM1050,CN1050,CO1050),""),"")))),"")</f>
        <v/>
      </c>
      <c r="CJ1050">
        <f>IFERROR(IF('월 가계부'!C1050="","",IF(ISNUMBER('월 가계부'!C1050),'월 가계부'!C1050,VALUE(SUBSTITUTE(SUBSTITUTE(SUBSTITUTE(SUBSTITUTE(TRIM('월 가계부'!C1050),",",""),"원","")," ",""),"−","-")))),"")</f>
        <v/>
      </c>
      <c r="CK1050">
        <f>IF(ISNUMBER(CI1050),IF(CI1050&lt;$B$13,CI1050,""),"")</f>
        <v/>
      </c>
      <c r="CM1050">
        <f>IF(CH1050="","",IFERROR(IF(IF(AND(LEN(CH1050)=9,ISERROR(FIND("-",LEFT(CH1050,8))),ISNUMBER(-LEFT(CH1050,8))),VALUE(LEFT(CH1050,4)),VALUE(LEFT(CH1050,FIND("-",CH1050)-1)))&lt;100,IF(AND(LEN(CH1050)=9,ISERROR(FIND("-",LEFT(CH1050,8))),ISNUMBER(-LEFT(CH1050,8))),VALUE(LEFT(CH1050,4)),VALUE(LEFT(CH1050,FIND("-",CH1050)-1)))+2000,IF(AND(LEN(CH1050)=9,ISERROR(FIND("-",LEFT(CH1050,8))),ISNUMBER(-LEFT(CH1050,8))),VALUE(LEFT(CH1050,4)),VALUE(LEFT(CH1050,FIND("-",CH1050)-1)))),""))</f>
        <v/>
      </c>
      <c r="CN1050">
        <f>IF(CH1050="","",IFERROR(IF(AND(LEN(CH1050)=9,ISERROR(FIND("-",LEFT(CH1050,8))),ISNUMBER(-LEFT(CH1050,8))),VALUE(MID(CH1050,5,2)),VALUE(MID(CH1050,FIND("-",CH1050)+1,FIND("-",CH1050,FIND("-",CH1050)+1)-FIND("-",CH1050)-1))),""))</f>
        <v/>
      </c>
      <c r="CO1050">
        <f>IF(CH1050="","",IFERROR(IF(AND(LEN(CH1050)=9,ISERROR(FIND("-",LEFT(CH1050,8))),ISNUMBER(-LEFT(CH1050,8))),VALUE(MID(CH1050,7,2)),VALUE(MID(CH1050,FIND("-",CH1050,FIND("-",CH1050)+1)+1,FIND("-",CH1050,FIND("-",CH1050,FIND("-",CH1050)+1)+1)-FIND("-",CH1050,FIND("-",CH1050)+1)-1))),""))</f>
        <v/>
      </c>
    </row>
    <row r="1051">
      <c r="CH1051">
        <f>IF(ISTEXT('월 가계부'!A1051),SUBSTITUTE(SUBSTITUTE(SUBSTITUTE(SUBSTITUTE(SUBSTITUTE(SUBSTITUTE(SUBSTITUTE(SUBSTITUTE(SUBSTITUTE(TRIM('월 가계부'!A1051),"년","-"),"월","-"),"일",""),".","-"),"/","-")," ","-"),"--","-"),"--","-"),"--","-")&amp;"-","")</f>
        <v/>
      </c>
      <c r="CI1051">
        <f>IFERROR(IF('월 가계부'!A1051="","",IF(ISNUMBER('월 가계부'!A1051),IF(AND('월 가계부'!A1051&gt;=19000101,'월 가계부'!A1051&lt;=21001231),IF(AND(MOD(INT('월 가계부'!A1051/100),100)&gt;=1,MOD(INT('월 가계부'!A1051/100),100)&lt;=12,MOD(INT('월 가계부'!A1051),100)&gt;=1,MOD(INT('월 가계부'!A1051),100)&lt;=31),IF(MONTH(DATE(INT('월 가계부'!A1051/10000),MOD(INT('월 가계부'!A1051/100),100),MOD(INT('월 가계부'!A1051),100)))=MOD(INT('월 가계부'!A1051/100),100),DATE(INT('월 가계부'!A1051/10000),MOD(INT('월 가계부'!A1051/100),100),MOD(INT('월 가계부'!A1051),100)),""),""),IF(AND('월 가계부'!A1051&gt;=36526,'월 가계부'!A1051&lt;73051),INT('월 가계부'!A1051),"")),IF(OR(CM1051="",CN1051="",CO1051=""),"",IF(AND(CM1051&gt;=2000,CM1051&lt;=2099,CN1051&gt;=1,CN1051&lt;=12,CO1051&gt;=1,CO1051&lt;=31),IF(MONTH(DATE(CM1051,CN1051,CO1051))=CN1051,DATE(CM1051,CN1051,CO1051),""),"")))),"")</f>
        <v/>
      </c>
      <c r="CJ1051">
        <f>IFERROR(IF('월 가계부'!C1051="","",IF(ISNUMBER('월 가계부'!C1051),'월 가계부'!C1051,VALUE(SUBSTITUTE(SUBSTITUTE(SUBSTITUTE(SUBSTITUTE(TRIM('월 가계부'!C1051),",",""),"원","")," ",""),"−","-")))),"")</f>
        <v/>
      </c>
      <c r="CK1051">
        <f>IF(ISNUMBER(CI1051),IF(CI1051&lt;$B$13,CI1051,""),"")</f>
        <v/>
      </c>
      <c r="CM1051">
        <f>IF(CH1051="","",IFERROR(IF(IF(AND(LEN(CH1051)=9,ISERROR(FIND("-",LEFT(CH1051,8))),ISNUMBER(-LEFT(CH1051,8))),VALUE(LEFT(CH1051,4)),VALUE(LEFT(CH1051,FIND("-",CH1051)-1)))&lt;100,IF(AND(LEN(CH1051)=9,ISERROR(FIND("-",LEFT(CH1051,8))),ISNUMBER(-LEFT(CH1051,8))),VALUE(LEFT(CH1051,4)),VALUE(LEFT(CH1051,FIND("-",CH1051)-1)))+2000,IF(AND(LEN(CH1051)=9,ISERROR(FIND("-",LEFT(CH1051,8))),ISNUMBER(-LEFT(CH1051,8))),VALUE(LEFT(CH1051,4)),VALUE(LEFT(CH1051,FIND("-",CH1051)-1)))),""))</f>
        <v/>
      </c>
      <c r="CN1051">
        <f>IF(CH1051="","",IFERROR(IF(AND(LEN(CH1051)=9,ISERROR(FIND("-",LEFT(CH1051,8))),ISNUMBER(-LEFT(CH1051,8))),VALUE(MID(CH1051,5,2)),VALUE(MID(CH1051,FIND("-",CH1051)+1,FIND("-",CH1051,FIND("-",CH1051)+1)-FIND("-",CH1051)-1))),""))</f>
        <v/>
      </c>
      <c r="CO1051">
        <f>IF(CH1051="","",IFERROR(IF(AND(LEN(CH1051)=9,ISERROR(FIND("-",LEFT(CH1051,8))),ISNUMBER(-LEFT(CH1051,8))),VALUE(MID(CH1051,7,2)),VALUE(MID(CH1051,FIND("-",CH1051,FIND("-",CH1051)+1)+1,FIND("-",CH1051,FIND("-",CH1051,FIND("-",CH1051)+1)+1)-FIND("-",CH1051,FIND("-",CH1051)+1)-1))),""))</f>
        <v/>
      </c>
    </row>
    <row r="1052">
      <c r="CH1052">
        <f>IF(ISTEXT('월 가계부'!A1052),SUBSTITUTE(SUBSTITUTE(SUBSTITUTE(SUBSTITUTE(SUBSTITUTE(SUBSTITUTE(SUBSTITUTE(SUBSTITUTE(SUBSTITUTE(TRIM('월 가계부'!A1052),"년","-"),"월","-"),"일",""),".","-"),"/","-")," ","-"),"--","-"),"--","-"),"--","-")&amp;"-","")</f>
        <v/>
      </c>
      <c r="CI1052">
        <f>IFERROR(IF('월 가계부'!A1052="","",IF(ISNUMBER('월 가계부'!A1052),IF(AND('월 가계부'!A1052&gt;=19000101,'월 가계부'!A1052&lt;=21001231),IF(AND(MOD(INT('월 가계부'!A1052/100),100)&gt;=1,MOD(INT('월 가계부'!A1052/100),100)&lt;=12,MOD(INT('월 가계부'!A1052),100)&gt;=1,MOD(INT('월 가계부'!A1052),100)&lt;=31),IF(MONTH(DATE(INT('월 가계부'!A1052/10000),MOD(INT('월 가계부'!A1052/100),100),MOD(INT('월 가계부'!A1052),100)))=MOD(INT('월 가계부'!A1052/100),100),DATE(INT('월 가계부'!A1052/10000),MOD(INT('월 가계부'!A1052/100),100),MOD(INT('월 가계부'!A1052),100)),""),""),IF(AND('월 가계부'!A1052&gt;=36526,'월 가계부'!A1052&lt;73051),INT('월 가계부'!A1052),"")),IF(OR(CM1052="",CN1052="",CO1052=""),"",IF(AND(CM1052&gt;=2000,CM1052&lt;=2099,CN1052&gt;=1,CN1052&lt;=12,CO1052&gt;=1,CO1052&lt;=31),IF(MONTH(DATE(CM1052,CN1052,CO1052))=CN1052,DATE(CM1052,CN1052,CO1052),""),"")))),"")</f>
        <v/>
      </c>
      <c r="CJ1052">
        <f>IFERROR(IF('월 가계부'!C1052="","",IF(ISNUMBER('월 가계부'!C1052),'월 가계부'!C1052,VALUE(SUBSTITUTE(SUBSTITUTE(SUBSTITUTE(SUBSTITUTE(TRIM('월 가계부'!C1052),",",""),"원","")," ",""),"−","-")))),"")</f>
        <v/>
      </c>
      <c r="CK1052">
        <f>IF(ISNUMBER(CI1052),IF(CI1052&lt;$B$13,CI1052,""),"")</f>
        <v/>
      </c>
      <c r="CM1052">
        <f>IF(CH1052="","",IFERROR(IF(IF(AND(LEN(CH1052)=9,ISERROR(FIND("-",LEFT(CH1052,8))),ISNUMBER(-LEFT(CH1052,8))),VALUE(LEFT(CH1052,4)),VALUE(LEFT(CH1052,FIND("-",CH1052)-1)))&lt;100,IF(AND(LEN(CH1052)=9,ISERROR(FIND("-",LEFT(CH1052,8))),ISNUMBER(-LEFT(CH1052,8))),VALUE(LEFT(CH1052,4)),VALUE(LEFT(CH1052,FIND("-",CH1052)-1)))+2000,IF(AND(LEN(CH1052)=9,ISERROR(FIND("-",LEFT(CH1052,8))),ISNUMBER(-LEFT(CH1052,8))),VALUE(LEFT(CH1052,4)),VALUE(LEFT(CH1052,FIND("-",CH1052)-1)))),""))</f>
        <v/>
      </c>
      <c r="CN1052">
        <f>IF(CH1052="","",IFERROR(IF(AND(LEN(CH1052)=9,ISERROR(FIND("-",LEFT(CH1052,8))),ISNUMBER(-LEFT(CH1052,8))),VALUE(MID(CH1052,5,2)),VALUE(MID(CH1052,FIND("-",CH1052)+1,FIND("-",CH1052,FIND("-",CH1052)+1)-FIND("-",CH1052)-1))),""))</f>
        <v/>
      </c>
      <c r="CO1052">
        <f>IF(CH1052="","",IFERROR(IF(AND(LEN(CH1052)=9,ISERROR(FIND("-",LEFT(CH1052,8))),ISNUMBER(-LEFT(CH1052,8))),VALUE(MID(CH1052,7,2)),VALUE(MID(CH1052,FIND("-",CH1052,FIND("-",CH1052)+1)+1,FIND("-",CH1052,FIND("-",CH1052,FIND("-",CH1052)+1)+1)-FIND("-",CH1052,FIND("-",CH1052)+1)-1))),""))</f>
        <v/>
      </c>
    </row>
    <row r="1053">
      <c r="CH1053">
        <f>IF(ISTEXT('월 가계부'!A1053),SUBSTITUTE(SUBSTITUTE(SUBSTITUTE(SUBSTITUTE(SUBSTITUTE(SUBSTITUTE(SUBSTITUTE(SUBSTITUTE(SUBSTITUTE(TRIM('월 가계부'!A1053),"년","-"),"월","-"),"일",""),".","-"),"/","-")," ","-"),"--","-"),"--","-"),"--","-")&amp;"-","")</f>
        <v/>
      </c>
      <c r="CI1053">
        <f>IFERROR(IF('월 가계부'!A1053="","",IF(ISNUMBER('월 가계부'!A1053),IF(AND('월 가계부'!A1053&gt;=19000101,'월 가계부'!A1053&lt;=21001231),IF(AND(MOD(INT('월 가계부'!A1053/100),100)&gt;=1,MOD(INT('월 가계부'!A1053/100),100)&lt;=12,MOD(INT('월 가계부'!A1053),100)&gt;=1,MOD(INT('월 가계부'!A1053),100)&lt;=31),IF(MONTH(DATE(INT('월 가계부'!A1053/10000),MOD(INT('월 가계부'!A1053/100),100),MOD(INT('월 가계부'!A1053),100)))=MOD(INT('월 가계부'!A1053/100),100),DATE(INT('월 가계부'!A1053/10000),MOD(INT('월 가계부'!A1053/100),100),MOD(INT('월 가계부'!A1053),100)),""),""),IF(AND('월 가계부'!A1053&gt;=36526,'월 가계부'!A1053&lt;73051),INT('월 가계부'!A1053),"")),IF(OR(CM1053="",CN1053="",CO1053=""),"",IF(AND(CM1053&gt;=2000,CM1053&lt;=2099,CN1053&gt;=1,CN1053&lt;=12,CO1053&gt;=1,CO1053&lt;=31),IF(MONTH(DATE(CM1053,CN1053,CO1053))=CN1053,DATE(CM1053,CN1053,CO1053),""),"")))),"")</f>
        <v/>
      </c>
      <c r="CJ1053">
        <f>IFERROR(IF('월 가계부'!C1053="","",IF(ISNUMBER('월 가계부'!C1053),'월 가계부'!C1053,VALUE(SUBSTITUTE(SUBSTITUTE(SUBSTITUTE(SUBSTITUTE(TRIM('월 가계부'!C1053),",",""),"원","")," ",""),"−","-")))),"")</f>
        <v/>
      </c>
      <c r="CK1053">
        <f>IF(ISNUMBER(CI1053),IF(CI1053&lt;$B$13,CI1053,""),"")</f>
        <v/>
      </c>
      <c r="CM1053">
        <f>IF(CH1053="","",IFERROR(IF(IF(AND(LEN(CH1053)=9,ISERROR(FIND("-",LEFT(CH1053,8))),ISNUMBER(-LEFT(CH1053,8))),VALUE(LEFT(CH1053,4)),VALUE(LEFT(CH1053,FIND("-",CH1053)-1)))&lt;100,IF(AND(LEN(CH1053)=9,ISERROR(FIND("-",LEFT(CH1053,8))),ISNUMBER(-LEFT(CH1053,8))),VALUE(LEFT(CH1053,4)),VALUE(LEFT(CH1053,FIND("-",CH1053)-1)))+2000,IF(AND(LEN(CH1053)=9,ISERROR(FIND("-",LEFT(CH1053,8))),ISNUMBER(-LEFT(CH1053,8))),VALUE(LEFT(CH1053,4)),VALUE(LEFT(CH1053,FIND("-",CH1053)-1)))),""))</f>
        <v/>
      </c>
      <c r="CN1053">
        <f>IF(CH1053="","",IFERROR(IF(AND(LEN(CH1053)=9,ISERROR(FIND("-",LEFT(CH1053,8))),ISNUMBER(-LEFT(CH1053,8))),VALUE(MID(CH1053,5,2)),VALUE(MID(CH1053,FIND("-",CH1053)+1,FIND("-",CH1053,FIND("-",CH1053)+1)-FIND("-",CH1053)-1))),""))</f>
        <v/>
      </c>
      <c r="CO1053">
        <f>IF(CH1053="","",IFERROR(IF(AND(LEN(CH1053)=9,ISERROR(FIND("-",LEFT(CH1053,8))),ISNUMBER(-LEFT(CH1053,8))),VALUE(MID(CH1053,7,2)),VALUE(MID(CH1053,FIND("-",CH1053,FIND("-",CH1053)+1)+1,FIND("-",CH1053,FIND("-",CH1053,FIND("-",CH1053)+1)+1)-FIND("-",CH1053,FIND("-",CH1053)+1)-1))),""))</f>
        <v/>
      </c>
    </row>
    <row r="1054">
      <c r="CH1054">
        <f>IF(ISTEXT('월 가계부'!A1054),SUBSTITUTE(SUBSTITUTE(SUBSTITUTE(SUBSTITUTE(SUBSTITUTE(SUBSTITUTE(SUBSTITUTE(SUBSTITUTE(SUBSTITUTE(TRIM('월 가계부'!A1054),"년","-"),"월","-"),"일",""),".","-"),"/","-")," ","-"),"--","-"),"--","-"),"--","-")&amp;"-","")</f>
        <v/>
      </c>
      <c r="CI1054">
        <f>IFERROR(IF('월 가계부'!A1054="","",IF(ISNUMBER('월 가계부'!A1054),IF(AND('월 가계부'!A1054&gt;=19000101,'월 가계부'!A1054&lt;=21001231),IF(AND(MOD(INT('월 가계부'!A1054/100),100)&gt;=1,MOD(INT('월 가계부'!A1054/100),100)&lt;=12,MOD(INT('월 가계부'!A1054),100)&gt;=1,MOD(INT('월 가계부'!A1054),100)&lt;=31),IF(MONTH(DATE(INT('월 가계부'!A1054/10000),MOD(INT('월 가계부'!A1054/100),100),MOD(INT('월 가계부'!A1054),100)))=MOD(INT('월 가계부'!A1054/100),100),DATE(INT('월 가계부'!A1054/10000),MOD(INT('월 가계부'!A1054/100),100),MOD(INT('월 가계부'!A1054),100)),""),""),IF(AND('월 가계부'!A1054&gt;=36526,'월 가계부'!A1054&lt;73051),INT('월 가계부'!A1054),"")),IF(OR(CM1054="",CN1054="",CO1054=""),"",IF(AND(CM1054&gt;=2000,CM1054&lt;=2099,CN1054&gt;=1,CN1054&lt;=12,CO1054&gt;=1,CO1054&lt;=31),IF(MONTH(DATE(CM1054,CN1054,CO1054))=CN1054,DATE(CM1054,CN1054,CO1054),""),"")))),"")</f>
        <v/>
      </c>
      <c r="CJ1054">
        <f>IFERROR(IF('월 가계부'!C1054="","",IF(ISNUMBER('월 가계부'!C1054),'월 가계부'!C1054,VALUE(SUBSTITUTE(SUBSTITUTE(SUBSTITUTE(SUBSTITUTE(TRIM('월 가계부'!C1054),",",""),"원","")," ",""),"−","-")))),"")</f>
        <v/>
      </c>
      <c r="CK1054">
        <f>IF(ISNUMBER(CI1054),IF(CI1054&lt;$B$13,CI1054,""),"")</f>
        <v/>
      </c>
      <c r="CM1054">
        <f>IF(CH1054="","",IFERROR(IF(IF(AND(LEN(CH1054)=9,ISERROR(FIND("-",LEFT(CH1054,8))),ISNUMBER(-LEFT(CH1054,8))),VALUE(LEFT(CH1054,4)),VALUE(LEFT(CH1054,FIND("-",CH1054)-1)))&lt;100,IF(AND(LEN(CH1054)=9,ISERROR(FIND("-",LEFT(CH1054,8))),ISNUMBER(-LEFT(CH1054,8))),VALUE(LEFT(CH1054,4)),VALUE(LEFT(CH1054,FIND("-",CH1054)-1)))+2000,IF(AND(LEN(CH1054)=9,ISERROR(FIND("-",LEFT(CH1054,8))),ISNUMBER(-LEFT(CH1054,8))),VALUE(LEFT(CH1054,4)),VALUE(LEFT(CH1054,FIND("-",CH1054)-1)))),""))</f>
        <v/>
      </c>
      <c r="CN1054">
        <f>IF(CH1054="","",IFERROR(IF(AND(LEN(CH1054)=9,ISERROR(FIND("-",LEFT(CH1054,8))),ISNUMBER(-LEFT(CH1054,8))),VALUE(MID(CH1054,5,2)),VALUE(MID(CH1054,FIND("-",CH1054)+1,FIND("-",CH1054,FIND("-",CH1054)+1)-FIND("-",CH1054)-1))),""))</f>
        <v/>
      </c>
      <c r="CO1054">
        <f>IF(CH1054="","",IFERROR(IF(AND(LEN(CH1054)=9,ISERROR(FIND("-",LEFT(CH1054,8))),ISNUMBER(-LEFT(CH1054,8))),VALUE(MID(CH1054,7,2)),VALUE(MID(CH1054,FIND("-",CH1054,FIND("-",CH1054)+1)+1,FIND("-",CH1054,FIND("-",CH1054,FIND("-",CH1054)+1)+1)-FIND("-",CH1054,FIND("-",CH1054)+1)-1))),""))</f>
        <v/>
      </c>
    </row>
    <row r="1055">
      <c r="CH1055">
        <f>IF(ISTEXT('월 가계부'!A1055),SUBSTITUTE(SUBSTITUTE(SUBSTITUTE(SUBSTITUTE(SUBSTITUTE(SUBSTITUTE(SUBSTITUTE(SUBSTITUTE(SUBSTITUTE(TRIM('월 가계부'!A1055),"년","-"),"월","-"),"일",""),".","-"),"/","-")," ","-"),"--","-"),"--","-"),"--","-")&amp;"-","")</f>
        <v/>
      </c>
      <c r="CI1055">
        <f>IFERROR(IF('월 가계부'!A1055="","",IF(ISNUMBER('월 가계부'!A1055),IF(AND('월 가계부'!A1055&gt;=19000101,'월 가계부'!A1055&lt;=21001231),IF(AND(MOD(INT('월 가계부'!A1055/100),100)&gt;=1,MOD(INT('월 가계부'!A1055/100),100)&lt;=12,MOD(INT('월 가계부'!A1055),100)&gt;=1,MOD(INT('월 가계부'!A1055),100)&lt;=31),IF(MONTH(DATE(INT('월 가계부'!A1055/10000),MOD(INT('월 가계부'!A1055/100),100),MOD(INT('월 가계부'!A1055),100)))=MOD(INT('월 가계부'!A1055/100),100),DATE(INT('월 가계부'!A1055/10000),MOD(INT('월 가계부'!A1055/100),100),MOD(INT('월 가계부'!A1055),100)),""),""),IF(AND('월 가계부'!A1055&gt;=36526,'월 가계부'!A1055&lt;73051),INT('월 가계부'!A1055),"")),IF(OR(CM1055="",CN1055="",CO1055=""),"",IF(AND(CM1055&gt;=2000,CM1055&lt;=2099,CN1055&gt;=1,CN1055&lt;=12,CO1055&gt;=1,CO1055&lt;=31),IF(MONTH(DATE(CM1055,CN1055,CO1055))=CN1055,DATE(CM1055,CN1055,CO1055),""),"")))),"")</f>
        <v/>
      </c>
      <c r="CJ1055">
        <f>IFERROR(IF('월 가계부'!C1055="","",IF(ISNUMBER('월 가계부'!C1055),'월 가계부'!C1055,VALUE(SUBSTITUTE(SUBSTITUTE(SUBSTITUTE(SUBSTITUTE(TRIM('월 가계부'!C1055),",",""),"원","")," ",""),"−","-")))),"")</f>
        <v/>
      </c>
      <c r="CK1055">
        <f>IF(ISNUMBER(CI1055),IF(CI1055&lt;$B$13,CI1055,""),"")</f>
        <v/>
      </c>
      <c r="CM1055">
        <f>IF(CH1055="","",IFERROR(IF(IF(AND(LEN(CH1055)=9,ISERROR(FIND("-",LEFT(CH1055,8))),ISNUMBER(-LEFT(CH1055,8))),VALUE(LEFT(CH1055,4)),VALUE(LEFT(CH1055,FIND("-",CH1055)-1)))&lt;100,IF(AND(LEN(CH1055)=9,ISERROR(FIND("-",LEFT(CH1055,8))),ISNUMBER(-LEFT(CH1055,8))),VALUE(LEFT(CH1055,4)),VALUE(LEFT(CH1055,FIND("-",CH1055)-1)))+2000,IF(AND(LEN(CH1055)=9,ISERROR(FIND("-",LEFT(CH1055,8))),ISNUMBER(-LEFT(CH1055,8))),VALUE(LEFT(CH1055,4)),VALUE(LEFT(CH1055,FIND("-",CH1055)-1)))),""))</f>
        <v/>
      </c>
      <c r="CN1055">
        <f>IF(CH1055="","",IFERROR(IF(AND(LEN(CH1055)=9,ISERROR(FIND("-",LEFT(CH1055,8))),ISNUMBER(-LEFT(CH1055,8))),VALUE(MID(CH1055,5,2)),VALUE(MID(CH1055,FIND("-",CH1055)+1,FIND("-",CH1055,FIND("-",CH1055)+1)-FIND("-",CH1055)-1))),""))</f>
        <v/>
      </c>
      <c r="CO1055">
        <f>IF(CH1055="","",IFERROR(IF(AND(LEN(CH1055)=9,ISERROR(FIND("-",LEFT(CH1055,8))),ISNUMBER(-LEFT(CH1055,8))),VALUE(MID(CH1055,7,2)),VALUE(MID(CH1055,FIND("-",CH1055,FIND("-",CH1055)+1)+1,FIND("-",CH1055,FIND("-",CH1055,FIND("-",CH1055)+1)+1)-FIND("-",CH1055,FIND("-",CH1055)+1)-1))),""))</f>
        <v/>
      </c>
    </row>
    <row r="1056">
      <c r="CH1056">
        <f>IF(ISTEXT('월 가계부'!A1056),SUBSTITUTE(SUBSTITUTE(SUBSTITUTE(SUBSTITUTE(SUBSTITUTE(SUBSTITUTE(SUBSTITUTE(SUBSTITUTE(SUBSTITUTE(TRIM('월 가계부'!A1056),"년","-"),"월","-"),"일",""),".","-"),"/","-")," ","-"),"--","-"),"--","-"),"--","-")&amp;"-","")</f>
        <v/>
      </c>
      <c r="CI1056">
        <f>IFERROR(IF('월 가계부'!A1056="","",IF(ISNUMBER('월 가계부'!A1056),IF(AND('월 가계부'!A1056&gt;=19000101,'월 가계부'!A1056&lt;=21001231),IF(AND(MOD(INT('월 가계부'!A1056/100),100)&gt;=1,MOD(INT('월 가계부'!A1056/100),100)&lt;=12,MOD(INT('월 가계부'!A1056),100)&gt;=1,MOD(INT('월 가계부'!A1056),100)&lt;=31),IF(MONTH(DATE(INT('월 가계부'!A1056/10000),MOD(INT('월 가계부'!A1056/100),100),MOD(INT('월 가계부'!A1056),100)))=MOD(INT('월 가계부'!A1056/100),100),DATE(INT('월 가계부'!A1056/10000),MOD(INT('월 가계부'!A1056/100),100),MOD(INT('월 가계부'!A1056),100)),""),""),IF(AND('월 가계부'!A1056&gt;=36526,'월 가계부'!A1056&lt;73051),INT('월 가계부'!A1056),"")),IF(OR(CM1056="",CN1056="",CO1056=""),"",IF(AND(CM1056&gt;=2000,CM1056&lt;=2099,CN1056&gt;=1,CN1056&lt;=12,CO1056&gt;=1,CO1056&lt;=31),IF(MONTH(DATE(CM1056,CN1056,CO1056))=CN1056,DATE(CM1056,CN1056,CO1056),""),"")))),"")</f>
        <v/>
      </c>
      <c r="CJ1056">
        <f>IFERROR(IF('월 가계부'!C1056="","",IF(ISNUMBER('월 가계부'!C1056),'월 가계부'!C1056,VALUE(SUBSTITUTE(SUBSTITUTE(SUBSTITUTE(SUBSTITUTE(TRIM('월 가계부'!C1056),",",""),"원","")," ",""),"−","-")))),"")</f>
        <v/>
      </c>
      <c r="CK1056">
        <f>IF(ISNUMBER(CI1056),IF(CI1056&lt;$B$13,CI1056,""),"")</f>
        <v/>
      </c>
      <c r="CM1056">
        <f>IF(CH1056="","",IFERROR(IF(IF(AND(LEN(CH1056)=9,ISERROR(FIND("-",LEFT(CH1056,8))),ISNUMBER(-LEFT(CH1056,8))),VALUE(LEFT(CH1056,4)),VALUE(LEFT(CH1056,FIND("-",CH1056)-1)))&lt;100,IF(AND(LEN(CH1056)=9,ISERROR(FIND("-",LEFT(CH1056,8))),ISNUMBER(-LEFT(CH1056,8))),VALUE(LEFT(CH1056,4)),VALUE(LEFT(CH1056,FIND("-",CH1056)-1)))+2000,IF(AND(LEN(CH1056)=9,ISERROR(FIND("-",LEFT(CH1056,8))),ISNUMBER(-LEFT(CH1056,8))),VALUE(LEFT(CH1056,4)),VALUE(LEFT(CH1056,FIND("-",CH1056)-1)))),""))</f>
        <v/>
      </c>
      <c r="CN1056">
        <f>IF(CH1056="","",IFERROR(IF(AND(LEN(CH1056)=9,ISERROR(FIND("-",LEFT(CH1056,8))),ISNUMBER(-LEFT(CH1056,8))),VALUE(MID(CH1056,5,2)),VALUE(MID(CH1056,FIND("-",CH1056)+1,FIND("-",CH1056,FIND("-",CH1056)+1)-FIND("-",CH1056)-1))),""))</f>
        <v/>
      </c>
      <c r="CO1056">
        <f>IF(CH1056="","",IFERROR(IF(AND(LEN(CH1056)=9,ISERROR(FIND("-",LEFT(CH1056,8))),ISNUMBER(-LEFT(CH1056,8))),VALUE(MID(CH1056,7,2)),VALUE(MID(CH1056,FIND("-",CH1056,FIND("-",CH1056)+1)+1,FIND("-",CH1056,FIND("-",CH1056,FIND("-",CH1056)+1)+1)-FIND("-",CH1056,FIND("-",CH1056)+1)-1))),""))</f>
        <v/>
      </c>
    </row>
    <row r="1057">
      <c r="CH1057">
        <f>IF(ISTEXT('월 가계부'!A1057),SUBSTITUTE(SUBSTITUTE(SUBSTITUTE(SUBSTITUTE(SUBSTITUTE(SUBSTITUTE(SUBSTITUTE(SUBSTITUTE(SUBSTITUTE(TRIM('월 가계부'!A1057),"년","-"),"월","-"),"일",""),".","-"),"/","-")," ","-"),"--","-"),"--","-"),"--","-")&amp;"-","")</f>
        <v/>
      </c>
      <c r="CI1057">
        <f>IFERROR(IF('월 가계부'!A1057="","",IF(ISNUMBER('월 가계부'!A1057),IF(AND('월 가계부'!A1057&gt;=19000101,'월 가계부'!A1057&lt;=21001231),IF(AND(MOD(INT('월 가계부'!A1057/100),100)&gt;=1,MOD(INT('월 가계부'!A1057/100),100)&lt;=12,MOD(INT('월 가계부'!A1057),100)&gt;=1,MOD(INT('월 가계부'!A1057),100)&lt;=31),IF(MONTH(DATE(INT('월 가계부'!A1057/10000),MOD(INT('월 가계부'!A1057/100),100),MOD(INT('월 가계부'!A1057),100)))=MOD(INT('월 가계부'!A1057/100),100),DATE(INT('월 가계부'!A1057/10000),MOD(INT('월 가계부'!A1057/100),100),MOD(INT('월 가계부'!A1057),100)),""),""),IF(AND('월 가계부'!A1057&gt;=36526,'월 가계부'!A1057&lt;73051),INT('월 가계부'!A1057),"")),IF(OR(CM1057="",CN1057="",CO1057=""),"",IF(AND(CM1057&gt;=2000,CM1057&lt;=2099,CN1057&gt;=1,CN1057&lt;=12,CO1057&gt;=1,CO1057&lt;=31),IF(MONTH(DATE(CM1057,CN1057,CO1057))=CN1057,DATE(CM1057,CN1057,CO1057),""),"")))),"")</f>
        <v/>
      </c>
      <c r="CJ1057">
        <f>IFERROR(IF('월 가계부'!C1057="","",IF(ISNUMBER('월 가계부'!C1057),'월 가계부'!C1057,VALUE(SUBSTITUTE(SUBSTITUTE(SUBSTITUTE(SUBSTITUTE(TRIM('월 가계부'!C1057),",",""),"원","")," ",""),"−","-")))),"")</f>
        <v/>
      </c>
      <c r="CK1057">
        <f>IF(ISNUMBER(CI1057),IF(CI1057&lt;$B$13,CI1057,""),"")</f>
        <v/>
      </c>
      <c r="CM1057">
        <f>IF(CH1057="","",IFERROR(IF(IF(AND(LEN(CH1057)=9,ISERROR(FIND("-",LEFT(CH1057,8))),ISNUMBER(-LEFT(CH1057,8))),VALUE(LEFT(CH1057,4)),VALUE(LEFT(CH1057,FIND("-",CH1057)-1)))&lt;100,IF(AND(LEN(CH1057)=9,ISERROR(FIND("-",LEFT(CH1057,8))),ISNUMBER(-LEFT(CH1057,8))),VALUE(LEFT(CH1057,4)),VALUE(LEFT(CH1057,FIND("-",CH1057)-1)))+2000,IF(AND(LEN(CH1057)=9,ISERROR(FIND("-",LEFT(CH1057,8))),ISNUMBER(-LEFT(CH1057,8))),VALUE(LEFT(CH1057,4)),VALUE(LEFT(CH1057,FIND("-",CH1057)-1)))),""))</f>
        <v/>
      </c>
      <c r="CN1057">
        <f>IF(CH1057="","",IFERROR(IF(AND(LEN(CH1057)=9,ISERROR(FIND("-",LEFT(CH1057,8))),ISNUMBER(-LEFT(CH1057,8))),VALUE(MID(CH1057,5,2)),VALUE(MID(CH1057,FIND("-",CH1057)+1,FIND("-",CH1057,FIND("-",CH1057)+1)-FIND("-",CH1057)-1))),""))</f>
        <v/>
      </c>
      <c r="CO1057">
        <f>IF(CH1057="","",IFERROR(IF(AND(LEN(CH1057)=9,ISERROR(FIND("-",LEFT(CH1057,8))),ISNUMBER(-LEFT(CH1057,8))),VALUE(MID(CH1057,7,2)),VALUE(MID(CH1057,FIND("-",CH1057,FIND("-",CH1057)+1)+1,FIND("-",CH1057,FIND("-",CH1057,FIND("-",CH1057)+1)+1)-FIND("-",CH1057,FIND("-",CH1057)+1)-1))),""))</f>
        <v/>
      </c>
    </row>
    <row r="1058">
      <c r="CH1058">
        <f>IF(ISTEXT('월 가계부'!A1058),SUBSTITUTE(SUBSTITUTE(SUBSTITUTE(SUBSTITUTE(SUBSTITUTE(SUBSTITUTE(SUBSTITUTE(SUBSTITUTE(SUBSTITUTE(TRIM('월 가계부'!A1058),"년","-"),"월","-"),"일",""),".","-"),"/","-")," ","-"),"--","-"),"--","-"),"--","-")&amp;"-","")</f>
        <v/>
      </c>
      <c r="CI1058">
        <f>IFERROR(IF('월 가계부'!A1058="","",IF(ISNUMBER('월 가계부'!A1058),IF(AND('월 가계부'!A1058&gt;=19000101,'월 가계부'!A1058&lt;=21001231),IF(AND(MOD(INT('월 가계부'!A1058/100),100)&gt;=1,MOD(INT('월 가계부'!A1058/100),100)&lt;=12,MOD(INT('월 가계부'!A1058),100)&gt;=1,MOD(INT('월 가계부'!A1058),100)&lt;=31),IF(MONTH(DATE(INT('월 가계부'!A1058/10000),MOD(INT('월 가계부'!A1058/100),100),MOD(INT('월 가계부'!A1058),100)))=MOD(INT('월 가계부'!A1058/100),100),DATE(INT('월 가계부'!A1058/10000),MOD(INT('월 가계부'!A1058/100),100),MOD(INT('월 가계부'!A1058),100)),""),""),IF(AND('월 가계부'!A1058&gt;=36526,'월 가계부'!A1058&lt;73051),INT('월 가계부'!A1058),"")),IF(OR(CM1058="",CN1058="",CO1058=""),"",IF(AND(CM1058&gt;=2000,CM1058&lt;=2099,CN1058&gt;=1,CN1058&lt;=12,CO1058&gt;=1,CO1058&lt;=31),IF(MONTH(DATE(CM1058,CN1058,CO1058))=CN1058,DATE(CM1058,CN1058,CO1058),""),"")))),"")</f>
        <v/>
      </c>
      <c r="CJ1058">
        <f>IFERROR(IF('월 가계부'!C1058="","",IF(ISNUMBER('월 가계부'!C1058),'월 가계부'!C1058,VALUE(SUBSTITUTE(SUBSTITUTE(SUBSTITUTE(SUBSTITUTE(TRIM('월 가계부'!C1058),",",""),"원","")," ",""),"−","-")))),"")</f>
        <v/>
      </c>
      <c r="CK1058">
        <f>IF(ISNUMBER(CI1058),IF(CI1058&lt;$B$13,CI1058,""),"")</f>
        <v/>
      </c>
      <c r="CM1058">
        <f>IF(CH1058="","",IFERROR(IF(IF(AND(LEN(CH1058)=9,ISERROR(FIND("-",LEFT(CH1058,8))),ISNUMBER(-LEFT(CH1058,8))),VALUE(LEFT(CH1058,4)),VALUE(LEFT(CH1058,FIND("-",CH1058)-1)))&lt;100,IF(AND(LEN(CH1058)=9,ISERROR(FIND("-",LEFT(CH1058,8))),ISNUMBER(-LEFT(CH1058,8))),VALUE(LEFT(CH1058,4)),VALUE(LEFT(CH1058,FIND("-",CH1058)-1)))+2000,IF(AND(LEN(CH1058)=9,ISERROR(FIND("-",LEFT(CH1058,8))),ISNUMBER(-LEFT(CH1058,8))),VALUE(LEFT(CH1058,4)),VALUE(LEFT(CH1058,FIND("-",CH1058)-1)))),""))</f>
        <v/>
      </c>
      <c r="CN1058">
        <f>IF(CH1058="","",IFERROR(IF(AND(LEN(CH1058)=9,ISERROR(FIND("-",LEFT(CH1058,8))),ISNUMBER(-LEFT(CH1058,8))),VALUE(MID(CH1058,5,2)),VALUE(MID(CH1058,FIND("-",CH1058)+1,FIND("-",CH1058,FIND("-",CH1058)+1)-FIND("-",CH1058)-1))),""))</f>
        <v/>
      </c>
      <c r="CO1058">
        <f>IF(CH1058="","",IFERROR(IF(AND(LEN(CH1058)=9,ISERROR(FIND("-",LEFT(CH1058,8))),ISNUMBER(-LEFT(CH1058,8))),VALUE(MID(CH1058,7,2)),VALUE(MID(CH1058,FIND("-",CH1058,FIND("-",CH1058)+1)+1,FIND("-",CH1058,FIND("-",CH1058,FIND("-",CH1058)+1)+1)-FIND("-",CH1058,FIND("-",CH1058)+1)-1))),""))</f>
        <v/>
      </c>
    </row>
    <row r="1059">
      <c r="CH1059">
        <f>IF(ISTEXT('월 가계부'!A1059),SUBSTITUTE(SUBSTITUTE(SUBSTITUTE(SUBSTITUTE(SUBSTITUTE(SUBSTITUTE(SUBSTITUTE(SUBSTITUTE(SUBSTITUTE(TRIM('월 가계부'!A1059),"년","-"),"월","-"),"일",""),".","-"),"/","-")," ","-"),"--","-"),"--","-"),"--","-")&amp;"-","")</f>
        <v/>
      </c>
      <c r="CI1059">
        <f>IFERROR(IF('월 가계부'!A1059="","",IF(ISNUMBER('월 가계부'!A1059),IF(AND('월 가계부'!A1059&gt;=19000101,'월 가계부'!A1059&lt;=21001231),IF(AND(MOD(INT('월 가계부'!A1059/100),100)&gt;=1,MOD(INT('월 가계부'!A1059/100),100)&lt;=12,MOD(INT('월 가계부'!A1059),100)&gt;=1,MOD(INT('월 가계부'!A1059),100)&lt;=31),IF(MONTH(DATE(INT('월 가계부'!A1059/10000),MOD(INT('월 가계부'!A1059/100),100),MOD(INT('월 가계부'!A1059),100)))=MOD(INT('월 가계부'!A1059/100),100),DATE(INT('월 가계부'!A1059/10000),MOD(INT('월 가계부'!A1059/100),100),MOD(INT('월 가계부'!A1059),100)),""),""),IF(AND('월 가계부'!A1059&gt;=36526,'월 가계부'!A1059&lt;73051),INT('월 가계부'!A1059),"")),IF(OR(CM1059="",CN1059="",CO1059=""),"",IF(AND(CM1059&gt;=2000,CM1059&lt;=2099,CN1059&gt;=1,CN1059&lt;=12,CO1059&gt;=1,CO1059&lt;=31),IF(MONTH(DATE(CM1059,CN1059,CO1059))=CN1059,DATE(CM1059,CN1059,CO1059),""),"")))),"")</f>
        <v/>
      </c>
      <c r="CJ1059">
        <f>IFERROR(IF('월 가계부'!C1059="","",IF(ISNUMBER('월 가계부'!C1059),'월 가계부'!C1059,VALUE(SUBSTITUTE(SUBSTITUTE(SUBSTITUTE(SUBSTITUTE(TRIM('월 가계부'!C1059),",",""),"원","")," ",""),"−","-")))),"")</f>
        <v/>
      </c>
      <c r="CK1059">
        <f>IF(ISNUMBER(CI1059),IF(CI1059&lt;$B$13,CI1059,""),"")</f>
        <v/>
      </c>
      <c r="CM1059">
        <f>IF(CH1059="","",IFERROR(IF(IF(AND(LEN(CH1059)=9,ISERROR(FIND("-",LEFT(CH1059,8))),ISNUMBER(-LEFT(CH1059,8))),VALUE(LEFT(CH1059,4)),VALUE(LEFT(CH1059,FIND("-",CH1059)-1)))&lt;100,IF(AND(LEN(CH1059)=9,ISERROR(FIND("-",LEFT(CH1059,8))),ISNUMBER(-LEFT(CH1059,8))),VALUE(LEFT(CH1059,4)),VALUE(LEFT(CH1059,FIND("-",CH1059)-1)))+2000,IF(AND(LEN(CH1059)=9,ISERROR(FIND("-",LEFT(CH1059,8))),ISNUMBER(-LEFT(CH1059,8))),VALUE(LEFT(CH1059,4)),VALUE(LEFT(CH1059,FIND("-",CH1059)-1)))),""))</f>
        <v/>
      </c>
      <c r="CN1059">
        <f>IF(CH1059="","",IFERROR(IF(AND(LEN(CH1059)=9,ISERROR(FIND("-",LEFT(CH1059,8))),ISNUMBER(-LEFT(CH1059,8))),VALUE(MID(CH1059,5,2)),VALUE(MID(CH1059,FIND("-",CH1059)+1,FIND("-",CH1059,FIND("-",CH1059)+1)-FIND("-",CH1059)-1))),""))</f>
        <v/>
      </c>
      <c r="CO1059">
        <f>IF(CH1059="","",IFERROR(IF(AND(LEN(CH1059)=9,ISERROR(FIND("-",LEFT(CH1059,8))),ISNUMBER(-LEFT(CH1059,8))),VALUE(MID(CH1059,7,2)),VALUE(MID(CH1059,FIND("-",CH1059,FIND("-",CH1059)+1)+1,FIND("-",CH1059,FIND("-",CH1059,FIND("-",CH1059)+1)+1)-FIND("-",CH1059,FIND("-",CH1059)+1)-1))),""))</f>
        <v/>
      </c>
    </row>
    <row r="1060">
      <c r="CH1060">
        <f>IF(ISTEXT('월 가계부'!A1060),SUBSTITUTE(SUBSTITUTE(SUBSTITUTE(SUBSTITUTE(SUBSTITUTE(SUBSTITUTE(SUBSTITUTE(SUBSTITUTE(SUBSTITUTE(TRIM('월 가계부'!A1060),"년","-"),"월","-"),"일",""),".","-"),"/","-")," ","-"),"--","-"),"--","-"),"--","-")&amp;"-","")</f>
        <v/>
      </c>
      <c r="CI1060">
        <f>IFERROR(IF('월 가계부'!A1060="","",IF(ISNUMBER('월 가계부'!A1060),IF(AND('월 가계부'!A1060&gt;=19000101,'월 가계부'!A1060&lt;=21001231),IF(AND(MOD(INT('월 가계부'!A1060/100),100)&gt;=1,MOD(INT('월 가계부'!A1060/100),100)&lt;=12,MOD(INT('월 가계부'!A1060),100)&gt;=1,MOD(INT('월 가계부'!A1060),100)&lt;=31),IF(MONTH(DATE(INT('월 가계부'!A1060/10000),MOD(INT('월 가계부'!A1060/100),100),MOD(INT('월 가계부'!A1060),100)))=MOD(INT('월 가계부'!A1060/100),100),DATE(INT('월 가계부'!A1060/10000),MOD(INT('월 가계부'!A1060/100),100),MOD(INT('월 가계부'!A1060),100)),""),""),IF(AND('월 가계부'!A1060&gt;=36526,'월 가계부'!A1060&lt;73051),INT('월 가계부'!A1060),"")),IF(OR(CM1060="",CN1060="",CO1060=""),"",IF(AND(CM1060&gt;=2000,CM1060&lt;=2099,CN1060&gt;=1,CN1060&lt;=12,CO1060&gt;=1,CO1060&lt;=31),IF(MONTH(DATE(CM1060,CN1060,CO1060))=CN1060,DATE(CM1060,CN1060,CO1060),""),"")))),"")</f>
        <v/>
      </c>
      <c r="CJ1060">
        <f>IFERROR(IF('월 가계부'!C1060="","",IF(ISNUMBER('월 가계부'!C1060),'월 가계부'!C1060,VALUE(SUBSTITUTE(SUBSTITUTE(SUBSTITUTE(SUBSTITUTE(TRIM('월 가계부'!C1060),",",""),"원","")," ",""),"−","-")))),"")</f>
        <v/>
      </c>
      <c r="CK1060">
        <f>IF(ISNUMBER(CI1060),IF(CI1060&lt;$B$13,CI1060,""),"")</f>
        <v/>
      </c>
      <c r="CM1060">
        <f>IF(CH1060="","",IFERROR(IF(IF(AND(LEN(CH1060)=9,ISERROR(FIND("-",LEFT(CH1060,8))),ISNUMBER(-LEFT(CH1060,8))),VALUE(LEFT(CH1060,4)),VALUE(LEFT(CH1060,FIND("-",CH1060)-1)))&lt;100,IF(AND(LEN(CH1060)=9,ISERROR(FIND("-",LEFT(CH1060,8))),ISNUMBER(-LEFT(CH1060,8))),VALUE(LEFT(CH1060,4)),VALUE(LEFT(CH1060,FIND("-",CH1060)-1)))+2000,IF(AND(LEN(CH1060)=9,ISERROR(FIND("-",LEFT(CH1060,8))),ISNUMBER(-LEFT(CH1060,8))),VALUE(LEFT(CH1060,4)),VALUE(LEFT(CH1060,FIND("-",CH1060)-1)))),""))</f>
        <v/>
      </c>
      <c r="CN1060">
        <f>IF(CH1060="","",IFERROR(IF(AND(LEN(CH1060)=9,ISERROR(FIND("-",LEFT(CH1060,8))),ISNUMBER(-LEFT(CH1060,8))),VALUE(MID(CH1060,5,2)),VALUE(MID(CH1060,FIND("-",CH1060)+1,FIND("-",CH1060,FIND("-",CH1060)+1)-FIND("-",CH1060)-1))),""))</f>
        <v/>
      </c>
      <c r="CO1060">
        <f>IF(CH1060="","",IFERROR(IF(AND(LEN(CH1060)=9,ISERROR(FIND("-",LEFT(CH1060,8))),ISNUMBER(-LEFT(CH1060,8))),VALUE(MID(CH1060,7,2)),VALUE(MID(CH1060,FIND("-",CH1060,FIND("-",CH1060)+1)+1,FIND("-",CH1060,FIND("-",CH1060,FIND("-",CH1060)+1)+1)-FIND("-",CH1060,FIND("-",CH1060)+1)-1))),""))</f>
        <v/>
      </c>
    </row>
    <row r="1061">
      <c r="CH1061">
        <f>IF(ISTEXT('월 가계부'!A1061),SUBSTITUTE(SUBSTITUTE(SUBSTITUTE(SUBSTITUTE(SUBSTITUTE(SUBSTITUTE(SUBSTITUTE(SUBSTITUTE(SUBSTITUTE(TRIM('월 가계부'!A1061),"년","-"),"월","-"),"일",""),".","-"),"/","-")," ","-"),"--","-"),"--","-"),"--","-")&amp;"-","")</f>
        <v/>
      </c>
      <c r="CI1061">
        <f>IFERROR(IF('월 가계부'!A1061="","",IF(ISNUMBER('월 가계부'!A1061),IF(AND('월 가계부'!A1061&gt;=19000101,'월 가계부'!A1061&lt;=21001231),IF(AND(MOD(INT('월 가계부'!A1061/100),100)&gt;=1,MOD(INT('월 가계부'!A1061/100),100)&lt;=12,MOD(INT('월 가계부'!A1061),100)&gt;=1,MOD(INT('월 가계부'!A1061),100)&lt;=31),IF(MONTH(DATE(INT('월 가계부'!A1061/10000),MOD(INT('월 가계부'!A1061/100),100),MOD(INT('월 가계부'!A1061),100)))=MOD(INT('월 가계부'!A1061/100),100),DATE(INT('월 가계부'!A1061/10000),MOD(INT('월 가계부'!A1061/100),100),MOD(INT('월 가계부'!A1061),100)),""),""),IF(AND('월 가계부'!A1061&gt;=36526,'월 가계부'!A1061&lt;73051),INT('월 가계부'!A1061),"")),IF(OR(CM1061="",CN1061="",CO1061=""),"",IF(AND(CM1061&gt;=2000,CM1061&lt;=2099,CN1061&gt;=1,CN1061&lt;=12,CO1061&gt;=1,CO1061&lt;=31),IF(MONTH(DATE(CM1061,CN1061,CO1061))=CN1061,DATE(CM1061,CN1061,CO1061),""),"")))),"")</f>
        <v/>
      </c>
      <c r="CJ1061">
        <f>IFERROR(IF('월 가계부'!C1061="","",IF(ISNUMBER('월 가계부'!C1061),'월 가계부'!C1061,VALUE(SUBSTITUTE(SUBSTITUTE(SUBSTITUTE(SUBSTITUTE(TRIM('월 가계부'!C1061),",",""),"원","")," ",""),"−","-")))),"")</f>
        <v/>
      </c>
      <c r="CK1061">
        <f>IF(ISNUMBER(CI1061),IF(CI1061&lt;$B$13,CI1061,""),"")</f>
        <v/>
      </c>
      <c r="CM1061">
        <f>IF(CH1061="","",IFERROR(IF(IF(AND(LEN(CH1061)=9,ISERROR(FIND("-",LEFT(CH1061,8))),ISNUMBER(-LEFT(CH1061,8))),VALUE(LEFT(CH1061,4)),VALUE(LEFT(CH1061,FIND("-",CH1061)-1)))&lt;100,IF(AND(LEN(CH1061)=9,ISERROR(FIND("-",LEFT(CH1061,8))),ISNUMBER(-LEFT(CH1061,8))),VALUE(LEFT(CH1061,4)),VALUE(LEFT(CH1061,FIND("-",CH1061)-1)))+2000,IF(AND(LEN(CH1061)=9,ISERROR(FIND("-",LEFT(CH1061,8))),ISNUMBER(-LEFT(CH1061,8))),VALUE(LEFT(CH1061,4)),VALUE(LEFT(CH1061,FIND("-",CH1061)-1)))),""))</f>
        <v/>
      </c>
      <c r="CN1061">
        <f>IF(CH1061="","",IFERROR(IF(AND(LEN(CH1061)=9,ISERROR(FIND("-",LEFT(CH1061,8))),ISNUMBER(-LEFT(CH1061,8))),VALUE(MID(CH1061,5,2)),VALUE(MID(CH1061,FIND("-",CH1061)+1,FIND("-",CH1061,FIND("-",CH1061)+1)-FIND("-",CH1061)-1))),""))</f>
        <v/>
      </c>
      <c r="CO1061">
        <f>IF(CH1061="","",IFERROR(IF(AND(LEN(CH1061)=9,ISERROR(FIND("-",LEFT(CH1061,8))),ISNUMBER(-LEFT(CH1061,8))),VALUE(MID(CH1061,7,2)),VALUE(MID(CH1061,FIND("-",CH1061,FIND("-",CH1061)+1)+1,FIND("-",CH1061,FIND("-",CH1061,FIND("-",CH1061)+1)+1)-FIND("-",CH1061,FIND("-",CH1061)+1)-1))),""))</f>
        <v/>
      </c>
    </row>
    <row r="1062">
      <c r="CH1062">
        <f>IF(ISTEXT('월 가계부'!A1062),SUBSTITUTE(SUBSTITUTE(SUBSTITUTE(SUBSTITUTE(SUBSTITUTE(SUBSTITUTE(SUBSTITUTE(SUBSTITUTE(SUBSTITUTE(TRIM('월 가계부'!A1062),"년","-"),"월","-"),"일",""),".","-"),"/","-")," ","-"),"--","-"),"--","-"),"--","-")&amp;"-","")</f>
        <v/>
      </c>
      <c r="CI1062">
        <f>IFERROR(IF('월 가계부'!A1062="","",IF(ISNUMBER('월 가계부'!A1062),IF(AND('월 가계부'!A1062&gt;=19000101,'월 가계부'!A1062&lt;=21001231),IF(AND(MOD(INT('월 가계부'!A1062/100),100)&gt;=1,MOD(INT('월 가계부'!A1062/100),100)&lt;=12,MOD(INT('월 가계부'!A1062),100)&gt;=1,MOD(INT('월 가계부'!A1062),100)&lt;=31),IF(MONTH(DATE(INT('월 가계부'!A1062/10000),MOD(INT('월 가계부'!A1062/100),100),MOD(INT('월 가계부'!A1062),100)))=MOD(INT('월 가계부'!A1062/100),100),DATE(INT('월 가계부'!A1062/10000),MOD(INT('월 가계부'!A1062/100),100),MOD(INT('월 가계부'!A1062),100)),""),""),IF(AND('월 가계부'!A1062&gt;=36526,'월 가계부'!A1062&lt;73051),INT('월 가계부'!A1062),"")),IF(OR(CM1062="",CN1062="",CO1062=""),"",IF(AND(CM1062&gt;=2000,CM1062&lt;=2099,CN1062&gt;=1,CN1062&lt;=12,CO1062&gt;=1,CO1062&lt;=31),IF(MONTH(DATE(CM1062,CN1062,CO1062))=CN1062,DATE(CM1062,CN1062,CO1062),""),"")))),"")</f>
        <v/>
      </c>
      <c r="CJ1062">
        <f>IFERROR(IF('월 가계부'!C1062="","",IF(ISNUMBER('월 가계부'!C1062),'월 가계부'!C1062,VALUE(SUBSTITUTE(SUBSTITUTE(SUBSTITUTE(SUBSTITUTE(TRIM('월 가계부'!C1062),",",""),"원","")," ",""),"−","-")))),"")</f>
        <v/>
      </c>
      <c r="CK1062">
        <f>IF(ISNUMBER(CI1062),IF(CI1062&lt;$B$13,CI1062,""),"")</f>
        <v/>
      </c>
      <c r="CM1062">
        <f>IF(CH1062="","",IFERROR(IF(IF(AND(LEN(CH1062)=9,ISERROR(FIND("-",LEFT(CH1062,8))),ISNUMBER(-LEFT(CH1062,8))),VALUE(LEFT(CH1062,4)),VALUE(LEFT(CH1062,FIND("-",CH1062)-1)))&lt;100,IF(AND(LEN(CH1062)=9,ISERROR(FIND("-",LEFT(CH1062,8))),ISNUMBER(-LEFT(CH1062,8))),VALUE(LEFT(CH1062,4)),VALUE(LEFT(CH1062,FIND("-",CH1062)-1)))+2000,IF(AND(LEN(CH1062)=9,ISERROR(FIND("-",LEFT(CH1062,8))),ISNUMBER(-LEFT(CH1062,8))),VALUE(LEFT(CH1062,4)),VALUE(LEFT(CH1062,FIND("-",CH1062)-1)))),""))</f>
        <v/>
      </c>
      <c r="CN1062">
        <f>IF(CH1062="","",IFERROR(IF(AND(LEN(CH1062)=9,ISERROR(FIND("-",LEFT(CH1062,8))),ISNUMBER(-LEFT(CH1062,8))),VALUE(MID(CH1062,5,2)),VALUE(MID(CH1062,FIND("-",CH1062)+1,FIND("-",CH1062,FIND("-",CH1062)+1)-FIND("-",CH1062)-1))),""))</f>
        <v/>
      </c>
      <c r="CO1062">
        <f>IF(CH1062="","",IFERROR(IF(AND(LEN(CH1062)=9,ISERROR(FIND("-",LEFT(CH1062,8))),ISNUMBER(-LEFT(CH1062,8))),VALUE(MID(CH1062,7,2)),VALUE(MID(CH1062,FIND("-",CH1062,FIND("-",CH1062)+1)+1,FIND("-",CH1062,FIND("-",CH1062,FIND("-",CH1062)+1)+1)-FIND("-",CH1062,FIND("-",CH1062)+1)-1))),""))</f>
        <v/>
      </c>
    </row>
    <row r="1063">
      <c r="CH1063">
        <f>IF(ISTEXT('월 가계부'!A1063),SUBSTITUTE(SUBSTITUTE(SUBSTITUTE(SUBSTITUTE(SUBSTITUTE(SUBSTITUTE(SUBSTITUTE(SUBSTITUTE(SUBSTITUTE(TRIM('월 가계부'!A1063),"년","-"),"월","-"),"일",""),".","-"),"/","-")," ","-"),"--","-"),"--","-"),"--","-")&amp;"-","")</f>
        <v/>
      </c>
      <c r="CI1063">
        <f>IFERROR(IF('월 가계부'!A1063="","",IF(ISNUMBER('월 가계부'!A1063),IF(AND('월 가계부'!A1063&gt;=19000101,'월 가계부'!A1063&lt;=21001231),IF(AND(MOD(INT('월 가계부'!A1063/100),100)&gt;=1,MOD(INT('월 가계부'!A1063/100),100)&lt;=12,MOD(INT('월 가계부'!A1063),100)&gt;=1,MOD(INT('월 가계부'!A1063),100)&lt;=31),IF(MONTH(DATE(INT('월 가계부'!A1063/10000),MOD(INT('월 가계부'!A1063/100),100),MOD(INT('월 가계부'!A1063),100)))=MOD(INT('월 가계부'!A1063/100),100),DATE(INT('월 가계부'!A1063/10000),MOD(INT('월 가계부'!A1063/100),100),MOD(INT('월 가계부'!A1063),100)),""),""),IF(AND('월 가계부'!A1063&gt;=36526,'월 가계부'!A1063&lt;73051),INT('월 가계부'!A1063),"")),IF(OR(CM1063="",CN1063="",CO1063=""),"",IF(AND(CM1063&gt;=2000,CM1063&lt;=2099,CN1063&gt;=1,CN1063&lt;=12,CO1063&gt;=1,CO1063&lt;=31),IF(MONTH(DATE(CM1063,CN1063,CO1063))=CN1063,DATE(CM1063,CN1063,CO1063),""),"")))),"")</f>
        <v/>
      </c>
      <c r="CJ1063">
        <f>IFERROR(IF('월 가계부'!C1063="","",IF(ISNUMBER('월 가계부'!C1063),'월 가계부'!C1063,VALUE(SUBSTITUTE(SUBSTITUTE(SUBSTITUTE(SUBSTITUTE(TRIM('월 가계부'!C1063),",",""),"원","")," ",""),"−","-")))),"")</f>
        <v/>
      </c>
      <c r="CK1063">
        <f>IF(ISNUMBER(CI1063),IF(CI1063&lt;$B$13,CI1063,""),"")</f>
        <v/>
      </c>
      <c r="CM1063">
        <f>IF(CH1063="","",IFERROR(IF(IF(AND(LEN(CH1063)=9,ISERROR(FIND("-",LEFT(CH1063,8))),ISNUMBER(-LEFT(CH1063,8))),VALUE(LEFT(CH1063,4)),VALUE(LEFT(CH1063,FIND("-",CH1063)-1)))&lt;100,IF(AND(LEN(CH1063)=9,ISERROR(FIND("-",LEFT(CH1063,8))),ISNUMBER(-LEFT(CH1063,8))),VALUE(LEFT(CH1063,4)),VALUE(LEFT(CH1063,FIND("-",CH1063)-1)))+2000,IF(AND(LEN(CH1063)=9,ISERROR(FIND("-",LEFT(CH1063,8))),ISNUMBER(-LEFT(CH1063,8))),VALUE(LEFT(CH1063,4)),VALUE(LEFT(CH1063,FIND("-",CH1063)-1)))),""))</f>
        <v/>
      </c>
      <c r="CN1063">
        <f>IF(CH1063="","",IFERROR(IF(AND(LEN(CH1063)=9,ISERROR(FIND("-",LEFT(CH1063,8))),ISNUMBER(-LEFT(CH1063,8))),VALUE(MID(CH1063,5,2)),VALUE(MID(CH1063,FIND("-",CH1063)+1,FIND("-",CH1063,FIND("-",CH1063)+1)-FIND("-",CH1063)-1))),""))</f>
        <v/>
      </c>
      <c r="CO1063">
        <f>IF(CH1063="","",IFERROR(IF(AND(LEN(CH1063)=9,ISERROR(FIND("-",LEFT(CH1063,8))),ISNUMBER(-LEFT(CH1063,8))),VALUE(MID(CH1063,7,2)),VALUE(MID(CH1063,FIND("-",CH1063,FIND("-",CH1063)+1)+1,FIND("-",CH1063,FIND("-",CH1063,FIND("-",CH1063)+1)+1)-FIND("-",CH1063,FIND("-",CH1063)+1)-1))),""))</f>
        <v/>
      </c>
    </row>
    <row r="1064">
      <c r="CH1064">
        <f>IF(ISTEXT('월 가계부'!A1064),SUBSTITUTE(SUBSTITUTE(SUBSTITUTE(SUBSTITUTE(SUBSTITUTE(SUBSTITUTE(SUBSTITUTE(SUBSTITUTE(SUBSTITUTE(TRIM('월 가계부'!A1064),"년","-"),"월","-"),"일",""),".","-"),"/","-")," ","-"),"--","-"),"--","-"),"--","-")&amp;"-","")</f>
        <v/>
      </c>
      <c r="CI1064">
        <f>IFERROR(IF('월 가계부'!A1064="","",IF(ISNUMBER('월 가계부'!A1064),IF(AND('월 가계부'!A1064&gt;=19000101,'월 가계부'!A1064&lt;=21001231),IF(AND(MOD(INT('월 가계부'!A1064/100),100)&gt;=1,MOD(INT('월 가계부'!A1064/100),100)&lt;=12,MOD(INT('월 가계부'!A1064),100)&gt;=1,MOD(INT('월 가계부'!A1064),100)&lt;=31),IF(MONTH(DATE(INT('월 가계부'!A1064/10000),MOD(INT('월 가계부'!A1064/100),100),MOD(INT('월 가계부'!A1064),100)))=MOD(INT('월 가계부'!A1064/100),100),DATE(INT('월 가계부'!A1064/10000),MOD(INT('월 가계부'!A1064/100),100),MOD(INT('월 가계부'!A1064),100)),""),""),IF(AND('월 가계부'!A1064&gt;=36526,'월 가계부'!A1064&lt;73051),INT('월 가계부'!A1064),"")),IF(OR(CM1064="",CN1064="",CO1064=""),"",IF(AND(CM1064&gt;=2000,CM1064&lt;=2099,CN1064&gt;=1,CN1064&lt;=12,CO1064&gt;=1,CO1064&lt;=31),IF(MONTH(DATE(CM1064,CN1064,CO1064))=CN1064,DATE(CM1064,CN1064,CO1064),""),"")))),"")</f>
        <v/>
      </c>
      <c r="CJ1064">
        <f>IFERROR(IF('월 가계부'!C1064="","",IF(ISNUMBER('월 가계부'!C1064),'월 가계부'!C1064,VALUE(SUBSTITUTE(SUBSTITUTE(SUBSTITUTE(SUBSTITUTE(TRIM('월 가계부'!C1064),",",""),"원","")," ",""),"−","-")))),"")</f>
        <v/>
      </c>
      <c r="CK1064">
        <f>IF(ISNUMBER(CI1064),IF(CI1064&lt;$B$13,CI1064,""),"")</f>
        <v/>
      </c>
      <c r="CM1064">
        <f>IF(CH1064="","",IFERROR(IF(IF(AND(LEN(CH1064)=9,ISERROR(FIND("-",LEFT(CH1064,8))),ISNUMBER(-LEFT(CH1064,8))),VALUE(LEFT(CH1064,4)),VALUE(LEFT(CH1064,FIND("-",CH1064)-1)))&lt;100,IF(AND(LEN(CH1064)=9,ISERROR(FIND("-",LEFT(CH1064,8))),ISNUMBER(-LEFT(CH1064,8))),VALUE(LEFT(CH1064,4)),VALUE(LEFT(CH1064,FIND("-",CH1064)-1)))+2000,IF(AND(LEN(CH1064)=9,ISERROR(FIND("-",LEFT(CH1064,8))),ISNUMBER(-LEFT(CH1064,8))),VALUE(LEFT(CH1064,4)),VALUE(LEFT(CH1064,FIND("-",CH1064)-1)))),""))</f>
        <v/>
      </c>
      <c r="CN1064">
        <f>IF(CH1064="","",IFERROR(IF(AND(LEN(CH1064)=9,ISERROR(FIND("-",LEFT(CH1064,8))),ISNUMBER(-LEFT(CH1064,8))),VALUE(MID(CH1064,5,2)),VALUE(MID(CH1064,FIND("-",CH1064)+1,FIND("-",CH1064,FIND("-",CH1064)+1)-FIND("-",CH1064)-1))),""))</f>
        <v/>
      </c>
      <c r="CO1064">
        <f>IF(CH1064="","",IFERROR(IF(AND(LEN(CH1064)=9,ISERROR(FIND("-",LEFT(CH1064,8))),ISNUMBER(-LEFT(CH1064,8))),VALUE(MID(CH1064,7,2)),VALUE(MID(CH1064,FIND("-",CH1064,FIND("-",CH1064)+1)+1,FIND("-",CH1064,FIND("-",CH1064,FIND("-",CH1064)+1)+1)-FIND("-",CH1064,FIND("-",CH1064)+1)-1))),""))</f>
        <v/>
      </c>
    </row>
    <row r="1065">
      <c r="CH1065">
        <f>IF(ISTEXT('월 가계부'!A1065),SUBSTITUTE(SUBSTITUTE(SUBSTITUTE(SUBSTITUTE(SUBSTITUTE(SUBSTITUTE(SUBSTITUTE(SUBSTITUTE(SUBSTITUTE(TRIM('월 가계부'!A1065),"년","-"),"월","-"),"일",""),".","-"),"/","-")," ","-"),"--","-"),"--","-"),"--","-")&amp;"-","")</f>
        <v/>
      </c>
      <c r="CI1065">
        <f>IFERROR(IF('월 가계부'!A1065="","",IF(ISNUMBER('월 가계부'!A1065),IF(AND('월 가계부'!A1065&gt;=19000101,'월 가계부'!A1065&lt;=21001231),IF(AND(MOD(INT('월 가계부'!A1065/100),100)&gt;=1,MOD(INT('월 가계부'!A1065/100),100)&lt;=12,MOD(INT('월 가계부'!A1065),100)&gt;=1,MOD(INT('월 가계부'!A1065),100)&lt;=31),IF(MONTH(DATE(INT('월 가계부'!A1065/10000),MOD(INT('월 가계부'!A1065/100),100),MOD(INT('월 가계부'!A1065),100)))=MOD(INT('월 가계부'!A1065/100),100),DATE(INT('월 가계부'!A1065/10000),MOD(INT('월 가계부'!A1065/100),100),MOD(INT('월 가계부'!A1065),100)),""),""),IF(AND('월 가계부'!A1065&gt;=36526,'월 가계부'!A1065&lt;73051),INT('월 가계부'!A1065),"")),IF(OR(CM1065="",CN1065="",CO1065=""),"",IF(AND(CM1065&gt;=2000,CM1065&lt;=2099,CN1065&gt;=1,CN1065&lt;=12,CO1065&gt;=1,CO1065&lt;=31),IF(MONTH(DATE(CM1065,CN1065,CO1065))=CN1065,DATE(CM1065,CN1065,CO1065),""),"")))),"")</f>
        <v/>
      </c>
      <c r="CJ1065">
        <f>IFERROR(IF('월 가계부'!C1065="","",IF(ISNUMBER('월 가계부'!C1065),'월 가계부'!C1065,VALUE(SUBSTITUTE(SUBSTITUTE(SUBSTITUTE(SUBSTITUTE(TRIM('월 가계부'!C1065),",",""),"원","")," ",""),"−","-")))),"")</f>
        <v/>
      </c>
      <c r="CK1065">
        <f>IF(ISNUMBER(CI1065),IF(CI1065&lt;$B$13,CI1065,""),"")</f>
        <v/>
      </c>
      <c r="CM1065">
        <f>IF(CH1065="","",IFERROR(IF(IF(AND(LEN(CH1065)=9,ISERROR(FIND("-",LEFT(CH1065,8))),ISNUMBER(-LEFT(CH1065,8))),VALUE(LEFT(CH1065,4)),VALUE(LEFT(CH1065,FIND("-",CH1065)-1)))&lt;100,IF(AND(LEN(CH1065)=9,ISERROR(FIND("-",LEFT(CH1065,8))),ISNUMBER(-LEFT(CH1065,8))),VALUE(LEFT(CH1065,4)),VALUE(LEFT(CH1065,FIND("-",CH1065)-1)))+2000,IF(AND(LEN(CH1065)=9,ISERROR(FIND("-",LEFT(CH1065,8))),ISNUMBER(-LEFT(CH1065,8))),VALUE(LEFT(CH1065,4)),VALUE(LEFT(CH1065,FIND("-",CH1065)-1)))),""))</f>
        <v/>
      </c>
      <c r="CN1065">
        <f>IF(CH1065="","",IFERROR(IF(AND(LEN(CH1065)=9,ISERROR(FIND("-",LEFT(CH1065,8))),ISNUMBER(-LEFT(CH1065,8))),VALUE(MID(CH1065,5,2)),VALUE(MID(CH1065,FIND("-",CH1065)+1,FIND("-",CH1065,FIND("-",CH1065)+1)-FIND("-",CH1065)-1))),""))</f>
        <v/>
      </c>
      <c r="CO1065">
        <f>IF(CH1065="","",IFERROR(IF(AND(LEN(CH1065)=9,ISERROR(FIND("-",LEFT(CH1065,8))),ISNUMBER(-LEFT(CH1065,8))),VALUE(MID(CH1065,7,2)),VALUE(MID(CH1065,FIND("-",CH1065,FIND("-",CH1065)+1)+1,FIND("-",CH1065,FIND("-",CH1065,FIND("-",CH1065)+1)+1)-FIND("-",CH1065,FIND("-",CH1065)+1)-1))),""))</f>
        <v/>
      </c>
    </row>
    <row r="1066">
      <c r="CH1066">
        <f>IF(ISTEXT('월 가계부'!A1066),SUBSTITUTE(SUBSTITUTE(SUBSTITUTE(SUBSTITUTE(SUBSTITUTE(SUBSTITUTE(SUBSTITUTE(SUBSTITUTE(SUBSTITUTE(TRIM('월 가계부'!A1066),"년","-"),"월","-"),"일",""),".","-"),"/","-")," ","-"),"--","-"),"--","-"),"--","-")&amp;"-","")</f>
        <v/>
      </c>
      <c r="CI1066">
        <f>IFERROR(IF('월 가계부'!A1066="","",IF(ISNUMBER('월 가계부'!A1066),IF(AND('월 가계부'!A1066&gt;=19000101,'월 가계부'!A1066&lt;=21001231),IF(AND(MOD(INT('월 가계부'!A1066/100),100)&gt;=1,MOD(INT('월 가계부'!A1066/100),100)&lt;=12,MOD(INT('월 가계부'!A1066),100)&gt;=1,MOD(INT('월 가계부'!A1066),100)&lt;=31),IF(MONTH(DATE(INT('월 가계부'!A1066/10000),MOD(INT('월 가계부'!A1066/100),100),MOD(INT('월 가계부'!A1066),100)))=MOD(INT('월 가계부'!A1066/100),100),DATE(INT('월 가계부'!A1066/10000),MOD(INT('월 가계부'!A1066/100),100),MOD(INT('월 가계부'!A1066),100)),""),""),IF(AND('월 가계부'!A1066&gt;=36526,'월 가계부'!A1066&lt;73051),INT('월 가계부'!A1066),"")),IF(OR(CM1066="",CN1066="",CO1066=""),"",IF(AND(CM1066&gt;=2000,CM1066&lt;=2099,CN1066&gt;=1,CN1066&lt;=12,CO1066&gt;=1,CO1066&lt;=31),IF(MONTH(DATE(CM1066,CN1066,CO1066))=CN1066,DATE(CM1066,CN1066,CO1066),""),"")))),"")</f>
        <v/>
      </c>
      <c r="CJ1066">
        <f>IFERROR(IF('월 가계부'!C1066="","",IF(ISNUMBER('월 가계부'!C1066),'월 가계부'!C1066,VALUE(SUBSTITUTE(SUBSTITUTE(SUBSTITUTE(SUBSTITUTE(TRIM('월 가계부'!C1066),",",""),"원","")," ",""),"−","-")))),"")</f>
        <v/>
      </c>
      <c r="CK1066">
        <f>IF(ISNUMBER(CI1066),IF(CI1066&lt;$B$13,CI1066,""),"")</f>
        <v/>
      </c>
      <c r="CM1066">
        <f>IF(CH1066="","",IFERROR(IF(IF(AND(LEN(CH1066)=9,ISERROR(FIND("-",LEFT(CH1066,8))),ISNUMBER(-LEFT(CH1066,8))),VALUE(LEFT(CH1066,4)),VALUE(LEFT(CH1066,FIND("-",CH1066)-1)))&lt;100,IF(AND(LEN(CH1066)=9,ISERROR(FIND("-",LEFT(CH1066,8))),ISNUMBER(-LEFT(CH1066,8))),VALUE(LEFT(CH1066,4)),VALUE(LEFT(CH1066,FIND("-",CH1066)-1)))+2000,IF(AND(LEN(CH1066)=9,ISERROR(FIND("-",LEFT(CH1066,8))),ISNUMBER(-LEFT(CH1066,8))),VALUE(LEFT(CH1066,4)),VALUE(LEFT(CH1066,FIND("-",CH1066)-1)))),""))</f>
        <v/>
      </c>
      <c r="CN1066">
        <f>IF(CH1066="","",IFERROR(IF(AND(LEN(CH1066)=9,ISERROR(FIND("-",LEFT(CH1066,8))),ISNUMBER(-LEFT(CH1066,8))),VALUE(MID(CH1066,5,2)),VALUE(MID(CH1066,FIND("-",CH1066)+1,FIND("-",CH1066,FIND("-",CH1066)+1)-FIND("-",CH1066)-1))),""))</f>
        <v/>
      </c>
      <c r="CO1066">
        <f>IF(CH1066="","",IFERROR(IF(AND(LEN(CH1066)=9,ISERROR(FIND("-",LEFT(CH1066,8))),ISNUMBER(-LEFT(CH1066,8))),VALUE(MID(CH1066,7,2)),VALUE(MID(CH1066,FIND("-",CH1066,FIND("-",CH1066)+1)+1,FIND("-",CH1066,FIND("-",CH1066,FIND("-",CH1066)+1)+1)-FIND("-",CH1066,FIND("-",CH1066)+1)-1))),""))</f>
        <v/>
      </c>
    </row>
    <row r="1067">
      <c r="CH1067">
        <f>IF(ISTEXT('월 가계부'!A1067),SUBSTITUTE(SUBSTITUTE(SUBSTITUTE(SUBSTITUTE(SUBSTITUTE(SUBSTITUTE(SUBSTITUTE(SUBSTITUTE(SUBSTITUTE(TRIM('월 가계부'!A1067),"년","-"),"월","-"),"일",""),".","-"),"/","-")," ","-"),"--","-"),"--","-"),"--","-")&amp;"-","")</f>
        <v/>
      </c>
      <c r="CI1067">
        <f>IFERROR(IF('월 가계부'!A1067="","",IF(ISNUMBER('월 가계부'!A1067),IF(AND('월 가계부'!A1067&gt;=19000101,'월 가계부'!A1067&lt;=21001231),IF(AND(MOD(INT('월 가계부'!A1067/100),100)&gt;=1,MOD(INT('월 가계부'!A1067/100),100)&lt;=12,MOD(INT('월 가계부'!A1067),100)&gt;=1,MOD(INT('월 가계부'!A1067),100)&lt;=31),IF(MONTH(DATE(INT('월 가계부'!A1067/10000),MOD(INT('월 가계부'!A1067/100),100),MOD(INT('월 가계부'!A1067),100)))=MOD(INT('월 가계부'!A1067/100),100),DATE(INT('월 가계부'!A1067/10000),MOD(INT('월 가계부'!A1067/100),100),MOD(INT('월 가계부'!A1067),100)),""),""),IF(AND('월 가계부'!A1067&gt;=36526,'월 가계부'!A1067&lt;73051),INT('월 가계부'!A1067),"")),IF(OR(CM1067="",CN1067="",CO1067=""),"",IF(AND(CM1067&gt;=2000,CM1067&lt;=2099,CN1067&gt;=1,CN1067&lt;=12,CO1067&gt;=1,CO1067&lt;=31),IF(MONTH(DATE(CM1067,CN1067,CO1067))=CN1067,DATE(CM1067,CN1067,CO1067),""),"")))),"")</f>
        <v/>
      </c>
      <c r="CJ1067">
        <f>IFERROR(IF('월 가계부'!C1067="","",IF(ISNUMBER('월 가계부'!C1067),'월 가계부'!C1067,VALUE(SUBSTITUTE(SUBSTITUTE(SUBSTITUTE(SUBSTITUTE(TRIM('월 가계부'!C1067),",",""),"원","")," ",""),"−","-")))),"")</f>
        <v/>
      </c>
      <c r="CK1067">
        <f>IF(ISNUMBER(CI1067),IF(CI1067&lt;$B$13,CI1067,""),"")</f>
        <v/>
      </c>
      <c r="CM1067">
        <f>IF(CH1067="","",IFERROR(IF(IF(AND(LEN(CH1067)=9,ISERROR(FIND("-",LEFT(CH1067,8))),ISNUMBER(-LEFT(CH1067,8))),VALUE(LEFT(CH1067,4)),VALUE(LEFT(CH1067,FIND("-",CH1067)-1)))&lt;100,IF(AND(LEN(CH1067)=9,ISERROR(FIND("-",LEFT(CH1067,8))),ISNUMBER(-LEFT(CH1067,8))),VALUE(LEFT(CH1067,4)),VALUE(LEFT(CH1067,FIND("-",CH1067)-1)))+2000,IF(AND(LEN(CH1067)=9,ISERROR(FIND("-",LEFT(CH1067,8))),ISNUMBER(-LEFT(CH1067,8))),VALUE(LEFT(CH1067,4)),VALUE(LEFT(CH1067,FIND("-",CH1067)-1)))),""))</f>
        <v/>
      </c>
      <c r="CN1067">
        <f>IF(CH1067="","",IFERROR(IF(AND(LEN(CH1067)=9,ISERROR(FIND("-",LEFT(CH1067,8))),ISNUMBER(-LEFT(CH1067,8))),VALUE(MID(CH1067,5,2)),VALUE(MID(CH1067,FIND("-",CH1067)+1,FIND("-",CH1067,FIND("-",CH1067)+1)-FIND("-",CH1067)-1))),""))</f>
        <v/>
      </c>
      <c r="CO1067">
        <f>IF(CH1067="","",IFERROR(IF(AND(LEN(CH1067)=9,ISERROR(FIND("-",LEFT(CH1067,8))),ISNUMBER(-LEFT(CH1067,8))),VALUE(MID(CH1067,7,2)),VALUE(MID(CH1067,FIND("-",CH1067,FIND("-",CH1067)+1)+1,FIND("-",CH1067,FIND("-",CH1067,FIND("-",CH1067)+1)+1)-FIND("-",CH1067,FIND("-",CH1067)+1)-1))),""))</f>
        <v/>
      </c>
    </row>
    <row r="1068">
      <c r="CH1068">
        <f>IF(ISTEXT('월 가계부'!A1068),SUBSTITUTE(SUBSTITUTE(SUBSTITUTE(SUBSTITUTE(SUBSTITUTE(SUBSTITUTE(SUBSTITUTE(SUBSTITUTE(SUBSTITUTE(TRIM('월 가계부'!A1068),"년","-"),"월","-"),"일",""),".","-"),"/","-")," ","-"),"--","-"),"--","-"),"--","-")&amp;"-","")</f>
        <v/>
      </c>
      <c r="CI1068">
        <f>IFERROR(IF('월 가계부'!A1068="","",IF(ISNUMBER('월 가계부'!A1068),IF(AND('월 가계부'!A1068&gt;=19000101,'월 가계부'!A1068&lt;=21001231),IF(AND(MOD(INT('월 가계부'!A1068/100),100)&gt;=1,MOD(INT('월 가계부'!A1068/100),100)&lt;=12,MOD(INT('월 가계부'!A1068),100)&gt;=1,MOD(INT('월 가계부'!A1068),100)&lt;=31),IF(MONTH(DATE(INT('월 가계부'!A1068/10000),MOD(INT('월 가계부'!A1068/100),100),MOD(INT('월 가계부'!A1068),100)))=MOD(INT('월 가계부'!A1068/100),100),DATE(INT('월 가계부'!A1068/10000),MOD(INT('월 가계부'!A1068/100),100),MOD(INT('월 가계부'!A1068),100)),""),""),IF(AND('월 가계부'!A1068&gt;=36526,'월 가계부'!A1068&lt;73051),INT('월 가계부'!A1068),"")),IF(OR(CM1068="",CN1068="",CO1068=""),"",IF(AND(CM1068&gt;=2000,CM1068&lt;=2099,CN1068&gt;=1,CN1068&lt;=12,CO1068&gt;=1,CO1068&lt;=31),IF(MONTH(DATE(CM1068,CN1068,CO1068))=CN1068,DATE(CM1068,CN1068,CO1068),""),"")))),"")</f>
        <v/>
      </c>
      <c r="CJ1068">
        <f>IFERROR(IF('월 가계부'!C1068="","",IF(ISNUMBER('월 가계부'!C1068),'월 가계부'!C1068,VALUE(SUBSTITUTE(SUBSTITUTE(SUBSTITUTE(SUBSTITUTE(TRIM('월 가계부'!C1068),",",""),"원","")," ",""),"−","-")))),"")</f>
        <v/>
      </c>
      <c r="CK1068">
        <f>IF(ISNUMBER(CI1068),IF(CI1068&lt;$B$13,CI1068,""),"")</f>
        <v/>
      </c>
      <c r="CM1068">
        <f>IF(CH1068="","",IFERROR(IF(IF(AND(LEN(CH1068)=9,ISERROR(FIND("-",LEFT(CH1068,8))),ISNUMBER(-LEFT(CH1068,8))),VALUE(LEFT(CH1068,4)),VALUE(LEFT(CH1068,FIND("-",CH1068)-1)))&lt;100,IF(AND(LEN(CH1068)=9,ISERROR(FIND("-",LEFT(CH1068,8))),ISNUMBER(-LEFT(CH1068,8))),VALUE(LEFT(CH1068,4)),VALUE(LEFT(CH1068,FIND("-",CH1068)-1)))+2000,IF(AND(LEN(CH1068)=9,ISERROR(FIND("-",LEFT(CH1068,8))),ISNUMBER(-LEFT(CH1068,8))),VALUE(LEFT(CH1068,4)),VALUE(LEFT(CH1068,FIND("-",CH1068)-1)))),""))</f>
        <v/>
      </c>
      <c r="CN1068">
        <f>IF(CH1068="","",IFERROR(IF(AND(LEN(CH1068)=9,ISERROR(FIND("-",LEFT(CH1068,8))),ISNUMBER(-LEFT(CH1068,8))),VALUE(MID(CH1068,5,2)),VALUE(MID(CH1068,FIND("-",CH1068)+1,FIND("-",CH1068,FIND("-",CH1068)+1)-FIND("-",CH1068)-1))),""))</f>
        <v/>
      </c>
      <c r="CO1068">
        <f>IF(CH1068="","",IFERROR(IF(AND(LEN(CH1068)=9,ISERROR(FIND("-",LEFT(CH1068,8))),ISNUMBER(-LEFT(CH1068,8))),VALUE(MID(CH1068,7,2)),VALUE(MID(CH1068,FIND("-",CH1068,FIND("-",CH1068)+1)+1,FIND("-",CH1068,FIND("-",CH1068,FIND("-",CH1068)+1)+1)-FIND("-",CH1068,FIND("-",CH1068)+1)-1))),""))</f>
        <v/>
      </c>
    </row>
    <row r="1069">
      <c r="CH1069">
        <f>IF(ISTEXT('월 가계부'!A1069),SUBSTITUTE(SUBSTITUTE(SUBSTITUTE(SUBSTITUTE(SUBSTITUTE(SUBSTITUTE(SUBSTITUTE(SUBSTITUTE(SUBSTITUTE(TRIM('월 가계부'!A1069),"년","-"),"월","-"),"일",""),".","-"),"/","-")," ","-"),"--","-"),"--","-"),"--","-")&amp;"-","")</f>
        <v/>
      </c>
      <c r="CI1069">
        <f>IFERROR(IF('월 가계부'!A1069="","",IF(ISNUMBER('월 가계부'!A1069),IF(AND('월 가계부'!A1069&gt;=19000101,'월 가계부'!A1069&lt;=21001231),IF(AND(MOD(INT('월 가계부'!A1069/100),100)&gt;=1,MOD(INT('월 가계부'!A1069/100),100)&lt;=12,MOD(INT('월 가계부'!A1069),100)&gt;=1,MOD(INT('월 가계부'!A1069),100)&lt;=31),IF(MONTH(DATE(INT('월 가계부'!A1069/10000),MOD(INT('월 가계부'!A1069/100),100),MOD(INT('월 가계부'!A1069),100)))=MOD(INT('월 가계부'!A1069/100),100),DATE(INT('월 가계부'!A1069/10000),MOD(INT('월 가계부'!A1069/100),100),MOD(INT('월 가계부'!A1069),100)),""),""),IF(AND('월 가계부'!A1069&gt;=36526,'월 가계부'!A1069&lt;73051),INT('월 가계부'!A1069),"")),IF(OR(CM1069="",CN1069="",CO1069=""),"",IF(AND(CM1069&gt;=2000,CM1069&lt;=2099,CN1069&gt;=1,CN1069&lt;=12,CO1069&gt;=1,CO1069&lt;=31),IF(MONTH(DATE(CM1069,CN1069,CO1069))=CN1069,DATE(CM1069,CN1069,CO1069),""),"")))),"")</f>
        <v/>
      </c>
      <c r="CJ1069">
        <f>IFERROR(IF('월 가계부'!C1069="","",IF(ISNUMBER('월 가계부'!C1069),'월 가계부'!C1069,VALUE(SUBSTITUTE(SUBSTITUTE(SUBSTITUTE(SUBSTITUTE(TRIM('월 가계부'!C1069),",",""),"원","")," ",""),"−","-")))),"")</f>
        <v/>
      </c>
      <c r="CK1069">
        <f>IF(ISNUMBER(CI1069),IF(CI1069&lt;$B$13,CI1069,""),"")</f>
        <v/>
      </c>
      <c r="CM1069">
        <f>IF(CH1069="","",IFERROR(IF(IF(AND(LEN(CH1069)=9,ISERROR(FIND("-",LEFT(CH1069,8))),ISNUMBER(-LEFT(CH1069,8))),VALUE(LEFT(CH1069,4)),VALUE(LEFT(CH1069,FIND("-",CH1069)-1)))&lt;100,IF(AND(LEN(CH1069)=9,ISERROR(FIND("-",LEFT(CH1069,8))),ISNUMBER(-LEFT(CH1069,8))),VALUE(LEFT(CH1069,4)),VALUE(LEFT(CH1069,FIND("-",CH1069)-1)))+2000,IF(AND(LEN(CH1069)=9,ISERROR(FIND("-",LEFT(CH1069,8))),ISNUMBER(-LEFT(CH1069,8))),VALUE(LEFT(CH1069,4)),VALUE(LEFT(CH1069,FIND("-",CH1069)-1)))),""))</f>
        <v/>
      </c>
      <c r="CN1069">
        <f>IF(CH1069="","",IFERROR(IF(AND(LEN(CH1069)=9,ISERROR(FIND("-",LEFT(CH1069,8))),ISNUMBER(-LEFT(CH1069,8))),VALUE(MID(CH1069,5,2)),VALUE(MID(CH1069,FIND("-",CH1069)+1,FIND("-",CH1069,FIND("-",CH1069)+1)-FIND("-",CH1069)-1))),""))</f>
        <v/>
      </c>
      <c r="CO1069">
        <f>IF(CH1069="","",IFERROR(IF(AND(LEN(CH1069)=9,ISERROR(FIND("-",LEFT(CH1069,8))),ISNUMBER(-LEFT(CH1069,8))),VALUE(MID(CH1069,7,2)),VALUE(MID(CH1069,FIND("-",CH1069,FIND("-",CH1069)+1)+1,FIND("-",CH1069,FIND("-",CH1069,FIND("-",CH1069)+1)+1)-FIND("-",CH1069,FIND("-",CH1069)+1)-1))),""))</f>
        <v/>
      </c>
    </row>
    <row r="1070">
      <c r="CH1070">
        <f>IF(ISTEXT('월 가계부'!A1070),SUBSTITUTE(SUBSTITUTE(SUBSTITUTE(SUBSTITUTE(SUBSTITUTE(SUBSTITUTE(SUBSTITUTE(SUBSTITUTE(SUBSTITUTE(TRIM('월 가계부'!A1070),"년","-"),"월","-"),"일",""),".","-"),"/","-")," ","-"),"--","-"),"--","-"),"--","-")&amp;"-","")</f>
        <v/>
      </c>
      <c r="CI1070">
        <f>IFERROR(IF('월 가계부'!A1070="","",IF(ISNUMBER('월 가계부'!A1070),IF(AND('월 가계부'!A1070&gt;=19000101,'월 가계부'!A1070&lt;=21001231),IF(AND(MOD(INT('월 가계부'!A1070/100),100)&gt;=1,MOD(INT('월 가계부'!A1070/100),100)&lt;=12,MOD(INT('월 가계부'!A1070),100)&gt;=1,MOD(INT('월 가계부'!A1070),100)&lt;=31),IF(MONTH(DATE(INT('월 가계부'!A1070/10000),MOD(INT('월 가계부'!A1070/100),100),MOD(INT('월 가계부'!A1070),100)))=MOD(INT('월 가계부'!A1070/100),100),DATE(INT('월 가계부'!A1070/10000),MOD(INT('월 가계부'!A1070/100),100),MOD(INT('월 가계부'!A1070),100)),""),""),IF(AND('월 가계부'!A1070&gt;=36526,'월 가계부'!A1070&lt;73051),INT('월 가계부'!A1070),"")),IF(OR(CM1070="",CN1070="",CO1070=""),"",IF(AND(CM1070&gt;=2000,CM1070&lt;=2099,CN1070&gt;=1,CN1070&lt;=12,CO1070&gt;=1,CO1070&lt;=31),IF(MONTH(DATE(CM1070,CN1070,CO1070))=CN1070,DATE(CM1070,CN1070,CO1070),""),"")))),"")</f>
        <v/>
      </c>
      <c r="CJ1070">
        <f>IFERROR(IF('월 가계부'!C1070="","",IF(ISNUMBER('월 가계부'!C1070),'월 가계부'!C1070,VALUE(SUBSTITUTE(SUBSTITUTE(SUBSTITUTE(SUBSTITUTE(TRIM('월 가계부'!C1070),",",""),"원","")," ",""),"−","-")))),"")</f>
        <v/>
      </c>
      <c r="CK1070">
        <f>IF(ISNUMBER(CI1070),IF(CI1070&lt;$B$13,CI1070,""),"")</f>
        <v/>
      </c>
      <c r="CM1070">
        <f>IF(CH1070="","",IFERROR(IF(IF(AND(LEN(CH1070)=9,ISERROR(FIND("-",LEFT(CH1070,8))),ISNUMBER(-LEFT(CH1070,8))),VALUE(LEFT(CH1070,4)),VALUE(LEFT(CH1070,FIND("-",CH1070)-1)))&lt;100,IF(AND(LEN(CH1070)=9,ISERROR(FIND("-",LEFT(CH1070,8))),ISNUMBER(-LEFT(CH1070,8))),VALUE(LEFT(CH1070,4)),VALUE(LEFT(CH1070,FIND("-",CH1070)-1)))+2000,IF(AND(LEN(CH1070)=9,ISERROR(FIND("-",LEFT(CH1070,8))),ISNUMBER(-LEFT(CH1070,8))),VALUE(LEFT(CH1070,4)),VALUE(LEFT(CH1070,FIND("-",CH1070)-1)))),""))</f>
        <v/>
      </c>
      <c r="CN1070">
        <f>IF(CH1070="","",IFERROR(IF(AND(LEN(CH1070)=9,ISERROR(FIND("-",LEFT(CH1070,8))),ISNUMBER(-LEFT(CH1070,8))),VALUE(MID(CH1070,5,2)),VALUE(MID(CH1070,FIND("-",CH1070)+1,FIND("-",CH1070,FIND("-",CH1070)+1)-FIND("-",CH1070)-1))),""))</f>
        <v/>
      </c>
      <c r="CO1070">
        <f>IF(CH1070="","",IFERROR(IF(AND(LEN(CH1070)=9,ISERROR(FIND("-",LEFT(CH1070,8))),ISNUMBER(-LEFT(CH1070,8))),VALUE(MID(CH1070,7,2)),VALUE(MID(CH1070,FIND("-",CH1070,FIND("-",CH1070)+1)+1,FIND("-",CH1070,FIND("-",CH1070,FIND("-",CH1070)+1)+1)-FIND("-",CH1070,FIND("-",CH1070)+1)-1))),""))</f>
        <v/>
      </c>
    </row>
    <row r="1071">
      <c r="CH1071">
        <f>IF(ISTEXT('월 가계부'!A1071),SUBSTITUTE(SUBSTITUTE(SUBSTITUTE(SUBSTITUTE(SUBSTITUTE(SUBSTITUTE(SUBSTITUTE(SUBSTITUTE(SUBSTITUTE(TRIM('월 가계부'!A1071),"년","-"),"월","-"),"일",""),".","-"),"/","-")," ","-"),"--","-"),"--","-"),"--","-")&amp;"-","")</f>
        <v/>
      </c>
      <c r="CI1071">
        <f>IFERROR(IF('월 가계부'!A1071="","",IF(ISNUMBER('월 가계부'!A1071),IF(AND('월 가계부'!A1071&gt;=19000101,'월 가계부'!A1071&lt;=21001231),IF(AND(MOD(INT('월 가계부'!A1071/100),100)&gt;=1,MOD(INT('월 가계부'!A1071/100),100)&lt;=12,MOD(INT('월 가계부'!A1071),100)&gt;=1,MOD(INT('월 가계부'!A1071),100)&lt;=31),IF(MONTH(DATE(INT('월 가계부'!A1071/10000),MOD(INT('월 가계부'!A1071/100),100),MOD(INT('월 가계부'!A1071),100)))=MOD(INT('월 가계부'!A1071/100),100),DATE(INT('월 가계부'!A1071/10000),MOD(INT('월 가계부'!A1071/100),100),MOD(INT('월 가계부'!A1071),100)),""),""),IF(AND('월 가계부'!A1071&gt;=36526,'월 가계부'!A1071&lt;73051),INT('월 가계부'!A1071),"")),IF(OR(CM1071="",CN1071="",CO1071=""),"",IF(AND(CM1071&gt;=2000,CM1071&lt;=2099,CN1071&gt;=1,CN1071&lt;=12,CO1071&gt;=1,CO1071&lt;=31),IF(MONTH(DATE(CM1071,CN1071,CO1071))=CN1071,DATE(CM1071,CN1071,CO1071),""),"")))),"")</f>
        <v/>
      </c>
      <c r="CJ1071">
        <f>IFERROR(IF('월 가계부'!C1071="","",IF(ISNUMBER('월 가계부'!C1071),'월 가계부'!C1071,VALUE(SUBSTITUTE(SUBSTITUTE(SUBSTITUTE(SUBSTITUTE(TRIM('월 가계부'!C1071),",",""),"원","")," ",""),"−","-")))),"")</f>
        <v/>
      </c>
      <c r="CK1071">
        <f>IF(ISNUMBER(CI1071),IF(CI1071&lt;$B$13,CI1071,""),"")</f>
        <v/>
      </c>
      <c r="CM1071">
        <f>IF(CH1071="","",IFERROR(IF(IF(AND(LEN(CH1071)=9,ISERROR(FIND("-",LEFT(CH1071,8))),ISNUMBER(-LEFT(CH1071,8))),VALUE(LEFT(CH1071,4)),VALUE(LEFT(CH1071,FIND("-",CH1071)-1)))&lt;100,IF(AND(LEN(CH1071)=9,ISERROR(FIND("-",LEFT(CH1071,8))),ISNUMBER(-LEFT(CH1071,8))),VALUE(LEFT(CH1071,4)),VALUE(LEFT(CH1071,FIND("-",CH1071)-1)))+2000,IF(AND(LEN(CH1071)=9,ISERROR(FIND("-",LEFT(CH1071,8))),ISNUMBER(-LEFT(CH1071,8))),VALUE(LEFT(CH1071,4)),VALUE(LEFT(CH1071,FIND("-",CH1071)-1)))),""))</f>
        <v/>
      </c>
      <c r="CN1071">
        <f>IF(CH1071="","",IFERROR(IF(AND(LEN(CH1071)=9,ISERROR(FIND("-",LEFT(CH1071,8))),ISNUMBER(-LEFT(CH1071,8))),VALUE(MID(CH1071,5,2)),VALUE(MID(CH1071,FIND("-",CH1071)+1,FIND("-",CH1071,FIND("-",CH1071)+1)-FIND("-",CH1071)-1))),""))</f>
        <v/>
      </c>
      <c r="CO1071">
        <f>IF(CH1071="","",IFERROR(IF(AND(LEN(CH1071)=9,ISERROR(FIND("-",LEFT(CH1071,8))),ISNUMBER(-LEFT(CH1071,8))),VALUE(MID(CH1071,7,2)),VALUE(MID(CH1071,FIND("-",CH1071,FIND("-",CH1071)+1)+1,FIND("-",CH1071,FIND("-",CH1071,FIND("-",CH1071)+1)+1)-FIND("-",CH1071,FIND("-",CH1071)+1)-1))),""))</f>
        <v/>
      </c>
    </row>
    <row r="1072">
      <c r="CH1072">
        <f>IF(ISTEXT('월 가계부'!A1072),SUBSTITUTE(SUBSTITUTE(SUBSTITUTE(SUBSTITUTE(SUBSTITUTE(SUBSTITUTE(SUBSTITUTE(SUBSTITUTE(SUBSTITUTE(TRIM('월 가계부'!A1072),"년","-"),"월","-"),"일",""),".","-"),"/","-")," ","-"),"--","-"),"--","-"),"--","-")&amp;"-","")</f>
        <v/>
      </c>
      <c r="CI1072">
        <f>IFERROR(IF('월 가계부'!A1072="","",IF(ISNUMBER('월 가계부'!A1072),IF(AND('월 가계부'!A1072&gt;=19000101,'월 가계부'!A1072&lt;=21001231),IF(AND(MOD(INT('월 가계부'!A1072/100),100)&gt;=1,MOD(INT('월 가계부'!A1072/100),100)&lt;=12,MOD(INT('월 가계부'!A1072),100)&gt;=1,MOD(INT('월 가계부'!A1072),100)&lt;=31),IF(MONTH(DATE(INT('월 가계부'!A1072/10000),MOD(INT('월 가계부'!A1072/100),100),MOD(INT('월 가계부'!A1072),100)))=MOD(INT('월 가계부'!A1072/100),100),DATE(INT('월 가계부'!A1072/10000),MOD(INT('월 가계부'!A1072/100),100),MOD(INT('월 가계부'!A1072),100)),""),""),IF(AND('월 가계부'!A1072&gt;=36526,'월 가계부'!A1072&lt;73051),INT('월 가계부'!A1072),"")),IF(OR(CM1072="",CN1072="",CO1072=""),"",IF(AND(CM1072&gt;=2000,CM1072&lt;=2099,CN1072&gt;=1,CN1072&lt;=12,CO1072&gt;=1,CO1072&lt;=31),IF(MONTH(DATE(CM1072,CN1072,CO1072))=CN1072,DATE(CM1072,CN1072,CO1072),""),"")))),"")</f>
        <v/>
      </c>
      <c r="CJ1072">
        <f>IFERROR(IF('월 가계부'!C1072="","",IF(ISNUMBER('월 가계부'!C1072),'월 가계부'!C1072,VALUE(SUBSTITUTE(SUBSTITUTE(SUBSTITUTE(SUBSTITUTE(TRIM('월 가계부'!C1072),",",""),"원","")," ",""),"−","-")))),"")</f>
        <v/>
      </c>
      <c r="CK1072">
        <f>IF(ISNUMBER(CI1072),IF(CI1072&lt;$B$13,CI1072,""),"")</f>
        <v/>
      </c>
      <c r="CM1072">
        <f>IF(CH1072="","",IFERROR(IF(IF(AND(LEN(CH1072)=9,ISERROR(FIND("-",LEFT(CH1072,8))),ISNUMBER(-LEFT(CH1072,8))),VALUE(LEFT(CH1072,4)),VALUE(LEFT(CH1072,FIND("-",CH1072)-1)))&lt;100,IF(AND(LEN(CH1072)=9,ISERROR(FIND("-",LEFT(CH1072,8))),ISNUMBER(-LEFT(CH1072,8))),VALUE(LEFT(CH1072,4)),VALUE(LEFT(CH1072,FIND("-",CH1072)-1)))+2000,IF(AND(LEN(CH1072)=9,ISERROR(FIND("-",LEFT(CH1072,8))),ISNUMBER(-LEFT(CH1072,8))),VALUE(LEFT(CH1072,4)),VALUE(LEFT(CH1072,FIND("-",CH1072)-1)))),""))</f>
        <v/>
      </c>
      <c r="CN1072">
        <f>IF(CH1072="","",IFERROR(IF(AND(LEN(CH1072)=9,ISERROR(FIND("-",LEFT(CH1072,8))),ISNUMBER(-LEFT(CH1072,8))),VALUE(MID(CH1072,5,2)),VALUE(MID(CH1072,FIND("-",CH1072)+1,FIND("-",CH1072,FIND("-",CH1072)+1)-FIND("-",CH1072)-1))),""))</f>
        <v/>
      </c>
      <c r="CO1072">
        <f>IF(CH1072="","",IFERROR(IF(AND(LEN(CH1072)=9,ISERROR(FIND("-",LEFT(CH1072,8))),ISNUMBER(-LEFT(CH1072,8))),VALUE(MID(CH1072,7,2)),VALUE(MID(CH1072,FIND("-",CH1072,FIND("-",CH1072)+1)+1,FIND("-",CH1072,FIND("-",CH1072,FIND("-",CH1072)+1)+1)-FIND("-",CH1072,FIND("-",CH1072)+1)-1))),""))</f>
        <v/>
      </c>
    </row>
    <row r="1073">
      <c r="CH1073">
        <f>IF(ISTEXT('월 가계부'!A1073),SUBSTITUTE(SUBSTITUTE(SUBSTITUTE(SUBSTITUTE(SUBSTITUTE(SUBSTITUTE(SUBSTITUTE(SUBSTITUTE(SUBSTITUTE(TRIM('월 가계부'!A1073),"년","-"),"월","-"),"일",""),".","-"),"/","-")," ","-"),"--","-"),"--","-"),"--","-")&amp;"-","")</f>
        <v/>
      </c>
      <c r="CI1073">
        <f>IFERROR(IF('월 가계부'!A1073="","",IF(ISNUMBER('월 가계부'!A1073),IF(AND('월 가계부'!A1073&gt;=19000101,'월 가계부'!A1073&lt;=21001231),IF(AND(MOD(INT('월 가계부'!A1073/100),100)&gt;=1,MOD(INT('월 가계부'!A1073/100),100)&lt;=12,MOD(INT('월 가계부'!A1073),100)&gt;=1,MOD(INT('월 가계부'!A1073),100)&lt;=31),IF(MONTH(DATE(INT('월 가계부'!A1073/10000),MOD(INT('월 가계부'!A1073/100),100),MOD(INT('월 가계부'!A1073),100)))=MOD(INT('월 가계부'!A1073/100),100),DATE(INT('월 가계부'!A1073/10000),MOD(INT('월 가계부'!A1073/100),100),MOD(INT('월 가계부'!A1073),100)),""),""),IF(AND('월 가계부'!A1073&gt;=36526,'월 가계부'!A1073&lt;73051),INT('월 가계부'!A1073),"")),IF(OR(CM1073="",CN1073="",CO1073=""),"",IF(AND(CM1073&gt;=2000,CM1073&lt;=2099,CN1073&gt;=1,CN1073&lt;=12,CO1073&gt;=1,CO1073&lt;=31),IF(MONTH(DATE(CM1073,CN1073,CO1073))=CN1073,DATE(CM1073,CN1073,CO1073),""),"")))),"")</f>
        <v/>
      </c>
      <c r="CJ1073">
        <f>IFERROR(IF('월 가계부'!C1073="","",IF(ISNUMBER('월 가계부'!C1073),'월 가계부'!C1073,VALUE(SUBSTITUTE(SUBSTITUTE(SUBSTITUTE(SUBSTITUTE(TRIM('월 가계부'!C1073),",",""),"원","")," ",""),"−","-")))),"")</f>
        <v/>
      </c>
      <c r="CK1073">
        <f>IF(ISNUMBER(CI1073),IF(CI1073&lt;$B$13,CI1073,""),"")</f>
        <v/>
      </c>
      <c r="CM1073">
        <f>IF(CH1073="","",IFERROR(IF(IF(AND(LEN(CH1073)=9,ISERROR(FIND("-",LEFT(CH1073,8))),ISNUMBER(-LEFT(CH1073,8))),VALUE(LEFT(CH1073,4)),VALUE(LEFT(CH1073,FIND("-",CH1073)-1)))&lt;100,IF(AND(LEN(CH1073)=9,ISERROR(FIND("-",LEFT(CH1073,8))),ISNUMBER(-LEFT(CH1073,8))),VALUE(LEFT(CH1073,4)),VALUE(LEFT(CH1073,FIND("-",CH1073)-1)))+2000,IF(AND(LEN(CH1073)=9,ISERROR(FIND("-",LEFT(CH1073,8))),ISNUMBER(-LEFT(CH1073,8))),VALUE(LEFT(CH1073,4)),VALUE(LEFT(CH1073,FIND("-",CH1073)-1)))),""))</f>
        <v/>
      </c>
      <c r="CN1073">
        <f>IF(CH1073="","",IFERROR(IF(AND(LEN(CH1073)=9,ISERROR(FIND("-",LEFT(CH1073,8))),ISNUMBER(-LEFT(CH1073,8))),VALUE(MID(CH1073,5,2)),VALUE(MID(CH1073,FIND("-",CH1073)+1,FIND("-",CH1073,FIND("-",CH1073)+1)-FIND("-",CH1073)-1))),""))</f>
        <v/>
      </c>
      <c r="CO1073">
        <f>IF(CH1073="","",IFERROR(IF(AND(LEN(CH1073)=9,ISERROR(FIND("-",LEFT(CH1073,8))),ISNUMBER(-LEFT(CH1073,8))),VALUE(MID(CH1073,7,2)),VALUE(MID(CH1073,FIND("-",CH1073,FIND("-",CH1073)+1)+1,FIND("-",CH1073,FIND("-",CH1073,FIND("-",CH1073)+1)+1)-FIND("-",CH1073,FIND("-",CH1073)+1)-1))),""))</f>
        <v/>
      </c>
    </row>
    <row r="1074">
      <c r="CH1074">
        <f>IF(ISTEXT('월 가계부'!A1074),SUBSTITUTE(SUBSTITUTE(SUBSTITUTE(SUBSTITUTE(SUBSTITUTE(SUBSTITUTE(SUBSTITUTE(SUBSTITUTE(SUBSTITUTE(TRIM('월 가계부'!A1074),"년","-"),"월","-"),"일",""),".","-"),"/","-")," ","-"),"--","-"),"--","-"),"--","-")&amp;"-","")</f>
        <v/>
      </c>
      <c r="CI1074">
        <f>IFERROR(IF('월 가계부'!A1074="","",IF(ISNUMBER('월 가계부'!A1074),IF(AND('월 가계부'!A1074&gt;=19000101,'월 가계부'!A1074&lt;=21001231),IF(AND(MOD(INT('월 가계부'!A1074/100),100)&gt;=1,MOD(INT('월 가계부'!A1074/100),100)&lt;=12,MOD(INT('월 가계부'!A1074),100)&gt;=1,MOD(INT('월 가계부'!A1074),100)&lt;=31),IF(MONTH(DATE(INT('월 가계부'!A1074/10000),MOD(INT('월 가계부'!A1074/100),100),MOD(INT('월 가계부'!A1074),100)))=MOD(INT('월 가계부'!A1074/100),100),DATE(INT('월 가계부'!A1074/10000),MOD(INT('월 가계부'!A1074/100),100),MOD(INT('월 가계부'!A1074),100)),""),""),IF(AND('월 가계부'!A1074&gt;=36526,'월 가계부'!A1074&lt;73051),INT('월 가계부'!A1074),"")),IF(OR(CM1074="",CN1074="",CO1074=""),"",IF(AND(CM1074&gt;=2000,CM1074&lt;=2099,CN1074&gt;=1,CN1074&lt;=12,CO1074&gt;=1,CO1074&lt;=31),IF(MONTH(DATE(CM1074,CN1074,CO1074))=CN1074,DATE(CM1074,CN1074,CO1074),""),"")))),"")</f>
        <v/>
      </c>
      <c r="CJ1074">
        <f>IFERROR(IF('월 가계부'!C1074="","",IF(ISNUMBER('월 가계부'!C1074),'월 가계부'!C1074,VALUE(SUBSTITUTE(SUBSTITUTE(SUBSTITUTE(SUBSTITUTE(TRIM('월 가계부'!C1074),",",""),"원","")," ",""),"−","-")))),"")</f>
        <v/>
      </c>
      <c r="CK1074">
        <f>IF(ISNUMBER(CI1074),IF(CI1074&lt;$B$13,CI1074,""),"")</f>
        <v/>
      </c>
      <c r="CM1074">
        <f>IF(CH1074="","",IFERROR(IF(IF(AND(LEN(CH1074)=9,ISERROR(FIND("-",LEFT(CH1074,8))),ISNUMBER(-LEFT(CH1074,8))),VALUE(LEFT(CH1074,4)),VALUE(LEFT(CH1074,FIND("-",CH1074)-1)))&lt;100,IF(AND(LEN(CH1074)=9,ISERROR(FIND("-",LEFT(CH1074,8))),ISNUMBER(-LEFT(CH1074,8))),VALUE(LEFT(CH1074,4)),VALUE(LEFT(CH1074,FIND("-",CH1074)-1)))+2000,IF(AND(LEN(CH1074)=9,ISERROR(FIND("-",LEFT(CH1074,8))),ISNUMBER(-LEFT(CH1074,8))),VALUE(LEFT(CH1074,4)),VALUE(LEFT(CH1074,FIND("-",CH1074)-1)))),""))</f>
        <v/>
      </c>
      <c r="CN1074">
        <f>IF(CH1074="","",IFERROR(IF(AND(LEN(CH1074)=9,ISERROR(FIND("-",LEFT(CH1074,8))),ISNUMBER(-LEFT(CH1074,8))),VALUE(MID(CH1074,5,2)),VALUE(MID(CH1074,FIND("-",CH1074)+1,FIND("-",CH1074,FIND("-",CH1074)+1)-FIND("-",CH1074)-1))),""))</f>
        <v/>
      </c>
      <c r="CO1074">
        <f>IF(CH1074="","",IFERROR(IF(AND(LEN(CH1074)=9,ISERROR(FIND("-",LEFT(CH1074,8))),ISNUMBER(-LEFT(CH1074,8))),VALUE(MID(CH1074,7,2)),VALUE(MID(CH1074,FIND("-",CH1074,FIND("-",CH1074)+1)+1,FIND("-",CH1074,FIND("-",CH1074,FIND("-",CH1074)+1)+1)-FIND("-",CH1074,FIND("-",CH1074)+1)-1))),""))</f>
        <v/>
      </c>
    </row>
    <row r="1075">
      <c r="CH1075">
        <f>IF(ISTEXT('월 가계부'!A1075),SUBSTITUTE(SUBSTITUTE(SUBSTITUTE(SUBSTITUTE(SUBSTITUTE(SUBSTITUTE(SUBSTITUTE(SUBSTITUTE(SUBSTITUTE(TRIM('월 가계부'!A1075),"년","-"),"월","-"),"일",""),".","-"),"/","-")," ","-"),"--","-"),"--","-"),"--","-")&amp;"-","")</f>
        <v/>
      </c>
      <c r="CI1075">
        <f>IFERROR(IF('월 가계부'!A1075="","",IF(ISNUMBER('월 가계부'!A1075),IF(AND('월 가계부'!A1075&gt;=19000101,'월 가계부'!A1075&lt;=21001231),IF(AND(MOD(INT('월 가계부'!A1075/100),100)&gt;=1,MOD(INT('월 가계부'!A1075/100),100)&lt;=12,MOD(INT('월 가계부'!A1075),100)&gt;=1,MOD(INT('월 가계부'!A1075),100)&lt;=31),IF(MONTH(DATE(INT('월 가계부'!A1075/10000),MOD(INT('월 가계부'!A1075/100),100),MOD(INT('월 가계부'!A1075),100)))=MOD(INT('월 가계부'!A1075/100),100),DATE(INT('월 가계부'!A1075/10000),MOD(INT('월 가계부'!A1075/100),100),MOD(INT('월 가계부'!A1075),100)),""),""),IF(AND('월 가계부'!A1075&gt;=36526,'월 가계부'!A1075&lt;73051),INT('월 가계부'!A1075),"")),IF(OR(CM1075="",CN1075="",CO1075=""),"",IF(AND(CM1075&gt;=2000,CM1075&lt;=2099,CN1075&gt;=1,CN1075&lt;=12,CO1075&gt;=1,CO1075&lt;=31),IF(MONTH(DATE(CM1075,CN1075,CO1075))=CN1075,DATE(CM1075,CN1075,CO1075),""),"")))),"")</f>
        <v/>
      </c>
      <c r="CJ1075">
        <f>IFERROR(IF('월 가계부'!C1075="","",IF(ISNUMBER('월 가계부'!C1075),'월 가계부'!C1075,VALUE(SUBSTITUTE(SUBSTITUTE(SUBSTITUTE(SUBSTITUTE(TRIM('월 가계부'!C1075),",",""),"원","")," ",""),"−","-")))),"")</f>
        <v/>
      </c>
      <c r="CK1075">
        <f>IF(ISNUMBER(CI1075),IF(CI1075&lt;$B$13,CI1075,""),"")</f>
        <v/>
      </c>
      <c r="CM1075">
        <f>IF(CH1075="","",IFERROR(IF(IF(AND(LEN(CH1075)=9,ISERROR(FIND("-",LEFT(CH1075,8))),ISNUMBER(-LEFT(CH1075,8))),VALUE(LEFT(CH1075,4)),VALUE(LEFT(CH1075,FIND("-",CH1075)-1)))&lt;100,IF(AND(LEN(CH1075)=9,ISERROR(FIND("-",LEFT(CH1075,8))),ISNUMBER(-LEFT(CH1075,8))),VALUE(LEFT(CH1075,4)),VALUE(LEFT(CH1075,FIND("-",CH1075)-1)))+2000,IF(AND(LEN(CH1075)=9,ISERROR(FIND("-",LEFT(CH1075,8))),ISNUMBER(-LEFT(CH1075,8))),VALUE(LEFT(CH1075,4)),VALUE(LEFT(CH1075,FIND("-",CH1075)-1)))),""))</f>
        <v/>
      </c>
      <c r="CN1075">
        <f>IF(CH1075="","",IFERROR(IF(AND(LEN(CH1075)=9,ISERROR(FIND("-",LEFT(CH1075,8))),ISNUMBER(-LEFT(CH1075,8))),VALUE(MID(CH1075,5,2)),VALUE(MID(CH1075,FIND("-",CH1075)+1,FIND("-",CH1075,FIND("-",CH1075)+1)-FIND("-",CH1075)-1))),""))</f>
        <v/>
      </c>
      <c r="CO1075">
        <f>IF(CH1075="","",IFERROR(IF(AND(LEN(CH1075)=9,ISERROR(FIND("-",LEFT(CH1075,8))),ISNUMBER(-LEFT(CH1075,8))),VALUE(MID(CH1075,7,2)),VALUE(MID(CH1075,FIND("-",CH1075,FIND("-",CH1075)+1)+1,FIND("-",CH1075,FIND("-",CH1075,FIND("-",CH1075)+1)+1)-FIND("-",CH1075,FIND("-",CH1075)+1)-1))),""))</f>
        <v/>
      </c>
    </row>
    <row r="1076">
      <c r="CH1076">
        <f>IF(ISTEXT('월 가계부'!A1076),SUBSTITUTE(SUBSTITUTE(SUBSTITUTE(SUBSTITUTE(SUBSTITUTE(SUBSTITUTE(SUBSTITUTE(SUBSTITUTE(SUBSTITUTE(TRIM('월 가계부'!A1076),"년","-"),"월","-"),"일",""),".","-"),"/","-")," ","-"),"--","-"),"--","-"),"--","-")&amp;"-","")</f>
        <v/>
      </c>
      <c r="CI1076">
        <f>IFERROR(IF('월 가계부'!A1076="","",IF(ISNUMBER('월 가계부'!A1076),IF(AND('월 가계부'!A1076&gt;=19000101,'월 가계부'!A1076&lt;=21001231),IF(AND(MOD(INT('월 가계부'!A1076/100),100)&gt;=1,MOD(INT('월 가계부'!A1076/100),100)&lt;=12,MOD(INT('월 가계부'!A1076),100)&gt;=1,MOD(INT('월 가계부'!A1076),100)&lt;=31),IF(MONTH(DATE(INT('월 가계부'!A1076/10000),MOD(INT('월 가계부'!A1076/100),100),MOD(INT('월 가계부'!A1076),100)))=MOD(INT('월 가계부'!A1076/100),100),DATE(INT('월 가계부'!A1076/10000),MOD(INT('월 가계부'!A1076/100),100),MOD(INT('월 가계부'!A1076),100)),""),""),IF(AND('월 가계부'!A1076&gt;=36526,'월 가계부'!A1076&lt;73051),INT('월 가계부'!A1076),"")),IF(OR(CM1076="",CN1076="",CO1076=""),"",IF(AND(CM1076&gt;=2000,CM1076&lt;=2099,CN1076&gt;=1,CN1076&lt;=12,CO1076&gt;=1,CO1076&lt;=31),IF(MONTH(DATE(CM1076,CN1076,CO1076))=CN1076,DATE(CM1076,CN1076,CO1076),""),"")))),"")</f>
        <v/>
      </c>
      <c r="CJ1076">
        <f>IFERROR(IF('월 가계부'!C1076="","",IF(ISNUMBER('월 가계부'!C1076),'월 가계부'!C1076,VALUE(SUBSTITUTE(SUBSTITUTE(SUBSTITUTE(SUBSTITUTE(TRIM('월 가계부'!C1076),",",""),"원","")," ",""),"−","-")))),"")</f>
        <v/>
      </c>
      <c r="CK1076">
        <f>IF(ISNUMBER(CI1076),IF(CI1076&lt;$B$13,CI1076,""),"")</f>
        <v/>
      </c>
      <c r="CM1076">
        <f>IF(CH1076="","",IFERROR(IF(IF(AND(LEN(CH1076)=9,ISERROR(FIND("-",LEFT(CH1076,8))),ISNUMBER(-LEFT(CH1076,8))),VALUE(LEFT(CH1076,4)),VALUE(LEFT(CH1076,FIND("-",CH1076)-1)))&lt;100,IF(AND(LEN(CH1076)=9,ISERROR(FIND("-",LEFT(CH1076,8))),ISNUMBER(-LEFT(CH1076,8))),VALUE(LEFT(CH1076,4)),VALUE(LEFT(CH1076,FIND("-",CH1076)-1)))+2000,IF(AND(LEN(CH1076)=9,ISERROR(FIND("-",LEFT(CH1076,8))),ISNUMBER(-LEFT(CH1076,8))),VALUE(LEFT(CH1076,4)),VALUE(LEFT(CH1076,FIND("-",CH1076)-1)))),""))</f>
        <v/>
      </c>
      <c r="CN1076">
        <f>IF(CH1076="","",IFERROR(IF(AND(LEN(CH1076)=9,ISERROR(FIND("-",LEFT(CH1076,8))),ISNUMBER(-LEFT(CH1076,8))),VALUE(MID(CH1076,5,2)),VALUE(MID(CH1076,FIND("-",CH1076)+1,FIND("-",CH1076,FIND("-",CH1076)+1)-FIND("-",CH1076)-1))),""))</f>
        <v/>
      </c>
      <c r="CO1076">
        <f>IF(CH1076="","",IFERROR(IF(AND(LEN(CH1076)=9,ISERROR(FIND("-",LEFT(CH1076,8))),ISNUMBER(-LEFT(CH1076,8))),VALUE(MID(CH1076,7,2)),VALUE(MID(CH1076,FIND("-",CH1076,FIND("-",CH1076)+1)+1,FIND("-",CH1076,FIND("-",CH1076,FIND("-",CH1076)+1)+1)-FIND("-",CH1076,FIND("-",CH1076)+1)-1))),""))</f>
        <v/>
      </c>
    </row>
    <row r="1077">
      <c r="CH1077">
        <f>IF(ISTEXT('월 가계부'!A1077),SUBSTITUTE(SUBSTITUTE(SUBSTITUTE(SUBSTITUTE(SUBSTITUTE(SUBSTITUTE(SUBSTITUTE(SUBSTITUTE(SUBSTITUTE(TRIM('월 가계부'!A1077),"년","-"),"월","-"),"일",""),".","-"),"/","-")," ","-"),"--","-"),"--","-"),"--","-")&amp;"-","")</f>
        <v/>
      </c>
      <c r="CI1077">
        <f>IFERROR(IF('월 가계부'!A1077="","",IF(ISNUMBER('월 가계부'!A1077),IF(AND('월 가계부'!A1077&gt;=19000101,'월 가계부'!A1077&lt;=21001231),IF(AND(MOD(INT('월 가계부'!A1077/100),100)&gt;=1,MOD(INT('월 가계부'!A1077/100),100)&lt;=12,MOD(INT('월 가계부'!A1077),100)&gt;=1,MOD(INT('월 가계부'!A1077),100)&lt;=31),IF(MONTH(DATE(INT('월 가계부'!A1077/10000),MOD(INT('월 가계부'!A1077/100),100),MOD(INT('월 가계부'!A1077),100)))=MOD(INT('월 가계부'!A1077/100),100),DATE(INT('월 가계부'!A1077/10000),MOD(INT('월 가계부'!A1077/100),100),MOD(INT('월 가계부'!A1077),100)),""),""),IF(AND('월 가계부'!A1077&gt;=36526,'월 가계부'!A1077&lt;73051),INT('월 가계부'!A1077),"")),IF(OR(CM1077="",CN1077="",CO1077=""),"",IF(AND(CM1077&gt;=2000,CM1077&lt;=2099,CN1077&gt;=1,CN1077&lt;=12,CO1077&gt;=1,CO1077&lt;=31),IF(MONTH(DATE(CM1077,CN1077,CO1077))=CN1077,DATE(CM1077,CN1077,CO1077),""),"")))),"")</f>
        <v/>
      </c>
      <c r="CJ1077">
        <f>IFERROR(IF('월 가계부'!C1077="","",IF(ISNUMBER('월 가계부'!C1077),'월 가계부'!C1077,VALUE(SUBSTITUTE(SUBSTITUTE(SUBSTITUTE(SUBSTITUTE(TRIM('월 가계부'!C1077),",",""),"원","")," ",""),"−","-")))),"")</f>
        <v/>
      </c>
      <c r="CK1077">
        <f>IF(ISNUMBER(CI1077),IF(CI1077&lt;$B$13,CI1077,""),"")</f>
        <v/>
      </c>
      <c r="CM1077">
        <f>IF(CH1077="","",IFERROR(IF(IF(AND(LEN(CH1077)=9,ISERROR(FIND("-",LEFT(CH1077,8))),ISNUMBER(-LEFT(CH1077,8))),VALUE(LEFT(CH1077,4)),VALUE(LEFT(CH1077,FIND("-",CH1077)-1)))&lt;100,IF(AND(LEN(CH1077)=9,ISERROR(FIND("-",LEFT(CH1077,8))),ISNUMBER(-LEFT(CH1077,8))),VALUE(LEFT(CH1077,4)),VALUE(LEFT(CH1077,FIND("-",CH1077)-1)))+2000,IF(AND(LEN(CH1077)=9,ISERROR(FIND("-",LEFT(CH1077,8))),ISNUMBER(-LEFT(CH1077,8))),VALUE(LEFT(CH1077,4)),VALUE(LEFT(CH1077,FIND("-",CH1077)-1)))),""))</f>
        <v/>
      </c>
      <c r="CN1077">
        <f>IF(CH1077="","",IFERROR(IF(AND(LEN(CH1077)=9,ISERROR(FIND("-",LEFT(CH1077,8))),ISNUMBER(-LEFT(CH1077,8))),VALUE(MID(CH1077,5,2)),VALUE(MID(CH1077,FIND("-",CH1077)+1,FIND("-",CH1077,FIND("-",CH1077)+1)-FIND("-",CH1077)-1))),""))</f>
        <v/>
      </c>
      <c r="CO1077">
        <f>IF(CH1077="","",IFERROR(IF(AND(LEN(CH1077)=9,ISERROR(FIND("-",LEFT(CH1077,8))),ISNUMBER(-LEFT(CH1077,8))),VALUE(MID(CH1077,7,2)),VALUE(MID(CH1077,FIND("-",CH1077,FIND("-",CH1077)+1)+1,FIND("-",CH1077,FIND("-",CH1077,FIND("-",CH1077)+1)+1)-FIND("-",CH1077,FIND("-",CH1077)+1)-1))),""))</f>
        <v/>
      </c>
    </row>
    <row r="1078">
      <c r="CH1078">
        <f>IF(ISTEXT('월 가계부'!A1078),SUBSTITUTE(SUBSTITUTE(SUBSTITUTE(SUBSTITUTE(SUBSTITUTE(SUBSTITUTE(SUBSTITUTE(SUBSTITUTE(SUBSTITUTE(TRIM('월 가계부'!A1078),"년","-"),"월","-"),"일",""),".","-"),"/","-")," ","-"),"--","-"),"--","-"),"--","-")&amp;"-","")</f>
        <v/>
      </c>
      <c r="CI1078">
        <f>IFERROR(IF('월 가계부'!A1078="","",IF(ISNUMBER('월 가계부'!A1078),IF(AND('월 가계부'!A1078&gt;=19000101,'월 가계부'!A1078&lt;=21001231),IF(AND(MOD(INT('월 가계부'!A1078/100),100)&gt;=1,MOD(INT('월 가계부'!A1078/100),100)&lt;=12,MOD(INT('월 가계부'!A1078),100)&gt;=1,MOD(INT('월 가계부'!A1078),100)&lt;=31),IF(MONTH(DATE(INT('월 가계부'!A1078/10000),MOD(INT('월 가계부'!A1078/100),100),MOD(INT('월 가계부'!A1078),100)))=MOD(INT('월 가계부'!A1078/100),100),DATE(INT('월 가계부'!A1078/10000),MOD(INT('월 가계부'!A1078/100),100),MOD(INT('월 가계부'!A1078),100)),""),""),IF(AND('월 가계부'!A1078&gt;=36526,'월 가계부'!A1078&lt;73051),INT('월 가계부'!A1078),"")),IF(OR(CM1078="",CN1078="",CO1078=""),"",IF(AND(CM1078&gt;=2000,CM1078&lt;=2099,CN1078&gt;=1,CN1078&lt;=12,CO1078&gt;=1,CO1078&lt;=31),IF(MONTH(DATE(CM1078,CN1078,CO1078))=CN1078,DATE(CM1078,CN1078,CO1078),""),"")))),"")</f>
        <v/>
      </c>
      <c r="CJ1078">
        <f>IFERROR(IF('월 가계부'!C1078="","",IF(ISNUMBER('월 가계부'!C1078),'월 가계부'!C1078,VALUE(SUBSTITUTE(SUBSTITUTE(SUBSTITUTE(SUBSTITUTE(TRIM('월 가계부'!C1078),",",""),"원","")," ",""),"−","-")))),"")</f>
        <v/>
      </c>
      <c r="CK1078">
        <f>IF(ISNUMBER(CI1078),IF(CI1078&lt;$B$13,CI1078,""),"")</f>
        <v/>
      </c>
      <c r="CM1078">
        <f>IF(CH1078="","",IFERROR(IF(IF(AND(LEN(CH1078)=9,ISERROR(FIND("-",LEFT(CH1078,8))),ISNUMBER(-LEFT(CH1078,8))),VALUE(LEFT(CH1078,4)),VALUE(LEFT(CH1078,FIND("-",CH1078)-1)))&lt;100,IF(AND(LEN(CH1078)=9,ISERROR(FIND("-",LEFT(CH1078,8))),ISNUMBER(-LEFT(CH1078,8))),VALUE(LEFT(CH1078,4)),VALUE(LEFT(CH1078,FIND("-",CH1078)-1)))+2000,IF(AND(LEN(CH1078)=9,ISERROR(FIND("-",LEFT(CH1078,8))),ISNUMBER(-LEFT(CH1078,8))),VALUE(LEFT(CH1078,4)),VALUE(LEFT(CH1078,FIND("-",CH1078)-1)))),""))</f>
        <v/>
      </c>
      <c r="CN1078">
        <f>IF(CH1078="","",IFERROR(IF(AND(LEN(CH1078)=9,ISERROR(FIND("-",LEFT(CH1078,8))),ISNUMBER(-LEFT(CH1078,8))),VALUE(MID(CH1078,5,2)),VALUE(MID(CH1078,FIND("-",CH1078)+1,FIND("-",CH1078,FIND("-",CH1078)+1)-FIND("-",CH1078)-1))),""))</f>
        <v/>
      </c>
      <c r="CO1078">
        <f>IF(CH1078="","",IFERROR(IF(AND(LEN(CH1078)=9,ISERROR(FIND("-",LEFT(CH1078,8))),ISNUMBER(-LEFT(CH1078,8))),VALUE(MID(CH1078,7,2)),VALUE(MID(CH1078,FIND("-",CH1078,FIND("-",CH1078)+1)+1,FIND("-",CH1078,FIND("-",CH1078,FIND("-",CH1078)+1)+1)-FIND("-",CH1078,FIND("-",CH1078)+1)-1))),""))</f>
        <v/>
      </c>
    </row>
    <row r="1079">
      <c r="CH1079">
        <f>IF(ISTEXT('월 가계부'!A1079),SUBSTITUTE(SUBSTITUTE(SUBSTITUTE(SUBSTITUTE(SUBSTITUTE(SUBSTITUTE(SUBSTITUTE(SUBSTITUTE(SUBSTITUTE(TRIM('월 가계부'!A1079),"년","-"),"월","-"),"일",""),".","-"),"/","-")," ","-"),"--","-"),"--","-"),"--","-")&amp;"-","")</f>
        <v/>
      </c>
      <c r="CI1079">
        <f>IFERROR(IF('월 가계부'!A1079="","",IF(ISNUMBER('월 가계부'!A1079),IF(AND('월 가계부'!A1079&gt;=19000101,'월 가계부'!A1079&lt;=21001231),IF(AND(MOD(INT('월 가계부'!A1079/100),100)&gt;=1,MOD(INT('월 가계부'!A1079/100),100)&lt;=12,MOD(INT('월 가계부'!A1079),100)&gt;=1,MOD(INT('월 가계부'!A1079),100)&lt;=31),IF(MONTH(DATE(INT('월 가계부'!A1079/10000),MOD(INT('월 가계부'!A1079/100),100),MOD(INT('월 가계부'!A1079),100)))=MOD(INT('월 가계부'!A1079/100),100),DATE(INT('월 가계부'!A1079/10000),MOD(INT('월 가계부'!A1079/100),100),MOD(INT('월 가계부'!A1079),100)),""),""),IF(AND('월 가계부'!A1079&gt;=36526,'월 가계부'!A1079&lt;73051),INT('월 가계부'!A1079),"")),IF(OR(CM1079="",CN1079="",CO1079=""),"",IF(AND(CM1079&gt;=2000,CM1079&lt;=2099,CN1079&gt;=1,CN1079&lt;=12,CO1079&gt;=1,CO1079&lt;=31),IF(MONTH(DATE(CM1079,CN1079,CO1079))=CN1079,DATE(CM1079,CN1079,CO1079),""),"")))),"")</f>
        <v/>
      </c>
      <c r="CJ1079">
        <f>IFERROR(IF('월 가계부'!C1079="","",IF(ISNUMBER('월 가계부'!C1079),'월 가계부'!C1079,VALUE(SUBSTITUTE(SUBSTITUTE(SUBSTITUTE(SUBSTITUTE(TRIM('월 가계부'!C1079),",",""),"원","")," ",""),"−","-")))),"")</f>
        <v/>
      </c>
      <c r="CK1079">
        <f>IF(ISNUMBER(CI1079),IF(CI1079&lt;$B$13,CI1079,""),"")</f>
        <v/>
      </c>
      <c r="CM1079">
        <f>IF(CH1079="","",IFERROR(IF(IF(AND(LEN(CH1079)=9,ISERROR(FIND("-",LEFT(CH1079,8))),ISNUMBER(-LEFT(CH1079,8))),VALUE(LEFT(CH1079,4)),VALUE(LEFT(CH1079,FIND("-",CH1079)-1)))&lt;100,IF(AND(LEN(CH1079)=9,ISERROR(FIND("-",LEFT(CH1079,8))),ISNUMBER(-LEFT(CH1079,8))),VALUE(LEFT(CH1079,4)),VALUE(LEFT(CH1079,FIND("-",CH1079)-1)))+2000,IF(AND(LEN(CH1079)=9,ISERROR(FIND("-",LEFT(CH1079,8))),ISNUMBER(-LEFT(CH1079,8))),VALUE(LEFT(CH1079,4)),VALUE(LEFT(CH1079,FIND("-",CH1079)-1)))),""))</f>
        <v/>
      </c>
      <c r="CN1079">
        <f>IF(CH1079="","",IFERROR(IF(AND(LEN(CH1079)=9,ISERROR(FIND("-",LEFT(CH1079,8))),ISNUMBER(-LEFT(CH1079,8))),VALUE(MID(CH1079,5,2)),VALUE(MID(CH1079,FIND("-",CH1079)+1,FIND("-",CH1079,FIND("-",CH1079)+1)-FIND("-",CH1079)-1))),""))</f>
        <v/>
      </c>
      <c r="CO1079">
        <f>IF(CH1079="","",IFERROR(IF(AND(LEN(CH1079)=9,ISERROR(FIND("-",LEFT(CH1079,8))),ISNUMBER(-LEFT(CH1079,8))),VALUE(MID(CH1079,7,2)),VALUE(MID(CH1079,FIND("-",CH1079,FIND("-",CH1079)+1)+1,FIND("-",CH1079,FIND("-",CH1079,FIND("-",CH1079)+1)+1)-FIND("-",CH1079,FIND("-",CH1079)+1)-1))),""))</f>
        <v/>
      </c>
    </row>
    <row r="1080">
      <c r="CH1080">
        <f>IF(ISTEXT('월 가계부'!A1080),SUBSTITUTE(SUBSTITUTE(SUBSTITUTE(SUBSTITUTE(SUBSTITUTE(SUBSTITUTE(SUBSTITUTE(SUBSTITUTE(SUBSTITUTE(TRIM('월 가계부'!A1080),"년","-"),"월","-"),"일",""),".","-"),"/","-")," ","-"),"--","-"),"--","-"),"--","-")&amp;"-","")</f>
        <v/>
      </c>
      <c r="CI1080">
        <f>IFERROR(IF('월 가계부'!A1080="","",IF(ISNUMBER('월 가계부'!A1080),IF(AND('월 가계부'!A1080&gt;=19000101,'월 가계부'!A1080&lt;=21001231),IF(AND(MOD(INT('월 가계부'!A1080/100),100)&gt;=1,MOD(INT('월 가계부'!A1080/100),100)&lt;=12,MOD(INT('월 가계부'!A1080),100)&gt;=1,MOD(INT('월 가계부'!A1080),100)&lt;=31),IF(MONTH(DATE(INT('월 가계부'!A1080/10000),MOD(INT('월 가계부'!A1080/100),100),MOD(INT('월 가계부'!A1080),100)))=MOD(INT('월 가계부'!A1080/100),100),DATE(INT('월 가계부'!A1080/10000),MOD(INT('월 가계부'!A1080/100),100),MOD(INT('월 가계부'!A1080),100)),""),""),IF(AND('월 가계부'!A1080&gt;=36526,'월 가계부'!A1080&lt;73051),INT('월 가계부'!A1080),"")),IF(OR(CM1080="",CN1080="",CO1080=""),"",IF(AND(CM1080&gt;=2000,CM1080&lt;=2099,CN1080&gt;=1,CN1080&lt;=12,CO1080&gt;=1,CO1080&lt;=31),IF(MONTH(DATE(CM1080,CN1080,CO1080))=CN1080,DATE(CM1080,CN1080,CO1080),""),"")))),"")</f>
        <v/>
      </c>
      <c r="CJ1080">
        <f>IFERROR(IF('월 가계부'!C1080="","",IF(ISNUMBER('월 가계부'!C1080),'월 가계부'!C1080,VALUE(SUBSTITUTE(SUBSTITUTE(SUBSTITUTE(SUBSTITUTE(TRIM('월 가계부'!C1080),",",""),"원","")," ",""),"−","-")))),"")</f>
        <v/>
      </c>
      <c r="CK1080">
        <f>IF(ISNUMBER(CI1080),IF(CI1080&lt;$B$13,CI1080,""),"")</f>
        <v/>
      </c>
      <c r="CM1080">
        <f>IF(CH1080="","",IFERROR(IF(IF(AND(LEN(CH1080)=9,ISERROR(FIND("-",LEFT(CH1080,8))),ISNUMBER(-LEFT(CH1080,8))),VALUE(LEFT(CH1080,4)),VALUE(LEFT(CH1080,FIND("-",CH1080)-1)))&lt;100,IF(AND(LEN(CH1080)=9,ISERROR(FIND("-",LEFT(CH1080,8))),ISNUMBER(-LEFT(CH1080,8))),VALUE(LEFT(CH1080,4)),VALUE(LEFT(CH1080,FIND("-",CH1080)-1)))+2000,IF(AND(LEN(CH1080)=9,ISERROR(FIND("-",LEFT(CH1080,8))),ISNUMBER(-LEFT(CH1080,8))),VALUE(LEFT(CH1080,4)),VALUE(LEFT(CH1080,FIND("-",CH1080)-1)))),""))</f>
        <v/>
      </c>
      <c r="CN1080">
        <f>IF(CH1080="","",IFERROR(IF(AND(LEN(CH1080)=9,ISERROR(FIND("-",LEFT(CH1080,8))),ISNUMBER(-LEFT(CH1080,8))),VALUE(MID(CH1080,5,2)),VALUE(MID(CH1080,FIND("-",CH1080)+1,FIND("-",CH1080,FIND("-",CH1080)+1)-FIND("-",CH1080)-1))),""))</f>
        <v/>
      </c>
      <c r="CO1080">
        <f>IF(CH1080="","",IFERROR(IF(AND(LEN(CH1080)=9,ISERROR(FIND("-",LEFT(CH1080,8))),ISNUMBER(-LEFT(CH1080,8))),VALUE(MID(CH1080,7,2)),VALUE(MID(CH1080,FIND("-",CH1080,FIND("-",CH1080)+1)+1,FIND("-",CH1080,FIND("-",CH1080,FIND("-",CH1080)+1)+1)-FIND("-",CH1080,FIND("-",CH1080)+1)-1))),""))</f>
        <v/>
      </c>
    </row>
    <row r="1081">
      <c r="CH1081">
        <f>IF(ISTEXT('월 가계부'!A1081),SUBSTITUTE(SUBSTITUTE(SUBSTITUTE(SUBSTITUTE(SUBSTITUTE(SUBSTITUTE(SUBSTITUTE(SUBSTITUTE(SUBSTITUTE(TRIM('월 가계부'!A1081),"년","-"),"월","-"),"일",""),".","-"),"/","-")," ","-"),"--","-"),"--","-"),"--","-")&amp;"-","")</f>
        <v/>
      </c>
      <c r="CI1081">
        <f>IFERROR(IF('월 가계부'!A1081="","",IF(ISNUMBER('월 가계부'!A1081),IF(AND('월 가계부'!A1081&gt;=19000101,'월 가계부'!A1081&lt;=21001231),IF(AND(MOD(INT('월 가계부'!A1081/100),100)&gt;=1,MOD(INT('월 가계부'!A1081/100),100)&lt;=12,MOD(INT('월 가계부'!A1081),100)&gt;=1,MOD(INT('월 가계부'!A1081),100)&lt;=31),IF(MONTH(DATE(INT('월 가계부'!A1081/10000),MOD(INT('월 가계부'!A1081/100),100),MOD(INT('월 가계부'!A1081),100)))=MOD(INT('월 가계부'!A1081/100),100),DATE(INT('월 가계부'!A1081/10000),MOD(INT('월 가계부'!A1081/100),100),MOD(INT('월 가계부'!A1081),100)),""),""),IF(AND('월 가계부'!A1081&gt;=36526,'월 가계부'!A1081&lt;73051),INT('월 가계부'!A1081),"")),IF(OR(CM1081="",CN1081="",CO1081=""),"",IF(AND(CM1081&gt;=2000,CM1081&lt;=2099,CN1081&gt;=1,CN1081&lt;=12,CO1081&gt;=1,CO1081&lt;=31),IF(MONTH(DATE(CM1081,CN1081,CO1081))=CN1081,DATE(CM1081,CN1081,CO1081),""),"")))),"")</f>
        <v/>
      </c>
      <c r="CJ1081">
        <f>IFERROR(IF('월 가계부'!C1081="","",IF(ISNUMBER('월 가계부'!C1081),'월 가계부'!C1081,VALUE(SUBSTITUTE(SUBSTITUTE(SUBSTITUTE(SUBSTITUTE(TRIM('월 가계부'!C1081),",",""),"원","")," ",""),"−","-")))),"")</f>
        <v/>
      </c>
      <c r="CK1081">
        <f>IF(ISNUMBER(CI1081),IF(CI1081&lt;$B$13,CI1081,""),"")</f>
        <v/>
      </c>
      <c r="CM1081">
        <f>IF(CH1081="","",IFERROR(IF(IF(AND(LEN(CH1081)=9,ISERROR(FIND("-",LEFT(CH1081,8))),ISNUMBER(-LEFT(CH1081,8))),VALUE(LEFT(CH1081,4)),VALUE(LEFT(CH1081,FIND("-",CH1081)-1)))&lt;100,IF(AND(LEN(CH1081)=9,ISERROR(FIND("-",LEFT(CH1081,8))),ISNUMBER(-LEFT(CH1081,8))),VALUE(LEFT(CH1081,4)),VALUE(LEFT(CH1081,FIND("-",CH1081)-1)))+2000,IF(AND(LEN(CH1081)=9,ISERROR(FIND("-",LEFT(CH1081,8))),ISNUMBER(-LEFT(CH1081,8))),VALUE(LEFT(CH1081,4)),VALUE(LEFT(CH1081,FIND("-",CH1081)-1)))),""))</f>
        <v/>
      </c>
      <c r="CN1081">
        <f>IF(CH1081="","",IFERROR(IF(AND(LEN(CH1081)=9,ISERROR(FIND("-",LEFT(CH1081,8))),ISNUMBER(-LEFT(CH1081,8))),VALUE(MID(CH1081,5,2)),VALUE(MID(CH1081,FIND("-",CH1081)+1,FIND("-",CH1081,FIND("-",CH1081)+1)-FIND("-",CH1081)-1))),""))</f>
        <v/>
      </c>
      <c r="CO1081">
        <f>IF(CH1081="","",IFERROR(IF(AND(LEN(CH1081)=9,ISERROR(FIND("-",LEFT(CH1081,8))),ISNUMBER(-LEFT(CH1081,8))),VALUE(MID(CH1081,7,2)),VALUE(MID(CH1081,FIND("-",CH1081,FIND("-",CH1081)+1)+1,FIND("-",CH1081,FIND("-",CH1081,FIND("-",CH1081)+1)+1)-FIND("-",CH1081,FIND("-",CH1081)+1)-1))),""))</f>
        <v/>
      </c>
    </row>
    <row r="1082">
      <c r="CH1082">
        <f>IF(ISTEXT('월 가계부'!A1082),SUBSTITUTE(SUBSTITUTE(SUBSTITUTE(SUBSTITUTE(SUBSTITUTE(SUBSTITUTE(SUBSTITUTE(SUBSTITUTE(SUBSTITUTE(TRIM('월 가계부'!A1082),"년","-"),"월","-"),"일",""),".","-"),"/","-")," ","-"),"--","-"),"--","-"),"--","-")&amp;"-","")</f>
        <v/>
      </c>
      <c r="CI1082">
        <f>IFERROR(IF('월 가계부'!A1082="","",IF(ISNUMBER('월 가계부'!A1082),IF(AND('월 가계부'!A1082&gt;=19000101,'월 가계부'!A1082&lt;=21001231),IF(AND(MOD(INT('월 가계부'!A1082/100),100)&gt;=1,MOD(INT('월 가계부'!A1082/100),100)&lt;=12,MOD(INT('월 가계부'!A1082),100)&gt;=1,MOD(INT('월 가계부'!A1082),100)&lt;=31),IF(MONTH(DATE(INT('월 가계부'!A1082/10000),MOD(INT('월 가계부'!A1082/100),100),MOD(INT('월 가계부'!A1082),100)))=MOD(INT('월 가계부'!A1082/100),100),DATE(INT('월 가계부'!A1082/10000),MOD(INT('월 가계부'!A1082/100),100),MOD(INT('월 가계부'!A1082),100)),""),""),IF(AND('월 가계부'!A1082&gt;=36526,'월 가계부'!A1082&lt;73051),INT('월 가계부'!A1082),"")),IF(OR(CM1082="",CN1082="",CO1082=""),"",IF(AND(CM1082&gt;=2000,CM1082&lt;=2099,CN1082&gt;=1,CN1082&lt;=12,CO1082&gt;=1,CO1082&lt;=31),IF(MONTH(DATE(CM1082,CN1082,CO1082))=CN1082,DATE(CM1082,CN1082,CO1082),""),"")))),"")</f>
        <v/>
      </c>
      <c r="CJ1082">
        <f>IFERROR(IF('월 가계부'!C1082="","",IF(ISNUMBER('월 가계부'!C1082),'월 가계부'!C1082,VALUE(SUBSTITUTE(SUBSTITUTE(SUBSTITUTE(SUBSTITUTE(TRIM('월 가계부'!C1082),",",""),"원","")," ",""),"−","-")))),"")</f>
        <v/>
      </c>
      <c r="CK1082">
        <f>IF(ISNUMBER(CI1082),IF(CI1082&lt;$B$13,CI1082,""),"")</f>
        <v/>
      </c>
      <c r="CM1082">
        <f>IF(CH1082="","",IFERROR(IF(IF(AND(LEN(CH1082)=9,ISERROR(FIND("-",LEFT(CH1082,8))),ISNUMBER(-LEFT(CH1082,8))),VALUE(LEFT(CH1082,4)),VALUE(LEFT(CH1082,FIND("-",CH1082)-1)))&lt;100,IF(AND(LEN(CH1082)=9,ISERROR(FIND("-",LEFT(CH1082,8))),ISNUMBER(-LEFT(CH1082,8))),VALUE(LEFT(CH1082,4)),VALUE(LEFT(CH1082,FIND("-",CH1082)-1)))+2000,IF(AND(LEN(CH1082)=9,ISERROR(FIND("-",LEFT(CH1082,8))),ISNUMBER(-LEFT(CH1082,8))),VALUE(LEFT(CH1082,4)),VALUE(LEFT(CH1082,FIND("-",CH1082)-1)))),""))</f>
        <v/>
      </c>
      <c r="CN1082">
        <f>IF(CH1082="","",IFERROR(IF(AND(LEN(CH1082)=9,ISERROR(FIND("-",LEFT(CH1082,8))),ISNUMBER(-LEFT(CH1082,8))),VALUE(MID(CH1082,5,2)),VALUE(MID(CH1082,FIND("-",CH1082)+1,FIND("-",CH1082,FIND("-",CH1082)+1)-FIND("-",CH1082)-1))),""))</f>
        <v/>
      </c>
      <c r="CO1082">
        <f>IF(CH1082="","",IFERROR(IF(AND(LEN(CH1082)=9,ISERROR(FIND("-",LEFT(CH1082,8))),ISNUMBER(-LEFT(CH1082,8))),VALUE(MID(CH1082,7,2)),VALUE(MID(CH1082,FIND("-",CH1082,FIND("-",CH1082)+1)+1,FIND("-",CH1082,FIND("-",CH1082,FIND("-",CH1082)+1)+1)-FIND("-",CH1082,FIND("-",CH1082)+1)-1))),""))</f>
        <v/>
      </c>
    </row>
    <row r="1083">
      <c r="CH1083">
        <f>IF(ISTEXT('월 가계부'!A1083),SUBSTITUTE(SUBSTITUTE(SUBSTITUTE(SUBSTITUTE(SUBSTITUTE(SUBSTITUTE(SUBSTITUTE(SUBSTITUTE(SUBSTITUTE(TRIM('월 가계부'!A1083),"년","-"),"월","-"),"일",""),".","-"),"/","-")," ","-"),"--","-"),"--","-"),"--","-")&amp;"-","")</f>
        <v/>
      </c>
      <c r="CI1083">
        <f>IFERROR(IF('월 가계부'!A1083="","",IF(ISNUMBER('월 가계부'!A1083),IF(AND('월 가계부'!A1083&gt;=19000101,'월 가계부'!A1083&lt;=21001231),IF(AND(MOD(INT('월 가계부'!A1083/100),100)&gt;=1,MOD(INT('월 가계부'!A1083/100),100)&lt;=12,MOD(INT('월 가계부'!A1083),100)&gt;=1,MOD(INT('월 가계부'!A1083),100)&lt;=31),IF(MONTH(DATE(INT('월 가계부'!A1083/10000),MOD(INT('월 가계부'!A1083/100),100),MOD(INT('월 가계부'!A1083),100)))=MOD(INT('월 가계부'!A1083/100),100),DATE(INT('월 가계부'!A1083/10000),MOD(INT('월 가계부'!A1083/100),100),MOD(INT('월 가계부'!A1083),100)),""),""),IF(AND('월 가계부'!A1083&gt;=36526,'월 가계부'!A1083&lt;73051),INT('월 가계부'!A1083),"")),IF(OR(CM1083="",CN1083="",CO1083=""),"",IF(AND(CM1083&gt;=2000,CM1083&lt;=2099,CN1083&gt;=1,CN1083&lt;=12,CO1083&gt;=1,CO1083&lt;=31),IF(MONTH(DATE(CM1083,CN1083,CO1083))=CN1083,DATE(CM1083,CN1083,CO1083),""),"")))),"")</f>
        <v/>
      </c>
      <c r="CJ1083">
        <f>IFERROR(IF('월 가계부'!C1083="","",IF(ISNUMBER('월 가계부'!C1083),'월 가계부'!C1083,VALUE(SUBSTITUTE(SUBSTITUTE(SUBSTITUTE(SUBSTITUTE(TRIM('월 가계부'!C1083),",",""),"원","")," ",""),"−","-")))),"")</f>
        <v/>
      </c>
      <c r="CK1083">
        <f>IF(ISNUMBER(CI1083),IF(CI1083&lt;$B$13,CI1083,""),"")</f>
        <v/>
      </c>
      <c r="CM1083">
        <f>IF(CH1083="","",IFERROR(IF(IF(AND(LEN(CH1083)=9,ISERROR(FIND("-",LEFT(CH1083,8))),ISNUMBER(-LEFT(CH1083,8))),VALUE(LEFT(CH1083,4)),VALUE(LEFT(CH1083,FIND("-",CH1083)-1)))&lt;100,IF(AND(LEN(CH1083)=9,ISERROR(FIND("-",LEFT(CH1083,8))),ISNUMBER(-LEFT(CH1083,8))),VALUE(LEFT(CH1083,4)),VALUE(LEFT(CH1083,FIND("-",CH1083)-1)))+2000,IF(AND(LEN(CH1083)=9,ISERROR(FIND("-",LEFT(CH1083,8))),ISNUMBER(-LEFT(CH1083,8))),VALUE(LEFT(CH1083,4)),VALUE(LEFT(CH1083,FIND("-",CH1083)-1)))),""))</f>
        <v/>
      </c>
      <c r="CN1083">
        <f>IF(CH1083="","",IFERROR(IF(AND(LEN(CH1083)=9,ISERROR(FIND("-",LEFT(CH1083,8))),ISNUMBER(-LEFT(CH1083,8))),VALUE(MID(CH1083,5,2)),VALUE(MID(CH1083,FIND("-",CH1083)+1,FIND("-",CH1083,FIND("-",CH1083)+1)-FIND("-",CH1083)-1))),""))</f>
        <v/>
      </c>
      <c r="CO1083">
        <f>IF(CH1083="","",IFERROR(IF(AND(LEN(CH1083)=9,ISERROR(FIND("-",LEFT(CH1083,8))),ISNUMBER(-LEFT(CH1083,8))),VALUE(MID(CH1083,7,2)),VALUE(MID(CH1083,FIND("-",CH1083,FIND("-",CH1083)+1)+1,FIND("-",CH1083,FIND("-",CH1083,FIND("-",CH1083)+1)+1)-FIND("-",CH1083,FIND("-",CH1083)+1)-1))),""))</f>
        <v/>
      </c>
    </row>
    <row r="1084">
      <c r="CH1084">
        <f>IF(ISTEXT('월 가계부'!A1084),SUBSTITUTE(SUBSTITUTE(SUBSTITUTE(SUBSTITUTE(SUBSTITUTE(SUBSTITUTE(SUBSTITUTE(SUBSTITUTE(SUBSTITUTE(TRIM('월 가계부'!A1084),"년","-"),"월","-"),"일",""),".","-"),"/","-")," ","-"),"--","-"),"--","-"),"--","-")&amp;"-","")</f>
        <v/>
      </c>
      <c r="CI1084">
        <f>IFERROR(IF('월 가계부'!A1084="","",IF(ISNUMBER('월 가계부'!A1084),IF(AND('월 가계부'!A1084&gt;=19000101,'월 가계부'!A1084&lt;=21001231),IF(AND(MOD(INT('월 가계부'!A1084/100),100)&gt;=1,MOD(INT('월 가계부'!A1084/100),100)&lt;=12,MOD(INT('월 가계부'!A1084),100)&gt;=1,MOD(INT('월 가계부'!A1084),100)&lt;=31),IF(MONTH(DATE(INT('월 가계부'!A1084/10000),MOD(INT('월 가계부'!A1084/100),100),MOD(INT('월 가계부'!A1084),100)))=MOD(INT('월 가계부'!A1084/100),100),DATE(INT('월 가계부'!A1084/10000),MOD(INT('월 가계부'!A1084/100),100),MOD(INT('월 가계부'!A1084),100)),""),""),IF(AND('월 가계부'!A1084&gt;=36526,'월 가계부'!A1084&lt;73051),INT('월 가계부'!A1084),"")),IF(OR(CM1084="",CN1084="",CO1084=""),"",IF(AND(CM1084&gt;=2000,CM1084&lt;=2099,CN1084&gt;=1,CN1084&lt;=12,CO1084&gt;=1,CO1084&lt;=31),IF(MONTH(DATE(CM1084,CN1084,CO1084))=CN1084,DATE(CM1084,CN1084,CO1084),""),"")))),"")</f>
        <v/>
      </c>
      <c r="CJ1084">
        <f>IFERROR(IF('월 가계부'!C1084="","",IF(ISNUMBER('월 가계부'!C1084),'월 가계부'!C1084,VALUE(SUBSTITUTE(SUBSTITUTE(SUBSTITUTE(SUBSTITUTE(TRIM('월 가계부'!C1084),",",""),"원","")," ",""),"−","-")))),"")</f>
        <v/>
      </c>
      <c r="CK1084">
        <f>IF(ISNUMBER(CI1084),IF(CI1084&lt;$B$13,CI1084,""),"")</f>
        <v/>
      </c>
      <c r="CM1084">
        <f>IF(CH1084="","",IFERROR(IF(IF(AND(LEN(CH1084)=9,ISERROR(FIND("-",LEFT(CH1084,8))),ISNUMBER(-LEFT(CH1084,8))),VALUE(LEFT(CH1084,4)),VALUE(LEFT(CH1084,FIND("-",CH1084)-1)))&lt;100,IF(AND(LEN(CH1084)=9,ISERROR(FIND("-",LEFT(CH1084,8))),ISNUMBER(-LEFT(CH1084,8))),VALUE(LEFT(CH1084,4)),VALUE(LEFT(CH1084,FIND("-",CH1084)-1)))+2000,IF(AND(LEN(CH1084)=9,ISERROR(FIND("-",LEFT(CH1084,8))),ISNUMBER(-LEFT(CH1084,8))),VALUE(LEFT(CH1084,4)),VALUE(LEFT(CH1084,FIND("-",CH1084)-1)))),""))</f>
        <v/>
      </c>
      <c r="CN1084">
        <f>IF(CH1084="","",IFERROR(IF(AND(LEN(CH1084)=9,ISERROR(FIND("-",LEFT(CH1084,8))),ISNUMBER(-LEFT(CH1084,8))),VALUE(MID(CH1084,5,2)),VALUE(MID(CH1084,FIND("-",CH1084)+1,FIND("-",CH1084,FIND("-",CH1084)+1)-FIND("-",CH1084)-1))),""))</f>
        <v/>
      </c>
      <c r="CO1084">
        <f>IF(CH1084="","",IFERROR(IF(AND(LEN(CH1084)=9,ISERROR(FIND("-",LEFT(CH1084,8))),ISNUMBER(-LEFT(CH1084,8))),VALUE(MID(CH1084,7,2)),VALUE(MID(CH1084,FIND("-",CH1084,FIND("-",CH1084)+1)+1,FIND("-",CH1084,FIND("-",CH1084,FIND("-",CH1084)+1)+1)-FIND("-",CH1084,FIND("-",CH1084)+1)-1))),""))</f>
        <v/>
      </c>
    </row>
    <row r="1085">
      <c r="CH1085">
        <f>IF(ISTEXT('월 가계부'!A1085),SUBSTITUTE(SUBSTITUTE(SUBSTITUTE(SUBSTITUTE(SUBSTITUTE(SUBSTITUTE(SUBSTITUTE(SUBSTITUTE(SUBSTITUTE(TRIM('월 가계부'!A1085),"년","-"),"월","-"),"일",""),".","-"),"/","-")," ","-"),"--","-"),"--","-"),"--","-")&amp;"-","")</f>
        <v/>
      </c>
      <c r="CI1085">
        <f>IFERROR(IF('월 가계부'!A1085="","",IF(ISNUMBER('월 가계부'!A1085),IF(AND('월 가계부'!A1085&gt;=19000101,'월 가계부'!A1085&lt;=21001231),IF(AND(MOD(INT('월 가계부'!A1085/100),100)&gt;=1,MOD(INT('월 가계부'!A1085/100),100)&lt;=12,MOD(INT('월 가계부'!A1085),100)&gt;=1,MOD(INT('월 가계부'!A1085),100)&lt;=31),IF(MONTH(DATE(INT('월 가계부'!A1085/10000),MOD(INT('월 가계부'!A1085/100),100),MOD(INT('월 가계부'!A1085),100)))=MOD(INT('월 가계부'!A1085/100),100),DATE(INT('월 가계부'!A1085/10000),MOD(INT('월 가계부'!A1085/100),100),MOD(INT('월 가계부'!A1085),100)),""),""),IF(AND('월 가계부'!A1085&gt;=36526,'월 가계부'!A1085&lt;73051),INT('월 가계부'!A1085),"")),IF(OR(CM1085="",CN1085="",CO1085=""),"",IF(AND(CM1085&gt;=2000,CM1085&lt;=2099,CN1085&gt;=1,CN1085&lt;=12,CO1085&gt;=1,CO1085&lt;=31),IF(MONTH(DATE(CM1085,CN1085,CO1085))=CN1085,DATE(CM1085,CN1085,CO1085),""),"")))),"")</f>
        <v/>
      </c>
      <c r="CJ1085">
        <f>IFERROR(IF('월 가계부'!C1085="","",IF(ISNUMBER('월 가계부'!C1085),'월 가계부'!C1085,VALUE(SUBSTITUTE(SUBSTITUTE(SUBSTITUTE(SUBSTITUTE(TRIM('월 가계부'!C1085),",",""),"원","")," ",""),"−","-")))),"")</f>
        <v/>
      </c>
      <c r="CK1085">
        <f>IF(ISNUMBER(CI1085),IF(CI1085&lt;$B$13,CI1085,""),"")</f>
        <v/>
      </c>
      <c r="CM1085">
        <f>IF(CH1085="","",IFERROR(IF(IF(AND(LEN(CH1085)=9,ISERROR(FIND("-",LEFT(CH1085,8))),ISNUMBER(-LEFT(CH1085,8))),VALUE(LEFT(CH1085,4)),VALUE(LEFT(CH1085,FIND("-",CH1085)-1)))&lt;100,IF(AND(LEN(CH1085)=9,ISERROR(FIND("-",LEFT(CH1085,8))),ISNUMBER(-LEFT(CH1085,8))),VALUE(LEFT(CH1085,4)),VALUE(LEFT(CH1085,FIND("-",CH1085)-1)))+2000,IF(AND(LEN(CH1085)=9,ISERROR(FIND("-",LEFT(CH1085,8))),ISNUMBER(-LEFT(CH1085,8))),VALUE(LEFT(CH1085,4)),VALUE(LEFT(CH1085,FIND("-",CH1085)-1)))),""))</f>
        <v/>
      </c>
      <c r="CN1085">
        <f>IF(CH1085="","",IFERROR(IF(AND(LEN(CH1085)=9,ISERROR(FIND("-",LEFT(CH1085,8))),ISNUMBER(-LEFT(CH1085,8))),VALUE(MID(CH1085,5,2)),VALUE(MID(CH1085,FIND("-",CH1085)+1,FIND("-",CH1085,FIND("-",CH1085)+1)-FIND("-",CH1085)-1))),""))</f>
        <v/>
      </c>
      <c r="CO1085">
        <f>IF(CH1085="","",IFERROR(IF(AND(LEN(CH1085)=9,ISERROR(FIND("-",LEFT(CH1085,8))),ISNUMBER(-LEFT(CH1085,8))),VALUE(MID(CH1085,7,2)),VALUE(MID(CH1085,FIND("-",CH1085,FIND("-",CH1085)+1)+1,FIND("-",CH1085,FIND("-",CH1085,FIND("-",CH1085)+1)+1)-FIND("-",CH1085,FIND("-",CH1085)+1)-1))),""))</f>
        <v/>
      </c>
    </row>
    <row r="1086">
      <c r="CH1086">
        <f>IF(ISTEXT('월 가계부'!A1086),SUBSTITUTE(SUBSTITUTE(SUBSTITUTE(SUBSTITUTE(SUBSTITUTE(SUBSTITUTE(SUBSTITUTE(SUBSTITUTE(SUBSTITUTE(TRIM('월 가계부'!A1086),"년","-"),"월","-"),"일",""),".","-"),"/","-")," ","-"),"--","-"),"--","-"),"--","-")&amp;"-","")</f>
        <v/>
      </c>
      <c r="CI1086">
        <f>IFERROR(IF('월 가계부'!A1086="","",IF(ISNUMBER('월 가계부'!A1086),IF(AND('월 가계부'!A1086&gt;=19000101,'월 가계부'!A1086&lt;=21001231),IF(AND(MOD(INT('월 가계부'!A1086/100),100)&gt;=1,MOD(INT('월 가계부'!A1086/100),100)&lt;=12,MOD(INT('월 가계부'!A1086),100)&gt;=1,MOD(INT('월 가계부'!A1086),100)&lt;=31),IF(MONTH(DATE(INT('월 가계부'!A1086/10000),MOD(INT('월 가계부'!A1086/100),100),MOD(INT('월 가계부'!A1086),100)))=MOD(INT('월 가계부'!A1086/100),100),DATE(INT('월 가계부'!A1086/10000),MOD(INT('월 가계부'!A1086/100),100),MOD(INT('월 가계부'!A1086),100)),""),""),IF(AND('월 가계부'!A1086&gt;=36526,'월 가계부'!A1086&lt;73051),INT('월 가계부'!A1086),"")),IF(OR(CM1086="",CN1086="",CO1086=""),"",IF(AND(CM1086&gt;=2000,CM1086&lt;=2099,CN1086&gt;=1,CN1086&lt;=12,CO1086&gt;=1,CO1086&lt;=31),IF(MONTH(DATE(CM1086,CN1086,CO1086))=CN1086,DATE(CM1086,CN1086,CO1086),""),"")))),"")</f>
        <v/>
      </c>
      <c r="CJ1086">
        <f>IFERROR(IF('월 가계부'!C1086="","",IF(ISNUMBER('월 가계부'!C1086),'월 가계부'!C1086,VALUE(SUBSTITUTE(SUBSTITUTE(SUBSTITUTE(SUBSTITUTE(TRIM('월 가계부'!C1086),",",""),"원","")," ",""),"−","-")))),"")</f>
        <v/>
      </c>
      <c r="CK1086">
        <f>IF(ISNUMBER(CI1086),IF(CI1086&lt;$B$13,CI1086,""),"")</f>
        <v/>
      </c>
      <c r="CM1086">
        <f>IF(CH1086="","",IFERROR(IF(IF(AND(LEN(CH1086)=9,ISERROR(FIND("-",LEFT(CH1086,8))),ISNUMBER(-LEFT(CH1086,8))),VALUE(LEFT(CH1086,4)),VALUE(LEFT(CH1086,FIND("-",CH1086)-1)))&lt;100,IF(AND(LEN(CH1086)=9,ISERROR(FIND("-",LEFT(CH1086,8))),ISNUMBER(-LEFT(CH1086,8))),VALUE(LEFT(CH1086,4)),VALUE(LEFT(CH1086,FIND("-",CH1086)-1)))+2000,IF(AND(LEN(CH1086)=9,ISERROR(FIND("-",LEFT(CH1086,8))),ISNUMBER(-LEFT(CH1086,8))),VALUE(LEFT(CH1086,4)),VALUE(LEFT(CH1086,FIND("-",CH1086)-1)))),""))</f>
        <v/>
      </c>
      <c r="CN1086">
        <f>IF(CH1086="","",IFERROR(IF(AND(LEN(CH1086)=9,ISERROR(FIND("-",LEFT(CH1086,8))),ISNUMBER(-LEFT(CH1086,8))),VALUE(MID(CH1086,5,2)),VALUE(MID(CH1086,FIND("-",CH1086)+1,FIND("-",CH1086,FIND("-",CH1086)+1)-FIND("-",CH1086)-1))),""))</f>
        <v/>
      </c>
      <c r="CO1086">
        <f>IF(CH1086="","",IFERROR(IF(AND(LEN(CH1086)=9,ISERROR(FIND("-",LEFT(CH1086,8))),ISNUMBER(-LEFT(CH1086,8))),VALUE(MID(CH1086,7,2)),VALUE(MID(CH1086,FIND("-",CH1086,FIND("-",CH1086)+1)+1,FIND("-",CH1086,FIND("-",CH1086,FIND("-",CH1086)+1)+1)-FIND("-",CH1086,FIND("-",CH1086)+1)-1))),""))</f>
        <v/>
      </c>
    </row>
    <row r="1087">
      <c r="CH1087">
        <f>IF(ISTEXT('월 가계부'!A1087),SUBSTITUTE(SUBSTITUTE(SUBSTITUTE(SUBSTITUTE(SUBSTITUTE(SUBSTITUTE(SUBSTITUTE(SUBSTITUTE(SUBSTITUTE(TRIM('월 가계부'!A1087),"년","-"),"월","-"),"일",""),".","-"),"/","-")," ","-"),"--","-"),"--","-"),"--","-")&amp;"-","")</f>
        <v/>
      </c>
      <c r="CI1087">
        <f>IFERROR(IF('월 가계부'!A1087="","",IF(ISNUMBER('월 가계부'!A1087),IF(AND('월 가계부'!A1087&gt;=19000101,'월 가계부'!A1087&lt;=21001231),IF(AND(MOD(INT('월 가계부'!A1087/100),100)&gt;=1,MOD(INT('월 가계부'!A1087/100),100)&lt;=12,MOD(INT('월 가계부'!A1087),100)&gt;=1,MOD(INT('월 가계부'!A1087),100)&lt;=31),IF(MONTH(DATE(INT('월 가계부'!A1087/10000),MOD(INT('월 가계부'!A1087/100),100),MOD(INT('월 가계부'!A1087),100)))=MOD(INT('월 가계부'!A1087/100),100),DATE(INT('월 가계부'!A1087/10000),MOD(INT('월 가계부'!A1087/100),100),MOD(INT('월 가계부'!A1087),100)),""),""),IF(AND('월 가계부'!A1087&gt;=36526,'월 가계부'!A1087&lt;73051),INT('월 가계부'!A1087),"")),IF(OR(CM1087="",CN1087="",CO1087=""),"",IF(AND(CM1087&gt;=2000,CM1087&lt;=2099,CN1087&gt;=1,CN1087&lt;=12,CO1087&gt;=1,CO1087&lt;=31),IF(MONTH(DATE(CM1087,CN1087,CO1087))=CN1087,DATE(CM1087,CN1087,CO1087),""),"")))),"")</f>
        <v/>
      </c>
      <c r="CJ1087">
        <f>IFERROR(IF('월 가계부'!C1087="","",IF(ISNUMBER('월 가계부'!C1087),'월 가계부'!C1087,VALUE(SUBSTITUTE(SUBSTITUTE(SUBSTITUTE(SUBSTITUTE(TRIM('월 가계부'!C1087),",",""),"원","")," ",""),"−","-")))),"")</f>
        <v/>
      </c>
      <c r="CK1087">
        <f>IF(ISNUMBER(CI1087),IF(CI1087&lt;$B$13,CI1087,""),"")</f>
        <v/>
      </c>
      <c r="CM1087">
        <f>IF(CH1087="","",IFERROR(IF(IF(AND(LEN(CH1087)=9,ISERROR(FIND("-",LEFT(CH1087,8))),ISNUMBER(-LEFT(CH1087,8))),VALUE(LEFT(CH1087,4)),VALUE(LEFT(CH1087,FIND("-",CH1087)-1)))&lt;100,IF(AND(LEN(CH1087)=9,ISERROR(FIND("-",LEFT(CH1087,8))),ISNUMBER(-LEFT(CH1087,8))),VALUE(LEFT(CH1087,4)),VALUE(LEFT(CH1087,FIND("-",CH1087)-1)))+2000,IF(AND(LEN(CH1087)=9,ISERROR(FIND("-",LEFT(CH1087,8))),ISNUMBER(-LEFT(CH1087,8))),VALUE(LEFT(CH1087,4)),VALUE(LEFT(CH1087,FIND("-",CH1087)-1)))),""))</f>
        <v/>
      </c>
      <c r="CN1087">
        <f>IF(CH1087="","",IFERROR(IF(AND(LEN(CH1087)=9,ISERROR(FIND("-",LEFT(CH1087,8))),ISNUMBER(-LEFT(CH1087,8))),VALUE(MID(CH1087,5,2)),VALUE(MID(CH1087,FIND("-",CH1087)+1,FIND("-",CH1087,FIND("-",CH1087)+1)-FIND("-",CH1087)-1))),""))</f>
        <v/>
      </c>
      <c r="CO1087">
        <f>IF(CH1087="","",IFERROR(IF(AND(LEN(CH1087)=9,ISERROR(FIND("-",LEFT(CH1087,8))),ISNUMBER(-LEFT(CH1087,8))),VALUE(MID(CH1087,7,2)),VALUE(MID(CH1087,FIND("-",CH1087,FIND("-",CH1087)+1)+1,FIND("-",CH1087,FIND("-",CH1087,FIND("-",CH1087)+1)+1)-FIND("-",CH1087,FIND("-",CH1087)+1)-1))),""))</f>
        <v/>
      </c>
    </row>
    <row r="1088">
      <c r="CH1088">
        <f>IF(ISTEXT('월 가계부'!A1088),SUBSTITUTE(SUBSTITUTE(SUBSTITUTE(SUBSTITUTE(SUBSTITUTE(SUBSTITUTE(SUBSTITUTE(SUBSTITUTE(SUBSTITUTE(TRIM('월 가계부'!A1088),"년","-"),"월","-"),"일",""),".","-"),"/","-")," ","-"),"--","-"),"--","-"),"--","-")&amp;"-","")</f>
        <v/>
      </c>
      <c r="CI1088">
        <f>IFERROR(IF('월 가계부'!A1088="","",IF(ISNUMBER('월 가계부'!A1088),IF(AND('월 가계부'!A1088&gt;=19000101,'월 가계부'!A1088&lt;=21001231),IF(AND(MOD(INT('월 가계부'!A1088/100),100)&gt;=1,MOD(INT('월 가계부'!A1088/100),100)&lt;=12,MOD(INT('월 가계부'!A1088),100)&gt;=1,MOD(INT('월 가계부'!A1088),100)&lt;=31),IF(MONTH(DATE(INT('월 가계부'!A1088/10000),MOD(INT('월 가계부'!A1088/100),100),MOD(INT('월 가계부'!A1088),100)))=MOD(INT('월 가계부'!A1088/100),100),DATE(INT('월 가계부'!A1088/10000),MOD(INT('월 가계부'!A1088/100),100),MOD(INT('월 가계부'!A1088),100)),""),""),IF(AND('월 가계부'!A1088&gt;=36526,'월 가계부'!A1088&lt;73051),INT('월 가계부'!A1088),"")),IF(OR(CM1088="",CN1088="",CO1088=""),"",IF(AND(CM1088&gt;=2000,CM1088&lt;=2099,CN1088&gt;=1,CN1088&lt;=12,CO1088&gt;=1,CO1088&lt;=31),IF(MONTH(DATE(CM1088,CN1088,CO1088))=CN1088,DATE(CM1088,CN1088,CO1088),""),"")))),"")</f>
        <v/>
      </c>
      <c r="CJ1088">
        <f>IFERROR(IF('월 가계부'!C1088="","",IF(ISNUMBER('월 가계부'!C1088),'월 가계부'!C1088,VALUE(SUBSTITUTE(SUBSTITUTE(SUBSTITUTE(SUBSTITUTE(TRIM('월 가계부'!C1088),",",""),"원","")," ",""),"−","-")))),"")</f>
        <v/>
      </c>
      <c r="CK1088">
        <f>IF(ISNUMBER(CI1088),IF(CI1088&lt;$B$13,CI1088,""),"")</f>
        <v/>
      </c>
      <c r="CM1088">
        <f>IF(CH1088="","",IFERROR(IF(IF(AND(LEN(CH1088)=9,ISERROR(FIND("-",LEFT(CH1088,8))),ISNUMBER(-LEFT(CH1088,8))),VALUE(LEFT(CH1088,4)),VALUE(LEFT(CH1088,FIND("-",CH1088)-1)))&lt;100,IF(AND(LEN(CH1088)=9,ISERROR(FIND("-",LEFT(CH1088,8))),ISNUMBER(-LEFT(CH1088,8))),VALUE(LEFT(CH1088,4)),VALUE(LEFT(CH1088,FIND("-",CH1088)-1)))+2000,IF(AND(LEN(CH1088)=9,ISERROR(FIND("-",LEFT(CH1088,8))),ISNUMBER(-LEFT(CH1088,8))),VALUE(LEFT(CH1088,4)),VALUE(LEFT(CH1088,FIND("-",CH1088)-1)))),""))</f>
        <v/>
      </c>
      <c r="CN1088">
        <f>IF(CH1088="","",IFERROR(IF(AND(LEN(CH1088)=9,ISERROR(FIND("-",LEFT(CH1088,8))),ISNUMBER(-LEFT(CH1088,8))),VALUE(MID(CH1088,5,2)),VALUE(MID(CH1088,FIND("-",CH1088)+1,FIND("-",CH1088,FIND("-",CH1088)+1)-FIND("-",CH1088)-1))),""))</f>
        <v/>
      </c>
      <c r="CO1088">
        <f>IF(CH1088="","",IFERROR(IF(AND(LEN(CH1088)=9,ISERROR(FIND("-",LEFT(CH1088,8))),ISNUMBER(-LEFT(CH1088,8))),VALUE(MID(CH1088,7,2)),VALUE(MID(CH1088,FIND("-",CH1088,FIND("-",CH1088)+1)+1,FIND("-",CH1088,FIND("-",CH1088,FIND("-",CH1088)+1)+1)-FIND("-",CH1088,FIND("-",CH1088)+1)-1))),""))</f>
        <v/>
      </c>
    </row>
    <row r="1089">
      <c r="CH1089">
        <f>IF(ISTEXT('월 가계부'!A1089),SUBSTITUTE(SUBSTITUTE(SUBSTITUTE(SUBSTITUTE(SUBSTITUTE(SUBSTITUTE(SUBSTITUTE(SUBSTITUTE(SUBSTITUTE(TRIM('월 가계부'!A1089),"년","-"),"월","-"),"일",""),".","-"),"/","-")," ","-"),"--","-"),"--","-"),"--","-")&amp;"-","")</f>
        <v/>
      </c>
      <c r="CI1089">
        <f>IFERROR(IF('월 가계부'!A1089="","",IF(ISNUMBER('월 가계부'!A1089),IF(AND('월 가계부'!A1089&gt;=19000101,'월 가계부'!A1089&lt;=21001231),IF(AND(MOD(INT('월 가계부'!A1089/100),100)&gt;=1,MOD(INT('월 가계부'!A1089/100),100)&lt;=12,MOD(INT('월 가계부'!A1089),100)&gt;=1,MOD(INT('월 가계부'!A1089),100)&lt;=31),IF(MONTH(DATE(INT('월 가계부'!A1089/10000),MOD(INT('월 가계부'!A1089/100),100),MOD(INT('월 가계부'!A1089),100)))=MOD(INT('월 가계부'!A1089/100),100),DATE(INT('월 가계부'!A1089/10000),MOD(INT('월 가계부'!A1089/100),100),MOD(INT('월 가계부'!A1089),100)),""),""),IF(AND('월 가계부'!A1089&gt;=36526,'월 가계부'!A1089&lt;73051),INT('월 가계부'!A1089),"")),IF(OR(CM1089="",CN1089="",CO1089=""),"",IF(AND(CM1089&gt;=2000,CM1089&lt;=2099,CN1089&gt;=1,CN1089&lt;=12,CO1089&gt;=1,CO1089&lt;=31),IF(MONTH(DATE(CM1089,CN1089,CO1089))=CN1089,DATE(CM1089,CN1089,CO1089),""),"")))),"")</f>
        <v/>
      </c>
      <c r="CJ1089">
        <f>IFERROR(IF('월 가계부'!C1089="","",IF(ISNUMBER('월 가계부'!C1089),'월 가계부'!C1089,VALUE(SUBSTITUTE(SUBSTITUTE(SUBSTITUTE(SUBSTITUTE(TRIM('월 가계부'!C1089),",",""),"원","")," ",""),"−","-")))),"")</f>
        <v/>
      </c>
      <c r="CK1089">
        <f>IF(ISNUMBER(CI1089),IF(CI1089&lt;$B$13,CI1089,""),"")</f>
        <v/>
      </c>
      <c r="CM1089">
        <f>IF(CH1089="","",IFERROR(IF(IF(AND(LEN(CH1089)=9,ISERROR(FIND("-",LEFT(CH1089,8))),ISNUMBER(-LEFT(CH1089,8))),VALUE(LEFT(CH1089,4)),VALUE(LEFT(CH1089,FIND("-",CH1089)-1)))&lt;100,IF(AND(LEN(CH1089)=9,ISERROR(FIND("-",LEFT(CH1089,8))),ISNUMBER(-LEFT(CH1089,8))),VALUE(LEFT(CH1089,4)),VALUE(LEFT(CH1089,FIND("-",CH1089)-1)))+2000,IF(AND(LEN(CH1089)=9,ISERROR(FIND("-",LEFT(CH1089,8))),ISNUMBER(-LEFT(CH1089,8))),VALUE(LEFT(CH1089,4)),VALUE(LEFT(CH1089,FIND("-",CH1089)-1)))),""))</f>
        <v/>
      </c>
      <c r="CN1089">
        <f>IF(CH1089="","",IFERROR(IF(AND(LEN(CH1089)=9,ISERROR(FIND("-",LEFT(CH1089,8))),ISNUMBER(-LEFT(CH1089,8))),VALUE(MID(CH1089,5,2)),VALUE(MID(CH1089,FIND("-",CH1089)+1,FIND("-",CH1089,FIND("-",CH1089)+1)-FIND("-",CH1089)-1))),""))</f>
        <v/>
      </c>
      <c r="CO1089">
        <f>IF(CH1089="","",IFERROR(IF(AND(LEN(CH1089)=9,ISERROR(FIND("-",LEFT(CH1089,8))),ISNUMBER(-LEFT(CH1089,8))),VALUE(MID(CH1089,7,2)),VALUE(MID(CH1089,FIND("-",CH1089,FIND("-",CH1089)+1)+1,FIND("-",CH1089,FIND("-",CH1089,FIND("-",CH1089)+1)+1)-FIND("-",CH1089,FIND("-",CH1089)+1)-1))),""))</f>
        <v/>
      </c>
    </row>
    <row r="1090">
      <c r="CH1090">
        <f>IF(ISTEXT('월 가계부'!A1090),SUBSTITUTE(SUBSTITUTE(SUBSTITUTE(SUBSTITUTE(SUBSTITUTE(SUBSTITUTE(SUBSTITUTE(SUBSTITUTE(SUBSTITUTE(TRIM('월 가계부'!A1090),"년","-"),"월","-"),"일",""),".","-"),"/","-")," ","-"),"--","-"),"--","-"),"--","-")&amp;"-","")</f>
        <v/>
      </c>
      <c r="CI1090">
        <f>IFERROR(IF('월 가계부'!A1090="","",IF(ISNUMBER('월 가계부'!A1090),IF(AND('월 가계부'!A1090&gt;=19000101,'월 가계부'!A1090&lt;=21001231),IF(AND(MOD(INT('월 가계부'!A1090/100),100)&gt;=1,MOD(INT('월 가계부'!A1090/100),100)&lt;=12,MOD(INT('월 가계부'!A1090),100)&gt;=1,MOD(INT('월 가계부'!A1090),100)&lt;=31),IF(MONTH(DATE(INT('월 가계부'!A1090/10000),MOD(INT('월 가계부'!A1090/100),100),MOD(INT('월 가계부'!A1090),100)))=MOD(INT('월 가계부'!A1090/100),100),DATE(INT('월 가계부'!A1090/10000),MOD(INT('월 가계부'!A1090/100),100),MOD(INT('월 가계부'!A1090),100)),""),""),IF(AND('월 가계부'!A1090&gt;=36526,'월 가계부'!A1090&lt;73051),INT('월 가계부'!A1090),"")),IF(OR(CM1090="",CN1090="",CO1090=""),"",IF(AND(CM1090&gt;=2000,CM1090&lt;=2099,CN1090&gt;=1,CN1090&lt;=12,CO1090&gt;=1,CO1090&lt;=31),IF(MONTH(DATE(CM1090,CN1090,CO1090))=CN1090,DATE(CM1090,CN1090,CO1090),""),"")))),"")</f>
        <v/>
      </c>
      <c r="CJ1090">
        <f>IFERROR(IF('월 가계부'!C1090="","",IF(ISNUMBER('월 가계부'!C1090),'월 가계부'!C1090,VALUE(SUBSTITUTE(SUBSTITUTE(SUBSTITUTE(SUBSTITUTE(TRIM('월 가계부'!C1090),",",""),"원","")," ",""),"−","-")))),"")</f>
        <v/>
      </c>
      <c r="CK1090">
        <f>IF(ISNUMBER(CI1090),IF(CI1090&lt;$B$13,CI1090,""),"")</f>
        <v/>
      </c>
      <c r="CM1090">
        <f>IF(CH1090="","",IFERROR(IF(IF(AND(LEN(CH1090)=9,ISERROR(FIND("-",LEFT(CH1090,8))),ISNUMBER(-LEFT(CH1090,8))),VALUE(LEFT(CH1090,4)),VALUE(LEFT(CH1090,FIND("-",CH1090)-1)))&lt;100,IF(AND(LEN(CH1090)=9,ISERROR(FIND("-",LEFT(CH1090,8))),ISNUMBER(-LEFT(CH1090,8))),VALUE(LEFT(CH1090,4)),VALUE(LEFT(CH1090,FIND("-",CH1090)-1)))+2000,IF(AND(LEN(CH1090)=9,ISERROR(FIND("-",LEFT(CH1090,8))),ISNUMBER(-LEFT(CH1090,8))),VALUE(LEFT(CH1090,4)),VALUE(LEFT(CH1090,FIND("-",CH1090)-1)))),""))</f>
        <v/>
      </c>
      <c r="CN1090">
        <f>IF(CH1090="","",IFERROR(IF(AND(LEN(CH1090)=9,ISERROR(FIND("-",LEFT(CH1090,8))),ISNUMBER(-LEFT(CH1090,8))),VALUE(MID(CH1090,5,2)),VALUE(MID(CH1090,FIND("-",CH1090)+1,FIND("-",CH1090,FIND("-",CH1090)+1)-FIND("-",CH1090)-1))),""))</f>
        <v/>
      </c>
      <c r="CO1090">
        <f>IF(CH1090="","",IFERROR(IF(AND(LEN(CH1090)=9,ISERROR(FIND("-",LEFT(CH1090,8))),ISNUMBER(-LEFT(CH1090,8))),VALUE(MID(CH1090,7,2)),VALUE(MID(CH1090,FIND("-",CH1090,FIND("-",CH1090)+1)+1,FIND("-",CH1090,FIND("-",CH1090,FIND("-",CH1090)+1)+1)-FIND("-",CH1090,FIND("-",CH1090)+1)-1))),""))</f>
        <v/>
      </c>
    </row>
    <row r="1091">
      <c r="CH1091">
        <f>IF(ISTEXT('월 가계부'!A1091),SUBSTITUTE(SUBSTITUTE(SUBSTITUTE(SUBSTITUTE(SUBSTITUTE(SUBSTITUTE(SUBSTITUTE(SUBSTITUTE(SUBSTITUTE(TRIM('월 가계부'!A1091),"년","-"),"월","-"),"일",""),".","-"),"/","-")," ","-"),"--","-"),"--","-"),"--","-")&amp;"-","")</f>
        <v/>
      </c>
      <c r="CI1091">
        <f>IFERROR(IF('월 가계부'!A1091="","",IF(ISNUMBER('월 가계부'!A1091),IF(AND('월 가계부'!A1091&gt;=19000101,'월 가계부'!A1091&lt;=21001231),IF(AND(MOD(INT('월 가계부'!A1091/100),100)&gt;=1,MOD(INT('월 가계부'!A1091/100),100)&lt;=12,MOD(INT('월 가계부'!A1091),100)&gt;=1,MOD(INT('월 가계부'!A1091),100)&lt;=31),IF(MONTH(DATE(INT('월 가계부'!A1091/10000),MOD(INT('월 가계부'!A1091/100),100),MOD(INT('월 가계부'!A1091),100)))=MOD(INT('월 가계부'!A1091/100),100),DATE(INT('월 가계부'!A1091/10000),MOD(INT('월 가계부'!A1091/100),100),MOD(INT('월 가계부'!A1091),100)),""),""),IF(AND('월 가계부'!A1091&gt;=36526,'월 가계부'!A1091&lt;73051),INT('월 가계부'!A1091),"")),IF(OR(CM1091="",CN1091="",CO1091=""),"",IF(AND(CM1091&gt;=2000,CM1091&lt;=2099,CN1091&gt;=1,CN1091&lt;=12,CO1091&gt;=1,CO1091&lt;=31),IF(MONTH(DATE(CM1091,CN1091,CO1091))=CN1091,DATE(CM1091,CN1091,CO1091),""),"")))),"")</f>
        <v/>
      </c>
      <c r="CJ1091">
        <f>IFERROR(IF('월 가계부'!C1091="","",IF(ISNUMBER('월 가계부'!C1091),'월 가계부'!C1091,VALUE(SUBSTITUTE(SUBSTITUTE(SUBSTITUTE(SUBSTITUTE(TRIM('월 가계부'!C1091),",",""),"원","")," ",""),"−","-")))),"")</f>
        <v/>
      </c>
      <c r="CK1091">
        <f>IF(ISNUMBER(CI1091),IF(CI1091&lt;$B$13,CI1091,""),"")</f>
        <v/>
      </c>
      <c r="CM1091">
        <f>IF(CH1091="","",IFERROR(IF(IF(AND(LEN(CH1091)=9,ISERROR(FIND("-",LEFT(CH1091,8))),ISNUMBER(-LEFT(CH1091,8))),VALUE(LEFT(CH1091,4)),VALUE(LEFT(CH1091,FIND("-",CH1091)-1)))&lt;100,IF(AND(LEN(CH1091)=9,ISERROR(FIND("-",LEFT(CH1091,8))),ISNUMBER(-LEFT(CH1091,8))),VALUE(LEFT(CH1091,4)),VALUE(LEFT(CH1091,FIND("-",CH1091)-1)))+2000,IF(AND(LEN(CH1091)=9,ISERROR(FIND("-",LEFT(CH1091,8))),ISNUMBER(-LEFT(CH1091,8))),VALUE(LEFT(CH1091,4)),VALUE(LEFT(CH1091,FIND("-",CH1091)-1)))),""))</f>
        <v/>
      </c>
      <c r="CN1091">
        <f>IF(CH1091="","",IFERROR(IF(AND(LEN(CH1091)=9,ISERROR(FIND("-",LEFT(CH1091,8))),ISNUMBER(-LEFT(CH1091,8))),VALUE(MID(CH1091,5,2)),VALUE(MID(CH1091,FIND("-",CH1091)+1,FIND("-",CH1091,FIND("-",CH1091)+1)-FIND("-",CH1091)-1))),""))</f>
        <v/>
      </c>
      <c r="CO1091">
        <f>IF(CH1091="","",IFERROR(IF(AND(LEN(CH1091)=9,ISERROR(FIND("-",LEFT(CH1091,8))),ISNUMBER(-LEFT(CH1091,8))),VALUE(MID(CH1091,7,2)),VALUE(MID(CH1091,FIND("-",CH1091,FIND("-",CH1091)+1)+1,FIND("-",CH1091,FIND("-",CH1091,FIND("-",CH1091)+1)+1)-FIND("-",CH1091,FIND("-",CH1091)+1)-1))),""))</f>
        <v/>
      </c>
    </row>
    <row r="1092">
      <c r="CH1092">
        <f>IF(ISTEXT('월 가계부'!A1092),SUBSTITUTE(SUBSTITUTE(SUBSTITUTE(SUBSTITUTE(SUBSTITUTE(SUBSTITUTE(SUBSTITUTE(SUBSTITUTE(SUBSTITUTE(TRIM('월 가계부'!A1092),"년","-"),"월","-"),"일",""),".","-"),"/","-")," ","-"),"--","-"),"--","-"),"--","-")&amp;"-","")</f>
        <v/>
      </c>
      <c r="CI1092">
        <f>IFERROR(IF('월 가계부'!A1092="","",IF(ISNUMBER('월 가계부'!A1092),IF(AND('월 가계부'!A1092&gt;=19000101,'월 가계부'!A1092&lt;=21001231),IF(AND(MOD(INT('월 가계부'!A1092/100),100)&gt;=1,MOD(INT('월 가계부'!A1092/100),100)&lt;=12,MOD(INT('월 가계부'!A1092),100)&gt;=1,MOD(INT('월 가계부'!A1092),100)&lt;=31),IF(MONTH(DATE(INT('월 가계부'!A1092/10000),MOD(INT('월 가계부'!A1092/100),100),MOD(INT('월 가계부'!A1092),100)))=MOD(INT('월 가계부'!A1092/100),100),DATE(INT('월 가계부'!A1092/10000),MOD(INT('월 가계부'!A1092/100),100),MOD(INT('월 가계부'!A1092),100)),""),""),IF(AND('월 가계부'!A1092&gt;=36526,'월 가계부'!A1092&lt;73051),INT('월 가계부'!A1092),"")),IF(OR(CM1092="",CN1092="",CO1092=""),"",IF(AND(CM1092&gt;=2000,CM1092&lt;=2099,CN1092&gt;=1,CN1092&lt;=12,CO1092&gt;=1,CO1092&lt;=31),IF(MONTH(DATE(CM1092,CN1092,CO1092))=CN1092,DATE(CM1092,CN1092,CO1092),""),"")))),"")</f>
        <v/>
      </c>
      <c r="CJ1092">
        <f>IFERROR(IF('월 가계부'!C1092="","",IF(ISNUMBER('월 가계부'!C1092),'월 가계부'!C1092,VALUE(SUBSTITUTE(SUBSTITUTE(SUBSTITUTE(SUBSTITUTE(TRIM('월 가계부'!C1092),",",""),"원","")," ",""),"−","-")))),"")</f>
        <v/>
      </c>
      <c r="CK1092">
        <f>IF(ISNUMBER(CI1092),IF(CI1092&lt;$B$13,CI1092,""),"")</f>
        <v/>
      </c>
      <c r="CM1092">
        <f>IF(CH1092="","",IFERROR(IF(IF(AND(LEN(CH1092)=9,ISERROR(FIND("-",LEFT(CH1092,8))),ISNUMBER(-LEFT(CH1092,8))),VALUE(LEFT(CH1092,4)),VALUE(LEFT(CH1092,FIND("-",CH1092)-1)))&lt;100,IF(AND(LEN(CH1092)=9,ISERROR(FIND("-",LEFT(CH1092,8))),ISNUMBER(-LEFT(CH1092,8))),VALUE(LEFT(CH1092,4)),VALUE(LEFT(CH1092,FIND("-",CH1092)-1)))+2000,IF(AND(LEN(CH1092)=9,ISERROR(FIND("-",LEFT(CH1092,8))),ISNUMBER(-LEFT(CH1092,8))),VALUE(LEFT(CH1092,4)),VALUE(LEFT(CH1092,FIND("-",CH1092)-1)))),""))</f>
        <v/>
      </c>
      <c r="CN1092">
        <f>IF(CH1092="","",IFERROR(IF(AND(LEN(CH1092)=9,ISERROR(FIND("-",LEFT(CH1092,8))),ISNUMBER(-LEFT(CH1092,8))),VALUE(MID(CH1092,5,2)),VALUE(MID(CH1092,FIND("-",CH1092)+1,FIND("-",CH1092,FIND("-",CH1092)+1)-FIND("-",CH1092)-1))),""))</f>
        <v/>
      </c>
      <c r="CO1092">
        <f>IF(CH1092="","",IFERROR(IF(AND(LEN(CH1092)=9,ISERROR(FIND("-",LEFT(CH1092,8))),ISNUMBER(-LEFT(CH1092,8))),VALUE(MID(CH1092,7,2)),VALUE(MID(CH1092,FIND("-",CH1092,FIND("-",CH1092)+1)+1,FIND("-",CH1092,FIND("-",CH1092,FIND("-",CH1092)+1)+1)-FIND("-",CH1092,FIND("-",CH1092)+1)-1))),""))</f>
        <v/>
      </c>
    </row>
    <row r="1093">
      <c r="CH1093">
        <f>IF(ISTEXT('월 가계부'!A1093),SUBSTITUTE(SUBSTITUTE(SUBSTITUTE(SUBSTITUTE(SUBSTITUTE(SUBSTITUTE(SUBSTITUTE(SUBSTITUTE(SUBSTITUTE(TRIM('월 가계부'!A1093),"년","-"),"월","-"),"일",""),".","-"),"/","-")," ","-"),"--","-"),"--","-"),"--","-")&amp;"-","")</f>
        <v/>
      </c>
      <c r="CI1093">
        <f>IFERROR(IF('월 가계부'!A1093="","",IF(ISNUMBER('월 가계부'!A1093),IF(AND('월 가계부'!A1093&gt;=19000101,'월 가계부'!A1093&lt;=21001231),IF(AND(MOD(INT('월 가계부'!A1093/100),100)&gt;=1,MOD(INT('월 가계부'!A1093/100),100)&lt;=12,MOD(INT('월 가계부'!A1093),100)&gt;=1,MOD(INT('월 가계부'!A1093),100)&lt;=31),IF(MONTH(DATE(INT('월 가계부'!A1093/10000),MOD(INT('월 가계부'!A1093/100),100),MOD(INT('월 가계부'!A1093),100)))=MOD(INT('월 가계부'!A1093/100),100),DATE(INT('월 가계부'!A1093/10000),MOD(INT('월 가계부'!A1093/100),100),MOD(INT('월 가계부'!A1093),100)),""),""),IF(AND('월 가계부'!A1093&gt;=36526,'월 가계부'!A1093&lt;73051),INT('월 가계부'!A1093),"")),IF(OR(CM1093="",CN1093="",CO1093=""),"",IF(AND(CM1093&gt;=2000,CM1093&lt;=2099,CN1093&gt;=1,CN1093&lt;=12,CO1093&gt;=1,CO1093&lt;=31),IF(MONTH(DATE(CM1093,CN1093,CO1093))=CN1093,DATE(CM1093,CN1093,CO1093),""),"")))),"")</f>
        <v/>
      </c>
      <c r="CJ1093">
        <f>IFERROR(IF('월 가계부'!C1093="","",IF(ISNUMBER('월 가계부'!C1093),'월 가계부'!C1093,VALUE(SUBSTITUTE(SUBSTITUTE(SUBSTITUTE(SUBSTITUTE(TRIM('월 가계부'!C1093),",",""),"원","")," ",""),"−","-")))),"")</f>
        <v/>
      </c>
      <c r="CK1093">
        <f>IF(ISNUMBER(CI1093),IF(CI1093&lt;$B$13,CI1093,""),"")</f>
        <v/>
      </c>
      <c r="CM1093">
        <f>IF(CH1093="","",IFERROR(IF(IF(AND(LEN(CH1093)=9,ISERROR(FIND("-",LEFT(CH1093,8))),ISNUMBER(-LEFT(CH1093,8))),VALUE(LEFT(CH1093,4)),VALUE(LEFT(CH1093,FIND("-",CH1093)-1)))&lt;100,IF(AND(LEN(CH1093)=9,ISERROR(FIND("-",LEFT(CH1093,8))),ISNUMBER(-LEFT(CH1093,8))),VALUE(LEFT(CH1093,4)),VALUE(LEFT(CH1093,FIND("-",CH1093)-1)))+2000,IF(AND(LEN(CH1093)=9,ISERROR(FIND("-",LEFT(CH1093,8))),ISNUMBER(-LEFT(CH1093,8))),VALUE(LEFT(CH1093,4)),VALUE(LEFT(CH1093,FIND("-",CH1093)-1)))),""))</f>
        <v/>
      </c>
      <c r="CN1093">
        <f>IF(CH1093="","",IFERROR(IF(AND(LEN(CH1093)=9,ISERROR(FIND("-",LEFT(CH1093,8))),ISNUMBER(-LEFT(CH1093,8))),VALUE(MID(CH1093,5,2)),VALUE(MID(CH1093,FIND("-",CH1093)+1,FIND("-",CH1093,FIND("-",CH1093)+1)-FIND("-",CH1093)-1))),""))</f>
        <v/>
      </c>
      <c r="CO1093">
        <f>IF(CH1093="","",IFERROR(IF(AND(LEN(CH1093)=9,ISERROR(FIND("-",LEFT(CH1093,8))),ISNUMBER(-LEFT(CH1093,8))),VALUE(MID(CH1093,7,2)),VALUE(MID(CH1093,FIND("-",CH1093,FIND("-",CH1093)+1)+1,FIND("-",CH1093,FIND("-",CH1093,FIND("-",CH1093)+1)+1)-FIND("-",CH1093,FIND("-",CH1093)+1)-1))),""))</f>
        <v/>
      </c>
    </row>
    <row r="1094">
      <c r="CH1094">
        <f>IF(ISTEXT('월 가계부'!A1094),SUBSTITUTE(SUBSTITUTE(SUBSTITUTE(SUBSTITUTE(SUBSTITUTE(SUBSTITUTE(SUBSTITUTE(SUBSTITUTE(SUBSTITUTE(TRIM('월 가계부'!A1094),"년","-"),"월","-"),"일",""),".","-"),"/","-")," ","-"),"--","-"),"--","-"),"--","-")&amp;"-","")</f>
        <v/>
      </c>
      <c r="CI1094">
        <f>IFERROR(IF('월 가계부'!A1094="","",IF(ISNUMBER('월 가계부'!A1094),IF(AND('월 가계부'!A1094&gt;=19000101,'월 가계부'!A1094&lt;=21001231),IF(AND(MOD(INT('월 가계부'!A1094/100),100)&gt;=1,MOD(INT('월 가계부'!A1094/100),100)&lt;=12,MOD(INT('월 가계부'!A1094),100)&gt;=1,MOD(INT('월 가계부'!A1094),100)&lt;=31),IF(MONTH(DATE(INT('월 가계부'!A1094/10000),MOD(INT('월 가계부'!A1094/100),100),MOD(INT('월 가계부'!A1094),100)))=MOD(INT('월 가계부'!A1094/100),100),DATE(INT('월 가계부'!A1094/10000),MOD(INT('월 가계부'!A1094/100),100),MOD(INT('월 가계부'!A1094),100)),""),""),IF(AND('월 가계부'!A1094&gt;=36526,'월 가계부'!A1094&lt;73051),INT('월 가계부'!A1094),"")),IF(OR(CM1094="",CN1094="",CO1094=""),"",IF(AND(CM1094&gt;=2000,CM1094&lt;=2099,CN1094&gt;=1,CN1094&lt;=12,CO1094&gt;=1,CO1094&lt;=31),IF(MONTH(DATE(CM1094,CN1094,CO1094))=CN1094,DATE(CM1094,CN1094,CO1094),""),"")))),"")</f>
        <v/>
      </c>
      <c r="CJ1094">
        <f>IFERROR(IF('월 가계부'!C1094="","",IF(ISNUMBER('월 가계부'!C1094),'월 가계부'!C1094,VALUE(SUBSTITUTE(SUBSTITUTE(SUBSTITUTE(SUBSTITUTE(TRIM('월 가계부'!C1094),",",""),"원","")," ",""),"−","-")))),"")</f>
        <v/>
      </c>
      <c r="CK1094">
        <f>IF(ISNUMBER(CI1094),IF(CI1094&lt;$B$13,CI1094,""),"")</f>
        <v/>
      </c>
      <c r="CM1094">
        <f>IF(CH1094="","",IFERROR(IF(IF(AND(LEN(CH1094)=9,ISERROR(FIND("-",LEFT(CH1094,8))),ISNUMBER(-LEFT(CH1094,8))),VALUE(LEFT(CH1094,4)),VALUE(LEFT(CH1094,FIND("-",CH1094)-1)))&lt;100,IF(AND(LEN(CH1094)=9,ISERROR(FIND("-",LEFT(CH1094,8))),ISNUMBER(-LEFT(CH1094,8))),VALUE(LEFT(CH1094,4)),VALUE(LEFT(CH1094,FIND("-",CH1094)-1)))+2000,IF(AND(LEN(CH1094)=9,ISERROR(FIND("-",LEFT(CH1094,8))),ISNUMBER(-LEFT(CH1094,8))),VALUE(LEFT(CH1094,4)),VALUE(LEFT(CH1094,FIND("-",CH1094)-1)))),""))</f>
        <v/>
      </c>
      <c r="CN1094">
        <f>IF(CH1094="","",IFERROR(IF(AND(LEN(CH1094)=9,ISERROR(FIND("-",LEFT(CH1094,8))),ISNUMBER(-LEFT(CH1094,8))),VALUE(MID(CH1094,5,2)),VALUE(MID(CH1094,FIND("-",CH1094)+1,FIND("-",CH1094,FIND("-",CH1094)+1)-FIND("-",CH1094)-1))),""))</f>
        <v/>
      </c>
      <c r="CO1094">
        <f>IF(CH1094="","",IFERROR(IF(AND(LEN(CH1094)=9,ISERROR(FIND("-",LEFT(CH1094,8))),ISNUMBER(-LEFT(CH1094,8))),VALUE(MID(CH1094,7,2)),VALUE(MID(CH1094,FIND("-",CH1094,FIND("-",CH1094)+1)+1,FIND("-",CH1094,FIND("-",CH1094,FIND("-",CH1094)+1)+1)-FIND("-",CH1094,FIND("-",CH1094)+1)-1))),""))</f>
        <v/>
      </c>
    </row>
    <row r="1095">
      <c r="CH1095">
        <f>IF(ISTEXT('월 가계부'!A1095),SUBSTITUTE(SUBSTITUTE(SUBSTITUTE(SUBSTITUTE(SUBSTITUTE(SUBSTITUTE(SUBSTITUTE(SUBSTITUTE(SUBSTITUTE(TRIM('월 가계부'!A1095),"년","-"),"월","-"),"일",""),".","-"),"/","-")," ","-"),"--","-"),"--","-"),"--","-")&amp;"-","")</f>
        <v/>
      </c>
      <c r="CI1095">
        <f>IFERROR(IF('월 가계부'!A1095="","",IF(ISNUMBER('월 가계부'!A1095),IF(AND('월 가계부'!A1095&gt;=19000101,'월 가계부'!A1095&lt;=21001231),IF(AND(MOD(INT('월 가계부'!A1095/100),100)&gt;=1,MOD(INT('월 가계부'!A1095/100),100)&lt;=12,MOD(INT('월 가계부'!A1095),100)&gt;=1,MOD(INT('월 가계부'!A1095),100)&lt;=31),IF(MONTH(DATE(INT('월 가계부'!A1095/10000),MOD(INT('월 가계부'!A1095/100),100),MOD(INT('월 가계부'!A1095),100)))=MOD(INT('월 가계부'!A1095/100),100),DATE(INT('월 가계부'!A1095/10000),MOD(INT('월 가계부'!A1095/100),100),MOD(INT('월 가계부'!A1095),100)),""),""),IF(AND('월 가계부'!A1095&gt;=36526,'월 가계부'!A1095&lt;73051),INT('월 가계부'!A1095),"")),IF(OR(CM1095="",CN1095="",CO1095=""),"",IF(AND(CM1095&gt;=2000,CM1095&lt;=2099,CN1095&gt;=1,CN1095&lt;=12,CO1095&gt;=1,CO1095&lt;=31),IF(MONTH(DATE(CM1095,CN1095,CO1095))=CN1095,DATE(CM1095,CN1095,CO1095),""),"")))),"")</f>
        <v/>
      </c>
      <c r="CJ1095">
        <f>IFERROR(IF('월 가계부'!C1095="","",IF(ISNUMBER('월 가계부'!C1095),'월 가계부'!C1095,VALUE(SUBSTITUTE(SUBSTITUTE(SUBSTITUTE(SUBSTITUTE(TRIM('월 가계부'!C1095),",",""),"원","")," ",""),"−","-")))),"")</f>
        <v/>
      </c>
      <c r="CK1095">
        <f>IF(ISNUMBER(CI1095),IF(CI1095&lt;$B$13,CI1095,""),"")</f>
        <v/>
      </c>
      <c r="CM1095">
        <f>IF(CH1095="","",IFERROR(IF(IF(AND(LEN(CH1095)=9,ISERROR(FIND("-",LEFT(CH1095,8))),ISNUMBER(-LEFT(CH1095,8))),VALUE(LEFT(CH1095,4)),VALUE(LEFT(CH1095,FIND("-",CH1095)-1)))&lt;100,IF(AND(LEN(CH1095)=9,ISERROR(FIND("-",LEFT(CH1095,8))),ISNUMBER(-LEFT(CH1095,8))),VALUE(LEFT(CH1095,4)),VALUE(LEFT(CH1095,FIND("-",CH1095)-1)))+2000,IF(AND(LEN(CH1095)=9,ISERROR(FIND("-",LEFT(CH1095,8))),ISNUMBER(-LEFT(CH1095,8))),VALUE(LEFT(CH1095,4)),VALUE(LEFT(CH1095,FIND("-",CH1095)-1)))),""))</f>
        <v/>
      </c>
      <c r="CN1095">
        <f>IF(CH1095="","",IFERROR(IF(AND(LEN(CH1095)=9,ISERROR(FIND("-",LEFT(CH1095,8))),ISNUMBER(-LEFT(CH1095,8))),VALUE(MID(CH1095,5,2)),VALUE(MID(CH1095,FIND("-",CH1095)+1,FIND("-",CH1095,FIND("-",CH1095)+1)-FIND("-",CH1095)-1))),""))</f>
        <v/>
      </c>
      <c r="CO1095">
        <f>IF(CH1095="","",IFERROR(IF(AND(LEN(CH1095)=9,ISERROR(FIND("-",LEFT(CH1095,8))),ISNUMBER(-LEFT(CH1095,8))),VALUE(MID(CH1095,7,2)),VALUE(MID(CH1095,FIND("-",CH1095,FIND("-",CH1095)+1)+1,FIND("-",CH1095,FIND("-",CH1095,FIND("-",CH1095)+1)+1)-FIND("-",CH1095,FIND("-",CH1095)+1)-1))),""))</f>
        <v/>
      </c>
    </row>
    <row r="1096">
      <c r="CH1096">
        <f>IF(ISTEXT('월 가계부'!A1096),SUBSTITUTE(SUBSTITUTE(SUBSTITUTE(SUBSTITUTE(SUBSTITUTE(SUBSTITUTE(SUBSTITUTE(SUBSTITUTE(SUBSTITUTE(TRIM('월 가계부'!A1096),"년","-"),"월","-"),"일",""),".","-"),"/","-")," ","-"),"--","-"),"--","-"),"--","-")&amp;"-","")</f>
        <v/>
      </c>
      <c r="CI1096">
        <f>IFERROR(IF('월 가계부'!A1096="","",IF(ISNUMBER('월 가계부'!A1096),IF(AND('월 가계부'!A1096&gt;=19000101,'월 가계부'!A1096&lt;=21001231),IF(AND(MOD(INT('월 가계부'!A1096/100),100)&gt;=1,MOD(INT('월 가계부'!A1096/100),100)&lt;=12,MOD(INT('월 가계부'!A1096),100)&gt;=1,MOD(INT('월 가계부'!A1096),100)&lt;=31),IF(MONTH(DATE(INT('월 가계부'!A1096/10000),MOD(INT('월 가계부'!A1096/100),100),MOD(INT('월 가계부'!A1096),100)))=MOD(INT('월 가계부'!A1096/100),100),DATE(INT('월 가계부'!A1096/10000),MOD(INT('월 가계부'!A1096/100),100),MOD(INT('월 가계부'!A1096),100)),""),""),IF(AND('월 가계부'!A1096&gt;=36526,'월 가계부'!A1096&lt;73051),INT('월 가계부'!A1096),"")),IF(OR(CM1096="",CN1096="",CO1096=""),"",IF(AND(CM1096&gt;=2000,CM1096&lt;=2099,CN1096&gt;=1,CN1096&lt;=12,CO1096&gt;=1,CO1096&lt;=31),IF(MONTH(DATE(CM1096,CN1096,CO1096))=CN1096,DATE(CM1096,CN1096,CO1096),""),"")))),"")</f>
        <v/>
      </c>
      <c r="CJ1096">
        <f>IFERROR(IF('월 가계부'!C1096="","",IF(ISNUMBER('월 가계부'!C1096),'월 가계부'!C1096,VALUE(SUBSTITUTE(SUBSTITUTE(SUBSTITUTE(SUBSTITUTE(TRIM('월 가계부'!C1096),",",""),"원","")," ",""),"−","-")))),"")</f>
        <v/>
      </c>
      <c r="CK1096">
        <f>IF(ISNUMBER(CI1096),IF(CI1096&lt;$B$13,CI1096,""),"")</f>
        <v/>
      </c>
      <c r="CM1096">
        <f>IF(CH1096="","",IFERROR(IF(IF(AND(LEN(CH1096)=9,ISERROR(FIND("-",LEFT(CH1096,8))),ISNUMBER(-LEFT(CH1096,8))),VALUE(LEFT(CH1096,4)),VALUE(LEFT(CH1096,FIND("-",CH1096)-1)))&lt;100,IF(AND(LEN(CH1096)=9,ISERROR(FIND("-",LEFT(CH1096,8))),ISNUMBER(-LEFT(CH1096,8))),VALUE(LEFT(CH1096,4)),VALUE(LEFT(CH1096,FIND("-",CH1096)-1)))+2000,IF(AND(LEN(CH1096)=9,ISERROR(FIND("-",LEFT(CH1096,8))),ISNUMBER(-LEFT(CH1096,8))),VALUE(LEFT(CH1096,4)),VALUE(LEFT(CH1096,FIND("-",CH1096)-1)))),""))</f>
        <v/>
      </c>
      <c r="CN1096">
        <f>IF(CH1096="","",IFERROR(IF(AND(LEN(CH1096)=9,ISERROR(FIND("-",LEFT(CH1096,8))),ISNUMBER(-LEFT(CH1096,8))),VALUE(MID(CH1096,5,2)),VALUE(MID(CH1096,FIND("-",CH1096)+1,FIND("-",CH1096,FIND("-",CH1096)+1)-FIND("-",CH1096)-1))),""))</f>
        <v/>
      </c>
      <c r="CO1096">
        <f>IF(CH1096="","",IFERROR(IF(AND(LEN(CH1096)=9,ISERROR(FIND("-",LEFT(CH1096,8))),ISNUMBER(-LEFT(CH1096,8))),VALUE(MID(CH1096,7,2)),VALUE(MID(CH1096,FIND("-",CH1096,FIND("-",CH1096)+1)+1,FIND("-",CH1096,FIND("-",CH1096,FIND("-",CH1096)+1)+1)-FIND("-",CH1096,FIND("-",CH1096)+1)-1))),""))</f>
        <v/>
      </c>
    </row>
    <row r="1097">
      <c r="CH1097">
        <f>IF(ISTEXT('월 가계부'!A1097),SUBSTITUTE(SUBSTITUTE(SUBSTITUTE(SUBSTITUTE(SUBSTITUTE(SUBSTITUTE(SUBSTITUTE(SUBSTITUTE(SUBSTITUTE(TRIM('월 가계부'!A1097),"년","-"),"월","-"),"일",""),".","-"),"/","-")," ","-"),"--","-"),"--","-"),"--","-")&amp;"-","")</f>
        <v/>
      </c>
      <c r="CI1097">
        <f>IFERROR(IF('월 가계부'!A1097="","",IF(ISNUMBER('월 가계부'!A1097),IF(AND('월 가계부'!A1097&gt;=19000101,'월 가계부'!A1097&lt;=21001231),IF(AND(MOD(INT('월 가계부'!A1097/100),100)&gt;=1,MOD(INT('월 가계부'!A1097/100),100)&lt;=12,MOD(INT('월 가계부'!A1097),100)&gt;=1,MOD(INT('월 가계부'!A1097),100)&lt;=31),IF(MONTH(DATE(INT('월 가계부'!A1097/10000),MOD(INT('월 가계부'!A1097/100),100),MOD(INT('월 가계부'!A1097),100)))=MOD(INT('월 가계부'!A1097/100),100),DATE(INT('월 가계부'!A1097/10000),MOD(INT('월 가계부'!A1097/100),100),MOD(INT('월 가계부'!A1097),100)),""),""),IF(AND('월 가계부'!A1097&gt;=36526,'월 가계부'!A1097&lt;73051),INT('월 가계부'!A1097),"")),IF(OR(CM1097="",CN1097="",CO1097=""),"",IF(AND(CM1097&gt;=2000,CM1097&lt;=2099,CN1097&gt;=1,CN1097&lt;=12,CO1097&gt;=1,CO1097&lt;=31),IF(MONTH(DATE(CM1097,CN1097,CO1097))=CN1097,DATE(CM1097,CN1097,CO1097),""),"")))),"")</f>
        <v/>
      </c>
      <c r="CJ1097">
        <f>IFERROR(IF('월 가계부'!C1097="","",IF(ISNUMBER('월 가계부'!C1097),'월 가계부'!C1097,VALUE(SUBSTITUTE(SUBSTITUTE(SUBSTITUTE(SUBSTITUTE(TRIM('월 가계부'!C1097),",",""),"원","")," ",""),"−","-")))),"")</f>
        <v/>
      </c>
      <c r="CK1097">
        <f>IF(ISNUMBER(CI1097),IF(CI1097&lt;$B$13,CI1097,""),"")</f>
        <v/>
      </c>
      <c r="CM1097">
        <f>IF(CH1097="","",IFERROR(IF(IF(AND(LEN(CH1097)=9,ISERROR(FIND("-",LEFT(CH1097,8))),ISNUMBER(-LEFT(CH1097,8))),VALUE(LEFT(CH1097,4)),VALUE(LEFT(CH1097,FIND("-",CH1097)-1)))&lt;100,IF(AND(LEN(CH1097)=9,ISERROR(FIND("-",LEFT(CH1097,8))),ISNUMBER(-LEFT(CH1097,8))),VALUE(LEFT(CH1097,4)),VALUE(LEFT(CH1097,FIND("-",CH1097)-1)))+2000,IF(AND(LEN(CH1097)=9,ISERROR(FIND("-",LEFT(CH1097,8))),ISNUMBER(-LEFT(CH1097,8))),VALUE(LEFT(CH1097,4)),VALUE(LEFT(CH1097,FIND("-",CH1097)-1)))),""))</f>
        <v/>
      </c>
      <c r="CN1097">
        <f>IF(CH1097="","",IFERROR(IF(AND(LEN(CH1097)=9,ISERROR(FIND("-",LEFT(CH1097,8))),ISNUMBER(-LEFT(CH1097,8))),VALUE(MID(CH1097,5,2)),VALUE(MID(CH1097,FIND("-",CH1097)+1,FIND("-",CH1097,FIND("-",CH1097)+1)-FIND("-",CH1097)-1))),""))</f>
        <v/>
      </c>
      <c r="CO1097">
        <f>IF(CH1097="","",IFERROR(IF(AND(LEN(CH1097)=9,ISERROR(FIND("-",LEFT(CH1097,8))),ISNUMBER(-LEFT(CH1097,8))),VALUE(MID(CH1097,7,2)),VALUE(MID(CH1097,FIND("-",CH1097,FIND("-",CH1097)+1)+1,FIND("-",CH1097,FIND("-",CH1097,FIND("-",CH1097)+1)+1)-FIND("-",CH1097,FIND("-",CH1097)+1)-1))),""))</f>
        <v/>
      </c>
    </row>
    <row r="1098">
      <c r="CH1098">
        <f>IF(ISTEXT('월 가계부'!A1098),SUBSTITUTE(SUBSTITUTE(SUBSTITUTE(SUBSTITUTE(SUBSTITUTE(SUBSTITUTE(SUBSTITUTE(SUBSTITUTE(SUBSTITUTE(TRIM('월 가계부'!A1098),"년","-"),"월","-"),"일",""),".","-"),"/","-")," ","-"),"--","-"),"--","-"),"--","-")&amp;"-","")</f>
        <v/>
      </c>
      <c r="CI1098">
        <f>IFERROR(IF('월 가계부'!A1098="","",IF(ISNUMBER('월 가계부'!A1098),IF(AND('월 가계부'!A1098&gt;=19000101,'월 가계부'!A1098&lt;=21001231),IF(AND(MOD(INT('월 가계부'!A1098/100),100)&gt;=1,MOD(INT('월 가계부'!A1098/100),100)&lt;=12,MOD(INT('월 가계부'!A1098),100)&gt;=1,MOD(INT('월 가계부'!A1098),100)&lt;=31),IF(MONTH(DATE(INT('월 가계부'!A1098/10000),MOD(INT('월 가계부'!A1098/100),100),MOD(INT('월 가계부'!A1098),100)))=MOD(INT('월 가계부'!A1098/100),100),DATE(INT('월 가계부'!A1098/10000),MOD(INT('월 가계부'!A1098/100),100),MOD(INT('월 가계부'!A1098),100)),""),""),IF(AND('월 가계부'!A1098&gt;=36526,'월 가계부'!A1098&lt;73051),INT('월 가계부'!A1098),"")),IF(OR(CM1098="",CN1098="",CO1098=""),"",IF(AND(CM1098&gt;=2000,CM1098&lt;=2099,CN1098&gt;=1,CN1098&lt;=12,CO1098&gt;=1,CO1098&lt;=31),IF(MONTH(DATE(CM1098,CN1098,CO1098))=CN1098,DATE(CM1098,CN1098,CO1098),""),"")))),"")</f>
        <v/>
      </c>
      <c r="CJ1098">
        <f>IFERROR(IF('월 가계부'!C1098="","",IF(ISNUMBER('월 가계부'!C1098),'월 가계부'!C1098,VALUE(SUBSTITUTE(SUBSTITUTE(SUBSTITUTE(SUBSTITUTE(TRIM('월 가계부'!C1098),",",""),"원","")," ",""),"−","-")))),"")</f>
        <v/>
      </c>
      <c r="CK1098">
        <f>IF(ISNUMBER(CI1098),IF(CI1098&lt;$B$13,CI1098,""),"")</f>
        <v/>
      </c>
      <c r="CM1098">
        <f>IF(CH1098="","",IFERROR(IF(IF(AND(LEN(CH1098)=9,ISERROR(FIND("-",LEFT(CH1098,8))),ISNUMBER(-LEFT(CH1098,8))),VALUE(LEFT(CH1098,4)),VALUE(LEFT(CH1098,FIND("-",CH1098)-1)))&lt;100,IF(AND(LEN(CH1098)=9,ISERROR(FIND("-",LEFT(CH1098,8))),ISNUMBER(-LEFT(CH1098,8))),VALUE(LEFT(CH1098,4)),VALUE(LEFT(CH1098,FIND("-",CH1098)-1)))+2000,IF(AND(LEN(CH1098)=9,ISERROR(FIND("-",LEFT(CH1098,8))),ISNUMBER(-LEFT(CH1098,8))),VALUE(LEFT(CH1098,4)),VALUE(LEFT(CH1098,FIND("-",CH1098)-1)))),""))</f>
        <v/>
      </c>
      <c r="CN1098">
        <f>IF(CH1098="","",IFERROR(IF(AND(LEN(CH1098)=9,ISERROR(FIND("-",LEFT(CH1098,8))),ISNUMBER(-LEFT(CH1098,8))),VALUE(MID(CH1098,5,2)),VALUE(MID(CH1098,FIND("-",CH1098)+1,FIND("-",CH1098,FIND("-",CH1098)+1)-FIND("-",CH1098)-1))),""))</f>
        <v/>
      </c>
      <c r="CO1098">
        <f>IF(CH1098="","",IFERROR(IF(AND(LEN(CH1098)=9,ISERROR(FIND("-",LEFT(CH1098,8))),ISNUMBER(-LEFT(CH1098,8))),VALUE(MID(CH1098,7,2)),VALUE(MID(CH1098,FIND("-",CH1098,FIND("-",CH1098)+1)+1,FIND("-",CH1098,FIND("-",CH1098,FIND("-",CH1098)+1)+1)-FIND("-",CH1098,FIND("-",CH1098)+1)-1))),""))</f>
        <v/>
      </c>
    </row>
    <row r="1099">
      <c r="CH1099">
        <f>IF(ISTEXT('월 가계부'!A1099),SUBSTITUTE(SUBSTITUTE(SUBSTITUTE(SUBSTITUTE(SUBSTITUTE(SUBSTITUTE(SUBSTITUTE(SUBSTITUTE(SUBSTITUTE(TRIM('월 가계부'!A1099),"년","-"),"월","-"),"일",""),".","-"),"/","-")," ","-"),"--","-"),"--","-"),"--","-")&amp;"-","")</f>
        <v/>
      </c>
      <c r="CI1099">
        <f>IFERROR(IF('월 가계부'!A1099="","",IF(ISNUMBER('월 가계부'!A1099),IF(AND('월 가계부'!A1099&gt;=19000101,'월 가계부'!A1099&lt;=21001231),IF(AND(MOD(INT('월 가계부'!A1099/100),100)&gt;=1,MOD(INT('월 가계부'!A1099/100),100)&lt;=12,MOD(INT('월 가계부'!A1099),100)&gt;=1,MOD(INT('월 가계부'!A1099),100)&lt;=31),IF(MONTH(DATE(INT('월 가계부'!A1099/10000),MOD(INT('월 가계부'!A1099/100),100),MOD(INT('월 가계부'!A1099),100)))=MOD(INT('월 가계부'!A1099/100),100),DATE(INT('월 가계부'!A1099/10000),MOD(INT('월 가계부'!A1099/100),100),MOD(INT('월 가계부'!A1099),100)),""),""),IF(AND('월 가계부'!A1099&gt;=36526,'월 가계부'!A1099&lt;73051),INT('월 가계부'!A1099),"")),IF(OR(CM1099="",CN1099="",CO1099=""),"",IF(AND(CM1099&gt;=2000,CM1099&lt;=2099,CN1099&gt;=1,CN1099&lt;=12,CO1099&gt;=1,CO1099&lt;=31),IF(MONTH(DATE(CM1099,CN1099,CO1099))=CN1099,DATE(CM1099,CN1099,CO1099),""),"")))),"")</f>
        <v/>
      </c>
      <c r="CJ1099">
        <f>IFERROR(IF('월 가계부'!C1099="","",IF(ISNUMBER('월 가계부'!C1099),'월 가계부'!C1099,VALUE(SUBSTITUTE(SUBSTITUTE(SUBSTITUTE(SUBSTITUTE(TRIM('월 가계부'!C1099),",",""),"원","")," ",""),"−","-")))),"")</f>
        <v/>
      </c>
      <c r="CK1099">
        <f>IF(ISNUMBER(CI1099),IF(CI1099&lt;$B$13,CI1099,""),"")</f>
        <v/>
      </c>
      <c r="CM1099">
        <f>IF(CH1099="","",IFERROR(IF(IF(AND(LEN(CH1099)=9,ISERROR(FIND("-",LEFT(CH1099,8))),ISNUMBER(-LEFT(CH1099,8))),VALUE(LEFT(CH1099,4)),VALUE(LEFT(CH1099,FIND("-",CH1099)-1)))&lt;100,IF(AND(LEN(CH1099)=9,ISERROR(FIND("-",LEFT(CH1099,8))),ISNUMBER(-LEFT(CH1099,8))),VALUE(LEFT(CH1099,4)),VALUE(LEFT(CH1099,FIND("-",CH1099)-1)))+2000,IF(AND(LEN(CH1099)=9,ISERROR(FIND("-",LEFT(CH1099,8))),ISNUMBER(-LEFT(CH1099,8))),VALUE(LEFT(CH1099,4)),VALUE(LEFT(CH1099,FIND("-",CH1099)-1)))),""))</f>
        <v/>
      </c>
      <c r="CN1099">
        <f>IF(CH1099="","",IFERROR(IF(AND(LEN(CH1099)=9,ISERROR(FIND("-",LEFT(CH1099,8))),ISNUMBER(-LEFT(CH1099,8))),VALUE(MID(CH1099,5,2)),VALUE(MID(CH1099,FIND("-",CH1099)+1,FIND("-",CH1099,FIND("-",CH1099)+1)-FIND("-",CH1099)-1))),""))</f>
        <v/>
      </c>
      <c r="CO1099">
        <f>IF(CH1099="","",IFERROR(IF(AND(LEN(CH1099)=9,ISERROR(FIND("-",LEFT(CH1099,8))),ISNUMBER(-LEFT(CH1099,8))),VALUE(MID(CH1099,7,2)),VALUE(MID(CH1099,FIND("-",CH1099,FIND("-",CH1099)+1)+1,FIND("-",CH1099,FIND("-",CH1099,FIND("-",CH1099)+1)+1)-FIND("-",CH1099,FIND("-",CH1099)+1)-1))),""))</f>
        <v/>
      </c>
    </row>
    <row r="1100">
      <c r="CH1100">
        <f>IF(ISTEXT('월 가계부'!A1100),SUBSTITUTE(SUBSTITUTE(SUBSTITUTE(SUBSTITUTE(SUBSTITUTE(SUBSTITUTE(SUBSTITUTE(SUBSTITUTE(SUBSTITUTE(TRIM('월 가계부'!A1100),"년","-"),"월","-"),"일",""),".","-"),"/","-")," ","-"),"--","-"),"--","-"),"--","-")&amp;"-","")</f>
        <v/>
      </c>
      <c r="CI1100">
        <f>IFERROR(IF('월 가계부'!A1100="","",IF(ISNUMBER('월 가계부'!A1100),IF(AND('월 가계부'!A1100&gt;=19000101,'월 가계부'!A1100&lt;=21001231),IF(AND(MOD(INT('월 가계부'!A1100/100),100)&gt;=1,MOD(INT('월 가계부'!A1100/100),100)&lt;=12,MOD(INT('월 가계부'!A1100),100)&gt;=1,MOD(INT('월 가계부'!A1100),100)&lt;=31),IF(MONTH(DATE(INT('월 가계부'!A1100/10000),MOD(INT('월 가계부'!A1100/100),100),MOD(INT('월 가계부'!A1100),100)))=MOD(INT('월 가계부'!A1100/100),100),DATE(INT('월 가계부'!A1100/10000),MOD(INT('월 가계부'!A1100/100),100),MOD(INT('월 가계부'!A1100),100)),""),""),IF(AND('월 가계부'!A1100&gt;=36526,'월 가계부'!A1100&lt;73051),INT('월 가계부'!A1100),"")),IF(OR(CM1100="",CN1100="",CO1100=""),"",IF(AND(CM1100&gt;=2000,CM1100&lt;=2099,CN1100&gt;=1,CN1100&lt;=12,CO1100&gt;=1,CO1100&lt;=31),IF(MONTH(DATE(CM1100,CN1100,CO1100))=CN1100,DATE(CM1100,CN1100,CO1100),""),"")))),"")</f>
        <v/>
      </c>
      <c r="CJ1100">
        <f>IFERROR(IF('월 가계부'!C1100="","",IF(ISNUMBER('월 가계부'!C1100),'월 가계부'!C1100,VALUE(SUBSTITUTE(SUBSTITUTE(SUBSTITUTE(SUBSTITUTE(TRIM('월 가계부'!C1100),",",""),"원","")," ",""),"−","-")))),"")</f>
        <v/>
      </c>
      <c r="CK1100">
        <f>IF(ISNUMBER(CI1100),IF(CI1100&lt;$B$13,CI1100,""),"")</f>
        <v/>
      </c>
      <c r="CM1100">
        <f>IF(CH1100="","",IFERROR(IF(IF(AND(LEN(CH1100)=9,ISERROR(FIND("-",LEFT(CH1100,8))),ISNUMBER(-LEFT(CH1100,8))),VALUE(LEFT(CH1100,4)),VALUE(LEFT(CH1100,FIND("-",CH1100)-1)))&lt;100,IF(AND(LEN(CH1100)=9,ISERROR(FIND("-",LEFT(CH1100,8))),ISNUMBER(-LEFT(CH1100,8))),VALUE(LEFT(CH1100,4)),VALUE(LEFT(CH1100,FIND("-",CH1100)-1)))+2000,IF(AND(LEN(CH1100)=9,ISERROR(FIND("-",LEFT(CH1100,8))),ISNUMBER(-LEFT(CH1100,8))),VALUE(LEFT(CH1100,4)),VALUE(LEFT(CH1100,FIND("-",CH1100)-1)))),""))</f>
        <v/>
      </c>
      <c r="CN1100">
        <f>IF(CH1100="","",IFERROR(IF(AND(LEN(CH1100)=9,ISERROR(FIND("-",LEFT(CH1100,8))),ISNUMBER(-LEFT(CH1100,8))),VALUE(MID(CH1100,5,2)),VALUE(MID(CH1100,FIND("-",CH1100)+1,FIND("-",CH1100,FIND("-",CH1100)+1)-FIND("-",CH1100)-1))),""))</f>
        <v/>
      </c>
      <c r="CO1100">
        <f>IF(CH1100="","",IFERROR(IF(AND(LEN(CH1100)=9,ISERROR(FIND("-",LEFT(CH1100,8))),ISNUMBER(-LEFT(CH1100,8))),VALUE(MID(CH1100,7,2)),VALUE(MID(CH1100,FIND("-",CH1100,FIND("-",CH1100)+1)+1,FIND("-",CH1100,FIND("-",CH1100,FIND("-",CH1100)+1)+1)-FIND("-",CH1100,FIND("-",CH1100)+1)-1))),""))</f>
        <v/>
      </c>
    </row>
    <row r="1101">
      <c r="CH1101">
        <f>IF(ISTEXT('월 가계부'!A1101),SUBSTITUTE(SUBSTITUTE(SUBSTITUTE(SUBSTITUTE(SUBSTITUTE(SUBSTITUTE(SUBSTITUTE(SUBSTITUTE(SUBSTITUTE(TRIM('월 가계부'!A1101),"년","-"),"월","-"),"일",""),".","-"),"/","-")," ","-"),"--","-"),"--","-"),"--","-")&amp;"-","")</f>
        <v/>
      </c>
      <c r="CI1101">
        <f>IFERROR(IF('월 가계부'!A1101="","",IF(ISNUMBER('월 가계부'!A1101),IF(AND('월 가계부'!A1101&gt;=19000101,'월 가계부'!A1101&lt;=21001231),IF(AND(MOD(INT('월 가계부'!A1101/100),100)&gt;=1,MOD(INT('월 가계부'!A1101/100),100)&lt;=12,MOD(INT('월 가계부'!A1101),100)&gt;=1,MOD(INT('월 가계부'!A1101),100)&lt;=31),IF(MONTH(DATE(INT('월 가계부'!A1101/10000),MOD(INT('월 가계부'!A1101/100),100),MOD(INT('월 가계부'!A1101),100)))=MOD(INT('월 가계부'!A1101/100),100),DATE(INT('월 가계부'!A1101/10000),MOD(INT('월 가계부'!A1101/100),100),MOD(INT('월 가계부'!A1101),100)),""),""),IF(AND('월 가계부'!A1101&gt;=36526,'월 가계부'!A1101&lt;73051),INT('월 가계부'!A1101),"")),IF(OR(CM1101="",CN1101="",CO1101=""),"",IF(AND(CM1101&gt;=2000,CM1101&lt;=2099,CN1101&gt;=1,CN1101&lt;=12,CO1101&gt;=1,CO1101&lt;=31),IF(MONTH(DATE(CM1101,CN1101,CO1101))=CN1101,DATE(CM1101,CN1101,CO1101),""),"")))),"")</f>
        <v/>
      </c>
      <c r="CJ1101">
        <f>IFERROR(IF('월 가계부'!C1101="","",IF(ISNUMBER('월 가계부'!C1101),'월 가계부'!C1101,VALUE(SUBSTITUTE(SUBSTITUTE(SUBSTITUTE(SUBSTITUTE(TRIM('월 가계부'!C1101),",",""),"원","")," ",""),"−","-")))),"")</f>
        <v/>
      </c>
      <c r="CK1101">
        <f>IF(ISNUMBER(CI1101),IF(CI1101&lt;$B$13,CI1101,""),"")</f>
        <v/>
      </c>
      <c r="CM1101">
        <f>IF(CH1101="","",IFERROR(IF(IF(AND(LEN(CH1101)=9,ISERROR(FIND("-",LEFT(CH1101,8))),ISNUMBER(-LEFT(CH1101,8))),VALUE(LEFT(CH1101,4)),VALUE(LEFT(CH1101,FIND("-",CH1101)-1)))&lt;100,IF(AND(LEN(CH1101)=9,ISERROR(FIND("-",LEFT(CH1101,8))),ISNUMBER(-LEFT(CH1101,8))),VALUE(LEFT(CH1101,4)),VALUE(LEFT(CH1101,FIND("-",CH1101)-1)))+2000,IF(AND(LEN(CH1101)=9,ISERROR(FIND("-",LEFT(CH1101,8))),ISNUMBER(-LEFT(CH1101,8))),VALUE(LEFT(CH1101,4)),VALUE(LEFT(CH1101,FIND("-",CH1101)-1)))),""))</f>
        <v/>
      </c>
      <c r="CN1101">
        <f>IF(CH1101="","",IFERROR(IF(AND(LEN(CH1101)=9,ISERROR(FIND("-",LEFT(CH1101,8))),ISNUMBER(-LEFT(CH1101,8))),VALUE(MID(CH1101,5,2)),VALUE(MID(CH1101,FIND("-",CH1101)+1,FIND("-",CH1101,FIND("-",CH1101)+1)-FIND("-",CH1101)-1))),""))</f>
        <v/>
      </c>
      <c r="CO1101">
        <f>IF(CH1101="","",IFERROR(IF(AND(LEN(CH1101)=9,ISERROR(FIND("-",LEFT(CH1101,8))),ISNUMBER(-LEFT(CH1101,8))),VALUE(MID(CH1101,7,2)),VALUE(MID(CH1101,FIND("-",CH1101,FIND("-",CH1101)+1)+1,FIND("-",CH1101,FIND("-",CH1101,FIND("-",CH1101)+1)+1)-FIND("-",CH1101,FIND("-",CH1101)+1)-1))),""))</f>
        <v/>
      </c>
    </row>
    <row r="1102">
      <c r="CH1102">
        <f>IF(ISTEXT('월 가계부'!A1102),SUBSTITUTE(SUBSTITUTE(SUBSTITUTE(SUBSTITUTE(SUBSTITUTE(SUBSTITUTE(SUBSTITUTE(SUBSTITUTE(SUBSTITUTE(TRIM('월 가계부'!A1102),"년","-"),"월","-"),"일",""),".","-"),"/","-")," ","-"),"--","-"),"--","-"),"--","-")&amp;"-","")</f>
        <v/>
      </c>
      <c r="CI1102">
        <f>IFERROR(IF('월 가계부'!A1102="","",IF(ISNUMBER('월 가계부'!A1102),IF(AND('월 가계부'!A1102&gt;=19000101,'월 가계부'!A1102&lt;=21001231),IF(AND(MOD(INT('월 가계부'!A1102/100),100)&gt;=1,MOD(INT('월 가계부'!A1102/100),100)&lt;=12,MOD(INT('월 가계부'!A1102),100)&gt;=1,MOD(INT('월 가계부'!A1102),100)&lt;=31),IF(MONTH(DATE(INT('월 가계부'!A1102/10000),MOD(INT('월 가계부'!A1102/100),100),MOD(INT('월 가계부'!A1102),100)))=MOD(INT('월 가계부'!A1102/100),100),DATE(INT('월 가계부'!A1102/10000),MOD(INT('월 가계부'!A1102/100),100),MOD(INT('월 가계부'!A1102),100)),""),""),IF(AND('월 가계부'!A1102&gt;=36526,'월 가계부'!A1102&lt;73051),INT('월 가계부'!A1102),"")),IF(OR(CM1102="",CN1102="",CO1102=""),"",IF(AND(CM1102&gt;=2000,CM1102&lt;=2099,CN1102&gt;=1,CN1102&lt;=12,CO1102&gt;=1,CO1102&lt;=31),IF(MONTH(DATE(CM1102,CN1102,CO1102))=CN1102,DATE(CM1102,CN1102,CO1102),""),"")))),"")</f>
        <v/>
      </c>
      <c r="CJ1102">
        <f>IFERROR(IF('월 가계부'!C1102="","",IF(ISNUMBER('월 가계부'!C1102),'월 가계부'!C1102,VALUE(SUBSTITUTE(SUBSTITUTE(SUBSTITUTE(SUBSTITUTE(TRIM('월 가계부'!C1102),",",""),"원","")," ",""),"−","-")))),"")</f>
        <v/>
      </c>
      <c r="CK1102">
        <f>IF(ISNUMBER(CI1102),IF(CI1102&lt;$B$13,CI1102,""),"")</f>
        <v/>
      </c>
      <c r="CM1102">
        <f>IF(CH1102="","",IFERROR(IF(IF(AND(LEN(CH1102)=9,ISERROR(FIND("-",LEFT(CH1102,8))),ISNUMBER(-LEFT(CH1102,8))),VALUE(LEFT(CH1102,4)),VALUE(LEFT(CH1102,FIND("-",CH1102)-1)))&lt;100,IF(AND(LEN(CH1102)=9,ISERROR(FIND("-",LEFT(CH1102,8))),ISNUMBER(-LEFT(CH1102,8))),VALUE(LEFT(CH1102,4)),VALUE(LEFT(CH1102,FIND("-",CH1102)-1)))+2000,IF(AND(LEN(CH1102)=9,ISERROR(FIND("-",LEFT(CH1102,8))),ISNUMBER(-LEFT(CH1102,8))),VALUE(LEFT(CH1102,4)),VALUE(LEFT(CH1102,FIND("-",CH1102)-1)))),""))</f>
        <v/>
      </c>
      <c r="CN1102">
        <f>IF(CH1102="","",IFERROR(IF(AND(LEN(CH1102)=9,ISERROR(FIND("-",LEFT(CH1102,8))),ISNUMBER(-LEFT(CH1102,8))),VALUE(MID(CH1102,5,2)),VALUE(MID(CH1102,FIND("-",CH1102)+1,FIND("-",CH1102,FIND("-",CH1102)+1)-FIND("-",CH1102)-1))),""))</f>
        <v/>
      </c>
      <c r="CO1102">
        <f>IF(CH1102="","",IFERROR(IF(AND(LEN(CH1102)=9,ISERROR(FIND("-",LEFT(CH1102,8))),ISNUMBER(-LEFT(CH1102,8))),VALUE(MID(CH1102,7,2)),VALUE(MID(CH1102,FIND("-",CH1102,FIND("-",CH1102)+1)+1,FIND("-",CH1102,FIND("-",CH1102,FIND("-",CH1102)+1)+1)-FIND("-",CH1102,FIND("-",CH1102)+1)-1))),""))</f>
        <v/>
      </c>
    </row>
    <row r="1103">
      <c r="CH1103">
        <f>IF(ISTEXT('월 가계부'!A1103),SUBSTITUTE(SUBSTITUTE(SUBSTITUTE(SUBSTITUTE(SUBSTITUTE(SUBSTITUTE(SUBSTITUTE(SUBSTITUTE(SUBSTITUTE(TRIM('월 가계부'!A1103),"년","-"),"월","-"),"일",""),".","-"),"/","-")," ","-"),"--","-"),"--","-"),"--","-")&amp;"-","")</f>
        <v/>
      </c>
      <c r="CI1103">
        <f>IFERROR(IF('월 가계부'!A1103="","",IF(ISNUMBER('월 가계부'!A1103),IF(AND('월 가계부'!A1103&gt;=19000101,'월 가계부'!A1103&lt;=21001231),IF(AND(MOD(INT('월 가계부'!A1103/100),100)&gt;=1,MOD(INT('월 가계부'!A1103/100),100)&lt;=12,MOD(INT('월 가계부'!A1103),100)&gt;=1,MOD(INT('월 가계부'!A1103),100)&lt;=31),IF(MONTH(DATE(INT('월 가계부'!A1103/10000),MOD(INT('월 가계부'!A1103/100),100),MOD(INT('월 가계부'!A1103),100)))=MOD(INT('월 가계부'!A1103/100),100),DATE(INT('월 가계부'!A1103/10000),MOD(INT('월 가계부'!A1103/100),100),MOD(INT('월 가계부'!A1103),100)),""),""),IF(AND('월 가계부'!A1103&gt;=36526,'월 가계부'!A1103&lt;73051),INT('월 가계부'!A1103),"")),IF(OR(CM1103="",CN1103="",CO1103=""),"",IF(AND(CM1103&gt;=2000,CM1103&lt;=2099,CN1103&gt;=1,CN1103&lt;=12,CO1103&gt;=1,CO1103&lt;=31),IF(MONTH(DATE(CM1103,CN1103,CO1103))=CN1103,DATE(CM1103,CN1103,CO1103),""),"")))),"")</f>
        <v/>
      </c>
      <c r="CJ1103">
        <f>IFERROR(IF('월 가계부'!C1103="","",IF(ISNUMBER('월 가계부'!C1103),'월 가계부'!C1103,VALUE(SUBSTITUTE(SUBSTITUTE(SUBSTITUTE(SUBSTITUTE(TRIM('월 가계부'!C1103),",",""),"원","")," ",""),"−","-")))),"")</f>
        <v/>
      </c>
      <c r="CK1103">
        <f>IF(ISNUMBER(CI1103),IF(CI1103&lt;$B$13,CI1103,""),"")</f>
        <v/>
      </c>
      <c r="CM1103">
        <f>IF(CH1103="","",IFERROR(IF(IF(AND(LEN(CH1103)=9,ISERROR(FIND("-",LEFT(CH1103,8))),ISNUMBER(-LEFT(CH1103,8))),VALUE(LEFT(CH1103,4)),VALUE(LEFT(CH1103,FIND("-",CH1103)-1)))&lt;100,IF(AND(LEN(CH1103)=9,ISERROR(FIND("-",LEFT(CH1103,8))),ISNUMBER(-LEFT(CH1103,8))),VALUE(LEFT(CH1103,4)),VALUE(LEFT(CH1103,FIND("-",CH1103)-1)))+2000,IF(AND(LEN(CH1103)=9,ISERROR(FIND("-",LEFT(CH1103,8))),ISNUMBER(-LEFT(CH1103,8))),VALUE(LEFT(CH1103,4)),VALUE(LEFT(CH1103,FIND("-",CH1103)-1)))),""))</f>
        <v/>
      </c>
      <c r="CN1103">
        <f>IF(CH1103="","",IFERROR(IF(AND(LEN(CH1103)=9,ISERROR(FIND("-",LEFT(CH1103,8))),ISNUMBER(-LEFT(CH1103,8))),VALUE(MID(CH1103,5,2)),VALUE(MID(CH1103,FIND("-",CH1103)+1,FIND("-",CH1103,FIND("-",CH1103)+1)-FIND("-",CH1103)-1))),""))</f>
        <v/>
      </c>
      <c r="CO1103">
        <f>IF(CH1103="","",IFERROR(IF(AND(LEN(CH1103)=9,ISERROR(FIND("-",LEFT(CH1103,8))),ISNUMBER(-LEFT(CH1103,8))),VALUE(MID(CH1103,7,2)),VALUE(MID(CH1103,FIND("-",CH1103,FIND("-",CH1103)+1)+1,FIND("-",CH1103,FIND("-",CH1103,FIND("-",CH1103)+1)+1)-FIND("-",CH1103,FIND("-",CH1103)+1)-1))),""))</f>
        <v/>
      </c>
    </row>
    <row r="1104">
      <c r="CH1104">
        <f>IF(ISTEXT('월 가계부'!A1104),SUBSTITUTE(SUBSTITUTE(SUBSTITUTE(SUBSTITUTE(SUBSTITUTE(SUBSTITUTE(SUBSTITUTE(SUBSTITUTE(SUBSTITUTE(TRIM('월 가계부'!A1104),"년","-"),"월","-"),"일",""),".","-"),"/","-")," ","-"),"--","-"),"--","-"),"--","-")&amp;"-","")</f>
        <v/>
      </c>
      <c r="CI1104">
        <f>IFERROR(IF('월 가계부'!A1104="","",IF(ISNUMBER('월 가계부'!A1104),IF(AND('월 가계부'!A1104&gt;=19000101,'월 가계부'!A1104&lt;=21001231),IF(AND(MOD(INT('월 가계부'!A1104/100),100)&gt;=1,MOD(INT('월 가계부'!A1104/100),100)&lt;=12,MOD(INT('월 가계부'!A1104),100)&gt;=1,MOD(INT('월 가계부'!A1104),100)&lt;=31),IF(MONTH(DATE(INT('월 가계부'!A1104/10000),MOD(INT('월 가계부'!A1104/100),100),MOD(INT('월 가계부'!A1104),100)))=MOD(INT('월 가계부'!A1104/100),100),DATE(INT('월 가계부'!A1104/10000),MOD(INT('월 가계부'!A1104/100),100),MOD(INT('월 가계부'!A1104),100)),""),""),IF(AND('월 가계부'!A1104&gt;=36526,'월 가계부'!A1104&lt;73051),INT('월 가계부'!A1104),"")),IF(OR(CM1104="",CN1104="",CO1104=""),"",IF(AND(CM1104&gt;=2000,CM1104&lt;=2099,CN1104&gt;=1,CN1104&lt;=12,CO1104&gt;=1,CO1104&lt;=31),IF(MONTH(DATE(CM1104,CN1104,CO1104))=CN1104,DATE(CM1104,CN1104,CO1104),""),"")))),"")</f>
        <v/>
      </c>
      <c r="CJ1104">
        <f>IFERROR(IF('월 가계부'!C1104="","",IF(ISNUMBER('월 가계부'!C1104),'월 가계부'!C1104,VALUE(SUBSTITUTE(SUBSTITUTE(SUBSTITUTE(SUBSTITUTE(TRIM('월 가계부'!C1104),",",""),"원","")," ",""),"−","-")))),"")</f>
        <v/>
      </c>
      <c r="CK1104">
        <f>IF(ISNUMBER(CI1104),IF(CI1104&lt;$B$13,CI1104,""),"")</f>
        <v/>
      </c>
      <c r="CM1104">
        <f>IF(CH1104="","",IFERROR(IF(IF(AND(LEN(CH1104)=9,ISERROR(FIND("-",LEFT(CH1104,8))),ISNUMBER(-LEFT(CH1104,8))),VALUE(LEFT(CH1104,4)),VALUE(LEFT(CH1104,FIND("-",CH1104)-1)))&lt;100,IF(AND(LEN(CH1104)=9,ISERROR(FIND("-",LEFT(CH1104,8))),ISNUMBER(-LEFT(CH1104,8))),VALUE(LEFT(CH1104,4)),VALUE(LEFT(CH1104,FIND("-",CH1104)-1)))+2000,IF(AND(LEN(CH1104)=9,ISERROR(FIND("-",LEFT(CH1104,8))),ISNUMBER(-LEFT(CH1104,8))),VALUE(LEFT(CH1104,4)),VALUE(LEFT(CH1104,FIND("-",CH1104)-1)))),""))</f>
        <v/>
      </c>
      <c r="CN1104">
        <f>IF(CH1104="","",IFERROR(IF(AND(LEN(CH1104)=9,ISERROR(FIND("-",LEFT(CH1104,8))),ISNUMBER(-LEFT(CH1104,8))),VALUE(MID(CH1104,5,2)),VALUE(MID(CH1104,FIND("-",CH1104)+1,FIND("-",CH1104,FIND("-",CH1104)+1)-FIND("-",CH1104)-1))),""))</f>
        <v/>
      </c>
      <c r="CO1104">
        <f>IF(CH1104="","",IFERROR(IF(AND(LEN(CH1104)=9,ISERROR(FIND("-",LEFT(CH1104,8))),ISNUMBER(-LEFT(CH1104,8))),VALUE(MID(CH1104,7,2)),VALUE(MID(CH1104,FIND("-",CH1104,FIND("-",CH1104)+1)+1,FIND("-",CH1104,FIND("-",CH1104,FIND("-",CH1104)+1)+1)-FIND("-",CH1104,FIND("-",CH1104)+1)-1))),""))</f>
        <v/>
      </c>
    </row>
    <row r="1105">
      <c r="CH1105">
        <f>IF(ISTEXT('월 가계부'!A1105),SUBSTITUTE(SUBSTITUTE(SUBSTITUTE(SUBSTITUTE(SUBSTITUTE(SUBSTITUTE(SUBSTITUTE(SUBSTITUTE(SUBSTITUTE(TRIM('월 가계부'!A1105),"년","-"),"월","-"),"일",""),".","-"),"/","-")," ","-"),"--","-"),"--","-"),"--","-")&amp;"-","")</f>
        <v/>
      </c>
      <c r="CI1105">
        <f>IFERROR(IF('월 가계부'!A1105="","",IF(ISNUMBER('월 가계부'!A1105),IF(AND('월 가계부'!A1105&gt;=19000101,'월 가계부'!A1105&lt;=21001231),IF(AND(MOD(INT('월 가계부'!A1105/100),100)&gt;=1,MOD(INT('월 가계부'!A1105/100),100)&lt;=12,MOD(INT('월 가계부'!A1105),100)&gt;=1,MOD(INT('월 가계부'!A1105),100)&lt;=31),IF(MONTH(DATE(INT('월 가계부'!A1105/10000),MOD(INT('월 가계부'!A1105/100),100),MOD(INT('월 가계부'!A1105),100)))=MOD(INT('월 가계부'!A1105/100),100),DATE(INT('월 가계부'!A1105/10000),MOD(INT('월 가계부'!A1105/100),100),MOD(INT('월 가계부'!A1105),100)),""),""),IF(AND('월 가계부'!A1105&gt;=36526,'월 가계부'!A1105&lt;73051),INT('월 가계부'!A1105),"")),IF(OR(CM1105="",CN1105="",CO1105=""),"",IF(AND(CM1105&gt;=2000,CM1105&lt;=2099,CN1105&gt;=1,CN1105&lt;=12,CO1105&gt;=1,CO1105&lt;=31),IF(MONTH(DATE(CM1105,CN1105,CO1105))=CN1105,DATE(CM1105,CN1105,CO1105),""),"")))),"")</f>
        <v/>
      </c>
      <c r="CJ1105">
        <f>IFERROR(IF('월 가계부'!C1105="","",IF(ISNUMBER('월 가계부'!C1105),'월 가계부'!C1105,VALUE(SUBSTITUTE(SUBSTITUTE(SUBSTITUTE(SUBSTITUTE(TRIM('월 가계부'!C1105),",",""),"원","")," ",""),"−","-")))),"")</f>
        <v/>
      </c>
      <c r="CK1105">
        <f>IF(ISNUMBER(CI1105),IF(CI1105&lt;$B$13,CI1105,""),"")</f>
        <v/>
      </c>
      <c r="CM1105">
        <f>IF(CH1105="","",IFERROR(IF(IF(AND(LEN(CH1105)=9,ISERROR(FIND("-",LEFT(CH1105,8))),ISNUMBER(-LEFT(CH1105,8))),VALUE(LEFT(CH1105,4)),VALUE(LEFT(CH1105,FIND("-",CH1105)-1)))&lt;100,IF(AND(LEN(CH1105)=9,ISERROR(FIND("-",LEFT(CH1105,8))),ISNUMBER(-LEFT(CH1105,8))),VALUE(LEFT(CH1105,4)),VALUE(LEFT(CH1105,FIND("-",CH1105)-1)))+2000,IF(AND(LEN(CH1105)=9,ISERROR(FIND("-",LEFT(CH1105,8))),ISNUMBER(-LEFT(CH1105,8))),VALUE(LEFT(CH1105,4)),VALUE(LEFT(CH1105,FIND("-",CH1105)-1)))),""))</f>
        <v/>
      </c>
      <c r="CN1105">
        <f>IF(CH1105="","",IFERROR(IF(AND(LEN(CH1105)=9,ISERROR(FIND("-",LEFT(CH1105,8))),ISNUMBER(-LEFT(CH1105,8))),VALUE(MID(CH1105,5,2)),VALUE(MID(CH1105,FIND("-",CH1105)+1,FIND("-",CH1105,FIND("-",CH1105)+1)-FIND("-",CH1105)-1))),""))</f>
        <v/>
      </c>
      <c r="CO1105">
        <f>IF(CH1105="","",IFERROR(IF(AND(LEN(CH1105)=9,ISERROR(FIND("-",LEFT(CH1105,8))),ISNUMBER(-LEFT(CH1105,8))),VALUE(MID(CH1105,7,2)),VALUE(MID(CH1105,FIND("-",CH1105,FIND("-",CH1105)+1)+1,FIND("-",CH1105,FIND("-",CH1105,FIND("-",CH1105)+1)+1)-FIND("-",CH1105,FIND("-",CH1105)+1)-1))),""))</f>
        <v/>
      </c>
    </row>
    <row r="1106">
      <c r="CH1106">
        <f>IF(ISTEXT('월 가계부'!A1106),SUBSTITUTE(SUBSTITUTE(SUBSTITUTE(SUBSTITUTE(SUBSTITUTE(SUBSTITUTE(SUBSTITUTE(SUBSTITUTE(SUBSTITUTE(TRIM('월 가계부'!A1106),"년","-"),"월","-"),"일",""),".","-"),"/","-")," ","-"),"--","-"),"--","-"),"--","-")&amp;"-","")</f>
        <v/>
      </c>
      <c r="CI1106">
        <f>IFERROR(IF('월 가계부'!A1106="","",IF(ISNUMBER('월 가계부'!A1106),IF(AND('월 가계부'!A1106&gt;=19000101,'월 가계부'!A1106&lt;=21001231),IF(AND(MOD(INT('월 가계부'!A1106/100),100)&gt;=1,MOD(INT('월 가계부'!A1106/100),100)&lt;=12,MOD(INT('월 가계부'!A1106),100)&gt;=1,MOD(INT('월 가계부'!A1106),100)&lt;=31),IF(MONTH(DATE(INT('월 가계부'!A1106/10000),MOD(INT('월 가계부'!A1106/100),100),MOD(INT('월 가계부'!A1106),100)))=MOD(INT('월 가계부'!A1106/100),100),DATE(INT('월 가계부'!A1106/10000),MOD(INT('월 가계부'!A1106/100),100),MOD(INT('월 가계부'!A1106),100)),""),""),IF(AND('월 가계부'!A1106&gt;=36526,'월 가계부'!A1106&lt;73051),INT('월 가계부'!A1106),"")),IF(OR(CM1106="",CN1106="",CO1106=""),"",IF(AND(CM1106&gt;=2000,CM1106&lt;=2099,CN1106&gt;=1,CN1106&lt;=12,CO1106&gt;=1,CO1106&lt;=31),IF(MONTH(DATE(CM1106,CN1106,CO1106))=CN1106,DATE(CM1106,CN1106,CO1106),""),"")))),"")</f>
        <v/>
      </c>
      <c r="CJ1106">
        <f>IFERROR(IF('월 가계부'!C1106="","",IF(ISNUMBER('월 가계부'!C1106),'월 가계부'!C1106,VALUE(SUBSTITUTE(SUBSTITUTE(SUBSTITUTE(SUBSTITUTE(TRIM('월 가계부'!C1106),",",""),"원","")," ",""),"−","-")))),"")</f>
        <v/>
      </c>
      <c r="CK1106">
        <f>IF(ISNUMBER(CI1106),IF(CI1106&lt;$B$13,CI1106,""),"")</f>
        <v/>
      </c>
      <c r="CM1106">
        <f>IF(CH1106="","",IFERROR(IF(IF(AND(LEN(CH1106)=9,ISERROR(FIND("-",LEFT(CH1106,8))),ISNUMBER(-LEFT(CH1106,8))),VALUE(LEFT(CH1106,4)),VALUE(LEFT(CH1106,FIND("-",CH1106)-1)))&lt;100,IF(AND(LEN(CH1106)=9,ISERROR(FIND("-",LEFT(CH1106,8))),ISNUMBER(-LEFT(CH1106,8))),VALUE(LEFT(CH1106,4)),VALUE(LEFT(CH1106,FIND("-",CH1106)-1)))+2000,IF(AND(LEN(CH1106)=9,ISERROR(FIND("-",LEFT(CH1106,8))),ISNUMBER(-LEFT(CH1106,8))),VALUE(LEFT(CH1106,4)),VALUE(LEFT(CH1106,FIND("-",CH1106)-1)))),""))</f>
        <v/>
      </c>
      <c r="CN1106">
        <f>IF(CH1106="","",IFERROR(IF(AND(LEN(CH1106)=9,ISERROR(FIND("-",LEFT(CH1106,8))),ISNUMBER(-LEFT(CH1106,8))),VALUE(MID(CH1106,5,2)),VALUE(MID(CH1106,FIND("-",CH1106)+1,FIND("-",CH1106,FIND("-",CH1106)+1)-FIND("-",CH1106)-1))),""))</f>
        <v/>
      </c>
      <c r="CO1106">
        <f>IF(CH1106="","",IFERROR(IF(AND(LEN(CH1106)=9,ISERROR(FIND("-",LEFT(CH1106,8))),ISNUMBER(-LEFT(CH1106,8))),VALUE(MID(CH1106,7,2)),VALUE(MID(CH1106,FIND("-",CH1106,FIND("-",CH1106)+1)+1,FIND("-",CH1106,FIND("-",CH1106,FIND("-",CH1106)+1)+1)-FIND("-",CH1106,FIND("-",CH1106)+1)-1))),""))</f>
        <v/>
      </c>
    </row>
    <row r="1107">
      <c r="CH1107">
        <f>IF(ISTEXT('월 가계부'!A1107),SUBSTITUTE(SUBSTITUTE(SUBSTITUTE(SUBSTITUTE(SUBSTITUTE(SUBSTITUTE(SUBSTITUTE(SUBSTITUTE(SUBSTITUTE(TRIM('월 가계부'!A1107),"년","-"),"월","-"),"일",""),".","-"),"/","-")," ","-"),"--","-"),"--","-"),"--","-")&amp;"-","")</f>
        <v/>
      </c>
      <c r="CI1107">
        <f>IFERROR(IF('월 가계부'!A1107="","",IF(ISNUMBER('월 가계부'!A1107),IF(AND('월 가계부'!A1107&gt;=19000101,'월 가계부'!A1107&lt;=21001231),IF(AND(MOD(INT('월 가계부'!A1107/100),100)&gt;=1,MOD(INT('월 가계부'!A1107/100),100)&lt;=12,MOD(INT('월 가계부'!A1107),100)&gt;=1,MOD(INT('월 가계부'!A1107),100)&lt;=31),IF(MONTH(DATE(INT('월 가계부'!A1107/10000),MOD(INT('월 가계부'!A1107/100),100),MOD(INT('월 가계부'!A1107),100)))=MOD(INT('월 가계부'!A1107/100),100),DATE(INT('월 가계부'!A1107/10000),MOD(INT('월 가계부'!A1107/100),100),MOD(INT('월 가계부'!A1107),100)),""),""),IF(AND('월 가계부'!A1107&gt;=36526,'월 가계부'!A1107&lt;73051),INT('월 가계부'!A1107),"")),IF(OR(CM1107="",CN1107="",CO1107=""),"",IF(AND(CM1107&gt;=2000,CM1107&lt;=2099,CN1107&gt;=1,CN1107&lt;=12,CO1107&gt;=1,CO1107&lt;=31),IF(MONTH(DATE(CM1107,CN1107,CO1107))=CN1107,DATE(CM1107,CN1107,CO1107),""),"")))),"")</f>
        <v/>
      </c>
      <c r="CJ1107">
        <f>IFERROR(IF('월 가계부'!C1107="","",IF(ISNUMBER('월 가계부'!C1107),'월 가계부'!C1107,VALUE(SUBSTITUTE(SUBSTITUTE(SUBSTITUTE(SUBSTITUTE(TRIM('월 가계부'!C1107),",",""),"원","")," ",""),"−","-")))),"")</f>
        <v/>
      </c>
      <c r="CK1107">
        <f>IF(ISNUMBER(CI1107),IF(CI1107&lt;$B$13,CI1107,""),"")</f>
        <v/>
      </c>
      <c r="CM1107">
        <f>IF(CH1107="","",IFERROR(IF(IF(AND(LEN(CH1107)=9,ISERROR(FIND("-",LEFT(CH1107,8))),ISNUMBER(-LEFT(CH1107,8))),VALUE(LEFT(CH1107,4)),VALUE(LEFT(CH1107,FIND("-",CH1107)-1)))&lt;100,IF(AND(LEN(CH1107)=9,ISERROR(FIND("-",LEFT(CH1107,8))),ISNUMBER(-LEFT(CH1107,8))),VALUE(LEFT(CH1107,4)),VALUE(LEFT(CH1107,FIND("-",CH1107)-1)))+2000,IF(AND(LEN(CH1107)=9,ISERROR(FIND("-",LEFT(CH1107,8))),ISNUMBER(-LEFT(CH1107,8))),VALUE(LEFT(CH1107,4)),VALUE(LEFT(CH1107,FIND("-",CH1107)-1)))),""))</f>
        <v/>
      </c>
      <c r="CN1107">
        <f>IF(CH1107="","",IFERROR(IF(AND(LEN(CH1107)=9,ISERROR(FIND("-",LEFT(CH1107,8))),ISNUMBER(-LEFT(CH1107,8))),VALUE(MID(CH1107,5,2)),VALUE(MID(CH1107,FIND("-",CH1107)+1,FIND("-",CH1107,FIND("-",CH1107)+1)-FIND("-",CH1107)-1))),""))</f>
        <v/>
      </c>
      <c r="CO1107">
        <f>IF(CH1107="","",IFERROR(IF(AND(LEN(CH1107)=9,ISERROR(FIND("-",LEFT(CH1107,8))),ISNUMBER(-LEFT(CH1107,8))),VALUE(MID(CH1107,7,2)),VALUE(MID(CH1107,FIND("-",CH1107,FIND("-",CH1107)+1)+1,FIND("-",CH1107,FIND("-",CH1107,FIND("-",CH1107)+1)+1)-FIND("-",CH1107,FIND("-",CH1107)+1)-1))),""))</f>
        <v/>
      </c>
    </row>
    <row r="1108">
      <c r="CH1108">
        <f>IF(ISTEXT('월 가계부'!A1108),SUBSTITUTE(SUBSTITUTE(SUBSTITUTE(SUBSTITUTE(SUBSTITUTE(SUBSTITUTE(SUBSTITUTE(SUBSTITUTE(SUBSTITUTE(TRIM('월 가계부'!A1108),"년","-"),"월","-"),"일",""),".","-"),"/","-")," ","-"),"--","-"),"--","-"),"--","-")&amp;"-","")</f>
        <v/>
      </c>
      <c r="CI1108">
        <f>IFERROR(IF('월 가계부'!A1108="","",IF(ISNUMBER('월 가계부'!A1108),IF(AND('월 가계부'!A1108&gt;=19000101,'월 가계부'!A1108&lt;=21001231),IF(AND(MOD(INT('월 가계부'!A1108/100),100)&gt;=1,MOD(INT('월 가계부'!A1108/100),100)&lt;=12,MOD(INT('월 가계부'!A1108),100)&gt;=1,MOD(INT('월 가계부'!A1108),100)&lt;=31),IF(MONTH(DATE(INT('월 가계부'!A1108/10000),MOD(INT('월 가계부'!A1108/100),100),MOD(INT('월 가계부'!A1108),100)))=MOD(INT('월 가계부'!A1108/100),100),DATE(INT('월 가계부'!A1108/10000),MOD(INT('월 가계부'!A1108/100),100),MOD(INT('월 가계부'!A1108),100)),""),""),IF(AND('월 가계부'!A1108&gt;=36526,'월 가계부'!A1108&lt;73051),INT('월 가계부'!A1108),"")),IF(OR(CM1108="",CN1108="",CO1108=""),"",IF(AND(CM1108&gt;=2000,CM1108&lt;=2099,CN1108&gt;=1,CN1108&lt;=12,CO1108&gt;=1,CO1108&lt;=31),IF(MONTH(DATE(CM1108,CN1108,CO1108))=CN1108,DATE(CM1108,CN1108,CO1108),""),"")))),"")</f>
        <v/>
      </c>
      <c r="CJ1108">
        <f>IFERROR(IF('월 가계부'!C1108="","",IF(ISNUMBER('월 가계부'!C1108),'월 가계부'!C1108,VALUE(SUBSTITUTE(SUBSTITUTE(SUBSTITUTE(SUBSTITUTE(TRIM('월 가계부'!C1108),",",""),"원","")," ",""),"−","-")))),"")</f>
        <v/>
      </c>
      <c r="CK1108">
        <f>IF(ISNUMBER(CI1108),IF(CI1108&lt;$B$13,CI1108,""),"")</f>
        <v/>
      </c>
      <c r="CM1108">
        <f>IF(CH1108="","",IFERROR(IF(IF(AND(LEN(CH1108)=9,ISERROR(FIND("-",LEFT(CH1108,8))),ISNUMBER(-LEFT(CH1108,8))),VALUE(LEFT(CH1108,4)),VALUE(LEFT(CH1108,FIND("-",CH1108)-1)))&lt;100,IF(AND(LEN(CH1108)=9,ISERROR(FIND("-",LEFT(CH1108,8))),ISNUMBER(-LEFT(CH1108,8))),VALUE(LEFT(CH1108,4)),VALUE(LEFT(CH1108,FIND("-",CH1108)-1)))+2000,IF(AND(LEN(CH1108)=9,ISERROR(FIND("-",LEFT(CH1108,8))),ISNUMBER(-LEFT(CH1108,8))),VALUE(LEFT(CH1108,4)),VALUE(LEFT(CH1108,FIND("-",CH1108)-1)))),""))</f>
        <v/>
      </c>
      <c r="CN1108">
        <f>IF(CH1108="","",IFERROR(IF(AND(LEN(CH1108)=9,ISERROR(FIND("-",LEFT(CH1108,8))),ISNUMBER(-LEFT(CH1108,8))),VALUE(MID(CH1108,5,2)),VALUE(MID(CH1108,FIND("-",CH1108)+1,FIND("-",CH1108,FIND("-",CH1108)+1)-FIND("-",CH1108)-1))),""))</f>
        <v/>
      </c>
      <c r="CO1108">
        <f>IF(CH1108="","",IFERROR(IF(AND(LEN(CH1108)=9,ISERROR(FIND("-",LEFT(CH1108,8))),ISNUMBER(-LEFT(CH1108,8))),VALUE(MID(CH1108,7,2)),VALUE(MID(CH1108,FIND("-",CH1108,FIND("-",CH1108)+1)+1,FIND("-",CH1108,FIND("-",CH1108,FIND("-",CH1108)+1)+1)-FIND("-",CH1108,FIND("-",CH1108)+1)-1))),""))</f>
        <v/>
      </c>
    </row>
    <row r="1109">
      <c r="CH1109">
        <f>IF(ISTEXT('월 가계부'!A1109),SUBSTITUTE(SUBSTITUTE(SUBSTITUTE(SUBSTITUTE(SUBSTITUTE(SUBSTITUTE(SUBSTITUTE(SUBSTITUTE(SUBSTITUTE(TRIM('월 가계부'!A1109),"년","-"),"월","-"),"일",""),".","-"),"/","-")," ","-"),"--","-"),"--","-"),"--","-")&amp;"-","")</f>
        <v/>
      </c>
      <c r="CI1109">
        <f>IFERROR(IF('월 가계부'!A1109="","",IF(ISNUMBER('월 가계부'!A1109),IF(AND('월 가계부'!A1109&gt;=19000101,'월 가계부'!A1109&lt;=21001231),IF(AND(MOD(INT('월 가계부'!A1109/100),100)&gt;=1,MOD(INT('월 가계부'!A1109/100),100)&lt;=12,MOD(INT('월 가계부'!A1109),100)&gt;=1,MOD(INT('월 가계부'!A1109),100)&lt;=31),IF(MONTH(DATE(INT('월 가계부'!A1109/10000),MOD(INT('월 가계부'!A1109/100),100),MOD(INT('월 가계부'!A1109),100)))=MOD(INT('월 가계부'!A1109/100),100),DATE(INT('월 가계부'!A1109/10000),MOD(INT('월 가계부'!A1109/100),100),MOD(INT('월 가계부'!A1109),100)),""),""),IF(AND('월 가계부'!A1109&gt;=36526,'월 가계부'!A1109&lt;73051),INT('월 가계부'!A1109),"")),IF(OR(CM1109="",CN1109="",CO1109=""),"",IF(AND(CM1109&gt;=2000,CM1109&lt;=2099,CN1109&gt;=1,CN1109&lt;=12,CO1109&gt;=1,CO1109&lt;=31),IF(MONTH(DATE(CM1109,CN1109,CO1109))=CN1109,DATE(CM1109,CN1109,CO1109),""),"")))),"")</f>
        <v/>
      </c>
      <c r="CJ1109">
        <f>IFERROR(IF('월 가계부'!C1109="","",IF(ISNUMBER('월 가계부'!C1109),'월 가계부'!C1109,VALUE(SUBSTITUTE(SUBSTITUTE(SUBSTITUTE(SUBSTITUTE(TRIM('월 가계부'!C1109),",",""),"원","")," ",""),"−","-")))),"")</f>
        <v/>
      </c>
      <c r="CK1109">
        <f>IF(ISNUMBER(CI1109),IF(CI1109&lt;$B$13,CI1109,""),"")</f>
        <v/>
      </c>
      <c r="CM1109">
        <f>IF(CH1109="","",IFERROR(IF(IF(AND(LEN(CH1109)=9,ISERROR(FIND("-",LEFT(CH1109,8))),ISNUMBER(-LEFT(CH1109,8))),VALUE(LEFT(CH1109,4)),VALUE(LEFT(CH1109,FIND("-",CH1109)-1)))&lt;100,IF(AND(LEN(CH1109)=9,ISERROR(FIND("-",LEFT(CH1109,8))),ISNUMBER(-LEFT(CH1109,8))),VALUE(LEFT(CH1109,4)),VALUE(LEFT(CH1109,FIND("-",CH1109)-1)))+2000,IF(AND(LEN(CH1109)=9,ISERROR(FIND("-",LEFT(CH1109,8))),ISNUMBER(-LEFT(CH1109,8))),VALUE(LEFT(CH1109,4)),VALUE(LEFT(CH1109,FIND("-",CH1109)-1)))),""))</f>
        <v/>
      </c>
      <c r="CN1109">
        <f>IF(CH1109="","",IFERROR(IF(AND(LEN(CH1109)=9,ISERROR(FIND("-",LEFT(CH1109,8))),ISNUMBER(-LEFT(CH1109,8))),VALUE(MID(CH1109,5,2)),VALUE(MID(CH1109,FIND("-",CH1109)+1,FIND("-",CH1109,FIND("-",CH1109)+1)-FIND("-",CH1109)-1))),""))</f>
        <v/>
      </c>
      <c r="CO1109">
        <f>IF(CH1109="","",IFERROR(IF(AND(LEN(CH1109)=9,ISERROR(FIND("-",LEFT(CH1109,8))),ISNUMBER(-LEFT(CH1109,8))),VALUE(MID(CH1109,7,2)),VALUE(MID(CH1109,FIND("-",CH1109,FIND("-",CH1109)+1)+1,FIND("-",CH1109,FIND("-",CH1109,FIND("-",CH1109)+1)+1)-FIND("-",CH1109,FIND("-",CH1109)+1)-1))),""))</f>
        <v/>
      </c>
    </row>
    <row r="1110">
      <c r="CH1110">
        <f>IF(ISTEXT('월 가계부'!A1110),SUBSTITUTE(SUBSTITUTE(SUBSTITUTE(SUBSTITUTE(SUBSTITUTE(SUBSTITUTE(SUBSTITUTE(SUBSTITUTE(SUBSTITUTE(TRIM('월 가계부'!A1110),"년","-"),"월","-"),"일",""),".","-"),"/","-")," ","-"),"--","-"),"--","-"),"--","-")&amp;"-","")</f>
        <v/>
      </c>
      <c r="CI1110">
        <f>IFERROR(IF('월 가계부'!A1110="","",IF(ISNUMBER('월 가계부'!A1110),IF(AND('월 가계부'!A1110&gt;=19000101,'월 가계부'!A1110&lt;=21001231),IF(AND(MOD(INT('월 가계부'!A1110/100),100)&gt;=1,MOD(INT('월 가계부'!A1110/100),100)&lt;=12,MOD(INT('월 가계부'!A1110),100)&gt;=1,MOD(INT('월 가계부'!A1110),100)&lt;=31),IF(MONTH(DATE(INT('월 가계부'!A1110/10000),MOD(INT('월 가계부'!A1110/100),100),MOD(INT('월 가계부'!A1110),100)))=MOD(INT('월 가계부'!A1110/100),100),DATE(INT('월 가계부'!A1110/10000),MOD(INT('월 가계부'!A1110/100),100),MOD(INT('월 가계부'!A1110),100)),""),""),IF(AND('월 가계부'!A1110&gt;=36526,'월 가계부'!A1110&lt;73051),INT('월 가계부'!A1110),"")),IF(OR(CM1110="",CN1110="",CO1110=""),"",IF(AND(CM1110&gt;=2000,CM1110&lt;=2099,CN1110&gt;=1,CN1110&lt;=12,CO1110&gt;=1,CO1110&lt;=31),IF(MONTH(DATE(CM1110,CN1110,CO1110))=CN1110,DATE(CM1110,CN1110,CO1110),""),"")))),"")</f>
        <v/>
      </c>
      <c r="CJ1110">
        <f>IFERROR(IF('월 가계부'!C1110="","",IF(ISNUMBER('월 가계부'!C1110),'월 가계부'!C1110,VALUE(SUBSTITUTE(SUBSTITUTE(SUBSTITUTE(SUBSTITUTE(TRIM('월 가계부'!C1110),",",""),"원","")," ",""),"−","-")))),"")</f>
        <v/>
      </c>
      <c r="CK1110">
        <f>IF(ISNUMBER(CI1110),IF(CI1110&lt;$B$13,CI1110,""),"")</f>
        <v/>
      </c>
      <c r="CM1110">
        <f>IF(CH1110="","",IFERROR(IF(IF(AND(LEN(CH1110)=9,ISERROR(FIND("-",LEFT(CH1110,8))),ISNUMBER(-LEFT(CH1110,8))),VALUE(LEFT(CH1110,4)),VALUE(LEFT(CH1110,FIND("-",CH1110)-1)))&lt;100,IF(AND(LEN(CH1110)=9,ISERROR(FIND("-",LEFT(CH1110,8))),ISNUMBER(-LEFT(CH1110,8))),VALUE(LEFT(CH1110,4)),VALUE(LEFT(CH1110,FIND("-",CH1110)-1)))+2000,IF(AND(LEN(CH1110)=9,ISERROR(FIND("-",LEFT(CH1110,8))),ISNUMBER(-LEFT(CH1110,8))),VALUE(LEFT(CH1110,4)),VALUE(LEFT(CH1110,FIND("-",CH1110)-1)))),""))</f>
        <v/>
      </c>
      <c r="CN1110">
        <f>IF(CH1110="","",IFERROR(IF(AND(LEN(CH1110)=9,ISERROR(FIND("-",LEFT(CH1110,8))),ISNUMBER(-LEFT(CH1110,8))),VALUE(MID(CH1110,5,2)),VALUE(MID(CH1110,FIND("-",CH1110)+1,FIND("-",CH1110,FIND("-",CH1110)+1)-FIND("-",CH1110)-1))),""))</f>
        <v/>
      </c>
      <c r="CO1110">
        <f>IF(CH1110="","",IFERROR(IF(AND(LEN(CH1110)=9,ISERROR(FIND("-",LEFT(CH1110,8))),ISNUMBER(-LEFT(CH1110,8))),VALUE(MID(CH1110,7,2)),VALUE(MID(CH1110,FIND("-",CH1110,FIND("-",CH1110)+1)+1,FIND("-",CH1110,FIND("-",CH1110,FIND("-",CH1110)+1)+1)-FIND("-",CH1110,FIND("-",CH1110)+1)-1))),""))</f>
        <v/>
      </c>
    </row>
    <row r="1111">
      <c r="CH1111">
        <f>IF(ISTEXT('월 가계부'!A1111),SUBSTITUTE(SUBSTITUTE(SUBSTITUTE(SUBSTITUTE(SUBSTITUTE(SUBSTITUTE(SUBSTITUTE(SUBSTITUTE(SUBSTITUTE(TRIM('월 가계부'!A1111),"년","-"),"월","-"),"일",""),".","-"),"/","-")," ","-"),"--","-"),"--","-"),"--","-")&amp;"-","")</f>
        <v/>
      </c>
      <c r="CI1111">
        <f>IFERROR(IF('월 가계부'!A1111="","",IF(ISNUMBER('월 가계부'!A1111),IF(AND('월 가계부'!A1111&gt;=19000101,'월 가계부'!A1111&lt;=21001231),IF(AND(MOD(INT('월 가계부'!A1111/100),100)&gt;=1,MOD(INT('월 가계부'!A1111/100),100)&lt;=12,MOD(INT('월 가계부'!A1111),100)&gt;=1,MOD(INT('월 가계부'!A1111),100)&lt;=31),IF(MONTH(DATE(INT('월 가계부'!A1111/10000),MOD(INT('월 가계부'!A1111/100),100),MOD(INT('월 가계부'!A1111),100)))=MOD(INT('월 가계부'!A1111/100),100),DATE(INT('월 가계부'!A1111/10000),MOD(INT('월 가계부'!A1111/100),100),MOD(INT('월 가계부'!A1111),100)),""),""),IF(AND('월 가계부'!A1111&gt;=36526,'월 가계부'!A1111&lt;73051),INT('월 가계부'!A1111),"")),IF(OR(CM1111="",CN1111="",CO1111=""),"",IF(AND(CM1111&gt;=2000,CM1111&lt;=2099,CN1111&gt;=1,CN1111&lt;=12,CO1111&gt;=1,CO1111&lt;=31),IF(MONTH(DATE(CM1111,CN1111,CO1111))=CN1111,DATE(CM1111,CN1111,CO1111),""),"")))),"")</f>
        <v/>
      </c>
      <c r="CJ1111">
        <f>IFERROR(IF('월 가계부'!C1111="","",IF(ISNUMBER('월 가계부'!C1111),'월 가계부'!C1111,VALUE(SUBSTITUTE(SUBSTITUTE(SUBSTITUTE(SUBSTITUTE(TRIM('월 가계부'!C1111),",",""),"원","")," ",""),"−","-")))),"")</f>
        <v/>
      </c>
      <c r="CK1111">
        <f>IF(ISNUMBER(CI1111),IF(CI1111&lt;$B$13,CI1111,""),"")</f>
        <v/>
      </c>
      <c r="CM1111">
        <f>IF(CH1111="","",IFERROR(IF(IF(AND(LEN(CH1111)=9,ISERROR(FIND("-",LEFT(CH1111,8))),ISNUMBER(-LEFT(CH1111,8))),VALUE(LEFT(CH1111,4)),VALUE(LEFT(CH1111,FIND("-",CH1111)-1)))&lt;100,IF(AND(LEN(CH1111)=9,ISERROR(FIND("-",LEFT(CH1111,8))),ISNUMBER(-LEFT(CH1111,8))),VALUE(LEFT(CH1111,4)),VALUE(LEFT(CH1111,FIND("-",CH1111)-1)))+2000,IF(AND(LEN(CH1111)=9,ISERROR(FIND("-",LEFT(CH1111,8))),ISNUMBER(-LEFT(CH1111,8))),VALUE(LEFT(CH1111,4)),VALUE(LEFT(CH1111,FIND("-",CH1111)-1)))),""))</f>
        <v/>
      </c>
      <c r="CN1111">
        <f>IF(CH1111="","",IFERROR(IF(AND(LEN(CH1111)=9,ISERROR(FIND("-",LEFT(CH1111,8))),ISNUMBER(-LEFT(CH1111,8))),VALUE(MID(CH1111,5,2)),VALUE(MID(CH1111,FIND("-",CH1111)+1,FIND("-",CH1111,FIND("-",CH1111)+1)-FIND("-",CH1111)-1))),""))</f>
        <v/>
      </c>
      <c r="CO1111">
        <f>IF(CH1111="","",IFERROR(IF(AND(LEN(CH1111)=9,ISERROR(FIND("-",LEFT(CH1111,8))),ISNUMBER(-LEFT(CH1111,8))),VALUE(MID(CH1111,7,2)),VALUE(MID(CH1111,FIND("-",CH1111,FIND("-",CH1111)+1)+1,FIND("-",CH1111,FIND("-",CH1111,FIND("-",CH1111)+1)+1)-FIND("-",CH1111,FIND("-",CH1111)+1)-1))),""))</f>
        <v/>
      </c>
    </row>
    <row r="1112">
      <c r="CH1112">
        <f>IF(ISTEXT('월 가계부'!A1112),SUBSTITUTE(SUBSTITUTE(SUBSTITUTE(SUBSTITUTE(SUBSTITUTE(SUBSTITUTE(SUBSTITUTE(SUBSTITUTE(SUBSTITUTE(TRIM('월 가계부'!A1112),"년","-"),"월","-"),"일",""),".","-"),"/","-")," ","-"),"--","-"),"--","-"),"--","-")&amp;"-","")</f>
        <v/>
      </c>
      <c r="CI1112">
        <f>IFERROR(IF('월 가계부'!A1112="","",IF(ISNUMBER('월 가계부'!A1112),IF(AND('월 가계부'!A1112&gt;=19000101,'월 가계부'!A1112&lt;=21001231),IF(AND(MOD(INT('월 가계부'!A1112/100),100)&gt;=1,MOD(INT('월 가계부'!A1112/100),100)&lt;=12,MOD(INT('월 가계부'!A1112),100)&gt;=1,MOD(INT('월 가계부'!A1112),100)&lt;=31),IF(MONTH(DATE(INT('월 가계부'!A1112/10000),MOD(INT('월 가계부'!A1112/100),100),MOD(INT('월 가계부'!A1112),100)))=MOD(INT('월 가계부'!A1112/100),100),DATE(INT('월 가계부'!A1112/10000),MOD(INT('월 가계부'!A1112/100),100),MOD(INT('월 가계부'!A1112),100)),""),""),IF(AND('월 가계부'!A1112&gt;=36526,'월 가계부'!A1112&lt;73051),INT('월 가계부'!A1112),"")),IF(OR(CM1112="",CN1112="",CO1112=""),"",IF(AND(CM1112&gt;=2000,CM1112&lt;=2099,CN1112&gt;=1,CN1112&lt;=12,CO1112&gt;=1,CO1112&lt;=31),IF(MONTH(DATE(CM1112,CN1112,CO1112))=CN1112,DATE(CM1112,CN1112,CO1112),""),"")))),"")</f>
        <v/>
      </c>
      <c r="CJ1112">
        <f>IFERROR(IF('월 가계부'!C1112="","",IF(ISNUMBER('월 가계부'!C1112),'월 가계부'!C1112,VALUE(SUBSTITUTE(SUBSTITUTE(SUBSTITUTE(SUBSTITUTE(TRIM('월 가계부'!C1112),",",""),"원","")," ",""),"−","-")))),"")</f>
        <v/>
      </c>
      <c r="CK1112">
        <f>IF(ISNUMBER(CI1112),IF(CI1112&lt;$B$13,CI1112,""),"")</f>
        <v/>
      </c>
      <c r="CM1112">
        <f>IF(CH1112="","",IFERROR(IF(IF(AND(LEN(CH1112)=9,ISERROR(FIND("-",LEFT(CH1112,8))),ISNUMBER(-LEFT(CH1112,8))),VALUE(LEFT(CH1112,4)),VALUE(LEFT(CH1112,FIND("-",CH1112)-1)))&lt;100,IF(AND(LEN(CH1112)=9,ISERROR(FIND("-",LEFT(CH1112,8))),ISNUMBER(-LEFT(CH1112,8))),VALUE(LEFT(CH1112,4)),VALUE(LEFT(CH1112,FIND("-",CH1112)-1)))+2000,IF(AND(LEN(CH1112)=9,ISERROR(FIND("-",LEFT(CH1112,8))),ISNUMBER(-LEFT(CH1112,8))),VALUE(LEFT(CH1112,4)),VALUE(LEFT(CH1112,FIND("-",CH1112)-1)))),""))</f>
        <v/>
      </c>
      <c r="CN1112">
        <f>IF(CH1112="","",IFERROR(IF(AND(LEN(CH1112)=9,ISERROR(FIND("-",LEFT(CH1112,8))),ISNUMBER(-LEFT(CH1112,8))),VALUE(MID(CH1112,5,2)),VALUE(MID(CH1112,FIND("-",CH1112)+1,FIND("-",CH1112,FIND("-",CH1112)+1)-FIND("-",CH1112)-1))),""))</f>
        <v/>
      </c>
      <c r="CO1112">
        <f>IF(CH1112="","",IFERROR(IF(AND(LEN(CH1112)=9,ISERROR(FIND("-",LEFT(CH1112,8))),ISNUMBER(-LEFT(CH1112,8))),VALUE(MID(CH1112,7,2)),VALUE(MID(CH1112,FIND("-",CH1112,FIND("-",CH1112)+1)+1,FIND("-",CH1112,FIND("-",CH1112,FIND("-",CH1112)+1)+1)-FIND("-",CH1112,FIND("-",CH1112)+1)-1))),""))</f>
        <v/>
      </c>
    </row>
    <row r="1113">
      <c r="CH1113">
        <f>IF(ISTEXT('월 가계부'!A1113),SUBSTITUTE(SUBSTITUTE(SUBSTITUTE(SUBSTITUTE(SUBSTITUTE(SUBSTITUTE(SUBSTITUTE(SUBSTITUTE(SUBSTITUTE(TRIM('월 가계부'!A1113),"년","-"),"월","-"),"일",""),".","-"),"/","-")," ","-"),"--","-"),"--","-"),"--","-")&amp;"-","")</f>
        <v/>
      </c>
      <c r="CI1113">
        <f>IFERROR(IF('월 가계부'!A1113="","",IF(ISNUMBER('월 가계부'!A1113),IF(AND('월 가계부'!A1113&gt;=19000101,'월 가계부'!A1113&lt;=21001231),IF(AND(MOD(INT('월 가계부'!A1113/100),100)&gt;=1,MOD(INT('월 가계부'!A1113/100),100)&lt;=12,MOD(INT('월 가계부'!A1113),100)&gt;=1,MOD(INT('월 가계부'!A1113),100)&lt;=31),IF(MONTH(DATE(INT('월 가계부'!A1113/10000),MOD(INT('월 가계부'!A1113/100),100),MOD(INT('월 가계부'!A1113),100)))=MOD(INT('월 가계부'!A1113/100),100),DATE(INT('월 가계부'!A1113/10000),MOD(INT('월 가계부'!A1113/100),100),MOD(INT('월 가계부'!A1113),100)),""),""),IF(AND('월 가계부'!A1113&gt;=36526,'월 가계부'!A1113&lt;73051),INT('월 가계부'!A1113),"")),IF(OR(CM1113="",CN1113="",CO1113=""),"",IF(AND(CM1113&gt;=2000,CM1113&lt;=2099,CN1113&gt;=1,CN1113&lt;=12,CO1113&gt;=1,CO1113&lt;=31),IF(MONTH(DATE(CM1113,CN1113,CO1113))=CN1113,DATE(CM1113,CN1113,CO1113),""),"")))),"")</f>
        <v/>
      </c>
      <c r="CJ1113">
        <f>IFERROR(IF('월 가계부'!C1113="","",IF(ISNUMBER('월 가계부'!C1113),'월 가계부'!C1113,VALUE(SUBSTITUTE(SUBSTITUTE(SUBSTITUTE(SUBSTITUTE(TRIM('월 가계부'!C1113),",",""),"원","")," ",""),"−","-")))),"")</f>
        <v/>
      </c>
      <c r="CK1113">
        <f>IF(ISNUMBER(CI1113),IF(CI1113&lt;$B$13,CI1113,""),"")</f>
        <v/>
      </c>
      <c r="CM1113">
        <f>IF(CH1113="","",IFERROR(IF(IF(AND(LEN(CH1113)=9,ISERROR(FIND("-",LEFT(CH1113,8))),ISNUMBER(-LEFT(CH1113,8))),VALUE(LEFT(CH1113,4)),VALUE(LEFT(CH1113,FIND("-",CH1113)-1)))&lt;100,IF(AND(LEN(CH1113)=9,ISERROR(FIND("-",LEFT(CH1113,8))),ISNUMBER(-LEFT(CH1113,8))),VALUE(LEFT(CH1113,4)),VALUE(LEFT(CH1113,FIND("-",CH1113)-1)))+2000,IF(AND(LEN(CH1113)=9,ISERROR(FIND("-",LEFT(CH1113,8))),ISNUMBER(-LEFT(CH1113,8))),VALUE(LEFT(CH1113,4)),VALUE(LEFT(CH1113,FIND("-",CH1113)-1)))),""))</f>
        <v/>
      </c>
      <c r="CN1113">
        <f>IF(CH1113="","",IFERROR(IF(AND(LEN(CH1113)=9,ISERROR(FIND("-",LEFT(CH1113,8))),ISNUMBER(-LEFT(CH1113,8))),VALUE(MID(CH1113,5,2)),VALUE(MID(CH1113,FIND("-",CH1113)+1,FIND("-",CH1113,FIND("-",CH1113)+1)-FIND("-",CH1113)-1))),""))</f>
        <v/>
      </c>
      <c r="CO1113">
        <f>IF(CH1113="","",IFERROR(IF(AND(LEN(CH1113)=9,ISERROR(FIND("-",LEFT(CH1113,8))),ISNUMBER(-LEFT(CH1113,8))),VALUE(MID(CH1113,7,2)),VALUE(MID(CH1113,FIND("-",CH1113,FIND("-",CH1113)+1)+1,FIND("-",CH1113,FIND("-",CH1113,FIND("-",CH1113)+1)+1)-FIND("-",CH1113,FIND("-",CH1113)+1)-1))),""))</f>
        <v/>
      </c>
    </row>
    <row r="1114">
      <c r="CH1114">
        <f>IF(ISTEXT('월 가계부'!A1114),SUBSTITUTE(SUBSTITUTE(SUBSTITUTE(SUBSTITUTE(SUBSTITUTE(SUBSTITUTE(SUBSTITUTE(SUBSTITUTE(SUBSTITUTE(TRIM('월 가계부'!A1114),"년","-"),"월","-"),"일",""),".","-"),"/","-")," ","-"),"--","-"),"--","-"),"--","-")&amp;"-","")</f>
        <v/>
      </c>
      <c r="CI1114">
        <f>IFERROR(IF('월 가계부'!A1114="","",IF(ISNUMBER('월 가계부'!A1114),IF(AND('월 가계부'!A1114&gt;=19000101,'월 가계부'!A1114&lt;=21001231),IF(AND(MOD(INT('월 가계부'!A1114/100),100)&gt;=1,MOD(INT('월 가계부'!A1114/100),100)&lt;=12,MOD(INT('월 가계부'!A1114),100)&gt;=1,MOD(INT('월 가계부'!A1114),100)&lt;=31),IF(MONTH(DATE(INT('월 가계부'!A1114/10000),MOD(INT('월 가계부'!A1114/100),100),MOD(INT('월 가계부'!A1114),100)))=MOD(INT('월 가계부'!A1114/100),100),DATE(INT('월 가계부'!A1114/10000),MOD(INT('월 가계부'!A1114/100),100),MOD(INT('월 가계부'!A1114),100)),""),""),IF(AND('월 가계부'!A1114&gt;=36526,'월 가계부'!A1114&lt;73051),INT('월 가계부'!A1114),"")),IF(OR(CM1114="",CN1114="",CO1114=""),"",IF(AND(CM1114&gt;=2000,CM1114&lt;=2099,CN1114&gt;=1,CN1114&lt;=12,CO1114&gt;=1,CO1114&lt;=31),IF(MONTH(DATE(CM1114,CN1114,CO1114))=CN1114,DATE(CM1114,CN1114,CO1114),""),"")))),"")</f>
        <v/>
      </c>
      <c r="CJ1114">
        <f>IFERROR(IF('월 가계부'!C1114="","",IF(ISNUMBER('월 가계부'!C1114),'월 가계부'!C1114,VALUE(SUBSTITUTE(SUBSTITUTE(SUBSTITUTE(SUBSTITUTE(TRIM('월 가계부'!C1114),",",""),"원","")," ",""),"−","-")))),"")</f>
        <v/>
      </c>
      <c r="CK1114">
        <f>IF(ISNUMBER(CI1114),IF(CI1114&lt;$B$13,CI1114,""),"")</f>
        <v/>
      </c>
      <c r="CM1114">
        <f>IF(CH1114="","",IFERROR(IF(IF(AND(LEN(CH1114)=9,ISERROR(FIND("-",LEFT(CH1114,8))),ISNUMBER(-LEFT(CH1114,8))),VALUE(LEFT(CH1114,4)),VALUE(LEFT(CH1114,FIND("-",CH1114)-1)))&lt;100,IF(AND(LEN(CH1114)=9,ISERROR(FIND("-",LEFT(CH1114,8))),ISNUMBER(-LEFT(CH1114,8))),VALUE(LEFT(CH1114,4)),VALUE(LEFT(CH1114,FIND("-",CH1114)-1)))+2000,IF(AND(LEN(CH1114)=9,ISERROR(FIND("-",LEFT(CH1114,8))),ISNUMBER(-LEFT(CH1114,8))),VALUE(LEFT(CH1114,4)),VALUE(LEFT(CH1114,FIND("-",CH1114)-1)))),""))</f>
        <v/>
      </c>
      <c r="CN1114">
        <f>IF(CH1114="","",IFERROR(IF(AND(LEN(CH1114)=9,ISERROR(FIND("-",LEFT(CH1114,8))),ISNUMBER(-LEFT(CH1114,8))),VALUE(MID(CH1114,5,2)),VALUE(MID(CH1114,FIND("-",CH1114)+1,FIND("-",CH1114,FIND("-",CH1114)+1)-FIND("-",CH1114)-1))),""))</f>
        <v/>
      </c>
      <c r="CO1114">
        <f>IF(CH1114="","",IFERROR(IF(AND(LEN(CH1114)=9,ISERROR(FIND("-",LEFT(CH1114,8))),ISNUMBER(-LEFT(CH1114,8))),VALUE(MID(CH1114,7,2)),VALUE(MID(CH1114,FIND("-",CH1114,FIND("-",CH1114)+1)+1,FIND("-",CH1114,FIND("-",CH1114,FIND("-",CH1114)+1)+1)-FIND("-",CH1114,FIND("-",CH1114)+1)-1))),""))</f>
        <v/>
      </c>
    </row>
    <row r="1115">
      <c r="CH1115">
        <f>IF(ISTEXT('월 가계부'!A1115),SUBSTITUTE(SUBSTITUTE(SUBSTITUTE(SUBSTITUTE(SUBSTITUTE(SUBSTITUTE(SUBSTITUTE(SUBSTITUTE(SUBSTITUTE(TRIM('월 가계부'!A1115),"년","-"),"월","-"),"일",""),".","-"),"/","-")," ","-"),"--","-"),"--","-"),"--","-")&amp;"-","")</f>
        <v/>
      </c>
      <c r="CI1115">
        <f>IFERROR(IF('월 가계부'!A1115="","",IF(ISNUMBER('월 가계부'!A1115),IF(AND('월 가계부'!A1115&gt;=19000101,'월 가계부'!A1115&lt;=21001231),IF(AND(MOD(INT('월 가계부'!A1115/100),100)&gt;=1,MOD(INT('월 가계부'!A1115/100),100)&lt;=12,MOD(INT('월 가계부'!A1115),100)&gt;=1,MOD(INT('월 가계부'!A1115),100)&lt;=31),IF(MONTH(DATE(INT('월 가계부'!A1115/10000),MOD(INT('월 가계부'!A1115/100),100),MOD(INT('월 가계부'!A1115),100)))=MOD(INT('월 가계부'!A1115/100),100),DATE(INT('월 가계부'!A1115/10000),MOD(INT('월 가계부'!A1115/100),100),MOD(INT('월 가계부'!A1115),100)),""),""),IF(AND('월 가계부'!A1115&gt;=36526,'월 가계부'!A1115&lt;73051),INT('월 가계부'!A1115),"")),IF(OR(CM1115="",CN1115="",CO1115=""),"",IF(AND(CM1115&gt;=2000,CM1115&lt;=2099,CN1115&gt;=1,CN1115&lt;=12,CO1115&gt;=1,CO1115&lt;=31),IF(MONTH(DATE(CM1115,CN1115,CO1115))=CN1115,DATE(CM1115,CN1115,CO1115),""),"")))),"")</f>
        <v/>
      </c>
      <c r="CJ1115">
        <f>IFERROR(IF('월 가계부'!C1115="","",IF(ISNUMBER('월 가계부'!C1115),'월 가계부'!C1115,VALUE(SUBSTITUTE(SUBSTITUTE(SUBSTITUTE(SUBSTITUTE(TRIM('월 가계부'!C1115),",",""),"원","")," ",""),"−","-")))),"")</f>
        <v/>
      </c>
      <c r="CK1115">
        <f>IF(ISNUMBER(CI1115),IF(CI1115&lt;$B$13,CI1115,""),"")</f>
        <v/>
      </c>
      <c r="CM1115">
        <f>IF(CH1115="","",IFERROR(IF(IF(AND(LEN(CH1115)=9,ISERROR(FIND("-",LEFT(CH1115,8))),ISNUMBER(-LEFT(CH1115,8))),VALUE(LEFT(CH1115,4)),VALUE(LEFT(CH1115,FIND("-",CH1115)-1)))&lt;100,IF(AND(LEN(CH1115)=9,ISERROR(FIND("-",LEFT(CH1115,8))),ISNUMBER(-LEFT(CH1115,8))),VALUE(LEFT(CH1115,4)),VALUE(LEFT(CH1115,FIND("-",CH1115)-1)))+2000,IF(AND(LEN(CH1115)=9,ISERROR(FIND("-",LEFT(CH1115,8))),ISNUMBER(-LEFT(CH1115,8))),VALUE(LEFT(CH1115,4)),VALUE(LEFT(CH1115,FIND("-",CH1115)-1)))),""))</f>
        <v/>
      </c>
      <c r="CN1115">
        <f>IF(CH1115="","",IFERROR(IF(AND(LEN(CH1115)=9,ISERROR(FIND("-",LEFT(CH1115,8))),ISNUMBER(-LEFT(CH1115,8))),VALUE(MID(CH1115,5,2)),VALUE(MID(CH1115,FIND("-",CH1115)+1,FIND("-",CH1115,FIND("-",CH1115)+1)-FIND("-",CH1115)-1))),""))</f>
        <v/>
      </c>
      <c r="CO1115">
        <f>IF(CH1115="","",IFERROR(IF(AND(LEN(CH1115)=9,ISERROR(FIND("-",LEFT(CH1115,8))),ISNUMBER(-LEFT(CH1115,8))),VALUE(MID(CH1115,7,2)),VALUE(MID(CH1115,FIND("-",CH1115,FIND("-",CH1115)+1)+1,FIND("-",CH1115,FIND("-",CH1115,FIND("-",CH1115)+1)+1)-FIND("-",CH1115,FIND("-",CH1115)+1)-1))),""))</f>
        <v/>
      </c>
    </row>
    <row r="1116">
      <c r="CH1116">
        <f>IF(ISTEXT('월 가계부'!A1116),SUBSTITUTE(SUBSTITUTE(SUBSTITUTE(SUBSTITUTE(SUBSTITUTE(SUBSTITUTE(SUBSTITUTE(SUBSTITUTE(SUBSTITUTE(TRIM('월 가계부'!A1116),"년","-"),"월","-"),"일",""),".","-"),"/","-")," ","-"),"--","-"),"--","-"),"--","-")&amp;"-","")</f>
        <v/>
      </c>
      <c r="CI1116">
        <f>IFERROR(IF('월 가계부'!A1116="","",IF(ISNUMBER('월 가계부'!A1116),IF(AND('월 가계부'!A1116&gt;=19000101,'월 가계부'!A1116&lt;=21001231),IF(AND(MOD(INT('월 가계부'!A1116/100),100)&gt;=1,MOD(INT('월 가계부'!A1116/100),100)&lt;=12,MOD(INT('월 가계부'!A1116),100)&gt;=1,MOD(INT('월 가계부'!A1116),100)&lt;=31),IF(MONTH(DATE(INT('월 가계부'!A1116/10000),MOD(INT('월 가계부'!A1116/100),100),MOD(INT('월 가계부'!A1116),100)))=MOD(INT('월 가계부'!A1116/100),100),DATE(INT('월 가계부'!A1116/10000),MOD(INT('월 가계부'!A1116/100),100),MOD(INT('월 가계부'!A1116),100)),""),""),IF(AND('월 가계부'!A1116&gt;=36526,'월 가계부'!A1116&lt;73051),INT('월 가계부'!A1116),"")),IF(OR(CM1116="",CN1116="",CO1116=""),"",IF(AND(CM1116&gt;=2000,CM1116&lt;=2099,CN1116&gt;=1,CN1116&lt;=12,CO1116&gt;=1,CO1116&lt;=31),IF(MONTH(DATE(CM1116,CN1116,CO1116))=CN1116,DATE(CM1116,CN1116,CO1116),""),"")))),"")</f>
        <v/>
      </c>
      <c r="CJ1116">
        <f>IFERROR(IF('월 가계부'!C1116="","",IF(ISNUMBER('월 가계부'!C1116),'월 가계부'!C1116,VALUE(SUBSTITUTE(SUBSTITUTE(SUBSTITUTE(SUBSTITUTE(TRIM('월 가계부'!C1116),",",""),"원","")," ",""),"−","-")))),"")</f>
        <v/>
      </c>
      <c r="CK1116">
        <f>IF(ISNUMBER(CI1116),IF(CI1116&lt;$B$13,CI1116,""),"")</f>
        <v/>
      </c>
      <c r="CM1116">
        <f>IF(CH1116="","",IFERROR(IF(IF(AND(LEN(CH1116)=9,ISERROR(FIND("-",LEFT(CH1116,8))),ISNUMBER(-LEFT(CH1116,8))),VALUE(LEFT(CH1116,4)),VALUE(LEFT(CH1116,FIND("-",CH1116)-1)))&lt;100,IF(AND(LEN(CH1116)=9,ISERROR(FIND("-",LEFT(CH1116,8))),ISNUMBER(-LEFT(CH1116,8))),VALUE(LEFT(CH1116,4)),VALUE(LEFT(CH1116,FIND("-",CH1116)-1)))+2000,IF(AND(LEN(CH1116)=9,ISERROR(FIND("-",LEFT(CH1116,8))),ISNUMBER(-LEFT(CH1116,8))),VALUE(LEFT(CH1116,4)),VALUE(LEFT(CH1116,FIND("-",CH1116)-1)))),""))</f>
        <v/>
      </c>
      <c r="CN1116">
        <f>IF(CH1116="","",IFERROR(IF(AND(LEN(CH1116)=9,ISERROR(FIND("-",LEFT(CH1116,8))),ISNUMBER(-LEFT(CH1116,8))),VALUE(MID(CH1116,5,2)),VALUE(MID(CH1116,FIND("-",CH1116)+1,FIND("-",CH1116,FIND("-",CH1116)+1)-FIND("-",CH1116)-1))),""))</f>
        <v/>
      </c>
      <c r="CO1116">
        <f>IF(CH1116="","",IFERROR(IF(AND(LEN(CH1116)=9,ISERROR(FIND("-",LEFT(CH1116,8))),ISNUMBER(-LEFT(CH1116,8))),VALUE(MID(CH1116,7,2)),VALUE(MID(CH1116,FIND("-",CH1116,FIND("-",CH1116)+1)+1,FIND("-",CH1116,FIND("-",CH1116,FIND("-",CH1116)+1)+1)-FIND("-",CH1116,FIND("-",CH1116)+1)-1))),""))</f>
        <v/>
      </c>
    </row>
    <row r="1117">
      <c r="CH1117">
        <f>IF(ISTEXT('월 가계부'!A1117),SUBSTITUTE(SUBSTITUTE(SUBSTITUTE(SUBSTITUTE(SUBSTITUTE(SUBSTITUTE(SUBSTITUTE(SUBSTITUTE(SUBSTITUTE(TRIM('월 가계부'!A1117),"년","-"),"월","-"),"일",""),".","-"),"/","-")," ","-"),"--","-"),"--","-"),"--","-")&amp;"-","")</f>
        <v/>
      </c>
      <c r="CI1117">
        <f>IFERROR(IF('월 가계부'!A1117="","",IF(ISNUMBER('월 가계부'!A1117),IF(AND('월 가계부'!A1117&gt;=19000101,'월 가계부'!A1117&lt;=21001231),IF(AND(MOD(INT('월 가계부'!A1117/100),100)&gt;=1,MOD(INT('월 가계부'!A1117/100),100)&lt;=12,MOD(INT('월 가계부'!A1117),100)&gt;=1,MOD(INT('월 가계부'!A1117),100)&lt;=31),IF(MONTH(DATE(INT('월 가계부'!A1117/10000),MOD(INT('월 가계부'!A1117/100),100),MOD(INT('월 가계부'!A1117),100)))=MOD(INT('월 가계부'!A1117/100),100),DATE(INT('월 가계부'!A1117/10000),MOD(INT('월 가계부'!A1117/100),100),MOD(INT('월 가계부'!A1117),100)),""),""),IF(AND('월 가계부'!A1117&gt;=36526,'월 가계부'!A1117&lt;73051),INT('월 가계부'!A1117),"")),IF(OR(CM1117="",CN1117="",CO1117=""),"",IF(AND(CM1117&gt;=2000,CM1117&lt;=2099,CN1117&gt;=1,CN1117&lt;=12,CO1117&gt;=1,CO1117&lt;=31),IF(MONTH(DATE(CM1117,CN1117,CO1117))=CN1117,DATE(CM1117,CN1117,CO1117),""),"")))),"")</f>
        <v/>
      </c>
      <c r="CJ1117">
        <f>IFERROR(IF('월 가계부'!C1117="","",IF(ISNUMBER('월 가계부'!C1117),'월 가계부'!C1117,VALUE(SUBSTITUTE(SUBSTITUTE(SUBSTITUTE(SUBSTITUTE(TRIM('월 가계부'!C1117),",",""),"원","")," ",""),"−","-")))),"")</f>
        <v/>
      </c>
      <c r="CK1117">
        <f>IF(ISNUMBER(CI1117),IF(CI1117&lt;$B$13,CI1117,""),"")</f>
        <v/>
      </c>
      <c r="CM1117">
        <f>IF(CH1117="","",IFERROR(IF(IF(AND(LEN(CH1117)=9,ISERROR(FIND("-",LEFT(CH1117,8))),ISNUMBER(-LEFT(CH1117,8))),VALUE(LEFT(CH1117,4)),VALUE(LEFT(CH1117,FIND("-",CH1117)-1)))&lt;100,IF(AND(LEN(CH1117)=9,ISERROR(FIND("-",LEFT(CH1117,8))),ISNUMBER(-LEFT(CH1117,8))),VALUE(LEFT(CH1117,4)),VALUE(LEFT(CH1117,FIND("-",CH1117)-1)))+2000,IF(AND(LEN(CH1117)=9,ISERROR(FIND("-",LEFT(CH1117,8))),ISNUMBER(-LEFT(CH1117,8))),VALUE(LEFT(CH1117,4)),VALUE(LEFT(CH1117,FIND("-",CH1117)-1)))),""))</f>
        <v/>
      </c>
      <c r="CN1117">
        <f>IF(CH1117="","",IFERROR(IF(AND(LEN(CH1117)=9,ISERROR(FIND("-",LEFT(CH1117,8))),ISNUMBER(-LEFT(CH1117,8))),VALUE(MID(CH1117,5,2)),VALUE(MID(CH1117,FIND("-",CH1117)+1,FIND("-",CH1117,FIND("-",CH1117)+1)-FIND("-",CH1117)-1))),""))</f>
        <v/>
      </c>
      <c r="CO1117">
        <f>IF(CH1117="","",IFERROR(IF(AND(LEN(CH1117)=9,ISERROR(FIND("-",LEFT(CH1117,8))),ISNUMBER(-LEFT(CH1117,8))),VALUE(MID(CH1117,7,2)),VALUE(MID(CH1117,FIND("-",CH1117,FIND("-",CH1117)+1)+1,FIND("-",CH1117,FIND("-",CH1117,FIND("-",CH1117)+1)+1)-FIND("-",CH1117,FIND("-",CH1117)+1)-1))),""))</f>
        <v/>
      </c>
    </row>
    <row r="1118">
      <c r="CH1118">
        <f>IF(ISTEXT('월 가계부'!A1118),SUBSTITUTE(SUBSTITUTE(SUBSTITUTE(SUBSTITUTE(SUBSTITUTE(SUBSTITUTE(SUBSTITUTE(SUBSTITUTE(SUBSTITUTE(TRIM('월 가계부'!A1118),"년","-"),"월","-"),"일",""),".","-"),"/","-")," ","-"),"--","-"),"--","-"),"--","-")&amp;"-","")</f>
        <v/>
      </c>
      <c r="CI1118">
        <f>IFERROR(IF('월 가계부'!A1118="","",IF(ISNUMBER('월 가계부'!A1118),IF(AND('월 가계부'!A1118&gt;=19000101,'월 가계부'!A1118&lt;=21001231),IF(AND(MOD(INT('월 가계부'!A1118/100),100)&gt;=1,MOD(INT('월 가계부'!A1118/100),100)&lt;=12,MOD(INT('월 가계부'!A1118),100)&gt;=1,MOD(INT('월 가계부'!A1118),100)&lt;=31),IF(MONTH(DATE(INT('월 가계부'!A1118/10000),MOD(INT('월 가계부'!A1118/100),100),MOD(INT('월 가계부'!A1118),100)))=MOD(INT('월 가계부'!A1118/100),100),DATE(INT('월 가계부'!A1118/10000),MOD(INT('월 가계부'!A1118/100),100),MOD(INT('월 가계부'!A1118),100)),""),""),IF(AND('월 가계부'!A1118&gt;=36526,'월 가계부'!A1118&lt;73051),INT('월 가계부'!A1118),"")),IF(OR(CM1118="",CN1118="",CO1118=""),"",IF(AND(CM1118&gt;=2000,CM1118&lt;=2099,CN1118&gt;=1,CN1118&lt;=12,CO1118&gt;=1,CO1118&lt;=31),IF(MONTH(DATE(CM1118,CN1118,CO1118))=CN1118,DATE(CM1118,CN1118,CO1118),""),"")))),"")</f>
        <v/>
      </c>
      <c r="CJ1118">
        <f>IFERROR(IF('월 가계부'!C1118="","",IF(ISNUMBER('월 가계부'!C1118),'월 가계부'!C1118,VALUE(SUBSTITUTE(SUBSTITUTE(SUBSTITUTE(SUBSTITUTE(TRIM('월 가계부'!C1118),",",""),"원","")," ",""),"−","-")))),"")</f>
        <v/>
      </c>
      <c r="CK1118">
        <f>IF(ISNUMBER(CI1118),IF(CI1118&lt;$B$13,CI1118,""),"")</f>
        <v/>
      </c>
      <c r="CM1118">
        <f>IF(CH1118="","",IFERROR(IF(IF(AND(LEN(CH1118)=9,ISERROR(FIND("-",LEFT(CH1118,8))),ISNUMBER(-LEFT(CH1118,8))),VALUE(LEFT(CH1118,4)),VALUE(LEFT(CH1118,FIND("-",CH1118)-1)))&lt;100,IF(AND(LEN(CH1118)=9,ISERROR(FIND("-",LEFT(CH1118,8))),ISNUMBER(-LEFT(CH1118,8))),VALUE(LEFT(CH1118,4)),VALUE(LEFT(CH1118,FIND("-",CH1118)-1)))+2000,IF(AND(LEN(CH1118)=9,ISERROR(FIND("-",LEFT(CH1118,8))),ISNUMBER(-LEFT(CH1118,8))),VALUE(LEFT(CH1118,4)),VALUE(LEFT(CH1118,FIND("-",CH1118)-1)))),""))</f>
        <v/>
      </c>
      <c r="CN1118">
        <f>IF(CH1118="","",IFERROR(IF(AND(LEN(CH1118)=9,ISERROR(FIND("-",LEFT(CH1118,8))),ISNUMBER(-LEFT(CH1118,8))),VALUE(MID(CH1118,5,2)),VALUE(MID(CH1118,FIND("-",CH1118)+1,FIND("-",CH1118,FIND("-",CH1118)+1)-FIND("-",CH1118)-1))),""))</f>
        <v/>
      </c>
      <c r="CO1118">
        <f>IF(CH1118="","",IFERROR(IF(AND(LEN(CH1118)=9,ISERROR(FIND("-",LEFT(CH1118,8))),ISNUMBER(-LEFT(CH1118,8))),VALUE(MID(CH1118,7,2)),VALUE(MID(CH1118,FIND("-",CH1118,FIND("-",CH1118)+1)+1,FIND("-",CH1118,FIND("-",CH1118,FIND("-",CH1118)+1)+1)-FIND("-",CH1118,FIND("-",CH1118)+1)-1))),""))</f>
        <v/>
      </c>
    </row>
    <row r="1119">
      <c r="CH1119">
        <f>IF(ISTEXT('월 가계부'!A1119),SUBSTITUTE(SUBSTITUTE(SUBSTITUTE(SUBSTITUTE(SUBSTITUTE(SUBSTITUTE(SUBSTITUTE(SUBSTITUTE(SUBSTITUTE(TRIM('월 가계부'!A1119),"년","-"),"월","-"),"일",""),".","-"),"/","-")," ","-"),"--","-"),"--","-"),"--","-")&amp;"-","")</f>
        <v/>
      </c>
      <c r="CI1119">
        <f>IFERROR(IF('월 가계부'!A1119="","",IF(ISNUMBER('월 가계부'!A1119),IF(AND('월 가계부'!A1119&gt;=19000101,'월 가계부'!A1119&lt;=21001231),IF(AND(MOD(INT('월 가계부'!A1119/100),100)&gt;=1,MOD(INT('월 가계부'!A1119/100),100)&lt;=12,MOD(INT('월 가계부'!A1119),100)&gt;=1,MOD(INT('월 가계부'!A1119),100)&lt;=31),IF(MONTH(DATE(INT('월 가계부'!A1119/10000),MOD(INT('월 가계부'!A1119/100),100),MOD(INT('월 가계부'!A1119),100)))=MOD(INT('월 가계부'!A1119/100),100),DATE(INT('월 가계부'!A1119/10000),MOD(INT('월 가계부'!A1119/100),100),MOD(INT('월 가계부'!A1119),100)),""),""),IF(AND('월 가계부'!A1119&gt;=36526,'월 가계부'!A1119&lt;73051),INT('월 가계부'!A1119),"")),IF(OR(CM1119="",CN1119="",CO1119=""),"",IF(AND(CM1119&gt;=2000,CM1119&lt;=2099,CN1119&gt;=1,CN1119&lt;=12,CO1119&gt;=1,CO1119&lt;=31),IF(MONTH(DATE(CM1119,CN1119,CO1119))=CN1119,DATE(CM1119,CN1119,CO1119),""),"")))),"")</f>
        <v/>
      </c>
      <c r="CJ1119">
        <f>IFERROR(IF('월 가계부'!C1119="","",IF(ISNUMBER('월 가계부'!C1119),'월 가계부'!C1119,VALUE(SUBSTITUTE(SUBSTITUTE(SUBSTITUTE(SUBSTITUTE(TRIM('월 가계부'!C1119),",",""),"원","")," ",""),"−","-")))),"")</f>
        <v/>
      </c>
      <c r="CK1119">
        <f>IF(ISNUMBER(CI1119),IF(CI1119&lt;$B$13,CI1119,""),"")</f>
        <v/>
      </c>
      <c r="CM1119">
        <f>IF(CH1119="","",IFERROR(IF(IF(AND(LEN(CH1119)=9,ISERROR(FIND("-",LEFT(CH1119,8))),ISNUMBER(-LEFT(CH1119,8))),VALUE(LEFT(CH1119,4)),VALUE(LEFT(CH1119,FIND("-",CH1119)-1)))&lt;100,IF(AND(LEN(CH1119)=9,ISERROR(FIND("-",LEFT(CH1119,8))),ISNUMBER(-LEFT(CH1119,8))),VALUE(LEFT(CH1119,4)),VALUE(LEFT(CH1119,FIND("-",CH1119)-1)))+2000,IF(AND(LEN(CH1119)=9,ISERROR(FIND("-",LEFT(CH1119,8))),ISNUMBER(-LEFT(CH1119,8))),VALUE(LEFT(CH1119,4)),VALUE(LEFT(CH1119,FIND("-",CH1119)-1)))),""))</f>
        <v/>
      </c>
      <c r="CN1119">
        <f>IF(CH1119="","",IFERROR(IF(AND(LEN(CH1119)=9,ISERROR(FIND("-",LEFT(CH1119,8))),ISNUMBER(-LEFT(CH1119,8))),VALUE(MID(CH1119,5,2)),VALUE(MID(CH1119,FIND("-",CH1119)+1,FIND("-",CH1119,FIND("-",CH1119)+1)-FIND("-",CH1119)-1))),""))</f>
        <v/>
      </c>
      <c r="CO1119">
        <f>IF(CH1119="","",IFERROR(IF(AND(LEN(CH1119)=9,ISERROR(FIND("-",LEFT(CH1119,8))),ISNUMBER(-LEFT(CH1119,8))),VALUE(MID(CH1119,7,2)),VALUE(MID(CH1119,FIND("-",CH1119,FIND("-",CH1119)+1)+1,FIND("-",CH1119,FIND("-",CH1119,FIND("-",CH1119)+1)+1)-FIND("-",CH1119,FIND("-",CH1119)+1)-1))),""))</f>
        <v/>
      </c>
    </row>
    <row r="1120">
      <c r="CH1120">
        <f>IF(ISTEXT('월 가계부'!A1120),SUBSTITUTE(SUBSTITUTE(SUBSTITUTE(SUBSTITUTE(SUBSTITUTE(SUBSTITUTE(SUBSTITUTE(SUBSTITUTE(SUBSTITUTE(TRIM('월 가계부'!A1120),"년","-"),"월","-"),"일",""),".","-"),"/","-")," ","-"),"--","-"),"--","-"),"--","-")&amp;"-","")</f>
        <v/>
      </c>
      <c r="CI1120">
        <f>IFERROR(IF('월 가계부'!A1120="","",IF(ISNUMBER('월 가계부'!A1120),IF(AND('월 가계부'!A1120&gt;=19000101,'월 가계부'!A1120&lt;=21001231),IF(AND(MOD(INT('월 가계부'!A1120/100),100)&gt;=1,MOD(INT('월 가계부'!A1120/100),100)&lt;=12,MOD(INT('월 가계부'!A1120),100)&gt;=1,MOD(INT('월 가계부'!A1120),100)&lt;=31),IF(MONTH(DATE(INT('월 가계부'!A1120/10000),MOD(INT('월 가계부'!A1120/100),100),MOD(INT('월 가계부'!A1120),100)))=MOD(INT('월 가계부'!A1120/100),100),DATE(INT('월 가계부'!A1120/10000),MOD(INT('월 가계부'!A1120/100),100),MOD(INT('월 가계부'!A1120),100)),""),""),IF(AND('월 가계부'!A1120&gt;=36526,'월 가계부'!A1120&lt;73051),INT('월 가계부'!A1120),"")),IF(OR(CM1120="",CN1120="",CO1120=""),"",IF(AND(CM1120&gt;=2000,CM1120&lt;=2099,CN1120&gt;=1,CN1120&lt;=12,CO1120&gt;=1,CO1120&lt;=31),IF(MONTH(DATE(CM1120,CN1120,CO1120))=CN1120,DATE(CM1120,CN1120,CO1120),""),"")))),"")</f>
        <v/>
      </c>
      <c r="CJ1120">
        <f>IFERROR(IF('월 가계부'!C1120="","",IF(ISNUMBER('월 가계부'!C1120),'월 가계부'!C1120,VALUE(SUBSTITUTE(SUBSTITUTE(SUBSTITUTE(SUBSTITUTE(TRIM('월 가계부'!C1120),",",""),"원","")," ",""),"−","-")))),"")</f>
        <v/>
      </c>
      <c r="CK1120">
        <f>IF(ISNUMBER(CI1120),IF(CI1120&lt;$B$13,CI1120,""),"")</f>
        <v/>
      </c>
      <c r="CM1120">
        <f>IF(CH1120="","",IFERROR(IF(IF(AND(LEN(CH1120)=9,ISERROR(FIND("-",LEFT(CH1120,8))),ISNUMBER(-LEFT(CH1120,8))),VALUE(LEFT(CH1120,4)),VALUE(LEFT(CH1120,FIND("-",CH1120)-1)))&lt;100,IF(AND(LEN(CH1120)=9,ISERROR(FIND("-",LEFT(CH1120,8))),ISNUMBER(-LEFT(CH1120,8))),VALUE(LEFT(CH1120,4)),VALUE(LEFT(CH1120,FIND("-",CH1120)-1)))+2000,IF(AND(LEN(CH1120)=9,ISERROR(FIND("-",LEFT(CH1120,8))),ISNUMBER(-LEFT(CH1120,8))),VALUE(LEFT(CH1120,4)),VALUE(LEFT(CH1120,FIND("-",CH1120)-1)))),""))</f>
        <v/>
      </c>
      <c r="CN1120">
        <f>IF(CH1120="","",IFERROR(IF(AND(LEN(CH1120)=9,ISERROR(FIND("-",LEFT(CH1120,8))),ISNUMBER(-LEFT(CH1120,8))),VALUE(MID(CH1120,5,2)),VALUE(MID(CH1120,FIND("-",CH1120)+1,FIND("-",CH1120,FIND("-",CH1120)+1)-FIND("-",CH1120)-1))),""))</f>
        <v/>
      </c>
      <c r="CO1120">
        <f>IF(CH1120="","",IFERROR(IF(AND(LEN(CH1120)=9,ISERROR(FIND("-",LEFT(CH1120,8))),ISNUMBER(-LEFT(CH1120,8))),VALUE(MID(CH1120,7,2)),VALUE(MID(CH1120,FIND("-",CH1120,FIND("-",CH1120)+1)+1,FIND("-",CH1120,FIND("-",CH1120,FIND("-",CH1120)+1)+1)-FIND("-",CH1120,FIND("-",CH1120)+1)-1))),""))</f>
        <v/>
      </c>
    </row>
    <row r="1121">
      <c r="CH1121">
        <f>IF(ISTEXT('월 가계부'!A1121),SUBSTITUTE(SUBSTITUTE(SUBSTITUTE(SUBSTITUTE(SUBSTITUTE(SUBSTITUTE(SUBSTITUTE(SUBSTITUTE(SUBSTITUTE(TRIM('월 가계부'!A1121),"년","-"),"월","-"),"일",""),".","-"),"/","-")," ","-"),"--","-"),"--","-"),"--","-")&amp;"-","")</f>
        <v/>
      </c>
      <c r="CI1121">
        <f>IFERROR(IF('월 가계부'!A1121="","",IF(ISNUMBER('월 가계부'!A1121),IF(AND('월 가계부'!A1121&gt;=19000101,'월 가계부'!A1121&lt;=21001231),IF(AND(MOD(INT('월 가계부'!A1121/100),100)&gt;=1,MOD(INT('월 가계부'!A1121/100),100)&lt;=12,MOD(INT('월 가계부'!A1121),100)&gt;=1,MOD(INT('월 가계부'!A1121),100)&lt;=31),IF(MONTH(DATE(INT('월 가계부'!A1121/10000),MOD(INT('월 가계부'!A1121/100),100),MOD(INT('월 가계부'!A1121),100)))=MOD(INT('월 가계부'!A1121/100),100),DATE(INT('월 가계부'!A1121/10000),MOD(INT('월 가계부'!A1121/100),100),MOD(INT('월 가계부'!A1121),100)),""),""),IF(AND('월 가계부'!A1121&gt;=36526,'월 가계부'!A1121&lt;73051),INT('월 가계부'!A1121),"")),IF(OR(CM1121="",CN1121="",CO1121=""),"",IF(AND(CM1121&gt;=2000,CM1121&lt;=2099,CN1121&gt;=1,CN1121&lt;=12,CO1121&gt;=1,CO1121&lt;=31),IF(MONTH(DATE(CM1121,CN1121,CO1121))=CN1121,DATE(CM1121,CN1121,CO1121),""),"")))),"")</f>
        <v/>
      </c>
      <c r="CJ1121">
        <f>IFERROR(IF('월 가계부'!C1121="","",IF(ISNUMBER('월 가계부'!C1121),'월 가계부'!C1121,VALUE(SUBSTITUTE(SUBSTITUTE(SUBSTITUTE(SUBSTITUTE(TRIM('월 가계부'!C1121),",",""),"원","")," ",""),"−","-")))),"")</f>
        <v/>
      </c>
      <c r="CK1121">
        <f>IF(ISNUMBER(CI1121),IF(CI1121&lt;$B$13,CI1121,""),"")</f>
        <v/>
      </c>
      <c r="CM1121">
        <f>IF(CH1121="","",IFERROR(IF(IF(AND(LEN(CH1121)=9,ISERROR(FIND("-",LEFT(CH1121,8))),ISNUMBER(-LEFT(CH1121,8))),VALUE(LEFT(CH1121,4)),VALUE(LEFT(CH1121,FIND("-",CH1121)-1)))&lt;100,IF(AND(LEN(CH1121)=9,ISERROR(FIND("-",LEFT(CH1121,8))),ISNUMBER(-LEFT(CH1121,8))),VALUE(LEFT(CH1121,4)),VALUE(LEFT(CH1121,FIND("-",CH1121)-1)))+2000,IF(AND(LEN(CH1121)=9,ISERROR(FIND("-",LEFT(CH1121,8))),ISNUMBER(-LEFT(CH1121,8))),VALUE(LEFT(CH1121,4)),VALUE(LEFT(CH1121,FIND("-",CH1121)-1)))),""))</f>
        <v/>
      </c>
      <c r="CN1121">
        <f>IF(CH1121="","",IFERROR(IF(AND(LEN(CH1121)=9,ISERROR(FIND("-",LEFT(CH1121,8))),ISNUMBER(-LEFT(CH1121,8))),VALUE(MID(CH1121,5,2)),VALUE(MID(CH1121,FIND("-",CH1121)+1,FIND("-",CH1121,FIND("-",CH1121)+1)-FIND("-",CH1121)-1))),""))</f>
        <v/>
      </c>
      <c r="CO1121">
        <f>IF(CH1121="","",IFERROR(IF(AND(LEN(CH1121)=9,ISERROR(FIND("-",LEFT(CH1121,8))),ISNUMBER(-LEFT(CH1121,8))),VALUE(MID(CH1121,7,2)),VALUE(MID(CH1121,FIND("-",CH1121,FIND("-",CH1121)+1)+1,FIND("-",CH1121,FIND("-",CH1121,FIND("-",CH1121)+1)+1)-FIND("-",CH1121,FIND("-",CH1121)+1)-1))),""))</f>
        <v/>
      </c>
    </row>
    <row r="1122">
      <c r="CH1122">
        <f>IF(ISTEXT('월 가계부'!A1122),SUBSTITUTE(SUBSTITUTE(SUBSTITUTE(SUBSTITUTE(SUBSTITUTE(SUBSTITUTE(SUBSTITUTE(SUBSTITUTE(SUBSTITUTE(TRIM('월 가계부'!A1122),"년","-"),"월","-"),"일",""),".","-"),"/","-")," ","-"),"--","-"),"--","-"),"--","-")&amp;"-","")</f>
        <v/>
      </c>
      <c r="CI1122">
        <f>IFERROR(IF('월 가계부'!A1122="","",IF(ISNUMBER('월 가계부'!A1122),IF(AND('월 가계부'!A1122&gt;=19000101,'월 가계부'!A1122&lt;=21001231),IF(AND(MOD(INT('월 가계부'!A1122/100),100)&gt;=1,MOD(INT('월 가계부'!A1122/100),100)&lt;=12,MOD(INT('월 가계부'!A1122),100)&gt;=1,MOD(INT('월 가계부'!A1122),100)&lt;=31),IF(MONTH(DATE(INT('월 가계부'!A1122/10000),MOD(INT('월 가계부'!A1122/100),100),MOD(INT('월 가계부'!A1122),100)))=MOD(INT('월 가계부'!A1122/100),100),DATE(INT('월 가계부'!A1122/10000),MOD(INT('월 가계부'!A1122/100),100),MOD(INT('월 가계부'!A1122),100)),""),""),IF(AND('월 가계부'!A1122&gt;=36526,'월 가계부'!A1122&lt;73051),INT('월 가계부'!A1122),"")),IF(OR(CM1122="",CN1122="",CO1122=""),"",IF(AND(CM1122&gt;=2000,CM1122&lt;=2099,CN1122&gt;=1,CN1122&lt;=12,CO1122&gt;=1,CO1122&lt;=31),IF(MONTH(DATE(CM1122,CN1122,CO1122))=CN1122,DATE(CM1122,CN1122,CO1122),""),"")))),"")</f>
        <v/>
      </c>
      <c r="CJ1122">
        <f>IFERROR(IF('월 가계부'!C1122="","",IF(ISNUMBER('월 가계부'!C1122),'월 가계부'!C1122,VALUE(SUBSTITUTE(SUBSTITUTE(SUBSTITUTE(SUBSTITUTE(TRIM('월 가계부'!C1122),",",""),"원","")," ",""),"−","-")))),"")</f>
        <v/>
      </c>
      <c r="CK1122">
        <f>IF(ISNUMBER(CI1122),IF(CI1122&lt;$B$13,CI1122,""),"")</f>
        <v/>
      </c>
      <c r="CM1122">
        <f>IF(CH1122="","",IFERROR(IF(IF(AND(LEN(CH1122)=9,ISERROR(FIND("-",LEFT(CH1122,8))),ISNUMBER(-LEFT(CH1122,8))),VALUE(LEFT(CH1122,4)),VALUE(LEFT(CH1122,FIND("-",CH1122)-1)))&lt;100,IF(AND(LEN(CH1122)=9,ISERROR(FIND("-",LEFT(CH1122,8))),ISNUMBER(-LEFT(CH1122,8))),VALUE(LEFT(CH1122,4)),VALUE(LEFT(CH1122,FIND("-",CH1122)-1)))+2000,IF(AND(LEN(CH1122)=9,ISERROR(FIND("-",LEFT(CH1122,8))),ISNUMBER(-LEFT(CH1122,8))),VALUE(LEFT(CH1122,4)),VALUE(LEFT(CH1122,FIND("-",CH1122)-1)))),""))</f>
        <v/>
      </c>
      <c r="CN1122">
        <f>IF(CH1122="","",IFERROR(IF(AND(LEN(CH1122)=9,ISERROR(FIND("-",LEFT(CH1122,8))),ISNUMBER(-LEFT(CH1122,8))),VALUE(MID(CH1122,5,2)),VALUE(MID(CH1122,FIND("-",CH1122)+1,FIND("-",CH1122,FIND("-",CH1122)+1)-FIND("-",CH1122)-1))),""))</f>
        <v/>
      </c>
      <c r="CO1122">
        <f>IF(CH1122="","",IFERROR(IF(AND(LEN(CH1122)=9,ISERROR(FIND("-",LEFT(CH1122,8))),ISNUMBER(-LEFT(CH1122,8))),VALUE(MID(CH1122,7,2)),VALUE(MID(CH1122,FIND("-",CH1122,FIND("-",CH1122)+1)+1,FIND("-",CH1122,FIND("-",CH1122,FIND("-",CH1122)+1)+1)-FIND("-",CH1122,FIND("-",CH1122)+1)-1))),""))</f>
        <v/>
      </c>
    </row>
    <row r="1123">
      <c r="CH1123">
        <f>IF(ISTEXT('월 가계부'!A1123),SUBSTITUTE(SUBSTITUTE(SUBSTITUTE(SUBSTITUTE(SUBSTITUTE(SUBSTITUTE(SUBSTITUTE(SUBSTITUTE(SUBSTITUTE(TRIM('월 가계부'!A1123),"년","-"),"월","-"),"일",""),".","-"),"/","-")," ","-"),"--","-"),"--","-"),"--","-")&amp;"-","")</f>
        <v/>
      </c>
      <c r="CI1123">
        <f>IFERROR(IF('월 가계부'!A1123="","",IF(ISNUMBER('월 가계부'!A1123),IF(AND('월 가계부'!A1123&gt;=19000101,'월 가계부'!A1123&lt;=21001231),IF(AND(MOD(INT('월 가계부'!A1123/100),100)&gt;=1,MOD(INT('월 가계부'!A1123/100),100)&lt;=12,MOD(INT('월 가계부'!A1123),100)&gt;=1,MOD(INT('월 가계부'!A1123),100)&lt;=31),IF(MONTH(DATE(INT('월 가계부'!A1123/10000),MOD(INT('월 가계부'!A1123/100),100),MOD(INT('월 가계부'!A1123),100)))=MOD(INT('월 가계부'!A1123/100),100),DATE(INT('월 가계부'!A1123/10000),MOD(INT('월 가계부'!A1123/100),100),MOD(INT('월 가계부'!A1123),100)),""),""),IF(AND('월 가계부'!A1123&gt;=36526,'월 가계부'!A1123&lt;73051),INT('월 가계부'!A1123),"")),IF(OR(CM1123="",CN1123="",CO1123=""),"",IF(AND(CM1123&gt;=2000,CM1123&lt;=2099,CN1123&gt;=1,CN1123&lt;=12,CO1123&gt;=1,CO1123&lt;=31),IF(MONTH(DATE(CM1123,CN1123,CO1123))=CN1123,DATE(CM1123,CN1123,CO1123),""),"")))),"")</f>
        <v/>
      </c>
      <c r="CJ1123">
        <f>IFERROR(IF('월 가계부'!C1123="","",IF(ISNUMBER('월 가계부'!C1123),'월 가계부'!C1123,VALUE(SUBSTITUTE(SUBSTITUTE(SUBSTITUTE(SUBSTITUTE(TRIM('월 가계부'!C1123),",",""),"원","")," ",""),"−","-")))),"")</f>
        <v/>
      </c>
      <c r="CK1123">
        <f>IF(ISNUMBER(CI1123),IF(CI1123&lt;$B$13,CI1123,""),"")</f>
        <v/>
      </c>
      <c r="CM1123">
        <f>IF(CH1123="","",IFERROR(IF(IF(AND(LEN(CH1123)=9,ISERROR(FIND("-",LEFT(CH1123,8))),ISNUMBER(-LEFT(CH1123,8))),VALUE(LEFT(CH1123,4)),VALUE(LEFT(CH1123,FIND("-",CH1123)-1)))&lt;100,IF(AND(LEN(CH1123)=9,ISERROR(FIND("-",LEFT(CH1123,8))),ISNUMBER(-LEFT(CH1123,8))),VALUE(LEFT(CH1123,4)),VALUE(LEFT(CH1123,FIND("-",CH1123)-1)))+2000,IF(AND(LEN(CH1123)=9,ISERROR(FIND("-",LEFT(CH1123,8))),ISNUMBER(-LEFT(CH1123,8))),VALUE(LEFT(CH1123,4)),VALUE(LEFT(CH1123,FIND("-",CH1123)-1)))),""))</f>
        <v/>
      </c>
      <c r="CN1123">
        <f>IF(CH1123="","",IFERROR(IF(AND(LEN(CH1123)=9,ISERROR(FIND("-",LEFT(CH1123,8))),ISNUMBER(-LEFT(CH1123,8))),VALUE(MID(CH1123,5,2)),VALUE(MID(CH1123,FIND("-",CH1123)+1,FIND("-",CH1123,FIND("-",CH1123)+1)-FIND("-",CH1123)-1))),""))</f>
        <v/>
      </c>
      <c r="CO1123">
        <f>IF(CH1123="","",IFERROR(IF(AND(LEN(CH1123)=9,ISERROR(FIND("-",LEFT(CH1123,8))),ISNUMBER(-LEFT(CH1123,8))),VALUE(MID(CH1123,7,2)),VALUE(MID(CH1123,FIND("-",CH1123,FIND("-",CH1123)+1)+1,FIND("-",CH1123,FIND("-",CH1123,FIND("-",CH1123)+1)+1)-FIND("-",CH1123,FIND("-",CH1123)+1)-1))),""))</f>
        <v/>
      </c>
    </row>
    <row r="1124">
      <c r="CH1124">
        <f>IF(ISTEXT('월 가계부'!A1124),SUBSTITUTE(SUBSTITUTE(SUBSTITUTE(SUBSTITUTE(SUBSTITUTE(SUBSTITUTE(SUBSTITUTE(SUBSTITUTE(SUBSTITUTE(TRIM('월 가계부'!A1124),"년","-"),"월","-"),"일",""),".","-"),"/","-")," ","-"),"--","-"),"--","-"),"--","-")&amp;"-","")</f>
        <v/>
      </c>
      <c r="CI1124">
        <f>IFERROR(IF('월 가계부'!A1124="","",IF(ISNUMBER('월 가계부'!A1124),IF(AND('월 가계부'!A1124&gt;=19000101,'월 가계부'!A1124&lt;=21001231),IF(AND(MOD(INT('월 가계부'!A1124/100),100)&gt;=1,MOD(INT('월 가계부'!A1124/100),100)&lt;=12,MOD(INT('월 가계부'!A1124),100)&gt;=1,MOD(INT('월 가계부'!A1124),100)&lt;=31),IF(MONTH(DATE(INT('월 가계부'!A1124/10000),MOD(INT('월 가계부'!A1124/100),100),MOD(INT('월 가계부'!A1124),100)))=MOD(INT('월 가계부'!A1124/100),100),DATE(INT('월 가계부'!A1124/10000),MOD(INT('월 가계부'!A1124/100),100),MOD(INT('월 가계부'!A1124),100)),""),""),IF(AND('월 가계부'!A1124&gt;=36526,'월 가계부'!A1124&lt;73051),INT('월 가계부'!A1124),"")),IF(OR(CM1124="",CN1124="",CO1124=""),"",IF(AND(CM1124&gt;=2000,CM1124&lt;=2099,CN1124&gt;=1,CN1124&lt;=12,CO1124&gt;=1,CO1124&lt;=31),IF(MONTH(DATE(CM1124,CN1124,CO1124))=CN1124,DATE(CM1124,CN1124,CO1124),""),"")))),"")</f>
        <v/>
      </c>
      <c r="CJ1124">
        <f>IFERROR(IF('월 가계부'!C1124="","",IF(ISNUMBER('월 가계부'!C1124),'월 가계부'!C1124,VALUE(SUBSTITUTE(SUBSTITUTE(SUBSTITUTE(SUBSTITUTE(TRIM('월 가계부'!C1124),",",""),"원","")," ",""),"−","-")))),"")</f>
        <v/>
      </c>
      <c r="CK1124">
        <f>IF(ISNUMBER(CI1124),IF(CI1124&lt;$B$13,CI1124,""),"")</f>
        <v/>
      </c>
      <c r="CM1124">
        <f>IF(CH1124="","",IFERROR(IF(IF(AND(LEN(CH1124)=9,ISERROR(FIND("-",LEFT(CH1124,8))),ISNUMBER(-LEFT(CH1124,8))),VALUE(LEFT(CH1124,4)),VALUE(LEFT(CH1124,FIND("-",CH1124)-1)))&lt;100,IF(AND(LEN(CH1124)=9,ISERROR(FIND("-",LEFT(CH1124,8))),ISNUMBER(-LEFT(CH1124,8))),VALUE(LEFT(CH1124,4)),VALUE(LEFT(CH1124,FIND("-",CH1124)-1)))+2000,IF(AND(LEN(CH1124)=9,ISERROR(FIND("-",LEFT(CH1124,8))),ISNUMBER(-LEFT(CH1124,8))),VALUE(LEFT(CH1124,4)),VALUE(LEFT(CH1124,FIND("-",CH1124)-1)))),""))</f>
        <v/>
      </c>
      <c r="CN1124">
        <f>IF(CH1124="","",IFERROR(IF(AND(LEN(CH1124)=9,ISERROR(FIND("-",LEFT(CH1124,8))),ISNUMBER(-LEFT(CH1124,8))),VALUE(MID(CH1124,5,2)),VALUE(MID(CH1124,FIND("-",CH1124)+1,FIND("-",CH1124,FIND("-",CH1124)+1)-FIND("-",CH1124)-1))),""))</f>
        <v/>
      </c>
      <c r="CO1124">
        <f>IF(CH1124="","",IFERROR(IF(AND(LEN(CH1124)=9,ISERROR(FIND("-",LEFT(CH1124,8))),ISNUMBER(-LEFT(CH1124,8))),VALUE(MID(CH1124,7,2)),VALUE(MID(CH1124,FIND("-",CH1124,FIND("-",CH1124)+1)+1,FIND("-",CH1124,FIND("-",CH1124,FIND("-",CH1124)+1)+1)-FIND("-",CH1124,FIND("-",CH1124)+1)-1))),""))</f>
        <v/>
      </c>
    </row>
    <row r="1125">
      <c r="CH1125">
        <f>IF(ISTEXT('월 가계부'!A1125),SUBSTITUTE(SUBSTITUTE(SUBSTITUTE(SUBSTITUTE(SUBSTITUTE(SUBSTITUTE(SUBSTITUTE(SUBSTITUTE(SUBSTITUTE(TRIM('월 가계부'!A1125),"년","-"),"월","-"),"일",""),".","-"),"/","-")," ","-"),"--","-"),"--","-"),"--","-")&amp;"-","")</f>
        <v/>
      </c>
      <c r="CI1125">
        <f>IFERROR(IF('월 가계부'!A1125="","",IF(ISNUMBER('월 가계부'!A1125),IF(AND('월 가계부'!A1125&gt;=19000101,'월 가계부'!A1125&lt;=21001231),IF(AND(MOD(INT('월 가계부'!A1125/100),100)&gt;=1,MOD(INT('월 가계부'!A1125/100),100)&lt;=12,MOD(INT('월 가계부'!A1125),100)&gt;=1,MOD(INT('월 가계부'!A1125),100)&lt;=31),IF(MONTH(DATE(INT('월 가계부'!A1125/10000),MOD(INT('월 가계부'!A1125/100),100),MOD(INT('월 가계부'!A1125),100)))=MOD(INT('월 가계부'!A1125/100),100),DATE(INT('월 가계부'!A1125/10000),MOD(INT('월 가계부'!A1125/100),100),MOD(INT('월 가계부'!A1125),100)),""),""),IF(AND('월 가계부'!A1125&gt;=36526,'월 가계부'!A1125&lt;73051),INT('월 가계부'!A1125),"")),IF(OR(CM1125="",CN1125="",CO1125=""),"",IF(AND(CM1125&gt;=2000,CM1125&lt;=2099,CN1125&gt;=1,CN1125&lt;=12,CO1125&gt;=1,CO1125&lt;=31),IF(MONTH(DATE(CM1125,CN1125,CO1125))=CN1125,DATE(CM1125,CN1125,CO1125),""),"")))),"")</f>
        <v/>
      </c>
      <c r="CJ1125">
        <f>IFERROR(IF('월 가계부'!C1125="","",IF(ISNUMBER('월 가계부'!C1125),'월 가계부'!C1125,VALUE(SUBSTITUTE(SUBSTITUTE(SUBSTITUTE(SUBSTITUTE(TRIM('월 가계부'!C1125),",",""),"원","")," ",""),"−","-")))),"")</f>
        <v/>
      </c>
      <c r="CK1125">
        <f>IF(ISNUMBER(CI1125),IF(CI1125&lt;$B$13,CI1125,""),"")</f>
        <v/>
      </c>
      <c r="CM1125">
        <f>IF(CH1125="","",IFERROR(IF(IF(AND(LEN(CH1125)=9,ISERROR(FIND("-",LEFT(CH1125,8))),ISNUMBER(-LEFT(CH1125,8))),VALUE(LEFT(CH1125,4)),VALUE(LEFT(CH1125,FIND("-",CH1125)-1)))&lt;100,IF(AND(LEN(CH1125)=9,ISERROR(FIND("-",LEFT(CH1125,8))),ISNUMBER(-LEFT(CH1125,8))),VALUE(LEFT(CH1125,4)),VALUE(LEFT(CH1125,FIND("-",CH1125)-1)))+2000,IF(AND(LEN(CH1125)=9,ISERROR(FIND("-",LEFT(CH1125,8))),ISNUMBER(-LEFT(CH1125,8))),VALUE(LEFT(CH1125,4)),VALUE(LEFT(CH1125,FIND("-",CH1125)-1)))),""))</f>
        <v/>
      </c>
      <c r="CN1125">
        <f>IF(CH1125="","",IFERROR(IF(AND(LEN(CH1125)=9,ISERROR(FIND("-",LEFT(CH1125,8))),ISNUMBER(-LEFT(CH1125,8))),VALUE(MID(CH1125,5,2)),VALUE(MID(CH1125,FIND("-",CH1125)+1,FIND("-",CH1125,FIND("-",CH1125)+1)-FIND("-",CH1125)-1))),""))</f>
        <v/>
      </c>
      <c r="CO1125">
        <f>IF(CH1125="","",IFERROR(IF(AND(LEN(CH1125)=9,ISERROR(FIND("-",LEFT(CH1125,8))),ISNUMBER(-LEFT(CH1125,8))),VALUE(MID(CH1125,7,2)),VALUE(MID(CH1125,FIND("-",CH1125,FIND("-",CH1125)+1)+1,FIND("-",CH1125,FIND("-",CH1125,FIND("-",CH1125)+1)+1)-FIND("-",CH1125,FIND("-",CH1125)+1)-1))),""))</f>
        <v/>
      </c>
    </row>
    <row r="1126">
      <c r="CH1126">
        <f>IF(ISTEXT('월 가계부'!A1126),SUBSTITUTE(SUBSTITUTE(SUBSTITUTE(SUBSTITUTE(SUBSTITUTE(SUBSTITUTE(SUBSTITUTE(SUBSTITUTE(SUBSTITUTE(TRIM('월 가계부'!A1126),"년","-"),"월","-"),"일",""),".","-"),"/","-")," ","-"),"--","-"),"--","-"),"--","-")&amp;"-","")</f>
        <v/>
      </c>
      <c r="CI1126">
        <f>IFERROR(IF('월 가계부'!A1126="","",IF(ISNUMBER('월 가계부'!A1126),IF(AND('월 가계부'!A1126&gt;=19000101,'월 가계부'!A1126&lt;=21001231),IF(AND(MOD(INT('월 가계부'!A1126/100),100)&gt;=1,MOD(INT('월 가계부'!A1126/100),100)&lt;=12,MOD(INT('월 가계부'!A1126),100)&gt;=1,MOD(INT('월 가계부'!A1126),100)&lt;=31),IF(MONTH(DATE(INT('월 가계부'!A1126/10000),MOD(INT('월 가계부'!A1126/100),100),MOD(INT('월 가계부'!A1126),100)))=MOD(INT('월 가계부'!A1126/100),100),DATE(INT('월 가계부'!A1126/10000),MOD(INT('월 가계부'!A1126/100),100),MOD(INT('월 가계부'!A1126),100)),""),""),IF(AND('월 가계부'!A1126&gt;=36526,'월 가계부'!A1126&lt;73051),INT('월 가계부'!A1126),"")),IF(OR(CM1126="",CN1126="",CO1126=""),"",IF(AND(CM1126&gt;=2000,CM1126&lt;=2099,CN1126&gt;=1,CN1126&lt;=12,CO1126&gt;=1,CO1126&lt;=31),IF(MONTH(DATE(CM1126,CN1126,CO1126))=CN1126,DATE(CM1126,CN1126,CO1126),""),"")))),"")</f>
        <v/>
      </c>
      <c r="CJ1126">
        <f>IFERROR(IF('월 가계부'!C1126="","",IF(ISNUMBER('월 가계부'!C1126),'월 가계부'!C1126,VALUE(SUBSTITUTE(SUBSTITUTE(SUBSTITUTE(SUBSTITUTE(TRIM('월 가계부'!C1126),",",""),"원","")," ",""),"−","-")))),"")</f>
        <v/>
      </c>
      <c r="CK1126">
        <f>IF(ISNUMBER(CI1126),IF(CI1126&lt;$B$13,CI1126,""),"")</f>
        <v/>
      </c>
      <c r="CM1126">
        <f>IF(CH1126="","",IFERROR(IF(IF(AND(LEN(CH1126)=9,ISERROR(FIND("-",LEFT(CH1126,8))),ISNUMBER(-LEFT(CH1126,8))),VALUE(LEFT(CH1126,4)),VALUE(LEFT(CH1126,FIND("-",CH1126)-1)))&lt;100,IF(AND(LEN(CH1126)=9,ISERROR(FIND("-",LEFT(CH1126,8))),ISNUMBER(-LEFT(CH1126,8))),VALUE(LEFT(CH1126,4)),VALUE(LEFT(CH1126,FIND("-",CH1126)-1)))+2000,IF(AND(LEN(CH1126)=9,ISERROR(FIND("-",LEFT(CH1126,8))),ISNUMBER(-LEFT(CH1126,8))),VALUE(LEFT(CH1126,4)),VALUE(LEFT(CH1126,FIND("-",CH1126)-1)))),""))</f>
        <v/>
      </c>
      <c r="CN1126">
        <f>IF(CH1126="","",IFERROR(IF(AND(LEN(CH1126)=9,ISERROR(FIND("-",LEFT(CH1126,8))),ISNUMBER(-LEFT(CH1126,8))),VALUE(MID(CH1126,5,2)),VALUE(MID(CH1126,FIND("-",CH1126)+1,FIND("-",CH1126,FIND("-",CH1126)+1)-FIND("-",CH1126)-1))),""))</f>
        <v/>
      </c>
      <c r="CO1126">
        <f>IF(CH1126="","",IFERROR(IF(AND(LEN(CH1126)=9,ISERROR(FIND("-",LEFT(CH1126,8))),ISNUMBER(-LEFT(CH1126,8))),VALUE(MID(CH1126,7,2)),VALUE(MID(CH1126,FIND("-",CH1126,FIND("-",CH1126)+1)+1,FIND("-",CH1126,FIND("-",CH1126,FIND("-",CH1126)+1)+1)-FIND("-",CH1126,FIND("-",CH1126)+1)-1))),""))</f>
        <v/>
      </c>
    </row>
    <row r="1127">
      <c r="CH1127">
        <f>IF(ISTEXT('월 가계부'!A1127),SUBSTITUTE(SUBSTITUTE(SUBSTITUTE(SUBSTITUTE(SUBSTITUTE(SUBSTITUTE(SUBSTITUTE(SUBSTITUTE(SUBSTITUTE(TRIM('월 가계부'!A1127),"년","-"),"월","-"),"일",""),".","-"),"/","-")," ","-"),"--","-"),"--","-"),"--","-")&amp;"-","")</f>
        <v/>
      </c>
      <c r="CI1127">
        <f>IFERROR(IF('월 가계부'!A1127="","",IF(ISNUMBER('월 가계부'!A1127),IF(AND('월 가계부'!A1127&gt;=19000101,'월 가계부'!A1127&lt;=21001231),IF(AND(MOD(INT('월 가계부'!A1127/100),100)&gt;=1,MOD(INT('월 가계부'!A1127/100),100)&lt;=12,MOD(INT('월 가계부'!A1127),100)&gt;=1,MOD(INT('월 가계부'!A1127),100)&lt;=31),IF(MONTH(DATE(INT('월 가계부'!A1127/10000),MOD(INT('월 가계부'!A1127/100),100),MOD(INT('월 가계부'!A1127),100)))=MOD(INT('월 가계부'!A1127/100),100),DATE(INT('월 가계부'!A1127/10000),MOD(INT('월 가계부'!A1127/100),100),MOD(INT('월 가계부'!A1127),100)),""),""),IF(AND('월 가계부'!A1127&gt;=36526,'월 가계부'!A1127&lt;73051),INT('월 가계부'!A1127),"")),IF(OR(CM1127="",CN1127="",CO1127=""),"",IF(AND(CM1127&gt;=2000,CM1127&lt;=2099,CN1127&gt;=1,CN1127&lt;=12,CO1127&gt;=1,CO1127&lt;=31),IF(MONTH(DATE(CM1127,CN1127,CO1127))=CN1127,DATE(CM1127,CN1127,CO1127),""),"")))),"")</f>
        <v/>
      </c>
      <c r="CJ1127">
        <f>IFERROR(IF('월 가계부'!C1127="","",IF(ISNUMBER('월 가계부'!C1127),'월 가계부'!C1127,VALUE(SUBSTITUTE(SUBSTITUTE(SUBSTITUTE(SUBSTITUTE(TRIM('월 가계부'!C1127),",",""),"원","")," ",""),"−","-")))),"")</f>
        <v/>
      </c>
      <c r="CK1127">
        <f>IF(ISNUMBER(CI1127),IF(CI1127&lt;$B$13,CI1127,""),"")</f>
        <v/>
      </c>
      <c r="CM1127">
        <f>IF(CH1127="","",IFERROR(IF(IF(AND(LEN(CH1127)=9,ISERROR(FIND("-",LEFT(CH1127,8))),ISNUMBER(-LEFT(CH1127,8))),VALUE(LEFT(CH1127,4)),VALUE(LEFT(CH1127,FIND("-",CH1127)-1)))&lt;100,IF(AND(LEN(CH1127)=9,ISERROR(FIND("-",LEFT(CH1127,8))),ISNUMBER(-LEFT(CH1127,8))),VALUE(LEFT(CH1127,4)),VALUE(LEFT(CH1127,FIND("-",CH1127)-1)))+2000,IF(AND(LEN(CH1127)=9,ISERROR(FIND("-",LEFT(CH1127,8))),ISNUMBER(-LEFT(CH1127,8))),VALUE(LEFT(CH1127,4)),VALUE(LEFT(CH1127,FIND("-",CH1127)-1)))),""))</f>
        <v/>
      </c>
      <c r="CN1127">
        <f>IF(CH1127="","",IFERROR(IF(AND(LEN(CH1127)=9,ISERROR(FIND("-",LEFT(CH1127,8))),ISNUMBER(-LEFT(CH1127,8))),VALUE(MID(CH1127,5,2)),VALUE(MID(CH1127,FIND("-",CH1127)+1,FIND("-",CH1127,FIND("-",CH1127)+1)-FIND("-",CH1127)-1))),""))</f>
        <v/>
      </c>
      <c r="CO1127">
        <f>IF(CH1127="","",IFERROR(IF(AND(LEN(CH1127)=9,ISERROR(FIND("-",LEFT(CH1127,8))),ISNUMBER(-LEFT(CH1127,8))),VALUE(MID(CH1127,7,2)),VALUE(MID(CH1127,FIND("-",CH1127,FIND("-",CH1127)+1)+1,FIND("-",CH1127,FIND("-",CH1127,FIND("-",CH1127)+1)+1)-FIND("-",CH1127,FIND("-",CH1127)+1)-1))),""))</f>
        <v/>
      </c>
    </row>
    <row r="1128">
      <c r="CH1128">
        <f>IF(ISTEXT('월 가계부'!A1128),SUBSTITUTE(SUBSTITUTE(SUBSTITUTE(SUBSTITUTE(SUBSTITUTE(SUBSTITUTE(SUBSTITUTE(SUBSTITUTE(SUBSTITUTE(TRIM('월 가계부'!A1128),"년","-"),"월","-"),"일",""),".","-"),"/","-")," ","-"),"--","-"),"--","-"),"--","-")&amp;"-","")</f>
        <v/>
      </c>
      <c r="CI1128">
        <f>IFERROR(IF('월 가계부'!A1128="","",IF(ISNUMBER('월 가계부'!A1128),IF(AND('월 가계부'!A1128&gt;=19000101,'월 가계부'!A1128&lt;=21001231),IF(AND(MOD(INT('월 가계부'!A1128/100),100)&gt;=1,MOD(INT('월 가계부'!A1128/100),100)&lt;=12,MOD(INT('월 가계부'!A1128),100)&gt;=1,MOD(INT('월 가계부'!A1128),100)&lt;=31),IF(MONTH(DATE(INT('월 가계부'!A1128/10000),MOD(INT('월 가계부'!A1128/100),100),MOD(INT('월 가계부'!A1128),100)))=MOD(INT('월 가계부'!A1128/100),100),DATE(INT('월 가계부'!A1128/10000),MOD(INT('월 가계부'!A1128/100),100),MOD(INT('월 가계부'!A1128),100)),""),""),IF(AND('월 가계부'!A1128&gt;=36526,'월 가계부'!A1128&lt;73051),INT('월 가계부'!A1128),"")),IF(OR(CM1128="",CN1128="",CO1128=""),"",IF(AND(CM1128&gt;=2000,CM1128&lt;=2099,CN1128&gt;=1,CN1128&lt;=12,CO1128&gt;=1,CO1128&lt;=31),IF(MONTH(DATE(CM1128,CN1128,CO1128))=CN1128,DATE(CM1128,CN1128,CO1128),""),"")))),"")</f>
        <v/>
      </c>
      <c r="CJ1128">
        <f>IFERROR(IF('월 가계부'!C1128="","",IF(ISNUMBER('월 가계부'!C1128),'월 가계부'!C1128,VALUE(SUBSTITUTE(SUBSTITUTE(SUBSTITUTE(SUBSTITUTE(TRIM('월 가계부'!C1128),",",""),"원","")," ",""),"−","-")))),"")</f>
        <v/>
      </c>
      <c r="CK1128">
        <f>IF(ISNUMBER(CI1128),IF(CI1128&lt;$B$13,CI1128,""),"")</f>
        <v/>
      </c>
      <c r="CM1128">
        <f>IF(CH1128="","",IFERROR(IF(IF(AND(LEN(CH1128)=9,ISERROR(FIND("-",LEFT(CH1128,8))),ISNUMBER(-LEFT(CH1128,8))),VALUE(LEFT(CH1128,4)),VALUE(LEFT(CH1128,FIND("-",CH1128)-1)))&lt;100,IF(AND(LEN(CH1128)=9,ISERROR(FIND("-",LEFT(CH1128,8))),ISNUMBER(-LEFT(CH1128,8))),VALUE(LEFT(CH1128,4)),VALUE(LEFT(CH1128,FIND("-",CH1128)-1)))+2000,IF(AND(LEN(CH1128)=9,ISERROR(FIND("-",LEFT(CH1128,8))),ISNUMBER(-LEFT(CH1128,8))),VALUE(LEFT(CH1128,4)),VALUE(LEFT(CH1128,FIND("-",CH1128)-1)))),""))</f>
        <v/>
      </c>
      <c r="CN1128">
        <f>IF(CH1128="","",IFERROR(IF(AND(LEN(CH1128)=9,ISERROR(FIND("-",LEFT(CH1128,8))),ISNUMBER(-LEFT(CH1128,8))),VALUE(MID(CH1128,5,2)),VALUE(MID(CH1128,FIND("-",CH1128)+1,FIND("-",CH1128,FIND("-",CH1128)+1)-FIND("-",CH1128)-1))),""))</f>
        <v/>
      </c>
      <c r="CO1128">
        <f>IF(CH1128="","",IFERROR(IF(AND(LEN(CH1128)=9,ISERROR(FIND("-",LEFT(CH1128,8))),ISNUMBER(-LEFT(CH1128,8))),VALUE(MID(CH1128,7,2)),VALUE(MID(CH1128,FIND("-",CH1128,FIND("-",CH1128)+1)+1,FIND("-",CH1128,FIND("-",CH1128,FIND("-",CH1128)+1)+1)-FIND("-",CH1128,FIND("-",CH1128)+1)-1))),""))</f>
        <v/>
      </c>
    </row>
    <row r="1129">
      <c r="CH1129">
        <f>IF(ISTEXT('월 가계부'!A1129),SUBSTITUTE(SUBSTITUTE(SUBSTITUTE(SUBSTITUTE(SUBSTITUTE(SUBSTITUTE(SUBSTITUTE(SUBSTITUTE(SUBSTITUTE(TRIM('월 가계부'!A1129),"년","-"),"월","-"),"일",""),".","-"),"/","-")," ","-"),"--","-"),"--","-"),"--","-")&amp;"-","")</f>
        <v/>
      </c>
      <c r="CI1129">
        <f>IFERROR(IF('월 가계부'!A1129="","",IF(ISNUMBER('월 가계부'!A1129),IF(AND('월 가계부'!A1129&gt;=19000101,'월 가계부'!A1129&lt;=21001231),IF(AND(MOD(INT('월 가계부'!A1129/100),100)&gt;=1,MOD(INT('월 가계부'!A1129/100),100)&lt;=12,MOD(INT('월 가계부'!A1129),100)&gt;=1,MOD(INT('월 가계부'!A1129),100)&lt;=31),IF(MONTH(DATE(INT('월 가계부'!A1129/10000),MOD(INT('월 가계부'!A1129/100),100),MOD(INT('월 가계부'!A1129),100)))=MOD(INT('월 가계부'!A1129/100),100),DATE(INT('월 가계부'!A1129/10000),MOD(INT('월 가계부'!A1129/100),100),MOD(INT('월 가계부'!A1129),100)),""),""),IF(AND('월 가계부'!A1129&gt;=36526,'월 가계부'!A1129&lt;73051),INT('월 가계부'!A1129),"")),IF(OR(CM1129="",CN1129="",CO1129=""),"",IF(AND(CM1129&gt;=2000,CM1129&lt;=2099,CN1129&gt;=1,CN1129&lt;=12,CO1129&gt;=1,CO1129&lt;=31),IF(MONTH(DATE(CM1129,CN1129,CO1129))=CN1129,DATE(CM1129,CN1129,CO1129),""),"")))),"")</f>
        <v/>
      </c>
      <c r="CJ1129">
        <f>IFERROR(IF('월 가계부'!C1129="","",IF(ISNUMBER('월 가계부'!C1129),'월 가계부'!C1129,VALUE(SUBSTITUTE(SUBSTITUTE(SUBSTITUTE(SUBSTITUTE(TRIM('월 가계부'!C1129),",",""),"원","")," ",""),"−","-")))),"")</f>
        <v/>
      </c>
      <c r="CK1129">
        <f>IF(ISNUMBER(CI1129),IF(CI1129&lt;$B$13,CI1129,""),"")</f>
        <v/>
      </c>
      <c r="CM1129">
        <f>IF(CH1129="","",IFERROR(IF(IF(AND(LEN(CH1129)=9,ISERROR(FIND("-",LEFT(CH1129,8))),ISNUMBER(-LEFT(CH1129,8))),VALUE(LEFT(CH1129,4)),VALUE(LEFT(CH1129,FIND("-",CH1129)-1)))&lt;100,IF(AND(LEN(CH1129)=9,ISERROR(FIND("-",LEFT(CH1129,8))),ISNUMBER(-LEFT(CH1129,8))),VALUE(LEFT(CH1129,4)),VALUE(LEFT(CH1129,FIND("-",CH1129)-1)))+2000,IF(AND(LEN(CH1129)=9,ISERROR(FIND("-",LEFT(CH1129,8))),ISNUMBER(-LEFT(CH1129,8))),VALUE(LEFT(CH1129,4)),VALUE(LEFT(CH1129,FIND("-",CH1129)-1)))),""))</f>
        <v/>
      </c>
      <c r="CN1129">
        <f>IF(CH1129="","",IFERROR(IF(AND(LEN(CH1129)=9,ISERROR(FIND("-",LEFT(CH1129,8))),ISNUMBER(-LEFT(CH1129,8))),VALUE(MID(CH1129,5,2)),VALUE(MID(CH1129,FIND("-",CH1129)+1,FIND("-",CH1129,FIND("-",CH1129)+1)-FIND("-",CH1129)-1))),""))</f>
        <v/>
      </c>
      <c r="CO1129">
        <f>IF(CH1129="","",IFERROR(IF(AND(LEN(CH1129)=9,ISERROR(FIND("-",LEFT(CH1129,8))),ISNUMBER(-LEFT(CH1129,8))),VALUE(MID(CH1129,7,2)),VALUE(MID(CH1129,FIND("-",CH1129,FIND("-",CH1129)+1)+1,FIND("-",CH1129,FIND("-",CH1129,FIND("-",CH1129)+1)+1)-FIND("-",CH1129,FIND("-",CH1129)+1)-1))),""))</f>
        <v/>
      </c>
    </row>
    <row r="1130">
      <c r="CH1130">
        <f>IF(ISTEXT('월 가계부'!A1130),SUBSTITUTE(SUBSTITUTE(SUBSTITUTE(SUBSTITUTE(SUBSTITUTE(SUBSTITUTE(SUBSTITUTE(SUBSTITUTE(SUBSTITUTE(TRIM('월 가계부'!A1130),"년","-"),"월","-"),"일",""),".","-"),"/","-")," ","-"),"--","-"),"--","-"),"--","-")&amp;"-","")</f>
        <v/>
      </c>
      <c r="CI1130">
        <f>IFERROR(IF('월 가계부'!A1130="","",IF(ISNUMBER('월 가계부'!A1130),IF(AND('월 가계부'!A1130&gt;=19000101,'월 가계부'!A1130&lt;=21001231),IF(AND(MOD(INT('월 가계부'!A1130/100),100)&gt;=1,MOD(INT('월 가계부'!A1130/100),100)&lt;=12,MOD(INT('월 가계부'!A1130),100)&gt;=1,MOD(INT('월 가계부'!A1130),100)&lt;=31),IF(MONTH(DATE(INT('월 가계부'!A1130/10000),MOD(INT('월 가계부'!A1130/100),100),MOD(INT('월 가계부'!A1130),100)))=MOD(INT('월 가계부'!A1130/100),100),DATE(INT('월 가계부'!A1130/10000),MOD(INT('월 가계부'!A1130/100),100),MOD(INT('월 가계부'!A1130),100)),""),""),IF(AND('월 가계부'!A1130&gt;=36526,'월 가계부'!A1130&lt;73051),INT('월 가계부'!A1130),"")),IF(OR(CM1130="",CN1130="",CO1130=""),"",IF(AND(CM1130&gt;=2000,CM1130&lt;=2099,CN1130&gt;=1,CN1130&lt;=12,CO1130&gt;=1,CO1130&lt;=31),IF(MONTH(DATE(CM1130,CN1130,CO1130))=CN1130,DATE(CM1130,CN1130,CO1130),""),"")))),"")</f>
        <v/>
      </c>
      <c r="CJ1130">
        <f>IFERROR(IF('월 가계부'!C1130="","",IF(ISNUMBER('월 가계부'!C1130),'월 가계부'!C1130,VALUE(SUBSTITUTE(SUBSTITUTE(SUBSTITUTE(SUBSTITUTE(TRIM('월 가계부'!C1130),",",""),"원","")," ",""),"−","-")))),"")</f>
        <v/>
      </c>
      <c r="CK1130">
        <f>IF(ISNUMBER(CI1130),IF(CI1130&lt;$B$13,CI1130,""),"")</f>
        <v/>
      </c>
      <c r="CM1130">
        <f>IF(CH1130="","",IFERROR(IF(IF(AND(LEN(CH1130)=9,ISERROR(FIND("-",LEFT(CH1130,8))),ISNUMBER(-LEFT(CH1130,8))),VALUE(LEFT(CH1130,4)),VALUE(LEFT(CH1130,FIND("-",CH1130)-1)))&lt;100,IF(AND(LEN(CH1130)=9,ISERROR(FIND("-",LEFT(CH1130,8))),ISNUMBER(-LEFT(CH1130,8))),VALUE(LEFT(CH1130,4)),VALUE(LEFT(CH1130,FIND("-",CH1130)-1)))+2000,IF(AND(LEN(CH1130)=9,ISERROR(FIND("-",LEFT(CH1130,8))),ISNUMBER(-LEFT(CH1130,8))),VALUE(LEFT(CH1130,4)),VALUE(LEFT(CH1130,FIND("-",CH1130)-1)))),""))</f>
        <v/>
      </c>
      <c r="CN1130">
        <f>IF(CH1130="","",IFERROR(IF(AND(LEN(CH1130)=9,ISERROR(FIND("-",LEFT(CH1130,8))),ISNUMBER(-LEFT(CH1130,8))),VALUE(MID(CH1130,5,2)),VALUE(MID(CH1130,FIND("-",CH1130)+1,FIND("-",CH1130,FIND("-",CH1130)+1)-FIND("-",CH1130)-1))),""))</f>
        <v/>
      </c>
      <c r="CO1130">
        <f>IF(CH1130="","",IFERROR(IF(AND(LEN(CH1130)=9,ISERROR(FIND("-",LEFT(CH1130,8))),ISNUMBER(-LEFT(CH1130,8))),VALUE(MID(CH1130,7,2)),VALUE(MID(CH1130,FIND("-",CH1130,FIND("-",CH1130)+1)+1,FIND("-",CH1130,FIND("-",CH1130,FIND("-",CH1130)+1)+1)-FIND("-",CH1130,FIND("-",CH1130)+1)-1))),""))</f>
        <v/>
      </c>
    </row>
    <row r="1131">
      <c r="CH1131">
        <f>IF(ISTEXT('월 가계부'!A1131),SUBSTITUTE(SUBSTITUTE(SUBSTITUTE(SUBSTITUTE(SUBSTITUTE(SUBSTITUTE(SUBSTITUTE(SUBSTITUTE(SUBSTITUTE(TRIM('월 가계부'!A1131),"년","-"),"월","-"),"일",""),".","-"),"/","-")," ","-"),"--","-"),"--","-"),"--","-")&amp;"-","")</f>
        <v/>
      </c>
      <c r="CI1131">
        <f>IFERROR(IF('월 가계부'!A1131="","",IF(ISNUMBER('월 가계부'!A1131),IF(AND('월 가계부'!A1131&gt;=19000101,'월 가계부'!A1131&lt;=21001231),IF(AND(MOD(INT('월 가계부'!A1131/100),100)&gt;=1,MOD(INT('월 가계부'!A1131/100),100)&lt;=12,MOD(INT('월 가계부'!A1131),100)&gt;=1,MOD(INT('월 가계부'!A1131),100)&lt;=31),IF(MONTH(DATE(INT('월 가계부'!A1131/10000),MOD(INT('월 가계부'!A1131/100),100),MOD(INT('월 가계부'!A1131),100)))=MOD(INT('월 가계부'!A1131/100),100),DATE(INT('월 가계부'!A1131/10000),MOD(INT('월 가계부'!A1131/100),100),MOD(INT('월 가계부'!A1131),100)),""),""),IF(AND('월 가계부'!A1131&gt;=36526,'월 가계부'!A1131&lt;73051),INT('월 가계부'!A1131),"")),IF(OR(CM1131="",CN1131="",CO1131=""),"",IF(AND(CM1131&gt;=2000,CM1131&lt;=2099,CN1131&gt;=1,CN1131&lt;=12,CO1131&gt;=1,CO1131&lt;=31),IF(MONTH(DATE(CM1131,CN1131,CO1131))=CN1131,DATE(CM1131,CN1131,CO1131),""),"")))),"")</f>
        <v/>
      </c>
      <c r="CJ1131">
        <f>IFERROR(IF('월 가계부'!C1131="","",IF(ISNUMBER('월 가계부'!C1131),'월 가계부'!C1131,VALUE(SUBSTITUTE(SUBSTITUTE(SUBSTITUTE(SUBSTITUTE(TRIM('월 가계부'!C1131),",",""),"원","")," ",""),"−","-")))),"")</f>
        <v/>
      </c>
      <c r="CK1131">
        <f>IF(ISNUMBER(CI1131),IF(CI1131&lt;$B$13,CI1131,""),"")</f>
        <v/>
      </c>
      <c r="CM1131">
        <f>IF(CH1131="","",IFERROR(IF(IF(AND(LEN(CH1131)=9,ISERROR(FIND("-",LEFT(CH1131,8))),ISNUMBER(-LEFT(CH1131,8))),VALUE(LEFT(CH1131,4)),VALUE(LEFT(CH1131,FIND("-",CH1131)-1)))&lt;100,IF(AND(LEN(CH1131)=9,ISERROR(FIND("-",LEFT(CH1131,8))),ISNUMBER(-LEFT(CH1131,8))),VALUE(LEFT(CH1131,4)),VALUE(LEFT(CH1131,FIND("-",CH1131)-1)))+2000,IF(AND(LEN(CH1131)=9,ISERROR(FIND("-",LEFT(CH1131,8))),ISNUMBER(-LEFT(CH1131,8))),VALUE(LEFT(CH1131,4)),VALUE(LEFT(CH1131,FIND("-",CH1131)-1)))),""))</f>
        <v/>
      </c>
      <c r="CN1131">
        <f>IF(CH1131="","",IFERROR(IF(AND(LEN(CH1131)=9,ISERROR(FIND("-",LEFT(CH1131,8))),ISNUMBER(-LEFT(CH1131,8))),VALUE(MID(CH1131,5,2)),VALUE(MID(CH1131,FIND("-",CH1131)+1,FIND("-",CH1131,FIND("-",CH1131)+1)-FIND("-",CH1131)-1))),""))</f>
        <v/>
      </c>
      <c r="CO1131">
        <f>IF(CH1131="","",IFERROR(IF(AND(LEN(CH1131)=9,ISERROR(FIND("-",LEFT(CH1131,8))),ISNUMBER(-LEFT(CH1131,8))),VALUE(MID(CH1131,7,2)),VALUE(MID(CH1131,FIND("-",CH1131,FIND("-",CH1131)+1)+1,FIND("-",CH1131,FIND("-",CH1131,FIND("-",CH1131)+1)+1)-FIND("-",CH1131,FIND("-",CH1131)+1)-1))),""))</f>
        <v/>
      </c>
    </row>
    <row r="1132">
      <c r="CH1132">
        <f>IF(ISTEXT('월 가계부'!A1132),SUBSTITUTE(SUBSTITUTE(SUBSTITUTE(SUBSTITUTE(SUBSTITUTE(SUBSTITUTE(SUBSTITUTE(SUBSTITUTE(SUBSTITUTE(TRIM('월 가계부'!A1132),"년","-"),"월","-"),"일",""),".","-"),"/","-")," ","-"),"--","-"),"--","-"),"--","-")&amp;"-","")</f>
        <v/>
      </c>
      <c r="CI1132">
        <f>IFERROR(IF('월 가계부'!A1132="","",IF(ISNUMBER('월 가계부'!A1132),IF(AND('월 가계부'!A1132&gt;=19000101,'월 가계부'!A1132&lt;=21001231),IF(AND(MOD(INT('월 가계부'!A1132/100),100)&gt;=1,MOD(INT('월 가계부'!A1132/100),100)&lt;=12,MOD(INT('월 가계부'!A1132),100)&gt;=1,MOD(INT('월 가계부'!A1132),100)&lt;=31),IF(MONTH(DATE(INT('월 가계부'!A1132/10000),MOD(INT('월 가계부'!A1132/100),100),MOD(INT('월 가계부'!A1132),100)))=MOD(INT('월 가계부'!A1132/100),100),DATE(INT('월 가계부'!A1132/10000),MOD(INT('월 가계부'!A1132/100),100),MOD(INT('월 가계부'!A1132),100)),""),""),IF(AND('월 가계부'!A1132&gt;=36526,'월 가계부'!A1132&lt;73051),INT('월 가계부'!A1132),"")),IF(OR(CM1132="",CN1132="",CO1132=""),"",IF(AND(CM1132&gt;=2000,CM1132&lt;=2099,CN1132&gt;=1,CN1132&lt;=12,CO1132&gt;=1,CO1132&lt;=31),IF(MONTH(DATE(CM1132,CN1132,CO1132))=CN1132,DATE(CM1132,CN1132,CO1132),""),"")))),"")</f>
        <v/>
      </c>
      <c r="CJ1132">
        <f>IFERROR(IF('월 가계부'!C1132="","",IF(ISNUMBER('월 가계부'!C1132),'월 가계부'!C1132,VALUE(SUBSTITUTE(SUBSTITUTE(SUBSTITUTE(SUBSTITUTE(TRIM('월 가계부'!C1132),",",""),"원","")," ",""),"−","-")))),"")</f>
        <v/>
      </c>
      <c r="CK1132">
        <f>IF(ISNUMBER(CI1132),IF(CI1132&lt;$B$13,CI1132,""),"")</f>
        <v/>
      </c>
      <c r="CM1132">
        <f>IF(CH1132="","",IFERROR(IF(IF(AND(LEN(CH1132)=9,ISERROR(FIND("-",LEFT(CH1132,8))),ISNUMBER(-LEFT(CH1132,8))),VALUE(LEFT(CH1132,4)),VALUE(LEFT(CH1132,FIND("-",CH1132)-1)))&lt;100,IF(AND(LEN(CH1132)=9,ISERROR(FIND("-",LEFT(CH1132,8))),ISNUMBER(-LEFT(CH1132,8))),VALUE(LEFT(CH1132,4)),VALUE(LEFT(CH1132,FIND("-",CH1132)-1)))+2000,IF(AND(LEN(CH1132)=9,ISERROR(FIND("-",LEFT(CH1132,8))),ISNUMBER(-LEFT(CH1132,8))),VALUE(LEFT(CH1132,4)),VALUE(LEFT(CH1132,FIND("-",CH1132)-1)))),""))</f>
        <v/>
      </c>
      <c r="CN1132">
        <f>IF(CH1132="","",IFERROR(IF(AND(LEN(CH1132)=9,ISERROR(FIND("-",LEFT(CH1132,8))),ISNUMBER(-LEFT(CH1132,8))),VALUE(MID(CH1132,5,2)),VALUE(MID(CH1132,FIND("-",CH1132)+1,FIND("-",CH1132,FIND("-",CH1132)+1)-FIND("-",CH1132)-1))),""))</f>
        <v/>
      </c>
      <c r="CO1132">
        <f>IF(CH1132="","",IFERROR(IF(AND(LEN(CH1132)=9,ISERROR(FIND("-",LEFT(CH1132,8))),ISNUMBER(-LEFT(CH1132,8))),VALUE(MID(CH1132,7,2)),VALUE(MID(CH1132,FIND("-",CH1132,FIND("-",CH1132)+1)+1,FIND("-",CH1132,FIND("-",CH1132,FIND("-",CH1132)+1)+1)-FIND("-",CH1132,FIND("-",CH1132)+1)-1))),""))</f>
        <v/>
      </c>
    </row>
    <row r="1133">
      <c r="CH1133">
        <f>IF(ISTEXT('월 가계부'!A1133),SUBSTITUTE(SUBSTITUTE(SUBSTITUTE(SUBSTITUTE(SUBSTITUTE(SUBSTITUTE(SUBSTITUTE(SUBSTITUTE(SUBSTITUTE(TRIM('월 가계부'!A1133),"년","-"),"월","-"),"일",""),".","-"),"/","-")," ","-"),"--","-"),"--","-"),"--","-")&amp;"-","")</f>
        <v/>
      </c>
      <c r="CI1133">
        <f>IFERROR(IF('월 가계부'!A1133="","",IF(ISNUMBER('월 가계부'!A1133),IF(AND('월 가계부'!A1133&gt;=19000101,'월 가계부'!A1133&lt;=21001231),IF(AND(MOD(INT('월 가계부'!A1133/100),100)&gt;=1,MOD(INT('월 가계부'!A1133/100),100)&lt;=12,MOD(INT('월 가계부'!A1133),100)&gt;=1,MOD(INT('월 가계부'!A1133),100)&lt;=31),IF(MONTH(DATE(INT('월 가계부'!A1133/10000),MOD(INT('월 가계부'!A1133/100),100),MOD(INT('월 가계부'!A1133),100)))=MOD(INT('월 가계부'!A1133/100),100),DATE(INT('월 가계부'!A1133/10000),MOD(INT('월 가계부'!A1133/100),100),MOD(INT('월 가계부'!A1133),100)),""),""),IF(AND('월 가계부'!A1133&gt;=36526,'월 가계부'!A1133&lt;73051),INT('월 가계부'!A1133),"")),IF(OR(CM1133="",CN1133="",CO1133=""),"",IF(AND(CM1133&gt;=2000,CM1133&lt;=2099,CN1133&gt;=1,CN1133&lt;=12,CO1133&gt;=1,CO1133&lt;=31),IF(MONTH(DATE(CM1133,CN1133,CO1133))=CN1133,DATE(CM1133,CN1133,CO1133),""),"")))),"")</f>
        <v/>
      </c>
      <c r="CJ1133">
        <f>IFERROR(IF('월 가계부'!C1133="","",IF(ISNUMBER('월 가계부'!C1133),'월 가계부'!C1133,VALUE(SUBSTITUTE(SUBSTITUTE(SUBSTITUTE(SUBSTITUTE(TRIM('월 가계부'!C1133),",",""),"원","")," ",""),"−","-")))),"")</f>
        <v/>
      </c>
      <c r="CK1133">
        <f>IF(ISNUMBER(CI1133),IF(CI1133&lt;$B$13,CI1133,""),"")</f>
        <v/>
      </c>
      <c r="CM1133">
        <f>IF(CH1133="","",IFERROR(IF(IF(AND(LEN(CH1133)=9,ISERROR(FIND("-",LEFT(CH1133,8))),ISNUMBER(-LEFT(CH1133,8))),VALUE(LEFT(CH1133,4)),VALUE(LEFT(CH1133,FIND("-",CH1133)-1)))&lt;100,IF(AND(LEN(CH1133)=9,ISERROR(FIND("-",LEFT(CH1133,8))),ISNUMBER(-LEFT(CH1133,8))),VALUE(LEFT(CH1133,4)),VALUE(LEFT(CH1133,FIND("-",CH1133)-1)))+2000,IF(AND(LEN(CH1133)=9,ISERROR(FIND("-",LEFT(CH1133,8))),ISNUMBER(-LEFT(CH1133,8))),VALUE(LEFT(CH1133,4)),VALUE(LEFT(CH1133,FIND("-",CH1133)-1)))),""))</f>
        <v/>
      </c>
      <c r="CN1133">
        <f>IF(CH1133="","",IFERROR(IF(AND(LEN(CH1133)=9,ISERROR(FIND("-",LEFT(CH1133,8))),ISNUMBER(-LEFT(CH1133,8))),VALUE(MID(CH1133,5,2)),VALUE(MID(CH1133,FIND("-",CH1133)+1,FIND("-",CH1133,FIND("-",CH1133)+1)-FIND("-",CH1133)-1))),""))</f>
        <v/>
      </c>
      <c r="CO1133">
        <f>IF(CH1133="","",IFERROR(IF(AND(LEN(CH1133)=9,ISERROR(FIND("-",LEFT(CH1133,8))),ISNUMBER(-LEFT(CH1133,8))),VALUE(MID(CH1133,7,2)),VALUE(MID(CH1133,FIND("-",CH1133,FIND("-",CH1133)+1)+1,FIND("-",CH1133,FIND("-",CH1133,FIND("-",CH1133)+1)+1)-FIND("-",CH1133,FIND("-",CH1133)+1)-1))),""))</f>
        <v/>
      </c>
    </row>
    <row r="1134">
      <c r="CH1134">
        <f>IF(ISTEXT('월 가계부'!A1134),SUBSTITUTE(SUBSTITUTE(SUBSTITUTE(SUBSTITUTE(SUBSTITUTE(SUBSTITUTE(SUBSTITUTE(SUBSTITUTE(SUBSTITUTE(TRIM('월 가계부'!A1134),"년","-"),"월","-"),"일",""),".","-"),"/","-")," ","-"),"--","-"),"--","-"),"--","-")&amp;"-","")</f>
        <v/>
      </c>
      <c r="CI1134">
        <f>IFERROR(IF('월 가계부'!A1134="","",IF(ISNUMBER('월 가계부'!A1134),IF(AND('월 가계부'!A1134&gt;=19000101,'월 가계부'!A1134&lt;=21001231),IF(AND(MOD(INT('월 가계부'!A1134/100),100)&gt;=1,MOD(INT('월 가계부'!A1134/100),100)&lt;=12,MOD(INT('월 가계부'!A1134),100)&gt;=1,MOD(INT('월 가계부'!A1134),100)&lt;=31),IF(MONTH(DATE(INT('월 가계부'!A1134/10000),MOD(INT('월 가계부'!A1134/100),100),MOD(INT('월 가계부'!A1134),100)))=MOD(INT('월 가계부'!A1134/100),100),DATE(INT('월 가계부'!A1134/10000),MOD(INT('월 가계부'!A1134/100),100),MOD(INT('월 가계부'!A1134),100)),""),""),IF(AND('월 가계부'!A1134&gt;=36526,'월 가계부'!A1134&lt;73051),INT('월 가계부'!A1134),"")),IF(OR(CM1134="",CN1134="",CO1134=""),"",IF(AND(CM1134&gt;=2000,CM1134&lt;=2099,CN1134&gt;=1,CN1134&lt;=12,CO1134&gt;=1,CO1134&lt;=31),IF(MONTH(DATE(CM1134,CN1134,CO1134))=CN1134,DATE(CM1134,CN1134,CO1134),""),"")))),"")</f>
        <v/>
      </c>
      <c r="CJ1134">
        <f>IFERROR(IF('월 가계부'!C1134="","",IF(ISNUMBER('월 가계부'!C1134),'월 가계부'!C1134,VALUE(SUBSTITUTE(SUBSTITUTE(SUBSTITUTE(SUBSTITUTE(TRIM('월 가계부'!C1134),",",""),"원","")," ",""),"−","-")))),"")</f>
        <v/>
      </c>
      <c r="CK1134">
        <f>IF(ISNUMBER(CI1134),IF(CI1134&lt;$B$13,CI1134,""),"")</f>
        <v/>
      </c>
      <c r="CM1134">
        <f>IF(CH1134="","",IFERROR(IF(IF(AND(LEN(CH1134)=9,ISERROR(FIND("-",LEFT(CH1134,8))),ISNUMBER(-LEFT(CH1134,8))),VALUE(LEFT(CH1134,4)),VALUE(LEFT(CH1134,FIND("-",CH1134)-1)))&lt;100,IF(AND(LEN(CH1134)=9,ISERROR(FIND("-",LEFT(CH1134,8))),ISNUMBER(-LEFT(CH1134,8))),VALUE(LEFT(CH1134,4)),VALUE(LEFT(CH1134,FIND("-",CH1134)-1)))+2000,IF(AND(LEN(CH1134)=9,ISERROR(FIND("-",LEFT(CH1134,8))),ISNUMBER(-LEFT(CH1134,8))),VALUE(LEFT(CH1134,4)),VALUE(LEFT(CH1134,FIND("-",CH1134)-1)))),""))</f>
        <v/>
      </c>
      <c r="CN1134">
        <f>IF(CH1134="","",IFERROR(IF(AND(LEN(CH1134)=9,ISERROR(FIND("-",LEFT(CH1134,8))),ISNUMBER(-LEFT(CH1134,8))),VALUE(MID(CH1134,5,2)),VALUE(MID(CH1134,FIND("-",CH1134)+1,FIND("-",CH1134,FIND("-",CH1134)+1)-FIND("-",CH1134)-1))),""))</f>
        <v/>
      </c>
      <c r="CO1134">
        <f>IF(CH1134="","",IFERROR(IF(AND(LEN(CH1134)=9,ISERROR(FIND("-",LEFT(CH1134,8))),ISNUMBER(-LEFT(CH1134,8))),VALUE(MID(CH1134,7,2)),VALUE(MID(CH1134,FIND("-",CH1134,FIND("-",CH1134)+1)+1,FIND("-",CH1134,FIND("-",CH1134,FIND("-",CH1134)+1)+1)-FIND("-",CH1134,FIND("-",CH1134)+1)-1))),""))</f>
        <v/>
      </c>
    </row>
    <row r="1135">
      <c r="CH1135">
        <f>IF(ISTEXT('월 가계부'!A1135),SUBSTITUTE(SUBSTITUTE(SUBSTITUTE(SUBSTITUTE(SUBSTITUTE(SUBSTITUTE(SUBSTITUTE(SUBSTITUTE(SUBSTITUTE(TRIM('월 가계부'!A1135),"년","-"),"월","-"),"일",""),".","-"),"/","-")," ","-"),"--","-"),"--","-"),"--","-")&amp;"-","")</f>
        <v/>
      </c>
      <c r="CI1135">
        <f>IFERROR(IF('월 가계부'!A1135="","",IF(ISNUMBER('월 가계부'!A1135),IF(AND('월 가계부'!A1135&gt;=19000101,'월 가계부'!A1135&lt;=21001231),IF(AND(MOD(INT('월 가계부'!A1135/100),100)&gt;=1,MOD(INT('월 가계부'!A1135/100),100)&lt;=12,MOD(INT('월 가계부'!A1135),100)&gt;=1,MOD(INT('월 가계부'!A1135),100)&lt;=31),IF(MONTH(DATE(INT('월 가계부'!A1135/10000),MOD(INT('월 가계부'!A1135/100),100),MOD(INT('월 가계부'!A1135),100)))=MOD(INT('월 가계부'!A1135/100),100),DATE(INT('월 가계부'!A1135/10000),MOD(INT('월 가계부'!A1135/100),100),MOD(INT('월 가계부'!A1135),100)),""),""),IF(AND('월 가계부'!A1135&gt;=36526,'월 가계부'!A1135&lt;73051),INT('월 가계부'!A1135),"")),IF(OR(CM1135="",CN1135="",CO1135=""),"",IF(AND(CM1135&gt;=2000,CM1135&lt;=2099,CN1135&gt;=1,CN1135&lt;=12,CO1135&gt;=1,CO1135&lt;=31),IF(MONTH(DATE(CM1135,CN1135,CO1135))=CN1135,DATE(CM1135,CN1135,CO1135),""),"")))),"")</f>
        <v/>
      </c>
      <c r="CJ1135">
        <f>IFERROR(IF('월 가계부'!C1135="","",IF(ISNUMBER('월 가계부'!C1135),'월 가계부'!C1135,VALUE(SUBSTITUTE(SUBSTITUTE(SUBSTITUTE(SUBSTITUTE(TRIM('월 가계부'!C1135),",",""),"원","")," ",""),"−","-")))),"")</f>
        <v/>
      </c>
      <c r="CK1135">
        <f>IF(ISNUMBER(CI1135),IF(CI1135&lt;$B$13,CI1135,""),"")</f>
        <v/>
      </c>
      <c r="CM1135">
        <f>IF(CH1135="","",IFERROR(IF(IF(AND(LEN(CH1135)=9,ISERROR(FIND("-",LEFT(CH1135,8))),ISNUMBER(-LEFT(CH1135,8))),VALUE(LEFT(CH1135,4)),VALUE(LEFT(CH1135,FIND("-",CH1135)-1)))&lt;100,IF(AND(LEN(CH1135)=9,ISERROR(FIND("-",LEFT(CH1135,8))),ISNUMBER(-LEFT(CH1135,8))),VALUE(LEFT(CH1135,4)),VALUE(LEFT(CH1135,FIND("-",CH1135)-1)))+2000,IF(AND(LEN(CH1135)=9,ISERROR(FIND("-",LEFT(CH1135,8))),ISNUMBER(-LEFT(CH1135,8))),VALUE(LEFT(CH1135,4)),VALUE(LEFT(CH1135,FIND("-",CH1135)-1)))),""))</f>
        <v/>
      </c>
      <c r="CN1135">
        <f>IF(CH1135="","",IFERROR(IF(AND(LEN(CH1135)=9,ISERROR(FIND("-",LEFT(CH1135,8))),ISNUMBER(-LEFT(CH1135,8))),VALUE(MID(CH1135,5,2)),VALUE(MID(CH1135,FIND("-",CH1135)+1,FIND("-",CH1135,FIND("-",CH1135)+1)-FIND("-",CH1135)-1))),""))</f>
        <v/>
      </c>
      <c r="CO1135">
        <f>IF(CH1135="","",IFERROR(IF(AND(LEN(CH1135)=9,ISERROR(FIND("-",LEFT(CH1135,8))),ISNUMBER(-LEFT(CH1135,8))),VALUE(MID(CH1135,7,2)),VALUE(MID(CH1135,FIND("-",CH1135,FIND("-",CH1135)+1)+1,FIND("-",CH1135,FIND("-",CH1135,FIND("-",CH1135)+1)+1)-FIND("-",CH1135,FIND("-",CH1135)+1)-1))),""))</f>
        <v/>
      </c>
    </row>
    <row r="1136">
      <c r="CH1136">
        <f>IF(ISTEXT('월 가계부'!A1136),SUBSTITUTE(SUBSTITUTE(SUBSTITUTE(SUBSTITUTE(SUBSTITUTE(SUBSTITUTE(SUBSTITUTE(SUBSTITUTE(SUBSTITUTE(TRIM('월 가계부'!A1136),"년","-"),"월","-"),"일",""),".","-"),"/","-")," ","-"),"--","-"),"--","-"),"--","-")&amp;"-","")</f>
        <v/>
      </c>
      <c r="CI1136">
        <f>IFERROR(IF('월 가계부'!A1136="","",IF(ISNUMBER('월 가계부'!A1136),IF(AND('월 가계부'!A1136&gt;=19000101,'월 가계부'!A1136&lt;=21001231),IF(AND(MOD(INT('월 가계부'!A1136/100),100)&gt;=1,MOD(INT('월 가계부'!A1136/100),100)&lt;=12,MOD(INT('월 가계부'!A1136),100)&gt;=1,MOD(INT('월 가계부'!A1136),100)&lt;=31),IF(MONTH(DATE(INT('월 가계부'!A1136/10000),MOD(INT('월 가계부'!A1136/100),100),MOD(INT('월 가계부'!A1136),100)))=MOD(INT('월 가계부'!A1136/100),100),DATE(INT('월 가계부'!A1136/10000),MOD(INT('월 가계부'!A1136/100),100),MOD(INT('월 가계부'!A1136),100)),""),""),IF(AND('월 가계부'!A1136&gt;=36526,'월 가계부'!A1136&lt;73051),INT('월 가계부'!A1136),"")),IF(OR(CM1136="",CN1136="",CO1136=""),"",IF(AND(CM1136&gt;=2000,CM1136&lt;=2099,CN1136&gt;=1,CN1136&lt;=12,CO1136&gt;=1,CO1136&lt;=31),IF(MONTH(DATE(CM1136,CN1136,CO1136))=CN1136,DATE(CM1136,CN1136,CO1136),""),"")))),"")</f>
        <v/>
      </c>
      <c r="CJ1136">
        <f>IFERROR(IF('월 가계부'!C1136="","",IF(ISNUMBER('월 가계부'!C1136),'월 가계부'!C1136,VALUE(SUBSTITUTE(SUBSTITUTE(SUBSTITUTE(SUBSTITUTE(TRIM('월 가계부'!C1136),",",""),"원","")," ",""),"−","-")))),"")</f>
        <v/>
      </c>
      <c r="CK1136">
        <f>IF(ISNUMBER(CI1136),IF(CI1136&lt;$B$13,CI1136,""),"")</f>
        <v/>
      </c>
      <c r="CM1136">
        <f>IF(CH1136="","",IFERROR(IF(IF(AND(LEN(CH1136)=9,ISERROR(FIND("-",LEFT(CH1136,8))),ISNUMBER(-LEFT(CH1136,8))),VALUE(LEFT(CH1136,4)),VALUE(LEFT(CH1136,FIND("-",CH1136)-1)))&lt;100,IF(AND(LEN(CH1136)=9,ISERROR(FIND("-",LEFT(CH1136,8))),ISNUMBER(-LEFT(CH1136,8))),VALUE(LEFT(CH1136,4)),VALUE(LEFT(CH1136,FIND("-",CH1136)-1)))+2000,IF(AND(LEN(CH1136)=9,ISERROR(FIND("-",LEFT(CH1136,8))),ISNUMBER(-LEFT(CH1136,8))),VALUE(LEFT(CH1136,4)),VALUE(LEFT(CH1136,FIND("-",CH1136)-1)))),""))</f>
        <v/>
      </c>
      <c r="CN1136">
        <f>IF(CH1136="","",IFERROR(IF(AND(LEN(CH1136)=9,ISERROR(FIND("-",LEFT(CH1136,8))),ISNUMBER(-LEFT(CH1136,8))),VALUE(MID(CH1136,5,2)),VALUE(MID(CH1136,FIND("-",CH1136)+1,FIND("-",CH1136,FIND("-",CH1136)+1)-FIND("-",CH1136)-1))),""))</f>
        <v/>
      </c>
      <c r="CO1136">
        <f>IF(CH1136="","",IFERROR(IF(AND(LEN(CH1136)=9,ISERROR(FIND("-",LEFT(CH1136,8))),ISNUMBER(-LEFT(CH1136,8))),VALUE(MID(CH1136,7,2)),VALUE(MID(CH1136,FIND("-",CH1136,FIND("-",CH1136)+1)+1,FIND("-",CH1136,FIND("-",CH1136,FIND("-",CH1136)+1)+1)-FIND("-",CH1136,FIND("-",CH1136)+1)-1))),""))</f>
        <v/>
      </c>
    </row>
    <row r="1137">
      <c r="CH1137">
        <f>IF(ISTEXT('월 가계부'!A1137),SUBSTITUTE(SUBSTITUTE(SUBSTITUTE(SUBSTITUTE(SUBSTITUTE(SUBSTITUTE(SUBSTITUTE(SUBSTITUTE(SUBSTITUTE(TRIM('월 가계부'!A1137),"년","-"),"월","-"),"일",""),".","-"),"/","-")," ","-"),"--","-"),"--","-"),"--","-")&amp;"-","")</f>
        <v/>
      </c>
      <c r="CI1137">
        <f>IFERROR(IF('월 가계부'!A1137="","",IF(ISNUMBER('월 가계부'!A1137),IF(AND('월 가계부'!A1137&gt;=19000101,'월 가계부'!A1137&lt;=21001231),IF(AND(MOD(INT('월 가계부'!A1137/100),100)&gt;=1,MOD(INT('월 가계부'!A1137/100),100)&lt;=12,MOD(INT('월 가계부'!A1137),100)&gt;=1,MOD(INT('월 가계부'!A1137),100)&lt;=31),IF(MONTH(DATE(INT('월 가계부'!A1137/10000),MOD(INT('월 가계부'!A1137/100),100),MOD(INT('월 가계부'!A1137),100)))=MOD(INT('월 가계부'!A1137/100),100),DATE(INT('월 가계부'!A1137/10000),MOD(INT('월 가계부'!A1137/100),100),MOD(INT('월 가계부'!A1137),100)),""),""),IF(AND('월 가계부'!A1137&gt;=36526,'월 가계부'!A1137&lt;73051),INT('월 가계부'!A1137),"")),IF(OR(CM1137="",CN1137="",CO1137=""),"",IF(AND(CM1137&gt;=2000,CM1137&lt;=2099,CN1137&gt;=1,CN1137&lt;=12,CO1137&gt;=1,CO1137&lt;=31),IF(MONTH(DATE(CM1137,CN1137,CO1137))=CN1137,DATE(CM1137,CN1137,CO1137),""),"")))),"")</f>
        <v/>
      </c>
      <c r="CJ1137">
        <f>IFERROR(IF('월 가계부'!C1137="","",IF(ISNUMBER('월 가계부'!C1137),'월 가계부'!C1137,VALUE(SUBSTITUTE(SUBSTITUTE(SUBSTITUTE(SUBSTITUTE(TRIM('월 가계부'!C1137),",",""),"원","")," ",""),"−","-")))),"")</f>
        <v/>
      </c>
      <c r="CK1137">
        <f>IF(ISNUMBER(CI1137),IF(CI1137&lt;$B$13,CI1137,""),"")</f>
        <v/>
      </c>
      <c r="CM1137">
        <f>IF(CH1137="","",IFERROR(IF(IF(AND(LEN(CH1137)=9,ISERROR(FIND("-",LEFT(CH1137,8))),ISNUMBER(-LEFT(CH1137,8))),VALUE(LEFT(CH1137,4)),VALUE(LEFT(CH1137,FIND("-",CH1137)-1)))&lt;100,IF(AND(LEN(CH1137)=9,ISERROR(FIND("-",LEFT(CH1137,8))),ISNUMBER(-LEFT(CH1137,8))),VALUE(LEFT(CH1137,4)),VALUE(LEFT(CH1137,FIND("-",CH1137)-1)))+2000,IF(AND(LEN(CH1137)=9,ISERROR(FIND("-",LEFT(CH1137,8))),ISNUMBER(-LEFT(CH1137,8))),VALUE(LEFT(CH1137,4)),VALUE(LEFT(CH1137,FIND("-",CH1137)-1)))),""))</f>
        <v/>
      </c>
      <c r="CN1137">
        <f>IF(CH1137="","",IFERROR(IF(AND(LEN(CH1137)=9,ISERROR(FIND("-",LEFT(CH1137,8))),ISNUMBER(-LEFT(CH1137,8))),VALUE(MID(CH1137,5,2)),VALUE(MID(CH1137,FIND("-",CH1137)+1,FIND("-",CH1137,FIND("-",CH1137)+1)-FIND("-",CH1137)-1))),""))</f>
        <v/>
      </c>
      <c r="CO1137">
        <f>IF(CH1137="","",IFERROR(IF(AND(LEN(CH1137)=9,ISERROR(FIND("-",LEFT(CH1137,8))),ISNUMBER(-LEFT(CH1137,8))),VALUE(MID(CH1137,7,2)),VALUE(MID(CH1137,FIND("-",CH1137,FIND("-",CH1137)+1)+1,FIND("-",CH1137,FIND("-",CH1137,FIND("-",CH1137)+1)+1)-FIND("-",CH1137,FIND("-",CH1137)+1)-1))),""))</f>
        <v/>
      </c>
    </row>
    <row r="1138">
      <c r="CH1138">
        <f>IF(ISTEXT('월 가계부'!A1138),SUBSTITUTE(SUBSTITUTE(SUBSTITUTE(SUBSTITUTE(SUBSTITUTE(SUBSTITUTE(SUBSTITUTE(SUBSTITUTE(SUBSTITUTE(TRIM('월 가계부'!A1138),"년","-"),"월","-"),"일",""),".","-"),"/","-")," ","-"),"--","-"),"--","-"),"--","-")&amp;"-","")</f>
        <v/>
      </c>
      <c r="CI1138">
        <f>IFERROR(IF('월 가계부'!A1138="","",IF(ISNUMBER('월 가계부'!A1138),IF(AND('월 가계부'!A1138&gt;=19000101,'월 가계부'!A1138&lt;=21001231),IF(AND(MOD(INT('월 가계부'!A1138/100),100)&gt;=1,MOD(INT('월 가계부'!A1138/100),100)&lt;=12,MOD(INT('월 가계부'!A1138),100)&gt;=1,MOD(INT('월 가계부'!A1138),100)&lt;=31),IF(MONTH(DATE(INT('월 가계부'!A1138/10000),MOD(INT('월 가계부'!A1138/100),100),MOD(INT('월 가계부'!A1138),100)))=MOD(INT('월 가계부'!A1138/100),100),DATE(INT('월 가계부'!A1138/10000),MOD(INT('월 가계부'!A1138/100),100),MOD(INT('월 가계부'!A1138),100)),""),""),IF(AND('월 가계부'!A1138&gt;=36526,'월 가계부'!A1138&lt;73051),INT('월 가계부'!A1138),"")),IF(OR(CM1138="",CN1138="",CO1138=""),"",IF(AND(CM1138&gt;=2000,CM1138&lt;=2099,CN1138&gt;=1,CN1138&lt;=12,CO1138&gt;=1,CO1138&lt;=31),IF(MONTH(DATE(CM1138,CN1138,CO1138))=CN1138,DATE(CM1138,CN1138,CO1138),""),"")))),"")</f>
        <v/>
      </c>
      <c r="CJ1138">
        <f>IFERROR(IF('월 가계부'!C1138="","",IF(ISNUMBER('월 가계부'!C1138),'월 가계부'!C1138,VALUE(SUBSTITUTE(SUBSTITUTE(SUBSTITUTE(SUBSTITUTE(TRIM('월 가계부'!C1138),",",""),"원","")," ",""),"−","-")))),"")</f>
        <v/>
      </c>
      <c r="CK1138">
        <f>IF(ISNUMBER(CI1138),IF(CI1138&lt;$B$13,CI1138,""),"")</f>
        <v/>
      </c>
      <c r="CM1138">
        <f>IF(CH1138="","",IFERROR(IF(IF(AND(LEN(CH1138)=9,ISERROR(FIND("-",LEFT(CH1138,8))),ISNUMBER(-LEFT(CH1138,8))),VALUE(LEFT(CH1138,4)),VALUE(LEFT(CH1138,FIND("-",CH1138)-1)))&lt;100,IF(AND(LEN(CH1138)=9,ISERROR(FIND("-",LEFT(CH1138,8))),ISNUMBER(-LEFT(CH1138,8))),VALUE(LEFT(CH1138,4)),VALUE(LEFT(CH1138,FIND("-",CH1138)-1)))+2000,IF(AND(LEN(CH1138)=9,ISERROR(FIND("-",LEFT(CH1138,8))),ISNUMBER(-LEFT(CH1138,8))),VALUE(LEFT(CH1138,4)),VALUE(LEFT(CH1138,FIND("-",CH1138)-1)))),""))</f>
        <v/>
      </c>
      <c r="CN1138">
        <f>IF(CH1138="","",IFERROR(IF(AND(LEN(CH1138)=9,ISERROR(FIND("-",LEFT(CH1138,8))),ISNUMBER(-LEFT(CH1138,8))),VALUE(MID(CH1138,5,2)),VALUE(MID(CH1138,FIND("-",CH1138)+1,FIND("-",CH1138,FIND("-",CH1138)+1)-FIND("-",CH1138)-1))),""))</f>
        <v/>
      </c>
      <c r="CO1138">
        <f>IF(CH1138="","",IFERROR(IF(AND(LEN(CH1138)=9,ISERROR(FIND("-",LEFT(CH1138,8))),ISNUMBER(-LEFT(CH1138,8))),VALUE(MID(CH1138,7,2)),VALUE(MID(CH1138,FIND("-",CH1138,FIND("-",CH1138)+1)+1,FIND("-",CH1138,FIND("-",CH1138,FIND("-",CH1138)+1)+1)-FIND("-",CH1138,FIND("-",CH1138)+1)-1))),""))</f>
        <v/>
      </c>
    </row>
    <row r="1139">
      <c r="CH1139">
        <f>IF(ISTEXT('월 가계부'!A1139),SUBSTITUTE(SUBSTITUTE(SUBSTITUTE(SUBSTITUTE(SUBSTITUTE(SUBSTITUTE(SUBSTITUTE(SUBSTITUTE(SUBSTITUTE(TRIM('월 가계부'!A1139),"년","-"),"월","-"),"일",""),".","-"),"/","-")," ","-"),"--","-"),"--","-"),"--","-")&amp;"-","")</f>
        <v/>
      </c>
      <c r="CI1139">
        <f>IFERROR(IF('월 가계부'!A1139="","",IF(ISNUMBER('월 가계부'!A1139),IF(AND('월 가계부'!A1139&gt;=19000101,'월 가계부'!A1139&lt;=21001231),IF(AND(MOD(INT('월 가계부'!A1139/100),100)&gt;=1,MOD(INT('월 가계부'!A1139/100),100)&lt;=12,MOD(INT('월 가계부'!A1139),100)&gt;=1,MOD(INT('월 가계부'!A1139),100)&lt;=31),IF(MONTH(DATE(INT('월 가계부'!A1139/10000),MOD(INT('월 가계부'!A1139/100),100),MOD(INT('월 가계부'!A1139),100)))=MOD(INT('월 가계부'!A1139/100),100),DATE(INT('월 가계부'!A1139/10000),MOD(INT('월 가계부'!A1139/100),100),MOD(INT('월 가계부'!A1139),100)),""),""),IF(AND('월 가계부'!A1139&gt;=36526,'월 가계부'!A1139&lt;73051),INT('월 가계부'!A1139),"")),IF(OR(CM1139="",CN1139="",CO1139=""),"",IF(AND(CM1139&gt;=2000,CM1139&lt;=2099,CN1139&gt;=1,CN1139&lt;=12,CO1139&gt;=1,CO1139&lt;=31),IF(MONTH(DATE(CM1139,CN1139,CO1139))=CN1139,DATE(CM1139,CN1139,CO1139),""),"")))),"")</f>
        <v/>
      </c>
      <c r="CJ1139">
        <f>IFERROR(IF('월 가계부'!C1139="","",IF(ISNUMBER('월 가계부'!C1139),'월 가계부'!C1139,VALUE(SUBSTITUTE(SUBSTITUTE(SUBSTITUTE(SUBSTITUTE(TRIM('월 가계부'!C1139),",",""),"원","")," ",""),"−","-")))),"")</f>
        <v/>
      </c>
      <c r="CK1139">
        <f>IF(ISNUMBER(CI1139),IF(CI1139&lt;$B$13,CI1139,""),"")</f>
        <v/>
      </c>
      <c r="CM1139">
        <f>IF(CH1139="","",IFERROR(IF(IF(AND(LEN(CH1139)=9,ISERROR(FIND("-",LEFT(CH1139,8))),ISNUMBER(-LEFT(CH1139,8))),VALUE(LEFT(CH1139,4)),VALUE(LEFT(CH1139,FIND("-",CH1139)-1)))&lt;100,IF(AND(LEN(CH1139)=9,ISERROR(FIND("-",LEFT(CH1139,8))),ISNUMBER(-LEFT(CH1139,8))),VALUE(LEFT(CH1139,4)),VALUE(LEFT(CH1139,FIND("-",CH1139)-1)))+2000,IF(AND(LEN(CH1139)=9,ISERROR(FIND("-",LEFT(CH1139,8))),ISNUMBER(-LEFT(CH1139,8))),VALUE(LEFT(CH1139,4)),VALUE(LEFT(CH1139,FIND("-",CH1139)-1)))),""))</f>
        <v/>
      </c>
      <c r="CN1139">
        <f>IF(CH1139="","",IFERROR(IF(AND(LEN(CH1139)=9,ISERROR(FIND("-",LEFT(CH1139,8))),ISNUMBER(-LEFT(CH1139,8))),VALUE(MID(CH1139,5,2)),VALUE(MID(CH1139,FIND("-",CH1139)+1,FIND("-",CH1139,FIND("-",CH1139)+1)-FIND("-",CH1139)-1))),""))</f>
        <v/>
      </c>
      <c r="CO1139">
        <f>IF(CH1139="","",IFERROR(IF(AND(LEN(CH1139)=9,ISERROR(FIND("-",LEFT(CH1139,8))),ISNUMBER(-LEFT(CH1139,8))),VALUE(MID(CH1139,7,2)),VALUE(MID(CH1139,FIND("-",CH1139,FIND("-",CH1139)+1)+1,FIND("-",CH1139,FIND("-",CH1139,FIND("-",CH1139)+1)+1)-FIND("-",CH1139,FIND("-",CH1139)+1)-1))),""))</f>
        <v/>
      </c>
    </row>
    <row r="1140">
      <c r="CH1140">
        <f>IF(ISTEXT('월 가계부'!A1140),SUBSTITUTE(SUBSTITUTE(SUBSTITUTE(SUBSTITUTE(SUBSTITUTE(SUBSTITUTE(SUBSTITUTE(SUBSTITUTE(SUBSTITUTE(TRIM('월 가계부'!A1140),"년","-"),"월","-"),"일",""),".","-"),"/","-")," ","-"),"--","-"),"--","-"),"--","-")&amp;"-","")</f>
        <v/>
      </c>
      <c r="CI1140">
        <f>IFERROR(IF('월 가계부'!A1140="","",IF(ISNUMBER('월 가계부'!A1140),IF(AND('월 가계부'!A1140&gt;=19000101,'월 가계부'!A1140&lt;=21001231),IF(AND(MOD(INT('월 가계부'!A1140/100),100)&gt;=1,MOD(INT('월 가계부'!A1140/100),100)&lt;=12,MOD(INT('월 가계부'!A1140),100)&gt;=1,MOD(INT('월 가계부'!A1140),100)&lt;=31),IF(MONTH(DATE(INT('월 가계부'!A1140/10000),MOD(INT('월 가계부'!A1140/100),100),MOD(INT('월 가계부'!A1140),100)))=MOD(INT('월 가계부'!A1140/100),100),DATE(INT('월 가계부'!A1140/10000),MOD(INT('월 가계부'!A1140/100),100),MOD(INT('월 가계부'!A1140),100)),""),""),IF(AND('월 가계부'!A1140&gt;=36526,'월 가계부'!A1140&lt;73051),INT('월 가계부'!A1140),"")),IF(OR(CM1140="",CN1140="",CO1140=""),"",IF(AND(CM1140&gt;=2000,CM1140&lt;=2099,CN1140&gt;=1,CN1140&lt;=12,CO1140&gt;=1,CO1140&lt;=31),IF(MONTH(DATE(CM1140,CN1140,CO1140))=CN1140,DATE(CM1140,CN1140,CO1140),""),"")))),"")</f>
        <v/>
      </c>
      <c r="CJ1140">
        <f>IFERROR(IF('월 가계부'!C1140="","",IF(ISNUMBER('월 가계부'!C1140),'월 가계부'!C1140,VALUE(SUBSTITUTE(SUBSTITUTE(SUBSTITUTE(SUBSTITUTE(TRIM('월 가계부'!C1140),",",""),"원","")," ",""),"−","-")))),"")</f>
        <v/>
      </c>
      <c r="CK1140">
        <f>IF(ISNUMBER(CI1140),IF(CI1140&lt;$B$13,CI1140,""),"")</f>
        <v/>
      </c>
      <c r="CM1140">
        <f>IF(CH1140="","",IFERROR(IF(IF(AND(LEN(CH1140)=9,ISERROR(FIND("-",LEFT(CH1140,8))),ISNUMBER(-LEFT(CH1140,8))),VALUE(LEFT(CH1140,4)),VALUE(LEFT(CH1140,FIND("-",CH1140)-1)))&lt;100,IF(AND(LEN(CH1140)=9,ISERROR(FIND("-",LEFT(CH1140,8))),ISNUMBER(-LEFT(CH1140,8))),VALUE(LEFT(CH1140,4)),VALUE(LEFT(CH1140,FIND("-",CH1140)-1)))+2000,IF(AND(LEN(CH1140)=9,ISERROR(FIND("-",LEFT(CH1140,8))),ISNUMBER(-LEFT(CH1140,8))),VALUE(LEFT(CH1140,4)),VALUE(LEFT(CH1140,FIND("-",CH1140)-1)))),""))</f>
        <v/>
      </c>
      <c r="CN1140">
        <f>IF(CH1140="","",IFERROR(IF(AND(LEN(CH1140)=9,ISERROR(FIND("-",LEFT(CH1140,8))),ISNUMBER(-LEFT(CH1140,8))),VALUE(MID(CH1140,5,2)),VALUE(MID(CH1140,FIND("-",CH1140)+1,FIND("-",CH1140,FIND("-",CH1140)+1)-FIND("-",CH1140)-1))),""))</f>
        <v/>
      </c>
      <c r="CO1140">
        <f>IF(CH1140="","",IFERROR(IF(AND(LEN(CH1140)=9,ISERROR(FIND("-",LEFT(CH1140,8))),ISNUMBER(-LEFT(CH1140,8))),VALUE(MID(CH1140,7,2)),VALUE(MID(CH1140,FIND("-",CH1140,FIND("-",CH1140)+1)+1,FIND("-",CH1140,FIND("-",CH1140,FIND("-",CH1140)+1)+1)-FIND("-",CH1140,FIND("-",CH1140)+1)-1))),""))</f>
        <v/>
      </c>
    </row>
    <row r="1141">
      <c r="CH1141">
        <f>IF(ISTEXT('월 가계부'!A1141),SUBSTITUTE(SUBSTITUTE(SUBSTITUTE(SUBSTITUTE(SUBSTITUTE(SUBSTITUTE(SUBSTITUTE(SUBSTITUTE(SUBSTITUTE(TRIM('월 가계부'!A1141),"년","-"),"월","-"),"일",""),".","-"),"/","-")," ","-"),"--","-"),"--","-"),"--","-")&amp;"-","")</f>
        <v/>
      </c>
      <c r="CI1141">
        <f>IFERROR(IF('월 가계부'!A1141="","",IF(ISNUMBER('월 가계부'!A1141),IF(AND('월 가계부'!A1141&gt;=19000101,'월 가계부'!A1141&lt;=21001231),IF(AND(MOD(INT('월 가계부'!A1141/100),100)&gt;=1,MOD(INT('월 가계부'!A1141/100),100)&lt;=12,MOD(INT('월 가계부'!A1141),100)&gt;=1,MOD(INT('월 가계부'!A1141),100)&lt;=31),IF(MONTH(DATE(INT('월 가계부'!A1141/10000),MOD(INT('월 가계부'!A1141/100),100),MOD(INT('월 가계부'!A1141),100)))=MOD(INT('월 가계부'!A1141/100),100),DATE(INT('월 가계부'!A1141/10000),MOD(INT('월 가계부'!A1141/100),100),MOD(INT('월 가계부'!A1141),100)),""),""),IF(AND('월 가계부'!A1141&gt;=36526,'월 가계부'!A1141&lt;73051),INT('월 가계부'!A1141),"")),IF(OR(CM1141="",CN1141="",CO1141=""),"",IF(AND(CM1141&gt;=2000,CM1141&lt;=2099,CN1141&gt;=1,CN1141&lt;=12,CO1141&gt;=1,CO1141&lt;=31),IF(MONTH(DATE(CM1141,CN1141,CO1141))=CN1141,DATE(CM1141,CN1141,CO1141),""),"")))),"")</f>
        <v/>
      </c>
      <c r="CJ1141">
        <f>IFERROR(IF('월 가계부'!C1141="","",IF(ISNUMBER('월 가계부'!C1141),'월 가계부'!C1141,VALUE(SUBSTITUTE(SUBSTITUTE(SUBSTITUTE(SUBSTITUTE(TRIM('월 가계부'!C1141),",",""),"원","")," ",""),"−","-")))),"")</f>
        <v/>
      </c>
      <c r="CK1141">
        <f>IF(ISNUMBER(CI1141),IF(CI1141&lt;$B$13,CI1141,""),"")</f>
        <v/>
      </c>
      <c r="CM1141">
        <f>IF(CH1141="","",IFERROR(IF(IF(AND(LEN(CH1141)=9,ISERROR(FIND("-",LEFT(CH1141,8))),ISNUMBER(-LEFT(CH1141,8))),VALUE(LEFT(CH1141,4)),VALUE(LEFT(CH1141,FIND("-",CH1141)-1)))&lt;100,IF(AND(LEN(CH1141)=9,ISERROR(FIND("-",LEFT(CH1141,8))),ISNUMBER(-LEFT(CH1141,8))),VALUE(LEFT(CH1141,4)),VALUE(LEFT(CH1141,FIND("-",CH1141)-1)))+2000,IF(AND(LEN(CH1141)=9,ISERROR(FIND("-",LEFT(CH1141,8))),ISNUMBER(-LEFT(CH1141,8))),VALUE(LEFT(CH1141,4)),VALUE(LEFT(CH1141,FIND("-",CH1141)-1)))),""))</f>
        <v/>
      </c>
      <c r="CN1141">
        <f>IF(CH1141="","",IFERROR(IF(AND(LEN(CH1141)=9,ISERROR(FIND("-",LEFT(CH1141,8))),ISNUMBER(-LEFT(CH1141,8))),VALUE(MID(CH1141,5,2)),VALUE(MID(CH1141,FIND("-",CH1141)+1,FIND("-",CH1141,FIND("-",CH1141)+1)-FIND("-",CH1141)-1))),""))</f>
        <v/>
      </c>
      <c r="CO1141">
        <f>IF(CH1141="","",IFERROR(IF(AND(LEN(CH1141)=9,ISERROR(FIND("-",LEFT(CH1141,8))),ISNUMBER(-LEFT(CH1141,8))),VALUE(MID(CH1141,7,2)),VALUE(MID(CH1141,FIND("-",CH1141,FIND("-",CH1141)+1)+1,FIND("-",CH1141,FIND("-",CH1141,FIND("-",CH1141)+1)+1)-FIND("-",CH1141,FIND("-",CH1141)+1)-1))),""))</f>
        <v/>
      </c>
    </row>
    <row r="1142">
      <c r="CH1142">
        <f>IF(ISTEXT('월 가계부'!A1142),SUBSTITUTE(SUBSTITUTE(SUBSTITUTE(SUBSTITUTE(SUBSTITUTE(SUBSTITUTE(SUBSTITUTE(SUBSTITUTE(SUBSTITUTE(TRIM('월 가계부'!A1142),"년","-"),"월","-"),"일",""),".","-"),"/","-")," ","-"),"--","-"),"--","-"),"--","-")&amp;"-","")</f>
        <v/>
      </c>
      <c r="CI1142">
        <f>IFERROR(IF('월 가계부'!A1142="","",IF(ISNUMBER('월 가계부'!A1142),IF(AND('월 가계부'!A1142&gt;=19000101,'월 가계부'!A1142&lt;=21001231),IF(AND(MOD(INT('월 가계부'!A1142/100),100)&gt;=1,MOD(INT('월 가계부'!A1142/100),100)&lt;=12,MOD(INT('월 가계부'!A1142),100)&gt;=1,MOD(INT('월 가계부'!A1142),100)&lt;=31),IF(MONTH(DATE(INT('월 가계부'!A1142/10000),MOD(INT('월 가계부'!A1142/100),100),MOD(INT('월 가계부'!A1142),100)))=MOD(INT('월 가계부'!A1142/100),100),DATE(INT('월 가계부'!A1142/10000),MOD(INT('월 가계부'!A1142/100),100),MOD(INT('월 가계부'!A1142),100)),""),""),IF(AND('월 가계부'!A1142&gt;=36526,'월 가계부'!A1142&lt;73051),INT('월 가계부'!A1142),"")),IF(OR(CM1142="",CN1142="",CO1142=""),"",IF(AND(CM1142&gt;=2000,CM1142&lt;=2099,CN1142&gt;=1,CN1142&lt;=12,CO1142&gt;=1,CO1142&lt;=31),IF(MONTH(DATE(CM1142,CN1142,CO1142))=CN1142,DATE(CM1142,CN1142,CO1142),""),"")))),"")</f>
        <v/>
      </c>
      <c r="CJ1142">
        <f>IFERROR(IF('월 가계부'!C1142="","",IF(ISNUMBER('월 가계부'!C1142),'월 가계부'!C1142,VALUE(SUBSTITUTE(SUBSTITUTE(SUBSTITUTE(SUBSTITUTE(TRIM('월 가계부'!C1142),",",""),"원","")," ",""),"−","-")))),"")</f>
        <v/>
      </c>
      <c r="CK1142">
        <f>IF(ISNUMBER(CI1142),IF(CI1142&lt;$B$13,CI1142,""),"")</f>
        <v/>
      </c>
      <c r="CM1142">
        <f>IF(CH1142="","",IFERROR(IF(IF(AND(LEN(CH1142)=9,ISERROR(FIND("-",LEFT(CH1142,8))),ISNUMBER(-LEFT(CH1142,8))),VALUE(LEFT(CH1142,4)),VALUE(LEFT(CH1142,FIND("-",CH1142)-1)))&lt;100,IF(AND(LEN(CH1142)=9,ISERROR(FIND("-",LEFT(CH1142,8))),ISNUMBER(-LEFT(CH1142,8))),VALUE(LEFT(CH1142,4)),VALUE(LEFT(CH1142,FIND("-",CH1142)-1)))+2000,IF(AND(LEN(CH1142)=9,ISERROR(FIND("-",LEFT(CH1142,8))),ISNUMBER(-LEFT(CH1142,8))),VALUE(LEFT(CH1142,4)),VALUE(LEFT(CH1142,FIND("-",CH1142)-1)))),""))</f>
        <v/>
      </c>
      <c r="CN1142">
        <f>IF(CH1142="","",IFERROR(IF(AND(LEN(CH1142)=9,ISERROR(FIND("-",LEFT(CH1142,8))),ISNUMBER(-LEFT(CH1142,8))),VALUE(MID(CH1142,5,2)),VALUE(MID(CH1142,FIND("-",CH1142)+1,FIND("-",CH1142,FIND("-",CH1142)+1)-FIND("-",CH1142)-1))),""))</f>
        <v/>
      </c>
      <c r="CO1142">
        <f>IF(CH1142="","",IFERROR(IF(AND(LEN(CH1142)=9,ISERROR(FIND("-",LEFT(CH1142,8))),ISNUMBER(-LEFT(CH1142,8))),VALUE(MID(CH1142,7,2)),VALUE(MID(CH1142,FIND("-",CH1142,FIND("-",CH1142)+1)+1,FIND("-",CH1142,FIND("-",CH1142,FIND("-",CH1142)+1)+1)-FIND("-",CH1142,FIND("-",CH1142)+1)-1))),""))</f>
        <v/>
      </c>
    </row>
    <row r="1143">
      <c r="CH1143">
        <f>IF(ISTEXT('월 가계부'!A1143),SUBSTITUTE(SUBSTITUTE(SUBSTITUTE(SUBSTITUTE(SUBSTITUTE(SUBSTITUTE(SUBSTITUTE(SUBSTITUTE(SUBSTITUTE(TRIM('월 가계부'!A1143),"년","-"),"월","-"),"일",""),".","-"),"/","-")," ","-"),"--","-"),"--","-"),"--","-")&amp;"-","")</f>
        <v/>
      </c>
      <c r="CI1143">
        <f>IFERROR(IF('월 가계부'!A1143="","",IF(ISNUMBER('월 가계부'!A1143),IF(AND('월 가계부'!A1143&gt;=19000101,'월 가계부'!A1143&lt;=21001231),IF(AND(MOD(INT('월 가계부'!A1143/100),100)&gt;=1,MOD(INT('월 가계부'!A1143/100),100)&lt;=12,MOD(INT('월 가계부'!A1143),100)&gt;=1,MOD(INT('월 가계부'!A1143),100)&lt;=31),IF(MONTH(DATE(INT('월 가계부'!A1143/10000),MOD(INT('월 가계부'!A1143/100),100),MOD(INT('월 가계부'!A1143),100)))=MOD(INT('월 가계부'!A1143/100),100),DATE(INT('월 가계부'!A1143/10000),MOD(INT('월 가계부'!A1143/100),100),MOD(INT('월 가계부'!A1143),100)),""),""),IF(AND('월 가계부'!A1143&gt;=36526,'월 가계부'!A1143&lt;73051),INT('월 가계부'!A1143),"")),IF(OR(CM1143="",CN1143="",CO1143=""),"",IF(AND(CM1143&gt;=2000,CM1143&lt;=2099,CN1143&gt;=1,CN1143&lt;=12,CO1143&gt;=1,CO1143&lt;=31),IF(MONTH(DATE(CM1143,CN1143,CO1143))=CN1143,DATE(CM1143,CN1143,CO1143),""),"")))),"")</f>
        <v/>
      </c>
      <c r="CJ1143">
        <f>IFERROR(IF('월 가계부'!C1143="","",IF(ISNUMBER('월 가계부'!C1143),'월 가계부'!C1143,VALUE(SUBSTITUTE(SUBSTITUTE(SUBSTITUTE(SUBSTITUTE(TRIM('월 가계부'!C1143),",",""),"원","")," ",""),"−","-")))),"")</f>
        <v/>
      </c>
      <c r="CK1143">
        <f>IF(ISNUMBER(CI1143),IF(CI1143&lt;$B$13,CI1143,""),"")</f>
        <v/>
      </c>
      <c r="CM1143">
        <f>IF(CH1143="","",IFERROR(IF(IF(AND(LEN(CH1143)=9,ISERROR(FIND("-",LEFT(CH1143,8))),ISNUMBER(-LEFT(CH1143,8))),VALUE(LEFT(CH1143,4)),VALUE(LEFT(CH1143,FIND("-",CH1143)-1)))&lt;100,IF(AND(LEN(CH1143)=9,ISERROR(FIND("-",LEFT(CH1143,8))),ISNUMBER(-LEFT(CH1143,8))),VALUE(LEFT(CH1143,4)),VALUE(LEFT(CH1143,FIND("-",CH1143)-1)))+2000,IF(AND(LEN(CH1143)=9,ISERROR(FIND("-",LEFT(CH1143,8))),ISNUMBER(-LEFT(CH1143,8))),VALUE(LEFT(CH1143,4)),VALUE(LEFT(CH1143,FIND("-",CH1143)-1)))),""))</f>
        <v/>
      </c>
      <c r="CN1143">
        <f>IF(CH1143="","",IFERROR(IF(AND(LEN(CH1143)=9,ISERROR(FIND("-",LEFT(CH1143,8))),ISNUMBER(-LEFT(CH1143,8))),VALUE(MID(CH1143,5,2)),VALUE(MID(CH1143,FIND("-",CH1143)+1,FIND("-",CH1143,FIND("-",CH1143)+1)-FIND("-",CH1143)-1))),""))</f>
        <v/>
      </c>
      <c r="CO1143">
        <f>IF(CH1143="","",IFERROR(IF(AND(LEN(CH1143)=9,ISERROR(FIND("-",LEFT(CH1143,8))),ISNUMBER(-LEFT(CH1143,8))),VALUE(MID(CH1143,7,2)),VALUE(MID(CH1143,FIND("-",CH1143,FIND("-",CH1143)+1)+1,FIND("-",CH1143,FIND("-",CH1143,FIND("-",CH1143)+1)+1)-FIND("-",CH1143,FIND("-",CH1143)+1)-1))),""))</f>
        <v/>
      </c>
    </row>
    <row r="1144">
      <c r="CH1144">
        <f>IF(ISTEXT('월 가계부'!A1144),SUBSTITUTE(SUBSTITUTE(SUBSTITUTE(SUBSTITUTE(SUBSTITUTE(SUBSTITUTE(SUBSTITUTE(SUBSTITUTE(SUBSTITUTE(TRIM('월 가계부'!A1144),"년","-"),"월","-"),"일",""),".","-"),"/","-")," ","-"),"--","-"),"--","-"),"--","-")&amp;"-","")</f>
        <v/>
      </c>
      <c r="CI1144">
        <f>IFERROR(IF('월 가계부'!A1144="","",IF(ISNUMBER('월 가계부'!A1144),IF(AND('월 가계부'!A1144&gt;=19000101,'월 가계부'!A1144&lt;=21001231),IF(AND(MOD(INT('월 가계부'!A1144/100),100)&gt;=1,MOD(INT('월 가계부'!A1144/100),100)&lt;=12,MOD(INT('월 가계부'!A1144),100)&gt;=1,MOD(INT('월 가계부'!A1144),100)&lt;=31),IF(MONTH(DATE(INT('월 가계부'!A1144/10000),MOD(INT('월 가계부'!A1144/100),100),MOD(INT('월 가계부'!A1144),100)))=MOD(INT('월 가계부'!A1144/100),100),DATE(INT('월 가계부'!A1144/10000),MOD(INT('월 가계부'!A1144/100),100),MOD(INT('월 가계부'!A1144),100)),""),""),IF(AND('월 가계부'!A1144&gt;=36526,'월 가계부'!A1144&lt;73051),INT('월 가계부'!A1144),"")),IF(OR(CM1144="",CN1144="",CO1144=""),"",IF(AND(CM1144&gt;=2000,CM1144&lt;=2099,CN1144&gt;=1,CN1144&lt;=12,CO1144&gt;=1,CO1144&lt;=31),IF(MONTH(DATE(CM1144,CN1144,CO1144))=CN1144,DATE(CM1144,CN1144,CO1144),""),"")))),"")</f>
        <v/>
      </c>
      <c r="CJ1144">
        <f>IFERROR(IF('월 가계부'!C1144="","",IF(ISNUMBER('월 가계부'!C1144),'월 가계부'!C1144,VALUE(SUBSTITUTE(SUBSTITUTE(SUBSTITUTE(SUBSTITUTE(TRIM('월 가계부'!C1144),",",""),"원","")," ",""),"−","-")))),"")</f>
        <v/>
      </c>
      <c r="CK1144">
        <f>IF(ISNUMBER(CI1144),IF(CI1144&lt;$B$13,CI1144,""),"")</f>
        <v/>
      </c>
      <c r="CM1144">
        <f>IF(CH1144="","",IFERROR(IF(IF(AND(LEN(CH1144)=9,ISERROR(FIND("-",LEFT(CH1144,8))),ISNUMBER(-LEFT(CH1144,8))),VALUE(LEFT(CH1144,4)),VALUE(LEFT(CH1144,FIND("-",CH1144)-1)))&lt;100,IF(AND(LEN(CH1144)=9,ISERROR(FIND("-",LEFT(CH1144,8))),ISNUMBER(-LEFT(CH1144,8))),VALUE(LEFT(CH1144,4)),VALUE(LEFT(CH1144,FIND("-",CH1144)-1)))+2000,IF(AND(LEN(CH1144)=9,ISERROR(FIND("-",LEFT(CH1144,8))),ISNUMBER(-LEFT(CH1144,8))),VALUE(LEFT(CH1144,4)),VALUE(LEFT(CH1144,FIND("-",CH1144)-1)))),""))</f>
        <v/>
      </c>
      <c r="CN1144">
        <f>IF(CH1144="","",IFERROR(IF(AND(LEN(CH1144)=9,ISERROR(FIND("-",LEFT(CH1144,8))),ISNUMBER(-LEFT(CH1144,8))),VALUE(MID(CH1144,5,2)),VALUE(MID(CH1144,FIND("-",CH1144)+1,FIND("-",CH1144,FIND("-",CH1144)+1)-FIND("-",CH1144)-1))),""))</f>
        <v/>
      </c>
      <c r="CO1144">
        <f>IF(CH1144="","",IFERROR(IF(AND(LEN(CH1144)=9,ISERROR(FIND("-",LEFT(CH1144,8))),ISNUMBER(-LEFT(CH1144,8))),VALUE(MID(CH1144,7,2)),VALUE(MID(CH1144,FIND("-",CH1144,FIND("-",CH1144)+1)+1,FIND("-",CH1144,FIND("-",CH1144,FIND("-",CH1144)+1)+1)-FIND("-",CH1144,FIND("-",CH1144)+1)-1))),""))</f>
        <v/>
      </c>
    </row>
    <row r="1145">
      <c r="CH1145">
        <f>IF(ISTEXT('월 가계부'!A1145),SUBSTITUTE(SUBSTITUTE(SUBSTITUTE(SUBSTITUTE(SUBSTITUTE(SUBSTITUTE(SUBSTITUTE(SUBSTITUTE(SUBSTITUTE(TRIM('월 가계부'!A1145),"년","-"),"월","-"),"일",""),".","-"),"/","-")," ","-"),"--","-"),"--","-"),"--","-")&amp;"-","")</f>
        <v/>
      </c>
      <c r="CI1145">
        <f>IFERROR(IF('월 가계부'!A1145="","",IF(ISNUMBER('월 가계부'!A1145),IF(AND('월 가계부'!A1145&gt;=19000101,'월 가계부'!A1145&lt;=21001231),IF(AND(MOD(INT('월 가계부'!A1145/100),100)&gt;=1,MOD(INT('월 가계부'!A1145/100),100)&lt;=12,MOD(INT('월 가계부'!A1145),100)&gt;=1,MOD(INT('월 가계부'!A1145),100)&lt;=31),IF(MONTH(DATE(INT('월 가계부'!A1145/10000),MOD(INT('월 가계부'!A1145/100),100),MOD(INT('월 가계부'!A1145),100)))=MOD(INT('월 가계부'!A1145/100),100),DATE(INT('월 가계부'!A1145/10000),MOD(INT('월 가계부'!A1145/100),100),MOD(INT('월 가계부'!A1145),100)),""),""),IF(AND('월 가계부'!A1145&gt;=36526,'월 가계부'!A1145&lt;73051),INT('월 가계부'!A1145),"")),IF(OR(CM1145="",CN1145="",CO1145=""),"",IF(AND(CM1145&gt;=2000,CM1145&lt;=2099,CN1145&gt;=1,CN1145&lt;=12,CO1145&gt;=1,CO1145&lt;=31),IF(MONTH(DATE(CM1145,CN1145,CO1145))=CN1145,DATE(CM1145,CN1145,CO1145),""),"")))),"")</f>
        <v/>
      </c>
      <c r="CJ1145">
        <f>IFERROR(IF('월 가계부'!C1145="","",IF(ISNUMBER('월 가계부'!C1145),'월 가계부'!C1145,VALUE(SUBSTITUTE(SUBSTITUTE(SUBSTITUTE(SUBSTITUTE(TRIM('월 가계부'!C1145),",",""),"원","")," ",""),"−","-")))),"")</f>
        <v/>
      </c>
      <c r="CK1145">
        <f>IF(ISNUMBER(CI1145),IF(CI1145&lt;$B$13,CI1145,""),"")</f>
        <v/>
      </c>
      <c r="CM1145">
        <f>IF(CH1145="","",IFERROR(IF(IF(AND(LEN(CH1145)=9,ISERROR(FIND("-",LEFT(CH1145,8))),ISNUMBER(-LEFT(CH1145,8))),VALUE(LEFT(CH1145,4)),VALUE(LEFT(CH1145,FIND("-",CH1145)-1)))&lt;100,IF(AND(LEN(CH1145)=9,ISERROR(FIND("-",LEFT(CH1145,8))),ISNUMBER(-LEFT(CH1145,8))),VALUE(LEFT(CH1145,4)),VALUE(LEFT(CH1145,FIND("-",CH1145)-1)))+2000,IF(AND(LEN(CH1145)=9,ISERROR(FIND("-",LEFT(CH1145,8))),ISNUMBER(-LEFT(CH1145,8))),VALUE(LEFT(CH1145,4)),VALUE(LEFT(CH1145,FIND("-",CH1145)-1)))),""))</f>
        <v/>
      </c>
      <c r="CN1145">
        <f>IF(CH1145="","",IFERROR(IF(AND(LEN(CH1145)=9,ISERROR(FIND("-",LEFT(CH1145,8))),ISNUMBER(-LEFT(CH1145,8))),VALUE(MID(CH1145,5,2)),VALUE(MID(CH1145,FIND("-",CH1145)+1,FIND("-",CH1145,FIND("-",CH1145)+1)-FIND("-",CH1145)-1))),""))</f>
        <v/>
      </c>
      <c r="CO1145">
        <f>IF(CH1145="","",IFERROR(IF(AND(LEN(CH1145)=9,ISERROR(FIND("-",LEFT(CH1145,8))),ISNUMBER(-LEFT(CH1145,8))),VALUE(MID(CH1145,7,2)),VALUE(MID(CH1145,FIND("-",CH1145,FIND("-",CH1145)+1)+1,FIND("-",CH1145,FIND("-",CH1145,FIND("-",CH1145)+1)+1)-FIND("-",CH1145,FIND("-",CH1145)+1)-1))),""))</f>
        <v/>
      </c>
    </row>
    <row r="1146">
      <c r="CH1146">
        <f>IF(ISTEXT('월 가계부'!A1146),SUBSTITUTE(SUBSTITUTE(SUBSTITUTE(SUBSTITUTE(SUBSTITUTE(SUBSTITUTE(SUBSTITUTE(SUBSTITUTE(SUBSTITUTE(TRIM('월 가계부'!A1146),"년","-"),"월","-"),"일",""),".","-"),"/","-")," ","-"),"--","-"),"--","-"),"--","-")&amp;"-","")</f>
        <v/>
      </c>
      <c r="CI1146">
        <f>IFERROR(IF('월 가계부'!A1146="","",IF(ISNUMBER('월 가계부'!A1146),IF(AND('월 가계부'!A1146&gt;=19000101,'월 가계부'!A1146&lt;=21001231),IF(AND(MOD(INT('월 가계부'!A1146/100),100)&gt;=1,MOD(INT('월 가계부'!A1146/100),100)&lt;=12,MOD(INT('월 가계부'!A1146),100)&gt;=1,MOD(INT('월 가계부'!A1146),100)&lt;=31),IF(MONTH(DATE(INT('월 가계부'!A1146/10000),MOD(INT('월 가계부'!A1146/100),100),MOD(INT('월 가계부'!A1146),100)))=MOD(INT('월 가계부'!A1146/100),100),DATE(INT('월 가계부'!A1146/10000),MOD(INT('월 가계부'!A1146/100),100),MOD(INT('월 가계부'!A1146),100)),""),""),IF(AND('월 가계부'!A1146&gt;=36526,'월 가계부'!A1146&lt;73051),INT('월 가계부'!A1146),"")),IF(OR(CM1146="",CN1146="",CO1146=""),"",IF(AND(CM1146&gt;=2000,CM1146&lt;=2099,CN1146&gt;=1,CN1146&lt;=12,CO1146&gt;=1,CO1146&lt;=31),IF(MONTH(DATE(CM1146,CN1146,CO1146))=CN1146,DATE(CM1146,CN1146,CO1146),""),"")))),"")</f>
        <v/>
      </c>
      <c r="CJ1146">
        <f>IFERROR(IF('월 가계부'!C1146="","",IF(ISNUMBER('월 가계부'!C1146),'월 가계부'!C1146,VALUE(SUBSTITUTE(SUBSTITUTE(SUBSTITUTE(SUBSTITUTE(TRIM('월 가계부'!C1146),",",""),"원","")," ",""),"−","-")))),"")</f>
        <v/>
      </c>
      <c r="CK1146">
        <f>IF(ISNUMBER(CI1146),IF(CI1146&lt;$B$13,CI1146,""),"")</f>
        <v/>
      </c>
      <c r="CM1146">
        <f>IF(CH1146="","",IFERROR(IF(IF(AND(LEN(CH1146)=9,ISERROR(FIND("-",LEFT(CH1146,8))),ISNUMBER(-LEFT(CH1146,8))),VALUE(LEFT(CH1146,4)),VALUE(LEFT(CH1146,FIND("-",CH1146)-1)))&lt;100,IF(AND(LEN(CH1146)=9,ISERROR(FIND("-",LEFT(CH1146,8))),ISNUMBER(-LEFT(CH1146,8))),VALUE(LEFT(CH1146,4)),VALUE(LEFT(CH1146,FIND("-",CH1146)-1)))+2000,IF(AND(LEN(CH1146)=9,ISERROR(FIND("-",LEFT(CH1146,8))),ISNUMBER(-LEFT(CH1146,8))),VALUE(LEFT(CH1146,4)),VALUE(LEFT(CH1146,FIND("-",CH1146)-1)))),""))</f>
        <v/>
      </c>
      <c r="CN1146">
        <f>IF(CH1146="","",IFERROR(IF(AND(LEN(CH1146)=9,ISERROR(FIND("-",LEFT(CH1146,8))),ISNUMBER(-LEFT(CH1146,8))),VALUE(MID(CH1146,5,2)),VALUE(MID(CH1146,FIND("-",CH1146)+1,FIND("-",CH1146,FIND("-",CH1146)+1)-FIND("-",CH1146)-1))),""))</f>
        <v/>
      </c>
      <c r="CO1146">
        <f>IF(CH1146="","",IFERROR(IF(AND(LEN(CH1146)=9,ISERROR(FIND("-",LEFT(CH1146,8))),ISNUMBER(-LEFT(CH1146,8))),VALUE(MID(CH1146,7,2)),VALUE(MID(CH1146,FIND("-",CH1146,FIND("-",CH1146)+1)+1,FIND("-",CH1146,FIND("-",CH1146,FIND("-",CH1146)+1)+1)-FIND("-",CH1146,FIND("-",CH1146)+1)-1))),""))</f>
        <v/>
      </c>
    </row>
    <row r="1147">
      <c r="CH1147">
        <f>IF(ISTEXT('월 가계부'!A1147),SUBSTITUTE(SUBSTITUTE(SUBSTITUTE(SUBSTITUTE(SUBSTITUTE(SUBSTITUTE(SUBSTITUTE(SUBSTITUTE(SUBSTITUTE(TRIM('월 가계부'!A1147),"년","-"),"월","-"),"일",""),".","-"),"/","-")," ","-"),"--","-"),"--","-"),"--","-")&amp;"-","")</f>
        <v/>
      </c>
      <c r="CI1147">
        <f>IFERROR(IF('월 가계부'!A1147="","",IF(ISNUMBER('월 가계부'!A1147),IF(AND('월 가계부'!A1147&gt;=19000101,'월 가계부'!A1147&lt;=21001231),IF(AND(MOD(INT('월 가계부'!A1147/100),100)&gt;=1,MOD(INT('월 가계부'!A1147/100),100)&lt;=12,MOD(INT('월 가계부'!A1147),100)&gt;=1,MOD(INT('월 가계부'!A1147),100)&lt;=31),IF(MONTH(DATE(INT('월 가계부'!A1147/10000),MOD(INT('월 가계부'!A1147/100),100),MOD(INT('월 가계부'!A1147),100)))=MOD(INT('월 가계부'!A1147/100),100),DATE(INT('월 가계부'!A1147/10000),MOD(INT('월 가계부'!A1147/100),100),MOD(INT('월 가계부'!A1147),100)),""),""),IF(AND('월 가계부'!A1147&gt;=36526,'월 가계부'!A1147&lt;73051),INT('월 가계부'!A1147),"")),IF(OR(CM1147="",CN1147="",CO1147=""),"",IF(AND(CM1147&gt;=2000,CM1147&lt;=2099,CN1147&gt;=1,CN1147&lt;=12,CO1147&gt;=1,CO1147&lt;=31),IF(MONTH(DATE(CM1147,CN1147,CO1147))=CN1147,DATE(CM1147,CN1147,CO1147),""),"")))),"")</f>
        <v/>
      </c>
      <c r="CJ1147">
        <f>IFERROR(IF('월 가계부'!C1147="","",IF(ISNUMBER('월 가계부'!C1147),'월 가계부'!C1147,VALUE(SUBSTITUTE(SUBSTITUTE(SUBSTITUTE(SUBSTITUTE(TRIM('월 가계부'!C1147),",",""),"원","")," ",""),"−","-")))),"")</f>
        <v/>
      </c>
      <c r="CK1147">
        <f>IF(ISNUMBER(CI1147),IF(CI1147&lt;$B$13,CI1147,""),"")</f>
        <v/>
      </c>
      <c r="CM1147">
        <f>IF(CH1147="","",IFERROR(IF(IF(AND(LEN(CH1147)=9,ISERROR(FIND("-",LEFT(CH1147,8))),ISNUMBER(-LEFT(CH1147,8))),VALUE(LEFT(CH1147,4)),VALUE(LEFT(CH1147,FIND("-",CH1147)-1)))&lt;100,IF(AND(LEN(CH1147)=9,ISERROR(FIND("-",LEFT(CH1147,8))),ISNUMBER(-LEFT(CH1147,8))),VALUE(LEFT(CH1147,4)),VALUE(LEFT(CH1147,FIND("-",CH1147)-1)))+2000,IF(AND(LEN(CH1147)=9,ISERROR(FIND("-",LEFT(CH1147,8))),ISNUMBER(-LEFT(CH1147,8))),VALUE(LEFT(CH1147,4)),VALUE(LEFT(CH1147,FIND("-",CH1147)-1)))),""))</f>
        <v/>
      </c>
      <c r="CN1147">
        <f>IF(CH1147="","",IFERROR(IF(AND(LEN(CH1147)=9,ISERROR(FIND("-",LEFT(CH1147,8))),ISNUMBER(-LEFT(CH1147,8))),VALUE(MID(CH1147,5,2)),VALUE(MID(CH1147,FIND("-",CH1147)+1,FIND("-",CH1147,FIND("-",CH1147)+1)-FIND("-",CH1147)-1))),""))</f>
        <v/>
      </c>
      <c r="CO1147">
        <f>IF(CH1147="","",IFERROR(IF(AND(LEN(CH1147)=9,ISERROR(FIND("-",LEFT(CH1147,8))),ISNUMBER(-LEFT(CH1147,8))),VALUE(MID(CH1147,7,2)),VALUE(MID(CH1147,FIND("-",CH1147,FIND("-",CH1147)+1)+1,FIND("-",CH1147,FIND("-",CH1147,FIND("-",CH1147)+1)+1)-FIND("-",CH1147,FIND("-",CH1147)+1)-1))),""))</f>
        <v/>
      </c>
    </row>
    <row r="1148">
      <c r="CH1148">
        <f>IF(ISTEXT('월 가계부'!A1148),SUBSTITUTE(SUBSTITUTE(SUBSTITUTE(SUBSTITUTE(SUBSTITUTE(SUBSTITUTE(SUBSTITUTE(SUBSTITUTE(SUBSTITUTE(TRIM('월 가계부'!A1148),"년","-"),"월","-"),"일",""),".","-"),"/","-")," ","-"),"--","-"),"--","-"),"--","-")&amp;"-","")</f>
        <v/>
      </c>
      <c r="CI1148">
        <f>IFERROR(IF('월 가계부'!A1148="","",IF(ISNUMBER('월 가계부'!A1148),IF(AND('월 가계부'!A1148&gt;=19000101,'월 가계부'!A1148&lt;=21001231),IF(AND(MOD(INT('월 가계부'!A1148/100),100)&gt;=1,MOD(INT('월 가계부'!A1148/100),100)&lt;=12,MOD(INT('월 가계부'!A1148),100)&gt;=1,MOD(INT('월 가계부'!A1148),100)&lt;=31),IF(MONTH(DATE(INT('월 가계부'!A1148/10000),MOD(INT('월 가계부'!A1148/100),100),MOD(INT('월 가계부'!A1148),100)))=MOD(INT('월 가계부'!A1148/100),100),DATE(INT('월 가계부'!A1148/10000),MOD(INT('월 가계부'!A1148/100),100),MOD(INT('월 가계부'!A1148),100)),""),""),IF(AND('월 가계부'!A1148&gt;=36526,'월 가계부'!A1148&lt;73051),INT('월 가계부'!A1148),"")),IF(OR(CM1148="",CN1148="",CO1148=""),"",IF(AND(CM1148&gt;=2000,CM1148&lt;=2099,CN1148&gt;=1,CN1148&lt;=12,CO1148&gt;=1,CO1148&lt;=31),IF(MONTH(DATE(CM1148,CN1148,CO1148))=CN1148,DATE(CM1148,CN1148,CO1148),""),"")))),"")</f>
        <v/>
      </c>
      <c r="CJ1148">
        <f>IFERROR(IF('월 가계부'!C1148="","",IF(ISNUMBER('월 가계부'!C1148),'월 가계부'!C1148,VALUE(SUBSTITUTE(SUBSTITUTE(SUBSTITUTE(SUBSTITUTE(TRIM('월 가계부'!C1148),",",""),"원","")," ",""),"−","-")))),"")</f>
        <v/>
      </c>
      <c r="CK1148">
        <f>IF(ISNUMBER(CI1148),IF(CI1148&lt;$B$13,CI1148,""),"")</f>
        <v/>
      </c>
      <c r="CM1148">
        <f>IF(CH1148="","",IFERROR(IF(IF(AND(LEN(CH1148)=9,ISERROR(FIND("-",LEFT(CH1148,8))),ISNUMBER(-LEFT(CH1148,8))),VALUE(LEFT(CH1148,4)),VALUE(LEFT(CH1148,FIND("-",CH1148)-1)))&lt;100,IF(AND(LEN(CH1148)=9,ISERROR(FIND("-",LEFT(CH1148,8))),ISNUMBER(-LEFT(CH1148,8))),VALUE(LEFT(CH1148,4)),VALUE(LEFT(CH1148,FIND("-",CH1148)-1)))+2000,IF(AND(LEN(CH1148)=9,ISERROR(FIND("-",LEFT(CH1148,8))),ISNUMBER(-LEFT(CH1148,8))),VALUE(LEFT(CH1148,4)),VALUE(LEFT(CH1148,FIND("-",CH1148)-1)))),""))</f>
        <v/>
      </c>
      <c r="CN1148">
        <f>IF(CH1148="","",IFERROR(IF(AND(LEN(CH1148)=9,ISERROR(FIND("-",LEFT(CH1148,8))),ISNUMBER(-LEFT(CH1148,8))),VALUE(MID(CH1148,5,2)),VALUE(MID(CH1148,FIND("-",CH1148)+1,FIND("-",CH1148,FIND("-",CH1148)+1)-FIND("-",CH1148)-1))),""))</f>
        <v/>
      </c>
      <c r="CO1148">
        <f>IF(CH1148="","",IFERROR(IF(AND(LEN(CH1148)=9,ISERROR(FIND("-",LEFT(CH1148,8))),ISNUMBER(-LEFT(CH1148,8))),VALUE(MID(CH1148,7,2)),VALUE(MID(CH1148,FIND("-",CH1148,FIND("-",CH1148)+1)+1,FIND("-",CH1148,FIND("-",CH1148,FIND("-",CH1148)+1)+1)-FIND("-",CH1148,FIND("-",CH1148)+1)-1))),""))</f>
        <v/>
      </c>
    </row>
    <row r="1149">
      <c r="CH1149">
        <f>IF(ISTEXT('월 가계부'!A1149),SUBSTITUTE(SUBSTITUTE(SUBSTITUTE(SUBSTITUTE(SUBSTITUTE(SUBSTITUTE(SUBSTITUTE(SUBSTITUTE(SUBSTITUTE(TRIM('월 가계부'!A1149),"년","-"),"월","-"),"일",""),".","-"),"/","-")," ","-"),"--","-"),"--","-"),"--","-")&amp;"-","")</f>
        <v/>
      </c>
      <c r="CI1149">
        <f>IFERROR(IF('월 가계부'!A1149="","",IF(ISNUMBER('월 가계부'!A1149),IF(AND('월 가계부'!A1149&gt;=19000101,'월 가계부'!A1149&lt;=21001231),IF(AND(MOD(INT('월 가계부'!A1149/100),100)&gt;=1,MOD(INT('월 가계부'!A1149/100),100)&lt;=12,MOD(INT('월 가계부'!A1149),100)&gt;=1,MOD(INT('월 가계부'!A1149),100)&lt;=31),IF(MONTH(DATE(INT('월 가계부'!A1149/10000),MOD(INT('월 가계부'!A1149/100),100),MOD(INT('월 가계부'!A1149),100)))=MOD(INT('월 가계부'!A1149/100),100),DATE(INT('월 가계부'!A1149/10000),MOD(INT('월 가계부'!A1149/100),100),MOD(INT('월 가계부'!A1149),100)),""),""),IF(AND('월 가계부'!A1149&gt;=36526,'월 가계부'!A1149&lt;73051),INT('월 가계부'!A1149),"")),IF(OR(CM1149="",CN1149="",CO1149=""),"",IF(AND(CM1149&gt;=2000,CM1149&lt;=2099,CN1149&gt;=1,CN1149&lt;=12,CO1149&gt;=1,CO1149&lt;=31),IF(MONTH(DATE(CM1149,CN1149,CO1149))=CN1149,DATE(CM1149,CN1149,CO1149),""),"")))),"")</f>
        <v/>
      </c>
      <c r="CJ1149">
        <f>IFERROR(IF('월 가계부'!C1149="","",IF(ISNUMBER('월 가계부'!C1149),'월 가계부'!C1149,VALUE(SUBSTITUTE(SUBSTITUTE(SUBSTITUTE(SUBSTITUTE(TRIM('월 가계부'!C1149),",",""),"원","")," ",""),"−","-")))),"")</f>
        <v/>
      </c>
      <c r="CK1149">
        <f>IF(ISNUMBER(CI1149),IF(CI1149&lt;$B$13,CI1149,""),"")</f>
        <v/>
      </c>
      <c r="CM1149">
        <f>IF(CH1149="","",IFERROR(IF(IF(AND(LEN(CH1149)=9,ISERROR(FIND("-",LEFT(CH1149,8))),ISNUMBER(-LEFT(CH1149,8))),VALUE(LEFT(CH1149,4)),VALUE(LEFT(CH1149,FIND("-",CH1149)-1)))&lt;100,IF(AND(LEN(CH1149)=9,ISERROR(FIND("-",LEFT(CH1149,8))),ISNUMBER(-LEFT(CH1149,8))),VALUE(LEFT(CH1149,4)),VALUE(LEFT(CH1149,FIND("-",CH1149)-1)))+2000,IF(AND(LEN(CH1149)=9,ISERROR(FIND("-",LEFT(CH1149,8))),ISNUMBER(-LEFT(CH1149,8))),VALUE(LEFT(CH1149,4)),VALUE(LEFT(CH1149,FIND("-",CH1149)-1)))),""))</f>
        <v/>
      </c>
      <c r="CN1149">
        <f>IF(CH1149="","",IFERROR(IF(AND(LEN(CH1149)=9,ISERROR(FIND("-",LEFT(CH1149,8))),ISNUMBER(-LEFT(CH1149,8))),VALUE(MID(CH1149,5,2)),VALUE(MID(CH1149,FIND("-",CH1149)+1,FIND("-",CH1149,FIND("-",CH1149)+1)-FIND("-",CH1149)-1))),""))</f>
        <v/>
      </c>
      <c r="CO1149">
        <f>IF(CH1149="","",IFERROR(IF(AND(LEN(CH1149)=9,ISERROR(FIND("-",LEFT(CH1149,8))),ISNUMBER(-LEFT(CH1149,8))),VALUE(MID(CH1149,7,2)),VALUE(MID(CH1149,FIND("-",CH1149,FIND("-",CH1149)+1)+1,FIND("-",CH1149,FIND("-",CH1149,FIND("-",CH1149)+1)+1)-FIND("-",CH1149,FIND("-",CH1149)+1)-1))),""))</f>
        <v/>
      </c>
    </row>
    <row r="1150">
      <c r="CH1150">
        <f>IF(ISTEXT('월 가계부'!A1150),SUBSTITUTE(SUBSTITUTE(SUBSTITUTE(SUBSTITUTE(SUBSTITUTE(SUBSTITUTE(SUBSTITUTE(SUBSTITUTE(SUBSTITUTE(TRIM('월 가계부'!A1150),"년","-"),"월","-"),"일",""),".","-"),"/","-")," ","-"),"--","-"),"--","-"),"--","-")&amp;"-","")</f>
        <v/>
      </c>
      <c r="CI1150">
        <f>IFERROR(IF('월 가계부'!A1150="","",IF(ISNUMBER('월 가계부'!A1150),IF(AND('월 가계부'!A1150&gt;=19000101,'월 가계부'!A1150&lt;=21001231),IF(AND(MOD(INT('월 가계부'!A1150/100),100)&gt;=1,MOD(INT('월 가계부'!A1150/100),100)&lt;=12,MOD(INT('월 가계부'!A1150),100)&gt;=1,MOD(INT('월 가계부'!A1150),100)&lt;=31),IF(MONTH(DATE(INT('월 가계부'!A1150/10000),MOD(INT('월 가계부'!A1150/100),100),MOD(INT('월 가계부'!A1150),100)))=MOD(INT('월 가계부'!A1150/100),100),DATE(INT('월 가계부'!A1150/10000),MOD(INT('월 가계부'!A1150/100),100),MOD(INT('월 가계부'!A1150),100)),""),""),IF(AND('월 가계부'!A1150&gt;=36526,'월 가계부'!A1150&lt;73051),INT('월 가계부'!A1150),"")),IF(OR(CM1150="",CN1150="",CO1150=""),"",IF(AND(CM1150&gt;=2000,CM1150&lt;=2099,CN1150&gt;=1,CN1150&lt;=12,CO1150&gt;=1,CO1150&lt;=31),IF(MONTH(DATE(CM1150,CN1150,CO1150))=CN1150,DATE(CM1150,CN1150,CO1150),""),"")))),"")</f>
        <v/>
      </c>
      <c r="CJ1150">
        <f>IFERROR(IF('월 가계부'!C1150="","",IF(ISNUMBER('월 가계부'!C1150),'월 가계부'!C1150,VALUE(SUBSTITUTE(SUBSTITUTE(SUBSTITUTE(SUBSTITUTE(TRIM('월 가계부'!C1150),",",""),"원","")," ",""),"−","-")))),"")</f>
        <v/>
      </c>
      <c r="CK1150">
        <f>IF(ISNUMBER(CI1150),IF(CI1150&lt;$B$13,CI1150,""),"")</f>
        <v/>
      </c>
      <c r="CM1150">
        <f>IF(CH1150="","",IFERROR(IF(IF(AND(LEN(CH1150)=9,ISERROR(FIND("-",LEFT(CH1150,8))),ISNUMBER(-LEFT(CH1150,8))),VALUE(LEFT(CH1150,4)),VALUE(LEFT(CH1150,FIND("-",CH1150)-1)))&lt;100,IF(AND(LEN(CH1150)=9,ISERROR(FIND("-",LEFT(CH1150,8))),ISNUMBER(-LEFT(CH1150,8))),VALUE(LEFT(CH1150,4)),VALUE(LEFT(CH1150,FIND("-",CH1150)-1)))+2000,IF(AND(LEN(CH1150)=9,ISERROR(FIND("-",LEFT(CH1150,8))),ISNUMBER(-LEFT(CH1150,8))),VALUE(LEFT(CH1150,4)),VALUE(LEFT(CH1150,FIND("-",CH1150)-1)))),""))</f>
        <v/>
      </c>
      <c r="CN1150">
        <f>IF(CH1150="","",IFERROR(IF(AND(LEN(CH1150)=9,ISERROR(FIND("-",LEFT(CH1150,8))),ISNUMBER(-LEFT(CH1150,8))),VALUE(MID(CH1150,5,2)),VALUE(MID(CH1150,FIND("-",CH1150)+1,FIND("-",CH1150,FIND("-",CH1150)+1)-FIND("-",CH1150)-1))),""))</f>
        <v/>
      </c>
      <c r="CO1150">
        <f>IF(CH1150="","",IFERROR(IF(AND(LEN(CH1150)=9,ISERROR(FIND("-",LEFT(CH1150,8))),ISNUMBER(-LEFT(CH1150,8))),VALUE(MID(CH1150,7,2)),VALUE(MID(CH1150,FIND("-",CH1150,FIND("-",CH1150)+1)+1,FIND("-",CH1150,FIND("-",CH1150,FIND("-",CH1150)+1)+1)-FIND("-",CH1150,FIND("-",CH1150)+1)-1))),""))</f>
        <v/>
      </c>
    </row>
    <row r="1151">
      <c r="CH1151">
        <f>IF(ISTEXT('월 가계부'!A1151),SUBSTITUTE(SUBSTITUTE(SUBSTITUTE(SUBSTITUTE(SUBSTITUTE(SUBSTITUTE(SUBSTITUTE(SUBSTITUTE(SUBSTITUTE(TRIM('월 가계부'!A1151),"년","-"),"월","-"),"일",""),".","-"),"/","-")," ","-"),"--","-"),"--","-"),"--","-")&amp;"-","")</f>
        <v/>
      </c>
      <c r="CI1151">
        <f>IFERROR(IF('월 가계부'!A1151="","",IF(ISNUMBER('월 가계부'!A1151),IF(AND('월 가계부'!A1151&gt;=19000101,'월 가계부'!A1151&lt;=21001231),IF(AND(MOD(INT('월 가계부'!A1151/100),100)&gt;=1,MOD(INT('월 가계부'!A1151/100),100)&lt;=12,MOD(INT('월 가계부'!A1151),100)&gt;=1,MOD(INT('월 가계부'!A1151),100)&lt;=31),IF(MONTH(DATE(INT('월 가계부'!A1151/10000),MOD(INT('월 가계부'!A1151/100),100),MOD(INT('월 가계부'!A1151),100)))=MOD(INT('월 가계부'!A1151/100),100),DATE(INT('월 가계부'!A1151/10000),MOD(INT('월 가계부'!A1151/100),100),MOD(INT('월 가계부'!A1151),100)),""),""),IF(AND('월 가계부'!A1151&gt;=36526,'월 가계부'!A1151&lt;73051),INT('월 가계부'!A1151),"")),IF(OR(CM1151="",CN1151="",CO1151=""),"",IF(AND(CM1151&gt;=2000,CM1151&lt;=2099,CN1151&gt;=1,CN1151&lt;=12,CO1151&gt;=1,CO1151&lt;=31),IF(MONTH(DATE(CM1151,CN1151,CO1151))=CN1151,DATE(CM1151,CN1151,CO1151),""),"")))),"")</f>
        <v/>
      </c>
      <c r="CJ1151">
        <f>IFERROR(IF('월 가계부'!C1151="","",IF(ISNUMBER('월 가계부'!C1151),'월 가계부'!C1151,VALUE(SUBSTITUTE(SUBSTITUTE(SUBSTITUTE(SUBSTITUTE(TRIM('월 가계부'!C1151),",",""),"원","")," ",""),"−","-")))),"")</f>
        <v/>
      </c>
      <c r="CK1151">
        <f>IF(ISNUMBER(CI1151),IF(CI1151&lt;$B$13,CI1151,""),"")</f>
        <v/>
      </c>
      <c r="CM1151">
        <f>IF(CH1151="","",IFERROR(IF(IF(AND(LEN(CH1151)=9,ISERROR(FIND("-",LEFT(CH1151,8))),ISNUMBER(-LEFT(CH1151,8))),VALUE(LEFT(CH1151,4)),VALUE(LEFT(CH1151,FIND("-",CH1151)-1)))&lt;100,IF(AND(LEN(CH1151)=9,ISERROR(FIND("-",LEFT(CH1151,8))),ISNUMBER(-LEFT(CH1151,8))),VALUE(LEFT(CH1151,4)),VALUE(LEFT(CH1151,FIND("-",CH1151)-1)))+2000,IF(AND(LEN(CH1151)=9,ISERROR(FIND("-",LEFT(CH1151,8))),ISNUMBER(-LEFT(CH1151,8))),VALUE(LEFT(CH1151,4)),VALUE(LEFT(CH1151,FIND("-",CH1151)-1)))),""))</f>
        <v/>
      </c>
      <c r="CN1151">
        <f>IF(CH1151="","",IFERROR(IF(AND(LEN(CH1151)=9,ISERROR(FIND("-",LEFT(CH1151,8))),ISNUMBER(-LEFT(CH1151,8))),VALUE(MID(CH1151,5,2)),VALUE(MID(CH1151,FIND("-",CH1151)+1,FIND("-",CH1151,FIND("-",CH1151)+1)-FIND("-",CH1151)-1))),""))</f>
        <v/>
      </c>
      <c r="CO1151">
        <f>IF(CH1151="","",IFERROR(IF(AND(LEN(CH1151)=9,ISERROR(FIND("-",LEFT(CH1151,8))),ISNUMBER(-LEFT(CH1151,8))),VALUE(MID(CH1151,7,2)),VALUE(MID(CH1151,FIND("-",CH1151,FIND("-",CH1151)+1)+1,FIND("-",CH1151,FIND("-",CH1151,FIND("-",CH1151)+1)+1)-FIND("-",CH1151,FIND("-",CH1151)+1)-1))),""))</f>
        <v/>
      </c>
    </row>
    <row r="1152">
      <c r="CH1152">
        <f>IF(ISTEXT('월 가계부'!A1152),SUBSTITUTE(SUBSTITUTE(SUBSTITUTE(SUBSTITUTE(SUBSTITUTE(SUBSTITUTE(SUBSTITUTE(SUBSTITUTE(SUBSTITUTE(TRIM('월 가계부'!A1152),"년","-"),"월","-"),"일",""),".","-"),"/","-")," ","-"),"--","-"),"--","-"),"--","-")&amp;"-","")</f>
        <v/>
      </c>
      <c r="CI1152">
        <f>IFERROR(IF('월 가계부'!A1152="","",IF(ISNUMBER('월 가계부'!A1152),IF(AND('월 가계부'!A1152&gt;=19000101,'월 가계부'!A1152&lt;=21001231),IF(AND(MOD(INT('월 가계부'!A1152/100),100)&gt;=1,MOD(INT('월 가계부'!A1152/100),100)&lt;=12,MOD(INT('월 가계부'!A1152),100)&gt;=1,MOD(INT('월 가계부'!A1152),100)&lt;=31),IF(MONTH(DATE(INT('월 가계부'!A1152/10000),MOD(INT('월 가계부'!A1152/100),100),MOD(INT('월 가계부'!A1152),100)))=MOD(INT('월 가계부'!A1152/100),100),DATE(INT('월 가계부'!A1152/10000),MOD(INT('월 가계부'!A1152/100),100),MOD(INT('월 가계부'!A1152),100)),""),""),IF(AND('월 가계부'!A1152&gt;=36526,'월 가계부'!A1152&lt;73051),INT('월 가계부'!A1152),"")),IF(OR(CM1152="",CN1152="",CO1152=""),"",IF(AND(CM1152&gt;=2000,CM1152&lt;=2099,CN1152&gt;=1,CN1152&lt;=12,CO1152&gt;=1,CO1152&lt;=31),IF(MONTH(DATE(CM1152,CN1152,CO1152))=CN1152,DATE(CM1152,CN1152,CO1152),""),"")))),"")</f>
        <v/>
      </c>
      <c r="CJ1152">
        <f>IFERROR(IF('월 가계부'!C1152="","",IF(ISNUMBER('월 가계부'!C1152),'월 가계부'!C1152,VALUE(SUBSTITUTE(SUBSTITUTE(SUBSTITUTE(SUBSTITUTE(TRIM('월 가계부'!C1152),",",""),"원","")," ",""),"−","-")))),"")</f>
        <v/>
      </c>
      <c r="CK1152">
        <f>IF(ISNUMBER(CI1152),IF(CI1152&lt;$B$13,CI1152,""),"")</f>
        <v/>
      </c>
      <c r="CM1152">
        <f>IF(CH1152="","",IFERROR(IF(IF(AND(LEN(CH1152)=9,ISERROR(FIND("-",LEFT(CH1152,8))),ISNUMBER(-LEFT(CH1152,8))),VALUE(LEFT(CH1152,4)),VALUE(LEFT(CH1152,FIND("-",CH1152)-1)))&lt;100,IF(AND(LEN(CH1152)=9,ISERROR(FIND("-",LEFT(CH1152,8))),ISNUMBER(-LEFT(CH1152,8))),VALUE(LEFT(CH1152,4)),VALUE(LEFT(CH1152,FIND("-",CH1152)-1)))+2000,IF(AND(LEN(CH1152)=9,ISERROR(FIND("-",LEFT(CH1152,8))),ISNUMBER(-LEFT(CH1152,8))),VALUE(LEFT(CH1152,4)),VALUE(LEFT(CH1152,FIND("-",CH1152)-1)))),""))</f>
        <v/>
      </c>
      <c r="CN1152">
        <f>IF(CH1152="","",IFERROR(IF(AND(LEN(CH1152)=9,ISERROR(FIND("-",LEFT(CH1152,8))),ISNUMBER(-LEFT(CH1152,8))),VALUE(MID(CH1152,5,2)),VALUE(MID(CH1152,FIND("-",CH1152)+1,FIND("-",CH1152,FIND("-",CH1152)+1)-FIND("-",CH1152)-1))),""))</f>
        <v/>
      </c>
      <c r="CO1152">
        <f>IF(CH1152="","",IFERROR(IF(AND(LEN(CH1152)=9,ISERROR(FIND("-",LEFT(CH1152,8))),ISNUMBER(-LEFT(CH1152,8))),VALUE(MID(CH1152,7,2)),VALUE(MID(CH1152,FIND("-",CH1152,FIND("-",CH1152)+1)+1,FIND("-",CH1152,FIND("-",CH1152,FIND("-",CH1152)+1)+1)-FIND("-",CH1152,FIND("-",CH1152)+1)-1))),""))</f>
        <v/>
      </c>
    </row>
    <row r="1153">
      <c r="CH1153">
        <f>IF(ISTEXT('월 가계부'!A1153),SUBSTITUTE(SUBSTITUTE(SUBSTITUTE(SUBSTITUTE(SUBSTITUTE(SUBSTITUTE(SUBSTITUTE(SUBSTITUTE(SUBSTITUTE(TRIM('월 가계부'!A1153),"년","-"),"월","-"),"일",""),".","-"),"/","-")," ","-"),"--","-"),"--","-"),"--","-")&amp;"-","")</f>
        <v/>
      </c>
      <c r="CI1153">
        <f>IFERROR(IF('월 가계부'!A1153="","",IF(ISNUMBER('월 가계부'!A1153),IF(AND('월 가계부'!A1153&gt;=19000101,'월 가계부'!A1153&lt;=21001231),IF(AND(MOD(INT('월 가계부'!A1153/100),100)&gt;=1,MOD(INT('월 가계부'!A1153/100),100)&lt;=12,MOD(INT('월 가계부'!A1153),100)&gt;=1,MOD(INT('월 가계부'!A1153),100)&lt;=31),IF(MONTH(DATE(INT('월 가계부'!A1153/10000),MOD(INT('월 가계부'!A1153/100),100),MOD(INT('월 가계부'!A1153),100)))=MOD(INT('월 가계부'!A1153/100),100),DATE(INT('월 가계부'!A1153/10000),MOD(INT('월 가계부'!A1153/100),100),MOD(INT('월 가계부'!A1153),100)),""),""),IF(AND('월 가계부'!A1153&gt;=36526,'월 가계부'!A1153&lt;73051),INT('월 가계부'!A1153),"")),IF(OR(CM1153="",CN1153="",CO1153=""),"",IF(AND(CM1153&gt;=2000,CM1153&lt;=2099,CN1153&gt;=1,CN1153&lt;=12,CO1153&gt;=1,CO1153&lt;=31),IF(MONTH(DATE(CM1153,CN1153,CO1153))=CN1153,DATE(CM1153,CN1153,CO1153),""),"")))),"")</f>
        <v/>
      </c>
      <c r="CJ1153">
        <f>IFERROR(IF('월 가계부'!C1153="","",IF(ISNUMBER('월 가계부'!C1153),'월 가계부'!C1153,VALUE(SUBSTITUTE(SUBSTITUTE(SUBSTITUTE(SUBSTITUTE(TRIM('월 가계부'!C1153),",",""),"원","")," ",""),"−","-")))),"")</f>
        <v/>
      </c>
      <c r="CK1153">
        <f>IF(ISNUMBER(CI1153),IF(CI1153&lt;$B$13,CI1153,""),"")</f>
        <v/>
      </c>
      <c r="CM1153">
        <f>IF(CH1153="","",IFERROR(IF(IF(AND(LEN(CH1153)=9,ISERROR(FIND("-",LEFT(CH1153,8))),ISNUMBER(-LEFT(CH1153,8))),VALUE(LEFT(CH1153,4)),VALUE(LEFT(CH1153,FIND("-",CH1153)-1)))&lt;100,IF(AND(LEN(CH1153)=9,ISERROR(FIND("-",LEFT(CH1153,8))),ISNUMBER(-LEFT(CH1153,8))),VALUE(LEFT(CH1153,4)),VALUE(LEFT(CH1153,FIND("-",CH1153)-1)))+2000,IF(AND(LEN(CH1153)=9,ISERROR(FIND("-",LEFT(CH1153,8))),ISNUMBER(-LEFT(CH1153,8))),VALUE(LEFT(CH1153,4)),VALUE(LEFT(CH1153,FIND("-",CH1153)-1)))),""))</f>
        <v/>
      </c>
      <c r="CN1153">
        <f>IF(CH1153="","",IFERROR(IF(AND(LEN(CH1153)=9,ISERROR(FIND("-",LEFT(CH1153,8))),ISNUMBER(-LEFT(CH1153,8))),VALUE(MID(CH1153,5,2)),VALUE(MID(CH1153,FIND("-",CH1153)+1,FIND("-",CH1153,FIND("-",CH1153)+1)-FIND("-",CH1153)-1))),""))</f>
        <v/>
      </c>
      <c r="CO1153">
        <f>IF(CH1153="","",IFERROR(IF(AND(LEN(CH1153)=9,ISERROR(FIND("-",LEFT(CH1153,8))),ISNUMBER(-LEFT(CH1153,8))),VALUE(MID(CH1153,7,2)),VALUE(MID(CH1153,FIND("-",CH1153,FIND("-",CH1153)+1)+1,FIND("-",CH1153,FIND("-",CH1153,FIND("-",CH1153)+1)+1)-FIND("-",CH1153,FIND("-",CH1153)+1)-1))),""))</f>
        <v/>
      </c>
    </row>
    <row r="1154">
      <c r="CH1154">
        <f>IF(ISTEXT('월 가계부'!A1154),SUBSTITUTE(SUBSTITUTE(SUBSTITUTE(SUBSTITUTE(SUBSTITUTE(SUBSTITUTE(SUBSTITUTE(SUBSTITUTE(SUBSTITUTE(TRIM('월 가계부'!A1154),"년","-"),"월","-"),"일",""),".","-"),"/","-")," ","-"),"--","-"),"--","-"),"--","-")&amp;"-","")</f>
        <v/>
      </c>
      <c r="CI1154">
        <f>IFERROR(IF('월 가계부'!A1154="","",IF(ISNUMBER('월 가계부'!A1154),IF(AND('월 가계부'!A1154&gt;=19000101,'월 가계부'!A1154&lt;=21001231),IF(AND(MOD(INT('월 가계부'!A1154/100),100)&gt;=1,MOD(INT('월 가계부'!A1154/100),100)&lt;=12,MOD(INT('월 가계부'!A1154),100)&gt;=1,MOD(INT('월 가계부'!A1154),100)&lt;=31),IF(MONTH(DATE(INT('월 가계부'!A1154/10000),MOD(INT('월 가계부'!A1154/100),100),MOD(INT('월 가계부'!A1154),100)))=MOD(INT('월 가계부'!A1154/100),100),DATE(INT('월 가계부'!A1154/10000),MOD(INT('월 가계부'!A1154/100),100),MOD(INT('월 가계부'!A1154),100)),""),""),IF(AND('월 가계부'!A1154&gt;=36526,'월 가계부'!A1154&lt;73051),INT('월 가계부'!A1154),"")),IF(OR(CM1154="",CN1154="",CO1154=""),"",IF(AND(CM1154&gt;=2000,CM1154&lt;=2099,CN1154&gt;=1,CN1154&lt;=12,CO1154&gt;=1,CO1154&lt;=31),IF(MONTH(DATE(CM1154,CN1154,CO1154))=CN1154,DATE(CM1154,CN1154,CO1154),""),"")))),"")</f>
        <v/>
      </c>
      <c r="CJ1154">
        <f>IFERROR(IF('월 가계부'!C1154="","",IF(ISNUMBER('월 가계부'!C1154),'월 가계부'!C1154,VALUE(SUBSTITUTE(SUBSTITUTE(SUBSTITUTE(SUBSTITUTE(TRIM('월 가계부'!C1154),",",""),"원","")," ",""),"−","-")))),"")</f>
        <v/>
      </c>
      <c r="CK1154">
        <f>IF(ISNUMBER(CI1154),IF(CI1154&lt;$B$13,CI1154,""),"")</f>
        <v/>
      </c>
      <c r="CM1154">
        <f>IF(CH1154="","",IFERROR(IF(IF(AND(LEN(CH1154)=9,ISERROR(FIND("-",LEFT(CH1154,8))),ISNUMBER(-LEFT(CH1154,8))),VALUE(LEFT(CH1154,4)),VALUE(LEFT(CH1154,FIND("-",CH1154)-1)))&lt;100,IF(AND(LEN(CH1154)=9,ISERROR(FIND("-",LEFT(CH1154,8))),ISNUMBER(-LEFT(CH1154,8))),VALUE(LEFT(CH1154,4)),VALUE(LEFT(CH1154,FIND("-",CH1154)-1)))+2000,IF(AND(LEN(CH1154)=9,ISERROR(FIND("-",LEFT(CH1154,8))),ISNUMBER(-LEFT(CH1154,8))),VALUE(LEFT(CH1154,4)),VALUE(LEFT(CH1154,FIND("-",CH1154)-1)))),""))</f>
        <v/>
      </c>
      <c r="CN1154">
        <f>IF(CH1154="","",IFERROR(IF(AND(LEN(CH1154)=9,ISERROR(FIND("-",LEFT(CH1154,8))),ISNUMBER(-LEFT(CH1154,8))),VALUE(MID(CH1154,5,2)),VALUE(MID(CH1154,FIND("-",CH1154)+1,FIND("-",CH1154,FIND("-",CH1154)+1)-FIND("-",CH1154)-1))),""))</f>
        <v/>
      </c>
      <c r="CO1154">
        <f>IF(CH1154="","",IFERROR(IF(AND(LEN(CH1154)=9,ISERROR(FIND("-",LEFT(CH1154,8))),ISNUMBER(-LEFT(CH1154,8))),VALUE(MID(CH1154,7,2)),VALUE(MID(CH1154,FIND("-",CH1154,FIND("-",CH1154)+1)+1,FIND("-",CH1154,FIND("-",CH1154,FIND("-",CH1154)+1)+1)-FIND("-",CH1154,FIND("-",CH1154)+1)-1))),""))</f>
        <v/>
      </c>
    </row>
    <row r="1155">
      <c r="CH1155">
        <f>IF(ISTEXT('월 가계부'!A1155),SUBSTITUTE(SUBSTITUTE(SUBSTITUTE(SUBSTITUTE(SUBSTITUTE(SUBSTITUTE(SUBSTITUTE(SUBSTITUTE(SUBSTITUTE(TRIM('월 가계부'!A1155),"년","-"),"월","-"),"일",""),".","-"),"/","-")," ","-"),"--","-"),"--","-"),"--","-")&amp;"-","")</f>
        <v/>
      </c>
      <c r="CI1155">
        <f>IFERROR(IF('월 가계부'!A1155="","",IF(ISNUMBER('월 가계부'!A1155),IF(AND('월 가계부'!A1155&gt;=19000101,'월 가계부'!A1155&lt;=21001231),IF(AND(MOD(INT('월 가계부'!A1155/100),100)&gt;=1,MOD(INT('월 가계부'!A1155/100),100)&lt;=12,MOD(INT('월 가계부'!A1155),100)&gt;=1,MOD(INT('월 가계부'!A1155),100)&lt;=31),IF(MONTH(DATE(INT('월 가계부'!A1155/10000),MOD(INT('월 가계부'!A1155/100),100),MOD(INT('월 가계부'!A1155),100)))=MOD(INT('월 가계부'!A1155/100),100),DATE(INT('월 가계부'!A1155/10000),MOD(INT('월 가계부'!A1155/100),100),MOD(INT('월 가계부'!A1155),100)),""),""),IF(AND('월 가계부'!A1155&gt;=36526,'월 가계부'!A1155&lt;73051),INT('월 가계부'!A1155),"")),IF(OR(CM1155="",CN1155="",CO1155=""),"",IF(AND(CM1155&gt;=2000,CM1155&lt;=2099,CN1155&gt;=1,CN1155&lt;=12,CO1155&gt;=1,CO1155&lt;=31),IF(MONTH(DATE(CM1155,CN1155,CO1155))=CN1155,DATE(CM1155,CN1155,CO1155),""),"")))),"")</f>
        <v/>
      </c>
      <c r="CJ1155">
        <f>IFERROR(IF('월 가계부'!C1155="","",IF(ISNUMBER('월 가계부'!C1155),'월 가계부'!C1155,VALUE(SUBSTITUTE(SUBSTITUTE(SUBSTITUTE(SUBSTITUTE(TRIM('월 가계부'!C1155),",",""),"원","")," ",""),"−","-")))),"")</f>
        <v/>
      </c>
      <c r="CK1155">
        <f>IF(ISNUMBER(CI1155),IF(CI1155&lt;$B$13,CI1155,""),"")</f>
        <v/>
      </c>
      <c r="CM1155">
        <f>IF(CH1155="","",IFERROR(IF(IF(AND(LEN(CH1155)=9,ISERROR(FIND("-",LEFT(CH1155,8))),ISNUMBER(-LEFT(CH1155,8))),VALUE(LEFT(CH1155,4)),VALUE(LEFT(CH1155,FIND("-",CH1155)-1)))&lt;100,IF(AND(LEN(CH1155)=9,ISERROR(FIND("-",LEFT(CH1155,8))),ISNUMBER(-LEFT(CH1155,8))),VALUE(LEFT(CH1155,4)),VALUE(LEFT(CH1155,FIND("-",CH1155)-1)))+2000,IF(AND(LEN(CH1155)=9,ISERROR(FIND("-",LEFT(CH1155,8))),ISNUMBER(-LEFT(CH1155,8))),VALUE(LEFT(CH1155,4)),VALUE(LEFT(CH1155,FIND("-",CH1155)-1)))),""))</f>
        <v/>
      </c>
      <c r="CN1155">
        <f>IF(CH1155="","",IFERROR(IF(AND(LEN(CH1155)=9,ISERROR(FIND("-",LEFT(CH1155,8))),ISNUMBER(-LEFT(CH1155,8))),VALUE(MID(CH1155,5,2)),VALUE(MID(CH1155,FIND("-",CH1155)+1,FIND("-",CH1155,FIND("-",CH1155)+1)-FIND("-",CH1155)-1))),""))</f>
        <v/>
      </c>
      <c r="CO1155">
        <f>IF(CH1155="","",IFERROR(IF(AND(LEN(CH1155)=9,ISERROR(FIND("-",LEFT(CH1155,8))),ISNUMBER(-LEFT(CH1155,8))),VALUE(MID(CH1155,7,2)),VALUE(MID(CH1155,FIND("-",CH1155,FIND("-",CH1155)+1)+1,FIND("-",CH1155,FIND("-",CH1155,FIND("-",CH1155)+1)+1)-FIND("-",CH1155,FIND("-",CH1155)+1)-1))),""))</f>
        <v/>
      </c>
    </row>
    <row r="1156">
      <c r="CH1156">
        <f>IF(ISTEXT('월 가계부'!A1156),SUBSTITUTE(SUBSTITUTE(SUBSTITUTE(SUBSTITUTE(SUBSTITUTE(SUBSTITUTE(SUBSTITUTE(SUBSTITUTE(SUBSTITUTE(TRIM('월 가계부'!A1156),"년","-"),"월","-"),"일",""),".","-"),"/","-")," ","-"),"--","-"),"--","-"),"--","-")&amp;"-","")</f>
        <v/>
      </c>
      <c r="CI1156">
        <f>IFERROR(IF('월 가계부'!A1156="","",IF(ISNUMBER('월 가계부'!A1156),IF(AND('월 가계부'!A1156&gt;=19000101,'월 가계부'!A1156&lt;=21001231),IF(AND(MOD(INT('월 가계부'!A1156/100),100)&gt;=1,MOD(INT('월 가계부'!A1156/100),100)&lt;=12,MOD(INT('월 가계부'!A1156),100)&gt;=1,MOD(INT('월 가계부'!A1156),100)&lt;=31),IF(MONTH(DATE(INT('월 가계부'!A1156/10000),MOD(INT('월 가계부'!A1156/100),100),MOD(INT('월 가계부'!A1156),100)))=MOD(INT('월 가계부'!A1156/100),100),DATE(INT('월 가계부'!A1156/10000),MOD(INT('월 가계부'!A1156/100),100),MOD(INT('월 가계부'!A1156),100)),""),""),IF(AND('월 가계부'!A1156&gt;=36526,'월 가계부'!A1156&lt;73051),INT('월 가계부'!A1156),"")),IF(OR(CM1156="",CN1156="",CO1156=""),"",IF(AND(CM1156&gt;=2000,CM1156&lt;=2099,CN1156&gt;=1,CN1156&lt;=12,CO1156&gt;=1,CO1156&lt;=31),IF(MONTH(DATE(CM1156,CN1156,CO1156))=CN1156,DATE(CM1156,CN1156,CO1156),""),"")))),"")</f>
        <v/>
      </c>
      <c r="CJ1156">
        <f>IFERROR(IF('월 가계부'!C1156="","",IF(ISNUMBER('월 가계부'!C1156),'월 가계부'!C1156,VALUE(SUBSTITUTE(SUBSTITUTE(SUBSTITUTE(SUBSTITUTE(TRIM('월 가계부'!C1156),",",""),"원","")," ",""),"−","-")))),"")</f>
        <v/>
      </c>
      <c r="CK1156">
        <f>IF(ISNUMBER(CI1156),IF(CI1156&lt;$B$13,CI1156,""),"")</f>
        <v/>
      </c>
      <c r="CM1156">
        <f>IF(CH1156="","",IFERROR(IF(IF(AND(LEN(CH1156)=9,ISERROR(FIND("-",LEFT(CH1156,8))),ISNUMBER(-LEFT(CH1156,8))),VALUE(LEFT(CH1156,4)),VALUE(LEFT(CH1156,FIND("-",CH1156)-1)))&lt;100,IF(AND(LEN(CH1156)=9,ISERROR(FIND("-",LEFT(CH1156,8))),ISNUMBER(-LEFT(CH1156,8))),VALUE(LEFT(CH1156,4)),VALUE(LEFT(CH1156,FIND("-",CH1156)-1)))+2000,IF(AND(LEN(CH1156)=9,ISERROR(FIND("-",LEFT(CH1156,8))),ISNUMBER(-LEFT(CH1156,8))),VALUE(LEFT(CH1156,4)),VALUE(LEFT(CH1156,FIND("-",CH1156)-1)))),""))</f>
        <v/>
      </c>
      <c r="CN1156">
        <f>IF(CH1156="","",IFERROR(IF(AND(LEN(CH1156)=9,ISERROR(FIND("-",LEFT(CH1156,8))),ISNUMBER(-LEFT(CH1156,8))),VALUE(MID(CH1156,5,2)),VALUE(MID(CH1156,FIND("-",CH1156)+1,FIND("-",CH1156,FIND("-",CH1156)+1)-FIND("-",CH1156)-1))),""))</f>
        <v/>
      </c>
      <c r="CO1156">
        <f>IF(CH1156="","",IFERROR(IF(AND(LEN(CH1156)=9,ISERROR(FIND("-",LEFT(CH1156,8))),ISNUMBER(-LEFT(CH1156,8))),VALUE(MID(CH1156,7,2)),VALUE(MID(CH1156,FIND("-",CH1156,FIND("-",CH1156)+1)+1,FIND("-",CH1156,FIND("-",CH1156,FIND("-",CH1156)+1)+1)-FIND("-",CH1156,FIND("-",CH1156)+1)-1))),""))</f>
        <v/>
      </c>
    </row>
    <row r="1157">
      <c r="CH1157">
        <f>IF(ISTEXT('월 가계부'!A1157),SUBSTITUTE(SUBSTITUTE(SUBSTITUTE(SUBSTITUTE(SUBSTITUTE(SUBSTITUTE(SUBSTITUTE(SUBSTITUTE(SUBSTITUTE(TRIM('월 가계부'!A1157),"년","-"),"월","-"),"일",""),".","-"),"/","-")," ","-"),"--","-"),"--","-"),"--","-")&amp;"-","")</f>
        <v/>
      </c>
      <c r="CI1157">
        <f>IFERROR(IF('월 가계부'!A1157="","",IF(ISNUMBER('월 가계부'!A1157),IF(AND('월 가계부'!A1157&gt;=19000101,'월 가계부'!A1157&lt;=21001231),IF(AND(MOD(INT('월 가계부'!A1157/100),100)&gt;=1,MOD(INT('월 가계부'!A1157/100),100)&lt;=12,MOD(INT('월 가계부'!A1157),100)&gt;=1,MOD(INT('월 가계부'!A1157),100)&lt;=31),IF(MONTH(DATE(INT('월 가계부'!A1157/10000),MOD(INT('월 가계부'!A1157/100),100),MOD(INT('월 가계부'!A1157),100)))=MOD(INT('월 가계부'!A1157/100),100),DATE(INT('월 가계부'!A1157/10000),MOD(INT('월 가계부'!A1157/100),100),MOD(INT('월 가계부'!A1157),100)),""),""),IF(AND('월 가계부'!A1157&gt;=36526,'월 가계부'!A1157&lt;73051),INT('월 가계부'!A1157),"")),IF(OR(CM1157="",CN1157="",CO1157=""),"",IF(AND(CM1157&gt;=2000,CM1157&lt;=2099,CN1157&gt;=1,CN1157&lt;=12,CO1157&gt;=1,CO1157&lt;=31),IF(MONTH(DATE(CM1157,CN1157,CO1157))=CN1157,DATE(CM1157,CN1157,CO1157),""),"")))),"")</f>
        <v/>
      </c>
      <c r="CJ1157">
        <f>IFERROR(IF('월 가계부'!C1157="","",IF(ISNUMBER('월 가계부'!C1157),'월 가계부'!C1157,VALUE(SUBSTITUTE(SUBSTITUTE(SUBSTITUTE(SUBSTITUTE(TRIM('월 가계부'!C1157),",",""),"원","")," ",""),"−","-")))),"")</f>
        <v/>
      </c>
      <c r="CK1157">
        <f>IF(ISNUMBER(CI1157),IF(CI1157&lt;$B$13,CI1157,""),"")</f>
        <v/>
      </c>
      <c r="CM1157">
        <f>IF(CH1157="","",IFERROR(IF(IF(AND(LEN(CH1157)=9,ISERROR(FIND("-",LEFT(CH1157,8))),ISNUMBER(-LEFT(CH1157,8))),VALUE(LEFT(CH1157,4)),VALUE(LEFT(CH1157,FIND("-",CH1157)-1)))&lt;100,IF(AND(LEN(CH1157)=9,ISERROR(FIND("-",LEFT(CH1157,8))),ISNUMBER(-LEFT(CH1157,8))),VALUE(LEFT(CH1157,4)),VALUE(LEFT(CH1157,FIND("-",CH1157)-1)))+2000,IF(AND(LEN(CH1157)=9,ISERROR(FIND("-",LEFT(CH1157,8))),ISNUMBER(-LEFT(CH1157,8))),VALUE(LEFT(CH1157,4)),VALUE(LEFT(CH1157,FIND("-",CH1157)-1)))),""))</f>
        <v/>
      </c>
      <c r="CN1157">
        <f>IF(CH1157="","",IFERROR(IF(AND(LEN(CH1157)=9,ISERROR(FIND("-",LEFT(CH1157,8))),ISNUMBER(-LEFT(CH1157,8))),VALUE(MID(CH1157,5,2)),VALUE(MID(CH1157,FIND("-",CH1157)+1,FIND("-",CH1157,FIND("-",CH1157)+1)-FIND("-",CH1157)-1))),""))</f>
        <v/>
      </c>
      <c r="CO1157">
        <f>IF(CH1157="","",IFERROR(IF(AND(LEN(CH1157)=9,ISERROR(FIND("-",LEFT(CH1157,8))),ISNUMBER(-LEFT(CH1157,8))),VALUE(MID(CH1157,7,2)),VALUE(MID(CH1157,FIND("-",CH1157,FIND("-",CH1157)+1)+1,FIND("-",CH1157,FIND("-",CH1157,FIND("-",CH1157)+1)+1)-FIND("-",CH1157,FIND("-",CH1157)+1)-1))),""))</f>
        <v/>
      </c>
    </row>
    <row r="1158">
      <c r="CH1158">
        <f>IF(ISTEXT('월 가계부'!A1158),SUBSTITUTE(SUBSTITUTE(SUBSTITUTE(SUBSTITUTE(SUBSTITUTE(SUBSTITUTE(SUBSTITUTE(SUBSTITUTE(SUBSTITUTE(TRIM('월 가계부'!A1158),"년","-"),"월","-"),"일",""),".","-"),"/","-")," ","-"),"--","-"),"--","-"),"--","-")&amp;"-","")</f>
        <v/>
      </c>
      <c r="CI1158">
        <f>IFERROR(IF('월 가계부'!A1158="","",IF(ISNUMBER('월 가계부'!A1158),IF(AND('월 가계부'!A1158&gt;=19000101,'월 가계부'!A1158&lt;=21001231),IF(AND(MOD(INT('월 가계부'!A1158/100),100)&gt;=1,MOD(INT('월 가계부'!A1158/100),100)&lt;=12,MOD(INT('월 가계부'!A1158),100)&gt;=1,MOD(INT('월 가계부'!A1158),100)&lt;=31),IF(MONTH(DATE(INT('월 가계부'!A1158/10000),MOD(INT('월 가계부'!A1158/100),100),MOD(INT('월 가계부'!A1158),100)))=MOD(INT('월 가계부'!A1158/100),100),DATE(INT('월 가계부'!A1158/10000),MOD(INT('월 가계부'!A1158/100),100),MOD(INT('월 가계부'!A1158),100)),""),""),IF(AND('월 가계부'!A1158&gt;=36526,'월 가계부'!A1158&lt;73051),INT('월 가계부'!A1158),"")),IF(OR(CM1158="",CN1158="",CO1158=""),"",IF(AND(CM1158&gt;=2000,CM1158&lt;=2099,CN1158&gt;=1,CN1158&lt;=12,CO1158&gt;=1,CO1158&lt;=31),IF(MONTH(DATE(CM1158,CN1158,CO1158))=CN1158,DATE(CM1158,CN1158,CO1158),""),"")))),"")</f>
        <v/>
      </c>
      <c r="CJ1158">
        <f>IFERROR(IF('월 가계부'!C1158="","",IF(ISNUMBER('월 가계부'!C1158),'월 가계부'!C1158,VALUE(SUBSTITUTE(SUBSTITUTE(SUBSTITUTE(SUBSTITUTE(TRIM('월 가계부'!C1158),",",""),"원","")," ",""),"−","-")))),"")</f>
        <v/>
      </c>
      <c r="CK1158">
        <f>IF(ISNUMBER(CI1158),IF(CI1158&lt;$B$13,CI1158,""),"")</f>
        <v/>
      </c>
      <c r="CM1158">
        <f>IF(CH1158="","",IFERROR(IF(IF(AND(LEN(CH1158)=9,ISERROR(FIND("-",LEFT(CH1158,8))),ISNUMBER(-LEFT(CH1158,8))),VALUE(LEFT(CH1158,4)),VALUE(LEFT(CH1158,FIND("-",CH1158)-1)))&lt;100,IF(AND(LEN(CH1158)=9,ISERROR(FIND("-",LEFT(CH1158,8))),ISNUMBER(-LEFT(CH1158,8))),VALUE(LEFT(CH1158,4)),VALUE(LEFT(CH1158,FIND("-",CH1158)-1)))+2000,IF(AND(LEN(CH1158)=9,ISERROR(FIND("-",LEFT(CH1158,8))),ISNUMBER(-LEFT(CH1158,8))),VALUE(LEFT(CH1158,4)),VALUE(LEFT(CH1158,FIND("-",CH1158)-1)))),""))</f>
        <v/>
      </c>
      <c r="CN1158">
        <f>IF(CH1158="","",IFERROR(IF(AND(LEN(CH1158)=9,ISERROR(FIND("-",LEFT(CH1158,8))),ISNUMBER(-LEFT(CH1158,8))),VALUE(MID(CH1158,5,2)),VALUE(MID(CH1158,FIND("-",CH1158)+1,FIND("-",CH1158,FIND("-",CH1158)+1)-FIND("-",CH1158)-1))),""))</f>
        <v/>
      </c>
      <c r="CO1158">
        <f>IF(CH1158="","",IFERROR(IF(AND(LEN(CH1158)=9,ISERROR(FIND("-",LEFT(CH1158,8))),ISNUMBER(-LEFT(CH1158,8))),VALUE(MID(CH1158,7,2)),VALUE(MID(CH1158,FIND("-",CH1158,FIND("-",CH1158)+1)+1,FIND("-",CH1158,FIND("-",CH1158,FIND("-",CH1158)+1)+1)-FIND("-",CH1158,FIND("-",CH1158)+1)-1))),""))</f>
        <v/>
      </c>
    </row>
    <row r="1159">
      <c r="CH1159">
        <f>IF(ISTEXT('월 가계부'!A1159),SUBSTITUTE(SUBSTITUTE(SUBSTITUTE(SUBSTITUTE(SUBSTITUTE(SUBSTITUTE(SUBSTITUTE(SUBSTITUTE(SUBSTITUTE(TRIM('월 가계부'!A1159),"년","-"),"월","-"),"일",""),".","-"),"/","-")," ","-"),"--","-"),"--","-"),"--","-")&amp;"-","")</f>
        <v/>
      </c>
      <c r="CI1159">
        <f>IFERROR(IF('월 가계부'!A1159="","",IF(ISNUMBER('월 가계부'!A1159),IF(AND('월 가계부'!A1159&gt;=19000101,'월 가계부'!A1159&lt;=21001231),IF(AND(MOD(INT('월 가계부'!A1159/100),100)&gt;=1,MOD(INT('월 가계부'!A1159/100),100)&lt;=12,MOD(INT('월 가계부'!A1159),100)&gt;=1,MOD(INT('월 가계부'!A1159),100)&lt;=31),IF(MONTH(DATE(INT('월 가계부'!A1159/10000),MOD(INT('월 가계부'!A1159/100),100),MOD(INT('월 가계부'!A1159),100)))=MOD(INT('월 가계부'!A1159/100),100),DATE(INT('월 가계부'!A1159/10000),MOD(INT('월 가계부'!A1159/100),100),MOD(INT('월 가계부'!A1159),100)),""),""),IF(AND('월 가계부'!A1159&gt;=36526,'월 가계부'!A1159&lt;73051),INT('월 가계부'!A1159),"")),IF(OR(CM1159="",CN1159="",CO1159=""),"",IF(AND(CM1159&gt;=2000,CM1159&lt;=2099,CN1159&gt;=1,CN1159&lt;=12,CO1159&gt;=1,CO1159&lt;=31),IF(MONTH(DATE(CM1159,CN1159,CO1159))=CN1159,DATE(CM1159,CN1159,CO1159),""),"")))),"")</f>
        <v/>
      </c>
      <c r="CJ1159">
        <f>IFERROR(IF('월 가계부'!C1159="","",IF(ISNUMBER('월 가계부'!C1159),'월 가계부'!C1159,VALUE(SUBSTITUTE(SUBSTITUTE(SUBSTITUTE(SUBSTITUTE(TRIM('월 가계부'!C1159),",",""),"원","")," ",""),"−","-")))),"")</f>
        <v/>
      </c>
      <c r="CK1159">
        <f>IF(ISNUMBER(CI1159),IF(CI1159&lt;$B$13,CI1159,""),"")</f>
        <v/>
      </c>
      <c r="CM1159">
        <f>IF(CH1159="","",IFERROR(IF(IF(AND(LEN(CH1159)=9,ISERROR(FIND("-",LEFT(CH1159,8))),ISNUMBER(-LEFT(CH1159,8))),VALUE(LEFT(CH1159,4)),VALUE(LEFT(CH1159,FIND("-",CH1159)-1)))&lt;100,IF(AND(LEN(CH1159)=9,ISERROR(FIND("-",LEFT(CH1159,8))),ISNUMBER(-LEFT(CH1159,8))),VALUE(LEFT(CH1159,4)),VALUE(LEFT(CH1159,FIND("-",CH1159)-1)))+2000,IF(AND(LEN(CH1159)=9,ISERROR(FIND("-",LEFT(CH1159,8))),ISNUMBER(-LEFT(CH1159,8))),VALUE(LEFT(CH1159,4)),VALUE(LEFT(CH1159,FIND("-",CH1159)-1)))),""))</f>
        <v/>
      </c>
      <c r="CN1159">
        <f>IF(CH1159="","",IFERROR(IF(AND(LEN(CH1159)=9,ISERROR(FIND("-",LEFT(CH1159,8))),ISNUMBER(-LEFT(CH1159,8))),VALUE(MID(CH1159,5,2)),VALUE(MID(CH1159,FIND("-",CH1159)+1,FIND("-",CH1159,FIND("-",CH1159)+1)-FIND("-",CH1159)-1))),""))</f>
        <v/>
      </c>
      <c r="CO1159">
        <f>IF(CH1159="","",IFERROR(IF(AND(LEN(CH1159)=9,ISERROR(FIND("-",LEFT(CH1159,8))),ISNUMBER(-LEFT(CH1159,8))),VALUE(MID(CH1159,7,2)),VALUE(MID(CH1159,FIND("-",CH1159,FIND("-",CH1159)+1)+1,FIND("-",CH1159,FIND("-",CH1159,FIND("-",CH1159)+1)+1)-FIND("-",CH1159,FIND("-",CH1159)+1)-1))),""))</f>
        <v/>
      </c>
    </row>
    <row r="1160">
      <c r="CH1160">
        <f>IF(ISTEXT('월 가계부'!A1160),SUBSTITUTE(SUBSTITUTE(SUBSTITUTE(SUBSTITUTE(SUBSTITUTE(SUBSTITUTE(SUBSTITUTE(SUBSTITUTE(SUBSTITUTE(TRIM('월 가계부'!A1160),"년","-"),"월","-"),"일",""),".","-"),"/","-")," ","-"),"--","-"),"--","-"),"--","-")&amp;"-","")</f>
        <v/>
      </c>
      <c r="CI1160">
        <f>IFERROR(IF('월 가계부'!A1160="","",IF(ISNUMBER('월 가계부'!A1160),IF(AND('월 가계부'!A1160&gt;=19000101,'월 가계부'!A1160&lt;=21001231),IF(AND(MOD(INT('월 가계부'!A1160/100),100)&gt;=1,MOD(INT('월 가계부'!A1160/100),100)&lt;=12,MOD(INT('월 가계부'!A1160),100)&gt;=1,MOD(INT('월 가계부'!A1160),100)&lt;=31),IF(MONTH(DATE(INT('월 가계부'!A1160/10000),MOD(INT('월 가계부'!A1160/100),100),MOD(INT('월 가계부'!A1160),100)))=MOD(INT('월 가계부'!A1160/100),100),DATE(INT('월 가계부'!A1160/10000),MOD(INT('월 가계부'!A1160/100),100),MOD(INT('월 가계부'!A1160),100)),""),""),IF(AND('월 가계부'!A1160&gt;=36526,'월 가계부'!A1160&lt;73051),INT('월 가계부'!A1160),"")),IF(OR(CM1160="",CN1160="",CO1160=""),"",IF(AND(CM1160&gt;=2000,CM1160&lt;=2099,CN1160&gt;=1,CN1160&lt;=12,CO1160&gt;=1,CO1160&lt;=31),IF(MONTH(DATE(CM1160,CN1160,CO1160))=CN1160,DATE(CM1160,CN1160,CO1160),""),"")))),"")</f>
        <v/>
      </c>
      <c r="CJ1160">
        <f>IFERROR(IF('월 가계부'!C1160="","",IF(ISNUMBER('월 가계부'!C1160),'월 가계부'!C1160,VALUE(SUBSTITUTE(SUBSTITUTE(SUBSTITUTE(SUBSTITUTE(TRIM('월 가계부'!C1160),",",""),"원","")," ",""),"−","-")))),"")</f>
        <v/>
      </c>
      <c r="CK1160">
        <f>IF(ISNUMBER(CI1160),IF(CI1160&lt;$B$13,CI1160,""),"")</f>
        <v/>
      </c>
      <c r="CM1160">
        <f>IF(CH1160="","",IFERROR(IF(IF(AND(LEN(CH1160)=9,ISERROR(FIND("-",LEFT(CH1160,8))),ISNUMBER(-LEFT(CH1160,8))),VALUE(LEFT(CH1160,4)),VALUE(LEFT(CH1160,FIND("-",CH1160)-1)))&lt;100,IF(AND(LEN(CH1160)=9,ISERROR(FIND("-",LEFT(CH1160,8))),ISNUMBER(-LEFT(CH1160,8))),VALUE(LEFT(CH1160,4)),VALUE(LEFT(CH1160,FIND("-",CH1160)-1)))+2000,IF(AND(LEN(CH1160)=9,ISERROR(FIND("-",LEFT(CH1160,8))),ISNUMBER(-LEFT(CH1160,8))),VALUE(LEFT(CH1160,4)),VALUE(LEFT(CH1160,FIND("-",CH1160)-1)))),""))</f>
        <v/>
      </c>
      <c r="CN1160">
        <f>IF(CH1160="","",IFERROR(IF(AND(LEN(CH1160)=9,ISERROR(FIND("-",LEFT(CH1160,8))),ISNUMBER(-LEFT(CH1160,8))),VALUE(MID(CH1160,5,2)),VALUE(MID(CH1160,FIND("-",CH1160)+1,FIND("-",CH1160,FIND("-",CH1160)+1)-FIND("-",CH1160)-1))),""))</f>
        <v/>
      </c>
      <c r="CO1160">
        <f>IF(CH1160="","",IFERROR(IF(AND(LEN(CH1160)=9,ISERROR(FIND("-",LEFT(CH1160,8))),ISNUMBER(-LEFT(CH1160,8))),VALUE(MID(CH1160,7,2)),VALUE(MID(CH1160,FIND("-",CH1160,FIND("-",CH1160)+1)+1,FIND("-",CH1160,FIND("-",CH1160,FIND("-",CH1160)+1)+1)-FIND("-",CH1160,FIND("-",CH1160)+1)-1))),""))</f>
        <v/>
      </c>
    </row>
    <row r="1161">
      <c r="CH1161">
        <f>IF(ISTEXT('월 가계부'!A1161),SUBSTITUTE(SUBSTITUTE(SUBSTITUTE(SUBSTITUTE(SUBSTITUTE(SUBSTITUTE(SUBSTITUTE(SUBSTITUTE(SUBSTITUTE(TRIM('월 가계부'!A1161),"년","-"),"월","-"),"일",""),".","-"),"/","-")," ","-"),"--","-"),"--","-"),"--","-")&amp;"-","")</f>
        <v/>
      </c>
      <c r="CI1161">
        <f>IFERROR(IF('월 가계부'!A1161="","",IF(ISNUMBER('월 가계부'!A1161),IF(AND('월 가계부'!A1161&gt;=19000101,'월 가계부'!A1161&lt;=21001231),IF(AND(MOD(INT('월 가계부'!A1161/100),100)&gt;=1,MOD(INT('월 가계부'!A1161/100),100)&lt;=12,MOD(INT('월 가계부'!A1161),100)&gt;=1,MOD(INT('월 가계부'!A1161),100)&lt;=31),IF(MONTH(DATE(INT('월 가계부'!A1161/10000),MOD(INT('월 가계부'!A1161/100),100),MOD(INT('월 가계부'!A1161),100)))=MOD(INT('월 가계부'!A1161/100),100),DATE(INT('월 가계부'!A1161/10000),MOD(INT('월 가계부'!A1161/100),100),MOD(INT('월 가계부'!A1161),100)),""),""),IF(AND('월 가계부'!A1161&gt;=36526,'월 가계부'!A1161&lt;73051),INT('월 가계부'!A1161),"")),IF(OR(CM1161="",CN1161="",CO1161=""),"",IF(AND(CM1161&gt;=2000,CM1161&lt;=2099,CN1161&gt;=1,CN1161&lt;=12,CO1161&gt;=1,CO1161&lt;=31),IF(MONTH(DATE(CM1161,CN1161,CO1161))=CN1161,DATE(CM1161,CN1161,CO1161),""),"")))),"")</f>
        <v/>
      </c>
      <c r="CJ1161">
        <f>IFERROR(IF('월 가계부'!C1161="","",IF(ISNUMBER('월 가계부'!C1161),'월 가계부'!C1161,VALUE(SUBSTITUTE(SUBSTITUTE(SUBSTITUTE(SUBSTITUTE(TRIM('월 가계부'!C1161),",",""),"원","")," ",""),"−","-")))),"")</f>
        <v/>
      </c>
      <c r="CK1161">
        <f>IF(ISNUMBER(CI1161),IF(CI1161&lt;$B$13,CI1161,""),"")</f>
        <v/>
      </c>
      <c r="CM1161">
        <f>IF(CH1161="","",IFERROR(IF(IF(AND(LEN(CH1161)=9,ISERROR(FIND("-",LEFT(CH1161,8))),ISNUMBER(-LEFT(CH1161,8))),VALUE(LEFT(CH1161,4)),VALUE(LEFT(CH1161,FIND("-",CH1161)-1)))&lt;100,IF(AND(LEN(CH1161)=9,ISERROR(FIND("-",LEFT(CH1161,8))),ISNUMBER(-LEFT(CH1161,8))),VALUE(LEFT(CH1161,4)),VALUE(LEFT(CH1161,FIND("-",CH1161)-1)))+2000,IF(AND(LEN(CH1161)=9,ISERROR(FIND("-",LEFT(CH1161,8))),ISNUMBER(-LEFT(CH1161,8))),VALUE(LEFT(CH1161,4)),VALUE(LEFT(CH1161,FIND("-",CH1161)-1)))),""))</f>
        <v/>
      </c>
      <c r="CN1161">
        <f>IF(CH1161="","",IFERROR(IF(AND(LEN(CH1161)=9,ISERROR(FIND("-",LEFT(CH1161,8))),ISNUMBER(-LEFT(CH1161,8))),VALUE(MID(CH1161,5,2)),VALUE(MID(CH1161,FIND("-",CH1161)+1,FIND("-",CH1161,FIND("-",CH1161)+1)-FIND("-",CH1161)-1))),""))</f>
        <v/>
      </c>
      <c r="CO1161">
        <f>IF(CH1161="","",IFERROR(IF(AND(LEN(CH1161)=9,ISERROR(FIND("-",LEFT(CH1161,8))),ISNUMBER(-LEFT(CH1161,8))),VALUE(MID(CH1161,7,2)),VALUE(MID(CH1161,FIND("-",CH1161,FIND("-",CH1161)+1)+1,FIND("-",CH1161,FIND("-",CH1161,FIND("-",CH1161)+1)+1)-FIND("-",CH1161,FIND("-",CH1161)+1)-1))),""))</f>
        <v/>
      </c>
    </row>
    <row r="1162">
      <c r="CH1162">
        <f>IF(ISTEXT('월 가계부'!A1162),SUBSTITUTE(SUBSTITUTE(SUBSTITUTE(SUBSTITUTE(SUBSTITUTE(SUBSTITUTE(SUBSTITUTE(SUBSTITUTE(SUBSTITUTE(TRIM('월 가계부'!A1162),"년","-"),"월","-"),"일",""),".","-"),"/","-")," ","-"),"--","-"),"--","-"),"--","-")&amp;"-","")</f>
        <v/>
      </c>
      <c r="CI1162">
        <f>IFERROR(IF('월 가계부'!A1162="","",IF(ISNUMBER('월 가계부'!A1162),IF(AND('월 가계부'!A1162&gt;=19000101,'월 가계부'!A1162&lt;=21001231),IF(AND(MOD(INT('월 가계부'!A1162/100),100)&gt;=1,MOD(INT('월 가계부'!A1162/100),100)&lt;=12,MOD(INT('월 가계부'!A1162),100)&gt;=1,MOD(INT('월 가계부'!A1162),100)&lt;=31),IF(MONTH(DATE(INT('월 가계부'!A1162/10000),MOD(INT('월 가계부'!A1162/100),100),MOD(INT('월 가계부'!A1162),100)))=MOD(INT('월 가계부'!A1162/100),100),DATE(INT('월 가계부'!A1162/10000),MOD(INT('월 가계부'!A1162/100),100),MOD(INT('월 가계부'!A1162),100)),""),""),IF(AND('월 가계부'!A1162&gt;=36526,'월 가계부'!A1162&lt;73051),INT('월 가계부'!A1162),"")),IF(OR(CM1162="",CN1162="",CO1162=""),"",IF(AND(CM1162&gt;=2000,CM1162&lt;=2099,CN1162&gt;=1,CN1162&lt;=12,CO1162&gt;=1,CO1162&lt;=31),IF(MONTH(DATE(CM1162,CN1162,CO1162))=CN1162,DATE(CM1162,CN1162,CO1162),""),"")))),"")</f>
        <v/>
      </c>
      <c r="CJ1162">
        <f>IFERROR(IF('월 가계부'!C1162="","",IF(ISNUMBER('월 가계부'!C1162),'월 가계부'!C1162,VALUE(SUBSTITUTE(SUBSTITUTE(SUBSTITUTE(SUBSTITUTE(TRIM('월 가계부'!C1162),",",""),"원","")," ",""),"−","-")))),"")</f>
        <v/>
      </c>
      <c r="CK1162">
        <f>IF(ISNUMBER(CI1162),IF(CI1162&lt;$B$13,CI1162,""),"")</f>
        <v/>
      </c>
      <c r="CM1162">
        <f>IF(CH1162="","",IFERROR(IF(IF(AND(LEN(CH1162)=9,ISERROR(FIND("-",LEFT(CH1162,8))),ISNUMBER(-LEFT(CH1162,8))),VALUE(LEFT(CH1162,4)),VALUE(LEFT(CH1162,FIND("-",CH1162)-1)))&lt;100,IF(AND(LEN(CH1162)=9,ISERROR(FIND("-",LEFT(CH1162,8))),ISNUMBER(-LEFT(CH1162,8))),VALUE(LEFT(CH1162,4)),VALUE(LEFT(CH1162,FIND("-",CH1162)-1)))+2000,IF(AND(LEN(CH1162)=9,ISERROR(FIND("-",LEFT(CH1162,8))),ISNUMBER(-LEFT(CH1162,8))),VALUE(LEFT(CH1162,4)),VALUE(LEFT(CH1162,FIND("-",CH1162)-1)))),""))</f>
        <v/>
      </c>
      <c r="CN1162">
        <f>IF(CH1162="","",IFERROR(IF(AND(LEN(CH1162)=9,ISERROR(FIND("-",LEFT(CH1162,8))),ISNUMBER(-LEFT(CH1162,8))),VALUE(MID(CH1162,5,2)),VALUE(MID(CH1162,FIND("-",CH1162)+1,FIND("-",CH1162,FIND("-",CH1162)+1)-FIND("-",CH1162)-1))),""))</f>
        <v/>
      </c>
      <c r="CO1162">
        <f>IF(CH1162="","",IFERROR(IF(AND(LEN(CH1162)=9,ISERROR(FIND("-",LEFT(CH1162,8))),ISNUMBER(-LEFT(CH1162,8))),VALUE(MID(CH1162,7,2)),VALUE(MID(CH1162,FIND("-",CH1162,FIND("-",CH1162)+1)+1,FIND("-",CH1162,FIND("-",CH1162,FIND("-",CH1162)+1)+1)-FIND("-",CH1162,FIND("-",CH1162)+1)-1))),""))</f>
        <v/>
      </c>
    </row>
    <row r="1163">
      <c r="CH1163">
        <f>IF(ISTEXT('월 가계부'!A1163),SUBSTITUTE(SUBSTITUTE(SUBSTITUTE(SUBSTITUTE(SUBSTITUTE(SUBSTITUTE(SUBSTITUTE(SUBSTITUTE(SUBSTITUTE(TRIM('월 가계부'!A1163),"년","-"),"월","-"),"일",""),".","-"),"/","-")," ","-"),"--","-"),"--","-"),"--","-")&amp;"-","")</f>
        <v/>
      </c>
      <c r="CI1163">
        <f>IFERROR(IF('월 가계부'!A1163="","",IF(ISNUMBER('월 가계부'!A1163),IF(AND('월 가계부'!A1163&gt;=19000101,'월 가계부'!A1163&lt;=21001231),IF(AND(MOD(INT('월 가계부'!A1163/100),100)&gt;=1,MOD(INT('월 가계부'!A1163/100),100)&lt;=12,MOD(INT('월 가계부'!A1163),100)&gt;=1,MOD(INT('월 가계부'!A1163),100)&lt;=31),IF(MONTH(DATE(INT('월 가계부'!A1163/10000),MOD(INT('월 가계부'!A1163/100),100),MOD(INT('월 가계부'!A1163),100)))=MOD(INT('월 가계부'!A1163/100),100),DATE(INT('월 가계부'!A1163/10000),MOD(INT('월 가계부'!A1163/100),100),MOD(INT('월 가계부'!A1163),100)),""),""),IF(AND('월 가계부'!A1163&gt;=36526,'월 가계부'!A1163&lt;73051),INT('월 가계부'!A1163),"")),IF(OR(CM1163="",CN1163="",CO1163=""),"",IF(AND(CM1163&gt;=2000,CM1163&lt;=2099,CN1163&gt;=1,CN1163&lt;=12,CO1163&gt;=1,CO1163&lt;=31),IF(MONTH(DATE(CM1163,CN1163,CO1163))=CN1163,DATE(CM1163,CN1163,CO1163),""),"")))),"")</f>
        <v/>
      </c>
      <c r="CJ1163">
        <f>IFERROR(IF('월 가계부'!C1163="","",IF(ISNUMBER('월 가계부'!C1163),'월 가계부'!C1163,VALUE(SUBSTITUTE(SUBSTITUTE(SUBSTITUTE(SUBSTITUTE(TRIM('월 가계부'!C1163),",",""),"원","")," ",""),"−","-")))),"")</f>
        <v/>
      </c>
      <c r="CK1163">
        <f>IF(ISNUMBER(CI1163),IF(CI1163&lt;$B$13,CI1163,""),"")</f>
        <v/>
      </c>
      <c r="CM1163">
        <f>IF(CH1163="","",IFERROR(IF(IF(AND(LEN(CH1163)=9,ISERROR(FIND("-",LEFT(CH1163,8))),ISNUMBER(-LEFT(CH1163,8))),VALUE(LEFT(CH1163,4)),VALUE(LEFT(CH1163,FIND("-",CH1163)-1)))&lt;100,IF(AND(LEN(CH1163)=9,ISERROR(FIND("-",LEFT(CH1163,8))),ISNUMBER(-LEFT(CH1163,8))),VALUE(LEFT(CH1163,4)),VALUE(LEFT(CH1163,FIND("-",CH1163)-1)))+2000,IF(AND(LEN(CH1163)=9,ISERROR(FIND("-",LEFT(CH1163,8))),ISNUMBER(-LEFT(CH1163,8))),VALUE(LEFT(CH1163,4)),VALUE(LEFT(CH1163,FIND("-",CH1163)-1)))),""))</f>
        <v/>
      </c>
      <c r="CN1163">
        <f>IF(CH1163="","",IFERROR(IF(AND(LEN(CH1163)=9,ISERROR(FIND("-",LEFT(CH1163,8))),ISNUMBER(-LEFT(CH1163,8))),VALUE(MID(CH1163,5,2)),VALUE(MID(CH1163,FIND("-",CH1163)+1,FIND("-",CH1163,FIND("-",CH1163)+1)-FIND("-",CH1163)-1))),""))</f>
        <v/>
      </c>
      <c r="CO1163">
        <f>IF(CH1163="","",IFERROR(IF(AND(LEN(CH1163)=9,ISERROR(FIND("-",LEFT(CH1163,8))),ISNUMBER(-LEFT(CH1163,8))),VALUE(MID(CH1163,7,2)),VALUE(MID(CH1163,FIND("-",CH1163,FIND("-",CH1163)+1)+1,FIND("-",CH1163,FIND("-",CH1163,FIND("-",CH1163)+1)+1)-FIND("-",CH1163,FIND("-",CH1163)+1)-1))),""))</f>
        <v/>
      </c>
    </row>
    <row r="1164">
      <c r="CH1164">
        <f>IF(ISTEXT('월 가계부'!A1164),SUBSTITUTE(SUBSTITUTE(SUBSTITUTE(SUBSTITUTE(SUBSTITUTE(SUBSTITUTE(SUBSTITUTE(SUBSTITUTE(SUBSTITUTE(TRIM('월 가계부'!A1164),"년","-"),"월","-"),"일",""),".","-"),"/","-")," ","-"),"--","-"),"--","-"),"--","-")&amp;"-","")</f>
        <v/>
      </c>
      <c r="CI1164">
        <f>IFERROR(IF('월 가계부'!A1164="","",IF(ISNUMBER('월 가계부'!A1164),IF(AND('월 가계부'!A1164&gt;=19000101,'월 가계부'!A1164&lt;=21001231),IF(AND(MOD(INT('월 가계부'!A1164/100),100)&gt;=1,MOD(INT('월 가계부'!A1164/100),100)&lt;=12,MOD(INT('월 가계부'!A1164),100)&gt;=1,MOD(INT('월 가계부'!A1164),100)&lt;=31),IF(MONTH(DATE(INT('월 가계부'!A1164/10000),MOD(INT('월 가계부'!A1164/100),100),MOD(INT('월 가계부'!A1164),100)))=MOD(INT('월 가계부'!A1164/100),100),DATE(INT('월 가계부'!A1164/10000),MOD(INT('월 가계부'!A1164/100),100),MOD(INT('월 가계부'!A1164),100)),""),""),IF(AND('월 가계부'!A1164&gt;=36526,'월 가계부'!A1164&lt;73051),INT('월 가계부'!A1164),"")),IF(OR(CM1164="",CN1164="",CO1164=""),"",IF(AND(CM1164&gt;=2000,CM1164&lt;=2099,CN1164&gt;=1,CN1164&lt;=12,CO1164&gt;=1,CO1164&lt;=31),IF(MONTH(DATE(CM1164,CN1164,CO1164))=CN1164,DATE(CM1164,CN1164,CO1164),""),"")))),"")</f>
        <v/>
      </c>
      <c r="CJ1164">
        <f>IFERROR(IF('월 가계부'!C1164="","",IF(ISNUMBER('월 가계부'!C1164),'월 가계부'!C1164,VALUE(SUBSTITUTE(SUBSTITUTE(SUBSTITUTE(SUBSTITUTE(TRIM('월 가계부'!C1164),",",""),"원","")," ",""),"−","-")))),"")</f>
        <v/>
      </c>
      <c r="CK1164">
        <f>IF(ISNUMBER(CI1164),IF(CI1164&lt;$B$13,CI1164,""),"")</f>
        <v/>
      </c>
      <c r="CM1164">
        <f>IF(CH1164="","",IFERROR(IF(IF(AND(LEN(CH1164)=9,ISERROR(FIND("-",LEFT(CH1164,8))),ISNUMBER(-LEFT(CH1164,8))),VALUE(LEFT(CH1164,4)),VALUE(LEFT(CH1164,FIND("-",CH1164)-1)))&lt;100,IF(AND(LEN(CH1164)=9,ISERROR(FIND("-",LEFT(CH1164,8))),ISNUMBER(-LEFT(CH1164,8))),VALUE(LEFT(CH1164,4)),VALUE(LEFT(CH1164,FIND("-",CH1164)-1)))+2000,IF(AND(LEN(CH1164)=9,ISERROR(FIND("-",LEFT(CH1164,8))),ISNUMBER(-LEFT(CH1164,8))),VALUE(LEFT(CH1164,4)),VALUE(LEFT(CH1164,FIND("-",CH1164)-1)))),""))</f>
        <v/>
      </c>
      <c r="CN1164">
        <f>IF(CH1164="","",IFERROR(IF(AND(LEN(CH1164)=9,ISERROR(FIND("-",LEFT(CH1164,8))),ISNUMBER(-LEFT(CH1164,8))),VALUE(MID(CH1164,5,2)),VALUE(MID(CH1164,FIND("-",CH1164)+1,FIND("-",CH1164,FIND("-",CH1164)+1)-FIND("-",CH1164)-1))),""))</f>
        <v/>
      </c>
      <c r="CO1164">
        <f>IF(CH1164="","",IFERROR(IF(AND(LEN(CH1164)=9,ISERROR(FIND("-",LEFT(CH1164,8))),ISNUMBER(-LEFT(CH1164,8))),VALUE(MID(CH1164,7,2)),VALUE(MID(CH1164,FIND("-",CH1164,FIND("-",CH1164)+1)+1,FIND("-",CH1164,FIND("-",CH1164,FIND("-",CH1164)+1)+1)-FIND("-",CH1164,FIND("-",CH1164)+1)-1))),""))</f>
        <v/>
      </c>
    </row>
    <row r="1165">
      <c r="CH1165">
        <f>IF(ISTEXT('월 가계부'!A1165),SUBSTITUTE(SUBSTITUTE(SUBSTITUTE(SUBSTITUTE(SUBSTITUTE(SUBSTITUTE(SUBSTITUTE(SUBSTITUTE(SUBSTITUTE(TRIM('월 가계부'!A1165),"년","-"),"월","-"),"일",""),".","-"),"/","-")," ","-"),"--","-"),"--","-"),"--","-")&amp;"-","")</f>
        <v/>
      </c>
      <c r="CI1165">
        <f>IFERROR(IF('월 가계부'!A1165="","",IF(ISNUMBER('월 가계부'!A1165),IF(AND('월 가계부'!A1165&gt;=19000101,'월 가계부'!A1165&lt;=21001231),IF(AND(MOD(INT('월 가계부'!A1165/100),100)&gt;=1,MOD(INT('월 가계부'!A1165/100),100)&lt;=12,MOD(INT('월 가계부'!A1165),100)&gt;=1,MOD(INT('월 가계부'!A1165),100)&lt;=31),IF(MONTH(DATE(INT('월 가계부'!A1165/10000),MOD(INT('월 가계부'!A1165/100),100),MOD(INT('월 가계부'!A1165),100)))=MOD(INT('월 가계부'!A1165/100),100),DATE(INT('월 가계부'!A1165/10000),MOD(INT('월 가계부'!A1165/100),100),MOD(INT('월 가계부'!A1165),100)),""),""),IF(AND('월 가계부'!A1165&gt;=36526,'월 가계부'!A1165&lt;73051),INT('월 가계부'!A1165),"")),IF(OR(CM1165="",CN1165="",CO1165=""),"",IF(AND(CM1165&gt;=2000,CM1165&lt;=2099,CN1165&gt;=1,CN1165&lt;=12,CO1165&gt;=1,CO1165&lt;=31),IF(MONTH(DATE(CM1165,CN1165,CO1165))=CN1165,DATE(CM1165,CN1165,CO1165),""),"")))),"")</f>
        <v/>
      </c>
      <c r="CJ1165">
        <f>IFERROR(IF('월 가계부'!C1165="","",IF(ISNUMBER('월 가계부'!C1165),'월 가계부'!C1165,VALUE(SUBSTITUTE(SUBSTITUTE(SUBSTITUTE(SUBSTITUTE(TRIM('월 가계부'!C1165),",",""),"원","")," ",""),"−","-")))),"")</f>
        <v/>
      </c>
      <c r="CK1165">
        <f>IF(ISNUMBER(CI1165),IF(CI1165&lt;$B$13,CI1165,""),"")</f>
        <v/>
      </c>
      <c r="CM1165">
        <f>IF(CH1165="","",IFERROR(IF(IF(AND(LEN(CH1165)=9,ISERROR(FIND("-",LEFT(CH1165,8))),ISNUMBER(-LEFT(CH1165,8))),VALUE(LEFT(CH1165,4)),VALUE(LEFT(CH1165,FIND("-",CH1165)-1)))&lt;100,IF(AND(LEN(CH1165)=9,ISERROR(FIND("-",LEFT(CH1165,8))),ISNUMBER(-LEFT(CH1165,8))),VALUE(LEFT(CH1165,4)),VALUE(LEFT(CH1165,FIND("-",CH1165)-1)))+2000,IF(AND(LEN(CH1165)=9,ISERROR(FIND("-",LEFT(CH1165,8))),ISNUMBER(-LEFT(CH1165,8))),VALUE(LEFT(CH1165,4)),VALUE(LEFT(CH1165,FIND("-",CH1165)-1)))),""))</f>
        <v/>
      </c>
      <c r="CN1165">
        <f>IF(CH1165="","",IFERROR(IF(AND(LEN(CH1165)=9,ISERROR(FIND("-",LEFT(CH1165,8))),ISNUMBER(-LEFT(CH1165,8))),VALUE(MID(CH1165,5,2)),VALUE(MID(CH1165,FIND("-",CH1165)+1,FIND("-",CH1165,FIND("-",CH1165)+1)-FIND("-",CH1165)-1))),""))</f>
        <v/>
      </c>
      <c r="CO1165">
        <f>IF(CH1165="","",IFERROR(IF(AND(LEN(CH1165)=9,ISERROR(FIND("-",LEFT(CH1165,8))),ISNUMBER(-LEFT(CH1165,8))),VALUE(MID(CH1165,7,2)),VALUE(MID(CH1165,FIND("-",CH1165,FIND("-",CH1165)+1)+1,FIND("-",CH1165,FIND("-",CH1165,FIND("-",CH1165)+1)+1)-FIND("-",CH1165,FIND("-",CH1165)+1)-1))),""))</f>
        <v/>
      </c>
    </row>
    <row r="1166">
      <c r="CH1166">
        <f>IF(ISTEXT('월 가계부'!A1166),SUBSTITUTE(SUBSTITUTE(SUBSTITUTE(SUBSTITUTE(SUBSTITUTE(SUBSTITUTE(SUBSTITUTE(SUBSTITUTE(SUBSTITUTE(TRIM('월 가계부'!A1166),"년","-"),"월","-"),"일",""),".","-"),"/","-")," ","-"),"--","-"),"--","-"),"--","-")&amp;"-","")</f>
        <v/>
      </c>
      <c r="CI1166">
        <f>IFERROR(IF('월 가계부'!A1166="","",IF(ISNUMBER('월 가계부'!A1166),IF(AND('월 가계부'!A1166&gt;=19000101,'월 가계부'!A1166&lt;=21001231),IF(AND(MOD(INT('월 가계부'!A1166/100),100)&gt;=1,MOD(INT('월 가계부'!A1166/100),100)&lt;=12,MOD(INT('월 가계부'!A1166),100)&gt;=1,MOD(INT('월 가계부'!A1166),100)&lt;=31),IF(MONTH(DATE(INT('월 가계부'!A1166/10000),MOD(INT('월 가계부'!A1166/100),100),MOD(INT('월 가계부'!A1166),100)))=MOD(INT('월 가계부'!A1166/100),100),DATE(INT('월 가계부'!A1166/10000),MOD(INT('월 가계부'!A1166/100),100),MOD(INT('월 가계부'!A1166),100)),""),""),IF(AND('월 가계부'!A1166&gt;=36526,'월 가계부'!A1166&lt;73051),INT('월 가계부'!A1166),"")),IF(OR(CM1166="",CN1166="",CO1166=""),"",IF(AND(CM1166&gt;=2000,CM1166&lt;=2099,CN1166&gt;=1,CN1166&lt;=12,CO1166&gt;=1,CO1166&lt;=31),IF(MONTH(DATE(CM1166,CN1166,CO1166))=CN1166,DATE(CM1166,CN1166,CO1166),""),"")))),"")</f>
        <v/>
      </c>
      <c r="CJ1166">
        <f>IFERROR(IF('월 가계부'!C1166="","",IF(ISNUMBER('월 가계부'!C1166),'월 가계부'!C1166,VALUE(SUBSTITUTE(SUBSTITUTE(SUBSTITUTE(SUBSTITUTE(TRIM('월 가계부'!C1166),",",""),"원","")," ",""),"−","-")))),"")</f>
        <v/>
      </c>
      <c r="CK1166">
        <f>IF(ISNUMBER(CI1166),IF(CI1166&lt;$B$13,CI1166,""),"")</f>
        <v/>
      </c>
      <c r="CM1166">
        <f>IF(CH1166="","",IFERROR(IF(IF(AND(LEN(CH1166)=9,ISERROR(FIND("-",LEFT(CH1166,8))),ISNUMBER(-LEFT(CH1166,8))),VALUE(LEFT(CH1166,4)),VALUE(LEFT(CH1166,FIND("-",CH1166)-1)))&lt;100,IF(AND(LEN(CH1166)=9,ISERROR(FIND("-",LEFT(CH1166,8))),ISNUMBER(-LEFT(CH1166,8))),VALUE(LEFT(CH1166,4)),VALUE(LEFT(CH1166,FIND("-",CH1166)-1)))+2000,IF(AND(LEN(CH1166)=9,ISERROR(FIND("-",LEFT(CH1166,8))),ISNUMBER(-LEFT(CH1166,8))),VALUE(LEFT(CH1166,4)),VALUE(LEFT(CH1166,FIND("-",CH1166)-1)))),""))</f>
        <v/>
      </c>
      <c r="CN1166">
        <f>IF(CH1166="","",IFERROR(IF(AND(LEN(CH1166)=9,ISERROR(FIND("-",LEFT(CH1166,8))),ISNUMBER(-LEFT(CH1166,8))),VALUE(MID(CH1166,5,2)),VALUE(MID(CH1166,FIND("-",CH1166)+1,FIND("-",CH1166,FIND("-",CH1166)+1)-FIND("-",CH1166)-1))),""))</f>
        <v/>
      </c>
      <c r="CO1166">
        <f>IF(CH1166="","",IFERROR(IF(AND(LEN(CH1166)=9,ISERROR(FIND("-",LEFT(CH1166,8))),ISNUMBER(-LEFT(CH1166,8))),VALUE(MID(CH1166,7,2)),VALUE(MID(CH1166,FIND("-",CH1166,FIND("-",CH1166)+1)+1,FIND("-",CH1166,FIND("-",CH1166,FIND("-",CH1166)+1)+1)-FIND("-",CH1166,FIND("-",CH1166)+1)-1))),""))</f>
        <v/>
      </c>
    </row>
    <row r="1167">
      <c r="CH1167">
        <f>IF(ISTEXT('월 가계부'!A1167),SUBSTITUTE(SUBSTITUTE(SUBSTITUTE(SUBSTITUTE(SUBSTITUTE(SUBSTITUTE(SUBSTITUTE(SUBSTITUTE(SUBSTITUTE(TRIM('월 가계부'!A1167),"년","-"),"월","-"),"일",""),".","-"),"/","-")," ","-"),"--","-"),"--","-"),"--","-")&amp;"-","")</f>
        <v/>
      </c>
      <c r="CI1167">
        <f>IFERROR(IF('월 가계부'!A1167="","",IF(ISNUMBER('월 가계부'!A1167),IF(AND('월 가계부'!A1167&gt;=19000101,'월 가계부'!A1167&lt;=21001231),IF(AND(MOD(INT('월 가계부'!A1167/100),100)&gt;=1,MOD(INT('월 가계부'!A1167/100),100)&lt;=12,MOD(INT('월 가계부'!A1167),100)&gt;=1,MOD(INT('월 가계부'!A1167),100)&lt;=31),IF(MONTH(DATE(INT('월 가계부'!A1167/10000),MOD(INT('월 가계부'!A1167/100),100),MOD(INT('월 가계부'!A1167),100)))=MOD(INT('월 가계부'!A1167/100),100),DATE(INT('월 가계부'!A1167/10000),MOD(INT('월 가계부'!A1167/100),100),MOD(INT('월 가계부'!A1167),100)),""),""),IF(AND('월 가계부'!A1167&gt;=36526,'월 가계부'!A1167&lt;73051),INT('월 가계부'!A1167),"")),IF(OR(CM1167="",CN1167="",CO1167=""),"",IF(AND(CM1167&gt;=2000,CM1167&lt;=2099,CN1167&gt;=1,CN1167&lt;=12,CO1167&gt;=1,CO1167&lt;=31),IF(MONTH(DATE(CM1167,CN1167,CO1167))=CN1167,DATE(CM1167,CN1167,CO1167),""),"")))),"")</f>
        <v/>
      </c>
      <c r="CJ1167">
        <f>IFERROR(IF('월 가계부'!C1167="","",IF(ISNUMBER('월 가계부'!C1167),'월 가계부'!C1167,VALUE(SUBSTITUTE(SUBSTITUTE(SUBSTITUTE(SUBSTITUTE(TRIM('월 가계부'!C1167),",",""),"원","")," ",""),"−","-")))),"")</f>
        <v/>
      </c>
      <c r="CK1167">
        <f>IF(ISNUMBER(CI1167),IF(CI1167&lt;$B$13,CI1167,""),"")</f>
        <v/>
      </c>
      <c r="CM1167">
        <f>IF(CH1167="","",IFERROR(IF(IF(AND(LEN(CH1167)=9,ISERROR(FIND("-",LEFT(CH1167,8))),ISNUMBER(-LEFT(CH1167,8))),VALUE(LEFT(CH1167,4)),VALUE(LEFT(CH1167,FIND("-",CH1167)-1)))&lt;100,IF(AND(LEN(CH1167)=9,ISERROR(FIND("-",LEFT(CH1167,8))),ISNUMBER(-LEFT(CH1167,8))),VALUE(LEFT(CH1167,4)),VALUE(LEFT(CH1167,FIND("-",CH1167)-1)))+2000,IF(AND(LEN(CH1167)=9,ISERROR(FIND("-",LEFT(CH1167,8))),ISNUMBER(-LEFT(CH1167,8))),VALUE(LEFT(CH1167,4)),VALUE(LEFT(CH1167,FIND("-",CH1167)-1)))),""))</f>
        <v/>
      </c>
      <c r="CN1167">
        <f>IF(CH1167="","",IFERROR(IF(AND(LEN(CH1167)=9,ISERROR(FIND("-",LEFT(CH1167,8))),ISNUMBER(-LEFT(CH1167,8))),VALUE(MID(CH1167,5,2)),VALUE(MID(CH1167,FIND("-",CH1167)+1,FIND("-",CH1167,FIND("-",CH1167)+1)-FIND("-",CH1167)-1))),""))</f>
        <v/>
      </c>
      <c r="CO1167">
        <f>IF(CH1167="","",IFERROR(IF(AND(LEN(CH1167)=9,ISERROR(FIND("-",LEFT(CH1167,8))),ISNUMBER(-LEFT(CH1167,8))),VALUE(MID(CH1167,7,2)),VALUE(MID(CH1167,FIND("-",CH1167,FIND("-",CH1167)+1)+1,FIND("-",CH1167,FIND("-",CH1167,FIND("-",CH1167)+1)+1)-FIND("-",CH1167,FIND("-",CH1167)+1)-1))),""))</f>
        <v/>
      </c>
    </row>
    <row r="1168">
      <c r="CH1168">
        <f>IF(ISTEXT('월 가계부'!A1168),SUBSTITUTE(SUBSTITUTE(SUBSTITUTE(SUBSTITUTE(SUBSTITUTE(SUBSTITUTE(SUBSTITUTE(SUBSTITUTE(SUBSTITUTE(TRIM('월 가계부'!A1168),"년","-"),"월","-"),"일",""),".","-"),"/","-")," ","-"),"--","-"),"--","-"),"--","-")&amp;"-","")</f>
        <v/>
      </c>
      <c r="CI1168">
        <f>IFERROR(IF('월 가계부'!A1168="","",IF(ISNUMBER('월 가계부'!A1168),IF(AND('월 가계부'!A1168&gt;=19000101,'월 가계부'!A1168&lt;=21001231),IF(AND(MOD(INT('월 가계부'!A1168/100),100)&gt;=1,MOD(INT('월 가계부'!A1168/100),100)&lt;=12,MOD(INT('월 가계부'!A1168),100)&gt;=1,MOD(INT('월 가계부'!A1168),100)&lt;=31),IF(MONTH(DATE(INT('월 가계부'!A1168/10000),MOD(INT('월 가계부'!A1168/100),100),MOD(INT('월 가계부'!A1168),100)))=MOD(INT('월 가계부'!A1168/100),100),DATE(INT('월 가계부'!A1168/10000),MOD(INT('월 가계부'!A1168/100),100),MOD(INT('월 가계부'!A1168),100)),""),""),IF(AND('월 가계부'!A1168&gt;=36526,'월 가계부'!A1168&lt;73051),INT('월 가계부'!A1168),"")),IF(OR(CM1168="",CN1168="",CO1168=""),"",IF(AND(CM1168&gt;=2000,CM1168&lt;=2099,CN1168&gt;=1,CN1168&lt;=12,CO1168&gt;=1,CO1168&lt;=31),IF(MONTH(DATE(CM1168,CN1168,CO1168))=CN1168,DATE(CM1168,CN1168,CO1168),""),"")))),"")</f>
        <v/>
      </c>
      <c r="CJ1168">
        <f>IFERROR(IF('월 가계부'!C1168="","",IF(ISNUMBER('월 가계부'!C1168),'월 가계부'!C1168,VALUE(SUBSTITUTE(SUBSTITUTE(SUBSTITUTE(SUBSTITUTE(TRIM('월 가계부'!C1168),",",""),"원","")," ",""),"−","-")))),"")</f>
        <v/>
      </c>
      <c r="CK1168">
        <f>IF(ISNUMBER(CI1168),IF(CI1168&lt;$B$13,CI1168,""),"")</f>
        <v/>
      </c>
      <c r="CM1168">
        <f>IF(CH1168="","",IFERROR(IF(IF(AND(LEN(CH1168)=9,ISERROR(FIND("-",LEFT(CH1168,8))),ISNUMBER(-LEFT(CH1168,8))),VALUE(LEFT(CH1168,4)),VALUE(LEFT(CH1168,FIND("-",CH1168)-1)))&lt;100,IF(AND(LEN(CH1168)=9,ISERROR(FIND("-",LEFT(CH1168,8))),ISNUMBER(-LEFT(CH1168,8))),VALUE(LEFT(CH1168,4)),VALUE(LEFT(CH1168,FIND("-",CH1168)-1)))+2000,IF(AND(LEN(CH1168)=9,ISERROR(FIND("-",LEFT(CH1168,8))),ISNUMBER(-LEFT(CH1168,8))),VALUE(LEFT(CH1168,4)),VALUE(LEFT(CH1168,FIND("-",CH1168)-1)))),""))</f>
        <v/>
      </c>
      <c r="CN1168">
        <f>IF(CH1168="","",IFERROR(IF(AND(LEN(CH1168)=9,ISERROR(FIND("-",LEFT(CH1168,8))),ISNUMBER(-LEFT(CH1168,8))),VALUE(MID(CH1168,5,2)),VALUE(MID(CH1168,FIND("-",CH1168)+1,FIND("-",CH1168,FIND("-",CH1168)+1)-FIND("-",CH1168)-1))),""))</f>
        <v/>
      </c>
      <c r="CO1168">
        <f>IF(CH1168="","",IFERROR(IF(AND(LEN(CH1168)=9,ISERROR(FIND("-",LEFT(CH1168,8))),ISNUMBER(-LEFT(CH1168,8))),VALUE(MID(CH1168,7,2)),VALUE(MID(CH1168,FIND("-",CH1168,FIND("-",CH1168)+1)+1,FIND("-",CH1168,FIND("-",CH1168,FIND("-",CH1168)+1)+1)-FIND("-",CH1168,FIND("-",CH1168)+1)-1))),""))</f>
        <v/>
      </c>
    </row>
    <row r="1169">
      <c r="CH1169">
        <f>IF(ISTEXT('월 가계부'!A1169),SUBSTITUTE(SUBSTITUTE(SUBSTITUTE(SUBSTITUTE(SUBSTITUTE(SUBSTITUTE(SUBSTITUTE(SUBSTITUTE(SUBSTITUTE(TRIM('월 가계부'!A1169),"년","-"),"월","-"),"일",""),".","-"),"/","-")," ","-"),"--","-"),"--","-"),"--","-")&amp;"-","")</f>
        <v/>
      </c>
      <c r="CI1169">
        <f>IFERROR(IF('월 가계부'!A1169="","",IF(ISNUMBER('월 가계부'!A1169),IF(AND('월 가계부'!A1169&gt;=19000101,'월 가계부'!A1169&lt;=21001231),IF(AND(MOD(INT('월 가계부'!A1169/100),100)&gt;=1,MOD(INT('월 가계부'!A1169/100),100)&lt;=12,MOD(INT('월 가계부'!A1169),100)&gt;=1,MOD(INT('월 가계부'!A1169),100)&lt;=31),IF(MONTH(DATE(INT('월 가계부'!A1169/10000),MOD(INT('월 가계부'!A1169/100),100),MOD(INT('월 가계부'!A1169),100)))=MOD(INT('월 가계부'!A1169/100),100),DATE(INT('월 가계부'!A1169/10000),MOD(INT('월 가계부'!A1169/100),100),MOD(INT('월 가계부'!A1169),100)),""),""),IF(AND('월 가계부'!A1169&gt;=36526,'월 가계부'!A1169&lt;73051),INT('월 가계부'!A1169),"")),IF(OR(CM1169="",CN1169="",CO1169=""),"",IF(AND(CM1169&gt;=2000,CM1169&lt;=2099,CN1169&gt;=1,CN1169&lt;=12,CO1169&gt;=1,CO1169&lt;=31),IF(MONTH(DATE(CM1169,CN1169,CO1169))=CN1169,DATE(CM1169,CN1169,CO1169),""),"")))),"")</f>
        <v/>
      </c>
      <c r="CJ1169">
        <f>IFERROR(IF('월 가계부'!C1169="","",IF(ISNUMBER('월 가계부'!C1169),'월 가계부'!C1169,VALUE(SUBSTITUTE(SUBSTITUTE(SUBSTITUTE(SUBSTITUTE(TRIM('월 가계부'!C1169),",",""),"원","")," ",""),"−","-")))),"")</f>
        <v/>
      </c>
      <c r="CK1169">
        <f>IF(ISNUMBER(CI1169),IF(CI1169&lt;$B$13,CI1169,""),"")</f>
        <v/>
      </c>
      <c r="CM1169">
        <f>IF(CH1169="","",IFERROR(IF(IF(AND(LEN(CH1169)=9,ISERROR(FIND("-",LEFT(CH1169,8))),ISNUMBER(-LEFT(CH1169,8))),VALUE(LEFT(CH1169,4)),VALUE(LEFT(CH1169,FIND("-",CH1169)-1)))&lt;100,IF(AND(LEN(CH1169)=9,ISERROR(FIND("-",LEFT(CH1169,8))),ISNUMBER(-LEFT(CH1169,8))),VALUE(LEFT(CH1169,4)),VALUE(LEFT(CH1169,FIND("-",CH1169)-1)))+2000,IF(AND(LEN(CH1169)=9,ISERROR(FIND("-",LEFT(CH1169,8))),ISNUMBER(-LEFT(CH1169,8))),VALUE(LEFT(CH1169,4)),VALUE(LEFT(CH1169,FIND("-",CH1169)-1)))),""))</f>
        <v/>
      </c>
      <c r="CN1169">
        <f>IF(CH1169="","",IFERROR(IF(AND(LEN(CH1169)=9,ISERROR(FIND("-",LEFT(CH1169,8))),ISNUMBER(-LEFT(CH1169,8))),VALUE(MID(CH1169,5,2)),VALUE(MID(CH1169,FIND("-",CH1169)+1,FIND("-",CH1169,FIND("-",CH1169)+1)-FIND("-",CH1169)-1))),""))</f>
        <v/>
      </c>
      <c r="CO1169">
        <f>IF(CH1169="","",IFERROR(IF(AND(LEN(CH1169)=9,ISERROR(FIND("-",LEFT(CH1169,8))),ISNUMBER(-LEFT(CH1169,8))),VALUE(MID(CH1169,7,2)),VALUE(MID(CH1169,FIND("-",CH1169,FIND("-",CH1169)+1)+1,FIND("-",CH1169,FIND("-",CH1169,FIND("-",CH1169)+1)+1)-FIND("-",CH1169,FIND("-",CH1169)+1)-1))),""))</f>
        <v/>
      </c>
    </row>
    <row r="1170">
      <c r="CH1170">
        <f>IF(ISTEXT('월 가계부'!A1170),SUBSTITUTE(SUBSTITUTE(SUBSTITUTE(SUBSTITUTE(SUBSTITUTE(SUBSTITUTE(SUBSTITUTE(SUBSTITUTE(SUBSTITUTE(TRIM('월 가계부'!A1170),"년","-"),"월","-"),"일",""),".","-"),"/","-")," ","-"),"--","-"),"--","-"),"--","-")&amp;"-","")</f>
        <v/>
      </c>
      <c r="CI1170">
        <f>IFERROR(IF('월 가계부'!A1170="","",IF(ISNUMBER('월 가계부'!A1170),IF(AND('월 가계부'!A1170&gt;=19000101,'월 가계부'!A1170&lt;=21001231),IF(AND(MOD(INT('월 가계부'!A1170/100),100)&gt;=1,MOD(INT('월 가계부'!A1170/100),100)&lt;=12,MOD(INT('월 가계부'!A1170),100)&gt;=1,MOD(INT('월 가계부'!A1170),100)&lt;=31),IF(MONTH(DATE(INT('월 가계부'!A1170/10000),MOD(INT('월 가계부'!A1170/100),100),MOD(INT('월 가계부'!A1170),100)))=MOD(INT('월 가계부'!A1170/100),100),DATE(INT('월 가계부'!A1170/10000),MOD(INT('월 가계부'!A1170/100),100),MOD(INT('월 가계부'!A1170),100)),""),""),IF(AND('월 가계부'!A1170&gt;=36526,'월 가계부'!A1170&lt;73051),INT('월 가계부'!A1170),"")),IF(OR(CM1170="",CN1170="",CO1170=""),"",IF(AND(CM1170&gt;=2000,CM1170&lt;=2099,CN1170&gt;=1,CN1170&lt;=12,CO1170&gt;=1,CO1170&lt;=31),IF(MONTH(DATE(CM1170,CN1170,CO1170))=CN1170,DATE(CM1170,CN1170,CO1170),""),"")))),"")</f>
        <v/>
      </c>
      <c r="CJ1170">
        <f>IFERROR(IF('월 가계부'!C1170="","",IF(ISNUMBER('월 가계부'!C1170),'월 가계부'!C1170,VALUE(SUBSTITUTE(SUBSTITUTE(SUBSTITUTE(SUBSTITUTE(TRIM('월 가계부'!C1170),",",""),"원","")," ",""),"−","-")))),"")</f>
        <v/>
      </c>
      <c r="CK1170">
        <f>IF(ISNUMBER(CI1170),IF(CI1170&lt;$B$13,CI1170,""),"")</f>
        <v/>
      </c>
      <c r="CM1170">
        <f>IF(CH1170="","",IFERROR(IF(IF(AND(LEN(CH1170)=9,ISERROR(FIND("-",LEFT(CH1170,8))),ISNUMBER(-LEFT(CH1170,8))),VALUE(LEFT(CH1170,4)),VALUE(LEFT(CH1170,FIND("-",CH1170)-1)))&lt;100,IF(AND(LEN(CH1170)=9,ISERROR(FIND("-",LEFT(CH1170,8))),ISNUMBER(-LEFT(CH1170,8))),VALUE(LEFT(CH1170,4)),VALUE(LEFT(CH1170,FIND("-",CH1170)-1)))+2000,IF(AND(LEN(CH1170)=9,ISERROR(FIND("-",LEFT(CH1170,8))),ISNUMBER(-LEFT(CH1170,8))),VALUE(LEFT(CH1170,4)),VALUE(LEFT(CH1170,FIND("-",CH1170)-1)))),""))</f>
        <v/>
      </c>
      <c r="CN1170">
        <f>IF(CH1170="","",IFERROR(IF(AND(LEN(CH1170)=9,ISERROR(FIND("-",LEFT(CH1170,8))),ISNUMBER(-LEFT(CH1170,8))),VALUE(MID(CH1170,5,2)),VALUE(MID(CH1170,FIND("-",CH1170)+1,FIND("-",CH1170,FIND("-",CH1170)+1)-FIND("-",CH1170)-1))),""))</f>
        <v/>
      </c>
      <c r="CO1170">
        <f>IF(CH1170="","",IFERROR(IF(AND(LEN(CH1170)=9,ISERROR(FIND("-",LEFT(CH1170,8))),ISNUMBER(-LEFT(CH1170,8))),VALUE(MID(CH1170,7,2)),VALUE(MID(CH1170,FIND("-",CH1170,FIND("-",CH1170)+1)+1,FIND("-",CH1170,FIND("-",CH1170,FIND("-",CH1170)+1)+1)-FIND("-",CH1170,FIND("-",CH1170)+1)-1))),""))</f>
        <v/>
      </c>
    </row>
    <row r="1171">
      <c r="CH1171">
        <f>IF(ISTEXT('월 가계부'!A1171),SUBSTITUTE(SUBSTITUTE(SUBSTITUTE(SUBSTITUTE(SUBSTITUTE(SUBSTITUTE(SUBSTITUTE(SUBSTITUTE(SUBSTITUTE(TRIM('월 가계부'!A1171),"년","-"),"월","-"),"일",""),".","-"),"/","-")," ","-"),"--","-"),"--","-"),"--","-")&amp;"-","")</f>
        <v/>
      </c>
      <c r="CI1171">
        <f>IFERROR(IF('월 가계부'!A1171="","",IF(ISNUMBER('월 가계부'!A1171),IF(AND('월 가계부'!A1171&gt;=19000101,'월 가계부'!A1171&lt;=21001231),IF(AND(MOD(INT('월 가계부'!A1171/100),100)&gt;=1,MOD(INT('월 가계부'!A1171/100),100)&lt;=12,MOD(INT('월 가계부'!A1171),100)&gt;=1,MOD(INT('월 가계부'!A1171),100)&lt;=31),IF(MONTH(DATE(INT('월 가계부'!A1171/10000),MOD(INT('월 가계부'!A1171/100),100),MOD(INT('월 가계부'!A1171),100)))=MOD(INT('월 가계부'!A1171/100),100),DATE(INT('월 가계부'!A1171/10000),MOD(INT('월 가계부'!A1171/100),100),MOD(INT('월 가계부'!A1171),100)),""),""),IF(AND('월 가계부'!A1171&gt;=36526,'월 가계부'!A1171&lt;73051),INT('월 가계부'!A1171),"")),IF(OR(CM1171="",CN1171="",CO1171=""),"",IF(AND(CM1171&gt;=2000,CM1171&lt;=2099,CN1171&gt;=1,CN1171&lt;=12,CO1171&gt;=1,CO1171&lt;=31),IF(MONTH(DATE(CM1171,CN1171,CO1171))=CN1171,DATE(CM1171,CN1171,CO1171),""),"")))),"")</f>
        <v/>
      </c>
      <c r="CJ1171">
        <f>IFERROR(IF('월 가계부'!C1171="","",IF(ISNUMBER('월 가계부'!C1171),'월 가계부'!C1171,VALUE(SUBSTITUTE(SUBSTITUTE(SUBSTITUTE(SUBSTITUTE(TRIM('월 가계부'!C1171),",",""),"원","")," ",""),"−","-")))),"")</f>
        <v/>
      </c>
      <c r="CK1171">
        <f>IF(ISNUMBER(CI1171),IF(CI1171&lt;$B$13,CI1171,""),"")</f>
        <v/>
      </c>
      <c r="CM1171">
        <f>IF(CH1171="","",IFERROR(IF(IF(AND(LEN(CH1171)=9,ISERROR(FIND("-",LEFT(CH1171,8))),ISNUMBER(-LEFT(CH1171,8))),VALUE(LEFT(CH1171,4)),VALUE(LEFT(CH1171,FIND("-",CH1171)-1)))&lt;100,IF(AND(LEN(CH1171)=9,ISERROR(FIND("-",LEFT(CH1171,8))),ISNUMBER(-LEFT(CH1171,8))),VALUE(LEFT(CH1171,4)),VALUE(LEFT(CH1171,FIND("-",CH1171)-1)))+2000,IF(AND(LEN(CH1171)=9,ISERROR(FIND("-",LEFT(CH1171,8))),ISNUMBER(-LEFT(CH1171,8))),VALUE(LEFT(CH1171,4)),VALUE(LEFT(CH1171,FIND("-",CH1171)-1)))),""))</f>
        <v/>
      </c>
      <c r="CN1171">
        <f>IF(CH1171="","",IFERROR(IF(AND(LEN(CH1171)=9,ISERROR(FIND("-",LEFT(CH1171,8))),ISNUMBER(-LEFT(CH1171,8))),VALUE(MID(CH1171,5,2)),VALUE(MID(CH1171,FIND("-",CH1171)+1,FIND("-",CH1171,FIND("-",CH1171)+1)-FIND("-",CH1171)-1))),""))</f>
        <v/>
      </c>
      <c r="CO1171">
        <f>IF(CH1171="","",IFERROR(IF(AND(LEN(CH1171)=9,ISERROR(FIND("-",LEFT(CH1171,8))),ISNUMBER(-LEFT(CH1171,8))),VALUE(MID(CH1171,7,2)),VALUE(MID(CH1171,FIND("-",CH1171,FIND("-",CH1171)+1)+1,FIND("-",CH1171,FIND("-",CH1171,FIND("-",CH1171)+1)+1)-FIND("-",CH1171,FIND("-",CH1171)+1)-1))),""))</f>
        <v/>
      </c>
    </row>
    <row r="1172">
      <c r="CH1172">
        <f>IF(ISTEXT('월 가계부'!A1172),SUBSTITUTE(SUBSTITUTE(SUBSTITUTE(SUBSTITUTE(SUBSTITUTE(SUBSTITUTE(SUBSTITUTE(SUBSTITUTE(SUBSTITUTE(TRIM('월 가계부'!A1172),"년","-"),"월","-"),"일",""),".","-"),"/","-")," ","-"),"--","-"),"--","-"),"--","-")&amp;"-","")</f>
        <v/>
      </c>
      <c r="CI1172">
        <f>IFERROR(IF('월 가계부'!A1172="","",IF(ISNUMBER('월 가계부'!A1172),IF(AND('월 가계부'!A1172&gt;=19000101,'월 가계부'!A1172&lt;=21001231),IF(AND(MOD(INT('월 가계부'!A1172/100),100)&gt;=1,MOD(INT('월 가계부'!A1172/100),100)&lt;=12,MOD(INT('월 가계부'!A1172),100)&gt;=1,MOD(INT('월 가계부'!A1172),100)&lt;=31),IF(MONTH(DATE(INT('월 가계부'!A1172/10000),MOD(INT('월 가계부'!A1172/100),100),MOD(INT('월 가계부'!A1172),100)))=MOD(INT('월 가계부'!A1172/100),100),DATE(INT('월 가계부'!A1172/10000),MOD(INT('월 가계부'!A1172/100),100),MOD(INT('월 가계부'!A1172),100)),""),""),IF(AND('월 가계부'!A1172&gt;=36526,'월 가계부'!A1172&lt;73051),INT('월 가계부'!A1172),"")),IF(OR(CM1172="",CN1172="",CO1172=""),"",IF(AND(CM1172&gt;=2000,CM1172&lt;=2099,CN1172&gt;=1,CN1172&lt;=12,CO1172&gt;=1,CO1172&lt;=31),IF(MONTH(DATE(CM1172,CN1172,CO1172))=CN1172,DATE(CM1172,CN1172,CO1172),""),"")))),"")</f>
        <v/>
      </c>
      <c r="CJ1172">
        <f>IFERROR(IF('월 가계부'!C1172="","",IF(ISNUMBER('월 가계부'!C1172),'월 가계부'!C1172,VALUE(SUBSTITUTE(SUBSTITUTE(SUBSTITUTE(SUBSTITUTE(TRIM('월 가계부'!C1172),",",""),"원","")," ",""),"−","-")))),"")</f>
        <v/>
      </c>
      <c r="CK1172">
        <f>IF(ISNUMBER(CI1172),IF(CI1172&lt;$B$13,CI1172,""),"")</f>
        <v/>
      </c>
      <c r="CM1172">
        <f>IF(CH1172="","",IFERROR(IF(IF(AND(LEN(CH1172)=9,ISERROR(FIND("-",LEFT(CH1172,8))),ISNUMBER(-LEFT(CH1172,8))),VALUE(LEFT(CH1172,4)),VALUE(LEFT(CH1172,FIND("-",CH1172)-1)))&lt;100,IF(AND(LEN(CH1172)=9,ISERROR(FIND("-",LEFT(CH1172,8))),ISNUMBER(-LEFT(CH1172,8))),VALUE(LEFT(CH1172,4)),VALUE(LEFT(CH1172,FIND("-",CH1172)-1)))+2000,IF(AND(LEN(CH1172)=9,ISERROR(FIND("-",LEFT(CH1172,8))),ISNUMBER(-LEFT(CH1172,8))),VALUE(LEFT(CH1172,4)),VALUE(LEFT(CH1172,FIND("-",CH1172)-1)))),""))</f>
        <v/>
      </c>
      <c r="CN1172">
        <f>IF(CH1172="","",IFERROR(IF(AND(LEN(CH1172)=9,ISERROR(FIND("-",LEFT(CH1172,8))),ISNUMBER(-LEFT(CH1172,8))),VALUE(MID(CH1172,5,2)),VALUE(MID(CH1172,FIND("-",CH1172)+1,FIND("-",CH1172,FIND("-",CH1172)+1)-FIND("-",CH1172)-1))),""))</f>
        <v/>
      </c>
      <c r="CO1172">
        <f>IF(CH1172="","",IFERROR(IF(AND(LEN(CH1172)=9,ISERROR(FIND("-",LEFT(CH1172,8))),ISNUMBER(-LEFT(CH1172,8))),VALUE(MID(CH1172,7,2)),VALUE(MID(CH1172,FIND("-",CH1172,FIND("-",CH1172)+1)+1,FIND("-",CH1172,FIND("-",CH1172,FIND("-",CH1172)+1)+1)-FIND("-",CH1172,FIND("-",CH1172)+1)-1))),""))</f>
        <v/>
      </c>
    </row>
    <row r="1173">
      <c r="CH1173">
        <f>IF(ISTEXT('월 가계부'!A1173),SUBSTITUTE(SUBSTITUTE(SUBSTITUTE(SUBSTITUTE(SUBSTITUTE(SUBSTITUTE(SUBSTITUTE(SUBSTITUTE(SUBSTITUTE(TRIM('월 가계부'!A1173),"년","-"),"월","-"),"일",""),".","-"),"/","-")," ","-"),"--","-"),"--","-"),"--","-")&amp;"-","")</f>
        <v/>
      </c>
      <c r="CI1173">
        <f>IFERROR(IF('월 가계부'!A1173="","",IF(ISNUMBER('월 가계부'!A1173),IF(AND('월 가계부'!A1173&gt;=19000101,'월 가계부'!A1173&lt;=21001231),IF(AND(MOD(INT('월 가계부'!A1173/100),100)&gt;=1,MOD(INT('월 가계부'!A1173/100),100)&lt;=12,MOD(INT('월 가계부'!A1173),100)&gt;=1,MOD(INT('월 가계부'!A1173),100)&lt;=31),IF(MONTH(DATE(INT('월 가계부'!A1173/10000),MOD(INT('월 가계부'!A1173/100),100),MOD(INT('월 가계부'!A1173),100)))=MOD(INT('월 가계부'!A1173/100),100),DATE(INT('월 가계부'!A1173/10000),MOD(INT('월 가계부'!A1173/100),100),MOD(INT('월 가계부'!A1173),100)),""),""),IF(AND('월 가계부'!A1173&gt;=36526,'월 가계부'!A1173&lt;73051),INT('월 가계부'!A1173),"")),IF(OR(CM1173="",CN1173="",CO1173=""),"",IF(AND(CM1173&gt;=2000,CM1173&lt;=2099,CN1173&gt;=1,CN1173&lt;=12,CO1173&gt;=1,CO1173&lt;=31),IF(MONTH(DATE(CM1173,CN1173,CO1173))=CN1173,DATE(CM1173,CN1173,CO1173),""),"")))),"")</f>
        <v/>
      </c>
      <c r="CJ1173">
        <f>IFERROR(IF('월 가계부'!C1173="","",IF(ISNUMBER('월 가계부'!C1173),'월 가계부'!C1173,VALUE(SUBSTITUTE(SUBSTITUTE(SUBSTITUTE(SUBSTITUTE(TRIM('월 가계부'!C1173),",",""),"원","")," ",""),"−","-")))),"")</f>
        <v/>
      </c>
      <c r="CK1173">
        <f>IF(ISNUMBER(CI1173),IF(CI1173&lt;$B$13,CI1173,""),"")</f>
        <v/>
      </c>
      <c r="CM1173">
        <f>IF(CH1173="","",IFERROR(IF(IF(AND(LEN(CH1173)=9,ISERROR(FIND("-",LEFT(CH1173,8))),ISNUMBER(-LEFT(CH1173,8))),VALUE(LEFT(CH1173,4)),VALUE(LEFT(CH1173,FIND("-",CH1173)-1)))&lt;100,IF(AND(LEN(CH1173)=9,ISERROR(FIND("-",LEFT(CH1173,8))),ISNUMBER(-LEFT(CH1173,8))),VALUE(LEFT(CH1173,4)),VALUE(LEFT(CH1173,FIND("-",CH1173)-1)))+2000,IF(AND(LEN(CH1173)=9,ISERROR(FIND("-",LEFT(CH1173,8))),ISNUMBER(-LEFT(CH1173,8))),VALUE(LEFT(CH1173,4)),VALUE(LEFT(CH1173,FIND("-",CH1173)-1)))),""))</f>
        <v/>
      </c>
      <c r="CN1173">
        <f>IF(CH1173="","",IFERROR(IF(AND(LEN(CH1173)=9,ISERROR(FIND("-",LEFT(CH1173,8))),ISNUMBER(-LEFT(CH1173,8))),VALUE(MID(CH1173,5,2)),VALUE(MID(CH1173,FIND("-",CH1173)+1,FIND("-",CH1173,FIND("-",CH1173)+1)-FIND("-",CH1173)-1))),""))</f>
        <v/>
      </c>
      <c r="CO1173">
        <f>IF(CH1173="","",IFERROR(IF(AND(LEN(CH1173)=9,ISERROR(FIND("-",LEFT(CH1173,8))),ISNUMBER(-LEFT(CH1173,8))),VALUE(MID(CH1173,7,2)),VALUE(MID(CH1173,FIND("-",CH1173,FIND("-",CH1173)+1)+1,FIND("-",CH1173,FIND("-",CH1173,FIND("-",CH1173)+1)+1)-FIND("-",CH1173,FIND("-",CH1173)+1)-1))),""))</f>
        <v/>
      </c>
    </row>
    <row r="1174">
      <c r="CH1174">
        <f>IF(ISTEXT('월 가계부'!A1174),SUBSTITUTE(SUBSTITUTE(SUBSTITUTE(SUBSTITUTE(SUBSTITUTE(SUBSTITUTE(SUBSTITUTE(SUBSTITUTE(SUBSTITUTE(TRIM('월 가계부'!A1174),"년","-"),"월","-"),"일",""),".","-"),"/","-")," ","-"),"--","-"),"--","-"),"--","-")&amp;"-","")</f>
        <v/>
      </c>
      <c r="CI1174">
        <f>IFERROR(IF('월 가계부'!A1174="","",IF(ISNUMBER('월 가계부'!A1174),IF(AND('월 가계부'!A1174&gt;=19000101,'월 가계부'!A1174&lt;=21001231),IF(AND(MOD(INT('월 가계부'!A1174/100),100)&gt;=1,MOD(INT('월 가계부'!A1174/100),100)&lt;=12,MOD(INT('월 가계부'!A1174),100)&gt;=1,MOD(INT('월 가계부'!A1174),100)&lt;=31),IF(MONTH(DATE(INT('월 가계부'!A1174/10000),MOD(INT('월 가계부'!A1174/100),100),MOD(INT('월 가계부'!A1174),100)))=MOD(INT('월 가계부'!A1174/100),100),DATE(INT('월 가계부'!A1174/10000),MOD(INT('월 가계부'!A1174/100),100),MOD(INT('월 가계부'!A1174),100)),""),""),IF(AND('월 가계부'!A1174&gt;=36526,'월 가계부'!A1174&lt;73051),INT('월 가계부'!A1174),"")),IF(OR(CM1174="",CN1174="",CO1174=""),"",IF(AND(CM1174&gt;=2000,CM1174&lt;=2099,CN1174&gt;=1,CN1174&lt;=12,CO1174&gt;=1,CO1174&lt;=31),IF(MONTH(DATE(CM1174,CN1174,CO1174))=CN1174,DATE(CM1174,CN1174,CO1174),""),"")))),"")</f>
        <v/>
      </c>
      <c r="CJ1174">
        <f>IFERROR(IF('월 가계부'!C1174="","",IF(ISNUMBER('월 가계부'!C1174),'월 가계부'!C1174,VALUE(SUBSTITUTE(SUBSTITUTE(SUBSTITUTE(SUBSTITUTE(TRIM('월 가계부'!C1174),",",""),"원","")," ",""),"−","-")))),"")</f>
        <v/>
      </c>
      <c r="CK1174">
        <f>IF(ISNUMBER(CI1174),IF(CI1174&lt;$B$13,CI1174,""),"")</f>
        <v/>
      </c>
      <c r="CM1174">
        <f>IF(CH1174="","",IFERROR(IF(IF(AND(LEN(CH1174)=9,ISERROR(FIND("-",LEFT(CH1174,8))),ISNUMBER(-LEFT(CH1174,8))),VALUE(LEFT(CH1174,4)),VALUE(LEFT(CH1174,FIND("-",CH1174)-1)))&lt;100,IF(AND(LEN(CH1174)=9,ISERROR(FIND("-",LEFT(CH1174,8))),ISNUMBER(-LEFT(CH1174,8))),VALUE(LEFT(CH1174,4)),VALUE(LEFT(CH1174,FIND("-",CH1174)-1)))+2000,IF(AND(LEN(CH1174)=9,ISERROR(FIND("-",LEFT(CH1174,8))),ISNUMBER(-LEFT(CH1174,8))),VALUE(LEFT(CH1174,4)),VALUE(LEFT(CH1174,FIND("-",CH1174)-1)))),""))</f>
        <v/>
      </c>
      <c r="CN1174">
        <f>IF(CH1174="","",IFERROR(IF(AND(LEN(CH1174)=9,ISERROR(FIND("-",LEFT(CH1174,8))),ISNUMBER(-LEFT(CH1174,8))),VALUE(MID(CH1174,5,2)),VALUE(MID(CH1174,FIND("-",CH1174)+1,FIND("-",CH1174,FIND("-",CH1174)+1)-FIND("-",CH1174)-1))),""))</f>
        <v/>
      </c>
      <c r="CO1174">
        <f>IF(CH1174="","",IFERROR(IF(AND(LEN(CH1174)=9,ISERROR(FIND("-",LEFT(CH1174,8))),ISNUMBER(-LEFT(CH1174,8))),VALUE(MID(CH1174,7,2)),VALUE(MID(CH1174,FIND("-",CH1174,FIND("-",CH1174)+1)+1,FIND("-",CH1174,FIND("-",CH1174,FIND("-",CH1174)+1)+1)-FIND("-",CH1174,FIND("-",CH1174)+1)-1))),""))</f>
        <v/>
      </c>
    </row>
    <row r="1175">
      <c r="CH1175">
        <f>IF(ISTEXT('월 가계부'!A1175),SUBSTITUTE(SUBSTITUTE(SUBSTITUTE(SUBSTITUTE(SUBSTITUTE(SUBSTITUTE(SUBSTITUTE(SUBSTITUTE(SUBSTITUTE(TRIM('월 가계부'!A1175),"년","-"),"월","-"),"일",""),".","-"),"/","-")," ","-"),"--","-"),"--","-"),"--","-")&amp;"-","")</f>
        <v/>
      </c>
      <c r="CI1175">
        <f>IFERROR(IF('월 가계부'!A1175="","",IF(ISNUMBER('월 가계부'!A1175),IF(AND('월 가계부'!A1175&gt;=19000101,'월 가계부'!A1175&lt;=21001231),IF(AND(MOD(INT('월 가계부'!A1175/100),100)&gt;=1,MOD(INT('월 가계부'!A1175/100),100)&lt;=12,MOD(INT('월 가계부'!A1175),100)&gt;=1,MOD(INT('월 가계부'!A1175),100)&lt;=31),IF(MONTH(DATE(INT('월 가계부'!A1175/10000),MOD(INT('월 가계부'!A1175/100),100),MOD(INT('월 가계부'!A1175),100)))=MOD(INT('월 가계부'!A1175/100),100),DATE(INT('월 가계부'!A1175/10000),MOD(INT('월 가계부'!A1175/100),100),MOD(INT('월 가계부'!A1175),100)),""),""),IF(AND('월 가계부'!A1175&gt;=36526,'월 가계부'!A1175&lt;73051),INT('월 가계부'!A1175),"")),IF(OR(CM1175="",CN1175="",CO1175=""),"",IF(AND(CM1175&gt;=2000,CM1175&lt;=2099,CN1175&gt;=1,CN1175&lt;=12,CO1175&gt;=1,CO1175&lt;=31),IF(MONTH(DATE(CM1175,CN1175,CO1175))=CN1175,DATE(CM1175,CN1175,CO1175),""),"")))),"")</f>
        <v/>
      </c>
      <c r="CJ1175">
        <f>IFERROR(IF('월 가계부'!C1175="","",IF(ISNUMBER('월 가계부'!C1175),'월 가계부'!C1175,VALUE(SUBSTITUTE(SUBSTITUTE(SUBSTITUTE(SUBSTITUTE(TRIM('월 가계부'!C1175),",",""),"원","")," ",""),"−","-")))),"")</f>
        <v/>
      </c>
      <c r="CK1175">
        <f>IF(ISNUMBER(CI1175),IF(CI1175&lt;$B$13,CI1175,""),"")</f>
        <v/>
      </c>
      <c r="CM1175">
        <f>IF(CH1175="","",IFERROR(IF(IF(AND(LEN(CH1175)=9,ISERROR(FIND("-",LEFT(CH1175,8))),ISNUMBER(-LEFT(CH1175,8))),VALUE(LEFT(CH1175,4)),VALUE(LEFT(CH1175,FIND("-",CH1175)-1)))&lt;100,IF(AND(LEN(CH1175)=9,ISERROR(FIND("-",LEFT(CH1175,8))),ISNUMBER(-LEFT(CH1175,8))),VALUE(LEFT(CH1175,4)),VALUE(LEFT(CH1175,FIND("-",CH1175)-1)))+2000,IF(AND(LEN(CH1175)=9,ISERROR(FIND("-",LEFT(CH1175,8))),ISNUMBER(-LEFT(CH1175,8))),VALUE(LEFT(CH1175,4)),VALUE(LEFT(CH1175,FIND("-",CH1175)-1)))),""))</f>
        <v/>
      </c>
      <c r="CN1175">
        <f>IF(CH1175="","",IFERROR(IF(AND(LEN(CH1175)=9,ISERROR(FIND("-",LEFT(CH1175,8))),ISNUMBER(-LEFT(CH1175,8))),VALUE(MID(CH1175,5,2)),VALUE(MID(CH1175,FIND("-",CH1175)+1,FIND("-",CH1175,FIND("-",CH1175)+1)-FIND("-",CH1175)-1))),""))</f>
        <v/>
      </c>
      <c r="CO1175">
        <f>IF(CH1175="","",IFERROR(IF(AND(LEN(CH1175)=9,ISERROR(FIND("-",LEFT(CH1175,8))),ISNUMBER(-LEFT(CH1175,8))),VALUE(MID(CH1175,7,2)),VALUE(MID(CH1175,FIND("-",CH1175,FIND("-",CH1175)+1)+1,FIND("-",CH1175,FIND("-",CH1175,FIND("-",CH1175)+1)+1)-FIND("-",CH1175,FIND("-",CH1175)+1)-1))),""))</f>
        <v/>
      </c>
    </row>
    <row r="1176">
      <c r="CH1176">
        <f>IF(ISTEXT('월 가계부'!A1176),SUBSTITUTE(SUBSTITUTE(SUBSTITUTE(SUBSTITUTE(SUBSTITUTE(SUBSTITUTE(SUBSTITUTE(SUBSTITUTE(SUBSTITUTE(TRIM('월 가계부'!A1176),"년","-"),"월","-"),"일",""),".","-"),"/","-")," ","-"),"--","-"),"--","-"),"--","-")&amp;"-","")</f>
        <v/>
      </c>
      <c r="CI1176">
        <f>IFERROR(IF('월 가계부'!A1176="","",IF(ISNUMBER('월 가계부'!A1176),IF(AND('월 가계부'!A1176&gt;=19000101,'월 가계부'!A1176&lt;=21001231),IF(AND(MOD(INT('월 가계부'!A1176/100),100)&gt;=1,MOD(INT('월 가계부'!A1176/100),100)&lt;=12,MOD(INT('월 가계부'!A1176),100)&gt;=1,MOD(INT('월 가계부'!A1176),100)&lt;=31),IF(MONTH(DATE(INT('월 가계부'!A1176/10000),MOD(INT('월 가계부'!A1176/100),100),MOD(INT('월 가계부'!A1176),100)))=MOD(INT('월 가계부'!A1176/100),100),DATE(INT('월 가계부'!A1176/10000),MOD(INT('월 가계부'!A1176/100),100),MOD(INT('월 가계부'!A1176),100)),""),""),IF(AND('월 가계부'!A1176&gt;=36526,'월 가계부'!A1176&lt;73051),INT('월 가계부'!A1176),"")),IF(OR(CM1176="",CN1176="",CO1176=""),"",IF(AND(CM1176&gt;=2000,CM1176&lt;=2099,CN1176&gt;=1,CN1176&lt;=12,CO1176&gt;=1,CO1176&lt;=31),IF(MONTH(DATE(CM1176,CN1176,CO1176))=CN1176,DATE(CM1176,CN1176,CO1176),""),"")))),"")</f>
        <v/>
      </c>
      <c r="CJ1176">
        <f>IFERROR(IF('월 가계부'!C1176="","",IF(ISNUMBER('월 가계부'!C1176),'월 가계부'!C1176,VALUE(SUBSTITUTE(SUBSTITUTE(SUBSTITUTE(SUBSTITUTE(TRIM('월 가계부'!C1176),",",""),"원","")," ",""),"−","-")))),"")</f>
        <v/>
      </c>
      <c r="CK1176">
        <f>IF(ISNUMBER(CI1176),IF(CI1176&lt;$B$13,CI1176,""),"")</f>
        <v/>
      </c>
      <c r="CM1176">
        <f>IF(CH1176="","",IFERROR(IF(IF(AND(LEN(CH1176)=9,ISERROR(FIND("-",LEFT(CH1176,8))),ISNUMBER(-LEFT(CH1176,8))),VALUE(LEFT(CH1176,4)),VALUE(LEFT(CH1176,FIND("-",CH1176)-1)))&lt;100,IF(AND(LEN(CH1176)=9,ISERROR(FIND("-",LEFT(CH1176,8))),ISNUMBER(-LEFT(CH1176,8))),VALUE(LEFT(CH1176,4)),VALUE(LEFT(CH1176,FIND("-",CH1176)-1)))+2000,IF(AND(LEN(CH1176)=9,ISERROR(FIND("-",LEFT(CH1176,8))),ISNUMBER(-LEFT(CH1176,8))),VALUE(LEFT(CH1176,4)),VALUE(LEFT(CH1176,FIND("-",CH1176)-1)))),""))</f>
        <v/>
      </c>
      <c r="CN1176">
        <f>IF(CH1176="","",IFERROR(IF(AND(LEN(CH1176)=9,ISERROR(FIND("-",LEFT(CH1176,8))),ISNUMBER(-LEFT(CH1176,8))),VALUE(MID(CH1176,5,2)),VALUE(MID(CH1176,FIND("-",CH1176)+1,FIND("-",CH1176,FIND("-",CH1176)+1)-FIND("-",CH1176)-1))),""))</f>
        <v/>
      </c>
      <c r="CO1176">
        <f>IF(CH1176="","",IFERROR(IF(AND(LEN(CH1176)=9,ISERROR(FIND("-",LEFT(CH1176,8))),ISNUMBER(-LEFT(CH1176,8))),VALUE(MID(CH1176,7,2)),VALUE(MID(CH1176,FIND("-",CH1176,FIND("-",CH1176)+1)+1,FIND("-",CH1176,FIND("-",CH1176,FIND("-",CH1176)+1)+1)-FIND("-",CH1176,FIND("-",CH1176)+1)-1))),""))</f>
        <v/>
      </c>
    </row>
    <row r="1177">
      <c r="CH1177">
        <f>IF(ISTEXT('월 가계부'!A1177),SUBSTITUTE(SUBSTITUTE(SUBSTITUTE(SUBSTITUTE(SUBSTITUTE(SUBSTITUTE(SUBSTITUTE(SUBSTITUTE(SUBSTITUTE(TRIM('월 가계부'!A1177),"년","-"),"월","-"),"일",""),".","-"),"/","-")," ","-"),"--","-"),"--","-"),"--","-")&amp;"-","")</f>
        <v/>
      </c>
      <c r="CI1177">
        <f>IFERROR(IF('월 가계부'!A1177="","",IF(ISNUMBER('월 가계부'!A1177),IF(AND('월 가계부'!A1177&gt;=19000101,'월 가계부'!A1177&lt;=21001231),IF(AND(MOD(INT('월 가계부'!A1177/100),100)&gt;=1,MOD(INT('월 가계부'!A1177/100),100)&lt;=12,MOD(INT('월 가계부'!A1177),100)&gt;=1,MOD(INT('월 가계부'!A1177),100)&lt;=31),IF(MONTH(DATE(INT('월 가계부'!A1177/10000),MOD(INT('월 가계부'!A1177/100),100),MOD(INT('월 가계부'!A1177),100)))=MOD(INT('월 가계부'!A1177/100),100),DATE(INT('월 가계부'!A1177/10000),MOD(INT('월 가계부'!A1177/100),100),MOD(INT('월 가계부'!A1177),100)),""),""),IF(AND('월 가계부'!A1177&gt;=36526,'월 가계부'!A1177&lt;73051),INT('월 가계부'!A1177),"")),IF(OR(CM1177="",CN1177="",CO1177=""),"",IF(AND(CM1177&gt;=2000,CM1177&lt;=2099,CN1177&gt;=1,CN1177&lt;=12,CO1177&gt;=1,CO1177&lt;=31),IF(MONTH(DATE(CM1177,CN1177,CO1177))=CN1177,DATE(CM1177,CN1177,CO1177),""),"")))),"")</f>
        <v/>
      </c>
      <c r="CJ1177">
        <f>IFERROR(IF('월 가계부'!C1177="","",IF(ISNUMBER('월 가계부'!C1177),'월 가계부'!C1177,VALUE(SUBSTITUTE(SUBSTITUTE(SUBSTITUTE(SUBSTITUTE(TRIM('월 가계부'!C1177),",",""),"원","")," ",""),"−","-")))),"")</f>
        <v/>
      </c>
      <c r="CK1177">
        <f>IF(ISNUMBER(CI1177),IF(CI1177&lt;$B$13,CI1177,""),"")</f>
        <v/>
      </c>
      <c r="CM1177">
        <f>IF(CH1177="","",IFERROR(IF(IF(AND(LEN(CH1177)=9,ISERROR(FIND("-",LEFT(CH1177,8))),ISNUMBER(-LEFT(CH1177,8))),VALUE(LEFT(CH1177,4)),VALUE(LEFT(CH1177,FIND("-",CH1177)-1)))&lt;100,IF(AND(LEN(CH1177)=9,ISERROR(FIND("-",LEFT(CH1177,8))),ISNUMBER(-LEFT(CH1177,8))),VALUE(LEFT(CH1177,4)),VALUE(LEFT(CH1177,FIND("-",CH1177)-1)))+2000,IF(AND(LEN(CH1177)=9,ISERROR(FIND("-",LEFT(CH1177,8))),ISNUMBER(-LEFT(CH1177,8))),VALUE(LEFT(CH1177,4)),VALUE(LEFT(CH1177,FIND("-",CH1177)-1)))),""))</f>
        <v/>
      </c>
      <c r="CN1177">
        <f>IF(CH1177="","",IFERROR(IF(AND(LEN(CH1177)=9,ISERROR(FIND("-",LEFT(CH1177,8))),ISNUMBER(-LEFT(CH1177,8))),VALUE(MID(CH1177,5,2)),VALUE(MID(CH1177,FIND("-",CH1177)+1,FIND("-",CH1177,FIND("-",CH1177)+1)-FIND("-",CH1177)-1))),""))</f>
        <v/>
      </c>
      <c r="CO1177">
        <f>IF(CH1177="","",IFERROR(IF(AND(LEN(CH1177)=9,ISERROR(FIND("-",LEFT(CH1177,8))),ISNUMBER(-LEFT(CH1177,8))),VALUE(MID(CH1177,7,2)),VALUE(MID(CH1177,FIND("-",CH1177,FIND("-",CH1177)+1)+1,FIND("-",CH1177,FIND("-",CH1177,FIND("-",CH1177)+1)+1)-FIND("-",CH1177,FIND("-",CH1177)+1)-1))),""))</f>
        <v/>
      </c>
    </row>
    <row r="1178">
      <c r="CH1178">
        <f>IF(ISTEXT('월 가계부'!A1178),SUBSTITUTE(SUBSTITUTE(SUBSTITUTE(SUBSTITUTE(SUBSTITUTE(SUBSTITUTE(SUBSTITUTE(SUBSTITUTE(SUBSTITUTE(TRIM('월 가계부'!A1178),"년","-"),"월","-"),"일",""),".","-"),"/","-")," ","-"),"--","-"),"--","-"),"--","-")&amp;"-","")</f>
        <v/>
      </c>
      <c r="CI1178">
        <f>IFERROR(IF('월 가계부'!A1178="","",IF(ISNUMBER('월 가계부'!A1178),IF(AND('월 가계부'!A1178&gt;=19000101,'월 가계부'!A1178&lt;=21001231),IF(AND(MOD(INT('월 가계부'!A1178/100),100)&gt;=1,MOD(INT('월 가계부'!A1178/100),100)&lt;=12,MOD(INT('월 가계부'!A1178),100)&gt;=1,MOD(INT('월 가계부'!A1178),100)&lt;=31),IF(MONTH(DATE(INT('월 가계부'!A1178/10000),MOD(INT('월 가계부'!A1178/100),100),MOD(INT('월 가계부'!A1178),100)))=MOD(INT('월 가계부'!A1178/100),100),DATE(INT('월 가계부'!A1178/10000),MOD(INT('월 가계부'!A1178/100),100),MOD(INT('월 가계부'!A1178),100)),""),""),IF(AND('월 가계부'!A1178&gt;=36526,'월 가계부'!A1178&lt;73051),INT('월 가계부'!A1178),"")),IF(OR(CM1178="",CN1178="",CO1178=""),"",IF(AND(CM1178&gt;=2000,CM1178&lt;=2099,CN1178&gt;=1,CN1178&lt;=12,CO1178&gt;=1,CO1178&lt;=31),IF(MONTH(DATE(CM1178,CN1178,CO1178))=CN1178,DATE(CM1178,CN1178,CO1178),""),"")))),"")</f>
        <v/>
      </c>
      <c r="CJ1178">
        <f>IFERROR(IF('월 가계부'!C1178="","",IF(ISNUMBER('월 가계부'!C1178),'월 가계부'!C1178,VALUE(SUBSTITUTE(SUBSTITUTE(SUBSTITUTE(SUBSTITUTE(TRIM('월 가계부'!C1178),",",""),"원","")," ",""),"−","-")))),"")</f>
        <v/>
      </c>
      <c r="CK1178">
        <f>IF(ISNUMBER(CI1178),IF(CI1178&lt;$B$13,CI1178,""),"")</f>
        <v/>
      </c>
      <c r="CM1178">
        <f>IF(CH1178="","",IFERROR(IF(IF(AND(LEN(CH1178)=9,ISERROR(FIND("-",LEFT(CH1178,8))),ISNUMBER(-LEFT(CH1178,8))),VALUE(LEFT(CH1178,4)),VALUE(LEFT(CH1178,FIND("-",CH1178)-1)))&lt;100,IF(AND(LEN(CH1178)=9,ISERROR(FIND("-",LEFT(CH1178,8))),ISNUMBER(-LEFT(CH1178,8))),VALUE(LEFT(CH1178,4)),VALUE(LEFT(CH1178,FIND("-",CH1178)-1)))+2000,IF(AND(LEN(CH1178)=9,ISERROR(FIND("-",LEFT(CH1178,8))),ISNUMBER(-LEFT(CH1178,8))),VALUE(LEFT(CH1178,4)),VALUE(LEFT(CH1178,FIND("-",CH1178)-1)))),""))</f>
        <v/>
      </c>
      <c r="CN1178">
        <f>IF(CH1178="","",IFERROR(IF(AND(LEN(CH1178)=9,ISERROR(FIND("-",LEFT(CH1178,8))),ISNUMBER(-LEFT(CH1178,8))),VALUE(MID(CH1178,5,2)),VALUE(MID(CH1178,FIND("-",CH1178)+1,FIND("-",CH1178,FIND("-",CH1178)+1)-FIND("-",CH1178)-1))),""))</f>
        <v/>
      </c>
      <c r="CO1178">
        <f>IF(CH1178="","",IFERROR(IF(AND(LEN(CH1178)=9,ISERROR(FIND("-",LEFT(CH1178,8))),ISNUMBER(-LEFT(CH1178,8))),VALUE(MID(CH1178,7,2)),VALUE(MID(CH1178,FIND("-",CH1178,FIND("-",CH1178)+1)+1,FIND("-",CH1178,FIND("-",CH1178,FIND("-",CH1178)+1)+1)-FIND("-",CH1178,FIND("-",CH1178)+1)-1))),""))</f>
        <v/>
      </c>
    </row>
    <row r="1179">
      <c r="CH1179">
        <f>IF(ISTEXT('월 가계부'!A1179),SUBSTITUTE(SUBSTITUTE(SUBSTITUTE(SUBSTITUTE(SUBSTITUTE(SUBSTITUTE(SUBSTITUTE(SUBSTITUTE(SUBSTITUTE(TRIM('월 가계부'!A1179),"년","-"),"월","-"),"일",""),".","-"),"/","-")," ","-"),"--","-"),"--","-"),"--","-")&amp;"-","")</f>
        <v/>
      </c>
      <c r="CI1179">
        <f>IFERROR(IF('월 가계부'!A1179="","",IF(ISNUMBER('월 가계부'!A1179),IF(AND('월 가계부'!A1179&gt;=19000101,'월 가계부'!A1179&lt;=21001231),IF(AND(MOD(INT('월 가계부'!A1179/100),100)&gt;=1,MOD(INT('월 가계부'!A1179/100),100)&lt;=12,MOD(INT('월 가계부'!A1179),100)&gt;=1,MOD(INT('월 가계부'!A1179),100)&lt;=31),IF(MONTH(DATE(INT('월 가계부'!A1179/10000),MOD(INT('월 가계부'!A1179/100),100),MOD(INT('월 가계부'!A1179),100)))=MOD(INT('월 가계부'!A1179/100),100),DATE(INT('월 가계부'!A1179/10000),MOD(INT('월 가계부'!A1179/100),100),MOD(INT('월 가계부'!A1179),100)),""),""),IF(AND('월 가계부'!A1179&gt;=36526,'월 가계부'!A1179&lt;73051),INT('월 가계부'!A1179),"")),IF(OR(CM1179="",CN1179="",CO1179=""),"",IF(AND(CM1179&gt;=2000,CM1179&lt;=2099,CN1179&gt;=1,CN1179&lt;=12,CO1179&gt;=1,CO1179&lt;=31),IF(MONTH(DATE(CM1179,CN1179,CO1179))=CN1179,DATE(CM1179,CN1179,CO1179),""),"")))),"")</f>
        <v/>
      </c>
      <c r="CJ1179">
        <f>IFERROR(IF('월 가계부'!C1179="","",IF(ISNUMBER('월 가계부'!C1179),'월 가계부'!C1179,VALUE(SUBSTITUTE(SUBSTITUTE(SUBSTITUTE(SUBSTITUTE(TRIM('월 가계부'!C1179),",",""),"원","")," ",""),"−","-")))),"")</f>
        <v/>
      </c>
      <c r="CK1179">
        <f>IF(ISNUMBER(CI1179),IF(CI1179&lt;$B$13,CI1179,""),"")</f>
        <v/>
      </c>
      <c r="CM1179">
        <f>IF(CH1179="","",IFERROR(IF(IF(AND(LEN(CH1179)=9,ISERROR(FIND("-",LEFT(CH1179,8))),ISNUMBER(-LEFT(CH1179,8))),VALUE(LEFT(CH1179,4)),VALUE(LEFT(CH1179,FIND("-",CH1179)-1)))&lt;100,IF(AND(LEN(CH1179)=9,ISERROR(FIND("-",LEFT(CH1179,8))),ISNUMBER(-LEFT(CH1179,8))),VALUE(LEFT(CH1179,4)),VALUE(LEFT(CH1179,FIND("-",CH1179)-1)))+2000,IF(AND(LEN(CH1179)=9,ISERROR(FIND("-",LEFT(CH1179,8))),ISNUMBER(-LEFT(CH1179,8))),VALUE(LEFT(CH1179,4)),VALUE(LEFT(CH1179,FIND("-",CH1179)-1)))),""))</f>
        <v/>
      </c>
      <c r="CN1179">
        <f>IF(CH1179="","",IFERROR(IF(AND(LEN(CH1179)=9,ISERROR(FIND("-",LEFT(CH1179,8))),ISNUMBER(-LEFT(CH1179,8))),VALUE(MID(CH1179,5,2)),VALUE(MID(CH1179,FIND("-",CH1179)+1,FIND("-",CH1179,FIND("-",CH1179)+1)-FIND("-",CH1179)-1))),""))</f>
        <v/>
      </c>
      <c r="CO1179">
        <f>IF(CH1179="","",IFERROR(IF(AND(LEN(CH1179)=9,ISERROR(FIND("-",LEFT(CH1179,8))),ISNUMBER(-LEFT(CH1179,8))),VALUE(MID(CH1179,7,2)),VALUE(MID(CH1179,FIND("-",CH1179,FIND("-",CH1179)+1)+1,FIND("-",CH1179,FIND("-",CH1179,FIND("-",CH1179)+1)+1)-FIND("-",CH1179,FIND("-",CH1179)+1)-1))),""))</f>
        <v/>
      </c>
    </row>
    <row r="1180">
      <c r="CH1180">
        <f>IF(ISTEXT('월 가계부'!A1180),SUBSTITUTE(SUBSTITUTE(SUBSTITUTE(SUBSTITUTE(SUBSTITUTE(SUBSTITUTE(SUBSTITUTE(SUBSTITUTE(SUBSTITUTE(TRIM('월 가계부'!A1180),"년","-"),"월","-"),"일",""),".","-"),"/","-")," ","-"),"--","-"),"--","-"),"--","-")&amp;"-","")</f>
        <v/>
      </c>
      <c r="CI1180">
        <f>IFERROR(IF('월 가계부'!A1180="","",IF(ISNUMBER('월 가계부'!A1180),IF(AND('월 가계부'!A1180&gt;=19000101,'월 가계부'!A1180&lt;=21001231),IF(AND(MOD(INT('월 가계부'!A1180/100),100)&gt;=1,MOD(INT('월 가계부'!A1180/100),100)&lt;=12,MOD(INT('월 가계부'!A1180),100)&gt;=1,MOD(INT('월 가계부'!A1180),100)&lt;=31),IF(MONTH(DATE(INT('월 가계부'!A1180/10000),MOD(INT('월 가계부'!A1180/100),100),MOD(INT('월 가계부'!A1180),100)))=MOD(INT('월 가계부'!A1180/100),100),DATE(INT('월 가계부'!A1180/10000),MOD(INT('월 가계부'!A1180/100),100),MOD(INT('월 가계부'!A1180),100)),""),""),IF(AND('월 가계부'!A1180&gt;=36526,'월 가계부'!A1180&lt;73051),INT('월 가계부'!A1180),"")),IF(OR(CM1180="",CN1180="",CO1180=""),"",IF(AND(CM1180&gt;=2000,CM1180&lt;=2099,CN1180&gt;=1,CN1180&lt;=12,CO1180&gt;=1,CO1180&lt;=31),IF(MONTH(DATE(CM1180,CN1180,CO1180))=CN1180,DATE(CM1180,CN1180,CO1180),""),"")))),"")</f>
        <v/>
      </c>
      <c r="CJ1180">
        <f>IFERROR(IF('월 가계부'!C1180="","",IF(ISNUMBER('월 가계부'!C1180),'월 가계부'!C1180,VALUE(SUBSTITUTE(SUBSTITUTE(SUBSTITUTE(SUBSTITUTE(TRIM('월 가계부'!C1180),",",""),"원","")," ",""),"−","-")))),"")</f>
        <v/>
      </c>
      <c r="CK1180">
        <f>IF(ISNUMBER(CI1180),IF(CI1180&lt;$B$13,CI1180,""),"")</f>
        <v/>
      </c>
      <c r="CM1180">
        <f>IF(CH1180="","",IFERROR(IF(IF(AND(LEN(CH1180)=9,ISERROR(FIND("-",LEFT(CH1180,8))),ISNUMBER(-LEFT(CH1180,8))),VALUE(LEFT(CH1180,4)),VALUE(LEFT(CH1180,FIND("-",CH1180)-1)))&lt;100,IF(AND(LEN(CH1180)=9,ISERROR(FIND("-",LEFT(CH1180,8))),ISNUMBER(-LEFT(CH1180,8))),VALUE(LEFT(CH1180,4)),VALUE(LEFT(CH1180,FIND("-",CH1180)-1)))+2000,IF(AND(LEN(CH1180)=9,ISERROR(FIND("-",LEFT(CH1180,8))),ISNUMBER(-LEFT(CH1180,8))),VALUE(LEFT(CH1180,4)),VALUE(LEFT(CH1180,FIND("-",CH1180)-1)))),""))</f>
        <v/>
      </c>
      <c r="CN1180">
        <f>IF(CH1180="","",IFERROR(IF(AND(LEN(CH1180)=9,ISERROR(FIND("-",LEFT(CH1180,8))),ISNUMBER(-LEFT(CH1180,8))),VALUE(MID(CH1180,5,2)),VALUE(MID(CH1180,FIND("-",CH1180)+1,FIND("-",CH1180,FIND("-",CH1180)+1)-FIND("-",CH1180)-1))),""))</f>
        <v/>
      </c>
      <c r="CO1180">
        <f>IF(CH1180="","",IFERROR(IF(AND(LEN(CH1180)=9,ISERROR(FIND("-",LEFT(CH1180,8))),ISNUMBER(-LEFT(CH1180,8))),VALUE(MID(CH1180,7,2)),VALUE(MID(CH1180,FIND("-",CH1180,FIND("-",CH1180)+1)+1,FIND("-",CH1180,FIND("-",CH1180,FIND("-",CH1180)+1)+1)-FIND("-",CH1180,FIND("-",CH1180)+1)-1))),""))</f>
        <v/>
      </c>
    </row>
    <row r="1181">
      <c r="CH1181">
        <f>IF(ISTEXT('월 가계부'!A1181),SUBSTITUTE(SUBSTITUTE(SUBSTITUTE(SUBSTITUTE(SUBSTITUTE(SUBSTITUTE(SUBSTITUTE(SUBSTITUTE(SUBSTITUTE(TRIM('월 가계부'!A1181),"년","-"),"월","-"),"일",""),".","-"),"/","-")," ","-"),"--","-"),"--","-"),"--","-")&amp;"-","")</f>
        <v/>
      </c>
      <c r="CI1181">
        <f>IFERROR(IF('월 가계부'!A1181="","",IF(ISNUMBER('월 가계부'!A1181),IF(AND('월 가계부'!A1181&gt;=19000101,'월 가계부'!A1181&lt;=21001231),IF(AND(MOD(INT('월 가계부'!A1181/100),100)&gt;=1,MOD(INT('월 가계부'!A1181/100),100)&lt;=12,MOD(INT('월 가계부'!A1181),100)&gt;=1,MOD(INT('월 가계부'!A1181),100)&lt;=31),IF(MONTH(DATE(INT('월 가계부'!A1181/10000),MOD(INT('월 가계부'!A1181/100),100),MOD(INT('월 가계부'!A1181),100)))=MOD(INT('월 가계부'!A1181/100),100),DATE(INT('월 가계부'!A1181/10000),MOD(INT('월 가계부'!A1181/100),100),MOD(INT('월 가계부'!A1181),100)),""),""),IF(AND('월 가계부'!A1181&gt;=36526,'월 가계부'!A1181&lt;73051),INT('월 가계부'!A1181),"")),IF(OR(CM1181="",CN1181="",CO1181=""),"",IF(AND(CM1181&gt;=2000,CM1181&lt;=2099,CN1181&gt;=1,CN1181&lt;=12,CO1181&gt;=1,CO1181&lt;=31),IF(MONTH(DATE(CM1181,CN1181,CO1181))=CN1181,DATE(CM1181,CN1181,CO1181),""),"")))),"")</f>
        <v/>
      </c>
      <c r="CJ1181">
        <f>IFERROR(IF('월 가계부'!C1181="","",IF(ISNUMBER('월 가계부'!C1181),'월 가계부'!C1181,VALUE(SUBSTITUTE(SUBSTITUTE(SUBSTITUTE(SUBSTITUTE(TRIM('월 가계부'!C1181),",",""),"원","")," ",""),"−","-")))),"")</f>
        <v/>
      </c>
      <c r="CK1181">
        <f>IF(ISNUMBER(CI1181),IF(CI1181&lt;$B$13,CI1181,""),"")</f>
        <v/>
      </c>
      <c r="CM1181">
        <f>IF(CH1181="","",IFERROR(IF(IF(AND(LEN(CH1181)=9,ISERROR(FIND("-",LEFT(CH1181,8))),ISNUMBER(-LEFT(CH1181,8))),VALUE(LEFT(CH1181,4)),VALUE(LEFT(CH1181,FIND("-",CH1181)-1)))&lt;100,IF(AND(LEN(CH1181)=9,ISERROR(FIND("-",LEFT(CH1181,8))),ISNUMBER(-LEFT(CH1181,8))),VALUE(LEFT(CH1181,4)),VALUE(LEFT(CH1181,FIND("-",CH1181)-1)))+2000,IF(AND(LEN(CH1181)=9,ISERROR(FIND("-",LEFT(CH1181,8))),ISNUMBER(-LEFT(CH1181,8))),VALUE(LEFT(CH1181,4)),VALUE(LEFT(CH1181,FIND("-",CH1181)-1)))),""))</f>
        <v/>
      </c>
      <c r="CN1181">
        <f>IF(CH1181="","",IFERROR(IF(AND(LEN(CH1181)=9,ISERROR(FIND("-",LEFT(CH1181,8))),ISNUMBER(-LEFT(CH1181,8))),VALUE(MID(CH1181,5,2)),VALUE(MID(CH1181,FIND("-",CH1181)+1,FIND("-",CH1181,FIND("-",CH1181)+1)-FIND("-",CH1181)-1))),""))</f>
        <v/>
      </c>
      <c r="CO1181">
        <f>IF(CH1181="","",IFERROR(IF(AND(LEN(CH1181)=9,ISERROR(FIND("-",LEFT(CH1181,8))),ISNUMBER(-LEFT(CH1181,8))),VALUE(MID(CH1181,7,2)),VALUE(MID(CH1181,FIND("-",CH1181,FIND("-",CH1181)+1)+1,FIND("-",CH1181,FIND("-",CH1181,FIND("-",CH1181)+1)+1)-FIND("-",CH1181,FIND("-",CH1181)+1)-1))),""))</f>
        <v/>
      </c>
    </row>
    <row r="1182">
      <c r="CH1182">
        <f>IF(ISTEXT('월 가계부'!A1182),SUBSTITUTE(SUBSTITUTE(SUBSTITUTE(SUBSTITUTE(SUBSTITUTE(SUBSTITUTE(SUBSTITUTE(SUBSTITUTE(SUBSTITUTE(TRIM('월 가계부'!A1182),"년","-"),"월","-"),"일",""),".","-"),"/","-")," ","-"),"--","-"),"--","-"),"--","-")&amp;"-","")</f>
        <v/>
      </c>
      <c r="CI1182">
        <f>IFERROR(IF('월 가계부'!A1182="","",IF(ISNUMBER('월 가계부'!A1182),IF(AND('월 가계부'!A1182&gt;=19000101,'월 가계부'!A1182&lt;=21001231),IF(AND(MOD(INT('월 가계부'!A1182/100),100)&gt;=1,MOD(INT('월 가계부'!A1182/100),100)&lt;=12,MOD(INT('월 가계부'!A1182),100)&gt;=1,MOD(INT('월 가계부'!A1182),100)&lt;=31),IF(MONTH(DATE(INT('월 가계부'!A1182/10000),MOD(INT('월 가계부'!A1182/100),100),MOD(INT('월 가계부'!A1182),100)))=MOD(INT('월 가계부'!A1182/100),100),DATE(INT('월 가계부'!A1182/10000),MOD(INT('월 가계부'!A1182/100),100),MOD(INT('월 가계부'!A1182),100)),""),""),IF(AND('월 가계부'!A1182&gt;=36526,'월 가계부'!A1182&lt;73051),INT('월 가계부'!A1182),"")),IF(OR(CM1182="",CN1182="",CO1182=""),"",IF(AND(CM1182&gt;=2000,CM1182&lt;=2099,CN1182&gt;=1,CN1182&lt;=12,CO1182&gt;=1,CO1182&lt;=31),IF(MONTH(DATE(CM1182,CN1182,CO1182))=CN1182,DATE(CM1182,CN1182,CO1182),""),"")))),"")</f>
        <v/>
      </c>
      <c r="CJ1182">
        <f>IFERROR(IF('월 가계부'!C1182="","",IF(ISNUMBER('월 가계부'!C1182),'월 가계부'!C1182,VALUE(SUBSTITUTE(SUBSTITUTE(SUBSTITUTE(SUBSTITUTE(TRIM('월 가계부'!C1182),",",""),"원","")," ",""),"−","-")))),"")</f>
        <v/>
      </c>
      <c r="CK1182">
        <f>IF(ISNUMBER(CI1182),IF(CI1182&lt;$B$13,CI1182,""),"")</f>
        <v/>
      </c>
      <c r="CM1182">
        <f>IF(CH1182="","",IFERROR(IF(IF(AND(LEN(CH1182)=9,ISERROR(FIND("-",LEFT(CH1182,8))),ISNUMBER(-LEFT(CH1182,8))),VALUE(LEFT(CH1182,4)),VALUE(LEFT(CH1182,FIND("-",CH1182)-1)))&lt;100,IF(AND(LEN(CH1182)=9,ISERROR(FIND("-",LEFT(CH1182,8))),ISNUMBER(-LEFT(CH1182,8))),VALUE(LEFT(CH1182,4)),VALUE(LEFT(CH1182,FIND("-",CH1182)-1)))+2000,IF(AND(LEN(CH1182)=9,ISERROR(FIND("-",LEFT(CH1182,8))),ISNUMBER(-LEFT(CH1182,8))),VALUE(LEFT(CH1182,4)),VALUE(LEFT(CH1182,FIND("-",CH1182)-1)))),""))</f>
        <v/>
      </c>
      <c r="CN1182">
        <f>IF(CH1182="","",IFERROR(IF(AND(LEN(CH1182)=9,ISERROR(FIND("-",LEFT(CH1182,8))),ISNUMBER(-LEFT(CH1182,8))),VALUE(MID(CH1182,5,2)),VALUE(MID(CH1182,FIND("-",CH1182)+1,FIND("-",CH1182,FIND("-",CH1182)+1)-FIND("-",CH1182)-1))),""))</f>
        <v/>
      </c>
      <c r="CO1182">
        <f>IF(CH1182="","",IFERROR(IF(AND(LEN(CH1182)=9,ISERROR(FIND("-",LEFT(CH1182,8))),ISNUMBER(-LEFT(CH1182,8))),VALUE(MID(CH1182,7,2)),VALUE(MID(CH1182,FIND("-",CH1182,FIND("-",CH1182)+1)+1,FIND("-",CH1182,FIND("-",CH1182,FIND("-",CH1182)+1)+1)-FIND("-",CH1182,FIND("-",CH1182)+1)-1))),""))</f>
        <v/>
      </c>
    </row>
    <row r="1183">
      <c r="CH1183">
        <f>IF(ISTEXT('월 가계부'!A1183),SUBSTITUTE(SUBSTITUTE(SUBSTITUTE(SUBSTITUTE(SUBSTITUTE(SUBSTITUTE(SUBSTITUTE(SUBSTITUTE(SUBSTITUTE(TRIM('월 가계부'!A1183),"년","-"),"월","-"),"일",""),".","-"),"/","-")," ","-"),"--","-"),"--","-"),"--","-")&amp;"-","")</f>
        <v/>
      </c>
      <c r="CI1183">
        <f>IFERROR(IF('월 가계부'!A1183="","",IF(ISNUMBER('월 가계부'!A1183),IF(AND('월 가계부'!A1183&gt;=19000101,'월 가계부'!A1183&lt;=21001231),IF(AND(MOD(INT('월 가계부'!A1183/100),100)&gt;=1,MOD(INT('월 가계부'!A1183/100),100)&lt;=12,MOD(INT('월 가계부'!A1183),100)&gt;=1,MOD(INT('월 가계부'!A1183),100)&lt;=31),IF(MONTH(DATE(INT('월 가계부'!A1183/10000),MOD(INT('월 가계부'!A1183/100),100),MOD(INT('월 가계부'!A1183),100)))=MOD(INT('월 가계부'!A1183/100),100),DATE(INT('월 가계부'!A1183/10000),MOD(INT('월 가계부'!A1183/100),100),MOD(INT('월 가계부'!A1183),100)),""),""),IF(AND('월 가계부'!A1183&gt;=36526,'월 가계부'!A1183&lt;73051),INT('월 가계부'!A1183),"")),IF(OR(CM1183="",CN1183="",CO1183=""),"",IF(AND(CM1183&gt;=2000,CM1183&lt;=2099,CN1183&gt;=1,CN1183&lt;=12,CO1183&gt;=1,CO1183&lt;=31),IF(MONTH(DATE(CM1183,CN1183,CO1183))=CN1183,DATE(CM1183,CN1183,CO1183),""),"")))),"")</f>
        <v/>
      </c>
      <c r="CJ1183">
        <f>IFERROR(IF('월 가계부'!C1183="","",IF(ISNUMBER('월 가계부'!C1183),'월 가계부'!C1183,VALUE(SUBSTITUTE(SUBSTITUTE(SUBSTITUTE(SUBSTITUTE(TRIM('월 가계부'!C1183),",",""),"원","")," ",""),"−","-")))),"")</f>
        <v/>
      </c>
      <c r="CK1183">
        <f>IF(ISNUMBER(CI1183),IF(CI1183&lt;$B$13,CI1183,""),"")</f>
        <v/>
      </c>
      <c r="CM1183">
        <f>IF(CH1183="","",IFERROR(IF(IF(AND(LEN(CH1183)=9,ISERROR(FIND("-",LEFT(CH1183,8))),ISNUMBER(-LEFT(CH1183,8))),VALUE(LEFT(CH1183,4)),VALUE(LEFT(CH1183,FIND("-",CH1183)-1)))&lt;100,IF(AND(LEN(CH1183)=9,ISERROR(FIND("-",LEFT(CH1183,8))),ISNUMBER(-LEFT(CH1183,8))),VALUE(LEFT(CH1183,4)),VALUE(LEFT(CH1183,FIND("-",CH1183)-1)))+2000,IF(AND(LEN(CH1183)=9,ISERROR(FIND("-",LEFT(CH1183,8))),ISNUMBER(-LEFT(CH1183,8))),VALUE(LEFT(CH1183,4)),VALUE(LEFT(CH1183,FIND("-",CH1183)-1)))),""))</f>
        <v/>
      </c>
      <c r="CN1183">
        <f>IF(CH1183="","",IFERROR(IF(AND(LEN(CH1183)=9,ISERROR(FIND("-",LEFT(CH1183,8))),ISNUMBER(-LEFT(CH1183,8))),VALUE(MID(CH1183,5,2)),VALUE(MID(CH1183,FIND("-",CH1183)+1,FIND("-",CH1183,FIND("-",CH1183)+1)-FIND("-",CH1183)-1))),""))</f>
        <v/>
      </c>
      <c r="CO1183">
        <f>IF(CH1183="","",IFERROR(IF(AND(LEN(CH1183)=9,ISERROR(FIND("-",LEFT(CH1183,8))),ISNUMBER(-LEFT(CH1183,8))),VALUE(MID(CH1183,7,2)),VALUE(MID(CH1183,FIND("-",CH1183,FIND("-",CH1183)+1)+1,FIND("-",CH1183,FIND("-",CH1183,FIND("-",CH1183)+1)+1)-FIND("-",CH1183,FIND("-",CH1183)+1)-1))),""))</f>
        <v/>
      </c>
    </row>
    <row r="1184">
      <c r="CH1184">
        <f>IF(ISTEXT('월 가계부'!A1184),SUBSTITUTE(SUBSTITUTE(SUBSTITUTE(SUBSTITUTE(SUBSTITUTE(SUBSTITUTE(SUBSTITUTE(SUBSTITUTE(SUBSTITUTE(TRIM('월 가계부'!A1184),"년","-"),"월","-"),"일",""),".","-"),"/","-")," ","-"),"--","-"),"--","-"),"--","-")&amp;"-","")</f>
        <v/>
      </c>
      <c r="CI1184">
        <f>IFERROR(IF('월 가계부'!A1184="","",IF(ISNUMBER('월 가계부'!A1184),IF(AND('월 가계부'!A1184&gt;=19000101,'월 가계부'!A1184&lt;=21001231),IF(AND(MOD(INT('월 가계부'!A1184/100),100)&gt;=1,MOD(INT('월 가계부'!A1184/100),100)&lt;=12,MOD(INT('월 가계부'!A1184),100)&gt;=1,MOD(INT('월 가계부'!A1184),100)&lt;=31),IF(MONTH(DATE(INT('월 가계부'!A1184/10000),MOD(INT('월 가계부'!A1184/100),100),MOD(INT('월 가계부'!A1184),100)))=MOD(INT('월 가계부'!A1184/100),100),DATE(INT('월 가계부'!A1184/10000),MOD(INT('월 가계부'!A1184/100),100),MOD(INT('월 가계부'!A1184),100)),""),""),IF(AND('월 가계부'!A1184&gt;=36526,'월 가계부'!A1184&lt;73051),INT('월 가계부'!A1184),"")),IF(OR(CM1184="",CN1184="",CO1184=""),"",IF(AND(CM1184&gt;=2000,CM1184&lt;=2099,CN1184&gt;=1,CN1184&lt;=12,CO1184&gt;=1,CO1184&lt;=31),IF(MONTH(DATE(CM1184,CN1184,CO1184))=CN1184,DATE(CM1184,CN1184,CO1184),""),"")))),"")</f>
        <v/>
      </c>
      <c r="CJ1184">
        <f>IFERROR(IF('월 가계부'!C1184="","",IF(ISNUMBER('월 가계부'!C1184),'월 가계부'!C1184,VALUE(SUBSTITUTE(SUBSTITUTE(SUBSTITUTE(SUBSTITUTE(TRIM('월 가계부'!C1184),",",""),"원","")," ",""),"−","-")))),"")</f>
        <v/>
      </c>
      <c r="CK1184">
        <f>IF(ISNUMBER(CI1184),IF(CI1184&lt;$B$13,CI1184,""),"")</f>
        <v/>
      </c>
      <c r="CM1184">
        <f>IF(CH1184="","",IFERROR(IF(IF(AND(LEN(CH1184)=9,ISERROR(FIND("-",LEFT(CH1184,8))),ISNUMBER(-LEFT(CH1184,8))),VALUE(LEFT(CH1184,4)),VALUE(LEFT(CH1184,FIND("-",CH1184)-1)))&lt;100,IF(AND(LEN(CH1184)=9,ISERROR(FIND("-",LEFT(CH1184,8))),ISNUMBER(-LEFT(CH1184,8))),VALUE(LEFT(CH1184,4)),VALUE(LEFT(CH1184,FIND("-",CH1184)-1)))+2000,IF(AND(LEN(CH1184)=9,ISERROR(FIND("-",LEFT(CH1184,8))),ISNUMBER(-LEFT(CH1184,8))),VALUE(LEFT(CH1184,4)),VALUE(LEFT(CH1184,FIND("-",CH1184)-1)))),""))</f>
        <v/>
      </c>
      <c r="CN1184">
        <f>IF(CH1184="","",IFERROR(IF(AND(LEN(CH1184)=9,ISERROR(FIND("-",LEFT(CH1184,8))),ISNUMBER(-LEFT(CH1184,8))),VALUE(MID(CH1184,5,2)),VALUE(MID(CH1184,FIND("-",CH1184)+1,FIND("-",CH1184,FIND("-",CH1184)+1)-FIND("-",CH1184)-1))),""))</f>
        <v/>
      </c>
      <c r="CO1184">
        <f>IF(CH1184="","",IFERROR(IF(AND(LEN(CH1184)=9,ISERROR(FIND("-",LEFT(CH1184,8))),ISNUMBER(-LEFT(CH1184,8))),VALUE(MID(CH1184,7,2)),VALUE(MID(CH1184,FIND("-",CH1184,FIND("-",CH1184)+1)+1,FIND("-",CH1184,FIND("-",CH1184,FIND("-",CH1184)+1)+1)-FIND("-",CH1184,FIND("-",CH1184)+1)-1))),""))</f>
        <v/>
      </c>
    </row>
    <row r="1185">
      <c r="CH1185">
        <f>IF(ISTEXT('월 가계부'!A1185),SUBSTITUTE(SUBSTITUTE(SUBSTITUTE(SUBSTITUTE(SUBSTITUTE(SUBSTITUTE(SUBSTITUTE(SUBSTITUTE(SUBSTITUTE(TRIM('월 가계부'!A1185),"년","-"),"월","-"),"일",""),".","-"),"/","-")," ","-"),"--","-"),"--","-"),"--","-")&amp;"-","")</f>
        <v/>
      </c>
      <c r="CI1185">
        <f>IFERROR(IF('월 가계부'!A1185="","",IF(ISNUMBER('월 가계부'!A1185),IF(AND('월 가계부'!A1185&gt;=19000101,'월 가계부'!A1185&lt;=21001231),IF(AND(MOD(INT('월 가계부'!A1185/100),100)&gt;=1,MOD(INT('월 가계부'!A1185/100),100)&lt;=12,MOD(INT('월 가계부'!A1185),100)&gt;=1,MOD(INT('월 가계부'!A1185),100)&lt;=31),IF(MONTH(DATE(INT('월 가계부'!A1185/10000),MOD(INT('월 가계부'!A1185/100),100),MOD(INT('월 가계부'!A1185),100)))=MOD(INT('월 가계부'!A1185/100),100),DATE(INT('월 가계부'!A1185/10000),MOD(INT('월 가계부'!A1185/100),100),MOD(INT('월 가계부'!A1185),100)),""),""),IF(AND('월 가계부'!A1185&gt;=36526,'월 가계부'!A1185&lt;73051),INT('월 가계부'!A1185),"")),IF(OR(CM1185="",CN1185="",CO1185=""),"",IF(AND(CM1185&gt;=2000,CM1185&lt;=2099,CN1185&gt;=1,CN1185&lt;=12,CO1185&gt;=1,CO1185&lt;=31),IF(MONTH(DATE(CM1185,CN1185,CO1185))=CN1185,DATE(CM1185,CN1185,CO1185),""),"")))),"")</f>
        <v/>
      </c>
      <c r="CJ1185">
        <f>IFERROR(IF('월 가계부'!C1185="","",IF(ISNUMBER('월 가계부'!C1185),'월 가계부'!C1185,VALUE(SUBSTITUTE(SUBSTITUTE(SUBSTITUTE(SUBSTITUTE(TRIM('월 가계부'!C1185),",",""),"원","")," ",""),"−","-")))),"")</f>
        <v/>
      </c>
      <c r="CK1185">
        <f>IF(ISNUMBER(CI1185),IF(CI1185&lt;$B$13,CI1185,""),"")</f>
        <v/>
      </c>
      <c r="CM1185">
        <f>IF(CH1185="","",IFERROR(IF(IF(AND(LEN(CH1185)=9,ISERROR(FIND("-",LEFT(CH1185,8))),ISNUMBER(-LEFT(CH1185,8))),VALUE(LEFT(CH1185,4)),VALUE(LEFT(CH1185,FIND("-",CH1185)-1)))&lt;100,IF(AND(LEN(CH1185)=9,ISERROR(FIND("-",LEFT(CH1185,8))),ISNUMBER(-LEFT(CH1185,8))),VALUE(LEFT(CH1185,4)),VALUE(LEFT(CH1185,FIND("-",CH1185)-1)))+2000,IF(AND(LEN(CH1185)=9,ISERROR(FIND("-",LEFT(CH1185,8))),ISNUMBER(-LEFT(CH1185,8))),VALUE(LEFT(CH1185,4)),VALUE(LEFT(CH1185,FIND("-",CH1185)-1)))),""))</f>
        <v/>
      </c>
      <c r="CN1185">
        <f>IF(CH1185="","",IFERROR(IF(AND(LEN(CH1185)=9,ISERROR(FIND("-",LEFT(CH1185,8))),ISNUMBER(-LEFT(CH1185,8))),VALUE(MID(CH1185,5,2)),VALUE(MID(CH1185,FIND("-",CH1185)+1,FIND("-",CH1185,FIND("-",CH1185)+1)-FIND("-",CH1185)-1))),""))</f>
        <v/>
      </c>
      <c r="CO1185">
        <f>IF(CH1185="","",IFERROR(IF(AND(LEN(CH1185)=9,ISERROR(FIND("-",LEFT(CH1185,8))),ISNUMBER(-LEFT(CH1185,8))),VALUE(MID(CH1185,7,2)),VALUE(MID(CH1185,FIND("-",CH1185,FIND("-",CH1185)+1)+1,FIND("-",CH1185,FIND("-",CH1185,FIND("-",CH1185)+1)+1)-FIND("-",CH1185,FIND("-",CH1185)+1)-1))),""))</f>
        <v/>
      </c>
    </row>
    <row r="1186">
      <c r="CH1186">
        <f>IF(ISTEXT('월 가계부'!A1186),SUBSTITUTE(SUBSTITUTE(SUBSTITUTE(SUBSTITUTE(SUBSTITUTE(SUBSTITUTE(SUBSTITUTE(SUBSTITUTE(SUBSTITUTE(TRIM('월 가계부'!A1186),"년","-"),"월","-"),"일",""),".","-"),"/","-")," ","-"),"--","-"),"--","-"),"--","-")&amp;"-","")</f>
        <v/>
      </c>
      <c r="CI1186">
        <f>IFERROR(IF('월 가계부'!A1186="","",IF(ISNUMBER('월 가계부'!A1186),IF(AND('월 가계부'!A1186&gt;=19000101,'월 가계부'!A1186&lt;=21001231),IF(AND(MOD(INT('월 가계부'!A1186/100),100)&gt;=1,MOD(INT('월 가계부'!A1186/100),100)&lt;=12,MOD(INT('월 가계부'!A1186),100)&gt;=1,MOD(INT('월 가계부'!A1186),100)&lt;=31),IF(MONTH(DATE(INT('월 가계부'!A1186/10000),MOD(INT('월 가계부'!A1186/100),100),MOD(INT('월 가계부'!A1186),100)))=MOD(INT('월 가계부'!A1186/100),100),DATE(INT('월 가계부'!A1186/10000),MOD(INT('월 가계부'!A1186/100),100),MOD(INT('월 가계부'!A1186),100)),""),""),IF(AND('월 가계부'!A1186&gt;=36526,'월 가계부'!A1186&lt;73051),INT('월 가계부'!A1186),"")),IF(OR(CM1186="",CN1186="",CO1186=""),"",IF(AND(CM1186&gt;=2000,CM1186&lt;=2099,CN1186&gt;=1,CN1186&lt;=12,CO1186&gt;=1,CO1186&lt;=31),IF(MONTH(DATE(CM1186,CN1186,CO1186))=CN1186,DATE(CM1186,CN1186,CO1186),""),"")))),"")</f>
        <v/>
      </c>
      <c r="CJ1186">
        <f>IFERROR(IF('월 가계부'!C1186="","",IF(ISNUMBER('월 가계부'!C1186),'월 가계부'!C1186,VALUE(SUBSTITUTE(SUBSTITUTE(SUBSTITUTE(SUBSTITUTE(TRIM('월 가계부'!C1186),",",""),"원","")," ",""),"−","-")))),"")</f>
        <v/>
      </c>
      <c r="CK1186">
        <f>IF(ISNUMBER(CI1186),IF(CI1186&lt;$B$13,CI1186,""),"")</f>
        <v/>
      </c>
      <c r="CM1186">
        <f>IF(CH1186="","",IFERROR(IF(IF(AND(LEN(CH1186)=9,ISERROR(FIND("-",LEFT(CH1186,8))),ISNUMBER(-LEFT(CH1186,8))),VALUE(LEFT(CH1186,4)),VALUE(LEFT(CH1186,FIND("-",CH1186)-1)))&lt;100,IF(AND(LEN(CH1186)=9,ISERROR(FIND("-",LEFT(CH1186,8))),ISNUMBER(-LEFT(CH1186,8))),VALUE(LEFT(CH1186,4)),VALUE(LEFT(CH1186,FIND("-",CH1186)-1)))+2000,IF(AND(LEN(CH1186)=9,ISERROR(FIND("-",LEFT(CH1186,8))),ISNUMBER(-LEFT(CH1186,8))),VALUE(LEFT(CH1186,4)),VALUE(LEFT(CH1186,FIND("-",CH1186)-1)))),""))</f>
        <v/>
      </c>
      <c r="CN1186">
        <f>IF(CH1186="","",IFERROR(IF(AND(LEN(CH1186)=9,ISERROR(FIND("-",LEFT(CH1186,8))),ISNUMBER(-LEFT(CH1186,8))),VALUE(MID(CH1186,5,2)),VALUE(MID(CH1186,FIND("-",CH1186)+1,FIND("-",CH1186,FIND("-",CH1186)+1)-FIND("-",CH1186)-1))),""))</f>
        <v/>
      </c>
      <c r="CO1186">
        <f>IF(CH1186="","",IFERROR(IF(AND(LEN(CH1186)=9,ISERROR(FIND("-",LEFT(CH1186,8))),ISNUMBER(-LEFT(CH1186,8))),VALUE(MID(CH1186,7,2)),VALUE(MID(CH1186,FIND("-",CH1186,FIND("-",CH1186)+1)+1,FIND("-",CH1186,FIND("-",CH1186,FIND("-",CH1186)+1)+1)-FIND("-",CH1186,FIND("-",CH1186)+1)-1))),""))</f>
        <v/>
      </c>
    </row>
    <row r="1187">
      <c r="CH1187">
        <f>IF(ISTEXT('월 가계부'!A1187),SUBSTITUTE(SUBSTITUTE(SUBSTITUTE(SUBSTITUTE(SUBSTITUTE(SUBSTITUTE(SUBSTITUTE(SUBSTITUTE(SUBSTITUTE(TRIM('월 가계부'!A1187),"년","-"),"월","-"),"일",""),".","-"),"/","-")," ","-"),"--","-"),"--","-"),"--","-")&amp;"-","")</f>
        <v/>
      </c>
      <c r="CI1187">
        <f>IFERROR(IF('월 가계부'!A1187="","",IF(ISNUMBER('월 가계부'!A1187),IF(AND('월 가계부'!A1187&gt;=19000101,'월 가계부'!A1187&lt;=21001231),IF(AND(MOD(INT('월 가계부'!A1187/100),100)&gt;=1,MOD(INT('월 가계부'!A1187/100),100)&lt;=12,MOD(INT('월 가계부'!A1187),100)&gt;=1,MOD(INT('월 가계부'!A1187),100)&lt;=31),IF(MONTH(DATE(INT('월 가계부'!A1187/10000),MOD(INT('월 가계부'!A1187/100),100),MOD(INT('월 가계부'!A1187),100)))=MOD(INT('월 가계부'!A1187/100),100),DATE(INT('월 가계부'!A1187/10000),MOD(INT('월 가계부'!A1187/100),100),MOD(INT('월 가계부'!A1187),100)),""),""),IF(AND('월 가계부'!A1187&gt;=36526,'월 가계부'!A1187&lt;73051),INT('월 가계부'!A1187),"")),IF(OR(CM1187="",CN1187="",CO1187=""),"",IF(AND(CM1187&gt;=2000,CM1187&lt;=2099,CN1187&gt;=1,CN1187&lt;=12,CO1187&gt;=1,CO1187&lt;=31),IF(MONTH(DATE(CM1187,CN1187,CO1187))=CN1187,DATE(CM1187,CN1187,CO1187),""),"")))),"")</f>
        <v/>
      </c>
      <c r="CJ1187">
        <f>IFERROR(IF('월 가계부'!C1187="","",IF(ISNUMBER('월 가계부'!C1187),'월 가계부'!C1187,VALUE(SUBSTITUTE(SUBSTITUTE(SUBSTITUTE(SUBSTITUTE(TRIM('월 가계부'!C1187),",",""),"원","")," ",""),"−","-")))),"")</f>
        <v/>
      </c>
      <c r="CK1187">
        <f>IF(ISNUMBER(CI1187),IF(CI1187&lt;$B$13,CI1187,""),"")</f>
        <v/>
      </c>
      <c r="CM1187">
        <f>IF(CH1187="","",IFERROR(IF(IF(AND(LEN(CH1187)=9,ISERROR(FIND("-",LEFT(CH1187,8))),ISNUMBER(-LEFT(CH1187,8))),VALUE(LEFT(CH1187,4)),VALUE(LEFT(CH1187,FIND("-",CH1187)-1)))&lt;100,IF(AND(LEN(CH1187)=9,ISERROR(FIND("-",LEFT(CH1187,8))),ISNUMBER(-LEFT(CH1187,8))),VALUE(LEFT(CH1187,4)),VALUE(LEFT(CH1187,FIND("-",CH1187)-1)))+2000,IF(AND(LEN(CH1187)=9,ISERROR(FIND("-",LEFT(CH1187,8))),ISNUMBER(-LEFT(CH1187,8))),VALUE(LEFT(CH1187,4)),VALUE(LEFT(CH1187,FIND("-",CH1187)-1)))),""))</f>
        <v/>
      </c>
      <c r="CN1187">
        <f>IF(CH1187="","",IFERROR(IF(AND(LEN(CH1187)=9,ISERROR(FIND("-",LEFT(CH1187,8))),ISNUMBER(-LEFT(CH1187,8))),VALUE(MID(CH1187,5,2)),VALUE(MID(CH1187,FIND("-",CH1187)+1,FIND("-",CH1187,FIND("-",CH1187)+1)-FIND("-",CH1187)-1))),""))</f>
        <v/>
      </c>
      <c r="CO1187">
        <f>IF(CH1187="","",IFERROR(IF(AND(LEN(CH1187)=9,ISERROR(FIND("-",LEFT(CH1187,8))),ISNUMBER(-LEFT(CH1187,8))),VALUE(MID(CH1187,7,2)),VALUE(MID(CH1187,FIND("-",CH1187,FIND("-",CH1187)+1)+1,FIND("-",CH1187,FIND("-",CH1187,FIND("-",CH1187)+1)+1)-FIND("-",CH1187,FIND("-",CH1187)+1)-1))),""))</f>
        <v/>
      </c>
    </row>
    <row r="1188">
      <c r="CH1188">
        <f>IF(ISTEXT('월 가계부'!A1188),SUBSTITUTE(SUBSTITUTE(SUBSTITUTE(SUBSTITUTE(SUBSTITUTE(SUBSTITUTE(SUBSTITUTE(SUBSTITUTE(SUBSTITUTE(TRIM('월 가계부'!A1188),"년","-"),"월","-"),"일",""),".","-"),"/","-")," ","-"),"--","-"),"--","-"),"--","-")&amp;"-","")</f>
        <v/>
      </c>
      <c r="CI1188">
        <f>IFERROR(IF('월 가계부'!A1188="","",IF(ISNUMBER('월 가계부'!A1188),IF(AND('월 가계부'!A1188&gt;=19000101,'월 가계부'!A1188&lt;=21001231),IF(AND(MOD(INT('월 가계부'!A1188/100),100)&gt;=1,MOD(INT('월 가계부'!A1188/100),100)&lt;=12,MOD(INT('월 가계부'!A1188),100)&gt;=1,MOD(INT('월 가계부'!A1188),100)&lt;=31),IF(MONTH(DATE(INT('월 가계부'!A1188/10000),MOD(INT('월 가계부'!A1188/100),100),MOD(INT('월 가계부'!A1188),100)))=MOD(INT('월 가계부'!A1188/100),100),DATE(INT('월 가계부'!A1188/10000),MOD(INT('월 가계부'!A1188/100),100),MOD(INT('월 가계부'!A1188),100)),""),""),IF(AND('월 가계부'!A1188&gt;=36526,'월 가계부'!A1188&lt;73051),INT('월 가계부'!A1188),"")),IF(OR(CM1188="",CN1188="",CO1188=""),"",IF(AND(CM1188&gt;=2000,CM1188&lt;=2099,CN1188&gt;=1,CN1188&lt;=12,CO1188&gt;=1,CO1188&lt;=31),IF(MONTH(DATE(CM1188,CN1188,CO1188))=CN1188,DATE(CM1188,CN1188,CO1188),""),"")))),"")</f>
        <v/>
      </c>
      <c r="CJ1188">
        <f>IFERROR(IF('월 가계부'!C1188="","",IF(ISNUMBER('월 가계부'!C1188),'월 가계부'!C1188,VALUE(SUBSTITUTE(SUBSTITUTE(SUBSTITUTE(SUBSTITUTE(TRIM('월 가계부'!C1188),",",""),"원","")," ",""),"−","-")))),"")</f>
        <v/>
      </c>
      <c r="CK1188">
        <f>IF(ISNUMBER(CI1188),IF(CI1188&lt;$B$13,CI1188,""),"")</f>
        <v/>
      </c>
      <c r="CM1188">
        <f>IF(CH1188="","",IFERROR(IF(IF(AND(LEN(CH1188)=9,ISERROR(FIND("-",LEFT(CH1188,8))),ISNUMBER(-LEFT(CH1188,8))),VALUE(LEFT(CH1188,4)),VALUE(LEFT(CH1188,FIND("-",CH1188)-1)))&lt;100,IF(AND(LEN(CH1188)=9,ISERROR(FIND("-",LEFT(CH1188,8))),ISNUMBER(-LEFT(CH1188,8))),VALUE(LEFT(CH1188,4)),VALUE(LEFT(CH1188,FIND("-",CH1188)-1)))+2000,IF(AND(LEN(CH1188)=9,ISERROR(FIND("-",LEFT(CH1188,8))),ISNUMBER(-LEFT(CH1188,8))),VALUE(LEFT(CH1188,4)),VALUE(LEFT(CH1188,FIND("-",CH1188)-1)))),""))</f>
        <v/>
      </c>
      <c r="CN1188">
        <f>IF(CH1188="","",IFERROR(IF(AND(LEN(CH1188)=9,ISERROR(FIND("-",LEFT(CH1188,8))),ISNUMBER(-LEFT(CH1188,8))),VALUE(MID(CH1188,5,2)),VALUE(MID(CH1188,FIND("-",CH1188)+1,FIND("-",CH1188,FIND("-",CH1188)+1)-FIND("-",CH1188)-1))),""))</f>
        <v/>
      </c>
      <c r="CO1188">
        <f>IF(CH1188="","",IFERROR(IF(AND(LEN(CH1188)=9,ISERROR(FIND("-",LEFT(CH1188,8))),ISNUMBER(-LEFT(CH1188,8))),VALUE(MID(CH1188,7,2)),VALUE(MID(CH1188,FIND("-",CH1188,FIND("-",CH1188)+1)+1,FIND("-",CH1188,FIND("-",CH1188,FIND("-",CH1188)+1)+1)-FIND("-",CH1188,FIND("-",CH1188)+1)-1))),""))</f>
        <v/>
      </c>
    </row>
    <row r="1189">
      <c r="CH1189">
        <f>IF(ISTEXT('월 가계부'!A1189),SUBSTITUTE(SUBSTITUTE(SUBSTITUTE(SUBSTITUTE(SUBSTITUTE(SUBSTITUTE(SUBSTITUTE(SUBSTITUTE(SUBSTITUTE(TRIM('월 가계부'!A1189),"년","-"),"월","-"),"일",""),".","-"),"/","-")," ","-"),"--","-"),"--","-"),"--","-")&amp;"-","")</f>
        <v/>
      </c>
      <c r="CI1189">
        <f>IFERROR(IF('월 가계부'!A1189="","",IF(ISNUMBER('월 가계부'!A1189),IF(AND('월 가계부'!A1189&gt;=19000101,'월 가계부'!A1189&lt;=21001231),IF(AND(MOD(INT('월 가계부'!A1189/100),100)&gt;=1,MOD(INT('월 가계부'!A1189/100),100)&lt;=12,MOD(INT('월 가계부'!A1189),100)&gt;=1,MOD(INT('월 가계부'!A1189),100)&lt;=31),IF(MONTH(DATE(INT('월 가계부'!A1189/10000),MOD(INT('월 가계부'!A1189/100),100),MOD(INT('월 가계부'!A1189),100)))=MOD(INT('월 가계부'!A1189/100),100),DATE(INT('월 가계부'!A1189/10000),MOD(INT('월 가계부'!A1189/100),100),MOD(INT('월 가계부'!A1189),100)),""),""),IF(AND('월 가계부'!A1189&gt;=36526,'월 가계부'!A1189&lt;73051),INT('월 가계부'!A1189),"")),IF(OR(CM1189="",CN1189="",CO1189=""),"",IF(AND(CM1189&gt;=2000,CM1189&lt;=2099,CN1189&gt;=1,CN1189&lt;=12,CO1189&gt;=1,CO1189&lt;=31),IF(MONTH(DATE(CM1189,CN1189,CO1189))=CN1189,DATE(CM1189,CN1189,CO1189),""),"")))),"")</f>
        <v/>
      </c>
      <c r="CJ1189">
        <f>IFERROR(IF('월 가계부'!C1189="","",IF(ISNUMBER('월 가계부'!C1189),'월 가계부'!C1189,VALUE(SUBSTITUTE(SUBSTITUTE(SUBSTITUTE(SUBSTITUTE(TRIM('월 가계부'!C1189),",",""),"원","")," ",""),"−","-")))),"")</f>
        <v/>
      </c>
      <c r="CK1189">
        <f>IF(ISNUMBER(CI1189),IF(CI1189&lt;$B$13,CI1189,""),"")</f>
        <v/>
      </c>
      <c r="CM1189">
        <f>IF(CH1189="","",IFERROR(IF(IF(AND(LEN(CH1189)=9,ISERROR(FIND("-",LEFT(CH1189,8))),ISNUMBER(-LEFT(CH1189,8))),VALUE(LEFT(CH1189,4)),VALUE(LEFT(CH1189,FIND("-",CH1189)-1)))&lt;100,IF(AND(LEN(CH1189)=9,ISERROR(FIND("-",LEFT(CH1189,8))),ISNUMBER(-LEFT(CH1189,8))),VALUE(LEFT(CH1189,4)),VALUE(LEFT(CH1189,FIND("-",CH1189)-1)))+2000,IF(AND(LEN(CH1189)=9,ISERROR(FIND("-",LEFT(CH1189,8))),ISNUMBER(-LEFT(CH1189,8))),VALUE(LEFT(CH1189,4)),VALUE(LEFT(CH1189,FIND("-",CH1189)-1)))),""))</f>
        <v/>
      </c>
      <c r="CN1189">
        <f>IF(CH1189="","",IFERROR(IF(AND(LEN(CH1189)=9,ISERROR(FIND("-",LEFT(CH1189,8))),ISNUMBER(-LEFT(CH1189,8))),VALUE(MID(CH1189,5,2)),VALUE(MID(CH1189,FIND("-",CH1189)+1,FIND("-",CH1189,FIND("-",CH1189)+1)-FIND("-",CH1189)-1))),""))</f>
        <v/>
      </c>
      <c r="CO1189">
        <f>IF(CH1189="","",IFERROR(IF(AND(LEN(CH1189)=9,ISERROR(FIND("-",LEFT(CH1189,8))),ISNUMBER(-LEFT(CH1189,8))),VALUE(MID(CH1189,7,2)),VALUE(MID(CH1189,FIND("-",CH1189,FIND("-",CH1189)+1)+1,FIND("-",CH1189,FIND("-",CH1189,FIND("-",CH1189)+1)+1)-FIND("-",CH1189,FIND("-",CH1189)+1)-1))),""))</f>
        <v/>
      </c>
    </row>
    <row r="1190">
      <c r="CH1190">
        <f>IF(ISTEXT('월 가계부'!A1190),SUBSTITUTE(SUBSTITUTE(SUBSTITUTE(SUBSTITUTE(SUBSTITUTE(SUBSTITUTE(SUBSTITUTE(SUBSTITUTE(SUBSTITUTE(TRIM('월 가계부'!A1190),"년","-"),"월","-"),"일",""),".","-"),"/","-")," ","-"),"--","-"),"--","-"),"--","-")&amp;"-","")</f>
        <v/>
      </c>
      <c r="CI1190">
        <f>IFERROR(IF('월 가계부'!A1190="","",IF(ISNUMBER('월 가계부'!A1190),IF(AND('월 가계부'!A1190&gt;=19000101,'월 가계부'!A1190&lt;=21001231),IF(AND(MOD(INT('월 가계부'!A1190/100),100)&gt;=1,MOD(INT('월 가계부'!A1190/100),100)&lt;=12,MOD(INT('월 가계부'!A1190),100)&gt;=1,MOD(INT('월 가계부'!A1190),100)&lt;=31),IF(MONTH(DATE(INT('월 가계부'!A1190/10000),MOD(INT('월 가계부'!A1190/100),100),MOD(INT('월 가계부'!A1190),100)))=MOD(INT('월 가계부'!A1190/100),100),DATE(INT('월 가계부'!A1190/10000),MOD(INT('월 가계부'!A1190/100),100),MOD(INT('월 가계부'!A1190),100)),""),""),IF(AND('월 가계부'!A1190&gt;=36526,'월 가계부'!A1190&lt;73051),INT('월 가계부'!A1190),"")),IF(OR(CM1190="",CN1190="",CO1190=""),"",IF(AND(CM1190&gt;=2000,CM1190&lt;=2099,CN1190&gt;=1,CN1190&lt;=12,CO1190&gt;=1,CO1190&lt;=31),IF(MONTH(DATE(CM1190,CN1190,CO1190))=CN1190,DATE(CM1190,CN1190,CO1190),""),"")))),"")</f>
        <v/>
      </c>
      <c r="CJ1190">
        <f>IFERROR(IF('월 가계부'!C1190="","",IF(ISNUMBER('월 가계부'!C1190),'월 가계부'!C1190,VALUE(SUBSTITUTE(SUBSTITUTE(SUBSTITUTE(SUBSTITUTE(TRIM('월 가계부'!C1190),",",""),"원","")," ",""),"−","-")))),"")</f>
        <v/>
      </c>
      <c r="CK1190">
        <f>IF(ISNUMBER(CI1190),IF(CI1190&lt;$B$13,CI1190,""),"")</f>
        <v/>
      </c>
      <c r="CM1190">
        <f>IF(CH1190="","",IFERROR(IF(IF(AND(LEN(CH1190)=9,ISERROR(FIND("-",LEFT(CH1190,8))),ISNUMBER(-LEFT(CH1190,8))),VALUE(LEFT(CH1190,4)),VALUE(LEFT(CH1190,FIND("-",CH1190)-1)))&lt;100,IF(AND(LEN(CH1190)=9,ISERROR(FIND("-",LEFT(CH1190,8))),ISNUMBER(-LEFT(CH1190,8))),VALUE(LEFT(CH1190,4)),VALUE(LEFT(CH1190,FIND("-",CH1190)-1)))+2000,IF(AND(LEN(CH1190)=9,ISERROR(FIND("-",LEFT(CH1190,8))),ISNUMBER(-LEFT(CH1190,8))),VALUE(LEFT(CH1190,4)),VALUE(LEFT(CH1190,FIND("-",CH1190)-1)))),""))</f>
        <v/>
      </c>
      <c r="CN1190">
        <f>IF(CH1190="","",IFERROR(IF(AND(LEN(CH1190)=9,ISERROR(FIND("-",LEFT(CH1190,8))),ISNUMBER(-LEFT(CH1190,8))),VALUE(MID(CH1190,5,2)),VALUE(MID(CH1190,FIND("-",CH1190)+1,FIND("-",CH1190,FIND("-",CH1190)+1)-FIND("-",CH1190)-1))),""))</f>
        <v/>
      </c>
      <c r="CO1190">
        <f>IF(CH1190="","",IFERROR(IF(AND(LEN(CH1190)=9,ISERROR(FIND("-",LEFT(CH1190,8))),ISNUMBER(-LEFT(CH1190,8))),VALUE(MID(CH1190,7,2)),VALUE(MID(CH1190,FIND("-",CH1190,FIND("-",CH1190)+1)+1,FIND("-",CH1190,FIND("-",CH1190,FIND("-",CH1190)+1)+1)-FIND("-",CH1190,FIND("-",CH1190)+1)-1))),""))</f>
        <v/>
      </c>
    </row>
    <row r="1191">
      <c r="CH1191">
        <f>IF(ISTEXT('월 가계부'!A1191),SUBSTITUTE(SUBSTITUTE(SUBSTITUTE(SUBSTITUTE(SUBSTITUTE(SUBSTITUTE(SUBSTITUTE(SUBSTITUTE(SUBSTITUTE(TRIM('월 가계부'!A1191),"년","-"),"월","-"),"일",""),".","-"),"/","-")," ","-"),"--","-"),"--","-"),"--","-")&amp;"-","")</f>
        <v/>
      </c>
      <c r="CI1191">
        <f>IFERROR(IF('월 가계부'!A1191="","",IF(ISNUMBER('월 가계부'!A1191),IF(AND('월 가계부'!A1191&gt;=19000101,'월 가계부'!A1191&lt;=21001231),IF(AND(MOD(INT('월 가계부'!A1191/100),100)&gt;=1,MOD(INT('월 가계부'!A1191/100),100)&lt;=12,MOD(INT('월 가계부'!A1191),100)&gt;=1,MOD(INT('월 가계부'!A1191),100)&lt;=31),IF(MONTH(DATE(INT('월 가계부'!A1191/10000),MOD(INT('월 가계부'!A1191/100),100),MOD(INT('월 가계부'!A1191),100)))=MOD(INT('월 가계부'!A1191/100),100),DATE(INT('월 가계부'!A1191/10000),MOD(INT('월 가계부'!A1191/100),100),MOD(INT('월 가계부'!A1191),100)),""),""),IF(AND('월 가계부'!A1191&gt;=36526,'월 가계부'!A1191&lt;73051),INT('월 가계부'!A1191),"")),IF(OR(CM1191="",CN1191="",CO1191=""),"",IF(AND(CM1191&gt;=2000,CM1191&lt;=2099,CN1191&gt;=1,CN1191&lt;=12,CO1191&gt;=1,CO1191&lt;=31),IF(MONTH(DATE(CM1191,CN1191,CO1191))=CN1191,DATE(CM1191,CN1191,CO1191),""),"")))),"")</f>
        <v/>
      </c>
      <c r="CJ1191">
        <f>IFERROR(IF('월 가계부'!C1191="","",IF(ISNUMBER('월 가계부'!C1191),'월 가계부'!C1191,VALUE(SUBSTITUTE(SUBSTITUTE(SUBSTITUTE(SUBSTITUTE(TRIM('월 가계부'!C1191),",",""),"원","")," ",""),"−","-")))),"")</f>
        <v/>
      </c>
      <c r="CK1191">
        <f>IF(ISNUMBER(CI1191),IF(CI1191&lt;$B$13,CI1191,""),"")</f>
        <v/>
      </c>
      <c r="CM1191">
        <f>IF(CH1191="","",IFERROR(IF(IF(AND(LEN(CH1191)=9,ISERROR(FIND("-",LEFT(CH1191,8))),ISNUMBER(-LEFT(CH1191,8))),VALUE(LEFT(CH1191,4)),VALUE(LEFT(CH1191,FIND("-",CH1191)-1)))&lt;100,IF(AND(LEN(CH1191)=9,ISERROR(FIND("-",LEFT(CH1191,8))),ISNUMBER(-LEFT(CH1191,8))),VALUE(LEFT(CH1191,4)),VALUE(LEFT(CH1191,FIND("-",CH1191)-1)))+2000,IF(AND(LEN(CH1191)=9,ISERROR(FIND("-",LEFT(CH1191,8))),ISNUMBER(-LEFT(CH1191,8))),VALUE(LEFT(CH1191,4)),VALUE(LEFT(CH1191,FIND("-",CH1191)-1)))),""))</f>
        <v/>
      </c>
      <c r="CN1191">
        <f>IF(CH1191="","",IFERROR(IF(AND(LEN(CH1191)=9,ISERROR(FIND("-",LEFT(CH1191,8))),ISNUMBER(-LEFT(CH1191,8))),VALUE(MID(CH1191,5,2)),VALUE(MID(CH1191,FIND("-",CH1191)+1,FIND("-",CH1191,FIND("-",CH1191)+1)-FIND("-",CH1191)-1))),""))</f>
        <v/>
      </c>
      <c r="CO1191">
        <f>IF(CH1191="","",IFERROR(IF(AND(LEN(CH1191)=9,ISERROR(FIND("-",LEFT(CH1191,8))),ISNUMBER(-LEFT(CH1191,8))),VALUE(MID(CH1191,7,2)),VALUE(MID(CH1191,FIND("-",CH1191,FIND("-",CH1191)+1)+1,FIND("-",CH1191,FIND("-",CH1191,FIND("-",CH1191)+1)+1)-FIND("-",CH1191,FIND("-",CH1191)+1)-1))),""))</f>
        <v/>
      </c>
    </row>
    <row r="1192">
      <c r="CH1192">
        <f>IF(ISTEXT('월 가계부'!A1192),SUBSTITUTE(SUBSTITUTE(SUBSTITUTE(SUBSTITUTE(SUBSTITUTE(SUBSTITUTE(SUBSTITUTE(SUBSTITUTE(SUBSTITUTE(TRIM('월 가계부'!A1192),"년","-"),"월","-"),"일",""),".","-"),"/","-")," ","-"),"--","-"),"--","-"),"--","-")&amp;"-","")</f>
        <v/>
      </c>
      <c r="CI1192">
        <f>IFERROR(IF('월 가계부'!A1192="","",IF(ISNUMBER('월 가계부'!A1192),IF(AND('월 가계부'!A1192&gt;=19000101,'월 가계부'!A1192&lt;=21001231),IF(AND(MOD(INT('월 가계부'!A1192/100),100)&gt;=1,MOD(INT('월 가계부'!A1192/100),100)&lt;=12,MOD(INT('월 가계부'!A1192),100)&gt;=1,MOD(INT('월 가계부'!A1192),100)&lt;=31),IF(MONTH(DATE(INT('월 가계부'!A1192/10000),MOD(INT('월 가계부'!A1192/100),100),MOD(INT('월 가계부'!A1192),100)))=MOD(INT('월 가계부'!A1192/100),100),DATE(INT('월 가계부'!A1192/10000),MOD(INT('월 가계부'!A1192/100),100),MOD(INT('월 가계부'!A1192),100)),""),""),IF(AND('월 가계부'!A1192&gt;=36526,'월 가계부'!A1192&lt;73051),INT('월 가계부'!A1192),"")),IF(OR(CM1192="",CN1192="",CO1192=""),"",IF(AND(CM1192&gt;=2000,CM1192&lt;=2099,CN1192&gt;=1,CN1192&lt;=12,CO1192&gt;=1,CO1192&lt;=31),IF(MONTH(DATE(CM1192,CN1192,CO1192))=CN1192,DATE(CM1192,CN1192,CO1192),""),"")))),"")</f>
        <v/>
      </c>
      <c r="CJ1192">
        <f>IFERROR(IF('월 가계부'!C1192="","",IF(ISNUMBER('월 가계부'!C1192),'월 가계부'!C1192,VALUE(SUBSTITUTE(SUBSTITUTE(SUBSTITUTE(SUBSTITUTE(TRIM('월 가계부'!C1192),",",""),"원","")," ",""),"−","-")))),"")</f>
        <v/>
      </c>
      <c r="CK1192">
        <f>IF(ISNUMBER(CI1192),IF(CI1192&lt;$B$13,CI1192,""),"")</f>
        <v/>
      </c>
      <c r="CM1192">
        <f>IF(CH1192="","",IFERROR(IF(IF(AND(LEN(CH1192)=9,ISERROR(FIND("-",LEFT(CH1192,8))),ISNUMBER(-LEFT(CH1192,8))),VALUE(LEFT(CH1192,4)),VALUE(LEFT(CH1192,FIND("-",CH1192)-1)))&lt;100,IF(AND(LEN(CH1192)=9,ISERROR(FIND("-",LEFT(CH1192,8))),ISNUMBER(-LEFT(CH1192,8))),VALUE(LEFT(CH1192,4)),VALUE(LEFT(CH1192,FIND("-",CH1192)-1)))+2000,IF(AND(LEN(CH1192)=9,ISERROR(FIND("-",LEFT(CH1192,8))),ISNUMBER(-LEFT(CH1192,8))),VALUE(LEFT(CH1192,4)),VALUE(LEFT(CH1192,FIND("-",CH1192)-1)))),""))</f>
        <v/>
      </c>
      <c r="CN1192">
        <f>IF(CH1192="","",IFERROR(IF(AND(LEN(CH1192)=9,ISERROR(FIND("-",LEFT(CH1192,8))),ISNUMBER(-LEFT(CH1192,8))),VALUE(MID(CH1192,5,2)),VALUE(MID(CH1192,FIND("-",CH1192)+1,FIND("-",CH1192,FIND("-",CH1192)+1)-FIND("-",CH1192)-1))),""))</f>
        <v/>
      </c>
      <c r="CO1192">
        <f>IF(CH1192="","",IFERROR(IF(AND(LEN(CH1192)=9,ISERROR(FIND("-",LEFT(CH1192,8))),ISNUMBER(-LEFT(CH1192,8))),VALUE(MID(CH1192,7,2)),VALUE(MID(CH1192,FIND("-",CH1192,FIND("-",CH1192)+1)+1,FIND("-",CH1192,FIND("-",CH1192,FIND("-",CH1192)+1)+1)-FIND("-",CH1192,FIND("-",CH1192)+1)-1))),""))</f>
        <v/>
      </c>
    </row>
    <row r="1193">
      <c r="CH1193">
        <f>IF(ISTEXT('월 가계부'!A1193),SUBSTITUTE(SUBSTITUTE(SUBSTITUTE(SUBSTITUTE(SUBSTITUTE(SUBSTITUTE(SUBSTITUTE(SUBSTITUTE(SUBSTITUTE(TRIM('월 가계부'!A1193),"년","-"),"월","-"),"일",""),".","-"),"/","-")," ","-"),"--","-"),"--","-"),"--","-")&amp;"-","")</f>
        <v/>
      </c>
      <c r="CI1193">
        <f>IFERROR(IF('월 가계부'!A1193="","",IF(ISNUMBER('월 가계부'!A1193),IF(AND('월 가계부'!A1193&gt;=19000101,'월 가계부'!A1193&lt;=21001231),IF(AND(MOD(INT('월 가계부'!A1193/100),100)&gt;=1,MOD(INT('월 가계부'!A1193/100),100)&lt;=12,MOD(INT('월 가계부'!A1193),100)&gt;=1,MOD(INT('월 가계부'!A1193),100)&lt;=31),IF(MONTH(DATE(INT('월 가계부'!A1193/10000),MOD(INT('월 가계부'!A1193/100),100),MOD(INT('월 가계부'!A1193),100)))=MOD(INT('월 가계부'!A1193/100),100),DATE(INT('월 가계부'!A1193/10000),MOD(INT('월 가계부'!A1193/100),100),MOD(INT('월 가계부'!A1193),100)),""),""),IF(AND('월 가계부'!A1193&gt;=36526,'월 가계부'!A1193&lt;73051),INT('월 가계부'!A1193),"")),IF(OR(CM1193="",CN1193="",CO1193=""),"",IF(AND(CM1193&gt;=2000,CM1193&lt;=2099,CN1193&gt;=1,CN1193&lt;=12,CO1193&gt;=1,CO1193&lt;=31),IF(MONTH(DATE(CM1193,CN1193,CO1193))=CN1193,DATE(CM1193,CN1193,CO1193),""),"")))),"")</f>
        <v/>
      </c>
      <c r="CJ1193">
        <f>IFERROR(IF('월 가계부'!C1193="","",IF(ISNUMBER('월 가계부'!C1193),'월 가계부'!C1193,VALUE(SUBSTITUTE(SUBSTITUTE(SUBSTITUTE(SUBSTITUTE(TRIM('월 가계부'!C1193),",",""),"원","")," ",""),"−","-")))),"")</f>
        <v/>
      </c>
      <c r="CK1193">
        <f>IF(ISNUMBER(CI1193),IF(CI1193&lt;$B$13,CI1193,""),"")</f>
        <v/>
      </c>
      <c r="CM1193">
        <f>IF(CH1193="","",IFERROR(IF(IF(AND(LEN(CH1193)=9,ISERROR(FIND("-",LEFT(CH1193,8))),ISNUMBER(-LEFT(CH1193,8))),VALUE(LEFT(CH1193,4)),VALUE(LEFT(CH1193,FIND("-",CH1193)-1)))&lt;100,IF(AND(LEN(CH1193)=9,ISERROR(FIND("-",LEFT(CH1193,8))),ISNUMBER(-LEFT(CH1193,8))),VALUE(LEFT(CH1193,4)),VALUE(LEFT(CH1193,FIND("-",CH1193)-1)))+2000,IF(AND(LEN(CH1193)=9,ISERROR(FIND("-",LEFT(CH1193,8))),ISNUMBER(-LEFT(CH1193,8))),VALUE(LEFT(CH1193,4)),VALUE(LEFT(CH1193,FIND("-",CH1193)-1)))),""))</f>
        <v/>
      </c>
      <c r="CN1193">
        <f>IF(CH1193="","",IFERROR(IF(AND(LEN(CH1193)=9,ISERROR(FIND("-",LEFT(CH1193,8))),ISNUMBER(-LEFT(CH1193,8))),VALUE(MID(CH1193,5,2)),VALUE(MID(CH1193,FIND("-",CH1193)+1,FIND("-",CH1193,FIND("-",CH1193)+1)-FIND("-",CH1193)-1))),""))</f>
        <v/>
      </c>
      <c r="CO1193">
        <f>IF(CH1193="","",IFERROR(IF(AND(LEN(CH1193)=9,ISERROR(FIND("-",LEFT(CH1193,8))),ISNUMBER(-LEFT(CH1193,8))),VALUE(MID(CH1193,7,2)),VALUE(MID(CH1193,FIND("-",CH1193,FIND("-",CH1193)+1)+1,FIND("-",CH1193,FIND("-",CH1193,FIND("-",CH1193)+1)+1)-FIND("-",CH1193,FIND("-",CH1193)+1)-1))),""))</f>
        <v/>
      </c>
    </row>
    <row r="1194">
      <c r="CH1194">
        <f>IF(ISTEXT('월 가계부'!A1194),SUBSTITUTE(SUBSTITUTE(SUBSTITUTE(SUBSTITUTE(SUBSTITUTE(SUBSTITUTE(SUBSTITUTE(SUBSTITUTE(SUBSTITUTE(TRIM('월 가계부'!A1194),"년","-"),"월","-"),"일",""),".","-"),"/","-")," ","-"),"--","-"),"--","-"),"--","-")&amp;"-","")</f>
        <v/>
      </c>
      <c r="CI1194">
        <f>IFERROR(IF('월 가계부'!A1194="","",IF(ISNUMBER('월 가계부'!A1194),IF(AND('월 가계부'!A1194&gt;=19000101,'월 가계부'!A1194&lt;=21001231),IF(AND(MOD(INT('월 가계부'!A1194/100),100)&gt;=1,MOD(INT('월 가계부'!A1194/100),100)&lt;=12,MOD(INT('월 가계부'!A1194),100)&gt;=1,MOD(INT('월 가계부'!A1194),100)&lt;=31),IF(MONTH(DATE(INT('월 가계부'!A1194/10000),MOD(INT('월 가계부'!A1194/100),100),MOD(INT('월 가계부'!A1194),100)))=MOD(INT('월 가계부'!A1194/100),100),DATE(INT('월 가계부'!A1194/10000),MOD(INT('월 가계부'!A1194/100),100),MOD(INT('월 가계부'!A1194),100)),""),""),IF(AND('월 가계부'!A1194&gt;=36526,'월 가계부'!A1194&lt;73051),INT('월 가계부'!A1194),"")),IF(OR(CM1194="",CN1194="",CO1194=""),"",IF(AND(CM1194&gt;=2000,CM1194&lt;=2099,CN1194&gt;=1,CN1194&lt;=12,CO1194&gt;=1,CO1194&lt;=31),IF(MONTH(DATE(CM1194,CN1194,CO1194))=CN1194,DATE(CM1194,CN1194,CO1194),""),"")))),"")</f>
        <v/>
      </c>
      <c r="CJ1194">
        <f>IFERROR(IF('월 가계부'!C1194="","",IF(ISNUMBER('월 가계부'!C1194),'월 가계부'!C1194,VALUE(SUBSTITUTE(SUBSTITUTE(SUBSTITUTE(SUBSTITUTE(TRIM('월 가계부'!C1194),",",""),"원","")," ",""),"−","-")))),"")</f>
        <v/>
      </c>
      <c r="CK1194">
        <f>IF(ISNUMBER(CI1194),IF(CI1194&lt;$B$13,CI1194,""),"")</f>
        <v/>
      </c>
      <c r="CM1194">
        <f>IF(CH1194="","",IFERROR(IF(IF(AND(LEN(CH1194)=9,ISERROR(FIND("-",LEFT(CH1194,8))),ISNUMBER(-LEFT(CH1194,8))),VALUE(LEFT(CH1194,4)),VALUE(LEFT(CH1194,FIND("-",CH1194)-1)))&lt;100,IF(AND(LEN(CH1194)=9,ISERROR(FIND("-",LEFT(CH1194,8))),ISNUMBER(-LEFT(CH1194,8))),VALUE(LEFT(CH1194,4)),VALUE(LEFT(CH1194,FIND("-",CH1194)-1)))+2000,IF(AND(LEN(CH1194)=9,ISERROR(FIND("-",LEFT(CH1194,8))),ISNUMBER(-LEFT(CH1194,8))),VALUE(LEFT(CH1194,4)),VALUE(LEFT(CH1194,FIND("-",CH1194)-1)))),""))</f>
        <v/>
      </c>
      <c r="CN1194">
        <f>IF(CH1194="","",IFERROR(IF(AND(LEN(CH1194)=9,ISERROR(FIND("-",LEFT(CH1194,8))),ISNUMBER(-LEFT(CH1194,8))),VALUE(MID(CH1194,5,2)),VALUE(MID(CH1194,FIND("-",CH1194)+1,FIND("-",CH1194,FIND("-",CH1194)+1)-FIND("-",CH1194)-1))),""))</f>
        <v/>
      </c>
      <c r="CO1194">
        <f>IF(CH1194="","",IFERROR(IF(AND(LEN(CH1194)=9,ISERROR(FIND("-",LEFT(CH1194,8))),ISNUMBER(-LEFT(CH1194,8))),VALUE(MID(CH1194,7,2)),VALUE(MID(CH1194,FIND("-",CH1194,FIND("-",CH1194)+1)+1,FIND("-",CH1194,FIND("-",CH1194,FIND("-",CH1194)+1)+1)-FIND("-",CH1194,FIND("-",CH1194)+1)-1))),""))</f>
        <v/>
      </c>
    </row>
    <row r="1195">
      <c r="CH1195">
        <f>IF(ISTEXT('월 가계부'!A1195),SUBSTITUTE(SUBSTITUTE(SUBSTITUTE(SUBSTITUTE(SUBSTITUTE(SUBSTITUTE(SUBSTITUTE(SUBSTITUTE(SUBSTITUTE(TRIM('월 가계부'!A1195),"년","-"),"월","-"),"일",""),".","-"),"/","-")," ","-"),"--","-"),"--","-"),"--","-")&amp;"-","")</f>
        <v/>
      </c>
      <c r="CI1195">
        <f>IFERROR(IF('월 가계부'!A1195="","",IF(ISNUMBER('월 가계부'!A1195),IF(AND('월 가계부'!A1195&gt;=19000101,'월 가계부'!A1195&lt;=21001231),IF(AND(MOD(INT('월 가계부'!A1195/100),100)&gt;=1,MOD(INT('월 가계부'!A1195/100),100)&lt;=12,MOD(INT('월 가계부'!A1195),100)&gt;=1,MOD(INT('월 가계부'!A1195),100)&lt;=31),IF(MONTH(DATE(INT('월 가계부'!A1195/10000),MOD(INT('월 가계부'!A1195/100),100),MOD(INT('월 가계부'!A1195),100)))=MOD(INT('월 가계부'!A1195/100),100),DATE(INT('월 가계부'!A1195/10000),MOD(INT('월 가계부'!A1195/100),100),MOD(INT('월 가계부'!A1195),100)),""),""),IF(AND('월 가계부'!A1195&gt;=36526,'월 가계부'!A1195&lt;73051),INT('월 가계부'!A1195),"")),IF(OR(CM1195="",CN1195="",CO1195=""),"",IF(AND(CM1195&gt;=2000,CM1195&lt;=2099,CN1195&gt;=1,CN1195&lt;=12,CO1195&gt;=1,CO1195&lt;=31),IF(MONTH(DATE(CM1195,CN1195,CO1195))=CN1195,DATE(CM1195,CN1195,CO1195),""),"")))),"")</f>
        <v/>
      </c>
      <c r="CJ1195">
        <f>IFERROR(IF('월 가계부'!C1195="","",IF(ISNUMBER('월 가계부'!C1195),'월 가계부'!C1195,VALUE(SUBSTITUTE(SUBSTITUTE(SUBSTITUTE(SUBSTITUTE(TRIM('월 가계부'!C1195),",",""),"원","")," ",""),"−","-")))),"")</f>
        <v/>
      </c>
      <c r="CK1195">
        <f>IF(ISNUMBER(CI1195),IF(CI1195&lt;$B$13,CI1195,""),"")</f>
        <v/>
      </c>
      <c r="CM1195">
        <f>IF(CH1195="","",IFERROR(IF(IF(AND(LEN(CH1195)=9,ISERROR(FIND("-",LEFT(CH1195,8))),ISNUMBER(-LEFT(CH1195,8))),VALUE(LEFT(CH1195,4)),VALUE(LEFT(CH1195,FIND("-",CH1195)-1)))&lt;100,IF(AND(LEN(CH1195)=9,ISERROR(FIND("-",LEFT(CH1195,8))),ISNUMBER(-LEFT(CH1195,8))),VALUE(LEFT(CH1195,4)),VALUE(LEFT(CH1195,FIND("-",CH1195)-1)))+2000,IF(AND(LEN(CH1195)=9,ISERROR(FIND("-",LEFT(CH1195,8))),ISNUMBER(-LEFT(CH1195,8))),VALUE(LEFT(CH1195,4)),VALUE(LEFT(CH1195,FIND("-",CH1195)-1)))),""))</f>
        <v/>
      </c>
      <c r="CN1195">
        <f>IF(CH1195="","",IFERROR(IF(AND(LEN(CH1195)=9,ISERROR(FIND("-",LEFT(CH1195,8))),ISNUMBER(-LEFT(CH1195,8))),VALUE(MID(CH1195,5,2)),VALUE(MID(CH1195,FIND("-",CH1195)+1,FIND("-",CH1195,FIND("-",CH1195)+1)-FIND("-",CH1195)-1))),""))</f>
        <v/>
      </c>
      <c r="CO1195">
        <f>IF(CH1195="","",IFERROR(IF(AND(LEN(CH1195)=9,ISERROR(FIND("-",LEFT(CH1195,8))),ISNUMBER(-LEFT(CH1195,8))),VALUE(MID(CH1195,7,2)),VALUE(MID(CH1195,FIND("-",CH1195,FIND("-",CH1195)+1)+1,FIND("-",CH1195,FIND("-",CH1195,FIND("-",CH1195)+1)+1)-FIND("-",CH1195,FIND("-",CH1195)+1)-1))),""))</f>
        <v/>
      </c>
    </row>
    <row r="1196">
      <c r="CH1196">
        <f>IF(ISTEXT('월 가계부'!A1196),SUBSTITUTE(SUBSTITUTE(SUBSTITUTE(SUBSTITUTE(SUBSTITUTE(SUBSTITUTE(SUBSTITUTE(SUBSTITUTE(SUBSTITUTE(TRIM('월 가계부'!A1196),"년","-"),"월","-"),"일",""),".","-"),"/","-")," ","-"),"--","-"),"--","-"),"--","-")&amp;"-","")</f>
        <v/>
      </c>
      <c r="CI1196">
        <f>IFERROR(IF('월 가계부'!A1196="","",IF(ISNUMBER('월 가계부'!A1196),IF(AND('월 가계부'!A1196&gt;=19000101,'월 가계부'!A1196&lt;=21001231),IF(AND(MOD(INT('월 가계부'!A1196/100),100)&gt;=1,MOD(INT('월 가계부'!A1196/100),100)&lt;=12,MOD(INT('월 가계부'!A1196),100)&gt;=1,MOD(INT('월 가계부'!A1196),100)&lt;=31),IF(MONTH(DATE(INT('월 가계부'!A1196/10000),MOD(INT('월 가계부'!A1196/100),100),MOD(INT('월 가계부'!A1196),100)))=MOD(INT('월 가계부'!A1196/100),100),DATE(INT('월 가계부'!A1196/10000),MOD(INT('월 가계부'!A1196/100),100),MOD(INT('월 가계부'!A1196),100)),""),""),IF(AND('월 가계부'!A1196&gt;=36526,'월 가계부'!A1196&lt;73051),INT('월 가계부'!A1196),"")),IF(OR(CM1196="",CN1196="",CO1196=""),"",IF(AND(CM1196&gt;=2000,CM1196&lt;=2099,CN1196&gt;=1,CN1196&lt;=12,CO1196&gt;=1,CO1196&lt;=31),IF(MONTH(DATE(CM1196,CN1196,CO1196))=CN1196,DATE(CM1196,CN1196,CO1196),""),"")))),"")</f>
        <v/>
      </c>
      <c r="CJ1196">
        <f>IFERROR(IF('월 가계부'!C1196="","",IF(ISNUMBER('월 가계부'!C1196),'월 가계부'!C1196,VALUE(SUBSTITUTE(SUBSTITUTE(SUBSTITUTE(SUBSTITUTE(TRIM('월 가계부'!C1196),",",""),"원","")," ",""),"−","-")))),"")</f>
        <v/>
      </c>
      <c r="CK1196">
        <f>IF(ISNUMBER(CI1196),IF(CI1196&lt;$B$13,CI1196,""),"")</f>
        <v/>
      </c>
      <c r="CM1196">
        <f>IF(CH1196="","",IFERROR(IF(IF(AND(LEN(CH1196)=9,ISERROR(FIND("-",LEFT(CH1196,8))),ISNUMBER(-LEFT(CH1196,8))),VALUE(LEFT(CH1196,4)),VALUE(LEFT(CH1196,FIND("-",CH1196)-1)))&lt;100,IF(AND(LEN(CH1196)=9,ISERROR(FIND("-",LEFT(CH1196,8))),ISNUMBER(-LEFT(CH1196,8))),VALUE(LEFT(CH1196,4)),VALUE(LEFT(CH1196,FIND("-",CH1196)-1)))+2000,IF(AND(LEN(CH1196)=9,ISERROR(FIND("-",LEFT(CH1196,8))),ISNUMBER(-LEFT(CH1196,8))),VALUE(LEFT(CH1196,4)),VALUE(LEFT(CH1196,FIND("-",CH1196)-1)))),""))</f>
        <v/>
      </c>
      <c r="CN1196">
        <f>IF(CH1196="","",IFERROR(IF(AND(LEN(CH1196)=9,ISERROR(FIND("-",LEFT(CH1196,8))),ISNUMBER(-LEFT(CH1196,8))),VALUE(MID(CH1196,5,2)),VALUE(MID(CH1196,FIND("-",CH1196)+1,FIND("-",CH1196,FIND("-",CH1196)+1)-FIND("-",CH1196)-1))),""))</f>
        <v/>
      </c>
      <c r="CO1196">
        <f>IF(CH1196="","",IFERROR(IF(AND(LEN(CH1196)=9,ISERROR(FIND("-",LEFT(CH1196,8))),ISNUMBER(-LEFT(CH1196,8))),VALUE(MID(CH1196,7,2)),VALUE(MID(CH1196,FIND("-",CH1196,FIND("-",CH1196)+1)+1,FIND("-",CH1196,FIND("-",CH1196,FIND("-",CH1196)+1)+1)-FIND("-",CH1196,FIND("-",CH1196)+1)-1))),""))</f>
        <v/>
      </c>
    </row>
    <row r="1197">
      <c r="CH1197">
        <f>IF(ISTEXT('월 가계부'!A1197),SUBSTITUTE(SUBSTITUTE(SUBSTITUTE(SUBSTITUTE(SUBSTITUTE(SUBSTITUTE(SUBSTITUTE(SUBSTITUTE(SUBSTITUTE(TRIM('월 가계부'!A1197),"년","-"),"월","-"),"일",""),".","-"),"/","-")," ","-"),"--","-"),"--","-"),"--","-")&amp;"-","")</f>
        <v/>
      </c>
      <c r="CI1197">
        <f>IFERROR(IF('월 가계부'!A1197="","",IF(ISNUMBER('월 가계부'!A1197),IF(AND('월 가계부'!A1197&gt;=19000101,'월 가계부'!A1197&lt;=21001231),IF(AND(MOD(INT('월 가계부'!A1197/100),100)&gt;=1,MOD(INT('월 가계부'!A1197/100),100)&lt;=12,MOD(INT('월 가계부'!A1197),100)&gt;=1,MOD(INT('월 가계부'!A1197),100)&lt;=31),IF(MONTH(DATE(INT('월 가계부'!A1197/10000),MOD(INT('월 가계부'!A1197/100),100),MOD(INT('월 가계부'!A1197),100)))=MOD(INT('월 가계부'!A1197/100),100),DATE(INT('월 가계부'!A1197/10000),MOD(INT('월 가계부'!A1197/100),100),MOD(INT('월 가계부'!A1197),100)),""),""),IF(AND('월 가계부'!A1197&gt;=36526,'월 가계부'!A1197&lt;73051),INT('월 가계부'!A1197),"")),IF(OR(CM1197="",CN1197="",CO1197=""),"",IF(AND(CM1197&gt;=2000,CM1197&lt;=2099,CN1197&gt;=1,CN1197&lt;=12,CO1197&gt;=1,CO1197&lt;=31),IF(MONTH(DATE(CM1197,CN1197,CO1197))=CN1197,DATE(CM1197,CN1197,CO1197),""),"")))),"")</f>
        <v/>
      </c>
      <c r="CJ1197">
        <f>IFERROR(IF('월 가계부'!C1197="","",IF(ISNUMBER('월 가계부'!C1197),'월 가계부'!C1197,VALUE(SUBSTITUTE(SUBSTITUTE(SUBSTITUTE(SUBSTITUTE(TRIM('월 가계부'!C1197),",",""),"원","")," ",""),"−","-")))),"")</f>
        <v/>
      </c>
      <c r="CK1197">
        <f>IF(ISNUMBER(CI1197),IF(CI1197&lt;$B$13,CI1197,""),"")</f>
        <v/>
      </c>
      <c r="CM1197">
        <f>IF(CH1197="","",IFERROR(IF(IF(AND(LEN(CH1197)=9,ISERROR(FIND("-",LEFT(CH1197,8))),ISNUMBER(-LEFT(CH1197,8))),VALUE(LEFT(CH1197,4)),VALUE(LEFT(CH1197,FIND("-",CH1197)-1)))&lt;100,IF(AND(LEN(CH1197)=9,ISERROR(FIND("-",LEFT(CH1197,8))),ISNUMBER(-LEFT(CH1197,8))),VALUE(LEFT(CH1197,4)),VALUE(LEFT(CH1197,FIND("-",CH1197)-1)))+2000,IF(AND(LEN(CH1197)=9,ISERROR(FIND("-",LEFT(CH1197,8))),ISNUMBER(-LEFT(CH1197,8))),VALUE(LEFT(CH1197,4)),VALUE(LEFT(CH1197,FIND("-",CH1197)-1)))),""))</f>
        <v/>
      </c>
      <c r="CN1197">
        <f>IF(CH1197="","",IFERROR(IF(AND(LEN(CH1197)=9,ISERROR(FIND("-",LEFT(CH1197,8))),ISNUMBER(-LEFT(CH1197,8))),VALUE(MID(CH1197,5,2)),VALUE(MID(CH1197,FIND("-",CH1197)+1,FIND("-",CH1197,FIND("-",CH1197)+1)-FIND("-",CH1197)-1))),""))</f>
        <v/>
      </c>
      <c r="CO1197">
        <f>IF(CH1197="","",IFERROR(IF(AND(LEN(CH1197)=9,ISERROR(FIND("-",LEFT(CH1197,8))),ISNUMBER(-LEFT(CH1197,8))),VALUE(MID(CH1197,7,2)),VALUE(MID(CH1197,FIND("-",CH1197,FIND("-",CH1197)+1)+1,FIND("-",CH1197,FIND("-",CH1197,FIND("-",CH1197)+1)+1)-FIND("-",CH1197,FIND("-",CH1197)+1)-1))),""))</f>
        <v/>
      </c>
    </row>
    <row r="1198">
      <c r="CH1198">
        <f>IF(ISTEXT('월 가계부'!A1198),SUBSTITUTE(SUBSTITUTE(SUBSTITUTE(SUBSTITUTE(SUBSTITUTE(SUBSTITUTE(SUBSTITUTE(SUBSTITUTE(SUBSTITUTE(TRIM('월 가계부'!A1198),"년","-"),"월","-"),"일",""),".","-"),"/","-")," ","-"),"--","-"),"--","-"),"--","-")&amp;"-","")</f>
        <v/>
      </c>
      <c r="CI1198">
        <f>IFERROR(IF('월 가계부'!A1198="","",IF(ISNUMBER('월 가계부'!A1198),IF(AND('월 가계부'!A1198&gt;=19000101,'월 가계부'!A1198&lt;=21001231),IF(AND(MOD(INT('월 가계부'!A1198/100),100)&gt;=1,MOD(INT('월 가계부'!A1198/100),100)&lt;=12,MOD(INT('월 가계부'!A1198),100)&gt;=1,MOD(INT('월 가계부'!A1198),100)&lt;=31),IF(MONTH(DATE(INT('월 가계부'!A1198/10000),MOD(INT('월 가계부'!A1198/100),100),MOD(INT('월 가계부'!A1198),100)))=MOD(INT('월 가계부'!A1198/100),100),DATE(INT('월 가계부'!A1198/10000),MOD(INT('월 가계부'!A1198/100),100),MOD(INT('월 가계부'!A1198),100)),""),""),IF(AND('월 가계부'!A1198&gt;=36526,'월 가계부'!A1198&lt;73051),INT('월 가계부'!A1198),"")),IF(OR(CM1198="",CN1198="",CO1198=""),"",IF(AND(CM1198&gt;=2000,CM1198&lt;=2099,CN1198&gt;=1,CN1198&lt;=12,CO1198&gt;=1,CO1198&lt;=31),IF(MONTH(DATE(CM1198,CN1198,CO1198))=CN1198,DATE(CM1198,CN1198,CO1198),""),"")))),"")</f>
        <v/>
      </c>
      <c r="CJ1198">
        <f>IFERROR(IF('월 가계부'!C1198="","",IF(ISNUMBER('월 가계부'!C1198),'월 가계부'!C1198,VALUE(SUBSTITUTE(SUBSTITUTE(SUBSTITUTE(SUBSTITUTE(TRIM('월 가계부'!C1198),",",""),"원","")," ",""),"−","-")))),"")</f>
        <v/>
      </c>
      <c r="CK1198">
        <f>IF(ISNUMBER(CI1198),IF(CI1198&lt;$B$13,CI1198,""),"")</f>
        <v/>
      </c>
      <c r="CM1198">
        <f>IF(CH1198="","",IFERROR(IF(IF(AND(LEN(CH1198)=9,ISERROR(FIND("-",LEFT(CH1198,8))),ISNUMBER(-LEFT(CH1198,8))),VALUE(LEFT(CH1198,4)),VALUE(LEFT(CH1198,FIND("-",CH1198)-1)))&lt;100,IF(AND(LEN(CH1198)=9,ISERROR(FIND("-",LEFT(CH1198,8))),ISNUMBER(-LEFT(CH1198,8))),VALUE(LEFT(CH1198,4)),VALUE(LEFT(CH1198,FIND("-",CH1198)-1)))+2000,IF(AND(LEN(CH1198)=9,ISERROR(FIND("-",LEFT(CH1198,8))),ISNUMBER(-LEFT(CH1198,8))),VALUE(LEFT(CH1198,4)),VALUE(LEFT(CH1198,FIND("-",CH1198)-1)))),""))</f>
        <v/>
      </c>
      <c r="CN1198">
        <f>IF(CH1198="","",IFERROR(IF(AND(LEN(CH1198)=9,ISERROR(FIND("-",LEFT(CH1198,8))),ISNUMBER(-LEFT(CH1198,8))),VALUE(MID(CH1198,5,2)),VALUE(MID(CH1198,FIND("-",CH1198)+1,FIND("-",CH1198,FIND("-",CH1198)+1)-FIND("-",CH1198)-1))),""))</f>
        <v/>
      </c>
      <c r="CO1198">
        <f>IF(CH1198="","",IFERROR(IF(AND(LEN(CH1198)=9,ISERROR(FIND("-",LEFT(CH1198,8))),ISNUMBER(-LEFT(CH1198,8))),VALUE(MID(CH1198,7,2)),VALUE(MID(CH1198,FIND("-",CH1198,FIND("-",CH1198)+1)+1,FIND("-",CH1198,FIND("-",CH1198,FIND("-",CH1198)+1)+1)-FIND("-",CH1198,FIND("-",CH1198)+1)-1))),""))</f>
        <v/>
      </c>
    </row>
    <row r="1199">
      <c r="CH1199">
        <f>IF(ISTEXT('월 가계부'!A1199),SUBSTITUTE(SUBSTITUTE(SUBSTITUTE(SUBSTITUTE(SUBSTITUTE(SUBSTITUTE(SUBSTITUTE(SUBSTITUTE(SUBSTITUTE(TRIM('월 가계부'!A1199),"년","-"),"월","-"),"일",""),".","-"),"/","-")," ","-"),"--","-"),"--","-"),"--","-")&amp;"-","")</f>
        <v/>
      </c>
      <c r="CI1199">
        <f>IFERROR(IF('월 가계부'!A1199="","",IF(ISNUMBER('월 가계부'!A1199),IF(AND('월 가계부'!A1199&gt;=19000101,'월 가계부'!A1199&lt;=21001231),IF(AND(MOD(INT('월 가계부'!A1199/100),100)&gt;=1,MOD(INT('월 가계부'!A1199/100),100)&lt;=12,MOD(INT('월 가계부'!A1199),100)&gt;=1,MOD(INT('월 가계부'!A1199),100)&lt;=31),IF(MONTH(DATE(INT('월 가계부'!A1199/10000),MOD(INT('월 가계부'!A1199/100),100),MOD(INT('월 가계부'!A1199),100)))=MOD(INT('월 가계부'!A1199/100),100),DATE(INT('월 가계부'!A1199/10000),MOD(INT('월 가계부'!A1199/100),100),MOD(INT('월 가계부'!A1199),100)),""),""),IF(AND('월 가계부'!A1199&gt;=36526,'월 가계부'!A1199&lt;73051),INT('월 가계부'!A1199),"")),IF(OR(CM1199="",CN1199="",CO1199=""),"",IF(AND(CM1199&gt;=2000,CM1199&lt;=2099,CN1199&gt;=1,CN1199&lt;=12,CO1199&gt;=1,CO1199&lt;=31),IF(MONTH(DATE(CM1199,CN1199,CO1199))=CN1199,DATE(CM1199,CN1199,CO1199),""),"")))),"")</f>
        <v/>
      </c>
      <c r="CJ1199">
        <f>IFERROR(IF('월 가계부'!C1199="","",IF(ISNUMBER('월 가계부'!C1199),'월 가계부'!C1199,VALUE(SUBSTITUTE(SUBSTITUTE(SUBSTITUTE(SUBSTITUTE(TRIM('월 가계부'!C1199),",",""),"원","")," ",""),"−","-")))),"")</f>
        <v/>
      </c>
      <c r="CK1199">
        <f>IF(ISNUMBER(CI1199),IF(CI1199&lt;$B$13,CI1199,""),"")</f>
        <v/>
      </c>
      <c r="CM1199">
        <f>IF(CH1199="","",IFERROR(IF(IF(AND(LEN(CH1199)=9,ISERROR(FIND("-",LEFT(CH1199,8))),ISNUMBER(-LEFT(CH1199,8))),VALUE(LEFT(CH1199,4)),VALUE(LEFT(CH1199,FIND("-",CH1199)-1)))&lt;100,IF(AND(LEN(CH1199)=9,ISERROR(FIND("-",LEFT(CH1199,8))),ISNUMBER(-LEFT(CH1199,8))),VALUE(LEFT(CH1199,4)),VALUE(LEFT(CH1199,FIND("-",CH1199)-1)))+2000,IF(AND(LEN(CH1199)=9,ISERROR(FIND("-",LEFT(CH1199,8))),ISNUMBER(-LEFT(CH1199,8))),VALUE(LEFT(CH1199,4)),VALUE(LEFT(CH1199,FIND("-",CH1199)-1)))),""))</f>
        <v/>
      </c>
      <c r="CN1199">
        <f>IF(CH1199="","",IFERROR(IF(AND(LEN(CH1199)=9,ISERROR(FIND("-",LEFT(CH1199,8))),ISNUMBER(-LEFT(CH1199,8))),VALUE(MID(CH1199,5,2)),VALUE(MID(CH1199,FIND("-",CH1199)+1,FIND("-",CH1199,FIND("-",CH1199)+1)-FIND("-",CH1199)-1))),""))</f>
        <v/>
      </c>
      <c r="CO1199">
        <f>IF(CH1199="","",IFERROR(IF(AND(LEN(CH1199)=9,ISERROR(FIND("-",LEFT(CH1199,8))),ISNUMBER(-LEFT(CH1199,8))),VALUE(MID(CH1199,7,2)),VALUE(MID(CH1199,FIND("-",CH1199,FIND("-",CH1199)+1)+1,FIND("-",CH1199,FIND("-",CH1199,FIND("-",CH1199)+1)+1)-FIND("-",CH1199,FIND("-",CH1199)+1)-1))),""))</f>
        <v/>
      </c>
    </row>
    <row r="1200">
      <c r="CH1200">
        <f>IF(ISTEXT('월 가계부'!A1200),SUBSTITUTE(SUBSTITUTE(SUBSTITUTE(SUBSTITUTE(SUBSTITUTE(SUBSTITUTE(SUBSTITUTE(SUBSTITUTE(SUBSTITUTE(TRIM('월 가계부'!A1200),"년","-"),"월","-"),"일",""),".","-"),"/","-")," ","-"),"--","-"),"--","-"),"--","-")&amp;"-","")</f>
        <v/>
      </c>
      <c r="CI1200">
        <f>IFERROR(IF('월 가계부'!A1200="","",IF(ISNUMBER('월 가계부'!A1200),IF(AND('월 가계부'!A1200&gt;=19000101,'월 가계부'!A1200&lt;=21001231),IF(AND(MOD(INT('월 가계부'!A1200/100),100)&gt;=1,MOD(INT('월 가계부'!A1200/100),100)&lt;=12,MOD(INT('월 가계부'!A1200),100)&gt;=1,MOD(INT('월 가계부'!A1200),100)&lt;=31),IF(MONTH(DATE(INT('월 가계부'!A1200/10000),MOD(INT('월 가계부'!A1200/100),100),MOD(INT('월 가계부'!A1200),100)))=MOD(INT('월 가계부'!A1200/100),100),DATE(INT('월 가계부'!A1200/10000),MOD(INT('월 가계부'!A1200/100),100),MOD(INT('월 가계부'!A1200),100)),""),""),IF(AND('월 가계부'!A1200&gt;=36526,'월 가계부'!A1200&lt;73051),INT('월 가계부'!A1200),"")),IF(OR(CM1200="",CN1200="",CO1200=""),"",IF(AND(CM1200&gt;=2000,CM1200&lt;=2099,CN1200&gt;=1,CN1200&lt;=12,CO1200&gt;=1,CO1200&lt;=31),IF(MONTH(DATE(CM1200,CN1200,CO1200))=CN1200,DATE(CM1200,CN1200,CO1200),""),"")))),"")</f>
        <v/>
      </c>
      <c r="CJ1200">
        <f>IFERROR(IF('월 가계부'!C1200="","",IF(ISNUMBER('월 가계부'!C1200),'월 가계부'!C1200,VALUE(SUBSTITUTE(SUBSTITUTE(SUBSTITUTE(SUBSTITUTE(TRIM('월 가계부'!C1200),",",""),"원","")," ",""),"−","-")))),"")</f>
        <v/>
      </c>
      <c r="CK1200">
        <f>IF(ISNUMBER(CI1200),IF(CI1200&lt;$B$13,CI1200,""),"")</f>
        <v/>
      </c>
      <c r="CM1200">
        <f>IF(CH1200="","",IFERROR(IF(IF(AND(LEN(CH1200)=9,ISERROR(FIND("-",LEFT(CH1200,8))),ISNUMBER(-LEFT(CH1200,8))),VALUE(LEFT(CH1200,4)),VALUE(LEFT(CH1200,FIND("-",CH1200)-1)))&lt;100,IF(AND(LEN(CH1200)=9,ISERROR(FIND("-",LEFT(CH1200,8))),ISNUMBER(-LEFT(CH1200,8))),VALUE(LEFT(CH1200,4)),VALUE(LEFT(CH1200,FIND("-",CH1200)-1)))+2000,IF(AND(LEN(CH1200)=9,ISERROR(FIND("-",LEFT(CH1200,8))),ISNUMBER(-LEFT(CH1200,8))),VALUE(LEFT(CH1200,4)),VALUE(LEFT(CH1200,FIND("-",CH1200)-1)))),""))</f>
        <v/>
      </c>
      <c r="CN1200">
        <f>IF(CH1200="","",IFERROR(IF(AND(LEN(CH1200)=9,ISERROR(FIND("-",LEFT(CH1200,8))),ISNUMBER(-LEFT(CH1200,8))),VALUE(MID(CH1200,5,2)),VALUE(MID(CH1200,FIND("-",CH1200)+1,FIND("-",CH1200,FIND("-",CH1200)+1)-FIND("-",CH1200)-1))),""))</f>
        <v/>
      </c>
      <c r="CO1200">
        <f>IF(CH1200="","",IFERROR(IF(AND(LEN(CH1200)=9,ISERROR(FIND("-",LEFT(CH1200,8))),ISNUMBER(-LEFT(CH1200,8))),VALUE(MID(CH1200,7,2)),VALUE(MID(CH1200,FIND("-",CH1200,FIND("-",CH1200)+1)+1,FIND("-",CH1200,FIND("-",CH1200,FIND("-",CH1200)+1)+1)-FIND("-",CH1200,FIND("-",CH1200)+1)-1))),""))</f>
        <v/>
      </c>
    </row>
    <row r="1201">
      <c r="CH1201">
        <f>IF(ISTEXT('월 가계부'!A1201),SUBSTITUTE(SUBSTITUTE(SUBSTITUTE(SUBSTITUTE(SUBSTITUTE(SUBSTITUTE(SUBSTITUTE(SUBSTITUTE(SUBSTITUTE(TRIM('월 가계부'!A1201),"년","-"),"월","-"),"일",""),".","-"),"/","-")," ","-"),"--","-"),"--","-"),"--","-")&amp;"-","")</f>
        <v/>
      </c>
      <c r="CI1201">
        <f>IFERROR(IF('월 가계부'!A1201="","",IF(ISNUMBER('월 가계부'!A1201),IF(AND('월 가계부'!A1201&gt;=19000101,'월 가계부'!A1201&lt;=21001231),IF(AND(MOD(INT('월 가계부'!A1201/100),100)&gt;=1,MOD(INT('월 가계부'!A1201/100),100)&lt;=12,MOD(INT('월 가계부'!A1201),100)&gt;=1,MOD(INT('월 가계부'!A1201),100)&lt;=31),IF(MONTH(DATE(INT('월 가계부'!A1201/10000),MOD(INT('월 가계부'!A1201/100),100),MOD(INT('월 가계부'!A1201),100)))=MOD(INT('월 가계부'!A1201/100),100),DATE(INT('월 가계부'!A1201/10000),MOD(INT('월 가계부'!A1201/100),100),MOD(INT('월 가계부'!A1201),100)),""),""),IF(AND('월 가계부'!A1201&gt;=36526,'월 가계부'!A1201&lt;73051),INT('월 가계부'!A1201),"")),IF(OR(CM1201="",CN1201="",CO1201=""),"",IF(AND(CM1201&gt;=2000,CM1201&lt;=2099,CN1201&gt;=1,CN1201&lt;=12,CO1201&gt;=1,CO1201&lt;=31),IF(MONTH(DATE(CM1201,CN1201,CO1201))=CN1201,DATE(CM1201,CN1201,CO1201),""),"")))),"")</f>
        <v/>
      </c>
      <c r="CJ1201">
        <f>IFERROR(IF('월 가계부'!C1201="","",IF(ISNUMBER('월 가계부'!C1201),'월 가계부'!C1201,VALUE(SUBSTITUTE(SUBSTITUTE(SUBSTITUTE(SUBSTITUTE(TRIM('월 가계부'!C1201),",",""),"원","")," ",""),"−","-")))),"")</f>
        <v/>
      </c>
      <c r="CK1201">
        <f>IF(ISNUMBER(CI1201),IF(CI1201&lt;$B$13,CI1201,""),"")</f>
        <v/>
      </c>
      <c r="CM1201">
        <f>IF(CH1201="","",IFERROR(IF(IF(AND(LEN(CH1201)=9,ISERROR(FIND("-",LEFT(CH1201,8))),ISNUMBER(-LEFT(CH1201,8))),VALUE(LEFT(CH1201,4)),VALUE(LEFT(CH1201,FIND("-",CH1201)-1)))&lt;100,IF(AND(LEN(CH1201)=9,ISERROR(FIND("-",LEFT(CH1201,8))),ISNUMBER(-LEFT(CH1201,8))),VALUE(LEFT(CH1201,4)),VALUE(LEFT(CH1201,FIND("-",CH1201)-1)))+2000,IF(AND(LEN(CH1201)=9,ISERROR(FIND("-",LEFT(CH1201,8))),ISNUMBER(-LEFT(CH1201,8))),VALUE(LEFT(CH1201,4)),VALUE(LEFT(CH1201,FIND("-",CH1201)-1)))),""))</f>
        <v/>
      </c>
      <c r="CN1201">
        <f>IF(CH1201="","",IFERROR(IF(AND(LEN(CH1201)=9,ISERROR(FIND("-",LEFT(CH1201,8))),ISNUMBER(-LEFT(CH1201,8))),VALUE(MID(CH1201,5,2)),VALUE(MID(CH1201,FIND("-",CH1201)+1,FIND("-",CH1201,FIND("-",CH1201)+1)-FIND("-",CH1201)-1))),""))</f>
        <v/>
      </c>
      <c r="CO1201">
        <f>IF(CH1201="","",IFERROR(IF(AND(LEN(CH1201)=9,ISERROR(FIND("-",LEFT(CH1201,8))),ISNUMBER(-LEFT(CH1201,8))),VALUE(MID(CH1201,7,2)),VALUE(MID(CH1201,FIND("-",CH1201,FIND("-",CH1201)+1)+1,FIND("-",CH1201,FIND("-",CH1201,FIND("-",CH1201)+1)+1)-FIND("-",CH1201,FIND("-",CH1201)+1)-1))),""))</f>
        <v/>
      </c>
    </row>
    <row r="1202">
      <c r="CH1202">
        <f>IF(ISTEXT('월 가계부'!A1202),SUBSTITUTE(SUBSTITUTE(SUBSTITUTE(SUBSTITUTE(SUBSTITUTE(SUBSTITUTE(SUBSTITUTE(SUBSTITUTE(SUBSTITUTE(TRIM('월 가계부'!A1202),"년","-"),"월","-"),"일",""),".","-"),"/","-")," ","-"),"--","-"),"--","-"),"--","-")&amp;"-","")</f>
        <v/>
      </c>
      <c r="CI1202">
        <f>IFERROR(IF('월 가계부'!A1202="","",IF(ISNUMBER('월 가계부'!A1202),IF(AND('월 가계부'!A1202&gt;=19000101,'월 가계부'!A1202&lt;=21001231),IF(AND(MOD(INT('월 가계부'!A1202/100),100)&gt;=1,MOD(INT('월 가계부'!A1202/100),100)&lt;=12,MOD(INT('월 가계부'!A1202),100)&gt;=1,MOD(INT('월 가계부'!A1202),100)&lt;=31),IF(MONTH(DATE(INT('월 가계부'!A1202/10000),MOD(INT('월 가계부'!A1202/100),100),MOD(INT('월 가계부'!A1202),100)))=MOD(INT('월 가계부'!A1202/100),100),DATE(INT('월 가계부'!A1202/10000),MOD(INT('월 가계부'!A1202/100),100),MOD(INT('월 가계부'!A1202),100)),""),""),IF(AND('월 가계부'!A1202&gt;=36526,'월 가계부'!A1202&lt;73051),INT('월 가계부'!A1202),"")),IF(OR(CM1202="",CN1202="",CO1202=""),"",IF(AND(CM1202&gt;=2000,CM1202&lt;=2099,CN1202&gt;=1,CN1202&lt;=12,CO1202&gt;=1,CO1202&lt;=31),IF(MONTH(DATE(CM1202,CN1202,CO1202))=CN1202,DATE(CM1202,CN1202,CO1202),""),"")))),"")</f>
        <v/>
      </c>
      <c r="CJ1202">
        <f>IFERROR(IF('월 가계부'!C1202="","",IF(ISNUMBER('월 가계부'!C1202),'월 가계부'!C1202,VALUE(SUBSTITUTE(SUBSTITUTE(SUBSTITUTE(SUBSTITUTE(TRIM('월 가계부'!C1202),",",""),"원","")," ",""),"−","-")))),"")</f>
        <v/>
      </c>
      <c r="CK1202">
        <f>IF(ISNUMBER(CI1202),IF(CI1202&lt;$B$13,CI1202,""),"")</f>
        <v/>
      </c>
      <c r="CM1202">
        <f>IF(CH1202="","",IFERROR(IF(IF(AND(LEN(CH1202)=9,ISERROR(FIND("-",LEFT(CH1202,8))),ISNUMBER(-LEFT(CH1202,8))),VALUE(LEFT(CH1202,4)),VALUE(LEFT(CH1202,FIND("-",CH1202)-1)))&lt;100,IF(AND(LEN(CH1202)=9,ISERROR(FIND("-",LEFT(CH1202,8))),ISNUMBER(-LEFT(CH1202,8))),VALUE(LEFT(CH1202,4)),VALUE(LEFT(CH1202,FIND("-",CH1202)-1)))+2000,IF(AND(LEN(CH1202)=9,ISERROR(FIND("-",LEFT(CH1202,8))),ISNUMBER(-LEFT(CH1202,8))),VALUE(LEFT(CH1202,4)),VALUE(LEFT(CH1202,FIND("-",CH1202)-1)))),""))</f>
        <v/>
      </c>
      <c r="CN1202">
        <f>IF(CH1202="","",IFERROR(IF(AND(LEN(CH1202)=9,ISERROR(FIND("-",LEFT(CH1202,8))),ISNUMBER(-LEFT(CH1202,8))),VALUE(MID(CH1202,5,2)),VALUE(MID(CH1202,FIND("-",CH1202)+1,FIND("-",CH1202,FIND("-",CH1202)+1)-FIND("-",CH1202)-1))),""))</f>
        <v/>
      </c>
      <c r="CO1202">
        <f>IF(CH1202="","",IFERROR(IF(AND(LEN(CH1202)=9,ISERROR(FIND("-",LEFT(CH1202,8))),ISNUMBER(-LEFT(CH1202,8))),VALUE(MID(CH1202,7,2)),VALUE(MID(CH1202,FIND("-",CH1202,FIND("-",CH1202)+1)+1,FIND("-",CH1202,FIND("-",CH1202,FIND("-",CH1202)+1)+1)-FIND("-",CH1202,FIND("-",CH1202)+1)-1))),""))</f>
        <v/>
      </c>
    </row>
    <row r="1203">
      <c r="CH1203">
        <f>IF(ISTEXT('월 가계부'!A1203),SUBSTITUTE(SUBSTITUTE(SUBSTITUTE(SUBSTITUTE(SUBSTITUTE(SUBSTITUTE(SUBSTITUTE(SUBSTITUTE(SUBSTITUTE(TRIM('월 가계부'!A1203),"년","-"),"월","-"),"일",""),".","-"),"/","-")," ","-"),"--","-"),"--","-"),"--","-")&amp;"-","")</f>
        <v/>
      </c>
      <c r="CI1203">
        <f>IFERROR(IF('월 가계부'!A1203="","",IF(ISNUMBER('월 가계부'!A1203),IF(AND('월 가계부'!A1203&gt;=19000101,'월 가계부'!A1203&lt;=21001231),IF(AND(MOD(INT('월 가계부'!A1203/100),100)&gt;=1,MOD(INT('월 가계부'!A1203/100),100)&lt;=12,MOD(INT('월 가계부'!A1203),100)&gt;=1,MOD(INT('월 가계부'!A1203),100)&lt;=31),IF(MONTH(DATE(INT('월 가계부'!A1203/10000),MOD(INT('월 가계부'!A1203/100),100),MOD(INT('월 가계부'!A1203),100)))=MOD(INT('월 가계부'!A1203/100),100),DATE(INT('월 가계부'!A1203/10000),MOD(INT('월 가계부'!A1203/100),100),MOD(INT('월 가계부'!A1203),100)),""),""),IF(AND('월 가계부'!A1203&gt;=36526,'월 가계부'!A1203&lt;73051),INT('월 가계부'!A1203),"")),IF(OR(CM1203="",CN1203="",CO1203=""),"",IF(AND(CM1203&gt;=2000,CM1203&lt;=2099,CN1203&gt;=1,CN1203&lt;=12,CO1203&gt;=1,CO1203&lt;=31),IF(MONTH(DATE(CM1203,CN1203,CO1203))=CN1203,DATE(CM1203,CN1203,CO1203),""),"")))),"")</f>
        <v/>
      </c>
      <c r="CJ1203">
        <f>IFERROR(IF('월 가계부'!C1203="","",IF(ISNUMBER('월 가계부'!C1203),'월 가계부'!C1203,VALUE(SUBSTITUTE(SUBSTITUTE(SUBSTITUTE(SUBSTITUTE(TRIM('월 가계부'!C1203),",",""),"원","")," ",""),"−","-")))),"")</f>
        <v/>
      </c>
      <c r="CK1203">
        <f>IF(ISNUMBER(CI1203),IF(CI1203&lt;$B$13,CI1203,""),"")</f>
        <v/>
      </c>
      <c r="CM1203">
        <f>IF(CH1203="","",IFERROR(IF(IF(AND(LEN(CH1203)=9,ISERROR(FIND("-",LEFT(CH1203,8))),ISNUMBER(-LEFT(CH1203,8))),VALUE(LEFT(CH1203,4)),VALUE(LEFT(CH1203,FIND("-",CH1203)-1)))&lt;100,IF(AND(LEN(CH1203)=9,ISERROR(FIND("-",LEFT(CH1203,8))),ISNUMBER(-LEFT(CH1203,8))),VALUE(LEFT(CH1203,4)),VALUE(LEFT(CH1203,FIND("-",CH1203)-1)))+2000,IF(AND(LEN(CH1203)=9,ISERROR(FIND("-",LEFT(CH1203,8))),ISNUMBER(-LEFT(CH1203,8))),VALUE(LEFT(CH1203,4)),VALUE(LEFT(CH1203,FIND("-",CH1203)-1)))),""))</f>
        <v/>
      </c>
      <c r="CN1203">
        <f>IF(CH1203="","",IFERROR(IF(AND(LEN(CH1203)=9,ISERROR(FIND("-",LEFT(CH1203,8))),ISNUMBER(-LEFT(CH1203,8))),VALUE(MID(CH1203,5,2)),VALUE(MID(CH1203,FIND("-",CH1203)+1,FIND("-",CH1203,FIND("-",CH1203)+1)-FIND("-",CH1203)-1))),""))</f>
        <v/>
      </c>
      <c r="CO1203">
        <f>IF(CH1203="","",IFERROR(IF(AND(LEN(CH1203)=9,ISERROR(FIND("-",LEFT(CH1203,8))),ISNUMBER(-LEFT(CH1203,8))),VALUE(MID(CH1203,7,2)),VALUE(MID(CH1203,FIND("-",CH1203,FIND("-",CH1203)+1)+1,FIND("-",CH1203,FIND("-",CH1203,FIND("-",CH1203)+1)+1)-FIND("-",CH1203,FIND("-",CH1203)+1)-1))),""))</f>
        <v/>
      </c>
    </row>
    <row r="1204">
      <c r="CH1204">
        <f>IF(ISTEXT('월 가계부'!A1204),SUBSTITUTE(SUBSTITUTE(SUBSTITUTE(SUBSTITUTE(SUBSTITUTE(SUBSTITUTE(SUBSTITUTE(SUBSTITUTE(SUBSTITUTE(TRIM('월 가계부'!A1204),"년","-"),"월","-"),"일",""),".","-"),"/","-")," ","-"),"--","-"),"--","-"),"--","-")&amp;"-","")</f>
        <v/>
      </c>
      <c r="CI1204">
        <f>IFERROR(IF('월 가계부'!A1204="","",IF(ISNUMBER('월 가계부'!A1204),IF(AND('월 가계부'!A1204&gt;=19000101,'월 가계부'!A1204&lt;=21001231),IF(AND(MOD(INT('월 가계부'!A1204/100),100)&gt;=1,MOD(INT('월 가계부'!A1204/100),100)&lt;=12,MOD(INT('월 가계부'!A1204),100)&gt;=1,MOD(INT('월 가계부'!A1204),100)&lt;=31),IF(MONTH(DATE(INT('월 가계부'!A1204/10000),MOD(INT('월 가계부'!A1204/100),100),MOD(INT('월 가계부'!A1204),100)))=MOD(INT('월 가계부'!A1204/100),100),DATE(INT('월 가계부'!A1204/10000),MOD(INT('월 가계부'!A1204/100),100),MOD(INT('월 가계부'!A1204),100)),""),""),IF(AND('월 가계부'!A1204&gt;=36526,'월 가계부'!A1204&lt;73051),INT('월 가계부'!A1204),"")),IF(OR(CM1204="",CN1204="",CO1204=""),"",IF(AND(CM1204&gt;=2000,CM1204&lt;=2099,CN1204&gt;=1,CN1204&lt;=12,CO1204&gt;=1,CO1204&lt;=31),IF(MONTH(DATE(CM1204,CN1204,CO1204))=CN1204,DATE(CM1204,CN1204,CO1204),""),"")))),"")</f>
        <v/>
      </c>
      <c r="CJ1204">
        <f>IFERROR(IF('월 가계부'!C1204="","",IF(ISNUMBER('월 가계부'!C1204),'월 가계부'!C1204,VALUE(SUBSTITUTE(SUBSTITUTE(SUBSTITUTE(SUBSTITUTE(TRIM('월 가계부'!C1204),",",""),"원","")," ",""),"−","-")))),"")</f>
        <v/>
      </c>
      <c r="CK1204">
        <f>IF(ISNUMBER(CI1204),IF(CI1204&lt;$B$13,CI1204,""),"")</f>
        <v/>
      </c>
      <c r="CM1204">
        <f>IF(CH1204="","",IFERROR(IF(IF(AND(LEN(CH1204)=9,ISERROR(FIND("-",LEFT(CH1204,8))),ISNUMBER(-LEFT(CH1204,8))),VALUE(LEFT(CH1204,4)),VALUE(LEFT(CH1204,FIND("-",CH1204)-1)))&lt;100,IF(AND(LEN(CH1204)=9,ISERROR(FIND("-",LEFT(CH1204,8))),ISNUMBER(-LEFT(CH1204,8))),VALUE(LEFT(CH1204,4)),VALUE(LEFT(CH1204,FIND("-",CH1204)-1)))+2000,IF(AND(LEN(CH1204)=9,ISERROR(FIND("-",LEFT(CH1204,8))),ISNUMBER(-LEFT(CH1204,8))),VALUE(LEFT(CH1204,4)),VALUE(LEFT(CH1204,FIND("-",CH1204)-1)))),""))</f>
        <v/>
      </c>
      <c r="CN1204">
        <f>IF(CH1204="","",IFERROR(IF(AND(LEN(CH1204)=9,ISERROR(FIND("-",LEFT(CH1204,8))),ISNUMBER(-LEFT(CH1204,8))),VALUE(MID(CH1204,5,2)),VALUE(MID(CH1204,FIND("-",CH1204)+1,FIND("-",CH1204,FIND("-",CH1204)+1)-FIND("-",CH1204)-1))),""))</f>
        <v/>
      </c>
      <c r="CO1204">
        <f>IF(CH1204="","",IFERROR(IF(AND(LEN(CH1204)=9,ISERROR(FIND("-",LEFT(CH1204,8))),ISNUMBER(-LEFT(CH1204,8))),VALUE(MID(CH1204,7,2)),VALUE(MID(CH1204,FIND("-",CH1204,FIND("-",CH1204)+1)+1,FIND("-",CH1204,FIND("-",CH1204,FIND("-",CH1204)+1)+1)-FIND("-",CH1204,FIND("-",CH1204)+1)-1))),""))</f>
        <v/>
      </c>
    </row>
    <row r="1205">
      <c r="CH1205">
        <f>IF(ISTEXT('월 가계부'!A1205),SUBSTITUTE(SUBSTITUTE(SUBSTITUTE(SUBSTITUTE(SUBSTITUTE(SUBSTITUTE(SUBSTITUTE(SUBSTITUTE(SUBSTITUTE(TRIM('월 가계부'!A1205),"년","-"),"월","-"),"일",""),".","-"),"/","-")," ","-"),"--","-"),"--","-"),"--","-")&amp;"-","")</f>
        <v/>
      </c>
      <c r="CI1205">
        <f>IFERROR(IF('월 가계부'!A1205="","",IF(ISNUMBER('월 가계부'!A1205),IF(AND('월 가계부'!A1205&gt;=19000101,'월 가계부'!A1205&lt;=21001231),IF(AND(MOD(INT('월 가계부'!A1205/100),100)&gt;=1,MOD(INT('월 가계부'!A1205/100),100)&lt;=12,MOD(INT('월 가계부'!A1205),100)&gt;=1,MOD(INT('월 가계부'!A1205),100)&lt;=31),IF(MONTH(DATE(INT('월 가계부'!A1205/10000),MOD(INT('월 가계부'!A1205/100),100),MOD(INT('월 가계부'!A1205),100)))=MOD(INT('월 가계부'!A1205/100),100),DATE(INT('월 가계부'!A1205/10000),MOD(INT('월 가계부'!A1205/100),100),MOD(INT('월 가계부'!A1205),100)),""),""),IF(AND('월 가계부'!A1205&gt;=36526,'월 가계부'!A1205&lt;73051),INT('월 가계부'!A1205),"")),IF(OR(CM1205="",CN1205="",CO1205=""),"",IF(AND(CM1205&gt;=2000,CM1205&lt;=2099,CN1205&gt;=1,CN1205&lt;=12,CO1205&gt;=1,CO1205&lt;=31),IF(MONTH(DATE(CM1205,CN1205,CO1205))=CN1205,DATE(CM1205,CN1205,CO1205),""),"")))),"")</f>
        <v/>
      </c>
      <c r="CJ1205">
        <f>IFERROR(IF('월 가계부'!C1205="","",IF(ISNUMBER('월 가계부'!C1205),'월 가계부'!C1205,VALUE(SUBSTITUTE(SUBSTITUTE(SUBSTITUTE(SUBSTITUTE(TRIM('월 가계부'!C1205),",",""),"원","")," ",""),"−","-")))),"")</f>
        <v/>
      </c>
      <c r="CK1205">
        <f>IF(ISNUMBER(CI1205),IF(CI1205&lt;$B$13,CI1205,""),"")</f>
        <v/>
      </c>
      <c r="CM1205">
        <f>IF(CH1205="","",IFERROR(IF(IF(AND(LEN(CH1205)=9,ISERROR(FIND("-",LEFT(CH1205,8))),ISNUMBER(-LEFT(CH1205,8))),VALUE(LEFT(CH1205,4)),VALUE(LEFT(CH1205,FIND("-",CH1205)-1)))&lt;100,IF(AND(LEN(CH1205)=9,ISERROR(FIND("-",LEFT(CH1205,8))),ISNUMBER(-LEFT(CH1205,8))),VALUE(LEFT(CH1205,4)),VALUE(LEFT(CH1205,FIND("-",CH1205)-1)))+2000,IF(AND(LEN(CH1205)=9,ISERROR(FIND("-",LEFT(CH1205,8))),ISNUMBER(-LEFT(CH1205,8))),VALUE(LEFT(CH1205,4)),VALUE(LEFT(CH1205,FIND("-",CH1205)-1)))),""))</f>
        <v/>
      </c>
      <c r="CN1205">
        <f>IF(CH1205="","",IFERROR(IF(AND(LEN(CH1205)=9,ISERROR(FIND("-",LEFT(CH1205,8))),ISNUMBER(-LEFT(CH1205,8))),VALUE(MID(CH1205,5,2)),VALUE(MID(CH1205,FIND("-",CH1205)+1,FIND("-",CH1205,FIND("-",CH1205)+1)-FIND("-",CH1205)-1))),""))</f>
        <v/>
      </c>
      <c r="CO1205">
        <f>IF(CH1205="","",IFERROR(IF(AND(LEN(CH1205)=9,ISERROR(FIND("-",LEFT(CH1205,8))),ISNUMBER(-LEFT(CH1205,8))),VALUE(MID(CH1205,7,2)),VALUE(MID(CH1205,FIND("-",CH1205,FIND("-",CH1205)+1)+1,FIND("-",CH1205,FIND("-",CH1205,FIND("-",CH1205)+1)+1)-FIND("-",CH1205,FIND("-",CH1205)+1)-1))),""))</f>
        <v/>
      </c>
    </row>
    <row r="1206">
      <c r="CH1206">
        <f>IF(ISTEXT('월 가계부'!A1206),SUBSTITUTE(SUBSTITUTE(SUBSTITUTE(SUBSTITUTE(SUBSTITUTE(SUBSTITUTE(SUBSTITUTE(SUBSTITUTE(SUBSTITUTE(TRIM('월 가계부'!A1206),"년","-"),"월","-"),"일",""),".","-"),"/","-")," ","-"),"--","-"),"--","-"),"--","-")&amp;"-","")</f>
        <v/>
      </c>
      <c r="CI1206">
        <f>IFERROR(IF('월 가계부'!A1206="","",IF(ISNUMBER('월 가계부'!A1206),IF(AND('월 가계부'!A1206&gt;=19000101,'월 가계부'!A1206&lt;=21001231),IF(AND(MOD(INT('월 가계부'!A1206/100),100)&gt;=1,MOD(INT('월 가계부'!A1206/100),100)&lt;=12,MOD(INT('월 가계부'!A1206),100)&gt;=1,MOD(INT('월 가계부'!A1206),100)&lt;=31),IF(MONTH(DATE(INT('월 가계부'!A1206/10000),MOD(INT('월 가계부'!A1206/100),100),MOD(INT('월 가계부'!A1206),100)))=MOD(INT('월 가계부'!A1206/100),100),DATE(INT('월 가계부'!A1206/10000),MOD(INT('월 가계부'!A1206/100),100),MOD(INT('월 가계부'!A1206),100)),""),""),IF(AND('월 가계부'!A1206&gt;=36526,'월 가계부'!A1206&lt;73051),INT('월 가계부'!A1206),"")),IF(OR(CM1206="",CN1206="",CO1206=""),"",IF(AND(CM1206&gt;=2000,CM1206&lt;=2099,CN1206&gt;=1,CN1206&lt;=12,CO1206&gt;=1,CO1206&lt;=31),IF(MONTH(DATE(CM1206,CN1206,CO1206))=CN1206,DATE(CM1206,CN1206,CO1206),""),"")))),"")</f>
        <v/>
      </c>
      <c r="CJ1206">
        <f>IFERROR(IF('월 가계부'!C1206="","",IF(ISNUMBER('월 가계부'!C1206),'월 가계부'!C1206,VALUE(SUBSTITUTE(SUBSTITUTE(SUBSTITUTE(SUBSTITUTE(TRIM('월 가계부'!C1206),",",""),"원","")," ",""),"−","-")))),"")</f>
        <v/>
      </c>
      <c r="CK1206">
        <f>IF(ISNUMBER(CI1206),IF(CI1206&lt;$B$13,CI1206,""),"")</f>
        <v/>
      </c>
      <c r="CM1206">
        <f>IF(CH1206="","",IFERROR(IF(IF(AND(LEN(CH1206)=9,ISERROR(FIND("-",LEFT(CH1206,8))),ISNUMBER(-LEFT(CH1206,8))),VALUE(LEFT(CH1206,4)),VALUE(LEFT(CH1206,FIND("-",CH1206)-1)))&lt;100,IF(AND(LEN(CH1206)=9,ISERROR(FIND("-",LEFT(CH1206,8))),ISNUMBER(-LEFT(CH1206,8))),VALUE(LEFT(CH1206,4)),VALUE(LEFT(CH1206,FIND("-",CH1206)-1)))+2000,IF(AND(LEN(CH1206)=9,ISERROR(FIND("-",LEFT(CH1206,8))),ISNUMBER(-LEFT(CH1206,8))),VALUE(LEFT(CH1206,4)),VALUE(LEFT(CH1206,FIND("-",CH1206)-1)))),""))</f>
        <v/>
      </c>
      <c r="CN1206">
        <f>IF(CH1206="","",IFERROR(IF(AND(LEN(CH1206)=9,ISERROR(FIND("-",LEFT(CH1206,8))),ISNUMBER(-LEFT(CH1206,8))),VALUE(MID(CH1206,5,2)),VALUE(MID(CH1206,FIND("-",CH1206)+1,FIND("-",CH1206,FIND("-",CH1206)+1)-FIND("-",CH1206)-1))),""))</f>
        <v/>
      </c>
      <c r="CO1206">
        <f>IF(CH1206="","",IFERROR(IF(AND(LEN(CH1206)=9,ISERROR(FIND("-",LEFT(CH1206,8))),ISNUMBER(-LEFT(CH1206,8))),VALUE(MID(CH1206,7,2)),VALUE(MID(CH1206,FIND("-",CH1206,FIND("-",CH1206)+1)+1,FIND("-",CH1206,FIND("-",CH1206,FIND("-",CH1206)+1)+1)-FIND("-",CH1206,FIND("-",CH1206)+1)-1))),""))</f>
        <v/>
      </c>
    </row>
    <row r="1207">
      <c r="CH1207">
        <f>IF(ISTEXT('월 가계부'!A1207),SUBSTITUTE(SUBSTITUTE(SUBSTITUTE(SUBSTITUTE(SUBSTITUTE(SUBSTITUTE(SUBSTITUTE(SUBSTITUTE(SUBSTITUTE(TRIM('월 가계부'!A1207),"년","-"),"월","-"),"일",""),".","-"),"/","-")," ","-"),"--","-"),"--","-"),"--","-")&amp;"-","")</f>
        <v/>
      </c>
      <c r="CI1207">
        <f>IFERROR(IF('월 가계부'!A1207="","",IF(ISNUMBER('월 가계부'!A1207),IF(AND('월 가계부'!A1207&gt;=19000101,'월 가계부'!A1207&lt;=21001231),IF(AND(MOD(INT('월 가계부'!A1207/100),100)&gt;=1,MOD(INT('월 가계부'!A1207/100),100)&lt;=12,MOD(INT('월 가계부'!A1207),100)&gt;=1,MOD(INT('월 가계부'!A1207),100)&lt;=31),IF(MONTH(DATE(INT('월 가계부'!A1207/10000),MOD(INT('월 가계부'!A1207/100),100),MOD(INT('월 가계부'!A1207),100)))=MOD(INT('월 가계부'!A1207/100),100),DATE(INT('월 가계부'!A1207/10000),MOD(INT('월 가계부'!A1207/100),100),MOD(INT('월 가계부'!A1207),100)),""),""),IF(AND('월 가계부'!A1207&gt;=36526,'월 가계부'!A1207&lt;73051),INT('월 가계부'!A1207),"")),IF(OR(CM1207="",CN1207="",CO1207=""),"",IF(AND(CM1207&gt;=2000,CM1207&lt;=2099,CN1207&gt;=1,CN1207&lt;=12,CO1207&gt;=1,CO1207&lt;=31),IF(MONTH(DATE(CM1207,CN1207,CO1207))=CN1207,DATE(CM1207,CN1207,CO1207),""),"")))),"")</f>
        <v/>
      </c>
      <c r="CJ1207">
        <f>IFERROR(IF('월 가계부'!C1207="","",IF(ISNUMBER('월 가계부'!C1207),'월 가계부'!C1207,VALUE(SUBSTITUTE(SUBSTITUTE(SUBSTITUTE(SUBSTITUTE(TRIM('월 가계부'!C1207),",",""),"원","")," ",""),"−","-")))),"")</f>
        <v/>
      </c>
      <c r="CK1207">
        <f>IF(ISNUMBER(CI1207),IF(CI1207&lt;$B$13,CI1207,""),"")</f>
        <v/>
      </c>
      <c r="CM1207">
        <f>IF(CH1207="","",IFERROR(IF(IF(AND(LEN(CH1207)=9,ISERROR(FIND("-",LEFT(CH1207,8))),ISNUMBER(-LEFT(CH1207,8))),VALUE(LEFT(CH1207,4)),VALUE(LEFT(CH1207,FIND("-",CH1207)-1)))&lt;100,IF(AND(LEN(CH1207)=9,ISERROR(FIND("-",LEFT(CH1207,8))),ISNUMBER(-LEFT(CH1207,8))),VALUE(LEFT(CH1207,4)),VALUE(LEFT(CH1207,FIND("-",CH1207)-1)))+2000,IF(AND(LEN(CH1207)=9,ISERROR(FIND("-",LEFT(CH1207,8))),ISNUMBER(-LEFT(CH1207,8))),VALUE(LEFT(CH1207,4)),VALUE(LEFT(CH1207,FIND("-",CH1207)-1)))),""))</f>
        <v/>
      </c>
      <c r="CN1207">
        <f>IF(CH1207="","",IFERROR(IF(AND(LEN(CH1207)=9,ISERROR(FIND("-",LEFT(CH1207,8))),ISNUMBER(-LEFT(CH1207,8))),VALUE(MID(CH1207,5,2)),VALUE(MID(CH1207,FIND("-",CH1207)+1,FIND("-",CH1207,FIND("-",CH1207)+1)-FIND("-",CH1207)-1))),""))</f>
        <v/>
      </c>
      <c r="CO1207">
        <f>IF(CH1207="","",IFERROR(IF(AND(LEN(CH1207)=9,ISERROR(FIND("-",LEFT(CH1207,8))),ISNUMBER(-LEFT(CH1207,8))),VALUE(MID(CH1207,7,2)),VALUE(MID(CH1207,FIND("-",CH1207,FIND("-",CH1207)+1)+1,FIND("-",CH1207,FIND("-",CH1207,FIND("-",CH1207)+1)+1)-FIND("-",CH1207,FIND("-",CH1207)+1)-1))),""))</f>
        <v/>
      </c>
    </row>
    <row r="1208">
      <c r="CH1208">
        <f>IF(ISTEXT('월 가계부'!A1208),SUBSTITUTE(SUBSTITUTE(SUBSTITUTE(SUBSTITUTE(SUBSTITUTE(SUBSTITUTE(SUBSTITUTE(SUBSTITUTE(SUBSTITUTE(TRIM('월 가계부'!A1208),"년","-"),"월","-"),"일",""),".","-"),"/","-")," ","-"),"--","-"),"--","-"),"--","-")&amp;"-","")</f>
        <v/>
      </c>
      <c r="CI1208">
        <f>IFERROR(IF('월 가계부'!A1208="","",IF(ISNUMBER('월 가계부'!A1208),IF(AND('월 가계부'!A1208&gt;=19000101,'월 가계부'!A1208&lt;=21001231),IF(AND(MOD(INT('월 가계부'!A1208/100),100)&gt;=1,MOD(INT('월 가계부'!A1208/100),100)&lt;=12,MOD(INT('월 가계부'!A1208),100)&gt;=1,MOD(INT('월 가계부'!A1208),100)&lt;=31),IF(MONTH(DATE(INT('월 가계부'!A1208/10000),MOD(INT('월 가계부'!A1208/100),100),MOD(INT('월 가계부'!A1208),100)))=MOD(INT('월 가계부'!A1208/100),100),DATE(INT('월 가계부'!A1208/10000),MOD(INT('월 가계부'!A1208/100),100),MOD(INT('월 가계부'!A1208),100)),""),""),IF(AND('월 가계부'!A1208&gt;=36526,'월 가계부'!A1208&lt;73051),INT('월 가계부'!A1208),"")),IF(OR(CM1208="",CN1208="",CO1208=""),"",IF(AND(CM1208&gt;=2000,CM1208&lt;=2099,CN1208&gt;=1,CN1208&lt;=12,CO1208&gt;=1,CO1208&lt;=31),IF(MONTH(DATE(CM1208,CN1208,CO1208))=CN1208,DATE(CM1208,CN1208,CO1208),""),"")))),"")</f>
        <v/>
      </c>
      <c r="CJ1208">
        <f>IFERROR(IF('월 가계부'!C1208="","",IF(ISNUMBER('월 가계부'!C1208),'월 가계부'!C1208,VALUE(SUBSTITUTE(SUBSTITUTE(SUBSTITUTE(SUBSTITUTE(TRIM('월 가계부'!C1208),",",""),"원","")," ",""),"−","-")))),"")</f>
        <v/>
      </c>
      <c r="CK1208">
        <f>IF(ISNUMBER(CI1208),IF(CI1208&lt;$B$13,CI1208,""),"")</f>
        <v/>
      </c>
      <c r="CM1208">
        <f>IF(CH1208="","",IFERROR(IF(IF(AND(LEN(CH1208)=9,ISERROR(FIND("-",LEFT(CH1208,8))),ISNUMBER(-LEFT(CH1208,8))),VALUE(LEFT(CH1208,4)),VALUE(LEFT(CH1208,FIND("-",CH1208)-1)))&lt;100,IF(AND(LEN(CH1208)=9,ISERROR(FIND("-",LEFT(CH1208,8))),ISNUMBER(-LEFT(CH1208,8))),VALUE(LEFT(CH1208,4)),VALUE(LEFT(CH1208,FIND("-",CH1208)-1)))+2000,IF(AND(LEN(CH1208)=9,ISERROR(FIND("-",LEFT(CH1208,8))),ISNUMBER(-LEFT(CH1208,8))),VALUE(LEFT(CH1208,4)),VALUE(LEFT(CH1208,FIND("-",CH1208)-1)))),""))</f>
        <v/>
      </c>
      <c r="CN1208">
        <f>IF(CH1208="","",IFERROR(IF(AND(LEN(CH1208)=9,ISERROR(FIND("-",LEFT(CH1208,8))),ISNUMBER(-LEFT(CH1208,8))),VALUE(MID(CH1208,5,2)),VALUE(MID(CH1208,FIND("-",CH1208)+1,FIND("-",CH1208,FIND("-",CH1208)+1)-FIND("-",CH1208)-1))),""))</f>
        <v/>
      </c>
      <c r="CO1208">
        <f>IF(CH1208="","",IFERROR(IF(AND(LEN(CH1208)=9,ISERROR(FIND("-",LEFT(CH1208,8))),ISNUMBER(-LEFT(CH1208,8))),VALUE(MID(CH1208,7,2)),VALUE(MID(CH1208,FIND("-",CH1208,FIND("-",CH1208)+1)+1,FIND("-",CH1208,FIND("-",CH1208,FIND("-",CH1208)+1)+1)-FIND("-",CH1208,FIND("-",CH1208)+1)-1))),""))</f>
        <v/>
      </c>
    </row>
    <row r="1209">
      <c r="CH1209">
        <f>IF(ISTEXT('월 가계부'!A1209),SUBSTITUTE(SUBSTITUTE(SUBSTITUTE(SUBSTITUTE(SUBSTITUTE(SUBSTITUTE(SUBSTITUTE(SUBSTITUTE(SUBSTITUTE(TRIM('월 가계부'!A1209),"년","-"),"월","-"),"일",""),".","-"),"/","-")," ","-"),"--","-"),"--","-"),"--","-")&amp;"-","")</f>
        <v/>
      </c>
      <c r="CI1209">
        <f>IFERROR(IF('월 가계부'!A1209="","",IF(ISNUMBER('월 가계부'!A1209),IF(AND('월 가계부'!A1209&gt;=19000101,'월 가계부'!A1209&lt;=21001231),IF(AND(MOD(INT('월 가계부'!A1209/100),100)&gt;=1,MOD(INT('월 가계부'!A1209/100),100)&lt;=12,MOD(INT('월 가계부'!A1209),100)&gt;=1,MOD(INT('월 가계부'!A1209),100)&lt;=31),IF(MONTH(DATE(INT('월 가계부'!A1209/10000),MOD(INT('월 가계부'!A1209/100),100),MOD(INT('월 가계부'!A1209),100)))=MOD(INT('월 가계부'!A1209/100),100),DATE(INT('월 가계부'!A1209/10000),MOD(INT('월 가계부'!A1209/100),100),MOD(INT('월 가계부'!A1209),100)),""),""),IF(AND('월 가계부'!A1209&gt;=36526,'월 가계부'!A1209&lt;73051),INT('월 가계부'!A1209),"")),IF(OR(CM1209="",CN1209="",CO1209=""),"",IF(AND(CM1209&gt;=2000,CM1209&lt;=2099,CN1209&gt;=1,CN1209&lt;=12,CO1209&gt;=1,CO1209&lt;=31),IF(MONTH(DATE(CM1209,CN1209,CO1209))=CN1209,DATE(CM1209,CN1209,CO1209),""),"")))),"")</f>
        <v/>
      </c>
      <c r="CJ1209">
        <f>IFERROR(IF('월 가계부'!C1209="","",IF(ISNUMBER('월 가계부'!C1209),'월 가계부'!C1209,VALUE(SUBSTITUTE(SUBSTITUTE(SUBSTITUTE(SUBSTITUTE(TRIM('월 가계부'!C1209),",",""),"원","")," ",""),"−","-")))),"")</f>
        <v/>
      </c>
      <c r="CK1209">
        <f>IF(ISNUMBER(CI1209),IF(CI1209&lt;$B$13,CI1209,""),"")</f>
        <v/>
      </c>
      <c r="CM1209">
        <f>IF(CH1209="","",IFERROR(IF(IF(AND(LEN(CH1209)=9,ISERROR(FIND("-",LEFT(CH1209,8))),ISNUMBER(-LEFT(CH1209,8))),VALUE(LEFT(CH1209,4)),VALUE(LEFT(CH1209,FIND("-",CH1209)-1)))&lt;100,IF(AND(LEN(CH1209)=9,ISERROR(FIND("-",LEFT(CH1209,8))),ISNUMBER(-LEFT(CH1209,8))),VALUE(LEFT(CH1209,4)),VALUE(LEFT(CH1209,FIND("-",CH1209)-1)))+2000,IF(AND(LEN(CH1209)=9,ISERROR(FIND("-",LEFT(CH1209,8))),ISNUMBER(-LEFT(CH1209,8))),VALUE(LEFT(CH1209,4)),VALUE(LEFT(CH1209,FIND("-",CH1209)-1)))),""))</f>
        <v/>
      </c>
      <c r="CN1209">
        <f>IF(CH1209="","",IFERROR(IF(AND(LEN(CH1209)=9,ISERROR(FIND("-",LEFT(CH1209,8))),ISNUMBER(-LEFT(CH1209,8))),VALUE(MID(CH1209,5,2)),VALUE(MID(CH1209,FIND("-",CH1209)+1,FIND("-",CH1209,FIND("-",CH1209)+1)-FIND("-",CH1209)-1))),""))</f>
        <v/>
      </c>
      <c r="CO1209">
        <f>IF(CH1209="","",IFERROR(IF(AND(LEN(CH1209)=9,ISERROR(FIND("-",LEFT(CH1209,8))),ISNUMBER(-LEFT(CH1209,8))),VALUE(MID(CH1209,7,2)),VALUE(MID(CH1209,FIND("-",CH1209,FIND("-",CH1209)+1)+1,FIND("-",CH1209,FIND("-",CH1209,FIND("-",CH1209)+1)+1)-FIND("-",CH1209,FIND("-",CH1209)+1)-1))),""))</f>
        <v/>
      </c>
    </row>
    <row r="1210">
      <c r="CH1210">
        <f>IF(ISTEXT('월 가계부'!A1210),SUBSTITUTE(SUBSTITUTE(SUBSTITUTE(SUBSTITUTE(SUBSTITUTE(SUBSTITUTE(SUBSTITUTE(SUBSTITUTE(SUBSTITUTE(TRIM('월 가계부'!A1210),"년","-"),"월","-"),"일",""),".","-"),"/","-")," ","-"),"--","-"),"--","-"),"--","-")&amp;"-","")</f>
        <v/>
      </c>
      <c r="CI1210">
        <f>IFERROR(IF('월 가계부'!A1210="","",IF(ISNUMBER('월 가계부'!A1210),IF(AND('월 가계부'!A1210&gt;=19000101,'월 가계부'!A1210&lt;=21001231),IF(AND(MOD(INT('월 가계부'!A1210/100),100)&gt;=1,MOD(INT('월 가계부'!A1210/100),100)&lt;=12,MOD(INT('월 가계부'!A1210),100)&gt;=1,MOD(INT('월 가계부'!A1210),100)&lt;=31),IF(MONTH(DATE(INT('월 가계부'!A1210/10000),MOD(INT('월 가계부'!A1210/100),100),MOD(INT('월 가계부'!A1210),100)))=MOD(INT('월 가계부'!A1210/100),100),DATE(INT('월 가계부'!A1210/10000),MOD(INT('월 가계부'!A1210/100),100),MOD(INT('월 가계부'!A1210),100)),""),""),IF(AND('월 가계부'!A1210&gt;=36526,'월 가계부'!A1210&lt;73051),INT('월 가계부'!A1210),"")),IF(OR(CM1210="",CN1210="",CO1210=""),"",IF(AND(CM1210&gt;=2000,CM1210&lt;=2099,CN1210&gt;=1,CN1210&lt;=12,CO1210&gt;=1,CO1210&lt;=31),IF(MONTH(DATE(CM1210,CN1210,CO1210))=CN1210,DATE(CM1210,CN1210,CO1210),""),"")))),"")</f>
        <v/>
      </c>
      <c r="CJ1210">
        <f>IFERROR(IF('월 가계부'!C1210="","",IF(ISNUMBER('월 가계부'!C1210),'월 가계부'!C1210,VALUE(SUBSTITUTE(SUBSTITUTE(SUBSTITUTE(SUBSTITUTE(TRIM('월 가계부'!C1210),",",""),"원","")," ",""),"−","-")))),"")</f>
        <v/>
      </c>
      <c r="CK1210">
        <f>IF(ISNUMBER(CI1210),IF(CI1210&lt;$B$13,CI1210,""),"")</f>
        <v/>
      </c>
      <c r="CM1210">
        <f>IF(CH1210="","",IFERROR(IF(IF(AND(LEN(CH1210)=9,ISERROR(FIND("-",LEFT(CH1210,8))),ISNUMBER(-LEFT(CH1210,8))),VALUE(LEFT(CH1210,4)),VALUE(LEFT(CH1210,FIND("-",CH1210)-1)))&lt;100,IF(AND(LEN(CH1210)=9,ISERROR(FIND("-",LEFT(CH1210,8))),ISNUMBER(-LEFT(CH1210,8))),VALUE(LEFT(CH1210,4)),VALUE(LEFT(CH1210,FIND("-",CH1210)-1)))+2000,IF(AND(LEN(CH1210)=9,ISERROR(FIND("-",LEFT(CH1210,8))),ISNUMBER(-LEFT(CH1210,8))),VALUE(LEFT(CH1210,4)),VALUE(LEFT(CH1210,FIND("-",CH1210)-1)))),""))</f>
        <v/>
      </c>
      <c r="CN1210">
        <f>IF(CH1210="","",IFERROR(IF(AND(LEN(CH1210)=9,ISERROR(FIND("-",LEFT(CH1210,8))),ISNUMBER(-LEFT(CH1210,8))),VALUE(MID(CH1210,5,2)),VALUE(MID(CH1210,FIND("-",CH1210)+1,FIND("-",CH1210,FIND("-",CH1210)+1)-FIND("-",CH1210)-1))),""))</f>
        <v/>
      </c>
      <c r="CO1210">
        <f>IF(CH1210="","",IFERROR(IF(AND(LEN(CH1210)=9,ISERROR(FIND("-",LEFT(CH1210,8))),ISNUMBER(-LEFT(CH1210,8))),VALUE(MID(CH1210,7,2)),VALUE(MID(CH1210,FIND("-",CH1210,FIND("-",CH1210)+1)+1,FIND("-",CH1210,FIND("-",CH1210,FIND("-",CH1210)+1)+1)-FIND("-",CH1210,FIND("-",CH1210)+1)-1))),""))</f>
        <v/>
      </c>
    </row>
    <row r="1211">
      <c r="CH1211">
        <f>IF(ISTEXT('월 가계부'!A1211),SUBSTITUTE(SUBSTITUTE(SUBSTITUTE(SUBSTITUTE(SUBSTITUTE(SUBSTITUTE(SUBSTITUTE(SUBSTITUTE(SUBSTITUTE(TRIM('월 가계부'!A1211),"년","-"),"월","-"),"일",""),".","-"),"/","-")," ","-"),"--","-"),"--","-"),"--","-")&amp;"-","")</f>
        <v/>
      </c>
      <c r="CI1211">
        <f>IFERROR(IF('월 가계부'!A1211="","",IF(ISNUMBER('월 가계부'!A1211),IF(AND('월 가계부'!A1211&gt;=19000101,'월 가계부'!A1211&lt;=21001231),IF(AND(MOD(INT('월 가계부'!A1211/100),100)&gt;=1,MOD(INT('월 가계부'!A1211/100),100)&lt;=12,MOD(INT('월 가계부'!A1211),100)&gt;=1,MOD(INT('월 가계부'!A1211),100)&lt;=31),IF(MONTH(DATE(INT('월 가계부'!A1211/10000),MOD(INT('월 가계부'!A1211/100),100),MOD(INT('월 가계부'!A1211),100)))=MOD(INT('월 가계부'!A1211/100),100),DATE(INT('월 가계부'!A1211/10000),MOD(INT('월 가계부'!A1211/100),100),MOD(INT('월 가계부'!A1211),100)),""),""),IF(AND('월 가계부'!A1211&gt;=36526,'월 가계부'!A1211&lt;73051),INT('월 가계부'!A1211),"")),IF(OR(CM1211="",CN1211="",CO1211=""),"",IF(AND(CM1211&gt;=2000,CM1211&lt;=2099,CN1211&gt;=1,CN1211&lt;=12,CO1211&gt;=1,CO1211&lt;=31),IF(MONTH(DATE(CM1211,CN1211,CO1211))=CN1211,DATE(CM1211,CN1211,CO1211),""),"")))),"")</f>
        <v/>
      </c>
      <c r="CJ1211">
        <f>IFERROR(IF('월 가계부'!C1211="","",IF(ISNUMBER('월 가계부'!C1211),'월 가계부'!C1211,VALUE(SUBSTITUTE(SUBSTITUTE(SUBSTITUTE(SUBSTITUTE(TRIM('월 가계부'!C1211),",",""),"원","")," ",""),"−","-")))),"")</f>
        <v/>
      </c>
      <c r="CK1211">
        <f>IF(ISNUMBER(CI1211),IF(CI1211&lt;$B$13,CI1211,""),"")</f>
        <v/>
      </c>
      <c r="CM1211">
        <f>IF(CH1211="","",IFERROR(IF(IF(AND(LEN(CH1211)=9,ISERROR(FIND("-",LEFT(CH1211,8))),ISNUMBER(-LEFT(CH1211,8))),VALUE(LEFT(CH1211,4)),VALUE(LEFT(CH1211,FIND("-",CH1211)-1)))&lt;100,IF(AND(LEN(CH1211)=9,ISERROR(FIND("-",LEFT(CH1211,8))),ISNUMBER(-LEFT(CH1211,8))),VALUE(LEFT(CH1211,4)),VALUE(LEFT(CH1211,FIND("-",CH1211)-1)))+2000,IF(AND(LEN(CH1211)=9,ISERROR(FIND("-",LEFT(CH1211,8))),ISNUMBER(-LEFT(CH1211,8))),VALUE(LEFT(CH1211,4)),VALUE(LEFT(CH1211,FIND("-",CH1211)-1)))),""))</f>
        <v/>
      </c>
      <c r="CN1211">
        <f>IF(CH1211="","",IFERROR(IF(AND(LEN(CH1211)=9,ISERROR(FIND("-",LEFT(CH1211,8))),ISNUMBER(-LEFT(CH1211,8))),VALUE(MID(CH1211,5,2)),VALUE(MID(CH1211,FIND("-",CH1211)+1,FIND("-",CH1211,FIND("-",CH1211)+1)-FIND("-",CH1211)-1))),""))</f>
        <v/>
      </c>
      <c r="CO1211">
        <f>IF(CH1211="","",IFERROR(IF(AND(LEN(CH1211)=9,ISERROR(FIND("-",LEFT(CH1211,8))),ISNUMBER(-LEFT(CH1211,8))),VALUE(MID(CH1211,7,2)),VALUE(MID(CH1211,FIND("-",CH1211,FIND("-",CH1211)+1)+1,FIND("-",CH1211,FIND("-",CH1211,FIND("-",CH1211)+1)+1)-FIND("-",CH1211,FIND("-",CH1211)+1)-1))),""))</f>
        <v/>
      </c>
    </row>
    <row r="1212">
      <c r="CH1212">
        <f>IF(ISTEXT('월 가계부'!A1212),SUBSTITUTE(SUBSTITUTE(SUBSTITUTE(SUBSTITUTE(SUBSTITUTE(SUBSTITUTE(SUBSTITUTE(SUBSTITUTE(SUBSTITUTE(TRIM('월 가계부'!A1212),"년","-"),"월","-"),"일",""),".","-"),"/","-")," ","-"),"--","-"),"--","-"),"--","-")&amp;"-","")</f>
        <v/>
      </c>
      <c r="CI1212">
        <f>IFERROR(IF('월 가계부'!A1212="","",IF(ISNUMBER('월 가계부'!A1212),IF(AND('월 가계부'!A1212&gt;=19000101,'월 가계부'!A1212&lt;=21001231),IF(AND(MOD(INT('월 가계부'!A1212/100),100)&gt;=1,MOD(INT('월 가계부'!A1212/100),100)&lt;=12,MOD(INT('월 가계부'!A1212),100)&gt;=1,MOD(INT('월 가계부'!A1212),100)&lt;=31),IF(MONTH(DATE(INT('월 가계부'!A1212/10000),MOD(INT('월 가계부'!A1212/100),100),MOD(INT('월 가계부'!A1212),100)))=MOD(INT('월 가계부'!A1212/100),100),DATE(INT('월 가계부'!A1212/10000),MOD(INT('월 가계부'!A1212/100),100),MOD(INT('월 가계부'!A1212),100)),""),""),IF(AND('월 가계부'!A1212&gt;=36526,'월 가계부'!A1212&lt;73051),INT('월 가계부'!A1212),"")),IF(OR(CM1212="",CN1212="",CO1212=""),"",IF(AND(CM1212&gt;=2000,CM1212&lt;=2099,CN1212&gt;=1,CN1212&lt;=12,CO1212&gt;=1,CO1212&lt;=31),IF(MONTH(DATE(CM1212,CN1212,CO1212))=CN1212,DATE(CM1212,CN1212,CO1212),""),"")))),"")</f>
        <v/>
      </c>
      <c r="CJ1212">
        <f>IFERROR(IF('월 가계부'!C1212="","",IF(ISNUMBER('월 가계부'!C1212),'월 가계부'!C1212,VALUE(SUBSTITUTE(SUBSTITUTE(SUBSTITUTE(SUBSTITUTE(TRIM('월 가계부'!C1212),",",""),"원","")," ",""),"−","-")))),"")</f>
        <v/>
      </c>
      <c r="CK1212">
        <f>IF(ISNUMBER(CI1212),IF(CI1212&lt;$B$13,CI1212,""),"")</f>
        <v/>
      </c>
      <c r="CM1212">
        <f>IF(CH1212="","",IFERROR(IF(IF(AND(LEN(CH1212)=9,ISERROR(FIND("-",LEFT(CH1212,8))),ISNUMBER(-LEFT(CH1212,8))),VALUE(LEFT(CH1212,4)),VALUE(LEFT(CH1212,FIND("-",CH1212)-1)))&lt;100,IF(AND(LEN(CH1212)=9,ISERROR(FIND("-",LEFT(CH1212,8))),ISNUMBER(-LEFT(CH1212,8))),VALUE(LEFT(CH1212,4)),VALUE(LEFT(CH1212,FIND("-",CH1212)-1)))+2000,IF(AND(LEN(CH1212)=9,ISERROR(FIND("-",LEFT(CH1212,8))),ISNUMBER(-LEFT(CH1212,8))),VALUE(LEFT(CH1212,4)),VALUE(LEFT(CH1212,FIND("-",CH1212)-1)))),""))</f>
        <v/>
      </c>
      <c r="CN1212">
        <f>IF(CH1212="","",IFERROR(IF(AND(LEN(CH1212)=9,ISERROR(FIND("-",LEFT(CH1212,8))),ISNUMBER(-LEFT(CH1212,8))),VALUE(MID(CH1212,5,2)),VALUE(MID(CH1212,FIND("-",CH1212)+1,FIND("-",CH1212,FIND("-",CH1212)+1)-FIND("-",CH1212)-1))),""))</f>
        <v/>
      </c>
      <c r="CO1212">
        <f>IF(CH1212="","",IFERROR(IF(AND(LEN(CH1212)=9,ISERROR(FIND("-",LEFT(CH1212,8))),ISNUMBER(-LEFT(CH1212,8))),VALUE(MID(CH1212,7,2)),VALUE(MID(CH1212,FIND("-",CH1212,FIND("-",CH1212)+1)+1,FIND("-",CH1212,FIND("-",CH1212,FIND("-",CH1212)+1)+1)-FIND("-",CH1212,FIND("-",CH1212)+1)-1))),""))</f>
        <v/>
      </c>
    </row>
    <row r="1213">
      <c r="CH1213">
        <f>IF(ISTEXT('월 가계부'!A1213),SUBSTITUTE(SUBSTITUTE(SUBSTITUTE(SUBSTITUTE(SUBSTITUTE(SUBSTITUTE(SUBSTITUTE(SUBSTITUTE(SUBSTITUTE(TRIM('월 가계부'!A1213),"년","-"),"월","-"),"일",""),".","-"),"/","-")," ","-"),"--","-"),"--","-"),"--","-")&amp;"-","")</f>
        <v/>
      </c>
      <c r="CI1213">
        <f>IFERROR(IF('월 가계부'!A1213="","",IF(ISNUMBER('월 가계부'!A1213),IF(AND('월 가계부'!A1213&gt;=19000101,'월 가계부'!A1213&lt;=21001231),IF(AND(MOD(INT('월 가계부'!A1213/100),100)&gt;=1,MOD(INT('월 가계부'!A1213/100),100)&lt;=12,MOD(INT('월 가계부'!A1213),100)&gt;=1,MOD(INT('월 가계부'!A1213),100)&lt;=31),IF(MONTH(DATE(INT('월 가계부'!A1213/10000),MOD(INT('월 가계부'!A1213/100),100),MOD(INT('월 가계부'!A1213),100)))=MOD(INT('월 가계부'!A1213/100),100),DATE(INT('월 가계부'!A1213/10000),MOD(INT('월 가계부'!A1213/100),100),MOD(INT('월 가계부'!A1213),100)),""),""),IF(AND('월 가계부'!A1213&gt;=36526,'월 가계부'!A1213&lt;73051),INT('월 가계부'!A1213),"")),IF(OR(CM1213="",CN1213="",CO1213=""),"",IF(AND(CM1213&gt;=2000,CM1213&lt;=2099,CN1213&gt;=1,CN1213&lt;=12,CO1213&gt;=1,CO1213&lt;=31),IF(MONTH(DATE(CM1213,CN1213,CO1213))=CN1213,DATE(CM1213,CN1213,CO1213),""),"")))),"")</f>
        <v/>
      </c>
      <c r="CJ1213">
        <f>IFERROR(IF('월 가계부'!C1213="","",IF(ISNUMBER('월 가계부'!C1213),'월 가계부'!C1213,VALUE(SUBSTITUTE(SUBSTITUTE(SUBSTITUTE(SUBSTITUTE(TRIM('월 가계부'!C1213),",",""),"원","")," ",""),"−","-")))),"")</f>
        <v/>
      </c>
      <c r="CK1213">
        <f>IF(ISNUMBER(CI1213),IF(CI1213&lt;$B$13,CI1213,""),"")</f>
        <v/>
      </c>
      <c r="CM1213">
        <f>IF(CH1213="","",IFERROR(IF(IF(AND(LEN(CH1213)=9,ISERROR(FIND("-",LEFT(CH1213,8))),ISNUMBER(-LEFT(CH1213,8))),VALUE(LEFT(CH1213,4)),VALUE(LEFT(CH1213,FIND("-",CH1213)-1)))&lt;100,IF(AND(LEN(CH1213)=9,ISERROR(FIND("-",LEFT(CH1213,8))),ISNUMBER(-LEFT(CH1213,8))),VALUE(LEFT(CH1213,4)),VALUE(LEFT(CH1213,FIND("-",CH1213)-1)))+2000,IF(AND(LEN(CH1213)=9,ISERROR(FIND("-",LEFT(CH1213,8))),ISNUMBER(-LEFT(CH1213,8))),VALUE(LEFT(CH1213,4)),VALUE(LEFT(CH1213,FIND("-",CH1213)-1)))),""))</f>
        <v/>
      </c>
      <c r="CN1213">
        <f>IF(CH1213="","",IFERROR(IF(AND(LEN(CH1213)=9,ISERROR(FIND("-",LEFT(CH1213,8))),ISNUMBER(-LEFT(CH1213,8))),VALUE(MID(CH1213,5,2)),VALUE(MID(CH1213,FIND("-",CH1213)+1,FIND("-",CH1213,FIND("-",CH1213)+1)-FIND("-",CH1213)-1))),""))</f>
        <v/>
      </c>
      <c r="CO1213">
        <f>IF(CH1213="","",IFERROR(IF(AND(LEN(CH1213)=9,ISERROR(FIND("-",LEFT(CH1213,8))),ISNUMBER(-LEFT(CH1213,8))),VALUE(MID(CH1213,7,2)),VALUE(MID(CH1213,FIND("-",CH1213,FIND("-",CH1213)+1)+1,FIND("-",CH1213,FIND("-",CH1213,FIND("-",CH1213)+1)+1)-FIND("-",CH1213,FIND("-",CH1213)+1)-1))),""))</f>
        <v/>
      </c>
    </row>
    <row r="1214">
      <c r="CH1214">
        <f>IF(ISTEXT('월 가계부'!A1214),SUBSTITUTE(SUBSTITUTE(SUBSTITUTE(SUBSTITUTE(SUBSTITUTE(SUBSTITUTE(SUBSTITUTE(SUBSTITUTE(SUBSTITUTE(TRIM('월 가계부'!A1214),"년","-"),"월","-"),"일",""),".","-"),"/","-")," ","-"),"--","-"),"--","-"),"--","-")&amp;"-","")</f>
        <v/>
      </c>
      <c r="CI1214">
        <f>IFERROR(IF('월 가계부'!A1214="","",IF(ISNUMBER('월 가계부'!A1214),IF(AND('월 가계부'!A1214&gt;=19000101,'월 가계부'!A1214&lt;=21001231),IF(AND(MOD(INT('월 가계부'!A1214/100),100)&gt;=1,MOD(INT('월 가계부'!A1214/100),100)&lt;=12,MOD(INT('월 가계부'!A1214),100)&gt;=1,MOD(INT('월 가계부'!A1214),100)&lt;=31),IF(MONTH(DATE(INT('월 가계부'!A1214/10000),MOD(INT('월 가계부'!A1214/100),100),MOD(INT('월 가계부'!A1214),100)))=MOD(INT('월 가계부'!A1214/100),100),DATE(INT('월 가계부'!A1214/10000),MOD(INT('월 가계부'!A1214/100),100),MOD(INT('월 가계부'!A1214),100)),""),""),IF(AND('월 가계부'!A1214&gt;=36526,'월 가계부'!A1214&lt;73051),INT('월 가계부'!A1214),"")),IF(OR(CM1214="",CN1214="",CO1214=""),"",IF(AND(CM1214&gt;=2000,CM1214&lt;=2099,CN1214&gt;=1,CN1214&lt;=12,CO1214&gt;=1,CO1214&lt;=31),IF(MONTH(DATE(CM1214,CN1214,CO1214))=CN1214,DATE(CM1214,CN1214,CO1214),""),"")))),"")</f>
        <v/>
      </c>
      <c r="CJ1214">
        <f>IFERROR(IF('월 가계부'!C1214="","",IF(ISNUMBER('월 가계부'!C1214),'월 가계부'!C1214,VALUE(SUBSTITUTE(SUBSTITUTE(SUBSTITUTE(SUBSTITUTE(TRIM('월 가계부'!C1214),",",""),"원","")," ",""),"−","-")))),"")</f>
        <v/>
      </c>
      <c r="CK1214">
        <f>IF(ISNUMBER(CI1214),IF(CI1214&lt;$B$13,CI1214,""),"")</f>
        <v/>
      </c>
      <c r="CM1214">
        <f>IF(CH1214="","",IFERROR(IF(IF(AND(LEN(CH1214)=9,ISERROR(FIND("-",LEFT(CH1214,8))),ISNUMBER(-LEFT(CH1214,8))),VALUE(LEFT(CH1214,4)),VALUE(LEFT(CH1214,FIND("-",CH1214)-1)))&lt;100,IF(AND(LEN(CH1214)=9,ISERROR(FIND("-",LEFT(CH1214,8))),ISNUMBER(-LEFT(CH1214,8))),VALUE(LEFT(CH1214,4)),VALUE(LEFT(CH1214,FIND("-",CH1214)-1)))+2000,IF(AND(LEN(CH1214)=9,ISERROR(FIND("-",LEFT(CH1214,8))),ISNUMBER(-LEFT(CH1214,8))),VALUE(LEFT(CH1214,4)),VALUE(LEFT(CH1214,FIND("-",CH1214)-1)))),""))</f>
        <v/>
      </c>
      <c r="CN1214">
        <f>IF(CH1214="","",IFERROR(IF(AND(LEN(CH1214)=9,ISERROR(FIND("-",LEFT(CH1214,8))),ISNUMBER(-LEFT(CH1214,8))),VALUE(MID(CH1214,5,2)),VALUE(MID(CH1214,FIND("-",CH1214)+1,FIND("-",CH1214,FIND("-",CH1214)+1)-FIND("-",CH1214)-1))),""))</f>
        <v/>
      </c>
      <c r="CO1214">
        <f>IF(CH1214="","",IFERROR(IF(AND(LEN(CH1214)=9,ISERROR(FIND("-",LEFT(CH1214,8))),ISNUMBER(-LEFT(CH1214,8))),VALUE(MID(CH1214,7,2)),VALUE(MID(CH1214,FIND("-",CH1214,FIND("-",CH1214)+1)+1,FIND("-",CH1214,FIND("-",CH1214,FIND("-",CH1214)+1)+1)-FIND("-",CH1214,FIND("-",CH1214)+1)-1))),""))</f>
        <v/>
      </c>
    </row>
    <row r="1215">
      <c r="CH1215">
        <f>IF(ISTEXT('월 가계부'!A1215),SUBSTITUTE(SUBSTITUTE(SUBSTITUTE(SUBSTITUTE(SUBSTITUTE(SUBSTITUTE(SUBSTITUTE(SUBSTITUTE(SUBSTITUTE(TRIM('월 가계부'!A1215),"년","-"),"월","-"),"일",""),".","-"),"/","-")," ","-"),"--","-"),"--","-"),"--","-")&amp;"-","")</f>
        <v/>
      </c>
      <c r="CI1215">
        <f>IFERROR(IF('월 가계부'!A1215="","",IF(ISNUMBER('월 가계부'!A1215),IF(AND('월 가계부'!A1215&gt;=19000101,'월 가계부'!A1215&lt;=21001231),IF(AND(MOD(INT('월 가계부'!A1215/100),100)&gt;=1,MOD(INT('월 가계부'!A1215/100),100)&lt;=12,MOD(INT('월 가계부'!A1215),100)&gt;=1,MOD(INT('월 가계부'!A1215),100)&lt;=31),IF(MONTH(DATE(INT('월 가계부'!A1215/10000),MOD(INT('월 가계부'!A1215/100),100),MOD(INT('월 가계부'!A1215),100)))=MOD(INT('월 가계부'!A1215/100),100),DATE(INT('월 가계부'!A1215/10000),MOD(INT('월 가계부'!A1215/100),100),MOD(INT('월 가계부'!A1215),100)),""),""),IF(AND('월 가계부'!A1215&gt;=36526,'월 가계부'!A1215&lt;73051),INT('월 가계부'!A1215),"")),IF(OR(CM1215="",CN1215="",CO1215=""),"",IF(AND(CM1215&gt;=2000,CM1215&lt;=2099,CN1215&gt;=1,CN1215&lt;=12,CO1215&gt;=1,CO1215&lt;=31),IF(MONTH(DATE(CM1215,CN1215,CO1215))=CN1215,DATE(CM1215,CN1215,CO1215),""),"")))),"")</f>
        <v/>
      </c>
      <c r="CJ1215">
        <f>IFERROR(IF('월 가계부'!C1215="","",IF(ISNUMBER('월 가계부'!C1215),'월 가계부'!C1215,VALUE(SUBSTITUTE(SUBSTITUTE(SUBSTITUTE(SUBSTITUTE(TRIM('월 가계부'!C1215),",",""),"원","")," ",""),"−","-")))),"")</f>
        <v/>
      </c>
      <c r="CK1215">
        <f>IF(ISNUMBER(CI1215),IF(CI1215&lt;$B$13,CI1215,""),"")</f>
        <v/>
      </c>
      <c r="CM1215">
        <f>IF(CH1215="","",IFERROR(IF(IF(AND(LEN(CH1215)=9,ISERROR(FIND("-",LEFT(CH1215,8))),ISNUMBER(-LEFT(CH1215,8))),VALUE(LEFT(CH1215,4)),VALUE(LEFT(CH1215,FIND("-",CH1215)-1)))&lt;100,IF(AND(LEN(CH1215)=9,ISERROR(FIND("-",LEFT(CH1215,8))),ISNUMBER(-LEFT(CH1215,8))),VALUE(LEFT(CH1215,4)),VALUE(LEFT(CH1215,FIND("-",CH1215)-1)))+2000,IF(AND(LEN(CH1215)=9,ISERROR(FIND("-",LEFT(CH1215,8))),ISNUMBER(-LEFT(CH1215,8))),VALUE(LEFT(CH1215,4)),VALUE(LEFT(CH1215,FIND("-",CH1215)-1)))),""))</f>
        <v/>
      </c>
      <c r="CN1215">
        <f>IF(CH1215="","",IFERROR(IF(AND(LEN(CH1215)=9,ISERROR(FIND("-",LEFT(CH1215,8))),ISNUMBER(-LEFT(CH1215,8))),VALUE(MID(CH1215,5,2)),VALUE(MID(CH1215,FIND("-",CH1215)+1,FIND("-",CH1215,FIND("-",CH1215)+1)-FIND("-",CH1215)-1))),""))</f>
        <v/>
      </c>
      <c r="CO1215">
        <f>IF(CH1215="","",IFERROR(IF(AND(LEN(CH1215)=9,ISERROR(FIND("-",LEFT(CH1215,8))),ISNUMBER(-LEFT(CH1215,8))),VALUE(MID(CH1215,7,2)),VALUE(MID(CH1215,FIND("-",CH1215,FIND("-",CH1215)+1)+1,FIND("-",CH1215,FIND("-",CH1215,FIND("-",CH1215)+1)+1)-FIND("-",CH1215,FIND("-",CH1215)+1)-1))),""))</f>
        <v/>
      </c>
    </row>
    <row r="1216">
      <c r="CH1216">
        <f>IF(ISTEXT('월 가계부'!A1216),SUBSTITUTE(SUBSTITUTE(SUBSTITUTE(SUBSTITUTE(SUBSTITUTE(SUBSTITUTE(SUBSTITUTE(SUBSTITUTE(SUBSTITUTE(TRIM('월 가계부'!A1216),"년","-"),"월","-"),"일",""),".","-"),"/","-")," ","-"),"--","-"),"--","-"),"--","-")&amp;"-","")</f>
        <v/>
      </c>
      <c r="CI1216">
        <f>IFERROR(IF('월 가계부'!A1216="","",IF(ISNUMBER('월 가계부'!A1216),IF(AND('월 가계부'!A1216&gt;=19000101,'월 가계부'!A1216&lt;=21001231),IF(AND(MOD(INT('월 가계부'!A1216/100),100)&gt;=1,MOD(INT('월 가계부'!A1216/100),100)&lt;=12,MOD(INT('월 가계부'!A1216),100)&gt;=1,MOD(INT('월 가계부'!A1216),100)&lt;=31),IF(MONTH(DATE(INT('월 가계부'!A1216/10000),MOD(INT('월 가계부'!A1216/100),100),MOD(INT('월 가계부'!A1216),100)))=MOD(INT('월 가계부'!A1216/100),100),DATE(INT('월 가계부'!A1216/10000),MOD(INT('월 가계부'!A1216/100),100),MOD(INT('월 가계부'!A1216),100)),""),""),IF(AND('월 가계부'!A1216&gt;=36526,'월 가계부'!A1216&lt;73051),INT('월 가계부'!A1216),"")),IF(OR(CM1216="",CN1216="",CO1216=""),"",IF(AND(CM1216&gt;=2000,CM1216&lt;=2099,CN1216&gt;=1,CN1216&lt;=12,CO1216&gt;=1,CO1216&lt;=31),IF(MONTH(DATE(CM1216,CN1216,CO1216))=CN1216,DATE(CM1216,CN1216,CO1216),""),"")))),"")</f>
        <v/>
      </c>
      <c r="CJ1216">
        <f>IFERROR(IF('월 가계부'!C1216="","",IF(ISNUMBER('월 가계부'!C1216),'월 가계부'!C1216,VALUE(SUBSTITUTE(SUBSTITUTE(SUBSTITUTE(SUBSTITUTE(TRIM('월 가계부'!C1216),",",""),"원","")," ",""),"−","-")))),"")</f>
        <v/>
      </c>
      <c r="CK1216">
        <f>IF(ISNUMBER(CI1216),IF(CI1216&lt;$B$13,CI1216,""),"")</f>
        <v/>
      </c>
      <c r="CM1216">
        <f>IF(CH1216="","",IFERROR(IF(IF(AND(LEN(CH1216)=9,ISERROR(FIND("-",LEFT(CH1216,8))),ISNUMBER(-LEFT(CH1216,8))),VALUE(LEFT(CH1216,4)),VALUE(LEFT(CH1216,FIND("-",CH1216)-1)))&lt;100,IF(AND(LEN(CH1216)=9,ISERROR(FIND("-",LEFT(CH1216,8))),ISNUMBER(-LEFT(CH1216,8))),VALUE(LEFT(CH1216,4)),VALUE(LEFT(CH1216,FIND("-",CH1216)-1)))+2000,IF(AND(LEN(CH1216)=9,ISERROR(FIND("-",LEFT(CH1216,8))),ISNUMBER(-LEFT(CH1216,8))),VALUE(LEFT(CH1216,4)),VALUE(LEFT(CH1216,FIND("-",CH1216)-1)))),""))</f>
        <v/>
      </c>
      <c r="CN1216">
        <f>IF(CH1216="","",IFERROR(IF(AND(LEN(CH1216)=9,ISERROR(FIND("-",LEFT(CH1216,8))),ISNUMBER(-LEFT(CH1216,8))),VALUE(MID(CH1216,5,2)),VALUE(MID(CH1216,FIND("-",CH1216)+1,FIND("-",CH1216,FIND("-",CH1216)+1)-FIND("-",CH1216)-1))),""))</f>
        <v/>
      </c>
      <c r="CO1216">
        <f>IF(CH1216="","",IFERROR(IF(AND(LEN(CH1216)=9,ISERROR(FIND("-",LEFT(CH1216,8))),ISNUMBER(-LEFT(CH1216,8))),VALUE(MID(CH1216,7,2)),VALUE(MID(CH1216,FIND("-",CH1216,FIND("-",CH1216)+1)+1,FIND("-",CH1216,FIND("-",CH1216,FIND("-",CH1216)+1)+1)-FIND("-",CH1216,FIND("-",CH1216)+1)-1))),""))</f>
        <v/>
      </c>
    </row>
    <row r="1217">
      <c r="CH1217">
        <f>IF(ISTEXT('월 가계부'!A1217),SUBSTITUTE(SUBSTITUTE(SUBSTITUTE(SUBSTITUTE(SUBSTITUTE(SUBSTITUTE(SUBSTITUTE(SUBSTITUTE(SUBSTITUTE(TRIM('월 가계부'!A1217),"년","-"),"월","-"),"일",""),".","-"),"/","-")," ","-"),"--","-"),"--","-"),"--","-")&amp;"-","")</f>
        <v/>
      </c>
      <c r="CI1217">
        <f>IFERROR(IF('월 가계부'!A1217="","",IF(ISNUMBER('월 가계부'!A1217),IF(AND('월 가계부'!A1217&gt;=19000101,'월 가계부'!A1217&lt;=21001231),IF(AND(MOD(INT('월 가계부'!A1217/100),100)&gt;=1,MOD(INT('월 가계부'!A1217/100),100)&lt;=12,MOD(INT('월 가계부'!A1217),100)&gt;=1,MOD(INT('월 가계부'!A1217),100)&lt;=31),IF(MONTH(DATE(INT('월 가계부'!A1217/10000),MOD(INT('월 가계부'!A1217/100),100),MOD(INT('월 가계부'!A1217),100)))=MOD(INT('월 가계부'!A1217/100),100),DATE(INT('월 가계부'!A1217/10000),MOD(INT('월 가계부'!A1217/100),100),MOD(INT('월 가계부'!A1217),100)),""),""),IF(AND('월 가계부'!A1217&gt;=36526,'월 가계부'!A1217&lt;73051),INT('월 가계부'!A1217),"")),IF(OR(CM1217="",CN1217="",CO1217=""),"",IF(AND(CM1217&gt;=2000,CM1217&lt;=2099,CN1217&gt;=1,CN1217&lt;=12,CO1217&gt;=1,CO1217&lt;=31),IF(MONTH(DATE(CM1217,CN1217,CO1217))=CN1217,DATE(CM1217,CN1217,CO1217),""),"")))),"")</f>
        <v/>
      </c>
      <c r="CJ1217">
        <f>IFERROR(IF('월 가계부'!C1217="","",IF(ISNUMBER('월 가계부'!C1217),'월 가계부'!C1217,VALUE(SUBSTITUTE(SUBSTITUTE(SUBSTITUTE(SUBSTITUTE(TRIM('월 가계부'!C1217),",",""),"원","")," ",""),"−","-")))),"")</f>
        <v/>
      </c>
      <c r="CK1217">
        <f>IF(ISNUMBER(CI1217),IF(CI1217&lt;$B$13,CI1217,""),"")</f>
        <v/>
      </c>
      <c r="CM1217">
        <f>IF(CH1217="","",IFERROR(IF(IF(AND(LEN(CH1217)=9,ISERROR(FIND("-",LEFT(CH1217,8))),ISNUMBER(-LEFT(CH1217,8))),VALUE(LEFT(CH1217,4)),VALUE(LEFT(CH1217,FIND("-",CH1217)-1)))&lt;100,IF(AND(LEN(CH1217)=9,ISERROR(FIND("-",LEFT(CH1217,8))),ISNUMBER(-LEFT(CH1217,8))),VALUE(LEFT(CH1217,4)),VALUE(LEFT(CH1217,FIND("-",CH1217)-1)))+2000,IF(AND(LEN(CH1217)=9,ISERROR(FIND("-",LEFT(CH1217,8))),ISNUMBER(-LEFT(CH1217,8))),VALUE(LEFT(CH1217,4)),VALUE(LEFT(CH1217,FIND("-",CH1217)-1)))),""))</f>
        <v/>
      </c>
      <c r="CN1217">
        <f>IF(CH1217="","",IFERROR(IF(AND(LEN(CH1217)=9,ISERROR(FIND("-",LEFT(CH1217,8))),ISNUMBER(-LEFT(CH1217,8))),VALUE(MID(CH1217,5,2)),VALUE(MID(CH1217,FIND("-",CH1217)+1,FIND("-",CH1217,FIND("-",CH1217)+1)-FIND("-",CH1217)-1))),""))</f>
        <v/>
      </c>
      <c r="CO1217">
        <f>IF(CH1217="","",IFERROR(IF(AND(LEN(CH1217)=9,ISERROR(FIND("-",LEFT(CH1217,8))),ISNUMBER(-LEFT(CH1217,8))),VALUE(MID(CH1217,7,2)),VALUE(MID(CH1217,FIND("-",CH1217,FIND("-",CH1217)+1)+1,FIND("-",CH1217,FIND("-",CH1217,FIND("-",CH1217)+1)+1)-FIND("-",CH1217,FIND("-",CH1217)+1)-1))),""))</f>
        <v/>
      </c>
    </row>
    <row r="1218">
      <c r="CH1218">
        <f>IF(ISTEXT('월 가계부'!A1218),SUBSTITUTE(SUBSTITUTE(SUBSTITUTE(SUBSTITUTE(SUBSTITUTE(SUBSTITUTE(SUBSTITUTE(SUBSTITUTE(SUBSTITUTE(TRIM('월 가계부'!A1218),"년","-"),"월","-"),"일",""),".","-"),"/","-")," ","-"),"--","-"),"--","-"),"--","-")&amp;"-","")</f>
        <v/>
      </c>
      <c r="CI1218">
        <f>IFERROR(IF('월 가계부'!A1218="","",IF(ISNUMBER('월 가계부'!A1218),IF(AND('월 가계부'!A1218&gt;=19000101,'월 가계부'!A1218&lt;=21001231),IF(AND(MOD(INT('월 가계부'!A1218/100),100)&gt;=1,MOD(INT('월 가계부'!A1218/100),100)&lt;=12,MOD(INT('월 가계부'!A1218),100)&gt;=1,MOD(INT('월 가계부'!A1218),100)&lt;=31),IF(MONTH(DATE(INT('월 가계부'!A1218/10000),MOD(INT('월 가계부'!A1218/100),100),MOD(INT('월 가계부'!A1218),100)))=MOD(INT('월 가계부'!A1218/100),100),DATE(INT('월 가계부'!A1218/10000),MOD(INT('월 가계부'!A1218/100),100),MOD(INT('월 가계부'!A1218),100)),""),""),IF(AND('월 가계부'!A1218&gt;=36526,'월 가계부'!A1218&lt;73051),INT('월 가계부'!A1218),"")),IF(OR(CM1218="",CN1218="",CO1218=""),"",IF(AND(CM1218&gt;=2000,CM1218&lt;=2099,CN1218&gt;=1,CN1218&lt;=12,CO1218&gt;=1,CO1218&lt;=31),IF(MONTH(DATE(CM1218,CN1218,CO1218))=CN1218,DATE(CM1218,CN1218,CO1218),""),"")))),"")</f>
        <v/>
      </c>
      <c r="CJ1218">
        <f>IFERROR(IF('월 가계부'!C1218="","",IF(ISNUMBER('월 가계부'!C1218),'월 가계부'!C1218,VALUE(SUBSTITUTE(SUBSTITUTE(SUBSTITUTE(SUBSTITUTE(TRIM('월 가계부'!C1218),",",""),"원","")," ",""),"−","-")))),"")</f>
        <v/>
      </c>
      <c r="CK1218">
        <f>IF(ISNUMBER(CI1218),IF(CI1218&lt;$B$13,CI1218,""),"")</f>
        <v/>
      </c>
      <c r="CM1218">
        <f>IF(CH1218="","",IFERROR(IF(IF(AND(LEN(CH1218)=9,ISERROR(FIND("-",LEFT(CH1218,8))),ISNUMBER(-LEFT(CH1218,8))),VALUE(LEFT(CH1218,4)),VALUE(LEFT(CH1218,FIND("-",CH1218)-1)))&lt;100,IF(AND(LEN(CH1218)=9,ISERROR(FIND("-",LEFT(CH1218,8))),ISNUMBER(-LEFT(CH1218,8))),VALUE(LEFT(CH1218,4)),VALUE(LEFT(CH1218,FIND("-",CH1218)-1)))+2000,IF(AND(LEN(CH1218)=9,ISERROR(FIND("-",LEFT(CH1218,8))),ISNUMBER(-LEFT(CH1218,8))),VALUE(LEFT(CH1218,4)),VALUE(LEFT(CH1218,FIND("-",CH1218)-1)))),""))</f>
        <v/>
      </c>
      <c r="CN1218">
        <f>IF(CH1218="","",IFERROR(IF(AND(LEN(CH1218)=9,ISERROR(FIND("-",LEFT(CH1218,8))),ISNUMBER(-LEFT(CH1218,8))),VALUE(MID(CH1218,5,2)),VALUE(MID(CH1218,FIND("-",CH1218)+1,FIND("-",CH1218,FIND("-",CH1218)+1)-FIND("-",CH1218)-1))),""))</f>
        <v/>
      </c>
      <c r="CO1218">
        <f>IF(CH1218="","",IFERROR(IF(AND(LEN(CH1218)=9,ISERROR(FIND("-",LEFT(CH1218,8))),ISNUMBER(-LEFT(CH1218,8))),VALUE(MID(CH1218,7,2)),VALUE(MID(CH1218,FIND("-",CH1218,FIND("-",CH1218)+1)+1,FIND("-",CH1218,FIND("-",CH1218,FIND("-",CH1218)+1)+1)-FIND("-",CH1218,FIND("-",CH1218)+1)-1))),""))</f>
        <v/>
      </c>
    </row>
    <row r="1219">
      <c r="CH1219">
        <f>IF(ISTEXT('월 가계부'!A1219),SUBSTITUTE(SUBSTITUTE(SUBSTITUTE(SUBSTITUTE(SUBSTITUTE(SUBSTITUTE(SUBSTITUTE(SUBSTITUTE(SUBSTITUTE(TRIM('월 가계부'!A1219),"년","-"),"월","-"),"일",""),".","-"),"/","-")," ","-"),"--","-"),"--","-"),"--","-")&amp;"-","")</f>
        <v/>
      </c>
      <c r="CI1219">
        <f>IFERROR(IF('월 가계부'!A1219="","",IF(ISNUMBER('월 가계부'!A1219),IF(AND('월 가계부'!A1219&gt;=19000101,'월 가계부'!A1219&lt;=21001231),IF(AND(MOD(INT('월 가계부'!A1219/100),100)&gt;=1,MOD(INT('월 가계부'!A1219/100),100)&lt;=12,MOD(INT('월 가계부'!A1219),100)&gt;=1,MOD(INT('월 가계부'!A1219),100)&lt;=31),IF(MONTH(DATE(INT('월 가계부'!A1219/10000),MOD(INT('월 가계부'!A1219/100),100),MOD(INT('월 가계부'!A1219),100)))=MOD(INT('월 가계부'!A1219/100),100),DATE(INT('월 가계부'!A1219/10000),MOD(INT('월 가계부'!A1219/100),100),MOD(INT('월 가계부'!A1219),100)),""),""),IF(AND('월 가계부'!A1219&gt;=36526,'월 가계부'!A1219&lt;73051),INT('월 가계부'!A1219),"")),IF(OR(CM1219="",CN1219="",CO1219=""),"",IF(AND(CM1219&gt;=2000,CM1219&lt;=2099,CN1219&gt;=1,CN1219&lt;=12,CO1219&gt;=1,CO1219&lt;=31),IF(MONTH(DATE(CM1219,CN1219,CO1219))=CN1219,DATE(CM1219,CN1219,CO1219),""),"")))),"")</f>
        <v/>
      </c>
      <c r="CJ1219">
        <f>IFERROR(IF('월 가계부'!C1219="","",IF(ISNUMBER('월 가계부'!C1219),'월 가계부'!C1219,VALUE(SUBSTITUTE(SUBSTITUTE(SUBSTITUTE(SUBSTITUTE(TRIM('월 가계부'!C1219),",",""),"원","")," ",""),"−","-")))),"")</f>
        <v/>
      </c>
      <c r="CK1219">
        <f>IF(ISNUMBER(CI1219),IF(CI1219&lt;$B$13,CI1219,""),"")</f>
        <v/>
      </c>
      <c r="CM1219">
        <f>IF(CH1219="","",IFERROR(IF(IF(AND(LEN(CH1219)=9,ISERROR(FIND("-",LEFT(CH1219,8))),ISNUMBER(-LEFT(CH1219,8))),VALUE(LEFT(CH1219,4)),VALUE(LEFT(CH1219,FIND("-",CH1219)-1)))&lt;100,IF(AND(LEN(CH1219)=9,ISERROR(FIND("-",LEFT(CH1219,8))),ISNUMBER(-LEFT(CH1219,8))),VALUE(LEFT(CH1219,4)),VALUE(LEFT(CH1219,FIND("-",CH1219)-1)))+2000,IF(AND(LEN(CH1219)=9,ISERROR(FIND("-",LEFT(CH1219,8))),ISNUMBER(-LEFT(CH1219,8))),VALUE(LEFT(CH1219,4)),VALUE(LEFT(CH1219,FIND("-",CH1219)-1)))),""))</f>
        <v/>
      </c>
      <c r="CN1219">
        <f>IF(CH1219="","",IFERROR(IF(AND(LEN(CH1219)=9,ISERROR(FIND("-",LEFT(CH1219,8))),ISNUMBER(-LEFT(CH1219,8))),VALUE(MID(CH1219,5,2)),VALUE(MID(CH1219,FIND("-",CH1219)+1,FIND("-",CH1219,FIND("-",CH1219)+1)-FIND("-",CH1219)-1))),""))</f>
        <v/>
      </c>
      <c r="CO1219">
        <f>IF(CH1219="","",IFERROR(IF(AND(LEN(CH1219)=9,ISERROR(FIND("-",LEFT(CH1219,8))),ISNUMBER(-LEFT(CH1219,8))),VALUE(MID(CH1219,7,2)),VALUE(MID(CH1219,FIND("-",CH1219,FIND("-",CH1219)+1)+1,FIND("-",CH1219,FIND("-",CH1219,FIND("-",CH1219)+1)+1)-FIND("-",CH1219,FIND("-",CH1219)+1)-1))),""))</f>
        <v/>
      </c>
    </row>
    <row r="1220">
      <c r="CH1220">
        <f>IF(ISTEXT('월 가계부'!A1220),SUBSTITUTE(SUBSTITUTE(SUBSTITUTE(SUBSTITUTE(SUBSTITUTE(SUBSTITUTE(SUBSTITUTE(SUBSTITUTE(SUBSTITUTE(TRIM('월 가계부'!A1220),"년","-"),"월","-"),"일",""),".","-"),"/","-")," ","-"),"--","-"),"--","-"),"--","-")&amp;"-","")</f>
        <v/>
      </c>
      <c r="CI1220">
        <f>IFERROR(IF('월 가계부'!A1220="","",IF(ISNUMBER('월 가계부'!A1220),IF(AND('월 가계부'!A1220&gt;=19000101,'월 가계부'!A1220&lt;=21001231),IF(AND(MOD(INT('월 가계부'!A1220/100),100)&gt;=1,MOD(INT('월 가계부'!A1220/100),100)&lt;=12,MOD(INT('월 가계부'!A1220),100)&gt;=1,MOD(INT('월 가계부'!A1220),100)&lt;=31),IF(MONTH(DATE(INT('월 가계부'!A1220/10000),MOD(INT('월 가계부'!A1220/100),100),MOD(INT('월 가계부'!A1220),100)))=MOD(INT('월 가계부'!A1220/100),100),DATE(INT('월 가계부'!A1220/10000),MOD(INT('월 가계부'!A1220/100),100),MOD(INT('월 가계부'!A1220),100)),""),""),IF(AND('월 가계부'!A1220&gt;=36526,'월 가계부'!A1220&lt;73051),INT('월 가계부'!A1220),"")),IF(OR(CM1220="",CN1220="",CO1220=""),"",IF(AND(CM1220&gt;=2000,CM1220&lt;=2099,CN1220&gt;=1,CN1220&lt;=12,CO1220&gt;=1,CO1220&lt;=31),IF(MONTH(DATE(CM1220,CN1220,CO1220))=CN1220,DATE(CM1220,CN1220,CO1220),""),"")))),"")</f>
        <v/>
      </c>
      <c r="CJ1220">
        <f>IFERROR(IF('월 가계부'!C1220="","",IF(ISNUMBER('월 가계부'!C1220),'월 가계부'!C1220,VALUE(SUBSTITUTE(SUBSTITUTE(SUBSTITUTE(SUBSTITUTE(TRIM('월 가계부'!C1220),",",""),"원","")," ",""),"−","-")))),"")</f>
        <v/>
      </c>
      <c r="CK1220">
        <f>IF(ISNUMBER(CI1220),IF(CI1220&lt;$B$13,CI1220,""),"")</f>
        <v/>
      </c>
      <c r="CM1220">
        <f>IF(CH1220="","",IFERROR(IF(IF(AND(LEN(CH1220)=9,ISERROR(FIND("-",LEFT(CH1220,8))),ISNUMBER(-LEFT(CH1220,8))),VALUE(LEFT(CH1220,4)),VALUE(LEFT(CH1220,FIND("-",CH1220)-1)))&lt;100,IF(AND(LEN(CH1220)=9,ISERROR(FIND("-",LEFT(CH1220,8))),ISNUMBER(-LEFT(CH1220,8))),VALUE(LEFT(CH1220,4)),VALUE(LEFT(CH1220,FIND("-",CH1220)-1)))+2000,IF(AND(LEN(CH1220)=9,ISERROR(FIND("-",LEFT(CH1220,8))),ISNUMBER(-LEFT(CH1220,8))),VALUE(LEFT(CH1220,4)),VALUE(LEFT(CH1220,FIND("-",CH1220)-1)))),""))</f>
        <v/>
      </c>
      <c r="CN1220">
        <f>IF(CH1220="","",IFERROR(IF(AND(LEN(CH1220)=9,ISERROR(FIND("-",LEFT(CH1220,8))),ISNUMBER(-LEFT(CH1220,8))),VALUE(MID(CH1220,5,2)),VALUE(MID(CH1220,FIND("-",CH1220)+1,FIND("-",CH1220,FIND("-",CH1220)+1)-FIND("-",CH1220)-1))),""))</f>
        <v/>
      </c>
      <c r="CO1220">
        <f>IF(CH1220="","",IFERROR(IF(AND(LEN(CH1220)=9,ISERROR(FIND("-",LEFT(CH1220,8))),ISNUMBER(-LEFT(CH1220,8))),VALUE(MID(CH1220,7,2)),VALUE(MID(CH1220,FIND("-",CH1220,FIND("-",CH1220)+1)+1,FIND("-",CH1220,FIND("-",CH1220,FIND("-",CH1220)+1)+1)-FIND("-",CH1220,FIND("-",CH1220)+1)-1))),""))</f>
        <v/>
      </c>
    </row>
    <row r="1221">
      <c r="CH1221">
        <f>IF(ISTEXT('월 가계부'!A1221),SUBSTITUTE(SUBSTITUTE(SUBSTITUTE(SUBSTITUTE(SUBSTITUTE(SUBSTITUTE(SUBSTITUTE(SUBSTITUTE(SUBSTITUTE(TRIM('월 가계부'!A1221),"년","-"),"월","-"),"일",""),".","-"),"/","-")," ","-"),"--","-"),"--","-"),"--","-")&amp;"-","")</f>
        <v/>
      </c>
      <c r="CI1221">
        <f>IFERROR(IF('월 가계부'!A1221="","",IF(ISNUMBER('월 가계부'!A1221),IF(AND('월 가계부'!A1221&gt;=19000101,'월 가계부'!A1221&lt;=21001231),IF(AND(MOD(INT('월 가계부'!A1221/100),100)&gt;=1,MOD(INT('월 가계부'!A1221/100),100)&lt;=12,MOD(INT('월 가계부'!A1221),100)&gt;=1,MOD(INT('월 가계부'!A1221),100)&lt;=31),IF(MONTH(DATE(INT('월 가계부'!A1221/10000),MOD(INT('월 가계부'!A1221/100),100),MOD(INT('월 가계부'!A1221),100)))=MOD(INT('월 가계부'!A1221/100),100),DATE(INT('월 가계부'!A1221/10000),MOD(INT('월 가계부'!A1221/100),100),MOD(INT('월 가계부'!A1221),100)),""),""),IF(AND('월 가계부'!A1221&gt;=36526,'월 가계부'!A1221&lt;73051),INT('월 가계부'!A1221),"")),IF(OR(CM1221="",CN1221="",CO1221=""),"",IF(AND(CM1221&gt;=2000,CM1221&lt;=2099,CN1221&gt;=1,CN1221&lt;=12,CO1221&gt;=1,CO1221&lt;=31),IF(MONTH(DATE(CM1221,CN1221,CO1221))=CN1221,DATE(CM1221,CN1221,CO1221),""),"")))),"")</f>
        <v/>
      </c>
      <c r="CJ1221">
        <f>IFERROR(IF('월 가계부'!C1221="","",IF(ISNUMBER('월 가계부'!C1221),'월 가계부'!C1221,VALUE(SUBSTITUTE(SUBSTITUTE(SUBSTITUTE(SUBSTITUTE(TRIM('월 가계부'!C1221),",",""),"원","")," ",""),"−","-")))),"")</f>
        <v/>
      </c>
      <c r="CK1221">
        <f>IF(ISNUMBER(CI1221),IF(CI1221&lt;$B$13,CI1221,""),"")</f>
        <v/>
      </c>
      <c r="CM1221">
        <f>IF(CH1221="","",IFERROR(IF(IF(AND(LEN(CH1221)=9,ISERROR(FIND("-",LEFT(CH1221,8))),ISNUMBER(-LEFT(CH1221,8))),VALUE(LEFT(CH1221,4)),VALUE(LEFT(CH1221,FIND("-",CH1221)-1)))&lt;100,IF(AND(LEN(CH1221)=9,ISERROR(FIND("-",LEFT(CH1221,8))),ISNUMBER(-LEFT(CH1221,8))),VALUE(LEFT(CH1221,4)),VALUE(LEFT(CH1221,FIND("-",CH1221)-1)))+2000,IF(AND(LEN(CH1221)=9,ISERROR(FIND("-",LEFT(CH1221,8))),ISNUMBER(-LEFT(CH1221,8))),VALUE(LEFT(CH1221,4)),VALUE(LEFT(CH1221,FIND("-",CH1221)-1)))),""))</f>
        <v/>
      </c>
      <c r="CN1221">
        <f>IF(CH1221="","",IFERROR(IF(AND(LEN(CH1221)=9,ISERROR(FIND("-",LEFT(CH1221,8))),ISNUMBER(-LEFT(CH1221,8))),VALUE(MID(CH1221,5,2)),VALUE(MID(CH1221,FIND("-",CH1221)+1,FIND("-",CH1221,FIND("-",CH1221)+1)-FIND("-",CH1221)-1))),""))</f>
        <v/>
      </c>
      <c r="CO1221">
        <f>IF(CH1221="","",IFERROR(IF(AND(LEN(CH1221)=9,ISERROR(FIND("-",LEFT(CH1221,8))),ISNUMBER(-LEFT(CH1221,8))),VALUE(MID(CH1221,7,2)),VALUE(MID(CH1221,FIND("-",CH1221,FIND("-",CH1221)+1)+1,FIND("-",CH1221,FIND("-",CH1221,FIND("-",CH1221)+1)+1)-FIND("-",CH1221,FIND("-",CH1221)+1)-1))),""))</f>
        <v/>
      </c>
    </row>
    <row r="1222">
      <c r="CH1222">
        <f>IF(ISTEXT('월 가계부'!A1222),SUBSTITUTE(SUBSTITUTE(SUBSTITUTE(SUBSTITUTE(SUBSTITUTE(SUBSTITUTE(SUBSTITUTE(SUBSTITUTE(SUBSTITUTE(TRIM('월 가계부'!A1222),"년","-"),"월","-"),"일",""),".","-"),"/","-")," ","-"),"--","-"),"--","-"),"--","-")&amp;"-","")</f>
        <v/>
      </c>
      <c r="CI1222">
        <f>IFERROR(IF('월 가계부'!A1222="","",IF(ISNUMBER('월 가계부'!A1222),IF(AND('월 가계부'!A1222&gt;=19000101,'월 가계부'!A1222&lt;=21001231),IF(AND(MOD(INT('월 가계부'!A1222/100),100)&gt;=1,MOD(INT('월 가계부'!A1222/100),100)&lt;=12,MOD(INT('월 가계부'!A1222),100)&gt;=1,MOD(INT('월 가계부'!A1222),100)&lt;=31),IF(MONTH(DATE(INT('월 가계부'!A1222/10000),MOD(INT('월 가계부'!A1222/100),100),MOD(INT('월 가계부'!A1222),100)))=MOD(INT('월 가계부'!A1222/100),100),DATE(INT('월 가계부'!A1222/10000),MOD(INT('월 가계부'!A1222/100),100),MOD(INT('월 가계부'!A1222),100)),""),""),IF(AND('월 가계부'!A1222&gt;=36526,'월 가계부'!A1222&lt;73051),INT('월 가계부'!A1222),"")),IF(OR(CM1222="",CN1222="",CO1222=""),"",IF(AND(CM1222&gt;=2000,CM1222&lt;=2099,CN1222&gt;=1,CN1222&lt;=12,CO1222&gt;=1,CO1222&lt;=31),IF(MONTH(DATE(CM1222,CN1222,CO1222))=CN1222,DATE(CM1222,CN1222,CO1222),""),"")))),"")</f>
        <v/>
      </c>
      <c r="CJ1222">
        <f>IFERROR(IF('월 가계부'!C1222="","",IF(ISNUMBER('월 가계부'!C1222),'월 가계부'!C1222,VALUE(SUBSTITUTE(SUBSTITUTE(SUBSTITUTE(SUBSTITUTE(TRIM('월 가계부'!C1222),",",""),"원","")," ",""),"−","-")))),"")</f>
        <v/>
      </c>
      <c r="CK1222">
        <f>IF(ISNUMBER(CI1222),IF(CI1222&lt;$B$13,CI1222,""),"")</f>
        <v/>
      </c>
      <c r="CM1222">
        <f>IF(CH1222="","",IFERROR(IF(IF(AND(LEN(CH1222)=9,ISERROR(FIND("-",LEFT(CH1222,8))),ISNUMBER(-LEFT(CH1222,8))),VALUE(LEFT(CH1222,4)),VALUE(LEFT(CH1222,FIND("-",CH1222)-1)))&lt;100,IF(AND(LEN(CH1222)=9,ISERROR(FIND("-",LEFT(CH1222,8))),ISNUMBER(-LEFT(CH1222,8))),VALUE(LEFT(CH1222,4)),VALUE(LEFT(CH1222,FIND("-",CH1222)-1)))+2000,IF(AND(LEN(CH1222)=9,ISERROR(FIND("-",LEFT(CH1222,8))),ISNUMBER(-LEFT(CH1222,8))),VALUE(LEFT(CH1222,4)),VALUE(LEFT(CH1222,FIND("-",CH1222)-1)))),""))</f>
        <v/>
      </c>
      <c r="CN1222">
        <f>IF(CH1222="","",IFERROR(IF(AND(LEN(CH1222)=9,ISERROR(FIND("-",LEFT(CH1222,8))),ISNUMBER(-LEFT(CH1222,8))),VALUE(MID(CH1222,5,2)),VALUE(MID(CH1222,FIND("-",CH1222)+1,FIND("-",CH1222,FIND("-",CH1222)+1)-FIND("-",CH1222)-1))),""))</f>
        <v/>
      </c>
      <c r="CO1222">
        <f>IF(CH1222="","",IFERROR(IF(AND(LEN(CH1222)=9,ISERROR(FIND("-",LEFT(CH1222,8))),ISNUMBER(-LEFT(CH1222,8))),VALUE(MID(CH1222,7,2)),VALUE(MID(CH1222,FIND("-",CH1222,FIND("-",CH1222)+1)+1,FIND("-",CH1222,FIND("-",CH1222,FIND("-",CH1222)+1)+1)-FIND("-",CH1222,FIND("-",CH1222)+1)-1))),""))</f>
        <v/>
      </c>
    </row>
    <row r="1223">
      <c r="CH1223">
        <f>IF(ISTEXT('월 가계부'!A1223),SUBSTITUTE(SUBSTITUTE(SUBSTITUTE(SUBSTITUTE(SUBSTITUTE(SUBSTITUTE(SUBSTITUTE(SUBSTITUTE(SUBSTITUTE(TRIM('월 가계부'!A1223),"년","-"),"월","-"),"일",""),".","-"),"/","-")," ","-"),"--","-"),"--","-"),"--","-")&amp;"-","")</f>
        <v/>
      </c>
      <c r="CI1223">
        <f>IFERROR(IF('월 가계부'!A1223="","",IF(ISNUMBER('월 가계부'!A1223),IF(AND('월 가계부'!A1223&gt;=19000101,'월 가계부'!A1223&lt;=21001231),IF(AND(MOD(INT('월 가계부'!A1223/100),100)&gt;=1,MOD(INT('월 가계부'!A1223/100),100)&lt;=12,MOD(INT('월 가계부'!A1223),100)&gt;=1,MOD(INT('월 가계부'!A1223),100)&lt;=31),IF(MONTH(DATE(INT('월 가계부'!A1223/10000),MOD(INT('월 가계부'!A1223/100),100),MOD(INT('월 가계부'!A1223),100)))=MOD(INT('월 가계부'!A1223/100),100),DATE(INT('월 가계부'!A1223/10000),MOD(INT('월 가계부'!A1223/100),100),MOD(INT('월 가계부'!A1223),100)),""),""),IF(AND('월 가계부'!A1223&gt;=36526,'월 가계부'!A1223&lt;73051),INT('월 가계부'!A1223),"")),IF(OR(CM1223="",CN1223="",CO1223=""),"",IF(AND(CM1223&gt;=2000,CM1223&lt;=2099,CN1223&gt;=1,CN1223&lt;=12,CO1223&gt;=1,CO1223&lt;=31),IF(MONTH(DATE(CM1223,CN1223,CO1223))=CN1223,DATE(CM1223,CN1223,CO1223),""),"")))),"")</f>
        <v/>
      </c>
      <c r="CJ1223">
        <f>IFERROR(IF('월 가계부'!C1223="","",IF(ISNUMBER('월 가계부'!C1223),'월 가계부'!C1223,VALUE(SUBSTITUTE(SUBSTITUTE(SUBSTITUTE(SUBSTITUTE(TRIM('월 가계부'!C1223),",",""),"원","")," ",""),"−","-")))),"")</f>
        <v/>
      </c>
      <c r="CK1223">
        <f>IF(ISNUMBER(CI1223),IF(CI1223&lt;$B$13,CI1223,""),"")</f>
        <v/>
      </c>
      <c r="CM1223">
        <f>IF(CH1223="","",IFERROR(IF(IF(AND(LEN(CH1223)=9,ISERROR(FIND("-",LEFT(CH1223,8))),ISNUMBER(-LEFT(CH1223,8))),VALUE(LEFT(CH1223,4)),VALUE(LEFT(CH1223,FIND("-",CH1223)-1)))&lt;100,IF(AND(LEN(CH1223)=9,ISERROR(FIND("-",LEFT(CH1223,8))),ISNUMBER(-LEFT(CH1223,8))),VALUE(LEFT(CH1223,4)),VALUE(LEFT(CH1223,FIND("-",CH1223)-1)))+2000,IF(AND(LEN(CH1223)=9,ISERROR(FIND("-",LEFT(CH1223,8))),ISNUMBER(-LEFT(CH1223,8))),VALUE(LEFT(CH1223,4)),VALUE(LEFT(CH1223,FIND("-",CH1223)-1)))),""))</f>
        <v/>
      </c>
      <c r="CN1223">
        <f>IF(CH1223="","",IFERROR(IF(AND(LEN(CH1223)=9,ISERROR(FIND("-",LEFT(CH1223,8))),ISNUMBER(-LEFT(CH1223,8))),VALUE(MID(CH1223,5,2)),VALUE(MID(CH1223,FIND("-",CH1223)+1,FIND("-",CH1223,FIND("-",CH1223)+1)-FIND("-",CH1223)-1))),""))</f>
        <v/>
      </c>
      <c r="CO1223">
        <f>IF(CH1223="","",IFERROR(IF(AND(LEN(CH1223)=9,ISERROR(FIND("-",LEFT(CH1223,8))),ISNUMBER(-LEFT(CH1223,8))),VALUE(MID(CH1223,7,2)),VALUE(MID(CH1223,FIND("-",CH1223,FIND("-",CH1223)+1)+1,FIND("-",CH1223,FIND("-",CH1223,FIND("-",CH1223)+1)+1)-FIND("-",CH1223,FIND("-",CH1223)+1)-1))),""))</f>
        <v/>
      </c>
    </row>
    <row r="1224">
      <c r="CH1224">
        <f>IF(ISTEXT('월 가계부'!A1224),SUBSTITUTE(SUBSTITUTE(SUBSTITUTE(SUBSTITUTE(SUBSTITUTE(SUBSTITUTE(SUBSTITUTE(SUBSTITUTE(SUBSTITUTE(TRIM('월 가계부'!A1224),"년","-"),"월","-"),"일",""),".","-"),"/","-")," ","-"),"--","-"),"--","-"),"--","-")&amp;"-","")</f>
        <v/>
      </c>
      <c r="CI1224">
        <f>IFERROR(IF('월 가계부'!A1224="","",IF(ISNUMBER('월 가계부'!A1224),IF(AND('월 가계부'!A1224&gt;=19000101,'월 가계부'!A1224&lt;=21001231),IF(AND(MOD(INT('월 가계부'!A1224/100),100)&gt;=1,MOD(INT('월 가계부'!A1224/100),100)&lt;=12,MOD(INT('월 가계부'!A1224),100)&gt;=1,MOD(INT('월 가계부'!A1224),100)&lt;=31),IF(MONTH(DATE(INT('월 가계부'!A1224/10000),MOD(INT('월 가계부'!A1224/100),100),MOD(INT('월 가계부'!A1224),100)))=MOD(INT('월 가계부'!A1224/100),100),DATE(INT('월 가계부'!A1224/10000),MOD(INT('월 가계부'!A1224/100),100),MOD(INT('월 가계부'!A1224),100)),""),""),IF(AND('월 가계부'!A1224&gt;=36526,'월 가계부'!A1224&lt;73051),INT('월 가계부'!A1224),"")),IF(OR(CM1224="",CN1224="",CO1224=""),"",IF(AND(CM1224&gt;=2000,CM1224&lt;=2099,CN1224&gt;=1,CN1224&lt;=12,CO1224&gt;=1,CO1224&lt;=31),IF(MONTH(DATE(CM1224,CN1224,CO1224))=CN1224,DATE(CM1224,CN1224,CO1224),""),"")))),"")</f>
        <v/>
      </c>
      <c r="CJ1224">
        <f>IFERROR(IF('월 가계부'!C1224="","",IF(ISNUMBER('월 가계부'!C1224),'월 가계부'!C1224,VALUE(SUBSTITUTE(SUBSTITUTE(SUBSTITUTE(SUBSTITUTE(TRIM('월 가계부'!C1224),",",""),"원","")," ",""),"−","-")))),"")</f>
        <v/>
      </c>
      <c r="CK1224">
        <f>IF(ISNUMBER(CI1224),IF(CI1224&lt;$B$13,CI1224,""),"")</f>
        <v/>
      </c>
      <c r="CM1224">
        <f>IF(CH1224="","",IFERROR(IF(IF(AND(LEN(CH1224)=9,ISERROR(FIND("-",LEFT(CH1224,8))),ISNUMBER(-LEFT(CH1224,8))),VALUE(LEFT(CH1224,4)),VALUE(LEFT(CH1224,FIND("-",CH1224)-1)))&lt;100,IF(AND(LEN(CH1224)=9,ISERROR(FIND("-",LEFT(CH1224,8))),ISNUMBER(-LEFT(CH1224,8))),VALUE(LEFT(CH1224,4)),VALUE(LEFT(CH1224,FIND("-",CH1224)-1)))+2000,IF(AND(LEN(CH1224)=9,ISERROR(FIND("-",LEFT(CH1224,8))),ISNUMBER(-LEFT(CH1224,8))),VALUE(LEFT(CH1224,4)),VALUE(LEFT(CH1224,FIND("-",CH1224)-1)))),""))</f>
        <v/>
      </c>
      <c r="CN1224">
        <f>IF(CH1224="","",IFERROR(IF(AND(LEN(CH1224)=9,ISERROR(FIND("-",LEFT(CH1224,8))),ISNUMBER(-LEFT(CH1224,8))),VALUE(MID(CH1224,5,2)),VALUE(MID(CH1224,FIND("-",CH1224)+1,FIND("-",CH1224,FIND("-",CH1224)+1)-FIND("-",CH1224)-1))),""))</f>
        <v/>
      </c>
      <c r="CO1224">
        <f>IF(CH1224="","",IFERROR(IF(AND(LEN(CH1224)=9,ISERROR(FIND("-",LEFT(CH1224,8))),ISNUMBER(-LEFT(CH1224,8))),VALUE(MID(CH1224,7,2)),VALUE(MID(CH1224,FIND("-",CH1224,FIND("-",CH1224)+1)+1,FIND("-",CH1224,FIND("-",CH1224,FIND("-",CH1224)+1)+1)-FIND("-",CH1224,FIND("-",CH1224)+1)-1))),""))</f>
        <v/>
      </c>
    </row>
    <row r="1225">
      <c r="CH1225">
        <f>IF(ISTEXT('월 가계부'!A1225),SUBSTITUTE(SUBSTITUTE(SUBSTITUTE(SUBSTITUTE(SUBSTITUTE(SUBSTITUTE(SUBSTITUTE(SUBSTITUTE(SUBSTITUTE(TRIM('월 가계부'!A1225),"년","-"),"월","-"),"일",""),".","-"),"/","-")," ","-"),"--","-"),"--","-"),"--","-")&amp;"-","")</f>
        <v/>
      </c>
      <c r="CI1225">
        <f>IFERROR(IF('월 가계부'!A1225="","",IF(ISNUMBER('월 가계부'!A1225),IF(AND('월 가계부'!A1225&gt;=19000101,'월 가계부'!A1225&lt;=21001231),IF(AND(MOD(INT('월 가계부'!A1225/100),100)&gt;=1,MOD(INT('월 가계부'!A1225/100),100)&lt;=12,MOD(INT('월 가계부'!A1225),100)&gt;=1,MOD(INT('월 가계부'!A1225),100)&lt;=31),IF(MONTH(DATE(INT('월 가계부'!A1225/10000),MOD(INT('월 가계부'!A1225/100),100),MOD(INT('월 가계부'!A1225),100)))=MOD(INT('월 가계부'!A1225/100),100),DATE(INT('월 가계부'!A1225/10000),MOD(INT('월 가계부'!A1225/100),100),MOD(INT('월 가계부'!A1225),100)),""),""),IF(AND('월 가계부'!A1225&gt;=36526,'월 가계부'!A1225&lt;73051),INT('월 가계부'!A1225),"")),IF(OR(CM1225="",CN1225="",CO1225=""),"",IF(AND(CM1225&gt;=2000,CM1225&lt;=2099,CN1225&gt;=1,CN1225&lt;=12,CO1225&gt;=1,CO1225&lt;=31),IF(MONTH(DATE(CM1225,CN1225,CO1225))=CN1225,DATE(CM1225,CN1225,CO1225),""),"")))),"")</f>
        <v/>
      </c>
      <c r="CJ1225">
        <f>IFERROR(IF('월 가계부'!C1225="","",IF(ISNUMBER('월 가계부'!C1225),'월 가계부'!C1225,VALUE(SUBSTITUTE(SUBSTITUTE(SUBSTITUTE(SUBSTITUTE(TRIM('월 가계부'!C1225),",",""),"원","")," ",""),"−","-")))),"")</f>
        <v/>
      </c>
      <c r="CK1225">
        <f>IF(ISNUMBER(CI1225),IF(CI1225&lt;$B$13,CI1225,""),"")</f>
        <v/>
      </c>
      <c r="CM1225">
        <f>IF(CH1225="","",IFERROR(IF(IF(AND(LEN(CH1225)=9,ISERROR(FIND("-",LEFT(CH1225,8))),ISNUMBER(-LEFT(CH1225,8))),VALUE(LEFT(CH1225,4)),VALUE(LEFT(CH1225,FIND("-",CH1225)-1)))&lt;100,IF(AND(LEN(CH1225)=9,ISERROR(FIND("-",LEFT(CH1225,8))),ISNUMBER(-LEFT(CH1225,8))),VALUE(LEFT(CH1225,4)),VALUE(LEFT(CH1225,FIND("-",CH1225)-1)))+2000,IF(AND(LEN(CH1225)=9,ISERROR(FIND("-",LEFT(CH1225,8))),ISNUMBER(-LEFT(CH1225,8))),VALUE(LEFT(CH1225,4)),VALUE(LEFT(CH1225,FIND("-",CH1225)-1)))),""))</f>
        <v/>
      </c>
      <c r="CN1225">
        <f>IF(CH1225="","",IFERROR(IF(AND(LEN(CH1225)=9,ISERROR(FIND("-",LEFT(CH1225,8))),ISNUMBER(-LEFT(CH1225,8))),VALUE(MID(CH1225,5,2)),VALUE(MID(CH1225,FIND("-",CH1225)+1,FIND("-",CH1225,FIND("-",CH1225)+1)-FIND("-",CH1225)-1))),""))</f>
        <v/>
      </c>
      <c r="CO1225">
        <f>IF(CH1225="","",IFERROR(IF(AND(LEN(CH1225)=9,ISERROR(FIND("-",LEFT(CH1225,8))),ISNUMBER(-LEFT(CH1225,8))),VALUE(MID(CH1225,7,2)),VALUE(MID(CH1225,FIND("-",CH1225,FIND("-",CH1225)+1)+1,FIND("-",CH1225,FIND("-",CH1225,FIND("-",CH1225)+1)+1)-FIND("-",CH1225,FIND("-",CH1225)+1)-1))),""))</f>
        <v/>
      </c>
    </row>
    <row r="1226">
      <c r="CH1226">
        <f>IF(ISTEXT('월 가계부'!A1226),SUBSTITUTE(SUBSTITUTE(SUBSTITUTE(SUBSTITUTE(SUBSTITUTE(SUBSTITUTE(SUBSTITUTE(SUBSTITUTE(SUBSTITUTE(TRIM('월 가계부'!A1226),"년","-"),"월","-"),"일",""),".","-"),"/","-")," ","-"),"--","-"),"--","-"),"--","-")&amp;"-","")</f>
        <v/>
      </c>
      <c r="CI1226">
        <f>IFERROR(IF('월 가계부'!A1226="","",IF(ISNUMBER('월 가계부'!A1226),IF(AND('월 가계부'!A1226&gt;=19000101,'월 가계부'!A1226&lt;=21001231),IF(AND(MOD(INT('월 가계부'!A1226/100),100)&gt;=1,MOD(INT('월 가계부'!A1226/100),100)&lt;=12,MOD(INT('월 가계부'!A1226),100)&gt;=1,MOD(INT('월 가계부'!A1226),100)&lt;=31),IF(MONTH(DATE(INT('월 가계부'!A1226/10000),MOD(INT('월 가계부'!A1226/100),100),MOD(INT('월 가계부'!A1226),100)))=MOD(INT('월 가계부'!A1226/100),100),DATE(INT('월 가계부'!A1226/10000),MOD(INT('월 가계부'!A1226/100),100),MOD(INT('월 가계부'!A1226),100)),""),""),IF(AND('월 가계부'!A1226&gt;=36526,'월 가계부'!A1226&lt;73051),INT('월 가계부'!A1226),"")),IF(OR(CM1226="",CN1226="",CO1226=""),"",IF(AND(CM1226&gt;=2000,CM1226&lt;=2099,CN1226&gt;=1,CN1226&lt;=12,CO1226&gt;=1,CO1226&lt;=31),IF(MONTH(DATE(CM1226,CN1226,CO1226))=CN1226,DATE(CM1226,CN1226,CO1226),""),"")))),"")</f>
        <v/>
      </c>
      <c r="CJ1226">
        <f>IFERROR(IF('월 가계부'!C1226="","",IF(ISNUMBER('월 가계부'!C1226),'월 가계부'!C1226,VALUE(SUBSTITUTE(SUBSTITUTE(SUBSTITUTE(SUBSTITUTE(TRIM('월 가계부'!C1226),",",""),"원","")," ",""),"−","-")))),"")</f>
        <v/>
      </c>
      <c r="CK1226">
        <f>IF(ISNUMBER(CI1226),IF(CI1226&lt;$B$13,CI1226,""),"")</f>
        <v/>
      </c>
      <c r="CM1226">
        <f>IF(CH1226="","",IFERROR(IF(IF(AND(LEN(CH1226)=9,ISERROR(FIND("-",LEFT(CH1226,8))),ISNUMBER(-LEFT(CH1226,8))),VALUE(LEFT(CH1226,4)),VALUE(LEFT(CH1226,FIND("-",CH1226)-1)))&lt;100,IF(AND(LEN(CH1226)=9,ISERROR(FIND("-",LEFT(CH1226,8))),ISNUMBER(-LEFT(CH1226,8))),VALUE(LEFT(CH1226,4)),VALUE(LEFT(CH1226,FIND("-",CH1226)-1)))+2000,IF(AND(LEN(CH1226)=9,ISERROR(FIND("-",LEFT(CH1226,8))),ISNUMBER(-LEFT(CH1226,8))),VALUE(LEFT(CH1226,4)),VALUE(LEFT(CH1226,FIND("-",CH1226)-1)))),""))</f>
        <v/>
      </c>
      <c r="CN1226">
        <f>IF(CH1226="","",IFERROR(IF(AND(LEN(CH1226)=9,ISERROR(FIND("-",LEFT(CH1226,8))),ISNUMBER(-LEFT(CH1226,8))),VALUE(MID(CH1226,5,2)),VALUE(MID(CH1226,FIND("-",CH1226)+1,FIND("-",CH1226,FIND("-",CH1226)+1)-FIND("-",CH1226)-1))),""))</f>
        <v/>
      </c>
      <c r="CO1226">
        <f>IF(CH1226="","",IFERROR(IF(AND(LEN(CH1226)=9,ISERROR(FIND("-",LEFT(CH1226,8))),ISNUMBER(-LEFT(CH1226,8))),VALUE(MID(CH1226,7,2)),VALUE(MID(CH1226,FIND("-",CH1226,FIND("-",CH1226)+1)+1,FIND("-",CH1226,FIND("-",CH1226,FIND("-",CH1226)+1)+1)-FIND("-",CH1226,FIND("-",CH1226)+1)-1))),""))</f>
        <v/>
      </c>
    </row>
    <row r="1227">
      <c r="CH1227">
        <f>IF(ISTEXT('월 가계부'!A1227),SUBSTITUTE(SUBSTITUTE(SUBSTITUTE(SUBSTITUTE(SUBSTITUTE(SUBSTITUTE(SUBSTITUTE(SUBSTITUTE(SUBSTITUTE(TRIM('월 가계부'!A1227),"년","-"),"월","-"),"일",""),".","-"),"/","-")," ","-"),"--","-"),"--","-"),"--","-")&amp;"-","")</f>
        <v/>
      </c>
      <c r="CI1227">
        <f>IFERROR(IF('월 가계부'!A1227="","",IF(ISNUMBER('월 가계부'!A1227),IF(AND('월 가계부'!A1227&gt;=19000101,'월 가계부'!A1227&lt;=21001231),IF(AND(MOD(INT('월 가계부'!A1227/100),100)&gt;=1,MOD(INT('월 가계부'!A1227/100),100)&lt;=12,MOD(INT('월 가계부'!A1227),100)&gt;=1,MOD(INT('월 가계부'!A1227),100)&lt;=31),IF(MONTH(DATE(INT('월 가계부'!A1227/10000),MOD(INT('월 가계부'!A1227/100),100),MOD(INT('월 가계부'!A1227),100)))=MOD(INT('월 가계부'!A1227/100),100),DATE(INT('월 가계부'!A1227/10000),MOD(INT('월 가계부'!A1227/100),100),MOD(INT('월 가계부'!A1227),100)),""),""),IF(AND('월 가계부'!A1227&gt;=36526,'월 가계부'!A1227&lt;73051),INT('월 가계부'!A1227),"")),IF(OR(CM1227="",CN1227="",CO1227=""),"",IF(AND(CM1227&gt;=2000,CM1227&lt;=2099,CN1227&gt;=1,CN1227&lt;=12,CO1227&gt;=1,CO1227&lt;=31),IF(MONTH(DATE(CM1227,CN1227,CO1227))=CN1227,DATE(CM1227,CN1227,CO1227),""),"")))),"")</f>
        <v/>
      </c>
      <c r="CJ1227">
        <f>IFERROR(IF('월 가계부'!C1227="","",IF(ISNUMBER('월 가계부'!C1227),'월 가계부'!C1227,VALUE(SUBSTITUTE(SUBSTITUTE(SUBSTITUTE(SUBSTITUTE(TRIM('월 가계부'!C1227),",",""),"원","")," ",""),"−","-")))),"")</f>
        <v/>
      </c>
      <c r="CK1227">
        <f>IF(ISNUMBER(CI1227),IF(CI1227&lt;$B$13,CI1227,""),"")</f>
        <v/>
      </c>
      <c r="CM1227">
        <f>IF(CH1227="","",IFERROR(IF(IF(AND(LEN(CH1227)=9,ISERROR(FIND("-",LEFT(CH1227,8))),ISNUMBER(-LEFT(CH1227,8))),VALUE(LEFT(CH1227,4)),VALUE(LEFT(CH1227,FIND("-",CH1227)-1)))&lt;100,IF(AND(LEN(CH1227)=9,ISERROR(FIND("-",LEFT(CH1227,8))),ISNUMBER(-LEFT(CH1227,8))),VALUE(LEFT(CH1227,4)),VALUE(LEFT(CH1227,FIND("-",CH1227)-1)))+2000,IF(AND(LEN(CH1227)=9,ISERROR(FIND("-",LEFT(CH1227,8))),ISNUMBER(-LEFT(CH1227,8))),VALUE(LEFT(CH1227,4)),VALUE(LEFT(CH1227,FIND("-",CH1227)-1)))),""))</f>
        <v/>
      </c>
      <c r="CN1227">
        <f>IF(CH1227="","",IFERROR(IF(AND(LEN(CH1227)=9,ISERROR(FIND("-",LEFT(CH1227,8))),ISNUMBER(-LEFT(CH1227,8))),VALUE(MID(CH1227,5,2)),VALUE(MID(CH1227,FIND("-",CH1227)+1,FIND("-",CH1227,FIND("-",CH1227)+1)-FIND("-",CH1227)-1))),""))</f>
        <v/>
      </c>
      <c r="CO1227">
        <f>IF(CH1227="","",IFERROR(IF(AND(LEN(CH1227)=9,ISERROR(FIND("-",LEFT(CH1227,8))),ISNUMBER(-LEFT(CH1227,8))),VALUE(MID(CH1227,7,2)),VALUE(MID(CH1227,FIND("-",CH1227,FIND("-",CH1227)+1)+1,FIND("-",CH1227,FIND("-",CH1227,FIND("-",CH1227)+1)+1)-FIND("-",CH1227,FIND("-",CH1227)+1)-1))),""))</f>
        <v/>
      </c>
    </row>
    <row r="1228">
      <c r="CH1228">
        <f>IF(ISTEXT('월 가계부'!A1228),SUBSTITUTE(SUBSTITUTE(SUBSTITUTE(SUBSTITUTE(SUBSTITUTE(SUBSTITUTE(SUBSTITUTE(SUBSTITUTE(SUBSTITUTE(TRIM('월 가계부'!A1228),"년","-"),"월","-"),"일",""),".","-"),"/","-")," ","-"),"--","-"),"--","-"),"--","-")&amp;"-","")</f>
        <v/>
      </c>
      <c r="CI1228">
        <f>IFERROR(IF('월 가계부'!A1228="","",IF(ISNUMBER('월 가계부'!A1228),IF(AND('월 가계부'!A1228&gt;=19000101,'월 가계부'!A1228&lt;=21001231),IF(AND(MOD(INT('월 가계부'!A1228/100),100)&gt;=1,MOD(INT('월 가계부'!A1228/100),100)&lt;=12,MOD(INT('월 가계부'!A1228),100)&gt;=1,MOD(INT('월 가계부'!A1228),100)&lt;=31),IF(MONTH(DATE(INT('월 가계부'!A1228/10000),MOD(INT('월 가계부'!A1228/100),100),MOD(INT('월 가계부'!A1228),100)))=MOD(INT('월 가계부'!A1228/100),100),DATE(INT('월 가계부'!A1228/10000),MOD(INT('월 가계부'!A1228/100),100),MOD(INT('월 가계부'!A1228),100)),""),""),IF(AND('월 가계부'!A1228&gt;=36526,'월 가계부'!A1228&lt;73051),INT('월 가계부'!A1228),"")),IF(OR(CM1228="",CN1228="",CO1228=""),"",IF(AND(CM1228&gt;=2000,CM1228&lt;=2099,CN1228&gt;=1,CN1228&lt;=12,CO1228&gt;=1,CO1228&lt;=31),IF(MONTH(DATE(CM1228,CN1228,CO1228))=CN1228,DATE(CM1228,CN1228,CO1228),""),"")))),"")</f>
        <v/>
      </c>
      <c r="CJ1228">
        <f>IFERROR(IF('월 가계부'!C1228="","",IF(ISNUMBER('월 가계부'!C1228),'월 가계부'!C1228,VALUE(SUBSTITUTE(SUBSTITUTE(SUBSTITUTE(SUBSTITUTE(TRIM('월 가계부'!C1228),",",""),"원","")," ",""),"−","-")))),"")</f>
        <v/>
      </c>
      <c r="CK1228">
        <f>IF(ISNUMBER(CI1228),IF(CI1228&lt;$B$13,CI1228,""),"")</f>
        <v/>
      </c>
      <c r="CM1228">
        <f>IF(CH1228="","",IFERROR(IF(IF(AND(LEN(CH1228)=9,ISERROR(FIND("-",LEFT(CH1228,8))),ISNUMBER(-LEFT(CH1228,8))),VALUE(LEFT(CH1228,4)),VALUE(LEFT(CH1228,FIND("-",CH1228)-1)))&lt;100,IF(AND(LEN(CH1228)=9,ISERROR(FIND("-",LEFT(CH1228,8))),ISNUMBER(-LEFT(CH1228,8))),VALUE(LEFT(CH1228,4)),VALUE(LEFT(CH1228,FIND("-",CH1228)-1)))+2000,IF(AND(LEN(CH1228)=9,ISERROR(FIND("-",LEFT(CH1228,8))),ISNUMBER(-LEFT(CH1228,8))),VALUE(LEFT(CH1228,4)),VALUE(LEFT(CH1228,FIND("-",CH1228)-1)))),""))</f>
        <v/>
      </c>
      <c r="CN1228">
        <f>IF(CH1228="","",IFERROR(IF(AND(LEN(CH1228)=9,ISERROR(FIND("-",LEFT(CH1228,8))),ISNUMBER(-LEFT(CH1228,8))),VALUE(MID(CH1228,5,2)),VALUE(MID(CH1228,FIND("-",CH1228)+1,FIND("-",CH1228,FIND("-",CH1228)+1)-FIND("-",CH1228)-1))),""))</f>
        <v/>
      </c>
      <c r="CO1228">
        <f>IF(CH1228="","",IFERROR(IF(AND(LEN(CH1228)=9,ISERROR(FIND("-",LEFT(CH1228,8))),ISNUMBER(-LEFT(CH1228,8))),VALUE(MID(CH1228,7,2)),VALUE(MID(CH1228,FIND("-",CH1228,FIND("-",CH1228)+1)+1,FIND("-",CH1228,FIND("-",CH1228,FIND("-",CH1228)+1)+1)-FIND("-",CH1228,FIND("-",CH1228)+1)-1))),""))</f>
        <v/>
      </c>
    </row>
    <row r="1229">
      <c r="CH1229">
        <f>IF(ISTEXT('월 가계부'!A1229),SUBSTITUTE(SUBSTITUTE(SUBSTITUTE(SUBSTITUTE(SUBSTITUTE(SUBSTITUTE(SUBSTITUTE(SUBSTITUTE(SUBSTITUTE(TRIM('월 가계부'!A1229),"년","-"),"월","-"),"일",""),".","-"),"/","-")," ","-"),"--","-"),"--","-"),"--","-")&amp;"-","")</f>
        <v/>
      </c>
      <c r="CI1229">
        <f>IFERROR(IF('월 가계부'!A1229="","",IF(ISNUMBER('월 가계부'!A1229),IF(AND('월 가계부'!A1229&gt;=19000101,'월 가계부'!A1229&lt;=21001231),IF(AND(MOD(INT('월 가계부'!A1229/100),100)&gt;=1,MOD(INT('월 가계부'!A1229/100),100)&lt;=12,MOD(INT('월 가계부'!A1229),100)&gt;=1,MOD(INT('월 가계부'!A1229),100)&lt;=31),IF(MONTH(DATE(INT('월 가계부'!A1229/10000),MOD(INT('월 가계부'!A1229/100),100),MOD(INT('월 가계부'!A1229),100)))=MOD(INT('월 가계부'!A1229/100),100),DATE(INT('월 가계부'!A1229/10000),MOD(INT('월 가계부'!A1229/100),100),MOD(INT('월 가계부'!A1229),100)),""),""),IF(AND('월 가계부'!A1229&gt;=36526,'월 가계부'!A1229&lt;73051),INT('월 가계부'!A1229),"")),IF(OR(CM1229="",CN1229="",CO1229=""),"",IF(AND(CM1229&gt;=2000,CM1229&lt;=2099,CN1229&gt;=1,CN1229&lt;=12,CO1229&gt;=1,CO1229&lt;=31),IF(MONTH(DATE(CM1229,CN1229,CO1229))=CN1229,DATE(CM1229,CN1229,CO1229),""),"")))),"")</f>
        <v/>
      </c>
      <c r="CJ1229">
        <f>IFERROR(IF('월 가계부'!C1229="","",IF(ISNUMBER('월 가계부'!C1229),'월 가계부'!C1229,VALUE(SUBSTITUTE(SUBSTITUTE(SUBSTITUTE(SUBSTITUTE(TRIM('월 가계부'!C1229),",",""),"원","")," ",""),"−","-")))),"")</f>
        <v/>
      </c>
      <c r="CK1229">
        <f>IF(ISNUMBER(CI1229),IF(CI1229&lt;$B$13,CI1229,""),"")</f>
        <v/>
      </c>
      <c r="CM1229">
        <f>IF(CH1229="","",IFERROR(IF(IF(AND(LEN(CH1229)=9,ISERROR(FIND("-",LEFT(CH1229,8))),ISNUMBER(-LEFT(CH1229,8))),VALUE(LEFT(CH1229,4)),VALUE(LEFT(CH1229,FIND("-",CH1229)-1)))&lt;100,IF(AND(LEN(CH1229)=9,ISERROR(FIND("-",LEFT(CH1229,8))),ISNUMBER(-LEFT(CH1229,8))),VALUE(LEFT(CH1229,4)),VALUE(LEFT(CH1229,FIND("-",CH1229)-1)))+2000,IF(AND(LEN(CH1229)=9,ISERROR(FIND("-",LEFT(CH1229,8))),ISNUMBER(-LEFT(CH1229,8))),VALUE(LEFT(CH1229,4)),VALUE(LEFT(CH1229,FIND("-",CH1229)-1)))),""))</f>
        <v/>
      </c>
      <c r="CN1229">
        <f>IF(CH1229="","",IFERROR(IF(AND(LEN(CH1229)=9,ISERROR(FIND("-",LEFT(CH1229,8))),ISNUMBER(-LEFT(CH1229,8))),VALUE(MID(CH1229,5,2)),VALUE(MID(CH1229,FIND("-",CH1229)+1,FIND("-",CH1229,FIND("-",CH1229)+1)-FIND("-",CH1229)-1))),""))</f>
        <v/>
      </c>
      <c r="CO1229">
        <f>IF(CH1229="","",IFERROR(IF(AND(LEN(CH1229)=9,ISERROR(FIND("-",LEFT(CH1229,8))),ISNUMBER(-LEFT(CH1229,8))),VALUE(MID(CH1229,7,2)),VALUE(MID(CH1229,FIND("-",CH1229,FIND("-",CH1229)+1)+1,FIND("-",CH1229,FIND("-",CH1229,FIND("-",CH1229)+1)+1)-FIND("-",CH1229,FIND("-",CH1229)+1)-1))),""))</f>
        <v/>
      </c>
    </row>
    <row r="1230">
      <c r="CH1230">
        <f>IF(ISTEXT('월 가계부'!A1230),SUBSTITUTE(SUBSTITUTE(SUBSTITUTE(SUBSTITUTE(SUBSTITUTE(SUBSTITUTE(SUBSTITUTE(SUBSTITUTE(SUBSTITUTE(TRIM('월 가계부'!A1230),"년","-"),"월","-"),"일",""),".","-"),"/","-")," ","-"),"--","-"),"--","-"),"--","-")&amp;"-","")</f>
        <v/>
      </c>
      <c r="CI1230">
        <f>IFERROR(IF('월 가계부'!A1230="","",IF(ISNUMBER('월 가계부'!A1230),IF(AND('월 가계부'!A1230&gt;=19000101,'월 가계부'!A1230&lt;=21001231),IF(AND(MOD(INT('월 가계부'!A1230/100),100)&gt;=1,MOD(INT('월 가계부'!A1230/100),100)&lt;=12,MOD(INT('월 가계부'!A1230),100)&gt;=1,MOD(INT('월 가계부'!A1230),100)&lt;=31),IF(MONTH(DATE(INT('월 가계부'!A1230/10000),MOD(INT('월 가계부'!A1230/100),100),MOD(INT('월 가계부'!A1230),100)))=MOD(INT('월 가계부'!A1230/100),100),DATE(INT('월 가계부'!A1230/10000),MOD(INT('월 가계부'!A1230/100),100),MOD(INT('월 가계부'!A1230),100)),""),""),IF(AND('월 가계부'!A1230&gt;=36526,'월 가계부'!A1230&lt;73051),INT('월 가계부'!A1230),"")),IF(OR(CM1230="",CN1230="",CO1230=""),"",IF(AND(CM1230&gt;=2000,CM1230&lt;=2099,CN1230&gt;=1,CN1230&lt;=12,CO1230&gt;=1,CO1230&lt;=31),IF(MONTH(DATE(CM1230,CN1230,CO1230))=CN1230,DATE(CM1230,CN1230,CO1230),""),"")))),"")</f>
        <v/>
      </c>
      <c r="CJ1230">
        <f>IFERROR(IF('월 가계부'!C1230="","",IF(ISNUMBER('월 가계부'!C1230),'월 가계부'!C1230,VALUE(SUBSTITUTE(SUBSTITUTE(SUBSTITUTE(SUBSTITUTE(TRIM('월 가계부'!C1230),",",""),"원","")," ",""),"−","-")))),"")</f>
        <v/>
      </c>
      <c r="CK1230">
        <f>IF(ISNUMBER(CI1230),IF(CI1230&lt;$B$13,CI1230,""),"")</f>
        <v/>
      </c>
      <c r="CM1230">
        <f>IF(CH1230="","",IFERROR(IF(IF(AND(LEN(CH1230)=9,ISERROR(FIND("-",LEFT(CH1230,8))),ISNUMBER(-LEFT(CH1230,8))),VALUE(LEFT(CH1230,4)),VALUE(LEFT(CH1230,FIND("-",CH1230)-1)))&lt;100,IF(AND(LEN(CH1230)=9,ISERROR(FIND("-",LEFT(CH1230,8))),ISNUMBER(-LEFT(CH1230,8))),VALUE(LEFT(CH1230,4)),VALUE(LEFT(CH1230,FIND("-",CH1230)-1)))+2000,IF(AND(LEN(CH1230)=9,ISERROR(FIND("-",LEFT(CH1230,8))),ISNUMBER(-LEFT(CH1230,8))),VALUE(LEFT(CH1230,4)),VALUE(LEFT(CH1230,FIND("-",CH1230)-1)))),""))</f>
        <v/>
      </c>
      <c r="CN1230">
        <f>IF(CH1230="","",IFERROR(IF(AND(LEN(CH1230)=9,ISERROR(FIND("-",LEFT(CH1230,8))),ISNUMBER(-LEFT(CH1230,8))),VALUE(MID(CH1230,5,2)),VALUE(MID(CH1230,FIND("-",CH1230)+1,FIND("-",CH1230,FIND("-",CH1230)+1)-FIND("-",CH1230)-1))),""))</f>
        <v/>
      </c>
      <c r="CO1230">
        <f>IF(CH1230="","",IFERROR(IF(AND(LEN(CH1230)=9,ISERROR(FIND("-",LEFT(CH1230,8))),ISNUMBER(-LEFT(CH1230,8))),VALUE(MID(CH1230,7,2)),VALUE(MID(CH1230,FIND("-",CH1230,FIND("-",CH1230)+1)+1,FIND("-",CH1230,FIND("-",CH1230,FIND("-",CH1230)+1)+1)-FIND("-",CH1230,FIND("-",CH1230)+1)-1))),""))</f>
        <v/>
      </c>
    </row>
    <row r="1231">
      <c r="CH1231">
        <f>IF(ISTEXT('월 가계부'!A1231),SUBSTITUTE(SUBSTITUTE(SUBSTITUTE(SUBSTITUTE(SUBSTITUTE(SUBSTITUTE(SUBSTITUTE(SUBSTITUTE(SUBSTITUTE(TRIM('월 가계부'!A1231),"년","-"),"월","-"),"일",""),".","-"),"/","-")," ","-"),"--","-"),"--","-"),"--","-")&amp;"-","")</f>
        <v/>
      </c>
      <c r="CI1231">
        <f>IFERROR(IF('월 가계부'!A1231="","",IF(ISNUMBER('월 가계부'!A1231),IF(AND('월 가계부'!A1231&gt;=19000101,'월 가계부'!A1231&lt;=21001231),IF(AND(MOD(INT('월 가계부'!A1231/100),100)&gt;=1,MOD(INT('월 가계부'!A1231/100),100)&lt;=12,MOD(INT('월 가계부'!A1231),100)&gt;=1,MOD(INT('월 가계부'!A1231),100)&lt;=31),IF(MONTH(DATE(INT('월 가계부'!A1231/10000),MOD(INT('월 가계부'!A1231/100),100),MOD(INT('월 가계부'!A1231),100)))=MOD(INT('월 가계부'!A1231/100),100),DATE(INT('월 가계부'!A1231/10000),MOD(INT('월 가계부'!A1231/100),100),MOD(INT('월 가계부'!A1231),100)),""),""),IF(AND('월 가계부'!A1231&gt;=36526,'월 가계부'!A1231&lt;73051),INT('월 가계부'!A1231),"")),IF(OR(CM1231="",CN1231="",CO1231=""),"",IF(AND(CM1231&gt;=2000,CM1231&lt;=2099,CN1231&gt;=1,CN1231&lt;=12,CO1231&gt;=1,CO1231&lt;=31),IF(MONTH(DATE(CM1231,CN1231,CO1231))=CN1231,DATE(CM1231,CN1231,CO1231),""),"")))),"")</f>
        <v/>
      </c>
      <c r="CJ1231">
        <f>IFERROR(IF('월 가계부'!C1231="","",IF(ISNUMBER('월 가계부'!C1231),'월 가계부'!C1231,VALUE(SUBSTITUTE(SUBSTITUTE(SUBSTITUTE(SUBSTITUTE(TRIM('월 가계부'!C1231),",",""),"원","")," ",""),"−","-")))),"")</f>
        <v/>
      </c>
      <c r="CK1231">
        <f>IF(ISNUMBER(CI1231),IF(CI1231&lt;$B$13,CI1231,""),"")</f>
        <v/>
      </c>
      <c r="CM1231">
        <f>IF(CH1231="","",IFERROR(IF(IF(AND(LEN(CH1231)=9,ISERROR(FIND("-",LEFT(CH1231,8))),ISNUMBER(-LEFT(CH1231,8))),VALUE(LEFT(CH1231,4)),VALUE(LEFT(CH1231,FIND("-",CH1231)-1)))&lt;100,IF(AND(LEN(CH1231)=9,ISERROR(FIND("-",LEFT(CH1231,8))),ISNUMBER(-LEFT(CH1231,8))),VALUE(LEFT(CH1231,4)),VALUE(LEFT(CH1231,FIND("-",CH1231)-1)))+2000,IF(AND(LEN(CH1231)=9,ISERROR(FIND("-",LEFT(CH1231,8))),ISNUMBER(-LEFT(CH1231,8))),VALUE(LEFT(CH1231,4)),VALUE(LEFT(CH1231,FIND("-",CH1231)-1)))),""))</f>
        <v/>
      </c>
      <c r="CN1231">
        <f>IF(CH1231="","",IFERROR(IF(AND(LEN(CH1231)=9,ISERROR(FIND("-",LEFT(CH1231,8))),ISNUMBER(-LEFT(CH1231,8))),VALUE(MID(CH1231,5,2)),VALUE(MID(CH1231,FIND("-",CH1231)+1,FIND("-",CH1231,FIND("-",CH1231)+1)-FIND("-",CH1231)-1))),""))</f>
        <v/>
      </c>
      <c r="CO1231">
        <f>IF(CH1231="","",IFERROR(IF(AND(LEN(CH1231)=9,ISERROR(FIND("-",LEFT(CH1231,8))),ISNUMBER(-LEFT(CH1231,8))),VALUE(MID(CH1231,7,2)),VALUE(MID(CH1231,FIND("-",CH1231,FIND("-",CH1231)+1)+1,FIND("-",CH1231,FIND("-",CH1231,FIND("-",CH1231)+1)+1)-FIND("-",CH1231,FIND("-",CH1231)+1)-1))),""))</f>
        <v/>
      </c>
    </row>
    <row r="1232">
      <c r="CH1232">
        <f>IF(ISTEXT('월 가계부'!A1232),SUBSTITUTE(SUBSTITUTE(SUBSTITUTE(SUBSTITUTE(SUBSTITUTE(SUBSTITUTE(SUBSTITUTE(SUBSTITUTE(SUBSTITUTE(TRIM('월 가계부'!A1232),"년","-"),"월","-"),"일",""),".","-"),"/","-")," ","-"),"--","-"),"--","-"),"--","-")&amp;"-","")</f>
        <v/>
      </c>
      <c r="CI1232">
        <f>IFERROR(IF('월 가계부'!A1232="","",IF(ISNUMBER('월 가계부'!A1232),IF(AND('월 가계부'!A1232&gt;=19000101,'월 가계부'!A1232&lt;=21001231),IF(AND(MOD(INT('월 가계부'!A1232/100),100)&gt;=1,MOD(INT('월 가계부'!A1232/100),100)&lt;=12,MOD(INT('월 가계부'!A1232),100)&gt;=1,MOD(INT('월 가계부'!A1232),100)&lt;=31),IF(MONTH(DATE(INT('월 가계부'!A1232/10000),MOD(INT('월 가계부'!A1232/100),100),MOD(INT('월 가계부'!A1232),100)))=MOD(INT('월 가계부'!A1232/100),100),DATE(INT('월 가계부'!A1232/10000),MOD(INT('월 가계부'!A1232/100),100),MOD(INT('월 가계부'!A1232),100)),""),""),IF(AND('월 가계부'!A1232&gt;=36526,'월 가계부'!A1232&lt;73051),INT('월 가계부'!A1232),"")),IF(OR(CM1232="",CN1232="",CO1232=""),"",IF(AND(CM1232&gt;=2000,CM1232&lt;=2099,CN1232&gt;=1,CN1232&lt;=12,CO1232&gt;=1,CO1232&lt;=31),IF(MONTH(DATE(CM1232,CN1232,CO1232))=CN1232,DATE(CM1232,CN1232,CO1232),""),"")))),"")</f>
        <v/>
      </c>
      <c r="CJ1232">
        <f>IFERROR(IF('월 가계부'!C1232="","",IF(ISNUMBER('월 가계부'!C1232),'월 가계부'!C1232,VALUE(SUBSTITUTE(SUBSTITUTE(SUBSTITUTE(SUBSTITUTE(TRIM('월 가계부'!C1232),",",""),"원","")," ",""),"−","-")))),"")</f>
        <v/>
      </c>
      <c r="CK1232">
        <f>IF(ISNUMBER(CI1232),IF(CI1232&lt;$B$13,CI1232,""),"")</f>
        <v/>
      </c>
      <c r="CM1232">
        <f>IF(CH1232="","",IFERROR(IF(IF(AND(LEN(CH1232)=9,ISERROR(FIND("-",LEFT(CH1232,8))),ISNUMBER(-LEFT(CH1232,8))),VALUE(LEFT(CH1232,4)),VALUE(LEFT(CH1232,FIND("-",CH1232)-1)))&lt;100,IF(AND(LEN(CH1232)=9,ISERROR(FIND("-",LEFT(CH1232,8))),ISNUMBER(-LEFT(CH1232,8))),VALUE(LEFT(CH1232,4)),VALUE(LEFT(CH1232,FIND("-",CH1232)-1)))+2000,IF(AND(LEN(CH1232)=9,ISERROR(FIND("-",LEFT(CH1232,8))),ISNUMBER(-LEFT(CH1232,8))),VALUE(LEFT(CH1232,4)),VALUE(LEFT(CH1232,FIND("-",CH1232)-1)))),""))</f>
        <v/>
      </c>
      <c r="CN1232">
        <f>IF(CH1232="","",IFERROR(IF(AND(LEN(CH1232)=9,ISERROR(FIND("-",LEFT(CH1232,8))),ISNUMBER(-LEFT(CH1232,8))),VALUE(MID(CH1232,5,2)),VALUE(MID(CH1232,FIND("-",CH1232)+1,FIND("-",CH1232,FIND("-",CH1232)+1)-FIND("-",CH1232)-1))),""))</f>
        <v/>
      </c>
      <c r="CO1232">
        <f>IF(CH1232="","",IFERROR(IF(AND(LEN(CH1232)=9,ISERROR(FIND("-",LEFT(CH1232,8))),ISNUMBER(-LEFT(CH1232,8))),VALUE(MID(CH1232,7,2)),VALUE(MID(CH1232,FIND("-",CH1232,FIND("-",CH1232)+1)+1,FIND("-",CH1232,FIND("-",CH1232,FIND("-",CH1232)+1)+1)-FIND("-",CH1232,FIND("-",CH1232)+1)-1))),""))</f>
        <v/>
      </c>
    </row>
    <row r="1233">
      <c r="CH1233">
        <f>IF(ISTEXT('월 가계부'!A1233),SUBSTITUTE(SUBSTITUTE(SUBSTITUTE(SUBSTITUTE(SUBSTITUTE(SUBSTITUTE(SUBSTITUTE(SUBSTITUTE(SUBSTITUTE(TRIM('월 가계부'!A1233),"년","-"),"월","-"),"일",""),".","-"),"/","-")," ","-"),"--","-"),"--","-"),"--","-")&amp;"-","")</f>
        <v/>
      </c>
      <c r="CI1233">
        <f>IFERROR(IF('월 가계부'!A1233="","",IF(ISNUMBER('월 가계부'!A1233),IF(AND('월 가계부'!A1233&gt;=19000101,'월 가계부'!A1233&lt;=21001231),IF(AND(MOD(INT('월 가계부'!A1233/100),100)&gt;=1,MOD(INT('월 가계부'!A1233/100),100)&lt;=12,MOD(INT('월 가계부'!A1233),100)&gt;=1,MOD(INT('월 가계부'!A1233),100)&lt;=31),IF(MONTH(DATE(INT('월 가계부'!A1233/10000),MOD(INT('월 가계부'!A1233/100),100),MOD(INT('월 가계부'!A1233),100)))=MOD(INT('월 가계부'!A1233/100),100),DATE(INT('월 가계부'!A1233/10000),MOD(INT('월 가계부'!A1233/100),100),MOD(INT('월 가계부'!A1233),100)),""),""),IF(AND('월 가계부'!A1233&gt;=36526,'월 가계부'!A1233&lt;73051),INT('월 가계부'!A1233),"")),IF(OR(CM1233="",CN1233="",CO1233=""),"",IF(AND(CM1233&gt;=2000,CM1233&lt;=2099,CN1233&gt;=1,CN1233&lt;=12,CO1233&gt;=1,CO1233&lt;=31),IF(MONTH(DATE(CM1233,CN1233,CO1233))=CN1233,DATE(CM1233,CN1233,CO1233),""),"")))),"")</f>
        <v/>
      </c>
      <c r="CJ1233">
        <f>IFERROR(IF('월 가계부'!C1233="","",IF(ISNUMBER('월 가계부'!C1233),'월 가계부'!C1233,VALUE(SUBSTITUTE(SUBSTITUTE(SUBSTITUTE(SUBSTITUTE(TRIM('월 가계부'!C1233),",",""),"원","")," ",""),"−","-")))),"")</f>
        <v/>
      </c>
      <c r="CK1233">
        <f>IF(ISNUMBER(CI1233),IF(CI1233&lt;$B$13,CI1233,""),"")</f>
        <v/>
      </c>
      <c r="CM1233">
        <f>IF(CH1233="","",IFERROR(IF(IF(AND(LEN(CH1233)=9,ISERROR(FIND("-",LEFT(CH1233,8))),ISNUMBER(-LEFT(CH1233,8))),VALUE(LEFT(CH1233,4)),VALUE(LEFT(CH1233,FIND("-",CH1233)-1)))&lt;100,IF(AND(LEN(CH1233)=9,ISERROR(FIND("-",LEFT(CH1233,8))),ISNUMBER(-LEFT(CH1233,8))),VALUE(LEFT(CH1233,4)),VALUE(LEFT(CH1233,FIND("-",CH1233)-1)))+2000,IF(AND(LEN(CH1233)=9,ISERROR(FIND("-",LEFT(CH1233,8))),ISNUMBER(-LEFT(CH1233,8))),VALUE(LEFT(CH1233,4)),VALUE(LEFT(CH1233,FIND("-",CH1233)-1)))),""))</f>
        <v/>
      </c>
      <c r="CN1233">
        <f>IF(CH1233="","",IFERROR(IF(AND(LEN(CH1233)=9,ISERROR(FIND("-",LEFT(CH1233,8))),ISNUMBER(-LEFT(CH1233,8))),VALUE(MID(CH1233,5,2)),VALUE(MID(CH1233,FIND("-",CH1233)+1,FIND("-",CH1233,FIND("-",CH1233)+1)-FIND("-",CH1233)-1))),""))</f>
        <v/>
      </c>
      <c r="CO1233">
        <f>IF(CH1233="","",IFERROR(IF(AND(LEN(CH1233)=9,ISERROR(FIND("-",LEFT(CH1233,8))),ISNUMBER(-LEFT(CH1233,8))),VALUE(MID(CH1233,7,2)),VALUE(MID(CH1233,FIND("-",CH1233,FIND("-",CH1233)+1)+1,FIND("-",CH1233,FIND("-",CH1233,FIND("-",CH1233)+1)+1)-FIND("-",CH1233,FIND("-",CH1233)+1)-1))),""))</f>
        <v/>
      </c>
    </row>
    <row r="1234">
      <c r="CH1234">
        <f>IF(ISTEXT('월 가계부'!A1234),SUBSTITUTE(SUBSTITUTE(SUBSTITUTE(SUBSTITUTE(SUBSTITUTE(SUBSTITUTE(SUBSTITUTE(SUBSTITUTE(SUBSTITUTE(TRIM('월 가계부'!A1234),"년","-"),"월","-"),"일",""),".","-"),"/","-")," ","-"),"--","-"),"--","-"),"--","-")&amp;"-","")</f>
        <v/>
      </c>
      <c r="CI1234">
        <f>IFERROR(IF('월 가계부'!A1234="","",IF(ISNUMBER('월 가계부'!A1234),IF(AND('월 가계부'!A1234&gt;=19000101,'월 가계부'!A1234&lt;=21001231),IF(AND(MOD(INT('월 가계부'!A1234/100),100)&gt;=1,MOD(INT('월 가계부'!A1234/100),100)&lt;=12,MOD(INT('월 가계부'!A1234),100)&gt;=1,MOD(INT('월 가계부'!A1234),100)&lt;=31),IF(MONTH(DATE(INT('월 가계부'!A1234/10000),MOD(INT('월 가계부'!A1234/100),100),MOD(INT('월 가계부'!A1234),100)))=MOD(INT('월 가계부'!A1234/100),100),DATE(INT('월 가계부'!A1234/10000),MOD(INT('월 가계부'!A1234/100),100),MOD(INT('월 가계부'!A1234),100)),""),""),IF(AND('월 가계부'!A1234&gt;=36526,'월 가계부'!A1234&lt;73051),INT('월 가계부'!A1234),"")),IF(OR(CM1234="",CN1234="",CO1234=""),"",IF(AND(CM1234&gt;=2000,CM1234&lt;=2099,CN1234&gt;=1,CN1234&lt;=12,CO1234&gt;=1,CO1234&lt;=31),IF(MONTH(DATE(CM1234,CN1234,CO1234))=CN1234,DATE(CM1234,CN1234,CO1234),""),"")))),"")</f>
        <v/>
      </c>
      <c r="CJ1234">
        <f>IFERROR(IF('월 가계부'!C1234="","",IF(ISNUMBER('월 가계부'!C1234),'월 가계부'!C1234,VALUE(SUBSTITUTE(SUBSTITUTE(SUBSTITUTE(SUBSTITUTE(TRIM('월 가계부'!C1234),",",""),"원","")," ",""),"−","-")))),"")</f>
        <v/>
      </c>
      <c r="CK1234">
        <f>IF(ISNUMBER(CI1234),IF(CI1234&lt;$B$13,CI1234,""),"")</f>
        <v/>
      </c>
      <c r="CM1234">
        <f>IF(CH1234="","",IFERROR(IF(IF(AND(LEN(CH1234)=9,ISERROR(FIND("-",LEFT(CH1234,8))),ISNUMBER(-LEFT(CH1234,8))),VALUE(LEFT(CH1234,4)),VALUE(LEFT(CH1234,FIND("-",CH1234)-1)))&lt;100,IF(AND(LEN(CH1234)=9,ISERROR(FIND("-",LEFT(CH1234,8))),ISNUMBER(-LEFT(CH1234,8))),VALUE(LEFT(CH1234,4)),VALUE(LEFT(CH1234,FIND("-",CH1234)-1)))+2000,IF(AND(LEN(CH1234)=9,ISERROR(FIND("-",LEFT(CH1234,8))),ISNUMBER(-LEFT(CH1234,8))),VALUE(LEFT(CH1234,4)),VALUE(LEFT(CH1234,FIND("-",CH1234)-1)))),""))</f>
        <v/>
      </c>
      <c r="CN1234">
        <f>IF(CH1234="","",IFERROR(IF(AND(LEN(CH1234)=9,ISERROR(FIND("-",LEFT(CH1234,8))),ISNUMBER(-LEFT(CH1234,8))),VALUE(MID(CH1234,5,2)),VALUE(MID(CH1234,FIND("-",CH1234)+1,FIND("-",CH1234,FIND("-",CH1234)+1)-FIND("-",CH1234)-1))),""))</f>
        <v/>
      </c>
      <c r="CO1234">
        <f>IF(CH1234="","",IFERROR(IF(AND(LEN(CH1234)=9,ISERROR(FIND("-",LEFT(CH1234,8))),ISNUMBER(-LEFT(CH1234,8))),VALUE(MID(CH1234,7,2)),VALUE(MID(CH1234,FIND("-",CH1234,FIND("-",CH1234)+1)+1,FIND("-",CH1234,FIND("-",CH1234,FIND("-",CH1234)+1)+1)-FIND("-",CH1234,FIND("-",CH1234)+1)-1))),""))</f>
        <v/>
      </c>
    </row>
    <row r="1235">
      <c r="CH1235">
        <f>IF(ISTEXT('월 가계부'!A1235),SUBSTITUTE(SUBSTITUTE(SUBSTITUTE(SUBSTITUTE(SUBSTITUTE(SUBSTITUTE(SUBSTITUTE(SUBSTITUTE(SUBSTITUTE(TRIM('월 가계부'!A1235),"년","-"),"월","-"),"일",""),".","-"),"/","-")," ","-"),"--","-"),"--","-"),"--","-")&amp;"-","")</f>
        <v/>
      </c>
      <c r="CI1235">
        <f>IFERROR(IF('월 가계부'!A1235="","",IF(ISNUMBER('월 가계부'!A1235),IF(AND('월 가계부'!A1235&gt;=19000101,'월 가계부'!A1235&lt;=21001231),IF(AND(MOD(INT('월 가계부'!A1235/100),100)&gt;=1,MOD(INT('월 가계부'!A1235/100),100)&lt;=12,MOD(INT('월 가계부'!A1235),100)&gt;=1,MOD(INT('월 가계부'!A1235),100)&lt;=31),IF(MONTH(DATE(INT('월 가계부'!A1235/10000),MOD(INT('월 가계부'!A1235/100),100),MOD(INT('월 가계부'!A1235),100)))=MOD(INT('월 가계부'!A1235/100),100),DATE(INT('월 가계부'!A1235/10000),MOD(INT('월 가계부'!A1235/100),100),MOD(INT('월 가계부'!A1235),100)),""),""),IF(AND('월 가계부'!A1235&gt;=36526,'월 가계부'!A1235&lt;73051),INT('월 가계부'!A1235),"")),IF(OR(CM1235="",CN1235="",CO1235=""),"",IF(AND(CM1235&gt;=2000,CM1235&lt;=2099,CN1235&gt;=1,CN1235&lt;=12,CO1235&gt;=1,CO1235&lt;=31),IF(MONTH(DATE(CM1235,CN1235,CO1235))=CN1235,DATE(CM1235,CN1235,CO1235),""),"")))),"")</f>
        <v/>
      </c>
      <c r="CJ1235">
        <f>IFERROR(IF('월 가계부'!C1235="","",IF(ISNUMBER('월 가계부'!C1235),'월 가계부'!C1235,VALUE(SUBSTITUTE(SUBSTITUTE(SUBSTITUTE(SUBSTITUTE(TRIM('월 가계부'!C1235),",",""),"원","")," ",""),"−","-")))),"")</f>
        <v/>
      </c>
      <c r="CK1235">
        <f>IF(ISNUMBER(CI1235),IF(CI1235&lt;$B$13,CI1235,""),"")</f>
        <v/>
      </c>
      <c r="CM1235">
        <f>IF(CH1235="","",IFERROR(IF(IF(AND(LEN(CH1235)=9,ISERROR(FIND("-",LEFT(CH1235,8))),ISNUMBER(-LEFT(CH1235,8))),VALUE(LEFT(CH1235,4)),VALUE(LEFT(CH1235,FIND("-",CH1235)-1)))&lt;100,IF(AND(LEN(CH1235)=9,ISERROR(FIND("-",LEFT(CH1235,8))),ISNUMBER(-LEFT(CH1235,8))),VALUE(LEFT(CH1235,4)),VALUE(LEFT(CH1235,FIND("-",CH1235)-1)))+2000,IF(AND(LEN(CH1235)=9,ISERROR(FIND("-",LEFT(CH1235,8))),ISNUMBER(-LEFT(CH1235,8))),VALUE(LEFT(CH1235,4)),VALUE(LEFT(CH1235,FIND("-",CH1235)-1)))),""))</f>
        <v/>
      </c>
      <c r="CN1235">
        <f>IF(CH1235="","",IFERROR(IF(AND(LEN(CH1235)=9,ISERROR(FIND("-",LEFT(CH1235,8))),ISNUMBER(-LEFT(CH1235,8))),VALUE(MID(CH1235,5,2)),VALUE(MID(CH1235,FIND("-",CH1235)+1,FIND("-",CH1235,FIND("-",CH1235)+1)-FIND("-",CH1235)-1))),""))</f>
        <v/>
      </c>
      <c r="CO1235">
        <f>IF(CH1235="","",IFERROR(IF(AND(LEN(CH1235)=9,ISERROR(FIND("-",LEFT(CH1235,8))),ISNUMBER(-LEFT(CH1235,8))),VALUE(MID(CH1235,7,2)),VALUE(MID(CH1235,FIND("-",CH1235,FIND("-",CH1235)+1)+1,FIND("-",CH1235,FIND("-",CH1235,FIND("-",CH1235)+1)+1)-FIND("-",CH1235,FIND("-",CH1235)+1)-1))),""))</f>
        <v/>
      </c>
    </row>
    <row r="1236">
      <c r="CH1236">
        <f>IF(ISTEXT('월 가계부'!A1236),SUBSTITUTE(SUBSTITUTE(SUBSTITUTE(SUBSTITUTE(SUBSTITUTE(SUBSTITUTE(SUBSTITUTE(SUBSTITUTE(SUBSTITUTE(TRIM('월 가계부'!A1236),"년","-"),"월","-"),"일",""),".","-"),"/","-")," ","-"),"--","-"),"--","-"),"--","-")&amp;"-","")</f>
        <v/>
      </c>
      <c r="CI1236">
        <f>IFERROR(IF('월 가계부'!A1236="","",IF(ISNUMBER('월 가계부'!A1236),IF(AND('월 가계부'!A1236&gt;=19000101,'월 가계부'!A1236&lt;=21001231),IF(AND(MOD(INT('월 가계부'!A1236/100),100)&gt;=1,MOD(INT('월 가계부'!A1236/100),100)&lt;=12,MOD(INT('월 가계부'!A1236),100)&gt;=1,MOD(INT('월 가계부'!A1236),100)&lt;=31),IF(MONTH(DATE(INT('월 가계부'!A1236/10000),MOD(INT('월 가계부'!A1236/100),100),MOD(INT('월 가계부'!A1236),100)))=MOD(INT('월 가계부'!A1236/100),100),DATE(INT('월 가계부'!A1236/10000),MOD(INT('월 가계부'!A1236/100),100),MOD(INT('월 가계부'!A1236),100)),""),""),IF(AND('월 가계부'!A1236&gt;=36526,'월 가계부'!A1236&lt;73051),INT('월 가계부'!A1236),"")),IF(OR(CM1236="",CN1236="",CO1236=""),"",IF(AND(CM1236&gt;=2000,CM1236&lt;=2099,CN1236&gt;=1,CN1236&lt;=12,CO1236&gt;=1,CO1236&lt;=31),IF(MONTH(DATE(CM1236,CN1236,CO1236))=CN1236,DATE(CM1236,CN1236,CO1236),""),"")))),"")</f>
        <v/>
      </c>
      <c r="CJ1236">
        <f>IFERROR(IF('월 가계부'!C1236="","",IF(ISNUMBER('월 가계부'!C1236),'월 가계부'!C1236,VALUE(SUBSTITUTE(SUBSTITUTE(SUBSTITUTE(SUBSTITUTE(TRIM('월 가계부'!C1236),",",""),"원","")," ",""),"−","-")))),"")</f>
        <v/>
      </c>
      <c r="CK1236">
        <f>IF(ISNUMBER(CI1236),IF(CI1236&lt;$B$13,CI1236,""),"")</f>
        <v/>
      </c>
      <c r="CM1236">
        <f>IF(CH1236="","",IFERROR(IF(IF(AND(LEN(CH1236)=9,ISERROR(FIND("-",LEFT(CH1236,8))),ISNUMBER(-LEFT(CH1236,8))),VALUE(LEFT(CH1236,4)),VALUE(LEFT(CH1236,FIND("-",CH1236)-1)))&lt;100,IF(AND(LEN(CH1236)=9,ISERROR(FIND("-",LEFT(CH1236,8))),ISNUMBER(-LEFT(CH1236,8))),VALUE(LEFT(CH1236,4)),VALUE(LEFT(CH1236,FIND("-",CH1236)-1)))+2000,IF(AND(LEN(CH1236)=9,ISERROR(FIND("-",LEFT(CH1236,8))),ISNUMBER(-LEFT(CH1236,8))),VALUE(LEFT(CH1236,4)),VALUE(LEFT(CH1236,FIND("-",CH1236)-1)))),""))</f>
        <v/>
      </c>
      <c r="CN1236">
        <f>IF(CH1236="","",IFERROR(IF(AND(LEN(CH1236)=9,ISERROR(FIND("-",LEFT(CH1236,8))),ISNUMBER(-LEFT(CH1236,8))),VALUE(MID(CH1236,5,2)),VALUE(MID(CH1236,FIND("-",CH1236)+1,FIND("-",CH1236,FIND("-",CH1236)+1)-FIND("-",CH1236)-1))),""))</f>
        <v/>
      </c>
      <c r="CO1236">
        <f>IF(CH1236="","",IFERROR(IF(AND(LEN(CH1236)=9,ISERROR(FIND("-",LEFT(CH1236,8))),ISNUMBER(-LEFT(CH1236,8))),VALUE(MID(CH1236,7,2)),VALUE(MID(CH1236,FIND("-",CH1236,FIND("-",CH1236)+1)+1,FIND("-",CH1236,FIND("-",CH1236,FIND("-",CH1236)+1)+1)-FIND("-",CH1236,FIND("-",CH1236)+1)-1))),""))</f>
        <v/>
      </c>
    </row>
    <row r="1237">
      <c r="CH1237">
        <f>IF(ISTEXT('월 가계부'!A1237),SUBSTITUTE(SUBSTITUTE(SUBSTITUTE(SUBSTITUTE(SUBSTITUTE(SUBSTITUTE(SUBSTITUTE(SUBSTITUTE(SUBSTITUTE(TRIM('월 가계부'!A1237),"년","-"),"월","-"),"일",""),".","-"),"/","-")," ","-"),"--","-"),"--","-"),"--","-")&amp;"-","")</f>
        <v/>
      </c>
      <c r="CI1237">
        <f>IFERROR(IF('월 가계부'!A1237="","",IF(ISNUMBER('월 가계부'!A1237),IF(AND('월 가계부'!A1237&gt;=19000101,'월 가계부'!A1237&lt;=21001231),IF(AND(MOD(INT('월 가계부'!A1237/100),100)&gt;=1,MOD(INT('월 가계부'!A1237/100),100)&lt;=12,MOD(INT('월 가계부'!A1237),100)&gt;=1,MOD(INT('월 가계부'!A1237),100)&lt;=31),IF(MONTH(DATE(INT('월 가계부'!A1237/10000),MOD(INT('월 가계부'!A1237/100),100),MOD(INT('월 가계부'!A1237),100)))=MOD(INT('월 가계부'!A1237/100),100),DATE(INT('월 가계부'!A1237/10000),MOD(INT('월 가계부'!A1237/100),100),MOD(INT('월 가계부'!A1237),100)),""),""),IF(AND('월 가계부'!A1237&gt;=36526,'월 가계부'!A1237&lt;73051),INT('월 가계부'!A1237),"")),IF(OR(CM1237="",CN1237="",CO1237=""),"",IF(AND(CM1237&gt;=2000,CM1237&lt;=2099,CN1237&gt;=1,CN1237&lt;=12,CO1237&gt;=1,CO1237&lt;=31),IF(MONTH(DATE(CM1237,CN1237,CO1237))=CN1237,DATE(CM1237,CN1237,CO1237),""),"")))),"")</f>
        <v/>
      </c>
      <c r="CJ1237">
        <f>IFERROR(IF('월 가계부'!C1237="","",IF(ISNUMBER('월 가계부'!C1237),'월 가계부'!C1237,VALUE(SUBSTITUTE(SUBSTITUTE(SUBSTITUTE(SUBSTITUTE(TRIM('월 가계부'!C1237),",",""),"원","")," ",""),"−","-")))),"")</f>
        <v/>
      </c>
      <c r="CK1237">
        <f>IF(ISNUMBER(CI1237),IF(CI1237&lt;$B$13,CI1237,""),"")</f>
        <v/>
      </c>
      <c r="CM1237">
        <f>IF(CH1237="","",IFERROR(IF(IF(AND(LEN(CH1237)=9,ISERROR(FIND("-",LEFT(CH1237,8))),ISNUMBER(-LEFT(CH1237,8))),VALUE(LEFT(CH1237,4)),VALUE(LEFT(CH1237,FIND("-",CH1237)-1)))&lt;100,IF(AND(LEN(CH1237)=9,ISERROR(FIND("-",LEFT(CH1237,8))),ISNUMBER(-LEFT(CH1237,8))),VALUE(LEFT(CH1237,4)),VALUE(LEFT(CH1237,FIND("-",CH1237)-1)))+2000,IF(AND(LEN(CH1237)=9,ISERROR(FIND("-",LEFT(CH1237,8))),ISNUMBER(-LEFT(CH1237,8))),VALUE(LEFT(CH1237,4)),VALUE(LEFT(CH1237,FIND("-",CH1237)-1)))),""))</f>
        <v/>
      </c>
      <c r="CN1237">
        <f>IF(CH1237="","",IFERROR(IF(AND(LEN(CH1237)=9,ISERROR(FIND("-",LEFT(CH1237,8))),ISNUMBER(-LEFT(CH1237,8))),VALUE(MID(CH1237,5,2)),VALUE(MID(CH1237,FIND("-",CH1237)+1,FIND("-",CH1237,FIND("-",CH1237)+1)-FIND("-",CH1237)-1))),""))</f>
        <v/>
      </c>
      <c r="CO1237">
        <f>IF(CH1237="","",IFERROR(IF(AND(LEN(CH1237)=9,ISERROR(FIND("-",LEFT(CH1237,8))),ISNUMBER(-LEFT(CH1237,8))),VALUE(MID(CH1237,7,2)),VALUE(MID(CH1237,FIND("-",CH1237,FIND("-",CH1237)+1)+1,FIND("-",CH1237,FIND("-",CH1237,FIND("-",CH1237)+1)+1)-FIND("-",CH1237,FIND("-",CH1237)+1)-1))),""))</f>
        <v/>
      </c>
    </row>
    <row r="1238">
      <c r="CH1238">
        <f>IF(ISTEXT('월 가계부'!A1238),SUBSTITUTE(SUBSTITUTE(SUBSTITUTE(SUBSTITUTE(SUBSTITUTE(SUBSTITUTE(SUBSTITUTE(SUBSTITUTE(SUBSTITUTE(TRIM('월 가계부'!A1238),"년","-"),"월","-"),"일",""),".","-"),"/","-")," ","-"),"--","-"),"--","-"),"--","-")&amp;"-","")</f>
        <v/>
      </c>
      <c r="CI1238">
        <f>IFERROR(IF('월 가계부'!A1238="","",IF(ISNUMBER('월 가계부'!A1238),IF(AND('월 가계부'!A1238&gt;=19000101,'월 가계부'!A1238&lt;=21001231),IF(AND(MOD(INT('월 가계부'!A1238/100),100)&gt;=1,MOD(INT('월 가계부'!A1238/100),100)&lt;=12,MOD(INT('월 가계부'!A1238),100)&gt;=1,MOD(INT('월 가계부'!A1238),100)&lt;=31),IF(MONTH(DATE(INT('월 가계부'!A1238/10000),MOD(INT('월 가계부'!A1238/100),100),MOD(INT('월 가계부'!A1238),100)))=MOD(INT('월 가계부'!A1238/100),100),DATE(INT('월 가계부'!A1238/10000),MOD(INT('월 가계부'!A1238/100),100),MOD(INT('월 가계부'!A1238),100)),""),""),IF(AND('월 가계부'!A1238&gt;=36526,'월 가계부'!A1238&lt;73051),INT('월 가계부'!A1238),"")),IF(OR(CM1238="",CN1238="",CO1238=""),"",IF(AND(CM1238&gt;=2000,CM1238&lt;=2099,CN1238&gt;=1,CN1238&lt;=12,CO1238&gt;=1,CO1238&lt;=31),IF(MONTH(DATE(CM1238,CN1238,CO1238))=CN1238,DATE(CM1238,CN1238,CO1238),""),"")))),"")</f>
        <v/>
      </c>
      <c r="CJ1238">
        <f>IFERROR(IF('월 가계부'!C1238="","",IF(ISNUMBER('월 가계부'!C1238),'월 가계부'!C1238,VALUE(SUBSTITUTE(SUBSTITUTE(SUBSTITUTE(SUBSTITUTE(TRIM('월 가계부'!C1238),",",""),"원","")," ",""),"−","-")))),"")</f>
        <v/>
      </c>
      <c r="CK1238">
        <f>IF(ISNUMBER(CI1238),IF(CI1238&lt;$B$13,CI1238,""),"")</f>
        <v/>
      </c>
      <c r="CM1238">
        <f>IF(CH1238="","",IFERROR(IF(IF(AND(LEN(CH1238)=9,ISERROR(FIND("-",LEFT(CH1238,8))),ISNUMBER(-LEFT(CH1238,8))),VALUE(LEFT(CH1238,4)),VALUE(LEFT(CH1238,FIND("-",CH1238)-1)))&lt;100,IF(AND(LEN(CH1238)=9,ISERROR(FIND("-",LEFT(CH1238,8))),ISNUMBER(-LEFT(CH1238,8))),VALUE(LEFT(CH1238,4)),VALUE(LEFT(CH1238,FIND("-",CH1238)-1)))+2000,IF(AND(LEN(CH1238)=9,ISERROR(FIND("-",LEFT(CH1238,8))),ISNUMBER(-LEFT(CH1238,8))),VALUE(LEFT(CH1238,4)),VALUE(LEFT(CH1238,FIND("-",CH1238)-1)))),""))</f>
        <v/>
      </c>
      <c r="CN1238">
        <f>IF(CH1238="","",IFERROR(IF(AND(LEN(CH1238)=9,ISERROR(FIND("-",LEFT(CH1238,8))),ISNUMBER(-LEFT(CH1238,8))),VALUE(MID(CH1238,5,2)),VALUE(MID(CH1238,FIND("-",CH1238)+1,FIND("-",CH1238,FIND("-",CH1238)+1)-FIND("-",CH1238)-1))),""))</f>
        <v/>
      </c>
      <c r="CO1238">
        <f>IF(CH1238="","",IFERROR(IF(AND(LEN(CH1238)=9,ISERROR(FIND("-",LEFT(CH1238,8))),ISNUMBER(-LEFT(CH1238,8))),VALUE(MID(CH1238,7,2)),VALUE(MID(CH1238,FIND("-",CH1238,FIND("-",CH1238)+1)+1,FIND("-",CH1238,FIND("-",CH1238,FIND("-",CH1238)+1)+1)-FIND("-",CH1238,FIND("-",CH1238)+1)-1))),""))</f>
        <v/>
      </c>
    </row>
    <row r="1239">
      <c r="CH1239">
        <f>IF(ISTEXT('월 가계부'!A1239),SUBSTITUTE(SUBSTITUTE(SUBSTITUTE(SUBSTITUTE(SUBSTITUTE(SUBSTITUTE(SUBSTITUTE(SUBSTITUTE(SUBSTITUTE(TRIM('월 가계부'!A1239),"년","-"),"월","-"),"일",""),".","-"),"/","-")," ","-"),"--","-"),"--","-"),"--","-")&amp;"-","")</f>
        <v/>
      </c>
      <c r="CI1239">
        <f>IFERROR(IF('월 가계부'!A1239="","",IF(ISNUMBER('월 가계부'!A1239),IF(AND('월 가계부'!A1239&gt;=19000101,'월 가계부'!A1239&lt;=21001231),IF(AND(MOD(INT('월 가계부'!A1239/100),100)&gt;=1,MOD(INT('월 가계부'!A1239/100),100)&lt;=12,MOD(INT('월 가계부'!A1239),100)&gt;=1,MOD(INT('월 가계부'!A1239),100)&lt;=31),IF(MONTH(DATE(INT('월 가계부'!A1239/10000),MOD(INT('월 가계부'!A1239/100),100),MOD(INT('월 가계부'!A1239),100)))=MOD(INT('월 가계부'!A1239/100),100),DATE(INT('월 가계부'!A1239/10000),MOD(INT('월 가계부'!A1239/100),100),MOD(INT('월 가계부'!A1239),100)),""),""),IF(AND('월 가계부'!A1239&gt;=36526,'월 가계부'!A1239&lt;73051),INT('월 가계부'!A1239),"")),IF(OR(CM1239="",CN1239="",CO1239=""),"",IF(AND(CM1239&gt;=2000,CM1239&lt;=2099,CN1239&gt;=1,CN1239&lt;=12,CO1239&gt;=1,CO1239&lt;=31),IF(MONTH(DATE(CM1239,CN1239,CO1239))=CN1239,DATE(CM1239,CN1239,CO1239),""),"")))),"")</f>
        <v/>
      </c>
      <c r="CJ1239">
        <f>IFERROR(IF('월 가계부'!C1239="","",IF(ISNUMBER('월 가계부'!C1239),'월 가계부'!C1239,VALUE(SUBSTITUTE(SUBSTITUTE(SUBSTITUTE(SUBSTITUTE(TRIM('월 가계부'!C1239),",",""),"원","")," ",""),"−","-")))),"")</f>
        <v/>
      </c>
      <c r="CK1239">
        <f>IF(ISNUMBER(CI1239),IF(CI1239&lt;$B$13,CI1239,""),"")</f>
        <v/>
      </c>
      <c r="CM1239">
        <f>IF(CH1239="","",IFERROR(IF(IF(AND(LEN(CH1239)=9,ISERROR(FIND("-",LEFT(CH1239,8))),ISNUMBER(-LEFT(CH1239,8))),VALUE(LEFT(CH1239,4)),VALUE(LEFT(CH1239,FIND("-",CH1239)-1)))&lt;100,IF(AND(LEN(CH1239)=9,ISERROR(FIND("-",LEFT(CH1239,8))),ISNUMBER(-LEFT(CH1239,8))),VALUE(LEFT(CH1239,4)),VALUE(LEFT(CH1239,FIND("-",CH1239)-1)))+2000,IF(AND(LEN(CH1239)=9,ISERROR(FIND("-",LEFT(CH1239,8))),ISNUMBER(-LEFT(CH1239,8))),VALUE(LEFT(CH1239,4)),VALUE(LEFT(CH1239,FIND("-",CH1239)-1)))),""))</f>
        <v/>
      </c>
      <c r="CN1239">
        <f>IF(CH1239="","",IFERROR(IF(AND(LEN(CH1239)=9,ISERROR(FIND("-",LEFT(CH1239,8))),ISNUMBER(-LEFT(CH1239,8))),VALUE(MID(CH1239,5,2)),VALUE(MID(CH1239,FIND("-",CH1239)+1,FIND("-",CH1239,FIND("-",CH1239)+1)-FIND("-",CH1239)-1))),""))</f>
        <v/>
      </c>
      <c r="CO1239">
        <f>IF(CH1239="","",IFERROR(IF(AND(LEN(CH1239)=9,ISERROR(FIND("-",LEFT(CH1239,8))),ISNUMBER(-LEFT(CH1239,8))),VALUE(MID(CH1239,7,2)),VALUE(MID(CH1239,FIND("-",CH1239,FIND("-",CH1239)+1)+1,FIND("-",CH1239,FIND("-",CH1239,FIND("-",CH1239)+1)+1)-FIND("-",CH1239,FIND("-",CH1239)+1)-1))),""))</f>
        <v/>
      </c>
    </row>
    <row r="1240">
      <c r="CH1240">
        <f>IF(ISTEXT('월 가계부'!A1240),SUBSTITUTE(SUBSTITUTE(SUBSTITUTE(SUBSTITUTE(SUBSTITUTE(SUBSTITUTE(SUBSTITUTE(SUBSTITUTE(SUBSTITUTE(TRIM('월 가계부'!A1240),"년","-"),"월","-"),"일",""),".","-"),"/","-")," ","-"),"--","-"),"--","-"),"--","-")&amp;"-","")</f>
        <v/>
      </c>
      <c r="CI1240">
        <f>IFERROR(IF('월 가계부'!A1240="","",IF(ISNUMBER('월 가계부'!A1240),IF(AND('월 가계부'!A1240&gt;=19000101,'월 가계부'!A1240&lt;=21001231),IF(AND(MOD(INT('월 가계부'!A1240/100),100)&gt;=1,MOD(INT('월 가계부'!A1240/100),100)&lt;=12,MOD(INT('월 가계부'!A1240),100)&gt;=1,MOD(INT('월 가계부'!A1240),100)&lt;=31),IF(MONTH(DATE(INT('월 가계부'!A1240/10000),MOD(INT('월 가계부'!A1240/100),100),MOD(INT('월 가계부'!A1240),100)))=MOD(INT('월 가계부'!A1240/100),100),DATE(INT('월 가계부'!A1240/10000),MOD(INT('월 가계부'!A1240/100),100),MOD(INT('월 가계부'!A1240),100)),""),""),IF(AND('월 가계부'!A1240&gt;=36526,'월 가계부'!A1240&lt;73051),INT('월 가계부'!A1240),"")),IF(OR(CM1240="",CN1240="",CO1240=""),"",IF(AND(CM1240&gt;=2000,CM1240&lt;=2099,CN1240&gt;=1,CN1240&lt;=12,CO1240&gt;=1,CO1240&lt;=31),IF(MONTH(DATE(CM1240,CN1240,CO1240))=CN1240,DATE(CM1240,CN1240,CO1240),""),"")))),"")</f>
        <v/>
      </c>
      <c r="CJ1240">
        <f>IFERROR(IF('월 가계부'!C1240="","",IF(ISNUMBER('월 가계부'!C1240),'월 가계부'!C1240,VALUE(SUBSTITUTE(SUBSTITUTE(SUBSTITUTE(SUBSTITUTE(TRIM('월 가계부'!C1240),",",""),"원","")," ",""),"−","-")))),"")</f>
        <v/>
      </c>
      <c r="CK1240">
        <f>IF(ISNUMBER(CI1240),IF(CI1240&lt;$B$13,CI1240,""),"")</f>
        <v/>
      </c>
      <c r="CM1240">
        <f>IF(CH1240="","",IFERROR(IF(IF(AND(LEN(CH1240)=9,ISERROR(FIND("-",LEFT(CH1240,8))),ISNUMBER(-LEFT(CH1240,8))),VALUE(LEFT(CH1240,4)),VALUE(LEFT(CH1240,FIND("-",CH1240)-1)))&lt;100,IF(AND(LEN(CH1240)=9,ISERROR(FIND("-",LEFT(CH1240,8))),ISNUMBER(-LEFT(CH1240,8))),VALUE(LEFT(CH1240,4)),VALUE(LEFT(CH1240,FIND("-",CH1240)-1)))+2000,IF(AND(LEN(CH1240)=9,ISERROR(FIND("-",LEFT(CH1240,8))),ISNUMBER(-LEFT(CH1240,8))),VALUE(LEFT(CH1240,4)),VALUE(LEFT(CH1240,FIND("-",CH1240)-1)))),""))</f>
        <v/>
      </c>
      <c r="CN1240">
        <f>IF(CH1240="","",IFERROR(IF(AND(LEN(CH1240)=9,ISERROR(FIND("-",LEFT(CH1240,8))),ISNUMBER(-LEFT(CH1240,8))),VALUE(MID(CH1240,5,2)),VALUE(MID(CH1240,FIND("-",CH1240)+1,FIND("-",CH1240,FIND("-",CH1240)+1)-FIND("-",CH1240)-1))),""))</f>
        <v/>
      </c>
      <c r="CO1240">
        <f>IF(CH1240="","",IFERROR(IF(AND(LEN(CH1240)=9,ISERROR(FIND("-",LEFT(CH1240,8))),ISNUMBER(-LEFT(CH1240,8))),VALUE(MID(CH1240,7,2)),VALUE(MID(CH1240,FIND("-",CH1240,FIND("-",CH1240)+1)+1,FIND("-",CH1240,FIND("-",CH1240,FIND("-",CH1240)+1)+1)-FIND("-",CH1240,FIND("-",CH1240)+1)-1))),""))</f>
        <v/>
      </c>
    </row>
    <row r="1241">
      <c r="CH1241">
        <f>IF(ISTEXT('월 가계부'!A1241),SUBSTITUTE(SUBSTITUTE(SUBSTITUTE(SUBSTITUTE(SUBSTITUTE(SUBSTITUTE(SUBSTITUTE(SUBSTITUTE(SUBSTITUTE(TRIM('월 가계부'!A1241),"년","-"),"월","-"),"일",""),".","-"),"/","-")," ","-"),"--","-"),"--","-"),"--","-")&amp;"-","")</f>
        <v/>
      </c>
      <c r="CI1241">
        <f>IFERROR(IF('월 가계부'!A1241="","",IF(ISNUMBER('월 가계부'!A1241),IF(AND('월 가계부'!A1241&gt;=19000101,'월 가계부'!A1241&lt;=21001231),IF(AND(MOD(INT('월 가계부'!A1241/100),100)&gt;=1,MOD(INT('월 가계부'!A1241/100),100)&lt;=12,MOD(INT('월 가계부'!A1241),100)&gt;=1,MOD(INT('월 가계부'!A1241),100)&lt;=31),IF(MONTH(DATE(INT('월 가계부'!A1241/10000),MOD(INT('월 가계부'!A1241/100),100),MOD(INT('월 가계부'!A1241),100)))=MOD(INT('월 가계부'!A1241/100),100),DATE(INT('월 가계부'!A1241/10000),MOD(INT('월 가계부'!A1241/100),100),MOD(INT('월 가계부'!A1241),100)),""),""),IF(AND('월 가계부'!A1241&gt;=36526,'월 가계부'!A1241&lt;73051),INT('월 가계부'!A1241),"")),IF(OR(CM1241="",CN1241="",CO1241=""),"",IF(AND(CM1241&gt;=2000,CM1241&lt;=2099,CN1241&gt;=1,CN1241&lt;=12,CO1241&gt;=1,CO1241&lt;=31),IF(MONTH(DATE(CM1241,CN1241,CO1241))=CN1241,DATE(CM1241,CN1241,CO1241),""),"")))),"")</f>
        <v/>
      </c>
      <c r="CJ1241">
        <f>IFERROR(IF('월 가계부'!C1241="","",IF(ISNUMBER('월 가계부'!C1241),'월 가계부'!C1241,VALUE(SUBSTITUTE(SUBSTITUTE(SUBSTITUTE(SUBSTITUTE(TRIM('월 가계부'!C1241),",",""),"원","")," ",""),"−","-")))),"")</f>
        <v/>
      </c>
      <c r="CK1241">
        <f>IF(ISNUMBER(CI1241),IF(CI1241&lt;$B$13,CI1241,""),"")</f>
        <v/>
      </c>
      <c r="CM1241">
        <f>IF(CH1241="","",IFERROR(IF(IF(AND(LEN(CH1241)=9,ISERROR(FIND("-",LEFT(CH1241,8))),ISNUMBER(-LEFT(CH1241,8))),VALUE(LEFT(CH1241,4)),VALUE(LEFT(CH1241,FIND("-",CH1241)-1)))&lt;100,IF(AND(LEN(CH1241)=9,ISERROR(FIND("-",LEFT(CH1241,8))),ISNUMBER(-LEFT(CH1241,8))),VALUE(LEFT(CH1241,4)),VALUE(LEFT(CH1241,FIND("-",CH1241)-1)))+2000,IF(AND(LEN(CH1241)=9,ISERROR(FIND("-",LEFT(CH1241,8))),ISNUMBER(-LEFT(CH1241,8))),VALUE(LEFT(CH1241,4)),VALUE(LEFT(CH1241,FIND("-",CH1241)-1)))),""))</f>
        <v/>
      </c>
      <c r="CN1241">
        <f>IF(CH1241="","",IFERROR(IF(AND(LEN(CH1241)=9,ISERROR(FIND("-",LEFT(CH1241,8))),ISNUMBER(-LEFT(CH1241,8))),VALUE(MID(CH1241,5,2)),VALUE(MID(CH1241,FIND("-",CH1241)+1,FIND("-",CH1241,FIND("-",CH1241)+1)-FIND("-",CH1241)-1))),""))</f>
        <v/>
      </c>
      <c r="CO1241">
        <f>IF(CH1241="","",IFERROR(IF(AND(LEN(CH1241)=9,ISERROR(FIND("-",LEFT(CH1241,8))),ISNUMBER(-LEFT(CH1241,8))),VALUE(MID(CH1241,7,2)),VALUE(MID(CH1241,FIND("-",CH1241,FIND("-",CH1241)+1)+1,FIND("-",CH1241,FIND("-",CH1241,FIND("-",CH1241)+1)+1)-FIND("-",CH1241,FIND("-",CH1241)+1)-1))),""))</f>
        <v/>
      </c>
    </row>
    <row r="1242">
      <c r="CH1242">
        <f>IF(ISTEXT('월 가계부'!A1242),SUBSTITUTE(SUBSTITUTE(SUBSTITUTE(SUBSTITUTE(SUBSTITUTE(SUBSTITUTE(SUBSTITUTE(SUBSTITUTE(SUBSTITUTE(TRIM('월 가계부'!A1242),"년","-"),"월","-"),"일",""),".","-"),"/","-")," ","-"),"--","-"),"--","-"),"--","-")&amp;"-","")</f>
        <v/>
      </c>
      <c r="CI1242">
        <f>IFERROR(IF('월 가계부'!A1242="","",IF(ISNUMBER('월 가계부'!A1242),IF(AND('월 가계부'!A1242&gt;=19000101,'월 가계부'!A1242&lt;=21001231),IF(AND(MOD(INT('월 가계부'!A1242/100),100)&gt;=1,MOD(INT('월 가계부'!A1242/100),100)&lt;=12,MOD(INT('월 가계부'!A1242),100)&gt;=1,MOD(INT('월 가계부'!A1242),100)&lt;=31),IF(MONTH(DATE(INT('월 가계부'!A1242/10000),MOD(INT('월 가계부'!A1242/100),100),MOD(INT('월 가계부'!A1242),100)))=MOD(INT('월 가계부'!A1242/100),100),DATE(INT('월 가계부'!A1242/10000),MOD(INT('월 가계부'!A1242/100),100),MOD(INT('월 가계부'!A1242),100)),""),""),IF(AND('월 가계부'!A1242&gt;=36526,'월 가계부'!A1242&lt;73051),INT('월 가계부'!A1242),"")),IF(OR(CM1242="",CN1242="",CO1242=""),"",IF(AND(CM1242&gt;=2000,CM1242&lt;=2099,CN1242&gt;=1,CN1242&lt;=12,CO1242&gt;=1,CO1242&lt;=31),IF(MONTH(DATE(CM1242,CN1242,CO1242))=CN1242,DATE(CM1242,CN1242,CO1242),""),"")))),"")</f>
        <v/>
      </c>
      <c r="CJ1242">
        <f>IFERROR(IF('월 가계부'!C1242="","",IF(ISNUMBER('월 가계부'!C1242),'월 가계부'!C1242,VALUE(SUBSTITUTE(SUBSTITUTE(SUBSTITUTE(SUBSTITUTE(TRIM('월 가계부'!C1242),",",""),"원","")," ",""),"−","-")))),"")</f>
        <v/>
      </c>
      <c r="CK1242">
        <f>IF(ISNUMBER(CI1242),IF(CI1242&lt;$B$13,CI1242,""),"")</f>
        <v/>
      </c>
      <c r="CM1242">
        <f>IF(CH1242="","",IFERROR(IF(IF(AND(LEN(CH1242)=9,ISERROR(FIND("-",LEFT(CH1242,8))),ISNUMBER(-LEFT(CH1242,8))),VALUE(LEFT(CH1242,4)),VALUE(LEFT(CH1242,FIND("-",CH1242)-1)))&lt;100,IF(AND(LEN(CH1242)=9,ISERROR(FIND("-",LEFT(CH1242,8))),ISNUMBER(-LEFT(CH1242,8))),VALUE(LEFT(CH1242,4)),VALUE(LEFT(CH1242,FIND("-",CH1242)-1)))+2000,IF(AND(LEN(CH1242)=9,ISERROR(FIND("-",LEFT(CH1242,8))),ISNUMBER(-LEFT(CH1242,8))),VALUE(LEFT(CH1242,4)),VALUE(LEFT(CH1242,FIND("-",CH1242)-1)))),""))</f>
        <v/>
      </c>
      <c r="CN1242">
        <f>IF(CH1242="","",IFERROR(IF(AND(LEN(CH1242)=9,ISERROR(FIND("-",LEFT(CH1242,8))),ISNUMBER(-LEFT(CH1242,8))),VALUE(MID(CH1242,5,2)),VALUE(MID(CH1242,FIND("-",CH1242)+1,FIND("-",CH1242,FIND("-",CH1242)+1)-FIND("-",CH1242)-1))),""))</f>
        <v/>
      </c>
      <c r="CO1242">
        <f>IF(CH1242="","",IFERROR(IF(AND(LEN(CH1242)=9,ISERROR(FIND("-",LEFT(CH1242,8))),ISNUMBER(-LEFT(CH1242,8))),VALUE(MID(CH1242,7,2)),VALUE(MID(CH1242,FIND("-",CH1242,FIND("-",CH1242)+1)+1,FIND("-",CH1242,FIND("-",CH1242,FIND("-",CH1242)+1)+1)-FIND("-",CH1242,FIND("-",CH1242)+1)-1))),""))</f>
        <v/>
      </c>
    </row>
    <row r="1243">
      <c r="CH1243">
        <f>IF(ISTEXT('월 가계부'!A1243),SUBSTITUTE(SUBSTITUTE(SUBSTITUTE(SUBSTITUTE(SUBSTITUTE(SUBSTITUTE(SUBSTITUTE(SUBSTITUTE(SUBSTITUTE(TRIM('월 가계부'!A1243),"년","-"),"월","-"),"일",""),".","-"),"/","-")," ","-"),"--","-"),"--","-"),"--","-")&amp;"-","")</f>
        <v/>
      </c>
      <c r="CI1243">
        <f>IFERROR(IF('월 가계부'!A1243="","",IF(ISNUMBER('월 가계부'!A1243),IF(AND('월 가계부'!A1243&gt;=19000101,'월 가계부'!A1243&lt;=21001231),IF(AND(MOD(INT('월 가계부'!A1243/100),100)&gt;=1,MOD(INT('월 가계부'!A1243/100),100)&lt;=12,MOD(INT('월 가계부'!A1243),100)&gt;=1,MOD(INT('월 가계부'!A1243),100)&lt;=31),IF(MONTH(DATE(INT('월 가계부'!A1243/10000),MOD(INT('월 가계부'!A1243/100),100),MOD(INT('월 가계부'!A1243),100)))=MOD(INT('월 가계부'!A1243/100),100),DATE(INT('월 가계부'!A1243/10000),MOD(INT('월 가계부'!A1243/100),100),MOD(INT('월 가계부'!A1243),100)),""),""),IF(AND('월 가계부'!A1243&gt;=36526,'월 가계부'!A1243&lt;73051),INT('월 가계부'!A1243),"")),IF(OR(CM1243="",CN1243="",CO1243=""),"",IF(AND(CM1243&gt;=2000,CM1243&lt;=2099,CN1243&gt;=1,CN1243&lt;=12,CO1243&gt;=1,CO1243&lt;=31),IF(MONTH(DATE(CM1243,CN1243,CO1243))=CN1243,DATE(CM1243,CN1243,CO1243),""),"")))),"")</f>
        <v/>
      </c>
      <c r="CJ1243">
        <f>IFERROR(IF('월 가계부'!C1243="","",IF(ISNUMBER('월 가계부'!C1243),'월 가계부'!C1243,VALUE(SUBSTITUTE(SUBSTITUTE(SUBSTITUTE(SUBSTITUTE(TRIM('월 가계부'!C1243),",",""),"원","")," ",""),"−","-")))),"")</f>
        <v/>
      </c>
      <c r="CK1243">
        <f>IF(ISNUMBER(CI1243),IF(CI1243&lt;$B$13,CI1243,""),"")</f>
        <v/>
      </c>
      <c r="CM1243">
        <f>IF(CH1243="","",IFERROR(IF(IF(AND(LEN(CH1243)=9,ISERROR(FIND("-",LEFT(CH1243,8))),ISNUMBER(-LEFT(CH1243,8))),VALUE(LEFT(CH1243,4)),VALUE(LEFT(CH1243,FIND("-",CH1243)-1)))&lt;100,IF(AND(LEN(CH1243)=9,ISERROR(FIND("-",LEFT(CH1243,8))),ISNUMBER(-LEFT(CH1243,8))),VALUE(LEFT(CH1243,4)),VALUE(LEFT(CH1243,FIND("-",CH1243)-1)))+2000,IF(AND(LEN(CH1243)=9,ISERROR(FIND("-",LEFT(CH1243,8))),ISNUMBER(-LEFT(CH1243,8))),VALUE(LEFT(CH1243,4)),VALUE(LEFT(CH1243,FIND("-",CH1243)-1)))),""))</f>
        <v/>
      </c>
      <c r="CN1243">
        <f>IF(CH1243="","",IFERROR(IF(AND(LEN(CH1243)=9,ISERROR(FIND("-",LEFT(CH1243,8))),ISNUMBER(-LEFT(CH1243,8))),VALUE(MID(CH1243,5,2)),VALUE(MID(CH1243,FIND("-",CH1243)+1,FIND("-",CH1243,FIND("-",CH1243)+1)-FIND("-",CH1243)-1))),""))</f>
        <v/>
      </c>
      <c r="CO1243">
        <f>IF(CH1243="","",IFERROR(IF(AND(LEN(CH1243)=9,ISERROR(FIND("-",LEFT(CH1243,8))),ISNUMBER(-LEFT(CH1243,8))),VALUE(MID(CH1243,7,2)),VALUE(MID(CH1243,FIND("-",CH1243,FIND("-",CH1243)+1)+1,FIND("-",CH1243,FIND("-",CH1243,FIND("-",CH1243)+1)+1)-FIND("-",CH1243,FIND("-",CH1243)+1)-1))),""))</f>
        <v/>
      </c>
    </row>
    <row r="1244">
      <c r="CH1244">
        <f>IF(ISTEXT('월 가계부'!A1244),SUBSTITUTE(SUBSTITUTE(SUBSTITUTE(SUBSTITUTE(SUBSTITUTE(SUBSTITUTE(SUBSTITUTE(SUBSTITUTE(SUBSTITUTE(TRIM('월 가계부'!A1244),"년","-"),"월","-"),"일",""),".","-"),"/","-")," ","-"),"--","-"),"--","-"),"--","-")&amp;"-","")</f>
        <v/>
      </c>
      <c r="CI1244">
        <f>IFERROR(IF('월 가계부'!A1244="","",IF(ISNUMBER('월 가계부'!A1244),IF(AND('월 가계부'!A1244&gt;=19000101,'월 가계부'!A1244&lt;=21001231),IF(AND(MOD(INT('월 가계부'!A1244/100),100)&gt;=1,MOD(INT('월 가계부'!A1244/100),100)&lt;=12,MOD(INT('월 가계부'!A1244),100)&gt;=1,MOD(INT('월 가계부'!A1244),100)&lt;=31),IF(MONTH(DATE(INT('월 가계부'!A1244/10000),MOD(INT('월 가계부'!A1244/100),100),MOD(INT('월 가계부'!A1244),100)))=MOD(INT('월 가계부'!A1244/100),100),DATE(INT('월 가계부'!A1244/10000),MOD(INT('월 가계부'!A1244/100),100),MOD(INT('월 가계부'!A1244),100)),""),""),IF(AND('월 가계부'!A1244&gt;=36526,'월 가계부'!A1244&lt;73051),INT('월 가계부'!A1244),"")),IF(OR(CM1244="",CN1244="",CO1244=""),"",IF(AND(CM1244&gt;=2000,CM1244&lt;=2099,CN1244&gt;=1,CN1244&lt;=12,CO1244&gt;=1,CO1244&lt;=31),IF(MONTH(DATE(CM1244,CN1244,CO1244))=CN1244,DATE(CM1244,CN1244,CO1244),""),"")))),"")</f>
        <v/>
      </c>
      <c r="CJ1244">
        <f>IFERROR(IF('월 가계부'!C1244="","",IF(ISNUMBER('월 가계부'!C1244),'월 가계부'!C1244,VALUE(SUBSTITUTE(SUBSTITUTE(SUBSTITUTE(SUBSTITUTE(TRIM('월 가계부'!C1244),",",""),"원","")," ",""),"−","-")))),"")</f>
        <v/>
      </c>
      <c r="CK1244">
        <f>IF(ISNUMBER(CI1244),IF(CI1244&lt;$B$13,CI1244,""),"")</f>
        <v/>
      </c>
      <c r="CM1244">
        <f>IF(CH1244="","",IFERROR(IF(IF(AND(LEN(CH1244)=9,ISERROR(FIND("-",LEFT(CH1244,8))),ISNUMBER(-LEFT(CH1244,8))),VALUE(LEFT(CH1244,4)),VALUE(LEFT(CH1244,FIND("-",CH1244)-1)))&lt;100,IF(AND(LEN(CH1244)=9,ISERROR(FIND("-",LEFT(CH1244,8))),ISNUMBER(-LEFT(CH1244,8))),VALUE(LEFT(CH1244,4)),VALUE(LEFT(CH1244,FIND("-",CH1244)-1)))+2000,IF(AND(LEN(CH1244)=9,ISERROR(FIND("-",LEFT(CH1244,8))),ISNUMBER(-LEFT(CH1244,8))),VALUE(LEFT(CH1244,4)),VALUE(LEFT(CH1244,FIND("-",CH1244)-1)))),""))</f>
        <v/>
      </c>
      <c r="CN1244">
        <f>IF(CH1244="","",IFERROR(IF(AND(LEN(CH1244)=9,ISERROR(FIND("-",LEFT(CH1244,8))),ISNUMBER(-LEFT(CH1244,8))),VALUE(MID(CH1244,5,2)),VALUE(MID(CH1244,FIND("-",CH1244)+1,FIND("-",CH1244,FIND("-",CH1244)+1)-FIND("-",CH1244)-1))),""))</f>
        <v/>
      </c>
      <c r="CO1244">
        <f>IF(CH1244="","",IFERROR(IF(AND(LEN(CH1244)=9,ISERROR(FIND("-",LEFT(CH1244,8))),ISNUMBER(-LEFT(CH1244,8))),VALUE(MID(CH1244,7,2)),VALUE(MID(CH1244,FIND("-",CH1244,FIND("-",CH1244)+1)+1,FIND("-",CH1244,FIND("-",CH1244,FIND("-",CH1244)+1)+1)-FIND("-",CH1244,FIND("-",CH1244)+1)-1))),""))</f>
        <v/>
      </c>
    </row>
    <row r="1245">
      <c r="CH1245">
        <f>IF(ISTEXT('월 가계부'!A1245),SUBSTITUTE(SUBSTITUTE(SUBSTITUTE(SUBSTITUTE(SUBSTITUTE(SUBSTITUTE(SUBSTITUTE(SUBSTITUTE(SUBSTITUTE(TRIM('월 가계부'!A1245),"년","-"),"월","-"),"일",""),".","-"),"/","-")," ","-"),"--","-"),"--","-"),"--","-")&amp;"-","")</f>
        <v/>
      </c>
      <c r="CI1245">
        <f>IFERROR(IF('월 가계부'!A1245="","",IF(ISNUMBER('월 가계부'!A1245),IF(AND('월 가계부'!A1245&gt;=19000101,'월 가계부'!A1245&lt;=21001231),IF(AND(MOD(INT('월 가계부'!A1245/100),100)&gt;=1,MOD(INT('월 가계부'!A1245/100),100)&lt;=12,MOD(INT('월 가계부'!A1245),100)&gt;=1,MOD(INT('월 가계부'!A1245),100)&lt;=31),IF(MONTH(DATE(INT('월 가계부'!A1245/10000),MOD(INT('월 가계부'!A1245/100),100),MOD(INT('월 가계부'!A1245),100)))=MOD(INT('월 가계부'!A1245/100),100),DATE(INT('월 가계부'!A1245/10000),MOD(INT('월 가계부'!A1245/100),100),MOD(INT('월 가계부'!A1245),100)),""),""),IF(AND('월 가계부'!A1245&gt;=36526,'월 가계부'!A1245&lt;73051),INT('월 가계부'!A1245),"")),IF(OR(CM1245="",CN1245="",CO1245=""),"",IF(AND(CM1245&gt;=2000,CM1245&lt;=2099,CN1245&gt;=1,CN1245&lt;=12,CO1245&gt;=1,CO1245&lt;=31),IF(MONTH(DATE(CM1245,CN1245,CO1245))=CN1245,DATE(CM1245,CN1245,CO1245),""),"")))),"")</f>
        <v/>
      </c>
      <c r="CJ1245">
        <f>IFERROR(IF('월 가계부'!C1245="","",IF(ISNUMBER('월 가계부'!C1245),'월 가계부'!C1245,VALUE(SUBSTITUTE(SUBSTITUTE(SUBSTITUTE(SUBSTITUTE(TRIM('월 가계부'!C1245),",",""),"원","")," ",""),"−","-")))),"")</f>
        <v/>
      </c>
      <c r="CK1245">
        <f>IF(ISNUMBER(CI1245),IF(CI1245&lt;$B$13,CI1245,""),"")</f>
        <v/>
      </c>
      <c r="CM1245">
        <f>IF(CH1245="","",IFERROR(IF(IF(AND(LEN(CH1245)=9,ISERROR(FIND("-",LEFT(CH1245,8))),ISNUMBER(-LEFT(CH1245,8))),VALUE(LEFT(CH1245,4)),VALUE(LEFT(CH1245,FIND("-",CH1245)-1)))&lt;100,IF(AND(LEN(CH1245)=9,ISERROR(FIND("-",LEFT(CH1245,8))),ISNUMBER(-LEFT(CH1245,8))),VALUE(LEFT(CH1245,4)),VALUE(LEFT(CH1245,FIND("-",CH1245)-1)))+2000,IF(AND(LEN(CH1245)=9,ISERROR(FIND("-",LEFT(CH1245,8))),ISNUMBER(-LEFT(CH1245,8))),VALUE(LEFT(CH1245,4)),VALUE(LEFT(CH1245,FIND("-",CH1245)-1)))),""))</f>
        <v/>
      </c>
      <c r="CN1245">
        <f>IF(CH1245="","",IFERROR(IF(AND(LEN(CH1245)=9,ISERROR(FIND("-",LEFT(CH1245,8))),ISNUMBER(-LEFT(CH1245,8))),VALUE(MID(CH1245,5,2)),VALUE(MID(CH1245,FIND("-",CH1245)+1,FIND("-",CH1245,FIND("-",CH1245)+1)-FIND("-",CH1245)-1))),""))</f>
        <v/>
      </c>
      <c r="CO1245">
        <f>IF(CH1245="","",IFERROR(IF(AND(LEN(CH1245)=9,ISERROR(FIND("-",LEFT(CH1245,8))),ISNUMBER(-LEFT(CH1245,8))),VALUE(MID(CH1245,7,2)),VALUE(MID(CH1245,FIND("-",CH1245,FIND("-",CH1245)+1)+1,FIND("-",CH1245,FIND("-",CH1245,FIND("-",CH1245)+1)+1)-FIND("-",CH1245,FIND("-",CH1245)+1)-1))),""))</f>
        <v/>
      </c>
    </row>
    <row r="1246">
      <c r="CH1246">
        <f>IF(ISTEXT('월 가계부'!A1246),SUBSTITUTE(SUBSTITUTE(SUBSTITUTE(SUBSTITUTE(SUBSTITUTE(SUBSTITUTE(SUBSTITUTE(SUBSTITUTE(SUBSTITUTE(TRIM('월 가계부'!A1246),"년","-"),"월","-"),"일",""),".","-"),"/","-")," ","-"),"--","-"),"--","-"),"--","-")&amp;"-","")</f>
        <v/>
      </c>
      <c r="CI1246">
        <f>IFERROR(IF('월 가계부'!A1246="","",IF(ISNUMBER('월 가계부'!A1246),IF(AND('월 가계부'!A1246&gt;=19000101,'월 가계부'!A1246&lt;=21001231),IF(AND(MOD(INT('월 가계부'!A1246/100),100)&gt;=1,MOD(INT('월 가계부'!A1246/100),100)&lt;=12,MOD(INT('월 가계부'!A1246),100)&gt;=1,MOD(INT('월 가계부'!A1246),100)&lt;=31),IF(MONTH(DATE(INT('월 가계부'!A1246/10000),MOD(INT('월 가계부'!A1246/100),100),MOD(INT('월 가계부'!A1246),100)))=MOD(INT('월 가계부'!A1246/100),100),DATE(INT('월 가계부'!A1246/10000),MOD(INT('월 가계부'!A1246/100),100),MOD(INT('월 가계부'!A1246),100)),""),""),IF(AND('월 가계부'!A1246&gt;=36526,'월 가계부'!A1246&lt;73051),INT('월 가계부'!A1246),"")),IF(OR(CM1246="",CN1246="",CO1246=""),"",IF(AND(CM1246&gt;=2000,CM1246&lt;=2099,CN1246&gt;=1,CN1246&lt;=12,CO1246&gt;=1,CO1246&lt;=31),IF(MONTH(DATE(CM1246,CN1246,CO1246))=CN1246,DATE(CM1246,CN1246,CO1246),""),"")))),"")</f>
        <v/>
      </c>
      <c r="CJ1246">
        <f>IFERROR(IF('월 가계부'!C1246="","",IF(ISNUMBER('월 가계부'!C1246),'월 가계부'!C1246,VALUE(SUBSTITUTE(SUBSTITUTE(SUBSTITUTE(SUBSTITUTE(TRIM('월 가계부'!C1246),",",""),"원","")," ",""),"−","-")))),"")</f>
        <v/>
      </c>
      <c r="CK1246">
        <f>IF(ISNUMBER(CI1246),IF(CI1246&lt;$B$13,CI1246,""),"")</f>
        <v/>
      </c>
      <c r="CM1246">
        <f>IF(CH1246="","",IFERROR(IF(IF(AND(LEN(CH1246)=9,ISERROR(FIND("-",LEFT(CH1246,8))),ISNUMBER(-LEFT(CH1246,8))),VALUE(LEFT(CH1246,4)),VALUE(LEFT(CH1246,FIND("-",CH1246)-1)))&lt;100,IF(AND(LEN(CH1246)=9,ISERROR(FIND("-",LEFT(CH1246,8))),ISNUMBER(-LEFT(CH1246,8))),VALUE(LEFT(CH1246,4)),VALUE(LEFT(CH1246,FIND("-",CH1246)-1)))+2000,IF(AND(LEN(CH1246)=9,ISERROR(FIND("-",LEFT(CH1246,8))),ISNUMBER(-LEFT(CH1246,8))),VALUE(LEFT(CH1246,4)),VALUE(LEFT(CH1246,FIND("-",CH1246)-1)))),""))</f>
        <v/>
      </c>
      <c r="CN1246">
        <f>IF(CH1246="","",IFERROR(IF(AND(LEN(CH1246)=9,ISERROR(FIND("-",LEFT(CH1246,8))),ISNUMBER(-LEFT(CH1246,8))),VALUE(MID(CH1246,5,2)),VALUE(MID(CH1246,FIND("-",CH1246)+1,FIND("-",CH1246,FIND("-",CH1246)+1)-FIND("-",CH1246)-1))),""))</f>
        <v/>
      </c>
      <c r="CO1246">
        <f>IF(CH1246="","",IFERROR(IF(AND(LEN(CH1246)=9,ISERROR(FIND("-",LEFT(CH1246,8))),ISNUMBER(-LEFT(CH1246,8))),VALUE(MID(CH1246,7,2)),VALUE(MID(CH1246,FIND("-",CH1246,FIND("-",CH1246)+1)+1,FIND("-",CH1246,FIND("-",CH1246,FIND("-",CH1246)+1)+1)-FIND("-",CH1246,FIND("-",CH1246)+1)-1))),""))</f>
        <v/>
      </c>
    </row>
    <row r="1247">
      <c r="CH1247">
        <f>IF(ISTEXT('월 가계부'!A1247),SUBSTITUTE(SUBSTITUTE(SUBSTITUTE(SUBSTITUTE(SUBSTITUTE(SUBSTITUTE(SUBSTITUTE(SUBSTITUTE(SUBSTITUTE(TRIM('월 가계부'!A1247),"년","-"),"월","-"),"일",""),".","-"),"/","-")," ","-"),"--","-"),"--","-"),"--","-")&amp;"-","")</f>
        <v/>
      </c>
      <c r="CI1247">
        <f>IFERROR(IF('월 가계부'!A1247="","",IF(ISNUMBER('월 가계부'!A1247),IF(AND('월 가계부'!A1247&gt;=19000101,'월 가계부'!A1247&lt;=21001231),IF(AND(MOD(INT('월 가계부'!A1247/100),100)&gt;=1,MOD(INT('월 가계부'!A1247/100),100)&lt;=12,MOD(INT('월 가계부'!A1247),100)&gt;=1,MOD(INT('월 가계부'!A1247),100)&lt;=31),IF(MONTH(DATE(INT('월 가계부'!A1247/10000),MOD(INT('월 가계부'!A1247/100),100),MOD(INT('월 가계부'!A1247),100)))=MOD(INT('월 가계부'!A1247/100),100),DATE(INT('월 가계부'!A1247/10000),MOD(INT('월 가계부'!A1247/100),100),MOD(INT('월 가계부'!A1247),100)),""),""),IF(AND('월 가계부'!A1247&gt;=36526,'월 가계부'!A1247&lt;73051),INT('월 가계부'!A1247),"")),IF(OR(CM1247="",CN1247="",CO1247=""),"",IF(AND(CM1247&gt;=2000,CM1247&lt;=2099,CN1247&gt;=1,CN1247&lt;=12,CO1247&gt;=1,CO1247&lt;=31),IF(MONTH(DATE(CM1247,CN1247,CO1247))=CN1247,DATE(CM1247,CN1247,CO1247),""),"")))),"")</f>
        <v/>
      </c>
      <c r="CJ1247">
        <f>IFERROR(IF('월 가계부'!C1247="","",IF(ISNUMBER('월 가계부'!C1247),'월 가계부'!C1247,VALUE(SUBSTITUTE(SUBSTITUTE(SUBSTITUTE(SUBSTITUTE(TRIM('월 가계부'!C1247),",",""),"원","")," ",""),"−","-")))),"")</f>
        <v/>
      </c>
      <c r="CK1247">
        <f>IF(ISNUMBER(CI1247),IF(CI1247&lt;$B$13,CI1247,""),"")</f>
        <v/>
      </c>
      <c r="CM1247">
        <f>IF(CH1247="","",IFERROR(IF(IF(AND(LEN(CH1247)=9,ISERROR(FIND("-",LEFT(CH1247,8))),ISNUMBER(-LEFT(CH1247,8))),VALUE(LEFT(CH1247,4)),VALUE(LEFT(CH1247,FIND("-",CH1247)-1)))&lt;100,IF(AND(LEN(CH1247)=9,ISERROR(FIND("-",LEFT(CH1247,8))),ISNUMBER(-LEFT(CH1247,8))),VALUE(LEFT(CH1247,4)),VALUE(LEFT(CH1247,FIND("-",CH1247)-1)))+2000,IF(AND(LEN(CH1247)=9,ISERROR(FIND("-",LEFT(CH1247,8))),ISNUMBER(-LEFT(CH1247,8))),VALUE(LEFT(CH1247,4)),VALUE(LEFT(CH1247,FIND("-",CH1247)-1)))),""))</f>
        <v/>
      </c>
      <c r="CN1247">
        <f>IF(CH1247="","",IFERROR(IF(AND(LEN(CH1247)=9,ISERROR(FIND("-",LEFT(CH1247,8))),ISNUMBER(-LEFT(CH1247,8))),VALUE(MID(CH1247,5,2)),VALUE(MID(CH1247,FIND("-",CH1247)+1,FIND("-",CH1247,FIND("-",CH1247)+1)-FIND("-",CH1247)-1))),""))</f>
        <v/>
      </c>
      <c r="CO1247">
        <f>IF(CH1247="","",IFERROR(IF(AND(LEN(CH1247)=9,ISERROR(FIND("-",LEFT(CH1247,8))),ISNUMBER(-LEFT(CH1247,8))),VALUE(MID(CH1247,7,2)),VALUE(MID(CH1247,FIND("-",CH1247,FIND("-",CH1247)+1)+1,FIND("-",CH1247,FIND("-",CH1247,FIND("-",CH1247)+1)+1)-FIND("-",CH1247,FIND("-",CH1247)+1)-1))),""))</f>
        <v/>
      </c>
    </row>
    <row r="1248">
      <c r="CH1248">
        <f>IF(ISTEXT('월 가계부'!A1248),SUBSTITUTE(SUBSTITUTE(SUBSTITUTE(SUBSTITUTE(SUBSTITUTE(SUBSTITUTE(SUBSTITUTE(SUBSTITUTE(SUBSTITUTE(TRIM('월 가계부'!A1248),"년","-"),"월","-"),"일",""),".","-"),"/","-")," ","-"),"--","-"),"--","-"),"--","-")&amp;"-","")</f>
        <v/>
      </c>
      <c r="CI1248">
        <f>IFERROR(IF('월 가계부'!A1248="","",IF(ISNUMBER('월 가계부'!A1248),IF(AND('월 가계부'!A1248&gt;=19000101,'월 가계부'!A1248&lt;=21001231),IF(AND(MOD(INT('월 가계부'!A1248/100),100)&gt;=1,MOD(INT('월 가계부'!A1248/100),100)&lt;=12,MOD(INT('월 가계부'!A1248),100)&gt;=1,MOD(INT('월 가계부'!A1248),100)&lt;=31),IF(MONTH(DATE(INT('월 가계부'!A1248/10000),MOD(INT('월 가계부'!A1248/100),100),MOD(INT('월 가계부'!A1248),100)))=MOD(INT('월 가계부'!A1248/100),100),DATE(INT('월 가계부'!A1248/10000),MOD(INT('월 가계부'!A1248/100),100),MOD(INT('월 가계부'!A1248),100)),""),""),IF(AND('월 가계부'!A1248&gt;=36526,'월 가계부'!A1248&lt;73051),INT('월 가계부'!A1248),"")),IF(OR(CM1248="",CN1248="",CO1248=""),"",IF(AND(CM1248&gt;=2000,CM1248&lt;=2099,CN1248&gt;=1,CN1248&lt;=12,CO1248&gt;=1,CO1248&lt;=31),IF(MONTH(DATE(CM1248,CN1248,CO1248))=CN1248,DATE(CM1248,CN1248,CO1248),""),"")))),"")</f>
        <v/>
      </c>
      <c r="CJ1248">
        <f>IFERROR(IF('월 가계부'!C1248="","",IF(ISNUMBER('월 가계부'!C1248),'월 가계부'!C1248,VALUE(SUBSTITUTE(SUBSTITUTE(SUBSTITUTE(SUBSTITUTE(TRIM('월 가계부'!C1248),",",""),"원","")," ",""),"−","-")))),"")</f>
        <v/>
      </c>
      <c r="CK1248">
        <f>IF(ISNUMBER(CI1248),IF(CI1248&lt;$B$13,CI1248,""),"")</f>
        <v/>
      </c>
      <c r="CM1248">
        <f>IF(CH1248="","",IFERROR(IF(IF(AND(LEN(CH1248)=9,ISERROR(FIND("-",LEFT(CH1248,8))),ISNUMBER(-LEFT(CH1248,8))),VALUE(LEFT(CH1248,4)),VALUE(LEFT(CH1248,FIND("-",CH1248)-1)))&lt;100,IF(AND(LEN(CH1248)=9,ISERROR(FIND("-",LEFT(CH1248,8))),ISNUMBER(-LEFT(CH1248,8))),VALUE(LEFT(CH1248,4)),VALUE(LEFT(CH1248,FIND("-",CH1248)-1)))+2000,IF(AND(LEN(CH1248)=9,ISERROR(FIND("-",LEFT(CH1248,8))),ISNUMBER(-LEFT(CH1248,8))),VALUE(LEFT(CH1248,4)),VALUE(LEFT(CH1248,FIND("-",CH1248)-1)))),""))</f>
        <v/>
      </c>
      <c r="CN1248">
        <f>IF(CH1248="","",IFERROR(IF(AND(LEN(CH1248)=9,ISERROR(FIND("-",LEFT(CH1248,8))),ISNUMBER(-LEFT(CH1248,8))),VALUE(MID(CH1248,5,2)),VALUE(MID(CH1248,FIND("-",CH1248)+1,FIND("-",CH1248,FIND("-",CH1248)+1)-FIND("-",CH1248)-1))),""))</f>
        <v/>
      </c>
      <c r="CO1248">
        <f>IF(CH1248="","",IFERROR(IF(AND(LEN(CH1248)=9,ISERROR(FIND("-",LEFT(CH1248,8))),ISNUMBER(-LEFT(CH1248,8))),VALUE(MID(CH1248,7,2)),VALUE(MID(CH1248,FIND("-",CH1248,FIND("-",CH1248)+1)+1,FIND("-",CH1248,FIND("-",CH1248,FIND("-",CH1248)+1)+1)-FIND("-",CH1248,FIND("-",CH1248)+1)-1))),""))</f>
        <v/>
      </c>
    </row>
    <row r="1249">
      <c r="CH1249">
        <f>IF(ISTEXT('월 가계부'!A1249),SUBSTITUTE(SUBSTITUTE(SUBSTITUTE(SUBSTITUTE(SUBSTITUTE(SUBSTITUTE(SUBSTITUTE(SUBSTITUTE(SUBSTITUTE(TRIM('월 가계부'!A1249),"년","-"),"월","-"),"일",""),".","-"),"/","-")," ","-"),"--","-"),"--","-"),"--","-")&amp;"-","")</f>
        <v/>
      </c>
      <c r="CI1249">
        <f>IFERROR(IF('월 가계부'!A1249="","",IF(ISNUMBER('월 가계부'!A1249),IF(AND('월 가계부'!A1249&gt;=19000101,'월 가계부'!A1249&lt;=21001231),IF(AND(MOD(INT('월 가계부'!A1249/100),100)&gt;=1,MOD(INT('월 가계부'!A1249/100),100)&lt;=12,MOD(INT('월 가계부'!A1249),100)&gt;=1,MOD(INT('월 가계부'!A1249),100)&lt;=31),IF(MONTH(DATE(INT('월 가계부'!A1249/10000),MOD(INT('월 가계부'!A1249/100),100),MOD(INT('월 가계부'!A1249),100)))=MOD(INT('월 가계부'!A1249/100),100),DATE(INT('월 가계부'!A1249/10000),MOD(INT('월 가계부'!A1249/100),100),MOD(INT('월 가계부'!A1249),100)),""),""),IF(AND('월 가계부'!A1249&gt;=36526,'월 가계부'!A1249&lt;73051),INT('월 가계부'!A1249),"")),IF(OR(CM1249="",CN1249="",CO1249=""),"",IF(AND(CM1249&gt;=2000,CM1249&lt;=2099,CN1249&gt;=1,CN1249&lt;=12,CO1249&gt;=1,CO1249&lt;=31),IF(MONTH(DATE(CM1249,CN1249,CO1249))=CN1249,DATE(CM1249,CN1249,CO1249),""),"")))),"")</f>
        <v/>
      </c>
      <c r="CJ1249">
        <f>IFERROR(IF('월 가계부'!C1249="","",IF(ISNUMBER('월 가계부'!C1249),'월 가계부'!C1249,VALUE(SUBSTITUTE(SUBSTITUTE(SUBSTITUTE(SUBSTITUTE(TRIM('월 가계부'!C1249),",",""),"원","")," ",""),"−","-")))),"")</f>
        <v/>
      </c>
      <c r="CK1249">
        <f>IF(ISNUMBER(CI1249),IF(CI1249&lt;$B$13,CI1249,""),"")</f>
        <v/>
      </c>
      <c r="CM1249">
        <f>IF(CH1249="","",IFERROR(IF(IF(AND(LEN(CH1249)=9,ISERROR(FIND("-",LEFT(CH1249,8))),ISNUMBER(-LEFT(CH1249,8))),VALUE(LEFT(CH1249,4)),VALUE(LEFT(CH1249,FIND("-",CH1249)-1)))&lt;100,IF(AND(LEN(CH1249)=9,ISERROR(FIND("-",LEFT(CH1249,8))),ISNUMBER(-LEFT(CH1249,8))),VALUE(LEFT(CH1249,4)),VALUE(LEFT(CH1249,FIND("-",CH1249)-1)))+2000,IF(AND(LEN(CH1249)=9,ISERROR(FIND("-",LEFT(CH1249,8))),ISNUMBER(-LEFT(CH1249,8))),VALUE(LEFT(CH1249,4)),VALUE(LEFT(CH1249,FIND("-",CH1249)-1)))),""))</f>
        <v/>
      </c>
      <c r="CN1249">
        <f>IF(CH1249="","",IFERROR(IF(AND(LEN(CH1249)=9,ISERROR(FIND("-",LEFT(CH1249,8))),ISNUMBER(-LEFT(CH1249,8))),VALUE(MID(CH1249,5,2)),VALUE(MID(CH1249,FIND("-",CH1249)+1,FIND("-",CH1249,FIND("-",CH1249)+1)-FIND("-",CH1249)-1))),""))</f>
        <v/>
      </c>
      <c r="CO1249">
        <f>IF(CH1249="","",IFERROR(IF(AND(LEN(CH1249)=9,ISERROR(FIND("-",LEFT(CH1249,8))),ISNUMBER(-LEFT(CH1249,8))),VALUE(MID(CH1249,7,2)),VALUE(MID(CH1249,FIND("-",CH1249,FIND("-",CH1249)+1)+1,FIND("-",CH1249,FIND("-",CH1249,FIND("-",CH1249)+1)+1)-FIND("-",CH1249,FIND("-",CH1249)+1)-1))),""))</f>
        <v/>
      </c>
    </row>
    <row r="1250">
      <c r="CH1250">
        <f>IF(ISTEXT('월 가계부'!A1250),SUBSTITUTE(SUBSTITUTE(SUBSTITUTE(SUBSTITUTE(SUBSTITUTE(SUBSTITUTE(SUBSTITUTE(SUBSTITUTE(SUBSTITUTE(TRIM('월 가계부'!A1250),"년","-"),"월","-"),"일",""),".","-"),"/","-")," ","-"),"--","-"),"--","-"),"--","-")&amp;"-","")</f>
        <v/>
      </c>
      <c r="CI1250">
        <f>IFERROR(IF('월 가계부'!A1250="","",IF(ISNUMBER('월 가계부'!A1250),IF(AND('월 가계부'!A1250&gt;=19000101,'월 가계부'!A1250&lt;=21001231),IF(AND(MOD(INT('월 가계부'!A1250/100),100)&gt;=1,MOD(INT('월 가계부'!A1250/100),100)&lt;=12,MOD(INT('월 가계부'!A1250),100)&gt;=1,MOD(INT('월 가계부'!A1250),100)&lt;=31),IF(MONTH(DATE(INT('월 가계부'!A1250/10000),MOD(INT('월 가계부'!A1250/100),100),MOD(INT('월 가계부'!A1250),100)))=MOD(INT('월 가계부'!A1250/100),100),DATE(INT('월 가계부'!A1250/10000),MOD(INT('월 가계부'!A1250/100),100),MOD(INT('월 가계부'!A1250),100)),""),""),IF(AND('월 가계부'!A1250&gt;=36526,'월 가계부'!A1250&lt;73051),INT('월 가계부'!A1250),"")),IF(OR(CM1250="",CN1250="",CO1250=""),"",IF(AND(CM1250&gt;=2000,CM1250&lt;=2099,CN1250&gt;=1,CN1250&lt;=12,CO1250&gt;=1,CO1250&lt;=31),IF(MONTH(DATE(CM1250,CN1250,CO1250))=CN1250,DATE(CM1250,CN1250,CO1250),""),"")))),"")</f>
        <v/>
      </c>
      <c r="CJ1250">
        <f>IFERROR(IF('월 가계부'!C1250="","",IF(ISNUMBER('월 가계부'!C1250),'월 가계부'!C1250,VALUE(SUBSTITUTE(SUBSTITUTE(SUBSTITUTE(SUBSTITUTE(TRIM('월 가계부'!C1250),",",""),"원","")," ",""),"−","-")))),"")</f>
        <v/>
      </c>
      <c r="CK1250">
        <f>IF(ISNUMBER(CI1250),IF(CI1250&lt;$B$13,CI1250,""),"")</f>
        <v/>
      </c>
      <c r="CM1250">
        <f>IF(CH1250="","",IFERROR(IF(IF(AND(LEN(CH1250)=9,ISERROR(FIND("-",LEFT(CH1250,8))),ISNUMBER(-LEFT(CH1250,8))),VALUE(LEFT(CH1250,4)),VALUE(LEFT(CH1250,FIND("-",CH1250)-1)))&lt;100,IF(AND(LEN(CH1250)=9,ISERROR(FIND("-",LEFT(CH1250,8))),ISNUMBER(-LEFT(CH1250,8))),VALUE(LEFT(CH1250,4)),VALUE(LEFT(CH1250,FIND("-",CH1250)-1)))+2000,IF(AND(LEN(CH1250)=9,ISERROR(FIND("-",LEFT(CH1250,8))),ISNUMBER(-LEFT(CH1250,8))),VALUE(LEFT(CH1250,4)),VALUE(LEFT(CH1250,FIND("-",CH1250)-1)))),""))</f>
        <v/>
      </c>
      <c r="CN1250">
        <f>IF(CH1250="","",IFERROR(IF(AND(LEN(CH1250)=9,ISERROR(FIND("-",LEFT(CH1250,8))),ISNUMBER(-LEFT(CH1250,8))),VALUE(MID(CH1250,5,2)),VALUE(MID(CH1250,FIND("-",CH1250)+1,FIND("-",CH1250,FIND("-",CH1250)+1)-FIND("-",CH1250)-1))),""))</f>
        <v/>
      </c>
      <c r="CO1250">
        <f>IF(CH1250="","",IFERROR(IF(AND(LEN(CH1250)=9,ISERROR(FIND("-",LEFT(CH1250,8))),ISNUMBER(-LEFT(CH1250,8))),VALUE(MID(CH1250,7,2)),VALUE(MID(CH1250,FIND("-",CH1250,FIND("-",CH1250)+1)+1,FIND("-",CH1250,FIND("-",CH1250,FIND("-",CH1250)+1)+1)-FIND("-",CH1250,FIND("-",CH1250)+1)-1))),""))</f>
        <v/>
      </c>
    </row>
    <row r="1251">
      <c r="CH1251">
        <f>IF(ISTEXT('월 가계부'!A1251),SUBSTITUTE(SUBSTITUTE(SUBSTITUTE(SUBSTITUTE(SUBSTITUTE(SUBSTITUTE(SUBSTITUTE(SUBSTITUTE(SUBSTITUTE(TRIM('월 가계부'!A1251),"년","-"),"월","-"),"일",""),".","-"),"/","-")," ","-"),"--","-"),"--","-"),"--","-")&amp;"-","")</f>
        <v/>
      </c>
      <c r="CI1251">
        <f>IFERROR(IF('월 가계부'!A1251="","",IF(ISNUMBER('월 가계부'!A1251),IF(AND('월 가계부'!A1251&gt;=19000101,'월 가계부'!A1251&lt;=21001231),IF(AND(MOD(INT('월 가계부'!A1251/100),100)&gt;=1,MOD(INT('월 가계부'!A1251/100),100)&lt;=12,MOD(INT('월 가계부'!A1251),100)&gt;=1,MOD(INT('월 가계부'!A1251),100)&lt;=31),IF(MONTH(DATE(INT('월 가계부'!A1251/10000),MOD(INT('월 가계부'!A1251/100),100),MOD(INT('월 가계부'!A1251),100)))=MOD(INT('월 가계부'!A1251/100),100),DATE(INT('월 가계부'!A1251/10000),MOD(INT('월 가계부'!A1251/100),100),MOD(INT('월 가계부'!A1251),100)),""),""),IF(AND('월 가계부'!A1251&gt;=36526,'월 가계부'!A1251&lt;73051),INT('월 가계부'!A1251),"")),IF(OR(CM1251="",CN1251="",CO1251=""),"",IF(AND(CM1251&gt;=2000,CM1251&lt;=2099,CN1251&gt;=1,CN1251&lt;=12,CO1251&gt;=1,CO1251&lt;=31),IF(MONTH(DATE(CM1251,CN1251,CO1251))=CN1251,DATE(CM1251,CN1251,CO1251),""),"")))),"")</f>
        <v/>
      </c>
      <c r="CJ1251">
        <f>IFERROR(IF('월 가계부'!C1251="","",IF(ISNUMBER('월 가계부'!C1251),'월 가계부'!C1251,VALUE(SUBSTITUTE(SUBSTITUTE(SUBSTITUTE(SUBSTITUTE(TRIM('월 가계부'!C1251),",",""),"원","")," ",""),"−","-")))),"")</f>
        <v/>
      </c>
      <c r="CK1251">
        <f>IF(ISNUMBER(CI1251),IF(CI1251&lt;$B$13,CI1251,""),"")</f>
        <v/>
      </c>
      <c r="CM1251">
        <f>IF(CH1251="","",IFERROR(IF(IF(AND(LEN(CH1251)=9,ISERROR(FIND("-",LEFT(CH1251,8))),ISNUMBER(-LEFT(CH1251,8))),VALUE(LEFT(CH1251,4)),VALUE(LEFT(CH1251,FIND("-",CH1251)-1)))&lt;100,IF(AND(LEN(CH1251)=9,ISERROR(FIND("-",LEFT(CH1251,8))),ISNUMBER(-LEFT(CH1251,8))),VALUE(LEFT(CH1251,4)),VALUE(LEFT(CH1251,FIND("-",CH1251)-1)))+2000,IF(AND(LEN(CH1251)=9,ISERROR(FIND("-",LEFT(CH1251,8))),ISNUMBER(-LEFT(CH1251,8))),VALUE(LEFT(CH1251,4)),VALUE(LEFT(CH1251,FIND("-",CH1251)-1)))),""))</f>
        <v/>
      </c>
      <c r="CN1251">
        <f>IF(CH1251="","",IFERROR(IF(AND(LEN(CH1251)=9,ISERROR(FIND("-",LEFT(CH1251,8))),ISNUMBER(-LEFT(CH1251,8))),VALUE(MID(CH1251,5,2)),VALUE(MID(CH1251,FIND("-",CH1251)+1,FIND("-",CH1251,FIND("-",CH1251)+1)-FIND("-",CH1251)-1))),""))</f>
        <v/>
      </c>
      <c r="CO1251">
        <f>IF(CH1251="","",IFERROR(IF(AND(LEN(CH1251)=9,ISERROR(FIND("-",LEFT(CH1251,8))),ISNUMBER(-LEFT(CH1251,8))),VALUE(MID(CH1251,7,2)),VALUE(MID(CH1251,FIND("-",CH1251,FIND("-",CH1251)+1)+1,FIND("-",CH1251,FIND("-",CH1251,FIND("-",CH1251)+1)+1)-FIND("-",CH1251,FIND("-",CH1251)+1)-1))),""))</f>
        <v/>
      </c>
    </row>
    <row r="1252">
      <c r="CH1252">
        <f>IF(ISTEXT('월 가계부'!A1252),SUBSTITUTE(SUBSTITUTE(SUBSTITUTE(SUBSTITUTE(SUBSTITUTE(SUBSTITUTE(SUBSTITUTE(SUBSTITUTE(SUBSTITUTE(TRIM('월 가계부'!A1252),"년","-"),"월","-"),"일",""),".","-"),"/","-")," ","-"),"--","-"),"--","-"),"--","-")&amp;"-","")</f>
        <v/>
      </c>
      <c r="CI1252">
        <f>IFERROR(IF('월 가계부'!A1252="","",IF(ISNUMBER('월 가계부'!A1252),IF(AND('월 가계부'!A1252&gt;=19000101,'월 가계부'!A1252&lt;=21001231),IF(AND(MOD(INT('월 가계부'!A1252/100),100)&gt;=1,MOD(INT('월 가계부'!A1252/100),100)&lt;=12,MOD(INT('월 가계부'!A1252),100)&gt;=1,MOD(INT('월 가계부'!A1252),100)&lt;=31),IF(MONTH(DATE(INT('월 가계부'!A1252/10000),MOD(INT('월 가계부'!A1252/100),100),MOD(INT('월 가계부'!A1252),100)))=MOD(INT('월 가계부'!A1252/100),100),DATE(INT('월 가계부'!A1252/10000),MOD(INT('월 가계부'!A1252/100),100),MOD(INT('월 가계부'!A1252),100)),""),""),IF(AND('월 가계부'!A1252&gt;=36526,'월 가계부'!A1252&lt;73051),INT('월 가계부'!A1252),"")),IF(OR(CM1252="",CN1252="",CO1252=""),"",IF(AND(CM1252&gt;=2000,CM1252&lt;=2099,CN1252&gt;=1,CN1252&lt;=12,CO1252&gt;=1,CO1252&lt;=31),IF(MONTH(DATE(CM1252,CN1252,CO1252))=CN1252,DATE(CM1252,CN1252,CO1252),""),"")))),"")</f>
        <v/>
      </c>
      <c r="CJ1252">
        <f>IFERROR(IF('월 가계부'!C1252="","",IF(ISNUMBER('월 가계부'!C1252),'월 가계부'!C1252,VALUE(SUBSTITUTE(SUBSTITUTE(SUBSTITUTE(SUBSTITUTE(TRIM('월 가계부'!C1252),",",""),"원","")," ",""),"−","-")))),"")</f>
        <v/>
      </c>
      <c r="CK1252">
        <f>IF(ISNUMBER(CI1252),IF(CI1252&lt;$B$13,CI1252,""),"")</f>
        <v/>
      </c>
      <c r="CM1252">
        <f>IF(CH1252="","",IFERROR(IF(IF(AND(LEN(CH1252)=9,ISERROR(FIND("-",LEFT(CH1252,8))),ISNUMBER(-LEFT(CH1252,8))),VALUE(LEFT(CH1252,4)),VALUE(LEFT(CH1252,FIND("-",CH1252)-1)))&lt;100,IF(AND(LEN(CH1252)=9,ISERROR(FIND("-",LEFT(CH1252,8))),ISNUMBER(-LEFT(CH1252,8))),VALUE(LEFT(CH1252,4)),VALUE(LEFT(CH1252,FIND("-",CH1252)-1)))+2000,IF(AND(LEN(CH1252)=9,ISERROR(FIND("-",LEFT(CH1252,8))),ISNUMBER(-LEFT(CH1252,8))),VALUE(LEFT(CH1252,4)),VALUE(LEFT(CH1252,FIND("-",CH1252)-1)))),""))</f>
        <v/>
      </c>
      <c r="CN1252">
        <f>IF(CH1252="","",IFERROR(IF(AND(LEN(CH1252)=9,ISERROR(FIND("-",LEFT(CH1252,8))),ISNUMBER(-LEFT(CH1252,8))),VALUE(MID(CH1252,5,2)),VALUE(MID(CH1252,FIND("-",CH1252)+1,FIND("-",CH1252,FIND("-",CH1252)+1)-FIND("-",CH1252)-1))),""))</f>
        <v/>
      </c>
      <c r="CO1252">
        <f>IF(CH1252="","",IFERROR(IF(AND(LEN(CH1252)=9,ISERROR(FIND("-",LEFT(CH1252,8))),ISNUMBER(-LEFT(CH1252,8))),VALUE(MID(CH1252,7,2)),VALUE(MID(CH1252,FIND("-",CH1252,FIND("-",CH1252)+1)+1,FIND("-",CH1252,FIND("-",CH1252,FIND("-",CH1252)+1)+1)-FIND("-",CH1252,FIND("-",CH1252)+1)-1))),""))</f>
        <v/>
      </c>
    </row>
    <row r="1253">
      <c r="CH1253">
        <f>IF(ISTEXT('월 가계부'!A1253),SUBSTITUTE(SUBSTITUTE(SUBSTITUTE(SUBSTITUTE(SUBSTITUTE(SUBSTITUTE(SUBSTITUTE(SUBSTITUTE(SUBSTITUTE(TRIM('월 가계부'!A1253),"년","-"),"월","-"),"일",""),".","-"),"/","-")," ","-"),"--","-"),"--","-"),"--","-")&amp;"-","")</f>
        <v/>
      </c>
      <c r="CI1253">
        <f>IFERROR(IF('월 가계부'!A1253="","",IF(ISNUMBER('월 가계부'!A1253),IF(AND('월 가계부'!A1253&gt;=19000101,'월 가계부'!A1253&lt;=21001231),IF(AND(MOD(INT('월 가계부'!A1253/100),100)&gt;=1,MOD(INT('월 가계부'!A1253/100),100)&lt;=12,MOD(INT('월 가계부'!A1253),100)&gt;=1,MOD(INT('월 가계부'!A1253),100)&lt;=31),IF(MONTH(DATE(INT('월 가계부'!A1253/10000),MOD(INT('월 가계부'!A1253/100),100),MOD(INT('월 가계부'!A1253),100)))=MOD(INT('월 가계부'!A1253/100),100),DATE(INT('월 가계부'!A1253/10000),MOD(INT('월 가계부'!A1253/100),100),MOD(INT('월 가계부'!A1253),100)),""),""),IF(AND('월 가계부'!A1253&gt;=36526,'월 가계부'!A1253&lt;73051),INT('월 가계부'!A1253),"")),IF(OR(CM1253="",CN1253="",CO1253=""),"",IF(AND(CM1253&gt;=2000,CM1253&lt;=2099,CN1253&gt;=1,CN1253&lt;=12,CO1253&gt;=1,CO1253&lt;=31),IF(MONTH(DATE(CM1253,CN1253,CO1253))=CN1253,DATE(CM1253,CN1253,CO1253),""),"")))),"")</f>
        <v/>
      </c>
      <c r="CJ1253">
        <f>IFERROR(IF('월 가계부'!C1253="","",IF(ISNUMBER('월 가계부'!C1253),'월 가계부'!C1253,VALUE(SUBSTITUTE(SUBSTITUTE(SUBSTITUTE(SUBSTITUTE(TRIM('월 가계부'!C1253),",",""),"원","")," ",""),"−","-")))),"")</f>
        <v/>
      </c>
      <c r="CK1253">
        <f>IF(ISNUMBER(CI1253),IF(CI1253&lt;$B$13,CI1253,""),"")</f>
        <v/>
      </c>
      <c r="CM1253">
        <f>IF(CH1253="","",IFERROR(IF(IF(AND(LEN(CH1253)=9,ISERROR(FIND("-",LEFT(CH1253,8))),ISNUMBER(-LEFT(CH1253,8))),VALUE(LEFT(CH1253,4)),VALUE(LEFT(CH1253,FIND("-",CH1253)-1)))&lt;100,IF(AND(LEN(CH1253)=9,ISERROR(FIND("-",LEFT(CH1253,8))),ISNUMBER(-LEFT(CH1253,8))),VALUE(LEFT(CH1253,4)),VALUE(LEFT(CH1253,FIND("-",CH1253)-1)))+2000,IF(AND(LEN(CH1253)=9,ISERROR(FIND("-",LEFT(CH1253,8))),ISNUMBER(-LEFT(CH1253,8))),VALUE(LEFT(CH1253,4)),VALUE(LEFT(CH1253,FIND("-",CH1253)-1)))),""))</f>
        <v/>
      </c>
      <c r="CN1253">
        <f>IF(CH1253="","",IFERROR(IF(AND(LEN(CH1253)=9,ISERROR(FIND("-",LEFT(CH1253,8))),ISNUMBER(-LEFT(CH1253,8))),VALUE(MID(CH1253,5,2)),VALUE(MID(CH1253,FIND("-",CH1253)+1,FIND("-",CH1253,FIND("-",CH1253)+1)-FIND("-",CH1253)-1))),""))</f>
        <v/>
      </c>
      <c r="CO1253">
        <f>IF(CH1253="","",IFERROR(IF(AND(LEN(CH1253)=9,ISERROR(FIND("-",LEFT(CH1253,8))),ISNUMBER(-LEFT(CH1253,8))),VALUE(MID(CH1253,7,2)),VALUE(MID(CH1253,FIND("-",CH1253,FIND("-",CH1253)+1)+1,FIND("-",CH1253,FIND("-",CH1253,FIND("-",CH1253)+1)+1)-FIND("-",CH1253,FIND("-",CH1253)+1)-1))),""))</f>
        <v/>
      </c>
    </row>
    <row r="1254">
      <c r="CH1254">
        <f>IF(ISTEXT('월 가계부'!A1254),SUBSTITUTE(SUBSTITUTE(SUBSTITUTE(SUBSTITUTE(SUBSTITUTE(SUBSTITUTE(SUBSTITUTE(SUBSTITUTE(SUBSTITUTE(TRIM('월 가계부'!A1254),"년","-"),"월","-"),"일",""),".","-"),"/","-")," ","-"),"--","-"),"--","-"),"--","-")&amp;"-","")</f>
        <v/>
      </c>
      <c r="CI1254">
        <f>IFERROR(IF('월 가계부'!A1254="","",IF(ISNUMBER('월 가계부'!A1254),IF(AND('월 가계부'!A1254&gt;=19000101,'월 가계부'!A1254&lt;=21001231),IF(AND(MOD(INT('월 가계부'!A1254/100),100)&gt;=1,MOD(INT('월 가계부'!A1254/100),100)&lt;=12,MOD(INT('월 가계부'!A1254),100)&gt;=1,MOD(INT('월 가계부'!A1254),100)&lt;=31),IF(MONTH(DATE(INT('월 가계부'!A1254/10000),MOD(INT('월 가계부'!A1254/100),100),MOD(INT('월 가계부'!A1254),100)))=MOD(INT('월 가계부'!A1254/100),100),DATE(INT('월 가계부'!A1254/10000),MOD(INT('월 가계부'!A1254/100),100),MOD(INT('월 가계부'!A1254),100)),""),""),IF(AND('월 가계부'!A1254&gt;=36526,'월 가계부'!A1254&lt;73051),INT('월 가계부'!A1254),"")),IF(OR(CM1254="",CN1254="",CO1254=""),"",IF(AND(CM1254&gt;=2000,CM1254&lt;=2099,CN1254&gt;=1,CN1254&lt;=12,CO1254&gt;=1,CO1254&lt;=31),IF(MONTH(DATE(CM1254,CN1254,CO1254))=CN1254,DATE(CM1254,CN1254,CO1254),""),"")))),"")</f>
        <v/>
      </c>
      <c r="CJ1254">
        <f>IFERROR(IF('월 가계부'!C1254="","",IF(ISNUMBER('월 가계부'!C1254),'월 가계부'!C1254,VALUE(SUBSTITUTE(SUBSTITUTE(SUBSTITUTE(SUBSTITUTE(TRIM('월 가계부'!C1254),",",""),"원","")," ",""),"−","-")))),"")</f>
        <v/>
      </c>
      <c r="CK1254">
        <f>IF(ISNUMBER(CI1254),IF(CI1254&lt;$B$13,CI1254,""),"")</f>
        <v/>
      </c>
      <c r="CM1254">
        <f>IF(CH1254="","",IFERROR(IF(IF(AND(LEN(CH1254)=9,ISERROR(FIND("-",LEFT(CH1254,8))),ISNUMBER(-LEFT(CH1254,8))),VALUE(LEFT(CH1254,4)),VALUE(LEFT(CH1254,FIND("-",CH1254)-1)))&lt;100,IF(AND(LEN(CH1254)=9,ISERROR(FIND("-",LEFT(CH1254,8))),ISNUMBER(-LEFT(CH1254,8))),VALUE(LEFT(CH1254,4)),VALUE(LEFT(CH1254,FIND("-",CH1254)-1)))+2000,IF(AND(LEN(CH1254)=9,ISERROR(FIND("-",LEFT(CH1254,8))),ISNUMBER(-LEFT(CH1254,8))),VALUE(LEFT(CH1254,4)),VALUE(LEFT(CH1254,FIND("-",CH1254)-1)))),""))</f>
        <v/>
      </c>
      <c r="CN1254">
        <f>IF(CH1254="","",IFERROR(IF(AND(LEN(CH1254)=9,ISERROR(FIND("-",LEFT(CH1254,8))),ISNUMBER(-LEFT(CH1254,8))),VALUE(MID(CH1254,5,2)),VALUE(MID(CH1254,FIND("-",CH1254)+1,FIND("-",CH1254,FIND("-",CH1254)+1)-FIND("-",CH1254)-1))),""))</f>
        <v/>
      </c>
      <c r="CO1254">
        <f>IF(CH1254="","",IFERROR(IF(AND(LEN(CH1254)=9,ISERROR(FIND("-",LEFT(CH1254,8))),ISNUMBER(-LEFT(CH1254,8))),VALUE(MID(CH1254,7,2)),VALUE(MID(CH1254,FIND("-",CH1254,FIND("-",CH1254)+1)+1,FIND("-",CH1254,FIND("-",CH1254,FIND("-",CH1254)+1)+1)-FIND("-",CH1254,FIND("-",CH1254)+1)-1))),""))</f>
        <v/>
      </c>
    </row>
    <row r="1255">
      <c r="CH1255">
        <f>IF(ISTEXT('월 가계부'!A1255),SUBSTITUTE(SUBSTITUTE(SUBSTITUTE(SUBSTITUTE(SUBSTITUTE(SUBSTITUTE(SUBSTITUTE(SUBSTITUTE(SUBSTITUTE(TRIM('월 가계부'!A1255),"년","-"),"월","-"),"일",""),".","-"),"/","-")," ","-"),"--","-"),"--","-"),"--","-")&amp;"-","")</f>
        <v/>
      </c>
      <c r="CI1255">
        <f>IFERROR(IF('월 가계부'!A1255="","",IF(ISNUMBER('월 가계부'!A1255),IF(AND('월 가계부'!A1255&gt;=19000101,'월 가계부'!A1255&lt;=21001231),IF(AND(MOD(INT('월 가계부'!A1255/100),100)&gt;=1,MOD(INT('월 가계부'!A1255/100),100)&lt;=12,MOD(INT('월 가계부'!A1255),100)&gt;=1,MOD(INT('월 가계부'!A1255),100)&lt;=31),IF(MONTH(DATE(INT('월 가계부'!A1255/10000),MOD(INT('월 가계부'!A1255/100),100),MOD(INT('월 가계부'!A1255),100)))=MOD(INT('월 가계부'!A1255/100),100),DATE(INT('월 가계부'!A1255/10000),MOD(INT('월 가계부'!A1255/100),100),MOD(INT('월 가계부'!A1255),100)),""),""),IF(AND('월 가계부'!A1255&gt;=36526,'월 가계부'!A1255&lt;73051),INT('월 가계부'!A1255),"")),IF(OR(CM1255="",CN1255="",CO1255=""),"",IF(AND(CM1255&gt;=2000,CM1255&lt;=2099,CN1255&gt;=1,CN1255&lt;=12,CO1255&gt;=1,CO1255&lt;=31),IF(MONTH(DATE(CM1255,CN1255,CO1255))=CN1255,DATE(CM1255,CN1255,CO1255),""),"")))),"")</f>
        <v/>
      </c>
      <c r="CJ1255">
        <f>IFERROR(IF('월 가계부'!C1255="","",IF(ISNUMBER('월 가계부'!C1255),'월 가계부'!C1255,VALUE(SUBSTITUTE(SUBSTITUTE(SUBSTITUTE(SUBSTITUTE(TRIM('월 가계부'!C1255),",",""),"원","")," ",""),"−","-")))),"")</f>
        <v/>
      </c>
      <c r="CK1255">
        <f>IF(ISNUMBER(CI1255),IF(CI1255&lt;$B$13,CI1255,""),"")</f>
        <v/>
      </c>
      <c r="CM1255">
        <f>IF(CH1255="","",IFERROR(IF(IF(AND(LEN(CH1255)=9,ISERROR(FIND("-",LEFT(CH1255,8))),ISNUMBER(-LEFT(CH1255,8))),VALUE(LEFT(CH1255,4)),VALUE(LEFT(CH1255,FIND("-",CH1255)-1)))&lt;100,IF(AND(LEN(CH1255)=9,ISERROR(FIND("-",LEFT(CH1255,8))),ISNUMBER(-LEFT(CH1255,8))),VALUE(LEFT(CH1255,4)),VALUE(LEFT(CH1255,FIND("-",CH1255)-1)))+2000,IF(AND(LEN(CH1255)=9,ISERROR(FIND("-",LEFT(CH1255,8))),ISNUMBER(-LEFT(CH1255,8))),VALUE(LEFT(CH1255,4)),VALUE(LEFT(CH1255,FIND("-",CH1255)-1)))),""))</f>
        <v/>
      </c>
      <c r="CN1255">
        <f>IF(CH1255="","",IFERROR(IF(AND(LEN(CH1255)=9,ISERROR(FIND("-",LEFT(CH1255,8))),ISNUMBER(-LEFT(CH1255,8))),VALUE(MID(CH1255,5,2)),VALUE(MID(CH1255,FIND("-",CH1255)+1,FIND("-",CH1255,FIND("-",CH1255)+1)-FIND("-",CH1255)-1))),""))</f>
        <v/>
      </c>
      <c r="CO1255">
        <f>IF(CH1255="","",IFERROR(IF(AND(LEN(CH1255)=9,ISERROR(FIND("-",LEFT(CH1255,8))),ISNUMBER(-LEFT(CH1255,8))),VALUE(MID(CH1255,7,2)),VALUE(MID(CH1255,FIND("-",CH1255,FIND("-",CH1255)+1)+1,FIND("-",CH1255,FIND("-",CH1255,FIND("-",CH1255)+1)+1)-FIND("-",CH1255,FIND("-",CH1255)+1)-1))),""))</f>
        <v/>
      </c>
    </row>
    <row r="1256">
      <c r="CH1256">
        <f>IF(ISTEXT('월 가계부'!A1256),SUBSTITUTE(SUBSTITUTE(SUBSTITUTE(SUBSTITUTE(SUBSTITUTE(SUBSTITUTE(SUBSTITUTE(SUBSTITUTE(SUBSTITUTE(TRIM('월 가계부'!A1256),"년","-"),"월","-"),"일",""),".","-"),"/","-")," ","-"),"--","-"),"--","-"),"--","-")&amp;"-","")</f>
        <v/>
      </c>
      <c r="CI1256">
        <f>IFERROR(IF('월 가계부'!A1256="","",IF(ISNUMBER('월 가계부'!A1256),IF(AND('월 가계부'!A1256&gt;=19000101,'월 가계부'!A1256&lt;=21001231),IF(AND(MOD(INT('월 가계부'!A1256/100),100)&gt;=1,MOD(INT('월 가계부'!A1256/100),100)&lt;=12,MOD(INT('월 가계부'!A1256),100)&gt;=1,MOD(INT('월 가계부'!A1256),100)&lt;=31),IF(MONTH(DATE(INT('월 가계부'!A1256/10000),MOD(INT('월 가계부'!A1256/100),100),MOD(INT('월 가계부'!A1256),100)))=MOD(INT('월 가계부'!A1256/100),100),DATE(INT('월 가계부'!A1256/10000),MOD(INT('월 가계부'!A1256/100),100),MOD(INT('월 가계부'!A1256),100)),""),""),IF(AND('월 가계부'!A1256&gt;=36526,'월 가계부'!A1256&lt;73051),INT('월 가계부'!A1256),"")),IF(OR(CM1256="",CN1256="",CO1256=""),"",IF(AND(CM1256&gt;=2000,CM1256&lt;=2099,CN1256&gt;=1,CN1256&lt;=12,CO1256&gt;=1,CO1256&lt;=31),IF(MONTH(DATE(CM1256,CN1256,CO1256))=CN1256,DATE(CM1256,CN1256,CO1256),""),"")))),"")</f>
        <v/>
      </c>
      <c r="CJ1256">
        <f>IFERROR(IF('월 가계부'!C1256="","",IF(ISNUMBER('월 가계부'!C1256),'월 가계부'!C1256,VALUE(SUBSTITUTE(SUBSTITUTE(SUBSTITUTE(SUBSTITUTE(TRIM('월 가계부'!C1256),",",""),"원","")," ",""),"−","-")))),"")</f>
        <v/>
      </c>
      <c r="CK1256">
        <f>IF(ISNUMBER(CI1256),IF(CI1256&lt;$B$13,CI1256,""),"")</f>
        <v/>
      </c>
      <c r="CM1256">
        <f>IF(CH1256="","",IFERROR(IF(IF(AND(LEN(CH1256)=9,ISERROR(FIND("-",LEFT(CH1256,8))),ISNUMBER(-LEFT(CH1256,8))),VALUE(LEFT(CH1256,4)),VALUE(LEFT(CH1256,FIND("-",CH1256)-1)))&lt;100,IF(AND(LEN(CH1256)=9,ISERROR(FIND("-",LEFT(CH1256,8))),ISNUMBER(-LEFT(CH1256,8))),VALUE(LEFT(CH1256,4)),VALUE(LEFT(CH1256,FIND("-",CH1256)-1)))+2000,IF(AND(LEN(CH1256)=9,ISERROR(FIND("-",LEFT(CH1256,8))),ISNUMBER(-LEFT(CH1256,8))),VALUE(LEFT(CH1256,4)),VALUE(LEFT(CH1256,FIND("-",CH1256)-1)))),""))</f>
        <v/>
      </c>
      <c r="CN1256">
        <f>IF(CH1256="","",IFERROR(IF(AND(LEN(CH1256)=9,ISERROR(FIND("-",LEFT(CH1256,8))),ISNUMBER(-LEFT(CH1256,8))),VALUE(MID(CH1256,5,2)),VALUE(MID(CH1256,FIND("-",CH1256)+1,FIND("-",CH1256,FIND("-",CH1256)+1)-FIND("-",CH1256)-1))),""))</f>
        <v/>
      </c>
      <c r="CO1256">
        <f>IF(CH1256="","",IFERROR(IF(AND(LEN(CH1256)=9,ISERROR(FIND("-",LEFT(CH1256,8))),ISNUMBER(-LEFT(CH1256,8))),VALUE(MID(CH1256,7,2)),VALUE(MID(CH1256,FIND("-",CH1256,FIND("-",CH1256)+1)+1,FIND("-",CH1256,FIND("-",CH1256,FIND("-",CH1256)+1)+1)-FIND("-",CH1256,FIND("-",CH1256)+1)-1))),""))</f>
        <v/>
      </c>
    </row>
    <row r="1257">
      <c r="CH1257">
        <f>IF(ISTEXT('월 가계부'!A1257),SUBSTITUTE(SUBSTITUTE(SUBSTITUTE(SUBSTITUTE(SUBSTITUTE(SUBSTITUTE(SUBSTITUTE(SUBSTITUTE(SUBSTITUTE(TRIM('월 가계부'!A1257),"년","-"),"월","-"),"일",""),".","-"),"/","-")," ","-"),"--","-"),"--","-"),"--","-")&amp;"-","")</f>
        <v/>
      </c>
      <c r="CI1257">
        <f>IFERROR(IF('월 가계부'!A1257="","",IF(ISNUMBER('월 가계부'!A1257),IF(AND('월 가계부'!A1257&gt;=19000101,'월 가계부'!A1257&lt;=21001231),IF(AND(MOD(INT('월 가계부'!A1257/100),100)&gt;=1,MOD(INT('월 가계부'!A1257/100),100)&lt;=12,MOD(INT('월 가계부'!A1257),100)&gt;=1,MOD(INT('월 가계부'!A1257),100)&lt;=31),IF(MONTH(DATE(INT('월 가계부'!A1257/10000),MOD(INT('월 가계부'!A1257/100),100),MOD(INT('월 가계부'!A1257),100)))=MOD(INT('월 가계부'!A1257/100),100),DATE(INT('월 가계부'!A1257/10000),MOD(INT('월 가계부'!A1257/100),100),MOD(INT('월 가계부'!A1257),100)),""),""),IF(AND('월 가계부'!A1257&gt;=36526,'월 가계부'!A1257&lt;73051),INT('월 가계부'!A1257),"")),IF(OR(CM1257="",CN1257="",CO1257=""),"",IF(AND(CM1257&gt;=2000,CM1257&lt;=2099,CN1257&gt;=1,CN1257&lt;=12,CO1257&gt;=1,CO1257&lt;=31),IF(MONTH(DATE(CM1257,CN1257,CO1257))=CN1257,DATE(CM1257,CN1257,CO1257),""),"")))),"")</f>
        <v/>
      </c>
      <c r="CJ1257">
        <f>IFERROR(IF('월 가계부'!C1257="","",IF(ISNUMBER('월 가계부'!C1257),'월 가계부'!C1257,VALUE(SUBSTITUTE(SUBSTITUTE(SUBSTITUTE(SUBSTITUTE(TRIM('월 가계부'!C1257),",",""),"원","")," ",""),"−","-")))),"")</f>
        <v/>
      </c>
      <c r="CK1257">
        <f>IF(ISNUMBER(CI1257),IF(CI1257&lt;$B$13,CI1257,""),"")</f>
        <v/>
      </c>
      <c r="CM1257">
        <f>IF(CH1257="","",IFERROR(IF(IF(AND(LEN(CH1257)=9,ISERROR(FIND("-",LEFT(CH1257,8))),ISNUMBER(-LEFT(CH1257,8))),VALUE(LEFT(CH1257,4)),VALUE(LEFT(CH1257,FIND("-",CH1257)-1)))&lt;100,IF(AND(LEN(CH1257)=9,ISERROR(FIND("-",LEFT(CH1257,8))),ISNUMBER(-LEFT(CH1257,8))),VALUE(LEFT(CH1257,4)),VALUE(LEFT(CH1257,FIND("-",CH1257)-1)))+2000,IF(AND(LEN(CH1257)=9,ISERROR(FIND("-",LEFT(CH1257,8))),ISNUMBER(-LEFT(CH1257,8))),VALUE(LEFT(CH1257,4)),VALUE(LEFT(CH1257,FIND("-",CH1257)-1)))),""))</f>
        <v/>
      </c>
      <c r="CN1257">
        <f>IF(CH1257="","",IFERROR(IF(AND(LEN(CH1257)=9,ISERROR(FIND("-",LEFT(CH1257,8))),ISNUMBER(-LEFT(CH1257,8))),VALUE(MID(CH1257,5,2)),VALUE(MID(CH1257,FIND("-",CH1257)+1,FIND("-",CH1257,FIND("-",CH1257)+1)-FIND("-",CH1257)-1))),""))</f>
        <v/>
      </c>
      <c r="CO1257">
        <f>IF(CH1257="","",IFERROR(IF(AND(LEN(CH1257)=9,ISERROR(FIND("-",LEFT(CH1257,8))),ISNUMBER(-LEFT(CH1257,8))),VALUE(MID(CH1257,7,2)),VALUE(MID(CH1257,FIND("-",CH1257,FIND("-",CH1257)+1)+1,FIND("-",CH1257,FIND("-",CH1257,FIND("-",CH1257)+1)+1)-FIND("-",CH1257,FIND("-",CH1257)+1)-1))),""))</f>
        <v/>
      </c>
    </row>
    <row r="1258">
      <c r="CH1258">
        <f>IF(ISTEXT('월 가계부'!A1258),SUBSTITUTE(SUBSTITUTE(SUBSTITUTE(SUBSTITUTE(SUBSTITUTE(SUBSTITUTE(SUBSTITUTE(SUBSTITUTE(SUBSTITUTE(TRIM('월 가계부'!A1258),"년","-"),"월","-"),"일",""),".","-"),"/","-")," ","-"),"--","-"),"--","-"),"--","-")&amp;"-","")</f>
        <v/>
      </c>
      <c r="CI1258">
        <f>IFERROR(IF('월 가계부'!A1258="","",IF(ISNUMBER('월 가계부'!A1258),IF(AND('월 가계부'!A1258&gt;=19000101,'월 가계부'!A1258&lt;=21001231),IF(AND(MOD(INT('월 가계부'!A1258/100),100)&gt;=1,MOD(INT('월 가계부'!A1258/100),100)&lt;=12,MOD(INT('월 가계부'!A1258),100)&gt;=1,MOD(INT('월 가계부'!A1258),100)&lt;=31),IF(MONTH(DATE(INT('월 가계부'!A1258/10000),MOD(INT('월 가계부'!A1258/100),100),MOD(INT('월 가계부'!A1258),100)))=MOD(INT('월 가계부'!A1258/100),100),DATE(INT('월 가계부'!A1258/10000),MOD(INT('월 가계부'!A1258/100),100),MOD(INT('월 가계부'!A1258),100)),""),""),IF(AND('월 가계부'!A1258&gt;=36526,'월 가계부'!A1258&lt;73051),INT('월 가계부'!A1258),"")),IF(OR(CM1258="",CN1258="",CO1258=""),"",IF(AND(CM1258&gt;=2000,CM1258&lt;=2099,CN1258&gt;=1,CN1258&lt;=12,CO1258&gt;=1,CO1258&lt;=31),IF(MONTH(DATE(CM1258,CN1258,CO1258))=CN1258,DATE(CM1258,CN1258,CO1258),""),"")))),"")</f>
        <v/>
      </c>
      <c r="CJ1258">
        <f>IFERROR(IF('월 가계부'!C1258="","",IF(ISNUMBER('월 가계부'!C1258),'월 가계부'!C1258,VALUE(SUBSTITUTE(SUBSTITUTE(SUBSTITUTE(SUBSTITUTE(TRIM('월 가계부'!C1258),",",""),"원","")," ",""),"−","-")))),"")</f>
        <v/>
      </c>
      <c r="CK1258">
        <f>IF(ISNUMBER(CI1258),IF(CI1258&lt;$B$13,CI1258,""),"")</f>
        <v/>
      </c>
      <c r="CM1258">
        <f>IF(CH1258="","",IFERROR(IF(IF(AND(LEN(CH1258)=9,ISERROR(FIND("-",LEFT(CH1258,8))),ISNUMBER(-LEFT(CH1258,8))),VALUE(LEFT(CH1258,4)),VALUE(LEFT(CH1258,FIND("-",CH1258)-1)))&lt;100,IF(AND(LEN(CH1258)=9,ISERROR(FIND("-",LEFT(CH1258,8))),ISNUMBER(-LEFT(CH1258,8))),VALUE(LEFT(CH1258,4)),VALUE(LEFT(CH1258,FIND("-",CH1258)-1)))+2000,IF(AND(LEN(CH1258)=9,ISERROR(FIND("-",LEFT(CH1258,8))),ISNUMBER(-LEFT(CH1258,8))),VALUE(LEFT(CH1258,4)),VALUE(LEFT(CH1258,FIND("-",CH1258)-1)))),""))</f>
        <v/>
      </c>
      <c r="CN1258">
        <f>IF(CH1258="","",IFERROR(IF(AND(LEN(CH1258)=9,ISERROR(FIND("-",LEFT(CH1258,8))),ISNUMBER(-LEFT(CH1258,8))),VALUE(MID(CH1258,5,2)),VALUE(MID(CH1258,FIND("-",CH1258)+1,FIND("-",CH1258,FIND("-",CH1258)+1)-FIND("-",CH1258)-1))),""))</f>
        <v/>
      </c>
      <c r="CO1258">
        <f>IF(CH1258="","",IFERROR(IF(AND(LEN(CH1258)=9,ISERROR(FIND("-",LEFT(CH1258,8))),ISNUMBER(-LEFT(CH1258,8))),VALUE(MID(CH1258,7,2)),VALUE(MID(CH1258,FIND("-",CH1258,FIND("-",CH1258)+1)+1,FIND("-",CH1258,FIND("-",CH1258,FIND("-",CH1258)+1)+1)-FIND("-",CH1258,FIND("-",CH1258)+1)-1))),""))</f>
        <v/>
      </c>
    </row>
    <row r="1259">
      <c r="CH1259">
        <f>IF(ISTEXT('월 가계부'!A1259),SUBSTITUTE(SUBSTITUTE(SUBSTITUTE(SUBSTITUTE(SUBSTITUTE(SUBSTITUTE(SUBSTITUTE(SUBSTITUTE(SUBSTITUTE(TRIM('월 가계부'!A1259),"년","-"),"월","-"),"일",""),".","-"),"/","-")," ","-"),"--","-"),"--","-"),"--","-")&amp;"-","")</f>
        <v/>
      </c>
      <c r="CI1259">
        <f>IFERROR(IF('월 가계부'!A1259="","",IF(ISNUMBER('월 가계부'!A1259),IF(AND('월 가계부'!A1259&gt;=19000101,'월 가계부'!A1259&lt;=21001231),IF(AND(MOD(INT('월 가계부'!A1259/100),100)&gt;=1,MOD(INT('월 가계부'!A1259/100),100)&lt;=12,MOD(INT('월 가계부'!A1259),100)&gt;=1,MOD(INT('월 가계부'!A1259),100)&lt;=31),IF(MONTH(DATE(INT('월 가계부'!A1259/10000),MOD(INT('월 가계부'!A1259/100),100),MOD(INT('월 가계부'!A1259),100)))=MOD(INT('월 가계부'!A1259/100),100),DATE(INT('월 가계부'!A1259/10000),MOD(INT('월 가계부'!A1259/100),100),MOD(INT('월 가계부'!A1259),100)),""),""),IF(AND('월 가계부'!A1259&gt;=36526,'월 가계부'!A1259&lt;73051),INT('월 가계부'!A1259),"")),IF(OR(CM1259="",CN1259="",CO1259=""),"",IF(AND(CM1259&gt;=2000,CM1259&lt;=2099,CN1259&gt;=1,CN1259&lt;=12,CO1259&gt;=1,CO1259&lt;=31),IF(MONTH(DATE(CM1259,CN1259,CO1259))=CN1259,DATE(CM1259,CN1259,CO1259),""),"")))),"")</f>
        <v/>
      </c>
      <c r="CJ1259">
        <f>IFERROR(IF('월 가계부'!C1259="","",IF(ISNUMBER('월 가계부'!C1259),'월 가계부'!C1259,VALUE(SUBSTITUTE(SUBSTITUTE(SUBSTITUTE(SUBSTITUTE(TRIM('월 가계부'!C1259),",",""),"원","")," ",""),"−","-")))),"")</f>
        <v/>
      </c>
      <c r="CK1259">
        <f>IF(ISNUMBER(CI1259),IF(CI1259&lt;$B$13,CI1259,""),"")</f>
        <v/>
      </c>
      <c r="CM1259">
        <f>IF(CH1259="","",IFERROR(IF(IF(AND(LEN(CH1259)=9,ISERROR(FIND("-",LEFT(CH1259,8))),ISNUMBER(-LEFT(CH1259,8))),VALUE(LEFT(CH1259,4)),VALUE(LEFT(CH1259,FIND("-",CH1259)-1)))&lt;100,IF(AND(LEN(CH1259)=9,ISERROR(FIND("-",LEFT(CH1259,8))),ISNUMBER(-LEFT(CH1259,8))),VALUE(LEFT(CH1259,4)),VALUE(LEFT(CH1259,FIND("-",CH1259)-1)))+2000,IF(AND(LEN(CH1259)=9,ISERROR(FIND("-",LEFT(CH1259,8))),ISNUMBER(-LEFT(CH1259,8))),VALUE(LEFT(CH1259,4)),VALUE(LEFT(CH1259,FIND("-",CH1259)-1)))),""))</f>
        <v/>
      </c>
      <c r="CN1259">
        <f>IF(CH1259="","",IFERROR(IF(AND(LEN(CH1259)=9,ISERROR(FIND("-",LEFT(CH1259,8))),ISNUMBER(-LEFT(CH1259,8))),VALUE(MID(CH1259,5,2)),VALUE(MID(CH1259,FIND("-",CH1259)+1,FIND("-",CH1259,FIND("-",CH1259)+1)-FIND("-",CH1259)-1))),""))</f>
        <v/>
      </c>
      <c r="CO1259">
        <f>IF(CH1259="","",IFERROR(IF(AND(LEN(CH1259)=9,ISERROR(FIND("-",LEFT(CH1259,8))),ISNUMBER(-LEFT(CH1259,8))),VALUE(MID(CH1259,7,2)),VALUE(MID(CH1259,FIND("-",CH1259,FIND("-",CH1259)+1)+1,FIND("-",CH1259,FIND("-",CH1259,FIND("-",CH1259)+1)+1)-FIND("-",CH1259,FIND("-",CH1259)+1)-1))),""))</f>
        <v/>
      </c>
    </row>
    <row r="1260">
      <c r="CH1260">
        <f>IF(ISTEXT('월 가계부'!A1260),SUBSTITUTE(SUBSTITUTE(SUBSTITUTE(SUBSTITUTE(SUBSTITUTE(SUBSTITUTE(SUBSTITUTE(SUBSTITUTE(SUBSTITUTE(TRIM('월 가계부'!A1260),"년","-"),"월","-"),"일",""),".","-"),"/","-")," ","-"),"--","-"),"--","-"),"--","-")&amp;"-","")</f>
        <v/>
      </c>
      <c r="CI1260">
        <f>IFERROR(IF('월 가계부'!A1260="","",IF(ISNUMBER('월 가계부'!A1260),IF(AND('월 가계부'!A1260&gt;=19000101,'월 가계부'!A1260&lt;=21001231),IF(AND(MOD(INT('월 가계부'!A1260/100),100)&gt;=1,MOD(INT('월 가계부'!A1260/100),100)&lt;=12,MOD(INT('월 가계부'!A1260),100)&gt;=1,MOD(INT('월 가계부'!A1260),100)&lt;=31),IF(MONTH(DATE(INT('월 가계부'!A1260/10000),MOD(INT('월 가계부'!A1260/100),100),MOD(INT('월 가계부'!A1260),100)))=MOD(INT('월 가계부'!A1260/100),100),DATE(INT('월 가계부'!A1260/10000),MOD(INT('월 가계부'!A1260/100),100),MOD(INT('월 가계부'!A1260),100)),""),""),IF(AND('월 가계부'!A1260&gt;=36526,'월 가계부'!A1260&lt;73051),INT('월 가계부'!A1260),"")),IF(OR(CM1260="",CN1260="",CO1260=""),"",IF(AND(CM1260&gt;=2000,CM1260&lt;=2099,CN1260&gt;=1,CN1260&lt;=12,CO1260&gt;=1,CO1260&lt;=31),IF(MONTH(DATE(CM1260,CN1260,CO1260))=CN1260,DATE(CM1260,CN1260,CO1260),""),"")))),"")</f>
        <v/>
      </c>
      <c r="CJ1260">
        <f>IFERROR(IF('월 가계부'!C1260="","",IF(ISNUMBER('월 가계부'!C1260),'월 가계부'!C1260,VALUE(SUBSTITUTE(SUBSTITUTE(SUBSTITUTE(SUBSTITUTE(TRIM('월 가계부'!C1260),",",""),"원","")," ",""),"−","-")))),"")</f>
        <v/>
      </c>
      <c r="CK1260">
        <f>IF(ISNUMBER(CI1260),IF(CI1260&lt;$B$13,CI1260,""),"")</f>
        <v/>
      </c>
      <c r="CM1260">
        <f>IF(CH1260="","",IFERROR(IF(IF(AND(LEN(CH1260)=9,ISERROR(FIND("-",LEFT(CH1260,8))),ISNUMBER(-LEFT(CH1260,8))),VALUE(LEFT(CH1260,4)),VALUE(LEFT(CH1260,FIND("-",CH1260)-1)))&lt;100,IF(AND(LEN(CH1260)=9,ISERROR(FIND("-",LEFT(CH1260,8))),ISNUMBER(-LEFT(CH1260,8))),VALUE(LEFT(CH1260,4)),VALUE(LEFT(CH1260,FIND("-",CH1260)-1)))+2000,IF(AND(LEN(CH1260)=9,ISERROR(FIND("-",LEFT(CH1260,8))),ISNUMBER(-LEFT(CH1260,8))),VALUE(LEFT(CH1260,4)),VALUE(LEFT(CH1260,FIND("-",CH1260)-1)))),""))</f>
        <v/>
      </c>
      <c r="CN1260">
        <f>IF(CH1260="","",IFERROR(IF(AND(LEN(CH1260)=9,ISERROR(FIND("-",LEFT(CH1260,8))),ISNUMBER(-LEFT(CH1260,8))),VALUE(MID(CH1260,5,2)),VALUE(MID(CH1260,FIND("-",CH1260)+1,FIND("-",CH1260,FIND("-",CH1260)+1)-FIND("-",CH1260)-1))),""))</f>
        <v/>
      </c>
      <c r="CO1260">
        <f>IF(CH1260="","",IFERROR(IF(AND(LEN(CH1260)=9,ISERROR(FIND("-",LEFT(CH1260,8))),ISNUMBER(-LEFT(CH1260,8))),VALUE(MID(CH1260,7,2)),VALUE(MID(CH1260,FIND("-",CH1260,FIND("-",CH1260)+1)+1,FIND("-",CH1260,FIND("-",CH1260,FIND("-",CH1260)+1)+1)-FIND("-",CH1260,FIND("-",CH1260)+1)-1))),""))</f>
        <v/>
      </c>
    </row>
    <row r="1261">
      <c r="CH1261">
        <f>IF(ISTEXT('월 가계부'!A1261),SUBSTITUTE(SUBSTITUTE(SUBSTITUTE(SUBSTITUTE(SUBSTITUTE(SUBSTITUTE(SUBSTITUTE(SUBSTITUTE(SUBSTITUTE(TRIM('월 가계부'!A1261),"년","-"),"월","-"),"일",""),".","-"),"/","-")," ","-"),"--","-"),"--","-"),"--","-")&amp;"-","")</f>
        <v/>
      </c>
      <c r="CI1261">
        <f>IFERROR(IF('월 가계부'!A1261="","",IF(ISNUMBER('월 가계부'!A1261),IF(AND('월 가계부'!A1261&gt;=19000101,'월 가계부'!A1261&lt;=21001231),IF(AND(MOD(INT('월 가계부'!A1261/100),100)&gt;=1,MOD(INT('월 가계부'!A1261/100),100)&lt;=12,MOD(INT('월 가계부'!A1261),100)&gt;=1,MOD(INT('월 가계부'!A1261),100)&lt;=31),IF(MONTH(DATE(INT('월 가계부'!A1261/10000),MOD(INT('월 가계부'!A1261/100),100),MOD(INT('월 가계부'!A1261),100)))=MOD(INT('월 가계부'!A1261/100),100),DATE(INT('월 가계부'!A1261/10000),MOD(INT('월 가계부'!A1261/100),100),MOD(INT('월 가계부'!A1261),100)),""),""),IF(AND('월 가계부'!A1261&gt;=36526,'월 가계부'!A1261&lt;73051),INT('월 가계부'!A1261),"")),IF(OR(CM1261="",CN1261="",CO1261=""),"",IF(AND(CM1261&gt;=2000,CM1261&lt;=2099,CN1261&gt;=1,CN1261&lt;=12,CO1261&gt;=1,CO1261&lt;=31),IF(MONTH(DATE(CM1261,CN1261,CO1261))=CN1261,DATE(CM1261,CN1261,CO1261),""),"")))),"")</f>
        <v/>
      </c>
      <c r="CJ1261">
        <f>IFERROR(IF('월 가계부'!C1261="","",IF(ISNUMBER('월 가계부'!C1261),'월 가계부'!C1261,VALUE(SUBSTITUTE(SUBSTITUTE(SUBSTITUTE(SUBSTITUTE(TRIM('월 가계부'!C1261),",",""),"원","")," ",""),"−","-")))),"")</f>
        <v/>
      </c>
      <c r="CK1261">
        <f>IF(ISNUMBER(CI1261),IF(CI1261&lt;$B$13,CI1261,""),"")</f>
        <v/>
      </c>
      <c r="CM1261">
        <f>IF(CH1261="","",IFERROR(IF(IF(AND(LEN(CH1261)=9,ISERROR(FIND("-",LEFT(CH1261,8))),ISNUMBER(-LEFT(CH1261,8))),VALUE(LEFT(CH1261,4)),VALUE(LEFT(CH1261,FIND("-",CH1261)-1)))&lt;100,IF(AND(LEN(CH1261)=9,ISERROR(FIND("-",LEFT(CH1261,8))),ISNUMBER(-LEFT(CH1261,8))),VALUE(LEFT(CH1261,4)),VALUE(LEFT(CH1261,FIND("-",CH1261)-1)))+2000,IF(AND(LEN(CH1261)=9,ISERROR(FIND("-",LEFT(CH1261,8))),ISNUMBER(-LEFT(CH1261,8))),VALUE(LEFT(CH1261,4)),VALUE(LEFT(CH1261,FIND("-",CH1261)-1)))),""))</f>
        <v/>
      </c>
      <c r="CN1261">
        <f>IF(CH1261="","",IFERROR(IF(AND(LEN(CH1261)=9,ISERROR(FIND("-",LEFT(CH1261,8))),ISNUMBER(-LEFT(CH1261,8))),VALUE(MID(CH1261,5,2)),VALUE(MID(CH1261,FIND("-",CH1261)+1,FIND("-",CH1261,FIND("-",CH1261)+1)-FIND("-",CH1261)-1))),""))</f>
        <v/>
      </c>
      <c r="CO1261">
        <f>IF(CH1261="","",IFERROR(IF(AND(LEN(CH1261)=9,ISERROR(FIND("-",LEFT(CH1261,8))),ISNUMBER(-LEFT(CH1261,8))),VALUE(MID(CH1261,7,2)),VALUE(MID(CH1261,FIND("-",CH1261,FIND("-",CH1261)+1)+1,FIND("-",CH1261,FIND("-",CH1261,FIND("-",CH1261)+1)+1)-FIND("-",CH1261,FIND("-",CH1261)+1)-1))),""))</f>
        <v/>
      </c>
    </row>
    <row r="1262">
      <c r="CH1262">
        <f>IF(ISTEXT('월 가계부'!A1262),SUBSTITUTE(SUBSTITUTE(SUBSTITUTE(SUBSTITUTE(SUBSTITUTE(SUBSTITUTE(SUBSTITUTE(SUBSTITUTE(SUBSTITUTE(TRIM('월 가계부'!A1262),"년","-"),"월","-"),"일",""),".","-"),"/","-")," ","-"),"--","-"),"--","-"),"--","-")&amp;"-","")</f>
        <v/>
      </c>
      <c r="CI1262">
        <f>IFERROR(IF('월 가계부'!A1262="","",IF(ISNUMBER('월 가계부'!A1262),IF(AND('월 가계부'!A1262&gt;=19000101,'월 가계부'!A1262&lt;=21001231),IF(AND(MOD(INT('월 가계부'!A1262/100),100)&gt;=1,MOD(INT('월 가계부'!A1262/100),100)&lt;=12,MOD(INT('월 가계부'!A1262),100)&gt;=1,MOD(INT('월 가계부'!A1262),100)&lt;=31),IF(MONTH(DATE(INT('월 가계부'!A1262/10000),MOD(INT('월 가계부'!A1262/100),100),MOD(INT('월 가계부'!A1262),100)))=MOD(INT('월 가계부'!A1262/100),100),DATE(INT('월 가계부'!A1262/10000),MOD(INT('월 가계부'!A1262/100),100),MOD(INT('월 가계부'!A1262),100)),""),""),IF(AND('월 가계부'!A1262&gt;=36526,'월 가계부'!A1262&lt;73051),INT('월 가계부'!A1262),"")),IF(OR(CM1262="",CN1262="",CO1262=""),"",IF(AND(CM1262&gt;=2000,CM1262&lt;=2099,CN1262&gt;=1,CN1262&lt;=12,CO1262&gt;=1,CO1262&lt;=31),IF(MONTH(DATE(CM1262,CN1262,CO1262))=CN1262,DATE(CM1262,CN1262,CO1262),""),"")))),"")</f>
        <v/>
      </c>
      <c r="CJ1262">
        <f>IFERROR(IF('월 가계부'!C1262="","",IF(ISNUMBER('월 가계부'!C1262),'월 가계부'!C1262,VALUE(SUBSTITUTE(SUBSTITUTE(SUBSTITUTE(SUBSTITUTE(TRIM('월 가계부'!C1262),",",""),"원","")," ",""),"−","-")))),"")</f>
        <v/>
      </c>
      <c r="CK1262">
        <f>IF(ISNUMBER(CI1262),IF(CI1262&lt;$B$13,CI1262,""),"")</f>
        <v/>
      </c>
      <c r="CM1262">
        <f>IF(CH1262="","",IFERROR(IF(IF(AND(LEN(CH1262)=9,ISERROR(FIND("-",LEFT(CH1262,8))),ISNUMBER(-LEFT(CH1262,8))),VALUE(LEFT(CH1262,4)),VALUE(LEFT(CH1262,FIND("-",CH1262)-1)))&lt;100,IF(AND(LEN(CH1262)=9,ISERROR(FIND("-",LEFT(CH1262,8))),ISNUMBER(-LEFT(CH1262,8))),VALUE(LEFT(CH1262,4)),VALUE(LEFT(CH1262,FIND("-",CH1262)-1)))+2000,IF(AND(LEN(CH1262)=9,ISERROR(FIND("-",LEFT(CH1262,8))),ISNUMBER(-LEFT(CH1262,8))),VALUE(LEFT(CH1262,4)),VALUE(LEFT(CH1262,FIND("-",CH1262)-1)))),""))</f>
        <v/>
      </c>
      <c r="CN1262">
        <f>IF(CH1262="","",IFERROR(IF(AND(LEN(CH1262)=9,ISERROR(FIND("-",LEFT(CH1262,8))),ISNUMBER(-LEFT(CH1262,8))),VALUE(MID(CH1262,5,2)),VALUE(MID(CH1262,FIND("-",CH1262)+1,FIND("-",CH1262,FIND("-",CH1262)+1)-FIND("-",CH1262)-1))),""))</f>
        <v/>
      </c>
      <c r="CO1262">
        <f>IF(CH1262="","",IFERROR(IF(AND(LEN(CH1262)=9,ISERROR(FIND("-",LEFT(CH1262,8))),ISNUMBER(-LEFT(CH1262,8))),VALUE(MID(CH1262,7,2)),VALUE(MID(CH1262,FIND("-",CH1262,FIND("-",CH1262)+1)+1,FIND("-",CH1262,FIND("-",CH1262,FIND("-",CH1262)+1)+1)-FIND("-",CH1262,FIND("-",CH1262)+1)-1))),""))</f>
        <v/>
      </c>
    </row>
    <row r="1263">
      <c r="CH1263">
        <f>IF(ISTEXT('월 가계부'!A1263),SUBSTITUTE(SUBSTITUTE(SUBSTITUTE(SUBSTITUTE(SUBSTITUTE(SUBSTITUTE(SUBSTITUTE(SUBSTITUTE(SUBSTITUTE(TRIM('월 가계부'!A1263),"년","-"),"월","-"),"일",""),".","-"),"/","-")," ","-"),"--","-"),"--","-"),"--","-")&amp;"-","")</f>
        <v/>
      </c>
      <c r="CI1263">
        <f>IFERROR(IF('월 가계부'!A1263="","",IF(ISNUMBER('월 가계부'!A1263),IF(AND('월 가계부'!A1263&gt;=19000101,'월 가계부'!A1263&lt;=21001231),IF(AND(MOD(INT('월 가계부'!A1263/100),100)&gt;=1,MOD(INT('월 가계부'!A1263/100),100)&lt;=12,MOD(INT('월 가계부'!A1263),100)&gt;=1,MOD(INT('월 가계부'!A1263),100)&lt;=31),IF(MONTH(DATE(INT('월 가계부'!A1263/10000),MOD(INT('월 가계부'!A1263/100),100),MOD(INT('월 가계부'!A1263),100)))=MOD(INT('월 가계부'!A1263/100),100),DATE(INT('월 가계부'!A1263/10000),MOD(INT('월 가계부'!A1263/100),100),MOD(INT('월 가계부'!A1263),100)),""),""),IF(AND('월 가계부'!A1263&gt;=36526,'월 가계부'!A1263&lt;73051),INT('월 가계부'!A1263),"")),IF(OR(CM1263="",CN1263="",CO1263=""),"",IF(AND(CM1263&gt;=2000,CM1263&lt;=2099,CN1263&gt;=1,CN1263&lt;=12,CO1263&gt;=1,CO1263&lt;=31),IF(MONTH(DATE(CM1263,CN1263,CO1263))=CN1263,DATE(CM1263,CN1263,CO1263),""),"")))),"")</f>
        <v/>
      </c>
      <c r="CJ1263">
        <f>IFERROR(IF('월 가계부'!C1263="","",IF(ISNUMBER('월 가계부'!C1263),'월 가계부'!C1263,VALUE(SUBSTITUTE(SUBSTITUTE(SUBSTITUTE(SUBSTITUTE(TRIM('월 가계부'!C1263),",",""),"원","")," ",""),"−","-")))),"")</f>
        <v/>
      </c>
      <c r="CK1263">
        <f>IF(ISNUMBER(CI1263),IF(CI1263&lt;$B$13,CI1263,""),"")</f>
        <v/>
      </c>
      <c r="CM1263">
        <f>IF(CH1263="","",IFERROR(IF(IF(AND(LEN(CH1263)=9,ISERROR(FIND("-",LEFT(CH1263,8))),ISNUMBER(-LEFT(CH1263,8))),VALUE(LEFT(CH1263,4)),VALUE(LEFT(CH1263,FIND("-",CH1263)-1)))&lt;100,IF(AND(LEN(CH1263)=9,ISERROR(FIND("-",LEFT(CH1263,8))),ISNUMBER(-LEFT(CH1263,8))),VALUE(LEFT(CH1263,4)),VALUE(LEFT(CH1263,FIND("-",CH1263)-1)))+2000,IF(AND(LEN(CH1263)=9,ISERROR(FIND("-",LEFT(CH1263,8))),ISNUMBER(-LEFT(CH1263,8))),VALUE(LEFT(CH1263,4)),VALUE(LEFT(CH1263,FIND("-",CH1263)-1)))),""))</f>
        <v/>
      </c>
      <c r="CN1263">
        <f>IF(CH1263="","",IFERROR(IF(AND(LEN(CH1263)=9,ISERROR(FIND("-",LEFT(CH1263,8))),ISNUMBER(-LEFT(CH1263,8))),VALUE(MID(CH1263,5,2)),VALUE(MID(CH1263,FIND("-",CH1263)+1,FIND("-",CH1263,FIND("-",CH1263)+1)-FIND("-",CH1263)-1))),""))</f>
        <v/>
      </c>
      <c r="CO1263">
        <f>IF(CH1263="","",IFERROR(IF(AND(LEN(CH1263)=9,ISERROR(FIND("-",LEFT(CH1263,8))),ISNUMBER(-LEFT(CH1263,8))),VALUE(MID(CH1263,7,2)),VALUE(MID(CH1263,FIND("-",CH1263,FIND("-",CH1263)+1)+1,FIND("-",CH1263,FIND("-",CH1263,FIND("-",CH1263)+1)+1)-FIND("-",CH1263,FIND("-",CH1263)+1)-1))),""))</f>
        <v/>
      </c>
    </row>
    <row r="1264">
      <c r="CH1264">
        <f>IF(ISTEXT('월 가계부'!A1264),SUBSTITUTE(SUBSTITUTE(SUBSTITUTE(SUBSTITUTE(SUBSTITUTE(SUBSTITUTE(SUBSTITUTE(SUBSTITUTE(SUBSTITUTE(TRIM('월 가계부'!A1264),"년","-"),"월","-"),"일",""),".","-"),"/","-")," ","-"),"--","-"),"--","-"),"--","-")&amp;"-","")</f>
        <v/>
      </c>
      <c r="CI1264">
        <f>IFERROR(IF('월 가계부'!A1264="","",IF(ISNUMBER('월 가계부'!A1264),IF(AND('월 가계부'!A1264&gt;=19000101,'월 가계부'!A1264&lt;=21001231),IF(AND(MOD(INT('월 가계부'!A1264/100),100)&gt;=1,MOD(INT('월 가계부'!A1264/100),100)&lt;=12,MOD(INT('월 가계부'!A1264),100)&gt;=1,MOD(INT('월 가계부'!A1264),100)&lt;=31),IF(MONTH(DATE(INT('월 가계부'!A1264/10000),MOD(INT('월 가계부'!A1264/100),100),MOD(INT('월 가계부'!A1264),100)))=MOD(INT('월 가계부'!A1264/100),100),DATE(INT('월 가계부'!A1264/10000),MOD(INT('월 가계부'!A1264/100),100),MOD(INT('월 가계부'!A1264),100)),""),""),IF(AND('월 가계부'!A1264&gt;=36526,'월 가계부'!A1264&lt;73051),INT('월 가계부'!A1264),"")),IF(OR(CM1264="",CN1264="",CO1264=""),"",IF(AND(CM1264&gt;=2000,CM1264&lt;=2099,CN1264&gt;=1,CN1264&lt;=12,CO1264&gt;=1,CO1264&lt;=31),IF(MONTH(DATE(CM1264,CN1264,CO1264))=CN1264,DATE(CM1264,CN1264,CO1264),""),"")))),"")</f>
        <v/>
      </c>
      <c r="CJ1264">
        <f>IFERROR(IF('월 가계부'!C1264="","",IF(ISNUMBER('월 가계부'!C1264),'월 가계부'!C1264,VALUE(SUBSTITUTE(SUBSTITUTE(SUBSTITUTE(SUBSTITUTE(TRIM('월 가계부'!C1264),",",""),"원","")," ",""),"−","-")))),"")</f>
        <v/>
      </c>
      <c r="CK1264">
        <f>IF(ISNUMBER(CI1264),IF(CI1264&lt;$B$13,CI1264,""),"")</f>
        <v/>
      </c>
      <c r="CM1264">
        <f>IF(CH1264="","",IFERROR(IF(IF(AND(LEN(CH1264)=9,ISERROR(FIND("-",LEFT(CH1264,8))),ISNUMBER(-LEFT(CH1264,8))),VALUE(LEFT(CH1264,4)),VALUE(LEFT(CH1264,FIND("-",CH1264)-1)))&lt;100,IF(AND(LEN(CH1264)=9,ISERROR(FIND("-",LEFT(CH1264,8))),ISNUMBER(-LEFT(CH1264,8))),VALUE(LEFT(CH1264,4)),VALUE(LEFT(CH1264,FIND("-",CH1264)-1)))+2000,IF(AND(LEN(CH1264)=9,ISERROR(FIND("-",LEFT(CH1264,8))),ISNUMBER(-LEFT(CH1264,8))),VALUE(LEFT(CH1264,4)),VALUE(LEFT(CH1264,FIND("-",CH1264)-1)))),""))</f>
        <v/>
      </c>
      <c r="CN1264">
        <f>IF(CH1264="","",IFERROR(IF(AND(LEN(CH1264)=9,ISERROR(FIND("-",LEFT(CH1264,8))),ISNUMBER(-LEFT(CH1264,8))),VALUE(MID(CH1264,5,2)),VALUE(MID(CH1264,FIND("-",CH1264)+1,FIND("-",CH1264,FIND("-",CH1264)+1)-FIND("-",CH1264)-1))),""))</f>
        <v/>
      </c>
      <c r="CO1264">
        <f>IF(CH1264="","",IFERROR(IF(AND(LEN(CH1264)=9,ISERROR(FIND("-",LEFT(CH1264,8))),ISNUMBER(-LEFT(CH1264,8))),VALUE(MID(CH1264,7,2)),VALUE(MID(CH1264,FIND("-",CH1264,FIND("-",CH1264)+1)+1,FIND("-",CH1264,FIND("-",CH1264,FIND("-",CH1264)+1)+1)-FIND("-",CH1264,FIND("-",CH1264)+1)-1))),""))</f>
        <v/>
      </c>
    </row>
    <row r="1265">
      <c r="CH1265">
        <f>IF(ISTEXT('월 가계부'!A1265),SUBSTITUTE(SUBSTITUTE(SUBSTITUTE(SUBSTITUTE(SUBSTITUTE(SUBSTITUTE(SUBSTITUTE(SUBSTITUTE(SUBSTITUTE(TRIM('월 가계부'!A1265),"년","-"),"월","-"),"일",""),".","-"),"/","-")," ","-"),"--","-"),"--","-"),"--","-")&amp;"-","")</f>
        <v/>
      </c>
      <c r="CI1265">
        <f>IFERROR(IF('월 가계부'!A1265="","",IF(ISNUMBER('월 가계부'!A1265),IF(AND('월 가계부'!A1265&gt;=19000101,'월 가계부'!A1265&lt;=21001231),IF(AND(MOD(INT('월 가계부'!A1265/100),100)&gt;=1,MOD(INT('월 가계부'!A1265/100),100)&lt;=12,MOD(INT('월 가계부'!A1265),100)&gt;=1,MOD(INT('월 가계부'!A1265),100)&lt;=31),IF(MONTH(DATE(INT('월 가계부'!A1265/10000),MOD(INT('월 가계부'!A1265/100),100),MOD(INT('월 가계부'!A1265),100)))=MOD(INT('월 가계부'!A1265/100),100),DATE(INT('월 가계부'!A1265/10000),MOD(INT('월 가계부'!A1265/100),100),MOD(INT('월 가계부'!A1265),100)),""),""),IF(AND('월 가계부'!A1265&gt;=36526,'월 가계부'!A1265&lt;73051),INT('월 가계부'!A1265),"")),IF(OR(CM1265="",CN1265="",CO1265=""),"",IF(AND(CM1265&gt;=2000,CM1265&lt;=2099,CN1265&gt;=1,CN1265&lt;=12,CO1265&gt;=1,CO1265&lt;=31),IF(MONTH(DATE(CM1265,CN1265,CO1265))=CN1265,DATE(CM1265,CN1265,CO1265),""),"")))),"")</f>
        <v/>
      </c>
      <c r="CJ1265">
        <f>IFERROR(IF('월 가계부'!C1265="","",IF(ISNUMBER('월 가계부'!C1265),'월 가계부'!C1265,VALUE(SUBSTITUTE(SUBSTITUTE(SUBSTITUTE(SUBSTITUTE(TRIM('월 가계부'!C1265),",",""),"원","")," ",""),"−","-")))),"")</f>
        <v/>
      </c>
      <c r="CK1265">
        <f>IF(ISNUMBER(CI1265),IF(CI1265&lt;$B$13,CI1265,""),"")</f>
        <v/>
      </c>
      <c r="CM1265">
        <f>IF(CH1265="","",IFERROR(IF(IF(AND(LEN(CH1265)=9,ISERROR(FIND("-",LEFT(CH1265,8))),ISNUMBER(-LEFT(CH1265,8))),VALUE(LEFT(CH1265,4)),VALUE(LEFT(CH1265,FIND("-",CH1265)-1)))&lt;100,IF(AND(LEN(CH1265)=9,ISERROR(FIND("-",LEFT(CH1265,8))),ISNUMBER(-LEFT(CH1265,8))),VALUE(LEFT(CH1265,4)),VALUE(LEFT(CH1265,FIND("-",CH1265)-1)))+2000,IF(AND(LEN(CH1265)=9,ISERROR(FIND("-",LEFT(CH1265,8))),ISNUMBER(-LEFT(CH1265,8))),VALUE(LEFT(CH1265,4)),VALUE(LEFT(CH1265,FIND("-",CH1265)-1)))),""))</f>
        <v/>
      </c>
      <c r="CN1265">
        <f>IF(CH1265="","",IFERROR(IF(AND(LEN(CH1265)=9,ISERROR(FIND("-",LEFT(CH1265,8))),ISNUMBER(-LEFT(CH1265,8))),VALUE(MID(CH1265,5,2)),VALUE(MID(CH1265,FIND("-",CH1265)+1,FIND("-",CH1265,FIND("-",CH1265)+1)-FIND("-",CH1265)-1))),""))</f>
        <v/>
      </c>
      <c r="CO1265">
        <f>IF(CH1265="","",IFERROR(IF(AND(LEN(CH1265)=9,ISERROR(FIND("-",LEFT(CH1265,8))),ISNUMBER(-LEFT(CH1265,8))),VALUE(MID(CH1265,7,2)),VALUE(MID(CH1265,FIND("-",CH1265,FIND("-",CH1265)+1)+1,FIND("-",CH1265,FIND("-",CH1265,FIND("-",CH1265)+1)+1)-FIND("-",CH1265,FIND("-",CH1265)+1)-1))),""))</f>
        <v/>
      </c>
    </row>
    <row r="1266">
      <c r="CH1266">
        <f>IF(ISTEXT('월 가계부'!A1266),SUBSTITUTE(SUBSTITUTE(SUBSTITUTE(SUBSTITUTE(SUBSTITUTE(SUBSTITUTE(SUBSTITUTE(SUBSTITUTE(SUBSTITUTE(TRIM('월 가계부'!A1266),"년","-"),"월","-"),"일",""),".","-"),"/","-")," ","-"),"--","-"),"--","-"),"--","-")&amp;"-","")</f>
        <v/>
      </c>
      <c r="CI1266">
        <f>IFERROR(IF('월 가계부'!A1266="","",IF(ISNUMBER('월 가계부'!A1266),IF(AND('월 가계부'!A1266&gt;=19000101,'월 가계부'!A1266&lt;=21001231),IF(AND(MOD(INT('월 가계부'!A1266/100),100)&gt;=1,MOD(INT('월 가계부'!A1266/100),100)&lt;=12,MOD(INT('월 가계부'!A1266),100)&gt;=1,MOD(INT('월 가계부'!A1266),100)&lt;=31),IF(MONTH(DATE(INT('월 가계부'!A1266/10000),MOD(INT('월 가계부'!A1266/100),100),MOD(INT('월 가계부'!A1266),100)))=MOD(INT('월 가계부'!A1266/100),100),DATE(INT('월 가계부'!A1266/10000),MOD(INT('월 가계부'!A1266/100),100),MOD(INT('월 가계부'!A1266),100)),""),""),IF(AND('월 가계부'!A1266&gt;=36526,'월 가계부'!A1266&lt;73051),INT('월 가계부'!A1266),"")),IF(OR(CM1266="",CN1266="",CO1266=""),"",IF(AND(CM1266&gt;=2000,CM1266&lt;=2099,CN1266&gt;=1,CN1266&lt;=12,CO1266&gt;=1,CO1266&lt;=31),IF(MONTH(DATE(CM1266,CN1266,CO1266))=CN1266,DATE(CM1266,CN1266,CO1266),""),"")))),"")</f>
        <v/>
      </c>
      <c r="CJ1266">
        <f>IFERROR(IF('월 가계부'!C1266="","",IF(ISNUMBER('월 가계부'!C1266),'월 가계부'!C1266,VALUE(SUBSTITUTE(SUBSTITUTE(SUBSTITUTE(SUBSTITUTE(TRIM('월 가계부'!C1266),",",""),"원","")," ",""),"−","-")))),"")</f>
        <v/>
      </c>
      <c r="CK1266">
        <f>IF(ISNUMBER(CI1266),IF(CI1266&lt;$B$13,CI1266,""),"")</f>
        <v/>
      </c>
      <c r="CM1266">
        <f>IF(CH1266="","",IFERROR(IF(IF(AND(LEN(CH1266)=9,ISERROR(FIND("-",LEFT(CH1266,8))),ISNUMBER(-LEFT(CH1266,8))),VALUE(LEFT(CH1266,4)),VALUE(LEFT(CH1266,FIND("-",CH1266)-1)))&lt;100,IF(AND(LEN(CH1266)=9,ISERROR(FIND("-",LEFT(CH1266,8))),ISNUMBER(-LEFT(CH1266,8))),VALUE(LEFT(CH1266,4)),VALUE(LEFT(CH1266,FIND("-",CH1266)-1)))+2000,IF(AND(LEN(CH1266)=9,ISERROR(FIND("-",LEFT(CH1266,8))),ISNUMBER(-LEFT(CH1266,8))),VALUE(LEFT(CH1266,4)),VALUE(LEFT(CH1266,FIND("-",CH1266)-1)))),""))</f>
        <v/>
      </c>
      <c r="CN1266">
        <f>IF(CH1266="","",IFERROR(IF(AND(LEN(CH1266)=9,ISERROR(FIND("-",LEFT(CH1266,8))),ISNUMBER(-LEFT(CH1266,8))),VALUE(MID(CH1266,5,2)),VALUE(MID(CH1266,FIND("-",CH1266)+1,FIND("-",CH1266,FIND("-",CH1266)+1)-FIND("-",CH1266)-1))),""))</f>
        <v/>
      </c>
      <c r="CO1266">
        <f>IF(CH1266="","",IFERROR(IF(AND(LEN(CH1266)=9,ISERROR(FIND("-",LEFT(CH1266,8))),ISNUMBER(-LEFT(CH1266,8))),VALUE(MID(CH1266,7,2)),VALUE(MID(CH1266,FIND("-",CH1266,FIND("-",CH1266)+1)+1,FIND("-",CH1266,FIND("-",CH1266,FIND("-",CH1266)+1)+1)-FIND("-",CH1266,FIND("-",CH1266)+1)-1))),""))</f>
        <v/>
      </c>
    </row>
    <row r="1267">
      <c r="CH1267">
        <f>IF(ISTEXT('월 가계부'!A1267),SUBSTITUTE(SUBSTITUTE(SUBSTITUTE(SUBSTITUTE(SUBSTITUTE(SUBSTITUTE(SUBSTITUTE(SUBSTITUTE(SUBSTITUTE(TRIM('월 가계부'!A1267),"년","-"),"월","-"),"일",""),".","-"),"/","-")," ","-"),"--","-"),"--","-"),"--","-")&amp;"-","")</f>
        <v/>
      </c>
      <c r="CI1267">
        <f>IFERROR(IF('월 가계부'!A1267="","",IF(ISNUMBER('월 가계부'!A1267),IF(AND('월 가계부'!A1267&gt;=19000101,'월 가계부'!A1267&lt;=21001231),IF(AND(MOD(INT('월 가계부'!A1267/100),100)&gt;=1,MOD(INT('월 가계부'!A1267/100),100)&lt;=12,MOD(INT('월 가계부'!A1267),100)&gt;=1,MOD(INT('월 가계부'!A1267),100)&lt;=31),IF(MONTH(DATE(INT('월 가계부'!A1267/10000),MOD(INT('월 가계부'!A1267/100),100),MOD(INT('월 가계부'!A1267),100)))=MOD(INT('월 가계부'!A1267/100),100),DATE(INT('월 가계부'!A1267/10000),MOD(INT('월 가계부'!A1267/100),100),MOD(INT('월 가계부'!A1267),100)),""),""),IF(AND('월 가계부'!A1267&gt;=36526,'월 가계부'!A1267&lt;73051),INT('월 가계부'!A1267),"")),IF(OR(CM1267="",CN1267="",CO1267=""),"",IF(AND(CM1267&gt;=2000,CM1267&lt;=2099,CN1267&gt;=1,CN1267&lt;=12,CO1267&gt;=1,CO1267&lt;=31),IF(MONTH(DATE(CM1267,CN1267,CO1267))=CN1267,DATE(CM1267,CN1267,CO1267),""),"")))),"")</f>
        <v/>
      </c>
      <c r="CJ1267">
        <f>IFERROR(IF('월 가계부'!C1267="","",IF(ISNUMBER('월 가계부'!C1267),'월 가계부'!C1267,VALUE(SUBSTITUTE(SUBSTITUTE(SUBSTITUTE(SUBSTITUTE(TRIM('월 가계부'!C1267),",",""),"원","")," ",""),"−","-")))),"")</f>
        <v/>
      </c>
      <c r="CK1267">
        <f>IF(ISNUMBER(CI1267),IF(CI1267&lt;$B$13,CI1267,""),"")</f>
        <v/>
      </c>
      <c r="CM1267">
        <f>IF(CH1267="","",IFERROR(IF(IF(AND(LEN(CH1267)=9,ISERROR(FIND("-",LEFT(CH1267,8))),ISNUMBER(-LEFT(CH1267,8))),VALUE(LEFT(CH1267,4)),VALUE(LEFT(CH1267,FIND("-",CH1267)-1)))&lt;100,IF(AND(LEN(CH1267)=9,ISERROR(FIND("-",LEFT(CH1267,8))),ISNUMBER(-LEFT(CH1267,8))),VALUE(LEFT(CH1267,4)),VALUE(LEFT(CH1267,FIND("-",CH1267)-1)))+2000,IF(AND(LEN(CH1267)=9,ISERROR(FIND("-",LEFT(CH1267,8))),ISNUMBER(-LEFT(CH1267,8))),VALUE(LEFT(CH1267,4)),VALUE(LEFT(CH1267,FIND("-",CH1267)-1)))),""))</f>
        <v/>
      </c>
      <c r="CN1267">
        <f>IF(CH1267="","",IFERROR(IF(AND(LEN(CH1267)=9,ISERROR(FIND("-",LEFT(CH1267,8))),ISNUMBER(-LEFT(CH1267,8))),VALUE(MID(CH1267,5,2)),VALUE(MID(CH1267,FIND("-",CH1267)+1,FIND("-",CH1267,FIND("-",CH1267)+1)-FIND("-",CH1267)-1))),""))</f>
        <v/>
      </c>
      <c r="CO1267">
        <f>IF(CH1267="","",IFERROR(IF(AND(LEN(CH1267)=9,ISERROR(FIND("-",LEFT(CH1267,8))),ISNUMBER(-LEFT(CH1267,8))),VALUE(MID(CH1267,7,2)),VALUE(MID(CH1267,FIND("-",CH1267,FIND("-",CH1267)+1)+1,FIND("-",CH1267,FIND("-",CH1267,FIND("-",CH1267)+1)+1)-FIND("-",CH1267,FIND("-",CH1267)+1)-1))),""))</f>
        <v/>
      </c>
    </row>
    <row r="1268">
      <c r="CH1268">
        <f>IF(ISTEXT('월 가계부'!A1268),SUBSTITUTE(SUBSTITUTE(SUBSTITUTE(SUBSTITUTE(SUBSTITUTE(SUBSTITUTE(SUBSTITUTE(SUBSTITUTE(SUBSTITUTE(TRIM('월 가계부'!A1268),"년","-"),"월","-"),"일",""),".","-"),"/","-")," ","-"),"--","-"),"--","-"),"--","-")&amp;"-","")</f>
        <v/>
      </c>
      <c r="CI1268">
        <f>IFERROR(IF('월 가계부'!A1268="","",IF(ISNUMBER('월 가계부'!A1268),IF(AND('월 가계부'!A1268&gt;=19000101,'월 가계부'!A1268&lt;=21001231),IF(AND(MOD(INT('월 가계부'!A1268/100),100)&gt;=1,MOD(INT('월 가계부'!A1268/100),100)&lt;=12,MOD(INT('월 가계부'!A1268),100)&gt;=1,MOD(INT('월 가계부'!A1268),100)&lt;=31),IF(MONTH(DATE(INT('월 가계부'!A1268/10000),MOD(INT('월 가계부'!A1268/100),100),MOD(INT('월 가계부'!A1268),100)))=MOD(INT('월 가계부'!A1268/100),100),DATE(INT('월 가계부'!A1268/10000),MOD(INT('월 가계부'!A1268/100),100),MOD(INT('월 가계부'!A1268),100)),""),""),IF(AND('월 가계부'!A1268&gt;=36526,'월 가계부'!A1268&lt;73051),INT('월 가계부'!A1268),"")),IF(OR(CM1268="",CN1268="",CO1268=""),"",IF(AND(CM1268&gt;=2000,CM1268&lt;=2099,CN1268&gt;=1,CN1268&lt;=12,CO1268&gt;=1,CO1268&lt;=31),IF(MONTH(DATE(CM1268,CN1268,CO1268))=CN1268,DATE(CM1268,CN1268,CO1268),""),"")))),"")</f>
        <v/>
      </c>
      <c r="CJ1268">
        <f>IFERROR(IF('월 가계부'!C1268="","",IF(ISNUMBER('월 가계부'!C1268),'월 가계부'!C1268,VALUE(SUBSTITUTE(SUBSTITUTE(SUBSTITUTE(SUBSTITUTE(TRIM('월 가계부'!C1268),",",""),"원","")," ",""),"−","-")))),"")</f>
        <v/>
      </c>
      <c r="CK1268">
        <f>IF(ISNUMBER(CI1268),IF(CI1268&lt;$B$13,CI1268,""),"")</f>
        <v/>
      </c>
      <c r="CM1268">
        <f>IF(CH1268="","",IFERROR(IF(IF(AND(LEN(CH1268)=9,ISERROR(FIND("-",LEFT(CH1268,8))),ISNUMBER(-LEFT(CH1268,8))),VALUE(LEFT(CH1268,4)),VALUE(LEFT(CH1268,FIND("-",CH1268)-1)))&lt;100,IF(AND(LEN(CH1268)=9,ISERROR(FIND("-",LEFT(CH1268,8))),ISNUMBER(-LEFT(CH1268,8))),VALUE(LEFT(CH1268,4)),VALUE(LEFT(CH1268,FIND("-",CH1268)-1)))+2000,IF(AND(LEN(CH1268)=9,ISERROR(FIND("-",LEFT(CH1268,8))),ISNUMBER(-LEFT(CH1268,8))),VALUE(LEFT(CH1268,4)),VALUE(LEFT(CH1268,FIND("-",CH1268)-1)))),""))</f>
        <v/>
      </c>
      <c r="CN1268">
        <f>IF(CH1268="","",IFERROR(IF(AND(LEN(CH1268)=9,ISERROR(FIND("-",LEFT(CH1268,8))),ISNUMBER(-LEFT(CH1268,8))),VALUE(MID(CH1268,5,2)),VALUE(MID(CH1268,FIND("-",CH1268)+1,FIND("-",CH1268,FIND("-",CH1268)+1)-FIND("-",CH1268)-1))),""))</f>
        <v/>
      </c>
      <c r="CO1268">
        <f>IF(CH1268="","",IFERROR(IF(AND(LEN(CH1268)=9,ISERROR(FIND("-",LEFT(CH1268,8))),ISNUMBER(-LEFT(CH1268,8))),VALUE(MID(CH1268,7,2)),VALUE(MID(CH1268,FIND("-",CH1268,FIND("-",CH1268)+1)+1,FIND("-",CH1268,FIND("-",CH1268,FIND("-",CH1268)+1)+1)-FIND("-",CH1268,FIND("-",CH1268)+1)-1))),""))</f>
        <v/>
      </c>
    </row>
    <row r="1269">
      <c r="CH1269">
        <f>IF(ISTEXT('월 가계부'!A1269),SUBSTITUTE(SUBSTITUTE(SUBSTITUTE(SUBSTITUTE(SUBSTITUTE(SUBSTITUTE(SUBSTITUTE(SUBSTITUTE(SUBSTITUTE(TRIM('월 가계부'!A1269),"년","-"),"월","-"),"일",""),".","-"),"/","-")," ","-"),"--","-"),"--","-"),"--","-")&amp;"-","")</f>
        <v/>
      </c>
      <c r="CI1269">
        <f>IFERROR(IF('월 가계부'!A1269="","",IF(ISNUMBER('월 가계부'!A1269),IF(AND('월 가계부'!A1269&gt;=19000101,'월 가계부'!A1269&lt;=21001231),IF(AND(MOD(INT('월 가계부'!A1269/100),100)&gt;=1,MOD(INT('월 가계부'!A1269/100),100)&lt;=12,MOD(INT('월 가계부'!A1269),100)&gt;=1,MOD(INT('월 가계부'!A1269),100)&lt;=31),IF(MONTH(DATE(INT('월 가계부'!A1269/10000),MOD(INT('월 가계부'!A1269/100),100),MOD(INT('월 가계부'!A1269),100)))=MOD(INT('월 가계부'!A1269/100),100),DATE(INT('월 가계부'!A1269/10000),MOD(INT('월 가계부'!A1269/100),100),MOD(INT('월 가계부'!A1269),100)),""),""),IF(AND('월 가계부'!A1269&gt;=36526,'월 가계부'!A1269&lt;73051),INT('월 가계부'!A1269),"")),IF(OR(CM1269="",CN1269="",CO1269=""),"",IF(AND(CM1269&gt;=2000,CM1269&lt;=2099,CN1269&gt;=1,CN1269&lt;=12,CO1269&gt;=1,CO1269&lt;=31),IF(MONTH(DATE(CM1269,CN1269,CO1269))=CN1269,DATE(CM1269,CN1269,CO1269),""),"")))),"")</f>
        <v/>
      </c>
      <c r="CJ1269">
        <f>IFERROR(IF('월 가계부'!C1269="","",IF(ISNUMBER('월 가계부'!C1269),'월 가계부'!C1269,VALUE(SUBSTITUTE(SUBSTITUTE(SUBSTITUTE(SUBSTITUTE(TRIM('월 가계부'!C1269),",",""),"원","")," ",""),"−","-")))),"")</f>
        <v/>
      </c>
      <c r="CK1269">
        <f>IF(ISNUMBER(CI1269),IF(CI1269&lt;$B$13,CI1269,""),"")</f>
        <v/>
      </c>
      <c r="CM1269">
        <f>IF(CH1269="","",IFERROR(IF(IF(AND(LEN(CH1269)=9,ISERROR(FIND("-",LEFT(CH1269,8))),ISNUMBER(-LEFT(CH1269,8))),VALUE(LEFT(CH1269,4)),VALUE(LEFT(CH1269,FIND("-",CH1269)-1)))&lt;100,IF(AND(LEN(CH1269)=9,ISERROR(FIND("-",LEFT(CH1269,8))),ISNUMBER(-LEFT(CH1269,8))),VALUE(LEFT(CH1269,4)),VALUE(LEFT(CH1269,FIND("-",CH1269)-1)))+2000,IF(AND(LEN(CH1269)=9,ISERROR(FIND("-",LEFT(CH1269,8))),ISNUMBER(-LEFT(CH1269,8))),VALUE(LEFT(CH1269,4)),VALUE(LEFT(CH1269,FIND("-",CH1269)-1)))),""))</f>
        <v/>
      </c>
      <c r="CN1269">
        <f>IF(CH1269="","",IFERROR(IF(AND(LEN(CH1269)=9,ISERROR(FIND("-",LEFT(CH1269,8))),ISNUMBER(-LEFT(CH1269,8))),VALUE(MID(CH1269,5,2)),VALUE(MID(CH1269,FIND("-",CH1269)+1,FIND("-",CH1269,FIND("-",CH1269)+1)-FIND("-",CH1269)-1))),""))</f>
        <v/>
      </c>
      <c r="CO1269">
        <f>IF(CH1269="","",IFERROR(IF(AND(LEN(CH1269)=9,ISERROR(FIND("-",LEFT(CH1269,8))),ISNUMBER(-LEFT(CH1269,8))),VALUE(MID(CH1269,7,2)),VALUE(MID(CH1269,FIND("-",CH1269,FIND("-",CH1269)+1)+1,FIND("-",CH1269,FIND("-",CH1269,FIND("-",CH1269)+1)+1)-FIND("-",CH1269,FIND("-",CH1269)+1)-1))),""))</f>
        <v/>
      </c>
    </row>
    <row r="1270">
      <c r="CH1270">
        <f>IF(ISTEXT('월 가계부'!A1270),SUBSTITUTE(SUBSTITUTE(SUBSTITUTE(SUBSTITUTE(SUBSTITUTE(SUBSTITUTE(SUBSTITUTE(SUBSTITUTE(SUBSTITUTE(TRIM('월 가계부'!A1270),"년","-"),"월","-"),"일",""),".","-"),"/","-")," ","-"),"--","-"),"--","-"),"--","-")&amp;"-","")</f>
        <v/>
      </c>
      <c r="CI1270">
        <f>IFERROR(IF('월 가계부'!A1270="","",IF(ISNUMBER('월 가계부'!A1270),IF(AND('월 가계부'!A1270&gt;=19000101,'월 가계부'!A1270&lt;=21001231),IF(AND(MOD(INT('월 가계부'!A1270/100),100)&gt;=1,MOD(INT('월 가계부'!A1270/100),100)&lt;=12,MOD(INT('월 가계부'!A1270),100)&gt;=1,MOD(INT('월 가계부'!A1270),100)&lt;=31),IF(MONTH(DATE(INT('월 가계부'!A1270/10000),MOD(INT('월 가계부'!A1270/100),100),MOD(INT('월 가계부'!A1270),100)))=MOD(INT('월 가계부'!A1270/100),100),DATE(INT('월 가계부'!A1270/10000),MOD(INT('월 가계부'!A1270/100),100),MOD(INT('월 가계부'!A1270),100)),""),""),IF(AND('월 가계부'!A1270&gt;=36526,'월 가계부'!A1270&lt;73051),INT('월 가계부'!A1270),"")),IF(OR(CM1270="",CN1270="",CO1270=""),"",IF(AND(CM1270&gt;=2000,CM1270&lt;=2099,CN1270&gt;=1,CN1270&lt;=12,CO1270&gt;=1,CO1270&lt;=31),IF(MONTH(DATE(CM1270,CN1270,CO1270))=CN1270,DATE(CM1270,CN1270,CO1270),""),"")))),"")</f>
        <v/>
      </c>
      <c r="CJ1270">
        <f>IFERROR(IF('월 가계부'!C1270="","",IF(ISNUMBER('월 가계부'!C1270),'월 가계부'!C1270,VALUE(SUBSTITUTE(SUBSTITUTE(SUBSTITUTE(SUBSTITUTE(TRIM('월 가계부'!C1270),",",""),"원","")," ",""),"−","-")))),"")</f>
        <v/>
      </c>
      <c r="CK1270">
        <f>IF(ISNUMBER(CI1270),IF(CI1270&lt;$B$13,CI1270,""),"")</f>
        <v/>
      </c>
      <c r="CM1270">
        <f>IF(CH1270="","",IFERROR(IF(IF(AND(LEN(CH1270)=9,ISERROR(FIND("-",LEFT(CH1270,8))),ISNUMBER(-LEFT(CH1270,8))),VALUE(LEFT(CH1270,4)),VALUE(LEFT(CH1270,FIND("-",CH1270)-1)))&lt;100,IF(AND(LEN(CH1270)=9,ISERROR(FIND("-",LEFT(CH1270,8))),ISNUMBER(-LEFT(CH1270,8))),VALUE(LEFT(CH1270,4)),VALUE(LEFT(CH1270,FIND("-",CH1270)-1)))+2000,IF(AND(LEN(CH1270)=9,ISERROR(FIND("-",LEFT(CH1270,8))),ISNUMBER(-LEFT(CH1270,8))),VALUE(LEFT(CH1270,4)),VALUE(LEFT(CH1270,FIND("-",CH1270)-1)))),""))</f>
        <v/>
      </c>
      <c r="CN1270">
        <f>IF(CH1270="","",IFERROR(IF(AND(LEN(CH1270)=9,ISERROR(FIND("-",LEFT(CH1270,8))),ISNUMBER(-LEFT(CH1270,8))),VALUE(MID(CH1270,5,2)),VALUE(MID(CH1270,FIND("-",CH1270)+1,FIND("-",CH1270,FIND("-",CH1270)+1)-FIND("-",CH1270)-1))),""))</f>
        <v/>
      </c>
      <c r="CO1270">
        <f>IF(CH1270="","",IFERROR(IF(AND(LEN(CH1270)=9,ISERROR(FIND("-",LEFT(CH1270,8))),ISNUMBER(-LEFT(CH1270,8))),VALUE(MID(CH1270,7,2)),VALUE(MID(CH1270,FIND("-",CH1270,FIND("-",CH1270)+1)+1,FIND("-",CH1270,FIND("-",CH1270,FIND("-",CH1270)+1)+1)-FIND("-",CH1270,FIND("-",CH1270)+1)-1))),""))</f>
        <v/>
      </c>
    </row>
    <row r="1271">
      <c r="CH1271">
        <f>IF(ISTEXT('월 가계부'!A1271),SUBSTITUTE(SUBSTITUTE(SUBSTITUTE(SUBSTITUTE(SUBSTITUTE(SUBSTITUTE(SUBSTITUTE(SUBSTITUTE(SUBSTITUTE(TRIM('월 가계부'!A1271),"년","-"),"월","-"),"일",""),".","-"),"/","-")," ","-"),"--","-"),"--","-"),"--","-")&amp;"-","")</f>
        <v/>
      </c>
      <c r="CI1271">
        <f>IFERROR(IF('월 가계부'!A1271="","",IF(ISNUMBER('월 가계부'!A1271),IF(AND('월 가계부'!A1271&gt;=19000101,'월 가계부'!A1271&lt;=21001231),IF(AND(MOD(INT('월 가계부'!A1271/100),100)&gt;=1,MOD(INT('월 가계부'!A1271/100),100)&lt;=12,MOD(INT('월 가계부'!A1271),100)&gt;=1,MOD(INT('월 가계부'!A1271),100)&lt;=31),IF(MONTH(DATE(INT('월 가계부'!A1271/10000),MOD(INT('월 가계부'!A1271/100),100),MOD(INT('월 가계부'!A1271),100)))=MOD(INT('월 가계부'!A1271/100),100),DATE(INT('월 가계부'!A1271/10000),MOD(INT('월 가계부'!A1271/100),100),MOD(INT('월 가계부'!A1271),100)),""),""),IF(AND('월 가계부'!A1271&gt;=36526,'월 가계부'!A1271&lt;73051),INT('월 가계부'!A1271),"")),IF(OR(CM1271="",CN1271="",CO1271=""),"",IF(AND(CM1271&gt;=2000,CM1271&lt;=2099,CN1271&gt;=1,CN1271&lt;=12,CO1271&gt;=1,CO1271&lt;=31),IF(MONTH(DATE(CM1271,CN1271,CO1271))=CN1271,DATE(CM1271,CN1271,CO1271),""),"")))),"")</f>
        <v/>
      </c>
      <c r="CJ1271">
        <f>IFERROR(IF('월 가계부'!C1271="","",IF(ISNUMBER('월 가계부'!C1271),'월 가계부'!C1271,VALUE(SUBSTITUTE(SUBSTITUTE(SUBSTITUTE(SUBSTITUTE(TRIM('월 가계부'!C1271),",",""),"원","")," ",""),"−","-")))),"")</f>
        <v/>
      </c>
      <c r="CK1271">
        <f>IF(ISNUMBER(CI1271),IF(CI1271&lt;$B$13,CI1271,""),"")</f>
        <v/>
      </c>
      <c r="CM1271">
        <f>IF(CH1271="","",IFERROR(IF(IF(AND(LEN(CH1271)=9,ISERROR(FIND("-",LEFT(CH1271,8))),ISNUMBER(-LEFT(CH1271,8))),VALUE(LEFT(CH1271,4)),VALUE(LEFT(CH1271,FIND("-",CH1271)-1)))&lt;100,IF(AND(LEN(CH1271)=9,ISERROR(FIND("-",LEFT(CH1271,8))),ISNUMBER(-LEFT(CH1271,8))),VALUE(LEFT(CH1271,4)),VALUE(LEFT(CH1271,FIND("-",CH1271)-1)))+2000,IF(AND(LEN(CH1271)=9,ISERROR(FIND("-",LEFT(CH1271,8))),ISNUMBER(-LEFT(CH1271,8))),VALUE(LEFT(CH1271,4)),VALUE(LEFT(CH1271,FIND("-",CH1271)-1)))),""))</f>
        <v/>
      </c>
      <c r="CN1271">
        <f>IF(CH1271="","",IFERROR(IF(AND(LEN(CH1271)=9,ISERROR(FIND("-",LEFT(CH1271,8))),ISNUMBER(-LEFT(CH1271,8))),VALUE(MID(CH1271,5,2)),VALUE(MID(CH1271,FIND("-",CH1271)+1,FIND("-",CH1271,FIND("-",CH1271)+1)-FIND("-",CH1271)-1))),""))</f>
        <v/>
      </c>
      <c r="CO1271">
        <f>IF(CH1271="","",IFERROR(IF(AND(LEN(CH1271)=9,ISERROR(FIND("-",LEFT(CH1271,8))),ISNUMBER(-LEFT(CH1271,8))),VALUE(MID(CH1271,7,2)),VALUE(MID(CH1271,FIND("-",CH1271,FIND("-",CH1271)+1)+1,FIND("-",CH1271,FIND("-",CH1271,FIND("-",CH1271)+1)+1)-FIND("-",CH1271,FIND("-",CH1271)+1)-1))),""))</f>
        <v/>
      </c>
    </row>
    <row r="1272">
      <c r="CH1272">
        <f>IF(ISTEXT('월 가계부'!A1272),SUBSTITUTE(SUBSTITUTE(SUBSTITUTE(SUBSTITUTE(SUBSTITUTE(SUBSTITUTE(SUBSTITUTE(SUBSTITUTE(SUBSTITUTE(TRIM('월 가계부'!A1272),"년","-"),"월","-"),"일",""),".","-"),"/","-")," ","-"),"--","-"),"--","-"),"--","-")&amp;"-","")</f>
        <v/>
      </c>
      <c r="CI1272">
        <f>IFERROR(IF('월 가계부'!A1272="","",IF(ISNUMBER('월 가계부'!A1272),IF(AND('월 가계부'!A1272&gt;=19000101,'월 가계부'!A1272&lt;=21001231),IF(AND(MOD(INT('월 가계부'!A1272/100),100)&gt;=1,MOD(INT('월 가계부'!A1272/100),100)&lt;=12,MOD(INT('월 가계부'!A1272),100)&gt;=1,MOD(INT('월 가계부'!A1272),100)&lt;=31),IF(MONTH(DATE(INT('월 가계부'!A1272/10000),MOD(INT('월 가계부'!A1272/100),100),MOD(INT('월 가계부'!A1272),100)))=MOD(INT('월 가계부'!A1272/100),100),DATE(INT('월 가계부'!A1272/10000),MOD(INT('월 가계부'!A1272/100),100),MOD(INT('월 가계부'!A1272),100)),""),""),IF(AND('월 가계부'!A1272&gt;=36526,'월 가계부'!A1272&lt;73051),INT('월 가계부'!A1272),"")),IF(OR(CM1272="",CN1272="",CO1272=""),"",IF(AND(CM1272&gt;=2000,CM1272&lt;=2099,CN1272&gt;=1,CN1272&lt;=12,CO1272&gt;=1,CO1272&lt;=31),IF(MONTH(DATE(CM1272,CN1272,CO1272))=CN1272,DATE(CM1272,CN1272,CO1272),""),"")))),"")</f>
        <v/>
      </c>
      <c r="CJ1272">
        <f>IFERROR(IF('월 가계부'!C1272="","",IF(ISNUMBER('월 가계부'!C1272),'월 가계부'!C1272,VALUE(SUBSTITUTE(SUBSTITUTE(SUBSTITUTE(SUBSTITUTE(TRIM('월 가계부'!C1272),",",""),"원","")," ",""),"−","-")))),"")</f>
        <v/>
      </c>
      <c r="CK1272">
        <f>IF(ISNUMBER(CI1272),IF(CI1272&lt;$B$13,CI1272,""),"")</f>
        <v/>
      </c>
      <c r="CM1272">
        <f>IF(CH1272="","",IFERROR(IF(IF(AND(LEN(CH1272)=9,ISERROR(FIND("-",LEFT(CH1272,8))),ISNUMBER(-LEFT(CH1272,8))),VALUE(LEFT(CH1272,4)),VALUE(LEFT(CH1272,FIND("-",CH1272)-1)))&lt;100,IF(AND(LEN(CH1272)=9,ISERROR(FIND("-",LEFT(CH1272,8))),ISNUMBER(-LEFT(CH1272,8))),VALUE(LEFT(CH1272,4)),VALUE(LEFT(CH1272,FIND("-",CH1272)-1)))+2000,IF(AND(LEN(CH1272)=9,ISERROR(FIND("-",LEFT(CH1272,8))),ISNUMBER(-LEFT(CH1272,8))),VALUE(LEFT(CH1272,4)),VALUE(LEFT(CH1272,FIND("-",CH1272)-1)))),""))</f>
        <v/>
      </c>
      <c r="CN1272">
        <f>IF(CH1272="","",IFERROR(IF(AND(LEN(CH1272)=9,ISERROR(FIND("-",LEFT(CH1272,8))),ISNUMBER(-LEFT(CH1272,8))),VALUE(MID(CH1272,5,2)),VALUE(MID(CH1272,FIND("-",CH1272)+1,FIND("-",CH1272,FIND("-",CH1272)+1)-FIND("-",CH1272)-1))),""))</f>
        <v/>
      </c>
      <c r="CO1272">
        <f>IF(CH1272="","",IFERROR(IF(AND(LEN(CH1272)=9,ISERROR(FIND("-",LEFT(CH1272,8))),ISNUMBER(-LEFT(CH1272,8))),VALUE(MID(CH1272,7,2)),VALUE(MID(CH1272,FIND("-",CH1272,FIND("-",CH1272)+1)+1,FIND("-",CH1272,FIND("-",CH1272,FIND("-",CH1272)+1)+1)-FIND("-",CH1272,FIND("-",CH1272)+1)-1))),""))</f>
        <v/>
      </c>
    </row>
    <row r="1273">
      <c r="CH1273">
        <f>IF(ISTEXT('월 가계부'!A1273),SUBSTITUTE(SUBSTITUTE(SUBSTITUTE(SUBSTITUTE(SUBSTITUTE(SUBSTITUTE(SUBSTITUTE(SUBSTITUTE(SUBSTITUTE(TRIM('월 가계부'!A1273),"년","-"),"월","-"),"일",""),".","-"),"/","-")," ","-"),"--","-"),"--","-"),"--","-")&amp;"-","")</f>
        <v/>
      </c>
      <c r="CI1273">
        <f>IFERROR(IF('월 가계부'!A1273="","",IF(ISNUMBER('월 가계부'!A1273),IF(AND('월 가계부'!A1273&gt;=19000101,'월 가계부'!A1273&lt;=21001231),IF(AND(MOD(INT('월 가계부'!A1273/100),100)&gt;=1,MOD(INT('월 가계부'!A1273/100),100)&lt;=12,MOD(INT('월 가계부'!A1273),100)&gt;=1,MOD(INT('월 가계부'!A1273),100)&lt;=31),IF(MONTH(DATE(INT('월 가계부'!A1273/10000),MOD(INT('월 가계부'!A1273/100),100),MOD(INT('월 가계부'!A1273),100)))=MOD(INT('월 가계부'!A1273/100),100),DATE(INT('월 가계부'!A1273/10000),MOD(INT('월 가계부'!A1273/100),100),MOD(INT('월 가계부'!A1273),100)),""),""),IF(AND('월 가계부'!A1273&gt;=36526,'월 가계부'!A1273&lt;73051),INT('월 가계부'!A1273),"")),IF(OR(CM1273="",CN1273="",CO1273=""),"",IF(AND(CM1273&gt;=2000,CM1273&lt;=2099,CN1273&gt;=1,CN1273&lt;=12,CO1273&gt;=1,CO1273&lt;=31),IF(MONTH(DATE(CM1273,CN1273,CO1273))=CN1273,DATE(CM1273,CN1273,CO1273),""),"")))),"")</f>
        <v/>
      </c>
      <c r="CJ1273">
        <f>IFERROR(IF('월 가계부'!C1273="","",IF(ISNUMBER('월 가계부'!C1273),'월 가계부'!C1273,VALUE(SUBSTITUTE(SUBSTITUTE(SUBSTITUTE(SUBSTITUTE(TRIM('월 가계부'!C1273),",",""),"원","")," ",""),"−","-")))),"")</f>
        <v/>
      </c>
      <c r="CK1273">
        <f>IF(ISNUMBER(CI1273),IF(CI1273&lt;$B$13,CI1273,""),"")</f>
        <v/>
      </c>
      <c r="CM1273">
        <f>IF(CH1273="","",IFERROR(IF(IF(AND(LEN(CH1273)=9,ISERROR(FIND("-",LEFT(CH1273,8))),ISNUMBER(-LEFT(CH1273,8))),VALUE(LEFT(CH1273,4)),VALUE(LEFT(CH1273,FIND("-",CH1273)-1)))&lt;100,IF(AND(LEN(CH1273)=9,ISERROR(FIND("-",LEFT(CH1273,8))),ISNUMBER(-LEFT(CH1273,8))),VALUE(LEFT(CH1273,4)),VALUE(LEFT(CH1273,FIND("-",CH1273)-1)))+2000,IF(AND(LEN(CH1273)=9,ISERROR(FIND("-",LEFT(CH1273,8))),ISNUMBER(-LEFT(CH1273,8))),VALUE(LEFT(CH1273,4)),VALUE(LEFT(CH1273,FIND("-",CH1273)-1)))),""))</f>
        <v/>
      </c>
      <c r="CN1273">
        <f>IF(CH1273="","",IFERROR(IF(AND(LEN(CH1273)=9,ISERROR(FIND("-",LEFT(CH1273,8))),ISNUMBER(-LEFT(CH1273,8))),VALUE(MID(CH1273,5,2)),VALUE(MID(CH1273,FIND("-",CH1273)+1,FIND("-",CH1273,FIND("-",CH1273)+1)-FIND("-",CH1273)-1))),""))</f>
        <v/>
      </c>
      <c r="CO1273">
        <f>IF(CH1273="","",IFERROR(IF(AND(LEN(CH1273)=9,ISERROR(FIND("-",LEFT(CH1273,8))),ISNUMBER(-LEFT(CH1273,8))),VALUE(MID(CH1273,7,2)),VALUE(MID(CH1273,FIND("-",CH1273,FIND("-",CH1273)+1)+1,FIND("-",CH1273,FIND("-",CH1273,FIND("-",CH1273)+1)+1)-FIND("-",CH1273,FIND("-",CH1273)+1)-1))),""))</f>
        <v/>
      </c>
    </row>
    <row r="1274">
      <c r="CH1274">
        <f>IF(ISTEXT('월 가계부'!A1274),SUBSTITUTE(SUBSTITUTE(SUBSTITUTE(SUBSTITUTE(SUBSTITUTE(SUBSTITUTE(SUBSTITUTE(SUBSTITUTE(SUBSTITUTE(TRIM('월 가계부'!A1274),"년","-"),"월","-"),"일",""),".","-"),"/","-")," ","-"),"--","-"),"--","-"),"--","-")&amp;"-","")</f>
        <v/>
      </c>
      <c r="CI1274">
        <f>IFERROR(IF('월 가계부'!A1274="","",IF(ISNUMBER('월 가계부'!A1274),IF(AND('월 가계부'!A1274&gt;=19000101,'월 가계부'!A1274&lt;=21001231),IF(AND(MOD(INT('월 가계부'!A1274/100),100)&gt;=1,MOD(INT('월 가계부'!A1274/100),100)&lt;=12,MOD(INT('월 가계부'!A1274),100)&gt;=1,MOD(INT('월 가계부'!A1274),100)&lt;=31),IF(MONTH(DATE(INT('월 가계부'!A1274/10000),MOD(INT('월 가계부'!A1274/100),100),MOD(INT('월 가계부'!A1274),100)))=MOD(INT('월 가계부'!A1274/100),100),DATE(INT('월 가계부'!A1274/10000),MOD(INT('월 가계부'!A1274/100),100),MOD(INT('월 가계부'!A1274),100)),""),""),IF(AND('월 가계부'!A1274&gt;=36526,'월 가계부'!A1274&lt;73051),INT('월 가계부'!A1274),"")),IF(OR(CM1274="",CN1274="",CO1274=""),"",IF(AND(CM1274&gt;=2000,CM1274&lt;=2099,CN1274&gt;=1,CN1274&lt;=12,CO1274&gt;=1,CO1274&lt;=31),IF(MONTH(DATE(CM1274,CN1274,CO1274))=CN1274,DATE(CM1274,CN1274,CO1274),""),"")))),"")</f>
        <v/>
      </c>
      <c r="CJ1274">
        <f>IFERROR(IF('월 가계부'!C1274="","",IF(ISNUMBER('월 가계부'!C1274),'월 가계부'!C1274,VALUE(SUBSTITUTE(SUBSTITUTE(SUBSTITUTE(SUBSTITUTE(TRIM('월 가계부'!C1274),",",""),"원","")," ",""),"−","-")))),"")</f>
        <v/>
      </c>
      <c r="CK1274">
        <f>IF(ISNUMBER(CI1274),IF(CI1274&lt;$B$13,CI1274,""),"")</f>
        <v/>
      </c>
      <c r="CM1274">
        <f>IF(CH1274="","",IFERROR(IF(IF(AND(LEN(CH1274)=9,ISERROR(FIND("-",LEFT(CH1274,8))),ISNUMBER(-LEFT(CH1274,8))),VALUE(LEFT(CH1274,4)),VALUE(LEFT(CH1274,FIND("-",CH1274)-1)))&lt;100,IF(AND(LEN(CH1274)=9,ISERROR(FIND("-",LEFT(CH1274,8))),ISNUMBER(-LEFT(CH1274,8))),VALUE(LEFT(CH1274,4)),VALUE(LEFT(CH1274,FIND("-",CH1274)-1)))+2000,IF(AND(LEN(CH1274)=9,ISERROR(FIND("-",LEFT(CH1274,8))),ISNUMBER(-LEFT(CH1274,8))),VALUE(LEFT(CH1274,4)),VALUE(LEFT(CH1274,FIND("-",CH1274)-1)))),""))</f>
        <v/>
      </c>
      <c r="CN1274">
        <f>IF(CH1274="","",IFERROR(IF(AND(LEN(CH1274)=9,ISERROR(FIND("-",LEFT(CH1274,8))),ISNUMBER(-LEFT(CH1274,8))),VALUE(MID(CH1274,5,2)),VALUE(MID(CH1274,FIND("-",CH1274)+1,FIND("-",CH1274,FIND("-",CH1274)+1)-FIND("-",CH1274)-1))),""))</f>
        <v/>
      </c>
      <c r="CO1274">
        <f>IF(CH1274="","",IFERROR(IF(AND(LEN(CH1274)=9,ISERROR(FIND("-",LEFT(CH1274,8))),ISNUMBER(-LEFT(CH1274,8))),VALUE(MID(CH1274,7,2)),VALUE(MID(CH1274,FIND("-",CH1274,FIND("-",CH1274)+1)+1,FIND("-",CH1274,FIND("-",CH1274,FIND("-",CH1274)+1)+1)-FIND("-",CH1274,FIND("-",CH1274)+1)-1))),""))</f>
        <v/>
      </c>
    </row>
    <row r="1275">
      <c r="CH1275">
        <f>IF(ISTEXT('월 가계부'!A1275),SUBSTITUTE(SUBSTITUTE(SUBSTITUTE(SUBSTITUTE(SUBSTITUTE(SUBSTITUTE(SUBSTITUTE(SUBSTITUTE(SUBSTITUTE(TRIM('월 가계부'!A1275),"년","-"),"월","-"),"일",""),".","-"),"/","-")," ","-"),"--","-"),"--","-"),"--","-")&amp;"-","")</f>
        <v/>
      </c>
      <c r="CI1275">
        <f>IFERROR(IF('월 가계부'!A1275="","",IF(ISNUMBER('월 가계부'!A1275),IF(AND('월 가계부'!A1275&gt;=19000101,'월 가계부'!A1275&lt;=21001231),IF(AND(MOD(INT('월 가계부'!A1275/100),100)&gt;=1,MOD(INT('월 가계부'!A1275/100),100)&lt;=12,MOD(INT('월 가계부'!A1275),100)&gt;=1,MOD(INT('월 가계부'!A1275),100)&lt;=31),IF(MONTH(DATE(INT('월 가계부'!A1275/10000),MOD(INT('월 가계부'!A1275/100),100),MOD(INT('월 가계부'!A1275),100)))=MOD(INT('월 가계부'!A1275/100),100),DATE(INT('월 가계부'!A1275/10000),MOD(INT('월 가계부'!A1275/100),100),MOD(INT('월 가계부'!A1275),100)),""),""),IF(AND('월 가계부'!A1275&gt;=36526,'월 가계부'!A1275&lt;73051),INT('월 가계부'!A1275),"")),IF(OR(CM1275="",CN1275="",CO1275=""),"",IF(AND(CM1275&gt;=2000,CM1275&lt;=2099,CN1275&gt;=1,CN1275&lt;=12,CO1275&gt;=1,CO1275&lt;=31),IF(MONTH(DATE(CM1275,CN1275,CO1275))=CN1275,DATE(CM1275,CN1275,CO1275),""),"")))),"")</f>
        <v/>
      </c>
      <c r="CJ1275">
        <f>IFERROR(IF('월 가계부'!C1275="","",IF(ISNUMBER('월 가계부'!C1275),'월 가계부'!C1275,VALUE(SUBSTITUTE(SUBSTITUTE(SUBSTITUTE(SUBSTITUTE(TRIM('월 가계부'!C1275),",",""),"원","")," ",""),"−","-")))),"")</f>
        <v/>
      </c>
      <c r="CK1275">
        <f>IF(ISNUMBER(CI1275),IF(CI1275&lt;$B$13,CI1275,""),"")</f>
        <v/>
      </c>
      <c r="CM1275">
        <f>IF(CH1275="","",IFERROR(IF(IF(AND(LEN(CH1275)=9,ISERROR(FIND("-",LEFT(CH1275,8))),ISNUMBER(-LEFT(CH1275,8))),VALUE(LEFT(CH1275,4)),VALUE(LEFT(CH1275,FIND("-",CH1275)-1)))&lt;100,IF(AND(LEN(CH1275)=9,ISERROR(FIND("-",LEFT(CH1275,8))),ISNUMBER(-LEFT(CH1275,8))),VALUE(LEFT(CH1275,4)),VALUE(LEFT(CH1275,FIND("-",CH1275)-1)))+2000,IF(AND(LEN(CH1275)=9,ISERROR(FIND("-",LEFT(CH1275,8))),ISNUMBER(-LEFT(CH1275,8))),VALUE(LEFT(CH1275,4)),VALUE(LEFT(CH1275,FIND("-",CH1275)-1)))),""))</f>
        <v/>
      </c>
      <c r="CN1275">
        <f>IF(CH1275="","",IFERROR(IF(AND(LEN(CH1275)=9,ISERROR(FIND("-",LEFT(CH1275,8))),ISNUMBER(-LEFT(CH1275,8))),VALUE(MID(CH1275,5,2)),VALUE(MID(CH1275,FIND("-",CH1275)+1,FIND("-",CH1275,FIND("-",CH1275)+1)-FIND("-",CH1275)-1))),""))</f>
        <v/>
      </c>
      <c r="CO1275">
        <f>IF(CH1275="","",IFERROR(IF(AND(LEN(CH1275)=9,ISERROR(FIND("-",LEFT(CH1275,8))),ISNUMBER(-LEFT(CH1275,8))),VALUE(MID(CH1275,7,2)),VALUE(MID(CH1275,FIND("-",CH1275,FIND("-",CH1275)+1)+1,FIND("-",CH1275,FIND("-",CH1275,FIND("-",CH1275)+1)+1)-FIND("-",CH1275,FIND("-",CH1275)+1)-1))),""))</f>
        <v/>
      </c>
    </row>
    <row r="1276">
      <c r="CH1276">
        <f>IF(ISTEXT('월 가계부'!A1276),SUBSTITUTE(SUBSTITUTE(SUBSTITUTE(SUBSTITUTE(SUBSTITUTE(SUBSTITUTE(SUBSTITUTE(SUBSTITUTE(SUBSTITUTE(TRIM('월 가계부'!A1276),"년","-"),"월","-"),"일",""),".","-"),"/","-")," ","-"),"--","-"),"--","-"),"--","-")&amp;"-","")</f>
        <v/>
      </c>
      <c r="CI1276">
        <f>IFERROR(IF('월 가계부'!A1276="","",IF(ISNUMBER('월 가계부'!A1276),IF(AND('월 가계부'!A1276&gt;=19000101,'월 가계부'!A1276&lt;=21001231),IF(AND(MOD(INT('월 가계부'!A1276/100),100)&gt;=1,MOD(INT('월 가계부'!A1276/100),100)&lt;=12,MOD(INT('월 가계부'!A1276),100)&gt;=1,MOD(INT('월 가계부'!A1276),100)&lt;=31),IF(MONTH(DATE(INT('월 가계부'!A1276/10000),MOD(INT('월 가계부'!A1276/100),100),MOD(INT('월 가계부'!A1276),100)))=MOD(INT('월 가계부'!A1276/100),100),DATE(INT('월 가계부'!A1276/10000),MOD(INT('월 가계부'!A1276/100),100),MOD(INT('월 가계부'!A1276),100)),""),""),IF(AND('월 가계부'!A1276&gt;=36526,'월 가계부'!A1276&lt;73051),INT('월 가계부'!A1276),"")),IF(OR(CM1276="",CN1276="",CO1276=""),"",IF(AND(CM1276&gt;=2000,CM1276&lt;=2099,CN1276&gt;=1,CN1276&lt;=12,CO1276&gt;=1,CO1276&lt;=31),IF(MONTH(DATE(CM1276,CN1276,CO1276))=CN1276,DATE(CM1276,CN1276,CO1276),""),"")))),"")</f>
        <v/>
      </c>
      <c r="CJ1276">
        <f>IFERROR(IF('월 가계부'!C1276="","",IF(ISNUMBER('월 가계부'!C1276),'월 가계부'!C1276,VALUE(SUBSTITUTE(SUBSTITUTE(SUBSTITUTE(SUBSTITUTE(TRIM('월 가계부'!C1276),",",""),"원","")," ",""),"−","-")))),"")</f>
        <v/>
      </c>
      <c r="CK1276">
        <f>IF(ISNUMBER(CI1276),IF(CI1276&lt;$B$13,CI1276,""),"")</f>
        <v/>
      </c>
      <c r="CM1276">
        <f>IF(CH1276="","",IFERROR(IF(IF(AND(LEN(CH1276)=9,ISERROR(FIND("-",LEFT(CH1276,8))),ISNUMBER(-LEFT(CH1276,8))),VALUE(LEFT(CH1276,4)),VALUE(LEFT(CH1276,FIND("-",CH1276)-1)))&lt;100,IF(AND(LEN(CH1276)=9,ISERROR(FIND("-",LEFT(CH1276,8))),ISNUMBER(-LEFT(CH1276,8))),VALUE(LEFT(CH1276,4)),VALUE(LEFT(CH1276,FIND("-",CH1276)-1)))+2000,IF(AND(LEN(CH1276)=9,ISERROR(FIND("-",LEFT(CH1276,8))),ISNUMBER(-LEFT(CH1276,8))),VALUE(LEFT(CH1276,4)),VALUE(LEFT(CH1276,FIND("-",CH1276)-1)))),""))</f>
        <v/>
      </c>
      <c r="CN1276">
        <f>IF(CH1276="","",IFERROR(IF(AND(LEN(CH1276)=9,ISERROR(FIND("-",LEFT(CH1276,8))),ISNUMBER(-LEFT(CH1276,8))),VALUE(MID(CH1276,5,2)),VALUE(MID(CH1276,FIND("-",CH1276)+1,FIND("-",CH1276,FIND("-",CH1276)+1)-FIND("-",CH1276)-1))),""))</f>
        <v/>
      </c>
      <c r="CO1276">
        <f>IF(CH1276="","",IFERROR(IF(AND(LEN(CH1276)=9,ISERROR(FIND("-",LEFT(CH1276,8))),ISNUMBER(-LEFT(CH1276,8))),VALUE(MID(CH1276,7,2)),VALUE(MID(CH1276,FIND("-",CH1276,FIND("-",CH1276)+1)+1,FIND("-",CH1276,FIND("-",CH1276,FIND("-",CH1276)+1)+1)-FIND("-",CH1276,FIND("-",CH1276)+1)-1))),""))</f>
        <v/>
      </c>
    </row>
    <row r="1277">
      <c r="CH1277">
        <f>IF(ISTEXT('월 가계부'!A1277),SUBSTITUTE(SUBSTITUTE(SUBSTITUTE(SUBSTITUTE(SUBSTITUTE(SUBSTITUTE(SUBSTITUTE(SUBSTITUTE(SUBSTITUTE(TRIM('월 가계부'!A1277),"년","-"),"월","-"),"일",""),".","-"),"/","-")," ","-"),"--","-"),"--","-"),"--","-")&amp;"-","")</f>
        <v/>
      </c>
      <c r="CI1277">
        <f>IFERROR(IF('월 가계부'!A1277="","",IF(ISNUMBER('월 가계부'!A1277),IF(AND('월 가계부'!A1277&gt;=19000101,'월 가계부'!A1277&lt;=21001231),IF(AND(MOD(INT('월 가계부'!A1277/100),100)&gt;=1,MOD(INT('월 가계부'!A1277/100),100)&lt;=12,MOD(INT('월 가계부'!A1277),100)&gt;=1,MOD(INT('월 가계부'!A1277),100)&lt;=31),IF(MONTH(DATE(INT('월 가계부'!A1277/10000),MOD(INT('월 가계부'!A1277/100),100),MOD(INT('월 가계부'!A1277),100)))=MOD(INT('월 가계부'!A1277/100),100),DATE(INT('월 가계부'!A1277/10000),MOD(INT('월 가계부'!A1277/100),100),MOD(INT('월 가계부'!A1277),100)),""),""),IF(AND('월 가계부'!A1277&gt;=36526,'월 가계부'!A1277&lt;73051),INT('월 가계부'!A1277),"")),IF(OR(CM1277="",CN1277="",CO1277=""),"",IF(AND(CM1277&gt;=2000,CM1277&lt;=2099,CN1277&gt;=1,CN1277&lt;=12,CO1277&gt;=1,CO1277&lt;=31),IF(MONTH(DATE(CM1277,CN1277,CO1277))=CN1277,DATE(CM1277,CN1277,CO1277),""),"")))),"")</f>
        <v/>
      </c>
      <c r="CJ1277">
        <f>IFERROR(IF('월 가계부'!C1277="","",IF(ISNUMBER('월 가계부'!C1277),'월 가계부'!C1277,VALUE(SUBSTITUTE(SUBSTITUTE(SUBSTITUTE(SUBSTITUTE(TRIM('월 가계부'!C1277),",",""),"원","")," ",""),"−","-")))),"")</f>
        <v/>
      </c>
      <c r="CK1277">
        <f>IF(ISNUMBER(CI1277),IF(CI1277&lt;$B$13,CI1277,""),"")</f>
        <v/>
      </c>
      <c r="CM1277">
        <f>IF(CH1277="","",IFERROR(IF(IF(AND(LEN(CH1277)=9,ISERROR(FIND("-",LEFT(CH1277,8))),ISNUMBER(-LEFT(CH1277,8))),VALUE(LEFT(CH1277,4)),VALUE(LEFT(CH1277,FIND("-",CH1277)-1)))&lt;100,IF(AND(LEN(CH1277)=9,ISERROR(FIND("-",LEFT(CH1277,8))),ISNUMBER(-LEFT(CH1277,8))),VALUE(LEFT(CH1277,4)),VALUE(LEFT(CH1277,FIND("-",CH1277)-1)))+2000,IF(AND(LEN(CH1277)=9,ISERROR(FIND("-",LEFT(CH1277,8))),ISNUMBER(-LEFT(CH1277,8))),VALUE(LEFT(CH1277,4)),VALUE(LEFT(CH1277,FIND("-",CH1277)-1)))),""))</f>
        <v/>
      </c>
      <c r="CN1277">
        <f>IF(CH1277="","",IFERROR(IF(AND(LEN(CH1277)=9,ISERROR(FIND("-",LEFT(CH1277,8))),ISNUMBER(-LEFT(CH1277,8))),VALUE(MID(CH1277,5,2)),VALUE(MID(CH1277,FIND("-",CH1277)+1,FIND("-",CH1277,FIND("-",CH1277)+1)-FIND("-",CH1277)-1))),""))</f>
        <v/>
      </c>
      <c r="CO1277">
        <f>IF(CH1277="","",IFERROR(IF(AND(LEN(CH1277)=9,ISERROR(FIND("-",LEFT(CH1277,8))),ISNUMBER(-LEFT(CH1277,8))),VALUE(MID(CH1277,7,2)),VALUE(MID(CH1277,FIND("-",CH1277,FIND("-",CH1277)+1)+1,FIND("-",CH1277,FIND("-",CH1277,FIND("-",CH1277)+1)+1)-FIND("-",CH1277,FIND("-",CH1277)+1)-1))),""))</f>
        <v/>
      </c>
    </row>
    <row r="1278">
      <c r="CH1278">
        <f>IF(ISTEXT('월 가계부'!A1278),SUBSTITUTE(SUBSTITUTE(SUBSTITUTE(SUBSTITUTE(SUBSTITUTE(SUBSTITUTE(SUBSTITUTE(SUBSTITUTE(SUBSTITUTE(TRIM('월 가계부'!A1278),"년","-"),"월","-"),"일",""),".","-"),"/","-")," ","-"),"--","-"),"--","-"),"--","-")&amp;"-","")</f>
        <v/>
      </c>
      <c r="CI1278">
        <f>IFERROR(IF('월 가계부'!A1278="","",IF(ISNUMBER('월 가계부'!A1278),IF(AND('월 가계부'!A1278&gt;=19000101,'월 가계부'!A1278&lt;=21001231),IF(AND(MOD(INT('월 가계부'!A1278/100),100)&gt;=1,MOD(INT('월 가계부'!A1278/100),100)&lt;=12,MOD(INT('월 가계부'!A1278),100)&gt;=1,MOD(INT('월 가계부'!A1278),100)&lt;=31),IF(MONTH(DATE(INT('월 가계부'!A1278/10000),MOD(INT('월 가계부'!A1278/100),100),MOD(INT('월 가계부'!A1278),100)))=MOD(INT('월 가계부'!A1278/100),100),DATE(INT('월 가계부'!A1278/10000),MOD(INT('월 가계부'!A1278/100),100),MOD(INT('월 가계부'!A1278),100)),""),""),IF(AND('월 가계부'!A1278&gt;=36526,'월 가계부'!A1278&lt;73051),INT('월 가계부'!A1278),"")),IF(OR(CM1278="",CN1278="",CO1278=""),"",IF(AND(CM1278&gt;=2000,CM1278&lt;=2099,CN1278&gt;=1,CN1278&lt;=12,CO1278&gt;=1,CO1278&lt;=31),IF(MONTH(DATE(CM1278,CN1278,CO1278))=CN1278,DATE(CM1278,CN1278,CO1278),""),"")))),"")</f>
        <v/>
      </c>
      <c r="CJ1278">
        <f>IFERROR(IF('월 가계부'!C1278="","",IF(ISNUMBER('월 가계부'!C1278),'월 가계부'!C1278,VALUE(SUBSTITUTE(SUBSTITUTE(SUBSTITUTE(SUBSTITUTE(TRIM('월 가계부'!C1278),",",""),"원","")," ",""),"−","-")))),"")</f>
        <v/>
      </c>
      <c r="CK1278">
        <f>IF(ISNUMBER(CI1278),IF(CI1278&lt;$B$13,CI1278,""),"")</f>
        <v/>
      </c>
      <c r="CM1278">
        <f>IF(CH1278="","",IFERROR(IF(IF(AND(LEN(CH1278)=9,ISERROR(FIND("-",LEFT(CH1278,8))),ISNUMBER(-LEFT(CH1278,8))),VALUE(LEFT(CH1278,4)),VALUE(LEFT(CH1278,FIND("-",CH1278)-1)))&lt;100,IF(AND(LEN(CH1278)=9,ISERROR(FIND("-",LEFT(CH1278,8))),ISNUMBER(-LEFT(CH1278,8))),VALUE(LEFT(CH1278,4)),VALUE(LEFT(CH1278,FIND("-",CH1278)-1)))+2000,IF(AND(LEN(CH1278)=9,ISERROR(FIND("-",LEFT(CH1278,8))),ISNUMBER(-LEFT(CH1278,8))),VALUE(LEFT(CH1278,4)),VALUE(LEFT(CH1278,FIND("-",CH1278)-1)))),""))</f>
        <v/>
      </c>
      <c r="CN1278">
        <f>IF(CH1278="","",IFERROR(IF(AND(LEN(CH1278)=9,ISERROR(FIND("-",LEFT(CH1278,8))),ISNUMBER(-LEFT(CH1278,8))),VALUE(MID(CH1278,5,2)),VALUE(MID(CH1278,FIND("-",CH1278)+1,FIND("-",CH1278,FIND("-",CH1278)+1)-FIND("-",CH1278)-1))),""))</f>
        <v/>
      </c>
      <c r="CO1278">
        <f>IF(CH1278="","",IFERROR(IF(AND(LEN(CH1278)=9,ISERROR(FIND("-",LEFT(CH1278,8))),ISNUMBER(-LEFT(CH1278,8))),VALUE(MID(CH1278,7,2)),VALUE(MID(CH1278,FIND("-",CH1278,FIND("-",CH1278)+1)+1,FIND("-",CH1278,FIND("-",CH1278,FIND("-",CH1278)+1)+1)-FIND("-",CH1278,FIND("-",CH1278)+1)-1))),""))</f>
        <v/>
      </c>
    </row>
    <row r="1279">
      <c r="CH1279">
        <f>IF(ISTEXT('월 가계부'!A1279),SUBSTITUTE(SUBSTITUTE(SUBSTITUTE(SUBSTITUTE(SUBSTITUTE(SUBSTITUTE(SUBSTITUTE(SUBSTITUTE(SUBSTITUTE(TRIM('월 가계부'!A1279),"년","-"),"월","-"),"일",""),".","-"),"/","-")," ","-"),"--","-"),"--","-"),"--","-")&amp;"-","")</f>
        <v/>
      </c>
      <c r="CI1279">
        <f>IFERROR(IF('월 가계부'!A1279="","",IF(ISNUMBER('월 가계부'!A1279),IF(AND('월 가계부'!A1279&gt;=19000101,'월 가계부'!A1279&lt;=21001231),IF(AND(MOD(INT('월 가계부'!A1279/100),100)&gt;=1,MOD(INT('월 가계부'!A1279/100),100)&lt;=12,MOD(INT('월 가계부'!A1279),100)&gt;=1,MOD(INT('월 가계부'!A1279),100)&lt;=31),IF(MONTH(DATE(INT('월 가계부'!A1279/10000),MOD(INT('월 가계부'!A1279/100),100),MOD(INT('월 가계부'!A1279),100)))=MOD(INT('월 가계부'!A1279/100),100),DATE(INT('월 가계부'!A1279/10000),MOD(INT('월 가계부'!A1279/100),100),MOD(INT('월 가계부'!A1279),100)),""),""),IF(AND('월 가계부'!A1279&gt;=36526,'월 가계부'!A1279&lt;73051),INT('월 가계부'!A1279),"")),IF(OR(CM1279="",CN1279="",CO1279=""),"",IF(AND(CM1279&gt;=2000,CM1279&lt;=2099,CN1279&gt;=1,CN1279&lt;=12,CO1279&gt;=1,CO1279&lt;=31),IF(MONTH(DATE(CM1279,CN1279,CO1279))=CN1279,DATE(CM1279,CN1279,CO1279),""),"")))),"")</f>
        <v/>
      </c>
      <c r="CJ1279">
        <f>IFERROR(IF('월 가계부'!C1279="","",IF(ISNUMBER('월 가계부'!C1279),'월 가계부'!C1279,VALUE(SUBSTITUTE(SUBSTITUTE(SUBSTITUTE(SUBSTITUTE(TRIM('월 가계부'!C1279),",",""),"원","")," ",""),"−","-")))),"")</f>
        <v/>
      </c>
      <c r="CK1279">
        <f>IF(ISNUMBER(CI1279),IF(CI1279&lt;$B$13,CI1279,""),"")</f>
        <v/>
      </c>
      <c r="CM1279">
        <f>IF(CH1279="","",IFERROR(IF(IF(AND(LEN(CH1279)=9,ISERROR(FIND("-",LEFT(CH1279,8))),ISNUMBER(-LEFT(CH1279,8))),VALUE(LEFT(CH1279,4)),VALUE(LEFT(CH1279,FIND("-",CH1279)-1)))&lt;100,IF(AND(LEN(CH1279)=9,ISERROR(FIND("-",LEFT(CH1279,8))),ISNUMBER(-LEFT(CH1279,8))),VALUE(LEFT(CH1279,4)),VALUE(LEFT(CH1279,FIND("-",CH1279)-1)))+2000,IF(AND(LEN(CH1279)=9,ISERROR(FIND("-",LEFT(CH1279,8))),ISNUMBER(-LEFT(CH1279,8))),VALUE(LEFT(CH1279,4)),VALUE(LEFT(CH1279,FIND("-",CH1279)-1)))),""))</f>
        <v/>
      </c>
      <c r="CN1279">
        <f>IF(CH1279="","",IFERROR(IF(AND(LEN(CH1279)=9,ISERROR(FIND("-",LEFT(CH1279,8))),ISNUMBER(-LEFT(CH1279,8))),VALUE(MID(CH1279,5,2)),VALUE(MID(CH1279,FIND("-",CH1279)+1,FIND("-",CH1279,FIND("-",CH1279)+1)-FIND("-",CH1279)-1))),""))</f>
        <v/>
      </c>
      <c r="CO1279">
        <f>IF(CH1279="","",IFERROR(IF(AND(LEN(CH1279)=9,ISERROR(FIND("-",LEFT(CH1279,8))),ISNUMBER(-LEFT(CH1279,8))),VALUE(MID(CH1279,7,2)),VALUE(MID(CH1279,FIND("-",CH1279,FIND("-",CH1279)+1)+1,FIND("-",CH1279,FIND("-",CH1279,FIND("-",CH1279)+1)+1)-FIND("-",CH1279,FIND("-",CH1279)+1)-1))),""))</f>
        <v/>
      </c>
    </row>
    <row r="1280">
      <c r="CH1280">
        <f>IF(ISTEXT('월 가계부'!A1280),SUBSTITUTE(SUBSTITUTE(SUBSTITUTE(SUBSTITUTE(SUBSTITUTE(SUBSTITUTE(SUBSTITUTE(SUBSTITUTE(SUBSTITUTE(TRIM('월 가계부'!A1280),"년","-"),"월","-"),"일",""),".","-"),"/","-")," ","-"),"--","-"),"--","-"),"--","-")&amp;"-","")</f>
        <v/>
      </c>
      <c r="CI1280">
        <f>IFERROR(IF('월 가계부'!A1280="","",IF(ISNUMBER('월 가계부'!A1280),IF(AND('월 가계부'!A1280&gt;=19000101,'월 가계부'!A1280&lt;=21001231),IF(AND(MOD(INT('월 가계부'!A1280/100),100)&gt;=1,MOD(INT('월 가계부'!A1280/100),100)&lt;=12,MOD(INT('월 가계부'!A1280),100)&gt;=1,MOD(INT('월 가계부'!A1280),100)&lt;=31),IF(MONTH(DATE(INT('월 가계부'!A1280/10000),MOD(INT('월 가계부'!A1280/100),100),MOD(INT('월 가계부'!A1280),100)))=MOD(INT('월 가계부'!A1280/100),100),DATE(INT('월 가계부'!A1280/10000),MOD(INT('월 가계부'!A1280/100),100),MOD(INT('월 가계부'!A1280),100)),""),""),IF(AND('월 가계부'!A1280&gt;=36526,'월 가계부'!A1280&lt;73051),INT('월 가계부'!A1280),"")),IF(OR(CM1280="",CN1280="",CO1280=""),"",IF(AND(CM1280&gt;=2000,CM1280&lt;=2099,CN1280&gt;=1,CN1280&lt;=12,CO1280&gt;=1,CO1280&lt;=31),IF(MONTH(DATE(CM1280,CN1280,CO1280))=CN1280,DATE(CM1280,CN1280,CO1280),""),"")))),"")</f>
        <v/>
      </c>
      <c r="CJ1280">
        <f>IFERROR(IF('월 가계부'!C1280="","",IF(ISNUMBER('월 가계부'!C1280),'월 가계부'!C1280,VALUE(SUBSTITUTE(SUBSTITUTE(SUBSTITUTE(SUBSTITUTE(TRIM('월 가계부'!C1280),",",""),"원","")," ",""),"−","-")))),"")</f>
        <v/>
      </c>
      <c r="CK1280">
        <f>IF(ISNUMBER(CI1280),IF(CI1280&lt;$B$13,CI1280,""),"")</f>
        <v/>
      </c>
      <c r="CM1280">
        <f>IF(CH1280="","",IFERROR(IF(IF(AND(LEN(CH1280)=9,ISERROR(FIND("-",LEFT(CH1280,8))),ISNUMBER(-LEFT(CH1280,8))),VALUE(LEFT(CH1280,4)),VALUE(LEFT(CH1280,FIND("-",CH1280)-1)))&lt;100,IF(AND(LEN(CH1280)=9,ISERROR(FIND("-",LEFT(CH1280,8))),ISNUMBER(-LEFT(CH1280,8))),VALUE(LEFT(CH1280,4)),VALUE(LEFT(CH1280,FIND("-",CH1280)-1)))+2000,IF(AND(LEN(CH1280)=9,ISERROR(FIND("-",LEFT(CH1280,8))),ISNUMBER(-LEFT(CH1280,8))),VALUE(LEFT(CH1280,4)),VALUE(LEFT(CH1280,FIND("-",CH1280)-1)))),""))</f>
        <v/>
      </c>
      <c r="CN1280">
        <f>IF(CH1280="","",IFERROR(IF(AND(LEN(CH1280)=9,ISERROR(FIND("-",LEFT(CH1280,8))),ISNUMBER(-LEFT(CH1280,8))),VALUE(MID(CH1280,5,2)),VALUE(MID(CH1280,FIND("-",CH1280)+1,FIND("-",CH1280,FIND("-",CH1280)+1)-FIND("-",CH1280)-1))),""))</f>
        <v/>
      </c>
      <c r="CO1280">
        <f>IF(CH1280="","",IFERROR(IF(AND(LEN(CH1280)=9,ISERROR(FIND("-",LEFT(CH1280,8))),ISNUMBER(-LEFT(CH1280,8))),VALUE(MID(CH1280,7,2)),VALUE(MID(CH1280,FIND("-",CH1280,FIND("-",CH1280)+1)+1,FIND("-",CH1280,FIND("-",CH1280,FIND("-",CH1280)+1)+1)-FIND("-",CH1280,FIND("-",CH1280)+1)-1))),""))</f>
        <v/>
      </c>
    </row>
    <row r="1281">
      <c r="CH1281">
        <f>IF(ISTEXT('월 가계부'!A1281),SUBSTITUTE(SUBSTITUTE(SUBSTITUTE(SUBSTITUTE(SUBSTITUTE(SUBSTITUTE(SUBSTITUTE(SUBSTITUTE(SUBSTITUTE(TRIM('월 가계부'!A1281),"년","-"),"월","-"),"일",""),".","-"),"/","-")," ","-"),"--","-"),"--","-"),"--","-")&amp;"-","")</f>
        <v/>
      </c>
      <c r="CI1281">
        <f>IFERROR(IF('월 가계부'!A1281="","",IF(ISNUMBER('월 가계부'!A1281),IF(AND('월 가계부'!A1281&gt;=19000101,'월 가계부'!A1281&lt;=21001231),IF(AND(MOD(INT('월 가계부'!A1281/100),100)&gt;=1,MOD(INT('월 가계부'!A1281/100),100)&lt;=12,MOD(INT('월 가계부'!A1281),100)&gt;=1,MOD(INT('월 가계부'!A1281),100)&lt;=31),IF(MONTH(DATE(INT('월 가계부'!A1281/10000),MOD(INT('월 가계부'!A1281/100),100),MOD(INT('월 가계부'!A1281),100)))=MOD(INT('월 가계부'!A1281/100),100),DATE(INT('월 가계부'!A1281/10000),MOD(INT('월 가계부'!A1281/100),100),MOD(INT('월 가계부'!A1281),100)),""),""),IF(AND('월 가계부'!A1281&gt;=36526,'월 가계부'!A1281&lt;73051),INT('월 가계부'!A1281),"")),IF(OR(CM1281="",CN1281="",CO1281=""),"",IF(AND(CM1281&gt;=2000,CM1281&lt;=2099,CN1281&gt;=1,CN1281&lt;=12,CO1281&gt;=1,CO1281&lt;=31),IF(MONTH(DATE(CM1281,CN1281,CO1281))=CN1281,DATE(CM1281,CN1281,CO1281),""),"")))),"")</f>
        <v/>
      </c>
      <c r="CJ1281">
        <f>IFERROR(IF('월 가계부'!C1281="","",IF(ISNUMBER('월 가계부'!C1281),'월 가계부'!C1281,VALUE(SUBSTITUTE(SUBSTITUTE(SUBSTITUTE(SUBSTITUTE(TRIM('월 가계부'!C1281),",",""),"원","")," ",""),"−","-")))),"")</f>
        <v/>
      </c>
      <c r="CK1281">
        <f>IF(ISNUMBER(CI1281),IF(CI1281&lt;$B$13,CI1281,""),"")</f>
        <v/>
      </c>
      <c r="CM1281">
        <f>IF(CH1281="","",IFERROR(IF(IF(AND(LEN(CH1281)=9,ISERROR(FIND("-",LEFT(CH1281,8))),ISNUMBER(-LEFT(CH1281,8))),VALUE(LEFT(CH1281,4)),VALUE(LEFT(CH1281,FIND("-",CH1281)-1)))&lt;100,IF(AND(LEN(CH1281)=9,ISERROR(FIND("-",LEFT(CH1281,8))),ISNUMBER(-LEFT(CH1281,8))),VALUE(LEFT(CH1281,4)),VALUE(LEFT(CH1281,FIND("-",CH1281)-1)))+2000,IF(AND(LEN(CH1281)=9,ISERROR(FIND("-",LEFT(CH1281,8))),ISNUMBER(-LEFT(CH1281,8))),VALUE(LEFT(CH1281,4)),VALUE(LEFT(CH1281,FIND("-",CH1281)-1)))),""))</f>
        <v/>
      </c>
      <c r="CN1281">
        <f>IF(CH1281="","",IFERROR(IF(AND(LEN(CH1281)=9,ISERROR(FIND("-",LEFT(CH1281,8))),ISNUMBER(-LEFT(CH1281,8))),VALUE(MID(CH1281,5,2)),VALUE(MID(CH1281,FIND("-",CH1281)+1,FIND("-",CH1281,FIND("-",CH1281)+1)-FIND("-",CH1281)-1))),""))</f>
        <v/>
      </c>
      <c r="CO1281">
        <f>IF(CH1281="","",IFERROR(IF(AND(LEN(CH1281)=9,ISERROR(FIND("-",LEFT(CH1281,8))),ISNUMBER(-LEFT(CH1281,8))),VALUE(MID(CH1281,7,2)),VALUE(MID(CH1281,FIND("-",CH1281,FIND("-",CH1281)+1)+1,FIND("-",CH1281,FIND("-",CH1281,FIND("-",CH1281)+1)+1)-FIND("-",CH1281,FIND("-",CH1281)+1)-1))),""))</f>
        <v/>
      </c>
    </row>
    <row r="1282">
      <c r="CH1282">
        <f>IF(ISTEXT('월 가계부'!A1282),SUBSTITUTE(SUBSTITUTE(SUBSTITUTE(SUBSTITUTE(SUBSTITUTE(SUBSTITUTE(SUBSTITUTE(SUBSTITUTE(SUBSTITUTE(TRIM('월 가계부'!A1282),"년","-"),"월","-"),"일",""),".","-"),"/","-")," ","-"),"--","-"),"--","-"),"--","-")&amp;"-","")</f>
        <v/>
      </c>
      <c r="CI1282">
        <f>IFERROR(IF('월 가계부'!A1282="","",IF(ISNUMBER('월 가계부'!A1282),IF(AND('월 가계부'!A1282&gt;=19000101,'월 가계부'!A1282&lt;=21001231),IF(AND(MOD(INT('월 가계부'!A1282/100),100)&gt;=1,MOD(INT('월 가계부'!A1282/100),100)&lt;=12,MOD(INT('월 가계부'!A1282),100)&gt;=1,MOD(INT('월 가계부'!A1282),100)&lt;=31),IF(MONTH(DATE(INT('월 가계부'!A1282/10000),MOD(INT('월 가계부'!A1282/100),100),MOD(INT('월 가계부'!A1282),100)))=MOD(INT('월 가계부'!A1282/100),100),DATE(INT('월 가계부'!A1282/10000),MOD(INT('월 가계부'!A1282/100),100),MOD(INT('월 가계부'!A1282),100)),""),""),IF(AND('월 가계부'!A1282&gt;=36526,'월 가계부'!A1282&lt;73051),INT('월 가계부'!A1282),"")),IF(OR(CM1282="",CN1282="",CO1282=""),"",IF(AND(CM1282&gt;=2000,CM1282&lt;=2099,CN1282&gt;=1,CN1282&lt;=12,CO1282&gt;=1,CO1282&lt;=31),IF(MONTH(DATE(CM1282,CN1282,CO1282))=CN1282,DATE(CM1282,CN1282,CO1282),""),"")))),"")</f>
        <v/>
      </c>
      <c r="CJ1282">
        <f>IFERROR(IF('월 가계부'!C1282="","",IF(ISNUMBER('월 가계부'!C1282),'월 가계부'!C1282,VALUE(SUBSTITUTE(SUBSTITUTE(SUBSTITUTE(SUBSTITUTE(TRIM('월 가계부'!C1282),",",""),"원","")," ",""),"−","-")))),"")</f>
        <v/>
      </c>
      <c r="CK1282">
        <f>IF(ISNUMBER(CI1282),IF(CI1282&lt;$B$13,CI1282,""),"")</f>
        <v/>
      </c>
      <c r="CM1282">
        <f>IF(CH1282="","",IFERROR(IF(IF(AND(LEN(CH1282)=9,ISERROR(FIND("-",LEFT(CH1282,8))),ISNUMBER(-LEFT(CH1282,8))),VALUE(LEFT(CH1282,4)),VALUE(LEFT(CH1282,FIND("-",CH1282)-1)))&lt;100,IF(AND(LEN(CH1282)=9,ISERROR(FIND("-",LEFT(CH1282,8))),ISNUMBER(-LEFT(CH1282,8))),VALUE(LEFT(CH1282,4)),VALUE(LEFT(CH1282,FIND("-",CH1282)-1)))+2000,IF(AND(LEN(CH1282)=9,ISERROR(FIND("-",LEFT(CH1282,8))),ISNUMBER(-LEFT(CH1282,8))),VALUE(LEFT(CH1282,4)),VALUE(LEFT(CH1282,FIND("-",CH1282)-1)))),""))</f>
        <v/>
      </c>
      <c r="CN1282">
        <f>IF(CH1282="","",IFERROR(IF(AND(LEN(CH1282)=9,ISERROR(FIND("-",LEFT(CH1282,8))),ISNUMBER(-LEFT(CH1282,8))),VALUE(MID(CH1282,5,2)),VALUE(MID(CH1282,FIND("-",CH1282)+1,FIND("-",CH1282,FIND("-",CH1282)+1)-FIND("-",CH1282)-1))),""))</f>
        <v/>
      </c>
      <c r="CO1282">
        <f>IF(CH1282="","",IFERROR(IF(AND(LEN(CH1282)=9,ISERROR(FIND("-",LEFT(CH1282,8))),ISNUMBER(-LEFT(CH1282,8))),VALUE(MID(CH1282,7,2)),VALUE(MID(CH1282,FIND("-",CH1282,FIND("-",CH1282)+1)+1,FIND("-",CH1282,FIND("-",CH1282,FIND("-",CH1282)+1)+1)-FIND("-",CH1282,FIND("-",CH1282)+1)-1))),""))</f>
        <v/>
      </c>
    </row>
    <row r="1283">
      <c r="CH1283">
        <f>IF(ISTEXT('월 가계부'!A1283),SUBSTITUTE(SUBSTITUTE(SUBSTITUTE(SUBSTITUTE(SUBSTITUTE(SUBSTITUTE(SUBSTITUTE(SUBSTITUTE(SUBSTITUTE(TRIM('월 가계부'!A1283),"년","-"),"월","-"),"일",""),".","-"),"/","-")," ","-"),"--","-"),"--","-"),"--","-")&amp;"-","")</f>
        <v/>
      </c>
      <c r="CI1283">
        <f>IFERROR(IF('월 가계부'!A1283="","",IF(ISNUMBER('월 가계부'!A1283),IF(AND('월 가계부'!A1283&gt;=19000101,'월 가계부'!A1283&lt;=21001231),IF(AND(MOD(INT('월 가계부'!A1283/100),100)&gt;=1,MOD(INT('월 가계부'!A1283/100),100)&lt;=12,MOD(INT('월 가계부'!A1283),100)&gt;=1,MOD(INT('월 가계부'!A1283),100)&lt;=31),IF(MONTH(DATE(INT('월 가계부'!A1283/10000),MOD(INT('월 가계부'!A1283/100),100),MOD(INT('월 가계부'!A1283),100)))=MOD(INT('월 가계부'!A1283/100),100),DATE(INT('월 가계부'!A1283/10000),MOD(INT('월 가계부'!A1283/100),100),MOD(INT('월 가계부'!A1283),100)),""),""),IF(AND('월 가계부'!A1283&gt;=36526,'월 가계부'!A1283&lt;73051),INT('월 가계부'!A1283),"")),IF(OR(CM1283="",CN1283="",CO1283=""),"",IF(AND(CM1283&gt;=2000,CM1283&lt;=2099,CN1283&gt;=1,CN1283&lt;=12,CO1283&gt;=1,CO1283&lt;=31),IF(MONTH(DATE(CM1283,CN1283,CO1283))=CN1283,DATE(CM1283,CN1283,CO1283),""),"")))),"")</f>
        <v/>
      </c>
      <c r="CJ1283">
        <f>IFERROR(IF('월 가계부'!C1283="","",IF(ISNUMBER('월 가계부'!C1283),'월 가계부'!C1283,VALUE(SUBSTITUTE(SUBSTITUTE(SUBSTITUTE(SUBSTITUTE(TRIM('월 가계부'!C1283),",",""),"원","")," ",""),"−","-")))),"")</f>
        <v/>
      </c>
      <c r="CK1283">
        <f>IF(ISNUMBER(CI1283),IF(CI1283&lt;$B$13,CI1283,""),"")</f>
        <v/>
      </c>
      <c r="CM1283">
        <f>IF(CH1283="","",IFERROR(IF(IF(AND(LEN(CH1283)=9,ISERROR(FIND("-",LEFT(CH1283,8))),ISNUMBER(-LEFT(CH1283,8))),VALUE(LEFT(CH1283,4)),VALUE(LEFT(CH1283,FIND("-",CH1283)-1)))&lt;100,IF(AND(LEN(CH1283)=9,ISERROR(FIND("-",LEFT(CH1283,8))),ISNUMBER(-LEFT(CH1283,8))),VALUE(LEFT(CH1283,4)),VALUE(LEFT(CH1283,FIND("-",CH1283)-1)))+2000,IF(AND(LEN(CH1283)=9,ISERROR(FIND("-",LEFT(CH1283,8))),ISNUMBER(-LEFT(CH1283,8))),VALUE(LEFT(CH1283,4)),VALUE(LEFT(CH1283,FIND("-",CH1283)-1)))),""))</f>
        <v/>
      </c>
      <c r="CN1283">
        <f>IF(CH1283="","",IFERROR(IF(AND(LEN(CH1283)=9,ISERROR(FIND("-",LEFT(CH1283,8))),ISNUMBER(-LEFT(CH1283,8))),VALUE(MID(CH1283,5,2)),VALUE(MID(CH1283,FIND("-",CH1283)+1,FIND("-",CH1283,FIND("-",CH1283)+1)-FIND("-",CH1283)-1))),""))</f>
        <v/>
      </c>
      <c r="CO1283">
        <f>IF(CH1283="","",IFERROR(IF(AND(LEN(CH1283)=9,ISERROR(FIND("-",LEFT(CH1283,8))),ISNUMBER(-LEFT(CH1283,8))),VALUE(MID(CH1283,7,2)),VALUE(MID(CH1283,FIND("-",CH1283,FIND("-",CH1283)+1)+1,FIND("-",CH1283,FIND("-",CH1283,FIND("-",CH1283)+1)+1)-FIND("-",CH1283,FIND("-",CH1283)+1)-1))),""))</f>
        <v/>
      </c>
    </row>
    <row r="1284">
      <c r="CH1284">
        <f>IF(ISTEXT('월 가계부'!A1284),SUBSTITUTE(SUBSTITUTE(SUBSTITUTE(SUBSTITUTE(SUBSTITUTE(SUBSTITUTE(SUBSTITUTE(SUBSTITUTE(SUBSTITUTE(TRIM('월 가계부'!A1284),"년","-"),"월","-"),"일",""),".","-"),"/","-")," ","-"),"--","-"),"--","-"),"--","-")&amp;"-","")</f>
        <v/>
      </c>
      <c r="CI1284">
        <f>IFERROR(IF('월 가계부'!A1284="","",IF(ISNUMBER('월 가계부'!A1284),IF(AND('월 가계부'!A1284&gt;=19000101,'월 가계부'!A1284&lt;=21001231),IF(AND(MOD(INT('월 가계부'!A1284/100),100)&gt;=1,MOD(INT('월 가계부'!A1284/100),100)&lt;=12,MOD(INT('월 가계부'!A1284),100)&gt;=1,MOD(INT('월 가계부'!A1284),100)&lt;=31),IF(MONTH(DATE(INT('월 가계부'!A1284/10000),MOD(INT('월 가계부'!A1284/100),100),MOD(INT('월 가계부'!A1284),100)))=MOD(INT('월 가계부'!A1284/100),100),DATE(INT('월 가계부'!A1284/10000),MOD(INT('월 가계부'!A1284/100),100),MOD(INT('월 가계부'!A1284),100)),""),""),IF(AND('월 가계부'!A1284&gt;=36526,'월 가계부'!A1284&lt;73051),INT('월 가계부'!A1284),"")),IF(OR(CM1284="",CN1284="",CO1284=""),"",IF(AND(CM1284&gt;=2000,CM1284&lt;=2099,CN1284&gt;=1,CN1284&lt;=12,CO1284&gt;=1,CO1284&lt;=31),IF(MONTH(DATE(CM1284,CN1284,CO1284))=CN1284,DATE(CM1284,CN1284,CO1284),""),"")))),"")</f>
        <v/>
      </c>
      <c r="CJ1284">
        <f>IFERROR(IF('월 가계부'!C1284="","",IF(ISNUMBER('월 가계부'!C1284),'월 가계부'!C1284,VALUE(SUBSTITUTE(SUBSTITUTE(SUBSTITUTE(SUBSTITUTE(TRIM('월 가계부'!C1284),",",""),"원","")," ",""),"−","-")))),"")</f>
        <v/>
      </c>
      <c r="CK1284">
        <f>IF(ISNUMBER(CI1284),IF(CI1284&lt;$B$13,CI1284,""),"")</f>
        <v/>
      </c>
      <c r="CM1284">
        <f>IF(CH1284="","",IFERROR(IF(IF(AND(LEN(CH1284)=9,ISERROR(FIND("-",LEFT(CH1284,8))),ISNUMBER(-LEFT(CH1284,8))),VALUE(LEFT(CH1284,4)),VALUE(LEFT(CH1284,FIND("-",CH1284)-1)))&lt;100,IF(AND(LEN(CH1284)=9,ISERROR(FIND("-",LEFT(CH1284,8))),ISNUMBER(-LEFT(CH1284,8))),VALUE(LEFT(CH1284,4)),VALUE(LEFT(CH1284,FIND("-",CH1284)-1)))+2000,IF(AND(LEN(CH1284)=9,ISERROR(FIND("-",LEFT(CH1284,8))),ISNUMBER(-LEFT(CH1284,8))),VALUE(LEFT(CH1284,4)),VALUE(LEFT(CH1284,FIND("-",CH1284)-1)))),""))</f>
        <v/>
      </c>
      <c r="CN1284">
        <f>IF(CH1284="","",IFERROR(IF(AND(LEN(CH1284)=9,ISERROR(FIND("-",LEFT(CH1284,8))),ISNUMBER(-LEFT(CH1284,8))),VALUE(MID(CH1284,5,2)),VALUE(MID(CH1284,FIND("-",CH1284)+1,FIND("-",CH1284,FIND("-",CH1284)+1)-FIND("-",CH1284)-1))),""))</f>
        <v/>
      </c>
      <c r="CO1284">
        <f>IF(CH1284="","",IFERROR(IF(AND(LEN(CH1284)=9,ISERROR(FIND("-",LEFT(CH1284,8))),ISNUMBER(-LEFT(CH1284,8))),VALUE(MID(CH1284,7,2)),VALUE(MID(CH1284,FIND("-",CH1284,FIND("-",CH1284)+1)+1,FIND("-",CH1284,FIND("-",CH1284,FIND("-",CH1284)+1)+1)-FIND("-",CH1284,FIND("-",CH1284)+1)-1))),""))</f>
        <v/>
      </c>
    </row>
    <row r="1285">
      <c r="CH1285">
        <f>IF(ISTEXT('월 가계부'!A1285),SUBSTITUTE(SUBSTITUTE(SUBSTITUTE(SUBSTITUTE(SUBSTITUTE(SUBSTITUTE(SUBSTITUTE(SUBSTITUTE(SUBSTITUTE(TRIM('월 가계부'!A1285),"년","-"),"월","-"),"일",""),".","-"),"/","-")," ","-"),"--","-"),"--","-"),"--","-")&amp;"-","")</f>
        <v/>
      </c>
      <c r="CI1285">
        <f>IFERROR(IF('월 가계부'!A1285="","",IF(ISNUMBER('월 가계부'!A1285),IF(AND('월 가계부'!A1285&gt;=19000101,'월 가계부'!A1285&lt;=21001231),IF(AND(MOD(INT('월 가계부'!A1285/100),100)&gt;=1,MOD(INT('월 가계부'!A1285/100),100)&lt;=12,MOD(INT('월 가계부'!A1285),100)&gt;=1,MOD(INT('월 가계부'!A1285),100)&lt;=31),IF(MONTH(DATE(INT('월 가계부'!A1285/10000),MOD(INT('월 가계부'!A1285/100),100),MOD(INT('월 가계부'!A1285),100)))=MOD(INT('월 가계부'!A1285/100),100),DATE(INT('월 가계부'!A1285/10000),MOD(INT('월 가계부'!A1285/100),100),MOD(INT('월 가계부'!A1285),100)),""),""),IF(AND('월 가계부'!A1285&gt;=36526,'월 가계부'!A1285&lt;73051),INT('월 가계부'!A1285),"")),IF(OR(CM1285="",CN1285="",CO1285=""),"",IF(AND(CM1285&gt;=2000,CM1285&lt;=2099,CN1285&gt;=1,CN1285&lt;=12,CO1285&gt;=1,CO1285&lt;=31),IF(MONTH(DATE(CM1285,CN1285,CO1285))=CN1285,DATE(CM1285,CN1285,CO1285),""),"")))),"")</f>
        <v/>
      </c>
      <c r="CJ1285">
        <f>IFERROR(IF('월 가계부'!C1285="","",IF(ISNUMBER('월 가계부'!C1285),'월 가계부'!C1285,VALUE(SUBSTITUTE(SUBSTITUTE(SUBSTITUTE(SUBSTITUTE(TRIM('월 가계부'!C1285),",",""),"원","")," ",""),"−","-")))),"")</f>
        <v/>
      </c>
      <c r="CK1285">
        <f>IF(ISNUMBER(CI1285),IF(CI1285&lt;$B$13,CI1285,""),"")</f>
        <v/>
      </c>
      <c r="CM1285">
        <f>IF(CH1285="","",IFERROR(IF(IF(AND(LEN(CH1285)=9,ISERROR(FIND("-",LEFT(CH1285,8))),ISNUMBER(-LEFT(CH1285,8))),VALUE(LEFT(CH1285,4)),VALUE(LEFT(CH1285,FIND("-",CH1285)-1)))&lt;100,IF(AND(LEN(CH1285)=9,ISERROR(FIND("-",LEFT(CH1285,8))),ISNUMBER(-LEFT(CH1285,8))),VALUE(LEFT(CH1285,4)),VALUE(LEFT(CH1285,FIND("-",CH1285)-1)))+2000,IF(AND(LEN(CH1285)=9,ISERROR(FIND("-",LEFT(CH1285,8))),ISNUMBER(-LEFT(CH1285,8))),VALUE(LEFT(CH1285,4)),VALUE(LEFT(CH1285,FIND("-",CH1285)-1)))),""))</f>
        <v/>
      </c>
      <c r="CN1285">
        <f>IF(CH1285="","",IFERROR(IF(AND(LEN(CH1285)=9,ISERROR(FIND("-",LEFT(CH1285,8))),ISNUMBER(-LEFT(CH1285,8))),VALUE(MID(CH1285,5,2)),VALUE(MID(CH1285,FIND("-",CH1285)+1,FIND("-",CH1285,FIND("-",CH1285)+1)-FIND("-",CH1285)-1))),""))</f>
        <v/>
      </c>
      <c r="CO1285">
        <f>IF(CH1285="","",IFERROR(IF(AND(LEN(CH1285)=9,ISERROR(FIND("-",LEFT(CH1285,8))),ISNUMBER(-LEFT(CH1285,8))),VALUE(MID(CH1285,7,2)),VALUE(MID(CH1285,FIND("-",CH1285,FIND("-",CH1285)+1)+1,FIND("-",CH1285,FIND("-",CH1285,FIND("-",CH1285)+1)+1)-FIND("-",CH1285,FIND("-",CH1285)+1)-1))),""))</f>
        <v/>
      </c>
    </row>
    <row r="1286">
      <c r="CH1286">
        <f>IF(ISTEXT('월 가계부'!A1286),SUBSTITUTE(SUBSTITUTE(SUBSTITUTE(SUBSTITUTE(SUBSTITUTE(SUBSTITUTE(SUBSTITUTE(SUBSTITUTE(SUBSTITUTE(TRIM('월 가계부'!A1286),"년","-"),"월","-"),"일",""),".","-"),"/","-")," ","-"),"--","-"),"--","-"),"--","-")&amp;"-","")</f>
        <v/>
      </c>
      <c r="CI1286">
        <f>IFERROR(IF('월 가계부'!A1286="","",IF(ISNUMBER('월 가계부'!A1286),IF(AND('월 가계부'!A1286&gt;=19000101,'월 가계부'!A1286&lt;=21001231),IF(AND(MOD(INT('월 가계부'!A1286/100),100)&gt;=1,MOD(INT('월 가계부'!A1286/100),100)&lt;=12,MOD(INT('월 가계부'!A1286),100)&gt;=1,MOD(INT('월 가계부'!A1286),100)&lt;=31),IF(MONTH(DATE(INT('월 가계부'!A1286/10000),MOD(INT('월 가계부'!A1286/100),100),MOD(INT('월 가계부'!A1286),100)))=MOD(INT('월 가계부'!A1286/100),100),DATE(INT('월 가계부'!A1286/10000),MOD(INT('월 가계부'!A1286/100),100),MOD(INT('월 가계부'!A1286),100)),""),""),IF(AND('월 가계부'!A1286&gt;=36526,'월 가계부'!A1286&lt;73051),INT('월 가계부'!A1286),"")),IF(OR(CM1286="",CN1286="",CO1286=""),"",IF(AND(CM1286&gt;=2000,CM1286&lt;=2099,CN1286&gt;=1,CN1286&lt;=12,CO1286&gt;=1,CO1286&lt;=31),IF(MONTH(DATE(CM1286,CN1286,CO1286))=CN1286,DATE(CM1286,CN1286,CO1286),""),"")))),"")</f>
        <v/>
      </c>
      <c r="CJ1286">
        <f>IFERROR(IF('월 가계부'!C1286="","",IF(ISNUMBER('월 가계부'!C1286),'월 가계부'!C1286,VALUE(SUBSTITUTE(SUBSTITUTE(SUBSTITUTE(SUBSTITUTE(TRIM('월 가계부'!C1286),",",""),"원","")," ",""),"−","-")))),"")</f>
        <v/>
      </c>
      <c r="CK1286">
        <f>IF(ISNUMBER(CI1286),IF(CI1286&lt;$B$13,CI1286,""),"")</f>
        <v/>
      </c>
      <c r="CM1286">
        <f>IF(CH1286="","",IFERROR(IF(IF(AND(LEN(CH1286)=9,ISERROR(FIND("-",LEFT(CH1286,8))),ISNUMBER(-LEFT(CH1286,8))),VALUE(LEFT(CH1286,4)),VALUE(LEFT(CH1286,FIND("-",CH1286)-1)))&lt;100,IF(AND(LEN(CH1286)=9,ISERROR(FIND("-",LEFT(CH1286,8))),ISNUMBER(-LEFT(CH1286,8))),VALUE(LEFT(CH1286,4)),VALUE(LEFT(CH1286,FIND("-",CH1286)-1)))+2000,IF(AND(LEN(CH1286)=9,ISERROR(FIND("-",LEFT(CH1286,8))),ISNUMBER(-LEFT(CH1286,8))),VALUE(LEFT(CH1286,4)),VALUE(LEFT(CH1286,FIND("-",CH1286)-1)))),""))</f>
        <v/>
      </c>
      <c r="CN1286">
        <f>IF(CH1286="","",IFERROR(IF(AND(LEN(CH1286)=9,ISERROR(FIND("-",LEFT(CH1286,8))),ISNUMBER(-LEFT(CH1286,8))),VALUE(MID(CH1286,5,2)),VALUE(MID(CH1286,FIND("-",CH1286)+1,FIND("-",CH1286,FIND("-",CH1286)+1)-FIND("-",CH1286)-1))),""))</f>
        <v/>
      </c>
      <c r="CO1286">
        <f>IF(CH1286="","",IFERROR(IF(AND(LEN(CH1286)=9,ISERROR(FIND("-",LEFT(CH1286,8))),ISNUMBER(-LEFT(CH1286,8))),VALUE(MID(CH1286,7,2)),VALUE(MID(CH1286,FIND("-",CH1286,FIND("-",CH1286)+1)+1,FIND("-",CH1286,FIND("-",CH1286,FIND("-",CH1286)+1)+1)-FIND("-",CH1286,FIND("-",CH1286)+1)-1))),""))</f>
        <v/>
      </c>
    </row>
    <row r="1287">
      <c r="CH1287">
        <f>IF(ISTEXT('월 가계부'!A1287),SUBSTITUTE(SUBSTITUTE(SUBSTITUTE(SUBSTITUTE(SUBSTITUTE(SUBSTITUTE(SUBSTITUTE(SUBSTITUTE(SUBSTITUTE(TRIM('월 가계부'!A1287),"년","-"),"월","-"),"일",""),".","-"),"/","-")," ","-"),"--","-"),"--","-"),"--","-")&amp;"-","")</f>
        <v/>
      </c>
      <c r="CI1287">
        <f>IFERROR(IF('월 가계부'!A1287="","",IF(ISNUMBER('월 가계부'!A1287),IF(AND('월 가계부'!A1287&gt;=19000101,'월 가계부'!A1287&lt;=21001231),IF(AND(MOD(INT('월 가계부'!A1287/100),100)&gt;=1,MOD(INT('월 가계부'!A1287/100),100)&lt;=12,MOD(INT('월 가계부'!A1287),100)&gt;=1,MOD(INT('월 가계부'!A1287),100)&lt;=31),IF(MONTH(DATE(INT('월 가계부'!A1287/10000),MOD(INT('월 가계부'!A1287/100),100),MOD(INT('월 가계부'!A1287),100)))=MOD(INT('월 가계부'!A1287/100),100),DATE(INT('월 가계부'!A1287/10000),MOD(INT('월 가계부'!A1287/100),100),MOD(INT('월 가계부'!A1287),100)),""),""),IF(AND('월 가계부'!A1287&gt;=36526,'월 가계부'!A1287&lt;73051),INT('월 가계부'!A1287),"")),IF(OR(CM1287="",CN1287="",CO1287=""),"",IF(AND(CM1287&gt;=2000,CM1287&lt;=2099,CN1287&gt;=1,CN1287&lt;=12,CO1287&gt;=1,CO1287&lt;=31),IF(MONTH(DATE(CM1287,CN1287,CO1287))=CN1287,DATE(CM1287,CN1287,CO1287),""),"")))),"")</f>
        <v/>
      </c>
      <c r="CJ1287">
        <f>IFERROR(IF('월 가계부'!C1287="","",IF(ISNUMBER('월 가계부'!C1287),'월 가계부'!C1287,VALUE(SUBSTITUTE(SUBSTITUTE(SUBSTITUTE(SUBSTITUTE(TRIM('월 가계부'!C1287),",",""),"원","")," ",""),"−","-")))),"")</f>
        <v/>
      </c>
      <c r="CK1287">
        <f>IF(ISNUMBER(CI1287),IF(CI1287&lt;$B$13,CI1287,""),"")</f>
        <v/>
      </c>
      <c r="CM1287">
        <f>IF(CH1287="","",IFERROR(IF(IF(AND(LEN(CH1287)=9,ISERROR(FIND("-",LEFT(CH1287,8))),ISNUMBER(-LEFT(CH1287,8))),VALUE(LEFT(CH1287,4)),VALUE(LEFT(CH1287,FIND("-",CH1287)-1)))&lt;100,IF(AND(LEN(CH1287)=9,ISERROR(FIND("-",LEFT(CH1287,8))),ISNUMBER(-LEFT(CH1287,8))),VALUE(LEFT(CH1287,4)),VALUE(LEFT(CH1287,FIND("-",CH1287)-1)))+2000,IF(AND(LEN(CH1287)=9,ISERROR(FIND("-",LEFT(CH1287,8))),ISNUMBER(-LEFT(CH1287,8))),VALUE(LEFT(CH1287,4)),VALUE(LEFT(CH1287,FIND("-",CH1287)-1)))),""))</f>
        <v/>
      </c>
      <c r="CN1287">
        <f>IF(CH1287="","",IFERROR(IF(AND(LEN(CH1287)=9,ISERROR(FIND("-",LEFT(CH1287,8))),ISNUMBER(-LEFT(CH1287,8))),VALUE(MID(CH1287,5,2)),VALUE(MID(CH1287,FIND("-",CH1287)+1,FIND("-",CH1287,FIND("-",CH1287)+1)-FIND("-",CH1287)-1))),""))</f>
        <v/>
      </c>
      <c r="CO1287">
        <f>IF(CH1287="","",IFERROR(IF(AND(LEN(CH1287)=9,ISERROR(FIND("-",LEFT(CH1287,8))),ISNUMBER(-LEFT(CH1287,8))),VALUE(MID(CH1287,7,2)),VALUE(MID(CH1287,FIND("-",CH1287,FIND("-",CH1287)+1)+1,FIND("-",CH1287,FIND("-",CH1287,FIND("-",CH1287)+1)+1)-FIND("-",CH1287,FIND("-",CH1287)+1)-1))),""))</f>
        <v/>
      </c>
    </row>
    <row r="1288">
      <c r="CH1288">
        <f>IF(ISTEXT('월 가계부'!A1288),SUBSTITUTE(SUBSTITUTE(SUBSTITUTE(SUBSTITUTE(SUBSTITUTE(SUBSTITUTE(SUBSTITUTE(SUBSTITUTE(SUBSTITUTE(TRIM('월 가계부'!A1288),"년","-"),"월","-"),"일",""),".","-"),"/","-")," ","-"),"--","-"),"--","-"),"--","-")&amp;"-","")</f>
        <v/>
      </c>
      <c r="CI1288">
        <f>IFERROR(IF('월 가계부'!A1288="","",IF(ISNUMBER('월 가계부'!A1288),IF(AND('월 가계부'!A1288&gt;=19000101,'월 가계부'!A1288&lt;=21001231),IF(AND(MOD(INT('월 가계부'!A1288/100),100)&gt;=1,MOD(INT('월 가계부'!A1288/100),100)&lt;=12,MOD(INT('월 가계부'!A1288),100)&gt;=1,MOD(INT('월 가계부'!A1288),100)&lt;=31),IF(MONTH(DATE(INT('월 가계부'!A1288/10000),MOD(INT('월 가계부'!A1288/100),100),MOD(INT('월 가계부'!A1288),100)))=MOD(INT('월 가계부'!A1288/100),100),DATE(INT('월 가계부'!A1288/10000),MOD(INT('월 가계부'!A1288/100),100),MOD(INT('월 가계부'!A1288),100)),""),""),IF(AND('월 가계부'!A1288&gt;=36526,'월 가계부'!A1288&lt;73051),INT('월 가계부'!A1288),"")),IF(OR(CM1288="",CN1288="",CO1288=""),"",IF(AND(CM1288&gt;=2000,CM1288&lt;=2099,CN1288&gt;=1,CN1288&lt;=12,CO1288&gt;=1,CO1288&lt;=31),IF(MONTH(DATE(CM1288,CN1288,CO1288))=CN1288,DATE(CM1288,CN1288,CO1288),""),"")))),"")</f>
        <v/>
      </c>
      <c r="CJ1288">
        <f>IFERROR(IF('월 가계부'!C1288="","",IF(ISNUMBER('월 가계부'!C1288),'월 가계부'!C1288,VALUE(SUBSTITUTE(SUBSTITUTE(SUBSTITUTE(SUBSTITUTE(TRIM('월 가계부'!C1288),",",""),"원","")," ",""),"−","-")))),"")</f>
        <v/>
      </c>
      <c r="CK1288">
        <f>IF(ISNUMBER(CI1288),IF(CI1288&lt;$B$13,CI1288,""),"")</f>
        <v/>
      </c>
      <c r="CM1288">
        <f>IF(CH1288="","",IFERROR(IF(IF(AND(LEN(CH1288)=9,ISERROR(FIND("-",LEFT(CH1288,8))),ISNUMBER(-LEFT(CH1288,8))),VALUE(LEFT(CH1288,4)),VALUE(LEFT(CH1288,FIND("-",CH1288)-1)))&lt;100,IF(AND(LEN(CH1288)=9,ISERROR(FIND("-",LEFT(CH1288,8))),ISNUMBER(-LEFT(CH1288,8))),VALUE(LEFT(CH1288,4)),VALUE(LEFT(CH1288,FIND("-",CH1288)-1)))+2000,IF(AND(LEN(CH1288)=9,ISERROR(FIND("-",LEFT(CH1288,8))),ISNUMBER(-LEFT(CH1288,8))),VALUE(LEFT(CH1288,4)),VALUE(LEFT(CH1288,FIND("-",CH1288)-1)))),""))</f>
        <v/>
      </c>
      <c r="CN1288">
        <f>IF(CH1288="","",IFERROR(IF(AND(LEN(CH1288)=9,ISERROR(FIND("-",LEFT(CH1288,8))),ISNUMBER(-LEFT(CH1288,8))),VALUE(MID(CH1288,5,2)),VALUE(MID(CH1288,FIND("-",CH1288)+1,FIND("-",CH1288,FIND("-",CH1288)+1)-FIND("-",CH1288)-1))),""))</f>
        <v/>
      </c>
      <c r="CO1288">
        <f>IF(CH1288="","",IFERROR(IF(AND(LEN(CH1288)=9,ISERROR(FIND("-",LEFT(CH1288,8))),ISNUMBER(-LEFT(CH1288,8))),VALUE(MID(CH1288,7,2)),VALUE(MID(CH1288,FIND("-",CH1288,FIND("-",CH1288)+1)+1,FIND("-",CH1288,FIND("-",CH1288,FIND("-",CH1288)+1)+1)-FIND("-",CH1288,FIND("-",CH1288)+1)-1))),""))</f>
        <v/>
      </c>
    </row>
    <row r="1289">
      <c r="CH1289">
        <f>IF(ISTEXT('월 가계부'!A1289),SUBSTITUTE(SUBSTITUTE(SUBSTITUTE(SUBSTITUTE(SUBSTITUTE(SUBSTITUTE(SUBSTITUTE(SUBSTITUTE(SUBSTITUTE(TRIM('월 가계부'!A1289),"년","-"),"월","-"),"일",""),".","-"),"/","-")," ","-"),"--","-"),"--","-"),"--","-")&amp;"-","")</f>
        <v/>
      </c>
      <c r="CI1289">
        <f>IFERROR(IF('월 가계부'!A1289="","",IF(ISNUMBER('월 가계부'!A1289),IF(AND('월 가계부'!A1289&gt;=19000101,'월 가계부'!A1289&lt;=21001231),IF(AND(MOD(INT('월 가계부'!A1289/100),100)&gt;=1,MOD(INT('월 가계부'!A1289/100),100)&lt;=12,MOD(INT('월 가계부'!A1289),100)&gt;=1,MOD(INT('월 가계부'!A1289),100)&lt;=31),IF(MONTH(DATE(INT('월 가계부'!A1289/10000),MOD(INT('월 가계부'!A1289/100),100),MOD(INT('월 가계부'!A1289),100)))=MOD(INT('월 가계부'!A1289/100),100),DATE(INT('월 가계부'!A1289/10000),MOD(INT('월 가계부'!A1289/100),100),MOD(INT('월 가계부'!A1289),100)),""),""),IF(AND('월 가계부'!A1289&gt;=36526,'월 가계부'!A1289&lt;73051),INT('월 가계부'!A1289),"")),IF(OR(CM1289="",CN1289="",CO1289=""),"",IF(AND(CM1289&gt;=2000,CM1289&lt;=2099,CN1289&gt;=1,CN1289&lt;=12,CO1289&gt;=1,CO1289&lt;=31),IF(MONTH(DATE(CM1289,CN1289,CO1289))=CN1289,DATE(CM1289,CN1289,CO1289),""),"")))),"")</f>
        <v/>
      </c>
      <c r="CJ1289">
        <f>IFERROR(IF('월 가계부'!C1289="","",IF(ISNUMBER('월 가계부'!C1289),'월 가계부'!C1289,VALUE(SUBSTITUTE(SUBSTITUTE(SUBSTITUTE(SUBSTITUTE(TRIM('월 가계부'!C1289),",",""),"원","")," ",""),"−","-")))),"")</f>
        <v/>
      </c>
      <c r="CK1289">
        <f>IF(ISNUMBER(CI1289),IF(CI1289&lt;$B$13,CI1289,""),"")</f>
        <v/>
      </c>
      <c r="CM1289">
        <f>IF(CH1289="","",IFERROR(IF(IF(AND(LEN(CH1289)=9,ISERROR(FIND("-",LEFT(CH1289,8))),ISNUMBER(-LEFT(CH1289,8))),VALUE(LEFT(CH1289,4)),VALUE(LEFT(CH1289,FIND("-",CH1289)-1)))&lt;100,IF(AND(LEN(CH1289)=9,ISERROR(FIND("-",LEFT(CH1289,8))),ISNUMBER(-LEFT(CH1289,8))),VALUE(LEFT(CH1289,4)),VALUE(LEFT(CH1289,FIND("-",CH1289)-1)))+2000,IF(AND(LEN(CH1289)=9,ISERROR(FIND("-",LEFT(CH1289,8))),ISNUMBER(-LEFT(CH1289,8))),VALUE(LEFT(CH1289,4)),VALUE(LEFT(CH1289,FIND("-",CH1289)-1)))),""))</f>
        <v/>
      </c>
      <c r="CN1289">
        <f>IF(CH1289="","",IFERROR(IF(AND(LEN(CH1289)=9,ISERROR(FIND("-",LEFT(CH1289,8))),ISNUMBER(-LEFT(CH1289,8))),VALUE(MID(CH1289,5,2)),VALUE(MID(CH1289,FIND("-",CH1289)+1,FIND("-",CH1289,FIND("-",CH1289)+1)-FIND("-",CH1289)-1))),""))</f>
        <v/>
      </c>
      <c r="CO1289">
        <f>IF(CH1289="","",IFERROR(IF(AND(LEN(CH1289)=9,ISERROR(FIND("-",LEFT(CH1289,8))),ISNUMBER(-LEFT(CH1289,8))),VALUE(MID(CH1289,7,2)),VALUE(MID(CH1289,FIND("-",CH1289,FIND("-",CH1289)+1)+1,FIND("-",CH1289,FIND("-",CH1289,FIND("-",CH1289)+1)+1)-FIND("-",CH1289,FIND("-",CH1289)+1)-1))),""))</f>
        <v/>
      </c>
    </row>
    <row r="1290">
      <c r="CH1290">
        <f>IF(ISTEXT('월 가계부'!A1290),SUBSTITUTE(SUBSTITUTE(SUBSTITUTE(SUBSTITUTE(SUBSTITUTE(SUBSTITUTE(SUBSTITUTE(SUBSTITUTE(SUBSTITUTE(TRIM('월 가계부'!A1290),"년","-"),"월","-"),"일",""),".","-"),"/","-")," ","-"),"--","-"),"--","-"),"--","-")&amp;"-","")</f>
        <v/>
      </c>
      <c r="CI1290">
        <f>IFERROR(IF('월 가계부'!A1290="","",IF(ISNUMBER('월 가계부'!A1290),IF(AND('월 가계부'!A1290&gt;=19000101,'월 가계부'!A1290&lt;=21001231),IF(AND(MOD(INT('월 가계부'!A1290/100),100)&gt;=1,MOD(INT('월 가계부'!A1290/100),100)&lt;=12,MOD(INT('월 가계부'!A1290),100)&gt;=1,MOD(INT('월 가계부'!A1290),100)&lt;=31),IF(MONTH(DATE(INT('월 가계부'!A1290/10000),MOD(INT('월 가계부'!A1290/100),100),MOD(INT('월 가계부'!A1290),100)))=MOD(INT('월 가계부'!A1290/100),100),DATE(INT('월 가계부'!A1290/10000),MOD(INT('월 가계부'!A1290/100),100),MOD(INT('월 가계부'!A1290),100)),""),""),IF(AND('월 가계부'!A1290&gt;=36526,'월 가계부'!A1290&lt;73051),INT('월 가계부'!A1290),"")),IF(OR(CM1290="",CN1290="",CO1290=""),"",IF(AND(CM1290&gt;=2000,CM1290&lt;=2099,CN1290&gt;=1,CN1290&lt;=12,CO1290&gt;=1,CO1290&lt;=31),IF(MONTH(DATE(CM1290,CN1290,CO1290))=CN1290,DATE(CM1290,CN1290,CO1290),""),"")))),"")</f>
        <v/>
      </c>
      <c r="CJ1290">
        <f>IFERROR(IF('월 가계부'!C1290="","",IF(ISNUMBER('월 가계부'!C1290),'월 가계부'!C1290,VALUE(SUBSTITUTE(SUBSTITUTE(SUBSTITUTE(SUBSTITUTE(TRIM('월 가계부'!C1290),",",""),"원","")," ",""),"−","-")))),"")</f>
        <v/>
      </c>
      <c r="CK1290">
        <f>IF(ISNUMBER(CI1290),IF(CI1290&lt;$B$13,CI1290,""),"")</f>
        <v/>
      </c>
      <c r="CM1290">
        <f>IF(CH1290="","",IFERROR(IF(IF(AND(LEN(CH1290)=9,ISERROR(FIND("-",LEFT(CH1290,8))),ISNUMBER(-LEFT(CH1290,8))),VALUE(LEFT(CH1290,4)),VALUE(LEFT(CH1290,FIND("-",CH1290)-1)))&lt;100,IF(AND(LEN(CH1290)=9,ISERROR(FIND("-",LEFT(CH1290,8))),ISNUMBER(-LEFT(CH1290,8))),VALUE(LEFT(CH1290,4)),VALUE(LEFT(CH1290,FIND("-",CH1290)-1)))+2000,IF(AND(LEN(CH1290)=9,ISERROR(FIND("-",LEFT(CH1290,8))),ISNUMBER(-LEFT(CH1290,8))),VALUE(LEFT(CH1290,4)),VALUE(LEFT(CH1290,FIND("-",CH1290)-1)))),""))</f>
        <v/>
      </c>
      <c r="CN1290">
        <f>IF(CH1290="","",IFERROR(IF(AND(LEN(CH1290)=9,ISERROR(FIND("-",LEFT(CH1290,8))),ISNUMBER(-LEFT(CH1290,8))),VALUE(MID(CH1290,5,2)),VALUE(MID(CH1290,FIND("-",CH1290)+1,FIND("-",CH1290,FIND("-",CH1290)+1)-FIND("-",CH1290)-1))),""))</f>
        <v/>
      </c>
      <c r="CO1290">
        <f>IF(CH1290="","",IFERROR(IF(AND(LEN(CH1290)=9,ISERROR(FIND("-",LEFT(CH1290,8))),ISNUMBER(-LEFT(CH1290,8))),VALUE(MID(CH1290,7,2)),VALUE(MID(CH1290,FIND("-",CH1290,FIND("-",CH1290)+1)+1,FIND("-",CH1290,FIND("-",CH1290,FIND("-",CH1290)+1)+1)-FIND("-",CH1290,FIND("-",CH1290)+1)-1))),""))</f>
        <v/>
      </c>
    </row>
    <row r="1291">
      <c r="CH1291">
        <f>IF(ISTEXT('월 가계부'!A1291),SUBSTITUTE(SUBSTITUTE(SUBSTITUTE(SUBSTITUTE(SUBSTITUTE(SUBSTITUTE(SUBSTITUTE(SUBSTITUTE(SUBSTITUTE(TRIM('월 가계부'!A1291),"년","-"),"월","-"),"일",""),".","-"),"/","-")," ","-"),"--","-"),"--","-"),"--","-")&amp;"-","")</f>
        <v/>
      </c>
      <c r="CI1291">
        <f>IFERROR(IF('월 가계부'!A1291="","",IF(ISNUMBER('월 가계부'!A1291),IF(AND('월 가계부'!A1291&gt;=19000101,'월 가계부'!A1291&lt;=21001231),IF(AND(MOD(INT('월 가계부'!A1291/100),100)&gt;=1,MOD(INT('월 가계부'!A1291/100),100)&lt;=12,MOD(INT('월 가계부'!A1291),100)&gt;=1,MOD(INT('월 가계부'!A1291),100)&lt;=31),IF(MONTH(DATE(INT('월 가계부'!A1291/10000),MOD(INT('월 가계부'!A1291/100),100),MOD(INT('월 가계부'!A1291),100)))=MOD(INT('월 가계부'!A1291/100),100),DATE(INT('월 가계부'!A1291/10000),MOD(INT('월 가계부'!A1291/100),100),MOD(INT('월 가계부'!A1291),100)),""),""),IF(AND('월 가계부'!A1291&gt;=36526,'월 가계부'!A1291&lt;73051),INT('월 가계부'!A1291),"")),IF(OR(CM1291="",CN1291="",CO1291=""),"",IF(AND(CM1291&gt;=2000,CM1291&lt;=2099,CN1291&gt;=1,CN1291&lt;=12,CO1291&gt;=1,CO1291&lt;=31),IF(MONTH(DATE(CM1291,CN1291,CO1291))=CN1291,DATE(CM1291,CN1291,CO1291),""),"")))),"")</f>
        <v/>
      </c>
      <c r="CJ1291">
        <f>IFERROR(IF('월 가계부'!C1291="","",IF(ISNUMBER('월 가계부'!C1291),'월 가계부'!C1291,VALUE(SUBSTITUTE(SUBSTITUTE(SUBSTITUTE(SUBSTITUTE(TRIM('월 가계부'!C1291),",",""),"원","")," ",""),"−","-")))),"")</f>
        <v/>
      </c>
      <c r="CK1291">
        <f>IF(ISNUMBER(CI1291),IF(CI1291&lt;$B$13,CI1291,""),"")</f>
        <v/>
      </c>
      <c r="CM1291">
        <f>IF(CH1291="","",IFERROR(IF(IF(AND(LEN(CH1291)=9,ISERROR(FIND("-",LEFT(CH1291,8))),ISNUMBER(-LEFT(CH1291,8))),VALUE(LEFT(CH1291,4)),VALUE(LEFT(CH1291,FIND("-",CH1291)-1)))&lt;100,IF(AND(LEN(CH1291)=9,ISERROR(FIND("-",LEFT(CH1291,8))),ISNUMBER(-LEFT(CH1291,8))),VALUE(LEFT(CH1291,4)),VALUE(LEFT(CH1291,FIND("-",CH1291)-1)))+2000,IF(AND(LEN(CH1291)=9,ISERROR(FIND("-",LEFT(CH1291,8))),ISNUMBER(-LEFT(CH1291,8))),VALUE(LEFT(CH1291,4)),VALUE(LEFT(CH1291,FIND("-",CH1291)-1)))),""))</f>
        <v/>
      </c>
      <c r="CN1291">
        <f>IF(CH1291="","",IFERROR(IF(AND(LEN(CH1291)=9,ISERROR(FIND("-",LEFT(CH1291,8))),ISNUMBER(-LEFT(CH1291,8))),VALUE(MID(CH1291,5,2)),VALUE(MID(CH1291,FIND("-",CH1291)+1,FIND("-",CH1291,FIND("-",CH1291)+1)-FIND("-",CH1291)-1))),""))</f>
        <v/>
      </c>
      <c r="CO1291">
        <f>IF(CH1291="","",IFERROR(IF(AND(LEN(CH1291)=9,ISERROR(FIND("-",LEFT(CH1291,8))),ISNUMBER(-LEFT(CH1291,8))),VALUE(MID(CH1291,7,2)),VALUE(MID(CH1291,FIND("-",CH1291,FIND("-",CH1291)+1)+1,FIND("-",CH1291,FIND("-",CH1291,FIND("-",CH1291)+1)+1)-FIND("-",CH1291,FIND("-",CH1291)+1)-1))),""))</f>
        <v/>
      </c>
    </row>
    <row r="1292">
      <c r="CH1292">
        <f>IF(ISTEXT('월 가계부'!A1292),SUBSTITUTE(SUBSTITUTE(SUBSTITUTE(SUBSTITUTE(SUBSTITUTE(SUBSTITUTE(SUBSTITUTE(SUBSTITUTE(SUBSTITUTE(TRIM('월 가계부'!A1292),"년","-"),"월","-"),"일",""),".","-"),"/","-")," ","-"),"--","-"),"--","-"),"--","-")&amp;"-","")</f>
        <v/>
      </c>
      <c r="CI1292">
        <f>IFERROR(IF('월 가계부'!A1292="","",IF(ISNUMBER('월 가계부'!A1292),IF(AND('월 가계부'!A1292&gt;=19000101,'월 가계부'!A1292&lt;=21001231),IF(AND(MOD(INT('월 가계부'!A1292/100),100)&gt;=1,MOD(INT('월 가계부'!A1292/100),100)&lt;=12,MOD(INT('월 가계부'!A1292),100)&gt;=1,MOD(INT('월 가계부'!A1292),100)&lt;=31),IF(MONTH(DATE(INT('월 가계부'!A1292/10000),MOD(INT('월 가계부'!A1292/100),100),MOD(INT('월 가계부'!A1292),100)))=MOD(INT('월 가계부'!A1292/100),100),DATE(INT('월 가계부'!A1292/10000),MOD(INT('월 가계부'!A1292/100),100),MOD(INT('월 가계부'!A1292),100)),""),""),IF(AND('월 가계부'!A1292&gt;=36526,'월 가계부'!A1292&lt;73051),INT('월 가계부'!A1292),"")),IF(OR(CM1292="",CN1292="",CO1292=""),"",IF(AND(CM1292&gt;=2000,CM1292&lt;=2099,CN1292&gt;=1,CN1292&lt;=12,CO1292&gt;=1,CO1292&lt;=31),IF(MONTH(DATE(CM1292,CN1292,CO1292))=CN1292,DATE(CM1292,CN1292,CO1292),""),"")))),"")</f>
        <v/>
      </c>
      <c r="CJ1292">
        <f>IFERROR(IF('월 가계부'!C1292="","",IF(ISNUMBER('월 가계부'!C1292),'월 가계부'!C1292,VALUE(SUBSTITUTE(SUBSTITUTE(SUBSTITUTE(SUBSTITUTE(TRIM('월 가계부'!C1292),",",""),"원","")," ",""),"−","-")))),"")</f>
        <v/>
      </c>
      <c r="CK1292">
        <f>IF(ISNUMBER(CI1292),IF(CI1292&lt;$B$13,CI1292,""),"")</f>
        <v/>
      </c>
      <c r="CM1292">
        <f>IF(CH1292="","",IFERROR(IF(IF(AND(LEN(CH1292)=9,ISERROR(FIND("-",LEFT(CH1292,8))),ISNUMBER(-LEFT(CH1292,8))),VALUE(LEFT(CH1292,4)),VALUE(LEFT(CH1292,FIND("-",CH1292)-1)))&lt;100,IF(AND(LEN(CH1292)=9,ISERROR(FIND("-",LEFT(CH1292,8))),ISNUMBER(-LEFT(CH1292,8))),VALUE(LEFT(CH1292,4)),VALUE(LEFT(CH1292,FIND("-",CH1292)-1)))+2000,IF(AND(LEN(CH1292)=9,ISERROR(FIND("-",LEFT(CH1292,8))),ISNUMBER(-LEFT(CH1292,8))),VALUE(LEFT(CH1292,4)),VALUE(LEFT(CH1292,FIND("-",CH1292)-1)))),""))</f>
        <v/>
      </c>
      <c r="CN1292">
        <f>IF(CH1292="","",IFERROR(IF(AND(LEN(CH1292)=9,ISERROR(FIND("-",LEFT(CH1292,8))),ISNUMBER(-LEFT(CH1292,8))),VALUE(MID(CH1292,5,2)),VALUE(MID(CH1292,FIND("-",CH1292)+1,FIND("-",CH1292,FIND("-",CH1292)+1)-FIND("-",CH1292)-1))),""))</f>
        <v/>
      </c>
      <c r="CO1292">
        <f>IF(CH1292="","",IFERROR(IF(AND(LEN(CH1292)=9,ISERROR(FIND("-",LEFT(CH1292,8))),ISNUMBER(-LEFT(CH1292,8))),VALUE(MID(CH1292,7,2)),VALUE(MID(CH1292,FIND("-",CH1292,FIND("-",CH1292)+1)+1,FIND("-",CH1292,FIND("-",CH1292,FIND("-",CH1292)+1)+1)-FIND("-",CH1292,FIND("-",CH1292)+1)-1))),""))</f>
        <v/>
      </c>
    </row>
    <row r="1293">
      <c r="CH1293">
        <f>IF(ISTEXT('월 가계부'!A1293),SUBSTITUTE(SUBSTITUTE(SUBSTITUTE(SUBSTITUTE(SUBSTITUTE(SUBSTITUTE(SUBSTITUTE(SUBSTITUTE(SUBSTITUTE(TRIM('월 가계부'!A1293),"년","-"),"월","-"),"일",""),".","-"),"/","-")," ","-"),"--","-"),"--","-"),"--","-")&amp;"-","")</f>
        <v/>
      </c>
      <c r="CI1293">
        <f>IFERROR(IF('월 가계부'!A1293="","",IF(ISNUMBER('월 가계부'!A1293),IF(AND('월 가계부'!A1293&gt;=19000101,'월 가계부'!A1293&lt;=21001231),IF(AND(MOD(INT('월 가계부'!A1293/100),100)&gt;=1,MOD(INT('월 가계부'!A1293/100),100)&lt;=12,MOD(INT('월 가계부'!A1293),100)&gt;=1,MOD(INT('월 가계부'!A1293),100)&lt;=31),IF(MONTH(DATE(INT('월 가계부'!A1293/10000),MOD(INT('월 가계부'!A1293/100),100),MOD(INT('월 가계부'!A1293),100)))=MOD(INT('월 가계부'!A1293/100),100),DATE(INT('월 가계부'!A1293/10000),MOD(INT('월 가계부'!A1293/100),100),MOD(INT('월 가계부'!A1293),100)),""),""),IF(AND('월 가계부'!A1293&gt;=36526,'월 가계부'!A1293&lt;73051),INT('월 가계부'!A1293),"")),IF(OR(CM1293="",CN1293="",CO1293=""),"",IF(AND(CM1293&gt;=2000,CM1293&lt;=2099,CN1293&gt;=1,CN1293&lt;=12,CO1293&gt;=1,CO1293&lt;=31),IF(MONTH(DATE(CM1293,CN1293,CO1293))=CN1293,DATE(CM1293,CN1293,CO1293),""),"")))),"")</f>
        <v/>
      </c>
      <c r="CJ1293">
        <f>IFERROR(IF('월 가계부'!C1293="","",IF(ISNUMBER('월 가계부'!C1293),'월 가계부'!C1293,VALUE(SUBSTITUTE(SUBSTITUTE(SUBSTITUTE(SUBSTITUTE(TRIM('월 가계부'!C1293),",",""),"원","")," ",""),"−","-")))),"")</f>
        <v/>
      </c>
      <c r="CK1293">
        <f>IF(ISNUMBER(CI1293),IF(CI1293&lt;$B$13,CI1293,""),"")</f>
        <v/>
      </c>
      <c r="CM1293">
        <f>IF(CH1293="","",IFERROR(IF(IF(AND(LEN(CH1293)=9,ISERROR(FIND("-",LEFT(CH1293,8))),ISNUMBER(-LEFT(CH1293,8))),VALUE(LEFT(CH1293,4)),VALUE(LEFT(CH1293,FIND("-",CH1293)-1)))&lt;100,IF(AND(LEN(CH1293)=9,ISERROR(FIND("-",LEFT(CH1293,8))),ISNUMBER(-LEFT(CH1293,8))),VALUE(LEFT(CH1293,4)),VALUE(LEFT(CH1293,FIND("-",CH1293)-1)))+2000,IF(AND(LEN(CH1293)=9,ISERROR(FIND("-",LEFT(CH1293,8))),ISNUMBER(-LEFT(CH1293,8))),VALUE(LEFT(CH1293,4)),VALUE(LEFT(CH1293,FIND("-",CH1293)-1)))),""))</f>
        <v/>
      </c>
      <c r="CN1293">
        <f>IF(CH1293="","",IFERROR(IF(AND(LEN(CH1293)=9,ISERROR(FIND("-",LEFT(CH1293,8))),ISNUMBER(-LEFT(CH1293,8))),VALUE(MID(CH1293,5,2)),VALUE(MID(CH1293,FIND("-",CH1293)+1,FIND("-",CH1293,FIND("-",CH1293)+1)-FIND("-",CH1293)-1))),""))</f>
        <v/>
      </c>
      <c r="CO1293">
        <f>IF(CH1293="","",IFERROR(IF(AND(LEN(CH1293)=9,ISERROR(FIND("-",LEFT(CH1293,8))),ISNUMBER(-LEFT(CH1293,8))),VALUE(MID(CH1293,7,2)),VALUE(MID(CH1293,FIND("-",CH1293,FIND("-",CH1293)+1)+1,FIND("-",CH1293,FIND("-",CH1293,FIND("-",CH1293)+1)+1)-FIND("-",CH1293,FIND("-",CH1293)+1)-1))),""))</f>
        <v/>
      </c>
    </row>
    <row r="1294">
      <c r="CH1294">
        <f>IF(ISTEXT('월 가계부'!A1294),SUBSTITUTE(SUBSTITUTE(SUBSTITUTE(SUBSTITUTE(SUBSTITUTE(SUBSTITUTE(SUBSTITUTE(SUBSTITUTE(SUBSTITUTE(TRIM('월 가계부'!A1294),"년","-"),"월","-"),"일",""),".","-"),"/","-")," ","-"),"--","-"),"--","-"),"--","-")&amp;"-","")</f>
        <v/>
      </c>
      <c r="CI1294">
        <f>IFERROR(IF('월 가계부'!A1294="","",IF(ISNUMBER('월 가계부'!A1294),IF(AND('월 가계부'!A1294&gt;=19000101,'월 가계부'!A1294&lt;=21001231),IF(AND(MOD(INT('월 가계부'!A1294/100),100)&gt;=1,MOD(INT('월 가계부'!A1294/100),100)&lt;=12,MOD(INT('월 가계부'!A1294),100)&gt;=1,MOD(INT('월 가계부'!A1294),100)&lt;=31),IF(MONTH(DATE(INT('월 가계부'!A1294/10000),MOD(INT('월 가계부'!A1294/100),100),MOD(INT('월 가계부'!A1294),100)))=MOD(INT('월 가계부'!A1294/100),100),DATE(INT('월 가계부'!A1294/10000),MOD(INT('월 가계부'!A1294/100),100),MOD(INT('월 가계부'!A1294),100)),""),""),IF(AND('월 가계부'!A1294&gt;=36526,'월 가계부'!A1294&lt;73051),INT('월 가계부'!A1294),"")),IF(OR(CM1294="",CN1294="",CO1294=""),"",IF(AND(CM1294&gt;=2000,CM1294&lt;=2099,CN1294&gt;=1,CN1294&lt;=12,CO1294&gt;=1,CO1294&lt;=31),IF(MONTH(DATE(CM1294,CN1294,CO1294))=CN1294,DATE(CM1294,CN1294,CO1294),""),"")))),"")</f>
        <v/>
      </c>
      <c r="CJ1294">
        <f>IFERROR(IF('월 가계부'!C1294="","",IF(ISNUMBER('월 가계부'!C1294),'월 가계부'!C1294,VALUE(SUBSTITUTE(SUBSTITUTE(SUBSTITUTE(SUBSTITUTE(TRIM('월 가계부'!C1294),",",""),"원","")," ",""),"−","-")))),"")</f>
        <v/>
      </c>
      <c r="CK1294">
        <f>IF(ISNUMBER(CI1294),IF(CI1294&lt;$B$13,CI1294,""),"")</f>
        <v/>
      </c>
      <c r="CM1294">
        <f>IF(CH1294="","",IFERROR(IF(IF(AND(LEN(CH1294)=9,ISERROR(FIND("-",LEFT(CH1294,8))),ISNUMBER(-LEFT(CH1294,8))),VALUE(LEFT(CH1294,4)),VALUE(LEFT(CH1294,FIND("-",CH1294)-1)))&lt;100,IF(AND(LEN(CH1294)=9,ISERROR(FIND("-",LEFT(CH1294,8))),ISNUMBER(-LEFT(CH1294,8))),VALUE(LEFT(CH1294,4)),VALUE(LEFT(CH1294,FIND("-",CH1294)-1)))+2000,IF(AND(LEN(CH1294)=9,ISERROR(FIND("-",LEFT(CH1294,8))),ISNUMBER(-LEFT(CH1294,8))),VALUE(LEFT(CH1294,4)),VALUE(LEFT(CH1294,FIND("-",CH1294)-1)))),""))</f>
        <v/>
      </c>
      <c r="CN1294">
        <f>IF(CH1294="","",IFERROR(IF(AND(LEN(CH1294)=9,ISERROR(FIND("-",LEFT(CH1294,8))),ISNUMBER(-LEFT(CH1294,8))),VALUE(MID(CH1294,5,2)),VALUE(MID(CH1294,FIND("-",CH1294)+1,FIND("-",CH1294,FIND("-",CH1294)+1)-FIND("-",CH1294)-1))),""))</f>
        <v/>
      </c>
      <c r="CO1294">
        <f>IF(CH1294="","",IFERROR(IF(AND(LEN(CH1294)=9,ISERROR(FIND("-",LEFT(CH1294,8))),ISNUMBER(-LEFT(CH1294,8))),VALUE(MID(CH1294,7,2)),VALUE(MID(CH1294,FIND("-",CH1294,FIND("-",CH1294)+1)+1,FIND("-",CH1294,FIND("-",CH1294,FIND("-",CH1294)+1)+1)-FIND("-",CH1294,FIND("-",CH1294)+1)-1))),""))</f>
        <v/>
      </c>
    </row>
    <row r="1295">
      <c r="CH1295">
        <f>IF(ISTEXT('월 가계부'!A1295),SUBSTITUTE(SUBSTITUTE(SUBSTITUTE(SUBSTITUTE(SUBSTITUTE(SUBSTITUTE(SUBSTITUTE(SUBSTITUTE(SUBSTITUTE(TRIM('월 가계부'!A1295),"년","-"),"월","-"),"일",""),".","-"),"/","-")," ","-"),"--","-"),"--","-"),"--","-")&amp;"-","")</f>
        <v/>
      </c>
      <c r="CI1295">
        <f>IFERROR(IF('월 가계부'!A1295="","",IF(ISNUMBER('월 가계부'!A1295),IF(AND('월 가계부'!A1295&gt;=19000101,'월 가계부'!A1295&lt;=21001231),IF(AND(MOD(INT('월 가계부'!A1295/100),100)&gt;=1,MOD(INT('월 가계부'!A1295/100),100)&lt;=12,MOD(INT('월 가계부'!A1295),100)&gt;=1,MOD(INT('월 가계부'!A1295),100)&lt;=31),IF(MONTH(DATE(INT('월 가계부'!A1295/10000),MOD(INT('월 가계부'!A1295/100),100),MOD(INT('월 가계부'!A1295),100)))=MOD(INT('월 가계부'!A1295/100),100),DATE(INT('월 가계부'!A1295/10000),MOD(INT('월 가계부'!A1295/100),100),MOD(INT('월 가계부'!A1295),100)),""),""),IF(AND('월 가계부'!A1295&gt;=36526,'월 가계부'!A1295&lt;73051),INT('월 가계부'!A1295),"")),IF(OR(CM1295="",CN1295="",CO1295=""),"",IF(AND(CM1295&gt;=2000,CM1295&lt;=2099,CN1295&gt;=1,CN1295&lt;=12,CO1295&gt;=1,CO1295&lt;=31),IF(MONTH(DATE(CM1295,CN1295,CO1295))=CN1295,DATE(CM1295,CN1295,CO1295),""),"")))),"")</f>
        <v/>
      </c>
      <c r="CJ1295">
        <f>IFERROR(IF('월 가계부'!C1295="","",IF(ISNUMBER('월 가계부'!C1295),'월 가계부'!C1295,VALUE(SUBSTITUTE(SUBSTITUTE(SUBSTITUTE(SUBSTITUTE(TRIM('월 가계부'!C1295),",",""),"원","")," ",""),"−","-")))),"")</f>
        <v/>
      </c>
      <c r="CK1295">
        <f>IF(ISNUMBER(CI1295),IF(CI1295&lt;$B$13,CI1295,""),"")</f>
        <v/>
      </c>
      <c r="CM1295">
        <f>IF(CH1295="","",IFERROR(IF(IF(AND(LEN(CH1295)=9,ISERROR(FIND("-",LEFT(CH1295,8))),ISNUMBER(-LEFT(CH1295,8))),VALUE(LEFT(CH1295,4)),VALUE(LEFT(CH1295,FIND("-",CH1295)-1)))&lt;100,IF(AND(LEN(CH1295)=9,ISERROR(FIND("-",LEFT(CH1295,8))),ISNUMBER(-LEFT(CH1295,8))),VALUE(LEFT(CH1295,4)),VALUE(LEFT(CH1295,FIND("-",CH1295)-1)))+2000,IF(AND(LEN(CH1295)=9,ISERROR(FIND("-",LEFT(CH1295,8))),ISNUMBER(-LEFT(CH1295,8))),VALUE(LEFT(CH1295,4)),VALUE(LEFT(CH1295,FIND("-",CH1295)-1)))),""))</f>
        <v/>
      </c>
      <c r="CN1295">
        <f>IF(CH1295="","",IFERROR(IF(AND(LEN(CH1295)=9,ISERROR(FIND("-",LEFT(CH1295,8))),ISNUMBER(-LEFT(CH1295,8))),VALUE(MID(CH1295,5,2)),VALUE(MID(CH1295,FIND("-",CH1295)+1,FIND("-",CH1295,FIND("-",CH1295)+1)-FIND("-",CH1295)-1))),""))</f>
        <v/>
      </c>
      <c r="CO1295">
        <f>IF(CH1295="","",IFERROR(IF(AND(LEN(CH1295)=9,ISERROR(FIND("-",LEFT(CH1295,8))),ISNUMBER(-LEFT(CH1295,8))),VALUE(MID(CH1295,7,2)),VALUE(MID(CH1295,FIND("-",CH1295,FIND("-",CH1295)+1)+1,FIND("-",CH1295,FIND("-",CH1295,FIND("-",CH1295)+1)+1)-FIND("-",CH1295,FIND("-",CH1295)+1)-1))),""))</f>
        <v/>
      </c>
    </row>
    <row r="1296">
      <c r="CH1296">
        <f>IF(ISTEXT('월 가계부'!A1296),SUBSTITUTE(SUBSTITUTE(SUBSTITUTE(SUBSTITUTE(SUBSTITUTE(SUBSTITUTE(SUBSTITUTE(SUBSTITUTE(SUBSTITUTE(TRIM('월 가계부'!A1296),"년","-"),"월","-"),"일",""),".","-"),"/","-")," ","-"),"--","-"),"--","-"),"--","-")&amp;"-","")</f>
        <v/>
      </c>
      <c r="CI1296">
        <f>IFERROR(IF('월 가계부'!A1296="","",IF(ISNUMBER('월 가계부'!A1296),IF(AND('월 가계부'!A1296&gt;=19000101,'월 가계부'!A1296&lt;=21001231),IF(AND(MOD(INT('월 가계부'!A1296/100),100)&gt;=1,MOD(INT('월 가계부'!A1296/100),100)&lt;=12,MOD(INT('월 가계부'!A1296),100)&gt;=1,MOD(INT('월 가계부'!A1296),100)&lt;=31),IF(MONTH(DATE(INT('월 가계부'!A1296/10000),MOD(INT('월 가계부'!A1296/100),100),MOD(INT('월 가계부'!A1296),100)))=MOD(INT('월 가계부'!A1296/100),100),DATE(INT('월 가계부'!A1296/10000),MOD(INT('월 가계부'!A1296/100),100),MOD(INT('월 가계부'!A1296),100)),""),""),IF(AND('월 가계부'!A1296&gt;=36526,'월 가계부'!A1296&lt;73051),INT('월 가계부'!A1296),"")),IF(OR(CM1296="",CN1296="",CO1296=""),"",IF(AND(CM1296&gt;=2000,CM1296&lt;=2099,CN1296&gt;=1,CN1296&lt;=12,CO1296&gt;=1,CO1296&lt;=31),IF(MONTH(DATE(CM1296,CN1296,CO1296))=CN1296,DATE(CM1296,CN1296,CO1296),""),"")))),"")</f>
        <v/>
      </c>
      <c r="CJ1296">
        <f>IFERROR(IF('월 가계부'!C1296="","",IF(ISNUMBER('월 가계부'!C1296),'월 가계부'!C1296,VALUE(SUBSTITUTE(SUBSTITUTE(SUBSTITUTE(SUBSTITUTE(TRIM('월 가계부'!C1296),",",""),"원","")," ",""),"−","-")))),"")</f>
        <v/>
      </c>
      <c r="CK1296">
        <f>IF(ISNUMBER(CI1296),IF(CI1296&lt;$B$13,CI1296,""),"")</f>
        <v/>
      </c>
      <c r="CM1296">
        <f>IF(CH1296="","",IFERROR(IF(IF(AND(LEN(CH1296)=9,ISERROR(FIND("-",LEFT(CH1296,8))),ISNUMBER(-LEFT(CH1296,8))),VALUE(LEFT(CH1296,4)),VALUE(LEFT(CH1296,FIND("-",CH1296)-1)))&lt;100,IF(AND(LEN(CH1296)=9,ISERROR(FIND("-",LEFT(CH1296,8))),ISNUMBER(-LEFT(CH1296,8))),VALUE(LEFT(CH1296,4)),VALUE(LEFT(CH1296,FIND("-",CH1296)-1)))+2000,IF(AND(LEN(CH1296)=9,ISERROR(FIND("-",LEFT(CH1296,8))),ISNUMBER(-LEFT(CH1296,8))),VALUE(LEFT(CH1296,4)),VALUE(LEFT(CH1296,FIND("-",CH1296)-1)))),""))</f>
        <v/>
      </c>
      <c r="CN1296">
        <f>IF(CH1296="","",IFERROR(IF(AND(LEN(CH1296)=9,ISERROR(FIND("-",LEFT(CH1296,8))),ISNUMBER(-LEFT(CH1296,8))),VALUE(MID(CH1296,5,2)),VALUE(MID(CH1296,FIND("-",CH1296)+1,FIND("-",CH1296,FIND("-",CH1296)+1)-FIND("-",CH1296)-1))),""))</f>
        <v/>
      </c>
      <c r="CO1296">
        <f>IF(CH1296="","",IFERROR(IF(AND(LEN(CH1296)=9,ISERROR(FIND("-",LEFT(CH1296,8))),ISNUMBER(-LEFT(CH1296,8))),VALUE(MID(CH1296,7,2)),VALUE(MID(CH1296,FIND("-",CH1296,FIND("-",CH1296)+1)+1,FIND("-",CH1296,FIND("-",CH1296,FIND("-",CH1296)+1)+1)-FIND("-",CH1296,FIND("-",CH1296)+1)-1))),""))</f>
        <v/>
      </c>
    </row>
    <row r="1297">
      <c r="CH1297">
        <f>IF(ISTEXT('월 가계부'!A1297),SUBSTITUTE(SUBSTITUTE(SUBSTITUTE(SUBSTITUTE(SUBSTITUTE(SUBSTITUTE(SUBSTITUTE(SUBSTITUTE(SUBSTITUTE(TRIM('월 가계부'!A1297),"년","-"),"월","-"),"일",""),".","-"),"/","-")," ","-"),"--","-"),"--","-"),"--","-")&amp;"-","")</f>
        <v/>
      </c>
      <c r="CI1297">
        <f>IFERROR(IF('월 가계부'!A1297="","",IF(ISNUMBER('월 가계부'!A1297),IF(AND('월 가계부'!A1297&gt;=19000101,'월 가계부'!A1297&lt;=21001231),IF(AND(MOD(INT('월 가계부'!A1297/100),100)&gt;=1,MOD(INT('월 가계부'!A1297/100),100)&lt;=12,MOD(INT('월 가계부'!A1297),100)&gt;=1,MOD(INT('월 가계부'!A1297),100)&lt;=31),IF(MONTH(DATE(INT('월 가계부'!A1297/10000),MOD(INT('월 가계부'!A1297/100),100),MOD(INT('월 가계부'!A1297),100)))=MOD(INT('월 가계부'!A1297/100),100),DATE(INT('월 가계부'!A1297/10000),MOD(INT('월 가계부'!A1297/100),100),MOD(INT('월 가계부'!A1297),100)),""),""),IF(AND('월 가계부'!A1297&gt;=36526,'월 가계부'!A1297&lt;73051),INT('월 가계부'!A1297),"")),IF(OR(CM1297="",CN1297="",CO1297=""),"",IF(AND(CM1297&gt;=2000,CM1297&lt;=2099,CN1297&gt;=1,CN1297&lt;=12,CO1297&gt;=1,CO1297&lt;=31),IF(MONTH(DATE(CM1297,CN1297,CO1297))=CN1297,DATE(CM1297,CN1297,CO1297),""),"")))),"")</f>
        <v/>
      </c>
      <c r="CJ1297">
        <f>IFERROR(IF('월 가계부'!C1297="","",IF(ISNUMBER('월 가계부'!C1297),'월 가계부'!C1297,VALUE(SUBSTITUTE(SUBSTITUTE(SUBSTITUTE(SUBSTITUTE(TRIM('월 가계부'!C1297),",",""),"원","")," ",""),"−","-")))),"")</f>
        <v/>
      </c>
      <c r="CK1297">
        <f>IF(ISNUMBER(CI1297),IF(CI1297&lt;$B$13,CI1297,""),"")</f>
        <v/>
      </c>
      <c r="CM1297">
        <f>IF(CH1297="","",IFERROR(IF(IF(AND(LEN(CH1297)=9,ISERROR(FIND("-",LEFT(CH1297,8))),ISNUMBER(-LEFT(CH1297,8))),VALUE(LEFT(CH1297,4)),VALUE(LEFT(CH1297,FIND("-",CH1297)-1)))&lt;100,IF(AND(LEN(CH1297)=9,ISERROR(FIND("-",LEFT(CH1297,8))),ISNUMBER(-LEFT(CH1297,8))),VALUE(LEFT(CH1297,4)),VALUE(LEFT(CH1297,FIND("-",CH1297)-1)))+2000,IF(AND(LEN(CH1297)=9,ISERROR(FIND("-",LEFT(CH1297,8))),ISNUMBER(-LEFT(CH1297,8))),VALUE(LEFT(CH1297,4)),VALUE(LEFT(CH1297,FIND("-",CH1297)-1)))),""))</f>
        <v/>
      </c>
      <c r="CN1297">
        <f>IF(CH1297="","",IFERROR(IF(AND(LEN(CH1297)=9,ISERROR(FIND("-",LEFT(CH1297,8))),ISNUMBER(-LEFT(CH1297,8))),VALUE(MID(CH1297,5,2)),VALUE(MID(CH1297,FIND("-",CH1297)+1,FIND("-",CH1297,FIND("-",CH1297)+1)-FIND("-",CH1297)-1))),""))</f>
        <v/>
      </c>
      <c r="CO1297">
        <f>IF(CH1297="","",IFERROR(IF(AND(LEN(CH1297)=9,ISERROR(FIND("-",LEFT(CH1297,8))),ISNUMBER(-LEFT(CH1297,8))),VALUE(MID(CH1297,7,2)),VALUE(MID(CH1297,FIND("-",CH1297,FIND("-",CH1297)+1)+1,FIND("-",CH1297,FIND("-",CH1297,FIND("-",CH1297)+1)+1)-FIND("-",CH1297,FIND("-",CH1297)+1)-1))),""))</f>
        <v/>
      </c>
    </row>
    <row r="1298">
      <c r="CH1298">
        <f>IF(ISTEXT('월 가계부'!A1298),SUBSTITUTE(SUBSTITUTE(SUBSTITUTE(SUBSTITUTE(SUBSTITUTE(SUBSTITUTE(SUBSTITUTE(SUBSTITUTE(SUBSTITUTE(TRIM('월 가계부'!A1298),"년","-"),"월","-"),"일",""),".","-"),"/","-")," ","-"),"--","-"),"--","-"),"--","-")&amp;"-","")</f>
        <v/>
      </c>
      <c r="CI1298">
        <f>IFERROR(IF('월 가계부'!A1298="","",IF(ISNUMBER('월 가계부'!A1298),IF(AND('월 가계부'!A1298&gt;=19000101,'월 가계부'!A1298&lt;=21001231),IF(AND(MOD(INT('월 가계부'!A1298/100),100)&gt;=1,MOD(INT('월 가계부'!A1298/100),100)&lt;=12,MOD(INT('월 가계부'!A1298),100)&gt;=1,MOD(INT('월 가계부'!A1298),100)&lt;=31),IF(MONTH(DATE(INT('월 가계부'!A1298/10000),MOD(INT('월 가계부'!A1298/100),100),MOD(INT('월 가계부'!A1298),100)))=MOD(INT('월 가계부'!A1298/100),100),DATE(INT('월 가계부'!A1298/10000),MOD(INT('월 가계부'!A1298/100),100),MOD(INT('월 가계부'!A1298),100)),""),""),IF(AND('월 가계부'!A1298&gt;=36526,'월 가계부'!A1298&lt;73051),INT('월 가계부'!A1298),"")),IF(OR(CM1298="",CN1298="",CO1298=""),"",IF(AND(CM1298&gt;=2000,CM1298&lt;=2099,CN1298&gt;=1,CN1298&lt;=12,CO1298&gt;=1,CO1298&lt;=31),IF(MONTH(DATE(CM1298,CN1298,CO1298))=CN1298,DATE(CM1298,CN1298,CO1298),""),"")))),"")</f>
        <v/>
      </c>
      <c r="CJ1298">
        <f>IFERROR(IF('월 가계부'!C1298="","",IF(ISNUMBER('월 가계부'!C1298),'월 가계부'!C1298,VALUE(SUBSTITUTE(SUBSTITUTE(SUBSTITUTE(SUBSTITUTE(TRIM('월 가계부'!C1298),",",""),"원","")," ",""),"−","-")))),"")</f>
        <v/>
      </c>
      <c r="CK1298">
        <f>IF(ISNUMBER(CI1298),IF(CI1298&lt;$B$13,CI1298,""),"")</f>
        <v/>
      </c>
      <c r="CM1298">
        <f>IF(CH1298="","",IFERROR(IF(IF(AND(LEN(CH1298)=9,ISERROR(FIND("-",LEFT(CH1298,8))),ISNUMBER(-LEFT(CH1298,8))),VALUE(LEFT(CH1298,4)),VALUE(LEFT(CH1298,FIND("-",CH1298)-1)))&lt;100,IF(AND(LEN(CH1298)=9,ISERROR(FIND("-",LEFT(CH1298,8))),ISNUMBER(-LEFT(CH1298,8))),VALUE(LEFT(CH1298,4)),VALUE(LEFT(CH1298,FIND("-",CH1298)-1)))+2000,IF(AND(LEN(CH1298)=9,ISERROR(FIND("-",LEFT(CH1298,8))),ISNUMBER(-LEFT(CH1298,8))),VALUE(LEFT(CH1298,4)),VALUE(LEFT(CH1298,FIND("-",CH1298)-1)))),""))</f>
        <v/>
      </c>
      <c r="CN1298">
        <f>IF(CH1298="","",IFERROR(IF(AND(LEN(CH1298)=9,ISERROR(FIND("-",LEFT(CH1298,8))),ISNUMBER(-LEFT(CH1298,8))),VALUE(MID(CH1298,5,2)),VALUE(MID(CH1298,FIND("-",CH1298)+1,FIND("-",CH1298,FIND("-",CH1298)+1)-FIND("-",CH1298)-1))),""))</f>
        <v/>
      </c>
      <c r="CO1298">
        <f>IF(CH1298="","",IFERROR(IF(AND(LEN(CH1298)=9,ISERROR(FIND("-",LEFT(CH1298,8))),ISNUMBER(-LEFT(CH1298,8))),VALUE(MID(CH1298,7,2)),VALUE(MID(CH1298,FIND("-",CH1298,FIND("-",CH1298)+1)+1,FIND("-",CH1298,FIND("-",CH1298,FIND("-",CH1298)+1)+1)-FIND("-",CH1298,FIND("-",CH1298)+1)-1))),""))</f>
        <v/>
      </c>
    </row>
    <row r="1299">
      <c r="CH1299">
        <f>IF(ISTEXT('월 가계부'!A1299),SUBSTITUTE(SUBSTITUTE(SUBSTITUTE(SUBSTITUTE(SUBSTITUTE(SUBSTITUTE(SUBSTITUTE(SUBSTITUTE(SUBSTITUTE(TRIM('월 가계부'!A1299),"년","-"),"월","-"),"일",""),".","-"),"/","-")," ","-"),"--","-"),"--","-"),"--","-")&amp;"-","")</f>
        <v/>
      </c>
      <c r="CI1299">
        <f>IFERROR(IF('월 가계부'!A1299="","",IF(ISNUMBER('월 가계부'!A1299),IF(AND('월 가계부'!A1299&gt;=19000101,'월 가계부'!A1299&lt;=21001231),IF(AND(MOD(INT('월 가계부'!A1299/100),100)&gt;=1,MOD(INT('월 가계부'!A1299/100),100)&lt;=12,MOD(INT('월 가계부'!A1299),100)&gt;=1,MOD(INT('월 가계부'!A1299),100)&lt;=31),IF(MONTH(DATE(INT('월 가계부'!A1299/10000),MOD(INT('월 가계부'!A1299/100),100),MOD(INT('월 가계부'!A1299),100)))=MOD(INT('월 가계부'!A1299/100),100),DATE(INT('월 가계부'!A1299/10000),MOD(INT('월 가계부'!A1299/100),100),MOD(INT('월 가계부'!A1299),100)),""),""),IF(AND('월 가계부'!A1299&gt;=36526,'월 가계부'!A1299&lt;73051),INT('월 가계부'!A1299),"")),IF(OR(CM1299="",CN1299="",CO1299=""),"",IF(AND(CM1299&gt;=2000,CM1299&lt;=2099,CN1299&gt;=1,CN1299&lt;=12,CO1299&gt;=1,CO1299&lt;=31),IF(MONTH(DATE(CM1299,CN1299,CO1299))=CN1299,DATE(CM1299,CN1299,CO1299),""),"")))),"")</f>
        <v/>
      </c>
      <c r="CJ1299">
        <f>IFERROR(IF('월 가계부'!C1299="","",IF(ISNUMBER('월 가계부'!C1299),'월 가계부'!C1299,VALUE(SUBSTITUTE(SUBSTITUTE(SUBSTITUTE(SUBSTITUTE(TRIM('월 가계부'!C1299),",",""),"원","")," ",""),"−","-")))),"")</f>
        <v/>
      </c>
      <c r="CK1299">
        <f>IF(ISNUMBER(CI1299),IF(CI1299&lt;$B$13,CI1299,""),"")</f>
        <v/>
      </c>
      <c r="CM1299">
        <f>IF(CH1299="","",IFERROR(IF(IF(AND(LEN(CH1299)=9,ISERROR(FIND("-",LEFT(CH1299,8))),ISNUMBER(-LEFT(CH1299,8))),VALUE(LEFT(CH1299,4)),VALUE(LEFT(CH1299,FIND("-",CH1299)-1)))&lt;100,IF(AND(LEN(CH1299)=9,ISERROR(FIND("-",LEFT(CH1299,8))),ISNUMBER(-LEFT(CH1299,8))),VALUE(LEFT(CH1299,4)),VALUE(LEFT(CH1299,FIND("-",CH1299)-1)))+2000,IF(AND(LEN(CH1299)=9,ISERROR(FIND("-",LEFT(CH1299,8))),ISNUMBER(-LEFT(CH1299,8))),VALUE(LEFT(CH1299,4)),VALUE(LEFT(CH1299,FIND("-",CH1299)-1)))),""))</f>
        <v/>
      </c>
      <c r="CN1299">
        <f>IF(CH1299="","",IFERROR(IF(AND(LEN(CH1299)=9,ISERROR(FIND("-",LEFT(CH1299,8))),ISNUMBER(-LEFT(CH1299,8))),VALUE(MID(CH1299,5,2)),VALUE(MID(CH1299,FIND("-",CH1299)+1,FIND("-",CH1299,FIND("-",CH1299)+1)-FIND("-",CH1299)-1))),""))</f>
        <v/>
      </c>
      <c r="CO1299">
        <f>IF(CH1299="","",IFERROR(IF(AND(LEN(CH1299)=9,ISERROR(FIND("-",LEFT(CH1299,8))),ISNUMBER(-LEFT(CH1299,8))),VALUE(MID(CH1299,7,2)),VALUE(MID(CH1299,FIND("-",CH1299,FIND("-",CH1299)+1)+1,FIND("-",CH1299,FIND("-",CH1299,FIND("-",CH1299)+1)+1)-FIND("-",CH1299,FIND("-",CH1299)+1)-1))),""))</f>
        <v/>
      </c>
    </row>
    <row r="1300">
      <c r="CH1300">
        <f>IF(ISTEXT('월 가계부'!A1300),SUBSTITUTE(SUBSTITUTE(SUBSTITUTE(SUBSTITUTE(SUBSTITUTE(SUBSTITUTE(SUBSTITUTE(SUBSTITUTE(SUBSTITUTE(TRIM('월 가계부'!A1300),"년","-"),"월","-"),"일",""),".","-"),"/","-")," ","-"),"--","-"),"--","-"),"--","-")&amp;"-","")</f>
        <v/>
      </c>
      <c r="CI1300">
        <f>IFERROR(IF('월 가계부'!A1300="","",IF(ISNUMBER('월 가계부'!A1300),IF(AND('월 가계부'!A1300&gt;=19000101,'월 가계부'!A1300&lt;=21001231),IF(AND(MOD(INT('월 가계부'!A1300/100),100)&gt;=1,MOD(INT('월 가계부'!A1300/100),100)&lt;=12,MOD(INT('월 가계부'!A1300),100)&gt;=1,MOD(INT('월 가계부'!A1300),100)&lt;=31),IF(MONTH(DATE(INT('월 가계부'!A1300/10000),MOD(INT('월 가계부'!A1300/100),100),MOD(INT('월 가계부'!A1300),100)))=MOD(INT('월 가계부'!A1300/100),100),DATE(INT('월 가계부'!A1300/10000),MOD(INT('월 가계부'!A1300/100),100),MOD(INT('월 가계부'!A1300),100)),""),""),IF(AND('월 가계부'!A1300&gt;=36526,'월 가계부'!A1300&lt;73051),INT('월 가계부'!A1300),"")),IF(OR(CM1300="",CN1300="",CO1300=""),"",IF(AND(CM1300&gt;=2000,CM1300&lt;=2099,CN1300&gt;=1,CN1300&lt;=12,CO1300&gt;=1,CO1300&lt;=31),IF(MONTH(DATE(CM1300,CN1300,CO1300))=CN1300,DATE(CM1300,CN1300,CO1300),""),"")))),"")</f>
        <v/>
      </c>
      <c r="CJ1300">
        <f>IFERROR(IF('월 가계부'!C1300="","",IF(ISNUMBER('월 가계부'!C1300),'월 가계부'!C1300,VALUE(SUBSTITUTE(SUBSTITUTE(SUBSTITUTE(SUBSTITUTE(TRIM('월 가계부'!C1300),",",""),"원","")," ",""),"−","-")))),"")</f>
        <v/>
      </c>
      <c r="CK1300">
        <f>IF(ISNUMBER(CI1300),IF(CI1300&lt;$B$13,CI1300,""),"")</f>
        <v/>
      </c>
      <c r="CM1300">
        <f>IF(CH1300="","",IFERROR(IF(IF(AND(LEN(CH1300)=9,ISERROR(FIND("-",LEFT(CH1300,8))),ISNUMBER(-LEFT(CH1300,8))),VALUE(LEFT(CH1300,4)),VALUE(LEFT(CH1300,FIND("-",CH1300)-1)))&lt;100,IF(AND(LEN(CH1300)=9,ISERROR(FIND("-",LEFT(CH1300,8))),ISNUMBER(-LEFT(CH1300,8))),VALUE(LEFT(CH1300,4)),VALUE(LEFT(CH1300,FIND("-",CH1300)-1)))+2000,IF(AND(LEN(CH1300)=9,ISERROR(FIND("-",LEFT(CH1300,8))),ISNUMBER(-LEFT(CH1300,8))),VALUE(LEFT(CH1300,4)),VALUE(LEFT(CH1300,FIND("-",CH1300)-1)))),""))</f>
        <v/>
      </c>
      <c r="CN1300">
        <f>IF(CH1300="","",IFERROR(IF(AND(LEN(CH1300)=9,ISERROR(FIND("-",LEFT(CH1300,8))),ISNUMBER(-LEFT(CH1300,8))),VALUE(MID(CH1300,5,2)),VALUE(MID(CH1300,FIND("-",CH1300)+1,FIND("-",CH1300,FIND("-",CH1300)+1)-FIND("-",CH1300)-1))),""))</f>
        <v/>
      </c>
      <c r="CO1300">
        <f>IF(CH1300="","",IFERROR(IF(AND(LEN(CH1300)=9,ISERROR(FIND("-",LEFT(CH1300,8))),ISNUMBER(-LEFT(CH1300,8))),VALUE(MID(CH1300,7,2)),VALUE(MID(CH1300,FIND("-",CH1300,FIND("-",CH1300)+1)+1,FIND("-",CH1300,FIND("-",CH1300,FIND("-",CH1300)+1)+1)-FIND("-",CH1300,FIND("-",CH1300)+1)-1))),""))</f>
        <v/>
      </c>
    </row>
    <row r="1301">
      <c r="CH1301">
        <f>IF(ISTEXT('월 가계부'!A1301),SUBSTITUTE(SUBSTITUTE(SUBSTITUTE(SUBSTITUTE(SUBSTITUTE(SUBSTITUTE(SUBSTITUTE(SUBSTITUTE(SUBSTITUTE(TRIM('월 가계부'!A1301),"년","-"),"월","-"),"일",""),".","-"),"/","-")," ","-"),"--","-"),"--","-"),"--","-")&amp;"-","")</f>
        <v/>
      </c>
      <c r="CI1301">
        <f>IFERROR(IF('월 가계부'!A1301="","",IF(ISNUMBER('월 가계부'!A1301),IF(AND('월 가계부'!A1301&gt;=19000101,'월 가계부'!A1301&lt;=21001231),IF(AND(MOD(INT('월 가계부'!A1301/100),100)&gt;=1,MOD(INT('월 가계부'!A1301/100),100)&lt;=12,MOD(INT('월 가계부'!A1301),100)&gt;=1,MOD(INT('월 가계부'!A1301),100)&lt;=31),IF(MONTH(DATE(INT('월 가계부'!A1301/10000),MOD(INT('월 가계부'!A1301/100),100),MOD(INT('월 가계부'!A1301),100)))=MOD(INT('월 가계부'!A1301/100),100),DATE(INT('월 가계부'!A1301/10000),MOD(INT('월 가계부'!A1301/100),100),MOD(INT('월 가계부'!A1301),100)),""),""),IF(AND('월 가계부'!A1301&gt;=36526,'월 가계부'!A1301&lt;73051),INT('월 가계부'!A1301),"")),IF(OR(CM1301="",CN1301="",CO1301=""),"",IF(AND(CM1301&gt;=2000,CM1301&lt;=2099,CN1301&gt;=1,CN1301&lt;=12,CO1301&gt;=1,CO1301&lt;=31),IF(MONTH(DATE(CM1301,CN1301,CO1301))=CN1301,DATE(CM1301,CN1301,CO1301),""),"")))),"")</f>
        <v/>
      </c>
      <c r="CJ1301">
        <f>IFERROR(IF('월 가계부'!C1301="","",IF(ISNUMBER('월 가계부'!C1301),'월 가계부'!C1301,VALUE(SUBSTITUTE(SUBSTITUTE(SUBSTITUTE(SUBSTITUTE(TRIM('월 가계부'!C1301),",",""),"원","")," ",""),"−","-")))),"")</f>
        <v/>
      </c>
      <c r="CK1301">
        <f>IF(ISNUMBER(CI1301),IF(CI1301&lt;$B$13,CI1301,""),"")</f>
        <v/>
      </c>
      <c r="CM1301">
        <f>IF(CH1301="","",IFERROR(IF(IF(AND(LEN(CH1301)=9,ISERROR(FIND("-",LEFT(CH1301,8))),ISNUMBER(-LEFT(CH1301,8))),VALUE(LEFT(CH1301,4)),VALUE(LEFT(CH1301,FIND("-",CH1301)-1)))&lt;100,IF(AND(LEN(CH1301)=9,ISERROR(FIND("-",LEFT(CH1301,8))),ISNUMBER(-LEFT(CH1301,8))),VALUE(LEFT(CH1301,4)),VALUE(LEFT(CH1301,FIND("-",CH1301)-1)))+2000,IF(AND(LEN(CH1301)=9,ISERROR(FIND("-",LEFT(CH1301,8))),ISNUMBER(-LEFT(CH1301,8))),VALUE(LEFT(CH1301,4)),VALUE(LEFT(CH1301,FIND("-",CH1301)-1)))),""))</f>
        <v/>
      </c>
      <c r="CN1301">
        <f>IF(CH1301="","",IFERROR(IF(AND(LEN(CH1301)=9,ISERROR(FIND("-",LEFT(CH1301,8))),ISNUMBER(-LEFT(CH1301,8))),VALUE(MID(CH1301,5,2)),VALUE(MID(CH1301,FIND("-",CH1301)+1,FIND("-",CH1301,FIND("-",CH1301)+1)-FIND("-",CH1301)-1))),""))</f>
        <v/>
      </c>
      <c r="CO1301">
        <f>IF(CH1301="","",IFERROR(IF(AND(LEN(CH1301)=9,ISERROR(FIND("-",LEFT(CH1301,8))),ISNUMBER(-LEFT(CH1301,8))),VALUE(MID(CH1301,7,2)),VALUE(MID(CH1301,FIND("-",CH1301,FIND("-",CH1301)+1)+1,FIND("-",CH1301,FIND("-",CH1301,FIND("-",CH1301)+1)+1)-FIND("-",CH1301,FIND("-",CH1301)+1)-1))),""))</f>
        <v/>
      </c>
    </row>
    <row r="1302">
      <c r="CH1302">
        <f>IF(ISTEXT('월 가계부'!A1302),SUBSTITUTE(SUBSTITUTE(SUBSTITUTE(SUBSTITUTE(SUBSTITUTE(SUBSTITUTE(SUBSTITUTE(SUBSTITUTE(SUBSTITUTE(TRIM('월 가계부'!A1302),"년","-"),"월","-"),"일",""),".","-"),"/","-")," ","-"),"--","-"),"--","-"),"--","-")&amp;"-","")</f>
        <v/>
      </c>
      <c r="CI1302">
        <f>IFERROR(IF('월 가계부'!A1302="","",IF(ISNUMBER('월 가계부'!A1302),IF(AND('월 가계부'!A1302&gt;=19000101,'월 가계부'!A1302&lt;=21001231),IF(AND(MOD(INT('월 가계부'!A1302/100),100)&gt;=1,MOD(INT('월 가계부'!A1302/100),100)&lt;=12,MOD(INT('월 가계부'!A1302),100)&gt;=1,MOD(INT('월 가계부'!A1302),100)&lt;=31),IF(MONTH(DATE(INT('월 가계부'!A1302/10000),MOD(INT('월 가계부'!A1302/100),100),MOD(INT('월 가계부'!A1302),100)))=MOD(INT('월 가계부'!A1302/100),100),DATE(INT('월 가계부'!A1302/10000),MOD(INT('월 가계부'!A1302/100),100),MOD(INT('월 가계부'!A1302),100)),""),""),IF(AND('월 가계부'!A1302&gt;=36526,'월 가계부'!A1302&lt;73051),INT('월 가계부'!A1302),"")),IF(OR(CM1302="",CN1302="",CO1302=""),"",IF(AND(CM1302&gt;=2000,CM1302&lt;=2099,CN1302&gt;=1,CN1302&lt;=12,CO1302&gt;=1,CO1302&lt;=31),IF(MONTH(DATE(CM1302,CN1302,CO1302))=CN1302,DATE(CM1302,CN1302,CO1302),""),"")))),"")</f>
        <v/>
      </c>
      <c r="CJ1302">
        <f>IFERROR(IF('월 가계부'!C1302="","",IF(ISNUMBER('월 가계부'!C1302),'월 가계부'!C1302,VALUE(SUBSTITUTE(SUBSTITUTE(SUBSTITUTE(SUBSTITUTE(TRIM('월 가계부'!C1302),",",""),"원","")," ",""),"−","-")))),"")</f>
        <v/>
      </c>
      <c r="CK1302">
        <f>IF(ISNUMBER(CI1302),IF(CI1302&lt;$B$13,CI1302,""),"")</f>
        <v/>
      </c>
      <c r="CM1302">
        <f>IF(CH1302="","",IFERROR(IF(IF(AND(LEN(CH1302)=9,ISERROR(FIND("-",LEFT(CH1302,8))),ISNUMBER(-LEFT(CH1302,8))),VALUE(LEFT(CH1302,4)),VALUE(LEFT(CH1302,FIND("-",CH1302)-1)))&lt;100,IF(AND(LEN(CH1302)=9,ISERROR(FIND("-",LEFT(CH1302,8))),ISNUMBER(-LEFT(CH1302,8))),VALUE(LEFT(CH1302,4)),VALUE(LEFT(CH1302,FIND("-",CH1302)-1)))+2000,IF(AND(LEN(CH1302)=9,ISERROR(FIND("-",LEFT(CH1302,8))),ISNUMBER(-LEFT(CH1302,8))),VALUE(LEFT(CH1302,4)),VALUE(LEFT(CH1302,FIND("-",CH1302)-1)))),""))</f>
        <v/>
      </c>
      <c r="CN1302">
        <f>IF(CH1302="","",IFERROR(IF(AND(LEN(CH1302)=9,ISERROR(FIND("-",LEFT(CH1302,8))),ISNUMBER(-LEFT(CH1302,8))),VALUE(MID(CH1302,5,2)),VALUE(MID(CH1302,FIND("-",CH1302)+1,FIND("-",CH1302,FIND("-",CH1302)+1)-FIND("-",CH1302)-1))),""))</f>
        <v/>
      </c>
      <c r="CO1302">
        <f>IF(CH1302="","",IFERROR(IF(AND(LEN(CH1302)=9,ISERROR(FIND("-",LEFT(CH1302,8))),ISNUMBER(-LEFT(CH1302,8))),VALUE(MID(CH1302,7,2)),VALUE(MID(CH1302,FIND("-",CH1302,FIND("-",CH1302)+1)+1,FIND("-",CH1302,FIND("-",CH1302,FIND("-",CH1302)+1)+1)-FIND("-",CH1302,FIND("-",CH1302)+1)-1))),""))</f>
        <v/>
      </c>
    </row>
    <row r="1303">
      <c r="CH1303">
        <f>IF(ISTEXT('월 가계부'!A1303),SUBSTITUTE(SUBSTITUTE(SUBSTITUTE(SUBSTITUTE(SUBSTITUTE(SUBSTITUTE(SUBSTITUTE(SUBSTITUTE(SUBSTITUTE(TRIM('월 가계부'!A1303),"년","-"),"월","-"),"일",""),".","-"),"/","-")," ","-"),"--","-"),"--","-"),"--","-")&amp;"-","")</f>
        <v/>
      </c>
      <c r="CI1303">
        <f>IFERROR(IF('월 가계부'!A1303="","",IF(ISNUMBER('월 가계부'!A1303),IF(AND('월 가계부'!A1303&gt;=19000101,'월 가계부'!A1303&lt;=21001231),IF(AND(MOD(INT('월 가계부'!A1303/100),100)&gt;=1,MOD(INT('월 가계부'!A1303/100),100)&lt;=12,MOD(INT('월 가계부'!A1303),100)&gt;=1,MOD(INT('월 가계부'!A1303),100)&lt;=31),IF(MONTH(DATE(INT('월 가계부'!A1303/10000),MOD(INT('월 가계부'!A1303/100),100),MOD(INT('월 가계부'!A1303),100)))=MOD(INT('월 가계부'!A1303/100),100),DATE(INT('월 가계부'!A1303/10000),MOD(INT('월 가계부'!A1303/100),100),MOD(INT('월 가계부'!A1303),100)),""),""),IF(AND('월 가계부'!A1303&gt;=36526,'월 가계부'!A1303&lt;73051),INT('월 가계부'!A1303),"")),IF(OR(CM1303="",CN1303="",CO1303=""),"",IF(AND(CM1303&gt;=2000,CM1303&lt;=2099,CN1303&gt;=1,CN1303&lt;=12,CO1303&gt;=1,CO1303&lt;=31),IF(MONTH(DATE(CM1303,CN1303,CO1303))=CN1303,DATE(CM1303,CN1303,CO1303),""),"")))),"")</f>
        <v/>
      </c>
      <c r="CJ1303">
        <f>IFERROR(IF('월 가계부'!C1303="","",IF(ISNUMBER('월 가계부'!C1303),'월 가계부'!C1303,VALUE(SUBSTITUTE(SUBSTITUTE(SUBSTITUTE(SUBSTITUTE(TRIM('월 가계부'!C1303),",",""),"원","")," ",""),"−","-")))),"")</f>
        <v/>
      </c>
      <c r="CK1303">
        <f>IF(ISNUMBER(CI1303),IF(CI1303&lt;$B$13,CI1303,""),"")</f>
        <v/>
      </c>
      <c r="CM1303">
        <f>IF(CH1303="","",IFERROR(IF(IF(AND(LEN(CH1303)=9,ISERROR(FIND("-",LEFT(CH1303,8))),ISNUMBER(-LEFT(CH1303,8))),VALUE(LEFT(CH1303,4)),VALUE(LEFT(CH1303,FIND("-",CH1303)-1)))&lt;100,IF(AND(LEN(CH1303)=9,ISERROR(FIND("-",LEFT(CH1303,8))),ISNUMBER(-LEFT(CH1303,8))),VALUE(LEFT(CH1303,4)),VALUE(LEFT(CH1303,FIND("-",CH1303)-1)))+2000,IF(AND(LEN(CH1303)=9,ISERROR(FIND("-",LEFT(CH1303,8))),ISNUMBER(-LEFT(CH1303,8))),VALUE(LEFT(CH1303,4)),VALUE(LEFT(CH1303,FIND("-",CH1303)-1)))),""))</f>
        <v/>
      </c>
      <c r="CN1303">
        <f>IF(CH1303="","",IFERROR(IF(AND(LEN(CH1303)=9,ISERROR(FIND("-",LEFT(CH1303,8))),ISNUMBER(-LEFT(CH1303,8))),VALUE(MID(CH1303,5,2)),VALUE(MID(CH1303,FIND("-",CH1303)+1,FIND("-",CH1303,FIND("-",CH1303)+1)-FIND("-",CH1303)-1))),""))</f>
        <v/>
      </c>
      <c r="CO1303">
        <f>IF(CH1303="","",IFERROR(IF(AND(LEN(CH1303)=9,ISERROR(FIND("-",LEFT(CH1303,8))),ISNUMBER(-LEFT(CH1303,8))),VALUE(MID(CH1303,7,2)),VALUE(MID(CH1303,FIND("-",CH1303,FIND("-",CH1303)+1)+1,FIND("-",CH1303,FIND("-",CH1303,FIND("-",CH1303)+1)+1)-FIND("-",CH1303,FIND("-",CH1303)+1)-1))),""))</f>
        <v/>
      </c>
    </row>
    <row r="1304">
      <c r="CH1304">
        <f>IF(ISTEXT('월 가계부'!A1304),SUBSTITUTE(SUBSTITUTE(SUBSTITUTE(SUBSTITUTE(SUBSTITUTE(SUBSTITUTE(SUBSTITUTE(SUBSTITUTE(SUBSTITUTE(TRIM('월 가계부'!A1304),"년","-"),"월","-"),"일",""),".","-"),"/","-")," ","-"),"--","-"),"--","-"),"--","-")&amp;"-","")</f>
        <v/>
      </c>
      <c r="CI1304">
        <f>IFERROR(IF('월 가계부'!A1304="","",IF(ISNUMBER('월 가계부'!A1304),IF(AND('월 가계부'!A1304&gt;=19000101,'월 가계부'!A1304&lt;=21001231),IF(AND(MOD(INT('월 가계부'!A1304/100),100)&gt;=1,MOD(INT('월 가계부'!A1304/100),100)&lt;=12,MOD(INT('월 가계부'!A1304),100)&gt;=1,MOD(INT('월 가계부'!A1304),100)&lt;=31),IF(MONTH(DATE(INT('월 가계부'!A1304/10000),MOD(INT('월 가계부'!A1304/100),100),MOD(INT('월 가계부'!A1304),100)))=MOD(INT('월 가계부'!A1304/100),100),DATE(INT('월 가계부'!A1304/10000),MOD(INT('월 가계부'!A1304/100),100),MOD(INT('월 가계부'!A1304),100)),""),""),IF(AND('월 가계부'!A1304&gt;=36526,'월 가계부'!A1304&lt;73051),INT('월 가계부'!A1304),"")),IF(OR(CM1304="",CN1304="",CO1304=""),"",IF(AND(CM1304&gt;=2000,CM1304&lt;=2099,CN1304&gt;=1,CN1304&lt;=12,CO1304&gt;=1,CO1304&lt;=31),IF(MONTH(DATE(CM1304,CN1304,CO1304))=CN1304,DATE(CM1304,CN1304,CO1304),""),"")))),"")</f>
        <v/>
      </c>
      <c r="CJ1304">
        <f>IFERROR(IF('월 가계부'!C1304="","",IF(ISNUMBER('월 가계부'!C1304),'월 가계부'!C1304,VALUE(SUBSTITUTE(SUBSTITUTE(SUBSTITUTE(SUBSTITUTE(TRIM('월 가계부'!C1304),",",""),"원","")," ",""),"−","-")))),"")</f>
        <v/>
      </c>
      <c r="CK1304">
        <f>IF(ISNUMBER(CI1304),IF(CI1304&lt;$B$13,CI1304,""),"")</f>
        <v/>
      </c>
      <c r="CM1304">
        <f>IF(CH1304="","",IFERROR(IF(IF(AND(LEN(CH1304)=9,ISERROR(FIND("-",LEFT(CH1304,8))),ISNUMBER(-LEFT(CH1304,8))),VALUE(LEFT(CH1304,4)),VALUE(LEFT(CH1304,FIND("-",CH1304)-1)))&lt;100,IF(AND(LEN(CH1304)=9,ISERROR(FIND("-",LEFT(CH1304,8))),ISNUMBER(-LEFT(CH1304,8))),VALUE(LEFT(CH1304,4)),VALUE(LEFT(CH1304,FIND("-",CH1304)-1)))+2000,IF(AND(LEN(CH1304)=9,ISERROR(FIND("-",LEFT(CH1304,8))),ISNUMBER(-LEFT(CH1304,8))),VALUE(LEFT(CH1304,4)),VALUE(LEFT(CH1304,FIND("-",CH1304)-1)))),""))</f>
        <v/>
      </c>
      <c r="CN1304">
        <f>IF(CH1304="","",IFERROR(IF(AND(LEN(CH1304)=9,ISERROR(FIND("-",LEFT(CH1304,8))),ISNUMBER(-LEFT(CH1304,8))),VALUE(MID(CH1304,5,2)),VALUE(MID(CH1304,FIND("-",CH1304)+1,FIND("-",CH1304,FIND("-",CH1304)+1)-FIND("-",CH1304)-1))),""))</f>
        <v/>
      </c>
      <c r="CO1304">
        <f>IF(CH1304="","",IFERROR(IF(AND(LEN(CH1304)=9,ISERROR(FIND("-",LEFT(CH1304,8))),ISNUMBER(-LEFT(CH1304,8))),VALUE(MID(CH1304,7,2)),VALUE(MID(CH1304,FIND("-",CH1304,FIND("-",CH1304)+1)+1,FIND("-",CH1304,FIND("-",CH1304,FIND("-",CH1304)+1)+1)-FIND("-",CH1304,FIND("-",CH1304)+1)-1))),""))</f>
        <v/>
      </c>
    </row>
    <row r="1305">
      <c r="CH1305">
        <f>IF(ISTEXT('월 가계부'!A1305),SUBSTITUTE(SUBSTITUTE(SUBSTITUTE(SUBSTITUTE(SUBSTITUTE(SUBSTITUTE(SUBSTITUTE(SUBSTITUTE(SUBSTITUTE(TRIM('월 가계부'!A1305),"년","-"),"월","-"),"일",""),".","-"),"/","-")," ","-"),"--","-"),"--","-"),"--","-")&amp;"-","")</f>
        <v/>
      </c>
      <c r="CI1305">
        <f>IFERROR(IF('월 가계부'!A1305="","",IF(ISNUMBER('월 가계부'!A1305),IF(AND('월 가계부'!A1305&gt;=19000101,'월 가계부'!A1305&lt;=21001231),IF(AND(MOD(INT('월 가계부'!A1305/100),100)&gt;=1,MOD(INT('월 가계부'!A1305/100),100)&lt;=12,MOD(INT('월 가계부'!A1305),100)&gt;=1,MOD(INT('월 가계부'!A1305),100)&lt;=31),IF(MONTH(DATE(INT('월 가계부'!A1305/10000),MOD(INT('월 가계부'!A1305/100),100),MOD(INT('월 가계부'!A1305),100)))=MOD(INT('월 가계부'!A1305/100),100),DATE(INT('월 가계부'!A1305/10000),MOD(INT('월 가계부'!A1305/100),100),MOD(INT('월 가계부'!A1305),100)),""),""),IF(AND('월 가계부'!A1305&gt;=36526,'월 가계부'!A1305&lt;73051),INT('월 가계부'!A1305),"")),IF(OR(CM1305="",CN1305="",CO1305=""),"",IF(AND(CM1305&gt;=2000,CM1305&lt;=2099,CN1305&gt;=1,CN1305&lt;=12,CO1305&gt;=1,CO1305&lt;=31),IF(MONTH(DATE(CM1305,CN1305,CO1305))=CN1305,DATE(CM1305,CN1305,CO1305),""),"")))),"")</f>
        <v/>
      </c>
      <c r="CJ1305">
        <f>IFERROR(IF('월 가계부'!C1305="","",IF(ISNUMBER('월 가계부'!C1305),'월 가계부'!C1305,VALUE(SUBSTITUTE(SUBSTITUTE(SUBSTITUTE(SUBSTITUTE(TRIM('월 가계부'!C1305),",",""),"원","")," ",""),"−","-")))),"")</f>
        <v/>
      </c>
      <c r="CK1305">
        <f>IF(ISNUMBER(CI1305),IF(CI1305&lt;$B$13,CI1305,""),"")</f>
        <v/>
      </c>
      <c r="CM1305">
        <f>IF(CH1305="","",IFERROR(IF(IF(AND(LEN(CH1305)=9,ISERROR(FIND("-",LEFT(CH1305,8))),ISNUMBER(-LEFT(CH1305,8))),VALUE(LEFT(CH1305,4)),VALUE(LEFT(CH1305,FIND("-",CH1305)-1)))&lt;100,IF(AND(LEN(CH1305)=9,ISERROR(FIND("-",LEFT(CH1305,8))),ISNUMBER(-LEFT(CH1305,8))),VALUE(LEFT(CH1305,4)),VALUE(LEFT(CH1305,FIND("-",CH1305)-1)))+2000,IF(AND(LEN(CH1305)=9,ISERROR(FIND("-",LEFT(CH1305,8))),ISNUMBER(-LEFT(CH1305,8))),VALUE(LEFT(CH1305,4)),VALUE(LEFT(CH1305,FIND("-",CH1305)-1)))),""))</f>
        <v/>
      </c>
      <c r="CN1305">
        <f>IF(CH1305="","",IFERROR(IF(AND(LEN(CH1305)=9,ISERROR(FIND("-",LEFT(CH1305,8))),ISNUMBER(-LEFT(CH1305,8))),VALUE(MID(CH1305,5,2)),VALUE(MID(CH1305,FIND("-",CH1305)+1,FIND("-",CH1305,FIND("-",CH1305)+1)-FIND("-",CH1305)-1))),""))</f>
        <v/>
      </c>
      <c r="CO1305">
        <f>IF(CH1305="","",IFERROR(IF(AND(LEN(CH1305)=9,ISERROR(FIND("-",LEFT(CH1305,8))),ISNUMBER(-LEFT(CH1305,8))),VALUE(MID(CH1305,7,2)),VALUE(MID(CH1305,FIND("-",CH1305,FIND("-",CH1305)+1)+1,FIND("-",CH1305,FIND("-",CH1305,FIND("-",CH1305)+1)+1)-FIND("-",CH1305,FIND("-",CH1305)+1)-1))),""))</f>
        <v/>
      </c>
    </row>
    <row r="1306">
      <c r="CH1306">
        <f>IF(ISTEXT('월 가계부'!A1306),SUBSTITUTE(SUBSTITUTE(SUBSTITUTE(SUBSTITUTE(SUBSTITUTE(SUBSTITUTE(SUBSTITUTE(SUBSTITUTE(SUBSTITUTE(TRIM('월 가계부'!A1306),"년","-"),"월","-"),"일",""),".","-"),"/","-")," ","-"),"--","-"),"--","-"),"--","-")&amp;"-","")</f>
        <v/>
      </c>
      <c r="CI1306">
        <f>IFERROR(IF('월 가계부'!A1306="","",IF(ISNUMBER('월 가계부'!A1306),IF(AND('월 가계부'!A1306&gt;=19000101,'월 가계부'!A1306&lt;=21001231),IF(AND(MOD(INT('월 가계부'!A1306/100),100)&gt;=1,MOD(INT('월 가계부'!A1306/100),100)&lt;=12,MOD(INT('월 가계부'!A1306),100)&gt;=1,MOD(INT('월 가계부'!A1306),100)&lt;=31),IF(MONTH(DATE(INT('월 가계부'!A1306/10000),MOD(INT('월 가계부'!A1306/100),100),MOD(INT('월 가계부'!A1306),100)))=MOD(INT('월 가계부'!A1306/100),100),DATE(INT('월 가계부'!A1306/10000),MOD(INT('월 가계부'!A1306/100),100),MOD(INT('월 가계부'!A1306),100)),""),""),IF(AND('월 가계부'!A1306&gt;=36526,'월 가계부'!A1306&lt;73051),INT('월 가계부'!A1306),"")),IF(OR(CM1306="",CN1306="",CO1306=""),"",IF(AND(CM1306&gt;=2000,CM1306&lt;=2099,CN1306&gt;=1,CN1306&lt;=12,CO1306&gt;=1,CO1306&lt;=31),IF(MONTH(DATE(CM1306,CN1306,CO1306))=CN1306,DATE(CM1306,CN1306,CO1306),""),"")))),"")</f>
        <v/>
      </c>
      <c r="CJ1306">
        <f>IFERROR(IF('월 가계부'!C1306="","",IF(ISNUMBER('월 가계부'!C1306),'월 가계부'!C1306,VALUE(SUBSTITUTE(SUBSTITUTE(SUBSTITUTE(SUBSTITUTE(TRIM('월 가계부'!C1306),",",""),"원","")," ",""),"−","-")))),"")</f>
        <v/>
      </c>
      <c r="CK1306">
        <f>IF(ISNUMBER(CI1306),IF(CI1306&lt;$B$13,CI1306,""),"")</f>
        <v/>
      </c>
      <c r="CM1306">
        <f>IF(CH1306="","",IFERROR(IF(IF(AND(LEN(CH1306)=9,ISERROR(FIND("-",LEFT(CH1306,8))),ISNUMBER(-LEFT(CH1306,8))),VALUE(LEFT(CH1306,4)),VALUE(LEFT(CH1306,FIND("-",CH1306)-1)))&lt;100,IF(AND(LEN(CH1306)=9,ISERROR(FIND("-",LEFT(CH1306,8))),ISNUMBER(-LEFT(CH1306,8))),VALUE(LEFT(CH1306,4)),VALUE(LEFT(CH1306,FIND("-",CH1306)-1)))+2000,IF(AND(LEN(CH1306)=9,ISERROR(FIND("-",LEFT(CH1306,8))),ISNUMBER(-LEFT(CH1306,8))),VALUE(LEFT(CH1306,4)),VALUE(LEFT(CH1306,FIND("-",CH1306)-1)))),""))</f>
        <v/>
      </c>
      <c r="CN1306">
        <f>IF(CH1306="","",IFERROR(IF(AND(LEN(CH1306)=9,ISERROR(FIND("-",LEFT(CH1306,8))),ISNUMBER(-LEFT(CH1306,8))),VALUE(MID(CH1306,5,2)),VALUE(MID(CH1306,FIND("-",CH1306)+1,FIND("-",CH1306,FIND("-",CH1306)+1)-FIND("-",CH1306)-1))),""))</f>
        <v/>
      </c>
      <c r="CO1306">
        <f>IF(CH1306="","",IFERROR(IF(AND(LEN(CH1306)=9,ISERROR(FIND("-",LEFT(CH1306,8))),ISNUMBER(-LEFT(CH1306,8))),VALUE(MID(CH1306,7,2)),VALUE(MID(CH1306,FIND("-",CH1306,FIND("-",CH1306)+1)+1,FIND("-",CH1306,FIND("-",CH1306,FIND("-",CH1306)+1)+1)-FIND("-",CH1306,FIND("-",CH1306)+1)-1))),""))</f>
        <v/>
      </c>
    </row>
    <row r="1307">
      <c r="CH1307">
        <f>IF(ISTEXT('월 가계부'!A1307),SUBSTITUTE(SUBSTITUTE(SUBSTITUTE(SUBSTITUTE(SUBSTITUTE(SUBSTITUTE(SUBSTITUTE(SUBSTITUTE(SUBSTITUTE(TRIM('월 가계부'!A1307),"년","-"),"월","-"),"일",""),".","-"),"/","-")," ","-"),"--","-"),"--","-"),"--","-")&amp;"-","")</f>
        <v/>
      </c>
      <c r="CI1307">
        <f>IFERROR(IF('월 가계부'!A1307="","",IF(ISNUMBER('월 가계부'!A1307),IF(AND('월 가계부'!A1307&gt;=19000101,'월 가계부'!A1307&lt;=21001231),IF(AND(MOD(INT('월 가계부'!A1307/100),100)&gt;=1,MOD(INT('월 가계부'!A1307/100),100)&lt;=12,MOD(INT('월 가계부'!A1307),100)&gt;=1,MOD(INT('월 가계부'!A1307),100)&lt;=31),IF(MONTH(DATE(INT('월 가계부'!A1307/10000),MOD(INT('월 가계부'!A1307/100),100),MOD(INT('월 가계부'!A1307),100)))=MOD(INT('월 가계부'!A1307/100),100),DATE(INT('월 가계부'!A1307/10000),MOD(INT('월 가계부'!A1307/100),100),MOD(INT('월 가계부'!A1307),100)),""),""),IF(AND('월 가계부'!A1307&gt;=36526,'월 가계부'!A1307&lt;73051),INT('월 가계부'!A1307),"")),IF(OR(CM1307="",CN1307="",CO1307=""),"",IF(AND(CM1307&gt;=2000,CM1307&lt;=2099,CN1307&gt;=1,CN1307&lt;=12,CO1307&gt;=1,CO1307&lt;=31),IF(MONTH(DATE(CM1307,CN1307,CO1307))=CN1307,DATE(CM1307,CN1307,CO1307),""),"")))),"")</f>
        <v/>
      </c>
      <c r="CJ1307">
        <f>IFERROR(IF('월 가계부'!C1307="","",IF(ISNUMBER('월 가계부'!C1307),'월 가계부'!C1307,VALUE(SUBSTITUTE(SUBSTITUTE(SUBSTITUTE(SUBSTITUTE(TRIM('월 가계부'!C1307),",",""),"원","")," ",""),"−","-")))),"")</f>
        <v/>
      </c>
      <c r="CK1307">
        <f>IF(ISNUMBER(CI1307),IF(CI1307&lt;$B$13,CI1307,""),"")</f>
        <v/>
      </c>
      <c r="CM1307">
        <f>IF(CH1307="","",IFERROR(IF(IF(AND(LEN(CH1307)=9,ISERROR(FIND("-",LEFT(CH1307,8))),ISNUMBER(-LEFT(CH1307,8))),VALUE(LEFT(CH1307,4)),VALUE(LEFT(CH1307,FIND("-",CH1307)-1)))&lt;100,IF(AND(LEN(CH1307)=9,ISERROR(FIND("-",LEFT(CH1307,8))),ISNUMBER(-LEFT(CH1307,8))),VALUE(LEFT(CH1307,4)),VALUE(LEFT(CH1307,FIND("-",CH1307)-1)))+2000,IF(AND(LEN(CH1307)=9,ISERROR(FIND("-",LEFT(CH1307,8))),ISNUMBER(-LEFT(CH1307,8))),VALUE(LEFT(CH1307,4)),VALUE(LEFT(CH1307,FIND("-",CH1307)-1)))),""))</f>
        <v/>
      </c>
      <c r="CN1307">
        <f>IF(CH1307="","",IFERROR(IF(AND(LEN(CH1307)=9,ISERROR(FIND("-",LEFT(CH1307,8))),ISNUMBER(-LEFT(CH1307,8))),VALUE(MID(CH1307,5,2)),VALUE(MID(CH1307,FIND("-",CH1307)+1,FIND("-",CH1307,FIND("-",CH1307)+1)-FIND("-",CH1307)-1))),""))</f>
        <v/>
      </c>
      <c r="CO1307">
        <f>IF(CH1307="","",IFERROR(IF(AND(LEN(CH1307)=9,ISERROR(FIND("-",LEFT(CH1307,8))),ISNUMBER(-LEFT(CH1307,8))),VALUE(MID(CH1307,7,2)),VALUE(MID(CH1307,FIND("-",CH1307,FIND("-",CH1307)+1)+1,FIND("-",CH1307,FIND("-",CH1307,FIND("-",CH1307)+1)+1)-FIND("-",CH1307,FIND("-",CH1307)+1)-1))),""))</f>
        <v/>
      </c>
    </row>
    <row r="1308">
      <c r="CH1308">
        <f>IF(ISTEXT('월 가계부'!A1308),SUBSTITUTE(SUBSTITUTE(SUBSTITUTE(SUBSTITUTE(SUBSTITUTE(SUBSTITUTE(SUBSTITUTE(SUBSTITUTE(SUBSTITUTE(TRIM('월 가계부'!A1308),"년","-"),"월","-"),"일",""),".","-"),"/","-")," ","-"),"--","-"),"--","-"),"--","-")&amp;"-","")</f>
        <v/>
      </c>
      <c r="CI1308">
        <f>IFERROR(IF('월 가계부'!A1308="","",IF(ISNUMBER('월 가계부'!A1308),IF(AND('월 가계부'!A1308&gt;=19000101,'월 가계부'!A1308&lt;=21001231),IF(AND(MOD(INT('월 가계부'!A1308/100),100)&gt;=1,MOD(INT('월 가계부'!A1308/100),100)&lt;=12,MOD(INT('월 가계부'!A1308),100)&gt;=1,MOD(INT('월 가계부'!A1308),100)&lt;=31),IF(MONTH(DATE(INT('월 가계부'!A1308/10000),MOD(INT('월 가계부'!A1308/100),100),MOD(INT('월 가계부'!A1308),100)))=MOD(INT('월 가계부'!A1308/100),100),DATE(INT('월 가계부'!A1308/10000),MOD(INT('월 가계부'!A1308/100),100),MOD(INT('월 가계부'!A1308),100)),""),""),IF(AND('월 가계부'!A1308&gt;=36526,'월 가계부'!A1308&lt;73051),INT('월 가계부'!A1308),"")),IF(OR(CM1308="",CN1308="",CO1308=""),"",IF(AND(CM1308&gt;=2000,CM1308&lt;=2099,CN1308&gt;=1,CN1308&lt;=12,CO1308&gt;=1,CO1308&lt;=31),IF(MONTH(DATE(CM1308,CN1308,CO1308))=CN1308,DATE(CM1308,CN1308,CO1308),""),"")))),"")</f>
        <v/>
      </c>
      <c r="CJ1308">
        <f>IFERROR(IF('월 가계부'!C1308="","",IF(ISNUMBER('월 가계부'!C1308),'월 가계부'!C1308,VALUE(SUBSTITUTE(SUBSTITUTE(SUBSTITUTE(SUBSTITUTE(TRIM('월 가계부'!C1308),",",""),"원","")," ",""),"−","-")))),"")</f>
        <v/>
      </c>
      <c r="CK1308">
        <f>IF(ISNUMBER(CI1308),IF(CI1308&lt;$B$13,CI1308,""),"")</f>
        <v/>
      </c>
      <c r="CM1308">
        <f>IF(CH1308="","",IFERROR(IF(IF(AND(LEN(CH1308)=9,ISERROR(FIND("-",LEFT(CH1308,8))),ISNUMBER(-LEFT(CH1308,8))),VALUE(LEFT(CH1308,4)),VALUE(LEFT(CH1308,FIND("-",CH1308)-1)))&lt;100,IF(AND(LEN(CH1308)=9,ISERROR(FIND("-",LEFT(CH1308,8))),ISNUMBER(-LEFT(CH1308,8))),VALUE(LEFT(CH1308,4)),VALUE(LEFT(CH1308,FIND("-",CH1308)-1)))+2000,IF(AND(LEN(CH1308)=9,ISERROR(FIND("-",LEFT(CH1308,8))),ISNUMBER(-LEFT(CH1308,8))),VALUE(LEFT(CH1308,4)),VALUE(LEFT(CH1308,FIND("-",CH1308)-1)))),""))</f>
        <v/>
      </c>
      <c r="CN1308">
        <f>IF(CH1308="","",IFERROR(IF(AND(LEN(CH1308)=9,ISERROR(FIND("-",LEFT(CH1308,8))),ISNUMBER(-LEFT(CH1308,8))),VALUE(MID(CH1308,5,2)),VALUE(MID(CH1308,FIND("-",CH1308)+1,FIND("-",CH1308,FIND("-",CH1308)+1)-FIND("-",CH1308)-1))),""))</f>
        <v/>
      </c>
      <c r="CO1308">
        <f>IF(CH1308="","",IFERROR(IF(AND(LEN(CH1308)=9,ISERROR(FIND("-",LEFT(CH1308,8))),ISNUMBER(-LEFT(CH1308,8))),VALUE(MID(CH1308,7,2)),VALUE(MID(CH1308,FIND("-",CH1308,FIND("-",CH1308)+1)+1,FIND("-",CH1308,FIND("-",CH1308,FIND("-",CH1308)+1)+1)-FIND("-",CH1308,FIND("-",CH1308)+1)-1))),""))</f>
        <v/>
      </c>
    </row>
    <row r="1309">
      <c r="CH1309">
        <f>IF(ISTEXT('월 가계부'!A1309),SUBSTITUTE(SUBSTITUTE(SUBSTITUTE(SUBSTITUTE(SUBSTITUTE(SUBSTITUTE(SUBSTITUTE(SUBSTITUTE(SUBSTITUTE(TRIM('월 가계부'!A1309),"년","-"),"월","-"),"일",""),".","-"),"/","-")," ","-"),"--","-"),"--","-"),"--","-")&amp;"-","")</f>
        <v/>
      </c>
      <c r="CI1309">
        <f>IFERROR(IF('월 가계부'!A1309="","",IF(ISNUMBER('월 가계부'!A1309),IF(AND('월 가계부'!A1309&gt;=19000101,'월 가계부'!A1309&lt;=21001231),IF(AND(MOD(INT('월 가계부'!A1309/100),100)&gt;=1,MOD(INT('월 가계부'!A1309/100),100)&lt;=12,MOD(INT('월 가계부'!A1309),100)&gt;=1,MOD(INT('월 가계부'!A1309),100)&lt;=31),IF(MONTH(DATE(INT('월 가계부'!A1309/10000),MOD(INT('월 가계부'!A1309/100),100),MOD(INT('월 가계부'!A1309),100)))=MOD(INT('월 가계부'!A1309/100),100),DATE(INT('월 가계부'!A1309/10000),MOD(INT('월 가계부'!A1309/100),100),MOD(INT('월 가계부'!A1309),100)),""),""),IF(AND('월 가계부'!A1309&gt;=36526,'월 가계부'!A1309&lt;73051),INT('월 가계부'!A1309),"")),IF(OR(CM1309="",CN1309="",CO1309=""),"",IF(AND(CM1309&gt;=2000,CM1309&lt;=2099,CN1309&gt;=1,CN1309&lt;=12,CO1309&gt;=1,CO1309&lt;=31),IF(MONTH(DATE(CM1309,CN1309,CO1309))=CN1309,DATE(CM1309,CN1309,CO1309),""),"")))),"")</f>
        <v/>
      </c>
      <c r="CJ1309">
        <f>IFERROR(IF('월 가계부'!C1309="","",IF(ISNUMBER('월 가계부'!C1309),'월 가계부'!C1309,VALUE(SUBSTITUTE(SUBSTITUTE(SUBSTITUTE(SUBSTITUTE(TRIM('월 가계부'!C1309),",",""),"원","")," ",""),"−","-")))),"")</f>
        <v/>
      </c>
      <c r="CK1309">
        <f>IF(ISNUMBER(CI1309),IF(CI1309&lt;$B$13,CI1309,""),"")</f>
        <v/>
      </c>
      <c r="CM1309">
        <f>IF(CH1309="","",IFERROR(IF(IF(AND(LEN(CH1309)=9,ISERROR(FIND("-",LEFT(CH1309,8))),ISNUMBER(-LEFT(CH1309,8))),VALUE(LEFT(CH1309,4)),VALUE(LEFT(CH1309,FIND("-",CH1309)-1)))&lt;100,IF(AND(LEN(CH1309)=9,ISERROR(FIND("-",LEFT(CH1309,8))),ISNUMBER(-LEFT(CH1309,8))),VALUE(LEFT(CH1309,4)),VALUE(LEFT(CH1309,FIND("-",CH1309)-1)))+2000,IF(AND(LEN(CH1309)=9,ISERROR(FIND("-",LEFT(CH1309,8))),ISNUMBER(-LEFT(CH1309,8))),VALUE(LEFT(CH1309,4)),VALUE(LEFT(CH1309,FIND("-",CH1309)-1)))),""))</f>
        <v/>
      </c>
      <c r="CN1309">
        <f>IF(CH1309="","",IFERROR(IF(AND(LEN(CH1309)=9,ISERROR(FIND("-",LEFT(CH1309,8))),ISNUMBER(-LEFT(CH1309,8))),VALUE(MID(CH1309,5,2)),VALUE(MID(CH1309,FIND("-",CH1309)+1,FIND("-",CH1309,FIND("-",CH1309)+1)-FIND("-",CH1309)-1))),""))</f>
        <v/>
      </c>
      <c r="CO1309">
        <f>IF(CH1309="","",IFERROR(IF(AND(LEN(CH1309)=9,ISERROR(FIND("-",LEFT(CH1309,8))),ISNUMBER(-LEFT(CH1309,8))),VALUE(MID(CH1309,7,2)),VALUE(MID(CH1309,FIND("-",CH1309,FIND("-",CH1309)+1)+1,FIND("-",CH1309,FIND("-",CH1309,FIND("-",CH1309)+1)+1)-FIND("-",CH1309,FIND("-",CH1309)+1)-1))),""))</f>
        <v/>
      </c>
    </row>
    <row r="1310">
      <c r="CH1310">
        <f>IF(ISTEXT('월 가계부'!A1310),SUBSTITUTE(SUBSTITUTE(SUBSTITUTE(SUBSTITUTE(SUBSTITUTE(SUBSTITUTE(SUBSTITUTE(SUBSTITUTE(SUBSTITUTE(TRIM('월 가계부'!A1310),"년","-"),"월","-"),"일",""),".","-"),"/","-")," ","-"),"--","-"),"--","-"),"--","-")&amp;"-","")</f>
        <v/>
      </c>
      <c r="CI1310">
        <f>IFERROR(IF('월 가계부'!A1310="","",IF(ISNUMBER('월 가계부'!A1310),IF(AND('월 가계부'!A1310&gt;=19000101,'월 가계부'!A1310&lt;=21001231),IF(AND(MOD(INT('월 가계부'!A1310/100),100)&gt;=1,MOD(INT('월 가계부'!A1310/100),100)&lt;=12,MOD(INT('월 가계부'!A1310),100)&gt;=1,MOD(INT('월 가계부'!A1310),100)&lt;=31),IF(MONTH(DATE(INT('월 가계부'!A1310/10000),MOD(INT('월 가계부'!A1310/100),100),MOD(INT('월 가계부'!A1310),100)))=MOD(INT('월 가계부'!A1310/100),100),DATE(INT('월 가계부'!A1310/10000),MOD(INT('월 가계부'!A1310/100),100),MOD(INT('월 가계부'!A1310),100)),""),""),IF(AND('월 가계부'!A1310&gt;=36526,'월 가계부'!A1310&lt;73051),INT('월 가계부'!A1310),"")),IF(OR(CM1310="",CN1310="",CO1310=""),"",IF(AND(CM1310&gt;=2000,CM1310&lt;=2099,CN1310&gt;=1,CN1310&lt;=12,CO1310&gt;=1,CO1310&lt;=31),IF(MONTH(DATE(CM1310,CN1310,CO1310))=CN1310,DATE(CM1310,CN1310,CO1310),""),"")))),"")</f>
        <v/>
      </c>
      <c r="CJ1310">
        <f>IFERROR(IF('월 가계부'!C1310="","",IF(ISNUMBER('월 가계부'!C1310),'월 가계부'!C1310,VALUE(SUBSTITUTE(SUBSTITUTE(SUBSTITUTE(SUBSTITUTE(TRIM('월 가계부'!C1310),",",""),"원","")," ",""),"−","-")))),"")</f>
        <v/>
      </c>
      <c r="CK1310">
        <f>IF(ISNUMBER(CI1310),IF(CI1310&lt;$B$13,CI1310,""),"")</f>
        <v/>
      </c>
      <c r="CM1310">
        <f>IF(CH1310="","",IFERROR(IF(IF(AND(LEN(CH1310)=9,ISERROR(FIND("-",LEFT(CH1310,8))),ISNUMBER(-LEFT(CH1310,8))),VALUE(LEFT(CH1310,4)),VALUE(LEFT(CH1310,FIND("-",CH1310)-1)))&lt;100,IF(AND(LEN(CH1310)=9,ISERROR(FIND("-",LEFT(CH1310,8))),ISNUMBER(-LEFT(CH1310,8))),VALUE(LEFT(CH1310,4)),VALUE(LEFT(CH1310,FIND("-",CH1310)-1)))+2000,IF(AND(LEN(CH1310)=9,ISERROR(FIND("-",LEFT(CH1310,8))),ISNUMBER(-LEFT(CH1310,8))),VALUE(LEFT(CH1310,4)),VALUE(LEFT(CH1310,FIND("-",CH1310)-1)))),""))</f>
        <v/>
      </c>
      <c r="CN1310">
        <f>IF(CH1310="","",IFERROR(IF(AND(LEN(CH1310)=9,ISERROR(FIND("-",LEFT(CH1310,8))),ISNUMBER(-LEFT(CH1310,8))),VALUE(MID(CH1310,5,2)),VALUE(MID(CH1310,FIND("-",CH1310)+1,FIND("-",CH1310,FIND("-",CH1310)+1)-FIND("-",CH1310)-1))),""))</f>
        <v/>
      </c>
      <c r="CO1310">
        <f>IF(CH1310="","",IFERROR(IF(AND(LEN(CH1310)=9,ISERROR(FIND("-",LEFT(CH1310,8))),ISNUMBER(-LEFT(CH1310,8))),VALUE(MID(CH1310,7,2)),VALUE(MID(CH1310,FIND("-",CH1310,FIND("-",CH1310)+1)+1,FIND("-",CH1310,FIND("-",CH1310,FIND("-",CH1310)+1)+1)-FIND("-",CH1310,FIND("-",CH1310)+1)-1))),""))</f>
        <v/>
      </c>
    </row>
    <row r="1311">
      <c r="CH1311">
        <f>IF(ISTEXT('월 가계부'!A1311),SUBSTITUTE(SUBSTITUTE(SUBSTITUTE(SUBSTITUTE(SUBSTITUTE(SUBSTITUTE(SUBSTITUTE(SUBSTITUTE(SUBSTITUTE(TRIM('월 가계부'!A1311),"년","-"),"월","-"),"일",""),".","-"),"/","-")," ","-"),"--","-"),"--","-"),"--","-")&amp;"-","")</f>
        <v/>
      </c>
      <c r="CI1311">
        <f>IFERROR(IF('월 가계부'!A1311="","",IF(ISNUMBER('월 가계부'!A1311),IF(AND('월 가계부'!A1311&gt;=19000101,'월 가계부'!A1311&lt;=21001231),IF(AND(MOD(INT('월 가계부'!A1311/100),100)&gt;=1,MOD(INT('월 가계부'!A1311/100),100)&lt;=12,MOD(INT('월 가계부'!A1311),100)&gt;=1,MOD(INT('월 가계부'!A1311),100)&lt;=31),IF(MONTH(DATE(INT('월 가계부'!A1311/10000),MOD(INT('월 가계부'!A1311/100),100),MOD(INT('월 가계부'!A1311),100)))=MOD(INT('월 가계부'!A1311/100),100),DATE(INT('월 가계부'!A1311/10000),MOD(INT('월 가계부'!A1311/100),100),MOD(INT('월 가계부'!A1311),100)),""),""),IF(AND('월 가계부'!A1311&gt;=36526,'월 가계부'!A1311&lt;73051),INT('월 가계부'!A1311),"")),IF(OR(CM1311="",CN1311="",CO1311=""),"",IF(AND(CM1311&gt;=2000,CM1311&lt;=2099,CN1311&gt;=1,CN1311&lt;=12,CO1311&gt;=1,CO1311&lt;=31),IF(MONTH(DATE(CM1311,CN1311,CO1311))=CN1311,DATE(CM1311,CN1311,CO1311),""),"")))),"")</f>
        <v/>
      </c>
      <c r="CJ1311">
        <f>IFERROR(IF('월 가계부'!C1311="","",IF(ISNUMBER('월 가계부'!C1311),'월 가계부'!C1311,VALUE(SUBSTITUTE(SUBSTITUTE(SUBSTITUTE(SUBSTITUTE(TRIM('월 가계부'!C1311),",",""),"원","")," ",""),"−","-")))),"")</f>
        <v/>
      </c>
      <c r="CK1311">
        <f>IF(ISNUMBER(CI1311),IF(CI1311&lt;$B$13,CI1311,""),"")</f>
        <v/>
      </c>
      <c r="CM1311">
        <f>IF(CH1311="","",IFERROR(IF(IF(AND(LEN(CH1311)=9,ISERROR(FIND("-",LEFT(CH1311,8))),ISNUMBER(-LEFT(CH1311,8))),VALUE(LEFT(CH1311,4)),VALUE(LEFT(CH1311,FIND("-",CH1311)-1)))&lt;100,IF(AND(LEN(CH1311)=9,ISERROR(FIND("-",LEFT(CH1311,8))),ISNUMBER(-LEFT(CH1311,8))),VALUE(LEFT(CH1311,4)),VALUE(LEFT(CH1311,FIND("-",CH1311)-1)))+2000,IF(AND(LEN(CH1311)=9,ISERROR(FIND("-",LEFT(CH1311,8))),ISNUMBER(-LEFT(CH1311,8))),VALUE(LEFT(CH1311,4)),VALUE(LEFT(CH1311,FIND("-",CH1311)-1)))),""))</f>
        <v/>
      </c>
      <c r="CN1311">
        <f>IF(CH1311="","",IFERROR(IF(AND(LEN(CH1311)=9,ISERROR(FIND("-",LEFT(CH1311,8))),ISNUMBER(-LEFT(CH1311,8))),VALUE(MID(CH1311,5,2)),VALUE(MID(CH1311,FIND("-",CH1311)+1,FIND("-",CH1311,FIND("-",CH1311)+1)-FIND("-",CH1311)-1))),""))</f>
        <v/>
      </c>
      <c r="CO1311">
        <f>IF(CH1311="","",IFERROR(IF(AND(LEN(CH1311)=9,ISERROR(FIND("-",LEFT(CH1311,8))),ISNUMBER(-LEFT(CH1311,8))),VALUE(MID(CH1311,7,2)),VALUE(MID(CH1311,FIND("-",CH1311,FIND("-",CH1311)+1)+1,FIND("-",CH1311,FIND("-",CH1311,FIND("-",CH1311)+1)+1)-FIND("-",CH1311,FIND("-",CH1311)+1)-1))),""))</f>
        <v/>
      </c>
    </row>
    <row r="1312">
      <c r="CH1312">
        <f>IF(ISTEXT('월 가계부'!A1312),SUBSTITUTE(SUBSTITUTE(SUBSTITUTE(SUBSTITUTE(SUBSTITUTE(SUBSTITUTE(SUBSTITUTE(SUBSTITUTE(SUBSTITUTE(TRIM('월 가계부'!A1312),"년","-"),"월","-"),"일",""),".","-"),"/","-")," ","-"),"--","-"),"--","-"),"--","-")&amp;"-","")</f>
        <v/>
      </c>
      <c r="CI1312">
        <f>IFERROR(IF('월 가계부'!A1312="","",IF(ISNUMBER('월 가계부'!A1312),IF(AND('월 가계부'!A1312&gt;=19000101,'월 가계부'!A1312&lt;=21001231),IF(AND(MOD(INT('월 가계부'!A1312/100),100)&gt;=1,MOD(INT('월 가계부'!A1312/100),100)&lt;=12,MOD(INT('월 가계부'!A1312),100)&gt;=1,MOD(INT('월 가계부'!A1312),100)&lt;=31),IF(MONTH(DATE(INT('월 가계부'!A1312/10000),MOD(INT('월 가계부'!A1312/100),100),MOD(INT('월 가계부'!A1312),100)))=MOD(INT('월 가계부'!A1312/100),100),DATE(INT('월 가계부'!A1312/10000),MOD(INT('월 가계부'!A1312/100),100),MOD(INT('월 가계부'!A1312),100)),""),""),IF(AND('월 가계부'!A1312&gt;=36526,'월 가계부'!A1312&lt;73051),INT('월 가계부'!A1312),"")),IF(OR(CM1312="",CN1312="",CO1312=""),"",IF(AND(CM1312&gt;=2000,CM1312&lt;=2099,CN1312&gt;=1,CN1312&lt;=12,CO1312&gt;=1,CO1312&lt;=31),IF(MONTH(DATE(CM1312,CN1312,CO1312))=CN1312,DATE(CM1312,CN1312,CO1312),""),"")))),"")</f>
        <v/>
      </c>
      <c r="CJ1312">
        <f>IFERROR(IF('월 가계부'!C1312="","",IF(ISNUMBER('월 가계부'!C1312),'월 가계부'!C1312,VALUE(SUBSTITUTE(SUBSTITUTE(SUBSTITUTE(SUBSTITUTE(TRIM('월 가계부'!C1312),",",""),"원","")," ",""),"−","-")))),"")</f>
        <v/>
      </c>
      <c r="CK1312">
        <f>IF(ISNUMBER(CI1312),IF(CI1312&lt;$B$13,CI1312,""),"")</f>
        <v/>
      </c>
      <c r="CM1312">
        <f>IF(CH1312="","",IFERROR(IF(IF(AND(LEN(CH1312)=9,ISERROR(FIND("-",LEFT(CH1312,8))),ISNUMBER(-LEFT(CH1312,8))),VALUE(LEFT(CH1312,4)),VALUE(LEFT(CH1312,FIND("-",CH1312)-1)))&lt;100,IF(AND(LEN(CH1312)=9,ISERROR(FIND("-",LEFT(CH1312,8))),ISNUMBER(-LEFT(CH1312,8))),VALUE(LEFT(CH1312,4)),VALUE(LEFT(CH1312,FIND("-",CH1312)-1)))+2000,IF(AND(LEN(CH1312)=9,ISERROR(FIND("-",LEFT(CH1312,8))),ISNUMBER(-LEFT(CH1312,8))),VALUE(LEFT(CH1312,4)),VALUE(LEFT(CH1312,FIND("-",CH1312)-1)))),""))</f>
        <v/>
      </c>
      <c r="CN1312">
        <f>IF(CH1312="","",IFERROR(IF(AND(LEN(CH1312)=9,ISERROR(FIND("-",LEFT(CH1312,8))),ISNUMBER(-LEFT(CH1312,8))),VALUE(MID(CH1312,5,2)),VALUE(MID(CH1312,FIND("-",CH1312)+1,FIND("-",CH1312,FIND("-",CH1312)+1)-FIND("-",CH1312)-1))),""))</f>
        <v/>
      </c>
      <c r="CO1312">
        <f>IF(CH1312="","",IFERROR(IF(AND(LEN(CH1312)=9,ISERROR(FIND("-",LEFT(CH1312,8))),ISNUMBER(-LEFT(CH1312,8))),VALUE(MID(CH1312,7,2)),VALUE(MID(CH1312,FIND("-",CH1312,FIND("-",CH1312)+1)+1,FIND("-",CH1312,FIND("-",CH1312,FIND("-",CH1312)+1)+1)-FIND("-",CH1312,FIND("-",CH1312)+1)-1))),""))</f>
        <v/>
      </c>
    </row>
    <row r="1313">
      <c r="CH1313">
        <f>IF(ISTEXT('월 가계부'!A1313),SUBSTITUTE(SUBSTITUTE(SUBSTITUTE(SUBSTITUTE(SUBSTITUTE(SUBSTITUTE(SUBSTITUTE(SUBSTITUTE(SUBSTITUTE(TRIM('월 가계부'!A1313),"년","-"),"월","-"),"일",""),".","-"),"/","-")," ","-"),"--","-"),"--","-"),"--","-")&amp;"-","")</f>
        <v/>
      </c>
      <c r="CI1313">
        <f>IFERROR(IF('월 가계부'!A1313="","",IF(ISNUMBER('월 가계부'!A1313),IF(AND('월 가계부'!A1313&gt;=19000101,'월 가계부'!A1313&lt;=21001231),IF(AND(MOD(INT('월 가계부'!A1313/100),100)&gt;=1,MOD(INT('월 가계부'!A1313/100),100)&lt;=12,MOD(INT('월 가계부'!A1313),100)&gt;=1,MOD(INT('월 가계부'!A1313),100)&lt;=31),IF(MONTH(DATE(INT('월 가계부'!A1313/10000),MOD(INT('월 가계부'!A1313/100),100),MOD(INT('월 가계부'!A1313),100)))=MOD(INT('월 가계부'!A1313/100),100),DATE(INT('월 가계부'!A1313/10000),MOD(INT('월 가계부'!A1313/100),100),MOD(INT('월 가계부'!A1313),100)),""),""),IF(AND('월 가계부'!A1313&gt;=36526,'월 가계부'!A1313&lt;73051),INT('월 가계부'!A1313),"")),IF(OR(CM1313="",CN1313="",CO1313=""),"",IF(AND(CM1313&gt;=2000,CM1313&lt;=2099,CN1313&gt;=1,CN1313&lt;=12,CO1313&gt;=1,CO1313&lt;=31),IF(MONTH(DATE(CM1313,CN1313,CO1313))=CN1313,DATE(CM1313,CN1313,CO1313),""),"")))),"")</f>
        <v/>
      </c>
      <c r="CJ1313">
        <f>IFERROR(IF('월 가계부'!C1313="","",IF(ISNUMBER('월 가계부'!C1313),'월 가계부'!C1313,VALUE(SUBSTITUTE(SUBSTITUTE(SUBSTITUTE(SUBSTITUTE(TRIM('월 가계부'!C1313),",",""),"원","")," ",""),"−","-")))),"")</f>
        <v/>
      </c>
      <c r="CK1313">
        <f>IF(ISNUMBER(CI1313),IF(CI1313&lt;$B$13,CI1313,""),"")</f>
        <v/>
      </c>
      <c r="CM1313">
        <f>IF(CH1313="","",IFERROR(IF(IF(AND(LEN(CH1313)=9,ISERROR(FIND("-",LEFT(CH1313,8))),ISNUMBER(-LEFT(CH1313,8))),VALUE(LEFT(CH1313,4)),VALUE(LEFT(CH1313,FIND("-",CH1313)-1)))&lt;100,IF(AND(LEN(CH1313)=9,ISERROR(FIND("-",LEFT(CH1313,8))),ISNUMBER(-LEFT(CH1313,8))),VALUE(LEFT(CH1313,4)),VALUE(LEFT(CH1313,FIND("-",CH1313)-1)))+2000,IF(AND(LEN(CH1313)=9,ISERROR(FIND("-",LEFT(CH1313,8))),ISNUMBER(-LEFT(CH1313,8))),VALUE(LEFT(CH1313,4)),VALUE(LEFT(CH1313,FIND("-",CH1313)-1)))),""))</f>
        <v/>
      </c>
      <c r="CN1313">
        <f>IF(CH1313="","",IFERROR(IF(AND(LEN(CH1313)=9,ISERROR(FIND("-",LEFT(CH1313,8))),ISNUMBER(-LEFT(CH1313,8))),VALUE(MID(CH1313,5,2)),VALUE(MID(CH1313,FIND("-",CH1313)+1,FIND("-",CH1313,FIND("-",CH1313)+1)-FIND("-",CH1313)-1))),""))</f>
        <v/>
      </c>
      <c r="CO1313">
        <f>IF(CH1313="","",IFERROR(IF(AND(LEN(CH1313)=9,ISERROR(FIND("-",LEFT(CH1313,8))),ISNUMBER(-LEFT(CH1313,8))),VALUE(MID(CH1313,7,2)),VALUE(MID(CH1313,FIND("-",CH1313,FIND("-",CH1313)+1)+1,FIND("-",CH1313,FIND("-",CH1313,FIND("-",CH1313)+1)+1)-FIND("-",CH1313,FIND("-",CH1313)+1)-1))),""))</f>
        <v/>
      </c>
    </row>
    <row r="1314">
      <c r="CH1314">
        <f>IF(ISTEXT('월 가계부'!A1314),SUBSTITUTE(SUBSTITUTE(SUBSTITUTE(SUBSTITUTE(SUBSTITUTE(SUBSTITUTE(SUBSTITUTE(SUBSTITUTE(SUBSTITUTE(TRIM('월 가계부'!A1314),"년","-"),"월","-"),"일",""),".","-"),"/","-")," ","-"),"--","-"),"--","-"),"--","-")&amp;"-","")</f>
        <v/>
      </c>
      <c r="CI1314">
        <f>IFERROR(IF('월 가계부'!A1314="","",IF(ISNUMBER('월 가계부'!A1314),IF(AND('월 가계부'!A1314&gt;=19000101,'월 가계부'!A1314&lt;=21001231),IF(AND(MOD(INT('월 가계부'!A1314/100),100)&gt;=1,MOD(INT('월 가계부'!A1314/100),100)&lt;=12,MOD(INT('월 가계부'!A1314),100)&gt;=1,MOD(INT('월 가계부'!A1314),100)&lt;=31),IF(MONTH(DATE(INT('월 가계부'!A1314/10000),MOD(INT('월 가계부'!A1314/100),100),MOD(INT('월 가계부'!A1314),100)))=MOD(INT('월 가계부'!A1314/100),100),DATE(INT('월 가계부'!A1314/10000),MOD(INT('월 가계부'!A1314/100),100),MOD(INT('월 가계부'!A1314),100)),""),""),IF(AND('월 가계부'!A1314&gt;=36526,'월 가계부'!A1314&lt;73051),INT('월 가계부'!A1314),"")),IF(OR(CM1314="",CN1314="",CO1314=""),"",IF(AND(CM1314&gt;=2000,CM1314&lt;=2099,CN1314&gt;=1,CN1314&lt;=12,CO1314&gt;=1,CO1314&lt;=31),IF(MONTH(DATE(CM1314,CN1314,CO1314))=CN1314,DATE(CM1314,CN1314,CO1314),""),"")))),"")</f>
        <v/>
      </c>
      <c r="CJ1314">
        <f>IFERROR(IF('월 가계부'!C1314="","",IF(ISNUMBER('월 가계부'!C1314),'월 가계부'!C1314,VALUE(SUBSTITUTE(SUBSTITUTE(SUBSTITUTE(SUBSTITUTE(TRIM('월 가계부'!C1314),",",""),"원","")," ",""),"−","-")))),"")</f>
        <v/>
      </c>
      <c r="CK1314">
        <f>IF(ISNUMBER(CI1314),IF(CI1314&lt;$B$13,CI1314,""),"")</f>
        <v/>
      </c>
      <c r="CM1314">
        <f>IF(CH1314="","",IFERROR(IF(IF(AND(LEN(CH1314)=9,ISERROR(FIND("-",LEFT(CH1314,8))),ISNUMBER(-LEFT(CH1314,8))),VALUE(LEFT(CH1314,4)),VALUE(LEFT(CH1314,FIND("-",CH1314)-1)))&lt;100,IF(AND(LEN(CH1314)=9,ISERROR(FIND("-",LEFT(CH1314,8))),ISNUMBER(-LEFT(CH1314,8))),VALUE(LEFT(CH1314,4)),VALUE(LEFT(CH1314,FIND("-",CH1314)-1)))+2000,IF(AND(LEN(CH1314)=9,ISERROR(FIND("-",LEFT(CH1314,8))),ISNUMBER(-LEFT(CH1314,8))),VALUE(LEFT(CH1314,4)),VALUE(LEFT(CH1314,FIND("-",CH1314)-1)))),""))</f>
        <v/>
      </c>
      <c r="CN1314">
        <f>IF(CH1314="","",IFERROR(IF(AND(LEN(CH1314)=9,ISERROR(FIND("-",LEFT(CH1314,8))),ISNUMBER(-LEFT(CH1314,8))),VALUE(MID(CH1314,5,2)),VALUE(MID(CH1314,FIND("-",CH1314)+1,FIND("-",CH1314,FIND("-",CH1314)+1)-FIND("-",CH1314)-1))),""))</f>
        <v/>
      </c>
      <c r="CO1314">
        <f>IF(CH1314="","",IFERROR(IF(AND(LEN(CH1314)=9,ISERROR(FIND("-",LEFT(CH1314,8))),ISNUMBER(-LEFT(CH1314,8))),VALUE(MID(CH1314,7,2)),VALUE(MID(CH1314,FIND("-",CH1314,FIND("-",CH1314)+1)+1,FIND("-",CH1314,FIND("-",CH1314,FIND("-",CH1314)+1)+1)-FIND("-",CH1314,FIND("-",CH1314)+1)-1))),""))</f>
        <v/>
      </c>
    </row>
    <row r="1315">
      <c r="CH1315">
        <f>IF(ISTEXT('월 가계부'!A1315),SUBSTITUTE(SUBSTITUTE(SUBSTITUTE(SUBSTITUTE(SUBSTITUTE(SUBSTITUTE(SUBSTITUTE(SUBSTITUTE(SUBSTITUTE(TRIM('월 가계부'!A1315),"년","-"),"월","-"),"일",""),".","-"),"/","-")," ","-"),"--","-"),"--","-"),"--","-")&amp;"-","")</f>
        <v/>
      </c>
      <c r="CI1315">
        <f>IFERROR(IF('월 가계부'!A1315="","",IF(ISNUMBER('월 가계부'!A1315),IF(AND('월 가계부'!A1315&gt;=19000101,'월 가계부'!A1315&lt;=21001231),IF(AND(MOD(INT('월 가계부'!A1315/100),100)&gt;=1,MOD(INT('월 가계부'!A1315/100),100)&lt;=12,MOD(INT('월 가계부'!A1315),100)&gt;=1,MOD(INT('월 가계부'!A1315),100)&lt;=31),IF(MONTH(DATE(INT('월 가계부'!A1315/10000),MOD(INT('월 가계부'!A1315/100),100),MOD(INT('월 가계부'!A1315),100)))=MOD(INT('월 가계부'!A1315/100),100),DATE(INT('월 가계부'!A1315/10000),MOD(INT('월 가계부'!A1315/100),100),MOD(INT('월 가계부'!A1315),100)),""),""),IF(AND('월 가계부'!A1315&gt;=36526,'월 가계부'!A1315&lt;73051),INT('월 가계부'!A1315),"")),IF(OR(CM1315="",CN1315="",CO1315=""),"",IF(AND(CM1315&gt;=2000,CM1315&lt;=2099,CN1315&gt;=1,CN1315&lt;=12,CO1315&gt;=1,CO1315&lt;=31),IF(MONTH(DATE(CM1315,CN1315,CO1315))=CN1315,DATE(CM1315,CN1315,CO1315),""),"")))),"")</f>
        <v/>
      </c>
      <c r="CJ1315">
        <f>IFERROR(IF('월 가계부'!C1315="","",IF(ISNUMBER('월 가계부'!C1315),'월 가계부'!C1315,VALUE(SUBSTITUTE(SUBSTITUTE(SUBSTITUTE(SUBSTITUTE(TRIM('월 가계부'!C1315),",",""),"원","")," ",""),"−","-")))),"")</f>
        <v/>
      </c>
      <c r="CK1315">
        <f>IF(ISNUMBER(CI1315),IF(CI1315&lt;$B$13,CI1315,""),"")</f>
        <v/>
      </c>
      <c r="CM1315">
        <f>IF(CH1315="","",IFERROR(IF(IF(AND(LEN(CH1315)=9,ISERROR(FIND("-",LEFT(CH1315,8))),ISNUMBER(-LEFT(CH1315,8))),VALUE(LEFT(CH1315,4)),VALUE(LEFT(CH1315,FIND("-",CH1315)-1)))&lt;100,IF(AND(LEN(CH1315)=9,ISERROR(FIND("-",LEFT(CH1315,8))),ISNUMBER(-LEFT(CH1315,8))),VALUE(LEFT(CH1315,4)),VALUE(LEFT(CH1315,FIND("-",CH1315)-1)))+2000,IF(AND(LEN(CH1315)=9,ISERROR(FIND("-",LEFT(CH1315,8))),ISNUMBER(-LEFT(CH1315,8))),VALUE(LEFT(CH1315,4)),VALUE(LEFT(CH1315,FIND("-",CH1315)-1)))),""))</f>
        <v/>
      </c>
      <c r="CN1315">
        <f>IF(CH1315="","",IFERROR(IF(AND(LEN(CH1315)=9,ISERROR(FIND("-",LEFT(CH1315,8))),ISNUMBER(-LEFT(CH1315,8))),VALUE(MID(CH1315,5,2)),VALUE(MID(CH1315,FIND("-",CH1315)+1,FIND("-",CH1315,FIND("-",CH1315)+1)-FIND("-",CH1315)-1))),""))</f>
        <v/>
      </c>
      <c r="CO1315">
        <f>IF(CH1315="","",IFERROR(IF(AND(LEN(CH1315)=9,ISERROR(FIND("-",LEFT(CH1315,8))),ISNUMBER(-LEFT(CH1315,8))),VALUE(MID(CH1315,7,2)),VALUE(MID(CH1315,FIND("-",CH1315,FIND("-",CH1315)+1)+1,FIND("-",CH1315,FIND("-",CH1315,FIND("-",CH1315)+1)+1)-FIND("-",CH1315,FIND("-",CH1315)+1)-1))),""))</f>
        <v/>
      </c>
    </row>
    <row r="1316">
      <c r="CH1316">
        <f>IF(ISTEXT('월 가계부'!A1316),SUBSTITUTE(SUBSTITUTE(SUBSTITUTE(SUBSTITUTE(SUBSTITUTE(SUBSTITUTE(SUBSTITUTE(SUBSTITUTE(SUBSTITUTE(TRIM('월 가계부'!A1316),"년","-"),"월","-"),"일",""),".","-"),"/","-")," ","-"),"--","-"),"--","-"),"--","-")&amp;"-","")</f>
        <v/>
      </c>
      <c r="CI1316">
        <f>IFERROR(IF('월 가계부'!A1316="","",IF(ISNUMBER('월 가계부'!A1316),IF(AND('월 가계부'!A1316&gt;=19000101,'월 가계부'!A1316&lt;=21001231),IF(AND(MOD(INT('월 가계부'!A1316/100),100)&gt;=1,MOD(INT('월 가계부'!A1316/100),100)&lt;=12,MOD(INT('월 가계부'!A1316),100)&gt;=1,MOD(INT('월 가계부'!A1316),100)&lt;=31),IF(MONTH(DATE(INT('월 가계부'!A1316/10000),MOD(INT('월 가계부'!A1316/100),100),MOD(INT('월 가계부'!A1316),100)))=MOD(INT('월 가계부'!A1316/100),100),DATE(INT('월 가계부'!A1316/10000),MOD(INT('월 가계부'!A1316/100),100),MOD(INT('월 가계부'!A1316),100)),""),""),IF(AND('월 가계부'!A1316&gt;=36526,'월 가계부'!A1316&lt;73051),INT('월 가계부'!A1316),"")),IF(OR(CM1316="",CN1316="",CO1316=""),"",IF(AND(CM1316&gt;=2000,CM1316&lt;=2099,CN1316&gt;=1,CN1316&lt;=12,CO1316&gt;=1,CO1316&lt;=31),IF(MONTH(DATE(CM1316,CN1316,CO1316))=CN1316,DATE(CM1316,CN1316,CO1316),""),"")))),"")</f>
        <v/>
      </c>
      <c r="CJ1316">
        <f>IFERROR(IF('월 가계부'!C1316="","",IF(ISNUMBER('월 가계부'!C1316),'월 가계부'!C1316,VALUE(SUBSTITUTE(SUBSTITUTE(SUBSTITUTE(SUBSTITUTE(TRIM('월 가계부'!C1316),",",""),"원","")," ",""),"−","-")))),"")</f>
        <v/>
      </c>
      <c r="CK1316">
        <f>IF(ISNUMBER(CI1316),IF(CI1316&lt;$B$13,CI1316,""),"")</f>
        <v/>
      </c>
      <c r="CM1316">
        <f>IF(CH1316="","",IFERROR(IF(IF(AND(LEN(CH1316)=9,ISERROR(FIND("-",LEFT(CH1316,8))),ISNUMBER(-LEFT(CH1316,8))),VALUE(LEFT(CH1316,4)),VALUE(LEFT(CH1316,FIND("-",CH1316)-1)))&lt;100,IF(AND(LEN(CH1316)=9,ISERROR(FIND("-",LEFT(CH1316,8))),ISNUMBER(-LEFT(CH1316,8))),VALUE(LEFT(CH1316,4)),VALUE(LEFT(CH1316,FIND("-",CH1316)-1)))+2000,IF(AND(LEN(CH1316)=9,ISERROR(FIND("-",LEFT(CH1316,8))),ISNUMBER(-LEFT(CH1316,8))),VALUE(LEFT(CH1316,4)),VALUE(LEFT(CH1316,FIND("-",CH1316)-1)))),""))</f>
        <v/>
      </c>
      <c r="CN1316">
        <f>IF(CH1316="","",IFERROR(IF(AND(LEN(CH1316)=9,ISERROR(FIND("-",LEFT(CH1316,8))),ISNUMBER(-LEFT(CH1316,8))),VALUE(MID(CH1316,5,2)),VALUE(MID(CH1316,FIND("-",CH1316)+1,FIND("-",CH1316,FIND("-",CH1316)+1)-FIND("-",CH1316)-1))),""))</f>
        <v/>
      </c>
      <c r="CO1316">
        <f>IF(CH1316="","",IFERROR(IF(AND(LEN(CH1316)=9,ISERROR(FIND("-",LEFT(CH1316,8))),ISNUMBER(-LEFT(CH1316,8))),VALUE(MID(CH1316,7,2)),VALUE(MID(CH1316,FIND("-",CH1316,FIND("-",CH1316)+1)+1,FIND("-",CH1316,FIND("-",CH1316,FIND("-",CH1316)+1)+1)-FIND("-",CH1316,FIND("-",CH1316)+1)-1))),""))</f>
        <v/>
      </c>
    </row>
    <row r="1317">
      <c r="CH1317">
        <f>IF(ISTEXT('월 가계부'!A1317),SUBSTITUTE(SUBSTITUTE(SUBSTITUTE(SUBSTITUTE(SUBSTITUTE(SUBSTITUTE(SUBSTITUTE(SUBSTITUTE(SUBSTITUTE(TRIM('월 가계부'!A1317),"년","-"),"월","-"),"일",""),".","-"),"/","-")," ","-"),"--","-"),"--","-"),"--","-")&amp;"-","")</f>
        <v/>
      </c>
      <c r="CI1317">
        <f>IFERROR(IF('월 가계부'!A1317="","",IF(ISNUMBER('월 가계부'!A1317),IF(AND('월 가계부'!A1317&gt;=19000101,'월 가계부'!A1317&lt;=21001231),IF(AND(MOD(INT('월 가계부'!A1317/100),100)&gt;=1,MOD(INT('월 가계부'!A1317/100),100)&lt;=12,MOD(INT('월 가계부'!A1317),100)&gt;=1,MOD(INT('월 가계부'!A1317),100)&lt;=31),IF(MONTH(DATE(INT('월 가계부'!A1317/10000),MOD(INT('월 가계부'!A1317/100),100),MOD(INT('월 가계부'!A1317),100)))=MOD(INT('월 가계부'!A1317/100),100),DATE(INT('월 가계부'!A1317/10000),MOD(INT('월 가계부'!A1317/100),100),MOD(INT('월 가계부'!A1317),100)),""),""),IF(AND('월 가계부'!A1317&gt;=36526,'월 가계부'!A1317&lt;73051),INT('월 가계부'!A1317),"")),IF(OR(CM1317="",CN1317="",CO1317=""),"",IF(AND(CM1317&gt;=2000,CM1317&lt;=2099,CN1317&gt;=1,CN1317&lt;=12,CO1317&gt;=1,CO1317&lt;=31),IF(MONTH(DATE(CM1317,CN1317,CO1317))=CN1317,DATE(CM1317,CN1317,CO1317),""),"")))),"")</f>
        <v/>
      </c>
      <c r="CJ1317">
        <f>IFERROR(IF('월 가계부'!C1317="","",IF(ISNUMBER('월 가계부'!C1317),'월 가계부'!C1317,VALUE(SUBSTITUTE(SUBSTITUTE(SUBSTITUTE(SUBSTITUTE(TRIM('월 가계부'!C1317),",",""),"원","")," ",""),"−","-")))),"")</f>
        <v/>
      </c>
      <c r="CK1317">
        <f>IF(ISNUMBER(CI1317),IF(CI1317&lt;$B$13,CI1317,""),"")</f>
        <v/>
      </c>
      <c r="CM1317">
        <f>IF(CH1317="","",IFERROR(IF(IF(AND(LEN(CH1317)=9,ISERROR(FIND("-",LEFT(CH1317,8))),ISNUMBER(-LEFT(CH1317,8))),VALUE(LEFT(CH1317,4)),VALUE(LEFT(CH1317,FIND("-",CH1317)-1)))&lt;100,IF(AND(LEN(CH1317)=9,ISERROR(FIND("-",LEFT(CH1317,8))),ISNUMBER(-LEFT(CH1317,8))),VALUE(LEFT(CH1317,4)),VALUE(LEFT(CH1317,FIND("-",CH1317)-1)))+2000,IF(AND(LEN(CH1317)=9,ISERROR(FIND("-",LEFT(CH1317,8))),ISNUMBER(-LEFT(CH1317,8))),VALUE(LEFT(CH1317,4)),VALUE(LEFT(CH1317,FIND("-",CH1317)-1)))),""))</f>
        <v/>
      </c>
      <c r="CN1317">
        <f>IF(CH1317="","",IFERROR(IF(AND(LEN(CH1317)=9,ISERROR(FIND("-",LEFT(CH1317,8))),ISNUMBER(-LEFT(CH1317,8))),VALUE(MID(CH1317,5,2)),VALUE(MID(CH1317,FIND("-",CH1317)+1,FIND("-",CH1317,FIND("-",CH1317)+1)-FIND("-",CH1317)-1))),""))</f>
        <v/>
      </c>
      <c r="CO1317">
        <f>IF(CH1317="","",IFERROR(IF(AND(LEN(CH1317)=9,ISERROR(FIND("-",LEFT(CH1317,8))),ISNUMBER(-LEFT(CH1317,8))),VALUE(MID(CH1317,7,2)),VALUE(MID(CH1317,FIND("-",CH1317,FIND("-",CH1317)+1)+1,FIND("-",CH1317,FIND("-",CH1317,FIND("-",CH1317)+1)+1)-FIND("-",CH1317,FIND("-",CH1317)+1)-1))),""))</f>
        <v/>
      </c>
    </row>
    <row r="1318">
      <c r="CH1318">
        <f>IF(ISTEXT('월 가계부'!A1318),SUBSTITUTE(SUBSTITUTE(SUBSTITUTE(SUBSTITUTE(SUBSTITUTE(SUBSTITUTE(SUBSTITUTE(SUBSTITUTE(SUBSTITUTE(TRIM('월 가계부'!A1318),"년","-"),"월","-"),"일",""),".","-"),"/","-")," ","-"),"--","-"),"--","-"),"--","-")&amp;"-","")</f>
        <v/>
      </c>
      <c r="CI1318">
        <f>IFERROR(IF('월 가계부'!A1318="","",IF(ISNUMBER('월 가계부'!A1318),IF(AND('월 가계부'!A1318&gt;=19000101,'월 가계부'!A1318&lt;=21001231),IF(AND(MOD(INT('월 가계부'!A1318/100),100)&gt;=1,MOD(INT('월 가계부'!A1318/100),100)&lt;=12,MOD(INT('월 가계부'!A1318),100)&gt;=1,MOD(INT('월 가계부'!A1318),100)&lt;=31),IF(MONTH(DATE(INT('월 가계부'!A1318/10000),MOD(INT('월 가계부'!A1318/100),100),MOD(INT('월 가계부'!A1318),100)))=MOD(INT('월 가계부'!A1318/100),100),DATE(INT('월 가계부'!A1318/10000),MOD(INT('월 가계부'!A1318/100),100),MOD(INT('월 가계부'!A1318),100)),""),""),IF(AND('월 가계부'!A1318&gt;=36526,'월 가계부'!A1318&lt;73051),INT('월 가계부'!A1318),"")),IF(OR(CM1318="",CN1318="",CO1318=""),"",IF(AND(CM1318&gt;=2000,CM1318&lt;=2099,CN1318&gt;=1,CN1318&lt;=12,CO1318&gt;=1,CO1318&lt;=31),IF(MONTH(DATE(CM1318,CN1318,CO1318))=CN1318,DATE(CM1318,CN1318,CO1318),""),"")))),"")</f>
        <v/>
      </c>
      <c r="CJ1318">
        <f>IFERROR(IF('월 가계부'!C1318="","",IF(ISNUMBER('월 가계부'!C1318),'월 가계부'!C1318,VALUE(SUBSTITUTE(SUBSTITUTE(SUBSTITUTE(SUBSTITUTE(TRIM('월 가계부'!C1318),",",""),"원","")," ",""),"−","-")))),"")</f>
        <v/>
      </c>
      <c r="CK1318">
        <f>IF(ISNUMBER(CI1318),IF(CI1318&lt;$B$13,CI1318,""),"")</f>
        <v/>
      </c>
      <c r="CM1318">
        <f>IF(CH1318="","",IFERROR(IF(IF(AND(LEN(CH1318)=9,ISERROR(FIND("-",LEFT(CH1318,8))),ISNUMBER(-LEFT(CH1318,8))),VALUE(LEFT(CH1318,4)),VALUE(LEFT(CH1318,FIND("-",CH1318)-1)))&lt;100,IF(AND(LEN(CH1318)=9,ISERROR(FIND("-",LEFT(CH1318,8))),ISNUMBER(-LEFT(CH1318,8))),VALUE(LEFT(CH1318,4)),VALUE(LEFT(CH1318,FIND("-",CH1318)-1)))+2000,IF(AND(LEN(CH1318)=9,ISERROR(FIND("-",LEFT(CH1318,8))),ISNUMBER(-LEFT(CH1318,8))),VALUE(LEFT(CH1318,4)),VALUE(LEFT(CH1318,FIND("-",CH1318)-1)))),""))</f>
        <v/>
      </c>
      <c r="CN1318">
        <f>IF(CH1318="","",IFERROR(IF(AND(LEN(CH1318)=9,ISERROR(FIND("-",LEFT(CH1318,8))),ISNUMBER(-LEFT(CH1318,8))),VALUE(MID(CH1318,5,2)),VALUE(MID(CH1318,FIND("-",CH1318)+1,FIND("-",CH1318,FIND("-",CH1318)+1)-FIND("-",CH1318)-1))),""))</f>
        <v/>
      </c>
      <c r="CO1318">
        <f>IF(CH1318="","",IFERROR(IF(AND(LEN(CH1318)=9,ISERROR(FIND("-",LEFT(CH1318,8))),ISNUMBER(-LEFT(CH1318,8))),VALUE(MID(CH1318,7,2)),VALUE(MID(CH1318,FIND("-",CH1318,FIND("-",CH1318)+1)+1,FIND("-",CH1318,FIND("-",CH1318,FIND("-",CH1318)+1)+1)-FIND("-",CH1318,FIND("-",CH1318)+1)-1))),""))</f>
        <v/>
      </c>
    </row>
    <row r="1319">
      <c r="CH1319">
        <f>IF(ISTEXT('월 가계부'!A1319),SUBSTITUTE(SUBSTITUTE(SUBSTITUTE(SUBSTITUTE(SUBSTITUTE(SUBSTITUTE(SUBSTITUTE(SUBSTITUTE(SUBSTITUTE(TRIM('월 가계부'!A1319),"년","-"),"월","-"),"일",""),".","-"),"/","-")," ","-"),"--","-"),"--","-"),"--","-")&amp;"-","")</f>
        <v/>
      </c>
      <c r="CI1319">
        <f>IFERROR(IF('월 가계부'!A1319="","",IF(ISNUMBER('월 가계부'!A1319),IF(AND('월 가계부'!A1319&gt;=19000101,'월 가계부'!A1319&lt;=21001231),IF(AND(MOD(INT('월 가계부'!A1319/100),100)&gt;=1,MOD(INT('월 가계부'!A1319/100),100)&lt;=12,MOD(INT('월 가계부'!A1319),100)&gt;=1,MOD(INT('월 가계부'!A1319),100)&lt;=31),IF(MONTH(DATE(INT('월 가계부'!A1319/10000),MOD(INT('월 가계부'!A1319/100),100),MOD(INT('월 가계부'!A1319),100)))=MOD(INT('월 가계부'!A1319/100),100),DATE(INT('월 가계부'!A1319/10000),MOD(INT('월 가계부'!A1319/100),100),MOD(INT('월 가계부'!A1319),100)),""),""),IF(AND('월 가계부'!A1319&gt;=36526,'월 가계부'!A1319&lt;73051),INT('월 가계부'!A1319),"")),IF(OR(CM1319="",CN1319="",CO1319=""),"",IF(AND(CM1319&gt;=2000,CM1319&lt;=2099,CN1319&gt;=1,CN1319&lt;=12,CO1319&gt;=1,CO1319&lt;=31),IF(MONTH(DATE(CM1319,CN1319,CO1319))=CN1319,DATE(CM1319,CN1319,CO1319),""),"")))),"")</f>
        <v/>
      </c>
      <c r="CJ1319">
        <f>IFERROR(IF('월 가계부'!C1319="","",IF(ISNUMBER('월 가계부'!C1319),'월 가계부'!C1319,VALUE(SUBSTITUTE(SUBSTITUTE(SUBSTITUTE(SUBSTITUTE(TRIM('월 가계부'!C1319),",",""),"원","")," ",""),"−","-")))),"")</f>
        <v/>
      </c>
      <c r="CK1319">
        <f>IF(ISNUMBER(CI1319),IF(CI1319&lt;$B$13,CI1319,""),"")</f>
        <v/>
      </c>
      <c r="CM1319">
        <f>IF(CH1319="","",IFERROR(IF(IF(AND(LEN(CH1319)=9,ISERROR(FIND("-",LEFT(CH1319,8))),ISNUMBER(-LEFT(CH1319,8))),VALUE(LEFT(CH1319,4)),VALUE(LEFT(CH1319,FIND("-",CH1319)-1)))&lt;100,IF(AND(LEN(CH1319)=9,ISERROR(FIND("-",LEFT(CH1319,8))),ISNUMBER(-LEFT(CH1319,8))),VALUE(LEFT(CH1319,4)),VALUE(LEFT(CH1319,FIND("-",CH1319)-1)))+2000,IF(AND(LEN(CH1319)=9,ISERROR(FIND("-",LEFT(CH1319,8))),ISNUMBER(-LEFT(CH1319,8))),VALUE(LEFT(CH1319,4)),VALUE(LEFT(CH1319,FIND("-",CH1319)-1)))),""))</f>
        <v/>
      </c>
      <c r="CN1319">
        <f>IF(CH1319="","",IFERROR(IF(AND(LEN(CH1319)=9,ISERROR(FIND("-",LEFT(CH1319,8))),ISNUMBER(-LEFT(CH1319,8))),VALUE(MID(CH1319,5,2)),VALUE(MID(CH1319,FIND("-",CH1319)+1,FIND("-",CH1319,FIND("-",CH1319)+1)-FIND("-",CH1319)-1))),""))</f>
        <v/>
      </c>
      <c r="CO1319">
        <f>IF(CH1319="","",IFERROR(IF(AND(LEN(CH1319)=9,ISERROR(FIND("-",LEFT(CH1319,8))),ISNUMBER(-LEFT(CH1319,8))),VALUE(MID(CH1319,7,2)),VALUE(MID(CH1319,FIND("-",CH1319,FIND("-",CH1319)+1)+1,FIND("-",CH1319,FIND("-",CH1319,FIND("-",CH1319)+1)+1)-FIND("-",CH1319,FIND("-",CH1319)+1)-1))),""))</f>
        <v/>
      </c>
    </row>
    <row r="1320">
      <c r="CH1320">
        <f>IF(ISTEXT('월 가계부'!A1320),SUBSTITUTE(SUBSTITUTE(SUBSTITUTE(SUBSTITUTE(SUBSTITUTE(SUBSTITUTE(SUBSTITUTE(SUBSTITUTE(SUBSTITUTE(TRIM('월 가계부'!A1320),"년","-"),"월","-"),"일",""),".","-"),"/","-")," ","-"),"--","-"),"--","-"),"--","-")&amp;"-","")</f>
        <v/>
      </c>
      <c r="CI1320">
        <f>IFERROR(IF('월 가계부'!A1320="","",IF(ISNUMBER('월 가계부'!A1320),IF(AND('월 가계부'!A1320&gt;=19000101,'월 가계부'!A1320&lt;=21001231),IF(AND(MOD(INT('월 가계부'!A1320/100),100)&gt;=1,MOD(INT('월 가계부'!A1320/100),100)&lt;=12,MOD(INT('월 가계부'!A1320),100)&gt;=1,MOD(INT('월 가계부'!A1320),100)&lt;=31),IF(MONTH(DATE(INT('월 가계부'!A1320/10000),MOD(INT('월 가계부'!A1320/100),100),MOD(INT('월 가계부'!A1320),100)))=MOD(INT('월 가계부'!A1320/100),100),DATE(INT('월 가계부'!A1320/10000),MOD(INT('월 가계부'!A1320/100),100),MOD(INT('월 가계부'!A1320),100)),""),""),IF(AND('월 가계부'!A1320&gt;=36526,'월 가계부'!A1320&lt;73051),INT('월 가계부'!A1320),"")),IF(OR(CM1320="",CN1320="",CO1320=""),"",IF(AND(CM1320&gt;=2000,CM1320&lt;=2099,CN1320&gt;=1,CN1320&lt;=12,CO1320&gt;=1,CO1320&lt;=31),IF(MONTH(DATE(CM1320,CN1320,CO1320))=CN1320,DATE(CM1320,CN1320,CO1320),""),"")))),"")</f>
        <v/>
      </c>
      <c r="CJ1320">
        <f>IFERROR(IF('월 가계부'!C1320="","",IF(ISNUMBER('월 가계부'!C1320),'월 가계부'!C1320,VALUE(SUBSTITUTE(SUBSTITUTE(SUBSTITUTE(SUBSTITUTE(TRIM('월 가계부'!C1320),",",""),"원","")," ",""),"−","-")))),"")</f>
        <v/>
      </c>
      <c r="CK1320">
        <f>IF(ISNUMBER(CI1320),IF(CI1320&lt;$B$13,CI1320,""),"")</f>
        <v/>
      </c>
      <c r="CM1320">
        <f>IF(CH1320="","",IFERROR(IF(IF(AND(LEN(CH1320)=9,ISERROR(FIND("-",LEFT(CH1320,8))),ISNUMBER(-LEFT(CH1320,8))),VALUE(LEFT(CH1320,4)),VALUE(LEFT(CH1320,FIND("-",CH1320)-1)))&lt;100,IF(AND(LEN(CH1320)=9,ISERROR(FIND("-",LEFT(CH1320,8))),ISNUMBER(-LEFT(CH1320,8))),VALUE(LEFT(CH1320,4)),VALUE(LEFT(CH1320,FIND("-",CH1320)-1)))+2000,IF(AND(LEN(CH1320)=9,ISERROR(FIND("-",LEFT(CH1320,8))),ISNUMBER(-LEFT(CH1320,8))),VALUE(LEFT(CH1320,4)),VALUE(LEFT(CH1320,FIND("-",CH1320)-1)))),""))</f>
        <v/>
      </c>
      <c r="CN1320">
        <f>IF(CH1320="","",IFERROR(IF(AND(LEN(CH1320)=9,ISERROR(FIND("-",LEFT(CH1320,8))),ISNUMBER(-LEFT(CH1320,8))),VALUE(MID(CH1320,5,2)),VALUE(MID(CH1320,FIND("-",CH1320)+1,FIND("-",CH1320,FIND("-",CH1320)+1)-FIND("-",CH1320)-1))),""))</f>
        <v/>
      </c>
      <c r="CO1320">
        <f>IF(CH1320="","",IFERROR(IF(AND(LEN(CH1320)=9,ISERROR(FIND("-",LEFT(CH1320,8))),ISNUMBER(-LEFT(CH1320,8))),VALUE(MID(CH1320,7,2)),VALUE(MID(CH1320,FIND("-",CH1320,FIND("-",CH1320)+1)+1,FIND("-",CH1320,FIND("-",CH1320,FIND("-",CH1320)+1)+1)-FIND("-",CH1320,FIND("-",CH1320)+1)-1))),""))</f>
        <v/>
      </c>
    </row>
    <row r="1321">
      <c r="CH1321">
        <f>IF(ISTEXT('월 가계부'!A1321),SUBSTITUTE(SUBSTITUTE(SUBSTITUTE(SUBSTITUTE(SUBSTITUTE(SUBSTITUTE(SUBSTITUTE(SUBSTITUTE(SUBSTITUTE(TRIM('월 가계부'!A1321),"년","-"),"월","-"),"일",""),".","-"),"/","-")," ","-"),"--","-"),"--","-"),"--","-")&amp;"-","")</f>
        <v/>
      </c>
      <c r="CI1321">
        <f>IFERROR(IF('월 가계부'!A1321="","",IF(ISNUMBER('월 가계부'!A1321),IF(AND('월 가계부'!A1321&gt;=19000101,'월 가계부'!A1321&lt;=21001231),IF(AND(MOD(INT('월 가계부'!A1321/100),100)&gt;=1,MOD(INT('월 가계부'!A1321/100),100)&lt;=12,MOD(INT('월 가계부'!A1321),100)&gt;=1,MOD(INT('월 가계부'!A1321),100)&lt;=31),IF(MONTH(DATE(INT('월 가계부'!A1321/10000),MOD(INT('월 가계부'!A1321/100),100),MOD(INT('월 가계부'!A1321),100)))=MOD(INT('월 가계부'!A1321/100),100),DATE(INT('월 가계부'!A1321/10000),MOD(INT('월 가계부'!A1321/100),100),MOD(INT('월 가계부'!A1321),100)),""),""),IF(AND('월 가계부'!A1321&gt;=36526,'월 가계부'!A1321&lt;73051),INT('월 가계부'!A1321),"")),IF(OR(CM1321="",CN1321="",CO1321=""),"",IF(AND(CM1321&gt;=2000,CM1321&lt;=2099,CN1321&gt;=1,CN1321&lt;=12,CO1321&gt;=1,CO1321&lt;=31),IF(MONTH(DATE(CM1321,CN1321,CO1321))=CN1321,DATE(CM1321,CN1321,CO1321),""),"")))),"")</f>
        <v/>
      </c>
      <c r="CJ1321">
        <f>IFERROR(IF('월 가계부'!C1321="","",IF(ISNUMBER('월 가계부'!C1321),'월 가계부'!C1321,VALUE(SUBSTITUTE(SUBSTITUTE(SUBSTITUTE(SUBSTITUTE(TRIM('월 가계부'!C1321),",",""),"원","")," ",""),"−","-")))),"")</f>
        <v/>
      </c>
      <c r="CK1321">
        <f>IF(ISNUMBER(CI1321),IF(CI1321&lt;$B$13,CI1321,""),"")</f>
        <v/>
      </c>
      <c r="CM1321">
        <f>IF(CH1321="","",IFERROR(IF(IF(AND(LEN(CH1321)=9,ISERROR(FIND("-",LEFT(CH1321,8))),ISNUMBER(-LEFT(CH1321,8))),VALUE(LEFT(CH1321,4)),VALUE(LEFT(CH1321,FIND("-",CH1321)-1)))&lt;100,IF(AND(LEN(CH1321)=9,ISERROR(FIND("-",LEFT(CH1321,8))),ISNUMBER(-LEFT(CH1321,8))),VALUE(LEFT(CH1321,4)),VALUE(LEFT(CH1321,FIND("-",CH1321)-1)))+2000,IF(AND(LEN(CH1321)=9,ISERROR(FIND("-",LEFT(CH1321,8))),ISNUMBER(-LEFT(CH1321,8))),VALUE(LEFT(CH1321,4)),VALUE(LEFT(CH1321,FIND("-",CH1321)-1)))),""))</f>
        <v/>
      </c>
      <c r="CN1321">
        <f>IF(CH1321="","",IFERROR(IF(AND(LEN(CH1321)=9,ISERROR(FIND("-",LEFT(CH1321,8))),ISNUMBER(-LEFT(CH1321,8))),VALUE(MID(CH1321,5,2)),VALUE(MID(CH1321,FIND("-",CH1321)+1,FIND("-",CH1321,FIND("-",CH1321)+1)-FIND("-",CH1321)-1))),""))</f>
        <v/>
      </c>
      <c r="CO1321">
        <f>IF(CH1321="","",IFERROR(IF(AND(LEN(CH1321)=9,ISERROR(FIND("-",LEFT(CH1321,8))),ISNUMBER(-LEFT(CH1321,8))),VALUE(MID(CH1321,7,2)),VALUE(MID(CH1321,FIND("-",CH1321,FIND("-",CH1321)+1)+1,FIND("-",CH1321,FIND("-",CH1321,FIND("-",CH1321)+1)+1)-FIND("-",CH1321,FIND("-",CH1321)+1)-1))),""))</f>
        <v/>
      </c>
    </row>
    <row r="1322">
      <c r="CH1322">
        <f>IF(ISTEXT('월 가계부'!A1322),SUBSTITUTE(SUBSTITUTE(SUBSTITUTE(SUBSTITUTE(SUBSTITUTE(SUBSTITUTE(SUBSTITUTE(SUBSTITUTE(SUBSTITUTE(TRIM('월 가계부'!A1322),"년","-"),"월","-"),"일",""),".","-"),"/","-")," ","-"),"--","-"),"--","-"),"--","-")&amp;"-","")</f>
        <v/>
      </c>
      <c r="CI1322">
        <f>IFERROR(IF('월 가계부'!A1322="","",IF(ISNUMBER('월 가계부'!A1322),IF(AND('월 가계부'!A1322&gt;=19000101,'월 가계부'!A1322&lt;=21001231),IF(AND(MOD(INT('월 가계부'!A1322/100),100)&gt;=1,MOD(INT('월 가계부'!A1322/100),100)&lt;=12,MOD(INT('월 가계부'!A1322),100)&gt;=1,MOD(INT('월 가계부'!A1322),100)&lt;=31),IF(MONTH(DATE(INT('월 가계부'!A1322/10000),MOD(INT('월 가계부'!A1322/100),100),MOD(INT('월 가계부'!A1322),100)))=MOD(INT('월 가계부'!A1322/100),100),DATE(INT('월 가계부'!A1322/10000),MOD(INT('월 가계부'!A1322/100),100),MOD(INT('월 가계부'!A1322),100)),""),""),IF(AND('월 가계부'!A1322&gt;=36526,'월 가계부'!A1322&lt;73051),INT('월 가계부'!A1322),"")),IF(OR(CM1322="",CN1322="",CO1322=""),"",IF(AND(CM1322&gt;=2000,CM1322&lt;=2099,CN1322&gt;=1,CN1322&lt;=12,CO1322&gt;=1,CO1322&lt;=31),IF(MONTH(DATE(CM1322,CN1322,CO1322))=CN1322,DATE(CM1322,CN1322,CO1322),""),"")))),"")</f>
        <v/>
      </c>
      <c r="CJ1322">
        <f>IFERROR(IF('월 가계부'!C1322="","",IF(ISNUMBER('월 가계부'!C1322),'월 가계부'!C1322,VALUE(SUBSTITUTE(SUBSTITUTE(SUBSTITUTE(SUBSTITUTE(TRIM('월 가계부'!C1322),",",""),"원","")," ",""),"−","-")))),"")</f>
        <v/>
      </c>
      <c r="CK1322">
        <f>IF(ISNUMBER(CI1322),IF(CI1322&lt;$B$13,CI1322,""),"")</f>
        <v/>
      </c>
      <c r="CM1322">
        <f>IF(CH1322="","",IFERROR(IF(IF(AND(LEN(CH1322)=9,ISERROR(FIND("-",LEFT(CH1322,8))),ISNUMBER(-LEFT(CH1322,8))),VALUE(LEFT(CH1322,4)),VALUE(LEFT(CH1322,FIND("-",CH1322)-1)))&lt;100,IF(AND(LEN(CH1322)=9,ISERROR(FIND("-",LEFT(CH1322,8))),ISNUMBER(-LEFT(CH1322,8))),VALUE(LEFT(CH1322,4)),VALUE(LEFT(CH1322,FIND("-",CH1322)-1)))+2000,IF(AND(LEN(CH1322)=9,ISERROR(FIND("-",LEFT(CH1322,8))),ISNUMBER(-LEFT(CH1322,8))),VALUE(LEFT(CH1322,4)),VALUE(LEFT(CH1322,FIND("-",CH1322)-1)))),""))</f>
        <v/>
      </c>
      <c r="CN1322">
        <f>IF(CH1322="","",IFERROR(IF(AND(LEN(CH1322)=9,ISERROR(FIND("-",LEFT(CH1322,8))),ISNUMBER(-LEFT(CH1322,8))),VALUE(MID(CH1322,5,2)),VALUE(MID(CH1322,FIND("-",CH1322)+1,FIND("-",CH1322,FIND("-",CH1322)+1)-FIND("-",CH1322)-1))),""))</f>
        <v/>
      </c>
      <c r="CO1322">
        <f>IF(CH1322="","",IFERROR(IF(AND(LEN(CH1322)=9,ISERROR(FIND("-",LEFT(CH1322,8))),ISNUMBER(-LEFT(CH1322,8))),VALUE(MID(CH1322,7,2)),VALUE(MID(CH1322,FIND("-",CH1322,FIND("-",CH1322)+1)+1,FIND("-",CH1322,FIND("-",CH1322,FIND("-",CH1322)+1)+1)-FIND("-",CH1322,FIND("-",CH1322)+1)-1))),""))</f>
        <v/>
      </c>
    </row>
    <row r="1323">
      <c r="CH1323">
        <f>IF(ISTEXT('월 가계부'!A1323),SUBSTITUTE(SUBSTITUTE(SUBSTITUTE(SUBSTITUTE(SUBSTITUTE(SUBSTITUTE(SUBSTITUTE(SUBSTITUTE(SUBSTITUTE(TRIM('월 가계부'!A1323),"년","-"),"월","-"),"일",""),".","-"),"/","-")," ","-"),"--","-"),"--","-"),"--","-")&amp;"-","")</f>
        <v/>
      </c>
      <c r="CI1323">
        <f>IFERROR(IF('월 가계부'!A1323="","",IF(ISNUMBER('월 가계부'!A1323),IF(AND('월 가계부'!A1323&gt;=19000101,'월 가계부'!A1323&lt;=21001231),IF(AND(MOD(INT('월 가계부'!A1323/100),100)&gt;=1,MOD(INT('월 가계부'!A1323/100),100)&lt;=12,MOD(INT('월 가계부'!A1323),100)&gt;=1,MOD(INT('월 가계부'!A1323),100)&lt;=31),IF(MONTH(DATE(INT('월 가계부'!A1323/10000),MOD(INT('월 가계부'!A1323/100),100),MOD(INT('월 가계부'!A1323),100)))=MOD(INT('월 가계부'!A1323/100),100),DATE(INT('월 가계부'!A1323/10000),MOD(INT('월 가계부'!A1323/100),100),MOD(INT('월 가계부'!A1323),100)),""),""),IF(AND('월 가계부'!A1323&gt;=36526,'월 가계부'!A1323&lt;73051),INT('월 가계부'!A1323),"")),IF(OR(CM1323="",CN1323="",CO1323=""),"",IF(AND(CM1323&gt;=2000,CM1323&lt;=2099,CN1323&gt;=1,CN1323&lt;=12,CO1323&gt;=1,CO1323&lt;=31),IF(MONTH(DATE(CM1323,CN1323,CO1323))=CN1323,DATE(CM1323,CN1323,CO1323),""),"")))),"")</f>
        <v/>
      </c>
      <c r="CJ1323">
        <f>IFERROR(IF('월 가계부'!C1323="","",IF(ISNUMBER('월 가계부'!C1323),'월 가계부'!C1323,VALUE(SUBSTITUTE(SUBSTITUTE(SUBSTITUTE(SUBSTITUTE(TRIM('월 가계부'!C1323),",",""),"원","")," ",""),"−","-")))),"")</f>
        <v/>
      </c>
      <c r="CK1323">
        <f>IF(ISNUMBER(CI1323),IF(CI1323&lt;$B$13,CI1323,""),"")</f>
        <v/>
      </c>
      <c r="CM1323">
        <f>IF(CH1323="","",IFERROR(IF(IF(AND(LEN(CH1323)=9,ISERROR(FIND("-",LEFT(CH1323,8))),ISNUMBER(-LEFT(CH1323,8))),VALUE(LEFT(CH1323,4)),VALUE(LEFT(CH1323,FIND("-",CH1323)-1)))&lt;100,IF(AND(LEN(CH1323)=9,ISERROR(FIND("-",LEFT(CH1323,8))),ISNUMBER(-LEFT(CH1323,8))),VALUE(LEFT(CH1323,4)),VALUE(LEFT(CH1323,FIND("-",CH1323)-1)))+2000,IF(AND(LEN(CH1323)=9,ISERROR(FIND("-",LEFT(CH1323,8))),ISNUMBER(-LEFT(CH1323,8))),VALUE(LEFT(CH1323,4)),VALUE(LEFT(CH1323,FIND("-",CH1323)-1)))),""))</f>
        <v/>
      </c>
      <c r="CN1323">
        <f>IF(CH1323="","",IFERROR(IF(AND(LEN(CH1323)=9,ISERROR(FIND("-",LEFT(CH1323,8))),ISNUMBER(-LEFT(CH1323,8))),VALUE(MID(CH1323,5,2)),VALUE(MID(CH1323,FIND("-",CH1323)+1,FIND("-",CH1323,FIND("-",CH1323)+1)-FIND("-",CH1323)-1))),""))</f>
        <v/>
      </c>
      <c r="CO1323">
        <f>IF(CH1323="","",IFERROR(IF(AND(LEN(CH1323)=9,ISERROR(FIND("-",LEFT(CH1323,8))),ISNUMBER(-LEFT(CH1323,8))),VALUE(MID(CH1323,7,2)),VALUE(MID(CH1323,FIND("-",CH1323,FIND("-",CH1323)+1)+1,FIND("-",CH1323,FIND("-",CH1323,FIND("-",CH1323)+1)+1)-FIND("-",CH1323,FIND("-",CH1323)+1)-1))),""))</f>
        <v/>
      </c>
    </row>
    <row r="1324">
      <c r="CH1324">
        <f>IF(ISTEXT('월 가계부'!A1324),SUBSTITUTE(SUBSTITUTE(SUBSTITUTE(SUBSTITUTE(SUBSTITUTE(SUBSTITUTE(SUBSTITUTE(SUBSTITUTE(SUBSTITUTE(TRIM('월 가계부'!A1324),"년","-"),"월","-"),"일",""),".","-"),"/","-")," ","-"),"--","-"),"--","-"),"--","-")&amp;"-","")</f>
        <v/>
      </c>
      <c r="CI1324">
        <f>IFERROR(IF('월 가계부'!A1324="","",IF(ISNUMBER('월 가계부'!A1324),IF(AND('월 가계부'!A1324&gt;=19000101,'월 가계부'!A1324&lt;=21001231),IF(AND(MOD(INT('월 가계부'!A1324/100),100)&gt;=1,MOD(INT('월 가계부'!A1324/100),100)&lt;=12,MOD(INT('월 가계부'!A1324),100)&gt;=1,MOD(INT('월 가계부'!A1324),100)&lt;=31),IF(MONTH(DATE(INT('월 가계부'!A1324/10000),MOD(INT('월 가계부'!A1324/100),100),MOD(INT('월 가계부'!A1324),100)))=MOD(INT('월 가계부'!A1324/100),100),DATE(INT('월 가계부'!A1324/10000),MOD(INT('월 가계부'!A1324/100),100),MOD(INT('월 가계부'!A1324),100)),""),""),IF(AND('월 가계부'!A1324&gt;=36526,'월 가계부'!A1324&lt;73051),INT('월 가계부'!A1324),"")),IF(OR(CM1324="",CN1324="",CO1324=""),"",IF(AND(CM1324&gt;=2000,CM1324&lt;=2099,CN1324&gt;=1,CN1324&lt;=12,CO1324&gt;=1,CO1324&lt;=31),IF(MONTH(DATE(CM1324,CN1324,CO1324))=CN1324,DATE(CM1324,CN1324,CO1324),""),"")))),"")</f>
        <v/>
      </c>
      <c r="CJ1324">
        <f>IFERROR(IF('월 가계부'!C1324="","",IF(ISNUMBER('월 가계부'!C1324),'월 가계부'!C1324,VALUE(SUBSTITUTE(SUBSTITUTE(SUBSTITUTE(SUBSTITUTE(TRIM('월 가계부'!C1324),",",""),"원","")," ",""),"−","-")))),"")</f>
        <v/>
      </c>
      <c r="CK1324">
        <f>IF(ISNUMBER(CI1324),IF(CI1324&lt;$B$13,CI1324,""),"")</f>
        <v/>
      </c>
      <c r="CM1324">
        <f>IF(CH1324="","",IFERROR(IF(IF(AND(LEN(CH1324)=9,ISERROR(FIND("-",LEFT(CH1324,8))),ISNUMBER(-LEFT(CH1324,8))),VALUE(LEFT(CH1324,4)),VALUE(LEFT(CH1324,FIND("-",CH1324)-1)))&lt;100,IF(AND(LEN(CH1324)=9,ISERROR(FIND("-",LEFT(CH1324,8))),ISNUMBER(-LEFT(CH1324,8))),VALUE(LEFT(CH1324,4)),VALUE(LEFT(CH1324,FIND("-",CH1324)-1)))+2000,IF(AND(LEN(CH1324)=9,ISERROR(FIND("-",LEFT(CH1324,8))),ISNUMBER(-LEFT(CH1324,8))),VALUE(LEFT(CH1324,4)),VALUE(LEFT(CH1324,FIND("-",CH1324)-1)))),""))</f>
        <v/>
      </c>
      <c r="CN1324">
        <f>IF(CH1324="","",IFERROR(IF(AND(LEN(CH1324)=9,ISERROR(FIND("-",LEFT(CH1324,8))),ISNUMBER(-LEFT(CH1324,8))),VALUE(MID(CH1324,5,2)),VALUE(MID(CH1324,FIND("-",CH1324)+1,FIND("-",CH1324,FIND("-",CH1324)+1)-FIND("-",CH1324)-1))),""))</f>
        <v/>
      </c>
      <c r="CO1324">
        <f>IF(CH1324="","",IFERROR(IF(AND(LEN(CH1324)=9,ISERROR(FIND("-",LEFT(CH1324,8))),ISNUMBER(-LEFT(CH1324,8))),VALUE(MID(CH1324,7,2)),VALUE(MID(CH1324,FIND("-",CH1324,FIND("-",CH1324)+1)+1,FIND("-",CH1324,FIND("-",CH1324,FIND("-",CH1324)+1)+1)-FIND("-",CH1324,FIND("-",CH1324)+1)-1))),""))</f>
        <v/>
      </c>
    </row>
    <row r="1325">
      <c r="CH1325">
        <f>IF(ISTEXT('월 가계부'!A1325),SUBSTITUTE(SUBSTITUTE(SUBSTITUTE(SUBSTITUTE(SUBSTITUTE(SUBSTITUTE(SUBSTITUTE(SUBSTITUTE(SUBSTITUTE(TRIM('월 가계부'!A1325),"년","-"),"월","-"),"일",""),".","-"),"/","-")," ","-"),"--","-"),"--","-"),"--","-")&amp;"-","")</f>
        <v/>
      </c>
      <c r="CI1325">
        <f>IFERROR(IF('월 가계부'!A1325="","",IF(ISNUMBER('월 가계부'!A1325),IF(AND('월 가계부'!A1325&gt;=19000101,'월 가계부'!A1325&lt;=21001231),IF(AND(MOD(INT('월 가계부'!A1325/100),100)&gt;=1,MOD(INT('월 가계부'!A1325/100),100)&lt;=12,MOD(INT('월 가계부'!A1325),100)&gt;=1,MOD(INT('월 가계부'!A1325),100)&lt;=31),IF(MONTH(DATE(INT('월 가계부'!A1325/10000),MOD(INT('월 가계부'!A1325/100),100),MOD(INT('월 가계부'!A1325),100)))=MOD(INT('월 가계부'!A1325/100),100),DATE(INT('월 가계부'!A1325/10000),MOD(INT('월 가계부'!A1325/100),100),MOD(INT('월 가계부'!A1325),100)),""),""),IF(AND('월 가계부'!A1325&gt;=36526,'월 가계부'!A1325&lt;73051),INT('월 가계부'!A1325),"")),IF(OR(CM1325="",CN1325="",CO1325=""),"",IF(AND(CM1325&gt;=2000,CM1325&lt;=2099,CN1325&gt;=1,CN1325&lt;=12,CO1325&gt;=1,CO1325&lt;=31),IF(MONTH(DATE(CM1325,CN1325,CO1325))=CN1325,DATE(CM1325,CN1325,CO1325),""),"")))),"")</f>
        <v/>
      </c>
      <c r="CJ1325">
        <f>IFERROR(IF('월 가계부'!C1325="","",IF(ISNUMBER('월 가계부'!C1325),'월 가계부'!C1325,VALUE(SUBSTITUTE(SUBSTITUTE(SUBSTITUTE(SUBSTITUTE(TRIM('월 가계부'!C1325),",",""),"원","")," ",""),"−","-")))),"")</f>
        <v/>
      </c>
      <c r="CK1325">
        <f>IF(ISNUMBER(CI1325),IF(CI1325&lt;$B$13,CI1325,""),"")</f>
        <v/>
      </c>
      <c r="CM1325">
        <f>IF(CH1325="","",IFERROR(IF(IF(AND(LEN(CH1325)=9,ISERROR(FIND("-",LEFT(CH1325,8))),ISNUMBER(-LEFT(CH1325,8))),VALUE(LEFT(CH1325,4)),VALUE(LEFT(CH1325,FIND("-",CH1325)-1)))&lt;100,IF(AND(LEN(CH1325)=9,ISERROR(FIND("-",LEFT(CH1325,8))),ISNUMBER(-LEFT(CH1325,8))),VALUE(LEFT(CH1325,4)),VALUE(LEFT(CH1325,FIND("-",CH1325)-1)))+2000,IF(AND(LEN(CH1325)=9,ISERROR(FIND("-",LEFT(CH1325,8))),ISNUMBER(-LEFT(CH1325,8))),VALUE(LEFT(CH1325,4)),VALUE(LEFT(CH1325,FIND("-",CH1325)-1)))),""))</f>
        <v/>
      </c>
      <c r="CN1325">
        <f>IF(CH1325="","",IFERROR(IF(AND(LEN(CH1325)=9,ISERROR(FIND("-",LEFT(CH1325,8))),ISNUMBER(-LEFT(CH1325,8))),VALUE(MID(CH1325,5,2)),VALUE(MID(CH1325,FIND("-",CH1325)+1,FIND("-",CH1325,FIND("-",CH1325)+1)-FIND("-",CH1325)-1))),""))</f>
        <v/>
      </c>
      <c r="CO1325">
        <f>IF(CH1325="","",IFERROR(IF(AND(LEN(CH1325)=9,ISERROR(FIND("-",LEFT(CH1325,8))),ISNUMBER(-LEFT(CH1325,8))),VALUE(MID(CH1325,7,2)),VALUE(MID(CH1325,FIND("-",CH1325,FIND("-",CH1325)+1)+1,FIND("-",CH1325,FIND("-",CH1325,FIND("-",CH1325)+1)+1)-FIND("-",CH1325,FIND("-",CH1325)+1)-1))),""))</f>
        <v/>
      </c>
    </row>
    <row r="1326">
      <c r="CH1326">
        <f>IF(ISTEXT('월 가계부'!A1326),SUBSTITUTE(SUBSTITUTE(SUBSTITUTE(SUBSTITUTE(SUBSTITUTE(SUBSTITUTE(SUBSTITUTE(SUBSTITUTE(SUBSTITUTE(TRIM('월 가계부'!A1326),"년","-"),"월","-"),"일",""),".","-"),"/","-")," ","-"),"--","-"),"--","-"),"--","-")&amp;"-","")</f>
        <v/>
      </c>
      <c r="CI1326">
        <f>IFERROR(IF('월 가계부'!A1326="","",IF(ISNUMBER('월 가계부'!A1326),IF(AND('월 가계부'!A1326&gt;=19000101,'월 가계부'!A1326&lt;=21001231),IF(AND(MOD(INT('월 가계부'!A1326/100),100)&gt;=1,MOD(INT('월 가계부'!A1326/100),100)&lt;=12,MOD(INT('월 가계부'!A1326),100)&gt;=1,MOD(INT('월 가계부'!A1326),100)&lt;=31),IF(MONTH(DATE(INT('월 가계부'!A1326/10000),MOD(INT('월 가계부'!A1326/100),100),MOD(INT('월 가계부'!A1326),100)))=MOD(INT('월 가계부'!A1326/100),100),DATE(INT('월 가계부'!A1326/10000),MOD(INT('월 가계부'!A1326/100),100),MOD(INT('월 가계부'!A1326),100)),""),""),IF(AND('월 가계부'!A1326&gt;=36526,'월 가계부'!A1326&lt;73051),INT('월 가계부'!A1326),"")),IF(OR(CM1326="",CN1326="",CO1326=""),"",IF(AND(CM1326&gt;=2000,CM1326&lt;=2099,CN1326&gt;=1,CN1326&lt;=12,CO1326&gt;=1,CO1326&lt;=31),IF(MONTH(DATE(CM1326,CN1326,CO1326))=CN1326,DATE(CM1326,CN1326,CO1326),""),"")))),"")</f>
        <v/>
      </c>
      <c r="CJ1326">
        <f>IFERROR(IF('월 가계부'!C1326="","",IF(ISNUMBER('월 가계부'!C1326),'월 가계부'!C1326,VALUE(SUBSTITUTE(SUBSTITUTE(SUBSTITUTE(SUBSTITUTE(TRIM('월 가계부'!C1326),",",""),"원","")," ",""),"−","-")))),"")</f>
        <v/>
      </c>
      <c r="CK1326">
        <f>IF(ISNUMBER(CI1326),IF(CI1326&lt;$B$13,CI1326,""),"")</f>
        <v/>
      </c>
      <c r="CM1326">
        <f>IF(CH1326="","",IFERROR(IF(IF(AND(LEN(CH1326)=9,ISERROR(FIND("-",LEFT(CH1326,8))),ISNUMBER(-LEFT(CH1326,8))),VALUE(LEFT(CH1326,4)),VALUE(LEFT(CH1326,FIND("-",CH1326)-1)))&lt;100,IF(AND(LEN(CH1326)=9,ISERROR(FIND("-",LEFT(CH1326,8))),ISNUMBER(-LEFT(CH1326,8))),VALUE(LEFT(CH1326,4)),VALUE(LEFT(CH1326,FIND("-",CH1326)-1)))+2000,IF(AND(LEN(CH1326)=9,ISERROR(FIND("-",LEFT(CH1326,8))),ISNUMBER(-LEFT(CH1326,8))),VALUE(LEFT(CH1326,4)),VALUE(LEFT(CH1326,FIND("-",CH1326)-1)))),""))</f>
        <v/>
      </c>
      <c r="CN1326">
        <f>IF(CH1326="","",IFERROR(IF(AND(LEN(CH1326)=9,ISERROR(FIND("-",LEFT(CH1326,8))),ISNUMBER(-LEFT(CH1326,8))),VALUE(MID(CH1326,5,2)),VALUE(MID(CH1326,FIND("-",CH1326)+1,FIND("-",CH1326,FIND("-",CH1326)+1)-FIND("-",CH1326)-1))),""))</f>
        <v/>
      </c>
      <c r="CO1326">
        <f>IF(CH1326="","",IFERROR(IF(AND(LEN(CH1326)=9,ISERROR(FIND("-",LEFT(CH1326,8))),ISNUMBER(-LEFT(CH1326,8))),VALUE(MID(CH1326,7,2)),VALUE(MID(CH1326,FIND("-",CH1326,FIND("-",CH1326)+1)+1,FIND("-",CH1326,FIND("-",CH1326,FIND("-",CH1326)+1)+1)-FIND("-",CH1326,FIND("-",CH1326)+1)-1))),""))</f>
        <v/>
      </c>
    </row>
    <row r="1327">
      <c r="CH1327">
        <f>IF(ISTEXT('월 가계부'!A1327),SUBSTITUTE(SUBSTITUTE(SUBSTITUTE(SUBSTITUTE(SUBSTITUTE(SUBSTITUTE(SUBSTITUTE(SUBSTITUTE(SUBSTITUTE(TRIM('월 가계부'!A1327),"년","-"),"월","-"),"일",""),".","-"),"/","-")," ","-"),"--","-"),"--","-"),"--","-")&amp;"-","")</f>
        <v/>
      </c>
      <c r="CI1327">
        <f>IFERROR(IF('월 가계부'!A1327="","",IF(ISNUMBER('월 가계부'!A1327),IF(AND('월 가계부'!A1327&gt;=19000101,'월 가계부'!A1327&lt;=21001231),IF(AND(MOD(INT('월 가계부'!A1327/100),100)&gt;=1,MOD(INT('월 가계부'!A1327/100),100)&lt;=12,MOD(INT('월 가계부'!A1327),100)&gt;=1,MOD(INT('월 가계부'!A1327),100)&lt;=31),IF(MONTH(DATE(INT('월 가계부'!A1327/10000),MOD(INT('월 가계부'!A1327/100),100),MOD(INT('월 가계부'!A1327),100)))=MOD(INT('월 가계부'!A1327/100),100),DATE(INT('월 가계부'!A1327/10000),MOD(INT('월 가계부'!A1327/100),100),MOD(INT('월 가계부'!A1327),100)),""),""),IF(AND('월 가계부'!A1327&gt;=36526,'월 가계부'!A1327&lt;73051),INT('월 가계부'!A1327),"")),IF(OR(CM1327="",CN1327="",CO1327=""),"",IF(AND(CM1327&gt;=2000,CM1327&lt;=2099,CN1327&gt;=1,CN1327&lt;=12,CO1327&gt;=1,CO1327&lt;=31),IF(MONTH(DATE(CM1327,CN1327,CO1327))=CN1327,DATE(CM1327,CN1327,CO1327),""),"")))),"")</f>
        <v/>
      </c>
      <c r="CJ1327">
        <f>IFERROR(IF('월 가계부'!C1327="","",IF(ISNUMBER('월 가계부'!C1327),'월 가계부'!C1327,VALUE(SUBSTITUTE(SUBSTITUTE(SUBSTITUTE(SUBSTITUTE(TRIM('월 가계부'!C1327),",",""),"원","")," ",""),"−","-")))),"")</f>
        <v/>
      </c>
      <c r="CK1327">
        <f>IF(ISNUMBER(CI1327),IF(CI1327&lt;$B$13,CI1327,""),"")</f>
        <v/>
      </c>
      <c r="CM1327">
        <f>IF(CH1327="","",IFERROR(IF(IF(AND(LEN(CH1327)=9,ISERROR(FIND("-",LEFT(CH1327,8))),ISNUMBER(-LEFT(CH1327,8))),VALUE(LEFT(CH1327,4)),VALUE(LEFT(CH1327,FIND("-",CH1327)-1)))&lt;100,IF(AND(LEN(CH1327)=9,ISERROR(FIND("-",LEFT(CH1327,8))),ISNUMBER(-LEFT(CH1327,8))),VALUE(LEFT(CH1327,4)),VALUE(LEFT(CH1327,FIND("-",CH1327)-1)))+2000,IF(AND(LEN(CH1327)=9,ISERROR(FIND("-",LEFT(CH1327,8))),ISNUMBER(-LEFT(CH1327,8))),VALUE(LEFT(CH1327,4)),VALUE(LEFT(CH1327,FIND("-",CH1327)-1)))),""))</f>
        <v/>
      </c>
      <c r="CN1327">
        <f>IF(CH1327="","",IFERROR(IF(AND(LEN(CH1327)=9,ISERROR(FIND("-",LEFT(CH1327,8))),ISNUMBER(-LEFT(CH1327,8))),VALUE(MID(CH1327,5,2)),VALUE(MID(CH1327,FIND("-",CH1327)+1,FIND("-",CH1327,FIND("-",CH1327)+1)-FIND("-",CH1327)-1))),""))</f>
        <v/>
      </c>
      <c r="CO1327">
        <f>IF(CH1327="","",IFERROR(IF(AND(LEN(CH1327)=9,ISERROR(FIND("-",LEFT(CH1327,8))),ISNUMBER(-LEFT(CH1327,8))),VALUE(MID(CH1327,7,2)),VALUE(MID(CH1327,FIND("-",CH1327,FIND("-",CH1327)+1)+1,FIND("-",CH1327,FIND("-",CH1327,FIND("-",CH1327)+1)+1)-FIND("-",CH1327,FIND("-",CH1327)+1)-1))),""))</f>
        <v/>
      </c>
    </row>
    <row r="1328">
      <c r="CH1328">
        <f>IF(ISTEXT('월 가계부'!A1328),SUBSTITUTE(SUBSTITUTE(SUBSTITUTE(SUBSTITUTE(SUBSTITUTE(SUBSTITUTE(SUBSTITUTE(SUBSTITUTE(SUBSTITUTE(TRIM('월 가계부'!A1328),"년","-"),"월","-"),"일",""),".","-"),"/","-")," ","-"),"--","-"),"--","-"),"--","-")&amp;"-","")</f>
        <v/>
      </c>
      <c r="CI1328">
        <f>IFERROR(IF('월 가계부'!A1328="","",IF(ISNUMBER('월 가계부'!A1328),IF(AND('월 가계부'!A1328&gt;=19000101,'월 가계부'!A1328&lt;=21001231),IF(AND(MOD(INT('월 가계부'!A1328/100),100)&gt;=1,MOD(INT('월 가계부'!A1328/100),100)&lt;=12,MOD(INT('월 가계부'!A1328),100)&gt;=1,MOD(INT('월 가계부'!A1328),100)&lt;=31),IF(MONTH(DATE(INT('월 가계부'!A1328/10000),MOD(INT('월 가계부'!A1328/100),100),MOD(INT('월 가계부'!A1328),100)))=MOD(INT('월 가계부'!A1328/100),100),DATE(INT('월 가계부'!A1328/10000),MOD(INT('월 가계부'!A1328/100),100),MOD(INT('월 가계부'!A1328),100)),""),""),IF(AND('월 가계부'!A1328&gt;=36526,'월 가계부'!A1328&lt;73051),INT('월 가계부'!A1328),"")),IF(OR(CM1328="",CN1328="",CO1328=""),"",IF(AND(CM1328&gt;=2000,CM1328&lt;=2099,CN1328&gt;=1,CN1328&lt;=12,CO1328&gt;=1,CO1328&lt;=31),IF(MONTH(DATE(CM1328,CN1328,CO1328))=CN1328,DATE(CM1328,CN1328,CO1328),""),"")))),"")</f>
        <v/>
      </c>
      <c r="CJ1328">
        <f>IFERROR(IF('월 가계부'!C1328="","",IF(ISNUMBER('월 가계부'!C1328),'월 가계부'!C1328,VALUE(SUBSTITUTE(SUBSTITUTE(SUBSTITUTE(SUBSTITUTE(TRIM('월 가계부'!C1328),",",""),"원","")," ",""),"−","-")))),"")</f>
        <v/>
      </c>
      <c r="CK1328">
        <f>IF(ISNUMBER(CI1328),IF(CI1328&lt;$B$13,CI1328,""),"")</f>
        <v/>
      </c>
      <c r="CM1328">
        <f>IF(CH1328="","",IFERROR(IF(IF(AND(LEN(CH1328)=9,ISERROR(FIND("-",LEFT(CH1328,8))),ISNUMBER(-LEFT(CH1328,8))),VALUE(LEFT(CH1328,4)),VALUE(LEFT(CH1328,FIND("-",CH1328)-1)))&lt;100,IF(AND(LEN(CH1328)=9,ISERROR(FIND("-",LEFT(CH1328,8))),ISNUMBER(-LEFT(CH1328,8))),VALUE(LEFT(CH1328,4)),VALUE(LEFT(CH1328,FIND("-",CH1328)-1)))+2000,IF(AND(LEN(CH1328)=9,ISERROR(FIND("-",LEFT(CH1328,8))),ISNUMBER(-LEFT(CH1328,8))),VALUE(LEFT(CH1328,4)),VALUE(LEFT(CH1328,FIND("-",CH1328)-1)))),""))</f>
        <v/>
      </c>
      <c r="CN1328">
        <f>IF(CH1328="","",IFERROR(IF(AND(LEN(CH1328)=9,ISERROR(FIND("-",LEFT(CH1328,8))),ISNUMBER(-LEFT(CH1328,8))),VALUE(MID(CH1328,5,2)),VALUE(MID(CH1328,FIND("-",CH1328)+1,FIND("-",CH1328,FIND("-",CH1328)+1)-FIND("-",CH1328)-1))),""))</f>
        <v/>
      </c>
      <c r="CO1328">
        <f>IF(CH1328="","",IFERROR(IF(AND(LEN(CH1328)=9,ISERROR(FIND("-",LEFT(CH1328,8))),ISNUMBER(-LEFT(CH1328,8))),VALUE(MID(CH1328,7,2)),VALUE(MID(CH1328,FIND("-",CH1328,FIND("-",CH1328)+1)+1,FIND("-",CH1328,FIND("-",CH1328,FIND("-",CH1328)+1)+1)-FIND("-",CH1328,FIND("-",CH1328)+1)-1))),""))</f>
        <v/>
      </c>
    </row>
    <row r="1329">
      <c r="CH1329">
        <f>IF(ISTEXT('월 가계부'!A1329),SUBSTITUTE(SUBSTITUTE(SUBSTITUTE(SUBSTITUTE(SUBSTITUTE(SUBSTITUTE(SUBSTITUTE(SUBSTITUTE(SUBSTITUTE(TRIM('월 가계부'!A1329),"년","-"),"월","-"),"일",""),".","-"),"/","-")," ","-"),"--","-"),"--","-"),"--","-")&amp;"-","")</f>
        <v/>
      </c>
      <c r="CI1329">
        <f>IFERROR(IF('월 가계부'!A1329="","",IF(ISNUMBER('월 가계부'!A1329),IF(AND('월 가계부'!A1329&gt;=19000101,'월 가계부'!A1329&lt;=21001231),IF(AND(MOD(INT('월 가계부'!A1329/100),100)&gt;=1,MOD(INT('월 가계부'!A1329/100),100)&lt;=12,MOD(INT('월 가계부'!A1329),100)&gt;=1,MOD(INT('월 가계부'!A1329),100)&lt;=31),IF(MONTH(DATE(INT('월 가계부'!A1329/10000),MOD(INT('월 가계부'!A1329/100),100),MOD(INT('월 가계부'!A1329),100)))=MOD(INT('월 가계부'!A1329/100),100),DATE(INT('월 가계부'!A1329/10000),MOD(INT('월 가계부'!A1329/100),100),MOD(INT('월 가계부'!A1329),100)),""),""),IF(AND('월 가계부'!A1329&gt;=36526,'월 가계부'!A1329&lt;73051),INT('월 가계부'!A1329),"")),IF(OR(CM1329="",CN1329="",CO1329=""),"",IF(AND(CM1329&gt;=2000,CM1329&lt;=2099,CN1329&gt;=1,CN1329&lt;=12,CO1329&gt;=1,CO1329&lt;=31),IF(MONTH(DATE(CM1329,CN1329,CO1329))=CN1329,DATE(CM1329,CN1329,CO1329),""),"")))),"")</f>
        <v/>
      </c>
      <c r="CJ1329">
        <f>IFERROR(IF('월 가계부'!C1329="","",IF(ISNUMBER('월 가계부'!C1329),'월 가계부'!C1329,VALUE(SUBSTITUTE(SUBSTITUTE(SUBSTITUTE(SUBSTITUTE(TRIM('월 가계부'!C1329),",",""),"원","")," ",""),"−","-")))),"")</f>
        <v/>
      </c>
      <c r="CK1329">
        <f>IF(ISNUMBER(CI1329),IF(CI1329&lt;$B$13,CI1329,""),"")</f>
        <v/>
      </c>
      <c r="CM1329">
        <f>IF(CH1329="","",IFERROR(IF(IF(AND(LEN(CH1329)=9,ISERROR(FIND("-",LEFT(CH1329,8))),ISNUMBER(-LEFT(CH1329,8))),VALUE(LEFT(CH1329,4)),VALUE(LEFT(CH1329,FIND("-",CH1329)-1)))&lt;100,IF(AND(LEN(CH1329)=9,ISERROR(FIND("-",LEFT(CH1329,8))),ISNUMBER(-LEFT(CH1329,8))),VALUE(LEFT(CH1329,4)),VALUE(LEFT(CH1329,FIND("-",CH1329)-1)))+2000,IF(AND(LEN(CH1329)=9,ISERROR(FIND("-",LEFT(CH1329,8))),ISNUMBER(-LEFT(CH1329,8))),VALUE(LEFT(CH1329,4)),VALUE(LEFT(CH1329,FIND("-",CH1329)-1)))),""))</f>
        <v/>
      </c>
      <c r="CN1329">
        <f>IF(CH1329="","",IFERROR(IF(AND(LEN(CH1329)=9,ISERROR(FIND("-",LEFT(CH1329,8))),ISNUMBER(-LEFT(CH1329,8))),VALUE(MID(CH1329,5,2)),VALUE(MID(CH1329,FIND("-",CH1329)+1,FIND("-",CH1329,FIND("-",CH1329)+1)-FIND("-",CH1329)-1))),""))</f>
        <v/>
      </c>
      <c r="CO1329">
        <f>IF(CH1329="","",IFERROR(IF(AND(LEN(CH1329)=9,ISERROR(FIND("-",LEFT(CH1329,8))),ISNUMBER(-LEFT(CH1329,8))),VALUE(MID(CH1329,7,2)),VALUE(MID(CH1329,FIND("-",CH1329,FIND("-",CH1329)+1)+1,FIND("-",CH1329,FIND("-",CH1329,FIND("-",CH1329)+1)+1)-FIND("-",CH1329,FIND("-",CH1329)+1)-1))),""))</f>
        <v/>
      </c>
    </row>
    <row r="1330">
      <c r="CH1330">
        <f>IF(ISTEXT('월 가계부'!A1330),SUBSTITUTE(SUBSTITUTE(SUBSTITUTE(SUBSTITUTE(SUBSTITUTE(SUBSTITUTE(SUBSTITUTE(SUBSTITUTE(SUBSTITUTE(TRIM('월 가계부'!A1330),"년","-"),"월","-"),"일",""),".","-"),"/","-")," ","-"),"--","-"),"--","-"),"--","-")&amp;"-","")</f>
        <v/>
      </c>
      <c r="CI1330">
        <f>IFERROR(IF('월 가계부'!A1330="","",IF(ISNUMBER('월 가계부'!A1330),IF(AND('월 가계부'!A1330&gt;=19000101,'월 가계부'!A1330&lt;=21001231),IF(AND(MOD(INT('월 가계부'!A1330/100),100)&gt;=1,MOD(INT('월 가계부'!A1330/100),100)&lt;=12,MOD(INT('월 가계부'!A1330),100)&gt;=1,MOD(INT('월 가계부'!A1330),100)&lt;=31),IF(MONTH(DATE(INT('월 가계부'!A1330/10000),MOD(INT('월 가계부'!A1330/100),100),MOD(INT('월 가계부'!A1330),100)))=MOD(INT('월 가계부'!A1330/100),100),DATE(INT('월 가계부'!A1330/10000),MOD(INT('월 가계부'!A1330/100),100),MOD(INT('월 가계부'!A1330),100)),""),""),IF(AND('월 가계부'!A1330&gt;=36526,'월 가계부'!A1330&lt;73051),INT('월 가계부'!A1330),"")),IF(OR(CM1330="",CN1330="",CO1330=""),"",IF(AND(CM1330&gt;=2000,CM1330&lt;=2099,CN1330&gt;=1,CN1330&lt;=12,CO1330&gt;=1,CO1330&lt;=31),IF(MONTH(DATE(CM1330,CN1330,CO1330))=CN1330,DATE(CM1330,CN1330,CO1330),""),"")))),"")</f>
        <v/>
      </c>
      <c r="CJ1330">
        <f>IFERROR(IF('월 가계부'!C1330="","",IF(ISNUMBER('월 가계부'!C1330),'월 가계부'!C1330,VALUE(SUBSTITUTE(SUBSTITUTE(SUBSTITUTE(SUBSTITUTE(TRIM('월 가계부'!C1330),",",""),"원","")," ",""),"−","-")))),"")</f>
        <v/>
      </c>
      <c r="CK1330">
        <f>IF(ISNUMBER(CI1330),IF(CI1330&lt;$B$13,CI1330,""),"")</f>
        <v/>
      </c>
      <c r="CM1330">
        <f>IF(CH1330="","",IFERROR(IF(IF(AND(LEN(CH1330)=9,ISERROR(FIND("-",LEFT(CH1330,8))),ISNUMBER(-LEFT(CH1330,8))),VALUE(LEFT(CH1330,4)),VALUE(LEFT(CH1330,FIND("-",CH1330)-1)))&lt;100,IF(AND(LEN(CH1330)=9,ISERROR(FIND("-",LEFT(CH1330,8))),ISNUMBER(-LEFT(CH1330,8))),VALUE(LEFT(CH1330,4)),VALUE(LEFT(CH1330,FIND("-",CH1330)-1)))+2000,IF(AND(LEN(CH1330)=9,ISERROR(FIND("-",LEFT(CH1330,8))),ISNUMBER(-LEFT(CH1330,8))),VALUE(LEFT(CH1330,4)),VALUE(LEFT(CH1330,FIND("-",CH1330)-1)))),""))</f>
        <v/>
      </c>
      <c r="CN1330">
        <f>IF(CH1330="","",IFERROR(IF(AND(LEN(CH1330)=9,ISERROR(FIND("-",LEFT(CH1330,8))),ISNUMBER(-LEFT(CH1330,8))),VALUE(MID(CH1330,5,2)),VALUE(MID(CH1330,FIND("-",CH1330)+1,FIND("-",CH1330,FIND("-",CH1330)+1)-FIND("-",CH1330)-1))),""))</f>
        <v/>
      </c>
      <c r="CO1330">
        <f>IF(CH1330="","",IFERROR(IF(AND(LEN(CH1330)=9,ISERROR(FIND("-",LEFT(CH1330,8))),ISNUMBER(-LEFT(CH1330,8))),VALUE(MID(CH1330,7,2)),VALUE(MID(CH1330,FIND("-",CH1330,FIND("-",CH1330)+1)+1,FIND("-",CH1330,FIND("-",CH1330,FIND("-",CH1330)+1)+1)-FIND("-",CH1330,FIND("-",CH1330)+1)-1))),""))</f>
        <v/>
      </c>
    </row>
    <row r="1331">
      <c r="CH1331">
        <f>IF(ISTEXT('월 가계부'!A1331),SUBSTITUTE(SUBSTITUTE(SUBSTITUTE(SUBSTITUTE(SUBSTITUTE(SUBSTITUTE(SUBSTITUTE(SUBSTITUTE(SUBSTITUTE(TRIM('월 가계부'!A1331),"년","-"),"월","-"),"일",""),".","-"),"/","-")," ","-"),"--","-"),"--","-"),"--","-")&amp;"-","")</f>
        <v/>
      </c>
      <c r="CI1331">
        <f>IFERROR(IF('월 가계부'!A1331="","",IF(ISNUMBER('월 가계부'!A1331),IF(AND('월 가계부'!A1331&gt;=19000101,'월 가계부'!A1331&lt;=21001231),IF(AND(MOD(INT('월 가계부'!A1331/100),100)&gt;=1,MOD(INT('월 가계부'!A1331/100),100)&lt;=12,MOD(INT('월 가계부'!A1331),100)&gt;=1,MOD(INT('월 가계부'!A1331),100)&lt;=31),IF(MONTH(DATE(INT('월 가계부'!A1331/10000),MOD(INT('월 가계부'!A1331/100),100),MOD(INT('월 가계부'!A1331),100)))=MOD(INT('월 가계부'!A1331/100),100),DATE(INT('월 가계부'!A1331/10000),MOD(INT('월 가계부'!A1331/100),100),MOD(INT('월 가계부'!A1331),100)),""),""),IF(AND('월 가계부'!A1331&gt;=36526,'월 가계부'!A1331&lt;73051),INT('월 가계부'!A1331),"")),IF(OR(CM1331="",CN1331="",CO1331=""),"",IF(AND(CM1331&gt;=2000,CM1331&lt;=2099,CN1331&gt;=1,CN1331&lt;=12,CO1331&gt;=1,CO1331&lt;=31),IF(MONTH(DATE(CM1331,CN1331,CO1331))=CN1331,DATE(CM1331,CN1331,CO1331),""),"")))),"")</f>
        <v/>
      </c>
      <c r="CJ1331">
        <f>IFERROR(IF('월 가계부'!C1331="","",IF(ISNUMBER('월 가계부'!C1331),'월 가계부'!C1331,VALUE(SUBSTITUTE(SUBSTITUTE(SUBSTITUTE(SUBSTITUTE(TRIM('월 가계부'!C1331),",",""),"원","")," ",""),"−","-")))),"")</f>
        <v/>
      </c>
      <c r="CK1331">
        <f>IF(ISNUMBER(CI1331),IF(CI1331&lt;$B$13,CI1331,""),"")</f>
        <v/>
      </c>
      <c r="CM1331">
        <f>IF(CH1331="","",IFERROR(IF(IF(AND(LEN(CH1331)=9,ISERROR(FIND("-",LEFT(CH1331,8))),ISNUMBER(-LEFT(CH1331,8))),VALUE(LEFT(CH1331,4)),VALUE(LEFT(CH1331,FIND("-",CH1331)-1)))&lt;100,IF(AND(LEN(CH1331)=9,ISERROR(FIND("-",LEFT(CH1331,8))),ISNUMBER(-LEFT(CH1331,8))),VALUE(LEFT(CH1331,4)),VALUE(LEFT(CH1331,FIND("-",CH1331)-1)))+2000,IF(AND(LEN(CH1331)=9,ISERROR(FIND("-",LEFT(CH1331,8))),ISNUMBER(-LEFT(CH1331,8))),VALUE(LEFT(CH1331,4)),VALUE(LEFT(CH1331,FIND("-",CH1331)-1)))),""))</f>
        <v/>
      </c>
      <c r="CN1331">
        <f>IF(CH1331="","",IFERROR(IF(AND(LEN(CH1331)=9,ISERROR(FIND("-",LEFT(CH1331,8))),ISNUMBER(-LEFT(CH1331,8))),VALUE(MID(CH1331,5,2)),VALUE(MID(CH1331,FIND("-",CH1331)+1,FIND("-",CH1331,FIND("-",CH1331)+1)-FIND("-",CH1331)-1))),""))</f>
        <v/>
      </c>
      <c r="CO1331">
        <f>IF(CH1331="","",IFERROR(IF(AND(LEN(CH1331)=9,ISERROR(FIND("-",LEFT(CH1331,8))),ISNUMBER(-LEFT(CH1331,8))),VALUE(MID(CH1331,7,2)),VALUE(MID(CH1331,FIND("-",CH1331,FIND("-",CH1331)+1)+1,FIND("-",CH1331,FIND("-",CH1331,FIND("-",CH1331)+1)+1)-FIND("-",CH1331,FIND("-",CH1331)+1)-1))),""))</f>
        <v/>
      </c>
    </row>
    <row r="1332">
      <c r="CH1332">
        <f>IF(ISTEXT('월 가계부'!A1332),SUBSTITUTE(SUBSTITUTE(SUBSTITUTE(SUBSTITUTE(SUBSTITUTE(SUBSTITUTE(SUBSTITUTE(SUBSTITUTE(SUBSTITUTE(TRIM('월 가계부'!A1332),"년","-"),"월","-"),"일",""),".","-"),"/","-")," ","-"),"--","-"),"--","-"),"--","-")&amp;"-","")</f>
        <v/>
      </c>
      <c r="CI1332">
        <f>IFERROR(IF('월 가계부'!A1332="","",IF(ISNUMBER('월 가계부'!A1332),IF(AND('월 가계부'!A1332&gt;=19000101,'월 가계부'!A1332&lt;=21001231),IF(AND(MOD(INT('월 가계부'!A1332/100),100)&gt;=1,MOD(INT('월 가계부'!A1332/100),100)&lt;=12,MOD(INT('월 가계부'!A1332),100)&gt;=1,MOD(INT('월 가계부'!A1332),100)&lt;=31),IF(MONTH(DATE(INT('월 가계부'!A1332/10000),MOD(INT('월 가계부'!A1332/100),100),MOD(INT('월 가계부'!A1332),100)))=MOD(INT('월 가계부'!A1332/100),100),DATE(INT('월 가계부'!A1332/10000),MOD(INT('월 가계부'!A1332/100),100),MOD(INT('월 가계부'!A1332),100)),""),""),IF(AND('월 가계부'!A1332&gt;=36526,'월 가계부'!A1332&lt;73051),INT('월 가계부'!A1332),"")),IF(OR(CM1332="",CN1332="",CO1332=""),"",IF(AND(CM1332&gt;=2000,CM1332&lt;=2099,CN1332&gt;=1,CN1332&lt;=12,CO1332&gt;=1,CO1332&lt;=31),IF(MONTH(DATE(CM1332,CN1332,CO1332))=CN1332,DATE(CM1332,CN1332,CO1332),""),"")))),"")</f>
        <v/>
      </c>
      <c r="CJ1332">
        <f>IFERROR(IF('월 가계부'!C1332="","",IF(ISNUMBER('월 가계부'!C1332),'월 가계부'!C1332,VALUE(SUBSTITUTE(SUBSTITUTE(SUBSTITUTE(SUBSTITUTE(TRIM('월 가계부'!C1332),",",""),"원","")," ",""),"−","-")))),"")</f>
        <v/>
      </c>
      <c r="CK1332">
        <f>IF(ISNUMBER(CI1332),IF(CI1332&lt;$B$13,CI1332,""),"")</f>
        <v/>
      </c>
      <c r="CM1332">
        <f>IF(CH1332="","",IFERROR(IF(IF(AND(LEN(CH1332)=9,ISERROR(FIND("-",LEFT(CH1332,8))),ISNUMBER(-LEFT(CH1332,8))),VALUE(LEFT(CH1332,4)),VALUE(LEFT(CH1332,FIND("-",CH1332)-1)))&lt;100,IF(AND(LEN(CH1332)=9,ISERROR(FIND("-",LEFT(CH1332,8))),ISNUMBER(-LEFT(CH1332,8))),VALUE(LEFT(CH1332,4)),VALUE(LEFT(CH1332,FIND("-",CH1332)-1)))+2000,IF(AND(LEN(CH1332)=9,ISERROR(FIND("-",LEFT(CH1332,8))),ISNUMBER(-LEFT(CH1332,8))),VALUE(LEFT(CH1332,4)),VALUE(LEFT(CH1332,FIND("-",CH1332)-1)))),""))</f>
        <v/>
      </c>
      <c r="CN1332">
        <f>IF(CH1332="","",IFERROR(IF(AND(LEN(CH1332)=9,ISERROR(FIND("-",LEFT(CH1332,8))),ISNUMBER(-LEFT(CH1332,8))),VALUE(MID(CH1332,5,2)),VALUE(MID(CH1332,FIND("-",CH1332)+1,FIND("-",CH1332,FIND("-",CH1332)+1)-FIND("-",CH1332)-1))),""))</f>
        <v/>
      </c>
      <c r="CO1332">
        <f>IF(CH1332="","",IFERROR(IF(AND(LEN(CH1332)=9,ISERROR(FIND("-",LEFT(CH1332,8))),ISNUMBER(-LEFT(CH1332,8))),VALUE(MID(CH1332,7,2)),VALUE(MID(CH1332,FIND("-",CH1332,FIND("-",CH1332)+1)+1,FIND("-",CH1332,FIND("-",CH1332,FIND("-",CH1332)+1)+1)-FIND("-",CH1332,FIND("-",CH1332)+1)-1))),""))</f>
        <v/>
      </c>
    </row>
    <row r="1333">
      <c r="CH1333">
        <f>IF(ISTEXT('월 가계부'!A1333),SUBSTITUTE(SUBSTITUTE(SUBSTITUTE(SUBSTITUTE(SUBSTITUTE(SUBSTITUTE(SUBSTITUTE(SUBSTITUTE(SUBSTITUTE(TRIM('월 가계부'!A1333),"년","-"),"월","-"),"일",""),".","-"),"/","-")," ","-"),"--","-"),"--","-"),"--","-")&amp;"-","")</f>
        <v/>
      </c>
      <c r="CI1333">
        <f>IFERROR(IF('월 가계부'!A1333="","",IF(ISNUMBER('월 가계부'!A1333),IF(AND('월 가계부'!A1333&gt;=19000101,'월 가계부'!A1333&lt;=21001231),IF(AND(MOD(INT('월 가계부'!A1333/100),100)&gt;=1,MOD(INT('월 가계부'!A1333/100),100)&lt;=12,MOD(INT('월 가계부'!A1333),100)&gt;=1,MOD(INT('월 가계부'!A1333),100)&lt;=31),IF(MONTH(DATE(INT('월 가계부'!A1333/10000),MOD(INT('월 가계부'!A1333/100),100),MOD(INT('월 가계부'!A1333),100)))=MOD(INT('월 가계부'!A1333/100),100),DATE(INT('월 가계부'!A1333/10000),MOD(INT('월 가계부'!A1333/100),100),MOD(INT('월 가계부'!A1333),100)),""),""),IF(AND('월 가계부'!A1333&gt;=36526,'월 가계부'!A1333&lt;73051),INT('월 가계부'!A1333),"")),IF(OR(CM1333="",CN1333="",CO1333=""),"",IF(AND(CM1333&gt;=2000,CM1333&lt;=2099,CN1333&gt;=1,CN1333&lt;=12,CO1333&gt;=1,CO1333&lt;=31),IF(MONTH(DATE(CM1333,CN1333,CO1333))=CN1333,DATE(CM1333,CN1333,CO1333),""),"")))),"")</f>
        <v/>
      </c>
      <c r="CJ1333">
        <f>IFERROR(IF('월 가계부'!C1333="","",IF(ISNUMBER('월 가계부'!C1333),'월 가계부'!C1333,VALUE(SUBSTITUTE(SUBSTITUTE(SUBSTITUTE(SUBSTITUTE(TRIM('월 가계부'!C1333),",",""),"원","")," ",""),"−","-")))),"")</f>
        <v/>
      </c>
      <c r="CK1333">
        <f>IF(ISNUMBER(CI1333),IF(CI1333&lt;$B$13,CI1333,""),"")</f>
        <v/>
      </c>
      <c r="CM1333">
        <f>IF(CH1333="","",IFERROR(IF(IF(AND(LEN(CH1333)=9,ISERROR(FIND("-",LEFT(CH1333,8))),ISNUMBER(-LEFT(CH1333,8))),VALUE(LEFT(CH1333,4)),VALUE(LEFT(CH1333,FIND("-",CH1333)-1)))&lt;100,IF(AND(LEN(CH1333)=9,ISERROR(FIND("-",LEFT(CH1333,8))),ISNUMBER(-LEFT(CH1333,8))),VALUE(LEFT(CH1333,4)),VALUE(LEFT(CH1333,FIND("-",CH1333)-1)))+2000,IF(AND(LEN(CH1333)=9,ISERROR(FIND("-",LEFT(CH1333,8))),ISNUMBER(-LEFT(CH1333,8))),VALUE(LEFT(CH1333,4)),VALUE(LEFT(CH1333,FIND("-",CH1333)-1)))),""))</f>
        <v/>
      </c>
      <c r="CN1333">
        <f>IF(CH1333="","",IFERROR(IF(AND(LEN(CH1333)=9,ISERROR(FIND("-",LEFT(CH1333,8))),ISNUMBER(-LEFT(CH1333,8))),VALUE(MID(CH1333,5,2)),VALUE(MID(CH1333,FIND("-",CH1333)+1,FIND("-",CH1333,FIND("-",CH1333)+1)-FIND("-",CH1333)-1))),""))</f>
        <v/>
      </c>
      <c r="CO1333">
        <f>IF(CH1333="","",IFERROR(IF(AND(LEN(CH1333)=9,ISERROR(FIND("-",LEFT(CH1333,8))),ISNUMBER(-LEFT(CH1333,8))),VALUE(MID(CH1333,7,2)),VALUE(MID(CH1333,FIND("-",CH1333,FIND("-",CH1333)+1)+1,FIND("-",CH1333,FIND("-",CH1333,FIND("-",CH1333)+1)+1)-FIND("-",CH1333,FIND("-",CH1333)+1)-1))),""))</f>
        <v/>
      </c>
    </row>
    <row r="1334">
      <c r="CH1334">
        <f>IF(ISTEXT('월 가계부'!A1334),SUBSTITUTE(SUBSTITUTE(SUBSTITUTE(SUBSTITUTE(SUBSTITUTE(SUBSTITUTE(SUBSTITUTE(SUBSTITUTE(SUBSTITUTE(TRIM('월 가계부'!A1334),"년","-"),"월","-"),"일",""),".","-"),"/","-")," ","-"),"--","-"),"--","-"),"--","-")&amp;"-","")</f>
        <v/>
      </c>
      <c r="CI1334">
        <f>IFERROR(IF('월 가계부'!A1334="","",IF(ISNUMBER('월 가계부'!A1334),IF(AND('월 가계부'!A1334&gt;=19000101,'월 가계부'!A1334&lt;=21001231),IF(AND(MOD(INT('월 가계부'!A1334/100),100)&gt;=1,MOD(INT('월 가계부'!A1334/100),100)&lt;=12,MOD(INT('월 가계부'!A1334),100)&gt;=1,MOD(INT('월 가계부'!A1334),100)&lt;=31),IF(MONTH(DATE(INT('월 가계부'!A1334/10000),MOD(INT('월 가계부'!A1334/100),100),MOD(INT('월 가계부'!A1334),100)))=MOD(INT('월 가계부'!A1334/100),100),DATE(INT('월 가계부'!A1334/10000),MOD(INT('월 가계부'!A1334/100),100),MOD(INT('월 가계부'!A1334),100)),""),""),IF(AND('월 가계부'!A1334&gt;=36526,'월 가계부'!A1334&lt;73051),INT('월 가계부'!A1334),"")),IF(OR(CM1334="",CN1334="",CO1334=""),"",IF(AND(CM1334&gt;=2000,CM1334&lt;=2099,CN1334&gt;=1,CN1334&lt;=12,CO1334&gt;=1,CO1334&lt;=31),IF(MONTH(DATE(CM1334,CN1334,CO1334))=CN1334,DATE(CM1334,CN1334,CO1334),""),"")))),"")</f>
        <v/>
      </c>
      <c r="CJ1334">
        <f>IFERROR(IF('월 가계부'!C1334="","",IF(ISNUMBER('월 가계부'!C1334),'월 가계부'!C1334,VALUE(SUBSTITUTE(SUBSTITUTE(SUBSTITUTE(SUBSTITUTE(TRIM('월 가계부'!C1334),",",""),"원","")," ",""),"−","-")))),"")</f>
        <v/>
      </c>
      <c r="CK1334">
        <f>IF(ISNUMBER(CI1334),IF(CI1334&lt;$B$13,CI1334,""),"")</f>
        <v/>
      </c>
      <c r="CM1334">
        <f>IF(CH1334="","",IFERROR(IF(IF(AND(LEN(CH1334)=9,ISERROR(FIND("-",LEFT(CH1334,8))),ISNUMBER(-LEFT(CH1334,8))),VALUE(LEFT(CH1334,4)),VALUE(LEFT(CH1334,FIND("-",CH1334)-1)))&lt;100,IF(AND(LEN(CH1334)=9,ISERROR(FIND("-",LEFT(CH1334,8))),ISNUMBER(-LEFT(CH1334,8))),VALUE(LEFT(CH1334,4)),VALUE(LEFT(CH1334,FIND("-",CH1334)-1)))+2000,IF(AND(LEN(CH1334)=9,ISERROR(FIND("-",LEFT(CH1334,8))),ISNUMBER(-LEFT(CH1334,8))),VALUE(LEFT(CH1334,4)),VALUE(LEFT(CH1334,FIND("-",CH1334)-1)))),""))</f>
        <v/>
      </c>
      <c r="CN1334">
        <f>IF(CH1334="","",IFERROR(IF(AND(LEN(CH1334)=9,ISERROR(FIND("-",LEFT(CH1334,8))),ISNUMBER(-LEFT(CH1334,8))),VALUE(MID(CH1334,5,2)),VALUE(MID(CH1334,FIND("-",CH1334)+1,FIND("-",CH1334,FIND("-",CH1334)+1)-FIND("-",CH1334)-1))),""))</f>
        <v/>
      </c>
      <c r="CO1334">
        <f>IF(CH1334="","",IFERROR(IF(AND(LEN(CH1334)=9,ISERROR(FIND("-",LEFT(CH1334,8))),ISNUMBER(-LEFT(CH1334,8))),VALUE(MID(CH1334,7,2)),VALUE(MID(CH1334,FIND("-",CH1334,FIND("-",CH1334)+1)+1,FIND("-",CH1334,FIND("-",CH1334,FIND("-",CH1334)+1)+1)-FIND("-",CH1334,FIND("-",CH1334)+1)-1))),""))</f>
        <v/>
      </c>
    </row>
    <row r="1335">
      <c r="CH1335">
        <f>IF(ISTEXT('월 가계부'!A1335),SUBSTITUTE(SUBSTITUTE(SUBSTITUTE(SUBSTITUTE(SUBSTITUTE(SUBSTITUTE(SUBSTITUTE(SUBSTITUTE(SUBSTITUTE(TRIM('월 가계부'!A1335),"년","-"),"월","-"),"일",""),".","-"),"/","-")," ","-"),"--","-"),"--","-"),"--","-")&amp;"-","")</f>
        <v/>
      </c>
      <c r="CI1335">
        <f>IFERROR(IF('월 가계부'!A1335="","",IF(ISNUMBER('월 가계부'!A1335),IF(AND('월 가계부'!A1335&gt;=19000101,'월 가계부'!A1335&lt;=21001231),IF(AND(MOD(INT('월 가계부'!A1335/100),100)&gt;=1,MOD(INT('월 가계부'!A1335/100),100)&lt;=12,MOD(INT('월 가계부'!A1335),100)&gt;=1,MOD(INT('월 가계부'!A1335),100)&lt;=31),IF(MONTH(DATE(INT('월 가계부'!A1335/10000),MOD(INT('월 가계부'!A1335/100),100),MOD(INT('월 가계부'!A1335),100)))=MOD(INT('월 가계부'!A1335/100),100),DATE(INT('월 가계부'!A1335/10000),MOD(INT('월 가계부'!A1335/100),100),MOD(INT('월 가계부'!A1335),100)),""),""),IF(AND('월 가계부'!A1335&gt;=36526,'월 가계부'!A1335&lt;73051),INT('월 가계부'!A1335),"")),IF(OR(CM1335="",CN1335="",CO1335=""),"",IF(AND(CM1335&gt;=2000,CM1335&lt;=2099,CN1335&gt;=1,CN1335&lt;=12,CO1335&gt;=1,CO1335&lt;=31),IF(MONTH(DATE(CM1335,CN1335,CO1335))=CN1335,DATE(CM1335,CN1335,CO1335),""),"")))),"")</f>
        <v/>
      </c>
      <c r="CJ1335">
        <f>IFERROR(IF('월 가계부'!C1335="","",IF(ISNUMBER('월 가계부'!C1335),'월 가계부'!C1335,VALUE(SUBSTITUTE(SUBSTITUTE(SUBSTITUTE(SUBSTITUTE(TRIM('월 가계부'!C1335),",",""),"원","")," ",""),"−","-")))),"")</f>
        <v/>
      </c>
      <c r="CK1335">
        <f>IF(ISNUMBER(CI1335),IF(CI1335&lt;$B$13,CI1335,""),"")</f>
        <v/>
      </c>
      <c r="CM1335">
        <f>IF(CH1335="","",IFERROR(IF(IF(AND(LEN(CH1335)=9,ISERROR(FIND("-",LEFT(CH1335,8))),ISNUMBER(-LEFT(CH1335,8))),VALUE(LEFT(CH1335,4)),VALUE(LEFT(CH1335,FIND("-",CH1335)-1)))&lt;100,IF(AND(LEN(CH1335)=9,ISERROR(FIND("-",LEFT(CH1335,8))),ISNUMBER(-LEFT(CH1335,8))),VALUE(LEFT(CH1335,4)),VALUE(LEFT(CH1335,FIND("-",CH1335)-1)))+2000,IF(AND(LEN(CH1335)=9,ISERROR(FIND("-",LEFT(CH1335,8))),ISNUMBER(-LEFT(CH1335,8))),VALUE(LEFT(CH1335,4)),VALUE(LEFT(CH1335,FIND("-",CH1335)-1)))),""))</f>
        <v/>
      </c>
      <c r="CN1335">
        <f>IF(CH1335="","",IFERROR(IF(AND(LEN(CH1335)=9,ISERROR(FIND("-",LEFT(CH1335,8))),ISNUMBER(-LEFT(CH1335,8))),VALUE(MID(CH1335,5,2)),VALUE(MID(CH1335,FIND("-",CH1335)+1,FIND("-",CH1335,FIND("-",CH1335)+1)-FIND("-",CH1335)-1))),""))</f>
        <v/>
      </c>
      <c r="CO1335">
        <f>IF(CH1335="","",IFERROR(IF(AND(LEN(CH1335)=9,ISERROR(FIND("-",LEFT(CH1335,8))),ISNUMBER(-LEFT(CH1335,8))),VALUE(MID(CH1335,7,2)),VALUE(MID(CH1335,FIND("-",CH1335,FIND("-",CH1335)+1)+1,FIND("-",CH1335,FIND("-",CH1335,FIND("-",CH1335)+1)+1)-FIND("-",CH1335,FIND("-",CH1335)+1)-1))),""))</f>
        <v/>
      </c>
    </row>
    <row r="1336">
      <c r="CH1336">
        <f>IF(ISTEXT('월 가계부'!A1336),SUBSTITUTE(SUBSTITUTE(SUBSTITUTE(SUBSTITUTE(SUBSTITUTE(SUBSTITUTE(SUBSTITUTE(SUBSTITUTE(SUBSTITUTE(TRIM('월 가계부'!A1336),"년","-"),"월","-"),"일",""),".","-"),"/","-")," ","-"),"--","-"),"--","-"),"--","-")&amp;"-","")</f>
        <v/>
      </c>
      <c r="CI1336">
        <f>IFERROR(IF('월 가계부'!A1336="","",IF(ISNUMBER('월 가계부'!A1336),IF(AND('월 가계부'!A1336&gt;=19000101,'월 가계부'!A1336&lt;=21001231),IF(AND(MOD(INT('월 가계부'!A1336/100),100)&gt;=1,MOD(INT('월 가계부'!A1336/100),100)&lt;=12,MOD(INT('월 가계부'!A1336),100)&gt;=1,MOD(INT('월 가계부'!A1336),100)&lt;=31),IF(MONTH(DATE(INT('월 가계부'!A1336/10000),MOD(INT('월 가계부'!A1336/100),100),MOD(INT('월 가계부'!A1336),100)))=MOD(INT('월 가계부'!A1336/100),100),DATE(INT('월 가계부'!A1336/10000),MOD(INT('월 가계부'!A1336/100),100),MOD(INT('월 가계부'!A1336),100)),""),""),IF(AND('월 가계부'!A1336&gt;=36526,'월 가계부'!A1336&lt;73051),INT('월 가계부'!A1336),"")),IF(OR(CM1336="",CN1336="",CO1336=""),"",IF(AND(CM1336&gt;=2000,CM1336&lt;=2099,CN1336&gt;=1,CN1336&lt;=12,CO1336&gt;=1,CO1336&lt;=31),IF(MONTH(DATE(CM1336,CN1336,CO1336))=CN1336,DATE(CM1336,CN1336,CO1336),""),"")))),"")</f>
        <v/>
      </c>
      <c r="CJ1336">
        <f>IFERROR(IF('월 가계부'!C1336="","",IF(ISNUMBER('월 가계부'!C1336),'월 가계부'!C1336,VALUE(SUBSTITUTE(SUBSTITUTE(SUBSTITUTE(SUBSTITUTE(TRIM('월 가계부'!C1336),",",""),"원","")," ",""),"−","-")))),"")</f>
        <v/>
      </c>
      <c r="CK1336">
        <f>IF(ISNUMBER(CI1336),IF(CI1336&lt;$B$13,CI1336,""),"")</f>
        <v/>
      </c>
      <c r="CM1336">
        <f>IF(CH1336="","",IFERROR(IF(IF(AND(LEN(CH1336)=9,ISERROR(FIND("-",LEFT(CH1336,8))),ISNUMBER(-LEFT(CH1336,8))),VALUE(LEFT(CH1336,4)),VALUE(LEFT(CH1336,FIND("-",CH1336)-1)))&lt;100,IF(AND(LEN(CH1336)=9,ISERROR(FIND("-",LEFT(CH1336,8))),ISNUMBER(-LEFT(CH1336,8))),VALUE(LEFT(CH1336,4)),VALUE(LEFT(CH1336,FIND("-",CH1336)-1)))+2000,IF(AND(LEN(CH1336)=9,ISERROR(FIND("-",LEFT(CH1336,8))),ISNUMBER(-LEFT(CH1336,8))),VALUE(LEFT(CH1336,4)),VALUE(LEFT(CH1336,FIND("-",CH1336)-1)))),""))</f>
        <v/>
      </c>
      <c r="CN1336">
        <f>IF(CH1336="","",IFERROR(IF(AND(LEN(CH1336)=9,ISERROR(FIND("-",LEFT(CH1336,8))),ISNUMBER(-LEFT(CH1336,8))),VALUE(MID(CH1336,5,2)),VALUE(MID(CH1336,FIND("-",CH1336)+1,FIND("-",CH1336,FIND("-",CH1336)+1)-FIND("-",CH1336)-1))),""))</f>
        <v/>
      </c>
      <c r="CO1336">
        <f>IF(CH1336="","",IFERROR(IF(AND(LEN(CH1336)=9,ISERROR(FIND("-",LEFT(CH1336,8))),ISNUMBER(-LEFT(CH1336,8))),VALUE(MID(CH1336,7,2)),VALUE(MID(CH1336,FIND("-",CH1336,FIND("-",CH1336)+1)+1,FIND("-",CH1336,FIND("-",CH1336,FIND("-",CH1336)+1)+1)-FIND("-",CH1336,FIND("-",CH1336)+1)-1))),""))</f>
        <v/>
      </c>
    </row>
    <row r="1337">
      <c r="CH1337">
        <f>IF(ISTEXT('월 가계부'!A1337),SUBSTITUTE(SUBSTITUTE(SUBSTITUTE(SUBSTITUTE(SUBSTITUTE(SUBSTITUTE(SUBSTITUTE(SUBSTITUTE(SUBSTITUTE(TRIM('월 가계부'!A1337),"년","-"),"월","-"),"일",""),".","-"),"/","-")," ","-"),"--","-"),"--","-"),"--","-")&amp;"-","")</f>
        <v/>
      </c>
      <c r="CI1337">
        <f>IFERROR(IF('월 가계부'!A1337="","",IF(ISNUMBER('월 가계부'!A1337),IF(AND('월 가계부'!A1337&gt;=19000101,'월 가계부'!A1337&lt;=21001231),IF(AND(MOD(INT('월 가계부'!A1337/100),100)&gt;=1,MOD(INT('월 가계부'!A1337/100),100)&lt;=12,MOD(INT('월 가계부'!A1337),100)&gt;=1,MOD(INT('월 가계부'!A1337),100)&lt;=31),IF(MONTH(DATE(INT('월 가계부'!A1337/10000),MOD(INT('월 가계부'!A1337/100),100),MOD(INT('월 가계부'!A1337),100)))=MOD(INT('월 가계부'!A1337/100),100),DATE(INT('월 가계부'!A1337/10000),MOD(INT('월 가계부'!A1337/100),100),MOD(INT('월 가계부'!A1337),100)),""),""),IF(AND('월 가계부'!A1337&gt;=36526,'월 가계부'!A1337&lt;73051),INT('월 가계부'!A1337),"")),IF(OR(CM1337="",CN1337="",CO1337=""),"",IF(AND(CM1337&gt;=2000,CM1337&lt;=2099,CN1337&gt;=1,CN1337&lt;=12,CO1337&gt;=1,CO1337&lt;=31),IF(MONTH(DATE(CM1337,CN1337,CO1337))=CN1337,DATE(CM1337,CN1337,CO1337),""),"")))),"")</f>
        <v/>
      </c>
      <c r="CJ1337">
        <f>IFERROR(IF('월 가계부'!C1337="","",IF(ISNUMBER('월 가계부'!C1337),'월 가계부'!C1337,VALUE(SUBSTITUTE(SUBSTITUTE(SUBSTITUTE(SUBSTITUTE(TRIM('월 가계부'!C1337),",",""),"원","")," ",""),"−","-")))),"")</f>
        <v/>
      </c>
      <c r="CK1337">
        <f>IF(ISNUMBER(CI1337),IF(CI1337&lt;$B$13,CI1337,""),"")</f>
        <v/>
      </c>
      <c r="CM1337">
        <f>IF(CH1337="","",IFERROR(IF(IF(AND(LEN(CH1337)=9,ISERROR(FIND("-",LEFT(CH1337,8))),ISNUMBER(-LEFT(CH1337,8))),VALUE(LEFT(CH1337,4)),VALUE(LEFT(CH1337,FIND("-",CH1337)-1)))&lt;100,IF(AND(LEN(CH1337)=9,ISERROR(FIND("-",LEFT(CH1337,8))),ISNUMBER(-LEFT(CH1337,8))),VALUE(LEFT(CH1337,4)),VALUE(LEFT(CH1337,FIND("-",CH1337)-1)))+2000,IF(AND(LEN(CH1337)=9,ISERROR(FIND("-",LEFT(CH1337,8))),ISNUMBER(-LEFT(CH1337,8))),VALUE(LEFT(CH1337,4)),VALUE(LEFT(CH1337,FIND("-",CH1337)-1)))),""))</f>
        <v/>
      </c>
      <c r="CN1337">
        <f>IF(CH1337="","",IFERROR(IF(AND(LEN(CH1337)=9,ISERROR(FIND("-",LEFT(CH1337,8))),ISNUMBER(-LEFT(CH1337,8))),VALUE(MID(CH1337,5,2)),VALUE(MID(CH1337,FIND("-",CH1337)+1,FIND("-",CH1337,FIND("-",CH1337)+1)-FIND("-",CH1337)-1))),""))</f>
        <v/>
      </c>
      <c r="CO1337">
        <f>IF(CH1337="","",IFERROR(IF(AND(LEN(CH1337)=9,ISERROR(FIND("-",LEFT(CH1337,8))),ISNUMBER(-LEFT(CH1337,8))),VALUE(MID(CH1337,7,2)),VALUE(MID(CH1337,FIND("-",CH1337,FIND("-",CH1337)+1)+1,FIND("-",CH1337,FIND("-",CH1337,FIND("-",CH1337)+1)+1)-FIND("-",CH1337,FIND("-",CH1337)+1)-1))),""))</f>
        <v/>
      </c>
    </row>
    <row r="1338">
      <c r="CH1338">
        <f>IF(ISTEXT('월 가계부'!A1338),SUBSTITUTE(SUBSTITUTE(SUBSTITUTE(SUBSTITUTE(SUBSTITUTE(SUBSTITUTE(SUBSTITUTE(SUBSTITUTE(SUBSTITUTE(TRIM('월 가계부'!A1338),"년","-"),"월","-"),"일",""),".","-"),"/","-")," ","-"),"--","-"),"--","-"),"--","-")&amp;"-","")</f>
        <v/>
      </c>
      <c r="CI1338">
        <f>IFERROR(IF('월 가계부'!A1338="","",IF(ISNUMBER('월 가계부'!A1338),IF(AND('월 가계부'!A1338&gt;=19000101,'월 가계부'!A1338&lt;=21001231),IF(AND(MOD(INT('월 가계부'!A1338/100),100)&gt;=1,MOD(INT('월 가계부'!A1338/100),100)&lt;=12,MOD(INT('월 가계부'!A1338),100)&gt;=1,MOD(INT('월 가계부'!A1338),100)&lt;=31),IF(MONTH(DATE(INT('월 가계부'!A1338/10000),MOD(INT('월 가계부'!A1338/100),100),MOD(INT('월 가계부'!A1338),100)))=MOD(INT('월 가계부'!A1338/100),100),DATE(INT('월 가계부'!A1338/10000),MOD(INT('월 가계부'!A1338/100),100),MOD(INT('월 가계부'!A1338),100)),""),""),IF(AND('월 가계부'!A1338&gt;=36526,'월 가계부'!A1338&lt;73051),INT('월 가계부'!A1338),"")),IF(OR(CM1338="",CN1338="",CO1338=""),"",IF(AND(CM1338&gt;=2000,CM1338&lt;=2099,CN1338&gt;=1,CN1338&lt;=12,CO1338&gt;=1,CO1338&lt;=31),IF(MONTH(DATE(CM1338,CN1338,CO1338))=CN1338,DATE(CM1338,CN1338,CO1338),""),"")))),"")</f>
        <v/>
      </c>
      <c r="CJ1338">
        <f>IFERROR(IF('월 가계부'!C1338="","",IF(ISNUMBER('월 가계부'!C1338),'월 가계부'!C1338,VALUE(SUBSTITUTE(SUBSTITUTE(SUBSTITUTE(SUBSTITUTE(TRIM('월 가계부'!C1338),",",""),"원","")," ",""),"−","-")))),"")</f>
        <v/>
      </c>
      <c r="CK1338">
        <f>IF(ISNUMBER(CI1338),IF(CI1338&lt;$B$13,CI1338,""),"")</f>
        <v/>
      </c>
      <c r="CM1338">
        <f>IF(CH1338="","",IFERROR(IF(IF(AND(LEN(CH1338)=9,ISERROR(FIND("-",LEFT(CH1338,8))),ISNUMBER(-LEFT(CH1338,8))),VALUE(LEFT(CH1338,4)),VALUE(LEFT(CH1338,FIND("-",CH1338)-1)))&lt;100,IF(AND(LEN(CH1338)=9,ISERROR(FIND("-",LEFT(CH1338,8))),ISNUMBER(-LEFT(CH1338,8))),VALUE(LEFT(CH1338,4)),VALUE(LEFT(CH1338,FIND("-",CH1338)-1)))+2000,IF(AND(LEN(CH1338)=9,ISERROR(FIND("-",LEFT(CH1338,8))),ISNUMBER(-LEFT(CH1338,8))),VALUE(LEFT(CH1338,4)),VALUE(LEFT(CH1338,FIND("-",CH1338)-1)))),""))</f>
        <v/>
      </c>
      <c r="CN1338">
        <f>IF(CH1338="","",IFERROR(IF(AND(LEN(CH1338)=9,ISERROR(FIND("-",LEFT(CH1338,8))),ISNUMBER(-LEFT(CH1338,8))),VALUE(MID(CH1338,5,2)),VALUE(MID(CH1338,FIND("-",CH1338)+1,FIND("-",CH1338,FIND("-",CH1338)+1)-FIND("-",CH1338)-1))),""))</f>
        <v/>
      </c>
      <c r="CO1338">
        <f>IF(CH1338="","",IFERROR(IF(AND(LEN(CH1338)=9,ISERROR(FIND("-",LEFT(CH1338,8))),ISNUMBER(-LEFT(CH1338,8))),VALUE(MID(CH1338,7,2)),VALUE(MID(CH1338,FIND("-",CH1338,FIND("-",CH1338)+1)+1,FIND("-",CH1338,FIND("-",CH1338,FIND("-",CH1338)+1)+1)-FIND("-",CH1338,FIND("-",CH1338)+1)-1))),""))</f>
        <v/>
      </c>
    </row>
    <row r="1339">
      <c r="CH1339">
        <f>IF(ISTEXT('월 가계부'!A1339),SUBSTITUTE(SUBSTITUTE(SUBSTITUTE(SUBSTITUTE(SUBSTITUTE(SUBSTITUTE(SUBSTITUTE(SUBSTITUTE(SUBSTITUTE(TRIM('월 가계부'!A1339),"년","-"),"월","-"),"일",""),".","-"),"/","-")," ","-"),"--","-"),"--","-"),"--","-")&amp;"-","")</f>
        <v/>
      </c>
      <c r="CI1339">
        <f>IFERROR(IF('월 가계부'!A1339="","",IF(ISNUMBER('월 가계부'!A1339),IF(AND('월 가계부'!A1339&gt;=19000101,'월 가계부'!A1339&lt;=21001231),IF(AND(MOD(INT('월 가계부'!A1339/100),100)&gt;=1,MOD(INT('월 가계부'!A1339/100),100)&lt;=12,MOD(INT('월 가계부'!A1339),100)&gt;=1,MOD(INT('월 가계부'!A1339),100)&lt;=31),IF(MONTH(DATE(INT('월 가계부'!A1339/10000),MOD(INT('월 가계부'!A1339/100),100),MOD(INT('월 가계부'!A1339),100)))=MOD(INT('월 가계부'!A1339/100),100),DATE(INT('월 가계부'!A1339/10000),MOD(INT('월 가계부'!A1339/100),100),MOD(INT('월 가계부'!A1339),100)),""),""),IF(AND('월 가계부'!A1339&gt;=36526,'월 가계부'!A1339&lt;73051),INT('월 가계부'!A1339),"")),IF(OR(CM1339="",CN1339="",CO1339=""),"",IF(AND(CM1339&gt;=2000,CM1339&lt;=2099,CN1339&gt;=1,CN1339&lt;=12,CO1339&gt;=1,CO1339&lt;=31),IF(MONTH(DATE(CM1339,CN1339,CO1339))=CN1339,DATE(CM1339,CN1339,CO1339),""),"")))),"")</f>
        <v/>
      </c>
      <c r="CJ1339">
        <f>IFERROR(IF('월 가계부'!C1339="","",IF(ISNUMBER('월 가계부'!C1339),'월 가계부'!C1339,VALUE(SUBSTITUTE(SUBSTITUTE(SUBSTITUTE(SUBSTITUTE(TRIM('월 가계부'!C1339),",",""),"원","")," ",""),"−","-")))),"")</f>
        <v/>
      </c>
      <c r="CK1339">
        <f>IF(ISNUMBER(CI1339),IF(CI1339&lt;$B$13,CI1339,""),"")</f>
        <v/>
      </c>
      <c r="CM1339">
        <f>IF(CH1339="","",IFERROR(IF(IF(AND(LEN(CH1339)=9,ISERROR(FIND("-",LEFT(CH1339,8))),ISNUMBER(-LEFT(CH1339,8))),VALUE(LEFT(CH1339,4)),VALUE(LEFT(CH1339,FIND("-",CH1339)-1)))&lt;100,IF(AND(LEN(CH1339)=9,ISERROR(FIND("-",LEFT(CH1339,8))),ISNUMBER(-LEFT(CH1339,8))),VALUE(LEFT(CH1339,4)),VALUE(LEFT(CH1339,FIND("-",CH1339)-1)))+2000,IF(AND(LEN(CH1339)=9,ISERROR(FIND("-",LEFT(CH1339,8))),ISNUMBER(-LEFT(CH1339,8))),VALUE(LEFT(CH1339,4)),VALUE(LEFT(CH1339,FIND("-",CH1339)-1)))),""))</f>
        <v/>
      </c>
      <c r="CN1339">
        <f>IF(CH1339="","",IFERROR(IF(AND(LEN(CH1339)=9,ISERROR(FIND("-",LEFT(CH1339,8))),ISNUMBER(-LEFT(CH1339,8))),VALUE(MID(CH1339,5,2)),VALUE(MID(CH1339,FIND("-",CH1339)+1,FIND("-",CH1339,FIND("-",CH1339)+1)-FIND("-",CH1339)-1))),""))</f>
        <v/>
      </c>
      <c r="CO1339">
        <f>IF(CH1339="","",IFERROR(IF(AND(LEN(CH1339)=9,ISERROR(FIND("-",LEFT(CH1339,8))),ISNUMBER(-LEFT(CH1339,8))),VALUE(MID(CH1339,7,2)),VALUE(MID(CH1339,FIND("-",CH1339,FIND("-",CH1339)+1)+1,FIND("-",CH1339,FIND("-",CH1339,FIND("-",CH1339)+1)+1)-FIND("-",CH1339,FIND("-",CH1339)+1)-1))),""))</f>
        <v/>
      </c>
    </row>
    <row r="1340">
      <c r="CH1340">
        <f>IF(ISTEXT('월 가계부'!A1340),SUBSTITUTE(SUBSTITUTE(SUBSTITUTE(SUBSTITUTE(SUBSTITUTE(SUBSTITUTE(SUBSTITUTE(SUBSTITUTE(SUBSTITUTE(TRIM('월 가계부'!A1340),"년","-"),"월","-"),"일",""),".","-"),"/","-")," ","-"),"--","-"),"--","-"),"--","-")&amp;"-","")</f>
        <v/>
      </c>
      <c r="CI1340">
        <f>IFERROR(IF('월 가계부'!A1340="","",IF(ISNUMBER('월 가계부'!A1340),IF(AND('월 가계부'!A1340&gt;=19000101,'월 가계부'!A1340&lt;=21001231),IF(AND(MOD(INT('월 가계부'!A1340/100),100)&gt;=1,MOD(INT('월 가계부'!A1340/100),100)&lt;=12,MOD(INT('월 가계부'!A1340),100)&gt;=1,MOD(INT('월 가계부'!A1340),100)&lt;=31),IF(MONTH(DATE(INT('월 가계부'!A1340/10000),MOD(INT('월 가계부'!A1340/100),100),MOD(INT('월 가계부'!A1340),100)))=MOD(INT('월 가계부'!A1340/100),100),DATE(INT('월 가계부'!A1340/10000),MOD(INT('월 가계부'!A1340/100),100),MOD(INT('월 가계부'!A1340),100)),""),""),IF(AND('월 가계부'!A1340&gt;=36526,'월 가계부'!A1340&lt;73051),INT('월 가계부'!A1340),"")),IF(OR(CM1340="",CN1340="",CO1340=""),"",IF(AND(CM1340&gt;=2000,CM1340&lt;=2099,CN1340&gt;=1,CN1340&lt;=12,CO1340&gt;=1,CO1340&lt;=31),IF(MONTH(DATE(CM1340,CN1340,CO1340))=CN1340,DATE(CM1340,CN1340,CO1340),""),"")))),"")</f>
        <v/>
      </c>
      <c r="CJ1340">
        <f>IFERROR(IF('월 가계부'!C1340="","",IF(ISNUMBER('월 가계부'!C1340),'월 가계부'!C1340,VALUE(SUBSTITUTE(SUBSTITUTE(SUBSTITUTE(SUBSTITUTE(TRIM('월 가계부'!C1340),",",""),"원","")," ",""),"−","-")))),"")</f>
        <v/>
      </c>
      <c r="CK1340">
        <f>IF(ISNUMBER(CI1340),IF(CI1340&lt;$B$13,CI1340,""),"")</f>
        <v/>
      </c>
      <c r="CM1340">
        <f>IF(CH1340="","",IFERROR(IF(IF(AND(LEN(CH1340)=9,ISERROR(FIND("-",LEFT(CH1340,8))),ISNUMBER(-LEFT(CH1340,8))),VALUE(LEFT(CH1340,4)),VALUE(LEFT(CH1340,FIND("-",CH1340)-1)))&lt;100,IF(AND(LEN(CH1340)=9,ISERROR(FIND("-",LEFT(CH1340,8))),ISNUMBER(-LEFT(CH1340,8))),VALUE(LEFT(CH1340,4)),VALUE(LEFT(CH1340,FIND("-",CH1340)-1)))+2000,IF(AND(LEN(CH1340)=9,ISERROR(FIND("-",LEFT(CH1340,8))),ISNUMBER(-LEFT(CH1340,8))),VALUE(LEFT(CH1340,4)),VALUE(LEFT(CH1340,FIND("-",CH1340)-1)))),""))</f>
        <v/>
      </c>
      <c r="CN1340">
        <f>IF(CH1340="","",IFERROR(IF(AND(LEN(CH1340)=9,ISERROR(FIND("-",LEFT(CH1340,8))),ISNUMBER(-LEFT(CH1340,8))),VALUE(MID(CH1340,5,2)),VALUE(MID(CH1340,FIND("-",CH1340)+1,FIND("-",CH1340,FIND("-",CH1340)+1)-FIND("-",CH1340)-1))),""))</f>
        <v/>
      </c>
      <c r="CO1340">
        <f>IF(CH1340="","",IFERROR(IF(AND(LEN(CH1340)=9,ISERROR(FIND("-",LEFT(CH1340,8))),ISNUMBER(-LEFT(CH1340,8))),VALUE(MID(CH1340,7,2)),VALUE(MID(CH1340,FIND("-",CH1340,FIND("-",CH1340)+1)+1,FIND("-",CH1340,FIND("-",CH1340,FIND("-",CH1340)+1)+1)-FIND("-",CH1340,FIND("-",CH1340)+1)-1))),""))</f>
        <v/>
      </c>
    </row>
    <row r="1341">
      <c r="CH1341">
        <f>IF(ISTEXT('월 가계부'!A1341),SUBSTITUTE(SUBSTITUTE(SUBSTITUTE(SUBSTITUTE(SUBSTITUTE(SUBSTITUTE(SUBSTITUTE(SUBSTITUTE(SUBSTITUTE(TRIM('월 가계부'!A1341),"년","-"),"월","-"),"일",""),".","-"),"/","-")," ","-"),"--","-"),"--","-"),"--","-")&amp;"-","")</f>
        <v/>
      </c>
      <c r="CI1341">
        <f>IFERROR(IF('월 가계부'!A1341="","",IF(ISNUMBER('월 가계부'!A1341),IF(AND('월 가계부'!A1341&gt;=19000101,'월 가계부'!A1341&lt;=21001231),IF(AND(MOD(INT('월 가계부'!A1341/100),100)&gt;=1,MOD(INT('월 가계부'!A1341/100),100)&lt;=12,MOD(INT('월 가계부'!A1341),100)&gt;=1,MOD(INT('월 가계부'!A1341),100)&lt;=31),IF(MONTH(DATE(INT('월 가계부'!A1341/10000),MOD(INT('월 가계부'!A1341/100),100),MOD(INT('월 가계부'!A1341),100)))=MOD(INT('월 가계부'!A1341/100),100),DATE(INT('월 가계부'!A1341/10000),MOD(INT('월 가계부'!A1341/100),100),MOD(INT('월 가계부'!A1341),100)),""),""),IF(AND('월 가계부'!A1341&gt;=36526,'월 가계부'!A1341&lt;73051),INT('월 가계부'!A1341),"")),IF(OR(CM1341="",CN1341="",CO1341=""),"",IF(AND(CM1341&gt;=2000,CM1341&lt;=2099,CN1341&gt;=1,CN1341&lt;=12,CO1341&gt;=1,CO1341&lt;=31),IF(MONTH(DATE(CM1341,CN1341,CO1341))=CN1341,DATE(CM1341,CN1341,CO1341),""),"")))),"")</f>
        <v/>
      </c>
      <c r="CJ1341">
        <f>IFERROR(IF('월 가계부'!C1341="","",IF(ISNUMBER('월 가계부'!C1341),'월 가계부'!C1341,VALUE(SUBSTITUTE(SUBSTITUTE(SUBSTITUTE(SUBSTITUTE(TRIM('월 가계부'!C1341),",",""),"원","")," ",""),"−","-")))),"")</f>
        <v/>
      </c>
      <c r="CK1341">
        <f>IF(ISNUMBER(CI1341),IF(CI1341&lt;$B$13,CI1341,""),"")</f>
        <v/>
      </c>
      <c r="CM1341">
        <f>IF(CH1341="","",IFERROR(IF(IF(AND(LEN(CH1341)=9,ISERROR(FIND("-",LEFT(CH1341,8))),ISNUMBER(-LEFT(CH1341,8))),VALUE(LEFT(CH1341,4)),VALUE(LEFT(CH1341,FIND("-",CH1341)-1)))&lt;100,IF(AND(LEN(CH1341)=9,ISERROR(FIND("-",LEFT(CH1341,8))),ISNUMBER(-LEFT(CH1341,8))),VALUE(LEFT(CH1341,4)),VALUE(LEFT(CH1341,FIND("-",CH1341)-1)))+2000,IF(AND(LEN(CH1341)=9,ISERROR(FIND("-",LEFT(CH1341,8))),ISNUMBER(-LEFT(CH1341,8))),VALUE(LEFT(CH1341,4)),VALUE(LEFT(CH1341,FIND("-",CH1341)-1)))),""))</f>
        <v/>
      </c>
      <c r="CN1341">
        <f>IF(CH1341="","",IFERROR(IF(AND(LEN(CH1341)=9,ISERROR(FIND("-",LEFT(CH1341,8))),ISNUMBER(-LEFT(CH1341,8))),VALUE(MID(CH1341,5,2)),VALUE(MID(CH1341,FIND("-",CH1341)+1,FIND("-",CH1341,FIND("-",CH1341)+1)-FIND("-",CH1341)-1))),""))</f>
        <v/>
      </c>
      <c r="CO1341">
        <f>IF(CH1341="","",IFERROR(IF(AND(LEN(CH1341)=9,ISERROR(FIND("-",LEFT(CH1341,8))),ISNUMBER(-LEFT(CH1341,8))),VALUE(MID(CH1341,7,2)),VALUE(MID(CH1341,FIND("-",CH1341,FIND("-",CH1341)+1)+1,FIND("-",CH1341,FIND("-",CH1341,FIND("-",CH1341)+1)+1)-FIND("-",CH1341,FIND("-",CH1341)+1)-1))),""))</f>
        <v/>
      </c>
    </row>
    <row r="1342">
      <c r="CH1342">
        <f>IF(ISTEXT('월 가계부'!A1342),SUBSTITUTE(SUBSTITUTE(SUBSTITUTE(SUBSTITUTE(SUBSTITUTE(SUBSTITUTE(SUBSTITUTE(SUBSTITUTE(SUBSTITUTE(TRIM('월 가계부'!A1342),"년","-"),"월","-"),"일",""),".","-"),"/","-")," ","-"),"--","-"),"--","-"),"--","-")&amp;"-","")</f>
        <v/>
      </c>
      <c r="CI1342">
        <f>IFERROR(IF('월 가계부'!A1342="","",IF(ISNUMBER('월 가계부'!A1342),IF(AND('월 가계부'!A1342&gt;=19000101,'월 가계부'!A1342&lt;=21001231),IF(AND(MOD(INT('월 가계부'!A1342/100),100)&gt;=1,MOD(INT('월 가계부'!A1342/100),100)&lt;=12,MOD(INT('월 가계부'!A1342),100)&gt;=1,MOD(INT('월 가계부'!A1342),100)&lt;=31),IF(MONTH(DATE(INT('월 가계부'!A1342/10000),MOD(INT('월 가계부'!A1342/100),100),MOD(INT('월 가계부'!A1342),100)))=MOD(INT('월 가계부'!A1342/100),100),DATE(INT('월 가계부'!A1342/10000),MOD(INT('월 가계부'!A1342/100),100),MOD(INT('월 가계부'!A1342),100)),""),""),IF(AND('월 가계부'!A1342&gt;=36526,'월 가계부'!A1342&lt;73051),INT('월 가계부'!A1342),"")),IF(OR(CM1342="",CN1342="",CO1342=""),"",IF(AND(CM1342&gt;=2000,CM1342&lt;=2099,CN1342&gt;=1,CN1342&lt;=12,CO1342&gt;=1,CO1342&lt;=31),IF(MONTH(DATE(CM1342,CN1342,CO1342))=CN1342,DATE(CM1342,CN1342,CO1342),""),"")))),"")</f>
        <v/>
      </c>
      <c r="CJ1342">
        <f>IFERROR(IF('월 가계부'!C1342="","",IF(ISNUMBER('월 가계부'!C1342),'월 가계부'!C1342,VALUE(SUBSTITUTE(SUBSTITUTE(SUBSTITUTE(SUBSTITUTE(TRIM('월 가계부'!C1342),",",""),"원","")," ",""),"−","-")))),"")</f>
        <v/>
      </c>
      <c r="CK1342">
        <f>IF(ISNUMBER(CI1342),IF(CI1342&lt;$B$13,CI1342,""),"")</f>
        <v/>
      </c>
      <c r="CM1342">
        <f>IF(CH1342="","",IFERROR(IF(IF(AND(LEN(CH1342)=9,ISERROR(FIND("-",LEFT(CH1342,8))),ISNUMBER(-LEFT(CH1342,8))),VALUE(LEFT(CH1342,4)),VALUE(LEFT(CH1342,FIND("-",CH1342)-1)))&lt;100,IF(AND(LEN(CH1342)=9,ISERROR(FIND("-",LEFT(CH1342,8))),ISNUMBER(-LEFT(CH1342,8))),VALUE(LEFT(CH1342,4)),VALUE(LEFT(CH1342,FIND("-",CH1342)-1)))+2000,IF(AND(LEN(CH1342)=9,ISERROR(FIND("-",LEFT(CH1342,8))),ISNUMBER(-LEFT(CH1342,8))),VALUE(LEFT(CH1342,4)),VALUE(LEFT(CH1342,FIND("-",CH1342)-1)))),""))</f>
        <v/>
      </c>
      <c r="CN1342">
        <f>IF(CH1342="","",IFERROR(IF(AND(LEN(CH1342)=9,ISERROR(FIND("-",LEFT(CH1342,8))),ISNUMBER(-LEFT(CH1342,8))),VALUE(MID(CH1342,5,2)),VALUE(MID(CH1342,FIND("-",CH1342)+1,FIND("-",CH1342,FIND("-",CH1342)+1)-FIND("-",CH1342)-1))),""))</f>
        <v/>
      </c>
      <c r="CO1342">
        <f>IF(CH1342="","",IFERROR(IF(AND(LEN(CH1342)=9,ISERROR(FIND("-",LEFT(CH1342,8))),ISNUMBER(-LEFT(CH1342,8))),VALUE(MID(CH1342,7,2)),VALUE(MID(CH1342,FIND("-",CH1342,FIND("-",CH1342)+1)+1,FIND("-",CH1342,FIND("-",CH1342,FIND("-",CH1342)+1)+1)-FIND("-",CH1342,FIND("-",CH1342)+1)-1))),""))</f>
        <v/>
      </c>
    </row>
    <row r="1343">
      <c r="CH1343">
        <f>IF(ISTEXT('월 가계부'!A1343),SUBSTITUTE(SUBSTITUTE(SUBSTITUTE(SUBSTITUTE(SUBSTITUTE(SUBSTITUTE(SUBSTITUTE(SUBSTITUTE(SUBSTITUTE(TRIM('월 가계부'!A1343),"년","-"),"월","-"),"일",""),".","-"),"/","-")," ","-"),"--","-"),"--","-"),"--","-")&amp;"-","")</f>
        <v/>
      </c>
      <c r="CI1343">
        <f>IFERROR(IF('월 가계부'!A1343="","",IF(ISNUMBER('월 가계부'!A1343),IF(AND('월 가계부'!A1343&gt;=19000101,'월 가계부'!A1343&lt;=21001231),IF(AND(MOD(INT('월 가계부'!A1343/100),100)&gt;=1,MOD(INT('월 가계부'!A1343/100),100)&lt;=12,MOD(INT('월 가계부'!A1343),100)&gt;=1,MOD(INT('월 가계부'!A1343),100)&lt;=31),IF(MONTH(DATE(INT('월 가계부'!A1343/10000),MOD(INT('월 가계부'!A1343/100),100),MOD(INT('월 가계부'!A1343),100)))=MOD(INT('월 가계부'!A1343/100),100),DATE(INT('월 가계부'!A1343/10000),MOD(INT('월 가계부'!A1343/100),100),MOD(INT('월 가계부'!A1343),100)),""),""),IF(AND('월 가계부'!A1343&gt;=36526,'월 가계부'!A1343&lt;73051),INT('월 가계부'!A1343),"")),IF(OR(CM1343="",CN1343="",CO1343=""),"",IF(AND(CM1343&gt;=2000,CM1343&lt;=2099,CN1343&gt;=1,CN1343&lt;=12,CO1343&gt;=1,CO1343&lt;=31),IF(MONTH(DATE(CM1343,CN1343,CO1343))=CN1343,DATE(CM1343,CN1343,CO1343),""),"")))),"")</f>
        <v/>
      </c>
      <c r="CJ1343">
        <f>IFERROR(IF('월 가계부'!C1343="","",IF(ISNUMBER('월 가계부'!C1343),'월 가계부'!C1343,VALUE(SUBSTITUTE(SUBSTITUTE(SUBSTITUTE(SUBSTITUTE(TRIM('월 가계부'!C1343),",",""),"원","")," ",""),"−","-")))),"")</f>
        <v/>
      </c>
      <c r="CK1343">
        <f>IF(ISNUMBER(CI1343),IF(CI1343&lt;$B$13,CI1343,""),"")</f>
        <v/>
      </c>
      <c r="CM1343">
        <f>IF(CH1343="","",IFERROR(IF(IF(AND(LEN(CH1343)=9,ISERROR(FIND("-",LEFT(CH1343,8))),ISNUMBER(-LEFT(CH1343,8))),VALUE(LEFT(CH1343,4)),VALUE(LEFT(CH1343,FIND("-",CH1343)-1)))&lt;100,IF(AND(LEN(CH1343)=9,ISERROR(FIND("-",LEFT(CH1343,8))),ISNUMBER(-LEFT(CH1343,8))),VALUE(LEFT(CH1343,4)),VALUE(LEFT(CH1343,FIND("-",CH1343)-1)))+2000,IF(AND(LEN(CH1343)=9,ISERROR(FIND("-",LEFT(CH1343,8))),ISNUMBER(-LEFT(CH1343,8))),VALUE(LEFT(CH1343,4)),VALUE(LEFT(CH1343,FIND("-",CH1343)-1)))),""))</f>
        <v/>
      </c>
      <c r="CN1343">
        <f>IF(CH1343="","",IFERROR(IF(AND(LEN(CH1343)=9,ISERROR(FIND("-",LEFT(CH1343,8))),ISNUMBER(-LEFT(CH1343,8))),VALUE(MID(CH1343,5,2)),VALUE(MID(CH1343,FIND("-",CH1343)+1,FIND("-",CH1343,FIND("-",CH1343)+1)-FIND("-",CH1343)-1))),""))</f>
        <v/>
      </c>
      <c r="CO1343">
        <f>IF(CH1343="","",IFERROR(IF(AND(LEN(CH1343)=9,ISERROR(FIND("-",LEFT(CH1343,8))),ISNUMBER(-LEFT(CH1343,8))),VALUE(MID(CH1343,7,2)),VALUE(MID(CH1343,FIND("-",CH1343,FIND("-",CH1343)+1)+1,FIND("-",CH1343,FIND("-",CH1343,FIND("-",CH1343)+1)+1)-FIND("-",CH1343,FIND("-",CH1343)+1)-1))),""))</f>
        <v/>
      </c>
    </row>
    <row r="1344">
      <c r="CH1344">
        <f>IF(ISTEXT('월 가계부'!A1344),SUBSTITUTE(SUBSTITUTE(SUBSTITUTE(SUBSTITUTE(SUBSTITUTE(SUBSTITUTE(SUBSTITUTE(SUBSTITUTE(SUBSTITUTE(TRIM('월 가계부'!A1344),"년","-"),"월","-"),"일",""),".","-"),"/","-")," ","-"),"--","-"),"--","-"),"--","-")&amp;"-","")</f>
        <v/>
      </c>
      <c r="CI1344">
        <f>IFERROR(IF('월 가계부'!A1344="","",IF(ISNUMBER('월 가계부'!A1344),IF(AND('월 가계부'!A1344&gt;=19000101,'월 가계부'!A1344&lt;=21001231),IF(AND(MOD(INT('월 가계부'!A1344/100),100)&gt;=1,MOD(INT('월 가계부'!A1344/100),100)&lt;=12,MOD(INT('월 가계부'!A1344),100)&gt;=1,MOD(INT('월 가계부'!A1344),100)&lt;=31),IF(MONTH(DATE(INT('월 가계부'!A1344/10000),MOD(INT('월 가계부'!A1344/100),100),MOD(INT('월 가계부'!A1344),100)))=MOD(INT('월 가계부'!A1344/100),100),DATE(INT('월 가계부'!A1344/10000),MOD(INT('월 가계부'!A1344/100),100),MOD(INT('월 가계부'!A1344),100)),""),""),IF(AND('월 가계부'!A1344&gt;=36526,'월 가계부'!A1344&lt;73051),INT('월 가계부'!A1344),"")),IF(OR(CM1344="",CN1344="",CO1344=""),"",IF(AND(CM1344&gt;=2000,CM1344&lt;=2099,CN1344&gt;=1,CN1344&lt;=12,CO1344&gt;=1,CO1344&lt;=31),IF(MONTH(DATE(CM1344,CN1344,CO1344))=CN1344,DATE(CM1344,CN1344,CO1344),""),"")))),"")</f>
        <v/>
      </c>
      <c r="CJ1344">
        <f>IFERROR(IF('월 가계부'!C1344="","",IF(ISNUMBER('월 가계부'!C1344),'월 가계부'!C1344,VALUE(SUBSTITUTE(SUBSTITUTE(SUBSTITUTE(SUBSTITUTE(TRIM('월 가계부'!C1344),",",""),"원","")," ",""),"−","-")))),"")</f>
        <v/>
      </c>
      <c r="CK1344">
        <f>IF(ISNUMBER(CI1344),IF(CI1344&lt;$B$13,CI1344,""),"")</f>
        <v/>
      </c>
      <c r="CM1344">
        <f>IF(CH1344="","",IFERROR(IF(IF(AND(LEN(CH1344)=9,ISERROR(FIND("-",LEFT(CH1344,8))),ISNUMBER(-LEFT(CH1344,8))),VALUE(LEFT(CH1344,4)),VALUE(LEFT(CH1344,FIND("-",CH1344)-1)))&lt;100,IF(AND(LEN(CH1344)=9,ISERROR(FIND("-",LEFT(CH1344,8))),ISNUMBER(-LEFT(CH1344,8))),VALUE(LEFT(CH1344,4)),VALUE(LEFT(CH1344,FIND("-",CH1344)-1)))+2000,IF(AND(LEN(CH1344)=9,ISERROR(FIND("-",LEFT(CH1344,8))),ISNUMBER(-LEFT(CH1344,8))),VALUE(LEFT(CH1344,4)),VALUE(LEFT(CH1344,FIND("-",CH1344)-1)))),""))</f>
        <v/>
      </c>
      <c r="CN1344">
        <f>IF(CH1344="","",IFERROR(IF(AND(LEN(CH1344)=9,ISERROR(FIND("-",LEFT(CH1344,8))),ISNUMBER(-LEFT(CH1344,8))),VALUE(MID(CH1344,5,2)),VALUE(MID(CH1344,FIND("-",CH1344)+1,FIND("-",CH1344,FIND("-",CH1344)+1)-FIND("-",CH1344)-1))),""))</f>
        <v/>
      </c>
      <c r="CO1344">
        <f>IF(CH1344="","",IFERROR(IF(AND(LEN(CH1344)=9,ISERROR(FIND("-",LEFT(CH1344,8))),ISNUMBER(-LEFT(CH1344,8))),VALUE(MID(CH1344,7,2)),VALUE(MID(CH1344,FIND("-",CH1344,FIND("-",CH1344)+1)+1,FIND("-",CH1344,FIND("-",CH1344,FIND("-",CH1344)+1)+1)-FIND("-",CH1344,FIND("-",CH1344)+1)-1))),""))</f>
        <v/>
      </c>
    </row>
    <row r="1345">
      <c r="CH1345">
        <f>IF(ISTEXT('월 가계부'!A1345),SUBSTITUTE(SUBSTITUTE(SUBSTITUTE(SUBSTITUTE(SUBSTITUTE(SUBSTITUTE(SUBSTITUTE(SUBSTITUTE(SUBSTITUTE(TRIM('월 가계부'!A1345),"년","-"),"월","-"),"일",""),".","-"),"/","-")," ","-"),"--","-"),"--","-"),"--","-")&amp;"-","")</f>
        <v/>
      </c>
      <c r="CI1345">
        <f>IFERROR(IF('월 가계부'!A1345="","",IF(ISNUMBER('월 가계부'!A1345),IF(AND('월 가계부'!A1345&gt;=19000101,'월 가계부'!A1345&lt;=21001231),IF(AND(MOD(INT('월 가계부'!A1345/100),100)&gt;=1,MOD(INT('월 가계부'!A1345/100),100)&lt;=12,MOD(INT('월 가계부'!A1345),100)&gt;=1,MOD(INT('월 가계부'!A1345),100)&lt;=31),IF(MONTH(DATE(INT('월 가계부'!A1345/10000),MOD(INT('월 가계부'!A1345/100),100),MOD(INT('월 가계부'!A1345),100)))=MOD(INT('월 가계부'!A1345/100),100),DATE(INT('월 가계부'!A1345/10000),MOD(INT('월 가계부'!A1345/100),100),MOD(INT('월 가계부'!A1345),100)),""),""),IF(AND('월 가계부'!A1345&gt;=36526,'월 가계부'!A1345&lt;73051),INT('월 가계부'!A1345),"")),IF(OR(CM1345="",CN1345="",CO1345=""),"",IF(AND(CM1345&gt;=2000,CM1345&lt;=2099,CN1345&gt;=1,CN1345&lt;=12,CO1345&gt;=1,CO1345&lt;=31),IF(MONTH(DATE(CM1345,CN1345,CO1345))=CN1345,DATE(CM1345,CN1345,CO1345),""),"")))),"")</f>
        <v/>
      </c>
      <c r="CJ1345">
        <f>IFERROR(IF('월 가계부'!C1345="","",IF(ISNUMBER('월 가계부'!C1345),'월 가계부'!C1345,VALUE(SUBSTITUTE(SUBSTITUTE(SUBSTITUTE(SUBSTITUTE(TRIM('월 가계부'!C1345),",",""),"원","")," ",""),"−","-")))),"")</f>
        <v/>
      </c>
      <c r="CK1345">
        <f>IF(ISNUMBER(CI1345),IF(CI1345&lt;$B$13,CI1345,""),"")</f>
        <v/>
      </c>
      <c r="CM1345">
        <f>IF(CH1345="","",IFERROR(IF(IF(AND(LEN(CH1345)=9,ISERROR(FIND("-",LEFT(CH1345,8))),ISNUMBER(-LEFT(CH1345,8))),VALUE(LEFT(CH1345,4)),VALUE(LEFT(CH1345,FIND("-",CH1345)-1)))&lt;100,IF(AND(LEN(CH1345)=9,ISERROR(FIND("-",LEFT(CH1345,8))),ISNUMBER(-LEFT(CH1345,8))),VALUE(LEFT(CH1345,4)),VALUE(LEFT(CH1345,FIND("-",CH1345)-1)))+2000,IF(AND(LEN(CH1345)=9,ISERROR(FIND("-",LEFT(CH1345,8))),ISNUMBER(-LEFT(CH1345,8))),VALUE(LEFT(CH1345,4)),VALUE(LEFT(CH1345,FIND("-",CH1345)-1)))),""))</f>
        <v/>
      </c>
      <c r="CN1345">
        <f>IF(CH1345="","",IFERROR(IF(AND(LEN(CH1345)=9,ISERROR(FIND("-",LEFT(CH1345,8))),ISNUMBER(-LEFT(CH1345,8))),VALUE(MID(CH1345,5,2)),VALUE(MID(CH1345,FIND("-",CH1345)+1,FIND("-",CH1345,FIND("-",CH1345)+1)-FIND("-",CH1345)-1))),""))</f>
        <v/>
      </c>
      <c r="CO1345">
        <f>IF(CH1345="","",IFERROR(IF(AND(LEN(CH1345)=9,ISERROR(FIND("-",LEFT(CH1345,8))),ISNUMBER(-LEFT(CH1345,8))),VALUE(MID(CH1345,7,2)),VALUE(MID(CH1345,FIND("-",CH1345,FIND("-",CH1345)+1)+1,FIND("-",CH1345,FIND("-",CH1345,FIND("-",CH1345)+1)+1)-FIND("-",CH1345,FIND("-",CH1345)+1)-1))),""))</f>
        <v/>
      </c>
    </row>
    <row r="1346">
      <c r="CH1346">
        <f>IF(ISTEXT('월 가계부'!A1346),SUBSTITUTE(SUBSTITUTE(SUBSTITUTE(SUBSTITUTE(SUBSTITUTE(SUBSTITUTE(SUBSTITUTE(SUBSTITUTE(SUBSTITUTE(TRIM('월 가계부'!A1346),"년","-"),"월","-"),"일",""),".","-"),"/","-")," ","-"),"--","-"),"--","-"),"--","-")&amp;"-","")</f>
        <v/>
      </c>
      <c r="CI1346">
        <f>IFERROR(IF('월 가계부'!A1346="","",IF(ISNUMBER('월 가계부'!A1346),IF(AND('월 가계부'!A1346&gt;=19000101,'월 가계부'!A1346&lt;=21001231),IF(AND(MOD(INT('월 가계부'!A1346/100),100)&gt;=1,MOD(INT('월 가계부'!A1346/100),100)&lt;=12,MOD(INT('월 가계부'!A1346),100)&gt;=1,MOD(INT('월 가계부'!A1346),100)&lt;=31),IF(MONTH(DATE(INT('월 가계부'!A1346/10000),MOD(INT('월 가계부'!A1346/100),100),MOD(INT('월 가계부'!A1346),100)))=MOD(INT('월 가계부'!A1346/100),100),DATE(INT('월 가계부'!A1346/10000),MOD(INT('월 가계부'!A1346/100),100),MOD(INT('월 가계부'!A1346),100)),""),""),IF(AND('월 가계부'!A1346&gt;=36526,'월 가계부'!A1346&lt;73051),INT('월 가계부'!A1346),"")),IF(OR(CM1346="",CN1346="",CO1346=""),"",IF(AND(CM1346&gt;=2000,CM1346&lt;=2099,CN1346&gt;=1,CN1346&lt;=12,CO1346&gt;=1,CO1346&lt;=31),IF(MONTH(DATE(CM1346,CN1346,CO1346))=CN1346,DATE(CM1346,CN1346,CO1346),""),"")))),"")</f>
        <v/>
      </c>
      <c r="CJ1346">
        <f>IFERROR(IF('월 가계부'!C1346="","",IF(ISNUMBER('월 가계부'!C1346),'월 가계부'!C1346,VALUE(SUBSTITUTE(SUBSTITUTE(SUBSTITUTE(SUBSTITUTE(TRIM('월 가계부'!C1346),",",""),"원","")," ",""),"−","-")))),"")</f>
        <v/>
      </c>
      <c r="CK1346">
        <f>IF(ISNUMBER(CI1346),IF(CI1346&lt;$B$13,CI1346,""),"")</f>
        <v/>
      </c>
      <c r="CM1346">
        <f>IF(CH1346="","",IFERROR(IF(IF(AND(LEN(CH1346)=9,ISERROR(FIND("-",LEFT(CH1346,8))),ISNUMBER(-LEFT(CH1346,8))),VALUE(LEFT(CH1346,4)),VALUE(LEFT(CH1346,FIND("-",CH1346)-1)))&lt;100,IF(AND(LEN(CH1346)=9,ISERROR(FIND("-",LEFT(CH1346,8))),ISNUMBER(-LEFT(CH1346,8))),VALUE(LEFT(CH1346,4)),VALUE(LEFT(CH1346,FIND("-",CH1346)-1)))+2000,IF(AND(LEN(CH1346)=9,ISERROR(FIND("-",LEFT(CH1346,8))),ISNUMBER(-LEFT(CH1346,8))),VALUE(LEFT(CH1346,4)),VALUE(LEFT(CH1346,FIND("-",CH1346)-1)))),""))</f>
        <v/>
      </c>
      <c r="CN1346">
        <f>IF(CH1346="","",IFERROR(IF(AND(LEN(CH1346)=9,ISERROR(FIND("-",LEFT(CH1346,8))),ISNUMBER(-LEFT(CH1346,8))),VALUE(MID(CH1346,5,2)),VALUE(MID(CH1346,FIND("-",CH1346)+1,FIND("-",CH1346,FIND("-",CH1346)+1)-FIND("-",CH1346)-1))),""))</f>
        <v/>
      </c>
      <c r="CO1346">
        <f>IF(CH1346="","",IFERROR(IF(AND(LEN(CH1346)=9,ISERROR(FIND("-",LEFT(CH1346,8))),ISNUMBER(-LEFT(CH1346,8))),VALUE(MID(CH1346,7,2)),VALUE(MID(CH1346,FIND("-",CH1346,FIND("-",CH1346)+1)+1,FIND("-",CH1346,FIND("-",CH1346,FIND("-",CH1346)+1)+1)-FIND("-",CH1346,FIND("-",CH1346)+1)-1))),""))</f>
        <v/>
      </c>
    </row>
    <row r="1347">
      <c r="CH1347">
        <f>IF(ISTEXT('월 가계부'!A1347),SUBSTITUTE(SUBSTITUTE(SUBSTITUTE(SUBSTITUTE(SUBSTITUTE(SUBSTITUTE(SUBSTITUTE(SUBSTITUTE(SUBSTITUTE(TRIM('월 가계부'!A1347),"년","-"),"월","-"),"일",""),".","-"),"/","-")," ","-"),"--","-"),"--","-"),"--","-")&amp;"-","")</f>
        <v/>
      </c>
      <c r="CI1347">
        <f>IFERROR(IF('월 가계부'!A1347="","",IF(ISNUMBER('월 가계부'!A1347),IF(AND('월 가계부'!A1347&gt;=19000101,'월 가계부'!A1347&lt;=21001231),IF(AND(MOD(INT('월 가계부'!A1347/100),100)&gt;=1,MOD(INT('월 가계부'!A1347/100),100)&lt;=12,MOD(INT('월 가계부'!A1347),100)&gt;=1,MOD(INT('월 가계부'!A1347),100)&lt;=31),IF(MONTH(DATE(INT('월 가계부'!A1347/10000),MOD(INT('월 가계부'!A1347/100),100),MOD(INT('월 가계부'!A1347),100)))=MOD(INT('월 가계부'!A1347/100),100),DATE(INT('월 가계부'!A1347/10000),MOD(INT('월 가계부'!A1347/100),100),MOD(INT('월 가계부'!A1347),100)),""),""),IF(AND('월 가계부'!A1347&gt;=36526,'월 가계부'!A1347&lt;73051),INT('월 가계부'!A1347),"")),IF(OR(CM1347="",CN1347="",CO1347=""),"",IF(AND(CM1347&gt;=2000,CM1347&lt;=2099,CN1347&gt;=1,CN1347&lt;=12,CO1347&gt;=1,CO1347&lt;=31),IF(MONTH(DATE(CM1347,CN1347,CO1347))=CN1347,DATE(CM1347,CN1347,CO1347),""),"")))),"")</f>
        <v/>
      </c>
      <c r="CJ1347">
        <f>IFERROR(IF('월 가계부'!C1347="","",IF(ISNUMBER('월 가계부'!C1347),'월 가계부'!C1347,VALUE(SUBSTITUTE(SUBSTITUTE(SUBSTITUTE(SUBSTITUTE(TRIM('월 가계부'!C1347),",",""),"원","")," ",""),"−","-")))),"")</f>
        <v/>
      </c>
      <c r="CK1347">
        <f>IF(ISNUMBER(CI1347),IF(CI1347&lt;$B$13,CI1347,""),"")</f>
        <v/>
      </c>
      <c r="CM1347">
        <f>IF(CH1347="","",IFERROR(IF(IF(AND(LEN(CH1347)=9,ISERROR(FIND("-",LEFT(CH1347,8))),ISNUMBER(-LEFT(CH1347,8))),VALUE(LEFT(CH1347,4)),VALUE(LEFT(CH1347,FIND("-",CH1347)-1)))&lt;100,IF(AND(LEN(CH1347)=9,ISERROR(FIND("-",LEFT(CH1347,8))),ISNUMBER(-LEFT(CH1347,8))),VALUE(LEFT(CH1347,4)),VALUE(LEFT(CH1347,FIND("-",CH1347)-1)))+2000,IF(AND(LEN(CH1347)=9,ISERROR(FIND("-",LEFT(CH1347,8))),ISNUMBER(-LEFT(CH1347,8))),VALUE(LEFT(CH1347,4)),VALUE(LEFT(CH1347,FIND("-",CH1347)-1)))),""))</f>
        <v/>
      </c>
      <c r="CN1347">
        <f>IF(CH1347="","",IFERROR(IF(AND(LEN(CH1347)=9,ISERROR(FIND("-",LEFT(CH1347,8))),ISNUMBER(-LEFT(CH1347,8))),VALUE(MID(CH1347,5,2)),VALUE(MID(CH1347,FIND("-",CH1347)+1,FIND("-",CH1347,FIND("-",CH1347)+1)-FIND("-",CH1347)-1))),""))</f>
        <v/>
      </c>
      <c r="CO1347">
        <f>IF(CH1347="","",IFERROR(IF(AND(LEN(CH1347)=9,ISERROR(FIND("-",LEFT(CH1347,8))),ISNUMBER(-LEFT(CH1347,8))),VALUE(MID(CH1347,7,2)),VALUE(MID(CH1347,FIND("-",CH1347,FIND("-",CH1347)+1)+1,FIND("-",CH1347,FIND("-",CH1347,FIND("-",CH1347)+1)+1)-FIND("-",CH1347,FIND("-",CH1347)+1)-1))),""))</f>
        <v/>
      </c>
    </row>
    <row r="1348">
      <c r="CH1348">
        <f>IF(ISTEXT('월 가계부'!A1348),SUBSTITUTE(SUBSTITUTE(SUBSTITUTE(SUBSTITUTE(SUBSTITUTE(SUBSTITUTE(SUBSTITUTE(SUBSTITUTE(SUBSTITUTE(TRIM('월 가계부'!A1348),"년","-"),"월","-"),"일",""),".","-"),"/","-")," ","-"),"--","-"),"--","-"),"--","-")&amp;"-","")</f>
        <v/>
      </c>
      <c r="CI1348">
        <f>IFERROR(IF('월 가계부'!A1348="","",IF(ISNUMBER('월 가계부'!A1348),IF(AND('월 가계부'!A1348&gt;=19000101,'월 가계부'!A1348&lt;=21001231),IF(AND(MOD(INT('월 가계부'!A1348/100),100)&gt;=1,MOD(INT('월 가계부'!A1348/100),100)&lt;=12,MOD(INT('월 가계부'!A1348),100)&gt;=1,MOD(INT('월 가계부'!A1348),100)&lt;=31),IF(MONTH(DATE(INT('월 가계부'!A1348/10000),MOD(INT('월 가계부'!A1348/100),100),MOD(INT('월 가계부'!A1348),100)))=MOD(INT('월 가계부'!A1348/100),100),DATE(INT('월 가계부'!A1348/10000),MOD(INT('월 가계부'!A1348/100),100),MOD(INT('월 가계부'!A1348),100)),""),""),IF(AND('월 가계부'!A1348&gt;=36526,'월 가계부'!A1348&lt;73051),INT('월 가계부'!A1348),"")),IF(OR(CM1348="",CN1348="",CO1348=""),"",IF(AND(CM1348&gt;=2000,CM1348&lt;=2099,CN1348&gt;=1,CN1348&lt;=12,CO1348&gt;=1,CO1348&lt;=31),IF(MONTH(DATE(CM1348,CN1348,CO1348))=CN1348,DATE(CM1348,CN1348,CO1348),""),"")))),"")</f>
        <v/>
      </c>
      <c r="CJ1348">
        <f>IFERROR(IF('월 가계부'!C1348="","",IF(ISNUMBER('월 가계부'!C1348),'월 가계부'!C1348,VALUE(SUBSTITUTE(SUBSTITUTE(SUBSTITUTE(SUBSTITUTE(TRIM('월 가계부'!C1348),",",""),"원","")," ",""),"−","-")))),"")</f>
        <v/>
      </c>
      <c r="CK1348">
        <f>IF(ISNUMBER(CI1348),IF(CI1348&lt;$B$13,CI1348,""),"")</f>
        <v/>
      </c>
      <c r="CM1348">
        <f>IF(CH1348="","",IFERROR(IF(IF(AND(LEN(CH1348)=9,ISERROR(FIND("-",LEFT(CH1348,8))),ISNUMBER(-LEFT(CH1348,8))),VALUE(LEFT(CH1348,4)),VALUE(LEFT(CH1348,FIND("-",CH1348)-1)))&lt;100,IF(AND(LEN(CH1348)=9,ISERROR(FIND("-",LEFT(CH1348,8))),ISNUMBER(-LEFT(CH1348,8))),VALUE(LEFT(CH1348,4)),VALUE(LEFT(CH1348,FIND("-",CH1348)-1)))+2000,IF(AND(LEN(CH1348)=9,ISERROR(FIND("-",LEFT(CH1348,8))),ISNUMBER(-LEFT(CH1348,8))),VALUE(LEFT(CH1348,4)),VALUE(LEFT(CH1348,FIND("-",CH1348)-1)))),""))</f>
        <v/>
      </c>
      <c r="CN1348">
        <f>IF(CH1348="","",IFERROR(IF(AND(LEN(CH1348)=9,ISERROR(FIND("-",LEFT(CH1348,8))),ISNUMBER(-LEFT(CH1348,8))),VALUE(MID(CH1348,5,2)),VALUE(MID(CH1348,FIND("-",CH1348)+1,FIND("-",CH1348,FIND("-",CH1348)+1)-FIND("-",CH1348)-1))),""))</f>
        <v/>
      </c>
      <c r="CO1348">
        <f>IF(CH1348="","",IFERROR(IF(AND(LEN(CH1348)=9,ISERROR(FIND("-",LEFT(CH1348,8))),ISNUMBER(-LEFT(CH1348,8))),VALUE(MID(CH1348,7,2)),VALUE(MID(CH1348,FIND("-",CH1348,FIND("-",CH1348)+1)+1,FIND("-",CH1348,FIND("-",CH1348,FIND("-",CH1348)+1)+1)-FIND("-",CH1348,FIND("-",CH1348)+1)-1))),""))</f>
        <v/>
      </c>
    </row>
    <row r="1349">
      <c r="CH1349">
        <f>IF(ISTEXT('월 가계부'!A1349),SUBSTITUTE(SUBSTITUTE(SUBSTITUTE(SUBSTITUTE(SUBSTITUTE(SUBSTITUTE(SUBSTITUTE(SUBSTITUTE(SUBSTITUTE(TRIM('월 가계부'!A1349),"년","-"),"월","-"),"일",""),".","-"),"/","-")," ","-"),"--","-"),"--","-"),"--","-")&amp;"-","")</f>
        <v/>
      </c>
      <c r="CI1349">
        <f>IFERROR(IF('월 가계부'!A1349="","",IF(ISNUMBER('월 가계부'!A1349),IF(AND('월 가계부'!A1349&gt;=19000101,'월 가계부'!A1349&lt;=21001231),IF(AND(MOD(INT('월 가계부'!A1349/100),100)&gt;=1,MOD(INT('월 가계부'!A1349/100),100)&lt;=12,MOD(INT('월 가계부'!A1349),100)&gt;=1,MOD(INT('월 가계부'!A1349),100)&lt;=31),IF(MONTH(DATE(INT('월 가계부'!A1349/10000),MOD(INT('월 가계부'!A1349/100),100),MOD(INT('월 가계부'!A1349),100)))=MOD(INT('월 가계부'!A1349/100),100),DATE(INT('월 가계부'!A1349/10000),MOD(INT('월 가계부'!A1349/100),100),MOD(INT('월 가계부'!A1349),100)),""),""),IF(AND('월 가계부'!A1349&gt;=36526,'월 가계부'!A1349&lt;73051),INT('월 가계부'!A1349),"")),IF(OR(CM1349="",CN1349="",CO1349=""),"",IF(AND(CM1349&gt;=2000,CM1349&lt;=2099,CN1349&gt;=1,CN1349&lt;=12,CO1349&gt;=1,CO1349&lt;=31),IF(MONTH(DATE(CM1349,CN1349,CO1349))=CN1349,DATE(CM1349,CN1349,CO1349),""),"")))),"")</f>
        <v/>
      </c>
      <c r="CJ1349">
        <f>IFERROR(IF('월 가계부'!C1349="","",IF(ISNUMBER('월 가계부'!C1349),'월 가계부'!C1349,VALUE(SUBSTITUTE(SUBSTITUTE(SUBSTITUTE(SUBSTITUTE(TRIM('월 가계부'!C1349),",",""),"원","")," ",""),"−","-")))),"")</f>
        <v/>
      </c>
      <c r="CK1349">
        <f>IF(ISNUMBER(CI1349),IF(CI1349&lt;$B$13,CI1349,""),"")</f>
        <v/>
      </c>
      <c r="CM1349">
        <f>IF(CH1349="","",IFERROR(IF(IF(AND(LEN(CH1349)=9,ISERROR(FIND("-",LEFT(CH1349,8))),ISNUMBER(-LEFT(CH1349,8))),VALUE(LEFT(CH1349,4)),VALUE(LEFT(CH1349,FIND("-",CH1349)-1)))&lt;100,IF(AND(LEN(CH1349)=9,ISERROR(FIND("-",LEFT(CH1349,8))),ISNUMBER(-LEFT(CH1349,8))),VALUE(LEFT(CH1349,4)),VALUE(LEFT(CH1349,FIND("-",CH1349)-1)))+2000,IF(AND(LEN(CH1349)=9,ISERROR(FIND("-",LEFT(CH1349,8))),ISNUMBER(-LEFT(CH1349,8))),VALUE(LEFT(CH1349,4)),VALUE(LEFT(CH1349,FIND("-",CH1349)-1)))),""))</f>
        <v/>
      </c>
      <c r="CN1349">
        <f>IF(CH1349="","",IFERROR(IF(AND(LEN(CH1349)=9,ISERROR(FIND("-",LEFT(CH1349,8))),ISNUMBER(-LEFT(CH1349,8))),VALUE(MID(CH1349,5,2)),VALUE(MID(CH1349,FIND("-",CH1349)+1,FIND("-",CH1349,FIND("-",CH1349)+1)-FIND("-",CH1349)-1))),""))</f>
        <v/>
      </c>
      <c r="CO1349">
        <f>IF(CH1349="","",IFERROR(IF(AND(LEN(CH1349)=9,ISERROR(FIND("-",LEFT(CH1349,8))),ISNUMBER(-LEFT(CH1349,8))),VALUE(MID(CH1349,7,2)),VALUE(MID(CH1349,FIND("-",CH1349,FIND("-",CH1349)+1)+1,FIND("-",CH1349,FIND("-",CH1349,FIND("-",CH1349)+1)+1)-FIND("-",CH1349,FIND("-",CH1349)+1)-1))),""))</f>
        <v/>
      </c>
    </row>
    <row r="1350">
      <c r="CH1350">
        <f>IF(ISTEXT('월 가계부'!A1350),SUBSTITUTE(SUBSTITUTE(SUBSTITUTE(SUBSTITUTE(SUBSTITUTE(SUBSTITUTE(SUBSTITUTE(SUBSTITUTE(SUBSTITUTE(TRIM('월 가계부'!A1350),"년","-"),"월","-"),"일",""),".","-"),"/","-")," ","-"),"--","-"),"--","-"),"--","-")&amp;"-","")</f>
        <v/>
      </c>
      <c r="CI1350">
        <f>IFERROR(IF('월 가계부'!A1350="","",IF(ISNUMBER('월 가계부'!A1350),IF(AND('월 가계부'!A1350&gt;=19000101,'월 가계부'!A1350&lt;=21001231),IF(AND(MOD(INT('월 가계부'!A1350/100),100)&gt;=1,MOD(INT('월 가계부'!A1350/100),100)&lt;=12,MOD(INT('월 가계부'!A1350),100)&gt;=1,MOD(INT('월 가계부'!A1350),100)&lt;=31),IF(MONTH(DATE(INT('월 가계부'!A1350/10000),MOD(INT('월 가계부'!A1350/100),100),MOD(INT('월 가계부'!A1350),100)))=MOD(INT('월 가계부'!A1350/100),100),DATE(INT('월 가계부'!A1350/10000),MOD(INT('월 가계부'!A1350/100),100),MOD(INT('월 가계부'!A1350),100)),""),""),IF(AND('월 가계부'!A1350&gt;=36526,'월 가계부'!A1350&lt;73051),INT('월 가계부'!A1350),"")),IF(OR(CM1350="",CN1350="",CO1350=""),"",IF(AND(CM1350&gt;=2000,CM1350&lt;=2099,CN1350&gt;=1,CN1350&lt;=12,CO1350&gt;=1,CO1350&lt;=31),IF(MONTH(DATE(CM1350,CN1350,CO1350))=CN1350,DATE(CM1350,CN1350,CO1350),""),"")))),"")</f>
        <v/>
      </c>
      <c r="CJ1350">
        <f>IFERROR(IF('월 가계부'!C1350="","",IF(ISNUMBER('월 가계부'!C1350),'월 가계부'!C1350,VALUE(SUBSTITUTE(SUBSTITUTE(SUBSTITUTE(SUBSTITUTE(TRIM('월 가계부'!C1350),",",""),"원","")," ",""),"−","-")))),"")</f>
        <v/>
      </c>
      <c r="CK1350">
        <f>IF(ISNUMBER(CI1350),IF(CI1350&lt;$B$13,CI1350,""),"")</f>
        <v/>
      </c>
      <c r="CM1350">
        <f>IF(CH1350="","",IFERROR(IF(IF(AND(LEN(CH1350)=9,ISERROR(FIND("-",LEFT(CH1350,8))),ISNUMBER(-LEFT(CH1350,8))),VALUE(LEFT(CH1350,4)),VALUE(LEFT(CH1350,FIND("-",CH1350)-1)))&lt;100,IF(AND(LEN(CH1350)=9,ISERROR(FIND("-",LEFT(CH1350,8))),ISNUMBER(-LEFT(CH1350,8))),VALUE(LEFT(CH1350,4)),VALUE(LEFT(CH1350,FIND("-",CH1350)-1)))+2000,IF(AND(LEN(CH1350)=9,ISERROR(FIND("-",LEFT(CH1350,8))),ISNUMBER(-LEFT(CH1350,8))),VALUE(LEFT(CH1350,4)),VALUE(LEFT(CH1350,FIND("-",CH1350)-1)))),""))</f>
        <v/>
      </c>
      <c r="CN1350">
        <f>IF(CH1350="","",IFERROR(IF(AND(LEN(CH1350)=9,ISERROR(FIND("-",LEFT(CH1350,8))),ISNUMBER(-LEFT(CH1350,8))),VALUE(MID(CH1350,5,2)),VALUE(MID(CH1350,FIND("-",CH1350)+1,FIND("-",CH1350,FIND("-",CH1350)+1)-FIND("-",CH1350)-1))),""))</f>
        <v/>
      </c>
      <c r="CO1350">
        <f>IF(CH1350="","",IFERROR(IF(AND(LEN(CH1350)=9,ISERROR(FIND("-",LEFT(CH1350,8))),ISNUMBER(-LEFT(CH1350,8))),VALUE(MID(CH1350,7,2)),VALUE(MID(CH1350,FIND("-",CH1350,FIND("-",CH1350)+1)+1,FIND("-",CH1350,FIND("-",CH1350,FIND("-",CH1350)+1)+1)-FIND("-",CH1350,FIND("-",CH1350)+1)-1))),""))</f>
        <v/>
      </c>
    </row>
    <row r="1351">
      <c r="CH1351">
        <f>IF(ISTEXT('월 가계부'!A1351),SUBSTITUTE(SUBSTITUTE(SUBSTITUTE(SUBSTITUTE(SUBSTITUTE(SUBSTITUTE(SUBSTITUTE(SUBSTITUTE(SUBSTITUTE(TRIM('월 가계부'!A1351),"년","-"),"월","-"),"일",""),".","-"),"/","-")," ","-"),"--","-"),"--","-"),"--","-")&amp;"-","")</f>
        <v/>
      </c>
      <c r="CI1351">
        <f>IFERROR(IF('월 가계부'!A1351="","",IF(ISNUMBER('월 가계부'!A1351),IF(AND('월 가계부'!A1351&gt;=19000101,'월 가계부'!A1351&lt;=21001231),IF(AND(MOD(INT('월 가계부'!A1351/100),100)&gt;=1,MOD(INT('월 가계부'!A1351/100),100)&lt;=12,MOD(INT('월 가계부'!A1351),100)&gt;=1,MOD(INT('월 가계부'!A1351),100)&lt;=31),IF(MONTH(DATE(INT('월 가계부'!A1351/10000),MOD(INT('월 가계부'!A1351/100),100),MOD(INT('월 가계부'!A1351),100)))=MOD(INT('월 가계부'!A1351/100),100),DATE(INT('월 가계부'!A1351/10000),MOD(INT('월 가계부'!A1351/100),100),MOD(INT('월 가계부'!A1351),100)),""),""),IF(AND('월 가계부'!A1351&gt;=36526,'월 가계부'!A1351&lt;73051),INT('월 가계부'!A1351),"")),IF(OR(CM1351="",CN1351="",CO1351=""),"",IF(AND(CM1351&gt;=2000,CM1351&lt;=2099,CN1351&gt;=1,CN1351&lt;=12,CO1351&gt;=1,CO1351&lt;=31),IF(MONTH(DATE(CM1351,CN1351,CO1351))=CN1351,DATE(CM1351,CN1351,CO1351),""),"")))),"")</f>
        <v/>
      </c>
      <c r="CJ1351">
        <f>IFERROR(IF('월 가계부'!C1351="","",IF(ISNUMBER('월 가계부'!C1351),'월 가계부'!C1351,VALUE(SUBSTITUTE(SUBSTITUTE(SUBSTITUTE(SUBSTITUTE(TRIM('월 가계부'!C1351),",",""),"원","")," ",""),"−","-")))),"")</f>
        <v/>
      </c>
      <c r="CK1351">
        <f>IF(ISNUMBER(CI1351),IF(CI1351&lt;$B$13,CI1351,""),"")</f>
        <v/>
      </c>
      <c r="CM1351">
        <f>IF(CH1351="","",IFERROR(IF(IF(AND(LEN(CH1351)=9,ISERROR(FIND("-",LEFT(CH1351,8))),ISNUMBER(-LEFT(CH1351,8))),VALUE(LEFT(CH1351,4)),VALUE(LEFT(CH1351,FIND("-",CH1351)-1)))&lt;100,IF(AND(LEN(CH1351)=9,ISERROR(FIND("-",LEFT(CH1351,8))),ISNUMBER(-LEFT(CH1351,8))),VALUE(LEFT(CH1351,4)),VALUE(LEFT(CH1351,FIND("-",CH1351)-1)))+2000,IF(AND(LEN(CH1351)=9,ISERROR(FIND("-",LEFT(CH1351,8))),ISNUMBER(-LEFT(CH1351,8))),VALUE(LEFT(CH1351,4)),VALUE(LEFT(CH1351,FIND("-",CH1351)-1)))),""))</f>
        <v/>
      </c>
      <c r="CN1351">
        <f>IF(CH1351="","",IFERROR(IF(AND(LEN(CH1351)=9,ISERROR(FIND("-",LEFT(CH1351,8))),ISNUMBER(-LEFT(CH1351,8))),VALUE(MID(CH1351,5,2)),VALUE(MID(CH1351,FIND("-",CH1351)+1,FIND("-",CH1351,FIND("-",CH1351)+1)-FIND("-",CH1351)-1))),""))</f>
        <v/>
      </c>
      <c r="CO1351">
        <f>IF(CH1351="","",IFERROR(IF(AND(LEN(CH1351)=9,ISERROR(FIND("-",LEFT(CH1351,8))),ISNUMBER(-LEFT(CH1351,8))),VALUE(MID(CH1351,7,2)),VALUE(MID(CH1351,FIND("-",CH1351,FIND("-",CH1351)+1)+1,FIND("-",CH1351,FIND("-",CH1351,FIND("-",CH1351)+1)+1)-FIND("-",CH1351,FIND("-",CH1351)+1)-1))),""))</f>
        <v/>
      </c>
    </row>
    <row r="1352">
      <c r="CH1352">
        <f>IF(ISTEXT('월 가계부'!A1352),SUBSTITUTE(SUBSTITUTE(SUBSTITUTE(SUBSTITUTE(SUBSTITUTE(SUBSTITUTE(SUBSTITUTE(SUBSTITUTE(SUBSTITUTE(TRIM('월 가계부'!A1352),"년","-"),"월","-"),"일",""),".","-"),"/","-")," ","-"),"--","-"),"--","-"),"--","-")&amp;"-","")</f>
        <v/>
      </c>
      <c r="CI1352">
        <f>IFERROR(IF('월 가계부'!A1352="","",IF(ISNUMBER('월 가계부'!A1352),IF(AND('월 가계부'!A1352&gt;=19000101,'월 가계부'!A1352&lt;=21001231),IF(AND(MOD(INT('월 가계부'!A1352/100),100)&gt;=1,MOD(INT('월 가계부'!A1352/100),100)&lt;=12,MOD(INT('월 가계부'!A1352),100)&gt;=1,MOD(INT('월 가계부'!A1352),100)&lt;=31),IF(MONTH(DATE(INT('월 가계부'!A1352/10000),MOD(INT('월 가계부'!A1352/100),100),MOD(INT('월 가계부'!A1352),100)))=MOD(INT('월 가계부'!A1352/100),100),DATE(INT('월 가계부'!A1352/10000),MOD(INT('월 가계부'!A1352/100),100),MOD(INT('월 가계부'!A1352),100)),""),""),IF(AND('월 가계부'!A1352&gt;=36526,'월 가계부'!A1352&lt;73051),INT('월 가계부'!A1352),"")),IF(OR(CM1352="",CN1352="",CO1352=""),"",IF(AND(CM1352&gt;=2000,CM1352&lt;=2099,CN1352&gt;=1,CN1352&lt;=12,CO1352&gt;=1,CO1352&lt;=31),IF(MONTH(DATE(CM1352,CN1352,CO1352))=CN1352,DATE(CM1352,CN1352,CO1352),""),"")))),"")</f>
        <v/>
      </c>
      <c r="CJ1352">
        <f>IFERROR(IF('월 가계부'!C1352="","",IF(ISNUMBER('월 가계부'!C1352),'월 가계부'!C1352,VALUE(SUBSTITUTE(SUBSTITUTE(SUBSTITUTE(SUBSTITUTE(TRIM('월 가계부'!C1352),",",""),"원","")," ",""),"−","-")))),"")</f>
        <v/>
      </c>
      <c r="CK1352">
        <f>IF(ISNUMBER(CI1352),IF(CI1352&lt;$B$13,CI1352,""),"")</f>
        <v/>
      </c>
      <c r="CM1352">
        <f>IF(CH1352="","",IFERROR(IF(IF(AND(LEN(CH1352)=9,ISERROR(FIND("-",LEFT(CH1352,8))),ISNUMBER(-LEFT(CH1352,8))),VALUE(LEFT(CH1352,4)),VALUE(LEFT(CH1352,FIND("-",CH1352)-1)))&lt;100,IF(AND(LEN(CH1352)=9,ISERROR(FIND("-",LEFT(CH1352,8))),ISNUMBER(-LEFT(CH1352,8))),VALUE(LEFT(CH1352,4)),VALUE(LEFT(CH1352,FIND("-",CH1352)-1)))+2000,IF(AND(LEN(CH1352)=9,ISERROR(FIND("-",LEFT(CH1352,8))),ISNUMBER(-LEFT(CH1352,8))),VALUE(LEFT(CH1352,4)),VALUE(LEFT(CH1352,FIND("-",CH1352)-1)))),""))</f>
        <v/>
      </c>
      <c r="CN1352">
        <f>IF(CH1352="","",IFERROR(IF(AND(LEN(CH1352)=9,ISERROR(FIND("-",LEFT(CH1352,8))),ISNUMBER(-LEFT(CH1352,8))),VALUE(MID(CH1352,5,2)),VALUE(MID(CH1352,FIND("-",CH1352)+1,FIND("-",CH1352,FIND("-",CH1352)+1)-FIND("-",CH1352)-1))),""))</f>
        <v/>
      </c>
      <c r="CO1352">
        <f>IF(CH1352="","",IFERROR(IF(AND(LEN(CH1352)=9,ISERROR(FIND("-",LEFT(CH1352,8))),ISNUMBER(-LEFT(CH1352,8))),VALUE(MID(CH1352,7,2)),VALUE(MID(CH1352,FIND("-",CH1352,FIND("-",CH1352)+1)+1,FIND("-",CH1352,FIND("-",CH1352,FIND("-",CH1352)+1)+1)-FIND("-",CH1352,FIND("-",CH1352)+1)-1))),""))</f>
        <v/>
      </c>
    </row>
    <row r="1353">
      <c r="CH1353">
        <f>IF(ISTEXT('월 가계부'!A1353),SUBSTITUTE(SUBSTITUTE(SUBSTITUTE(SUBSTITUTE(SUBSTITUTE(SUBSTITUTE(SUBSTITUTE(SUBSTITUTE(SUBSTITUTE(TRIM('월 가계부'!A1353),"년","-"),"월","-"),"일",""),".","-"),"/","-")," ","-"),"--","-"),"--","-"),"--","-")&amp;"-","")</f>
        <v/>
      </c>
      <c r="CI1353">
        <f>IFERROR(IF('월 가계부'!A1353="","",IF(ISNUMBER('월 가계부'!A1353),IF(AND('월 가계부'!A1353&gt;=19000101,'월 가계부'!A1353&lt;=21001231),IF(AND(MOD(INT('월 가계부'!A1353/100),100)&gt;=1,MOD(INT('월 가계부'!A1353/100),100)&lt;=12,MOD(INT('월 가계부'!A1353),100)&gt;=1,MOD(INT('월 가계부'!A1353),100)&lt;=31),IF(MONTH(DATE(INT('월 가계부'!A1353/10000),MOD(INT('월 가계부'!A1353/100),100),MOD(INT('월 가계부'!A1353),100)))=MOD(INT('월 가계부'!A1353/100),100),DATE(INT('월 가계부'!A1353/10000),MOD(INT('월 가계부'!A1353/100),100),MOD(INT('월 가계부'!A1353),100)),""),""),IF(AND('월 가계부'!A1353&gt;=36526,'월 가계부'!A1353&lt;73051),INT('월 가계부'!A1353),"")),IF(OR(CM1353="",CN1353="",CO1353=""),"",IF(AND(CM1353&gt;=2000,CM1353&lt;=2099,CN1353&gt;=1,CN1353&lt;=12,CO1353&gt;=1,CO1353&lt;=31),IF(MONTH(DATE(CM1353,CN1353,CO1353))=CN1353,DATE(CM1353,CN1353,CO1353),""),"")))),"")</f>
        <v/>
      </c>
      <c r="CJ1353">
        <f>IFERROR(IF('월 가계부'!C1353="","",IF(ISNUMBER('월 가계부'!C1353),'월 가계부'!C1353,VALUE(SUBSTITUTE(SUBSTITUTE(SUBSTITUTE(SUBSTITUTE(TRIM('월 가계부'!C1353),",",""),"원","")," ",""),"−","-")))),"")</f>
        <v/>
      </c>
      <c r="CK1353">
        <f>IF(ISNUMBER(CI1353),IF(CI1353&lt;$B$13,CI1353,""),"")</f>
        <v/>
      </c>
      <c r="CM1353">
        <f>IF(CH1353="","",IFERROR(IF(IF(AND(LEN(CH1353)=9,ISERROR(FIND("-",LEFT(CH1353,8))),ISNUMBER(-LEFT(CH1353,8))),VALUE(LEFT(CH1353,4)),VALUE(LEFT(CH1353,FIND("-",CH1353)-1)))&lt;100,IF(AND(LEN(CH1353)=9,ISERROR(FIND("-",LEFT(CH1353,8))),ISNUMBER(-LEFT(CH1353,8))),VALUE(LEFT(CH1353,4)),VALUE(LEFT(CH1353,FIND("-",CH1353)-1)))+2000,IF(AND(LEN(CH1353)=9,ISERROR(FIND("-",LEFT(CH1353,8))),ISNUMBER(-LEFT(CH1353,8))),VALUE(LEFT(CH1353,4)),VALUE(LEFT(CH1353,FIND("-",CH1353)-1)))),""))</f>
        <v/>
      </c>
      <c r="CN1353">
        <f>IF(CH1353="","",IFERROR(IF(AND(LEN(CH1353)=9,ISERROR(FIND("-",LEFT(CH1353,8))),ISNUMBER(-LEFT(CH1353,8))),VALUE(MID(CH1353,5,2)),VALUE(MID(CH1353,FIND("-",CH1353)+1,FIND("-",CH1353,FIND("-",CH1353)+1)-FIND("-",CH1353)-1))),""))</f>
        <v/>
      </c>
      <c r="CO1353">
        <f>IF(CH1353="","",IFERROR(IF(AND(LEN(CH1353)=9,ISERROR(FIND("-",LEFT(CH1353,8))),ISNUMBER(-LEFT(CH1353,8))),VALUE(MID(CH1353,7,2)),VALUE(MID(CH1353,FIND("-",CH1353,FIND("-",CH1353)+1)+1,FIND("-",CH1353,FIND("-",CH1353,FIND("-",CH1353)+1)+1)-FIND("-",CH1353,FIND("-",CH1353)+1)-1))),""))</f>
        <v/>
      </c>
    </row>
    <row r="1354">
      <c r="CH1354">
        <f>IF(ISTEXT('월 가계부'!A1354),SUBSTITUTE(SUBSTITUTE(SUBSTITUTE(SUBSTITUTE(SUBSTITUTE(SUBSTITUTE(SUBSTITUTE(SUBSTITUTE(SUBSTITUTE(TRIM('월 가계부'!A1354),"년","-"),"월","-"),"일",""),".","-"),"/","-")," ","-"),"--","-"),"--","-"),"--","-")&amp;"-","")</f>
        <v/>
      </c>
      <c r="CI1354">
        <f>IFERROR(IF('월 가계부'!A1354="","",IF(ISNUMBER('월 가계부'!A1354),IF(AND('월 가계부'!A1354&gt;=19000101,'월 가계부'!A1354&lt;=21001231),IF(AND(MOD(INT('월 가계부'!A1354/100),100)&gt;=1,MOD(INT('월 가계부'!A1354/100),100)&lt;=12,MOD(INT('월 가계부'!A1354),100)&gt;=1,MOD(INT('월 가계부'!A1354),100)&lt;=31),IF(MONTH(DATE(INT('월 가계부'!A1354/10000),MOD(INT('월 가계부'!A1354/100),100),MOD(INT('월 가계부'!A1354),100)))=MOD(INT('월 가계부'!A1354/100),100),DATE(INT('월 가계부'!A1354/10000),MOD(INT('월 가계부'!A1354/100),100),MOD(INT('월 가계부'!A1354),100)),""),""),IF(AND('월 가계부'!A1354&gt;=36526,'월 가계부'!A1354&lt;73051),INT('월 가계부'!A1354),"")),IF(OR(CM1354="",CN1354="",CO1354=""),"",IF(AND(CM1354&gt;=2000,CM1354&lt;=2099,CN1354&gt;=1,CN1354&lt;=12,CO1354&gt;=1,CO1354&lt;=31),IF(MONTH(DATE(CM1354,CN1354,CO1354))=CN1354,DATE(CM1354,CN1354,CO1354),""),"")))),"")</f>
        <v/>
      </c>
      <c r="CJ1354">
        <f>IFERROR(IF('월 가계부'!C1354="","",IF(ISNUMBER('월 가계부'!C1354),'월 가계부'!C1354,VALUE(SUBSTITUTE(SUBSTITUTE(SUBSTITUTE(SUBSTITUTE(TRIM('월 가계부'!C1354),",",""),"원","")," ",""),"−","-")))),"")</f>
        <v/>
      </c>
      <c r="CK1354">
        <f>IF(ISNUMBER(CI1354),IF(CI1354&lt;$B$13,CI1354,""),"")</f>
        <v/>
      </c>
      <c r="CM1354">
        <f>IF(CH1354="","",IFERROR(IF(IF(AND(LEN(CH1354)=9,ISERROR(FIND("-",LEFT(CH1354,8))),ISNUMBER(-LEFT(CH1354,8))),VALUE(LEFT(CH1354,4)),VALUE(LEFT(CH1354,FIND("-",CH1354)-1)))&lt;100,IF(AND(LEN(CH1354)=9,ISERROR(FIND("-",LEFT(CH1354,8))),ISNUMBER(-LEFT(CH1354,8))),VALUE(LEFT(CH1354,4)),VALUE(LEFT(CH1354,FIND("-",CH1354)-1)))+2000,IF(AND(LEN(CH1354)=9,ISERROR(FIND("-",LEFT(CH1354,8))),ISNUMBER(-LEFT(CH1354,8))),VALUE(LEFT(CH1354,4)),VALUE(LEFT(CH1354,FIND("-",CH1354)-1)))),""))</f>
        <v/>
      </c>
      <c r="CN1354">
        <f>IF(CH1354="","",IFERROR(IF(AND(LEN(CH1354)=9,ISERROR(FIND("-",LEFT(CH1354,8))),ISNUMBER(-LEFT(CH1354,8))),VALUE(MID(CH1354,5,2)),VALUE(MID(CH1354,FIND("-",CH1354)+1,FIND("-",CH1354,FIND("-",CH1354)+1)-FIND("-",CH1354)-1))),""))</f>
        <v/>
      </c>
      <c r="CO1354">
        <f>IF(CH1354="","",IFERROR(IF(AND(LEN(CH1354)=9,ISERROR(FIND("-",LEFT(CH1354,8))),ISNUMBER(-LEFT(CH1354,8))),VALUE(MID(CH1354,7,2)),VALUE(MID(CH1354,FIND("-",CH1354,FIND("-",CH1354)+1)+1,FIND("-",CH1354,FIND("-",CH1354,FIND("-",CH1354)+1)+1)-FIND("-",CH1354,FIND("-",CH1354)+1)-1))),""))</f>
        <v/>
      </c>
    </row>
    <row r="1355">
      <c r="CH1355">
        <f>IF(ISTEXT('월 가계부'!A1355),SUBSTITUTE(SUBSTITUTE(SUBSTITUTE(SUBSTITUTE(SUBSTITUTE(SUBSTITUTE(SUBSTITUTE(SUBSTITUTE(SUBSTITUTE(TRIM('월 가계부'!A1355),"년","-"),"월","-"),"일",""),".","-"),"/","-")," ","-"),"--","-"),"--","-"),"--","-")&amp;"-","")</f>
        <v/>
      </c>
      <c r="CI1355">
        <f>IFERROR(IF('월 가계부'!A1355="","",IF(ISNUMBER('월 가계부'!A1355),IF(AND('월 가계부'!A1355&gt;=19000101,'월 가계부'!A1355&lt;=21001231),IF(AND(MOD(INT('월 가계부'!A1355/100),100)&gt;=1,MOD(INT('월 가계부'!A1355/100),100)&lt;=12,MOD(INT('월 가계부'!A1355),100)&gt;=1,MOD(INT('월 가계부'!A1355),100)&lt;=31),IF(MONTH(DATE(INT('월 가계부'!A1355/10000),MOD(INT('월 가계부'!A1355/100),100),MOD(INT('월 가계부'!A1355),100)))=MOD(INT('월 가계부'!A1355/100),100),DATE(INT('월 가계부'!A1355/10000),MOD(INT('월 가계부'!A1355/100),100),MOD(INT('월 가계부'!A1355),100)),""),""),IF(AND('월 가계부'!A1355&gt;=36526,'월 가계부'!A1355&lt;73051),INT('월 가계부'!A1355),"")),IF(OR(CM1355="",CN1355="",CO1355=""),"",IF(AND(CM1355&gt;=2000,CM1355&lt;=2099,CN1355&gt;=1,CN1355&lt;=12,CO1355&gt;=1,CO1355&lt;=31),IF(MONTH(DATE(CM1355,CN1355,CO1355))=CN1355,DATE(CM1355,CN1355,CO1355),""),"")))),"")</f>
        <v/>
      </c>
      <c r="CJ1355">
        <f>IFERROR(IF('월 가계부'!C1355="","",IF(ISNUMBER('월 가계부'!C1355),'월 가계부'!C1355,VALUE(SUBSTITUTE(SUBSTITUTE(SUBSTITUTE(SUBSTITUTE(TRIM('월 가계부'!C1355),",",""),"원","")," ",""),"−","-")))),"")</f>
        <v/>
      </c>
      <c r="CK1355">
        <f>IF(ISNUMBER(CI1355),IF(CI1355&lt;$B$13,CI1355,""),"")</f>
        <v/>
      </c>
      <c r="CM1355">
        <f>IF(CH1355="","",IFERROR(IF(IF(AND(LEN(CH1355)=9,ISERROR(FIND("-",LEFT(CH1355,8))),ISNUMBER(-LEFT(CH1355,8))),VALUE(LEFT(CH1355,4)),VALUE(LEFT(CH1355,FIND("-",CH1355)-1)))&lt;100,IF(AND(LEN(CH1355)=9,ISERROR(FIND("-",LEFT(CH1355,8))),ISNUMBER(-LEFT(CH1355,8))),VALUE(LEFT(CH1355,4)),VALUE(LEFT(CH1355,FIND("-",CH1355)-1)))+2000,IF(AND(LEN(CH1355)=9,ISERROR(FIND("-",LEFT(CH1355,8))),ISNUMBER(-LEFT(CH1355,8))),VALUE(LEFT(CH1355,4)),VALUE(LEFT(CH1355,FIND("-",CH1355)-1)))),""))</f>
        <v/>
      </c>
      <c r="CN1355">
        <f>IF(CH1355="","",IFERROR(IF(AND(LEN(CH1355)=9,ISERROR(FIND("-",LEFT(CH1355,8))),ISNUMBER(-LEFT(CH1355,8))),VALUE(MID(CH1355,5,2)),VALUE(MID(CH1355,FIND("-",CH1355)+1,FIND("-",CH1355,FIND("-",CH1355)+1)-FIND("-",CH1355)-1))),""))</f>
        <v/>
      </c>
      <c r="CO1355">
        <f>IF(CH1355="","",IFERROR(IF(AND(LEN(CH1355)=9,ISERROR(FIND("-",LEFT(CH1355,8))),ISNUMBER(-LEFT(CH1355,8))),VALUE(MID(CH1355,7,2)),VALUE(MID(CH1355,FIND("-",CH1355,FIND("-",CH1355)+1)+1,FIND("-",CH1355,FIND("-",CH1355,FIND("-",CH1355)+1)+1)-FIND("-",CH1355,FIND("-",CH1355)+1)-1))),""))</f>
        <v/>
      </c>
    </row>
    <row r="1356">
      <c r="CH1356">
        <f>IF(ISTEXT('월 가계부'!A1356),SUBSTITUTE(SUBSTITUTE(SUBSTITUTE(SUBSTITUTE(SUBSTITUTE(SUBSTITUTE(SUBSTITUTE(SUBSTITUTE(SUBSTITUTE(TRIM('월 가계부'!A1356),"년","-"),"월","-"),"일",""),".","-"),"/","-")," ","-"),"--","-"),"--","-"),"--","-")&amp;"-","")</f>
        <v/>
      </c>
      <c r="CI1356">
        <f>IFERROR(IF('월 가계부'!A1356="","",IF(ISNUMBER('월 가계부'!A1356),IF(AND('월 가계부'!A1356&gt;=19000101,'월 가계부'!A1356&lt;=21001231),IF(AND(MOD(INT('월 가계부'!A1356/100),100)&gt;=1,MOD(INT('월 가계부'!A1356/100),100)&lt;=12,MOD(INT('월 가계부'!A1356),100)&gt;=1,MOD(INT('월 가계부'!A1356),100)&lt;=31),IF(MONTH(DATE(INT('월 가계부'!A1356/10000),MOD(INT('월 가계부'!A1356/100),100),MOD(INT('월 가계부'!A1356),100)))=MOD(INT('월 가계부'!A1356/100),100),DATE(INT('월 가계부'!A1356/10000),MOD(INT('월 가계부'!A1356/100),100),MOD(INT('월 가계부'!A1356),100)),""),""),IF(AND('월 가계부'!A1356&gt;=36526,'월 가계부'!A1356&lt;73051),INT('월 가계부'!A1356),"")),IF(OR(CM1356="",CN1356="",CO1356=""),"",IF(AND(CM1356&gt;=2000,CM1356&lt;=2099,CN1356&gt;=1,CN1356&lt;=12,CO1356&gt;=1,CO1356&lt;=31),IF(MONTH(DATE(CM1356,CN1356,CO1356))=CN1356,DATE(CM1356,CN1356,CO1356),""),"")))),"")</f>
        <v/>
      </c>
      <c r="CJ1356">
        <f>IFERROR(IF('월 가계부'!C1356="","",IF(ISNUMBER('월 가계부'!C1356),'월 가계부'!C1356,VALUE(SUBSTITUTE(SUBSTITUTE(SUBSTITUTE(SUBSTITUTE(TRIM('월 가계부'!C1356),",",""),"원","")," ",""),"−","-")))),"")</f>
        <v/>
      </c>
      <c r="CK1356">
        <f>IF(ISNUMBER(CI1356),IF(CI1356&lt;$B$13,CI1356,""),"")</f>
        <v/>
      </c>
      <c r="CM1356">
        <f>IF(CH1356="","",IFERROR(IF(IF(AND(LEN(CH1356)=9,ISERROR(FIND("-",LEFT(CH1356,8))),ISNUMBER(-LEFT(CH1356,8))),VALUE(LEFT(CH1356,4)),VALUE(LEFT(CH1356,FIND("-",CH1356)-1)))&lt;100,IF(AND(LEN(CH1356)=9,ISERROR(FIND("-",LEFT(CH1356,8))),ISNUMBER(-LEFT(CH1356,8))),VALUE(LEFT(CH1356,4)),VALUE(LEFT(CH1356,FIND("-",CH1356)-1)))+2000,IF(AND(LEN(CH1356)=9,ISERROR(FIND("-",LEFT(CH1356,8))),ISNUMBER(-LEFT(CH1356,8))),VALUE(LEFT(CH1356,4)),VALUE(LEFT(CH1356,FIND("-",CH1356)-1)))),""))</f>
        <v/>
      </c>
      <c r="CN1356">
        <f>IF(CH1356="","",IFERROR(IF(AND(LEN(CH1356)=9,ISERROR(FIND("-",LEFT(CH1356,8))),ISNUMBER(-LEFT(CH1356,8))),VALUE(MID(CH1356,5,2)),VALUE(MID(CH1356,FIND("-",CH1356)+1,FIND("-",CH1356,FIND("-",CH1356)+1)-FIND("-",CH1356)-1))),""))</f>
        <v/>
      </c>
      <c r="CO1356">
        <f>IF(CH1356="","",IFERROR(IF(AND(LEN(CH1356)=9,ISERROR(FIND("-",LEFT(CH1356,8))),ISNUMBER(-LEFT(CH1356,8))),VALUE(MID(CH1356,7,2)),VALUE(MID(CH1356,FIND("-",CH1356,FIND("-",CH1356)+1)+1,FIND("-",CH1356,FIND("-",CH1356,FIND("-",CH1356)+1)+1)-FIND("-",CH1356,FIND("-",CH1356)+1)-1))),""))</f>
        <v/>
      </c>
    </row>
    <row r="1357">
      <c r="CH1357">
        <f>IF(ISTEXT('월 가계부'!A1357),SUBSTITUTE(SUBSTITUTE(SUBSTITUTE(SUBSTITUTE(SUBSTITUTE(SUBSTITUTE(SUBSTITUTE(SUBSTITUTE(SUBSTITUTE(TRIM('월 가계부'!A1357),"년","-"),"월","-"),"일",""),".","-"),"/","-")," ","-"),"--","-"),"--","-"),"--","-")&amp;"-","")</f>
        <v/>
      </c>
      <c r="CI1357">
        <f>IFERROR(IF('월 가계부'!A1357="","",IF(ISNUMBER('월 가계부'!A1357),IF(AND('월 가계부'!A1357&gt;=19000101,'월 가계부'!A1357&lt;=21001231),IF(AND(MOD(INT('월 가계부'!A1357/100),100)&gt;=1,MOD(INT('월 가계부'!A1357/100),100)&lt;=12,MOD(INT('월 가계부'!A1357),100)&gt;=1,MOD(INT('월 가계부'!A1357),100)&lt;=31),IF(MONTH(DATE(INT('월 가계부'!A1357/10000),MOD(INT('월 가계부'!A1357/100),100),MOD(INT('월 가계부'!A1357),100)))=MOD(INT('월 가계부'!A1357/100),100),DATE(INT('월 가계부'!A1357/10000),MOD(INT('월 가계부'!A1357/100),100),MOD(INT('월 가계부'!A1357),100)),""),""),IF(AND('월 가계부'!A1357&gt;=36526,'월 가계부'!A1357&lt;73051),INT('월 가계부'!A1357),"")),IF(OR(CM1357="",CN1357="",CO1357=""),"",IF(AND(CM1357&gt;=2000,CM1357&lt;=2099,CN1357&gt;=1,CN1357&lt;=12,CO1357&gt;=1,CO1357&lt;=31),IF(MONTH(DATE(CM1357,CN1357,CO1357))=CN1357,DATE(CM1357,CN1357,CO1357),""),"")))),"")</f>
        <v/>
      </c>
      <c r="CJ1357">
        <f>IFERROR(IF('월 가계부'!C1357="","",IF(ISNUMBER('월 가계부'!C1357),'월 가계부'!C1357,VALUE(SUBSTITUTE(SUBSTITUTE(SUBSTITUTE(SUBSTITUTE(TRIM('월 가계부'!C1357),",",""),"원","")," ",""),"−","-")))),"")</f>
        <v/>
      </c>
      <c r="CK1357">
        <f>IF(ISNUMBER(CI1357),IF(CI1357&lt;$B$13,CI1357,""),"")</f>
        <v/>
      </c>
      <c r="CM1357">
        <f>IF(CH1357="","",IFERROR(IF(IF(AND(LEN(CH1357)=9,ISERROR(FIND("-",LEFT(CH1357,8))),ISNUMBER(-LEFT(CH1357,8))),VALUE(LEFT(CH1357,4)),VALUE(LEFT(CH1357,FIND("-",CH1357)-1)))&lt;100,IF(AND(LEN(CH1357)=9,ISERROR(FIND("-",LEFT(CH1357,8))),ISNUMBER(-LEFT(CH1357,8))),VALUE(LEFT(CH1357,4)),VALUE(LEFT(CH1357,FIND("-",CH1357)-1)))+2000,IF(AND(LEN(CH1357)=9,ISERROR(FIND("-",LEFT(CH1357,8))),ISNUMBER(-LEFT(CH1357,8))),VALUE(LEFT(CH1357,4)),VALUE(LEFT(CH1357,FIND("-",CH1357)-1)))),""))</f>
        <v/>
      </c>
      <c r="CN1357">
        <f>IF(CH1357="","",IFERROR(IF(AND(LEN(CH1357)=9,ISERROR(FIND("-",LEFT(CH1357,8))),ISNUMBER(-LEFT(CH1357,8))),VALUE(MID(CH1357,5,2)),VALUE(MID(CH1357,FIND("-",CH1357)+1,FIND("-",CH1357,FIND("-",CH1357)+1)-FIND("-",CH1357)-1))),""))</f>
        <v/>
      </c>
      <c r="CO1357">
        <f>IF(CH1357="","",IFERROR(IF(AND(LEN(CH1357)=9,ISERROR(FIND("-",LEFT(CH1357,8))),ISNUMBER(-LEFT(CH1357,8))),VALUE(MID(CH1357,7,2)),VALUE(MID(CH1357,FIND("-",CH1357,FIND("-",CH1357)+1)+1,FIND("-",CH1357,FIND("-",CH1357,FIND("-",CH1357)+1)+1)-FIND("-",CH1357,FIND("-",CH1357)+1)-1))),""))</f>
        <v/>
      </c>
    </row>
    <row r="1358">
      <c r="CH1358">
        <f>IF(ISTEXT('월 가계부'!A1358),SUBSTITUTE(SUBSTITUTE(SUBSTITUTE(SUBSTITUTE(SUBSTITUTE(SUBSTITUTE(SUBSTITUTE(SUBSTITUTE(SUBSTITUTE(TRIM('월 가계부'!A1358),"년","-"),"월","-"),"일",""),".","-"),"/","-")," ","-"),"--","-"),"--","-"),"--","-")&amp;"-","")</f>
        <v/>
      </c>
      <c r="CI1358">
        <f>IFERROR(IF('월 가계부'!A1358="","",IF(ISNUMBER('월 가계부'!A1358),IF(AND('월 가계부'!A1358&gt;=19000101,'월 가계부'!A1358&lt;=21001231),IF(AND(MOD(INT('월 가계부'!A1358/100),100)&gt;=1,MOD(INT('월 가계부'!A1358/100),100)&lt;=12,MOD(INT('월 가계부'!A1358),100)&gt;=1,MOD(INT('월 가계부'!A1358),100)&lt;=31),IF(MONTH(DATE(INT('월 가계부'!A1358/10000),MOD(INT('월 가계부'!A1358/100),100),MOD(INT('월 가계부'!A1358),100)))=MOD(INT('월 가계부'!A1358/100),100),DATE(INT('월 가계부'!A1358/10000),MOD(INT('월 가계부'!A1358/100),100),MOD(INT('월 가계부'!A1358),100)),""),""),IF(AND('월 가계부'!A1358&gt;=36526,'월 가계부'!A1358&lt;73051),INT('월 가계부'!A1358),"")),IF(OR(CM1358="",CN1358="",CO1358=""),"",IF(AND(CM1358&gt;=2000,CM1358&lt;=2099,CN1358&gt;=1,CN1358&lt;=12,CO1358&gt;=1,CO1358&lt;=31),IF(MONTH(DATE(CM1358,CN1358,CO1358))=CN1358,DATE(CM1358,CN1358,CO1358),""),"")))),"")</f>
        <v/>
      </c>
      <c r="CJ1358">
        <f>IFERROR(IF('월 가계부'!C1358="","",IF(ISNUMBER('월 가계부'!C1358),'월 가계부'!C1358,VALUE(SUBSTITUTE(SUBSTITUTE(SUBSTITUTE(SUBSTITUTE(TRIM('월 가계부'!C1358),",",""),"원","")," ",""),"−","-")))),"")</f>
        <v/>
      </c>
      <c r="CK1358">
        <f>IF(ISNUMBER(CI1358),IF(CI1358&lt;$B$13,CI1358,""),"")</f>
        <v/>
      </c>
      <c r="CM1358">
        <f>IF(CH1358="","",IFERROR(IF(IF(AND(LEN(CH1358)=9,ISERROR(FIND("-",LEFT(CH1358,8))),ISNUMBER(-LEFT(CH1358,8))),VALUE(LEFT(CH1358,4)),VALUE(LEFT(CH1358,FIND("-",CH1358)-1)))&lt;100,IF(AND(LEN(CH1358)=9,ISERROR(FIND("-",LEFT(CH1358,8))),ISNUMBER(-LEFT(CH1358,8))),VALUE(LEFT(CH1358,4)),VALUE(LEFT(CH1358,FIND("-",CH1358)-1)))+2000,IF(AND(LEN(CH1358)=9,ISERROR(FIND("-",LEFT(CH1358,8))),ISNUMBER(-LEFT(CH1358,8))),VALUE(LEFT(CH1358,4)),VALUE(LEFT(CH1358,FIND("-",CH1358)-1)))),""))</f>
        <v/>
      </c>
      <c r="CN1358">
        <f>IF(CH1358="","",IFERROR(IF(AND(LEN(CH1358)=9,ISERROR(FIND("-",LEFT(CH1358,8))),ISNUMBER(-LEFT(CH1358,8))),VALUE(MID(CH1358,5,2)),VALUE(MID(CH1358,FIND("-",CH1358)+1,FIND("-",CH1358,FIND("-",CH1358)+1)-FIND("-",CH1358)-1))),""))</f>
        <v/>
      </c>
      <c r="CO1358">
        <f>IF(CH1358="","",IFERROR(IF(AND(LEN(CH1358)=9,ISERROR(FIND("-",LEFT(CH1358,8))),ISNUMBER(-LEFT(CH1358,8))),VALUE(MID(CH1358,7,2)),VALUE(MID(CH1358,FIND("-",CH1358,FIND("-",CH1358)+1)+1,FIND("-",CH1358,FIND("-",CH1358,FIND("-",CH1358)+1)+1)-FIND("-",CH1358,FIND("-",CH1358)+1)-1))),""))</f>
        <v/>
      </c>
    </row>
    <row r="1359">
      <c r="CH1359">
        <f>IF(ISTEXT('월 가계부'!A1359),SUBSTITUTE(SUBSTITUTE(SUBSTITUTE(SUBSTITUTE(SUBSTITUTE(SUBSTITUTE(SUBSTITUTE(SUBSTITUTE(SUBSTITUTE(TRIM('월 가계부'!A1359),"년","-"),"월","-"),"일",""),".","-"),"/","-")," ","-"),"--","-"),"--","-"),"--","-")&amp;"-","")</f>
        <v/>
      </c>
      <c r="CI1359">
        <f>IFERROR(IF('월 가계부'!A1359="","",IF(ISNUMBER('월 가계부'!A1359),IF(AND('월 가계부'!A1359&gt;=19000101,'월 가계부'!A1359&lt;=21001231),IF(AND(MOD(INT('월 가계부'!A1359/100),100)&gt;=1,MOD(INT('월 가계부'!A1359/100),100)&lt;=12,MOD(INT('월 가계부'!A1359),100)&gt;=1,MOD(INT('월 가계부'!A1359),100)&lt;=31),IF(MONTH(DATE(INT('월 가계부'!A1359/10000),MOD(INT('월 가계부'!A1359/100),100),MOD(INT('월 가계부'!A1359),100)))=MOD(INT('월 가계부'!A1359/100),100),DATE(INT('월 가계부'!A1359/10000),MOD(INT('월 가계부'!A1359/100),100),MOD(INT('월 가계부'!A1359),100)),""),""),IF(AND('월 가계부'!A1359&gt;=36526,'월 가계부'!A1359&lt;73051),INT('월 가계부'!A1359),"")),IF(OR(CM1359="",CN1359="",CO1359=""),"",IF(AND(CM1359&gt;=2000,CM1359&lt;=2099,CN1359&gt;=1,CN1359&lt;=12,CO1359&gt;=1,CO1359&lt;=31),IF(MONTH(DATE(CM1359,CN1359,CO1359))=CN1359,DATE(CM1359,CN1359,CO1359),""),"")))),"")</f>
        <v/>
      </c>
      <c r="CJ1359">
        <f>IFERROR(IF('월 가계부'!C1359="","",IF(ISNUMBER('월 가계부'!C1359),'월 가계부'!C1359,VALUE(SUBSTITUTE(SUBSTITUTE(SUBSTITUTE(SUBSTITUTE(TRIM('월 가계부'!C1359),",",""),"원","")," ",""),"−","-")))),"")</f>
        <v/>
      </c>
      <c r="CK1359">
        <f>IF(ISNUMBER(CI1359),IF(CI1359&lt;$B$13,CI1359,""),"")</f>
        <v/>
      </c>
      <c r="CM1359">
        <f>IF(CH1359="","",IFERROR(IF(IF(AND(LEN(CH1359)=9,ISERROR(FIND("-",LEFT(CH1359,8))),ISNUMBER(-LEFT(CH1359,8))),VALUE(LEFT(CH1359,4)),VALUE(LEFT(CH1359,FIND("-",CH1359)-1)))&lt;100,IF(AND(LEN(CH1359)=9,ISERROR(FIND("-",LEFT(CH1359,8))),ISNUMBER(-LEFT(CH1359,8))),VALUE(LEFT(CH1359,4)),VALUE(LEFT(CH1359,FIND("-",CH1359)-1)))+2000,IF(AND(LEN(CH1359)=9,ISERROR(FIND("-",LEFT(CH1359,8))),ISNUMBER(-LEFT(CH1359,8))),VALUE(LEFT(CH1359,4)),VALUE(LEFT(CH1359,FIND("-",CH1359)-1)))),""))</f>
        <v/>
      </c>
      <c r="CN1359">
        <f>IF(CH1359="","",IFERROR(IF(AND(LEN(CH1359)=9,ISERROR(FIND("-",LEFT(CH1359,8))),ISNUMBER(-LEFT(CH1359,8))),VALUE(MID(CH1359,5,2)),VALUE(MID(CH1359,FIND("-",CH1359)+1,FIND("-",CH1359,FIND("-",CH1359)+1)-FIND("-",CH1359)-1))),""))</f>
        <v/>
      </c>
      <c r="CO1359">
        <f>IF(CH1359="","",IFERROR(IF(AND(LEN(CH1359)=9,ISERROR(FIND("-",LEFT(CH1359,8))),ISNUMBER(-LEFT(CH1359,8))),VALUE(MID(CH1359,7,2)),VALUE(MID(CH1359,FIND("-",CH1359,FIND("-",CH1359)+1)+1,FIND("-",CH1359,FIND("-",CH1359,FIND("-",CH1359)+1)+1)-FIND("-",CH1359,FIND("-",CH1359)+1)-1))),""))</f>
        <v/>
      </c>
    </row>
    <row r="1360">
      <c r="CH1360">
        <f>IF(ISTEXT('월 가계부'!A1360),SUBSTITUTE(SUBSTITUTE(SUBSTITUTE(SUBSTITUTE(SUBSTITUTE(SUBSTITUTE(SUBSTITUTE(SUBSTITUTE(SUBSTITUTE(TRIM('월 가계부'!A1360),"년","-"),"월","-"),"일",""),".","-"),"/","-")," ","-"),"--","-"),"--","-"),"--","-")&amp;"-","")</f>
        <v/>
      </c>
      <c r="CI1360">
        <f>IFERROR(IF('월 가계부'!A1360="","",IF(ISNUMBER('월 가계부'!A1360),IF(AND('월 가계부'!A1360&gt;=19000101,'월 가계부'!A1360&lt;=21001231),IF(AND(MOD(INT('월 가계부'!A1360/100),100)&gt;=1,MOD(INT('월 가계부'!A1360/100),100)&lt;=12,MOD(INT('월 가계부'!A1360),100)&gt;=1,MOD(INT('월 가계부'!A1360),100)&lt;=31),IF(MONTH(DATE(INT('월 가계부'!A1360/10000),MOD(INT('월 가계부'!A1360/100),100),MOD(INT('월 가계부'!A1360),100)))=MOD(INT('월 가계부'!A1360/100),100),DATE(INT('월 가계부'!A1360/10000),MOD(INT('월 가계부'!A1360/100),100),MOD(INT('월 가계부'!A1360),100)),""),""),IF(AND('월 가계부'!A1360&gt;=36526,'월 가계부'!A1360&lt;73051),INT('월 가계부'!A1360),"")),IF(OR(CM1360="",CN1360="",CO1360=""),"",IF(AND(CM1360&gt;=2000,CM1360&lt;=2099,CN1360&gt;=1,CN1360&lt;=12,CO1360&gt;=1,CO1360&lt;=31),IF(MONTH(DATE(CM1360,CN1360,CO1360))=CN1360,DATE(CM1360,CN1360,CO1360),""),"")))),"")</f>
        <v/>
      </c>
      <c r="CJ1360">
        <f>IFERROR(IF('월 가계부'!C1360="","",IF(ISNUMBER('월 가계부'!C1360),'월 가계부'!C1360,VALUE(SUBSTITUTE(SUBSTITUTE(SUBSTITUTE(SUBSTITUTE(TRIM('월 가계부'!C1360),",",""),"원","")," ",""),"−","-")))),"")</f>
        <v/>
      </c>
      <c r="CK1360">
        <f>IF(ISNUMBER(CI1360),IF(CI1360&lt;$B$13,CI1360,""),"")</f>
        <v/>
      </c>
      <c r="CM1360">
        <f>IF(CH1360="","",IFERROR(IF(IF(AND(LEN(CH1360)=9,ISERROR(FIND("-",LEFT(CH1360,8))),ISNUMBER(-LEFT(CH1360,8))),VALUE(LEFT(CH1360,4)),VALUE(LEFT(CH1360,FIND("-",CH1360)-1)))&lt;100,IF(AND(LEN(CH1360)=9,ISERROR(FIND("-",LEFT(CH1360,8))),ISNUMBER(-LEFT(CH1360,8))),VALUE(LEFT(CH1360,4)),VALUE(LEFT(CH1360,FIND("-",CH1360)-1)))+2000,IF(AND(LEN(CH1360)=9,ISERROR(FIND("-",LEFT(CH1360,8))),ISNUMBER(-LEFT(CH1360,8))),VALUE(LEFT(CH1360,4)),VALUE(LEFT(CH1360,FIND("-",CH1360)-1)))),""))</f>
        <v/>
      </c>
      <c r="CN1360">
        <f>IF(CH1360="","",IFERROR(IF(AND(LEN(CH1360)=9,ISERROR(FIND("-",LEFT(CH1360,8))),ISNUMBER(-LEFT(CH1360,8))),VALUE(MID(CH1360,5,2)),VALUE(MID(CH1360,FIND("-",CH1360)+1,FIND("-",CH1360,FIND("-",CH1360)+1)-FIND("-",CH1360)-1))),""))</f>
        <v/>
      </c>
      <c r="CO1360">
        <f>IF(CH1360="","",IFERROR(IF(AND(LEN(CH1360)=9,ISERROR(FIND("-",LEFT(CH1360,8))),ISNUMBER(-LEFT(CH1360,8))),VALUE(MID(CH1360,7,2)),VALUE(MID(CH1360,FIND("-",CH1360,FIND("-",CH1360)+1)+1,FIND("-",CH1360,FIND("-",CH1360,FIND("-",CH1360)+1)+1)-FIND("-",CH1360,FIND("-",CH1360)+1)-1))),""))</f>
        <v/>
      </c>
    </row>
    <row r="1361">
      <c r="CH1361">
        <f>IF(ISTEXT('월 가계부'!A1361),SUBSTITUTE(SUBSTITUTE(SUBSTITUTE(SUBSTITUTE(SUBSTITUTE(SUBSTITUTE(SUBSTITUTE(SUBSTITUTE(SUBSTITUTE(TRIM('월 가계부'!A1361),"년","-"),"월","-"),"일",""),".","-"),"/","-")," ","-"),"--","-"),"--","-"),"--","-")&amp;"-","")</f>
        <v/>
      </c>
      <c r="CI1361">
        <f>IFERROR(IF('월 가계부'!A1361="","",IF(ISNUMBER('월 가계부'!A1361),IF(AND('월 가계부'!A1361&gt;=19000101,'월 가계부'!A1361&lt;=21001231),IF(AND(MOD(INT('월 가계부'!A1361/100),100)&gt;=1,MOD(INT('월 가계부'!A1361/100),100)&lt;=12,MOD(INT('월 가계부'!A1361),100)&gt;=1,MOD(INT('월 가계부'!A1361),100)&lt;=31),IF(MONTH(DATE(INT('월 가계부'!A1361/10000),MOD(INT('월 가계부'!A1361/100),100),MOD(INT('월 가계부'!A1361),100)))=MOD(INT('월 가계부'!A1361/100),100),DATE(INT('월 가계부'!A1361/10000),MOD(INT('월 가계부'!A1361/100),100),MOD(INT('월 가계부'!A1361),100)),""),""),IF(AND('월 가계부'!A1361&gt;=36526,'월 가계부'!A1361&lt;73051),INT('월 가계부'!A1361),"")),IF(OR(CM1361="",CN1361="",CO1361=""),"",IF(AND(CM1361&gt;=2000,CM1361&lt;=2099,CN1361&gt;=1,CN1361&lt;=12,CO1361&gt;=1,CO1361&lt;=31),IF(MONTH(DATE(CM1361,CN1361,CO1361))=CN1361,DATE(CM1361,CN1361,CO1361),""),"")))),"")</f>
        <v/>
      </c>
      <c r="CJ1361">
        <f>IFERROR(IF('월 가계부'!C1361="","",IF(ISNUMBER('월 가계부'!C1361),'월 가계부'!C1361,VALUE(SUBSTITUTE(SUBSTITUTE(SUBSTITUTE(SUBSTITUTE(TRIM('월 가계부'!C1361),",",""),"원","")," ",""),"−","-")))),"")</f>
        <v/>
      </c>
      <c r="CK1361">
        <f>IF(ISNUMBER(CI1361),IF(CI1361&lt;$B$13,CI1361,""),"")</f>
        <v/>
      </c>
      <c r="CM1361">
        <f>IF(CH1361="","",IFERROR(IF(IF(AND(LEN(CH1361)=9,ISERROR(FIND("-",LEFT(CH1361,8))),ISNUMBER(-LEFT(CH1361,8))),VALUE(LEFT(CH1361,4)),VALUE(LEFT(CH1361,FIND("-",CH1361)-1)))&lt;100,IF(AND(LEN(CH1361)=9,ISERROR(FIND("-",LEFT(CH1361,8))),ISNUMBER(-LEFT(CH1361,8))),VALUE(LEFT(CH1361,4)),VALUE(LEFT(CH1361,FIND("-",CH1361)-1)))+2000,IF(AND(LEN(CH1361)=9,ISERROR(FIND("-",LEFT(CH1361,8))),ISNUMBER(-LEFT(CH1361,8))),VALUE(LEFT(CH1361,4)),VALUE(LEFT(CH1361,FIND("-",CH1361)-1)))),""))</f>
        <v/>
      </c>
      <c r="CN1361">
        <f>IF(CH1361="","",IFERROR(IF(AND(LEN(CH1361)=9,ISERROR(FIND("-",LEFT(CH1361,8))),ISNUMBER(-LEFT(CH1361,8))),VALUE(MID(CH1361,5,2)),VALUE(MID(CH1361,FIND("-",CH1361)+1,FIND("-",CH1361,FIND("-",CH1361)+1)-FIND("-",CH1361)-1))),""))</f>
        <v/>
      </c>
      <c r="CO1361">
        <f>IF(CH1361="","",IFERROR(IF(AND(LEN(CH1361)=9,ISERROR(FIND("-",LEFT(CH1361,8))),ISNUMBER(-LEFT(CH1361,8))),VALUE(MID(CH1361,7,2)),VALUE(MID(CH1361,FIND("-",CH1361,FIND("-",CH1361)+1)+1,FIND("-",CH1361,FIND("-",CH1361,FIND("-",CH1361)+1)+1)-FIND("-",CH1361,FIND("-",CH1361)+1)-1))),""))</f>
        <v/>
      </c>
    </row>
    <row r="1362">
      <c r="CH1362">
        <f>IF(ISTEXT('월 가계부'!A1362),SUBSTITUTE(SUBSTITUTE(SUBSTITUTE(SUBSTITUTE(SUBSTITUTE(SUBSTITUTE(SUBSTITUTE(SUBSTITUTE(SUBSTITUTE(TRIM('월 가계부'!A1362),"년","-"),"월","-"),"일",""),".","-"),"/","-")," ","-"),"--","-"),"--","-"),"--","-")&amp;"-","")</f>
        <v/>
      </c>
      <c r="CI1362">
        <f>IFERROR(IF('월 가계부'!A1362="","",IF(ISNUMBER('월 가계부'!A1362),IF(AND('월 가계부'!A1362&gt;=19000101,'월 가계부'!A1362&lt;=21001231),IF(AND(MOD(INT('월 가계부'!A1362/100),100)&gt;=1,MOD(INT('월 가계부'!A1362/100),100)&lt;=12,MOD(INT('월 가계부'!A1362),100)&gt;=1,MOD(INT('월 가계부'!A1362),100)&lt;=31),IF(MONTH(DATE(INT('월 가계부'!A1362/10000),MOD(INT('월 가계부'!A1362/100),100),MOD(INT('월 가계부'!A1362),100)))=MOD(INT('월 가계부'!A1362/100),100),DATE(INT('월 가계부'!A1362/10000),MOD(INT('월 가계부'!A1362/100),100),MOD(INT('월 가계부'!A1362),100)),""),""),IF(AND('월 가계부'!A1362&gt;=36526,'월 가계부'!A1362&lt;73051),INT('월 가계부'!A1362),"")),IF(OR(CM1362="",CN1362="",CO1362=""),"",IF(AND(CM1362&gt;=2000,CM1362&lt;=2099,CN1362&gt;=1,CN1362&lt;=12,CO1362&gt;=1,CO1362&lt;=31),IF(MONTH(DATE(CM1362,CN1362,CO1362))=CN1362,DATE(CM1362,CN1362,CO1362),""),"")))),"")</f>
        <v/>
      </c>
      <c r="CJ1362">
        <f>IFERROR(IF('월 가계부'!C1362="","",IF(ISNUMBER('월 가계부'!C1362),'월 가계부'!C1362,VALUE(SUBSTITUTE(SUBSTITUTE(SUBSTITUTE(SUBSTITUTE(TRIM('월 가계부'!C1362),",",""),"원","")," ",""),"−","-")))),"")</f>
        <v/>
      </c>
      <c r="CK1362">
        <f>IF(ISNUMBER(CI1362),IF(CI1362&lt;$B$13,CI1362,""),"")</f>
        <v/>
      </c>
      <c r="CM1362">
        <f>IF(CH1362="","",IFERROR(IF(IF(AND(LEN(CH1362)=9,ISERROR(FIND("-",LEFT(CH1362,8))),ISNUMBER(-LEFT(CH1362,8))),VALUE(LEFT(CH1362,4)),VALUE(LEFT(CH1362,FIND("-",CH1362)-1)))&lt;100,IF(AND(LEN(CH1362)=9,ISERROR(FIND("-",LEFT(CH1362,8))),ISNUMBER(-LEFT(CH1362,8))),VALUE(LEFT(CH1362,4)),VALUE(LEFT(CH1362,FIND("-",CH1362)-1)))+2000,IF(AND(LEN(CH1362)=9,ISERROR(FIND("-",LEFT(CH1362,8))),ISNUMBER(-LEFT(CH1362,8))),VALUE(LEFT(CH1362,4)),VALUE(LEFT(CH1362,FIND("-",CH1362)-1)))),""))</f>
        <v/>
      </c>
      <c r="CN1362">
        <f>IF(CH1362="","",IFERROR(IF(AND(LEN(CH1362)=9,ISERROR(FIND("-",LEFT(CH1362,8))),ISNUMBER(-LEFT(CH1362,8))),VALUE(MID(CH1362,5,2)),VALUE(MID(CH1362,FIND("-",CH1362)+1,FIND("-",CH1362,FIND("-",CH1362)+1)-FIND("-",CH1362)-1))),""))</f>
        <v/>
      </c>
      <c r="CO1362">
        <f>IF(CH1362="","",IFERROR(IF(AND(LEN(CH1362)=9,ISERROR(FIND("-",LEFT(CH1362,8))),ISNUMBER(-LEFT(CH1362,8))),VALUE(MID(CH1362,7,2)),VALUE(MID(CH1362,FIND("-",CH1362,FIND("-",CH1362)+1)+1,FIND("-",CH1362,FIND("-",CH1362,FIND("-",CH1362)+1)+1)-FIND("-",CH1362,FIND("-",CH1362)+1)-1))),""))</f>
        <v/>
      </c>
    </row>
    <row r="1363">
      <c r="CH1363">
        <f>IF(ISTEXT('월 가계부'!A1363),SUBSTITUTE(SUBSTITUTE(SUBSTITUTE(SUBSTITUTE(SUBSTITUTE(SUBSTITUTE(SUBSTITUTE(SUBSTITUTE(SUBSTITUTE(TRIM('월 가계부'!A1363),"년","-"),"월","-"),"일",""),".","-"),"/","-")," ","-"),"--","-"),"--","-"),"--","-")&amp;"-","")</f>
        <v/>
      </c>
      <c r="CI1363">
        <f>IFERROR(IF('월 가계부'!A1363="","",IF(ISNUMBER('월 가계부'!A1363),IF(AND('월 가계부'!A1363&gt;=19000101,'월 가계부'!A1363&lt;=21001231),IF(AND(MOD(INT('월 가계부'!A1363/100),100)&gt;=1,MOD(INT('월 가계부'!A1363/100),100)&lt;=12,MOD(INT('월 가계부'!A1363),100)&gt;=1,MOD(INT('월 가계부'!A1363),100)&lt;=31),IF(MONTH(DATE(INT('월 가계부'!A1363/10000),MOD(INT('월 가계부'!A1363/100),100),MOD(INT('월 가계부'!A1363),100)))=MOD(INT('월 가계부'!A1363/100),100),DATE(INT('월 가계부'!A1363/10000),MOD(INT('월 가계부'!A1363/100),100),MOD(INT('월 가계부'!A1363),100)),""),""),IF(AND('월 가계부'!A1363&gt;=36526,'월 가계부'!A1363&lt;73051),INT('월 가계부'!A1363),"")),IF(OR(CM1363="",CN1363="",CO1363=""),"",IF(AND(CM1363&gt;=2000,CM1363&lt;=2099,CN1363&gt;=1,CN1363&lt;=12,CO1363&gt;=1,CO1363&lt;=31),IF(MONTH(DATE(CM1363,CN1363,CO1363))=CN1363,DATE(CM1363,CN1363,CO1363),""),"")))),"")</f>
        <v/>
      </c>
      <c r="CJ1363">
        <f>IFERROR(IF('월 가계부'!C1363="","",IF(ISNUMBER('월 가계부'!C1363),'월 가계부'!C1363,VALUE(SUBSTITUTE(SUBSTITUTE(SUBSTITUTE(SUBSTITUTE(TRIM('월 가계부'!C1363),",",""),"원","")," ",""),"−","-")))),"")</f>
        <v/>
      </c>
      <c r="CK1363">
        <f>IF(ISNUMBER(CI1363),IF(CI1363&lt;$B$13,CI1363,""),"")</f>
        <v/>
      </c>
      <c r="CM1363">
        <f>IF(CH1363="","",IFERROR(IF(IF(AND(LEN(CH1363)=9,ISERROR(FIND("-",LEFT(CH1363,8))),ISNUMBER(-LEFT(CH1363,8))),VALUE(LEFT(CH1363,4)),VALUE(LEFT(CH1363,FIND("-",CH1363)-1)))&lt;100,IF(AND(LEN(CH1363)=9,ISERROR(FIND("-",LEFT(CH1363,8))),ISNUMBER(-LEFT(CH1363,8))),VALUE(LEFT(CH1363,4)),VALUE(LEFT(CH1363,FIND("-",CH1363)-1)))+2000,IF(AND(LEN(CH1363)=9,ISERROR(FIND("-",LEFT(CH1363,8))),ISNUMBER(-LEFT(CH1363,8))),VALUE(LEFT(CH1363,4)),VALUE(LEFT(CH1363,FIND("-",CH1363)-1)))),""))</f>
        <v/>
      </c>
      <c r="CN1363">
        <f>IF(CH1363="","",IFERROR(IF(AND(LEN(CH1363)=9,ISERROR(FIND("-",LEFT(CH1363,8))),ISNUMBER(-LEFT(CH1363,8))),VALUE(MID(CH1363,5,2)),VALUE(MID(CH1363,FIND("-",CH1363)+1,FIND("-",CH1363,FIND("-",CH1363)+1)-FIND("-",CH1363)-1))),""))</f>
        <v/>
      </c>
      <c r="CO1363">
        <f>IF(CH1363="","",IFERROR(IF(AND(LEN(CH1363)=9,ISERROR(FIND("-",LEFT(CH1363,8))),ISNUMBER(-LEFT(CH1363,8))),VALUE(MID(CH1363,7,2)),VALUE(MID(CH1363,FIND("-",CH1363,FIND("-",CH1363)+1)+1,FIND("-",CH1363,FIND("-",CH1363,FIND("-",CH1363)+1)+1)-FIND("-",CH1363,FIND("-",CH1363)+1)-1))),""))</f>
        <v/>
      </c>
    </row>
    <row r="1364">
      <c r="CH1364">
        <f>IF(ISTEXT('월 가계부'!A1364),SUBSTITUTE(SUBSTITUTE(SUBSTITUTE(SUBSTITUTE(SUBSTITUTE(SUBSTITUTE(SUBSTITUTE(SUBSTITUTE(SUBSTITUTE(TRIM('월 가계부'!A1364),"년","-"),"월","-"),"일",""),".","-"),"/","-")," ","-"),"--","-"),"--","-"),"--","-")&amp;"-","")</f>
        <v/>
      </c>
      <c r="CI1364">
        <f>IFERROR(IF('월 가계부'!A1364="","",IF(ISNUMBER('월 가계부'!A1364),IF(AND('월 가계부'!A1364&gt;=19000101,'월 가계부'!A1364&lt;=21001231),IF(AND(MOD(INT('월 가계부'!A1364/100),100)&gt;=1,MOD(INT('월 가계부'!A1364/100),100)&lt;=12,MOD(INT('월 가계부'!A1364),100)&gt;=1,MOD(INT('월 가계부'!A1364),100)&lt;=31),IF(MONTH(DATE(INT('월 가계부'!A1364/10000),MOD(INT('월 가계부'!A1364/100),100),MOD(INT('월 가계부'!A1364),100)))=MOD(INT('월 가계부'!A1364/100),100),DATE(INT('월 가계부'!A1364/10000),MOD(INT('월 가계부'!A1364/100),100),MOD(INT('월 가계부'!A1364),100)),""),""),IF(AND('월 가계부'!A1364&gt;=36526,'월 가계부'!A1364&lt;73051),INT('월 가계부'!A1364),"")),IF(OR(CM1364="",CN1364="",CO1364=""),"",IF(AND(CM1364&gt;=2000,CM1364&lt;=2099,CN1364&gt;=1,CN1364&lt;=12,CO1364&gt;=1,CO1364&lt;=31),IF(MONTH(DATE(CM1364,CN1364,CO1364))=CN1364,DATE(CM1364,CN1364,CO1364),""),"")))),"")</f>
        <v/>
      </c>
      <c r="CJ1364">
        <f>IFERROR(IF('월 가계부'!C1364="","",IF(ISNUMBER('월 가계부'!C1364),'월 가계부'!C1364,VALUE(SUBSTITUTE(SUBSTITUTE(SUBSTITUTE(SUBSTITUTE(TRIM('월 가계부'!C1364),",",""),"원","")," ",""),"−","-")))),"")</f>
        <v/>
      </c>
      <c r="CK1364">
        <f>IF(ISNUMBER(CI1364),IF(CI1364&lt;$B$13,CI1364,""),"")</f>
        <v/>
      </c>
      <c r="CM1364">
        <f>IF(CH1364="","",IFERROR(IF(IF(AND(LEN(CH1364)=9,ISERROR(FIND("-",LEFT(CH1364,8))),ISNUMBER(-LEFT(CH1364,8))),VALUE(LEFT(CH1364,4)),VALUE(LEFT(CH1364,FIND("-",CH1364)-1)))&lt;100,IF(AND(LEN(CH1364)=9,ISERROR(FIND("-",LEFT(CH1364,8))),ISNUMBER(-LEFT(CH1364,8))),VALUE(LEFT(CH1364,4)),VALUE(LEFT(CH1364,FIND("-",CH1364)-1)))+2000,IF(AND(LEN(CH1364)=9,ISERROR(FIND("-",LEFT(CH1364,8))),ISNUMBER(-LEFT(CH1364,8))),VALUE(LEFT(CH1364,4)),VALUE(LEFT(CH1364,FIND("-",CH1364)-1)))),""))</f>
        <v/>
      </c>
      <c r="CN1364">
        <f>IF(CH1364="","",IFERROR(IF(AND(LEN(CH1364)=9,ISERROR(FIND("-",LEFT(CH1364,8))),ISNUMBER(-LEFT(CH1364,8))),VALUE(MID(CH1364,5,2)),VALUE(MID(CH1364,FIND("-",CH1364)+1,FIND("-",CH1364,FIND("-",CH1364)+1)-FIND("-",CH1364)-1))),""))</f>
        <v/>
      </c>
      <c r="CO1364">
        <f>IF(CH1364="","",IFERROR(IF(AND(LEN(CH1364)=9,ISERROR(FIND("-",LEFT(CH1364,8))),ISNUMBER(-LEFT(CH1364,8))),VALUE(MID(CH1364,7,2)),VALUE(MID(CH1364,FIND("-",CH1364,FIND("-",CH1364)+1)+1,FIND("-",CH1364,FIND("-",CH1364,FIND("-",CH1364)+1)+1)-FIND("-",CH1364,FIND("-",CH1364)+1)-1))),""))</f>
        <v/>
      </c>
    </row>
    <row r="1365">
      <c r="CH1365">
        <f>IF(ISTEXT('월 가계부'!A1365),SUBSTITUTE(SUBSTITUTE(SUBSTITUTE(SUBSTITUTE(SUBSTITUTE(SUBSTITUTE(SUBSTITUTE(SUBSTITUTE(SUBSTITUTE(TRIM('월 가계부'!A1365),"년","-"),"월","-"),"일",""),".","-"),"/","-")," ","-"),"--","-"),"--","-"),"--","-")&amp;"-","")</f>
        <v/>
      </c>
      <c r="CI1365">
        <f>IFERROR(IF('월 가계부'!A1365="","",IF(ISNUMBER('월 가계부'!A1365),IF(AND('월 가계부'!A1365&gt;=19000101,'월 가계부'!A1365&lt;=21001231),IF(AND(MOD(INT('월 가계부'!A1365/100),100)&gt;=1,MOD(INT('월 가계부'!A1365/100),100)&lt;=12,MOD(INT('월 가계부'!A1365),100)&gt;=1,MOD(INT('월 가계부'!A1365),100)&lt;=31),IF(MONTH(DATE(INT('월 가계부'!A1365/10000),MOD(INT('월 가계부'!A1365/100),100),MOD(INT('월 가계부'!A1365),100)))=MOD(INT('월 가계부'!A1365/100),100),DATE(INT('월 가계부'!A1365/10000),MOD(INT('월 가계부'!A1365/100),100),MOD(INT('월 가계부'!A1365),100)),""),""),IF(AND('월 가계부'!A1365&gt;=36526,'월 가계부'!A1365&lt;73051),INT('월 가계부'!A1365),"")),IF(OR(CM1365="",CN1365="",CO1365=""),"",IF(AND(CM1365&gt;=2000,CM1365&lt;=2099,CN1365&gt;=1,CN1365&lt;=12,CO1365&gt;=1,CO1365&lt;=31),IF(MONTH(DATE(CM1365,CN1365,CO1365))=CN1365,DATE(CM1365,CN1365,CO1365),""),"")))),"")</f>
        <v/>
      </c>
      <c r="CJ1365">
        <f>IFERROR(IF('월 가계부'!C1365="","",IF(ISNUMBER('월 가계부'!C1365),'월 가계부'!C1365,VALUE(SUBSTITUTE(SUBSTITUTE(SUBSTITUTE(SUBSTITUTE(TRIM('월 가계부'!C1365),",",""),"원","")," ",""),"−","-")))),"")</f>
        <v/>
      </c>
      <c r="CK1365">
        <f>IF(ISNUMBER(CI1365),IF(CI1365&lt;$B$13,CI1365,""),"")</f>
        <v/>
      </c>
      <c r="CM1365">
        <f>IF(CH1365="","",IFERROR(IF(IF(AND(LEN(CH1365)=9,ISERROR(FIND("-",LEFT(CH1365,8))),ISNUMBER(-LEFT(CH1365,8))),VALUE(LEFT(CH1365,4)),VALUE(LEFT(CH1365,FIND("-",CH1365)-1)))&lt;100,IF(AND(LEN(CH1365)=9,ISERROR(FIND("-",LEFT(CH1365,8))),ISNUMBER(-LEFT(CH1365,8))),VALUE(LEFT(CH1365,4)),VALUE(LEFT(CH1365,FIND("-",CH1365)-1)))+2000,IF(AND(LEN(CH1365)=9,ISERROR(FIND("-",LEFT(CH1365,8))),ISNUMBER(-LEFT(CH1365,8))),VALUE(LEFT(CH1365,4)),VALUE(LEFT(CH1365,FIND("-",CH1365)-1)))),""))</f>
        <v/>
      </c>
      <c r="CN1365">
        <f>IF(CH1365="","",IFERROR(IF(AND(LEN(CH1365)=9,ISERROR(FIND("-",LEFT(CH1365,8))),ISNUMBER(-LEFT(CH1365,8))),VALUE(MID(CH1365,5,2)),VALUE(MID(CH1365,FIND("-",CH1365)+1,FIND("-",CH1365,FIND("-",CH1365)+1)-FIND("-",CH1365)-1))),""))</f>
        <v/>
      </c>
      <c r="CO1365">
        <f>IF(CH1365="","",IFERROR(IF(AND(LEN(CH1365)=9,ISERROR(FIND("-",LEFT(CH1365,8))),ISNUMBER(-LEFT(CH1365,8))),VALUE(MID(CH1365,7,2)),VALUE(MID(CH1365,FIND("-",CH1365,FIND("-",CH1365)+1)+1,FIND("-",CH1365,FIND("-",CH1365,FIND("-",CH1365)+1)+1)-FIND("-",CH1365,FIND("-",CH1365)+1)-1))),""))</f>
        <v/>
      </c>
    </row>
    <row r="1366">
      <c r="CH1366">
        <f>IF(ISTEXT('월 가계부'!A1366),SUBSTITUTE(SUBSTITUTE(SUBSTITUTE(SUBSTITUTE(SUBSTITUTE(SUBSTITUTE(SUBSTITUTE(SUBSTITUTE(SUBSTITUTE(TRIM('월 가계부'!A1366),"년","-"),"월","-"),"일",""),".","-"),"/","-")," ","-"),"--","-"),"--","-"),"--","-")&amp;"-","")</f>
        <v/>
      </c>
      <c r="CI1366">
        <f>IFERROR(IF('월 가계부'!A1366="","",IF(ISNUMBER('월 가계부'!A1366),IF(AND('월 가계부'!A1366&gt;=19000101,'월 가계부'!A1366&lt;=21001231),IF(AND(MOD(INT('월 가계부'!A1366/100),100)&gt;=1,MOD(INT('월 가계부'!A1366/100),100)&lt;=12,MOD(INT('월 가계부'!A1366),100)&gt;=1,MOD(INT('월 가계부'!A1366),100)&lt;=31),IF(MONTH(DATE(INT('월 가계부'!A1366/10000),MOD(INT('월 가계부'!A1366/100),100),MOD(INT('월 가계부'!A1366),100)))=MOD(INT('월 가계부'!A1366/100),100),DATE(INT('월 가계부'!A1366/10000),MOD(INT('월 가계부'!A1366/100),100),MOD(INT('월 가계부'!A1366),100)),""),""),IF(AND('월 가계부'!A1366&gt;=36526,'월 가계부'!A1366&lt;73051),INT('월 가계부'!A1366),"")),IF(OR(CM1366="",CN1366="",CO1366=""),"",IF(AND(CM1366&gt;=2000,CM1366&lt;=2099,CN1366&gt;=1,CN1366&lt;=12,CO1366&gt;=1,CO1366&lt;=31),IF(MONTH(DATE(CM1366,CN1366,CO1366))=CN1366,DATE(CM1366,CN1366,CO1366),""),"")))),"")</f>
        <v/>
      </c>
      <c r="CJ1366">
        <f>IFERROR(IF('월 가계부'!C1366="","",IF(ISNUMBER('월 가계부'!C1366),'월 가계부'!C1366,VALUE(SUBSTITUTE(SUBSTITUTE(SUBSTITUTE(SUBSTITUTE(TRIM('월 가계부'!C1366),",",""),"원","")," ",""),"−","-")))),"")</f>
        <v/>
      </c>
      <c r="CK1366">
        <f>IF(ISNUMBER(CI1366),IF(CI1366&lt;$B$13,CI1366,""),"")</f>
        <v/>
      </c>
      <c r="CM1366">
        <f>IF(CH1366="","",IFERROR(IF(IF(AND(LEN(CH1366)=9,ISERROR(FIND("-",LEFT(CH1366,8))),ISNUMBER(-LEFT(CH1366,8))),VALUE(LEFT(CH1366,4)),VALUE(LEFT(CH1366,FIND("-",CH1366)-1)))&lt;100,IF(AND(LEN(CH1366)=9,ISERROR(FIND("-",LEFT(CH1366,8))),ISNUMBER(-LEFT(CH1366,8))),VALUE(LEFT(CH1366,4)),VALUE(LEFT(CH1366,FIND("-",CH1366)-1)))+2000,IF(AND(LEN(CH1366)=9,ISERROR(FIND("-",LEFT(CH1366,8))),ISNUMBER(-LEFT(CH1366,8))),VALUE(LEFT(CH1366,4)),VALUE(LEFT(CH1366,FIND("-",CH1366)-1)))),""))</f>
        <v/>
      </c>
      <c r="CN1366">
        <f>IF(CH1366="","",IFERROR(IF(AND(LEN(CH1366)=9,ISERROR(FIND("-",LEFT(CH1366,8))),ISNUMBER(-LEFT(CH1366,8))),VALUE(MID(CH1366,5,2)),VALUE(MID(CH1366,FIND("-",CH1366)+1,FIND("-",CH1366,FIND("-",CH1366)+1)-FIND("-",CH1366)-1))),""))</f>
        <v/>
      </c>
      <c r="CO1366">
        <f>IF(CH1366="","",IFERROR(IF(AND(LEN(CH1366)=9,ISERROR(FIND("-",LEFT(CH1366,8))),ISNUMBER(-LEFT(CH1366,8))),VALUE(MID(CH1366,7,2)),VALUE(MID(CH1366,FIND("-",CH1366,FIND("-",CH1366)+1)+1,FIND("-",CH1366,FIND("-",CH1366,FIND("-",CH1366)+1)+1)-FIND("-",CH1366,FIND("-",CH1366)+1)-1))),""))</f>
        <v/>
      </c>
    </row>
    <row r="1367">
      <c r="CH1367">
        <f>IF(ISTEXT('월 가계부'!A1367),SUBSTITUTE(SUBSTITUTE(SUBSTITUTE(SUBSTITUTE(SUBSTITUTE(SUBSTITUTE(SUBSTITUTE(SUBSTITUTE(SUBSTITUTE(TRIM('월 가계부'!A1367),"년","-"),"월","-"),"일",""),".","-"),"/","-")," ","-"),"--","-"),"--","-"),"--","-")&amp;"-","")</f>
        <v/>
      </c>
      <c r="CI1367">
        <f>IFERROR(IF('월 가계부'!A1367="","",IF(ISNUMBER('월 가계부'!A1367),IF(AND('월 가계부'!A1367&gt;=19000101,'월 가계부'!A1367&lt;=21001231),IF(AND(MOD(INT('월 가계부'!A1367/100),100)&gt;=1,MOD(INT('월 가계부'!A1367/100),100)&lt;=12,MOD(INT('월 가계부'!A1367),100)&gt;=1,MOD(INT('월 가계부'!A1367),100)&lt;=31),IF(MONTH(DATE(INT('월 가계부'!A1367/10000),MOD(INT('월 가계부'!A1367/100),100),MOD(INT('월 가계부'!A1367),100)))=MOD(INT('월 가계부'!A1367/100),100),DATE(INT('월 가계부'!A1367/10000),MOD(INT('월 가계부'!A1367/100),100),MOD(INT('월 가계부'!A1367),100)),""),""),IF(AND('월 가계부'!A1367&gt;=36526,'월 가계부'!A1367&lt;73051),INT('월 가계부'!A1367),"")),IF(OR(CM1367="",CN1367="",CO1367=""),"",IF(AND(CM1367&gt;=2000,CM1367&lt;=2099,CN1367&gt;=1,CN1367&lt;=12,CO1367&gt;=1,CO1367&lt;=31),IF(MONTH(DATE(CM1367,CN1367,CO1367))=CN1367,DATE(CM1367,CN1367,CO1367),""),"")))),"")</f>
        <v/>
      </c>
      <c r="CJ1367">
        <f>IFERROR(IF('월 가계부'!C1367="","",IF(ISNUMBER('월 가계부'!C1367),'월 가계부'!C1367,VALUE(SUBSTITUTE(SUBSTITUTE(SUBSTITUTE(SUBSTITUTE(TRIM('월 가계부'!C1367),",",""),"원","")," ",""),"−","-")))),"")</f>
        <v/>
      </c>
      <c r="CK1367">
        <f>IF(ISNUMBER(CI1367),IF(CI1367&lt;$B$13,CI1367,""),"")</f>
        <v/>
      </c>
      <c r="CM1367">
        <f>IF(CH1367="","",IFERROR(IF(IF(AND(LEN(CH1367)=9,ISERROR(FIND("-",LEFT(CH1367,8))),ISNUMBER(-LEFT(CH1367,8))),VALUE(LEFT(CH1367,4)),VALUE(LEFT(CH1367,FIND("-",CH1367)-1)))&lt;100,IF(AND(LEN(CH1367)=9,ISERROR(FIND("-",LEFT(CH1367,8))),ISNUMBER(-LEFT(CH1367,8))),VALUE(LEFT(CH1367,4)),VALUE(LEFT(CH1367,FIND("-",CH1367)-1)))+2000,IF(AND(LEN(CH1367)=9,ISERROR(FIND("-",LEFT(CH1367,8))),ISNUMBER(-LEFT(CH1367,8))),VALUE(LEFT(CH1367,4)),VALUE(LEFT(CH1367,FIND("-",CH1367)-1)))),""))</f>
        <v/>
      </c>
      <c r="CN1367">
        <f>IF(CH1367="","",IFERROR(IF(AND(LEN(CH1367)=9,ISERROR(FIND("-",LEFT(CH1367,8))),ISNUMBER(-LEFT(CH1367,8))),VALUE(MID(CH1367,5,2)),VALUE(MID(CH1367,FIND("-",CH1367)+1,FIND("-",CH1367,FIND("-",CH1367)+1)-FIND("-",CH1367)-1))),""))</f>
        <v/>
      </c>
      <c r="CO1367">
        <f>IF(CH1367="","",IFERROR(IF(AND(LEN(CH1367)=9,ISERROR(FIND("-",LEFT(CH1367,8))),ISNUMBER(-LEFT(CH1367,8))),VALUE(MID(CH1367,7,2)),VALUE(MID(CH1367,FIND("-",CH1367,FIND("-",CH1367)+1)+1,FIND("-",CH1367,FIND("-",CH1367,FIND("-",CH1367)+1)+1)-FIND("-",CH1367,FIND("-",CH1367)+1)-1))),""))</f>
        <v/>
      </c>
    </row>
    <row r="1368">
      <c r="CH1368">
        <f>IF(ISTEXT('월 가계부'!A1368),SUBSTITUTE(SUBSTITUTE(SUBSTITUTE(SUBSTITUTE(SUBSTITUTE(SUBSTITUTE(SUBSTITUTE(SUBSTITUTE(SUBSTITUTE(TRIM('월 가계부'!A1368),"년","-"),"월","-"),"일",""),".","-"),"/","-")," ","-"),"--","-"),"--","-"),"--","-")&amp;"-","")</f>
        <v/>
      </c>
      <c r="CI1368">
        <f>IFERROR(IF('월 가계부'!A1368="","",IF(ISNUMBER('월 가계부'!A1368),IF(AND('월 가계부'!A1368&gt;=19000101,'월 가계부'!A1368&lt;=21001231),IF(AND(MOD(INT('월 가계부'!A1368/100),100)&gt;=1,MOD(INT('월 가계부'!A1368/100),100)&lt;=12,MOD(INT('월 가계부'!A1368),100)&gt;=1,MOD(INT('월 가계부'!A1368),100)&lt;=31),IF(MONTH(DATE(INT('월 가계부'!A1368/10000),MOD(INT('월 가계부'!A1368/100),100),MOD(INT('월 가계부'!A1368),100)))=MOD(INT('월 가계부'!A1368/100),100),DATE(INT('월 가계부'!A1368/10000),MOD(INT('월 가계부'!A1368/100),100),MOD(INT('월 가계부'!A1368),100)),""),""),IF(AND('월 가계부'!A1368&gt;=36526,'월 가계부'!A1368&lt;73051),INT('월 가계부'!A1368),"")),IF(OR(CM1368="",CN1368="",CO1368=""),"",IF(AND(CM1368&gt;=2000,CM1368&lt;=2099,CN1368&gt;=1,CN1368&lt;=12,CO1368&gt;=1,CO1368&lt;=31),IF(MONTH(DATE(CM1368,CN1368,CO1368))=CN1368,DATE(CM1368,CN1368,CO1368),""),"")))),"")</f>
        <v/>
      </c>
      <c r="CJ1368">
        <f>IFERROR(IF('월 가계부'!C1368="","",IF(ISNUMBER('월 가계부'!C1368),'월 가계부'!C1368,VALUE(SUBSTITUTE(SUBSTITUTE(SUBSTITUTE(SUBSTITUTE(TRIM('월 가계부'!C1368),",",""),"원","")," ",""),"−","-")))),"")</f>
        <v/>
      </c>
      <c r="CK1368">
        <f>IF(ISNUMBER(CI1368),IF(CI1368&lt;$B$13,CI1368,""),"")</f>
        <v/>
      </c>
      <c r="CM1368">
        <f>IF(CH1368="","",IFERROR(IF(IF(AND(LEN(CH1368)=9,ISERROR(FIND("-",LEFT(CH1368,8))),ISNUMBER(-LEFT(CH1368,8))),VALUE(LEFT(CH1368,4)),VALUE(LEFT(CH1368,FIND("-",CH1368)-1)))&lt;100,IF(AND(LEN(CH1368)=9,ISERROR(FIND("-",LEFT(CH1368,8))),ISNUMBER(-LEFT(CH1368,8))),VALUE(LEFT(CH1368,4)),VALUE(LEFT(CH1368,FIND("-",CH1368)-1)))+2000,IF(AND(LEN(CH1368)=9,ISERROR(FIND("-",LEFT(CH1368,8))),ISNUMBER(-LEFT(CH1368,8))),VALUE(LEFT(CH1368,4)),VALUE(LEFT(CH1368,FIND("-",CH1368)-1)))),""))</f>
        <v/>
      </c>
      <c r="CN1368">
        <f>IF(CH1368="","",IFERROR(IF(AND(LEN(CH1368)=9,ISERROR(FIND("-",LEFT(CH1368,8))),ISNUMBER(-LEFT(CH1368,8))),VALUE(MID(CH1368,5,2)),VALUE(MID(CH1368,FIND("-",CH1368)+1,FIND("-",CH1368,FIND("-",CH1368)+1)-FIND("-",CH1368)-1))),""))</f>
        <v/>
      </c>
      <c r="CO1368">
        <f>IF(CH1368="","",IFERROR(IF(AND(LEN(CH1368)=9,ISERROR(FIND("-",LEFT(CH1368,8))),ISNUMBER(-LEFT(CH1368,8))),VALUE(MID(CH1368,7,2)),VALUE(MID(CH1368,FIND("-",CH1368,FIND("-",CH1368)+1)+1,FIND("-",CH1368,FIND("-",CH1368,FIND("-",CH1368)+1)+1)-FIND("-",CH1368,FIND("-",CH1368)+1)-1))),""))</f>
        <v/>
      </c>
    </row>
    <row r="1369">
      <c r="CH1369">
        <f>IF(ISTEXT('월 가계부'!A1369),SUBSTITUTE(SUBSTITUTE(SUBSTITUTE(SUBSTITUTE(SUBSTITUTE(SUBSTITUTE(SUBSTITUTE(SUBSTITUTE(SUBSTITUTE(TRIM('월 가계부'!A1369),"년","-"),"월","-"),"일",""),".","-"),"/","-")," ","-"),"--","-"),"--","-"),"--","-")&amp;"-","")</f>
        <v/>
      </c>
      <c r="CI1369">
        <f>IFERROR(IF('월 가계부'!A1369="","",IF(ISNUMBER('월 가계부'!A1369),IF(AND('월 가계부'!A1369&gt;=19000101,'월 가계부'!A1369&lt;=21001231),IF(AND(MOD(INT('월 가계부'!A1369/100),100)&gt;=1,MOD(INT('월 가계부'!A1369/100),100)&lt;=12,MOD(INT('월 가계부'!A1369),100)&gt;=1,MOD(INT('월 가계부'!A1369),100)&lt;=31),IF(MONTH(DATE(INT('월 가계부'!A1369/10000),MOD(INT('월 가계부'!A1369/100),100),MOD(INT('월 가계부'!A1369),100)))=MOD(INT('월 가계부'!A1369/100),100),DATE(INT('월 가계부'!A1369/10000),MOD(INT('월 가계부'!A1369/100),100),MOD(INT('월 가계부'!A1369),100)),""),""),IF(AND('월 가계부'!A1369&gt;=36526,'월 가계부'!A1369&lt;73051),INT('월 가계부'!A1369),"")),IF(OR(CM1369="",CN1369="",CO1369=""),"",IF(AND(CM1369&gt;=2000,CM1369&lt;=2099,CN1369&gt;=1,CN1369&lt;=12,CO1369&gt;=1,CO1369&lt;=31),IF(MONTH(DATE(CM1369,CN1369,CO1369))=CN1369,DATE(CM1369,CN1369,CO1369),""),"")))),"")</f>
        <v/>
      </c>
      <c r="CJ1369">
        <f>IFERROR(IF('월 가계부'!C1369="","",IF(ISNUMBER('월 가계부'!C1369),'월 가계부'!C1369,VALUE(SUBSTITUTE(SUBSTITUTE(SUBSTITUTE(SUBSTITUTE(TRIM('월 가계부'!C1369),",",""),"원","")," ",""),"−","-")))),"")</f>
        <v/>
      </c>
      <c r="CK1369">
        <f>IF(ISNUMBER(CI1369),IF(CI1369&lt;$B$13,CI1369,""),"")</f>
        <v/>
      </c>
      <c r="CM1369">
        <f>IF(CH1369="","",IFERROR(IF(IF(AND(LEN(CH1369)=9,ISERROR(FIND("-",LEFT(CH1369,8))),ISNUMBER(-LEFT(CH1369,8))),VALUE(LEFT(CH1369,4)),VALUE(LEFT(CH1369,FIND("-",CH1369)-1)))&lt;100,IF(AND(LEN(CH1369)=9,ISERROR(FIND("-",LEFT(CH1369,8))),ISNUMBER(-LEFT(CH1369,8))),VALUE(LEFT(CH1369,4)),VALUE(LEFT(CH1369,FIND("-",CH1369)-1)))+2000,IF(AND(LEN(CH1369)=9,ISERROR(FIND("-",LEFT(CH1369,8))),ISNUMBER(-LEFT(CH1369,8))),VALUE(LEFT(CH1369,4)),VALUE(LEFT(CH1369,FIND("-",CH1369)-1)))),""))</f>
        <v/>
      </c>
      <c r="CN1369">
        <f>IF(CH1369="","",IFERROR(IF(AND(LEN(CH1369)=9,ISERROR(FIND("-",LEFT(CH1369,8))),ISNUMBER(-LEFT(CH1369,8))),VALUE(MID(CH1369,5,2)),VALUE(MID(CH1369,FIND("-",CH1369)+1,FIND("-",CH1369,FIND("-",CH1369)+1)-FIND("-",CH1369)-1))),""))</f>
        <v/>
      </c>
      <c r="CO1369">
        <f>IF(CH1369="","",IFERROR(IF(AND(LEN(CH1369)=9,ISERROR(FIND("-",LEFT(CH1369,8))),ISNUMBER(-LEFT(CH1369,8))),VALUE(MID(CH1369,7,2)),VALUE(MID(CH1369,FIND("-",CH1369,FIND("-",CH1369)+1)+1,FIND("-",CH1369,FIND("-",CH1369,FIND("-",CH1369)+1)+1)-FIND("-",CH1369,FIND("-",CH1369)+1)-1))),""))</f>
        <v/>
      </c>
    </row>
    <row r="1370">
      <c r="CH1370">
        <f>IF(ISTEXT('월 가계부'!A1370),SUBSTITUTE(SUBSTITUTE(SUBSTITUTE(SUBSTITUTE(SUBSTITUTE(SUBSTITUTE(SUBSTITUTE(SUBSTITUTE(SUBSTITUTE(TRIM('월 가계부'!A1370),"년","-"),"월","-"),"일",""),".","-"),"/","-")," ","-"),"--","-"),"--","-"),"--","-")&amp;"-","")</f>
        <v/>
      </c>
      <c r="CI1370">
        <f>IFERROR(IF('월 가계부'!A1370="","",IF(ISNUMBER('월 가계부'!A1370),IF(AND('월 가계부'!A1370&gt;=19000101,'월 가계부'!A1370&lt;=21001231),IF(AND(MOD(INT('월 가계부'!A1370/100),100)&gt;=1,MOD(INT('월 가계부'!A1370/100),100)&lt;=12,MOD(INT('월 가계부'!A1370),100)&gt;=1,MOD(INT('월 가계부'!A1370),100)&lt;=31),IF(MONTH(DATE(INT('월 가계부'!A1370/10000),MOD(INT('월 가계부'!A1370/100),100),MOD(INT('월 가계부'!A1370),100)))=MOD(INT('월 가계부'!A1370/100),100),DATE(INT('월 가계부'!A1370/10000),MOD(INT('월 가계부'!A1370/100),100),MOD(INT('월 가계부'!A1370),100)),""),""),IF(AND('월 가계부'!A1370&gt;=36526,'월 가계부'!A1370&lt;73051),INT('월 가계부'!A1370),"")),IF(OR(CM1370="",CN1370="",CO1370=""),"",IF(AND(CM1370&gt;=2000,CM1370&lt;=2099,CN1370&gt;=1,CN1370&lt;=12,CO1370&gt;=1,CO1370&lt;=31),IF(MONTH(DATE(CM1370,CN1370,CO1370))=CN1370,DATE(CM1370,CN1370,CO1370),""),"")))),"")</f>
        <v/>
      </c>
      <c r="CJ1370">
        <f>IFERROR(IF('월 가계부'!C1370="","",IF(ISNUMBER('월 가계부'!C1370),'월 가계부'!C1370,VALUE(SUBSTITUTE(SUBSTITUTE(SUBSTITUTE(SUBSTITUTE(TRIM('월 가계부'!C1370),",",""),"원","")," ",""),"−","-")))),"")</f>
        <v/>
      </c>
      <c r="CK1370">
        <f>IF(ISNUMBER(CI1370),IF(CI1370&lt;$B$13,CI1370,""),"")</f>
        <v/>
      </c>
      <c r="CM1370">
        <f>IF(CH1370="","",IFERROR(IF(IF(AND(LEN(CH1370)=9,ISERROR(FIND("-",LEFT(CH1370,8))),ISNUMBER(-LEFT(CH1370,8))),VALUE(LEFT(CH1370,4)),VALUE(LEFT(CH1370,FIND("-",CH1370)-1)))&lt;100,IF(AND(LEN(CH1370)=9,ISERROR(FIND("-",LEFT(CH1370,8))),ISNUMBER(-LEFT(CH1370,8))),VALUE(LEFT(CH1370,4)),VALUE(LEFT(CH1370,FIND("-",CH1370)-1)))+2000,IF(AND(LEN(CH1370)=9,ISERROR(FIND("-",LEFT(CH1370,8))),ISNUMBER(-LEFT(CH1370,8))),VALUE(LEFT(CH1370,4)),VALUE(LEFT(CH1370,FIND("-",CH1370)-1)))),""))</f>
        <v/>
      </c>
      <c r="CN1370">
        <f>IF(CH1370="","",IFERROR(IF(AND(LEN(CH1370)=9,ISERROR(FIND("-",LEFT(CH1370,8))),ISNUMBER(-LEFT(CH1370,8))),VALUE(MID(CH1370,5,2)),VALUE(MID(CH1370,FIND("-",CH1370)+1,FIND("-",CH1370,FIND("-",CH1370)+1)-FIND("-",CH1370)-1))),""))</f>
        <v/>
      </c>
      <c r="CO1370">
        <f>IF(CH1370="","",IFERROR(IF(AND(LEN(CH1370)=9,ISERROR(FIND("-",LEFT(CH1370,8))),ISNUMBER(-LEFT(CH1370,8))),VALUE(MID(CH1370,7,2)),VALUE(MID(CH1370,FIND("-",CH1370,FIND("-",CH1370)+1)+1,FIND("-",CH1370,FIND("-",CH1370,FIND("-",CH1370)+1)+1)-FIND("-",CH1370,FIND("-",CH1370)+1)-1))),""))</f>
        <v/>
      </c>
    </row>
    <row r="1371">
      <c r="CH1371">
        <f>IF(ISTEXT('월 가계부'!A1371),SUBSTITUTE(SUBSTITUTE(SUBSTITUTE(SUBSTITUTE(SUBSTITUTE(SUBSTITUTE(SUBSTITUTE(SUBSTITUTE(SUBSTITUTE(TRIM('월 가계부'!A1371),"년","-"),"월","-"),"일",""),".","-"),"/","-")," ","-"),"--","-"),"--","-"),"--","-")&amp;"-","")</f>
        <v/>
      </c>
      <c r="CI1371">
        <f>IFERROR(IF('월 가계부'!A1371="","",IF(ISNUMBER('월 가계부'!A1371),IF(AND('월 가계부'!A1371&gt;=19000101,'월 가계부'!A1371&lt;=21001231),IF(AND(MOD(INT('월 가계부'!A1371/100),100)&gt;=1,MOD(INT('월 가계부'!A1371/100),100)&lt;=12,MOD(INT('월 가계부'!A1371),100)&gt;=1,MOD(INT('월 가계부'!A1371),100)&lt;=31),IF(MONTH(DATE(INT('월 가계부'!A1371/10000),MOD(INT('월 가계부'!A1371/100),100),MOD(INT('월 가계부'!A1371),100)))=MOD(INT('월 가계부'!A1371/100),100),DATE(INT('월 가계부'!A1371/10000),MOD(INT('월 가계부'!A1371/100),100),MOD(INT('월 가계부'!A1371),100)),""),""),IF(AND('월 가계부'!A1371&gt;=36526,'월 가계부'!A1371&lt;73051),INT('월 가계부'!A1371),"")),IF(OR(CM1371="",CN1371="",CO1371=""),"",IF(AND(CM1371&gt;=2000,CM1371&lt;=2099,CN1371&gt;=1,CN1371&lt;=12,CO1371&gt;=1,CO1371&lt;=31),IF(MONTH(DATE(CM1371,CN1371,CO1371))=CN1371,DATE(CM1371,CN1371,CO1371),""),"")))),"")</f>
        <v/>
      </c>
      <c r="CJ1371">
        <f>IFERROR(IF('월 가계부'!C1371="","",IF(ISNUMBER('월 가계부'!C1371),'월 가계부'!C1371,VALUE(SUBSTITUTE(SUBSTITUTE(SUBSTITUTE(SUBSTITUTE(TRIM('월 가계부'!C1371),",",""),"원","")," ",""),"−","-")))),"")</f>
        <v/>
      </c>
      <c r="CK1371">
        <f>IF(ISNUMBER(CI1371),IF(CI1371&lt;$B$13,CI1371,""),"")</f>
        <v/>
      </c>
      <c r="CM1371">
        <f>IF(CH1371="","",IFERROR(IF(IF(AND(LEN(CH1371)=9,ISERROR(FIND("-",LEFT(CH1371,8))),ISNUMBER(-LEFT(CH1371,8))),VALUE(LEFT(CH1371,4)),VALUE(LEFT(CH1371,FIND("-",CH1371)-1)))&lt;100,IF(AND(LEN(CH1371)=9,ISERROR(FIND("-",LEFT(CH1371,8))),ISNUMBER(-LEFT(CH1371,8))),VALUE(LEFT(CH1371,4)),VALUE(LEFT(CH1371,FIND("-",CH1371)-1)))+2000,IF(AND(LEN(CH1371)=9,ISERROR(FIND("-",LEFT(CH1371,8))),ISNUMBER(-LEFT(CH1371,8))),VALUE(LEFT(CH1371,4)),VALUE(LEFT(CH1371,FIND("-",CH1371)-1)))),""))</f>
        <v/>
      </c>
      <c r="CN1371">
        <f>IF(CH1371="","",IFERROR(IF(AND(LEN(CH1371)=9,ISERROR(FIND("-",LEFT(CH1371,8))),ISNUMBER(-LEFT(CH1371,8))),VALUE(MID(CH1371,5,2)),VALUE(MID(CH1371,FIND("-",CH1371)+1,FIND("-",CH1371,FIND("-",CH1371)+1)-FIND("-",CH1371)-1))),""))</f>
        <v/>
      </c>
      <c r="CO1371">
        <f>IF(CH1371="","",IFERROR(IF(AND(LEN(CH1371)=9,ISERROR(FIND("-",LEFT(CH1371,8))),ISNUMBER(-LEFT(CH1371,8))),VALUE(MID(CH1371,7,2)),VALUE(MID(CH1371,FIND("-",CH1371,FIND("-",CH1371)+1)+1,FIND("-",CH1371,FIND("-",CH1371,FIND("-",CH1371)+1)+1)-FIND("-",CH1371,FIND("-",CH1371)+1)-1))),""))</f>
        <v/>
      </c>
    </row>
    <row r="1372">
      <c r="CH1372">
        <f>IF(ISTEXT('월 가계부'!A1372),SUBSTITUTE(SUBSTITUTE(SUBSTITUTE(SUBSTITUTE(SUBSTITUTE(SUBSTITUTE(SUBSTITUTE(SUBSTITUTE(SUBSTITUTE(TRIM('월 가계부'!A1372),"년","-"),"월","-"),"일",""),".","-"),"/","-")," ","-"),"--","-"),"--","-"),"--","-")&amp;"-","")</f>
        <v/>
      </c>
      <c r="CI1372">
        <f>IFERROR(IF('월 가계부'!A1372="","",IF(ISNUMBER('월 가계부'!A1372),IF(AND('월 가계부'!A1372&gt;=19000101,'월 가계부'!A1372&lt;=21001231),IF(AND(MOD(INT('월 가계부'!A1372/100),100)&gt;=1,MOD(INT('월 가계부'!A1372/100),100)&lt;=12,MOD(INT('월 가계부'!A1372),100)&gt;=1,MOD(INT('월 가계부'!A1372),100)&lt;=31),IF(MONTH(DATE(INT('월 가계부'!A1372/10000),MOD(INT('월 가계부'!A1372/100),100),MOD(INT('월 가계부'!A1372),100)))=MOD(INT('월 가계부'!A1372/100),100),DATE(INT('월 가계부'!A1372/10000),MOD(INT('월 가계부'!A1372/100),100),MOD(INT('월 가계부'!A1372),100)),""),""),IF(AND('월 가계부'!A1372&gt;=36526,'월 가계부'!A1372&lt;73051),INT('월 가계부'!A1372),"")),IF(OR(CM1372="",CN1372="",CO1372=""),"",IF(AND(CM1372&gt;=2000,CM1372&lt;=2099,CN1372&gt;=1,CN1372&lt;=12,CO1372&gt;=1,CO1372&lt;=31),IF(MONTH(DATE(CM1372,CN1372,CO1372))=CN1372,DATE(CM1372,CN1372,CO1372),""),"")))),"")</f>
        <v/>
      </c>
      <c r="CJ1372">
        <f>IFERROR(IF('월 가계부'!C1372="","",IF(ISNUMBER('월 가계부'!C1372),'월 가계부'!C1372,VALUE(SUBSTITUTE(SUBSTITUTE(SUBSTITUTE(SUBSTITUTE(TRIM('월 가계부'!C1372),",",""),"원","")," ",""),"−","-")))),"")</f>
        <v/>
      </c>
      <c r="CK1372">
        <f>IF(ISNUMBER(CI1372),IF(CI1372&lt;$B$13,CI1372,""),"")</f>
        <v/>
      </c>
      <c r="CM1372">
        <f>IF(CH1372="","",IFERROR(IF(IF(AND(LEN(CH1372)=9,ISERROR(FIND("-",LEFT(CH1372,8))),ISNUMBER(-LEFT(CH1372,8))),VALUE(LEFT(CH1372,4)),VALUE(LEFT(CH1372,FIND("-",CH1372)-1)))&lt;100,IF(AND(LEN(CH1372)=9,ISERROR(FIND("-",LEFT(CH1372,8))),ISNUMBER(-LEFT(CH1372,8))),VALUE(LEFT(CH1372,4)),VALUE(LEFT(CH1372,FIND("-",CH1372)-1)))+2000,IF(AND(LEN(CH1372)=9,ISERROR(FIND("-",LEFT(CH1372,8))),ISNUMBER(-LEFT(CH1372,8))),VALUE(LEFT(CH1372,4)),VALUE(LEFT(CH1372,FIND("-",CH1372)-1)))),""))</f>
        <v/>
      </c>
      <c r="CN1372">
        <f>IF(CH1372="","",IFERROR(IF(AND(LEN(CH1372)=9,ISERROR(FIND("-",LEFT(CH1372,8))),ISNUMBER(-LEFT(CH1372,8))),VALUE(MID(CH1372,5,2)),VALUE(MID(CH1372,FIND("-",CH1372)+1,FIND("-",CH1372,FIND("-",CH1372)+1)-FIND("-",CH1372)-1))),""))</f>
        <v/>
      </c>
      <c r="CO1372">
        <f>IF(CH1372="","",IFERROR(IF(AND(LEN(CH1372)=9,ISERROR(FIND("-",LEFT(CH1372,8))),ISNUMBER(-LEFT(CH1372,8))),VALUE(MID(CH1372,7,2)),VALUE(MID(CH1372,FIND("-",CH1372,FIND("-",CH1372)+1)+1,FIND("-",CH1372,FIND("-",CH1372,FIND("-",CH1372)+1)+1)-FIND("-",CH1372,FIND("-",CH1372)+1)-1))),""))</f>
        <v/>
      </c>
    </row>
    <row r="1373">
      <c r="CH1373">
        <f>IF(ISTEXT('월 가계부'!A1373),SUBSTITUTE(SUBSTITUTE(SUBSTITUTE(SUBSTITUTE(SUBSTITUTE(SUBSTITUTE(SUBSTITUTE(SUBSTITUTE(SUBSTITUTE(TRIM('월 가계부'!A1373),"년","-"),"월","-"),"일",""),".","-"),"/","-")," ","-"),"--","-"),"--","-"),"--","-")&amp;"-","")</f>
        <v/>
      </c>
      <c r="CI1373">
        <f>IFERROR(IF('월 가계부'!A1373="","",IF(ISNUMBER('월 가계부'!A1373),IF(AND('월 가계부'!A1373&gt;=19000101,'월 가계부'!A1373&lt;=21001231),IF(AND(MOD(INT('월 가계부'!A1373/100),100)&gt;=1,MOD(INT('월 가계부'!A1373/100),100)&lt;=12,MOD(INT('월 가계부'!A1373),100)&gt;=1,MOD(INT('월 가계부'!A1373),100)&lt;=31),IF(MONTH(DATE(INT('월 가계부'!A1373/10000),MOD(INT('월 가계부'!A1373/100),100),MOD(INT('월 가계부'!A1373),100)))=MOD(INT('월 가계부'!A1373/100),100),DATE(INT('월 가계부'!A1373/10000),MOD(INT('월 가계부'!A1373/100),100),MOD(INT('월 가계부'!A1373),100)),""),""),IF(AND('월 가계부'!A1373&gt;=36526,'월 가계부'!A1373&lt;73051),INT('월 가계부'!A1373),"")),IF(OR(CM1373="",CN1373="",CO1373=""),"",IF(AND(CM1373&gt;=2000,CM1373&lt;=2099,CN1373&gt;=1,CN1373&lt;=12,CO1373&gt;=1,CO1373&lt;=31),IF(MONTH(DATE(CM1373,CN1373,CO1373))=CN1373,DATE(CM1373,CN1373,CO1373),""),"")))),"")</f>
        <v/>
      </c>
      <c r="CJ1373">
        <f>IFERROR(IF('월 가계부'!C1373="","",IF(ISNUMBER('월 가계부'!C1373),'월 가계부'!C1373,VALUE(SUBSTITUTE(SUBSTITUTE(SUBSTITUTE(SUBSTITUTE(TRIM('월 가계부'!C1373),",",""),"원","")," ",""),"−","-")))),"")</f>
        <v/>
      </c>
      <c r="CK1373">
        <f>IF(ISNUMBER(CI1373),IF(CI1373&lt;$B$13,CI1373,""),"")</f>
        <v/>
      </c>
      <c r="CM1373">
        <f>IF(CH1373="","",IFERROR(IF(IF(AND(LEN(CH1373)=9,ISERROR(FIND("-",LEFT(CH1373,8))),ISNUMBER(-LEFT(CH1373,8))),VALUE(LEFT(CH1373,4)),VALUE(LEFT(CH1373,FIND("-",CH1373)-1)))&lt;100,IF(AND(LEN(CH1373)=9,ISERROR(FIND("-",LEFT(CH1373,8))),ISNUMBER(-LEFT(CH1373,8))),VALUE(LEFT(CH1373,4)),VALUE(LEFT(CH1373,FIND("-",CH1373)-1)))+2000,IF(AND(LEN(CH1373)=9,ISERROR(FIND("-",LEFT(CH1373,8))),ISNUMBER(-LEFT(CH1373,8))),VALUE(LEFT(CH1373,4)),VALUE(LEFT(CH1373,FIND("-",CH1373)-1)))),""))</f>
        <v/>
      </c>
      <c r="CN1373">
        <f>IF(CH1373="","",IFERROR(IF(AND(LEN(CH1373)=9,ISERROR(FIND("-",LEFT(CH1373,8))),ISNUMBER(-LEFT(CH1373,8))),VALUE(MID(CH1373,5,2)),VALUE(MID(CH1373,FIND("-",CH1373)+1,FIND("-",CH1373,FIND("-",CH1373)+1)-FIND("-",CH1373)-1))),""))</f>
        <v/>
      </c>
      <c r="CO1373">
        <f>IF(CH1373="","",IFERROR(IF(AND(LEN(CH1373)=9,ISERROR(FIND("-",LEFT(CH1373,8))),ISNUMBER(-LEFT(CH1373,8))),VALUE(MID(CH1373,7,2)),VALUE(MID(CH1373,FIND("-",CH1373,FIND("-",CH1373)+1)+1,FIND("-",CH1373,FIND("-",CH1373,FIND("-",CH1373)+1)+1)-FIND("-",CH1373,FIND("-",CH1373)+1)-1))),""))</f>
        <v/>
      </c>
    </row>
    <row r="1374">
      <c r="CH1374">
        <f>IF(ISTEXT('월 가계부'!A1374),SUBSTITUTE(SUBSTITUTE(SUBSTITUTE(SUBSTITUTE(SUBSTITUTE(SUBSTITUTE(SUBSTITUTE(SUBSTITUTE(SUBSTITUTE(TRIM('월 가계부'!A1374),"년","-"),"월","-"),"일",""),".","-"),"/","-")," ","-"),"--","-"),"--","-"),"--","-")&amp;"-","")</f>
        <v/>
      </c>
      <c r="CI1374">
        <f>IFERROR(IF('월 가계부'!A1374="","",IF(ISNUMBER('월 가계부'!A1374),IF(AND('월 가계부'!A1374&gt;=19000101,'월 가계부'!A1374&lt;=21001231),IF(AND(MOD(INT('월 가계부'!A1374/100),100)&gt;=1,MOD(INT('월 가계부'!A1374/100),100)&lt;=12,MOD(INT('월 가계부'!A1374),100)&gt;=1,MOD(INT('월 가계부'!A1374),100)&lt;=31),IF(MONTH(DATE(INT('월 가계부'!A1374/10000),MOD(INT('월 가계부'!A1374/100),100),MOD(INT('월 가계부'!A1374),100)))=MOD(INT('월 가계부'!A1374/100),100),DATE(INT('월 가계부'!A1374/10000),MOD(INT('월 가계부'!A1374/100),100),MOD(INT('월 가계부'!A1374),100)),""),""),IF(AND('월 가계부'!A1374&gt;=36526,'월 가계부'!A1374&lt;73051),INT('월 가계부'!A1374),"")),IF(OR(CM1374="",CN1374="",CO1374=""),"",IF(AND(CM1374&gt;=2000,CM1374&lt;=2099,CN1374&gt;=1,CN1374&lt;=12,CO1374&gt;=1,CO1374&lt;=31),IF(MONTH(DATE(CM1374,CN1374,CO1374))=CN1374,DATE(CM1374,CN1374,CO1374),""),"")))),"")</f>
        <v/>
      </c>
      <c r="CJ1374">
        <f>IFERROR(IF('월 가계부'!C1374="","",IF(ISNUMBER('월 가계부'!C1374),'월 가계부'!C1374,VALUE(SUBSTITUTE(SUBSTITUTE(SUBSTITUTE(SUBSTITUTE(TRIM('월 가계부'!C1374),",",""),"원","")," ",""),"−","-")))),"")</f>
        <v/>
      </c>
      <c r="CK1374">
        <f>IF(ISNUMBER(CI1374),IF(CI1374&lt;$B$13,CI1374,""),"")</f>
        <v/>
      </c>
      <c r="CM1374">
        <f>IF(CH1374="","",IFERROR(IF(IF(AND(LEN(CH1374)=9,ISERROR(FIND("-",LEFT(CH1374,8))),ISNUMBER(-LEFT(CH1374,8))),VALUE(LEFT(CH1374,4)),VALUE(LEFT(CH1374,FIND("-",CH1374)-1)))&lt;100,IF(AND(LEN(CH1374)=9,ISERROR(FIND("-",LEFT(CH1374,8))),ISNUMBER(-LEFT(CH1374,8))),VALUE(LEFT(CH1374,4)),VALUE(LEFT(CH1374,FIND("-",CH1374)-1)))+2000,IF(AND(LEN(CH1374)=9,ISERROR(FIND("-",LEFT(CH1374,8))),ISNUMBER(-LEFT(CH1374,8))),VALUE(LEFT(CH1374,4)),VALUE(LEFT(CH1374,FIND("-",CH1374)-1)))),""))</f>
        <v/>
      </c>
      <c r="CN1374">
        <f>IF(CH1374="","",IFERROR(IF(AND(LEN(CH1374)=9,ISERROR(FIND("-",LEFT(CH1374,8))),ISNUMBER(-LEFT(CH1374,8))),VALUE(MID(CH1374,5,2)),VALUE(MID(CH1374,FIND("-",CH1374)+1,FIND("-",CH1374,FIND("-",CH1374)+1)-FIND("-",CH1374)-1))),""))</f>
        <v/>
      </c>
      <c r="CO1374">
        <f>IF(CH1374="","",IFERROR(IF(AND(LEN(CH1374)=9,ISERROR(FIND("-",LEFT(CH1374,8))),ISNUMBER(-LEFT(CH1374,8))),VALUE(MID(CH1374,7,2)),VALUE(MID(CH1374,FIND("-",CH1374,FIND("-",CH1374)+1)+1,FIND("-",CH1374,FIND("-",CH1374,FIND("-",CH1374)+1)+1)-FIND("-",CH1374,FIND("-",CH1374)+1)-1))),""))</f>
        <v/>
      </c>
    </row>
    <row r="1375">
      <c r="CH1375">
        <f>IF(ISTEXT('월 가계부'!A1375),SUBSTITUTE(SUBSTITUTE(SUBSTITUTE(SUBSTITUTE(SUBSTITUTE(SUBSTITUTE(SUBSTITUTE(SUBSTITUTE(SUBSTITUTE(TRIM('월 가계부'!A1375),"년","-"),"월","-"),"일",""),".","-"),"/","-")," ","-"),"--","-"),"--","-"),"--","-")&amp;"-","")</f>
        <v/>
      </c>
      <c r="CI1375">
        <f>IFERROR(IF('월 가계부'!A1375="","",IF(ISNUMBER('월 가계부'!A1375),IF(AND('월 가계부'!A1375&gt;=19000101,'월 가계부'!A1375&lt;=21001231),IF(AND(MOD(INT('월 가계부'!A1375/100),100)&gt;=1,MOD(INT('월 가계부'!A1375/100),100)&lt;=12,MOD(INT('월 가계부'!A1375),100)&gt;=1,MOD(INT('월 가계부'!A1375),100)&lt;=31),IF(MONTH(DATE(INT('월 가계부'!A1375/10000),MOD(INT('월 가계부'!A1375/100),100),MOD(INT('월 가계부'!A1375),100)))=MOD(INT('월 가계부'!A1375/100),100),DATE(INT('월 가계부'!A1375/10000),MOD(INT('월 가계부'!A1375/100),100),MOD(INT('월 가계부'!A1375),100)),""),""),IF(AND('월 가계부'!A1375&gt;=36526,'월 가계부'!A1375&lt;73051),INT('월 가계부'!A1375),"")),IF(OR(CM1375="",CN1375="",CO1375=""),"",IF(AND(CM1375&gt;=2000,CM1375&lt;=2099,CN1375&gt;=1,CN1375&lt;=12,CO1375&gt;=1,CO1375&lt;=31),IF(MONTH(DATE(CM1375,CN1375,CO1375))=CN1375,DATE(CM1375,CN1375,CO1375),""),"")))),"")</f>
        <v/>
      </c>
      <c r="CJ1375">
        <f>IFERROR(IF('월 가계부'!C1375="","",IF(ISNUMBER('월 가계부'!C1375),'월 가계부'!C1375,VALUE(SUBSTITUTE(SUBSTITUTE(SUBSTITUTE(SUBSTITUTE(TRIM('월 가계부'!C1375),",",""),"원","")," ",""),"−","-")))),"")</f>
        <v/>
      </c>
      <c r="CK1375">
        <f>IF(ISNUMBER(CI1375),IF(CI1375&lt;$B$13,CI1375,""),"")</f>
        <v/>
      </c>
      <c r="CM1375">
        <f>IF(CH1375="","",IFERROR(IF(IF(AND(LEN(CH1375)=9,ISERROR(FIND("-",LEFT(CH1375,8))),ISNUMBER(-LEFT(CH1375,8))),VALUE(LEFT(CH1375,4)),VALUE(LEFT(CH1375,FIND("-",CH1375)-1)))&lt;100,IF(AND(LEN(CH1375)=9,ISERROR(FIND("-",LEFT(CH1375,8))),ISNUMBER(-LEFT(CH1375,8))),VALUE(LEFT(CH1375,4)),VALUE(LEFT(CH1375,FIND("-",CH1375)-1)))+2000,IF(AND(LEN(CH1375)=9,ISERROR(FIND("-",LEFT(CH1375,8))),ISNUMBER(-LEFT(CH1375,8))),VALUE(LEFT(CH1375,4)),VALUE(LEFT(CH1375,FIND("-",CH1375)-1)))),""))</f>
        <v/>
      </c>
      <c r="CN1375">
        <f>IF(CH1375="","",IFERROR(IF(AND(LEN(CH1375)=9,ISERROR(FIND("-",LEFT(CH1375,8))),ISNUMBER(-LEFT(CH1375,8))),VALUE(MID(CH1375,5,2)),VALUE(MID(CH1375,FIND("-",CH1375)+1,FIND("-",CH1375,FIND("-",CH1375)+1)-FIND("-",CH1375)-1))),""))</f>
        <v/>
      </c>
      <c r="CO1375">
        <f>IF(CH1375="","",IFERROR(IF(AND(LEN(CH1375)=9,ISERROR(FIND("-",LEFT(CH1375,8))),ISNUMBER(-LEFT(CH1375,8))),VALUE(MID(CH1375,7,2)),VALUE(MID(CH1375,FIND("-",CH1375,FIND("-",CH1375)+1)+1,FIND("-",CH1375,FIND("-",CH1375,FIND("-",CH1375)+1)+1)-FIND("-",CH1375,FIND("-",CH1375)+1)-1))),""))</f>
        <v/>
      </c>
    </row>
    <row r="1376">
      <c r="CH1376">
        <f>IF(ISTEXT('월 가계부'!A1376),SUBSTITUTE(SUBSTITUTE(SUBSTITUTE(SUBSTITUTE(SUBSTITUTE(SUBSTITUTE(SUBSTITUTE(SUBSTITUTE(SUBSTITUTE(TRIM('월 가계부'!A1376),"년","-"),"월","-"),"일",""),".","-"),"/","-")," ","-"),"--","-"),"--","-"),"--","-")&amp;"-","")</f>
        <v/>
      </c>
      <c r="CI1376">
        <f>IFERROR(IF('월 가계부'!A1376="","",IF(ISNUMBER('월 가계부'!A1376),IF(AND('월 가계부'!A1376&gt;=19000101,'월 가계부'!A1376&lt;=21001231),IF(AND(MOD(INT('월 가계부'!A1376/100),100)&gt;=1,MOD(INT('월 가계부'!A1376/100),100)&lt;=12,MOD(INT('월 가계부'!A1376),100)&gt;=1,MOD(INT('월 가계부'!A1376),100)&lt;=31),IF(MONTH(DATE(INT('월 가계부'!A1376/10000),MOD(INT('월 가계부'!A1376/100),100),MOD(INT('월 가계부'!A1376),100)))=MOD(INT('월 가계부'!A1376/100),100),DATE(INT('월 가계부'!A1376/10000),MOD(INT('월 가계부'!A1376/100),100),MOD(INT('월 가계부'!A1376),100)),""),""),IF(AND('월 가계부'!A1376&gt;=36526,'월 가계부'!A1376&lt;73051),INT('월 가계부'!A1376),"")),IF(OR(CM1376="",CN1376="",CO1376=""),"",IF(AND(CM1376&gt;=2000,CM1376&lt;=2099,CN1376&gt;=1,CN1376&lt;=12,CO1376&gt;=1,CO1376&lt;=31),IF(MONTH(DATE(CM1376,CN1376,CO1376))=CN1376,DATE(CM1376,CN1376,CO1376),""),"")))),"")</f>
        <v/>
      </c>
      <c r="CJ1376">
        <f>IFERROR(IF('월 가계부'!C1376="","",IF(ISNUMBER('월 가계부'!C1376),'월 가계부'!C1376,VALUE(SUBSTITUTE(SUBSTITUTE(SUBSTITUTE(SUBSTITUTE(TRIM('월 가계부'!C1376),",",""),"원","")," ",""),"−","-")))),"")</f>
        <v/>
      </c>
      <c r="CK1376">
        <f>IF(ISNUMBER(CI1376),IF(CI1376&lt;$B$13,CI1376,""),"")</f>
        <v/>
      </c>
      <c r="CM1376">
        <f>IF(CH1376="","",IFERROR(IF(IF(AND(LEN(CH1376)=9,ISERROR(FIND("-",LEFT(CH1376,8))),ISNUMBER(-LEFT(CH1376,8))),VALUE(LEFT(CH1376,4)),VALUE(LEFT(CH1376,FIND("-",CH1376)-1)))&lt;100,IF(AND(LEN(CH1376)=9,ISERROR(FIND("-",LEFT(CH1376,8))),ISNUMBER(-LEFT(CH1376,8))),VALUE(LEFT(CH1376,4)),VALUE(LEFT(CH1376,FIND("-",CH1376)-1)))+2000,IF(AND(LEN(CH1376)=9,ISERROR(FIND("-",LEFT(CH1376,8))),ISNUMBER(-LEFT(CH1376,8))),VALUE(LEFT(CH1376,4)),VALUE(LEFT(CH1376,FIND("-",CH1376)-1)))),""))</f>
        <v/>
      </c>
      <c r="CN1376">
        <f>IF(CH1376="","",IFERROR(IF(AND(LEN(CH1376)=9,ISERROR(FIND("-",LEFT(CH1376,8))),ISNUMBER(-LEFT(CH1376,8))),VALUE(MID(CH1376,5,2)),VALUE(MID(CH1376,FIND("-",CH1376)+1,FIND("-",CH1376,FIND("-",CH1376)+1)-FIND("-",CH1376)-1))),""))</f>
        <v/>
      </c>
      <c r="CO1376">
        <f>IF(CH1376="","",IFERROR(IF(AND(LEN(CH1376)=9,ISERROR(FIND("-",LEFT(CH1376,8))),ISNUMBER(-LEFT(CH1376,8))),VALUE(MID(CH1376,7,2)),VALUE(MID(CH1376,FIND("-",CH1376,FIND("-",CH1376)+1)+1,FIND("-",CH1376,FIND("-",CH1376,FIND("-",CH1376)+1)+1)-FIND("-",CH1376,FIND("-",CH1376)+1)-1))),""))</f>
        <v/>
      </c>
    </row>
    <row r="1377">
      <c r="CH1377">
        <f>IF(ISTEXT('월 가계부'!A1377),SUBSTITUTE(SUBSTITUTE(SUBSTITUTE(SUBSTITUTE(SUBSTITUTE(SUBSTITUTE(SUBSTITUTE(SUBSTITUTE(SUBSTITUTE(TRIM('월 가계부'!A1377),"년","-"),"월","-"),"일",""),".","-"),"/","-")," ","-"),"--","-"),"--","-"),"--","-")&amp;"-","")</f>
        <v/>
      </c>
      <c r="CI1377">
        <f>IFERROR(IF('월 가계부'!A1377="","",IF(ISNUMBER('월 가계부'!A1377),IF(AND('월 가계부'!A1377&gt;=19000101,'월 가계부'!A1377&lt;=21001231),IF(AND(MOD(INT('월 가계부'!A1377/100),100)&gt;=1,MOD(INT('월 가계부'!A1377/100),100)&lt;=12,MOD(INT('월 가계부'!A1377),100)&gt;=1,MOD(INT('월 가계부'!A1377),100)&lt;=31),IF(MONTH(DATE(INT('월 가계부'!A1377/10000),MOD(INT('월 가계부'!A1377/100),100),MOD(INT('월 가계부'!A1377),100)))=MOD(INT('월 가계부'!A1377/100),100),DATE(INT('월 가계부'!A1377/10000),MOD(INT('월 가계부'!A1377/100),100),MOD(INT('월 가계부'!A1377),100)),""),""),IF(AND('월 가계부'!A1377&gt;=36526,'월 가계부'!A1377&lt;73051),INT('월 가계부'!A1377),"")),IF(OR(CM1377="",CN1377="",CO1377=""),"",IF(AND(CM1377&gt;=2000,CM1377&lt;=2099,CN1377&gt;=1,CN1377&lt;=12,CO1377&gt;=1,CO1377&lt;=31),IF(MONTH(DATE(CM1377,CN1377,CO1377))=CN1377,DATE(CM1377,CN1377,CO1377),""),"")))),"")</f>
        <v/>
      </c>
      <c r="CJ1377">
        <f>IFERROR(IF('월 가계부'!C1377="","",IF(ISNUMBER('월 가계부'!C1377),'월 가계부'!C1377,VALUE(SUBSTITUTE(SUBSTITUTE(SUBSTITUTE(SUBSTITUTE(TRIM('월 가계부'!C1377),",",""),"원","")," ",""),"−","-")))),"")</f>
        <v/>
      </c>
      <c r="CK1377">
        <f>IF(ISNUMBER(CI1377),IF(CI1377&lt;$B$13,CI1377,""),"")</f>
        <v/>
      </c>
      <c r="CM1377">
        <f>IF(CH1377="","",IFERROR(IF(IF(AND(LEN(CH1377)=9,ISERROR(FIND("-",LEFT(CH1377,8))),ISNUMBER(-LEFT(CH1377,8))),VALUE(LEFT(CH1377,4)),VALUE(LEFT(CH1377,FIND("-",CH1377)-1)))&lt;100,IF(AND(LEN(CH1377)=9,ISERROR(FIND("-",LEFT(CH1377,8))),ISNUMBER(-LEFT(CH1377,8))),VALUE(LEFT(CH1377,4)),VALUE(LEFT(CH1377,FIND("-",CH1377)-1)))+2000,IF(AND(LEN(CH1377)=9,ISERROR(FIND("-",LEFT(CH1377,8))),ISNUMBER(-LEFT(CH1377,8))),VALUE(LEFT(CH1377,4)),VALUE(LEFT(CH1377,FIND("-",CH1377)-1)))),""))</f>
        <v/>
      </c>
      <c r="CN1377">
        <f>IF(CH1377="","",IFERROR(IF(AND(LEN(CH1377)=9,ISERROR(FIND("-",LEFT(CH1377,8))),ISNUMBER(-LEFT(CH1377,8))),VALUE(MID(CH1377,5,2)),VALUE(MID(CH1377,FIND("-",CH1377)+1,FIND("-",CH1377,FIND("-",CH1377)+1)-FIND("-",CH1377)-1))),""))</f>
        <v/>
      </c>
      <c r="CO1377">
        <f>IF(CH1377="","",IFERROR(IF(AND(LEN(CH1377)=9,ISERROR(FIND("-",LEFT(CH1377,8))),ISNUMBER(-LEFT(CH1377,8))),VALUE(MID(CH1377,7,2)),VALUE(MID(CH1377,FIND("-",CH1377,FIND("-",CH1377)+1)+1,FIND("-",CH1377,FIND("-",CH1377,FIND("-",CH1377)+1)+1)-FIND("-",CH1377,FIND("-",CH1377)+1)-1))),""))</f>
        <v/>
      </c>
    </row>
    <row r="1378">
      <c r="CH1378">
        <f>IF(ISTEXT('월 가계부'!A1378),SUBSTITUTE(SUBSTITUTE(SUBSTITUTE(SUBSTITUTE(SUBSTITUTE(SUBSTITUTE(SUBSTITUTE(SUBSTITUTE(SUBSTITUTE(TRIM('월 가계부'!A1378),"년","-"),"월","-"),"일",""),".","-"),"/","-")," ","-"),"--","-"),"--","-"),"--","-")&amp;"-","")</f>
        <v/>
      </c>
      <c r="CI1378">
        <f>IFERROR(IF('월 가계부'!A1378="","",IF(ISNUMBER('월 가계부'!A1378),IF(AND('월 가계부'!A1378&gt;=19000101,'월 가계부'!A1378&lt;=21001231),IF(AND(MOD(INT('월 가계부'!A1378/100),100)&gt;=1,MOD(INT('월 가계부'!A1378/100),100)&lt;=12,MOD(INT('월 가계부'!A1378),100)&gt;=1,MOD(INT('월 가계부'!A1378),100)&lt;=31),IF(MONTH(DATE(INT('월 가계부'!A1378/10000),MOD(INT('월 가계부'!A1378/100),100),MOD(INT('월 가계부'!A1378),100)))=MOD(INT('월 가계부'!A1378/100),100),DATE(INT('월 가계부'!A1378/10000),MOD(INT('월 가계부'!A1378/100),100),MOD(INT('월 가계부'!A1378),100)),""),""),IF(AND('월 가계부'!A1378&gt;=36526,'월 가계부'!A1378&lt;73051),INT('월 가계부'!A1378),"")),IF(OR(CM1378="",CN1378="",CO1378=""),"",IF(AND(CM1378&gt;=2000,CM1378&lt;=2099,CN1378&gt;=1,CN1378&lt;=12,CO1378&gt;=1,CO1378&lt;=31),IF(MONTH(DATE(CM1378,CN1378,CO1378))=CN1378,DATE(CM1378,CN1378,CO1378),""),"")))),"")</f>
        <v/>
      </c>
      <c r="CJ1378">
        <f>IFERROR(IF('월 가계부'!C1378="","",IF(ISNUMBER('월 가계부'!C1378),'월 가계부'!C1378,VALUE(SUBSTITUTE(SUBSTITUTE(SUBSTITUTE(SUBSTITUTE(TRIM('월 가계부'!C1378),",",""),"원","")," ",""),"−","-")))),"")</f>
        <v/>
      </c>
      <c r="CK1378">
        <f>IF(ISNUMBER(CI1378),IF(CI1378&lt;$B$13,CI1378,""),"")</f>
        <v/>
      </c>
      <c r="CM1378">
        <f>IF(CH1378="","",IFERROR(IF(IF(AND(LEN(CH1378)=9,ISERROR(FIND("-",LEFT(CH1378,8))),ISNUMBER(-LEFT(CH1378,8))),VALUE(LEFT(CH1378,4)),VALUE(LEFT(CH1378,FIND("-",CH1378)-1)))&lt;100,IF(AND(LEN(CH1378)=9,ISERROR(FIND("-",LEFT(CH1378,8))),ISNUMBER(-LEFT(CH1378,8))),VALUE(LEFT(CH1378,4)),VALUE(LEFT(CH1378,FIND("-",CH1378)-1)))+2000,IF(AND(LEN(CH1378)=9,ISERROR(FIND("-",LEFT(CH1378,8))),ISNUMBER(-LEFT(CH1378,8))),VALUE(LEFT(CH1378,4)),VALUE(LEFT(CH1378,FIND("-",CH1378)-1)))),""))</f>
        <v/>
      </c>
      <c r="CN1378">
        <f>IF(CH1378="","",IFERROR(IF(AND(LEN(CH1378)=9,ISERROR(FIND("-",LEFT(CH1378,8))),ISNUMBER(-LEFT(CH1378,8))),VALUE(MID(CH1378,5,2)),VALUE(MID(CH1378,FIND("-",CH1378)+1,FIND("-",CH1378,FIND("-",CH1378)+1)-FIND("-",CH1378)-1))),""))</f>
        <v/>
      </c>
      <c r="CO1378">
        <f>IF(CH1378="","",IFERROR(IF(AND(LEN(CH1378)=9,ISERROR(FIND("-",LEFT(CH1378,8))),ISNUMBER(-LEFT(CH1378,8))),VALUE(MID(CH1378,7,2)),VALUE(MID(CH1378,FIND("-",CH1378,FIND("-",CH1378)+1)+1,FIND("-",CH1378,FIND("-",CH1378,FIND("-",CH1378)+1)+1)-FIND("-",CH1378,FIND("-",CH1378)+1)-1))),""))</f>
        <v/>
      </c>
    </row>
    <row r="1379">
      <c r="CH1379">
        <f>IF(ISTEXT('월 가계부'!A1379),SUBSTITUTE(SUBSTITUTE(SUBSTITUTE(SUBSTITUTE(SUBSTITUTE(SUBSTITUTE(SUBSTITUTE(SUBSTITUTE(SUBSTITUTE(TRIM('월 가계부'!A1379),"년","-"),"월","-"),"일",""),".","-"),"/","-")," ","-"),"--","-"),"--","-"),"--","-")&amp;"-","")</f>
        <v/>
      </c>
      <c r="CI1379">
        <f>IFERROR(IF('월 가계부'!A1379="","",IF(ISNUMBER('월 가계부'!A1379),IF(AND('월 가계부'!A1379&gt;=19000101,'월 가계부'!A1379&lt;=21001231),IF(AND(MOD(INT('월 가계부'!A1379/100),100)&gt;=1,MOD(INT('월 가계부'!A1379/100),100)&lt;=12,MOD(INT('월 가계부'!A1379),100)&gt;=1,MOD(INT('월 가계부'!A1379),100)&lt;=31),IF(MONTH(DATE(INT('월 가계부'!A1379/10000),MOD(INT('월 가계부'!A1379/100),100),MOD(INT('월 가계부'!A1379),100)))=MOD(INT('월 가계부'!A1379/100),100),DATE(INT('월 가계부'!A1379/10000),MOD(INT('월 가계부'!A1379/100),100),MOD(INT('월 가계부'!A1379),100)),""),""),IF(AND('월 가계부'!A1379&gt;=36526,'월 가계부'!A1379&lt;73051),INT('월 가계부'!A1379),"")),IF(OR(CM1379="",CN1379="",CO1379=""),"",IF(AND(CM1379&gt;=2000,CM1379&lt;=2099,CN1379&gt;=1,CN1379&lt;=12,CO1379&gt;=1,CO1379&lt;=31),IF(MONTH(DATE(CM1379,CN1379,CO1379))=CN1379,DATE(CM1379,CN1379,CO1379),""),"")))),"")</f>
        <v/>
      </c>
      <c r="CJ1379">
        <f>IFERROR(IF('월 가계부'!C1379="","",IF(ISNUMBER('월 가계부'!C1379),'월 가계부'!C1379,VALUE(SUBSTITUTE(SUBSTITUTE(SUBSTITUTE(SUBSTITUTE(TRIM('월 가계부'!C1379),",",""),"원","")," ",""),"−","-")))),"")</f>
        <v/>
      </c>
      <c r="CK1379">
        <f>IF(ISNUMBER(CI1379),IF(CI1379&lt;$B$13,CI1379,""),"")</f>
        <v/>
      </c>
      <c r="CM1379">
        <f>IF(CH1379="","",IFERROR(IF(IF(AND(LEN(CH1379)=9,ISERROR(FIND("-",LEFT(CH1379,8))),ISNUMBER(-LEFT(CH1379,8))),VALUE(LEFT(CH1379,4)),VALUE(LEFT(CH1379,FIND("-",CH1379)-1)))&lt;100,IF(AND(LEN(CH1379)=9,ISERROR(FIND("-",LEFT(CH1379,8))),ISNUMBER(-LEFT(CH1379,8))),VALUE(LEFT(CH1379,4)),VALUE(LEFT(CH1379,FIND("-",CH1379)-1)))+2000,IF(AND(LEN(CH1379)=9,ISERROR(FIND("-",LEFT(CH1379,8))),ISNUMBER(-LEFT(CH1379,8))),VALUE(LEFT(CH1379,4)),VALUE(LEFT(CH1379,FIND("-",CH1379)-1)))),""))</f>
        <v/>
      </c>
      <c r="CN1379">
        <f>IF(CH1379="","",IFERROR(IF(AND(LEN(CH1379)=9,ISERROR(FIND("-",LEFT(CH1379,8))),ISNUMBER(-LEFT(CH1379,8))),VALUE(MID(CH1379,5,2)),VALUE(MID(CH1379,FIND("-",CH1379)+1,FIND("-",CH1379,FIND("-",CH1379)+1)-FIND("-",CH1379)-1))),""))</f>
        <v/>
      </c>
      <c r="CO1379">
        <f>IF(CH1379="","",IFERROR(IF(AND(LEN(CH1379)=9,ISERROR(FIND("-",LEFT(CH1379,8))),ISNUMBER(-LEFT(CH1379,8))),VALUE(MID(CH1379,7,2)),VALUE(MID(CH1379,FIND("-",CH1379,FIND("-",CH1379)+1)+1,FIND("-",CH1379,FIND("-",CH1379,FIND("-",CH1379)+1)+1)-FIND("-",CH1379,FIND("-",CH1379)+1)-1))),""))</f>
        <v/>
      </c>
    </row>
    <row r="1380">
      <c r="CH1380">
        <f>IF(ISTEXT('월 가계부'!A1380),SUBSTITUTE(SUBSTITUTE(SUBSTITUTE(SUBSTITUTE(SUBSTITUTE(SUBSTITUTE(SUBSTITUTE(SUBSTITUTE(SUBSTITUTE(TRIM('월 가계부'!A1380),"년","-"),"월","-"),"일",""),".","-"),"/","-")," ","-"),"--","-"),"--","-"),"--","-")&amp;"-","")</f>
        <v/>
      </c>
      <c r="CI1380">
        <f>IFERROR(IF('월 가계부'!A1380="","",IF(ISNUMBER('월 가계부'!A1380),IF(AND('월 가계부'!A1380&gt;=19000101,'월 가계부'!A1380&lt;=21001231),IF(AND(MOD(INT('월 가계부'!A1380/100),100)&gt;=1,MOD(INT('월 가계부'!A1380/100),100)&lt;=12,MOD(INT('월 가계부'!A1380),100)&gt;=1,MOD(INT('월 가계부'!A1380),100)&lt;=31),IF(MONTH(DATE(INT('월 가계부'!A1380/10000),MOD(INT('월 가계부'!A1380/100),100),MOD(INT('월 가계부'!A1380),100)))=MOD(INT('월 가계부'!A1380/100),100),DATE(INT('월 가계부'!A1380/10000),MOD(INT('월 가계부'!A1380/100),100),MOD(INT('월 가계부'!A1380),100)),""),""),IF(AND('월 가계부'!A1380&gt;=36526,'월 가계부'!A1380&lt;73051),INT('월 가계부'!A1380),"")),IF(OR(CM1380="",CN1380="",CO1380=""),"",IF(AND(CM1380&gt;=2000,CM1380&lt;=2099,CN1380&gt;=1,CN1380&lt;=12,CO1380&gt;=1,CO1380&lt;=31),IF(MONTH(DATE(CM1380,CN1380,CO1380))=CN1380,DATE(CM1380,CN1380,CO1380),""),"")))),"")</f>
        <v/>
      </c>
      <c r="CJ1380">
        <f>IFERROR(IF('월 가계부'!C1380="","",IF(ISNUMBER('월 가계부'!C1380),'월 가계부'!C1380,VALUE(SUBSTITUTE(SUBSTITUTE(SUBSTITUTE(SUBSTITUTE(TRIM('월 가계부'!C1380),",",""),"원","")," ",""),"−","-")))),"")</f>
        <v/>
      </c>
      <c r="CK1380">
        <f>IF(ISNUMBER(CI1380),IF(CI1380&lt;$B$13,CI1380,""),"")</f>
        <v/>
      </c>
      <c r="CM1380">
        <f>IF(CH1380="","",IFERROR(IF(IF(AND(LEN(CH1380)=9,ISERROR(FIND("-",LEFT(CH1380,8))),ISNUMBER(-LEFT(CH1380,8))),VALUE(LEFT(CH1380,4)),VALUE(LEFT(CH1380,FIND("-",CH1380)-1)))&lt;100,IF(AND(LEN(CH1380)=9,ISERROR(FIND("-",LEFT(CH1380,8))),ISNUMBER(-LEFT(CH1380,8))),VALUE(LEFT(CH1380,4)),VALUE(LEFT(CH1380,FIND("-",CH1380)-1)))+2000,IF(AND(LEN(CH1380)=9,ISERROR(FIND("-",LEFT(CH1380,8))),ISNUMBER(-LEFT(CH1380,8))),VALUE(LEFT(CH1380,4)),VALUE(LEFT(CH1380,FIND("-",CH1380)-1)))),""))</f>
        <v/>
      </c>
      <c r="CN1380">
        <f>IF(CH1380="","",IFERROR(IF(AND(LEN(CH1380)=9,ISERROR(FIND("-",LEFT(CH1380,8))),ISNUMBER(-LEFT(CH1380,8))),VALUE(MID(CH1380,5,2)),VALUE(MID(CH1380,FIND("-",CH1380)+1,FIND("-",CH1380,FIND("-",CH1380)+1)-FIND("-",CH1380)-1))),""))</f>
        <v/>
      </c>
      <c r="CO1380">
        <f>IF(CH1380="","",IFERROR(IF(AND(LEN(CH1380)=9,ISERROR(FIND("-",LEFT(CH1380,8))),ISNUMBER(-LEFT(CH1380,8))),VALUE(MID(CH1380,7,2)),VALUE(MID(CH1380,FIND("-",CH1380,FIND("-",CH1380)+1)+1,FIND("-",CH1380,FIND("-",CH1380,FIND("-",CH1380)+1)+1)-FIND("-",CH1380,FIND("-",CH1380)+1)-1))),""))</f>
        <v/>
      </c>
    </row>
    <row r="1381">
      <c r="CH1381">
        <f>IF(ISTEXT('월 가계부'!A1381),SUBSTITUTE(SUBSTITUTE(SUBSTITUTE(SUBSTITUTE(SUBSTITUTE(SUBSTITUTE(SUBSTITUTE(SUBSTITUTE(SUBSTITUTE(TRIM('월 가계부'!A1381),"년","-"),"월","-"),"일",""),".","-"),"/","-")," ","-"),"--","-"),"--","-"),"--","-")&amp;"-","")</f>
        <v/>
      </c>
      <c r="CI1381">
        <f>IFERROR(IF('월 가계부'!A1381="","",IF(ISNUMBER('월 가계부'!A1381),IF(AND('월 가계부'!A1381&gt;=19000101,'월 가계부'!A1381&lt;=21001231),IF(AND(MOD(INT('월 가계부'!A1381/100),100)&gt;=1,MOD(INT('월 가계부'!A1381/100),100)&lt;=12,MOD(INT('월 가계부'!A1381),100)&gt;=1,MOD(INT('월 가계부'!A1381),100)&lt;=31),IF(MONTH(DATE(INT('월 가계부'!A1381/10000),MOD(INT('월 가계부'!A1381/100),100),MOD(INT('월 가계부'!A1381),100)))=MOD(INT('월 가계부'!A1381/100),100),DATE(INT('월 가계부'!A1381/10000),MOD(INT('월 가계부'!A1381/100),100),MOD(INT('월 가계부'!A1381),100)),""),""),IF(AND('월 가계부'!A1381&gt;=36526,'월 가계부'!A1381&lt;73051),INT('월 가계부'!A1381),"")),IF(OR(CM1381="",CN1381="",CO1381=""),"",IF(AND(CM1381&gt;=2000,CM1381&lt;=2099,CN1381&gt;=1,CN1381&lt;=12,CO1381&gt;=1,CO1381&lt;=31),IF(MONTH(DATE(CM1381,CN1381,CO1381))=CN1381,DATE(CM1381,CN1381,CO1381),""),"")))),"")</f>
        <v/>
      </c>
      <c r="CJ1381">
        <f>IFERROR(IF('월 가계부'!C1381="","",IF(ISNUMBER('월 가계부'!C1381),'월 가계부'!C1381,VALUE(SUBSTITUTE(SUBSTITUTE(SUBSTITUTE(SUBSTITUTE(TRIM('월 가계부'!C1381),",",""),"원","")," ",""),"−","-")))),"")</f>
        <v/>
      </c>
      <c r="CK1381">
        <f>IF(ISNUMBER(CI1381),IF(CI1381&lt;$B$13,CI1381,""),"")</f>
        <v/>
      </c>
      <c r="CM1381">
        <f>IF(CH1381="","",IFERROR(IF(IF(AND(LEN(CH1381)=9,ISERROR(FIND("-",LEFT(CH1381,8))),ISNUMBER(-LEFT(CH1381,8))),VALUE(LEFT(CH1381,4)),VALUE(LEFT(CH1381,FIND("-",CH1381)-1)))&lt;100,IF(AND(LEN(CH1381)=9,ISERROR(FIND("-",LEFT(CH1381,8))),ISNUMBER(-LEFT(CH1381,8))),VALUE(LEFT(CH1381,4)),VALUE(LEFT(CH1381,FIND("-",CH1381)-1)))+2000,IF(AND(LEN(CH1381)=9,ISERROR(FIND("-",LEFT(CH1381,8))),ISNUMBER(-LEFT(CH1381,8))),VALUE(LEFT(CH1381,4)),VALUE(LEFT(CH1381,FIND("-",CH1381)-1)))),""))</f>
        <v/>
      </c>
      <c r="CN1381">
        <f>IF(CH1381="","",IFERROR(IF(AND(LEN(CH1381)=9,ISERROR(FIND("-",LEFT(CH1381,8))),ISNUMBER(-LEFT(CH1381,8))),VALUE(MID(CH1381,5,2)),VALUE(MID(CH1381,FIND("-",CH1381)+1,FIND("-",CH1381,FIND("-",CH1381)+1)-FIND("-",CH1381)-1))),""))</f>
        <v/>
      </c>
      <c r="CO1381">
        <f>IF(CH1381="","",IFERROR(IF(AND(LEN(CH1381)=9,ISERROR(FIND("-",LEFT(CH1381,8))),ISNUMBER(-LEFT(CH1381,8))),VALUE(MID(CH1381,7,2)),VALUE(MID(CH1381,FIND("-",CH1381,FIND("-",CH1381)+1)+1,FIND("-",CH1381,FIND("-",CH1381,FIND("-",CH1381)+1)+1)-FIND("-",CH1381,FIND("-",CH1381)+1)-1))),""))</f>
        <v/>
      </c>
    </row>
    <row r="1382">
      <c r="CH1382">
        <f>IF(ISTEXT('월 가계부'!A1382),SUBSTITUTE(SUBSTITUTE(SUBSTITUTE(SUBSTITUTE(SUBSTITUTE(SUBSTITUTE(SUBSTITUTE(SUBSTITUTE(SUBSTITUTE(TRIM('월 가계부'!A1382),"년","-"),"월","-"),"일",""),".","-"),"/","-")," ","-"),"--","-"),"--","-"),"--","-")&amp;"-","")</f>
        <v/>
      </c>
      <c r="CI1382">
        <f>IFERROR(IF('월 가계부'!A1382="","",IF(ISNUMBER('월 가계부'!A1382),IF(AND('월 가계부'!A1382&gt;=19000101,'월 가계부'!A1382&lt;=21001231),IF(AND(MOD(INT('월 가계부'!A1382/100),100)&gt;=1,MOD(INT('월 가계부'!A1382/100),100)&lt;=12,MOD(INT('월 가계부'!A1382),100)&gt;=1,MOD(INT('월 가계부'!A1382),100)&lt;=31),IF(MONTH(DATE(INT('월 가계부'!A1382/10000),MOD(INT('월 가계부'!A1382/100),100),MOD(INT('월 가계부'!A1382),100)))=MOD(INT('월 가계부'!A1382/100),100),DATE(INT('월 가계부'!A1382/10000),MOD(INT('월 가계부'!A1382/100),100),MOD(INT('월 가계부'!A1382),100)),""),""),IF(AND('월 가계부'!A1382&gt;=36526,'월 가계부'!A1382&lt;73051),INT('월 가계부'!A1382),"")),IF(OR(CM1382="",CN1382="",CO1382=""),"",IF(AND(CM1382&gt;=2000,CM1382&lt;=2099,CN1382&gt;=1,CN1382&lt;=12,CO1382&gt;=1,CO1382&lt;=31),IF(MONTH(DATE(CM1382,CN1382,CO1382))=CN1382,DATE(CM1382,CN1382,CO1382),""),"")))),"")</f>
        <v/>
      </c>
      <c r="CJ1382">
        <f>IFERROR(IF('월 가계부'!C1382="","",IF(ISNUMBER('월 가계부'!C1382),'월 가계부'!C1382,VALUE(SUBSTITUTE(SUBSTITUTE(SUBSTITUTE(SUBSTITUTE(TRIM('월 가계부'!C1382),",",""),"원","")," ",""),"−","-")))),"")</f>
        <v/>
      </c>
      <c r="CK1382">
        <f>IF(ISNUMBER(CI1382),IF(CI1382&lt;$B$13,CI1382,""),"")</f>
        <v/>
      </c>
      <c r="CM1382">
        <f>IF(CH1382="","",IFERROR(IF(IF(AND(LEN(CH1382)=9,ISERROR(FIND("-",LEFT(CH1382,8))),ISNUMBER(-LEFT(CH1382,8))),VALUE(LEFT(CH1382,4)),VALUE(LEFT(CH1382,FIND("-",CH1382)-1)))&lt;100,IF(AND(LEN(CH1382)=9,ISERROR(FIND("-",LEFT(CH1382,8))),ISNUMBER(-LEFT(CH1382,8))),VALUE(LEFT(CH1382,4)),VALUE(LEFT(CH1382,FIND("-",CH1382)-1)))+2000,IF(AND(LEN(CH1382)=9,ISERROR(FIND("-",LEFT(CH1382,8))),ISNUMBER(-LEFT(CH1382,8))),VALUE(LEFT(CH1382,4)),VALUE(LEFT(CH1382,FIND("-",CH1382)-1)))),""))</f>
        <v/>
      </c>
      <c r="CN1382">
        <f>IF(CH1382="","",IFERROR(IF(AND(LEN(CH1382)=9,ISERROR(FIND("-",LEFT(CH1382,8))),ISNUMBER(-LEFT(CH1382,8))),VALUE(MID(CH1382,5,2)),VALUE(MID(CH1382,FIND("-",CH1382)+1,FIND("-",CH1382,FIND("-",CH1382)+1)-FIND("-",CH1382)-1))),""))</f>
        <v/>
      </c>
      <c r="CO1382">
        <f>IF(CH1382="","",IFERROR(IF(AND(LEN(CH1382)=9,ISERROR(FIND("-",LEFT(CH1382,8))),ISNUMBER(-LEFT(CH1382,8))),VALUE(MID(CH1382,7,2)),VALUE(MID(CH1382,FIND("-",CH1382,FIND("-",CH1382)+1)+1,FIND("-",CH1382,FIND("-",CH1382,FIND("-",CH1382)+1)+1)-FIND("-",CH1382,FIND("-",CH1382)+1)-1))),""))</f>
        <v/>
      </c>
    </row>
    <row r="1383">
      <c r="CH1383">
        <f>IF(ISTEXT('월 가계부'!A1383),SUBSTITUTE(SUBSTITUTE(SUBSTITUTE(SUBSTITUTE(SUBSTITUTE(SUBSTITUTE(SUBSTITUTE(SUBSTITUTE(SUBSTITUTE(TRIM('월 가계부'!A1383),"년","-"),"월","-"),"일",""),".","-"),"/","-")," ","-"),"--","-"),"--","-"),"--","-")&amp;"-","")</f>
        <v/>
      </c>
      <c r="CI1383">
        <f>IFERROR(IF('월 가계부'!A1383="","",IF(ISNUMBER('월 가계부'!A1383),IF(AND('월 가계부'!A1383&gt;=19000101,'월 가계부'!A1383&lt;=21001231),IF(AND(MOD(INT('월 가계부'!A1383/100),100)&gt;=1,MOD(INT('월 가계부'!A1383/100),100)&lt;=12,MOD(INT('월 가계부'!A1383),100)&gt;=1,MOD(INT('월 가계부'!A1383),100)&lt;=31),IF(MONTH(DATE(INT('월 가계부'!A1383/10000),MOD(INT('월 가계부'!A1383/100),100),MOD(INT('월 가계부'!A1383),100)))=MOD(INT('월 가계부'!A1383/100),100),DATE(INT('월 가계부'!A1383/10000),MOD(INT('월 가계부'!A1383/100),100),MOD(INT('월 가계부'!A1383),100)),""),""),IF(AND('월 가계부'!A1383&gt;=36526,'월 가계부'!A1383&lt;73051),INT('월 가계부'!A1383),"")),IF(OR(CM1383="",CN1383="",CO1383=""),"",IF(AND(CM1383&gt;=2000,CM1383&lt;=2099,CN1383&gt;=1,CN1383&lt;=12,CO1383&gt;=1,CO1383&lt;=31),IF(MONTH(DATE(CM1383,CN1383,CO1383))=CN1383,DATE(CM1383,CN1383,CO1383),""),"")))),"")</f>
        <v/>
      </c>
      <c r="CJ1383">
        <f>IFERROR(IF('월 가계부'!C1383="","",IF(ISNUMBER('월 가계부'!C1383),'월 가계부'!C1383,VALUE(SUBSTITUTE(SUBSTITUTE(SUBSTITUTE(SUBSTITUTE(TRIM('월 가계부'!C1383),",",""),"원","")," ",""),"−","-")))),"")</f>
        <v/>
      </c>
      <c r="CK1383">
        <f>IF(ISNUMBER(CI1383),IF(CI1383&lt;$B$13,CI1383,""),"")</f>
        <v/>
      </c>
      <c r="CM1383">
        <f>IF(CH1383="","",IFERROR(IF(IF(AND(LEN(CH1383)=9,ISERROR(FIND("-",LEFT(CH1383,8))),ISNUMBER(-LEFT(CH1383,8))),VALUE(LEFT(CH1383,4)),VALUE(LEFT(CH1383,FIND("-",CH1383)-1)))&lt;100,IF(AND(LEN(CH1383)=9,ISERROR(FIND("-",LEFT(CH1383,8))),ISNUMBER(-LEFT(CH1383,8))),VALUE(LEFT(CH1383,4)),VALUE(LEFT(CH1383,FIND("-",CH1383)-1)))+2000,IF(AND(LEN(CH1383)=9,ISERROR(FIND("-",LEFT(CH1383,8))),ISNUMBER(-LEFT(CH1383,8))),VALUE(LEFT(CH1383,4)),VALUE(LEFT(CH1383,FIND("-",CH1383)-1)))),""))</f>
        <v/>
      </c>
      <c r="CN1383">
        <f>IF(CH1383="","",IFERROR(IF(AND(LEN(CH1383)=9,ISERROR(FIND("-",LEFT(CH1383,8))),ISNUMBER(-LEFT(CH1383,8))),VALUE(MID(CH1383,5,2)),VALUE(MID(CH1383,FIND("-",CH1383)+1,FIND("-",CH1383,FIND("-",CH1383)+1)-FIND("-",CH1383)-1))),""))</f>
        <v/>
      </c>
      <c r="CO1383">
        <f>IF(CH1383="","",IFERROR(IF(AND(LEN(CH1383)=9,ISERROR(FIND("-",LEFT(CH1383,8))),ISNUMBER(-LEFT(CH1383,8))),VALUE(MID(CH1383,7,2)),VALUE(MID(CH1383,FIND("-",CH1383,FIND("-",CH1383)+1)+1,FIND("-",CH1383,FIND("-",CH1383,FIND("-",CH1383)+1)+1)-FIND("-",CH1383,FIND("-",CH1383)+1)-1))),""))</f>
        <v/>
      </c>
    </row>
    <row r="1384">
      <c r="CH1384">
        <f>IF(ISTEXT('월 가계부'!A1384),SUBSTITUTE(SUBSTITUTE(SUBSTITUTE(SUBSTITUTE(SUBSTITUTE(SUBSTITUTE(SUBSTITUTE(SUBSTITUTE(SUBSTITUTE(TRIM('월 가계부'!A1384),"년","-"),"월","-"),"일",""),".","-"),"/","-")," ","-"),"--","-"),"--","-"),"--","-")&amp;"-","")</f>
        <v/>
      </c>
      <c r="CI1384">
        <f>IFERROR(IF('월 가계부'!A1384="","",IF(ISNUMBER('월 가계부'!A1384),IF(AND('월 가계부'!A1384&gt;=19000101,'월 가계부'!A1384&lt;=21001231),IF(AND(MOD(INT('월 가계부'!A1384/100),100)&gt;=1,MOD(INT('월 가계부'!A1384/100),100)&lt;=12,MOD(INT('월 가계부'!A1384),100)&gt;=1,MOD(INT('월 가계부'!A1384),100)&lt;=31),IF(MONTH(DATE(INT('월 가계부'!A1384/10000),MOD(INT('월 가계부'!A1384/100),100),MOD(INT('월 가계부'!A1384),100)))=MOD(INT('월 가계부'!A1384/100),100),DATE(INT('월 가계부'!A1384/10000),MOD(INT('월 가계부'!A1384/100),100),MOD(INT('월 가계부'!A1384),100)),""),""),IF(AND('월 가계부'!A1384&gt;=36526,'월 가계부'!A1384&lt;73051),INT('월 가계부'!A1384),"")),IF(OR(CM1384="",CN1384="",CO1384=""),"",IF(AND(CM1384&gt;=2000,CM1384&lt;=2099,CN1384&gt;=1,CN1384&lt;=12,CO1384&gt;=1,CO1384&lt;=31),IF(MONTH(DATE(CM1384,CN1384,CO1384))=CN1384,DATE(CM1384,CN1384,CO1384),""),"")))),"")</f>
        <v/>
      </c>
      <c r="CJ1384">
        <f>IFERROR(IF('월 가계부'!C1384="","",IF(ISNUMBER('월 가계부'!C1384),'월 가계부'!C1384,VALUE(SUBSTITUTE(SUBSTITUTE(SUBSTITUTE(SUBSTITUTE(TRIM('월 가계부'!C1384),",",""),"원","")," ",""),"−","-")))),"")</f>
        <v/>
      </c>
      <c r="CK1384">
        <f>IF(ISNUMBER(CI1384),IF(CI1384&lt;$B$13,CI1384,""),"")</f>
        <v/>
      </c>
      <c r="CM1384">
        <f>IF(CH1384="","",IFERROR(IF(IF(AND(LEN(CH1384)=9,ISERROR(FIND("-",LEFT(CH1384,8))),ISNUMBER(-LEFT(CH1384,8))),VALUE(LEFT(CH1384,4)),VALUE(LEFT(CH1384,FIND("-",CH1384)-1)))&lt;100,IF(AND(LEN(CH1384)=9,ISERROR(FIND("-",LEFT(CH1384,8))),ISNUMBER(-LEFT(CH1384,8))),VALUE(LEFT(CH1384,4)),VALUE(LEFT(CH1384,FIND("-",CH1384)-1)))+2000,IF(AND(LEN(CH1384)=9,ISERROR(FIND("-",LEFT(CH1384,8))),ISNUMBER(-LEFT(CH1384,8))),VALUE(LEFT(CH1384,4)),VALUE(LEFT(CH1384,FIND("-",CH1384)-1)))),""))</f>
        <v/>
      </c>
      <c r="CN1384">
        <f>IF(CH1384="","",IFERROR(IF(AND(LEN(CH1384)=9,ISERROR(FIND("-",LEFT(CH1384,8))),ISNUMBER(-LEFT(CH1384,8))),VALUE(MID(CH1384,5,2)),VALUE(MID(CH1384,FIND("-",CH1384)+1,FIND("-",CH1384,FIND("-",CH1384)+1)-FIND("-",CH1384)-1))),""))</f>
        <v/>
      </c>
      <c r="CO1384">
        <f>IF(CH1384="","",IFERROR(IF(AND(LEN(CH1384)=9,ISERROR(FIND("-",LEFT(CH1384,8))),ISNUMBER(-LEFT(CH1384,8))),VALUE(MID(CH1384,7,2)),VALUE(MID(CH1384,FIND("-",CH1384,FIND("-",CH1384)+1)+1,FIND("-",CH1384,FIND("-",CH1384,FIND("-",CH1384)+1)+1)-FIND("-",CH1384,FIND("-",CH1384)+1)-1))),""))</f>
        <v/>
      </c>
    </row>
    <row r="1385">
      <c r="CH1385">
        <f>IF(ISTEXT('월 가계부'!A1385),SUBSTITUTE(SUBSTITUTE(SUBSTITUTE(SUBSTITUTE(SUBSTITUTE(SUBSTITUTE(SUBSTITUTE(SUBSTITUTE(SUBSTITUTE(TRIM('월 가계부'!A1385),"년","-"),"월","-"),"일",""),".","-"),"/","-")," ","-"),"--","-"),"--","-"),"--","-")&amp;"-","")</f>
        <v/>
      </c>
      <c r="CI1385">
        <f>IFERROR(IF('월 가계부'!A1385="","",IF(ISNUMBER('월 가계부'!A1385),IF(AND('월 가계부'!A1385&gt;=19000101,'월 가계부'!A1385&lt;=21001231),IF(AND(MOD(INT('월 가계부'!A1385/100),100)&gt;=1,MOD(INT('월 가계부'!A1385/100),100)&lt;=12,MOD(INT('월 가계부'!A1385),100)&gt;=1,MOD(INT('월 가계부'!A1385),100)&lt;=31),IF(MONTH(DATE(INT('월 가계부'!A1385/10000),MOD(INT('월 가계부'!A1385/100),100),MOD(INT('월 가계부'!A1385),100)))=MOD(INT('월 가계부'!A1385/100),100),DATE(INT('월 가계부'!A1385/10000),MOD(INT('월 가계부'!A1385/100),100),MOD(INT('월 가계부'!A1385),100)),""),""),IF(AND('월 가계부'!A1385&gt;=36526,'월 가계부'!A1385&lt;73051),INT('월 가계부'!A1385),"")),IF(OR(CM1385="",CN1385="",CO1385=""),"",IF(AND(CM1385&gt;=2000,CM1385&lt;=2099,CN1385&gt;=1,CN1385&lt;=12,CO1385&gt;=1,CO1385&lt;=31),IF(MONTH(DATE(CM1385,CN1385,CO1385))=CN1385,DATE(CM1385,CN1385,CO1385),""),"")))),"")</f>
        <v/>
      </c>
      <c r="CJ1385">
        <f>IFERROR(IF('월 가계부'!C1385="","",IF(ISNUMBER('월 가계부'!C1385),'월 가계부'!C1385,VALUE(SUBSTITUTE(SUBSTITUTE(SUBSTITUTE(SUBSTITUTE(TRIM('월 가계부'!C1385),",",""),"원","")," ",""),"−","-")))),"")</f>
        <v/>
      </c>
      <c r="CK1385">
        <f>IF(ISNUMBER(CI1385),IF(CI1385&lt;$B$13,CI1385,""),"")</f>
        <v/>
      </c>
      <c r="CM1385">
        <f>IF(CH1385="","",IFERROR(IF(IF(AND(LEN(CH1385)=9,ISERROR(FIND("-",LEFT(CH1385,8))),ISNUMBER(-LEFT(CH1385,8))),VALUE(LEFT(CH1385,4)),VALUE(LEFT(CH1385,FIND("-",CH1385)-1)))&lt;100,IF(AND(LEN(CH1385)=9,ISERROR(FIND("-",LEFT(CH1385,8))),ISNUMBER(-LEFT(CH1385,8))),VALUE(LEFT(CH1385,4)),VALUE(LEFT(CH1385,FIND("-",CH1385)-1)))+2000,IF(AND(LEN(CH1385)=9,ISERROR(FIND("-",LEFT(CH1385,8))),ISNUMBER(-LEFT(CH1385,8))),VALUE(LEFT(CH1385,4)),VALUE(LEFT(CH1385,FIND("-",CH1385)-1)))),""))</f>
        <v/>
      </c>
      <c r="CN1385">
        <f>IF(CH1385="","",IFERROR(IF(AND(LEN(CH1385)=9,ISERROR(FIND("-",LEFT(CH1385,8))),ISNUMBER(-LEFT(CH1385,8))),VALUE(MID(CH1385,5,2)),VALUE(MID(CH1385,FIND("-",CH1385)+1,FIND("-",CH1385,FIND("-",CH1385)+1)-FIND("-",CH1385)-1))),""))</f>
        <v/>
      </c>
      <c r="CO1385">
        <f>IF(CH1385="","",IFERROR(IF(AND(LEN(CH1385)=9,ISERROR(FIND("-",LEFT(CH1385,8))),ISNUMBER(-LEFT(CH1385,8))),VALUE(MID(CH1385,7,2)),VALUE(MID(CH1385,FIND("-",CH1385,FIND("-",CH1385)+1)+1,FIND("-",CH1385,FIND("-",CH1385,FIND("-",CH1385)+1)+1)-FIND("-",CH1385,FIND("-",CH1385)+1)-1))),""))</f>
        <v/>
      </c>
    </row>
    <row r="1386">
      <c r="CH1386">
        <f>IF(ISTEXT('월 가계부'!A1386),SUBSTITUTE(SUBSTITUTE(SUBSTITUTE(SUBSTITUTE(SUBSTITUTE(SUBSTITUTE(SUBSTITUTE(SUBSTITUTE(SUBSTITUTE(TRIM('월 가계부'!A1386),"년","-"),"월","-"),"일",""),".","-"),"/","-")," ","-"),"--","-"),"--","-"),"--","-")&amp;"-","")</f>
        <v/>
      </c>
      <c r="CI1386">
        <f>IFERROR(IF('월 가계부'!A1386="","",IF(ISNUMBER('월 가계부'!A1386),IF(AND('월 가계부'!A1386&gt;=19000101,'월 가계부'!A1386&lt;=21001231),IF(AND(MOD(INT('월 가계부'!A1386/100),100)&gt;=1,MOD(INT('월 가계부'!A1386/100),100)&lt;=12,MOD(INT('월 가계부'!A1386),100)&gt;=1,MOD(INT('월 가계부'!A1386),100)&lt;=31),IF(MONTH(DATE(INT('월 가계부'!A1386/10000),MOD(INT('월 가계부'!A1386/100),100),MOD(INT('월 가계부'!A1386),100)))=MOD(INT('월 가계부'!A1386/100),100),DATE(INT('월 가계부'!A1386/10000),MOD(INT('월 가계부'!A1386/100),100),MOD(INT('월 가계부'!A1386),100)),""),""),IF(AND('월 가계부'!A1386&gt;=36526,'월 가계부'!A1386&lt;73051),INT('월 가계부'!A1386),"")),IF(OR(CM1386="",CN1386="",CO1386=""),"",IF(AND(CM1386&gt;=2000,CM1386&lt;=2099,CN1386&gt;=1,CN1386&lt;=12,CO1386&gt;=1,CO1386&lt;=31),IF(MONTH(DATE(CM1386,CN1386,CO1386))=CN1386,DATE(CM1386,CN1386,CO1386),""),"")))),"")</f>
        <v/>
      </c>
      <c r="CJ1386">
        <f>IFERROR(IF('월 가계부'!C1386="","",IF(ISNUMBER('월 가계부'!C1386),'월 가계부'!C1386,VALUE(SUBSTITUTE(SUBSTITUTE(SUBSTITUTE(SUBSTITUTE(TRIM('월 가계부'!C1386),",",""),"원","")," ",""),"−","-")))),"")</f>
        <v/>
      </c>
      <c r="CK1386">
        <f>IF(ISNUMBER(CI1386),IF(CI1386&lt;$B$13,CI1386,""),"")</f>
        <v/>
      </c>
      <c r="CM1386">
        <f>IF(CH1386="","",IFERROR(IF(IF(AND(LEN(CH1386)=9,ISERROR(FIND("-",LEFT(CH1386,8))),ISNUMBER(-LEFT(CH1386,8))),VALUE(LEFT(CH1386,4)),VALUE(LEFT(CH1386,FIND("-",CH1386)-1)))&lt;100,IF(AND(LEN(CH1386)=9,ISERROR(FIND("-",LEFT(CH1386,8))),ISNUMBER(-LEFT(CH1386,8))),VALUE(LEFT(CH1386,4)),VALUE(LEFT(CH1386,FIND("-",CH1386)-1)))+2000,IF(AND(LEN(CH1386)=9,ISERROR(FIND("-",LEFT(CH1386,8))),ISNUMBER(-LEFT(CH1386,8))),VALUE(LEFT(CH1386,4)),VALUE(LEFT(CH1386,FIND("-",CH1386)-1)))),""))</f>
        <v/>
      </c>
      <c r="CN1386">
        <f>IF(CH1386="","",IFERROR(IF(AND(LEN(CH1386)=9,ISERROR(FIND("-",LEFT(CH1386,8))),ISNUMBER(-LEFT(CH1386,8))),VALUE(MID(CH1386,5,2)),VALUE(MID(CH1386,FIND("-",CH1386)+1,FIND("-",CH1386,FIND("-",CH1386)+1)-FIND("-",CH1386)-1))),""))</f>
        <v/>
      </c>
      <c r="CO1386">
        <f>IF(CH1386="","",IFERROR(IF(AND(LEN(CH1386)=9,ISERROR(FIND("-",LEFT(CH1386,8))),ISNUMBER(-LEFT(CH1386,8))),VALUE(MID(CH1386,7,2)),VALUE(MID(CH1386,FIND("-",CH1386,FIND("-",CH1386)+1)+1,FIND("-",CH1386,FIND("-",CH1386,FIND("-",CH1386)+1)+1)-FIND("-",CH1386,FIND("-",CH1386)+1)-1))),""))</f>
        <v/>
      </c>
    </row>
    <row r="1387">
      <c r="CH1387">
        <f>IF(ISTEXT('월 가계부'!A1387),SUBSTITUTE(SUBSTITUTE(SUBSTITUTE(SUBSTITUTE(SUBSTITUTE(SUBSTITUTE(SUBSTITUTE(SUBSTITUTE(SUBSTITUTE(TRIM('월 가계부'!A1387),"년","-"),"월","-"),"일",""),".","-"),"/","-")," ","-"),"--","-"),"--","-"),"--","-")&amp;"-","")</f>
        <v/>
      </c>
      <c r="CI1387">
        <f>IFERROR(IF('월 가계부'!A1387="","",IF(ISNUMBER('월 가계부'!A1387),IF(AND('월 가계부'!A1387&gt;=19000101,'월 가계부'!A1387&lt;=21001231),IF(AND(MOD(INT('월 가계부'!A1387/100),100)&gt;=1,MOD(INT('월 가계부'!A1387/100),100)&lt;=12,MOD(INT('월 가계부'!A1387),100)&gt;=1,MOD(INT('월 가계부'!A1387),100)&lt;=31),IF(MONTH(DATE(INT('월 가계부'!A1387/10000),MOD(INT('월 가계부'!A1387/100),100),MOD(INT('월 가계부'!A1387),100)))=MOD(INT('월 가계부'!A1387/100),100),DATE(INT('월 가계부'!A1387/10000),MOD(INT('월 가계부'!A1387/100),100),MOD(INT('월 가계부'!A1387),100)),""),""),IF(AND('월 가계부'!A1387&gt;=36526,'월 가계부'!A1387&lt;73051),INT('월 가계부'!A1387),"")),IF(OR(CM1387="",CN1387="",CO1387=""),"",IF(AND(CM1387&gt;=2000,CM1387&lt;=2099,CN1387&gt;=1,CN1387&lt;=12,CO1387&gt;=1,CO1387&lt;=31),IF(MONTH(DATE(CM1387,CN1387,CO1387))=CN1387,DATE(CM1387,CN1387,CO1387),""),"")))),"")</f>
        <v/>
      </c>
      <c r="CJ1387">
        <f>IFERROR(IF('월 가계부'!C1387="","",IF(ISNUMBER('월 가계부'!C1387),'월 가계부'!C1387,VALUE(SUBSTITUTE(SUBSTITUTE(SUBSTITUTE(SUBSTITUTE(TRIM('월 가계부'!C1387),",",""),"원","")," ",""),"−","-")))),"")</f>
        <v/>
      </c>
      <c r="CK1387">
        <f>IF(ISNUMBER(CI1387),IF(CI1387&lt;$B$13,CI1387,""),"")</f>
        <v/>
      </c>
      <c r="CM1387">
        <f>IF(CH1387="","",IFERROR(IF(IF(AND(LEN(CH1387)=9,ISERROR(FIND("-",LEFT(CH1387,8))),ISNUMBER(-LEFT(CH1387,8))),VALUE(LEFT(CH1387,4)),VALUE(LEFT(CH1387,FIND("-",CH1387)-1)))&lt;100,IF(AND(LEN(CH1387)=9,ISERROR(FIND("-",LEFT(CH1387,8))),ISNUMBER(-LEFT(CH1387,8))),VALUE(LEFT(CH1387,4)),VALUE(LEFT(CH1387,FIND("-",CH1387)-1)))+2000,IF(AND(LEN(CH1387)=9,ISERROR(FIND("-",LEFT(CH1387,8))),ISNUMBER(-LEFT(CH1387,8))),VALUE(LEFT(CH1387,4)),VALUE(LEFT(CH1387,FIND("-",CH1387)-1)))),""))</f>
        <v/>
      </c>
      <c r="CN1387">
        <f>IF(CH1387="","",IFERROR(IF(AND(LEN(CH1387)=9,ISERROR(FIND("-",LEFT(CH1387,8))),ISNUMBER(-LEFT(CH1387,8))),VALUE(MID(CH1387,5,2)),VALUE(MID(CH1387,FIND("-",CH1387)+1,FIND("-",CH1387,FIND("-",CH1387)+1)-FIND("-",CH1387)-1))),""))</f>
        <v/>
      </c>
      <c r="CO1387">
        <f>IF(CH1387="","",IFERROR(IF(AND(LEN(CH1387)=9,ISERROR(FIND("-",LEFT(CH1387,8))),ISNUMBER(-LEFT(CH1387,8))),VALUE(MID(CH1387,7,2)),VALUE(MID(CH1387,FIND("-",CH1387,FIND("-",CH1387)+1)+1,FIND("-",CH1387,FIND("-",CH1387,FIND("-",CH1387)+1)+1)-FIND("-",CH1387,FIND("-",CH1387)+1)-1))),""))</f>
        <v/>
      </c>
    </row>
    <row r="1388">
      <c r="CH1388">
        <f>IF(ISTEXT('월 가계부'!A1388),SUBSTITUTE(SUBSTITUTE(SUBSTITUTE(SUBSTITUTE(SUBSTITUTE(SUBSTITUTE(SUBSTITUTE(SUBSTITUTE(SUBSTITUTE(TRIM('월 가계부'!A1388),"년","-"),"월","-"),"일",""),".","-"),"/","-")," ","-"),"--","-"),"--","-"),"--","-")&amp;"-","")</f>
        <v/>
      </c>
      <c r="CI1388">
        <f>IFERROR(IF('월 가계부'!A1388="","",IF(ISNUMBER('월 가계부'!A1388),IF(AND('월 가계부'!A1388&gt;=19000101,'월 가계부'!A1388&lt;=21001231),IF(AND(MOD(INT('월 가계부'!A1388/100),100)&gt;=1,MOD(INT('월 가계부'!A1388/100),100)&lt;=12,MOD(INT('월 가계부'!A1388),100)&gt;=1,MOD(INT('월 가계부'!A1388),100)&lt;=31),IF(MONTH(DATE(INT('월 가계부'!A1388/10000),MOD(INT('월 가계부'!A1388/100),100),MOD(INT('월 가계부'!A1388),100)))=MOD(INT('월 가계부'!A1388/100),100),DATE(INT('월 가계부'!A1388/10000),MOD(INT('월 가계부'!A1388/100),100),MOD(INT('월 가계부'!A1388),100)),""),""),IF(AND('월 가계부'!A1388&gt;=36526,'월 가계부'!A1388&lt;73051),INT('월 가계부'!A1388),"")),IF(OR(CM1388="",CN1388="",CO1388=""),"",IF(AND(CM1388&gt;=2000,CM1388&lt;=2099,CN1388&gt;=1,CN1388&lt;=12,CO1388&gt;=1,CO1388&lt;=31),IF(MONTH(DATE(CM1388,CN1388,CO1388))=CN1388,DATE(CM1388,CN1388,CO1388),""),"")))),"")</f>
        <v/>
      </c>
      <c r="CJ1388">
        <f>IFERROR(IF('월 가계부'!C1388="","",IF(ISNUMBER('월 가계부'!C1388),'월 가계부'!C1388,VALUE(SUBSTITUTE(SUBSTITUTE(SUBSTITUTE(SUBSTITUTE(TRIM('월 가계부'!C1388),",",""),"원","")," ",""),"−","-")))),"")</f>
        <v/>
      </c>
      <c r="CK1388">
        <f>IF(ISNUMBER(CI1388),IF(CI1388&lt;$B$13,CI1388,""),"")</f>
        <v/>
      </c>
      <c r="CM1388">
        <f>IF(CH1388="","",IFERROR(IF(IF(AND(LEN(CH1388)=9,ISERROR(FIND("-",LEFT(CH1388,8))),ISNUMBER(-LEFT(CH1388,8))),VALUE(LEFT(CH1388,4)),VALUE(LEFT(CH1388,FIND("-",CH1388)-1)))&lt;100,IF(AND(LEN(CH1388)=9,ISERROR(FIND("-",LEFT(CH1388,8))),ISNUMBER(-LEFT(CH1388,8))),VALUE(LEFT(CH1388,4)),VALUE(LEFT(CH1388,FIND("-",CH1388)-1)))+2000,IF(AND(LEN(CH1388)=9,ISERROR(FIND("-",LEFT(CH1388,8))),ISNUMBER(-LEFT(CH1388,8))),VALUE(LEFT(CH1388,4)),VALUE(LEFT(CH1388,FIND("-",CH1388)-1)))),""))</f>
        <v/>
      </c>
      <c r="CN1388">
        <f>IF(CH1388="","",IFERROR(IF(AND(LEN(CH1388)=9,ISERROR(FIND("-",LEFT(CH1388,8))),ISNUMBER(-LEFT(CH1388,8))),VALUE(MID(CH1388,5,2)),VALUE(MID(CH1388,FIND("-",CH1388)+1,FIND("-",CH1388,FIND("-",CH1388)+1)-FIND("-",CH1388)-1))),""))</f>
        <v/>
      </c>
      <c r="CO1388">
        <f>IF(CH1388="","",IFERROR(IF(AND(LEN(CH1388)=9,ISERROR(FIND("-",LEFT(CH1388,8))),ISNUMBER(-LEFT(CH1388,8))),VALUE(MID(CH1388,7,2)),VALUE(MID(CH1388,FIND("-",CH1388,FIND("-",CH1388)+1)+1,FIND("-",CH1388,FIND("-",CH1388,FIND("-",CH1388)+1)+1)-FIND("-",CH1388,FIND("-",CH1388)+1)-1))),""))</f>
        <v/>
      </c>
    </row>
    <row r="1389">
      <c r="CH1389">
        <f>IF(ISTEXT('월 가계부'!A1389),SUBSTITUTE(SUBSTITUTE(SUBSTITUTE(SUBSTITUTE(SUBSTITUTE(SUBSTITUTE(SUBSTITUTE(SUBSTITUTE(SUBSTITUTE(TRIM('월 가계부'!A1389),"년","-"),"월","-"),"일",""),".","-"),"/","-")," ","-"),"--","-"),"--","-"),"--","-")&amp;"-","")</f>
        <v/>
      </c>
      <c r="CI1389">
        <f>IFERROR(IF('월 가계부'!A1389="","",IF(ISNUMBER('월 가계부'!A1389),IF(AND('월 가계부'!A1389&gt;=19000101,'월 가계부'!A1389&lt;=21001231),IF(AND(MOD(INT('월 가계부'!A1389/100),100)&gt;=1,MOD(INT('월 가계부'!A1389/100),100)&lt;=12,MOD(INT('월 가계부'!A1389),100)&gt;=1,MOD(INT('월 가계부'!A1389),100)&lt;=31),IF(MONTH(DATE(INT('월 가계부'!A1389/10000),MOD(INT('월 가계부'!A1389/100),100),MOD(INT('월 가계부'!A1389),100)))=MOD(INT('월 가계부'!A1389/100),100),DATE(INT('월 가계부'!A1389/10000),MOD(INT('월 가계부'!A1389/100),100),MOD(INT('월 가계부'!A1389),100)),""),""),IF(AND('월 가계부'!A1389&gt;=36526,'월 가계부'!A1389&lt;73051),INT('월 가계부'!A1389),"")),IF(OR(CM1389="",CN1389="",CO1389=""),"",IF(AND(CM1389&gt;=2000,CM1389&lt;=2099,CN1389&gt;=1,CN1389&lt;=12,CO1389&gt;=1,CO1389&lt;=31),IF(MONTH(DATE(CM1389,CN1389,CO1389))=CN1389,DATE(CM1389,CN1389,CO1389),""),"")))),"")</f>
        <v/>
      </c>
      <c r="CJ1389">
        <f>IFERROR(IF('월 가계부'!C1389="","",IF(ISNUMBER('월 가계부'!C1389),'월 가계부'!C1389,VALUE(SUBSTITUTE(SUBSTITUTE(SUBSTITUTE(SUBSTITUTE(TRIM('월 가계부'!C1389),",",""),"원","")," ",""),"−","-")))),"")</f>
        <v/>
      </c>
      <c r="CK1389">
        <f>IF(ISNUMBER(CI1389),IF(CI1389&lt;$B$13,CI1389,""),"")</f>
        <v/>
      </c>
      <c r="CM1389">
        <f>IF(CH1389="","",IFERROR(IF(IF(AND(LEN(CH1389)=9,ISERROR(FIND("-",LEFT(CH1389,8))),ISNUMBER(-LEFT(CH1389,8))),VALUE(LEFT(CH1389,4)),VALUE(LEFT(CH1389,FIND("-",CH1389)-1)))&lt;100,IF(AND(LEN(CH1389)=9,ISERROR(FIND("-",LEFT(CH1389,8))),ISNUMBER(-LEFT(CH1389,8))),VALUE(LEFT(CH1389,4)),VALUE(LEFT(CH1389,FIND("-",CH1389)-1)))+2000,IF(AND(LEN(CH1389)=9,ISERROR(FIND("-",LEFT(CH1389,8))),ISNUMBER(-LEFT(CH1389,8))),VALUE(LEFT(CH1389,4)),VALUE(LEFT(CH1389,FIND("-",CH1389)-1)))),""))</f>
        <v/>
      </c>
      <c r="CN1389">
        <f>IF(CH1389="","",IFERROR(IF(AND(LEN(CH1389)=9,ISERROR(FIND("-",LEFT(CH1389,8))),ISNUMBER(-LEFT(CH1389,8))),VALUE(MID(CH1389,5,2)),VALUE(MID(CH1389,FIND("-",CH1389)+1,FIND("-",CH1389,FIND("-",CH1389)+1)-FIND("-",CH1389)-1))),""))</f>
        <v/>
      </c>
      <c r="CO1389">
        <f>IF(CH1389="","",IFERROR(IF(AND(LEN(CH1389)=9,ISERROR(FIND("-",LEFT(CH1389,8))),ISNUMBER(-LEFT(CH1389,8))),VALUE(MID(CH1389,7,2)),VALUE(MID(CH1389,FIND("-",CH1389,FIND("-",CH1389)+1)+1,FIND("-",CH1389,FIND("-",CH1389,FIND("-",CH1389)+1)+1)-FIND("-",CH1389,FIND("-",CH1389)+1)-1))),""))</f>
        <v/>
      </c>
    </row>
    <row r="1390">
      <c r="CH1390">
        <f>IF(ISTEXT('월 가계부'!A1390),SUBSTITUTE(SUBSTITUTE(SUBSTITUTE(SUBSTITUTE(SUBSTITUTE(SUBSTITUTE(SUBSTITUTE(SUBSTITUTE(SUBSTITUTE(TRIM('월 가계부'!A1390),"년","-"),"월","-"),"일",""),".","-"),"/","-")," ","-"),"--","-"),"--","-"),"--","-")&amp;"-","")</f>
        <v/>
      </c>
      <c r="CI1390">
        <f>IFERROR(IF('월 가계부'!A1390="","",IF(ISNUMBER('월 가계부'!A1390),IF(AND('월 가계부'!A1390&gt;=19000101,'월 가계부'!A1390&lt;=21001231),IF(AND(MOD(INT('월 가계부'!A1390/100),100)&gt;=1,MOD(INT('월 가계부'!A1390/100),100)&lt;=12,MOD(INT('월 가계부'!A1390),100)&gt;=1,MOD(INT('월 가계부'!A1390),100)&lt;=31),IF(MONTH(DATE(INT('월 가계부'!A1390/10000),MOD(INT('월 가계부'!A1390/100),100),MOD(INT('월 가계부'!A1390),100)))=MOD(INT('월 가계부'!A1390/100),100),DATE(INT('월 가계부'!A1390/10000),MOD(INT('월 가계부'!A1390/100),100),MOD(INT('월 가계부'!A1390),100)),""),""),IF(AND('월 가계부'!A1390&gt;=36526,'월 가계부'!A1390&lt;73051),INT('월 가계부'!A1390),"")),IF(OR(CM1390="",CN1390="",CO1390=""),"",IF(AND(CM1390&gt;=2000,CM1390&lt;=2099,CN1390&gt;=1,CN1390&lt;=12,CO1390&gt;=1,CO1390&lt;=31),IF(MONTH(DATE(CM1390,CN1390,CO1390))=CN1390,DATE(CM1390,CN1390,CO1390),""),"")))),"")</f>
        <v/>
      </c>
      <c r="CJ1390">
        <f>IFERROR(IF('월 가계부'!C1390="","",IF(ISNUMBER('월 가계부'!C1390),'월 가계부'!C1390,VALUE(SUBSTITUTE(SUBSTITUTE(SUBSTITUTE(SUBSTITUTE(TRIM('월 가계부'!C1390),",",""),"원","")," ",""),"−","-")))),"")</f>
        <v/>
      </c>
      <c r="CK1390">
        <f>IF(ISNUMBER(CI1390),IF(CI1390&lt;$B$13,CI1390,""),"")</f>
        <v/>
      </c>
      <c r="CM1390">
        <f>IF(CH1390="","",IFERROR(IF(IF(AND(LEN(CH1390)=9,ISERROR(FIND("-",LEFT(CH1390,8))),ISNUMBER(-LEFT(CH1390,8))),VALUE(LEFT(CH1390,4)),VALUE(LEFT(CH1390,FIND("-",CH1390)-1)))&lt;100,IF(AND(LEN(CH1390)=9,ISERROR(FIND("-",LEFT(CH1390,8))),ISNUMBER(-LEFT(CH1390,8))),VALUE(LEFT(CH1390,4)),VALUE(LEFT(CH1390,FIND("-",CH1390)-1)))+2000,IF(AND(LEN(CH1390)=9,ISERROR(FIND("-",LEFT(CH1390,8))),ISNUMBER(-LEFT(CH1390,8))),VALUE(LEFT(CH1390,4)),VALUE(LEFT(CH1390,FIND("-",CH1390)-1)))),""))</f>
        <v/>
      </c>
      <c r="CN1390">
        <f>IF(CH1390="","",IFERROR(IF(AND(LEN(CH1390)=9,ISERROR(FIND("-",LEFT(CH1390,8))),ISNUMBER(-LEFT(CH1390,8))),VALUE(MID(CH1390,5,2)),VALUE(MID(CH1390,FIND("-",CH1390)+1,FIND("-",CH1390,FIND("-",CH1390)+1)-FIND("-",CH1390)-1))),""))</f>
        <v/>
      </c>
      <c r="CO1390">
        <f>IF(CH1390="","",IFERROR(IF(AND(LEN(CH1390)=9,ISERROR(FIND("-",LEFT(CH1390,8))),ISNUMBER(-LEFT(CH1390,8))),VALUE(MID(CH1390,7,2)),VALUE(MID(CH1390,FIND("-",CH1390,FIND("-",CH1390)+1)+1,FIND("-",CH1390,FIND("-",CH1390,FIND("-",CH1390)+1)+1)-FIND("-",CH1390,FIND("-",CH1390)+1)-1))),""))</f>
        <v/>
      </c>
    </row>
    <row r="1391">
      <c r="CH1391">
        <f>IF(ISTEXT('월 가계부'!A1391),SUBSTITUTE(SUBSTITUTE(SUBSTITUTE(SUBSTITUTE(SUBSTITUTE(SUBSTITUTE(SUBSTITUTE(SUBSTITUTE(SUBSTITUTE(TRIM('월 가계부'!A1391),"년","-"),"월","-"),"일",""),".","-"),"/","-")," ","-"),"--","-"),"--","-"),"--","-")&amp;"-","")</f>
        <v/>
      </c>
      <c r="CI1391">
        <f>IFERROR(IF('월 가계부'!A1391="","",IF(ISNUMBER('월 가계부'!A1391),IF(AND('월 가계부'!A1391&gt;=19000101,'월 가계부'!A1391&lt;=21001231),IF(AND(MOD(INT('월 가계부'!A1391/100),100)&gt;=1,MOD(INT('월 가계부'!A1391/100),100)&lt;=12,MOD(INT('월 가계부'!A1391),100)&gt;=1,MOD(INT('월 가계부'!A1391),100)&lt;=31),IF(MONTH(DATE(INT('월 가계부'!A1391/10000),MOD(INT('월 가계부'!A1391/100),100),MOD(INT('월 가계부'!A1391),100)))=MOD(INT('월 가계부'!A1391/100),100),DATE(INT('월 가계부'!A1391/10000),MOD(INT('월 가계부'!A1391/100),100),MOD(INT('월 가계부'!A1391),100)),""),""),IF(AND('월 가계부'!A1391&gt;=36526,'월 가계부'!A1391&lt;73051),INT('월 가계부'!A1391),"")),IF(OR(CM1391="",CN1391="",CO1391=""),"",IF(AND(CM1391&gt;=2000,CM1391&lt;=2099,CN1391&gt;=1,CN1391&lt;=12,CO1391&gt;=1,CO1391&lt;=31),IF(MONTH(DATE(CM1391,CN1391,CO1391))=CN1391,DATE(CM1391,CN1391,CO1391),""),"")))),"")</f>
        <v/>
      </c>
      <c r="CJ1391">
        <f>IFERROR(IF('월 가계부'!C1391="","",IF(ISNUMBER('월 가계부'!C1391),'월 가계부'!C1391,VALUE(SUBSTITUTE(SUBSTITUTE(SUBSTITUTE(SUBSTITUTE(TRIM('월 가계부'!C1391),",",""),"원","")," ",""),"−","-")))),"")</f>
        <v/>
      </c>
      <c r="CK1391">
        <f>IF(ISNUMBER(CI1391),IF(CI1391&lt;$B$13,CI1391,""),"")</f>
        <v/>
      </c>
      <c r="CM1391">
        <f>IF(CH1391="","",IFERROR(IF(IF(AND(LEN(CH1391)=9,ISERROR(FIND("-",LEFT(CH1391,8))),ISNUMBER(-LEFT(CH1391,8))),VALUE(LEFT(CH1391,4)),VALUE(LEFT(CH1391,FIND("-",CH1391)-1)))&lt;100,IF(AND(LEN(CH1391)=9,ISERROR(FIND("-",LEFT(CH1391,8))),ISNUMBER(-LEFT(CH1391,8))),VALUE(LEFT(CH1391,4)),VALUE(LEFT(CH1391,FIND("-",CH1391)-1)))+2000,IF(AND(LEN(CH1391)=9,ISERROR(FIND("-",LEFT(CH1391,8))),ISNUMBER(-LEFT(CH1391,8))),VALUE(LEFT(CH1391,4)),VALUE(LEFT(CH1391,FIND("-",CH1391)-1)))),""))</f>
        <v/>
      </c>
      <c r="CN1391">
        <f>IF(CH1391="","",IFERROR(IF(AND(LEN(CH1391)=9,ISERROR(FIND("-",LEFT(CH1391,8))),ISNUMBER(-LEFT(CH1391,8))),VALUE(MID(CH1391,5,2)),VALUE(MID(CH1391,FIND("-",CH1391)+1,FIND("-",CH1391,FIND("-",CH1391)+1)-FIND("-",CH1391)-1))),""))</f>
        <v/>
      </c>
      <c r="CO1391">
        <f>IF(CH1391="","",IFERROR(IF(AND(LEN(CH1391)=9,ISERROR(FIND("-",LEFT(CH1391,8))),ISNUMBER(-LEFT(CH1391,8))),VALUE(MID(CH1391,7,2)),VALUE(MID(CH1391,FIND("-",CH1391,FIND("-",CH1391)+1)+1,FIND("-",CH1391,FIND("-",CH1391,FIND("-",CH1391)+1)+1)-FIND("-",CH1391,FIND("-",CH1391)+1)-1))),""))</f>
        <v/>
      </c>
    </row>
    <row r="1392">
      <c r="CH1392">
        <f>IF(ISTEXT('월 가계부'!A1392),SUBSTITUTE(SUBSTITUTE(SUBSTITUTE(SUBSTITUTE(SUBSTITUTE(SUBSTITUTE(SUBSTITUTE(SUBSTITUTE(SUBSTITUTE(TRIM('월 가계부'!A1392),"년","-"),"월","-"),"일",""),".","-"),"/","-")," ","-"),"--","-"),"--","-"),"--","-")&amp;"-","")</f>
        <v/>
      </c>
      <c r="CI1392">
        <f>IFERROR(IF('월 가계부'!A1392="","",IF(ISNUMBER('월 가계부'!A1392),IF(AND('월 가계부'!A1392&gt;=19000101,'월 가계부'!A1392&lt;=21001231),IF(AND(MOD(INT('월 가계부'!A1392/100),100)&gt;=1,MOD(INT('월 가계부'!A1392/100),100)&lt;=12,MOD(INT('월 가계부'!A1392),100)&gt;=1,MOD(INT('월 가계부'!A1392),100)&lt;=31),IF(MONTH(DATE(INT('월 가계부'!A1392/10000),MOD(INT('월 가계부'!A1392/100),100),MOD(INT('월 가계부'!A1392),100)))=MOD(INT('월 가계부'!A1392/100),100),DATE(INT('월 가계부'!A1392/10000),MOD(INT('월 가계부'!A1392/100),100),MOD(INT('월 가계부'!A1392),100)),""),""),IF(AND('월 가계부'!A1392&gt;=36526,'월 가계부'!A1392&lt;73051),INT('월 가계부'!A1392),"")),IF(OR(CM1392="",CN1392="",CO1392=""),"",IF(AND(CM1392&gt;=2000,CM1392&lt;=2099,CN1392&gt;=1,CN1392&lt;=12,CO1392&gt;=1,CO1392&lt;=31),IF(MONTH(DATE(CM1392,CN1392,CO1392))=CN1392,DATE(CM1392,CN1392,CO1392),""),"")))),"")</f>
        <v/>
      </c>
      <c r="CJ1392">
        <f>IFERROR(IF('월 가계부'!C1392="","",IF(ISNUMBER('월 가계부'!C1392),'월 가계부'!C1392,VALUE(SUBSTITUTE(SUBSTITUTE(SUBSTITUTE(SUBSTITUTE(TRIM('월 가계부'!C1392),",",""),"원","")," ",""),"−","-")))),"")</f>
        <v/>
      </c>
      <c r="CK1392">
        <f>IF(ISNUMBER(CI1392),IF(CI1392&lt;$B$13,CI1392,""),"")</f>
        <v/>
      </c>
      <c r="CM1392">
        <f>IF(CH1392="","",IFERROR(IF(IF(AND(LEN(CH1392)=9,ISERROR(FIND("-",LEFT(CH1392,8))),ISNUMBER(-LEFT(CH1392,8))),VALUE(LEFT(CH1392,4)),VALUE(LEFT(CH1392,FIND("-",CH1392)-1)))&lt;100,IF(AND(LEN(CH1392)=9,ISERROR(FIND("-",LEFT(CH1392,8))),ISNUMBER(-LEFT(CH1392,8))),VALUE(LEFT(CH1392,4)),VALUE(LEFT(CH1392,FIND("-",CH1392)-1)))+2000,IF(AND(LEN(CH1392)=9,ISERROR(FIND("-",LEFT(CH1392,8))),ISNUMBER(-LEFT(CH1392,8))),VALUE(LEFT(CH1392,4)),VALUE(LEFT(CH1392,FIND("-",CH1392)-1)))),""))</f>
        <v/>
      </c>
      <c r="CN1392">
        <f>IF(CH1392="","",IFERROR(IF(AND(LEN(CH1392)=9,ISERROR(FIND("-",LEFT(CH1392,8))),ISNUMBER(-LEFT(CH1392,8))),VALUE(MID(CH1392,5,2)),VALUE(MID(CH1392,FIND("-",CH1392)+1,FIND("-",CH1392,FIND("-",CH1392)+1)-FIND("-",CH1392)-1))),""))</f>
        <v/>
      </c>
      <c r="CO1392">
        <f>IF(CH1392="","",IFERROR(IF(AND(LEN(CH1392)=9,ISERROR(FIND("-",LEFT(CH1392,8))),ISNUMBER(-LEFT(CH1392,8))),VALUE(MID(CH1392,7,2)),VALUE(MID(CH1392,FIND("-",CH1392,FIND("-",CH1392)+1)+1,FIND("-",CH1392,FIND("-",CH1392,FIND("-",CH1392)+1)+1)-FIND("-",CH1392,FIND("-",CH1392)+1)-1))),""))</f>
        <v/>
      </c>
    </row>
    <row r="1393">
      <c r="CH1393">
        <f>IF(ISTEXT('월 가계부'!A1393),SUBSTITUTE(SUBSTITUTE(SUBSTITUTE(SUBSTITUTE(SUBSTITUTE(SUBSTITUTE(SUBSTITUTE(SUBSTITUTE(SUBSTITUTE(TRIM('월 가계부'!A1393),"년","-"),"월","-"),"일",""),".","-"),"/","-")," ","-"),"--","-"),"--","-"),"--","-")&amp;"-","")</f>
        <v/>
      </c>
      <c r="CI1393">
        <f>IFERROR(IF('월 가계부'!A1393="","",IF(ISNUMBER('월 가계부'!A1393),IF(AND('월 가계부'!A1393&gt;=19000101,'월 가계부'!A1393&lt;=21001231),IF(AND(MOD(INT('월 가계부'!A1393/100),100)&gt;=1,MOD(INT('월 가계부'!A1393/100),100)&lt;=12,MOD(INT('월 가계부'!A1393),100)&gt;=1,MOD(INT('월 가계부'!A1393),100)&lt;=31),IF(MONTH(DATE(INT('월 가계부'!A1393/10000),MOD(INT('월 가계부'!A1393/100),100),MOD(INT('월 가계부'!A1393),100)))=MOD(INT('월 가계부'!A1393/100),100),DATE(INT('월 가계부'!A1393/10000),MOD(INT('월 가계부'!A1393/100),100),MOD(INT('월 가계부'!A1393),100)),""),""),IF(AND('월 가계부'!A1393&gt;=36526,'월 가계부'!A1393&lt;73051),INT('월 가계부'!A1393),"")),IF(OR(CM1393="",CN1393="",CO1393=""),"",IF(AND(CM1393&gt;=2000,CM1393&lt;=2099,CN1393&gt;=1,CN1393&lt;=12,CO1393&gt;=1,CO1393&lt;=31),IF(MONTH(DATE(CM1393,CN1393,CO1393))=CN1393,DATE(CM1393,CN1393,CO1393),""),"")))),"")</f>
        <v/>
      </c>
      <c r="CJ1393">
        <f>IFERROR(IF('월 가계부'!C1393="","",IF(ISNUMBER('월 가계부'!C1393),'월 가계부'!C1393,VALUE(SUBSTITUTE(SUBSTITUTE(SUBSTITUTE(SUBSTITUTE(TRIM('월 가계부'!C1393),",",""),"원","")," ",""),"−","-")))),"")</f>
        <v/>
      </c>
      <c r="CK1393">
        <f>IF(ISNUMBER(CI1393),IF(CI1393&lt;$B$13,CI1393,""),"")</f>
        <v/>
      </c>
      <c r="CM1393">
        <f>IF(CH1393="","",IFERROR(IF(IF(AND(LEN(CH1393)=9,ISERROR(FIND("-",LEFT(CH1393,8))),ISNUMBER(-LEFT(CH1393,8))),VALUE(LEFT(CH1393,4)),VALUE(LEFT(CH1393,FIND("-",CH1393)-1)))&lt;100,IF(AND(LEN(CH1393)=9,ISERROR(FIND("-",LEFT(CH1393,8))),ISNUMBER(-LEFT(CH1393,8))),VALUE(LEFT(CH1393,4)),VALUE(LEFT(CH1393,FIND("-",CH1393)-1)))+2000,IF(AND(LEN(CH1393)=9,ISERROR(FIND("-",LEFT(CH1393,8))),ISNUMBER(-LEFT(CH1393,8))),VALUE(LEFT(CH1393,4)),VALUE(LEFT(CH1393,FIND("-",CH1393)-1)))),""))</f>
        <v/>
      </c>
      <c r="CN1393">
        <f>IF(CH1393="","",IFERROR(IF(AND(LEN(CH1393)=9,ISERROR(FIND("-",LEFT(CH1393,8))),ISNUMBER(-LEFT(CH1393,8))),VALUE(MID(CH1393,5,2)),VALUE(MID(CH1393,FIND("-",CH1393)+1,FIND("-",CH1393,FIND("-",CH1393)+1)-FIND("-",CH1393)-1))),""))</f>
        <v/>
      </c>
      <c r="CO1393">
        <f>IF(CH1393="","",IFERROR(IF(AND(LEN(CH1393)=9,ISERROR(FIND("-",LEFT(CH1393,8))),ISNUMBER(-LEFT(CH1393,8))),VALUE(MID(CH1393,7,2)),VALUE(MID(CH1393,FIND("-",CH1393,FIND("-",CH1393)+1)+1,FIND("-",CH1393,FIND("-",CH1393,FIND("-",CH1393)+1)+1)-FIND("-",CH1393,FIND("-",CH1393)+1)-1))),""))</f>
        <v/>
      </c>
    </row>
    <row r="1394">
      <c r="CH1394">
        <f>IF(ISTEXT('월 가계부'!A1394),SUBSTITUTE(SUBSTITUTE(SUBSTITUTE(SUBSTITUTE(SUBSTITUTE(SUBSTITUTE(SUBSTITUTE(SUBSTITUTE(SUBSTITUTE(TRIM('월 가계부'!A1394),"년","-"),"월","-"),"일",""),".","-"),"/","-")," ","-"),"--","-"),"--","-"),"--","-")&amp;"-","")</f>
        <v/>
      </c>
      <c r="CI1394">
        <f>IFERROR(IF('월 가계부'!A1394="","",IF(ISNUMBER('월 가계부'!A1394),IF(AND('월 가계부'!A1394&gt;=19000101,'월 가계부'!A1394&lt;=21001231),IF(AND(MOD(INT('월 가계부'!A1394/100),100)&gt;=1,MOD(INT('월 가계부'!A1394/100),100)&lt;=12,MOD(INT('월 가계부'!A1394),100)&gt;=1,MOD(INT('월 가계부'!A1394),100)&lt;=31),IF(MONTH(DATE(INT('월 가계부'!A1394/10000),MOD(INT('월 가계부'!A1394/100),100),MOD(INT('월 가계부'!A1394),100)))=MOD(INT('월 가계부'!A1394/100),100),DATE(INT('월 가계부'!A1394/10000),MOD(INT('월 가계부'!A1394/100),100),MOD(INT('월 가계부'!A1394),100)),""),""),IF(AND('월 가계부'!A1394&gt;=36526,'월 가계부'!A1394&lt;73051),INT('월 가계부'!A1394),"")),IF(OR(CM1394="",CN1394="",CO1394=""),"",IF(AND(CM1394&gt;=2000,CM1394&lt;=2099,CN1394&gt;=1,CN1394&lt;=12,CO1394&gt;=1,CO1394&lt;=31),IF(MONTH(DATE(CM1394,CN1394,CO1394))=CN1394,DATE(CM1394,CN1394,CO1394),""),"")))),"")</f>
        <v/>
      </c>
      <c r="CJ1394">
        <f>IFERROR(IF('월 가계부'!C1394="","",IF(ISNUMBER('월 가계부'!C1394),'월 가계부'!C1394,VALUE(SUBSTITUTE(SUBSTITUTE(SUBSTITUTE(SUBSTITUTE(TRIM('월 가계부'!C1394),",",""),"원","")," ",""),"−","-")))),"")</f>
        <v/>
      </c>
      <c r="CK1394">
        <f>IF(ISNUMBER(CI1394),IF(CI1394&lt;$B$13,CI1394,""),"")</f>
        <v/>
      </c>
      <c r="CM1394">
        <f>IF(CH1394="","",IFERROR(IF(IF(AND(LEN(CH1394)=9,ISERROR(FIND("-",LEFT(CH1394,8))),ISNUMBER(-LEFT(CH1394,8))),VALUE(LEFT(CH1394,4)),VALUE(LEFT(CH1394,FIND("-",CH1394)-1)))&lt;100,IF(AND(LEN(CH1394)=9,ISERROR(FIND("-",LEFT(CH1394,8))),ISNUMBER(-LEFT(CH1394,8))),VALUE(LEFT(CH1394,4)),VALUE(LEFT(CH1394,FIND("-",CH1394)-1)))+2000,IF(AND(LEN(CH1394)=9,ISERROR(FIND("-",LEFT(CH1394,8))),ISNUMBER(-LEFT(CH1394,8))),VALUE(LEFT(CH1394,4)),VALUE(LEFT(CH1394,FIND("-",CH1394)-1)))),""))</f>
        <v/>
      </c>
      <c r="CN1394">
        <f>IF(CH1394="","",IFERROR(IF(AND(LEN(CH1394)=9,ISERROR(FIND("-",LEFT(CH1394,8))),ISNUMBER(-LEFT(CH1394,8))),VALUE(MID(CH1394,5,2)),VALUE(MID(CH1394,FIND("-",CH1394)+1,FIND("-",CH1394,FIND("-",CH1394)+1)-FIND("-",CH1394)-1))),""))</f>
        <v/>
      </c>
      <c r="CO1394">
        <f>IF(CH1394="","",IFERROR(IF(AND(LEN(CH1394)=9,ISERROR(FIND("-",LEFT(CH1394,8))),ISNUMBER(-LEFT(CH1394,8))),VALUE(MID(CH1394,7,2)),VALUE(MID(CH1394,FIND("-",CH1394,FIND("-",CH1394)+1)+1,FIND("-",CH1394,FIND("-",CH1394,FIND("-",CH1394)+1)+1)-FIND("-",CH1394,FIND("-",CH1394)+1)-1))),""))</f>
        <v/>
      </c>
    </row>
    <row r="1395">
      <c r="CH1395">
        <f>IF(ISTEXT('월 가계부'!A1395),SUBSTITUTE(SUBSTITUTE(SUBSTITUTE(SUBSTITUTE(SUBSTITUTE(SUBSTITUTE(SUBSTITUTE(SUBSTITUTE(SUBSTITUTE(TRIM('월 가계부'!A1395),"년","-"),"월","-"),"일",""),".","-"),"/","-")," ","-"),"--","-"),"--","-"),"--","-")&amp;"-","")</f>
        <v/>
      </c>
      <c r="CI1395">
        <f>IFERROR(IF('월 가계부'!A1395="","",IF(ISNUMBER('월 가계부'!A1395),IF(AND('월 가계부'!A1395&gt;=19000101,'월 가계부'!A1395&lt;=21001231),IF(AND(MOD(INT('월 가계부'!A1395/100),100)&gt;=1,MOD(INT('월 가계부'!A1395/100),100)&lt;=12,MOD(INT('월 가계부'!A1395),100)&gt;=1,MOD(INT('월 가계부'!A1395),100)&lt;=31),IF(MONTH(DATE(INT('월 가계부'!A1395/10000),MOD(INT('월 가계부'!A1395/100),100),MOD(INT('월 가계부'!A1395),100)))=MOD(INT('월 가계부'!A1395/100),100),DATE(INT('월 가계부'!A1395/10000),MOD(INT('월 가계부'!A1395/100),100),MOD(INT('월 가계부'!A1395),100)),""),""),IF(AND('월 가계부'!A1395&gt;=36526,'월 가계부'!A1395&lt;73051),INT('월 가계부'!A1395),"")),IF(OR(CM1395="",CN1395="",CO1395=""),"",IF(AND(CM1395&gt;=2000,CM1395&lt;=2099,CN1395&gt;=1,CN1395&lt;=12,CO1395&gt;=1,CO1395&lt;=31),IF(MONTH(DATE(CM1395,CN1395,CO1395))=CN1395,DATE(CM1395,CN1395,CO1395),""),"")))),"")</f>
        <v/>
      </c>
      <c r="CJ1395">
        <f>IFERROR(IF('월 가계부'!C1395="","",IF(ISNUMBER('월 가계부'!C1395),'월 가계부'!C1395,VALUE(SUBSTITUTE(SUBSTITUTE(SUBSTITUTE(SUBSTITUTE(TRIM('월 가계부'!C1395),",",""),"원","")," ",""),"−","-")))),"")</f>
        <v/>
      </c>
      <c r="CK1395">
        <f>IF(ISNUMBER(CI1395),IF(CI1395&lt;$B$13,CI1395,""),"")</f>
        <v/>
      </c>
      <c r="CM1395">
        <f>IF(CH1395="","",IFERROR(IF(IF(AND(LEN(CH1395)=9,ISERROR(FIND("-",LEFT(CH1395,8))),ISNUMBER(-LEFT(CH1395,8))),VALUE(LEFT(CH1395,4)),VALUE(LEFT(CH1395,FIND("-",CH1395)-1)))&lt;100,IF(AND(LEN(CH1395)=9,ISERROR(FIND("-",LEFT(CH1395,8))),ISNUMBER(-LEFT(CH1395,8))),VALUE(LEFT(CH1395,4)),VALUE(LEFT(CH1395,FIND("-",CH1395)-1)))+2000,IF(AND(LEN(CH1395)=9,ISERROR(FIND("-",LEFT(CH1395,8))),ISNUMBER(-LEFT(CH1395,8))),VALUE(LEFT(CH1395,4)),VALUE(LEFT(CH1395,FIND("-",CH1395)-1)))),""))</f>
        <v/>
      </c>
      <c r="CN1395">
        <f>IF(CH1395="","",IFERROR(IF(AND(LEN(CH1395)=9,ISERROR(FIND("-",LEFT(CH1395,8))),ISNUMBER(-LEFT(CH1395,8))),VALUE(MID(CH1395,5,2)),VALUE(MID(CH1395,FIND("-",CH1395)+1,FIND("-",CH1395,FIND("-",CH1395)+1)-FIND("-",CH1395)-1))),""))</f>
        <v/>
      </c>
      <c r="CO1395">
        <f>IF(CH1395="","",IFERROR(IF(AND(LEN(CH1395)=9,ISERROR(FIND("-",LEFT(CH1395,8))),ISNUMBER(-LEFT(CH1395,8))),VALUE(MID(CH1395,7,2)),VALUE(MID(CH1395,FIND("-",CH1395,FIND("-",CH1395)+1)+1,FIND("-",CH1395,FIND("-",CH1395,FIND("-",CH1395)+1)+1)-FIND("-",CH1395,FIND("-",CH1395)+1)-1))),""))</f>
        <v/>
      </c>
    </row>
    <row r="1396">
      <c r="CH1396">
        <f>IF(ISTEXT('월 가계부'!A1396),SUBSTITUTE(SUBSTITUTE(SUBSTITUTE(SUBSTITUTE(SUBSTITUTE(SUBSTITUTE(SUBSTITUTE(SUBSTITUTE(SUBSTITUTE(TRIM('월 가계부'!A1396),"년","-"),"월","-"),"일",""),".","-"),"/","-")," ","-"),"--","-"),"--","-"),"--","-")&amp;"-","")</f>
        <v/>
      </c>
      <c r="CI1396">
        <f>IFERROR(IF('월 가계부'!A1396="","",IF(ISNUMBER('월 가계부'!A1396),IF(AND('월 가계부'!A1396&gt;=19000101,'월 가계부'!A1396&lt;=21001231),IF(AND(MOD(INT('월 가계부'!A1396/100),100)&gt;=1,MOD(INT('월 가계부'!A1396/100),100)&lt;=12,MOD(INT('월 가계부'!A1396),100)&gt;=1,MOD(INT('월 가계부'!A1396),100)&lt;=31),IF(MONTH(DATE(INT('월 가계부'!A1396/10000),MOD(INT('월 가계부'!A1396/100),100),MOD(INT('월 가계부'!A1396),100)))=MOD(INT('월 가계부'!A1396/100),100),DATE(INT('월 가계부'!A1396/10000),MOD(INT('월 가계부'!A1396/100),100),MOD(INT('월 가계부'!A1396),100)),""),""),IF(AND('월 가계부'!A1396&gt;=36526,'월 가계부'!A1396&lt;73051),INT('월 가계부'!A1396),"")),IF(OR(CM1396="",CN1396="",CO1396=""),"",IF(AND(CM1396&gt;=2000,CM1396&lt;=2099,CN1396&gt;=1,CN1396&lt;=12,CO1396&gt;=1,CO1396&lt;=31),IF(MONTH(DATE(CM1396,CN1396,CO1396))=CN1396,DATE(CM1396,CN1396,CO1396),""),"")))),"")</f>
        <v/>
      </c>
      <c r="CJ1396">
        <f>IFERROR(IF('월 가계부'!C1396="","",IF(ISNUMBER('월 가계부'!C1396),'월 가계부'!C1396,VALUE(SUBSTITUTE(SUBSTITUTE(SUBSTITUTE(SUBSTITUTE(TRIM('월 가계부'!C1396),",",""),"원","")," ",""),"−","-")))),"")</f>
        <v/>
      </c>
      <c r="CK1396">
        <f>IF(ISNUMBER(CI1396),IF(CI1396&lt;$B$13,CI1396,""),"")</f>
        <v/>
      </c>
      <c r="CM1396">
        <f>IF(CH1396="","",IFERROR(IF(IF(AND(LEN(CH1396)=9,ISERROR(FIND("-",LEFT(CH1396,8))),ISNUMBER(-LEFT(CH1396,8))),VALUE(LEFT(CH1396,4)),VALUE(LEFT(CH1396,FIND("-",CH1396)-1)))&lt;100,IF(AND(LEN(CH1396)=9,ISERROR(FIND("-",LEFT(CH1396,8))),ISNUMBER(-LEFT(CH1396,8))),VALUE(LEFT(CH1396,4)),VALUE(LEFT(CH1396,FIND("-",CH1396)-1)))+2000,IF(AND(LEN(CH1396)=9,ISERROR(FIND("-",LEFT(CH1396,8))),ISNUMBER(-LEFT(CH1396,8))),VALUE(LEFT(CH1396,4)),VALUE(LEFT(CH1396,FIND("-",CH1396)-1)))),""))</f>
        <v/>
      </c>
      <c r="CN1396">
        <f>IF(CH1396="","",IFERROR(IF(AND(LEN(CH1396)=9,ISERROR(FIND("-",LEFT(CH1396,8))),ISNUMBER(-LEFT(CH1396,8))),VALUE(MID(CH1396,5,2)),VALUE(MID(CH1396,FIND("-",CH1396)+1,FIND("-",CH1396,FIND("-",CH1396)+1)-FIND("-",CH1396)-1))),""))</f>
        <v/>
      </c>
      <c r="CO1396">
        <f>IF(CH1396="","",IFERROR(IF(AND(LEN(CH1396)=9,ISERROR(FIND("-",LEFT(CH1396,8))),ISNUMBER(-LEFT(CH1396,8))),VALUE(MID(CH1396,7,2)),VALUE(MID(CH1396,FIND("-",CH1396,FIND("-",CH1396)+1)+1,FIND("-",CH1396,FIND("-",CH1396,FIND("-",CH1396)+1)+1)-FIND("-",CH1396,FIND("-",CH1396)+1)-1))),""))</f>
        <v/>
      </c>
    </row>
    <row r="1397">
      <c r="CH1397">
        <f>IF(ISTEXT('월 가계부'!A1397),SUBSTITUTE(SUBSTITUTE(SUBSTITUTE(SUBSTITUTE(SUBSTITUTE(SUBSTITUTE(SUBSTITUTE(SUBSTITUTE(SUBSTITUTE(TRIM('월 가계부'!A1397),"년","-"),"월","-"),"일",""),".","-"),"/","-")," ","-"),"--","-"),"--","-"),"--","-")&amp;"-","")</f>
        <v/>
      </c>
      <c r="CI1397">
        <f>IFERROR(IF('월 가계부'!A1397="","",IF(ISNUMBER('월 가계부'!A1397),IF(AND('월 가계부'!A1397&gt;=19000101,'월 가계부'!A1397&lt;=21001231),IF(AND(MOD(INT('월 가계부'!A1397/100),100)&gt;=1,MOD(INT('월 가계부'!A1397/100),100)&lt;=12,MOD(INT('월 가계부'!A1397),100)&gt;=1,MOD(INT('월 가계부'!A1397),100)&lt;=31),IF(MONTH(DATE(INT('월 가계부'!A1397/10000),MOD(INT('월 가계부'!A1397/100),100),MOD(INT('월 가계부'!A1397),100)))=MOD(INT('월 가계부'!A1397/100),100),DATE(INT('월 가계부'!A1397/10000),MOD(INT('월 가계부'!A1397/100),100),MOD(INT('월 가계부'!A1397),100)),""),""),IF(AND('월 가계부'!A1397&gt;=36526,'월 가계부'!A1397&lt;73051),INT('월 가계부'!A1397),"")),IF(OR(CM1397="",CN1397="",CO1397=""),"",IF(AND(CM1397&gt;=2000,CM1397&lt;=2099,CN1397&gt;=1,CN1397&lt;=12,CO1397&gt;=1,CO1397&lt;=31),IF(MONTH(DATE(CM1397,CN1397,CO1397))=CN1397,DATE(CM1397,CN1397,CO1397),""),"")))),"")</f>
        <v/>
      </c>
      <c r="CJ1397">
        <f>IFERROR(IF('월 가계부'!C1397="","",IF(ISNUMBER('월 가계부'!C1397),'월 가계부'!C1397,VALUE(SUBSTITUTE(SUBSTITUTE(SUBSTITUTE(SUBSTITUTE(TRIM('월 가계부'!C1397),",",""),"원","")," ",""),"−","-")))),"")</f>
        <v/>
      </c>
      <c r="CK1397">
        <f>IF(ISNUMBER(CI1397),IF(CI1397&lt;$B$13,CI1397,""),"")</f>
        <v/>
      </c>
      <c r="CM1397">
        <f>IF(CH1397="","",IFERROR(IF(IF(AND(LEN(CH1397)=9,ISERROR(FIND("-",LEFT(CH1397,8))),ISNUMBER(-LEFT(CH1397,8))),VALUE(LEFT(CH1397,4)),VALUE(LEFT(CH1397,FIND("-",CH1397)-1)))&lt;100,IF(AND(LEN(CH1397)=9,ISERROR(FIND("-",LEFT(CH1397,8))),ISNUMBER(-LEFT(CH1397,8))),VALUE(LEFT(CH1397,4)),VALUE(LEFT(CH1397,FIND("-",CH1397)-1)))+2000,IF(AND(LEN(CH1397)=9,ISERROR(FIND("-",LEFT(CH1397,8))),ISNUMBER(-LEFT(CH1397,8))),VALUE(LEFT(CH1397,4)),VALUE(LEFT(CH1397,FIND("-",CH1397)-1)))),""))</f>
        <v/>
      </c>
      <c r="CN1397">
        <f>IF(CH1397="","",IFERROR(IF(AND(LEN(CH1397)=9,ISERROR(FIND("-",LEFT(CH1397,8))),ISNUMBER(-LEFT(CH1397,8))),VALUE(MID(CH1397,5,2)),VALUE(MID(CH1397,FIND("-",CH1397)+1,FIND("-",CH1397,FIND("-",CH1397)+1)-FIND("-",CH1397)-1))),""))</f>
        <v/>
      </c>
      <c r="CO1397">
        <f>IF(CH1397="","",IFERROR(IF(AND(LEN(CH1397)=9,ISERROR(FIND("-",LEFT(CH1397,8))),ISNUMBER(-LEFT(CH1397,8))),VALUE(MID(CH1397,7,2)),VALUE(MID(CH1397,FIND("-",CH1397,FIND("-",CH1397)+1)+1,FIND("-",CH1397,FIND("-",CH1397,FIND("-",CH1397)+1)+1)-FIND("-",CH1397,FIND("-",CH1397)+1)-1))),""))</f>
        <v/>
      </c>
    </row>
    <row r="1398">
      <c r="CH1398">
        <f>IF(ISTEXT('월 가계부'!A1398),SUBSTITUTE(SUBSTITUTE(SUBSTITUTE(SUBSTITUTE(SUBSTITUTE(SUBSTITUTE(SUBSTITUTE(SUBSTITUTE(SUBSTITUTE(TRIM('월 가계부'!A1398),"년","-"),"월","-"),"일",""),".","-"),"/","-")," ","-"),"--","-"),"--","-"),"--","-")&amp;"-","")</f>
        <v/>
      </c>
      <c r="CI1398">
        <f>IFERROR(IF('월 가계부'!A1398="","",IF(ISNUMBER('월 가계부'!A1398),IF(AND('월 가계부'!A1398&gt;=19000101,'월 가계부'!A1398&lt;=21001231),IF(AND(MOD(INT('월 가계부'!A1398/100),100)&gt;=1,MOD(INT('월 가계부'!A1398/100),100)&lt;=12,MOD(INT('월 가계부'!A1398),100)&gt;=1,MOD(INT('월 가계부'!A1398),100)&lt;=31),IF(MONTH(DATE(INT('월 가계부'!A1398/10000),MOD(INT('월 가계부'!A1398/100),100),MOD(INT('월 가계부'!A1398),100)))=MOD(INT('월 가계부'!A1398/100),100),DATE(INT('월 가계부'!A1398/10000),MOD(INT('월 가계부'!A1398/100),100),MOD(INT('월 가계부'!A1398),100)),""),""),IF(AND('월 가계부'!A1398&gt;=36526,'월 가계부'!A1398&lt;73051),INT('월 가계부'!A1398),"")),IF(OR(CM1398="",CN1398="",CO1398=""),"",IF(AND(CM1398&gt;=2000,CM1398&lt;=2099,CN1398&gt;=1,CN1398&lt;=12,CO1398&gt;=1,CO1398&lt;=31),IF(MONTH(DATE(CM1398,CN1398,CO1398))=CN1398,DATE(CM1398,CN1398,CO1398),""),"")))),"")</f>
        <v/>
      </c>
      <c r="CJ1398">
        <f>IFERROR(IF('월 가계부'!C1398="","",IF(ISNUMBER('월 가계부'!C1398),'월 가계부'!C1398,VALUE(SUBSTITUTE(SUBSTITUTE(SUBSTITUTE(SUBSTITUTE(TRIM('월 가계부'!C1398),",",""),"원","")," ",""),"−","-")))),"")</f>
        <v/>
      </c>
      <c r="CK1398">
        <f>IF(ISNUMBER(CI1398),IF(CI1398&lt;$B$13,CI1398,""),"")</f>
        <v/>
      </c>
      <c r="CM1398">
        <f>IF(CH1398="","",IFERROR(IF(IF(AND(LEN(CH1398)=9,ISERROR(FIND("-",LEFT(CH1398,8))),ISNUMBER(-LEFT(CH1398,8))),VALUE(LEFT(CH1398,4)),VALUE(LEFT(CH1398,FIND("-",CH1398)-1)))&lt;100,IF(AND(LEN(CH1398)=9,ISERROR(FIND("-",LEFT(CH1398,8))),ISNUMBER(-LEFT(CH1398,8))),VALUE(LEFT(CH1398,4)),VALUE(LEFT(CH1398,FIND("-",CH1398)-1)))+2000,IF(AND(LEN(CH1398)=9,ISERROR(FIND("-",LEFT(CH1398,8))),ISNUMBER(-LEFT(CH1398,8))),VALUE(LEFT(CH1398,4)),VALUE(LEFT(CH1398,FIND("-",CH1398)-1)))),""))</f>
        <v/>
      </c>
      <c r="CN1398">
        <f>IF(CH1398="","",IFERROR(IF(AND(LEN(CH1398)=9,ISERROR(FIND("-",LEFT(CH1398,8))),ISNUMBER(-LEFT(CH1398,8))),VALUE(MID(CH1398,5,2)),VALUE(MID(CH1398,FIND("-",CH1398)+1,FIND("-",CH1398,FIND("-",CH1398)+1)-FIND("-",CH1398)-1))),""))</f>
        <v/>
      </c>
      <c r="CO1398">
        <f>IF(CH1398="","",IFERROR(IF(AND(LEN(CH1398)=9,ISERROR(FIND("-",LEFT(CH1398,8))),ISNUMBER(-LEFT(CH1398,8))),VALUE(MID(CH1398,7,2)),VALUE(MID(CH1398,FIND("-",CH1398,FIND("-",CH1398)+1)+1,FIND("-",CH1398,FIND("-",CH1398,FIND("-",CH1398)+1)+1)-FIND("-",CH1398,FIND("-",CH1398)+1)-1))),""))</f>
        <v/>
      </c>
    </row>
    <row r="1399">
      <c r="CH1399">
        <f>IF(ISTEXT('월 가계부'!A1399),SUBSTITUTE(SUBSTITUTE(SUBSTITUTE(SUBSTITUTE(SUBSTITUTE(SUBSTITUTE(SUBSTITUTE(SUBSTITUTE(SUBSTITUTE(TRIM('월 가계부'!A1399),"년","-"),"월","-"),"일",""),".","-"),"/","-")," ","-"),"--","-"),"--","-"),"--","-")&amp;"-","")</f>
        <v/>
      </c>
      <c r="CI1399">
        <f>IFERROR(IF('월 가계부'!A1399="","",IF(ISNUMBER('월 가계부'!A1399),IF(AND('월 가계부'!A1399&gt;=19000101,'월 가계부'!A1399&lt;=21001231),IF(AND(MOD(INT('월 가계부'!A1399/100),100)&gt;=1,MOD(INT('월 가계부'!A1399/100),100)&lt;=12,MOD(INT('월 가계부'!A1399),100)&gt;=1,MOD(INT('월 가계부'!A1399),100)&lt;=31),IF(MONTH(DATE(INT('월 가계부'!A1399/10000),MOD(INT('월 가계부'!A1399/100),100),MOD(INT('월 가계부'!A1399),100)))=MOD(INT('월 가계부'!A1399/100),100),DATE(INT('월 가계부'!A1399/10000),MOD(INT('월 가계부'!A1399/100),100),MOD(INT('월 가계부'!A1399),100)),""),""),IF(AND('월 가계부'!A1399&gt;=36526,'월 가계부'!A1399&lt;73051),INT('월 가계부'!A1399),"")),IF(OR(CM1399="",CN1399="",CO1399=""),"",IF(AND(CM1399&gt;=2000,CM1399&lt;=2099,CN1399&gt;=1,CN1399&lt;=12,CO1399&gt;=1,CO1399&lt;=31),IF(MONTH(DATE(CM1399,CN1399,CO1399))=CN1399,DATE(CM1399,CN1399,CO1399),""),"")))),"")</f>
        <v/>
      </c>
      <c r="CJ1399">
        <f>IFERROR(IF('월 가계부'!C1399="","",IF(ISNUMBER('월 가계부'!C1399),'월 가계부'!C1399,VALUE(SUBSTITUTE(SUBSTITUTE(SUBSTITUTE(SUBSTITUTE(TRIM('월 가계부'!C1399),",",""),"원","")," ",""),"−","-")))),"")</f>
        <v/>
      </c>
      <c r="CK1399">
        <f>IF(ISNUMBER(CI1399),IF(CI1399&lt;$B$13,CI1399,""),"")</f>
        <v/>
      </c>
      <c r="CM1399">
        <f>IF(CH1399="","",IFERROR(IF(IF(AND(LEN(CH1399)=9,ISERROR(FIND("-",LEFT(CH1399,8))),ISNUMBER(-LEFT(CH1399,8))),VALUE(LEFT(CH1399,4)),VALUE(LEFT(CH1399,FIND("-",CH1399)-1)))&lt;100,IF(AND(LEN(CH1399)=9,ISERROR(FIND("-",LEFT(CH1399,8))),ISNUMBER(-LEFT(CH1399,8))),VALUE(LEFT(CH1399,4)),VALUE(LEFT(CH1399,FIND("-",CH1399)-1)))+2000,IF(AND(LEN(CH1399)=9,ISERROR(FIND("-",LEFT(CH1399,8))),ISNUMBER(-LEFT(CH1399,8))),VALUE(LEFT(CH1399,4)),VALUE(LEFT(CH1399,FIND("-",CH1399)-1)))),""))</f>
        <v/>
      </c>
      <c r="CN1399">
        <f>IF(CH1399="","",IFERROR(IF(AND(LEN(CH1399)=9,ISERROR(FIND("-",LEFT(CH1399,8))),ISNUMBER(-LEFT(CH1399,8))),VALUE(MID(CH1399,5,2)),VALUE(MID(CH1399,FIND("-",CH1399)+1,FIND("-",CH1399,FIND("-",CH1399)+1)-FIND("-",CH1399)-1))),""))</f>
        <v/>
      </c>
      <c r="CO1399">
        <f>IF(CH1399="","",IFERROR(IF(AND(LEN(CH1399)=9,ISERROR(FIND("-",LEFT(CH1399,8))),ISNUMBER(-LEFT(CH1399,8))),VALUE(MID(CH1399,7,2)),VALUE(MID(CH1399,FIND("-",CH1399,FIND("-",CH1399)+1)+1,FIND("-",CH1399,FIND("-",CH1399,FIND("-",CH1399)+1)+1)-FIND("-",CH1399,FIND("-",CH1399)+1)-1))),""))</f>
        <v/>
      </c>
    </row>
    <row r="1400">
      <c r="CH1400">
        <f>IF(ISTEXT('월 가계부'!A1400),SUBSTITUTE(SUBSTITUTE(SUBSTITUTE(SUBSTITUTE(SUBSTITUTE(SUBSTITUTE(SUBSTITUTE(SUBSTITUTE(SUBSTITUTE(TRIM('월 가계부'!A1400),"년","-"),"월","-"),"일",""),".","-"),"/","-")," ","-"),"--","-"),"--","-"),"--","-")&amp;"-","")</f>
        <v/>
      </c>
      <c r="CI1400">
        <f>IFERROR(IF('월 가계부'!A1400="","",IF(ISNUMBER('월 가계부'!A1400),IF(AND('월 가계부'!A1400&gt;=19000101,'월 가계부'!A1400&lt;=21001231),IF(AND(MOD(INT('월 가계부'!A1400/100),100)&gt;=1,MOD(INT('월 가계부'!A1400/100),100)&lt;=12,MOD(INT('월 가계부'!A1400),100)&gt;=1,MOD(INT('월 가계부'!A1400),100)&lt;=31),IF(MONTH(DATE(INT('월 가계부'!A1400/10000),MOD(INT('월 가계부'!A1400/100),100),MOD(INT('월 가계부'!A1400),100)))=MOD(INT('월 가계부'!A1400/100),100),DATE(INT('월 가계부'!A1400/10000),MOD(INT('월 가계부'!A1400/100),100),MOD(INT('월 가계부'!A1400),100)),""),""),IF(AND('월 가계부'!A1400&gt;=36526,'월 가계부'!A1400&lt;73051),INT('월 가계부'!A1400),"")),IF(OR(CM1400="",CN1400="",CO1400=""),"",IF(AND(CM1400&gt;=2000,CM1400&lt;=2099,CN1400&gt;=1,CN1400&lt;=12,CO1400&gt;=1,CO1400&lt;=31),IF(MONTH(DATE(CM1400,CN1400,CO1400))=CN1400,DATE(CM1400,CN1400,CO1400),""),"")))),"")</f>
        <v/>
      </c>
      <c r="CJ1400">
        <f>IFERROR(IF('월 가계부'!C1400="","",IF(ISNUMBER('월 가계부'!C1400),'월 가계부'!C1400,VALUE(SUBSTITUTE(SUBSTITUTE(SUBSTITUTE(SUBSTITUTE(TRIM('월 가계부'!C1400),",",""),"원","")," ",""),"−","-")))),"")</f>
        <v/>
      </c>
      <c r="CK1400">
        <f>IF(ISNUMBER(CI1400),IF(CI1400&lt;$B$13,CI1400,""),"")</f>
        <v/>
      </c>
      <c r="CM1400">
        <f>IF(CH1400="","",IFERROR(IF(IF(AND(LEN(CH1400)=9,ISERROR(FIND("-",LEFT(CH1400,8))),ISNUMBER(-LEFT(CH1400,8))),VALUE(LEFT(CH1400,4)),VALUE(LEFT(CH1400,FIND("-",CH1400)-1)))&lt;100,IF(AND(LEN(CH1400)=9,ISERROR(FIND("-",LEFT(CH1400,8))),ISNUMBER(-LEFT(CH1400,8))),VALUE(LEFT(CH1400,4)),VALUE(LEFT(CH1400,FIND("-",CH1400)-1)))+2000,IF(AND(LEN(CH1400)=9,ISERROR(FIND("-",LEFT(CH1400,8))),ISNUMBER(-LEFT(CH1400,8))),VALUE(LEFT(CH1400,4)),VALUE(LEFT(CH1400,FIND("-",CH1400)-1)))),""))</f>
        <v/>
      </c>
      <c r="CN1400">
        <f>IF(CH1400="","",IFERROR(IF(AND(LEN(CH1400)=9,ISERROR(FIND("-",LEFT(CH1400,8))),ISNUMBER(-LEFT(CH1400,8))),VALUE(MID(CH1400,5,2)),VALUE(MID(CH1400,FIND("-",CH1400)+1,FIND("-",CH1400,FIND("-",CH1400)+1)-FIND("-",CH1400)-1))),""))</f>
        <v/>
      </c>
      <c r="CO1400">
        <f>IF(CH1400="","",IFERROR(IF(AND(LEN(CH1400)=9,ISERROR(FIND("-",LEFT(CH1400,8))),ISNUMBER(-LEFT(CH1400,8))),VALUE(MID(CH1400,7,2)),VALUE(MID(CH1400,FIND("-",CH1400,FIND("-",CH1400)+1)+1,FIND("-",CH1400,FIND("-",CH1400,FIND("-",CH1400)+1)+1)-FIND("-",CH1400,FIND("-",CH1400)+1)-1))),""))</f>
        <v/>
      </c>
    </row>
    <row r="1401">
      <c r="CH1401">
        <f>IF(ISTEXT('월 가계부'!A1401),SUBSTITUTE(SUBSTITUTE(SUBSTITUTE(SUBSTITUTE(SUBSTITUTE(SUBSTITUTE(SUBSTITUTE(SUBSTITUTE(SUBSTITUTE(TRIM('월 가계부'!A1401),"년","-"),"월","-"),"일",""),".","-"),"/","-")," ","-"),"--","-"),"--","-"),"--","-")&amp;"-","")</f>
        <v/>
      </c>
      <c r="CI1401">
        <f>IFERROR(IF('월 가계부'!A1401="","",IF(ISNUMBER('월 가계부'!A1401),IF(AND('월 가계부'!A1401&gt;=19000101,'월 가계부'!A1401&lt;=21001231),IF(AND(MOD(INT('월 가계부'!A1401/100),100)&gt;=1,MOD(INT('월 가계부'!A1401/100),100)&lt;=12,MOD(INT('월 가계부'!A1401),100)&gt;=1,MOD(INT('월 가계부'!A1401),100)&lt;=31),IF(MONTH(DATE(INT('월 가계부'!A1401/10000),MOD(INT('월 가계부'!A1401/100),100),MOD(INT('월 가계부'!A1401),100)))=MOD(INT('월 가계부'!A1401/100),100),DATE(INT('월 가계부'!A1401/10000),MOD(INT('월 가계부'!A1401/100),100),MOD(INT('월 가계부'!A1401),100)),""),""),IF(AND('월 가계부'!A1401&gt;=36526,'월 가계부'!A1401&lt;73051),INT('월 가계부'!A1401),"")),IF(OR(CM1401="",CN1401="",CO1401=""),"",IF(AND(CM1401&gt;=2000,CM1401&lt;=2099,CN1401&gt;=1,CN1401&lt;=12,CO1401&gt;=1,CO1401&lt;=31),IF(MONTH(DATE(CM1401,CN1401,CO1401))=CN1401,DATE(CM1401,CN1401,CO1401),""),"")))),"")</f>
        <v/>
      </c>
      <c r="CJ1401">
        <f>IFERROR(IF('월 가계부'!C1401="","",IF(ISNUMBER('월 가계부'!C1401),'월 가계부'!C1401,VALUE(SUBSTITUTE(SUBSTITUTE(SUBSTITUTE(SUBSTITUTE(TRIM('월 가계부'!C1401),",",""),"원","")," ",""),"−","-")))),"")</f>
        <v/>
      </c>
      <c r="CK1401">
        <f>IF(ISNUMBER(CI1401),IF(CI1401&lt;$B$13,CI1401,""),"")</f>
        <v/>
      </c>
      <c r="CM1401">
        <f>IF(CH1401="","",IFERROR(IF(IF(AND(LEN(CH1401)=9,ISERROR(FIND("-",LEFT(CH1401,8))),ISNUMBER(-LEFT(CH1401,8))),VALUE(LEFT(CH1401,4)),VALUE(LEFT(CH1401,FIND("-",CH1401)-1)))&lt;100,IF(AND(LEN(CH1401)=9,ISERROR(FIND("-",LEFT(CH1401,8))),ISNUMBER(-LEFT(CH1401,8))),VALUE(LEFT(CH1401,4)),VALUE(LEFT(CH1401,FIND("-",CH1401)-1)))+2000,IF(AND(LEN(CH1401)=9,ISERROR(FIND("-",LEFT(CH1401,8))),ISNUMBER(-LEFT(CH1401,8))),VALUE(LEFT(CH1401,4)),VALUE(LEFT(CH1401,FIND("-",CH1401)-1)))),""))</f>
        <v/>
      </c>
      <c r="CN1401">
        <f>IF(CH1401="","",IFERROR(IF(AND(LEN(CH1401)=9,ISERROR(FIND("-",LEFT(CH1401,8))),ISNUMBER(-LEFT(CH1401,8))),VALUE(MID(CH1401,5,2)),VALUE(MID(CH1401,FIND("-",CH1401)+1,FIND("-",CH1401,FIND("-",CH1401)+1)-FIND("-",CH1401)-1))),""))</f>
        <v/>
      </c>
      <c r="CO1401">
        <f>IF(CH1401="","",IFERROR(IF(AND(LEN(CH1401)=9,ISERROR(FIND("-",LEFT(CH1401,8))),ISNUMBER(-LEFT(CH1401,8))),VALUE(MID(CH1401,7,2)),VALUE(MID(CH1401,FIND("-",CH1401,FIND("-",CH1401)+1)+1,FIND("-",CH1401,FIND("-",CH1401,FIND("-",CH1401)+1)+1)-FIND("-",CH1401,FIND("-",CH1401)+1)-1))),""))</f>
        <v/>
      </c>
    </row>
    <row r="1402">
      <c r="CH1402">
        <f>IF(ISTEXT('월 가계부'!A1402),SUBSTITUTE(SUBSTITUTE(SUBSTITUTE(SUBSTITUTE(SUBSTITUTE(SUBSTITUTE(SUBSTITUTE(SUBSTITUTE(SUBSTITUTE(TRIM('월 가계부'!A1402),"년","-"),"월","-"),"일",""),".","-"),"/","-")," ","-"),"--","-"),"--","-"),"--","-")&amp;"-","")</f>
        <v/>
      </c>
      <c r="CI1402">
        <f>IFERROR(IF('월 가계부'!A1402="","",IF(ISNUMBER('월 가계부'!A1402),IF(AND('월 가계부'!A1402&gt;=19000101,'월 가계부'!A1402&lt;=21001231),IF(AND(MOD(INT('월 가계부'!A1402/100),100)&gt;=1,MOD(INT('월 가계부'!A1402/100),100)&lt;=12,MOD(INT('월 가계부'!A1402),100)&gt;=1,MOD(INT('월 가계부'!A1402),100)&lt;=31),IF(MONTH(DATE(INT('월 가계부'!A1402/10000),MOD(INT('월 가계부'!A1402/100),100),MOD(INT('월 가계부'!A1402),100)))=MOD(INT('월 가계부'!A1402/100),100),DATE(INT('월 가계부'!A1402/10000),MOD(INT('월 가계부'!A1402/100),100),MOD(INT('월 가계부'!A1402),100)),""),""),IF(AND('월 가계부'!A1402&gt;=36526,'월 가계부'!A1402&lt;73051),INT('월 가계부'!A1402),"")),IF(OR(CM1402="",CN1402="",CO1402=""),"",IF(AND(CM1402&gt;=2000,CM1402&lt;=2099,CN1402&gt;=1,CN1402&lt;=12,CO1402&gt;=1,CO1402&lt;=31),IF(MONTH(DATE(CM1402,CN1402,CO1402))=CN1402,DATE(CM1402,CN1402,CO1402),""),"")))),"")</f>
        <v/>
      </c>
      <c r="CJ1402">
        <f>IFERROR(IF('월 가계부'!C1402="","",IF(ISNUMBER('월 가계부'!C1402),'월 가계부'!C1402,VALUE(SUBSTITUTE(SUBSTITUTE(SUBSTITUTE(SUBSTITUTE(TRIM('월 가계부'!C1402),",",""),"원","")," ",""),"−","-")))),"")</f>
        <v/>
      </c>
      <c r="CK1402">
        <f>IF(ISNUMBER(CI1402),IF(CI1402&lt;$B$13,CI1402,""),"")</f>
        <v/>
      </c>
      <c r="CM1402">
        <f>IF(CH1402="","",IFERROR(IF(IF(AND(LEN(CH1402)=9,ISERROR(FIND("-",LEFT(CH1402,8))),ISNUMBER(-LEFT(CH1402,8))),VALUE(LEFT(CH1402,4)),VALUE(LEFT(CH1402,FIND("-",CH1402)-1)))&lt;100,IF(AND(LEN(CH1402)=9,ISERROR(FIND("-",LEFT(CH1402,8))),ISNUMBER(-LEFT(CH1402,8))),VALUE(LEFT(CH1402,4)),VALUE(LEFT(CH1402,FIND("-",CH1402)-1)))+2000,IF(AND(LEN(CH1402)=9,ISERROR(FIND("-",LEFT(CH1402,8))),ISNUMBER(-LEFT(CH1402,8))),VALUE(LEFT(CH1402,4)),VALUE(LEFT(CH1402,FIND("-",CH1402)-1)))),""))</f>
        <v/>
      </c>
      <c r="CN1402">
        <f>IF(CH1402="","",IFERROR(IF(AND(LEN(CH1402)=9,ISERROR(FIND("-",LEFT(CH1402,8))),ISNUMBER(-LEFT(CH1402,8))),VALUE(MID(CH1402,5,2)),VALUE(MID(CH1402,FIND("-",CH1402)+1,FIND("-",CH1402,FIND("-",CH1402)+1)-FIND("-",CH1402)-1))),""))</f>
        <v/>
      </c>
      <c r="CO1402">
        <f>IF(CH1402="","",IFERROR(IF(AND(LEN(CH1402)=9,ISERROR(FIND("-",LEFT(CH1402,8))),ISNUMBER(-LEFT(CH1402,8))),VALUE(MID(CH1402,7,2)),VALUE(MID(CH1402,FIND("-",CH1402,FIND("-",CH1402)+1)+1,FIND("-",CH1402,FIND("-",CH1402,FIND("-",CH1402)+1)+1)-FIND("-",CH1402,FIND("-",CH1402)+1)-1))),""))</f>
        <v/>
      </c>
    </row>
    <row r="1403">
      <c r="CH1403">
        <f>IF(ISTEXT('월 가계부'!A1403),SUBSTITUTE(SUBSTITUTE(SUBSTITUTE(SUBSTITUTE(SUBSTITUTE(SUBSTITUTE(SUBSTITUTE(SUBSTITUTE(SUBSTITUTE(TRIM('월 가계부'!A1403),"년","-"),"월","-"),"일",""),".","-"),"/","-")," ","-"),"--","-"),"--","-"),"--","-")&amp;"-","")</f>
        <v/>
      </c>
      <c r="CI1403">
        <f>IFERROR(IF('월 가계부'!A1403="","",IF(ISNUMBER('월 가계부'!A1403),IF(AND('월 가계부'!A1403&gt;=19000101,'월 가계부'!A1403&lt;=21001231),IF(AND(MOD(INT('월 가계부'!A1403/100),100)&gt;=1,MOD(INT('월 가계부'!A1403/100),100)&lt;=12,MOD(INT('월 가계부'!A1403),100)&gt;=1,MOD(INT('월 가계부'!A1403),100)&lt;=31),IF(MONTH(DATE(INT('월 가계부'!A1403/10000),MOD(INT('월 가계부'!A1403/100),100),MOD(INT('월 가계부'!A1403),100)))=MOD(INT('월 가계부'!A1403/100),100),DATE(INT('월 가계부'!A1403/10000),MOD(INT('월 가계부'!A1403/100),100),MOD(INT('월 가계부'!A1403),100)),""),""),IF(AND('월 가계부'!A1403&gt;=36526,'월 가계부'!A1403&lt;73051),INT('월 가계부'!A1403),"")),IF(OR(CM1403="",CN1403="",CO1403=""),"",IF(AND(CM1403&gt;=2000,CM1403&lt;=2099,CN1403&gt;=1,CN1403&lt;=12,CO1403&gt;=1,CO1403&lt;=31),IF(MONTH(DATE(CM1403,CN1403,CO1403))=CN1403,DATE(CM1403,CN1403,CO1403),""),"")))),"")</f>
        <v/>
      </c>
      <c r="CJ1403">
        <f>IFERROR(IF('월 가계부'!C1403="","",IF(ISNUMBER('월 가계부'!C1403),'월 가계부'!C1403,VALUE(SUBSTITUTE(SUBSTITUTE(SUBSTITUTE(SUBSTITUTE(TRIM('월 가계부'!C1403),",",""),"원","")," ",""),"−","-")))),"")</f>
        <v/>
      </c>
      <c r="CK1403">
        <f>IF(ISNUMBER(CI1403),IF(CI1403&lt;$B$13,CI1403,""),"")</f>
        <v/>
      </c>
      <c r="CM1403">
        <f>IF(CH1403="","",IFERROR(IF(IF(AND(LEN(CH1403)=9,ISERROR(FIND("-",LEFT(CH1403,8))),ISNUMBER(-LEFT(CH1403,8))),VALUE(LEFT(CH1403,4)),VALUE(LEFT(CH1403,FIND("-",CH1403)-1)))&lt;100,IF(AND(LEN(CH1403)=9,ISERROR(FIND("-",LEFT(CH1403,8))),ISNUMBER(-LEFT(CH1403,8))),VALUE(LEFT(CH1403,4)),VALUE(LEFT(CH1403,FIND("-",CH1403)-1)))+2000,IF(AND(LEN(CH1403)=9,ISERROR(FIND("-",LEFT(CH1403,8))),ISNUMBER(-LEFT(CH1403,8))),VALUE(LEFT(CH1403,4)),VALUE(LEFT(CH1403,FIND("-",CH1403)-1)))),""))</f>
        <v/>
      </c>
      <c r="CN1403">
        <f>IF(CH1403="","",IFERROR(IF(AND(LEN(CH1403)=9,ISERROR(FIND("-",LEFT(CH1403,8))),ISNUMBER(-LEFT(CH1403,8))),VALUE(MID(CH1403,5,2)),VALUE(MID(CH1403,FIND("-",CH1403)+1,FIND("-",CH1403,FIND("-",CH1403)+1)-FIND("-",CH1403)-1))),""))</f>
        <v/>
      </c>
      <c r="CO1403">
        <f>IF(CH1403="","",IFERROR(IF(AND(LEN(CH1403)=9,ISERROR(FIND("-",LEFT(CH1403,8))),ISNUMBER(-LEFT(CH1403,8))),VALUE(MID(CH1403,7,2)),VALUE(MID(CH1403,FIND("-",CH1403,FIND("-",CH1403)+1)+1,FIND("-",CH1403,FIND("-",CH1403,FIND("-",CH1403)+1)+1)-FIND("-",CH1403,FIND("-",CH1403)+1)-1))),""))</f>
        <v/>
      </c>
    </row>
    <row r="1404">
      <c r="CH1404">
        <f>IF(ISTEXT('월 가계부'!A1404),SUBSTITUTE(SUBSTITUTE(SUBSTITUTE(SUBSTITUTE(SUBSTITUTE(SUBSTITUTE(SUBSTITUTE(SUBSTITUTE(SUBSTITUTE(TRIM('월 가계부'!A1404),"년","-"),"월","-"),"일",""),".","-"),"/","-")," ","-"),"--","-"),"--","-"),"--","-")&amp;"-","")</f>
        <v/>
      </c>
      <c r="CI1404">
        <f>IFERROR(IF('월 가계부'!A1404="","",IF(ISNUMBER('월 가계부'!A1404),IF(AND('월 가계부'!A1404&gt;=19000101,'월 가계부'!A1404&lt;=21001231),IF(AND(MOD(INT('월 가계부'!A1404/100),100)&gt;=1,MOD(INT('월 가계부'!A1404/100),100)&lt;=12,MOD(INT('월 가계부'!A1404),100)&gt;=1,MOD(INT('월 가계부'!A1404),100)&lt;=31),IF(MONTH(DATE(INT('월 가계부'!A1404/10000),MOD(INT('월 가계부'!A1404/100),100),MOD(INT('월 가계부'!A1404),100)))=MOD(INT('월 가계부'!A1404/100),100),DATE(INT('월 가계부'!A1404/10000),MOD(INT('월 가계부'!A1404/100),100),MOD(INT('월 가계부'!A1404),100)),""),""),IF(AND('월 가계부'!A1404&gt;=36526,'월 가계부'!A1404&lt;73051),INT('월 가계부'!A1404),"")),IF(OR(CM1404="",CN1404="",CO1404=""),"",IF(AND(CM1404&gt;=2000,CM1404&lt;=2099,CN1404&gt;=1,CN1404&lt;=12,CO1404&gt;=1,CO1404&lt;=31),IF(MONTH(DATE(CM1404,CN1404,CO1404))=CN1404,DATE(CM1404,CN1404,CO1404),""),"")))),"")</f>
        <v/>
      </c>
      <c r="CJ1404">
        <f>IFERROR(IF('월 가계부'!C1404="","",IF(ISNUMBER('월 가계부'!C1404),'월 가계부'!C1404,VALUE(SUBSTITUTE(SUBSTITUTE(SUBSTITUTE(SUBSTITUTE(TRIM('월 가계부'!C1404),",",""),"원","")," ",""),"−","-")))),"")</f>
        <v/>
      </c>
      <c r="CK1404">
        <f>IF(ISNUMBER(CI1404),IF(CI1404&lt;$B$13,CI1404,""),"")</f>
        <v/>
      </c>
      <c r="CM1404">
        <f>IF(CH1404="","",IFERROR(IF(IF(AND(LEN(CH1404)=9,ISERROR(FIND("-",LEFT(CH1404,8))),ISNUMBER(-LEFT(CH1404,8))),VALUE(LEFT(CH1404,4)),VALUE(LEFT(CH1404,FIND("-",CH1404)-1)))&lt;100,IF(AND(LEN(CH1404)=9,ISERROR(FIND("-",LEFT(CH1404,8))),ISNUMBER(-LEFT(CH1404,8))),VALUE(LEFT(CH1404,4)),VALUE(LEFT(CH1404,FIND("-",CH1404)-1)))+2000,IF(AND(LEN(CH1404)=9,ISERROR(FIND("-",LEFT(CH1404,8))),ISNUMBER(-LEFT(CH1404,8))),VALUE(LEFT(CH1404,4)),VALUE(LEFT(CH1404,FIND("-",CH1404)-1)))),""))</f>
        <v/>
      </c>
      <c r="CN1404">
        <f>IF(CH1404="","",IFERROR(IF(AND(LEN(CH1404)=9,ISERROR(FIND("-",LEFT(CH1404,8))),ISNUMBER(-LEFT(CH1404,8))),VALUE(MID(CH1404,5,2)),VALUE(MID(CH1404,FIND("-",CH1404)+1,FIND("-",CH1404,FIND("-",CH1404)+1)-FIND("-",CH1404)-1))),""))</f>
        <v/>
      </c>
      <c r="CO1404">
        <f>IF(CH1404="","",IFERROR(IF(AND(LEN(CH1404)=9,ISERROR(FIND("-",LEFT(CH1404,8))),ISNUMBER(-LEFT(CH1404,8))),VALUE(MID(CH1404,7,2)),VALUE(MID(CH1404,FIND("-",CH1404,FIND("-",CH1404)+1)+1,FIND("-",CH1404,FIND("-",CH1404,FIND("-",CH1404)+1)+1)-FIND("-",CH1404,FIND("-",CH1404)+1)-1))),""))</f>
        <v/>
      </c>
    </row>
    <row r="1405">
      <c r="CH1405">
        <f>IF(ISTEXT('월 가계부'!A1405),SUBSTITUTE(SUBSTITUTE(SUBSTITUTE(SUBSTITUTE(SUBSTITUTE(SUBSTITUTE(SUBSTITUTE(SUBSTITUTE(SUBSTITUTE(TRIM('월 가계부'!A1405),"년","-"),"월","-"),"일",""),".","-"),"/","-")," ","-"),"--","-"),"--","-"),"--","-")&amp;"-","")</f>
        <v/>
      </c>
      <c r="CI1405">
        <f>IFERROR(IF('월 가계부'!A1405="","",IF(ISNUMBER('월 가계부'!A1405),IF(AND('월 가계부'!A1405&gt;=19000101,'월 가계부'!A1405&lt;=21001231),IF(AND(MOD(INT('월 가계부'!A1405/100),100)&gt;=1,MOD(INT('월 가계부'!A1405/100),100)&lt;=12,MOD(INT('월 가계부'!A1405),100)&gt;=1,MOD(INT('월 가계부'!A1405),100)&lt;=31),IF(MONTH(DATE(INT('월 가계부'!A1405/10000),MOD(INT('월 가계부'!A1405/100),100),MOD(INT('월 가계부'!A1405),100)))=MOD(INT('월 가계부'!A1405/100),100),DATE(INT('월 가계부'!A1405/10000),MOD(INT('월 가계부'!A1405/100),100),MOD(INT('월 가계부'!A1405),100)),""),""),IF(AND('월 가계부'!A1405&gt;=36526,'월 가계부'!A1405&lt;73051),INT('월 가계부'!A1405),"")),IF(OR(CM1405="",CN1405="",CO1405=""),"",IF(AND(CM1405&gt;=2000,CM1405&lt;=2099,CN1405&gt;=1,CN1405&lt;=12,CO1405&gt;=1,CO1405&lt;=31),IF(MONTH(DATE(CM1405,CN1405,CO1405))=CN1405,DATE(CM1405,CN1405,CO1405),""),"")))),"")</f>
        <v/>
      </c>
      <c r="CJ1405">
        <f>IFERROR(IF('월 가계부'!C1405="","",IF(ISNUMBER('월 가계부'!C1405),'월 가계부'!C1405,VALUE(SUBSTITUTE(SUBSTITUTE(SUBSTITUTE(SUBSTITUTE(TRIM('월 가계부'!C1405),",",""),"원","")," ",""),"−","-")))),"")</f>
        <v/>
      </c>
      <c r="CK1405">
        <f>IF(ISNUMBER(CI1405),IF(CI1405&lt;$B$13,CI1405,""),"")</f>
        <v/>
      </c>
      <c r="CM1405">
        <f>IF(CH1405="","",IFERROR(IF(IF(AND(LEN(CH1405)=9,ISERROR(FIND("-",LEFT(CH1405,8))),ISNUMBER(-LEFT(CH1405,8))),VALUE(LEFT(CH1405,4)),VALUE(LEFT(CH1405,FIND("-",CH1405)-1)))&lt;100,IF(AND(LEN(CH1405)=9,ISERROR(FIND("-",LEFT(CH1405,8))),ISNUMBER(-LEFT(CH1405,8))),VALUE(LEFT(CH1405,4)),VALUE(LEFT(CH1405,FIND("-",CH1405)-1)))+2000,IF(AND(LEN(CH1405)=9,ISERROR(FIND("-",LEFT(CH1405,8))),ISNUMBER(-LEFT(CH1405,8))),VALUE(LEFT(CH1405,4)),VALUE(LEFT(CH1405,FIND("-",CH1405)-1)))),""))</f>
        <v/>
      </c>
      <c r="CN1405">
        <f>IF(CH1405="","",IFERROR(IF(AND(LEN(CH1405)=9,ISERROR(FIND("-",LEFT(CH1405,8))),ISNUMBER(-LEFT(CH1405,8))),VALUE(MID(CH1405,5,2)),VALUE(MID(CH1405,FIND("-",CH1405)+1,FIND("-",CH1405,FIND("-",CH1405)+1)-FIND("-",CH1405)-1))),""))</f>
        <v/>
      </c>
      <c r="CO1405">
        <f>IF(CH1405="","",IFERROR(IF(AND(LEN(CH1405)=9,ISERROR(FIND("-",LEFT(CH1405,8))),ISNUMBER(-LEFT(CH1405,8))),VALUE(MID(CH1405,7,2)),VALUE(MID(CH1405,FIND("-",CH1405,FIND("-",CH1405)+1)+1,FIND("-",CH1405,FIND("-",CH1405,FIND("-",CH1405)+1)+1)-FIND("-",CH1405,FIND("-",CH1405)+1)-1))),""))</f>
        <v/>
      </c>
    </row>
    <row r="1406">
      <c r="CH1406">
        <f>IF(ISTEXT('월 가계부'!A1406),SUBSTITUTE(SUBSTITUTE(SUBSTITUTE(SUBSTITUTE(SUBSTITUTE(SUBSTITUTE(SUBSTITUTE(SUBSTITUTE(SUBSTITUTE(TRIM('월 가계부'!A1406),"년","-"),"월","-"),"일",""),".","-"),"/","-")," ","-"),"--","-"),"--","-"),"--","-")&amp;"-","")</f>
        <v/>
      </c>
      <c r="CI1406">
        <f>IFERROR(IF('월 가계부'!A1406="","",IF(ISNUMBER('월 가계부'!A1406),IF(AND('월 가계부'!A1406&gt;=19000101,'월 가계부'!A1406&lt;=21001231),IF(AND(MOD(INT('월 가계부'!A1406/100),100)&gt;=1,MOD(INT('월 가계부'!A1406/100),100)&lt;=12,MOD(INT('월 가계부'!A1406),100)&gt;=1,MOD(INT('월 가계부'!A1406),100)&lt;=31),IF(MONTH(DATE(INT('월 가계부'!A1406/10000),MOD(INT('월 가계부'!A1406/100),100),MOD(INT('월 가계부'!A1406),100)))=MOD(INT('월 가계부'!A1406/100),100),DATE(INT('월 가계부'!A1406/10000),MOD(INT('월 가계부'!A1406/100),100),MOD(INT('월 가계부'!A1406),100)),""),""),IF(AND('월 가계부'!A1406&gt;=36526,'월 가계부'!A1406&lt;73051),INT('월 가계부'!A1406),"")),IF(OR(CM1406="",CN1406="",CO1406=""),"",IF(AND(CM1406&gt;=2000,CM1406&lt;=2099,CN1406&gt;=1,CN1406&lt;=12,CO1406&gt;=1,CO1406&lt;=31),IF(MONTH(DATE(CM1406,CN1406,CO1406))=CN1406,DATE(CM1406,CN1406,CO1406),""),"")))),"")</f>
        <v/>
      </c>
      <c r="CJ1406">
        <f>IFERROR(IF('월 가계부'!C1406="","",IF(ISNUMBER('월 가계부'!C1406),'월 가계부'!C1406,VALUE(SUBSTITUTE(SUBSTITUTE(SUBSTITUTE(SUBSTITUTE(TRIM('월 가계부'!C1406),",",""),"원","")," ",""),"−","-")))),"")</f>
        <v/>
      </c>
      <c r="CK1406">
        <f>IF(ISNUMBER(CI1406),IF(CI1406&lt;$B$13,CI1406,""),"")</f>
        <v/>
      </c>
      <c r="CM1406">
        <f>IF(CH1406="","",IFERROR(IF(IF(AND(LEN(CH1406)=9,ISERROR(FIND("-",LEFT(CH1406,8))),ISNUMBER(-LEFT(CH1406,8))),VALUE(LEFT(CH1406,4)),VALUE(LEFT(CH1406,FIND("-",CH1406)-1)))&lt;100,IF(AND(LEN(CH1406)=9,ISERROR(FIND("-",LEFT(CH1406,8))),ISNUMBER(-LEFT(CH1406,8))),VALUE(LEFT(CH1406,4)),VALUE(LEFT(CH1406,FIND("-",CH1406)-1)))+2000,IF(AND(LEN(CH1406)=9,ISERROR(FIND("-",LEFT(CH1406,8))),ISNUMBER(-LEFT(CH1406,8))),VALUE(LEFT(CH1406,4)),VALUE(LEFT(CH1406,FIND("-",CH1406)-1)))),""))</f>
        <v/>
      </c>
      <c r="CN1406">
        <f>IF(CH1406="","",IFERROR(IF(AND(LEN(CH1406)=9,ISERROR(FIND("-",LEFT(CH1406,8))),ISNUMBER(-LEFT(CH1406,8))),VALUE(MID(CH1406,5,2)),VALUE(MID(CH1406,FIND("-",CH1406)+1,FIND("-",CH1406,FIND("-",CH1406)+1)-FIND("-",CH1406)-1))),""))</f>
        <v/>
      </c>
      <c r="CO1406">
        <f>IF(CH1406="","",IFERROR(IF(AND(LEN(CH1406)=9,ISERROR(FIND("-",LEFT(CH1406,8))),ISNUMBER(-LEFT(CH1406,8))),VALUE(MID(CH1406,7,2)),VALUE(MID(CH1406,FIND("-",CH1406,FIND("-",CH1406)+1)+1,FIND("-",CH1406,FIND("-",CH1406,FIND("-",CH1406)+1)+1)-FIND("-",CH1406,FIND("-",CH1406)+1)-1))),""))</f>
        <v/>
      </c>
    </row>
    <row r="1407">
      <c r="CH1407">
        <f>IF(ISTEXT('월 가계부'!A1407),SUBSTITUTE(SUBSTITUTE(SUBSTITUTE(SUBSTITUTE(SUBSTITUTE(SUBSTITUTE(SUBSTITUTE(SUBSTITUTE(SUBSTITUTE(TRIM('월 가계부'!A1407),"년","-"),"월","-"),"일",""),".","-"),"/","-")," ","-"),"--","-"),"--","-"),"--","-")&amp;"-","")</f>
        <v/>
      </c>
      <c r="CI1407">
        <f>IFERROR(IF('월 가계부'!A1407="","",IF(ISNUMBER('월 가계부'!A1407),IF(AND('월 가계부'!A1407&gt;=19000101,'월 가계부'!A1407&lt;=21001231),IF(AND(MOD(INT('월 가계부'!A1407/100),100)&gt;=1,MOD(INT('월 가계부'!A1407/100),100)&lt;=12,MOD(INT('월 가계부'!A1407),100)&gt;=1,MOD(INT('월 가계부'!A1407),100)&lt;=31),IF(MONTH(DATE(INT('월 가계부'!A1407/10000),MOD(INT('월 가계부'!A1407/100),100),MOD(INT('월 가계부'!A1407),100)))=MOD(INT('월 가계부'!A1407/100),100),DATE(INT('월 가계부'!A1407/10000),MOD(INT('월 가계부'!A1407/100),100),MOD(INT('월 가계부'!A1407),100)),""),""),IF(AND('월 가계부'!A1407&gt;=36526,'월 가계부'!A1407&lt;73051),INT('월 가계부'!A1407),"")),IF(OR(CM1407="",CN1407="",CO1407=""),"",IF(AND(CM1407&gt;=2000,CM1407&lt;=2099,CN1407&gt;=1,CN1407&lt;=12,CO1407&gt;=1,CO1407&lt;=31),IF(MONTH(DATE(CM1407,CN1407,CO1407))=CN1407,DATE(CM1407,CN1407,CO1407),""),"")))),"")</f>
        <v/>
      </c>
      <c r="CJ1407">
        <f>IFERROR(IF('월 가계부'!C1407="","",IF(ISNUMBER('월 가계부'!C1407),'월 가계부'!C1407,VALUE(SUBSTITUTE(SUBSTITUTE(SUBSTITUTE(SUBSTITUTE(TRIM('월 가계부'!C1407),",",""),"원","")," ",""),"−","-")))),"")</f>
        <v/>
      </c>
      <c r="CK1407">
        <f>IF(ISNUMBER(CI1407),IF(CI1407&lt;$B$13,CI1407,""),"")</f>
        <v/>
      </c>
      <c r="CM1407">
        <f>IF(CH1407="","",IFERROR(IF(IF(AND(LEN(CH1407)=9,ISERROR(FIND("-",LEFT(CH1407,8))),ISNUMBER(-LEFT(CH1407,8))),VALUE(LEFT(CH1407,4)),VALUE(LEFT(CH1407,FIND("-",CH1407)-1)))&lt;100,IF(AND(LEN(CH1407)=9,ISERROR(FIND("-",LEFT(CH1407,8))),ISNUMBER(-LEFT(CH1407,8))),VALUE(LEFT(CH1407,4)),VALUE(LEFT(CH1407,FIND("-",CH1407)-1)))+2000,IF(AND(LEN(CH1407)=9,ISERROR(FIND("-",LEFT(CH1407,8))),ISNUMBER(-LEFT(CH1407,8))),VALUE(LEFT(CH1407,4)),VALUE(LEFT(CH1407,FIND("-",CH1407)-1)))),""))</f>
        <v/>
      </c>
      <c r="CN1407">
        <f>IF(CH1407="","",IFERROR(IF(AND(LEN(CH1407)=9,ISERROR(FIND("-",LEFT(CH1407,8))),ISNUMBER(-LEFT(CH1407,8))),VALUE(MID(CH1407,5,2)),VALUE(MID(CH1407,FIND("-",CH1407)+1,FIND("-",CH1407,FIND("-",CH1407)+1)-FIND("-",CH1407)-1))),""))</f>
        <v/>
      </c>
      <c r="CO1407">
        <f>IF(CH1407="","",IFERROR(IF(AND(LEN(CH1407)=9,ISERROR(FIND("-",LEFT(CH1407,8))),ISNUMBER(-LEFT(CH1407,8))),VALUE(MID(CH1407,7,2)),VALUE(MID(CH1407,FIND("-",CH1407,FIND("-",CH1407)+1)+1,FIND("-",CH1407,FIND("-",CH1407,FIND("-",CH1407)+1)+1)-FIND("-",CH1407,FIND("-",CH1407)+1)-1))),""))</f>
        <v/>
      </c>
    </row>
    <row r="1408">
      <c r="CH1408">
        <f>IF(ISTEXT('월 가계부'!A1408),SUBSTITUTE(SUBSTITUTE(SUBSTITUTE(SUBSTITUTE(SUBSTITUTE(SUBSTITUTE(SUBSTITUTE(SUBSTITUTE(SUBSTITUTE(TRIM('월 가계부'!A1408),"년","-"),"월","-"),"일",""),".","-"),"/","-")," ","-"),"--","-"),"--","-"),"--","-")&amp;"-","")</f>
        <v/>
      </c>
      <c r="CI1408">
        <f>IFERROR(IF('월 가계부'!A1408="","",IF(ISNUMBER('월 가계부'!A1408),IF(AND('월 가계부'!A1408&gt;=19000101,'월 가계부'!A1408&lt;=21001231),IF(AND(MOD(INT('월 가계부'!A1408/100),100)&gt;=1,MOD(INT('월 가계부'!A1408/100),100)&lt;=12,MOD(INT('월 가계부'!A1408),100)&gt;=1,MOD(INT('월 가계부'!A1408),100)&lt;=31),IF(MONTH(DATE(INT('월 가계부'!A1408/10000),MOD(INT('월 가계부'!A1408/100),100),MOD(INT('월 가계부'!A1408),100)))=MOD(INT('월 가계부'!A1408/100),100),DATE(INT('월 가계부'!A1408/10000),MOD(INT('월 가계부'!A1408/100),100),MOD(INT('월 가계부'!A1408),100)),""),""),IF(AND('월 가계부'!A1408&gt;=36526,'월 가계부'!A1408&lt;73051),INT('월 가계부'!A1408),"")),IF(OR(CM1408="",CN1408="",CO1408=""),"",IF(AND(CM1408&gt;=2000,CM1408&lt;=2099,CN1408&gt;=1,CN1408&lt;=12,CO1408&gt;=1,CO1408&lt;=31),IF(MONTH(DATE(CM1408,CN1408,CO1408))=CN1408,DATE(CM1408,CN1408,CO1408),""),"")))),"")</f>
        <v/>
      </c>
      <c r="CJ1408">
        <f>IFERROR(IF('월 가계부'!C1408="","",IF(ISNUMBER('월 가계부'!C1408),'월 가계부'!C1408,VALUE(SUBSTITUTE(SUBSTITUTE(SUBSTITUTE(SUBSTITUTE(TRIM('월 가계부'!C1408),",",""),"원","")," ",""),"−","-")))),"")</f>
        <v/>
      </c>
      <c r="CK1408">
        <f>IF(ISNUMBER(CI1408),IF(CI1408&lt;$B$13,CI1408,""),"")</f>
        <v/>
      </c>
      <c r="CM1408">
        <f>IF(CH1408="","",IFERROR(IF(IF(AND(LEN(CH1408)=9,ISERROR(FIND("-",LEFT(CH1408,8))),ISNUMBER(-LEFT(CH1408,8))),VALUE(LEFT(CH1408,4)),VALUE(LEFT(CH1408,FIND("-",CH1408)-1)))&lt;100,IF(AND(LEN(CH1408)=9,ISERROR(FIND("-",LEFT(CH1408,8))),ISNUMBER(-LEFT(CH1408,8))),VALUE(LEFT(CH1408,4)),VALUE(LEFT(CH1408,FIND("-",CH1408)-1)))+2000,IF(AND(LEN(CH1408)=9,ISERROR(FIND("-",LEFT(CH1408,8))),ISNUMBER(-LEFT(CH1408,8))),VALUE(LEFT(CH1408,4)),VALUE(LEFT(CH1408,FIND("-",CH1408)-1)))),""))</f>
        <v/>
      </c>
      <c r="CN1408">
        <f>IF(CH1408="","",IFERROR(IF(AND(LEN(CH1408)=9,ISERROR(FIND("-",LEFT(CH1408,8))),ISNUMBER(-LEFT(CH1408,8))),VALUE(MID(CH1408,5,2)),VALUE(MID(CH1408,FIND("-",CH1408)+1,FIND("-",CH1408,FIND("-",CH1408)+1)-FIND("-",CH1408)-1))),""))</f>
        <v/>
      </c>
      <c r="CO1408">
        <f>IF(CH1408="","",IFERROR(IF(AND(LEN(CH1408)=9,ISERROR(FIND("-",LEFT(CH1408,8))),ISNUMBER(-LEFT(CH1408,8))),VALUE(MID(CH1408,7,2)),VALUE(MID(CH1408,FIND("-",CH1408,FIND("-",CH1408)+1)+1,FIND("-",CH1408,FIND("-",CH1408,FIND("-",CH1408)+1)+1)-FIND("-",CH1408,FIND("-",CH1408)+1)-1))),""))</f>
        <v/>
      </c>
    </row>
    <row r="1409">
      <c r="CH1409">
        <f>IF(ISTEXT('월 가계부'!A1409),SUBSTITUTE(SUBSTITUTE(SUBSTITUTE(SUBSTITUTE(SUBSTITUTE(SUBSTITUTE(SUBSTITUTE(SUBSTITUTE(SUBSTITUTE(TRIM('월 가계부'!A1409),"년","-"),"월","-"),"일",""),".","-"),"/","-")," ","-"),"--","-"),"--","-"),"--","-")&amp;"-","")</f>
        <v/>
      </c>
      <c r="CI1409">
        <f>IFERROR(IF('월 가계부'!A1409="","",IF(ISNUMBER('월 가계부'!A1409),IF(AND('월 가계부'!A1409&gt;=19000101,'월 가계부'!A1409&lt;=21001231),IF(AND(MOD(INT('월 가계부'!A1409/100),100)&gt;=1,MOD(INT('월 가계부'!A1409/100),100)&lt;=12,MOD(INT('월 가계부'!A1409),100)&gt;=1,MOD(INT('월 가계부'!A1409),100)&lt;=31),IF(MONTH(DATE(INT('월 가계부'!A1409/10000),MOD(INT('월 가계부'!A1409/100),100),MOD(INT('월 가계부'!A1409),100)))=MOD(INT('월 가계부'!A1409/100),100),DATE(INT('월 가계부'!A1409/10000),MOD(INT('월 가계부'!A1409/100),100),MOD(INT('월 가계부'!A1409),100)),""),""),IF(AND('월 가계부'!A1409&gt;=36526,'월 가계부'!A1409&lt;73051),INT('월 가계부'!A1409),"")),IF(OR(CM1409="",CN1409="",CO1409=""),"",IF(AND(CM1409&gt;=2000,CM1409&lt;=2099,CN1409&gt;=1,CN1409&lt;=12,CO1409&gt;=1,CO1409&lt;=31),IF(MONTH(DATE(CM1409,CN1409,CO1409))=CN1409,DATE(CM1409,CN1409,CO1409),""),"")))),"")</f>
        <v/>
      </c>
      <c r="CJ1409">
        <f>IFERROR(IF('월 가계부'!C1409="","",IF(ISNUMBER('월 가계부'!C1409),'월 가계부'!C1409,VALUE(SUBSTITUTE(SUBSTITUTE(SUBSTITUTE(SUBSTITUTE(TRIM('월 가계부'!C1409),",",""),"원","")," ",""),"−","-")))),"")</f>
        <v/>
      </c>
      <c r="CK1409">
        <f>IF(ISNUMBER(CI1409),IF(CI1409&lt;$B$13,CI1409,""),"")</f>
        <v/>
      </c>
      <c r="CM1409">
        <f>IF(CH1409="","",IFERROR(IF(IF(AND(LEN(CH1409)=9,ISERROR(FIND("-",LEFT(CH1409,8))),ISNUMBER(-LEFT(CH1409,8))),VALUE(LEFT(CH1409,4)),VALUE(LEFT(CH1409,FIND("-",CH1409)-1)))&lt;100,IF(AND(LEN(CH1409)=9,ISERROR(FIND("-",LEFT(CH1409,8))),ISNUMBER(-LEFT(CH1409,8))),VALUE(LEFT(CH1409,4)),VALUE(LEFT(CH1409,FIND("-",CH1409)-1)))+2000,IF(AND(LEN(CH1409)=9,ISERROR(FIND("-",LEFT(CH1409,8))),ISNUMBER(-LEFT(CH1409,8))),VALUE(LEFT(CH1409,4)),VALUE(LEFT(CH1409,FIND("-",CH1409)-1)))),""))</f>
        <v/>
      </c>
      <c r="CN1409">
        <f>IF(CH1409="","",IFERROR(IF(AND(LEN(CH1409)=9,ISERROR(FIND("-",LEFT(CH1409,8))),ISNUMBER(-LEFT(CH1409,8))),VALUE(MID(CH1409,5,2)),VALUE(MID(CH1409,FIND("-",CH1409)+1,FIND("-",CH1409,FIND("-",CH1409)+1)-FIND("-",CH1409)-1))),""))</f>
        <v/>
      </c>
      <c r="CO1409">
        <f>IF(CH1409="","",IFERROR(IF(AND(LEN(CH1409)=9,ISERROR(FIND("-",LEFT(CH1409,8))),ISNUMBER(-LEFT(CH1409,8))),VALUE(MID(CH1409,7,2)),VALUE(MID(CH1409,FIND("-",CH1409,FIND("-",CH1409)+1)+1,FIND("-",CH1409,FIND("-",CH1409,FIND("-",CH1409)+1)+1)-FIND("-",CH1409,FIND("-",CH1409)+1)-1))),""))</f>
        <v/>
      </c>
    </row>
    <row r="1410">
      <c r="CH1410">
        <f>IF(ISTEXT('월 가계부'!A1410),SUBSTITUTE(SUBSTITUTE(SUBSTITUTE(SUBSTITUTE(SUBSTITUTE(SUBSTITUTE(SUBSTITUTE(SUBSTITUTE(SUBSTITUTE(TRIM('월 가계부'!A1410),"년","-"),"월","-"),"일",""),".","-"),"/","-")," ","-"),"--","-"),"--","-"),"--","-")&amp;"-","")</f>
        <v/>
      </c>
      <c r="CI1410">
        <f>IFERROR(IF('월 가계부'!A1410="","",IF(ISNUMBER('월 가계부'!A1410),IF(AND('월 가계부'!A1410&gt;=19000101,'월 가계부'!A1410&lt;=21001231),IF(AND(MOD(INT('월 가계부'!A1410/100),100)&gt;=1,MOD(INT('월 가계부'!A1410/100),100)&lt;=12,MOD(INT('월 가계부'!A1410),100)&gt;=1,MOD(INT('월 가계부'!A1410),100)&lt;=31),IF(MONTH(DATE(INT('월 가계부'!A1410/10000),MOD(INT('월 가계부'!A1410/100),100),MOD(INT('월 가계부'!A1410),100)))=MOD(INT('월 가계부'!A1410/100),100),DATE(INT('월 가계부'!A1410/10000),MOD(INT('월 가계부'!A1410/100),100),MOD(INT('월 가계부'!A1410),100)),""),""),IF(AND('월 가계부'!A1410&gt;=36526,'월 가계부'!A1410&lt;73051),INT('월 가계부'!A1410),"")),IF(OR(CM1410="",CN1410="",CO1410=""),"",IF(AND(CM1410&gt;=2000,CM1410&lt;=2099,CN1410&gt;=1,CN1410&lt;=12,CO1410&gt;=1,CO1410&lt;=31),IF(MONTH(DATE(CM1410,CN1410,CO1410))=CN1410,DATE(CM1410,CN1410,CO1410),""),"")))),"")</f>
        <v/>
      </c>
      <c r="CJ1410">
        <f>IFERROR(IF('월 가계부'!C1410="","",IF(ISNUMBER('월 가계부'!C1410),'월 가계부'!C1410,VALUE(SUBSTITUTE(SUBSTITUTE(SUBSTITUTE(SUBSTITUTE(TRIM('월 가계부'!C1410),",",""),"원","")," ",""),"−","-")))),"")</f>
        <v/>
      </c>
      <c r="CK1410">
        <f>IF(ISNUMBER(CI1410),IF(CI1410&lt;$B$13,CI1410,""),"")</f>
        <v/>
      </c>
      <c r="CM1410">
        <f>IF(CH1410="","",IFERROR(IF(IF(AND(LEN(CH1410)=9,ISERROR(FIND("-",LEFT(CH1410,8))),ISNUMBER(-LEFT(CH1410,8))),VALUE(LEFT(CH1410,4)),VALUE(LEFT(CH1410,FIND("-",CH1410)-1)))&lt;100,IF(AND(LEN(CH1410)=9,ISERROR(FIND("-",LEFT(CH1410,8))),ISNUMBER(-LEFT(CH1410,8))),VALUE(LEFT(CH1410,4)),VALUE(LEFT(CH1410,FIND("-",CH1410)-1)))+2000,IF(AND(LEN(CH1410)=9,ISERROR(FIND("-",LEFT(CH1410,8))),ISNUMBER(-LEFT(CH1410,8))),VALUE(LEFT(CH1410,4)),VALUE(LEFT(CH1410,FIND("-",CH1410)-1)))),""))</f>
        <v/>
      </c>
      <c r="CN1410">
        <f>IF(CH1410="","",IFERROR(IF(AND(LEN(CH1410)=9,ISERROR(FIND("-",LEFT(CH1410,8))),ISNUMBER(-LEFT(CH1410,8))),VALUE(MID(CH1410,5,2)),VALUE(MID(CH1410,FIND("-",CH1410)+1,FIND("-",CH1410,FIND("-",CH1410)+1)-FIND("-",CH1410)-1))),""))</f>
        <v/>
      </c>
      <c r="CO1410">
        <f>IF(CH1410="","",IFERROR(IF(AND(LEN(CH1410)=9,ISERROR(FIND("-",LEFT(CH1410,8))),ISNUMBER(-LEFT(CH1410,8))),VALUE(MID(CH1410,7,2)),VALUE(MID(CH1410,FIND("-",CH1410,FIND("-",CH1410)+1)+1,FIND("-",CH1410,FIND("-",CH1410,FIND("-",CH1410)+1)+1)-FIND("-",CH1410,FIND("-",CH1410)+1)-1))),""))</f>
        <v/>
      </c>
    </row>
    <row r="1411">
      <c r="CH1411">
        <f>IF(ISTEXT('월 가계부'!A1411),SUBSTITUTE(SUBSTITUTE(SUBSTITUTE(SUBSTITUTE(SUBSTITUTE(SUBSTITUTE(SUBSTITUTE(SUBSTITUTE(SUBSTITUTE(TRIM('월 가계부'!A1411),"년","-"),"월","-"),"일",""),".","-"),"/","-")," ","-"),"--","-"),"--","-"),"--","-")&amp;"-","")</f>
        <v/>
      </c>
      <c r="CI1411">
        <f>IFERROR(IF('월 가계부'!A1411="","",IF(ISNUMBER('월 가계부'!A1411),IF(AND('월 가계부'!A1411&gt;=19000101,'월 가계부'!A1411&lt;=21001231),IF(AND(MOD(INT('월 가계부'!A1411/100),100)&gt;=1,MOD(INT('월 가계부'!A1411/100),100)&lt;=12,MOD(INT('월 가계부'!A1411),100)&gt;=1,MOD(INT('월 가계부'!A1411),100)&lt;=31),IF(MONTH(DATE(INT('월 가계부'!A1411/10000),MOD(INT('월 가계부'!A1411/100),100),MOD(INT('월 가계부'!A1411),100)))=MOD(INT('월 가계부'!A1411/100),100),DATE(INT('월 가계부'!A1411/10000),MOD(INT('월 가계부'!A1411/100),100),MOD(INT('월 가계부'!A1411),100)),""),""),IF(AND('월 가계부'!A1411&gt;=36526,'월 가계부'!A1411&lt;73051),INT('월 가계부'!A1411),"")),IF(OR(CM1411="",CN1411="",CO1411=""),"",IF(AND(CM1411&gt;=2000,CM1411&lt;=2099,CN1411&gt;=1,CN1411&lt;=12,CO1411&gt;=1,CO1411&lt;=31),IF(MONTH(DATE(CM1411,CN1411,CO1411))=CN1411,DATE(CM1411,CN1411,CO1411),""),"")))),"")</f>
        <v/>
      </c>
      <c r="CJ1411">
        <f>IFERROR(IF('월 가계부'!C1411="","",IF(ISNUMBER('월 가계부'!C1411),'월 가계부'!C1411,VALUE(SUBSTITUTE(SUBSTITUTE(SUBSTITUTE(SUBSTITUTE(TRIM('월 가계부'!C1411),",",""),"원","")," ",""),"−","-")))),"")</f>
        <v/>
      </c>
      <c r="CK1411">
        <f>IF(ISNUMBER(CI1411),IF(CI1411&lt;$B$13,CI1411,""),"")</f>
        <v/>
      </c>
      <c r="CM1411">
        <f>IF(CH1411="","",IFERROR(IF(IF(AND(LEN(CH1411)=9,ISERROR(FIND("-",LEFT(CH1411,8))),ISNUMBER(-LEFT(CH1411,8))),VALUE(LEFT(CH1411,4)),VALUE(LEFT(CH1411,FIND("-",CH1411)-1)))&lt;100,IF(AND(LEN(CH1411)=9,ISERROR(FIND("-",LEFT(CH1411,8))),ISNUMBER(-LEFT(CH1411,8))),VALUE(LEFT(CH1411,4)),VALUE(LEFT(CH1411,FIND("-",CH1411)-1)))+2000,IF(AND(LEN(CH1411)=9,ISERROR(FIND("-",LEFT(CH1411,8))),ISNUMBER(-LEFT(CH1411,8))),VALUE(LEFT(CH1411,4)),VALUE(LEFT(CH1411,FIND("-",CH1411)-1)))),""))</f>
        <v/>
      </c>
      <c r="CN1411">
        <f>IF(CH1411="","",IFERROR(IF(AND(LEN(CH1411)=9,ISERROR(FIND("-",LEFT(CH1411,8))),ISNUMBER(-LEFT(CH1411,8))),VALUE(MID(CH1411,5,2)),VALUE(MID(CH1411,FIND("-",CH1411)+1,FIND("-",CH1411,FIND("-",CH1411)+1)-FIND("-",CH1411)-1))),""))</f>
        <v/>
      </c>
      <c r="CO1411">
        <f>IF(CH1411="","",IFERROR(IF(AND(LEN(CH1411)=9,ISERROR(FIND("-",LEFT(CH1411,8))),ISNUMBER(-LEFT(CH1411,8))),VALUE(MID(CH1411,7,2)),VALUE(MID(CH1411,FIND("-",CH1411,FIND("-",CH1411)+1)+1,FIND("-",CH1411,FIND("-",CH1411,FIND("-",CH1411)+1)+1)-FIND("-",CH1411,FIND("-",CH1411)+1)-1))),""))</f>
        <v/>
      </c>
    </row>
    <row r="1412">
      <c r="CH1412">
        <f>IF(ISTEXT('월 가계부'!A1412),SUBSTITUTE(SUBSTITUTE(SUBSTITUTE(SUBSTITUTE(SUBSTITUTE(SUBSTITUTE(SUBSTITUTE(SUBSTITUTE(SUBSTITUTE(TRIM('월 가계부'!A1412),"년","-"),"월","-"),"일",""),".","-"),"/","-")," ","-"),"--","-"),"--","-"),"--","-")&amp;"-","")</f>
        <v/>
      </c>
      <c r="CI1412">
        <f>IFERROR(IF('월 가계부'!A1412="","",IF(ISNUMBER('월 가계부'!A1412),IF(AND('월 가계부'!A1412&gt;=19000101,'월 가계부'!A1412&lt;=21001231),IF(AND(MOD(INT('월 가계부'!A1412/100),100)&gt;=1,MOD(INT('월 가계부'!A1412/100),100)&lt;=12,MOD(INT('월 가계부'!A1412),100)&gt;=1,MOD(INT('월 가계부'!A1412),100)&lt;=31),IF(MONTH(DATE(INT('월 가계부'!A1412/10000),MOD(INT('월 가계부'!A1412/100),100),MOD(INT('월 가계부'!A1412),100)))=MOD(INT('월 가계부'!A1412/100),100),DATE(INT('월 가계부'!A1412/10000),MOD(INT('월 가계부'!A1412/100),100),MOD(INT('월 가계부'!A1412),100)),""),""),IF(AND('월 가계부'!A1412&gt;=36526,'월 가계부'!A1412&lt;73051),INT('월 가계부'!A1412),"")),IF(OR(CM1412="",CN1412="",CO1412=""),"",IF(AND(CM1412&gt;=2000,CM1412&lt;=2099,CN1412&gt;=1,CN1412&lt;=12,CO1412&gt;=1,CO1412&lt;=31),IF(MONTH(DATE(CM1412,CN1412,CO1412))=CN1412,DATE(CM1412,CN1412,CO1412),""),"")))),"")</f>
        <v/>
      </c>
      <c r="CJ1412">
        <f>IFERROR(IF('월 가계부'!C1412="","",IF(ISNUMBER('월 가계부'!C1412),'월 가계부'!C1412,VALUE(SUBSTITUTE(SUBSTITUTE(SUBSTITUTE(SUBSTITUTE(TRIM('월 가계부'!C1412),",",""),"원","")," ",""),"−","-")))),"")</f>
        <v/>
      </c>
      <c r="CK1412">
        <f>IF(ISNUMBER(CI1412),IF(CI1412&lt;$B$13,CI1412,""),"")</f>
        <v/>
      </c>
      <c r="CM1412">
        <f>IF(CH1412="","",IFERROR(IF(IF(AND(LEN(CH1412)=9,ISERROR(FIND("-",LEFT(CH1412,8))),ISNUMBER(-LEFT(CH1412,8))),VALUE(LEFT(CH1412,4)),VALUE(LEFT(CH1412,FIND("-",CH1412)-1)))&lt;100,IF(AND(LEN(CH1412)=9,ISERROR(FIND("-",LEFT(CH1412,8))),ISNUMBER(-LEFT(CH1412,8))),VALUE(LEFT(CH1412,4)),VALUE(LEFT(CH1412,FIND("-",CH1412)-1)))+2000,IF(AND(LEN(CH1412)=9,ISERROR(FIND("-",LEFT(CH1412,8))),ISNUMBER(-LEFT(CH1412,8))),VALUE(LEFT(CH1412,4)),VALUE(LEFT(CH1412,FIND("-",CH1412)-1)))),""))</f>
        <v/>
      </c>
      <c r="CN1412">
        <f>IF(CH1412="","",IFERROR(IF(AND(LEN(CH1412)=9,ISERROR(FIND("-",LEFT(CH1412,8))),ISNUMBER(-LEFT(CH1412,8))),VALUE(MID(CH1412,5,2)),VALUE(MID(CH1412,FIND("-",CH1412)+1,FIND("-",CH1412,FIND("-",CH1412)+1)-FIND("-",CH1412)-1))),""))</f>
        <v/>
      </c>
      <c r="CO1412">
        <f>IF(CH1412="","",IFERROR(IF(AND(LEN(CH1412)=9,ISERROR(FIND("-",LEFT(CH1412,8))),ISNUMBER(-LEFT(CH1412,8))),VALUE(MID(CH1412,7,2)),VALUE(MID(CH1412,FIND("-",CH1412,FIND("-",CH1412)+1)+1,FIND("-",CH1412,FIND("-",CH1412,FIND("-",CH1412)+1)+1)-FIND("-",CH1412,FIND("-",CH1412)+1)-1))),""))</f>
        <v/>
      </c>
    </row>
    <row r="1413">
      <c r="CH1413">
        <f>IF(ISTEXT('월 가계부'!A1413),SUBSTITUTE(SUBSTITUTE(SUBSTITUTE(SUBSTITUTE(SUBSTITUTE(SUBSTITUTE(SUBSTITUTE(SUBSTITUTE(SUBSTITUTE(TRIM('월 가계부'!A1413),"년","-"),"월","-"),"일",""),".","-"),"/","-")," ","-"),"--","-"),"--","-"),"--","-")&amp;"-","")</f>
        <v/>
      </c>
      <c r="CI1413">
        <f>IFERROR(IF('월 가계부'!A1413="","",IF(ISNUMBER('월 가계부'!A1413),IF(AND('월 가계부'!A1413&gt;=19000101,'월 가계부'!A1413&lt;=21001231),IF(AND(MOD(INT('월 가계부'!A1413/100),100)&gt;=1,MOD(INT('월 가계부'!A1413/100),100)&lt;=12,MOD(INT('월 가계부'!A1413),100)&gt;=1,MOD(INT('월 가계부'!A1413),100)&lt;=31),IF(MONTH(DATE(INT('월 가계부'!A1413/10000),MOD(INT('월 가계부'!A1413/100),100),MOD(INT('월 가계부'!A1413),100)))=MOD(INT('월 가계부'!A1413/100),100),DATE(INT('월 가계부'!A1413/10000),MOD(INT('월 가계부'!A1413/100),100),MOD(INT('월 가계부'!A1413),100)),""),""),IF(AND('월 가계부'!A1413&gt;=36526,'월 가계부'!A1413&lt;73051),INT('월 가계부'!A1413),"")),IF(OR(CM1413="",CN1413="",CO1413=""),"",IF(AND(CM1413&gt;=2000,CM1413&lt;=2099,CN1413&gt;=1,CN1413&lt;=12,CO1413&gt;=1,CO1413&lt;=31),IF(MONTH(DATE(CM1413,CN1413,CO1413))=CN1413,DATE(CM1413,CN1413,CO1413),""),"")))),"")</f>
        <v/>
      </c>
      <c r="CJ1413">
        <f>IFERROR(IF('월 가계부'!C1413="","",IF(ISNUMBER('월 가계부'!C1413),'월 가계부'!C1413,VALUE(SUBSTITUTE(SUBSTITUTE(SUBSTITUTE(SUBSTITUTE(TRIM('월 가계부'!C1413),",",""),"원","")," ",""),"−","-")))),"")</f>
        <v/>
      </c>
      <c r="CK1413">
        <f>IF(ISNUMBER(CI1413),IF(CI1413&lt;$B$13,CI1413,""),"")</f>
        <v/>
      </c>
      <c r="CM1413">
        <f>IF(CH1413="","",IFERROR(IF(IF(AND(LEN(CH1413)=9,ISERROR(FIND("-",LEFT(CH1413,8))),ISNUMBER(-LEFT(CH1413,8))),VALUE(LEFT(CH1413,4)),VALUE(LEFT(CH1413,FIND("-",CH1413)-1)))&lt;100,IF(AND(LEN(CH1413)=9,ISERROR(FIND("-",LEFT(CH1413,8))),ISNUMBER(-LEFT(CH1413,8))),VALUE(LEFT(CH1413,4)),VALUE(LEFT(CH1413,FIND("-",CH1413)-1)))+2000,IF(AND(LEN(CH1413)=9,ISERROR(FIND("-",LEFT(CH1413,8))),ISNUMBER(-LEFT(CH1413,8))),VALUE(LEFT(CH1413,4)),VALUE(LEFT(CH1413,FIND("-",CH1413)-1)))),""))</f>
        <v/>
      </c>
      <c r="CN1413">
        <f>IF(CH1413="","",IFERROR(IF(AND(LEN(CH1413)=9,ISERROR(FIND("-",LEFT(CH1413,8))),ISNUMBER(-LEFT(CH1413,8))),VALUE(MID(CH1413,5,2)),VALUE(MID(CH1413,FIND("-",CH1413)+1,FIND("-",CH1413,FIND("-",CH1413)+1)-FIND("-",CH1413)-1))),""))</f>
        <v/>
      </c>
      <c r="CO1413">
        <f>IF(CH1413="","",IFERROR(IF(AND(LEN(CH1413)=9,ISERROR(FIND("-",LEFT(CH1413,8))),ISNUMBER(-LEFT(CH1413,8))),VALUE(MID(CH1413,7,2)),VALUE(MID(CH1413,FIND("-",CH1413,FIND("-",CH1413)+1)+1,FIND("-",CH1413,FIND("-",CH1413,FIND("-",CH1413)+1)+1)-FIND("-",CH1413,FIND("-",CH1413)+1)-1))),""))</f>
        <v/>
      </c>
    </row>
    <row r="1414">
      <c r="CH1414">
        <f>IF(ISTEXT('월 가계부'!A1414),SUBSTITUTE(SUBSTITUTE(SUBSTITUTE(SUBSTITUTE(SUBSTITUTE(SUBSTITUTE(SUBSTITUTE(SUBSTITUTE(SUBSTITUTE(TRIM('월 가계부'!A1414),"년","-"),"월","-"),"일",""),".","-"),"/","-")," ","-"),"--","-"),"--","-"),"--","-")&amp;"-","")</f>
        <v/>
      </c>
      <c r="CI1414">
        <f>IFERROR(IF('월 가계부'!A1414="","",IF(ISNUMBER('월 가계부'!A1414),IF(AND('월 가계부'!A1414&gt;=19000101,'월 가계부'!A1414&lt;=21001231),IF(AND(MOD(INT('월 가계부'!A1414/100),100)&gt;=1,MOD(INT('월 가계부'!A1414/100),100)&lt;=12,MOD(INT('월 가계부'!A1414),100)&gt;=1,MOD(INT('월 가계부'!A1414),100)&lt;=31),IF(MONTH(DATE(INT('월 가계부'!A1414/10000),MOD(INT('월 가계부'!A1414/100),100),MOD(INT('월 가계부'!A1414),100)))=MOD(INT('월 가계부'!A1414/100),100),DATE(INT('월 가계부'!A1414/10000),MOD(INT('월 가계부'!A1414/100),100),MOD(INT('월 가계부'!A1414),100)),""),""),IF(AND('월 가계부'!A1414&gt;=36526,'월 가계부'!A1414&lt;73051),INT('월 가계부'!A1414),"")),IF(OR(CM1414="",CN1414="",CO1414=""),"",IF(AND(CM1414&gt;=2000,CM1414&lt;=2099,CN1414&gt;=1,CN1414&lt;=12,CO1414&gt;=1,CO1414&lt;=31),IF(MONTH(DATE(CM1414,CN1414,CO1414))=CN1414,DATE(CM1414,CN1414,CO1414),""),"")))),"")</f>
        <v/>
      </c>
      <c r="CJ1414">
        <f>IFERROR(IF('월 가계부'!C1414="","",IF(ISNUMBER('월 가계부'!C1414),'월 가계부'!C1414,VALUE(SUBSTITUTE(SUBSTITUTE(SUBSTITUTE(SUBSTITUTE(TRIM('월 가계부'!C1414),",",""),"원","")," ",""),"−","-")))),"")</f>
        <v/>
      </c>
      <c r="CK1414">
        <f>IF(ISNUMBER(CI1414),IF(CI1414&lt;$B$13,CI1414,""),"")</f>
        <v/>
      </c>
      <c r="CM1414">
        <f>IF(CH1414="","",IFERROR(IF(IF(AND(LEN(CH1414)=9,ISERROR(FIND("-",LEFT(CH1414,8))),ISNUMBER(-LEFT(CH1414,8))),VALUE(LEFT(CH1414,4)),VALUE(LEFT(CH1414,FIND("-",CH1414)-1)))&lt;100,IF(AND(LEN(CH1414)=9,ISERROR(FIND("-",LEFT(CH1414,8))),ISNUMBER(-LEFT(CH1414,8))),VALUE(LEFT(CH1414,4)),VALUE(LEFT(CH1414,FIND("-",CH1414)-1)))+2000,IF(AND(LEN(CH1414)=9,ISERROR(FIND("-",LEFT(CH1414,8))),ISNUMBER(-LEFT(CH1414,8))),VALUE(LEFT(CH1414,4)),VALUE(LEFT(CH1414,FIND("-",CH1414)-1)))),""))</f>
        <v/>
      </c>
      <c r="CN1414">
        <f>IF(CH1414="","",IFERROR(IF(AND(LEN(CH1414)=9,ISERROR(FIND("-",LEFT(CH1414,8))),ISNUMBER(-LEFT(CH1414,8))),VALUE(MID(CH1414,5,2)),VALUE(MID(CH1414,FIND("-",CH1414)+1,FIND("-",CH1414,FIND("-",CH1414)+1)-FIND("-",CH1414)-1))),""))</f>
        <v/>
      </c>
      <c r="CO1414">
        <f>IF(CH1414="","",IFERROR(IF(AND(LEN(CH1414)=9,ISERROR(FIND("-",LEFT(CH1414,8))),ISNUMBER(-LEFT(CH1414,8))),VALUE(MID(CH1414,7,2)),VALUE(MID(CH1414,FIND("-",CH1414,FIND("-",CH1414)+1)+1,FIND("-",CH1414,FIND("-",CH1414,FIND("-",CH1414)+1)+1)-FIND("-",CH1414,FIND("-",CH1414)+1)-1))),""))</f>
        <v/>
      </c>
    </row>
    <row r="1415">
      <c r="CH1415">
        <f>IF(ISTEXT('월 가계부'!A1415),SUBSTITUTE(SUBSTITUTE(SUBSTITUTE(SUBSTITUTE(SUBSTITUTE(SUBSTITUTE(SUBSTITUTE(SUBSTITUTE(SUBSTITUTE(TRIM('월 가계부'!A1415),"년","-"),"월","-"),"일",""),".","-"),"/","-")," ","-"),"--","-"),"--","-"),"--","-")&amp;"-","")</f>
        <v/>
      </c>
      <c r="CI1415">
        <f>IFERROR(IF('월 가계부'!A1415="","",IF(ISNUMBER('월 가계부'!A1415),IF(AND('월 가계부'!A1415&gt;=19000101,'월 가계부'!A1415&lt;=21001231),IF(AND(MOD(INT('월 가계부'!A1415/100),100)&gt;=1,MOD(INT('월 가계부'!A1415/100),100)&lt;=12,MOD(INT('월 가계부'!A1415),100)&gt;=1,MOD(INT('월 가계부'!A1415),100)&lt;=31),IF(MONTH(DATE(INT('월 가계부'!A1415/10000),MOD(INT('월 가계부'!A1415/100),100),MOD(INT('월 가계부'!A1415),100)))=MOD(INT('월 가계부'!A1415/100),100),DATE(INT('월 가계부'!A1415/10000),MOD(INT('월 가계부'!A1415/100),100),MOD(INT('월 가계부'!A1415),100)),""),""),IF(AND('월 가계부'!A1415&gt;=36526,'월 가계부'!A1415&lt;73051),INT('월 가계부'!A1415),"")),IF(OR(CM1415="",CN1415="",CO1415=""),"",IF(AND(CM1415&gt;=2000,CM1415&lt;=2099,CN1415&gt;=1,CN1415&lt;=12,CO1415&gt;=1,CO1415&lt;=31),IF(MONTH(DATE(CM1415,CN1415,CO1415))=CN1415,DATE(CM1415,CN1415,CO1415),""),"")))),"")</f>
        <v/>
      </c>
      <c r="CJ1415">
        <f>IFERROR(IF('월 가계부'!C1415="","",IF(ISNUMBER('월 가계부'!C1415),'월 가계부'!C1415,VALUE(SUBSTITUTE(SUBSTITUTE(SUBSTITUTE(SUBSTITUTE(TRIM('월 가계부'!C1415),",",""),"원","")," ",""),"−","-")))),"")</f>
        <v/>
      </c>
      <c r="CK1415">
        <f>IF(ISNUMBER(CI1415),IF(CI1415&lt;$B$13,CI1415,""),"")</f>
        <v/>
      </c>
      <c r="CM1415">
        <f>IF(CH1415="","",IFERROR(IF(IF(AND(LEN(CH1415)=9,ISERROR(FIND("-",LEFT(CH1415,8))),ISNUMBER(-LEFT(CH1415,8))),VALUE(LEFT(CH1415,4)),VALUE(LEFT(CH1415,FIND("-",CH1415)-1)))&lt;100,IF(AND(LEN(CH1415)=9,ISERROR(FIND("-",LEFT(CH1415,8))),ISNUMBER(-LEFT(CH1415,8))),VALUE(LEFT(CH1415,4)),VALUE(LEFT(CH1415,FIND("-",CH1415)-1)))+2000,IF(AND(LEN(CH1415)=9,ISERROR(FIND("-",LEFT(CH1415,8))),ISNUMBER(-LEFT(CH1415,8))),VALUE(LEFT(CH1415,4)),VALUE(LEFT(CH1415,FIND("-",CH1415)-1)))),""))</f>
        <v/>
      </c>
      <c r="CN1415">
        <f>IF(CH1415="","",IFERROR(IF(AND(LEN(CH1415)=9,ISERROR(FIND("-",LEFT(CH1415,8))),ISNUMBER(-LEFT(CH1415,8))),VALUE(MID(CH1415,5,2)),VALUE(MID(CH1415,FIND("-",CH1415)+1,FIND("-",CH1415,FIND("-",CH1415)+1)-FIND("-",CH1415)-1))),""))</f>
        <v/>
      </c>
      <c r="CO1415">
        <f>IF(CH1415="","",IFERROR(IF(AND(LEN(CH1415)=9,ISERROR(FIND("-",LEFT(CH1415,8))),ISNUMBER(-LEFT(CH1415,8))),VALUE(MID(CH1415,7,2)),VALUE(MID(CH1415,FIND("-",CH1415,FIND("-",CH1415)+1)+1,FIND("-",CH1415,FIND("-",CH1415,FIND("-",CH1415)+1)+1)-FIND("-",CH1415,FIND("-",CH1415)+1)-1))),""))</f>
        <v/>
      </c>
    </row>
    <row r="1416">
      <c r="CH1416">
        <f>IF(ISTEXT('월 가계부'!A1416),SUBSTITUTE(SUBSTITUTE(SUBSTITUTE(SUBSTITUTE(SUBSTITUTE(SUBSTITUTE(SUBSTITUTE(SUBSTITUTE(SUBSTITUTE(TRIM('월 가계부'!A1416),"년","-"),"월","-"),"일",""),".","-"),"/","-")," ","-"),"--","-"),"--","-"),"--","-")&amp;"-","")</f>
        <v/>
      </c>
      <c r="CI1416">
        <f>IFERROR(IF('월 가계부'!A1416="","",IF(ISNUMBER('월 가계부'!A1416),IF(AND('월 가계부'!A1416&gt;=19000101,'월 가계부'!A1416&lt;=21001231),IF(AND(MOD(INT('월 가계부'!A1416/100),100)&gt;=1,MOD(INT('월 가계부'!A1416/100),100)&lt;=12,MOD(INT('월 가계부'!A1416),100)&gt;=1,MOD(INT('월 가계부'!A1416),100)&lt;=31),IF(MONTH(DATE(INT('월 가계부'!A1416/10000),MOD(INT('월 가계부'!A1416/100),100),MOD(INT('월 가계부'!A1416),100)))=MOD(INT('월 가계부'!A1416/100),100),DATE(INT('월 가계부'!A1416/10000),MOD(INT('월 가계부'!A1416/100),100),MOD(INT('월 가계부'!A1416),100)),""),""),IF(AND('월 가계부'!A1416&gt;=36526,'월 가계부'!A1416&lt;73051),INT('월 가계부'!A1416),"")),IF(OR(CM1416="",CN1416="",CO1416=""),"",IF(AND(CM1416&gt;=2000,CM1416&lt;=2099,CN1416&gt;=1,CN1416&lt;=12,CO1416&gt;=1,CO1416&lt;=31),IF(MONTH(DATE(CM1416,CN1416,CO1416))=CN1416,DATE(CM1416,CN1416,CO1416),""),"")))),"")</f>
        <v/>
      </c>
      <c r="CJ1416">
        <f>IFERROR(IF('월 가계부'!C1416="","",IF(ISNUMBER('월 가계부'!C1416),'월 가계부'!C1416,VALUE(SUBSTITUTE(SUBSTITUTE(SUBSTITUTE(SUBSTITUTE(TRIM('월 가계부'!C1416),",",""),"원","")," ",""),"−","-")))),"")</f>
        <v/>
      </c>
      <c r="CK1416">
        <f>IF(ISNUMBER(CI1416),IF(CI1416&lt;$B$13,CI1416,""),"")</f>
        <v/>
      </c>
      <c r="CM1416">
        <f>IF(CH1416="","",IFERROR(IF(IF(AND(LEN(CH1416)=9,ISERROR(FIND("-",LEFT(CH1416,8))),ISNUMBER(-LEFT(CH1416,8))),VALUE(LEFT(CH1416,4)),VALUE(LEFT(CH1416,FIND("-",CH1416)-1)))&lt;100,IF(AND(LEN(CH1416)=9,ISERROR(FIND("-",LEFT(CH1416,8))),ISNUMBER(-LEFT(CH1416,8))),VALUE(LEFT(CH1416,4)),VALUE(LEFT(CH1416,FIND("-",CH1416)-1)))+2000,IF(AND(LEN(CH1416)=9,ISERROR(FIND("-",LEFT(CH1416,8))),ISNUMBER(-LEFT(CH1416,8))),VALUE(LEFT(CH1416,4)),VALUE(LEFT(CH1416,FIND("-",CH1416)-1)))),""))</f>
        <v/>
      </c>
      <c r="CN1416">
        <f>IF(CH1416="","",IFERROR(IF(AND(LEN(CH1416)=9,ISERROR(FIND("-",LEFT(CH1416,8))),ISNUMBER(-LEFT(CH1416,8))),VALUE(MID(CH1416,5,2)),VALUE(MID(CH1416,FIND("-",CH1416)+1,FIND("-",CH1416,FIND("-",CH1416)+1)-FIND("-",CH1416)-1))),""))</f>
        <v/>
      </c>
      <c r="CO1416">
        <f>IF(CH1416="","",IFERROR(IF(AND(LEN(CH1416)=9,ISERROR(FIND("-",LEFT(CH1416,8))),ISNUMBER(-LEFT(CH1416,8))),VALUE(MID(CH1416,7,2)),VALUE(MID(CH1416,FIND("-",CH1416,FIND("-",CH1416)+1)+1,FIND("-",CH1416,FIND("-",CH1416,FIND("-",CH1416)+1)+1)-FIND("-",CH1416,FIND("-",CH1416)+1)-1))),""))</f>
        <v/>
      </c>
    </row>
    <row r="1417">
      <c r="CH1417">
        <f>IF(ISTEXT('월 가계부'!A1417),SUBSTITUTE(SUBSTITUTE(SUBSTITUTE(SUBSTITUTE(SUBSTITUTE(SUBSTITUTE(SUBSTITUTE(SUBSTITUTE(SUBSTITUTE(TRIM('월 가계부'!A1417),"년","-"),"월","-"),"일",""),".","-"),"/","-")," ","-"),"--","-"),"--","-"),"--","-")&amp;"-","")</f>
        <v/>
      </c>
      <c r="CI1417">
        <f>IFERROR(IF('월 가계부'!A1417="","",IF(ISNUMBER('월 가계부'!A1417),IF(AND('월 가계부'!A1417&gt;=19000101,'월 가계부'!A1417&lt;=21001231),IF(AND(MOD(INT('월 가계부'!A1417/100),100)&gt;=1,MOD(INT('월 가계부'!A1417/100),100)&lt;=12,MOD(INT('월 가계부'!A1417),100)&gt;=1,MOD(INT('월 가계부'!A1417),100)&lt;=31),IF(MONTH(DATE(INT('월 가계부'!A1417/10000),MOD(INT('월 가계부'!A1417/100),100),MOD(INT('월 가계부'!A1417),100)))=MOD(INT('월 가계부'!A1417/100),100),DATE(INT('월 가계부'!A1417/10000),MOD(INT('월 가계부'!A1417/100),100),MOD(INT('월 가계부'!A1417),100)),""),""),IF(AND('월 가계부'!A1417&gt;=36526,'월 가계부'!A1417&lt;73051),INT('월 가계부'!A1417),"")),IF(OR(CM1417="",CN1417="",CO1417=""),"",IF(AND(CM1417&gt;=2000,CM1417&lt;=2099,CN1417&gt;=1,CN1417&lt;=12,CO1417&gt;=1,CO1417&lt;=31),IF(MONTH(DATE(CM1417,CN1417,CO1417))=CN1417,DATE(CM1417,CN1417,CO1417),""),"")))),"")</f>
        <v/>
      </c>
      <c r="CJ1417">
        <f>IFERROR(IF('월 가계부'!C1417="","",IF(ISNUMBER('월 가계부'!C1417),'월 가계부'!C1417,VALUE(SUBSTITUTE(SUBSTITUTE(SUBSTITUTE(SUBSTITUTE(TRIM('월 가계부'!C1417),",",""),"원","")," ",""),"−","-")))),"")</f>
        <v/>
      </c>
      <c r="CK1417">
        <f>IF(ISNUMBER(CI1417),IF(CI1417&lt;$B$13,CI1417,""),"")</f>
        <v/>
      </c>
      <c r="CM1417">
        <f>IF(CH1417="","",IFERROR(IF(IF(AND(LEN(CH1417)=9,ISERROR(FIND("-",LEFT(CH1417,8))),ISNUMBER(-LEFT(CH1417,8))),VALUE(LEFT(CH1417,4)),VALUE(LEFT(CH1417,FIND("-",CH1417)-1)))&lt;100,IF(AND(LEN(CH1417)=9,ISERROR(FIND("-",LEFT(CH1417,8))),ISNUMBER(-LEFT(CH1417,8))),VALUE(LEFT(CH1417,4)),VALUE(LEFT(CH1417,FIND("-",CH1417)-1)))+2000,IF(AND(LEN(CH1417)=9,ISERROR(FIND("-",LEFT(CH1417,8))),ISNUMBER(-LEFT(CH1417,8))),VALUE(LEFT(CH1417,4)),VALUE(LEFT(CH1417,FIND("-",CH1417)-1)))),""))</f>
        <v/>
      </c>
      <c r="CN1417">
        <f>IF(CH1417="","",IFERROR(IF(AND(LEN(CH1417)=9,ISERROR(FIND("-",LEFT(CH1417,8))),ISNUMBER(-LEFT(CH1417,8))),VALUE(MID(CH1417,5,2)),VALUE(MID(CH1417,FIND("-",CH1417)+1,FIND("-",CH1417,FIND("-",CH1417)+1)-FIND("-",CH1417)-1))),""))</f>
        <v/>
      </c>
      <c r="CO1417">
        <f>IF(CH1417="","",IFERROR(IF(AND(LEN(CH1417)=9,ISERROR(FIND("-",LEFT(CH1417,8))),ISNUMBER(-LEFT(CH1417,8))),VALUE(MID(CH1417,7,2)),VALUE(MID(CH1417,FIND("-",CH1417,FIND("-",CH1417)+1)+1,FIND("-",CH1417,FIND("-",CH1417,FIND("-",CH1417)+1)+1)-FIND("-",CH1417,FIND("-",CH1417)+1)-1))),""))</f>
        <v/>
      </c>
    </row>
    <row r="1418">
      <c r="CH1418">
        <f>IF(ISTEXT('월 가계부'!A1418),SUBSTITUTE(SUBSTITUTE(SUBSTITUTE(SUBSTITUTE(SUBSTITUTE(SUBSTITUTE(SUBSTITUTE(SUBSTITUTE(SUBSTITUTE(TRIM('월 가계부'!A1418),"년","-"),"월","-"),"일",""),".","-"),"/","-")," ","-"),"--","-"),"--","-"),"--","-")&amp;"-","")</f>
        <v/>
      </c>
      <c r="CI1418">
        <f>IFERROR(IF('월 가계부'!A1418="","",IF(ISNUMBER('월 가계부'!A1418),IF(AND('월 가계부'!A1418&gt;=19000101,'월 가계부'!A1418&lt;=21001231),IF(AND(MOD(INT('월 가계부'!A1418/100),100)&gt;=1,MOD(INT('월 가계부'!A1418/100),100)&lt;=12,MOD(INT('월 가계부'!A1418),100)&gt;=1,MOD(INT('월 가계부'!A1418),100)&lt;=31),IF(MONTH(DATE(INT('월 가계부'!A1418/10000),MOD(INT('월 가계부'!A1418/100),100),MOD(INT('월 가계부'!A1418),100)))=MOD(INT('월 가계부'!A1418/100),100),DATE(INT('월 가계부'!A1418/10000),MOD(INT('월 가계부'!A1418/100),100),MOD(INT('월 가계부'!A1418),100)),""),""),IF(AND('월 가계부'!A1418&gt;=36526,'월 가계부'!A1418&lt;73051),INT('월 가계부'!A1418),"")),IF(OR(CM1418="",CN1418="",CO1418=""),"",IF(AND(CM1418&gt;=2000,CM1418&lt;=2099,CN1418&gt;=1,CN1418&lt;=12,CO1418&gt;=1,CO1418&lt;=31),IF(MONTH(DATE(CM1418,CN1418,CO1418))=CN1418,DATE(CM1418,CN1418,CO1418),""),"")))),"")</f>
        <v/>
      </c>
      <c r="CJ1418">
        <f>IFERROR(IF('월 가계부'!C1418="","",IF(ISNUMBER('월 가계부'!C1418),'월 가계부'!C1418,VALUE(SUBSTITUTE(SUBSTITUTE(SUBSTITUTE(SUBSTITUTE(TRIM('월 가계부'!C1418),",",""),"원","")," ",""),"−","-")))),"")</f>
        <v/>
      </c>
      <c r="CK1418">
        <f>IF(ISNUMBER(CI1418),IF(CI1418&lt;$B$13,CI1418,""),"")</f>
        <v/>
      </c>
      <c r="CM1418">
        <f>IF(CH1418="","",IFERROR(IF(IF(AND(LEN(CH1418)=9,ISERROR(FIND("-",LEFT(CH1418,8))),ISNUMBER(-LEFT(CH1418,8))),VALUE(LEFT(CH1418,4)),VALUE(LEFT(CH1418,FIND("-",CH1418)-1)))&lt;100,IF(AND(LEN(CH1418)=9,ISERROR(FIND("-",LEFT(CH1418,8))),ISNUMBER(-LEFT(CH1418,8))),VALUE(LEFT(CH1418,4)),VALUE(LEFT(CH1418,FIND("-",CH1418)-1)))+2000,IF(AND(LEN(CH1418)=9,ISERROR(FIND("-",LEFT(CH1418,8))),ISNUMBER(-LEFT(CH1418,8))),VALUE(LEFT(CH1418,4)),VALUE(LEFT(CH1418,FIND("-",CH1418)-1)))),""))</f>
        <v/>
      </c>
      <c r="CN1418">
        <f>IF(CH1418="","",IFERROR(IF(AND(LEN(CH1418)=9,ISERROR(FIND("-",LEFT(CH1418,8))),ISNUMBER(-LEFT(CH1418,8))),VALUE(MID(CH1418,5,2)),VALUE(MID(CH1418,FIND("-",CH1418)+1,FIND("-",CH1418,FIND("-",CH1418)+1)-FIND("-",CH1418)-1))),""))</f>
        <v/>
      </c>
      <c r="CO1418">
        <f>IF(CH1418="","",IFERROR(IF(AND(LEN(CH1418)=9,ISERROR(FIND("-",LEFT(CH1418,8))),ISNUMBER(-LEFT(CH1418,8))),VALUE(MID(CH1418,7,2)),VALUE(MID(CH1418,FIND("-",CH1418,FIND("-",CH1418)+1)+1,FIND("-",CH1418,FIND("-",CH1418,FIND("-",CH1418)+1)+1)-FIND("-",CH1418,FIND("-",CH1418)+1)-1))),""))</f>
        <v/>
      </c>
    </row>
    <row r="1419">
      <c r="CH1419">
        <f>IF(ISTEXT('월 가계부'!A1419),SUBSTITUTE(SUBSTITUTE(SUBSTITUTE(SUBSTITUTE(SUBSTITUTE(SUBSTITUTE(SUBSTITUTE(SUBSTITUTE(SUBSTITUTE(TRIM('월 가계부'!A1419),"년","-"),"월","-"),"일",""),".","-"),"/","-")," ","-"),"--","-"),"--","-"),"--","-")&amp;"-","")</f>
        <v/>
      </c>
      <c r="CI1419">
        <f>IFERROR(IF('월 가계부'!A1419="","",IF(ISNUMBER('월 가계부'!A1419),IF(AND('월 가계부'!A1419&gt;=19000101,'월 가계부'!A1419&lt;=21001231),IF(AND(MOD(INT('월 가계부'!A1419/100),100)&gt;=1,MOD(INT('월 가계부'!A1419/100),100)&lt;=12,MOD(INT('월 가계부'!A1419),100)&gt;=1,MOD(INT('월 가계부'!A1419),100)&lt;=31),IF(MONTH(DATE(INT('월 가계부'!A1419/10000),MOD(INT('월 가계부'!A1419/100),100),MOD(INT('월 가계부'!A1419),100)))=MOD(INT('월 가계부'!A1419/100),100),DATE(INT('월 가계부'!A1419/10000),MOD(INT('월 가계부'!A1419/100),100),MOD(INT('월 가계부'!A1419),100)),""),""),IF(AND('월 가계부'!A1419&gt;=36526,'월 가계부'!A1419&lt;73051),INT('월 가계부'!A1419),"")),IF(OR(CM1419="",CN1419="",CO1419=""),"",IF(AND(CM1419&gt;=2000,CM1419&lt;=2099,CN1419&gt;=1,CN1419&lt;=12,CO1419&gt;=1,CO1419&lt;=31),IF(MONTH(DATE(CM1419,CN1419,CO1419))=CN1419,DATE(CM1419,CN1419,CO1419),""),"")))),"")</f>
        <v/>
      </c>
      <c r="CJ1419">
        <f>IFERROR(IF('월 가계부'!C1419="","",IF(ISNUMBER('월 가계부'!C1419),'월 가계부'!C1419,VALUE(SUBSTITUTE(SUBSTITUTE(SUBSTITUTE(SUBSTITUTE(TRIM('월 가계부'!C1419),",",""),"원","")," ",""),"−","-")))),"")</f>
        <v/>
      </c>
      <c r="CK1419">
        <f>IF(ISNUMBER(CI1419),IF(CI1419&lt;$B$13,CI1419,""),"")</f>
        <v/>
      </c>
      <c r="CM1419">
        <f>IF(CH1419="","",IFERROR(IF(IF(AND(LEN(CH1419)=9,ISERROR(FIND("-",LEFT(CH1419,8))),ISNUMBER(-LEFT(CH1419,8))),VALUE(LEFT(CH1419,4)),VALUE(LEFT(CH1419,FIND("-",CH1419)-1)))&lt;100,IF(AND(LEN(CH1419)=9,ISERROR(FIND("-",LEFT(CH1419,8))),ISNUMBER(-LEFT(CH1419,8))),VALUE(LEFT(CH1419,4)),VALUE(LEFT(CH1419,FIND("-",CH1419)-1)))+2000,IF(AND(LEN(CH1419)=9,ISERROR(FIND("-",LEFT(CH1419,8))),ISNUMBER(-LEFT(CH1419,8))),VALUE(LEFT(CH1419,4)),VALUE(LEFT(CH1419,FIND("-",CH1419)-1)))),""))</f>
        <v/>
      </c>
      <c r="CN1419">
        <f>IF(CH1419="","",IFERROR(IF(AND(LEN(CH1419)=9,ISERROR(FIND("-",LEFT(CH1419,8))),ISNUMBER(-LEFT(CH1419,8))),VALUE(MID(CH1419,5,2)),VALUE(MID(CH1419,FIND("-",CH1419)+1,FIND("-",CH1419,FIND("-",CH1419)+1)-FIND("-",CH1419)-1))),""))</f>
        <v/>
      </c>
      <c r="CO1419">
        <f>IF(CH1419="","",IFERROR(IF(AND(LEN(CH1419)=9,ISERROR(FIND("-",LEFT(CH1419,8))),ISNUMBER(-LEFT(CH1419,8))),VALUE(MID(CH1419,7,2)),VALUE(MID(CH1419,FIND("-",CH1419,FIND("-",CH1419)+1)+1,FIND("-",CH1419,FIND("-",CH1419,FIND("-",CH1419)+1)+1)-FIND("-",CH1419,FIND("-",CH1419)+1)-1))),""))</f>
        <v/>
      </c>
    </row>
    <row r="1420">
      <c r="CH1420">
        <f>IF(ISTEXT('월 가계부'!A1420),SUBSTITUTE(SUBSTITUTE(SUBSTITUTE(SUBSTITUTE(SUBSTITUTE(SUBSTITUTE(SUBSTITUTE(SUBSTITUTE(SUBSTITUTE(TRIM('월 가계부'!A1420),"년","-"),"월","-"),"일",""),".","-"),"/","-")," ","-"),"--","-"),"--","-"),"--","-")&amp;"-","")</f>
        <v/>
      </c>
      <c r="CI1420">
        <f>IFERROR(IF('월 가계부'!A1420="","",IF(ISNUMBER('월 가계부'!A1420),IF(AND('월 가계부'!A1420&gt;=19000101,'월 가계부'!A1420&lt;=21001231),IF(AND(MOD(INT('월 가계부'!A1420/100),100)&gt;=1,MOD(INT('월 가계부'!A1420/100),100)&lt;=12,MOD(INT('월 가계부'!A1420),100)&gt;=1,MOD(INT('월 가계부'!A1420),100)&lt;=31),IF(MONTH(DATE(INT('월 가계부'!A1420/10000),MOD(INT('월 가계부'!A1420/100),100),MOD(INT('월 가계부'!A1420),100)))=MOD(INT('월 가계부'!A1420/100),100),DATE(INT('월 가계부'!A1420/10000),MOD(INT('월 가계부'!A1420/100),100),MOD(INT('월 가계부'!A1420),100)),""),""),IF(AND('월 가계부'!A1420&gt;=36526,'월 가계부'!A1420&lt;73051),INT('월 가계부'!A1420),"")),IF(OR(CM1420="",CN1420="",CO1420=""),"",IF(AND(CM1420&gt;=2000,CM1420&lt;=2099,CN1420&gt;=1,CN1420&lt;=12,CO1420&gt;=1,CO1420&lt;=31),IF(MONTH(DATE(CM1420,CN1420,CO1420))=CN1420,DATE(CM1420,CN1420,CO1420),""),"")))),"")</f>
        <v/>
      </c>
      <c r="CJ1420">
        <f>IFERROR(IF('월 가계부'!C1420="","",IF(ISNUMBER('월 가계부'!C1420),'월 가계부'!C1420,VALUE(SUBSTITUTE(SUBSTITUTE(SUBSTITUTE(SUBSTITUTE(TRIM('월 가계부'!C1420),",",""),"원","")," ",""),"−","-")))),"")</f>
        <v/>
      </c>
      <c r="CK1420">
        <f>IF(ISNUMBER(CI1420),IF(CI1420&lt;$B$13,CI1420,""),"")</f>
        <v/>
      </c>
      <c r="CM1420">
        <f>IF(CH1420="","",IFERROR(IF(IF(AND(LEN(CH1420)=9,ISERROR(FIND("-",LEFT(CH1420,8))),ISNUMBER(-LEFT(CH1420,8))),VALUE(LEFT(CH1420,4)),VALUE(LEFT(CH1420,FIND("-",CH1420)-1)))&lt;100,IF(AND(LEN(CH1420)=9,ISERROR(FIND("-",LEFT(CH1420,8))),ISNUMBER(-LEFT(CH1420,8))),VALUE(LEFT(CH1420,4)),VALUE(LEFT(CH1420,FIND("-",CH1420)-1)))+2000,IF(AND(LEN(CH1420)=9,ISERROR(FIND("-",LEFT(CH1420,8))),ISNUMBER(-LEFT(CH1420,8))),VALUE(LEFT(CH1420,4)),VALUE(LEFT(CH1420,FIND("-",CH1420)-1)))),""))</f>
        <v/>
      </c>
      <c r="CN1420">
        <f>IF(CH1420="","",IFERROR(IF(AND(LEN(CH1420)=9,ISERROR(FIND("-",LEFT(CH1420,8))),ISNUMBER(-LEFT(CH1420,8))),VALUE(MID(CH1420,5,2)),VALUE(MID(CH1420,FIND("-",CH1420)+1,FIND("-",CH1420,FIND("-",CH1420)+1)-FIND("-",CH1420)-1))),""))</f>
        <v/>
      </c>
      <c r="CO1420">
        <f>IF(CH1420="","",IFERROR(IF(AND(LEN(CH1420)=9,ISERROR(FIND("-",LEFT(CH1420,8))),ISNUMBER(-LEFT(CH1420,8))),VALUE(MID(CH1420,7,2)),VALUE(MID(CH1420,FIND("-",CH1420,FIND("-",CH1420)+1)+1,FIND("-",CH1420,FIND("-",CH1420,FIND("-",CH1420)+1)+1)-FIND("-",CH1420,FIND("-",CH1420)+1)-1))),""))</f>
        <v/>
      </c>
    </row>
    <row r="1421">
      <c r="CH1421">
        <f>IF(ISTEXT('월 가계부'!A1421),SUBSTITUTE(SUBSTITUTE(SUBSTITUTE(SUBSTITUTE(SUBSTITUTE(SUBSTITUTE(SUBSTITUTE(SUBSTITUTE(SUBSTITUTE(TRIM('월 가계부'!A1421),"년","-"),"월","-"),"일",""),".","-"),"/","-")," ","-"),"--","-"),"--","-"),"--","-")&amp;"-","")</f>
        <v/>
      </c>
      <c r="CI1421">
        <f>IFERROR(IF('월 가계부'!A1421="","",IF(ISNUMBER('월 가계부'!A1421),IF(AND('월 가계부'!A1421&gt;=19000101,'월 가계부'!A1421&lt;=21001231),IF(AND(MOD(INT('월 가계부'!A1421/100),100)&gt;=1,MOD(INT('월 가계부'!A1421/100),100)&lt;=12,MOD(INT('월 가계부'!A1421),100)&gt;=1,MOD(INT('월 가계부'!A1421),100)&lt;=31),IF(MONTH(DATE(INT('월 가계부'!A1421/10000),MOD(INT('월 가계부'!A1421/100),100),MOD(INT('월 가계부'!A1421),100)))=MOD(INT('월 가계부'!A1421/100),100),DATE(INT('월 가계부'!A1421/10000),MOD(INT('월 가계부'!A1421/100),100),MOD(INT('월 가계부'!A1421),100)),""),""),IF(AND('월 가계부'!A1421&gt;=36526,'월 가계부'!A1421&lt;73051),INT('월 가계부'!A1421),"")),IF(OR(CM1421="",CN1421="",CO1421=""),"",IF(AND(CM1421&gt;=2000,CM1421&lt;=2099,CN1421&gt;=1,CN1421&lt;=12,CO1421&gt;=1,CO1421&lt;=31),IF(MONTH(DATE(CM1421,CN1421,CO1421))=CN1421,DATE(CM1421,CN1421,CO1421),""),"")))),"")</f>
        <v/>
      </c>
      <c r="CJ1421">
        <f>IFERROR(IF('월 가계부'!C1421="","",IF(ISNUMBER('월 가계부'!C1421),'월 가계부'!C1421,VALUE(SUBSTITUTE(SUBSTITUTE(SUBSTITUTE(SUBSTITUTE(TRIM('월 가계부'!C1421),",",""),"원","")," ",""),"−","-")))),"")</f>
        <v/>
      </c>
      <c r="CK1421">
        <f>IF(ISNUMBER(CI1421),IF(CI1421&lt;$B$13,CI1421,""),"")</f>
        <v/>
      </c>
      <c r="CM1421">
        <f>IF(CH1421="","",IFERROR(IF(IF(AND(LEN(CH1421)=9,ISERROR(FIND("-",LEFT(CH1421,8))),ISNUMBER(-LEFT(CH1421,8))),VALUE(LEFT(CH1421,4)),VALUE(LEFT(CH1421,FIND("-",CH1421)-1)))&lt;100,IF(AND(LEN(CH1421)=9,ISERROR(FIND("-",LEFT(CH1421,8))),ISNUMBER(-LEFT(CH1421,8))),VALUE(LEFT(CH1421,4)),VALUE(LEFT(CH1421,FIND("-",CH1421)-1)))+2000,IF(AND(LEN(CH1421)=9,ISERROR(FIND("-",LEFT(CH1421,8))),ISNUMBER(-LEFT(CH1421,8))),VALUE(LEFT(CH1421,4)),VALUE(LEFT(CH1421,FIND("-",CH1421)-1)))),""))</f>
        <v/>
      </c>
      <c r="CN1421">
        <f>IF(CH1421="","",IFERROR(IF(AND(LEN(CH1421)=9,ISERROR(FIND("-",LEFT(CH1421,8))),ISNUMBER(-LEFT(CH1421,8))),VALUE(MID(CH1421,5,2)),VALUE(MID(CH1421,FIND("-",CH1421)+1,FIND("-",CH1421,FIND("-",CH1421)+1)-FIND("-",CH1421)-1))),""))</f>
        <v/>
      </c>
      <c r="CO1421">
        <f>IF(CH1421="","",IFERROR(IF(AND(LEN(CH1421)=9,ISERROR(FIND("-",LEFT(CH1421,8))),ISNUMBER(-LEFT(CH1421,8))),VALUE(MID(CH1421,7,2)),VALUE(MID(CH1421,FIND("-",CH1421,FIND("-",CH1421)+1)+1,FIND("-",CH1421,FIND("-",CH1421,FIND("-",CH1421)+1)+1)-FIND("-",CH1421,FIND("-",CH1421)+1)-1))),""))</f>
        <v/>
      </c>
    </row>
    <row r="1422">
      <c r="CH1422">
        <f>IF(ISTEXT('월 가계부'!A1422),SUBSTITUTE(SUBSTITUTE(SUBSTITUTE(SUBSTITUTE(SUBSTITUTE(SUBSTITUTE(SUBSTITUTE(SUBSTITUTE(SUBSTITUTE(TRIM('월 가계부'!A1422),"년","-"),"월","-"),"일",""),".","-"),"/","-")," ","-"),"--","-"),"--","-"),"--","-")&amp;"-","")</f>
        <v/>
      </c>
      <c r="CI1422">
        <f>IFERROR(IF('월 가계부'!A1422="","",IF(ISNUMBER('월 가계부'!A1422),IF(AND('월 가계부'!A1422&gt;=19000101,'월 가계부'!A1422&lt;=21001231),IF(AND(MOD(INT('월 가계부'!A1422/100),100)&gt;=1,MOD(INT('월 가계부'!A1422/100),100)&lt;=12,MOD(INT('월 가계부'!A1422),100)&gt;=1,MOD(INT('월 가계부'!A1422),100)&lt;=31),IF(MONTH(DATE(INT('월 가계부'!A1422/10000),MOD(INT('월 가계부'!A1422/100),100),MOD(INT('월 가계부'!A1422),100)))=MOD(INT('월 가계부'!A1422/100),100),DATE(INT('월 가계부'!A1422/10000),MOD(INT('월 가계부'!A1422/100),100),MOD(INT('월 가계부'!A1422),100)),""),""),IF(AND('월 가계부'!A1422&gt;=36526,'월 가계부'!A1422&lt;73051),INT('월 가계부'!A1422),"")),IF(OR(CM1422="",CN1422="",CO1422=""),"",IF(AND(CM1422&gt;=2000,CM1422&lt;=2099,CN1422&gt;=1,CN1422&lt;=12,CO1422&gt;=1,CO1422&lt;=31),IF(MONTH(DATE(CM1422,CN1422,CO1422))=CN1422,DATE(CM1422,CN1422,CO1422),""),"")))),"")</f>
        <v/>
      </c>
      <c r="CJ1422">
        <f>IFERROR(IF('월 가계부'!C1422="","",IF(ISNUMBER('월 가계부'!C1422),'월 가계부'!C1422,VALUE(SUBSTITUTE(SUBSTITUTE(SUBSTITUTE(SUBSTITUTE(TRIM('월 가계부'!C1422),",",""),"원","")," ",""),"−","-")))),"")</f>
        <v/>
      </c>
      <c r="CK1422">
        <f>IF(ISNUMBER(CI1422),IF(CI1422&lt;$B$13,CI1422,""),"")</f>
        <v/>
      </c>
      <c r="CM1422">
        <f>IF(CH1422="","",IFERROR(IF(IF(AND(LEN(CH1422)=9,ISERROR(FIND("-",LEFT(CH1422,8))),ISNUMBER(-LEFT(CH1422,8))),VALUE(LEFT(CH1422,4)),VALUE(LEFT(CH1422,FIND("-",CH1422)-1)))&lt;100,IF(AND(LEN(CH1422)=9,ISERROR(FIND("-",LEFT(CH1422,8))),ISNUMBER(-LEFT(CH1422,8))),VALUE(LEFT(CH1422,4)),VALUE(LEFT(CH1422,FIND("-",CH1422)-1)))+2000,IF(AND(LEN(CH1422)=9,ISERROR(FIND("-",LEFT(CH1422,8))),ISNUMBER(-LEFT(CH1422,8))),VALUE(LEFT(CH1422,4)),VALUE(LEFT(CH1422,FIND("-",CH1422)-1)))),""))</f>
        <v/>
      </c>
      <c r="CN1422">
        <f>IF(CH1422="","",IFERROR(IF(AND(LEN(CH1422)=9,ISERROR(FIND("-",LEFT(CH1422,8))),ISNUMBER(-LEFT(CH1422,8))),VALUE(MID(CH1422,5,2)),VALUE(MID(CH1422,FIND("-",CH1422)+1,FIND("-",CH1422,FIND("-",CH1422)+1)-FIND("-",CH1422)-1))),""))</f>
        <v/>
      </c>
      <c r="CO1422">
        <f>IF(CH1422="","",IFERROR(IF(AND(LEN(CH1422)=9,ISERROR(FIND("-",LEFT(CH1422,8))),ISNUMBER(-LEFT(CH1422,8))),VALUE(MID(CH1422,7,2)),VALUE(MID(CH1422,FIND("-",CH1422,FIND("-",CH1422)+1)+1,FIND("-",CH1422,FIND("-",CH1422,FIND("-",CH1422)+1)+1)-FIND("-",CH1422,FIND("-",CH1422)+1)-1))),""))</f>
        <v/>
      </c>
    </row>
    <row r="1423">
      <c r="CH1423">
        <f>IF(ISTEXT('월 가계부'!A1423),SUBSTITUTE(SUBSTITUTE(SUBSTITUTE(SUBSTITUTE(SUBSTITUTE(SUBSTITUTE(SUBSTITUTE(SUBSTITUTE(SUBSTITUTE(TRIM('월 가계부'!A1423),"년","-"),"월","-"),"일",""),".","-"),"/","-")," ","-"),"--","-"),"--","-"),"--","-")&amp;"-","")</f>
        <v/>
      </c>
      <c r="CI1423">
        <f>IFERROR(IF('월 가계부'!A1423="","",IF(ISNUMBER('월 가계부'!A1423),IF(AND('월 가계부'!A1423&gt;=19000101,'월 가계부'!A1423&lt;=21001231),IF(AND(MOD(INT('월 가계부'!A1423/100),100)&gt;=1,MOD(INT('월 가계부'!A1423/100),100)&lt;=12,MOD(INT('월 가계부'!A1423),100)&gt;=1,MOD(INT('월 가계부'!A1423),100)&lt;=31),IF(MONTH(DATE(INT('월 가계부'!A1423/10000),MOD(INT('월 가계부'!A1423/100),100),MOD(INT('월 가계부'!A1423),100)))=MOD(INT('월 가계부'!A1423/100),100),DATE(INT('월 가계부'!A1423/10000),MOD(INT('월 가계부'!A1423/100),100),MOD(INT('월 가계부'!A1423),100)),""),""),IF(AND('월 가계부'!A1423&gt;=36526,'월 가계부'!A1423&lt;73051),INT('월 가계부'!A1423),"")),IF(OR(CM1423="",CN1423="",CO1423=""),"",IF(AND(CM1423&gt;=2000,CM1423&lt;=2099,CN1423&gt;=1,CN1423&lt;=12,CO1423&gt;=1,CO1423&lt;=31),IF(MONTH(DATE(CM1423,CN1423,CO1423))=CN1423,DATE(CM1423,CN1423,CO1423),""),"")))),"")</f>
        <v/>
      </c>
      <c r="CJ1423">
        <f>IFERROR(IF('월 가계부'!C1423="","",IF(ISNUMBER('월 가계부'!C1423),'월 가계부'!C1423,VALUE(SUBSTITUTE(SUBSTITUTE(SUBSTITUTE(SUBSTITUTE(TRIM('월 가계부'!C1423),",",""),"원","")," ",""),"−","-")))),"")</f>
        <v/>
      </c>
      <c r="CK1423">
        <f>IF(ISNUMBER(CI1423),IF(CI1423&lt;$B$13,CI1423,""),"")</f>
        <v/>
      </c>
      <c r="CM1423">
        <f>IF(CH1423="","",IFERROR(IF(IF(AND(LEN(CH1423)=9,ISERROR(FIND("-",LEFT(CH1423,8))),ISNUMBER(-LEFT(CH1423,8))),VALUE(LEFT(CH1423,4)),VALUE(LEFT(CH1423,FIND("-",CH1423)-1)))&lt;100,IF(AND(LEN(CH1423)=9,ISERROR(FIND("-",LEFT(CH1423,8))),ISNUMBER(-LEFT(CH1423,8))),VALUE(LEFT(CH1423,4)),VALUE(LEFT(CH1423,FIND("-",CH1423)-1)))+2000,IF(AND(LEN(CH1423)=9,ISERROR(FIND("-",LEFT(CH1423,8))),ISNUMBER(-LEFT(CH1423,8))),VALUE(LEFT(CH1423,4)),VALUE(LEFT(CH1423,FIND("-",CH1423)-1)))),""))</f>
        <v/>
      </c>
      <c r="CN1423">
        <f>IF(CH1423="","",IFERROR(IF(AND(LEN(CH1423)=9,ISERROR(FIND("-",LEFT(CH1423,8))),ISNUMBER(-LEFT(CH1423,8))),VALUE(MID(CH1423,5,2)),VALUE(MID(CH1423,FIND("-",CH1423)+1,FIND("-",CH1423,FIND("-",CH1423)+1)-FIND("-",CH1423)-1))),""))</f>
        <v/>
      </c>
      <c r="CO1423">
        <f>IF(CH1423="","",IFERROR(IF(AND(LEN(CH1423)=9,ISERROR(FIND("-",LEFT(CH1423,8))),ISNUMBER(-LEFT(CH1423,8))),VALUE(MID(CH1423,7,2)),VALUE(MID(CH1423,FIND("-",CH1423,FIND("-",CH1423)+1)+1,FIND("-",CH1423,FIND("-",CH1423,FIND("-",CH1423)+1)+1)-FIND("-",CH1423,FIND("-",CH1423)+1)-1))),""))</f>
        <v/>
      </c>
    </row>
    <row r="1424">
      <c r="CH1424">
        <f>IF(ISTEXT('월 가계부'!A1424),SUBSTITUTE(SUBSTITUTE(SUBSTITUTE(SUBSTITUTE(SUBSTITUTE(SUBSTITUTE(SUBSTITUTE(SUBSTITUTE(SUBSTITUTE(TRIM('월 가계부'!A1424),"년","-"),"월","-"),"일",""),".","-"),"/","-")," ","-"),"--","-"),"--","-"),"--","-")&amp;"-","")</f>
        <v/>
      </c>
      <c r="CI1424">
        <f>IFERROR(IF('월 가계부'!A1424="","",IF(ISNUMBER('월 가계부'!A1424),IF(AND('월 가계부'!A1424&gt;=19000101,'월 가계부'!A1424&lt;=21001231),IF(AND(MOD(INT('월 가계부'!A1424/100),100)&gt;=1,MOD(INT('월 가계부'!A1424/100),100)&lt;=12,MOD(INT('월 가계부'!A1424),100)&gt;=1,MOD(INT('월 가계부'!A1424),100)&lt;=31),IF(MONTH(DATE(INT('월 가계부'!A1424/10000),MOD(INT('월 가계부'!A1424/100),100),MOD(INT('월 가계부'!A1424),100)))=MOD(INT('월 가계부'!A1424/100),100),DATE(INT('월 가계부'!A1424/10000),MOD(INT('월 가계부'!A1424/100),100),MOD(INT('월 가계부'!A1424),100)),""),""),IF(AND('월 가계부'!A1424&gt;=36526,'월 가계부'!A1424&lt;73051),INT('월 가계부'!A1424),"")),IF(OR(CM1424="",CN1424="",CO1424=""),"",IF(AND(CM1424&gt;=2000,CM1424&lt;=2099,CN1424&gt;=1,CN1424&lt;=12,CO1424&gt;=1,CO1424&lt;=31),IF(MONTH(DATE(CM1424,CN1424,CO1424))=CN1424,DATE(CM1424,CN1424,CO1424),""),"")))),"")</f>
        <v/>
      </c>
      <c r="CJ1424">
        <f>IFERROR(IF('월 가계부'!C1424="","",IF(ISNUMBER('월 가계부'!C1424),'월 가계부'!C1424,VALUE(SUBSTITUTE(SUBSTITUTE(SUBSTITUTE(SUBSTITUTE(TRIM('월 가계부'!C1424),",",""),"원","")," ",""),"−","-")))),"")</f>
        <v/>
      </c>
      <c r="CK1424">
        <f>IF(ISNUMBER(CI1424),IF(CI1424&lt;$B$13,CI1424,""),"")</f>
        <v/>
      </c>
      <c r="CM1424">
        <f>IF(CH1424="","",IFERROR(IF(IF(AND(LEN(CH1424)=9,ISERROR(FIND("-",LEFT(CH1424,8))),ISNUMBER(-LEFT(CH1424,8))),VALUE(LEFT(CH1424,4)),VALUE(LEFT(CH1424,FIND("-",CH1424)-1)))&lt;100,IF(AND(LEN(CH1424)=9,ISERROR(FIND("-",LEFT(CH1424,8))),ISNUMBER(-LEFT(CH1424,8))),VALUE(LEFT(CH1424,4)),VALUE(LEFT(CH1424,FIND("-",CH1424)-1)))+2000,IF(AND(LEN(CH1424)=9,ISERROR(FIND("-",LEFT(CH1424,8))),ISNUMBER(-LEFT(CH1424,8))),VALUE(LEFT(CH1424,4)),VALUE(LEFT(CH1424,FIND("-",CH1424)-1)))),""))</f>
        <v/>
      </c>
      <c r="CN1424">
        <f>IF(CH1424="","",IFERROR(IF(AND(LEN(CH1424)=9,ISERROR(FIND("-",LEFT(CH1424,8))),ISNUMBER(-LEFT(CH1424,8))),VALUE(MID(CH1424,5,2)),VALUE(MID(CH1424,FIND("-",CH1424)+1,FIND("-",CH1424,FIND("-",CH1424)+1)-FIND("-",CH1424)-1))),""))</f>
        <v/>
      </c>
      <c r="CO1424">
        <f>IF(CH1424="","",IFERROR(IF(AND(LEN(CH1424)=9,ISERROR(FIND("-",LEFT(CH1424,8))),ISNUMBER(-LEFT(CH1424,8))),VALUE(MID(CH1424,7,2)),VALUE(MID(CH1424,FIND("-",CH1424,FIND("-",CH1424)+1)+1,FIND("-",CH1424,FIND("-",CH1424,FIND("-",CH1424)+1)+1)-FIND("-",CH1424,FIND("-",CH1424)+1)-1))),""))</f>
        <v/>
      </c>
    </row>
    <row r="1425">
      <c r="CH1425">
        <f>IF(ISTEXT('월 가계부'!A1425),SUBSTITUTE(SUBSTITUTE(SUBSTITUTE(SUBSTITUTE(SUBSTITUTE(SUBSTITUTE(SUBSTITUTE(SUBSTITUTE(SUBSTITUTE(TRIM('월 가계부'!A1425),"년","-"),"월","-"),"일",""),".","-"),"/","-")," ","-"),"--","-"),"--","-"),"--","-")&amp;"-","")</f>
        <v/>
      </c>
      <c r="CI1425">
        <f>IFERROR(IF('월 가계부'!A1425="","",IF(ISNUMBER('월 가계부'!A1425),IF(AND('월 가계부'!A1425&gt;=19000101,'월 가계부'!A1425&lt;=21001231),IF(AND(MOD(INT('월 가계부'!A1425/100),100)&gt;=1,MOD(INT('월 가계부'!A1425/100),100)&lt;=12,MOD(INT('월 가계부'!A1425),100)&gt;=1,MOD(INT('월 가계부'!A1425),100)&lt;=31),IF(MONTH(DATE(INT('월 가계부'!A1425/10000),MOD(INT('월 가계부'!A1425/100),100),MOD(INT('월 가계부'!A1425),100)))=MOD(INT('월 가계부'!A1425/100),100),DATE(INT('월 가계부'!A1425/10000),MOD(INT('월 가계부'!A1425/100),100),MOD(INT('월 가계부'!A1425),100)),""),""),IF(AND('월 가계부'!A1425&gt;=36526,'월 가계부'!A1425&lt;73051),INT('월 가계부'!A1425),"")),IF(OR(CM1425="",CN1425="",CO1425=""),"",IF(AND(CM1425&gt;=2000,CM1425&lt;=2099,CN1425&gt;=1,CN1425&lt;=12,CO1425&gt;=1,CO1425&lt;=31),IF(MONTH(DATE(CM1425,CN1425,CO1425))=CN1425,DATE(CM1425,CN1425,CO1425),""),"")))),"")</f>
        <v/>
      </c>
      <c r="CJ1425">
        <f>IFERROR(IF('월 가계부'!C1425="","",IF(ISNUMBER('월 가계부'!C1425),'월 가계부'!C1425,VALUE(SUBSTITUTE(SUBSTITUTE(SUBSTITUTE(SUBSTITUTE(TRIM('월 가계부'!C1425),",",""),"원","")," ",""),"−","-")))),"")</f>
        <v/>
      </c>
      <c r="CK1425">
        <f>IF(ISNUMBER(CI1425),IF(CI1425&lt;$B$13,CI1425,""),"")</f>
        <v/>
      </c>
      <c r="CM1425">
        <f>IF(CH1425="","",IFERROR(IF(IF(AND(LEN(CH1425)=9,ISERROR(FIND("-",LEFT(CH1425,8))),ISNUMBER(-LEFT(CH1425,8))),VALUE(LEFT(CH1425,4)),VALUE(LEFT(CH1425,FIND("-",CH1425)-1)))&lt;100,IF(AND(LEN(CH1425)=9,ISERROR(FIND("-",LEFT(CH1425,8))),ISNUMBER(-LEFT(CH1425,8))),VALUE(LEFT(CH1425,4)),VALUE(LEFT(CH1425,FIND("-",CH1425)-1)))+2000,IF(AND(LEN(CH1425)=9,ISERROR(FIND("-",LEFT(CH1425,8))),ISNUMBER(-LEFT(CH1425,8))),VALUE(LEFT(CH1425,4)),VALUE(LEFT(CH1425,FIND("-",CH1425)-1)))),""))</f>
        <v/>
      </c>
      <c r="CN1425">
        <f>IF(CH1425="","",IFERROR(IF(AND(LEN(CH1425)=9,ISERROR(FIND("-",LEFT(CH1425,8))),ISNUMBER(-LEFT(CH1425,8))),VALUE(MID(CH1425,5,2)),VALUE(MID(CH1425,FIND("-",CH1425)+1,FIND("-",CH1425,FIND("-",CH1425)+1)-FIND("-",CH1425)-1))),""))</f>
        <v/>
      </c>
      <c r="CO1425">
        <f>IF(CH1425="","",IFERROR(IF(AND(LEN(CH1425)=9,ISERROR(FIND("-",LEFT(CH1425,8))),ISNUMBER(-LEFT(CH1425,8))),VALUE(MID(CH1425,7,2)),VALUE(MID(CH1425,FIND("-",CH1425,FIND("-",CH1425)+1)+1,FIND("-",CH1425,FIND("-",CH1425,FIND("-",CH1425)+1)+1)-FIND("-",CH1425,FIND("-",CH1425)+1)-1))),""))</f>
        <v/>
      </c>
    </row>
    <row r="1426">
      <c r="CH1426">
        <f>IF(ISTEXT('월 가계부'!A1426),SUBSTITUTE(SUBSTITUTE(SUBSTITUTE(SUBSTITUTE(SUBSTITUTE(SUBSTITUTE(SUBSTITUTE(SUBSTITUTE(SUBSTITUTE(TRIM('월 가계부'!A1426),"년","-"),"월","-"),"일",""),".","-"),"/","-")," ","-"),"--","-"),"--","-"),"--","-")&amp;"-","")</f>
        <v/>
      </c>
      <c r="CI1426">
        <f>IFERROR(IF('월 가계부'!A1426="","",IF(ISNUMBER('월 가계부'!A1426),IF(AND('월 가계부'!A1426&gt;=19000101,'월 가계부'!A1426&lt;=21001231),IF(AND(MOD(INT('월 가계부'!A1426/100),100)&gt;=1,MOD(INT('월 가계부'!A1426/100),100)&lt;=12,MOD(INT('월 가계부'!A1426),100)&gt;=1,MOD(INT('월 가계부'!A1426),100)&lt;=31),IF(MONTH(DATE(INT('월 가계부'!A1426/10000),MOD(INT('월 가계부'!A1426/100),100),MOD(INT('월 가계부'!A1426),100)))=MOD(INT('월 가계부'!A1426/100),100),DATE(INT('월 가계부'!A1426/10000),MOD(INT('월 가계부'!A1426/100),100),MOD(INT('월 가계부'!A1426),100)),""),""),IF(AND('월 가계부'!A1426&gt;=36526,'월 가계부'!A1426&lt;73051),INT('월 가계부'!A1426),"")),IF(OR(CM1426="",CN1426="",CO1426=""),"",IF(AND(CM1426&gt;=2000,CM1426&lt;=2099,CN1426&gt;=1,CN1426&lt;=12,CO1426&gt;=1,CO1426&lt;=31),IF(MONTH(DATE(CM1426,CN1426,CO1426))=CN1426,DATE(CM1426,CN1426,CO1426),""),"")))),"")</f>
        <v/>
      </c>
      <c r="CJ1426">
        <f>IFERROR(IF('월 가계부'!C1426="","",IF(ISNUMBER('월 가계부'!C1426),'월 가계부'!C1426,VALUE(SUBSTITUTE(SUBSTITUTE(SUBSTITUTE(SUBSTITUTE(TRIM('월 가계부'!C1426),",",""),"원","")," ",""),"−","-")))),"")</f>
        <v/>
      </c>
      <c r="CK1426">
        <f>IF(ISNUMBER(CI1426),IF(CI1426&lt;$B$13,CI1426,""),"")</f>
        <v/>
      </c>
      <c r="CM1426">
        <f>IF(CH1426="","",IFERROR(IF(IF(AND(LEN(CH1426)=9,ISERROR(FIND("-",LEFT(CH1426,8))),ISNUMBER(-LEFT(CH1426,8))),VALUE(LEFT(CH1426,4)),VALUE(LEFT(CH1426,FIND("-",CH1426)-1)))&lt;100,IF(AND(LEN(CH1426)=9,ISERROR(FIND("-",LEFT(CH1426,8))),ISNUMBER(-LEFT(CH1426,8))),VALUE(LEFT(CH1426,4)),VALUE(LEFT(CH1426,FIND("-",CH1426)-1)))+2000,IF(AND(LEN(CH1426)=9,ISERROR(FIND("-",LEFT(CH1426,8))),ISNUMBER(-LEFT(CH1426,8))),VALUE(LEFT(CH1426,4)),VALUE(LEFT(CH1426,FIND("-",CH1426)-1)))),""))</f>
        <v/>
      </c>
      <c r="CN1426">
        <f>IF(CH1426="","",IFERROR(IF(AND(LEN(CH1426)=9,ISERROR(FIND("-",LEFT(CH1426,8))),ISNUMBER(-LEFT(CH1426,8))),VALUE(MID(CH1426,5,2)),VALUE(MID(CH1426,FIND("-",CH1426)+1,FIND("-",CH1426,FIND("-",CH1426)+1)-FIND("-",CH1426)-1))),""))</f>
        <v/>
      </c>
      <c r="CO1426">
        <f>IF(CH1426="","",IFERROR(IF(AND(LEN(CH1426)=9,ISERROR(FIND("-",LEFT(CH1426,8))),ISNUMBER(-LEFT(CH1426,8))),VALUE(MID(CH1426,7,2)),VALUE(MID(CH1426,FIND("-",CH1426,FIND("-",CH1426)+1)+1,FIND("-",CH1426,FIND("-",CH1426,FIND("-",CH1426)+1)+1)-FIND("-",CH1426,FIND("-",CH1426)+1)-1))),""))</f>
        <v/>
      </c>
    </row>
    <row r="1427">
      <c r="CH1427">
        <f>IF(ISTEXT('월 가계부'!A1427),SUBSTITUTE(SUBSTITUTE(SUBSTITUTE(SUBSTITUTE(SUBSTITUTE(SUBSTITUTE(SUBSTITUTE(SUBSTITUTE(SUBSTITUTE(TRIM('월 가계부'!A1427),"년","-"),"월","-"),"일",""),".","-"),"/","-")," ","-"),"--","-"),"--","-"),"--","-")&amp;"-","")</f>
        <v/>
      </c>
      <c r="CI1427">
        <f>IFERROR(IF('월 가계부'!A1427="","",IF(ISNUMBER('월 가계부'!A1427),IF(AND('월 가계부'!A1427&gt;=19000101,'월 가계부'!A1427&lt;=21001231),IF(AND(MOD(INT('월 가계부'!A1427/100),100)&gt;=1,MOD(INT('월 가계부'!A1427/100),100)&lt;=12,MOD(INT('월 가계부'!A1427),100)&gt;=1,MOD(INT('월 가계부'!A1427),100)&lt;=31),IF(MONTH(DATE(INT('월 가계부'!A1427/10000),MOD(INT('월 가계부'!A1427/100),100),MOD(INT('월 가계부'!A1427),100)))=MOD(INT('월 가계부'!A1427/100),100),DATE(INT('월 가계부'!A1427/10000),MOD(INT('월 가계부'!A1427/100),100),MOD(INT('월 가계부'!A1427),100)),""),""),IF(AND('월 가계부'!A1427&gt;=36526,'월 가계부'!A1427&lt;73051),INT('월 가계부'!A1427),"")),IF(OR(CM1427="",CN1427="",CO1427=""),"",IF(AND(CM1427&gt;=2000,CM1427&lt;=2099,CN1427&gt;=1,CN1427&lt;=12,CO1427&gt;=1,CO1427&lt;=31),IF(MONTH(DATE(CM1427,CN1427,CO1427))=CN1427,DATE(CM1427,CN1427,CO1427),""),"")))),"")</f>
        <v/>
      </c>
      <c r="CJ1427">
        <f>IFERROR(IF('월 가계부'!C1427="","",IF(ISNUMBER('월 가계부'!C1427),'월 가계부'!C1427,VALUE(SUBSTITUTE(SUBSTITUTE(SUBSTITUTE(SUBSTITUTE(TRIM('월 가계부'!C1427),",",""),"원","")," ",""),"−","-")))),"")</f>
        <v/>
      </c>
      <c r="CK1427">
        <f>IF(ISNUMBER(CI1427),IF(CI1427&lt;$B$13,CI1427,""),"")</f>
        <v/>
      </c>
      <c r="CM1427">
        <f>IF(CH1427="","",IFERROR(IF(IF(AND(LEN(CH1427)=9,ISERROR(FIND("-",LEFT(CH1427,8))),ISNUMBER(-LEFT(CH1427,8))),VALUE(LEFT(CH1427,4)),VALUE(LEFT(CH1427,FIND("-",CH1427)-1)))&lt;100,IF(AND(LEN(CH1427)=9,ISERROR(FIND("-",LEFT(CH1427,8))),ISNUMBER(-LEFT(CH1427,8))),VALUE(LEFT(CH1427,4)),VALUE(LEFT(CH1427,FIND("-",CH1427)-1)))+2000,IF(AND(LEN(CH1427)=9,ISERROR(FIND("-",LEFT(CH1427,8))),ISNUMBER(-LEFT(CH1427,8))),VALUE(LEFT(CH1427,4)),VALUE(LEFT(CH1427,FIND("-",CH1427)-1)))),""))</f>
        <v/>
      </c>
      <c r="CN1427">
        <f>IF(CH1427="","",IFERROR(IF(AND(LEN(CH1427)=9,ISERROR(FIND("-",LEFT(CH1427,8))),ISNUMBER(-LEFT(CH1427,8))),VALUE(MID(CH1427,5,2)),VALUE(MID(CH1427,FIND("-",CH1427)+1,FIND("-",CH1427,FIND("-",CH1427)+1)-FIND("-",CH1427)-1))),""))</f>
        <v/>
      </c>
      <c r="CO1427">
        <f>IF(CH1427="","",IFERROR(IF(AND(LEN(CH1427)=9,ISERROR(FIND("-",LEFT(CH1427,8))),ISNUMBER(-LEFT(CH1427,8))),VALUE(MID(CH1427,7,2)),VALUE(MID(CH1427,FIND("-",CH1427,FIND("-",CH1427)+1)+1,FIND("-",CH1427,FIND("-",CH1427,FIND("-",CH1427)+1)+1)-FIND("-",CH1427,FIND("-",CH1427)+1)-1))),""))</f>
        <v/>
      </c>
    </row>
    <row r="1428">
      <c r="CH1428">
        <f>IF(ISTEXT('월 가계부'!A1428),SUBSTITUTE(SUBSTITUTE(SUBSTITUTE(SUBSTITUTE(SUBSTITUTE(SUBSTITUTE(SUBSTITUTE(SUBSTITUTE(SUBSTITUTE(TRIM('월 가계부'!A1428),"년","-"),"월","-"),"일",""),".","-"),"/","-")," ","-"),"--","-"),"--","-"),"--","-")&amp;"-","")</f>
        <v/>
      </c>
      <c r="CI1428">
        <f>IFERROR(IF('월 가계부'!A1428="","",IF(ISNUMBER('월 가계부'!A1428),IF(AND('월 가계부'!A1428&gt;=19000101,'월 가계부'!A1428&lt;=21001231),IF(AND(MOD(INT('월 가계부'!A1428/100),100)&gt;=1,MOD(INT('월 가계부'!A1428/100),100)&lt;=12,MOD(INT('월 가계부'!A1428),100)&gt;=1,MOD(INT('월 가계부'!A1428),100)&lt;=31),IF(MONTH(DATE(INT('월 가계부'!A1428/10000),MOD(INT('월 가계부'!A1428/100),100),MOD(INT('월 가계부'!A1428),100)))=MOD(INT('월 가계부'!A1428/100),100),DATE(INT('월 가계부'!A1428/10000),MOD(INT('월 가계부'!A1428/100),100),MOD(INT('월 가계부'!A1428),100)),""),""),IF(AND('월 가계부'!A1428&gt;=36526,'월 가계부'!A1428&lt;73051),INT('월 가계부'!A1428),"")),IF(OR(CM1428="",CN1428="",CO1428=""),"",IF(AND(CM1428&gt;=2000,CM1428&lt;=2099,CN1428&gt;=1,CN1428&lt;=12,CO1428&gt;=1,CO1428&lt;=31),IF(MONTH(DATE(CM1428,CN1428,CO1428))=CN1428,DATE(CM1428,CN1428,CO1428),""),"")))),"")</f>
        <v/>
      </c>
      <c r="CJ1428">
        <f>IFERROR(IF('월 가계부'!C1428="","",IF(ISNUMBER('월 가계부'!C1428),'월 가계부'!C1428,VALUE(SUBSTITUTE(SUBSTITUTE(SUBSTITUTE(SUBSTITUTE(TRIM('월 가계부'!C1428),",",""),"원","")," ",""),"−","-")))),"")</f>
        <v/>
      </c>
      <c r="CK1428">
        <f>IF(ISNUMBER(CI1428),IF(CI1428&lt;$B$13,CI1428,""),"")</f>
        <v/>
      </c>
      <c r="CM1428">
        <f>IF(CH1428="","",IFERROR(IF(IF(AND(LEN(CH1428)=9,ISERROR(FIND("-",LEFT(CH1428,8))),ISNUMBER(-LEFT(CH1428,8))),VALUE(LEFT(CH1428,4)),VALUE(LEFT(CH1428,FIND("-",CH1428)-1)))&lt;100,IF(AND(LEN(CH1428)=9,ISERROR(FIND("-",LEFT(CH1428,8))),ISNUMBER(-LEFT(CH1428,8))),VALUE(LEFT(CH1428,4)),VALUE(LEFT(CH1428,FIND("-",CH1428)-1)))+2000,IF(AND(LEN(CH1428)=9,ISERROR(FIND("-",LEFT(CH1428,8))),ISNUMBER(-LEFT(CH1428,8))),VALUE(LEFT(CH1428,4)),VALUE(LEFT(CH1428,FIND("-",CH1428)-1)))),""))</f>
        <v/>
      </c>
      <c r="CN1428">
        <f>IF(CH1428="","",IFERROR(IF(AND(LEN(CH1428)=9,ISERROR(FIND("-",LEFT(CH1428,8))),ISNUMBER(-LEFT(CH1428,8))),VALUE(MID(CH1428,5,2)),VALUE(MID(CH1428,FIND("-",CH1428)+1,FIND("-",CH1428,FIND("-",CH1428)+1)-FIND("-",CH1428)-1))),""))</f>
        <v/>
      </c>
      <c r="CO1428">
        <f>IF(CH1428="","",IFERROR(IF(AND(LEN(CH1428)=9,ISERROR(FIND("-",LEFT(CH1428,8))),ISNUMBER(-LEFT(CH1428,8))),VALUE(MID(CH1428,7,2)),VALUE(MID(CH1428,FIND("-",CH1428,FIND("-",CH1428)+1)+1,FIND("-",CH1428,FIND("-",CH1428,FIND("-",CH1428)+1)+1)-FIND("-",CH1428,FIND("-",CH1428)+1)-1))),""))</f>
        <v/>
      </c>
    </row>
    <row r="1429">
      <c r="CH1429">
        <f>IF(ISTEXT('월 가계부'!A1429),SUBSTITUTE(SUBSTITUTE(SUBSTITUTE(SUBSTITUTE(SUBSTITUTE(SUBSTITUTE(SUBSTITUTE(SUBSTITUTE(SUBSTITUTE(TRIM('월 가계부'!A1429),"년","-"),"월","-"),"일",""),".","-"),"/","-")," ","-"),"--","-"),"--","-"),"--","-")&amp;"-","")</f>
        <v/>
      </c>
      <c r="CI1429">
        <f>IFERROR(IF('월 가계부'!A1429="","",IF(ISNUMBER('월 가계부'!A1429),IF(AND('월 가계부'!A1429&gt;=19000101,'월 가계부'!A1429&lt;=21001231),IF(AND(MOD(INT('월 가계부'!A1429/100),100)&gt;=1,MOD(INT('월 가계부'!A1429/100),100)&lt;=12,MOD(INT('월 가계부'!A1429),100)&gt;=1,MOD(INT('월 가계부'!A1429),100)&lt;=31),IF(MONTH(DATE(INT('월 가계부'!A1429/10000),MOD(INT('월 가계부'!A1429/100),100),MOD(INT('월 가계부'!A1429),100)))=MOD(INT('월 가계부'!A1429/100),100),DATE(INT('월 가계부'!A1429/10000),MOD(INT('월 가계부'!A1429/100),100),MOD(INT('월 가계부'!A1429),100)),""),""),IF(AND('월 가계부'!A1429&gt;=36526,'월 가계부'!A1429&lt;73051),INT('월 가계부'!A1429),"")),IF(OR(CM1429="",CN1429="",CO1429=""),"",IF(AND(CM1429&gt;=2000,CM1429&lt;=2099,CN1429&gt;=1,CN1429&lt;=12,CO1429&gt;=1,CO1429&lt;=31),IF(MONTH(DATE(CM1429,CN1429,CO1429))=CN1429,DATE(CM1429,CN1429,CO1429),""),"")))),"")</f>
        <v/>
      </c>
      <c r="CJ1429">
        <f>IFERROR(IF('월 가계부'!C1429="","",IF(ISNUMBER('월 가계부'!C1429),'월 가계부'!C1429,VALUE(SUBSTITUTE(SUBSTITUTE(SUBSTITUTE(SUBSTITUTE(TRIM('월 가계부'!C1429),",",""),"원","")," ",""),"−","-")))),"")</f>
        <v/>
      </c>
      <c r="CK1429">
        <f>IF(ISNUMBER(CI1429),IF(CI1429&lt;$B$13,CI1429,""),"")</f>
        <v/>
      </c>
      <c r="CM1429">
        <f>IF(CH1429="","",IFERROR(IF(IF(AND(LEN(CH1429)=9,ISERROR(FIND("-",LEFT(CH1429,8))),ISNUMBER(-LEFT(CH1429,8))),VALUE(LEFT(CH1429,4)),VALUE(LEFT(CH1429,FIND("-",CH1429)-1)))&lt;100,IF(AND(LEN(CH1429)=9,ISERROR(FIND("-",LEFT(CH1429,8))),ISNUMBER(-LEFT(CH1429,8))),VALUE(LEFT(CH1429,4)),VALUE(LEFT(CH1429,FIND("-",CH1429)-1)))+2000,IF(AND(LEN(CH1429)=9,ISERROR(FIND("-",LEFT(CH1429,8))),ISNUMBER(-LEFT(CH1429,8))),VALUE(LEFT(CH1429,4)),VALUE(LEFT(CH1429,FIND("-",CH1429)-1)))),""))</f>
        <v/>
      </c>
      <c r="CN1429">
        <f>IF(CH1429="","",IFERROR(IF(AND(LEN(CH1429)=9,ISERROR(FIND("-",LEFT(CH1429,8))),ISNUMBER(-LEFT(CH1429,8))),VALUE(MID(CH1429,5,2)),VALUE(MID(CH1429,FIND("-",CH1429)+1,FIND("-",CH1429,FIND("-",CH1429)+1)-FIND("-",CH1429)-1))),""))</f>
        <v/>
      </c>
      <c r="CO1429">
        <f>IF(CH1429="","",IFERROR(IF(AND(LEN(CH1429)=9,ISERROR(FIND("-",LEFT(CH1429,8))),ISNUMBER(-LEFT(CH1429,8))),VALUE(MID(CH1429,7,2)),VALUE(MID(CH1429,FIND("-",CH1429,FIND("-",CH1429)+1)+1,FIND("-",CH1429,FIND("-",CH1429,FIND("-",CH1429)+1)+1)-FIND("-",CH1429,FIND("-",CH1429)+1)-1))),""))</f>
        <v/>
      </c>
    </row>
    <row r="1430">
      <c r="CH1430">
        <f>IF(ISTEXT('월 가계부'!A1430),SUBSTITUTE(SUBSTITUTE(SUBSTITUTE(SUBSTITUTE(SUBSTITUTE(SUBSTITUTE(SUBSTITUTE(SUBSTITUTE(SUBSTITUTE(TRIM('월 가계부'!A1430),"년","-"),"월","-"),"일",""),".","-"),"/","-")," ","-"),"--","-"),"--","-"),"--","-")&amp;"-","")</f>
        <v/>
      </c>
      <c r="CI1430">
        <f>IFERROR(IF('월 가계부'!A1430="","",IF(ISNUMBER('월 가계부'!A1430),IF(AND('월 가계부'!A1430&gt;=19000101,'월 가계부'!A1430&lt;=21001231),IF(AND(MOD(INT('월 가계부'!A1430/100),100)&gt;=1,MOD(INT('월 가계부'!A1430/100),100)&lt;=12,MOD(INT('월 가계부'!A1430),100)&gt;=1,MOD(INT('월 가계부'!A1430),100)&lt;=31),IF(MONTH(DATE(INT('월 가계부'!A1430/10000),MOD(INT('월 가계부'!A1430/100),100),MOD(INT('월 가계부'!A1430),100)))=MOD(INT('월 가계부'!A1430/100),100),DATE(INT('월 가계부'!A1430/10000),MOD(INT('월 가계부'!A1430/100),100),MOD(INT('월 가계부'!A1430),100)),""),""),IF(AND('월 가계부'!A1430&gt;=36526,'월 가계부'!A1430&lt;73051),INT('월 가계부'!A1430),"")),IF(OR(CM1430="",CN1430="",CO1430=""),"",IF(AND(CM1430&gt;=2000,CM1430&lt;=2099,CN1430&gt;=1,CN1430&lt;=12,CO1430&gt;=1,CO1430&lt;=31),IF(MONTH(DATE(CM1430,CN1430,CO1430))=CN1430,DATE(CM1430,CN1430,CO1430),""),"")))),"")</f>
        <v/>
      </c>
      <c r="CJ1430">
        <f>IFERROR(IF('월 가계부'!C1430="","",IF(ISNUMBER('월 가계부'!C1430),'월 가계부'!C1430,VALUE(SUBSTITUTE(SUBSTITUTE(SUBSTITUTE(SUBSTITUTE(TRIM('월 가계부'!C1430),",",""),"원","")," ",""),"−","-")))),"")</f>
        <v/>
      </c>
      <c r="CK1430">
        <f>IF(ISNUMBER(CI1430),IF(CI1430&lt;$B$13,CI1430,""),"")</f>
        <v/>
      </c>
      <c r="CM1430">
        <f>IF(CH1430="","",IFERROR(IF(IF(AND(LEN(CH1430)=9,ISERROR(FIND("-",LEFT(CH1430,8))),ISNUMBER(-LEFT(CH1430,8))),VALUE(LEFT(CH1430,4)),VALUE(LEFT(CH1430,FIND("-",CH1430)-1)))&lt;100,IF(AND(LEN(CH1430)=9,ISERROR(FIND("-",LEFT(CH1430,8))),ISNUMBER(-LEFT(CH1430,8))),VALUE(LEFT(CH1430,4)),VALUE(LEFT(CH1430,FIND("-",CH1430)-1)))+2000,IF(AND(LEN(CH1430)=9,ISERROR(FIND("-",LEFT(CH1430,8))),ISNUMBER(-LEFT(CH1430,8))),VALUE(LEFT(CH1430,4)),VALUE(LEFT(CH1430,FIND("-",CH1430)-1)))),""))</f>
        <v/>
      </c>
      <c r="CN1430">
        <f>IF(CH1430="","",IFERROR(IF(AND(LEN(CH1430)=9,ISERROR(FIND("-",LEFT(CH1430,8))),ISNUMBER(-LEFT(CH1430,8))),VALUE(MID(CH1430,5,2)),VALUE(MID(CH1430,FIND("-",CH1430)+1,FIND("-",CH1430,FIND("-",CH1430)+1)-FIND("-",CH1430)-1))),""))</f>
        <v/>
      </c>
      <c r="CO1430">
        <f>IF(CH1430="","",IFERROR(IF(AND(LEN(CH1430)=9,ISERROR(FIND("-",LEFT(CH1430,8))),ISNUMBER(-LEFT(CH1430,8))),VALUE(MID(CH1430,7,2)),VALUE(MID(CH1430,FIND("-",CH1430,FIND("-",CH1430)+1)+1,FIND("-",CH1430,FIND("-",CH1430,FIND("-",CH1430)+1)+1)-FIND("-",CH1430,FIND("-",CH1430)+1)-1))),""))</f>
        <v/>
      </c>
    </row>
    <row r="1431">
      <c r="CH1431">
        <f>IF(ISTEXT('월 가계부'!A1431),SUBSTITUTE(SUBSTITUTE(SUBSTITUTE(SUBSTITUTE(SUBSTITUTE(SUBSTITUTE(SUBSTITUTE(SUBSTITUTE(SUBSTITUTE(TRIM('월 가계부'!A1431),"년","-"),"월","-"),"일",""),".","-"),"/","-")," ","-"),"--","-"),"--","-"),"--","-")&amp;"-","")</f>
        <v/>
      </c>
      <c r="CI1431">
        <f>IFERROR(IF('월 가계부'!A1431="","",IF(ISNUMBER('월 가계부'!A1431),IF(AND('월 가계부'!A1431&gt;=19000101,'월 가계부'!A1431&lt;=21001231),IF(AND(MOD(INT('월 가계부'!A1431/100),100)&gt;=1,MOD(INT('월 가계부'!A1431/100),100)&lt;=12,MOD(INT('월 가계부'!A1431),100)&gt;=1,MOD(INT('월 가계부'!A1431),100)&lt;=31),IF(MONTH(DATE(INT('월 가계부'!A1431/10000),MOD(INT('월 가계부'!A1431/100),100),MOD(INT('월 가계부'!A1431),100)))=MOD(INT('월 가계부'!A1431/100),100),DATE(INT('월 가계부'!A1431/10000),MOD(INT('월 가계부'!A1431/100),100),MOD(INT('월 가계부'!A1431),100)),""),""),IF(AND('월 가계부'!A1431&gt;=36526,'월 가계부'!A1431&lt;73051),INT('월 가계부'!A1431),"")),IF(OR(CM1431="",CN1431="",CO1431=""),"",IF(AND(CM1431&gt;=2000,CM1431&lt;=2099,CN1431&gt;=1,CN1431&lt;=12,CO1431&gt;=1,CO1431&lt;=31),IF(MONTH(DATE(CM1431,CN1431,CO1431))=CN1431,DATE(CM1431,CN1431,CO1431),""),"")))),"")</f>
        <v/>
      </c>
      <c r="CJ1431">
        <f>IFERROR(IF('월 가계부'!C1431="","",IF(ISNUMBER('월 가계부'!C1431),'월 가계부'!C1431,VALUE(SUBSTITUTE(SUBSTITUTE(SUBSTITUTE(SUBSTITUTE(TRIM('월 가계부'!C1431),",",""),"원","")," ",""),"−","-")))),"")</f>
        <v/>
      </c>
      <c r="CK1431">
        <f>IF(ISNUMBER(CI1431),IF(CI1431&lt;$B$13,CI1431,""),"")</f>
        <v/>
      </c>
      <c r="CM1431">
        <f>IF(CH1431="","",IFERROR(IF(IF(AND(LEN(CH1431)=9,ISERROR(FIND("-",LEFT(CH1431,8))),ISNUMBER(-LEFT(CH1431,8))),VALUE(LEFT(CH1431,4)),VALUE(LEFT(CH1431,FIND("-",CH1431)-1)))&lt;100,IF(AND(LEN(CH1431)=9,ISERROR(FIND("-",LEFT(CH1431,8))),ISNUMBER(-LEFT(CH1431,8))),VALUE(LEFT(CH1431,4)),VALUE(LEFT(CH1431,FIND("-",CH1431)-1)))+2000,IF(AND(LEN(CH1431)=9,ISERROR(FIND("-",LEFT(CH1431,8))),ISNUMBER(-LEFT(CH1431,8))),VALUE(LEFT(CH1431,4)),VALUE(LEFT(CH1431,FIND("-",CH1431)-1)))),""))</f>
        <v/>
      </c>
      <c r="CN1431">
        <f>IF(CH1431="","",IFERROR(IF(AND(LEN(CH1431)=9,ISERROR(FIND("-",LEFT(CH1431,8))),ISNUMBER(-LEFT(CH1431,8))),VALUE(MID(CH1431,5,2)),VALUE(MID(CH1431,FIND("-",CH1431)+1,FIND("-",CH1431,FIND("-",CH1431)+1)-FIND("-",CH1431)-1))),""))</f>
        <v/>
      </c>
      <c r="CO1431">
        <f>IF(CH1431="","",IFERROR(IF(AND(LEN(CH1431)=9,ISERROR(FIND("-",LEFT(CH1431,8))),ISNUMBER(-LEFT(CH1431,8))),VALUE(MID(CH1431,7,2)),VALUE(MID(CH1431,FIND("-",CH1431,FIND("-",CH1431)+1)+1,FIND("-",CH1431,FIND("-",CH1431,FIND("-",CH1431)+1)+1)-FIND("-",CH1431,FIND("-",CH1431)+1)-1))),""))</f>
        <v/>
      </c>
    </row>
    <row r="1432">
      <c r="CH1432">
        <f>IF(ISTEXT('월 가계부'!A1432),SUBSTITUTE(SUBSTITUTE(SUBSTITUTE(SUBSTITUTE(SUBSTITUTE(SUBSTITUTE(SUBSTITUTE(SUBSTITUTE(SUBSTITUTE(TRIM('월 가계부'!A1432),"년","-"),"월","-"),"일",""),".","-"),"/","-")," ","-"),"--","-"),"--","-"),"--","-")&amp;"-","")</f>
        <v/>
      </c>
      <c r="CI1432">
        <f>IFERROR(IF('월 가계부'!A1432="","",IF(ISNUMBER('월 가계부'!A1432),IF(AND('월 가계부'!A1432&gt;=19000101,'월 가계부'!A1432&lt;=21001231),IF(AND(MOD(INT('월 가계부'!A1432/100),100)&gt;=1,MOD(INT('월 가계부'!A1432/100),100)&lt;=12,MOD(INT('월 가계부'!A1432),100)&gt;=1,MOD(INT('월 가계부'!A1432),100)&lt;=31),IF(MONTH(DATE(INT('월 가계부'!A1432/10000),MOD(INT('월 가계부'!A1432/100),100),MOD(INT('월 가계부'!A1432),100)))=MOD(INT('월 가계부'!A1432/100),100),DATE(INT('월 가계부'!A1432/10000),MOD(INT('월 가계부'!A1432/100),100),MOD(INT('월 가계부'!A1432),100)),""),""),IF(AND('월 가계부'!A1432&gt;=36526,'월 가계부'!A1432&lt;73051),INT('월 가계부'!A1432),"")),IF(OR(CM1432="",CN1432="",CO1432=""),"",IF(AND(CM1432&gt;=2000,CM1432&lt;=2099,CN1432&gt;=1,CN1432&lt;=12,CO1432&gt;=1,CO1432&lt;=31),IF(MONTH(DATE(CM1432,CN1432,CO1432))=CN1432,DATE(CM1432,CN1432,CO1432),""),"")))),"")</f>
        <v/>
      </c>
      <c r="CJ1432">
        <f>IFERROR(IF('월 가계부'!C1432="","",IF(ISNUMBER('월 가계부'!C1432),'월 가계부'!C1432,VALUE(SUBSTITUTE(SUBSTITUTE(SUBSTITUTE(SUBSTITUTE(TRIM('월 가계부'!C1432),",",""),"원","")," ",""),"−","-")))),"")</f>
        <v/>
      </c>
      <c r="CK1432">
        <f>IF(ISNUMBER(CI1432),IF(CI1432&lt;$B$13,CI1432,""),"")</f>
        <v/>
      </c>
      <c r="CM1432">
        <f>IF(CH1432="","",IFERROR(IF(IF(AND(LEN(CH1432)=9,ISERROR(FIND("-",LEFT(CH1432,8))),ISNUMBER(-LEFT(CH1432,8))),VALUE(LEFT(CH1432,4)),VALUE(LEFT(CH1432,FIND("-",CH1432)-1)))&lt;100,IF(AND(LEN(CH1432)=9,ISERROR(FIND("-",LEFT(CH1432,8))),ISNUMBER(-LEFT(CH1432,8))),VALUE(LEFT(CH1432,4)),VALUE(LEFT(CH1432,FIND("-",CH1432)-1)))+2000,IF(AND(LEN(CH1432)=9,ISERROR(FIND("-",LEFT(CH1432,8))),ISNUMBER(-LEFT(CH1432,8))),VALUE(LEFT(CH1432,4)),VALUE(LEFT(CH1432,FIND("-",CH1432)-1)))),""))</f>
        <v/>
      </c>
      <c r="CN1432">
        <f>IF(CH1432="","",IFERROR(IF(AND(LEN(CH1432)=9,ISERROR(FIND("-",LEFT(CH1432,8))),ISNUMBER(-LEFT(CH1432,8))),VALUE(MID(CH1432,5,2)),VALUE(MID(CH1432,FIND("-",CH1432)+1,FIND("-",CH1432,FIND("-",CH1432)+1)-FIND("-",CH1432)-1))),""))</f>
        <v/>
      </c>
      <c r="CO1432">
        <f>IF(CH1432="","",IFERROR(IF(AND(LEN(CH1432)=9,ISERROR(FIND("-",LEFT(CH1432,8))),ISNUMBER(-LEFT(CH1432,8))),VALUE(MID(CH1432,7,2)),VALUE(MID(CH1432,FIND("-",CH1432,FIND("-",CH1432)+1)+1,FIND("-",CH1432,FIND("-",CH1432,FIND("-",CH1432)+1)+1)-FIND("-",CH1432,FIND("-",CH1432)+1)-1))),""))</f>
        <v/>
      </c>
    </row>
    <row r="1433">
      <c r="CH1433">
        <f>IF(ISTEXT('월 가계부'!A1433),SUBSTITUTE(SUBSTITUTE(SUBSTITUTE(SUBSTITUTE(SUBSTITUTE(SUBSTITUTE(SUBSTITUTE(SUBSTITUTE(SUBSTITUTE(TRIM('월 가계부'!A1433),"년","-"),"월","-"),"일",""),".","-"),"/","-")," ","-"),"--","-"),"--","-"),"--","-")&amp;"-","")</f>
        <v/>
      </c>
      <c r="CI1433">
        <f>IFERROR(IF('월 가계부'!A1433="","",IF(ISNUMBER('월 가계부'!A1433),IF(AND('월 가계부'!A1433&gt;=19000101,'월 가계부'!A1433&lt;=21001231),IF(AND(MOD(INT('월 가계부'!A1433/100),100)&gt;=1,MOD(INT('월 가계부'!A1433/100),100)&lt;=12,MOD(INT('월 가계부'!A1433),100)&gt;=1,MOD(INT('월 가계부'!A1433),100)&lt;=31),IF(MONTH(DATE(INT('월 가계부'!A1433/10000),MOD(INT('월 가계부'!A1433/100),100),MOD(INT('월 가계부'!A1433),100)))=MOD(INT('월 가계부'!A1433/100),100),DATE(INT('월 가계부'!A1433/10000),MOD(INT('월 가계부'!A1433/100),100),MOD(INT('월 가계부'!A1433),100)),""),""),IF(AND('월 가계부'!A1433&gt;=36526,'월 가계부'!A1433&lt;73051),INT('월 가계부'!A1433),"")),IF(OR(CM1433="",CN1433="",CO1433=""),"",IF(AND(CM1433&gt;=2000,CM1433&lt;=2099,CN1433&gt;=1,CN1433&lt;=12,CO1433&gt;=1,CO1433&lt;=31),IF(MONTH(DATE(CM1433,CN1433,CO1433))=CN1433,DATE(CM1433,CN1433,CO1433),""),"")))),"")</f>
        <v/>
      </c>
      <c r="CJ1433">
        <f>IFERROR(IF('월 가계부'!C1433="","",IF(ISNUMBER('월 가계부'!C1433),'월 가계부'!C1433,VALUE(SUBSTITUTE(SUBSTITUTE(SUBSTITUTE(SUBSTITUTE(TRIM('월 가계부'!C1433),",",""),"원","")," ",""),"−","-")))),"")</f>
        <v/>
      </c>
      <c r="CK1433">
        <f>IF(ISNUMBER(CI1433),IF(CI1433&lt;$B$13,CI1433,""),"")</f>
        <v/>
      </c>
      <c r="CM1433">
        <f>IF(CH1433="","",IFERROR(IF(IF(AND(LEN(CH1433)=9,ISERROR(FIND("-",LEFT(CH1433,8))),ISNUMBER(-LEFT(CH1433,8))),VALUE(LEFT(CH1433,4)),VALUE(LEFT(CH1433,FIND("-",CH1433)-1)))&lt;100,IF(AND(LEN(CH1433)=9,ISERROR(FIND("-",LEFT(CH1433,8))),ISNUMBER(-LEFT(CH1433,8))),VALUE(LEFT(CH1433,4)),VALUE(LEFT(CH1433,FIND("-",CH1433)-1)))+2000,IF(AND(LEN(CH1433)=9,ISERROR(FIND("-",LEFT(CH1433,8))),ISNUMBER(-LEFT(CH1433,8))),VALUE(LEFT(CH1433,4)),VALUE(LEFT(CH1433,FIND("-",CH1433)-1)))),""))</f>
        <v/>
      </c>
      <c r="CN1433">
        <f>IF(CH1433="","",IFERROR(IF(AND(LEN(CH1433)=9,ISERROR(FIND("-",LEFT(CH1433,8))),ISNUMBER(-LEFT(CH1433,8))),VALUE(MID(CH1433,5,2)),VALUE(MID(CH1433,FIND("-",CH1433)+1,FIND("-",CH1433,FIND("-",CH1433)+1)-FIND("-",CH1433)-1))),""))</f>
        <v/>
      </c>
      <c r="CO1433">
        <f>IF(CH1433="","",IFERROR(IF(AND(LEN(CH1433)=9,ISERROR(FIND("-",LEFT(CH1433,8))),ISNUMBER(-LEFT(CH1433,8))),VALUE(MID(CH1433,7,2)),VALUE(MID(CH1433,FIND("-",CH1433,FIND("-",CH1433)+1)+1,FIND("-",CH1433,FIND("-",CH1433,FIND("-",CH1433)+1)+1)-FIND("-",CH1433,FIND("-",CH1433)+1)-1))),""))</f>
        <v/>
      </c>
    </row>
    <row r="1434">
      <c r="CH1434">
        <f>IF(ISTEXT('월 가계부'!A1434),SUBSTITUTE(SUBSTITUTE(SUBSTITUTE(SUBSTITUTE(SUBSTITUTE(SUBSTITUTE(SUBSTITUTE(SUBSTITUTE(SUBSTITUTE(TRIM('월 가계부'!A1434),"년","-"),"월","-"),"일",""),".","-"),"/","-")," ","-"),"--","-"),"--","-"),"--","-")&amp;"-","")</f>
        <v/>
      </c>
      <c r="CI1434">
        <f>IFERROR(IF('월 가계부'!A1434="","",IF(ISNUMBER('월 가계부'!A1434),IF(AND('월 가계부'!A1434&gt;=19000101,'월 가계부'!A1434&lt;=21001231),IF(AND(MOD(INT('월 가계부'!A1434/100),100)&gt;=1,MOD(INT('월 가계부'!A1434/100),100)&lt;=12,MOD(INT('월 가계부'!A1434),100)&gt;=1,MOD(INT('월 가계부'!A1434),100)&lt;=31),IF(MONTH(DATE(INT('월 가계부'!A1434/10000),MOD(INT('월 가계부'!A1434/100),100),MOD(INT('월 가계부'!A1434),100)))=MOD(INT('월 가계부'!A1434/100),100),DATE(INT('월 가계부'!A1434/10000),MOD(INT('월 가계부'!A1434/100),100),MOD(INT('월 가계부'!A1434),100)),""),""),IF(AND('월 가계부'!A1434&gt;=36526,'월 가계부'!A1434&lt;73051),INT('월 가계부'!A1434),"")),IF(OR(CM1434="",CN1434="",CO1434=""),"",IF(AND(CM1434&gt;=2000,CM1434&lt;=2099,CN1434&gt;=1,CN1434&lt;=12,CO1434&gt;=1,CO1434&lt;=31),IF(MONTH(DATE(CM1434,CN1434,CO1434))=CN1434,DATE(CM1434,CN1434,CO1434),""),"")))),"")</f>
        <v/>
      </c>
      <c r="CJ1434">
        <f>IFERROR(IF('월 가계부'!C1434="","",IF(ISNUMBER('월 가계부'!C1434),'월 가계부'!C1434,VALUE(SUBSTITUTE(SUBSTITUTE(SUBSTITUTE(SUBSTITUTE(TRIM('월 가계부'!C1434),",",""),"원","")," ",""),"−","-")))),"")</f>
        <v/>
      </c>
      <c r="CK1434">
        <f>IF(ISNUMBER(CI1434),IF(CI1434&lt;$B$13,CI1434,""),"")</f>
        <v/>
      </c>
      <c r="CM1434">
        <f>IF(CH1434="","",IFERROR(IF(IF(AND(LEN(CH1434)=9,ISERROR(FIND("-",LEFT(CH1434,8))),ISNUMBER(-LEFT(CH1434,8))),VALUE(LEFT(CH1434,4)),VALUE(LEFT(CH1434,FIND("-",CH1434)-1)))&lt;100,IF(AND(LEN(CH1434)=9,ISERROR(FIND("-",LEFT(CH1434,8))),ISNUMBER(-LEFT(CH1434,8))),VALUE(LEFT(CH1434,4)),VALUE(LEFT(CH1434,FIND("-",CH1434)-1)))+2000,IF(AND(LEN(CH1434)=9,ISERROR(FIND("-",LEFT(CH1434,8))),ISNUMBER(-LEFT(CH1434,8))),VALUE(LEFT(CH1434,4)),VALUE(LEFT(CH1434,FIND("-",CH1434)-1)))),""))</f>
        <v/>
      </c>
      <c r="CN1434">
        <f>IF(CH1434="","",IFERROR(IF(AND(LEN(CH1434)=9,ISERROR(FIND("-",LEFT(CH1434,8))),ISNUMBER(-LEFT(CH1434,8))),VALUE(MID(CH1434,5,2)),VALUE(MID(CH1434,FIND("-",CH1434)+1,FIND("-",CH1434,FIND("-",CH1434)+1)-FIND("-",CH1434)-1))),""))</f>
        <v/>
      </c>
      <c r="CO1434">
        <f>IF(CH1434="","",IFERROR(IF(AND(LEN(CH1434)=9,ISERROR(FIND("-",LEFT(CH1434,8))),ISNUMBER(-LEFT(CH1434,8))),VALUE(MID(CH1434,7,2)),VALUE(MID(CH1434,FIND("-",CH1434,FIND("-",CH1434)+1)+1,FIND("-",CH1434,FIND("-",CH1434,FIND("-",CH1434)+1)+1)-FIND("-",CH1434,FIND("-",CH1434)+1)-1))),""))</f>
        <v/>
      </c>
    </row>
    <row r="1435">
      <c r="CH1435">
        <f>IF(ISTEXT('월 가계부'!A1435),SUBSTITUTE(SUBSTITUTE(SUBSTITUTE(SUBSTITUTE(SUBSTITUTE(SUBSTITUTE(SUBSTITUTE(SUBSTITUTE(SUBSTITUTE(TRIM('월 가계부'!A1435),"년","-"),"월","-"),"일",""),".","-"),"/","-")," ","-"),"--","-"),"--","-"),"--","-")&amp;"-","")</f>
        <v/>
      </c>
      <c r="CI1435">
        <f>IFERROR(IF('월 가계부'!A1435="","",IF(ISNUMBER('월 가계부'!A1435),IF(AND('월 가계부'!A1435&gt;=19000101,'월 가계부'!A1435&lt;=21001231),IF(AND(MOD(INT('월 가계부'!A1435/100),100)&gt;=1,MOD(INT('월 가계부'!A1435/100),100)&lt;=12,MOD(INT('월 가계부'!A1435),100)&gt;=1,MOD(INT('월 가계부'!A1435),100)&lt;=31),IF(MONTH(DATE(INT('월 가계부'!A1435/10000),MOD(INT('월 가계부'!A1435/100),100),MOD(INT('월 가계부'!A1435),100)))=MOD(INT('월 가계부'!A1435/100),100),DATE(INT('월 가계부'!A1435/10000),MOD(INT('월 가계부'!A1435/100),100),MOD(INT('월 가계부'!A1435),100)),""),""),IF(AND('월 가계부'!A1435&gt;=36526,'월 가계부'!A1435&lt;73051),INT('월 가계부'!A1435),"")),IF(OR(CM1435="",CN1435="",CO1435=""),"",IF(AND(CM1435&gt;=2000,CM1435&lt;=2099,CN1435&gt;=1,CN1435&lt;=12,CO1435&gt;=1,CO1435&lt;=31),IF(MONTH(DATE(CM1435,CN1435,CO1435))=CN1435,DATE(CM1435,CN1435,CO1435),""),"")))),"")</f>
        <v/>
      </c>
      <c r="CJ1435">
        <f>IFERROR(IF('월 가계부'!C1435="","",IF(ISNUMBER('월 가계부'!C1435),'월 가계부'!C1435,VALUE(SUBSTITUTE(SUBSTITUTE(SUBSTITUTE(SUBSTITUTE(TRIM('월 가계부'!C1435),",",""),"원","")," ",""),"−","-")))),"")</f>
        <v/>
      </c>
      <c r="CK1435">
        <f>IF(ISNUMBER(CI1435),IF(CI1435&lt;$B$13,CI1435,""),"")</f>
        <v/>
      </c>
      <c r="CM1435">
        <f>IF(CH1435="","",IFERROR(IF(IF(AND(LEN(CH1435)=9,ISERROR(FIND("-",LEFT(CH1435,8))),ISNUMBER(-LEFT(CH1435,8))),VALUE(LEFT(CH1435,4)),VALUE(LEFT(CH1435,FIND("-",CH1435)-1)))&lt;100,IF(AND(LEN(CH1435)=9,ISERROR(FIND("-",LEFT(CH1435,8))),ISNUMBER(-LEFT(CH1435,8))),VALUE(LEFT(CH1435,4)),VALUE(LEFT(CH1435,FIND("-",CH1435)-1)))+2000,IF(AND(LEN(CH1435)=9,ISERROR(FIND("-",LEFT(CH1435,8))),ISNUMBER(-LEFT(CH1435,8))),VALUE(LEFT(CH1435,4)),VALUE(LEFT(CH1435,FIND("-",CH1435)-1)))),""))</f>
        <v/>
      </c>
      <c r="CN1435">
        <f>IF(CH1435="","",IFERROR(IF(AND(LEN(CH1435)=9,ISERROR(FIND("-",LEFT(CH1435,8))),ISNUMBER(-LEFT(CH1435,8))),VALUE(MID(CH1435,5,2)),VALUE(MID(CH1435,FIND("-",CH1435)+1,FIND("-",CH1435,FIND("-",CH1435)+1)-FIND("-",CH1435)-1))),""))</f>
        <v/>
      </c>
      <c r="CO1435">
        <f>IF(CH1435="","",IFERROR(IF(AND(LEN(CH1435)=9,ISERROR(FIND("-",LEFT(CH1435,8))),ISNUMBER(-LEFT(CH1435,8))),VALUE(MID(CH1435,7,2)),VALUE(MID(CH1435,FIND("-",CH1435,FIND("-",CH1435)+1)+1,FIND("-",CH1435,FIND("-",CH1435,FIND("-",CH1435)+1)+1)-FIND("-",CH1435,FIND("-",CH1435)+1)-1))),""))</f>
        <v/>
      </c>
    </row>
    <row r="1436">
      <c r="CH1436">
        <f>IF(ISTEXT('월 가계부'!A1436),SUBSTITUTE(SUBSTITUTE(SUBSTITUTE(SUBSTITUTE(SUBSTITUTE(SUBSTITUTE(SUBSTITUTE(SUBSTITUTE(SUBSTITUTE(TRIM('월 가계부'!A1436),"년","-"),"월","-"),"일",""),".","-"),"/","-")," ","-"),"--","-"),"--","-"),"--","-")&amp;"-","")</f>
        <v/>
      </c>
      <c r="CI1436">
        <f>IFERROR(IF('월 가계부'!A1436="","",IF(ISNUMBER('월 가계부'!A1436),IF(AND('월 가계부'!A1436&gt;=19000101,'월 가계부'!A1436&lt;=21001231),IF(AND(MOD(INT('월 가계부'!A1436/100),100)&gt;=1,MOD(INT('월 가계부'!A1436/100),100)&lt;=12,MOD(INT('월 가계부'!A1436),100)&gt;=1,MOD(INT('월 가계부'!A1436),100)&lt;=31),IF(MONTH(DATE(INT('월 가계부'!A1436/10000),MOD(INT('월 가계부'!A1436/100),100),MOD(INT('월 가계부'!A1436),100)))=MOD(INT('월 가계부'!A1436/100),100),DATE(INT('월 가계부'!A1436/10000),MOD(INT('월 가계부'!A1436/100),100),MOD(INT('월 가계부'!A1436),100)),""),""),IF(AND('월 가계부'!A1436&gt;=36526,'월 가계부'!A1436&lt;73051),INT('월 가계부'!A1436),"")),IF(OR(CM1436="",CN1436="",CO1436=""),"",IF(AND(CM1436&gt;=2000,CM1436&lt;=2099,CN1436&gt;=1,CN1436&lt;=12,CO1436&gt;=1,CO1436&lt;=31),IF(MONTH(DATE(CM1436,CN1436,CO1436))=CN1436,DATE(CM1436,CN1436,CO1436),""),"")))),"")</f>
        <v/>
      </c>
      <c r="CJ1436">
        <f>IFERROR(IF('월 가계부'!C1436="","",IF(ISNUMBER('월 가계부'!C1436),'월 가계부'!C1436,VALUE(SUBSTITUTE(SUBSTITUTE(SUBSTITUTE(SUBSTITUTE(TRIM('월 가계부'!C1436),",",""),"원","")," ",""),"−","-")))),"")</f>
        <v/>
      </c>
      <c r="CK1436">
        <f>IF(ISNUMBER(CI1436),IF(CI1436&lt;$B$13,CI1436,""),"")</f>
        <v/>
      </c>
      <c r="CM1436">
        <f>IF(CH1436="","",IFERROR(IF(IF(AND(LEN(CH1436)=9,ISERROR(FIND("-",LEFT(CH1436,8))),ISNUMBER(-LEFT(CH1436,8))),VALUE(LEFT(CH1436,4)),VALUE(LEFT(CH1436,FIND("-",CH1436)-1)))&lt;100,IF(AND(LEN(CH1436)=9,ISERROR(FIND("-",LEFT(CH1436,8))),ISNUMBER(-LEFT(CH1436,8))),VALUE(LEFT(CH1436,4)),VALUE(LEFT(CH1436,FIND("-",CH1436)-1)))+2000,IF(AND(LEN(CH1436)=9,ISERROR(FIND("-",LEFT(CH1436,8))),ISNUMBER(-LEFT(CH1436,8))),VALUE(LEFT(CH1436,4)),VALUE(LEFT(CH1436,FIND("-",CH1436)-1)))),""))</f>
        <v/>
      </c>
      <c r="CN1436">
        <f>IF(CH1436="","",IFERROR(IF(AND(LEN(CH1436)=9,ISERROR(FIND("-",LEFT(CH1436,8))),ISNUMBER(-LEFT(CH1436,8))),VALUE(MID(CH1436,5,2)),VALUE(MID(CH1436,FIND("-",CH1436)+1,FIND("-",CH1436,FIND("-",CH1436)+1)-FIND("-",CH1436)-1))),""))</f>
        <v/>
      </c>
      <c r="CO1436">
        <f>IF(CH1436="","",IFERROR(IF(AND(LEN(CH1436)=9,ISERROR(FIND("-",LEFT(CH1436,8))),ISNUMBER(-LEFT(CH1436,8))),VALUE(MID(CH1436,7,2)),VALUE(MID(CH1436,FIND("-",CH1436,FIND("-",CH1436)+1)+1,FIND("-",CH1436,FIND("-",CH1436,FIND("-",CH1436)+1)+1)-FIND("-",CH1436,FIND("-",CH1436)+1)-1))),""))</f>
        <v/>
      </c>
    </row>
    <row r="1437">
      <c r="CH1437">
        <f>IF(ISTEXT('월 가계부'!A1437),SUBSTITUTE(SUBSTITUTE(SUBSTITUTE(SUBSTITUTE(SUBSTITUTE(SUBSTITUTE(SUBSTITUTE(SUBSTITUTE(SUBSTITUTE(TRIM('월 가계부'!A1437),"년","-"),"월","-"),"일",""),".","-"),"/","-")," ","-"),"--","-"),"--","-"),"--","-")&amp;"-","")</f>
        <v/>
      </c>
      <c r="CI1437">
        <f>IFERROR(IF('월 가계부'!A1437="","",IF(ISNUMBER('월 가계부'!A1437),IF(AND('월 가계부'!A1437&gt;=19000101,'월 가계부'!A1437&lt;=21001231),IF(AND(MOD(INT('월 가계부'!A1437/100),100)&gt;=1,MOD(INT('월 가계부'!A1437/100),100)&lt;=12,MOD(INT('월 가계부'!A1437),100)&gt;=1,MOD(INT('월 가계부'!A1437),100)&lt;=31),IF(MONTH(DATE(INT('월 가계부'!A1437/10000),MOD(INT('월 가계부'!A1437/100),100),MOD(INT('월 가계부'!A1437),100)))=MOD(INT('월 가계부'!A1437/100),100),DATE(INT('월 가계부'!A1437/10000),MOD(INT('월 가계부'!A1437/100),100),MOD(INT('월 가계부'!A1437),100)),""),""),IF(AND('월 가계부'!A1437&gt;=36526,'월 가계부'!A1437&lt;73051),INT('월 가계부'!A1437),"")),IF(OR(CM1437="",CN1437="",CO1437=""),"",IF(AND(CM1437&gt;=2000,CM1437&lt;=2099,CN1437&gt;=1,CN1437&lt;=12,CO1437&gt;=1,CO1437&lt;=31),IF(MONTH(DATE(CM1437,CN1437,CO1437))=CN1437,DATE(CM1437,CN1437,CO1437),""),"")))),"")</f>
        <v/>
      </c>
      <c r="CJ1437">
        <f>IFERROR(IF('월 가계부'!C1437="","",IF(ISNUMBER('월 가계부'!C1437),'월 가계부'!C1437,VALUE(SUBSTITUTE(SUBSTITUTE(SUBSTITUTE(SUBSTITUTE(TRIM('월 가계부'!C1437),",",""),"원","")," ",""),"−","-")))),"")</f>
        <v/>
      </c>
      <c r="CK1437">
        <f>IF(ISNUMBER(CI1437),IF(CI1437&lt;$B$13,CI1437,""),"")</f>
        <v/>
      </c>
      <c r="CM1437">
        <f>IF(CH1437="","",IFERROR(IF(IF(AND(LEN(CH1437)=9,ISERROR(FIND("-",LEFT(CH1437,8))),ISNUMBER(-LEFT(CH1437,8))),VALUE(LEFT(CH1437,4)),VALUE(LEFT(CH1437,FIND("-",CH1437)-1)))&lt;100,IF(AND(LEN(CH1437)=9,ISERROR(FIND("-",LEFT(CH1437,8))),ISNUMBER(-LEFT(CH1437,8))),VALUE(LEFT(CH1437,4)),VALUE(LEFT(CH1437,FIND("-",CH1437)-1)))+2000,IF(AND(LEN(CH1437)=9,ISERROR(FIND("-",LEFT(CH1437,8))),ISNUMBER(-LEFT(CH1437,8))),VALUE(LEFT(CH1437,4)),VALUE(LEFT(CH1437,FIND("-",CH1437)-1)))),""))</f>
        <v/>
      </c>
      <c r="CN1437">
        <f>IF(CH1437="","",IFERROR(IF(AND(LEN(CH1437)=9,ISERROR(FIND("-",LEFT(CH1437,8))),ISNUMBER(-LEFT(CH1437,8))),VALUE(MID(CH1437,5,2)),VALUE(MID(CH1437,FIND("-",CH1437)+1,FIND("-",CH1437,FIND("-",CH1437)+1)-FIND("-",CH1437)-1))),""))</f>
        <v/>
      </c>
      <c r="CO1437">
        <f>IF(CH1437="","",IFERROR(IF(AND(LEN(CH1437)=9,ISERROR(FIND("-",LEFT(CH1437,8))),ISNUMBER(-LEFT(CH1437,8))),VALUE(MID(CH1437,7,2)),VALUE(MID(CH1437,FIND("-",CH1437,FIND("-",CH1437)+1)+1,FIND("-",CH1437,FIND("-",CH1437,FIND("-",CH1437)+1)+1)-FIND("-",CH1437,FIND("-",CH1437)+1)-1))),""))</f>
        <v/>
      </c>
    </row>
    <row r="1438">
      <c r="CH1438">
        <f>IF(ISTEXT('월 가계부'!A1438),SUBSTITUTE(SUBSTITUTE(SUBSTITUTE(SUBSTITUTE(SUBSTITUTE(SUBSTITUTE(SUBSTITUTE(SUBSTITUTE(SUBSTITUTE(TRIM('월 가계부'!A1438),"년","-"),"월","-"),"일",""),".","-"),"/","-")," ","-"),"--","-"),"--","-"),"--","-")&amp;"-","")</f>
        <v/>
      </c>
      <c r="CI1438">
        <f>IFERROR(IF('월 가계부'!A1438="","",IF(ISNUMBER('월 가계부'!A1438),IF(AND('월 가계부'!A1438&gt;=19000101,'월 가계부'!A1438&lt;=21001231),IF(AND(MOD(INT('월 가계부'!A1438/100),100)&gt;=1,MOD(INT('월 가계부'!A1438/100),100)&lt;=12,MOD(INT('월 가계부'!A1438),100)&gt;=1,MOD(INT('월 가계부'!A1438),100)&lt;=31),IF(MONTH(DATE(INT('월 가계부'!A1438/10000),MOD(INT('월 가계부'!A1438/100),100),MOD(INT('월 가계부'!A1438),100)))=MOD(INT('월 가계부'!A1438/100),100),DATE(INT('월 가계부'!A1438/10000),MOD(INT('월 가계부'!A1438/100),100),MOD(INT('월 가계부'!A1438),100)),""),""),IF(AND('월 가계부'!A1438&gt;=36526,'월 가계부'!A1438&lt;73051),INT('월 가계부'!A1438),"")),IF(OR(CM1438="",CN1438="",CO1438=""),"",IF(AND(CM1438&gt;=2000,CM1438&lt;=2099,CN1438&gt;=1,CN1438&lt;=12,CO1438&gt;=1,CO1438&lt;=31),IF(MONTH(DATE(CM1438,CN1438,CO1438))=CN1438,DATE(CM1438,CN1438,CO1438),""),"")))),"")</f>
        <v/>
      </c>
      <c r="CJ1438">
        <f>IFERROR(IF('월 가계부'!C1438="","",IF(ISNUMBER('월 가계부'!C1438),'월 가계부'!C1438,VALUE(SUBSTITUTE(SUBSTITUTE(SUBSTITUTE(SUBSTITUTE(TRIM('월 가계부'!C1438),",",""),"원","")," ",""),"−","-")))),"")</f>
        <v/>
      </c>
      <c r="CK1438">
        <f>IF(ISNUMBER(CI1438),IF(CI1438&lt;$B$13,CI1438,""),"")</f>
        <v/>
      </c>
      <c r="CM1438">
        <f>IF(CH1438="","",IFERROR(IF(IF(AND(LEN(CH1438)=9,ISERROR(FIND("-",LEFT(CH1438,8))),ISNUMBER(-LEFT(CH1438,8))),VALUE(LEFT(CH1438,4)),VALUE(LEFT(CH1438,FIND("-",CH1438)-1)))&lt;100,IF(AND(LEN(CH1438)=9,ISERROR(FIND("-",LEFT(CH1438,8))),ISNUMBER(-LEFT(CH1438,8))),VALUE(LEFT(CH1438,4)),VALUE(LEFT(CH1438,FIND("-",CH1438)-1)))+2000,IF(AND(LEN(CH1438)=9,ISERROR(FIND("-",LEFT(CH1438,8))),ISNUMBER(-LEFT(CH1438,8))),VALUE(LEFT(CH1438,4)),VALUE(LEFT(CH1438,FIND("-",CH1438)-1)))),""))</f>
        <v/>
      </c>
      <c r="CN1438">
        <f>IF(CH1438="","",IFERROR(IF(AND(LEN(CH1438)=9,ISERROR(FIND("-",LEFT(CH1438,8))),ISNUMBER(-LEFT(CH1438,8))),VALUE(MID(CH1438,5,2)),VALUE(MID(CH1438,FIND("-",CH1438)+1,FIND("-",CH1438,FIND("-",CH1438)+1)-FIND("-",CH1438)-1))),""))</f>
        <v/>
      </c>
      <c r="CO1438">
        <f>IF(CH1438="","",IFERROR(IF(AND(LEN(CH1438)=9,ISERROR(FIND("-",LEFT(CH1438,8))),ISNUMBER(-LEFT(CH1438,8))),VALUE(MID(CH1438,7,2)),VALUE(MID(CH1438,FIND("-",CH1438,FIND("-",CH1438)+1)+1,FIND("-",CH1438,FIND("-",CH1438,FIND("-",CH1438)+1)+1)-FIND("-",CH1438,FIND("-",CH1438)+1)-1))),""))</f>
        <v/>
      </c>
    </row>
    <row r="1439">
      <c r="CH1439">
        <f>IF(ISTEXT('월 가계부'!A1439),SUBSTITUTE(SUBSTITUTE(SUBSTITUTE(SUBSTITUTE(SUBSTITUTE(SUBSTITUTE(SUBSTITUTE(SUBSTITUTE(SUBSTITUTE(TRIM('월 가계부'!A1439),"년","-"),"월","-"),"일",""),".","-"),"/","-")," ","-"),"--","-"),"--","-"),"--","-")&amp;"-","")</f>
        <v/>
      </c>
      <c r="CI1439">
        <f>IFERROR(IF('월 가계부'!A1439="","",IF(ISNUMBER('월 가계부'!A1439),IF(AND('월 가계부'!A1439&gt;=19000101,'월 가계부'!A1439&lt;=21001231),IF(AND(MOD(INT('월 가계부'!A1439/100),100)&gt;=1,MOD(INT('월 가계부'!A1439/100),100)&lt;=12,MOD(INT('월 가계부'!A1439),100)&gt;=1,MOD(INT('월 가계부'!A1439),100)&lt;=31),IF(MONTH(DATE(INT('월 가계부'!A1439/10000),MOD(INT('월 가계부'!A1439/100),100),MOD(INT('월 가계부'!A1439),100)))=MOD(INT('월 가계부'!A1439/100),100),DATE(INT('월 가계부'!A1439/10000),MOD(INT('월 가계부'!A1439/100),100),MOD(INT('월 가계부'!A1439),100)),""),""),IF(AND('월 가계부'!A1439&gt;=36526,'월 가계부'!A1439&lt;73051),INT('월 가계부'!A1439),"")),IF(OR(CM1439="",CN1439="",CO1439=""),"",IF(AND(CM1439&gt;=2000,CM1439&lt;=2099,CN1439&gt;=1,CN1439&lt;=12,CO1439&gt;=1,CO1439&lt;=31),IF(MONTH(DATE(CM1439,CN1439,CO1439))=CN1439,DATE(CM1439,CN1439,CO1439),""),"")))),"")</f>
        <v/>
      </c>
      <c r="CJ1439">
        <f>IFERROR(IF('월 가계부'!C1439="","",IF(ISNUMBER('월 가계부'!C1439),'월 가계부'!C1439,VALUE(SUBSTITUTE(SUBSTITUTE(SUBSTITUTE(SUBSTITUTE(TRIM('월 가계부'!C1439),",",""),"원","")," ",""),"−","-")))),"")</f>
        <v/>
      </c>
      <c r="CK1439">
        <f>IF(ISNUMBER(CI1439),IF(CI1439&lt;$B$13,CI1439,""),"")</f>
        <v/>
      </c>
      <c r="CM1439">
        <f>IF(CH1439="","",IFERROR(IF(IF(AND(LEN(CH1439)=9,ISERROR(FIND("-",LEFT(CH1439,8))),ISNUMBER(-LEFT(CH1439,8))),VALUE(LEFT(CH1439,4)),VALUE(LEFT(CH1439,FIND("-",CH1439)-1)))&lt;100,IF(AND(LEN(CH1439)=9,ISERROR(FIND("-",LEFT(CH1439,8))),ISNUMBER(-LEFT(CH1439,8))),VALUE(LEFT(CH1439,4)),VALUE(LEFT(CH1439,FIND("-",CH1439)-1)))+2000,IF(AND(LEN(CH1439)=9,ISERROR(FIND("-",LEFT(CH1439,8))),ISNUMBER(-LEFT(CH1439,8))),VALUE(LEFT(CH1439,4)),VALUE(LEFT(CH1439,FIND("-",CH1439)-1)))),""))</f>
        <v/>
      </c>
      <c r="CN1439">
        <f>IF(CH1439="","",IFERROR(IF(AND(LEN(CH1439)=9,ISERROR(FIND("-",LEFT(CH1439,8))),ISNUMBER(-LEFT(CH1439,8))),VALUE(MID(CH1439,5,2)),VALUE(MID(CH1439,FIND("-",CH1439)+1,FIND("-",CH1439,FIND("-",CH1439)+1)-FIND("-",CH1439)-1))),""))</f>
        <v/>
      </c>
      <c r="CO1439">
        <f>IF(CH1439="","",IFERROR(IF(AND(LEN(CH1439)=9,ISERROR(FIND("-",LEFT(CH1439,8))),ISNUMBER(-LEFT(CH1439,8))),VALUE(MID(CH1439,7,2)),VALUE(MID(CH1439,FIND("-",CH1439,FIND("-",CH1439)+1)+1,FIND("-",CH1439,FIND("-",CH1439,FIND("-",CH1439)+1)+1)-FIND("-",CH1439,FIND("-",CH1439)+1)-1))),""))</f>
        <v/>
      </c>
    </row>
    <row r="1440">
      <c r="CH1440">
        <f>IF(ISTEXT('월 가계부'!A1440),SUBSTITUTE(SUBSTITUTE(SUBSTITUTE(SUBSTITUTE(SUBSTITUTE(SUBSTITUTE(SUBSTITUTE(SUBSTITUTE(SUBSTITUTE(TRIM('월 가계부'!A1440),"년","-"),"월","-"),"일",""),".","-"),"/","-")," ","-"),"--","-"),"--","-"),"--","-")&amp;"-","")</f>
        <v/>
      </c>
      <c r="CI1440">
        <f>IFERROR(IF('월 가계부'!A1440="","",IF(ISNUMBER('월 가계부'!A1440),IF(AND('월 가계부'!A1440&gt;=19000101,'월 가계부'!A1440&lt;=21001231),IF(AND(MOD(INT('월 가계부'!A1440/100),100)&gt;=1,MOD(INT('월 가계부'!A1440/100),100)&lt;=12,MOD(INT('월 가계부'!A1440),100)&gt;=1,MOD(INT('월 가계부'!A1440),100)&lt;=31),IF(MONTH(DATE(INT('월 가계부'!A1440/10000),MOD(INT('월 가계부'!A1440/100),100),MOD(INT('월 가계부'!A1440),100)))=MOD(INT('월 가계부'!A1440/100),100),DATE(INT('월 가계부'!A1440/10000),MOD(INT('월 가계부'!A1440/100),100),MOD(INT('월 가계부'!A1440),100)),""),""),IF(AND('월 가계부'!A1440&gt;=36526,'월 가계부'!A1440&lt;73051),INT('월 가계부'!A1440),"")),IF(OR(CM1440="",CN1440="",CO1440=""),"",IF(AND(CM1440&gt;=2000,CM1440&lt;=2099,CN1440&gt;=1,CN1440&lt;=12,CO1440&gt;=1,CO1440&lt;=31),IF(MONTH(DATE(CM1440,CN1440,CO1440))=CN1440,DATE(CM1440,CN1440,CO1440),""),"")))),"")</f>
        <v/>
      </c>
      <c r="CJ1440">
        <f>IFERROR(IF('월 가계부'!C1440="","",IF(ISNUMBER('월 가계부'!C1440),'월 가계부'!C1440,VALUE(SUBSTITUTE(SUBSTITUTE(SUBSTITUTE(SUBSTITUTE(TRIM('월 가계부'!C1440),",",""),"원","")," ",""),"−","-")))),"")</f>
        <v/>
      </c>
      <c r="CK1440">
        <f>IF(ISNUMBER(CI1440),IF(CI1440&lt;$B$13,CI1440,""),"")</f>
        <v/>
      </c>
      <c r="CM1440">
        <f>IF(CH1440="","",IFERROR(IF(IF(AND(LEN(CH1440)=9,ISERROR(FIND("-",LEFT(CH1440,8))),ISNUMBER(-LEFT(CH1440,8))),VALUE(LEFT(CH1440,4)),VALUE(LEFT(CH1440,FIND("-",CH1440)-1)))&lt;100,IF(AND(LEN(CH1440)=9,ISERROR(FIND("-",LEFT(CH1440,8))),ISNUMBER(-LEFT(CH1440,8))),VALUE(LEFT(CH1440,4)),VALUE(LEFT(CH1440,FIND("-",CH1440)-1)))+2000,IF(AND(LEN(CH1440)=9,ISERROR(FIND("-",LEFT(CH1440,8))),ISNUMBER(-LEFT(CH1440,8))),VALUE(LEFT(CH1440,4)),VALUE(LEFT(CH1440,FIND("-",CH1440)-1)))),""))</f>
        <v/>
      </c>
      <c r="CN1440">
        <f>IF(CH1440="","",IFERROR(IF(AND(LEN(CH1440)=9,ISERROR(FIND("-",LEFT(CH1440,8))),ISNUMBER(-LEFT(CH1440,8))),VALUE(MID(CH1440,5,2)),VALUE(MID(CH1440,FIND("-",CH1440)+1,FIND("-",CH1440,FIND("-",CH1440)+1)-FIND("-",CH1440)-1))),""))</f>
        <v/>
      </c>
      <c r="CO1440">
        <f>IF(CH1440="","",IFERROR(IF(AND(LEN(CH1440)=9,ISERROR(FIND("-",LEFT(CH1440,8))),ISNUMBER(-LEFT(CH1440,8))),VALUE(MID(CH1440,7,2)),VALUE(MID(CH1440,FIND("-",CH1440,FIND("-",CH1440)+1)+1,FIND("-",CH1440,FIND("-",CH1440,FIND("-",CH1440)+1)+1)-FIND("-",CH1440,FIND("-",CH1440)+1)-1))),""))</f>
        <v/>
      </c>
    </row>
    <row r="1441">
      <c r="CH1441">
        <f>IF(ISTEXT('월 가계부'!A1441),SUBSTITUTE(SUBSTITUTE(SUBSTITUTE(SUBSTITUTE(SUBSTITUTE(SUBSTITUTE(SUBSTITUTE(SUBSTITUTE(SUBSTITUTE(TRIM('월 가계부'!A1441),"년","-"),"월","-"),"일",""),".","-"),"/","-")," ","-"),"--","-"),"--","-"),"--","-")&amp;"-","")</f>
        <v/>
      </c>
      <c r="CI1441">
        <f>IFERROR(IF('월 가계부'!A1441="","",IF(ISNUMBER('월 가계부'!A1441),IF(AND('월 가계부'!A1441&gt;=19000101,'월 가계부'!A1441&lt;=21001231),IF(AND(MOD(INT('월 가계부'!A1441/100),100)&gt;=1,MOD(INT('월 가계부'!A1441/100),100)&lt;=12,MOD(INT('월 가계부'!A1441),100)&gt;=1,MOD(INT('월 가계부'!A1441),100)&lt;=31),IF(MONTH(DATE(INT('월 가계부'!A1441/10000),MOD(INT('월 가계부'!A1441/100),100),MOD(INT('월 가계부'!A1441),100)))=MOD(INT('월 가계부'!A1441/100),100),DATE(INT('월 가계부'!A1441/10000),MOD(INT('월 가계부'!A1441/100),100),MOD(INT('월 가계부'!A1441),100)),""),""),IF(AND('월 가계부'!A1441&gt;=36526,'월 가계부'!A1441&lt;73051),INT('월 가계부'!A1441),"")),IF(OR(CM1441="",CN1441="",CO1441=""),"",IF(AND(CM1441&gt;=2000,CM1441&lt;=2099,CN1441&gt;=1,CN1441&lt;=12,CO1441&gt;=1,CO1441&lt;=31),IF(MONTH(DATE(CM1441,CN1441,CO1441))=CN1441,DATE(CM1441,CN1441,CO1441),""),"")))),"")</f>
        <v/>
      </c>
      <c r="CJ1441">
        <f>IFERROR(IF('월 가계부'!C1441="","",IF(ISNUMBER('월 가계부'!C1441),'월 가계부'!C1441,VALUE(SUBSTITUTE(SUBSTITUTE(SUBSTITUTE(SUBSTITUTE(TRIM('월 가계부'!C1441),",",""),"원","")," ",""),"−","-")))),"")</f>
        <v/>
      </c>
      <c r="CK1441">
        <f>IF(ISNUMBER(CI1441),IF(CI1441&lt;$B$13,CI1441,""),"")</f>
        <v/>
      </c>
      <c r="CM1441">
        <f>IF(CH1441="","",IFERROR(IF(IF(AND(LEN(CH1441)=9,ISERROR(FIND("-",LEFT(CH1441,8))),ISNUMBER(-LEFT(CH1441,8))),VALUE(LEFT(CH1441,4)),VALUE(LEFT(CH1441,FIND("-",CH1441)-1)))&lt;100,IF(AND(LEN(CH1441)=9,ISERROR(FIND("-",LEFT(CH1441,8))),ISNUMBER(-LEFT(CH1441,8))),VALUE(LEFT(CH1441,4)),VALUE(LEFT(CH1441,FIND("-",CH1441)-1)))+2000,IF(AND(LEN(CH1441)=9,ISERROR(FIND("-",LEFT(CH1441,8))),ISNUMBER(-LEFT(CH1441,8))),VALUE(LEFT(CH1441,4)),VALUE(LEFT(CH1441,FIND("-",CH1441)-1)))),""))</f>
        <v/>
      </c>
      <c r="CN1441">
        <f>IF(CH1441="","",IFERROR(IF(AND(LEN(CH1441)=9,ISERROR(FIND("-",LEFT(CH1441,8))),ISNUMBER(-LEFT(CH1441,8))),VALUE(MID(CH1441,5,2)),VALUE(MID(CH1441,FIND("-",CH1441)+1,FIND("-",CH1441,FIND("-",CH1441)+1)-FIND("-",CH1441)-1))),""))</f>
        <v/>
      </c>
      <c r="CO1441">
        <f>IF(CH1441="","",IFERROR(IF(AND(LEN(CH1441)=9,ISERROR(FIND("-",LEFT(CH1441,8))),ISNUMBER(-LEFT(CH1441,8))),VALUE(MID(CH1441,7,2)),VALUE(MID(CH1441,FIND("-",CH1441,FIND("-",CH1441)+1)+1,FIND("-",CH1441,FIND("-",CH1441,FIND("-",CH1441)+1)+1)-FIND("-",CH1441,FIND("-",CH1441)+1)-1))),""))</f>
        <v/>
      </c>
    </row>
    <row r="1442">
      <c r="CH1442">
        <f>IF(ISTEXT('월 가계부'!A1442),SUBSTITUTE(SUBSTITUTE(SUBSTITUTE(SUBSTITUTE(SUBSTITUTE(SUBSTITUTE(SUBSTITUTE(SUBSTITUTE(SUBSTITUTE(TRIM('월 가계부'!A1442),"년","-"),"월","-"),"일",""),".","-"),"/","-")," ","-"),"--","-"),"--","-"),"--","-")&amp;"-","")</f>
        <v/>
      </c>
      <c r="CI1442">
        <f>IFERROR(IF('월 가계부'!A1442="","",IF(ISNUMBER('월 가계부'!A1442),IF(AND('월 가계부'!A1442&gt;=19000101,'월 가계부'!A1442&lt;=21001231),IF(AND(MOD(INT('월 가계부'!A1442/100),100)&gt;=1,MOD(INT('월 가계부'!A1442/100),100)&lt;=12,MOD(INT('월 가계부'!A1442),100)&gt;=1,MOD(INT('월 가계부'!A1442),100)&lt;=31),IF(MONTH(DATE(INT('월 가계부'!A1442/10000),MOD(INT('월 가계부'!A1442/100),100),MOD(INT('월 가계부'!A1442),100)))=MOD(INT('월 가계부'!A1442/100),100),DATE(INT('월 가계부'!A1442/10000),MOD(INT('월 가계부'!A1442/100),100),MOD(INT('월 가계부'!A1442),100)),""),""),IF(AND('월 가계부'!A1442&gt;=36526,'월 가계부'!A1442&lt;73051),INT('월 가계부'!A1442),"")),IF(OR(CM1442="",CN1442="",CO1442=""),"",IF(AND(CM1442&gt;=2000,CM1442&lt;=2099,CN1442&gt;=1,CN1442&lt;=12,CO1442&gt;=1,CO1442&lt;=31),IF(MONTH(DATE(CM1442,CN1442,CO1442))=CN1442,DATE(CM1442,CN1442,CO1442),""),"")))),"")</f>
        <v/>
      </c>
      <c r="CJ1442">
        <f>IFERROR(IF('월 가계부'!C1442="","",IF(ISNUMBER('월 가계부'!C1442),'월 가계부'!C1442,VALUE(SUBSTITUTE(SUBSTITUTE(SUBSTITUTE(SUBSTITUTE(TRIM('월 가계부'!C1442),",",""),"원","")," ",""),"−","-")))),"")</f>
        <v/>
      </c>
      <c r="CK1442">
        <f>IF(ISNUMBER(CI1442),IF(CI1442&lt;$B$13,CI1442,""),"")</f>
        <v/>
      </c>
      <c r="CM1442">
        <f>IF(CH1442="","",IFERROR(IF(IF(AND(LEN(CH1442)=9,ISERROR(FIND("-",LEFT(CH1442,8))),ISNUMBER(-LEFT(CH1442,8))),VALUE(LEFT(CH1442,4)),VALUE(LEFT(CH1442,FIND("-",CH1442)-1)))&lt;100,IF(AND(LEN(CH1442)=9,ISERROR(FIND("-",LEFT(CH1442,8))),ISNUMBER(-LEFT(CH1442,8))),VALUE(LEFT(CH1442,4)),VALUE(LEFT(CH1442,FIND("-",CH1442)-1)))+2000,IF(AND(LEN(CH1442)=9,ISERROR(FIND("-",LEFT(CH1442,8))),ISNUMBER(-LEFT(CH1442,8))),VALUE(LEFT(CH1442,4)),VALUE(LEFT(CH1442,FIND("-",CH1442)-1)))),""))</f>
        <v/>
      </c>
      <c r="CN1442">
        <f>IF(CH1442="","",IFERROR(IF(AND(LEN(CH1442)=9,ISERROR(FIND("-",LEFT(CH1442,8))),ISNUMBER(-LEFT(CH1442,8))),VALUE(MID(CH1442,5,2)),VALUE(MID(CH1442,FIND("-",CH1442)+1,FIND("-",CH1442,FIND("-",CH1442)+1)-FIND("-",CH1442)-1))),""))</f>
        <v/>
      </c>
      <c r="CO1442">
        <f>IF(CH1442="","",IFERROR(IF(AND(LEN(CH1442)=9,ISERROR(FIND("-",LEFT(CH1442,8))),ISNUMBER(-LEFT(CH1442,8))),VALUE(MID(CH1442,7,2)),VALUE(MID(CH1442,FIND("-",CH1442,FIND("-",CH1442)+1)+1,FIND("-",CH1442,FIND("-",CH1442,FIND("-",CH1442)+1)+1)-FIND("-",CH1442,FIND("-",CH1442)+1)-1))),""))</f>
        <v/>
      </c>
    </row>
    <row r="1443">
      <c r="CH1443">
        <f>IF(ISTEXT('월 가계부'!A1443),SUBSTITUTE(SUBSTITUTE(SUBSTITUTE(SUBSTITUTE(SUBSTITUTE(SUBSTITUTE(SUBSTITUTE(SUBSTITUTE(SUBSTITUTE(TRIM('월 가계부'!A1443),"년","-"),"월","-"),"일",""),".","-"),"/","-")," ","-"),"--","-"),"--","-"),"--","-")&amp;"-","")</f>
        <v/>
      </c>
      <c r="CI1443">
        <f>IFERROR(IF('월 가계부'!A1443="","",IF(ISNUMBER('월 가계부'!A1443),IF(AND('월 가계부'!A1443&gt;=19000101,'월 가계부'!A1443&lt;=21001231),IF(AND(MOD(INT('월 가계부'!A1443/100),100)&gt;=1,MOD(INT('월 가계부'!A1443/100),100)&lt;=12,MOD(INT('월 가계부'!A1443),100)&gt;=1,MOD(INT('월 가계부'!A1443),100)&lt;=31),IF(MONTH(DATE(INT('월 가계부'!A1443/10000),MOD(INT('월 가계부'!A1443/100),100),MOD(INT('월 가계부'!A1443),100)))=MOD(INT('월 가계부'!A1443/100),100),DATE(INT('월 가계부'!A1443/10000),MOD(INT('월 가계부'!A1443/100),100),MOD(INT('월 가계부'!A1443),100)),""),""),IF(AND('월 가계부'!A1443&gt;=36526,'월 가계부'!A1443&lt;73051),INT('월 가계부'!A1443),"")),IF(OR(CM1443="",CN1443="",CO1443=""),"",IF(AND(CM1443&gt;=2000,CM1443&lt;=2099,CN1443&gt;=1,CN1443&lt;=12,CO1443&gt;=1,CO1443&lt;=31),IF(MONTH(DATE(CM1443,CN1443,CO1443))=CN1443,DATE(CM1443,CN1443,CO1443),""),"")))),"")</f>
        <v/>
      </c>
      <c r="CJ1443">
        <f>IFERROR(IF('월 가계부'!C1443="","",IF(ISNUMBER('월 가계부'!C1443),'월 가계부'!C1443,VALUE(SUBSTITUTE(SUBSTITUTE(SUBSTITUTE(SUBSTITUTE(TRIM('월 가계부'!C1443),",",""),"원","")," ",""),"−","-")))),"")</f>
        <v/>
      </c>
      <c r="CK1443">
        <f>IF(ISNUMBER(CI1443),IF(CI1443&lt;$B$13,CI1443,""),"")</f>
        <v/>
      </c>
      <c r="CM1443">
        <f>IF(CH1443="","",IFERROR(IF(IF(AND(LEN(CH1443)=9,ISERROR(FIND("-",LEFT(CH1443,8))),ISNUMBER(-LEFT(CH1443,8))),VALUE(LEFT(CH1443,4)),VALUE(LEFT(CH1443,FIND("-",CH1443)-1)))&lt;100,IF(AND(LEN(CH1443)=9,ISERROR(FIND("-",LEFT(CH1443,8))),ISNUMBER(-LEFT(CH1443,8))),VALUE(LEFT(CH1443,4)),VALUE(LEFT(CH1443,FIND("-",CH1443)-1)))+2000,IF(AND(LEN(CH1443)=9,ISERROR(FIND("-",LEFT(CH1443,8))),ISNUMBER(-LEFT(CH1443,8))),VALUE(LEFT(CH1443,4)),VALUE(LEFT(CH1443,FIND("-",CH1443)-1)))),""))</f>
        <v/>
      </c>
      <c r="CN1443">
        <f>IF(CH1443="","",IFERROR(IF(AND(LEN(CH1443)=9,ISERROR(FIND("-",LEFT(CH1443,8))),ISNUMBER(-LEFT(CH1443,8))),VALUE(MID(CH1443,5,2)),VALUE(MID(CH1443,FIND("-",CH1443)+1,FIND("-",CH1443,FIND("-",CH1443)+1)-FIND("-",CH1443)-1))),""))</f>
        <v/>
      </c>
      <c r="CO1443">
        <f>IF(CH1443="","",IFERROR(IF(AND(LEN(CH1443)=9,ISERROR(FIND("-",LEFT(CH1443,8))),ISNUMBER(-LEFT(CH1443,8))),VALUE(MID(CH1443,7,2)),VALUE(MID(CH1443,FIND("-",CH1443,FIND("-",CH1443)+1)+1,FIND("-",CH1443,FIND("-",CH1443,FIND("-",CH1443)+1)+1)-FIND("-",CH1443,FIND("-",CH1443)+1)-1))),""))</f>
        <v/>
      </c>
    </row>
    <row r="1444">
      <c r="CH1444">
        <f>IF(ISTEXT('월 가계부'!A1444),SUBSTITUTE(SUBSTITUTE(SUBSTITUTE(SUBSTITUTE(SUBSTITUTE(SUBSTITUTE(SUBSTITUTE(SUBSTITUTE(SUBSTITUTE(TRIM('월 가계부'!A1444),"년","-"),"월","-"),"일",""),".","-"),"/","-")," ","-"),"--","-"),"--","-"),"--","-")&amp;"-","")</f>
        <v/>
      </c>
      <c r="CI1444">
        <f>IFERROR(IF('월 가계부'!A1444="","",IF(ISNUMBER('월 가계부'!A1444),IF(AND('월 가계부'!A1444&gt;=19000101,'월 가계부'!A1444&lt;=21001231),IF(AND(MOD(INT('월 가계부'!A1444/100),100)&gt;=1,MOD(INT('월 가계부'!A1444/100),100)&lt;=12,MOD(INT('월 가계부'!A1444),100)&gt;=1,MOD(INT('월 가계부'!A1444),100)&lt;=31),IF(MONTH(DATE(INT('월 가계부'!A1444/10000),MOD(INT('월 가계부'!A1444/100),100),MOD(INT('월 가계부'!A1444),100)))=MOD(INT('월 가계부'!A1444/100),100),DATE(INT('월 가계부'!A1444/10000),MOD(INT('월 가계부'!A1444/100),100),MOD(INT('월 가계부'!A1444),100)),""),""),IF(AND('월 가계부'!A1444&gt;=36526,'월 가계부'!A1444&lt;73051),INT('월 가계부'!A1444),"")),IF(OR(CM1444="",CN1444="",CO1444=""),"",IF(AND(CM1444&gt;=2000,CM1444&lt;=2099,CN1444&gt;=1,CN1444&lt;=12,CO1444&gt;=1,CO1444&lt;=31),IF(MONTH(DATE(CM1444,CN1444,CO1444))=CN1444,DATE(CM1444,CN1444,CO1444),""),"")))),"")</f>
        <v/>
      </c>
      <c r="CJ1444">
        <f>IFERROR(IF('월 가계부'!C1444="","",IF(ISNUMBER('월 가계부'!C1444),'월 가계부'!C1444,VALUE(SUBSTITUTE(SUBSTITUTE(SUBSTITUTE(SUBSTITUTE(TRIM('월 가계부'!C1444),",",""),"원","")," ",""),"−","-")))),"")</f>
        <v/>
      </c>
      <c r="CK1444">
        <f>IF(ISNUMBER(CI1444),IF(CI1444&lt;$B$13,CI1444,""),"")</f>
        <v/>
      </c>
      <c r="CM1444">
        <f>IF(CH1444="","",IFERROR(IF(IF(AND(LEN(CH1444)=9,ISERROR(FIND("-",LEFT(CH1444,8))),ISNUMBER(-LEFT(CH1444,8))),VALUE(LEFT(CH1444,4)),VALUE(LEFT(CH1444,FIND("-",CH1444)-1)))&lt;100,IF(AND(LEN(CH1444)=9,ISERROR(FIND("-",LEFT(CH1444,8))),ISNUMBER(-LEFT(CH1444,8))),VALUE(LEFT(CH1444,4)),VALUE(LEFT(CH1444,FIND("-",CH1444)-1)))+2000,IF(AND(LEN(CH1444)=9,ISERROR(FIND("-",LEFT(CH1444,8))),ISNUMBER(-LEFT(CH1444,8))),VALUE(LEFT(CH1444,4)),VALUE(LEFT(CH1444,FIND("-",CH1444)-1)))),""))</f>
        <v/>
      </c>
      <c r="CN1444">
        <f>IF(CH1444="","",IFERROR(IF(AND(LEN(CH1444)=9,ISERROR(FIND("-",LEFT(CH1444,8))),ISNUMBER(-LEFT(CH1444,8))),VALUE(MID(CH1444,5,2)),VALUE(MID(CH1444,FIND("-",CH1444)+1,FIND("-",CH1444,FIND("-",CH1444)+1)-FIND("-",CH1444)-1))),""))</f>
        <v/>
      </c>
      <c r="CO1444">
        <f>IF(CH1444="","",IFERROR(IF(AND(LEN(CH1444)=9,ISERROR(FIND("-",LEFT(CH1444,8))),ISNUMBER(-LEFT(CH1444,8))),VALUE(MID(CH1444,7,2)),VALUE(MID(CH1444,FIND("-",CH1444,FIND("-",CH1444)+1)+1,FIND("-",CH1444,FIND("-",CH1444,FIND("-",CH1444)+1)+1)-FIND("-",CH1444,FIND("-",CH1444)+1)-1))),""))</f>
        <v/>
      </c>
    </row>
    <row r="1445">
      <c r="CH1445">
        <f>IF(ISTEXT('월 가계부'!A1445),SUBSTITUTE(SUBSTITUTE(SUBSTITUTE(SUBSTITUTE(SUBSTITUTE(SUBSTITUTE(SUBSTITUTE(SUBSTITUTE(SUBSTITUTE(TRIM('월 가계부'!A1445),"년","-"),"월","-"),"일",""),".","-"),"/","-")," ","-"),"--","-"),"--","-"),"--","-")&amp;"-","")</f>
        <v/>
      </c>
      <c r="CI1445">
        <f>IFERROR(IF('월 가계부'!A1445="","",IF(ISNUMBER('월 가계부'!A1445),IF(AND('월 가계부'!A1445&gt;=19000101,'월 가계부'!A1445&lt;=21001231),IF(AND(MOD(INT('월 가계부'!A1445/100),100)&gt;=1,MOD(INT('월 가계부'!A1445/100),100)&lt;=12,MOD(INT('월 가계부'!A1445),100)&gt;=1,MOD(INT('월 가계부'!A1445),100)&lt;=31),IF(MONTH(DATE(INT('월 가계부'!A1445/10000),MOD(INT('월 가계부'!A1445/100),100),MOD(INT('월 가계부'!A1445),100)))=MOD(INT('월 가계부'!A1445/100),100),DATE(INT('월 가계부'!A1445/10000),MOD(INT('월 가계부'!A1445/100),100),MOD(INT('월 가계부'!A1445),100)),""),""),IF(AND('월 가계부'!A1445&gt;=36526,'월 가계부'!A1445&lt;73051),INT('월 가계부'!A1445),"")),IF(OR(CM1445="",CN1445="",CO1445=""),"",IF(AND(CM1445&gt;=2000,CM1445&lt;=2099,CN1445&gt;=1,CN1445&lt;=12,CO1445&gt;=1,CO1445&lt;=31),IF(MONTH(DATE(CM1445,CN1445,CO1445))=CN1445,DATE(CM1445,CN1445,CO1445),""),"")))),"")</f>
        <v/>
      </c>
      <c r="CJ1445">
        <f>IFERROR(IF('월 가계부'!C1445="","",IF(ISNUMBER('월 가계부'!C1445),'월 가계부'!C1445,VALUE(SUBSTITUTE(SUBSTITUTE(SUBSTITUTE(SUBSTITUTE(TRIM('월 가계부'!C1445),",",""),"원","")," ",""),"−","-")))),"")</f>
        <v/>
      </c>
      <c r="CK1445">
        <f>IF(ISNUMBER(CI1445),IF(CI1445&lt;$B$13,CI1445,""),"")</f>
        <v/>
      </c>
      <c r="CM1445">
        <f>IF(CH1445="","",IFERROR(IF(IF(AND(LEN(CH1445)=9,ISERROR(FIND("-",LEFT(CH1445,8))),ISNUMBER(-LEFT(CH1445,8))),VALUE(LEFT(CH1445,4)),VALUE(LEFT(CH1445,FIND("-",CH1445)-1)))&lt;100,IF(AND(LEN(CH1445)=9,ISERROR(FIND("-",LEFT(CH1445,8))),ISNUMBER(-LEFT(CH1445,8))),VALUE(LEFT(CH1445,4)),VALUE(LEFT(CH1445,FIND("-",CH1445)-1)))+2000,IF(AND(LEN(CH1445)=9,ISERROR(FIND("-",LEFT(CH1445,8))),ISNUMBER(-LEFT(CH1445,8))),VALUE(LEFT(CH1445,4)),VALUE(LEFT(CH1445,FIND("-",CH1445)-1)))),""))</f>
        <v/>
      </c>
      <c r="CN1445">
        <f>IF(CH1445="","",IFERROR(IF(AND(LEN(CH1445)=9,ISERROR(FIND("-",LEFT(CH1445,8))),ISNUMBER(-LEFT(CH1445,8))),VALUE(MID(CH1445,5,2)),VALUE(MID(CH1445,FIND("-",CH1445)+1,FIND("-",CH1445,FIND("-",CH1445)+1)-FIND("-",CH1445)-1))),""))</f>
        <v/>
      </c>
      <c r="CO1445">
        <f>IF(CH1445="","",IFERROR(IF(AND(LEN(CH1445)=9,ISERROR(FIND("-",LEFT(CH1445,8))),ISNUMBER(-LEFT(CH1445,8))),VALUE(MID(CH1445,7,2)),VALUE(MID(CH1445,FIND("-",CH1445,FIND("-",CH1445)+1)+1,FIND("-",CH1445,FIND("-",CH1445,FIND("-",CH1445)+1)+1)-FIND("-",CH1445,FIND("-",CH1445)+1)-1))),""))</f>
        <v/>
      </c>
    </row>
    <row r="1446">
      <c r="CH1446">
        <f>IF(ISTEXT('월 가계부'!A1446),SUBSTITUTE(SUBSTITUTE(SUBSTITUTE(SUBSTITUTE(SUBSTITUTE(SUBSTITUTE(SUBSTITUTE(SUBSTITUTE(SUBSTITUTE(TRIM('월 가계부'!A1446),"년","-"),"월","-"),"일",""),".","-"),"/","-")," ","-"),"--","-"),"--","-"),"--","-")&amp;"-","")</f>
        <v/>
      </c>
      <c r="CI1446">
        <f>IFERROR(IF('월 가계부'!A1446="","",IF(ISNUMBER('월 가계부'!A1446),IF(AND('월 가계부'!A1446&gt;=19000101,'월 가계부'!A1446&lt;=21001231),IF(AND(MOD(INT('월 가계부'!A1446/100),100)&gt;=1,MOD(INT('월 가계부'!A1446/100),100)&lt;=12,MOD(INT('월 가계부'!A1446),100)&gt;=1,MOD(INT('월 가계부'!A1446),100)&lt;=31),IF(MONTH(DATE(INT('월 가계부'!A1446/10000),MOD(INT('월 가계부'!A1446/100),100),MOD(INT('월 가계부'!A1446),100)))=MOD(INT('월 가계부'!A1446/100),100),DATE(INT('월 가계부'!A1446/10000),MOD(INT('월 가계부'!A1446/100),100),MOD(INT('월 가계부'!A1446),100)),""),""),IF(AND('월 가계부'!A1446&gt;=36526,'월 가계부'!A1446&lt;73051),INT('월 가계부'!A1446),"")),IF(OR(CM1446="",CN1446="",CO1446=""),"",IF(AND(CM1446&gt;=2000,CM1446&lt;=2099,CN1446&gt;=1,CN1446&lt;=12,CO1446&gt;=1,CO1446&lt;=31),IF(MONTH(DATE(CM1446,CN1446,CO1446))=CN1446,DATE(CM1446,CN1446,CO1446),""),"")))),"")</f>
        <v/>
      </c>
      <c r="CJ1446">
        <f>IFERROR(IF('월 가계부'!C1446="","",IF(ISNUMBER('월 가계부'!C1446),'월 가계부'!C1446,VALUE(SUBSTITUTE(SUBSTITUTE(SUBSTITUTE(SUBSTITUTE(TRIM('월 가계부'!C1446),",",""),"원","")," ",""),"−","-")))),"")</f>
        <v/>
      </c>
      <c r="CK1446">
        <f>IF(ISNUMBER(CI1446),IF(CI1446&lt;$B$13,CI1446,""),"")</f>
        <v/>
      </c>
      <c r="CM1446">
        <f>IF(CH1446="","",IFERROR(IF(IF(AND(LEN(CH1446)=9,ISERROR(FIND("-",LEFT(CH1446,8))),ISNUMBER(-LEFT(CH1446,8))),VALUE(LEFT(CH1446,4)),VALUE(LEFT(CH1446,FIND("-",CH1446)-1)))&lt;100,IF(AND(LEN(CH1446)=9,ISERROR(FIND("-",LEFT(CH1446,8))),ISNUMBER(-LEFT(CH1446,8))),VALUE(LEFT(CH1446,4)),VALUE(LEFT(CH1446,FIND("-",CH1446)-1)))+2000,IF(AND(LEN(CH1446)=9,ISERROR(FIND("-",LEFT(CH1446,8))),ISNUMBER(-LEFT(CH1446,8))),VALUE(LEFT(CH1446,4)),VALUE(LEFT(CH1446,FIND("-",CH1446)-1)))),""))</f>
        <v/>
      </c>
      <c r="CN1446">
        <f>IF(CH1446="","",IFERROR(IF(AND(LEN(CH1446)=9,ISERROR(FIND("-",LEFT(CH1446,8))),ISNUMBER(-LEFT(CH1446,8))),VALUE(MID(CH1446,5,2)),VALUE(MID(CH1446,FIND("-",CH1446)+1,FIND("-",CH1446,FIND("-",CH1446)+1)-FIND("-",CH1446)-1))),""))</f>
        <v/>
      </c>
      <c r="CO1446">
        <f>IF(CH1446="","",IFERROR(IF(AND(LEN(CH1446)=9,ISERROR(FIND("-",LEFT(CH1446,8))),ISNUMBER(-LEFT(CH1446,8))),VALUE(MID(CH1446,7,2)),VALUE(MID(CH1446,FIND("-",CH1446,FIND("-",CH1446)+1)+1,FIND("-",CH1446,FIND("-",CH1446,FIND("-",CH1446)+1)+1)-FIND("-",CH1446,FIND("-",CH1446)+1)-1))),""))</f>
        <v/>
      </c>
    </row>
    <row r="1447">
      <c r="CH1447">
        <f>IF(ISTEXT('월 가계부'!A1447),SUBSTITUTE(SUBSTITUTE(SUBSTITUTE(SUBSTITUTE(SUBSTITUTE(SUBSTITUTE(SUBSTITUTE(SUBSTITUTE(SUBSTITUTE(TRIM('월 가계부'!A1447),"년","-"),"월","-"),"일",""),".","-"),"/","-")," ","-"),"--","-"),"--","-"),"--","-")&amp;"-","")</f>
        <v/>
      </c>
      <c r="CI1447">
        <f>IFERROR(IF('월 가계부'!A1447="","",IF(ISNUMBER('월 가계부'!A1447),IF(AND('월 가계부'!A1447&gt;=19000101,'월 가계부'!A1447&lt;=21001231),IF(AND(MOD(INT('월 가계부'!A1447/100),100)&gt;=1,MOD(INT('월 가계부'!A1447/100),100)&lt;=12,MOD(INT('월 가계부'!A1447),100)&gt;=1,MOD(INT('월 가계부'!A1447),100)&lt;=31),IF(MONTH(DATE(INT('월 가계부'!A1447/10000),MOD(INT('월 가계부'!A1447/100),100),MOD(INT('월 가계부'!A1447),100)))=MOD(INT('월 가계부'!A1447/100),100),DATE(INT('월 가계부'!A1447/10000),MOD(INT('월 가계부'!A1447/100),100),MOD(INT('월 가계부'!A1447),100)),""),""),IF(AND('월 가계부'!A1447&gt;=36526,'월 가계부'!A1447&lt;73051),INT('월 가계부'!A1447),"")),IF(OR(CM1447="",CN1447="",CO1447=""),"",IF(AND(CM1447&gt;=2000,CM1447&lt;=2099,CN1447&gt;=1,CN1447&lt;=12,CO1447&gt;=1,CO1447&lt;=31),IF(MONTH(DATE(CM1447,CN1447,CO1447))=CN1447,DATE(CM1447,CN1447,CO1447),""),"")))),"")</f>
        <v/>
      </c>
      <c r="CJ1447">
        <f>IFERROR(IF('월 가계부'!C1447="","",IF(ISNUMBER('월 가계부'!C1447),'월 가계부'!C1447,VALUE(SUBSTITUTE(SUBSTITUTE(SUBSTITUTE(SUBSTITUTE(TRIM('월 가계부'!C1447),",",""),"원","")," ",""),"−","-")))),"")</f>
        <v/>
      </c>
      <c r="CK1447">
        <f>IF(ISNUMBER(CI1447),IF(CI1447&lt;$B$13,CI1447,""),"")</f>
        <v/>
      </c>
      <c r="CM1447">
        <f>IF(CH1447="","",IFERROR(IF(IF(AND(LEN(CH1447)=9,ISERROR(FIND("-",LEFT(CH1447,8))),ISNUMBER(-LEFT(CH1447,8))),VALUE(LEFT(CH1447,4)),VALUE(LEFT(CH1447,FIND("-",CH1447)-1)))&lt;100,IF(AND(LEN(CH1447)=9,ISERROR(FIND("-",LEFT(CH1447,8))),ISNUMBER(-LEFT(CH1447,8))),VALUE(LEFT(CH1447,4)),VALUE(LEFT(CH1447,FIND("-",CH1447)-1)))+2000,IF(AND(LEN(CH1447)=9,ISERROR(FIND("-",LEFT(CH1447,8))),ISNUMBER(-LEFT(CH1447,8))),VALUE(LEFT(CH1447,4)),VALUE(LEFT(CH1447,FIND("-",CH1447)-1)))),""))</f>
        <v/>
      </c>
      <c r="CN1447">
        <f>IF(CH1447="","",IFERROR(IF(AND(LEN(CH1447)=9,ISERROR(FIND("-",LEFT(CH1447,8))),ISNUMBER(-LEFT(CH1447,8))),VALUE(MID(CH1447,5,2)),VALUE(MID(CH1447,FIND("-",CH1447)+1,FIND("-",CH1447,FIND("-",CH1447)+1)-FIND("-",CH1447)-1))),""))</f>
        <v/>
      </c>
      <c r="CO1447">
        <f>IF(CH1447="","",IFERROR(IF(AND(LEN(CH1447)=9,ISERROR(FIND("-",LEFT(CH1447,8))),ISNUMBER(-LEFT(CH1447,8))),VALUE(MID(CH1447,7,2)),VALUE(MID(CH1447,FIND("-",CH1447,FIND("-",CH1447)+1)+1,FIND("-",CH1447,FIND("-",CH1447,FIND("-",CH1447)+1)+1)-FIND("-",CH1447,FIND("-",CH1447)+1)-1))),""))</f>
        <v/>
      </c>
    </row>
    <row r="1448">
      <c r="CH1448">
        <f>IF(ISTEXT('월 가계부'!A1448),SUBSTITUTE(SUBSTITUTE(SUBSTITUTE(SUBSTITUTE(SUBSTITUTE(SUBSTITUTE(SUBSTITUTE(SUBSTITUTE(SUBSTITUTE(TRIM('월 가계부'!A1448),"년","-"),"월","-"),"일",""),".","-"),"/","-")," ","-"),"--","-"),"--","-"),"--","-")&amp;"-","")</f>
        <v/>
      </c>
      <c r="CI1448">
        <f>IFERROR(IF('월 가계부'!A1448="","",IF(ISNUMBER('월 가계부'!A1448),IF(AND('월 가계부'!A1448&gt;=19000101,'월 가계부'!A1448&lt;=21001231),IF(AND(MOD(INT('월 가계부'!A1448/100),100)&gt;=1,MOD(INT('월 가계부'!A1448/100),100)&lt;=12,MOD(INT('월 가계부'!A1448),100)&gt;=1,MOD(INT('월 가계부'!A1448),100)&lt;=31),IF(MONTH(DATE(INT('월 가계부'!A1448/10000),MOD(INT('월 가계부'!A1448/100),100),MOD(INT('월 가계부'!A1448),100)))=MOD(INT('월 가계부'!A1448/100),100),DATE(INT('월 가계부'!A1448/10000),MOD(INT('월 가계부'!A1448/100),100),MOD(INT('월 가계부'!A1448),100)),""),""),IF(AND('월 가계부'!A1448&gt;=36526,'월 가계부'!A1448&lt;73051),INT('월 가계부'!A1448),"")),IF(OR(CM1448="",CN1448="",CO1448=""),"",IF(AND(CM1448&gt;=2000,CM1448&lt;=2099,CN1448&gt;=1,CN1448&lt;=12,CO1448&gt;=1,CO1448&lt;=31),IF(MONTH(DATE(CM1448,CN1448,CO1448))=CN1448,DATE(CM1448,CN1448,CO1448),""),"")))),"")</f>
        <v/>
      </c>
      <c r="CJ1448">
        <f>IFERROR(IF('월 가계부'!C1448="","",IF(ISNUMBER('월 가계부'!C1448),'월 가계부'!C1448,VALUE(SUBSTITUTE(SUBSTITUTE(SUBSTITUTE(SUBSTITUTE(TRIM('월 가계부'!C1448),",",""),"원","")," ",""),"−","-")))),"")</f>
        <v/>
      </c>
      <c r="CK1448">
        <f>IF(ISNUMBER(CI1448),IF(CI1448&lt;$B$13,CI1448,""),"")</f>
        <v/>
      </c>
      <c r="CM1448">
        <f>IF(CH1448="","",IFERROR(IF(IF(AND(LEN(CH1448)=9,ISERROR(FIND("-",LEFT(CH1448,8))),ISNUMBER(-LEFT(CH1448,8))),VALUE(LEFT(CH1448,4)),VALUE(LEFT(CH1448,FIND("-",CH1448)-1)))&lt;100,IF(AND(LEN(CH1448)=9,ISERROR(FIND("-",LEFT(CH1448,8))),ISNUMBER(-LEFT(CH1448,8))),VALUE(LEFT(CH1448,4)),VALUE(LEFT(CH1448,FIND("-",CH1448)-1)))+2000,IF(AND(LEN(CH1448)=9,ISERROR(FIND("-",LEFT(CH1448,8))),ISNUMBER(-LEFT(CH1448,8))),VALUE(LEFT(CH1448,4)),VALUE(LEFT(CH1448,FIND("-",CH1448)-1)))),""))</f>
        <v/>
      </c>
      <c r="CN1448">
        <f>IF(CH1448="","",IFERROR(IF(AND(LEN(CH1448)=9,ISERROR(FIND("-",LEFT(CH1448,8))),ISNUMBER(-LEFT(CH1448,8))),VALUE(MID(CH1448,5,2)),VALUE(MID(CH1448,FIND("-",CH1448)+1,FIND("-",CH1448,FIND("-",CH1448)+1)-FIND("-",CH1448)-1))),""))</f>
        <v/>
      </c>
      <c r="CO1448">
        <f>IF(CH1448="","",IFERROR(IF(AND(LEN(CH1448)=9,ISERROR(FIND("-",LEFT(CH1448,8))),ISNUMBER(-LEFT(CH1448,8))),VALUE(MID(CH1448,7,2)),VALUE(MID(CH1448,FIND("-",CH1448,FIND("-",CH1448)+1)+1,FIND("-",CH1448,FIND("-",CH1448,FIND("-",CH1448)+1)+1)-FIND("-",CH1448,FIND("-",CH1448)+1)-1))),""))</f>
        <v/>
      </c>
    </row>
    <row r="1449">
      <c r="CH1449">
        <f>IF(ISTEXT('월 가계부'!A1449),SUBSTITUTE(SUBSTITUTE(SUBSTITUTE(SUBSTITUTE(SUBSTITUTE(SUBSTITUTE(SUBSTITUTE(SUBSTITUTE(SUBSTITUTE(TRIM('월 가계부'!A1449),"년","-"),"월","-"),"일",""),".","-"),"/","-")," ","-"),"--","-"),"--","-"),"--","-")&amp;"-","")</f>
        <v/>
      </c>
      <c r="CI1449">
        <f>IFERROR(IF('월 가계부'!A1449="","",IF(ISNUMBER('월 가계부'!A1449),IF(AND('월 가계부'!A1449&gt;=19000101,'월 가계부'!A1449&lt;=21001231),IF(AND(MOD(INT('월 가계부'!A1449/100),100)&gt;=1,MOD(INT('월 가계부'!A1449/100),100)&lt;=12,MOD(INT('월 가계부'!A1449),100)&gt;=1,MOD(INT('월 가계부'!A1449),100)&lt;=31),IF(MONTH(DATE(INT('월 가계부'!A1449/10000),MOD(INT('월 가계부'!A1449/100),100),MOD(INT('월 가계부'!A1449),100)))=MOD(INT('월 가계부'!A1449/100),100),DATE(INT('월 가계부'!A1449/10000),MOD(INT('월 가계부'!A1449/100),100),MOD(INT('월 가계부'!A1449),100)),""),""),IF(AND('월 가계부'!A1449&gt;=36526,'월 가계부'!A1449&lt;73051),INT('월 가계부'!A1449),"")),IF(OR(CM1449="",CN1449="",CO1449=""),"",IF(AND(CM1449&gt;=2000,CM1449&lt;=2099,CN1449&gt;=1,CN1449&lt;=12,CO1449&gt;=1,CO1449&lt;=31),IF(MONTH(DATE(CM1449,CN1449,CO1449))=CN1449,DATE(CM1449,CN1449,CO1449),""),"")))),"")</f>
        <v/>
      </c>
      <c r="CJ1449">
        <f>IFERROR(IF('월 가계부'!C1449="","",IF(ISNUMBER('월 가계부'!C1449),'월 가계부'!C1449,VALUE(SUBSTITUTE(SUBSTITUTE(SUBSTITUTE(SUBSTITUTE(TRIM('월 가계부'!C1449),",",""),"원","")," ",""),"−","-")))),"")</f>
        <v/>
      </c>
      <c r="CK1449">
        <f>IF(ISNUMBER(CI1449),IF(CI1449&lt;$B$13,CI1449,""),"")</f>
        <v/>
      </c>
      <c r="CM1449">
        <f>IF(CH1449="","",IFERROR(IF(IF(AND(LEN(CH1449)=9,ISERROR(FIND("-",LEFT(CH1449,8))),ISNUMBER(-LEFT(CH1449,8))),VALUE(LEFT(CH1449,4)),VALUE(LEFT(CH1449,FIND("-",CH1449)-1)))&lt;100,IF(AND(LEN(CH1449)=9,ISERROR(FIND("-",LEFT(CH1449,8))),ISNUMBER(-LEFT(CH1449,8))),VALUE(LEFT(CH1449,4)),VALUE(LEFT(CH1449,FIND("-",CH1449)-1)))+2000,IF(AND(LEN(CH1449)=9,ISERROR(FIND("-",LEFT(CH1449,8))),ISNUMBER(-LEFT(CH1449,8))),VALUE(LEFT(CH1449,4)),VALUE(LEFT(CH1449,FIND("-",CH1449)-1)))),""))</f>
        <v/>
      </c>
      <c r="CN1449">
        <f>IF(CH1449="","",IFERROR(IF(AND(LEN(CH1449)=9,ISERROR(FIND("-",LEFT(CH1449,8))),ISNUMBER(-LEFT(CH1449,8))),VALUE(MID(CH1449,5,2)),VALUE(MID(CH1449,FIND("-",CH1449)+1,FIND("-",CH1449,FIND("-",CH1449)+1)-FIND("-",CH1449)-1))),""))</f>
        <v/>
      </c>
      <c r="CO1449">
        <f>IF(CH1449="","",IFERROR(IF(AND(LEN(CH1449)=9,ISERROR(FIND("-",LEFT(CH1449,8))),ISNUMBER(-LEFT(CH1449,8))),VALUE(MID(CH1449,7,2)),VALUE(MID(CH1449,FIND("-",CH1449,FIND("-",CH1449)+1)+1,FIND("-",CH1449,FIND("-",CH1449,FIND("-",CH1449)+1)+1)-FIND("-",CH1449,FIND("-",CH1449)+1)-1))),""))</f>
        <v/>
      </c>
    </row>
    <row r="1450">
      <c r="CH1450">
        <f>IF(ISTEXT('월 가계부'!A1450),SUBSTITUTE(SUBSTITUTE(SUBSTITUTE(SUBSTITUTE(SUBSTITUTE(SUBSTITUTE(SUBSTITUTE(SUBSTITUTE(SUBSTITUTE(TRIM('월 가계부'!A1450),"년","-"),"월","-"),"일",""),".","-"),"/","-")," ","-"),"--","-"),"--","-"),"--","-")&amp;"-","")</f>
        <v/>
      </c>
      <c r="CI1450">
        <f>IFERROR(IF('월 가계부'!A1450="","",IF(ISNUMBER('월 가계부'!A1450),IF(AND('월 가계부'!A1450&gt;=19000101,'월 가계부'!A1450&lt;=21001231),IF(AND(MOD(INT('월 가계부'!A1450/100),100)&gt;=1,MOD(INT('월 가계부'!A1450/100),100)&lt;=12,MOD(INT('월 가계부'!A1450),100)&gt;=1,MOD(INT('월 가계부'!A1450),100)&lt;=31),IF(MONTH(DATE(INT('월 가계부'!A1450/10000),MOD(INT('월 가계부'!A1450/100),100),MOD(INT('월 가계부'!A1450),100)))=MOD(INT('월 가계부'!A1450/100),100),DATE(INT('월 가계부'!A1450/10000),MOD(INT('월 가계부'!A1450/100),100),MOD(INT('월 가계부'!A1450),100)),""),""),IF(AND('월 가계부'!A1450&gt;=36526,'월 가계부'!A1450&lt;73051),INT('월 가계부'!A1450),"")),IF(OR(CM1450="",CN1450="",CO1450=""),"",IF(AND(CM1450&gt;=2000,CM1450&lt;=2099,CN1450&gt;=1,CN1450&lt;=12,CO1450&gt;=1,CO1450&lt;=31),IF(MONTH(DATE(CM1450,CN1450,CO1450))=CN1450,DATE(CM1450,CN1450,CO1450),""),"")))),"")</f>
        <v/>
      </c>
      <c r="CJ1450">
        <f>IFERROR(IF('월 가계부'!C1450="","",IF(ISNUMBER('월 가계부'!C1450),'월 가계부'!C1450,VALUE(SUBSTITUTE(SUBSTITUTE(SUBSTITUTE(SUBSTITUTE(TRIM('월 가계부'!C1450),",",""),"원","")," ",""),"−","-")))),"")</f>
        <v/>
      </c>
      <c r="CK1450">
        <f>IF(ISNUMBER(CI1450),IF(CI1450&lt;$B$13,CI1450,""),"")</f>
        <v/>
      </c>
      <c r="CM1450">
        <f>IF(CH1450="","",IFERROR(IF(IF(AND(LEN(CH1450)=9,ISERROR(FIND("-",LEFT(CH1450,8))),ISNUMBER(-LEFT(CH1450,8))),VALUE(LEFT(CH1450,4)),VALUE(LEFT(CH1450,FIND("-",CH1450)-1)))&lt;100,IF(AND(LEN(CH1450)=9,ISERROR(FIND("-",LEFT(CH1450,8))),ISNUMBER(-LEFT(CH1450,8))),VALUE(LEFT(CH1450,4)),VALUE(LEFT(CH1450,FIND("-",CH1450)-1)))+2000,IF(AND(LEN(CH1450)=9,ISERROR(FIND("-",LEFT(CH1450,8))),ISNUMBER(-LEFT(CH1450,8))),VALUE(LEFT(CH1450,4)),VALUE(LEFT(CH1450,FIND("-",CH1450)-1)))),""))</f>
        <v/>
      </c>
      <c r="CN1450">
        <f>IF(CH1450="","",IFERROR(IF(AND(LEN(CH1450)=9,ISERROR(FIND("-",LEFT(CH1450,8))),ISNUMBER(-LEFT(CH1450,8))),VALUE(MID(CH1450,5,2)),VALUE(MID(CH1450,FIND("-",CH1450)+1,FIND("-",CH1450,FIND("-",CH1450)+1)-FIND("-",CH1450)-1))),""))</f>
        <v/>
      </c>
      <c r="CO1450">
        <f>IF(CH1450="","",IFERROR(IF(AND(LEN(CH1450)=9,ISERROR(FIND("-",LEFT(CH1450,8))),ISNUMBER(-LEFT(CH1450,8))),VALUE(MID(CH1450,7,2)),VALUE(MID(CH1450,FIND("-",CH1450,FIND("-",CH1450)+1)+1,FIND("-",CH1450,FIND("-",CH1450,FIND("-",CH1450)+1)+1)-FIND("-",CH1450,FIND("-",CH1450)+1)-1))),""))</f>
        <v/>
      </c>
    </row>
    <row r="1451">
      <c r="CH1451">
        <f>IF(ISTEXT('월 가계부'!A1451),SUBSTITUTE(SUBSTITUTE(SUBSTITUTE(SUBSTITUTE(SUBSTITUTE(SUBSTITUTE(SUBSTITUTE(SUBSTITUTE(SUBSTITUTE(TRIM('월 가계부'!A1451),"년","-"),"월","-"),"일",""),".","-"),"/","-")," ","-"),"--","-"),"--","-"),"--","-")&amp;"-","")</f>
        <v/>
      </c>
      <c r="CI1451">
        <f>IFERROR(IF('월 가계부'!A1451="","",IF(ISNUMBER('월 가계부'!A1451),IF(AND('월 가계부'!A1451&gt;=19000101,'월 가계부'!A1451&lt;=21001231),IF(AND(MOD(INT('월 가계부'!A1451/100),100)&gt;=1,MOD(INT('월 가계부'!A1451/100),100)&lt;=12,MOD(INT('월 가계부'!A1451),100)&gt;=1,MOD(INT('월 가계부'!A1451),100)&lt;=31),IF(MONTH(DATE(INT('월 가계부'!A1451/10000),MOD(INT('월 가계부'!A1451/100),100),MOD(INT('월 가계부'!A1451),100)))=MOD(INT('월 가계부'!A1451/100),100),DATE(INT('월 가계부'!A1451/10000),MOD(INT('월 가계부'!A1451/100),100),MOD(INT('월 가계부'!A1451),100)),""),""),IF(AND('월 가계부'!A1451&gt;=36526,'월 가계부'!A1451&lt;73051),INT('월 가계부'!A1451),"")),IF(OR(CM1451="",CN1451="",CO1451=""),"",IF(AND(CM1451&gt;=2000,CM1451&lt;=2099,CN1451&gt;=1,CN1451&lt;=12,CO1451&gt;=1,CO1451&lt;=31),IF(MONTH(DATE(CM1451,CN1451,CO1451))=CN1451,DATE(CM1451,CN1451,CO1451),""),"")))),"")</f>
        <v/>
      </c>
      <c r="CJ1451">
        <f>IFERROR(IF('월 가계부'!C1451="","",IF(ISNUMBER('월 가계부'!C1451),'월 가계부'!C1451,VALUE(SUBSTITUTE(SUBSTITUTE(SUBSTITUTE(SUBSTITUTE(TRIM('월 가계부'!C1451),",",""),"원","")," ",""),"−","-")))),"")</f>
        <v/>
      </c>
      <c r="CK1451">
        <f>IF(ISNUMBER(CI1451),IF(CI1451&lt;$B$13,CI1451,""),"")</f>
        <v/>
      </c>
      <c r="CM1451">
        <f>IF(CH1451="","",IFERROR(IF(IF(AND(LEN(CH1451)=9,ISERROR(FIND("-",LEFT(CH1451,8))),ISNUMBER(-LEFT(CH1451,8))),VALUE(LEFT(CH1451,4)),VALUE(LEFT(CH1451,FIND("-",CH1451)-1)))&lt;100,IF(AND(LEN(CH1451)=9,ISERROR(FIND("-",LEFT(CH1451,8))),ISNUMBER(-LEFT(CH1451,8))),VALUE(LEFT(CH1451,4)),VALUE(LEFT(CH1451,FIND("-",CH1451)-1)))+2000,IF(AND(LEN(CH1451)=9,ISERROR(FIND("-",LEFT(CH1451,8))),ISNUMBER(-LEFT(CH1451,8))),VALUE(LEFT(CH1451,4)),VALUE(LEFT(CH1451,FIND("-",CH1451)-1)))),""))</f>
        <v/>
      </c>
      <c r="CN1451">
        <f>IF(CH1451="","",IFERROR(IF(AND(LEN(CH1451)=9,ISERROR(FIND("-",LEFT(CH1451,8))),ISNUMBER(-LEFT(CH1451,8))),VALUE(MID(CH1451,5,2)),VALUE(MID(CH1451,FIND("-",CH1451)+1,FIND("-",CH1451,FIND("-",CH1451)+1)-FIND("-",CH1451)-1))),""))</f>
        <v/>
      </c>
      <c r="CO1451">
        <f>IF(CH1451="","",IFERROR(IF(AND(LEN(CH1451)=9,ISERROR(FIND("-",LEFT(CH1451,8))),ISNUMBER(-LEFT(CH1451,8))),VALUE(MID(CH1451,7,2)),VALUE(MID(CH1451,FIND("-",CH1451,FIND("-",CH1451)+1)+1,FIND("-",CH1451,FIND("-",CH1451,FIND("-",CH1451)+1)+1)-FIND("-",CH1451,FIND("-",CH1451)+1)-1))),""))</f>
        <v/>
      </c>
    </row>
    <row r="1452">
      <c r="CH1452">
        <f>IF(ISTEXT('월 가계부'!A1452),SUBSTITUTE(SUBSTITUTE(SUBSTITUTE(SUBSTITUTE(SUBSTITUTE(SUBSTITUTE(SUBSTITUTE(SUBSTITUTE(SUBSTITUTE(TRIM('월 가계부'!A1452),"년","-"),"월","-"),"일",""),".","-"),"/","-")," ","-"),"--","-"),"--","-"),"--","-")&amp;"-","")</f>
        <v/>
      </c>
      <c r="CI1452">
        <f>IFERROR(IF('월 가계부'!A1452="","",IF(ISNUMBER('월 가계부'!A1452),IF(AND('월 가계부'!A1452&gt;=19000101,'월 가계부'!A1452&lt;=21001231),IF(AND(MOD(INT('월 가계부'!A1452/100),100)&gt;=1,MOD(INT('월 가계부'!A1452/100),100)&lt;=12,MOD(INT('월 가계부'!A1452),100)&gt;=1,MOD(INT('월 가계부'!A1452),100)&lt;=31),IF(MONTH(DATE(INT('월 가계부'!A1452/10000),MOD(INT('월 가계부'!A1452/100),100),MOD(INT('월 가계부'!A1452),100)))=MOD(INT('월 가계부'!A1452/100),100),DATE(INT('월 가계부'!A1452/10000),MOD(INT('월 가계부'!A1452/100),100),MOD(INT('월 가계부'!A1452),100)),""),""),IF(AND('월 가계부'!A1452&gt;=36526,'월 가계부'!A1452&lt;73051),INT('월 가계부'!A1452),"")),IF(OR(CM1452="",CN1452="",CO1452=""),"",IF(AND(CM1452&gt;=2000,CM1452&lt;=2099,CN1452&gt;=1,CN1452&lt;=12,CO1452&gt;=1,CO1452&lt;=31),IF(MONTH(DATE(CM1452,CN1452,CO1452))=CN1452,DATE(CM1452,CN1452,CO1452),""),"")))),"")</f>
        <v/>
      </c>
      <c r="CJ1452">
        <f>IFERROR(IF('월 가계부'!C1452="","",IF(ISNUMBER('월 가계부'!C1452),'월 가계부'!C1452,VALUE(SUBSTITUTE(SUBSTITUTE(SUBSTITUTE(SUBSTITUTE(TRIM('월 가계부'!C1452),",",""),"원","")," ",""),"−","-")))),"")</f>
        <v/>
      </c>
      <c r="CK1452">
        <f>IF(ISNUMBER(CI1452),IF(CI1452&lt;$B$13,CI1452,""),"")</f>
        <v/>
      </c>
      <c r="CM1452">
        <f>IF(CH1452="","",IFERROR(IF(IF(AND(LEN(CH1452)=9,ISERROR(FIND("-",LEFT(CH1452,8))),ISNUMBER(-LEFT(CH1452,8))),VALUE(LEFT(CH1452,4)),VALUE(LEFT(CH1452,FIND("-",CH1452)-1)))&lt;100,IF(AND(LEN(CH1452)=9,ISERROR(FIND("-",LEFT(CH1452,8))),ISNUMBER(-LEFT(CH1452,8))),VALUE(LEFT(CH1452,4)),VALUE(LEFT(CH1452,FIND("-",CH1452)-1)))+2000,IF(AND(LEN(CH1452)=9,ISERROR(FIND("-",LEFT(CH1452,8))),ISNUMBER(-LEFT(CH1452,8))),VALUE(LEFT(CH1452,4)),VALUE(LEFT(CH1452,FIND("-",CH1452)-1)))),""))</f>
        <v/>
      </c>
      <c r="CN1452">
        <f>IF(CH1452="","",IFERROR(IF(AND(LEN(CH1452)=9,ISERROR(FIND("-",LEFT(CH1452,8))),ISNUMBER(-LEFT(CH1452,8))),VALUE(MID(CH1452,5,2)),VALUE(MID(CH1452,FIND("-",CH1452)+1,FIND("-",CH1452,FIND("-",CH1452)+1)-FIND("-",CH1452)-1))),""))</f>
        <v/>
      </c>
      <c r="CO1452">
        <f>IF(CH1452="","",IFERROR(IF(AND(LEN(CH1452)=9,ISERROR(FIND("-",LEFT(CH1452,8))),ISNUMBER(-LEFT(CH1452,8))),VALUE(MID(CH1452,7,2)),VALUE(MID(CH1452,FIND("-",CH1452,FIND("-",CH1452)+1)+1,FIND("-",CH1452,FIND("-",CH1452,FIND("-",CH1452)+1)+1)-FIND("-",CH1452,FIND("-",CH1452)+1)-1))),""))</f>
        <v/>
      </c>
    </row>
    <row r="1453">
      <c r="CH1453">
        <f>IF(ISTEXT('월 가계부'!A1453),SUBSTITUTE(SUBSTITUTE(SUBSTITUTE(SUBSTITUTE(SUBSTITUTE(SUBSTITUTE(SUBSTITUTE(SUBSTITUTE(SUBSTITUTE(TRIM('월 가계부'!A1453),"년","-"),"월","-"),"일",""),".","-"),"/","-")," ","-"),"--","-"),"--","-"),"--","-")&amp;"-","")</f>
        <v/>
      </c>
      <c r="CI1453">
        <f>IFERROR(IF('월 가계부'!A1453="","",IF(ISNUMBER('월 가계부'!A1453),IF(AND('월 가계부'!A1453&gt;=19000101,'월 가계부'!A1453&lt;=21001231),IF(AND(MOD(INT('월 가계부'!A1453/100),100)&gt;=1,MOD(INT('월 가계부'!A1453/100),100)&lt;=12,MOD(INT('월 가계부'!A1453),100)&gt;=1,MOD(INT('월 가계부'!A1453),100)&lt;=31),IF(MONTH(DATE(INT('월 가계부'!A1453/10000),MOD(INT('월 가계부'!A1453/100),100),MOD(INT('월 가계부'!A1453),100)))=MOD(INT('월 가계부'!A1453/100),100),DATE(INT('월 가계부'!A1453/10000),MOD(INT('월 가계부'!A1453/100),100),MOD(INT('월 가계부'!A1453),100)),""),""),IF(AND('월 가계부'!A1453&gt;=36526,'월 가계부'!A1453&lt;73051),INT('월 가계부'!A1453),"")),IF(OR(CM1453="",CN1453="",CO1453=""),"",IF(AND(CM1453&gt;=2000,CM1453&lt;=2099,CN1453&gt;=1,CN1453&lt;=12,CO1453&gt;=1,CO1453&lt;=31),IF(MONTH(DATE(CM1453,CN1453,CO1453))=CN1453,DATE(CM1453,CN1453,CO1453),""),"")))),"")</f>
        <v/>
      </c>
      <c r="CJ1453">
        <f>IFERROR(IF('월 가계부'!C1453="","",IF(ISNUMBER('월 가계부'!C1453),'월 가계부'!C1453,VALUE(SUBSTITUTE(SUBSTITUTE(SUBSTITUTE(SUBSTITUTE(TRIM('월 가계부'!C1453),",",""),"원","")," ",""),"−","-")))),"")</f>
        <v/>
      </c>
      <c r="CK1453">
        <f>IF(ISNUMBER(CI1453),IF(CI1453&lt;$B$13,CI1453,""),"")</f>
        <v/>
      </c>
      <c r="CM1453">
        <f>IF(CH1453="","",IFERROR(IF(IF(AND(LEN(CH1453)=9,ISERROR(FIND("-",LEFT(CH1453,8))),ISNUMBER(-LEFT(CH1453,8))),VALUE(LEFT(CH1453,4)),VALUE(LEFT(CH1453,FIND("-",CH1453)-1)))&lt;100,IF(AND(LEN(CH1453)=9,ISERROR(FIND("-",LEFT(CH1453,8))),ISNUMBER(-LEFT(CH1453,8))),VALUE(LEFT(CH1453,4)),VALUE(LEFT(CH1453,FIND("-",CH1453)-1)))+2000,IF(AND(LEN(CH1453)=9,ISERROR(FIND("-",LEFT(CH1453,8))),ISNUMBER(-LEFT(CH1453,8))),VALUE(LEFT(CH1453,4)),VALUE(LEFT(CH1453,FIND("-",CH1453)-1)))),""))</f>
        <v/>
      </c>
      <c r="CN1453">
        <f>IF(CH1453="","",IFERROR(IF(AND(LEN(CH1453)=9,ISERROR(FIND("-",LEFT(CH1453,8))),ISNUMBER(-LEFT(CH1453,8))),VALUE(MID(CH1453,5,2)),VALUE(MID(CH1453,FIND("-",CH1453)+1,FIND("-",CH1453,FIND("-",CH1453)+1)-FIND("-",CH1453)-1))),""))</f>
        <v/>
      </c>
      <c r="CO1453">
        <f>IF(CH1453="","",IFERROR(IF(AND(LEN(CH1453)=9,ISERROR(FIND("-",LEFT(CH1453,8))),ISNUMBER(-LEFT(CH1453,8))),VALUE(MID(CH1453,7,2)),VALUE(MID(CH1453,FIND("-",CH1453,FIND("-",CH1453)+1)+1,FIND("-",CH1453,FIND("-",CH1453,FIND("-",CH1453)+1)+1)-FIND("-",CH1453,FIND("-",CH1453)+1)-1))),""))</f>
        <v/>
      </c>
    </row>
    <row r="1454">
      <c r="CH1454">
        <f>IF(ISTEXT('월 가계부'!A1454),SUBSTITUTE(SUBSTITUTE(SUBSTITUTE(SUBSTITUTE(SUBSTITUTE(SUBSTITUTE(SUBSTITUTE(SUBSTITUTE(SUBSTITUTE(TRIM('월 가계부'!A1454),"년","-"),"월","-"),"일",""),".","-"),"/","-")," ","-"),"--","-"),"--","-"),"--","-")&amp;"-","")</f>
        <v/>
      </c>
      <c r="CI1454">
        <f>IFERROR(IF('월 가계부'!A1454="","",IF(ISNUMBER('월 가계부'!A1454),IF(AND('월 가계부'!A1454&gt;=19000101,'월 가계부'!A1454&lt;=21001231),IF(AND(MOD(INT('월 가계부'!A1454/100),100)&gt;=1,MOD(INT('월 가계부'!A1454/100),100)&lt;=12,MOD(INT('월 가계부'!A1454),100)&gt;=1,MOD(INT('월 가계부'!A1454),100)&lt;=31),IF(MONTH(DATE(INT('월 가계부'!A1454/10000),MOD(INT('월 가계부'!A1454/100),100),MOD(INT('월 가계부'!A1454),100)))=MOD(INT('월 가계부'!A1454/100),100),DATE(INT('월 가계부'!A1454/10000),MOD(INT('월 가계부'!A1454/100),100),MOD(INT('월 가계부'!A1454),100)),""),""),IF(AND('월 가계부'!A1454&gt;=36526,'월 가계부'!A1454&lt;73051),INT('월 가계부'!A1454),"")),IF(OR(CM1454="",CN1454="",CO1454=""),"",IF(AND(CM1454&gt;=2000,CM1454&lt;=2099,CN1454&gt;=1,CN1454&lt;=12,CO1454&gt;=1,CO1454&lt;=31),IF(MONTH(DATE(CM1454,CN1454,CO1454))=CN1454,DATE(CM1454,CN1454,CO1454),""),"")))),"")</f>
        <v/>
      </c>
      <c r="CJ1454">
        <f>IFERROR(IF('월 가계부'!C1454="","",IF(ISNUMBER('월 가계부'!C1454),'월 가계부'!C1454,VALUE(SUBSTITUTE(SUBSTITUTE(SUBSTITUTE(SUBSTITUTE(TRIM('월 가계부'!C1454),",",""),"원","")," ",""),"−","-")))),"")</f>
        <v/>
      </c>
      <c r="CK1454">
        <f>IF(ISNUMBER(CI1454),IF(CI1454&lt;$B$13,CI1454,""),"")</f>
        <v/>
      </c>
      <c r="CM1454">
        <f>IF(CH1454="","",IFERROR(IF(IF(AND(LEN(CH1454)=9,ISERROR(FIND("-",LEFT(CH1454,8))),ISNUMBER(-LEFT(CH1454,8))),VALUE(LEFT(CH1454,4)),VALUE(LEFT(CH1454,FIND("-",CH1454)-1)))&lt;100,IF(AND(LEN(CH1454)=9,ISERROR(FIND("-",LEFT(CH1454,8))),ISNUMBER(-LEFT(CH1454,8))),VALUE(LEFT(CH1454,4)),VALUE(LEFT(CH1454,FIND("-",CH1454)-1)))+2000,IF(AND(LEN(CH1454)=9,ISERROR(FIND("-",LEFT(CH1454,8))),ISNUMBER(-LEFT(CH1454,8))),VALUE(LEFT(CH1454,4)),VALUE(LEFT(CH1454,FIND("-",CH1454)-1)))),""))</f>
        <v/>
      </c>
      <c r="CN1454">
        <f>IF(CH1454="","",IFERROR(IF(AND(LEN(CH1454)=9,ISERROR(FIND("-",LEFT(CH1454,8))),ISNUMBER(-LEFT(CH1454,8))),VALUE(MID(CH1454,5,2)),VALUE(MID(CH1454,FIND("-",CH1454)+1,FIND("-",CH1454,FIND("-",CH1454)+1)-FIND("-",CH1454)-1))),""))</f>
        <v/>
      </c>
      <c r="CO1454">
        <f>IF(CH1454="","",IFERROR(IF(AND(LEN(CH1454)=9,ISERROR(FIND("-",LEFT(CH1454,8))),ISNUMBER(-LEFT(CH1454,8))),VALUE(MID(CH1454,7,2)),VALUE(MID(CH1454,FIND("-",CH1454,FIND("-",CH1454)+1)+1,FIND("-",CH1454,FIND("-",CH1454,FIND("-",CH1454)+1)+1)-FIND("-",CH1454,FIND("-",CH1454)+1)-1))),""))</f>
        <v/>
      </c>
    </row>
    <row r="1455">
      <c r="CH1455">
        <f>IF(ISTEXT('월 가계부'!A1455),SUBSTITUTE(SUBSTITUTE(SUBSTITUTE(SUBSTITUTE(SUBSTITUTE(SUBSTITUTE(SUBSTITUTE(SUBSTITUTE(SUBSTITUTE(TRIM('월 가계부'!A1455),"년","-"),"월","-"),"일",""),".","-"),"/","-")," ","-"),"--","-"),"--","-"),"--","-")&amp;"-","")</f>
        <v/>
      </c>
      <c r="CI1455">
        <f>IFERROR(IF('월 가계부'!A1455="","",IF(ISNUMBER('월 가계부'!A1455),IF(AND('월 가계부'!A1455&gt;=19000101,'월 가계부'!A1455&lt;=21001231),IF(AND(MOD(INT('월 가계부'!A1455/100),100)&gt;=1,MOD(INT('월 가계부'!A1455/100),100)&lt;=12,MOD(INT('월 가계부'!A1455),100)&gt;=1,MOD(INT('월 가계부'!A1455),100)&lt;=31),IF(MONTH(DATE(INT('월 가계부'!A1455/10000),MOD(INT('월 가계부'!A1455/100),100),MOD(INT('월 가계부'!A1455),100)))=MOD(INT('월 가계부'!A1455/100),100),DATE(INT('월 가계부'!A1455/10000),MOD(INT('월 가계부'!A1455/100),100),MOD(INT('월 가계부'!A1455),100)),""),""),IF(AND('월 가계부'!A1455&gt;=36526,'월 가계부'!A1455&lt;73051),INT('월 가계부'!A1455),"")),IF(OR(CM1455="",CN1455="",CO1455=""),"",IF(AND(CM1455&gt;=2000,CM1455&lt;=2099,CN1455&gt;=1,CN1455&lt;=12,CO1455&gt;=1,CO1455&lt;=31),IF(MONTH(DATE(CM1455,CN1455,CO1455))=CN1455,DATE(CM1455,CN1455,CO1455),""),"")))),"")</f>
        <v/>
      </c>
      <c r="CJ1455">
        <f>IFERROR(IF('월 가계부'!C1455="","",IF(ISNUMBER('월 가계부'!C1455),'월 가계부'!C1455,VALUE(SUBSTITUTE(SUBSTITUTE(SUBSTITUTE(SUBSTITUTE(TRIM('월 가계부'!C1455),",",""),"원","")," ",""),"−","-")))),"")</f>
        <v/>
      </c>
      <c r="CK1455">
        <f>IF(ISNUMBER(CI1455),IF(CI1455&lt;$B$13,CI1455,""),"")</f>
        <v/>
      </c>
      <c r="CM1455">
        <f>IF(CH1455="","",IFERROR(IF(IF(AND(LEN(CH1455)=9,ISERROR(FIND("-",LEFT(CH1455,8))),ISNUMBER(-LEFT(CH1455,8))),VALUE(LEFT(CH1455,4)),VALUE(LEFT(CH1455,FIND("-",CH1455)-1)))&lt;100,IF(AND(LEN(CH1455)=9,ISERROR(FIND("-",LEFT(CH1455,8))),ISNUMBER(-LEFT(CH1455,8))),VALUE(LEFT(CH1455,4)),VALUE(LEFT(CH1455,FIND("-",CH1455)-1)))+2000,IF(AND(LEN(CH1455)=9,ISERROR(FIND("-",LEFT(CH1455,8))),ISNUMBER(-LEFT(CH1455,8))),VALUE(LEFT(CH1455,4)),VALUE(LEFT(CH1455,FIND("-",CH1455)-1)))),""))</f>
        <v/>
      </c>
      <c r="CN1455">
        <f>IF(CH1455="","",IFERROR(IF(AND(LEN(CH1455)=9,ISERROR(FIND("-",LEFT(CH1455,8))),ISNUMBER(-LEFT(CH1455,8))),VALUE(MID(CH1455,5,2)),VALUE(MID(CH1455,FIND("-",CH1455)+1,FIND("-",CH1455,FIND("-",CH1455)+1)-FIND("-",CH1455)-1))),""))</f>
        <v/>
      </c>
      <c r="CO1455">
        <f>IF(CH1455="","",IFERROR(IF(AND(LEN(CH1455)=9,ISERROR(FIND("-",LEFT(CH1455,8))),ISNUMBER(-LEFT(CH1455,8))),VALUE(MID(CH1455,7,2)),VALUE(MID(CH1455,FIND("-",CH1455,FIND("-",CH1455)+1)+1,FIND("-",CH1455,FIND("-",CH1455,FIND("-",CH1455)+1)+1)-FIND("-",CH1455,FIND("-",CH1455)+1)-1))),""))</f>
        <v/>
      </c>
    </row>
    <row r="1456">
      <c r="CH1456">
        <f>IF(ISTEXT('월 가계부'!A1456),SUBSTITUTE(SUBSTITUTE(SUBSTITUTE(SUBSTITUTE(SUBSTITUTE(SUBSTITUTE(SUBSTITUTE(SUBSTITUTE(SUBSTITUTE(TRIM('월 가계부'!A1456),"년","-"),"월","-"),"일",""),".","-"),"/","-")," ","-"),"--","-"),"--","-"),"--","-")&amp;"-","")</f>
        <v/>
      </c>
      <c r="CI1456">
        <f>IFERROR(IF('월 가계부'!A1456="","",IF(ISNUMBER('월 가계부'!A1456),IF(AND('월 가계부'!A1456&gt;=19000101,'월 가계부'!A1456&lt;=21001231),IF(AND(MOD(INT('월 가계부'!A1456/100),100)&gt;=1,MOD(INT('월 가계부'!A1456/100),100)&lt;=12,MOD(INT('월 가계부'!A1456),100)&gt;=1,MOD(INT('월 가계부'!A1456),100)&lt;=31),IF(MONTH(DATE(INT('월 가계부'!A1456/10000),MOD(INT('월 가계부'!A1456/100),100),MOD(INT('월 가계부'!A1456),100)))=MOD(INT('월 가계부'!A1456/100),100),DATE(INT('월 가계부'!A1456/10000),MOD(INT('월 가계부'!A1456/100),100),MOD(INT('월 가계부'!A1456),100)),""),""),IF(AND('월 가계부'!A1456&gt;=36526,'월 가계부'!A1456&lt;73051),INT('월 가계부'!A1456),"")),IF(OR(CM1456="",CN1456="",CO1456=""),"",IF(AND(CM1456&gt;=2000,CM1456&lt;=2099,CN1456&gt;=1,CN1456&lt;=12,CO1456&gt;=1,CO1456&lt;=31),IF(MONTH(DATE(CM1456,CN1456,CO1456))=CN1456,DATE(CM1456,CN1456,CO1456),""),"")))),"")</f>
        <v/>
      </c>
      <c r="CJ1456">
        <f>IFERROR(IF('월 가계부'!C1456="","",IF(ISNUMBER('월 가계부'!C1456),'월 가계부'!C1456,VALUE(SUBSTITUTE(SUBSTITUTE(SUBSTITUTE(SUBSTITUTE(TRIM('월 가계부'!C1456),",",""),"원","")," ",""),"−","-")))),"")</f>
        <v/>
      </c>
      <c r="CK1456">
        <f>IF(ISNUMBER(CI1456),IF(CI1456&lt;$B$13,CI1456,""),"")</f>
        <v/>
      </c>
      <c r="CM1456">
        <f>IF(CH1456="","",IFERROR(IF(IF(AND(LEN(CH1456)=9,ISERROR(FIND("-",LEFT(CH1456,8))),ISNUMBER(-LEFT(CH1456,8))),VALUE(LEFT(CH1456,4)),VALUE(LEFT(CH1456,FIND("-",CH1456)-1)))&lt;100,IF(AND(LEN(CH1456)=9,ISERROR(FIND("-",LEFT(CH1456,8))),ISNUMBER(-LEFT(CH1456,8))),VALUE(LEFT(CH1456,4)),VALUE(LEFT(CH1456,FIND("-",CH1456)-1)))+2000,IF(AND(LEN(CH1456)=9,ISERROR(FIND("-",LEFT(CH1456,8))),ISNUMBER(-LEFT(CH1456,8))),VALUE(LEFT(CH1456,4)),VALUE(LEFT(CH1456,FIND("-",CH1456)-1)))),""))</f>
        <v/>
      </c>
      <c r="CN1456">
        <f>IF(CH1456="","",IFERROR(IF(AND(LEN(CH1456)=9,ISERROR(FIND("-",LEFT(CH1456,8))),ISNUMBER(-LEFT(CH1456,8))),VALUE(MID(CH1456,5,2)),VALUE(MID(CH1456,FIND("-",CH1456)+1,FIND("-",CH1456,FIND("-",CH1456)+1)-FIND("-",CH1456)-1))),""))</f>
        <v/>
      </c>
      <c r="CO1456">
        <f>IF(CH1456="","",IFERROR(IF(AND(LEN(CH1456)=9,ISERROR(FIND("-",LEFT(CH1456,8))),ISNUMBER(-LEFT(CH1456,8))),VALUE(MID(CH1456,7,2)),VALUE(MID(CH1456,FIND("-",CH1456,FIND("-",CH1456)+1)+1,FIND("-",CH1456,FIND("-",CH1456,FIND("-",CH1456)+1)+1)-FIND("-",CH1456,FIND("-",CH1456)+1)-1))),""))</f>
        <v/>
      </c>
    </row>
    <row r="1457">
      <c r="CH1457">
        <f>IF(ISTEXT('월 가계부'!A1457),SUBSTITUTE(SUBSTITUTE(SUBSTITUTE(SUBSTITUTE(SUBSTITUTE(SUBSTITUTE(SUBSTITUTE(SUBSTITUTE(SUBSTITUTE(TRIM('월 가계부'!A1457),"년","-"),"월","-"),"일",""),".","-"),"/","-")," ","-"),"--","-"),"--","-"),"--","-")&amp;"-","")</f>
        <v/>
      </c>
      <c r="CI1457">
        <f>IFERROR(IF('월 가계부'!A1457="","",IF(ISNUMBER('월 가계부'!A1457),IF(AND('월 가계부'!A1457&gt;=19000101,'월 가계부'!A1457&lt;=21001231),IF(AND(MOD(INT('월 가계부'!A1457/100),100)&gt;=1,MOD(INT('월 가계부'!A1457/100),100)&lt;=12,MOD(INT('월 가계부'!A1457),100)&gt;=1,MOD(INT('월 가계부'!A1457),100)&lt;=31),IF(MONTH(DATE(INT('월 가계부'!A1457/10000),MOD(INT('월 가계부'!A1457/100),100),MOD(INT('월 가계부'!A1457),100)))=MOD(INT('월 가계부'!A1457/100),100),DATE(INT('월 가계부'!A1457/10000),MOD(INT('월 가계부'!A1457/100),100),MOD(INT('월 가계부'!A1457),100)),""),""),IF(AND('월 가계부'!A1457&gt;=36526,'월 가계부'!A1457&lt;73051),INT('월 가계부'!A1457),"")),IF(OR(CM1457="",CN1457="",CO1457=""),"",IF(AND(CM1457&gt;=2000,CM1457&lt;=2099,CN1457&gt;=1,CN1457&lt;=12,CO1457&gt;=1,CO1457&lt;=31),IF(MONTH(DATE(CM1457,CN1457,CO1457))=CN1457,DATE(CM1457,CN1457,CO1457),""),"")))),"")</f>
        <v/>
      </c>
      <c r="CJ1457">
        <f>IFERROR(IF('월 가계부'!C1457="","",IF(ISNUMBER('월 가계부'!C1457),'월 가계부'!C1457,VALUE(SUBSTITUTE(SUBSTITUTE(SUBSTITUTE(SUBSTITUTE(TRIM('월 가계부'!C1457),",",""),"원","")," ",""),"−","-")))),"")</f>
        <v/>
      </c>
      <c r="CK1457">
        <f>IF(ISNUMBER(CI1457),IF(CI1457&lt;$B$13,CI1457,""),"")</f>
        <v/>
      </c>
      <c r="CM1457">
        <f>IF(CH1457="","",IFERROR(IF(IF(AND(LEN(CH1457)=9,ISERROR(FIND("-",LEFT(CH1457,8))),ISNUMBER(-LEFT(CH1457,8))),VALUE(LEFT(CH1457,4)),VALUE(LEFT(CH1457,FIND("-",CH1457)-1)))&lt;100,IF(AND(LEN(CH1457)=9,ISERROR(FIND("-",LEFT(CH1457,8))),ISNUMBER(-LEFT(CH1457,8))),VALUE(LEFT(CH1457,4)),VALUE(LEFT(CH1457,FIND("-",CH1457)-1)))+2000,IF(AND(LEN(CH1457)=9,ISERROR(FIND("-",LEFT(CH1457,8))),ISNUMBER(-LEFT(CH1457,8))),VALUE(LEFT(CH1457,4)),VALUE(LEFT(CH1457,FIND("-",CH1457)-1)))),""))</f>
        <v/>
      </c>
      <c r="CN1457">
        <f>IF(CH1457="","",IFERROR(IF(AND(LEN(CH1457)=9,ISERROR(FIND("-",LEFT(CH1457,8))),ISNUMBER(-LEFT(CH1457,8))),VALUE(MID(CH1457,5,2)),VALUE(MID(CH1457,FIND("-",CH1457)+1,FIND("-",CH1457,FIND("-",CH1457)+1)-FIND("-",CH1457)-1))),""))</f>
        <v/>
      </c>
      <c r="CO1457">
        <f>IF(CH1457="","",IFERROR(IF(AND(LEN(CH1457)=9,ISERROR(FIND("-",LEFT(CH1457,8))),ISNUMBER(-LEFT(CH1457,8))),VALUE(MID(CH1457,7,2)),VALUE(MID(CH1457,FIND("-",CH1457,FIND("-",CH1457)+1)+1,FIND("-",CH1457,FIND("-",CH1457,FIND("-",CH1457)+1)+1)-FIND("-",CH1457,FIND("-",CH1457)+1)-1))),""))</f>
        <v/>
      </c>
    </row>
    <row r="1458">
      <c r="CH1458">
        <f>IF(ISTEXT('월 가계부'!A1458),SUBSTITUTE(SUBSTITUTE(SUBSTITUTE(SUBSTITUTE(SUBSTITUTE(SUBSTITUTE(SUBSTITUTE(SUBSTITUTE(SUBSTITUTE(TRIM('월 가계부'!A1458),"년","-"),"월","-"),"일",""),".","-"),"/","-")," ","-"),"--","-"),"--","-"),"--","-")&amp;"-","")</f>
        <v/>
      </c>
      <c r="CI1458">
        <f>IFERROR(IF('월 가계부'!A1458="","",IF(ISNUMBER('월 가계부'!A1458),IF(AND('월 가계부'!A1458&gt;=19000101,'월 가계부'!A1458&lt;=21001231),IF(AND(MOD(INT('월 가계부'!A1458/100),100)&gt;=1,MOD(INT('월 가계부'!A1458/100),100)&lt;=12,MOD(INT('월 가계부'!A1458),100)&gt;=1,MOD(INT('월 가계부'!A1458),100)&lt;=31),IF(MONTH(DATE(INT('월 가계부'!A1458/10000),MOD(INT('월 가계부'!A1458/100),100),MOD(INT('월 가계부'!A1458),100)))=MOD(INT('월 가계부'!A1458/100),100),DATE(INT('월 가계부'!A1458/10000),MOD(INT('월 가계부'!A1458/100),100),MOD(INT('월 가계부'!A1458),100)),""),""),IF(AND('월 가계부'!A1458&gt;=36526,'월 가계부'!A1458&lt;73051),INT('월 가계부'!A1458),"")),IF(OR(CM1458="",CN1458="",CO1458=""),"",IF(AND(CM1458&gt;=2000,CM1458&lt;=2099,CN1458&gt;=1,CN1458&lt;=12,CO1458&gt;=1,CO1458&lt;=31),IF(MONTH(DATE(CM1458,CN1458,CO1458))=CN1458,DATE(CM1458,CN1458,CO1458),""),"")))),"")</f>
        <v/>
      </c>
      <c r="CJ1458">
        <f>IFERROR(IF('월 가계부'!C1458="","",IF(ISNUMBER('월 가계부'!C1458),'월 가계부'!C1458,VALUE(SUBSTITUTE(SUBSTITUTE(SUBSTITUTE(SUBSTITUTE(TRIM('월 가계부'!C1458),",",""),"원","")," ",""),"−","-")))),"")</f>
        <v/>
      </c>
      <c r="CK1458">
        <f>IF(ISNUMBER(CI1458),IF(CI1458&lt;$B$13,CI1458,""),"")</f>
        <v/>
      </c>
      <c r="CM1458">
        <f>IF(CH1458="","",IFERROR(IF(IF(AND(LEN(CH1458)=9,ISERROR(FIND("-",LEFT(CH1458,8))),ISNUMBER(-LEFT(CH1458,8))),VALUE(LEFT(CH1458,4)),VALUE(LEFT(CH1458,FIND("-",CH1458)-1)))&lt;100,IF(AND(LEN(CH1458)=9,ISERROR(FIND("-",LEFT(CH1458,8))),ISNUMBER(-LEFT(CH1458,8))),VALUE(LEFT(CH1458,4)),VALUE(LEFT(CH1458,FIND("-",CH1458)-1)))+2000,IF(AND(LEN(CH1458)=9,ISERROR(FIND("-",LEFT(CH1458,8))),ISNUMBER(-LEFT(CH1458,8))),VALUE(LEFT(CH1458,4)),VALUE(LEFT(CH1458,FIND("-",CH1458)-1)))),""))</f>
        <v/>
      </c>
      <c r="CN1458">
        <f>IF(CH1458="","",IFERROR(IF(AND(LEN(CH1458)=9,ISERROR(FIND("-",LEFT(CH1458,8))),ISNUMBER(-LEFT(CH1458,8))),VALUE(MID(CH1458,5,2)),VALUE(MID(CH1458,FIND("-",CH1458)+1,FIND("-",CH1458,FIND("-",CH1458)+1)-FIND("-",CH1458)-1))),""))</f>
        <v/>
      </c>
      <c r="CO1458">
        <f>IF(CH1458="","",IFERROR(IF(AND(LEN(CH1458)=9,ISERROR(FIND("-",LEFT(CH1458,8))),ISNUMBER(-LEFT(CH1458,8))),VALUE(MID(CH1458,7,2)),VALUE(MID(CH1458,FIND("-",CH1458,FIND("-",CH1458)+1)+1,FIND("-",CH1458,FIND("-",CH1458,FIND("-",CH1458)+1)+1)-FIND("-",CH1458,FIND("-",CH1458)+1)-1))),""))</f>
        <v/>
      </c>
    </row>
    <row r="1459">
      <c r="CH1459">
        <f>IF(ISTEXT('월 가계부'!A1459),SUBSTITUTE(SUBSTITUTE(SUBSTITUTE(SUBSTITUTE(SUBSTITUTE(SUBSTITUTE(SUBSTITUTE(SUBSTITUTE(SUBSTITUTE(TRIM('월 가계부'!A1459),"년","-"),"월","-"),"일",""),".","-"),"/","-")," ","-"),"--","-"),"--","-"),"--","-")&amp;"-","")</f>
        <v/>
      </c>
      <c r="CI1459">
        <f>IFERROR(IF('월 가계부'!A1459="","",IF(ISNUMBER('월 가계부'!A1459),IF(AND('월 가계부'!A1459&gt;=19000101,'월 가계부'!A1459&lt;=21001231),IF(AND(MOD(INT('월 가계부'!A1459/100),100)&gt;=1,MOD(INT('월 가계부'!A1459/100),100)&lt;=12,MOD(INT('월 가계부'!A1459),100)&gt;=1,MOD(INT('월 가계부'!A1459),100)&lt;=31),IF(MONTH(DATE(INT('월 가계부'!A1459/10000),MOD(INT('월 가계부'!A1459/100),100),MOD(INT('월 가계부'!A1459),100)))=MOD(INT('월 가계부'!A1459/100),100),DATE(INT('월 가계부'!A1459/10000),MOD(INT('월 가계부'!A1459/100),100),MOD(INT('월 가계부'!A1459),100)),""),""),IF(AND('월 가계부'!A1459&gt;=36526,'월 가계부'!A1459&lt;73051),INT('월 가계부'!A1459),"")),IF(OR(CM1459="",CN1459="",CO1459=""),"",IF(AND(CM1459&gt;=2000,CM1459&lt;=2099,CN1459&gt;=1,CN1459&lt;=12,CO1459&gt;=1,CO1459&lt;=31),IF(MONTH(DATE(CM1459,CN1459,CO1459))=CN1459,DATE(CM1459,CN1459,CO1459),""),"")))),"")</f>
        <v/>
      </c>
      <c r="CJ1459">
        <f>IFERROR(IF('월 가계부'!C1459="","",IF(ISNUMBER('월 가계부'!C1459),'월 가계부'!C1459,VALUE(SUBSTITUTE(SUBSTITUTE(SUBSTITUTE(SUBSTITUTE(TRIM('월 가계부'!C1459),",",""),"원","")," ",""),"−","-")))),"")</f>
        <v/>
      </c>
      <c r="CK1459">
        <f>IF(ISNUMBER(CI1459),IF(CI1459&lt;$B$13,CI1459,""),"")</f>
        <v/>
      </c>
      <c r="CM1459">
        <f>IF(CH1459="","",IFERROR(IF(IF(AND(LEN(CH1459)=9,ISERROR(FIND("-",LEFT(CH1459,8))),ISNUMBER(-LEFT(CH1459,8))),VALUE(LEFT(CH1459,4)),VALUE(LEFT(CH1459,FIND("-",CH1459)-1)))&lt;100,IF(AND(LEN(CH1459)=9,ISERROR(FIND("-",LEFT(CH1459,8))),ISNUMBER(-LEFT(CH1459,8))),VALUE(LEFT(CH1459,4)),VALUE(LEFT(CH1459,FIND("-",CH1459)-1)))+2000,IF(AND(LEN(CH1459)=9,ISERROR(FIND("-",LEFT(CH1459,8))),ISNUMBER(-LEFT(CH1459,8))),VALUE(LEFT(CH1459,4)),VALUE(LEFT(CH1459,FIND("-",CH1459)-1)))),""))</f>
        <v/>
      </c>
      <c r="CN1459">
        <f>IF(CH1459="","",IFERROR(IF(AND(LEN(CH1459)=9,ISERROR(FIND("-",LEFT(CH1459,8))),ISNUMBER(-LEFT(CH1459,8))),VALUE(MID(CH1459,5,2)),VALUE(MID(CH1459,FIND("-",CH1459)+1,FIND("-",CH1459,FIND("-",CH1459)+1)-FIND("-",CH1459)-1))),""))</f>
        <v/>
      </c>
      <c r="CO1459">
        <f>IF(CH1459="","",IFERROR(IF(AND(LEN(CH1459)=9,ISERROR(FIND("-",LEFT(CH1459,8))),ISNUMBER(-LEFT(CH1459,8))),VALUE(MID(CH1459,7,2)),VALUE(MID(CH1459,FIND("-",CH1459,FIND("-",CH1459)+1)+1,FIND("-",CH1459,FIND("-",CH1459,FIND("-",CH1459)+1)+1)-FIND("-",CH1459,FIND("-",CH1459)+1)-1))),""))</f>
        <v/>
      </c>
    </row>
    <row r="1460">
      <c r="CH1460">
        <f>IF(ISTEXT('월 가계부'!A1460),SUBSTITUTE(SUBSTITUTE(SUBSTITUTE(SUBSTITUTE(SUBSTITUTE(SUBSTITUTE(SUBSTITUTE(SUBSTITUTE(SUBSTITUTE(TRIM('월 가계부'!A1460),"년","-"),"월","-"),"일",""),".","-"),"/","-")," ","-"),"--","-"),"--","-"),"--","-")&amp;"-","")</f>
        <v/>
      </c>
      <c r="CI1460">
        <f>IFERROR(IF('월 가계부'!A1460="","",IF(ISNUMBER('월 가계부'!A1460),IF(AND('월 가계부'!A1460&gt;=19000101,'월 가계부'!A1460&lt;=21001231),IF(AND(MOD(INT('월 가계부'!A1460/100),100)&gt;=1,MOD(INT('월 가계부'!A1460/100),100)&lt;=12,MOD(INT('월 가계부'!A1460),100)&gt;=1,MOD(INT('월 가계부'!A1460),100)&lt;=31),IF(MONTH(DATE(INT('월 가계부'!A1460/10000),MOD(INT('월 가계부'!A1460/100),100),MOD(INT('월 가계부'!A1460),100)))=MOD(INT('월 가계부'!A1460/100),100),DATE(INT('월 가계부'!A1460/10000),MOD(INT('월 가계부'!A1460/100),100),MOD(INT('월 가계부'!A1460),100)),""),""),IF(AND('월 가계부'!A1460&gt;=36526,'월 가계부'!A1460&lt;73051),INT('월 가계부'!A1460),"")),IF(OR(CM1460="",CN1460="",CO1460=""),"",IF(AND(CM1460&gt;=2000,CM1460&lt;=2099,CN1460&gt;=1,CN1460&lt;=12,CO1460&gt;=1,CO1460&lt;=31),IF(MONTH(DATE(CM1460,CN1460,CO1460))=CN1460,DATE(CM1460,CN1460,CO1460),""),"")))),"")</f>
        <v/>
      </c>
      <c r="CJ1460">
        <f>IFERROR(IF('월 가계부'!C1460="","",IF(ISNUMBER('월 가계부'!C1460),'월 가계부'!C1460,VALUE(SUBSTITUTE(SUBSTITUTE(SUBSTITUTE(SUBSTITUTE(TRIM('월 가계부'!C1460),",",""),"원","")," ",""),"−","-")))),"")</f>
        <v/>
      </c>
      <c r="CK1460">
        <f>IF(ISNUMBER(CI1460),IF(CI1460&lt;$B$13,CI1460,""),"")</f>
        <v/>
      </c>
      <c r="CM1460">
        <f>IF(CH1460="","",IFERROR(IF(IF(AND(LEN(CH1460)=9,ISERROR(FIND("-",LEFT(CH1460,8))),ISNUMBER(-LEFT(CH1460,8))),VALUE(LEFT(CH1460,4)),VALUE(LEFT(CH1460,FIND("-",CH1460)-1)))&lt;100,IF(AND(LEN(CH1460)=9,ISERROR(FIND("-",LEFT(CH1460,8))),ISNUMBER(-LEFT(CH1460,8))),VALUE(LEFT(CH1460,4)),VALUE(LEFT(CH1460,FIND("-",CH1460)-1)))+2000,IF(AND(LEN(CH1460)=9,ISERROR(FIND("-",LEFT(CH1460,8))),ISNUMBER(-LEFT(CH1460,8))),VALUE(LEFT(CH1460,4)),VALUE(LEFT(CH1460,FIND("-",CH1460)-1)))),""))</f>
        <v/>
      </c>
      <c r="CN1460">
        <f>IF(CH1460="","",IFERROR(IF(AND(LEN(CH1460)=9,ISERROR(FIND("-",LEFT(CH1460,8))),ISNUMBER(-LEFT(CH1460,8))),VALUE(MID(CH1460,5,2)),VALUE(MID(CH1460,FIND("-",CH1460)+1,FIND("-",CH1460,FIND("-",CH1460)+1)-FIND("-",CH1460)-1))),""))</f>
        <v/>
      </c>
      <c r="CO1460">
        <f>IF(CH1460="","",IFERROR(IF(AND(LEN(CH1460)=9,ISERROR(FIND("-",LEFT(CH1460,8))),ISNUMBER(-LEFT(CH1460,8))),VALUE(MID(CH1460,7,2)),VALUE(MID(CH1460,FIND("-",CH1460,FIND("-",CH1460)+1)+1,FIND("-",CH1460,FIND("-",CH1460,FIND("-",CH1460)+1)+1)-FIND("-",CH1460,FIND("-",CH1460)+1)-1))),""))</f>
        <v/>
      </c>
    </row>
    <row r="1461">
      <c r="CH1461">
        <f>IF(ISTEXT('월 가계부'!A1461),SUBSTITUTE(SUBSTITUTE(SUBSTITUTE(SUBSTITUTE(SUBSTITUTE(SUBSTITUTE(SUBSTITUTE(SUBSTITUTE(SUBSTITUTE(TRIM('월 가계부'!A1461),"년","-"),"월","-"),"일",""),".","-"),"/","-")," ","-"),"--","-"),"--","-"),"--","-")&amp;"-","")</f>
        <v/>
      </c>
      <c r="CI1461">
        <f>IFERROR(IF('월 가계부'!A1461="","",IF(ISNUMBER('월 가계부'!A1461),IF(AND('월 가계부'!A1461&gt;=19000101,'월 가계부'!A1461&lt;=21001231),IF(AND(MOD(INT('월 가계부'!A1461/100),100)&gt;=1,MOD(INT('월 가계부'!A1461/100),100)&lt;=12,MOD(INT('월 가계부'!A1461),100)&gt;=1,MOD(INT('월 가계부'!A1461),100)&lt;=31),IF(MONTH(DATE(INT('월 가계부'!A1461/10000),MOD(INT('월 가계부'!A1461/100),100),MOD(INT('월 가계부'!A1461),100)))=MOD(INT('월 가계부'!A1461/100),100),DATE(INT('월 가계부'!A1461/10000),MOD(INT('월 가계부'!A1461/100),100),MOD(INT('월 가계부'!A1461),100)),""),""),IF(AND('월 가계부'!A1461&gt;=36526,'월 가계부'!A1461&lt;73051),INT('월 가계부'!A1461),"")),IF(OR(CM1461="",CN1461="",CO1461=""),"",IF(AND(CM1461&gt;=2000,CM1461&lt;=2099,CN1461&gt;=1,CN1461&lt;=12,CO1461&gt;=1,CO1461&lt;=31),IF(MONTH(DATE(CM1461,CN1461,CO1461))=CN1461,DATE(CM1461,CN1461,CO1461),""),"")))),"")</f>
        <v/>
      </c>
      <c r="CJ1461">
        <f>IFERROR(IF('월 가계부'!C1461="","",IF(ISNUMBER('월 가계부'!C1461),'월 가계부'!C1461,VALUE(SUBSTITUTE(SUBSTITUTE(SUBSTITUTE(SUBSTITUTE(TRIM('월 가계부'!C1461),",",""),"원","")," ",""),"−","-")))),"")</f>
        <v/>
      </c>
      <c r="CK1461">
        <f>IF(ISNUMBER(CI1461),IF(CI1461&lt;$B$13,CI1461,""),"")</f>
        <v/>
      </c>
      <c r="CM1461">
        <f>IF(CH1461="","",IFERROR(IF(IF(AND(LEN(CH1461)=9,ISERROR(FIND("-",LEFT(CH1461,8))),ISNUMBER(-LEFT(CH1461,8))),VALUE(LEFT(CH1461,4)),VALUE(LEFT(CH1461,FIND("-",CH1461)-1)))&lt;100,IF(AND(LEN(CH1461)=9,ISERROR(FIND("-",LEFT(CH1461,8))),ISNUMBER(-LEFT(CH1461,8))),VALUE(LEFT(CH1461,4)),VALUE(LEFT(CH1461,FIND("-",CH1461)-1)))+2000,IF(AND(LEN(CH1461)=9,ISERROR(FIND("-",LEFT(CH1461,8))),ISNUMBER(-LEFT(CH1461,8))),VALUE(LEFT(CH1461,4)),VALUE(LEFT(CH1461,FIND("-",CH1461)-1)))),""))</f>
        <v/>
      </c>
      <c r="CN1461">
        <f>IF(CH1461="","",IFERROR(IF(AND(LEN(CH1461)=9,ISERROR(FIND("-",LEFT(CH1461,8))),ISNUMBER(-LEFT(CH1461,8))),VALUE(MID(CH1461,5,2)),VALUE(MID(CH1461,FIND("-",CH1461)+1,FIND("-",CH1461,FIND("-",CH1461)+1)-FIND("-",CH1461)-1))),""))</f>
        <v/>
      </c>
      <c r="CO1461">
        <f>IF(CH1461="","",IFERROR(IF(AND(LEN(CH1461)=9,ISERROR(FIND("-",LEFT(CH1461,8))),ISNUMBER(-LEFT(CH1461,8))),VALUE(MID(CH1461,7,2)),VALUE(MID(CH1461,FIND("-",CH1461,FIND("-",CH1461)+1)+1,FIND("-",CH1461,FIND("-",CH1461,FIND("-",CH1461)+1)+1)-FIND("-",CH1461,FIND("-",CH1461)+1)-1))),""))</f>
        <v/>
      </c>
    </row>
    <row r="1462">
      <c r="CH1462">
        <f>IF(ISTEXT('월 가계부'!A1462),SUBSTITUTE(SUBSTITUTE(SUBSTITUTE(SUBSTITUTE(SUBSTITUTE(SUBSTITUTE(SUBSTITUTE(SUBSTITUTE(SUBSTITUTE(TRIM('월 가계부'!A1462),"년","-"),"월","-"),"일",""),".","-"),"/","-")," ","-"),"--","-"),"--","-"),"--","-")&amp;"-","")</f>
        <v/>
      </c>
      <c r="CI1462">
        <f>IFERROR(IF('월 가계부'!A1462="","",IF(ISNUMBER('월 가계부'!A1462),IF(AND('월 가계부'!A1462&gt;=19000101,'월 가계부'!A1462&lt;=21001231),IF(AND(MOD(INT('월 가계부'!A1462/100),100)&gt;=1,MOD(INT('월 가계부'!A1462/100),100)&lt;=12,MOD(INT('월 가계부'!A1462),100)&gt;=1,MOD(INT('월 가계부'!A1462),100)&lt;=31),IF(MONTH(DATE(INT('월 가계부'!A1462/10000),MOD(INT('월 가계부'!A1462/100),100),MOD(INT('월 가계부'!A1462),100)))=MOD(INT('월 가계부'!A1462/100),100),DATE(INT('월 가계부'!A1462/10000),MOD(INT('월 가계부'!A1462/100),100),MOD(INT('월 가계부'!A1462),100)),""),""),IF(AND('월 가계부'!A1462&gt;=36526,'월 가계부'!A1462&lt;73051),INT('월 가계부'!A1462),"")),IF(OR(CM1462="",CN1462="",CO1462=""),"",IF(AND(CM1462&gt;=2000,CM1462&lt;=2099,CN1462&gt;=1,CN1462&lt;=12,CO1462&gt;=1,CO1462&lt;=31),IF(MONTH(DATE(CM1462,CN1462,CO1462))=CN1462,DATE(CM1462,CN1462,CO1462),""),"")))),"")</f>
        <v/>
      </c>
      <c r="CJ1462">
        <f>IFERROR(IF('월 가계부'!C1462="","",IF(ISNUMBER('월 가계부'!C1462),'월 가계부'!C1462,VALUE(SUBSTITUTE(SUBSTITUTE(SUBSTITUTE(SUBSTITUTE(TRIM('월 가계부'!C1462),",",""),"원","")," ",""),"−","-")))),"")</f>
        <v/>
      </c>
      <c r="CK1462">
        <f>IF(ISNUMBER(CI1462),IF(CI1462&lt;$B$13,CI1462,""),"")</f>
        <v/>
      </c>
      <c r="CM1462">
        <f>IF(CH1462="","",IFERROR(IF(IF(AND(LEN(CH1462)=9,ISERROR(FIND("-",LEFT(CH1462,8))),ISNUMBER(-LEFT(CH1462,8))),VALUE(LEFT(CH1462,4)),VALUE(LEFT(CH1462,FIND("-",CH1462)-1)))&lt;100,IF(AND(LEN(CH1462)=9,ISERROR(FIND("-",LEFT(CH1462,8))),ISNUMBER(-LEFT(CH1462,8))),VALUE(LEFT(CH1462,4)),VALUE(LEFT(CH1462,FIND("-",CH1462)-1)))+2000,IF(AND(LEN(CH1462)=9,ISERROR(FIND("-",LEFT(CH1462,8))),ISNUMBER(-LEFT(CH1462,8))),VALUE(LEFT(CH1462,4)),VALUE(LEFT(CH1462,FIND("-",CH1462)-1)))),""))</f>
        <v/>
      </c>
      <c r="CN1462">
        <f>IF(CH1462="","",IFERROR(IF(AND(LEN(CH1462)=9,ISERROR(FIND("-",LEFT(CH1462,8))),ISNUMBER(-LEFT(CH1462,8))),VALUE(MID(CH1462,5,2)),VALUE(MID(CH1462,FIND("-",CH1462)+1,FIND("-",CH1462,FIND("-",CH1462)+1)-FIND("-",CH1462)-1))),""))</f>
        <v/>
      </c>
      <c r="CO1462">
        <f>IF(CH1462="","",IFERROR(IF(AND(LEN(CH1462)=9,ISERROR(FIND("-",LEFT(CH1462,8))),ISNUMBER(-LEFT(CH1462,8))),VALUE(MID(CH1462,7,2)),VALUE(MID(CH1462,FIND("-",CH1462,FIND("-",CH1462)+1)+1,FIND("-",CH1462,FIND("-",CH1462,FIND("-",CH1462)+1)+1)-FIND("-",CH1462,FIND("-",CH1462)+1)-1))),""))</f>
        <v/>
      </c>
    </row>
    <row r="1463">
      <c r="CH1463">
        <f>IF(ISTEXT('월 가계부'!A1463),SUBSTITUTE(SUBSTITUTE(SUBSTITUTE(SUBSTITUTE(SUBSTITUTE(SUBSTITUTE(SUBSTITUTE(SUBSTITUTE(SUBSTITUTE(TRIM('월 가계부'!A1463),"년","-"),"월","-"),"일",""),".","-"),"/","-")," ","-"),"--","-"),"--","-"),"--","-")&amp;"-","")</f>
        <v/>
      </c>
      <c r="CI1463">
        <f>IFERROR(IF('월 가계부'!A1463="","",IF(ISNUMBER('월 가계부'!A1463),IF(AND('월 가계부'!A1463&gt;=19000101,'월 가계부'!A1463&lt;=21001231),IF(AND(MOD(INT('월 가계부'!A1463/100),100)&gt;=1,MOD(INT('월 가계부'!A1463/100),100)&lt;=12,MOD(INT('월 가계부'!A1463),100)&gt;=1,MOD(INT('월 가계부'!A1463),100)&lt;=31),IF(MONTH(DATE(INT('월 가계부'!A1463/10000),MOD(INT('월 가계부'!A1463/100),100),MOD(INT('월 가계부'!A1463),100)))=MOD(INT('월 가계부'!A1463/100),100),DATE(INT('월 가계부'!A1463/10000),MOD(INT('월 가계부'!A1463/100),100),MOD(INT('월 가계부'!A1463),100)),""),""),IF(AND('월 가계부'!A1463&gt;=36526,'월 가계부'!A1463&lt;73051),INT('월 가계부'!A1463),"")),IF(OR(CM1463="",CN1463="",CO1463=""),"",IF(AND(CM1463&gt;=2000,CM1463&lt;=2099,CN1463&gt;=1,CN1463&lt;=12,CO1463&gt;=1,CO1463&lt;=31),IF(MONTH(DATE(CM1463,CN1463,CO1463))=CN1463,DATE(CM1463,CN1463,CO1463),""),"")))),"")</f>
        <v/>
      </c>
      <c r="CJ1463">
        <f>IFERROR(IF('월 가계부'!C1463="","",IF(ISNUMBER('월 가계부'!C1463),'월 가계부'!C1463,VALUE(SUBSTITUTE(SUBSTITUTE(SUBSTITUTE(SUBSTITUTE(TRIM('월 가계부'!C1463),",",""),"원","")," ",""),"−","-")))),"")</f>
        <v/>
      </c>
      <c r="CK1463">
        <f>IF(ISNUMBER(CI1463),IF(CI1463&lt;$B$13,CI1463,""),"")</f>
        <v/>
      </c>
      <c r="CM1463">
        <f>IF(CH1463="","",IFERROR(IF(IF(AND(LEN(CH1463)=9,ISERROR(FIND("-",LEFT(CH1463,8))),ISNUMBER(-LEFT(CH1463,8))),VALUE(LEFT(CH1463,4)),VALUE(LEFT(CH1463,FIND("-",CH1463)-1)))&lt;100,IF(AND(LEN(CH1463)=9,ISERROR(FIND("-",LEFT(CH1463,8))),ISNUMBER(-LEFT(CH1463,8))),VALUE(LEFT(CH1463,4)),VALUE(LEFT(CH1463,FIND("-",CH1463)-1)))+2000,IF(AND(LEN(CH1463)=9,ISERROR(FIND("-",LEFT(CH1463,8))),ISNUMBER(-LEFT(CH1463,8))),VALUE(LEFT(CH1463,4)),VALUE(LEFT(CH1463,FIND("-",CH1463)-1)))),""))</f>
        <v/>
      </c>
      <c r="CN1463">
        <f>IF(CH1463="","",IFERROR(IF(AND(LEN(CH1463)=9,ISERROR(FIND("-",LEFT(CH1463,8))),ISNUMBER(-LEFT(CH1463,8))),VALUE(MID(CH1463,5,2)),VALUE(MID(CH1463,FIND("-",CH1463)+1,FIND("-",CH1463,FIND("-",CH1463)+1)-FIND("-",CH1463)-1))),""))</f>
        <v/>
      </c>
      <c r="CO1463">
        <f>IF(CH1463="","",IFERROR(IF(AND(LEN(CH1463)=9,ISERROR(FIND("-",LEFT(CH1463,8))),ISNUMBER(-LEFT(CH1463,8))),VALUE(MID(CH1463,7,2)),VALUE(MID(CH1463,FIND("-",CH1463,FIND("-",CH1463)+1)+1,FIND("-",CH1463,FIND("-",CH1463,FIND("-",CH1463)+1)+1)-FIND("-",CH1463,FIND("-",CH1463)+1)-1))),""))</f>
        <v/>
      </c>
    </row>
    <row r="1464">
      <c r="CH1464">
        <f>IF(ISTEXT('월 가계부'!A1464),SUBSTITUTE(SUBSTITUTE(SUBSTITUTE(SUBSTITUTE(SUBSTITUTE(SUBSTITUTE(SUBSTITUTE(SUBSTITUTE(SUBSTITUTE(TRIM('월 가계부'!A1464),"년","-"),"월","-"),"일",""),".","-"),"/","-")," ","-"),"--","-"),"--","-"),"--","-")&amp;"-","")</f>
        <v/>
      </c>
      <c r="CI1464">
        <f>IFERROR(IF('월 가계부'!A1464="","",IF(ISNUMBER('월 가계부'!A1464),IF(AND('월 가계부'!A1464&gt;=19000101,'월 가계부'!A1464&lt;=21001231),IF(AND(MOD(INT('월 가계부'!A1464/100),100)&gt;=1,MOD(INT('월 가계부'!A1464/100),100)&lt;=12,MOD(INT('월 가계부'!A1464),100)&gt;=1,MOD(INT('월 가계부'!A1464),100)&lt;=31),IF(MONTH(DATE(INT('월 가계부'!A1464/10000),MOD(INT('월 가계부'!A1464/100),100),MOD(INT('월 가계부'!A1464),100)))=MOD(INT('월 가계부'!A1464/100),100),DATE(INT('월 가계부'!A1464/10000),MOD(INT('월 가계부'!A1464/100),100),MOD(INT('월 가계부'!A1464),100)),""),""),IF(AND('월 가계부'!A1464&gt;=36526,'월 가계부'!A1464&lt;73051),INT('월 가계부'!A1464),"")),IF(OR(CM1464="",CN1464="",CO1464=""),"",IF(AND(CM1464&gt;=2000,CM1464&lt;=2099,CN1464&gt;=1,CN1464&lt;=12,CO1464&gt;=1,CO1464&lt;=31),IF(MONTH(DATE(CM1464,CN1464,CO1464))=CN1464,DATE(CM1464,CN1464,CO1464),""),"")))),"")</f>
        <v/>
      </c>
      <c r="CJ1464">
        <f>IFERROR(IF('월 가계부'!C1464="","",IF(ISNUMBER('월 가계부'!C1464),'월 가계부'!C1464,VALUE(SUBSTITUTE(SUBSTITUTE(SUBSTITUTE(SUBSTITUTE(TRIM('월 가계부'!C1464),",",""),"원","")," ",""),"−","-")))),"")</f>
        <v/>
      </c>
      <c r="CK1464">
        <f>IF(ISNUMBER(CI1464),IF(CI1464&lt;$B$13,CI1464,""),"")</f>
        <v/>
      </c>
      <c r="CM1464">
        <f>IF(CH1464="","",IFERROR(IF(IF(AND(LEN(CH1464)=9,ISERROR(FIND("-",LEFT(CH1464,8))),ISNUMBER(-LEFT(CH1464,8))),VALUE(LEFT(CH1464,4)),VALUE(LEFT(CH1464,FIND("-",CH1464)-1)))&lt;100,IF(AND(LEN(CH1464)=9,ISERROR(FIND("-",LEFT(CH1464,8))),ISNUMBER(-LEFT(CH1464,8))),VALUE(LEFT(CH1464,4)),VALUE(LEFT(CH1464,FIND("-",CH1464)-1)))+2000,IF(AND(LEN(CH1464)=9,ISERROR(FIND("-",LEFT(CH1464,8))),ISNUMBER(-LEFT(CH1464,8))),VALUE(LEFT(CH1464,4)),VALUE(LEFT(CH1464,FIND("-",CH1464)-1)))),""))</f>
        <v/>
      </c>
      <c r="CN1464">
        <f>IF(CH1464="","",IFERROR(IF(AND(LEN(CH1464)=9,ISERROR(FIND("-",LEFT(CH1464,8))),ISNUMBER(-LEFT(CH1464,8))),VALUE(MID(CH1464,5,2)),VALUE(MID(CH1464,FIND("-",CH1464)+1,FIND("-",CH1464,FIND("-",CH1464)+1)-FIND("-",CH1464)-1))),""))</f>
        <v/>
      </c>
      <c r="CO1464">
        <f>IF(CH1464="","",IFERROR(IF(AND(LEN(CH1464)=9,ISERROR(FIND("-",LEFT(CH1464,8))),ISNUMBER(-LEFT(CH1464,8))),VALUE(MID(CH1464,7,2)),VALUE(MID(CH1464,FIND("-",CH1464,FIND("-",CH1464)+1)+1,FIND("-",CH1464,FIND("-",CH1464,FIND("-",CH1464)+1)+1)-FIND("-",CH1464,FIND("-",CH1464)+1)-1))),""))</f>
        <v/>
      </c>
    </row>
    <row r="1465">
      <c r="CH1465">
        <f>IF(ISTEXT('월 가계부'!A1465),SUBSTITUTE(SUBSTITUTE(SUBSTITUTE(SUBSTITUTE(SUBSTITUTE(SUBSTITUTE(SUBSTITUTE(SUBSTITUTE(SUBSTITUTE(TRIM('월 가계부'!A1465),"년","-"),"월","-"),"일",""),".","-"),"/","-")," ","-"),"--","-"),"--","-"),"--","-")&amp;"-","")</f>
        <v/>
      </c>
      <c r="CI1465">
        <f>IFERROR(IF('월 가계부'!A1465="","",IF(ISNUMBER('월 가계부'!A1465),IF(AND('월 가계부'!A1465&gt;=19000101,'월 가계부'!A1465&lt;=21001231),IF(AND(MOD(INT('월 가계부'!A1465/100),100)&gt;=1,MOD(INT('월 가계부'!A1465/100),100)&lt;=12,MOD(INT('월 가계부'!A1465),100)&gt;=1,MOD(INT('월 가계부'!A1465),100)&lt;=31),IF(MONTH(DATE(INT('월 가계부'!A1465/10000),MOD(INT('월 가계부'!A1465/100),100),MOD(INT('월 가계부'!A1465),100)))=MOD(INT('월 가계부'!A1465/100),100),DATE(INT('월 가계부'!A1465/10000),MOD(INT('월 가계부'!A1465/100),100),MOD(INT('월 가계부'!A1465),100)),""),""),IF(AND('월 가계부'!A1465&gt;=36526,'월 가계부'!A1465&lt;73051),INT('월 가계부'!A1465),"")),IF(OR(CM1465="",CN1465="",CO1465=""),"",IF(AND(CM1465&gt;=2000,CM1465&lt;=2099,CN1465&gt;=1,CN1465&lt;=12,CO1465&gt;=1,CO1465&lt;=31),IF(MONTH(DATE(CM1465,CN1465,CO1465))=CN1465,DATE(CM1465,CN1465,CO1465),""),"")))),"")</f>
        <v/>
      </c>
      <c r="CJ1465">
        <f>IFERROR(IF('월 가계부'!C1465="","",IF(ISNUMBER('월 가계부'!C1465),'월 가계부'!C1465,VALUE(SUBSTITUTE(SUBSTITUTE(SUBSTITUTE(SUBSTITUTE(TRIM('월 가계부'!C1465),",",""),"원","")," ",""),"−","-")))),"")</f>
        <v/>
      </c>
      <c r="CK1465">
        <f>IF(ISNUMBER(CI1465),IF(CI1465&lt;$B$13,CI1465,""),"")</f>
        <v/>
      </c>
      <c r="CM1465">
        <f>IF(CH1465="","",IFERROR(IF(IF(AND(LEN(CH1465)=9,ISERROR(FIND("-",LEFT(CH1465,8))),ISNUMBER(-LEFT(CH1465,8))),VALUE(LEFT(CH1465,4)),VALUE(LEFT(CH1465,FIND("-",CH1465)-1)))&lt;100,IF(AND(LEN(CH1465)=9,ISERROR(FIND("-",LEFT(CH1465,8))),ISNUMBER(-LEFT(CH1465,8))),VALUE(LEFT(CH1465,4)),VALUE(LEFT(CH1465,FIND("-",CH1465)-1)))+2000,IF(AND(LEN(CH1465)=9,ISERROR(FIND("-",LEFT(CH1465,8))),ISNUMBER(-LEFT(CH1465,8))),VALUE(LEFT(CH1465,4)),VALUE(LEFT(CH1465,FIND("-",CH1465)-1)))),""))</f>
        <v/>
      </c>
      <c r="CN1465">
        <f>IF(CH1465="","",IFERROR(IF(AND(LEN(CH1465)=9,ISERROR(FIND("-",LEFT(CH1465,8))),ISNUMBER(-LEFT(CH1465,8))),VALUE(MID(CH1465,5,2)),VALUE(MID(CH1465,FIND("-",CH1465)+1,FIND("-",CH1465,FIND("-",CH1465)+1)-FIND("-",CH1465)-1))),""))</f>
        <v/>
      </c>
      <c r="CO1465">
        <f>IF(CH1465="","",IFERROR(IF(AND(LEN(CH1465)=9,ISERROR(FIND("-",LEFT(CH1465,8))),ISNUMBER(-LEFT(CH1465,8))),VALUE(MID(CH1465,7,2)),VALUE(MID(CH1465,FIND("-",CH1465,FIND("-",CH1465)+1)+1,FIND("-",CH1465,FIND("-",CH1465,FIND("-",CH1465)+1)+1)-FIND("-",CH1465,FIND("-",CH1465)+1)-1))),""))</f>
        <v/>
      </c>
    </row>
    <row r="1466">
      <c r="CH1466">
        <f>IF(ISTEXT('월 가계부'!A1466),SUBSTITUTE(SUBSTITUTE(SUBSTITUTE(SUBSTITUTE(SUBSTITUTE(SUBSTITUTE(SUBSTITUTE(SUBSTITUTE(SUBSTITUTE(TRIM('월 가계부'!A1466),"년","-"),"월","-"),"일",""),".","-"),"/","-")," ","-"),"--","-"),"--","-"),"--","-")&amp;"-","")</f>
        <v/>
      </c>
      <c r="CI1466">
        <f>IFERROR(IF('월 가계부'!A1466="","",IF(ISNUMBER('월 가계부'!A1466),IF(AND('월 가계부'!A1466&gt;=19000101,'월 가계부'!A1466&lt;=21001231),IF(AND(MOD(INT('월 가계부'!A1466/100),100)&gt;=1,MOD(INT('월 가계부'!A1466/100),100)&lt;=12,MOD(INT('월 가계부'!A1466),100)&gt;=1,MOD(INT('월 가계부'!A1466),100)&lt;=31),IF(MONTH(DATE(INT('월 가계부'!A1466/10000),MOD(INT('월 가계부'!A1466/100),100),MOD(INT('월 가계부'!A1466),100)))=MOD(INT('월 가계부'!A1466/100),100),DATE(INT('월 가계부'!A1466/10000),MOD(INT('월 가계부'!A1466/100),100),MOD(INT('월 가계부'!A1466),100)),""),""),IF(AND('월 가계부'!A1466&gt;=36526,'월 가계부'!A1466&lt;73051),INT('월 가계부'!A1466),"")),IF(OR(CM1466="",CN1466="",CO1466=""),"",IF(AND(CM1466&gt;=2000,CM1466&lt;=2099,CN1466&gt;=1,CN1466&lt;=12,CO1466&gt;=1,CO1466&lt;=31),IF(MONTH(DATE(CM1466,CN1466,CO1466))=CN1466,DATE(CM1466,CN1466,CO1466),""),"")))),"")</f>
        <v/>
      </c>
      <c r="CJ1466">
        <f>IFERROR(IF('월 가계부'!C1466="","",IF(ISNUMBER('월 가계부'!C1466),'월 가계부'!C1466,VALUE(SUBSTITUTE(SUBSTITUTE(SUBSTITUTE(SUBSTITUTE(TRIM('월 가계부'!C1466),",",""),"원","")," ",""),"−","-")))),"")</f>
        <v/>
      </c>
      <c r="CK1466">
        <f>IF(ISNUMBER(CI1466),IF(CI1466&lt;$B$13,CI1466,""),"")</f>
        <v/>
      </c>
      <c r="CM1466">
        <f>IF(CH1466="","",IFERROR(IF(IF(AND(LEN(CH1466)=9,ISERROR(FIND("-",LEFT(CH1466,8))),ISNUMBER(-LEFT(CH1466,8))),VALUE(LEFT(CH1466,4)),VALUE(LEFT(CH1466,FIND("-",CH1466)-1)))&lt;100,IF(AND(LEN(CH1466)=9,ISERROR(FIND("-",LEFT(CH1466,8))),ISNUMBER(-LEFT(CH1466,8))),VALUE(LEFT(CH1466,4)),VALUE(LEFT(CH1466,FIND("-",CH1466)-1)))+2000,IF(AND(LEN(CH1466)=9,ISERROR(FIND("-",LEFT(CH1466,8))),ISNUMBER(-LEFT(CH1466,8))),VALUE(LEFT(CH1466,4)),VALUE(LEFT(CH1466,FIND("-",CH1466)-1)))),""))</f>
        <v/>
      </c>
      <c r="CN1466">
        <f>IF(CH1466="","",IFERROR(IF(AND(LEN(CH1466)=9,ISERROR(FIND("-",LEFT(CH1466,8))),ISNUMBER(-LEFT(CH1466,8))),VALUE(MID(CH1466,5,2)),VALUE(MID(CH1466,FIND("-",CH1466)+1,FIND("-",CH1466,FIND("-",CH1466)+1)-FIND("-",CH1466)-1))),""))</f>
        <v/>
      </c>
      <c r="CO1466">
        <f>IF(CH1466="","",IFERROR(IF(AND(LEN(CH1466)=9,ISERROR(FIND("-",LEFT(CH1466,8))),ISNUMBER(-LEFT(CH1466,8))),VALUE(MID(CH1466,7,2)),VALUE(MID(CH1466,FIND("-",CH1466,FIND("-",CH1466)+1)+1,FIND("-",CH1466,FIND("-",CH1466,FIND("-",CH1466)+1)+1)-FIND("-",CH1466,FIND("-",CH1466)+1)-1))),""))</f>
        <v/>
      </c>
    </row>
    <row r="1467">
      <c r="CH1467">
        <f>IF(ISTEXT('월 가계부'!A1467),SUBSTITUTE(SUBSTITUTE(SUBSTITUTE(SUBSTITUTE(SUBSTITUTE(SUBSTITUTE(SUBSTITUTE(SUBSTITUTE(SUBSTITUTE(TRIM('월 가계부'!A1467),"년","-"),"월","-"),"일",""),".","-"),"/","-")," ","-"),"--","-"),"--","-"),"--","-")&amp;"-","")</f>
        <v/>
      </c>
      <c r="CI1467">
        <f>IFERROR(IF('월 가계부'!A1467="","",IF(ISNUMBER('월 가계부'!A1467),IF(AND('월 가계부'!A1467&gt;=19000101,'월 가계부'!A1467&lt;=21001231),IF(AND(MOD(INT('월 가계부'!A1467/100),100)&gt;=1,MOD(INT('월 가계부'!A1467/100),100)&lt;=12,MOD(INT('월 가계부'!A1467),100)&gt;=1,MOD(INT('월 가계부'!A1467),100)&lt;=31),IF(MONTH(DATE(INT('월 가계부'!A1467/10000),MOD(INT('월 가계부'!A1467/100),100),MOD(INT('월 가계부'!A1467),100)))=MOD(INT('월 가계부'!A1467/100),100),DATE(INT('월 가계부'!A1467/10000),MOD(INT('월 가계부'!A1467/100),100),MOD(INT('월 가계부'!A1467),100)),""),""),IF(AND('월 가계부'!A1467&gt;=36526,'월 가계부'!A1467&lt;73051),INT('월 가계부'!A1467),"")),IF(OR(CM1467="",CN1467="",CO1467=""),"",IF(AND(CM1467&gt;=2000,CM1467&lt;=2099,CN1467&gt;=1,CN1467&lt;=12,CO1467&gt;=1,CO1467&lt;=31),IF(MONTH(DATE(CM1467,CN1467,CO1467))=CN1467,DATE(CM1467,CN1467,CO1467),""),"")))),"")</f>
        <v/>
      </c>
      <c r="CJ1467">
        <f>IFERROR(IF('월 가계부'!C1467="","",IF(ISNUMBER('월 가계부'!C1467),'월 가계부'!C1467,VALUE(SUBSTITUTE(SUBSTITUTE(SUBSTITUTE(SUBSTITUTE(TRIM('월 가계부'!C1467),",",""),"원","")," ",""),"−","-")))),"")</f>
        <v/>
      </c>
      <c r="CK1467">
        <f>IF(ISNUMBER(CI1467),IF(CI1467&lt;$B$13,CI1467,""),"")</f>
        <v/>
      </c>
      <c r="CM1467">
        <f>IF(CH1467="","",IFERROR(IF(IF(AND(LEN(CH1467)=9,ISERROR(FIND("-",LEFT(CH1467,8))),ISNUMBER(-LEFT(CH1467,8))),VALUE(LEFT(CH1467,4)),VALUE(LEFT(CH1467,FIND("-",CH1467)-1)))&lt;100,IF(AND(LEN(CH1467)=9,ISERROR(FIND("-",LEFT(CH1467,8))),ISNUMBER(-LEFT(CH1467,8))),VALUE(LEFT(CH1467,4)),VALUE(LEFT(CH1467,FIND("-",CH1467)-1)))+2000,IF(AND(LEN(CH1467)=9,ISERROR(FIND("-",LEFT(CH1467,8))),ISNUMBER(-LEFT(CH1467,8))),VALUE(LEFT(CH1467,4)),VALUE(LEFT(CH1467,FIND("-",CH1467)-1)))),""))</f>
        <v/>
      </c>
      <c r="CN1467">
        <f>IF(CH1467="","",IFERROR(IF(AND(LEN(CH1467)=9,ISERROR(FIND("-",LEFT(CH1467,8))),ISNUMBER(-LEFT(CH1467,8))),VALUE(MID(CH1467,5,2)),VALUE(MID(CH1467,FIND("-",CH1467)+1,FIND("-",CH1467,FIND("-",CH1467)+1)-FIND("-",CH1467)-1))),""))</f>
        <v/>
      </c>
      <c r="CO1467">
        <f>IF(CH1467="","",IFERROR(IF(AND(LEN(CH1467)=9,ISERROR(FIND("-",LEFT(CH1467,8))),ISNUMBER(-LEFT(CH1467,8))),VALUE(MID(CH1467,7,2)),VALUE(MID(CH1467,FIND("-",CH1467,FIND("-",CH1467)+1)+1,FIND("-",CH1467,FIND("-",CH1467,FIND("-",CH1467)+1)+1)-FIND("-",CH1467,FIND("-",CH1467)+1)-1))),""))</f>
        <v/>
      </c>
    </row>
    <row r="1468">
      <c r="CH1468">
        <f>IF(ISTEXT('월 가계부'!A1468),SUBSTITUTE(SUBSTITUTE(SUBSTITUTE(SUBSTITUTE(SUBSTITUTE(SUBSTITUTE(SUBSTITUTE(SUBSTITUTE(SUBSTITUTE(TRIM('월 가계부'!A1468),"년","-"),"월","-"),"일",""),".","-"),"/","-")," ","-"),"--","-"),"--","-"),"--","-")&amp;"-","")</f>
        <v/>
      </c>
      <c r="CI1468">
        <f>IFERROR(IF('월 가계부'!A1468="","",IF(ISNUMBER('월 가계부'!A1468),IF(AND('월 가계부'!A1468&gt;=19000101,'월 가계부'!A1468&lt;=21001231),IF(AND(MOD(INT('월 가계부'!A1468/100),100)&gt;=1,MOD(INT('월 가계부'!A1468/100),100)&lt;=12,MOD(INT('월 가계부'!A1468),100)&gt;=1,MOD(INT('월 가계부'!A1468),100)&lt;=31),IF(MONTH(DATE(INT('월 가계부'!A1468/10000),MOD(INT('월 가계부'!A1468/100),100),MOD(INT('월 가계부'!A1468),100)))=MOD(INT('월 가계부'!A1468/100),100),DATE(INT('월 가계부'!A1468/10000),MOD(INT('월 가계부'!A1468/100),100),MOD(INT('월 가계부'!A1468),100)),""),""),IF(AND('월 가계부'!A1468&gt;=36526,'월 가계부'!A1468&lt;73051),INT('월 가계부'!A1468),"")),IF(OR(CM1468="",CN1468="",CO1468=""),"",IF(AND(CM1468&gt;=2000,CM1468&lt;=2099,CN1468&gt;=1,CN1468&lt;=12,CO1468&gt;=1,CO1468&lt;=31),IF(MONTH(DATE(CM1468,CN1468,CO1468))=CN1468,DATE(CM1468,CN1468,CO1468),""),"")))),"")</f>
        <v/>
      </c>
      <c r="CJ1468">
        <f>IFERROR(IF('월 가계부'!C1468="","",IF(ISNUMBER('월 가계부'!C1468),'월 가계부'!C1468,VALUE(SUBSTITUTE(SUBSTITUTE(SUBSTITUTE(SUBSTITUTE(TRIM('월 가계부'!C1468),",",""),"원","")," ",""),"−","-")))),"")</f>
        <v/>
      </c>
      <c r="CK1468">
        <f>IF(ISNUMBER(CI1468),IF(CI1468&lt;$B$13,CI1468,""),"")</f>
        <v/>
      </c>
      <c r="CM1468">
        <f>IF(CH1468="","",IFERROR(IF(IF(AND(LEN(CH1468)=9,ISERROR(FIND("-",LEFT(CH1468,8))),ISNUMBER(-LEFT(CH1468,8))),VALUE(LEFT(CH1468,4)),VALUE(LEFT(CH1468,FIND("-",CH1468)-1)))&lt;100,IF(AND(LEN(CH1468)=9,ISERROR(FIND("-",LEFT(CH1468,8))),ISNUMBER(-LEFT(CH1468,8))),VALUE(LEFT(CH1468,4)),VALUE(LEFT(CH1468,FIND("-",CH1468)-1)))+2000,IF(AND(LEN(CH1468)=9,ISERROR(FIND("-",LEFT(CH1468,8))),ISNUMBER(-LEFT(CH1468,8))),VALUE(LEFT(CH1468,4)),VALUE(LEFT(CH1468,FIND("-",CH1468)-1)))),""))</f>
        <v/>
      </c>
      <c r="CN1468">
        <f>IF(CH1468="","",IFERROR(IF(AND(LEN(CH1468)=9,ISERROR(FIND("-",LEFT(CH1468,8))),ISNUMBER(-LEFT(CH1468,8))),VALUE(MID(CH1468,5,2)),VALUE(MID(CH1468,FIND("-",CH1468)+1,FIND("-",CH1468,FIND("-",CH1468)+1)-FIND("-",CH1468)-1))),""))</f>
        <v/>
      </c>
      <c r="CO1468">
        <f>IF(CH1468="","",IFERROR(IF(AND(LEN(CH1468)=9,ISERROR(FIND("-",LEFT(CH1468,8))),ISNUMBER(-LEFT(CH1468,8))),VALUE(MID(CH1468,7,2)),VALUE(MID(CH1468,FIND("-",CH1468,FIND("-",CH1468)+1)+1,FIND("-",CH1468,FIND("-",CH1468,FIND("-",CH1468)+1)+1)-FIND("-",CH1468,FIND("-",CH1468)+1)-1))),""))</f>
        <v/>
      </c>
    </row>
    <row r="1469">
      <c r="CH1469">
        <f>IF(ISTEXT('월 가계부'!A1469),SUBSTITUTE(SUBSTITUTE(SUBSTITUTE(SUBSTITUTE(SUBSTITUTE(SUBSTITUTE(SUBSTITUTE(SUBSTITUTE(SUBSTITUTE(TRIM('월 가계부'!A1469),"년","-"),"월","-"),"일",""),".","-"),"/","-")," ","-"),"--","-"),"--","-"),"--","-")&amp;"-","")</f>
        <v/>
      </c>
      <c r="CI1469">
        <f>IFERROR(IF('월 가계부'!A1469="","",IF(ISNUMBER('월 가계부'!A1469),IF(AND('월 가계부'!A1469&gt;=19000101,'월 가계부'!A1469&lt;=21001231),IF(AND(MOD(INT('월 가계부'!A1469/100),100)&gt;=1,MOD(INT('월 가계부'!A1469/100),100)&lt;=12,MOD(INT('월 가계부'!A1469),100)&gt;=1,MOD(INT('월 가계부'!A1469),100)&lt;=31),IF(MONTH(DATE(INT('월 가계부'!A1469/10000),MOD(INT('월 가계부'!A1469/100),100),MOD(INT('월 가계부'!A1469),100)))=MOD(INT('월 가계부'!A1469/100),100),DATE(INT('월 가계부'!A1469/10000),MOD(INT('월 가계부'!A1469/100),100),MOD(INT('월 가계부'!A1469),100)),""),""),IF(AND('월 가계부'!A1469&gt;=36526,'월 가계부'!A1469&lt;73051),INT('월 가계부'!A1469),"")),IF(OR(CM1469="",CN1469="",CO1469=""),"",IF(AND(CM1469&gt;=2000,CM1469&lt;=2099,CN1469&gt;=1,CN1469&lt;=12,CO1469&gt;=1,CO1469&lt;=31),IF(MONTH(DATE(CM1469,CN1469,CO1469))=CN1469,DATE(CM1469,CN1469,CO1469),""),"")))),"")</f>
        <v/>
      </c>
      <c r="CJ1469">
        <f>IFERROR(IF('월 가계부'!C1469="","",IF(ISNUMBER('월 가계부'!C1469),'월 가계부'!C1469,VALUE(SUBSTITUTE(SUBSTITUTE(SUBSTITUTE(SUBSTITUTE(TRIM('월 가계부'!C1469),",",""),"원","")," ",""),"−","-")))),"")</f>
        <v/>
      </c>
      <c r="CK1469">
        <f>IF(ISNUMBER(CI1469),IF(CI1469&lt;$B$13,CI1469,""),"")</f>
        <v/>
      </c>
      <c r="CM1469">
        <f>IF(CH1469="","",IFERROR(IF(IF(AND(LEN(CH1469)=9,ISERROR(FIND("-",LEFT(CH1469,8))),ISNUMBER(-LEFT(CH1469,8))),VALUE(LEFT(CH1469,4)),VALUE(LEFT(CH1469,FIND("-",CH1469)-1)))&lt;100,IF(AND(LEN(CH1469)=9,ISERROR(FIND("-",LEFT(CH1469,8))),ISNUMBER(-LEFT(CH1469,8))),VALUE(LEFT(CH1469,4)),VALUE(LEFT(CH1469,FIND("-",CH1469)-1)))+2000,IF(AND(LEN(CH1469)=9,ISERROR(FIND("-",LEFT(CH1469,8))),ISNUMBER(-LEFT(CH1469,8))),VALUE(LEFT(CH1469,4)),VALUE(LEFT(CH1469,FIND("-",CH1469)-1)))),""))</f>
        <v/>
      </c>
      <c r="CN1469">
        <f>IF(CH1469="","",IFERROR(IF(AND(LEN(CH1469)=9,ISERROR(FIND("-",LEFT(CH1469,8))),ISNUMBER(-LEFT(CH1469,8))),VALUE(MID(CH1469,5,2)),VALUE(MID(CH1469,FIND("-",CH1469)+1,FIND("-",CH1469,FIND("-",CH1469)+1)-FIND("-",CH1469)-1))),""))</f>
        <v/>
      </c>
      <c r="CO1469">
        <f>IF(CH1469="","",IFERROR(IF(AND(LEN(CH1469)=9,ISERROR(FIND("-",LEFT(CH1469,8))),ISNUMBER(-LEFT(CH1469,8))),VALUE(MID(CH1469,7,2)),VALUE(MID(CH1469,FIND("-",CH1469,FIND("-",CH1469)+1)+1,FIND("-",CH1469,FIND("-",CH1469,FIND("-",CH1469)+1)+1)-FIND("-",CH1469,FIND("-",CH1469)+1)-1))),""))</f>
        <v/>
      </c>
    </row>
    <row r="1470">
      <c r="CH1470">
        <f>IF(ISTEXT('월 가계부'!A1470),SUBSTITUTE(SUBSTITUTE(SUBSTITUTE(SUBSTITUTE(SUBSTITUTE(SUBSTITUTE(SUBSTITUTE(SUBSTITUTE(SUBSTITUTE(TRIM('월 가계부'!A1470),"년","-"),"월","-"),"일",""),".","-"),"/","-")," ","-"),"--","-"),"--","-"),"--","-")&amp;"-","")</f>
        <v/>
      </c>
      <c r="CI1470">
        <f>IFERROR(IF('월 가계부'!A1470="","",IF(ISNUMBER('월 가계부'!A1470),IF(AND('월 가계부'!A1470&gt;=19000101,'월 가계부'!A1470&lt;=21001231),IF(AND(MOD(INT('월 가계부'!A1470/100),100)&gt;=1,MOD(INT('월 가계부'!A1470/100),100)&lt;=12,MOD(INT('월 가계부'!A1470),100)&gt;=1,MOD(INT('월 가계부'!A1470),100)&lt;=31),IF(MONTH(DATE(INT('월 가계부'!A1470/10000),MOD(INT('월 가계부'!A1470/100),100),MOD(INT('월 가계부'!A1470),100)))=MOD(INT('월 가계부'!A1470/100),100),DATE(INT('월 가계부'!A1470/10000),MOD(INT('월 가계부'!A1470/100),100),MOD(INT('월 가계부'!A1470),100)),""),""),IF(AND('월 가계부'!A1470&gt;=36526,'월 가계부'!A1470&lt;73051),INT('월 가계부'!A1470),"")),IF(OR(CM1470="",CN1470="",CO1470=""),"",IF(AND(CM1470&gt;=2000,CM1470&lt;=2099,CN1470&gt;=1,CN1470&lt;=12,CO1470&gt;=1,CO1470&lt;=31),IF(MONTH(DATE(CM1470,CN1470,CO1470))=CN1470,DATE(CM1470,CN1470,CO1470),""),"")))),"")</f>
        <v/>
      </c>
      <c r="CJ1470">
        <f>IFERROR(IF('월 가계부'!C1470="","",IF(ISNUMBER('월 가계부'!C1470),'월 가계부'!C1470,VALUE(SUBSTITUTE(SUBSTITUTE(SUBSTITUTE(SUBSTITUTE(TRIM('월 가계부'!C1470),",",""),"원","")," ",""),"−","-")))),"")</f>
        <v/>
      </c>
      <c r="CK1470">
        <f>IF(ISNUMBER(CI1470),IF(CI1470&lt;$B$13,CI1470,""),"")</f>
        <v/>
      </c>
      <c r="CM1470">
        <f>IF(CH1470="","",IFERROR(IF(IF(AND(LEN(CH1470)=9,ISERROR(FIND("-",LEFT(CH1470,8))),ISNUMBER(-LEFT(CH1470,8))),VALUE(LEFT(CH1470,4)),VALUE(LEFT(CH1470,FIND("-",CH1470)-1)))&lt;100,IF(AND(LEN(CH1470)=9,ISERROR(FIND("-",LEFT(CH1470,8))),ISNUMBER(-LEFT(CH1470,8))),VALUE(LEFT(CH1470,4)),VALUE(LEFT(CH1470,FIND("-",CH1470)-1)))+2000,IF(AND(LEN(CH1470)=9,ISERROR(FIND("-",LEFT(CH1470,8))),ISNUMBER(-LEFT(CH1470,8))),VALUE(LEFT(CH1470,4)),VALUE(LEFT(CH1470,FIND("-",CH1470)-1)))),""))</f>
        <v/>
      </c>
      <c r="CN1470">
        <f>IF(CH1470="","",IFERROR(IF(AND(LEN(CH1470)=9,ISERROR(FIND("-",LEFT(CH1470,8))),ISNUMBER(-LEFT(CH1470,8))),VALUE(MID(CH1470,5,2)),VALUE(MID(CH1470,FIND("-",CH1470)+1,FIND("-",CH1470,FIND("-",CH1470)+1)-FIND("-",CH1470)-1))),""))</f>
        <v/>
      </c>
      <c r="CO1470">
        <f>IF(CH1470="","",IFERROR(IF(AND(LEN(CH1470)=9,ISERROR(FIND("-",LEFT(CH1470,8))),ISNUMBER(-LEFT(CH1470,8))),VALUE(MID(CH1470,7,2)),VALUE(MID(CH1470,FIND("-",CH1470,FIND("-",CH1470)+1)+1,FIND("-",CH1470,FIND("-",CH1470,FIND("-",CH1470)+1)+1)-FIND("-",CH1470,FIND("-",CH1470)+1)-1))),""))</f>
        <v/>
      </c>
    </row>
    <row r="1471">
      <c r="CH1471">
        <f>IF(ISTEXT('월 가계부'!A1471),SUBSTITUTE(SUBSTITUTE(SUBSTITUTE(SUBSTITUTE(SUBSTITUTE(SUBSTITUTE(SUBSTITUTE(SUBSTITUTE(SUBSTITUTE(TRIM('월 가계부'!A1471),"년","-"),"월","-"),"일",""),".","-"),"/","-")," ","-"),"--","-"),"--","-"),"--","-")&amp;"-","")</f>
        <v/>
      </c>
      <c r="CI1471">
        <f>IFERROR(IF('월 가계부'!A1471="","",IF(ISNUMBER('월 가계부'!A1471),IF(AND('월 가계부'!A1471&gt;=19000101,'월 가계부'!A1471&lt;=21001231),IF(AND(MOD(INT('월 가계부'!A1471/100),100)&gt;=1,MOD(INT('월 가계부'!A1471/100),100)&lt;=12,MOD(INT('월 가계부'!A1471),100)&gt;=1,MOD(INT('월 가계부'!A1471),100)&lt;=31),IF(MONTH(DATE(INT('월 가계부'!A1471/10000),MOD(INT('월 가계부'!A1471/100),100),MOD(INT('월 가계부'!A1471),100)))=MOD(INT('월 가계부'!A1471/100),100),DATE(INT('월 가계부'!A1471/10000),MOD(INT('월 가계부'!A1471/100),100),MOD(INT('월 가계부'!A1471),100)),""),""),IF(AND('월 가계부'!A1471&gt;=36526,'월 가계부'!A1471&lt;73051),INT('월 가계부'!A1471),"")),IF(OR(CM1471="",CN1471="",CO1471=""),"",IF(AND(CM1471&gt;=2000,CM1471&lt;=2099,CN1471&gt;=1,CN1471&lt;=12,CO1471&gt;=1,CO1471&lt;=31),IF(MONTH(DATE(CM1471,CN1471,CO1471))=CN1471,DATE(CM1471,CN1471,CO1471),""),"")))),"")</f>
        <v/>
      </c>
      <c r="CJ1471">
        <f>IFERROR(IF('월 가계부'!C1471="","",IF(ISNUMBER('월 가계부'!C1471),'월 가계부'!C1471,VALUE(SUBSTITUTE(SUBSTITUTE(SUBSTITUTE(SUBSTITUTE(TRIM('월 가계부'!C1471),",",""),"원","")," ",""),"−","-")))),"")</f>
        <v/>
      </c>
      <c r="CK1471">
        <f>IF(ISNUMBER(CI1471),IF(CI1471&lt;$B$13,CI1471,""),"")</f>
        <v/>
      </c>
      <c r="CM1471">
        <f>IF(CH1471="","",IFERROR(IF(IF(AND(LEN(CH1471)=9,ISERROR(FIND("-",LEFT(CH1471,8))),ISNUMBER(-LEFT(CH1471,8))),VALUE(LEFT(CH1471,4)),VALUE(LEFT(CH1471,FIND("-",CH1471)-1)))&lt;100,IF(AND(LEN(CH1471)=9,ISERROR(FIND("-",LEFT(CH1471,8))),ISNUMBER(-LEFT(CH1471,8))),VALUE(LEFT(CH1471,4)),VALUE(LEFT(CH1471,FIND("-",CH1471)-1)))+2000,IF(AND(LEN(CH1471)=9,ISERROR(FIND("-",LEFT(CH1471,8))),ISNUMBER(-LEFT(CH1471,8))),VALUE(LEFT(CH1471,4)),VALUE(LEFT(CH1471,FIND("-",CH1471)-1)))),""))</f>
        <v/>
      </c>
      <c r="CN1471">
        <f>IF(CH1471="","",IFERROR(IF(AND(LEN(CH1471)=9,ISERROR(FIND("-",LEFT(CH1471,8))),ISNUMBER(-LEFT(CH1471,8))),VALUE(MID(CH1471,5,2)),VALUE(MID(CH1471,FIND("-",CH1471)+1,FIND("-",CH1471,FIND("-",CH1471)+1)-FIND("-",CH1471)-1))),""))</f>
        <v/>
      </c>
      <c r="CO1471">
        <f>IF(CH1471="","",IFERROR(IF(AND(LEN(CH1471)=9,ISERROR(FIND("-",LEFT(CH1471,8))),ISNUMBER(-LEFT(CH1471,8))),VALUE(MID(CH1471,7,2)),VALUE(MID(CH1471,FIND("-",CH1471,FIND("-",CH1471)+1)+1,FIND("-",CH1471,FIND("-",CH1471,FIND("-",CH1471)+1)+1)-FIND("-",CH1471,FIND("-",CH1471)+1)-1))),""))</f>
        <v/>
      </c>
    </row>
    <row r="1472">
      <c r="CH1472">
        <f>IF(ISTEXT('월 가계부'!A1472),SUBSTITUTE(SUBSTITUTE(SUBSTITUTE(SUBSTITUTE(SUBSTITUTE(SUBSTITUTE(SUBSTITUTE(SUBSTITUTE(SUBSTITUTE(TRIM('월 가계부'!A1472),"년","-"),"월","-"),"일",""),".","-"),"/","-")," ","-"),"--","-"),"--","-"),"--","-")&amp;"-","")</f>
        <v/>
      </c>
      <c r="CI1472">
        <f>IFERROR(IF('월 가계부'!A1472="","",IF(ISNUMBER('월 가계부'!A1472),IF(AND('월 가계부'!A1472&gt;=19000101,'월 가계부'!A1472&lt;=21001231),IF(AND(MOD(INT('월 가계부'!A1472/100),100)&gt;=1,MOD(INT('월 가계부'!A1472/100),100)&lt;=12,MOD(INT('월 가계부'!A1472),100)&gt;=1,MOD(INT('월 가계부'!A1472),100)&lt;=31),IF(MONTH(DATE(INT('월 가계부'!A1472/10000),MOD(INT('월 가계부'!A1472/100),100),MOD(INT('월 가계부'!A1472),100)))=MOD(INT('월 가계부'!A1472/100),100),DATE(INT('월 가계부'!A1472/10000),MOD(INT('월 가계부'!A1472/100),100),MOD(INT('월 가계부'!A1472),100)),""),""),IF(AND('월 가계부'!A1472&gt;=36526,'월 가계부'!A1472&lt;73051),INT('월 가계부'!A1472),"")),IF(OR(CM1472="",CN1472="",CO1472=""),"",IF(AND(CM1472&gt;=2000,CM1472&lt;=2099,CN1472&gt;=1,CN1472&lt;=12,CO1472&gt;=1,CO1472&lt;=31),IF(MONTH(DATE(CM1472,CN1472,CO1472))=CN1472,DATE(CM1472,CN1472,CO1472),""),"")))),"")</f>
        <v/>
      </c>
      <c r="CJ1472">
        <f>IFERROR(IF('월 가계부'!C1472="","",IF(ISNUMBER('월 가계부'!C1472),'월 가계부'!C1472,VALUE(SUBSTITUTE(SUBSTITUTE(SUBSTITUTE(SUBSTITUTE(TRIM('월 가계부'!C1472),",",""),"원","")," ",""),"−","-")))),"")</f>
        <v/>
      </c>
      <c r="CK1472">
        <f>IF(ISNUMBER(CI1472),IF(CI1472&lt;$B$13,CI1472,""),"")</f>
        <v/>
      </c>
      <c r="CM1472">
        <f>IF(CH1472="","",IFERROR(IF(IF(AND(LEN(CH1472)=9,ISERROR(FIND("-",LEFT(CH1472,8))),ISNUMBER(-LEFT(CH1472,8))),VALUE(LEFT(CH1472,4)),VALUE(LEFT(CH1472,FIND("-",CH1472)-1)))&lt;100,IF(AND(LEN(CH1472)=9,ISERROR(FIND("-",LEFT(CH1472,8))),ISNUMBER(-LEFT(CH1472,8))),VALUE(LEFT(CH1472,4)),VALUE(LEFT(CH1472,FIND("-",CH1472)-1)))+2000,IF(AND(LEN(CH1472)=9,ISERROR(FIND("-",LEFT(CH1472,8))),ISNUMBER(-LEFT(CH1472,8))),VALUE(LEFT(CH1472,4)),VALUE(LEFT(CH1472,FIND("-",CH1472)-1)))),""))</f>
        <v/>
      </c>
      <c r="CN1472">
        <f>IF(CH1472="","",IFERROR(IF(AND(LEN(CH1472)=9,ISERROR(FIND("-",LEFT(CH1472,8))),ISNUMBER(-LEFT(CH1472,8))),VALUE(MID(CH1472,5,2)),VALUE(MID(CH1472,FIND("-",CH1472)+1,FIND("-",CH1472,FIND("-",CH1472)+1)-FIND("-",CH1472)-1))),""))</f>
        <v/>
      </c>
      <c r="CO1472">
        <f>IF(CH1472="","",IFERROR(IF(AND(LEN(CH1472)=9,ISERROR(FIND("-",LEFT(CH1472,8))),ISNUMBER(-LEFT(CH1472,8))),VALUE(MID(CH1472,7,2)),VALUE(MID(CH1472,FIND("-",CH1472,FIND("-",CH1472)+1)+1,FIND("-",CH1472,FIND("-",CH1472,FIND("-",CH1472)+1)+1)-FIND("-",CH1472,FIND("-",CH1472)+1)-1))),""))</f>
        <v/>
      </c>
    </row>
    <row r="1473">
      <c r="CH1473">
        <f>IF(ISTEXT('월 가계부'!A1473),SUBSTITUTE(SUBSTITUTE(SUBSTITUTE(SUBSTITUTE(SUBSTITUTE(SUBSTITUTE(SUBSTITUTE(SUBSTITUTE(SUBSTITUTE(TRIM('월 가계부'!A1473),"년","-"),"월","-"),"일",""),".","-"),"/","-")," ","-"),"--","-"),"--","-"),"--","-")&amp;"-","")</f>
        <v/>
      </c>
      <c r="CI1473">
        <f>IFERROR(IF('월 가계부'!A1473="","",IF(ISNUMBER('월 가계부'!A1473),IF(AND('월 가계부'!A1473&gt;=19000101,'월 가계부'!A1473&lt;=21001231),IF(AND(MOD(INT('월 가계부'!A1473/100),100)&gt;=1,MOD(INT('월 가계부'!A1473/100),100)&lt;=12,MOD(INT('월 가계부'!A1473),100)&gt;=1,MOD(INT('월 가계부'!A1473),100)&lt;=31),IF(MONTH(DATE(INT('월 가계부'!A1473/10000),MOD(INT('월 가계부'!A1473/100),100),MOD(INT('월 가계부'!A1473),100)))=MOD(INT('월 가계부'!A1473/100),100),DATE(INT('월 가계부'!A1473/10000),MOD(INT('월 가계부'!A1473/100),100),MOD(INT('월 가계부'!A1473),100)),""),""),IF(AND('월 가계부'!A1473&gt;=36526,'월 가계부'!A1473&lt;73051),INT('월 가계부'!A1473),"")),IF(OR(CM1473="",CN1473="",CO1473=""),"",IF(AND(CM1473&gt;=2000,CM1473&lt;=2099,CN1473&gt;=1,CN1473&lt;=12,CO1473&gt;=1,CO1473&lt;=31),IF(MONTH(DATE(CM1473,CN1473,CO1473))=CN1473,DATE(CM1473,CN1473,CO1473),""),"")))),"")</f>
        <v/>
      </c>
      <c r="CJ1473">
        <f>IFERROR(IF('월 가계부'!C1473="","",IF(ISNUMBER('월 가계부'!C1473),'월 가계부'!C1473,VALUE(SUBSTITUTE(SUBSTITUTE(SUBSTITUTE(SUBSTITUTE(TRIM('월 가계부'!C1473),",",""),"원","")," ",""),"−","-")))),"")</f>
        <v/>
      </c>
      <c r="CK1473">
        <f>IF(ISNUMBER(CI1473),IF(CI1473&lt;$B$13,CI1473,""),"")</f>
        <v/>
      </c>
      <c r="CM1473">
        <f>IF(CH1473="","",IFERROR(IF(IF(AND(LEN(CH1473)=9,ISERROR(FIND("-",LEFT(CH1473,8))),ISNUMBER(-LEFT(CH1473,8))),VALUE(LEFT(CH1473,4)),VALUE(LEFT(CH1473,FIND("-",CH1473)-1)))&lt;100,IF(AND(LEN(CH1473)=9,ISERROR(FIND("-",LEFT(CH1473,8))),ISNUMBER(-LEFT(CH1473,8))),VALUE(LEFT(CH1473,4)),VALUE(LEFT(CH1473,FIND("-",CH1473)-1)))+2000,IF(AND(LEN(CH1473)=9,ISERROR(FIND("-",LEFT(CH1473,8))),ISNUMBER(-LEFT(CH1473,8))),VALUE(LEFT(CH1473,4)),VALUE(LEFT(CH1473,FIND("-",CH1473)-1)))),""))</f>
        <v/>
      </c>
      <c r="CN1473">
        <f>IF(CH1473="","",IFERROR(IF(AND(LEN(CH1473)=9,ISERROR(FIND("-",LEFT(CH1473,8))),ISNUMBER(-LEFT(CH1473,8))),VALUE(MID(CH1473,5,2)),VALUE(MID(CH1473,FIND("-",CH1473)+1,FIND("-",CH1473,FIND("-",CH1473)+1)-FIND("-",CH1473)-1))),""))</f>
        <v/>
      </c>
      <c r="CO1473">
        <f>IF(CH1473="","",IFERROR(IF(AND(LEN(CH1473)=9,ISERROR(FIND("-",LEFT(CH1473,8))),ISNUMBER(-LEFT(CH1473,8))),VALUE(MID(CH1473,7,2)),VALUE(MID(CH1473,FIND("-",CH1473,FIND("-",CH1473)+1)+1,FIND("-",CH1473,FIND("-",CH1473,FIND("-",CH1473)+1)+1)-FIND("-",CH1473,FIND("-",CH1473)+1)-1))),""))</f>
        <v/>
      </c>
    </row>
    <row r="1474">
      <c r="CH1474">
        <f>IF(ISTEXT('월 가계부'!A1474),SUBSTITUTE(SUBSTITUTE(SUBSTITUTE(SUBSTITUTE(SUBSTITUTE(SUBSTITUTE(SUBSTITUTE(SUBSTITUTE(SUBSTITUTE(TRIM('월 가계부'!A1474),"년","-"),"월","-"),"일",""),".","-"),"/","-")," ","-"),"--","-"),"--","-"),"--","-")&amp;"-","")</f>
        <v/>
      </c>
      <c r="CI1474">
        <f>IFERROR(IF('월 가계부'!A1474="","",IF(ISNUMBER('월 가계부'!A1474),IF(AND('월 가계부'!A1474&gt;=19000101,'월 가계부'!A1474&lt;=21001231),IF(AND(MOD(INT('월 가계부'!A1474/100),100)&gt;=1,MOD(INT('월 가계부'!A1474/100),100)&lt;=12,MOD(INT('월 가계부'!A1474),100)&gt;=1,MOD(INT('월 가계부'!A1474),100)&lt;=31),IF(MONTH(DATE(INT('월 가계부'!A1474/10000),MOD(INT('월 가계부'!A1474/100),100),MOD(INT('월 가계부'!A1474),100)))=MOD(INT('월 가계부'!A1474/100),100),DATE(INT('월 가계부'!A1474/10000),MOD(INT('월 가계부'!A1474/100),100),MOD(INT('월 가계부'!A1474),100)),""),""),IF(AND('월 가계부'!A1474&gt;=36526,'월 가계부'!A1474&lt;73051),INT('월 가계부'!A1474),"")),IF(OR(CM1474="",CN1474="",CO1474=""),"",IF(AND(CM1474&gt;=2000,CM1474&lt;=2099,CN1474&gt;=1,CN1474&lt;=12,CO1474&gt;=1,CO1474&lt;=31),IF(MONTH(DATE(CM1474,CN1474,CO1474))=CN1474,DATE(CM1474,CN1474,CO1474),""),"")))),"")</f>
        <v/>
      </c>
      <c r="CJ1474">
        <f>IFERROR(IF('월 가계부'!C1474="","",IF(ISNUMBER('월 가계부'!C1474),'월 가계부'!C1474,VALUE(SUBSTITUTE(SUBSTITUTE(SUBSTITUTE(SUBSTITUTE(TRIM('월 가계부'!C1474),",",""),"원","")," ",""),"−","-")))),"")</f>
        <v/>
      </c>
      <c r="CK1474">
        <f>IF(ISNUMBER(CI1474),IF(CI1474&lt;$B$13,CI1474,""),"")</f>
        <v/>
      </c>
      <c r="CM1474">
        <f>IF(CH1474="","",IFERROR(IF(IF(AND(LEN(CH1474)=9,ISERROR(FIND("-",LEFT(CH1474,8))),ISNUMBER(-LEFT(CH1474,8))),VALUE(LEFT(CH1474,4)),VALUE(LEFT(CH1474,FIND("-",CH1474)-1)))&lt;100,IF(AND(LEN(CH1474)=9,ISERROR(FIND("-",LEFT(CH1474,8))),ISNUMBER(-LEFT(CH1474,8))),VALUE(LEFT(CH1474,4)),VALUE(LEFT(CH1474,FIND("-",CH1474)-1)))+2000,IF(AND(LEN(CH1474)=9,ISERROR(FIND("-",LEFT(CH1474,8))),ISNUMBER(-LEFT(CH1474,8))),VALUE(LEFT(CH1474,4)),VALUE(LEFT(CH1474,FIND("-",CH1474)-1)))),""))</f>
        <v/>
      </c>
      <c r="CN1474">
        <f>IF(CH1474="","",IFERROR(IF(AND(LEN(CH1474)=9,ISERROR(FIND("-",LEFT(CH1474,8))),ISNUMBER(-LEFT(CH1474,8))),VALUE(MID(CH1474,5,2)),VALUE(MID(CH1474,FIND("-",CH1474)+1,FIND("-",CH1474,FIND("-",CH1474)+1)-FIND("-",CH1474)-1))),""))</f>
        <v/>
      </c>
      <c r="CO1474">
        <f>IF(CH1474="","",IFERROR(IF(AND(LEN(CH1474)=9,ISERROR(FIND("-",LEFT(CH1474,8))),ISNUMBER(-LEFT(CH1474,8))),VALUE(MID(CH1474,7,2)),VALUE(MID(CH1474,FIND("-",CH1474,FIND("-",CH1474)+1)+1,FIND("-",CH1474,FIND("-",CH1474,FIND("-",CH1474)+1)+1)-FIND("-",CH1474,FIND("-",CH1474)+1)-1))),""))</f>
        <v/>
      </c>
    </row>
    <row r="1475">
      <c r="CH1475">
        <f>IF(ISTEXT('월 가계부'!A1475),SUBSTITUTE(SUBSTITUTE(SUBSTITUTE(SUBSTITUTE(SUBSTITUTE(SUBSTITUTE(SUBSTITUTE(SUBSTITUTE(SUBSTITUTE(TRIM('월 가계부'!A1475),"년","-"),"월","-"),"일",""),".","-"),"/","-")," ","-"),"--","-"),"--","-"),"--","-")&amp;"-","")</f>
        <v/>
      </c>
      <c r="CI1475">
        <f>IFERROR(IF('월 가계부'!A1475="","",IF(ISNUMBER('월 가계부'!A1475),IF(AND('월 가계부'!A1475&gt;=19000101,'월 가계부'!A1475&lt;=21001231),IF(AND(MOD(INT('월 가계부'!A1475/100),100)&gt;=1,MOD(INT('월 가계부'!A1475/100),100)&lt;=12,MOD(INT('월 가계부'!A1475),100)&gt;=1,MOD(INT('월 가계부'!A1475),100)&lt;=31),IF(MONTH(DATE(INT('월 가계부'!A1475/10000),MOD(INT('월 가계부'!A1475/100),100),MOD(INT('월 가계부'!A1475),100)))=MOD(INT('월 가계부'!A1475/100),100),DATE(INT('월 가계부'!A1475/10000),MOD(INT('월 가계부'!A1475/100),100),MOD(INT('월 가계부'!A1475),100)),""),""),IF(AND('월 가계부'!A1475&gt;=36526,'월 가계부'!A1475&lt;73051),INT('월 가계부'!A1475),"")),IF(OR(CM1475="",CN1475="",CO1475=""),"",IF(AND(CM1475&gt;=2000,CM1475&lt;=2099,CN1475&gt;=1,CN1475&lt;=12,CO1475&gt;=1,CO1475&lt;=31),IF(MONTH(DATE(CM1475,CN1475,CO1475))=CN1475,DATE(CM1475,CN1475,CO1475),""),"")))),"")</f>
        <v/>
      </c>
      <c r="CJ1475">
        <f>IFERROR(IF('월 가계부'!C1475="","",IF(ISNUMBER('월 가계부'!C1475),'월 가계부'!C1475,VALUE(SUBSTITUTE(SUBSTITUTE(SUBSTITUTE(SUBSTITUTE(TRIM('월 가계부'!C1475),",",""),"원","")," ",""),"−","-")))),"")</f>
        <v/>
      </c>
      <c r="CK1475">
        <f>IF(ISNUMBER(CI1475),IF(CI1475&lt;$B$13,CI1475,""),"")</f>
        <v/>
      </c>
      <c r="CM1475">
        <f>IF(CH1475="","",IFERROR(IF(IF(AND(LEN(CH1475)=9,ISERROR(FIND("-",LEFT(CH1475,8))),ISNUMBER(-LEFT(CH1475,8))),VALUE(LEFT(CH1475,4)),VALUE(LEFT(CH1475,FIND("-",CH1475)-1)))&lt;100,IF(AND(LEN(CH1475)=9,ISERROR(FIND("-",LEFT(CH1475,8))),ISNUMBER(-LEFT(CH1475,8))),VALUE(LEFT(CH1475,4)),VALUE(LEFT(CH1475,FIND("-",CH1475)-1)))+2000,IF(AND(LEN(CH1475)=9,ISERROR(FIND("-",LEFT(CH1475,8))),ISNUMBER(-LEFT(CH1475,8))),VALUE(LEFT(CH1475,4)),VALUE(LEFT(CH1475,FIND("-",CH1475)-1)))),""))</f>
        <v/>
      </c>
      <c r="CN1475">
        <f>IF(CH1475="","",IFERROR(IF(AND(LEN(CH1475)=9,ISERROR(FIND("-",LEFT(CH1475,8))),ISNUMBER(-LEFT(CH1475,8))),VALUE(MID(CH1475,5,2)),VALUE(MID(CH1475,FIND("-",CH1475)+1,FIND("-",CH1475,FIND("-",CH1475)+1)-FIND("-",CH1475)-1))),""))</f>
        <v/>
      </c>
      <c r="CO1475">
        <f>IF(CH1475="","",IFERROR(IF(AND(LEN(CH1475)=9,ISERROR(FIND("-",LEFT(CH1475,8))),ISNUMBER(-LEFT(CH1475,8))),VALUE(MID(CH1475,7,2)),VALUE(MID(CH1475,FIND("-",CH1475,FIND("-",CH1475)+1)+1,FIND("-",CH1475,FIND("-",CH1475,FIND("-",CH1475)+1)+1)-FIND("-",CH1475,FIND("-",CH1475)+1)-1))),""))</f>
        <v/>
      </c>
    </row>
    <row r="1476">
      <c r="CH1476">
        <f>IF(ISTEXT('월 가계부'!A1476),SUBSTITUTE(SUBSTITUTE(SUBSTITUTE(SUBSTITUTE(SUBSTITUTE(SUBSTITUTE(SUBSTITUTE(SUBSTITUTE(SUBSTITUTE(TRIM('월 가계부'!A1476),"년","-"),"월","-"),"일",""),".","-"),"/","-")," ","-"),"--","-"),"--","-"),"--","-")&amp;"-","")</f>
        <v/>
      </c>
      <c r="CI1476">
        <f>IFERROR(IF('월 가계부'!A1476="","",IF(ISNUMBER('월 가계부'!A1476),IF(AND('월 가계부'!A1476&gt;=19000101,'월 가계부'!A1476&lt;=21001231),IF(AND(MOD(INT('월 가계부'!A1476/100),100)&gt;=1,MOD(INT('월 가계부'!A1476/100),100)&lt;=12,MOD(INT('월 가계부'!A1476),100)&gt;=1,MOD(INT('월 가계부'!A1476),100)&lt;=31),IF(MONTH(DATE(INT('월 가계부'!A1476/10000),MOD(INT('월 가계부'!A1476/100),100),MOD(INT('월 가계부'!A1476),100)))=MOD(INT('월 가계부'!A1476/100),100),DATE(INT('월 가계부'!A1476/10000),MOD(INT('월 가계부'!A1476/100),100),MOD(INT('월 가계부'!A1476),100)),""),""),IF(AND('월 가계부'!A1476&gt;=36526,'월 가계부'!A1476&lt;73051),INT('월 가계부'!A1476),"")),IF(OR(CM1476="",CN1476="",CO1476=""),"",IF(AND(CM1476&gt;=2000,CM1476&lt;=2099,CN1476&gt;=1,CN1476&lt;=12,CO1476&gt;=1,CO1476&lt;=31),IF(MONTH(DATE(CM1476,CN1476,CO1476))=CN1476,DATE(CM1476,CN1476,CO1476),""),"")))),"")</f>
        <v/>
      </c>
      <c r="CJ1476">
        <f>IFERROR(IF('월 가계부'!C1476="","",IF(ISNUMBER('월 가계부'!C1476),'월 가계부'!C1476,VALUE(SUBSTITUTE(SUBSTITUTE(SUBSTITUTE(SUBSTITUTE(TRIM('월 가계부'!C1476),",",""),"원","")," ",""),"−","-")))),"")</f>
        <v/>
      </c>
      <c r="CK1476">
        <f>IF(ISNUMBER(CI1476),IF(CI1476&lt;$B$13,CI1476,""),"")</f>
        <v/>
      </c>
      <c r="CM1476">
        <f>IF(CH1476="","",IFERROR(IF(IF(AND(LEN(CH1476)=9,ISERROR(FIND("-",LEFT(CH1476,8))),ISNUMBER(-LEFT(CH1476,8))),VALUE(LEFT(CH1476,4)),VALUE(LEFT(CH1476,FIND("-",CH1476)-1)))&lt;100,IF(AND(LEN(CH1476)=9,ISERROR(FIND("-",LEFT(CH1476,8))),ISNUMBER(-LEFT(CH1476,8))),VALUE(LEFT(CH1476,4)),VALUE(LEFT(CH1476,FIND("-",CH1476)-1)))+2000,IF(AND(LEN(CH1476)=9,ISERROR(FIND("-",LEFT(CH1476,8))),ISNUMBER(-LEFT(CH1476,8))),VALUE(LEFT(CH1476,4)),VALUE(LEFT(CH1476,FIND("-",CH1476)-1)))),""))</f>
        <v/>
      </c>
      <c r="CN1476">
        <f>IF(CH1476="","",IFERROR(IF(AND(LEN(CH1476)=9,ISERROR(FIND("-",LEFT(CH1476,8))),ISNUMBER(-LEFT(CH1476,8))),VALUE(MID(CH1476,5,2)),VALUE(MID(CH1476,FIND("-",CH1476)+1,FIND("-",CH1476,FIND("-",CH1476)+1)-FIND("-",CH1476)-1))),""))</f>
        <v/>
      </c>
      <c r="CO1476">
        <f>IF(CH1476="","",IFERROR(IF(AND(LEN(CH1476)=9,ISERROR(FIND("-",LEFT(CH1476,8))),ISNUMBER(-LEFT(CH1476,8))),VALUE(MID(CH1476,7,2)),VALUE(MID(CH1476,FIND("-",CH1476,FIND("-",CH1476)+1)+1,FIND("-",CH1476,FIND("-",CH1476,FIND("-",CH1476)+1)+1)-FIND("-",CH1476,FIND("-",CH1476)+1)-1))),""))</f>
        <v/>
      </c>
    </row>
    <row r="1477">
      <c r="CH1477">
        <f>IF(ISTEXT('월 가계부'!A1477),SUBSTITUTE(SUBSTITUTE(SUBSTITUTE(SUBSTITUTE(SUBSTITUTE(SUBSTITUTE(SUBSTITUTE(SUBSTITUTE(SUBSTITUTE(TRIM('월 가계부'!A1477),"년","-"),"월","-"),"일",""),".","-"),"/","-")," ","-"),"--","-"),"--","-"),"--","-")&amp;"-","")</f>
        <v/>
      </c>
      <c r="CI1477">
        <f>IFERROR(IF('월 가계부'!A1477="","",IF(ISNUMBER('월 가계부'!A1477),IF(AND('월 가계부'!A1477&gt;=19000101,'월 가계부'!A1477&lt;=21001231),IF(AND(MOD(INT('월 가계부'!A1477/100),100)&gt;=1,MOD(INT('월 가계부'!A1477/100),100)&lt;=12,MOD(INT('월 가계부'!A1477),100)&gt;=1,MOD(INT('월 가계부'!A1477),100)&lt;=31),IF(MONTH(DATE(INT('월 가계부'!A1477/10000),MOD(INT('월 가계부'!A1477/100),100),MOD(INT('월 가계부'!A1477),100)))=MOD(INT('월 가계부'!A1477/100),100),DATE(INT('월 가계부'!A1477/10000),MOD(INT('월 가계부'!A1477/100),100),MOD(INT('월 가계부'!A1477),100)),""),""),IF(AND('월 가계부'!A1477&gt;=36526,'월 가계부'!A1477&lt;73051),INT('월 가계부'!A1477),"")),IF(OR(CM1477="",CN1477="",CO1477=""),"",IF(AND(CM1477&gt;=2000,CM1477&lt;=2099,CN1477&gt;=1,CN1477&lt;=12,CO1477&gt;=1,CO1477&lt;=31),IF(MONTH(DATE(CM1477,CN1477,CO1477))=CN1477,DATE(CM1477,CN1477,CO1477),""),"")))),"")</f>
        <v/>
      </c>
      <c r="CJ1477">
        <f>IFERROR(IF('월 가계부'!C1477="","",IF(ISNUMBER('월 가계부'!C1477),'월 가계부'!C1477,VALUE(SUBSTITUTE(SUBSTITUTE(SUBSTITUTE(SUBSTITUTE(TRIM('월 가계부'!C1477),",",""),"원","")," ",""),"−","-")))),"")</f>
        <v/>
      </c>
      <c r="CK1477">
        <f>IF(ISNUMBER(CI1477),IF(CI1477&lt;$B$13,CI1477,""),"")</f>
        <v/>
      </c>
      <c r="CM1477">
        <f>IF(CH1477="","",IFERROR(IF(IF(AND(LEN(CH1477)=9,ISERROR(FIND("-",LEFT(CH1477,8))),ISNUMBER(-LEFT(CH1477,8))),VALUE(LEFT(CH1477,4)),VALUE(LEFT(CH1477,FIND("-",CH1477)-1)))&lt;100,IF(AND(LEN(CH1477)=9,ISERROR(FIND("-",LEFT(CH1477,8))),ISNUMBER(-LEFT(CH1477,8))),VALUE(LEFT(CH1477,4)),VALUE(LEFT(CH1477,FIND("-",CH1477)-1)))+2000,IF(AND(LEN(CH1477)=9,ISERROR(FIND("-",LEFT(CH1477,8))),ISNUMBER(-LEFT(CH1477,8))),VALUE(LEFT(CH1477,4)),VALUE(LEFT(CH1477,FIND("-",CH1477)-1)))),""))</f>
        <v/>
      </c>
      <c r="CN1477">
        <f>IF(CH1477="","",IFERROR(IF(AND(LEN(CH1477)=9,ISERROR(FIND("-",LEFT(CH1477,8))),ISNUMBER(-LEFT(CH1477,8))),VALUE(MID(CH1477,5,2)),VALUE(MID(CH1477,FIND("-",CH1477)+1,FIND("-",CH1477,FIND("-",CH1477)+1)-FIND("-",CH1477)-1))),""))</f>
        <v/>
      </c>
      <c r="CO1477">
        <f>IF(CH1477="","",IFERROR(IF(AND(LEN(CH1477)=9,ISERROR(FIND("-",LEFT(CH1477,8))),ISNUMBER(-LEFT(CH1477,8))),VALUE(MID(CH1477,7,2)),VALUE(MID(CH1477,FIND("-",CH1477,FIND("-",CH1477)+1)+1,FIND("-",CH1477,FIND("-",CH1477,FIND("-",CH1477)+1)+1)-FIND("-",CH1477,FIND("-",CH1477)+1)-1))),""))</f>
        <v/>
      </c>
    </row>
    <row r="1478">
      <c r="CH1478">
        <f>IF(ISTEXT('월 가계부'!A1478),SUBSTITUTE(SUBSTITUTE(SUBSTITUTE(SUBSTITUTE(SUBSTITUTE(SUBSTITUTE(SUBSTITUTE(SUBSTITUTE(SUBSTITUTE(TRIM('월 가계부'!A1478),"년","-"),"월","-"),"일",""),".","-"),"/","-")," ","-"),"--","-"),"--","-"),"--","-")&amp;"-","")</f>
        <v/>
      </c>
      <c r="CI1478">
        <f>IFERROR(IF('월 가계부'!A1478="","",IF(ISNUMBER('월 가계부'!A1478),IF(AND('월 가계부'!A1478&gt;=19000101,'월 가계부'!A1478&lt;=21001231),IF(AND(MOD(INT('월 가계부'!A1478/100),100)&gt;=1,MOD(INT('월 가계부'!A1478/100),100)&lt;=12,MOD(INT('월 가계부'!A1478),100)&gt;=1,MOD(INT('월 가계부'!A1478),100)&lt;=31),IF(MONTH(DATE(INT('월 가계부'!A1478/10000),MOD(INT('월 가계부'!A1478/100),100),MOD(INT('월 가계부'!A1478),100)))=MOD(INT('월 가계부'!A1478/100),100),DATE(INT('월 가계부'!A1478/10000),MOD(INT('월 가계부'!A1478/100),100),MOD(INT('월 가계부'!A1478),100)),""),""),IF(AND('월 가계부'!A1478&gt;=36526,'월 가계부'!A1478&lt;73051),INT('월 가계부'!A1478),"")),IF(OR(CM1478="",CN1478="",CO1478=""),"",IF(AND(CM1478&gt;=2000,CM1478&lt;=2099,CN1478&gt;=1,CN1478&lt;=12,CO1478&gt;=1,CO1478&lt;=31),IF(MONTH(DATE(CM1478,CN1478,CO1478))=CN1478,DATE(CM1478,CN1478,CO1478),""),"")))),"")</f>
        <v/>
      </c>
      <c r="CJ1478">
        <f>IFERROR(IF('월 가계부'!C1478="","",IF(ISNUMBER('월 가계부'!C1478),'월 가계부'!C1478,VALUE(SUBSTITUTE(SUBSTITUTE(SUBSTITUTE(SUBSTITUTE(TRIM('월 가계부'!C1478),",",""),"원","")," ",""),"−","-")))),"")</f>
        <v/>
      </c>
      <c r="CK1478">
        <f>IF(ISNUMBER(CI1478),IF(CI1478&lt;$B$13,CI1478,""),"")</f>
        <v/>
      </c>
      <c r="CM1478">
        <f>IF(CH1478="","",IFERROR(IF(IF(AND(LEN(CH1478)=9,ISERROR(FIND("-",LEFT(CH1478,8))),ISNUMBER(-LEFT(CH1478,8))),VALUE(LEFT(CH1478,4)),VALUE(LEFT(CH1478,FIND("-",CH1478)-1)))&lt;100,IF(AND(LEN(CH1478)=9,ISERROR(FIND("-",LEFT(CH1478,8))),ISNUMBER(-LEFT(CH1478,8))),VALUE(LEFT(CH1478,4)),VALUE(LEFT(CH1478,FIND("-",CH1478)-1)))+2000,IF(AND(LEN(CH1478)=9,ISERROR(FIND("-",LEFT(CH1478,8))),ISNUMBER(-LEFT(CH1478,8))),VALUE(LEFT(CH1478,4)),VALUE(LEFT(CH1478,FIND("-",CH1478)-1)))),""))</f>
        <v/>
      </c>
      <c r="CN1478">
        <f>IF(CH1478="","",IFERROR(IF(AND(LEN(CH1478)=9,ISERROR(FIND("-",LEFT(CH1478,8))),ISNUMBER(-LEFT(CH1478,8))),VALUE(MID(CH1478,5,2)),VALUE(MID(CH1478,FIND("-",CH1478)+1,FIND("-",CH1478,FIND("-",CH1478)+1)-FIND("-",CH1478)-1))),""))</f>
        <v/>
      </c>
      <c r="CO1478">
        <f>IF(CH1478="","",IFERROR(IF(AND(LEN(CH1478)=9,ISERROR(FIND("-",LEFT(CH1478,8))),ISNUMBER(-LEFT(CH1478,8))),VALUE(MID(CH1478,7,2)),VALUE(MID(CH1478,FIND("-",CH1478,FIND("-",CH1478)+1)+1,FIND("-",CH1478,FIND("-",CH1478,FIND("-",CH1478)+1)+1)-FIND("-",CH1478,FIND("-",CH1478)+1)-1))),""))</f>
        <v/>
      </c>
    </row>
    <row r="1479">
      <c r="CH1479">
        <f>IF(ISTEXT('월 가계부'!A1479),SUBSTITUTE(SUBSTITUTE(SUBSTITUTE(SUBSTITUTE(SUBSTITUTE(SUBSTITUTE(SUBSTITUTE(SUBSTITUTE(SUBSTITUTE(TRIM('월 가계부'!A1479),"년","-"),"월","-"),"일",""),".","-"),"/","-")," ","-"),"--","-"),"--","-"),"--","-")&amp;"-","")</f>
        <v/>
      </c>
      <c r="CI1479">
        <f>IFERROR(IF('월 가계부'!A1479="","",IF(ISNUMBER('월 가계부'!A1479),IF(AND('월 가계부'!A1479&gt;=19000101,'월 가계부'!A1479&lt;=21001231),IF(AND(MOD(INT('월 가계부'!A1479/100),100)&gt;=1,MOD(INT('월 가계부'!A1479/100),100)&lt;=12,MOD(INT('월 가계부'!A1479),100)&gt;=1,MOD(INT('월 가계부'!A1479),100)&lt;=31),IF(MONTH(DATE(INT('월 가계부'!A1479/10000),MOD(INT('월 가계부'!A1479/100),100),MOD(INT('월 가계부'!A1479),100)))=MOD(INT('월 가계부'!A1479/100),100),DATE(INT('월 가계부'!A1479/10000),MOD(INT('월 가계부'!A1479/100),100),MOD(INT('월 가계부'!A1479),100)),""),""),IF(AND('월 가계부'!A1479&gt;=36526,'월 가계부'!A1479&lt;73051),INT('월 가계부'!A1479),"")),IF(OR(CM1479="",CN1479="",CO1479=""),"",IF(AND(CM1479&gt;=2000,CM1479&lt;=2099,CN1479&gt;=1,CN1479&lt;=12,CO1479&gt;=1,CO1479&lt;=31),IF(MONTH(DATE(CM1479,CN1479,CO1479))=CN1479,DATE(CM1479,CN1479,CO1479),""),"")))),"")</f>
        <v/>
      </c>
      <c r="CJ1479">
        <f>IFERROR(IF('월 가계부'!C1479="","",IF(ISNUMBER('월 가계부'!C1479),'월 가계부'!C1479,VALUE(SUBSTITUTE(SUBSTITUTE(SUBSTITUTE(SUBSTITUTE(TRIM('월 가계부'!C1479),",",""),"원","")," ",""),"−","-")))),"")</f>
        <v/>
      </c>
      <c r="CK1479">
        <f>IF(ISNUMBER(CI1479),IF(CI1479&lt;$B$13,CI1479,""),"")</f>
        <v/>
      </c>
      <c r="CM1479">
        <f>IF(CH1479="","",IFERROR(IF(IF(AND(LEN(CH1479)=9,ISERROR(FIND("-",LEFT(CH1479,8))),ISNUMBER(-LEFT(CH1479,8))),VALUE(LEFT(CH1479,4)),VALUE(LEFT(CH1479,FIND("-",CH1479)-1)))&lt;100,IF(AND(LEN(CH1479)=9,ISERROR(FIND("-",LEFT(CH1479,8))),ISNUMBER(-LEFT(CH1479,8))),VALUE(LEFT(CH1479,4)),VALUE(LEFT(CH1479,FIND("-",CH1479)-1)))+2000,IF(AND(LEN(CH1479)=9,ISERROR(FIND("-",LEFT(CH1479,8))),ISNUMBER(-LEFT(CH1479,8))),VALUE(LEFT(CH1479,4)),VALUE(LEFT(CH1479,FIND("-",CH1479)-1)))),""))</f>
        <v/>
      </c>
      <c r="CN1479">
        <f>IF(CH1479="","",IFERROR(IF(AND(LEN(CH1479)=9,ISERROR(FIND("-",LEFT(CH1479,8))),ISNUMBER(-LEFT(CH1479,8))),VALUE(MID(CH1479,5,2)),VALUE(MID(CH1479,FIND("-",CH1479)+1,FIND("-",CH1479,FIND("-",CH1479)+1)-FIND("-",CH1479)-1))),""))</f>
        <v/>
      </c>
      <c r="CO1479">
        <f>IF(CH1479="","",IFERROR(IF(AND(LEN(CH1479)=9,ISERROR(FIND("-",LEFT(CH1479,8))),ISNUMBER(-LEFT(CH1479,8))),VALUE(MID(CH1479,7,2)),VALUE(MID(CH1479,FIND("-",CH1479,FIND("-",CH1479)+1)+1,FIND("-",CH1479,FIND("-",CH1479,FIND("-",CH1479)+1)+1)-FIND("-",CH1479,FIND("-",CH1479)+1)-1))),""))</f>
        <v/>
      </c>
    </row>
    <row r="1480">
      <c r="CH1480">
        <f>IF(ISTEXT('월 가계부'!A1480),SUBSTITUTE(SUBSTITUTE(SUBSTITUTE(SUBSTITUTE(SUBSTITUTE(SUBSTITUTE(SUBSTITUTE(SUBSTITUTE(SUBSTITUTE(TRIM('월 가계부'!A1480),"년","-"),"월","-"),"일",""),".","-"),"/","-")," ","-"),"--","-"),"--","-"),"--","-")&amp;"-","")</f>
        <v/>
      </c>
      <c r="CI1480">
        <f>IFERROR(IF('월 가계부'!A1480="","",IF(ISNUMBER('월 가계부'!A1480),IF(AND('월 가계부'!A1480&gt;=19000101,'월 가계부'!A1480&lt;=21001231),IF(AND(MOD(INT('월 가계부'!A1480/100),100)&gt;=1,MOD(INT('월 가계부'!A1480/100),100)&lt;=12,MOD(INT('월 가계부'!A1480),100)&gt;=1,MOD(INT('월 가계부'!A1480),100)&lt;=31),IF(MONTH(DATE(INT('월 가계부'!A1480/10000),MOD(INT('월 가계부'!A1480/100),100),MOD(INT('월 가계부'!A1480),100)))=MOD(INT('월 가계부'!A1480/100),100),DATE(INT('월 가계부'!A1480/10000),MOD(INT('월 가계부'!A1480/100),100),MOD(INT('월 가계부'!A1480),100)),""),""),IF(AND('월 가계부'!A1480&gt;=36526,'월 가계부'!A1480&lt;73051),INT('월 가계부'!A1480),"")),IF(OR(CM1480="",CN1480="",CO1480=""),"",IF(AND(CM1480&gt;=2000,CM1480&lt;=2099,CN1480&gt;=1,CN1480&lt;=12,CO1480&gt;=1,CO1480&lt;=31),IF(MONTH(DATE(CM1480,CN1480,CO1480))=CN1480,DATE(CM1480,CN1480,CO1480),""),"")))),"")</f>
        <v/>
      </c>
      <c r="CJ1480">
        <f>IFERROR(IF('월 가계부'!C1480="","",IF(ISNUMBER('월 가계부'!C1480),'월 가계부'!C1480,VALUE(SUBSTITUTE(SUBSTITUTE(SUBSTITUTE(SUBSTITUTE(TRIM('월 가계부'!C1480),",",""),"원","")," ",""),"−","-")))),"")</f>
        <v/>
      </c>
      <c r="CK1480">
        <f>IF(ISNUMBER(CI1480),IF(CI1480&lt;$B$13,CI1480,""),"")</f>
        <v/>
      </c>
      <c r="CM1480">
        <f>IF(CH1480="","",IFERROR(IF(IF(AND(LEN(CH1480)=9,ISERROR(FIND("-",LEFT(CH1480,8))),ISNUMBER(-LEFT(CH1480,8))),VALUE(LEFT(CH1480,4)),VALUE(LEFT(CH1480,FIND("-",CH1480)-1)))&lt;100,IF(AND(LEN(CH1480)=9,ISERROR(FIND("-",LEFT(CH1480,8))),ISNUMBER(-LEFT(CH1480,8))),VALUE(LEFT(CH1480,4)),VALUE(LEFT(CH1480,FIND("-",CH1480)-1)))+2000,IF(AND(LEN(CH1480)=9,ISERROR(FIND("-",LEFT(CH1480,8))),ISNUMBER(-LEFT(CH1480,8))),VALUE(LEFT(CH1480,4)),VALUE(LEFT(CH1480,FIND("-",CH1480)-1)))),""))</f>
        <v/>
      </c>
      <c r="CN1480">
        <f>IF(CH1480="","",IFERROR(IF(AND(LEN(CH1480)=9,ISERROR(FIND("-",LEFT(CH1480,8))),ISNUMBER(-LEFT(CH1480,8))),VALUE(MID(CH1480,5,2)),VALUE(MID(CH1480,FIND("-",CH1480)+1,FIND("-",CH1480,FIND("-",CH1480)+1)-FIND("-",CH1480)-1))),""))</f>
        <v/>
      </c>
      <c r="CO1480">
        <f>IF(CH1480="","",IFERROR(IF(AND(LEN(CH1480)=9,ISERROR(FIND("-",LEFT(CH1480,8))),ISNUMBER(-LEFT(CH1480,8))),VALUE(MID(CH1480,7,2)),VALUE(MID(CH1480,FIND("-",CH1480,FIND("-",CH1480)+1)+1,FIND("-",CH1480,FIND("-",CH1480,FIND("-",CH1480)+1)+1)-FIND("-",CH1480,FIND("-",CH1480)+1)-1))),""))</f>
        <v/>
      </c>
    </row>
    <row r="1481">
      <c r="CH1481">
        <f>IF(ISTEXT('월 가계부'!A1481),SUBSTITUTE(SUBSTITUTE(SUBSTITUTE(SUBSTITUTE(SUBSTITUTE(SUBSTITUTE(SUBSTITUTE(SUBSTITUTE(SUBSTITUTE(TRIM('월 가계부'!A1481),"년","-"),"월","-"),"일",""),".","-"),"/","-")," ","-"),"--","-"),"--","-"),"--","-")&amp;"-","")</f>
        <v/>
      </c>
      <c r="CI1481">
        <f>IFERROR(IF('월 가계부'!A1481="","",IF(ISNUMBER('월 가계부'!A1481),IF(AND('월 가계부'!A1481&gt;=19000101,'월 가계부'!A1481&lt;=21001231),IF(AND(MOD(INT('월 가계부'!A1481/100),100)&gt;=1,MOD(INT('월 가계부'!A1481/100),100)&lt;=12,MOD(INT('월 가계부'!A1481),100)&gt;=1,MOD(INT('월 가계부'!A1481),100)&lt;=31),IF(MONTH(DATE(INT('월 가계부'!A1481/10000),MOD(INT('월 가계부'!A1481/100),100),MOD(INT('월 가계부'!A1481),100)))=MOD(INT('월 가계부'!A1481/100),100),DATE(INT('월 가계부'!A1481/10000),MOD(INT('월 가계부'!A1481/100),100),MOD(INT('월 가계부'!A1481),100)),""),""),IF(AND('월 가계부'!A1481&gt;=36526,'월 가계부'!A1481&lt;73051),INT('월 가계부'!A1481),"")),IF(OR(CM1481="",CN1481="",CO1481=""),"",IF(AND(CM1481&gt;=2000,CM1481&lt;=2099,CN1481&gt;=1,CN1481&lt;=12,CO1481&gt;=1,CO1481&lt;=31),IF(MONTH(DATE(CM1481,CN1481,CO1481))=CN1481,DATE(CM1481,CN1481,CO1481),""),"")))),"")</f>
        <v/>
      </c>
      <c r="CJ1481">
        <f>IFERROR(IF('월 가계부'!C1481="","",IF(ISNUMBER('월 가계부'!C1481),'월 가계부'!C1481,VALUE(SUBSTITUTE(SUBSTITUTE(SUBSTITUTE(SUBSTITUTE(TRIM('월 가계부'!C1481),",",""),"원","")," ",""),"−","-")))),"")</f>
        <v/>
      </c>
      <c r="CK1481">
        <f>IF(ISNUMBER(CI1481),IF(CI1481&lt;$B$13,CI1481,""),"")</f>
        <v/>
      </c>
      <c r="CM1481">
        <f>IF(CH1481="","",IFERROR(IF(IF(AND(LEN(CH1481)=9,ISERROR(FIND("-",LEFT(CH1481,8))),ISNUMBER(-LEFT(CH1481,8))),VALUE(LEFT(CH1481,4)),VALUE(LEFT(CH1481,FIND("-",CH1481)-1)))&lt;100,IF(AND(LEN(CH1481)=9,ISERROR(FIND("-",LEFT(CH1481,8))),ISNUMBER(-LEFT(CH1481,8))),VALUE(LEFT(CH1481,4)),VALUE(LEFT(CH1481,FIND("-",CH1481)-1)))+2000,IF(AND(LEN(CH1481)=9,ISERROR(FIND("-",LEFT(CH1481,8))),ISNUMBER(-LEFT(CH1481,8))),VALUE(LEFT(CH1481,4)),VALUE(LEFT(CH1481,FIND("-",CH1481)-1)))),""))</f>
        <v/>
      </c>
      <c r="CN1481">
        <f>IF(CH1481="","",IFERROR(IF(AND(LEN(CH1481)=9,ISERROR(FIND("-",LEFT(CH1481,8))),ISNUMBER(-LEFT(CH1481,8))),VALUE(MID(CH1481,5,2)),VALUE(MID(CH1481,FIND("-",CH1481)+1,FIND("-",CH1481,FIND("-",CH1481)+1)-FIND("-",CH1481)-1))),""))</f>
        <v/>
      </c>
      <c r="CO1481">
        <f>IF(CH1481="","",IFERROR(IF(AND(LEN(CH1481)=9,ISERROR(FIND("-",LEFT(CH1481,8))),ISNUMBER(-LEFT(CH1481,8))),VALUE(MID(CH1481,7,2)),VALUE(MID(CH1481,FIND("-",CH1481,FIND("-",CH1481)+1)+1,FIND("-",CH1481,FIND("-",CH1481,FIND("-",CH1481)+1)+1)-FIND("-",CH1481,FIND("-",CH1481)+1)-1))),""))</f>
        <v/>
      </c>
    </row>
    <row r="1482">
      <c r="CH1482">
        <f>IF(ISTEXT('월 가계부'!A1482),SUBSTITUTE(SUBSTITUTE(SUBSTITUTE(SUBSTITUTE(SUBSTITUTE(SUBSTITUTE(SUBSTITUTE(SUBSTITUTE(SUBSTITUTE(TRIM('월 가계부'!A1482),"년","-"),"월","-"),"일",""),".","-"),"/","-")," ","-"),"--","-"),"--","-"),"--","-")&amp;"-","")</f>
        <v/>
      </c>
      <c r="CI1482">
        <f>IFERROR(IF('월 가계부'!A1482="","",IF(ISNUMBER('월 가계부'!A1482),IF(AND('월 가계부'!A1482&gt;=19000101,'월 가계부'!A1482&lt;=21001231),IF(AND(MOD(INT('월 가계부'!A1482/100),100)&gt;=1,MOD(INT('월 가계부'!A1482/100),100)&lt;=12,MOD(INT('월 가계부'!A1482),100)&gt;=1,MOD(INT('월 가계부'!A1482),100)&lt;=31),IF(MONTH(DATE(INT('월 가계부'!A1482/10000),MOD(INT('월 가계부'!A1482/100),100),MOD(INT('월 가계부'!A1482),100)))=MOD(INT('월 가계부'!A1482/100),100),DATE(INT('월 가계부'!A1482/10000),MOD(INT('월 가계부'!A1482/100),100),MOD(INT('월 가계부'!A1482),100)),""),""),IF(AND('월 가계부'!A1482&gt;=36526,'월 가계부'!A1482&lt;73051),INT('월 가계부'!A1482),"")),IF(OR(CM1482="",CN1482="",CO1482=""),"",IF(AND(CM1482&gt;=2000,CM1482&lt;=2099,CN1482&gt;=1,CN1482&lt;=12,CO1482&gt;=1,CO1482&lt;=31),IF(MONTH(DATE(CM1482,CN1482,CO1482))=CN1482,DATE(CM1482,CN1482,CO1482),""),"")))),"")</f>
        <v/>
      </c>
      <c r="CJ1482">
        <f>IFERROR(IF('월 가계부'!C1482="","",IF(ISNUMBER('월 가계부'!C1482),'월 가계부'!C1482,VALUE(SUBSTITUTE(SUBSTITUTE(SUBSTITUTE(SUBSTITUTE(TRIM('월 가계부'!C1482),",",""),"원","")," ",""),"−","-")))),"")</f>
        <v/>
      </c>
      <c r="CK1482">
        <f>IF(ISNUMBER(CI1482),IF(CI1482&lt;$B$13,CI1482,""),"")</f>
        <v/>
      </c>
      <c r="CM1482">
        <f>IF(CH1482="","",IFERROR(IF(IF(AND(LEN(CH1482)=9,ISERROR(FIND("-",LEFT(CH1482,8))),ISNUMBER(-LEFT(CH1482,8))),VALUE(LEFT(CH1482,4)),VALUE(LEFT(CH1482,FIND("-",CH1482)-1)))&lt;100,IF(AND(LEN(CH1482)=9,ISERROR(FIND("-",LEFT(CH1482,8))),ISNUMBER(-LEFT(CH1482,8))),VALUE(LEFT(CH1482,4)),VALUE(LEFT(CH1482,FIND("-",CH1482)-1)))+2000,IF(AND(LEN(CH1482)=9,ISERROR(FIND("-",LEFT(CH1482,8))),ISNUMBER(-LEFT(CH1482,8))),VALUE(LEFT(CH1482,4)),VALUE(LEFT(CH1482,FIND("-",CH1482)-1)))),""))</f>
        <v/>
      </c>
      <c r="CN1482">
        <f>IF(CH1482="","",IFERROR(IF(AND(LEN(CH1482)=9,ISERROR(FIND("-",LEFT(CH1482,8))),ISNUMBER(-LEFT(CH1482,8))),VALUE(MID(CH1482,5,2)),VALUE(MID(CH1482,FIND("-",CH1482)+1,FIND("-",CH1482,FIND("-",CH1482)+1)-FIND("-",CH1482)-1))),""))</f>
        <v/>
      </c>
      <c r="CO1482">
        <f>IF(CH1482="","",IFERROR(IF(AND(LEN(CH1482)=9,ISERROR(FIND("-",LEFT(CH1482,8))),ISNUMBER(-LEFT(CH1482,8))),VALUE(MID(CH1482,7,2)),VALUE(MID(CH1482,FIND("-",CH1482,FIND("-",CH1482)+1)+1,FIND("-",CH1482,FIND("-",CH1482,FIND("-",CH1482)+1)+1)-FIND("-",CH1482,FIND("-",CH1482)+1)-1))),""))</f>
        <v/>
      </c>
    </row>
    <row r="1483">
      <c r="CH1483">
        <f>IF(ISTEXT('월 가계부'!A1483),SUBSTITUTE(SUBSTITUTE(SUBSTITUTE(SUBSTITUTE(SUBSTITUTE(SUBSTITUTE(SUBSTITUTE(SUBSTITUTE(SUBSTITUTE(TRIM('월 가계부'!A1483),"년","-"),"월","-"),"일",""),".","-"),"/","-")," ","-"),"--","-"),"--","-"),"--","-")&amp;"-","")</f>
        <v/>
      </c>
      <c r="CI1483">
        <f>IFERROR(IF('월 가계부'!A1483="","",IF(ISNUMBER('월 가계부'!A1483),IF(AND('월 가계부'!A1483&gt;=19000101,'월 가계부'!A1483&lt;=21001231),IF(AND(MOD(INT('월 가계부'!A1483/100),100)&gt;=1,MOD(INT('월 가계부'!A1483/100),100)&lt;=12,MOD(INT('월 가계부'!A1483),100)&gt;=1,MOD(INT('월 가계부'!A1483),100)&lt;=31),IF(MONTH(DATE(INT('월 가계부'!A1483/10000),MOD(INT('월 가계부'!A1483/100),100),MOD(INT('월 가계부'!A1483),100)))=MOD(INT('월 가계부'!A1483/100),100),DATE(INT('월 가계부'!A1483/10000),MOD(INT('월 가계부'!A1483/100),100),MOD(INT('월 가계부'!A1483),100)),""),""),IF(AND('월 가계부'!A1483&gt;=36526,'월 가계부'!A1483&lt;73051),INT('월 가계부'!A1483),"")),IF(OR(CM1483="",CN1483="",CO1483=""),"",IF(AND(CM1483&gt;=2000,CM1483&lt;=2099,CN1483&gt;=1,CN1483&lt;=12,CO1483&gt;=1,CO1483&lt;=31),IF(MONTH(DATE(CM1483,CN1483,CO1483))=CN1483,DATE(CM1483,CN1483,CO1483),""),"")))),"")</f>
        <v/>
      </c>
      <c r="CJ1483">
        <f>IFERROR(IF('월 가계부'!C1483="","",IF(ISNUMBER('월 가계부'!C1483),'월 가계부'!C1483,VALUE(SUBSTITUTE(SUBSTITUTE(SUBSTITUTE(SUBSTITUTE(TRIM('월 가계부'!C1483),",",""),"원","")," ",""),"−","-")))),"")</f>
        <v/>
      </c>
      <c r="CK1483">
        <f>IF(ISNUMBER(CI1483),IF(CI1483&lt;$B$13,CI1483,""),"")</f>
        <v/>
      </c>
      <c r="CM1483">
        <f>IF(CH1483="","",IFERROR(IF(IF(AND(LEN(CH1483)=9,ISERROR(FIND("-",LEFT(CH1483,8))),ISNUMBER(-LEFT(CH1483,8))),VALUE(LEFT(CH1483,4)),VALUE(LEFT(CH1483,FIND("-",CH1483)-1)))&lt;100,IF(AND(LEN(CH1483)=9,ISERROR(FIND("-",LEFT(CH1483,8))),ISNUMBER(-LEFT(CH1483,8))),VALUE(LEFT(CH1483,4)),VALUE(LEFT(CH1483,FIND("-",CH1483)-1)))+2000,IF(AND(LEN(CH1483)=9,ISERROR(FIND("-",LEFT(CH1483,8))),ISNUMBER(-LEFT(CH1483,8))),VALUE(LEFT(CH1483,4)),VALUE(LEFT(CH1483,FIND("-",CH1483)-1)))),""))</f>
        <v/>
      </c>
      <c r="CN1483">
        <f>IF(CH1483="","",IFERROR(IF(AND(LEN(CH1483)=9,ISERROR(FIND("-",LEFT(CH1483,8))),ISNUMBER(-LEFT(CH1483,8))),VALUE(MID(CH1483,5,2)),VALUE(MID(CH1483,FIND("-",CH1483)+1,FIND("-",CH1483,FIND("-",CH1483)+1)-FIND("-",CH1483)-1))),""))</f>
        <v/>
      </c>
      <c r="CO1483">
        <f>IF(CH1483="","",IFERROR(IF(AND(LEN(CH1483)=9,ISERROR(FIND("-",LEFT(CH1483,8))),ISNUMBER(-LEFT(CH1483,8))),VALUE(MID(CH1483,7,2)),VALUE(MID(CH1483,FIND("-",CH1483,FIND("-",CH1483)+1)+1,FIND("-",CH1483,FIND("-",CH1483,FIND("-",CH1483)+1)+1)-FIND("-",CH1483,FIND("-",CH1483)+1)-1))),""))</f>
        <v/>
      </c>
    </row>
    <row r="1484">
      <c r="CH1484">
        <f>IF(ISTEXT('월 가계부'!A1484),SUBSTITUTE(SUBSTITUTE(SUBSTITUTE(SUBSTITUTE(SUBSTITUTE(SUBSTITUTE(SUBSTITUTE(SUBSTITUTE(SUBSTITUTE(TRIM('월 가계부'!A1484),"년","-"),"월","-"),"일",""),".","-"),"/","-")," ","-"),"--","-"),"--","-"),"--","-")&amp;"-","")</f>
        <v/>
      </c>
      <c r="CI1484">
        <f>IFERROR(IF('월 가계부'!A1484="","",IF(ISNUMBER('월 가계부'!A1484),IF(AND('월 가계부'!A1484&gt;=19000101,'월 가계부'!A1484&lt;=21001231),IF(AND(MOD(INT('월 가계부'!A1484/100),100)&gt;=1,MOD(INT('월 가계부'!A1484/100),100)&lt;=12,MOD(INT('월 가계부'!A1484),100)&gt;=1,MOD(INT('월 가계부'!A1484),100)&lt;=31),IF(MONTH(DATE(INT('월 가계부'!A1484/10000),MOD(INT('월 가계부'!A1484/100),100),MOD(INT('월 가계부'!A1484),100)))=MOD(INT('월 가계부'!A1484/100),100),DATE(INT('월 가계부'!A1484/10000),MOD(INT('월 가계부'!A1484/100),100),MOD(INT('월 가계부'!A1484),100)),""),""),IF(AND('월 가계부'!A1484&gt;=36526,'월 가계부'!A1484&lt;73051),INT('월 가계부'!A1484),"")),IF(OR(CM1484="",CN1484="",CO1484=""),"",IF(AND(CM1484&gt;=2000,CM1484&lt;=2099,CN1484&gt;=1,CN1484&lt;=12,CO1484&gt;=1,CO1484&lt;=31),IF(MONTH(DATE(CM1484,CN1484,CO1484))=CN1484,DATE(CM1484,CN1484,CO1484),""),"")))),"")</f>
        <v/>
      </c>
      <c r="CJ1484">
        <f>IFERROR(IF('월 가계부'!C1484="","",IF(ISNUMBER('월 가계부'!C1484),'월 가계부'!C1484,VALUE(SUBSTITUTE(SUBSTITUTE(SUBSTITUTE(SUBSTITUTE(TRIM('월 가계부'!C1484),",",""),"원","")," ",""),"−","-")))),"")</f>
        <v/>
      </c>
      <c r="CK1484">
        <f>IF(ISNUMBER(CI1484),IF(CI1484&lt;$B$13,CI1484,""),"")</f>
        <v/>
      </c>
      <c r="CM1484">
        <f>IF(CH1484="","",IFERROR(IF(IF(AND(LEN(CH1484)=9,ISERROR(FIND("-",LEFT(CH1484,8))),ISNUMBER(-LEFT(CH1484,8))),VALUE(LEFT(CH1484,4)),VALUE(LEFT(CH1484,FIND("-",CH1484)-1)))&lt;100,IF(AND(LEN(CH1484)=9,ISERROR(FIND("-",LEFT(CH1484,8))),ISNUMBER(-LEFT(CH1484,8))),VALUE(LEFT(CH1484,4)),VALUE(LEFT(CH1484,FIND("-",CH1484)-1)))+2000,IF(AND(LEN(CH1484)=9,ISERROR(FIND("-",LEFT(CH1484,8))),ISNUMBER(-LEFT(CH1484,8))),VALUE(LEFT(CH1484,4)),VALUE(LEFT(CH1484,FIND("-",CH1484)-1)))),""))</f>
        <v/>
      </c>
      <c r="CN1484">
        <f>IF(CH1484="","",IFERROR(IF(AND(LEN(CH1484)=9,ISERROR(FIND("-",LEFT(CH1484,8))),ISNUMBER(-LEFT(CH1484,8))),VALUE(MID(CH1484,5,2)),VALUE(MID(CH1484,FIND("-",CH1484)+1,FIND("-",CH1484,FIND("-",CH1484)+1)-FIND("-",CH1484)-1))),""))</f>
        <v/>
      </c>
      <c r="CO1484">
        <f>IF(CH1484="","",IFERROR(IF(AND(LEN(CH1484)=9,ISERROR(FIND("-",LEFT(CH1484,8))),ISNUMBER(-LEFT(CH1484,8))),VALUE(MID(CH1484,7,2)),VALUE(MID(CH1484,FIND("-",CH1484,FIND("-",CH1484)+1)+1,FIND("-",CH1484,FIND("-",CH1484,FIND("-",CH1484)+1)+1)-FIND("-",CH1484,FIND("-",CH1484)+1)-1))),""))</f>
        <v/>
      </c>
    </row>
    <row r="1485">
      <c r="CH1485">
        <f>IF(ISTEXT('월 가계부'!A1485),SUBSTITUTE(SUBSTITUTE(SUBSTITUTE(SUBSTITUTE(SUBSTITUTE(SUBSTITUTE(SUBSTITUTE(SUBSTITUTE(SUBSTITUTE(TRIM('월 가계부'!A1485),"년","-"),"월","-"),"일",""),".","-"),"/","-")," ","-"),"--","-"),"--","-"),"--","-")&amp;"-","")</f>
        <v/>
      </c>
      <c r="CI1485">
        <f>IFERROR(IF('월 가계부'!A1485="","",IF(ISNUMBER('월 가계부'!A1485),IF(AND('월 가계부'!A1485&gt;=19000101,'월 가계부'!A1485&lt;=21001231),IF(AND(MOD(INT('월 가계부'!A1485/100),100)&gt;=1,MOD(INT('월 가계부'!A1485/100),100)&lt;=12,MOD(INT('월 가계부'!A1485),100)&gt;=1,MOD(INT('월 가계부'!A1485),100)&lt;=31),IF(MONTH(DATE(INT('월 가계부'!A1485/10000),MOD(INT('월 가계부'!A1485/100),100),MOD(INT('월 가계부'!A1485),100)))=MOD(INT('월 가계부'!A1485/100),100),DATE(INT('월 가계부'!A1485/10000),MOD(INT('월 가계부'!A1485/100),100),MOD(INT('월 가계부'!A1485),100)),""),""),IF(AND('월 가계부'!A1485&gt;=36526,'월 가계부'!A1485&lt;73051),INT('월 가계부'!A1485),"")),IF(OR(CM1485="",CN1485="",CO1485=""),"",IF(AND(CM1485&gt;=2000,CM1485&lt;=2099,CN1485&gt;=1,CN1485&lt;=12,CO1485&gt;=1,CO1485&lt;=31),IF(MONTH(DATE(CM1485,CN1485,CO1485))=CN1485,DATE(CM1485,CN1485,CO1485),""),"")))),"")</f>
        <v/>
      </c>
      <c r="CJ1485">
        <f>IFERROR(IF('월 가계부'!C1485="","",IF(ISNUMBER('월 가계부'!C1485),'월 가계부'!C1485,VALUE(SUBSTITUTE(SUBSTITUTE(SUBSTITUTE(SUBSTITUTE(TRIM('월 가계부'!C1485),",",""),"원","")," ",""),"−","-")))),"")</f>
        <v/>
      </c>
      <c r="CK1485">
        <f>IF(ISNUMBER(CI1485),IF(CI1485&lt;$B$13,CI1485,""),"")</f>
        <v/>
      </c>
      <c r="CM1485">
        <f>IF(CH1485="","",IFERROR(IF(IF(AND(LEN(CH1485)=9,ISERROR(FIND("-",LEFT(CH1485,8))),ISNUMBER(-LEFT(CH1485,8))),VALUE(LEFT(CH1485,4)),VALUE(LEFT(CH1485,FIND("-",CH1485)-1)))&lt;100,IF(AND(LEN(CH1485)=9,ISERROR(FIND("-",LEFT(CH1485,8))),ISNUMBER(-LEFT(CH1485,8))),VALUE(LEFT(CH1485,4)),VALUE(LEFT(CH1485,FIND("-",CH1485)-1)))+2000,IF(AND(LEN(CH1485)=9,ISERROR(FIND("-",LEFT(CH1485,8))),ISNUMBER(-LEFT(CH1485,8))),VALUE(LEFT(CH1485,4)),VALUE(LEFT(CH1485,FIND("-",CH1485)-1)))),""))</f>
        <v/>
      </c>
      <c r="CN1485">
        <f>IF(CH1485="","",IFERROR(IF(AND(LEN(CH1485)=9,ISERROR(FIND("-",LEFT(CH1485,8))),ISNUMBER(-LEFT(CH1485,8))),VALUE(MID(CH1485,5,2)),VALUE(MID(CH1485,FIND("-",CH1485)+1,FIND("-",CH1485,FIND("-",CH1485)+1)-FIND("-",CH1485)-1))),""))</f>
        <v/>
      </c>
      <c r="CO1485">
        <f>IF(CH1485="","",IFERROR(IF(AND(LEN(CH1485)=9,ISERROR(FIND("-",LEFT(CH1485,8))),ISNUMBER(-LEFT(CH1485,8))),VALUE(MID(CH1485,7,2)),VALUE(MID(CH1485,FIND("-",CH1485,FIND("-",CH1485)+1)+1,FIND("-",CH1485,FIND("-",CH1485,FIND("-",CH1485)+1)+1)-FIND("-",CH1485,FIND("-",CH1485)+1)-1))),""))</f>
        <v/>
      </c>
    </row>
    <row r="1486">
      <c r="CH1486">
        <f>IF(ISTEXT('월 가계부'!A1486),SUBSTITUTE(SUBSTITUTE(SUBSTITUTE(SUBSTITUTE(SUBSTITUTE(SUBSTITUTE(SUBSTITUTE(SUBSTITUTE(SUBSTITUTE(TRIM('월 가계부'!A1486),"년","-"),"월","-"),"일",""),".","-"),"/","-")," ","-"),"--","-"),"--","-"),"--","-")&amp;"-","")</f>
        <v/>
      </c>
      <c r="CI1486">
        <f>IFERROR(IF('월 가계부'!A1486="","",IF(ISNUMBER('월 가계부'!A1486),IF(AND('월 가계부'!A1486&gt;=19000101,'월 가계부'!A1486&lt;=21001231),IF(AND(MOD(INT('월 가계부'!A1486/100),100)&gt;=1,MOD(INT('월 가계부'!A1486/100),100)&lt;=12,MOD(INT('월 가계부'!A1486),100)&gt;=1,MOD(INT('월 가계부'!A1486),100)&lt;=31),IF(MONTH(DATE(INT('월 가계부'!A1486/10000),MOD(INT('월 가계부'!A1486/100),100),MOD(INT('월 가계부'!A1486),100)))=MOD(INT('월 가계부'!A1486/100),100),DATE(INT('월 가계부'!A1486/10000),MOD(INT('월 가계부'!A1486/100),100),MOD(INT('월 가계부'!A1486),100)),""),""),IF(AND('월 가계부'!A1486&gt;=36526,'월 가계부'!A1486&lt;73051),INT('월 가계부'!A1486),"")),IF(OR(CM1486="",CN1486="",CO1486=""),"",IF(AND(CM1486&gt;=2000,CM1486&lt;=2099,CN1486&gt;=1,CN1486&lt;=12,CO1486&gt;=1,CO1486&lt;=31),IF(MONTH(DATE(CM1486,CN1486,CO1486))=CN1486,DATE(CM1486,CN1486,CO1486),""),"")))),"")</f>
        <v/>
      </c>
      <c r="CJ1486">
        <f>IFERROR(IF('월 가계부'!C1486="","",IF(ISNUMBER('월 가계부'!C1486),'월 가계부'!C1486,VALUE(SUBSTITUTE(SUBSTITUTE(SUBSTITUTE(SUBSTITUTE(TRIM('월 가계부'!C1486),",",""),"원","")," ",""),"−","-")))),"")</f>
        <v/>
      </c>
      <c r="CK1486">
        <f>IF(ISNUMBER(CI1486),IF(CI1486&lt;$B$13,CI1486,""),"")</f>
        <v/>
      </c>
      <c r="CM1486">
        <f>IF(CH1486="","",IFERROR(IF(IF(AND(LEN(CH1486)=9,ISERROR(FIND("-",LEFT(CH1486,8))),ISNUMBER(-LEFT(CH1486,8))),VALUE(LEFT(CH1486,4)),VALUE(LEFT(CH1486,FIND("-",CH1486)-1)))&lt;100,IF(AND(LEN(CH1486)=9,ISERROR(FIND("-",LEFT(CH1486,8))),ISNUMBER(-LEFT(CH1486,8))),VALUE(LEFT(CH1486,4)),VALUE(LEFT(CH1486,FIND("-",CH1486)-1)))+2000,IF(AND(LEN(CH1486)=9,ISERROR(FIND("-",LEFT(CH1486,8))),ISNUMBER(-LEFT(CH1486,8))),VALUE(LEFT(CH1486,4)),VALUE(LEFT(CH1486,FIND("-",CH1486)-1)))),""))</f>
        <v/>
      </c>
      <c r="CN1486">
        <f>IF(CH1486="","",IFERROR(IF(AND(LEN(CH1486)=9,ISERROR(FIND("-",LEFT(CH1486,8))),ISNUMBER(-LEFT(CH1486,8))),VALUE(MID(CH1486,5,2)),VALUE(MID(CH1486,FIND("-",CH1486)+1,FIND("-",CH1486,FIND("-",CH1486)+1)-FIND("-",CH1486)-1))),""))</f>
        <v/>
      </c>
      <c r="CO1486">
        <f>IF(CH1486="","",IFERROR(IF(AND(LEN(CH1486)=9,ISERROR(FIND("-",LEFT(CH1486,8))),ISNUMBER(-LEFT(CH1486,8))),VALUE(MID(CH1486,7,2)),VALUE(MID(CH1486,FIND("-",CH1486,FIND("-",CH1486)+1)+1,FIND("-",CH1486,FIND("-",CH1486,FIND("-",CH1486)+1)+1)-FIND("-",CH1486,FIND("-",CH1486)+1)-1))),""))</f>
        <v/>
      </c>
    </row>
    <row r="1487">
      <c r="CH1487">
        <f>IF(ISTEXT('월 가계부'!A1487),SUBSTITUTE(SUBSTITUTE(SUBSTITUTE(SUBSTITUTE(SUBSTITUTE(SUBSTITUTE(SUBSTITUTE(SUBSTITUTE(SUBSTITUTE(TRIM('월 가계부'!A1487),"년","-"),"월","-"),"일",""),".","-"),"/","-")," ","-"),"--","-"),"--","-"),"--","-")&amp;"-","")</f>
        <v/>
      </c>
      <c r="CI1487">
        <f>IFERROR(IF('월 가계부'!A1487="","",IF(ISNUMBER('월 가계부'!A1487),IF(AND('월 가계부'!A1487&gt;=19000101,'월 가계부'!A1487&lt;=21001231),IF(AND(MOD(INT('월 가계부'!A1487/100),100)&gt;=1,MOD(INT('월 가계부'!A1487/100),100)&lt;=12,MOD(INT('월 가계부'!A1487),100)&gt;=1,MOD(INT('월 가계부'!A1487),100)&lt;=31),IF(MONTH(DATE(INT('월 가계부'!A1487/10000),MOD(INT('월 가계부'!A1487/100),100),MOD(INT('월 가계부'!A1487),100)))=MOD(INT('월 가계부'!A1487/100),100),DATE(INT('월 가계부'!A1487/10000),MOD(INT('월 가계부'!A1487/100),100),MOD(INT('월 가계부'!A1487),100)),""),""),IF(AND('월 가계부'!A1487&gt;=36526,'월 가계부'!A1487&lt;73051),INT('월 가계부'!A1487),"")),IF(OR(CM1487="",CN1487="",CO1487=""),"",IF(AND(CM1487&gt;=2000,CM1487&lt;=2099,CN1487&gt;=1,CN1487&lt;=12,CO1487&gt;=1,CO1487&lt;=31),IF(MONTH(DATE(CM1487,CN1487,CO1487))=CN1487,DATE(CM1487,CN1487,CO1487),""),"")))),"")</f>
        <v/>
      </c>
      <c r="CJ1487">
        <f>IFERROR(IF('월 가계부'!C1487="","",IF(ISNUMBER('월 가계부'!C1487),'월 가계부'!C1487,VALUE(SUBSTITUTE(SUBSTITUTE(SUBSTITUTE(SUBSTITUTE(TRIM('월 가계부'!C1487),",",""),"원","")," ",""),"−","-")))),"")</f>
        <v/>
      </c>
      <c r="CK1487">
        <f>IF(ISNUMBER(CI1487),IF(CI1487&lt;$B$13,CI1487,""),"")</f>
        <v/>
      </c>
      <c r="CM1487">
        <f>IF(CH1487="","",IFERROR(IF(IF(AND(LEN(CH1487)=9,ISERROR(FIND("-",LEFT(CH1487,8))),ISNUMBER(-LEFT(CH1487,8))),VALUE(LEFT(CH1487,4)),VALUE(LEFT(CH1487,FIND("-",CH1487)-1)))&lt;100,IF(AND(LEN(CH1487)=9,ISERROR(FIND("-",LEFT(CH1487,8))),ISNUMBER(-LEFT(CH1487,8))),VALUE(LEFT(CH1487,4)),VALUE(LEFT(CH1487,FIND("-",CH1487)-1)))+2000,IF(AND(LEN(CH1487)=9,ISERROR(FIND("-",LEFT(CH1487,8))),ISNUMBER(-LEFT(CH1487,8))),VALUE(LEFT(CH1487,4)),VALUE(LEFT(CH1487,FIND("-",CH1487)-1)))),""))</f>
        <v/>
      </c>
      <c r="CN1487">
        <f>IF(CH1487="","",IFERROR(IF(AND(LEN(CH1487)=9,ISERROR(FIND("-",LEFT(CH1487,8))),ISNUMBER(-LEFT(CH1487,8))),VALUE(MID(CH1487,5,2)),VALUE(MID(CH1487,FIND("-",CH1487)+1,FIND("-",CH1487,FIND("-",CH1487)+1)-FIND("-",CH1487)-1))),""))</f>
        <v/>
      </c>
      <c r="CO1487">
        <f>IF(CH1487="","",IFERROR(IF(AND(LEN(CH1487)=9,ISERROR(FIND("-",LEFT(CH1487,8))),ISNUMBER(-LEFT(CH1487,8))),VALUE(MID(CH1487,7,2)),VALUE(MID(CH1487,FIND("-",CH1487,FIND("-",CH1487)+1)+1,FIND("-",CH1487,FIND("-",CH1487,FIND("-",CH1487)+1)+1)-FIND("-",CH1487,FIND("-",CH1487)+1)-1))),""))</f>
        <v/>
      </c>
    </row>
    <row r="1488">
      <c r="CH1488">
        <f>IF(ISTEXT('월 가계부'!A1488),SUBSTITUTE(SUBSTITUTE(SUBSTITUTE(SUBSTITUTE(SUBSTITUTE(SUBSTITUTE(SUBSTITUTE(SUBSTITUTE(SUBSTITUTE(TRIM('월 가계부'!A1488),"년","-"),"월","-"),"일",""),".","-"),"/","-")," ","-"),"--","-"),"--","-"),"--","-")&amp;"-","")</f>
        <v/>
      </c>
      <c r="CI1488">
        <f>IFERROR(IF('월 가계부'!A1488="","",IF(ISNUMBER('월 가계부'!A1488),IF(AND('월 가계부'!A1488&gt;=19000101,'월 가계부'!A1488&lt;=21001231),IF(AND(MOD(INT('월 가계부'!A1488/100),100)&gt;=1,MOD(INT('월 가계부'!A1488/100),100)&lt;=12,MOD(INT('월 가계부'!A1488),100)&gt;=1,MOD(INT('월 가계부'!A1488),100)&lt;=31),IF(MONTH(DATE(INT('월 가계부'!A1488/10000),MOD(INT('월 가계부'!A1488/100),100),MOD(INT('월 가계부'!A1488),100)))=MOD(INT('월 가계부'!A1488/100),100),DATE(INT('월 가계부'!A1488/10000),MOD(INT('월 가계부'!A1488/100),100),MOD(INT('월 가계부'!A1488),100)),""),""),IF(AND('월 가계부'!A1488&gt;=36526,'월 가계부'!A1488&lt;73051),INT('월 가계부'!A1488),"")),IF(OR(CM1488="",CN1488="",CO1488=""),"",IF(AND(CM1488&gt;=2000,CM1488&lt;=2099,CN1488&gt;=1,CN1488&lt;=12,CO1488&gt;=1,CO1488&lt;=31),IF(MONTH(DATE(CM1488,CN1488,CO1488))=CN1488,DATE(CM1488,CN1488,CO1488),""),"")))),"")</f>
        <v/>
      </c>
      <c r="CJ1488">
        <f>IFERROR(IF('월 가계부'!C1488="","",IF(ISNUMBER('월 가계부'!C1488),'월 가계부'!C1488,VALUE(SUBSTITUTE(SUBSTITUTE(SUBSTITUTE(SUBSTITUTE(TRIM('월 가계부'!C1488),",",""),"원","")," ",""),"−","-")))),"")</f>
        <v/>
      </c>
      <c r="CK1488">
        <f>IF(ISNUMBER(CI1488),IF(CI1488&lt;$B$13,CI1488,""),"")</f>
        <v/>
      </c>
      <c r="CM1488">
        <f>IF(CH1488="","",IFERROR(IF(IF(AND(LEN(CH1488)=9,ISERROR(FIND("-",LEFT(CH1488,8))),ISNUMBER(-LEFT(CH1488,8))),VALUE(LEFT(CH1488,4)),VALUE(LEFT(CH1488,FIND("-",CH1488)-1)))&lt;100,IF(AND(LEN(CH1488)=9,ISERROR(FIND("-",LEFT(CH1488,8))),ISNUMBER(-LEFT(CH1488,8))),VALUE(LEFT(CH1488,4)),VALUE(LEFT(CH1488,FIND("-",CH1488)-1)))+2000,IF(AND(LEN(CH1488)=9,ISERROR(FIND("-",LEFT(CH1488,8))),ISNUMBER(-LEFT(CH1488,8))),VALUE(LEFT(CH1488,4)),VALUE(LEFT(CH1488,FIND("-",CH1488)-1)))),""))</f>
        <v/>
      </c>
      <c r="CN1488">
        <f>IF(CH1488="","",IFERROR(IF(AND(LEN(CH1488)=9,ISERROR(FIND("-",LEFT(CH1488,8))),ISNUMBER(-LEFT(CH1488,8))),VALUE(MID(CH1488,5,2)),VALUE(MID(CH1488,FIND("-",CH1488)+1,FIND("-",CH1488,FIND("-",CH1488)+1)-FIND("-",CH1488)-1))),""))</f>
        <v/>
      </c>
      <c r="CO1488">
        <f>IF(CH1488="","",IFERROR(IF(AND(LEN(CH1488)=9,ISERROR(FIND("-",LEFT(CH1488,8))),ISNUMBER(-LEFT(CH1488,8))),VALUE(MID(CH1488,7,2)),VALUE(MID(CH1488,FIND("-",CH1488,FIND("-",CH1488)+1)+1,FIND("-",CH1488,FIND("-",CH1488,FIND("-",CH1488)+1)+1)-FIND("-",CH1488,FIND("-",CH1488)+1)-1))),""))</f>
        <v/>
      </c>
    </row>
    <row r="1489">
      <c r="CH1489">
        <f>IF(ISTEXT('월 가계부'!A1489),SUBSTITUTE(SUBSTITUTE(SUBSTITUTE(SUBSTITUTE(SUBSTITUTE(SUBSTITUTE(SUBSTITUTE(SUBSTITUTE(SUBSTITUTE(TRIM('월 가계부'!A1489),"년","-"),"월","-"),"일",""),".","-"),"/","-")," ","-"),"--","-"),"--","-"),"--","-")&amp;"-","")</f>
        <v/>
      </c>
      <c r="CI1489">
        <f>IFERROR(IF('월 가계부'!A1489="","",IF(ISNUMBER('월 가계부'!A1489),IF(AND('월 가계부'!A1489&gt;=19000101,'월 가계부'!A1489&lt;=21001231),IF(AND(MOD(INT('월 가계부'!A1489/100),100)&gt;=1,MOD(INT('월 가계부'!A1489/100),100)&lt;=12,MOD(INT('월 가계부'!A1489),100)&gt;=1,MOD(INT('월 가계부'!A1489),100)&lt;=31),IF(MONTH(DATE(INT('월 가계부'!A1489/10000),MOD(INT('월 가계부'!A1489/100),100),MOD(INT('월 가계부'!A1489),100)))=MOD(INT('월 가계부'!A1489/100),100),DATE(INT('월 가계부'!A1489/10000),MOD(INT('월 가계부'!A1489/100),100),MOD(INT('월 가계부'!A1489),100)),""),""),IF(AND('월 가계부'!A1489&gt;=36526,'월 가계부'!A1489&lt;73051),INT('월 가계부'!A1489),"")),IF(OR(CM1489="",CN1489="",CO1489=""),"",IF(AND(CM1489&gt;=2000,CM1489&lt;=2099,CN1489&gt;=1,CN1489&lt;=12,CO1489&gt;=1,CO1489&lt;=31),IF(MONTH(DATE(CM1489,CN1489,CO1489))=CN1489,DATE(CM1489,CN1489,CO1489),""),"")))),"")</f>
        <v/>
      </c>
      <c r="CJ1489">
        <f>IFERROR(IF('월 가계부'!C1489="","",IF(ISNUMBER('월 가계부'!C1489),'월 가계부'!C1489,VALUE(SUBSTITUTE(SUBSTITUTE(SUBSTITUTE(SUBSTITUTE(TRIM('월 가계부'!C1489),",",""),"원","")," ",""),"−","-")))),"")</f>
        <v/>
      </c>
      <c r="CK1489">
        <f>IF(ISNUMBER(CI1489),IF(CI1489&lt;$B$13,CI1489,""),"")</f>
        <v/>
      </c>
      <c r="CM1489">
        <f>IF(CH1489="","",IFERROR(IF(IF(AND(LEN(CH1489)=9,ISERROR(FIND("-",LEFT(CH1489,8))),ISNUMBER(-LEFT(CH1489,8))),VALUE(LEFT(CH1489,4)),VALUE(LEFT(CH1489,FIND("-",CH1489)-1)))&lt;100,IF(AND(LEN(CH1489)=9,ISERROR(FIND("-",LEFT(CH1489,8))),ISNUMBER(-LEFT(CH1489,8))),VALUE(LEFT(CH1489,4)),VALUE(LEFT(CH1489,FIND("-",CH1489)-1)))+2000,IF(AND(LEN(CH1489)=9,ISERROR(FIND("-",LEFT(CH1489,8))),ISNUMBER(-LEFT(CH1489,8))),VALUE(LEFT(CH1489,4)),VALUE(LEFT(CH1489,FIND("-",CH1489)-1)))),""))</f>
        <v/>
      </c>
      <c r="CN1489">
        <f>IF(CH1489="","",IFERROR(IF(AND(LEN(CH1489)=9,ISERROR(FIND("-",LEFT(CH1489,8))),ISNUMBER(-LEFT(CH1489,8))),VALUE(MID(CH1489,5,2)),VALUE(MID(CH1489,FIND("-",CH1489)+1,FIND("-",CH1489,FIND("-",CH1489)+1)-FIND("-",CH1489)-1))),""))</f>
        <v/>
      </c>
      <c r="CO1489">
        <f>IF(CH1489="","",IFERROR(IF(AND(LEN(CH1489)=9,ISERROR(FIND("-",LEFT(CH1489,8))),ISNUMBER(-LEFT(CH1489,8))),VALUE(MID(CH1489,7,2)),VALUE(MID(CH1489,FIND("-",CH1489,FIND("-",CH1489)+1)+1,FIND("-",CH1489,FIND("-",CH1489,FIND("-",CH1489)+1)+1)-FIND("-",CH1489,FIND("-",CH1489)+1)-1))),""))</f>
        <v/>
      </c>
    </row>
    <row r="1490">
      <c r="CH1490">
        <f>IF(ISTEXT('월 가계부'!A1490),SUBSTITUTE(SUBSTITUTE(SUBSTITUTE(SUBSTITUTE(SUBSTITUTE(SUBSTITUTE(SUBSTITUTE(SUBSTITUTE(SUBSTITUTE(TRIM('월 가계부'!A1490),"년","-"),"월","-"),"일",""),".","-"),"/","-")," ","-"),"--","-"),"--","-"),"--","-")&amp;"-","")</f>
        <v/>
      </c>
      <c r="CI1490">
        <f>IFERROR(IF('월 가계부'!A1490="","",IF(ISNUMBER('월 가계부'!A1490),IF(AND('월 가계부'!A1490&gt;=19000101,'월 가계부'!A1490&lt;=21001231),IF(AND(MOD(INT('월 가계부'!A1490/100),100)&gt;=1,MOD(INT('월 가계부'!A1490/100),100)&lt;=12,MOD(INT('월 가계부'!A1490),100)&gt;=1,MOD(INT('월 가계부'!A1490),100)&lt;=31),IF(MONTH(DATE(INT('월 가계부'!A1490/10000),MOD(INT('월 가계부'!A1490/100),100),MOD(INT('월 가계부'!A1490),100)))=MOD(INT('월 가계부'!A1490/100),100),DATE(INT('월 가계부'!A1490/10000),MOD(INT('월 가계부'!A1490/100),100),MOD(INT('월 가계부'!A1490),100)),""),""),IF(AND('월 가계부'!A1490&gt;=36526,'월 가계부'!A1490&lt;73051),INT('월 가계부'!A1490),"")),IF(OR(CM1490="",CN1490="",CO1490=""),"",IF(AND(CM1490&gt;=2000,CM1490&lt;=2099,CN1490&gt;=1,CN1490&lt;=12,CO1490&gt;=1,CO1490&lt;=31),IF(MONTH(DATE(CM1490,CN1490,CO1490))=CN1490,DATE(CM1490,CN1490,CO1490),""),"")))),"")</f>
        <v/>
      </c>
      <c r="CJ1490">
        <f>IFERROR(IF('월 가계부'!C1490="","",IF(ISNUMBER('월 가계부'!C1490),'월 가계부'!C1490,VALUE(SUBSTITUTE(SUBSTITUTE(SUBSTITUTE(SUBSTITUTE(TRIM('월 가계부'!C1490),",",""),"원","")," ",""),"−","-")))),"")</f>
        <v/>
      </c>
      <c r="CK1490">
        <f>IF(ISNUMBER(CI1490),IF(CI1490&lt;$B$13,CI1490,""),"")</f>
        <v/>
      </c>
      <c r="CM1490">
        <f>IF(CH1490="","",IFERROR(IF(IF(AND(LEN(CH1490)=9,ISERROR(FIND("-",LEFT(CH1490,8))),ISNUMBER(-LEFT(CH1490,8))),VALUE(LEFT(CH1490,4)),VALUE(LEFT(CH1490,FIND("-",CH1490)-1)))&lt;100,IF(AND(LEN(CH1490)=9,ISERROR(FIND("-",LEFT(CH1490,8))),ISNUMBER(-LEFT(CH1490,8))),VALUE(LEFT(CH1490,4)),VALUE(LEFT(CH1490,FIND("-",CH1490)-1)))+2000,IF(AND(LEN(CH1490)=9,ISERROR(FIND("-",LEFT(CH1490,8))),ISNUMBER(-LEFT(CH1490,8))),VALUE(LEFT(CH1490,4)),VALUE(LEFT(CH1490,FIND("-",CH1490)-1)))),""))</f>
        <v/>
      </c>
      <c r="CN1490">
        <f>IF(CH1490="","",IFERROR(IF(AND(LEN(CH1490)=9,ISERROR(FIND("-",LEFT(CH1490,8))),ISNUMBER(-LEFT(CH1490,8))),VALUE(MID(CH1490,5,2)),VALUE(MID(CH1490,FIND("-",CH1490)+1,FIND("-",CH1490,FIND("-",CH1490)+1)-FIND("-",CH1490)-1))),""))</f>
        <v/>
      </c>
      <c r="CO1490">
        <f>IF(CH1490="","",IFERROR(IF(AND(LEN(CH1490)=9,ISERROR(FIND("-",LEFT(CH1490,8))),ISNUMBER(-LEFT(CH1490,8))),VALUE(MID(CH1490,7,2)),VALUE(MID(CH1490,FIND("-",CH1490,FIND("-",CH1490)+1)+1,FIND("-",CH1490,FIND("-",CH1490,FIND("-",CH1490)+1)+1)-FIND("-",CH1490,FIND("-",CH1490)+1)-1))),""))</f>
        <v/>
      </c>
    </row>
    <row r="1491">
      <c r="CH1491">
        <f>IF(ISTEXT('월 가계부'!A1491),SUBSTITUTE(SUBSTITUTE(SUBSTITUTE(SUBSTITUTE(SUBSTITUTE(SUBSTITUTE(SUBSTITUTE(SUBSTITUTE(SUBSTITUTE(TRIM('월 가계부'!A1491),"년","-"),"월","-"),"일",""),".","-"),"/","-")," ","-"),"--","-"),"--","-"),"--","-")&amp;"-","")</f>
        <v/>
      </c>
      <c r="CI1491">
        <f>IFERROR(IF('월 가계부'!A1491="","",IF(ISNUMBER('월 가계부'!A1491),IF(AND('월 가계부'!A1491&gt;=19000101,'월 가계부'!A1491&lt;=21001231),IF(AND(MOD(INT('월 가계부'!A1491/100),100)&gt;=1,MOD(INT('월 가계부'!A1491/100),100)&lt;=12,MOD(INT('월 가계부'!A1491),100)&gt;=1,MOD(INT('월 가계부'!A1491),100)&lt;=31),IF(MONTH(DATE(INT('월 가계부'!A1491/10000),MOD(INT('월 가계부'!A1491/100),100),MOD(INT('월 가계부'!A1491),100)))=MOD(INT('월 가계부'!A1491/100),100),DATE(INT('월 가계부'!A1491/10000),MOD(INT('월 가계부'!A1491/100),100),MOD(INT('월 가계부'!A1491),100)),""),""),IF(AND('월 가계부'!A1491&gt;=36526,'월 가계부'!A1491&lt;73051),INT('월 가계부'!A1491),"")),IF(OR(CM1491="",CN1491="",CO1491=""),"",IF(AND(CM1491&gt;=2000,CM1491&lt;=2099,CN1491&gt;=1,CN1491&lt;=12,CO1491&gt;=1,CO1491&lt;=31),IF(MONTH(DATE(CM1491,CN1491,CO1491))=CN1491,DATE(CM1491,CN1491,CO1491),""),"")))),"")</f>
        <v/>
      </c>
      <c r="CJ1491">
        <f>IFERROR(IF('월 가계부'!C1491="","",IF(ISNUMBER('월 가계부'!C1491),'월 가계부'!C1491,VALUE(SUBSTITUTE(SUBSTITUTE(SUBSTITUTE(SUBSTITUTE(TRIM('월 가계부'!C1491),",",""),"원","")," ",""),"−","-")))),"")</f>
        <v/>
      </c>
      <c r="CK1491">
        <f>IF(ISNUMBER(CI1491),IF(CI1491&lt;$B$13,CI1491,""),"")</f>
        <v/>
      </c>
      <c r="CM1491">
        <f>IF(CH1491="","",IFERROR(IF(IF(AND(LEN(CH1491)=9,ISERROR(FIND("-",LEFT(CH1491,8))),ISNUMBER(-LEFT(CH1491,8))),VALUE(LEFT(CH1491,4)),VALUE(LEFT(CH1491,FIND("-",CH1491)-1)))&lt;100,IF(AND(LEN(CH1491)=9,ISERROR(FIND("-",LEFT(CH1491,8))),ISNUMBER(-LEFT(CH1491,8))),VALUE(LEFT(CH1491,4)),VALUE(LEFT(CH1491,FIND("-",CH1491)-1)))+2000,IF(AND(LEN(CH1491)=9,ISERROR(FIND("-",LEFT(CH1491,8))),ISNUMBER(-LEFT(CH1491,8))),VALUE(LEFT(CH1491,4)),VALUE(LEFT(CH1491,FIND("-",CH1491)-1)))),""))</f>
        <v/>
      </c>
      <c r="CN1491">
        <f>IF(CH1491="","",IFERROR(IF(AND(LEN(CH1491)=9,ISERROR(FIND("-",LEFT(CH1491,8))),ISNUMBER(-LEFT(CH1491,8))),VALUE(MID(CH1491,5,2)),VALUE(MID(CH1491,FIND("-",CH1491)+1,FIND("-",CH1491,FIND("-",CH1491)+1)-FIND("-",CH1491)-1))),""))</f>
        <v/>
      </c>
      <c r="CO1491">
        <f>IF(CH1491="","",IFERROR(IF(AND(LEN(CH1491)=9,ISERROR(FIND("-",LEFT(CH1491,8))),ISNUMBER(-LEFT(CH1491,8))),VALUE(MID(CH1491,7,2)),VALUE(MID(CH1491,FIND("-",CH1491,FIND("-",CH1491)+1)+1,FIND("-",CH1491,FIND("-",CH1491,FIND("-",CH1491)+1)+1)-FIND("-",CH1491,FIND("-",CH1491)+1)-1))),""))</f>
        <v/>
      </c>
    </row>
    <row r="1492">
      <c r="CH1492">
        <f>IF(ISTEXT('월 가계부'!A1492),SUBSTITUTE(SUBSTITUTE(SUBSTITUTE(SUBSTITUTE(SUBSTITUTE(SUBSTITUTE(SUBSTITUTE(SUBSTITUTE(SUBSTITUTE(TRIM('월 가계부'!A1492),"년","-"),"월","-"),"일",""),".","-"),"/","-")," ","-"),"--","-"),"--","-"),"--","-")&amp;"-","")</f>
        <v/>
      </c>
      <c r="CI1492">
        <f>IFERROR(IF('월 가계부'!A1492="","",IF(ISNUMBER('월 가계부'!A1492),IF(AND('월 가계부'!A1492&gt;=19000101,'월 가계부'!A1492&lt;=21001231),IF(AND(MOD(INT('월 가계부'!A1492/100),100)&gt;=1,MOD(INT('월 가계부'!A1492/100),100)&lt;=12,MOD(INT('월 가계부'!A1492),100)&gt;=1,MOD(INT('월 가계부'!A1492),100)&lt;=31),IF(MONTH(DATE(INT('월 가계부'!A1492/10000),MOD(INT('월 가계부'!A1492/100),100),MOD(INT('월 가계부'!A1492),100)))=MOD(INT('월 가계부'!A1492/100),100),DATE(INT('월 가계부'!A1492/10000),MOD(INT('월 가계부'!A1492/100),100),MOD(INT('월 가계부'!A1492),100)),""),""),IF(AND('월 가계부'!A1492&gt;=36526,'월 가계부'!A1492&lt;73051),INT('월 가계부'!A1492),"")),IF(OR(CM1492="",CN1492="",CO1492=""),"",IF(AND(CM1492&gt;=2000,CM1492&lt;=2099,CN1492&gt;=1,CN1492&lt;=12,CO1492&gt;=1,CO1492&lt;=31),IF(MONTH(DATE(CM1492,CN1492,CO1492))=CN1492,DATE(CM1492,CN1492,CO1492),""),"")))),"")</f>
        <v/>
      </c>
      <c r="CJ1492">
        <f>IFERROR(IF('월 가계부'!C1492="","",IF(ISNUMBER('월 가계부'!C1492),'월 가계부'!C1492,VALUE(SUBSTITUTE(SUBSTITUTE(SUBSTITUTE(SUBSTITUTE(TRIM('월 가계부'!C1492),",",""),"원","")," ",""),"−","-")))),"")</f>
        <v/>
      </c>
      <c r="CK1492">
        <f>IF(ISNUMBER(CI1492),IF(CI1492&lt;$B$13,CI1492,""),"")</f>
        <v/>
      </c>
      <c r="CM1492">
        <f>IF(CH1492="","",IFERROR(IF(IF(AND(LEN(CH1492)=9,ISERROR(FIND("-",LEFT(CH1492,8))),ISNUMBER(-LEFT(CH1492,8))),VALUE(LEFT(CH1492,4)),VALUE(LEFT(CH1492,FIND("-",CH1492)-1)))&lt;100,IF(AND(LEN(CH1492)=9,ISERROR(FIND("-",LEFT(CH1492,8))),ISNUMBER(-LEFT(CH1492,8))),VALUE(LEFT(CH1492,4)),VALUE(LEFT(CH1492,FIND("-",CH1492)-1)))+2000,IF(AND(LEN(CH1492)=9,ISERROR(FIND("-",LEFT(CH1492,8))),ISNUMBER(-LEFT(CH1492,8))),VALUE(LEFT(CH1492,4)),VALUE(LEFT(CH1492,FIND("-",CH1492)-1)))),""))</f>
        <v/>
      </c>
      <c r="CN1492">
        <f>IF(CH1492="","",IFERROR(IF(AND(LEN(CH1492)=9,ISERROR(FIND("-",LEFT(CH1492,8))),ISNUMBER(-LEFT(CH1492,8))),VALUE(MID(CH1492,5,2)),VALUE(MID(CH1492,FIND("-",CH1492)+1,FIND("-",CH1492,FIND("-",CH1492)+1)-FIND("-",CH1492)-1))),""))</f>
        <v/>
      </c>
      <c r="CO1492">
        <f>IF(CH1492="","",IFERROR(IF(AND(LEN(CH1492)=9,ISERROR(FIND("-",LEFT(CH1492,8))),ISNUMBER(-LEFT(CH1492,8))),VALUE(MID(CH1492,7,2)),VALUE(MID(CH1492,FIND("-",CH1492,FIND("-",CH1492)+1)+1,FIND("-",CH1492,FIND("-",CH1492,FIND("-",CH1492)+1)+1)-FIND("-",CH1492,FIND("-",CH1492)+1)-1))),""))</f>
        <v/>
      </c>
    </row>
    <row r="1493">
      <c r="CH1493">
        <f>IF(ISTEXT('월 가계부'!A1493),SUBSTITUTE(SUBSTITUTE(SUBSTITUTE(SUBSTITUTE(SUBSTITUTE(SUBSTITUTE(SUBSTITUTE(SUBSTITUTE(SUBSTITUTE(TRIM('월 가계부'!A1493),"년","-"),"월","-"),"일",""),".","-"),"/","-")," ","-"),"--","-"),"--","-"),"--","-")&amp;"-","")</f>
        <v/>
      </c>
      <c r="CI1493">
        <f>IFERROR(IF('월 가계부'!A1493="","",IF(ISNUMBER('월 가계부'!A1493),IF(AND('월 가계부'!A1493&gt;=19000101,'월 가계부'!A1493&lt;=21001231),IF(AND(MOD(INT('월 가계부'!A1493/100),100)&gt;=1,MOD(INT('월 가계부'!A1493/100),100)&lt;=12,MOD(INT('월 가계부'!A1493),100)&gt;=1,MOD(INT('월 가계부'!A1493),100)&lt;=31),IF(MONTH(DATE(INT('월 가계부'!A1493/10000),MOD(INT('월 가계부'!A1493/100),100),MOD(INT('월 가계부'!A1493),100)))=MOD(INT('월 가계부'!A1493/100),100),DATE(INT('월 가계부'!A1493/10000),MOD(INT('월 가계부'!A1493/100),100),MOD(INT('월 가계부'!A1493),100)),""),""),IF(AND('월 가계부'!A1493&gt;=36526,'월 가계부'!A1493&lt;73051),INT('월 가계부'!A1493),"")),IF(OR(CM1493="",CN1493="",CO1493=""),"",IF(AND(CM1493&gt;=2000,CM1493&lt;=2099,CN1493&gt;=1,CN1493&lt;=12,CO1493&gt;=1,CO1493&lt;=31),IF(MONTH(DATE(CM1493,CN1493,CO1493))=CN1493,DATE(CM1493,CN1493,CO1493),""),"")))),"")</f>
        <v/>
      </c>
      <c r="CJ1493">
        <f>IFERROR(IF('월 가계부'!C1493="","",IF(ISNUMBER('월 가계부'!C1493),'월 가계부'!C1493,VALUE(SUBSTITUTE(SUBSTITUTE(SUBSTITUTE(SUBSTITUTE(TRIM('월 가계부'!C1493),",",""),"원","")," ",""),"−","-")))),"")</f>
        <v/>
      </c>
      <c r="CK1493">
        <f>IF(ISNUMBER(CI1493),IF(CI1493&lt;$B$13,CI1493,""),"")</f>
        <v/>
      </c>
      <c r="CM1493">
        <f>IF(CH1493="","",IFERROR(IF(IF(AND(LEN(CH1493)=9,ISERROR(FIND("-",LEFT(CH1493,8))),ISNUMBER(-LEFT(CH1493,8))),VALUE(LEFT(CH1493,4)),VALUE(LEFT(CH1493,FIND("-",CH1493)-1)))&lt;100,IF(AND(LEN(CH1493)=9,ISERROR(FIND("-",LEFT(CH1493,8))),ISNUMBER(-LEFT(CH1493,8))),VALUE(LEFT(CH1493,4)),VALUE(LEFT(CH1493,FIND("-",CH1493)-1)))+2000,IF(AND(LEN(CH1493)=9,ISERROR(FIND("-",LEFT(CH1493,8))),ISNUMBER(-LEFT(CH1493,8))),VALUE(LEFT(CH1493,4)),VALUE(LEFT(CH1493,FIND("-",CH1493)-1)))),""))</f>
        <v/>
      </c>
      <c r="CN1493">
        <f>IF(CH1493="","",IFERROR(IF(AND(LEN(CH1493)=9,ISERROR(FIND("-",LEFT(CH1493,8))),ISNUMBER(-LEFT(CH1493,8))),VALUE(MID(CH1493,5,2)),VALUE(MID(CH1493,FIND("-",CH1493)+1,FIND("-",CH1493,FIND("-",CH1493)+1)-FIND("-",CH1493)-1))),""))</f>
        <v/>
      </c>
      <c r="CO1493">
        <f>IF(CH1493="","",IFERROR(IF(AND(LEN(CH1493)=9,ISERROR(FIND("-",LEFT(CH1493,8))),ISNUMBER(-LEFT(CH1493,8))),VALUE(MID(CH1493,7,2)),VALUE(MID(CH1493,FIND("-",CH1493,FIND("-",CH1493)+1)+1,FIND("-",CH1493,FIND("-",CH1493,FIND("-",CH1493)+1)+1)-FIND("-",CH1493,FIND("-",CH1493)+1)-1))),""))</f>
        <v/>
      </c>
    </row>
    <row r="1494">
      <c r="CH1494">
        <f>IF(ISTEXT('월 가계부'!A1494),SUBSTITUTE(SUBSTITUTE(SUBSTITUTE(SUBSTITUTE(SUBSTITUTE(SUBSTITUTE(SUBSTITUTE(SUBSTITUTE(SUBSTITUTE(TRIM('월 가계부'!A1494),"년","-"),"월","-"),"일",""),".","-"),"/","-")," ","-"),"--","-"),"--","-"),"--","-")&amp;"-","")</f>
        <v/>
      </c>
      <c r="CI1494">
        <f>IFERROR(IF('월 가계부'!A1494="","",IF(ISNUMBER('월 가계부'!A1494),IF(AND('월 가계부'!A1494&gt;=19000101,'월 가계부'!A1494&lt;=21001231),IF(AND(MOD(INT('월 가계부'!A1494/100),100)&gt;=1,MOD(INT('월 가계부'!A1494/100),100)&lt;=12,MOD(INT('월 가계부'!A1494),100)&gt;=1,MOD(INT('월 가계부'!A1494),100)&lt;=31),IF(MONTH(DATE(INT('월 가계부'!A1494/10000),MOD(INT('월 가계부'!A1494/100),100),MOD(INT('월 가계부'!A1494),100)))=MOD(INT('월 가계부'!A1494/100),100),DATE(INT('월 가계부'!A1494/10000),MOD(INT('월 가계부'!A1494/100),100),MOD(INT('월 가계부'!A1494),100)),""),""),IF(AND('월 가계부'!A1494&gt;=36526,'월 가계부'!A1494&lt;73051),INT('월 가계부'!A1494),"")),IF(OR(CM1494="",CN1494="",CO1494=""),"",IF(AND(CM1494&gt;=2000,CM1494&lt;=2099,CN1494&gt;=1,CN1494&lt;=12,CO1494&gt;=1,CO1494&lt;=31),IF(MONTH(DATE(CM1494,CN1494,CO1494))=CN1494,DATE(CM1494,CN1494,CO1494),""),"")))),"")</f>
        <v/>
      </c>
      <c r="CJ1494">
        <f>IFERROR(IF('월 가계부'!C1494="","",IF(ISNUMBER('월 가계부'!C1494),'월 가계부'!C1494,VALUE(SUBSTITUTE(SUBSTITUTE(SUBSTITUTE(SUBSTITUTE(TRIM('월 가계부'!C1494),",",""),"원","")," ",""),"−","-")))),"")</f>
        <v/>
      </c>
      <c r="CK1494">
        <f>IF(ISNUMBER(CI1494),IF(CI1494&lt;$B$13,CI1494,""),"")</f>
        <v/>
      </c>
      <c r="CM1494">
        <f>IF(CH1494="","",IFERROR(IF(IF(AND(LEN(CH1494)=9,ISERROR(FIND("-",LEFT(CH1494,8))),ISNUMBER(-LEFT(CH1494,8))),VALUE(LEFT(CH1494,4)),VALUE(LEFT(CH1494,FIND("-",CH1494)-1)))&lt;100,IF(AND(LEN(CH1494)=9,ISERROR(FIND("-",LEFT(CH1494,8))),ISNUMBER(-LEFT(CH1494,8))),VALUE(LEFT(CH1494,4)),VALUE(LEFT(CH1494,FIND("-",CH1494)-1)))+2000,IF(AND(LEN(CH1494)=9,ISERROR(FIND("-",LEFT(CH1494,8))),ISNUMBER(-LEFT(CH1494,8))),VALUE(LEFT(CH1494,4)),VALUE(LEFT(CH1494,FIND("-",CH1494)-1)))),""))</f>
        <v/>
      </c>
      <c r="CN1494">
        <f>IF(CH1494="","",IFERROR(IF(AND(LEN(CH1494)=9,ISERROR(FIND("-",LEFT(CH1494,8))),ISNUMBER(-LEFT(CH1494,8))),VALUE(MID(CH1494,5,2)),VALUE(MID(CH1494,FIND("-",CH1494)+1,FIND("-",CH1494,FIND("-",CH1494)+1)-FIND("-",CH1494)-1))),""))</f>
        <v/>
      </c>
      <c r="CO1494">
        <f>IF(CH1494="","",IFERROR(IF(AND(LEN(CH1494)=9,ISERROR(FIND("-",LEFT(CH1494,8))),ISNUMBER(-LEFT(CH1494,8))),VALUE(MID(CH1494,7,2)),VALUE(MID(CH1494,FIND("-",CH1494,FIND("-",CH1494)+1)+1,FIND("-",CH1494,FIND("-",CH1494,FIND("-",CH1494)+1)+1)-FIND("-",CH1494,FIND("-",CH1494)+1)-1))),""))</f>
        <v/>
      </c>
    </row>
    <row r="1495">
      <c r="CH1495">
        <f>IF(ISTEXT('월 가계부'!A1495),SUBSTITUTE(SUBSTITUTE(SUBSTITUTE(SUBSTITUTE(SUBSTITUTE(SUBSTITUTE(SUBSTITUTE(SUBSTITUTE(SUBSTITUTE(TRIM('월 가계부'!A1495),"년","-"),"월","-"),"일",""),".","-"),"/","-")," ","-"),"--","-"),"--","-"),"--","-")&amp;"-","")</f>
        <v/>
      </c>
      <c r="CI1495">
        <f>IFERROR(IF('월 가계부'!A1495="","",IF(ISNUMBER('월 가계부'!A1495),IF(AND('월 가계부'!A1495&gt;=19000101,'월 가계부'!A1495&lt;=21001231),IF(AND(MOD(INT('월 가계부'!A1495/100),100)&gt;=1,MOD(INT('월 가계부'!A1495/100),100)&lt;=12,MOD(INT('월 가계부'!A1495),100)&gt;=1,MOD(INT('월 가계부'!A1495),100)&lt;=31),IF(MONTH(DATE(INT('월 가계부'!A1495/10000),MOD(INT('월 가계부'!A1495/100),100),MOD(INT('월 가계부'!A1495),100)))=MOD(INT('월 가계부'!A1495/100),100),DATE(INT('월 가계부'!A1495/10000),MOD(INT('월 가계부'!A1495/100),100),MOD(INT('월 가계부'!A1495),100)),""),""),IF(AND('월 가계부'!A1495&gt;=36526,'월 가계부'!A1495&lt;73051),INT('월 가계부'!A1495),"")),IF(OR(CM1495="",CN1495="",CO1495=""),"",IF(AND(CM1495&gt;=2000,CM1495&lt;=2099,CN1495&gt;=1,CN1495&lt;=12,CO1495&gt;=1,CO1495&lt;=31),IF(MONTH(DATE(CM1495,CN1495,CO1495))=CN1495,DATE(CM1495,CN1495,CO1495),""),"")))),"")</f>
        <v/>
      </c>
      <c r="CJ1495">
        <f>IFERROR(IF('월 가계부'!C1495="","",IF(ISNUMBER('월 가계부'!C1495),'월 가계부'!C1495,VALUE(SUBSTITUTE(SUBSTITUTE(SUBSTITUTE(SUBSTITUTE(TRIM('월 가계부'!C1495),",",""),"원","")," ",""),"−","-")))),"")</f>
        <v/>
      </c>
      <c r="CK1495">
        <f>IF(ISNUMBER(CI1495),IF(CI1495&lt;$B$13,CI1495,""),"")</f>
        <v/>
      </c>
      <c r="CM1495">
        <f>IF(CH1495="","",IFERROR(IF(IF(AND(LEN(CH1495)=9,ISERROR(FIND("-",LEFT(CH1495,8))),ISNUMBER(-LEFT(CH1495,8))),VALUE(LEFT(CH1495,4)),VALUE(LEFT(CH1495,FIND("-",CH1495)-1)))&lt;100,IF(AND(LEN(CH1495)=9,ISERROR(FIND("-",LEFT(CH1495,8))),ISNUMBER(-LEFT(CH1495,8))),VALUE(LEFT(CH1495,4)),VALUE(LEFT(CH1495,FIND("-",CH1495)-1)))+2000,IF(AND(LEN(CH1495)=9,ISERROR(FIND("-",LEFT(CH1495,8))),ISNUMBER(-LEFT(CH1495,8))),VALUE(LEFT(CH1495,4)),VALUE(LEFT(CH1495,FIND("-",CH1495)-1)))),""))</f>
        <v/>
      </c>
      <c r="CN1495">
        <f>IF(CH1495="","",IFERROR(IF(AND(LEN(CH1495)=9,ISERROR(FIND("-",LEFT(CH1495,8))),ISNUMBER(-LEFT(CH1495,8))),VALUE(MID(CH1495,5,2)),VALUE(MID(CH1495,FIND("-",CH1495)+1,FIND("-",CH1495,FIND("-",CH1495)+1)-FIND("-",CH1495)-1))),""))</f>
        <v/>
      </c>
      <c r="CO1495">
        <f>IF(CH1495="","",IFERROR(IF(AND(LEN(CH1495)=9,ISERROR(FIND("-",LEFT(CH1495,8))),ISNUMBER(-LEFT(CH1495,8))),VALUE(MID(CH1495,7,2)),VALUE(MID(CH1495,FIND("-",CH1495,FIND("-",CH1495)+1)+1,FIND("-",CH1495,FIND("-",CH1495,FIND("-",CH1495)+1)+1)-FIND("-",CH1495,FIND("-",CH1495)+1)-1))),""))</f>
        <v/>
      </c>
    </row>
    <row r="1496">
      <c r="CH1496">
        <f>IF(ISTEXT('월 가계부'!A1496),SUBSTITUTE(SUBSTITUTE(SUBSTITUTE(SUBSTITUTE(SUBSTITUTE(SUBSTITUTE(SUBSTITUTE(SUBSTITUTE(SUBSTITUTE(TRIM('월 가계부'!A1496),"년","-"),"월","-"),"일",""),".","-"),"/","-")," ","-"),"--","-"),"--","-"),"--","-")&amp;"-","")</f>
        <v/>
      </c>
      <c r="CI1496">
        <f>IFERROR(IF('월 가계부'!A1496="","",IF(ISNUMBER('월 가계부'!A1496),IF(AND('월 가계부'!A1496&gt;=19000101,'월 가계부'!A1496&lt;=21001231),IF(AND(MOD(INT('월 가계부'!A1496/100),100)&gt;=1,MOD(INT('월 가계부'!A1496/100),100)&lt;=12,MOD(INT('월 가계부'!A1496),100)&gt;=1,MOD(INT('월 가계부'!A1496),100)&lt;=31),IF(MONTH(DATE(INT('월 가계부'!A1496/10000),MOD(INT('월 가계부'!A1496/100),100),MOD(INT('월 가계부'!A1496),100)))=MOD(INT('월 가계부'!A1496/100),100),DATE(INT('월 가계부'!A1496/10000),MOD(INT('월 가계부'!A1496/100),100),MOD(INT('월 가계부'!A1496),100)),""),""),IF(AND('월 가계부'!A1496&gt;=36526,'월 가계부'!A1496&lt;73051),INT('월 가계부'!A1496),"")),IF(OR(CM1496="",CN1496="",CO1496=""),"",IF(AND(CM1496&gt;=2000,CM1496&lt;=2099,CN1496&gt;=1,CN1496&lt;=12,CO1496&gt;=1,CO1496&lt;=31),IF(MONTH(DATE(CM1496,CN1496,CO1496))=CN1496,DATE(CM1496,CN1496,CO1496),""),"")))),"")</f>
        <v/>
      </c>
      <c r="CJ1496">
        <f>IFERROR(IF('월 가계부'!C1496="","",IF(ISNUMBER('월 가계부'!C1496),'월 가계부'!C1496,VALUE(SUBSTITUTE(SUBSTITUTE(SUBSTITUTE(SUBSTITUTE(TRIM('월 가계부'!C1496),",",""),"원","")," ",""),"−","-")))),"")</f>
        <v/>
      </c>
      <c r="CK1496">
        <f>IF(ISNUMBER(CI1496),IF(CI1496&lt;$B$13,CI1496,""),"")</f>
        <v/>
      </c>
      <c r="CM1496">
        <f>IF(CH1496="","",IFERROR(IF(IF(AND(LEN(CH1496)=9,ISERROR(FIND("-",LEFT(CH1496,8))),ISNUMBER(-LEFT(CH1496,8))),VALUE(LEFT(CH1496,4)),VALUE(LEFT(CH1496,FIND("-",CH1496)-1)))&lt;100,IF(AND(LEN(CH1496)=9,ISERROR(FIND("-",LEFT(CH1496,8))),ISNUMBER(-LEFT(CH1496,8))),VALUE(LEFT(CH1496,4)),VALUE(LEFT(CH1496,FIND("-",CH1496)-1)))+2000,IF(AND(LEN(CH1496)=9,ISERROR(FIND("-",LEFT(CH1496,8))),ISNUMBER(-LEFT(CH1496,8))),VALUE(LEFT(CH1496,4)),VALUE(LEFT(CH1496,FIND("-",CH1496)-1)))),""))</f>
        <v/>
      </c>
      <c r="CN1496">
        <f>IF(CH1496="","",IFERROR(IF(AND(LEN(CH1496)=9,ISERROR(FIND("-",LEFT(CH1496,8))),ISNUMBER(-LEFT(CH1496,8))),VALUE(MID(CH1496,5,2)),VALUE(MID(CH1496,FIND("-",CH1496)+1,FIND("-",CH1496,FIND("-",CH1496)+1)-FIND("-",CH1496)-1))),""))</f>
        <v/>
      </c>
      <c r="CO1496">
        <f>IF(CH1496="","",IFERROR(IF(AND(LEN(CH1496)=9,ISERROR(FIND("-",LEFT(CH1496,8))),ISNUMBER(-LEFT(CH1496,8))),VALUE(MID(CH1496,7,2)),VALUE(MID(CH1496,FIND("-",CH1496,FIND("-",CH1496)+1)+1,FIND("-",CH1496,FIND("-",CH1496,FIND("-",CH1496)+1)+1)-FIND("-",CH1496,FIND("-",CH1496)+1)-1))),""))</f>
        <v/>
      </c>
    </row>
    <row r="1497">
      <c r="CH1497">
        <f>IF(ISTEXT('월 가계부'!A1497),SUBSTITUTE(SUBSTITUTE(SUBSTITUTE(SUBSTITUTE(SUBSTITUTE(SUBSTITUTE(SUBSTITUTE(SUBSTITUTE(SUBSTITUTE(TRIM('월 가계부'!A1497),"년","-"),"월","-"),"일",""),".","-"),"/","-")," ","-"),"--","-"),"--","-"),"--","-")&amp;"-","")</f>
        <v/>
      </c>
      <c r="CI1497">
        <f>IFERROR(IF('월 가계부'!A1497="","",IF(ISNUMBER('월 가계부'!A1497),IF(AND('월 가계부'!A1497&gt;=19000101,'월 가계부'!A1497&lt;=21001231),IF(AND(MOD(INT('월 가계부'!A1497/100),100)&gt;=1,MOD(INT('월 가계부'!A1497/100),100)&lt;=12,MOD(INT('월 가계부'!A1497),100)&gt;=1,MOD(INT('월 가계부'!A1497),100)&lt;=31),IF(MONTH(DATE(INT('월 가계부'!A1497/10000),MOD(INT('월 가계부'!A1497/100),100),MOD(INT('월 가계부'!A1497),100)))=MOD(INT('월 가계부'!A1497/100),100),DATE(INT('월 가계부'!A1497/10000),MOD(INT('월 가계부'!A1497/100),100),MOD(INT('월 가계부'!A1497),100)),""),""),IF(AND('월 가계부'!A1497&gt;=36526,'월 가계부'!A1497&lt;73051),INT('월 가계부'!A1497),"")),IF(OR(CM1497="",CN1497="",CO1497=""),"",IF(AND(CM1497&gt;=2000,CM1497&lt;=2099,CN1497&gt;=1,CN1497&lt;=12,CO1497&gt;=1,CO1497&lt;=31),IF(MONTH(DATE(CM1497,CN1497,CO1497))=CN1497,DATE(CM1497,CN1497,CO1497),""),"")))),"")</f>
        <v/>
      </c>
      <c r="CJ1497">
        <f>IFERROR(IF('월 가계부'!C1497="","",IF(ISNUMBER('월 가계부'!C1497),'월 가계부'!C1497,VALUE(SUBSTITUTE(SUBSTITUTE(SUBSTITUTE(SUBSTITUTE(TRIM('월 가계부'!C1497),",",""),"원","")," ",""),"−","-")))),"")</f>
        <v/>
      </c>
      <c r="CK1497">
        <f>IF(ISNUMBER(CI1497),IF(CI1497&lt;$B$13,CI1497,""),"")</f>
        <v/>
      </c>
      <c r="CM1497">
        <f>IF(CH1497="","",IFERROR(IF(IF(AND(LEN(CH1497)=9,ISERROR(FIND("-",LEFT(CH1497,8))),ISNUMBER(-LEFT(CH1497,8))),VALUE(LEFT(CH1497,4)),VALUE(LEFT(CH1497,FIND("-",CH1497)-1)))&lt;100,IF(AND(LEN(CH1497)=9,ISERROR(FIND("-",LEFT(CH1497,8))),ISNUMBER(-LEFT(CH1497,8))),VALUE(LEFT(CH1497,4)),VALUE(LEFT(CH1497,FIND("-",CH1497)-1)))+2000,IF(AND(LEN(CH1497)=9,ISERROR(FIND("-",LEFT(CH1497,8))),ISNUMBER(-LEFT(CH1497,8))),VALUE(LEFT(CH1497,4)),VALUE(LEFT(CH1497,FIND("-",CH1497)-1)))),""))</f>
        <v/>
      </c>
      <c r="CN1497">
        <f>IF(CH1497="","",IFERROR(IF(AND(LEN(CH1497)=9,ISERROR(FIND("-",LEFT(CH1497,8))),ISNUMBER(-LEFT(CH1497,8))),VALUE(MID(CH1497,5,2)),VALUE(MID(CH1497,FIND("-",CH1497)+1,FIND("-",CH1497,FIND("-",CH1497)+1)-FIND("-",CH1497)-1))),""))</f>
        <v/>
      </c>
      <c r="CO1497">
        <f>IF(CH1497="","",IFERROR(IF(AND(LEN(CH1497)=9,ISERROR(FIND("-",LEFT(CH1497,8))),ISNUMBER(-LEFT(CH1497,8))),VALUE(MID(CH1497,7,2)),VALUE(MID(CH1497,FIND("-",CH1497,FIND("-",CH1497)+1)+1,FIND("-",CH1497,FIND("-",CH1497,FIND("-",CH1497)+1)+1)-FIND("-",CH1497,FIND("-",CH1497)+1)-1))),""))</f>
        <v/>
      </c>
    </row>
    <row r="1498">
      <c r="CH1498">
        <f>IF(ISTEXT('월 가계부'!A1498),SUBSTITUTE(SUBSTITUTE(SUBSTITUTE(SUBSTITUTE(SUBSTITUTE(SUBSTITUTE(SUBSTITUTE(SUBSTITUTE(SUBSTITUTE(TRIM('월 가계부'!A1498),"년","-"),"월","-"),"일",""),".","-"),"/","-")," ","-"),"--","-"),"--","-"),"--","-")&amp;"-","")</f>
        <v/>
      </c>
      <c r="CI1498">
        <f>IFERROR(IF('월 가계부'!A1498="","",IF(ISNUMBER('월 가계부'!A1498),IF(AND('월 가계부'!A1498&gt;=19000101,'월 가계부'!A1498&lt;=21001231),IF(AND(MOD(INT('월 가계부'!A1498/100),100)&gt;=1,MOD(INT('월 가계부'!A1498/100),100)&lt;=12,MOD(INT('월 가계부'!A1498),100)&gt;=1,MOD(INT('월 가계부'!A1498),100)&lt;=31),IF(MONTH(DATE(INT('월 가계부'!A1498/10000),MOD(INT('월 가계부'!A1498/100),100),MOD(INT('월 가계부'!A1498),100)))=MOD(INT('월 가계부'!A1498/100),100),DATE(INT('월 가계부'!A1498/10000),MOD(INT('월 가계부'!A1498/100),100),MOD(INT('월 가계부'!A1498),100)),""),""),IF(AND('월 가계부'!A1498&gt;=36526,'월 가계부'!A1498&lt;73051),INT('월 가계부'!A1498),"")),IF(OR(CM1498="",CN1498="",CO1498=""),"",IF(AND(CM1498&gt;=2000,CM1498&lt;=2099,CN1498&gt;=1,CN1498&lt;=12,CO1498&gt;=1,CO1498&lt;=31),IF(MONTH(DATE(CM1498,CN1498,CO1498))=CN1498,DATE(CM1498,CN1498,CO1498),""),"")))),"")</f>
        <v/>
      </c>
      <c r="CJ1498">
        <f>IFERROR(IF('월 가계부'!C1498="","",IF(ISNUMBER('월 가계부'!C1498),'월 가계부'!C1498,VALUE(SUBSTITUTE(SUBSTITUTE(SUBSTITUTE(SUBSTITUTE(TRIM('월 가계부'!C1498),",",""),"원","")," ",""),"−","-")))),"")</f>
        <v/>
      </c>
      <c r="CK1498">
        <f>IF(ISNUMBER(CI1498),IF(CI1498&lt;$B$13,CI1498,""),"")</f>
        <v/>
      </c>
      <c r="CM1498">
        <f>IF(CH1498="","",IFERROR(IF(IF(AND(LEN(CH1498)=9,ISERROR(FIND("-",LEFT(CH1498,8))),ISNUMBER(-LEFT(CH1498,8))),VALUE(LEFT(CH1498,4)),VALUE(LEFT(CH1498,FIND("-",CH1498)-1)))&lt;100,IF(AND(LEN(CH1498)=9,ISERROR(FIND("-",LEFT(CH1498,8))),ISNUMBER(-LEFT(CH1498,8))),VALUE(LEFT(CH1498,4)),VALUE(LEFT(CH1498,FIND("-",CH1498)-1)))+2000,IF(AND(LEN(CH1498)=9,ISERROR(FIND("-",LEFT(CH1498,8))),ISNUMBER(-LEFT(CH1498,8))),VALUE(LEFT(CH1498,4)),VALUE(LEFT(CH1498,FIND("-",CH1498)-1)))),""))</f>
        <v/>
      </c>
      <c r="CN1498">
        <f>IF(CH1498="","",IFERROR(IF(AND(LEN(CH1498)=9,ISERROR(FIND("-",LEFT(CH1498,8))),ISNUMBER(-LEFT(CH1498,8))),VALUE(MID(CH1498,5,2)),VALUE(MID(CH1498,FIND("-",CH1498)+1,FIND("-",CH1498,FIND("-",CH1498)+1)-FIND("-",CH1498)-1))),""))</f>
        <v/>
      </c>
      <c r="CO1498">
        <f>IF(CH1498="","",IFERROR(IF(AND(LEN(CH1498)=9,ISERROR(FIND("-",LEFT(CH1498,8))),ISNUMBER(-LEFT(CH1498,8))),VALUE(MID(CH1498,7,2)),VALUE(MID(CH1498,FIND("-",CH1498,FIND("-",CH1498)+1)+1,FIND("-",CH1498,FIND("-",CH1498,FIND("-",CH1498)+1)+1)-FIND("-",CH1498,FIND("-",CH1498)+1)-1))),""))</f>
        <v/>
      </c>
    </row>
    <row r="1499">
      <c r="CH1499">
        <f>IF(ISTEXT('월 가계부'!A1499),SUBSTITUTE(SUBSTITUTE(SUBSTITUTE(SUBSTITUTE(SUBSTITUTE(SUBSTITUTE(SUBSTITUTE(SUBSTITUTE(SUBSTITUTE(TRIM('월 가계부'!A1499),"년","-"),"월","-"),"일",""),".","-"),"/","-")," ","-"),"--","-"),"--","-"),"--","-")&amp;"-","")</f>
        <v/>
      </c>
      <c r="CI1499">
        <f>IFERROR(IF('월 가계부'!A1499="","",IF(ISNUMBER('월 가계부'!A1499),IF(AND('월 가계부'!A1499&gt;=19000101,'월 가계부'!A1499&lt;=21001231),IF(AND(MOD(INT('월 가계부'!A1499/100),100)&gt;=1,MOD(INT('월 가계부'!A1499/100),100)&lt;=12,MOD(INT('월 가계부'!A1499),100)&gt;=1,MOD(INT('월 가계부'!A1499),100)&lt;=31),IF(MONTH(DATE(INT('월 가계부'!A1499/10000),MOD(INT('월 가계부'!A1499/100),100),MOD(INT('월 가계부'!A1499),100)))=MOD(INT('월 가계부'!A1499/100),100),DATE(INT('월 가계부'!A1499/10000),MOD(INT('월 가계부'!A1499/100),100),MOD(INT('월 가계부'!A1499),100)),""),""),IF(AND('월 가계부'!A1499&gt;=36526,'월 가계부'!A1499&lt;73051),INT('월 가계부'!A1499),"")),IF(OR(CM1499="",CN1499="",CO1499=""),"",IF(AND(CM1499&gt;=2000,CM1499&lt;=2099,CN1499&gt;=1,CN1499&lt;=12,CO1499&gt;=1,CO1499&lt;=31),IF(MONTH(DATE(CM1499,CN1499,CO1499))=CN1499,DATE(CM1499,CN1499,CO1499),""),"")))),"")</f>
        <v/>
      </c>
      <c r="CJ1499">
        <f>IFERROR(IF('월 가계부'!C1499="","",IF(ISNUMBER('월 가계부'!C1499),'월 가계부'!C1499,VALUE(SUBSTITUTE(SUBSTITUTE(SUBSTITUTE(SUBSTITUTE(TRIM('월 가계부'!C1499),",",""),"원","")," ",""),"−","-")))),"")</f>
        <v/>
      </c>
      <c r="CK1499">
        <f>IF(ISNUMBER(CI1499),IF(CI1499&lt;$B$13,CI1499,""),"")</f>
        <v/>
      </c>
      <c r="CM1499">
        <f>IF(CH1499="","",IFERROR(IF(IF(AND(LEN(CH1499)=9,ISERROR(FIND("-",LEFT(CH1499,8))),ISNUMBER(-LEFT(CH1499,8))),VALUE(LEFT(CH1499,4)),VALUE(LEFT(CH1499,FIND("-",CH1499)-1)))&lt;100,IF(AND(LEN(CH1499)=9,ISERROR(FIND("-",LEFT(CH1499,8))),ISNUMBER(-LEFT(CH1499,8))),VALUE(LEFT(CH1499,4)),VALUE(LEFT(CH1499,FIND("-",CH1499)-1)))+2000,IF(AND(LEN(CH1499)=9,ISERROR(FIND("-",LEFT(CH1499,8))),ISNUMBER(-LEFT(CH1499,8))),VALUE(LEFT(CH1499,4)),VALUE(LEFT(CH1499,FIND("-",CH1499)-1)))),""))</f>
        <v/>
      </c>
      <c r="CN1499">
        <f>IF(CH1499="","",IFERROR(IF(AND(LEN(CH1499)=9,ISERROR(FIND("-",LEFT(CH1499,8))),ISNUMBER(-LEFT(CH1499,8))),VALUE(MID(CH1499,5,2)),VALUE(MID(CH1499,FIND("-",CH1499)+1,FIND("-",CH1499,FIND("-",CH1499)+1)-FIND("-",CH1499)-1))),""))</f>
        <v/>
      </c>
      <c r="CO1499">
        <f>IF(CH1499="","",IFERROR(IF(AND(LEN(CH1499)=9,ISERROR(FIND("-",LEFT(CH1499,8))),ISNUMBER(-LEFT(CH1499,8))),VALUE(MID(CH1499,7,2)),VALUE(MID(CH1499,FIND("-",CH1499,FIND("-",CH1499)+1)+1,FIND("-",CH1499,FIND("-",CH1499,FIND("-",CH1499)+1)+1)-FIND("-",CH1499,FIND("-",CH1499)+1)-1))),""))</f>
        <v/>
      </c>
    </row>
    <row r="1500">
      <c r="CH1500">
        <f>IF(ISTEXT('월 가계부'!A1500),SUBSTITUTE(SUBSTITUTE(SUBSTITUTE(SUBSTITUTE(SUBSTITUTE(SUBSTITUTE(SUBSTITUTE(SUBSTITUTE(SUBSTITUTE(TRIM('월 가계부'!A1500),"년","-"),"월","-"),"일",""),".","-"),"/","-")," ","-"),"--","-"),"--","-"),"--","-")&amp;"-","")</f>
        <v/>
      </c>
      <c r="CI1500">
        <f>IFERROR(IF('월 가계부'!A1500="","",IF(ISNUMBER('월 가계부'!A1500),IF(AND('월 가계부'!A1500&gt;=19000101,'월 가계부'!A1500&lt;=21001231),IF(AND(MOD(INT('월 가계부'!A1500/100),100)&gt;=1,MOD(INT('월 가계부'!A1500/100),100)&lt;=12,MOD(INT('월 가계부'!A1500),100)&gt;=1,MOD(INT('월 가계부'!A1500),100)&lt;=31),IF(MONTH(DATE(INT('월 가계부'!A1500/10000),MOD(INT('월 가계부'!A1500/100),100),MOD(INT('월 가계부'!A1500),100)))=MOD(INT('월 가계부'!A1500/100),100),DATE(INT('월 가계부'!A1500/10000),MOD(INT('월 가계부'!A1500/100),100),MOD(INT('월 가계부'!A1500),100)),""),""),IF(AND('월 가계부'!A1500&gt;=36526,'월 가계부'!A1500&lt;73051),INT('월 가계부'!A1500),"")),IF(OR(CM1500="",CN1500="",CO1500=""),"",IF(AND(CM1500&gt;=2000,CM1500&lt;=2099,CN1500&gt;=1,CN1500&lt;=12,CO1500&gt;=1,CO1500&lt;=31),IF(MONTH(DATE(CM1500,CN1500,CO1500))=CN1500,DATE(CM1500,CN1500,CO1500),""),"")))),"")</f>
        <v/>
      </c>
      <c r="CJ1500">
        <f>IFERROR(IF('월 가계부'!C1500="","",IF(ISNUMBER('월 가계부'!C1500),'월 가계부'!C1500,VALUE(SUBSTITUTE(SUBSTITUTE(SUBSTITUTE(SUBSTITUTE(TRIM('월 가계부'!C1500),",",""),"원","")," ",""),"−","-")))),"")</f>
        <v/>
      </c>
      <c r="CK1500">
        <f>IF(ISNUMBER(CI1500),IF(CI1500&lt;$B$13,CI1500,""),"")</f>
        <v/>
      </c>
      <c r="CM1500">
        <f>IF(CH1500="","",IFERROR(IF(IF(AND(LEN(CH1500)=9,ISERROR(FIND("-",LEFT(CH1500,8))),ISNUMBER(-LEFT(CH1500,8))),VALUE(LEFT(CH1500,4)),VALUE(LEFT(CH1500,FIND("-",CH1500)-1)))&lt;100,IF(AND(LEN(CH1500)=9,ISERROR(FIND("-",LEFT(CH1500,8))),ISNUMBER(-LEFT(CH1500,8))),VALUE(LEFT(CH1500,4)),VALUE(LEFT(CH1500,FIND("-",CH1500)-1)))+2000,IF(AND(LEN(CH1500)=9,ISERROR(FIND("-",LEFT(CH1500,8))),ISNUMBER(-LEFT(CH1500,8))),VALUE(LEFT(CH1500,4)),VALUE(LEFT(CH1500,FIND("-",CH1500)-1)))),""))</f>
        <v/>
      </c>
      <c r="CN1500">
        <f>IF(CH1500="","",IFERROR(IF(AND(LEN(CH1500)=9,ISERROR(FIND("-",LEFT(CH1500,8))),ISNUMBER(-LEFT(CH1500,8))),VALUE(MID(CH1500,5,2)),VALUE(MID(CH1500,FIND("-",CH1500)+1,FIND("-",CH1500,FIND("-",CH1500)+1)-FIND("-",CH1500)-1))),""))</f>
        <v/>
      </c>
      <c r="CO1500">
        <f>IF(CH1500="","",IFERROR(IF(AND(LEN(CH1500)=9,ISERROR(FIND("-",LEFT(CH1500,8))),ISNUMBER(-LEFT(CH1500,8))),VALUE(MID(CH1500,7,2)),VALUE(MID(CH1500,FIND("-",CH1500,FIND("-",CH1500)+1)+1,FIND("-",CH1500,FIND("-",CH1500,FIND("-",CH1500)+1)+1)-FIND("-",CH1500,FIND("-",CH1500)+1)-1))),""))</f>
        <v/>
      </c>
    </row>
    <row r="1501">
      <c r="CH1501">
        <f>IF(ISTEXT('월 가계부'!A1501),SUBSTITUTE(SUBSTITUTE(SUBSTITUTE(SUBSTITUTE(SUBSTITUTE(SUBSTITUTE(SUBSTITUTE(SUBSTITUTE(SUBSTITUTE(TRIM('월 가계부'!A1501),"년","-"),"월","-"),"일",""),".","-"),"/","-")," ","-"),"--","-"),"--","-"),"--","-")&amp;"-","")</f>
        <v/>
      </c>
      <c r="CI1501">
        <f>IFERROR(IF('월 가계부'!A1501="","",IF(ISNUMBER('월 가계부'!A1501),IF(AND('월 가계부'!A1501&gt;=19000101,'월 가계부'!A1501&lt;=21001231),IF(AND(MOD(INT('월 가계부'!A1501/100),100)&gt;=1,MOD(INT('월 가계부'!A1501/100),100)&lt;=12,MOD(INT('월 가계부'!A1501),100)&gt;=1,MOD(INT('월 가계부'!A1501),100)&lt;=31),IF(MONTH(DATE(INT('월 가계부'!A1501/10000),MOD(INT('월 가계부'!A1501/100),100),MOD(INT('월 가계부'!A1501),100)))=MOD(INT('월 가계부'!A1501/100),100),DATE(INT('월 가계부'!A1501/10000),MOD(INT('월 가계부'!A1501/100),100),MOD(INT('월 가계부'!A1501),100)),""),""),IF(AND('월 가계부'!A1501&gt;=36526,'월 가계부'!A1501&lt;73051),INT('월 가계부'!A1501),"")),IF(OR(CM1501="",CN1501="",CO1501=""),"",IF(AND(CM1501&gt;=2000,CM1501&lt;=2099,CN1501&gt;=1,CN1501&lt;=12,CO1501&gt;=1,CO1501&lt;=31),IF(MONTH(DATE(CM1501,CN1501,CO1501))=CN1501,DATE(CM1501,CN1501,CO1501),""),"")))),"")</f>
        <v/>
      </c>
      <c r="CJ1501">
        <f>IFERROR(IF('월 가계부'!C1501="","",IF(ISNUMBER('월 가계부'!C1501),'월 가계부'!C1501,VALUE(SUBSTITUTE(SUBSTITUTE(SUBSTITUTE(SUBSTITUTE(TRIM('월 가계부'!C1501),",",""),"원","")," ",""),"−","-")))),"")</f>
        <v/>
      </c>
      <c r="CK1501">
        <f>IF(ISNUMBER(CI1501),IF(CI1501&lt;$B$13,CI1501,""),"")</f>
        <v/>
      </c>
      <c r="CM1501">
        <f>IF(CH1501="","",IFERROR(IF(IF(AND(LEN(CH1501)=9,ISERROR(FIND("-",LEFT(CH1501,8))),ISNUMBER(-LEFT(CH1501,8))),VALUE(LEFT(CH1501,4)),VALUE(LEFT(CH1501,FIND("-",CH1501)-1)))&lt;100,IF(AND(LEN(CH1501)=9,ISERROR(FIND("-",LEFT(CH1501,8))),ISNUMBER(-LEFT(CH1501,8))),VALUE(LEFT(CH1501,4)),VALUE(LEFT(CH1501,FIND("-",CH1501)-1)))+2000,IF(AND(LEN(CH1501)=9,ISERROR(FIND("-",LEFT(CH1501,8))),ISNUMBER(-LEFT(CH1501,8))),VALUE(LEFT(CH1501,4)),VALUE(LEFT(CH1501,FIND("-",CH1501)-1)))),""))</f>
        <v/>
      </c>
      <c r="CN1501">
        <f>IF(CH1501="","",IFERROR(IF(AND(LEN(CH1501)=9,ISERROR(FIND("-",LEFT(CH1501,8))),ISNUMBER(-LEFT(CH1501,8))),VALUE(MID(CH1501,5,2)),VALUE(MID(CH1501,FIND("-",CH1501)+1,FIND("-",CH1501,FIND("-",CH1501)+1)-FIND("-",CH1501)-1))),""))</f>
        <v/>
      </c>
      <c r="CO1501">
        <f>IF(CH1501="","",IFERROR(IF(AND(LEN(CH1501)=9,ISERROR(FIND("-",LEFT(CH1501,8))),ISNUMBER(-LEFT(CH1501,8))),VALUE(MID(CH1501,7,2)),VALUE(MID(CH1501,FIND("-",CH1501,FIND("-",CH1501)+1)+1,FIND("-",CH1501,FIND("-",CH1501,FIND("-",CH1501)+1)+1)-FIND("-",CH1501,FIND("-",CH1501)+1)-1))),""))</f>
        <v/>
      </c>
    </row>
    <row r="1502">
      <c r="CH1502">
        <f>IF(ISTEXT('월 가계부'!A1502),SUBSTITUTE(SUBSTITUTE(SUBSTITUTE(SUBSTITUTE(SUBSTITUTE(SUBSTITUTE(SUBSTITUTE(SUBSTITUTE(SUBSTITUTE(TRIM('월 가계부'!A1502),"년","-"),"월","-"),"일",""),".","-"),"/","-")," ","-"),"--","-"),"--","-"),"--","-")&amp;"-","")</f>
        <v/>
      </c>
      <c r="CI1502">
        <f>IFERROR(IF('월 가계부'!A1502="","",IF(ISNUMBER('월 가계부'!A1502),IF(AND('월 가계부'!A1502&gt;=19000101,'월 가계부'!A1502&lt;=21001231),IF(AND(MOD(INT('월 가계부'!A1502/100),100)&gt;=1,MOD(INT('월 가계부'!A1502/100),100)&lt;=12,MOD(INT('월 가계부'!A1502),100)&gt;=1,MOD(INT('월 가계부'!A1502),100)&lt;=31),IF(MONTH(DATE(INT('월 가계부'!A1502/10000),MOD(INT('월 가계부'!A1502/100),100),MOD(INT('월 가계부'!A1502),100)))=MOD(INT('월 가계부'!A1502/100),100),DATE(INT('월 가계부'!A1502/10000),MOD(INT('월 가계부'!A1502/100),100),MOD(INT('월 가계부'!A1502),100)),""),""),IF(AND('월 가계부'!A1502&gt;=36526,'월 가계부'!A1502&lt;73051),INT('월 가계부'!A1502),"")),IF(OR(CM1502="",CN1502="",CO1502=""),"",IF(AND(CM1502&gt;=2000,CM1502&lt;=2099,CN1502&gt;=1,CN1502&lt;=12,CO1502&gt;=1,CO1502&lt;=31),IF(MONTH(DATE(CM1502,CN1502,CO1502))=CN1502,DATE(CM1502,CN1502,CO1502),""),"")))),"")</f>
        <v/>
      </c>
      <c r="CJ1502">
        <f>IFERROR(IF('월 가계부'!C1502="","",IF(ISNUMBER('월 가계부'!C1502),'월 가계부'!C1502,VALUE(SUBSTITUTE(SUBSTITUTE(SUBSTITUTE(SUBSTITUTE(TRIM('월 가계부'!C1502),",",""),"원","")," ",""),"−","-")))),"")</f>
        <v/>
      </c>
      <c r="CK1502">
        <f>IF(ISNUMBER(CI1502),IF(CI1502&lt;$B$13,CI1502,""),"")</f>
        <v/>
      </c>
      <c r="CM1502">
        <f>IF(CH1502="","",IFERROR(IF(IF(AND(LEN(CH1502)=9,ISERROR(FIND("-",LEFT(CH1502,8))),ISNUMBER(-LEFT(CH1502,8))),VALUE(LEFT(CH1502,4)),VALUE(LEFT(CH1502,FIND("-",CH1502)-1)))&lt;100,IF(AND(LEN(CH1502)=9,ISERROR(FIND("-",LEFT(CH1502,8))),ISNUMBER(-LEFT(CH1502,8))),VALUE(LEFT(CH1502,4)),VALUE(LEFT(CH1502,FIND("-",CH1502)-1)))+2000,IF(AND(LEN(CH1502)=9,ISERROR(FIND("-",LEFT(CH1502,8))),ISNUMBER(-LEFT(CH1502,8))),VALUE(LEFT(CH1502,4)),VALUE(LEFT(CH1502,FIND("-",CH1502)-1)))),""))</f>
        <v/>
      </c>
      <c r="CN1502">
        <f>IF(CH1502="","",IFERROR(IF(AND(LEN(CH1502)=9,ISERROR(FIND("-",LEFT(CH1502,8))),ISNUMBER(-LEFT(CH1502,8))),VALUE(MID(CH1502,5,2)),VALUE(MID(CH1502,FIND("-",CH1502)+1,FIND("-",CH1502,FIND("-",CH1502)+1)-FIND("-",CH1502)-1))),""))</f>
        <v/>
      </c>
      <c r="CO1502">
        <f>IF(CH1502="","",IFERROR(IF(AND(LEN(CH1502)=9,ISERROR(FIND("-",LEFT(CH1502,8))),ISNUMBER(-LEFT(CH1502,8))),VALUE(MID(CH1502,7,2)),VALUE(MID(CH1502,FIND("-",CH1502,FIND("-",CH1502)+1)+1,FIND("-",CH1502,FIND("-",CH1502,FIND("-",CH1502)+1)+1)-FIND("-",CH1502,FIND("-",CH1502)+1)-1))),""))</f>
        <v/>
      </c>
    </row>
    <row r="1503">
      <c r="CH1503">
        <f>IF(ISTEXT('월 가계부'!A1503),SUBSTITUTE(SUBSTITUTE(SUBSTITUTE(SUBSTITUTE(SUBSTITUTE(SUBSTITUTE(SUBSTITUTE(SUBSTITUTE(SUBSTITUTE(TRIM('월 가계부'!A1503),"년","-"),"월","-"),"일",""),".","-"),"/","-")," ","-"),"--","-"),"--","-"),"--","-")&amp;"-","")</f>
        <v/>
      </c>
      <c r="CI1503">
        <f>IFERROR(IF('월 가계부'!A1503="","",IF(ISNUMBER('월 가계부'!A1503),IF(AND('월 가계부'!A1503&gt;=19000101,'월 가계부'!A1503&lt;=21001231),IF(AND(MOD(INT('월 가계부'!A1503/100),100)&gt;=1,MOD(INT('월 가계부'!A1503/100),100)&lt;=12,MOD(INT('월 가계부'!A1503),100)&gt;=1,MOD(INT('월 가계부'!A1503),100)&lt;=31),IF(MONTH(DATE(INT('월 가계부'!A1503/10000),MOD(INT('월 가계부'!A1503/100),100),MOD(INT('월 가계부'!A1503),100)))=MOD(INT('월 가계부'!A1503/100),100),DATE(INT('월 가계부'!A1503/10000),MOD(INT('월 가계부'!A1503/100),100),MOD(INT('월 가계부'!A1503),100)),""),""),IF(AND('월 가계부'!A1503&gt;=36526,'월 가계부'!A1503&lt;73051),INT('월 가계부'!A1503),"")),IF(OR(CM1503="",CN1503="",CO1503=""),"",IF(AND(CM1503&gt;=2000,CM1503&lt;=2099,CN1503&gt;=1,CN1503&lt;=12,CO1503&gt;=1,CO1503&lt;=31),IF(MONTH(DATE(CM1503,CN1503,CO1503))=CN1503,DATE(CM1503,CN1503,CO1503),""),"")))),"")</f>
        <v/>
      </c>
      <c r="CJ1503">
        <f>IFERROR(IF('월 가계부'!C1503="","",IF(ISNUMBER('월 가계부'!C1503),'월 가계부'!C1503,VALUE(SUBSTITUTE(SUBSTITUTE(SUBSTITUTE(SUBSTITUTE(TRIM('월 가계부'!C1503),",",""),"원","")," ",""),"−","-")))),"")</f>
        <v/>
      </c>
      <c r="CK1503">
        <f>IF(ISNUMBER(CI1503),IF(CI1503&lt;$B$13,CI1503,""),"")</f>
        <v/>
      </c>
      <c r="CM1503">
        <f>IF(CH1503="","",IFERROR(IF(IF(AND(LEN(CH1503)=9,ISERROR(FIND("-",LEFT(CH1503,8))),ISNUMBER(-LEFT(CH1503,8))),VALUE(LEFT(CH1503,4)),VALUE(LEFT(CH1503,FIND("-",CH1503)-1)))&lt;100,IF(AND(LEN(CH1503)=9,ISERROR(FIND("-",LEFT(CH1503,8))),ISNUMBER(-LEFT(CH1503,8))),VALUE(LEFT(CH1503,4)),VALUE(LEFT(CH1503,FIND("-",CH1503)-1)))+2000,IF(AND(LEN(CH1503)=9,ISERROR(FIND("-",LEFT(CH1503,8))),ISNUMBER(-LEFT(CH1503,8))),VALUE(LEFT(CH1503,4)),VALUE(LEFT(CH1503,FIND("-",CH1503)-1)))),""))</f>
        <v/>
      </c>
      <c r="CN1503">
        <f>IF(CH1503="","",IFERROR(IF(AND(LEN(CH1503)=9,ISERROR(FIND("-",LEFT(CH1503,8))),ISNUMBER(-LEFT(CH1503,8))),VALUE(MID(CH1503,5,2)),VALUE(MID(CH1503,FIND("-",CH1503)+1,FIND("-",CH1503,FIND("-",CH1503)+1)-FIND("-",CH1503)-1))),""))</f>
        <v/>
      </c>
      <c r="CO1503">
        <f>IF(CH1503="","",IFERROR(IF(AND(LEN(CH1503)=9,ISERROR(FIND("-",LEFT(CH1503,8))),ISNUMBER(-LEFT(CH1503,8))),VALUE(MID(CH1503,7,2)),VALUE(MID(CH1503,FIND("-",CH1503,FIND("-",CH1503)+1)+1,FIND("-",CH1503,FIND("-",CH1503,FIND("-",CH1503)+1)+1)-FIND("-",CH1503,FIND("-",CH1503)+1)-1))),""))</f>
        <v/>
      </c>
    </row>
    <row r="1504">
      <c r="CH1504">
        <f>IF(ISTEXT('월 가계부'!A1504),SUBSTITUTE(SUBSTITUTE(SUBSTITUTE(SUBSTITUTE(SUBSTITUTE(SUBSTITUTE(SUBSTITUTE(SUBSTITUTE(SUBSTITUTE(TRIM('월 가계부'!A1504),"년","-"),"월","-"),"일",""),".","-"),"/","-")," ","-"),"--","-"),"--","-"),"--","-")&amp;"-","")</f>
        <v/>
      </c>
      <c r="CI1504">
        <f>IFERROR(IF('월 가계부'!A1504="","",IF(ISNUMBER('월 가계부'!A1504),IF(AND('월 가계부'!A1504&gt;=19000101,'월 가계부'!A1504&lt;=21001231),IF(AND(MOD(INT('월 가계부'!A1504/100),100)&gt;=1,MOD(INT('월 가계부'!A1504/100),100)&lt;=12,MOD(INT('월 가계부'!A1504),100)&gt;=1,MOD(INT('월 가계부'!A1504),100)&lt;=31),IF(MONTH(DATE(INT('월 가계부'!A1504/10000),MOD(INT('월 가계부'!A1504/100),100),MOD(INT('월 가계부'!A1504),100)))=MOD(INT('월 가계부'!A1504/100),100),DATE(INT('월 가계부'!A1504/10000),MOD(INT('월 가계부'!A1504/100),100),MOD(INT('월 가계부'!A1504),100)),""),""),IF(AND('월 가계부'!A1504&gt;=36526,'월 가계부'!A1504&lt;73051),INT('월 가계부'!A1504),"")),IF(OR(CM1504="",CN1504="",CO1504=""),"",IF(AND(CM1504&gt;=2000,CM1504&lt;=2099,CN1504&gt;=1,CN1504&lt;=12,CO1504&gt;=1,CO1504&lt;=31),IF(MONTH(DATE(CM1504,CN1504,CO1504))=CN1504,DATE(CM1504,CN1504,CO1504),""),"")))),"")</f>
        <v/>
      </c>
      <c r="CJ1504">
        <f>IFERROR(IF('월 가계부'!C1504="","",IF(ISNUMBER('월 가계부'!C1504),'월 가계부'!C1504,VALUE(SUBSTITUTE(SUBSTITUTE(SUBSTITUTE(SUBSTITUTE(TRIM('월 가계부'!C1504),",",""),"원","")," ",""),"−","-")))),"")</f>
        <v/>
      </c>
      <c r="CK1504">
        <f>IF(ISNUMBER(CI1504),IF(CI1504&lt;$B$13,CI1504,""),"")</f>
        <v/>
      </c>
      <c r="CM1504">
        <f>IF(CH1504="","",IFERROR(IF(IF(AND(LEN(CH1504)=9,ISERROR(FIND("-",LEFT(CH1504,8))),ISNUMBER(-LEFT(CH1504,8))),VALUE(LEFT(CH1504,4)),VALUE(LEFT(CH1504,FIND("-",CH1504)-1)))&lt;100,IF(AND(LEN(CH1504)=9,ISERROR(FIND("-",LEFT(CH1504,8))),ISNUMBER(-LEFT(CH1504,8))),VALUE(LEFT(CH1504,4)),VALUE(LEFT(CH1504,FIND("-",CH1504)-1)))+2000,IF(AND(LEN(CH1504)=9,ISERROR(FIND("-",LEFT(CH1504,8))),ISNUMBER(-LEFT(CH1504,8))),VALUE(LEFT(CH1504,4)),VALUE(LEFT(CH1504,FIND("-",CH1504)-1)))),""))</f>
        <v/>
      </c>
      <c r="CN1504">
        <f>IF(CH1504="","",IFERROR(IF(AND(LEN(CH1504)=9,ISERROR(FIND("-",LEFT(CH1504,8))),ISNUMBER(-LEFT(CH1504,8))),VALUE(MID(CH1504,5,2)),VALUE(MID(CH1504,FIND("-",CH1504)+1,FIND("-",CH1504,FIND("-",CH1504)+1)-FIND("-",CH1504)-1))),""))</f>
        <v/>
      </c>
      <c r="CO1504">
        <f>IF(CH1504="","",IFERROR(IF(AND(LEN(CH1504)=9,ISERROR(FIND("-",LEFT(CH1504,8))),ISNUMBER(-LEFT(CH1504,8))),VALUE(MID(CH1504,7,2)),VALUE(MID(CH1504,FIND("-",CH1504,FIND("-",CH1504)+1)+1,FIND("-",CH1504,FIND("-",CH1504,FIND("-",CH1504)+1)+1)-FIND("-",CH1504,FIND("-",CH1504)+1)-1))),""))</f>
        <v/>
      </c>
    </row>
    <row r="1505">
      <c r="CH1505">
        <f>IF(ISTEXT('월 가계부'!A1505),SUBSTITUTE(SUBSTITUTE(SUBSTITUTE(SUBSTITUTE(SUBSTITUTE(SUBSTITUTE(SUBSTITUTE(SUBSTITUTE(SUBSTITUTE(TRIM('월 가계부'!A1505),"년","-"),"월","-"),"일",""),".","-"),"/","-")," ","-"),"--","-"),"--","-"),"--","-")&amp;"-","")</f>
        <v/>
      </c>
      <c r="CI1505">
        <f>IFERROR(IF('월 가계부'!A1505="","",IF(ISNUMBER('월 가계부'!A1505),IF(AND('월 가계부'!A1505&gt;=19000101,'월 가계부'!A1505&lt;=21001231),IF(AND(MOD(INT('월 가계부'!A1505/100),100)&gt;=1,MOD(INT('월 가계부'!A1505/100),100)&lt;=12,MOD(INT('월 가계부'!A1505),100)&gt;=1,MOD(INT('월 가계부'!A1505),100)&lt;=31),IF(MONTH(DATE(INT('월 가계부'!A1505/10000),MOD(INT('월 가계부'!A1505/100),100),MOD(INT('월 가계부'!A1505),100)))=MOD(INT('월 가계부'!A1505/100),100),DATE(INT('월 가계부'!A1505/10000),MOD(INT('월 가계부'!A1505/100),100),MOD(INT('월 가계부'!A1505),100)),""),""),IF(AND('월 가계부'!A1505&gt;=36526,'월 가계부'!A1505&lt;73051),INT('월 가계부'!A1505),"")),IF(OR(CM1505="",CN1505="",CO1505=""),"",IF(AND(CM1505&gt;=2000,CM1505&lt;=2099,CN1505&gt;=1,CN1505&lt;=12,CO1505&gt;=1,CO1505&lt;=31),IF(MONTH(DATE(CM1505,CN1505,CO1505))=CN1505,DATE(CM1505,CN1505,CO1505),""),"")))),"")</f>
        <v/>
      </c>
      <c r="CJ1505">
        <f>IFERROR(IF('월 가계부'!C1505="","",IF(ISNUMBER('월 가계부'!C1505),'월 가계부'!C1505,VALUE(SUBSTITUTE(SUBSTITUTE(SUBSTITUTE(SUBSTITUTE(TRIM('월 가계부'!C1505),",",""),"원","")," ",""),"−","-")))),"")</f>
        <v/>
      </c>
      <c r="CK1505">
        <f>IF(ISNUMBER(CI1505),IF(CI1505&lt;$B$13,CI1505,""),"")</f>
        <v/>
      </c>
      <c r="CM1505">
        <f>IF(CH1505="","",IFERROR(IF(IF(AND(LEN(CH1505)=9,ISERROR(FIND("-",LEFT(CH1505,8))),ISNUMBER(-LEFT(CH1505,8))),VALUE(LEFT(CH1505,4)),VALUE(LEFT(CH1505,FIND("-",CH1505)-1)))&lt;100,IF(AND(LEN(CH1505)=9,ISERROR(FIND("-",LEFT(CH1505,8))),ISNUMBER(-LEFT(CH1505,8))),VALUE(LEFT(CH1505,4)),VALUE(LEFT(CH1505,FIND("-",CH1505)-1)))+2000,IF(AND(LEN(CH1505)=9,ISERROR(FIND("-",LEFT(CH1505,8))),ISNUMBER(-LEFT(CH1505,8))),VALUE(LEFT(CH1505,4)),VALUE(LEFT(CH1505,FIND("-",CH1505)-1)))),""))</f>
        <v/>
      </c>
      <c r="CN1505">
        <f>IF(CH1505="","",IFERROR(IF(AND(LEN(CH1505)=9,ISERROR(FIND("-",LEFT(CH1505,8))),ISNUMBER(-LEFT(CH1505,8))),VALUE(MID(CH1505,5,2)),VALUE(MID(CH1505,FIND("-",CH1505)+1,FIND("-",CH1505,FIND("-",CH1505)+1)-FIND("-",CH1505)-1))),""))</f>
        <v/>
      </c>
      <c r="CO1505">
        <f>IF(CH1505="","",IFERROR(IF(AND(LEN(CH1505)=9,ISERROR(FIND("-",LEFT(CH1505,8))),ISNUMBER(-LEFT(CH1505,8))),VALUE(MID(CH1505,7,2)),VALUE(MID(CH1505,FIND("-",CH1505,FIND("-",CH1505)+1)+1,FIND("-",CH1505,FIND("-",CH1505,FIND("-",CH1505)+1)+1)-FIND("-",CH1505,FIND("-",CH1505)+1)-1))),""))</f>
        <v/>
      </c>
    </row>
    <row r="1506">
      <c r="CH1506">
        <f>IF(ISTEXT('월 가계부'!A1506),SUBSTITUTE(SUBSTITUTE(SUBSTITUTE(SUBSTITUTE(SUBSTITUTE(SUBSTITUTE(SUBSTITUTE(SUBSTITUTE(SUBSTITUTE(TRIM('월 가계부'!A1506),"년","-"),"월","-"),"일",""),".","-"),"/","-")," ","-"),"--","-"),"--","-"),"--","-")&amp;"-","")</f>
        <v/>
      </c>
      <c r="CI1506">
        <f>IFERROR(IF('월 가계부'!A1506="","",IF(ISNUMBER('월 가계부'!A1506),IF(AND('월 가계부'!A1506&gt;=19000101,'월 가계부'!A1506&lt;=21001231),IF(AND(MOD(INT('월 가계부'!A1506/100),100)&gt;=1,MOD(INT('월 가계부'!A1506/100),100)&lt;=12,MOD(INT('월 가계부'!A1506),100)&gt;=1,MOD(INT('월 가계부'!A1506),100)&lt;=31),IF(MONTH(DATE(INT('월 가계부'!A1506/10000),MOD(INT('월 가계부'!A1506/100),100),MOD(INT('월 가계부'!A1506),100)))=MOD(INT('월 가계부'!A1506/100),100),DATE(INT('월 가계부'!A1506/10000),MOD(INT('월 가계부'!A1506/100),100),MOD(INT('월 가계부'!A1506),100)),""),""),IF(AND('월 가계부'!A1506&gt;=36526,'월 가계부'!A1506&lt;73051),INT('월 가계부'!A1506),"")),IF(OR(CM1506="",CN1506="",CO1506=""),"",IF(AND(CM1506&gt;=2000,CM1506&lt;=2099,CN1506&gt;=1,CN1506&lt;=12,CO1506&gt;=1,CO1506&lt;=31),IF(MONTH(DATE(CM1506,CN1506,CO1506))=CN1506,DATE(CM1506,CN1506,CO1506),""),"")))),"")</f>
        <v/>
      </c>
      <c r="CJ1506">
        <f>IFERROR(IF('월 가계부'!C1506="","",IF(ISNUMBER('월 가계부'!C1506),'월 가계부'!C1506,VALUE(SUBSTITUTE(SUBSTITUTE(SUBSTITUTE(SUBSTITUTE(TRIM('월 가계부'!C1506),",",""),"원","")," ",""),"−","-")))),"")</f>
        <v/>
      </c>
      <c r="CK1506">
        <f>IF(ISNUMBER(CI1506),IF(CI1506&lt;$B$13,CI1506,""),"")</f>
        <v/>
      </c>
      <c r="CM1506">
        <f>IF(CH1506="","",IFERROR(IF(IF(AND(LEN(CH1506)=9,ISERROR(FIND("-",LEFT(CH1506,8))),ISNUMBER(-LEFT(CH1506,8))),VALUE(LEFT(CH1506,4)),VALUE(LEFT(CH1506,FIND("-",CH1506)-1)))&lt;100,IF(AND(LEN(CH1506)=9,ISERROR(FIND("-",LEFT(CH1506,8))),ISNUMBER(-LEFT(CH1506,8))),VALUE(LEFT(CH1506,4)),VALUE(LEFT(CH1506,FIND("-",CH1506)-1)))+2000,IF(AND(LEN(CH1506)=9,ISERROR(FIND("-",LEFT(CH1506,8))),ISNUMBER(-LEFT(CH1506,8))),VALUE(LEFT(CH1506,4)),VALUE(LEFT(CH1506,FIND("-",CH1506)-1)))),""))</f>
        <v/>
      </c>
      <c r="CN1506">
        <f>IF(CH1506="","",IFERROR(IF(AND(LEN(CH1506)=9,ISERROR(FIND("-",LEFT(CH1506,8))),ISNUMBER(-LEFT(CH1506,8))),VALUE(MID(CH1506,5,2)),VALUE(MID(CH1506,FIND("-",CH1506)+1,FIND("-",CH1506,FIND("-",CH1506)+1)-FIND("-",CH1506)-1))),""))</f>
        <v/>
      </c>
      <c r="CO1506">
        <f>IF(CH1506="","",IFERROR(IF(AND(LEN(CH1506)=9,ISERROR(FIND("-",LEFT(CH1506,8))),ISNUMBER(-LEFT(CH1506,8))),VALUE(MID(CH1506,7,2)),VALUE(MID(CH1506,FIND("-",CH1506,FIND("-",CH1506)+1)+1,FIND("-",CH1506,FIND("-",CH1506,FIND("-",CH1506)+1)+1)-FIND("-",CH1506,FIND("-",CH1506)+1)-1))),""))</f>
        <v/>
      </c>
    </row>
    <row r="1507">
      <c r="CH1507">
        <f>IF(ISTEXT('월 가계부'!A1507),SUBSTITUTE(SUBSTITUTE(SUBSTITUTE(SUBSTITUTE(SUBSTITUTE(SUBSTITUTE(SUBSTITUTE(SUBSTITUTE(SUBSTITUTE(TRIM('월 가계부'!A1507),"년","-"),"월","-"),"일",""),".","-"),"/","-")," ","-"),"--","-"),"--","-"),"--","-")&amp;"-","")</f>
        <v/>
      </c>
      <c r="CI1507">
        <f>IFERROR(IF('월 가계부'!A1507="","",IF(ISNUMBER('월 가계부'!A1507),IF(AND('월 가계부'!A1507&gt;=19000101,'월 가계부'!A1507&lt;=21001231),IF(AND(MOD(INT('월 가계부'!A1507/100),100)&gt;=1,MOD(INT('월 가계부'!A1507/100),100)&lt;=12,MOD(INT('월 가계부'!A1507),100)&gt;=1,MOD(INT('월 가계부'!A1507),100)&lt;=31),IF(MONTH(DATE(INT('월 가계부'!A1507/10000),MOD(INT('월 가계부'!A1507/100),100),MOD(INT('월 가계부'!A1507),100)))=MOD(INT('월 가계부'!A1507/100),100),DATE(INT('월 가계부'!A1507/10000),MOD(INT('월 가계부'!A1507/100),100),MOD(INT('월 가계부'!A1507),100)),""),""),IF(AND('월 가계부'!A1507&gt;=36526,'월 가계부'!A1507&lt;73051),INT('월 가계부'!A1507),"")),IF(OR(CM1507="",CN1507="",CO1507=""),"",IF(AND(CM1507&gt;=2000,CM1507&lt;=2099,CN1507&gt;=1,CN1507&lt;=12,CO1507&gt;=1,CO1507&lt;=31),IF(MONTH(DATE(CM1507,CN1507,CO1507))=CN1507,DATE(CM1507,CN1507,CO1507),""),"")))),"")</f>
        <v/>
      </c>
      <c r="CJ1507">
        <f>IFERROR(IF('월 가계부'!C1507="","",IF(ISNUMBER('월 가계부'!C1507),'월 가계부'!C1507,VALUE(SUBSTITUTE(SUBSTITUTE(SUBSTITUTE(SUBSTITUTE(TRIM('월 가계부'!C1507),",",""),"원","")," ",""),"−","-")))),"")</f>
        <v/>
      </c>
      <c r="CK1507">
        <f>IF(ISNUMBER(CI1507),IF(CI1507&lt;$B$13,CI1507,""),"")</f>
        <v/>
      </c>
      <c r="CM1507">
        <f>IF(CH1507="","",IFERROR(IF(IF(AND(LEN(CH1507)=9,ISERROR(FIND("-",LEFT(CH1507,8))),ISNUMBER(-LEFT(CH1507,8))),VALUE(LEFT(CH1507,4)),VALUE(LEFT(CH1507,FIND("-",CH1507)-1)))&lt;100,IF(AND(LEN(CH1507)=9,ISERROR(FIND("-",LEFT(CH1507,8))),ISNUMBER(-LEFT(CH1507,8))),VALUE(LEFT(CH1507,4)),VALUE(LEFT(CH1507,FIND("-",CH1507)-1)))+2000,IF(AND(LEN(CH1507)=9,ISERROR(FIND("-",LEFT(CH1507,8))),ISNUMBER(-LEFT(CH1507,8))),VALUE(LEFT(CH1507,4)),VALUE(LEFT(CH1507,FIND("-",CH1507)-1)))),""))</f>
        <v/>
      </c>
      <c r="CN1507">
        <f>IF(CH1507="","",IFERROR(IF(AND(LEN(CH1507)=9,ISERROR(FIND("-",LEFT(CH1507,8))),ISNUMBER(-LEFT(CH1507,8))),VALUE(MID(CH1507,5,2)),VALUE(MID(CH1507,FIND("-",CH1507)+1,FIND("-",CH1507,FIND("-",CH1507)+1)-FIND("-",CH1507)-1))),""))</f>
        <v/>
      </c>
      <c r="CO1507">
        <f>IF(CH1507="","",IFERROR(IF(AND(LEN(CH1507)=9,ISERROR(FIND("-",LEFT(CH1507,8))),ISNUMBER(-LEFT(CH1507,8))),VALUE(MID(CH1507,7,2)),VALUE(MID(CH1507,FIND("-",CH1507,FIND("-",CH1507)+1)+1,FIND("-",CH1507,FIND("-",CH1507,FIND("-",CH1507)+1)+1)-FIND("-",CH1507,FIND("-",CH1507)+1)-1))),""))</f>
        <v/>
      </c>
    </row>
    <row r="1508">
      <c r="CH1508">
        <f>IF(ISTEXT('월 가계부'!A1508),SUBSTITUTE(SUBSTITUTE(SUBSTITUTE(SUBSTITUTE(SUBSTITUTE(SUBSTITUTE(SUBSTITUTE(SUBSTITUTE(SUBSTITUTE(TRIM('월 가계부'!A1508),"년","-"),"월","-"),"일",""),".","-"),"/","-")," ","-"),"--","-"),"--","-"),"--","-")&amp;"-","")</f>
        <v/>
      </c>
      <c r="CI1508">
        <f>IFERROR(IF('월 가계부'!A1508="","",IF(ISNUMBER('월 가계부'!A1508),IF(AND('월 가계부'!A1508&gt;=19000101,'월 가계부'!A1508&lt;=21001231),IF(AND(MOD(INT('월 가계부'!A1508/100),100)&gt;=1,MOD(INT('월 가계부'!A1508/100),100)&lt;=12,MOD(INT('월 가계부'!A1508),100)&gt;=1,MOD(INT('월 가계부'!A1508),100)&lt;=31),IF(MONTH(DATE(INT('월 가계부'!A1508/10000),MOD(INT('월 가계부'!A1508/100),100),MOD(INT('월 가계부'!A1508),100)))=MOD(INT('월 가계부'!A1508/100),100),DATE(INT('월 가계부'!A1508/10000),MOD(INT('월 가계부'!A1508/100),100),MOD(INT('월 가계부'!A1508),100)),""),""),IF(AND('월 가계부'!A1508&gt;=36526,'월 가계부'!A1508&lt;73051),INT('월 가계부'!A1508),"")),IF(OR(CM1508="",CN1508="",CO1508=""),"",IF(AND(CM1508&gt;=2000,CM1508&lt;=2099,CN1508&gt;=1,CN1508&lt;=12,CO1508&gt;=1,CO1508&lt;=31),IF(MONTH(DATE(CM1508,CN1508,CO1508))=CN1508,DATE(CM1508,CN1508,CO1508),""),"")))),"")</f>
        <v/>
      </c>
      <c r="CJ1508">
        <f>IFERROR(IF('월 가계부'!C1508="","",IF(ISNUMBER('월 가계부'!C1508),'월 가계부'!C1508,VALUE(SUBSTITUTE(SUBSTITUTE(SUBSTITUTE(SUBSTITUTE(TRIM('월 가계부'!C1508),",",""),"원","")," ",""),"−","-")))),"")</f>
        <v/>
      </c>
      <c r="CK1508">
        <f>IF(ISNUMBER(CI1508),IF(CI1508&lt;$B$13,CI1508,""),"")</f>
        <v/>
      </c>
      <c r="CM1508">
        <f>IF(CH1508="","",IFERROR(IF(IF(AND(LEN(CH1508)=9,ISERROR(FIND("-",LEFT(CH1508,8))),ISNUMBER(-LEFT(CH1508,8))),VALUE(LEFT(CH1508,4)),VALUE(LEFT(CH1508,FIND("-",CH1508)-1)))&lt;100,IF(AND(LEN(CH1508)=9,ISERROR(FIND("-",LEFT(CH1508,8))),ISNUMBER(-LEFT(CH1508,8))),VALUE(LEFT(CH1508,4)),VALUE(LEFT(CH1508,FIND("-",CH1508)-1)))+2000,IF(AND(LEN(CH1508)=9,ISERROR(FIND("-",LEFT(CH1508,8))),ISNUMBER(-LEFT(CH1508,8))),VALUE(LEFT(CH1508,4)),VALUE(LEFT(CH1508,FIND("-",CH1508)-1)))),""))</f>
        <v/>
      </c>
      <c r="CN1508">
        <f>IF(CH1508="","",IFERROR(IF(AND(LEN(CH1508)=9,ISERROR(FIND("-",LEFT(CH1508,8))),ISNUMBER(-LEFT(CH1508,8))),VALUE(MID(CH1508,5,2)),VALUE(MID(CH1508,FIND("-",CH1508)+1,FIND("-",CH1508,FIND("-",CH1508)+1)-FIND("-",CH1508)-1))),""))</f>
        <v/>
      </c>
      <c r="CO1508">
        <f>IF(CH1508="","",IFERROR(IF(AND(LEN(CH1508)=9,ISERROR(FIND("-",LEFT(CH1508,8))),ISNUMBER(-LEFT(CH1508,8))),VALUE(MID(CH1508,7,2)),VALUE(MID(CH1508,FIND("-",CH1508,FIND("-",CH1508)+1)+1,FIND("-",CH1508,FIND("-",CH1508,FIND("-",CH1508)+1)+1)-FIND("-",CH1508,FIND("-",CH1508)+1)-1))),""))</f>
        <v/>
      </c>
    </row>
    <row r="1509">
      <c r="CH1509">
        <f>IF(ISTEXT('월 가계부'!A1509),SUBSTITUTE(SUBSTITUTE(SUBSTITUTE(SUBSTITUTE(SUBSTITUTE(SUBSTITUTE(SUBSTITUTE(SUBSTITUTE(SUBSTITUTE(TRIM('월 가계부'!A1509),"년","-"),"월","-"),"일",""),".","-"),"/","-")," ","-"),"--","-"),"--","-"),"--","-")&amp;"-","")</f>
        <v/>
      </c>
      <c r="CI1509">
        <f>IFERROR(IF('월 가계부'!A1509="","",IF(ISNUMBER('월 가계부'!A1509),IF(AND('월 가계부'!A1509&gt;=19000101,'월 가계부'!A1509&lt;=21001231),IF(AND(MOD(INT('월 가계부'!A1509/100),100)&gt;=1,MOD(INT('월 가계부'!A1509/100),100)&lt;=12,MOD(INT('월 가계부'!A1509),100)&gt;=1,MOD(INT('월 가계부'!A1509),100)&lt;=31),IF(MONTH(DATE(INT('월 가계부'!A1509/10000),MOD(INT('월 가계부'!A1509/100),100),MOD(INT('월 가계부'!A1509),100)))=MOD(INT('월 가계부'!A1509/100),100),DATE(INT('월 가계부'!A1509/10000),MOD(INT('월 가계부'!A1509/100),100),MOD(INT('월 가계부'!A1509),100)),""),""),IF(AND('월 가계부'!A1509&gt;=36526,'월 가계부'!A1509&lt;73051),INT('월 가계부'!A1509),"")),IF(OR(CM1509="",CN1509="",CO1509=""),"",IF(AND(CM1509&gt;=2000,CM1509&lt;=2099,CN1509&gt;=1,CN1509&lt;=12,CO1509&gt;=1,CO1509&lt;=31),IF(MONTH(DATE(CM1509,CN1509,CO1509))=CN1509,DATE(CM1509,CN1509,CO1509),""),"")))),"")</f>
        <v/>
      </c>
      <c r="CJ1509">
        <f>IFERROR(IF('월 가계부'!C1509="","",IF(ISNUMBER('월 가계부'!C1509),'월 가계부'!C1509,VALUE(SUBSTITUTE(SUBSTITUTE(SUBSTITUTE(SUBSTITUTE(TRIM('월 가계부'!C1509),",",""),"원","")," ",""),"−","-")))),"")</f>
        <v/>
      </c>
      <c r="CK1509">
        <f>IF(ISNUMBER(CI1509),IF(CI1509&lt;$B$13,CI1509,""),"")</f>
        <v/>
      </c>
      <c r="CM1509">
        <f>IF(CH1509="","",IFERROR(IF(IF(AND(LEN(CH1509)=9,ISERROR(FIND("-",LEFT(CH1509,8))),ISNUMBER(-LEFT(CH1509,8))),VALUE(LEFT(CH1509,4)),VALUE(LEFT(CH1509,FIND("-",CH1509)-1)))&lt;100,IF(AND(LEN(CH1509)=9,ISERROR(FIND("-",LEFT(CH1509,8))),ISNUMBER(-LEFT(CH1509,8))),VALUE(LEFT(CH1509,4)),VALUE(LEFT(CH1509,FIND("-",CH1509)-1)))+2000,IF(AND(LEN(CH1509)=9,ISERROR(FIND("-",LEFT(CH1509,8))),ISNUMBER(-LEFT(CH1509,8))),VALUE(LEFT(CH1509,4)),VALUE(LEFT(CH1509,FIND("-",CH1509)-1)))),""))</f>
        <v/>
      </c>
      <c r="CN1509">
        <f>IF(CH1509="","",IFERROR(IF(AND(LEN(CH1509)=9,ISERROR(FIND("-",LEFT(CH1509,8))),ISNUMBER(-LEFT(CH1509,8))),VALUE(MID(CH1509,5,2)),VALUE(MID(CH1509,FIND("-",CH1509)+1,FIND("-",CH1509,FIND("-",CH1509)+1)-FIND("-",CH1509)-1))),""))</f>
        <v/>
      </c>
      <c r="CO1509">
        <f>IF(CH1509="","",IFERROR(IF(AND(LEN(CH1509)=9,ISERROR(FIND("-",LEFT(CH1509,8))),ISNUMBER(-LEFT(CH1509,8))),VALUE(MID(CH1509,7,2)),VALUE(MID(CH1509,FIND("-",CH1509,FIND("-",CH1509)+1)+1,FIND("-",CH1509,FIND("-",CH1509,FIND("-",CH1509)+1)+1)-FIND("-",CH1509,FIND("-",CH1509)+1)-1))),""))</f>
        <v/>
      </c>
    </row>
    <row r="1510">
      <c r="CH1510">
        <f>IF(ISTEXT('월 가계부'!A1510),SUBSTITUTE(SUBSTITUTE(SUBSTITUTE(SUBSTITUTE(SUBSTITUTE(SUBSTITUTE(SUBSTITUTE(SUBSTITUTE(SUBSTITUTE(TRIM('월 가계부'!A1510),"년","-"),"월","-"),"일",""),".","-"),"/","-")," ","-"),"--","-"),"--","-"),"--","-")&amp;"-","")</f>
        <v/>
      </c>
      <c r="CI1510">
        <f>IFERROR(IF('월 가계부'!A1510="","",IF(ISNUMBER('월 가계부'!A1510),IF(AND('월 가계부'!A1510&gt;=19000101,'월 가계부'!A1510&lt;=21001231),IF(AND(MOD(INT('월 가계부'!A1510/100),100)&gt;=1,MOD(INT('월 가계부'!A1510/100),100)&lt;=12,MOD(INT('월 가계부'!A1510),100)&gt;=1,MOD(INT('월 가계부'!A1510),100)&lt;=31),IF(MONTH(DATE(INT('월 가계부'!A1510/10000),MOD(INT('월 가계부'!A1510/100),100),MOD(INT('월 가계부'!A1510),100)))=MOD(INT('월 가계부'!A1510/100),100),DATE(INT('월 가계부'!A1510/10000),MOD(INT('월 가계부'!A1510/100),100),MOD(INT('월 가계부'!A1510),100)),""),""),IF(AND('월 가계부'!A1510&gt;=36526,'월 가계부'!A1510&lt;73051),INT('월 가계부'!A1510),"")),IF(OR(CM1510="",CN1510="",CO1510=""),"",IF(AND(CM1510&gt;=2000,CM1510&lt;=2099,CN1510&gt;=1,CN1510&lt;=12,CO1510&gt;=1,CO1510&lt;=31),IF(MONTH(DATE(CM1510,CN1510,CO1510))=CN1510,DATE(CM1510,CN1510,CO1510),""),"")))),"")</f>
        <v/>
      </c>
      <c r="CJ1510">
        <f>IFERROR(IF('월 가계부'!C1510="","",IF(ISNUMBER('월 가계부'!C1510),'월 가계부'!C1510,VALUE(SUBSTITUTE(SUBSTITUTE(SUBSTITUTE(SUBSTITUTE(TRIM('월 가계부'!C1510),",",""),"원","")," ",""),"−","-")))),"")</f>
        <v/>
      </c>
      <c r="CK1510">
        <f>IF(ISNUMBER(CI1510),IF(CI1510&lt;$B$13,CI1510,""),"")</f>
        <v/>
      </c>
      <c r="CM1510">
        <f>IF(CH1510="","",IFERROR(IF(IF(AND(LEN(CH1510)=9,ISERROR(FIND("-",LEFT(CH1510,8))),ISNUMBER(-LEFT(CH1510,8))),VALUE(LEFT(CH1510,4)),VALUE(LEFT(CH1510,FIND("-",CH1510)-1)))&lt;100,IF(AND(LEN(CH1510)=9,ISERROR(FIND("-",LEFT(CH1510,8))),ISNUMBER(-LEFT(CH1510,8))),VALUE(LEFT(CH1510,4)),VALUE(LEFT(CH1510,FIND("-",CH1510)-1)))+2000,IF(AND(LEN(CH1510)=9,ISERROR(FIND("-",LEFT(CH1510,8))),ISNUMBER(-LEFT(CH1510,8))),VALUE(LEFT(CH1510,4)),VALUE(LEFT(CH1510,FIND("-",CH1510)-1)))),""))</f>
        <v/>
      </c>
      <c r="CN1510">
        <f>IF(CH1510="","",IFERROR(IF(AND(LEN(CH1510)=9,ISERROR(FIND("-",LEFT(CH1510,8))),ISNUMBER(-LEFT(CH1510,8))),VALUE(MID(CH1510,5,2)),VALUE(MID(CH1510,FIND("-",CH1510)+1,FIND("-",CH1510,FIND("-",CH1510)+1)-FIND("-",CH1510)-1))),""))</f>
        <v/>
      </c>
      <c r="CO1510">
        <f>IF(CH1510="","",IFERROR(IF(AND(LEN(CH1510)=9,ISERROR(FIND("-",LEFT(CH1510,8))),ISNUMBER(-LEFT(CH1510,8))),VALUE(MID(CH1510,7,2)),VALUE(MID(CH1510,FIND("-",CH1510,FIND("-",CH1510)+1)+1,FIND("-",CH1510,FIND("-",CH1510,FIND("-",CH1510)+1)+1)-FIND("-",CH1510,FIND("-",CH1510)+1)-1))),""))</f>
        <v/>
      </c>
    </row>
    <row r="1511">
      <c r="CH1511">
        <f>IF(ISTEXT('월 가계부'!A1511),SUBSTITUTE(SUBSTITUTE(SUBSTITUTE(SUBSTITUTE(SUBSTITUTE(SUBSTITUTE(SUBSTITUTE(SUBSTITUTE(SUBSTITUTE(TRIM('월 가계부'!A1511),"년","-"),"월","-"),"일",""),".","-"),"/","-")," ","-"),"--","-"),"--","-"),"--","-")&amp;"-","")</f>
        <v/>
      </c>
      <c r="CI1511">
        <f>IFERROR(IF('월 가계부'!A1511="","",IF(ISNUMBER('월 가계부'!A1511),IF(AND('월 가계부'!A1511&gt;=19000101,'월 가계부'!A1511&lt;=21001231),IF(AND(MOD(INT('월 가계부'!A1511/100),100)&gt;=1,MOD(INT('월 가계부'!A1511/100),100)&lt;=12,MOD(INT('월 가계부'!A1511),100)&gt;=1,MOD(INT('월 가계부'!A1511),100)&lt;=31),IF(MONTH(DATE(INT('월 가계부'!A1511/10000),MOD(INT('월 가계부'!A1511/100),100),MOD(INT('월 가계부'!A1511),100)))=MOD(INT('월 가계부'!A1511/100),100),DATE(INT('월 가계부'!A1511/10000),MOD(INT('월 가계부'!A1511/100),100),MOD(INT('월 가계부'!A1511),100)),""),""),IF(AND('월 가계부'!A1511&gt;=36526,'월 가계부'!A1511&lt;73051),INT('월 가계부'!A1511),"")),IF(OR(CM1511="",CN1511="",CO1511=""),"",IF(AND(CM1511&gt;=2000,CM1511&lt;=2099,CN1511&gt;=1,CN1511&lt;=12,CO1511&gt;=1,CO1511&lt;=31),IF(MONTH(DATE(CM1511,CN1511,CO1511))=CN1511,DATE(CM1511,CN1511,CO1511),""),"")))),"")</f>
        <v/>
      </c>
      <c r="CJ1511">
        <f>IFERROR(IF('월 가계부'!C1511="","",IF(ISNUMBER('월 가계부'!C1511),'월 가계부'!C1511,VALUE(SUBSTITUTE(SUBSTITUTE(SUBSTITUTE(SUBSTITUTE(TRIM('월 가계부'!C1511),",",""),"원","")," ",""),"−","-")))),"")</f>
        <v/>
      </c>
      <c r="CK1511">
        <f>IF(ISNUMBER(CI1511),IF(CI1511&lt;$B$13,CI1511,""),"")</f>
        <v/>
      </c>
      <c r="CM1511">
        <f>IF(CH1511="","",IFERROR(IF(IF(AND(LEN(CH1511)=9,ISERROR(FIND("-",LEFT(CH1511,8))),ISNUMBER(-LEFT(CH1511,8))),VALUE(LEFT(CH1511,4)),VALUE(LEFT(CH1511,FIND("-",CH1511)-1)))&lt;100,IF(AND(LEN(CH1511)=9,ISERROR(FIND("-",LEFT(CH1511,8))),ISNUMBER(-LEFT(CH1511,8))),VALUE(LEFT(CH1511,4)),VALUE(LEFT(CH1511,FIND("-",CH1511)-1)))+2000,IF(AND(LEN(CH1511)=9,ISERROR(FIND("-",LEFT(CH1511,8))),ISNUMBER(-LEFT(CH1511,8))),VALUE(LEFT(CH1511,4)),VALUE(LEFT(CH1511,FIND("-",CH1511)-1)))),""))</f>
        <v/>
      </c>
      <c r="CN1511">
        <f>IF(CH1511="","",IFERROR(IF(AND(LEN(CH1511)=9,ISERROR(FIND("-",LEFT(CH1511,8))),ISNUMBER(-LEFT(CH1511,8))),VALUE(MID(CH1511,5,2)),VALUE(MID(CH1511,FIND("-",CH1511)+1,FIND("-",CH1511,FIND("-",CH1511)+1)-FIND("-",CH1511)-1))),""))</f>
        <v/>
      </c>
      <c r="CO1511">
        <f>IF(CH1511="","",IFERROR(IF(AND(LEN(CH1511)=9,ISERROR(FIND("-",LEFT(CH1511,8))),ISNUMBER(-LEFT(CH1511,8))),VALUE(MID(CH1511,7,2)),VALUE(MID(CH1511,FIND("-",CH1511,FIND("-",CH1511)+1)+1,FIND("-",CH1511,FIND("-",CH1511,FIND("-",CH1511)+1)+1)-FIND("-",CH1511,FIND("-",CH1511)+1)-1))),""))</f>
        <v/>
      </c>
    </row>
    <row r="1512">
      <c r="CH1512">
        <f>IF(ISTEXT('월 가계부'!A1512),SUBSTITUTE(SUBSTITUTE(SUBSTITUTE(SUBSTITUTE(SUBSTITUTE(SUBSTITUTE(SUBSTITUTE(SUBSTITUTE(SUBSTITUTE(TRIM('월 가계부'!A1512),"년","-"),"월","-"),"일",""),".","-"),"/","-")," ","-"),"--","-"),"--","-"),"--","-")&amp;"-","")</f>
        <v/>
      </c>
      <c r="CI1512">
        <f>IFERROR(IF('월 가계부'!A1512="","",IF(ISNUMBER('월 가계부'!A1512),IF(AND('월 가계부'!A1512&gt;=19000101,'월 가계부'!A1512&lt;=21001231),IF(AND(MOD(INT('월 가계부'!A1512/100),100)&gt;=1,MOD(INT('월 가계부'!A1512/100),100)&lt;=12,MOD(INT('월 가계부'!A1512),100)&gt;=1,MOD(INT('월 가계부'!A1512),100)&lt;=31),IF(MONTH(DATE(INT('월 가계부'!A1512/10000),MOD(INT('월 가계부'!A1512/100),100),MOD(INT('월 가계부'!A1512),100)))=MOD(INT('월 가계부'!A1512/100),100),DATE(INT('월 가계부'!A1512/10000),MOD(INT('월 가계부'!A1512/100),100),MOD(INT('월 가계부'!A1512),100)),""),""),IF(AND('월 가계부'!A1512&gt;=36526,'월 가계부'!A1512&lt;73051),INT('월 가계부'!A1512),"")),IF(OR(CM1512="",CN1512="",CO1512=""),"",IF(AND(CM1512&gt;=2000,CM1512&lt;=2099,CN1512&gt;=1,CN1512&lt;=12,CO1512&gt;=1,CO1512&lt;=31),IF(MONTH(DATE(CM1512,CN1512,CO1512))=CN1512,DATE(CM1512,CN1512,CO1512),""),"")))),"")</f>
        <v/>
      </c>
      <c r="CJ1512">
        <f>IFERROR(IF('월 가계부'!C1512="","",IF(ISNUMBER('월 가계부'!C1512),'월 가계부'!C1512,VALUE(SUBSTITUTE(SUBSTITUTE(SUBSTITUTE(SUBSTITUTE(TRIM('월 가계부'!C1512),",",""),"원","")," ",""),"−","-")))),"")</f>
        <v/>
      </c>
      <c r="CK1512">
        <f>IF(ISNUMBER(CI1512),IF(CI1512&lt;$B$13,CI1512,""),"")</f>
        <v/>
      </c>
      <c r="CM1512">
        <f>IF(CH1512="","",IFERROR(IF(IF(AND(LEN(CH1512)=9,ISERROR(FIND("-",LEFT(CH1512,8))),ISNUMBER(-LEFT(CH1512,8))),VALUE(LEFT(CH1512,4)),VALUE(LEFT(CH1512,FIND("-",CH1512)-1)))&lt;100,IF(AND(LEN(CH1512)=9,ISERROR(FIND("-",LEFT(CH1512,8))),ISNUMBER(-LEFT(CH1512,8))),VALUE(LEFT(CH1512,4)),VALUE(LEFT(CH1512,FIND("-",CH1512)-1)))+2000,IF(AND(LEN(CH1512)=9,ISERROR(FIND("-",LEFT(CH1512,8))),ISNUMBER(-LEFT(CH1512,8))),VALUE(LEFT(CH1512,4)),VALUE(LEFT(CH1512,FIND("-",CH1512)-1)))),""))</f>
        <v/>
      </c>
      <c r="CN1512">
        <f>IF(CH1512="","",IFERROR(IF(AND(LEN(CH1512)=9,ISERROR(FIND("-",LEFT(CH1512,8))),ISNUMBER(-LEFT(CH1512,8))),VALUE(MID(CH1512,5,2)),VALUE(MID(CH1512,FIND("-",CH1512)+1,FIND("-",CH1512,FIND("-",CH1512)+1)-FIND("-",CH1512)-1))),""))</f>
        <v/>
      </c>
      <c r="CO1512">
        <f>IF(CH1512="","",IFERROR(IF(AND(LEN(CH1512)=9,ISERROR(FIND("-",LEFT(CH1512,8))),ISNUMBER(-LEFT(CH1512,8))),VALUE(MID(CH1512,7,2)),VALUE(MID(CH1512,FIND("-",CH1512,FIND("-",CH1512)+1)+1,FIND("-",CH1512,FIND("-",CH1512,FIND("-",CH1512)+1)+1)-FIND("-",CH1512,FIND("-",CH1512)+1)-1))),""))</f>
        <v/>
      </c>
    </row>
    <row r="1513">
      <c r="CH1513">
        <f>IF(ISTEXT('월 가계부'!A1513),SUBSTITUTE(SUBSTITUTE(SUBSTITUTE(SUBSTITUTE(SUBSTITUTE(SUBSTITUTE(SUBSTITUTE(SUBSTITUTE(SUBSTITUTE(TRIM('월 가계부'!A1513),"년","-"),"월","-"),"일",""),".","-"),"/","-")," ","-"),"--","-"),"--","-"),"--","-")&amp;"-","")</f>
        <v/>
      </c>
      <c r="CI1513">
        <f>IFERROR(IF('월 가계부'!A1513="","",IF(ISNUMBER('월 가계부'!A1513),IF(AND('월 가계부'!A1513&gt;=19000101,'월 가계부'!A1513&lt;=21001231),IF(AND(MOD(INT('월 가계부'!A1513/100),100)&gt;=1,MOD(INT('월 가계부'!A1513/100),100)&lt;=12,MOD(INT('월 가계부'!A1513),100)&gt;=1,MOD(INT('월 가계부'!A1513),100)&lt;=31),IF(MONTH(DATE(INT('월 가계부'!A1513/10000),MOD(INT('월 가계부'!A1513/100),100),MOD(INT('월 가계부'!A1513),100)))=MOD(INT('월 가계부'!A1513/100),100),DATE(INT('월 가계부'!A1513/10000),MOD(INT('월 가계부'!A1513/100),100),MOD(INT('월 가계부'!A1513),100)),""),""),IF(AND('월 가계부'!A1513&gt;=36526,'월 가계부'!A1513&lt;73051),INT('월 가계부'!A1513),"")),IF(OR(CM1513="",CN1513="",CO1513=""),"",IF(AND(CM1513&gt;=2000,CM1513&lt;=2099,CN1513&gt;=1,CN1513&lt;=12,CO1513&gt;=1,CO1513&lt;=31),IF(MONTH(DATE(CM1513,CN1513,CO1513))=CN1513,DATE(CM1513,CN1513,CO1513),""),"")))),"")</f>
        <v/>
      </c>
      <c r="CJ1513">
        <f>IFERROR(IF('월 가계부'!C1513="","",IF(ISNUMBER('월 가계부'!C1513),'월 가계부'!C1513,VALUE(SUBSTITUTE(SUBSTITUTE(SUBSTITUTE(SUBSTITUTE(TRIM('월 가계부'!C1513),",",""),"원","")," ",""),"−","-")))),"")</f>
        <v/>
      </c>
      <c r="CK1513">
        <f>IF(ISNUMBER(CI1513),IF(CI1513&lt;$B$13,CI1513,""),"")</f>
        <v/>
      </c>
      <c r="CM1513">
        <f>IF(CH1513="","",IFERROR(IF(IF(AND(LEN(CH1513)=9,ISERROR(FIND("-",LEFT(CH1513,8))),ISNUMBER(-LEFT(CH1513,8))),VALUE(LEFT(CH1513,4)),VALUE(LEFT(CH1513,FIND("-",CH1513)-1)))&lt;100,IF(AND(LEN(CH1513)=9,ISERROR(FIND("-",LEFT(CH1513,8))),ISNUMBER(-LEFT(CH1513,8))),VALUE(LEFT(CH1513,4)),VALUE(LEFT(CH1513,FIND("-",CH1513)-1)))+2000,IF(AND(LEN(CH1513)=9,ISERROR(FIND("-",LEFT(CH1513,8))),ISNUMBER(-LEFT(CH1513,8))),VALUE(LEFT(CH1513,4)),VALUE(LEFT(CH1513,FIND("-",CH1513)-1)))),""))</f>
        <v/>
      </c>
      <c r="CN1513">
        <f>IF(CH1513="","",IFERROR(IF(AND(LEN(CH1513)=9,ISERROR(FIND("-",LEFT(CH1513,8))),ISNUMBER(-LEFT(CH1513,8))),VALUE(MID(CH1513,5,2)),VALUE(MID(CH1513,FIND("-",CH1513)+1,FIND("-",CH1513,FIND("-",CH1513)+1)-FIND("-",CH1513)-1))),""))</f>
        <v/>
      </c>
      <c r="CO1513">
        <f>IF(CH1513="","",IFERROR(IF(AND(LEN(CH1513)=9,ISERROR(FIND("-",LEFT(CH1513,8))),ISNUMBER(-LEFT(CH1513,8))),VALUE(MID(CH1513,7,2)),VALUE(MID(CH1513,FIND("-",CH1513,FIND("-",CH1513)+1)+1,FIND("-",CH1513,FIND("-",CH1513,FIND("-",CH1513)+1)+1)-FIND("-",CH1513,FIND("-",CH1513)+1)-1))),""))</f>
        <v/>
      </c>
    </row>
    <row r="1514">
      <c r="CH1514">
        <f>IF(ISTEXT('월 가계부'!A1514),SUBSTITUTE(SUBSTITUTE(SUBSTITUTE(SUBSTITUTE(SUBSTITUTE(SUBSTITUTE(SUBSTITUTE(SUBSTITUTE(SUBSTITUTE(TRIM('월 가계부'!A1514),"년","-"),"월","-"),"일",""),".","-"),"/","-")," ","-"),"--","-"),"--","-"),"--","-")&amp;"-","")</f>
        <v/>
      </c>
      <c r="CI1514">
        <f>IFERROR(IF('월 가계부'!A1514="","",IF(ISNUMBER('월 가계부'!A1514),IF(AND('월 가계부'!A1514&gt;=19000101,'월 가계부'!A1514&lt;=21001231),IF(AND(MOD(INT('월 가계부'!A1514/100),100)&gt;=1,MOD(INT('월 가계부'!A1514/100),100)&lt;=12,MOD(INT('월 가계부'!A1514),100)&gt;=1,MOD(INT('월 가계부'!A1514),100)&lt;=31),IF(MONTH(DATE(INT('월 가계부'!A1514/10000),MOD(INT('월 가계부'!A1514/100),100),MOD(INT('월 가계부'!A1514),100)))=MOD(INT('월 가계부'!A1514/100),100),DATE(INT('월 가계부'!A1514/10000),MOD(INT('월 가계부'!A1514/100),100),MOD(INT('월 가계부'!A1514),100)),""),""),IF(AND('월 가계부'!A1514&gt;=36526,'월 가계부'!A1514&lt;73051),INT('월 가계부'!A1514),"")),IF(OR(CM1514="",CN1514="",CO1514=""),"",IF(AND(CM1514&gt;=2000,CM1514&lt;=2099,CN1514&gt;=1,CN1514&lt;=12,CO1514&gt;=1,CO1514&lt;=31),IF(MONTH(DATE(CM1514,CN1514,CO1514))=CN1514,DATE(CM1514,CN1514,CO1514),""),"")))),"")</f>
        <v/>
      </c>
      <c r="CJ1514">
        <f>IFERROR(IF('월 가계부'!C1514="","",IF(ISNUMBER('월 가계부'!C1514),'월 가계부'!C1514,VALUE(SUBSTITUTE(SUBSTITUTE(SUBSTITUTE(SUBSTITUTE(TRIM('월 가계부'!C1514),",",""),"원","")," ",""),"−","-")))),"")</f>
        <v/>
      </c>
      <c r="CK1514">
        <f>IF(ISNUMBER(CI1514),IF(CI1514&lt;$B$13,CI1514,""),"")</f>
        <v/>
      </c>
      <c r="CM1514">
        <f>IF(CH1514="","",IFERROR(IF(IF(AND(LEN(CH1514)=9,ISERROR(FIND("-",LEFT(CH1514,8))),ISNUMBER(-LEFT(CH1514,8))),VALUE(LEFT(CH1514,4)),VALUE(LEFT(CH1514,FIND("-",CH1514)-1)))&lt;100,IF(AND(LEN(CH1514)=9,ISERROR(FIND("-",LEFT(CH1514,8))),ISNUMBER(-LEFT(CH1514,8))),VALUE(LEFT(CH1514,4)),VALUE(LEFT(CH1514,FIND("-",CH1514)-1)))+2000,IF(AND(LEN(CH1514)=9,ISERROR(FIND("-",LEFT(CH1514,8))),ISNUMBER(-LEFT(CH1514,8))),VALUE(LEFT(CH1514,4)),VALUE(LEFT(CH1514,FIND("-",CH1514)-1)))),""))</f>
        <v/>
      </c>
      <c r="CN1514">
        <f>IF(CH1514="","",IFERROR(IF(AND(LEN(CH1514)=9,ISERROR(FIND("-",LEFT(CH1514,8))),ISNUMBER(-LEFT(CH1514,8))),VALUE(MID(CH1514,5,2)),VALUE(MID(CH1514,FIND("-",CH1514)+1,FIND("-",CH1514,FIND("-",CH1514)+1)-FIND("-",CH1514)-1))),""))</f>
        <v/>
      </c>
      <c r="CO1514">
        <f>IF(CH1514="","",IFERROR(IF(AND(LEN(CH1514)=9,ISERROR(FIND("-",LEFT(CH1514,8))),ISNUMBER(-LEFT(CH1514,8))),VALUE(MID(CH1514,7,2)),VALUE(MID(CH1514,FIND("-",CH1514,FIND("-",CH1514)+1)+1,FIND("-",CH1514,FIND("-",CH1514,FIND("-",CH1514)+1)+1)-FIND("-",CH1514,FIND("-",CH1514)+1)-1))),""))</f>
        <v/>
      </c>
    </row>
    <row r="1515">
      <c r="CH1515">
        <f>IF(ISTEXT('월 가계부'!A1515),SUBSTITUTE(SUBSTITUTE(SUBSTITUTE(SUBSTITUTE(SUBSTITUTE(SUBSTITUTE(SUBSTITUTE(SUBSTITUTE(SUBSTITUTE(TRIM('월 가계부'!A1515),"년","-"),"월","-"),"일",""),".","-"),"/","-")," ","-"),"--","-"),"--","-"),"--","-")&amp;"-","")</f>
        <v/>
      </c>
      <c r="CI1515">
        <f>IFERROR(IF('월 가계부'!A1515="","",IF(ISNUMBER('월 가계부'!A1515),IF(AND('월 가계부'!A1515&gt;=19000101,'월 가계부'!A1515&lt;=21001231),IF(AND(MOD(INT('월 가계부'!A1515/100),100)&gt;=1,MOD(INT('월 가계부'!A1515/100),100)&lt;=12,MOD(INT('월 가계부'!A1515),100)&gt;=1,MOD(INT('월 가계부'!A1515),100)&lt;=31),IF(MONTH(DATE(INT('월 가계부'!A1515/10000),MOD(INT('월 가계부'!A1515/100),100),MOD(INT('월 가계부'!A1515),100)))=MOD(INT('월 가계부'!A1515/100),100),DATE(INT('월 가계부'!A1515/10000),MOD(INT('월 가계부'!A1515/100),100),MOD(INT('월 가계부'!A1515),100)),""),""),IF(AND('월 가계부'!A1515&gt;=36526,'월 가계부'!A1515&lt;73051),INT('월 가계부'!A1515),"")),IF(OR(CM1515="",CN1515="",CO1515=""),"",IF(AND(CM1515&gt;=2000,CM1515&lt;=2099,CN1515&gt;=1,CN1515&lt;=12,CO1515&gt;=1,CO1515&lt;=31),IF(MONTH(DATE(CM1515,CN1515,CO1515))=CN1515,DATE(CM1515,CN1515,CO1515),""),"")))),"")</f>
        <v/>
      </c>
      <c r="CJ1515">
        <f>IFERROR(IF('월 가계부'!C1515="","",IF(ISNUMBER('월 가계부'!C1515),'월 가계부'!C1515,VALUE(SUBSTITUTE(SUBSTITUTE(SUBSTITUTE(SUBSTITUTE(TRIM('월 가계부'!C1515),",",""),"원","")," ",""),"−","-")))),"")</f>
        <v/>
      </c>
      <c r="CK1515">
        <f>IF(ISNUMBER(CI1515),IF(CI1515&lt;$B$13,CI1515,""),"")</f>
        <v/>
      </c>
      <c r="CM1515">
        <f>IF(CH1515="","",IFERROR(IF(IF(AND(LEN(CH1515)=9,ISERROR(FIND("-",LEFT(CH1515,8))),ISNUMBER(-LEFT(CH1515,8))),VALUE(LEFT(CH1515,4)),VALUE(LEFT(CH1515,FIND("-",CH1515)-1)))&lt;100,IF(AND(LEN(CH1515)=9,ISERROR(FIND("-",LEFT(CH1515,8))),ISNUMBER(-LEFT(CH1515,8))),VALUE(LEFT(CH1515,4)),VALUE(LEFT(CH1515,FIND("-",CH1515)-1)))+2000,IF(AND(LEN(CH1515)=9,ISERROR(FIND("-",LEFT(CH1515,8))),ISNUMBER(-LEFT(CH1515,8))),VALUE(LEFT(CH1515,4)),VALUE(LEFT(CH1515,FIND("-",CH1515)-1)))),""))</f>
        <v/>
      </c>
      <c r="CN1515">
        <f>IF(CH1515="","",IFERROR(IF(AND(LEN(CH1515)=9,ISERROR(FIND("-",LEFT(CH1515,8))),ISNUMBER(-LEFT(CH1515,8))),VALUE(MID(CH1515,5,2)),VALUE(MID(CH1515,FIND("-",CH1515)+1,FIND("-",CH1515,FIND("-",CH1515)+1)-FIND("-",CH1515)-1))),""))</f>
        <v/>
      </c>
      <c r="CO1515">
        <f>IF(CH1515="","",IFERROR(IF(AND(LEN(CH1515)=9,ISERROR(FIND("-",LEFT(CH1515,8))),ISNUMBER(-LEFT(CH1515,8))),VALUE(MID(CH1515,7,2)),VALUE(MID(CH1515,FIND("-",CH1515,FIND("-",CH1515)+1)+1,FIND("-",CH1515,FIND("-",CH1515,FIND("-",CH1515)+1)+1)-FIND("-",CH1515,FIND("-",CH1515)+1)-1))),""))</f>
        <v/>
      </c>
    </row>
    <row r="1516">
      <c r="CH1516">
        <f>IF(ISTEXT('월 가계부'!A1516),SUBSTITUTE(SUBSTITUTE(SUBSTITUTE(SUBSTITUTE(SUBSTITUTE(SUBSTITUTE(SUBSTITUTE(SUBSTITUTE(SUBSTITUTE(TRIM('월 가계부'!A1516),"년","-"),"월","-"),"일",""),".","-"),"/","-")," ","-"),"--","-"),"--","-"),"--","-")&amp;"-","")</f>
        <v/>
      </c>
      <c r="CI1516">
        <f>IFERROR(IF('월 가계부'!A1516="","",IF(ISNUMBER('월 가계부'!A1516),IF(AND('월 가계부'!A1516&gt;=19000101,'월 가계부'!A1516&lt;=21001231),IF(AND(MOD(INT('월 가계부'!A1516/100),100)&gt;=1,MOD(INT('월 가계부'!A1516/100),100)&lt;=12,MOD(INT('월 가계부'!A1516),100)&gt;=1,MOD(INT('월 가계부'!A1516),100)&lt;=31),IF(MONTH(DATE(INT('월 가계부'!A1516/10000),MOD(INT('월 가계부'!A1516/100),100),MOD(INT('월 가계부'!A1516),100)))=MOD(INT('월 가계부'!A1516/100),100),DATE(INT('월 가계부'!A1516/10000),MOD(INT('월 가계부'!A1516/100),100),MOD(INT('월 가계부'!A1516),100)),""),""),IF(AND('월 가계부'!A1516&gt;=36526,'월 가계부'!A1516&lt;73051),INT('월 가계부'!A1516),"")),IF(OR(CM1516="",CN1516="",CO1516=""),"",IF(AND(CM1516&gt;=2000,CM1516&lt;=2099,CN1516&gt;=1,CN1516&lt;=12,CO1516&gt;=1,CO1516&lt;=31),IF(MONTH(DATE(CM1516,CN1516,CO1516))=CN1516,DATE(CM1516,CN1516,CO1516),""),"")))),"")</f>
        <v/>
      </c>
      <c r="CJ1516">
        <f>IFERROR(IF('월 가계부'!C1516="","",IF(ISNUMBER('월 가계부'!C1516),'월 가계부'!C1516,VALUE(SUBSTITUTE(SUBSTITUTE(SUBSTITUTE(SUBSTITUTE(TRIM('월 가계부'!C1516),",",""),"원","")," ",""),"−","-")))),"")</f>
        <v/>
      </c>
      <c r="CK1516">
        <f>IF(ISNUMBER(CI1516),IF(CI1516&lt;$B$13,CI1516,""),"")</f>
        <v/>
      </c>
      <c r="CM1516">
        <f>IF(CH1516="","",IFERROR(IF(IF(AND(LEN(CH1516)=9,ISERROR(FIND("-",LEFT(CH1516,8))),ISNUMBER(-LEFT(CH1516,8))),VALUE(LEFT(CH1516,4)),VALUE(LEFT(CH1516,FIND("-",CH1516)-1)))&lt;100,IF(AND(LEN(CH1516)=9,ISERROR(FIND("-",LEFT(CH1516,8))),ISNUMBER(-LEFT(CH1516,8))),VALUE(LEFT(CH1516,4)),VALUE(LEFT(CH1516,FIND("-",CH1516)-1)))+2000,IF(AND(LEN(CH1516)=9,ISERROR(FIND("-",LEFT(CH1516,8))),ISNUMBER(-LEFT(CH1516,8))),VALUE(LEFT(CH1516,4)),VALUE(LEFT(CH1516,FIND("-",CH1516)-1)))),""))</f>
        <v/>
      </c>
      <c r="CN1516">
        <f>IF(CH1516="","",IFERROR(IF(AND(LEN(CH1516)=9,ISERROR(FIND("-",LEFT(CH1516,8))),ISNUMBER(-LEFT(CH1516,8))),VALUE(MID(CH1516,5,2)),VALUE(MID(CH1516,FIND("-",CH1516)+1,FIND("-",CH1516,FIND("-",CH1516)+1)-FIND("-",CH1516)-1))),""))</f>
        <v/>
      </c>
      <c r="CO1516">
        <f>IF(CH1516="","",IFERROR(IF(AND(LEN(CH1516)=9,ISERROR(FIND("-",LEFT(CH1516,8))),ISNUMBER(-LEFT(CH1516,8))),VALUE(MID(CH1516,7,2)),VALUE(MID(CH1516,FIND("-",CH1516,FIND("-",CH1516)+1)+1,FIND("-",CH1516,FIND("-",CH1516,FIND("-",CH1516)+1)+1)-FIND("-",CH1516,FIND("-",CH1516)+1)-1))),""))</f>
        <v/>
      </c>
    </row>
    <row r="1517">
      <c r="CH1517">
        <f>IF(ISTEXT('월 가계부'!A1517),SUBSTITUTE(SUBSTITUTE(SUBSTITUTE(SUBSTITUTE(SUBSTITUTE(SUBSTITUTE(SUBSTITUTE(SUBSTITUTE(SUBSTITUTE(TRIM('월 가계부'!A1517),"년","-"),"월","-"),"일",""),".","-"),"/","-")," ","-"),"--","-"),"--","-"),"--","-")&amp;"-","")</f>
        <v/>
      </c>
      <c r="CI1517">
        <f>IFERROR(IF('월 가계부'!A1517="","",IF(ISNUMBER('월 가계부'!A1517),IF(AND('월 가계부'!A1517&gt;=19000101,'월 가계부'!A1517&lt;=21001231),IF(AND(MOD(INT('월 가계부'!A1517/100),100)&gt;=1,MOD(INT('월 가계부'!A1517/100),100)&lt;=12,MOD(INT('월 가계부'!A1517),100)&gt;=1,MOD(INT('월 가계부'!A1517),100)&lt;=31),IF(MONTH(DATE(INT('월 가계부'!A1517/10000),MOD(INT('월 가계부'!A1517/100),100),MOD(INT('월 가계부'!A1517),100)))=MOD(INT('월 가계부'!A1517/100),100),DATE(INT('월 가계부'!A1517/10000),MOD(INT('월 가계부'!A1517/100),100),MOD(INT('월 가계부'!A1517),100)),""),""),IF(AND('월 가계부'!A1517&gt;=36526,'월 가계부'!A1517&lt;73051),INT('월 가계부'!A1517),"")),IF(OR(CM1517="",CN1517="",CO1517=""),"",IF(AND(CM1517&gt;=2000,CM1517&lt;=2099,CN1517&gt;=1,CN1517&lt;=12,CO1517&gt;=1,CO1517&lt;=31),IF(MONTH(DATE(CM1517,CN1517,CO1517))=CN1517,DATE(CM1517,CN1517,CO1517),""),"")))),"")</f>
        <v/>
      </c>
      <c r="CJ1517">
        <f>IFERROR(IF('월 가계부'!C1517="","",IF(ISNUMBER('월 가계부'!C1517),'월 가계부'!C1517,VALUE(SUBSTITUTE(SUBSTITUTE(SUBSTITUTE(SUBSTITUTE(TRIM('월 가계부'!C1517),",",""),"원","")," ",""),"−","-")))),"")</f>
        <v/>
      </c>
      <c r="CK1517">
        <f>IF(ISNUMBER(CI1517),IF(CI1517&lt;$B$13,CI1517,""),"")</f>
        <v/>
      </c>
      <c r="CM1517">
        <f>IF(CH1517="","",IFERROR(IF(IF(AND(LEN(CH1517)=9,ISERROR(FIND("-",LEFT(CH1517,8))),ISNUMBER(-LEFT(CH1517,8))),VALUE(LEFT(CH1517,4)),VALUE(LEFT(CH1517,FIND("-",CH1517)-1)))&lt;100,IF(AND(LEN(CH1517)=9,ISERROR(FIND("-",LEFT(CH1517,8))),ISNUMBER(-LEFT(CH1517,8))),VALUE(LEFT(CH1517,4)),VALUE(LEFT(CH1517,FIND("-",CH1517)-1)))+2000,IF(AND(LEN(CH1517)=9,ISERROR(FIND("-",LEFT(CH1517,8))),ISNUMBER(-LEFT(CH1517,8))),VALUE(LEFT(CH1517,4)),VALUE(LEFT(CH1517,FIND("-",CH1517)-1)))),""))</f>
        <v/>
      </c>
      <c r="CN1517">
        <f>IF(CH1517="","",IFERROR(IF(AND(LEN(CH1517)=9,ISERROR(FIND("-",LEFT(CH1517,8))),ISNUMBER(-LEFT(CH1517,8))),VALUE(MID(CH1517,5,2)),VALUE(MID(CH1517,FIND("-",CH1517)+1,FIND("-",CH1517,FIND("-",CH1517)+1)-FIND("-",CH1517)-1))),""))</f>
        <v/>
      </c>
      <c r="CO1517">
        <f>IF(CH1517="","",IFERROR(IF(AND(LEN(CH1517)=9,ISERROR(FIND("-",LEFT(CH1517,8))),ISNUMBER(-LEFT(CH1517,8))),VALUE(MID(CH1517,7,2)),VALUE(MID(CH1517,FIND("-",CH1517,FIND("-",CH1517)+1)+1,FIND("-",CH1517,FIND("-",CH1517,FIND("-",CH1517)+1)+1)-FIND("-",CH1517,FIND("-",CH1517)+1)-1))),""))</f>
        <v/>
      </c>
    </row>
    <row r="1518">
      <c r="CH1518">
        <f>IF(ISTEXT('월 가계부'!A1518),SUBSTITUTE(SUBSTITUTE(SUBSTITUTE(SUBSTITUTE(SUBSTITUTE(SUBSTITUTE(SUBSTITUTE(SUBSTITUTE(SUBSTITUTE(TRIM('월 가계부'!A1518),"년","-"),"월","-"),"일",""),".","-"),"/","-")," ","-"),"--","-"),"--","-"),"--","-")&amp;"-","")</f>
        <v/>
      </c>
      <c r="CI1518">
        <f>IFERROR(IF('월 가계부'!A1518="","",IF(ISNUMBER('월 가계부'!A1518),IF(AND('월 가계부'!A1518&gt;=19000101,'월 가계부'!A1518&lt;=21001231),IF(AND(MOD(INT('월 가계부'!A1518/100),100)&gt;=1,MOD(INT('월 가계부'!A1518/100),100)&lt;=12,MOD(INT('월 가계부'!A1518),100)&gt;=1,MOD(INT('월 가계부'!A1518),100)&lt;=31),IF(MONTH(DATE(INT('월 가계부'!A1518/10000),MOD(INT('월 가계부'!A1518/100),100),MOD(INT('월 가계부'!A1518),100)))=MOD(INT('월 가계부'!A1518/100),100),DATE(INT('월 가계부'!A1518/10000),MOD(INT('월 가계부'!A1518/100),100),MOD(INT('월 가계부'!A1518),100)),""),""),IF(AND('월 가계부'!A1518&gt;=36526,'월 가계부'!A1518&lt;73051),INT('월 가계부'!A1518),"")),IF(OR(CM1518="",CN1518="",CO1518=""),"",IF(AND(CM1518&gt;=2000,CM1518&lt;=2099,CN1518&gt;=1,CN1518&lt;=12,CO1518&gt;=1,CO1518&lt;=31),IF(MONTH(DATE(CM1518,CN1518,CO1518))=CN1518,DATE(CM1518,CN1518,CO1518),""),"")))),"")</f>
        <v/>
      </c>
      <c r="CJ1518">
        <f>IFERROR(IF('월 가계부'!C1518="","",IF(ISNUMBER('월 가계부'!C1518),'월 가계부'!C1518,VALUE(SUBSTITUTE(SUBSTITUTE(SUBSTITUTE(SUBSTITUTE(TRIM('월 가계부'!C1518),",",""),"원","")," ",""),"−","-")))),"")</f>
        <v/>
      </c>
      <c r="CK1518">
        <f>IF(ISNUMBER(CI1518),IF(CI1518&lt;$B$13,CI1518,""),"")</f>
        <v/>
      </c>
      <c r="CM1518">
        <f>IF(CH1518="","",IFERROR(IF(IF(AND(LEN(CH1518)=9,ISERROR(FIND("-",LEFT(CH1518,8))),ISNUMBER(-LEFT(CH1518,8))),VALUE(LEFT(CH1518,4)),VALUE(LEFT(CH1518,FIND("-",CH1518)-1)))&lt;100,IF(AND(LEN(CH1518)=9,ISERROR(FIND("-",LEFT(CH1518,8))),ISNUMBER(-LEFT(CH1518,8))),VALUE(LEFT(CH1518,4)),VALUE(LEFT(CH1518,FIND("-",CH1518)-1)))+2000,IF(AND(LEN(CH1518)=9,ISERROR(FIND("-",LEFT(CH1518,8))),ISNUMBER(-LEFT(CH1518,8))),VALUE(LEFT(CH1518,4)),VALUE(LEFT(CH1518,FIND("-",CH1518)-1)))),""))</f>
        <v/>
      </c>
      <c r="CN1518">
        <f>IF(CH1518="","",IFERROR(IF(AND(LEN(CH1518)=9,ISERROR(FIND("-",LEFT(CH1518,8))),ISNUMBER(-LEFT(CH1518,8))),VALUE(MID(CH1518,5,2)),VALUE(MID(CH1518,FIND("-",CH1518)+1,FIND("-",CH1518,FIND("-",CH1518)+1)-FIND("-",CH1518)-1))),""))</f>
        <v/>
      </c>
      <c r="CO1518">
        <f>IF(CH1518="","",IFERROR(IF(AND(LEN(CH1518)=9,ISERROR(FIND("-",LEFT(CH1518,8))),ISNUMBER(-LEFT(CH1518,8))),VALUE(MID(CH1518,7,2)),VALUE(MID(CH1518,FIND("-",CH1518,FIND("-",CH1518)+1)+1,FIND("-",CH1518,FIND("-",CH1518,FIND("-",CH1518)+1)+1)-FIND("-",CH1518,FIND("-",CH1518)+1)-1))),""))</f>
        <v/>
      </c>
    </row>
    <row r="1519">
      <c r="CH1519">
        <f>IF(ISTEXT('월 가계부'!A1519),SUBSTITUTE(SUBSTITUTE(SUBSTITUTE(SUBSTITUTE(SUBSTITUTE(SUBSTITUTE(SUBSTITUTE(SUBSTITUTE(SUBSTITUTE(TRIM('월 가계부'!A1519),"년","-"),"월","-"),"일",""),".","-"),"/","-")," ","-"),"--","-"),"--","-"),"--","-")&amp;"-","")</f>
        <v/>
      </c>
      <c r="CI1519">
        <f>IFERROR(IF('월 가계부'!A1519="","",IF(ISNUMBER('월 가계부'!A1519),IF(AND('월 가계부'!A1519&gt;=19000101,'월 가계부'!A1519&lt;=21001231),IF(AND(MOD(INT('월 가계부'!A1519/100),100)&gt;=1,MOD(INT('월 가계부'!A1519/100),100)&lt;=12,MOD(INT('월 가계부'!A1519),100)&gt;=1,MOD(INT('월 가계부'!A1519),100)&lt;=31),IF(MONTH(DATE(INT('월 가계부'!A1519/10000),MOD(INT('월 가계부'!A1519/100),100),MOD(INT('월 가계부'!A1519),100)))=MOD(INT('월 가계부'!A1519/100),100),DATE(INT('월 가계부'!A1519/10000),MOD(INT('월 가계부'!A1519/100),100),MOD(INT('월 가계부'!A1519),100)),""),""),IF(AND('월 가계부'!A1519&gt;=36526,'월 가계부'!A1519&lt;73051),INT('월 가계부'!A1519),"")),IF(OR(CM1519="",CN1519="",CO1519=""),"",IF(AND(CM1519&gt;=2000,CM1519&lt;=2099,CN1519&gt;=1,CN1519&lt;=12,CO1519&gt;=1,CO1519&lt;=31),IF(MONTH(DATE(CM1519,CN1519,CO1519))=CN1519,DATE(CM1519,CN1519,CO1519),""),"")))),"")</f>
        <v/>
      </c>
      <c r="CJ1519">
        <f>IFERROR(IF('월 가계부'!C1519="","",IF(ISNUMBER('월 가계부'!C1519),'월 가계부'!C1519,VALUE(SUBSTITUTE(SUBSTITUTE(SUBSTITUTE(SUBSTITUTE(TRIM('월 가계부'!C1519),",",""),"원","")," ",""),"−","-")))),"")</f>
        <v/>
      </c>
      <c r="CK1519">
        <f>IF(ISNUMBER(CI1519),IF(CI1519&lt;$B$13,CI1519,""),"")</f>
        <v/>
      </c>
      <c r="CM1519">
        <f>IF(CH1519="","",IFERROR(IF(IF(AND(LEN(CH1519)=9,ISERROR(FIND("-",LEFT(CH1519,8))),ISNUMBER(-LEFT(CH1519,8))),VALUE(LEFT(CH1519,4)),VALUE(LEFT(CH1519,FIND("-",CH1519)-1)))&lt;100,IF(AND(LEN(CH1519)=9,ISERROR(FIND("-",LEFT(CH1519,8))),ISNUMBER(-LEFT(CH1519,8))),VALUE(LEFT(CH1519,4)),VALUE(LEFT(CH1519,FIND("-",CH1519)-1)))+2000,IF(AND(LEN(CH1519)=9,ISERROR(FIND("-",LEFT(CH1519,8))),ISNUMBER(-LEFT(CH1519,8))),VALUE(LEFT(CH1519,4)),VALUE(LEFT(CH1519,FIND("-",CH1519)-1)))),""))</f>
        <v/>
      </c>
      <c r="CN1519">
        <f>IF(CH1519="","",IFERROR(IF(AND(LEN(CH1519)=9,ISERROR(FIND("-",LEFT(CH1519,8))),ISNUMBER(-LEFT(CH1519,8))),VALUE(MID(CH1519,5,2)),VALUE(MID(CH1519,FIND("-",CH1519)+1,FIND("-",CH1519,FIND("-",CH1519)+1)-FIND("-",CH1519)-1))),""))</f>
        <v/>
      </c>
      <c r="CO1519">
        <f>IF(CH1519="","",IFERROR(IF(AND(LEN(CH1519)=9,ISERROR(FIND("-",LEFT(CH1519,8))),ISNUMBER(-LEFT(CH1519,8))),VALUE(MID(CH1519,7,2)),VALUE(MID(CH1519,FIND("-",CH1519,FIND("-",CH1519)+1)+1,FIND("-",CH1519,FIND("-",CH1519,FIND("-",CH1519)+1)+1)-FIND("-",CH1519,FIND("-",CH1519)+1)-1))),""))</f>
        <v/>
      </c>
    </row>
    <row r="1520">
      <c r="CH1520">
        <f>IF(ISTEXT('월 가계부'!A1520),SUBSTITUTE(SUBSTITUTE(SUBSTITUTE(SUBSTITUTE(SUBSTITUTE(SUBSTITUTE(SUBSTITUTE(SUBSTITUTE(SUBSTITUTE(TRIM('월 가계부'!A1520),"년","-"),"월","-"),"일",""),".","-"),"/","-")," ","-"),"--","-"),"--","-"),"--","-")&amp;"-","")</f>
        <v/>
      </c>
      <c r="CI1520">
        <f>IFERROR(IF('월 가계부'!A1520="","",IF(ISNUMBER('월 가계부'!A1520),IF(AND('월 가계부'!A1520&gt;=19000101,'월 가계부'!A1520&lt;=21001231),IF(AND(MOD(INT('월 가계부'!A1520/100),100)&gt;=1,MOD(INT('월 가계부'!A1520/100),100)&lt;=12,MOD(INT('월 가계부'!A1520),100)&gt;=1,MOD(INT('월 가계부'!A1520),100)&lt;=31),IF(MONTH(DATE(INT('월 가계부'!A1520/10000),MOD(INT('월 가계부'!A1520/100),100),MOD(INT('월 가계부'!A1520),100)))=MOD(INT('월 가계부'!A1520/100),100),DATE(INT('월 가계부'!A1520/10000),MOD(INT('월 가계부'!A1520/100),100),MOD(INT('월 가계부'!A1520),100)),""),""),IF(AND('월 가계부'!A1520&gt;=36526,'월 가계부'!A1520&lt;73051),INT('월 가계부'!A1520),"")),IF(OR(CM1520="",CN1520="",CO1520=""),"",IF(AND(CM1520&gt;=2000,CM1520&lt;=2099,CN1520&gt;=1,CN1520&lt;=12,CO1520&gt;=1,CO1520&lt;=31),IF(MONTH(DATE(CM1520,CN1520,CO1520))=CN1520,DATE(CM1520,CN1520,CO1520),""),"")))),"")</f>
        <v/>
      </c>
      <c r="CJ1520">
        <f>IFERROR(IF('월 가계부'!C1520="","",IF(ISNUMBER('월 가계부'!C1520),'월 가계부'!C1520,VALUE(SUBSTITUTE(SUBSTITUTE(SUBSTITUTE(SUBSTITUTE(TRIM('월 가계부'!C1520),",",""),"원","")," ",""),"−","-")))),"")</f>
        <v/>
      </c>
      <c r="CK1520">
        <f>IF(ISNUMBER(CI1520),IF(CI1520&lt;$B$13,CI1520,""),"")</f>
        <v/>
      </c>
      <c r="CM1520">
        <f>IF(CH1520="","",IFERROR(IF(IF(AND(LEN(CH1520)=9,ISERROR(FIND("-",LEFT(CH1520,8))),ISNUMBER(-LEFT(CH1520,8))),VALUE(LEFT(CH1520,4)),VALUE(LEFT(CH1520,FIND("-",CH1520)-1)))&lt;100,IF(AND(LEN(CH1520)=9,ISERROR(FIND("-",LEFT(CH1520,8))),ISNUMBER(-LEFT(CH1520,8))),VALUE(LEFT(CH1520,4)),VALUE(LEFT(CH1520,FIND("-",CH1520)-1)))+2000,IF(AND(LEN(CH1520)=9,ISERROR(FIND("-",LEFT(CH1520,8))),ISNUMBER(-LEFT(CH1520,8))),VALUE(LEFT(CH1520,4)),VALUE(LEFT(CH1520,FIND("-",CH1520)-1)))),""))</f>
        <v/>
      </c>
      <c r="CN1520">
        <f>IF(CH1520="","",IFERROR(IF(AND(LEN(CH1520)=9,ISERROR(FIND("-",LEFT(CH1520,8))),ISNUMBER(-LEFT(CH1520,8))),VALUE(MID(CH1520,5,2)),VALUE(MID(CH1520,FIND("-",CH1520)+1,FIND("-",CH1520,FIND("-",CH1520)+1)-FIND("-",CH1520)-1))),""))</f>
        <v/>
      </c>
      <c r="CO1520">
        <f>IF(CH1520="","",IFERROR(IF(AND(LEN(CH1520)=9,ISERROR(FIND("-",LEFT(CH1520,8))),ISNUMBER(-LEFT(CH1520,8))),VALUE(MID(CH1520,7,2)),VALUE(MID(CH1520,FIND("-",CH1520,FIND("-",CH1520)+1)+1,FIND("-",CH1520,FIND("-",CH1520,FIND("-",CH1520)+1)+1)-FIND("-",CH1520,FIND("-",CH1520)+1)-1))),""))</f>
        <v/>
      </c>
    </row>
    <row r="1521">
      <c r="CH1521">
        <f>IF(ISTEXT('월 가계부'!A1521),SUBSTITUTE(SUBSTITUTE(SUBSTITUTE(SUBSTITUTE(SUBSTITUTE(SUBSTITUTE(SUBSTITUTE(SUBSTITUTE(SUBSTITUTE(TRIM('월 가계부'!A1521),"년","-"),"월","-"),"일",""),".","-"),"/","-")," ","-"),"--","-"),"--","-"),"--","-")&amp;"-","")</f>
        <v/>
      </c>
      <c r="CI1521">
        <f>IFERROR(IF('월 가계부'!A1521="","",IF(ISNUMBER('월 가계부'!A1521),IF(AND('월 가계부'!A1521&gt;=19000101,'월 가계부'!A1521&lt;=21001231),IF(AND(MOD(INT('월 가계부'!A1521/100),100)&gt;=1,MOD(INT('월 가계부'!A1521/100),100)&lt;=12,MOD(INT('월 가계부'!A1521),100)&gt;=1,MOD(INT('월 가계부'!A1521),100)&lt;=31),IF(MONTH(DATE(INT('월 가계부'!A1521/10000),MOD(INT('월 가계부'!A1521/100),100),MOD(INT('월 가계부'!A1521),100)))=MOD(INT('월 가계부'!A1521/100),100),DATE(INT('월 가계부'!A1521/10000),MOD(INT('월 가계부'!A1521/100),100),MOD(INT('월 가계부'!A1521),100)),""),""),IF(AND('월 가계부'!A1521&gt;=36526,'월 가계부'!A1521&lt;73051),INT('월 가계부'!A1521),"")),IF(OR(CM1521="",CN1521="",CO1521=""),"",IF(AND(CM1521&gt;=2000,CM1521&lt;=2099,CN1521&gt;=1,CN1521&lt;=12,CO1521&gt;=1,CO1521&lt;=31),IF(MONTH(DATE(CM1521,CN1521,CO1521))=CN1521,DATE(CM1521,CN1521,CO1521),""),"")))),"")</f>
        <v/>
      </c>
      <c r="CJ1521">
        <f>IFERROR(IF('월 가계부'!C1521="","",IF(ISNUMBER('월 가계부'!C1521),'월 가계부'!C1521,VALUE(SUBSTITUTE(SUBSTITUTE(SUBSTITUTE(SUBSTITUTE(TRIM('월 가계부'!C1521),",",""),"원","")," ",""),"−","-")))),"")</f>
        <v/>
      </c>
      <c r="CK1521">
        <f>IF(ISNUMBER(CI1521),IF(CI1521&lt;$B$13,CI1521,""),"")</f>
        <v/>
      </c>
      <c r="CM1521">
        <f>IF(CH1521="","",IFERROR(IF(IF(AND(LEN(CH1521)=9,ISERROR(FIND("-",LEFT(CH1521,8))),ISNUMBER(-LEFT(CH1521,8))),VALUE(LEFT(CH1521,4)),VALUE(LEFT(CH1521,FIND("-",CH1521)-1)))&lt;100,IF(AND(LEN(CH1521)=9,ISERROR(FIND("-",LEFT(CH1521,8))),ISNUMBER(-LEFT(CH1521,8))),VALUE(LEFT(CH1521,4)),VALUE(LEFT(CH1521,FIND("-",CH1521)-1)))+2000,IF(AND(LEN(CH1521)=9,ISERROR(FIND("-",LEFT(CH1521,8))),ISNUMBER(-LEFT(CH1521,8))),VALUE(LEFT(CH1521,4)),VALUE(LEFT(CH1521,FIND("-",CH1521)-1)))),""))</f>
        <v/>
      </c>
      <c r="CN1521">
        <f>IF(CH1521="","",IFERROR(IF(AND(LEN(CH1521)=9,ISERROR(FIND("-",LEFT(CH1521,8))),ISNUMBER(-LEFT(CH1521,8))),VALUE(MID(CH1521,5,2)),VALUE(MID(CH1521,FIND("-",CH1521)+1,FIND("-",CH1521,FIND("-",CH1521)+1)-FIND("-",CH1521)-1))),""))</f>
        <v/>
      </c>
      <c r="CO1521">
        <f>IF(CH1521="","",IFERROR(IF(AND(LEN(CH1521)=9,ISERROR(FIND("-",LEFT(CH1521,8))),ISNUMBER(-LEFT(CH1521,8))),VALUE(MID(CH1521,7,2)),VALUE(MID(CH1521,FIND("-",CH1521,FIND("-",CH1521)+1)+1,FIND("-",CH1521,FIND("-",CH1521,FIND("-",CH1521)+1)+1)-FIND("-",CH1521,FIND("-",CH1521)+1)-1))),""))</f>
        <v/>
      </c>
    </row>
    <row r="1522">
      <c r="CH1522">
        <f>IF(ISTEXT('월 가계부'!A1522),SUBSTITUTE(SUBSTITUTE(SUBSTITUTE(SUBSTITUTE(SUBSTITUTE(SUBSTITUTE(SUBSTITUTE(SUBSTITUTE(SUBSTITUTE(TRIM('월 가계부'!A1522),"년","-"),"월","-"),"일",""),".","-"),"/","-")," ","-"),"--","-"),"--","-"),"--","-")&amp;"-","")</f>
        <v/>
      </c>
      <c r="CI1522">
        <f>IFERROR(IF('월 가계부'!A1522="","",IF(ISNUMBER('월 가계부'!A1522),IF(AND('월 가계부'!A1522&gt;=19000101,'월 가계부'!A1522&lt;=21001231),IF(AND(MOD(INT('월 가계부'!A1522/100),100)&gt;=1,MOD(INT('월 가계부'!A1522/100),100)&lt;=12,MOD(INT('월 가계부'!A1522),100)&gt;=1,MOD(INT('월 가계부'!A1522),100)&lt;=31),IF(MONTH(DATE(INT('월 가계부'!A1522/10000),MOD(INT('월 가계부'!A1522/100),100),MOD(INT('월 가계부'!A1522),100)))=MOD(INT('월 가계부'!A1522/100),100),DATE(INT('월 가계부'!A1522/10000),MOD(INT('월 가계부'!A1522/100),100),MOD(INT('월 가계부'!A1522),100)),""),""),IF(AND('월 가계부'!A1522&gt;=36526,'월 가계부'!A1522&lt;73051),INT('월 가계부'!A1522),"")),IF(OR(CM1522="",CN1522="",CO1522=""),"",IF(AND(CM1522&gt;=2000,CM1522&lt;=2099,CN1522&gt;=1,CN1522&lt;=12,CO1522&gt;=1,CO1522&lt;=31),IF(MONTH(DATE(CM1522,CN1522,CO1522))=CN1522,DATE(CM1522,CN1522,CO1522),""),"")))),"")</f>
        <v/>
      </c>
      <c r="CJ1522">
        <f>IFERROR(IF('월 가계부'!C1522="","",IF(ISNUMBER('월 가계부'!C1522),'월 가계부'!C1522,VALUE(SUBSTITUTE(SUBSTITUTE(SUBSTITUTE(SUBSTITUTE(TRIM('월 가계부'!C1522),",",""),"원","")," ",""),"−","-")))),"")</f>
        <v/>
      </c>
      <c r="CK1522">
        <f>IF(ISNUMBER(CI1522),IF(CI1522&lt;$B$13,CI1522,""),"")</f>
        <v/>
      </c>
      <c r="CM1522">
        <f>IF(CH1522="","",IFERROR(IF(IF(AND(LEN(CH1522)=9,ISERROR(FIND("-",LEFT(CH1522,8))),ISNUMBER(-LEFT(CH1522,8))),VALUE(LEFT(CH1522,4)),VALUE(LEFT(CH1522,FIND("-",CH1522)-1)))&lt;100,IF(AND(LEN(CH1522)=9,ISERROR(FIND("-",LEFT(CH1522,8))),ISNUMBER(-LEFT(CH1522,8))),VALUE(LEFT(CH1522,4)),VALUE(LEFT(CH1522,FIND("-",CH1522)-1)))+2000,IF(AND(LEN(CH1522)=9,ISERROR(FIND("-",LEFT(CH1522,8))),ISNUMBER(-LEFT(CH1522,8))),VALUE(LEFT(CH1522,4)),VALUE(LEFT(CH1522,FIND("-",CH1522)-1)))),""))</f>
        <v/>
      </c>
      <c r="CN1522">
        <f>IF(CH1522="","",IFERROR(IF(AND(LEN(CH1522)=9,ISERROR(FIND("-",LEFT(CH1522,8))),ISNUMBER(-LEFT(CH1522,8))),VALUE(MID(CH1522,5,2)),VALUE(MID(CH1522,FIND("-",CH1522)+1,FIND("-",CH1522,FIND("-",CH1522)+1)-FIND("-",CH1522)-1))),""))</f>
        <v/>
      </c>
      <c r="CO1522">
        <f>IF(CH1522="","",IFERROR(IF(AND(LEN(CH1522)=9,ISERROR(FIND("-",LEFT(CH1522,8))),ISNUMBER(-LEFT(CH1522,8))),VALUE(MID(CH1522,7,2)),VALUE(MID(CH1522,FIND("-",CH1522,FIND("-",CH1522)+1)+1,FIND("-",CH1522,FIND("-",CH1522,FIND("-",CH1522)+1)+1)-FIND("-",CH1522,FIND("-",CH1522)+1)-1))),""))</f>
        <v/>
      </c>
    </row>
    <row r="1523">
      <c r="CH1523">
        <f>IF(ISTEXT('월 가계부'!A1523),SUBSTITUTE(SUBSTITUTE(SUBSTITUTE(SUBSTITUTE(SUBSTITUTE(SUBSTITUTE(SUBSTITUTE(SUBSTITUTE(SUBSTITUTE(TRIM('월 가계부'!A1523),"년","-"),"월","-"),"일",""),".","-"),"/","-")," ","-"),"--","-"),"--","-"),"--","-")&amp;"-","")</f>
        <v/>
      </c>
      <c r="CI1523">
        <f>IFERROR(IF('월 가계부'!A1523="","",IF(ISNUMBER('월 가계부'!A1523),IF(AND('월 가계부'!A1523&gt;=19000101,'월 가계부'!A1523&lt;=21001231),IF(AND(MOD(INT('월 가계부'!A1523/100),100)&gt;=1,MOD(INT('월 가계부'!A1523/100),100)&lt;=12,MOD(INT('월 가계부'!A1523),100)&gt;=1,MOD(INT('월 가계부'!A1523),100)&lt;=31),IF(MONTH(DATE(INT('월 가계부'!A1523/10000),MOD(INT('월 가계부'!A1523/100),100),MOD(INT('월 가계부'!A1523),100)))=MOD(INT('월 가계부'!A1523/100),100),DATE(INT('월 가계부'!A1523/10000),MOD(INT('월 가계부'!A1523/100),100),MOD(INT('월 가계부'!A1523),100)),""),""),IF(AND('월 가계부'!A1523&gt;=36526,'월 가계부'!A1523&lt;73051),INT('월 가계부'!A1523),"")),IF(OR(CM1523="",CN1523="",CO1523=""),"",IF(AND(CM1523&gt;=2000,CM1523&lt;=2099,CN1523&gt;=1,CN1523&lt;=12,CO1523&gt;=1,CO1523&lt;=31),IF(MONTH(DATE(CM1523,CN1523,CO1523))=CN1523,DATE(CM1523,CN1523,CO1523),""),"")))),"")</f>
        <v/>
      </c>
      <c r="CJ1523">
        <f>IFERROR(IF('월 가계부'!C1523="","",IF(ISNUMBER('월 가계부'!C1523),'월 가계부'!C1523,VALUE(SUBSTITUTE(SUBSTITUTE(SUBSTITUTE(SUBSTITUTE(TRIM('월 가계부'!C1523),",",""),"원","")," ",""),"−","-")))),"")</f>
        <v/>
      </c>
      <c r="CK1523">
        <f>IF(ISNUMBER(CI1523),IF(CI1523&lt;$B$13,CI1523,""),"")</f>
        <v/>
      </c>
      <c r="CM1523">
        <f>IF(CH1523="","",IFERROR(IF(IF(AND(LEN(CH1523)=9,ISERROR(FIND("-",LEFT(CH1523,8))),ISNUMBER(-LEFT(CH1523,8))),VALUE(LEFT(CH1523,4)),VALUE(LEFT(CH1523,FIND("-",CH1523)-1)))&lt;100,IF(AND(LEN(CH1523)=9,ISERROR(FIND("-",LEFT(CH1523,8))),ISNUMBER(-LEFT(CH1523,8))),VALUE(LEFT(CH1523,4)),VALUE(LEFT(CH1523,FIND("-",CH1523)-1)))+2000,IF(AND(LEN(CH1523)=9,ISERROR(FIND("-",LEFT(CH1523,8))),ISNUMBER(-LEFT(CH1523,8))),VALUE(LEFT(CH1523,4)),VALUE(LEFT(CH1523,FIND("-",CH1523)-1)))),""))</f>
        <v/>
      </c>
      <c r="CN1523">
        <f>IF(CH1523="","",IFERROR(IF(AND(LEN(CH1523)=9,ISERROR(FIND("-",LEFT(CH1523,8))),ISNUMBER(-LEFT(CH1523,8))),VALUE(MID(CH1523,5,2)),VALUE(MID(CH1523,FIND("-",CH1523)+1,FIND("-",CH1523,FIND("-",CH1523)+1)-FIND("-",CH1523)-1))),""))</f>
        <v/>
      </c>
      <c r="CO1523">
        <f>IF(CH1523="","",IFERROR(IF(AND(LEN(CH1523)=9,ISERROR(FIND("-",LEFT(CH1523,8))),ISNUMBER(-LEFT(CH1523,8))),VALUE(MID(CH1523,7,2)),VALUE(MID(CH1523,FIND("-",CH1523,FIND("-",CH1523)+1)+1,FIND("-",CH1523,FIND("-",CH1523,FIND("-",CH1523)+1)+1)-FIND("-",CH1523,FIND("-",CH1523)+1)-1))),""))</f>
        <v/>
      </c>
    </row>
    <row r="1524">
      <c r="CH1524">
        <f>IF(ISTEXT('월 가계부'!A1524),SUBSTITUTE(SUBSTITUTE(SUBSTITUTE(SUBSTITUTE(SUBSTITUTE(SUBSTITUTE(SUBSTITUTE(SUBSTITUTE(SUBSTITUTE(TRIM('월 가계부'!A1524),"년","-"),"월","-"),"일",""),".","-"),"/","-")," ","-"),"--","-"),"--","-"),"--","-")&amp;"-","")</f>
        <v/>
      </c>
      <c r="CI1524">
        <f>IFERROR(IF('월 가계부'!A1524="","",IF(ISNUMBER('월 가계부'!A1524),IF(AND('월 가계부'!A1524&gt;=19000101,'월 가계부'!A1524&lt;=21001231),IF(AND(MOD(INT('월 가계부'!A1524/100),100)&gt;=1,MOD(INT('월 가계부'!A1524/100),100)&lt;=12,MOD(INT('월 가계부'!A1524),100)&gt;=1,MOD(INT('월 가계부'!A1524),100)&lt;=31),IF(MONTH(DATE(INT('월 가계부'!A1524/10000),MOD(INT('월 가계부'!A1524/100),100),MOD(INT('월 가계부'!A1524),100)))=MOD(INT('월 가계부'!A1524/100),100),DATE(INT('월 가계부'!A1524/10000),MOD(INT('월 가계부'!A1524/100),100),MOD(INT('월 가계부'!A1524),100)),""),""),IF(AND('월 가계부'!A1524&gt;=36526,'월 가계부'!A1524&lt;73051),INT('월 가계부'!A1524),"")),IF(OR(CM1524="",CN1524="",CO1524=""),"",IF(AND(CM1524&gt;=2000,CM1524&lt;=2099,CN1524&gt;=1,CN1524&lt;=12,CO1524&gt;=1,CO1524&lt;=31),IF(MONTH(DATE(CM1524,CN1524,CO1524))=CN1524,DATE(CM1524,CN1524,CO1524),""),"")))),"")</f>
        <v/>
      </c>
      <c r="CJ1524">
        <f>IFERROR(IF('월 가계부'!C1524="","",IF(ISNUMBER('월 가계부'!C1524),'월 가계부'!C1524,VALUE(SUBSTITUTE(SUBSTITUTE(SUBSTITUTE(SUBSTITUTE(TRIM('월 가계부'!C1524),",",""),"원","")," ",""),"−","-")))),"")</f>
        <v/>
      </c>
      <c r="CK1524">
        <f>IF(ISNUMBER(CI1524),IF(CI1524&lt;$B$13,CI1524,""),"")</f>
        <v/>
      </c>
      <c r="CM1524">
        <f>IF(CH1524="","",IFERROR(IF(IF(AND(LEN(CH1524)=9,ISERROR(FIND("-",LEFT(CH1524,8))),ISNUMBER(-LEFT(CH1524,8))),VALUE(LEFT(CH1524,4)),VALUE(LEFT(CH1524,FIND("-",CH1524)-1)))&lt;100,IF(AND(LEN(CH1524)=9,ISERROR(FIND("-",LEFT(CH1524,8))),ISNUMBER(-LEFT(CH1524,8))),VALUE(LEFT(CH1524,4)),VALUE(LEFT(CH1524,FIND("-",CH1524)-1)))+2000,IF(AND(LEN(CH1524)=9,ISERROR(FIND("-",LEFT(CH1524,8))),ISNUMBER(-LEFT(CH1524,8))),VALUE(LEFT(CH1524,4)),VALUE(LEFT(CH1524,FIND("-",CH1524)-1)))),""))</f>
        <v/>
      </c>
      <c r="CN1524">
        <f>IF(CH1524="","",IFERROR(IF(AND(LEN(CH1524)=9,ISERROR(FIND("-",LEFT(CH1524,8))),ISNUMBER(-LEFT(CH1524,8))),VALUE(MID(CH1524,5,2)),VALUE(MID(CH1524,FIND("-",CH1524)+1,FIND("-",CH1524,FIND("-",CH1524)+1)-FIND("-",CH1524)-1))),""))</f>
        <v/>
      </c>
      <c r="CO1524">
        <f>IF(CH1524="","",IFERROR(IF(AND(LEN(CH1524)=9,ISERROR(FIND("-",LEFT(CH1524,8))),ISNUMBER(-LEFT(CH1524,8))),VALUE(MID(CH1524,7,2)),VALUE(MID(CH1524,FIND("-",CH1524,FIND("-",CH1524)+1)+1,FIND("-",CH1524,FIND("-",CH1524,FIND("-",CH1524)+1)+1)-FIND("-",CH1524,FIND("-",CH1524)+1)-1))),""))</f>
        <v/>
      </c>
    </row>
    <row r="1525">
      <c r="CH1525">
        <f>IF(ISTEXT('월 가계부'!A1525),SUBSTITUTE(SUBSTITUTE(SUBSTITUTE(SUBSTITUTE(SUBSTITUTE(SUBSTITUTE(SUBSTITUTE(SUBSTITUTE(SUBSTITUTE(TRIM('월 가계부'!A1525),"년","-"),"월","-"),"일",""),".","-"),"/","-")," ","-"),"--","-"),"--","-"),"--","-")&amp;"-","")</f>
        <v/>
      </c>
      <c r="CI1525">
        <f>IFERROR(IF('월 가계부'!A1525="","",IF(ISNUMBER('월 가계부'!A1525),IF(AND('월 가계부'!A1525&gt;=19000101,'월 가계부'!A1525&lt;=21001231),IF(AND(MOD(INT('월 가계부'!A1525/100),100)&gt;=1,MOD(INT('월 가계부'!A1525/100),100)&lt;=12,MOD(INT('월 가계부'!A1525),100)&gt;=1,MOD(INT('월 가계부'!A1525),100)&lt;=31),IF(MONTH(DATE(INT('월 가계부'!A1525/10000),MOD(INT('월 가계부'!A1525/100),100),MOD(INT('월 가계부'!A1525),100)))=MOD(INT('월 가계부'!A1525/100),100),DATE(INT('월 가계부'!A1525/10000),MOD(INT('월 가계부'!A1525/100),100),MOD(INT('월 가계부'!A1525),100)),""),""),IF(AND('월 가계부'!A1525&gt;=36526,'월 가계부'!A1525&lt;73051),INT('월 가계부'!A1525),"")),IF(OR(CM1525="",CN1525="",CO1525=""),"",IF(AND(CM1525&gt;=2000,CM1525&lt;=2099,CN1525&gt;=1,CN1525&lt;=12,CO1525&gt;=1,CO1525&lt;=31),IF(MONTH(DATE(CM1525,CN1525,CO1525))=CN1525,DATE(CM1525,CN1525,CO1525),""),"")))),"")</f>
        <v/>
      </c>
      <c r="CJ1525">
        <f>IFERROR(IF('월 가계부'!C1525="","",IF(ISNUMBER('월 가계부'!C1525),'월 가계부'!C1525,VALUE(SUBSTITUTE(SUBSTITUTE(SUBSTITUTE(SUBSTITUTE(TRIM('월 가계부'!C1525),",",""),"원","")," ",""),"−","-")))),"")</f>
        <v/>
      </c>
      <c r="CK1525">
        <f>IF(ISNUMBER(CI1525),IF(CI1525&lt;$B$13,CI1525,""),"")</f>
        <v/>
      </c>
      <c r="CM1525">
        <f>IF(CH1525="","",IFERROR(IF(IF(AND(LEN(CH1525)=9,ISERROR(FIND("-",LEFT(CH1525,8))),ISNUMBER(-LEFT(CH1525,8))),VALUE(LEFT(CH1525,4)),VALUE(LEFT(CH1525,FIND("-",CH1525)-1)))&lt;100,IF(AND(LEN(CH1525)=9,ISERROR(FIND("-",LEFT(CH1525,8))),ISNUMBER(-LEFT(CH1525,8))),VALUE(LEFT(CH1525,4)),VALUE(LEFT(CH1525,FIND("-",CH1525)-1)))+2000,IF(AND(LEN(CH1525)=9,ISERROR(FIND("-",LEFT(CH1525,8))),ISNUMBER(-LEFT(CH1525,8))),VALUE(LEFT(CH1525,4)),VALUE(LEFT(CH1525,FIND("-",CH1525)-1)))),""))</f>
        <v/>
      </c>
      <c r="CN1525">
        <f>IF(CH1525="","",IFERROR(IF(AND(LEN(CH1525)=9,ISERROR(FIND("-",LEFT(CH1525,8))),ISNUMBER(-LEFT(CH1525,8))),VALUE(MID(CH1525,5,2)),VALUE(MID(CH1525,FIND("-",CH1525)+1,FIND("-",CH1525,FIND("-",CH1525)+1)-FIND("-",CH1525)-1))),""))</f>
        <v/>
      </c>
      <c r="CO1525">
        <f>IF(CH1525="","",IFERROR(IF(AND(LEN(CH1525)=9,ISERROR(FIND("-",LEFT(CH1525,8))),ISNUMBER(-LEFT(CH1525,8))),VALUE(MID(CH1525,7,2)),VALUE(MID(CH1525,FIND("-",CH1525,FIND("-",CH1525)+1)+1,FIND("-",CH1525,FIND("-",CH1525,FIND("-",CH1525)+1)+1)-FIND("-",CH1525,FIND("-",CH1525)+1)-1))),""))</f>
        <v/>
      </c>
    </row>
    <row r="1526">
      <c r="CH1526">
        <f>IF(ISTEXT('월 가계부'!A1526),SUBSTITUTE(SUBSTITUTE(SUBSTITUTE(SUBSTITUTE(SUBSTITUTE(SUBSTITUTE(SUBSTITUTE(SUBSTITUTE(SUBSTITUTE(TRIM('월 가계부'!A1526),"년","-"),"월","-"),"일",""),".","-"),"/","-")," ","-"),"--","-"),"--","-"),"--","-")&amp;"-","")</f>
        <v/>
      </c>
      <c r="CI1526">
        <f>IFERROR(IF('월 가계부'!A1526="","",IF(ISNUMBER('월 가계부'!A1526),IF(AND('월 가계부'!A1526&gt;=19000101,'월 가계부'!A1526&lt;=21001231),IF(AND(MOD(INT('월 가계부'!A1526/100),100)&gt;=1,MOD(INT('월 가계부'!A1526/100),100)&lt;=12,MOD(INT('월 가계부'!A1526),100)&gt;=1,MOD(INT('월 가계부'!A1526),100)&lt;=31),IF(MONTH(DATE(INT('월 가계부'!A1526/10000),MOD(INT('월 가계부'!A1526/100),100),MOD(INT('월 가계부'!A1526),100)))=MOD(INT('월 가계부'!A1526/100),100),DATE(INT('월 가계부'!A1526/10000),MOD(INT('월 가계부'!A1526/100),100),MOD(INT('월 가계부'!A1526),100)),""),""),IF(AND('월 가계부'!A1526&gt;=36526,'월 가계부'!A1526&lt;73051),INT('월 가계부'!A1526),"")),IF(OR(CM1526="",CN1526="",CO1526=""),"",IF(AND(CM1526&gt;=2000,CM1526&lt;=2099,CN1526&gt;=1,CN1526&lt;=12,CO1526&gt;=1,CO1526&lt;=31),IF(MONTH(DATE(CM1526,CN1526,CO1526))=CN1526,DATE(CM1526,CN1526,CO1526),""),"")))),"")</f>
        <v/>
      </c>
      <c r="CJ1526">
        <f>IFERROR(IF('월 가계부'!C1526="","",IF(ISNUMBER('월 가계부'!C1526),'월 가계부'!C1526,VALUE(SUBSTITUTE(SUBSTITUTE(SUBSTITUTE(SUBSTITUTE(TRIM('월 가계부'!C1526),",",""),"원","")," ",""),"−","-")))),"")</f>
        <v/>
      </c>
      <c r="CK1526">
        <f>IF(ISNUMBER(CI1526),IF(CI1526&lt;$B$13,CI1526,""),"")</f>
        <v/>
      </c>
      <c r="CM1526">
        <f>IF(CH1526="","",IFERROR(IF(IF(AND(LEN(CH1526)=9,ISERROR(FIND("-",LEFT(CH1526,8))),ISNUMBER(-LEFT(CH1526,8))),VALUE(LEFT(CH1526,4)),VALUE(LEFT(CH1526,FIND("-",CH1526)-1)))&lt;100,IF(AND(LEN(CH1526)=9,ISERROR(FIND("-",LEFT(CH1526,8))),ISNUMBER(-LEFT(CH1526,8))),VALUE(LEFT(CH1526,4)),VALUE(LEFT(CH1526,FIND("-",CH1526)-1)))+2000,IF(AND(LEN(CH1526)=9,ISERROR(FIND("-",LEFT(CH1526,8))),ISNUMBER(-LEFT(CH1526,8))),VALUE(LEFT(CH1526,4)),VALUE(LEFT(CH1526,FIND("-",CH1526)-1)))),""))</f>
        <v/>
      </c>
      <c r="CN1526">
        <f>IF(CH1526="","",IFERROR(IF(AND(LEN(CH1526)=9,ISERROR(FIND("-",LEFT(CH1526,8))),ISNUMBER(-LEFT(CH1526,8))),VALUE(MID(CH1526,5,2)),VALUE(MID(CH1526,FIND("-",CH1526)+1,FIND("-",CH1526,FIND("-",CH1526)+1)-FIND("-",CH1526)-1))),""))</f>
        <v/>
      </c>
      <c r="CO1526">
        <f>IF(CH1526="","",IFERROR(IF(AND(LEN(CH1526)=9,ISERROR(FIND("-",LEFT(CH1526,8))),ISNUMBER(-LEFT(CH1526,8))),VALUE(MID(CH1526,7,2)),VALUE(MID(CH1526,FIND("-",CH1526,FIND("-",CH1526)+1)+1,FIND("-",CH1526,FIND("-",CH1526,FIND("-",CH1526)+1)+1)-FIND("-",CH1526,FIND("-",CH1526)+1)-1))),""))</f>
        <v/>
      </c>
    </row>
    <row r="1527">
      <c r="CH1527">
        <f>IF(ISTEXT('월 가계부'!A1527),SUBSTITUTE(SUBSTITUTE(SUBSTITUTE(SUBSTITUTE(SUBSTITUTE(SUBSTITUTE(SUBSTITUTE(SUBSTITUTE(SUBSTITUTE(TRIM('월 가계부'!A1527),"년","-"),"월","-"),"일",""),".","-"),"/","-")," ","-"),"--","-"),"--","-"),"--","-")&amp;"-","")</f>
        <v/>
      </c>
      <c r="CI1527">
        <f>IFERROR(IF('월 가계부'!A1527="","",IF(ISNUMBER('월 가계부'!A1527),IF(AND('월 가계부'!A1527&gt;=19000101,'월 가계부'!A1527&lt;=21001231),IF(AND(MOD(INT('월 가계부'!A1527/100),100)&gt;=1,MOD(INT('월 가계부'!A1527/100),100)&lt;=12,MOD(INT('월 가계부'!A1527),100)&gt;=1,MOD(INT('월 가계부'!A1527),100)&lt;=31),IF(MONTH(DATE(INT('월 가계부'!A1527/10000),MOD(INT('월 가계부'!A1527/100),100),MOD(INT('월 가계부'!A1527),100)))=MOD(INT('월 가계부'!A1527/100),100),DATE(INT('월 가계부'!A1527/10000),MOD(INT('월 가계부'!A1527/100),100),MOD(INT('월 가계부'!A1527),100)),""),""),IF(AND('월 가계부'!A1527&gt;=36526,'월 가계부'!A1527&lt;73051),INT('월 가계부'!A1527),"")),IF(OR(CM1527="",CN1527="",CO1527=""),"",IF(AND(CM1527&gt;=2000,CM1527&lt;=2099,CN1527&gt;=1,CN1527&lt;=12,CO1527&gt;=1,CO1527&lt;=31),IF(MONTH(DATE(CM1527,CN1527,CO1527))=CN1527,DATE(CM1527,CN1527,CO1527),""),"")))),"")</f>
        <v/>
      </c>
      <c r="CJ1527">
        <f>IFERROR(IF('월 가계부'!C1527="","",IF(ISNUMBER('월 가계부'!C1527),'월 가계부'!C1527,VALUE(SUBSTITUTE(SUBSTITUTE(SUBSTITUTE(SUBSTITUTE(TRIM('월 가계부'!C1527),",",""),"원","")," ",""),"−","-")))),"")</f>
        <v/>
      </c>
      <c r="CK1527">
        <f>IF(ISNUMBER(CI1527),IF(CI1527&lt;$B$13,CI1527,""),"")</f>
        <v/>
      </c>
      <c r="CM1527">
        <f>IF(CH1527="","",IFERROR(IF(IF(AND(LEN(CH1527)=9,ISERROR(FIND("-",LEFT(CH1527,8))),ISNUMBER(-LEFT(CH1527,8))),VALUE(LEFT(CH1527,4)),VALUE(LEFT(CH1527,FIND("-",CH1527)-1)))&lt;100,IF(AND(LEN(CH1527)=9,ISERROR(FIND("-",LEFT(CH1527,8))),ISNUMBER(-LEFT(CH1527,8))),VALUE(LEFT(CH1527,4)),VALUE(LEFT(CH1527,FIND("-",CH1527)-1)))+2000,IF(AND(LEN(CH1527)=9,ISERROR(FIND("-",LEFT(CH1527,8))),ISNUMBER(-LEFT(CH1527,8))),VALUE(LEFT(CH1527,4)),VALUE(LEFT(CH1527,FIND("-",CH1527)-1)))),""))</f>
        <v/>
      </c>
      <c r="CN1527">
        <f>IF(CH1527="","",IFERROR(IF(AND(LEN(CH1527)=9,ISERROR(FIND("-",LEFT(CH1527,8))),ISNUMBER(-LEFT(CH1527,8))),VALUE(MID(CH1527,5,2)),VALUE(MID(CH1527,FIND("-",CH1527)+1,FIND("-",CH1527,FIND("-",CH1527)+1)-FIND("-",CH1527)-1))),""))</f>
        <v/>
      </c>
      <c r="CO1527">
        <f>IF(CH1527="","",IFERROR(IF(AND(LEN(CH1527)=9,ISERROR(FIND("-",LEFT(CH1527,8))),ISNUMBER(-LEFT(CH1527,8))),VALUE(MID(CH1527,7,2)),VALUE(MID(CH1527,FIND("-",CH1527,FIND("-",CH1527)+1)+1,FIND("-",CH1527,FIND("-",CH1527,FIND("-",CH1527)+1)+1)-FIND("-",CH1527,FIND("-",CH1527)+1)-1))),""))</f>
        <v/>
      </c>
    </row>
    <row r="1528">
      <c r="CH1528">
        <f>IF(ISTEXT('월 가계부'!A1528),SUBSTITUTE(SUBSTITUTE(SUBSTITUTE(SUBSTITUTE(SUBSTITUTE(SUBSTITUTE(SUBSTITUTE(SUBSTITUTE(SUBSTITUTE(TRIM('월 가계부'!A1528),"년","-"),"월","-"),"일",""),".","-"),"/","-")," ","-"),"--","-"),"--","-"),"--","-")&amp;"-","")</f>
        <v/>
      </c>
      <c r="CI1528">
        <f>IFERROR(IF('월 가계부'!A1528="","",IF(ISNUMBER('월 가계부'!A1528),IF(AND('월 가계부'!A1528&gt;=19000101,'월 가계부'!A1528&lt;=21001231),IF(AND(MOD(INT('월 가계부'!A1528/100),100)&gt;=1,MOD(INT('월 가계부'!A1528/100),100)&lt;=12,MOD(INT('월 가계부'!A1528),100)&gt;=1,MOD(INT('월 가계부'!A1528),100)&lt;=31),IF(MONTH(DATE(INT('월 가계부'!A1528/10000),MOD(INT('월 가계부'!A1528/100),100),MOD(INT('월 가계부'!A1528),100)))=MOD(INT('월 가계부'!A1528/100),100),DATE(INT('월 가계부'!A1528/10000),MOD(INT('월 가계부'!A1528/100),100),MOD(INT('월 가계부'!A1528),100)),""),""),IF(AND('월 가계부'!A1528&gt;=36526,'월 가계부'!A1528&lt;73051),INT('월 가계부'!A1528),"")),IF(OR(CM1528="",CN1528="",CO1528=""),"",IF(AND(CM1528&gt;=2000,CM1528&lt;=2099,CN1528&gt;=1,CN1528&lt;=12,CO1528&gt;=1,CO1528&lt;=31),IF(MONTH(DATE(CM1528,CN1528,CO1528))=CN1528,DATE(CM1528,CN1528,CO1528),""),"")))),"")</f>
        <v/>
      </c>
      <c r="CJ1528">
        <f>IFERROR(IF('월 가계부'!C1528="","",IF(ISNUMBER('월 가계부'!C1528),'월 가계부'!C1528,VALUE(SUBSTITUTE(SUBSTITUTE(SUBSTITUTE(SUBSTITUTE(TRIM('월 가계부'!C1528),",",""),"원","")," ",""),"−","-")))),"")</f>
        <v/>
      </c>
      <c r="CK1528">
        <f>IF(ISNUMBER(CI1528),IF(CI1528&lt;$B$13,CI1528,""),"")</f>
        <v/>
      </c>
      <c r="CM1528">
        <f>IF(CH1528="","",IFERROR(IF(IF(AND(LEN(CH1528)=9,ISERROR(FIND("-",LEFT(CH1528,8))),ISNUMBER(-LEFT(CH1528,8))),VALUE(LEFT(CH1528,4)),VALUE(LEFT(CH1528,FIND("-",CH1528)-1)))&lt;100,IF(AND(LEN(CH1528)=9,ISERROR(FIND("-",LEFT(CH1528,8))),ISNUMBER(-LEFT(CH1528,8))),VALUE(LEFT(CH1528,4)),VALUE(LEFT(CH1528,FIND("-",CH1528)-1)))+2000,IF(AND(LEN(CH1528)=9,ISERROR(FIND("-",LEFT(CH1528,8))),ISNUMBER(-LEFT(CH1528,8))),VALUE(LEFT(CH1528,4)),VALUE(LEFT(CH1528,FIND("-",CH1528)-1)))),""))</f>
        <v/>
      </c>
      <c r="CN1528">
        <f>IF(CH1528="","",IFERROR(IF(AND(LEN(CH1528)=9,ISERROR(FIND("-",LEFT(CH1528,8))),ISNUMBER(-LEFT(CH1528,8))),VALUE(MID(CH1528,5,2)),VALUE(MID(CH1528,FIND("-",CH1528)+1,FIND("-",CH1528,FIND("-",CH1528)+1)-FIND("-",CH1528)-1))),""))</f>
        <v/>
      </c>
      <c r="CO1528">
        <f>IF(CH1528="","",IFERROR(IF(AND(LEN(CH1528)=9,ISERROR(FIND("-",LEFT(CH1528,8))),ISNUMBER(-LEFT(CH1528,8))),VALUE(MID(CH1528,7,2)),VALUE(MID(CH1528,FIND("-",CH1528,FIND("-",CH1528)+1)+1,FIND("-",CH1528,FIND("-",CH1528,FIND("-",CH1528)+1)+1)-FIND("-",CH1528,FIND("-",CH1528)+1)-1))),""))</f>
        <v/>
      </c>
    </row>
    <row r="1529">
      <c r="CH1529">
        <f>IF(ISTEXT('월 가계부'!A1529),SUBSTITUTE(SUBSTITUTE(SUBSTITUTE(SUBSTITUTE(SUBSTITUTE(SUBSTITUTE(SUBSTITUTE(SUBSTITUTE(SUBSTITUTE(TRIM('월 가계부'!A1529),"년","-"),"월","-"),"일",""),".","-"),"/","-")," ","-"),"--","-"),"--","-"),"--","-")&amp;"-","")</f>
        <v/>
      </c>
      <c r="CI1529">
        <f>IFERROR(IF('월 가계부'!A1529="","",IF(ISNUMBER('월 가계부'!A1529),IF(AND('월 가계부'!A1529&gt;=19000101,'월 가계부'!A1529&lt;=21001231),IF(AND(MOD(INT('월 가계부'!A1529/100),100)&gt;=1,MOD(INT('월 가계부'!A1529/100),100)&lt;=12,MOD(INT('월 가계부'!A1529),100)&gt;=1,MOD(INT('월 가계부'!A1529),100)&lt;=31),IF(MONTH(DATE(INT('월 가계부'!A1529/10000),MOD(INT('월 가계부'!A1529/100),100),MOD(INT('월 가계부'!A1529),100)))=MOD(INT('월 가계부'!A1529/100),100),DATE(INT('월 가계부'!A1529/10000),MOD(INT('월 가계부'!A1529/100),100),MOD(INT('월 가계부'!A1529),100)),""),""),IF(AND('월 가계부'!A1529&gt;=36526,'월 가계부'!A1529&lt;73051),INT('월 가계부'!A1529),"")),IF(OR(CM1529="",CN1529="",CO1529=""),"",IF(AND(CM1529&gt;=2000,CM1529&lt;=2099,CN1529&gt;=1,CN1529&lt;=12,CO1529&gt;=1,CO1529&lt;=31),IF(MONTH(DATE(CM1529,CN1529,CO1529))=CN1529,DATE(CM1529,CN1529,CO1529),""),"")))),"")</f>
        <v/>
      </c>
      <c r="CJ1529">
        <f>IFERROR(IF('월 가계부'!C1529="","",IF(ISNUMBER('월 가계부'!C1529),'월 가계부'!C1529,VALUE(SUBSTITUTE(SUBSTITUTE(SUBSTITUTE(SUBSTITUTE(TRIM('월 가계부'!C1529),",",""),"원","")," ",""),"−","-")))),"")</f>
        <v/>
      </c>
      <c r="CK1529">
        <f>IF(ISNUMBER(CI1529),IF(CI1529&lt;$B$13,CI1529,""),"")</f>
        <v/>
      </c>
      <c r="CM1529">
        <f>IF(CH1529="","",IFERROR(IF(IF(AND(LEN(CH1529)=9,ISERROR(FIND("-",LEFT(CH1529,8))),ISNUMBER(-LEFT(CH1529,8))),VALUE(LEFT(CH1529,4)),VALUE(LEFT(CH1529,FIND("-",CH1529)-1)))&lt;100,IF(AND(LEN(CH1529)=9,ISERROR(FIND("-",LEFT(CH1529,8))),ISNUMBER(-LEFT(CH1529,8))),VALUE(LEFT(CH1529,4)),VALUE(LEFT(CH1529,FIND("-",CH1529)-1)))+2000,IF(AND(LEN(CH1529)=9,ISERROR(FIND("-",LEFT(CH1529,8))),ISNUMBER(-LEFT(CH1529,8))),VALUE(LEFT(CH1529,4)),VALUE(LEFT(CH1529,FIND("-",CH1529)-1)))),""))</f>
        <v/>
      </c>
      <c r="CN1529">
        <f>IF(CH1529="","",IFERROR(IF(AND(LEN(CH1529)=9,ISERROR(FIND("-",LEFT(CH1529,8))),ISNUMBER(-LEFT(CH1529,8))),VALUE(MID(CH1529,5,2)),VALUE(MID(CH1529,FIND("-",CH1529)+1,FIND("-",CH1529,FIND("-",CH1529)+1)-FIND("-",CH1529)-1))),""))</f>
        <v/>
      </c>
      <c r="CO1529">
        <f>IF(CH1529="","",IFERROR(IF(AND(LEN(CH1529)=9,ISERROR(FIND("-",LEFT(CH1529,8))),ISNUMBER(-LEFT(CH1529,8))),VALUE(MID(CH1529,7,2)),VALUE(MID(CH1529,FIND("-",CH1529,FIND("-",CH1529)+1)+1,FIND("-",CH1529,FIND("-",CH1529,FIND("-",CH1529)+1)+1)-FIND("-",CH1529,FIND("-",CH1529)+1)-1))),""))</f>
        <v/>
      </c>
    </row>
    <row r="1530">
      <c r="CH1530">
        <f>IF(ISTEXT('월 가계부'!A1530),SUBSTITUTE(SUBSTITUTE(SUBSTITUTE(SUBSTITUTE(SUBSTITUTE(SUBSTITUTE(SUBSTITUTE(SUBSTITUTE(SUBSTITUTE(TRIM('월 가계부'!A1530),"년","-"),"월","-"),"일",""),".","-"),"/","-")," ","-"),"--","-"),"--","-"),"--","-")&amp;"-","")</f>
        <v/>
      </c>
      <c r="CI1530">
        <f>IFERROR(IF('월 가계부'!A1530="","",IF(ISNUMBER('월 가계부'!A1530),IF(AND('월 가계부'!A1530&gt;=19000101,'월 가계부'!A1530&lt;=21001231),IF(AND(MOD(INT('월 가계부'!A1530/100),100)&gt;=1,MOD(INT('월 가계부'!A1530/100),100)&lt;=12,MOD(INT('월 가계부'!A1530),100)&gt;=1,MOD(INT('월 가계부'!A1530),100)&lt;=31),IF(MONTH(DATE(INT('월 가계부'!A1530/10000),MOD(INT('월 가계부'!A1530/100),100),MOD(INT('월 가계부'!A1530),100)))=MOD(INT('월 가계부'!A1530/100),100),DATE(INT('월 가계부'!A1530/10000),MOD(INT('월 가계부'!A1530/100),100),MOD(INT('월 가계부'!A1530),100)),""),""),IF(AND('월 가계부'!A1530&gt;=36526,'월 가계부'!A1530&lt;73051),INT('월 가계부'!A1530),"")),IF(OR(CM1530="",CN1530="",CO1530=""),"",IF(AND(CM1530&gt;=2000,CM1530&lt;=2099,CN1530&gt;=1,CN1530&lt;=12,CO1530&gt;=1,CO1530&lt;=31),IF(MONTH(DATE(CM1530,CN1530,CO1530))=CN1530,DATE(CM1530,CN1530,CO1530),""),"")))),"")</f>
        <v/>
      </c>
      <c r="CJ1530">
        <f>IFERROR(IF('월 가계부'!C1530="","",IF(ISNUMBER('월 가계부'!C1530),'월 가계부'!C1530,VALUE(SUBSTITUTE(SUBSTITUTE(SUBSTITUTE(SUBSTITUTE(TRIM('월 가계부'!C1530),",",""),"원","")," ",""),"−","-")))),"")</f>
        <v/>
      </c>
      <c r="CK1530">
        <f>IF(ISNUMBER(CI1530),IF(CI1530&lt;$B$13,CI1530,""),"")</f>
        <v/>
      </c>
      <c r="CM1530">
        <f>IF(CH1530="","",IFERROR(IF(IF(AND(LEN(CH1530)=9,ISERROR(FIND("-",LEFT(CH1530,8))),ISNUMBER(-LEFT(CH1530,8))),VALUE(LEFT(CH1530,4)),VALUE(LEFT(CH1530,FIND("-",CH1530)-1)))&lt;100,IF(AND(LEN(CH1530)=9,ISERROR(FIND("-",LEFT(CH1530,8))),ISNUMBER(-LEFT(CH1530,8))),VALUE(LEFT(CH1530,4)),VALUE(LEFT(CH1530,FIND("-",CH1530)-1)))+2000,IF(AND(LEN(CH1530)=9,ISERROR(FIND("-",LEFT(CH1530,8))),ISNUMBER(-LEFT(CH1530,8))),VALUE(LEFT(CH1530,4)),VALUE(LEFT(CH1530,FIND("-",CH1530)-1)))),""))</f>
        <v/>
      </c>
      <c r="CN1530">
        <f>IF(CH1530="","",IFERROR(IF(AND(LEN(CH1530)=9,ISERROR(FIND("-",LEFT(CH1530,8))),ISNUMBER(-LEFT(CH1530,8))),VALUE(MID(CH1530,5,2)),VALUE(MID(CH1530,FIND("-",CH1530)+1,FIND("-",CH1530,FIND("-",CH1530)+1)-FIND("-",CH1530)-1))),""))</f>
        <v/>
      </c>
      <c r="CO1530">
        <f>IF(CH1530="","",IFERROR(IF(AND(LEN(CH1530)=9,ISERROR(FIND("-",LEFT(CH1530,8))),ISNUMBER(-LEFT(CH1530,8))),VALUE(MID(CH1530,7,2)),VALUE(MID(CH1530,FIND("-",CH1530,FIND("-",CH1530)+1)+1,FIND("-",CH1530,FIND("-",CH1530,FIND("-",CH1530)+1)+1)-FIND("-",CH1530,FIND("-",CH1530)+1)-1))),""))</f>
        <v/>
      </c>
    </row>
    <row r="1531">
      <c r="CH1531">
        <f>IF(ISTEXT('월 가계부'!A1531),SUBSTITUTE(SUBSTITUTE(SUBSTITUTE(SUBSTITUTE(SUBSTITUTE(SUBSTITUTE(SUBSTITUTE(SUBSTITUTE(SUBSTITUTE(TRIM('월 가계부'!A1531),"년","-"),"월","-"),"일",""),".","-"),"/","-")," ","-"),"--","-"),"--","-"),"--","-")&amp;"-","")</f>
        <v/>
      </c>
      <c r="CI1531">
        <f>IFERROR(IF('월 가계부'!A1531="","",IF(ISNUMBER('월 가계부'!A1531),IF(AND('월 가계부'!A1531&gt;=19000101,'월 가계부'!A1531&lt;=21001231),IF(AND(MOD(INT('월 가계부'!A1531/100),100)&gt;=1,MOD(INT('월 가계부'!A1531/100),100)&lt;=12,MOD(INT('월 가계부'!A1531),100)&gt;=1,MOD(INT('월 가계부'!A1531),100)&lt;=31),IF(MONTH(DATE(INT('월 가계부'!A1531/10000),MOD(INT('월 가계부'!A1531/100),100),MOD(INT('월 가계부'!A1531),100)))=MOD(INT('월 가계부'!A1531/100),100),DATE(INT('월 가계부'!A1531/10000),MOD(INT('월 가계부'!A1531/100),100),MOD(INT('월 가계부'!A1531),100)),""),""),IF(AND('월 가계부'!A1531&gt;=36526,'월 가계부'!A1531&lt;73051),INT('월 가계부'!A1531),"")),IF(OR(CM1531="",CN1531="",CO1531=""),"",IF(AND(CM1531&gt;=2000,CM1531&lt;=2099,CN1531&gt;=1,CN1531&lt;=12,CO1531&gt;=1,CO1531&lt;=31),IF(MONTH(DATE(CM1531,CN1531,CO1531))=CN1531,DATE(CM1531,CN1531,CO1531),""),"")))),"")</f>
        <v/>
      </c>
      <c r="CJ1531">
        <f>IFERROR(IF('월 가계부'!C1531="","",IF(ISNUMBER('월 가계부'!C1531),'월 가계부'!C1531,VALUE(SUBSTITUTE(SUBSTITUTE(SUBSTITUTE(SUBSTITUTE(TRIM('월 가계부'!C1531),",",""),"원","")," ",""),"−","-")))),"")</f>
        <v/>
      </c>
      <c r="CK1531">
        <f>IF(ISNUMBER(CI1531),IF(CI1531&lt;$B$13,CI1531,""),"")</f>
        <v/>
      </c>
      <c r="CM1531">
        <f>IF(CH1531="","",IFERROR(IF(IF(AND(LEN(CH1531)=9,ISERROR(FIND("-",LEFT(CH1531,8))),ISNUMBER(-LEFT(CH1531,8))),VALUE(LEFT(CH1531,4)),VALUE(LEFT(CH1531,FIND("-",CH1531)-1)))&lt;100,IF(AND(LEN(CH1531)=9,ISERROR(FIND("-",LEFT(CH1531,8))),ISNUMBER(-LEFT(CH1531,8))),VALUE(LEFT(CH1531,4)),VALUE(LEFT(CH1531,FIND("-",CH1531)-1)))+2000,IF(AND(LEN(CH1531)=9,ISERROR(FIND("-",LEFT(CH1531,8))),ISNUMBER(-LEFT(CH1531,8))),VALUE(LEFT(CH1531,4)),VALUE(LEFT(CH1531,FIND("-",CH1531)-1)))),""))</f>
        <v/>
      </c>
      <c r="CN1531">
        <f>IF(CH1531="","",IFERROR(IF(AND(LEN(CH1531)=9,ISERROR(FIND("-",LEFT(CH1531,8))),ISNUMBER(-LEFT(CH1531,8))),VALUE(MID(CH1531,5,2)),VALUE(MID(CH1531,FIND("-",CH1531)+1,FIND("-",CH1531,FIND("-",CH1531)+1)-FIND("-",CH1531)-1))),""))</f>
        <v/>
      </c>
      <c r="CO1531">
        <f>IF(CH1531="","",IFERROR(IF(AND(LEN(CH1531)=9,ISERROR(FIND("-",LEFT(CH1531,8))),ISNUMBER(-LEFT(CH1531,8))),VALUE(MID(CH1531,7,2)),VALUE(MID(CH1531,FIND("-",CH1531,FIND("-",CH1531)+1)+1,FIND("-",CH1531,FIND("-",CH1531,FIND("-",CH1531)+1)+1)-FIND("-",CH1531,FIND("-",CH1531)+1)-1))),""))</f>
        <v/>
      </c>
    </row>
    <row r="1532">
      <c r="CH1532">
        <f>IF(ISTEXT('월 가계부'!A1532),SUBSTITUTE(SUBSTITUTE(SUBSTITUTE(SUBSTITUTE(SUBSTITUTE(SUBSTITUTE(SUBSTITUTE(SUBSTITUTE(SUBSTITUTE(TRIM('월 가계부'!A1532),"년","-"),"월","-"),"일",""),".","-"),"/","-")," ","-"),"--","-"),"--","-"),"--","-")&amp;"-","")</f>
        <v/>
      </c>
      <c r="CI1532">
        <f>IFERROR(IF('월 가계부'!A1532="","",IF(ISNUMBER('월 가계부'!A1532),IF(AND('월 가계부'!A1532&gt;=19000101,'월 가계부'!A1532&lt;=21001231),IF(AND(MOD(INT('월 가계부'!A1532/100),100)&gt;=1,MOD(INT('월 가계부'!A1532/100),100)&lt;=12,MOD(INT('월 가계부'!A1532),100)&gt;=1,MOD(INT('월 가계부'!A1532),100)&lt;=31),IF(MONTH(DATE(INT('월 가계부'!A1532/10000),MOD(INT('월 가계부'!A1532/100),100),MOD(INT('월 가계부'!A1532),100)))=MOD(INT('월 가계부'!A1532/100),100),DATE(INT('월 가계부'!A1532/10000),MOD(INT('월 가계부'!A1532/100),100),MOD(INT('월 가계부'!A1532),100)),""),""),IF(AND('월 가계부'!A1532&gt;=36526,'월 가계부'!A1532&lt;73051),INT('월 가계부'!A1532),"")),IF(OR(CM1532="",CN1532="",CO1532=""),"",IF(AND(CM1532&gt;=2000,CM1532&lt;=2099,CN1532&gt;=1,CN1532&lt;=12,CO1532&gt;=1,CO1532&lt;=31),IF(MONTH(DATE(CM1532,CN1532,CO1532))=CN1532,DATE(CM1532,CN1532,CO1532),""),"")))),"")</f>
        <v/>
      </c>
      <c r="CJ1532">
        <f>IFERROR(IF('월 가계부'!C1532="","",IF(ISNUMBER('월 가계부'!C1532),'월 가계부'!C1532,VALUE(SUBSTITUTE(SUBSTITUTE(SUBSTITUTE(SUBSTITUTE(TRIM('월 가계부'!C1532),",",""),"원","")," ",""),"−","-")))),"")</f>
        <v/>
      </c>
      <c r="CK1532">
        <f>IF(ISNUMBER(CI1532),IF(CI1532&lt;$B$13,CI1532,""),"")</f>
        <v/>
      </c>
      <c r="CM1532">
        <f>IF(CH1532="","",IFERROR(IF(IF(AND(LEN(CH1532)=9,ISERROR(FIND("-",LEFT(CH1532,8))),ISNUMBER(-LEFT(CH1532,8))),VALUE(LEFT(CH1532,4)),VALUE(LEFT(CH1532,FIND("-",CH1532)-1)))&lt;100,IF(AND(LEN(CH1532)=9,ISERROR(FIND("-",LEFT(CH1532,8))),ISNUMBER(-LEFT(CH1532,8))),VALUE(LEFT(CH1532,4)),VALUE(LEFT(CH1532,FIND("-",CH1532)-1)))+2000,IF(AND(LEN(CH1532)=9,ISERROR(FIND("-",LEFT(CH1532,8))),ISNUMBER(-LEFT(CH1532,8))),VALUE(LEFT(CH1532,4)),VALUE(LEFT(CH1532,FIND("-",CH1532)-1)))),""))</f>
        <v/>
      </c>
      <c r="CN1532">
        <f>IF(CH1532="","",IFERROR(IF(AND(LEN(CH1532)=9,ISERROR(FIND("-",LEFT(CH1532,8))),ISNUMBER(-LEFT(CH1532,8))),VALUE(MID(CH1532,5,2)),VALUE(MID(CH1532,FIND("-",CH1532)+1,FIND("-",CH1532,FIND("-",CH1532)+1)-FIND("-",CH1532)-1))),""))</f>
        <v/>
      </c>
      <c r="CO1532">
        <f>IF(CH1532="","",IFERROR(IF(AND(LEN(CH1532)=9,ISERROR(FIND("-",LEFT(CH1532,8))),ISNUMBER(-LEFT(CH1532,8))),VALUE(MID(CH1532,7,2)),VALUE(MID(CH1532,FIND("-",CH1532,FIND("-",CH1532)+1)+1,FIND("-",CH1532,FIND("-",CH1532,FIND("-",CH1532)+1)+1)-FIND("-",CH1532,FIND("-",CH1532)+1)-1))),""))</f>
        <v/>
      </c>
    </row>
    <row r="1533">
      <c r="CH1533">
        <f>IF(ISTEXT('월 가계부'!A1533),SUBSTITUTE(SUBSTITUTE(SUBSTITUTE(SUBSTITUTE(SUBSTITUTE(SUBSTITUTE(SUBSTITUTE(SUBSTITUTE(SUBSTITUTE(TRIM('월 가계부'!A1533),"년","-"),"월","-"),"일",""),".","-"),"/","-")," ","-"),"--","-"),"--","-"),"--","-")&amp;"-","")</f>
        <v/>
      </c>
      <c r="CI1533">
        <f>IFERROR(IF('월 가계부'!A1533="","",IF(ISNUMBER('월 가계부'!A1533),IF(AND('월 가계부'!A1533&gt;=19000101,'월 가계부'!A1533&lt;=21001231),IF(AND(MOD(INT('월 가계부'!A1533/100),100)&gt;=1,MOD(INT('월 가계부'!A1533/100),100)&lt;=12,MOD(INT('월 가계부'!A1533),100)&gt;=1,MOD(INT('월 가계부'!A1533),100)&lt;=31),IF(MONTH(DATE(INT('월 가계부'!A1533/10000),MOD(INT('월 가계부'!A1533/100),100),MOD(INT('월 가계부'!A1533),100)))=MOD(INT('월 가계부'!A1533/100),100),DATE(INT('월 가계부'!A1533/10000),MOD(INT('월 가계부'!A1533/100),100),MOD(INT('월 가계부'!A1533),100)),""),""),IF(AND('월 가계부'!A1533&gt;=36526,'월 가계부'!A1533&lt;73051),INT('월 가계부'!A1533),"")),IF(OR(CM1533="",CN1533="",CO1533=""),"",IF(AND(CM1533&gt;=2000,CM1533&lt;=2099,CN1533&gt;=1,CN1533&lt;=12,CO1533&gt;=1,CO1533&lt;=31),IF(MONTH(DATE(CM1533,CN1533,CO1533))=CN1533,DATE(CM1533,CN1533,CO1533),""),"")))),"")</f>
        <v/>
      </c>
      <c r="CJ1533">
        <f>IFERROR(IF('월 가계부'!C1533="","",IF(ISNUMBER('월 가계부'!C1533),'월 가계부'!C1533,VALUE(SUBSTITUTE(SUBSTITUTE(SUBSTITUTE(SUBSTITUTE(TRIM('월 가계부'!C1533),",",""),"원","")," ",""),"−","-")))),"")</f>
        <v/>
      </c>
      <c r="CK1533">
        <f>IF(ISNUMBER(CI1533),IF(CI1533&lt;$B$13,CI1533,""),"")</f>
        <v/>
      </c>
      <c r="CM1533">
        <f>IF(CH1533="","",IFERROR(IF(IF(AND(LEN(CH1533)=9,ISERROR(FIND("-",LEFT(CH1533,8))),ISNUMBER(-LEFT(CH1533,8))),VALUE(LEFT(CH1533,4)),VALUE(LEFT(CH1533,FIND("-",CH1533)-1)))&lt;100,IF(AND(LEN(CH1533)=9,ISERROR(FIND("-",LEFT(CH1533,8))),ISNUMBER(-LEFT(CH1533,8))),VALUE(LEFT(CH1533,4)),VALUE(LEFT(CH1533,FIND("-",CH1533)-1)))+2000,IF(AND(LEN(CH1533)=9,ISERROR(FIND("-",LEFT(CH1533,8))),ISNUMBER(-LEFT(CH1533,8))),VALUE(LEFT(CH1533,4)),VALUE(LEFT(CH1533,FIND("-",CH1533)-1)))),""))</f>
        <v/>
      </c>
      <c r="CN1533">
        <f>IF(CH1533="","",IFERROR(IF(AND(LEN(CH1533)=9,ISERROR(FIND("-",LEFT(CH1533,8))),ISNUMBER(-LEFT(CH1533,8))),VALUE(MID(CH1533,5,2)),VALUE(MID(CH1533,FIND("-",CH1533)+1,FIND("-",CH1533,FIND("-",CH1533)+1)-FIND("-",CH1533)-1))),""))</f>
        <v/>
      </c>
      <c r="CO1533">
        <f>IF(CH1533="","",IFERROR(IF(AND(LEN(CH1533)=9,ISERROR(FIND("-",LEFT(CH1533,8))),ISNUMBER(-LEFT(CH1533,8))),VALUE(MID(CH1533,7,2)),VALUE(MID(CH1533,FIND("-",CH1533,FIND("-",CH1533)+1)+1,FIND("-",CH1533,FIND("-",CH1533,FIND("-",CH1533)+1)+1)-FIND("-",CH1533,FIND("-",CH1533)+1)-1))),""))</f>
        <v/>
      </c>
    </row>
    <row r="1534">
      <c r="CH1534">
        <f>IF(ISTEXT('월 가계부'!A1534),SUBSTITUTE(SUBSTITUTE(SUBSTITUTE(SUBSTITUTE(SUBSTITUTE(SUBSTITUTE(SUBSTITUTE(SUBSTITUTE(SUBSTITUTE(TRIM('월 가계부'!A1534),"년","-"),"월","-"),"일",""),".","-"),"/","-")," ","-"),"--","-"),"--","-"),"--","-")&amp;"-","")</f>
        <v/>
      </c>
      <c r="CI1534">
        <f>IFERROR(IF('월 가계부'!A1534="","",IF(ISNUMBER('월 가계부'!A1534),IF(AND('월 가계부'!A1534&gt;=19000101,'월 가계부'!A1534&lt;=21001231),IF(AND(MOD(INT('월 가계부'!A1534/100),100)&gt;=1,MOD(INT('월 가계부'!A1534/100),100)&lt;=12,MOD(INT('월 가계부'!A1534),100)&gt;=1,MOD(INT('월 가계부'!A1534),100)&lt;=31),IF(MONTH(DATE(INT('월 가계부'!A1534/10000),MOD(INT('월 가계부'!A1534/100),100),MOD(INT('월 가계부'!A1534),100)))=MOD(INT('월 가계부'!A1534/100),100),DATE(INT('월 가계부'!A1534/10000),MOD(INT('월 가계부'!A1534/100),100),MOD(INT('월 가계부'!A1534),100)),""),""),IF(AND('월 가계부'!A1534&gt;=36526,'월 가계부'!A1534&lt;73051),INT('월 가계부'!A1534),"")),IF(OR(CM1534="",CN1534="",CO1534=""),"",IF(AND(CM1534&gt;=2000,CM1534&lt;=2099,CN1534&gt;=1,CN1534&lt;=12,CO1534&gt;=1,CO1534&lt;=31),IF(MONTH(DATE(CM1534,CN1534,CO1534))=CN1534,DATE(CM1534,CN1534,CO1534),""),"")))),"")</f>
        <v/>
      </c>
      <c r="CJ1534">
        <f>IFERROR(IF('월 가계부'!C1534="","",IF(ISNUMBER('월 가계부'!C1534),'월 가계부'!C1534,VALUE(SUBSTITUTE(SUBSTITUTE(SUBSTITUTE(SUBSTITUTE(TRIM('월 가계부'!C1534),",",""),"원","")," ",""),"−","-")))),"")</f>
        <v/>
      </c>
      <c r="CK1534">
        <f>IF(ISNUMBER(CI1534),IF(CI1534&lt;$B$13,CI1534,""),"")</f>
        <v/>
      </c>
      <c r="CM1534">
        <f>IF(CH1534="","",IFERROR(IF(IF(AND(LEN(CH1534)=9,ISERROR(FIND("-",LEFT(CH1534,8))),ISNUMBER(-LEFT(CH1534,8))),VALUE(LEFT(CH1534,4)),VALUE(LEFT(CH1534,FIND("-",CH1534)-1)))&lt;100,IF(AND(LEN(CH1534)=9,ISERROR(FIND("-",LEFT(CH1534,8))),ISNUMBER(-LEFT(CH1534,8))),VALUE(LEFT(CH1534,4)),VALUE(LEFT(CH1534,FIND("-",CH1534)-1)))+2000,IF(AND(LEN(CH1534)=9,ISERROR(FIND("-",LEFT(CH1534,8))),ISNUMBER(-LEFT(CH1534,8))),VALUE(LEFT(CH1534,4)),VALUE(LEFT(CH1534,FIND("-",CH1534)-1)))),""))</f>
        <v/>
      </c>
      <c r="CN1534">
        <f>IF(CH1534="","",IFERROR(IF(AND(LEN(CH1534)=9,ISERROR(FIND("-",LEFT(CH1534,8))),ISNUMBER(-LEFT(CH1534,8))),VALUE(MID(CH1534,5,2)),VALUE(MID(CH1534,FIND("-",CH1534)+1,FIND("-",CH1534,FIND("-",CH1534)+1)-FIND("-",CH1534)-1))),""))</f>
        <v/>
      </c>
      <c r="CO1534">
        <f>IF(CH1534="","",IFERROR(IF(AND(LEN(CH1534)=9,ISERROR(FIND("-",LEFT(CH1534,8))),ISNUMBER(-LEFT(CH1534,8))),VALUE(MID(CH1534,7,2)),VALUE(MID(CH1534,FIND("-",CH1534,FIND("-",CH1534)+1)+1,FIND("-",CH1534,FIND("-",CH1534,FIND("-",CH1534)+1)+1)-FIND("-",CH1534,FIND("-",CH1534)+1)-1))),""))</f>
        <v/>
      </c>
    </row>
    <row r="1535">
      <c r="CH1535">
        <f>IF(ISTEXT('월 가계부'!A1535),SUBSTITUTE(SUBSTITUTE(SUBSTITUTE(SUBSTITUTE(SUBSTITUTE(SUBSTITUTE(SUBSTITUTE(SUBSTITUTE(SUBSTITUTE(TRIM('월 가계부'!A1535),"년","-"),"월","-"),"일",""),".","-"),"/","-")," ","-"),"--","-"),"--","-"),"--","-")&amp;"-","")</f>
        <v/>
      </c>
      <c r="CI1535">
        <f>IFERROR(IF('월 가계부'!A1535="","",IF(ISNUMBER('월 가계부'!A1535),IF(AND('월 가계부'!A1535&gt;=19000101,'월 가계부'!A1535&lt;=21001231),IF(AND(MOD(INT('월 가계부'!A1535/100),100)&gt;=1,MOD(INT('월 가계부'!A1535/100),100)&lt;=12,MOD(INT('월 가계부'!A1535),100)&gt;=1,MOD(INT('월 가계부'!A1535),100)&lt;=31),IF(MONTH(DATE(INT('월 가계부'!A1535/10000),MOD(INT('월 가계부'!A1535/100),100),MOD(INT('월 가계부'!A1535),100)))=MOD(INT('월 가계부'!A1535/100),100),DATE(INT('월 가계부'!A1535/10000),MOD(INT('월 가계부'!A1535/100),100),MOD(INT('월 가계부'!A1535),100)),""),""),IF(AND('월 가계부'!A1535&gt;=36526,'월 가계부'!A1535&lt;73051),INT('월 가계부'!A1535),"")),IF(OR(CM1535="",CN1535="",CO1535=""),"",IF(AND(CM1535&gt;=2000,CM1535&lt;=2099,CN1535&gt;=1,CN1535&lt;=12,CO1535&gt;=1,CO1535&lt;=31),IF(MONTH(DATE(CM1535,CN1535,CO1535))=CN1535,DATE(CM1535,CN1535,CO1535),""),"")))),"")</f>
        <v/>
      </c>
      <c r="CJ1535">
        <f>IFERROR(IF('월 가계부'!C1535="","",IF(ISNUMBER('월 가계부'!C1535),'월 가계부'!C1535,VALUE(SUBSTITUTE(SUBSTITUTE(SUBSTITUTE(SUBSTITUTE(TRIM('월 가계부'!C1535),",",""),"원","")," ",""),"−","-")))),"")</f>
        <v/>
      </c>
      <c r="CK1535">
        <f>IF(ISNUMBER(CI1535),IF(CI1535&lt;$B$13,CI1535,""),"")</f>
        <v/>
      </c>
      <c r="CM1535">
        <f>IF(CH1535="","",IFERROR(IF(IF(AND(LEN(CH1535)=9,ISERROR(FIND("-",LEFT(CH1535,8))),ISNUMBER(-LEFT(CH1535,8))),VALUE(LEFT(CH1535,4)),VALUE(LEFT(CH1535,FIND("-",CH1535)-1)))&lt;100,IF(AND(LEN(CH1535)=9,ISERROR(FIND("-",LEFT(CH1535,8))),ISNUMBER(-LEFT(CH1535,8))),VALUE(LEFT(CH1535,4)),VALUE(LEFT(CH1535,FIND("-",CH1535)-1)))+2000,IF(AND(LEN(CH1535)=9,ISERROR(FIND("-",LEFT(CH1535,8))),ISNUMBER(-LEFT(CH1535,8))),VALUE(LEFT(CH1535,4)),VALUE(LEFT(CH1535,FIND("-",CH1535)-1)))),""))</f>
        <v/>
      </c>
      <c r="CN1535">
        <f>IF(CH1535="","",IFERROR(IF(AND(LEN(CH1535)=9,ISERROR(FIND("-",LEFT(CH1535,8))),ISNUMBER(-LEFT(CH1535,8))),VALUE(MID(CH1535,5,2)),VALUE(MID(CH1535,FIND("-",CH1535)+1,FIND("-",CH1535,FIND("-",CH1535)+1)-FIND("-",CH1535)-1))),""))</f>
        <v/>
      </c>
      <c r="CO1535">
        <f>IF(CH1535="","",IFERROR(IF(AND(LEN(CH1535)=9,ISERROR(FIND("-",LEFT(CH1535,8))),ISNUMBER(-LEFT(CH1535,8))),VALUE(MID(CH1535,7,2)),VALUE(MID(CH1535,FIND("-",CH1535,FIND("-",CH1535)+1)+1,FIND("-",CH1535,FIND("-",CH1535,FIND("-",CH1535)+1)+1)-FIND("-",CH1535,FIND("-",CH1535)+1)-1))),""))</f>
        <v/>
      </c>
    </row>
    <row r="1536">
      <c r="CH1536">
        <f>IF(ISTEXT('월 가계부'!A1536),SUBSTITUTE(SUBSTITUTE(SUBSTITUTE(SUBSTITUTE(SUBSTITUTE(SUBSTITUTE(SUBSTITUTE(SUBSTITUTE(SUBSTITUTE(TRIM('월 가계부'!A1536),"년","-"),"월","-"),"일",""),".","-"),"/","-")," ","-"),"--","-"),"--","-"),"--","-")&amp;"-","")</f>
        <v/>
      </c>
      <c r="CI1536">
        <f>IFERROR(IF('월 가계부'!A1536="","",IF(ISNUMBER('월 가계부'!A1536),IF(AND('월 가계부'!A1536&gt;=19000101,'월 가계부'!A1536&lt;=21001231),IF(AND(MOD(INT('월 가계부'!A1536/100),100)&gt;=1,MOD(INT('월 가계부'!A1536/100),100)&lt;=12,MOD(INT('월 가계부'!A1536),100)&gt;=1,MOD(INT('월 가계부'!A1536),100)&lt;=31),IF(MONTH(DATE(INT('월 가계부'!A1536/10000),MOD(INT('월 가계부'!A1536/100),100),MOD(INT('월 가계부'!A1536),100)))=MOD(INT('월 가계부'!A1536/100),100),DATE(INT('월 가계부'!A1536/10000),MOD(INT('월 가계부'!A1536/100),100),MOD(INT('월 가계부'!A1536),100)),""),""),IF(AND('월 가계부'!A1536&gt;=36526,'월 가계부'!A1536&lt;73051),INT('월 가계부'!A1536),"")),IF(OR(CM1536="",CN1536="",CO1536=""),"",IF(AND(CM1536&gt;=2000,CM1536&lt;=2099,CN1536&gt;=1,CN1536&lt;=12,CO1536&gt;=1,CO1536&lt;=31),IF(MONTH(DATE(CM1536,CN1536,CO1536))=CN1536,DATE(CM1536,CN1536,CO1536),""),"")))),"")</f>
        <v/>
      </c>
      <c r="CJ1536">
        <f>IFERROR(IF('월 가계부'!C1536="","",IF(ISNUMBER('월 가계부'!C1536),'월 가계부'!C1536,VALUE(SUBSTITUTE(SUBSTITUTE(SUBSTITUTE(SUBSTITUTE(TRIM('월 가계부'!C1536),",",""),"원","")," ",""),"−","-")))),"")</f>
        <v/>
      </c>
      <c r="CK1536">
        <f>IF(ISNUMBER(CI1536),IF(CI1536&lt;$B$13,CI1536,""),"")</f>
        <v/>
      </c>
      <c r="CM1536">
        <f>IF(CH1536="","",IFERROR(IF(IF(AND(LEN(CH1536)=9,ISERROR(FIND("-",LEFT(CH1536,8))),ISNUMBER(-LEFT(CH1536,8))),VALUE(LEFT(CH1536,4)),VALUE(LEFT(CH1536,FIND("-",CH1536)-1)))&lt;100,IF(AND(LEN(CH1536)=9,ISERROR(FIND("-",LEFT(CH1536,8))),ISNUMBER(-LEFT(CH1536,8))),VALUE(LEFT(CH1536,4)),VALUE(LEFT(CH1536,FIND("-",CH1536)-1)))+2000,IF(AND(LEN(CH1536)=9,ISERROR(FIND("-",LEFT(CH1536,8))),ISNUMBER(-LEFT(CH1536,8))),VALUE(LEFT(CH1536,4)),VALUE(LEFT(CH1536,FIND("-",CH1536)-1)))),""))</f>
        <v/>
      </c>
      <c r="CN1536">
        <f>IF(CH1536="","",IFERROR(IF(AND(LEN(CH1536)=9,ISERROR(FIND("-",LEFT(CH1536,8))),ISNUMBER(-LEFT(CH1536,8))),VALUE(MID(CH1536,5,2)),VALUE(MID(CH1536,FIND("-",CH1536)+1,FIND("-",CH1536,FIND("-",CH1536)+1)-FIND("-",CH1536)-1))),""))</f>
        <v/>
      </c>
      <c r="CO1536">
        <f>IF(CH1536="","",IFERROR(IF(AND(LEN(CH1536)=9,ISERROR(FIND("-",LEFT(CH1536,8))),ISNUMBER(-LEFT(CH1536,8))),VALUE(MID(CH1536,7,2)),VALUE(MID(CH1536,FIND("-",CH1536,FIND("-",CH1536)+1)+1,FIND("-",CH1536,FIND("-",CH1536,FIND("-",CH1536)+1)+1)-FIND("-",CH1536,FIND("-",CH1536)+1)-1))),""))</f>
        <v/>
      </c>
    </row>
    <row r="1537">
      <c r="CH1537">
        <f>IF(ISTEXT('월 가계부'!A1537),SUBSTITUTE(SUBSTITUTE(SUBSTITUTE(SUBSTITUTE(SUBSTITUTE(SUBSTITUTE(SUBSTITUTE(SUBSTITUTE(SUBSTITUTE(TRIM('월 가계부'!A1537),"년","-"),"월","-"),"일",""),".","-"),"/","-")," ","-"),"--","-"),"--","-"),"--","-")&amp;"-","")</f>
        <v/>
      </c>
      <c r="CI1537">
        <f>IFERROR(IF('월 가계부'!A1537="","",IF(ISNUMBER('월 가계부'!A1537),IF(AND('월 가계부'!A1537&gt;=19000101,'월 가계부'!A1537&lt;=21001231),IF(AND(MOD(INT('월 가계부'!A1537/100),100)&gt;=1,MOD(INT('월 가계부'!A1537/100),100)&lt;=12,MOD(INT('월 가계부'!A1537),100)&gt;=1,MOD(INT('월 가계부'!A1537),100)&lt;=31),IF(MONTH(DATE(INT('월 가계부'!A1537/10000),MOD(INT('월 가계부'!A1537/100),100),MOD(INT('월 가계부'!A1537),100)))=MOD(INT('월 가계부'!A1537/100),100),DATE(INT('월 가계부'!A1537/10000),MOD(INT('월 가계부'!A1537/100),100),MOD(INT('월 가계부'!A1537),100)),""),""),IF(AND('월 가계부'!A1537&gt;=36526,'월 가계부'!A1537&lt;73051),INT('월 가계부'!A1537),"")),IF(OR(CM1537="",CN1537="",CO1537=""),"",IF(AND(CM1537&gt;=2000,CM1537&lt;=2099,CN1537&gt;=1,CN1537&lt;=12,CO1537&gt;=1,CO1537&lt;=31),IF(MONTH(DATE(CM1537,CN1537,CO1537))=CN1537,DATE(CM1537,CN1537,CO1537),""),"")))),"")</f>
        <v/>
      </c>
      <c r="CJ1537">
        <f>IFERROR(IF('월 가계부'!C1537="","",IF(ISNUMBER('월 가계부'!C1537),'월 가계부'!C1537,VALUE(SUBSTITUTE(SUBSTITUTE(SUBSTITUTE(SUBSTITUTE(TRIM('월 가계부'!C1537),",",""),"원","")," ",""),"−","-")))),"")</f>
        <v/>
      </c>
      <c r="CK1537">
        <f>IF(ISNUMBER(CI1537),IF(CI1537&lt;$B$13,CI1537,""),"")</f>
        <v/>
      </c>
      <c r="CM1537">
        <f>IF(CH1537="","",IFERROR(IF(IF(AND(LEN(CH1537)=9,ISERROR(FIND("-",LEFT(CH1537,8))),ISNUMBER(-LEFT(CH1537,8))),VALUE(LEFT(CH1537,4)),VALUE(LEFT(CH1537,FIND("-",CH1537)-1)))&lt;100,IF(AND(LEN(CH1537)=9,ISERROR(FIND("-",LEFT(CH1537,8))),ISNUMBER(-LEFT(CH1537,8))),VALUE(LEFT(CH1537,4)),VALUE(LEFT(CH1537,FIND("-",CH1537)-1)))+2000,IF(AND(LEN(CH1537)=9,ISERROR(FIND("-",LEFT(CH1537,8))),ISNUMBER(-LEFT(CH1537,8))),VALUE(LEFT(CH1537,4)),VALUE(LEFT(CH1537,FIND("-",CH1537)-1)))),""))</f>
        <v/>
      </c>
      <c r="CN1537">
        <f>IF(CH1537="","",IFERROR(IF(AND(LEN(CH1537)=9,ISERROR(FIND("-",LEFT(CH1537,8))),ISNUMBER(-LEFT(CH1537,8))),VALUE(MID(CH1537,5,2)),VALUE(MID(CH1537,FIND("-",CH1537)+1,FIND("-",CH1537,FIND("-",CH1537)+1)-FIND("-",CH1537)-1))),""))</f>
        <v/>
      </c>
      <c r="CO1537">
        <f>IF(CH1537="","",IFERROR(IF(AND(LEN(CH1537)=9,ISERROR(FIND("-",LEFT(CH1537,8))),ISNUMBER(-LEFT(CH1537,8))),VALUE(MID(CH1537,7,2)),VALUE(MID(CH1537,FIND("-",CH1537,FIND("-",CH1537)+1)+1,FIND("-",CH1537,FIND("-",CH1537,FIND("-",CH1537)+1)+1)-FIND("-",CH1537,FIND("-",CH1537)+1)-1))),""))</f>
        <v/>
      </c>
    </row>
    <row r="1538">
      <c r="CH1538">
        <f>IF(ISTEXT('월 가계부'!A1538),SUBSTITUTE(SUBSTITUTE(SUBSTITUTE(SUBSTITUTE(SUBSTITUTE(SUBSTITUTE(SUBSTITUTE(SUBSTITUTE(SUBSTITUTE(TRIM('월 가계부'!A1538),"년","-"),"월","-"),"일",""),".","-"),"/","-")," ","-"),"--","-"),"--","-"),"--","-")&amp;"-","")</f>
        <v/>
      </c>
      <c r="CI1538">
        <f>IFERROR(IF('월 가계부'!A1538="","",IF(ISNUMBER('월 가계부'!A1538),IF(AND('월 가계부'!A1538&gt;=19000101,'월 가계부'!A1538&lt;=21001231),IF(AND(MOD(INT('월 가계부'!A1538/100),100)&gt;=1,MOD(INT('월 가계부'!A1538/100),100)&lt;=12,MOD(INT('월 가계부'!A1538),100)&gt;=1,MOD(INT('월 가계부'!A1538),100)&lt;=31),IF(MONTH(DATE(INT('월 가계부'!A1538/10000),MOD(INT('월 가계부'!A1538/100),100),MOD(INT('월 가계부'!A1538),100)))=MOD(INT('월 가계부'!A1538/100),100),DATE(INT('월 가계부'!A1538/10000),MOD(INT('월 가계부'!A1538/100),100),MOD(INT('월 가계부'!A1538),100)),""),""),IF(AND('월 가계부'!A1538&gt;=36526,'월 가계부'!A1538&lt;73051),INT('월 가계부'!A1538),"")),IF(OR(CM1538="",CN1538="",CO1538=""),"",IF(AND(CM1538&gt;=2000,CM1538&lt;=2099,CN1538&gt;=1,CN1538&lt;=12,CO1538&gt;=1,CO1538&lt;=31),IF(MONTH(DATE(CM1538,CN1538,CO1538))=CN1538,DATE(CM1538,CN1538,CO1538),""),"")))),"")</f>
        <v/>
      </c>
      <c r="CJ1538">
        <f>IFERROR(IF('월 가계부'!C1538="","",IF(ISNUMBER('월 가계부'!C1538),'월 가계부'!C1538,VALUE(SUBSTITUTE(SUBSTITUTE(SUBSTITUTE(SUBSTITUTE(TRIM('월 가계부'!C1538),",",""),"원","")," ",""),"−","-")))),"")</f>
        <v/>
      </c>
      <c r="CK1538">
        <f>IF(ISNUMBER(CI1538),IF(CI1538&lt;$B$13,CI1538,""),"")</f>
        <v/>
      </c>
      <c r="CM1538">
        <f>IF(CH1538="","",IFERROR(IF(IF(AND(LEN(CH1538)=9,ISERROR(FIND("-",LEFT(CH1538,8))),ISNUMBER(-LEFT(CH1538,8))),VALUE(LEFT(CH1538,4)),VALUE(LEFT(CH1538,FIND("-",CH1538)-1)))&lt;100,IF(AND(LEN(CH1538)=9,ISERROR(FIND("-",LEFT(CH1538,8))),ISNUMBER(-LEFT(CH1538,8))),VALUE(LEFT(CH1538,4)),VALUE(LEFT(CH1538,FIND("-",CH1538)-1)))+2000,IF(AND(LEN(CH1538)=9,ISERROR(FIND("-",LEFT(CH1538,8))),ISNUMBER(-LEFT(CH1538,8))),VALUE(LEFT(CH1538,4)),VALUE(LEFT(CH1538,FIND("-",CH1538)-1)))),""))</f>
        <v/>
      </c>
      <c r="CN1538">
        <f>IF(CH1538="","",IFERROR(IF(AND(LEN(CH1538)=9,ISERROR(FIND("-",LEFT(CH1538,8))),ISNUMBER(-LEFT(CH1538,8))),VALUE(MID(CH1538,5,2)),VALUE(MID(CH1538,FIND("-",CH1538)+1,FIND("-",CH1538,FIND("-",CH1538)+1)-FIND("-",CH1538)-1))),""))</f>
        <v/>
      </c>
      <c r="CO1538">
        <f>IF(CH1538="","",IFERROR(IF(AND(LEN(CH1538)=9,ISERROR(FIND("-",LEFT(CH1538,8))),ISNUMBER(-LEFT(CH1538,8))),VALUE(MID(CH1538,7,2)),VALUE(MID(CH1538,FIND("-",CH1538,FIND("-",CH1538)+1)+1,FIND("-",CH1538,FIND("-",CH1538,FIND("-",CH1538)+1)+1)-FIND("-",CH1538,FIND("-",CH1538)+1)-1))),""))</f>
        <v/>
      </c>
    </row>
    <row r="1539">
      <c r="CH1539">
        <f>IF(ISTEXT('월 가계부'!A1539),SUBSTITUTE(SUBSTITUTE(SUBSTITUTE(SUBSTITUTE(SUBSTITUTE(SUBSTITUTE(SUBSTITUTE(SUBSTITUTE(SUBSTITUTE(TRIM('월 가계부'!A1539),"년","-"),"월","-"),"일",""),".","-"),"/","-")," ","-"),"--","-"),"--","-"),"--","-")&amp;"-","")</f>
        <v/>
      </c>
      <c r="CI1539">
        <f>IFERROR(IF('월 가계부'!A1539="","",IF(ISNUMBER('월 가계부'!A1539),IF(AND('월 가계부'!A1539&gt;=19000101,'월 가계부'!A1539&lt;=21001231),IF(AND(MOD(INT('월 가계부'!A1539/100),100)&gt;=1,MOD(INT('월 가계부'!A1539/100),100)&lt;=12,MOD(INT('월 가계부'!A1539),100)&gt;=1,MOD(INT('월 가계부'!A1539),100)&lt;=31),IF(MONTH(DATE(INT('월 가계부'!A1539/10000),MOD(INT('월 가계부'!A1539/100),100),MOD(INT('월 가계부'!A1539),100)))=MOD(INT('월 가계부'!A1539/100),100),DATE(INT('월 가계부'!A1539/10000),MOD(INT('월 가계부'!A1539/100),100),MOD(INT('월 가계부'!A1539),100)),""),""),IF(AND('월 가계부'!A1539&gt;=36526,'월 가계부'!A1539&lt;73051),INT('월 가계부'!A1539),"")),IF(OR(CM1539="",CN1539="",CO1539=""),"",IF(AND(CM1539&gt;=2000,CM1539&lt;=2099,CN1539&gt;=1,CN1539&lt;=12,CO1539&gt;=1,CO1539&lt;=31),IF(MONTH(DATE(CM1539,CN1539,CO1539))=CN1539,DATE(CM1539,CN1539,CO1539),""),"")))),"")</f>
        <v/>
      </c>
      <c r="CJ1539">
        <f>IFERROR(IF('월 가계부'!C1539="","",IF(ISNUMBER('월 가계부'!C1539),'월 가계부'!C1539,VALUE(SUBSTITUTE(SUBSTITUTE(SUBSTITUTE(SUBSTITUTE(TRIM('월 가계부'!C1539),",",""),"원","")," ",""),"−","-")))),"")</f>
        <v/>
      </c>
      <c r="CK1539">
        <f>IF(ISNUMBER(CI1539),IF(CI1539&lt;$B$13,CI1539,""),"")</f>
        <v/>
      </c>
      <c r="CM1539">
        <f>IF(CH1539="","",IFERROR(IF(IF(AND(LEN(CH1539)=9,ISERROR(FIND("-",LEFT(CH1539,8))),ISNUMBER(-LEFT(CH1539,8))),VALUE(LEFT(CH1539,4)),VALUE(LEFT(CH1539,FIND("-",CH1539)-1)))&lt;100,IF(AND(LEN(CH1539)=9,ISERROR(FIND("-",LEFT(CH1539,8))),ISNUMBER(-LEFT(CH1539,8))),VALUE(LEFT(CH1539,4)),VALUE(LEFT(CH1539,FIND("-",CH1539)-1)))+2000,IF(AND(LEN(CH1539)=9,ISERROR(FIND("-",LEFT(CH1539,8))),ISNUMBER(-LEFT(CH1539,8))),VALUE(LEFT(CH1539,4)),VALUE(LEFT(CH1539,FIND("-",CH1539)-1)))),""))</f>
        <v/>
      </c>
      <c r="CN1539">
        <f>IF(CH1539="","",IFERROR(IF(AND(LEN(CH1539)=9,ISERROR(FIND("-",LEFT(CH1539,8))),ISNUMBER(-LEFT(CH1539,8))),VALUE(MID(CH1539,5,2)),VALUE(MID(CH1539,FIND("-",CH1539)+1,FIND("-",CH1539,FIND("-",CH1539)+1)-FIND("-",CH1539)-1))),""))</f>
        <v/>
      </c>
      <c r="CO1539">
        <f>IF(CH1539="","",IFERROR(IF(AND(LEN(CH1539)=9,ISERROR(FIND("-",LEFT(CH1539,8))),ISNUMBER(-LEFT(CH1539,8))),VALUE(MID(CH1539,7,2)),VALUE(MID(CH1539,FIND("-",CH1539,FIND("-",CH1539)+1)+1,FIND("-",CH1539,FIND("-",CH1539,FIND("-",CH1539)+1)+1)-FIND("-",CH1539,FIND("-",CH1539)+1)-1))),""))</f>
        <v/>
      </c>
    </row>
    <row r="1540">
      <c r="CH1540">
        <f>IF(ISTEXT('월 가계부'!A1540),SUBSTITUTE(SUBSTITUTE(SUBSTITUTE(SUBSTITUTE(SUBSTITUTE(SUBSTITUTE(SUBSTITUTE(SUBSTITUTE(SUBSTITUTE(TRIM('월 가계부'!A1540),"년","-"),"월","-"),"일",""),".","-"),"/","-")," ","-"),"--","-"),"--","-"),"--","-")&amp;"-","")</f>
        <v/>
      </c>
      <c r="CI1540">
        <f>IFERROR(IF('월 가계부'!A1540="","",IF(ISNUMBER('월 가계부'!A1540),IF(AND('월 가계부'!A1540&gt;=19000101,'월 가계부'!A1540&lt;=21001231),IF(AND(MOD(INT('월 가계부'!A1540/100),100)&gt;=1,MOD(INT('월 가계부'!A1540/100),100)&lt;=12,MOD(INT('월 가계부'!A1540),100)&gt;=1,MOD(INT('월 가계부'!A1540),100)&lt;=31),IF(MONTH(DATE(INT('월 가계부'!A1540/10000),MOD(INT('월 가계부'!A1540/100),100),MOD(INT('월 가계부'!A1540),100)))=MOD(INT('월 가계부'!A1540/100),100),DATE(INT('월 가계부'!A1540/10000),MOD(INT('월 가계부'!A1540/100),100),MOD(INT('월 가계부'!A1540),100)),""),""),IF(AND('월 가계부'!A1540&gt;=36526,'월 가계부'!A1540&lt;73051),INT('월 가계부'!A1540),"")),IF(OR(CM1540="",CN1540="",CO1540=""),"",IF(AND(CM1540&gt;=2000,CM1540&lt;=2099,CN1540&gt;=1,CN1540&lt;=12,CO1540&gt;=1,CO1540&lt;=31),IF(MONTH(DATE(CM1540,CN1540,CO1540))=CN1540,DATE(CM1540,CN1540,CO1540),""),"")))),"")</f>
        <v/>
      </c>
      <c r="CJ1540">
        <f>IFERROR(IF('월 가계부'!C1540="","",IF(ISNUMBER('월 가계부'!C1540),'월 가계부'!C1540,VALUE(SUBSTITUTE(SUBSTITUTE(SUBSTITUTE(SUBSTITUTE(TRIM('월 가계부'!C1540),",",""),"원","")," ",""),"−","-")))),"")</f>
        <v/>
      </c>
      <c r="CK1540">
        <f>IF(ISNUMBER(CI1540),IF(CI1540&lt;$B$13,CI1540,""),"")</f>
        <v/>
      </c>
      <c r="CM1540">
        <f>IF(CH1540="","",IFERROR(IF(IF(AND(LEN(CH1540)=9,ISERROR(FIND("-",LEFT(CH1540,8))),ISNUMBER(-LEFT(CH1540,8))),VALUE(LEFT(CH1540,4)),VALUE(LEFT(CH1540,FIND("-",CH1540)-1)))&lt;100,IF(AND(LEN(CH1540)=9,ISERROR(FIND("-",LEFT(CH1540,8))),ISNUMBER(-LEFT(CH1540,8))),VALUE(LEFT(CH1540,4)),VALUE(LEFT(CH1540,FIND("-",CH1540)-1)))+2000,IF(AND(LEN(CH1540)=9,ISERROR(FIND("-",LEFT(CH1540,8))),ISNUMBER(-LEFT(CH1540,8))),VALUE(LEFT(CH1540,4)),VALUE(LEFT(CH1540,FIND("-",CH1540)-1)))),""))</f>
        <v/>
      </c>
      <c r="CN1540">
        <f>IF(CH1540="","",IFERROR(IF(AND(LEN(CH1540)=9,ISERROR(FIND("-",LEFT(CH1540,8))),ISNUMBER(-LEFT(CH1540,8))),VALUE(MID(CH1540,5,2)),VALUE(MID(CH1540,FIND("-",CH1540)+1,FIND("-",CH1540,FIND("-",CH1540)+1)-FIND("-",CH1540)-1))),""))</f>
        <v/>
      </c>
      <c r="CO1540">
        <f>IF(CH1540="","",IFERROR(IF(AND(LEN(CH1540)=9,ISERROR(FIND("-",LEFT(CH1540,8))),ISNUMBER(-LEFT(CH1540,8))),VALUE(MID(CH1540,7,2)),VALUE(MID(CH1540,FIND("-",CH1540,FIND("-",CH1540)+1)+1,FIND("-",CH1540,FIND("-",CH1540,FIND("-",CH1540)+1)+1)-FIND("-",CH1540,FIND("-",CH1540)+1)-1))),""))</f>
        <v/>
      </c>
    </row>
    <row r="1541">
      <c r="CH1541">
        <f>IF(ISTEXT('월 가계부'!A1541),SUBSTITUTE(SUBSTITUTE(SUBSTITUTE(SUBSTITUTE(SUBSTITUTE(SUBSTITUTE(SUBSTITUTE(SUBSTITUTE(SUBSTITUTE(TRIM('월 가계부'!A1541),"년","-"),"월","-"),"일",""),".","-"),"/","-")," ","-"),"--","-"),"--","-"),"--","-")&amp;"-","")</f>
        <v/>
      </c>
      <c r="CI1541">
        <f>IFERROR(IF('월 가계부'!A1541="","",IF(ISNUMBER('월 가계부'!A1541),IF(AND('월 가계부'!A1541&gt;=19000101,'월 가계부'!A1541&lt;=21001231),IF(AND(MOD(INT('월 가계부'!A1541/100),100)&gt;=1,MOD(INT('월 가계부'!A1541/100),100)&lt;=12,MOD(INT('월 가계부'!A1541),100)&gt;=1,MOD(INT('월 가계부'!A1541),100)&lt;=31),IF(MONTH(DATE(INT('월 가계부'!A1541/10000),MOD(INT('월 가계부'!A1541/100),100),MOD(INT('월 가계부'!A1541),100)))=MOD(INT('월 가계부'!A1541/100),100),DATE(INT('월 가계부'!A1541/10000),MOD(INT('월 가계부'!A1541/100),100),MOD(INT('월 가계부'!A1541),100)),""),""),IF(AND('월 가계부'!A1541&gt;=36526,'월 가계부'!A1541&lt;73051),INT('월 가계부'!A1541),"")),IF(OR(CM1541="",CN1541="",CO1541=""),"",IF(AND(CM1541&gt;=2000,CM1541&lt;=2099,CN1541&gt;=1,CN1541&lt;=12,CO1541&gt;=1,CO1541&lt;=31),IF(MONTH(DATE(CM1541,CN1541,CO1541))=CN1541,DATE(CM1541,CN1541,CO1541),""),"")))),"")</f>
        <v/>
      </c>
      <c r="CJ1541">
        <f>IFERROR(IF('월 가계부'!C1541="","",IF(ISNUMBER('월 가계부'!C1541),'월 가계부'!C1541,VALUE(SUBSTITUTE(SUBSTITUTE(SUBSTITUTE(SUBSTITUTE(TRIM('월 가계부'!C1541),",",""),"원","")," ",""),"−","-")))),"")</f>
        <v/>
      </c>
      <c r="CK1541">
        <f>IF(ISNUMBER(CI1541),IF(CI1541&lt;$B$13,CI1541,""),"")</f>
        <v/>
      </c>
      <c r="CM1541">
        <f>IF(CH1541="","",IFERROR(IF(IF(AND(LEN(CH1541)=9,ISERROR(FIND("-",LEFT(CH1541,8))),ISNUMBER(-LEFT(CH1541,8))),VALUE(LEFT(CH1541,4)),VALUE(LEFT(CH1541,FIND("-",CH1541)-1)))&lt;100,IF(AND(LEN(CH1541)=9,ISERROR(FIND("-",LEFT(CH1541,8))),ISNUMBER(-LEFT(CH1541,8))),VALUE(LEFT(CH1541,4)),VALUE(LEFT(CH1541,FIND("-",CH1541)-1)))+2000,IF(AND(LEN(CH1541)=9,ISERROR(FIND("-",LEFT(CH1541,8))),ISNUMBER(-LEFT(CH1541,8))),VALUE(LEFT(CH1541,4)),VALUE(LEFT(CH1541,FIND("-",CH1541)-1)))),""))</f>
        <v/>
      </c>
      <c r="CN1541">
        <f>IF(CH1541="","",IFERROR(IF(AND(LEN(CH1541)=9,ISERROR(FIND("-",LEFT(CH1541,8))),ISNUMBER(-LEFT(CH1541,8))),VALUE(MID(CH1541,5,2)),VALUE(MID(CH1541,FIND("-",CH1541)+1,FIND("-",CH1541,FIND("-",CH1541)+1)-FIND("-",CH1541)-1))),""))</f>
        <v/>
      </c>
      <c r="CO1541">
        <f>IF(CH1541="","",IFERROR(IF(AND(LEN(CH1541)=9,ISERROR(FIND("-",LEFT(CH1541,8))),ISNUMBER(-LEFT(CH1541,8))),VALUE(MID(CH1541,7,2)),VALUE(MID(CH1541,FIND("-",CH1541,FIND("-",CH1541)+1)+1,FIND("-",CH1541,FIND("-",CH1541,FIND("-",CH1541)+1)+1)-FIND("-",CH1541,FIND("-",CH1541)+1)-1))),""))</f>
        <v/>
      </c>
    </row>
    <row r="1542">
      <c r="CH1542">
        <f>IF(ISTEXT('월 가계부'!A1542),SUBSTITUTE(SUBSTITUTE(SUBSTITUTE(SUBSTITUTE(SUBSTITUTE(SUBSTITUTE(SUBSTITUTE(SUBSTITUTE(SUBSTITUTE(TRIM('월 가계부'!A1542),"년","-"),"월","-"),"일",""),".","-"),"/","-")," ","-"),"--","-"),"--","-"),"--","-")&amp;"-","")</f>
        <v/>
      </c>
      <c r="CI1542">
        <f>IFERROR(IF('월 가계부'!A1542="","",IF(ISNUMBER('월 가계부'!A1542),IF(AND('월 가계부'!A1542&gt;=19000101,'월 가계부'!A1542&lt;=21001231),IF(AND(MOD(INT('월 가계부'!A1542/100),100)&gt;=1,MOD(INT('월 가계부'!A1542/100),100)&lt;=12,MOD(INT('월 가계부'!A1542),100)&gt;=1,MOD(INT('월 가계부'!A1542),100)&lt;=31),IF(MONTH(DATE(INT('월 가계부'!A1542/10000),MOD(INT('월 가계부'!A1542/100),100),MOD(INT('월 가계부'!A1542),100)))=MOD(INT('월 가계부'!A1542/100),100),DATE(INT('월 가계부'!A1542/10000),MOD(INT('월 가계부'!A1542/100),100),MOD(INT('월 가계부'!A1542),100)),""),""),IF(AND('월 가계부'!A1542&gt;=36526,'월 가계부'!A1542&lt;73051),INT('월 가계부'!A1542),"")),IF(OR(CM1542="",CN1542="",CO1542=""),"",IF(AND(CM1542&gt;=2000,CM1542&lt;=2099,CN1542&gt;=1,CN1542&lt;=12,CO1542&gt;=1,CO1542&lt;=31),IF(MONTH(DATE(CM1542,CN1542,CO1542))=CN1542,DATE(CM1542,CN1542,CO1542),""),"")))),"")</f>
        <v/>
      </c>
      <c r="CJ1542">
        <f>IFERROR(IF('월 가계부'!C1542="","",IF(ISNUMBER('월 가계부'!C1542),'월 가계부'!C1542,VALUE(SUBSTITUTE(SUBSTITUTE(SUBSTITUTE(SUBSTITUTE(TRIM('월 가계부'!C1542),",",""),"원","")," ",""),"−","-")))),"")</f>
        <v/>
      </c>
      <c r="CK1542">
        <f>IF(ISNUMBER(CI1542),IF(CI1542&lt;$B$13,CI1542,""),"")</f>
        <v/>
      </c>
      <c r="CM1542">
        <f>IF(CH1542="","",IFERROR(IF(IF(AND(LEN(CH1542)=9,ISERROR(FIND("-",LEFT(CH1542,8))),ISNUMBER(-LEFT(CH1542,8))),VALUE(LEFT(CH1542,4)),VALUE(LEFT(CH1542,FIND("-",CH1542)-1)))&lt;100,IF(AND(LEN(CH1542)=9,ISERROR(FIND("-",LEFT(CH1542,8))),ISNUMBER(-LEFT(CH1542,8))),VALUE(LEFT(CH1542,4)),VALUE(LEFT(CH1542,FIND("-",CH1542)-1)))+2000,IF(AND(LEN(CH1542)=9,ISERROR(FIND("-",LEFT(CH1542,8))),ISNUMBER(-LEFT(CH1542,8))),VALUE(LEFT(CH1542,4)),VALUE(LEFT(CH1542,FIND("-",CH1542)-1)))),""))</f>
        <v/>
      </c>
      <c r="CN1542">
        <f>IF(CH1542="","",IFERROR(IF(AND(LEN(CH1542)=9,ISERROR(FIND("-",LEFT(CH1542,8))),ISNUMBER(-LEFT(CH1542,8))),VALUE(MID(CH1542,5,2)),VALUE(MID(CH1542,FIND("-",CH1542)+1,FIND("-",CH1542,FIND("-",CH1542)+1)-FIND("-",CH1542)-1))),""))</f>
        <v/>
      </c>
      <c r="CO1542">
        <f>IF(CH1542="","",IFERROR(IF(AND(LEN(CH1542)=9,ISERROR(FIND("-",LEFT(CH1542,8))),ISNUMBER(-LEFT(CH1542,8))),VALUE(MID(CH1542,7,2)),VALUE(MID(CH1542,FIND("-",CH1542,FIND("-",CH1542)+1)+1,FIND("-",CH1542,FIND("-",CH1542,FIND("-",CH1542)+1)+1)-FIND("-",CH1542,FIND("-",CH1542)+1)-1))),""))</f>
        <v/>
      </c>
    </row>
    <row r="1543">
      <c r="CH1543">
        <f>IF(ISTEXT('월 가계부'!A1543),SUBSTITUTE(SUBSTITUTE(SUBSTITUTE(SUBSTITUTE(SUBSTITUTE(SUBSTITUTE(SUBSTITUTE(SUBSTITUTE(SUBSTITUTE(TRIM('월 가계부'!A1543),"년","-"),"월","-"),"일",""),".","-"),"/","-")," ","-"),"--","-"),"--","-"),"--","-")&amp;"-","")</f>
        <v/>
      </c>
      <c r="CI1543">
        <f>IFERROR(IF('월 가계부'!A1543="","",IF(ISNUMBER('월 가계부'!A1543),IF(AND('월 가계부'!A1543&gt;=19000101,'월 가계부'!A1543&lt;=21001231),IF(AND(MOD(INT('월 가계부'!A1543/100),100)&gt;=1,MOD(INT('월 가계부'!A1543/100),100)&lt;=12,MOD(INT('월 가계부'!A1543),100)&gt;=1,MOD(INT('월 가계부'!A1543),100)&lt;=31),IF(MONTH(DATE(INT('월 가계부'!A1543/10000),MOD(INT('월 가계부'!A1543/100),100),MOD(INT('월 가계부'!A1543),100)))=MOD(INT('월 가계부'!A1543/100),100),DATE(INT('월 가계부'!A1543/10000),MOD(INT('월 가계부'!A1543/100),100),MOD(INT('월 가계부'!A1543),100)),""),""),IF(AND('월 가계부'!A1543&gt;=36526,'월 가계부'!A1543&lt;73051),INT('월 가계부'!A1543),"")),IF(OR(CM1543="",CN1543="",CO1543=""),"",IF(AND(CM1543&gt;=2000,CM1543&lt;=2099,CN1543&gt;=1,CN1543&lt;=12,CO1543&gt;=1,CO1543&lt;=31),IF(MONTH(DATE(CM1543,CN1543,CO1543))=CN1543,DATE(CM1543,CN1543,CO1543),""),"")))),"")</f>
        <v/>
      </c>
      <c r="CJ1543">
        <f>IFERROR(IF('월 가계부'!C1543="","",IF(ISNUMBER('월 가계부'!C1543),'월 가계부'!C1543,VALUE(SUBSTITUTE(SUBSTITUTE(SUBSTITUTE(SUBSTITUTE(TRIM('월 가계부'!C1543),",",""),"원","")," ",""),"−","-")))),"")</f>
        <v/>
      </c>
      <c r="CK1543">
        <f>IF(ISNUMBER(CI1543),IF(CI1543&lt;$B$13,CI1543,""),"")</f>
        <v/>
      </c>
      <c r="CM1543">
        <f>IF(CH1543="","",IFERROR(IF(IF(AND(LEN(CH1543)=9,ISERROR(FIND("-",LEFT(CH1543,8))),ISNUMBER(-LEFT(CH1543,8))),VALUE(LEFT(CH1543,4)),VALUE(LEFT(CH1543,FIND("-",CH1543)-1)))&lt;100,IF(AND(LEN(CH1543)=9,ISERROR(FIND("-",LEFT(CH1543,8))),ISNUMBER(-LEFT(CH1543,8))),VALUE(LEFT(CH1543,4)),VALUE(LEFT(CH1543,FIND("-",CH1543)-1)))+2000,IF(AND(LEN(CH1543)=9,ISERROR(FIND("-",LEFT(CH1543,8))),ISNUMBER(-LEFT(CH1543,8))),VALUE(LEFT(CH1543,4)),VALUE(LEFT(CH1543,FIND("-",CH1543)-1)))),""))</f>
        <v/>
      </c>
      <c r="CN1543">
        <f>IF(CH1543="","",IFERROR(IF(AND(LEN(CH1543)=9,ISERROR(FIND("-",LEFT(CH1543,8))),ISNUMBER(-LEFT(CH1543,8))),VALUE(MID(CH1543,5,2)),VALUE(MID(CH1543,FIND("-",CH1543)+1,FIND("-",CH1543,FIND("-",CH1543)+1)-FIND("-",CH1543)-1))),""))</f>
        <v/>
      </c>
      <c r="CO1543">
        <f>IF(CH1543="","",IFERROR(IF(AND(LEN(CH1543)=9,ISERROR(FIND("-",LEFT(CH1543,8))),ISNUMBER(-LEFT(CH1543,8))),VALUE(MID(CH1543,7,2)),VALUE(MID(CH1543,FIND("-",CH1543,FIND("-",CH1543)+1)+1,FIND("-",CH1543,FIND("-",CH1543,FIND("-",CH1543)+1)+1)-FIND("-",CH1543,FIND("-",CH1543)+1)-1))),""))</f>
        <v/>
      </c>
    </row>
    <row r="1544">
      <c r="CH1544">
        <f>IF(ISTEXT('월 가계부'!A1544),SUBSTITUTE(SUBSTITUTE(SUBSTITUTE(SUBSTITUTE(SUBSTITUTE(SUBSTITUTE(SUBSTITUTE(SUBSTITUTE(SUBSTITUTE(TRIM('월 가계부'!A1544),"년","-"),"월","-"),"일",""),".","-"),"/","-")," ","-"),"--","-"),"--","-"),"--","-")&amp;"-","")</f>
        <v/>
      </c>
      <c r="CI1544">
        <f>IFERROR(IF('월 가계부'!A1544="","",IF(ISNUMBER('월 가계부'!A1544),IF(AND('월 가계부'!A1544&gt;=19000101,'월 가계부'!A1544&lt;=21001231),IF(AND(MOD(INT('월 가계부'!A1544/100),100)&gt;=1,MOD(INT('월 가계부'!A1544/100),100)&lt;=12,MOD(INT('월 가계부'!A1544),100)&gt;=1,MOD(INT('월 가계부'!A1544),100)&lt;=31),IF(MONTH(DATE(INT('월 가계부'!A1544/10000),MOD(INT('월 가계부'!A1544/100),100),MOD(INT('월 가계부'!A1544),100)))=MOD(INT('월 가계부'!A1544/100),100),DATE(INT('월 가계부'!A1544/10000),MOD(INT('월 가계부'!A1544/100),100),MOD(INT('월 가계부'!A1544),100)),""),""),IF(AND('월 가계부'!A1544&gt;=36526,'월 가계부'!A1544&lt;73051),INT('월 가계부'!A1544),"")),IF(OR(CM1544="",CN1544="",CO1544=""),"",IF(AND(CM1544&gt;=2000,CM1544&lt;=2099,CN1544&gt;=1,CN1544&lt;=12,CO1544&gt;=1,CO1544&lt;=31),IF(MONTH(DATE(CM1544,CN1544,CO1544))=CN1544,DATE(CM1544,CN1544,CO1544),""),"")))),"")</f>
        <v/>
      </c>
      <c r="CJ1544">
        <f>IFERROR(IF('월 가계부'!C1544="","",IF(ISNUMBER('월 가계부'!C1544),'월 가계부'!C1544,VALUE(SUBSTITUTE(SUBSTITUTE(SUBSTITUTE(SUBSTITUTE(TRIM('월 가계부'!C1544),",",""),"원","")," ",""),"−","-")))),"")</f>
        <v/>
      </c>
      <c r="CK1544">
        <f>IF(ISNUMBER(CI1544),IF(CI1544&lt;$B$13,CI1544,""),"")</f>
        <v/>
      </c>
      <c r="CM1544">
        <f>IF(CH1544="","",IFERROR(IF(IF(AND(LEN(CH1544)=9,ISERROR(FIND("-",LEFT(CH1544,8))),ISNUMBER(-LEFT(CH1544,8))),VALUE(LEFT(CH1544,4)),VALUE(LEFT(CH1544,FIND("-",CH1544)-1)))&lt;100,IF(AND(LEN(CH1544)=9,ISERROR(FIND("-",LEFT(CH1544,8))),ISNUMBER(-LEFT(CH1544,8))),VALUE(LEFT(CH1544,4)),VALUE(LEFT(CH1544,FIND("-",CH1544)-1)))+2000,IF(AND(LEN(CH1544)=9,ISERROR(FIND("-",LEFT(CH1544,8))),ISNUMBER(-LEFT(CH1544,8))),VALUE(LEFT(CH1544,4)),VALUE(LEFT(CH1544,FIND("-",CH1544)-1)))),""))</f>
        <v/>
      </c>
      <c r="CN1544">
        <f>IF(CH1544="","",IFERROR(IF(AND(LEN(CH1544)=9,ISERROR(FIND("-",LEFT(CH1544,8))),ISNUMBER(-LEFT(CH1544,8))),VALUE(MID(CH1544,5,2)),VALUE(MID(CH1544,FIND("-",CH1544)+1,FIND("-",CH1544,FIND("-",CH1544)+1)-FIND("-",CH1544)-1))),""))</f>
        <v/>
      </c>
      <c r="CO1544">
        <f>IF(CH1544="","",IFERROR(IF(AND(LEN(CH1544)=9,ISERROR(FIND("-",LEFT(CH1544,8))),ISNUMBER(-LEFT(CH1544,8))),VALUE(MID(CH1544,7,2)),VALUE(MID(CH1544,FIND("-",CH1544,FIND("-",CH1544)+1)+1,FIND("-",CH1544,FIND("-",CH1544,FIND("-",CH1544)+1)+1)-FIND("-",CH1544,FIND("-",CH1544)+1)-1))),""))</f>
        <v/>
      </c>
    </row>
    <row r="1545">
      <c r="CH1545">
        <f>IF(ISTEXT('월 가계부'!A1545),SUBSTITUTE(SUBSTITUTE(SUBSTITUTE(SUBSTITUTE(SUBSTITUTE(SUBSTITUTE(SUBSTITUTE(SUBSTITUTE(SUBSTITUTE(TRIM('월 가계부'!A1545),"년","-"),"월","-"),"일",""),".","-"),"/","-")," ","-"),"--","-"),"--","-"),"--","-")&amp;"-","")</f>
        <v/>
      </c>
      <c r="CI1545">
        <f>IFERROR(IF('월 가계부'!A1545="","",IF(ISNUMBER('월 가계부'!A1545),IF(AND('월 가계부'!A1545&gt;=19000101,'월 가계부'!A1545&lt;=21001231),IF(AND(MOD(INT('월 가계부'!A1545/100),100)&gt;=1,MOD(INT('월 가계부'!A1545/100),100)&lt;=12,MOD(INT('월 가계부'!A1545),100)&gt;=1,MOD(INT('월 가계부'!A1545),100)&lt;=31),IF(MONTH(DATE(INT('월 가계부'!A1545/10000),MOD(INT('월 가계부'!A1545/100),100),MOD(INT('월 가계부'!A1545),100)))=MOD(INT('월 가계부'!A1545/100),100),DATE(INT('월 가계부'!A1545/10000),MOD(INT('월 가계부'!A1545/100),100),MOD(INT('월 가계부'!A1545),100)),""),""),IF(AND('월 가계부'!A1545&gt;=36526,'월 가계부'!A1545&lt;73051),INT('월 가계부'!A1545),"")),IF(OR(CM1545="",CN1545="",CO1545=""),"",IF(AND(CM1545&gt;=2000,CM1545&lt;=2099,CN1545&gt;=1,CN1545&lt;=12,CO1545&gt;=1,CO1545&lt;=31),IF(MONTH(DATE(CM1545,CN1545,CO1545))=CN1545,DATE(CM1545,CN1545,CO1545),""),"")))),"")</f>
        <v/>
      </c>
      <c r="CJ1545">
        <f>IFERROR(IF('월 가계부'!C1545="","",IF(ISNUMBER('월 가계부'!C1545),'월 가계부'!C1545,VALUE(SUBSTITUTE(SUBSTITUTE(SUBSTITUTE(SUBSTITUTE(TRIM('월 가계부'!C1545),",",""),"원","")," ",""),"−","-")))),"")</f>
        <v/>
      </c>
      <c r="CK1545">
        <f>IF(ISNUMBER(CI1545),IF(CI1545&lt;$B$13,CI1545,""),"")</f>
        <v/>
      </c>
      <c r="CM1545">
        <f>IF(CH1545="","",IFERROR(IF(IF(AND(LEN(CH1545)=9,ISERROR(FIND("-",LEFT(CH1545,8))),ISNUMBER(-LEFT(CH1545,8))),VALUE(LEFT(CH1545,4)),VALUE(LEFT(CH1545,FIND("-",CH1545)-1)))&lt;100,IF(AND(LEN(CH1545)=9,ISERROR(FIND("-",LEFT(CH1545,8))),ISNUMBER(-LEFT(CH1545,8))),VALUE(LEFT(CH1545,4)),VALUE(LEFT(CH1545,FIND("-",CH1545)-1)))+2000,IF(AND(LEN(CH1545)=9,ISERROR(FIND("-",LEFT(CH1545,8))),ISNUMBER(-LEFT(CH1545,8))),VALUE(LEFT(CH1545,4)),VALUE(LEFT(CH1545,FIND("-",CH1545)-1)))),""))</f>
        <v/>
      </c>
      <c r="CN1545">
        <f>IF(CH1545="","",IFERROR(IF(AND(LEN(CH1545)=9,ISERROR(FIND("-",LEFT(CH1545,8))),ISNUMBER(-LEFT(CH1545,8))),VALUE(MID(CH1545,5,2)),VALUE(MID(CH1545,FIND("-",CH1545)+1,FIND("-",CH1545,FIND("-",CH1545)+1)-FIND("-",CH1545)-1))),""))</f>
        <v/>
      </c>
      <c r="CO1545">
        <f>IF(CH1545="","",IFERROR(IF(AND(LEN(CH1545)=9,ISERROR(FIND("-",LEFT(CH1545,8))),ISNUMBER(-LEFT(CH1545,8))),VALUE(MID(CH1545,7,2)),VALUE(MID(CH1545,FIND("-",CH1545,FIND("-",CH1545)+1)+1,FIND("-",CH1545,FIND("-",CH1545,FIND("-",CH1545)+1)+1)-FIND("-",CH1545,FIND("-",CH1545)+1)-1))),""))</f>
        <v/>
      </c>
    </row>
    <row r="1546">
      <c r="CH1546">
        <f>IF(ISTEXT('월 가계부'!A1546),SUBSTITUTE(SUBSTITUTE(SUBSTITUTE(SUBSTITUTE(SUBSTITUTE(SUBSTITUTE(SUBSTITUTE(SUBSTITUTE(SUBSTITUTE(TRIM('월 가계부'!A1546),"년","-"),"월","-"),"일",""),".","-"),"/","-")," ","-"),"--","-"),"--","-"),"--","-")&amp;"-","")</f>
        <v/>
      </c>
      <c r="CI1546">
        <f>IFERROR(IF('월 가계부'!A1546="","",IF(ISNUMBER('월 가계부'!A1546),IF(AND('월 가계부'!A1546&gt;=19000101,'월 가계부'!A1546&lt;=21001231),IF(AND(MOD(INT('월 가계부'!A1546/100),100)&gt;=1,MOD(INT('월 가계부'!A1546/100),100)&lt;=12,MOD(INT('월 가계부'!A1546),100)&gt;=1,MOD(INT('월 가계부'!A1546),100)&lt;=31),IF(MONTH(DATE(INT('월 가계부'!A1546/10000),MOD(INT('월 가계부'!A1546/100),100),MOD(INT('월 가계부'!A1546),100)))=MOD(INT('월 가계부'!A1546/100),100),DATE(INT('월 가계부'!A1546/10000),MOD(INT('월 가계부'!A1546/100),100),MOD(INT('월 가계부'!A1546),100)),""),""),IF(AND('월 가계부'!A1546&gt;=36526,'월 가계부'!A1546&lt;73051),INT('월 가계부'!A1546),"")),IF(OR(CM1546="",CN1546="",CO1546=""),"",IF(AND(CM1546&gt;=2000,CM1546&lt;=2099,CN1546&gt;=1,CN1546&lt;=12,CO1546&gt;=1,CO1546&lt;=31),IF(MONTH(DATE(CM1546,CN1546,CO1546))=CN1546,DATE(CM1546,CN1546,CO1546),""),"")))),"")</f>
        <v/>
      </c>
      <c r="CJ1546">
        <f>IFERROR(IF('월 가계부'!C1546="","",IF(ISNUMBER('월 가계부'!C1546),'월 가계부'!C1546,VALUE(SUBSTITUTE(SUBSTITUTE(SUBSTITUTE(SUBSTITUTE(TRIM('월 가계부'!C1546),",",""),"원","")," ",""),"−","-")))),"")</f>
        <v/>
      </c>
      <c r="CK1546">
        <f>IF(ISNUMBER(CI1546),IF(CI1546&lt;$B$13,CI1546,""),"")</f>
        <v/>
      </c>
      <c r="CM1546">
        <f>IF(CH1546="","",IFERROR(IF(IF(AND(LEN(CH1546)=9,ISERROR(FIND("-",LEFT(CH1546,8))),ISNUMBER(-LEFT(CH1546,8))),VALUE(LEFT(CH1546,4)),VALUE(LEFT(CH1546,FIND("-",CH1546)-1)))&lt;100,IF(AND(LEN(CH1546)=9,ISERROR(FIND("-",LEFT(CH1546,8))),ISNUMBER(-LEFT(CH1546,8))),VALUE(LEFT(CH1546,4)),VALUE(LEFT(CH1546,FIND("-",CH1546)-1)))+2000,IF(AND(LEN(CH1546)=9,ISERROR(FIND("-",LEFT(CH1546,8))),ISNUMBER(-LEFT(CH1546,8))),VALUE(LEFT(CH1546,4)),VALUE(LEFT(CH1546,FIND("-",CH1546)-1)))),""))</f>
        <v/>
      </c>
      <c r="CN1546">
        <f>IF(CH1546="","",IFERROR(IF(AND(LEN(CH1546)=9,ISERROR(FIND("-",LEFT(CH1546,8))),ISNUMBER(-LEFT(CH1546,8))),VALUE(MID(CH1546,5,2)),VALUE(MID(CH1546,FIND("-",CH1546)+1,FIND("-",CH1546,FIND("-",CH1546)+1)-FIND("-",CH1546)-1))),""))</f>
        <v/>
      </c>
      <c r="CO1546">
        <f>IF(CH1546="","",IFERROR(IF(AND(LEN(CH1546)=9,ISERROR(FIND("-",LEFT(CH1546,8))),ISNUMBER(-LEFT(CH1546,8))),VALUE(MID(CH1546,7,2)),VALUE(MID(CH1546,FIND("-",CH1546,FIND("-",CH1546)+1)+1,FIND("-",CH1546,FIND("-",CH1546,FIND("-",CH1546)+1)+1)-FIND("-",CH1546,FIND("-",CH1546)+1)-1))),""))</f>
        <v/>
      </c>
    </row>
    <row r="1547">
      <c r="CH1547">
        <f>IF(ISTEXT('월 가계부'!A1547),SUBSTITUTE(SUBSTITUTE(SUBSTITUTE(SUBSTITUTE(SUBSTITUTE(SUBSTITUTE(SUBSTITUTE(SUBSTITUTE(SUBSTITUTE(TRIM('월 가계부'!A1547),"년","-"),"월","-"),"일",""),".","-"),"/","-")," ","-"),"--","-"),"--","-"),"--","-")&amp;"-","")</f>
        <v/>
      </c>
      <c r="CI1547">
        <f>IFERROR(IF('월 가계부'!A1547="","",IF(ISNUMBER('월 가계부'!A1547),IF(AND('월 가계부'!A1547&gt;=19000101,'월 가계부'!A1547&lt;=21001231),IF(AND(MOD(INT('월 가계부'!A1547/100),100)&gt;=1,MOD(INT('월 가계부'!A1547/100),100)&lt;=12,MOD(INT('월 가계부'!A1547),100)&gt;=1,MOD(INT('월 가계부'!A1547),100)&lt;=31),IF(MONTH(DATE(INT('월 가계부'!A1547/10000),MOD(INT('월 가계부'!A1547/100),100),MOD(INT('월 가계부'!A1547),100)))=MOD(INT('월 가계부'!A1547/100),100),DATE(INT('월 가계부'!A1547/10000),MOD(INT('월 가계부'!A1547/100),100),MOD(INT('월 가계부'!A1547),100)),""),""),IF(AND('월 가계부'!A1547&gt;=36526,'월 가계부'!A1547&lt;73051),INT('월 가계부'!A1547),"")),IF(OR(CM1547="",CN1547="",CO1547=""),"",IF(AND(CM1547&gt;=2000,CM1547&lt;=2099,CN1547&gt;=1,CN1547&lt;=12,CO1547&gt;=1,CO1547&lt;=31),IF(MONTH(DATE(CM1547,CN1547,CO1547))=CN1547,DATE(CM1547,CN1547,CO1547),""),"")))),"")</f>
        <v/>
      </c>
      <c r="CJ1547">
        <f>IFERROR(IF('월 가계부'!C1547="","",IF(ISNUMBER('월 가계부'!C1547),'월 가계부'!C1547,VALUE(SUBSTITUTE(SUBSTITUTE(SUBSTITUTE(SUBSTITUTE(TRIM('월 가계부'!C1547),",",""),"원","")," ",""),"−","-")))),"")</f>
        <v/>
      </c>
      <c r="CK1547">
        <f>IF(ISNUMBER(CI1547),IF(CI1547&lt;$B$13,CI1547,""),"")</f>
        <v/>
      </c>
      <c r="CM1547">
        <f>IF(CH1547="","",IFERROR(IF(IF(AND(LEN(CH1547)=9,ISERROR(FIND("-",LEFT(CH1547,8))),ISNUMBER(-LEFT(CH1547,8))),VALUE(LEFT(CH1547,4)),VALUE(LEFT(CH1547,FIND("-",CH1547)-1)))&lt;100,IF(AND(LEN(CH1547)=9,ISERROR(FIND("-",LEFT(CH1547,8))),ISNUMBER(-LEFT(CH1547,8))),VALUE(LEFT(CH1547,4)),VALUE(LEFT(CH1547,FIND("-",CH1547)-1)))+2000,IF(AND(LEN(CH1547)=9,ISERROR(FIND("-",LEFT(CH1547,8))),ISNUMBER(-LEFT(CH1547,8))),VALUE(LEFT(CH1547,4)),VALUE(LEFT(CH1547,FIND("-",CH1547)-1)))),""))</f>
        <v/>
      </c>
      <c r="CN1547">
        <f>IF(CH1547="","",IFERROR(IF(AND(LEN(CH1547)=9,ISERROR(FIND("-",LEFT(CH1547,8))),ISNUMBER(-LEFT(CH1547,8))),VALUE(MID(CH1547,5,2)),VALUE(MID(CH1547,FIND("-",CH1547)+1,FIND("-",CH1547,FIND("-",CH1547)+1)-FIND("-",CH1547)-1))),""))</f>
        <v/>
      </c>
      <c r="CO1547">
        <f>IF(CH1547="","",IFERROR(IF(AND(LEN(CH1547)=9,ISERROR(FIND("-",LEFT(CH1547,8))),ISNUMBER(-LEFT(CH1547,8))),VALUE(MID(CH1547,7,2)),VALUE(MID(CH1547,FIND("-",CH1547,FIND("-",CH1547)+1)+1,FIND("-",CH1547,FIND("-",CH1547,FIND("-",CH1547)+1)+1)-FIND("-",CH1547,FIND("-",CH1547)+1)-1))),""))</f>
        <v/>
      </c>
    </row>
    <row r="1548">
      <c r="CH1548">
        <f>IF(ISTEXT('월 가계부'!A1548),SUBSTITUTE(SUBSTITUTE(SUBSTITUTE(SUBSTITUTE(SUBSTITUTE(SUBSTITUTE(SUBSTITUTE(SUBSTITUTE(SUBSTITUTE(TRIM('월 가계부'!A1548),"년","-"),"월","-"),"일",""),".","-"),"/","-")," ","-"),"--","-"),"--","-"),"--","-")&amp;"-","")</f>
        <v/>
      </c>
      <c r="CI1548">
        <f>IFERROR(IF('월 가계부'!A1548="","",IF(ISNUMBER('월 가계부'!A1548),IF(AND('월 가계부'!A1548&gt;=19000101,'월 가계부'!A1548&lt;=21001231),IF(AND(MOD(INT('월 가계부'!A1548/100),100)&gt;=1,MOD(INT('월 가계부'!A1548/100),100)&lt;=12,MOD(INT('월 가계부'!A1548),100)&gt;=1,MOD(INT('월 가계부'!A1548),100)&lt;=31),IF(MONTH(DATE(INT('월 가계부'!A1548/10000),MOD(INT('월 가계부'!A1548/100),100),MOD(INT('월 가계부'!A1548),100)))=MOD(INT('월 가계부'!A1548/100),100),DATE(INT('월 가계부'!A1548/10000),MOD(INT('월 가계부'!A1548/100),100),MOD(INT('월 가계부'!A1548),100)),""),""),IF(AND('월 가계부'!A1548&gt;=36526,'월 가계부'!A1548&lt;73051),INT('월 가계부'!A1548),"")),IF(OR(CM1548="",CN1548="",CO1548=""),"",IF(AND(CM1548&gt;=2000,CM1548&lt;=2099,CN1548&gt;=1,CN1548&lt;=12,CO1548&gt;=1,CO1548&lt;=31),IF(MONTH(DATE(CM1548,CN1548,CO1548))=CN1548,DATE(CM1548,CN1548,CO1548),""),"")))),"")</f>
        <v/>
      </c>
      <c r="CJ1548">
        <f>IFERROR(IF('월 가계부'!C1548="","",IF(ISNUMBER('월 가계부'!C1548),'월 가계부'!C1548,VALUE(SUBSTITUTE(SUBSTITUTE(SUBSTITUTE(SUBSTITUTE(TRIM('월 가계부'!C1548),",",""),"원","")," ",""),"−","-")))),"")</f>
        <v/>
      </c>
      <c r="CK1548">
        <f>IF(ISNUMBER(CI1548),IF(CI1548&lt;$B$13,CI1548,""),"")</f>
        <v/>
      </c>
      <c r="CM1548">
        <f>IF(CH1548="","",IFERROR(IF(IF(AND(LEN(CH1548)=9,ISERROR(FIND("-",LEFT(CH1548,8))),ISNUMBER(-LEFT(CH1548,8))),VALUE(LEFT(CH1548,4)),VALUE(LEFT(CH1548,FIND("-",CH1548)-1)))&lt;100,IF(AND(LEN(CH1548)=9,ISERROR(FIND("-",LEFT(CH1548,8))),ISNUMBER(-LEFT(CH1548,8))),VALUE(LEFT(CH1548,4)),VALUE(LEFT(CH1548,FIND("-",CH1548)-1)))+2000,IF(AND(LEN(CH1548)=9,ISERROR(FIND("-",LEFT(CH1548,8))),ISNUMBER(-LEFT(CH1548,8))),VALUE(LEFT(CH1548,4)),VALUE(LEFT(CH1548,FIND("-",CH1548)-1)))),""))</f>
        <v/>
      </c>
      <c r="CN1548">
        <f>IF(CH1548="","",IFERROR(IF(AND(LEN(CH1548)=9,ISERROR(FIND("-",LEFT(CH1548,8))),ISNUMBER(-LEFT(CH1548,8))),VALUE(MID(CH1548,5,2)),VALUE(MID(CH1548,FIND("-",CH1548)+1,FIND("-",CH1548,FIND("-",CH1548)+1)-FIND("-",CH1548)-1))),""))</f>
        <v/>
      </c>
      <c r="CO1548">
        <f>IF(CH1548="","",IFERROR(IF(AND(LEN(CH1548)=9,ISERROR(FIND("-",LEFT(CH1548,8))),ISNUMBER(-LEFT(CH1548,8))),VALUE(MID(CH1548,7,2)),VALUE(MID(CH1548,FIND("-",CH1548,FIND("-",CH1548)+1)+1,FIND("-",CH1548,FIND("-",CH1548,FIND("-",CH1548)+1)+1)-FIND("-",CH1548,FIND("-",CH1548)+1)-1))),""))</f>
        <v/>
      </c>
    </row>
    <row r="1549">
      <c r="CH1549">
        <f>IF(ISTEXT('월 가계부'!A1549),SUBSTITUTE(SUBSTITUTE(SUBSTITUTE(SUBSTITUTE(SUBSTITUTE(SUBSTITUTE(SUBSTITUTE(SUBSTITUTE(SUBSTITUTE(TRIM('월 가계부'!A1549),"년","-"),"월","-"),"일",""),".","-"),"/","-")," ","-"),"--","-"),"--","-"),"--","-")&amp;"-","")</f>
        <v/>
      </c>
      <c r="CI1549">
        <f>IFERROR(IF('월 가계부'!A1549="","",IF(ISNUMBER('월 가계부'!A1549),IF(AND('월 가계부'!A1549&gt;=19000101,'월 가계부'!A1549&lt;=21001231),IF(AND(MOD(INT('월 가계부'!A1549/100),100)&gt;=1,MOD(INT('월 가계부'!A1549/100),100)&lt;=12,MOD(INT('월 가계부'!A1549),100)&gt;=1,MOD(INT('월 가계부'!A1549),100)&lt;=31),IF(MONTH(DATE(INT('월 가계부'!A1549/10000),MOD(INT('월 가계부'!A1549/100),100),MOD(INT('월 가계부'!A1549),100)))=MOD(INT('월 가계부'!A1549/100),100),DATE(INT('월 가계부'!A1549/10000),MOD(INT('월 가계부'!A1549/100),100),MOD(INT('월 가계부'!A1549),100)),""),""),IF(AND('월 가계부'!A1549&gt;=36526,'월 가계부'!A1549&lt;73051),INT('월 가계부'!A1549),"")),IF(OR(CM1549="",CN1549="",CO1549=""),"",IF(AND(CM1549&gt;=2000,CM1549&lt;=2099,CN1549&gt;=1,CN1549&lt;=12,CO1549&gt;=1,CO1549&lt;=31),IF(MONTH(DATE(CM1549,CN1549,CO1549))=CN1549,DATE(CM1549,CN1549,CO1549),""),"")))),"")</f>
        <v/>
      </c>
      <c r="CJ1549">
        <f>IFERROR(IF('월 가계부'!C1549="","",IF(ISNUMBER('월 가계부'!C1549),'월 가계부'!C1549,VALUE(SUBSTITUTE(SUBSTITUTE(SUBSTITUTE(SUBSTITUTE(TRIM('월 가계부'!C1549),",",""),"원","")," ",""),"−","-")))),"")</f>
        <v/>
      </c>
      <c r="CK1549">
        <f>IF(ISNUMBER(CI1549),IF(CI1549&lt;$B$13,CI1549,""),"")</f>
        <v/>
      </c>
      <c r="CM1549">
        <f>IF(CH1549="","",IFERROR(IF(IF(AND(LEN(CH1549)=9,ISERROR(FIND("-",LEFT(CH1549,8))),ISNUMBER(-LEFT(CH1549,8))),VALUE(LEFT(CH1549,4)),VALUE(LEFT(CH1549,FIND("-",CH1549)-1)))&lt;100,IF(AND(LEN(CH1549)=9,ISERROR(FIND("-",LEFT(CH1549,8))),ISNUMBER(-LEFT(CH1549,8))),VALUE(LEFT(CH1549,4)),VALUE(LEFT(CH1549,FIND("-",CH1549)-1)))+2000,IF(AND(LEN(CH1549)=9,ISERROR(FIND("-",LEFT(CH1549,8))),ISNUMBER(-LEFT(CH1549,8))),VALUE(LEFT(CH1549,4)),VALUE(LEFT(CH1549,FIND("-",CH1549)-1)))),""))</f>
        <v/>
      </c>
      <c r="CN1549">
        <f>IF(CH1549="","",IFERROR(IF(AND(LEN(CH1549)=9,ISERROR(FIND("-",LEFT(CH1549,8))),ISNUMBER(-LEFT(CH1549,8))),VALUE(MID(CH1549,5,2)),VALUE(MID(CH1549,FIND("-",CH1549)+1,FIND("-",CH1549,FIND("-",CH1549)+1)-FIND("-",CH1549)-1))),""))</f>
        <v/>
      </c>
      <c r="CO1549">
        <f>IF(CH1549="","",IFERROR(IF(AND(LEN(CH1549)=9,ISERROR(FIND("-",LEFT(CH1549,8))),ISNUMBER(-LEFT(CH1549,8))),VALUE(MID(CH1549,7,2)),VALUE(MID(CH1549,FIND("-",CH1549,FIND("-",CH1549)+1)+1,FIND("-",CH1549,FIND("-",CH1549,FIND("-",CH1549)+1)+1)-FIND("-",CH1549,FIND("-",CH1549)+1)-1))),""))</f>
        <v/>
      </c>
    </row>
    <row r="1550">
      <c r="CH1550">
        <f>IF(ISTEXT('월 가계부'!A1550),SUBSTITUTE(SUBSTITUTE(SUBSTITUTE(SUBSTITUTE(SUBSTITUTE(SUBSTITUTE(SUBSTITUTE(SUBSTITUTE(SUBSTITUTE(TRIM('월 가계부'!A1550),"년","-"),"월","-"),"일",""),".","-"),"/","-")," ","-"),"--","-"),"--","-"),"--","-")&amp;"-","")</f>
        <v/>
      </c>
      <c r="CI1550">
        <f>IFERROR(IF('월 가계부'!A1550="","",IF(ISNUMBER('월 가계부'!A1550),IF(AND('월 가계부'!A1550&gt;=19000101,'월 가계부'!A1550&lt;=21001231),IF(AND(MOD(INT('월 가계부'!A1550/100),100)&gt;=1,MOD(INT('월 가계부'!A1550/100),100)&lt;=12,MOD(INT('월 가계부'!A1550),100)&gt;=1,MOD(INT('월 가계부'!A1550),100)&lt;=31),IF(MONTH(DATE(INT('월 가계부'!A1550/10000),MOD(INT('월 가계부'!A1550/100),100),MOD(INT('월 가계부'!A1550),100)))=MOD(INT('월 가계부'!A1550/100),100),DATE(INT('월 가계부'!A1550/10000),MOD(INT('월 가계부'!A1550/100),100),MOD(INT('월 가계부'!A1550),100)),""),""),IF(AND('월 가계부'!A1550&gt;=36526,'월 가계부'!A1550&lt;73051),INT('월 가계부'!A1550),"")),IF(OR(CM1550="",CN1550="",CO1550=""),"",IF(AND(CM1550&gt;=2000,CM1550&lt;=2099,CN1550&gt;=1,CN1550&lt;=12,CO1550&gt;=1,CO1550&lt;=31),IF(MONTH(DATE(CM1550,CN1550,CO1550))=CN1550,DATE(CM1550,CN1550,CO1550),""),"")))),"")</f>
        <v/>
      </c>
      <c r="CJ1550">
        <f>IFERROR(IF('월 가계부'!C1550="","",IF(ISNUMBER('월 가계부'!C1550),'월 가계부'!C1550,VALUE(SUBSTITUTE(SUBSTITUTE(SUBSTITUTE(SUBSTITUTE(TRIM('월 가계부'!C1550),",",""),"원","")," ",""),"−","-")))),"")</f>
        <v/>
      </c>
      <c r="CK1550">
        <f>IF(ISNUMBER(CI1550),IF(CI1550&lt;$B$13,CI1550,""),"")</f>
        <v/>
      </c>
      <c r="CM1550">
        <f>IF(CH1550="","",IFERROR(IF(IF(AND(LEN(CH1550)=9,ISERROR(FIND("-",LEFT(CH1550,8))),ISNUMBER(-LEFT(CH1550,8))),VALUE(LEFT(CH1550,4)),VALUE(LEFT(CH1550,FIND("-",CH1550)-1)))&lt;100,IF(AND(LEN(CH1550)=9,ISERROR(FIND("-",LEFT(CH1550,8))),ISNUMBER(-LEFT(CH1550,8))),VALUE(LEFT(CH1550,4)),VALUE(LEFT(CH1550,FIND("-",CH1550)-1)))+2000,IF(AND(LEN(CH1550)=9,ISERROR(FIND("-",LEFT(CH1550,8))),ISNUMBER(-LEFT(CH1550,8))),VALUE(LEFT(CH1550,4)),VALUE(LEFT(CH1550,FIND("-",CH1550)-1)))),""))</f>
        <v/>
      </c>
      <c r="CN1550">
        <f>IF(CH1550="","",IFERROR(IF(AND(LEN(CH1550)=9,ISERROR(FIND("-",LEFT(CH1550,8))),ISNUMBER(-LEFT(CH1550,8))),VALUE(MID(CH1550,5,2)),VALUE(MID(CH1550,FIND("-",CH1550)+1,FIND("-",CH1550,FIND("-",CH1550)+1)-FIND("-",CH1550)-1))),""))</f>
        <v/>
      </c>
      <c r="CO1550">
        <f>IF(CH1550="","",IFERROR(IF(AND(LEN(CH1550)=9,ISERROR(FIND("-",LEFT(CH1550,8))),ISNUMBER(-LEFT(CH1550,8))),VALUE(MID(CH1550,7,2)),VALUE(MID(CH1550,FIND("-",CH1550,FIND("-",CH1550)+1)+1,FIND("-",CH1550,FIND("-",CH1550,FIND("-",CH1550)+1)+1)-FIND("-",CH1550,FIND("-",CH1550)+1)-1))),""))</f>
        <v/>
      </c>
    </row>
    <row r="1551">
      <c r="CH1551">
        <f>IF(ISTEXT('월 가계부'!A1551),SUBSTITUTE(SUBSTITUTE(SUBSTITUTE(SUBSTITUTE(SUBSTITUTE(SUBSTITUTE(SUBSTITUTE(SUBSTITUTE(SUBSTITUTE(TRIM('월 가계부'!A1551),"년","-"),"월","-"),"일",""),".","-"),"/","-")," ","-"),"--","-"),"--","-"),"--","-")&amp;"-","")</f>
        <v/>
      </c>
      <c r="CI1551">
        <f>IFERROR(IF('월 가계부'!A1551="","",IF(ISNUMBER('월 가계부'!A1551),IF(AND('월 가계부'!A1551&gt;=19000101,'월 가계부'!A1551&lt;=21001231),IF(AND(MOD(INT('월 가계부'!A1551/100),100)&gt;=1,MOD(INT('월 가계부'!A1551/100),100)&lt;=12,MOD(INT('월 가계부'!A1551),100)&gt;=1,MOD(INT('월 가계부'!A1551),100)&lt;=31),IF(MONTH(DATE(INT('월 가계부'!A1551/10000),MOD(INT('월 가계부'!A1551/100),100),MOD(INT('월 가계부'!A1551),100)))=MOD(INT('월 가계부'!A1551/100),100),DATE(INT('월 가계부'!A1551/10000),MOD(INT('월 가계부'!A1551/100),100),MOD(INT('월 가계부'!A1551),100)),""),""),IF(AND('월 가계부'!A1551&gt;=36526,'월 가계부'!A1551&lt;73051),INT('월 가계부'!A1551),"")),IF(OR(CM1551="",CN1551="",CO1551=""),"",IF(AND(CM1551&gt;=2000,CM1551&lt;=2099,CN1551&gt;=1,CN1551&lt;=12,CO1551&gt;=1,CO1551&lt;=31),IF(MONTH(DATE(CM1551,CN1551,CO1551))=CN1551,DATE(CM1551,CN1551,CO1551),""),"")))),"")</f>
        <v/>
      </c>
      <c r="CJ1551">
        <f>IFERROR(IF('월 가계부'!C1551="","",IF(ISNUMBER('월 가계부'!C1551),'월 가계부'!C1551,VALUE(SUBSTITUTE(SUBSTITUTE(SUBSTITUTE(SUBSTITUTE(TRIM('월 가계부'!C1551),",",""),"원","")," ",""),"−","-")))),"")</f>
        <v/>
      </c>
      <c r="CK1551">
        <f>IF(ISNUMBER(CI1551),IF(CI1551&lt;$B$13,CI1551,""),"")</f>
        <v/>
      </c>
      <c r="CM1551">
        <f>IF(CH1551="","",IFERROR(IF(IF(AND(LEN(CH1551)=9,ISERROR(FIND("-",LEFT(CH1551,8))),ISNUMBER(-LEFT(CH1551,8))),VALUE(LEFT(CH1551,4)),VALUE(LEFT(CH1551,FIND("-",CH1551)-1)))&lt;100,IF(AND(LEN(CH1551)=9,ISERROR(FIND("-",LEFT(CH1551,8))),ISNUMBER(-LEFT(CH1551,8))),VALUE(LEFT(CH1551,4)),VALUE(LEFT(CH1551,FIND("-",CH1551)-1)))+2000,IF(AND(LEN(CH1551)=9,ISERROR(FIND("-",LEFT(CH1551,8))),ISNUMBER(-LEFT(CH1551,8))),VALUE(LEFT(CH1551,4)),VALUE(LEFT(CH1551,FIND("-",CH1551)-1)))),""))</f>
        <v/>
      </c>
      <c r="CN1551">
        <f>IF(CH1551="","",IFERROR(IF(AND(LEN(CH1551)=9,ISERROR(FIND("-",LEFT(CH1551,8))),ISNUMBER(-LEFT(CH1551,8))),VALUE(MID(CH1551,5,2)),VALUE(MID(CH1551,FIND("-",CH1551)+1,FIND("-",CH1551,FIND("-",CH1551)+1)-FIND("-",CH1551)-1))),""))</f>
        <v/>
      </c>
      <c r="CO1551">
        <f>IF(CH1551="","",IFERROR(IF(AND(LEN(CH1551)=9,ISERROR(FIND("-",LEFT(CH1551,8))),ISNUMBER(-LEFT(CH1551,8))),VALUE(MID(CH1551,7,2)),VALUE(MID(CH1551,FIND("-",CH1551,FIND("-",CH1551)+1)+1,FIND("-",CH1551,FIND("-",CH1551,FIND("-",CH1551)+1)+1)-FIND("-",CH1551,FIND("-",CH1551)+1)-1))),""))</f>
        <v/>
      </c>
    </row>
    <row r="1552">
      <c r="CH1552">
        <f>IF(ISTEXT('월 가계부'!A1552),SUBSTITUTE(SUBSTITUTE(SUBSTITUTE(SUBSTITUTE(SUBSTITUTE(SUBSTITUTE(SUBSTITUTE(SUBSTITUTE(SUBSTITUTE(TRIM('월 가계부'!A1552),"년","-"),"월","-"),"일",""),".","-"),"/","-")," ","-"),"--","-"),"--","-"),"--","-")&amp;"-","")</f>
        <v/>
      </c>
      <c r="CI1552">
        <f>IFERROR(IF('월 가계부'!A1552="","",IF(ISNUMBER('월 가계부'!A1552),IF(AND('월 가계부'!A1552&gt;=19000101,'월 가계부'!A1552&lt;=21001231),IF(AND(MOD(INT('월 가계부'!A1552/100),100)&gt;=1,MOD(INT('월 가계부'!A1552/100),100)&lt;=12,MOD(INT('월 가계부'!A1552),100)&gt;=1,MOD(INT('월 가계부'!A1552),100)&lt;=31),IF(MONTH(DATE(INT('월 가계부'!A1552/10000),MOD(INT('월 가계부'!A1552/100),100),MOD(INT('월 가계부'!A1552),100)))=MOD(INT('월 가계부'!A1552/100),100),DATE(INT('월 가계부'!A1552/10000),MOD(INT('월 가계부'!A1552/100),100),MOD(INT('월 가계부'!A1552),100)),""),""),IF(AND('월 가계부'!A1552&gt;=36526,'월 가계부'!A1552&lt;73051),INT('월 가계부'!A1552),"")),IF(OR(CM1552="",CN1552="",CO1552=""),"",IF(AND(CM1552&gt;=2000,CM1552&lt;=2099,CN1552&gt;=1,CN1552&lt;=12,CO1552&gt;=1,CO1552&lt;=31),IF(MONTH(DATE(CM1552,CN1552,CO1552))=CN1552,DATE(CM1552,CN1552,CO1552),""),"")))),"")</f>
        <v/>
      </c>
      <c r="CJ1552">
        <f>IFERROR(IF('월 가계부'!C1552="","",IF(ISNUMBER('월 가계부'!C1552),'월 가계부'!C1552,VALUE(SUBSTITUTE(SUBSTITUTE(SUBSTITUTE(SUBSTITUTE(TRIM('월 가계부'!C1552),",",""),"원","")," ",""),"−","-")))),"")</f>
        <v/>
      </c>
      <c r="CK1552">
        <f>IF(ISNUMBER(CI1552),IF(CI1552&lt;$B$13,CI1552,""),"")</f>
        <v/>
      </c>
      <c r="CM1552">
        <f>IF(CH1552="","",IFERROR(IF(IF(AND(LEN(CH1552)=9,ISERROR(FIND("-",LEFT(CH1552,8))),ISNUMBER(-LEFT(CH1552,8))),VALUE(LEFT(CH1552,4)),VALUE(LEFT(CH1552,FIND("-",CH1552)-1)))&lt;100,IF(AND(LEN(CH1552)=9,ISERROR(FIND("-",LEFT(CH1552,8))),ISNUMBER(-LEFT(CH1552,8))),VALUE(LEFT(CH1552,4)),VALUE(LEFT(CH1552,FIND("-",CH1552)-1)))+2000,IF(AND(LEN(CH1552)=9,ISERROR(FIND("-",LEFT(CH1552,8))),ISNUMBER(-LEFT(CH1552,8))),VALUE(LEFT(CH1552,4)),VALUE(LEFT(CH1552,FIND("-",CH1552)-1)))),""))</f>
        <v/>
      </c>
      <c r="CN1552">
        <f>IF(CH1552="","",IFERROR(IF(AND(LEN(CH1552)=9,ISERROR(FIND("-",LEFT(CH1552,8))),ISNUMBER(-LEFT(CH1552,8))),VALUE(MID(CH1552,5,2)),VALUE(MID(CH1552,FIND("-",CH1552)+1,FIND("-",CH1552,FIND("-",CH1552)+1)-FIND("-",CH1552)-1))),""))</f>
        <v/>
      </c>
      <c r="CO1552">
        <f>IF(CH1552="","",IFERROR(IF(AND(LEN(CH1552)=9,ISERROR(FIND("-",LEFT(CH1552,8))),ISNUMBER(-LEFT(CH1552,8))),VALUE(MID(CH1552,7,2)),VALUE(MID(CH1552,FIND("-",CH1552,FIND("-",CH1552)+1)+1,FIND("-",CH1552,FIND("-",CH1552,FIND("-",CH1552)+1)+1)-FIND("-",CH1552,FIND("-",CH1552)+1)-1))),""))</f>
        <v/>
      </c>
    </row>
    <row r="1553">
      <c r="CH1553">
        <f>IF(ISTEXT('월 가계부'!A1553),SUBSTITUTE(SUBSTITUTE(SUBSTITUTE(SUBSTITUTE(SUBSTITUTE(SUBSTITUTE(SUBSTITUTE(SUBSTITUTE(SUBSTITUTE(TRIM('월 가계부'!A1553),"년","-"),"월","-"),"일",""),".","-"),"/","-")," ","-"),"--","-"),"--","-"),"--","-")&amp;"-","")</f>
        <v/>
      </c>
      <c r="CI1553">
        <f>IFERROR(IF('월 가계부'!A1553="","",IF(ISNUMBER('월 가계부'!A1553),IF(AND('월 가계부'!A1553&gt;=19000101,'월 가계부'!A1553&lt;=21001231),IF(AND(MOD(INT('월 가계부'!A1553/100),100)&gt;=1,MOD(INT('월 가계부'!A1553/100),100)&lt;=12,MOD(INT('월 가계부'!A1553),100)&gt;=1,MOD(INT('월 가계부'!A1553),100)&lt;=31),IF(MONTH(DATE(INT('월 가계부'!A1553/10000),MOD(INT('월 가계부'!A1553/100),100),MOD(INT('월 가계부'!A1553),100)))=MOD(INT('월 가계부'!A1553/100),100),DATE(INT('월 가계부'!A1553/10000),MOD(INT('월 가계부'!A1553/100),100),MOD(INT('월 가계부'!A1553),100)),""),""),IF(AND('월 가계부'!A1553&gt;=36526,'월 가계부'!A1553&lt;73051),INT('월 가계부'!A1553),"")),IF(OR(CM1553="",CN1553="",CO1553=""),"",IF(AND(CM1553&gt;=2000,CM1553&lt;=2099,CN1553&gt;=1,CN1553&lt;=12,CO1553&gt;=1,CO1553&lt;=31),IF(MONTH(DATE(CM1553,CN1553,CO1553))=CN1553,DATE(CM1553,CN1553,CO1553),""),"")))),"")</f>
        <v/>
      </c>
      <c r="CJ1553">
        <f>IFERROR(IF('월 가계부'!C1553="","",IF(ISNUMBER('월 가계부'!C1553),'월 가계부'!C1553,VALUE(SUBSTITUTE(SUBSTITUTE(SUBSTITUTE(SUBSTITUTE(TRIM('월 가계부'!C1553),",",""),"원","")," ",""),"−","-")))),"")</f>
        <v/>
      </c>
      <c r="CK1553">
        <f>IF(ISNUMBER(CI1553),IF(CI1553&lt;$B$13,CI1553,""),"")</f>
        <v/>
      </c>
      <c r="CM1553">
        <f>IF(CH1553="","",IFERROR(IF(IF(AND(LEN(CH1553)=9,ISERROR(FIND("-",LEFT(CH1553,8))),ISNUMBER(-LEFT(CH1553,8))),VALUE(LEFT(CH1553,4)),VALUE(LEFT(CH1553,FIND("-",CH1553)-1)))&lt;100,IF(AND(LEN(CH1553)=9,ISERROR(FIND("-",LEFT(CH1553,8))),ISNUMBER(-LEFT(CH1553,8))),VALUE(LEFT(CH1553,4)),VALUE(LEFT(CH1553,FIND("-",CH1553)-1)))+2000,IF(AND(LEN(CH1553)=9,ISERROR(FIND("-",LEFT(CH1553,8))),ISNUMBER(-LEFT(CH1553,8))),VALUE(LEFT(CH1553,4)),VALUE(LEFT(CH1553,FIND("-",CH1553)-1)))),""))</f>
        <v/>
      </c>
      <c r="CN1553">
        <f>IF(CH1553="","",IFERROR(IF(AND(LEN(CH1553)=9,ISERROR(FIND("-",LEFT(CH1553,8))),ISNUMBER(-LEFT(CH1553,8))),VALUE(MID(CH1553,5,2)),VALUE(MID(CH1553,FIND("-",CH1553)+1,FIND("-",CH1553,FIND("-",CH1553)+1)-FIND("-",CH1553)-1))),""))</f>
        <v/>
      </c>
      <c r="CO1553">
        <f>IF(CH1553="","",IFERROR(IF(AND(LEN(CH1553)=9,ISERROR(FIND("-",LEFT(CH1553,8))),ISNUMBER(-LEFT(CH1553,8))),VALUE(MID(CH1553,7,2)),VALUE(MID(CH1553,FIND("-",CH1553,FIND("-",CH1553)+1)+1,FIND("-",CH1553,FIND("-",CH1553,FIND("-",CH1553)+1)+1)-FIND("-",CH1553,FIND("-",CH1553)+1)-1))),""))</f>
        <v/>
      </c>
    </row>
    <row r="1554">
      <c r="CH1554">
        <f>IF(ISTEXT('월 가계부'!A1554),SUBSTITUTE(SUBSTITUTE(SUBSTITUTE(SUBSTITUTE(SUBSTITUTE(SUBSTITUTE(SUBSTITUTE(SUBSTITUTE(SUBSTITUTE(TRIM('월 가계부'!A1554),"년","-"),"월","-"),"일",""),".","-"),"/","-")," ","-"),"--","-"),"--","-"),"--","-")&amp;"-","")</f>
        <v/>
      </c>
      <c r="CI1554">
        <f>IFERROR(IF('월 가계부'!A1554="","",IF(ISNUMBER('월 가계부'!A1554),IF(AND('월 가계부'!A1554&gt;=19000101,'월 가계부'!A1554&lt;=21001231),IF(AND(MOD(INT('월 가계부'!A1554/100),100)&gt;=1,MOD(INT('월 가계부'!A1554/100),100)&lt;=12,MOD(INT('월 가계부'!A1554),100)&gt;=1,MOD(INT('월 가계부'!A1554),100)&lt;=31),IF(MONTH(DATE(INT('월 가계부'!A1554/10000),MOD(INT('월 가계부'!A1554/100),100),MOD(INT('월 가계부'!A1554),100)))=MOD(INT('월 가계부'!A1554/100),100),DATE(INT('월 가계부'!A1554/10000),MOD(INT('월 가계부'!A1554/100),100),MOD(INT('월 가계부'!A1554),100)),""),""),IF(AND('월 가계부'!A1554&gt;=36526,'월 가계부'!A1554&lt;73051),INT('월 가계부'!A1554),"")),IF(OR(CM1554="",CN1554="",CO1554=""),"",IF(AND(CM1554&gt;=2000,CM1554&lt;=2099,CN1554&gt;=1,CN1554&lt;=12,CO1554&gt;=1,CO1554&lt;=31),IF(MONTH(DATE(CM1554,CN1554,CO1554))=CN1554,DATE(CM1554,CN1554,CO1554),""),"")))),"")</f>
        <v/>
      </c>
      <c r="CJ1554">
        <f>IFERROR(IF('월 가계부'!C1554="","",IF(ISNUMBER('월 가계부'!C1554),'월 가계부'!C1554,VALUE(SUBSTITUTE(SUBSTITUTE(SUBSTITUTE(SUBSTITUTE(TRIM('월 가계부'!C1554),",",""),"원","")," ",""),"−","-")))),"")</f>
        <v/>
      </c>
      <c r="CK1554">
        <f>IF(ISNUMBER(CI1554),IF(CI1554&lt;$B$13,CI1554,""),"")</f>
        <v/>
      </c>
      <c r="CM1554">
        <f>IF(CH1554="","",IFERROR(IF(IF(AND(LEN(CH1554)=9,ISERROR(FIND("-",LEFT(CH1554,8))),ISNUMBER(-LEFT(CH1554,8))),VALUE(LEFT(CH1554,4)),VALUE(LEFT(CH1554,FIND("-",CH1554)-1)))&lt;100,IF(AND(LEN(CH1554)=9,ISERROR(FIND("-",LEFT(CH1554,8))),ISNUMBER(-LEFT(CH1554,8))),VALUE(LEFT(CH1554,4)),VALUE(LEFT(CH1554,FIND("-",CH1554)-1)))+2000,IF(AND(LEN(CH1554)=9,ISERROR(FIND("-",LEFT(CH1554,8))),ISNUMBER(-LEFT(CH1554,8))),VALUE(LEFT(CH1554,4)),VALUE(LEFT(CH1554,FIND("-",CH1554)-1)))),""))</f>
        <v/>
      </c>
      <c r="CN1554">
        <f>IF(CH1554="","",IFERROR(IF(AND(LEN(CH1554)=9,ISERROR(FIND("-",LEFT(CH1554,8))),ISNUMBER(-LEFT(CH1554,8))),VALUE(MID(CH1554,5,2)),VALUE(MID(CH1554,FIND("-",CH1554)+1,FIND("-",CH1554,FIND("-",CH1554)+1)-FIND("-",CH1554)-1))),""))</f>
        <v/>
      </c>
      <c r="CO1554">
        <f>IF(CH1554="","",IFERROR(IF(AND(LEN(CH1554)=9,ISERROR(FIND("-",LEFT(CH1554,8))),ISNUMBER(-LEFT(CH1554,8))),VALUE(MID(CH1554,7,2)),VALUE(MID(CH1554,FIND("-",CH1554,FIND("-",CH1554)+1)+1,FIND("-",CH1554,FIND("-",CH1554,FIND("-",CH1554)+1)+1)-FIND("-",CH1554,FIND("-",CH1554)+1)-1))),""))</f>
        <v/>
      </c>
    </row>
    <row r="1555">
      <c r="CH1555">
        <f>IF(ISTEXT('월 가계부'!A1555),SUBSTITUTE(SUBSTITUTE(SUBSTITUTE(SUBSTITUTE(SUBSTITUTE(SUBSTITUTE(SUBSTITUTE(SUBSTITUTE(SUBSTITUTE(TRIM('월 가계부'!A1555),"년","-"),"월","-"),"일",""),".","-"),"/","-")," ","-"),"--","-"),"--","-"),"--","-")&amp;"-","")</f>
        <v/>
      </c>
      <c r="CI1555">
        <f>IFERROR(IF('월 가계부'!A1555="","",IF(ISNUMBER('월 가계부'!A1555),IF(AND('월 가계부'!A1555&gt;=19000101,'월 가계부'!A1555&lt;=21001231),IF(AND(MOD(INT('월 가계부'!A1555/100),100)&gt;=1,MOD(INT('월 가계부'!A1555/100),100)&lt;=12,MOD(INT('월 가계부'!A1555),100)&gt;=1,MOD(INT('월 가계부'!A1555),100)&lt;=31),IF(MONTH(DATE(INT('월 가계부'!A1555/10000),MOD(INT('월 가계부'!A1555/100),100),MOD(INT('월 가계부'!A1555),100)))=MOD(INT('월 가계부'!A1555/100),100),DATE(INT('월 가계부'!A1555/10000),MOD(INT('월 가계부'!A1555/100),100),MOD(INT('월 가계부'!A1555),100)),""),""),IF(AND('월 가계부'!A1555&gt;=36526,'월 가계부'!A1555&lt;73051),INT('월 가계부'!A1555),"")),IF(OR(CM1555="",CN1555="",CO1555=""),"",IF(AND(CM1555&gt;=2000,CM1555&lt;=2099,CN1555&gt;=1,CN1555&lt;=12,CO1555&gt;=1,CO1555&lt;=31),IF(MONTH(DATE(CM1555,CN1555,CO1555))=CN1555,DATE(CM1555,CN1555,CO1555),""),"")))),"")</f>
        <v/>
      </c>
      <c r="CJ1555">
        <f>IFERROR(IF('월 가계부'!C1555="","",IF(ISNUMBER('월 가계부'!C1555),'월 가계부'!C1555,VALUE(SUBSTITUTE(SUBSTITUTE(SUBSTITUTE(SUBSTITUTE(TRIM('월 가계부'!C1555),",",""),"원","")," ",""),"−","-")))),"")</f>
        <v/>
      </c>
      <c r="CK1555">
        <f>IF(ISNUMBER(CI1555),IF(CI1555&lt;$B$13,CI1555,""),"")</f>
        <v/>
      </c>
      <c r="CM1555">
        <f>IF(CH1555="","",IFERROR(IF(IF(AND(LEN(CH1555)=9,ISERROR(FIND("-",LEFT(CH1555,8))),ISNUMBER(-LEFT(CH1555,8))),VALUE(LEFT(CH1555,4)),VALUE(LEFT(CH1555,FIND("-",CH1555)-1)))&lt;100,IF(AND(LEN(CH1555)=9,ISERROR(FIND("-",LEFT(CH1555,8))),ISNUMBER(-LEFT(CH1555,8))),VALUE(LEFT(CH1555,4)),VALUE(LEFT(CH1555,FIND("-",CH1555)-1)))+2000,IF(AND(LEN(CH1555)=9,ISERROR(FIND("-",LEFT(CH1555,8))),ISNUMBER(-LEFT(CH1555,8))),VALUE(LEFT(CH1555,4)),VALUE(LEFT(CH1555,FIND("-",CH1555)-1)))),""))</f>
        <v/>
      </c>
      <c r="CN1555">
        <f>IF(CH1555="","",IFERROR(IF(AND(LEN(CH1555)=9,ISERROR(FIND("-",LEFT(CH1555,8))),ISNUMBER(-LEFT(CH1555,8))),VALUE(MID(CH1555,5,2)),VALUE(MID(CH1555,FIND("-",CH1555)+1,FIND("-",CH1555,FIND("-",CH1555)+1)-FIND("-",CH1555)-1))),""))</f>
        <v/>
      </c>
      <c r="CO1555">
        <f>IF(CH1555="","",IFERROR(IF(AND(LEN(CH1555)=9,ISERROR(FIND("-",LEFT(CH1555,8))),ISNUMBER(-LEFT(CH1555,8))),VALUE(MID(CH1555,7,2)),VALUE(MID(CH1555,FIND("-",CH1555,FIND("-",CH1555)+1)+1,FIND("-",CH1555,FIND("-",CH1555,FIND("-",CH1555)+1)+1)-FIND("-",CH1555,FIND("-",CH1555)+1)-1))),""))</f>
        <v/>
      </c>
    </row>
    <row r="1556">
      <c r="CH1556">
        <f>IF(ISTEXT('월 가계부'!A1556),SUBSTITUTE(SUBSTITUTE(SUBSTITUTE(SUBSTITUTE(SUBSTITUTE(SUBSTITUTE(SUBSTITUTE(SUBSTITUTE(SUBSTITUTE(TRIM('월 가계부'!A1556),"년","-"),"월","-"),"일",""),".","-"),"/","-")," ","-"),"--","-"),"--","-"),"--","-")&amp;"-","")</f>
        <v/>
      </c>
      <c r="CI1556">
        <f>IFERROR(IF('월 가계부'!A1556="","",IF(ISNUMBER('월 가계부'!A1556),IF(AND('월 가계부'!A1556&gt;=19000101,'월 가계부'!A1556&lt;=21001231),IF(AND(MOD(INT('월 가계부'!A1556/100),100)&gt;=1,MOD(INT('월 가계부'!A1556/100),100)&lt;=12,MOD(INT('월 가계부'!A1556),100)&gt;=1,MOD(INT('월 가계부'!A1556),100)&lt;=31),IF(MONTH(DATE(INT('월 가계부'!A1556/10000),MOD(INT('월 가계부'!A1556/100),100),MOD(INT('월 가계부'!A1556),100)))=MOD(INT('월 가계부'!A1556/100),100),DATE(INT('월 가계부'!A1556/10000),MOD(INT('월 가계부'!A1556/100),100),MOD(INT('월 가계부'!A1556),100)),""),""),IF(AND('월 가계부'!A1556&gt;=36526,'월 가계부'!A1556&lt;73051),INT('월 가계부'!A1556),"")),IF(OR(CM1556="",CN1556="",CO1556=""),"",IF(AND(CM1556&gt;=2000,CM1556&lt;=2099,CN1556&gt;=1,CN1556&lt;=12,CO1556&gt;=1,CO1556&lt;=31),IF(MONTH(DATE(CM1556,CN1556,CO1556))=CN1556,DATE(CM1556,CN1556,CO1556),""),"")))),"")</f>
        <v/>
      </c>
      <c r="CJ1556">
        <f>IFERROR(IF('월 가계부'!C1556="","",IF(ISNUMBER('월 가계부'!C1556),'월 가계부'!C1556,VALUE(SUBSTITUTE(SUBSTITUTE(SUBSTITUTE(SUBSTITUTE(TRIM('월 가계부'!C1556),",",""),"원","")," ",""),"−","-")))),"")</f>
        <v/>
      </c>
      <c r="CK1556">
        <f>IF(ISNUMBER(CI1556),IF(CI1556&lt;$B$13,CI1556,""),"")</f>
        <v/>
      </c>
      <c r="CM1556">
        <f>IF(CH1556="","",IFERROR(IF(IF(AND(LEN(CH1556)=9,ISERROR(FIND("-",LEFT(CH1556,8))),ISNUMBER(-LEFT(CH1556,8))),VALUE(LEFT(CH1556,4)),VALUE(LEFT(CH1556,FIND("-",CH1556)-1)))&lt;100,IF(AND(LEN(CH1556)=9,ISERROR(FIND("-",LEFT(CH1556,8))),ISNUMBER(-LEFT(CH1556,8))),VALUE(LEFT(CH1556,4)),VALUE(LEFT(CH1556,FIND("-",CH1556)-1)))+2000,IF(AND(LEN(CH1556)=9,ISERROR(FIND("-",LEFT(CH1556,8))),ISNUMBER(-LEFT(CH1556,8))),VALUE(LEFT(CH1556,4)),VALUE(LEFT(CH1556,FIND("-",CH1556)-1)))),""))</f>
        <v/>
      </c>
      <c r="CN1556">
        <f>IF(CH1556="","",IFERROR(IF(AND(LEN(CH1556)=9,ISERROR(FIND("-",LEFT(CH1556,8))),ISNUMBER(-LEFT(CH1556,8))),VALUE(MID(CH1556,5,2)),VALUE(MID(CH1556,FIND("-",CH1556)+1,FIND("-",CH1556,FIND("-",CH1556)+1)-FIND("-",CH1556)-1))),""))</f>
        <v/>
      </c>
      <c r="CO1556">
        <f>IF(CH1556="","",IFERROR(IF(AND(LEN(CH1556)=9,ISERROR(FIND("-",LEFT(CH1556,8))),ISNUMBER(-LEFT(CH1556,8))),VALUE(MID(CH1556,7,2)),VALUE(MID(CH1556,FIND("-",CH1556,FIND("-",CH1556)+1)+1,FIND("-",CH1556,FIND("-",CH1556,FIND("-",CH1556)+1)+1)-FIND("-",CH1556,FIND("-",CH1556)+1)-1))),""))</f>
        <v/>
      </c>
    </row>
    <row r="1557">
      <c r="CH1557">
        <f>IF(ISTEXT('월 가계부'!A1557),SUBSTITUTE(SUBSTITUTE(SUBSTITUTE(SUBSTITUTE(SUBSTITUTE(SUBSTITUTE(SUBSTITUTE(SUBSTITUTE(SUBSTITUTE(TRIM('월 가계부'!A1557),"년","-"),"월","-"),"일",""),".","-"),"/","-")," ","-"),"--","-"),"--","-"),"--","-")&amp;"-","")</f>
        <v/>
      </c>
      <c r="CI1557">
        <f>IFERROR(IF('월 가계부'!A1557="","",IF(ISNUMBER('월 가계부'!A1557),IF(AND('월 가계부'!A1557&gt;=19000101,'월 가계부'!A1557&lt;=21001231),IF(AND(MOD(INT('월 가계부'!A1557/100),100)&gt;=1,MOD(INT('월 가계부'!A1557/100),100)&lt;=12,MOD(INT('월 가계부'!A1557),100)&gt;=1,MOD(INT('월 가계부'!A1557),100)&lt;=31),IF(MONTH(DATE(INT('월 가계부'!A1557/10000),MOD(INT('월 가계부'!A1557/100),100),MOD(INT('월 가계부'!A1557),100)))=MOD(INT('월 가계부'!A1557/100),100),DATE(INT('월 가계부'!A1557/10000),MOD(INT('월 가계부'!A1557/100),100),MOD(INT('월 가계부'!A1557),100)),""),""),IF(AND('월 가계부'!A1557&gt;=36526,'월 가계부'!A1557&lt;73051),INT('월 가계부'!A1557),"")),IF(OR(CM1557="",CN1557="",CO1557=""),"",IF(AND(CM1557&gt;=2000,CM1557&lt;=2099,CN1557&gt;=1,CN1557&lt;=12,CO1557&gt;=1,CO1557&lt;=31),IF(MONTH(DATE(CM1557,CN1557,CO1557))=CN1557,DATE(CM1557,CN1557,CO1557),""),"")))),"")</f>
        <v/>
      </c>
      <c r="CJ1557">
        <f>IFERROR(IF('월 가계부'!C1557="","",IF(ISNUMBER('월 가계부'!C1557),'월 가계부'!C1557,VALUE(SUBSTITUTE(SUBSTITUTE(SUBSTITUTE(SUBSTITUTE(TRIM('월 가계부'!C1557),",",""),"원","")," ",""),"−","-")))),"")</f>
        <v/>
      </c>
      <c r="CK1557">
        <f>IF(ISNUMBER(CI1557),IF(CI1557&lt;$B$13,CI1557,""),"")</f>
        <v/>
      </c>
      <c r="CM1557">
        <f>IF(CH1557="","",IFERROR(IF(IF(AND(LEN(CH1557)=9,ISERROR(FIND("-",LEFT(CH1557,8))),ISNUMBER(-LEFT(CH1557,8))),VALUE(LEFT(CH1557,4)),VALUE(LEFT(CH1557,FIND("-",CH1557)-1)))&lt;100,IF(AND(LEN(CH1557)=9,ISERROR(FIND("-",LEFT(CH1557,8))),ISNUMBER(-LEFT(CH1557,8))),VALUE(LEFT(CH1557,4)),VALUE(LEFT(CH1557,FIND("-",CH1557)-1)))+2000,IF(AND(LEN(CH1557)=9,ISERROR(FIND("-",LEFT(CH1557,8))),ISNUMBER(-LEFT(CH1557,8))),VALUE(LEFT(CH1557,4)),VALUE(LEFT(CH1557,FIND("-",CH1557)-1)))),""))</f>
        <v/>
      </c>
      <c r="CN1557">
        <f>IF(CH1557="","",IFERROR(IF(AND(LEN(CH1557)=9,ISERROR(FIND("-",LEFT(CH1557,8))),ISNUMBER(-LEFT(CH1557,8))),VALUE(MID(CH1557,5,2)),VALUE(MID(CH1557,FIND("-",CH1557)+1,FIND("-",CH1557,FIND("-",CH1557)+1)-FIND("-",CH1557)-1))),""))</f>
        <v/>
      </c>
      <c r="CO1557">
        <f>IF(CH1557="","",IFERROR(IF(AND(LEN(CH1557)=9,ISERROR(FIND("-",LEFT(CH1557,8))),ISNUMBER(-LEFT(CH1557,8))),VALUE(MID(CH1557,7,2)),VALUE(MID(CH1557,FIND("-",CH1557,FIND("-",CH1557)+1)+1,FIND("-",CH1557,FIND("-",CH1557,FIND("-",CH1557)+1)+1)-FIND("-",CH1557,FIND("-",CH1557)+1)-1))),""))</f>
        <v/>
      </c>
    </row>
    <row r="1558">
      <c r="CH1558">
        <f>IF(ISTEXT('월 가계부'!A1558),SUBSTITUTE(SUBSTITUTE(SUBSTITUTE(SUBSTITUTE(SUBSTITUTE(SUBSTITUTE(SUBSTITUTE(SUBSTITUTE(SUBSTITUTE(TRIM('월 가계부'!A1558),"년","-"),"월","-"),"일",""),".","-"),"/","-")," ","-"),"--","-"),"--","-"),"--","-")&amp;"-","")</f>
        <v/>
      </c>
      <c r="CI1558">
        <f>IFERROR(IF('월 가계부'!A1558="","",IF(ISNUMBER('월 가계부'!A1558),IF(AND('월 가계부'!A1558&gt;=19000101,'월 가계부'!A1558&lt;=21001231),IF(AND(MOD(INT('월 가계부'!A1558/100),100)&gt;=1,MOD(INT('월 가계부'!A1558/100),100)&lt;=12,MOD(INT('월 가계부'!A1558),100)&gt;=1,MOD(INT('월 가계부'!A1558),100)&lt;=31),IF(MONTH(DATE(INT('월 가계부'!A1558/10000),MOD(INT('월 가계부'!A1558/100),100),MOD(INT('월 가계부'!A1558),100)))=MOD(INT('월 가계부'!A1558/100),100),DATE(INT('월 가계부'!A1558/10000),MOD(INT('월 가계부'!A1558/100),100),MOD(INT('월 가계부'!A1558),100)),""),""),IF(AND('월 가계부'!A1558&gt;=36526,'월 가계부'!A1558&lt;73051),INT('월 가계부'!A1558),"")),IF(OR(CM1558="",CN1558="",CO1558=""),"",IF(AND(CM1558&gt;=2000,CM1558&lt;=2099,CN1558&gt;=1,CN1558&lt;=12,CO1558&gt;=1,CO1558&lt;=31),IF(MONTH(DATE(CM1558,CN1558,CO1558))=CN1558,DATE(CM1558,CN1558,CO1558),""),"")))),"")</f>
        <v/>
      </c>
      <c r="CJ1558">
        <f>IFERROR(IF('월 가계부'!C1558="","",IF(ISNUMBER('월 가계부'!C1558),'월 가계부'!C1558,VALUE(SUBSTITUTE(SUBSTITUTE(SUBSTITUTE(SUBSTITUTE(TRIM('월 가계부'!C1558),",",""),"원","")," ",""),"−","-")))),"")</f>
        <v/>
      </c>
      <c r="CK1558">
        <f>IF(ISNUMBER(CI1558),IF(CI1558&lt;$B$13,CI1558,""),"")</f>
        <v/>
      </c>
      <c r="CM1558">
        <f>IF(CH1558="","",IFERROR(IF(IF(AND(LEN(CH1558)=9,ISERROR(FIND("-",LEFT(CH1558,8))),ISNUMBER(-LEFT(CH1558,8))),VALUE(LEFT(CH1558,4)),VALUE(LEFT(CH1558,FIND("-",CH1558)-1)))&lt;100,IF(AND(LEN(CH1558)=9,ISERROR(FIND("-",LEFT(CH1558,8))),ISNUMBER(-LEFT(CH1558,8))),VALUE(LEFT(CH1558,4)),VALUE(LEFT(CH1558,FIND("-",CH1558)-1)))+2000,IF(AND(LEN(CH1558)=9,ISERROR(FIND("-",LEFT(CH1558,8))),ISNUMBER(-LEFT(CH1558,8))),VALUE(LEFT(CH1558,4)),VALUE(LEFT(CH1558,FIND("-",CH1558)-1)))),""))</f>
        <v/>
      </c>
      <c r="CN1558">
        <f>IF(CH1558="","",IFERROR(IF(AND(LEN(CH1558)=9,ISERROR(FIND("-",LEFT(CH1558,8))),ISNUMBER(-LEFT(CH1558,8))),VALUE(MID(CH1558,5,2)),VALUE(MID(CH1558,FIND("-",CH1558)+1,FIND("-",CH1558,FIND("-",CH1558)+1)-FIND("-",CH1558)-1))),""))</f>
        <v/>
      </c>
      <c r="CO1558">
        <f>IF(CH1558="","",IFERROR(IF(AND(LEN(CH1558)=9,ISERROR(FIND("-",LEFT(CH1558,8))),ISNUMBER(-LEFT(CH1558,8))),VALUE(MID(CH1558,7,2)),VALUE(MID(CH1558,FIND("-",CH1558,FIND("-",CH1558)+1)+1,FIND("-",CH1558,FIND("-",CH1558,FIND("-",CH1558)+1)+1)-FIND("-",CH1558,FIND("-",CH1558)+1)-1))),""))</f>
        <v/>
      </c>
    </row>
    <row r="1559">
      <c r="CH1559">
        <f>IF(ISTEXT('월 가계부'!A1559),SUBSTITUTE(SUBSTITUTE(SUBSTITUTE(SUBSTITUTE(SUBSTITUTE(SUBSTITUTE(SUBSTITUTE(SUBSTITUTE(SUBSTITUTE(TRIM('월 가계부'!A1559),"년","-"),"월","-"),"일",""),".","-"),"/","-")," ","-"),"--","-"),"--","-"),"--","-")&amp;"-","")</f>
        <v/>
      </c>
      <c r="CI1559">
        <f>IFERROR(IF('월 가계부'!A1559="","",IF(ISNUMBER('월 가계부'!A1559),IF(AND('월 가계부'!A1559&gt;=19000101,'월 가계부'!A1559&lt;=21001231),IF(AND(MOD(INT('월 가계부'!A1559/100),100)&gt;=1,MOD(INT('월 가계부'!A1559/100),100)&lt;=12,MOD(INT('월 가계부'!A1559),100)&gt;=1,MOD(INT('월 가계부'!A1559),100)&lt;=31),IF(MONTH(DATE(INT('월 가계부'!A1559/10000),MOD(INT('월 가계부'!A1559/100),100),MOD(INT('월 가계부'!A1559),100)))=MOD(INT('월 가계부'!A1559/100),100),DATE(INT('월 가계부'!A1559/10000),MOD(INT('월 가계부'!A1559/100),100),MOD(INT('월 가계부'!A1559),100)),""),""),IF(AND('월 가계부'!A1559&gt;=36526,'월 가계부'!A1559&lt;73051),INT('월 가계부'!A1559),"")),IF(OR(CM1559="",CN1559="",CO1559=""),"",IF(AND(CM1559&gt;=2000,CM1559&lt;=2099,CN1559&gt;=1,CN1559&lt;=12,CO1559&gt;=1,CO1559&lt;=31),IF(MONTH(DATE(CM1559,CN1559,CO1559))=CN1559,DATE(CM1559,CN1559,CO1559),""),"")))),"")</f>
        <v/>
      </c>
      <c r="CJ1559">
        <f>IFERROR(IF('월 가계부'!C1559="","",IF(ISNUMBER('월 가계부'!C1559),'월 가계부'!C1559,VALUE(SUBSTITUTE(SUBSTITUTE(SUBSTITUTE(SUBSTITUTE(TRIM('월 가계부'!C1559),",",""),"원","")," ",""),"−","-")))),"")</f>
        <v/>
      </c>
      <c r="CK1559">
        <f>IF(ISNUMBER(CI1559),IF(CI1559&lt;$B$13,CI1559,""),"")</f>
        <v/>
      </c>
      <c r="CM1559">
        <f>IF(CH1559="","",IFERROR(IF(IF(AND(LEN(CH1559)=9,ISERROR(FIND("-",LEFT(CH1559,8))),ISNUMBER(-LEFT(CH1559,8))),VALUE(LEFT(CH1559,4)),VALUE(LEFT(CH1559,FIND("-",CH1559)-1)))&lt;100,IF(AND(LEN(CH1559)=9,ISERROR(FIND("-",LEFT(CH1559,8))),ISNUMBER(-LEFT(CH1559,8))),VALUE(LEFT(CH1559,4)),VALUE(LEFT(CH1559,FIND("-",CH1559)-1)))+2000,IF(AND(LEN(CH1559)=9,ISERROR(FIND("-",LEFT(CH1559,8))),ISNUMBER(-LEFT(CH1559,8))),VALUE(LEFT(CH1559,4)),VALUE(LEFT(CH1559,FIND("-",CH1559)-1)))),""))</f>
        <v/>
      </c>
      <c r="CN1559">
        <f>IF(CH1559="","",IFERROR(IF(AND(LEN(CH1559)=9,ISERROR(FIND("-",LEFT(CH1559,8))),ISNUMBER(-LEFT(CH1559,8))),VALUE(MID(CH1559,5,2)),VALUE(MID(CH1559,FIND("-",CH1559)+1,FIND("-",CH1559,FIND("-",CH1559)+1)-FIND("-",CH1559)-1))),""))</f>
        <v/>
      </c>
      <c r="CO1559">
        <f>IF(CH1559="","",IFERROR(IF(AND(LEN(CH1559)=9,ISERROR(FIND("-",LEFT(CH1559,8))),ISNUMBER(-LEFT(CH1559,8))),VALUE(MID(CH1559,7,2)),VALUE(MID(CH1559,FIND("-",CH1559,FIND("-",CH1559)+1)+1,FIND("-",CH1559,FIND("-",CH1559,FIND("-",CH1559)+1)+1)-FIND("-",CH1559,FIND("-",CH1559)+1)-1))),""))</f>
        <v/>
      </c>
    </row>
    <row r="1560">
      <c r="CH1560">
        <f>IF(ISTEXT('월 가계부'!A1560),SUBSTITUTE(SUBSTITUTE(SUBSTITUTE(SUBSTITUTE(SUBSTITUTE(SUBSTITUTE(SUBSTITUTE(SUBSTITUTE(SUBSTITUTE(TRIM('월 가계부'!A1560),"년","-"),"월","-"),"일",""),".","-"),"/","-")," ","-"),"--","-"),"--","-"),"--","-")&amp;"-","")</f>
        <v/>
      </c>
      <c r="CI1560">
        <f>IFERROR(IF('월 가계부'!A1560="","",IF(ISNUMBER('월 가계부'!A1560),IF(AND('월 가계부'!A1560&gt;=19000101,'월 가계부'!A1560&lt;=21001231),IF(AND(MOD(INT('월 가계부'!A1560/100),100)&gt;=1,MOD(INT('월 가계부'!A1560/100),100)&lt;=12,MOD(INT('월 가계부'!A1560),100)&gt;=1,MOD(INT('월 가계부'!A1560),100)&lt;=31),IF(MONTH(DATE(INT('월 가계부'!A1560/10000),MOD(INT('월 가계부'!A1560/100),100),MOD(INT('월 가계부'!A1560),100)))=MOD(INT('월 가계부'!A1560/100),100),DATE(INT('월 가계부'!A1560/10000),MOD(INT('월 가계부'!A1560/100),100),MOD(INT('월 가계부'!A1560),100)),""),""),IF(AND('월 가계부'!A1560&gt;=36526,'월 가계부'!A1560&lt;73051),INT('월 가계부'!A1560),"")),IF(OR(CM1560="",CN1560="",CO1560=""),"",IF(AND(CM1560&gt;=2000,CM1560&lt;=2099,CN1560&gt;=1,CN1560&lt;=12,CO1560&gt;=1,CO1560&lt;=31),IF(MONTH(DATE(CM1560,CN1560,CO1560))=CN1560,DATE(CM1560,CN1560,CO1560),""),"")))),"")</f>
        <v/>
      </c>
      <c r="CJ1560">
        <f>IFERROR(IF('월 가계부'!C1560="","",IF(ISNUMBER('월 가계부'!C1560),'월 가계부'!C1560,VALUE(SUBSTITUTE(SUBSTITUTE(SUBSTITUTE(SUBSTITUTE(TRIM('월 가계부'!C1560),",",""),"원","")," ",""),"−","-")))),"")</f>
        <v/>
      </c>
      <c r="CK1560">
        <f>IF(ISNUMBER(CI1560),IF(CI1560&lt;$B$13,CI1560,""),"")</f>
        <v/>
      </c>
      <c r="CM1560">
        <f>IF(CH1560="","",IFERROR(IF(IF(AND(LEN(CH1560)=9,ISERROR(FIND("-",LEFT(CH1560,8))),ISNUMBER(-LEFT(CH1560,8))),VALUE(LEFT(CH1560,4)),VALUE(LEFT(CH1560,FIND("-",CH1560)-1)))&lt;100,IF(AND(LEN(CH1560)=9,ISERROR(FIND("-",LEFT(CH1560,8))),ISNUMBER(-LEFT(CH1560,8))),VALUE(LEFT(CH1560,4)),VALUE(LEFT(CH1560,FIND("-",CH1560)-1)))+2000,IF(AND(LEN(CH1560)=9,ISERROR(FIND("-",LEFT(CH1560,8))),ISNUMBER(-LEFT(CH1560,8))),VALUE(LEFT(CH1560,4)),VALUE(LEFT(CH1560,FIND("-",CH1560)-1)))),""))</f>
        <v/>
      </c>
      <c r="CN1560">
        <f>IF(CH1560="","",IFERROR(IF(AND(LEN(CH1560)=9,ISERROR(FIND("-",LEFT(CH1560,8))),ISNUMBER(-LEFT(CH1560,8))),VALUE(MID(CH1560,5,2)),VALUE(MID(CH1560,FIND("-",CH1560)+1,FIND("-",CH1560,FIND("-",CH1560)+1)-FIND("-",CH1560)-1))),""))</f>
        <v/>
      </c>
      <c r="CO1560">
        <f>IF(CH1560="","",IFERROR(IF(AND(LEN(CH1560)=9,ISERROR(FIND("-",LEFT(CH1560,8))),ISNUMBER(-LEFT(CH1560,8))),VALUE(MID(CH1560,7,2)),VALUE(MID(CH1560,FIND("-",CH1560,FIND("-",CH1560)+1)+1,FIND("-",CH1560,FIND("-",CH1560,FIND("-",CH1560)+1)+1)-FIND("-",CH1560,FIND("-",CH1560)+1)-1))),""))</f>
        <v/>
      </c>
    </row>
    <row r="1561">
      <c r="CH1561">
        <f>IF(ISTEXT('월 가계부'!A1561),SUBSTITUTE(SUBSTITUTE(SUBSTITUTE(SUBSTITUTE(SUBSTITUTE(SUBSTITUTE(SUBSTITUTE(SUBSTITUTE(SUBSTITUTE(TRIM('월 가계부'!A1561),"년","-"),"월","-"),"일",""),".","-"),"/","-")," ","-"),"--","-"),"--","-"),"--","-")&amp;"-","")</f>
        <v/>
      </c>
      <c r="CI1561">
        <f>IFERROR(IF('월 가계부'!A1561="","",IF(ISNUMBER('월 가계부'!A1561),IF(AND('월 가계부'!A1561&gt;=19000101,'월 가계부'!A1561&lt;=21001231),IF(AND(MOD(INT('월 가계부'!A1561/100),100)&gt;=1,MOD(INT('월 가계부'!A1561/100),100)&lt;=12,MOD(INT('월 가계부'!A1561),100)&gt;=1,MOD(INT('월 가계부'!A1561),100)&lt;=31),IF(MONTH(DATE(INT('월 가계부'!A1561/10000),MOD(INT('월 가계부'!A1561/100),100),MOD(INT('월 가계부'!A1561),100)))=MOD(INT('월 가계부'!A1561/100),100),DATE(INT('월 가계부'!A1561/10000),MOD(INT('월 가계부'!A1561/100),100),MOD(INT('월 가계부'!A1561),100)),""),""),IF(AND('월 가계부'!A1561&gt;=36526,'월 가계부'!A1561&lt;73051),INT('월 가계부'!A1561),"")),IF(OR(CM1561="",CN1561="",CO1561=""),"",IF(AND(CM1561&gt;=2000,CM1561&lt;=2099,CN1561&gt;=1,CN1561&lt;=12,CO1561&gt;=1,CO1561&lt;=31),IF(MONTH(DATE(CM1561,CN1561,CO1561))=CN1561,DATE(CM1561,CN1561,CO1561),""),"")))),"")</f>
        <v/>
      </c>
      <c r="CJ1561">
        <f>IFERROR(IF('월 가계부'!C1561="","",IF(ISNUMBER('월 가계부'!C1561),'월 가계부'!C1561,VALUE(SUBSTITUTE(SUBSTITUTE(SUBSTITUTE(SUBSTITUTE(TRIM('월 가계부'!C1561),",",""),"원","")," ",""),"−","-")))),"")</f>
        <v/>
      </c>
      <c r="CK1561">
        <f>IF(ISNUMBER(CI1561),IF(CI1561&lt;$B$13,CI1561,""),"")</f>
        <v/>
      </c>
      <c r="CM1561">
        <f>IF(CH1561="","",IFERROR(IF(IF(AND(LEN(CH1561)=9,ISERROR(FIND("-",LEFT(CH1561,8))),ISNUMBER(-LEFT(CH1561,8))),VALUE(LEFT(CH1561,4)),VALUE(LEFT(CH1561,FIND("-",CH1561)-1)))&lt;100,IF(AND(LEN(CH1561)=9,ISERROR(FIND("-",LEFT(CH1561,8))),ISNUMBER(-LEFT(CH1561,8))),VALUE(LEFT(CH1561,4)),VALUE(LEFT(CH1561,FIND("-",CH1561)-1)))+2000,IF(AND(LEN(CH1561)=9,ISERROR(FIND("-",LEFT(CH1561,8))),ISNUMBER(-LEFT(CH1561,8))),VALUE(LEFT(CH1561,4)),VALUE(LEFT(CH1561,FIND("-",CH1561)-1)))),""))</f>
        <v/>
      </c>
      <c r="CN1561">
        <f>IF(CH1561="","",IFERROR(IF(AND(LEN(CH1561)=9,ISERROR(FIND("-",LEFT(CH1561,8))),ISNUMBER(-LEFT(CH1561,8))),VALUE(MID(CH1561,5,2)),VALUE(MID(CH1561,FIND("-",CH1561)+1,FIND("-",CH1561,FIND("-",CH1561)+1)-FIND("-",CH1561)-1))),""))</f>
        <v/>
      </c>
      <c r="CO1561">
        <f>IF(CH1561="","",IFERROR(IF(AND(LEN(CH1561)=9,ISERROR(FIND("-",LEFT(CH1561,8))),ISNUMBER(-LEFT(CH1561,8))),VALUE(MID(CH1561,7,2)),VALUE(MID(CH1561,FIND("-",CH1561,FIND("-",CH1561)+1)+1,FIND("-",CH1561,FIND("-",CH1561,FIND("-",CH1561)+1)+1)-FIND("-",CH1561,FIND("-",CH1561)+1)-1))),""))</f>
        <v/>
      </c>
    </row>
    <row r="1562">
      <c r="CH1562">
        <f>IF(ISTEXT('월 가계부'!A1562),SUBSTITUTE(SUBSTITUTE(SUBSTITUTE(SUBSTITUTE(SUBSTITUTE(SUBSTITUTE(SUBSTITUTE(SUBSTITUTE(SUBSTITUTE(TRIM('월 가계부'!A1562),"년","-"),"월","-"),"일",""),".","-"),"/","-")," ","-"),"--","-"),"--","-"),"--","-")&amp;"-","")</f>
        <v/>
      </c>
      <c r="CI1562">
        <f>IFERROR(IF('월 가계부'!A1562="","",IF(ISNUMBER('월 가계부'!A1562),IF(AND('월 가계부'!A1562&gt;=19000101,'월 가계부'!A1562&lt;=21001231),IF(AND(MOD(INT('월 가계부'!A1562/100),100)&gt;=1,MOD(INT('월 가계부'!A1562/100),100)&lt;=12,MOD(INT('월 가계부'!A1562),100)&gt;=1,MOD(INT('월 가계부'!A1562),100)&lt;=31),IF(MONTH(DATE(INT('월 가계부'!A1562/10000),MOD(INT('월 가계부'!A1562/100),100),MOD(INT('월 가계부'!A1562),100)))=MOD(INT('월 가계부'!A1562/100),100),DATE(INT('월 가계부'!A1562/10000),MOD(INT('월 가계부'!A1562/100),100),MOD(INT('월 가계부'!A1562),100)),""),""),IF(AND('월 가계부'!A1562&gt;=36526,'월 가계부'!A1562&lt;73051),INT('월 가계부'!A1562),"")),IF(OR(CM1562="",CN1562="",CO1562=""),"",IF(AND(CM1562&gt;=2000,CM1562&lt;=2099,CN1562&gt;=1,CN1562&lt;=12,CO1562&gt;=1,CO1562&lt;=31),IF(MONTH(DATE(CM1562,CN1562,CO1562))=CN1562,DATE(CM1562,CN1562,CO1562),""),"")))),"")</f>
        <v/>
      </c>
      <c r="CJ1562">
        <f>IFERROR(IF('월 가계부'!C1562="","",IF(ISNUMBER('월 가계부'!C1562),'월 가계부'!C1562,VALUE(SUBSTITUTE(SUBSTITUTE(SUBSTITUTE(SUBSTITUTE(TRIM('월 가계부'!C1562),",",""),"원","")," ",""),"−","-")))),"")</f>
        <v/>
      </c>
      <c r="CK1562">
        <f>IF(ISNUMBER(CI1562),IF(CI1562&lt;$B$13,CI1562,""),"")</f>
        <v/>
      </c>
      <c r="CM1562">
        <f>IF(CH1562="","",IFERROR(IF(IF(AND(LEN(CH1562)=9,ISERROR(FIND("-",LEFT(CH1562,8))),ISNUMBER(-LEFT(CH1562,8))),VALUE(LEFT(CH1562,4)),VALUE(LEFT(CH1562,FIND("-",CH1562)-1)))&lt;100,IF(AND(LEN(CH1562)=9,ISERROR(FIND("-",LEFT(CH1562,8))),ISNUMBER(-LEFT(CH1562,8))),VALUE(LEFT(CH1562,4)),VALUE(LEFT(CH1562,FIND("-",CH1562)-1)))+2000,IF(AND(LEN(CH1562)=9,ISERROR(FIND("-",LEFT(CH1562,8))),ISNUMBER(-LEFT(CH1562,8))),VALUE(LEFT(CH1562,4)),VALUE(LEFT(CH1562,FIND("-",CH1562)-1)))),""))</f>
        <v/>
      </c>
      <c r="CN1562">
        <f>IF(CH1562="","",IFERROR(IF(AND(LEN(CH1562)=9,ISERROR(FIND("-",LEFT(CH1562,8))),ISNUMBER(-LEFT(CH1562,8))),VALUE(MID(CH1562,5,2)),VALUE(MID(CH1562,FIND("-",CH1562)+1,FIND("-",CH1562,FIND("-",CH1562)+1)-FIND("-",CH1562)-1))),""))</f>
        <v/>
      </c>
      <c r="CO1562">
        <f>IF(CH1562="","",IFERROR(IF(AND(LEN(CH1562)=9,ISERROR(FIND("-",LEFT(CH1562,8))),ISNUMBER(-LEFT(CH1562,8))),VALUE(MID(CH1562,7,2)),VALUE(MID(CH1562,FIND("-",CH1562,FIND("-",CH1562)+1)+1,FIND("-",CH1562,FIND("-",CH1562,FIND("-",CH1562)+1)+1)-FIND("-",CH1562,FIND("-",CH1562)+1)-1))),""))</f>
        <v/>
      </c>
    </row>
    <row r="1563">
      <c r="CH1563">
        <f>IF(ISTEXT('월 가계부'!A1563),SUBSTITUTE(SUBSTITUTE(SUBSTITUTE(SUBSTITUTE(SUBSTITUTE(SUBSTITUTE(SUBSTITUTE(SUBSTITUTE(SUBSTITUTE(TRIM('월 가계부'!A1563),"년","-"),"월","-"),"일",""),".","-"),"/","-")," ","-"),"--","-"),"--","-"),"--","-")&amp;"-","")</f>
        <v/>
      </c>
      <c r="CI1563">
        <f>IFERROR(IF('월 가계부'!A1563="","",IF(ISNUMBER('월 가계부'!A1563),IF(AND('월 가계부'!A1563&gt;=19000101,'월 가계부'!A1563&lt;=21001231),IF(AND(MOD(INT('월 가계부'!A1563/100),100)&gt;=1,MOD(INT('월 가계부'!A1563/100),100)&lt;=12,MOD(INT('월 가계부'!A1563),100)&gt;=1,MOD(INT('월 가계부'!A1563),100)&lt;=31),IF(MONTH(DATE(INT('월 가계부'!A1563/10000),MOD(INT('월 가계부'!A1563/100),100),MOD(INT('월 가계부'!A1563),100)))=MOD(INT('월 가계부'!A1563/100),100),DATE(INT('월 가계부'!A1563/10000),MOD(INT('월 가계부'!A1563/100),100),MOD(INT('월 가계부'!A1563),100)),""),""),IF(AND('월 가계부'!A1563&gt;=36526,'월 가계부'!A1563&lt;73051),INT('월 가계부'!A1563),"")),IF(OR(CM1563="",CN1563="",CO1563=""),"",IF(AND(CM1563&gt;=2000,CM1563&lt;=2099,CN1563&gt;=1,CN1563&lt;=12,CO1563&gt;=1,CO1563&lt;=31),IF(MONTH(DATE(CM1563,CN1563,CO1563))=CN1563,DATE(CM1563,CN1563,CO1563),""),"")))),"")</f>
        <v/>
      </c>
      <c r="CJ1563">
        <f>IFERROR(IF('월 가계부'!C1563="","",IF(ISNUMBER('월 가계부'!C1563),'월 가계부'!C1563,VALUE(SUBSTITUTE(SUBSTITUTE(SUBSTITUTE(SUBSTITUTE(TRIM('월 가계부'!C1563),",",""),"원","")," ",""),"−","-")))),"")</f>
        <v/>
      </c>
      <c r="CK1563">
        <f>IF(ISNUMBER(CI1563),IF(CI1563&lt;$B$13,CI1563,""),"")</f>
        <v/>
      </c>
      <c r="CM1563">
        <f>IF(CH1563="","",IFERROR(IF(IF(AND(LEN(CH1563)=9,ISERROR(FIND("-",LEFT(CH1563,8))),ISNUMBER(-LEFT(CH1563,8))),VALUE(LEFT(CH1563,4)),VALUE(LEFT(CH1563,FIND("-",CH1563)-1)))&lt;100,IF(AND(LEN(CH1563)=9,ISERROR(FIND("-",LEFT(CH1563,8))),ISNUMBER(-LEFT(CH1563,8))),VALUE(LEFT(CH1563,4)),VALUE(LEFT(CH1563,FIND("-",CH1563)-1)))+2000,IF(AND(LEN(CH1563)=9,ISERROR(FIND("-",LEFT(CH1563,8))),ISNUMBER(-LEFT(CH1563,8))),VALUE(LEFT(CH1563,4)),VALUE(LEFT(CH1563,FIND("-",CH1563)-1)))),""))</f>
        <v/>
      </c>
      <c r="CN1563">
        <f>IF(CH1563="","",IFERROR(IF(AND(LEN(CH1563)=9,ISERROR(FIND("-",LEFT(CH1563,8))),ISNUMBER(-LEFT(CH1563,8))),VALUE(MID(CH1563,5,2)),VALUE(MID(CH1563,FIND("-",CH1563)+1,FIND("-",CH1563,FIND("-",CH1563)+1)-FIND("-",CH1563)-1))),""))</f>
        <v/>
      </c>
      <c r="CO1563">
        <f>IF(CH1563="","",IFERROR(IF(AND(LEN(CH1563)=9,ISERROR(FIND("-",LEFT(CH1563,8))),ISNUMBER(-LEFT(CH1563,8))),VALUE(MID(CH1563,7,2)),VALUE(MID(CH1563,FIND("-",CH1563,FIND("-",CH1563)+1)+1,FIND("-",CH1563,FIND("-",CH1563,FIND("-",CH1563)+1)+1)-FIND("-",CH1563,FIND("-",CH1563)+1)-1))),""))</f>
        <v/>
      </c>
    </row>
    <row r="1564">
      <c r="CH1564">
        <f>IF(ISTEXT('월 가계부'!A1564),SUBSTITUTE(SUBSTITUTE(SUBSTITUTE(SUBSTITUTE(SUBSTITUTE(SUBSTITUTE(SUBSTITUTE(SUBSTITUTE(SUBSTITUTE(TRIM('월 가계부'!A1564),"년","-"),"월","-"),"일",""),".","-"),"/","-")," ","-"),"--","-"),"--","-"),"--","-")&amp;"-","")</f>
        <v/>
      </c>
      <c r="CI1564">
        <f>IFERROR(IF('월 가계부'!A1564="","",IF(ISNUMBER('월 가계부'!A1564),IF(AND('월 가계부'!A1564&gt;=19000101,'월 가계부'!A1564&lt;=21001231),IF(AND(MOD(INT('월 가계부'!A1564/100),100)&gt;=1,MOD(INT('월 가계부'!A1564/100),100)&lt;=12,MOD(INT('월 가계부'!A1564),100)&gt;=1,MOD(INT('월 가계부'!A1564),100)&lt;=31),IF(MONTH(DATE(INT('월 가계부'!A1564/10000),MOD(INT('월 가계부'!A1564/100),100),MOD(INT('월 가계부'!A1564),100)))=MOD(INT('월 가계부'!A1564/100),100),DATE(INT('월 가계부'!A1564/10000),MOD(INT('월 가계부'!A1564/100),100),MOD(INT('월 가계부'!A1564),100)),""),""),IF(AND('월 가계부'!A1564&gt;=36526,'월 가계부'!A1564&lt;73051),INT('월 가계부'!A1564),"")),IF(OR(CM1564="",CN1564="",CO1564=""),"",IF(AND(CM1564&gt;=2000,CM1564&lt;=2099,CN1564&gt;=1,CN1564&lt;=12,CO1564&gt;=1,CO1564&lt;=31),IF(MONTH(DATE(CM1564,CN1564,CO1564))=CN1564,DATE(CM1564,CN1564,CO1564),""),"")))),"")</f>
        <v/>
      </c>
      <c r="CJ1564">
        <f>IFERROR(IF('월 가계부'!C1564="","",IF(ISNUMBER('월 가계부'!C1564),'월 가계부'!C1564,VALUE(SUBSTITUTE(SUBSTITUTE(SUBSTITUTE(SUBSTITUTE(TRIM('월 가계부'!C1564),",",""),"원","")," ",""),"−","-")))),"")</f>
        <v/>
      </c>
      <c r="CK1564">
        <f>IF(ISNUMBER(CI1564),IF(CI1564&lt;$B$13,CI1564,""),"")</f>
        <v/>
      </c>
      <c r="CM1564">
        <f>IF(CH1564="","",IFERROR(IF(IF(AND(LEN(CH1564)=9,ISERROR(FIND("-",LEFT(CH1564,8))),ISNUMBER(-LEFT(CH1564,8))),VALUE(LEFT(CH1564,4)),VALUE(LEFT(CH1564,FIND("-",CH1564)-1)))&lt;100,IF(AND(LEN(CH1564)=9,ISERROR(FIND("-",LEFT(CH1564,8))),ISNUMBER(-LEFT(CH1564,8))),VALUE(LEFT(CH1564,4)),VALUE(LEFT(CH1564,FIND("-",CH1564)-1)))+2000,IF(AND(LEN(CH1564)=9,ISERROR(FIND("-",LEFT(CH1564,8))),ISNUMBER(-LEFT(CH1564,8))),VALUE(LEFT(CH1564,4)),VALUE(LEFT(CH1564,FIND("-",CH1564)-1)))),""))</f>
        <v/>
      </c>
      <c r="CN1564">
        <f>IF(CH1564="","",IFERROR(IF(AND(LEN(CH1564)=9,ISERROR(FIND("-",LEFT(CH1564,8))),ISNUMBER(-LEFT(CH1564,8))),VALUE(MID(CH1564,5,2)),VALUE(MID(CH1564,FIND("-",CH1564)+1,FIND("-",CH1564,FIND("-",CH1564)+1)-FIND("-",CH1564)-1))),""))</f>
        <v/>
      </c>
      <c r="CO1564">
        <f>IF(CH1564="","",IFERROR(IF(AND(LEN(CH1564)=9,ISERROR(FIND("-",LEFT(CH1564,8))),ISNUMBER(-LEFT(CH1564,8))),VALUE(MID(CH1564,7,2)),VALUE(MID(CH1564,FIND("-",CH1564,FIND("-",CH1564)+1)+1,FIND("-",CH1564,FIND("-",CH1564,FIND("-",CH1564)+1)+1)-FIND("-",CH1564,FIND("-",CH1564)+1)-1))),""))</f>
        <v/>
      </c>
    </row>
    <row r="1565">
      <c r="CH1565">
        <f>IF(ISTEXT('월 가계부'!A1565),SUBSTITUTE(SUBSTITUTE(SUBSTITUTE(SUBSTITUTE(SUBSTITUTE(SUBSTITUTE(SUBSTITUTE(SUBSTITUTE(SUBSTITUTE(TRIM('월 가계부'!A1565),"년","-"),"월","-"),"일",""),".","-"),"/","-")," ","-"),"--","-"),"--","-"),"--","-")&amp;"-","")</f>
        <v/>
      </c>
      <c r="CI1565">
        <f>IFERROR(IF('월 가계부'!A1565="","",IF(ISNUMBER('월 가계부'!A1565),IF(AND('월 가계부'!A1565&gt;=19000101,'월 가계부'!A1565&lt;=21001231),IF(AND(MOD(INT('월 가계부'!A1565/100),100)&gt;=1,MOD(INT('월 가계부'!A1565/100),100)&lt;=12,MOD(INT('월 가계부'!A1565),100)&gt;=1,MOD(INT('월 가계부'!A1565),100)&lt;=31),IF(MONTH(DATE(INT('월 가계부'!A1565/10000),MOD(INT('월 가계부'!A1565/100),100),MOD(INT('월 가계부'!A1565),100)))=MOD(INT('월 가계부'!A1565/100),100),DATE(INT('월 가계부'!A1565/10000),MOD(INT('월 가계부'!A1565/100),100),MOD(INT('월 가계부'!A1565),100)),""),""),IF(AND('월 가계부'!A1565&gt;=36526,'월 가계부'!A1565&lt;73051),INT('월 가계부'!A1565),"")),IF(OR(CM1565="",CN1565="",CO1565=""),"",IF(AND(CM1565&gt;=2000,CM1565&lt;=2099,CN1565&gt;=1,CN1565&lt;=12,CO1565&gt;=1,CO1565&lt;=31),IF(MONTH(DATE(CM1565,CN1565,CO1565))=CN1565,DATE(CM1565,CN1565,CO1565),""),"")))),"")</f>
        <v/>
      </c>
      <c r="CJ1565">
        <f>IFERROR(IF('월 가계부'!C1565="","",IF(ISNUMBER('월 가계부'!C1565),'월 가계부'!C1565,VALUE(SUBSTITUTE(SUBSTITUTE(SUBSTITUTE(SUBSTITUTE(TRIM('월 가계부'!C1565),",",""),"원","")," ",""),"−","-")))),"")</f>
        <v/>
      </c>
      <c r="CK1565">
        <f>IF(ISNUMBER(CI1565),IF(CI1565&lt;$B$13,CI1565,""),"")</f>
        <v/>
      </c>
      <c r="CM1565">
        <f>IF(CH1565="","",IFERROR(IF(IF(AND(LEN(CH1565)=9,ISERROR(FIND("-",LEFT(CH1565,8))),ISNUMBER(-LEFT(CH1565,8))),VALUE(LEFT(CH1565,4)),VALUE(LEFT(CH1565,FIND("-",CH1565)-1)))&lt;100,IF(AND(LEN(CH1565)=9,ISERROR(FIND("-",LEFT(CH1565,8))),ISNUMBER(-LEFT(CH1565,8))),VALUE(LEFT(CH1565,4)),VALUE(LEFT(CH1565,FIND("-",CH1565)-1)))+2000,IF(AND(LEN(CH1565)=9,ISERROR(FIND("-",LEFT(CH1565,8))),ISNUMBER(-LEFT(CH1565,8))),VALUE(LEFT(CH1565,4)),VALUE(LEFT(CH1565,FIND("-",CH1565)-1)))),""))</f>
        <v/>
      </c>
      <c r="CN1565">
        <f>IF(CH1565="","",IFERROR(IF(AND(LEN(CH1565)=9,ISERROR(FIND("-",LEFT(CH1565,8))),ISNUMBER(-LEFT(CH1565,8))),VALUE(MID(CH1565,5,2)),VALUE(MID(CH1565,FIND("-",CH1565)+1,FIND("-",CH1565,FIND("-",CH1565)+1)-FIND("-",CH1565)-1))),""))</f>
        <v/>
      </c>
      <c r="CO1565">
        <f>IF(CH1565="","",IFERROR(IF(AND(LEN(CH1565)=9,ISERROR(FIND("-",LEFT(CH1565,8))),ISNUMBER(-LEFT(CH1565,8))),VALUE(MID(CH1565,7,2)),VALUE(MID(CH1565,FIND("-",CH1565,FIND("-",CH1565)+1)+1,FIND("-",CH1565,FIND("-",CH1565,FIND("-",CH1565)+1)+1)-FIND("-",CH1565,FIND("-",CH1565)+1)-1))),""))</f>
        <v/>
      </c>
    </row>
    <row r="1566">
      <c r="CH1566">
        <f>IF(ISTEXT('월 가계부'!A1566),SUBSTITUTE(SUBSTITUTE(SUBSTITUTE(SUBSTITUTE(SUBSTITUTE(SUBSTITUTE(SUBSTITUTE(SUBSTITUTE(SUBSTITUTE(TRIM('월 가계부'!A1566),"년","-"),"월","-"),"일",""),".","-"),"/","-")," ","-"),"--","-"),"--","-"),"--","-")&amp;"-","")</f>
        <v/>
      </c>
      <c r="CI1566">
        <f>IFERROR(IF('월 가계부'!A1566="","",IF(ISNUMBER('월 가계부'!A1566),IF(AND('월 가계부'!A1566&gt;=19000101,'월 가계부'!A1566&lt;=21001231),IF(AND(MOD(INT('월 가계부'!A1566/100),100)&gt;=1,MOD(INT('월 가계부'!A1566/100),100)&lt;=12,MOD(INT('월 가계부'!A1566),100)&gt;=1,MOD(INT('월 가계부'!A1566),100)&lt;=31),IF(MONTH(DATE(INT('월 가계부'!A1566/10000),MOD(INT('월 가계부'!A1566/100),100),MOD(INT('월 가계부'!A1566),100)))=MOD(INT('월 가계부'!A1566/100),100),DATE(INT('월 가계부'!A1566/10000),MOD(INT('월 가계부'!A1566/100),100),MOD(INT('월 가계부'!A1566),100)),""),""),IF(AND('월 가계부'!A1566&gt;=36526,'월 가계부'!A1566&lt;73051),INT('월 가계부'!A1566),"")),IF(OR(CM1566="",CN1566="",CO1566=""),"",IF(AND(CM1566&gt;=2000,CM1566&lt;=2099,CN1566&gt;=1,CN1566&lt;=12,CO1566&gt;=1,CO1566&lt;=31),IF(MONTH(DATE(CM1566,CN1566,CO1566))=CN1566,DATE(CM1566,CN1566,CO1566),""),"")))),"")</f>
        <v/>
      </c>
      <c r="CJ1566">
        <f>IFERROR(IF('월 가계부'!C1566="","",IF(ISNUMBER('월 가계부'!C1566),'월 가계부'!C1566,VALUE(SUBSTITUTE(SUBSTITUTE(SUBSTITUTE(SUBSTITUTE(TRIM('월 가계부'!C1566),",",""),"원","")," ",""),"−","-")))),"")</f>
        <v/>
      </c>
      <c r="CK1566">
        <f>IF(ISNUMBER(CI1566),IF(CI1566&lt;$B$13,CI1566,""),"")</f>
        <v/>
      </c>
      <c r="CM1566">
        <f>IF(CH1566="","",IFERROR(IF(IF(AND(LEN(CH1566)=9,ISERROR(FIND("-",LEFT(CH1566,8))),ISNUMBER(-LEFT(CH1566,8))),VALUE(LEFT(CH1566,4)),VALUE(LEFT(CH1566,FIND("-",CH1566)-1)))&lt;100,IF(AND(LEN(CH1566)=9,ISERROR(FIND("-",LEFT(CH1566,8))),ISNUMBER(-LEFT(CH1566,8))),VALUE(LEFT(CH1566,4)),VALUE(LEFT(CH1566,FIND("-",CH1566)-1)))+2000,IF(AND(LEN(CH1566)=9,ISERROR(FIND("-",LEFT(CH1566,8))),ISNUMBER(-LEFT(CH1566,8))),VALUE(LEFT(CH1566,4)),VALUE(LEFT(CH1566,FIND("-",CH1566)-1)))),""))</f>
        <v/>
      </c>
      <c r="CN1566">
        <f>IF(CH1566="","",IFERROR(IF(AND(LEN(CH1566)=9,ISERROR(FIND("-",LEFT(CH1566,8))),ISNUMBER(-LEFT(CH1566,8))),VALUE(MID(CH1566,5,2)),VALUE(MID(CH1566,FIND("-",CH1566)+1,FIND("-",CH1566,FIND("-",CH1566)+1)-FIND("-",CH1566)-1))),""))</f>
        <v/>
      </c>
      <c r="CO1566">
        <f>IF(CH1566="","",IFERROR(IF(AND(LEN(CH1566)=9,ISERROR(FIND("-",LEFT(CH1566,8))),ISNUMBER(-LEFT(CH1566,8))),VALUE(MID(CH1566,7,2)),VALUE(MID(CH1566,FIND("-",CH1566,FIND("-",CH1566)+1)+1,FIND("-",CH1566,FIND("-",CH1566,FIND("-",CH1566)+1)+1)-FIND("-",CH1566,FIND("-",CH1566)+1)-1))),""))</f>
        <v/>
      </c>
    </row>
    <row r="1567">
      <c r="CH1567">
        <f>IF(ISTEXT('월 가계부'!A1567),SUBSTITUTE(SUBSTITUTE(SUBSTITUTE(SUBSTITUTE(SUBSTITUTE(SUBSTITUTE(SUBSTITUTE(SUBSTITUTE(SUBSTITUTE(TRIM('월 가계부'!A1567),"년","-"),"월","-"),"일",""),".","-"),"/","-")," ","-"),"--","-"),"--","-"),"--","-")&amp;"-","")</f>
        <v/>
      </c>
      <c r="CI1567">
        <f>IFERROR(IF('월 가계부'!A1567="","",IF(ISNUMBER('월 가계부'!A1567),IF(AND('월 가계부'!A1567&gt;=19000101,'월 가계부'!A1567&lt;=21001231),IF(AND(MOD(INT('월 가계부'!A1567/100),100)&gt;=1,MOD(INT('월 가계부'!A1567/100),100)&lt;=12,MOD(INT('월 가계부'!A1567),100)&gt;=1,MOD(INT('월 가계부'!A1567),100)&lt;=31),IF(MONTH(DATE(INT('월 가계부'!A1567/10000),MOD(INT('월 가계부'!A1567/100),100),MOD(INT('월 가계부'!A1567),100)))=MOD(INT('월 가계부'!A1567/100),100),DATE(INT('월 가계부'!A1567/10000),MOD(INT('월 가계부'!A1567/100),100),MOD(INT('월 가계부'!A1567),100)),""),""),IF(AND('월 가계부'!A1567&gt;=36526,'월 가계부'!A1567&lt;73051),INT('월 가계부'!A1567),"")),IF(OR(CM1567="",CN1567="",CO1567=""),"",IF(AND(CM1567&gt;=2000,CM1567&lt;=2099,CN1567&gt;=1,CN1567&lt;=12,CO1567&gt;=1,CO1567&lt;=31),IF(MONTH(DATE(CM1567,CN1567,CO1567))=CN1567,DATE(CM1567,CN1567,CO1567),""),"")))),"")</f>
        <v/>
      </c>
      <c r="CJ1567">
        <f>IFERROR(IF('월 가계부'!C1567="","",IF(ISNUMBER('월 가계부'!C1567),'월 가계부'!C1567,VALUE(SUBSTITUTE(SUBSTITUTE(SUBSTITUTE(SUBSTITUTE(TRIM('월 가계부'!C1567),",",""),"원","")," ",""),"−","-")))),"")</f>
        <v/>
      </c>
      <c r="CK1567">
        <f>IF(ISNUMBER(CI1567),IF(CI1567&lt;$B$13,CI1567,""),"")</f>
        <v/>
      </c>
      <c r="CM1567">
        <f>IF(CH1567="","",IFERROR(IF(IF(AND(LEN(CH1567)=9,ISERROR(FIND("-",LEFT(CH1567,8))),ISNUMBER(-LEFT(CH1567,8))),VALUE(LEFT(CH1567,4)),VALUE(LEFT(CH1567,FIND("-",CH1567)-1)))&lt;100,IF(AND(LEN(CH1567)=9,ISERROR(FIND("-",LEFT(CH1567,8))),ISNUMBER(-LEFT(CH1567,8))),VALUE(LEFT(CH1567,4)),VALUE(LEFT(CH1567,FIND("-",CH1567)-1)))+2000,IF(AND(LEN(CH1567)=9,ISERROR(FIND("-",LEFT(CH1567,8))),ISNUMBER(-LEFT(CH1567,8))),VALUE(LEFT(CH1567,4)),VALUE(LEFT(CH1567,FIND("-",CH1567)-1)))),""))</f>
        <v/>
      </c>
      <c r="CN1567">
        <f>IF(CH1567="","",IFERROR(IF(AND(LEN(CH1567)=9,ISERROR(FIND("-",LEFT(CH1567,8))),ISNUMBER(-LEFT(CH1567,8))),VALUE(MID(CH1567,5,2)),VALUE(MID(CH1567,FIND("-",CH1567)+1,FIND("-",CH1567,FIND("-",CH1567)+1)-FIND("-",CH1567)-1))),""))</f>
        <v/>
      </c>
      <c r="CO1567">
        <f>IF(CH1567="","",IFERROR(IF(AND(LEN(CH1567)=9,ISERROR(FIND("-",LEFT(CH1567,8))),ISNUMBER(-LEFT(CH1567,8))),VALUE(MID(CH1567,7,2)),VALUE(MID(CH1567,FIND("-",CH1567,FIND("-",CH1567)+1)+1,FIND("-",CH1567,FIND("-",CH1567,FIND("-",CH1567)+1)+1)-FIND("-",CH1567,FIND("-",CH1567)+1)-1))),""))</f>
        <v/>
      </c>
    </row>
    <row r="1568">
      <c r="CH1568">
        <f>IF(ISTEXT('월 가계부'!A1568),SUBSTITUTE(SUBSTITUTE(SUBSTITUTE(SUBSTITUTE(SUBSTITUTE(SUBSTITUTE(SUBSTITUTE(SUBSTITUTE(SUBSTITUTE(TRIM('월 가계부'!A1568),"년","-"),"월","-"),"일",""),".","-"),"/","-")," ","-"),"--","-"),"--","-"),"--","-")&amp;"-","")</f>
        <v/>
      </c>
      <c r="CI1568">
        <f>IFERROR(IF('월 가계부'!A1568="","",IF(ISNUMBER('월 가계부'!A1568),IF(AND('월 가계부'!A1568&gt;=19000101,'월 가계부'!A1568&lt;=21001231),IF(AND(MOD(INT('월 가계부'!A1568/100),100)&gt;=1,MOD(INT('월 가계부'!A1568/100),100)&lt;=12,MOD(INT('월 가계부'!A1568),100)&gt;=1,MOD(INT('월 가계부'!A1568),100)&lt;=31),IF(MONTH(DATE(INT('월 가계부'!A1568/10000),MOD(INT('월 가계부'!A1568/100),100),MOD(INT('월 가계부'!A1568),100)))=MOD(INT('월 가계부'!A1568/100),100),DATE(INT('월 가계부'!A1568/10000),MOD(INT('월 가계부'!A1568/100),100),MOD(INT('월 가계부'!A1568),100)),""),""),IF(AND('월 가계부'!A1568&gt;=36526,'월 가계부'!A1568&lt;73051),INT('월 가계부'!A1568),"")),IF(OR(CM1568="",CN1568="",CO1568=""),"",IF(AND(CM1568&gt;=2000,CM1568&lt;=2099,CN1568&gt;=1,CN1568&lt;=12,CO1568&gt;=1,CO1568&lt;=31),IF(MONTH(DATE(CM1568,CN1568,CO1568))=CN1568,DATE(CM1568,CN1568,CO1568),""),"")))),"")</f>
        <v/>
      </c>
      <c r="CJ1568">
        <f>IFERROR(IF('월 가계부'!C1568="","",IF(ISNUMBER('월 가계부'!C1568),'월 가계부'!C1568,VALUE(SUBSTITUTE(SUBSTITUTE(SUBSTITUTE(SUBSTITUTE(TRIM('월 가계부'!C1568),",",""),"원","")," ",""),"−","-")))),"")</f>
        <v/>
      </c>
      <c r="CK1568">
        <f>IF(ISNUMBER(CI1568),IF(CI1568&lt;$B$13,CI1568,""),"")</f>
        <v/>
      </c>
      <c r="CM1568">
        <f>IF(CH1568="","",IFERROR(IF(IF(AND(LEN(CH1568)=9,ISERROR(FIND("-",LEFT(CH1568,8))),ISNUMBER(-LEFT(CH1568,8))),VALUE(LEFT(CH1568,4)),VALUE(LEFT(CH1568,FIND("-",CH1568)-1)))&lt;100,IF(AND(LEN(CH1568)=9,ISERROR(FIND("-",LEFT(CH1568,8))),ISNUMBER(-LEFT(CH1568,8))),VALUE(LEFT(CH1568,4)),VALUE(LEFT(CH1568,FIND("-",CH1568)-1)))+2000,IF(AND(LEN(CH1568)=9,ISERROR(FIND("-",LEFT(CH1568,8))),ISNUMBER(-LEFT(CH1568,8))),VALUE(LEFT(CH1568,4)),VALUE(LEFT(CH1568,FIND("-",CH1568)-1)))),""))</f>
        <v/>
      </c>
      <c r="CN1568">
        <f>IF(CH1568="","",IFERROR(IF(AND(LEN(CH1568)=9,ISERROR(FIND("-",LEFT(CH1568,8))),ISNUMBER(-LEFT(CH1568,8))),VALUE(MID(CH1568,5,2)),VALUE(MID(CH1568,FIND("-",CH1568)+1,FIND("-",CH1568,FIND("-",CH1568)+1)-FIND("-",CH1568)-1))),""))</f>
        <v/>
      </c>
      <c r="CO1568">
        <f>IF(CH1568="","",IFERROR(IF(AND(LEN(CH1568)=9,ISERROR(FIND("-",LEFT(CH1568,8))),ISNUMBER(-LEFT(CH1568,8))),VALUE(MID(CH1568,7,2)),VALUE(MID(CH1568,FIND("-",CH1568,FIND("-",CH1568)+1)+1,FIND("-",CH1568,FIND("-",CH1568,FIND("-",CH1568)+1)+1)-FIND("-",CH1568,FIND("-",CH1568)+1)-1))),""))</f>
        <v/>
      </c>
    </row>
    <row r="1569">
      <c r="CH1569">
        <f>IF(ISTEXT('월 가계부'!A1569),SUBSTITUTE(SUBSTITUTE(SUBSTITUTE(SUBSTITUTE(SUBSTITUTE(SUBSTITUTE(SUBSTITUTE(SUBSTITUTE(SUBSTITUTE(TRIM('월 가계부'!A1569),"년","-"),"월","-"),"일",""),".","-"),"/","-")," ","-"),"--","-"),"--","-"),"--","-")&amp;"-","")</f>
        <v/>
      </c>
      <c r="CI1569">
        <f>IFERROR(IF('월 가계부'!A1569="","",IF(ISNUMBER('월 가계부'!A1569),IF(AND('월 가계부'!A1569&gt;=19000101,'월 가계부'!A1569&lt;=21001231),IF(AND(MOD(INT('월 가계부'!A1569/100),100)&gt;=1,MOD(INT('월 가계부'!A1569/100),100)&lt;=12,MOD(INT('월 가계부'!A1569),100)&gt;=1,MOD(INT('월 가계부'!A1569),100)&lt;=31),IF(MONTH(DATE(INT('월 가계부'!A1569/10000),MOD(INT('월 가계부'!A1569/100),100),MOD(INT('월 가계부'!A1569),100)))=MOD(INT('월 가계부'!A1569/100),100),DATE(INT('월 가계부'!A1569/10000),MOD(INT('월 가계부'!A1569/100),100),MOD(INT('월 가계부'!A1569),100)),""),""),IF(AND('월 가계부'!A1569&gt;=36526,'월 가계부'!A1569&lt;73051),INT('월 가계부'!A1569),"")),IF(OR(CM1569="",CN1569="",CO1569=""),"",IF(AND(CM1569&gt;=2000,CM1569&lt;=2099,CN1569&gt;=1,CN1569&lt;=12,CO1569&gt;=1,CO1569&lt;=31),IF(MONTH(DATE(CM1569,CN1569,CO1569))=CN1569,DATE(CM1569,CN1569,CO1569),""),"")))),"")</f>
        <v/>
      </c>
      <c r="CJ1569">
        <f>IFERROR(IF('월 가계부'!C1569="","",IF(ISNUMBER('월 가계부'!C1569),'월 가계부'!C1569,VALUE(SUBSTITUTE(SUBSTITUTE(SUBSTITUTE(SUBSTITUTE(TRIM('월 가계부'!C1569),",",""),"원","")," ",""),"−","-")))),"")</f>
        <v/>
      </c>
      <c r="CK1569">
        <f>IF(ISNUMBER(CI1569),IF(CI1569&lt;$B$13,CI1569,""),"")</f>
        <v/>
      </c>
      <c r="CM1569">
        <f>IF(CH1569="","",IFERROR(IF(IF(AND(LEN(CH1569)=9,ISERROR(FIND("-",LEFT(CH1569,8))),ISNUMBER(-LEFT(CH1569,8))),VALUE(LEFT(CH1569,4)),VALUE(LEFT(CH1569,FIND("-",CH1569)-1)))&lt;100,IF(AND(LEN(CH1569)=9,ISERROR(FIND("-",LEFT(CH1569,8))),ISNUMBER(-LEFT(CH1569,8))),VALUE(LEFT(CH1569,4)),VALUE(LEFT(CH1569,FIND("-",CH1569)-1)))+2000,IF(AND(LEN(CH1569)=9,ISERROR(FIND("-",LEFT(CH1569,8))),ISNUMBER(-LEFT(CH1569,8))),VALUE(LEFT(CH1569,4)),VALUE(LEFT(CH1569,FIND("-",CH1569)-1)))),""))</f>
        <v/>
      </c>
      <c r="CN1569">
        <f>IF(CH1569="","",IFERROR(IF(AND(LEN(CH1569)=9,ISERROR(FIND("-",LEFT(CH1569,8))),ISNUMBER(-LEFT(CH1569,8))),VALUE(MID(CH1569,5,2)),VALUE(MID(CH1569,FIND("-",CH1569)+1,FIND("-",CH1569,FIND("-",CH1569)+1)-FIND("-",CH1569)-1))),""))</f>
        <v/>
      </c>
      <c r="CO1569">
        <f>IF(CH1569="","",IFERROR(IF(AND(LEN(CH1569)=9,ISERROR(FIND("-",LEFT(CH1569,8))),ISNUMBER(-LEFT(CH1569,8))),VALUE(MID(CH1569,7,2)),VALUE(MID(CH1569,FIND("-",CH1569,FIND("-",CH1569)+1)+1,FIND("-",CH1569,FIND("-",CH1569,FIND("-",CH1569)+1)+1)-FIND("-",CH1569,FIND("-",CH1569)+1)-1))),""))</f>
        <v/>
      </c>
    </row>
    <row r="1570">
      <c r="CH1570">
        <f>IF(ISTEXT('월 가계부'!A1570),SUBSTITUTE(SUBSTITUTE(SUBSTITUTE(SUBSTITUTE(SUBSTITUTE(SUBSTITUTE(SUBSTITUTE(SUBSTITUTE(SUBSTITUTE(TRIM('월 가계부'!A1570),"년","-"),"월","-"),"일",""),".","-"),"/","-")," ","-"),"--","-"),"--","-"),"--","-")&amp;"-","")</f>
        <v/>
      </c>
      <c r="CI1570">
        <f>IFERROR(IF('월 가계부'!A1570="","",IF(ISNUMBER('월 가계부'!A1570),IF(AND('월 가계부'!A1570&gt;=19000101,'월 가계부'!A1570&lt;=21001231),IF(AND(MOD(INT('월 가계부'!A1570/100),100)&gt;=1,MOD(INT('월 가계부'!A1570/100),100)&lt;=12,MOD(INT('월 가계부'!A1570),100)&gt;=1,MOD(INT('월 가계부'!A1570),100)&lt;=31),IF(MONTH(DATE(INT('월 가계부'!A1570/10000),MOD(INT('월 가계부'!A1570/100),100),MOD(INT('월 가계부'!A1570),100)))=MOD(INT('월 가계부'!A1570/100),100),DATE(INT('월 가계부'!A1570/10000),MOD(INT('월 가계부'!A1570/100),100),MOD(INT('월 가계부'!A1570),100)),""),""),IF(AND('월 가계부'!A1570&gt;=36526,'월 가계부'!A1570&lt;73051),INT('월 가계부'!A1570),"")),IF(OR(CM1570="",CN1570="",CO1570=""),"",IF(AND(CM1570&gt;=2000,CM1570&lt;=2099,CN1570&gt;=1,CN1570&lt;=12,CO1570&gt;=1,CO1570&lt;=31),IF(MONTH(DATE(CM1570,CN1570,CO1570))=CN1570,DATE(CM1570,CN1570,CO1570),""),"")))),"")</f>
        <v/>
      </c>
      <c r="CJ1570">
        <f>IFERROR(IF('월 가계부'!C1570="","",IF(ISNUMBER('월 가계부'!C1570),'월 가계부'!C1570,VALUE(SUBSTITUTE(SUBSTITUTE(SUBSTITUTE(SUBSTITUTE(TRIM('월 가계부'!C1570),",",""),"원","")," ",""),"−","-")))),"")</f>
        <v/>
      </c>
      <c r="CK1570">
        <f>IF(ISNUMBER(CI1570),IF(CI1570&lt;$B$13,CI1570,""),"")</f>
        <v/>
      </c>
      <c r="CM1570">
        <f>IF(CH1570="","",IFERROR(IF(IF(AND(LEN(CH1570)=9,ISERROR(FIND("-",LEFT(CH1570,8))),ISNUMBER(-LEFT(CH1570,8))),VALUE(LEFT(CH1570,4)),VALUE(LEFT(CH1570,FIND("-",CH1570)-1)))&lt;100,IF(AND(LEN(CH1570)=9,ISERROR(FIND("-",LEFT(CH1570,8))),ISNUMBER(-LEFT(CH1570,8))),VALUE(LEFT(CH1570,4)),VALUE(LEFT(CH1570,FIND("-",CH1570)-1)))+2000,IF(AND(LEN(CH1570)=9,ISERROR(FIND("-",LEFT(CH1570,8))),ISNUMBER(-LEFT(CH1570,8))),VALUE(LEFT(CH1570,4)),VALUE(LEFT(CH1570,FIND("-",CH1570)-1)))),""))</f>
        <v/>
      </c>
      <c r="CN1570">
        <f>IF(CH1570="","",IFERROR(IF(AND(LEN(CH1570)=9,ISERROR(FIND("-",LEFT(CH1570,8))),ISNUMBER(-LEFT(CH1570,8))),VALUE(MID(CH1570,5,2)),VALUE(MID(CH1570,FIND("-",CH1570)+1,FIND("-",CH1570,FIND("-",CH1570)+1)-FIND("-",CH1570)-1))),""))</f>
        <v/>
      </c>
      <c r="CO1570">
        <f>IF(CH1570="","",IFERROR(IF(AND(LEN(CH1570)=9,ISERROR(FIND("-",LEFT(CH1570,8))),ISNUMBER(-LEFT(CH1570,8))),VALUE(MID(CH1570,7,2)),VALUE(MID(CH1570,FIND("-",CH1570,FIND("-",CH1570)+1)+1,FIND("-",CH1570,FIND("-",CH1570,FIND("-",CH1570)+1)+1)-FIND("-",CH1570,FIND("-",CH1570)+1)-1))),""))</f>
        <v/>
      </c>
    </row>
    <row r="1571">
      <c r="CH1571">
        <f>IF(ISTEXT('월 가계부'!A1571),SUBSTITUTE(SUBSTITUTE(SUBSTITUTE(SUBSTITUTE(SUBSTITUTE(SUBSTITUTE(SUBSTITUTE(SUBSTITUTE(SUBSTITUTE(TRIM('월 가계부'!A1571),"년","-"),"월","-"),"일",""),".","-"),"/","-")," ","-"),"--","-"),"--","-"),"--","-")&amp;"-","")</f>
        <v/>
      </c>
      <c r="CI1571">
        <f>IFERROR(IF('월 가계부'!A1571="","",IF(ISNUMBER('월 가계부'!A1571),IF(AND('월 가계부'!A1571&gt;=19000101,'월 가계부'!A1571&lt;=21001231),IF(AND(MOD(INT('월 가계부'!A1571/100),100)&gt;=1,MOD(INT('월 가계부'!A1571/100),100)&lt;=12,MOD(INT('월 가계부'!A1571),100)&gt;=1,MOD(INT('월 가계부'!A1571),100)&lt;=31),IF(MONTH(DATE(INT('월 가계부'!A1571/10000),MOD(INT('월 가계부'!A1571/100),100),MOD(INT('월 가계부'!A1571),100)))=MOD(INT('월 가계부'!A1571/100),100),DATE(INT('월 가계부'!A1571/10000),MOD(INT('월 가계부'!A1571/100),100),MOD(INT('월 가계부'!A1571),100)),""),""),IF(AND('월 가계부'!A1571&gt;=36526,'월 가계부'!A1571&lt;73051),INT('월 가계부'!A1571),"")),IF(OR(CM1571="",CN1571="",CO1571=""),"",IF(AND(CM1571&gt;=2000,CM1571&lt;=2099,CN1571&gt;=1,CN1571&lt;=12,CO1571&gt;=1,CO1571&lt;=31),IF(MONTH(DATE(CM1571,CN1571,CO1571))=CN1571,DATE(CM1571,CN1571,CO1571),""),"")))),"")</f>
        <v/>
      </c>
      <c r="CJ1571">
        <f>IFERROR(IF('월 가계부'!C1571="","",IF(ISNUMBER('월 가계부'!C1571),'월 가계부'!C1571,VALUE(SUBSTITUTE(SUBSTITUTE(SUBSTITUTE(SUBSTITUTE(TRIM('월 가계부'!C1571),",",""),"원","")," ",""),"−","-")))),"")</f>
        <v/>
      </c>
      <c r="CK1571">
        <f>IF(ISNUMBER(CI1571),IF(CI1571&lt;$B$13,CI1571,""),"")</f>
        <v/>
      </c>
      <c r="CM1571">
        <f>IF(CH1571="","",IFERROR(IF(IF(AND(LEN(CH1571)=9,ISERROR(FIND("-",LEFT(CH1571,8))),ISNUMBER(-LEFT(CH1571,8))),VALUE(LEFT(CH1571,4)),VALUE(LEFT(CH1571,FIND("-",CH1571)-1)))&lt;100,IF(AND(LEN(CH1571)=9,ISERROR(FIND("-",LEFT(CH1571,8))),ISNUMBER(-LEFT(CH1571,8))),VALUE(LEFT(CH1571,4)),VALUE(LEFT(CH1571,FIND("-",CH1571)-1)))+2000,IF(AND(LEN(CH1571)=9,ISERROR(FIND("-",LEFT(CH1571,8))),ISNUMBER(-LEFT(CH1571,8))),VALUE(LEFT(CH1571,4)),VALUE(LEFT(CH1571,FIND("-",CH1571)-1)))),""))</f>
        <v/>
      </c>
      <c r="CN1571">
        <f>IF(CH1571="","",IFERROR(IF(AND(LEN(CH1571)=9,ISERROR(FIND("-",LEFT(CH1571,8))),ISNUMBER(-LEFT(CH1571,8))),VALUE(MID(CH1571,5,2)),VALUE(MID(CH1571,FIND("-",CH1571)+1,FIND("-",CH1571,FIND("-",CH1571)+1)-FIND("-",CH1571)-1))),""))</f>
        <v/>
      </c>
      <c r="CO1571">
        <f>IF(CH1571="","",IFERROR(IF(AND(LEN(CH1571)=9,ISERROR(FIND("-",LEFT(CH1571,8))),ISNUMBER(-LEFT(CH1571,8))),VALUE(MID(CH1571,7,2)),VALUE(MID(CH1571,FIND("-",CH1571,FIND("-",CH1571)+1)+1,FIND("-",CH1571,FIND("-",CH1571,FIND("-",CH1571)+1)+1)-FIND("-",CH1571,FIND("-",CH1571)+1)-1))),""))</f>
        <v/>
      </c>
    </row>
    <row r="1572">
      <c r="CH1572">
        <f>IF(ISTEXT('월 가계부'!A1572),SUBSTITUTE(SUBSTITUTE(SUBSTITUTE(SUBSTITUTE(SUBSTITUTE(SUBSTITUTE(SUBSTITUTE(SUBSTITUTE(SUBSTITUTE(TRIM('월 가계부'!A1572),"년","-"),"월","-"),"일",""),".","-"),"/","-")," ","-"),"--","-"),"--","-"),"--","-")&amp;"-","")</f>
        <v/>
      </c>
      <c r="CI1572">
        <f>IFERROR(IF('월 가계부'!A1572="","",IF(ISNUMBER('월 가계부'!A1572),IF(AND('월 가계부'!A1572&gt;=19000101,'월 가계부'!A1572&lt;=21001231),IF(AND(MOD(INT('월 가계부'!A1572/100),100)&gt;=1,MOD(INT('월 가계부'!A1572/100),100)&lt;=12,MOD(INT('월 가계부'!A1572),100)&gt;=1,MOD(INT('월 가계부'!A1572),100)&lt;=31),IF(MONTH(DATE(INT('월 가계부'!A1572/10000),MOD(INT('월 가계부'!A1572/100),100),MOD(INT('월 가계부'!A1572),100)))=MOD(INT('월 가계부'!A1572/100),100),DATE(INT('월 가계부'!A1572/10000),MOD(INT('월 가계부'!A1572/100),100),MOD(INT('월 가계부'!A1572),100)),""),""),IF(AND('월 가계부'!A1572&gt;=36526,'월 가계부'!A1572&lt;73051),INT('월 가계부'!A1572),"")),IF(OR(CM1572="",CN1572="",CO1572=""),"",IF(AND(CM1572&gt;=2000,CM1572&lt;=2099,CN1572&gt;=1,CN1572&lt;=12,CO1572&gt;=1,CO1572&lt;=31),IF(MONTH(DATE(CM1572,CN1572,CO1572))=CN1572,DATE(CM1572,CN1572,CO1572),""),"")))),"")</f>
        <v/>
      </c>
      <c r="CJ1572">
        <f>IFERROR(IF('월 가계부'!C1572="","",IF(ISNUMBER('월 가계부'!C1572),'월 가계부'!C1572,VALUE(SUBSTITUTE(SUBSTITUTE(SUBSTITUTE(SUBSTITUTE(TRIM('월 가계부'!C1572),",",""),"원","")," ",""),"−","-")))),"")</f>
        <v/>
      </c>
      <c r="CK1572">
        <f>IF(ISNUMBER(CI1572),IF(CI1572&lt;$B$13,CI1572,""),"")</f>
        <v/>
      </c>
      <c r="CM1572">
        <f>IF(CH1572="","",IFERROR(IF(IF(AND(LEN(CH1572)=9,ISERROR(FIND("-",LEFT(CH1572,8))),ISNUMBER(-LEFT(CH1572,8))),VALUE(LEFT(CH1572,4)),VALUE(LEFT(CH1572,FIND("-",CH1572)-1)))&lt;100,IF(AND(LEN(CH1572)=9,ISERROR(FIND("-",LEFT(CH1572,8))),ISNUMBER(-LEFT(CH1572,8))),VALUE(LEFT(CH1572,4)),VALUE(LEFT(CH1572,FIND("-",CH1572)-1)))+2000,IF(AND(LEN(CH1572)=9,ISERROR(FIND("-",LEFT(CH1572,8))),ISNUMBER(-LEFT(CH1572,8))),VALUE(LEFT(CH1572,4)),VALUE(LEFT(CH1572,FIND("-",CH1572)-1)))),""))</f>
        <v/>
      </c>
      <c r="CN1572">
        <f>IF(CH1572="","",IFERROR(IF(AND(LEN(CH1572)=9,ISERROR(FIND("-",LEFT(CH1572,8))),ISNUMBER(-LEFT(CH1572,8))),VALUE(MID(CH1572,5,2)),VALUE(MID(CH1572,FIND("-",CH1572)+1,FIND("-",CH1572,FIND("-",CH1572)+1)-FIND("-",CH1572)-1))),""))</f>
        <v/>
      </c>
      <c r="CO1572">
        <f>IF(CH1572="","",IFERROR(IF(AND(LEN(CH1572)=9,ISERROR(FIND("-",LEFT(CH1572,8))),ISNUMBER(-LEFT(CH1572,8))),VALUE(MID(CH1572,7,2)),VALUE(MID(CH1572,FIND("-",CH1572,FIND("-",CH1572)+1)+1,FIND("-",CH1572,FIND("-",CH1572,FIND("-",CH1572)+1)+1)-FIND("-",CH1572,FIND("-",CH1572)+1)-1))),""))</f>
        <v/>
      </c>
    </row>
    <row r="1573">
      <c r="CH1573">
        <f>IF(ISTEXT('월 가계부'!A1573),SUBSTITUTE(SUBSTITUTE(SUBSTITUTE(SUBSTITUTE(SUBSTITUTE(SUBSTITUTE(SUBSTITUTE(SUBSTITUTE(SUBSTITUTE(TRIM('월 가계부'!A1573),"년","-"),"월","-"),"일",""),".","-"),"/","-")," ","-"),"--","-"),"--","-"),"--","-")&amp;"-","")</f>
        <v/>
      </c>
      <c r="CI1573">
        <f>IFERROR(IF('월 가계부'!A1573="","",IF(ISNUMBER('월 가계부'!A1573),IF(AND('월 가계부'!A1573&gt;=19000101,'월 가계부'!A1573&lt;=21001231),IF(AND(MOD(INT('월 가계부'!A1573/100),100)&gt;=1,MOD(INT('월 가계부'!A1573/100),100)&lt;=12,MOD(INT('월 가계부'!A1573),100)&gt;=1,MOD(INT('월 가계부'!A1573),100)&lt;=31),IF(MONTH(DATE(INT('월 가계부'!A1573/10000),MOD(INT('월 가계부'!A1573/100),100),MOD(INT('월 가계부'!A1573),100)))=MOD(INT('월 가계부'!A1573/100),100),DATE(INT('월 가계부'!A1573/10000),MOD(INT('월 가계부'!A1573/100),100),MOD(INT('월 가계부'!A1573),100)),""),""),IF(AND('월 가계부'!A1573&gt;=36526,'월 가계부'!A1573&lt;73051),INT('월 가계부'!A1573),"")),IF(OR(CM1573="",CN1573="",CO1573=""),"",IF(AND(CM1573&gt;=2000,CM1573&lt;=2099,CN1573&gt;=1,CN1573&lt;=12,CO1573&gt;=1,CO1573&lt;=31),IF(MONTH(DATE(CM1573,CN1573,CO1573))=CN1573,DATE(CM1573,CN1573,CO1573),""),"")))),"")</f>
        <v/>
      </c>
      <c r="CJ1573">
        <f>IFERROR(IF('월 가계부'!C1573="","",IF(ISNUMBER('월 가계부'!C1573),'월 가계부'!C1573,VALUE(SUBSTITUTE(SUBSTITUTE(SUBSTITUTE(SUBSTITUTE(TRIM('월 가계부'!C1573),",",""),"원","")," ",""),"−","-")))),"")</f>
        <v/>
      </c>
      <c r="CK1573">
        <f>IF(ISNUMBER(CI1573),IF(CI1573&lt;$B$13,CI1573,""),"")</f>
        <v/>
      </c>
      <c r="CM1573">
        <f>IF(CH1573="","",IFERROR(IF(IF(AND(LEN(CH1573)=9,ISERROR(FIND("-",LEFT(CH1573,8))),ISNUMBER(-LEFT(CH1573,8))),VALUE(LEFT(CH1573,4)),VALUE(LEFT(CH1573,FIND("-",CH1573)-1)))&lt;100,IF(AND(LEN(CH1573)=9,ISERROR(FIND("-",LEFT(CH1573,8))),ISNUMBER(-LEFT(CH1573,8))),VALUE(LEFT(CH1573,4)),VALUE(LEFT(CH1573,FIND("-",CH1573)-1)))+2000,IF(AND(LEN(CH1573)=9,ISERROR(FIND("-",LEFT(CH1573,8))),ISNUMBER(-LEFT(CH1573,8))),VALUE(LEFT(CH1573,4)),VALUE(LEFT(CH1573,FIND("-",CH1573)-1)))),""))</f>
        <v/>
      </c>
      <c r="CN1573">
        <f>IF(CH1573="","",IFERROR(IF(AND(LEN(CH1573)=9,ISERROR(FIND("-",LEFT(CH1573,8))),ISNUMBER(-LEFT(CH1573,8))),VALUE(MID(CH1573,5,2)),VALUE(MID(CH1573,FIND("-",CH1573)+1,FIND("-",CH1573,FIND("-",CH1573)+1)-FIND("-",CH1573)-1))),""))</f>
        <v/>
      </c>
      <c r="CO1573">
        <f>IF(CH1573="","",IFERROR(IF(AND(LEN(CH1573)=9,ISERROR(FIND("-",LEFT(CH1573,8))),ISNUMBER(-LEFT(CH1573,8))),VALUE(MID(CH1573,7,2)),VALUE(MID(CH1573,FIND("-",CH1573,FIND("-",CH1573)+1)+1,FIND("-",CH1573,FIND("-",CH1573,FIND("-",CH1573)+1)+1)-FIND("-",CH1573,FIND("-",CH1573)+1)-1))),""))</f>
        <v/>
      </c>
    </row>
    <row r="1574">
      <c r="CH1574">
        <f>IF(ISTEXT('월 가계부'!A1574),SUBSTITUTE(SUBSTITUTE(SUBSTITUTE(SUBSTITUTE(SUBSTITUTE(SUBSTITUTE(SUBSTITUTE(SUBSTITUTE(SUBSTITUTE(TRIM('월 가계부'!A1574),"년","-"),"월","-"),"일",""),".","-"),"/","-")," ","-"),"--","-"),"--","-"),"--","-")&amp;"-","")</f>
        <v/>
      </c>
      <c r="CI1574">
        <f>IFERROR(IF('월 가계부'!A1574="","",IF(ISNUMBER('월 가계부'!A1574),IF(AND('월 가계부'!A1574&gt;=19000101,'월 가계부'!A1574&lt;=21001231),IF(AND(MOD(INT('월 가계부'!A1574/100),100)&gt;=1,MOD(INT('월 가계부'!A1574/100),100)&lt;=12,MOD(INT('월 가계부'!A1574),100)&gt;=1,MOD(INT('월 가계부'!A1574),100)&lt;=31),IF(MONTH(DATE(INT('월 가계부'!A1574/10000),MOD(INT('월 가계부'!A1574/100),100),MOD(INT('월 가계부'!A1574),100)))=MOD(INT('월 가계부'!A1574/100),100),DATE(INT('월 가계부'!A1574/10000),MOD(INT('월 가계부'!A1574/100),100),MOD(INT('월 가계부'!A1574),100)),""),""),IF(AND('월 가계부'!A1574&gt;=36526,'월 가계부'!A1574&lt;73051),INT('월 가계부'!A1574),"")),IF(OR(CM1574="",CN1574="",CO1574=""),"",IF(AND(CM1574&gt;=2000,CM1574&lt;=2099,CN1574&gt;=1,CN1574&lt;=12,CO1574&gt;=1,CO1574&lt;=31),IF(MONTH(DATE(CM1574,CN1574,CO1574))=CN1574,DATE(CM1574,CN1574,CO1574),""),"")))),"")</f>
        <v/>
      </c>
      <c r="CJ1574">
        <f>IFERROR(IF('월 가계부'!C1574="","",IF(ISNUMBER('월 가계부'!C1574),'월 가계부'!C1574,VALUE(SUBSTITUTE(SUBSTITUTE(SUBSTITUTE(SUBSTITUTE(TRIM('월 가계부'!C1574),",",""),"원","")," ",""),"−","-")))),"")</f>
        <v/>
      </c>
      <c r="CK1574">
        <f>IF(ISNUMBER(CI1574),IF(CI1574&lt;$B$13,CI1574,""),"")</f>
        <v/>
      </c>
      <c r="CM1574">
        <f>IF(CH1574="","",IFERROR(IF(IF(AND(LEN(CH1574)=9,ISERROR(FIND("-",LEFT(CH1574,8))),ISNUMBER(-LEFT(CH1574,8))),VALUE(LEFT(CH1574,4)),VALUE(LEFT(CH1574,FIND("-",CH1574)-1)))&lt;100,IF(AND(LEN(CH1574)=9,ISERROR(FIND("-",LEFT(CH1574,8))),ISNUMBER(-LEFT(CH1574,8))),VALUE(LEFT(CH1574,4)),VALUE(LEFT(CH1574,FIND("-",CH1574)-1)))+2000,IF(AND(LEN(CH1574)=9,ISERROR(FIND("-",LEFT(CH1574,8))),ISNUMBER(-LEFT(CH1574,8))),VALUE(LEFT(CH1574,4)),VALUE(LEFT(CH1574,FIND("-",CH1574)-1)))),""))</f>
        <v/>
      </c>
      <c r="CN1574">
        <f>IF(CH1574="","",IFERROR(IF(AND(LEN(CH1574)=9,ISERROR(FIND("-",LEFT(CH1574,8))),ISNUMBER(-LEFT(CH1574,8))),VALUE(MID(CH1574,5,2)),VALUE(MID(CH1574,FIND("-",CH1574)+1,FIND("-",CH1574,FIND("-",CH1574)+1)-FIND("-",CH1574)-1))),""))</f>
        <v/>
      </c>
      <c r="CO1574">
        <f>IF(CH1574="","",IFERROR(IF(AND(LEN(CH1574)=9,ISERROR(FIND("-",LEFT(CH1574,8))),ISNUMBER(-LEFT(CH1574,8))),VALUE(MID(CH1574,7,2)),VALUE(MID(CH1574,FIND("-",CH1574,FIND("-",CH1574)+1)+1,FIND("-",CH1574,FIND("-",CH1574,FIND("-",CH1574)+1)+1)-FIND("-",CH1574,FIND("-",CH1574)+1)-1))),""))</f>
        <v/>
      </c>
    </row>
    <row r="1575">
      <c r="CH1575">
        <f>IF(ISTEXT('월 가계부'!A1575),SUBSTITUTE(SUBSTITUTE(SUBSTITUTE(SUBSTITUTE(SUBSTITUTE(SUBSTITUTE(SUBSTITUTE(SUBSTITUTE(SUBSTITUTE(TRIM('월 가계부'!A1575),"년","-"),"월","-"),"일",""),".","-"),"/","-")," ","-"),"--","-"),"--","-"),"--","-")&amp;"-","")</f>
        <v/>
      </c>
      <c r="CI1575">
        <f>IFERROR(IF('월 가계부'!A1575="","",IF(ISNUMBER('월 가계부'!A1575),IF(AND('월 가계부'!A1575&gt;=19000101,'월 가계부'!A1575&lt;=21001231),IF(AND(MOD(INT('월 가계부'!A1575/100),100)&gt;=1,MOD(INT('월 가계부'!A1575/100),100)&lt;=12,MOD(INT('월 가계부'!A1575),100)&gt;=1,MOD(INT('월 가계부'!A1575),100)&lt;=31),IF(MONTH(DATE(INT('월 가계부'!A1575/10000),MOD(INT('월 가계부'!A1575/100),100),MOD(INT('월 가계부'!A1575),100)))=MOD(INT('월 가계부'!A1575/100),100),DATE(INT('월 가계부'!A1575/10000),MOD(INT('월 가계부'!A1575/100),100),MOD(INT('월 가계부'!A1575),100)),""),""),IF(AND('월 가계부'!A1575&gt;=36526,'월 가계부'!A1575&lt;73051),INT('월 가계부'!A1575),"")),IF(OR(CM1575="",CN1575="",CO1575=""),"",IF(AND(CM1575&gt;=2000,CM1575&lt;=2099,CN1575&gt;=1,CN1575&lt;=12,CO1575&gt;=1,CO1575&lt;=31),IF(MONTH(DATE(CM1575,CN1575,CO1575))=CN1575,DATE(CM1575,CN1575,CO1575),""),"")))),"")</f>
        <v/>
      </c>
      <c r="CJ1575">
        <f>IFERROR(IF('월 가계부'!C1575="","",IF(ISNUMBER('월 가계부'!C1575),'월 가계부'!C1575,VALUE(SUBSTITUTE(SUBSTITUTE(SUBSTITUTE(SUBSTITUTE(TRIM('월 가계부'!C1575),",",""),"원","")," ",""),"−","-")))),"")</f>
        <v/>
      </c>
      <c r="CK1575">
        <f>IF(ISNUMBER(CI1575),IF(CI1575&lt;$B$13,CI1575,""),"")</f>
        <v/>
      </c>
      <c r="CM1575">
        <f>IF(CH1575="","",IFERROR(IF(IF(AND(LEN(CH1575)=9,ISERROR(FIND("-",LEFT(CH1575,8))),ISNUMBER(-LEFT(CH1575,8))),VALUE(LEFT(CH1575,4)),VALUE(LEFT(CH1575,FIND("-",CH1575)-1)))&lt;100,IF(AND(LEN(CH1575)=9,ISERROR(FIND("-",LEFT(CH1575,8))),ISNUMBER(-LEFT(CH1575,8))),VALUE(LEFT(CH1575,4)),VALUE(LEFT(CH1575,FIND("-",CH1575)-1)))+2000,IF(AND(LEN(CH1575)=9,ISERROR(FIND("-",LEFT(CH1575,8))),ISNUMBER(-LEFT(CH1575,8))),VALUE(LEFT(CH1575,4)),VALUE(LEFT(CH1575,FIND("-",CH1575)-1)))),""))</f>
        <v/>
      </c>
      <c r="CN1575">
        <f>IF(CH1575="","",IFERROR(IF(AND(LEN(CH1575)=9,ISERROR(FIND("-",LEFT(CH1575,8))),ISNUMBER(-LEFT(CH1575,8))),VALUE(MID(CH1575,5,2)),VALUE(MID(CH1575,FIND("-",CH1575)+1,FIND("-",CH1575,FIND("-",CH1575)+1)-FIND("-",CH1575)-1))),""))</f>
        <v/>
      </c>
      <c r="CO1575">
        <f>IF(CH1575="","",IFERROR(IF(AND(LEN(CH1575)=9,ISERROR(FIND("-",LEFT(CH1575,8))),ISNUMBER(-LEFT(CH1575,8))),VALUE(MID(CH1575,7,2)),VALUE(MID(CH1575,FIND("-",CH1575,FIND("-",CH1575)+1)+1,FIND("-",CH1575,FIND("-",CH1575,FIND("-",CH1575)+1)+1)-FIND("-",CH1575,FIND("-",CH1575)+1)-1))),""))</f>
        <v/>
      </c>
    </row>
    <row r="1576">
      <c r="CH1576">
        <f>IF(ISTEXT('월 가계부'!A1576),SUBSTITUTE(SUBSTITUTE(SUBSTITUTE(SUBSTITUTE(SUBSTITUTE(SUBSTITUTE(SUBSTITUTE(SUBSTITUTE(SUBSTITUTE(TRIM('월 가계부'!A1576),"년","-"),"월","-"),"일",""),".","-"),"/","-")," ","-"),"--","-"),"--","-"),"--","-")&amp;"-","")</f>
        <v/>
      </c>
      <c r="CI1576">
        <f>IFERROR(IF('월 가계부'!A1576="","",IF(ISNUMBER('월 가계부'!A1576),IF(AND('월 가계부'!A1576&gt;=19000101,'월 가계부'!A1576&lt;=21001231),IF(AND(MOD(INT('월 가계부'!A1576/100),100)&gt;=1,MOD(INT('월 가계부'!A1576/100),100)&lt;=12,MOD(INT('월 가계부'!A1576),100)&gt;=1,MOD(INT('월 가계부'!A1576),100)&lt;=31),IF(MONTH(DATE(INT('월 가계부'!A1576/10000),MOD(INT('월 가계부'!A1576/100),100),MOD(INT('월 가계부'!A1576),100)))=MOD(INT('월 가계부'!A1576/100),100),DATE(INT('월 가계부'!A1576/10000),MOD(INT('월 가계부'!A1576/100),100),MOD(INT('월 가계부'!A1576),100)),""),""),IF(AND('월 가계부'!A1576&gt;=36526,'월 가계부'!A1576&lt;73051),INT('월 가계부'!A1576),"")),IF(OR(CM1576="",CN1576="",CO1576=""),"",IF(AND(CM1576&gt;=2000,CM1576&lt;=2099,CN1576&gt;=1,CN1576&lt;=12,CO1576&gt;=1,CO1576&lt;=31),IF(MONTH(DATE(CM1576,CN1576,CO1576))=CN1576,DATE(CM1576,CN1576,CO1576),""),"")))),"")</f>
        <v/>
      </c>
      <c r="CJ1576">
        <f>IFERROR(IF('월 가계부'!C1576="","",IF(ISNUMBER('월 가계부'!C1576),'월 가계부'!C1576,VALUE(SUBSTITUTE(SUBSTITUTE(SUBSTITUTE(SUBSTITUTE(TRIM('월 가계부'!C1576),",",""),"원","")," ",""),"−","-")))),"")</f>
        <v/>
      </c>
      <c r="CK1576">
        <f>IF(ISNUMBER(CI1576),IF(CI1576&lt;$B$13,CI1576,""),"")</f>
        <v/>
      </c>
      <c r="CM1576">
        <f>IF(CH1576="","",IFERROR(IF(IF(AND(LEN(CH1576)=9,ISERROR(FIND("-",LEFT(CH1576,8))),ISNUMBER(-LEFT(CH1576,8))),VALUE(LEFT(CH1576,4)),VALUE(LEFT(CH1576,FIND("-",CH1576)-1)))&lt;100,IF(AND(LEN(CH1576)=9,ISERROR(FIND("-",LEFT(CH1576,8))),ISNUMBER(-LEFT(CH1576,8))),VALUE(LEFT(CH1576,4)),VALUE(LEFT(CH1576,FIND("-",CH1576)-1)))+2000,IF(AND(LEN(CH1576)=9,ISERROR(FIND("-",LEFT(CH1576,8))),ISNUMBER(-LEFT(CH1576,8))),VALUE(LEFT(CH1576,4)),VALUE(LEFT(CH1576,FIND("-",CH1576)-1)))),""))</f>
        <v/>
      </c>
      <c r="CN1576">
        <f>IF(CH1576="","",IFERROR(IF(AND(LEN(CH1576)=9,ISERROR(FIND("-",LEFT(CH1576,8))),ISNUMBER(-LEFT(CH1576,8))),VALUE(MID(CH1576,5,2)),VALUE(MID(CH1576,FIND("-",CH1576)+1,FIND("-",CH1576,FIND("-",CH1576)+1)-FIND("-",CH1576)-1))),""))</f>
        <v/>
      </c>
      <c r="CO1576">
        <f>IF(CH1576="","",IFERROR(IF(AND(LEN(CH1576)=9,ISERROR(FIND("-",LEFT(CH1576,8))),ISNUMBER(-LEFT(CH1576,8))),VALUE(MID(CH1576,7,2)),VALUE(MID(CH1576,FIND("-",CH1576,FIND("-",CH1576)+1)+1,FIND("-",CH1576,FIND("-",CH1576,FIND("-",CH1576)+1)+1)-FIND("-",CH1576,FIND("-",CH1576)+1)-1))),""))</f>
        <v/>
      </c>
    </row>
    <row r="1577">
      <c r="CH1577">
        <f>IF(ISTEXT('월 가계부'!A1577),SUBSTITUTE(SUBSTITUTE(SUBSTITUTE(SUBSTITUTE(SUBSTITUTE(SUBSTITUTE(SUBSTITUTE(SUBSTITUTE(SUBSTITUTE(TRIM('월 가계부'!A1577),"년","-"),"월","-"),"일",""),".","-"),"/","-")," ","-"),"--","-"),"--","-"),"--","-")&amp;"-","")</f>
        <v/>
      </c>
      <c r="CI1577">
        <f>IFERROR(IF('월 가계부'!A1577="","",IF(ISNUMBER('월 가계부'!A1577),IF(AND('월 가계부'!A1577&gt;=19000101,'월 가계부'!A1577&lt;=21001231),IF(AND(MOD(INT('월 가계부'!A1577/100),100)&gt;=1,MOD(INT('월 가계부'!A1577/100),100)&lt;=12,MOD(INT('월 가계부'!A1577),100)&gt;=1,MOD(INT('월 가계부'!A1577),100)&lt;=31),IF(MONTH(DATE(INT('월 가계부'!A1577/10000),MOD(INT('월 가계부'!A1577/100),100),MOD(INT('월 가계부'!A1577),100)))=MOD(INT('월 가계부'!A1577/100),100),DATE(INT('월 가계부'!A1577/10000),MOD(INT('월 가계부'!A1577/100),100),MOD(INT('월 가계부'!A1577),100)),""),""),IF(AND('월 가계부'!A1577&gt;=36526,'월 가계부'!A1577&lt;73051),INT('월 가계부'!A1577),"")),IF(OR(CM1577="",CN1577="",CO1577=""),"",IF(AND(CM1577&gt;=2000,CM1577&lt;=2099,CN1577&gt;=1,CN1577&lt;=12,CO1577&gt;=1,CO1577&lt;=31),IF(MONTH(DATE(CM1577,CN1577,CO1577))=CN1577,DATE(CM1577,CN1577,CO1577),""),"")))),"")</f>
        <v/>
      </c>
      <c r="CJ1577">
        <f>IFERROR(IF('월 가계부'!C1577="","",IF(ISNUMBER('월 가계부'!C1577),'월 가계부'!C1577,VALUE(SUBSTITUTE(SUBSTITUTE(SUBSTITUTE(SUBSTITUTE(TRIM('월 가계부'!C1577),",",""),"원","")," ",""),"−","-")))),"")</f>
        <v/>
      </c>
      <c r="CK1577">
        <f>IF(ISNUMBER(CI1577),IF(CI1577&lt;$B$13,CI1577,""),"")</f>
        <v/>
      </c>
      <c r="CM1577">
        <f>IF(CH1577="","",IFERROR(IF(IF(AND(LEN(CH1577)=9,ISERROR(FIND("-",LEFT(CH1577,8))),ISNUMBER(-LEFT(CH1577,8))),VALUE(LEFT(CH1577,4)),VALUE(LEFT(CH1577,FIND("-",CH1577)-1)))&lt;100,IF(AND(LEN(CH1577)=9,ISERROR(FIND("-",LEFT(CH1577,8))),ISNUMBER(-LEFT(CH1577,8))),VALUE(LEFT(CH1577,4)),VALUE(LEFT(CH1577,FIND("-",CH1577)-1)))+2000,IF(AND(LEN(CH1577)=9,ISERROR(FIND("-",LEFT(CH1577,8))),ISNUMBER(-LEFT(CH1577,8))),VALUE(LEFT(CH1577,4)),VALUE(LEFT(CH1577,FIND("-",CH1577)-1)))),""))</f>
        <v/>
      </c>
      <c r="CN1577">
        <f>IF(CH1577="","",IFERROR(IF(AND(LEN(CH1577)=9,ISERROR(FIND("-",LEFT(CH1577,8))),ISNUMBER(-LEFT(CH1577,8))),VALUE(MID(CH1577,5,2)),VALUE(MID(CH1577,FIND("-",CH1577)+1,FIND("-",CH1577,FIND("-",CH1577)+1)-FIND("-",CH1577)-1))),""))</f>
        <v/>
      </c>
      <c r="CO1577">
        <f>IF(CH1577="","",IFERROR(IF(AND(LEN(CH1577)=9,ISERROR(FIND("-",LEFT(CH1577,8))),ISNUMBER(-LEFT(CH1577,8))),VALUE(MID(CH1577,7,2)),VALUE(MID(CH1577,FIND("-",CH1577,FIND("-",CH1577)+1)+1,FIND("-",CH1577,FIND("-",CH1577,FIND("-",CH1577)+1)+1)-FIND("-",CH1577,FIND("-",CH1577)+1)-1))),""))</f>
        <v/>
      </c>
    </row>
    <row r="1578">
      <c r="CH1578">
        <f>IF(ISTEXT('월 가계부'!A1578),SUBSTITUTE(SUBSTITUTE(SUBSTITUTE(SUBSTITUTE(SUBSTITUTE(SUBSTITUTE(SUBSTITUTE(SUBSTITUTE(SUBSTITUTE(TRIM('월 가계부'!A1578),"년","-"),"월","-"),"일",""),".","-"),"/","-")," ","-"),"--","-"),"--","-"),"--","-")&amp;"-","")</f>
        <v/>
      </c>
      <c r="CI1578">
        <f>IFERROR(IF('월 가계부'!A1578="","",IF(ISNUMBER('월 가계부'!A1578),IF(AND('월 가계부'!A1578&gt;=19000101,'월 가계부'!A1578&lt;=21001231),IF(AND(MOD(INT('월 가계부'!A1578/100),100)&gt;=1,MOD(INT('월 가계부'!A1578/100),100)&lt;=12,MOD(INT('월 가계부'!A1578),100)&gt;=1,MOD(INT('월 가계부'!A1578),100)&lt;=31),IF(MONTH(DATE(INT('월 가계부'!A1578/10000),MOD(INT('월 가계부'!A1578/100),100),MOD(INT('월 가계부'!A1578),100)))=MOD(INT('월 가계부'!A1578/100),100),DATE(INT('월 가계부'!A1578/10000),MOD(INT('월 가계부'!A1578/100),100),MOD(INT('월 가계부'!A1578),100)),""),""),IF(AND('월 가계부'!A1578&gt;=36526,'월 가계부'!A1578&lt;73051),INT('월 가계부'!A1578),"")),IF(OR(CM1578="",CN1578="",CO1578=""),"",IF(AND(CM1578&gt;=2000,CM1578&lt;=2099,CN1578&gt;=1,CN1578&lt;=12,CO1578&gt;=1,CO1578&lt;=31),IF(MONTH(DATE(CM1578,CN1578,CO1578))=CN1578,DATE(CM1578,CN1578,CO1578),""),"")))),"")</f>
        <v/>
      </c>
      <c r="CJ1578">
        <f>IFERROR(IF('월 가계부'!C1578="","",IF(ISNUMBER('월 가계부'!C1578),'월 가계부'!C1578,VALUE(SUBSTITUTE(SUBSTITUTE(SUBSTITUTE(SUBSTITUTE(TRIM('월 가계부'!C1578),",",""),"원","")," ",""),"−","-")))),"")</f>
        <v/>
      </c>
      <c r="CK1578">
        <f>IF(ISNUMBER(CI1578),IF(CI1578&lt;$B$13,CI1578,""),"")</f>
        <v/>
      </c>
      <c r="CM1578">
        <f>IF(CH1578="","",IFERROR(IF(IF(AND(LEN(CH1578)=9,ISERROR(FIND("-",LEFT(CH1578,8))),ISNUMBER(-LEFT(CH1578,8))),VALUE(LEFT(CH1578,4)),VALUE(LEFT(CH1578,FIND("-",CH1578)-1)))&lt;100,IF(AND(LEN(CH1578)=9,ISERROR(FIND("-",LEFT(CH1578,8))),ISNUMBER(-LEFT(CH1578,8))),VALUE(LEFT(CH1578,4)),VALUE(LEFT(CH1578,FIND("-",CH1578)-1)))+2000,IF(AND(LEN(CH1578)=9,ISERROR(FIND("-",LEFT(CH1578,8))),ISNUMBER(-LEFT(CH1578,8))),VALUE(LEFT(CH1578,4)),VALUE(LEFT(CH1578,FIND("-",CH1578)-1)))),""))</f>
        <v/>
      </c>
      <c r="CN1578">
        <f>IF(CH1578="","",IFERROR(IF(AND(LEN(CH1578)=9,ISERROR(FIND("-",LEFT(CH1578,8))),ISNUMBER(-LEFT(CH1578,8))),VALUE(MID(CH1578,5,2)),VALUE(MID(CH1578,FIND("-",CH1578)+1,FIND("-",CH1578,FIND("-",CH1578)+1)-FIND("-",CH1578)-1))),""))</f>
        <v/>
      </c>
      <c r="CO1578">
        <f>IF(CH1578="","",IFERROR(IF(AND(LEN(CH1578)=9,ISERROR(FIND("-",LEFT(CH1578,8))),ISNUMBER(-LEFT(CH1578,8))),VALUE(MID(CH1578,7,2)),VALUE(MID(CH1578,FIND("-",CH1578,FIND("-",CH1578)+1)+1,FIND("-",CH1578,FIND("-",CH1578,FIND("-",CH1578)+1)+1)-FIND("-",CH1578,FIND("-",CH1578)+1)-1))),""))</f>
        <v/>
      </c>
    </row>
    <row r="1579">
      <c r="CH1579">
        <f>IF(ISTEXT('월 가계부'!A1579),SUBSTITUTE(SUBSTITUTE(SUBSTITUTE(SUBSTITUTE(SUBSTITUTE(SUBSTITUTE(SUBSTITUTE(SUBSTITUTE(SUBSTITUTE(TRIM('월 가계부'!A1579),"년","-"),"월","-"),"일",""),".","-"),"/","-")," ","-"),"--","-"),"--","-"),"--","-")&amp;"-","")</f>
        <v/>
      </c>
      <c r="CI1579">
        <f>IFERROR(IF('월 가계부'!A1579="","",IF(ISNUMBER('월 가계부'!A1579),IF(AND('월 가계부'!A1579&gt;=19000101,'월 가계부'!A1579&lt;=21001231),IF(AND(MOD(INT('월 가계부'!A1579/100),100)&gt;=1,MOD(INT('월 가계부'!A1579/100),100)&lt;=12,MOD(INT('월 가계부'!A1579),100)&gt;=1,MOD(INT('월 가계부'!A1579),100)&lt;=31),IF(MONTH(DATE(INT('월 가계부'!A1579/10000),MOD(INT('월 가계부'!A1579/100),100),MOD(INT('월 가계부'!A1579),100)))=MOD(INT('월 가계부'!A1579/100),100),DATE(INT('월 가계부'!A1579/10000),MOD(INT('월 가계부'!A1579/100),100),MOD(INT('월 가계부'!A1579),100)),""),""),IF(AND('월 가계부'!A1579&gt;=36526,'월 가계부'!A1579&lt;73051),INT('월 가계부'!A1579),"")),IF(OR(CM1579="",CN1579="",CO1579=""),"",IF(AND(CM1579&gt;=2000,CM1579&lt;=2099,CN1579&gt;=1,CN1579&lt;=12,CO1579&gt;=1,CO1579&lt;=31),IF(MONTH(DATE(CM1579,CN1579,CO1579))=CN1579,DATE(CM1579,CN1579,CO1579),""),"")))),"")</f>
        <v/>
      </c>
      <c r="CJ1579">
        <f>IFERROR(IF('월 가계부'!C1579="","",IF(ISNUMBER('월 가계부'!C1579),'월 가계부'!C1579,VALUE(SUBSTITUTE(SUBSTITUTE(SUBSTITUTE(SUBSTITUTE(TRIM('월 가계부'!C1579),",",""),"원","")," ",""),"−","-")))),"")</f>
        <v/>
      </c>
      <c r="CK1579">
        <f>IF(ISNUMBER(CI1579),IF(CI1579&lt;$B$13,CI1579,""),"")</f>
        <v/>
      </c>
      <c r="CM1579">
        <f>IF(CH1579="","",IFERROR(IF(IF(AND(LEN(CH1579)=9,ISERROR(FIND("-",LEFT(CH1579,8))),ISNUMBER(-LEFT(CH1579,8))),VALUE(LEFT(CH1579,4)),VALUE(LEFT(CH1579,FIND("-",CH1579)-1)))&lt;100,IF(AND(LEN(CH1579)=9,ISERROR(FIND("-",LEFT(CH1579,8))),ISNUMBER(-LEFT(CH1579,8))),VALUE(LEFT(CH1579,4)),VALUE(LEFT(CH1579,FIND("-",CH1579)-1)))+2000,IF(AND(LEN(CH1579)=9,ISERROR(FIND("-",LEFT(CH1579,8))),ISNUMBER(-LEFT(CH1579,8))),VALUE(LEFT(CH1579,4)),VALUE(LEFT(CH1579,FIND("-",CH1579)-1)))),""))</f>
        <v/>
      </c>
      <c r="CN1579">
        <f>IF(CH1579="","",IFERROR(IF(AND(LEN(CH1579)=9,ISERROR(FIND("-",LEFT(CH1579,8))),ISNUMBER(-LEFT(CH1579,8))),VALUE(MID(CH1579,5,2)),VALUE(MID(CH1579,FIND("-",CH1579)+1,FIND("-",CH1579,FIND("-",CH1579)+1)-FIND("-",CH1579)-1))),""))</f>
        <v/>
      </c>
      <c r="CO1579">
        <f>IF(CH1579="","",IFERROR(IF(AND(LEN(CH1579)=9,ISERROR(FIND("-",LEFT(CH1579,8))),ISNUMBER(-LEFT(CH1579,8))),VALUE(MID(CH1579,7,2)),VALUE(MID(CH1579,FIND("-",CH1579,FIND("-",CH1579)+1)+1,FIND("-",CH1579,FIND("-",CH1579,FIND("-",CH1579)+1)+1)-FIND("-",CH1579,FIND("-",CH1579)+1)-1))),""))</f>
        <v/>
      </c>
    </row>
    <row r="1580">
      <c r="CH1580">
        <f>IF(ISTEXT('월 가계부'!A1580),SUBSTITUTE(SUBSTITUTE(SUBSTITUTE(SUBSTITUTE(SUBSTITUTE(SUBSTITUTE(SUBSTITUTE(SUBSTITUTE(SUBSTITUTE(TRIM('월 가계부'!A1580),"년","-"),"월","-"),"일",""),".","-"),"/","-")," ","-"),"--","-"),"--","-"),"--","-")&amp;"-","")</f>
        <v/>
      </c>
      <c r="CI1580">
        <f>IFERROR(IF('월 가계부'!A1580="","",IF(ISNUMBER('월 가계부'!A1580),IF(AND('월 가계부'!A1580&gt;=19000101,'월 가계부'!A1580&lt;=21001231),IF(AND(MOD(INT('월 가계부'!A1580/100),100)&gt;=1,MOD(INT('월 가계부'!A1580/100),100)&lt;=12,MOD(INT('월 가계부'!A1580),100)&gt;=1,MOD(INT('월 가계부'!A1580),100)&lt;=31),IF(MONTH(DATE(INT('월 가계부'!A1580/10000),MOD(INT('월 가계부'!A1580/100),100),MOD(INT('월 가계부'!A1580),100)))=MOD(INT('월 가계부'!A1580/100),100),DATE(INT('월 가계부'!A1580/10000),MOD(INT('월 가계부'!A1580/100),100),MOD(INT('월 가계부'!A1580),100)),""),""),IF(AND('월 가계부'!A1580&gt;=36526,'월 가계부'!A1580&lt;73051),INT('월 가계부'!A1580),"")),IF(OR(CM1580="",CN1580="",CO1580=""),"",IF(AND(CM1580&gt;=2000,CM1580&lt;=2099,CN1580&gt;=1,CN1580&lt;=12,CO1580&gt;=1,CO1580&lt;=31),IF(MONTH(DATE(CM1580,CN1580,CO1580))=CN1580,DATE(CM1580,CN1580,CO1580),""),"")))),"")</f>
        <v/>
      </c>
      <c r="CJ1580">
        <f>IFERROR(IF('월 가계부'!C1580="","",IF(ISNUMBER('월 가계부'!C1580),'월 가계부'!C1580,VALUE(SUBSTITUTE(SUBSTITUTE(SUBSTITUTE(SUBSTITUTE(TRIM('월 가계부'!C1580),",",""),"원","")," ",""),"−","-")))),"")</f>
        <v/>
      </c>
      <c r="CK1580">
        <f>IF(ISNUMBER(CI1580),IF(CI1580&lt;$B$13,CI1580,""),"")</f>
        <v/>
      </c>
      <c r="CM1580">
        <f>IF(CH1580="","",IFERROR(IF(IF(AND(LEN(CH1580)=9,ISERROR(FIND("-",LEFT(CH1580,8))),ISNUMBER(-LEFT(CH1580,8))),VALUE(LEFT(CH1580,4)),VALUE(LEFT(CH1580,FIND("-",CH1580)-1)))&lt;100,IF(AND(LEN(CH1580)=9,ISERROR(FIND("-",LEFT(CH1580,8))),ISNUMBER(-LEFT(CH1580,8))),VALUE(LEFT(CH1580,4)),VALUE(LEFT(CH1580,FIND("-",CH1580)-1)))+2000,IF(AND(LEN(CH1580)=9,ISERROR(FIND("-",LEFT(CH1580,8))),ISNUMBER(-LEFT(CH1580,8))),VALUE(LEFT(CH1580,4)),VALUE(LEFT(CH1580,FIND("-",CH1580)-1)))),""))</f>
        <v/>
      </c>
      <c r="CN1580">
        <f>IF(CH1580="","",IFERROR(IF(AND(LEN(CH1580)=9,ISERROR(FIND("-",LEFT(CH1580,8))),ISNUMBER(-LEFT(CH1580,8))),VALUE(MID(CH1580,5,2)),VALUE(MID(CH1580,FIND("-",CH1580)+1,FIND("-",CH1580,FIND("-",CH1580)+1)-FIND("-",CH1580)-1))),""))</f>
        <v/>
      </c>
      <c r="CO1580">
        <f>IF(CH1580="","",IFERROR(IF(AND(LEN(CH1580)=9,ISERROR(FIND("-",LEFT(CH1580,8))),ISNUMBER(-LEFT(CH1580,8))),VALUE(MID(CH1580,7,2)),VALUE(MID(CH1580,FIND("-",CH1580,FIND("-",CH1580)+1)+1,FIND("-",CH1580,FIND("-",CH1580,FIND("-",CH1580)+1)+1)-FIND("-",CH1580,FIND("-",CH1580)+1)-1))),""))</f>
        <v/>
      </c>
    </row>
    <row r="1581">
      <c r="CH1581">
        <f>IF(ISTEXT('월 가계부'!A1581),SUBSTITUTE(SUBSTITUTE(SUBSTITUTE(SUBSTITUTE(SUBSTITUTE(SUBSTITUTE(SUBSTITUTE(SUBSTITUTE(SUBSTITUTE(TRIM('월 가계부'!A1581),"년","-"),"월","-"),"일",""),".","-"),"/","-")," ","-"),"--","-"),"--","-"),"--","-")&amp;"-","")</f>
        <v/>
      </c>
      <c r="CI1581">
        <f>IFERROR(IF('월 가계부'!A1581="","",IF(ISNUMBER('월 가계부'!A1581),IF(AND('월 가계부'!A1581&gt;=19000101,'월 가계부'!A1581&lt;=21001231),IF(AND(MOD(INT('월 가계부'!A1581/100),100)&gt;=1,MOD(INT('월 가계부'!A1581/100),100)&lt;=12,MOD(INT('월 가계부'!A1581),100)&gt;=1,MOD(INT('월 가계부'!A1581),100)&lt;=31),IF(MONTH(DATE(INT('월 가계부'!A1581/10000),MOD(INT('월 가계부'!A1581/100),100),MOD(INT('월 가계부'!A1581),100)))=MOD(INT('월 가계부'!A1581/100),100),DATE(INT('월 가계부'!A1581/10000),MOD(INT('월 가계부'!A1581/100),100),MOD(INT('월 가계부'!A1581),100)),""),""),IF(AND('월 가계부'!A1581&gt;=36526,'월 가계부'!A1581&lt;73051),INT('월 가계부'!A1581),"")),IF(OR(CM1581="",CN1581="",CO1581=""),"",IF(AND(CM1581&gt;=2000,CM1581&lt;=2099,CN1581&gt;=1,CN1581&lt;=12,CO1581&gt;=1,CO1581&lt;=31),IF(MONTH(DATE(CM1581,CN1581,CO1581))=CN1581,DATE(CM1581,CN1581,CO1581),""),"")))),"")</f>
        <v/>
      </c>
      <c r="CJ1581">
        <f>IFERROR(IF('월 가계부'!C1581="","",IF(ISNUMBER('월 가계부'!C1581),'월 가계부'!C1581,VALUE(SUBSTITUTE(SUBSTITUTE(SUBSTITUTE(SUBSTITUTE(TRIM('월 가계부'!C1581),",",""),"원","")," ",""),"−","-")))),"")</f>
        <v/>
      </c>
      <c r="CK1581">
        <f>IF(ISNUMBER(CI1581),IF(CI1581&lt;$B$13,CI1581,""),"")</f>
        <v/>
      </c>
      <c r="CM1581">
        <f>IF(CH1581="","",IFERROR(IF(IF(AND(LEN(CH1581)=9,ISERROR(FIND("-",LEFT(CH1581,8))),ISNUMBER(-LEFT(CH1581,8))),VALUE(LEFT(CH1581,4)),VALUE(LEFT(CH1581,FIND("-",CH1581)-1)))&lt;100,IF(AND(LEN(CH1581)=9,ISERROR(FIND("-",LEFT(CH1581,8))),ISNUMBER(-LEFT(CH1581,8))),VALUE(LEFT(CH1581,4)),VALUE(LEFT(CH1581,FIND("-",CH1581)-1)))+2000,IF(AND(LEN(CH1581)=9,ISERROR(FIND("-",LEFT(CH1581,8))),ISNUMBER(-LEFT(CH1581,8))),VALUE(LEFT(CH1581,4)),VALUE(LEFT(CH1581,FIND("-",CH1581)-1)))),""))</f>
        <v/>
      </c>
      <c r="CN1581">
        <f>IF(CH1581="","",IFERROR(IF(AND(LEN(CH1581)=9,ISERROR(FIND("-",LEFT(CH1581,8))),ISNUMBER(-LEFT(CH1581,8))),VALUE(MID(CH1581,5,2)),VALUE(MID(CH1581,FIND("-",CH1581)+1,FIND("-",CH1581,FIND("-",CH1581)+1)-FIND("-",CH1581)-1))),""))</f>
        <v/>
      </c>
      <c r="CO1581">
        <f>IF(CH1581="","",IFERROR(IF(AND(LEN(CH1581)=9,ISERROR(FIND("-",LEFT(CH1581,8))),ISNUMBER(-LEFT(CH1581,8))),VALUE(MID(CH1581,7,2)),VALUE(MID(CH1581,FIND("-",CH1581,FIND("-",CH1581)+1)+1,FIND("-",CH1581,FIND("-",CH1581,FIND("-",CH1581)+1)+1)-FIND("-",CH1581,FIND("-",CH1581)+1)-1))),""))</f>
        <v/>
      </c>
    </row>
    <row r="1582">
      <c r="CH1582">
        <f>IF(ISTEXT('월 가계부'!A1582),SUBSTITUTE(SUBSTITUTE(SUBSTITUTE(SUBSTITUTE(SUBSTITUTE(SUBSTITUTE(SUBSTITUTE(SUBSTITUTE(SUBSTITUTE(TRIM('월 가계부'!A1582),"년","-"),"월","-"),"일",""),".","-"),"/","-")," ","-"),"--","-"),"--","-"),"--","-")&amp;"-","")</f>
        <v/>
      </c>
      <c r="CI1582">
        <f>IFERROR(IF('월 가계부'!A1582="","",IF(ISNUMBER('월 가계부'!A1582),IF(AND('월 가계부'!A1582&gt;=19000101,'월 가계부'!A1582&lt;=21001231),IF(AND(MOD(INT('월 가계부'!A1582/100),100)&gt;=1,MOD(INT('월 가계부'!A1582/100),100)&lt;=12,MOD(INT('월 가계부'!A1582),100)&gt;=1,MOD(INT('월 가계부'!A1582),100)&lt;=31),IF(MONTH(DATE(INT('월 가계부'!A1582/10000),MOD(INT('월 가계부'!A1582/100),100),MOD(INT('월 가계부'!A1582),100)))=MOD(INT('월 가계부'!A1582/100),100),DATE(INT('월 가계부'!A1582/10000),MOD(INT('월 가계부'!A1582/100),100),MOD(INT('월 가계부'!A1582),100)),""),""),IF(AND('월 가계부'!A1582&gt;=36526,'월 가계부'!A1582&lt;73051),INT('월 가계부'!A1582),"")),IF(OR(CM1582="",CN1582="",CO1582=""),"",IF(AND(CM1582&gt;=2000,CM1582&lt;=2099,CN1582&gt;=1,CN1582&lt;=12,CO1582&gt;=1,CO1582&lt;=31),IF(MONTH(DATE(CM1582,CN1582,CO1582))=CN1582,DATE(CM1582,CN1582,CO1582),""),"")))),"")</f>
        <v/>
      </c>
      <c r="CJ1582">
        <f>IFERROR(IF('월 가계부'!C1582="","",IF(ISNUMBER('월 가계부'!C1582),'월 가계부'!C1582,VALUE(SUBSTITUTE(SUBSTITUTE(SUBSTITUTE(SUBSTITUTE(TRIM('월 가계부'!C1582),",",""),"원","")," ",""),"−","-")))),"")</f>
        <v/>
      </c>
      <c r="CK1582">
        <f>IF(ISNUMBER(CI1582),IF(CI1582&lt;$B$13,CI1582,""),"")</f>
        <v/>
      </c>
      <c r="CM1582">
        <f>IF(CH1582="","",IFERROR(IF(IF(AND(LEN(CH1582)=9,ISERROR(FIND("-",LEFT(CH1582,8))),ISNUMBER(-LEFT(CH1582,8))),VALUE(LEFT(CH1582,4)),VALUE(LEFT(CH1582,FIND("-",CH1582)-1)))&lt;100,IF(AND(LEN(CH1582)=9,ISERROR(FIND("-",LEFT(CH1582,8))),ISNUMBER(-LEFT(CH1582,8))),VALUE(LEFT(CH1582,4)),VALUE(LEFT(CH1582,FIND("-",CH1582)-1)))+2000,IF(AND(LEN(CH1582)=9,ISERROR(FIND("-",LEFT(CH1582,8))),ISNUMBER(-LEFT(CH1582,8))),VALUE(LEFT(CH1582,4)),VALUE(LEFT(CH1582,FIND("-",CH1582)-1)))),""))</f>
        <v/>
      </c>
      <c r="CN1582">
        <f>IF(CH1582="","",IFERROR(IF(AND(LEN(CH1582)=9,ISERROR(FIND("-",LEFT(CH1582,8))),ISNUMBER(-LEFT(CH1582,8))),VALUE(MID(CH1582,5,2)),VALUE(MID(CH1582,FIND("-",CH1582)+1,FIND("-",CH1582,FIND("-",CH1582)+1)-FIND("-",CH1582)-1))),""))</f>
        <v/>
      </c>
      <c r="CO1582">
        <f>IF(CH1582="","",IFERROR(IF(AND(LEN(CH1582)=9,ISERROR(FIND("-",LEFT(CH1582,8))),ISNUMBER(-LEFT(CH1582,8))),VALUE(MID(CH1582,7,2)),VALUE(MID(CH1582,FIND("-",CH1582,FIND("-",CH1582)+1)+1,FIND("-",CH1582,FIND("-",CH1582,FIND("-",CH1582)+1)+1)-FIND("-",CH1582,FIND("-",CH1582)+1)-1))),""))</f>
        <v/>
      </c>
    </row>
    <row r="1583">
      <c r="CH1583">
        <f>IF(ISTEXT('월 가계부'!A1583),SUBSTITUTE(SUBSTITUTE(SUBSTITUTE(SUBSTITUTE(SUBSTITUTE(SUBSTITUTE(SUBSTITUTE(SUBSTITUTE(SUBSTITUTE(TRIM('월 가계부'!A1583),"년","-"),"월","-"),"일",""),".","-"),"/","-")," ","-"),"--","-"),"--","-"),"--","-")&amp;"-","")</f>
        <v/>
      </c>
      <c r="CI1583">
        <f>IFERROR(IF('월 가계부'!A1583="","",IF(ISNUMBER('월 가계부'!A1583),IF(AND('월 가계부'!A1583&gt;=19000101,'월 가계부'!A1583&lt;=21001231),IF(AND(MOD(INT('월 가계부'!A1583/100),100)&gt;=1,MOD(INT('월 가계부'!A1583/100),100)&lt;=12,MOD(INT('월 가계부'!A1583),100)&gt;=1,MOD(INT('월 가계부'!A1583),100)&lt;=31),IF(MONTH(DATE(INT('월 가계부'!A1583/10000),MOD(INT('월 가계부'!A1583/100),100),MOD(INT('월 가계부'!A1583),100)))=MOD(INT('월 가계부'!A1583/100),100),DATE(INT('월 가계부'!A1583/10000),MOD(INT('월 가계부'!A1583/100),100),MOD(INT('월 가계부'!A1583),100)),""),""),IF(AND('월 가계부'!A1583&gt;=36526,'월 가계부'!A1583&lt;73051),INT('월 가계부'!A1583),"")),IF(OR(CM1583="",CN1583="",CO1583=""),"",IF(AND(CM1583&gt;=2000,CM1583&lt;=2099,CN1583&gt;=1,CN1583&lt;=12,CO1583&gt;=1,CO1583&lt;=31),IF(MONTH(DATE(CM1583,CN1583,CO1583))=CN1583,DATE(CM1583,CN1583,CO1583),""),"")))),"")</f>
        <v/>
      </c>
      <c r="CJ1583">
        <f>IFERROR(IF('월 가계부'!C1583="","",IF(ISNUMBER('월 가계부'!C1583),'월 가계부'!C1583,VALUE(SUBSTITUTE(SUBSTITUTE(SUBSTITUTE(SUBSTITUTE(TRIM('월 가계부'!C1583),",",""),"원","")," ",""),"−","-")))),"")</f>
        <v/>
      </c>
      <c r="CK1583">
        <f>IF(ISNUMBER(CI1583),IF(CI1583&lt;$B$13,CI1583,""),"")</f>
        <v/>
      </c>
      <c r="CM1583">
        <f>IF(CH1583="","",IFERROR(IF(IF(AND(LEN(CH1583)=9,ISERROR(FIND("-",LEFT(CH1583,8))),ISNUMBER(-LEFT(CH1583,8))),VALUE(LEFT(CH1583,4)),VALUE(LEFT(CH1583,FIND("-",CH1583)-1)))&lt;100,IF(AND(LEN(CH1583)=9,ISERROR(FIND("-",LEFT(CH1583,8))),ISNUMBER(-LEFT(CH1583,8))),VALUE(LEFT(CH1583,4)),VALUE(LEFT(CH1583,FIND("-",CH1583)-1)))+2000,IF(AND(LEN(CH1583)=9,ISERROR(FIND("-",LEFT(CH1583,8))),ISNUMBER(-LEFT(CH1583,8))),VALUE(LEFT(CH1583,4)),VALUE(LEFT(CH1583,FIND("-",CH1583)-1)))),""))</f>
        <v/>
      </c>
      <c r="CN1583">
        <f>IF(CH1583="","",IFERROR(IF(AND(LEN(CH1583)=9,ISERROR(FIND("-",LEFT(CH1583,8))),ISNUMBER(-LEFT(CH1583,8))),VALUE(MID(CH1583,5,2)),VALUE(MID(CH1583,FIND("-",CH1583)+1,FIND("-",CH1583,FIND("-",CH1583)+1)-FIND("-",CH1583)-1))),""))</f>
        <v/>
      </c>
      <c r="CO1583">
        <f>IF(CH1583="","",IFERROR(IF(AND(LEN(CH1583)=9,ISERROR(FIND("-",LEFT(CH1583,8))),ISNUMBER(-LEFT(CH1583,8))),VALUE(MID(CH1583,7,2)),VALUE(MID(CH1583,FIND("-",CH1583,FIND("-",CH1583)+1)+1,FIND("-",CH1583,FIND("-",CH1583,FIND("-",CH1583)+1)+1)-FIND("-",CH1583,FIND("-",CH1583)+1)-1))),""))</f>
        <v/>
      </c>
    </row>
    <row r="1584">
      <c r="CH1584">
        <f>IF(ISTEXT('월 가계부'!A1584),SUBSTITUTE(SUBSTITUTE(SUBSTITUTE(SUBSTITUTE(SUBSTITUTE(SUBSTITUTE(SUBSTITUTE(SUBSTITUTE(SUBSTITUTE(TRIM('월 가계부'!A1584),"년","-"),"월","-"),"일",""),".","-"),"/","-")," ","-"),"--","-"),"--","-"),"--","-")&amp;"-","")</f>
        <v/>
      </c>
      <c r="CI1584">
        <f>IFERROR(IF('월 가계부'!A1584="","",IF(ISNUMBER('월 가계부'!A1584),IF(AND('월 가계부'!A1584&gt;=19000101,'월 가계부'!A1584&lt;=21001231),IF(AND(MOD(INT('월 가계부'!A1584/100),100)&gt;=1,MOD(INT('월 가계부'!A1584/100),100)&lt;=12,MOD(INT('월 가계부'!A1584),100)&gt;=1,MOD(INT('월 가계부'!A1584),100)&lt;=31),IF(MONTH(DATE(INT('월 가계부'!A1584/10000),MOD(INT('월 가계부'!A1584/100),100),MOD(INT('월 가계부'!A1584),100)))=MOD(INT('월 가계부'!A1584/100),100),DATE(INT('월 가계부'!A1584/10000),MOD(INT('월 가계부'!A1584/100),100),MOD(INT('월 가계부'!A1584),100)),""),""),IF(AND('월 가계부'!A1584&gt;=36526,'월 가계부'!A1584&lt;73051),INT('월 가계부'!A1584),"")),IF(OR(CM1584="",CN1584="",CO1584=""),"",IF(AND(CM1584&gt;=2000,CM1584&lt;=2099,CN1584&gt;=1,CN1584&lt;=12,CO1584&gt;=1,CO1584&lt;=31),IF(MONTH(DATE(CM1584,CN1584,CO1584))=CN1584,DATE(CM1584,CN1584,CO1584),""),"")))),"")</f>
        <v/>
      </c>
      <c r="CJ1584">
        <f>IFERROR(IF('월 가계부'!C1584="","",IF(ISNUMBER('월 가계부'!C1584),'월 가계부'!C1584,VALUE(SUBSTITUTE(SUBSTITUTE(SUBSTITUTE(SUBSTITUTE(TRIM('월 가계부'!C1584),",",""),"원","")," ",""),"−","-")))),"")</f>
        <v/>
      </c>
      <c r="CK1584">
        <f>IF(ISNUMBER(CI1584),IF(CI1584&lt;$B$13,CI1584,""),"")</f>
        <v/>
      </c>
      <c r="CM1584">
        <f>IF(CH1584="","",IFERROR(IF(IF(AND(LEN(CH1584)=9,ISERROR(FIND("-",LEFT(CH1584,8))),ISNUMBER(-LEFT(CH1584,8))),VALUE(LEFT(CH1584,4)),VALUE(LEFT(CH1584,FIND("-",CH1584)-1)))&lt;100,IF(AND(LEN(CH1584)=9,ISERROR(FIND("-",LEFT(CH1584,8))),ISNUMBER(-LEFT(CH1584,8))),VALUE(LEFT(CH1584,4)),VALUE(LEFT(CH1584,FIND("-",CH1584)-1)))+2000,IF(AND(LEN(CH1584)=9,ISERROR(FIND("-",LEFT(CH1584,8))),ISNUMBER(-LEFT(CH1584,8))),VALUE(LEFT(CH1584,4)),VALUE(LEFT(CH1584,FIND("-",CH1584)-1)))),""))</f>
        <v/>
      </c>
      <c r="CN1584">
        <f>IF(CH1584="","",IFERROR(IF(AND(LEN(CH1584)=9,ISERROR(FIND("-",LEFT(CH1584,8))),ISNUMBER(-LEFT(CH1584,8))),VALUE(MID(CH1584,5,2)),VALUE(MID(CH1584,FIND("-",CH1584)+1,FIND("-",CH1584,FIND("-",CH1584)+1)-FIND("-",CH1584)-1))),""))</f>
        <v/>
      </c>
      <c r="CO1584">
        <f>IF(CH1584="","",IFERROR(IF(AND(LEN(CH1584)=9,ISERROR(FIND("-",LEFT(CH1584,8))),ISNUMBER(-LEFT(CH1584,8))),VALUE(MID(CH1584,7,2)),VALUE(MID(CH1584,FIND("-",CH1584,FIND("-",CH1584)+1)+1,FIND("-",CH1584,FIND("-",CH1584,FIND("-",CH1584)+1)+1)-FIND("-",CH1584,FIND("-",CH1584)+1)-1))),""))</f>
        <v/>
      </c>
    </row>
    <row r="1585">
      <c r="CH1585">
        <f>IF(ISTEXT('월 가계부'!A1585),SUBSTITUTE(SUBSTITUTE(SUBSTITUTE(SUBSTITUTE(SUBSTITUTE(SUBSTITUTE(SUBSTITUTE(SUBSTITUTE(SUBSTITUTE(TRIM('월 가계부'!A1585),"년","-"),"월","-"),"일",""),".","-"),"/","-")," ","-"),"--","-"),"--","-"),"--","-")&amp;"-","")</f>
        <v/>
      </c>
      <c r="CI1585">
        <f>IFERROR(IF('월 가계부'!A1585="","",IF(ISNUMBER('월 가계부'!A1585),IF(AND('월 가계부'!A1585&gt;=19000101,'월 가계부'!A1585&lt;=21001231),IF(AND(MOD(INT('월 가계부'!A1585/100),100)&gt;=1,MOD(INT('월 가계부'!A1585/100),100)&lt;=12,MOD(INT('월 가계부'!A1585),100)&gt;=1,MOD(INT('월 가계부'!A1585),100)&lt;=31),IF(MONTH(DATE(INT('월 가계부'!A1585/10000),MOD(INT('월 가계부'!A1585/100),100),MOD(INT('월 가계부'!A1585),100)))=MOD(INT('월 가계부'!A1585/100),100),DATE(INT('월 가계부'!A1585/10000),MOD(INT('월 가계부'!A1585/100),100),MOD(INT('월 가계부'!A1585),100)),""),""),IF(AND('월 가계부'!A1585&gt;=36526,'월 가계부'!A1585&lt;73051),INT('월 가계부'!A1585),"")),IF(OR(CM1585="",CN1585="",CO1585=""),"",IF(AND(CM1585&gt;=2000,CM1585&lt;=2099,CN1585&gt;=1,CN1585&lt;=12,CO1585&gt;=1,CO1585&lt;=31),IF(MONTH(DATE(CM1585,CN1585,CO1585))=CN1585,DATE(CM1585,CN1585,CO1585),""),"")))),"")</f>
        <v/>
      </c>
      <c r="CJ1585">
        <f>IFERROR(IF('월 가계부'!C1585="","",IF(ISNUMBER('월 가계부'!C1585),'월 가계부'!C1585,VALUE(SUBSTITUTE(SUBSTITUTE(SUBSTITUTE(SUBSTITUTE(TRIM('월 가계부'!C1585),",",""),"원","")," ",""),"−","-")))),"")</f>
        <v/>
      </c>
      <c r="CK1585">
        <f>IF(ISNUMBER(CI1585),IF(CI1585&lt;$B$13,CI1585,""),"")</f>
        <v/>
      </c>
      <c r="CM1585">
        <f>IF(CH1585="","",IFERROR(IF(IF(AND(LEN(CH1585)=9,ISERROR(FIND("-",LEFT(CH1585,8))),ISNUMBER(-LEFT(CH1585,8))),VALUE(LEFT(CH1585,4)),VALUE(LEFT(CH1585,FIND("-",CH1585)-1)))&lt;100,IF(AND(LEN(CH1585)=9,ISERROR(FIND("-",LEFT(CH1585,8))),ISNUMBER(-LEFT(CH1585,8))),VALUE(LEFT(CH1585,4)),VALUE(LEFT(CH1585,FIND("-",CH1585)-1)))+2000,IF(AND(LEN(CH1585)=9,ISERROR(FIND("-",LEFT(CH1585,8))),ISNUMBER(-LEFT(CH1585,8))),VALUE(LEFT(CH1585,4)),VALUE(LEFT(CH1585,FIND("-",CH1585)-1)))),""))</f>
        <v/>
      </c>
      <c r="CN1585">
        <f>IF(CH1585="","",IFERROR(IF(AND(LEN(CH1585)=9,ISERROR(FIND("-",LEFT(CH1585,8))),ISNUMBER(-LEFT(CH1585,8))),VALUE(MID(CH1585,5,2)),VALUE(MID(CH1585,FIND("-",CH1585)+1,FIND("-",CH1585,FIND("-",CH1585)+1)-FIND("-",CH1585)-1))),""))</f>
        <v/>
      </c>
      <c r="CO1585">
        <f>IF(CH1585="","",IFERROR(IF(AND(LEN(CH1585)=9,ISERROR(FIND("-",LEFT(CH1585,8))),ISNUMBER(-LEFT(CH1585,8))),VALUE(MID(CH1585,7,2)),VALUE(MID(CH1585,FIND("-",CH1585,FIND("-",CH1585)+1)+1,FIND("-",CH1585,FIND("-",CH1585,FIND("-",CH1585)+1)+1)-FIND("-",CH1585,FIND("-",CH1585)+1)-1))),""))</f>
        <v/>
      </c>
    </row>
    <row r="1586">
      <c r="CH1586">
        <f>IF(ISTEXT('월 가계부'!A1586),SUBSTITUTE(SUBSTITUTE(SUBSTITUTE(SUBSTITUTE(SUBSTITUTE(SUBSTITUTE(SUBSTITUTE(SUBSTITUTE(SUBSTITUTE(TRIM('월 가계부'!A1586),"년","-"),"월","-"),"일",""),".","-"),"/","-")," ","-"),"--","-"),"--","-"),"--","-")&amp;"-","")</f>
        <v/>
      </c>
      <c r="CI1586">
        <f>IFERROR(IF('월 가계부'!A1586="","",IF(ISNUMBER('월 가계부'!A1586),IF(AND('월 가계부'!A1586&gt;=19000101,'월 가계부'!A1586&lt;=21001231),IF(AND(MOD(INT('월 가계부'!A1586/100),100)&gt;=1,MOD(INT('월 가계부'!A1586/100),100)&lt;=12,MOD(INT('월 가계부'!A1586),100)&gt;=1,MOD(INT('월 가계부'!A1586),100)&lt;=31),IF(MONTH(DATE(INT('월 가계부'!A1586/10000),MOD(INT('월 가계부'!A1586/100),100),MOD(INT('월 가계부'!A1586),100)))=MOD(INT('월 가계부'!A1586/100),100),DATE(INT('월 가계부'!A1586/10000),MOD(INT('월 가계부'!A1586/100),100),MOD(INT('월 가계부'!A1586),100)),""),""),IF(AND('월 가계부'!A1586&gt;=36526,'월 가계부'!A1586&lt;73051),INT('월 가계부'!A1586),"")),IF(OR(CM1586="",CN1586="",CO1586=""),"",IF(AND(CM1586&gt;=2000,CM1586&lt;=2099,CN1586&gt;=1,CN1586&lt;=12,CO1586&gt;=1,CO1586&lt;=31),IF(MONTH(DATE(CM1586,CN1586,CO1586))=CN1586,DATE(CM1586,CN1586,CO1586),""),"")))),"")</f>
        <v/>
      </c>
      <c r="CJ1586">
        <f>IFERROR(IF('월 가계부'!C1586="","",IF(ISNUMBER('월 가계부'!C1586),'월 가계부'!C1586,VALUE(SUBSTITUTE(SUBSTITUTE(SUBSTITUTE(SUBSTITUTE(TRIM('월 가계부'!C1586),",",""),"원","")," ",""),"−","-")))),"")</f>
        <v/>
      </c>
      <c r="CK1586">
        <f>IF(ISNUMBER(CI1586),IF(CI1586&lt;$B$13,CI1586,""),"")</f>
        <v/>
      </c>
      <c r="CM1586">
        <f>IF(CH1586="","",IFERROR(IF(IF(AND(LEN(CH1586)=9,ISERROR(FIND("-",LEFT(CH1586,8))),ISNUMBER(-LEFT(CH1586,8))),VALUE(LEFT(CH1586,4)),VALUE(LEFT(CH1586,FIND("-",CH1586)-1)))&lt;100,IF(AND(LEN(CH1586)=9,ISERROR(FIND("-",LEFT(CH1586,8))),ISNUMBER(-LEFT(CH1586,8))),VALUE(LEFT(CH1586,4)),VALUE(LEFT(CH1586,FIND("-",CH1586)-1)))+2000,IF(AND(LEN(CH1586)=9,ISERROR(FIND("-",LEFT(CH1586,8))),ISNUMBER(-LEFT(CH1586,8))),VALUE(LEFT(CH1586,4)),VALUE(LEFT(CH1586,FIND("-",CH1586)-1)))),""))</f>
        <v/>
      </c>
      <c r="CN1586">
        <f>IF(CH1586="","",IFERROR(IF(AND(LEN(CH1586)=9,ISERROR(FIND("-",LEFT(CH1586,8))),ISNUMBER(-LEFT(CH1586,8))),VALUE(MID(CH1586,5,2)),VALUE(MID(CH1586,FIND("-",CH1586)+1,FIND("-",CH1586,FIND("-",CH1586)+1)-FIND("-",CH1586)-1))),""))</f>
        <v/>
      </c>
      <c r="CO1586">
        <f>IF(CH1586="","",IFERROR(IF(AND(LEN(CH1586)=9,ISERROR(FIND("-",LEFT(CH1586,8))),ISNUMBER(-LEFT(CH1586,8))),VALUE(MID(CH1586,7,2)),VALUE(MID(CH1586,FIND("-",CH1586,FIND("-",CH1586)+1)+1,FIND("-",CH1586,FIND("-",CH1586,FIND("-",CH1586)+1)+1)-FIND("-",CH1586,FIND("-",CH1586)+1)-1))),""))</f>
        <v/>
      </c>
    </row>
    <row r="1587">
      <c r="CH1587">
        <f>IF(ISTEXT('월 가계부'!A1587),SUBSTITUTE(SUBSTITUTE(SUBSTITUTE(SUBSTITUTE(SUBSTITUTE(SUBSTITUTE(SUBSTITUTE(SUBSTITUTE(SUBSTITUTE(TRIM('월 가계부'!A1587),"년","-"),"월","-"),"일",""),".","-"),"/","-")," ","-"),"--","-"),"--","-"),"--","-")&amp;"-","")</f>
        <v/>
      </c>
      <c r="CI1587">
        <f>IFERROR(IF('월 가계부'!A1587="","",IF(ISNUMBER('월 가계부'!A1587),IF(AND('월 가계부'!A1587&gt;=19000101,'월 가계부'!A1587&lt;=21001231),IF(AND(MOD(INT('월 가계부'!A1587/100),100)&gt;=1,MOD(INT('월 가계부'!A1587/100),100)&lt;=12,MOD(INT('월 가계부'!A1587),100)&gt;=1,MOD(INT('월 가계부'!A1587),100)&lt;=31),IF(MONTH(DATE(INT('월 가계부'!A1587/10000),MOD(INT('월 가계부'!A1587/100),100),MOD(INT('월 가계부'!A1587),100)))=MOD(INT('월 가계부'!A1587/100),100),DATE(INT('월 가계부'!A1587/10000),MOD(INT('월 가계부'!A1587/100),100),MOD(INT('월 가계부'!A1587),100)),""),""),IF(AND('월 가계부'!A1587&gt;=36526,'월 가계부'!A1587&lt;73051),INT('월 가계부'!A1587),"")),IF(OR(CM1587="",CN1587="",CO1587=""),"",IF(AND(CM1587&gt;=2000,CM1587&lt;=2099,CN1587&gt;=1,CN1587&lt;=12,CO1587&gt;=1,CO1587&lt;=31),IF(MONTH(DATE(CM1587,CN1587,CO1587))=CN1587,DATE(CM1587,CN1587,CO1587),""),"")))),"")</f>
        <v/>
      </c>
      <c r="CJ1587">
        <f>IFERROR(IF('월 가계부'!C1587="","",IF(ISNUMBER('월 가계부'!C1587),'월 가계부'!C1587,VALUE(SUBSTITUTE(SUBSTITUTE(SUBSTITUTE(SUBSTITUTE(TRIM('월 가계부'!C1587),",",""),"원","")," ",""),"−","-")))),"")</f>
        <v/>
      </c>
      <c r="CK1587">
        <f>IF(ISNUMBER(CI1587),IF(CI1587&lt;$B$13,CI1587,""),"")</f>
        <v/>
      </c>
      <c r="CM1587">
        <f>IF(CH1587="","",IFERROR(IF(IF(AND(LEN(CH1587)=9,ISERROR(FIND("-",LEFT(CH1587,8))),ISNUMBER(-LEFT(CH1587,8))),VALUE(LEFT(CH1587,4)),VALUE(LEFT(CH1587,FIND("-",CH1587)-1)))&lt;100,IF(AND(LEN(CH1587)=9,ISERROR(FIND("-",LEFT(CH1587,8))),ISNUMBER(-LEFT(CH1587,8))),VALUE(LEFT(CH1587,4)),VALUE(LEFT(CH1587,FIND("-",CH1587)-1)))+2000,IF(AND(LEN(CH1587)=9,ISERROR(FIND("-",LEFT(CH1587,8))),ISNUMBER(-LEFT(CH1587,8))),VALUE(LEFT(CH1587,4)),VALUE(LEFT(CH1587,FIND("-",CH1587)-1)))),""))</f>
        <v/>
      </c>
      <c r="CN1587">
        <f>IF(CH1587="","",IFERROR(IF(AND(LEN(CH1587)=9,ISERROR(FIND("-",LEFT(CH1587,8))),ISNUMBER(-LEFT(CH1587,8))),VALUE(MID(CH1587,5,2)),VALUE(MID(CH1587,FIND("-",CH1587)+1,FIND("-",CH1587,FIND("-",CH1587)+1)-FIND("-",CH1587)-1))),""))</f>
        <v/>
      </c>
      <c r="CO1587">
        <f>IF(CH1587="","",IFERROR(IF(AND(LEN(CH1587)=9,ISERROR(FIND("-",LEFT(CH1587,8))),ISNUMBER(-LEFT(CH1587,8))),VALUE(MID(CH1587,7,2)),VALUE(MID(CH1587,FIND("-",CH1587,FIND("-",CH1587)+1)+1,FIND("-",CH1587,FIND("-",CH1587,FIND("-",CH1587)+1)+1)-FIND("-",CH1587,FIND("-",CH1587)+1)-1))),""))</f>
        <v/>
      </c>
    </row>
    <row r="1588">
      <c r="CH1588">
        <f>IF(ISTEXT('월 가계부'!A1588),SUBSTITUTE(SUBSTITUTE(SUBSTITUTE(SUBSTITUTE(SUBSTITUTE(SUBSTITUTE(SUBSTITUTE(SUBSTITUTE(SUBSTITUTE(TRIM('월 가계부'!A1588),"년","-"),"월","-"),"일",""),".","-"),"/","-")," ","-"),"--","-"),"--","-"),"--","-")&amp;"-","")</f>
        <v/>
      </c>
      <c r="CI1588">
        <f>IFERROR(IF('월 가계부'!A1588="","",IF(ISNUMBER('월 가계부'!A1588),IF(AND('월 가계부'!A1588&gt;=19000101,'월 가계부'!A1588&lt;=21001231),IF(AND(MOD(INT('월 가계부'!A1588/100),100)&gt;=1,MOD(INT('월 가계부'!A1588/100),100)&lt;=12,MOD(INT('월 가계부'!A1588),100)&gt;=1,MOD(INT('월 가계부'!A1588),100)&lt;=31),IF(MONTH(DATE(INT('월 가계부'!A1588/10000),MOD(INT('월 가계부'!A1588/100),100),MOD(INT('월 가계부'!A1588),100)))=MOD(INT('월 가계부'!A1588/100),100),DATE(INT('월 가계부'!A1588/10000),MOD(INT('월 가계부'!A1588/100),100),MOD(INT('월 가계부'!A1588),100)),""),""),IF(AND('월 가계부'!A1588&gt;=36526,'월 가계부'!A1588&lt;73051),INT('월 가계부'!A1588),"")),IF(OR(CM1588="",CN1588="",CO1588=""),"",IF(AND(CM1588&gt;=2000,CM1588&lt;=2099,CN1588&gt;=1,CN1588&lt;=12,CO1588&gt;=1,CO1588&lt;=31),IF(MONTH(DATE(CM1588,CN1588,CO1588))=CN1588,DATE(CM1588,CN1588,CO1588),""),"")))),"")</f>
        <v/>
      </c>
      <c r="CJ1588">
        <f>IFERROR(IF('월 가계부'!C1588="","",IF(ISNUMBER('월 가계부'!C1588),'월 가계부'!C1588,VALUE(SUBSTITUTE(SUBSTITUTE(SUBSTITUTE(SUBSTITUTE(TRIM('월 가계부'!C1588),",",""),"원","")," ",""),"−","-")))),"")</f>
        <v/>
      </c>
      <c r="CK1588">
        <f>IF(ISNUMBER(CI1588),IF(CI1588&lt;$B$13,CI1588,""),"")</f>
        <v/>
      </c>
      <c r="CM1588">
        <f>IF(CH1588="","",IFERROR(IF(IF(AND(LEN(CH1588)=9,ISERROR(FIND("-",LEFT(CH1588,8))),ISNUMBER(-LEFT(CH1588,8))),VALUE(LEFT(CH1588,4)),VALUE(LEFT(CH1588,FIND("-",CH1588)-1)))&lt;100,IF(AND(LEN(CH1588)=9,ISERROR(FIND("-",LEFT(CH1588,8))),ISNUMBER(-LEFT(CH1588,8))),VALUE(LEFT(CH1588,4)),VALUE(LEFT(CH1588,FIND("-",CH1588)-1)))+2000,IF(AND(LEN(CH1588)=9,ISERROR(FIND("-",LEFT(CH1588,8))),ISNUMBER(-LEFT(CH1588,8))),VALUE(LEFT(CH1588,4)),VALUE(LEFT(CH1588,FIND("-",CH1588)-1)))),""))</f>
        <v/>
      </c>
      <c r="CN1588">
        <f>IF(CH1588="","",IFERROR(IF(AND(LEN(CH1588)=9,ISERROR(FIND("-",LEFT(CH1588,8))),ISNUMBER(-LEFT(CH1588,8))),VALUE(MID(CH1588,5,2)),VALUE(MID(CH1588,FIND("-",CH1588)+1,FIND("-",CH1588,FIND("-",CH1588)+1)-FIND("-",CH1588)-1))),""))</f>
        <v/>
      </c>
      <c r="CO1588">
        <f>IF(CH1588="","",IFERROR(IF(AND(LEN(CH1588)=9,ISERROR(FIND("-",LEFT(CH1588,8))),ISNUMBER(-LEFT(CH1588,8))),VALUE(MID(CH1588,7,2)),VALUE(MID(CH1588,FIND("-",CH1588,FIND("-",CH1588)+1)+1,FIND("-",CH1588,FIND("-",CH1588,FIND("-",CH1588)+1)+1)-FIND("-",CH1588,FIND("-",CH1588)+1)-1))),""))</f>
        <v/>
      </c>
    </row>
    <row r="1589">
      <c r="CH1589">
        <f>IF(ISTEXT('월 가계부'!A1589),SUBSTITUTE(SUBSTITUTE(SUBSTITUTE(SUBSTITUTE(SUBSTITUTE(SUBSTITUTE(SUBSTITUTE(SUBSTITUTE(SUBSTITUTE(TRIM('월 가계부'!A1589),"년","-"),"월","-"),"일",""),".","-"),"/","-")," ","-"),"--","-"),"--","-"),"--","-")&amp;"-","")</f>
        <v/>
      </c>
      <c r="CI1589">
        <f>IFERROR(IF('월 가계부'!A1589="","",IF(ISNUMBER('월 가계부'!A1589),IF(AND('월 가계부'!A1589&gt;=19000101,'월 가계부'!A1589&lt;=21001231),IF(AND(MOD(INT('월 가계부'!A1589/100),100)&gt;=1,MOD(INT('월 가계부'!A1589/100),100)&lt;=12,MOD(INT('월 가계부'!A1589),100)&gt;=1,MOD(INT('월 가계부'!A1589),100)&lt;=31),IF(MONTH(DATE(INT('월 가계부'!A1589/10000),MOD(INT('월 가계부'!A1589/100),100),MOD(INT('월 가계부'!A1589),100)))=MOD(INT('월 가계부'!A1589/100),100),DATE(INT('월 가계부'!A1589/10000),MOD(INT('월 가계부'!A1589/100),100),MOD(INT('월 가계부'!A1589),100)),""),""),IF(AND('월 가계부'!A1589&gt;=36526,'월 가계부'!A1589&lt;73051),INT('월 가계부'!A1589),"")),IF(OR(CM1589="",CN1589="",CO1589=""),"",IF(AND(CM1589&gt;=2000,CM1589&lt;=2099,CN1589&gt;=1,CN1589&lt;=12,CO1589&gt;=1,CO1589&lt;=31),IF(MONTH(DATE(CM1589,CN1589,CO1589))=CN1589,DATE(CM1589,CN1589,CO1589),""),"")))),"")</f>
        <v/>
      </c>
      <c r="CJ1589">
        <f>IFERROR(IF('월 가계부'!C1589="","",IF(ISNUMBER('월 가계부'!C1589),'월 가계부'!C1589,VALUE(SUBSTITUTE(SUBSTITUTE(SUBSTITUTE(SUBSTITUTE(TRIM('월 가계부'!C1589),",",""),"원","")," ",""),"−","-")))),"")</f>
        <v/>
      </c>
      <c r="CK1589">
        <f>IF(ISNUMBER(CI1589),IF(CI1589&lt;$B$13,CI1589,""),"")</f>
        <v/>
      </c>
      <c r="CM1589">
        <f>IF(CH1589="","",IFERROR(IF(IF(AND(LEN(CH1589)=9,ISERROR(FIND("-",LEFT(CH1589,8))),ISNUMBER(-LEFT(CH1589,8))),VALUE(LEFT(CH1589,4)),VALUE(LEFT(CH1589,FIND("-",CH1589)-1)))&lt;100,IF(AND(LEN(CH1589)=9,ISERROR(FIND("-",LEFT(CH1589,8))),ISNUMBER(-LEFT(CH1589,8))),VALUE(LEFT(CH1589,4)),VALUE(LEFT(CH1589,FIND("-",CH1589)-1)))+2000,IF(AND(LEN(CH1589)=9,ISERROR(FIND("-",LEFT(CH1589,8))),ISNUMBER(-LEFT(CH1589,8))),VALUE(LEFT(CH1589,4)),VALUE(LEFT(CH1589,FIND("-",CH1589)-1)))),""))</f>
        <v/>
      </c>
      <c r="CN1589">
        <f>IF(CH1589="","",IFERROR(IF(AND(LEN(CH1589)=9,ISERROR(FIND("-",LEFT(CH1589,8))),ISNUMBER(-LEFT(CH1589,8))),VALUE(MID(CH1589,5,2)),VALUE(MID(CH1589,FIND("-",CH1589)+1,FIND("-",CH1589,FIND("-",CH1589)+1)-FIND("-",CH1589)-1))),""))</f>
        <v/>
      </c>
      <c r="CO1589">
        <f>IF(CH1589="","",IFERROR(IF(AND(LEN(CH1589)=9,ISERROR(FIND("-",LEFT(CH1589,8))),ISNUMBER(-LEFT(CH1589,8))),VALUE(MID(CH1589,7,2)),VALUE(MID(CH1589,FIND("-",CH1589,FIND("-",CH1589)+1)+1,FIND("-",CH1589,FIND("-",CH1589,FIND("-",CH1589)+1)+1)-FIND("-",CH1589,FIND("-",CH1589)+1)-1))),""))</f>
        <v/>
      </c>
    </row>
    <row r="1590">
      <c r="CH1590">
        <f>IF(ISTEXT('월 가계부'!A1590),SUBSTITUTE(SUBSTITUTE(SUBSTITUTE(SUBSTITUTE(SUBSTITUTE(SUBSTITUTE(SUBSTITUTE(SUBSTITUTE(SUBSTITUTE(TRIM('월 가계부'!A1590),"년","-"),"월","-"),"일",""),".","-"),"/","-")," ","-"),"--","-"),"--","-"),"--","-")&amp;"-","")</f>
        <v/>
      </c>
      <c r="CI1590">
        <f>IFERROR(IF('월 가계부'!A1590="","",IF(ISNUMBER('월 가계부'!A1590),IF(AND('월 가계부'!A1590&gt;=19000101,'월 가계부'!A1590&lt;=21001231),IF(AND(MOD(INT('월 가계부'!A1590/100),100)&gt;=1,MOD(INT('월 가계부'!A1590/100),100)&lt;=12,MOD(INT('월 가계부'!A1590),100)&gt;=1,MOD(INT('월 가계부'!A1590),100)&lt;=31),IF(MONTH(DATE(INT('월 가계부'!A1590/10000),MOD(INT('월 가계부'!A1590/100),100),MOD(INT('월 가계부'!A1590),100)))=MOD(INT('월 가계부'!A1590/100),100),DATE(INT('월 가계부'!A1590/10000),MOD(INT('월 가계부'!A1590/100),100),MOD(INT('월 가계부'!A1590),100)),""),""),IF(AND('월 가계부'!A1590&gt;=36526,'월 가계부'!A1590&lt;73051),INT('월 가계부'!A1590),"")),IF(OR(CM1590="",CN1590="",CO1590=""),"",IF(AND(CM1590&gt;=2000,CM1590&lt;=2099,CN1590&gt;=1,CN1590&lt;=12,CO1590&gt;=1,CO1590&lt;=31),IF(MONTH(DATE(CM1590,CN1590,CO1590))=CN1590,DATE(CM1590,CN1590,CO1590),""),"")))),"")</f>
        <v/>
      </c>
      <c r="CJ1590">
        <f>IFERROR(IF('월 가계부'!C1590="","",IF(ISNUMBER('월 가계부'!C1590),'월 가계부'!C1590,VALUE(SUBSTITUTE(SUBSTITUTE(SUBSTITUTE(SUBSTITUTE(TRIM('월 가계부'!C1590),",",""),"원","")," ",""),"−","-")))),"")</f>
        <v/>
      </c>
      <c r="CK1590">
        <f>IF(ISNUMBER(CI1590),IF(CI1590&lt;$B$13,CI1590,""),"")</f>
        <v/>
      </c>
      <c r="CM1590">
        <f>IF(CH1590="","",IFERROR(IF(IF(AND(LEN(CH1590)=9,ISERROR(FIND("-",LEFT(CH1590,8))),ISNUMBER(-LEFT(CH1590,8))),VALUE(LEFT(CH1590,4)),VALUE(LEFT(CH1590,FIND("-",CH1590)-1)))&lt;100,IF(AND(LEN(CH1590)=9,ISERROR(FIND("-",LEFT(CH1590,8))),ISNUMBER(-LEFT(CH1590,8))),VALUE(LEFT(CH1590,4)),VALUE(LEFT(CH1590,FIND("-",CH1590)-1)))+2000,IF(AND(LEN(CH1590)=9,ISERROR(FIND("-",LEFT(CH1590,8))),ISNUMBER(-LEFT(CH1590,8))),VALUE(LEFT(CH1590,4)),VALUE(LEFT(CH1590,FIND("-",CH1590)-1)))),""))</f>
        <v/>
      </c>
      <c r="CN1590">
        <f>IF(CH1590="","",IFERROR(IF(AND(LEN(CH1590)=9,ISERROR(FIND("-",LEFT(CH1590,8))),ISNUMBER(-LEFT(CH1590,8))),VALUE(MID(CH1590,5,2)),VALUE(MID(CH1590,FIND("-",CH1590)+1,FIND("-",CH1590,FIND("-",CH1590)+1)-FIND("-",CH1590)-1))),""))</f>
        <v/>
      </c>
      <c r="CO1590">
        <f>IF(CH1590="","",IFERROR(IF(AND(LEN(CH1590)=9,ISERROR(FIND("-",LEFT(CH1590,8))),ISNUMBER(-LEFT(CH1590,8))),VALUE(MID(CH1590,7,2)),VALUE(MID(CH1590,FIND("-",CH1590,FIND("-",CH1590)+1)+1,FIND("-",CH1590,FIND("-",CH1590,FIND("-",CH1590)+1)+1)-FIND("-",CH1590,FIND("-",CH1590)+1)-1))),""))</f>
        <v/>
      </c>
    </row>
    <row r="1591">
      <c r="CH1591">
        <f>IF(ISTEXT('월 가계부'!A1591),SUBSTITUTE(SUBSTITUTE(SUBSTITUTE(SUBSTITUTE(SUBSTITUTE(SUBSTITUTE(SUBSTITUTE(SUBSTITUTE(SUBSTITUTE(TRIM('월 가계부'!A1591),"년","-"),"월","-"),"일",""),".","-"),"/","-")," ","-"),"--","-"),"--","-"),"--","-")&amp;"-","")</f>
        <v/>
      </c>
      <c r="CI1591">
        <f>IFERROR(IF('월 가계부'!A1591="","",IF(ISNUMBER('월 가계부'!A1591),IF(AND('월 가계부'!A1591&gt;=19000101,'월 가계부'!A1591&lt;=21001231),IF(AND(MOD(INT('월 가계부'!A1591/100),100)&gt;=1,MOD(INT('월 가계부'!A1591/100),100)&lt;=12,MOD(INT('월 가계부'!A1591),100)&gt;=1,MOD(INT('월 가계부'!A1591),100)&lt;=31),IF(MONTH(DATE(INT('월 가계부'!A1591/10000),MOD(INT('월 가계부'!A1591/100),100),MOD(INT('월 가계부'!A1591),100)))=MOD(INT('월 가계부'!A1591/100),100),DATE(INT('월 가계부'!A1591/10000),MOD(INT('월 가계부'!A1591/100),100),MOD(INT('월 가계부'!A1591),100)),""),""),IF(AND('월 가계부'!A1591&gt;=36526,'월 가계부'!A1591&lt;73051),INT('월 가계부'!A1591),"")),IF(OR(CM1591="",CN1591="",CO1591=""),"",IF(AND(CM1591&gt;=2000,CM1591&lt;=2099,CN1591&gt;=1,CN1591&lt;=12,CO1591&gt;=1,CO1591&lt;=31),IF(MONTH(DATE(CM1591,CN1591,CO1591))=CN1591,DATE(CM1591,CN1591,CO1591),""),"")))),"")</f>
        <v/>
      </c>
      <c r="CJ1591">
        <f>IFERROR(IF('월 가계부'!C1591="","",IF(ISNUMBER('월 가계부'!C1591),'월 가계부'!C1591,VALUE(SUBSTITUTE(SUBSTITUTE(SUBSTITUTE(SUBSTITUTE(TRIM('월 가계부'!C1591),",",""),"원","")," ",""),"−","-")))),"")</f>
        <v/>
      </c>
      <c r="CK1591">
        <f>IF(ISNUMBER(CI1591),IF(CI1591&lt;$B$13,CI1591,""),"")</f>
        <v/>
      </c>
      <c r="CM1591">
        <f>IF(CH1591="","",IFERROR(IF(IF(AND(LEN(CH1591)=9,ISERROR(FIND("-",LEFT(CH1591,8))),ISNUMBER(-LEFT(CH1591,8))),VALUE(LEFT(CH1591,4)),VALUE(LEFT(CH1591,FIND("-",CH1591)-1)))&lt;100,IF(AND(LEN(CH1591)=9,ISERROR(FIND("-",LEFT(CH1591,8))),ISNUMBER(-LEFT(CH1591,8))),VALUE(LEFT(CH1591,4)),VALUE(LEFT(CH1591,FIND("-",CH1591)-1)))+2000,IF(AND(LEN(CH1591)=9,ISERROR(FIND("-",LEFT(CH1591,8))),ISNUMBER(-LEFT(CH1591,8))),VALUE(LEFT(CH1591,4)),VALUE(LEFT(CH1591,FIND("-",CH1591)-1)))),""))</f>
        <v/>
      </c>
      <c r="CN1591">
        <f>IF(CH1591="","",IFERROR(IF(AND(LEN(CH1591)=9,ISERROR(FIND("-",LEFT(CH1591,8))),ISNUMBER(-LEFT(CH1591,8))),VALUE(MID(CH1591,5,2)),VALUE(MID(CH1591,FIND("-",CH1591)+1,FIND("-",CH1591,FIND("-",CH1591)+1)-FIND("-",CH1591)-1))),""))</f>
        <v/>
      </c>
      <c r="CO1591">
        <f>IF(CH1591="","",IFERROR(IF(AND(LEN(CH1591)=9,ISERROR(FIND("-",LEFT(CH1591,8))),ISNUMBER(-LEFT(CH1591,8))),VALUE(MID(CH1591,7,2)),VALUE(MID(CH1591,FIND("-",CH1591,FIND("-",CH1591)+1)+1,FIND("-",CH1591,FIND("-",CH1591,FIND("-",CH1591)+1)+1)-FIND("-",CH1591,FIND("-",CH1591)+1)-1))),""))</f>
        <v/>
      </c>
    </row>
    <row r="1592">
      <c r="CH1592">
        <f>IF(ISTEXT('월 가계부'!A1592),SUBSTITUTE(SUBSTITUTE(SUBSTITUTE(SUBSTITUTE(SUBSTITUTE(SUBSTITUTE(SUBSTITUTE(SUBSTITUTE(SUBSTITUTE(TRIM('월 가계부'!A1592),"년","-"),"월","-"),"일",""),".","-"),"/","-")," ","-"),"--","-"),"--","-"),"--","-")&amp;"-","")</f>
        <v/>
      </c>
      <c r="CI1592">
        <f>IFERROR(IF('월 가계부'!A1592="","",IF(ISNUMBER('월 가계부'!A1592),IF(AND('월 가계부'!A1592&gt;=19000101,'월 가계부'!A1592&lt;=21001231),IF(AND(MOD(INT('월 가계부'!A1592/100),100)&gt;=1,MOD(INT('월 가계부'!A1592/100),100)&lt;=12,MOD(INT('월 가계부'!A1592),100)&gt;=1,MOD(INT('월 가계부'!A1592),100)&lt;=31),IF(MONTH(DATE(INT('월 가계부'!A1592/10000),MOD(INT('월 가계부'!A1592/100),100),MOD(INT('월 가계부'!A1592),100)))=MOD(INT('월 가계부'!A1592/100),100),DATE(INT('월 가계부'!A1592/10000),MOD(INT('월 가계부'!A1592/100),100),MOD(INT('월 가계부'!A1592),100)),""),""),IF(AND('월 가계부'!A1592&gt;=36526,'월 가계부'!A1592&lt;73051),INT('월 가계부'!A1592),"")),IF(OR(CM1592="",CN1592="",CO1592=""),"",IF(AND(CM1592&gt;=2000,CM1592&lt;=2099,CN1592&gt;=1,CN1592&lt;=12,CO1592&gt;=1,CO1592&lt;=31),IF(MONTH(DATE(CM1592,CN1592,CO1592))=CN1592,DATE(CM1592,CN1592,CO1592),""),"")))),"")</f>
        <v/>
      </c>
      <c r="CJ1592">
        <f>IFERROR(IF('월 가계부'!C1592="","",IF(ISNUMBER('월 가계부'!C1592),'월 가계부'!C1592,VALUE(SUBSTITUTE(SUBSTITUTE(SUBSTITUTE(SUBSTITUTE(TRIM('월 가계부'!C1592),",",""),"원","")," ",""),"−","-")))),"")</f>
        <v/>
      </c>
      <c r="CK1592">
        <f>IF(ISNUMBER(CI1592),IF(CI1592&lt;$B$13,CI1592,""),"")</f>
        <v/>
      </c>
      <c r="CM1592">
        <f>IF(CH1592="","",IFERROR(IF(IF(AND(LEN(CH1592)=9,ISERROR(FIND("-",LEFT(CH1592,8))),ISNUMBER(-LEFT(CH1592,8))),VALUE(LEFT(CH1592,4)),VALUE(LEFT(CH1592,FIND("-",CH1592)-1)))&lt;100,IF(AND(LEN(CH1592)=9,ISERROR(FIND("-",LEFT(CH1592,8))),ISNUMBER(-LEFT(CH1592,8))),VALUE(LEFT(CH1592,4)),VALUE(LEFT(CH1592,FIND("-",CH1592)-1)))+2000,IF(AND(LEN(CH1592)=9,ISERROR(FIND("-",LEFT(CH1592,8))),ISNUMBER(-LEFT(CH1592,8))),VALUE(LEFT(CH1592,4)),VALUE(LEFT(CH1592,FIND("-",CH1592)-1)))),""))</f>
        <v/>
      </c>
      <c r="CN1592">
        <f>IF(CH1592="","",IFERROR(IF(AND(LEN(CH1592)=9,ISERROR(FIND("-",LEFT(CH1592,8))),ISNUMBER(-LEFT(CH1592,8))),VALUE(MID(CH1592,5,2)),VALUE(MID(CH1592,FIND("-",CH1592)+1,FIND("-",CH1592,FIND("-",CH1592)+1)-FIND("-",CH1592)-1))),""))</f>
        <v/>
      </c>
      <c r="CO1592">
        <f>IF(CH1592="","",IFERROR(IF(AND(LEN(CH1592)=9,ISERROR(FIND("-",LEFT(CH1592,8))),ISNUMBER(-LEFT(CH1592,8))),VALUE(MID(CH1592,7,2)),VALUE(MID(CH1592,FIND("-",CH1592,FIND("-",CH1592)+1)+1,FIND("-",CH1592,FIND("-",CH1592,FIND("-",CH1592)+1)+1)-FIND("-",CH1592,FIND("-",CH1592)+1)-1))),""))</f>
        <v/>
      </c>
    </row>
    <row r="1593">
      <c r="CH1593">
        <f>IF(ISTEXT('월 가계부'!A1593),SUBSTITUTE(SUBSTITUTE(SUBSTITUTE(SUBSTITUTE(SUBSTITUTE(SUBSTITUTE(SUBSTITUTE(SUBSTITUTE(SUBSTITUTE(TRIM('월 가계부'!A1593),"년","-"),"월","-"),"일",""),".","-"),"/","-")," ","-"),"--","-"),"--","-"),"--","-")&amp;"-","")</f>
        <v/>
      </c>
      <c r="CI1593">
        <f>IFERROR(IF('월 가계부'!A1593="","",IF(ISNUMBER('월 가계부'!A1593),IF(AND('월 가계부'!A1593&gt;=19000101,'월 가계부'!A1593&lt;=21001231),IF(AND(MOD(INT('월 가계부'!A1593/100),100)&gt;=1,MOD(INT('월 가계부'!A1593/100),100)&lt;=12,MOD(INT('월 가계부'!A1593),100)&gt;=1,MOD(INT('월 가계부'!A1593),100)&lt;=31),IF(MONTH(DATE(INT('월 가계부'!A1593/10000),MOD(INT('월 가계부'!A1593/100),100),MOD(INT('월 가계부'!A1593),100)))=MOD(INT('월 가계부'!A1593/100),100),DATE(INT('월 가계부'!A1593/10000),MOD(INT('월 가계부'!A1593/100),100),MOD(INT('월 가계부'!A1593),100)),""),""),IF(AND('월 가계부'!A1593&gt;=36526,'월 가계부'!A1593&lt;73051),INT('월 가계부'!A1593),"")),IF(OR(CM1593="",CN1593="",CO1593=""),"",IF(AND(CM1593&gt;=2000,CM1593&lt;=2099,CN1593&gt;=1,CN1593&lt;=12,CO1593&gt;=1,CO1593&lt;=31),IF(MONTH(DATE(CM1593,CN1593,CO1593))=CN1593,DATE(CM1593,CN1593,CO1593),""),"")))),"")</f>
        <v/>
      </c>
      <c r="CJ1593">
        <f>IFERROR(IF('월 가계부'!C1593="","",IF(ISNUMBER('월 가계부'!C1593),'월 가계부'!C1593,VALUE(SUBSTITUTE(SUBSTITUTE(SUBSTITUTE(SUBSTITUTE(TRIM('월 가계부'!C1593),",",""),"원","")," ",""),"−","-")))),"")</f>
        <v/>
      </c>
      <c r="CK1593">
        <f>IF(ISNUMBER(CI1593),IF(CI1593&lt;$B$13,CI1593,""),"")</f>
        <v/>
      </c>
      <c r="CM1593">
        <f>IF(CH1593="","",IFERROR(IF(IF(AND(LEN(CH1593)=9,ISERROR(FIND("-",LEFT(CH1593,8))),ISNUMBER(-LEFT(CH1593,8))),VALUE(LEFT(CH1593,4)),VALUE(LEFT(CH1593,FIND("-",CH1593)-1)))&lt;100,IF(AND(LEN(CH1593)=9,ISERROR(FIND("-",LEFT(CH1593,8))),ISNUMBER(-LEFT(CH1593,8))),VALUE(LEFT(CH1593,4)),VALUE(LEFT(CH1593,FIND("-",CH1593)-1)))+2000,IF(AND(LEN(CH1593)=9,ISERROR(FIND("-",LEFT(CH1593,8))),ISNUMBER(-LEFT(CH1593,8))),VALUE(LEFT(CH1593,4)),VALUE(LEFT(CH1593,FIND("-",CH1593)-1)))),""))</f>
        <v/>
      </c>
      <c r="CN1593">
        <f>IF(CH1593="","",IFERROR(IF(AND(LEN(CH1593)=9,ISERROR(FIND("-",LEFT(CH1593,8))),ISNUMBER(-LEFT(CH1593,8))),VALUE(MID(CH1593,5,2)),VALUE(MID(CH1593,FIND("-",CH1593)+1,FIND("-",CH1593,FIND("-",CH1593)+1)-FIND("-",CH1593)-1))),""))</f>
        <v/>
      </c>
      <c r="CO1593">
        <f>IF(CH1593="","",IFERROR(IF(AND(LEN(CH1593)=9,ISERROR(FIND("-",LEFT(CH1593,8))),ISNUMBER(-LEFT(CH1593,8))),VALUE(MID(CH1593,7,2)),VALUE(MID(CH1593,FIND("-",CH1593,FIND("-",CH1593)+1)+1,FIND("-",CH1593,FIND("-",CH1593,FIND("-",CH1593)+1)+1)-FIND("-",CH1593,FIND("-",CH1593)+1)-1))),""))</f>
        <v/>
      </c>
    </row>
    <row r="1594">
      <c r="CH1594">
        <f>IF(ISTEXT('월 가계부'!A1594),SUBSTITUTE(SUBSTITUTE(SUBSTITUTE(SUBSTITUTE(SUBSTITUTE(SUBSTITUTE(SUBSTITUTE(SUBSTITUTE(SUBSTITUTE(TRIM('월 가계부'!A1594),"년","-"),"월","-"),"일",""),".","-"),"/","-")," ","-"),"--","-"),"--","-"),"--","-")&amp;"-","")</f>
        <v/>
      </c>
      <c r="CI1594">
        <f>IFERROR(IF('월 가계부'!A1594="","",IF(ISNUMBER('월 가계부'!A1594),IF(AND('월 가계부'!A1594&gt;=19000101,'월 가계부'!A1594&lt;=21001231),IF(AND(MOD(INT('월 가계부'!A1594/100),100)&gt;=1,MOD(INT('월 가계부'!A1594/100),100)&lt;=12,MOD(INT('월 가계부'!A1594),100)&gt;=1,MOD(INT('월 가계부'!A1594),100)&lt;=31),IF(MONTH(DATE(INT('월 가계부'!A1594/10000),MOD(INT('월 가계부'!A1594/100),100),MOD(INT('월 가계부'!A1594),100)))=MOD(INT('월 가계부'!A1594/100),100),DATE(INT('월 가계부'!A1594/10000),MOD(INT('월 가계부'!A1594/100),100),MOD(INT('월 가계부'!A1594),100)),""),""),IF(AND('월 가계부'!A1594&gt;=36526,'월 가계부'!A1594&lt;73051),INT('월 가계부'!A1594),"")),IF(OR(CM1594="",CN1594="",CO1594=""),"",IF(AND(CM1594&gt;=2000,CM1594&lt;=2099,CN1594&gt;=1,CN1594&lt;=12,CO1594&gt;=1,CO1594&lt;=31),IF(MONTH(DATE(CM1594,CN1594,CO1594))=CN1594,DATE(CM1594,CN1594,CO1594),""),"")))),"")</f>
        <v/>
      </c>
      <c r="CJ1594">
        <f>IFERROR(IF('월 가계부'!C1594="","",IF(ISNUMBER('월 가계부'!C1594),'월 가계부'!C1594,VALUE(SUBSTITUTE(SUBSTITUTE(SUBSTITUTE(SUBSTITUTE(TRIM('월 가계부'!C1594),",",""),"원","")," ",""),"−","-")))),"")</f>
        <v/>
      </c>
      <c r="CK1594">
        <f>IF(ISNUMBER(CI1594),IF(CI1594&lt;$B$13,CI1594,""),"")</f>
        <v/>
      </c>
      <c r="CM1594">
        <f>IF(CH1594="","",IFERROR(IF(IF(AND(LEN(CH1594)=9,ISERROR(FIND("-",LEFT(CH1594,8))),ISNUMBER(-LEFT(CH1594,8))),VALUE(LEFT(CH1594,4)),VALUE(LEFT(CH1594,FIND("-",CH1594)-1)))&lt;100,IF(AND(LEN(CH1594)=9,ISERROR(FIND("-",LEFT(CH1594,8))),ISNUMBER(-LEFT(CH1594,8))),VALUE(LEFT(CH1594,4)),VALUE(LEFT(CH1594,FIND("-",CH1594)-1)))+2000,IF(AND(LEN(CH1594)=9,ISERROR(FIND("-",LEFT(CH1594,8))),ISNUMBER(-LEFT(CH1594,8))),VALUE(LEFT(CH1594,4)),VALUE(LEFT(CH1594,FIND("-",CH1594)-1)))),""))</f>
        <v/>
      </c>
      <c r="CN1594">
        <f>IF(CH1594="","",IFERROR(IF(AND(LEN(CH1594)=9,ISERROR(FIND("-",LEFT(CH1594,8))),ISNUMBER(-LEFT(CH1594,8))),VALUE(MID(CH1594,5,2)),VALUE(MID(CH1594,FIND("-",CH1594)+1,FIND("-",CH1594,FIND("-",CH1594)+1)-FIND("-",CH1594)-1))),""))</f>
        <v/>
      </c>
      <c r="CO1594">
        <f>IF(CH1594="","",IFERROR(IF(AND(LEN(CH1594)=9,ISERROR(FIND("-",LEFT(CH1594,8))),ISNUMBER(-LEFT(CH1594,8))),VALUE(MID(CH1594,7,2)),VALUE(MID(CH1594,FIND("-",CH1594,FIND("-",CH1594)+1)+1,FIND("-",CH1594,FIND("-",CH1594,FIND("-",CH1594)+1)+1)-FIND("-",CH1594,FIND("-",CH1594)+1)-1))),""))</f>
        <v/>
      </c>
    </row>
    <row r="1595">
      <c r="CH1595">
        <f>IF(ISTEXT('월 가계부'!A1595),SUBSTITUTE(SUBSTITUTE(SUBSTITUTE(SUBSTITUTE(SUBSTITUTE(SUBSTITUTE(SUBSTITUTE(SUBSTITUTE(SUBSTITUTE(TRIM('월 가계부'!A1595),"년","-"),"월","-"),"일",""),".","-"),"/","-")," ","-"),"--","-"),"--","-"),"--","-")&amp;"-","")</f>
        <v/>
      </c>
      <c r="CI1595">
        <f>IFERROR(IF('월 가계부'!A1595="","",IF(ISNUMBER('월 가계부'!A1595),IF(AND('월 가계부'!A1595&gt;=19000101,'월 가계부'!A1595&lt;=21001231),IF(AND(MOD(INT('월 가계부'!A1595/100),100)&gt;=1,MOD(INT('월 가계부'!A1595/100),100)&lt;=12,MOD(INT('월 가계부'!A1595),100)&gt;=1,MOD(INT('월 가계부'!A1595),100)&lt;=31),IF(MONTH(DATE(INT('월 가계부'!A1595/10000),MOD(INT('월 가계부'!A1595/100),100),MOD(INT('월 가계부'!A1595),100)))=MOD(INT('월 가계부'!A1595/100),100),DATE(INT('월 가계부'!A1595/10000),MOD(INT('월 가계부'!A1595/100),100),MOD(INT('월 가계부'!A1595),100)),""),""),IF(AND('월 가계부'!A1595&gt;=36526,'월 가계부'!A1595&lt;73051),INT('월 가계부'!A1595),"")),IF(OR(CM1595="",CN1595="",CO1595=""),"",IF(AND(CM1595&gt;=2000,CM1595&lt;=2099,CN1595&gt;=1,CN1595&lt;=12,CO1595&gt;=1,CO1595&lt;=31),IF(MONTH(DATE(CM1595,CN1595,CO1595))=CN1595,DATE(CM1595,CN1595,CO1595),""),"")))),"")</f>
        <v/>
      </c>
      <c r="CJ1595">
        <f>IFERROR(IF('월 가계부'!C1595="","",IF(ISNUMBER('월 가계부'!C1595),'월 가계부'!C1595,VALUE(SUBSTITUTE(SUBSTITUTE(SUBSTITUTE(SUBSTITUTE(TRIM('월 가계부'!C1595),",",""),"원","")," ",""),"−","-")))),"")</f>
        <v/>
      </c>
      <c r="CK1595">
        <f>IF(ISNUMBER(CI1595),IF(CI1595&lt;$B$13,CI1595,""),"")</f>
        <v/>
      </c>
      <c r="CM1595">
        <f>IF(CH1595="","",IFERROR(IF(IF(AND(LEN(CH1595)=9,ISERROR(FIND("-",LEFT(CH1595,8))),ISNUMBER(-LEFT(CH1595,8))),VALUE(LEFT(CH1595,4)),VALUE(LEFT(CH1595,FIND("-",CH1595)-1)))&lt;100,IF(AND(LEN(CH1595)=9,ISERROR(FIND("-",LEFT(CH1595,8))),ISNUMBER(-LEFT(CH1595,8))),VALUE(LEFT(CH1595,4)),VALUE(LEFT(CH1595,FIND("-",CH1595)-1)))+2000,IF(AND(LEN(CH1595)=9,ISERROR(FIND("-",LEFT(CH1595,8))),ISNUMBER(-LEFT(CH1595,8))),VALUE(LEFT(CH1595,4)),VALUE(LEFT(CH1595,FIND("-",CH1595)-1)))),""))</f>
        <v/>
      </c>
      <c r="CN1595">
        <f>IF(CH1595="","",IFERROR(IF(AND(LEN(CH1595)=9,ISERROR(FIND("-",LEFT(CH1595,8))),ISNUMBER(-LEFT(CH1595,8))),VALUE(MID(CH1595,5,2)),VALUE(MID(CH1595,FIND("-",CH1595)+1,FIND("-",CH1595,FIND("-",CH1595)+1)-FIND("-",CH1595)-1))),""))</f>
        <v/>
      </c>
      <c r="CO1595">
        <f>IF(CH1595="","",IFERROR(IF(AND(LEN(CH1595)=9,ISERROR(FIND("-",LEFT(CH1595,8))),ISNUMBER(-LEFT(CH1595,8))),VALUE(MID(CH1595,7,2)),VALUE(MID(CH1595,FIND("-",CH1595,FIND("-",CH1595)+1)+1,FIND("-",CH1595,FIND("-",CH1595,FIND("-",CH1595)+1)+1)-FIND("-",CH1595,FIND("-",CH1595)+1)-1))),""))</f>
        <v/>
      </c>
    </row>
    <row r="1596">
      <c r="CH1596">
        <f>IF(ISTEXT('월 가계부'!A1596),SUBSTITUTE(SUBSTITUTE(SUBSTITUTE(SUBSTITUTE(SUBSTITUTE(SUBSTITUTE(SUBSTITUTE(SUBSTITUTE(SUBSTITUTE(TRIM('월 가계부'!A1596),"년","-"),"월","-"),"일",""),".","-"),"/","-")," ","-"),"--","-"),"--","-"),"--","-")&amp;"-","")</f>
        <v/>
      </c>
      <c r="CI1596">
        <f>IFERROR(IF('월 가계부'!A1596="","",IF(ISNUMBER('월 가계부'!A1596),IF(AND('월 가계부'!A1596&gt;=19000101,'월 가계부'!A1596&lt;=21001231),IF(AND(MOD(INT('월 가계부'!A1596/100),100)&gt;=1,MOD(INT('월 가계부'!A1596/100),100)&lt;=12,MOD(INT('월 가계부'!A1596),100)&gt;=1,MOD(INT('월 가계부'!A1596),100)&lt;=31),IF(MONTH(DATE(INT('월 가계부'!A1596/10000),MOD(INT('월 가계부'!A1596/100),100),MOD(INT('월 가계부'!A1596),100)))=MOD(INT('월 가계부'!A1596/100),100),DATE(INT('월 가계부'!A1596/10000),MOD(INT('월 가계부'!A1596/100),100),MOD(INT('월 가계부'!A1596),100)),""),""),IF(AND('월 가계부'!A1596&gt;=36526,'월 가계부'!A1596&lt;73051),INT('월 가계부'!A1596),"")),IF(OR(CM1596="",CN1596="",CO1596=""),"",IF(AND(CM1596&gt;=2000,CM1596&lt;=2099,CN1596&gt;=1,CN1596&lt;=12,CO1596&gt;=1,CO1596&lt;=31),IF(MONTH(DATE(CM1596,CN1596,CO1596))=CN1596,DATE(CM1596,CN1596,CO1596),""),"")))),"")</f>
        <v/>
      </c>
      <c r="CJ1596">
        <f>IFERROR(IF('월 가계부'!C1596="","",IF(ISNUMBER('월 가계부'!C1596),'월 가계부'!C1596,VALUE(SUBSTITUTE(SUBSTITUTE(SUBSTITUTE(SUBSTITUTE(TRIM('월 가계부'!C1596),",",""),"원","")," ",""),"−","-")))),"")</f>
        <v/>
      </c>
      <c r="CK1596">
        <f>IF(ISNUMBER(CI1596),IF(CI1596&lt;$B$13,CI1596,""),"")</f>
        <v/>
      </c>
      <c r="CM1596">
        <f>IF(CH1596="","",IFERROR(IF(IF(AND(LEN(CH1596)=9,ISERROR(FIND("-",LEFT(CH1596,8))),ISNUMBER(-LEFT(CH1596,8))),VALUE(LEFT(CH1596,4)),VALUE(LEFT(CH1596,FIND("-",CH1596)-1)))&lt;100,IF(AND(LEN(CH1596)=9,ISERROR(FIND("-",LEFT(CH1596,8))),ISNUMBER(-LEFT(CH1596,8))),VALUE(LEFT(CH1596,4)),VALUE(LEFT(CH1596,FIND("-",CH1596)-1)))+2000,IF(AND(LEN(CH1596)=9,ISERROR(FIND("-",LEFT(CH1596,8))),ISNUMBER(-LEFT(CH1596,8))),VALUE(LEFT(CH1596,4)),VALUE(LEFT(CH1596,FIND("-",CH1596)-1)))),""))</f>
        <v/>
      </c>
      <c r="CN1596">
        <f>IF(CH1596="","",IFERROR(IF(AND(LEN(CH1596)=9,ISERROR(FIND("-",LEFT(CH1596,8))),ISNUMBER(-LEFT(CH1596,8))),VALUE(MID(CH1596,5,2)),VALUE(MID(CH1596,FIND("-",CH1596)+1,FIND("-",CH1596,FIND("-",CH1596)+1)-FIND("-",CH1596)-1))),""))</f>
        <v/>
      </c>
      <c r="CO1596">
        <f>IF(CH1596="","",IFERROR(IF(AND(LEN(CH1596)=9,ISERROR(FIND("-",LEFT(CH1596,8))),ISNUMBER(-LEFT(CH1596,8))),VALUE(MID(CH1596,7,2)),VALUE(MID(CH1596,FIND("-",CH1596,FIND("-",CH1596)+1)+1,FIND("-",CH1596,FIND("-",CH1596,FIND("-",CH1596)+1)+1)-FIND("-",CH1596,FIND("-",CH1596)+1)-1))),""))</f>
        <v/>
      </c>
    </row>
    <row r="1597">
      <c r="CH1597">
        <f>IF(ISTEXT('월 가계부'!A1597),SUBSTITUTE(SUBSTITUTE(SUBSTITUTE(SUBSTITUTE(SUBSTITUTE(SUBSTITUTE(SUBSTITUTE(SUBSTITUTE(SUBSTITUTE(TRIM('월 가계부'!A1597),"년","-"),"월","-"),"일",""),".","-"),"/","-")," ","-"),"--","-"),"--","-"),"--","-")&amp;"-","")</f>
        <v/>
      </c>
      <c r="CI1597">
        <f>IFERROR(IF('월 가계부'!A1597="","",IF(ISNUMBER('월 가계부'!A1597),IF(AND('월 가계부'!A1597&gt;=19000101,'월 가계부'!A1597&lt;=21001231),IF(AND(MOD(INT('월 가계부'!A1597/100),100)&gt;=1,MOD(INT('월 가계부'!A1597/100),100)&lt;=12,MOD(INT('월 가계부'!A1597),100)&gt;=1,MOD(INT('월 가계부'!A1597),100)&lt;=31),IF(MONTH(DATE(INT('월 가계부'!A1597/10000),MOD(INT('월 가계부'!A1597/100),100),MOD(INT('월 가계부'!A1597),100)))=MOD(INT('월 가계부'!A1597/100),100),DATE(INT('월 가계부'!A1597/10000),MOD(INT('월 가계부'!A1597/100),100),MOD(INT('월 가계부'!A1597),100)),""),""),IF(AND('월 가계부'!A1597&gt;=36526,'월 가계부'!A1597&lt;73051),INT('월 가계부'!A1597),"")),IF(OR(CM1597="",CN1597="",CO1597=""),"",IF(AND(CM1597&gt;=2000,CM1597&lt;=2099,CN1597&gt;=1,CN1597&lt;=12,CO1597&gt;=1,CO1597&lt;=31),IF(MONTH(DATE(CM1597,CN1597,CO1597))=CN1597,DATE(CM1597,CN1597,CO1597),""),"")))),"")</f>
        <v/>
      </c>
      <c r="CJ1597">
        <f>IFERROR(IF('월 가계부'!C1597="","",IF(ISNUMBER('월 가계부'!C1597),'월 가계부'!C1597,VALUE(SUBSTITUTE(SUBSTITUTE(SUBSTITUTE(SUBSTITUTE(TRIM('월 가계부'!C1597),",",""),"원","")," ",""),"−","-")))),"")</f>
        <v/>
      </c>
      <c r="CK1597">
        <f>IF(ISNUMBER(CI1597),IF(CI1597&lt;$B$13,CI1597,""),"")</f>
        <v/>
      </c>
      <c r="CM1597">
        <f>IF(CH1597="","",IFERROR(IF(IF(AND(LEN(CH1597)=9,ISERROR(FIND("-",LEFT(CH1597,8))),ISNUMBER(-LEFT(CH1597,8))),VALUE(LEFT(CH1597,4)),VALUE(LEFT(CH1597,FIND("-",CH1597)-1)))&lt;100,IF(AND(LEN(CH1597)=9,ISERROR(FIND("-",LEFT(CH1597,8))),ISNUMBER(-LEFT(CH1597,8))),VALUE(LEFT(CH1597,4)),VALUE(LEFT(CH1597,FIND("-",CH1597)-1)))+2000,IF(AND(LEN(CH1597)=9,ISERROR(FIND("-",LEFT(CH1597,8))),ISNUMBER(-LEFT(CH1597,8))),VALUE(LEFT(CH1597,4)),VALUE(LEFT(CH1597,FIND("-",CH1597)-1)))),""))</f>
        <v/>
      </c>
      <c r="CN1597">
        <f>IF(CH1597="","",IFERROR(IF(AND(LEN(CH1597)=9,ISERROR(FIND("-",LEFT(CH1597,8))),ISNUMBER(-LEFT(CH1597,8))),VALUE(MID(CH1597,5,2)),VALUE(MID(CH1597,FIND("-",CH1597)+1,FIND("-",CH1597,FIND("-",CH1597)+1)-FIND("-",CH1597)-1))),""))</f>
        <v/>
      </c>
      <c r="CO1597">
        <f>IF(CH1597="","",IFERROR(IF(AND(LEN(CH1597)=9,ISERROR(FIND("-",LEFT(CH1597,8))),ISNUMBER(-LEFT(CH1597,8))),VALUE(MID(CH1597,7,2)),VALUE(MID(CH1597,FIND("-",CH1597,FIND("-",CH1597)+1)+1,FIND("-",CH1597,FIND("-",CH1597,FIND("-",CH1597)+1)+1)-FIND("-",CH1597,FIND("-",CH1597)+1)-1))),""))</f>
        <v/>
      </c>
    </row>
    <row r="1598">
      <c r="CH1598">
        <f>IF(ISTEXT('월 가계부'!A1598),SUBSTITUTE(SUBSTITUTE(SUBSTITUTE(SUBSTITUTE(SUBSTITUTE(SUBSTITUTE(SUBSTITUTE(SUBSTITUTE(SUBSTITUTE(TRIM('월 가계부'!A1598),"년","-"),"월","-"),"일",""),".","-"),"/","-")," ","-"),"--","-"),"--","-"),"--","-")&amp;"-","")</f>
        <v/>
      </c>
      <c r="CI1598">
        <f>IFERROR(IF('월 가계부'!A1598="","",IF(ISNUMBER('월 가계부'!A1598),IF(AND('월 가계부'!A1598&gt;=19000101,'월 가계부'!A1598&lt;=21001231),IF(AND(MOD(INT('월 가계부'!A1598/100),100)&gt;=1,MOD(INT('월 가계부'!A1598/100),100)&lt;=12,MOD(INT('월 가계부'!A1598),100)&gt;=1,MOD(INT('월 가계부'!A1598),100)&lt;=31),IF(MONTH(DATE(INT('월 가계부'!A1598/10000),MOD(INT('월 가계부'!A1598/100),100),MOD(INT('월 가계부'!A1598),100)))=MOD(INT('월 가계부'!A1598/100),100),DATE(INT('월 가계부'!A1598/10000),MOD(INT('월 가계부'!A1598/100),100),MOD(INT('월 가계부'!A1598),100)),""),""),IF(AND('월 가계부'!A1598&gt;=36526,'월 가계부'!A1598&lt;73051),INT('월 가계부'!A1598),"")),IF(OR(CM1598="",CN1598="",CO1598=""),"",IF(AND(CM1598&gt;=2000,CM1598&lt;=2099,CN1598&gt;=1,CN1598&lt;=12,CO1598&gt;=1,CO1598&lt;=31),IF(MONTH(DATE(CM1598,CN1598,CO1598))=CN1598,DATE(CM1598,CN1598,CO1598),""),"")))),"")</f>
        <v/>
      </c>
      <c r="CJ1598">
        <f>IFERROR(IF('월 가계부'!C1598="","",IF(ISNUMBER('월 가계부'!C1598),'월 가계부'!C1598,VALUE(SUBSTITUTE(SUBSTITUTE(SUBSTITUTE(SUBSTITUTE(TRIM('월 가계부'!C1598),",",""),"원","")," ",""),"−","-")))),"")</f>
        <v/>
      </c>
      <c r="CK1598">
        <f>IF(ISNUMBER(CI1598),IF(CI1598&lt;$B$13,CI1598,""),"")</f>
        <v/>
      </c>
      <c r="CM1598">
        <f>IF(CH1598="","",IFERROR(IF(IF(AND(LEN(CH1598)=9,ISERROR(FIND("-",LEFT(CH1598,8))),ISNUMBER(-LEFT(CH1598,8))),VALUE(LEFT(CH1598,4)),VALUE(LEFT(CH1598,FIND("-",CH1598)-1)))&lt;100,IF(AND(LEN(CH1598)=9,ISERROR(FIND("-",LEFT(CH1598,8))),ISNUMBER(-LEFT(CH1598,8))),VALUE(LEFT(CH1598,4)),VALUE(LEFT(CH1598,FIND("-",CH1598)-1)))+2000,IF(AND(LEN(CH1598)=9,ISERROR(FIND("-",LEFT(CH1598,8))),ISNUMBER(-LEFT(CH1598,8))),VALUE(LEFT(CH1598,4)),VALUE(LEFT(CH1598,FIND("-",CH1598)-1)))),""))</f>
        <v/>
      </c>
      <c r="CN1598">
        <f>IF(CH1598="","",IFERROR(IF(AND(LEN(CH1598)=9,ISERROR(FIND("-",LEFT(CH1598,8))),ISNUMBER(-LEFT(CH1598,8))),VALUE(MID(CH1598,5,2)),VALUE(MID(CH1598,FIND("-",CH1598)+1,FIND("-",CH1598,FIND("-",CH1598)+1)-FIND("-",CH1598)-1))),""))</f>
        <v/>
      </c>
      <c r="CO1598">
        <f>IF(CH1598="","",IFERROR(IF(AND(LEN(CH1598)=9,ISERROR(FIND("-",LEFT(CH1598,8))),ISNUMBER(-LEFT(CH1598,8))),VALUE(MID(CH1598,7,2)),VALUE(MID(CH1598,FIND("-",CH1598,FIND("-",CH1598)+1)+1,FIND("-",CH1598,FIND("-",CH1598,FIND("-",CH1598)+1)+1)-FIND("-",CH1598,FIND("-",CH1598)+1)-1))),""))</f>
        <v/>
      </c>
    </row>
    <row r="1599">
      <c r="CH1599">
        <f>IF(ISTEXT('월 가계부'!A1599),SUBSTITUTE(SUBSTITUTE(SUBSTITUTE(SUBSTITUTE(SUBSTITUTE(SUBSTITUTE(SUBSTITUTE(SUBSTITUTE(SUBSTITUTE(TRIM('월 가계부'!A1599),"년","-"),"월","-"),"일",""),".","-"),"/","-")," ","-"),"--","-"),"--","-"),"--","-")&amp;"-","")</f>
        <v/>
      </c>
      <c r="CI1599">
        <f>IFERROR(IF('월 가계부'!A1599="","",IF(ISNUMBER('월 가계부'!A1599),IF(AND('월 가계부'!A1599&gt;=19000101,'월 가계부'!A1599&lt;=21001231),IF(AND(MOD(INT('월 가계부'!A1599/100),100)&gt;=1,MOD(INT('월 가계부'!A1599/100),100)&lt;=12,MOD(INT('월 가계부'!A1599),100)&gt;=1,MOD(INT('월 가계부'!A1599),100)&lt;=31),IF(MONTH(DATE(INT('월 가계부'!A1599/10000),MOD(INT('월 가계부'!A1599/100),100),MOD(INT('월 가계부'!A1599),100)))=MOD(INT('월 가계부'!A1599/100),100),DATE(INT('월 가계부'!A1599/10000),MOD(INT('월 가계부'!A1599/100),100),MOD(INT('월 가계부'!A1599),100)),""),""),IF(AND('월 가계부'!A1599&gt;=36526,'월 가계부'!A1599&lt;73051),INT('월 가계부'!A1599),"")),IF(OR(CM1599="",CN1599="",CO1599=""),"",IF(AND(CM1599&gt;=2000,CM1599&lt;=2099,CN1599&gt;=1,CN1599&lt;=12,CO1599&gt;=1,CO1599&lt;=31),IF(MONTH(DATE(CM1599,CN1599,CO1599))=CN1599,DATE(CM1599,CN1599,CO1599),""),"")))),"")</f>
        <v/>
      </c>
      <c r="CJ1599">
        <f>IFERROR(IF('월 가계부'!C1599="","",IF(ISNUMBER('월 가계부'!C1599),'월 가계부'!C1599,VALUE(SUBSTITUTE(SUBSTITUTE(SUBSTITUTE(SUBSTITUTE(TRIM('월 가계부'!C1599),",",""),"원","")," ",""),"−","-")))),"")</f>
        <v/>
      </c>
      <c r="CK1599">
        <f>IF(ISNUMBER(CI1599),IF(CI1599&lt;$B$13,CI1599,""),"")</f>
        <v/>
      </c>
      <c r="CM1599">
        <f>IF(CH1599="","",IFERROR(IF(IF(AND(LEN(CH1599)=9,ISERROR(FIND("-",LEFT(CH1599,8))),ISNUMBER(-LEFT(CH1599,8))),VALUE(LEFT(CH1599,4)),VALUE(LEFT(CH1599,FIND("-",CH1599)-1)))&lt;100,IF(AND(LEN(CH1599)=9,ISERROR(FIND("-",LEFT(CH1599,8))),ISNUMBER(-LEFT(CH1599,8))),VALUE(LEFT(CH1599,4)),VALUE(LEFT(CH1599,FIND("-",CH1599)-1)))+2000,IF(AND(LEN(CH1599)=9,ISERROR(FIND("-",LEFT(CH1599,8))),ISNUMBER(-LEFT(CH1599,8))),VALUE(LEFT(CH1599,4)),VALUE(LEFT(CH1599,FIND("-",CH1599)-1)))),""))</f>
        <v/>
      </c>
      <c r="CN1599">
        <f>IF(CH1599="","",IFERROR(IF(AND(LEN(CH1599)=9,ISERROR(FIND("-",LEFT(CH1599,8))),ISNUMBER(-LEFT(CH1599,8))),VALUE(MID(CH1599,5,2)),VALUE(MID(CH1599,FIND("-",CH1599)+1,FIND("-",CH1599,FIND("-",CH1599)+1)-FIND("-",CH1599)-1))),""))</f>
        <v/>
      </c>
      <c r="CO1599">
        <f>IF(CH1599="","",IFERROR(IF(AND(LEN(CH1599)=9,ISERROR(FIND("-",LEFT(CH1599,8))),ISNUMBER(-LEFT(CH1599,8))),VALUE(MID(CH1599,7,2)),VALUE(MID(CH1599,FIND("-",CH1599,FIND("-",CH1599)+1)+1,FIND("-",CH1599,FIND("-",CH1599,FIND("-",CH1599)+1)+1)-FIND("-",CH1599,FIND("-",CH1599)+1)-1))),""))</f>
        <v/>
      </c>
    </row>
    <row r="1600">
      <c r="CH1600">
        <f>IF(ISTEXT('월 가계부'!A1600),SUBSTITUTE(SUBSTITUTE(SUBSTITUTE(SUBSTITUTE(SUBSTITUTE(SUBSTITUTE(SUBSTITUTE(SUBSTITUTE(SUBSTITUTE(TRIM('월 가계부'!A1600),"년","-"),"월","-"),"일",""),".","-"),"/","-")," ","-"),"--","-"),"--","-"),"--","-")&amp;"-","")</f>
        <v/>
      </c>
      <c r="CI1600">
        <f>IFERROR(IF('월 가계부'!A1600="","",IF(ISNUMBER('월 가계부'!A1600),IF(AND('월 가계부'!A1600&gt;=19000101,'월 가계부'!A1600&lt;=21001231),IF(AND(MOD(INT('월 가계부'!A1600/100),100)&gt;=1,MOD(INT('월 가계부'!A1600/100),100)&lt;=12,MOD(INT('월 가계부'!A1600),100)&gt;=1,MOD(INT('월 가계부'!A1600),100)&lt;=31),IF(MONTH(DATE(INT('월 가계부'!A1600/10000),MOD(INT('월 가계부'!A1600/100),100),MOD(INT('월 가계부'!A1600),100)))=MOD(INT('월 가계부'!A1600/100),100),DATE(INT('월 가계부'!A1600/10000),MOD(INT('월 가계부'!A1600/100),100),MOD(INT('월 가계부'!A1600),100)),""),""),IF(AND('월 가계부'!A1600&gt;=36526,'월 가계부'!A1600&lt;73051),INT('월 가계부'!A1600),"")),IF(OR(CM1600="",CN1600="",CO1600=""),"",IF(AND(CM1600&gt;=2000,CM1600&lt;=2099,CN1600&gt;=1,CN1600&lt;=12,CO1600&gt;=1,CO1600&lt;=31),IF(MONTH(DATE(CM1600,CN1600,CO1600))=CN1600,DATE(CM1600,CN1600,CO1600),""),"")))),"")</f>
        <v/>
      </c>
      <c r="CJ1600">
        <f>IFERROR(IF('월 가계부'!C1600="","",IF(ISNUMBER('월 가계부'!C1600),'월 가계부'!C1600,VALUE(SUBSTITUTE(SUBSTITUTE(SUBSTITUTE(SUBSTITUTE(TRIM('월 가계부'!C1600),",",""),"원","")," ",""),"−","-")))),"")</f>
        <v/>
      </c>
      <c r="CK1600">
        <f>IF(ISNUMBER(CI1600),IF(CI1600&lt;$B$13,CI1600,""),"")</f>
        <v/>
      </c>
      <c r="CM1600">
        <f>IF(CH1600="","",IFERROR(IF(IF(AND(LEN(CH1600)=9,ISERROR(FIND("-",LEFT(CH1600,8))),ISNUMBER(-LEFT(CH1600,8))),VALUE(LEFT(CH1600,4)),VALUE(LEFT(CH1600,FIND("-",CH1600)-1)))&lt;100,IF(AND(LEN(CH1600)=9,ISERROR(FIND("-",LEFT(CH1600,8))),ISNUMBER(-LEFT(CH1600,8))),VALUE(LEFT(CH1600,4)),VALUE(LEFT(CH1600,FIND("-",CH1600)-1)))+2000,IF(AND(LEN(CH1600)=9,ISERROR(FIND("-",LEFT(CH1600,8))),ISNUMBER(-LEFT(CH1600,8))),VALUE(LEFT(CH1600,4)),VALUE(LEFT(CH1600,FIND("-",CH1600)-1)))),""))</f>
        <v/>
      </c>
      <c r="CN1600">
        <f>IF(CH1600="","",IFERROR(IF(AND(LEN(CH1600)=9,ISERROR(FIND("-",LEFT(CH1600,8))),ISNUMBER(-LEFT(CH1600,8))),VALUE(MID(CH1600,5,2)),VALUE(MID(CH1600,FIND("-",CH1600)+1,FIND("-",CH1600,FIND("-",CH1600)+1)-FIND("-",CH1600)-1))),""))</f>
        <v/>
      </c>
      <c r="CO1600">
        <f>IF(CH1600="","",IFERROR(IF(AND(LEN(CH1600)=9,ISERROR(FIND("-",LEFT(CH1600,8))),ISNUMBER(-LEFT(CH1600,8))),VALUE(MID(CH1600,7,2)),VALUE(MID(CH1600,FIND("-",CH1600,FIND("-",CH1600)+1)+1,FIND("-",CH1600,FIND("-",CH1600,FIND("-",CH1600)+1)+1)-FIND("-",CH1600,FIND("-",CH1600)+1)-1))),""))</f>
        <v/>
      </c>
    </row>
    <row r="1601">
      <c r="CH1601">
        <f>IF(ISTEXT('월 가계부'!A1601),SUBSTITUTE(SUBSTITUTE(SUBSTITUTE(SUBSTITUTE(SUBSTITUTE(SUBSTITUTE(SUBSTITUTE(SUBSTITUTE(SUBSTITUTE(TRIM('월 가계부'!A1601),"년","-"),"월","-"),"일",""),".","-"),"/","-")," ","-"),"--","-"),"--","-"),"--","-")&amp;"-","")</f>
        <v/>
      </c>
      <c r="CI1601">
        <f>IFERROR(IF('월 가계부'!A1601="","",IF(ISNUMBER('월 가계부'!A1601),IF(AND('월 가계부'!A1601&gt;=19000101,'월 가계부'!A1601&lt;=21001231),IF(AND(MOD(INT('월 가계부'!A1601/100),100)&gt;=1,MOD(INT('월 가계부'!A1601/100),100)&lt;=12,MOD(INT('월 가계부'!A1601),100)&gt;=1,MOD(INT('월 가계부'!A1601),100)&lt;=31),IF(MONTH(DATE(INT('월 가계부'!A1601/10000),MOD(INT('월 가계부'!A1601/100),100),MOD(INT('월 가계부'!A1601),100)))=MOD(INT('월 가계부'!A1601/100),100),DATE(INT('월 가계부'!A1601/10000),MOD(INT('월 가계부'!A1601/100),100),MOD(INT('월 가계부'!A1601),100)),""),""),IF(AND('월 가계부'!A1601&gt;=36526,'월 가계부'!A1601&lt;73051),INT('월 가계부'!A1601),"")),IF(OR(CM1601="",CN1601="",CO1601=""),"",IF(AND(CM1601&gt;=2000,CM1601&lt;=2099,CN1601&gt;=1,CN1601&lt;=12,CO1601&gt;=1,CO1601&lt;=31),IF(MONTH(DATE(CM1601,CN1601,CO1601))=CN1601,DATE(CM1601,CN1601,CO1601),""),"")))),"")</f>
        <v/>
      </c>
      <c r="CJ1601">
        <f>IFERROR(IF('월 가계부'!C1601="","",IF(ISNUMBER('월 가계부'!C1601),'월 가계부'!C1601,VALUE(SUBSTITUTE(SUBSTITUTE(SUBSTITUTE(SUBSTITUTE(TRIM('월 가계부'!C1601),",",""),"원","")," ",""),"−","-")))),"")</f>
        <v/>
      </c>
      <c r="CK1601">
        <f>IF(ISNUMBER(CI1601),IF(CI1601&lt;$B$13,CI1601,""),"")</f>
        <v/>
      </c>
      <c r="CM1601">
        <f>IF(CH1601="","",IFERROR(IF(IF(AND(LEN(CH1601)=9,ISERROR(FIND("-",LEFT(CH1601,8))),ISNUMBER(-LEFT(CH1601,8))),VALUE(LEFT(CH1601,4)),VALUE(LEFT(CH1601,FIND("-",CH1601)-1)))&lt;100,IF(AND(LEN(CH1601)=9,ISERROR(FIND("-",LEFT(CH1601,8))),ISNUMBER(-LEFT(CH1601,8))),VALUE(LEFT(CH1601,4)),VALUE(LEFT(CH1601,FIND("-",CH1601)-1)))+2000,IF(AND(LEN(CH1601)=9,ISERROR(FIND("-",LEFT(CH1601,8))),ISNUMBER(-LEFT(CH1601,8))),VALUE(LEFT(CH1601,4)),VALUE(LEFT(CH1601,FIND("-",CH1601)-1)))),""))</f>
        <v/>
      </c>
      <c r="CN1601">
        <f>IF(CH1601="","",IFERROR(IF(AND(LEN(CH1601)=9,ISERROR(FIND("-",LEFT(CH1601,8))),ISNUMBER(-LEFT(CH1601,8))),VALUE(MID(CH1601,5,2)),VALUE(MID(CH1601,FIND("-",CH1601)+1,FIND("-",CH1601,FIND("-",CH1601)+1)-FIND("-",CH1601)-1))),""))</f>
        <v/>
      </c>
      <c r="CO1601">
        <f>IF(CH1601="","",IFERROR(IF(AND(LEN(CH1601)=9,ISERROR(FIND("-",LEFT(CH1601,8))),ISNUMBER(-LEFT(CH1601,8))),VALUE(MID(CH1601,7,2)),VALUE(MID(CH1601,FIND("-",CH1601,FIND("-",CH1601)+1)+1,FIND("-",CH1601,FIND("-",CH1601,FIND("-",CH1601)+1)+1)-FIND("-",CH1601,FIND("-",CH1601)+1)-1))),""))</f>
        <v/>
      </c>
    </row>
    <row r="1602">
      <c r="CH1602">
        <f>IF(ISTEXT('월 가계부'!A1602),SUBSTITUTE(SUBSTITUTE(SUBSTITUTE(SUBSTITUTE(SUBSTITUTE(SUBSTITUTE(SUBSTITUTE(SUBSTITUTE(SUBSTITUTE(TRIM('월 가계부'!A1602),"년","-"),"월","-"),"일",""),".","-"),"/","-")," ","-"),"--","-"),"--","-"),"--","-")&amp;"-","")</f>
        <v/>
      </c>
      <c r="CI1602">
        <f>IFERROR(IF('월 가계부'!A1602="","",IF(ISNUMBER('월 가계부'!A1602),IF(AND('월 가계부'!A1602&gt;=19000101,'월 가계부'!A1602&lt;=21001231),IF(AND(MOD(INT('월 가계부'!A1602/100),100)&gt;=1,MOD(INT('월 가계부'!A1602/100),100)&lt;=12,MOD(INT('월 가계부'!A1602),100)&gt;=1,MOD(INT('월 가계부'!A1602),100)&lt;=31),IF(MONTH(DATE(INT('월 가계부'!A1602/10000),MOD(INT('월 가계부'!A1602/100),100),MOD(INT('월 가계부'!A1602),100)))=MOD(INT('월 가계부'!A1602/100),100),DATE(INT('월 가계부'!A1602/10000),MOD(INT('월 가계부'!A1602/100),100),MOD(INT('월 가계부'!A1602),100)),""),""),IF(AND('월 가계부'!A1602&gt;=36526,'월 가계부'!A1602&lt;73051),INT('월 가계부'!A1602),"")),IF(OR(CM1602="",CN1602="",CO1602=""),"",IF(AND(CM1602&gt;=2000,CM1602&lt;=2099,CN1602&gt;=1,CN1602&lt;=12,CO1602&gt;=1,CO1602&lt;=31),IF(MONTH(DATE(CM1602,CN1602,CO1602))=CN1602,DATE(CM1602,CN1602,CO1602),""),"")))),"")</f>
        <v/>
      </c>
      <c r="CJ1602">
        <f>IFERROR(IF('월 가계부'!C1602="","",IF(ISNUMBER('월 가계부'!C1602),'월 가계부'!C1602,VALUE(SUBSTITUTE(SUBSTITUTE(SUBSTITUTE(SUBSTITUTE(TRIM('월 가계부'!C1602),",",""),"원","")," ",""),"−","-")))),"")</f>
        <v/>
      </c>
      <c r="CK1602">
        <f>IF(ISNUMBER(CI1602),IF(CI1602&lt;$B$13,CI1602,""),"")</f>
        <v/>
      </c>
      <c r="CM1602">
        <f>IF(CH1602="","",IFERROR(IF(IF(AND(LEN(CH1602)=9,ISERROR(FIND("-",LEFT(CH1602,8))),ISNUMBER(-LEFT(CH1602,8))),VALUE(LEFT(CH1602,4)),VALUE(LEFT(CH1602,FIND("-",CH1602)-1)))&lt;100,IF(AND(LEN(CH1602)=9,ISERROR(FIND("-",LEFT(CH1602,8))),ISNUMBER(-LEFT(CH1602,8))),VALUE(LEFT(CH1602,4)),VALUE(LEFT(CH1602,FIND("-",CH1602)-1)))+2000,IF(AND(LEN(CH1602)=9,ISERROR(FIND("-",LEFT(CH1602,8))),ISNUMBER(-LEFT(CH1602,8))),VALUE(LEFT(CH1602,4)),VALUE(LEFT(CH1602,FIND("-",CH1602)-1)))),""))</f>
        <v/>
      </c>
      <c r="CN1602">
        <f>IF(CH1602="","",IFERROR(IF(AND(LEN(CH1602)=9,ISERROR(FIND("-",LEFT(CH1602,8))),ISNUMBER(-LEFT(CH1602,8))),VALUE(MID(CH1602,5,2)),VALUE(MID(CH1602,FIND("-",CH1602)+1,FIND("-",CH1602,FIND("-",CH1602)+1)-FIND("-",CH1602)-1))),""))</f>
        <v/>
      </c>
      <c r="CO1602">
        <f>IF(CH1602="","",IFERROR(IF(AND(LEN(CH1602)=9,ISERROR(FIND("-",LEFT(CH1602,8))),ISNUMBER(-LEFT(CH1602,8))),VALUE(MID(CH1602,7,2)),VALUE(MID(CH1602,FIND("-",CH1602,FIND("-",CH1602)+1)+1,FIND("-",CH1602,FIND("-",CH1602,FIND("-",CH1602)+1)+1)-FIND("-",CH1602,FIND("-",CH1602)+1)-1))),""))</f>
        <v/>
      </c>
    </row>
    <row r="1603">
      <c r="CH1603">
        <f>IF(ISTEXT('월 가계부'!A1603),SUBSTITUTE(SUBSTITUTE(SUBSTITUTE(SUBSTITUTE(SUBSTITUTE(SUBSTITUTE(SUBSTITUTE(SUBSTITUTE(SUBSTITUTE(TRIM('월 가계부'!A1603),"년","-"),"월","-"),"일",""),".","-"),"/","-")," ","-"),"--","-"),"--","-"),"--","-")&amp;"-","")</f>
        <v/>
      </c>
      <c r="CI1603">
        <f>IFERROR(IF('월 가계부'!A1603="","",IF(ISNUMBER('월 가계부'!A1603),IF(AND('월 가계부'!A1603&gt;=19000101,'월 가계부'!A1603&lt;=21001231),IF(AND(MOD(INT('월 가계부'!A1603/100),100)&gt;=1,MOD(INT('월 가계부'!A1603/100),100)&lt;=12,MOD(INT('월 가계부'!A1603),100)&gt;=1,MOD(INT('월 가계부'!A1603),100)&lt;=31),IF(MONTH(DATE(INT('월 가계부'!A1603/10000),MOD(INT('월 가계부'!A1603/100),100),MOD(INT('월 가계부'!A1603),100)))=MOD(INT('월 가계부'!A1603/100),100),DATE(INT('월 가계부'!A1603/10000),MOD(INT('월 가계부'!A1603/100),100),MOD(INT('월 가계부'!A1603),100)),""),""),IF(AND('월 가계부'!A1603&gt;=36526,'월 가계부'!A1603&lt;73051),INT('월 가계부'!A1603),"")),IF(OR(CM1603="",CN1603="",CO1603=""),"",IF(AND(CM1603&gt;=2000,CM1603&lt;=2099,CN1603&gt;=1,CN1603&lt;=12,CO1603&gt;=1,CO1603&lt;=31),IF(MONTH(DATE(CM1603,CN1603,CO1603))=CN1603,DATE(CM1603,CN1603,CO1603),""),"")))),"")</f>
        <v/>
      </c>
      <c r="CJ1603">
        <f>IFERROR(IF('월 가계부'!C1603="","",IF(ISNUMBER('월 가계부'!C1603),'월 가계부'!C1603,VALUE(SUBSTITUTE(SUBSTITUTE(SUBSTITUTE(SUBSTITUTE(TRIM('월 가계부'!C1603),",",""),"원","")," ",""),"−","-")))),"")</f>
        <v/>
      </c>
      <c r="CK1603">
        <f>IF(ISNUMBER(CI1603),IF(CI1603&lt;$B$13,CI1603,""),"")</f>
        <v/>
      </c>
      <c r="CM1603">
        <f>IF(CH1603="","",IFERROR(IF(IF(AND(LEN(CH1603)=9,ISERROR(FIND("-",LEFT(CH1603,8))),ISNUMBER(-LEFT(CH1603,8))),VALUE(LEFT(CH1603,4)),VALUE(LEFT(CH1603,FIND("-",CH1603)-1)))&lt;100,IF(AND(LEN(CH1603)=9,ISERROR(FIND("-",LEFT(CH1603,8))),ISNUMBER(-LEFT(CH1603,8))),VALUE(LEFT(CH1603,4)),VALUE(LEFT(CH1603,FIND("-",CH1603)-1)))+2000,IF(AND(LEN(CH1603)=9,ISERROR(FIND("-",LEFT(CH1603,8))),ISNUMBER(-LEFT(CH1603,8))),VALUE(LEFT(CH1603,4)),VALUE(LEFT(CH1603,FIND("-",CH1603)-1)))),""))</f>
        <v/>
      </c>
      <c r="CN1603">
        <f>IF(CH1603="","",IFERROR(IF(AND(LEN(CH1603)=9,ISERROR(FIND("-",LEFT(CH1603,8))),ISNUMBER(-LEFT(CH1603,8))),VALUE(MID(CH1603,5,2)),VALUE(MID(CH1603,FIND("-",CH1603)+1,FIND("-",CH1603,FIND("-",CH1603)+1)-FIND("-",CH1603)-1))),""))</f>
        <v/>
      </c>
      <c r="CO1603">
        <f>IF(CH1603="","",IFERROR(IF(AND(LEN(CH1603)=9,ISERROR(FIND("-",LEFT(CH1603,8))),ISNUMBER(-LEFT(CH1603,8))),VALUE(MID(CH1603,7,2)),VALUE(MID(CH1603,FIND("-",CH1603,FIND("-",CH1603)+1)+1,FIND("-",CH1603,FIND("-",CH1603,FIND("-",CH1603)+1)+1)-FIND("-",CH1603,FIND("-",CH1603)+1)-1))),""))</f>
        <v/>
      </c>
    </row>
    <row r="1604">
      <c r="CH1604">
        <f>IF(ISTEXT('월 가계부'!A1604),SUBSTITUTE(SUBSTITUTE(SUBSTITUTE(SUBSTITUTE(SUBSTITUTE(SUBSTITUTE(SUBSTITUTE(SUBSTITUTE(SUBSTITUTE(TRIM('월 가계부'!A1604),"년","-"),"월","-"),"일",""),".","-"),"/","-")," ","-"),"--","-"),"--","-"),"--","-")&amp;"-","")</f>
        <v/>
      </c>
      <c r="CI1604">
        <f>IFERROR(IF('월 가계부'!A1604="","",IF(ISNUMBER('월 가계부'!A1604),IF(AND('월 가계부'!A1604&gt;=19000101,'월 가계부'!A1604&lt;=21001231),IF(AND(MOD(INT('월 가계부'!A1604/100),100)&gt;=1,MOD(INT('월 가계부'!A1604/100),100)&lt;=12,MOD(INT('월 가계부'!A1604),100)&gt;=1,MOD(INT('월 가계부'!A1604),100)&lt;=31),IF(MONTH(DATE(INT('월 가계부'!A1604/10000),MOD(INT('월 가계부'!A1604/100),100),MOD(INT('월 가계부'!A1604),100)))=MOD(INT('월 가계부'!A1604/100),100),DATE(INT('월 가계부'!A1604/10000),MOD(INT('월 가계부'!A1604/100),100),MOD(INT('월 가계부'!A1604),100)),""),""),IF(AND('월 가계부'!A1604&gt;=36526,'월 가계부'!A1604&lt;73051),INT('월 가계부'!A1604),"")),IF(OR(CM1604="",CN1604="",CO1604=""),"",IF(AND(CM1604&gt;=2000,CM1604&lt;=2099,CN1604&gt;=1,CN1604&lt;=12,CO1604&gt;=1,CO1604&lt;=31),IF(MONTH(DATE(CM1604,CN1604,CO1604))=CN1604,DATE(CM1604,CN1604,CO1604),""),"")))),"")</f>
        <v/>
      </c>
      <c r="CJ1604">
        <f>IFERROR(IF('월 가계부'!C1604="","",IF(ISNUMBER('월 가계부'!C1604),'월 가계부'!C1604,VALUE(SUBSTITUTE(SUBSTITUTE(SUBSTITUTE(SUBSTITUTE(TRIM('월 가계부'!C1604),",",""),"원","")," ",""),"−","-")))),"")</f>
        <v/>
      </c>
      <c r="CK1604">
        <f>IF(ISNUMBER(CI1604),IF(CI1604&lt;$B$13,CI1604,""),"")</f>
        <v/>
      </c>
      <c r="CM1604">
        <f>IF(CH1604="","",IFERROR(IF(IF(AND(LEN(CH1604)=9,ISERROR(FIND("-",LEFT(CH1604,8))),ISNUMBER(-LEFT(CH1604,8))),VALUE(LEFT(CH1604,4)),VALUE(LEFT(CH1604,FIND("-",CH1604)-1)))&lt;100,IF(AND(LEN(CH1604)=9,ISERROR(FIND("-",LEFT(CH1604,8))),ISNUMBER(-LEFT(CH1604,8))),VALUE(LEFT(CH1604,4)),VALUE(LEFT(CH1604,FIND("-",CH1604)-1)))+2000,IF(AND(LEN(CH1604)=9,ISERROR(FIND("-",LEFT(CH1604,8))),ISNUMBER(-LEFT(CH1604,8))),VALUE(LEFT(CH1604,4)),VALUE(LEFT(CH1604,FIND("-",CH1604)-1)))),""))</f>
        <v/>
      </c>
      <c r="CN1604">
        <f>IF(CH1604="","",IFERROR(IF(AND(LEN(CH1604)=9,ISERROR(FIND("-",LEFT(CH1604,8))),ISNUMBER(-LEFT(CH1604,8))),VALUE(MID(CH1604,5,2)),VALUE(MID(CH1604,FIND("-",CH1604)+1,FIND("-",CH1604,FIND("-",CH1604)+1)-FIND("-",CH1604)-1))),""))</f>
        <v/>
      </c>
      <c r="CO1604">
        <f>IF(CH1604="","",IFERROR(IF(AND(LEN(CH1604)=9,ISERROR(FIND("-",LEFT(CH1604,8))),ISNUMBER(-LEFT(CH1604,8))),VALUE(MID(CH1604,7,2)),VALUE(MID(CH1604,FIND("-",CH1604,FIND("-",CH1604)+1)+1,FIND("-",CH1604,FIND("-",CH1604,FIND("-",CH1604)+1)+1)-FIND("-",CH1604,FIND("-",CH1604)+1)-1))),""))</f>
        <v/>
      </c>
    </row>
    <row r="1605">
      <c r="CH1605">
        <f>IF(ISTEXT('월 가계부'!A1605),SUBSTITUTE(SUBSTITUTE(SUBSTITUTE(SUBSTITUTE(SUBSTITUTE(SUBSTITUTE(SUBSTITUTE(SUBSTITUTE(SUBSTITUTE(TRIM('월 가계부'!A1605),"년","-"),"월","-"),"일",""),".","-"),"/","-")," ","-"),"--","-"),"--","-"),"--","-")&amp;"-","")</f>
        <v/>
      </c>
      <c r="CI1605">
        <f>IFERROR(IF('월 가계부'!A1605="","",IF(ISNUMBER('월 가계부'!A1605),IF(AND('월 가계부'!A1605&gt;=19000101,'월 가계부'!A1605&lt;=21001231),IF(AND(MOD(INT('월 가계부'!A1605/100),100)&gt;=1,MOD(INT('월 가계부'!A1605/100),100)&lt;=12,MOD(INT('월 가계부'!A1605),100)&gt;=1,MOD(INT('월 가계부'!A1605),100)&lt;=31),IF(MONTH(DATE(INT('월 가계부'!A1605/10000),MOD(INT('월 가계부'!A1605/100),100),MOD(INT('월 가계부'!A1605),100)))=MOD(INT('월 가계부'!A1605/100),100),DATE(INT('월 가계부'!A1605/10000),MOD(INT('월 가계부'!A1605/100),100),MOD(INT('월 가계부'!A1605),100)),""),""),IF(AND('월 가계부'!A1605&gt;=36526,'월 가계부'!A1605&lt;73051),INT('월 가계부'!A1605),"")),IF(OR(CM1605="",CN1605="",CO1605=""),"",IF(AND(CM1605&gt;=2000,CM1605&lt;=2099,CN1605&gt;=1,CN1605&lt;=12,CO1605&gt;=1,CO1605&lt;=31),IF(MONTH(DATE(CM1605,CN1605,CO1605))=CN1605,DATE(CM1605,CN1605,CO1605),""),"")))),"")</f>
        <v/>
      </c>
      <c r="CJ1605">
        <f>IFERROR(IF('월 가계부'!C1605="","",IF(ISNUMBER('월 가계부'!C1605),'월 가계부'!C1605,VALUE(SUBSTITUTE(SUBSTITUTE(SUBSTITUTE(SUBSTITUTE(TRIM('월 가계부'!C1605),",",""),"원","")," ",""),"−","-")))),"")</f>
        <v/>
      </c>
      <c r="CK1605">
        <f>IF(ISNUMBER(CI1605),IF(CI1605&lt;$B$13,CI1605,""),"")</f>
        <v/>
      </c>
      <c r="CM1605">
        <f>IF(CH1605="","",IFERROR(IF(IF(AND(LEN(CH1605)=9,ISERROR(FIND("-",LEFT(CH1605,8))),ISNUMBER(-LEFT(CH1605,8))),VALUE(LEFT(CH1605,4)),VALUE(LEFT(CH1605,FIND("-",CH1605)-1)))&lt;100,IF(AND(LEN(CH1605)=9,ISERROR(FIND("-",LEFT(CH1605,8))),ISNUMBER(-LEFT(CH1605,8))),VALUE(LEFT(CH1605,4)),VALUE(LEFT(CH1605,FIND("-",CH1605)-1)))+2000,IF(AND(LEN(CH1605)=9,ISERROR(FIND("-",LEFT(CH1605,8))),ISNUMBER(-LEFT(CH1605,8))),VALUE(LEFT(CH1605,4)),VALUE(LEFT(CH1605,FIND("-",CH1605)-1)))),""))</f>
        <v/>
      </c>
      <c r="CN1605">
        <f>IF(CH1605="","",IFERROR(IF(AND(LEN(CH1605)=9,ISERROR(FIND("-",LEFT(CH1605,8))),ISNUMBER(-LEFT(CH1605,8))),VALUE(MID(CH1605,5,2)),VALUE(MID(CH1605,FIND("-",CH1605)+1,FIND("-",CH1605,FIND("-",CH1605)+1)-FIND("-",CH1605)-1))),""))</f>
        <v/>
      </c>
      <c r="CO1605">
        <f>IF(CH1605="","",IFERROR(IF(AND(LEN(CH1605)=9,ISERROR(FIND("-",LEFT(CH1605,8))),ISNUMBER(-LEFT(CH1605,8))),VALUE(MID(CH1605,7,2)),VALUE(MID(CH1605,FIND("-",CH1605,FIND("-",CH1605)+1)+1,FIND("-",CH1605,FIND("-",CH1605,FIND("-",CH1605)+1)+1)-FIND("-",CH1605,FIND("-",CH1605)+1)-1))),""))</f>
        <v/>
      </c>
    </row>
    <row r="1606">
      <c r="CH1606">
        <f>IF(ISTEXT('월 가계부'!A1606),SUBSTITUTE(SUBSTITUTE(SUBSTITUTE(SUBSTITUTE(SUBSTITUTE(SUBSTITUTE(SUBSTITUTE(SUBSTITUTE(SUBSTITUTE(TRIM('월 가계부'!A1606),"년","-"),"월","-"),"일",""),".","-"),"/","-")," ","-"),"--","-"),"--","-"),"--","-")&amp;"-","")</f>
        <v/>
      </c>
      <c r="CI1606">
        <f>IFERROR(IF('월 가계부'!A1606="","",IF(ISNUMBER('월 가계부'!A1606),IF(AND('월 가계부'!A1606&gt;=19000101,'월 가계부'!A1606&lt;=21001231),IF(AND(MOD(INT('월 가계부'!A1606/100),100)&gt;=1,MOD(INT('월 가계부'!A1606/100),100)&lt;=12,MOD(INT('월 가계부'!A1606),100)&gt;=1,MOD(INT('월 가계부'!A1606),100)&lt;=31),IF(MONTH(DATE(INT('월 가계부'!A1606/10000),MOD(INT('월 가계부'!A1606/100),100),MOD(INT('월 가계부'!A1606),100)))=MOD(INT('월 가계부'!A1606/100),100),DATE(INT('월 가계부'!A1606/10000),MOD(INT('월 가계부'!A1606/100),100),MOD(INT('월 가계부'!A1606),100)),""),""),IF(AND('월 가계부'!A1606&gt;=36526,'월 가계부'!A1606&lt;73051),INT('월 가계부'!A1606),"")),IF(OR(CM1606="",CN1606="",CO1606=""),"",IF(AND(CM1606&gt;=2000,CM1606&lt;=2099,CN1606&gt;=1,CN1606&lt;=12,CO1606&gt;=1,CO1606&lt;=31),IF(MONTH(DATE(CM1606,CN1606,CO1606))=CN1606,DATE(CM1606,CN1606,CO1606),""),"")))),"")</f>
        <v/>
      </c>
      <c r="CJ1606">
        <f>IFERROR(IF('월 가계부'!C1606="","",IF(ISNUMBER('월 가계부'!C1606),'월 가계부'!C1606,VALUE(SUBSTITUTE(SUBSTITUTE(SUBSTITUTE(SUBSTITUTE(TRIM('월 가계부'!C1606),",",""),"원","")," ",""),"−","-")))),"")</f>
        <v/>
      </c>
      <c r="CK1606">
        <f>IF(ISNUMBER(CI1606),IF(CI1606&lt;$B$13,CI1606,""),"")</f>
        <v/>
      </c>
      <c r="CM1606">
        <f>IF(CH1606="","",IFERROR(IF(IF(AND(LEN(CH1606)=9,ISERROR(FIND("-",LEFT(CH1606,8))),ISNUMBER(-LEFT(CH1606,8))),VALUE(LEFT(CH1606,4)),VALUE(LEFT(CH1606,FIND("-",CH1606)-1)))&lt;100,IF(AND(LEN(CH1606)=9,ISERROR(FIND("-",LEFT(CH1606,8))),ISNUMBER(-LEFT(CH1606,8))),VALUE(LEFT(CH1606,4)),VALUE(LEFT(CH1606,FIND("-",CH1606)-1)))+2000,IF(AND(LEN(CH1606)=9,ISERROR(FIND("-",LEFT(CH1606,8))),ISNUMBER(-LEFT(CH1606,8))),VALUE(LEFT(CH1606,4)),VALUE(LEFT(CH1606,FIND("-",CH1606)-1)))),""))</f>
        <v/>
      </c>
      <c r="CN1606">
        <f>IF(CH1606="","",IFERROR(IF(AND(LEN(CH1606)=9,ISERROR(FIND("-",LEFT(CH1606,8))),ISNUMBER(-LEFT(CH1606,8))),VALUE(MID(CH1606,5,2)),VALUE(MID(CH1606,FIND("-",CH1606)+1,FIND("-",CH1606,FIND("-",CH1606)+1)-FIND("-",CH1606)-1))),""))</f>
        <v/>
      </c>
      <c r="CO1606">
        <f>IF(CH1606="","",IFERROR(IF(AND(LEN(CH1606)=9,ISERROR(FIND("-",LEFT(CH1606,8))),ISNUMBER(-LEFT(CH1606,8))),VALUE(MID(CH1606,7,2)),VALUE(MID(CH1606,FIND("-",CH1606,FIND("-",CH1606)+1)+1,FIND("-",CH1606,FIND("-",CH1606,FIND("-",CH1606)+1)+1)-FIND("-",CH1606,FIND("-",CH1606)+1)-1))),""))</f>
        <v/>
      </c>
    </row>
    <row r="1607">
      <c r="CH1607">
        <f>IF(ISTEXT('월 가계부'!A1607),SUBSTITUTE(SUBSTITUTE(SUBSTITUTE(SUBSTITUTE(SUBSTITUTE(SUBSTITUTE(SUBSTITUTE(SUBSTITUTE(SUBSTITUTE(TRIM('월 가계부'!A1607),"년","-"),"월","-"),"일",""),".","-"),"/","-")," ","-"),"--","-"),"--","-"),"--","-")&amp;"-","")</f>
        <v/>
      </c>
      <c r="CI1607">
        <f>IFERROR(IF('월 가계부'!A1607="","",IF(ISNUMBER('월 가계부'!A1607),IF(AND('월 가계부'!A1607&gt;=19000101,'월 가계부'!A1607&lt;=21001231),IF(AND(MOD(INT('월 가계부'!A1607/100),100)&gt;=1,MOD(INT('월 가계부'!A1607/100),100)&lt;=12,MOD(INT('월 가계부'!A1607),100)&gt;=1,MOD(INT('월 가계부'!A1607),100)&lt;=31),IF(MONTH(DATE(INT('월 가계부'!A1607/10000),MOD(INT('월 가계부'!A1607/100),100),MOD(INT('월 가계부'!A1607),100)))=MOD(INT('월 가계부'!A1607/100),100),DATE(INT('월 가계부'!A1607/10000),MOD(INT('월 가계부'!A1607/100),100),MOD(INT('월 가계부'!A1607),100)),""),""),IF(AND('월 가계부'!A1607&gt;=36526,'월 가계부'!A1607&lt;73051),INT('월 가계부'!A1607),"")),IF(OR(CM1607="",CN1607="",CO1607=""),"",IF(AND(CM1607&gt;=2000,CM1607&lt;=2099,CN1607&gt;=1,CN1607&lt;=12,CO1607&gt;=1,CO1607&lt;=31),IF(MONTH(DATE(CM1607,CN1607,CO1607))=CN1607,DATE(CM1607,CN1607,CO1607),""),"")))),"")</f>
        <v/>
      </c>
      <c r="CJ1607">
        <f>IFERROR(IF('월 가계부'!C1607="","",IF(ISNUMBER('월 가계부'!C1607),'월 가계부'!C1607,VALUE(SUBSTITUTE(SUBSTITUTE(SUBSTITUTE(SUBSTITUTE(TRIM('월 가계부'!C1607),",",""),"원","")," ",""),"−","-")))),"")</f>
        <v/>
      </c>
      <c r="CK1607">
        <f>IF(ISNUMBER(CI1607),IF(CI1607&lt;$B$13,CI1607,""),"")</f>
        <v/>
      </c>
      <c r="CM1607">
        <f>IF(CH1607="","",IFERROR(IF(IF(AND(LEN(CH1607)=9,ISERROR(FIND("-",LEFT(CH1607,8))),ISNUMBER(-LEFT(CH1607,8))),VALUE(LEFT(CH1607,4)),VALUE(LEFT(CH1607,FIND("-",CH1607)-1)))&lt;100,IF(AND(LEN(CH1607)=9,ISERROR(FIND("-",LEFT(CH1607,8))),ISNUMBER(-LEFT(CH1607,8))),VALUE(LEFT(CH1607,4)),VALUE(LEFT(CH1607,FIND("-",CH1607)-1)))+2000,IF(AND(LEN(CH1607)=9,ISERROR(FIND("-",LEFT(CH1607,8))),ISNUMBER(-LEFT(CH1607,8))),VALUE(LEFT(CH1607,4)),VALUE(LEFT(CH1607,FIND("-",CH1607)-1)))),""))</f>
        <v/>
      </c>
      <c r="CN1607">
        <f>IF(CH1607="","",IFERROR(IF(AND(LEN(CH1607)=9,ISERROR(FIND("-",LEFT(CH1607,8))),ISNUMBER(-LEFT(CH1607,8))),VALUE(MID(CH1607,5,2)),VALUE(MID(CH1607,FIND("-",CH1607)+1,FIND("-",CH1607,FIND("-",CH1607)+1)-FIND("-",CH1607)-1))),""))</f>
        <v/>
      </c>
      <c r="CO1607">
        <f>IF(CH1607="","",IFERROR(IF(AND(LEN(CH1607)=9,ISERROR(FIND("-",LEFT(CH1607,8))),ISNUMBER(-LEFT(CH1607,8))),VALUE(MID(CH1607,7,2)),VALUE(MID(CH1607,FIND("-",CH1607,FIND("-",CH1607)+1)+1,FIND("-",CH1607,FIND("-",CH1607,FIND("-",CH1607)+1)+1)-FIND("-",CH1607,FIND("-",CH1607)+1)-1))),""))</f>
        <v/>
      </c>
    </row>
    <row r="1608">
      <c r="CH1608">
        <f>IF(ISTEXT('월 가계부'!A1608),SUBSTITUTE(SUBSTITUTE(SUBSTITUTE(SUBSTITUTE(SUBSTITUTE(SUBSTITUTE(SUBSTITUTE(SUBSTITUTE(SUBSTITUTE(TRIM('월 가계부'!A1608),"년","-"),"월","-"),"일",""),".","-"),"/","-")," ","-"),"--","-"),"--","-"),"--","-")&amp;"-","")</f>
        <v/>
      </c>
      <c r="CI1608">
        <f>IFERROR(IF('월 가계부'!A1608="","",IF(ISNUMBER('월 가계부'!A1608),IF(AND('월 가계부'!A1608&gt;=19000101,'월 가계부'!A1608&lt;=21001231),IF(AND(MOD(INT('월 가계부'!A1608/100),100)&gt;=1,MOD(INT('월 가계부'!A1608/100),100)&lt;=12,MOD(INT('월 가계부'!A1608),100)&gt;=1,MOD(INT('월 가계부'!A1608),100)&lt;=31),IF(MONTH(DATE(INT('월 가계부'!A1608/10000),MOD(INT('월 가계부'!A1608/100),100),MOD(INT('월 가계부'!A1608),100)))=MOD(INT('월 가계부'!A1608/100),100),DATE(INT('월 가계부'!A1608/10000),MOD(INT('월 가계부'!A1608/100),100),MOD(INT('월 가계부'!A1608),100)),""),""),IF(AND('월 가계부'!A1608&gt;=36526,'월 가계부'!A1608&lt;73051),INT('월 가계부'!A1608),"")),IF(OR(CM1608="",CN1608="",CO1608=""),"",IF(AND(CM1608&gt;=2000,CM1608&lt;=2099,CN1608&gt;=1,CN1608&lt;=12,CO1608&gt;=1,CO1608&lt;=31),IF(MONTH(DATE(CM1608,CN1608,CO1608))=CN1608,DATE(CM1608,CN1608,CO1608),""),"")))),"")</f>
        <v/>
      </c>
      <c r="CJ1608">
        <f>IFERROR(IF('월 가계부'!C1608="","",IF(ISNUMBER('월 가계부'!C1608),'월 가계부'!C1608,VALUE(SUBSTITUTE(SUBSTITUTE(SUBSTITUTE(SUBSTITUTE(TRIM('월 가계부'!C1608),",",""),"원","")," ",""),"−","-")))),"")</f>
        <v/>
      </c>
      <c r="CK1608">
        <f>IF(ISNUMBER(CI1608),IF(CI1608&lt;$B$13,CI1608,""),"")</f>
        <v/>
      </c>
      <c r="CM1608">
        <f>IF(CH1608="","",IFERROR(IF(IF(AND(LEN(CH1608)=9,ISERROR(FIND("-",LEFT(CH1608,8))),ISNUMBER(-LEFT(CH1608,8))),VALUE(LEFT(CH1608,4)),VALUE(LEFT(CH1608,FIND("-",CH1608)-1)))&lt;100,IF(AND(LEN(CH1608)=9,ISERROR(FIND("-",LEFT(CH1608,8))),ISNUMBER(-LEFT(CH1608,8))),VALUE(LEFT(CH1608,4)),VALUE(LEFT(CH1608,FIND("-",CH1608)-1)))+2000,IF(AND(LEN(CH1608)=9,ISERROR(FIND("-",LEFT(CH1608,8))),ISNUMBER(-LEFT(CH1608,8))),VALUE(LEFT(CH1608,4)),VALUE(LEFT(CH1608,FIND("-",CH1608)-1)))),""))</f>
        <v/>
      </c>
      <c r="CN1608">
        <f>IF(CH1608="","",IFERROR(IF(AND(LEN(CH1608)=9,ISERROR(FIND("-",LEFT(CH1608,8))),ISNUMBER(-LEFT(CH1608,8))),VALUE(MID(CH1608,5,2)),VALUE(MID(CH1608,FIND("-",CH1608)+1,FIND("-",CH1608,FIND("-",CH1608)+1)-FIND("-",CH1608)-1))),""))</f>
        <v/>
      </c>
      <c r="CO1608">
        <f>IF(CH1608="","",IFERROR(IF(AND(LEN(CH1608)=9,ISERROR(FIND("-",LEFT(CH1608,8))),ISNUMBER(-LEFT(CH1608,8))),VALUE(MID(CH1608,7,2)),VALUE(MID(CH1608,FIND("-",CH1608,FIND("-",CH1608)+1)+1,FIND("-",CH1608,FIND("-",CH1608,FIND("-",CH1608)+1)+1)-FIND("-",CH1608,FIND("-",CH1608)+1)-1))),""))</f>
        <v/>
      </c>
    </row>
    <row r="1609">
      <c r="CH1609">
        <f>IF(ISTEXT('월 가계부'!A1609),SUBSTITUTE(SUBSTITUTE(SUBSTITUTE(SUBSTITUTE(SUBSTITUTE(SUBSTITUTE(SUBSTITUTE(SUBSTITUTE(SUBSTITUTE(TRIM('월 가계부'!A1609),"년","-"),"월","-"),"일",""),".","-"),"/","-")," ","-"),"--","-"),"--","-"),"--","-")&amp;"-","")</f>
        <v/>
      </c>
      <c r="CI1609">
        <f>IFERROR(IF('월 가계부'!A1609="","",IF(ISNUMBER('월 가계부'!A1609),IF(AND('월 가계부'!A1609&gt;=19000101,'월 가계부'!A1609&lt;=21001231),IF(AND(MOD(INT('월 가계부'!A1609/100),100)&gt;=1,MOD(INT('월 가계부'!A1609/100),100)&lt;=12,MOD(INT('월 가계부'!A1609),100)&gt;=1,MOD(INT('월 가계부'!A1609),100)&lt;=31),IF(MONTH(DATE(INT('월 가계부'!A1609/10000),MOD(INT('월 가계부'!A1609/100),100),MOD(INT('월 가계부'!A1609),100)))=MOD(INT('월 가계부'!A1609/100),100),DATE(INT('월 가계부'!A1609/10000),MOD(INT('월 가계부'!A1609/100),100),MOD(INT('월 가계부'!A1609),100)),""),""),IF(AND('월 가계부'!A1609&gt;=36526,'월 가계부'!A1609&lt;73051),INT('월 가계부'!A1609),"")),IF(OR(CM1609="",CN1609="",CO1609=""),"",IF(AND(CM1609&gt;=2000,CM1609&lt;=2099,CN1609&gt;=1,CN1609&lt;=12,CO1609&gt;=1,CO1609&lt;=31),IF(MONTH(DATE(CM1609,CN1609,CO1609))=CN1609,DATE(CM1609,CN1609,CO1609),""),"")))),"")</f>
        <v/>
      </c>
      <c r="CJ1609">
        <f>IFERROR(IF('월 가계부'!C1609="","",IF(ISNUMBER('월 가계부'!C1609),'월 가계부'!C1609,VALUE(SUBSTITUTE(SUBSTITUTE(SUBSTITUTE(SUBSTITUTE(TRIM('월 가계부'!C1609),",",""),"원","")," ",""),"−","-")))),"")</f>
        <v/>
      </c>
      <c r="CK1609">
        <f>IF(ISNUMBER(CI1609),IF(CI1609&lt;$B$13,CI1609,""),"")</f>
        <v/>
      </c>
      <c r="CM1609">
        <f>IF(CH1609="","",IFERROR(IF(IF(AND(LEN(CH1609)=9,ISERROR(FIND("-",LEFT(CH1609,8))),ISNUMBER(-LEFT(CH1609,8))),VALUE(LEFT(CH1609,4)),VALUE(LEFT(CH1609,FIND("-",CH1609)-1)))&lt;100,IF(AND(LEN(CH1609)=9,ISERROR(FIND("-",LEFT(CH1609,8))),ISNUMBER(-LEFT(CH1609,8))),VALUE(LEFT(CH1609,4)),VALUE(LEFT(CH1609,FIND("-",CH1609)-1)))+2000,IF(AND(LEN(CH1609)=9,ISERROR(FIND("-",LEFT(CH1609,8))),ISNUMBER(-LEFT(CH1609,8))),VALUE(LEFT(CH1609,4)),VALUE(LEFT(CH1609,FIND("-",CH1609)-1)))),""))</f>
        <v/>
      </c>
      <c r="CN1609">
        <f>IF(CH1609="","",IFERROR(IF(AND(LEN(CH1609)=9,ISERROR(FIND("-",LEFT(CH1609,8))),ISNUMBER(-LEFT(CH1609,8))),VALUE(MID(CH1609,5,2)),VALUE(MID(CH1609,FIND("-",CH1609)+1,FIND("-",CH1609,FIND("-",CH1609)+1)-FIND("-",CH1609)-1))),""))</f>
        <v/>
      </c>
      <c r="CO1609">
        <f>IF(CH1609="","",IFERROR(IF(AND(LEN(CH1609)=9,ISERROR(FIND("-",LEFT(CH1609,8))),ISNUMBER(-LEFT(CH1609,8))),VALUE(MID(CH1609,7,2)),VALUE(MID(CH1609,FIND("-",CH1609,FIND("-",CH1609)+1)+1,FIND("-",CH1609,FIND("-",CH1609,FIND("-",CH1609)+1)+1)-FIND("-",CH1609,FIND("-",CH1609)+1)-1))),""))</f>
        <v/>
      </c>
    </row>
    <row r="1610">
      <c r="CH1610">
        <f>IF(ISTEXT('월 가계부'!A1610),SUBSTITUTE(SUBSTITUTE(SUBSTITUTE(SUBSTITUTE(SUBSTITUTE(SUBSTITUTE(SUBSTITUTE(SUBSTITUTE(SUBSTITUTE(TRIM('월 가계부'!A1610),"년","-"),"월","-"),"일",""),".","-"),"/","-")," ","-"),"--","-"),"--","-"),"--","-")&amp;"-","")</f>
        <v/>
      </c>
      <c r="CI1610">
        <f>IFERROR(IF('월 가계부'!A1610="","",IF(ISNUMBER('월 가계부'!A1610),IF(AND('월 가계부'!A1610&gt;=19000101,'월 가계부'!A1610&lt;=21001231),IF(AND(MOD(INT('월 가계부'!A1610/100),100)&gt;=1,MOD(INT('월 가계부'!A1610/100),100)&lt;=12,MOD(INT('월 가계부'!A1610),100)&gt;=1,MOD(INT('월 가계부'!A1610),100)&lt;=31),IF(MONTH(DATE(INT('월 가계부'!A1610/10000),MOD(INT('월 가계부'!A1610/100),100),MOD(INT('월 가계부'!A1610),100)))=MOD(INT('월 가계부'!A1610/100),100),DATE(INT('월 가계부'!A1610/10000),MOD(INT('월 가계부'!A1610/100),100),MOD(INT('월 가계부'!A1610),100)),""),""),IF(AND('월 가계부'!A1610&gt;=36526,'월 가계부'!A1610&lt;73051),INT('월 가계부'!A1610),"")),IF(OR(CM1610="",CN1610="",CO1610=""),"",IF(AND(CM1610&gt;=2000,CM1610&lt;=2099,CN1610&gt;=1,CN1610&lt;=12,CO1610&gt;=1,CO1610&lt;=31),IF(MONTH(DATE(CM1610,CN1610,CO1610))=CN1610,DATE(CM1610,CN1610,CO1610),""),"")))),"")</f>
        <v/>
      </c>
      <c r="CJ1610">
        <f>IFERROR(IF('월 가계부'!C1610="","",IF(ISNUMBER('월 가계부'!C1610),'월 가계부'!C1610,VALUE(SUBSTITUTE(SUBSTITUTE(SUBSTITUTE(SUBSTITUTE(TRIM('월 가계부'!C1610),",",""),"원","")," ",""),"−","-")))),"")</f>
        <v/>
      </c>
      <c r="CK1610">
        <f>IF(ISNUMBER(CI1610),IF(CI1610&lt;$B$13,CI1610,""),"")</f>
        <v/>
      </c>
      <c r="CM1610">
        <f>IF(CH1610="","",IFERROR(IF(IF(AND(LEN(CH1610)=9,ISERROR(FIND("-",LEFT(CH1610,8))),ISNUMBER(-LEFT(CH1610,8))),VALUE(LEFT(CH1610,4)),VALUE(LEFT(CH1610,FIND("-",CH1610)-1)))&lt;100,IF(AND(LEN(CH1610)=9,ISERROR(FIND("-",LEFT(CH1610,8))),ISNUMBER(-LEFT(CH1610,8))),VALUE(LEFT(CH1610,4)),VALUE(LEFT(CH1610,FIND("-",CH1610)-1)))+2000,IF(AND(LEN(CH1610)=9,ISERROR(FIND("-",LEFT(CH1610,8))),ISNUMBER(-LEFT(CH1610,8))),VALUE(LEFT(CH1610,4)),VALUE(LEFT(CH1610,FIND("-",CH1610)-1)))),""))</f>
        <v/>
      </c>
      <c r="CN1610">
        <f>IF(CH1610="","",IFERROR(IF(AND(LEN(CH1610)=9,ISERROR(FIND("-",LEFT(CH1610,8))),ISNUMBER(-LEFT(CH1610,8))),VALUE(MID(CH1610,5,2)),VALUE(MID(CH1610,FIND("-",CH1610)+1,FIND("-",CH1610,FIND("-",CH1610)+1)-FIND("-",CH1610)-1))),""))</f>
        <v/>
      </c>
      <c r="CO1610">
        <f>IF(CH1610="","",IFERROR(IF(AND(LEN(CH1610)=9,ISERROR(FIND("-",LEFT(CH1610,8))),ISNUMBER(-LEFT(CH1610,8))),VALUE(MID(CH1610,7,2)),VALUE(MID(CH1610,FIND("-",CH1610,FIND("-",CH1610)+1)+1,FIND("-",CH1610,FIND("-",CH1610,FIND("-",CH1610)+1)+1)-FIND("-",CH1610,FIND("-",CH1610)+1)-1))),""))</f>
        <v/>
      </c>
    </row>
    <row r="1611">
      <c r="CH1611">
        <f>IF(ISTEXT('월 가계부'!A1611),SUBSTITUTE(SUBSTITUTE(SUBSTITUTE(SUBSTITUTE(SUBSTITUTE(SUBSTITUTE(SUBSTITUTE(SUBSTITUTE(SUBSTITUTE(TRIM('월 가계부'!A1611),"년","-"),"월","-"),"일",""),".","-"),"/","-")," ","-"),"--","-"),"--","-"),"--","-")&amp;"-","")</f>
        <v/>
      </c>
      <c r="CI1611">
        <f>IFERROR(IF('월 가계부'!A1611="","",IF(ISNUMBER('월 가계부'!A1611),IF(AND('월 가계부'!A1611&gt;=19000101,'월 가계부'!A1611&lt;=21001231),IF(AND(MOD(INT('월 가계부'!A1611/100),100)&gt;=1,MOD(INT('월 가계부'!A1611/100),100)&lt;=12,MOD(INT('월 가계부'!A1611),100)&gt;=1,MOD(INT('월 가계부'!A1611),100)&lt;=31),IF(MONTH(DATE(INT('월 가계부'!A1611/10000),MOD(INT('월 가계부'!A1611/100),100),MOD(INT('월 가계부'!A1611),100)))=MOD(INT('월 가계부'!A1611/100),100),DATE(INT('월 가계부'!A1611/10000),MOD(INT('월 가계부'!A1611/100),100),MOD(INT('월 가계부'!A1611),100)),""),""),IF(AND('월 가계부'!A1611&gt;=36526,'월 가계부'!A1611&lt;73051),INT('월 가계부'!A1611),"")),IF(OR(CM1611="",CN1611="",CO1611=""),"",IF(AND(CM1611&gt;=2000,CM1611&lt;=2099,CN1611&gt;=1,CN1611&lt;=12,CO1611&gt;=1,CO1611&lt;=31),IF(MONTH(DATE(CM1611,CN1611,CO1611))=CN1611,DATE(CM1611,CN1611,CO1611),""),"")))),"")</f>
        <v/>
      </c>
      <c r="CJ1611">
        <f>IFERROR(IF('월 가계부'!C1611="","",IF(ISNUMBER('월 가계부'!C1611),'월 가계부'!C1611,VALUE(SUBSTITUTE(SUBSTITUTE(SUBSTITUTE(SUBSTITUTE(TRIM('월 가계부'!C1611),",",""),"원","")," ",""),"−","-")))),"")</f>
        <v/>
      </c>
      <c r="CK1611">
        <f>IF(ISNUMBER(CI1611),IF(CI1611&lt;$B$13,CI1611,""),"")</f>
        <v/>
      </c>
      <c r="CM1611">
        <f>IF(CH1611="","",IFERROR(IF(IF(AND(LEN(CH1611)=9,ISERROR(FIND("-",LEFT(CH1611,8))),ISNUMBER(-LEFT(CH1611,8))),VALUE(LEFT(CH1611,4)),VALUE(LEFT(CH1611,FIND("-",CH1611)-1)))&lt;100,IF(AND(LEN(CH1611)=9,ISERROR(FIND("-",LEFT(CH1611,8))),ISNUMBER(-LEFT(CH1611,8))),VALUE(LEFT(CH1611,4)),VALUE(LEFT(CH1611,FIND("-",CH1611)-1)))+2000,IF(AND(LEN(CH1611)=9,ISERROR(FIND("-",LEFT(CH1611,8))),ISNUMBER(-LEFT(CH1611,8))),VALUE(LEFT(CH1611,4)),VALUE(LEFT(CH1611,FIND("-",CH1611)-1)))),""))</f>
        <v/>
      </c>
      <c r="CN1611">
        <f>IF(CH1611="","",IFERROR(IF(AND(LEN(CH1611)=9,ISERROR(FIND("-",LEFT(CH1611,8))),ISNUMBER(-LEFT(CH1611,8))),VALUE(MID(CH1611,5,2)),VALUE(MID(CH1611,FIND("-",CH1611)+1,FIND("-",CH1611,FIND("-",CH1611)+1)-FIND("-",CH1611)-1))),""))</f>
        <v/>
      </c>
      <c r="CO1611">
        <f>IF(CH1611="","",IFERROR(IF(AND(LEN(CH1611)=9,ISERROR(FIND("-",LEFT(CH1611,8))),ISNUMBER(-LEFT(CH1611,8))),VALUE(MID(CH1611,7,2)),VALUE(MID(CH1611,FIND("-",CH1611,FIND("-",CH1611)+1)+1,FIND("-",CH1611,FIND("-",CH1611,FIND("-",CH1611)+1)+1)-FIND("-",CH1611,FIND("-",CH1611)+1)-1))),""))</f>
        <v/>
      </c>
    </row>
    <row r="1612">
      <c r="CH1612">
        <f>IF(ISTEXT('월 가계부'!A1612),SUBSTITUTE(SUBSTITUTE(SUBSTITUTE(SUBSTITUTE(SUBSTITUTE(SUBSTITUTE(SUBSTITUTE(SUBSTITUTE(SUBSTITUTE(TRIM('월 가계부'!A1612),"년","-"),"월","-"),"일",""),".","-"),"/","-")," ","-"),"--","-"),"--","-"),"--","-")&amp;"-","")</f>
        <v/>
      </c>
      <c r="CI1612">
        <f>IFERROR(IF('월 가계부'!A1612="","",IF(ISNUMBER('월 가계부'!A1612),IF(AND('월 가계부'!A1612&gt;=19000101,'월 가계부'!A1612&lt;=21001231),IF(AND(MOD(INT('월 가계부'!A1612/100),100)&gt;=1,MOD(INT('월 가계부'!A1612/100),100)&lt;=12,MOD(INT('월 가계부'!A1612),100)&gt;=1,MOD(INT('월 가계부'!A1612),100)&lt;=31),IF(MONTH(DATE(INT('월 가계부'!A1612/10000),MOD(INT('월 가계부'!A1612/100),100),MOD(INT('월 가계부'!A1612),100)))=MOD(INT('월 가계부'!A1612/100),100),DATE(INT('월 가계부'!A1612/10000),MOD(INT('월 가계부'!A1612/100),100),MOD(INT('월 가계부'!A1612),100)),""),""),IF(AND('월 가계부'!A1612&gt;=36526,'월 가계부'!A1612&lt;73051),INT('월 가계부'!A1612),"")),IF(OR(CM1612="",CN1612="",CO1612=""),"",IF(AND(CM1612&gt;=2000,CM1612&lt;=2099,CN1612&gt;=1,CN1612&lt;=12,CO1612&gt;=1,CO1612&lt;=31),IF(MONTH(DATE(CM1612,CN1612,CO1612))=CN1612,DATE(CM1612,CN1612,CO1612),""),"")))),"")</f>
        <v/>
      </c>
      <c r="CJ1612">
        <f>IFERROR(IF('월 가계부'!C1612="","",IF(ISNUMBER('월 가계부'!C1612),'월 가계부'!C1612,VALUE(SUBSTITUTE(SUBSTITUTE(SUBSTITUTE(SUBSTITUTE(TRIM('월 가계부'!C1612),",",""),"원","")," ",""),"−","-")))),"")</f>
        <v/>
      </c>
      <c r="CK1612">
        <f>IF(ISNUMBER(CI1612),IF(CI1612&lt;$B$13,CI1612,""),"")</f>
        <v/>
      </c>
      <c r="CM1612">
        <f>IF(CH1612="","",IFERROR(IF(IF(AND(LEN(CH1612)=9,ISERROR(FIND("-",LEFT(CH1612,8))),ISNUMBER(-LEFT(CH1612,8))),VALUE(LEFT(CH1612,4)),VALUE(LEFT(CH1612,FIND("-",CH1612)-1)))&lt;100,IF(AND(LEN(CH1612)=9,ISERROR(FIND("-",LEFT(CH1612,8))),ISNUMBER(-LEFT(CH1612,8))),VALUE(LEFT(CH1612,4)),VALUE(LEFT(CH1612,FIND("-",CH1612)-1)))+2000,IF(AND(LEN(CH1612)=9,ISERROR(FIND("-",LEFT(CH1612,8))),ISNUMBER(-LEFT(CH1612,8))),VALUE(LEFT(CH1612,4)),VALUE(LEFT(CH1612,FIND("-",CH1612)-1)))),""))</f>
        <v/>
      </c>
      <c r="CN1612">
        <f>IF(CH1612="","",IFERROR(IF(AND(LEN(CH1612)=9,ISERROR(FIND("-",LEFT(CH1612,8))),ISNUMBER(-LEFT(CH1612,8))),VALUE(MID(CH1612,5,2)),VALUE(MID(CH1612,FIND("-",CH1612)+1,FIND("-",CH1612,FIND("-",CH1612)+1)-FIND("-",CH1612)-1))),""))</f>
        <v/>
      </c>
      <c r="CO1612">
        <f>IF(CH1612="","",IFERROR(IF(AND(LEN(CH1612)=9,ISERROR(FIND("-",LEFT(CH1612,8))),ISNUMBER(-LEFT(CH1612,8))),VALUE(MID(CH1612,7,2)),VALUE(MID(CH1612,FIND("-",CH1612,FIND("-",CH1612)+1)+1,FIND("-",CH1612,FIND("-",CH1612,FIND("-",CH1612)+1)+1)-FIND("-",CH1612,FIND("-",CH1612)+1)-1))),""))</f>
        <v/>
      </c>
    </row>
    <row r="1613">
      <c r="CH1613">
        <f>IF(ISTEXT('월 가계부'!A1613),SUBSTITUTE(SUBSTITUTE(SUBSTITUTE(SUBSTITUTE(SUBSTITUTE(SUBSTITUTE(SUBSTITUTE(SUBSTITUTE(SUBSTITUTE(TRIM('월 가계부'!A1613),"년","-"),"월","-"),"일",""),".","-"),"/","-")," ","-"),"--","-"),"--","-"),"--","-")&amp;"-","")</f>
        <v/>
      </c>
      <c r="CI1613">
        <f>IFERROR(IF('월 가계부'!A1613="","",IF(ISNUMBER('월 가계부'!A1613),IF(AND('월 가계부'!A1613&gt;=19000101,'월 가계부'!A1613&lt;=21001231),IF(AND(MOD(INT('월 가계부'!A1613/100),100)&gt;=1,MOD(INT('월 가계부'!A1613/100),100)&lt;=12,MOD(INT('월 가계부'!A1613),100)&gt;=1,MOD(INT('월 가계부'!A1613),100)&lt;=31),IF(MONTH(DATE(INT('월 가계부'!A1613/10000),MOD(INT('월 가계부'!A1613/100),100),MOD(INT('월 가계부'!A1613),100)))=MOD(INT('월 가계부'!A1613/100),100),DATE(INT('월 가계부'!A1613/10000),MOD(INT('월 가계부'!A1613/100),100),MOD(INT('월 가계부'!A1613),100)),""),""),IF(AND('월 가계부'!A1613&gt;=36526,'월 가계부'!A1613&lt;73051),INT('월 가계부'!A1613),"")),IF(OR(CM1613="",CN1613="",CO1613=""),"",IF(AND(CM1613&gt;=2000,CM1613&lt;=2099,CN1613&gt;=1,CN1613&lt;=12,CO1613&gt;=1,CO1613&lt;=31),IF(MONTH(DATE(CM1613,CN1613,CO1613))=CN1613,DATE(CM1613,CN1613,CO1613),""),"")))),"")</f>
        <v/>
      </c>
      <c r="CJ1613">
        <f>IFERROR(IF('월 가계부'!C1613="","",IF(ISNUMBER('월 가계부'!C1613),'월 가계부'!C1613,VALUE(SUBSTITUTE(SUBSTITUTE(SUBSTITUTE(SUBSTITUTE(TRIM('월 가계부'!C1613),",",""),"원","")," ",""),"−","-")))),"")</f>
        <v/>
      </c>
      <c r="CK1613">
        <f>IF(ISNUMBER(CI1613),IF(CI1613&lt;$B$13,CI1613,""),"")</f>
        <v/>
      </c>
      <c r="CM1613">
        <f>IF(CH1613="","",IFERROR(IF(IF(AND(LEN(CH1613)=9,ISERROR(FIND("-",LEFT(CH1613,8))),ISNUMBER(-LEFT(CH1613,8))),VALUE(LEFT(CH1613,4)),VALUE(LEFT(CH1613,FIND("-",CH1613)-1)))&lt;100,IF(AND(LEN(CH1613)=9,ISERROR(FIND("-",LEFT(CH1613,8))),ISNUMBER(-LEFT(CH1613,8))),VALUE(LEFT(CH1613,4)),VALUE(LEFT(CH1613,FIND("-",CH1613)-1)))+2000,IF(AND(LEN(CH1613)=9,ISERROR(FIND("-",LEFT(CH1613,8))),ISNUMBER(-LEFT(CH1613,8))),VALUE(LEFT(CH1613,4)),VALUE(LEFT(CH1613,FIND("-",CH1613)-1)))),""))</f>
        <v/>
      </c>
      <c r="CN1613">
        <f>IF(CH1613="","",IFERROR(IF(AND(LEN(CH1613)=9,ISERROR(FIND("-",LEFT(CH1613,8))),ISNUMBER(-LEFT(CH1613,8))),VALUE(MID(CH1613,5,2)),VALUE(MID(CH1613,FIND("-",CH1613)+1,FIND("-",CH1613,FIND("-",CH1613)+1)-FIND("-",CH1613)-1))),""))</f>
        <v/>
      </c>
      <c r="CO1613">
        <f>IF(CH1613="","",IFERROR(IF(AND(LEN(CH1613)=9,ISERROR(FIND("-",LEFT(CH1613,8))),ISNUMBER(-LEFT(CH1613,8))),VALUE(MID(CH1613,7,2)),VALUE(MID(CH1613,FIND("-",CH1613,FIND("-",CH1613)+1)+1,FIND("-",CH1613,FIND("-",CH1613,FIND("-",CH1613)+1)+1)-FIND("-",CH1613,FIND("-",CH1613)+1)-1))),""))</f>
        <v/>
      </c>
    </row>
    <row r="1614">
      <c r="CH1614">
        <f>IF(ISTEXT('월 가계부'!A1614),SUBSTITUTE(SUBSTITUTE(SUBSTITUTE(SUBSTITUTE(SUBSTITUTE(SUBSTITUTE(SUBSTITUTE(SUBSTITUTE(SUBSTITUTE(TRIM('월 가계부'!A1614),"년","-"),"월","-"),"일",""),".","-"),"/","-")," ","-"),"--","-"),"--","-"),"--","-")&amp;"-","")</f>
        <v/>
      </c>
      <c r="CI1614">
        <f>IFERROR(IF('월 가계부'!A1614="","",IF(ISNUMBER('월 가계부'!A1614),IF(AND('월 가계부'!A1614&gt;=19000101,'월 가계부'!A1614&lt;=21001231),IF(AND(MOD(INT('월 가계부'!A1614/100),100)&gt;=1,MOD(INT('월 가계부'!A1614/100),100)&lt;=12,MOD(INT('월 가계부'!A1614),100)&gt;=1,MOD(INT('월 가계부'!A1614),100)&lt;=31),IF(MONTH(DATE(INT('월 가계부'!A1614/10000),MOD(INT('월 가계부'!A1614/100),100),MOD(INT('월 가계부'!A1614),100)))=MOD(INT('월 가계부'!A1614/100),100),DATE(INT('월 가계부'!A1614/10000),MOD(INT('월 가계부'!A1614/100),100),MOD(INT('월 가계부'!A1614),100)),""),""),IF(AND('월 가계부'!A1614&gt;=36526,'월 가계부'!A1614&lt;73051),INT('월 가계부'!A1614),"")),IF(OR(CM1614="",CN1614="",CO1614=""),"",IF(AND(CM1614&gt;=2000,CM1614&lt;=2099,CN1614&gt;=1,CN1614&lt;=12,CO1614&gt;=1,CO1614&lt;=31),IF(MONTH(DATE(CM1614,CN1614,CO1614))=CN1614,DATE(CM1614,CN1614,CO1614),""),"")))),"")</f>
        <v/>
      </c>
      <c r="CJ1614">
        <f>IFERROR(IF('월 가계부'!C1614="","",IF(ISNUMBER('월 가계부'!C1614),'월 가계부'!C1614,VALUE(SUBSTITUTE(SUBSTITUTE(SUBSTITUTE(SUBSTITUTE(TRIM('월 가계부'!C1614),",",""),"원","")," ",""),"−","-")))),"")</f>
        <v/>
      </c>
      <c r="CK1614">
        <f>IF(ISNUMBER(CI1614),IF(CI1614&lt;$B$13,CI1614,""),"")</f>
        <v/>
      </c>
      <c r="CM1614">
        <f>IF(CH1614="","",IFERROR(IF(IF(AND(LEN(CH1614)=9,ISERROR(FIND("-",LEFT(CH1614,8))),ISNUMBER(-LEFT(CH1614,8))),VALUE(LEFT(CH1614,4)),VALUE(LEFT(CH1614,FIND("-",CH1614)-1)))&lt;100,IF(AND(LEN(CH1614)=9,ISERROR(FIND("-",LEFT(CH1614,8))),ISNUMBER(-LEFT(CH1614,8))),VALUE(LEFT(CH1614,4)),VALUE(LEFT(CH1614,FIND("-",CH1614)-1)))+2000,IF(AND(LEN(CH1614)=9,ISERROR(FIND("-",LEFT(CH1614,8))),ISNUMBER(-LEFT(CH1614,8))),VALUE(LEFT(CH1614,4)),VALUE(LEFT(CH1614,FIND("-",CH1614)-1)))),""))</f>
        <v/>
      </c>
      <c r="CN1614">
        <f>IF(CH1614="","",IFERROR(IF(AND(LEN(CH1614)=9,ISERROR(FIND("-",LEFT(CH1614,8))),ISNUMBER(-LEFT(CH1614,8))),VALUE(MID(CH1614,5,2)),VALUE(MID(CH1614,FIND("-",CH1614)+1,FIND("-",CH1614,FIND("-",CH1614)+1)-FIND("-",CH1614)-1))),""))</f>
        <v/>
      </c>
      <c r="CO1614">
        <f>IF(CH1614="","",IFERROR(IF(AND(LEN(CH1614)=9,ISERROR(FIND("-",LEFT(CH1614,8))),ISNUMBER(-LEFT(CH1614,8))),VALUE(MID(CH1614,7,2)),VALUE(MID(CH1614,FIND("-",CH1614,FIND("-",CH1614)+1)+1,FIND("-",CH1614,FIND("-",CH1614,FIND("-",CH1614)+1)+1)-FIND("-",CH1614,FIND("-",CH1614)+1)-1))),""))</f>
        <v/>
      </c>
    </row>
    <row r="1615">
      <c r="CH1615">
        <f>IF(ISTEXT('월 가계부'!A1615),SUBSTITUTE(SUBSTITUTE(SUBSTITUTE(SUBSTITUTE(SUBSTITUTE(SUBSTITUTE(SUBSTITUTE(SUBSTITUTE(SUBSTITUTE(TRIM('월 가계부'!A1615),"년","-"),"월","-"),"일",""),".","-"),"/","-")," ","-"),"--","-"),"--","-"),"--","-")&amp;"-","")</f>
        <v/>
      </c>
      <c r="CI1615">
        <f>IFERROR(IF('월 가계부'!A1615="","",IF(ISNUMBER('월 가계부'!A1615),IF(AND('월 가계부'!A1615&gt;=19000101,'월 가계부'!A1615&lt;=21001231),IF(AND(MOD(INT('월 가계부'!A1615/100),100)&gt;=1,MOD(INT('월 가계부'!A1615/100),100)&lt;=12,MOD(INT('월 가계부'!A1615),100)&gt;=1,MOD(INT('월 가계부'!A1615),100)&lt;=31),IF(MONTH(DATE(INT('월 가계부'!A1615/10000),MOD(INT('월 가계부'!A1615/100),100),MOD(INT('월 가계부'!A1615),100)))=MOD(INT('월 가계부'!A1615/100),100),DATE(INT('월 가계부'!A1615/10000),MOD(INT('월 가계부'!A1615/100),100),MOD(INT('월 가계부'!A1615),100)),""),""),IF(AND('월 가계부'!A1615&gt;=36526,'월 가계부'!A1615&lt;73051),INT('월 가계부'!A1615),"")),IF(OR(CM1615="",CN1615="",CO1615=""),"",IF(AND(CM1615&gt;=2000,CM1615&lt;=2099,CN1615&gt;=1,CN1615&lt;=12,CO1615&gt;=1,CO1615&lt;=31),IF(MONTH(DATE(CM1615,CN1615,CO1615))=CN1615,DATE(CM1615,CN1615,CO1615),""),"")))),"")</f>
        <v/>
      </c>
      <c r="CJ1615">
        <f>IFERROR(IF('월 가계부'!C1615="","",IF(ISNUMBER('월 가계부'!C1615),'월 가계부'!C1615,VALUE(SUBSTITUTE(SUBSTITUTE(SUBSTITUTE(SUBSTITUTE(TRIM('월 가계부'!C1615),",",""),"원","")," ",""),"−","-")))),"")</f>
        <v/>
      </c>
      <c r="CK1615">
        <f>IF(ISNUMBER(CI1615),IF(CI1615&lt;$B$13,CI1615,""),"")</f>
        <v/>
      </c>
      <c r="CM1615">
        <f>IF(CH1615="","",IFERROR(IF(IF(AND(LEN(CH1615)=9,ISERROR(FIND("-",LEFT(CH1615,8))),ISNUMBER(-LEFT(CH1615,8))),VALUE(LEFT(CH1615,4)),VALUE(LEFT(CH1615,FIND("-",CH1615)-1)))&lt;100,IF(AND(LEN(CH1615)=9,ISERROR(FIND("-",LEFT(CH1615,8))),ISNUMBER(-LEFT(CH1615,8))),VALUE(LEFT(CH1615,4)),VALUE(LEFT(CH1615,FIND("-",CH1615)-1)))+2000,IF(AND(LEN(CH1615)=9,ISERROR(FIND("-",LEFT(CH1615,8))),ISNUMBER(-LEFT(CH1615,8))),VALUE(LEFT(CH1615,4)),VALUE(LEFT(CH1615,FIND("-",CH1615)-1)))),""))</f>
        <v/>
      </c>
      <c r="CN1615">
        <f>IF(CH1615="","",IFERROR(IF(AND(LEN(CH1615)=9,ISERROR(FIND("-",LEFT(CH1615,8))),ISNUMBER(-LEFT(CH1615,8))),VALUE(MID(CH1615,5,2)),VALUE(MID(CH1615,FIND("-",CH1615)+1,FIND("-",CH1615,FIND("-",CH1615)+1)-FIND("-",CH1615)-1))),""))</f>
        <v/>
      </c>
      <c r="CO1615">
        <f>IF(CH1615="","",IFERROR(IF(AND(LEN(CH1615)=9,ISERROR(FIND("-",LEFT(CH1615,8))),ISNUMBER(-LEFT(CH1615,8))),VALUE(MID(CH1615,7,2)),VALUE(MID(CH1615,FIND("-",CH1615,FIND("-",CH1615)+1)+1,FIND("-",CH1615,FIND("-",CH1615,FIND("-",CH1615)+1)+1)-FIND("-",CH1615,FIND("-",CH1615)+1)-1))),""))</f>
        <v/>
      </c>
    </row>
    <row r="1616">
      <c r="CH1616">
        <f>IF(ISTEXT('월 가계부'!A1616),SUBSTITUTE(SUBSTITUTE(SUBSTITUTE(SUBSTITUTE(SUBSTITUTE(SUBSTITUTE(SUBSTITUTE(SUBSTITUTE(SUBSTITUTE(TRIM('월 가계부'!A1616),"년","-"),"월","-"),"일",""),".","-"),"/","-")," ","-"),"--","-"),"--","-"),"--","-")&amp;"-","")</f>
        <v/>
      </c>
      <c r="CI1616">
        <f>IFERROR(IF('월 가계부'!A1616="","",IF(ISNUMBER('월 가계부'!A1616),IF(AND('월 가계부'!A1616&gt;=19000101,'월 가계부'!A1616&lt;=21001231),IF(AND(MOD(INT('월 가계부'!A1616/100),100)&gt;=1,MOD(INT('월 가계부'!A1616/100),100)&lt;=12,MOD(INT('월 가계부'!A1616),100)&gt;=1,MOD(INT('월 가계부'!A1616),100)&lt;=31),IF(MONTH(DATE(INT('월 가계부'!A1616/10000),MOD(INT('월 가계부'!A1616/100),100),MOD(INT('월 가계부'!A1616),100)))=MOD(INT('월 가계부'!A1616/100),100),DATE(INT('월 가계부'!A1616/10000),MOD(INT('월 가계부'!A1616/100),100),MOD(INT('월 가계부'!A1616),100)),""),""),IF(AND('월 가계부'!A1616&gt;=36526,'월 가계부'!A1616&lt;73051),INT('월 가계부'!A1616),"")),IF(OR(CM1616="",CN1616="",CO1616=""),"",IF(AND(CM1616&gt;=2000,CM1616&lt;=2099,CN1616&gt;=1,CN1616&lt;=12,CO1616&gt;=1,CO1616&lt;=31),IF(MONTH(DATE(CM1616,CN1616,CO1616))=CN1616,DATE(CM1616,CN1616,CO1616),""),"")))),"")</f>
        <v/>
      </c>
      <c r="CJ1616">
        <f>IFERROR(IF('월 가계부'!C1616="","",IF(ISNUMBER('월 가계부'!C1616),'월 가계부'!C1616,VALUE(SUBSTITUTE(SUBSTITUTE(SUBSTITUTE(SUBSTITUTE(TRIM('월 가계부'!C1616),",",""),"원","")," ",""),"−","-")))),"")</f>
        <v/>
      </c>
      <c r="CK1616">
        <f>IF(ISNUMBER(CI1616),IF(CI1616&lt;$B$13,CI1616,""),"")</f>
        <v/>
      </c>
      <c r="CM1616">
        <f>IF(CH1616="","",IFERROR(IF(IF(AND(LEN(CH1616)=9,ISERROR(FIND("-",LEFT(CH1616,8))),ISNUMBER(-LEFT(CH1616,8))),VALUE(LEFT(CH1616,4)),VALUE(LEFT(CH1616,FIND("-",CH1616)-1)))&lt;100,IF(AND(LEN(CH1616)=9,ISERROR(FIND("-",LEFT(CH1616,8))),ISNUMBER(-LEFT(CH1616,8))),VALUE(LEFT(CH1616,4)),VALUE(LEFT(CH1616,FIND("-",CH1616)-1)))+2000,IF(AND(LEN(CH1616)=9,ISERROR(FIND("-",LEFT(CH1616,8))),ISNUMBER(-LEFT(CH1616,8))),VALUE(LEFT(CH1616,4)),VALUE(LEFT(CH1616,FIND("-",CH1616)-1)))),""))</f>
        <v/>
      </c>
      <c r="CN1616">
        <f>IF(CH1616="","",IFERROR(IF(AND(LEN(CH1616)=9,ISERROR(FIND("-",LEFT(CH1616,8))),ISNUMBER(-LEFT(CH1616,8))),VALUE(MID(CH1616,5,2)),VALUE(MID(CH1616,FIND("-",CH1616)+1,FIND("-",CH1616,FIND("-",CH1616)+1)-FIND("-",CH1616)-1))),""))</f>
        <v/>
      </c>
      <c r="CO1616">
        <f>IF(CH1616="","",IFERROR(IF(AND(LEN(CH1616)=9,ISERROR(FIND("-",LEFT(CH1616,8))),ISNUMBER(-LEFT(CH1616,8))),VALUE(MID(CH1616,7,2)),VALUE(MID(CH1616,FIND("-",CH1616,FIND("-",CH1616)+1)+1,FIND("-",CH1616,FIND("-",CH1616,FIND("-",CH1616)+1)+1)-FIND("-",CH1616,FIND("-",CH1616)+1)-1))),""))</f>
        <v/>
      </c>
    </row>
    <row r="1617">
      <c r="CH1617">
        <f>IF(ISTEXT('월 가계부'!A1617),SUBSTITUTE(SUBSTITUTE(SUBSTITUTE(SUBSTITUTE(SUBSTITUTE(SUBSTITUTE(SUBSTITUTE(SUBSTITUTE(SUBSTITUTE(TRIM('월 가계부'!A1617),"년","-"),"월","-"),"일",""),".","-"),"/","-")," ","-"),"--","-"),"--","-"),"--","-")&amp;"-","")</f>
        <v/>
      </c>
      <c r="CI1617">
        <f>IFERROR(IF('월 가계부'!A1617="","",IF(ISNUMBER('월 가계부'!A1617),IF(AND('월 가계부'!A1617&gt;=19000101,'월 가계부'!A1617&lt;=21001231),IF(AND(MOD(INT('월 가계부'!A1617/100),100)&gt;=1,MOD(INT('월 가계부'!A1617/100),100)&lt;=12,MOD(INT('월 가계부'!A1617),100)&gt;=1,MOD(INT('월 가계부'!A1617),100)&lt;=31),IF(MONTH(DATE(INT('월 가계부'!A1617/10000),MOD(INT('월 가계부'!A1617/100),100),MOD(INT('월 가계부'!A1617),100)))=MOD(INT('월 가계부'!A1617/100),100),DATE(INT('월 가계부'!A1617/10000),MOD(INT('월 가계부'!A1617/100),100),MOD(INT('월 가계부'!A1617),100)),""),""),IF(AND('월 가계부'!A1617&gt;=36526,'월 가계부'!A1617&lt;73051),INT('월 가계부'!A1617),"")),IF(OR(CM1617="",CN1617="",CO1617=""),"",IF(AND(CM1617&gt;=2000,CM1617&lt;=2099,CN1617&gt;=1,CN1617&lt;=12,CO1617&gt;=1,CO1617&lt;=31),IF(MONTH(DATE(CM1617,CN1617,CO1617))=CN1617,DATE(CM1617,CN1617,CO1617),""),"")))),"")</f>
        <v/>
      </c>
      <c r="CJ1617">
        <f>IFERROR(IF('월 가계부'!C1617="","",IF(ISNUMBER('월 가계부'!C1617),'월 가계부'!C1617,VALUE(SUBSTITUTE(SUBSTITUTE(SUBSTITUTE(SUBSTITUTE(TRIM('월 가계부'!C1617),",",""),"원","")," ",""),"−","-")))),"")</f>
        <v/>
      </c>
      <c r="CK1617">
        <f>IF(ISNUMBER(CI1617),IF(CI1617&lt;$B$13,CI1617,""),"")</f>
        <v/>
      </c>
      <c r="CM1617">
        <f>IF(CH1617="","",IFERROR(IF(IF(AND(LEN(CH1617)=9,ISERROR(FIND("-",LEFT(CH1617,8))),ISNUMBER(-LEFT(CH1617,8))),VALUE(LEFT(CH1617,4)),VALUE(LEFT(CH1617,FIND("-",CH1617)-1)))&lt;100,IF(AND(LEN(CH1617)=9,ISERROR(FIND("-",LEFT(CH1617,8))),ISNUMBER(-LEFT(CH1617,8))),VALUE(LEFT(CH1617,4)),VALUE(LEFT(CH1617,FIND("-",CH1617)-1)))+2000,IF(AND(LEN(CH1617)=9,ISERROR(FIND("-",LEFT(CH1617,8))),ISNUMBER(-LEFT(CH1617,8))),VALUE(LEFT(CH1617,4)),VALUE(LEFT(CH1617,FIND("-",CH1617)-1)))),""))</f>
        <v/>
      </c>
      <c r="CN1617">
        <f>IF(CH1617="","",IFERROR(IF(AND(LEN(CH1617)=9,ISERROR(FIND("-",LEFT(CH1617,8))),ISNUMBER(-LEFT(CH1617,8))),VALUE(MID(CH1617,5,2)),VALUE(MID(CH1617,FIND("-",CH1617)+1,FIND("-",CH1617,FIND("-",CH1617)+1)-FIND("-",CH1617)-1))),""))</f>
        <v/>
      </c>
      <c r="CO1617">
        <f>IF(CH1617="","",IFERROR(IF(AND(LEN(CH1617)=9,ISERROR(FIND("-",LEFT(CH1617,8))),ISNUMBER(-LEFT(CH1617,8))),VALUE(MID(CH1617,7,2)),VALUE(MID(CH1617,FIND("-",CH1617,FIND("-",CH1617)+1)+1,FIND("-",CH1617,FIND("-",CH1617,FIND("-",CH1617)+1)+1)-FIND("-",CH1617,FIND("-",CH1617)+1)-1))),""))</f>
        <v/>
      </c>
    </row>
    <row r="1618">
      <c r="CH1618">
        <f>IF(ISTEXT('월 가계부'!A1618),SUBSTITUTE(SUBSTITUTE(SUBSTITUTE(SUBSTITUTE(SUBSTITUTE(SUBSTITUTE(SUBSTITUTE(SUBSTITUTE(SUBSTITUTE(TRIM('월 가계부'!A1618),"년","-"),"월","-"),"일",""),".","-"),"/","-")," ","-"),"--","-"),"--","-"),"--","-")&amp;"-","")</f>
        <v/>
      </c>
      <c r="CI1618">
        <f>IFERROR(IF('월 가계부'!A1618="","",IF(ISNUMBER('월 가계부'!A1618),IF(AND('월 가계부'!A1618&gt;=19000101,'월 가계부'!A1618&lt;=21001231),IF(AND(MOD(INT('월 가계부'!A1618/100),100)&gt;=1,MOD(INT('월 가계부'!A1618/100),100)&lt;=12,MOD(INT('월 가계부'!A1618),100)&gt;=1,MOD(INT('월 가계부'!A1618),100)&lt;=31),IF(MONTH(DATE(INT('월 가계부'!A1618/10000),MOD(INT('월 가계부'!A1618/100),100),MOD(INT('월 가계부'!A1618),100)))=MOD(INT('월 가계부'!A1618/100),100),DATE(INT('월 가계부'!A1618/10000),MOD(INT('월 가계부'!A1618/100),100),MOD(INT('월 가계부'!A1618),100)),""),""),IF(AND('월 가계부'!A1618&gt;=36526,'월 가계부'!A1618&lt;73051),INT('월 가계부'!A1618),"")),IF(OR(CM1618="",CN1618="",CO1618=""),"",IF(AND(CM1618&gt;=2000,CM1618&lt;=2099,CN1618&gt;=1,CN1618&lt;=12,CO1618&gt;=1,CO1618&lt;=31),IF(MONTH(DATE(CM1618,CN1618,CO1618))=CN1618,DATE(CM1618,CN1618,CO1618),""),"")))),"")</f>
        <v/>
      </c>
      <c r="CJ1618">
        <f>IFERROR(IF('월 가계부'!C1618="","",IF(ISNUMBER('월 가계부'!C1618),'월 가계부'!C1618,VALUE(SUBSTITUTE(SUBSTITUTE(SUBSTITUTE(SUBSTITUTE(TRIM('월 가계부'!C1618),",",""),"원","")," ",""),"−","-")))),"")</f>
        <v/>
      </c>
      <c r="CK1618">
        <f>IF(ISNUMBER(CI1618),IF(CI1618&lt;$B$13,CI1618,""),"")</f>
        <v/>
      </c>
      <c r="CM1618">
        <f>IF(CH1618="","",IFERROR(IF(IF(AND(LEN(CH1618)=9,ISERROR(FIND("-",LEFT(CH1618,8))),ISNUMBER(-LEFT(CH1618,8))),VALUE(LEFT(CH1618,4)),VALUE(LEFT(CH1618,FIND("-",CH1618)-1)))&lt;100,IF(AND(LEN(CH1618)=9,ISERROR(FIND("-",LEFT(CH1618,8))),ISNUMBER(-LEFT(CH1618,8))),VALUE(LEFT(CH1618,4)),VALUE(LEFT(CH1618,FIND("-",CH1618)-1)))+2000,IF(AND(LEN(CH1618)=9,ISERROR(FIND("-",LEFT(CH1618,8))),ISNUMBER(-LEFT(CH1618,8))),VALUE(LEFT(CH1618,4)),VALUE(LEFT(CH1618,FIND("-",CH1618)-1)))),""))</f>
        <v/>
      </c>
      <c r="CN1618">
        <f>IF(CH1618="","",IFERROR(IF(AND(LEN(CH1618)=9,ISERROR(FIND("-",LEFT(CH1618,8))),ISNUMBER(-LEFT(CH1618,8))),VALUE(MID(CH1618,5,2)),VALUE(MID(CH1618,FIND("-",CH1618)+1,FIND("-",CH1618,FIND("-",CH1618)+1)-FIND("-",CH1618)-1))),""))</f>
        <v/>
      </c>
      <c r="CO1618">
        <f>IF(CH1618="","",IFERROR(IF(AND(LEN(CH1618)=9,ISERROR(FIND("-",LEFT(CH1618,8))),ISNUMBER(-LEFT(CH1618,8))),VALUE(MID(CH1618,7,2)),VALUE(MID(CH1618,FIND("-",CH1618,FIND("-",CH1618)+1)+1,FIND("-",CH1618,FIND("-",CH1618,FIND("-",CH1618)+1)+1)-FIND("-",CH1618,FIND("-",CH1618)+1)-1))),""))</f>
        <v/>
      </c>
    </row>
    <row r="1619">
      <c r="CH1619">
        <f>IF(ISTEXT('월 가계부'!A1619),SUBSTITUTE(SUBSTITUTE(SUBSTITUTE(SUBSTITUTE(SUBSTITUTE(SUBSTITUTE(SUBSTITUTE(SUBSTITUTE(SUBSTITUTE(TRIM('월 가계부'!A1619),"년","-"),"월","-"),"일",""),".","-"),"/","-")," ","-"),"--","-"),"--","-"),"--","-")&amp;"-","")</f>
        <v/>
      </c>
      <c r="CI1619">
        <f>IFERROR(IF('월 가계부'!A1619="","",IF(ISNUMBER('월 가계부'!A1619),IF(AND('월 가계부'!A1619&gt;=19000101,'월 가계부'!A1619&lt;=21001231),IF(AND(MOD(INT('월 가계부'!A1619/100),100)&gt;=1,MOD(INT('월 가계부'!A1619/100),100)&lt;=12,MOD(INT('월 가계부'!A1619),100)&gt;=1,MOD(INT('월 가계부'!A1619),100)&lt;=31),IF(MONTH(DATE(INT('월 가계부'!A1619/10000),MOD(INT('월 가계부'!A1619/100),100),MOD(INT('월 가계부'!A1619),100)))=MOD(INT('월 가계부'!A1619/100),100),DATE(INT('월 가계부'!A1619/10000),MOD(INT('월 가계부'!A1619/100),100),MOD(INT('월 가계부'!A1619),100)),""),""),IF(AND('월 가계부'!A1619&gt;=36526,'월 가계부'!A1619&lt;73051),INT('월 가계부'!A1619),"")),IF(OR(CM1619="",CN1619="",CO1619=""),"",IF(AND(CM1619&gt;=2000,CM1619&lt;=2099,CN1619&gt;=1,CN1619&lt;=12,CO1619&gt;=1,CO1619&lt;=31),IF(MONTH(DATE(CM1619,CN1619,CO1619))=CN1619,DATE(CM1619,CN1619,CO1619),""),"")))),"")</f>
        <v/>
      </c>
      <c r="CJ1619">
        <f>IFERROR(IF('월 가계부'!C1619="","",IF(ISNUMBER('월 가계부'!C1619),'월 가계부'!C1619,VALUE(SUBSTITUTE(SUBSTITUTE(SUBSTITUTE(SUBSTITUTE(TRIM('월 가계부'!C1619),",",""),"원","")," ",""),"−","-")))),"")</f>
        <v/>
      </c>
      <c r="CK1619">
        <f>IF(ISNUMBER(CI1619),IF(CI1619&lt;$B$13,CI1619,""),"")</f>
        <v/>
      </c>
      <c r="CM1619">
        <f>IF(CH1619="","",IFERROR(IF(IF(AND(LEN(CH1619)=9,ISERROR(FIND("-",LEFT(CH1619,8))),ISNUMBER(-LEFT(CH1619,8))),VALUE(LEFT(CH1619,4)),VALUE(LEFT(CH1619,FIND("-",CH1619)-1)))&lt;100,IF(AND(LEN(CH1619)=9,ISERROR(FIND("-",LEFT(CH1619,8))),ISNUMBER(-LEFT(CH1619,8))),VALUE(LEFT(CH1619,4)),VALUE(LEFT(CH1619,FIND("-",CH1619)-1)))+2000,IF(AND(LEN(CH1619)=9,ISERROR(FIND("-",LEFT(CH1619,8))),ISNUMBER(-LEFT(CH1619,8))),VALUE(LEFT(CH1619,4)),VALUE(LEFT(CH1619,FIND("-",CH1619)-1)))),""))</f>
        <v/>
      </c>
      <c r="CN1619">
        <f>IF(CH1619="","",IFERROR(IF(AND(LEN(CH1619)=9,ISERROR(FIND("-",LEFT(CH1619,8))),ISNUMBER(-LEFT(CH1619,8))),VALUE(MID(CH1619,5,2)),VALUE(MID(CH1619,FIND("-",CH1619)+1,FIND("-",CH1619,FIND("-",CH1619)+1)-FIND("-",CH1619)-1))),""))</f>
        <v/>
      </c>
      <c r="CO1619">
        <f>IF(CH1619="","",IFERROR(IF(AND(LEN(CH1619)=9,ISERROR(FIND("-",LEFT(CH1619,8))),ISNUMBER(-LEFT(CH1619,8))),VALUE(MID(CH1619,7,2)),VALUE(MID(CH1619,FIND("-",CH1619,FIND("-",CH1619)+1)+1,FIND("-",CH1619,FIND("-",CH1619,FIND("-",CH1619)+1)+1)-FIND("-",CH1619,FIND("-",CH1619)+1)-1))),""))</f>
        <v/>
      </c>
    </row>
    <row r="1620">
      <c r="CH1620">
        <f>IF(ISTEXT('월 가계부'!A1620),SUBSTITUTE(SUBSTITUTE(SUBSTITUTE(SUBSTITUTE(SUBSTITUTE(SUBSTITUTE(SUBSTITUTE(SUBSTITUTE(SUBSTITUTE(TRIM('월 가계부'!A1620),"년","-"),"월","-"),"일",""),".","-"),"/","-")," ","-"),"--","-"),"--","-"),"--","-")&amp;"-","")</f>
        <v/>
      </c>
      <c r="CI1620">
        <f>IFERROR(IF('월 가계부'!A1620="","",IF(ISNUMBER('월 가계부'!A1620),IF(AND('월 가계부'!A1620&gt;=19000101,'월 가계부'!A1620&lt;=21001231),IF(AND(MOD(INT('월 가계부'!A1620/100),100)&gt;=1,MOD(INT('월 가계부'!A1620/100),100)&lt;=12,MOD(INT('월 가계부'!A1620),100)&gt;=1,MOD(INT('월 가계부'!A1620),100)&lt;=31),IF(MONTH(DATE(INT('월 가계부'!A1620/10000),MOD(INT('월 가계부'!A1620/100),100),MOD(INT('월 가계부'!A1620),100)))=MOD(INT('월 가계부'!A1620/100),100),DATE(INT('월 가계부'!A1620/10000),MOD(INT('월 가계부'!A1620/100),100),MOD(INT('월 가계부'!A1620),100)),""),""),IF(AND('월 가계부'!A1620&gt;=36526,'월 가계부'!A1620&lt;73051),INT('월 가계부'!A1620),"")),IF(OR(CM1620="",CN1620="",CO1620=""),"",IF(AND(CM1620&gt;=2000,CM1620&lt;=2099,CN1620&gt;=1,CN1620&lt;=12,CO1620&gt;=1,CO1620&lt;=31),IF(MONTH(DATE(CM1620,CN1620,CO1620))=CN1620,DATE(CM1620,CN1620,CO1620),""),"")))),"")</f>
        <v/>
      </c>
      <c r="CJ1620">
        <f>IFERROR(IF('월 가계부'!C1620="","",IF(ISNUMBER('월 가계부'!C1620),'월 가계부'!C1620,VALUE(SUBSTITUTE(SUBSTITUTE(SUBSTITUTE(SUBSTITUTE(TRIM('월 가계부'!C1620),",",""),"원","")," ",""),"−","-")))),"")</f>
        <v/>
      </c>
      <c r="CK1620">
        <f>IF(ISNUMBER(CI1620),IF(CI1620&lt;$B$13,CI1620,""),"")</f>
        <v/>
      </c>
      <c r="CM1620">
        <f>IF(CH1620="","",IFERROR(IF(IF(AND(LEN(CH1620)=9,ISERROR(FIND("-",LEFT(CH1620,8))),ISNUMBER(-LEFT(CH1620,8))),VALUE(LEFT(CH1620,4)),VALUE(LEFT(CH1620,FIND("-",CH1620)-1)))&lt;100,IF(AND(LEN(CH1620)=9,ISERROR(FIND("-",LEFT(CH1620,8))),ISNUMBER(-LEFT(CH1620,8))),VALUE(LEFT(CH1620,4)),VALUE(LEFT(CH1620,FIND("-",CH1620)-1)))+2000,IF(AND(LEN(CH1620)=9,ISERROR(FIND("-",LEFT(CH1620,8))),ISNUMBER(-LEFT(CH1620,8))),VALUE(LEFT(CH1620,4)),VALUE(LEFT(CH1620,FIND("-",CH1620)-1)))),""))</f>
        <v/>
      </c>
      <c r="CN1620">
        <f>IF(CH1620="","",IFERROR(IF(AND(LEN(CH1620)=9,ISERROR(FIND("-",LEFT(CH1620,8))),ISNUMBER(-LEFT(CH1620,8))),VALUE(MID(CH1620,5,2)),VALUE(MID(CH1620,FIND("-",CH1620)+1,FIND("-",CH1620,FIND("-",CH1620)+1)-FIND("-",CH1620)-1))),""))</f>
        <v/>
      </c>
      <c r="CO1620">
        <f>IF(CH1620="","",IFERROR(IF(AND(LEN(CH1620)=9,ISERROR(FIND("-",LEFT(CH1620,8))),ISNUMBER(-LEFT(CH1620,8))),VALUE(MID(CH1620,7,2)),VALUE(MID(CH1620,FIND("-",CH1620,FIND("-",CH1620)+1)+1,FIND("-",CH1620,FIND("-",CH1620,FIND("-",CH1620)+1)+1)-FIND("-",CH1620,FIND("-",CH1620)+1)-1))),""))</f>
        <v/>
      </c>
    </row>
    <row r="1621">
      <c r="CH1621">
        <f>IF(ISTEXT('월 가계부'!A1621),SUBSTITUTE(SUBSTITUTE(SUBSTITUTE(SUBSTITUTE(SUBSTITUTE(SUBSTITUTE(SUBSTITUTE(SUBSTITUTE(SUBSTITUTE(TRIM('월 가계부'!A1621),"년","-"),"월","-"),"일",""),".","-"),"/","-")," ","-"),"--","-"),"--","-"),"--","-")&amp;"-","")</f>
        <v/>
      </c>
      <c r="CI1621">
        <f>IFERROR(IF('월 가계부'!A1621="","",IF(ISNUMBER('월 가계부'!A1621),IF(AND('월 가계부'!A1621&gt;=19000101,'월 가계부'!A1621&lt;=21001231),IF(AND(MOD(INT('월 가계부'!A1621/100),100)&gt;=1,MOD(INT('월 가계부'!A1621/100),100)&lt;=12,MOD(INT('월 가계부'!A1621),100)&gt;=1,MOD(INT('월 가계부'!A1621),100)&lt;=31),IF(MONTH(DATE(INT('월 가계부'!A1621/10000),MOD(INT('월 가계부'!A1621/100),100),MOD(INT('월 가계부'!A1621),100)))=MOD(INT('월 가계부'!A1621/100),100),DATE(INT('월 가계부'!A1621/10000),MOD(INT('월 가계부'!A1621/100),100),MOD(INT('월 가계부'!A1621),100)),""),""),IF(AND('월 가계부'!A1621&gt;=36526,'월 가계부'!A1621&lt;73051),INT('월 가계부'!A1621),"")),IF(OR(CM1621="",CN1621="",CO1621=""),"",IF(AND(CM1621&gt;=2000,CM1621&lt;=2099,CN1621&gt;=1,CN1621&lt;=12,CO1621&gt;=1,CO1621&lt;=31),IF(MONTH(DATE(CM1621,CN1621,CO1621))=CN1621,DATE(CM1621,CN1621,CO1621),""),"")))),"")</f>
        <v/>
      </c>
      <c r="CJ1621">
        <f>IFERROR(IF('월 가계부'!C1621="","",IF(ISNUMBER('월 가계부'!C1621),'월 가계부'!C1621,VALUE(SUBSTITUTE(SUBSTITUTE(SUBSTITUTE(SUBSTITUTE(TRIM('월 가계부'!C1621),",",""),"원","")," ",""),"−","-")))),"")</f>
        <v/>
      </c>
      <c r="CK1621">
        <f>IF(ISNUMBER(CI1621),IF(CI1621&lt;$B$13,CI1621,""),"")</f>
        <v/>
      </c>
      <c r="CM1621">
        <f>IF(CH1621="","",IFERROR(IF(IF(AND(LEN(CH1621)=9,ISERROR(FIND("-",LEFT(CH1621,8))),ISNUMBER(-LEFT(CH1621,8))),VALUE(LEFT(CH1621,4)),VALUE(LEFT(CH1621,FIND("-",CH1621)-1)))&lt;100,IF(AND(LEN(CH1621)=9,ISERROR(FIND("-",LEFT(CH1621,8))),ISNUMBER(-LEFT(CH1621,8))),VALUE(LEFT(CH1621,4)),VALUE(LEFT(CH1621,FIND("-",CH1621)-1)))+2000,IF(AND(LEN(CH1621)=9,ISERROR(FIND("-",LEFT(CH1621,8))),ISNUMBER(-LEFT(CH1621,8))),VALUE(LEFT(CH1621,4)),VALUE(LEFT(CH1621,FIND("-",CH1621)-1)))),""))</f>
        <v/>
      </c>
      <c r="CN1621">
        <f>IF(CH1621="","",IFERROR(IF(AND(LEN(CH1621)=9,ISERROR(FIND("-",LEFT(CH1621,8))),ISNUMBER(-LEFT(CH1621,8))),VALUE(MID(CH1621,5,2)),VALUE(MID(CH1621,FIND("-",CH1621)+1,FIND("-",CH1621,FIND("-",CH1621)+1)-FIND("-",CH1621)-1))),""))</f>
        <v/>
      </c>
      <c r="CO1621">
        <f>IF(CH1621="","",IFERROR(IF(AND(LEN(CH1621)=9,ISERROR(FIND("-",LEFT(CH1621,8))),ISNUMBER(-LEFT(CH1621,8))),VALUE(MID(CH1621,7,2)),VALUE(MID(CH1621,FIND("-",CH1621,FIND("-",CH1621)+1)+1,FIND("-",CH1621,FIND("-",CH1621,FIND("-",CH1621)+1)+1)-FIND("-",CH1621,FIND("-",CH1621)+1)-1))),""))</f>
        <v/>
      </c>
    </row>
    <row r="1622">
      <c r="CH1622">
        <f>IF(ISTEXT('월 가계부'!A1622),SUBSTITUTE(SUBSTITUTE(SUBSTITUTE(SUBSTITUTE(SUBSTITUTE(SUBSTITUTE(SUBSTITUTE(SUBSTITUTE(SUBSTITUTE(TRIM('월 가계부'!A1622),"년","-"),"월","-"),"일",""),".","-"),"/","-")," ","-"),"--","-"),"--","-"),"--","-")&amp;"-","")</f>
        <v/>
      </c>
      <c r="CI1622">
        <f>IFERROR(IF('월 가계부'!A1622="","",IF(ISNUMBER('월 가계부'!A1622),IF(AND('월 가계부'!A1622&gt;=19000101,'월 가계부'!A1622&lt;=21001231),IF(AND(MOD(INT('월 가계부'!A1622/100),100)&gt;=1,MOD(INT('월 가계부'!A1622/100),100)&lt;=12,MOD(INT('월 가계부'!A1622),100)&gt;=1,MOD(INT('월 가계부'!A1622),100)&lt;=31),IF(MONTH(DATE(INT('월 가계부'!A1622/10000),MOD(INT('월 가계부'!A1622/100),100),MOD(INT('월 가계부'!A1622),100)))=MOD(INT('월 가계부'!A1622/100),100),DATE(INT('월 가계부'!A1622/10000),MOD(INT('월 가계부'!A1622/100),100),MOD(INT('월 가계부'!A1622),100)),""),""),IF(AND('월 가계부'!A1622&gt;=36526,'월 가계부'!A1622&lt;73051),INT('월 가계부'!A1622),"")),IF(OR(CM1622="",CN1622="",CO1622=""),"",IF(AND(CM1622&gt;=2000,CM1622&lt;=2099,CN1622&gt;=1,CN1622&lt;=12,CO1622&gt;=1,CO1622&lt;=31),IF(MONTH(DATE(CM1622,CN1622,CO1622))=CN1622,DATE(CM1622,CN1622,CO1622),""),"")))),"")</f>
        <v/>
      </c>
      <c r="CJ1622">
        <f>IFERROR(IF('월 가계부'!C1622="","",IF(ISNUMBER('월 가계부'!C1622),'월 가계부'!C1622,VALUE(SUBSTITUTE(SUBSTITUTE(SUBSTITUTE(SUBSTITUTE(TRIM('월 가계부'!C1622),",",""),"원","")," ",""),"−","-")))),"")</f>
        <v/>
      </c>
      <c r="CK1622">
        <f>IF(ISNUMBER(CI1622),IF(CI1622&lt;$B$13,CI1622,""),"")</f>
        <v/>
      </c>
      <c r="CM1622">
        <f>IF(CH1622="","",IFERROR(IF(IF(AND(LEN(CH1622)=9,ISERROR(FIND("-",LEFT(CH1622,8))),ISNUMBER(-LEFT(CH1622,8))),VALUE(LEFT(CH1622,4)),VALUE(LEFT(CH1622,FIND("-",CH1622)-1)))&lt;100,IF(AND(LEN(CH1622)=9,ISERROR(FIND("-",LEFT(CH1622,8))),ISNUMBER(-LEFT(CH1622,8))),VALUE(LEFT(CH1622,4)),VALUE(LEFT(CH1622,FIND("-",CH1622)-1)))+2000,IF(AND(LEN(CH1622)=9,ISERROR(FIND("-",LEFT(CH1622,8))),ISNUMBER(-LEFT(CH1622,8))),VALUE(LEFT(CH1622,4)),VALUE(LEFT(CH1622,FIND("-",CH1622)-1)))),""))</f>
        <v/>
      </c>
      <c r="CN1622">
        <f>IF(CH1622="","",IFERROR(IF(AND(LEN(CH1622)=9,ISERROR(FIND("-",LEFT(CH1622,8))),ISNUMBER(-LEFT(CH1622,8))),VALUE(MID(CH1622,5,2)),VALUE(MID(CH1622,FIND("-",CH1622)+1,FIND("-",CH1622,FIND("-",CH1622)+1)-FIND("-",CH1622)-1))),""))</f>
        <v/>
      </c>
      <c r="CO1622">
        <f>IF(CH1622="","",IFERROR(IF(AND(LEN(CH1622)=9,ISERROR(FIND("-",LEFT(CH1622,8))),ISNUMBER(-LEFT(CH1622,8))),VALUE(MID(CH1622,7,2)),VALUE(MID(CH1622,FIND("-",CH1622,FIND("-",CH1622)+1)+1,FIND("-",CH1622,FIND("-",CH1622,FIND("-",CH1622)+1)+1)-FIND("-",CH1622,FIND("-",CH1622)+1)-1))),""))</f>
        <v/>
      </c>
    </row>
    <row r="1623">
      <c r="CH1623">
        <f>IF(ISTEXT('월 가계부'!A1623),SUBSTITUTE(SUBSTITUTE(SUBSTITUTE(SUBSTITUTE(SUBSTITUTE(SUBSTITUTE(SUBSTITUTE(SUBSTITUTE(SUBSTITUTE(TRIM('월 가계부'!A1623),"년","-"),"월","-"),"일",""),".","-"),"/","-")," ","-"),"--","-"),"--","-"),"--","-")&amp;"-","")</f>
        <v/>
      </c>
      <c r="CI1623">
        <f>IFERROR(IF('월 가계부'!A1623="","",IF(ISNUMBER('월 가계부'!A1623),IF(AND('월 가계부'!A1623&gt;=19000101,'월 가계부'!A1623&lt;=21001231),IF(AND(MOD(INT('월 가계부'!A1623/100),100)&gt;=1,MOD(INT('월 가계부'!A1623/100),100)&lt;=12,MOD(INT('월 가계부'!A1623),100)&gt;=1,MOD(INT('월 가계부'!A1623),100)&lt;=31),IF(MONTH(DATE(INT('월 가계부'!A1623/10000),MOD(INT('월 가계부'!A1623/100),100),MOD(INT('월 가계부'!A1623),100)))=MOD(INT('월 가계부'!A1623/100),100),DATE(INT('월 가계부'!A1623/10000),MOD(INT('월 가계부'!A1623/100),100),MOD(INT('월 가계부'!A1623),100)),""),""),IF(AND('월 가계부'!A1623&gt;=36526,'월 가계부'!A1623&lt;73051),INT('월 가계부'!A1623),"")),IF(OR(CM1623="",CN1623="",CO1623=""),"",IF(AND(CM1623&gt;=2000,CM1623&lt;=2099,CN1623&gt;=1,CN1623&lt;=12,CO1623&gt;=1,CO1623&lt;=31),IF(MONTH(DATE(CM1623,CN1623,CO1623))=CN1623,DATE(CM1623,CN1623,CO1623),""),"")))),"")</f>
        <v/>
      </c>
      <c r="CJ1623">
        <f>IFERROR(IF('월 가계부'!C1623="","",IF(ISNUMBER('월 가계부'!C1623),'월 가계부'!C1623,VALUE(SUBSTITUTE(SUBSTITUTE(SUBSTITUTE(SUBSTITUTE(TRIM('월 가계부'!C1623),",",""),"원","")," ",""),"−","-")))),"")</f>
        <v/>
      </c>
      <c r="CK1623">
        <f>IF(ISNUMBER(CI1623),IF(CI1623&lt;$B$13,CI1623,""),"")</f>
        <v/>
      </c>
      <c r="CM1623">
        <f>IF(CH1623="","",IFERROR(IF(IF(AND(LEN(CH1623)=9,ISERROR(FIND("-",LEFT(CH1623,8))),ISNUMBER(-LEFT(CH1623,8))),VALUE(LEFT(CH1623,4)),VALUE(LEFT(CH1623,FIND("-",CH1623)-1)))&lt;100,IF(AND(LEN(CH1623)=9,ISERROR(FIND("-",LEFT(CH1623,8))),ISNUMBER(-LEFT(CH1623,8))),VALUE(LEFT(CH1623,4)),VALUE(LEFT(CH1623,FIND("-",CH1623)-1)))+2000,IF(AND(LEN(CH1623)=9,ISERROR(FIND("-",LEFT(CH1623,8))),ISNUMBER(-LEFT(CH1623,8))),VALUE(LEFT(CH1623,4)),VALUE(LEFT(CH1623,FIND("-",CH1623)-1)))),""))</f>
        <v/>
      </c>
      <c r="CN1623">
        <f>IF(CH1623="","",IFERROR(IF(AND(LEN(CH1623)=9,ISERROR(FIND("-",LEFT(CH1623,8))),ISNUMBER(-LEFT(CH1623,8))),VALUE(MID(CH1623,5,2)),VALUE(MID(CH1623,FIND("-",CH1623)+1,FIND("-",CH1623,FIND("-",CH1623)+1)-FIND("-",CH1623)-1))),""))</f>
        <v/>
      </c>
      <c r="CO1623">
        <f>IF(CH1623="","",IFERROR(IF(AND(LEN(CH1623)=9,ISERROR(FIND("-",LEFT(CH1623,8))),ISNUMBER(-LEFT(CH1623,8))),VALUE(MID(CH1623,7,2)),VALUE(MID(CH1623,FIND("-",CH1623,FIND("-",CH1623)+1)+1,FIND("-",CH1623,FIND("-",CH1623,FIND("-",CH1623)+1)+1)-FIND("-",CH1623,FIND("-",CH1623)+1)-1))),""))</f>
        <v/>
      </c>
    </row>
    <row r="1624">
      <c r="CH1624">
        <f>IF(ISTEXT('월 가계부'!A1624),SUBSTITUTE(SUBSTITUTE(SUBSTITUTE(SUBSTITUTE(SUBSTITUTE(SUBSTITUTE(SUBSTITUTE(SUBSTITUTE(SUBSTITUTE(TRIM('월 가계부'!A1624),"년","-"),"월","-"),"일",""),".","-"),"/","-")," ","-"),"--","-"),"--","-"),"--","-")&amp;"-","")</f>
        <v/>
      </c>
      <c r="CI1624">
        <f>IFERROR(IF('월 가계부'!A1624="","",IF(ISNUMBER('월 가계부'!A1624),IF(AND('월 가계부'!A1624&gt;=19000101,'월 가계부'!A1624&lt;=21001231),IF(AND(MOD(INT('월 가계부'!A1624/100),100)&gt;=1,MOD(INT('월 가계부'!A1624/100),100)&lt;=12,MOD(INT('월 가계부'!A1624),100)&gt;=1,MOD(INT('월 가계부'!A1624),100)&lt;=31),IF(MONTH(DATE(INT('월 가계부'!A1624/10000),MOD(INT('월 가계부'!A1624/100),100),MOD(INT('월 가계부'!A1624),100)))=MOD(INT('월 가계부'!A1624/100),100),DATE(INT('월 가계부'!A1624/10000),MOD(INT('월 가계부'!A1624/100),100),MOD(INT('월 가계부'!A1624),100)),""),""),IF(AND('월 가계부'!A1624&gt;=36526,'월 가계부'!A1624&lt;73051),INT('월 가계부'!A1624),"")),IF(OR(CM1624="",CN1624="",CO1624=""),"",IF(AND(CM1624&gt;=2000,CM1624&lt;=2099,CN1624&gt;=1,CN1624&lt;=12,CO1624&gt;=1,CO1624&lt;=31),IF(MONTH(DATE(CM1624,CN1624,CO1624))=CN1624,DATE(CM1624,CN1624,CO1624),""),"")))),"")</f>
        <v/>
      </c>
      <c r="CJ1624">
        <f>IFERROR(IF('월 가계부'!C1624="","",IF(ISNUMBER('월 가계부'!C1624),'월 가계부'!C1624,VALUE(SUBSTITUTE(SUBSTITUTE(SUBSTITUTE(SUBSTITUTE(TRIM('월 가계부'!C1624),",",""),"원","")," ",""),"−","-")))),"")</f>
        <v/>
      </c>
      <c r="CK1624">
        <f>IF(ISNUMBER(CI1624),IF(CI1624&lt;$B$13,CI1624,""),"")</f>
        <v/>
      </c>
      <c r="CM1624">
        <f>IF(CH1624="","",IFERROR(IF(IF(AND(LEN(CH1624)=9,ISERROR(FIND("-",LEFT(CH1624,8))),ISNUMBER(-LEFT(CH1624,8))),VALUE(LEFT(CH1624,4)),VALUE(LEFT(CH1624,FIND("-",CH1624)-1)))&lt;100,IF(AND(LEN(CH1624)=9,ISERROR(FIND("-",LEFT(CH1624,8))),ISNUMBER(-LEFT(CH1624,8))),VALUE(LEFT(CH1624,4)),VALUE(LEFT(CH1624,FIND("-",CH1624)-1)))+2000,IF(AND(LEN(CH1624)=9,ISERROR(FIND("-",LEFT(CH1624,8))),ISNUMBER(-LEFT(CH1624,8))),VALUE(LEFT(CH1624,4)),VALUE(LEFT(CH1624,FIND("-",CH1624)-1)))),""))</f>
        <v/>
      </c>
      <c r="CN1624">
        <f>IF(CH1624="","",IFERROR(IF(AND(LEN(CH1624)=9,ISERROR(FIND("-",LEFT(CH1624,8))),ISNUMBER(-LEFT(CH1624,8))),VALUE(MID(CH1624,5,2)),VALUE(MID(CH1624,FIND("-",CH1624)+1,FIND("-",CH1624,FIND("-",CH1624)+1)-FIND("-",CH1624)-1))),""))</f>
        <v/>
      </c>
      <c r="CO1624">
        <f>IF(CH1624="","",IFERROR(IF(AND(LEN(CH1624)=9,ISERROR(FIND("-",LEFT(CH1624,8))),ISNUMBER(-LEFT(CH1624,8))),VALUE(MID(CH1624,7,2)),VALUE(MID(CH1624,FIND("-",CH1624,FIND("-",CH1624)+1)+1,FIND("-",CH1624,FIND("-",CH1624,FIND("-",CH1624)+1)+1)-FIND("-",CH1624,FIND("-",CH1624)+1)-1))),""))</f>
        <v/>
      </c>
    </row>
    <row r="1625">
      <c r="CH1625">
        <f>IF(ISTEXT('월 가계부'!A1625),SUBSTITUTE(SUBSTITUTE(SUBSTITUTE(SUBSTITUTE(SUBSTITUTE(SUBSTITUTE(SUBSTITUTE(SUBSTITUTE(SUBSTITUTE(TRIM('월 가계부'!A1625),"년","-"),"월","-"),"일",""),".","-"),"/","-")," ","-"),"--","-"),"--","-"),"--","-")&amp;"-","")</f>
        <v/>
      </c>
      <c r="CI1625">
        <f>IFERROR(IF('월 가계부'!A1625="","",IF(ISNUMBER('월 가계부'!A1625),IF(AND('월 가계부'!A1625&gt;=19000101,'월 가계부'!A1625&lt;=21001231),IF(AND(MOD(INT('월 가계부'!A1625/100),100)&gt;=1,MOD(INT('월 가계부'!A1625/100),100)&lt;=12,MOD(INT('월 가계부'!A1625),100)&gt;=1,MOD(INT('월 가계부'!A1625),100)&lt;=31),IF(MONTH(DATE(INT('월 가계부'!A1625/10000),MOD(INT('월 가계부'!A1625/100),100),MOD(INT('월 가계부'!A1625),100)))=MOD(INT('월 가계부'!A1625/100),100),DATE(INT('월 가계부'!A1625/10000),MOD(INT('월 가계부'!A1625/100),100),MOD(INT('월 가계부'!A1625),100)),""),""),IF(AND('월 가계부'!A1625&gt;=36526,'월 가계부'!A1625&lt;73051),INT('월 가계부'!A1625),"")),IF(OR(CM1625="",CN1625="",CO1625=""),"",IF(AND(CM1625&gt;=2000,CM1625&lt;=2099,CN1625&gt;=1,CN1625&lt;=12,CO1625&gt;=1,CO1625&lt;=31),IF(MONTH(DATE(CM1625,CN1625,CO1625))=CN1625,DATE(CM1625,CN1625,CO1625),""),"")))),"")</f>
        <v/>
      </c>
      <c r="CJ1625">
        <f>IFERROR(IF('월 가계부'!C1625="","",IF(ISNUMBER('월 가계부'!C1625),'월 가계부'!C1625,VALUE(SUBSTITUTE(SUBSTITUTE(SUBSTITUTE(SUBSTITUTE(TRIM('월 가계부'!C1625),",",""),"원","")," ",""),"−","-")))),"")</f>
        <v/>
      </c>
      <c r="CK1625">
        <f>IF(ISNUMBER(CI1625),IF(CI1625&lt;$B$13,CI1625,""),"")</f>
        <v/>
      </c>
      <c r="CM1625">
        <f>IF(CH1625="","",IFERROR(IF(IF(AND(LEN(CH1625)=9,ISERROR(FIND("-",LEFT(CH1625,8))),ISNUMBER(-LEFT(CH1625,8))),VALUE(LEFT(CH1625,4)),VALUE(LEFT(CH1625,FIND("-",CH1625)-1)))&lt;100,IF(AND(LEN(CH1625)=9,ISERROR(FIND("-",LEFT(CH1625,8))),ISNUMBER(-LEFT(CH1625,8))),VALUE(LEFT(CH1625,4)),VALUE(LEFT(CH1625,FIND("-",CH1625)-1)))+2000,IF(AND(LEN(CH1625)=9,ISERROR(FIND("-",LEFT(CH1625,8))),ISNUMBER(-LEFT(CH1625,8))),VALUE(LEFT(CH1625,4)),VALUE(LEFT(CH1625,FIND("-",CH1625)-1)))),""))</f>
        <v/>
      </c>
      <c r="CN1625">
        <f>IF(CH1625="","",IFERROR(IF(AND(LEN(CH1625)=9,ISERROR(FIND("-",LEFT(CH1625,8))),ISNUMBER(-LEFT(CH1625,8))),VALUE(MID(CH1625,5,2)),VALUE(MID(CH1625,FIND("-",CH1625)+1,FIND("-",CH1625,FIND("-",CH1625)+1)-FIND("-",CH1625)-1))),""))</f>
        <v/>
      </c>
      <c r="CO1625">
        <f>IF(CH1625="","",IFERROR(IF(AND(LEN(CH1625)=9,ISERROR(FIND("-",LEFT(CH1625,8))),ISNUMBER(-LEFT(CH1625,8))),VALUE(MID(CH1625,7,2)),VALUE(MID(CH1625,FIND("-",CH1625,FIND("-",CH1625)+1)+1,FIND("-",CH1625,FIND("-",CH1625,FIND("-",CH1625)+1)+1)-FIND("-",CH1625,FIND("-",CH1625)+1)-1))),""))</f>
        <v/>
      </c>
    </row>
    <row r="1626">
      <c r="CH1626">
        <f>IF(ISTEXT('월 가계부'!A1626),SUBSTITUTE(SUBSTITUTE(SUBSTITUTE(SUBSTITUTE(SUBSTITUTE(SUBSTITUTE(SUBSTITUTE(SUBSTITUTE(SUBSTITUTE(TRIM('월 가계부'!A1626),"년","-"),"월","-"),"일",""),".","-"),"/","-")," ","-"),"--","-"),"--","-"),"--","-")&amp;"-","")</f>
        <v/>
      </c>
      <c r="CI1626">
        <f>IFERROR(IF('월 가계부'!A1626="","",IF(ISNUMBER('월 가계부'!A1626),IF(AND('월 가계부'!A1626&gt;=19000101,'월 가계부'!A1626&lt;=21001231),IF(AND(MOD(INT('월 가계부'!A1626/100),100)&gt;=1,MOD(INT('월 가계부'!A1626/100),100)&lt;=12,MOD(INT('월 가계부'!A1626),100)&gt;=1,MOD(INT('월 가계부'!A1626),100)&lt;=31),IF(MONTH(DATE(INT('월 가계부'!A1626/10000),MOD(INT('월 가계부'!A1626/100),100),MOD(INT('월 가계부'!A1626),100)))=MOD(INT('월 가계부'!A1626/100),100),DATE(INT('월 가계부'!A1626/10000),MOD(INT('월 가계부'!A1626/100),100),MOD(INT('월 가계부'!A1626),100)),""),""),IF(AND('월 가계부'!A1626&gt;=36526,'월 가계부'!A1626&lt;73051),INT('월 가계부'!A1626),"")),IF(OR(CM1626="",CN1626="",CO1626=""),"",IF(AND(CM1626&gt;=2000,CM1626&lt;=2099,CN1626&gt;=1,CN1626&lt;=12,CO1626&gt;=1,CO1626&lt;=31),IF(MONTH(DATE(CM1626,CN1626,CO1626))=CN1626,DATE(CM1626,CN1626,CO1626),""),"")))),"")</f>
        <v/>
      </c>
      <c r="CJ1626">
        <f>IFERROR(IF('월 가계부'!C1626="","",IF(ISNUMBER('월 가계부'!C1626),'월 가계부'!C1626,VALUE(SUBSTITUTE(SUBSTITUTE(SUBSTITUTE(SUBSTITUTE(TRIM('월 가계부'!C1626),",",""),"원","")," ",""),"−","-")))),"")</f>
        <v/>
      </c>
      <c r="CK1626">
        <f>IF(ISNUMBER(CI1626),IF(CI1626&lt;$B$13,CI1626,""),"")</f>
        <v/>
      </c>
      <c r="CM1626">
        <f>IF(CH1626="","",IFERROR(IF(IF(AND(LEN(CH1626)=9,ISERROR(FIND("-",LEFT(CH1626,8))),ISNUMBER(-LEFT(CH1626,8))),VALUE(LEFT(CH1626,4)),VALUE(LEFT(CH1626,FIND("-",CH1626)-1)))&lt;100,IF(AND(LEN(CH1626)=9,ISERROR(FIND("-",LEFT(CH1626,8))),ISNUMBER(-LEFT(CH1626,8))),VALUE(LEFT(CH1626,4)),VALUE(LEFT(CH1626,FIND("-",CH1626)-1)))+2000,IF(AND(LEN(CH1626)=9,ISERROR(FIND("-",LEFT(CH1626,8))),ISNUMBER(-LEFT(CH1626,8))),VALUE(LEFT(CH1626,4)),VALUE(LEFT(CH1626,FIND("-",CH1626)-1)))),""))</f>
        <v/>
      </c>
      <c r="CN1626">
        <f>IF(CH1626="","",IFERROR(IF(AND(LEN(CH1626)=9,ISERROR(FIND("-",LEFT(CH1626,8))),ISNUMBER(-LEFT(CH1626,8))),VALUE(MID(CH1626,5,2)),VALUE(MID(CH1626,FIND("-",CH1626)+1,FIND("-",CH1626,FIND("-",CH1626)+1)-FIND("-",CH1626)-1))),""))</f>
        <v/>
      </c>
      <c r="CO1626">
        <f>IF(CH1626="","",IFERROR(IF(AND(LEN(CH1626)=9,ISERROR(FIND("-",LEFT(CH1626,8))),ISNUMBER(-LEFT(CH1626,8))),VALUE(MID(CH1626,7,2)),VALUE(MID(CH1626,FIND("-",CH1626,FIND("-",CH1626)+1)+1,FIND("-",CH1626,FIND("-",CH1626,FIND("-",CH1626)+1)+1)-FIND("-",CH1626,FIND("-",CH1626)+1)-1))),""))</f>
        <v/>
      </c>
    </row>
    <row r="1627">
      <c r="CH1627">
        <f>IF(ISTEXT('월 가계부'!A1627),SUBSTITUTE(SUBSTITUTE(SUBSTITUTE(SUBSTITUTE(SUBSTITUTE(SUBSTITUTE(SUBSTITUTE(SUBSTITUTE(SUBSTITUTE(TRIM('월 가계부'!A1627),"년","-"),"월","-"),"일",""),".","-"),"/","-")," ","-"),"--","-"),"--","-"),"--","-")&amp;"-","")</f>
        <v/>
      </c>
      <c r="CI1627">
        <f>IFERROR(IF('월 가계부'!A1627="","",IF(ISNUMBER('월 가계부'!A1627),IF(AND('월 가계부'!A1627&gt;=19000101,'월 가계부'!A1627&lt;=21001231),IF(AND(MOD(INT('월 가계부'!A1627/100),100)&gt;=1,MOD(INT('월 가계부'!A1627/100),100)&lt;=12,MOD(INT('월 가계부'!A1627),100)&gt;=1,MOD(INT('월 가계부'!A1627),100)&lt;=31),IF(MONTH(DATE(INT('월 가계부'!A1627/10000),MOD(INT('월 가계부'!A1627/100),100),MOD(INT('월 가계부'!A1627),100)))=MOD(INT('월 가계부'!A1627/100),100),DATE(INT('월 가계부'!A1627/10000),MOD(INT('월 가계부'!A1627/100),100),MOD(INT('월 가계부'!A1627),100)),""),""),IF(AND('월 가계부'!A1627&gt;=36526,'월 가계부'!A1627&lt;73051),INT('월 가계부'!A1627),"")),IF(OR(CM1627="",CN1627="",CO1627=""),"",IF(AND(CM1627&gt;=2000,CM1627&lt;=2099,CN1627&gt;=1,CN1627&lt;=12,CO1627&gt;=1,CO1627&lt;=31),IF(MONTH(DATE(CM1627,CN1627,CO1627))=CN1627,DATE(CM1627,CN1627,CO1627),""),"")))),"")</f>
        <v/>
      </c>
      <c r="CJ1627">
        <f>IFERROR(IF('월 가계부'!C1627="","",IF(ISNUMBER('월 가계부'!C1627),'월 가계부'!C1627,VALUE(SUBSTITUTE(SUBSTITUTE(SUBSTITUTE(SUBSTITUTE(TRIM('월 가계부'!C1627),",",""),"원","")," ",""),"−","-")))),"")</f>
        <v/>
      </c>
      <c r="CK1627">
        <f>IF(ISNUMBER(CI1627),IF(CI1627&lt;$B$13,CI1627,""),"")</f>
        <v/>
      </c>
      <c r="CM1627">
        <f>IF(CH1627="","",IFERROR(IF(IF(AND(LEN(CH1627)=9,ISERROR(FIND("-",LEFT(CH1627,8))),ISNUMBER(-LEFT(CH1627,8))),VALUE(LEFT(CH1627,4)),VALUE(LEFT(CH1627,FIND("-",CH1627)-1)))&lt;100,IF(AND(LEN(CH1627)=9,ISERROR(FIND("-",LEFT(CH1627,8))),ISNUMBER(-LEFT(CH1627,8))),VALUE(LEFT(CH1627,4)),VALUE(LEFT(CH1627,FIND("-",CH1627)-1)))+2000,IF(AND(LEN(CH1627)=9,ISERROR(FIND("-",LEFT(CH1627,8))),ISNUMBER(-LEFT(CH1627,8))),VALUE(LEFT(CH1627,4)),VALUE(LEFT(CH1627,FIND("-",CH1627)-1)))),""))</f>
        <v/>
      </c>
      <c r="CN1627">
        <f>IF(CH1627="","",IFERROR(IF(AND(LEN(CH1627)=9,ISERROR(FIND("-",LEFT(CH1627,8))),ISNUMBER(-LEFT(CH1627,8))),VALUE(MID(CH1627,5,2)),VALUE(MID(CH1627,FIND("-",CH1627)+1,FIND("-",CH1627,FIND("-",CH1627)+1)-FIND("-",CH1627)-1))),""))</f>
        <v/>
      </c>
      <c r="CO1627">
        <f>IF(CH1627="","",IFERROR(IF(AND(LEN(CH1627)=9,ISERROR(FIND("-",LEFT(CH1627,8))),ISNUMBER(-LEFT(CH1627,8))),VALUE(MID(CH1627,7,2)),VALUE(MID(CH1627,FIND("-",CH1627,FIND("-",CH1627)+1)+1,FIND("-",CH1627,FIND("-",CH1627,FIND("-",CH1627)+1)+1)-FIND("-",CH1627,FIND("-",CH1627)+1)-1))),""))</f>
        <v/>
      </c>
    </row>
    <row r="1628">
      <c r="CH1628">
        <f>IF(ISTEXT('월 가계부'!A1628),SUBSTITUTE(SUBSTITUTE(SUBSTITUTE(SUBSTITUTE(SUBSTITUTE(SUBSTITUTE(SUBSTITUTE(SUBSTITUTE(SUBSTITUTE(TRIM('월 가계부'!A1628),"년","-"),"월","-"),"일",""),".","-"),"/","-")," ","-"),"--","-"),"--","-"),"--","-")&amp;"-","")</f>
        <v/>
      </c>
      <c r="CI1628">
        <f>IFERROR(IF('월 가계부'!A1628="","",IF(ISNUMBER('월 가계부'!A1628),IF(AND('월 가계부'!A1628&gt;=19000101,'월 가계부'!A1628&lt;=21001231),IF(AND(MOD(INT('월 가계부'!A1628/100),100)&gt;=1,MOD(INT('월 가계부'!A1628/100),100)&lt;=12,MOD(INT('월 가계부'!A1628),100)&gt;=1,MOD(INT('월 가계부'!A1628),100)&lt;=31),IF(MONTH(DATE(INT('월 가계부'!A1628/10000),MOD(INT('월 가계부'!A1628/100),100),MOD(INT('월 가계부'!A1628),100)))=MOD(INT('월 가계부'!A1628/100),100),DATE(INT('월 가계부'!A1628/10000),MOD(INT('월 가계부'!A1628/100),100),MOD(INT('월 가계부'!A1628),100)),""),""),IF(AND('월 가계부'!A1628&gt;=36526,'월 가계부'!A1628&lt;73051),INT('월 가계부'!A1628),"")),IF(OR(CM1628="",CN1628="",CO1628=""),"",IF(AND(CM1628&gt;=2000,CM1628&lt;=2099,CN1628&gt;=1,CN1628&lt;=12,CO1628&gt;=1,CO1628&lt;=31),IF(MONTH(DATE(CM1628,CN1628,CO1628))=CN1628,DATE(CM1628,CN1628,CO1628),""),"")))),"")</f>
        <v/>
      </c>
      <c r="CJ1628">
        <f>IFERROR(IF('월 가계부'!C1628="","",IF(ISNUMBER('월 가계부'!C1628),'월 가계부'!C1628,VALUE(SUBSTITUTE(SUBSTITUTE(SUBSTITUTE(SUBSTITUTE(TRIM('월 가계부'!C1628),",",""),"원","")," ",""),"−","-")))),"")</f>
        <v/>
      </c>
      <c r="CK1628">
        <f>IF(ISNUMBER(CI1628),IF(CI1628&lt;$B$13,CI1628,""),"")</f>
        <v/>
      </c>
      <c r="CM1628">
        <f>IF(CH1628="","",IFERROR(IF(IF(AND(LEN(CH1628)=9,ISERROR(FIND("-",LEFT(CH1628,8))),ISNUMBER(-LEFT(CH1628,8))),VALUE(LEFT(CH1628,4)),VALUE(LEFT(CH1628,FIND("-",CH1628)-1)))&lt;100,IF(AND(LEN(CH1628)=9,ISERROR(FIND("-",LEFT(CH1628,8))),ISNUMBER(-LEFT(CH1628,8))),VALUE(LEFT(CH1628,4)),VALUE(LEFT(CH1628,FIND("-",CH1628)-1)))+2000,IF(AND(LEN(CH1628)=9,ISERROR(FIND("-",LEFT(CH1628,8))),ISNUMBER(-LEFT(CH1628,8))),VALUE(LEFT(CH1628,4)),VALUE(LEFT(CH1628,FIND("-",CH1628)-1)))),""))</f>
        <v/>
      </c>
      <c r="CN1628">
        <f>IF(CH1628="","",IFERROR(IF(AND(LEN(CH1628)=9,ISERROR(FIND("-",LEFT(CH1628,8))),ISNUMBER(-LEFT(CH1628,8))),VALUE(MID(CH1628,5,2)),VALUE(MID(CH1628,FIND("-",CH1628)+1,FIND("-",CH1628,FIND("-",CH1628)+1)-FIND("-",CH1628)-1))),""))</f>
        <v/>
      </c>
      <c r="CO1628">
        <f>IF(CH1628="","",IFERROR(IF(AND(LEN(CH1628)=9,ISERROR(FIND("-",LEFT(CH1628,8))),ISNUMBER(-LEFT(CH1628,8))),VALUE(MID(CH1628,7,2)),VALUE(MID(CH1628,FIND("-",CH1628,FIND("-",CH1628)+1)+1,FIND("-",CH1628,FIND("-",CH1628,FIND("-",CH1628)+1)+1)-FIND("-",CH1628,FIND("-",CH1628)+1)-1))),""))</f>
        <v/>
      </c>
    </row>
    <row r="1629">
      <c r="CH1629">
        <f>IF(ISTEXT('월 가계부'!A1629),SUBSTITUTE(SUBSTITUTE(SUBSTITUTE(SUBSTITUTE(SUBSTITUTE(SUBSTITUTE(SUBSTITUTE(SUBSTITUTE(SUBSTITUTE(TRIM('월 가계부'!A1629),"년","-"),"월","-"),"일",""),".","-"),"/","-")," ","-"),"--","-"),"--","-"),"--","-")&amp;"-","")</f>
        <v/>
      </c>
      <c r="CI1629">
        <f>IFERROR(IF('월 가계부'!A1629="","",IF(ISNUMBER('월 가계부'!A1629),IF(AND('월 가계부'!A1629&gt;=19000101,'월 가계부'!A1629&lt;=21001231),IF(AND(MOD(INT('월 가계부'!A1629/100),100)&gt;=1,MOD(INT('월 가계부'!A1629/100),100)&lt;=12,MOD(INT('월 가계부'!A1629),100)&gt;=1,MOD(INT('월 가계부'!A1629),100)&lt;=31),IF(MONTH(DATE(INT('월 가계부'!A1629/10000),MOD(INT('월 가계부'!A1629/100),100),MOD(INT('월 가계부'!A1629),100)))=MOD(INT('월 가계부'!A1629/100),100),DATE(INT('월 가계부'!A1629/10000),MOD(INT('월 가계부'!A1629/100),100),MOD(INT('월 가계부'!A1629),100)),""),""),IF(AND('월 가계부'!A1629&gt;=36526,'월 가계부'!A1629&lt;73051),INT('월 가계부'!A1629),"")),IF(OR(CM1629="",CN1629="",CO1629=""),"",IF(AND(CM1629&gt;=2000,CM1629&lt;=2099,CN1629&gt;=1,CN1629&lt;=12,CO1629&gt;=1,CO1629&lt;=31),IF(MONTH(DATE(CM1629,CN1629,CO1629))=CN1629,DATE(CM1629,CN1629,CO1629),""),"")))),"")</f>
        <v/>
      </c>
      <c r="CJ1629">
        <f>IFERROR(IF('월 가계부'!C1629="","",IF(ISNUMBER('월 가계부'!C1629),'월 가계부'!C1629,VALUE(SUBSTITUTE(SUBSTITUTE(SUBSTITUTE(SUBSTITUTE(TRIM('월 가계부'!C1629),",",""),"원","")," ",""),"−","-")))),"")</f>
        <v/>
      </c>
      <c r="CK1629">
        <f>IF(ISNUMBER(CI1629),IF(CI1629&lt;$B$13,CI1629,""),"")</f>
        <v/>
      </c>
      <c r="CM1629">
        <f>IF(CH1629="","",IFERROR(IF(IF(AND(LEN(CH1629)=9,ISERROR(FIND("-",LEFT(CH1629,8))),ISNUMBER(-LEFT(CH1629,8))),VALUE(LEFT(CH1629,4)),VALUE(LEFT(CH1629,FIND("-",CH1629)-1)))&lt;100,IF(AND(LEN(CH1629)=9,ISERROR(FIND("-",LEFT(CH1629,8))),ISNUMBER(-LEFT(CH1629,8))),VALUE(LEFT(CH1629,4)),VALUE(LEFT(CH1629,FIND("-",CH1629)-1)))+2000,IF(AND(LEN(CH1629)=9,ISERROR(FIND("-",LEFT(CH1629,8))),ISNUMBER(-LEFT(CH1629,8))),VALUE(LEFT(CH1629,4)),VALUE(LEFT(CH1629,FIND("-",CH1629)-1)))),""))</f>
        <v/>
      </c>
      <c r="CN1629">
        <f>IF(CH1629="","",IFERROR(IF(AND(LEN(CH1629)=9,ISERROR(FIND("-",LEFT(CH1629,8))),ISNUMBER(-LEFT(CH1629,8))),VALUE(MID(CH1629,5,2)),VALUE(MID(CH1629,FIND("-",CH1629)+1,FIND("-",CH1629,FIND("-",CH1629)+1)-FIND("-",CH1629)-1))),""))</f>
        <v/>
      </c>
      <c r="CO1629">
        <f>IF(CH1629="","",IFERROR(IF(AND(LEN(CH1629)=9,ISERROR(FIND("-",LEFT(CH1629,8))),ISNUMBER(-LEFT(CH1629,8))),VALUE(MID(CH1629,7,2)),VALUE(MID(CH1629,FIND("-",CH1629,FIND("-",CH1629)+1)+1,FIND("-",CH1629,FIND("-",CH1629,FIND("-",CH1629)+1)+1)-FIND("-",CH1629,FIND("-",CH1629)+1)-1))),""))</f>
        <v/>
      </c>
    </row>
    <row r="1630">
      <c r="CH1630">
        <f>IF(ISTEXT('월 가계부'!A1630),SUBSTITUTE(SUBSTITUTE(SUBSTITUTE(SUBSTITUTE(SUBSTITUTE(SUBSTITUTE(SUBSTITUTE(SUBSTITUTE(SUBSTITUTE(TRIM('월 가계부'!A1630),"년","-"),"월","-"),"일",""),".","-"),"/","-")," ","-"),"--","-"),"--","-"),"--","-")&amp;"-","")</f>
        <v/>
      </c>
      <c r="CI1630">
        <f>IFERROR(IF('월 가계부'!A1630="","",IF(ISNUMBER('월 가계부'!A1630),IF(AND('월 가계부'!A1630&gt;=19000101,'월 가계부'!A1630&lt;=21001231),IF(AND(MOD(INT('월 가계부'!A1630/100),100)&gt;=1,MOD(INT('월 가계부'!A1630/100),100)&lt;=12,MOD(INT('월 가계부'!A1630),100)&gt;=1,MOD(INT('월 가계부'!A1630),100)&lt;=31),IF(MONTH(DATE(INT('월 가계부'!A1630/10000),MOD(INT('월 가계부'!A1630/100),100),MOD(INT('월 가계부'!A1630),100)))=MOD(INT('월 가계부'!A1630/100),100),DATE(INT('월 가계부'!A1630/10000),MOD(INT('월 가계부'!A1630/100),100),MOD(INT('월 가계부'!A1630),100)),""),""),IF(AND('월 가계부'!A1630&gt;=36526,'월 가계부'!A1630&lt;73051),INT('월 가계부'!A1630),"")),IF(OR(CM1630="",CN1630="",CO1630=""),"",IF(AND(CM1630&gt;=2000,CM1630&lt;=2099,CN1630&gt;=1,CN1630&lt;=12,CO1630&gt;=1,CO1630&lt;=31),IF(MONTH(DATE(CM1630,CN1630,CO1630))=CN1630,DATE(CM1630,CN1630,CO1630),""),"")))),"")</f>
        <v/>
      </c>
      <c r="CJ1630">
        <f>IFERROR(IF('월 가계부'!C1630="","",IF(ISNUMBER('월 가계부'!C1630),'월 가계부'!C1630,VALUE(SUBSTITUTE(SUBSTITUTE(SUBSTITUTE(SUBSTITUTE(TRIM('월 가계부'!C1630),",",""),"원","")," ",""),"−","-")))),"")</f>
        <v/>
      </c>
      <c r="CK1630">
        <f>IF(ISNUMBER(CI1630),IF(CI1630&lt;$B$13,CI1630,""),"")</f>
        <v/>
      </c>
      <c r="CM1630">
        <f>IF(CH1630="","",IFERROR(IF(IF(AND(LEN(CH1630)=9,ISERROR(FIND("-",LEFT(CH1630,8))),ISNUMBER(-LEFT(CH1630,8))),VALUE(LEFT(CH1630,4)),VALUE(LEFT(CH1630,FIND("-",CH1630)-1)))&lt;100,IF(AND(LEN(CH1630)=9,ISERROR(FIND("-",LEFT(CH1630,8))),ISNUMBER(-LEFT(CH1630,8))),VALUE(LEFT(CH1630,4)),VALUE(LEFT(CH1630,FIND("-",CH1630)-1)))+2000,IF(AND(LEN(CH1630)=9,ISERROR(FIND("-",LEFT(CH1630,8))),ISNUMBER(-LEFT(CH1630,8))),VALUE(LEFT(CH1630,4)),VALUE(LEFT(CH1630,FIND("-",CH1630)-1)))),""))</f>
        <v/>
      </c>
      <c r="CN1630">
        <f>IF(CH1630="","",IFERROR(IF(AND(LEN(CH1630)=9,ISERROR(FIND("-",LEFT(CH1630,8))),ISNUMBER(-LEFT(CH1630,8))),VALUE(MID(CH1630,5,2)),VALUE(MID(CH1630,FIND("-",CH1630)+1,FIND("-",CH1630,FIND("-",CH1630)+1)-FIND("-",CH1630)-1))),""))</f>
        <v/>
      </c>
      <c r="CO1630">
        <f>IF(CH1630="","",IFERROR(IF(AND(LEN(CH1630)=9,ISERROR(FIND("-",LEFT(CH1630,8))),ISNUMBER(-LEFT(CH1630,8))),VALUE(MID(CH1630,7,2)),VALUE(MID(CH1630,FIND("-",CH1630,FIND("-",CH1630)+1)+1,FIND("-",CH1630,FIND("-",CH1630,FIND("-",CH1630)+1)+1)-FIND("-",CH1630,FIND("-",CH1630)+1)-1))),""))</f>
        <v/>
      </c>
    </row>
    <row r="1631">
      <c r="CH1631">
        <f>IF(ISTEXT('월 가계부'!A1631),SUBSTITUTE(SUBSTITUTE(SUBSTITUTE(SUBSTITUTE(SUBSTITUTE(SUBSTITUTE(SUBSTITUTE(SUBSTITUTE(SUBSTITUTE(TRIM('월 가계부'!A1631),"년","-"),"월","-"),"일",""),".","-"),"/","-")," ","-"),"--","-"),"--","-"),"--","-")&amp;"-","")</f>
        <v/>
      </c>
      <c r="CI1631">
        <f>IFERROR(IF('월 가계부'!A1631="","",IF(ISNUMBER('월 가계부'!A1631),IF(AND('월 가계부'!A1631&gt;=19000101,'월 가계부'!A1631&lt;=21001231),IF(AND(MOD(INT('월 가계부'!A1631/100),100)&gt;=1,MOD(INT('월 가계부'!A1631/100),100)&lt;=12,MOD(INT('월 가계부'!A1631),100)&gt;=1,MOD(INT('월 가계부'!A1631),100)&lt;=31),IF(MONTH(DATE(INT('월 가계부'!A1631/10000),MOD(INT('월 가계부'!A1631/100),100),MOD(INT('월 가계부'!A1631),100)))=MOD(INT('월 가계부'!A1631/100),100),DATE(INT('월 가계부'!A1631/10000),MOD(INT('월 가계부'!A1631/100),100),MOD(INT('월 가계부'!A1631),100)),""),""),IF(AND('월 가계부'!A1631&gt;=36526,'월 가계부'!A1631&lt;73051),INT('월 가계부'!A1631),"")),IF(OR(CM1631="",CN1631="",CO1631=""),"",IF(AND(CM1631&gt;=2000,CM1631&lt;=2099,CN1631&gt;=1,CN1631&lt;=12,CO1631&gt;=1,CO1631&lt;=31),IF(MONTH(DATE(CM1631,CN1631,CO1631))=CN1631,DATE(CM1631,CN1631,CO1631),""),"")))),"")</f>
        <v/>
      </c>
      <c r="CJ1631">
        <f>IFERROR(IF('월 가계부'!C1631="","",IF(ISNUMBER('월 가계부'!C1631),'월 가계부'!C1631,VALUE(SUBSTITUTE(SUBSTITUTE(SUBSTITUTE(SUBSTITUTE(TRIM('월 가계부'!C1631),",",""),"원","")," ",""),"−","-")))),"")</f>
        <v/>
      </c>
      <c r="CK1631">
        <f>IF(ISNUMBER(CI1631),IF(CI1631&lt;$B$13,CI1631,""),"")</f>
        <v/>
      </c>
      <c r="CM1631">
        <f>IF(CH1631="","",IFERROR(IF(IF(AND(LEN(CH1631)=9,ISERROR(FIND("-",LEFT(CH1631,8))),ISNUMBER(-LEFT(CH1631,8))),VALUE(LEFT(CH1631,4)),VALUE(LEFT(CH1631,FIND("-",CH1631)-1)))&lt;100,IF(AND(LEN(CH1631)=9,ISERROR(FIND("-",LEFT(CH1631,8))),ISNUMBER(-LEFT(CH1631,8))),VALUE(LEFT(CH1631,4)),VALUE(LEFT(CH1631,FIND("-",CH1631)-1)))+2000,IF(AND(LEN(CH1631)=9,ISERROR(FIND("-",LEFT(CH1631,8))),ISNUMBER(-LEFT(CH1631,8))),VALUE(LEFT(CH1631,4)),VALUE(LEFT(CH1631,FIND("-",CH1631)-1)))),""))</f>
        <v/>
      </c>
      <c r="CN1631">
        <f>IF(CH1631="","",IFERROR(IF(AND(LEN(CH1631)=9,ISERROR(FIND("-",LEFT(CH1631,8))),ISNUMBER(-LEFT(CH1631,8))),VALUE(MID(CH1631,5,2)),VALUE(MID(CH1631,FIND("-",CH1631)+1,FIND("-",CH1631,FIND("-",CH1631)+1)-FIND("-",CH1631)-1))),""))</f>
        <v/>
      </c>
      <c r="CO1631">
        <f>IF(CH1631="","",IFERROR(IF(AND(LEN(CH1631)=9,ISERROR(FIND("-",LEFT(CH1631,8))),ISNUMBER(-LEFT(CH1631,8))),VALUE(MID(CH1631,7,2)),VALUE(MID(CH1631,FIND("-",CH1631,FIND("-",CH1631)+1)+1,FIND("-",CH1631,FIND("-",CH1631,FIND("-",CH1631)+1)+1)-FIND("-",CH1631,FIND("-",CH1631)+1)-1))),""))</f>
        <v/>
      </c>
    </row>
    <row r="1632">
      <c r="CH1632">
        <f>IF(ISTEXT('월 가계부'!A1632),SUBSTITUTE(SUBSTITUTE(SUBSTITUTE(SUBSTITUTE(SUBSTITUTE(SUBSTITUTE(SUBSTITUTE(SUBSTITUTE(SUBSTITUTE(TRIM('월 가계부'!A1632),"년","-"),"월","-"),"일",""),".","-"),"/","-")," ","-"),"--","-"),"--","-"),"--","-")&amp;"-","")</f>
        <v/>
      </c>
      <c r="CI1632">
        <f>IFERROR(IF('월 가계부'!A1632="","",IF(ISNUMBER('월 가계부'!A1632),IF(AND('월 가계부'!A1632&gt;=19000101,'월 가계부'!A1632&lt;=21001231),IF(AND(MOD(INT('월 가계부'!A1632/100),100)&gt;=1,MOD(INT('월 가계부'!A1632/100),100)&lt;=12,MOD(INT('월 가계부'!A1632),100)&gt;=1,MOD(INT('월 가계부'!A1632),100)&lt;=31),IF(MONTH(DATE(INT('월 가계부'!A1632/10000),MOD(INT('월 가계부'!A1632/100),100),MOD(INT('월 가계부'!A1632),100)))=MOD(INT('월 가계부'!A1632/100),100),DATE(INT('월 가계부'!A1632/10000),MOD(INT('월 가계부'!A1632/100),100),MOD(INT('월 가계부'!A1632),100)),""),""),IF(AND('월 가계부'!A1632&gt;=36526,'월 가계부'!A1632&lt;73051),INT('월 가계부'!A1632),"")),IF(OR(CM1632="",CN1632="",CO1632=""),"",IF(AND(CM1632&gt;=2000,CM1632&lt;=2099,CN1632&gt;=1,CN1632&lt;=12,CO1632&gt;=1,CO1632&lt;=31),IF(MONTH(DATE(CM1632,CN1632,CO1632))=CN1632,DATE(CM1632,CN1632,CO1632),""),"")))),"")</f>
        <v/>
      </c>
      <c r="CJ1632">
        <f>IFERROR(IF('월 가계부'!C1632="","",IF(ISNUMBER('월 가계부'!C1632),'월 가계부'!C1632,VALUE(SUBSTITUTE(SUBSTITUTE(SUBSTITUTE(SUBSTITUTE(TRIM('월 가계부'!C1632),",",""),"원","")," ",""),"−","-")))),"")</f>
        <v/>
      </c>
      <c r="CK1632">
        <f>IF(ISNUMBER(CI1632),IF(CI1632&lt;$B$13,CI1632,""),"")</f>
        <v/>
      </c>
      <c r="CM1632">
        <f>IF(CH1632="","",IFERROR(IF(IF(AND(LEN(CH1632)=9,ISERROR(FIND("-",LEFT(CH1632,8))),ISNUMBER(-LEFT(CH1632,8))),VALUE(LEFT(CH1632,4)),VALUE(LEFT(CH1632,FIND("-",CH1632)-1)))&lt;100,IF(AND(LEN(CH1632)=9,ISERROR(FIND("-",LEFT(CH1632,8))),ISNUMBER(-LEFT(CH1632,8))),VALUE(LEFT(CH1632,4)),VALUE(LEFT(CH1632,FIND("-",CH1632)-1)))+2000,IF(AND(LEN(CH1632)=9,ISERROR(FIND("-",LEFT(CH1632,8))),ISNUMBER(-LEFT(CH1632,8))),VALUE(LEFT(CH1632,4)),VALUE(LEFT(CH1632,FIND("-",CH1632)-1)))),""))</f>
        <v/>
      </c>
      <c r="CN1632">
        <f>IF(CH1632="","",IFERROR(IF(AND(LEN(CH1632)=9,ISERROR(FIND("-",LEFT(CH1632,8))),ISNUMBER(-LEFT(CH1632,8))),VALUE(MID(CH1632,5,2)),VALUE(MID(CH1632,FIND("-",CH1632)+1,FIND("-",CH1632,FIND("-",CH1632)+1)-FIND("-",CH1632)-1))),""))</f>
        <v/>
      </c>
      <c r="CO1632">
        <f>IF(CH1632="","",IFERROR(IF(AND(LEN(CH1632)=9,ISERROR(FIND("-",LEFT(CH1632,8))),ISNUMBER(-LEFT(CH1632,8))),VALUE(MID(CH1632,7,2)),VALUE(MID(CH1632,FIND("-",CH1632,FIND("-",CH1632)+1)+1,FIND("-",CH1632,FIND("-",CH1632,FIND("-",CH1632)+1)+1)-FIND("-",CH1632,FIND("-",CH1632)+1)-1))),""))</f>
        <v/>
      </c>
    </row>
    <row r="1633">
      <c r="CH1633">
        <f>IF(ISTEXT('월 가계부'!A1633),SUBSTITUTE(SUBSTITUTE(SUBSTITUTE(SUBSTITUTE(SUBSTITUTE(SUBSTITUTE(SUBSTITUTE(SUBSTITUTE(SUBSTITUTE(TRIM('월 가계부'!A1633),"년","-"),"월","-"),"일",""),".","-"),"/","-")," ","-"),"--","-"),"--","-"),"--","-")&amp;"-","")</f>
        <v/>
      </c>
      <c r="CI1633">
        <f>IFERROR(IF('월 가계부'!A1633="","",IF(ISNUMBER('월 가계부'!A1633),IF(AND('월 가계부'!A1633&gt;=19000101,'월 가계부'!A1633&lt;=21001231),IF(AND(MOD(INT('월 가계부'!A1633/100),100)&gt;=1,MOD(INT('월 가계부'!A1633/100),100)&lt;=12,MOD(INT('월 가계부'!A1633),100)&gt;=1,MOD(INT('월 가계부'!A1633),100)&lt;=31),IF(MONTH(DATE(INT('월 가계부'!A1633/10000),MOD(INT('월 가계부'!A1633/100),100),MOD(INT('월 가계부'!A1633),100)))=MOD(INT('월 가계부'!A1633/100),100),DATE(INT('월 가계부'!A1633/10000),MOD(INT('월 가계부'!A1633/100),100),MOD(INT('월 가계부'!A1633),100)),""),""),IF(AND('월 가계부'!A1633&gt;=36526,'월 가계부'!A1633&lt;73051),INT('월 가계부'!A1633),"")),IF(OR(CM1633="",CN1633="",CO1633=""),"",IF(AND(CM1633&gt;=2000,CM1633&lt;=2099,CN1633&gt;=1,CN1633&lt;=12,CO1633&gt;=1,CO1633&lt;=31),IF(MONTH(DATE(CM1633,CN1633,CO1633))=CN1633,DATE(CM1633,CN1633,CO1633),""),"")))),"")</f>
        <v/>
      </c>
      <c r="CJ1633">
        <f>IFERROR(IF('월 가계부'!C1633="","",IF(ISNUMBER('월 가계부'!C1633),'월 가계부'!C1633,VALUE(SUBSTITUTE(SUBSTITUTE(SUBSTITUTE(SUBSTITUTE(TRIM('월 가계부'!C1633),",",""),"원","")," ",""),"−","-")))),"")</f>
        <v/>
      </c>
      <c r="CK1633">
        <f>IF(ISNUMBER(CI1633),IF(CI1633&lt;$B$13,CI1633,""),"")</f>
        <v/>
      </c>
      <c r="CM1633">
        <f>IF(CH1633="","",IFERROR(IF(IF(AND(LEN(CH1633)=9,ISERROR(FIND("-",LEFT(CH1633,8))),ISNUMBER(-LEFT(CH1633,8))),VALUE(LEFT(CH1633,4)),VALUE(LEFT(CH1633,FIND("-",CH1633)-1)))&lt;100,IF(AND(LEN(CH1633)=9,ISERROR(FIND("-",LEFT(CH1633,8))),ISNUMBER(-LEFT(CH1633,8))),VALUE(LEFT(CH1633,4)),VALUE(LEFT(CH1633,FIND("-",CH1633)-1)))+2000,IF(AND(LEN(CH1633)=9,ISERROR(FIND("-",LEFT(CH1633,8))),ISNUMBER(-LEFT(CH1633,8))),VALUE(LEFT(CH1633,4)),VALUE(LEFT(CH1633,FIND("-",CH1633)-1)))),""))</f>
        <v/>
      </c>
      <c r="CN1633">
        <f>IF(CH1633="","",IFERROR(IF(AND(LEN(CH1633)=9,ISERROR(FIND("-",LEFT(CH1633,8))),ISNUMBER(-LEFT(CH1633,8))),VALUE(MID(CH1633,5,2)),VALUE(MID(CH1633,FIND("-",CH1633)+1,FIND("-",CH1633,FIND("-",CH1633)+1)-FIND("-",CH1633)-1))),""))</f>
        <v/>
      </c>
      <c r="CO1633">
        <f>IF(CH1633="","",IFERROR(IF(AND(LEN(CH1633)=9,ISERROR(FIND("-",LEFT(CH1633,8))),ISNUMBER(-LEFT(CH1633,8))),VALUE(MID(CH1633,7,2)),VALUE(MID(CH1633,FIND("-",CH1633,FIND("-",CH1633)+1)+1,FIND("-",CH1633,FIND("-",CH1633,FIND("-",CH1633)+1)+1)-FIND("-",CH1633,FIND("-",CH1633)+1)-1))),""))</f>
        <v/>
      </c>
    </row>
    <row r="1634">
      <c r="CH1634">
        <f>IF(ISTEXT('월 가계부'!A1634),SUBSTITUTE(SUBSTITUTE(SUBSTITUTE(SUBSTITUTE(SUBSTITUTE(SUBSTITUTE(SUBSTITUTE(SUBSTITUTE(SUBSTITUTE(TRIM('월 가계부'!A1634),"년","-"),"월","-"),"일",""),".","-"),"/","-")," ","-"),"--","-"),"--","-"),"--","-")&amp;"-","")</f>
        <v/>
      </c>
      <c r="CI1634">
        <f>IFERROR(IF('월 가계부'!A1634="","",IF(ISNUMBER('월 가계부'!A1634),IF(AND('월 가계부'!A1634&gt;=19000101,'월 가계부'!A1634&lt;=21001231),IF(AND(MOD(INT('월 가계부'!A1634/100),100)&gt;=1,MOD(INT('월 가계부'!A1634/100),100)&lt;=12,MOD(INT('월 가계부'!A1634),100)&gt;=1,MOD(INT('월 가계부'!A1634),100)&lt;=31),IF(MONTH(DATE(INT('월 가계부'!A1634/10000),MOD(INT('월 가계부'!A1634/100),100),MOD(INT('월 가계부'!A1634),100)))=MOD(INT('월 가계부'!A1634/100),100),DATE(INT('월 가계부'!A1634/10000),MOD(INT('월 가계부'!A1634/100),100),MOD(INT('월 가계부'!A1634),100)),""),""),IF(AND('월 가계부'!A1634&gt;=36526,'월 가계부'!A1634&lt;73051),INT('월 가계부'!A1634),"")),IF(OR(CM1634="",CN1634="",CO1634=""),"",IF(AND(CM1634&gt;=2000,CM1634&lt;=2099,CN1634&gt;=1,CN1634&lt;=12,CO1634&gt;=1,CO1634&lt;=31),IF(MONTH(DATE(CM1634,CN1634,CO1634))=CN1634,DATE(CM1634,CN1634,CO1634),""),"")))),"")</f>
        <v/>
      </c>
      <c r="CJ1634">
        <f>IFERROR(IF('월 가계부'!C1634="","",IF(ISNUMBER('월 가계부'!C1634),'월 가계부'!C1634,VALUE(SUBSTITUTE(SUBSTITUTE(SUBSTITUTE(SUBSTITUTE(TRIM('월 가계부'!C1634),",",""),"원","")," ",""),"−","-")))),"")</f>
        <v/>
      </c>
      <c r="CK1634">
        <f>IF(ISNUMBER(CI1634),IF(CI1634&lt;$B$13,CI1634,""),"")</f>
        <v/>
      </c>
      <c r="CM1634">
        <f>IF(CH1634="","",IFERROR(IF(IF(AND(LEN(CH1634)=9,ISERROR(FIND("-",LEFT(CH1634,8))),ISNUMBER(-LEFT(CH1634,8))),VALUE(LEFT(CH1634,4)),VALUE(LEFT(CH1634,FIND("-",CH1634)-1)))&lt;100,IF(AND(LEN(CH1634)=9,ISERROR(FIND("-",LEFT(CH1634,8))),ISNUMBER(-LEFT(CH1634,8))),VALUE(LEFT(CH1634,4)),VALUE(LEFT(CH1634,FIND("-",CH1634)-1)))+2000,IF(AND(LEN(CH1634)=9,ISERROR(FIND("-",LEFT(CH1634,8))),ISNUMBER(-LEFT(CH1634,8))),VALUE(LEFT(CH1634,4)),VALUE(LEFT(CH1634,FIND("-",CH1634)-1)))),""))</f>
        <v/>
      </c>
      <c r="CN1634">
        <f>IF(CH1634="","",IFERROR(IF(AND(LEN(CH1634)=9,ISERROR(FIND("-",LEFT(CH1634,8))),ISNUMBER(-LEFT(CH1634,8))),VALUE(MID(CH1634,5,2)),VALUE(MID(CH1634,FIND("-",CH1634)+1,FIND("-",CH1634,FIND("-",CH1634)+1)-FIND("-",CH1634)-1))),""))</f>
        <v/>
      </c>
      <c r="CO1634">
        <f>IF(CH1634="","",IFERROR(IF(AND(LEN(CH1634)=9,ISERROR(FIND("-",LEFT(CH1634,8))),ISNUMBER(-LEFT(CH1634,8))),VALUE(MID(CH1634,7,2)),VALUE(MID(CH1634,FIND("-",CH1634,FIND("-",CH1634)+1)+1,FIND("-",CH1634,FIND("-",CH1634,FIND("-",CH1634)+1)+1)-FIND("-",CH1634,FIND("-",CH1634)+1)-1))),""))</f>
        <v/>
      </c>
    </row>
    <row r="1635">
      <c r="CH1635">
        <f>IF(ISTEXT('월 가계부'!A1635),SUBSTITUTE(SUBSTITUTE(SUBSTITUTE(SUBSTITUTE(SUBSTITUTE(SUBSTITUTE(SUBSTITUTE(SUBSTITUTE(SUBSTITUTE(TRIM('월 가계부'!A1635),"년","-"),"월","-"),"일",""),".","-"),"/","-")," ","-"),"--","-"),"--","-"),"--","-")&amp;"-","")</f>
        <v/>
      </c>
      <c r="CI1635">
        <f>IFERROR(IF('월 가계부'!A1635="","",IF(ISNUMBER('월 가계부'!A1635),IF(AND('월 가계부'!A1635&gt;=19000101,'월 가계부'!A1635&lt;=21001231),IF(AND(MOD(INT('월 가계부'!A1635/100),100)&gt;=1,MOD(INT('월 가계부'!A1635/100),100)&lt;=12,MOD(INT('월 가계부'!A1635),100)&gt;=1,MOD(INT('월 가계부'!A1635),100)&lt;=31),IF(MONTH(DATE(INT('월 가계부'!A1635/10000),MOD(INT('월 가계부'!A1635/100),100),MOD(INT('월 가계부'!A1635),100)))=MOD(INT('월 가계부'!A1635/100),100),DATE(INT('월 가계부'!A1635/10000),MOD(INT('월 가계부'!A1635/100),100),MOD(INT('월 가계부'!A1635),100)),""),""),IF(AND('월 가계부'!A1635&gt;=36526,'월 가계부'!A1635&lt;73051),INT('월 가계부'!A1635),"")),IF(OR(CM1635="",CN1635="",CO1635=""),"",IF(AND(CM1635&gt;=2000,CM1635&lt;=2099,CN1635&gt;=1,CN1635&lt;=12,CO1635&gt;=1,CO1635&lt;=31),IF(MONTH(DATE(CM1635,CN1635,CO1635))=CN1635,DATE(CM1635,CN1635,CO1635),""),"")))),"")</f>
        <v/>
      </c>
      <c r="CJ1635">
        <f>IFERROR(IF('월 가계부'!C1635="","",IF(ISNUMBER('월 가계부'!C1635),'월 가계부'!C1635,VALUE(SUBSTITUTE(SUBSTITUTE(SUBSTITUTE(SUBSTITUTE(TRIM('월 가계부'!C1635),",",""),"원","")," ",""),"−","-")))),"")</f>
        <v/>
      </c>
      <c r="CK1635">
        <f>IF(ISNUMBER(CI1635),IF(CI1635&lt;$B$13,CI1635,""),"")</f>
        <v/>
      </c>
      <c r="CM1635">
        <f>IF(CH1635="","",IFERROR(IF(IF(AND(LEN(CH1635)=9,ISERROR(FIND("-",LEFT(CH1635,8))),ISNUMBER(-LEFT(CH1635,8))),VALUE(LEFT(CH1635,4)),VALUE(LEFT(CH1635,FIND("-",CH1635)-1)))&lt;100,IF(AND(LEN(CH1635)=9,ISERROR(FIND("-",LEFT(CH1635,8))),ISNUMBER(-LEFT(CH1635,8))),VALUE(LEFT(CH1635,4)),VALUE(LEFT(CH1635,FIND("-",CH1635)-1)))+2000,IF(AND(LEN(CH1635)=9,ISERROR(FIND("-",LEFT(CH1635,8))),ISNUMBER(-LEFT(CH1635,8))),VALUE(LEFT(CH1635,4)),VALUE(LEFT(CH1635,FIND("-",CH1635)-1)))),""))</f>
        <v/>
      </c>
      <c r="CN1635">
        <f>IF(CH1635="","",IFERROR(IF(AND(LEN(CH1635)=9,ISERROR(FIND("-",LEFT(CH1635,8))),ISNUMBER(-LEFT(CH1635,8))),VALUE(MID(CH1635,5,2)),VALUE(MID(CH1635,FIND("-",CH1635)+1,FIND("-",CH1635,FIND("-",CH1635)+1)-FIND("-",CH1635)-1))),""))</f>
        <v/>
      </c>
      <c r="CO1635">
        <f>IF(CH1635="","",IFERROR(IF(AND(LEN(CH1635)=9,ISERROR(FIND("-",LEFT(CH1635,8))),ISNUMBER(-LEFT(CH1635,8))),VALUE(MID(CH1635,7,2)),VALUE(MID(CH1635,FIND("-",CH1635,FIND("-",CH1635)+1)+1,FIND("-",CH1635,FIND("-",CH1635,FIND("-",CH1635)+1)+1)-FIND("-",CH1635,FIND("-",CH1635)+1)-1))),""))</f>
        <v/>
      </c>
    </row>
    <row r="1636">
      <c r="CH1636">
        <f>IF(ISTEXT('월 가계부'!A1636),SUBSTITUTE(SUBSTITUTE(SUBSTITUTE(SUBSTITUTE(SUBSTITUTE(SUBSTITUTE(SUBSTITUTE(SUBSTITUTE(SUBSTITUTE(TRIM('월 가계부'!A1636),"년","-"),"월","-"),"일",""),".","-"),"/","-")," ","-"),"--","-"),"--","-"),"--","-")&amp;"-","")</f>
        <v/>
      </c>
      <c r="CI1636">
        <f>IFERROR(IF('월 가계부'!A1636="","",IF(ISNUMBER('월 가계부'!A1636),IF(AND('월 가계부'!A1636&gt;=19000101,'월 가계부'!A1636&lt;=21001231),IF(AND(MOD(INT('월 가계부'!A1636/100),100)&gt;=1,MOD(INT('월 가계부'!A1636/100),100)&lt;=12,MOD(INT('월 가계부'!A1636),100)&gt;=1,MOD(INT('월 가계부'!A1636),100)&lt;=31),IF(MONTH(DATE(INT('월 가계부'!A1636/10000),MOD(INT('월 가계부'!A1636/100),100),MOD(INT('월 가계부'!A1636),100)))=MOD(INT('월 가계부'!A1636/100),100),DATE(INT('월 가계부'!A1636/10000),MOD(INT('월 가계부'!A1636/100),100),MOD(INT('월 가계부'!A1636),100)),""),""),IF(AND('월 가계부'!A1636&gt;=36526,'월 가계부'!A1636&lt;73051),INT('월 가계부'!A1636),"")),IF(OR(CM1636="",CN1636="",CO1636=""),"",IF(AND(CM1636&gt;=2000,CM1636&lt;=2099,CN1636&gt;=1,CN1636&lt;=12,CO1636&gt;=1,CO1636&lt;=31),IF(MONTH(DATE(CM1636,CN1636,CO1636))=CN1636,DATE(CM1636,CN1636,CO1636),""),"")))),"")</f>
        <v/>
      </c>
      <c r="CJ1636">
        <f>IFERROR(IF('월 가계부'!C1636="","",IF(ISNUMBER('월 가계부'!C1636),'월 가계부'!C1636,VALUE(SUBSTITUTE(SUBSTITUTE(SUBSTITUTE(SUBSTITUTE(TRIM('월 가계부'!C1636),",",""),"원","")," ",""),"−","-")))),"")</f>
        <v/>
      </c>
      <c r="CK1636">
        <f>IF(ISNUMBER(CI1636),IF(CI1636&lt;$B$13,CI1636,""),"")</f>
        <v/>
      </c>
      <c r="CM1636">
        <f>IF(CH1636="","",IFERROR(IF(IF(AND(LEN(CH1636)=9,ISERROR(FIND("-",LEFT(CH1636,8))),ISNUMBER(-LEFT(CH1636,8))),VALUE(LEFT(CH1636,4)),VALUE(LEFT(CH1636,FIND("-",CH1636)-1)))&lt;100,IF(AND(LEN(CH1636)=9,ISERROR(FIND("-",LEFT(CH1636,8))),ISNUMBER(-LEFT(CH1636,8))),VALUE(LEFT(CH1636,4)),VALUE(LEFT(CH1636,FIND("-",CH1636)-1)))+2000,IF(AND(LEN(CH1636)=9,ISERROR(FIND("-",LEFT(CH1636,8))),ISNUMBER(-LEFT(CH1636,8))),VALUE(LEFT(CH1636,4)),VALUE(LEFT(CH1636,FIND("-",CH1636)-1)))),""))</f>
        <v/>
      </c>
      <c r="CN1636">
        <f>IF(CH1636="","",IFERROR(IF(AND(LEN(CH1636)=9,ISERROR(FIND("-",LEFT(CH1636,8))),ISNUMBER(-LEFT(CH1636,8))),VALUE(MID(CH1636,5,2)),VALUE(MID(CH1636,FIND("-",CH1636)+1,FIND("-",CH1636,FIND("-",CH1636)+1)-FIND("-",CH1636)-1))),""))</f>
        <v/>
      </c>
      <c r="CO1636">
        <f>IF(CH1636="","",IFERROR(IF(AND(LEN(CH1636)=9,ISERROR(FIND("-",LEFT(CH1636,8))),ISNUMBER(-LEFT(CH1636,8))),VALUE(MID(CH1636,7,2)),VALUE(MID(CH1636,FIND("-",CH1636,FIND("-",CH1636)+1)+1,FIND("-",CH1636,FIND("-",CH1636,FIND("-",CH1636)+1)+1)-FIND("-",CH1636,FIND("-",CH1636)+1)-1))),""))</f>
        <v/>
      </c>
    </row>
    <row r="1637">
      <c r="CH1637">
        <f>IF(ISTEXT('월 가계부'!A1637),SUBSTITUTE(SUBSTITUTE(SUBSTITUTE(SUBSTITUTE(SUBSTITUTE(SUBSTITUTE(SUBSTITUTE(SUBSTITUTE(SUBSTITUTE(TRIM('월 가계부'!A1637),"년","-"),"월","-"),"일",""),".","-"),"/","-")," ","-"),"--","-"),"--","-"),"--","-")&amp;"-","")</f>
        <v/>
      </c>
      <c r="CI1637">
        <f>IFERROR(IF('월 가계부'!A1637="","",IF(ISNUMBER('월 가계부'!A1637),IF(AND('월 가계부'!A1637&gt;=19000101,'월 가계부'!A1637&lt;=21001231),IF(AND(MOD(INT('월 가계부'!A1637/100),100)&gt;=1,MOD(INT('월 가계부'!A1637/100),100)&lt;=12,MOD(INT('월 가계부'!A1637),100)&gt;=1,MOD(INT('월 가계부'!A1637),100)&lt;=31),IF(MONTH(DATE(INT('월 가계부'!A1637/10000),MOD(INT('월 가계부'!A1637/100),100),MOD(INT('월 가계부'!A1637),100)))=MOD(INT('월 가계부'!A1637/100),100),DATE(INT('월 가계부'!A1637/10000),MOD(INT('월 가계부'!A1637/100),100),MOD(INT('월 가계부'!A1637),100)),""),""),IF(AND('월 가계부'!A1637&gt;=36526,'월 가계부'!A1637&lt;73051),INT('월 가계부'!A1637),"")),IF(OR(CM1637="",CN1637="",CO1637=""),"",IF(AND(CM1637&gt;=2000,CM1637&lt;=2099,CN1637&gt;=1,CN1637&lt;=12,CO1637&gt;=1,CO1637&lt;=31),IF(MONTH(DATE(CM1637,CN1637,CO1637))=CN1637,DATE(CM1637,CN1637,CO1637),""),"")))),"")</f>
        <v/>
      </c>
      <c r="CJ1637">
        <f>IFERROR(IF('월 가계부'!C1637="","",IF(ISNUMBER('월 가계부'!C1637),'월 가계부'!C1637,VALUE(SUBSTITUTE(SUBSTITUTE(SUBSTITUTE(SUBSTITUTE(TRIM('월 가계부'!C1637),",",""),"원","")," ",""),"−","-")))),"")</f>
        <v/>
      </c>
      <c r="CK1637">
        <f>IF(ISNUMBER(CI1637),IF(CI1637&lt;$B$13,CI1637,""),"")</f>
        <v/>
      </c>
      <c r="CM1637">
        <f>IF(CH1637="","",IFERROR(IF(IF(AND(LEN(CH1637)=9,ISERROR(FIND("-",LEFT(CH1637,8))),ISNUMBER(-LEFT(CH1637,8))),VALUE(LEFT(CH1637,4)),VALUE(LEFT(CH1637,FIND("-",CH1637)-1)))&lt;100,IF(AND(LEN(CH1637)=9,ISERROR(FIND("-",LEFT(CH1637,8))),ISNUMBER(-LEFT(CH1637,8))),VALUE(LEFT(CH1637,4)),VALUE(LEFT(CH1637,FIND("-",CH1637)-1)))+2000,IF(AND(LEN(CH1637)=9,ISERROR(FIND("-",LEFT(CH1637,8))),ISNUMBER(-LEFT(CH1637,8))),VALUE(LEFT(CH1637,4)),VALUE(LEFT(CH1637,FIND("-",CH1637)-1)))),""))</f>
        <v/>
      </c>
      <c r="CN1637">
        <f>IF(CH1637="","",IFERROR(IF(AND(LEN(CH1637)=9,ISERROR(FIND("-",LEFT(CH1637,8))),ISNUMBER(-LEFT(CH1637,8))),VALUE(MID(CH1637,5,2)),VALUE(MID(CH1637,FIND("-",CH1637)+1,FIND("-",CH1637,FIND("-",CH1637)+1)-FIND("-",CH1637)-1))),""))</f>
        <v/>
      </c>
      <c r="CO1637">
        <f>IF(CH1637="","",IFERROR(IF(AND(LEN(CH1637)=9,ISERROR(FIND("-",LEFT(CH1637,8))),ISNUMBER(-LEFT(CH1637,8))),VALUE(MID(CH1637,7,2)),VALUE(MID(CH1637,FIND("-",CH1637,FIND("-",CH1637)+1)+1,FIND("-",CH1637,FIND("-",CH1637,FIND("-",CH1637)+1)+1)-FIND("-",CH1637,FIND("-",CH1637)+1)-1))),""))</f>
        <v/>
      </c>
    </row>
    <row r="1638">
      <c r="CH1638">
        <f>IF(ISTEXT('월 가계부'!A1638),SUBSTITUTE(SUBSTITUTE(SUBSTITUTE(SUBSTITUTE(SUBSTITUTE(SUBSTITUTE(SUBSTITUTE(SUBSTITUTE(SUBSTITUTE(TRIM('월 가계부'!A1638),"년","-"),"월","-"),"일",""),".","-"),"/","-")," ","-"),"--","-"),"--","-"),"--","-")&amp;"-","")</f>
        <v/>
      </c>
      <c r="CI1638">
        <f>IFERROR(IF('월 가계부'!A1638="","",IF(ISNUMBER('월 가계부'!A1638),IF(AND('월 가계부'!A1638&gt;=19000101,'월 가계부'!A1638&lt;=21001231),IF(AND(MOD(INT('월 가계부'!A1638/100),100)&gt;=1,MOD(INT('월 가계부'!A1638/100),100)&lt;=12,MOD(INT('월 가계부'!A1638),100)&gt;=1,MOD(INT('월 가계부'!A1638),100)&lt;=31),IF(MONTH(DATE(INT('월 가계부'!A1638/10000),MOD(INT('월 가계부'!A1638/100),100),MOD(INT('월 가계부'!A1638),100)))=MOD(INT('월 가계부'!A1638/100),100),DATE(INT('월 가계부'!A1638/10000),MOD(INT('월 가계부'!A1638/100),100),MOD(INT('월 가계부'!A1638),100)),""),""),IF(AND('월 가계부'!A1638&gt;=36526,'월 가계부'!A1638&lt;73051),INT('월 가계부'!A1638),"")),IF(OR(CM1638="",CN1638="",CO1638=""),"",IF(AND(CM1638&gt;=2000,CM1638&lt;=2099,CN1638&gt;=1,CN1638&lt;=12,CO1638&gt;=1,CO1638&lt;=31),IF(MONTH(DATE(CM1638,CN1638,CO1638))=CN1638,DATE(CM1638,CN1638,CO1638),""),"")))),"")</f>
        <v/>
      </c>
      <c r="CJ1638">
        <f>IFERROR(IF('월 가계부'!C1638="","",IF(ISNUMBER('월 가계부'!C1638),'월 가계부'!C1638,VALUE(SUBSTITUTE(SUBSTITUTE(SUBSTITUTE(SUBSTITUTE(TRIM('월 가계부'!C1638),",",""),"원","")," ",""),"−","-")))),"")</f>
        <v/>
      </c>
      <c r="CK1638">
        <f>IF(ISNUMBER(CI1638),IF(CI1638&lt;$B$13,CI1638,""),"")</f>
        <v/>
      </c>
      <c r="CM1638">
        <f>IF(CH1638="","",IFERROR(IF(IF(AND(LEN(CH1638)=9,ISERROR(FIND("-",LEFT(CH1638,8))),ISNUMBER(-LEFT(CH1638,8))),VALUE(LEFT(CH1638,4)),VALUE(LEFT(CH1638,FIND("-",CH1638)-1)))&lt;100,IF(AND(LEN(CH1638)=9,ISERROR(FIND("-",LEFT(CH1638,8))),ISNUMBER(-LEFT(CH1638,8))),VALUE(LEFT(CH1638,4)),VALUE(LEFT(CH1638,FIND("-",CH1638)-1)))+2000,IF(AND(LEN(CH1638)=9,ISERROR(FIND("-",LEFT(CH1638,8))),ISNUMBER(-LEFT(CH1638,8))),VALUE(LEFT(CH1638,4)),VALUE(LEFT(CH1638,FIND("-",CH1638)-1)))),""))</f>
        <v/>
      </c>
      <c r="CN1638">
        <f>IF(CH1638="","",IFERROR(IF(AND(LEN(CH1638)=9,ISERROR(FIND("-",LEFT(CH1638,8))),ISNUMBER(-LEFT(CH1638,8))),VALUE(MID(CH1638,5,2)),VALUE(MID(CH1638,FIND("-",CH1638)+1,FIND("-",CH1638,FIND("-",CH1638)+1)-FIND("-",CH1638)-1))),""))</f>
        <v/>
      </c>
      <c r="CO1638">
        <f>IF(CH1638="","",IFERROR(IF(AND(LEN(CH1638)=9,ISERROR(FIND("-",LEFT(CH1638,8))),ISNUMBER(-LEFT(CH1638,8))),VALUE(MID(CH1638,7,2)),VALUE(MID(CH1638,FIND("-",CH1638,FIND("-",CH1638)+1)+1,FIND("-",CH1638,FIND("-",CH1638,FIND("-",CH1638)+1)+1)-FIND("-",CH1638,FIND("-",CH1638)+1)-1))),""))</f>
        <v/>
      </c>
    </row>
    <row r="1639">
      <c r="CH1639">
        <f>IF(ISTEXT('월 가계부'!A1639),SUBSTITUTE(SUBSTITUTE(SUBSTITUTE(SUBSTITUTE(SUBSTITUTE(SUBSTITUTE(SUBSTITUTE(SUBSTITUTE(SUBSTITUTE(TRIM('월 가계부'!A1639),"년","-"),"월","-"),"일",""),".","-"),"/","-")," ","-"),"--","-"),"--","-"),"--","-")&amp;"-","")</f>
        <v/>
      </c>
      <c r="CI1639">
        <f>IFERROR(IF('월 가계부'!A1639="","",IF(ISNUMBER('월 가계부'!A1639),IF(AND('월 가계부'!A1639&gt;=19000101,'월 가계부'!A1639&lt;=21001231),IF(AND(MOD(INT('월 가계부'!A1639/100),100)&gt;=1,MOD(INT('월 가계부'!A1639/100),100)&lt;=12,MOD(INT('월 가계부'!A1639),100)&gt;=1,MOD(INT('월 가계부'!A1639),100)&lt;=31),IF(MONTH(DATE(INT('월 가계부'!A1639/10000),MOD(INT('월 가계부'!A1639/100),100),MOD(INT('월 가계부'!A1639),100)))=MOD(INT('월 가계부'!A1639/100),100),DATE(INT('월 가계부'!A1639/10000),MOD(INT('월 가계부'!A1639/100),100),MOD(INT('월 가계부'!A1639),100)),""),""),IF(AND('월 가계부'!A1639&gt;=36526,'월 가계부'!A1639&lt;73051),INT('월 가계부'!A1639),"")),IF(OR(CM1639="",CN1639="",CO1639=""),"",IF(AND(CM1639&gt;=2000,CM1639&lt;=2099,CN1639&gt;=1,CN1639&lt;=12,CO1639&gt;=1,CO1639&lt;=31),IF(MONTH(DATE(CM1639,CN1639,CO1639))=CN1639,DATE(CM1639,CN1639,CO1639),""),"")))),"")</f>
        <v/>
      </c>
      <c r="CJ1639">
        <f>IFERROR(IF('월 가계부'!C1639="","",IF(ISNUMBER('월 가계부'!C1639),'월 가계부'!C1639,VALUE(SUBSTITUTE(SUBSTITUTE(SUBSTITUTE(SUBSTITUTE(TRIM('월 가계부'!C1639),",",""),"원","")," ",""),"−","-")))),"")</f>
        <v/>
      </c>
      <c r="CK1639">
        <f>IF(ISNUMBER(CI1639),IF(CI1639&lt;$B$13,CI1639,""),"")</f>
        <v/>
      </c>
      <c r="CM1639">
        <f>IF(CH1639="","",IFERROR(IF(IF(AND(LEN(CH1639)=9,ISERROR(FIND("-",LEFT(CH1639,8))),ISNUMBER(-LEFT(CH1639,8))),VALUE(LEFT(CH1639,4)),VALUE(LEFT(CH1639,FIND("-",CH1639)-1)))&lt;100,IF(AND(LEN(CH1639)=9,ISERROR(FIND("-",LEFT(CH1639,8))),ISNUMBER(-LEFT(CH1639,8))),VALUE(LEFT(CH1639,4)),VALUE(LEFT(CH1639,FIND("-",CH1639)-1)))+2000,IF(AND(LEN(CH1639)=9,ISERROR(FIND("-",LEFT(CH1639,8))),ISNUMBER(-LEFT(CH1639,8))),VALUE(LEFT(CH1639,4)),VALUE(LEFT(CH1639,FIND("-",CH1639)-1)))),""))</f>
        <v/>
      </c>
      <c r="CN1639">
        <f>IF(CH1639="","",IFERROR(IF(AND(LEN(CH1639)=9,ISERROR(FIND("-",LEFT(CH1639,8))),ISNUMBER(-LEFT(CH1639,8))),VALUE(MID(CH1639,5,2)),VALUE(MID(CH1639,FIND("-",CH1639)+1,FIND("-",CH1639,FIND("-",CH1639)+1)-FIND("-",CH1639)-1))),""))</f>
        <v/>
      </c>
      <c r="CO1639">
        <f>IF(CH1639="","",IFERROR(IF(AND(LEN(CH1639)=9,ISERROR(FIND("-",LEFT(CH1639,8))),ISNUMBER(-LEFT(CH1639,8))),VALUE(MID(CH1639,7,2)),VALUE(MID(CH1639,FIND("-",CH1639,FIND("-",CH1639)+1)+1,FIND("-",CH1639,FIND("-",CH1639,FIND("-",CH1639)+1)+1)-FIND("-",CH1639,FIND("-",CH1639)+1)-1))),""))</f>
        <v/>
      </c>
    </row>
    <row r="1640">
      <c r="CH1640">
        <f>IF(ISTEXT('월 가계부'!A1640),SUBSTITUTE(SUBSTITUTE(SUBSTITUTE(SUBSTITUTE(SUBSTITUTE(SUBSTITUTE(SUBSTITUTE(SUBSTITUTE(SUBSTITUTE(TRIM('월 가계부'!A1640),"년","-"),"월","-"),"일",""),".","-"),"/","-")," ","-"),"--","-"),"--","-"),"--","-")&amp;"-","")</f>
        <v/>
      </c>
      <c r="CI1640">
        <f>IFERROR(IF('월 가계부'!A1640="","",IF(ISNUMBER('월 가계부'!A1640),IF(AND('월 가계부'!A1640&gt;=19000101,'월 가계부'!A1640&lt;=21001231),IF(AND(MOD(INT('월 가계부'!A1640/100),100)&gt;=1,MOD(INT('월 가계부'!A1640/100),100)&lt;=12,MOD(INT('월 가계부'!A1640),100)&gt;=1,MOD(INT('월 가계부'!A1640),100)&lt;=31),IF(MONTH(DATE(INT('월 가계부'!A1640/10000),MOD(INT('월 가계부'!A1640/100),100),MOD(INT('월 가계부'!A1640),100)))=MOD(INT('월 가계부'!A1640/100),100),DATE(INT('월 가계부'!A1640/10000),MOD(INT('월 가계부'!A1640/100),100),MOD(INT('월 가계부'!A1640),100)),""),""),IF(AND('월 가계부'!A1640&gt;=36526,'월 가계부'!A1640&lt;73051),INT('월 가계부'!A1640),"")),IF(OR(CM1640="",CN1640="",CO1640=""),"",IF(AND(CM1640&gt;=2000,CM1640&lt;=2099,CN1640&gt;=1,CN1640&lt;=12,CO1640&gt;=1,CO1640&lt;=31),IF(MONTH(DATE(CM1640,CN1640,CO1640))=CN1640,DATE(CM1640,CN1640,CO1640),""),"")))),"")</f>
        <v/>
      </c>
      <c r="CJ1640">
        <f>IFERROR(IF('월 가계부'!C1640="","",IF(ISNUMBER('월 가계부'!C1640),'월 가계부'!C1640,VALUE(SUBSTITUTE(SUBSTITUTE(SUBSTITUTE(SUBSTITUTE(TRIM('월 가계부'!C1640),",",""),"원","")," ",""),"−","-")))),"")</f>
        <v/>
      </c>
      <c r="CK1640">
        <f>IF(ISNUMBER(CI1640),IF(CI1640&lt;$B$13,CI1640,""),"")</f>
        <v/>
      </c>
      <c r="CM1640">
        <f>IF(CH1640="","",IFERROR(IF(IF(AND(LEN(CH1640)=9,ISERROR(FIND("-",LEFT(CH1640,8))),ISNUMBER(-LEFT(CH1640,8))),VALUE(LEFT(CH1640,4)),VALUE(LEFT(CH1640,FIND("-",CH1640)-1)))&lt;100,IF(AND(LEN(CH1640)=9,ISERROR(FIND("-",LEFT(CH1640,8))),ISNUMBER(-LEFT(CH1640,8))),VALUE(LEFT(CH1640,4)),VALUE(LEFT(CH1640,FIND("-",CH1640)-1)))+2000,IF(AND(LEN(CH1640)=9,ISERROR(FIND("-",LEFT(CH1640,8))),ISNUMBER(-LEFT(CH1640,8))),VALUE(LEFT(CH1640,4)),VALUE(LEFT(CH1640,FIND("-",CH1640)-1)))),""))</f>
        <v/>
      </c>
      <c r="CN1640">
        <f>IF(CH1640="","",IFERROR(IF(AND(LEN(CH1640)=9,ISERROR(FIND("-",LEFT(CH1640,8))),ISNUMBER(-LEFT(CH1640,8))),VALUE(MID(CH1640,5,2)),VALUE(MID(CH1640,FIND("-",CH1640)+1,FIND("-",CH1640,FIND("-",CH1640)+1)-FIND("-",CH1640)-1))),""))</f>
        <v/>
      </c>
      <c r="CO1640">
        <f>IF(CH1640="","",IFERROR(IF(AND(LEN(CH1640)=9,ISERROR(FIND("-",LEFT(CH1640,8))),ISNUMBER(-LEFT(CH1640,8))),VALUE(MID(CH1640,7,2)),VALUE(MID(CH1640,FIND("-",CH1640,FIND("-",CH1640)+1)+1,FIND("-",CH1640,FIND("-",CH1640,FIND("-",CH1640)+1)+1)-FIND("-",CH1640,FIND("-",CH1640)+1)-1))),""))</f>
        <v/>
      </c>
    </row>
    <row r="1641">
      <c r="CH1641">
        <f>IF(ISTEXT('월 가계부'!A1641),SUBSTITUTE(SUBSTITUTE(SUBSTITUTE(SUBSTITUTE(SUBSTITUTE(SUBSTITUTE(SUBSTITUTE(SUBSTITUTE(SUBSTITUTE(TRIM('월 가계부'!A1641),"년","-"),"월","-"),"일",""),".","-"),"/","-")," ","-"),"--","-"),"--","-"),"--","-")&amp;"-","")</f>
        <v/>
      </c>
      <c r="CI1641">
        <f>IFERROR(IF('월 가계부'!A1641="","",IF(ISNUMBER('월 가계부'!A1641),IF(AND('월 가계부'!A1641&gt;=19000101,'월 가계부'!A1641&lt;=21001231),IF(AND(MOD(INT('월 가계부'!A1641/100),100)&gt;=1,MOD(INT('월 가계부'!A1641/100),100)&lt;=12,MOD(INT('월 가계부'!A1641),100)&gt;=1,MOD(INT('월 가계부'!A1641),100)&lt;=31),IF(MONTH(DATE(INT('월 가계부'!A1641/10000),MOD(INT('월 가계부'!A1641/100),100),MOD(INT('월 가계부'!A1641),100)))=MOD(INT('월 가계부'!A1641/100),100),DATE(INT('월 가계부'!A1641/10000),MOD(INT('월 가계부'!A1641/100),100),MOD(INT('월 가계부'!A1641),100)),""),""),IF(AND('월 가계부'!A1641&gt;=36526,'월 가계부'!A1641&lt;73051),INT('월 가계부'!A1641),"")),IF(OR(CM1641="",CN1641="",CO1641=""),"",IF(AND(CM1641&gt;=2000,CM1641&lt;=2099,CN1641&gt;=1,CN1641&lt;=12,CO1641&gt;=1,CO1641&lt;=31),IF(MONTH(DATE(CM1641,CN1641,CO1641))=CN1641,DATE(CM1641,CN1641,CO1641),""),"")))),"")</f>
        <v/>
      </c>
      <c r="CJ1641">
        <f>IFERROR(IF('월 가계부'!C1641="","",IF(ISNUMBER('월 가계부'!C1641),'월 가계부'!C1641,VALUE(SUBSTITUTE(SUBSTITUTE(SUBSTITUTE(SUBSTITUTE(TRIM('월 가계부'!C1641),",",""),"원","")," ",""),"−","-")))),"")</f>
        <v/>
      </c>
      <c r="CK1641">
        <f>IF(ISNUMBER(CI1641),IF(CI1641&lt;$B$13,CI1641,""),"")</f>
        <v/>
      </c>
      <c r="CM1641">
        <f>IF(CH1641="","",IFERROR(IF(IF(AND(LEN(CH1641)=9,ISERROR(FIND("-",LEFT(CH1641,8))),ISNUMBER(-LEFT(CH1641,8))),VALUE(LEFT(CH1641,4)),VALUE(LEFT(CH1641,FIND("-",CH1641)-1)))&lt;100,IF(AND(LEN(CH1641)=9,ISERROR(FIND("-",LEFT(CH1641,8))),ISNUMBER(-LEFT(CH1641,8))),VALUE(LEFT(CH1641,4)),VALUE(LEFT(CH1641,FIND("-",CH1641)-1)))+2000,IF(AND(LEN(CH1641)=9,ISERROR(FIND("-",LEFT(CH1641,8))),ISNUMBER(-LEFT(CH1641,8))),VALUE(LEFT(CH1641,4)),VALUE(LEFT(CH1641,FIND("-",CH1641)-1)))),""))</f>
        <v/>
      </c>
      <c r="CN1641">
        <f>IF(CH1641="","",IFERROR(IF(AND(LEN(CH1641)=9,ISERROR(FIND("-",LEFT(CH1641,8))),ISNUMBER(-LEFT(CH1641,8))),VALUE(MID(CH1641,5,2)),VALUE(MID(CH1641,FIND("-",CH1641)+1,FIND("-",CH1641,FIND("-",CH1641)+1)-FIND("-",CH1641)-1))),""))</f>
        <v/>
      </c>
      <c r="CO1641">
        <f>IF(CH1641="","",IFERROR(IF(AND(LEN(CH1641)=9,ISERROR(FIND("-",LEFT(CH1641,8))),ISNUMBER(-LEFT(CH1641,8))),VALUE(MID(CH1641,7,2)),VALUE(MID(CH1641,FIND("-",CH1641,FIND("-",CH1641)+1)+1,FIND("-",CH1641,FIND("-",CH1641,FIND("-",CH1641)+1)+1)-FIND("-",CH1641,FIND("-",CH1641)+1)-1))),""))</f>
        <v/>
      </c>
    </row>
    <row r="1642">
      <c r="CH1642">
        <f>IF(ISTEXT('월 가계부'!A1642),SUBSTITUTE(SUBSTITUTE(SUBSTITUTE(SUBSTITUTE(SUBSTITUTE(SUBSTITUTE(SUBSTITUTE(SUBSTITUTE(SUBSTITUTE(TRIM('월 가계부'!A1642),"년","-"),"월","-"),"일",""),".","-"),"/","-")," ","-"),"--","-"),"--","-"),"--","-")&amp;"-","")</f>
        <v/>
      </c>
      <c r="CI1642">
        <f>IFERROR(IF('월 가계부'!A1642="","",IF(ISNUMBER('월 가계부'!A1642),IF(AND('월 가계부'!A1642&gt;=19000101,'월 가계부'!A1642&lt;=21001231),IF(AND(MOD(INT('월 가계부'!A1642/100),100)&gt;=1,MOD(INT('월 가계부'!A1642/100),100)&lt;=12,MOD(INT('월 가계부'!A1642),100)&gt;=1,MOD(INT('월 가계부'!A1642),100)&lt;=31),IF(MONTH(DATE(INT('월 가계부'!A1642/10000),MOD(INT('월 가계부'!A1642/100),100),MOD(INT('월 가계부'!A1642),100)))=MOD(INT('월 가계부'!A1642/100),100),DATE(INT('월 가계부'!A1642/10000),MOD(INT('월 가계부'!A1642/100),100),MOD(INT('월 가계부'!A1642),100)),""),""),IF(AND('월 가계부'!A1642&gt;=36526,'월 가계부'!A1642&lt;73051),INT('월 가계부'!A1642),"")),IF(OR(CM1642="",CN1642="",CO1642=""),"",IF(AND(CM1642&gt;=2000,CM1642&lt;=2099,CN1642&gt;=1,CN1642&lt;=12,CO1642&gt;=1,CO1642&lt;=31),IF(MONTH(DATE(CM1642,CN1642,CO1642))=CN1642,DATE(CM1642,CN1642,CO1642),""),"")))),"")</f>
        <v/>
      </c>
      <c r="CJ1642">
        <f>IFERROR(IF('월 가계부'!C1642="","",IF(ISNUMBER('월 가계부'!C1642),'월 가계부'!C1642,VALUE(SUBSTITUTE(SUBSTITUTE(SUBSTITUTE(SUBSTITUTE(TRIM('월 가계부'!C1642),",",""),"원","")," ",""),"−","-")))),"")</f>
        <v/>
      </c>
      <c r="CK1642">
        <f>IF(ISNUMBER(CI1642),IF(CI1642&lt;$B$13,CI1642,""),"")</f>
        <v/>
      </c>
      <c r="CM1642">
        <f>IF(CH1642="","",IFERROR(IF(IF(AND(LEN(CH1642)=9,ISERROR(FIND("-",LEFT(CH1642,8))),ISNUMBER(-LEFT(CH1642,8))),VALUE(LEFT(CH1642,4)),VALUE(LEFT(CH1642,FIND("-",CH1642)-1)))&lt;100,IF(AND(LEN(CH1642)=9,ISERROR(FIND("-",LEFT(CH1642,8))),ISNUMBER(-LEFT(CH1642,8))),VALUE(LEFT(CH1642,4)),VALUE(LEFT(CH1642,FIND("-",CH1642)-1)))+2000,IF(AND(LEN(CH1642)=9,ISERROR(FIND("-",LEFT(CH1642,8))),ISNUMBER(-LEFT(CH1642,8))),VALUE(LEFT(CH1642,4)),VALUE(LEFT(CH1642,FIND("-",CH1642)-1)))),""))</f>
        <v/>
      </c>
      <c r="CN1642">
        <f>IF(CH1642="","",IFERROR(IF(AND(LEN(CH1642)=9,ISERROR(FIND("-",LEFT(CH1642,8))),ISNUMBER(-LEFT(CH1642,8))),VALUE(MID(CH1642,5,2)),VALUE(MID(CH1642,FIND("-",CH1642)+1,FIND("-",CH1642,FIND("-",CH1642)+1)-FIND("-",CH1642)-1))),""))</f>
        <v/>
      </c>
      <c r="CO1642">
        <f>IF(CH1642="","",IFERROR(IF(AND(LEN(CH1642)=9,ISERROR(FIND("-",LEFT(CH1642,8))),ISNUMBER(-LEFT(CH1642,8))),VALUE(MID(CH1642,7,2)),VALUE(MID(CH1642,FIND("-",CH1642,FIND("-",CH1642)+1)+1,FIND("-",CH1642,FIND("-",CH1642,FIND("-",CH1642)+1)+1)-FIND("-",CH1642,FIND("-",CH1642)+1)-1))),""))</f>
        <v/>
      </c>
    </row>
    <row r="1643">
      <c r="CH1643">
        <f>IF(ISTEXT('월 가계부'!A1643),SUBSTITUTE(SUBSTITUTE(SUBSTITUTE(SUBSTITUTE(SUBSTITUTE(SUBSTITUTE(SUBSTITUTE(SUBSTITUTE(SUBSTITUTE(TRIM('월 가계부'!A1643),"년","-"),"월","-"),"일",""),".","-"),"/","-")," ","-"),"--","-"),"--","-"),"--","-")&amp;"-","")</f>
        <v/>
      </c>
      <c r="CI1643">
        <f>IFERROR(IF('월 가계부'!A1643="","",IF(ISNUMBER('월 가계부'!A1643),IF(AND('월 가계부'!A1643&gt;=19000101,'월 가계부'!A1643&lt;=21001231),IF(AND(MOD(INT('월 가계부'!A1643/100),100)&gt;=1,MOD(INT('월 가계부'!A1643/100),100)&lt;=12,MOD(INT('월 가계부'!A1643),100)&gt;=1,MOD(INT('월 가계부'!A1643),100)&lt;=31),IF(MONTH(DATE(INT('월 가계부'!A1643/10000),MOD(INT('월 가계부'!A1643/100),100),MOD(INT('월 가계부'!A1643),100)))=MOD(INT('월 가계부'!A1643/100),100),DATE(INT('월 가계부'!A1643/10000),MOD(INT('월 가계부'!A1643/100),100),MOD(INT('월 가계부'!A1643),100)),""),""),IF(AND('월 가계부'!A1643&gt;=36526,'월 가계부'!A1643&lt;73051),INT('월 가계부'!A1643),"")),IF(OR(CM1643="",CN1643="",CO1643=""),"",IF(AND(CM1643&gt;=2000,CM1643&lt;=2099,CN1643&gt;=1,CN1643&lt;=12,CO1643&gt;=1,CO1643&lt;=31),IF(MONTH(DATE(CM1643,CN1643,CO1643))=CN1643,DATE(CM1643,CN1643,CO1643),""),"")))),"")</f>
        <v/>
      </c>
      <c r="CJ1643">
        <f>IFERROR(IF('월 가계부'!C1643="","",IF(ISNUMBER('월 가계부'!C1643),'월 가계부'!C1643,VALUE(SUBSTITUTE(SUBSTITUTE(SUBSTITUTE(SUBSTITUTE(TRIM('월 가계부'!C1643),",",""),"원","")," ",""),"−","-")))),"")</f>
        <v/>
      </c>
      <c r="CK1643">
        <f>IF(ISNUMBER(CI1643),IF(CI1643&lt;$B$13,CI1643,""),"")</f>
        <v/>
      </c>
      <c r="CM1643">
        <f>IF(CH1643="","",IFERROR(IF(IF(AND(LEN(CH1643)=9,ISERROR(FIND("-",LEFT(CH1643,8))),ISNUMBER(-LEFT(CH1643,8))),VALUE(LEFT(CH1643,4)),VALUE(LEFT(CH1643,FIND("-",CH1643)-1)))&lt;100,IF(AND(LEN(CH1643)=9,ISERROR(FIND("-",LEFT(CH1643,8))),ISNUMBER(-LEFT(CH1643,8))),VALUE(LEFT(CH1643,4)),VALUE(LEFT(CH1643,FIND("-",CH1643)-1)))+2000,IF(AND(LEN(CH1643)=9,ISERROR(FIND("-",LEFT(CH1643,8))),ISNUMBER(-LEFT(CH1643,8))),VALUE(LEFT(CH1643,4)),VALUE(LEFT(CH1643,FIND("-",CH1643)-1)))),""))</f>
        <v/>
      </c>
      <c r="CN1643">
        <f>IF(CH1643="","",IFERROR(IF(AND(LEN(CH1643)=9,ISERROR(FIND("-",LEFT(CH1643,8))),ISNUMBER(-LEFT(CH1643,8))),VALUE(MID(CH1643,5,2)),VALUE(MID(CH1643,FIND("-",CH1643)+1,FIND("-",CH1643,FIND("-",CH1643)+1)-FIND("-",CH1643)-1))),""))</f>
        <v/>
      </c>
      <c r="CO1643">
        <f>IF(CH1643="","",IFERROR(IF(AND(LEN(CH1643)=9,ISERROR(FIND("-",LEFT(CH1643,8))),ISNUMBER(-LEFT(CH1643,8))),VALUE(MID(CH1643,7,2)),VALUE(MID(CH1643,FIND("-",CH1643,FIND("-",CH1643)+1)+1,FIND("-",CH1643,FIND("-",CH1643,FIND("-",CH1643)+1)+1)-FIND("-",CH1643,FIND("-",CH1643)+1)-1))),""))</f>
        <v/>
      </c>
    </row>
    <row r="1644">
      <c r="CH1644">
        <f>IF(ISTEXT('월 가계부'!A1644),SUBSTITUTE(SUBSTITUTE(SUBSTITUTE(SUBSTITUTE(SUBSTITUTE(SUBSTITUTE(SUBSTITUTE(SUBSTITUTE(SUBSTITUTE(TRIM('월 가계부'!A1644),"년","-"),"월","-"),"일",""),".","-"),"/","-")," ","-"),"--","-"),"--","-"),"--","-")&amp;"-","")</f>
        <v/>
      </c>
      <c r="CI1644">
        <f>IFERROR(IF('월 가계부'!A1644="","",IF(ISNUMBER('월 가계부'!A1644),IF(AND('월 가계부'!A1644&gt;=19000101,'월 가계부'!A1644&lt;=21001231),IF(AND(MOD(INT('월 가계부'!A1644/100),100)&gt;=1,MOD(INT('월 가계부'!A1644/100),100)&lt;=12,MOD(INT('월 가계부'!A1644),100)&gt;=1,MOD(INT('월 가계부'!A1644),100)&lt;=31),IF(MONTH(DATE(INT('월 가계부'!A1644/10000),MOD(INT('월 가계부'!A1644/100),100),MOD(INT('월 가계부'!A1644),100)))=MOD(INT('월 가계부'!A1644/100),100),DATE(INT('월 가계부'!A1644/10000),MOD(INT('월 가계부'!A1644/100),100),MOD(INT('월 가계부'!A1644),100)),""),""),IF(AND('월 가계부'!A1644&gt;=36526,'월 가계부'!A1644&lt;73051),INT('월 가계부'!A1644),"")),IF(OR(CM1644="",CN1644="",CO1644=""),"",IF(AND(CM1644&gt;=2000,CM1644&lt;=2099,CN1644&gt;=1,CN1644&lt;=12,CO1644&gt;=1,CO1644&lt;=31),IF(MONTH(DATE(CM1644,CN1644,CO1644))=CN1644,DATE(CM1644,CN1644,CO1644),""),"")))),"")</f>
        <v/>
      </c>
      <c r="CJ1644">
        <f>IFERROR(IF('월 가계부'!C1644="","",IF(ISNUMBER('월 가계부'!C1644),'월 가계부'!C1644,VALUE(SUBSTITUTE(SUBSTITUTE(SUBSTITUTE(SUBSTITUTE(TRIM('월 가계부'!C1644),",",""),"원","")," ",""),"−","-")))),"")</f>
        <v/>
      </c>
      <c r="CK1644">
        <f>IF(ISNUMBER(CI1644),IF(CI1644&lt;$B$13,CI1644,""),"")</f>
        <v/>
      </c>
      <c r="CM1644">
        <f>IF(CH1644="","",IFERROR(IF(IF(AND(LEN(CH1644)=9,ISERROR(FIND("-",LEFT(CH1644,8))),ISNUMBER(-LEFT(CH1644,8))),VALUE(LEFT(CH1644,4)),VALUE(LEFT(CH1644,FIND("-",CH1644)-1)))&lt;100,IF(AND(LEN(CH1644)=9,ISERROR(FIND("-",LEFT(CH1644,8))),ISNUMBER(-LEFT(CH1644,8))),VALUE(LEFT(CH1644,4)),VALUE(LEFT(CH1644,FIND("-",CH1644)-1)))+2000,IF(AND(LEN(CH1644)=9,ISERROR(FIND("-",LEFT(CH1644,8))),ISNUMBER(-LEFT(CH1644,8))),VALUE(LEFT(CH1644,4)),VALUE(LEFT(CH1644,FIND("-",CH1644)-1)))),""))</f>
        <v/>
      </c>
      <c r="CN1644">
        <f>IF(CH1644="","",IFERROR(IF(AND(LEN(CH1644)=9,ISERROR(FIND("-",LEFT(CH1644,8))),ISNUMBER(-LEFT(CH1644,8))),VALUE(MID(CH1644,5,2)),VALUE(MID(CH1644,FIND("-",CH1644)+1,FIND("-",CH1644,FIND("-",CH1644)+1)-FIND("-",CH1644)-1))),""))</f>
        <v/>
      </c>
      <c r="CO1644">
        <f>IF(CH1644="","",IFERROR(IF(AND(LEN(CH1644)=9,ISERROR(FIND("-",LEFT(CH1644,8))),ISNUMBER(-LEFT(CH1644,8))),VALUE(MID(CH1644,7,2)),VALUE(MID(CH1644,FIND("-",CH1644,FIND("-",CH1644)+1)+1,FIND("-",CH1644,FIND("-",CH1644,FIND("-",CH1644)+1)+1)-FIND("-",CH1644,FIND("-",CH1644)+1)-1))),""))</f>
        <v/>
      </c>
    </row>
    <row r="1645">
      <c r="CH1645">
        <f>IF(ISTEXT('월 가계부'!A1645),SUBSTITUTE(SUBSTITUTE(SUBSTITUTE(SUBSTITUTE(SUBSTITUTE(SUBSTITUTE(SUBSTITUTE(SUBSTITUTE(SUBSTITUTE(TRIM('월 가계부'!A1645),"년","-"),"월","-"),"일",""),".","-"),"/","-")," ","-"),"--","-"),"--","-"),"--","-")&amp;"-","")</f>
        <v/>
      </c>
      <c r="CI1645">
        <f>IFERROR(IF('월 가계부'!A1645="","",IF(ISNUMBER('월 가계부'!A1645),IF(AND('월 가계부'!A1645&gt;=19000101,'월 가계부'!A1645&lt;=21001231),IF(AND(MOD(INT('월 가계부'!A1645/100),100)&gt;=1,MOD(INT('월 가계부'!A1645/100),100)&lt;=12,MOD(INT('월 가계부'!A1645),100)&gt;=1,MOD(INT('월 가계부'!A1645),100)&lt;=31),IF(MONTH(DATE(INT('월 가계부'!A1645/10000),MOD(INT('월 가계부'!A1645/100),100),MOD(INT('월 가계부'!A1645),100)))=MOD(INT('월 가계부'!A1645/100),100),DATE(INT('월 가계부'!A1645/10000),MOD(INT('월 가계부'!A1645/100),100),MOD(INT('월 가계부'!A1645),100)),""),""),IF(AND('월 가계부'!A1645&gt;=36526,'월 가계부'!A1645&lt;73051),INT('월 가계부'!A1645),"")),IF(OR(CM1645="",CN1645="",CO1645=""),"",IF(AND(CM1645&gt;=2000,CM1645&lt;=2099,CN1645&gt;=1,CN1645&lt;=12,CO1645&gt;=1,CO1645&lt;=31),IF(MONTH(DATE(CM1645,CN1645,CO1645))=CN1645,DATE(CM1645,CN1645,CO1645),""),"")))),"")</f>
        <v/>
      </c>
      <c r="CJ1645">
        <f>IFERROR(IF('월 가계부'!C1645="","",IF(ISNUMBER('월 가계부'!C1645),'월 가계부'!C1645,VALUE(SUBSTITUTE(SUBSTITUTE(SUBSTITUTE(SUBSTITUTE(TRIM('월 가계부'!C1645),",",""),"원","")," ",""),"−","-")))),"")</f>
        <v/>
      </c>
      <c r="CK1645">
        <f>IF(ISNUMBER(CI1645),IF(CI1645&lt;$B$13,CI1645,""),"")</f>
        <v/>
      </c>
      <c r="CM1645">
        <f>IF(CH1645="","",IFERROR(IF(IF(AND(LEN(CH1645)=9,ISERROR(FIND("-",LEFT(CH1645,8))),ISNUMBER(-LEFT(CH1645,8))),VALUE(LEFT(CH1645,4)),VALUE(LEFT(CH1645,FIND("-",CH1645)-1)))&lt;100,IF(AND(LEN(CH1645)=9,ISERROR(FIND("-",LEFT(CH1645,8))),ISNUMBER(-LEFT(CH1645,8))),VALUE(LEFT(CH1645,4)),VALUE(LEFT(CH1645,FIND("-",CH1645)-1)))+2000,IF(AND(LEN(CH1645)=9,ISERROR(FIND("-",LEFT(CH1645,8))),ISNUMBER(-LEFT(CH1645,8))),VALUE(LEFT(CH1645,4)),VALUE(LEFT(CH1645,FIND("-",CH1645)-1)))),""))</f>
        <v/>
      </c>
      <c r="CN1645">
        <f>IF(CH1645="","",IFERROR(IF(AND(LEN(CH1645)=9,ISERROR(FIND("-",LEFT(CH1645,8))),ISNUMBER(-LEFT(CH1645,8))),VALUE(MID(CH1645,5,2)),VALUE(MID(CH1645,FIND("-",CH1645)+1,FIND("-",CH1645,FIND("-",CH1645)+1)-FIND("-",CH1645)-1))),""))</f>
        <v/>
      </c>
      <c r="CO1645">
        <f>IF(CH1645="","",IFERROR(IF(AND(LEN(CH1645)=9,ISERROR(FIND("-",LEFT(CH1645,8))),ISNUMBER(-LEFT(CH1645,8))),VALUE(MID(CH1645,7,2)),VALUE(MID(CH1645,FIND("-",CH1645,FIND("-",CH1645)+1)+1,FIND("-",CH1645,FIND("-",CH1645,FIND("-",CH1645)+1)+1)-FIND("-",CH1645,FIND("-",CH1645)+1)-1))),""))</f>
        <v/>
      </c>
    </row>
    <row r="1646">
      <c r="CH1646">
        <f>IF(ISTEXT('월 가계부'!A1646),SUBSTITUTE(SUBSTITUTE(SUBSTITUTE(SUBSTITUTE(SUBSTITUTE(SUBSTITUTE(SUBSTITUTE(SUBSTITUTE(SUBSTITUTE(TRIM('월 가계부'!A1646),"년","-"),"월","-"),"일",""),".","-"),"/","-")," ","-"),"--","-"),"--","-"),"--","-")&amp;"-","")</f>
        <v/>
      </c>
      <c r="CI1646">
        <f>IFERROR(IF('월 가계부'!A1646="","",IF(ISNUMBER('월 가계부'!A1646),IF(AND('월 가계부'!A1646&gt;=19000101,'월 가계부'!A1646&lt;=21001231),IF(AND(MOD(INT('월 가계부'!A1646/100),100)&gt;=1,MOD(INT('월 가계부'!A1646/100),100)&lt;=12,MOD(INT('월 가계부'!A1646),100)&gt;=1,MOD(INT('월 가계부'!A1646),100)&lt;=31),IF(MONTH(DATE(INT('월 가계부'!A1646/10000),MOD(INT('월 가계부'!A1646/100),100),MOD(INT('월 가계부'!A1646),100)))=MOD(INT('월 가계부'!A1646/100),100),DATE(INT('월 가계부'!A1646/10000),MOD(INT('월 가계부'!A1646/100),100),MOD(INT('월 가계부'!A1646),100)),""),""),IF(AND('월 가계부'!A1646&gt;=36526,'월 가계부'!A1646&lt;73051),INT('월 가계부'!A1646),"")),IF(OR(CM1646="",CN1646="",CO1646=""),"",IF(AND(CM1646&gt;=2000,CM1646&lt;=2099,CN1646&gt;=1,CN1646&lt;=12,CO1646&gt;=1,CO1646&lt;=31),IF(MONTH(DATE(CM1646,CN1646,CO1646))=CN1646,DATE(CM1646,CN1646,CO1646),""),"")))),"")</f>
        <v/>
      </c>
      <c r="CJ1646">
        <f>IFERROR(IF('월 가계부'!C1646="","",IF(ISNUMBER('월 가계부'!C1646),'월 가계부'!C1646,VALUE(SUBSTITUTE(SUBSTITUTE(SUBSTITUTE(SUBSTITUTE(TRIM('월 가계부'!C1646),",",""),"원","")," ",""),"−","-")))),"")</f>
        <v/>
      </c>
      <c r="CK1646">
        <f>IF(ISNUMBER(CI1646),IF(CI1646&lt;$B$13,CI1646,""),"")</f>
        <v/>
      </c>
      <c r="CM1646">
        <f>IF(CH1646="","",IFERROR(IF(IF(AND(LEN(CH1646)=9,ISERROR(FIND("-",LEFT(CH1646,8))),ISNUMBER(-LEFT(CH1646,8))),VALUE(LEFT(CH1646,4)),VALUE(LEFT(CH1646,FIND("-",CH1646)-1)))&lt;100,IF(AND(LEN(CH1646)=9,ISERROR(FIND("-",LEFT(CH1646,8))),ISNUMBER(-LEFT(CH1646,8))),VALUE(LEFT(CH1646,4)),VALUE(LEFT(CH1646,FIND("-",CH1646)-1)))+2000,IF(AND(LEN(CH1646)=9,ISERROR(FIND("-",LEFT(CH1646,8))),ISNUMBER(-LEFT(CH1646,8))),VALUE(LEFT(CH1646,4)),VALUE(LEFT(CH1646,FIND("-",CH1646)-1)))),""))</f>
        <v/>
      </c>
      <c r="CN1646">
        <f>IF(CH1646="","",IFERROR(IF(AND(LEN(CH1646)=9,ISERROR(FIND("-",LEFT(CH1646,8))),ISNUMBER(-LEFT(CH1646,8))),VALUE(MID(CH1646,5,2)),VALUE(MID(CH1646,FIND("-",CH1646)+1,FIND("-",CH1646,FIND("-",CH1646)+1)-FIND("-",CH1646)-1))),""))</f>
        <v/>
      </c>
      <c r="CO1646">
        <f>IF(CH1646="","",IFERROR(IF(AND(LEN(CH1646)=9,ISERROR(FIND("-",LEFT(CH1646,8))),ISNUMBER(-LEFT(CH1646,8))),VALUE(MID(CH1646,7,2)),VALUE(MID(CH1646,FIND("-",CH1646,FIND("-",CH1646)+1)+1,FIND("-",CH1646,FIND("-",CH1646,FIND("-",CH1646)+1)+1)-FIND("-",CH1646,FIND("-",CH1646)+1)-1))),""))</f>
        <v/>
      </c>
    </row>
    <row r="1647">
      <c r="CH1647">
        <f>IF(ISTEXT('월 가계부'!A1647),SUBSTITUTE(SUBSTITUTE(SUBSTITUTE(SUBSTITUTE(SUBSTITUTE(SUBSTITUTE(SUBSTITUTE(SUBSTITUTE(SUBSTITUTE(TRIM('월 가계부'!A1647),"년","-"),"월","-"),"일",""),".","-"),"/","-")," ","-"),"--","-"),"--","-"),"--","-")&amp;"-","")</f>
        <v/>
      </c>
      <c r="CI1647">
        <f>IFERROR(IF('월 가계부'!A1647="","",IF(ISNUMBER('월 가계부'!A1647),IF(AND('월 가계부'!A1647&gt;=19000101,'월 가계부'!A1647&lt;=21001231),IF(AND(MOD(INT('월 가계부'!A1647/100),100)&gt;=1,MOD(INT('월 가계부'!A1647/100),100)&lt;=12,MOD(INT('월 가계부'!A1647),100)&gt;=1,MOD(INT('월 가계부'!A1647),100)&lt;=31),IF(MONTH(DATE(INT('월 가계부'!A1647/10000),MOD(INT('월 가계부'!A1647/100),100),MOD(INT('월 가계부'!A1647),100)))=MOD(INT('월 가계부'!A1647/100),100),DATE(INT('월 가계부'!A1647/10000),MOD(INT('월 가계부'!A1647/100),100),MOD(INT('월 가계부'!A1647),100)),""),""),IF(AND('월 가계부'!A1647&gt;=36526,'월 가계부'!A1647&lt;73051),INT('월 가계부'!A1647),"")),IF(OR(CM1647="",CN1647="",CO1647=""),"",IF(AND(CM1647&gt;=2000,CM1647&lt;=2099,CN1647&gt;=1,CN1647&lt;=12,CO1647&gt;=1,CO1647&lt;=31),IF(MONTH(DATE(CM1647,CN1647,CO1647))=CN1647,DATE(CM1647,CN1647,CO1647),""),"")))),"")</f>
        <v/>
      </c>
      <c r="CJ1647">
        <f>IFERROR(IF('월 가계부'!C1647="","",IF(ISNUMBER('월 가계부'!C1647),'월 가계부'!C1647,VALUE(SUBSTITUTE(SUBSTITUTE(SUBSTITUTE(SUBSTITUTE(TRIM('월 가계부'!C1647),",",""),"원","")," ",""),"−","-")))),"")</f>
        <v/>
      </c>
      <c r="CK1647">
        <f>IF(ISNUMBER(CI1647),IF(CI1647&lt;$B$13,CI1647,""),"")</f>
        <v/>
      </c>
      <c r="CM1647">
        <f>IF(CH1647="","",IFERROR(IF(IF(AND(LEN(CH1647)=9,ISERROR(FIND("-",LEFT(CH1647,8))),ISNUMBER(-LEFT(CH1647,8))),VALUE(LEFT(CH1647,4)),VALUE(LEFT(CH1647,FIND("-",CH1647)-1)))&lt;100,IF(AND(LEN(CH1647)=9,ISERROR(FIND("-",LEFT(CH1647,8))),ISNUMBER(-LEFT(CH1647,8))),VALUE(LEFT(CH1647,4)),VALUE(LEFT(CH1647,FIND("-",CH1647)-1)))+2000,IF(AND(LEN(CH1647)=9,ISERROR(FIND("-",LEFT(CH1647,8))),ISNUMBER(-LEFT(CH1647,8))),VALUE(LEFT(CH1647,4)),VALUE(LEFT(CH1647,FIND("-",CH1647)-1)))),""))</f>
        <v/>
      </c>
      <c r="CN1647">
        <f>IF(CH1647="","",IFERROR(IF(AND(LEN(CH1647)=9,ISERROR(FIND("-",LEFT(CH1647,8))),ISNUMBER(-LEFT(CH1647,8))),VALUE(MID(CH1647,5,2)),VALUE(MID(CH1647,FIND("-",CH1647)+1,FIND("-",CH1647,FIND("-",CH1647)+1)-FIND("-",CH1647)-1))),""))</f>
        <v/>
      </c>
      <c r="CO1647">
        <f>IF(CH1647="","",IFERROR(IF(AND(LEN(CH1647)=9,ISERROR(FIND("-",LEFT(CH1647,8))),ISNUMBER(-LEFT(CH1647,8))),VALUE(MID(CH1647,7,2)),VALUE(MID(CH1647,FIND("-",CH1647,FIND("-",CH1647)+1)+1,FIND("-",CH1647,FIND("-",CH1647,FIND("-",CH1647)+1)+1)-FIND("-",CH1647,FIND("-",CH1647)+1)-1))),""))</f>
        <v/>
      </c>
    </row>
    <row r="1648">
      <c r="CH1648">
        <f>IF(ISTEXT('월 가계부'!A1648),SUBSTITUTE(SUBSTITUTE(SUBSTITUTE(SUBSTITUTE(SUBSTITUTE(SUBSTITUTE(SUBSTITUTE(SUBSTITUTE(SUBSTITUTE(TRIM('월 가계부'!A1648),"년","-"),"월","-"),"일",""),".","-"),"/","-")," ","-"),"--","-"),"--","-"),"--","-")&amp;"-","")</f>
        <v/>
      </c>
      <c r="CI1648">
        <f>IFERROR(IF('월 가계부'!A1648="","",IF(ISNUMBER('월 가계부'!A1648),IF(AND('월 가계부'!A1648&gt;=19000101,'월 가계부'!A1648&lt;=21001231),IF(AND(MOD(INT('월 가계부'!A1648/100),100)&gt;=1,MOD(INT('월 가계부'!A1648/100),100)&lt;=12,MOD(INT('월 가계부'!A1648),100)&gt;=1,MOD(INT('월 가계부'!A1648),100)&lt;=31),IF(MONTH(DATE(INT('월 가계부'!A1648/10000),MOD(INT('월 가계부'!A1648/100),100),MOD(INT('월 가계부'!A1648),100)))=MOD(INT('월 가계부'!A1648/100),100),DATE(INT('월 가계부'!A1648/10000),MOD(INT('월 가계부'!A1648/100),100),MOD(INT('월 가계부'!A1648),100)),""),""),IF(AND('월 가계부'!A1648&gt;=36526,'월 가계부'!A1648&lt;73051),INT('월 가계부'!A1648),"")),IF(OR(CM1648="",CN1648="",CO1648=""),"",IF(AND(CM1648&gt;=2000,CM1648&lt;=2099,CN1648&gt;=1,CN1648&lt;=12,CO1648&gt;=1,CO1648&lt;=31),IF(MONTH(DATE(CM1648,CN1648,CO1648))=CN1648,DATE(CM1648,CN1648,CO1648),""),"")))),"")</f>
        <v/>
      </c>
      <c r="CJ1648">
        <f>IFERROR(IF('월 가계부'!C1648="","",IF(ISNUMBER('월 가계부'!C1648),'월 가계부'!C1648,VALUE(SUBSTITUTE(SUBSTITUTE(SUBSTITUTE(SUBSTITUTE(TRIM('월 가계부'!C1648),",",""),"원","")," ",""),"−","-")))),"")</f>
        <v/>
      </c>
      <c r="CK1648">
        <f>IF(ISNUMBER(CI1648),IF(CI1648&lt;$B$13,CI1648,""),"")</f>
        <v/>
      </c>
      <c r="CM1648">
        <f>IF(CH1648="","",IFERROR(IF(IF(AND(LEN(CH1648)=9,ISERROR(FIND("-",LEFT(CH1648,8))),ISNUMBER(-LEFT(CH1648,8))),VALUE(LEFT(CH1648,4)),VALUE(LEFT(CH1648,FIND("-",CH1648)-1)))&lt;100,IF(AND(LEN(CH1648)=9,ISERROR(FIND("-",LEFT(CH1648,8))),ISNUMBER(-LEFT(CH1648,8))),VALUE(LEFT(CH1648,4)),VALUE(LEFT(CH1648,FIND("-",CH1648)-1)))+2000,IF(AND(LEN(CH1648)=9,ISERROR(FIND("-",LEFT(CH1648,8))),ISNUMBER(-LEFT(CH1648,8))),VALUE(LEFT(CH1648,4)),VALUE(LEFT(CH1648,FIND("-",CH1648)-1)))),""))</f>
        <v/>
      </c>
      <c r="CN1648">
        <f>IF(CH1648="","",IFERROR(IF(AND(LEN(CH1648)=9,ISERROR(FIND("-",LEFT(CH1648,8))),ISNUMBER(-LEFT(CH1648,8))),VALUE(MID(CH1648,5,2)),VALUE(MID(CH1648,FIND("-",CH1648)+1,FIND("-",CH1648,FIND("-",CH1648)+1)-FIND("-",CH1648)-1))),""))</f>
        <v/>
      </c>
      <c r="CO1648">
        <f>IF(CH1648="","",IFERROR(IF(AND(LEN(CH1648)=9,ISERROR(FIND("-",LEFT(CH1648,8))),ISNUMBER(-LEFT(CH1648,8))),VALUE(MID(CH1648,7,2)),VALUE(MID(CH1648,FIND("-",CH1648,FIND("-",CH1648)+1)+1,FIND("-",CH1648,FIND("-",CH1648,FIND("-",CH1648)+1)+1)-FIND("-",CH1648,FIND("-",CH1648)+1)-1))),""))</f>
        <v/>
      </c>
    </row>
    <row r="1649">
      <c r="CH1649">
        <f>IF(ISTEXT('월 가계부'!A1649),SUBSTITUTE(SUBSTITUTE(SUBSTITUTE(SUBSTITUTE(SUBSTITUTE(SUBSTITUTE(SUBSTITUTE(SUBSTITUTE(SUBSTITUTE(TRIM('월 가계부'!A1649),"년","-"),"월","-"),"일",""),".","-"),"/","-")," ","-"),"--","-"),"--","-"),"--","-")&amp;"-","")</f>
        <v/>
      </c>
      <c r="CI1649">
        <f>IFERROR(IF('월 가계부'!A1649="","",IF(ISNUMBER('월 가계부'!A1649),IF(AND('월 가계부'!A1649&gt;=19000101,'월 가계부'!A1649&lt;=21001231),IF(AND(MOD(INT('월 가계부'!A1649/100),100)&gt;=1,MOD(INT('월 가계부'!A1649/100),100)&lt;=12,MOD(INT('월 가계부'!A1649),100)&gt;=1,MOD(INT('월 가계부'!A1649),100)&lt;=31),IF(MONTH(DATE(INT('월 가계부'!A1649/10000),MOD(INT('월 가계부'!A1649/100),100),MOD(INT('월 가계부'!A1649),100)))=MOD(INT('월 가계부'!A1649/100),100),DATE(INT('월 가계부'!A1649/10000),MOD(INT('월 가계부'!A1649/100),100),MOD(INT('월 가계부'!A1649),100)),""),""),IF(AND('월 가계부'!A1649&gt;=36526,'월 가계부'!A1649&lt;73051),INT('월 가계부'!A1649),"")),IF(OR(CM1649="",CN1649="",CO1649=""),"",IF(AND(CM1649&gt;=2000,CM1649&lt;=2099,CN1649&gt;=1,CN1649&lt;=12,CO1649&gt;=1,CO1649&lt;=31),IF(MONTH(DATE(CM1649,CN1649,CO1649))=CN1649,DATE(CM1649,CN1649,CO1649),""),"")))),"")</f>
        <v/>
      </c>
      <c r="CJ1649">
        <f>IFERROR(IF('월 가계부'!C1649="","",IF(ISNUMBER('월 가계부'!C1649),'월 가계부'!C1649,VALUE(SUBSTITUTE(SUBSTITUTE(SUBSTITUTE(SUBSTITUTE(TRIM('월 가계부'!C1649),",",""),"원","")," ",""),"−","-")))),"")</f>
        <v/>
      </c>
      <c r="CK1649">
        <f>IF(ISNUMBER(CI1649),IF(CI1649&lt;$B$13,CI1649,""),"")</f>
        <v/>
      </c>
      <c r="CM1649">
        <f>IF(CH1649="","",IFERROR(IF(IF(AND(LEN(CH1649)=9,ISERROR(FIND("-",LEFT(CH1649,8))),ISNUMBER(-LEFT(CH1649,8))),VALUE(LEFT(CH1649,4)),VALUE(LEFT(CH1649,FIND("-",CH1649)-1)))&lt;100,IF(AND(LEN(CH1649)=9,ISERROR(FIND("-",LEFT(CH1649,8))),ISNUMBER(-LEFT(CH1649,8))),VALUE(LEFT(CH1649,4)),VALUE(LEFT(CH1649,FIND("-",CH1649)-1)))+2000,IF(AND(LEN(CH1649)=9,ISERROR(FIND("-",LEFT(CH1649,8))),ISNUMBER(-LEFT(CH1649,8))),VALUE(LEFT(CH1649,4)),VALUE(LEFT(CH1649,FIND("-",CH1649)-1)))),""))</f>
        <v/>
      </c>
      <c r="CN1649">
        <f>IF(CH1649="","",IFERROR(IF(AND(LEN(CH1649)=9,ISERROR(FIND("-",LEFT(CH1649,8))),ISNUMBER(-LEFT(CH1649,8))),VALUE(MID(CH1649,5,2)),VALUE(MID(CH1649,FIND("-",CH1649)+1,FIND("-",CH1649,FIND("-",CH1649)+1)-FIND("-",CH1649)-1))),""))</f>
        <v/>
      </c>
      <c r="CO1649">
        <f>IF(CH1649="","",IFERROR(IF(AND(LEN(CH1649)=9,ISERROR(FIND("-",LEFT(CH1649,8))),ISNUMBER(-LEFT(CH1649,8))),VALUE(MID(CH1649,7,2)),VALUE(MID(CH1649,FIND("-",CH1649,FIND("-",CH1649)+1)+1,FIND("-",CH1649,FIND("-",CH1649,FIND("-",CH1649)+1)+1)-FIND("-",CH1649,FIND("-",CH1649)+1)-1))),""))</f>
        <v/>
      </c>
    </row>
    <row r="1650">
      <c r="CH1650">
        <f>IF(ISTEXT('월 가계부'!A1650),SUBSTITUTE(SUBSTITUTE(SUBSTITUTE(SUBSTITUTE(SUBSTITUTE(SUBSTITUTE(SUBSTITUTE(SUBSTITUTE(SUBSTITUTE(TRIM('월 가계부'!A1650),"년","-"),"월","-"),"일",""),".","-"),"/","-")," ","-"),"--","-"),"--","-"),"--","-")&amp;"-","")</f>
        <v/>
      </c>
      <c r="CI1650">
        <f>IFERROR(IF('월 가계부'!A1650="","",IF(ISNUMBER('월 가계부'!A1650),IF(AND('월 가계부'!A1650&gt;=19000101,'월 가계부'!A1650&lt;=21001231),IF(AND(MOD(INT('월 가계부'!A1650/100),100)&gt;=1,MOD(INT('월 가계부'!A1650/100),100)&lt;=12,MOD(INT('월 가계부'!A1650),100)&gt;=1,MOD(INT('월 가계부'!A1650),100)&lt;=31),IF(MONTH(DATE(INT('월 가계부'!A1650/10000),MOD(INT('월 가계부'!A1650/100),100),MOD(INT('월 가계부'!A1650),100)))=MOD(INT('월 가계부'!A1650/100),100),DATE(INT('월 가계부'!A1650/10000),MOD(INT('월 가계부'!A1650/100),100),MOD(INT('월 가계부'!A1650),100)),""),""),IF(AND('월 가계부'!A1650&gt;=36526,'월 가계부'!A1650&lt;73051),INT('월 가계부'!A1650),"")),IF(OR(CM1650="",CN1650="",CO1650=""),"",IF(AND(CM1650&gt;=2000,CM1650&lt;=2099,CN1650&gt;=1,CN1650&lt;=12,CO1650&gt;=1,CO1650&lt;=31),IF(MONTH(DATE(CM1650,CN1650,CO1650))=CN1650,DATE(CM1650,CN1650,CO1650),""),"")))),"")</f>
        <v/>
      </c>
      <c r="CJ1650">
        <f>IFERROR(IF('월 가계부'!C1650="","",IF(ISNUMBER('월 가계부'!C1650),'월 가계부'!C1650,VALUE(SUBSTITUTE(SUBSTITUTE(SUBSTITUTE(SUBSTITUTE(TRIM('월 가계부'!C1650),",",""),"원","")," ",""),"−","-")))),"")</f>
        <v/>
      </c>
      <c r="CK1650">
        <f>IF(ISNUMBER(CI1650),IF(CI1650&lt;$B$13,CI1650,""),"")</f>
        <v/>
      </c>
      <c r="CM1650">
        <f>IF(CH1650="","",IFERROR(IF(IF(AND(LEN(CH1650)=9,ISERROR(FIND("-",LEFT(CH1650,8))),ISNUMBER(-LEFT(CH1650,8))),VALUE(LEFT(CH1650,4)),VALUE(LEFT(CH1650,FIND("-",CH1650)-1)))&lt;100,IF(AND(LEN(CH1650)=9,ISERROR(FIND("-",LEFT(CH1650,8))),ISNUMBER(-LEFT(CH1650,8))),VALUE(LEFT(CH1650,4)),VALUE(LEFT(CH1650,FIND("-",CH1650)-1)))+2000,IF(AND(LEN(CH1650)=9,ISERROR(FIND("-",LEFT(CH1650,8))),ISNUMBER(-LEFT(CH1650,8))),VALUE(LEFT(CH1650,4)),VALUE(LEFT(CH1650,FIND("-",CH1650)-1)))),""))</f>
        <v/>
      </c>
      <c r="CN1650">
        <f>IF(CH1650="","",IFERROR(IF(AND(LEN(CH1650)=9,ISERROR(FIND("-",LEFT(CH1650,8))),ISNUMBER(-LEFT(CH1650,8))),VALUE(MID(CH1650,5,2)),VALUE(MID(CH1650,FIND("-",CH1650)+1,FIND("-",CH1650,FIND("-",CH1650)+1)-FIND("-",CH1650)-1))),""))</f>
        <v/>
      </c>
      <c r="CO1650">
        <f>IF(CH1650="","",IFERROR(IF(AND(LEN(CH1650)=9,ISERROR(FIND("-",LEFT(CH1650,8))),ISNUMBER(-LEFT(CH1650,8))),VALUE(MID(CH1650,7,2)),VALUE(MID(CH1650,FIND("-",CH1650,FIND("-",CH1650)+1)+1,FIND("-",CH1650,FIND("-",CH1650,FIND("-",CH1650)+1)+1)-FIND("-",CH1650,FIND("-",CH1650)+1)-1))),""))</f>
        <v/>
      </c>
    </row>
    <row r="1651">
      <c r="CH1651">
        <f>IF(ISTEXT('월 가계부'!A1651),SUBSTITUTE(SUBSTITUTE(SUBSTITUTE(SUBSTITUTE(SUBSTITUTE(SUBSTITUTE(SUBSTITUTE(SUBSTITUTE(SUBSTITUTE(TRIM('월 가계부'!A1651),"년","-"),"월","-"),"일",""),".","-"),"/","-")," ","-"),"--","-"),"--","-"),"--","-")&amp;"-","")</f>
        <v/>
      </c>
      <c r="CI1651">
        <f>IFERROR(IF('월 가계부'!A1651="","",IF(ISNUMBER('월 가계부'!A1651),IF(AND('월 가계부'!A1651&gt;=19000101,'월 가계부'!A1651&lt;=21001231),IF(AND(MOD(INT('월 가계부'!A1651/100),100)&gt;=1,MOD(INT('월 가계부'!A1651/100),100)&lt;=12,MOD(INT('월 가계부'!A1651),100)&gt;=1,MOD(INT('월 가계부'!A1651),100)&lt;=31),IF(MONTH(DATE(INT('월 가계부'!A1651/10000),MOD(INT('월 가계부'!A1651/100),100),MOD(INT('월 가계부'!A1651),100)))=MOD(INT('월 가계부'!A1651/100),100),DATE(INT('월 가계부'!A1651/10000),MOD(INT('월 가계부'!A1651/100),100),MOD(INT('월 가계부'!A1651),100)),""),""),IF(AND('월 가계부'!A1651&gt;=36526,'월 가계부'!A1651&lt;73051),INT('월 가계부'!A1651),"")),IF(OR(CM1651="",CN1651="",CO1651=""),"",IF(AND(CM1651&gt;=2000,CM1651&lt;=2099,CN1651&gt;=1,CN1651&lt;=12,CO1651&gt;=1,CO1651&lt;=31),IF(MONTH(DATE(CM1651,CN1651,CO1651))=CN1651,DATE(CM1651,CN1651,CO1651),""),"")))),"")</f>
        <v/>
      </c>
      <c r="CJ1651">
        <f>IFERROR(IF('월 가계부'!C1651="","",IF(ISNUMBER('월 가계부'!C1651),'월 가계부'!C1651,VALUE(SUBSTITUTE(SUBSTITUTE(SUBSTITUTE(SUBSTITUTE(TRIM('월 가계부'!C1651),",",""),"원","")," ",""),"−","-")))),"")</f>
        <v/>
      </c>
      <c r="CK1651">
        <f>IF(ISNUMBER(CI1651),IF(CI1651&lt;$B$13,CI1651,""),"")</f>
        <v/>
      </c>
      <c r="CM1651">
        <f>IF(CH1651="","",IFERROR(IF(IF(AND(LEN(CH1651)=9,ISERROR(FIND("-",LEFT(CH1651,8))),ISNUMBER(-LEFT(CH1651,8))),VALUE(LEFT(CH1651,4)),VALUE(LEFT(CH1651,FIND("-",CH1651)-1)))&lt;100,IF(AND(LEN(CH1651)=9,ISERROR(FIND("-",LEFT(CH1651,8))),ISNUMBER(-LEFT(CH1651,8))),VALUE(LEFT(CH1651,4)),VALUE(LEFT(CH1651,FIND("-",CH1651)-1)))+2000,IF(AND(LEN(CH1651)=9,ISERROR(FIND("-",LEFT(CH1651,8))),ISNUMBER(-LEFT(CH1651,8))),VALUE(LEFT(CH1651,4)),VALUE(LEFT(CH1651,FIND("-",CH1651)-1)))),""))</f>
        <v/>
      </c>
      <c r="CN1651">
        <f>IF(CH1651="","",IFERROR(IF(AND(LEN(CH1651)=9,ISERROR(FIND("-",LEFT(CH1651,8))),ISNUMBER(-LEFT(CH1651,8))),VALUE(MID(CH1651,5,2)),VALUE(MID(CH1651,FIND("-",CH1651)+1,FIND("-",CH1651,FIND("-",CH1651)+1)-FIND("-",CH1651)-1))),""))</f>
        <v/>
      </c>
      <c r="CO1651">
        <f>IF(CH1651="","",IFERROR(IF(AND(LEN(CH1651)=9,ISERROR(FIND("-",LEFT(CH1651,8))),ISNUMBER(-LEFT(CH1651,8))),VALUE(MID(CH1651,7,2)),VALUE(MID(CH1651,FIND("-",CH1651,FIND("-",CH1651)+1)+1,FIND("-",CH1651,FIND("-",CH1651,FIND("-",CH1651)+1)+1)-FIND("-",CH1651,FIND("-",CH1651)+1)-1))),""))</f>
        <v/>
      </c>
    </row>
    <row r="1652">
      <c r="CH1652">
        <f>IF(ISTEXT('월 가계부'!A1652),SUBSTITUTE(SUBSTITUTE(SUBSTITUTE(SUBSTITUTE(SUBSTITUTE(SUBSTITUTE(SUBSTITUTE(SUBSTITUTE(SUBSTITUTE(TRIM('월 가계부'!A1652),"년","-"),"월","-"),"일",""),".","-"),"/","-")," ","-"),"--","-"),"--","-"),"--","-")&amp;"-","")</f>
        <v/>
      </c>
      <c r="CI1652">
        <f>IFERROR(IF('월 가계부'!A1652="","",IF(ISNUMBER('월 가계부'!A1652),IF(AND('월 가계부'!A1652&gt;=19000101,'월 가계부'!A1652&lt;=21001231),IF(AND(MOD(INT('월 가계부'!A1652/100),100)&gt;=1,MOD(INT('월 가계부'!A1652/100),100)&lt;=12,MOD(INT('월 가계부'!A1652),100)&gt;=1,MOD(INT('월 가계부'!A1652),100)&lt;=31),IF(MONTH(DATE(INT('월 가계부'!A1652/10000),MOD(INT('월 가계부'!A1652/100),100),MOD(INT('월 가계부'!A1652),100)))=MOD(INT('월 가계부'!A1652/100),100),DATE(INT('월 가계부'!A1652/10000),MOD(INT('월 가계부'!A1652/100),100),MOD(INT('월 가계부'!A1652),100)),""),""),IF(AND('월 가계부'!A1652&gt;=36526,'월 가계부'!A1652&lt;73051),INT('월 가계부'!A1652),"")),IF(OR(CM1652="",CN1652="",CO1652=""),"",IF(AND(CM1652&gt;=2000,CM1652&lt;=2099,CN1652&gt;=1,CN1652&lt;=12,CO1652&gt;=1,CO1652&lt;=31),IF(MONTH(DATE(CM1652,CN1652,CO1652))=CN1652,DATE(CM1652,CN1652,CO1652),""),"")))),"")</f>
        <v/>
      </c>
      <c r="CJ1652">
        <f>IFERROR(IF('월 가계부'!C1652="","",IF(ISNUMBER('월 가계부'!C1652),'월 가계부'!C1652,VALUE(SUBSTITUTE(SUBSTITUTE(SUBSTITUTE(SUBSTITUTE(TRIM('월 가계부'!C1652),",",""),"원","")," ",""),"−","-")))),"")</f>
        <v/>
      </c>
      <c r="CK1652">
        <f>IF(ISNUMBER(CI1652),IF(CI1652&lt;$B$13,CI1652,""),"")</f>
        <v/>
      </c>
      <c r="CM1652">
        <f>IF(CH1652="","",IFERROR(IF(IF(AND(LEN(CH1652)=9,ISERROR(FIND("-",LEFT(CH1652,8))),ISNUMBER(-LEFT(CH1652,8))),VALUE(LEFT(CH1652,4)),VALUE(LEFT(CH1652,FIND("-",CH1652)-1)))&lt;100,IF(AND(LEN(CH1652)=9,ISERROR(FIND("-",LEFT(CH1652,8))),ISNUMBER(-LEFT(CH1652,8))),VALUE(LEFT(CH1652,4)),VALUE(LEFT(CH1652,FIND("-",CH1652)-1)))+2000,IF(AND(LEN(CH1652)=9,ISERROR(FIND("-",LEFT(CH1652,8))),ISNUMBER(-LEFT(CH1652,8))),VALUE(LEFT(CH1652,4)),VALUE(LEFT(CH1652,FIND("-",CH1652)-1)))),""))</f>
        <v/>
      </c>
      <c r="CN1652">
        <f>IF(CH1652="","",IFERROR(IF(AND(LEN(CH1652)=9,ISERROR(FIND("-",LEFT(CH1652,8))),ISNUMBER(-LEFT(CH1652,8))),VALUE(MID(CH1652,5,2)),VALUE(MID(CH1652,FIND("-",CH1652)+1,FIND("-",CH1652,FIND("-",CH1652)+1)-FIND("-",CH1652)-1))),""))</f>
        <v/>
      </c>
      <c r="CO1652">
        <f>IF(CH1652="","",IFERROR(IF(AND(LEN(CH1652)=9,ISERROR(FIND("-",LEFT(CH1652,8))),ISNUMBER(-LEFT(CH1652,8))),VALUE(MID(CH1652,7,2)),VALUE(MID(CH1652,FIND("-",CH1652,FIND("-",CH1652)+1)+1,FIND("-",CH1652,FIND("-",CH1652,FIND("-",CH1652)+1)+1)-FIND("-",CH1652,FIND("-",CH1652)+1)-1))),""))</f>
        <v/>
      </c>
    </row>
    <row r="1653">
      <c r="CH1653">
        <f>IF(ISTEXT('월 가계부'!A1653),SUBSTITUTE(SUBSTITUTE(SUBSTITUTE(SUBSTITUTE(SUBSTITUTE(SUBSTITUTE(SUBSTITUTE(SUBSTITUTE(SUBSTITUTE(TRIM('월 가계부'!A1653),"년","-"),"월","-"),"일",""),".","-"),"/","-")," ","-"),"--","-"),"--","-"),"--","-")&amp;"-","")</f>
        <v/>
      </c>
      <c r="CI1653">
        <f>IFERROR(IF('월 가계부'!A1653="","",IF(ISNUMBER('월 가계부'!A1653),IF(AND('월 가계부'!A1653&gt;=19000101,'월 가계부'!A1653&lt;=21001231),IF(AND(MOD(INT('월 가계부'!A1653/100),100)&gt;=1,MOD(INT('월 가계부'!A1653/100),100)&lt;=12,MOD(INT('월 가계부'!A1653),100)&gt;=1,MOD(INT('월 가계부'!A1653),100)&lt;=31),IF(MONTH(DATE(INT('월 가계부'!A1653/10000),MOD(INT('월 가계부'!A1653/100),100),MOD(INT('월 가계부'!A1653),100)))=MOD(INT('월 가계부'!A1653/100),100),DATE(INT('월 가계부'!A1653/10000),MOD(INT('월 가계부'!A1653/100),100),MOD(INT('월 가계부'!A1653),100)),""),""),IF(AND('월 가계부'!A1653&gt;=36526,'월 가계부'!A1653&lt;73051),INT('월 가계부'!A1653),"")),IF(OR(CM1653="",CN1653="",CO1653=""),"",IF(AND(CM1653&gt;=2000,CM1653&lt;=2099,CN1653&gt;=1,CN1653&lt;=12,CO1653&gt;=1,CO1653&lt;=31),IF(MONTH(DATE(CM1653,CN1653,CO1653))=CN1653,DATE(CM1653,CN1653,CO1653),""),"")))),"")</f>
        <v/>
      </c>
      <c r="CJ1653">
        <f>IFERROR(IF('월 가계부'!C1653="","",IF(ISNUMBER('월 가계부'!C1653),'월 가계부'!C1653,VALUE(SUBSTITUTE(SUBSTITUTE(SUBSTITUTE(SUBSTITUTE(TRIM('월 가계부'!C1653),",",""),"원","")," ",""),"−","-")))),"")</f>
        <v/>
      </c>
      <c r="CK1653">
        <f>IF(ISNUMBER(CI1653),IF(CI1653&lt;$B$13,CI1653,""),"")</f>
        <v/>
      </c>
      <c r="CM1653">
        <f>IF(CH1653="","",IFERROR(IF(IF(AND(LEN(CH1653)=9,ISERROR(FIND("-",LEFT(CH1653,8))),ISNUMBER(-LEFT(CH1653,8))),VALUE(LEFT(CH1653,4)),VALUE(LEFT(CH1653,FIND("-",CH1653)-1)))&lt;100,IF(AND(LEN(CH1653)=9,ISERROR(FIND("-",LEFT(CH1653,8))),ISNUMBER(-LEFT(CH1653,8))),VALUE(LEFT(CH1653,4)),VALUE(LEFT(CH1653,FIND("-",CH1653)-1)))+2000,IF(AND(LEN(CH1653)=9,ISERROR(FIND("-",LEFT(CH1653,8))),ISNUMBER(-LEFT(CH1653,8))),VALUE(LEFT(CH1653,4)),VALUE(LEFT(CH1653,FIND("-",CH1653)-1)))),""))</f>
        <v/>
      </c>
      <c r="CN1653">
        <f>IF(CH1653="","",IFERROR(IF(AND(LEN(CH1653)=9,ISERROR(FIND("-",LEFT(CH1653,8))),ISNUMBER(-LEFT(CH1653,8))),VALUE(MID(CH1653,5,2)),VALUE(MID(CH1653,FIND("-",CH1653)+1,FIND("-",CH1653,FIND("-",CH1653)+1)-FIND("-",CH1653)-1))),""))</f>
        <v/>
      </c>
      <c r="CO1653">
        <f>IF(CH1653="","",IFERROR(IF(AND(LEN(CH1653)=9,ISERROR(FIND("-",LEFT(CH1653,8))),ISNUMBER(-LEFT(CH1653,8))),VALUE(MID(CH1653,7,2)),VALUE(MID(CH1653,FIND("-",CH1653,FIND("-",CH1653)+1)+1,FIND("-",CH1653,FIND("-",CH1653,FIND("-",CH1653)+1)+1)-FIND("-",CH1653,FIND("-",CH1653)+1)-1))),""))</f>
        <v/>
      </c>
    </row>
    <row r="1654">
      <c r="CH1654">
        <f>IF(ISTEXT('월 가계부'!A1654),SUBSTITUTE(SUBSTITUTE(SUBSTITUTE(SUBSTITUTE(SUBSTITUTE(SUBSTITUTE(SUBSTITUTE(SUBSTITUTE(SUBSTITUTE(TRIM('월 가계부'!A1654),"년","-"),"월","-"),"일",""),".","-"),"/","-")," ","-"),"--","-"),"--","-"),"--","-")&amp;"-","")</f>
        <v/>
      </c>
      <c r="CI1654">
        <f>IFERROR(IF('월 가계부'!A1654="","",IF(ISNUMBER('월 가계부'!A1654),IF(AND('월 가계부'!A1654&gt;=19000101,'월 가계부'!A1654&lt;=21001231),IF(AND(MOD(INT('월 가계부'!A1654/100),100)&gt;=1,MOD(INT('월 가계부'!A1654/100),100)&lt;=12,MOD(INT('월 가계부'!A1654),100)&gt;=1,MOD(INT('월 가계부'!A1654),100)&lt;=31),IF(MONTH(DATE(INT('월 가계부'!A1654/10000),MOD(INT('월 가계부'!A1654/100),100),MOD(INT('월 가계부'!A1654),100)))=MOD(INT('월 가계부'!A1654/100),100),DATE(INT('월 가계부'!A1654/10000),MOD(INT('월 가계부'!A1654/100),100),MOD(INT('월 가계부'!A1654),100)),""),""),IF(AND('월 가계부'!A1654&gt;=36526,'월 가계부'!A1654&lt;73051),INT('월 가계부'!A1654),"")),IF(OR(CM1654="",CN1654="",CO1654=""),"",IF(AND(CM1654&gt;=2000,CM1654&lt;=2099,CN1654&gt;=1,CN1654&lt;=12,CO1654&gt;=1,CO1654&lt;=31),IF(MONTH(DATE(CM1654,CN1654,CO1654))=CN1654,DATE(CM1654,CN1654,CO1654),""),"")))),"")</f>
        <v/>
      </c>
      <c r="CJ1654">
        <f>IFERROR(IF('월 가계부'!C1654="","",IF(ISNUMBER('월 가계부'!C1654),'월 가계부'!C1654,VALUE(SUBSTITUTE(SUBSTITUTE(SUBSTITUTE(SUBSTITUTE(TRIM('월 가계부'!C1654),",",""),"원","")," ",""),"−","-")))),"")</f>
        <v/>
      </c>
      <c r="CK1654">
        <f>IF(ISNUMBER(CI1654),IF(CI1654&lt;$B$13,CI1654,""),"")</f>
        <v/>
      </c>
      <c r="CM1654">
        <f>IF(CH1654="","",IFERROR(IF(IF(AND(LEN(CH1654)=9,ISERROR(FIND("-",LEFT(CH1654,8))),ISNUMBER(-LEFT(CH1654,8))),VALUE(LEFT(CH1654,4)),VALUE(LEFT(CH1654,FIND("-",CH1654)-1)))&lt;100,IF(AND(LEN(CH1654)=9,ISERROR(FIND("-",LEFT(CH1654,8))),ISNUMBER(-LEFT(CH1654,8))),VALUE(LEFT(CH1654,4)),VALUE(LEFT(CH1654,FIND("-",CH1654)-1)))+2000,IF(AND(LEN(CH1654)=9,ISERROR(FIND("-",LEFT(CH1654,8))),ISNUMBER(-LEFT(CH1654,8))),VALUE(LEFT(CH1654,4)),VALUE(LEFT(CH1654,FIND("-",CH1654)-1)))),""))</f>
        <v/>
      </c>
      <c r="CN1654">
        <f>IF(CH1654="","",IFERROR(IF(AND(LEN(CH1654)=9,ISERROR(FIND("-",LEFT(CH1654,8))),ISNUMBER(-LEFT(CH1654,8))),VALUE(MID(CH1654,5,2)),VALUE(MID(CH1654,FIND("-",CH1654)+1,FIND("-",CH1654,FIND("-",CH1654)+1)-FIND("-",CH1654)-1))),""))</f>
        <v/>
      </c>
      <c r="CO1654">
        <f>IF(CH1654="","",IFERROR(IF(AND(LEN(CH1654)=9,ISERROR(FIND("-",LEFT(CH1654,8))),ISNUMBER(-LEFT(CH1654,8))),VALUE(MID(CH1654,7,2)),VALUE(MID(CH1654,FIND("-",CH1654,FIND("-",CH1654)+1)+1,FIND("-",CH1654,FIND("-",CH1654,FIND("-",CH1654)+1)+1)-FIND("-",CH1654,FIND("-",CH1654)+1)-1))),""))</f>
        <v/>
      </c>
    </row>
    <row r="1655">
      <c r="CH1655">
        <f>IF(ISTEXT('월 가계부'!A1655),SUBSTITUTE(SUBSTITUTE(SUBSTITUTE(SUBSTITUTE(SUBSTITUTE(SUBSTITUTE(SUBSTITUTE(SUBSTITUTE(SUBSTITUTE(TRIM('월 가계부'!A1655),"년","-"),"월","-"),"일",""),".","-"),"/","-")," ","-"),"--","-"),"--","-"),"--","-")&amp;"-","")</f>
        <v/>
      </c>
      <c r="CI1655">
        <f>IFERROR(IF('월 가계부'!A1655="","",IF(ISNUMBER('월 가계부'!A1655),IF(AND('월 가계부'!A1655&gt;=19000101,'월 가계부'!A1655&lt;=21001231),IF(AND(MOD(INT('월 가계부'!A1655/100),100)&gt;=1,MOD(INT('월 가계부'!A1655/100),100)&lt;=12,MOD(INT('월 가계부'!A1655),100)&gt;=1,MOD(INT('월 가계부'!A1655),100)&lt;=31),IF(MONTH(DATE(INT('월 가계부'!A1655/10000),MOD(INT('월 가계부'!A1655/100),100),MOD(INT('월 가계부'!A1655),100)))=MOD(INT('월 가계부'!A1655/100),100),DATE(INT('월 가계부'!A1655/10000),MOD(INT('월 가계부'!A1655/100),100),MOD(INT('월 가계부'!A1655),100)),""),""),IF(AND('월 가계부'!A1655&gt;=36526,'월 가계부'!A1655&lt;73051),INT('월 가계부'!A1655),"")),IF(OR(CM1655="",CN1655="",CO1655=""),"",IF(AND(CM1655&gt;=2000,CM1655&lt;=2099,CN1655&gt;=1,CN1655&lt;=12,CO1655&gt;=1,CO1655&lt;=31),IF(MONTH(DATE(CM1655,CN1655,CO1655))=CN1655,DATE(CM1655,CN1655,CO1655),""),"")))),"")</f>
        <v/>
      </c>
      <c r="CJ1655">
        <f>IFERROR(IF('월 가계부'!C1655="","",IF(ISNUMBER('월 가계부'!C1655),'월 가계부'!C1655,VALUE(SUBSTITUTE(SUBSTITUTE(SUBSTITUTE(SUBSTITUTE(TRIM('월 가계부'!C1655),",",""),"원","")," ",""),"−","-")))),"")</f>
        <v/>
      </c>
      <c r="CK1655">
        <f>IF(ISNUMBER(CI1655),IF(CI1655&lt;$B$13,CI1655,""),"")</f>
        <v/>
      </c>
      <c r="CM1655">
        <f>IF(CH1655="","",IFERROR(IF(IF(AND(LEN(CH1655)=9,ISERROR(FIND("-",LEFT(CH1655,8))),ISNUMBER(-LEFT(CH1655,8))),VALUE(LEFT(CH1655,4)),VALUE(LEFT(CH1655,FIND("-",CH1655)-1)))&lt;100,IF(AND(LEN(CH1655)=9,ISERROR(FIND("-",LEFT(CH1655,8))),ISNUMBER(-LEFT(CH1655,8))),VALUE(LEFT(CH1655,4)),VALUE(LEFT(CH1655,FIND("-",CH1655)-1)))+2000,IF(AND(LEN(CH1655)=9,ISERROR(FIND("-",LEFT(CH1655,8))),ISNUMBER(-LEFT(CH1655,8))),VALUE(LEFT(CH1655,4)),VALUE(LEFT(CH1655,FIND("-",CH1655)-1)))),""))</f>
        <v/>
      </c>
      <c r="CN1655">
        <f>IF(CH1655="","",IFERROR(IF(AND(LEN(CH1655)=9,ISERROR(FIND("-",LEFT(CH1655,8))),ISNUMBER(-LEFT(CH1655,8))),VALUE(MID(CH1655,5,2)),VALUE(MID(CH1655,FIND("-",CH1655)+1,FIND("-",CH1655,FIND("-",CH1655)+1)-FIND("-",CH1655)-1))),""))</f>
        <v/>
      </c>
      <c r="CO1655">
        <f>IF(CH1655="","",IFERROR(IF(AND(LEN(CH1655)=9,ISERROR(FIND("-",LEFT(CH1655,8))),ISNUMBER(-LEFT(CH1655,8))),VALUE(MID(CH1655,7,2)),VALUE(MID(CH1655,FIND("-",CH1655,FIND("-",CH1655)+1)+1,FIND("-",CH1655,FIND("-",CH1655,FIND("-",CH1655)+1)+1)-FIND("-",CH1655,FIND("-",CH1655)+1)-1))),""))</f>
        <v/>
      </c>
    </row>
    <row r="1656">
      <c r="CH1656">
        <f>IF(ISTEXT('월 가계부'!A1656),SUBSTITUTE(SUBSTITUTE(SUBSTITUTE(SUBSTITUTE(SUBSTITUTE(SUBSTITUTE(SUBSTITUTE(SUBSTITUTE(SUBSTITUTE(TRIM('월 가계부'!A1656),"년","-"),"월","-"),"일",""),".","-"),"/","-")," ","-"),"--","-"),"--","-"),"--","-")&amp;"-","")</f>
        <v/>
      </c>
      <c r="CI1656">
        <f>IFERROR(IF('월 가계부'!A1656="","",IF(ISNUMBER('월 가계부'!A1656),IF(AND('월 가계부'!A1656&gt;=19000101,'월 가계부'!A1656&lt;=21001231),IF(AND(MOD(INT('월 가계부'!A1656/100),100)&gt;=1,MOD(INT('월 가계부'!A1656/100),100)&lt;=12,MOD(INT('월 가계부'!A1656),100)&gt;=1,MOD(INT('월 가계부'!A1656),100)&lt;=31),IF(MONTH(DATE(INT('월 가계부'!A1656/10000),MOD(INT('월 가계부'!A1656/100),100),MOD(INT('월 가계부'!A1656),100)))=MOD(INT('월 가계부'!A1656/100),100),DATE(INT('월 가계부'!A1656/10000),MOD(INT('월 가계부'!A1656/100),100),MOD(INT('월 가계부'!A1656),100)),""),""),IF(AND('월 가계부'!A1656&gt;=36526,'월 가계부'!A1656&lt;73051),INT('월 가계부'!A1656),"")),IF(OR(CM1656="",CN1656="",CO1656=""),"",IF(AND(CM1656&gt;=2000,CM1656&lt;=2099,CN1656&gt;=1,CN1656&lt;=12,CO1656&gt;=1,CO1656&lt;=31),IF(MONTH(DATE(CM1656,CN1656,CO1656))=CN1656,DATE(CM1656,CN1656,CO1656),""),"")))),"")</f>
        <v/>
      </c>
      <c r="CJ1656">
        <f>IFERROR(IF('월 가계부'!C1656="","",IF(ISNUMBER('월 가계부'!C1656),'월 가계부'!C1656,VALUE(SUBSTITUTE(SUBSTITUTE(SUBSTITUTE(SUBSTITUTE(TRIM('월 가계부'!C1656),",",""),"원","")," ",""),"−","-")))),"")</f>
        <v/>
      </c>
      <c r="CK1656">
        <f>IF(ISNUMBER(CI1656),IF(CI1656&lt;$B$13,CI1656,""),"")</f>
        <v/>
      </c>
      <c r="CM1656">
        <f>IF(CH1656="","",IFERROR(IF(IF(AND(LEN(CH1656)=9,ISERROR(FIND("-",LEFT(CH1656,8))),ISNUMBER(-LEFT(CH1656,8))),VALUE(LEFT(CH1656,4)),VALUE(LEFT(CH1656,FIND("-",CH1656)-1)))&lt;100,IF(AND(LEN(CH1656)=9,ISERROR(FIND("-",LEFT(CH1656,8))),ISNUMBER(-LEFT(CH1656,8))),VALUE(LEFT(CH1656,4)),VALUE(LEFT(CH1656,FIND("-",CH1656)-1)))+2000,IF(AND(LEN(CH1656)=9,ISERROR(FIND("-",LEFT(CH1656,8))),ISNUMBER(-LEFT(CH1656,8))),VALUE(LEFT(CH1656,4)),VALUE(LEFT(CH1656,FIND("-",CH1656)-1)))),""))</f>
        <v/>
      </c>
      <c r="CN1656">
        <f>IF(CH1656="","",IFERROR(IF(AND(LEN(CH1656)=9,ISERROR(FIND("-",LEFT(CH1656,8))),ISNUMBER(-LEFT(CH1656,8))),VALUE(MID(CH1656,5,2)),VALUE(MID(CH1656,FIND("-",CH1656)+1,FIND("-",CH1656,FIND("-",CH1656)+1)-FIND("-",CH1656)-1))),""))</f>
        <v/>
      </c>
      <c r="CO1656">
        <f>IF(CH1656="","",IFERROR(IF(AND(LEN(CH1656)=9,ISERROR(FIND("-",LEFT(CH1656,8))),ISNUMBER(-LEFT(CH1656,8))),VALUE(MID(CH1656,7,2)),VALUE(MID(CH1656,FIND("-",CH1656,FIND("-",CH1656)+1)+1,FIND("-",CH1656,FIND("-",CH1656,FIND("-",CH1656)+1)+1)-FIND("-",CH1656,FIND("-",CH1656)+1)-1))),""))</f>
        <v/>
      </c>
    </row>
    <row r="1657">
      <c r="CH1657">
        <f>IF(ISTEXT('월 가계부'!A1657),SUBSTITUTE(SUBSTITUTE(SUBSTITUTE(SUBSTITUTE(SUBSTITUTE(SUBSTITUTE(SUBSTITUTE(SUBSTITUTE(SUBSTITUTE(TRIM('월 가계부'!A1657),"년","-"),"월","-"),"일",""),".","-"),"/","-")," ","-"),"--","-"),"--","-"),"--","-")&amp;"-","")</f>
        <v/>
      </c>
      <c r="CI1657">
        <f>IFERROR(IF('월 가계부'!A1657="","",IF(ISNUMBER('월 가계부'!A1657),IF(AND('월 가계부'!A1657&gt;=19000101,'월 가계부'!A1657&lt;=21001231),IF(AND(MOD(INT('월 가계부'!A1657/100),100)&gt;=1,MOD(INT('월 가계부'!A1657/100),100)&lt;=12,MOD(INT('월 가계부'!A1657),100)&gt;=1,MOD(INT('월 가계부'!A1657),100)&lt;=31),IF(MONTH(DATE(INT('월 가계부'!A1657/10000),MOD(INT('월 가계부'!A1657/100),100),MOD(INT('월 가계부'!A1657),100)))=MOD(INT('월 가계부'!A1657/100),100),DATE(INT('월 가계부'!A1657/10000),MOD(INT('월 가계부'!A1657/100),100),MOD(INT('월 가계부'!A1657),100)),""),""),IF(AND('월 가계부'!A1657&gt;=36526,'월 가계부'!A1657&lt;73051),INT('월 가계부'!A1657),"")),IF(OR(CM1657="",CN1657="",CO1657=""),"",IF(AND(CM1657&gt;=2000,CM1657&lt;=2099,CN1657&gt;=1,CN1657&lt;=12,CO1657&gt;=1,CO1657&lt;=31),IF(MONTH(DATE(CM1657,CN1657,CO1657))=CN1657,DATE(CM1657,CN1657,CO1657),""),"")))),"")</f>
        <v/>
      </c>
      <c r="CJ1657">
        <f>IFERROR(IF('월 가계부'!C1657="","",IF(ISNUMBER('월 가계부'!C1657),'월 가계부'!C1657,VALUE(SUBSTITUTE(SUBSTITUTE(SUBSTITUTE(SUBSTITUTE(TRIM('월 가계부'!C1657),",",""),"원","")," ",""),"−","-")))),"")</f>
        <v/>
      </c>
      <c r="CK1657">
        <f>IF(ISNUMBER(CI1657),IF(CI1657&lt;$B$13,CI1657,""),"")</f>
        <v/>
      </c>
      <c r="CM1657">
        <f>IF(CH1657="","",IFERROR(IF(IF(AND(LEN(CH1657)=9,ISERROR(FIND("-",LEFT(CH1657,8))),ISNUMBER(-LEFT(CH1657,8))),VALUE(LEFT(CH1657,4)),VALUE(LEFT(CH1657,FIND("-",CH1657)-1)))&lt;100,IF(AND(LEN(CH1657)=9,ISERROR(FIND("-",LEFT(CH1657,8))),ISNUMBER(-LEFT(CH1657,8))),VALUE(LEFT(CH1657,4)),VALUE(LEFT(CH1657,FIND("-",CH1657)-1)))+2000,IF(AND(LEN(CH1657)=9,ISERROR(FIND("-",LEFT(CH1657,8))),ISNUMBER(-LEFT(CH1657,8))),VALUE(LEFT(CH1657,4)),VALUE(LEFT(CH1657,FIND("-",CH1657)-1)))),""))</f>
        <v/>
      </c>
      <c r="CN1657">
        <f>IF(CH1657="","",IFERROR(IF(AND(LEN(CH1657)=9,ISERROR(FIND("-",LEFT(CH1657,8))),ISNUMBER(-LEFT(CH1657,8))),VALUE(MID(CH1657,5,2)),VALUE(MID(CH1657,FIND("-",CH1657)+1,FIND("-",CH1657,FIND("-",CH1657)+1)-FIND("-",CH1657)-1))),""))</f>
        <v/>
      </c>
      <c r="CO1657">
        <f>IF(CH1657="","",IFERROR(IF(AND(LEN(CH1657)=9,ISERROR(FIND("-",LEFT(CH1657,8))),ISNUMBER(-LEFT(CH1657,8))),VALUE(MID(CH1657,7,2)),VALUE(MID(CH1657,FIND("-",CH1657,FIND("-",CH1657)+1)+1,FIND("-",CH1657,FIND("-",CH1657,FIND("-",CH1657)+1)+1)-FIND("-",CH1657,FIND("-",CH1657)+1)-1))),""))</f>
        <v/>
      </c>
    </row>
    <row r="1658">
      <c r="CH1658">
        <f>IF(ISTEXT('월 가계부'!A1658),SUBSTITUTE(SUBSTITUTE(SUBSTITUTE(SUBSTITUTE(SUBSTITUTE(SUBSTITUTE(SUBSTITUTE(SUBSTITUTE(SUBSTITUTE(TRIM('월 가계부'!A1658),"년","-"),"월","-"),"일",""),".","-"),"/","-")," ","-"),"--","-"),"--","-"),"--","-")&amp;"-","")</f>
        <v/>
      </c>
      <c r="CI1658">
        <f>IFERROR(IF('월 가계부'!A1658="","",IF(ISNUMBER('월 가계부'!A1658),IF(AND('월 가계부'!A1658&gt;=19000101,'월 가계부'!A1658&lt;=21001231),IF(AND(MOD(INT('월 가계부'!A1658/100),100)&gt;=1,MOD(INT('월 가계부'!A1658/100),100)&lt;=12,MOD(INT('월 가계부'!A1658),100)&gt;=1,MOD(INT('월 가계부'!A1658),100)&lt;=31),IF(MONTH(DATE(INT('월 가계부'!A1658/10000),MOD(INT('월 가계부'!A1658/100),100),MOD(INT('월 가계부'!A1658),100)))=MOD(INT('월 가계부'!A1658/100),100),DATE(INT('월 가계부'!A1658/10000),MOD(INT('월 가계부'!A1658/100),100),MOD(INT('월 가계부'!A1658),100)),""),""),IF(AND('월 가계부'!A1658&gt;=36526,'월 가계부'!A1658&lt;73051),INT('월 가계부'!A1658),"")),IF(OR(CM1658="",CN1658="",CO1658=""),"",IF(AND(CM1658&gt;=2000,CM1658&lt;=2099,CN1658&gt;=1,CN1658&lt;=12,CO1658&gt;=1,CO1658&lt;=31),IF(MONTH(DATE(CM1658,CN1658,CO1658))=CN1658,DATE(CM1658,CN1658,CO1658),""),"")))),"")</f>
        <v/>
      </c>
      <c r="CJ1658">
        <f>IFERROR(IF('월 가계부'!C1658="","",IF(ISNUMBER('월 가계부'!C1658),'월 가계부'!C1658,VALUE(SUBSTITUTE(SUBSTITUTE(SUBSTITUTE(SUBSTITUTE(TRIM('월 가계부'!C1658),",",""),"원","")," ",""),"−","-")))),"")</f>
        <v/>
      </c>
      <c r="CK1658">
        <f>IF(ISNUMBER(CI1658),IF(CI1658&lt;$B$13,CI1658,""),"")</f>
        <v/>
      </c>
      <c r="CM1658">
        <f>IF(CH1658="","",IFERROR(IF(IF(AND(LEN(CH1658)=9,ISERROR(FIND("-",LEFT(CH1658,8))),ISNUMBER(-LEFT(CH1658,8))),VALUE(LEFT(CH1658,4)),VALUE(LEFT(CH1658,FIND("-",CH1658)-1)))&lt;100,IF(AND(LEN(CH1658)=9,ISERROR(FIND("-",LEFT(CH1658,8))),ISNUMBER(-LEFT(CH1658,8))),VALUE(LEFT(CH1658,4)),VALUE(LEFT(CH1658,FIND("-",CH1658)-1)))+2000,IF(AND(LEN(CH1658)=9,ISERROR(FIND("-",LEFT(CH1658,8))),ISNUMBER(-LEFT(CH1658,8))),VALUE(LEFT(CH1658,4)),VALUE(LEFT(CH1658,FIND("-",CH1658)-1)))),""))</f>
        <v/>
      </c>
      <c r="CN1658">
        <f>IF(CH1658="","",IFERROR(IF(AND(LEN(CH1658)=9,ISERROR(FIND("-",LEFT(CH1658,8))),ISNUMBER(-LEFT(CH1658,8))),VALUE(MID(CH1658,5,2)),VALUE(MID(CH1658,FIND("-",CH1658)+1,FIND("-",CH1658,FIND("-",CH1658)+1)-FIND("-",CH1658)-1))),""))</f>
        <v/>
      </c>
      <c r="CO1658">
        <f>IF(CH1658="","",IFERROR(IF(AND(LEN(CH1658)=9,ISERROR(FIND("-",LEFT(CH1658,8))),ISNUMBER(-LEFT(CH1658,8))),VALUE(MID(CH1658,7,2)),VALUE(MID(CH1658,FIND("-",CH1658,FIND("-",CH1658)+1)+1,FIND("-",CH1658,FIND("-",CH1658,FIND("-",CH1658)+1)+1)-FIND("-",CH1658,FIND("-",CH1658)+1)-1))),""))</f>
        <v/>
      </c>
    </row>
    <row r="1659">
      <c r="CH1659">
        <f>IF(ISTEXT('월 가계부'!A1659),SUBSTITUTE(SUBSTITUTE(SUBSTITUTE(SUBSTITUTE(SUBSTITUTE(SUBSTITUTE(SUBSTITUTE(SUBSTITUTE(SUBSTITUTE(TRIM('월 가계부'!A1659),"년","-"),"월","-"),"일",""),".","-"),"/","-")," ","-"),"--","-"),"--","-"),"--","-")&amp;"-","")</f>
        <v/>
      </c>
      <c r="CI1659">
        <f>IFERROR(IF('월 가계부'!A1659="","",IF(ISNUMBER('월 가계부'!A1659),IF(AND('월 가계부'!A1659&gt;=19000101,'월 가계부'!A1659&lt;=21001231),IF(AND(MOD(INT('월 가계부'!A1659/100),100)&gt;=1,MOD(INT('월 가계부'!A1659/100),100)&lt;=12,MOD(INT('월 가계부'!A1659),100)&gt;=1,MOD(INT('월 가계부'!A1659),100)&lt;=31),IF(MONTH(DATE(INT('월 가계부'!A1659/10000),MOD(INT('월 가계부'!A1659/100),100),MOD(INT('월 가계부'!A1659),100)))=MOD(INT('월 가계부'!A1659/100),100),DATE(INT('월 가계부'!A1659/10000),MOD(INT('월 가계부'!A1659/100),100),MOD(INT('월 가계부'!A1659),100)),""),""),IF(AND('월 가계부'!A1659&gt;=36526,'월 가계부'!A1659&lt;73051),INT('월 가계부'!A1659),"")),IF(OR(CM1659="",CN1659="",CO1659=""),"",IF(AND(CM1659&gt;=2000,CM1659&lt;=2099,CN1659&gt;=1,CN1659&lt;=12,CO1659&gt;=1,CO1659&lt;=31),IF(MONTH(DATE(CM1659,CN1659,CO1659))=CN1659,DATE(CM1659,CN1659,CO1659),""),"")))),"")</f>
        <v/>
      </c>
      <c r="CJ1659">
        <f>IFERROR(IF('월 가계부'!C1659="","",IF(ISNUMBER('월 가계부'!C1659),'월 가계부'!C1659,VALUE(SUBSTITUTE(SUBSTITUTE(SUBSTITUTE(SUBSTITUTE(TRIM('월 가계부'!C1659),",",""),"원","")," ",""),"−","-")))),"")</f>
        <v/>
      </c>
      <c r="CK1659">
        <f>IF(ISNUMBER(CI1659),IF(CI1659&lt;$B$13,CI1659,""),"")</f>
        <v/>
      </c>
      <c r="CM1659">
        <f>IF(CH1659="","",IFERROR(IF(IF(AND(LEN(CH1659)=9,ISERROR(FIND("-",LEFT(CH1659,8))),ISNUMBER(-LEFT(CH1659,8))),VALUE(LEFT(CH1659,4)),VALUE(LEFT(CH1659,FIND("-",CH1659)-1)))&lt;100,IF(AND(LEN(CH1659)=9,ISERROR(FIND("-",LEFT(CH1659,8))),ISNUMBER(-LEFT(CH1659,8))),VALUE(LEFT(CH1659,4)),VALUE(LEFT(CH1659,FIND("-",CH1659)-1)))+2000,IF(AND(LEN(CH1659)=9,ISERROR(FIND("-",LEFT(CH1659,8))),ISNUMBER(-LEFT(CH1659,8))),VALUE(LEFT(CH1659,4)),VALUE(LEFT(CH1659,FIND("-",CH1659)-1)))),""))</f>
        <v/>
      </c>
      <c r="CN1659">
        <f>IF(CH1659="","",IFERROR(IF(AND(LEN(CH1659)=9,ISERROR(FIND("-",LEFT(CH1659,8))),ISNUMBER(-LEFT(CH1659,8))),VALUE(MID(CH1659,5,2)),VALUE(MID(CH1659,FIND("-",CH1659)+1,FIND("-",CH1659,FIND("-",CH1659)+1)-FIND("-",CH1659)-1))),""))</f>
        <v/>
      </c>
      <c r="CO1659">
        <f>IF(CH1659="","",IFERROR(IF(AND(LEN(CH1659)=9,ISERROR(FIND("-",LEFT(CH1659,8))),ISNUMBER(-LEFT(CH1659,8))),VALUE(MID(CH1659,7,2)),VALUE(MID(CH1659,FIND("-",CH1659,FIND("-",CH1659)+1)+1,FIND("-",CH1659,FIND("-",CH1659,FIND("-",CH1659)+1)+1)-FIND("-",CH1659,FIND("-",CH1659)+1)-1))),""))</f>
        <v/>
      </c>
    </row>
    <row r="1660">
      <c r="CH1660">
        <f>IF(ISTEXT('월 가계부'!A1660),SUBSTITUTE(SUBSTITUTE(SUBSTITUTE(SUBSTITUTE(SUBSTITUTE(SUBSTITUTE(SUBSTITUTE(SUBSTITUTE(SUBSTITUTE(TRIM('월 가계부'!A1660),"년","-"),"월","-"),"일",""),".","-"),"/","-")," ","-"),"--","-"),"--","-"),"--","-")&amp;"-","")</f>
        <v/>
      </c>
      <c r="CI1660">
        <f>IFERROR(IF('월 가계부'!A1660="","",IF(ISNUMBER('월 가계부'!A1660),IF(AND('월 가계부'!A1660&gt;=19000101,'월 가계부'!A1660&lt;=21001231),IF(AND(MOD(INT('월 가계부'!A1660/100),100)&gt;=1,MOD(INT('월 가계부'!A1660/100),100)&lt;=12,MOD(INT('월 가계부'!A1660),100)&gt;=1,MOD(INT('월 가계부'!A1660),100)&lt;=31),IF(MONTH(DATE(INT('월 가계부'!A1660/10000),MOD(INT('월 가계부'!A1660/100),100),MOD(INT('월 가계부'!A1660),100)))=MOD(INT('월 가계부'!A1660/100),100),DATE(INT('월 가계부'!A1660/10000),MOD(INT('월 가계부'!A1660/100),100),MOD(INT('월 가계부'!A1660),100)),""),""),IF(AND('월 가계부'!A1660&gt;=36526,'월 가계부'!A1660&lt;73051),INT('월 가계부'!A1660),"")),IF(OR(CM1660="",CN1660="",CO1660=""),"",IF(AND(CM1660&gt;=2000,CM1660&lt;=2099,CN1660&gt;=1,CN1660&lt;=12,CO1660&gt;=1,CO1660&lt;=31),IF(MONTH(DATE(CM1660,CN1660,CO1660))=CN1660,DATE(CM1660,CN1660,CO1660),""),"")))),"")</f>
        <v/>
      </c>
      <c r="CJ1660">
        <f>IFERROR(IF('월 가계부'!C1660="","",IF(ISNUMBER('월 가계부'!C1660),'월 가계부'!C1660,VALUE(SUBSTITUTE(SUBSTITUTE(SUBSTITUTE(SUBSTITUTE(TRIM('월 가계부'!C1660),",",""),"원","")," ",""),"−","-")))),"")</f>
        <v/>
      </c>
      <c r="CK1660">
        <f>IF(ISNUMBER(CI1660),IF(CI1660&lt;$B$13,CI1660,""),"")</f>
        <v/>
      </c>
      <c r="CM1660">
        <f>IF(CH1660="","",IFERROR(IF(IF(AND(LEN(CH1660)=9,ISERROR(FIND("-",LEFT(CH1660,8))),ISNUMBER(-LEFT(CH1660,8))),VALUE(LEFT(CH1660,4)),VALUE(LEFT(CH1660,FIND("-",CH1660)-1)))&lt;100,IF(AND(LEN(CH1660)=9,ISERROR(FIND("-",LEFT(CH1660,8))),ISNUMBER(-LEFT(CH1660,8))),VALUE(LEFT(CH1660,4)),VALUE(LEFT(CH1660,FIND("-",CH1660)-1)))+2000,IF(AND(LEN(CH1660)=9,ISERROR(FIND("-",LEFT(CH1660,8))),ISNUMBER(-LEFT(CH1660,8))),VALUE(LEFT(CH1660,4)),VALUE(LEFT(CH1660,FIND("-",CH1660)-1)))),""))</f>
        <v/>
      </c>
      <c r="CN1660">
        <f>IF(CH1660="","",IFERROR(IF(AND(LEN(CH1660)=9,ISERROR(FIND("-",LEFT(CH1660,8))),ISNUMBER(-LEFT(CH1660,8))),VALUE(MID(CH1660,5,2)),VALUE(MID(CH1660,FIND("-",CH1660)+1,FIND("-",CH1660,FIND("-",CH1660)+1)-FIND("-",CH1660)-1))),""))</f>
        <v/>
      </c>
      <c r="CO1660">
        <f>IF(CH1660="","",IFERROR(IF(AND(LEN(CH1660)=9,ISERROR(FIND("-",LEFT(CH1660,8))),ISNUMBER(-LEFT(CH1660,8))),VALUE(MID(CH1660,7,2)),VALUE(MID(CH1660,FIND("-",CH1660,FIND("-",CH1660)+1)+1,FIND("-",CH1660,FIND("-",CH1660,FIND("-",CH1660)+1)+1)-FIND("-",CH1660,FIND("-",CH1660)+1)-1))),""))</f>
        <v/>
      </c>
    </row>
    <row r="1661">
      <c r="CH1661">
        <f>IF(ISTEXT('월 가계부'!A1661),SUBSTITUTE(SUBSTITUTE(SUBSTITUTE(SUBSTITUTE(SUBSTITUTE(SUBSTITUTE(SUBSTITUTE(SUBSTITUTE(SUBSTITUTE(TRIM('월 가계부'!A1661),"년","-"),"월","-"),"일",""),".","-"),"/","-")," ","-"),"--","-"),"--","-"),"--","-")&amp;"-","")</f>
        <v/>
      </c>
      <c r="CI1661">
        <f>IFERROR(IF('월 가계부'!A1661="","",IF(ISNUMBER('월 가계부'!A1661),IF(AND('월 가계부'!A1661&gt;=19000101,'월 가계부'!A1661&lt;=21001231),IF(AND(MOD(INT('월 가계부'!A1661/100),100)&gt;=1,MOD(INT('월 가계부'!A1661/100),100)&lt;=12,MOD(INT('월 가계부'!A1661),100)&gt;=1,MOD(INT('월 가계부'!A1661),100)&lt;=31),IF(MONTH(DATE(INT('월 가계부'!A1661/10000),MOD(INT('월 가계부'!A1661/100),100),MOD(INT('월 가계부'!A1661),100)))=MOD(INT('월 가계부'!A1661/100),100),DATE(INT('월 가계부'!A1661/10000),MOD(INT('월 가계부'!A1661/100),100),MOD(INT('월 가계부'!A1661),100)),""),""),IF(AND('월 가계부'!A1661&gt;=36526,'월 가계부'!A1661&lt;73051),INT('월 가계부'!A1661),"")),IF(OR(CM1661="",CN1661="",CO1661=""),"",IF(AND(CM1661&gt;=2000,CM1661&lt;=2099,CN1661&gt;=1,CN1661&lt;=12,CO1661&gt;=1,CO1661&lt;=31),IF(MONTH(DATE(CM1661,CN1661,CO1661))=CN1661,DATE(CM1661,CN1661,CO1661),""),"")))),"")</f>
        <v/>
      </c>
      <c r="CJ1661">
        <f>IFERROR(IF('월 가계부'!C1661="","",IF(ISNUMBER('월 가계부'!C1661),'월 가계부'!C1661,VALUE(SUBSTITUTE(SUBSTITUTE(SUBSTITUTE(SUBSTITUTE(TRIM('월 가계부'!C1661),",",""),"원","")," ",""),"−","-")))),"")</f>
        <v/>
      </c>
      <c r="CK1661">
        <f>IF(ISNUMBER(CI1661),IF(CI1661&lt;$B$13,CI1661,""),"")</f>
        <v/>
      </c>
      <c r="CM1661">
        <f>IF(CH1661="","",IFERROR(IF(IF(AND(LEN(CH1661)=9,ISERROR(FIND("-",LEFT(CH1661,8))),ISNUMBER(-LEFT(CH1661,8))),VALUE(LEFT(CH1661,4)),VALUE(LEFT(CH1661,FIND("-",CH1661)-1)))&lt;100,IF(AND(LEN(CH1661)=9,ISERROR(FIND("-",LEFT(CH1661,8))),ISNUMBER(-LEFT(CH1661,8))),VALUE(LEFT(CH1661,4)),VALUE(LEFT(CH1661,FIND("-",CH1661)-1)))+2000,IF(AND(LEN(CH1661)=9,ISERROR(FIND("-",LEFT(CH1661,8))),ISNUMBER(-LEFT(CH1661,8))),VALUE(LEFT(CH1661,4)),VALUE(LEFT(CH1661,FIND("-",CH1661)-1)))),""))</f>
        <v/>
      </c>
      <c r="CN1661">
        <f>IF(CH1661="","",IFERROR(IF(AND(LEN(CH1661)=9,ISERROR(FIND("-",LEFT(CH1661,8))),ISNUMBER(-LEFT(CH1661,8))),VALUE(MID(CH1661,5,2)),VALUE(MID(CH1661,FIND("-",CH1661)+1,FIND("-",CH1661,FIND("-",CH1661)+1)-FIND("-",CH1661)-1))),""))</f>
        <v/>
      </c>
      <c r="CO1661">
        <f>IF(CH1661="","",IFERROR(IF(AND(LEN(CH1661)=9,ISERROR(FIND("-",LEFT(CH1661,8))),ISNUMBER(-LEFT(CH1661,8))),VALUE(MID(CH1661,7,2)),VALUE(MID(CH1661,FIND("-",CH1661,FIND("-",CH1661)+1)+1,FIND("-",CH1661,FIND("-",CH1661,FIND("-",CH1661)+1)+1)-FIND("-",CH1661,FIND("-",CH1661)+1)-1))),""))</f>
        <v/>
      </c>
    </row>
    <row r="1662">
      <c r="CH1662">
        <f>IF(ISTEXT('월 가계부'!A1662),SUBSTITUTE(SUBSTITUTE(SUBSTITUTE(SUBSTITUTE(SUBSTITUTE(SUBSTITUTE(SUBSTITUTE(SUBSTITUTE(SUBSTITUTE(TRIM('월 가계부'!A1662),"년","-"),"월","-"),"일",""),".","-"),"/","-")," ","-"),"--","-"),"--","-"),"--","-")&amp;"-","")</f>
        <v/>
      </c>
      <c r="CI1662">
        <f>IFERROR(IF('월 가계부'!A1662="","",IF(ISNUMBER('월 가계부'!A1662),IF(AND('월 가계부'!A1662&gt;=19000101,'월 가계부'!A1662&lt;=21001231),IF(AND(MOD(INT('월 가계부'!A1662/100),100)&gt;=1,MOD(INT('월 가계부'!A1662/100),100)&lt;=12,MOD(INT('월 가계부'!A1662),100)&gt;=1,MOD(INT('월 가계부'!A1662),100)&lt;=31),IF(MONTH(DATE(INT('월 가계부'!A1662/10000),MOD(INT('월 가계부'!A1662/100),100),MOD(INT('월 가계부'!A1662),100)))=MOD(INT('월 가계부'!A1662/100),100),DATE(INT('월 가계부'!A1662/10000),MOD(INT('월 가계부'!A1662/100),100),MOD(INT('월 가계부'!A1662),100)),""),""),IF(AND('월 가계부'!A1662&gt;=36526,'월 가계부'!A1662&lt;73051),INT('월 가계부'!A1662),"")),IF(OR(CM1662="",CN1662="",CO1662=""),"",IF(AND(CM1662&gt;=2000,CM1662&lt;=2099,CN1662&gt;=1,CN1662&lt;=12,CO1662&gt;=1,CO1662&lt;=31),IF(MONTH(DATE(CM1662,CN1662,CO1662))=CN1662,DATE(CM1662,CN1662,CO1662),""),"")))),"")</f>
        <v/>
      </c>
      <c r="CJ1662">
        <f>IFERROR(IF('월 가계부'!C1662="","",IF(ISNUMBER('월 가계부'!C1662),'월 가계부'!C1662,VALUE(SUBSTITUTE(SUBSTITUTE(SUBSTITUTE(SUBSTITUTE(TRIM('월 가계부'!C1662),",",""),"원","")," ",""),"−","-")))),"")</f>
        <v/>
      </c>
      <c r="CK1662">
        <f>IF(ISNUMBER(CI1662),IF(CI1662&lt;$B$13,CI1662,""),"")</f>
        <v/>
      </c>
      <c r="CM1662">
        <f>IF(CH1662="","",IFERROR(IF(IF(AND(LEN(CH1662)=9,ISERROR(FIND("-",LEFT(CH1662,8))),ISNUMBER(-LEFT(CH1662,8))),VALUE(LEFT(CH1662,4)),VALUE(LEFT(CH1662,FIND("-",CH1662)-1)))&lt;100,IF(AND(LEN(CH1662)=9,ISERROR(FIND("-",LEFT(CH1662,8))),ISNUMBER(-LEFT(CH1662,8))),VALUE(LEFT(CH1662,4)),VALUE(LEFT(CH1662,FIND("-",CH1662)-1)))+2000,IF(AND(LEN(CH1662)=9,ISERROR(FIND("-",LEFT(CH1662,8))),ISNUMBER(-LEFT(CH1662,8))),VALUE(LEFT(CH1662,4)),VALUE(LEFT(CH1662,FIND("-",CH1662)-1)))),""))</f>
        <v/>
      </c>
      <c r="CN1662">
        <f>IF(CH1662="","",IFERROR(IF(AND(LEN(CH1662)=9,ISERROR(FIND("-",LEFT(CH1662,8))),ISNUMBER(-LEFT(CH1662,8))),VALUE(MID(CH1662,5,2)),VALUE(MID(CH1662,FIND("-",CH1662)+1,FIND("-",CH1662,FIND("-",CH1662)+1)-FIND("-",CH1662)-1))),""))</f>
        <v/>
      </c>
      <c r="CO1662">
        <f>IF(CH1662="","",IFERROR(IF(AND(LEN(CH1662)=9,ISERROR(FIND("-",LEFT(CH1662,8))),ISNUMBER(-LEFT(CH1662,8))),VALUE(MID(CH1662,7,2)),VALUE(MID(CH1662,FIND("-",CH1662,FIND("-",CH1662)+1)+1,FIND("-",CH1662,FIND("-",CH1662,FIND("-",CH1662)+1)+1)-FIND("-",CH1662,FIND("-",CH1662)+1)-1))),""))</f>
        <v/>
      </c>
    </row>
    <row r="1663">
      <c r="CH1663">
        <f>IF(ISTEXT('월 가계부'!A1663),SUBSTITUTE(SUBSTITUTE(SUBSTITUTE(SUBSTITUTE(SUBSTITUTE(SUBSTITUTE(SUBSTITUTE(SUBSTITUTE(SUBSTITUTE(TRIM('월 가계부'!A1663),"년","-"),"월","-"),"일",""),".","-"),"/","-")," ","-"),"--","-"),"--","-"),"--","-")&amp;"-","")</f>
        <v/>
      </c>
      <c r="CI1663">
        <f>IFERROR(IF('월 가계부'!A1663="","",IF(ISNUMBER('월 가계부'!A1663),IF(AND('월 가계부'!A1663&gt;=19000101,'월 가계부'!A1663&lt;=21001231),IF(AND(MOD(INT('월 가계부'!A1663/100),100)&gt;=1,MOD(INT('월 가계부'!A1663/100),100)&lt;=12,MOD(INT('월 가계부'!A1663),100)&gt;=1,MOD(INT('월 가계부'!A1663),100)&lt;=31),IF(MONTH(DATE(INT('월 가계부'!A1663/10000),MOD(INT('월 가계부'!A1663/100),100),MOD(INT('월 가계부'!A1663),100)))=MOD(INT('월 가계부'!A1663/100),100),DATE(INT('월 가계부'!A1663/10000),MOD(INT('월 가계부'!A1663/100),100),MOD(INT('월 가계부'!A1663),100)),""),""),IF(AND('월 가계부'!A1663&gt;=36526,'월 가계부'!A1663&lt;73051),INT('월 가계부'!A1663),"")),IF(OR(CM1663="",CN1663="",CO1663=""),"",IF(AND(CM1663&gt;=2000,CM1663&lt;=2099,CN1663&gt;=1,CN1663&lt;=12,CO1663&gt;=1,CO1663&lt;=31),IF(MONTH(DATE(CM1663,CN1663,CO1663))=CN1663,DATE(CM1663,CN1663,CO1663),""),"")))),"")</f>
        <v/>
      </c>
      <c r="CJ1663">
        <f>IFERROR(IF('월 가계부'!C1663="","",IF(ISNUMBER('월 가계부'!C1663),'월 가계부'!C1663,VALUE(SUBSTITUTE(SUBSTITUTE(SUBSTITUTE(SUBSTITUTE(TRIM('월 가계부'!C1663),",",""),"원","")," ",""),"−","-")))),"")</f>
        <v/>
      </c>
      <c r="CK1663">
        <f>IF(ISNUMBER(CI1663),IF(CI1663&lt;$B$13,CI1663,""),"")</f>
        <v/>
      </c>
      <c r="CM1663">
        <f>IF(CH1663="","",IFERROR(IF(IF(AND(LEN(CH1663)=9,ISERROR(FIND("-",LEFT(CH1663,8))),ISNUMBER(-LEFT(CH1663,8))),VALUE(LEFT(CH1663,4)),VALUE(LEFT(CH1663,FIND("-",CH1663)-1)))&lt;100,IF(AND(LEN(CH1663)=9,ISERROR(FIND("-",LEFT(CH1663,8))),ISNUMBER(-LEFT(CH1663,8))),VALUE(LEFT(CH1663,4)),VALUE(LEFT(CH1663,FIND("-",CH1663)-1)))+2000,IF(AND(LEN(CH1663)=9,ISERROR(FIND("-",LEFT(CH1663,8))),ISNUMBER(-LEFT(CH1663,8))),VALUE(LEFT(CH1663,4)),VALUE(LEFT(CH1663,FIND("-",CH1663)-1)))),""))</f>
        <v/>
      </c>
      <c r="CN1663">
        <f>IF(CH1663="","",IFERROR(IF(AND(LEN(CH1663)=9,ISERROR(FIND("-",LEFT(CH1663,8))),ISNUMBER(-LEFT(CH1663,8))),VALUE(MID(CH1663,5,2)),VALUE(MID(CH1663,FIND("-",CH1663)+1,FIND("-",CH1663,FIND("-",CH1663)+1)-FIND("-",CH1663)-1))),""))</f>
        <v/>
      </c>
      <c r="CO1663">
        <f>IF(CH1663="","",IFERROR(IF(AND(LEN(CH1663)=9,ISERROR(FIND("-",LEFT(CH1663,8))),ISNUMBER(-LEFT(CH1663,8))),VALUE(MID(CH1663,7,2)),VALUE(MID(CH1663,FIND("-",CH1663,FIND("-",CH1663)+1)+1,FIND("-",CH1663,FIND("-",CH1663,FIND("-",CH1663)+1)+1)-FIND("-",CH1663,FIND("-",CH1663)+1)-1))),""))</f>
        <v/>
      </c>
    </row>
    <row r="1664">
      <c r="CH1664">
        <f>IF(ISTEXT('월 가계부'!A1664),SUBSTITUTE(SUBSTITUTE(SUBSTITUTE(SUBSTITUTE(SUBSTITUTE(SUBSTITUTE(SUBSTITUTE(SUBSTITUTE(SUBSTITUTE(TRIM('월 가계부'!A1664),"년","-"),"월","-"),"일",""),".","-"),"/","-")," ","-"),"--","-"),"--","-"),"--","-")&amp;"-","")</f>
        <v/>
      </c>
      <c r="CI1664">
        <f>IFERROR(IF('월 가계부'!A1664="","",IF(ISNUMBER('월 가계부'!A1664),IF(AND('월 가계부'!A1664&gt;=19000101,'월 가계부'!A1664&lt;=21001231),IF(AND(MOD(INT('월 가계부'!A1664/100),100)&gt;=1,MOD(INT('월 가계부'!A1664/100),100)&lt;=12,MOD(INT('월 가계부'!A1664),100)&gt;=1,MOD(INT('월 가계부'!A1664),100)&lt;=31),IF(MONTH(DATE(INT('월 가계부'!A1664/10000),MOD(INT('월 가계부'!A1664/100),100),MOD(INT('월 가계부'!A1664),100)))=MOD(INT('월 가계부'!A1664/100),100),DATE(INT('월 가계부'!A1664/10000),MOD(INT('월 가계부'!A1664/100),100),MOD(INT('월 가계부'!A1664),100)),""),""),IF(AND('월 가계부'!A1664&gt;=36526,'월 가계부'!A1664&lt;73051),INT('월 가계부'!A1664),"")),IF(OR(CM1664="",CN1664="",CO1664=""),"",IF(AND(CM1664&gt;=2000,CM1664&lt;=2099,CN1664&gt;=1,CN1664&lt;=12,CO1664&gt;=1,CO1664&lt;=31),IF(MONTH(DATE(CM1664,CN1664,CO1664))=CN1664,DATE(CM1664,CN1664,CO1664),""),"")))),"")</f>
        <v/>
      </c>
      <c r="CJ1664">
        <f>IFERROR(IF('월 가계부'!C1664="","",IF(ISNUMBER('월 가계부'!C1664),'월 가계부'!C1664,VALUE(SUBSTITUTE(SUBSTITUTE(SUBSTITUTE(SUBSTITUTE(TRIM('월 가계부'!C1664),",",""),"원","")," ",""),"−","-")))),"")</f>
        <v/>
      </c>
      <c r="CK1664">
        <f>IF(ISNUMBER(CI1664),IF(CI1664&lt;$B$13,CI1664,""),"")</f>
        <v/>
      </c>
      <c r="CM1664">
        <f>IF(CH1664="","",IFERROR(IF(IF(AND(LEN(CH1664)=9,ISERROR(FIND("-",LEFT(CH1664,8))),ISNUMBER(-LEFT(CH1664,8))),VALUE(LEFT(CH1664,4)),VALUE(LEFT(CH1664,FIND("-",CH1664)-1)))&lt;100,IF(AND(LEN(CH1664)=9,ISERROR(FIND("-",LEFT(CH1664,8))),ISNUMBER(-LEFT(CH1664,8))),VALUE(LEFT(CH1664,4)),VALUE(LEFT(CH1664,FIND("-",CH1664)-1)))+2000,IF(AND(LEN(CH1664)=9,ISERROR(FIND("-",LEFT(CH1664,8))),ISNUMBER(-LEFT(CH1664,8))),VALUE(LEFT(CH1664,4)),VALUE(LEFT(CH1664,FIND("-",CH1664)-1)))),""))</f>
        <v/>
      </c>
      <c r="CN1664">
        <f>IF(CH1664="","",IFERROR(IF(AND(LEN(CH1664)=9,ISERROR(FIND("-",LEFT(CH1664,8))),ISNUMBER(-LEFT(CH1664,8))),VALUE(MID(CH1664,5,2)),VALUE(MID(CH1664,FIND("-",CH1664)+1,FIND("-",CH1664,FIND("-",CH1664)+1)-FIND("-",CH1664)-1))),""))</f>
        <v/>
      </c>
      <c r="CO1664">
        <f>IF(CH1664="","",IFERROR(IF(AND(LEN(CH1664)=9,ISERROR(FIND("-",LEFT(CH1664,8))),ISNUMBER(-LEFT(CH1664,8))),VALUE(MID(CH1664,7,2)),VALUE(MID(CH1664,FIND("-",CH1664,FIND("-",CH1664)+1)+1,FIND("-",CH1664,FIND("-",CH1664,FIND("-",CH1664)+1)+1)-FIND("-",CH1664,FIND("-",CH1664)+1)-1))),""))</f>
        <v/>
      </c>
    </row>
    <row r="1665">
      <c r="CH1665">
        <f>IF(ISTEXT('월 가계부'!A1665),SUBSTITUTE(SUBSTITUTE(SUBSTITUTE(SUBSTITUTE(SUBSTITUTE(SUBSTITUTE(SUBSTITUTE(SUBSTITUTE(SUBSTITUTE(TRIM('월 가계부'!A1665),"년","-"),"월","-"),"일",""),".","-"),"/","-")," ","-"),"--","-"),"--","-"),"--","-")&amp;"-","")</f>
        <v/>
      </c>
      <c r="CI1665">
        <f>IFERROR(IF('월 가계부'!A1665="","",IF(ISNUMBER('월 가계부'!A1665),IF(AND('월 가계부'!A1665&gt;=19000101,'월 가계부'!A1665&lt;=21001231),IF(AND(MOD(INT('월 가계부'!A1665/100),100)&gt;=1,MOD(INT('월 가계부'!A1665/100),100)&lt;=12,MOD(INT('월 가계부'!A1665),100)&gt;=1,MOD(INT('월 가계부'!A1665),100)&lt;=31),IF(MONTH(DATE(INT('월 가계부'!A1665/10000),MOD(INT('월 가계부'!A1665/100),100),MOD(INT('월 가계부'!A1665),100)))=MOD(INT('월 가계부'!A1665/100),100),DATE(INT('월 가계부'!A1665/10000),MOD(INT('월 가계부'!A1665/100),100),MOD(INT('월 가계부'!A1665),100)),""),""),IF(AND('월 가계부'!A1665&gt;=36526,'월 가계부'!A1665&lt;73051),INT('월 가계부'!A1665),"")),IF(OR(CM1665="",CN1665="",CO1665=""),"",IF(AND(CM1665&gt;=2000,CM1665&lt;=2099,CN1665&gt;=1,CN1665&lt;=12,CO1665&gt;=1,CO1665&lt;=31),IF(MONTH(DATE(CM1665,CN1665,CO1665))=CN1665,DATE(CM1665,CN1665,CO1665),""),"")))),"")</f>
        <v/>
      </c>
      <c r="CJ1665">
        <f>IFERROR(IF('월 가계부'!C1665="","",IF(ISNUMBER('월 가계부'!C1665),'월 가계부'!C1665,VALUE(SUBSTITUTE(SUBSTITUTE(SUBSTITUTE(SUBSTITUTE(TRIM('월 가계부'!C1665),",",""),"원","")," ",""),"−","-")))),"")</f>
        <v/>
      </c>
      <c r="CK1665">
        <f>IF(ISNUMBER(CI1665),IF(CI1665&lt;$B$13,CI1665,""),"")</f>
        <v/>
      </c>
      <c r="CM1665">
        <f>IF(CH1665="","",IFERROR(IF(IF(AND(LEN(CH1665)=9,ISERROR(FIND("-",LEFT(CH1665,8))),ISNUMBER(-LEFT(CH1665,8))),VALUE(LEFT(CH1665,4)),VALUE(LEFT(CH1665,FIND("-",CH1665)-1)))&lt;100,IF(AND(LEN(CH1665)=9,ISERROR(FIND("-",LEFT(CH1665,8))),ISNUMBER(-LEFT(CH1665,8))),VALUE(LEFT(CH1665,4)),VALUE(LEFT(CH1665,FIND("-",CH1665)-1)))+2000,IF(AND(LEN(CH1665)=9,ISERROR(FIND("-",LEFT(CH1665,8))),ISNUMBER(-LEFT(CH1665,8))),VALUE(LEFT(CH1665,4)),VALUE(LEFT(CH1665,FIND("-",CH1665)-1)))),""))</f>
        <v/>
      </c>
      <c r="CN1665">
        <f>IF(CH1665="","",IFERROR(IF(AND(LEN(CH1665)=9,ISERROR(FIND("-",LEFT(CH1665,8))),ISNUMBER(-LEFT(CH1665,8))),VALUE(MID(CH1665,5,2)),VALUE(MID(CH1665,FIND("-",CH1665)+1,FIND("-",CH1665,FIND("-",CH1665)+1)-FIND("-",CH1665)-1))),""))</f>
        <v/>
      </c>
      <c r="CO1665">
        <f>IF(CH1665="","",IFERROR(IF(AND(LEN(CH1665)=9,ISERROR(FIND("-",LEFT(CH1665,8))),ISNUMBER(-LEFT(CH1665,8))),VALUE(MID(CH1665,7,2)),VALUE(MID(CH1665,FIND("-",CH1665,FIND("-",CH1665)+1)+1,FIND("-",CH1665,FIND("-",CH1665,FIND("-",CH1665)+1)+1)-FIND("-",CH1665,FIND("-",CH1665)+1)-1))),""))</f>
        <v/>
      </c>
    </row>
    <row r="1666">
      <c r="CH1666">
        <f>IF(ISTEXT('월 가계부'!A1666),SUBSTITUTE(SUBSTITUTE(SUBSTITUTE(SUBSTITUTE(SUBSTITUTE(SUBSTITUTE(SUBSTITUTE(SUBSTITUTE(SUBSTITUTE(TRIM('월 가계부'!A1666),"년","-"),"월","-"),"일",""),".","-"),"/","-")," ","-"),"--","-"),"--","-"),"--","-")&amp;"-","")</f>
        <v/>
      </c>
      <c r="CI1666">
        <f>IFERROR(IF('월 가계부'!A1666="","",IF(ISNUMBER('월 가계부'!A1666),IF(AND('월 가계부'!A1666&gt;=19000101,'월 가계부'!A1666&lt;=21001231),IF(AND(MOD(INT('월 가계부'!A1666/100),100)&gt;=1,MOD(INT('월 가계부'!A1666/100),100)&lt;=12,MOD(INT('월 가계부'!A1666),100)&gt;=1,MOD(INT('월 가계부'!A1666),100)&lt;=31),IF(MONTH(DATE(INT('월 가계부'!A1666/10000),MOD(INT('월 가계부'!A1666/100),100),MOD(INT('월 가계부'!A1666),100)))=MOD(INT('월 가계부'!A1666/100),100),DATE(INT('월 가계부'!A1666/10000),MOD(INT('월 가계부'!A1666/100),100),MOD(INT('월 가계부'!A1666),100)),""),""),IF(AND('월 가계부'!A1666&gt;=36526,'월 가계부'!A1666&lt;73051),INT('월 가계부'!A1666),"")),IF(OR(CM1666="",CN1666="",CO1666=""),"",IF(AND(CM1666&gt;=2000,CM1666&lt;=2099,CN1666&gt;=1,CN1666&lt;=12,CO1666&gt;=1,CO1666&lt;=31),IF(MONTH(DATE(CM1666,CN1666,CO1666))=CN1666,DATE(CM1666,CN1666,CO1666),""),"")))),"")</f>
        <v/>
      </c>
      <c r="CJ1666">
        <f>IFERROR(IF('월 가계부'!C1666="","",IF(ISNUMBER('월 가계부'!C1666),'월 가계부'!C1666,VALUE(SUBSTITUTE(SUBSTITUTE(SUBSTITUTE(SUBSTITUTE(TRIM('월 가계부'!C1666),",",""),"원","")," ",""),"−","-")))),"")</f>
        <v/>
      </c>
      <c r="CK1666">
        <f>IF(ISNUMBER(CI1666),IF(CI1666&lt;$B$13,CI1666,""),"")</f>
        <v/>
      </c>
      <c r="CM1666">
        <f>IF(CH1666="","",IFERROR(IF(IF(AND(LEN(CH1666)=9,ISERROR(FIND("-",LEFT(CH1666,8))),ISNUMBER(-LEFT(CH1666,8))),VALUE(LEFT(CH1666,4)),VALUE(LEFT(CH1666,FIND("-",CH1666)-1)))&lt;100,IF(AND(LEN(CH1666)=9,ISERROR(FIND("-",LEFT(CH1666,8))),ISNUMBER(-LEFT(CH1666,8))),VALUE(LEFT(CH1666,4)),VALUE(LEFT(CH1666,FIND("-",CH1666)-1)))+2000,IF(AND(LEN(CH1666)=9,ISERROR(FIND("-",LEFT(CH1666,8))),ISNUMBER(-LEFT(CH1666,8))),VALUE(LEFT(CH1666,4)),VALUE(LEFT(CH1666,FIND("-",CH1666)-1)))),""))</f>
        <v/>
      </c>
      <c r="CN1666">
        <f>IF(CH1666="","",IFERROR(IF(AND(LEN(CH1666)=9,ISERROR(FIND("-",LEFT(CH1666,8))),ISNUMBER(-LEFT(CH1666,8))),VALUE(MID(CH1666,5,2)),VALUE(MID(CH1666,FIND("-",CH1666)+1,FIND("-",CH1666,FIND("-",CH1666)+1)-FIND("-",CH1666)-1))),""))</f>
        <v/>
      </c>
      <c r="CO1666">
        <f>IF(CH1666="","",IFERROR(IF(AND(LEN(CH1666)=9,ISERROR(FIND("-",LEFT(CH1666,8))),ISNUMBER(-LEFT(CH1666,8))),VALUE(MID(CH1666,7,2)),VALUE(MID(CH1666,FIND("-",CH1666,FIND("-",CH1666)+1)+1,FIND("-",CH1666,FIND("-",CH1666,FIND("-",CH1666)+1)+1)-FIND("-",CH1666,FIND("-",CH1666)+1)-1))),""))</f>
        <v/>
      </c>
    </row>
    <row r="1667">
      <c r="CH1667">
        <f>IF(ISTEXT('월 가계부'!A1667),SUBSTITUTE(SUBSTITUTE(SUBSTITUTE(SUBSTITUTE(SUBSTITUTE(SUBSTITUTE(SUBSTITUTE(SUBSTITUTE(SUBSTITUTE(TRIM('월 가계부'!A1667),"년","-"),"월","-"),"일",""),".","-"),"/","-")," ","-"),"--","-"),"--","-"),"--","-")&amp;"-","")</f>
        <v/>
      </c>
      <c r="CI1667">
        <f>IFERROR(IF('월 가계부'!A1667="","",IF(ISNUMBER('월 가계부'!A1667),IF(AND('월 가계부'!A1667&gt;=19000101,'월 가계부'!A1667&lt;=21001231),IF(AND(MOD(INT('월 가계부'!A1667/100),100)&gt;=1,MOD(INT('월 가계부'!A1667/100),100)&lt;=12,MOD(INT('월 가계부'!A1667),100)&gt;=1,MOD(INT('월 가계부'!A1667),100)&lt;=31),IF(MONTH(DATE(INT('월 가계부'!A1667/10000),MOD(INT('월 가계부'!A1667/100),100),MOD(INT('월 가계부'!A1667),100)))=MOD(INT('월 가계부'!A1667/100),100),DATE(INT('월 가계부'!A1667/10000),MOD(INT('월 가계부'!A1667/100),100),MOD(INT('월 가계부'!A1667),100)),""),""),IF(AND('월 가계부'!A1667&gt;=36526,'월 가계부'!A1667&lt;73051),INT('월 가계부'!A1667),"")),IF(OR(CM1667="",CN1667="",CO1667=""),"",IF(AND(CM1667&gt;=2000,CM1667&lt;=2099,CN1667&gt;=1,CN1667&lt;=12,CO1667&gt;=1,CO1667&lt;=31),IF(MONTH(DATE(CM1667,CN1667,CO1667))=CN1667,DATE(CM1667,CN1667,CO1667),""),"")))),"")</f>
        <v/>
      </c>
      <c r="CJ1667">
        <f>IFERROR(IF('월 가계부'!C1667="","",IF(ISNUMBER('월 가계부'!C1667),'월 가계부'!C1667,VALUE(SUBSTITUTE(SUBSTITUTE(SUBSTITUTE(SUBSTITUTE(TRIM('월 가계부'!C1667),",",""),"원","")," ",""),"−","-")))),"")</f>
        <v/>
      </c>
      <c r="CK1667">
        <f>IF(ISNUMBER(CI1667),IF(CI1667&lt;$B$13,CI1667,""),"")</f>
        <v/>
      </c>
      <c r="CM1667">
        <f>IF(CH1667="","",IFERROR(IF(IF(AND(LEN(CH1667)=9,ISERROR(FIND("-",LEFT(CH1667,8))),ISNUMBER(-LEFT(CH1667,8))),VALUE(LEFT(CH1667,4)),VALUE(LEFT(CH1667,FIND("-",CH1667)-1)))&lt;100,IF(AND(LEN(CH1667)=9,ISERROR(FIND("-",LEFT(CH1667,8))),ISNUMBER(-LEFT(CH1667,8))),VALUE(LEFT(CH1667,4)),VALUE(LEFT(CH1667,FIND("-",CH1667)-1)))+2000,IF(AND(LEN(CH1667)=9,ISERROR(FIND("-",LEFT(CH1667,8))),ISNUMBER(-LEFT(CH1667,8))),VALUE(LEFT(CH1667,4)),VALUE(LEFT(CH1667,FIND("-",CH1667)-1)))),""))</f>
        <v/>
      </c>
      <c r="CN1667">
        <f>IF(CH1667="","",IFERROR(IF(AND(LEN(CH1667)=9,ISERROR(FIND("-",LEFT(CH1667,8))),ISNUMBER(-LEFT(CH1667,8))),VALUE(MID(CH1667,5,2)),VALUE(MID(CH1667,FIND("-",CH1667)+1,FIND("-",CH1667,FIND("-",CH1667)+1)-FIND("-",CH1667)-1))),""))</f>
        <v/>
      </c>
      <c r="CO1667">
        <f>IF(CH1667="","",IFERROR(IF(AND(LEN(CH1667)=9,ISERROR(FIND("-",LEFT(CH1667,8))),ISNUMBER(-LEFT(CH1667,8))),VALUE(MID(CH1667,7,2)),VALUE(MID(CH1667,FIND("-",CH1667,FIND("-",CH1667)+1)+1,FIND("-",CH1667,FIND("-",CH1667,FIND("-",CH1667)+1)+1)-FIND("-",CH1667,FIND("-",CH1667)+1)-1))),""))</f>
        <v/>
      </c>
    </row>
    <row r="1668">
      <c r="CH1668">
        <f>IF(ISTEXT('월 가계부'!A1668),SUBSTITUTE(SUBSTITUTE(SUBSTITUTE(SUBSTITUTE(SUBSTITUTE(SUBSTITUTE(SUBSTITUTE(SUBSTITUTE(SUBSTITUTE(TRIM('월 가계부'!A1668),"년","-"),"월","-"),"일",""),".","-"),"/","-")," ","-"),"--","-"),"--","-"),"--","-")&amp;"-","")</f>
        <v/>
      </c>
      <c r="CI1668">
        <f>IFERROR(IF('월 가계부'!A1668="","",IF(ISNUMBER('월 가계부'!A1668),IF(AND('월 가계부'!A1668&gt;=19000101,'월 가계부'!A1668&lt;=21001231),IF(AND(MOD(INT('월 가계부'!A1668/100),100)&gt;=1,MOD(INT('월 가계부'!A1668/100),100)&lt;=12,MOD(INT('월 가계부'!A1668),100)&gt;=1,MOD(INT('월 가계부'!A1668),100)&lt;=31),IF(MONTH(DATE(INT('월 가계부'!A1668/10000),MOD(INT('월 가계부'!A1668/100),100),MOD(INT('월 가계부'!A1668),100)))=MOD(INT('월 가계부'!A1668/100),100),DATE(INT('월 가계부'!A1668/10000),MOD(INT('월 가계부'!A1668/100),100),MOD(INT('월 가계부'!A1668),100)),""),""),IF(AND('월 가계부'!A1668&gt;=36526,'월 가계부'!A1668&lt;73051),INT('월 가계부'!A1668),"")),IF(OR(CM1668="",CN1668="",CO1668=""),"",IF(AND(CM1668&gt;=2000,CM1668&lt;=2099,CN1668&gt;=1,CN1668&lt;=12,CO1668&gt;=1,CO1668&lt;=31),IF(MONTH(DATE(CM1668,CN1668,CO1668))=CN1668,DATE(CM1668,CN1668,CO1668),""),"")))),"")</f>
        <v/>
      </c>
      <c r="CJ1668">
        <f>IFERROR(IF('월 가계부'!C1668="","",IF(ISNUMBER('월 가계부'!C1668),'월 가계부'!C1668,VALUE(SUBSTITUTE(SUBSTITUTE(SUBSTITUTE(SUBSTITUTE(TRIM('월 가계부'!C1668),",",""),"원","")," ",""),"−","-")))),"")</f>
        <v/>
      </c>
      <c r="CK1668">
        <f>IF(ISNUMBER(CI1668),IF(CI1668&lt;$B$13,CI1668,""),"")</f>
        <v/>
      </c>
      <c r="CM1668">
        <f>IF(CH1668="","",IFERROR(IF(IF(AND(LEN(CH1668)=9,ISERROR(FIND("-",LEFT(CH1668,8))),ISNUMBER(-LEFT(CH1668,8))),VALUE(LEFT(CH1668,4)),VALUE(LEFT(CH1668,FIND("-",CH1668)-1)))&lt;100,IF(AND(LEN(CH1668)=9,ISERROR(FIND("-",LEFT(CH1668,8))),ISNUMBER(-LEFT(CH1668,8))),VALUE(LEFT(CH1668,4)),VALUE(LEFT(CH1668,FIND("-",CH1668)-1)))+2000,IF(AND(LEN(CH1668)=9,ISERROR(FIND("-",LEFT(CH1668,8))),ISNUMBER(-LEFT(CH1668,8))),VALUE(LEFT(CH1668,4)),VALUE(LEFT(CH1668,FIND("-",CH1668)-1)))),""))</f>
        <v/>
      </c>
      <c r="CN1668">
        <f>IF(CH1668="","",IFERROR(IF(AND(LEN(CH1668)=9,ISERROR(FIND("-",LEFT(CH1668,8))),ISNUMBER(-LEFT(CH1668,8))),VALUE(MID(CH1668,5,2)),VALUE(MID(CH1668,FIND("-",CH1668)+1,FIND("-",CH1668,FIND("-",CH1668)+1)-FIND("-",CH1668)-1))),""))</f>
        <v/>
      </c>
      <c r="CO1668">
        <f>IF(CH1668="","",IFERROR(IF(AND(LEN(CH1668)=9,ISERROR(FIND("-",LEFT(CH1668,8))),ISNUMBER(-LEFT(CH1668,8))),VALUE(MID(CH1668,7,2)),VALUE(MID(CH1668,FIND("-",CH1668,FIND("-",CH1668)+1)+1,FIND("-",CH1668,FIND("-",CH1668,FIND("-",CH1668)+1)+1)-FIND("-",CH1668,FIND("-",CH1668)+1)-1))),""))</f>
        <v/>
      </c>
    </row>
    <row r="1669">
      <c r="CH1669">
        <f>IF(ISTEXT('월 가계부'!A1669),SUBSTITUTE(SUBSTITUTE(SUBSTITUTE(SUBSTITUTE(SUBSTITUTE(SUBSTITUTE(SUBSTITUTE(SUBSTITUTE(SUBSTITUTE(TRIM('월 가계부'!A1669),"년","-"),"월","-"),"일",""),".","-"),"/","-")," ","-"),"--","-"),"--","-"),"--","-")&amp;"-","")</f>
        <v/>
      </c>
      <c r="CI1669">
        <f>IFERROR(IF('월 가계부'!A1669="","",IF(ISNUMBER('월 가계부'!A1669),IF(AND('월 가계부'!A1669&gt;=19000101,'월 가계부'!A1669&lt;=21001231),IF(AND(MOD(INT('월 가계부'!A1669/100),100)&gt;=1,MOD(INT('월 가계부'!A1669/100),100)&lt;=12,MOD(INT('월 가계부'!A1669),100)&gt;=1,MOD(INT('월 가계부'!A1669),100)&lt;=31),IF(MONTH(DATE(INT('월 가계부'!A1669/10000),MOD(INT('월 가계부'!A1669/100),100),MOD(INT('월 가계부'!A1669),100)))=MOD(INT('월 가계부'!A1669/100),100),DATE(INT('월 가계부'!A1669/10000),MOD(INT('월 가계부'!A1669/100),100),MOD(INT('월 가계부'!A1669),100)),""),""),IF(AND('월 가계부'!A1669&gt;=36526,'월 가계부'!A1669&lt;73051),INT('월 가계부'!A1669),"")),IF(OR(CM1669="",CN1669="",CO1669=""),"",IF(AND(CM1669&gt;=2000,CM1669&lt;=2099,CN1669&gt;=1,CN1669&lt;=12,CO1669&gt;=1,CO1669&lt;=31),IF(MONTH(DATE(CM1669,CN1669,CO1669))=CN1669,DATE(CM1669,CN1669,CO1669),""),"")))),"")</f>
        <v/>
      </c>
      <c r="CJ1669">
        <f>IFERROR(IF('월 가계부'!C1669="","",IF(ISNUMBER('월 가계부'!C1669),'월 가계부'!C1669,VALUE(SUBSTITUTE(SUBSTITUTE(SUBSTITUTE(SUBSTITUTE(TRIM('월 가계부'!C1669),",",""),"원","")," ",""),"−","-")))),"")</f>
        <v/>
      </c>
      <c r="CK1669">
        <f>IF(ISNUMBER(CI1669),IF(CI1669&lt;$B$13,CI1669,""),"")</f>
        <v/>
      </c>
      <c r="CM1669">
        <f>IF(CH1669="","",IFERROR(IF(IF(AND(LEN(CH1669)=9,ISERROR(FIND("-",LEFT(CH1669,8))),ISNUMBER(-LEFT(CH1669,8))),VALUE(LEFT(CH1669,4)),VALUE(LEFT(CH1669,FIND("-",CH1669)-1)))&lt;100,IF(AND(LEN(CH1669)=9,ISERROR(FIND("-",LEFT(CH1669,8))),ISNUMBER(-LEFT(CH1669,8))),VALUE(LEFT(CH1669,4)),VALUE(LEFT(CH1669,FIND("-",CH1669)-1)))+2000,IF(AND(LEN(CH1669)=9,ISERROR(FIND("-",LEFT(CH1669,8))),ISNUMBER(-LEFT(CH1669,8))),VALUE(LEFT(CH1669,4)),VALUE(LEFT(CH1669,FIND("-",CH1669)-1)))),""))</f>
        <v/>
      </c>
      <c r="CN1669">
        <f>IF(CH1669="","",IFERROR(IF(AND(LEN(CH1669)=9,ISERROR(FIND("-",LEFT(CH1669,8))),ISNUMBER(-LEFT(CH1669,8))),VALUE(MID(CH1669,5,2)),VALUE(MID(CH1669,FIND("-",CH1669)+1,FIND("-",CH1669,FIND("-",CH1669)+1)-FIND("-",CH1669)-1))),""))</f>
        <v/>
      </c>
      <c r="CO1669">
        <f>IF(CH1669="","",IFERROR(IF(AND(LEN(CH1669)=9,ISERROR(FIND("-",LEFT(CH1669,8))),ISNUMBER(-LEFT(CH1669,8))),VALUE(MID(CH1669,7,2)),VALUE(MID(CH1669,FIND("-",CH1669,FIND("-",CH1669)+1)+1,FIND("-",CH1669,FIND("-",CH1669,FIND("-",CH1669)+1)+1)-FIND("-",CH1669,FIND("-",CH1669)+1)-1))),""))</f>
        <v/>
      </c>
    </row>
    <row r="1670">
      <c r="CH1670">
        <f>IF(ISTEXT('월 가계부'!A1670),SUBSTITUTE(SUBSTITUTE(SUBSTITUTE(SUBSTITUTE(SUBSTITUTE(SUBSTITUTE(SUBSTITUTE(SUBSTITUTE(SUBSTITUTE(TRIM('월 가계부'!A1670),"년","-"),"월","-"),"일",""),".","-"),"/","-")," ","-"),"--","-"),"--","-"),"--","-")&amp;"-","")</f>
        <v/>
      </c>
      <c r="CI1670">
        <f>IFERROR(IF('월 가계부'!A1670="","",IF(ISNUMBER('월 가계부'!A1670),IF(AND('월 가계부'!A1670&gt;=19000101,'월 가계부'!A1670&lt;=21001231),IF(AND(MOD(INT('월 가계부'!A1670/100),100)&gt;=1,MOD(INT('월 가계부'!A1670/100),100)&lt;=12,MOD(INT('월 가계부'!A1670),100)&gt;=1,MOD(INT('월 가계부'!A1670),100)&lt;=31),IF(MONTH(DATE(INT('월 가계부'!A1670/10000),MOD(INT('월 가계부'!A1670/100),100),MOD(INT('월 가계부'!A1670),100)))=MOD(INT('월 가계부'!A1670/100),100),DATE(INT('월 가계부'!A1670/10000),MOD(INT('월 가계부'!A1670/100),100),MOD(INT('월 가계부'!A1670),100)),""),""),IF(AND('월 가계부'!A1670&gt;=36526,'월 가계부'!A1670&lt;73051),INT('월 가계부'!A1670),"")),IF(OR(CM1670="",CN1670="",CO1670=""),"",IF(AND(CM1670&gt;=2000,CM1670&lt;=2099,CN1670&gt;=1,CN1670&lt;=12,CO1670&gt;=1,CO1670&lt;=31),IF(MONTH(DATE(CM1670,CN1670,CO1670))=CN1670,DATE(CM1670,CN1670,CO1670),""),"")))),"")</f>
        <v/>
      </c>
      <c r="CJ1670">
        <f>IFERROR(IF('월 가계부'!C1670="","",IF(ISNUMBER('월 가계부'!C1670),'월 가계부'!C1670,VALUE(SUBSTITUTE(SUBSTITUTE(SUBSTITUTE(SUBSTITUTE(TRIM('월 가계부'!C1670),",",""),"원","")," ",""),"−","-")))),"")</f>
        <v/>
      </c>
      <c r="CK1670">
        <f>IF(ISNUMBER(CI1670),IF(CI1670&lt;$B$13,CI1670,""),"")</f>
        <v/>
      </c>
      <c r="CM1670">
        <f>IF(CH1670="","",IFERROR(IF(IF(AND(LEN(CH1670)=9,ISERROR(FIND("-",LEFT(CH1670,8))),ISNUMBER(-LEFT(CH1670,8))),VALUE(LEFT(CH1670,4)),VALUE(LEFT(CH1670,FIND("-",CH1670)-1)))&lt;100,IF(AND(LEN(CH1670)=9,ISERROR(FIND("-",LEFT(CH1670,8))),ISNUMBER(-LEFT(CH1670,8))),VALUE(LEFT(CH1670,4)),VALUE(LEFT(CH1670,FIND("-",CH1670)-1)))+2000,IF(AND(LEN(CH1670)=9,ISERROR(FIND("-",LEFT(CH1670,8))),ISNUMBER(-LEFT(CH1670,8))),VALUE(LEFT(CH1670,4)),VALUE(LEFT(CH1670,FIND("-",CH1670)-1)))),""))</f>
        <v/>
      </c>
      <c r="CN1670">
        <f>IF(CH1670="","",IFERROR(IF(AND(LEN(CH1670)=9,ISERROR(FIND("-",LEFT(CH1670,8))),ISNUMBER(-LEFT(CH1670,8))),VALUE(MID(CH1670,5,2)),VALUE(MID(CH1670,FIND("-",CH1670)+1,FIND("-",CH1670,FIND("-",CH1670)+1)-FIND("-",CH1670)-1))),""))</f>
        <v/>
      </c>
      <c r="CO1670">
        <f>IF(CH1670="","",IFERROR(IF(AND(LEN(CH1670)=9,ISERROR(FIND("-",LEFT(CH1670,8))),ISNUMBER(-LEFT(CH1670,8))),VALUE(MID(CH1670,7,2)),VALUE(MID(CH1670,FIND("-",CH1670,FIND("-",CH1670)+1)+1,FIND("-",CH1670,FIND("-",CH1670,FIND("-",CH1670)+1)+1)-FIND("-",CH1670,FIND("-",CH1670)+1)-1))),""))</f>
        <v/>
      </c>
    </row>
    <row r="1671">
      <c r="CH1671">
        <f>IF(ISTEXT('월 가계부'!A1671),SUBSTITUTE(SUBSTITUTE(SUBSTITUTE(SUBSTITUTE(SUBSTITUTE(SUBSTITUTE(SUBSTITUTE(SUBSTITUTE(SUBSTITUTE(TRIM('월 가계부'!A1671),"년","-"),"월","-"),"일",""),".","-"),"/","-")," ","-"),"--","-"),"--","-"),"--","-")&amp;"-","")</f>
        <v/>
      </c>
      <c r="CI1671">
        <f>IFERROR(IF('월 가계부'!A1671="","",IF(ISNUMBER('월 가계부'!A1671),IF(AND('월 가계부'!A1671&gt;=19000101,'월 가계부'!A1671&lt;=21001231),IF(AND(MOD(INT('월 가계부'!A1671/100),100)&gt;=1,MOD(INT('월 가계부'!A1671/100),100)&lt;=12,MOD(INT('월 가계부'!A1671),100)&gt;=1,MOD(INT('월 가계부'!A1671),100)&lt;=31),IF(MONTH(DATE(INT('월 가계부'!A1671/10000),MOD(INT('월 가계부'!A1671/100),100),MOD(INT('월 가계부'!A1671),100)))=MOD(INT('월 가계부'!A1671/100),100),DATE(INT('월 가계부'!A1671/10000),MOD(INT('월 가계부'!A1671/100),100),MOD(INT('월 가계부'!A1671),100)),""),""),IF(AND('월 가계부'!A1671&gt;=36526,'월 가계부'!A1671&lt;73051),INT('월 가계부'!A1671),"")),IF(OR(CM1671="",CN1671="",CO1671=""),"",IF(AND(CM1671&gt;=2000,CM1671&lt;=2099,CN1671&gt;=1,CN1671&lt;=12,CO1671&gt;=1,CO1671&lt;=31),IF(MONTH(DATE(CM1671,CN1671,CO1671))=CN1671,DATE(CM1671,CN1671,CO1671),""),"")))),"")</f>
        <v/>
      </c>
      <c r="CJ1671">
        <f>IFERROR(IF('월 가계부'!C1671="","",IF(ISNUMBER('월 가계부'!C1671),'월 가계부'!C1671,VALUE(SUBSTITUTE(SUBSTITUTE(SUBSTITUTE(SUBSTITUTE(TRIM('월 가계부'!C1671),",",""),"원","")," ",""),"−","-")))),"")</f>
        <v/>
      </c>
      <c r="CK1671">
        <f>IF(ISNUMBER(CI1671),IF(CI1671&lt;$B$13,CI1671,""),"")</f>
        <v/>
      </c>
      <c r="CM1671">
        <f>IF(CH1671="","",IFERROR(IF(IF(AND(LEN(CH1671)=9,ISERROR(FIND("-",LEFT(CH1671,8))),ISNUMBER(-LEFT(CH1671,8))),VALUE(LEFT(CH1671,4)),VALUE(LEFT(CH1671,FIND("-",CH1671)-1)))&lt;100,IF(AND(LEN(CH1671)=9,ISERROR(FIND("-",LEFT(CH1671,8))),ISNUMBER(-LEFT(CH1671,8))),VALUE(LEFT(CH1671,4)),VALUE(LEFT(CH1671,FIND("-",CH1671)-1)))+2000,IF(AND(LEN(CH1671)=9,ISERROR(FIND("-",LEFT(CH1671,8))),ISNUMBER(-LEFT(CH1671,8))),VALUE(LEFT(CH1671,4)),VALUE(LEFT(CH1671,FIND("-",CH1671)-1)))),""))</f>
        <v/>
      </c>
      <c r="CN1671">
        <f>IF(CH1671="","",IFERROR(IF(AND(LEN(CH1671)=9,ISERROR(FIND("-",LEFT(CH1671,8))),ISNUMBER(-LEFT(CH1671,8))),VALUE(MID(CH1671,5,2)),VALUE(MID(CH1671,FIND("-",CH1671)+1,FIND("-",CH1671,FIND("-",CH1671)+1)-FIND("-",CH1671)-1))),""))</f>
        <v/>
      </c>
      <c r="CO1671">
        <f>IF(CH1671="","",IFERROR(IF(AND(LEN(CH1671)=9,ISERROR(FIND("-",LEFT(CH1671,8))),ISNUMBER(-LEFT(CH1671,8))),VALUE(MID(CH1671,7,2)),VALUE(MID(CH1671,FIND("-",CH1671,FIND("-",CH1671)+1)+1,FIND("-",CH1671,FIND("-",CH1671,FIND("-",CH1671)+1)+1)-FIND("-",CH1671,FIND("-",CH1671)+1)-1))),""))</f>
        <v/>
      </c>
    </row>
    <row r="1672">
      <c r="CH1672">
        <f>IF(ISTEXT('월 가계부'!A1672),SUBSTITUTE(SUBSTITUTE(SUBSTITUTE(SUBSTITUTE(SUBSTITUTE(SUBSTITUTE(SUBSTITUTE(SUBSTITUTE(SUBSTITUTE(TRIM('월 가계부'!A1672),"년","-"),"월","-"),"일",""),".","-"),"/","-")," ","-"),"--","-"),"--","-"),"--","-")&amp;"-","")</f>
        <v/>
      </c>
      <c r="CI1672">
        <f>IFERROR(IF('월 가계부'!A1672="","",IF(ISNUMBER('월 가계부'!A1672),IF(AND('월 가계부'!A1672&gt;=19000101,'월 가계부'!A1672&lt;=21001231),IF(AND(MOD(INT('월 가계부'!A1672/100),100)&gt;=1,MOD(INT('월 가계부'!A1672/100),100)&lt;=12,MOD(INT('월 가계부'!A1672),100)&gt;=1,MOD(INT('월 가계부'!A1672),100)&lt;=31),IF(MONTH(DATE(INT('월 가계부'!A1672/10000),MOD(INT('월 가계부'!A1672/100),100),MOD(INT('월 가계부'!A1672),100)))=MOD(INT('월 가계부'!A1672/100),100),DATE(INT('월 가계부'!A1672/10000),MOD(INT('월 가계부'!A1672/100),100),MOD(INT('월 가계부'!A1672),100)),""),""),IF(AND('월 가계부'!A1672&gt;=36526,'월 가계부'!A1672&lt;73051),INT('월 가계부'!A1672),"")),IF(OR(CM1672="",CN1672="",CO1672=""),"",IF(AND(CM1672&gt;=2000,CM1672&lt;=2099,CN1672&gt;=1,CN1672&lt;=12,CO1672&gt;=1,CO1672&lt;=31),IF(MONTH(DATE(CM1672,CN1672,CO1672))=CN1672,DATE(CM1672,CN1672,CO1672),""),"")))),"")</f>
        <v/>
      </c>
      <c r="CJ1672">
        <f>IFERROR(IF('월 가계부'!C1672="","",IF(ISNUMBER('월 가계부'!C1672),'월 가계부'!C1672,VALUE(SUBSTITUTE(SUBSTITUTE(SUBSTITUTE(SUBSTITUTE(TRIM('월 가계부'!C1672),",",""),"원","")," ",""),"−","-")))),"")</f>
        <v/>
      </c>
      <c r="CK1672">
        <f>IF(ISNUMBER(CI1672),IF(CI1672&lt;$B$13,CI1672,""),"")</f>
        <v/>
      </c>
      <c r="CM1672">
        <f>IF(CH1672="","",IFERROR(IF(IF(AND(LEN(CH1672)=9,ISERROR(FIND("-",LEFT(CH1672,8))),ISNUMBER(-LEFT(CH1672,8))),VALUE(LEFT(CH1672,4)),VALUE(LEFT(CH1672,FIND("-",CH1672)-1)))&lt;100,IF(AND(LEN(CH1672)=9,ISERROR(FIND("-",LEFT(CH1672,8))),ISNUMBER(-LEFT(CH1672,8))),VALUE(LEFT(CH1672,4)),VALUE(LEFT(CH1672,FIND("-",CH1672)-1)))+2000,IF(AND(LEN(CH1672)=9,ISERROR(FIND("-",LEFT(CH1672,8))),ISNUMBER(-LEFT(CH1672,8))),VALUE(LEFT(CH1672,4)),VALUE(LEFT(CH1672,FIND("-",CH1672)-1)))),""))</f>
        <v/>
      </c>
      <c r="CN1672">
        <f>IF(CH1672="","",IFERROR(IF(AND(LEN(CH1672)=9,ISERROR(FIND("-",LEFT(CH1672,8))),ISNUMBER(-LEFT(CH1672,8))),VALUE(MID(CH1672,5,2)),VALUE(MID(CH1672,FIND("-",CH1672)+1,FIND("-",CH1672,FIND("-",CH1672)+1)-FIND("-",CH1672)-1))),""))</f>
        <v/>
      </c>
      <c r="CO1672">
        <f>IF(CH1672="","",IFERROR(IF(AND(LEN(CH1672)=9,ISERROR(FIND("-",LEFT(CH1672,8))),ISNUMBER(-LEFT(CH1672,8))),VALUE(MID(CH1672,7,2)),VALUE(MID(CH1672,FIND("-",CH1672,FIND("-",CH1672)+1)+1,FIND("-",CH1672,FIND("-",CH1672,FIND("-",CH1672)+1)+1)-FIND("-",CH1672,FIND("-",CH1672)+1)-1))),""))</f>
        <v/>
      </c>
    </row>
    <row r="1673">
      <c r="CH1673">
        <f>IF(ISTEXT('월 가계부'!A1673),SUBSTITUTE(SUBSTITUTE(SUBSTITUTE(SUBSTITUTE(SUBSTITUTE(SUBSTITUTE(SUBSTITUTE(SUBSTITUTE(SUBSTITUTE(TRIM('월 가계부'!A1673),"년","-"),"월","-"),"일",""),".","-"),"/","-")," ","-"),"--","-"),"--","-"),"--","-")&amp;"-","")</f>
        <v/>
      </c>
      <c r="CI1673">
        <f>IFERROR(IF('월 가계부'!A1673="","",IF(ISNUMBER('월 가계부'!A1673),IF(AND('월 가계부'!A1673&gt;=19000101,'월 가계부'!A1673&lt;=21001231),IF(AND(MOD(INT('월 가계부'!A1673/100),100)&gt;=1,MOD(INT('월 가계부'!A1673/100),100)&lt;=12,MOD(INT('월 가계부'!A1673),100)&gt;=1,MOD(INT('월 가계부'!A1673),100)&lt;=31),IF(MONTH(DATE(INT('월 가계부'!A1673/10000),MOD(INT('월 가계부'!A1673/100),100),MOD(INT('월 가계부'!A1673),100)))=MOD(INT('월 가계부'!A1673/100),100),DATE(INT('월 가계부'!A1673/10000),MOD(INT('월 가계부'!A1673/100),100),MOD(INT('월 가계부'!A1673),100)),""),""),IF(AND('월 가계부'!A1673&gt;=36526,'월 가계부'!A1673&lt;73051),INT('월 가계부'!A1673),"")),IF(OR(CM1673="",CN1673="",CO1673=""),"",IF(AND(CM1673&gt;=2000,CM1673&lt;=2099,CN1673&gt;=1,CN1673&lt;=12,CO1673&gt;=1,CO1673&lt;=31),IF(MONTH(DATE(CM1673,CN1673,CO1673))=CN1673,DATE(CM1673,CN1673,CO1673),""),"")))),"")</f>
        <v/>
      </c>
      <c r="CJ1673">
        <f>IFERROR(IF('월 가계부'!C1673="","",IF(ISNUMBER('월 가계부'!C1673),'월 가계부'!C1673,VALUE(SUBSTITUTE(SUBSTITUTE(SUBSTITUTE(SUBSTITUTE(TRIM('월 가계부'!C1673),",",""),"원","")," ",""),"−","-")))),"")</f>
        <v/>
      </c>
      <c r="CK1673">
        <f>IF(ISNUMBER(CI1673),IF(CI1673&lt;$B$13,CI1673,""),"")</f>
        <v/>
      </c>
      <c r="CM1673">
        <f>IF(CH1673="","",IFERROR(IF(IF(AND(LEN(CH1673)=9,ISERROR(FIND("-",LEFT(CH1673,8))),ISNUMBER(-LEFT(CH1673,8))),VALUE(LEFT(CH1673,4)),VALUE(LEFT(CH1673,FIND("-",CH1673)-1)))&lt;100,IF(AND(LEN(CH1673)=9,ISERROR(FIND("-",LEFT(CH1673,8))),ISNUMBER(-LEFT(CH1673,8))),VALUE(LEFT(CH1673,4)),VALUE(LEFT(CH1673,FIND("-",CH1673)-1)))+2000,IF(AND(LEN(CH1673)=9,ISERROR(FIND("-",LEFT(CH1673,8))),ISNUMBER(-LEFT(CH1673,8))),VALUE(LEFT(CH1673,4)),VALUE(LEFT(CH1673,FIND("-",CH1673)-1)))),""))</f>
        <v/>
      </c>
      <c r="CN1673">
        <f>IF(CH1673="","",IFERROR(IF(AND(LEN(CH1673)=9,ISERROR(FIND("-",LEFT(CH1673,8))),ISNUMBER(-LEFT(CH1673,8))),VALUE(MID(CH1673,5,2)),VALUE(MID(CH1673,FIND("-",CH1673)+1,FIND("-",CH1673,FIND("-",CH1673)+1)-FIND("-",CH1673)-1))),""))</f>
        <v/>
      </c>
      <c r="CO1673">
        <f>IF(CH1673="","",IFERROR(IF(AND(LEN(CH1673)=9,ISERROR(FIND("-",LEFT(CH1673,8))),ISNUMBER(-LEFT(CH1673,8))),VALUE(MID(CH1673,7,2)),VALUE(MID(CH1673,FIND("-",CH1673,FIND("-",CH1673)+1)+1,FIND("-",CH1673,FIND("-",CH1673,FIND("-",CH1673)+1)+1)-FIND("-",CH1673,FIND("-",CH1673)+1)-1))),""))</f>
        <v/>
      </c>
    </row>
    <row r="1674">
      <c r="CH1674">
        <f>IF(ISTEXT('월 가계부'!A1674),SUBSTITUTE(SUBSTITUTE(SUBSTITUTE(SUBSTITUTE(SUBSTITUTE(SUBSTITUTE(SUBSTITUTE(SUBSTITUTE(SUBSTITUTE(TRIM('월 가계부'!A1674),"년","-"),"월","-"),"일",""),".","-"),"/","-")," ","-"),"--","-"),"--","-"),"--","-")&amp;"-","")</f>
        <v/>
      </c>
      <c r="CI1674">
        <f>IFERROR(IF('월 가계부'!A1674="","",IF(ISNUMBER('월 가계부'!A1674),IF(AND('월 가계부'!A1674&gt;=19000101,'월 가계부'!A1674&lt;=21001231),IF(AND(MOD(INT('월 가계부'!A1674/100),100)&gt;=1,MOD(INT('월 가계부'!A1674/100),100)&lt;=12,MOD(INT('월 가계부'!A1674),100)&gt;=1,MOD(INT('월 가계부'!A1674),100)&lt;=31),IF(MONTH(DATE(INT('월 가계부'!A1674/10000),MOD(INT('월 가계부'!A1674/100),100),MOD(INT('월 가계부'!A1674),100)))=MOD(INT('월 가계부'!A1674/100),100),DATE(INT('월 가계부'!A1674/10000),MOD(INT('월 가계부'!A1674/100),100),MOD(INT('월 가계부'!A1674),100)),""),""),IF(AND('월 가계부'!A1674&gt;=36526,'월 가계부'!A1674&lt;73051),INT('월 가계부'!A1674),"")),IF(OR(CM1674="",CN1674="",CO1674=""),"",IF(AND(CM1674&gt;=2000,CM1674&lt;=2099,CN1674&gt;=1,CN1674&lt;=12,CO1674&gt;=1,CO1674&lt;=31),IF(MONTH(DATE(CM1674,CN1674,CO1674))=CN1674,DATE(CM1674,CN1674,CO1674),""),"")))),"")</f>
        <v/>
      </c>
      <c r="CJ1674">
        <f>IFERROR(IF('월 가계부'!C1674="","",IF(ISNUMBER('월 가계부'!C1674),'월 가계부'!C1674,VALUE(SUBSTITUTE(SUBSTITUTE(SUBSTITUTE(SUBSTITUTE(TRIM('월 가계부'!C1674),",",""),"원","")," ",""),"−","-")))),"")</f>
        <v/>
      </c>
      <c r="CK1674">
        <f>IF(ISNUMBER(CI1674),IF(CI1674&lt;$B$13,CI1674,""),"")</f>
        <v/>
      </c>
      <c r="CM1674">
        <f>IF(CH1674="","",IFERROR(IF(IF(AND(LEN(CH1674)=9,ISERROR(FIND("-",LEFT(CH1674,8))),ISNUMBER(-LEFT(CH1674,8))),VALUE(LEFT(CH1674,4)),VALUE(LEFT(CH1674,FIND("-",CH1674)-1)))&lt;100,IF(AND(LEN(CH1674)=9,ISERROR(FIND("-",LEFT(CH1674,8))),ISNUMBER(-LEFT(CH1674,8))),VALUE(LEFT(CH1674,4)),VALUE(LEFT(CH1674,FIND("-",CH1674)-1)))+2000,IF(AND(LEN(CH1674)=9,ISERROR(FIND("-",LEFT(CH1674,8))),ISNUMBER(-LEFT(CH1674,8))),VALUE(LEFT(CH1674,4)),VALUE(LEFT(CH1674,FIND("-",CH1674)-1)))),""))</f>
        <v/>
      </c>
      <c r="CN1674">
        <f>IF(CH1674="","",IFERROR(IF(AND(LEN(CH1674)=9,ISERROR(FIND("-",LEFT(CH1674,8))),ISNUMBER(-LEFT(CH1674,8))),VALUE(MID(CH1674,5,2)),VALUE(MID(CH1674,FIND("-",CH1674)+1,FIND("-",CH1674,FIND("-",CH1674)+1)-FIND("-",CH1674)-1))),""))</f>
        <v/>
      </c>
      <c r="CO1674">
        <f>IF(CH1674="","",IFERROR(IF(AND(LEN(CH1674)=9,ISERROR(FIND("-",LEFT(CH1674,8))),ISNUMBER(-LEFT(CH1674,8))),VALUE(MID(CH1674,7,2)),VALUE(MID(CH1674,FIND("-",CH1674,FIND("-",CH1674)+1)+1,FIND("-",CH1674,FIND("-",CH1674,FIND("-",CH1674)+1)+1)-FIND("-",CH1674,FIND("-",CH1674)+1)-1))),""))</f>
        <v/>
      </c>
    </row>
    <row r="1675">
      <c r="CH1675">
        <f>IF(ISTEXT('월 가계부'!A1675),SUBSTITUTE(SUBSTITUTE(SUBSTITUTE(SUBSTITUTE(SUBSTITUTE(SUBSTITUTE(SUBSTITUTE(SUBSTITUTE(SUBSTITUTE(TRIM('월 가계부'!A1675),"년","-"),"월","-"),"일",""),".","-"),"/","-")," ","-"),"--","-"),"--","-"),"--","-")&amp;"-","")</f>
        <v/>
      </c>
      <c r="CI1675">
        <f>IFERROR(IF('월 가계부'!A1675="","",IF(ISNUMBER('월 가계부'!A1675),IF(AND('월 가계부'!A1675&gt;=19000101,'월 가계부'!A1675&lt;=21001231),IF(AND(MOD(INT('월 가계부'!A1675/100),100)&gt;=1,MOD(INT('월 가계부'!A1675/100),100)&lt;=12,MOD(INT('월 가계부'!A1675),100)&gt;=1,MOD(INT('월 가계부'!A1675),100)&lt;=31),IF(MONTH(DATE(INT('월 가계부'!A1675/10000),MOD(INT('월 가계부'!A1675/100),100),MOD(INT('월 가계부'!A1675),100)))=MOD(INT('월 가계부'!A1675/100),100),DATE(INT('월 가계부'!A1675/10000),MOD(INT('월 가계부'!A1675/100),100),MOD(INT('월 가계부'!A1675),100)),""),""),IF(AND('월 가계부'!A1675&gt;=36526,'월 가계부'!A1675&lt;73051),INT('월 가계부'!A1675),"")),IF(OR(CM1675="",CN1675="",CO1675=""),"",IF(AND(CM1675&gt;=2000,CM1675&lt;=2099,CN1675&gt;=1,CN1675&lt;=12,CO1675&gt;=1,CO1675&lt;=31),IF(MONTH(DATE(CM1675,CN1675,CO1675))=CN1675,DATE(CM1675,CN1675,CO1675),""),"")))),"")</f>
        <v/>
      </c>
      <c r="CJ1675">
        <f>IFERROR(IF('월 가계부'!C1675="","",IF(ISNUMBER('월 가계부'!C1675),'월 가계부'!C1675,VALUE(SUBSTITUTE(SUBSTITUTE(SUBSTITUTE(SUBSTITUTE(TRIM('월 가계부'!C1675),",",""),"원","")," ",""),"−","-")))),"")</f>
        <v/>
      </c>
      <c r="CK1675">
        <f>IF(ISNUMBER(CI1675),IF(CI1675&lt;$B$13,CI1675,""),"")</f>
        <v/>
      </c>
      <c r="CM1675">
        <f>IF(CH1675="","",IFERROR(IF(IF(AND(LEN(CH1675)=9,ISERROR(FIND("-",LEFT(CH1675,8))),ISNUMBER(-LEFT(CH1675,8))),VALUE(LEFT(CH1675,4)),VALUE(LEFT(CH1675,FIND("-",CH1675)-1)))&lt;100,IF(AND(LEN(CH1675)=9,ISERROR(FIND("-",LEFT(CH1675,8))),ISNUMBER(-LEFT(CH1675,8))),VALUE(LEFT(CH1675,4)),VALUE(LEFT(CH1675,FIND("-",CH1675)-1)))+2000,IF(AND(LEN(CH1675)=9,ISERROR(FIND("-",LEFT(CH1675,8))),ISNUMBER(-LEFT(CH1675,8))),VALUE(LEFT(CH1675,4)),VALUE(LEFT(CH1675,FIND("-",CH1675)-1)))),""))</f>
        <v/>
      </c>
      <c r="CN1675">
        <f>IF(CH1675="","",IFERROR(IF(AND(LEN(CH1675)=9,ISERROR(FIND("-",LEFT(CH1675,8))),ISNUMBER(-LEFT(CH1675,8))),VALUE(MID(CH1675,5,2)),VALUE(MID(CH1675,FIND("-",CH1675)+1,FIND("-",CH1675,FIND("-",CH1675)+1)-FIND("-",CH1675)-1))),""))</f>
        <v/>
      </c>
      <c r="CO1675">
        <f>IF(CH1675="","",IFERROR(IF(AND(LEN(CH1675)=9,ISERROR(FIND("-",LEFT(CH1675,8))),ISNUMBER(-LEFT(CH1675,8))),VALUE(MID(CH1675,7,2)),VALUE(MID(CH1675,FIND("-",CH1675,FIND("-",CH1675)+1)+1,FIND("-",CH1675,FIND("-",CH1675,FIND("-",CH1675)+1)+1)-FIND("-",CH1675,FIND("-",CH1675)+1)-1))),""))</f>
        <v/>
      </c>
    </row>
    <row r="1676">
      <c r="CH1676">
        <f>IF(ISTEXT('월 가계부'!A1676),SUBSTITUTE(SUBSTITUTE(SUBSTITUTE(SUBSTITUTE(SUBSTITUTE(SUBSTITUTE(SUBSTITUTE(SUBSTITUTE(SUBSTITUTE(TRIM('월 가계부'!A1676),"년","-"),"월","-"),"일",""),".","-"),"/","-")," ","-"),"--","-"),"--","-"),"--","-")&amp;"-","")</f>
        <v/>
      </c>
      <c r="CI1676">
        <f>IFERROR(IF('월 가계부'!A1676="","",IF(ISNUMBER('월 가계부'!A1676),IF(AND('월 가계부'!A1676&gt;=19000101,'월 가계부'!A1676&lt;=21001231),IF(AND(MOD(INT('월 가계부'!A1676/100),100)&gt;=1,MOD(INT('월 가계부'!A1676/100),100)&lt;=12,MOD(INT('월 가계부'!A1676),100)&gt;=1,MOD(INT('월 가계부'!A1676),100)&lt;=31),IF(MONTH(DATE(INT('월 가계부'!A1676/10000),MOD(INT('월 가계부'!A1676/100),100),MOD(INT('월 가계부'!A1676),100)))=MOD(INT('월 가계부'!A1676/100),100),DATE(INT('월 가계부'!A1676/10000),MOD(INT('월 가계부'!A1676/100),100),MOD(INT('월 가계부'!A1676),100)),""),""),IF(AND('월 가계부'!A1676&gt;=36526,'월 가계부'!A1676&lt;73051),INT('월 가계부'!A1676),"")),IF(OR(CM1676="",CN1676="",CO1676=""),"",IF(AND(CM1676&gt;=2000,CM1676&lt;=2099,CN1676&gt;=1,CN1676&lt;=12,CO1676&gt;=1,CO1676&lt;=31),IF(MONTH(DATE(CM1676,CN1676,CO1676))=CN1676,DATE(CM1676,CN1676,CO1676),""),"")))),"")</f>
        <v/>
      </c>
      <c r="CJ1676">
        <f>IFERROR(IF('월 가계부'!C1676="","",IF(ISNUMBER('월 가계부'!C1676),'월 가계부'!C1676,VALUE(SUBSTITUTE(SUBSTITUTE(SUBSTITUTE(SUBSTITUTE(TRIM('월 가계부'!C1676),",",""),"원","")," ",""),"−","-")))),"")</f>
        <v/>
      </c>
      <c r="CK1676">
        <f>IF(ISNUMBER(CI1676),IF(CI1676&lt;$B$13,CI1676,""),"")</f>
        <v/>
      </c>
      <c r="CM1676">
        <f>IF(CH1676="","",IFERROR(IF(IF(AND(LEN(CH1676)=9,ISERROR(FIND("-",LEFT(CH1676,8))),ISNUMBER(-LEFT(CH1676,8))),VALUE(LEFT(CH1676,4)),VALUE(LEFT(CH1676,FIND("-",CH1676)-1)))&lt;100,IF(AND(LEN(CH1676)=9,ISERROR(FIND("-",LEFT(CH1676,8))),ISNUMBER(-LEFT(CH1676,8))),VALUE(LEFT(CH1676,4)),VALUE(LEFT(CH1676,FIND("-",CH1676)-1)))+2000,IF(AND(LEN(CH1676)=9,ISERROR(FIND("-",LEFT(CH1676,8))),ISNUMBER(-LEFT(CH1676,8))),VALUE(LEFT(CH1676,4)),VALUE(LEFT(CH1676,FIND("-",CH1676)-1)))),""))</f>
        <v/>
      </c>
      <c r="CN1676">
        <f>IF(CH1676="","",IFERROR(IF(AND(LEN(CH1676)=9,ISERROR(FIND("-",LEFT(CH1676,8))),ISNUMBER(-LEFT(CH1676,8))),VALUE(MID(CH1676,5,2)),VALUE(MID(CH1676,FIND("-",CH1676)+1,FIND("-",CH1676,FIND("-",CH1676)+1)-FIND("-",CH1676)-1))),""))</f>
        <v/>
      </c>
      <c r="CO1676">
        <f>IF(CH1676="","",IFERROR(IF(AND(LEN(CH1676)=9,ISERROR(FIND("-",LEFT(CH1676,8))),ISNUMBER(-LEFT(CH1676,8))),VALUE(MID(CH1676,7,2)),VALUE(MID(CH1676,FIND("-",CH1676,FIND("-",CH1676)+1)+1,FIND("-",CH1676,FIND("-",CH1676,FIND("-",CH1676)+1)+1)-FIND("-",CH1676,FIND("-",CH1676)+1)-1))),""))</f>
        <v/>
      </c>
    </row>
    <row r="1677">
      <c r="CH1677">
        <f>IF(ISTEXT('월 가계부'!A1677),SUBSTITUTE(SUBSTITUTE(SUBSTITUTE(SUBSTITUTE(SUBSTITUTE(SUBSTITUTE(SUBSTITUTE(SUBSTITUTE(SUBSTITUTE(TRIM('월 가계부'!A1677),"년","-"),"월","-"),"일",""),".","-"),"/","-")," ","-"),"--","-"),"--","-"),"--","-")&amp;"-","")</f>
        <v/>
      </c>
      <c r="CI1677">
        <f>IFERROR(IF('월 가계부'!A1677="","",IF(ISNUMBER('월 가계부'!A1677),IF(AND('월 가계부'!A1677&gt;=19000101,'월 가계부'!A1677&lt;=21001231),IF(AND(MOD(INT('월 가계부'!A1677/100),100)&gt;=1,MOD(INT('월 가계부'!A1677/100),100)&lt;=12,MOD(INT('월 가계부'!A1677),100)&gt;=1,MOD(INT('월 가계부'!A1677),100)&lt;=31),IF(MONTH(DATE(INT('월 가계부'!A1677/10000),MOD(INT('월 가계부'!A1677/100),100),MOD(INT('월 가계부'!A1677),100)))=MOD(INT('월 가계부'!A1677/100),100),DATE(INT('월 가계부'!A1677/10000),MOD(INT('월 가계부'!A1677/100),100),MOD(INT('월 가계부'!A1677),100)),""),""),IF(AND('월 가계부'!A1677&gt;=36526,'월 가계부'!A1677&lt;73051),INT('월 가계부'!A1677),"")),IF(OR(CM1677="",CN1677="",CO1677=""),"",IF(AND(CM1677&gt;=2000,CM1677&lt;=2099,CN1677&gt;=1,CN1677&lt;=12,CO1677&gt;=1,CO1677&lt;=31),IF(MONTH(DATE(CM1677,CN1677,CO1677))=CN1677,DATE(CM1677,CN1677,CO1677),""),"")))),"")</f>
        <v/>
      </c>
      <c r="CJ1677">
        <f>IFERROR(IF('월 가계부'!C1677="","",IF(ISNUMBER('월 가계부'!C1677),'월 가계부'!C1677,VALUE(SUBSTITUTE(SUBSTITUTE(SUBSTITUTE(SUBSTITUTE(TRIM('월 가계부'!C1677),",",""),"원","")," ",""),"−","-")))),"")</f>
        <v/>
      </c>
      <c r="CK1677">
        <f>IF(ISNUMBER(CI1677),IF(CI1677&lt;$B$13,CI1677,""),"")</f>
        <v/>
      </c>
      <c r="CM1677">
        <f>IF(CH1677="","",IFERROR(IF(IF(AND(LEN(CH1677)=9,ISERROR(FIND("-",LEFT(CH1677,8))),ISNUMBER(-LEFT(CH1677,8))),VALUE(LEFT(CH1677,4)),VALUE(LEFT(CH1677,FIND("-",CH1677)-1)))&lt;100,IF(AND(LEN(CH1677)=9,ISERROR(FIND("-",LEFT(CH1677,8))),ISNUMBER(-LEFT(CH1677,8))),VALUE(LEFT(CH1677,4)),VALUE(LEFT(CH1677,FIND("-",CH1677)-1)))+2000,IF(AND(LEN(CH1677)=9,ISERROR(FIND("-",LEFT(CH1677,8))),ISNUMBER(-LEFT(CH1677,8))),VALUE(LEFT(CH1677,4)),VALUE(LEFT(CH1677,FIND("-",CH1677)-1)))),""))</f>
        <v/>
      </c>
      <c r="CN1677">
        <f>IF(CH1677="","",IFERROR(IF(AND(LEN(CH1677)=9,ISERROR(FIND("-",LEFT(CH1677,8))),ISNUMBER(-LEFT(CH1677,8))),VALUE(MID(CH1677,5,2)),VALUE(MID(CH1677,FIND("-",CH1677)+1,FIND("-",CH1677,FIND("-",CH1677)+1)-FIND("-",CH1677)-1))),""))</f>
        <v/>
      </c>
      <c r="CO1677">
        <f>IF(CH1677="","",IFERROR(IF(AND(LEN(CH1677)=9,ISERROR(FIND("-",LEFT(CH1677,8))),ISNUMBER(-LEFT(CH1677,8))),VALUE(MID(CH1677,7,2)),VALUE(MID(CH1677,FIND("-",CH1677,FIND("-",CH1677)+1)+1,FIND("-",CH1677,FIND("-",CH1677,FIND("-",CH1677)+1)+1)-FIND("-",CH1677,FIND("-",CH1677)+1)-1))),""))</f>
        <v/>
      </c>
    </row>
    <row r="1678">
      <c r="CH1678">
        <f>IF(ISTEXT('월 가계부'!A1678),SUBSTITUTE(SUBSTITUTE(SUBSTITUTE(SUBSTITUTE(SUBSTITUTE(SUBSTITUTE(SUBSTITUTE(SUBSTITUTE(SUBSTITUTE(TRIM('월 가계부'!A1678),"년","-"),"월","-"),"일",""),".","-"),"/","-")," ","-"),"--","-"),"--","-"),"--","-")&amp;"-","")</f>
        <v/>
      </c>
      <c r="CI1678">
        <f>IFERROR(IF('월 가계부'!A1678="","",IF(ISNUMBER('월 가계부'!A1678),IF(AND('월 가계부'!A1678&gt;=19000101,'월 가계부'!A1678&lt;=21001231),IF(AND(MOD(INT('월 가계부'!A1678/100),100)&gt;=1,MOD(INT('월 가계부'!A1678/100),100)&lt;=12,MOD(INT('월 가계부'!A1678),100)&gt;=1,MOD(INT('월 가계부'!A1678),100)&lt;=31),IF(MONTH(DATE(INT('월 가계부'!A1678/10000),MOD(INT('월 가계부'!A1678/100),100),MOD(INT('월 가계부'!A1678),100)))=MOD(INT('월 가계부'!A1678/100),100),DATE(INT('월 가계부'!A1678/10000),MOD(INT('월 가계부'!A1678/100),100),MOD(INT('월 가계부'!A1678),100)),""),""),IF(AND('월 가계부'!A1678&gt;=36526,'월 가계부'!A1678&lt;73051),INT('월 가계부'!A1678),"")),IF(OR(CM1678="",CN1678="",CO1678=""),"",IF(AND(CM1678&gt;=2000,CM1678&lt;=2099,CN1678&gt;=1,CN1678&lt;=12,CO1678&gt;=1,CO1678&lt;=31),IF(MONTH(DATE(CM1678,CN1678,CO1678))=CN1678,DATE(CM1678,CN1678,CO1678),""),"")))),"")</f>
        <v/>
      </c>
      <c r="CJ1678">
        <f>IFERROR(IF('월 가계부'!C1678="","",IF(ISNUMBER('월 가계부'!C1678),'월 가계부'!C1678,VALUE(SUBSTITUTE(SUBSTITUTE(SUBSTITUTE(SUBSTITUTE(TRIM('월 가계부'!C1678),",",""),"원","")," ",""),"−","-")))),"")</f>
        <v/>
      </c>
      <c r="CK1678">
        <f>IF(ISNUMBER(CI1678),IF(CI1678&lt;$B$13,CI1678,""),"")</f>
        <v/>
      </c>
      <c r="CM1678">
        <f>IF(CH1678="","",IFERROR(IF(IF(AND(LEN(CH1678)=9,ISERROR(FIND("-",LEFT(CH1678,8))),ISNUMBER(-LEFT(CH1678,8))),VALUE(LEFT(CH1678,4)),VALUE(LEFT(CH1678,FIND("-",CH1678)-1)))&lt;100,IF(AND(LEN(CH1678)=9,ISERROR(FIND("-",LEFT(CH1678,8))),ISNUMBER(-LEFT(CH1678,8))),VALUE(LEFT(CH1678,4)),VALUE(LEFT(CH1678,FIND("-",CH1678)-1)))+2000,IF(AND(LEN(CH1678)=9,ISERROR(FIND("-",LEFT(CH1678,8))),ISNUMBER(-LEFT(CH1678,8))),VALUE(LEFT(CH1678,4)),VALUE(LEFT(CH1678,FIND("-",CH1678)-1)))),""))</f>
        <v/>
      </c>
      <c r="CN1678">
        <f>IF(CH1678="","",IFERROR(IF(AND(LEN(CH1678)=9,ISERROR(FIND("-",LEFT(CH1678,8))),ISNUMBER(-LEFT(CH1678,8))),VALUE(MID(CH1678,5,2)),VALUE(MID(CH1678,FIND("-",CH1678)+1,FIND("-",CH1678,FIND("-",CH1678)+1)-FIND("-",CH1678)-1))),""))</f>
        <v/>
      </c>
      <c r="CO1678">
        <f>IF(CH1678="","",IFERROR(IF(AND(LEN(CH1678)=9,ISERROR(FIND("-",LEFT(CH1678,8))),ISNUMBER(-LEFT(CH1678,8))),VALUE(MID(CH1678,7,2)),VALUE(MID(CH1678,FIND("-",CH1678,FIND("-",CH1678)+1)+1,FIND("-",CH1678,FIND("-",CH1678,FIND("-",CH1678)+1)+1)-FIND("-",CH1678,FIND("-",CH1678)+1)-1))),""))</f>
        <v/>
      </c>
    </row>
    <row r="1679">
      <c r="CH1679">
        <f>IF(ISTEXT('월 가계부'!A1679),SUBSTITUTE(SUBSTITUTE(SUBSTITUTE(SUBSTITUTE(SUBSTITUTE(SUBSTITUTE(SUBSTITUTE(SUBSTITUTE(SUBSTITUTE(TRIM('월 가계부'!A1679),"년","-"),"월","-"),"일",""),".","-"),"/","-")," ","-"),"--","-"),"--","-"),"--","-")&amp;"-","")</f>
        <v/>
      </c>
      <c r="CI1679">
        <f>IFERROR(IF('월 가계부'!A1679="","",IF(ISNUMBER('월 가계부'!A1679),IF(AND('월 가계부'!A1679&gt;=19000101,'월 가계부'!A1679&lt;=21001231),IF(AND(MOD(INT('월 가계부'!A1679/100),100)&gt;=1,MOD(INT('월 가계부'!A1679/100),100)&lt;=12,MOD(INT('월 가계부'!A1679),100)&gt;=1,MOD(INT('월 가계부'!A1679),100)&lt;=31),IF(MONTH(DATE(INT('월 가계부'!A1679/10000),MOD(INT('월 가계부'!A1679/100),100),MOD(INT('월 가계부'!A1679),100)))=MOD(INT('월 가계부'!A1679/100),100),DATE(INT('월 가계부'!A1679/10000),MOD(INT('월 가계부'!A1679/100),100),MOD(INT('월 가계부'!A1679),100)),""),""),IF(AND('월 가계부'!A1679&gt;=36526,'월 가계부'!A1679&lt;73051),INT('월 가계부'!A1679),"")),IF(OR(CM1679="",CN1679="",CO1679=""),"",IF(AND(CM1679&gt;=2000,CM1679&lt;=2099,CN1679&gt;=1,CN1679&lt;=12,CO1679&gt;=1,CO1679&lt;=31),IF(MONTH(DATE(CM1679,CN1679,CO1679))=CN1679,DATE(CM1679,CN1679,CO1679),""),"")))),"")</f>
        <v/>
      </c>
      <c r="CJ1679">
        <f>IFERROR(IF('월 가계부'!C1679="","",IF(ISNUMBER('월 가계부'!C1679),'월 가계부'!C1679,VALUE(SUBSTITUTE(SUBSTITUTE(SUBSTITUTE(SUBSTITUTE(TRIM('월 가계부'!C1679),",",""),"원","")," ",""),"−","-")))),"")</f>
        <v/>
      </c>
      <c r="CK1679">
        <f>IF(ISNUMBER(CI1679),IF(CI1679&lt;$B$13,CI1679,""),"")</f>
        <v/>
      </c>
      <c r="CM1679">
        <f>IF(CH1679="","",IFERROR(IF(IF(AND(LEN(CH1679)=9,ISERROR(FIND("-",LEFT(CH1679,8))),ISNUMBER(-LEFT(CH1679,8))),VALUE(LEFT(CH1679,4)),VALUE(LEFT(CH1679,FIND("-",CH1679)-1)))&lt;100,IF(AND(LEN(CH1679)=9,ISERROR(FIND("-",LEFT(CH1679,8))),ISNUMBER(-LEFT(CH1679,8))),VALUE(LEFT(CH1679,4)),VALUE(LEFT(CH1679,FIND("-",CH1679)-1)))+2000,IF(AND(LEN(CH1679)=9,ISERROR(FIND("-",LEFT(CH1679,8))),ISNUMBER(-LEFT(CH1679,8))),VALUE(LEFT(CH1679,4)),VALUE(LEFT(CH1679,FIND("-",CH1679)-1)))),""))</f>
        <v/>
      </c>
      <c r="CN1679">
        <f>IF(CH1679="","",IFERROR(IF(AND(LEN(CH1679)=9,ISERROR(FIND("-",LEFT(CH1679,8))),ISNUMBER(-LEFT(CH1679,8))),VALUE(MID(CH1679,5,2)),VALUE(MID(CH1679,FIND("-",CH1679)+1,FIND("-",CH1679,FIND("-",CH1679)+1)-FIND("-",CH1679)-1))),""))</f>
        <v/>
      </c>
      <c r="CO1679">
        <f>IF(CH1679="","",IFERROR(IF(AND(LEN(CH1679)=9,ISERROR(FIND("-",LEFT(CH1679,8))),ISNUMBER(-LEFT(CH1679,8))),VALUE(MID(CH1679,7,2)),VALUE(MID(CH1679,FIND("-",CH1679,FIND("-",CH1679)+1)+1,FIND("-",CH1679,FIND("-",CH1679,FIND("-",CH1679)+1)+1)-FIND("-",CH1679,FIND("-",CH1679)+1)-1))),""))</f>
        <v/>
      </c>
    </row>
    <row r="1680">
      <c r="CH1680">
        <f>IF(ISTEXT('월 가계부'!A1680),SUBSTITUTE(SUBSTITUTE(SUBSTITUTE(SUBSTITUTE(SUBSTITUTE(SUBSTITUTE(SUBSTITUTE(SUBSTITUTE(SUBSTITUTE(TRIM('월 가계부'!A1680),"년","-"),"월","-"),"일",""),".","-"),"/","-")," ","-"),"--","-"),"--","-"),"--","-")&amp;"-","")</f>
        <v/>
      </c>
      <c r="CI1680">
        <f>IFERROR(IF('월 가계부'!A1680="","",IF(ISNUMBER('월 가계부'!A1680),IF(AND('월 가계부'!A1680&gt;=19000101,'월 가계부'!A1680&lt;=21001231),IF(AND(MOD(INT('월 가계부'!A1680/100),100)&gt;=1,MOD(INT('월 가계부'!A1680/100),100)&lt;=12,MOD(INT('월 가계부'!A1680),100)&gt;=1,MOD(INT('월 가계부'!A1680),100)&lt;=31),IF(MONTH(DATE(INT('월 가계부'!A1680/10000),MOD(INT('월 가계부'!A1680/100),100),MOD(INT('월 가계부'!A1680),100)))=MOD(INT('월 가계부'!A1680/100),100),DATE(INT('월 가계부'!A1680/10000),MOD(INT('월 가계부'!A1680/100),100),MOD(INT('월 가계부'!A1680),100)),""),""),IF(AND('월 가계부'!A1680&gt;=36526,'월 가계부'!A1680&lt;73051),INT('월 가계부'!A1680),"")),IF(OR(CM1680="",CN1680="",CO1680=""),"",IF(AND(CM1680&gt;=2000,CM1680&lt;=2099,CN1680&gt;=1,CN1680&lt;=12,CO1680&gt;=1,CO1680&lt;=31),IF(MONTH(DATE(CM1680,CN1680,CO1680))=CN1680,DATE(CM1680,CN1680,CO1680),""),"")))),"")</f>
        <v/>
      </c>
      <c r="CJ1680">
        <f>IFERROR(IF('월 가계부'!C1680="","",IF(ISNUMBER('월 가계부'!C1680),'월 가계부'!C1680,VALUE(SUBSTITUTE(SUBSTITUTE(SUBSTITUTE(SUBSTITUTE(TRIM('월 가계부'!C1680),",",""),"원","")," ",""),"−","-")))),"")</f>
        <v/>
      </c>
      <c r="CK1680">
        <f>IF(ISNUMBER(CI1680),IF(CI1680&lt;$B$13,CI1680,""),"")</f>
        <v/>
      </c>
      <c r="CM1680">
        <f>IF(CH1680="","",IFERROR(IF(IF(AND(LEN(CH1680)=9,ISERROR(FIND("-",LEFT(CH1680,8))),ISNUMBER(-LEFT(CH1680,8))),VALUE(LEFT(CH1680,4)),VALUE(LEFT(CH1680,FIND("-",CH1680)-1)))&lt;100,IF(AND(LEN(CH1680)=9,ISERROR(FIND("-",LEFT(CH1680,8))),ISNUMBER(-LEFT(CH1680,8))),VALUE(LEFT(CH1680,4)),VALUE(LEFT(CH1680,FIND("-",CH1680)-1)))+2000,IF(AND(LEN(CH1680)=9,ISERROR(FIND("-",LEFT(CH1680,8))),ISNUMBER(-LEFT(CH1680,8))),VALUE(LEFT(CH1680,4)),VALUE(LEFT(CH1680,FIND("-",CH1680)-1)))),""))</f>
        <v/>
      </c>
      <c r="CN1680">
        <f>IF(CH1680="","",IFERROR(IF(AND(LEN(CH1680)=9,ISERROR(FIND("-",LEFT(CH1680,8))),ISNUMBER(-LEFT(CH1680,8))),VALUE(MID(CH1680,5,2)),VALUE(MID(CH1680,FIND("-",CH1680)+1,FIND("-",CH1680,FIND("-",CH1680)+1)-FIND("-",CH1680)-1))),""))</f>
        <v/>
      </c>
      <c r="CO1680">
        <f>IF(CH1680="","",IFERROR(IF(AND(LEN(CH1680)=9,ISERROR(FIND("-",LEFT(CH1680,8))),ISNUMBER(-LEFT(CH1680,8))),VALUE(MID(CH1680,7,2)),VALUE(MID(CH1680,FIND("-",CH1680,FIND("-",CH1680)+1)+1,FIND("-",CH1680,FIND("-",CH1680,FIND("-",CH1680)+1)+1)-FIND("-",CH1680,FIND("-",CH1680)+1)-1))),""))</f>
        <v/>
      </c>
    </row>
    <row r="1681">
      <c r="CH1681">
        <f>IF(ISTEXT('월 가계부'!A1681),SUBSTITUTE(SUBSTITUTE(SUBSTITUTE(SUBSTITUTE(SUBSTITUTE(SUBSTITUTE(SUBSTITUTE(SUBSTITUTE(SUBSTITUTE(TRIM('월 가계부'!A1681),"년","-"),"월","-"),"일",""),".","-"),"/","-")," ","-"),"--","-"),"--","-"),"--","-")&amp;"-","")</f>
        <v/>
      </c>
      <c r="CI1681">
        <f>IFERROR(IF('월 가계부'!A1681="","",IF(ISNUMBER('월 가계부'!A1681),IF(AND('월 가계부'!A1681&gt;=19000101,'월 가계부'!A1681&lt;=21001231),IF(AND(MOD(INT('월 가계부'!A1681/100),100)&gt;=1,MOD(INT('월 가계부'!A1681/100),100)&lt;=12,MOD(INT('월 가계부'!A1681),100)&gt;=1,MOD(INT('월 가계부'!A1681),100)&lt;=31),IF(MONTH(DATE(INT('월 가계부'!A1681/10000),MOD(INT('월 가계부'!A1681/100),100),MOD(INT('월 가계부'!A1681),100)))=MOD(INT('월 가계부'!A1681/100),100),DATE(INT('월 가계부'!A1681/10000),MOD(INT('월 가계부'!A1681/100),100),MOD(INT('월 가계부'!A1681),100)),""),""),IF(AND('월 가계부'!A1681&gt;=36526,'월 가계부'!A1681&lt;73051),INT('월 가계부'!A1681),"")),IF(OR(CM1681="",CN1681="",CO1681=""),"",IF(AND(CM1681&gt;=2000,CM1681&lt;=2099,CN1681&gt;=1,CN1681&lt;=12,CO1681&gt;=1,CO1681&lt;=31),IF(MONTH(DATE(CM1681,CN1681,CO1681))=CN1681,DATE(CM1681,CN1681,CO1681),""),"")))),"")</f>
        <v/>
      </c>
      <c r="CJ1681">
        <f>IFERROR(IF('월 가계부'!C1681="","",IF(ISNUMBER('월 가계부'!C1681),'월 가계부'!C1681,VALUE(SUBSTITUTE(SUBSTITUTE(SUBSTITUTE(SUBSTITUTE(TRIM('월 가계부'!C1681),",",""),"원","")," ",""),"−","-")))),"")</f>
        <v/>
      </c>
      <c r="CK1681">
        <f>IF(ISNUMBER(CI1681),IF(CI1681&lt;$B$13,CI1681,""),"")</f>
        <v/>
      </c>
      <c r="CM1681">
        <f>IF(CH1681="","",IFERROR(IF(IF(AND(LEN(CH1681)=9,ISERROR(FIND("-",LEFT(CH1681,8))),ISNUMBER(-LEFT(CH1681,8))),VALUE(LEFT(CH1681,4)),VALUE(LEFT(CH1681,FIND("-",CH1681)-1)))&lt;100,IF(AND(LEN(CH1681)=9,ISERROR(FIND("-",LEFT(CH1681,8))),ISNUMBER(-LEFT(CH1681,8))),VALUE(LEFT(CH1681,4)),VALUE(LEFT(CH1681,FIND("-",CH1681)-1)))+2000,IF(AND(LEN(CH1681)=9,ISERROR(FIND("-",LEFT(CH1681,8))),ISNUMBER(-LEFT(CH1681,8))),VALUE(LEFT(CH1681,4)),VALUE(LEFT(CH1681,FIND("-",CH1681)-1)))),""))</f>
        <v/>
      </c>
      <c r="CN1681">
        <f>IF(CH1681="","",IFERROR(IF(AND(LEN(CH1681)=9,ISERROR(FIND("-",LEFT(CH1681,8))),ISNUMBER(-LEFT(CH1681,8))),VALUE(MID(CH1681,5,2)),VALUE(MID(CH1681,FIND("-",CH1681)+1,FIND("-",CH1681,FIND("-",CH1681)+1)-FIND("-",CH1681)-1))),""))</f>
        <v/>
      </c>
      <c r="CO1681">
        <f>IF(CH1681="","",IFERROR(IF(AND(LEN(CH1681)=9,ISERROR(FIND("-",LEFT(CH1681,8))),ISNUMBER(-LEFT(CH1681,8))),VALUE(MID(CH1681,7,2)),VALUE(MID(CH1681,FIND("-",CH1681,FIND("-",CH1681)+1)+1,FIND("-",CH1681,FIND("-",CH1681,FIND("-",CH1681)+1)+1)-FIND("-",CH1681,FIND("-",CH1681)+1)-1))),""))</f>
        <v/>
      </c>
    </row>
    <row r="1682">
      <c r="CH1682">
        <f>IF(ISTEXT('월 가계부'!A1682),SUBSTITUTE(SUBSTITUTE(SUBSTITUTE(SUBSTITUTE(SUBSTITUTE(SUBSTITUTE(SUBSTITUTE(SUBSTITUTE(SUBSTITUTE(TRIM('월 가계부'!A1682),"년","-"),"월","-"),"일",""),".","-"),"/","-")," ","-"),"--","-"),"--","-"),"--","-")&amp;"-","")</f>
        <v/>
      </c>
      <c r="CI1682">
        <f>IFERROR(IF('월 가계부'!A1682="","",IF(ISNUMBER('월 가계부'!A1682),IF(AND('월 가계부'!A1682&gt;=19000101,'월 가계부'!A1682&lt;=21001231),IF(AND(MOD(INT('월 가계부'!A1682/100),100)&gt;=1,MOD(INT('월 가계부'!A1682/100),100)&lt;=12,MOD(INT('월 가계부'!A1682),100)&gt;=1,MOD(INT('월 가계부'!A1682),100)&lt;=31),IF(MONTH(DATE(INT('월 가계부'!A1682/10000),MOD(INT('월 가계부'!A1682/100),100),MOD(INT('월 가계부'!A1682),100)))=MOD(INT('월 가계부'!A1682/100),100),DATE(INT('월 가계부'!A1682/10000),MOD(INT('월 가계부'!A1682/100),100),MOD(INT('월 가계부'!A1682),100)),""),""),IF(AND('월 가계부'!A1682&gt;=36526,'월 가계부'!A1682&lt;73051),INT('월 가계부'!A1682),"")),IF(OR(CM1682="",CN1682="",CO1682=""),"",IF(AND(CM1682&gt;=2000,CM1682&lt;=2099,CN1682&gt;=1,CN1682&lt;=12,CO1682&gt;=1,CO1682&lt;=31),IF(MONTH(DATE(CM1682,CN1682,CO1682))=CN1682,DATE(CM1682,CN1682,CO1682),""),"")))),"")</f>
        <v/>
      </c>
      <c r="CJ1682">
        <f>IFERROR(IF('월 가계부'!C1682="","",IF(ISNUMBER('월 가계부'!C1682),'월 가계부'!C1682,VALUE(SUBSTITUTE(SUBSTITUTE(SUBSTITUTE(SUBSTITUTE(TRIM('월 가계부'!C1682),",",""),"원","")," ",""),"−","-")))),"")</f>
        <v/>
      </c>
      <c r="CK1682">
        <f>IF(ISNUMBER(CI1682),IF(CI1682&lt;$B$13,CI1682,""),"")</f>
        <v/>
      </c>
      <c r="CM1682">
        <f>IF(CH1682="","",IFERROR(IF(IF(AND(LEN(CH1682)=9,ISERROR(FIND("-",LEFT(CH1682,8))),ISNUMBER(-LEFT(CH1682,8))),VALUE(LEFT(CH1682,4)),VALUE(LEFT(CH1682,FIND("-",CH1682)-1)))&lt;100,IF(AND(LEN(CH1682)=9,ISERROR(FIND("-",LEFT(CH1682,8))),ISNUMBER(-LEFT(CH1682,8))),VALUE(LEFT(CH1682,4)),VALUE(LEFT(CH1682,FIND("-",CH1682)-1)))+2000,IF(AND(LEN(CH1682)=9,ISERROR(FIND("-",LEFT(CH1682,8))),ISNUMBER(-LEFT(CH1682,8))),VALUE(LEFT(CH1682,4)),VALUE(LEFT(CH1682,FIND("-",CH1682)-1)))),""))</f>
        <v/>
      </c>
      <c r="CN1682">
        <f>IF(CH1682="","",IFERROR(IF(AND(LEN(CH1682)=9,ISERROR(FIND("-",LEFT(CH1682,8))),ISNUMBER(-LEFT(CH1682,8))),VALUE(MID(CH1682,5,2)),VALUE(MID(CH1682,FIND("-",CH1682)+1,FIND("-",CH1682,FIND("-",CH1682)+1)-FIND("-",CH1682)-1))),""))</f>
        <v/>
      </c>
      <c r="CO1682">
        <f>IF(CH1682="","",IFERROR(IF(AND(LEN(CH1682)=9,ISERROR(FIND("-",LEFT(CH1682,8))),ISNUMBER(-LEFT(CH1682,8))),VALUE(MID(CH1682,7,2)),VALUE(MID(CH1682,FIND("-",CH1682,FIND("-",CH1682)+1)+1,FIND("-",CH1682,FIND("-",CH1682,FIND("-",CH1682)+1)+1)-FIND("-",CH1682,FIND("-",CH1682)+1)-1))),""))</f>
        <v/>
      </c>
    </row>
    <row r="1683">
      <c r="CH1683">
        <f>IF(ISTEXT('월 가계부'!A1683),SUBSTITUTE(SUBSTITUTE(SUBSTITUTE(SUBSTITUTE(SUBSTITUTE(SUBSTITUTE(SUBSTITUTE(SUBSTITUTE(SUBSTITUTE(TRIM('월 가계부'!A1683),"년","-"),"월","-"),"일",""),".","-"),"/","-")," ","-"),"--","-"),"--","-"),"--","-")&amp;"-","")</f>
        <v/>
      </c>
      <c r="CI1683">
        <f>IFERROR(IF('월 가계부'!A1683="","",IF(ISNUMBER('월 가계부'!A1683),IF(AND('월 가계부'!A1683&gt;=19000101,'월 가계부'!A1683&lt;=21001231),IF(AND(MOD(INT('월 가계부'!A1683/100),100)&gt;=1,MOD(INT('월 가계부'!A1683/100),100)&lt;=12,MOD(INT('월 가계부'!A1683),100)&gt;=1,MOD(INT('월 가계부'!A1683),100)&lt;=31),IF(MONTH(DATE(INT('월 가계부'!A1683/10000),MOD(INT('월 가계부'!A1683/100),100),MOD(INT('월 가계부'!A1683),100)))=MOD(INT('월 가계부'!A1683/100),100),DATE(INT('월 가계부'!A1683/10000),MOD(INT('월 가계부'!A1683/100),100),MOD(INT('월 가계부'!A1683),100)),""),""),IF(AND('월 가계부'!A1683&gt;=36526,'월 가계부'!A1683&lt;73051),INT('월 가계부'!A1683),"")),IF(OR(CM1683="",CN1683="",CO1683=""),"",IF(AND(CM1683&gt;=2000,CM1683&lt;=2099,CN1683&gt;=1,CN1683&lt;=12,CO1683&gt;=1,CO1683&lt;=31),IF(MONTH(DATE(CM1683,CN1683,CO1683))=CN1683,DATE(CM1683,CN1683,CO1683),""),"")))),"")</f>
        <v/>
      </c>
      <c r="CJ1683">
        <f>IFERROR(IF('월 가계부'!C1683="","",IF(ISNUMBER('월 가계부'!C1683),'월 가계부'!C1683,VALUE(SUBSTITUTE(SUBSTITUTE(SUBSTITUTE(SUBSTITUTE(TRIM('월 가계부'!C1683),",",""),"원","")," ",""),"−","-")))),"")</f>
        <v/>
      </c>
      <c r="CK1683">
        <f>IF(ISNUMBER(CI1683),IF(CI1683&lt;$B$13,CI1683,""),"")</f>
        <v/>
      </c>
      <c r="CM1683">
        <f>IF(CH1683="","",IFERROR(IF(IF(AND(LEN(CH1683)=9,ISERROR(FIND("-",LEFT(CH1683,8))),ISNUMBER(-LEFT(CH1683,8))),VALUE(LEFT(CH1683,4)),VALUE(LEFT(CH1683,FIND("-",CH1683)-1)))&lt;100,IF(AND(LEN(CH1683)=9,ISERROR(FIND("-",LEFT(CH1683,8))),ISNUMBER(-LEFT(CH1683,8))),VALUE(LEFT(CH1683,4)),VALUE(LEFT(CH1683,FIND("-",CH1683)-1)))+2000,IF(AND(LEN(CH1683)=9,ISERROR(FIND("-",LEFT(CH1683,8))),ISNUMBER(-LEFT(CH1683,8))),VALUE(LEFT(CH1683,4)),VALUE(LEFT(CH1683,FIND("-",CH1683)-1)))),""))</f>
        <v/>
      </c>
      <c r="CN1683">
        <f>IF(CH1683="","",IFERROR(IF(AND(LEN(CH1683)=9,ISERROR(FIND("-",LEFT(CH1683,8))),ISNUMBER(-LEFT(CH1683,8))),VALUE(MID(CH1683,5,2)),VALUE(MID(CH1683,FIND("-",CH1683)+1,FIND("-",CH1683,FIND("-",CH1683)+1)-FIND("-",CH1683)-1))),""))</f>
        <v/>
      </c>
      <c r="CO1683">
        <f>IF(CH1683="","",IFERROR(IF(AND(LEN(CH1683)=9,ISERROR(FIND("-",LEFT(CH1683,8))),ISNUMBER(-LEFT(CH1683,8))),VALUE(MID(CH1683,7,2)),VALUE(MID(CH1683,FIND("-",CH1683,FIND("-",CH1683)+1)+1,FIND("-",CH1683,FIND("-",CH1683,FIND("-",CH1683)+1)+1)-FIND("-",CH1683,FIND("-",CH1683)+1)-1))),""))</f>
        <v/>
      </c>
    </row>
    <row r="1684">
      <c r="CH1684">
        <f>IF(ISTEXT('월 가계부'!A1684),SUBSTITUTE(SUBSTITUTE(SUBSTITUTE(SUBSTITUTE(SUBSTITUTE(SUBSTITUTE(SUBSTITUTE(SUBSTITUTE(SUBSTITUTE(TRIM('월 가계부'!A1684),"년","-"),"월","-"),"일",""),".","-"),"/","-")," ","-"),"--","-"),"--","-"),"--","-")&amp;"-","")</f>
        <v/>
      </c>
      <c r="CI1684">
        <f>IFERROR(IF('월 가계부'!A1684="","",IF(ISNUMBER('월 가계부'!A1684),IF(AND('월 가계부'!A1684&gt;=19000101,'월 가계부'!A1684&lt;=21001231),IF(AND(MOD(INT('월 가계부'!A1684/100),100)&gt;=1,MOD(INT('월 가계부'!A1684/100),100)&lt;=12,MOD(INT('월 가계부'!A1684),100)&gt;=1,MOD(INT('월 가계부'!A1684),100)&lt;=31),IF(MONTH(DATE(INT('월 가계부'!A1684/10000),MOD(INT('월 가계부'!A1684/100),100),MOD(INT('월 가계부'!A1684),100)))=MOD(INT('월 가계부'!A1684/100),100),DATE(INT('월 가계부'!A1684/10000),MOD(INT('월 가계부'!A1684/100),100),MOD(INT('월 가계부'!A1684),100)),""),""),IF(AND('월 가계부'!A1684&gt;=36526,'월 가계부'!A1684&lt;73051),INT('월 가계부'!A1684),"")),IF(OR(CM1684="",CN1684="",CO1684=""),"",IF(AND(CM1684&gt;=2000,CM1684&lt;=2099,CN1684&gt;=1,CN1684&lt;=12,CO1684&gt;=1,CO1684&lt;=31),IF(MONTH(DATE(CM1684,CN1684,CO1684))=CN1684,DATE(CM1684,CN1684,CO1684),""),"")))),"")</f>
        <v/>
      </c>
      <c r="CJ1684">
        <f>IFERROR(IF('월 가계부'!C1684="","",IF(ISNUMBER('월 가계부'!C1684),'월 가계부'!C1684,VALUE(SUBSTITUTE(SUBSTITUTE(SUBSTITUTE(SUBSTITUTE(TRIM('월 가계부'!C1684),",",""),"원","")," ",""),"−","-")))),"")</f>
        <v/>
      </c>
      <c r="CK1684">
        <f>IF(ISNUMBER(CI1684),IF(CI1684&lt;$B$13,CI1684,""),"")</f>
        <v/>
      </c>
      <c r="CM1684">
        <f>IF(CH1684="","",IFERROR(IF(IF(AND(LEN(CH1684)=9,ISERROR(FIND("-",LEFT(CH1684,8))),ISNUMBER(-LEFT(CH1684,8))),VALUE(LEFT(CH1684,4)),VALUE(LEFT(CH1684,FIND("-",CH1684)-1)))&lt;100,IF(AND(LEN(CH1684)=9,ISERROR(FIND("-",LEFT(CH1684,8))),ISNUMBER(-LEFT(CH1684,8))),VALUE(LEFT(CH1684,4)),VALUE(LEFT(CH1684,FIND("-",CH1684)-1)))+2000,IF(AND(LEN(CH1684)=9,ISERROR(FIND("-",LEFT(CH1684,8))),ISNUMBER(-LEFT(CH1684,8))),VALUE(LEFT(CH1684,4)),VALUE(LEFT(CH1684,FIND("-",CH1684)-1)))),""))</f>
        <v/>
      </c>
      <c r="CN1684">
        <f>IF(CH1684="","",IFERROR(IF(AND(LEN(CH1684)=9,ISERROR(FIND("-",LEFT(CH1684,8))),ISNUMBER(-LEFT(CH1684,8))),VALUE(MID(CH1684,5,2)),VALUE(MID(CH1684,FIND("-",CH1684)+1,FIND("-",CH1684,FIND("-",CH1684)+1)-FIND("-",CH1684)-1))),""))</f>
        <v/>
      </c>
      <c r="CO1684">
        <f>IF(CH1684="","",IFERROR(IF(AND(LEN(CH1684)=9,ISERROR(FIND("-",LEFT(CH1684,8))),ISNUMBER(-LEFT(CH1684,8))),VALUE(MID(CH1684,7,2)),VALUE(MID(CH1684,FIND("-",CH1684,FIND("-",CH1684)+1)+1,FIND("-",CH1684,FIND("-",CH1684,FIND("-",CH1684)+1)+1)-FIND("-",CH1684,FIND("-",CH1684)+1)-1))),""))</f>
        <v/>
      </c>
    </row>
    <row r="1685">
      <c r="CH1685">
        <f>IF(ISTEXT('월 가계부'!A1685),SUBSTITUTE(SUBSTITUTE(SUBSTITUTE(SUBSTITUTE(SUBSTITUTE(SUBSTITUTE(SUBSTITUTE(SUBSTITUTE(SUBSTITUTE(TRIM('월 가계부'!A1685),"년","-"),"월","-"),"일",""),".","-"),"/","-")," ","-"),"--","-"),"--","-"),"--","-")&amp;"-","")</f>
        <v/>
      </c>
      <c r="CI1685">
        <f>IFERROR(IF('월 가계부'!A1685="","",IF(ISNUMBER('월 가계부'!A1685),IF(AND('월 가계부'!A1685&gt;=19000101,'월 가계부'!A1685&lt;=21001231),IF(AND(MOD(INT('월 가계부'!A1685/100),100)&gt;=1,MOD(INT('월 가계부'!A1685/100),100)&lt;=12,MOD(INT('월 가계부'!A1685),100)&gt;=1,MOD(INT('월 가계부'!A1685),100)&lt;=31),IF(MONTH(DATE(INT('월 가계부'!A1685/10000),MOD(INT('월 가계부'!A1685/100),100),MOD(INT('월 가계부'!A1685),100)))=MOD(INT('월 가계부'!A1685/100),100),DATE(INT('월 가계부'!A1685/10000),MOD(INT('월 가계부'!A1685/100),100),MOD(INT('월 가계부'!A1685),100)),""),""),IF(AND('월 가계부'!A1685&gt;=36526,'월 가계부'!A1685&lt;73051),INT('월 가계부'!A1685),"")),IF(OR(CM1685="",CN1685="",CO1685=""),"",IF(AND(CM1685&gt;=2000,CM1685&lt;=2099,CN1685&gt;=1,CN1685&lt;=12,CO1685&gt;=1,CO1685&lt;=31),IF(MONTH(DATE(CM1685,CN1685,CO1685))=CN1685,DATE(CM1685,CN1685,CO1685),""),"")))),"")</f>
        <v/>
      </c>
      <c r="CJ1685">
        <f>IFERROR(IF('월 가계부'!C1685="","",IF(ISNUMBER('월 가계부'!C1685),'월 가계부'!C1685,VALUE(SUBSTITUTE(SUBSTITUTE(SUBSTITUTE(SUBSTITUTE(TRIM('월 가계부'!C1685),",",""),"원","")," ",""),"−","-")))),"")</f>
        <v/>
      </c>
      <c r="CK1685">
        <f>IF(ISNUMBER(CI1685),IF(CI1685&lt;$B$13,CI1685,""),"")</f>
        <v/>
      </c>
      <c r="CM1685">
        <f>IF(CH1685="","",IFERROR(IF(IF(AND(LEN(CH1685)=9,ISERROR(FIND("-",LEFT(CH1685,8))),ISNUMBER(-LEFT(CH1685,8))),VALUE(LEFT(CH1685,4)),VALUE(LEFT(CH1685,FIND("-",CH1685)-1)))&lt;100,IF(AND(LEN(CH1685)=9,ISERROR(FIND("-",LEFT(CH1685,8))),ISNUMBER(-LEFT(CH1685,8))),VALUE(LEFT(CH1685,4)),VALUE(LEFT(CH1685,FIND("-",CH1685)-1)))+2000,IF(AND(LEN(CH1685)=9,ISERROR(FIND("-",LEFT(CH1685,8))),ISNUMBER(-LEFT(CH1685,8))),VALUE(LEFT(CH1685,4)),VALUE(LEFT(CH1685,FIND("-",CH1685)-1)))),""))</f>
        <v/>
      </c>
      <c r="CN1685">
        <f>IF(CH1685="","",IFERROR(IF(AND(LEN(CH1685)=9,ISERROR(FIND("-",LEFT(CH1685,8))),ISNUMBER(-LEFT(CH1685,8))),VALUE(MID(CH1685,5,2)),VALUE(MID(CH1685,FIND("-",CH1685)+1,FIND("-",CH1685,FIND("-",CH1685)+1)-FIND("-",CH1685)-1))),""))</f>
        <v/>
      </c>
      <c r="CO1685">
        <f>IF(CH1685="","",IFERROR(IF(AND(LEN(CH1685)=9,ISERROR(FIND("-",LEFT(CH1685,8))),ISNUMBER(-LEFT(CH1685,8))),VALUE(MID(CH1685,7,2)),VALUE(MID(CH1685,FIND("-",CH1685,FIND("-",CH1685)+1)+1,FIND("-",CH1685,FIND("-",CH1685,FIND("-",CH1685)+1)+1)-FIND("-",CH1685,FIND("-",CH1685)+1)-1))),""))</f>
        <v/>
      </c>
    </row>
    <row r="1686">
      <c r="CH1686">
        <f>IF(ISTEXT('월 가계부'!A1686),SUBSTITUTE(SUBSTITUTE(SUBSTITUTE(SUBSTITUTE(SUBSTITUTE(SUBSTITUTE(SUBSTITUTE(SUBSTITUTE(SUBSTITUTE(TRIM('월 가계부'!A1686),"년","-"),"월","-"),"일",""),".","-"),"/","-")," ","-"),"--","-"),"--","-"),"--","-")&amp;"-","")</f>
        <v/>
      </c>
      <c r="CI1686">
        <f>IFERROR(IF('월 가계부'!A1686="","",IF(ISNUMBER('월 가계부'!A1686),IF(AND('월 가계부'!A1686&gt;=19000101,'월 가계부'!A1686&lt;=21001231),IF(AND(MOD(INT('월 가계부'!A1686/100),100)&gt;=1,MOD(INT('월 가계부'!A1686/100),100)&lt;=12,MOD(INT('월 가계부'!A1686),100)&gt;=1,MOD(INT('월 가계부'!A1686),100)&lt;=31),IF(MONTH(DATE(INT('월 가계부'!A1686/10000),MOD(INT('월 가계부'!A1686/100),100),MOD(INT('월 가계부'!A1686),100)))=MOD(INT('월 가계부'!A1686/100),100),DATE(INT('월 가계부'!A1686/10000),MOD(INT('월 가계부'!A1686/100),100),MOD(INT('월 가계부'!A1686),100)),""),""),IF(AND('월 가계부'!A1686&gt;=36526,'월 가계부'!A1686&lt;73051),INT('월 가계부'!A1686),"")),IF(OR(CM1686="",CN1686="",CO1686=""),"",IF(AND(CM1686&gt;=2000,CM1686&lt;=2099,CN1686&gt;=1,CN1686&lt;=12,CO1686&gt;=1,CO1686&lt;=31),IF(MONTH(DATE(CM1686,CN1686,CO1686))=CN1686,DATE(CM1686,CN1686,CO1686),""),"")))),"")</f>
        <v/>
      </c>
      <c r="CJ1686">
        <f>IFERROR(IF('월 가계부'!C1686="","",IF(ISNUMBER('월 가계부'!C1686),'월 가계부'!C1686,VALUE(SUBSTITUTE(SUBSTITUTE(SUBSTITUTE(SUBSTITUTE(TRIM('월 가계부'!C1686),",",""),"원","")," ",""),"−","-")))),"")</f>
        <v/>
      </c>
      <c r="CK1686">
        <f>IF(ISNUMBER(CI1686),IF(CI1686&lt;$B$13,CI1686,""),"")</f>
        <v/>
      </c>
      <c r="CM1686">
        <f>IF(CH1686="","",IFERROR(IF(IF(AND(LEN(CH1686)=9,ISERROR(FIND("-",LEFT(CH1686,8))),ISNUMBER(-LEFT(CH1686,8))),VALUE(LEFT(CH1686,4)),VALUE(LEFT(CH1686,FIND("-",CH1686)-1)))&lt;100,IF(AND(LEN(CH1686)=9,ISERROR(FIND("-",LEFT(CH1686,8))),ISNUMBER(-LEFT(CH1686,8))),VALUE(LEFT(CH1686,4)),VALUE(LEFT(CH1686,FIND("-",CH1686)-1)))+2000,IF(AND(LEN(CH1686)=9,ISERROR(FIND("-",LEFT(CH1686,8))),ISNUMBER(-LEFT(CH1686,8))),VALUE(LEFT(CH1686,4)),VALUE(LEFT(CH1686,FIND("-",CH1686)-1)))),""))</f>
        <v/>
      </c>
      <c r="CN1686">
        <f>IF(CH1686="","",IFERROR(IF(AND(LEN(CH1686)=9,ISERROR(FIND("-",LEFT(CH1686,8))),ISNUMBER(-LEFT(CH1686,8))),VALUE(MID(CH1686,5,2)),VALUE(MID(CH1686,FIND("-",CH1686)+1,FIND("-",CH1686,FIND("-",CH1686)+1)-FIND("-",CH1686)-1))),""))</f>
        <v/>
      </c>
      <c r="CO1686">
        <f>IF(CH1686="","",IFERROR(IF(AND(LEN(CH1686)=9,ISERROR(FIND("-",LEFT(CH1686,8))),ISNUMBER(-LEFT(CH1686,8))),VALUE(MID(CH1686,7,2)),VALUE(MID(CH1686,FIND("-",CH1686,FIND("-",CH1686)+1)+1,FIND("-",CH1686,FIND("-",CH1686,FIND("-",CH1686)+1)+1)-FIND("-",CH1686,FIND("-",CH1686)+1)-1))),""))</f>
        <v/>
      </c>
    </row>
    <row r="1687">
      <c r="CH1687">
        <f>IF(ISTEXT('월 가계부'!A1687),SUBSTITUTE(SUBSTITUTE(SUBSTITUTE(SUBSTITUTE(SUBSTITUTE(SUBSTITUTE(SUBSTITUTE(SUBSTITUTE(SUBSTITUTE(TRIM('월 가계부'!A1687),"년","-"),"월","-"),"일",""),".","-"),"/","-")," ","-"),"--","-"),"--","-"),"--","-")&amp;"-","")</f>
        <v/>
      </c>
      <c r="CI1687">
        <f>IFERROR(IF('월 가계부'!A1687="","",IF(ISNUMBER('월 가계부'!A1687),IF(AND('월 가계부'!A1687&gt;=19000101,'월 가계부'!A1687&lt;=21001231),IF(AND(MOD(INT('월 가계부'!A1687/100),100)&gt;=1,MOD(INT('월 가계부'!A1687/100),100)&lt;=12,MOD(INT('월 가계부'!A1687),100)&gt;=1,MOD(INT('월 가계부'!A1687),100)&lt;=31),IF(MONTH(DATE(INT('월 가계부'!A1687/10000),MOD(INT('월 가계부'!A1687/100),100),MOD(INT('월 가계부'!A1687),100)))=MOD(INT('월 가계부'!A1687/100),100),DATE(INT('월 가계부'!A1687/10000),MOD(INT('월 가계부'!A1687/100),100),MOD(INT('월 가계부'!A1687),100)),""),""),IF(AND('월 가계부'!A1687&gt;=36526,'월 가계부'!A1687&lt;73051),INT('월 가계부'!A1687),"")),IF(OR(CM1687="",CN1687="",CO1687=""),"",IF(AND(CM1687&gt;=2000,CM1687&lt;=2099,CN1687&gt;=1,CN1687&lt;=12,CO1687&gt;=1,CO1687&lt;=31),IF(MONTH(DATE(CM1687,CN1687,CO1687))=CN1687,DATE(CM1687,CN1687,CO1687),""),"")))),"")</f>
        <v/>
      </c>
      <c r="CJ1687">
        <f>IFERROR(IF('월 가계부'!C1687="","",IF(ISNUMBER('월 가계부'!C1687),'월 가계부'!C1687,VALUE(SUBSTITUTE(SUBSTITUTE(SUBSTITUTE(SUBSTITUTE(TRIM('월 가계부'!C1687),",",""),"원","")," ",""),"−","-")))),"")</f>
        <v/>
      </c>
      <c r="CK1687">
        <f>IF(ISNUMBER(CI1687),IF(CI1687&lt;$B$13,CI1687,""),"")</f>
        <v/>
      </c>
      <c r="CM1687">
        <f>IF(CH1687="","",IFERROR(IF(IF(AND(LEN(CH1687)=9,ISERROR(FIND("-",LEFT(CH1687,8))),ISNUMBER(-LEFT(CH1687,8))),VALUE(LEFT(CH1687,4)),VALUE(LEFT(CH1687,FIND("-",CH1687)-1)))&lt;100,IF(AND(LEN(CH1687)=9,ISERROR(FIND("-",LEFT(CH1687,8))),ISNUMBER(-LEFT(CH1687,8))),VALUE(LEFT(CH1687,4)),VALUE(LEFT(CH1687,FIND("-",CH1687)-1)))+2000,IF(AND(LEN(CH1687)=9,ISERROR(FIND("-",LEFT(CH1687,8))),ISNUMBER(-LEFT(CH1687,8))),VALUE(LEFT(CH1687,4)),VALUE(LEFT(CH1687,FIND("-",CH1687)-1)))),""))</f>
        <v/>
      </c>
      <c r="CN1687">
        <f>IF(CH1687="","",IFERROR(IF(AND(LEN(CH1687)=9,ISERROR(FIND("-",LEFT(CH1687,8))),ISNUMBER(-LEFT(CH1687,8))),VALUE(MID(CH1687,5,2)),VALUE(MID(CH1687,FIND("-",CH1687)+1,FIND("-",CH1687,FIND("-",CH1687)+1)-FIND("-",CH1687)-1))),""))</f>
        <v/>
      </c>
      <c r="CO1687">
        <f>IF(CH1687="","",IFERROR(IF(AND(LEN(CH1687)=9,ISERROR(FIND("-",LEFT(CH1687,8))),ISNUMBER(-LEFT(CH1687,8))),VALUE(MID(CH1687,7,2)),VALUE(MID(CH1687,FIND("-",CH1687,FIND("-",CH1687)+1)+1,FIND("-",CH1687,FIND("-",CH1687,FIND("-",CH1687)+1)+1)-FIND("-",CH1687,FIND("-",CH1687)+1)-1))),""))</f>
        <v/>
      </c>
    </row>
    <row r="1688">
      <c r="CH1688">
        <f>IF(ISTEXT('월 가계부'!A1688),SUBSTITUTE(SUBSTITUTE(SUBSTITUTE(SUBSTITUTE(SUBSTITUTE(SUBSTITUTE(SUBSTITUTE(SUBSTITUTE(SUBSTITUTE(TRIM('월 가계부'!A1688),"년","-"),"월","-"),"일",""),".","-"),"/","-")," ","-"),"--","-"),"--","-"),"--","-")&amp;"-","")</f>
        <v/>
      </c>
      <c r="CI1688">
        <f>IFERROR(IF('월 가계부'!A1688="","",IF(ISNUMBER('월 가계부'!A1688),IF(AND('월 가계부'!A1688&gt;=19000101,'월 가계부'!A1688&lt;=21001231),IF(AND(MOD(INT('월 가계부'!A1688/100),100)&gt;=1,MOD(INT('월 가계부'!A1688/100),100)&lt;=12,MOD(INT('월 가계부'!A1688),100)&gt;=1,MOD(INT('월 가계부'!A1688),100)&lt;=31),IF(MONTH(DATE(INT('월 가계부'!A1688/10000),MOD(INT('월 가계부'!A1688/100),100),MOD(INT('월 가계부'!A1688),100)))=MOD(INT('월 가계부'!A1688/100),100),DATE(INT('월 가계부'!A1688/10000),MOD(INT('월 가계부'!A1688/100),100),MOD(INT('월 가계부'!A1688),100)),""),""),IF(AND('월 가계부'!A1688&gt;=36526,'월 가계부'!A1688&lt;73051),INT('월 가계부'!A1688),"")),IF(OR(CM1688="",CN1688="",CO1688=""),"",IF(AND(CM1688&gt;=2000,CM1688&lt;=2099,CN1688&gt;=1,CN1688&lt;=12,CO1688&gt;=1,CO1688&lt;=31),IF(MONTH(DATE(CM1688,CN1688,CO1688))=CN1688,DATE(CM1688,CN1688,CO1688),""),"")))),"")</f>
        <v/>
      </c>
      <c r="CJ1688">
        <f>IFERROR(IF('월 가계부'!C1688="","",IF(ISNUMBER('월 가계부'!C1688),'월 가계부'!C1688,VALUE(SUBSTITUTE(SUBSTITUTE(SUBSTITUTE(SUBSTITUTE(TRIM('월 가계부'!C1688),",",""),"원","")," ",""),"−","-")))),"")</f>
        <v/>
      </c>
      <c r="CK1688">
        <f>IF(ISNUMBER(CI1688),IF(CI1688&lt;$B$13,CI1688,""),"")</f>
        <v/>
      </c>
      <c r="CM1688">
        <f>IF(CH1688="","",IFERROR(IF(IF(AND(LEN(CH1688)=9,ISERROR(FIND("-",LEFT(CH1688,8))),ISNUMBER(-LEFT(CH1688,8))),VALUE(LEFT(CH1688,4)),VALUE(LEFT(CH1688,FIND("-",CH1688)-1)))&lt;100,IF(AND(LEN(CH1688)=9,ISERROR(FIND("-",LEFT(CH1688,8))),ISNUMBER(-LEFT(CH1688,8))),VALUE(LEFT(CH1688,4)),VALUE(LEFT(CH1688,FIND("-",CH1688)-1)))+2000,IF(AND(LEN(CH1688)=9,ISERROR(FIND("-",LEFT(CH1688,8))),ISNUMBER(-LEFT(CH1688,8))),VALUE(LEFT(CH1688,4)),VALUE(LEFT(CH1688,FIND("-",CH1688)-1)))),""))</f>
        <v/>
      </c>
      <c r="CN1688">
        <f>IF(CH1688="","",IFERROR(IF(AND(LEN(CH1688)=9,ISERROR(FIND("-",LEFT(CH1688,8))),ISNUMBER(-LEFT(CH1688,8))),VALUE(MID(CH1688,5,2)),VALUE(MID(CH1688,FIND("-",CH1688)+1,FIND("-",CH1688,FIND("-",CH1688)+1)-FIND("-",CH1688)-1))),""))</f>
        <v/>
      </c>
      <c r="CO1688">
        <f>IF(CH1688="","",IFERROR(IF(AND(LEN(CH1688)=9,ISERROR(FIND("-",LEFT(CH1688,8))),ISNUMBER(-LEFT(CH1688,8))),VALUE(MID(CH1688,7,2)),VALUE(MID(CH1688,FIND("-",CH1688,FIND("-",CH1688)+1)+1,FIND("-",CH1688,FIND("-",CH1688,FIND("-",CH1688)+1)+1)-FIND("-",CH1688,FIND("-",CH1688)+1)-1))),""))</f>
        <v/>
      </c>
    </row>
    <row r="1689">
      <c r="CH1689">
        <f>IF(ISTEXT('월 가계부'!A1689),SUBSTITUTE(SUBSTITUTE(SUBSTITUTE(SUBSTITUTE(SUBSTITUTE(SUBSTITUTE(SUBSTITUTE(SUBSTITUTE(SUBSTITUTE(TRIM('월 가계부'!A1689),"년","-"),"월","-"),"일",""),".","-"),"/","-")," ","-"),"--","-"),"--","-"),"--","-")&amp;"-","")</f>
        <v/>
      </c>
      <c r="CI1689">
        <f>IFERROR(IF('월 가계부'!A1689="","",IF(ISNUMBER('월 가계부'!A1689),IF(AND('월 가계부'!A1689&gt;=19000101,'월 가계부'!A1689&lt;=21001231),IF(AND(MOD(INT('월 가계부'!A1689/100),100)&gt;=1,MOD(INT('월 가계부'!A1689/100),100)&lt;=12,MOD(INT('월 가계부'!A1689),100)&gt;=1,MOD(INT('월 가계부'!A1689),100)&lt;=31),IF(MONTH(DATE(INT('월 가계부'!A1689/10000),MOD(INT('월 가계부'!A1689/100),100),MOD(INT('월 가계부'!A1689),100)))=MOD(INT('월 가계부'!A1689/100),100),DATE(INT('월 가계부'!A1689/10000),MOD(INT('월 가계부'!A1689/100),100),MOD(INT('월 가계부'!A1689),100)),""),""),IF(AND('월 가계부'!A1689&gt;=36526,'월 가계부'!A1689&lt;73051),INT('월 가계부'!A1689),"")),IF(OR(CM1689="",CN1689="",CO1689=""),"",IF(AND(CM1689&gt;=2000,CM1689&lt;=2099,CN1689&gt;=1,CN1689&lt;=12,CO1689&gt;=1,CO1689&lt;=31),IF(MONTH(DATE(CM1689,CN1689,CO1689))=CN1689,DATE(CM1689,CN1689,CO1689),""),"")))),"")</f>
        <v/>
      </c>
      <c r="CJ1689">
        <f>IFERROR(IF('월 가계부'!C1689="","",IF(ISNUMBER('월 가계부'!C1689),'월 가계부'!C1689,VALUE(SUBSTITUTE(SUBSTITUTE(SUBSTITUTE(SUBSTITUTE(TRIM('월 가계부'!C1689),",",""),"원","")," ",""),"−","-")))),"")</f>
        <v/>
      </c>
      <c r="CK1689">
        <f>IF(ISNUMBER(CI1689),IF(CI1689&lt;$B$13,CI1689,""),"")</f>
        <v/>
      </c>
      <c r="CM1689">
        <f>IF(CH1689="","",IFERROR(IF(IF(AND(LEN(CH1689)=9,ISERROR(FIND("-",LEFT(CH1689,8))),ISNUMBER(-LEFT(CH1689,8))),VALUE(LEFT(CH1689,4)),VALUE(LEFT(CH1689,FIND("-",CH1689)-1)))&lt;100,IF(AND(LEN(CH1689)=9,ISERROR(FIND("-",LEFT(CH1689,8))),ISNUMBER(-LEFT(CH1689,8))),VALUE(LEFT(CH1689,4)),VALUE(LEFT(CH1689,FIND("-",CH1689)-1)))+2000,IF(AND(LEN(CH1689)=9,ISERROR(FIND("-",LEFT(CH1689,8))),ISNUMBER(-LEFT(CH1689,8))),VALUE(LEFT(CH1689,4)),VALUE(LEFT(CH1689,FIND("-",CH1689)-1)))),""))</f>
        <v/>
      </c>
      <c r="CN1689">
        <f>IF(CH1689="","",IFERROR(IF(AND(LEN(CH1689)=9,ISERROR(FIND("-",LEFT(CH1689,8))),ISNUMBER(-LEFT(CH1689,8))),VALUE(MID(CH1689,5,2)),VALUE(MID(CH1689,FIND("-",CH1689)+1,FIND("-",CH1689,FIND("-",CH1689)+1)-FIND("-",CH1689)-1))),""))</f>
        <v/>
      </c>
      <c r="CO1689">
        <f>IF(CH1689="","",IFERROR(IF(AND(LEN(CH1689)=9,ISERROR(FIND("-",LEFT(CH1689,8))),ISNUMBER(-LEFT(CH1689,8))),VALUE(MID(CH1689,7,2)),VALUE(MID(CH1689,FIND("-",CH1689,FIND("-",CH1689)+1)+1,FIND("-",CH1689,FIND("-",CH1689,FIND("-",CH1689)+1)+1)-FIND("-",CH1689,FIND("-",CH1689)+1)-1))),""))</f>
        <v/>
      </c>
    </row>
    <row r="1690">
      <c r="CH1690">
        <f>IF(ISTEXT('월 가계부'!A1690),SUBSTITUTE(SUBSTITUTE(SUBSTITUTE(SUBSTITUTE(SUBSTITUTE(SUBSTITUTE(SUBSTITUTE(SUBSTITUTE(SUBSTITUTE(TRIM('월 가계부'!A1690),"년","-"),"월","-"),"일",""),".","-"),"/","-")," ","-"),"--","-"),"--","-"),"--","-")&amp;"-","")</f>
        <v/>
      </c>
      <c r="CI1690">
        <f>IFERROR(IF('월 가계부'!A1690="","",IF(ISNUMBER('월 가계부'!A1690),IF(AND('월 가계부'!A1690&gt;=19000101,'월 가계부'!A1690&lt;=21001231),IF(AND(MOD(INT('월 가계부'!A1690/100),100)&gt;=1,MOD(INT('월 가계부'!A1690/100),100)&lt;=12,MOD(INT('월 가계부'!A1690),100)&gt;=1,MOD(INT('월 가계부'!A1690),100)&lt;=31),IF(MONTH(DATE(INT('월 가계부'!A1690/10000),MOD(INT('월 가계부'!A1690/100),100),MOD(INT('월 가계부'!A1690),100)))=MOD(INT('월 가계부'!A1690/100),100),DATE(INT('월 가계부'!A1690/10000),MOD(INT('월 가계부'!A1690/100),100),MOD(INT('월 가계부'!A1690),100)),""),""),IF(AND('월 가계부'!A1690&gt;=36526,'월 가계부'!A1690&lt;73051),INT('월 가계부'!A1690),"")),IF(OR(CM1690="",CN1690="",CO1690=""),"",IF(AND(CM1690&gt;=2000,CM1690&lt;=2099,CN1690&gt;=1,CN1690&lt;=12,CO1690&gt;=1,CO1690&lt;=31),IF(MONTH(DATE(CM1690,CN1690,CO1690))=CN1690,DATE(CM1690,CN1690,CO1690),""),"")))),"")</f>
        <v/>
      </c>
      <c r="CJ1690">
        <f>IFERROR(IF('월 가계부'!C1690="","",IF(ISNUMBER('월 가계부'!C1690),'월 가계부'!C1690,VALUE(SUBSTITUTE(SUBSTITUTE(SUBSTITUTE(SUBSTITUTE(TRIM('월 가계부'!C1690),",",""),"원","")," ",""),"−","-")))),"")</f>
        <v/>
      </c>
      <c r="CK1690">
        <f>IF(ISNUMBER(CI1690),IF(CI1690&lt;$B$13,CI1690,""),"")</f>
        <v/>
      </c>
      <c r="CM1690">
        <f>IF(CH1690="","",IFERROR(IF(IF(AND(LEN(CH1690)=9,ISERROR(FIND("-",LEFT(CH1690,8))),ISNUMBER(-LEFT(CH1690,8))),VALUE(LEFT(CH1690,4)),VALUE(LEFT(CH1690,FIND("-",CH1690)-1)))&lt;100,IF(AND(LEN(CH1690)=9,ISERROR(FIND("-",LEFT(CH1690,8))),ISNUMBER(-LEFT(CH1690,8))),VALUE(LEFT(CH1690,4)),VALUE(LEFT(CH1690,FIND("-",CH1690)-1)))+2000,IF(AND(LEN(CH1690)=9,ISERROR(FIND("-",LEFT(CH1690,8))),ISNUMBER(-LEFT(CH1690,8))),VALUE(LEFT(CH1690,4)),VALUE(LEFT(CH1690,FIND("-",CH1690)-1)))),""))</f>
        <v/>
      </c>
      <c r="CN1690">
        <f>IF(CH1690="","",IFERROR(IF(AND(LEN(CH1690)=9,ISERROR(FIND("-",LEFT(CH1690,8))),ISNUMBER(-LEFT(CH1690,8))),VALUE(MID(CH1690,5,2)),VALUE(MID(CH1690,FIND("-",CH1690)+1,FIND("-",CH1690,FIND("-",CH1690)+1)-FIND("-",CH1690)-1))),""))</f>
        <v/>
      </c>
      <c r="CO1690">
        <f>IF(CH1690="","",IFERROR(IF(AND(LEN(CH1690)=9,ISERROR(FIND("-",LEFT(CH1690,8))),ISNUMBER(-LEFT(CH1690,8))),VALUE(MID(CH1690,7,2)),VALUE(MID(CH1690,FIND("-",CH1690,FIND("-",CH1690)+1)+1,FIND("-",CH1690,FIND("-",CH1690,FIND("-",CH1690)+1)+1)-FIND("-",CH1690,FIND("-",CH1690)+1)-1))),""))</f>
        <v/>
      </c>
    </row>
    <row r="1691">
      <c r="CH1691">
        <f>IF(ISTEXT('월 가계부'!A1691),SUBSTITUTE(SUBSTITUTE(SUBSTITUTE(SUBSTITUTE(SUBSTITUTE(SUBSTITUTE(SUBSTITUTE(SUBSTITUTE(SUBSTITUTE(TRIM('월 가계부'!A1691),"년","-"),"월","-"),"일",""),".","-"),"/","-")," ","-"),"--","-"),"--","-"),"--","-")&amp;"-","")</f>
        <v/>
      </c>
      <c r="CI1691">
        <f>IFERROR(IF('월 가계부'!A1691="","",IF(ISNUMBER('월 가계부'!A1691),IF(AND('월 가계부'!A1691&gt;=19000101,'월 가계부'!A1691&lt;=21001231),IF(AND(MOD(INT('월 가계부'!A1691/100),100)&gt;=1,MOD(INT('월 가계부'!A1691/100),100)&lt;=12,MOD(INT('월 가계부'!A1691),100)&gt;=1,MOD(INT('월 가계부'!A1691),100)&lt;=31),IF(MONTH(DATE(INT('월 가계부'!A1691/10000),MOD(INT('월 가계부'!A1691/100),100),MOD(INT('월 가계부'!A1691),100)))=MOD(INT('월 가계부'!A1691/100),100),DATE(INT('월 가계부'!A1691/10000),MOD(INT('월 가계부'!A1691/100),100),MOD(INT('월 가계부'!A1691),100)),""),""),IF(AND('월 가계부'!A1691&gt;=36526,'월 가계부'!A1691&lt;73051),INT('월 가계부'!A1691),"")),IF(OR(CM1691="",CN1691="",CO1691=""),"",IF(AND(CM1691&gt;=2000,CM1691&lt;=2099,CN1691&gt;=1,CN1691&lt;=12,CO1691&gt;=1,CO1691&lt;=31),IF(MONTH(DATE(CM1691,CN1691,CO1691))=CN1691,DATE(CM1691,CN1691,CO1691),""),"")))),"")</f>
        <v/>
      </c>
      <c r="CJ1691">
        <f>IFERROR(IF('월 가계부'!C1691="","",IF(ISNUMBER('월 가계부'!C1691),'월 가계부'!C1691,VALUE(SUBSTITUTE(SUBSTITUTE(SUBSTITUTE(SUBSTITUTE(TRIM('월 가계부'!C1691),",",""),"원","")," ",""),"−","-")))),"")</f>
        <v/>
      </c>
      <c r="CK1691">
        <f>IF(ISNUMBER(CI1691),IF(CI1691&lt;$B$13,CI1691,""),"")</f>
        <v/>
      </c>
      <c r="CM1691">
        <f>IF(CH1691="","",IFERROR(IF(IF(AND(LEN(CH1691)=9,ISERROR(FIND("-",LEFT(CH1691,8))),ISNUMBER(-LEFT(CH1691,8))),VALUE(LEFT(CH1691,4)),VALUE(LEFT(CH1691,FIND("-",CH1691)-1)))&lt;100,IF(AND(LEN(CH1691)=9,ISERROR(FIND("-",LEFT(CH1691,8))),ISNUMBER(-LEFT(CH1691,8))),VALUE(LEFT(CH1691,4)),VALUE(LEFT(CH1691,FIND("-",CH1691)-1)))+2000,IF(AND(LEN(CH1691)=9,ISERROR(FIND("-",LEFT(CH1691,8))),ISNUMBER(-LEFT(CH1691,8))),VALUE(LEFT(CH1691,4)),VALUE(LEFT(CH1691,FIND("-",CH1691)-1)))),""))</f>
        <v/>
      </c>
      <c r="CN1691">
        <f>IF(CH1691="","",IFERROR(IF(AND(LEN(CH1691)=9,ISERROR(FIND("-",LEFT(CH1691,8))),ISNUMBER(-LEFT(CH1691,8))),VALUE(MID(CH1691,5,2)),VALUE(MID(CH1691,FIND("-",CH1691)+1,FIND("-",CH1691,FIND("-",CH1691)+1)-FIND("-",CH1691)-1))),""))</f>
        <v/>
      </c>
      <c r="CO1691">
        <f>IF(CH1691="","",IFERROR(IF(AND(LEN(CH1691)=9,ISERROR(FIND("-",LEFT(CH1691,8))),ISNUMBER(-LEFT(CH1691,8))),VALUE(MID(CH1691,7,2)),VALUE(MID(CH1691,FIND("-",CH1691,FIND("-",CH1691)+1)+1,FIND("-",CH1691,FIND("-",CH1691,FIND("-",CH1691)+1)+1)-FIND("-",CH1691,FIND("-",CH1691)+1)-1))),""))</f>
        <v/>
      </c>
    </row>
    <row r="1692">
      <c r="CH1692">
        <f>IF(ISTEXT('월 가계부'!A1692),SUBSTITUTE(SUBSTITUTE(SUBSTITUTE(SUBSTITUTE(SUBSTITUTE(SUBSTITUTE(SUBSTITUTE(SUBSTITUTE(SUBSTITUTE(TRIM('월 가계부'!A1692),"년","-"),"월","-"),"일",""),".","-"),"/","-")," ","-"),"--","-"),"--","-"),"--","-")&amp;"-","")</f>
        <v/>
      </c>
      <c r="CI1692">
        <f>IFERROR(IF('월 가계부'!A1692="","",IF(ISNUMBER('월 가계부'!A1692),IF(AND('월 가계부'!A1692&gt;=19000101,'월 가계부'!A1692&lt;=21001231),IF(AND(MOD(INT('월 가계부'!A1692/100),100)&gt;=1,MOD(INT('월 가계부'!A1692/100),100)&lt;=12,MOD(INT('월 가계부'!A1692),100)&gt;=1,MOD(INT('월 가계부'!A1692),100)&lt;=31),IF(MONTH(DATE(INT('월 가계부'!A1692/10000),MOD(INT('월 가계부'!A1692/100),100),MOD(INT('월 가계부'!A1692),100)))=MOD(INT('월 가계부'!A1692/100),100),DATE(INT('월 가계부'!A1692/10000),MOD(INT('월 가계부'!A1692/100),100),MOD(INT('월 가계부'!A1692),100)),""),""),IF(AND('월 가계부'!A1692&gt;=36526,'월 가계부'!A1692&lt;73051),INT('월 가계부'!A1692),"")),IF(OR(CM1692="",CN1692="",CO1692=""),"",IF(AND(CM1692&gt;=2000,CM1692&lt;=2099,CN1692&gt;=1,CN1692&lt;=12,CO1692&gt;=1,CO1692&lt;=31),IF(MONTH(DATE(CM1692,CN1692,CO1692))=CN1692,DATE(CM1692,CN1692,CO1692),""),"")))),"")</f>
        <v/>
      </c>
      <c r="CJ1692">
        <f>IFERROR(IF('월 가계부'!C1692="","",IF(ISNUMBER('월 가계부'!C1692),'월 가계부'!C1692,VALUE(SUBSTITUTE(SUBSTITUTE(SUBSTITUTE(SUBSTITUTE(TRIM('월 가계부'!C1692),",",""),"원","")," ",""),"−","-")))),"")</f>
        <v/>
      </c>
      <c r="CK1692">
        <f>IF(ISNUMBER(CI1692),IF(CI1692&lt;$B$13,CI1692,""),"")</f>
        <v/>
      </c>
      <c r="CM1692">
        <f>IF(CH1692="","",IFERROR(IF(IF(AND(LEN(CH1692)=9,ISERROR(FIND("-",LEFT(CH1692,8))),ISNUMBER(-LEFT(CH1692,8))),VALUE(LEFT(CH1692,4)),VALUE(LEFT(CH1692,FIND("-",CH1692)-1)))&lt;100,IF(AND(LEN(CH1692)=9,ISERROR(FIND("-",LEFT(CH1692,8))),ISNUMBER(-LEFT(CH1692,8))),VALUE(LEFT(CH1692,4)),VALUE(LEFT(CH1692,FIND("-",CH1692)-1)))+2000,IF(AND(LEN(CH1692)=9,ISERROR(FIND("-",LEFT(CH1692,8))),ISNUMBER(-LEFT(CH1692,8))),VALUE(LEFT(CH1692,4)),VALUE(LEFT(CH1692,FIND("-",CH1692)-1)))),""))</f>
        <v/>
      </c>
      <c r="CN1692">
        <f>IF(CH1692="","",IFERROR(IF(AND(LEN(CH1692)=9,ISERROR(FIND("-",LEFT(CH1692,8))),ISNUMBER(-LEFT(CH1692,8))),VALUE(MID(CH1692,5,2)),VALUE(MID(CH1692,FIND("-",CH1692)+1,FIND("-",CH1692,FIND("-",CH1692)+1)-FIND("-",CH1692)-1))),""))</f>
        <v/>
      </c>
      <c r="CO1692">
        <f>IF(CH1692="","",IFERROR(IF(AND(LEN(CH1692)=9,ISERROR(FIND("-",LEFT(CH1692,8))),ISNUMBER(-LEFT(CH1692,8))),VALUE(MID(CH1692,7,2)),VALUE(MID(CH1692,FIND("-",CH1692,FIND("-",CH1692)+1)+1,FIND("-",CH1692,FIND("-",CH1692,FIND("-",CH1692)+1)+1)-FIND("-",CH1692,FIND("-",CH1692)+1)-1))),""))</f>
        <v/>
      </c>
    </row>
    <row r="1693">
      <c r="CH1693">
        <f>IF(ISTEXT('월 가계부'!A1693),SUBSTITUTE(SUBSTITUTE(SUBSTITUTE(SUBSTITUTE(SUBSTITUTE(SUBSTITUTE(SUBSTITUTE(SUBSTITUTE(SUBSTITUTE(TRIM('월 가계부'!A1693),"년","-"),"월","-"),"일",""),".","-"),"/","-")," ","-"),"--","-"),"--","-"),"--","-")&amp;"-","")</f>
        <v/>
      </c>
      <c r="CI1693">
        <f>IFERROR(IF('월 가계부'!A1693="","",IF(ISNUMBER('월 가계부'!A1693),IF(AND('월 가계부'!A1693&gt;=19000101,'월 가계부'!A1693&lt;=21001231),IF(AND(MOD(INT('월 가계부'!A1693/100),100)&gt;=1,MOD(INT('월 가계부'!A1693/100),100)&lt;=12,MOD(INT('월 가계부'!A1693),100)&gt;=1,MOD(INT('월 가계부'!A1693),100)&lt;=31),IF(MONTH(DATE(INT('월 가계부'!A1693/10000),MOD(INT('월 가계부'!A1693/100),100),MOD(INT('월 가계부'!A1693),100)))=MOD(INT('월 가계부'!A1693/100),100),DATE(INT('월 가계부'!A1693/10000),MOD(INT('월 가계부'!A1693/100),100),MOD(INT('월 가계부'!A1693),100)),""),""),IF(AND('월 가계부'!A1693&gt;=36526,'월 가계부'!A1693&lt;73051),INT('월 가계부'!A1693),"")),IF(OR(CM1693="",CN1693="",CO1693=""),"",IF(AND(CM1693&gt;=2000,CM1693&lt;=2099,CN1693&gt;=1,CN1693&lt;=12,CO1693&gt;=1,CO1693&lt;=31),IF(MONTH(DATE(CM1693,CN1693,CO1693))=CN1693,DATE(CM1693,CN1693,CO1693),""),"")))),"")</f>
        <v/>
      </c>
      <c r="CJ1693">
        <f>IFERROR(IF('월 가계부'!C1693="","",IF(ISNUMBER('월 가계부'!C1693),'월 가계부'!C1693,VALUE(SUBSTITUTE(SUBSTITUTE(SUBSTITUTE(SUBSTITUTE(TRIM('월 가계부'!C1693),",",""),"원","")," ",""),"−","-")))),"")</f>
        <v/>
      </c>
      <c r="CK1693">
        <f>IF(ISNUMBER(CI1693),IF(CI1693&lt;$B$13,CI1693,""),"")</f>
        <v/>
      </c>
      <c r="CM1693">
        <f>IF(CH1693="","",IFERROR(IF(IF(AND(LEN(CH1693)=9,ISERROR(FIND("-",LEFT(CH1693,8))),ISNUMBER(-LEFT(CH1693,8))),VALUE(LEFT(CH1693,4)),VALUE(LEFT(CH1693,FIND("-",CH1693)-1)))&lt;100,IF(AND(LEN(CH1693)=9,ISERROR(FIND("-",LEFT(CH1693,8))),ISNUMBER(-LEFT(CH1693,8))),VALUE(LEFT(CH1693,4)),VALUE(LEFT(CH1693,FIND("-",CH1693)-1)))+2000,IF(AND(LEN(CH1693)=9,ISERROR(FIND("-",LEFT(CH1693,8))),ISNUMBER(-LEFT(CH1693,8))),VALUE(LEFT(CH1693,4)),VALUE(LEFT(CH1693,FIND("-",CH1693)-1)))),""))</f>
        <v/>
      </c>
      <c r="CN1693">
        <f>IF(CH1693="","",IFERROR(IF(AND(LEN(CH1693)=9,ISERROR(FIND("-",LEFT(CH1693,8))),ISNUMBER(-LEFT(CH1693,8))),VALUE(MID(CH1693,5,2)),VALUE(MID(CH1693,FIND("-",CH1693)+1,FIND("-",CH1693,FIND("-",CH1693)+1)-FIND("-",CH1693)-1))),""))</f>
        <v/>
      </c>
      <c r="CO1693">
        <f>IF(CH1693="","",IFERROR(IF(AND(LEN(CH1693)=9,ISERROR(FIND("-",LEFT(CH1693,8))),ISNUMBER(-LEFT(CH1693,8))),VALUE(MID(CH1693,7,2)),VALUE(MID(CH1693,FIND("-",CH1693,FIND("-",CH1693)+1)+1,FIND("-",CH1693,FIND("-",CH1693,FIND("-",CH1693)+1)+1)-FIND("-",CH1693,FIND("-",CH1693)+1)-1))),""))</f>
        <v/>
      </c>
    </row>
    <row r="1694">
      <c r="CH1694">
        <f>IF(ISTEXT('월 가계부'!A1694),SUBSTITUTE(SUBSTITUTE(SUBSTITUTE(SUBSTITUTE(SUBSTITUTE(SUBSTITUTE(SUBSTITUTE(SUBSTITUTE(SUBSTITUTE(TRIM('월 가계부'!A1694),"년","-"),"월","-"),"일",""),".","-"),"/","-")," ","-"),"--","-"),"--","-"),"--","-")&amp;"-","")</f>
        <v/>
      </c>
      <c r="CI1694">
        <f>IFERROR(IF('월 가계부'!A1694="","",IF(ISNUMBER('월 가계부'!A1694),IF(AND('월 가계부'!A1694&gt;=19000101,'월 가계부'!A1694&lt;=21001231),IF(AND(MOD(INT('월 가계부'!A1694/100),100)&gt;=1,MOD(INT('월 가계부'!A1694/100),100)&lt;=12,MOD(INT('월 가계부'!A1694),100)&gt;=1,MOD(INT('월 가계부'!A1694),100)&lt;=31),IF(MONTH(DATE(INT('월 가계부'!A1694/10000),MOD(INT('월 가계부'!A1694/100),100),MOD(INT('월 가계부'!A1694),100)))=MOD(INT('월 가계부'!A1694/100),100),DATE(INT('월 가계부'!A1694/10000),MOD(INT('월 가계부'!A1694/100),100),MOD(INT('월 가계부'!A1694),100)),""),""),IF(AND('월 가계부'!A1694&gt;=36526,'월 가계부'!A1694&lt;73051),INT('월 가계부'!A1694),"")),IF(OR(CM1694="",CN1694="",CO1694=""),"",IF(AND(CM1694&gt;=2000,CM1694&lt;=2099,CN1694&gt;=1,CN1694&lt;=12,CO1694&gt;=1,CO1694&lt;=31),IF(MONTH(DATE(CM1694,CN1694,CO1694))=CN1694,DATE(CM1694,CN1694,CO1694),""),"")))),"")</f>
        <v/>
      </c>
      <c r="CJ1694">
        <f>IFERROR(IF('월 가계부'!C1694="","",IF(ISNUMBER('월 가계부'!C1694),'월 가계부'!C1694,VALUE(SUBSTITUTE(SUBSTITUTE(SUBSTITUTE(SUBSTITUTE(TRIM('월 가계부'!C1694),",",""),"원","")," ",""),"−","-")))),"")</f>
        <v/>
      </c>
      <c r="CK1694">
        <f>IF(ISNUMBER(CI1694),IF(CI1694&lt;$B$13,CI1694,""),"")</f>
        <v/>
      </c>
      <c r="CM1694">
        <f>IF(CH1694="","",IFERROR(IF(IF(AND(LEN(CH1694)=9,ISERROR(FIND("-",LEFT(CH1694,8))),ISNUMBER(-LEFT(CH1694,8))),VALUE(LEFT(CH1694,4)),VALUE(LEFT(CH1694,FIND("-",CH1694)-1)))&lt;100,IF(AND(LEN(CH1694)=9,ISERROR(FIND("-",LEFT(CH1694,8))),ISNUMBER(-LEFT(CH1694,8))),VALUE(LEFT(CH1694,4)),VALUE(LEFT(CH1694,FIND("-",CH1694)-1)))+2000,IF(AND(LEN(CH1694)=9,ISERROR(FIND("-",LEFT(CH1694,8))),ISNUMBER(-LEFT(CH1694,8))),VALUE(LEFT(CH1694,4)),VALUE(LEFT(CH1694,FIND("-",CH1694)-1)))),""))</f>
        <v/>
      </c>
      <c r="CN1694">
        <f>IF(CH1694="","",IFERROR(IF(AND(LEN(CH1694)=9,ISERROR(FIND("-",LEFT(CH1694,8))),ISNUMBER(-LEFT(CH1694,8))),VALUE(MID(CH1694,5,2)),VALUE(MID(CH1694,FIND("-",CH1694)+1,FIND("-",CH1694,FIND("-",CH1694)+1)-FIND("-",CH1694)-1))),""))</f>
        <v/>
      </c>
      <c r="CO1694">
        <f>IF(CH1694="","",IFERROR(IF(AND(LEN(CH1694)=9,ISERROR(FIND("-",LEFT(CH1694,8))),ISNUMBER(-LEFT(CH1694,8))),VALUE(MID(CH1694,7,2)),VALUE(MID(CH1694,FIND("-",CH1694,FIND("-",CH1694)+1)+1,FIND("-",CH1694,FIND("-",CH1694,FIND("-",CH1694)+1)+1)-FIND("-",CH1694,FIND("-",CH1694)+1)-1))),""))</f>
        <v/>
      </c>
    </row>
    <row r="1695">
      <c r="CH1695">
        <f>IF(ISTEXT('월 가계부'!A1695),SUBSTITUTE(SUBSTITUTE(SUBSTITUTE(SUBSTITUTE(SUBSTITUTE(SUBSTITUTE(SUBSTITUTE(SUBSTITUTE(SUBSTITUTE(TRIM('월 가계부'!A1695),"년","-"),"월","-"),"일",""),".","-"),"/","-")," ","-"),"--","-"),"--","-"),"--","-")&amp;"-","")</f>
        <v/>
      </c>
      <c r="CI1695">
        <f>IFERROR(IF('월 가계부'!A1695="","",IF(ISNUMBER('월 가계부'!A1695),IF(AND('월 가계부'!A1695&gt;=19000101,'월 가계부'!A1695&lt;=21001231),IF(AND(MOD(INT('월 가계부'!A1695/100),100)&gt;=1,MOD(INT('월 가계부'!A1695/100),100)&lt;=12,MOD(INT('월 가계부'!A1695),100)&gt;=1,MOD(INT('월 가계부'!A1695),100)&lt;=31),IF(MONTH(DATE(INT('월 가계부'!A1695/10000),MOD(INT('월 가계부'!A1695/100),100),MOD(INT('월 가계부'!A1695),100)))=MOD(INT('월 가계부'!A1695/100),100),DATE(INT('월 가계부'!A1695/10000),MOD(INT('월 가계부'!A1695/100),100),MOD(INT('월 가계부'!A1695),100)),""),""),IF(AND('월 가계부'!A1695&gt;=36526,'월 가계부'!A1695&lt;73051),INT('월 가계부'!A1695),"")),IF(OR(CM1695="",CN1695="",CO1695=""),"",IF(AND(CM1695&gt;=2000,CM1695&lt;=2099,CN1695&gt;=1,CN1695&lt;=12,CO1695&gt;=1,CO1695&lt;=31),IF(MONTH(DATE(CM1695,CN1695,CO1695))=CN1695,DATE(CM1695,CN1695,CO1695),""),"")))),"")</f>
        <v/>
      </c>
      <c r="CJ1695">
        <f>IFERROR(IF('월 가계부'!C1695="","",IF(ISNUMBER('월 가계부'!C1695),'월 가계부'!C1695,VALUE(SUBSTITUTE(SUBSTITUTE(SUBSTITUTE(SUBSTITUTE(TRIM('월 가계부'!C1695),",",""),"원","")," ",""),"−","-")))),"")</f>
        <v/>
      </c>
      <c r="CK1695">
        <f>IF(ISNUMBER(CI1695),IF(CI1695&lt;$B$13,CI1695,""),"")</f>
        <v/>
      </c>
      <c r="CM1695">
        <f>IF(CH1695="","",IFERROR(IF(IF(AND(LEN(CH1695)=9,ISERROR(FIND("-",LEFT(CH1695,8))),ISNUMBER(-LEFT(CH1695,8))),VALUE(LEFT(CH1695,4)),VALUE(LEFT(CH1695,FIND("-",CH1695)-1)))&lt;100,IF(AND(LEN(CH1695)=9,ISERROR(FIND("-",LEFT(CH1695,8))),ISNUMBER(-LEFT(CH1695,8))),VALUE(LEFT(CH1695,4)),VALUE(LEFT(CH1695,FIND("-",CH1695)-1)))+2000,IF(AND(LEN(CH1695)=9,ISERROR(FIND("-",LEFT(CH1695,8))),ISNUMBER(-LEFT(CH1695,8))),VALUE(LEFT(CH1695,4)),VALUE(LEFT(CH1695,FIND("-",CH1695)-1)))),""))</f>
        <v/>
      </c>
      <c r="CN1695">
        <f>IF(CH1695="","",IFERROR(IF(AND(LEN(CH1695)=9,ISERROR(FIND("-",LEFT(CH1695,8))),ISNUMBER(-LEFT(CH1695,8))),VALUE(MID(CH1695,5,2)),VALUE(MID(CH1695,FIND("-",CH1695)+1,FIND("-",CH1695,FIND("-",CH1695)+1)-FIND("-",CH1695)-1))),""))</f>
        <v/>
      </c>
      <c r="CO1695">
        <f>IF(CH1695="","",IFERROR(IF(AND(LEN(CH1695)=9,ISERROR(FIND("-",LEFT(CH1695,8))),ISNUMBER(-LEFT(CH1695,8))),VALUE(MID(CH1695,7,2)),VALUE(MID(CH1695,FIND("-",CH1695,FIND("-",CH1695)+1)+1,FIND("-",CH1695,FIND("-",CH1695,FIND("-",CH1695)+1)+1)-FIND("-",CH1695,FIND("-",CH1695)+1)-1))),""))</f>
        <v/>
      </c>
    </row>
    <row r="1696">
      <c r="CH1696">
        <f>IF(ISTEXT('월 가계부'!A1696),SUBSTITUTE(SUBSTITUTE(SUBSTITUTE(SUBSTITUTE(SUBSTITUTE(SUBSTITUTE(SUBSTITUTE(SUBSTITUTE(SUBSTITUTE(TRIM('월 가계부'!A1696),"년","-"),"월","-"),"일",""),".","-"),"/","-")," ","-"),"--","-"),"--","-"),"--","-")&amp;"-","")</f>
        <v/>
      </c>
      <c r="CI1696">
        <f>IFERROR(IF('월 가계부'!A1696="","",IF(ISNUMBER('월 가계부'!A1696),IF(AND('월 가계부'!A1696&gt;=19000101,'월 가계부'!A1696&lt;=21001231),IF(AND(MOD(INT('월 가계부'!A1696/100),100)&gt;=1,MOD(INT('월 가계부'!A1696/100),100)&lt;=12,MOD(INT('월 가계부'!A1696),100)&gt;=1,MOD(INT('월 가계부'!A1696),100)&lt;=31),IF(MONTH(DATE(INT('월 가계부'!A1696/10000),MOD(INT('월 가계부'!A1696/100),100),MOD(INT('월 가계부'!A1696),100)))=MOD(INT('월 가계부'!A1696/100),100),DATE(INT('월 가계부'!A1696/10000),MOD(INT('월 가계부'!A1696/100),100),MOD(INT('월 가계부'!A1696),100)),""),""),IF(AND('월 가계부'!A1696&gt;=36526,'월 가계부'!A1696&lt;73051),INT('월 가계부'!A1696),"")),IF(OR(CM1696="",CN1696="",CO1696=""),"",IF(AND(CM1696&gt;=2000,CM1696&lt;=2099,CN1696&gt;=1,CN1696&lt;=12,CO1696&gt;=1,CO1696&lt;=31),IF(MONTH(DATE(CM1696,CN1696,CO1696))=CN1696,DATE(CM1696,CN1696,CO1696),""),"")))),"")</f>
        <v/>
      </c>
      <c r="CJ1696">
        <f>IFERROR(IF('월 가계부'!C1696="","",IF(ISNUMBER('월 가계부'!C1696),'월 가계부'!C1696,VALUE(SUBSTITUTE(SUBSTITUTE(SUBSTITUTE(SUBSTITUTE(TRIM('월 가계부'!C1696),",",""),"원","")," ",""),"−","-")))),"")</f>
        <v/>
      </c>
      <c r="CK1696">
        <f>IF(ISNUMBER(CI1696),IF(CI1696&lt;$B$13,CI1696,""),"")</f>
        <v/>
      </c>
      <c r="CM1696">
        <f>IF(CH1696="","",IFERROR(IF(IF(AND(LEN(CH1696)=9,ISERROR(FIND("-",LEFT(CH1696,8))),ISNUMBER(-LEFT(CH1696,8))),VALUE(LEFT(CH1696,4)),VALUE(LEFT(CH1696,FIND("-",CH1696)-1)))&lt;100,IF(AND(LEN(CH1696)=9,ISERROR(FIND("-",LEFT(CH1696,8))),ISNUMBER(-LEFT(CH1696,8))),VALUE(LEFT(CH1696,4)),VALUE(LEFT(CH1696,FIND("-",CH1696)-1)))+2000,IF(AND(LEN(CH1696)=9,ISERROR(FIND("-",LEFT(CH1696,8))),ISNUMBER(-LEFT(CH1696,8))),VALUE(LEFT(CH1696,4)),VALUE(LEFT(CH1696,FIND("-",CH1696)-1)))),""))</f>
        <v/>
      </c>
      <c r="CN1696">
        <f>IF(CH1696="","",IFERROR(IF(AND(LEN(CH1696)=9,ISERROR(FIND("-",LEFT(CH1696,8))),ISNUMBER(-LEFT(CH1696,8))),VALUE(MID(CH1696,5,2)),VALUE(MID(CH1696,FIND("-",CH1696)+1,FIND("-",CH1696,FIND("-",CH1696)+1)-FIND("-",CH1696)-1))),""))</f>
        <v/>
      </c>
      <c r="CO1696">
        <f>IF(CH1696="","",IFERROR(IF(AND(LEN(CH1696)=9,ISERROR(FIND("-",LEFT(CH1696,8))),ISNUMBER(-LEFT(CH1696,8))),VALUE(MID(CH1696,7,2)),VALUE(MID(CH1696,FIND("-",CH1696,FIND("-",CH1696)+1)+1,FIND("-",CH1696,FIND("-",CH1696,FIND("-",CH1696)+1)+1)-FIND("-",CH1696,FIND("-",CH1696)+1)-1))),""))</f>
        <v/>
      </c>
    </row>
    <row r="1697">
      <c r="CH1697">
        <f>IF(ISTEXT('월 가계부'!A1697),SUBSTITUTE(SUBSTITUTE(SUBSTITUTE(SUBSTITUTE(SUBSTITUTE(SUBSTITUTE(SUBSTITUTE(SUBSTITUTE(SUBSTITUTE(TRIM('월 가계부'!A1697),"년","-"),"월","-"),"일",""),".","-"),"/","-")," ","-"),"--","-"),"--","-"),"--","-")&amp;"-","")</f>
        <v/>
      </c>
      <c r="CI1697">
        <f>IFERROR(IF('월 가계부'!A1697="","",IF(ISNUMBER('월 가계부'!A1697),IF(AND('월 가계부'!A1697&gt;=19000101,'월 가계부'!A1697&lt;=21001231),IF(AND(MOD(INT('월 가계부'!A1697/100),100)&gt;=1,MOD(INT('월 가계부'!A1697/100),100)&lt;=12,MOD(INT('월 가계부'!A1697),100)&gt;=1,MOD(INT('월 가계부'!A1697),100)&lt;=31),IF(MONTH(DATE(INT('월 가계부'!A1697/10000),MOD(INT('월 가계부'!A1697/100),100),MOD(INT('월 가계부'!A1697),100)))=MOD(INT('월 가계부'!A1697/100),100),DATE(INT('월 가계부'!A1697/10000),MOD(INT('월 가계부'!A1697/100),100),MOD(INT('월 가계부'!A1697),100)),""),""),IF(AND('월 가계부'!A1697&gt;=36526,'월 가계부'!A1697&lt;73051),INT('월 가계부'!A1697),"")),IF(OR(CM1697="",CN1697="",CO1697=""),"",IF(AND(CM1697&gt;=2000,CM1697&lt;=2099,CN1697&gt;=1,CN1697&lt;=12,CO1697&gt;=1,CO1697&lt;=31),IF(MONTH(DATE(CM1697,CN1697,CO1697))=CN1697,DATE(CM1697,CN1697,CO1697),""),"")))),"")</f>
        <v/>
      </c>
      <c r="CJ1697">
        <f>IFERROR(IF('월 가계부'!C1697="","",IF(ISNUMBER('월 가계부'!C1697),'월 가계부'!C1697,VALUE(SUBSTITUTE(SUBSTITUTE(SUBSTITUTE(SUBSTITUTE(TRIM('월 가계부'!C1697),",",""),"원","")," ",""),"−","-")))),"")</f>
        <v/>
      </c>
      <c r="CK1697">
        <f>IF(ISNUMBER(CI1697),IF(CI1697&lt;$B$13,CI1697,""),"")</f>
        <v/>
      </c>
      <c r="CM1697">
        <f>IF(CH1697="","",IFERROR(IF(IF(AND(LEN(CH1697)=9,ISERROR(FIND("-",LEFT(CH1697,8))),ISNUMBER(-LEFT(CH1697,8))),VALUE(LEFT(CH1697,4)),VALUE(LEFT(CH1697,FIND("-",CH1697)-1)))&lt;100,IF(AND(LEN(CH1697)=9,ISERROR(FIND("-",LEFT(CH1697,8))),ISNUMBER(-LEFT(CH1697,8))),VALUE(LEFT(CH1697,4)),VALUE(LEFT(CH1697,FIND("-",CH1697)-1)))+2000,IF(AND(LEN(CH1697)=9,ISERROR(FIND("-",LEFT(CH1697,8))),ISNUMBER(-LEFT(CH1697,8))),VALUE(LEFT(CH1697,4)),VALUE(LEFT(CH1697,FIND("-",CH1697)-1)))),""))</f>
        <v/>
      </c>
      <c r="CN1697">
        <f>IF(CH1697="","",IFERROR(IF(AND(LEN(CH1697)=9,ISERROR(FIND("-",LEFT(CH1697,8))),ISNUMBER(-LEFT(CH1697,8))),VALUE(MID(CH1697,5,2)),VALUE(MID(CH1697,FIND("-",CH1697)+1,FIND("-",CH1697,FIND("-",CH1697)+1)-FIND("-",CH1697)-1))),""))</f>
        <v/>
      </c>
      <c r="CO1697">
        <f>IF(CH1697="","",IFERROR(IF(AND(LEN(CH1697)=9,ISERROR(FIND("-",LEFT(CH1697,8))),ISNUMBER(-LEFT(CH1697,8))),VALUE(MID(CH1697,7,2)),VALUE(MID(CH1697,FIND("-",CH1697,FIND("-",CH1697)+1)+1,FIND("-",CH1697,FIND("-",CH1697,FIND("-",CH1697)+1)+1)-FIND("-",CH1697,FIND("-",CH1697)+1)-1))),""))</f>
        <v/>
      </c>
    </row>
    <row r="1698">
      <c r="CH1698">
        <f>IF(ISTEXT('월 가계부'!A1698),SUBSTITUTE(SUBSTITUTE(SUBSTITUTE(SUBSTITUTE(SUBSTITUTE(SUBSTITUTE(SUBSTITUTE(SUBSTITUTE(SUBSTITUTE(TRIM('월 가계부'!A1698),"년","-"),"월","-"),"일",""),".","-"),"/","-")," ","-"),"--","-"),"--","-"),"--","-")&amp;"-","")</f>
        <v/>
      </c>
      <c r="CI1698">
        <f>IFERROR(IF('월 가계부'!A1698="","",IF(ISNUMBER('월 가계부'!A1698),IF(AND('월 가계부'!A1698&gt;=19000101,'월 가계부'!A1698&lt;=21001231),IF(AND(MOD(INT('월 가계부'!A1698/100),100)&gt;=1,MOD(INT('월 가계부'!A1698/100),100)&lt;=12,MOD(INT('월 가계부'!A1698),100)&gt;=1,MOD(INT('월 가계부'!A1698),100)&lt;=31),IF(MONTH(DATE(INT('월 가계부'!A1698/10000),MOD(INT('월 가계부'!A1698/100),100),MOD(INT('월 가계부'!A1698),100)))=MOD(INT('월 가계부'!A1698/100),100),DATE(INT('월 가계부'!A1698/10000),MOD(INT('월 가계부'!A1698/100),100),MOD(INT('월 가계부'!A1698),100)),""),""),IF(AND('월 가계부'!A1698&gt;=36526,'월 가계부'!A1698&lt;73051),INT('월 가계부'!A1698),"")),IF(OR(CM1698="",CN1698="",CO1698=""),"",IF(AND(CM1698&gt;=2000,CM1698&lt;=2099,CN1698&gt;=1,CN1698&lt;=12,CO1698&gt;=1,CO1698&lt;=31),IF(MONTH(DATE(CM1698,CN1698,CO1698))=CN1698,DATE(CM1698,CN1698,CO1698),""),"")))),"")</f>
        <v/>
      </c>
      <c r="CJ1698">
        <f>IFERROR(IF('월 가계부'!C1698="","",IF(ISNUMBER('월 가계부'!C1698),'월 가계부'!C1698,VALUE(SUBSTITUTE(SUBSTITUTE(SUBSTITUTE(SUBSTITUTE(TRIM('월 가계부'!C1698),",",""),"원","")," ",""),"−","-")))),"")</f>
        <v/>
      </c>
      <c r="CK1698">
        <f>IF(ISNUMBER(CI1698),IF(CI1698&lt;$B$13,CI1698,""),"")</f>
        <v/>
      </c>
      <c r="CM1698">
        <f>IF(CH1698="","",IFERROR(IF(IF(AND(LEN(CH1698)=9,ISERROR(FIND("-",LEFT(CH1698,8))),ISNUMBER(-LEFT(CH1698,8))),VALUE(LEFT(CH1698,4)),VALUE(LEFT(CH1698,FIND("-",CH1698)-1)))&lt;100,IF(AND(LEN(CH1698)=9,ISERROR(FIND("-",LEFT(CH1698,8))),ISNUMBER(-LEFT(CH1698,8))),VALUE(LEFT(CH1698,4)),VALUE(LEFT(CH1698,FIND("-",CH1698)-1)))+2000,IF(AND(LEN(CH1698)=9,ISERROR(FIND("-",LEFT(CH1698,8))),ISNUMBER(-LEFT(CH1698,8))),VALUE(LEFT(CH1698,4)),VALUE(LEFT(CH1698,FIND("-",CH1698)-1)))),""))</f>
        <v/>
      </c>
      <c r="CN1698">
        <f>IF(CH1698="","",IFERROR(IF(AND(LEN(CH1698)=9,ISERROR(FIND("-",LEFT(CH1698,8))),ISNUMBER(-LEFT(CH1698,8))),VALUE(MID(CH1698,5,2)),VALUE(MID(CH1698,FIND("-",CH1698)+1,FIND("-",CH1698,FIND("-",CH1698)+1)-FIND("-",CH1698)-1))),""))</f>
        <v/>
      </c>
      <c r="CO1698">
        <f>IF(CH1698="","",IFERROR(IF(AND(LEN(CH1698)=9,ISERROR(FIND("-",LEFT(CH1698,8))),ISNUMBER(-LEFT(CH1698,8))),VALUE(MID(CH1698,7,2)),VALUE(MID(CH1698,FIND("-",CH1698,FIND("-",CH1698)+1)+1,FIND("-",CH1698,FIND("-",CH1698,FIND("-",CH1698)+1)+1)-FIND("-",CH1698,FIND("-",CH1698)+1)-1))),""))</f>
        <v/>
      </c>
    </row>
    <row r="1699">
      <c r="CH1699">
        <f>IF(ISTEXT('월 가계부'!A1699),SUBSTITUTE(SUBSTITUTE(SUBSTITUTE(SUBSTITUTE(SUBSTITUTE(SUBSTITUTE(SUBSTITUTE(SUBSTITUTE(SUBSTITUTE(TRIM('월 가계부'!A1699),"년","-"),"월","-"),"일",""),".","-"),"/","-")," ","-"),"--","-"),"--","-"),"--","-")&amp;"-","")</f>
        <v/>
      </c>
      <c r="CI1699">
        <f>IFERROR(IF('월 가계부'!A1699="","",IF(ISNUMBER('월 가계부'!A1699),IF(AND('월 가계부'!A1699&gt;=19000101,'월 가계부'!A1699&lt;=21001231),IF(AND(MOD(INT('월 가계부'!A1699/100),100)&gt;=1,MOD(INT('월 가계부'!A1699/100),100)&lt;=12,MOD(INT('월 가계부'!A1699),100)&gt;=1,MOD(INT('월 가계부'!A1699),100)&lt;=31),IF(MONTH(DATE(INT('월 가계부'!A1699/10000),MOD(INT('월 가계부'!A1699/100),100),MOD(INT('월 가계부'!A1699),100)))=MOD(INT('월 가계부'!A1699/100),100),DATE(INT('월 가계부'!A1699/10000),MOD(INT('월 가계부'!A1699/100),100),MOD(INT('월 가계부'!A1699),100)),""),""),IF(AND('월 가계부'!A1699&gt;=36526,'월 가계부'!A1699&lt;73051),INT('월 가계부'!A1699),"")),IF(OR(CM1699="",CN1699="",CO1699=""),"",IF(AND(CM1699&gt;=2000,CM1699&lt;=2099,CN1699&gt;=1,CN1699&lt;=12,CO1699&gt;=1,CO1699&lt;=31),IF(MONTH(DATE(CM1699,CN1699,CO1699))=CN1699,DATE(CM1699,CN1699,CO1699),""),"")))),"")</f>
        <v/>
      </c>
      <c r="CJ1699">
        <f>IFERROR(IF('월 가계부'!C1699="","",IF(ISNUMBER('월 가계부'!C1699),'월 가계부'!C1699,VALUE(SUBSTITUTE(SUBSTITUTE(SUBSTITUTE(SUBSTITUTE(TRIM('월 가계부'!C1699),",",""),"원","")," ",""),"−","-")))),"")</f>
        <v/>
      </c>
      <c r="CK1699">
        <f>IF(ISNUMBER(CI1699),IF(CI1699&lt;$B$13,CI1699,""),"")</f>
        <v/>
      </c>
      <c r="CM1699">
        <f>IF(CH1699="","",IFERROR(IF(IF(AND(LEN(CH1699)=9,ISERROR(FIND("-",LEFT(CH1699,8))),ISNUMBER(-LEFT(CH1699,8))),VALUE(LEFT(CH1699,4)),VALUE(LEFT(CH1699,FIND("-",CH1699)-1)))&lt;100,IF(AND(LEN(CH1699)=9,ISERROR(FIND("-",LEFT(CH1699,8))),ISNUMBER(-LEFT(CH1699,8))),VALUE(LEFT(CH1699,4)),VALUE(LEFT(CH1699,FIND("-",CH1699)-1)))+2000,IF(AND(LEN(CH1699)=9,ISERROR(FIND("-",LEFT(CH1699,8))),ISNUMBER(-LEFT(CH1699,8))),VALUE(LEFT(CH1699,4)),VALUE(LEFT(CH1699,FIND("-",CH1699)-1)))),""))</f>
        <v/>
      </c>
      <c r="CN1699">
        <f>IF(CH1699="","",IFERROR(IF(AND(LEN(CH1699)=9,ISERROR(FIND("-",LEFT(CH1699,8))),ISNUMBER(-LEFT(CH1699,8))),VALUE(MID(CH1699,5,2)),VALUE(MID(CH1699,FIND("-",CH1699)+1,FIND("-",CH1699,FIND("-",CH1699)+1)-FIND("-",CH1699)-1))),""))</f>
        <v/>
      </c>
      <c r="CO1699">
        <f>IF(CH1699="","",IFERROR(IF(AND(LEN(CH1699)=9,ISERROR(FIND("-",LEFT(CH1699,8))),ISNUMBER(-LEFT(CH1699,8))),VALUE(MID(CH1699,7,2)),VALUE(MID(CH1699,FIND("-",CH1699,FIND("-",CH1699)+1)+1,FIND("-",CH1699,FIND("-",CH1699,FIND("-",CH1699)+1)+1)-FIND("-",CH1699,FIND("-",CH1699)+1)-1))),""))</f>
        <v/>
      </c>
    </row>
    <row r="1700">
      <c r="CH1700">
        <f>IF(ISTEXT('월 가계부'!A1700),SUBSTITUTE(SUBSTITUTE(SUBSTITUTE(SUBSTITUTE(SUBSTITUTE(SUBSTITUTE(SUBSTITUTE(SUBSTITUTE(SUBSTITUTE(TRIM('월 가계부'!A1700),"년","-"),"월","-"),"일",""),".","-"),"/","-")," ","-"),"--","-"),"--","-"),"--","-")&amp;"-","")</f>
        <v/>
      </c>
      <c r="CI1700">
        <f>IFERROR(IF('월 가계부'!A1700="","",IF(ISNUMBER('월 가계부'!A1700),IF(AND('월 가계부'!A1700&gt;=19000101,'월 가계부'!A1700&lt;=21001231),IF(AND(MOD(INT('월 가계부'!A1700/100),100)&gt;=1,MOD(INT('월 가계부'!A1700/100),100)&lt;=12,MOD(INT('월 가계부'!A1700),100)&gt;=1,MOD(INT('월 가계부'!A1700),100)&lt;=31),IF(MONTH(DATE(INT('월 가계부'!A1700/10000),MOD(INT('월 가계부'!A1700/100),100),MOD(INT('월 가계부'!A1700),100)))=MOD(INT('월 가계부'!A1700/100),100),DATE(INT('월 가계부'!A1700/10000),MOD(INT('월 가계부'!A1700/100),100),MOD(INT('월 가계부'!A1700),100)),""),""),IF(AND('월 가계부'!A1700&gt;=36526,'월 가계부'!A1700&lt;73051),INT('월 가계부'!A1700),"")),IF(OR(CM1700="",CN1700="",CO1700=""),"",IF(AND(CM1700&gt;=2000,CM1700&lt;=2099,CN1700&gt;=1,CN1700&lt;=12,CO1700&gt;=1,CO1700&lt;=31),IF(MONTH(DATE(CM1700,CN1700,CO1700))=CN1700,DATE(CM1700,CN1700,CO1700),""),"")))),"")</f>
        <v/>
      </c>
      <c r="CJ1700">
        <f>IFERROR(IF('월 가계부'!C1700="","",IF(ISNUMBER('월 가계부'!C1700),'월 가계부'!C1700,VALUE(SUBSTITUTE(SUBSTITUTE(SUBSTITUTE(SUBSTITUTE(TRIM('월 가계부'!C1700),",",""),"원","")," ",""),"−","-")))),"")</f>
        <v/>
      </c>
      <c r="CK1700">
        <f>IF(ISNUMBER(CI1700),IF(CI1700&lt;$B$13,CI1700,""),"")</f>
        <v/>
      </c>
      <c r="CM1700">
        <f>IF(CH1700="","",IFERROR(IF(IF(AND(LEN(CH1700)=9,ISERROR(FIND("-",LEFT(CH1700,8))),ISNUMBER(-LEFT(CH1700,8))),VALUE(LEFT(CH1700,4)),VALUE(LEFT(CH1700,FIND("-",CH1700)-1)))&lt;100,IF(AND(LEN(CH1700)=9,ISERROR(FIND("-",LEFT(CH1700,8))),ISNUMBER(-LEFT(CH1700,8))),VALUE(LEFT(CH1700,4)),VALUE(LEFT(CH1700,FIND("-",CH1700)-1)))+2000,IF(AND(LEN(CH1700)=9,ISERROR(FIND("-",LEFT(CH1700,8))),ISNUMBER(-LEFT(CH1700,8))),VALUE(LEFT(CH1700,4)),VALUE(LEFT(CH1700,FIND("-",CH1700)-1)))),""))</f>
        <v/>
      </c>
      <c r="CN1700">
        <f>IF(CH1700="","",IFERROR(IF(AND(LEN(CH1700)=9,ISERROR(FIND("-",LEFT(CH1700,8))),ISNUMBER(-LEFT(CH1700,8))),VALUE(MID(CH1700,5,2)),VALUE(MID(CH1700,FIND("-",CH1700)+1,FIND("-",CH1700,FIND("-",CH1700)+1)-FIND("-",CH1700)-1))),""))</f>
        <v/>
      </c>
      <c r="CO1700">
        <f>IF(CH1700="","",IFERROR(IF(AND(LEN(CH1700)=9,ISERROR(FIND("-",LEFT(CH1700,8))),ISNUMBER(-LEFT(CH1700,8))),VALUE(MID(CH1700,7,2)),VALUE(MID(CH1700,FIND("-",CH1700,FIND("-",CH1700)+1)+1,FIND("-",CH1700,FIND("-",CH1700,FIND("-",CH1700)+1)+1)-FIND("-",CH1700,FIND("-",CH1700)+1)-1))),""))</f>
        <v/>
      </c>
    </row>
    <row r="1701">
      <c r="CH1701">
        <f>IF(ISTEXT('월 가계부'!A1701),SUBSTITUTE(SUBSTITUTE(SUBSTITUTE(SUBSTITUTE(SUBSTITUTE(SUBSTITUTE(SUBSTITUTE(SUBSTITUTE(SUBSTITUTE(TRIM('월 가계부'!A1701),"년","-"),"월","-"),"일",""),".","-"),"/","-")," ","-"),"--","-"),"--","-"),"--","-")&amp;"-","")</f>
        <v/>
      </c>
      <c r="CI1701">
        <f>IFERROR(IF('월 가계부'!A1701="","",IF(ISNUMBER('월 가계부'!A1701),IF(AND('월 가계부'!A1701&gt;=19000101,'월 가계부'!A1701&lt;=21001231),IF(AND(MOD(INT('월 가계부'!A1701/100),100)&gt;=1,MOD(INT('월 가계부'!A1701/100),100)&lt;=12,MOD(INT('월 가계부'!A1701),100)&gt;=1,MOD(INT('월 가계부'!A1701),100)&lt;=31),IF(MONTH(DATE(INT('월 가계부'!A1701/10000),MOD(INT('월 가계부'!A1701/100),100),MOD(INT('월 가계부'!A1701),100)))=MOD(INT('월 가계부'!A1701/100),100),DATE(INT('월 가계부'!A1701/10000),MOD(INT('월 가계부'!A1701/100),100),MOD(INT('월 가계부'!A1701),100)),""),""),IF(AND('월 가계부'!A1701&gt;=36526,'월 가계부'!A1701&lt;73051),INT('월 가계부'!A1701),"")),IF(OR(CM1701="",CN1701="",CO1701=""),"",IF(AND(CM1701&gt;=2000,CM1701&lt;=2099,CN1701&gt;=1,CN1701&lt;=12,CO1701&gt;=1,CO1701&lt;=31),IF(MONTH(DATE(CM1701,CN1701,CO1701))=CN1701,DATE(CM1701,CN1701,CO1701),""),"")))),"")</f>
        <v/>
      </c>
      <c r="CJ1701">
        <f>IFERROR(IF('월 가계부'!C1701="","",IF(ISNUMBER('월 가계부'!C1701),'월 가계부'!C1701,VALUE(SUBSTITUTE(SUBSTITUTE(SUBSTITUTE(SUBSTITUTE(TRIM('월 가계부'!C1701),",",""),"원","")," ",""),"−","-")))),"")</f>
        <v/>
      </c>
      <c r="CK1701">
        <f>IF(ISNUMBER(CI1701),IF(CI1701&lt;$B$13,CI1701,""),"")</f>
        <v/>
      </c>
      <c r="CM1701">
        <f>IF(CH1701="","",IFERROR(IF(IF(AND(LEN(CH1701)=9,ISERROR(FIND("-",LEFT(CH1701,8))),ISNUMBER(-LEFT(CH1701,8))),VALUE(LEFT(CH1701,4)),VALUE(LEFT(CH1701,FIND("-",CH1701)-1)))&lt;100,IF(AND(LEN(CH1701)=9,ISERROR(FIND("-",LEFT(CH1701,8))),ISNUMBER(-LEFT(CH1701,8))),VALUE(LEFT(CH1701,4)),VALUE(LEFT(CH1701,FIND("-",CH1701)-1)))+2000,IF(AND(LEN(CH1701)=9,ISERROR(FIND("-",LEFT(CH1701,8))),ISNUMBER(-LEFT(CH1701,8))),VALUE(LEFT(CH1701,4)),VALUE(LEFT(CH1701,FIND("-",CH1701)-1)))),""))</f>
        <v/>
      </c>
      <c r="CN1701">
        <f>IF(CH1701="","",IFERROR(IF(AND(LEN(CH1701)=9,ISERROR(FIND("-",LEFT(CH1701,8))),ISNUMBER(-LEFT(CH1701,8))),VALUE(MID(CH1701,5,2)),VALUE(MID(CH1701,FIND("-",CH1701)+1,FIND("-",CH1701,FIND("-",CH1701)+1)-FIND("-",CH1701)-1))),""))</f>
        <v/>
      </c>
      <c r="CO1701">
        <f>IF(CH1701="","",IFERROR(IF(AND(LEN(CH1701)=9,ISERROR(FIND("-",LEFT(CH1701,8))),ISNUMBER(-LEFT(CH1701,8))),VALUE(MID(CH1701,7,2)),VALUE(MID(CH1701,FIND("-",CH1701,FIND("-",CH1701)+1)+1,FIND("-",CH1701,FIND("-",CH1701,FIND("-",CH1701)+1)+1)-FIND("-",CH1701,FIND("-",CH1701)+1)-1))),""))</f>
        <v/>
      </c>
    </row>
    <row r="1702">
      <c r="CH1702">
        <f>IF(ISTEXT('월 가계부'!A1702),SUBSTITUTE(SUBSTITUTE(SUBSTITUTE(SUBSTITUTE(SUBSTITUTE(SUBSTITUTE(SUBSTITUTE(SUBSTITUTE(SUBSTITUTE(TRIM('월 가계부'!A1702),"년","-"),"월","-"),"일",""),".","-"),"/","-")," ","-"),"--","-"),"--","-"),"--","-")&amp;"-","")</f>
        <v/>
      </c>
      <c r="CI1702">
        <f>IFERROR(IF('월 가계부'!A1702="","",IF(ISNUMBER('월 가계부'!A1702),IF(AND('월 가계부'!A1702&gt;=19000101,'월 가계부'!A1702&lt;=21001231),IF(AND(MOD(INT('월 가계부'!A1702/100),100)&gt;=1,MOD(INT('월 가계부'!A1702/100),100)&lt;=12,MOD(INT('월 가계부'!A1702),100)&gt;=1,MOD(INT('월 가계부'!A1702),100)&lt;=31),IF(MONTH(DATE(INT('월 가계부'!A1702/10000),MOD(INT('월 가계부'!A1702/100),100),MOD(INT('월 가계부'!A1702),100)))=MOD(INT('월 가계부'!A1702/100),100),DATE(INT('월 가계부'!A1702/10000),MOD(INT('월 가계부'!A1702/100),100),MOD(INT('월 가계부'!A1702),100)),""),""),IF(AND('월 가계부'!A1702&gt;=36526,'월 가계부'!A1702&lt;73051),INT('월 가계부'!A1702),"")),IF(OR(CM1702="",CN1702="",CO1702=""),"",IF(AND(CM1702&gt;=2000,CM1702&lt;=2099,CN1702&gt;=1,CN1702&lt;=12,CO1702&gt;=1,CO1702&lt;=31),IF(MONTH(DATE(CM1702,CN1702,CO1702))=CN1702,DATE(CM1702,CN1702,CO1702),""),"")))),"")</f>
        <v/>
      </c>
      <c r="CJ1702">
        <f>IFERROR(IF('월 가계부'!C1702="","",IF(ISNUMBER('월 가계부'!C1702),'월 가계부'!C1702,VALUE(SUBSTITUTE(SUBSTITUTE(SUBSTITUTE(SUBSTITUTE(TRIM('월 가계부'!C1702),",",""),"원","")," ",""),"−","-")))),"")</f>
        <v/>
      </c>
      <c r="CK1702">
        <f>IF(ISNUMBER(CI1702),IF(CI1702&lt;$B$13,CI1702,""),"")</f>
        <v/>
      </c>
      <c r="CM1702">
        <f>IF(CH1702="","",IFERROR(IF(IF(AND(LEN(CH1702)=9,ISERROR(FIND("-",LEFT(CH1702,8))),ISNUMBER(-LEFT(CH1702,8))),VALUE(LEFT(CH1702,4)),VALUE(LEFT(CH1702,FIND("-",CH1702)-1)))&lt;100,IF(AND(LEN(CH1702)=9,ISERROR(FIND("-",LEFT(CH1702,8))),ISNUMBER(-LEFT(CH1702,8))),VALUE(LEFT(CH1702,4)),VALUE(LEFT(CH1702,FIND("-",CH1702)-1)))+2000,IF(AND(LEN(CH1702)=9,ISERROR(FIND("-",LEFT(CH1702,8))),ISNUMBER(-LEFT(CH1702,8))),VALUE(LEFT(CH1702,4)),VALUE(LEFT(CH1702,FIND("-",CH1702)-1)))),""))</f>
        <v/>
      </c>
      <c r="CN1702">
        <f>IF(CH1702="","",IFERROR(IF(AND(LEN(CH1702)=9,ISERROR(FIND("-",LEFT(CH1702,8))),ISNUMBER(-LEFT(CH1702,8))),VALUE(MID(CH1702,5,2)),VALUE(MID(CH1702,FIND("-",CH1702)+1,FIND("-",CH1702,FIND("-",CH1702)+1)-FIND("-",CH1702)-1))),""))</f>
        <v/>
      </c>
      <c r="CO1702">
        <f>IF(CH1702="","",IFERROR(IF(AND(LEN(CH1702)=9,ISERROR(FIND("-",LEFT(CH1702,8))),ISNUMBER(-LEFT(CH1702,8))),VALUE(MID(CH1702,7,2)),VALUE(MID(CH1702,FIND("-",CH1702,FIND("-",CH1702)+1)+1,FIND("-",CH1702,FIND("-",CH1702,FIND("-",CH1702)+1)+1)-FIND("-",CH1702,FIND("-",CH1702)+1)-1))),""))</f>
        <v/>
      </c>
    </row>
    <row r="1703">
      <c r="CH1703">
        <f>IF(ISTEXT('월 가계부'!A1703),SUBSTITUTE(SUBSTITUTE(SUBSTITUTE(SUBSTITUTE(SUBSTITUTE(SUBSTITUTE(SUBSTITUTE(SUBSTITUTE(SUBSTITUTE(TRIM('월 가계부'!A1703),"년","-"),"월","-"),"일",""),".","-"),"/","-")," ","-"),"--","-"),"--","-"),"--","-")&amp;"-","")</f>
        <v/>
      </c>
      <c r="CI1703">
        <f>IFERROR(IF('월 가계부'!A1703="","",IF(ISNUMBER('월 가계부'!A1703),IF(AND('월 가계부'!A1703&gt;=19000101,'월 가계부'!A1703&lt;=21001231),IF(AND(MOD(INT('월 가계부'!A1703/100),100)&gt;=1,MOD(INT('월 가계부'!A1703/100),100)&lt;=12,MOD(INT('월 가계부'!A1703),100)&gt;=1,MOD(INT('월 가계부'!A1703),100)&lt;=31),IF(MONTH(DATE(INT('월 가계부'!A1703/10000),MOD(INT('월 가계부'!A1703/100),100),MOD(INT('월 가계부'!A1703),100)))=MOD(INT('월 가계부'!A1703/100),100),DATE(INT('월 가계부'!A1703/10000),MOD(INT('월 가계부'!A1703/100),100),MOD(INT('월 가계부'!A1703),100)),""),""),IF(AND('월 가계부'!A1703&gt;=36526,'월 가계부'!A1703&lt;73051),INT('월 가계부'!A1703),"")),IF(OR(CM1703="",CN1703="",CO1703=""),"",IF(AND(CM1703&gt;=2000,CM1703&lt;=2099,CN1703&gt;=1,CN1703&lt;=12,CO1703&gt;=1,CO1703&lt;=31),IF(MONTH(DATE(CM1703,CN1703,CO1703))=CN1703,DATE(CM1703,CN1703,CO1703),""),"")))),"")</f>
        <v/>
      </c>
      <c r="CJ1703">
        <f>IFERROR(IF('월 가계부'!C1703="","",IF(ISNUMBER('월 가계부'!C1703),'월 가계부'!C1703,VALUE(SUBSTITUTE(SUBSTITUTE(SUBSTITUTE(SUBSTITUTE(TRIM('월 가계부'!C1703),",",""),"원","")," ",""),"−","-")))),"")</f>
        <v/>
      </c>
      <c r="CK1703">
        <f>IF(ISNUMBER(CI1703),IF(CI1703&lt;$B$13,CI1703,""),"")</f>
        <v/>
      </c>
      <c r="CM1703">
        <f>IF(CH1703="","",IFERROR(IF(IF(AND(LEN(CH1703)=9,ISERROR(FIND("-",LEFT(CH1703,8))),ISNUMBER(-LEFT(CH1703,8))),VALUE(LEFT(CH1703,4)),VALUE(LEFT(CH1703,FIND("-",CH1703)-1)))&lt;100,IF(AND(LEN(CH1703)=9,ISERROR(FIND("-",LEFT(CH1703,8))),ISNUMBER(-LEFT(CH1703,8))),VALUE(LEFT(CH1703,4)),VALUE(LEFT(CH1703,FIND("-",CH1703)-1)))+2000,IF(AND(LEN(CH1703)=9,ISERROR(FIND("-",LEFT(CH1703,8))),ISNUMBER(-LEFT(CH1703,8))),VALUE(LEFT(CH1703,4)),VALUE(LEFT(CH1703,FIND("-",CH1703)-1)))),""))</f>
        <v/>
      </c>
      <c r="CN1703">
        <f>IF(CH1703="","",IFERROR(IF(AND(LEN(CH1703)=9,ISERROR(FIND("-",LEFT(CH1703,8))),ISNUMBER(-LEFT(CH1703,8))),VALUE(MID(CH1703,5,2)),VALUE(MID(CH1703,FIND("-",CH1703)+1,FIND("-",CH1703,FIND("-",CH1703)+1)-FIND("-",CH1703)-1))),""))</f>
        <v/>
      </c>
      <c r="CO1703">
        <f>IF(CH1703="","",IFERROR(IF(AND(LEN(CH1703)=9,ISERROR(FIND("-",LEFT(CH1703,8))),ISNUMBER(-LEFT(CH1703,8))),VALUE(MID(CH1703,7,2)),VALUE(MID(CH1703,FIND("-",CH1703,FIND("-",CH1703)+1)+1,FIND("-",CH1703,FIND("-",CH1703,FIND("-",CH1703)+1)+1)-FIND("-",CH1703,FIND("-",CH1703)+1)-1))),""))</f>
        <v/>
      </c>
    </row>
    <row r="1704">
      <c r="CH1704">
        <f>IF(ISTEXT('월 가계부'!A1704),SUBSTITUTE(SUBSTITUTE(SUBSTITUTE(SUBSTITUTE(SUBSTITUTE(SUBSTITUTE(SUBSTITUTE(SUBSTITUTE(SUBSTITUTE(TRIM('월 가계부'!A1704),"년","-"),"월","-"),"일",""),".","-"),"/","-")," ","-"),"--","-"),"--","-"),"--","-")&amp;"-","")</f>
        <v/>
      </c>
      <c r="CI1704">
        <f>IFERROR(IF('월 가계부'!A1704="","",IF(ISNUMBER('월 가계부'!A1704),IF(AND('월 가계부'!A1704&gt;=19000101,'월 가계부'!A1704&lt;=21001231),IF(AND(MOD(INT('월 가계부'!A1704/100),100)&gt;=1,MOD(INT('월 가계부'!A1704/100),100)&lt;=12,MOD(INT('월 가계부'!A1704),100)&gt;=1,MOD(INT('월 가계부'!A1704),100)&lt;=31),IF(MONTH(DATE(INT('월 가계부'!A1704/10000),MOD(INT('월 가계부'!A1704/100),100),MOD(INT('월 가계부'!A1704),100)))=MOD(INT('월 가계부'!A1704/100),100),DATE(INT('월 가계부'!A1704/10000),MOD(INT('월 가계부'!A1704/100),100),MOD(INT('월 가계부'!A1704),100)),""),""),IF(AND('월 가계부'!A1704&gt;=36526,'월 가계부'!A1704&lt;73051),INT('월 가계부'!A1704),"")),IF(OR(CM1704="",CN1704="",CO1704=""),"",IF(AND(CM1704&gt;=2000,CM1704&lt;=2099,CN1704&gt;=1,CN1704&lt;=12,CO1704&gt;=1,CO1704&lt;=31),IF(MONTH(DATE(CM1704,CN1704,CO1704))=CN1704,DATE(CM1704,CN1704,CO1704),""),"")))),"")</f>
        <v/>
      </c>
      <c r="CJ1704">
        <f>IFERROR(IF('월 가계부'!C1704="","",IF(ISNUMBER('월 가계부'!C1704),'월 가계부'!C1704,VALUE(SUBSTITUTE(SUBSTITUTE(SUBSTITUTE(SUBSTITUTE(TRIM('월 가계부'!C1704),",",""),"원","")," ",""),"−","-")))),"")</f>
        <v/>
      </c>
      <c r="CK1704">
        <f>IF(ISNUMBER(CI1704),IF(CI1704&lt;$B$13,CI1704,""),"")</f>
        <v/>
      </c>
      <c r="CM1704">
        <f>IF(CH1704="","",IFERROR(IF(IF(AND(LEN(CH1704)=9,ISERROR(FIND("-",LEFT(CH1704,8))),ISNUMBER(-LEFT(CH1704,8))),VALUE(LEFT(CH1704,4)),VALUE(LEFT(CH1704,FIND("-",CH1704)-1)))&lt;100,IF(AND(LEN(CH1704)=9,ISERROR(FIND("-",LEFT(CH1704,8))),ISNUMBER(-LEFT(CH1704,8))),VALUE(LEFT(CH1704,4)),VALUE(LEFT(CH1704,FIND("-",CH1704)-1)))+2000,IF(AND(LEN(CH1704)=9,ISERROR(FIND("-",LEFT(CH1704,8))),ISNUMBER(-LEFT(CH1704,8))),VALUE(LEFT(CH1704,4)),VALUE(LEFT(CH1704,FIND("-",CH1704)-1)))),""))</f>
        <v/>
      </c>
      <c r="CN1704">
        <f>IF(CH1704="","",IFERROR(IF(AND(LEN(CH1704)=9,ISERROR(FIND("-",LEFT(CH1704,8))),ISNUMBER(-LEFT(CH1704,8))),VALUE(MID(CH1704,5,2)),VALUE(MID(CH1704,FIND("-",CH1704)+1,FIND("-",CH1704,FIND("-",CH1704)+1)-FIND("-",CH1704)-1))),""))</f>
        <v/>
      </c>
      <c r="CO1704">
        <f>IF(CH1704="","",IFERROR(IF(AND(LEN(CH1704)=9,ISERROR(FIND("-",LEFT(CH1704,8))),ISNUMBER(-LEFT(CH1704,8))),VALUE(MID(CH1704,7,2)),VALUE(MID(CH1704,FIND("-",CH1704,FIND("-",CH1704)+1)+1,FIND("-",CH1704,FIND("-",CH1704,FIND("-",CH1704)+1)+1)-FIND("-",CH1704,FIND("-",CH1704)+1)-1))),""))</f>
        <v/>
      </c>
    </row>
    <row r="1705">
      <c r="CH1705">
        <f>IF(ISTEXT('월 가계부'!A1705),SUBSTITUTE(SUBSTITUTE(SUBSTITUTE(SUBSTITUTE(SUBSTITUTE(SUBSTITUTE(SUBSTITUTE(SUBSTITUTE(SUBSTITUTE(TRIM('월 가계부'!A1705),"년","-"),"월","-"),"일",""),".","-"),"/","-")," ","-"),"--","-"),"--","-"),"--","-")&amp;"-","")</f>
        <v/>
      </c>
      <c r="CI1705">
        <f>IFERROR(IF('월 가계부'!A1705="","",IF(ISNUMBER('월 가계부'!A1705),IF(AND('월 가계부'!A1705&gt;=19000101,'월 가계부'!A1705&lt;=21001231),IF(AND(MOD(INT('월 가계부'!A1705/100),100)&gt;=1,MOD(INT('월 가계부'!A1705/100),100)&lt;=12,MOD(INT('월 가계부'!A1705),100)&gt;=1,MOD(INT('월 가계부'!A1705),100)&lt;=31),IF(MONTH(DATE(INT('월 가계부'!A1705/10000),MOD(INT('월 가계부'!A1705/100),100),MOD(INT('월 가계부'!A1705),100)))=MOD(INT('월 가계부'!A1705/100),100),DATE(INT('월 가계부'!A1705/10000),MOD(INT('월 가계부'!A1705/100),100),MOD(INT('월 가계부'!A1705),100)),""),""),IF(AND('월 가계부'!A1705&gt;=36526,'월 가계부'!A1705&lt;73051),INT('월 가계부'!A1705),"")),IF(OR(CM1705="",CN1705="",CO1705=""),"",IF(AND(CM1705&gt;=2000,CM1705&lt;=2099,CN1705&gt;=1,CN1705&lt;=12,CO1705&gt;=1,CO1705&lt;=31),IF(MONTH(DATE(CM1705,CN1705,CO1705))=CN1705,DATE(CM1705,CN1705,CO1705),""),"")))),"")</f>
        <v/>
      </c>
      <c r="CJ1705">
        <f>IFERROR(IF('월 가계부'!C1705="","",IF(ISNUMBER('월 가계부'!C1705),'월 가계부'!C1705,VALUE(SUBSTITUTE(SUBSTITUTE(SUBSTITUTE(SUBSTITUTE(TRIM('월 가계부'!C1705),",",""),"원","")," ",""),"−","-")))),"")</f>
        <v/>
      </c>
      <c r="CK1705">
        <f>IF(ISNUMBER(CI1705),IF(CI1705&lt;$B$13,CI1705,""),"")</f>
        <v/>
      </c>
      <c r="CM1705">
        <f>IF(CH1705="","",IFERROR(IF(IF(AND(LEN(CH1705)=9,ISERROR(FIND("-",LEFT(CH1705,8))),ISNUMBER(-LEFT(CH1705,8))),VALUE(LEFT(CH1705,4)),VALUE(LEFT(CH1705,FIND("-",CH1705)-1)))&lt;100,IF(AND(LEN(CH1705)=9,ISERROR(FIND("-",LEFT(CH1705,8))),ISNUMBER(-LEFT(CH1705,8))),VALUE(LEFT(CH1705,4)),VALUE(LEFT(CH1705,FIND("-",CH1705)-1)))+2000,IF(AND(LEN(CH1705)=9,ISERROR(FIND("-",LEFT(CH1705,8))),ISNUMBER(-LEFT(CH1705,8))),VALUE(LEFT(CH1705,4)),VALUE(LEFT(CH1705,FIND("-",CH1705)-1)))),""))</f>
        <v/>
      </c>
      <c r="CN1705">
        <f>IF(CH1705="","",IFERROR(IF(AND(LEN(CH1705)=9,ISERROR(FIND("-",LEFT(CH1705,8))),ISNUMBER(-LEFT(CH1705,8))),VALUE(MID(CH1705,5,2)),VALUE(MID(CH1705,FIND("-",CH1705)+1,FIND("-",CH1705,FIND("-",CH1705)+1)-FIND("-",CH1705)-1))),""))</f>
        <v/>
      </c>
      <c r="CO1705">
        <f>IF(CH1705="","",IFERROR(IF(AND(LEN(CH1705)=9,ISERROR(FIND("-",LEFT(CH1705,8))),ISNUMBER(-LEFT(CH1705,8))),VALUE(MID(CH1705,7,2)),VALUE(MID(CH1705,FIND("-",CH1705,FIND("-",CH1705)+1)+1,FIND("-",CH1705,FIND("-",CH1705,FIND("-",CH1705)+1)+1)-FIND("-",CH1705,FIND("-",CH1705)+1)-1))),""))</f>
        <v/>
      </c>
    </row>
    <row r="1706">
      <c r="CH1706">
        <f>IF(ISTEXT('월 가계부'!A1706),SUBSTITUTE(SUBSTITUTE(SUBSTITUTE(SUBSTITUTE(SUBSTITUTE(SUBSTITUTE(SUBSTITUTE(SUBSTITUTE(SUBSTITUTE(TRIM('월 가계부'!A1706),"년","-"),"월","-"),"일",""),".","-"),"/","-")," ","-"),"--","-"),"--","-"),"--","-")&amp;"-","")</f>
        <v/>
      </c>
      <c r="CI1706">
        <f>IFERROR(IF('월 가계부'!A1706="","",IF(ISNUMBER('월 가계부'!A1706),IF(AND('월 가계부'!A1706&gt;=19000101,'월 가계부'!A1706&lt;=21001231),IF(AND(MOD(INT('월 가계부'!A1706/100),100)&gt;=1,MOD(INT('월 가계부'!A1706/100),100)&lt;=12,MOD(INT('월 가계부'!A1706),100)&gt;=1,MOD(INT('월 가계부'!A1706),100)&lt;=31),IF(MONTH(DATE(INT('월 가계부'!A1706/10000),MOD(INT('월 가계부'!A1706/100),100),MOD(INT('월 가계부'!A1706),100)))=MOD(INT('월 가계부'!A1706/100),100),DATE(INT('월 가계부'!A1706/10000),MOD(INT('월 가계부'!A1706/100),100),MOD(INT('월 가계부'!A1706),100)),""),""),IF(AND('월 가계부'!A1706&gt;=36526,'월 가계부'!A1706&lt;73051),INT('월 가계부'!A1706),"")),IF(OR(CM1706="",CN1706="",CO1706=""),"",IF(AND(CM1706&gt;=2000,CM1706&lt;=2099,CN1706&gt;=1,CN1706&lt;=12,CO1706&gt;=1,CO1706&lt;=31),IF(MONTH(DATE(CM1706,CN1706,CO1706))=CN1706,DATE(CM1706,CN1706,CO1706),""),"")))),"")</f>
        <v/>
      </c>
      <c r="CJ1706">
        <f>IFERROR(IF('월 가계부'!C1706="","",IF(ISNUMBER('월 가계부'!C1706),'월 가계부'!C1706,VALUE(SUBSTITUTE(SUBSTITUTE(SUBSTITUTE(SUBSTITUTE(TRIM('월 가계부'!C1706),",",""),"원","")," ",""),"−","-")))),"")</f>
        <v/>
      </c>
      <c r="CK1706">
        <f>IF(ISNUMBER(CI1706),IF(CI1706&lt;$B$13,CI1706,""),"")</f>
        <v/>
      </c>
      <c r="CM1706">
        <f>IF(CH1706="","",IFERROR(IF(IF(AND(LEN(CH1706)=9,ISERROR(FIND("-",LEFT(CH1706,8))),ISNUMBER(-LEFT(CH1706,8))),VALUE(LEFT(CH1706,4)),VALUE(LEFT(CH1706,FIND("-",CH1706)-1)))&lt;100,IF(AND(LEN(CH1706)=9,ISERROR(FIND("-",LEFT(CH1706,8))),ISNUMBER(-LEFT(CH1706,8))),VALUE(LEFT(CH1706,4)),VALUE(LEFT(CH1706,FIND("-",CH1706)-1)))+2000,IF(AND(LEN(CH1706)=9,ISERROR(FIND("-",LEFT(CH1706,8))),ISNUMBER(-LEFT(CH1706,8))),VALUE(LEFT(CH1706,4)),VALUE(LEFT(CH1706,FIND("-",CH1706)-1)))),""))</f>
        <v/>
      </c>
      <c r="CN1706">
        <f>IF(CH1706="","",IFERROR(IF(AND(LEN(CH1706)=9,ISERROR(FIND("-",LEFT(CH1706,8))),ISNUMBER(-LEFT(CH1706,8))),VALUE(MID(CH1706,5,2)),VALUE(MID(CH1706,FIND("-",CH1706)+1,FIND("-",CH1706,FIND("-",CH1706)+1)-FIND("-",CH1706)-1))),""))</f>
        <v/>
      </c>
      <c r="CO1706">
        <f>IF(CH1706="","",IFERROR(IF(AND(LEN(CH1706)=9,ISERROR(FIND("-",LEFT(CH1706,8))),ISNUMBER(-LEFT(CH1706,8))),VALUE(MID(CH1706,7,2)),VALUE(MID(CH1706,FIND("-",CH1706,FIND("-",CH1706)+1)+1,FIND("-",CH1706,FIND("-",CH1706,FIND("-",CH1706)+1)+1)-FIND("-",CH1706,FIND("-",CH1706)+1)-1))),""))</f>
        <v/>
      </c>
    </row>
    <row r="1707">
      <c r="CH1707">
        <f>IF(ISTEXT('월 가계부'!A1707),SUBSTITUTE(SUBSTITUTE(SUBSTITUTE(SUBSTITUTE(SUBSTITUTE(SUBSTITUTE(SUBSTITUTE(SUBSTITUTE(SUBSTITUTE(TRIM('월 가계부'!A1707),"년","-"),"월","-"),"일",""),".","-"),"/","-")," ","-"),"--","-"),"--","-"),"--","-")&amp;"-","")</f>
        <v/>
      </c>
      <c r="CI1707">
        <f>IFERROR(IF('월 가계부'!A1707="","",IF(ISNUMBER('월 가계부'!A1707),IF(AND('월 가계부'!A1707&gt;=19000101,'월 가계부'!A1707&lt;=21001231),IF(AND(MOD(INT('월 가계부'!A1707/100),100)&gt;=1,MOD(INT('월 가계부'!A1707/100),100)&lt;=12,MOD(INT('월 가계부'!A1707),100)&gt;=1,MOD(INT('월 가계부'!A1707),100)&lt;=31),IF(MONTH(DATE(INT('월 가계부'!A1707/10000),MOD(INT('월 가계부'!A1707/100),100),MOD(INT('월 가계부'!A1707),100)))=MOD(INT('월 가계부'!A1707/100),100),DATE(INT('월 가계부'!A1707/10000),MOD(INT('월 가계부'!A1707/100),100),MOD(INT('월 가계부'!A1707),100)),""),""),IF(AND('월 가계부'!A1707&gt;=36526,'월 가계부'!A1707&lt;73051),INT('월 가계부'!A1707),"")),IF(OR(CM1707="",CN1707="",CO1707=""),"",IF(AND(CM1707&gt;=2000,CM1707&lt;=2099,CN1707&gt;=1,CN1707&lt;=12,CO1707&gt;=1,CO1707&lt;=31),IF(MONTH(DATE(CM1707,CN1707,CO1707))=CN1707,DATE(CM1707,CN1707,CO1707),""),"")))),"")</f>
        <v/>
      </c>
      <c r="CJ1707">
        <f>IFERROR(IF('월 가계부'!C1707="","",IF(ISNUMBER('월 가계부'!C1707),'월 가계부'!C1707,VALUE(SUBSTITUTE(SUBSTITUTE(SUBSTITUTE(SUBSTITUTE(TRIM('월 가계부'!C1707),",",""),"원","")," ",""),"−","-")))),"")</f>
        <v/>
      </c>
      <c r="CK1707">
        <f>IF(ISNUMBER(CI1707),IF(CI1707&lt;$B$13,CI1707,""),"")</f>
        <v/>
      </c>
      <c r="CM1707">
        <f>IF(CH1707="","",IFERROR(IF(IF(AND(LEN(CH1707)=9,ISERROR(FIND("-",LEFT(CH1707,8))),ISNUMBER(-LEFT(CH1707,8))),VALUE(LEFT(CH1707,4)),VALUE(LEFT(CH1707,FIND("-",CH1707)-1)))&lt;100,IF(AND(LEN(CH1707)=9,ISERROR(FIND("-",LEFT(CH1707,8))),ISNUMBER(-LEFT(CH1707,8))),VALUE(LEFT(CH1707,4)),VALUE(LEFT(CH1707,FIND("-",CH1707)-1)))+2000,IF(AND(LEN(CH1707)=9,ISERROR(FIND("-",LEFT(CH1707,8))),ISNUMBER(-LEFT(CH1707,8))),VALUE(LEFT(CH1707,4)),VALUE(LEFT(CH1707,FIND("-",CH1707)-1)))),""))</f>
        <v/>
      </c>
      <c r="CN1707">
        <f>IF(CH1707="","",IFERROR(IF(AND(LEN(CH1707)=9,ISERROR(FIND("-",LEFT(CH1707,8))),ISNUMBER(-LEFT(CH1707,8))),VALUE(MID(CH1707,5,2)),VALUE(MID(CH1707,FIND("-",CH1707)+1,FIND("-",CH1707,FIND("-",CH1707)+1)-FIND("-",CH1707)-1))),""))</f>
        <v/>
      </c>
      <c r="CO1707">
        <f>IF(CH1707="","",IFERROR(IF(AND(LEN(CH1707)=9,ISERROR(FIND("-",LEFT(CH1707,8))),ISNUMBER(-LEFT(CH1707,8))),VALUE(MID(CH1707,7,2)),VALUE(MID(CH1707,FIND("-",CH1707,FIND("-",CH1707)+1)+1,FIND("-",CH1707,FIND("-",CH1707,FIND("-",CH1707)+1)+1)-FIND("-",CH1707,FIND("-",CH1707)+1)-1))),""))</f>
        <v/>
      </c>
    </row>
    <row r="1708">
      <c r="CH1708">
        <f>IF(ISTEXT('월 가계부'!A1708),SUBSTITUTE(SUBSTITUTE(SUBSTITUTE(SUBSTITUTE(SUBSTITUTE(SUBSTITUTE(SUBSTITUTE(SUBSTITUTE(SUBSTITUTE(TRIM('월 가계부'!A1708),"년","-"),"월","-"),"일",""),".","-"),"/","-")," ","-"),"--","-"),"--","-"),"--","-")&amp;"-","")</f>
        <v/>
      </c>
      <c r="CI1708">
        <f>IFERROR(IF('월 가계부'!A1708="","",IF(ISNUMBER('월 가계부'!A1708),IF(AND('월 가계부'!A1708&gt;=19000101,'월 가계부'!A1708&lt;=21001231),IF(AND(MOD(INT('월 가계부'!A1708/100),100)&gt;=1,MOD(INT('월 가계부'!A1708/100),100)&lt;=12,MOD(INT('월 가계부'!A1708),100)&gt;=1,MOD(INT('월 가계부'!A1708),100)&lt;=31),IF(MONTH(DATE(INT('월 가계부'!A1708/10000),MOD(INT('월 가계부'!A1708/100),100),MOD(INT('월 가계부'!A1708),100)))=MOD(INT('월 가계부'!A1708/100),100),DATE(INT('월 가계부'!A1708/10000),MOD(INT('월 가계부'!A1708/100),100),MOD(INT('월 가계부'!A1708),100)),""),""),IF(AND('월 가계부'!A1708&gt;=36526,'월 가계부'!A1708&lt;73051),INT('월 가계부'!A1708),"")),IF(OR(CM1708="",CN1708="",CO1708=""),"",IF(AND(CM1708&gt;=2000,CM1708&lt;=2099,CN1708&gt;=1,CN1708&lt;=12,CO1708&gt;=1,CO1708&lt;=31),IF(MONTH(DATE(CM1708,CN1708,CO1708))=CN1708,DATE(CM1708,CN1708,CO1708),""),"")))),"")</f>
        <v/>
      </c>
      <c r="CJ1708">
        <f>IFERROR(IF('월 가계부'!C1708="","",IF(ISNUMBER('월 가계부'!C1708),'월 가계부'!C1708,VALUE(SUBSTITUTE(SUBSTITUTE(SUBSTITUTE(SUBSTITUTE(TRIM('월 가계부'!C1708),",",""),"원","")," ",""),"−","-")))),"")</f>
        <v/>
      </c>
      <c r="CK1708">
        <f>IF(ISNUMBER(CI1708),IF(CI1708&lt;$B$13,CI1708,""),"")</f>
        <v/>
      </c>
      <c r="CM1708">
        <f>IF(CH1708="","",IFERROR(IF(IF(AND(LEN(CH1708)=9,ISERROR(FIND("-",LEFT(CH1708,8))),ISNUMBER(-LEFT(CH1708,8))),VALUE(LEFT(CH1708,4)),VALUE(LEFT(CH1708,FIND("-",CH1708)-1)))&lt;100,IF(AND(LEN(CH1708)=9,ISERROR(FIND("-",LEFT(CH1708,8))),ISNUMBER(-LEFT(CH1708,8))),VALUE(LEFT(CH1708,4)),VALUE(LEFT(CH1708,FIND("-",CH1708)-1)))+2000,IF(AND(LEN(CH1708)=9,ISERROR(FIND("-",LEFT(CH1708,8))),ISNUMBER(-LEFT(CH1708,8))),VALUE(LEFT(CH1708,4)),VALUE(LEFT(CH1708,FIND("-",CH1708)-1)))),""))</f>
        <v/>
      </c>
      <c r="CN1708">
        <f>IF(CH1708="","",IFERROR(IF(AND(LEN(CH1708)=9,ISERROR(FIND("-",LEFT(CH1708,8))),ISNUMBER(-LEFT(CH1708,8))),VALUE(MID(CH1708,5,2)),VALUE(MID(CH1708,FIND("-",CH1708)+1,FIND("-",CH1708,FIND("-",CH1708)+1)-FIND("-",CH1708)-1))),""))</f>
        <v/>
      </c>
      <c r="CO1708">
        <f>IF(CH1708="","",IFERROR(IF(AND(LEN(CH1708)=9,ISERROR(FIND("-",LEFT(CH1708,8))),ISNUMBER(-LEFT(CH1708,8))),VALUE(MID(CH1708,7,2)),VALUE(MID(CH1708,FIND("-",CH1708,FIND("-",CH1708)+1)+1,FIND("-",CH1708,FIND("-",CH1708,FIND("-",CH1708)+1)+1)-FIND("-",CH1708,FIND("-",CH1708)+1)-1))),""))</f>
        <v/>
      </c>
    </row>
    <row r="1709">
      <c r="CH1709">
        <f>IF(ISTEXT('월 가계부'!A1709),SUBSTITUTE(SUBSTITUTE(SUBSTITUTE(SUBSTITUTE(SUBSTITUTE(SUBSTITUTE(SUBSTITUTE(SUBSTITUTE(SUBSTITUTE(TRIM('월 가계부'!A1709),"년","-"),"월","-"),"일",""),".","-"),"/","-")," ","-"),"--","-"),"--","-"),"--","-")&amp;"-","")</f>
        <v/>
      </c>
      <c r="CI1709">
        <f>IFERROR(IF('월 가계부'!A1709="","",IF(ISNUMBER('월 가계부'!A1709),IF(AND('월 가계부'!A1709&gt;=19000101,'월 가계부'!A1709&lt;=21001231),IF(AND(MOD(INT('월 가계부'!A1709/100),100)&gt;=1,MOD(INT('월 가계부'!A1709/100),100)&lt;=12,MOD(INT('월 가계부'!A1709),100)&gt;=1,MOD(INT('월 가계부'!A1709),100)&lt;=31),IF(MONTH(DATE(INT('월 가계부'!A1709/10000),MOD(INT('월 가계부'!A1709/100),100),MOD(INT('월 가계부'!A1709),100)))=MOD(INT('월 가계부'!A1709/100),100),DATE(INT('월 가계부'!A1709/10000),MOD(INT('월 가계부'!A1709/100),100),MOD(INT('월 가계부'!A1709),100)),""),""),IF(AND('월 가계부'!A1709&gt;=36526,'월 가계부'!A1709&lt;73051),INT('월 가계부'!A1709),"")),IF(OR(CM1709="",CN1709="",CO1709=""),"",IF(AND(CM1709&gt;=2000,CM1709&lt;=2099,CN1709&gt;=1,CN1709&lt;=12,CO1709&gt;=1,CO1709&lt;=31),IF(MONTH(DATE(CM1709,CN1709,CO1709))=CN1709,DATE(CM1709,CN1709,CO1709),""),"")))),"")</f>
        <v/>
      </c>
      <c r="CJ1709">
        <f>IFERROR(IF('월 가계부'!C1709="","",IF(ISNUMBER('월 가계부'!C1709),'월 가계부'!C1709,VALUE(SUBSTITUTE(SUBSTITUTE(SUBSTITUTE(SUBSTITUTE(TRIM('월 가계부'!C1709),",",""),"원","")," ",""),"−","-")))),"")</f>
        <v/>
      </c>
      <c r="CK1709">
        <f>IF(ISNUMBER(CI1709),IF(CI1709&lt;$B$13,CI1709,""),"")</f>
        <v/>
      </c>
      <c r="CM1709">
        <f>IF(CH1709="","",IFERROR(IF(IF(AND(LEN(CH1709)=9,ISERROR(FIND("-",LEFT(CH1709,8))),ISNUMBER(-LEFT(CH1709,8))),VALUE(LEFT(CH1709,4)),VALUE(LEFT(CH1709,FIND("-",CH1709)-1)))&lt;100,IF(AND(LEN(CH1709)=9,ISERROR(FIND("-",LEFT(CH1709,8))),ISNUMBER(-LEFT(CH1709,8))),VALUE(LEFT(CH1709,4)),VALUE(LEFT(CH1709,FIND("-",CH1709)-1)))+2000,IF(AND(LEN(CH1709)=9,ISERROR(FIND("-",LEFT(CH1709,8))),ISNUMBER(-LEFT(CH1709,8))),VALUE(LEFT(CH1709,4)),VALUE(LEFT(CH1709,FIND("-",CH1709)-1)))),""))</f>
        <v/>
      </c>
      <c r="CN1709">
        <f>IF(CH1709="","",IFERROR(IF(AND(LEN(CH1709)=9,ISERROR(FIND("-",LEFT(CH1709,8))),ISNUMBER(-LEFT(CH1709,8))),VALUE(MID(CH1709,5,2)),VALUE(MID(CH1709,FIND("-",CH1709)+1,FIND("-",CH1709,FIND("-",CH1709)+1)-FIND("-",CH1709)-1))),""))</f>
        <v/>
      </c>
      <c r="CO1709">
        <f>IF(CH1709="","",IFERROR(IF(AND(LEN(CH1709)=9,ISERROR(FIND("-",LEFT(CH1709,8))),ISNUMBER(-LEFT(CH1709,8))),VALUE(MID(CH1709,7,2)),VALUE(MID(CH1709,FIND("-",CH1709,FIND("-",CH1709)+1)+1,FIND("-",CH1709,FIND("-",CH1709,FIND("-",CH1709)+1)+1)-FIND("-",CH1709,FIND("-",CH1709)+1)-1))),""))</f>
        <v/>
      </c>
    </row>
    <row r="1710">
      <c r="CH1710">
        <f>IF(ISTEXT('월 가계부'!A1710),SUBSTITUTE(SUBSTITUTE(SUBSTITUTE(SUBSTITUTE(SUBSTITUTE(SUBSTITUTE(SUBSTITUTE(SUBSTITUTE(SUBSTITUTE(TRIM('월 가계부'!A1710),"년","-"),"월","-"),"일",""),".","-"),"/","-")," ","-"),"--","-"),"--","-"),"--","-")&amp;"-","")</f>
        <v/>
      </c>
      <c r="CI1710">
        <f>IFERROR(IF('월 가계부'!A1710="","",IF(ISNUMBER('월 가계부'!A1710),IF(AND('월 가계부'!A1710&gt;=19000101,'월 가계부'!A1710&lt;=21001231),IF(AND(MOD(INT('월 가계부'!A1710/100),100)&gt;=1,MOD(INT('월 가계부'!A1710/100),100)&lt;=12,MOD(INT('월 가계부'!A1710),100)&gt;=1,MOD(INT('월 가계부'!A1710),100)&lt;=31),IF(MONTH(DATE(INT('월 가계부'!A1710/10000),MOD(INT('월 가계부'!A1710/100),100),MOD(INT('월 가계부'!A1710),100)))=MOD(INT('월 가계부'!A1710/100),100),DATE(INT('월 가계부'!A1710/10000),MOD(INT('월 가계부'!A1710/100),100),MOD(INT('월 가계부'!A1710),100)),""),""),IF(AND('월 가계부'!A1710&gt;=36526,'월 가계부'!A1710&lt;73051),INT('월 가계부'!A1710),"")),IF(OR(CM1710="",CN1710="",CO1710=""),"",IF(AND(CM1710&gt;=2000,CM1710&lt;=2099,CN1710&gt;=1,CN1710&lt;=12,CO1710&gt;=1,CO1710&lt;=31),IF(MONTH(DATE(CM1710,CN1710,CO1710))=CN1710,DATE(CM1710,CN1710,CO1710),""),"")))),"")</f>
        <v/>
      </c>
      <c r="CJ1710">
        <f>IFERROR(IF('월 가계부'!C1710="","",IF(ISNUMBER('월 가계부'!C1710),'월 가계부'!C1710,VALUE(SUBSTITUTE(SUBSTITUTE(SUBSTITUTE(SUBSTITUTE(TRIM('월 가계부'!C1710),",",""),"원","")," ",""),"−","-")))),"")</f>
        <v/>
      </c>
      <c r="CK1710">
        <f>IF(ISNUMBER(CI1710),IF(CI1710&lt;$B$13,CI1710,""),"")</f>
        <v/>
      </c>
      <c r="CM1710">
        <f>IF(CH1710="","",IFERROR(IF(IF(AND(LEN(CH1710)=9,ISERROR(FIND("-",LEFT(CH1710,8))),ISNUMBER(-LEFT(CH1710,8))),VALUE(LEFT(CH1710,4)),VALUE(LEFT(CH1710,FIND("-",CH1710)-1)))&lt;100,IF(AND(LEN(CH1710)=9,ISERROR(FIND("-",LEFT(CH1710,8))),ISNUMBER(-LEFT(CH1710,8))),VALUE(LEFT(CH1710,4)),VALUE(LEFT(CH1710,FIND("-",CH1710)-1)))+2000,IF(AND(LEN(CH1710)=9,ISERROR(FIND("-",LEFT(CH1710,8))),ISNUMBER(-LEFT(CH1710,8))),VALUE(LEFT(CH1710,4)),VALUE(LEFT(CH1710,FIND("-",CH1710)-1)))),""))</f>
        <v/>
      </c>
      <c r="CN1710">
        <f>IF(CH1710="","",IFERROR(IF(AND(LEN(CH1710)=9,ISERROR(FIND("-",LEFT(CH1710,8))),ISNUMBER(-LEFT(CH1710,8))),VALUE(MID(CH1710,5,2)),VALUE(MID(CH1710,FIND("-",CH1710)+1,FIND("-",CH1710,FIND("-",CH1710)+1)-FIND("-",CH1710)-1))),""))</f>
        <v/>
      </c>
      <c r="CO1710">
        <f>IF(CH1710="","",IFERROR(IF(AND(LEN(CH1710)=9,ISERROR(FIND("-",LEFT(CH1710,8))),ISNUMBER(-LEFT(CH1710,8))),VALUE(MID(CH1710,7,2)),VALUE(MID(CH1710,FIND("-",CH1710,FIND("-",CH1710)+1)+1,FIND("-",CH1710,FIND("-",CH1710,FIND("-",CH1710)+1)+1)-FIND("-",CH1710,FIND("-",CH1710)+1)-1))),""))</f>
        <v/>
      </c>
    </row>
    <row r="1711">
      <c r="CH1711">
        <f>IF(ISTEXT('월 가계부'!A1711),SUBSTITUTE(SUBSTITUTE(SUBSTITUTE(SUBSTITUTE(SUBSTITUTE(SUBSTITUTE(SUBSTITUTE(SUBSTITUTE(SUBSTITUTE(TRIM('월 가계부'!A1711),"년","-"),"월","-"),"일",""),".","-"),"/","-")," ","-"),"--","-"),"--","-"),"--","-")&amp;"-","")</f>
        <v/>
      </c>
      <c r="CI1711">
        <f>IFERROR(IF('월 가계부'!A1711="","",IF(ISNUMBER('월 가계부'!A1711),IF(AND('월 가계부'!A1711&gt;=19000101,'월 가계부'!A1711&lt;=21001231),IF(AND(MOD(INT('월 가계부'!A1711/100),100)&gt;=1,MOD(INT('월 가계부'!A1711/100),100)&lt;=12,MOD(INT('월 가계부'!A1711),100)&gt;=1,MOD(INT('월 가계부'!A1711),100)&lt;=31),IF(MONTH(DATE(INT('월 가계부'!A1711/10000),MOD(INT('월 가계부'!A1711/100),100),MOD(INT('월 가계부'!A1711),100)))=MOD(INT('월 가계부'!A1711/100),100),DATE(INT('월 가계부'!A1711/10000),MOD(INT('월 가계부'!A1711/100),100),MOD(INT('월 가계부'!A1711),100)),""),""),IF(AND('월 가계부'!A1711&gt;=36526,'월 가계부'!A1711&lt;73051),INT('월 가계부'!A1711),"")),IF(OR(CM1711="",CN1711="",CO1711=""),"",IF(AND(CM1711&gt;=2000,CM1711&lt;=2099,CN1711&gt;=1,CN1711&lt;=12,CO1711&gt;=1,CO1711&lt;=31),IF(MONTH(DATE(CM1711,CN1711,CO1711))=CN1711,DATE(CM1711,CN1711,CO1711),""),"")))),"")</f>
        <v/>
      </c>
      <c r="CJ1711">
        <f>IFERROR(IF('월 가계부'!C1711="","",IF(ISNUMBER('월 가계부'!C1711),'월 가계부'!C1711,VALUE(SUBSTITUTE(SUBSTITUTE(SUBSTITUTE(SUBSTITUTE(TRIM('월 가계부'!C1711),",",""),"원","")," ",""),"−","-")))),"")</f>
        <v/>
      </c>
      <c r="CK1711">
        <f>IF(ISNUMBER(CI1711),IF(CI1711&lt;$B$13,CI1711,""),"")</f>
        <v/>
      </c>
      <c r="CM1711">
        <f>IF(CH1711="","",IFERROR(IF(IF(AND(LEN(CH1711)=9,ISERROR(FIND("-",LEFT(CH1711,8))),ISNUMBER(-LEFT(CH1711,8))),VALUE(LEFT(CH1711,4)),VALUE(LEFT(CH1711,FIND("-",CH1711)-1)))&lt;100,IF(AND(LEN(CH1711)=9,ISERROR(FIND("-",LEFT(CH1711,8))),ISNUMBER(-LEFT(CH1711,8))),VALUE(LEFT(CH1711,4)),VALUE(LEFT(CH1711,FIND("-",CH1711)-1)))+2000,IF(AND(LEN(CH1711)=9,ISERROR(FIND("-",LEFT(CH1711,8))),ISNUMBER(-LEFT(CH1711,8))),VALUE(LEFT(CH1711,4)),VALUE(LEFT(CH1711,FIND("-",CH1711)-1)))),""))</f>
        <v/>
      </c>
      <c r="CN1711">
        <f>IF(CH1711="","",IFERROR(IF(AND(LEN(CH1711)=9,ISERROR(FIND("-",LEFT(CH1711,8))),ISNUMBER(-LEFT(CH1711,8))),VALUE(MID(CH1711,5,2)),VALUE(MID(CH1711,FIND("-",CH1711)+1,FIND("-",CH1711,FIND("-",CH1711)+1)-FIND("-",CH1711)-1))),""))</f>
        <v/>
      </c>
      <c r="CO1711">
        <f>IF(CH1711="","",IFERROR(IF(AND(LEN(CH1711)=9,ISERROR(FIND("-",LEFT(CH1711,8))),ISNUMBER(-LEFT(CH1711,8))),VALUE(MID(CH1711,7,2)),VALUE(MID(CH1711,FIND("-",CH1711,FIND("-",CH1711)+1)+1,FIND("-",CH1711,FIND("-",CH1711,FIND("-",CH1711)+1)+1)-FIND("-",CH1711,FIND("-",CH1711)+1)-1))),""))</f>
        <v/>
      </c>
    </row>
    <row r="1712">
      <c r="CH1712">
        <f>IF(ISTEXT('월 가계부'!A1712),SUBSTITUTE(SUBSTITUTE(SUBSTITUTE(SUBSTITUTE(SUBSTITUTE(SUBSTITUTE(SUBSTITUTE(SUBSTITUTE(SUBSTITUTE(TRIM('월 가계부'!A1712),"년","-"),"월","-"),"일",""),".","-"),"/","-")," ","-"),"--","-"),"--","-"),"--","-")&amp;"-","")</f>
        <v/>
      </c>
      <c r="CI1712">
        <f>IFERROR(IF('월 가계부'!A1712="","",IF(ISNUMBER('월 가계부'!A1712),IF(AND('월 가계부'!A1712&gt;=19000101,'월 가계부'!A1712&lt;=21001231),IF(AND(MOD(INT('월 가계부'!A1712/100),100)&gt;=1,MOD(INT('월 가계부'!A1712/100),100)&lt;=12,MOD(INT('월 가계부'!A1712),100)&gt;=1,MOD(INT('월 가계부'!A1712),100)&lt;=31),IF(MONTH(DATE(INT('월 가계부'!A1712/10000),MOD(INT('월 가계부'!A1712/100),100),MOD(INT('월 가계부'!A1712),100)))=MOD(INT('월 가계부'!A1712/100),100),DATE(INT('월 가계부'!A1712/10000),MOD(INT('월 가계부'!A1712/100),100),MOD(INT('월 가계부'!A1712),100)),""),""),IF(AND('월 가계부'!A1712&gt;=36526,'월 가계부'!A1712&lt;73051),INT('월 가계부'!A1712),"")),IF(OR(CM1712="",CN1712="",CO1712=""),"",IF(AND(CM1712&gt;=2000,CM1712&lt;=2099,CN1712&gt;=1,CN1712&lt;=12,CO1712&gt;=1,CO1712&lt;=31),IF(MONTH(DATE(CM1712,CN1712,CO1712))=CN1712,DATE(CM1712,CN1712,CO1712),""),"")))),"")</f>
        <v/>
      </c>
      <c r="CJ1712">
        <f>IFERROR(IF('월 가계부'!C1712="","",IF(ISNUMBER('월 가계부'!C1712),'월 가계부'!C1712,VALUE(SUBSTITUTE(SUBSTITUTE(SUBSTITUTE(SUBSTITUTE(TRIM('월 가계부'!C1712),",",""),"원","")," ",""),"−","-")))),"")</f>
        <v/>
      </c>
      <c r="CK1712">
        <f>IF(ISNUMBER(CI1712),IF(CI1712&lt;$B$13,CI1712,""),"")</f>
        <v/>
      </c>
      <c r="CM1712">
        <f>IF(CH1712="","",IFERROR(IF(IF(AND(LEN(CH1712)=9,ISERROR(FIND("-",LEFT(CH1712,8))),ISNUMBER(-LEFT(CH1712,8))),VALUE(LEFT(CH1712,4)),VALUE(LEFT(CH1712,FIND("-",CH1712)-1)))&lt;100,IF(AND(LEN(CH1712)=9,ISERROR(FIND("-",LEFT(CH1712,8))),ISNUMBER(-LEFT(CH1712,8))),VALUE(LEFT(CH1712,4)),VALUE(LEFT(CH1712,FIND("-",CH1712)-1)))+2000,IF(AND(LEN(CH1712)=9,ISERROR(FIND("-",LEFT(CH1712,8))),ISNUMBER(-LEFT(CH1712,8))),VALUE(LEFT(CH1712,4)),VALUE(LEFT(CH1712,FIND("-",CH1712)-1)))),""))</f>
        <v/>
      </c>
      <c r="CN1712">
        <f>IF(CH1712="","",IFERROR(IF(AND(LEN(CH1712)=9,ISERROR(FIND("-",LEFT(CH1712,8))),ISNUMBER(-LEFT(CH1712,8))),VALUE(MID(CH1712,5,2)),VALUE(MID(CH1712,FIND("-",CH1712)+1,FIND("-",CH1712,FIND("-",CH1712)+1)-FIND("-",CH1712)-1))),""))</f>
        <v/>
      </c>
      <c r="CO1712">
        <f>IF(CH1712="","",IFERROR(IF(AND(LEN(CH1712)=9,ISERROR(FIND("-",LEFT(CH1712,8))),ISNUMBER(-LEFT(CH1712,8))),VALUE(MID(CH1712,7,2)),VALUE(MID(CH1712,FIND("-",CH1712,FIND("-",CH1712)+1)+1,FIND("-",CH1712,FIND("-",CH1712,FIND("-",CH1712)+1)+1)-FIND("-",CH1712,FIND("-",CH1712)+1)-1))),""))</f>
        <v/>
      </c>
    </row>
    <row r="1713">
      <c r="CH1713">
        <f>IF(ISTEXT('월 가계부'!A1713),SUBSTITUTE(SUBSTITUTE(SUBSTITUTE(SUBSTITUTE(SUBSTITUTE(SUBSTITUTE(SUBSTITUTE(SUBSTITUTE(SUBSTITUTE(TRIM('월 가계부'!A1713),"년","-"),"월","-"),"일",""),".","-"),"/","-")," ","-"),"--","-"),"--","-"),"--","-")&amp;"-","")</f>
        <v/>
      </c>
      <c r="CI1713">
        <f>IFERROR(IF('월 가계부'!A1713="","",IF(ISNUMBER('월 가계부'!A1713),IF(AND('월 가계부'!A1713&gt;=19000101,'월 가계부'!A1713&lt;=21001231),IF(AND(MOD(INT('월 가계부'!A1713/100),100)&gt;=1,MOD(INT('월 가계부'!A1713/100),100)&lt;=12,MOD(INT('월 가계부'!A1713),100)&gt;=1,MOD(INT('월 가계부'!A1713),100)&lt;=31),IF(MONTH(DATE(INT('월 가계부'!A1713/10000),MOD(INT('월 가계부'!A1713/100),100),MOD(INT('월 가계부'!A1713),100)))=MOD(INT('월 가계부'!A1713/100),100),DATE(INT('월 가계부'!A1713/10000),MOD(INT('월 가계부'!A1713/100),100),MOD(INT('월 가계부'!A1713),100)),""),""),IF(AND('월 가계부'!A1713&gt;=36526,'월 가계부'!A1713&lt;73051),INT('월 가계부'!A1713),"")),IF(OR(CM1713="",CN1713="",CO1713=""),"",IF(AND(CM1713&gt;=2000,CM1713&lt;=2099,CN1713&gt;=1,CN1713&lt;=12,CO1713&gt;=1,CO1713&lt;=31),IF(MONTH(DATE(CM1713,CN1713,CO1713))=CN1713,DATE(CM1713,CN1713,CO1713),""),"")))),"")</f>
        <v/>
      </c>
      <c r="CJ1713">
        <f>IFERROR(IF('월 가계부'!C1713="","",IF(ISNUMBER('월 가계부'!C1713),'월 가계부'!C1713,VALUE(SUBSTITUTE(SUBSTITUTE(SUBSTITUTE(SUBSTITUTE(TRIM('월 가계부'!C1713),",",""),"원","")," ",""),"−","-")))),"")</f>
        <v/>
      </c>
      <c r="CK1713">
        <f>IF(ISNUMBER(CI1713),IF(CI1713&lt;$B$13,CI1713,""),"")</f>
        <v/>
      </c>
      <c r="CM1713">
        <f>IF(CH1713="","",IFERROR(IF(IF(AND(LEN(CH1713)=9,ISERROR(FIND("-",LEFT(CH1713,8))),ISNUMBER(-LEFT(CH1713,8))),VALUE(LEFT(CH1713,4)),VALUE(LEFT(CH1713,FIND("-",CH1713)-1)))&lt;100,IF(AND(LEN(CH1713)=9,ISERROR(FIND("-",LEFT(CH1713,8))),ISNUMBER(-LEFT(CH1713,8))),VALUE(LEFT(CH1713,4)),VALUE(LEFT(CH1713,FIND("-",CH1713)-1)))+2000,IF(AND(LEN(CH1713)=9,ISERROR(FIND("-",LEFT(CH1713,8))),ISNUMBER(-LEFT(CH1713,8))),VALUE(LEFT(CH1713,4)),VALUE(LEFT(CH1713,FIND("-",CH1713)-1)))),""))</f>
        <v/>
      </c>
      <c r="CN1713">
        <f>IF(CH1713="","",IFERROR(IF(AND(LEN(CH1713)=9,ISERROR(FIND("-",LEFT(CH1713,8))),ISNUMBER(-LEFT(CH1713,8))),VALUE(MID(CH1713,5,2)),VALUE(MID(CH1713,FIND("-",CH1713)+1,FIND("-",CH1713,FIND("-",CH1713)+1)-FIND("-",CH1713)-1))),""))</f>
        <v/>
      </c>
      <c r="CO1713">
        <f>IF(CH1713="","",IFERROR(IF(AND(LEN(CH1713)=9,ISERROR(FIND("-",LEFT(CH1713,8))),ISNUMBER(-LEFT(CH1713,8))),VALUE(MID(CH1713,7,2)),VALUE(MID(CH1713,FIND("-",CH1713,FIND("-",CH1713)+1)+1,FIND("-",CH1713,FIND("-",CH1713,FIND("-",CH1713)+1)+1)-FIND("-",CH1713,FIND("-",CH1713)+1)-1))),""))</f>
        <v/>
      </c>
    </row>
    <row r="1714">
      <c r="CH1714">
        <f>IF(ISTEXT('월 가계부'!A1714),SUBSTITUTE(SUBSTITUTE(SUBSTITUTE(SUBSTITUTE(SUBSTITUTE(SUBSTITUTE(SUBSTITUTE(SUBSTITUTE(SUBSTITUTE(TRIM('월 가계부'!A1714),"년","-"),"월","-"),"일",""),".","-"),"/","-")," ","-"),"--","-"),"--","-"),"--","-")&amp;"-","")</f>
        <v/>
      </c>
      <c r="CI1714">
        <f>IFERROR(IF('월 가계부'!A1714="","",IF(ISNUMBER('월 가계부'!A1714),IF(AND('월 가계부'!A1714&gt;=19000101,'월 가계부'!A1714&lt;=21001231),IF(AND(MOD(INT('월 가계부'!A1714/100),100)&gt;=1,MOD(INT('월 가계부'!A1714/100),100)&lt;=12,MOD(INT('월 가계부'!A1714),100)&gt;=1,MOD(INT('월 가계부'!A1714),100)&lt;=31),IF(MONTH(DATE(INT('월 가계부'!A1714/10000),MOD(INT('월 가계부'!A1714/100),100),MOD(INT('월 가계부'!A1714),100)))=MOD(INT('월 가계부'!A1714/100),100),DATE(INT('월 가계부'!A1714/10000),MOD(INT('월 가계부'!A1714/100),100),MOD(INT('월 가계부'!A1714),100)),""),""),IF(AND('월 가계부'!A1714&gt;=36526,'월 가계부'!A1714&lt;73051),INT('월 가계부'!A1714),"")),IF(OR(CM1714="",CN1714="",CO1714=""),"",IF(AND(CM1714&gt;=2000,CM1714&lt;=2099,CN1714&gt;=1,CN1714&lt;=12,CO1714&gt;=1,CO1714&lt;=31),IF(MONTH(DATE(CM1714,CN1714,CO1714))=CN1714,DATE(CM1714,CN1714,CO1714),""),"")))),"")</f>
        <v/>
      </c>
      <c r="CJ1714">
        <f>IFERROR(IF('월 가계부'!C1714="","",IF(ISNUMBER('월 가계부'!C1714),'월 가계부'!C1714,VALUE(SUBSTITUTE(SUBSTITUTE(SUBSTITUTE(SUBSTITUTE(TRIM('월 가계부'!C1714),",",""),"원","")," ",""),"−","-")))),"")</f>
        <v/>
      </c>
      <c r="CK1714">
        <f>IF(ISNUMBER(CI1714),IF(CI1714&lt;$B$13,CI1714,""),"")</f>
        <v/>
      </c>
      <c r="CM1714">
        <f>IF(CH1714="","",IFERROR(IF(IF(AND(LEN(CH1714)=9,ISERROR(FIND("-",LEFT(CH1714,8))),ISNUMBER(-LEFT(CH1714,8))),VALUE(LEFT(CH1714,4)),VALUE(LEFT(CH1714,FIND("-",CH1714)-1)))&lt;100,IF(AND(LEN(CH1714)=9,ISERROR(FIND("-",LEFT(CH1714,8))),ISNUMBER(-LEFT(CH1714,8))),VALUE(LEFT(CH1714,4)),VALUE(LEFT(CH1714,FIND("-",CH1714)-1)))+2000,IF(AND(LEN(CH1714)=9,ISERROR(FIND("-",LEFT(CH1714,8))),ISNUMBER(-LEFT(CH1714,8))),VALUE(LEFT(CH1714,4)),VALUE(LEFT(CH1714,FIND("-",CH1714)-1)))),""))</f>
        <v/>
      </c>
      <c r="CN1714">
        <f>IF(CH1714="","",IFERROR(IF(AND(LEN(CH1714)=9,ISERROR(FIND("-",LEFT(CH1714,8))),ISNUMBER(-LEFT(CH1714,8))),VALUE(MID(CH1714,5,2)),VALUE(MID(CH1714,FIND("-",CH1714)+1,FIND("-",CH1714,FIND("-",CH1714)+1)-FIND("-",CH1714)-1))),""))</f>
        <v/>
      </c>
      <c r="CO1714">
        <f>IF(CH1714="","",IFERROR(IF(AND(LEN(CH1714)=9,ISERROR(FIND("-",LEFT(CH1714,8))),ISNUMBER(-LEFT(CH1714,8))),VALUE(MID(CH1714,7,2)),VALUE(MID(CH1714,FIND("-",CH1714,FIND("-",CH1714)+1)+1,FIND("-",CH1714,FIND("-",CH1714,FIND("-",CH1714)+1)+1)-FIND("-",CH1714,FIND("-",CH1714)+1)-1))),""))</f>
        <v/>
      </c>
    </row>
    <row r="1715">
      <c r="CH1715">
        <f>IF(ISTEXT('월 가계부'!A1715),SUBSTITUTE(SUBSTITUTE(SUBSTITUTE(SUBSTITUTE(SUBSTITUTE(SUBSTITUTE(SUBSTITUTE(SUBSTITUTE(SUBSTITUTE(TRIM('월 가계부'!A1715),"년","-"),"월","-"),"일",""),".","-"),"/","-")," ","-"),"--","-"),"--","-"),"--","-")&amp;"-","")</f>
        <v/>
      </c>
      <c r="CI1715">
        <f>IFERROR(IF('월 가계부'!A1715="","",IF(ISNUMBER('월 가계부'!A1715),IF(AND('월 가계부'!A1715&gt;=19000101,'월 가계부'!A1715&lt;=21001231),IF(AND(MOD(INT('월 가계부'!A1715/100),100)&gt;=1,MOD(INT('월 가계부'!A1715/100),100)&lt;=12,MOD(INT('월 가계부'!A1715),100)&gt;=1,MOD(INT('월 가계부'!A1715),100)&lt;=31),IF(MONTH(DATE(INT('월 가계부'!A1715/10000),MOD(INT('월 가계부'!A1715/100),100),MOD(INT('월 가계부'!A1715),100)))=MOD(INT('월 가계부'!A1715/100),100),DATE(INT('월 가계부'!A1715/10000),MOD(INT('월 가계부'!A1715/100),100),MOD(INT('월 가계부'!A1715),100)),""),""),IF(AND('월 가계부'!A1715&gt;=36526,'월 가계부'!A1715&lt;73051),INT('월 가계부'!A1715),"")),IF(OR(CM1715="",CN1715="",CO1715=""),"",IF(AND(CM1715&gt;=2000,CM1715&lt;=2099,CN1715&gt;=1,CN1715&lt;=12,CO1715&gt;=1,CO1715&lt;=31),IF(MONTH(DATE(CM1715,CN1715,CO1715))=CN1715,DATE(CM1715,CN1715,CO1715),""),"")))),"")</f>
        <v/>
      </c>
      <c r="CJ1715">
        <f>IFERROR(IF('월 가계부'!C1715="","",IF(ISNUMBER('월 가계부'!C1715),'월 가계부'!C1715,VALUE(SUBSTITUTE(SUBSTITUTE(SUBSTITUTE(SUBSTITUTE(TRIM('월 가계부'!C1715),",",""),"원","")," ",""),"−","-")))),"")</f>
        <v/>
      </c>
      <c r="CK1715">
        <f>IF(ISNUMBER(CI1715),IF(CI1715&lt;$B$13,CI1715,""),"")</f>
        <v/>
      </c>
      <c r="CM1715">
        <f>IF(CH1715="","",IFERROR(IF(IF(AND(LEN(CH1715)=9,ISERROR(FIND("-",LEFT(CH1715,8))),ISNUMBER(-LEFT(CH1715,8))),VALUE(LEFT(CH1715,4)),VALUE(LEFT(CH1715,FIND("-",CH1715)-1)))&lt;100,IF(AND(LEN(CH1715)=9,ISERROR(FIND("-",LEFT(CH1715,8))),ISNUMBER(-LEFT(CH1715,8))),VALUE(LEFT(CH1715,4)),VALUE(LEFT(CH1715,FIND("-",CH1715)-1)))+2000,IF(AND(LEN(CH1715)=9,ISERROR(FIND("-",LEFT(CH1715,8))),ISNUMBER(-LEFT(CH1715,8))),VALUE(LEFT(CH1715,4)),VALUE(LEFT(CH1715,FIND("-",CH1715)-1)))),""))</f>
        <v/>
      </c>
      <c r="CN1715">
        <f>IF(CH1715="","",IFERROR(IF(AND(LEN(CH1715)=9,ISERROR(FIND("-",LEFT(CH1715,8))),ISNUMBER(-LEFT(CH1715,8))),VALUE(MID(CH1715,5,2)),VALUE(MID(CH1715,FIND("-",CH1715)+1,FIND("-",CH1715,FIND("-",CH1715)+1)-FIND("-",CH1715)-1))),""))</f>
        <v/>
      </c>
      <c r="CO1715">
        <f>IF(CH1715="","",IFERROR(IF(AND(LEN(CH1715)=9,ISERROR(FIND("-",LEFT(CH1715,8))),ISNUMBER(-LEFT(CH1715,8))),VALUE(MID(CH1715,7,2)),VALUE(MID(CH1715,FIND("-",CH1715,FIND("-",CH1715)+1)+1,FIND("-",CH1715,FIND("-",CH1715,FIND("-",CH1715)+1)+1)-FIND("-",CH1715,FIND("-",CH1715)+1)-1))),""))</f>
        <v/>
      </c>
    </row>
    <row r="1716">
      <c r="CH1716">
        <f>IF(ISTEXT('월 가계부'!A1716),SUBSTITUTE(SUBSTITUTE(SUBSTITUTE(SUBSTITUTE(SUBSTITUTE(SUBSTITUTE(SUBSTITUTE(SUBSTITUTE(SUBSTITUTE(TRIM('월 가계부'!A1716),"년","-"),"월","-"),"일",""),".","-"),"/","-")," ","-"),"--","-"),"--","-"),"--","-")&amp;"-","")</f>
        <v/>
      </c>
      <c r="CI1716">
        <f>IFERROR(IF('월 가계부'!A1716="","",IF(ISNUMBER('월 가계부'!A1716),IF(AND('월 가계부'!A1716&gt;=19000101,'월 가계부'!A1716&lt;=21001231),IF(AND(MOD(INT('월 가계부'!A1716/100),100)&gt;=1,MOD(INT('월 가계부'!A1716/100),100)&lt;=12,MOD(INT('월 가계부'!A1716),100)&gt;=1,MOD(INT('월 가계부'!A1716),100)&lt;=31),IF(MONTH(DATE(INT('월 가계부'!A1716/10000),MOD(INT('월 가계부'!A1716/100),100),MOD(INT('월 가계부'!A1716),100)))=MOD(INT('월 가계부'!A1716/100),100),DATE(INT('월 가계부'!A1716/10000),MOD(INT('월 가계부'!A1716/100),100),MOD(INT('월 가계부'!A1716),100)),""),""),IF(AND('월 가계부'!A1716&gt;=36526,'월 가계부'!A1716&lt;73051),INT('월 가계부'!A1716),"")),IF(OR(CM1716="",CN1716="",CO1716=""),"",IF(AND(CM1716&gt;=2000,CM1716&lt;=2099,CN1716&gt;=1,CN1716&lt;=12,CO1716&gt;=1,CO1716&lt;=31),IF(MONTH(DATE(CM1716,CN1716,CO1716))=CN1716,DATE(CM1716,CN1716,CO1716),""),"")))),"")</f>
        <v/>
      </c>
      <c r="CJ1716">
        <f>IFERROR(IF('월 가계부'!C1716="","",IF(ISNUMBER('월 가계부'!C1716),'월 가계부'!C1716,VALUE(SUBSTITUTE(SUBSTITUTE(SUBSTITUTE(SUBSTITUTE(TRIM('월 가계부'!C1716),",",""),"원","")," ",""),"−","-")))),"")</f>
        <v/>
      </c>
      <c r="CK1716">
        <f>IF(ISNUMBER(CI1716),IF(CI1716&lt;$B$13,CI1716,""),"")</f>
        <v/>
      </c>
      <c r="CM1716">
        <f>IF(CH1716="","",IFERROR(IF(IF(AND(LEN(CH1716)=9,ISERROR(FIND("-",LEFT(CH1716,8))),ISNUMBER(-LEFT(CH1716,8))),VALUE(LEFT(CH1716,4)),VALUE(LEFT(CH1716,FIND("-",CH1716)-1)))&lt;100,IF(AND(LEN(CH1716)=9,ISERROR(FIND("-",LEFT(CH1716,8))),ISNUMBER(-LEFT(CH1716,8))),VALUE(LEFT(CH1716,4)),VALUE(LEFT(CH1716,FIND("-",CH1716)-1)))+2000,IF(AND(LEN(CH1716)=9,ISERROR(FIND("-",LEFT(CH1716,8))),ISNUMBER(-LEFT(CH1716,8))),VALUE(LEFT(CH1716,4)),VALUE(LEFT(CH1716,FIND("-",CH1716)-1)))),""))</f>
        <v/>
      </c>
      <c r="CN1716">
        <f>IF(CH1716="","",IFERROR(IF(AND(LEN(CH1716)=9,ISERROR(FIND("-",LEFT(CH1716,8))),ISNUMBER(-LEFT(CH1716,8))),VALUE(MID(CH1716,5,2)),VALUE(MID(CH1716,FIND("-",CH1716)+1,FIND("-",CH1716,FIND("-",CH1716)+1)-FIND("-",CH1716)-1))),""))</f>
        <v/>
      </c>
      <c r="CO1716">
        <f>IF(CH1716="","",IFERROR(IF(AND(LEN(CH1716)=9,ISERROR(FIND("-",LEFT(CH1716,8))),ISNUMBER(-LEFT(CH1716,8))),VALUE(MID(CH1716,7,2)),VALUE(MID(CH1716,FIND("-",CH1716,FIND("-",CH1716)+1)+1,FIND("-",CH1716,FIND("-",CH1716,FIND("-",CH1716)+1)+1)-FIND("-",CH1716,FIND("-",CH1716)+1)-1))),""))</f>
        <v/>
      </c>
    </row>
    <row r="1717">
      <c r="CH1717">
        <f>IF(ISTEXT('월 가계부'!A1717),SUBSTITUTE(SUBSTITUTE(SUBSTITUTE(SUBSTITUTE(SUBSTITUTE(SUBSTITUTE(SUBSTITUTE(SUBSTITUTE(SUBSTITUTE(TRIM('월 가계부'!A1717),"년","-"),"월","-"),"일",""),".","-"),"/","-")," ","-"),"--","-"),"--","-"),"--","-")&amp;"-","")</f>
        <v/>
      </c>
      <c r="CI1717">
        <f>IFERROR(IF('월 가계부'!A1717="","",IF(ISNUMBER('월 가계부'!A1717),IF(AND('월 가계부'!A1717&gt;=19000101,'월 가계부'!A1717&lt;=21001231),IF(AND(MOD(INT('월 가계부'!A1717/100),100)&gt;=1,MOD(INT('월 가계부'!A1717/100),100)&lt;=12,MOD(INT('월 가계부'!A1717),100)&gt;=1,MOD(INT('월 가계부'!A1717),100)&lt;=31),IF(MONTH(DATE(INT('월 가계부'!A1717/10000),MOD(INT('월 가계부'!A1717/100),100),MOD(INT('월 가계부'!A1717),100)))=MOD(INT('월 가계부'!A1717/100),100),DATE(INT('월 가계부'!A1717/10000),MOD(INT('월 가계부'!A1717/100),100),MOD(INT('월 가계부'!A1717),100)),""),""),IF(AND('월 가계부'!A1717&gt;=36526,'월 가계부'!A1717&lt;73051),INT('월 가계부'!A1717),"")),IF(OR(CM1717="",CN1717="",CO1717=""),"",IF(AND(CM1717&gt;=2000,CM1717&lt;=2099,CN1717&gt;=1,CN1717&lt;=12,CO1717&gt;=1,CO1717&lt;=31),IF(MONTH(DATE(CM1717,CN1717,CO1717))=CN1717,DATE(CM1717,CN1717,CO1717),""),"")))),"")</f>
        <v/>
      </c>
      <c r="CJ1717">
        <f>IFERROR(IF('월 가계부'!C1717="","",IF(ISNUMBER('월 가계부'!C1717),'월 가계부'!C1717,VALUE(SUBSTITUTE(SUBSTITUTE(SUBSTITUTE(SUBSTITUTE(TRIM('월 가계부'!C1717),",",""),"원","")," ",""),"−","-")))),"")</f>
        <v/>
      </c>
      <c r="CK1717">
        <f>IF(ISNUMBER(CI1717),IF(CI1717&lt;$B$13,CI1717,""),"")</f>
        <v/>
      </c>
      <c r="CM1717">
        <f>IF(CH1717="","",IFERROR(IF(IF(AND(LEN(CH1717)=9,ISERROR(FIND("-",LEFT(CH1717,8))),ISNUMBER(-LEFT(CH1717,8))),VALUE(LEFT(CH1717,4)),VALUE(LEFT(CH1717,FIND("-",CH1717)-1)))&lt;100,IF(AND(LEN(CH1717)=9,ISERROR(FIND("-",LEFT(CH1717,8))),ISNUMBER(-LEFT(CH1717,8))),VALUE(LEFT(CH1717,4)),VALUE(LEFT(CH1717,FIND("-",CH1717)-1)))+2000,IF(AND(LEN(CH1717)=9,ISERROR(FIND("-",LEFT(CH1717,8))),ISNUMBER(-LEFT(CH1717,8))),VALUE(LEFT(CH1717,4)),VALUE(LEFT(CH1717,FIND("-",CH1717)-1)))),""))</f>
        <v/>
      </c>
      <c r="CN1717">
        <f>IF(CH1717="","",IFERROR(IF(AND(LEN(CH1717)=9,ISERROR(FIND("-",LEFT(CH1717,8))),ISNUMBER(-LEFT(CH1717,8))),VALUE(MID(CH1717,5,2)),VALUE(MID(CH1717,FIND("-",CH1717)+1,FIND("-",CH1717,FIND("-",CH1717)+1)-FIND("-",CH1717)-1))),""))</f>
        <v/>
      </c>
      <c r="CO1717">
        <f>IF(CH1717="","",IFERROR(IF(AND(LEN(CH1717)=9,ISERROR(FIND("-",LEFT(CH1717,8))),ISNUMBER(-LEFT(CH1717,8))),VALUE(MID(CH1717,7,2)),VALUE(MID(CH1717,FIND("-",CH1717,FIND("-",CH1717)+1)+1,FIND("-",CH1717,FIND("-",CH1717,FIND("-",CH1717)+1)+1)-FIND("-",CH1717,FIND("-",CH1717)+1)-1))),""))</f>
        <v/>
      </c>
    </row>
    <row r="1718">
      <c r="CH1718">
        <f>IF(ISTEXT('월 가계부'!A1718),SUBSTITUTE(SUBSTITUTE(SUBSTITUTE(SUBSTITUTE(SUBSTITUTE(SUBSTITUTE(SUBSTITUTE(SUBSTITUTE(SUBSTITUTE(TRIM('월 가계부'!A1718),"년","-"),"월","-"),"일",""),".","-"),"/","-")," ","-"),"--","-"),"--","-"),"--","-")&amp;"-","")</f>
        <v/>
      </c>
      <c r="CI1718">
        <f>IFERROR(IF('월 가계부'!A1718="","",IF(ISNUMBER('월 가계부'!A1718),IF(AND('월 가계부'!A1718&gt;=19000101,'월 가계부'!A1718&lt;=21001231),IF(AND(MOD(INT('월 가계부'!A1718/100),100)&gt;=1,MOD(INT('월 가계부'!A1718/100),100)&lt;=12,MOD(INT('월 가계부'!A1718),100)&gt;=1,MOD(INT('월 가계부'!A1718),100)&lt;=31),IF(MONTH(DATE(INT('월 가계부'!A1718/10000),MOD(INT('월 가계부'!A1718/100),100),MOD(INT('월 가계부'!A1718),100)))=MOD(INT('월 가계부'!A1718/100),100),DATE(INT('월 가계부'!A1718/10000),MOD(INT('월 가계부'!A1718/100),100),MOD(INT('월 가계부'!A1718),100)),""),""),IF(AND('월 가계부'!A1718&gt;=36526,'월 가계부'!A1718&lt;73051),INT('월 가계부'!A1718),"")),IF(OR(CM1718="",CN1718="",CO1718=""),"",IF(AND(CM1718&gt;=2000,CM1718&lt;=2099,CN1718&gt;=1,CN1718&lt;=12,CO1718&gt;=1,CO1718&lt;=31),IF(MONTH(DATE(CM1718,CN1718,CO1718))=CN1718,DATE(CM1718,CN1718,CO1718),""),"")))),"")</f>
        <v/>
      </c>
      <c r="CJ1718">
        <f>IFERROR(IF('월 가계부'!C1718="","",IF(ISNUMBER('월 가계부'!C1718),'월 가계부'!C1718,VALUE(SUBSTITUTE(SUBSTITUTE(SUBSTITUTE(SUBSTITUTE(TRIM('월 가계부'!C1718),",",""),"원","")," ",""),"−","-")))),"")</f>
        <v/>
      </c>
      <c r="CK1718">
        <f>IF(ISNUMBER(CI1718),IF(CI1718&lt;$B$13,CI1718,""),"")</f>
        <v/>
      </c>
      <c r="CM1718">
        <f>IF(CH1718="","",IFERROR(IF(IF(AND(LEN(CH1718)=9,ISERROR(FIND("-",LEFT(CH1718,8))),ISNUMBER(-LEFT(CH1718,8))),VALUE(LEFT(CH1718,4)),VALUE(LEFT(CH1718,FIND("-",CH1718)-1)))&lt;100,IF(AND(LEN(CH1718)=9,ISERROR(FIND("-",LEFT(CH1718,8))),ISNUMBER(-LEFT(CH1718,8))),VALUE(LEFT(CH1718,4)),VALUE(LEFT(CH1718,FIND("-",CH1718)-1)))+2000,IF(AND(LEN(CH1718)=9,ISERROR(FIND("-",LEFT(CH1718,8))),ISNUMBER(-LEFT(CH1718,8))),VALUE(LEFT(CH1718,4)),VALUE(LEFT(CH1718,FIND("-",CH1718)-1)))),""))</f>
        <v/>
      </c>
      <c r="CN1718">
        <f>IF(CH1718="","",IFERROR(IF(AND(LEN(CH1718)=9,ISERROR(FIND("-",LEFT(CH1718,8))),ISNUMBER(-LEFT(CH1718,8))),VALUE(MID(CH1718,5,2)),VALUE(MID(CH1718,FIND("-",CH1718)+1,FIND("-",CH1718,FIND("-",CH1718)+1)-FIND("-",CH1718)-1))),""))</f>
        <v/>
      </c>
      <c r="CO1718">
        <f>IF(CH1718="","",IFERROR(IF(AND(LEN(CH1718)=9,ISERROR(FIND("-",LEFT(CH1718,8))),ISNUMBER(-LEFT(CH1718,8))),VALUE(MID(CH1718,7,2)),VALUE(MID(CH1718,FIND("-",CH1718,FIND("-",CH1718)+1)+1,FIND("-",CH1718,FIND("-",CH1718,FIND("-",CH1718)+1)+1)-FIND("-",CH1718,FIND("-",CH1718)+1)-1))),""))</f>
        <v/>
      </c>
    </row>
    <row r="1719">
      <c r="CH1719">
        <f>IF(ISTEXT('월 가계부'!A1719),SUBSTITUTE(SUBSTITUTE(SUBSTITUTE(SUBSTITUTE(SUBSTITUTE(SUBSTITUTE(SUBSTITUTE(SUBSTITUTE(SUBSTITUTE(TRIM('월 가계부'!A1719),"년","-"),"월","-"),"일",""),".","-"),"/","-")," ","-"),"--","-"),"--","-"),"--","-")&amp;"-","")</f>
        <v/>
      </c>
      <c r="CI1719">
        <f>IFERROR(IF('월 가계부'!A1719="","",IF(ISNUMBER('월 가계부'!A1719),IF(AND('월 가계부'!A1719&gt;=19000101,'월 가계부'!A1719&lt;=21001231),IF(AND(MOD(INT('월 가계부'!A1719/100),100)&gt;=1,MOD(INT('월 가계부'!A1719/100),100)&lt;=12,MOD(INT('월 가계부'!A1719),100)&gt;=1,MOD(INT('월 가계부'!A1719),100)&lt;=31),IF(MONTH(DATE(INT('월 가계부'!A1719/10000),MOD(INT('월 가계부'!A1719/100),100),MOD(INT('월 가계부'!A1719),100)))=MOD(INT('월 가계부'!A1719/100),100),DATE(INT('월 가계부'!A1719/10000),MOD(INT('월 가계부'!A1719/100),100),MOD(INT('월 가계부'!A1719),100)),""),""),IF(AND('월 가계부'!A1719&gt;=36526,'월 가계부'!A1719&lt;73051),INT('월 가계부'!A1719),"")),IF(OR(CM1719="",CN1719="",CO1719=""),"",IF(AND(CM1719&gt;=2000,CM1719&lt;=2099,CN1719&gt;=1,CN1719&lt;=12,CO1719&gt;=1,CO1719&lt;=31),IF(MONTH(DATE(CM1719,CN1719,CO1719))=CN1719,DATE(CM1719,CN1719,CO1719),""),"")))),"")</f>
        <v/>
      </c>
      <c r="CJ1719">
        <f>IFERROR(IF('월 가계부'!C1719="","",IF(ISNUMBER('월 가계부'!C1719),'월 가계부'!C1719,VALUE(SUBSTITUTE(SUBSTITUTE(SUBSTITUTE(SUBSTITUTE(TRIM('월 가계부'!C1719),",",""),"원","")," ",""),"−","-")))),"")</f>
        <v/>
      </c>
      <c r="CK1719">
        <f>IF(ISNUMBER(CI1719),IF(CI1719&lt;$B$13,CI1719,""),"")</f>
        <v/>
      </c>
      <c r="CM1719">
        <f>IF(CH1719="","",IFERROR(IF(IF(AND(LEN(CH1719)=9,ISERROR(FIND("-",LEFT(CH1719,8))),ISNUMBER(-LEFT(CH1719,8))),VALUE(LEFT(CH1719,4)),VALUE(LEFT(CH1719,FIND("-",CH1719)-1)))&lt;100,IF(AND(LEN(CH1719)=9,ISERROR(FIND("-",LEFT(CH1719,8))),ISNUMBER(-LEFT(CH1719,8))),VALUE(LEFT(CH1719,4)),VALUE(LEFT(CH1719,FIND("-",CH1719)-1)))+2000,IF(AND(LEN(CH1719)=9,ISERROR(FIND("-",LEFT(CH1719,8))),ISNUMBER(-LEFT(CH1719,8))),VALUE(LEFT(CH1719,4)),VALUE(LEFT(CH1719,FIND("-",CH1719)-1)))),""))</f>
        <v/>
      </c>
      <c r="CN1719">
        <f>IF(CH1719="","",IFERROR(IF(AND(LEN(CH1719)=9,ISERROR(FIND("-",LEFT(CH1719,8))),ISNUMBER(-LEFT(CH1719,8))),VALUE(MID(CH1719,5,2)),VALUE(MID(CH1719,FIND("-",CH1719)+1,FIND("-",CH1719,FIND("-",CH1719)+1)-FIND("-",CH1719)-1))),""))</f>
        <v/>
      </c>
      <c r="CO1719">
        <f>IF(CH1719="","",IFERROR(IF(AND(LEN(CH1719)=9,ISERROR(FIND("-",LEFT(CH1719,8))),ISNUMBER(-LEFT(CH1719,8))),VALUE(MID(CH1719,7,2)),VALUE(MID(CH1719,FIND("-",CH1719,FIND("-",CH1719)+1)+1,FIND("-",CH1719,FIND("-",CH1719,FIND("-",CH1719)+1)+1)-FIND("-",CH1719,FIND("-",CH1719)+1)-1))),""))</f>
        <v/>
      </c>
    </row>
    <row r="1720">
      <c r="CH1720">
        <f>IF(ISTEXT('월 가계부'!A1720),SUBSTITUTE(SUBSTITUTE(SUBSTITUTE(SUBSTITUTE(SUBSTITUTE(SUBSTITUTE(SUBSTITUTE(SUBSTITUTE(SUBSTITUTE(TRIM('월 가계부'!A1720),"년","-"),"월","-"),"일",""),".","-"),"/","-")," ","-"),"--","-"),"--","-"),"--","-")&amp;"-","")</f>
        <v/>
      </c>
      <c r="CI1720">
        <f>IFERROR(IF('월 가계부'!A1720="","",IF(ISNUMBER('월 가계부'!A1720),IF(AND('월 가계부'!A1720&gt;=19000101,'월 가계부'!A1720&lt;=21001231),IF(AND(MOD(INT('월 가계부'!A1720/100),100)&gt;=1,MOD(INT('월 가계부'!A1720/100),100)&lt;=12,MOD(INT('월 가계부'!A1720),100)&gt;=1,MOD(INT('월 가계부'!A1720),100)&lt;=31),IF(MONTH(DATE(INT('월 가계부'!A1720/10000),MOD(INT('월 가계부'!A1720/100),100),MOD(INT('월 가계부'!A1720),100)))=MOD(INT('월 가계부'!A1720/100),100),DATE(INT('월 가계부'!A1720/10000),MOD(INT('월 가계부'!A1720/100),100),MOD(INT('월 가계부'!A1720),100)),""),""),IF(AND('월 가계부'!A1720&gt;=36526,'월 가계부'!A1720&lt;73051),INT('월 가계부'!A1720),"")),IF(OR(CM1720="",CN1720="",CO1720=""),"",IF(AND(CM1720&gt;=2000,CM1720&lt;=2099,CN1720&gt;=1,CN1720&lt;=12,CO1720&gt;=1,CO1720&lt;=31),IF(MONTH(DATE(CM1720,CN1720,CO1720))=CN1720,DATE(CM1720,CN1720,CO1720),""),"")))),"")</f>
        <v/>
      </c>
      <c r="CJ1720">
        <f>IFERROR(IF('월 가계부'!C1720="","",IF(ISNUMBER('월 가계부'!C1720),'월 가계부'!C1720,VALUE(SUBSTITUTE(SUBSTITUTE(SUBSTITUTE(SUBSTITUTE(TRIM('월 가계부'!C1720),",",""),"원","")," ",""),"−","-")))),"")</f>
        <v/>
      </c>
      <c r="CK1720">
        <f>IF(ISNUMBER(CI1720),IF(CI1720&lt;$B$13,CI1720,""),"")</f>
        <v/>
      </c>
      <c r="CM1720">
        <f>IF(CH1720="","",IFERROR(IF(IF(AND(LEN(CH1720)=9,ISERROR(FIND("-",LEFT(CH1720,8))),ISNUMBER(-LEFT(CH1720,8))),VALUE(LEFT(CH1720,4)),VALUE(LEFT(CH1720,FIND("-",CH1720)-1)))&lt;100,IF(AND(LEN(CH1720)=9,ISERROR(FIND("-",LEFT(CH1720,8))),ISNUMBER(-LEFT(CH1720,8))),VALUE(LEFT(CH1720,4)),VALUE(LEFT(CH1720,FIND("-",CH1720)-1)))+2000,IF(AND(LEN(CH1720)=9,ISERROR(FIND("-",LEFT(CH1720,8))),ISNUMBER(-LEFT(CH1720,8))),VALUE(LEFT(CH1720,4)),VALUE(LEFT(CH1720,FIND("-",CH1720)-1)))),""))</f>
        <v/>
      </c>
      <c r="CN1720">
        <f>IF(CH1720="","",IFERROR(IF(AND(LEN(CH1720)=9,ISERROR(FIND("-",LEFT(CH1720,8))),ISNUMBER(-LEFT(CH1720,8))),VALUE(MID(CH1720,5,2)),VALUE(MID(CH1720,FIND("-",CH1720)+1,FIND("-",CH1720,FIND("-",CH1720)+1)-FIND("-",CH1720)-1))),""))</f>
        <v/>
      </c>
      <c r="CO1720">
        <f>IF(CH1720="","",IFERROR(IF(AND(LEN(CH1720)=9,ISERROR(FIND("-",LEFT(CH1720,8))),ISNUMBER(-LEFT(CH1720,8))),VALUE(MID(CH1720,7,2)),VALUE(MID(CH1720,FIND("-",CH1720,FIND("-",CH1720)+1)+1,FIND("-",CH1720,FIND("-",CH1720,FIND("-",CH1720)+1)+1)-FIND("-",CH1720,FIND("-",CH1720)+1)-1))),""))</f>
        <v/>
      </c>
    </row>
    <row r="1721">
      <c r="CH1721">
        <f>IF(ISTEXT('월 가계부'!A1721),SUBSTITUTE(SUBSTITUTE(SUBSTITUTE(SUBSTITUTE(SUBSTITUTE(SUBSTITUTE(SUBSTITUTE(SUBSTITUTE(SUBSTITUTE(TRIM('월 가계부'!A1721),"년","-"),"월","-"),"일",""),".","-"),"/","-")," ","-"),"--","-"),"--","-"),"--","-")&amp;"-","")</f>
        <v/>
      </c>
      <c r="CI1721">
        <f>IFERROR(IF('월 가계부'!A1721="","",IF(ISNUMBER('월 가계부'!A1721),IF(AND('월 가계부'!A1721&gt;=19000101,'월 가계부'!A1721&lt;=21001231),IF(AND(MOD(INT('월 가계부'!A1721/100),100)&gt;=1,MOD(INT('월 가계부'!A1721/100),100)&lt;=12,MOD(INT('월 가계부'!A1721),100)&gt;=1,MOD(INT('월 가계부'!A1721),100)&lt;=31),IF(MONTH(DATE(INT('월 가계부'!A1721/10000),MOD(INT('월 가계부'!A1721/100),100),MOD(INT('월 가계부'!A1721),100)))=MOD(INT('월 가계부'!A1721/100),100),DATE(INT('월 가계부'!A1721/10000),MOD(INT('월 가계부'!A1721/100),100),MOD(INT('월 가계부'!A1721),100)),""),""),IF(AND('월 가계부'!A1721&gt;=36526,'월 가계부'!A1721&lt;73051),INT('월 가계부'!A1721),"")),IF(OR(CM1721="",CN1721="",CO1721=""),"",IF(AND(CM1721&gt;=2000,CM1721&lt;=2099,CN1721&gt;=1,CN1721&lt;=12,CO1721&gt;=1,CO1721&lt;=31),IF(MONTH(DATE(CM1721,CN1721,CO1721))=CN1721,DATE(CM1721,CN1721,CO1721),""),"")))),"")</f>
        <v/>
      </c>
      <c r="CJ1721">
        <f>IFERROR(IF('월 가계부'!C1721="","",IF(ISNUMBER('월 가계부'!C1721),'월 가계부'!C1721,VALUE(SUBSTITUTE(SUBSTITUTE(SUBSTITUTE(SUBSTITUTE(TRIM('월 가계부'!C1721),",",""),"원","")," ",""),"−","-")))),"")</f>
        <v/>
      </c>
      <c r="CK1721">
        <f>IF(ISNUMBER(CI1721),IF(CI1721&lt;$B$13,CI1721,""),"")</f>
        <v/>
      </c>
      <c r="CM1721">
        <f>IF(CH1721="","",IFERROR(IF(IF(AND(LEN(CH1721)=9,ISERROR(FIND("-",LEFT(CH1721,8))),ISNUMBER(-LEFT(CH1721,8))),VALUE(LEFT(CH1721,4)),VALUE(LEFT(CH1721,FIND("-",CH1721)-1)))&lt;100,IF(AND(LEN(CH1721)=9,ISERROR(FIND("-",LEFT(CH1721,8))),ISNUMBER(-LEFT(CH1721,8))),VALUE(LEFT(CH1721,4)),VALUE(LEFT(CH1721,FIND("-",CH1721)-1)))+2000,IF(AND(LEN(CH1721)=9,ISERROR(FIND("-",LEFT(CH1721,8))),ISNUMBER(-LEFT(CH1721,8))),VALUE(LEFT(CH1721,4)),VALUE(LEFT(CH1721,FIND("-",CH1721)-1)))),""))</f>
        <v/>
      </c>
      <c r="CN1721">
        <f>IF(CH1721="","",IFERROR(IF(AND(LEN(CH1721)=9,ISERROR(FIND("-",LEFT(CH1721,8))),ISNUMBER(-LEFT(CH1721,8))),VALUE(MID(CH1721,5,2)),VALUE(MID(CH1721,FIND("-",CH1721)+1,FIND("-",CH1721,FIND("-",CH1721)+1)-FIND("-",CH1721)-1))),""))</f>
        <v/>
      </c>
      <c r="CO1721">
        <f>IF(CH1721="","",IFERROR(IF(AND(LEN(CH1721)=9,ISERROR(FIND("-",LEFT(CH1721,8))),ISNUMBER(-LEFT(CH1721,8))),VALUE(MID(CH1721,7,2)),VALUE(MID(CH1721,FIND("-",CH1721,FIND("-",CH1721)+1)+1,FIND("-",CH1721,FIND("-",CH1721,FIND("-",CH1721)+1)+1)-FIND("-",CH1721,FIND("-",CH1721)+1)-1))),""))</f>
        <v/>
      </c>
    </row>
    <row r="1722">
      <c r="CH1722">
        <f>IF(ISTEXT('월 가계부'!A1722),SUBSTITUTE(SUBSTITUTE(SUBSTITUTE(SUBSTITUTE(SUBSTITUTE(SUBSTITUTE(SUBSTITUTE(SUBSTITUTE(SUBSTITUTE(TRIM('월 가계부'!A1722),"년","-"),"월","-"),"일",""),".","-"),"/","-")," ","-"),"--","-"),"--","-"),"--","-")&amp;"-","")</f>
        <v/>
      </c>
      <c r="CI1722">
        <f>IFERROR(IF('월 가계부'!A1722="","",IF(ISNUMBER('월 가계부'!A1722),IF(AND('월 가계부'!A1722&gt;=19000101,'월 가계부'!A1722&lt;=21001231),IF(AND(MOD(INT('월 가계부'!A1722/100),100)&gt;=1,MOD(INT('월 가계부'!A1722/100),100)&lt;=12,MOD(INT('월 가계부'!A1722),100)&gt;=1,MOD(INT('월 가계부'!A1722),100)&lt;=31),IF(MONTH(DATE(INT('월 가계부'!A1722/10000),MOD(INT('월 가계부'!A1722/100),100),MOD(INT('월 가계부'!A1722),100)))=MOD(INT('월 가계부'!A1722/100),100),DATE(INT('월 가계부'!A1722/10000),MOD(INT('월 가계부'!A1722/100),100),MOD(INT('월 가계부'!A1722),100)),""),""),IF(AND('월 가계부'!A1722&gt;=36526,'월 가계부'!A1722&lt;73051),INT('월 가계부'!A1722),"")),IF(OR(CM1722="",CN1722="",CO1722=""),"",IF(AND(CM1722&gt;=2000,CM1722&lt;=2099,CN1722&gt;=1,CN1722&lt;=12,CO1722&gt;=1,CO1722&lt;=31),IF(MONTH(DATE(CM1722,CN1722,CO1722))=CN1722,DATE(CM1722,CN1722,CO1722),""),"")))),"")</f>
        <v/>
      </c>
      <c r="CJ1722">
        <f>IFERROR(IF('월 가계부'!C1722="","",IF(ISNUMBER('월 가계부'!C1722),'월 가계부'!C1722,VALUE(SUBSTITUTE(SUBSTITUTE(SUBSTITUTE(SUBSTITUTE(TRIM('월 가계부'!C1722),",",""),"원","")," ",""),"−","-")))),"")</f>
        <v/>
      </c>
      <c r="CK1722">
        <f>IF(ISNUMBER(CI1722),IF(CI1722&lt;$B$13,CI1722,""),"")</f>
        <v/>
      </c>
      <c r="CM1722">
        <f>IF(CH1722="","",IFERROR(IF(IF(AND(LEN(CH1722)=9,ISERROR(FIND("-",LEFT(CH1722,8))),ISNUMBER(-LEFT(CH1722,8))),VALUE(LEFT(CH1722,4)),VALUE(LEFT(CH1722,FIND("-",CH1722)-1)))&lt;100,IF(AND(LEN(CH1722)=9,ISERROR(FIND("-",LEFT(CH1722,8))),ISNUMBER(-LEFT(CH1722,8))),VALUE(LEFT(CH1722,4)),VALUE(LEFT(CH1722,FIND("-",CH1722)-1)))+2000,IF(AND(LEN(CH1722)=9,ISERROR(FIND("-",LEFT(CH1722,8))),ISNUMBER(-LEFT(CH1722,8))),VALUE(LEFT(CH1722,4)),VALUE(LEFT(CH1722,FIND("-",CH1722)-1)))),""))</f>
        <v/>
      </c>
      <c r="CN1722">
        <f>IF(CH1722="","",IFERROR(IF(AND(LEN(CH1722)=9,ISERROR(FIND("-",LEFT(CH1722,8))),ISNUMBER(-LEFT(CH1722,8))),VALUE(MID(CH1722,5,2)),VALUE(MID(CH1722,FIND("-",CH1722)+1,FIND("-",CH1722,FIND("-",CH1722)+1)-FIND("-",CH1722)-1))),""))</f>
        <v/>
      </c>
      <c r="CO1722">
        <f>IF(CH1722="","",IFERROR(IF(AND(LEN(CH1722)=9,ISERROR(FIND("-",LEFT(CH1722,8))),ISNUMBER(-LEFT(CH1722,8))),VALUE(MID(CH1722,7,2)),VALUE(MID(CH1722,FIND("-",CH1722,FIND("-",CH1722)+1)+1,FIND("-",CH1722,FIND("-",CH1722,FIND("-",CH1722)+1)+1)-FIND("-",CH1722,FIND("-",CH1722)+1)-1))),""))</f>
        <v/>
      </c>
    </row>
    <row r="1723">
      <c r="CH1723">
        <f>IF(ISTEXT('월 가계부'!A1723),SUBSTITUTE(SUBSTITUTE(SUBSTITUTE(SUBSTITUTE(SUBSTITUTE(SUBSTITUTE(SUBSTITUTE(SUBSTITUTE(SUBSTITUTE(TRIM('월 가계부'!A1723),"년","-"),"월","-"),"일",""),".","-"),"/","-")," ","-"),"--","-"),"--","-"),"--","-")&amp;"-","")</f>
        <v/>
      </c>
      <c r="CI1723">
        <f>IFERROR(IF('월 가계부'!A1723="","",IF(ISNUMBER('월 가계부'!A1723),IF(AND('월 가계부'!A1723&gt;=19000101,'월 가계부'!A1723&lt;=21001231),IF(AND(MOD(INT('월 가계부'!A1723/100),100)&gt;=1,MOD(INT('월 가계부'!A1723/100),100)&lt;=12,MOD(INT('월 가계부'!A1723),100)&gt;=1,MOD(INT('월 가계부'!A1723),100)&lt;=31),IF(MONTH(DATE(INT('월 가계부'!A1723/10000),MOD(INT('월 가계부'!A1723/100),100),MOD(INT('월 가계부'!A1723),100)))=MOD(INT('월 가계부'!A1723/100),100),DATE(INT('월 가계부'!A1723/10000),MOD(INT('월 가계부'!A1723/100),100),MOD(INT('월 가계부'!A1723),100)),""),""),IF(AND('월 가계부'!A1723&gt;=36526,'월 가계부'!A1723&lt;73051),INT('월 가계부'!A1723),"")),IF(OR(CM1723="",CN1723="",CO1723=""),"",IF(AND(CM1723&gt;=2000,CM1723&lt;=2099,CN1723&gt;=1,CN1723&lt;=12,CO1723&gt;=1,CO1723&lt;=31),IF(MONTH(DATE(CM1723,CN1723,CO1723))=CN1723,DATE(CM1723,CN1723,CO1723),""),"")))),"")</f>
        <v/>
      </c>
      <c r="CJ1723">
        <f>IFERROR(IF('월 가계부'!C1723="","",IF(ISNUMBER('월 가계부'!C1723),'월 가계부'!C1723,VALUE(SUBSTITUTE(SUBSTITUTE(SUBSTITUTE(SUBSTITUTE(TRIM('월 가계부'!C1723),",",""),"원","")," ",""),"−","-")))),"")</f>
        <v/>
      </c>
      <c r="CK1723">
        <f>IF(ISNUMBER(CI1723),IF(CI1723&lt;$B$13,CI1723,""),"")</f>
        <v/>
      </c>
      <c r="CM1723">
        <f>IF(CH1723="","",IFERROR(IF(IF(AND(LEN(CH1723)=9,ISERROR(FIND("-",LEFT(CH1723,8))),ISNUMBER(-LEFT(CH1723,8))),VALUE(LEFT(CH1723,4)),VALUE(LEFT(CH1723,FIND("-",CH1723)-1)))&lt;100,IF(AND(LEN(CH1723)=9,ISERROR(FIND("-",LEFT(CH1723,8))),ISNUMBER(-LEFT(CH1723,8))),VALUE(LEFT(CH1723,4)),VALUE(LEFT(CH1723,FIND("-",CH1723)-1)))+2000,IF(AND(LEN(CH1723)=9,ISERROR(FIND("-",LEFT(CH1723,8))),ISNUMBER(-LEFT(CH1723,8))),VALUE(LEFT(CH1723,4)),VALUE(LEFT(CH1723,FIND("-",CH1723)-1)))),""))</f>
        <v/>
      </c>
      <c r="CN1723">
        <f>IF(CH1723="","",IFERROR(IF(AND(LEN(CH1723)=9,ISERROR(FIND("-",LEFT(CH1723,8))),ISNUMBER(-LEFT(CH1723,8))),VALUE(MID(CH1723,5,2)),VALUE(MID(CH1723,FIND("-",CH1723)+1,FIND("-",CH1723,FIND("-",CH1723)+1)-FIND("-",CH1723)-1))),""))</f>
        <v/>
      </c>
      <c r="CO1723">
        <f>IF(CH1723="","",IFERROR(IF(AND(LEN(CH1723)=9,ISERROR(FIND("-",LEFT(CH1723,8))),ISNUMBER(-LEFT(CH1723,8))),VALUE(MID(CH1723,7,2)),VALUE(MID(CH1723,FIND("-",CH1723,FIND("-",CH1723)+1)+1,FIND("-",CH1723,FIND("-",CH1723,FIND("-",CH1723)+1)+1)-FIND("-",CH1723,FIND("-",CH1723)+1)-1))),""))</f>
        <v/>
      </c>
    </row>
    <row r="1724">
      <c r="CH1724">
        <f>IF(ISTEXT('월 가계부'!A1724),SUBSTITUTE(SUBSTITUTE(SUBSTITUTE(SUBSTITUTE(SUBSTITUTE(SUBSTITUTE(SUBSTITUTE(SUBSTITUTE(SUBSTITUTE(TRIM('월 가계부'!A1724),"년","-"),"월","-"),"일",""),".","-"),"/","-")," ","-"),"--","-"),"--","-"),"--","-")&amp;"-","")</f>
        <v/>
      </c>
      <c r="CI1724">
        <f>IFERROR(IF('월 가계부'!A1724="","",IF(ISNUMBER('월 가계부'!A1724),IF(AND('월 가계부'!A1724&gt;=19000101,'월 가계부'!A1724&lt;=21001231),IF(AND(MOD(INT('월 가계부'!A1724/100),100)&gt;=1,MOD(INT('월 가계부'!A1724/100),100)&lt;=12,MOD(INT('월 가계부'!A1724),100)&gt;=1,MOD(INT('월 가계부'!A1724),100)&lt;=31),IF(MONTH(DATE(INT('월 가계부'!A1724/10000),MOD(INT('월 가계부'!A1724/100),100),MOD(INT('월 가계부'!A1724),100)))=MOD(INT('월 가계부'!A1724/100),100),DATE(INT('월 가계부'!A1724/10000),MOD(INT('월 가계부'!A1724/100),100),MOD(INT('월 가계부'!A1724),100)),""),""),IF(AND('월 가계부'!A1724&gt;=36526,'월 가계부'!A1724&lt;73051),INT('월 가계부'!A1724),"")),IF(OR(CM1724="",CN1724="",CO1724=""),"",IF(AND(CM1724&gt;=2000,CM1724&lt;=2099,CN1724&gt;=1,CN1724&lt;=12,CO1724&gt;=1,CO1724&lt;=31),IF(MONTH(DATE(CM1724,CN1724,CO1724))=CN1724,DATE(CM1724,CN1724,CO1724),""),"")))),"")</f>
        <v/>
      </c>
      <c r="CJ1724">
        <f>IFERROR(IF('월 가계부'!C1724="","",IF(ISNUMBER('월 가계부'!C1724),'월 가계부'!C1724,VALUE(SUBSTITUTE(SUBSTITUTE(SUBSTITUTE(SUBSTITUTE(TRIM('월 가계부'!C1724),",",""),"원","")," ",""),"−","-")))),"")</f>
        <v/>
      </c>
      <c r="CK1724">
        <f>IF(ISNUMBER(CI1724),IF(CI1724&lt;$B$13,CI1724,""),"")</f>
        <v/>
      </c>
      <c r="CM1724">
        <f>IF(CH1724="","",IFERROR(IF(IF(AND(LEN(CH1724)=9,ISERROR(FIND("-",LEFT(CH1724,8))),ISNUMBER(-LEFT(CH1724,8))),VALUE(LEFT(CH1724,4)),VALUE(LEFT(CH1724,FIND("-",CH1724)-1)))&lt;100,IF(AND(LEN(CH1724)=9,ISERROR(FIND("-",LEFT(CH1724,8))),ISNUMBER(-LEFT(CH1724,8))),VALUE(LEFT(CH1724,4)),VALUE(LEFT(CH1724,FIND("-",CH1724)-1)))+2000,IF(AND(LEN(CH1724)=9,ISERROR(FIND("-",LEFT(CH1724,8))),ISNUMBER(-LEFT(CH1724,8))),VALUE(LEFT(CH1724,4)),VALUE(LEFT(CH1724,FIND("-",CH1724)-1)))),""))</f>
        <v/>
      </c>
      <c r="CN1724">
        <f>IF(CH1724="","",IFERROR(IF(AND(LEN(CH1724)=9,ISERROR(FIND("-",LEFT(CH1724,8))),ISNUMBER(-LEFT(CH1724,8))),VALUE(MID(CH1724,5,2)),VALUE(MID(CH1724,FIND("-",CH1724)+1,FIND("-",CH1724,FIND("-",CH1724)+1)-FIND("-",CH1724)-1))),""))</f>
        <v/>
      </c>
      <c r="CO1724">
        <f>IF(CH1724="","",IFERROR(IF(AND(LEN(CH1724)=9,ISERROR(FIND("-",LEFT(CH1724,8))),ISNUMBER(-LEFT(CH1724,8))),VALUE(MID(CH1724,7,2)),VALUE(MID(CH1724,FIND("-",CH1724,FIND("-",CH1724)+1)+1,FIND("-",CH1724,FIND("-",CH1724,FIND("-",CH1724)+1)+1)-FIND("-",CH1724,FIND("-",CH1724)+1)-1))),""))</f>
        <v/>
      </c>
    </row>
    <row r="1725">
      <c r="CH1725">
        <f>IF(ISTEXT('월 가계부'!A1725),SUBSTITUTE(SUBSTITUTE(SUBSTITUTE(SUBSTITUTE(SUBSTITUTE(SUBSTITUTE(SUBSTITUTE(SUBSTITUTE(SUBSTITUTE(TRIM('월 가계부'!A1725),"년","-"),"월","-"),"일",""),".","-"),"/","-")," ","-"),"--","-"),"--","-"),"--","-")&amp;"-","")</f>
        <v/>
      </c>
      <c r="CI1725">
        <f>IFERROR(IF('월 가계부'!A1725="","",IF(ISNUMBER('월 가계부'!A1725),IF(AND('월 가계부'!A1725&gt;=19000101,'월 가계부'!A1725&lt;=21001231),IF(AND(MOD(INT('월 가계부'!A1725/100),100)&gt;=1,MOD(INT('월 가계부'!A1725/100),100)&lt;=12,MOD(INT('월 가계부'!A1725),100)&gt;=1,MOD(INT('월 가계부'!A1725),100)&lt;=31),IF(MONTH(DATE(INT('월 가계부'!A1725/10000),MOD(INT('월 가계부'!A1725/100),100),MOD(INT('월 가계부'!A1725),100)))=MOD(INT('월 가계부'!A1725/100),100),DATE(INT('월 가계부'!A1725/10000),MOD(INT('월 가계부'!A1725/100),100),MOD(INT('월 가계부'!A1725),100)),""),""),IF(AND('월 가계부'!A1725&gt;=36526,'월 가계부'!A1725&lt;73051),INT('월 가계부'!A1725),"")),IF(OR(CM1725="",CN1725="",CO1725=""),"",IF(AND(CM1725&gt;=2000,CM1725&lt;=2099,CN1725&gt;=1,CN1725&lt;=12,CO1725&gt;=1,CO1725&lt;=31),IF(MONTH(DATE(CM1725,CN1725,CO1725))=CN1725,DATE(CM1725,CN1725,CO1725),""),"")))),"")</f>
        <v/>
      </c>
      <c r="CJ1725">
        <f>IFERROR(IF('월 가계부'!C1725="","",IF(ISNUMBER('월 가계부'!C1725),'월 가계부'!C1725,VALUE(SUBSTITUTE(SUBSTITUTE(SUBSTITUTE(SUBSTITUTE(TRIM('월 가계부'!C1725),",",""),"원","")," ",""),"−","-")))),"")</f>
        <v/>
      </c>
      <c r="CK1725">
        <f>IF(ISNUMBER(CI1725),IF(CI1725&lt;$B$13,CI1725,""),"")</f>
        <v/>
      </c>
      <c r="CM1725">
        <f>IF(CH1725="","",IFERROR(IF(IF(AND(LEN(CH1725)=9,ISERROR(FIND("-",LEFT(CH1725,8))),ISNUMBER(-LEFT(CH1725,8))),VALUE(LEFT(CH1725,4)),VALUE(LEFT(CH1725,FIND("-",CH1725)-1)))&lt;100,IF(AND(LEN(CH1725)=9,ISERROR(FIND("-",LEFT(CH1725,8))),ISNUMBER(-LEFT(CH1725,8))),VALUE(LEFT(CH1725,4)),VALUE(LEFT(CH1725,FIND("-",CH1725)-1)))+2000,IF(AND(LEN(CH1725)=9,ISERROR(FIND("-",LEFT(CH1725,8))),ISNUMBER(-LEFT(CH1725,8))),VALUE(LEFT(CH1725,4)),VALUE(LEFT(CH1725,FIND("-",CH1725)-1)))),""))</f>
        <v/>
      </c>
      <c r="CN1725">
        <f>IF(CH1725="","",IFERROR(IF(AND(LEN(CH1725)=9,ISERROR(FIND("-",LEFT(CH1725,8))),ISNUMBER(-LEFT(CH1725,8))),VALUE(MID(CH1725,5,2)),VALUE(MID(CH1725,FIND("-",CH1725)+1,FIND("-",CH1725,FIND("-",CH1725)+1)-FIND("-",CH1725)-1))),""))</f>
        <v/>
      </c>
      <c r="CO1725">
        <f>IF(CH1725="","",IFERROR(IF(AND(LEN(CH1725)=9,ISERROR(FIND("-",LEFT(CH1725,8))),ISNUMBER(-LEFT(CH1725,8))),VALUE(MID(CH1725,7,2)),VALUE(MID(CH1725,FIND("-",CH1725,FIND("-",CH1725)+1)+1,FIND("-",CH1725,FIND("-",CH1725,FIND("-",CH1725)+1)+1)-FIND("-",CH1725,FIND("-",CH1725)+1)-1))),""))</f>
        <v/>
      </c>
    </row>
    <row r="1726">
      <c r="CH1726">
        <f>IF(ISTEXT('월 가계부'!A1726),SUBSTITUTE(SUBSTITUTE(SUBSTITUTE(SUBSTITUTE(SUBSTITUTE(SUBSTITUTE(SUBSTITUTE(SUBSTITUTE(SUBSTITUTE(TRIM('월 가계부'!A1726),"년","-"),"월","-"),"일",""),".","-"),"/","-")," ","-"),"--","-"),"--","-"),"--","-")&amp;"-","")</f>
        <v/>
      </c>
      <c r="CI1726">
        <f>IFERROR(IF('월 가계부'!A1726="","",IF(ISNUMBER('월 가계부'!A1726),IF(AND('월 가계부'!A1726&gt;=19000101,'월 가계부'!A1726&lt;=21001231),IF(AND(MOD(INT('월 가계부'!A1726/100),100)&gt;=1,MOD(INT('월 가계부'!A1726/100),100)&lt;=12,MOD(INT('월 가계부'!A1726),100)&gt;=1,MOD(INT('월 가계부'!A1726),100)&lt;=31),IF(MONTH(DATE(INT('월 가계부'!A1726/10000),MOD(INT('월 가계부'!A1726/100),100),MOD(INT('월 가계부'!A1726),100)))=MOD(INT('월 가계부'!A1726/100),100),DATE(INT('월 가계부'!A1726/10000),MOD(INT('월 가계부'!A1726/100),100),MOD(INT('월 가계부'!A1726),100)),""),""),IF(AND('월 가계부'!A1726&gt;=36526,'월 가계부'!A1726&lt;73051),INT('월 가계부'!A1726),"")),IF(OR(CM1726="",CN1726="",CO1726=""),"",IF(AND(CM1726&gt;=2000,CM1726&lt;=2099,CN1726&gt;=1,CN1726&lt;=12,CO1726&gt;=1,CO1726&lt;=31),IF(MONTH(DATE(CM1726,CN1726,CO1726))=CN1726,DATE(CM1726,CN1726,CO1726),""),"")))),"")</f>
        <v/>
      </c>
      <c r="CJ1726">
        <f>IFERROR(IF('월 가계부'!C1726="","",IF(ISNUMBER('월 가계부'!C1726),'월 가계부'!C1726,VALUE(SUBSTITUTE(SUBSTITUTE(SUBSTITUTE(SUBSTITUTE(TRIM('월 가계부'!C1726),",",""),"원","")," ",""),"−","-")))),"")</f>
        <v/>
      </c>
      <c r="CK1726">
        <f>IF(ISNUMBER(CI1726),IF(CI1726&lt;$B$13,CI1726,""),"")</f>
        <v/>
      </c>
      <c r="CM1726">
        <f>IF(CH1726="","",IFERROR(IF(IF(AND(LEN(CH1726)=9,ISERROR(FIND("-",LEFT(CH1726,8))),ISNUMBER(-LEFT(CH1726,8))),VALUE(LEFT(CH1726,4)),VALUE(LEFT(CH1726,FIND("-",CH1726)-1)))&lt;100,IF(AND(LEN(CH1726)=9,ISERROR(FIND("-",LEFT(CH1726,8))),ISNUMBER(-LEFT(CH1726,8))),VALUE(LEFT(CH1726,4)),VALUE(LEFT(CH1726,FIND("-",CH1726)-1)))+2000,IF(AND(LEN(CH1726)=9,ISERROR(FIND("-",LEFT(CH1726,8))),ISNUMBER(-LEFT(CH1726,8))),VALUE(LEFT(CH1726,4)),VALUE(LEFT(CH1726,FIND("-",CH1726)-1)))),""))</f>
        <v/>
      </c>
      <c r="CN1726">
        <f>IF(CH1726="","",IFERROR(IF(AND(LEN(CH1726)=9,ISERROR(FIND("-",LEFT(CH1726,8))),ISNUMBER(-LEFT(CH1726,8))),VALUE(MID(CH1726,5,2)),VALUE(MID(CH1726,FIND("-",CH1726)+1,FIND("-",CH1726,FIND("-",CH1726)+1)-FIND("-",CH1726)-1))),""))</f>
        <v/>
      </c>
      <c r="CO1726">
        <f>IF(CH1726="","",IFERROR(IF(AND(LEN(CH1726)=9,ISERROR(FIND("-",LEFT(CH1726,8))),ISNUMBER(-LEFT(CH1726,8))),VALUE(MID(CH1726,7,2)),VALUE(MID(CH1726,FIND("-",CH1726,FIND("-",CH1726)+1)+1,FIND("-",CH1726,FIND("-",CH1726,FIND("-",CH1726)+1)+1)-FIND("-",CH1726,FIND("-",CH1726)+1)-1))),""))</f>
        <v/>
      </c>
    </row>
    <row r="1727">
      <c r="CH1727">
        <f>IF(ISTEXT('월 가계부'!A1727),SUBSTITUTE(SUBSTITUTE(SUBSTITUTE(SUBSTITUTE(SUBSTITUTE(SUBSTITUTE(SUBSTITUTE(SUBSTITUTE(SUBSTITUTE(TRIM('월 가계부'!A1727),"년","-"),"월","-"),"일",""),".","-"),"/","-")," ","-"),"--","-"),"--","-"),"--","-")&amp;"-","")</f>
        <v/>
      </c>
      <c r="CI1727">
        <f>IFERROR(IF('월 가계부'!A1727="","",IF(ISNUMBER('월 가계부'!A1727),IF(AND('월 가계부'!A1727&gt;=19000101,'월 가계부'!A1727&lt;=21001231),IF(AND(MOD(INT('월 가계부'!A1727/100),100)&gt;=1,MOD(INT('월 가계부'!A1727/100),100)&lt;=12,MOD(INT('월 가계부'!A1727),100)&gt;=1,MOD(INT('월 가계부'!A1727),100)&lt;=31),IF(MONTH(DATE(INT('월 가계부'!A1727/10000),MOD(INT('월 가계부'!A1727/100),100),MOD(INT('월 가계부'!A1727),100)))=MOD(INT('월 가계부'!A1727/100),100),DATE(INT('월 가계부'!A1727/10000),MOD(INT('월 가계부'!A1727/100),100),MOD(INT('월 가계부'!A1727),100)),""),""),IF(AND('월 가계부'!A1727&gt;=36526,'월 가계부'!A1727&lt;73051),INT('월 가계부'!A1727),"")),IF(OR(CM1727="",CN1727="",CO1727=""),"",IF(AND(CM1727&gt;=2000,CM1727&lt;=2099,CN1727&gt;=1,CN1727&lt;=12,CO1727&gt;=1,CO1727&lt;=31),IF(MONTH(DATE(CM1727,CN1727,CO1727))=CN1727,DATE(CM1727,CN1727,CO1727),""),"")))),"")</f>
        <v/>
      </c>
      <c r="CJ1727">
        <f>IFERROR(IF('월 가계부'!C1727="","",IF(ISNUMBER('월 가계부'!C1727),'월 가계부'!C1727,VALUE(SUBSTITUTE(SUBSTITUTE(SUBSTITUTE(SUBSTITUTE(TRIM('월 가계부'!C1727),",",""),"원","")," ",""),"−","-")))),"")</f>
        <v/>
      </c>
      <c r="CK1727">
        <f>IF(ISNUMBER(CI1727),IF(CI1727&lt;$B$13,CI1727,""),"")</f>
        <v/>
      </c>
      <c r="CM1727">
        <f>IF(CH1727="","",IFERROR(IF(IF(AND(LEN(CH1727)=9,ISERROR(FIND("-",LEFT(CH1727,8))),ISNUMBER(-LEFT(CH1727,8))),VALUE(LEFT(CH1727,4)),VALUE(LEFT(CH1727,FIND("-",CH1727)-1)))&lt;100,IF(AND(LEN(CH1727)=9,ISERROR(FIND("-",LEFT(CH1727,8))),ISNUMBER(-LEFT(CH1727,8))),VALUE(LEFT(CH1727,4)),VALUE(LEFT(CH1727,FIND("-",CH1727)-1)))+2000,IF(AND(LEN(CH1727)=9,ISERROR(FIND("-",LEFT(CH1727,8))),ISNUMBER(-LEFT(CH1727,8))),VALUE(LEFT(CH1727,4)),VALUE(LEFT(CH1727,FIND("-",CH1727)-1)))),""))</f>
        <v/>
      </c>
      <c r="CN1727">
        <f>IF(CH1727="","",IFERROR(IF(AND(LEN(CH1727)=9,ISERROR(FIND("-",LEFT(CH1727,8))),ISNUMBER(-LEFT(CH1727,8))),VALUE(MID(CH1727,5,2)),VALUE(MID(CH1727,FIND("-",CH1727)+1,FIND("-",CH1727,FIND("-",CH1727)+1)-FIND("-",CH1727)-1))),""))</f>
        <v/>
      </c>
      <c r="CO1727">
        <f>IF(CH1727="","",IFERROR(IF(AND(LEN(CH1727)=9,ISERROR(FIND("-",LEFT(CH1727,8))),ISNUMBER(-LEFT(CH1727,8))),VALUE(MID(CH1727,7,2)),VALUE(MID(CH1727,FIND("-",CH1727,FIND("-",CH1727)+1)+1,FIND("-",CH1727,FIND("-",CH1727,FIND("-",CH1727)+1)+1)-FIND("-",CH1727,FIND("-",CH1727)+1)-1))),""))</f>
        <v/>
      </c>
    </row>
    <row r="1728">
      <c r="CH1728">
        <f>IF(ISTEXT('월 가계부'!A1728),SUBSTITUTE(SUBSTITUTE(SUBSTITUTE(SUBSTITUTE(SUBSTITUTE(SUBSTITUTE(SUBSTITUTE(SUBSTITUTE(SUBSTITUTE(TRIM('월 가계부'!A1728),"년","-"),"월","-"),"일",""),".","-"),"/","-")," ","-"),"--","-"),"--","-"),"--","-")&amp;"-","")</f>
        <v/>
      </c>
      <c r="CI1728">
        <f>IFERROR(IF('월 가계부'!A1728="","",IF(ISNUMBER('월 가계부'!A1728),IF(AND('월 가계부'!A1728&gt;=19000101,'월 가계부'!A1728&lt;=21001231),IF(AND(MOD(INT('월 가계부'!A1728/100),100)&gt;=1,MOD(INT('월 가계부'!A1728/100),100)&lt;=12,MOD(INT('월 가계부'!A1728),100)&gt;=1,MOD(INT('월 가계부'!A1728),100)&lt;=31),IF(MONTH(DATE(INT('월 가계부'!A1728/10000),MOD(INT('월 가계부'!A1728/100),100),MOD(INT('월 가계부'!A1728),100)))=MOD(INT('월 가계부'!A1728/100),100),DATE(INT('월 가계부'!A1728/10000),MOD(INT('월 가계부'!A1728/100),100),MOD(INT('월 가계부'!A1728),100)),""),""),IF(AND('월 가계부'!A1728&gt;=36526,'월 가계부'!A1728&lt;73051),INT('월 가계부'!A1728),"")),IF(OR(CM1728="",CN1728="",CO1728=""),"",IF(AND(CM1728&gt;=2000,CM1728&lt;=2099,CN1728&gt;=1,CN1728&lt;=12,CO1728&gt;=1,CO1728&lt;=31),IF(MONTH(DATE(CM1728,CN1728,CO1728))=CN1728,DATE(CM1728,CN1728,CO1728),""),"")))),"")</f>
        <v/>
      </c>
      <c r="CJ1728">
        <f>IFERROR(IF('월 가계부'!C1728="","",IF(ISNUMBER('월 가계부'!C1728),'월 가계부'!C1728,VALUE(SUBSTITUTE(SUBSTITUTE(SUBSTITUTE(SUBSTITUTE(TRIM('월 가계부'!C1728),",",""),"원","")," ",""),"−","-")))),"")</f>
        <v/>
      </c>
      <c r="CK1728">
        <f>IF(ISNUMBER(CI1728),IF(CI1728&lt;$B$13,CI1728,""),"")</f>
        <v/>
      </c>
      <c r="CM1728">
        <f>IF(CH1728="","",IFERROR(IF(IF(AND(LEN(CH1728)=9,ISERROR(FIND("-",LEFT(CH1728,8))),ISNUMBER(-LEFT(CH1728,8))),VALUE(LEFT(CH1728,4)),VALUE(LEFT(CH1728,FIND("-",CH1728)-1)))&lt;100,IF(AND(LEN(CH1728)=9,ISERROR(FIND("-",LEFT(CH1728,8))),ISNUMBER(-LEFT(CH1728,8))),VALUE(LEFT(CH1728,4)),VALUE(LEFT(CH1728,FIND("-",CH1728)-1)))+2000,IF(AND(LEN(CH1728)=9,ISERROR(FIND("-",LEFT(CH1728,8))),ISNUMBER(-LEFT(CH1728,8))),VALUE(LEFT(CH1728,4)),VALUE(LEFT(CH1728,FIND("-",CH1728)-1)))),""))</f>
        <v/>
      </c>
      <c r="CN1728">
        <f>IF(CH1728="","",IFERROR(IF(AND(LEN(CH1728)=9,ISERROR(FIND("-",LEFT(CH1728,8))),ISNUMBER(-LEFT(CH1728,8))),VALUE(MID(CH1728,5,2)),VALUE(MID(CH1728,FIND("-",CH1728)+1,FIND("-",CH1728,FIND("-",CH1728)+1)-FIND("-",CH1728)-1))),""))</f>
        <v/>
      </c>
      <c r="CO1728">
        <f>IF(CH1728="","",IFERROR(IF(AND(LEN(CH1728)=9,ISERROR(FIND("-",LEFT(CH1728,8))),ISNUMBER(-LEFT(CH1728,8))),VALUE(MID(CH1728,7,2)),VALUE(MID(CH1728,FIND("-",CH1728,FIND("-",CH1728)+1)+1,FIND("-",CH1728,FIND("-",CH1728,FIND("-",CH1728)+1)+1)-FIND("-",CH1728,FIND("-",CH1728)+1)-1))),""))</f>
        <v/>
      </c>
    </row>
    <row r="1729">
      <c r="CH1729">
        <f>IF(ISTEXT('월 가계부'!A1729),SUBSTITUTE(SUBSTITUTE(SUBSTITUTE(SUBSTITUTE(SUBSTITUTE(SUBSTITUTE(SUBSTITUTE(SUBSTITUTE(SUBSTITUTE(TRIM('월 가계부'!A1729),"년","-"),"월","-"),"일",""),".","-"),"/","-")," ","-"),"--","-"),"--","-"),"--","-")&amp;"-","")</f>
        <v/>
      </c>
      <c r="CI1729">
        <f>IFERROR(IF('월 가계부'!A1729="","",IF(ISNUMBER('월 가계부'!A1729),IF(AND('월 가계부'!A1729&gt;=19000101,'월 가계부'!A1729&lt;=21001231),IF(AND(MOD(INT('월 가계부'!A1729/100),100)&gt;=1,MOD(INT('월 가계부'!A1729/100),100)&lt;=12,MOD(INT('월 가계부'!A1729),100)&gt;=1,MOD(INT('월 가계부'!A1729),100)&lt;=31),IF(MONTH(DATE(INT('월 가계부'!A1729/10000),MOD(INT('월 가계부'!A1729/100),100),MOD(INT('월 가계부'!A1729),100)))=MOD(INT('월 가계부'!A1729/100),100),DATE(INT('월 가계부'!A1729/10000),MOD(INT('월 가계부'!A1729/100),100),MOD(INT('월 가계부'!A1729),100)),""),""),IF(AND('월 가계부'!A1729&gt;=36526,'월 가계부'!A1729&lt;73051),INT('월 가계부'!A1729),"")),IF(OR(CM1729="",CN1729="",CO1729=""),"",IF(AND(CM1729&gt;=2000,CM1729&lt;=2099,CN1729&gt;=1,CN1729&lt;=12,CO1729&gt;=1,CO1729&lt;=31),IF(MONTH(DATE(CM1729,CN1729,CO1729))=CN1729,DATE(CM1729,CN1729,CO1729),""),"")))),"")</f>
        <v/>
      </c>
      <c r="CJ1729">
        <f>IFERROR(IF('월 가계부'!C1729="","",IF(ISNUMBER('월 가계부'!C1729),'월 가계부'!C1729,VALUE(SUBSTITUTE(SUBSTITUTE(SUBSTITUTE(SUBSTITUTE(TRIM('월 가계부'!C1729),",",""),"원","")," ",""),"−","-")))),"")</f>
        <v/>
      </c>
      <c r="CK1729">
        <f>IF(ISNUMBER(CI1729),IF(CI1729&lt;$B$13,CI1729,""),"")</f>
        <v/>
      </c>
      <c r="CM1729">
        <f>IF(CH1729="","",IFERROR(IF(IF(AND(LEN(CH1729)=9,ISERROR(FIND("-",LEFT(CH1729,8))),ISNUMBER(-LEFT(CH1729,8))),VALUE(LEFT(CH1729,4)),VALUE(LEFT(CH1729,FIND("-",CH1729)-1)))&lt;100,IF(AND(LEN(CH1729)=9,ISERROR(FIND("-",LEFT(CH1729,8))),ISNUMBER(-LEFT(CH1729,8))),VALUE(LEFT(CH1729,4)),VALUE(LEFT(CH1729,FIND("-",CH1729)-1)))+2000,IF(AND(LEN(CH1729)=9,ISERROR(FIND("-",LEFT(CH1729,8))),ISNUMBER(-LEFT(CH1729,8))),VALUE(LEFT(CH1729,4)),VALUE(LEFT(CH1729,FIND("-",CH1729)-1)))),""))</f>
        <v/>
      </c>
      <c r="CN1729">
        <f>IF(CH1729="","",IFERROR(IF(AND(LEN(CH1729)=9,ISERROR(FIND("-",LEFT(CH1729,8))),ISNUMBER(-LEFT(CH1729,8))),VALUE(MID(CH1729,5,2)),VALUE(MID(CH1729,FIND("-",CH1729)+1,FIND("-",CH1729,FIND("-",CH1729)+1)-FIND("-",CH1729)-1))),""))</f>
        <v/>
      </c>
      <c r="CO1729">
        <f>IF(CH1729="","",IFERROR(IF(AND(LEN(CH1729)=9,ISERROR(FIND("-",LEFT(CH1729,8))),ISNUMBER(-LEFT(CH1729,8))),VALUE(MID(CH1729,7,2)),VALUE(MID(CH1729,FIND("-",CH1729,FIND("-",CH1729)+1)+1,FIND("-",CH1729,FIND("-",CH1729,FIND("-",CH1729)+1)+1)-FIND("-",CH1729,FIND("-",CH1729)+1)-1))),""))</f>
        <v/>
      </c>
    </row>
    <row r="1730">
      <c r="CH1730">
        <f>IF(ISTEXT('월 가계부'!A1730),SUBSTITUTE(SUBSTITUTE(SUBSTITUTE(SUBSTITUTE(SUBSTITUTE(SUBSTITUTE(SUBSTITUTE(SUBSTITUTE(SUBSTITUTE(TRIM('월 가계부'!A1730),"년","-"),"월","-"),"일",""),".","-"),"/","-")," ","-"),"--","-"),"--","-"),"--","-")&amp;"-","")</f>
        <v/>
      </c>
      <c r="CI1730">
        <f>IFERROR(IF('월 가계부'!A1730="","",IF(ISNUMBER('월 가계부'!A1730),IF(AND('월 가계부'!A1730&gt;=19000101,'월 가계부'!A1730&lt;=21001231),IF(AND(MOD(INT('월 가계부'!A1730/100),100)&gt;=1,MOD(INT('월 가계부'!A1730/100),100)&lt;=12,MOD(INT('월 가계부'!A1730),100)&gt;=1,MOD(INT('월 가계부'!A1730),100)&lt;=31),IF(MONTH(DATE(INT('월 가계부'!A1730/10000),MOD(INT('월 가계부'!A1730/100),100),MOD(INT('월 가계부'!A1730),100)))=MOD(INT('월 가계부'!A1730/100),100),DATE(INT('월 가계부'!A1730/10000),MOD(INT('월 가계부'!A1730/100),100),MOD(INT('월 가계부'!A1730),100)),""),""),IF(AND('월 가계부'!A1730&gt;=36526,'월 가계부'!A1730&lt;73051),INT('월 가계부'!A1730),"")),IF(OR(CM1730="",CN1730="",CO1730=""),"",IF(AND(CM1730&gt;=2000,CM1730&lt;=2099,CN1730&gt;=1,CN1730&lt;=12,CO1730&gt;=1,CO1730&lt;=31),IF(MONTH(DATE(CM1730,CN1730,CO1730))=CN1730,DATE(CM1730,CN1730,CO1730),""),"")))),"")</f>
        <v/>
      </c>
      <c r="CJ1730">
        <f>IFERROR(IF('월 가계부'!C1730="","",IF(ISNUMBER('월 가계부'!C1730),'월 가계부'!C1730,VALUE(SUBSTITUTE(SUBSTITUTE(SUBSTITUTE(SUBSTITUTE(TRIM('월 가계부'!C1730),",",""),"원","")," ",""),"−","-")))),"")</f>
        <v/>
      </c>
      <c r="CK1730">
        <f>IF(ISNUMBER(CI1730),IF(CI1730&lt;$B$13,CI1730,""),"")</f>
        <v/>
      </c>
      <c r="CM1730">
        <f>IF(CH1730="","",IFERROR(IF(IF(AND(LEN(CH1730)=9,ISERROR(FIND("-",LEFT(CH1730,8))),ISNUMBER(-LEFT(CH1730,8))),VALUE(LEFT(CH1730,4)),VALUE(LEFT(CH1730,FIND("-",CH1730)-1)))&lt;100,IF(AND(LEN(CH1730)=9,ISERROR(FIND("-",LEFT(CH1730,8))),ISNUMBER(-LEFT(CH1730,8))),VALUE(LEFT(CH1730,4)),VALUE(LEFT(CH1730,FIND("-",CH1730)-1)))+2000,IF(AND(LEN(CH1730)=9,ISERROR(FIND("-",LEFT(CH1730,8))),ISNUMBER(-LEFT(CH1730,8))),VALUE(LEFT(CH1730,4)),VALUE(LEFT(CH1730,FIND("-",CH1730)-1)))),""))</f>
        <v/>
      </c>
      <c r="CN1730">
        <f>IF(CH1730="","",IFERROR(IF(AND(LEN(CH1730)=9,ISERROR(FIND("-",LEFT(CH1730,8))),ISNUMBER(-LEFT(CH1730,8))),VALUE(MID(CH1730,5,2)),VALUE(MID(CH1730,FIND("-",CH1730)+1,FIND("-",CH1730,FIND("-",CH1730)+1)-FIND("-",CH1730)-1))),""))</f>
        <v/>
      </c>
      <c r="CO1730">
        <f>IF(CH1730="","",IFERROR(IF(AND(LEN(CH1730)=9,ISERROR(FIND("-",LEFT(CH1730,8))),ISNUMBER(-LEFT(CH1730,8))),VALUE(MID(CH1730,7,2)),VALUE(MID(CH1730,FIND("-",CH1730,FIND("-",CH1730)+1)+1,FIND("-",CH1730,FIND("-",CH1730,FIND("-",CH1730)+1)+1)-FIND("-",CH1730,FIND("-",CH1730)+1)-1))),""))</f>
        <v/>
      </c>
    </row>
    <row r="1731">
      <c r="CH1731">
        <f>IF(ISTEXT('월 가계부'!A1731),SUBSTITUTE(SUBSTITUTE(SUBSTITUTE(SUBSTITUTE(SUBSTITUTE(SUBSTITUTE(SUBSTITUTE(SUBSTITUTE(SUBSTITUTE(TRIM('월 가계부'!A1731),"년","-"),"월","-"),"일",""),".","-"),"/","-")," ","-"),"--","-"),"--","-"),"--","-")&amp;"-","")</f>
        <v/>
      </c>
      <c r="CI1731">
        <f>IFERROR(IF('월 가계부'!A1731="","",IF(ISNUMBER('월 가계부'!A1731),IF(AND('월 가계부'!A1731&gt;=19000101,'월 가계부'!A1731&lt;=21001231),IF(AND(MOD(INT('월 가계부'!A1731/100),100)&gt;=1,MOD(INT('월 가계부'!A1731/100),100)&lt;=12,MOD(INT('월 가계부'!A1731),100)&gt;=1,MOD(INT('월 가계부'!A1731),100)&lt;=31),IF(MONTH(DATE(INT('월 가계부'!A1731/10000),MOD(INT('월 가계부'!A1731/100),100),MOD(INT('월 가계부'!A1731),100)))=MOD(INT('월 가계부'!A1731/100),100),DATE(INT('월 가계부'!A1731/10000),MOD(INT('월 가계부'!A1731/100),100),MOD(INT('월 가계부'!A1731),100)),""),""),IF(AND('월 가계부'!A1731&gt;=36526,'월 가계부'!A1731&lt;73051),INT('월 가계부'!A1731),"")),IF(OR(CM1731="",CN1731="",CO1731=""),"",IF(AND(CM1731&gt;=2000,CM1731&lt;=2099,CN1731&gt;=1,CN1731&lt;=12,CO1731&gt;=1,CO1731&lt;=31),IF(MONTH(DATE(CM1731,CN1731,CO1731))=CN1731,DATE(CM1731,CN1731,CO1731),""),"")))),"")</f>
        <v/>
      </c>
      <c r="CJ1731">
        <f>IFERROR(IF('월 가계부'!C1731="","",IF(ISNUMBER('월 가계부'!C1731),'월 가계부'!C1731,VALUE(SUBSTITUTE(SUBSTITUTE(SUBSTITUTE(SUBSTITUTE(TRIM('월 가계부'!C1731),",",""),"원","")," ",""),"−","-")))),"")</f>
        <v/>
      </c>
      <c r="CK1731">
        <f>IF(ISNUMBER(CI1731),IF(CI1731&lt;$B$13,CI1731,""),"")</f>
        <v/>
      </c>
      <c r="CM1731">
        <f>IF(CH1731="","",IFERROR(IF(IF(AND(LEN(CH1731)=9,ISERROR(FIND("-",LEFT(CH1731,8))),ISNUMBER(-LEFT(CH1731,8))),VALUE(LEFT(CH1731,4)),VALUE(LEFT(CH1731,FIND("-",CH1731)-1)))&lt;100,IF(AND(LEN(CH1731)=9,ISERROR(FIND("-",LEFT(CH1731,8))),ISNUMBER(-LEFT(CH1731,8))),VALUE(LEFT(CH1731,4)),VALUE(LEFT(CH1731,FIND("-",CH1731)-1)))+2000,IF(AND(LEN(CH1731)=9,ISERROR(FIND("-",LEFT(CH1731,8))),ISNUMBER(-LEFT(CH1731,8))),VALUE(LEFT(CH1731,4)),VALUE(LEFT(CH1731,FIND("-",CH1731)-1)))),""))</f>
        <v/>
      </c>
      <c r="CN1731">
        <f>IF(CH1731="","",IFERROR(IF(AND(LEN(CH1731)=9,ISERROR(FIND("-",LEFT(CH1731,8))),ISNUMBER(-LEFT(CH1731,8))),VALUE(MID(CH1731,5,2)),VALUE(MID(CH1731,FIND("-",CH1731)+1,FIND("-",CH1731,FIND("-",CH1731)+1)-FIND("-",CH1731)-1))),""))</f>
        <v/>
      </c>
      <c r="CO1731">
        <f>IF(CH1731="","",IFERROR(IF(AND(LEN(CH1731)=9,ISERROR(FIND("-",LEFT(CH1731,8))),ISNUMBER(-LEFT(CH1731,8))),VALUE(MID(CH1731,7,2)),VALUE(MID(CH1731,FIND("-",CH1731,FIND("-",CH1731)+1)+1,FIND("-",CH1731,FIND("-",CH1731,FIND("-",CH1731)+1)+1)-FIND("-",CH1731,FIND("-",CH1731)+1)-1))),""))</f>
        <v/>
      </c>
    </row>
    <row r="1732">
      <c r="CH1732">
        <f>IF(ISTEXT('월 가계부'!A1732),SUBSTITUTE(SUBSTITUTE(SUBSTITUTE(SUBSTITUTE(SUBSTITUTE(SUBSTITUTE(SUBSTITUTE(SUBSTITUTE(SUBSTITUTE(TRIM('월 가계부'!A1732),"년","-"),"월","-"),"일",""),".","-"),"/","-")," ","-"),"--","-"),"--","-"),"--","-")&amp;"-","")</f>
        <v/>
      </c>
      <c r="CI1732">
        <f>IFERROR(IF('월 가계부'!A1732="","",IF(ISNUMBER('월 가계부'!A1732),IF(AND('월 가계부'!A1732&gt;=19000101,'월 가계부'!A1732&lt;=21001231),IF(AND(MOD(INT('월 가계부'!A1732/100),100)&gt;=1,MOD(INT('월 가계부'!A1732/100),100)&lt;=12,MOD(INT('월 가계부'!A1732),100)&gt;=1,MOD(INT('월 가계부'!A1732),100)&lt;=31),IF(MONTH(DATE(INT('월 가계부'!A1732/10000),MOD(INT('월 가계부'!A1732/100),100),MOD(INT('월 가계부'!A1732),100)))=MOD(INT('월 가계부'!A1732/100),100),DATE(INT('월 가계부'!A1732/10000),MOD(INT('월 가계부'!A1732/100),100),MOD(INT('월 가계부'!A1732),100)),""),""),IF(AND('월 가계부'!A1732&gt;=36526,'월 가계부'!A1732&lt;73051),INT('월 가계부'!A1732),"")),IF(OR(CM1732="",CN1732="",CO1732=""),"",IF(AND(CM1732&gt;=2000,CM1732&lt;=2099,CN1732&gt;=1,CN1732&lt;=12,CO1732&gt;=1,CO1732&lt;=31),IF(MONTH(DATE(CM1732,CN1732,CO1732))=CN1732,DATE(CM1732,CN1732,CO1732),""),"")))),"")</f>
        <v/>
      </c>
      <c r="CJ1732">
        <f>IFERROR(IF('월 가계부'!C1732="","",IF(ISNUMBER('월 가계부'!C1732),'월 가계부'!C1732,VALUE(SUBSTITUTE(SUBSTITUTE(SUBSTITUTE(SUBSTITUTE(TRIM('월 가계부'!C1732),",",""),"원","")," ",""),"−","-")))),"")</f>
        <v/>
      </c>
      <c r="CK1732">
        <f>IF(ISNUMBER(CI1732),IF(CI1732&lt;$B$13,CI1732,""),"")</f>
        <v/>
      </c>
      <c r="CM1732">
        <f>IF(CH1732="","",IFERROR(IF(IF(AND(LEN(CH1732)=9,ISERROR(FIND("-",LEFT(CH1732,8))),ISNUMBER(-LEFT(CH1732,8))),VALUE(LEFT(CH1732,4)),VALUE(LEFT(CH1732,FIND("-",CH1732)-1)))&lt;100,IF(AND(LEN(CH1732)=9,ISERROR(FIND("-",LEFT(CH1732,8))),ISNUMBER(-LEFT(CH1732,8))),VALUE(LEFT(CH1732,4)),VALUE(LEFT(CH1732,FIND("-",CH1732)-1)))+2000,IF(AND(LEN(CH1732)=9,ISERROR(FIND("-",LEFT(CH1732,8))),ISNUMBER(-LEFT(CH1732,8))),VALUE(LEFT(CH1732,4)),VALUE(LEFT(CH1732,FIND("-",CH1732)-1)))),""))</f>
        <v/>
      </c>
      <c r="CN1732">
        <f>IF(CH1732="","",IFERROR(IF(AND(LEN(CH1732)=9,ISERROR(FIND("-",LEFT(CH1732,8))),ISNUMBER(-LEFT(CH1732,8))),VALUE(MID(CH1732,5,2)),VALUE(MID(CH1732,FIND("-",CH1732)+1,FIND("-",CH1732,FIND("-",CH1732)+1)-FIND("-",CH1732)-1))),""))</f>
        <v/>
      </c>
      <c r="CO1732">
        <f>IF(CH1732="","",IFERROR(IF(AND(LEN(CH1732)=9,ISERROR(FIND("-",LEFT(CH1732,8))),ISNUMBER(-LEFT(CH1732,8))),VALUE(MID(CH1732,7,2)),VALUE(MID(CH1732,FIND("-",CH1732,FIND("-",CH1732)+1)+1,FIND("-",CH1732,FIND("-",CH1732,FIND("-",CH1732)+1)+1)-FIND("-",CH1732,FIND("-",CH1732)+1)-1))),""))</f>
        <v/>
      </c>
    </row>
    <row r="1733">
      <c r="CH1733">
        <f>IF(ISTEXT('월 가계부'!A1733),SUBSTITUTE(SUBSTITUTE(SUBSTITUTE(SUBSTITUTE(SUBSTITUTE(SUBSTITUTE(SUBSTITUTE(SUBSTITUTE(SUBSTITUTE(TRIM('월 가계부'!A1733),"년","-"),"월","-"),"일",""),".","-"),"/","-")," ","-"),"--","-"),"--","-"),"--","-")&amp;"-","")</f>
        <v/>
      </c>
      <c r="CI1733">
        <f>IFERROR(IF('월 가계부'!A1733="","",IF(ISNUMBER('월 가계부'!A1733),IF(AND('월 가계부'!A1733&gt;=19000101,'월 가계부'!A1733&lt;=21001231),IF(AND(MOD(INT('월 가계부'!A1733/100),100)&gt;=1,MOD(INT('월 가계부'!A1733/100),100)&lt;=12,MOD(INT('월 가계부'!A1733),100)&gt;=1,MOD(INT('월 가계부'!A1733),100)&lt;=31),IF(MONTH(DATE(INT('월 가계부'!A1733/10000),MOD(INT('월 가계부'!A1733/100),100),MOD(INT('월 가계부'!A1733),100)))=MOD(INT('월 가계부'!A1733/100),100),DATE(INT('월 가계부'!A1733/10000),MOD(INT('월 가계부'!A1733/100),100),MOD(INT('월 가계부'!A1733),100)),""),""),IF(AND('월 가계부'!A1733&gt;=36526,'월 가계부'!A1733&lt;73051),INT('월 가계부'!A1733),"")),IF(OR(CM1733="",CN1733="",CO1733=""),"",IF(AND(CM1733&gt;=2000,CM1733&lt;=2099,CN1733&gt;=1,CN1733&lt;=12,CO1733&gt;=1,CO1733&lt;=31),IF(MONTH(DATE(CM1733,CN1733,CO1733))=CN1733,DATE(CM1733,CN1733,CO1733),""),"")))),"")</f>
        <v/>
      </c>
      <c r="CJ1733">
        <f>IFERROR(IF('월 가계부'!C1733="","",IF(ISNUMBER('월 가계부'!C1733),'월 가계부'!C1733,VALUE(SUBSTITUTE(SUBSTITUTE(SUBSTITUTE(SUBSTITUTE(TRIM('월 가계부'!C1733),",",""),"원","")," ",""),"−","-")))),"")</f>
        <v/>
      </c>
      <c r="CK1733">
        <f>IF(ISNUMBER(CI1733),IF(CI1733&lt;$B$13,CI1733,""),"")</f>
        <v/>
      </c>
      <c r="CM1733">
        <f>IF(CH1733="","",IFERROR(IF(IF(AND(LEN(CH1733)=9,ISERROR(FIND("-",LEFT(CH1733,8))),ISNUMBER(-LEFT(CH1733,8))),VALUE(LEFT(CH1733,4)),VALUE(LEFT(CH1733,FIND("-",CH1733)-1)))&lt;100,IF(AND(LEN(CH1733)=9,ISERROR(FIND("-",LEFT(CH1733,8))),ISNUMBER(-LEFT(CH1733,8))),VALUE(LEFT(CH1733,4)),VALUE(LEFT(CH1733,FIND("-",CH1733)-1)))+2000,IF(AND(LEN(CH1733)=9,ISERROR(FIND("-",LEFT(CH1733,8))),ISNUMBER(-LEFT(CH1733,8))),VALUE(LEFT(CH1733,4)),VALUE(LEFT(CH1733,FIND("-",CH1733)-1)))),""))</f>
        <v/>
      </c>
      <c r="CN1733">
        <f>IF(CH1733="","",IFERROR(IF(AND(LEN(CH1733)=9,ISERROR(FIND("-",LEFT(CH1733,8))),ISNUMBER(-LEFT(CH1733,8))),VALUE(MID(CH1733,5,2)),VALUE(MID(CH1733,FIND("-",CH1733)+1,FIND("-",CH1733,FIND("-",CH1733)+1)-FIND("-",CH1733)-1))),""))</f>
        <v/>
      </c>
      <c r="CO1733">
        <f>IF(CH1733="","",IFERROR(IF(AND(LEN(CH1733)=9,ISERROR(FIND("-",LEFT(CH1733,8))),ISNUMBER(-LEFT(CH1733,8))),VALUE(MID(CH1733,7,2)),VALUE(MID(CH1733,FIND("-",CH1733,FIND("-",CH1733)+1)+1,FIND("-",CH1733,FIND("-",CH1733,FIND("-",CH1733)+1)+1)-FIND("-",CH1733,FIND("-",CH1733)+1)-1))),""))</f>
        <v/>
      </c>
    </row>
    <row r="1734">
      <c r="CH1734">
        <f>IF(ISTEXT('월 가계부'!A1734),SUBSTITUTE(SUBSTITUTE(SUBSTITUTE(SUBSTITUTE(SUBSTITUTE(SUBSTITUTE(SUBSTITUTE(SUBSTITUTE(SUBSTITUTE(TRIM('월 가계부'!A1734),"년","-"),"월","-"),"일",""),".","-"),"/","-")," ","-"),"--","-"),"--","-"),"--","-")&amp;"-","")</f>
        <v/>
      </c>
      <c r="CI1734">
        <f>IFERROR(IF('월 가계부'!A1734="","",IF(ISNUMBER('월 가계부'!A1734),IF(AND('월 가계부'!A1734&gt;=19000101,'월 가계부'!A1734&lt;=21001231),IF(AND(MOD(INT('월 가계부'!A1734/100),100)&gt;=1,MOD(INT('월 가계부'!A1734/100),100)&lt;=12,MOD(INT('월 가계부'!A1734),100)&gt;=1,MOD(INT('월 가계부'!A1734),100)&lt;=31),IF(MONTH(DATE(INT('월 가계부'!A1734/10000),MOD(INT('월 가계부'!A1734/100),100),MOD(INT('월 가계부'!A1734),100)))=MOD(INT('월 가계부'!A1734/100),100),DATE(INT('월 가계부'!A1734/10000),MOD(INT('월 가계부'!A1734/100),100),MOD(INT('월 가계부'!A1734),100)),""),""),IF(AND('월 가계부'!A1734&gt;=36526,'월 가계부'!A1734&lt;73051),INT('월 가계부'!A1734),"")),IF(OR(CM1734="",CN1734="",CO1734=""),"",IF(AND(CM1734&gt;=2000,CM1734&lt;=2099,CN1734&gt;=1,CN1734&lt;=12,CO1734&gt;=1,CO1734&lt;=31),IF(MONTH(DATE(CM1734,CN1734,CO1734))=CN1734,DATE(CM1734,CN1734,CO1734),""),"")))),"")</f>
        <v/>
      </c>
      <c r="CJ1734">
        <f>IFERROR(IF('월 가계부'!C1734="","",IF(ISNUMBER('월 가계부'!C1734),'월 가계부'!C1734,VALUE(SUBSTITUTE(SUBSTITUTE(SUBSTITUTE(SUBSTITUTE(TRIM('월 가계부'!C1734),",",""),"원","")," ",""),"−","-")))),"")</f>
        <v/>
      </c>
      <c r="CK1734">
        <f>IF(ISNUMBER(CI1734),IF(CI1734&lt;$B$13,CI1734,""),"")</f>
        <v/>
      </c>
      <c r="CM1734">
        <f>IF(CH1734="","",IFERROR(IF(IF(AND(LEN(CH1734)=9,ISERROR(FIND("-",LEFT(CH1734,8))),ISNUMBER(-LEFT(CH1734,8))),VALUE(LEFT(CH1734,4)),VALUE(LEFT(CH1734,FIND("-",CH1734)-1)))&lt;100,IF(AND(LEN(CH1734)=9,ISERROR(FIND("-",LEFT(CH1734,8))),ISNUMBER(-LEFT(CH1734,8))),VALUE(LEFT(CH1734,4)),VALUE(LEFT(CH1734,FIND("-",CH1734)-1)))+2000,IF(AND(LEN(CH1734)=9,ISERROR(FIND("-",LEFT(CH1734,8))),ISNUMBER(-LEFT(CH1734,8))),VALUE(LEFT(CH1734,4)),VALUE(LEFT(CH1734,FIND("-",CH1734)-1)))),""))</f>
        <v/>
      </c>
      <c r="CN1734">
        <f>IF(CH1734="","",IFERROR(IF(AND(LEN(CH1734)=9,ISERROR(FIND("-",LEFT(CH1734,8))),ISNUMBER(-LEFT(CH1734,8))),VALUE(MID(CH1734,5,2)),VALUE(MID(CH1734,FIND("-",CH1734)+1,FIND("-",CH1734,FIND("-",CH1734)+1)-FIND("-",CH1734)-1))),""))</f>
        <v/>
      </c>
      <c r="CO1734">
        <f>IF(CH1734="","",IFERROR(IF(AND(LEN(CH1734)=9,ISERROR(FIND("-",LEFT(CH1734,8))),ISNUMBER(-LEFT(CH1734,8))),VALUE(MID(CH1734,7,2)),VALUE(MID(CH1734,FIND("-",CH1734,FIND("-",CH1734)+1)+1,FIND("-",CH1734,FIND("-",CH1734,FIND("-",CH1734)+1)+1)-FIND("-",CH1734,FIND("-",CH1734)+1)-1))),""))</f>
        <v/>
      </c>
    </row>
    <row r="1735">
      <c r="CH1735">
        <f>IF(ISTEXT('월 가계부'!A1735),SUBSTITUTE(SUBSTITUTE(SUBSTITUTE(SUBSTITUTE(SUBSTITUTE(SUBSTITUTE(SUBSTITUTE(SUBSTITUTE(SUBSTITUTE(TRIM('월 가계부'!A1735),"년","-"),"월","-"),"일",""),".","-"),"/","-")," ","-"),"--","-"),"--","-"),"--","-")&amp;"-","")</f>
        <v/>
      </c>
      <c r="CI1735">
        <f>IFERROR(IF('월 가계부'!A1735="","",IF(ISNUMBER('월 가계부'!A1735),IF(AND('월 가계부'!A1735&gt;=19000101,'월 가계부'!A1735&lt;=21001231),IF(AND(MOD(INT('월 가계부'!A1735/100),100)&gt;=1,MOD(INT('월 가계부'!A1735/100),100)&lt;=12,MOD(INT('월 가계부'!A1735),100)&gt;=1,MOD(INT('월 가계부'!A1735),100)&lt;=31),IF(MONTH(DATE(INT('월 가계부'!A1735/10000),MOD(INT('월 가계부'!A1735/100),100),MOD(INT('월 가계부'!A1735),100)))=MOD(INT('월 가계부'!A1735/100),100),DATE(INT('월 가계부'!A1735/10000),MOD(INT('월 가계부'!A1735/100),100),MOD(INT('월 가계부'!A1735),100)),""),""),IF(AND('월 가계부'!A1735&gt;=36526,'월 가계부'!A1735&lt;73051),INT('월 가계부'!A1735),"")),IF(OR(CM1735="",CN1735="",CO1735=""),"",IF(AND(CM1735&gt;=2000,CM1735&lt;=2099,CN1735&gt;=1,CN1735&lt;=12,CO1735&gt;=1,CO1735&lt;=31),IF(MONTH(DATE(CM1735,CN1735,CO1735))=CN1735,DATE(CM1735,CN1735,CO1735),""),"")))),"")</f>
        <v/>
      </c>
      <c r="CJ1735">
        <f>IFERROR(IF('월 가계부'!C1735="","",IF(ISNUMBER('월 가계부'!C1735),'월 가계부'!C1735,VALUE(SUBSTITUTE(SUBSTITUTE(SUBSTITUTE(SUBSTITUTE(TRIM('월 가계부'!C1735),",",""),"원","")," ",""),"−","-")))),"")</f>
        <v/>
      </c>
      <c r="CK1735">
        <f>IF(ISNUMBER(CI1735),IF(CI1735&lt;$B$13,CI1735,""),"")</f>
        <v/>
      </c>
      <c r="CM1735">
        <f>IF(CH1735="","",IFERROR(IF(IF(AND(LEN(CH1735)=9,ISERROR(FIND("-",LEFT(CH1735,8))),ISNUMBER(-LEFT(CH1735,8))),VALUE(LEFT(CH1735,4)),VALUE(LEFT(CH1735,FIND("-",CH1735)-1)))&lt;100,IF(AND(LEN(CH1735)=9,ISERROR(FIND("-",LEFT(CH1735,8))),ISNUMBER(-LEFT(CH1735,8))),VALUE(LEFT(CH1735,4)),VALUE(LEFT(CH1735,FIND("-",CH1735)-1)))+2000,IF(AND(LEN(CH1735)=9,ISERROR(FIND("-",LEFT(CH1735,8))),ISNUMBER(-LEFT(CH1735,8))),VALUE(LEFT(CH1735,4)),VALUE(LEFT(CH1735,FIND("-",CH1735)-1)))),""))</f>
        <v/>
      </c>
      <c r="CN1735">
        <f>IF(CH1735="","",IFERROR(IF(AND(LEN(CH1735)=9,ISERROR(FIND("-",LEFT(CH1735,8))),ISNUMBER(-LEFT(CH1735,8))),VALUE(MID(CH1735,5,2)),VALUE(MID(CH1735,FIND("-",CH1735)+1,FIND("-",CH1735,FIND("-",CH1735)+1)-FIND("-",CH1735)-1))),""))</f>
        <v/>
      </c>
      <c r="CO1735">
        <f>IF(CH1735="","",IFERROR(IF(AND(LEN(CH1735)=9,ISERROR(FIND("-",LEFT(CH1735,8))),ISNUMBER(-LEFT(CH1735,8))),VALUE(MID(CH1735,7,2)),VALUE(MID(CH1735,FIND("-",CH1735,FIND("-",CH1735)+1)+1,FIND("-",CH1735,FIND("-",CH1735,FIND("-",CH1735)+1)+1)-FIND("-",CH1735,FIND("-",CH1735)+1)-1))),""))</f>
        <v/>
      </c>
    </row>
    <row r="1736">
      <c r="CH1736">
        <f>IF(ISTEXT('월 가계부'!A1736),SUBSTITUTE(SUBSTITUTE(SUBSTITUTE(SUBSTITUTE(SUBSTITUTE(SUBSTITUTE(SUBSTITUTE(SUBSTITUTE(SUBSTITUTE(TRIM('월 가계부'!A1736),"년","-"),"월","-"),"일",""),".","-"),"/","-")," ","-"),"--","-"),"--","-"),"--","-")&amp;"-","")</f>
        <v/>
      </c>
      <c r="CI1736">
        <f>IFERROR(IF('월 가계부'!A1736="","",IF(ISNUMBER('월 가계부'!A1736),IF(AND('월 가계부'!A1736&gt;=19000101,'월 가계부'!A1736&lt;=21001231),IF(AND(MOD(INT('월 가계부'!A1736/100),100)&gt;=1,MOD(INT('월 가계부'!A1736/100),100)&lt;=12,MOD(INT('월 가계부'!A1736),100)&gt;=1,MOD(INT('월 가계부'!A1736),100)&lt;=31),IF(MONTH(DATE(INT('월 가계부'!A1736/10000),MOD(INT('월 가계부'!A1736/100),100),MOD(INT('월 가계부'!A1736),100)))=MOD(INT('월 가계부'!A1736/100),100),DATE(INT('월 가계부'!A1736/10000),MOD(INT('월 가계부'!A1736/100),100),MOD(INT('월 가계부'!A1736),100)),""),""),IF(AND('월 가계부'!A1736&gt;=36526,'월 가계부'!A1736&lt;73051),INT('월 가계부'!A1736),"")),IF(OR(CM1736="",CN1736="",CO1736=""),"",IF(AND(CM1736&gt;=2000,CM1736&lt;=2099,CN1736&gt;=1,CN1736&lt;=12,CO1736&gt;=1,CO1736&lt;=31),IF(MONTH(DATE(CM1736,CN1736,CO1736))=CN1736,DATE(CM1736,CN1736,CO1736),""),"")))),"")</f>
        <v/>
      </c>
      <c r="CJ1736">
        <f>IFERROR(IF('월 가계부'!C1736="","",IF(ISNUMBER('월 가계부'!C1736),'월 가계부'!C1736,VALUE(SUBSTITUTE(SUBSTITUTE(SUBSTITUTE(SUBSTITUTE(TRIM('월 가계부'!C1736),",",""),"원","")," ",""),"−","-")))),"")</f>
        <v/>
      </c>
      <c r="CK1736">
        <f>IF(ISNUMBER(CI1736),IF(CI1736&lt;$B$13,CI1736,""),"")</f>
        <v/>
      </c>
      <c r="CM1736">
        <f>IF(CH1736="","",IFERROR(IF(IF(AND(LEN(CH1736)=9,ISERROR(FIND("-",LEFT(CH1736,8))),ISNUMBER(-LEFT(CH1736,8))),VALUE(LEFT(CH1736,4)),VALUE(LEFT(CH1736,FIND("-",CH1736)-1)))&lt;100,IF(AND(LEN(CH1736)=9,ISERROR(FIND("-",LEFT(CH1736,8))),ISNUMBER(-LEFT(CH1736,8))),VALUE(LEFT(CH1736,4)),VALUE(LEFT(CH1736,FIND("-",CH1736)-1)))+2000,IF(AND(LEN(CH1736)=9,ISERROR(FIND("-",LEFT(CH1736,8))),ISNUMBER(-LEFT(CH1736,8))),VALUE(LEFT(CH1736,4)),VALUE(LEFT(CH1736,FIND("-",CH1736)-1)))),""))</f>
        <v/>
      </c>
      <c r="CN1736">
        <f>IF(CH1736="","",IFERROR(IF(AND(LEN(CH1736)=9,ISERROR(FIND("-",LEFT(CH1736,8))),ISNUMBER(-LEFT(CH1736,8))),VALUE(MID(CH1736,5,2)),VALUE(MID(CH1736,FIND("-",CH1736)+1,FIND("-",CH1736,FIND("-",CH1736)+1)-FIND("-",CH1736)-1))),""))</f>
        <v/>
      </c>
      <c r="CO1736">
        <f>IF(CH1736="","",IFERROR(IF(AND(LEN(CH1736)=9,ISERROR(FIND("-",LEFT(CH1736,8))),ISNUMBER(-LEFT(CH1736,8))),VALUE(MID(CH1736,7,2)),VALUE(MID(CH1736,FIND("-",CH1736,FIND("-",CH1736)+1)+1,FIND("-",CH1736,FIND("-",CH1736,FIND("-",CH1736)+1)+1)-FIND("-",CH1736,FIND("-",CH1736)+1)-1))),""))</f>
        <v/>
      </c>
    </row>
    <row r="1737">
      <c r="CH1737">
        <f>IF(ISTEXT('월 가계부'!A1737),SUBSTITUTE(SUBSTITUTE(SUBSTITUTE(SUBSTITUTE(SUBSTITUTE(SUBSTITUTE(SUBSTITUTE(SUBSTITUTE(SUBSTITUTE(TRIM('월 가계부'!A1737),"년","-"),"월","-"),"일",""),".","-"),"/","-")," ","-"),"--","-"),"--","-"),"--","-")&amp;"-","")</f>
        <v/>
      </c>
      <c r="CI1737">
        <f>IFERROR(IF('월 가계부'!A1737="","",IF(ISNUMBER('월 가계부'!A1737),IF(AND('월 가계부'!A1737&gt;=19000101,'월 가계부'!A1737&lt;=21001231),IF(AND(MOD(INT('월 가계부'!A1737/100),100)&gt;=1,MOD(INT('월 가계부'!A1737/100),100)&lt;=12,MOD(INT('월 가계부'!A1737),100)&gt;=1,MOD(INT('월 가계부'!A1737),100)&lt;=31),IF(MONTH(DATE(INT('월 가계부'!A1737/10000),MOD(INT('월 가계부'!A1737/100),100),MOD(INT('월 가계부'!A1737),100)))=MOD(INT('월 가계부'!A1737/100),100),DATE(INT('월 가계부'!A1737/10000),MOD(INT('월 가계부'!A1737/100),100),MOD(INT('월 가계부'!A1737),100)),""),""),IF(AND('월 가계부'!A1737&gt;=36526,'월 가계부'!A1737&lt;73051),INT('월 가계부'!A1737),"")),IF(OR(CM1737="",CN1737="",CO1737=""),"",IF(AND(CM1737&gt;=2000,CM1737&lt;=2099,CN1737&gt;=1,CN1737&lt;=12,CO1737&gt;=1,CO1737&lt;=31),IF(MONTH(DATE(CM1737,CN1737,CO1737))=CN1737,DATE(CM1737,CN1737,CO1737),""),"")))),"")</f>
        <v/>
      </c>
      <c r="CJ1737">
        <f>IFERROR(IF('월 가계부'!C1737="","",IF(ISNUMBER('월 가계부'!C1737),'월 가계부'!C1737,VALUE(SUBSTITUTE(SUBSTITUTE(SUBSTITUTE(SUBSTITUTE(TRIM('월 가계부'!C1737),",",""),"원","")," ",""),"−","-")))),"")</f>
        <v/>
      </c>
      <c r="CK1737">
        <f>IF(ISNUMBER(CI1737),IF(CI1737&lt;$B$13,CI1737,""),"")</f>
        <v/>
      </c>
      <c r="CM1737">
        <f>IF(CH1737="","",IFERROR(IF(IF(AND(LEN(CH1737)=9,ISERROR(FIND("-",LEFT(CH1737,8))),ISNUMBER(-LEFT(CH1737,8))),VALUE(LEFT(CH1737,4)),VALUE(LEFT(CH1737,FIND("-",CH1737)-1)))&lt;100,IF(AND(LEN(CH1737)=9,ISERROR(FIND("-",LEFT(CH1737,8))),ISNUMBER(-LEFT(CH1737,8))),VALUE(LEFT(CH1737,4)),VALUE(LEFT(CH1737,FIND("-",CH1737)-1)))+2000,IF(AND(LEN(CH1737)=9,ISERROR(FIND("-",LEFT(CH1737,8))),ISNUMBER(-LEFT(CH1737,8))),VALUE(LEFT(CH1737,4)),VALUE(LEFT(CH1737,FIND("-",CH1737)-1)))),""))</f>
        <v/>
      </c>
      <c r="CN1737">
        <f>IF(CH1737="","",IFERROR(IF(AND(LEN(CH1737)=9,ISERROR(FIND("-",LEFT(CH1737,8))),ISNUMBER(-LEFT(CH1737,8))),VALUE(MID(CH1737,5,2)),VALUE(MID(CH1737,FIND("-",CH1737)+1,FIND("-",CH1737,FIND("-",CH1737)+1)-FIND("-",CH1737)-1))),""))</f>
        <v/>
      </c>
      <c r="CO1737">
        <f>IF(CH1737="","",IFERROR(IF(AND(LEN(CH1737)=9,ISERROR(FIND("-",LEFT(CH1737,8))),ISNUMBER(-LEFT(CH1737,8))),VALUE(MID(CH1737,7,2)),VALUE(MID(CH1737,FIND("-",CH1737,FIND("-",CH1737)+1)+1,FIND("-",CH1737,FIND("-",CH1737,FIND("-",CH1737)+1)+1)-FIND("-",CH1737,FIND("-",CH1737)+1)-1))),""))</f>
        <v/>
      </c>
    </row>
    <row r="1738">
      <c r="CH1738">
        <f>IF(ISTEXT('월 가계부'!A1738),SUBSTITUTE(SUBSTITUTE(SUBSTITUTE(SUBSTITUTE(SUBSTITUTE(SUBSTITUTE(SUBSTITUTE(SUBSTITUTE(SUBSTITUTE(TRIM('월 가계부'!A1738),"년","-"),"월","-"),"일",""),".","-"),"/","-")," ","-"),"--","-"),"--","-"),"--","-")&amp;"-","")</f>
        <v/>
      </c>
      <c r="CI1738">
        <f>IFERROR(IF('월 가계부'!A1738="","",IF(ISNUMBER('월 가계부'!A1738),IF(AND('월 가계부'!A1738&gt;=19000101,'월 가계부'!A1738&lt;=21001231),IF(AND(MOD(INT('월 가계부'!A1738/100),100)&gt;=1,MOD(INT('월 가계부'!A1738/100),100)&lt;=12,MOD(INT('월 가계부'!A1738),100)&gt;=1,MOD(INT('월 가계부'!A1738),100)&lt;=31),IF(MONTH(DATE(INT('월 가계부'!A1738/10000),MOD(INT('월 가계부'!A1738/100),100),MOD(INT('월 가계부'!A1738),100)))=MOD(INT('월 가계부'!A1738/100),100),DATE(INT('월 가계부'!A1738/10000),MOD(INT('월 가계부'!A1738/100),100),MOD(INT('월 가계부'!A1738),100)),""),""),IF(AND('월 가계부'!A1738&gt;=36526,'월 가계부'!A1738&lt;73051),INT('월 가계부'!A1738),"")),IF(OR(CM1738="",CN1738="",CO1738=""),"",IF(AND(CM1738&gt;=2000,CM1738&lt;=2099,CN1738&gt;=1,CN1738&lt;=12,CO1738&gt;=1,CO1738&lt;=31),IF(MONTH(DATE(CM1738,CN1738,CO1738))=CN1738,DATE(CM1738,CN1738,CO1738),""),"")))),"")</f>
        <v/>
      </c>
      <c r="CJ1738">
        <f>IFERROR(IF('월 가계부'!C1738="","",IF(ISNUMBER('월 가계부'!C1738),'월 가계부'!C1738,VALUE(SUBSTITUTE(SUBSTITUTE(SUBSTITUTE(SUBSTITUTE(TRIM('월 가계부'!C1738),",",""),"원","")," ",""),"−","-")))),"")</f>
        <v/>
      </c>
      <c r="CK1738">
        <f>IF(ISNUMBER(CI1738),IF(CI1738&lt;$B$13,CI1738,""),"")</f>
        <v/>
      </c>
      <c r="CM1738">
        <f>IF(CH1738="","",IFERROR(IF(IF(AND(LEN(CH1738)=9,ISERROR(FIND("-",LEFT(CH1738,8))),ISNUMBER(-LEFT(CH1738,8))),VALUE(LEFT(CH1738,4)),VALUE(LEFT(CH1738,FIND("-",CH1738)-1)))&lt;100,IF(AND(LEN(CH1738)=9,ISERROR(FIND("-",LEFT(CH1738,8))),ISNUMBER(-LEFT(CH1738,8))),VALUE(LEFT(CH1738,4)),VALUE(LEFT(CH1738,FIND("-",CH1738)-1)))+2000,IF(AND(LEN(CH1738)=9,ISERROR(FIND("-",LEFT(CH1738,8))),ISNUMBER(-LEFT(CH1738,8))),VALUE(LEFT(CH1738,4)),VALUE(LEFT(CH1738,FIND("-",CH1738)-1)))),""))</f>
        <v/>
      </c>
      <c r="CN1738">
        <f>IF(CH1738="","",IFERROR(IF(AND(LEN(CH1738)=9,ISERROR(FIND("-",LEFT(CH1738,8))),ISNUMBER(-LEFT(CH1738,8))),VALUE(MID(CH1738,5,2)),VALUE(MID(CH1738,FIND("-",CH1738)+1,FIND("-",CH1738,FIND("-",CH1738)+1)-FIND("-",CH1738)-1))),""))</f>
        <v/>
      </c>
      <c r="CO1738">
        <f>IF(CH1738="","",IFERROR(IF(AND(LEN(CH1738)=9,ISERROR(FIND("-",LEFT(CH1738,8))),ISNUMBER(-LEFT(CH1738,8))),VALUE(MID(CH1738,7,2)),VALUE(MID(CH1738,FIND("-",CH1738,FIND("-",CH1738)+1)+1,FIND("-",CH1738,FIND("-",CH1738,FIND("-",CH1738)+1)+1)-FIND("-",CH1738,FIND("-",CH1738)+1)-1))),""))</f>
        <v/>
      </c>
    </row>
    <row r="1739">
      <c r="CH1739">
        <f>IF(ISTEXT('월 가계부'!A1739),SUBSTITUTE(SUBSTITUTE(SUBSTITUTE(SUBSTITUTE(SUBSTITUTE(SUBSTITUTE(SUBSTITUTE(SUBSTITUTE(SUBSTITUTE(TRIM('월 가계부'!A1739),"년","-"),"월","-"),"일",""),".","-"),"/","-")," ","-"),"--","-"),"--","-"),"--","-")&amp;"-","")</f>
        <v/>
      </c>
      <c r="CI1739">
        <f>IFERROR(IF('월 가계부'!A1739="","",IF(ISNUMBER('월 가계부'!A1739),IF(AND('월 가계부'!A1739&gt;=19000101,'월 가계부'!A1739&lt;=21001231),IF(AND(MOD(INT('월 가계부'!A1739/100),100)&gt;=1,MOD(INT('월 가계부'!A1739/100),100)&lt;=12,MOD(INT('월 가계부'!A1739),100)&gt;=1,MOD(INT('월 가계부'!A1739),100)&lt;=31),IF(MONTH(DATE(INT('월 가계부'!A1739/10000),MOD(INT('월 가계부'!A1739/100),100),MOD(INT('월 가계부'!A1739),100)))=MOD(INT('월 가계부'!A1739/100),100),DATE(INT('월 가계부'!A1739/10000),MOD(INT('월 가계부'!A1739/100),100),MOD(INT('월 가계부'!A1739),100)),""),""),IF(AND('월 가계부'!A1739&gt;=36526,'월 가계부'!A1739&lt;73051),INT('월 가계부'!A1739),"")),IF(OR(CM1739="",CN1739="",CO1739=""),"",IF(AND(CM1739&gt;=2000,CM1739&lt;=2099,CN1739&gt;=1,CN1739&lt;=12,CO1739&gt;=1,CO1739&lt;=31),IF(MONTH(DATE(CM1739,CN1739,CO1739))=CN1739,DATE(CM1739,CN1739,CO1739),""),"")))),"")</f>
        <v/>
      </c>
      <c r="CJ1739">
        <f>IFERROR(IF('월 가계부'!C1739="","",IF(ISNUMBER('월 가계부'!C1739),'월 가계부'!C1739,VALUE(SUBSTITUTE(SUBSTITUTE(SUBSTITUTE(SUBSTITUTE(TRIM('월 가계부'!C1739),",",""),"원","")," ",""),"−","-")))),"")</f>
        <v/>
      </c>
      <c r="CK1739">
        <f>IF(ISNUMBER(CI1739),IF(CI1739&lt;$B$13,CI1739,""),"")</f>
        <v/>
      </c>
      <c r="CM1739">
        <f>IF(CH1739="","",IFERROR(IF(IF(AND(LEN(CH1739)=9,ISERROR(FIND("-",LEFT(CH1739,8))),ISNUMBER(-LEFT(CH1739,8))),VALUE(LEFT(CH1739,4)),VALUE(LEFT(CH1739,FIND("-",CH1739)-1)))&lt;100,IF(AND(LEN(CH1739)=9,ISERROR(FIND("-",LEFT(CH1739,8))),ISNUMBER(-LEFT(CH1739,8))),VALUE(LEFT(CH1739,4)),VALUE(LEFT(CH1739,FIND("-",CH1739)-1)))+2000,IF(AND(LEN(CH1739)=9,ISERROR(FIND("-",LEFT(CH1739,8))),ISNUMBER(-LEFT(CH1739,8))),VALUE(LEFT(CH1739,4)),VALUE(LEFT(CH1739,FIND("-",CH1739)-1)))),""))</f>
        <v/>
      </c>
      <c r="CN1739">
        <f>IF(CH1739="","",IFERROR(IF(AND(LEN(CH1739)=9,ISERROR(FIND("-",LEFT(CH1739,8))),ISNUMBER(-LEFT(CH1739,8))),VALUE(MID(CH1739,5,2)),VALUE(MID(CH1739,FIND("-",CH1739)+1,FIND("-",CH1739,FIND("-",CH1739)+1)-FIND("-",CH1739)-1))),""))</f>
        <v/>
      </c>
      <c r="CO1739">
        <f>IF(CH1739="","",IFERROR(IF(AND(LEN(CH1739)=9,ISERROR(FIND("-",LEFT(CH1739,8))),ISNUMBER(-LEFT(CH1739,8))),VALUE(MID(CH1739,7,2)),VALUE(MID(CH1739,FIND("-",CH1739,FIND("-",CH1739)+1)+1,FIND("-",CH1739,FIND("-",CH1739,FIND("-",CH1739)+1)+1)-FIND("-",CH1739,FIND("-",CH1739)+1)-1))),""))</f>
        <v/>
      </c>
    </row>
    <row r="1740">
      <c r="CH1740">
        <f>IF(ISTEXT('월 가계부'!A1740),SUBSTITUTE(SUBSTITUTE(SUBSTITUTE(SUBSTITUTE(SUBSTITUTE(SUBSTITUTE(SUBSTITUTE(SUBSTITUTE(SUBSTITUTE(TRIM('월 가계부'!A1740),"년","-"),"월","-"),"일",""),".","-"),"/","-")," ","-"),"--","-"),"--","-"),"--","-")&amp;"-","")</f>
        <v/>
      </c>
      <c r="CI1740">
        <f>IFERROR(IF('월 가계부'!A1740="","",IF(ISNUMBER('월 가계부'!A1740),IF(AND('월 가계부'!A1740&gt;=19000101,'월 가계부'!A1740&lt;=21001231),IF(AND(MOD(INT('월 가계부'!A1740/100),100)&gt;=1,MOD(INT('월 가계부'!A1740/100),100)&lt;=12,MOD(INT('월 가계부'!A1740),100)&gt;=1,MOD(INT('월 가계부'!A1740),100)&lt;=31),IF(MONTH(DATE(INT('월 가계부'!A1740/10000),MOD(INT('월 가계부'!A1740/100),100),MOD(INT('월 가계부'!A1740),100)))=MOD(INT('월 가계부'!A1740/100),100),DATE(INT('월 가계부'!A1740/10000),MOD(INT('월 가계부'!A1740/100),100),MOD(INT('월 가계부'!A1740),100)),""),""),IF(AND('월 가계부'!A1740&gt;=36526,'월 가계부'!A1740&lt;73051),INT('월 가계부'!A1740),"")),IF(OR(CM1740="",CN1740="",CO1740=""),"",IF(AND(CM1740&gt;=2000,CM1740&lt;=2099,CN1740&gt;=1,CN1740&lt;=12,CO1740&gt;=1,CO1740&lt;=31),IF(MONTH(DATE(CM1740,CN1740,CO1740))=CN1740,DATE(CM1740,CN1740,CO1740),""),"")))),"")</f>
        <v/>
      </c>
      <c r="CJ1740">
        <f>IFERROR(IF('월 가계부'!C1740="","",IF(ISNUMBER('월 가계부'!C1740),'월 가계부'!C1740,VALUE(SUBSTITUTE(SUBSTITUTE(SUBSTITUTE(SUBSTITUTE(TRIM('월 가계부'!C1740),",",""),"원","")," ",""),"−","-")))),"")</f>
        <v/>
      </c>
      <c r="CK1740">
        <f>IF(ISNUMBER(CI1740),IF(CI1740&lt;$B$13,CI1740,""),"")</f>
        <v/>
      </c>
      <c r="CM1740">
        <f>IF(CH1740="","",IFERROR(IF(IF(AND(LEN(CH1740)=9,ISERROR(FIND("-",LEFT(CH1740,8))),ISNUMBER(-LEFT(CH1740,8))),VALUE(LEFT(CH1740,4)),VALUE(LEFT(CH1740,FIND("-",CH1740)-1)))&lt;100,IF(AND(LEN(CH1740)=9,ISERROR(FIND("-",LEFT(CH1740,8))),ISNUMBER(-LEFT(CH1740,8))),VALUE(LEFT(CH1740,4)),VALUE(LEFT(CH1740,FIND("-",CH1740)-1)))+2000,IF(AND(LEN(CH1740)=9,ISERROR(FIND("-",LEFT(CH1740,8))),ISNUMBER(-LEFT(CH1740,8))),VALUE(LEFT(CH1740,4)),VALUE(LEFT(CH1740,FIND("-",CH1740)-1)))),""))</f>
        <v/>
      </c>
      <c r="CN1740">
        <f>IF(CH1740="","",IFERROR(IF(AND(LEN(CH1740)=9,ISERROR(FIND("-",LEFT(CH1740,8))),ISNUMBER(-LEFT(CH1740,8))),VALUE(MID(CH1740,5,2)),VALUE(MID(CH1740,FIND("-",CH1740)+1,FIND("-",CH1740,FIND("-",CH1740)+1)-FIND("-",CH1740)-1))),""))</f>
        <v/>
      </c>
      <c r="CO1740">
        <f>IF(CH1740="","",IFERROR(IF(AND(LEN(CH1740)=9,ISERROR(FIND("-",LEFT(CH1740,8))),ISNUMBER(-LEFT(CH1740,8))),VALUE(MID(CH1740,7,2)),VALUE(MID(CH1740,FIND("-",CH1740,FIND("-",CH1740)+1)+1,FIND("-",CH1740,FIND("-",CH1740,FIND("-",CH1740)+1)+1)-FIND("-",CH1740,FIND("-",CH1740)+1)-1))),""))</f>
        <v/>
      </c>
    </row>
    <row r="1741">
      <c r="CH1741">
        <f>IF(ISTEXT('월 가계부'!A1741),SUBSTITUTE(SUBSTITUTE(SUBSTITUTE(SUBSTITUTE(SUBSTITUTE(SUBSTITUTE(SUBSTITUTE(SUBSTITUTE(SUBSTITUTE(TRIM('월 가계부'!A1741),"년","-"),"월","-"),"일",""),".","-"),"/","-")," ","-"),"--","-"),"--","-"),"--","-")&amp;"-","")</f>
        <v/>
      </c>
      <c r="CI1741">
        <f>IFERROR(IF('월 가계부'!A1741="","",IF(ISNUMBER('월 가계부'!A1741),IF(AND('월 가계부'!A1741&gt;=19000101,'월 가계부'!A1741&lt;=21001231),IF(AND(MOD(INT('월 가계부'!A1741/100),100)&gt;=1,MOD(INT('월 가계부'!A1741/100),100)&lt;=12,MOD(INT('월 가계부'!A1741),100)&gt;=1,MOD(INT('월 가계부'!A1741),100)&lt;=31),IF(MONTH(DATE(INT('월 가계부'!A1741/10000),MOD(INT('월 가계부'!A1741/100),100),MOD(INT('월 가계부'!A1741),100)))=MOD(INT('월 가계부'!A1741/100),100),DATE(INT('월 가계부'!A1741/10000),MOD(INT('월 가계부'!A1741/100),100),MOD(INT('월 가계부'!A1741),100)),""),""),IF(AND('월 가계부'!A1741&gt;=36526,'월 가계부'!A1741&lt;73051),INT('월 가계부'!A1741),"")),IF(OR(CM1741="",CN1741="",CO1741=""),"",IF(AND(CM1741&gt;=2000,CM1741&lt;=2099,CN1741&gt;=1,CN1741&lt;=12,CO1741&gt;=1,CO1741&lt;=31),IF(MONTH(DATE(CM1741,CN1741,CO1741))=CN1741,DATE(CM1741,CN1741,CO1741),""),"")))),"")</f>
        <v/>
      </c>
      <c r="CJ1741">
        <f>IFERROR(IF('월 가계부'!C1741="","",IF(ISNUMBER('월 가계부'!C1741),'월 가계부'!C1741,VALUE(SUBSTITUTE(SUBSTITUTE(SUBSTITUTE(SUBSTITUTE(TRIM('월 가계부'!C1741),",",""),"원","")," ",""),"−","-")))),"")</f>
        <v/>
      </c>
      <c r="CK1741">
        <f>IF(ISNUMBER(CI1741),IF(CI1741&lt;$B$13,CI1741,""),"")</f>
        <v/>
      </c>
      <c r="CM1741">
        <f>IF(CH1741="","",IFERROR(IF(IF(AND(LEN(CH1741)=9,ISERROR(FIND("-",LEFT(CH1741,8))),ISNUMBER(-LEFT(CH1741,8))),VALUE(LEFT(CH1741,4)),VALUE(LEFT(CH1741,FIND("-",CH1741)-1)))&lt;100,IF(AND(LEN(CH1741)=9,ISERROR(FIND("-",LEFT(CH1741,8))),ISNUMBER(-LEFT(CH1741,8))),VALUE(LEFT(CH1741,4)),VALUE(LEFT(CH1741,FIND("-",CH1741)-1)))+2000,IF(AND(LEN(CH1741)=9,ISERROR(FIND("-",LEFT(CH1741,8))),ISNUMBER(-LEFT(CH1741,8))),VALUE(LEFT(CH1741,4)),VALUE(LEFT(CH1741,FIND("-",CH1741)-1)))),""))</f>
        <v/>
      </c>
      <c r="CN1741">
        <f>IF(CH1741="","",IFERROR(IF(AND(LEN(CH1741)=9,ISERROR(FIND("-",LEFT(CH1741,8))),ISNUMBER(-LEFT(CH1741,8))),VALUE(MID(CH1741,5,2)),VALUE(MID(CH1741,FIND("-",CH1741)+1,FIND("-",CH1741,FIND("-",CH1741)+1)-FIND("-",CH1741)-1))),""))</f>
        <v/>
      </c>
      <c r="CO1741">
        <f>IF(CH1741="","",IFERROR(IF(AND(LEN(CH1741)=9,ISERROR(FIND("-",LEFT(CH1741,8))),ISNUMBER(-LEFT(CH1741,8))),VALUE(MID(CH1741,7,2)),VALUE(MID(CH1741,FIND("-",CH1741,FIND("-",CH1741)+1)+1,FIND("-",CH1741,FIND("-",CH1741,FIND("-",CH1741)+1)+1)-FIND("-",CH1741,FIND("-",CH1741)+1)-1))),""))</f>
        <v/>
      </c>
    </row>
    <row r="1742">
      <c r="CH1742">
        <f>IF(ISTEXT('월 가계부'!A1742),SUBSTITUTE(SUBSTITUTE(SUBSTITUTE(SUBSTITUTE(SUBSTITUTE(SUBSTITUTE(SUBSTITUTE(SUBSTITUTE(SUBSTITUTE(TRIM('월 가계부'!A1742),"년","-"),"월","-"),"일",""),".","-"),"/","-")," ","-"),"--","-"),"--","-"),"--","-")&amp;"-","")</f>
        <v/>
      </c>
      <c r="CI1742">
        <f>IFERROR(IF('월 가계부'!A1742="","",IF(ISNUMBER('월 가계부'!A1742),IF(AND('월 가계부'!A1742&gt;=19000101,'월 가계부'!A1742&lt;=21001231),IF(AND(MOD(INT('월 가계부'!A1742/100),100)&gt;=1,MOD(INT('월 가계부'!A1742/100),100)&lt;=12,MOD(INT('월 가계부'!A1742),100)&gt;=1,MOD(INT('월 가계부'!A1742),100)&lt;=31),IF(MONTH(DATE(INT('월 가계부'!A1742/10000),MOD(INT('월 가계부'!A1742/100),100),MOD(INT('월 가계부'!A1742),100)))=MOD(INT('월 가계부'!A1742/100),100),DATE(INT('월 가계부'!A1742/10000),MOD(INT('월 가계부'!A1742/100),100),MOD(INT('월 가계부'!A1742),100)),""),""),IF(AND('월 가계부'!A1742&gt;=36526,'월 가계부'!A1742&lt;73051),INT('월 가계부'!A1742),"")),IF(OR(CM1742="",CN1742="",CO1742=""),"",IF(AND(CM1742&gt;=2000,CM1742&lt;=2099,CN1742&gt;=1,CN1742&lt;=12,CO1742&gt;=1,CO1742&lt;=31),IF(MONTH(DATE(CM1742,CN1742,CO1742))=CN1742,DATE(CM1742,CN1742,CO1742),""),"")))),"")</f>
        <v/>
      </c>
      <c r="CJ1742">
        <f>IFERROR(IF('월 가계부'!C1742="","",IF(ISNUMBER('월 가계부'!C1742),'월 가계부'!C1742,VALUE(SUBSTITUTE(SUBSTITUTE(SUBSTITUTE(SUBSTITUTE(TRIM('월 가계부'!C1742),",",""),"원","")," ",""),"−","-")))),"")</f>
        <v/>
      </c>
      <c r="CK1742">
        <f>IF(ISNUMBER(CI1742),IF(CI1742&lt;$B$13,CI1742,""),"")</f>
        <v/>
      </c>
      <c r="CM1742">
        <f>IF(CH1742="","",IFERROR(IF(IF(AND(LEN(CH1742)=9,ISERROR(FIND("-",LEFT(CH1742,8))),ISNUMBER(-LEFT(CH1742,8))),VALUE(LEFT(CH1742,4)),VALUE(LEFT(CH1742,FIND("-",CH1742)-1)))&lt;100,IF(AND(LEN(CH1742)=9,ISERROR(FIND("-",LEFT(CH1742,8))),ISNUMBER(-LEFT(CH1742,8))),VALUE(LEFT(CH1742,4)),VALUE(LEFT(CH1742,FIND("-",CH1742)-1)))+2000,IF(AND(LEN(CH1742)=9,ISERROR(FIND("-",LEFT(CH1742,8))),ISNUMBER(-LEFT(CH1742,8))),VALUE(LEFT(CH1742,4)),VALUE(LEFT(CH1742,FIND("-",CH1742)-1)))),""))</f>
        <v/>
      </c>
      <c r="CN1742">
        <f>IF(CH1742="","",IFERROR(IF(AND(LEN(CH1742)=9,ISERROR(FIND("-",LEFT(CH1742,8))),ISNUMBER(-LEFT(CH1742,8))),VALUE(MID(CH1742,5,2)),VALUE(MID(CH1742,FIND("-",CH1742)+1,FIND("-",CH1742,FIND("-",CH1742)+1)-FIND("-",CH1742)-1))),""))</f>
        <v/>
      </c>
      <c r="CO1742">
        <f>IF(CH1742="","",IFERROR(IF(AND(LEN(CH1742)=9,ISERROR(FIND("-",LEFT(CH1742,8))),ISNUMBER(-LEFT(CH1742,8))),VALUE(MID(CH1742,7,2)),VALUE(MID(CH1742,FIND("-",CH1742,FIND("-",CH1742)+1)+1,FIND("-",CH1742,FIND("-",CH1742,FIND("-",CH1742)+1)+1)-FIND("-",CH1742,FIND("-",CH1742)+1)-1))),""))</f>
        <v/>
      </c>
    </row>
    <row r="1743">
      <c r="CH1743">
        <f>IF(ISTEXT('월 가계부'!A1743),SUBSTITUTE(SUBSTITUTE(SUBSTITUTE(SUBSTITUTE(SUBSTITUTE(SUBSTITUTE(SUBSTITUTE(SUBSTITUTE(SUBSTITUTE(TRIM('월 가계부'!A1743),"년","-"),"월","-"),"일",""),".","-"),"/","-")," ","-"),"--","-"),"--","-"),"--","-")&amp;"-","")</f>
        <v/>
      </c>
      <c r="CI1743">
        <f>IFERROR(IF('월 가계부'!A1743="","",IF(ISNUMBER('월 가계부'!A1743),IF(AND('월 가계부'!A1743&gt;=19000101,'월 가계부'!A1743&lt;=21001231),IF(AND(MOD(INT('월 가계부'!A1743/100),100)&gt;=1,MOD(INT('월 가계부'!A1743/100),100)&lt;=12,MOD(INT('월 가계부'!A1743),100)&gt;=1,MOD(INT('월 가계부'!A1743),100)&lt;=31),IF(MONTH(DATE(INT('월 가계부'!A1743/10000),MOD(INT('월 가계부'!A1743/100),100),MOD(INT('월 가계부'!A1743),100)))=MOD(INT('월 가계부'!A1743/100),100),DATE(INT('월 가계부'!A1743/10000),MOD(INT('월 가계부'!A1743/100),100),MOD(INT('월 가계부'!A1743),100)),""),""),IF(AND('월 가계부'!A1743&gt;=36526,'월 가계부'!A1743&lt;73051),INT('월 가계부'!A1743),"")),IF(OR(CM1743="",CN1743="",CO1743=""),"",IF(AND(CM1743&gt;=2000,CM1743&lt;=2099,CN1743&gt;=1,CN1743&lt;=12,CO1743&gt;=1,CO1743&lt;=31),IF(MONTH(DATE(CM1743,CN1743,CO1743))=CN1743,DATE(CM1743,CN1743,CO1743),""),"")))),"")</f>
        <v/>
      </c>
      <c r="CJ1743">
        <f>IFERROR(IF('월 가계부'!C1743="","",IF(ISNUMBER('월 가계부'!C1743),'월 가계부'!C1743,VALUE(SUBSTITUTE(SUBSTITUTE(SUBSTITUTE(SUBSTITUTE(TRIM('월 가계부'!C1743),",",""),"원","")," ",""),"−","-")))),"")</f>
        <v/>
      </c>
      <c r="CK1743">
        <f>IF(ISNUMBER(CI1743),IF(CI1743&lt;$B$13,CI1743,""),"")</f>
        <v/>
      </c>
      <c r="CM1743">
        <f>IF(CH1743="","",IFERROR(IF(IF(AND(LEN(CH1743)=9,ISERROR(FIND("-",LEFT(CH1743,8))),ISNUMBER(-LEFT(CH1743,8))),VALUE(LEFT(CH1743,4)),VALUE(LEFT(CH1743,FIND("-",CH1743)-1)))&lt;100,IF(AND(LEN(CH1743)=9,ISERROR(FIND("-",LEFT(CH1743,8))),ISNUMBER(-LEFT(CH1743,8))),VALUE(LEFT(CH1743,4)),VALUE(LEFT(CH1743,FIND("-",CH1743)-1)))+2000,IF(AND(LEN(CH1743)=9,ISERROR(FIND("-",LEFT(CH1743,8))),ISNUMBER(-LEFT(CH1743,8))),VALUE(LEFT(CH1743,4)),VALUE(LEFT(CH1743,FIND("-",CH1743)-1)))),""))</f>
        <v/>
      </c>
      <c r="CN1743">
        <f>IF(CH1743="","",IFERROR(IF(AND(LEN(CH1743)=9,ISERROR(FIND("-",LEFT(CH1743,8))),ISNUMBER(-LEFT(CH1743,8))),VALUE(MID(CH1743,5,2)),VALUE(MID(CH1743,FIND("-",CH1743)+1,FIND("-",CH1743,FIND("-",CH1743)+1)-FIND("-",CH1743)-1))),""))</f>
        <v/>
      </c>
      <c r="CO1743">
        <f>IF(CH1743="","",IFERROR(IF(AND(LEN(CH1743)=9,ISERROR(FIND("-",LEFT(CH1743,8))),ISNUMBER(-LEFT(CH1743,8))),VALUE(MID(CH1743,7,2)),VALUE(MID(CH1743,FIND("-",CH1743,FIND("-",CH1743)+1)+1,FIND("-",CH1743,FIND("-",CH1743,FIND("-",CH1743)+1)+1)-FIND("-",CH1743,FIND("-",CH1743)+1)-1))),""))</f>
        <v/>
      </c>
    </row>
    <row r="1744">
      <c r="CH1744">
        <f>IF(ISTEXT('월 가계부'!A1744),SUBSTITUTE(SUBSTITUTE(SUBSTITUTE(SUBSTITUTE(SUBSTITUTE(SUBSTITUTE(SUBSTITUTE(SUBSTITUTE(SUBSTITUTE(TRIM('월 가계부'!A1744),"년","-"),"월","-"),"일",""),".","-"),"/","-")," ","-"),"--","-"),"--","-"),"--","-")&amp;"-","")</f>
        <v/>
      </c>
      <c r="CI1744">
        <f>IFERROR(IF('월 가계부'!A1744="","",IF(ISNUMBER('월 가계부'!A1744),IF(AND('월 가계부'!A1744&gt;=19000101,'월 가계부'!A1744&lt;=21001231),IF(AND(MOD(INT('월 가계부'!A1744/100),100)&gt;=1,MOD(INT('월 가계부'!A1744/100),100)&lt;=12,MOD(INT('월 가계부'!A1744),100)&gt;=1,MOD(INT('월 가계부'!A1744),100)&lt;=31),IF(MONTH(DATE(INT('월 가계부'!A1744/10000),MOD(INT('월 가계부'!A1744/100),100),MOD(INT('월 가계부'!A1744),100)))=MOD(INT('월 가계부'!A1744/100),100),DATE(INT('월 가계부'!A1744/10000),MOD(INT('월 가계부'!A1744/100),100),MOD(INT('월 가계부'!A1744),100)),""),""),IF(AND('월 가계부'!A1744&gt;=36526,'월 가계부'!A1744&lt;73051),INT('월 가계부'!A1744),"")),IF(OR(CM1744="",CN1744="",CO1744=""),"",IF(AND(CM1744&gt;=2000,CM1744&lt;=2099,CN1744&gt;=1,CN1744&lt;=12,CO1744&gt;=1,CO1744&lt;=31),IF(MONTH(DATE(CM1744,CN1744,CO1744))=CN1744,DATE(CM1744,CN1744,CO1744),""),"")))),"")</f>
        <v/>
      </c>
      <c r="CJ1744">
        <f>IFERROR(IF('월 가계부'!C1744="","",IF(ISNUMBER('월 가계부'!C1744),'월 가계부'!C1744,VALUE(SUBSTITUTE(SUBSTITUTE(SUBSTITUTE(SUBSTITUTE(TRIM('월 가계부'!C1744),",",""),"원","")," ",""),"−","-")))),"")</f>
        <v/>
      </c>
      <c r="CK1744">
        <f>IF(ISNUMBER(CI1744),IF(CI1744&lt;$B$13,CI1744,""),"")</f>
        <v/>
      </c>
      <c r="CM1744">
        <f>IF(CH1744="","",IFERROR(IF(IF(AND(LEN(CH1744)=9,ISERROR(FIND("-",LEFT(CH1744,8))),ISNUMBER(-LEFT(CH1744,8))),VALUE(LEFT(CH1744,4)),VALUE(LEFT(CH1744,FIND("-",CH1744)-1)))&lt;100,IF(AND(LEN(CH1744)=9,ISERROR(FIND("-",LEFT(CH1744,8))),ISNUMBER(-LEFT(CH1744,8))),VALUE(LEFT(CH1744,4)),VALUE(LEFT(CH1744,FIND("-",CH1744)-1)))+2000,IF(AND(LEN(CH1744)=9,ISERROR(FIND("-",LEFT(CH1744,8))),ISNUMBER(-LEFT(CH1744,8))),VALUE(LEFT(CH1744,4)),VALUE(LEFT(CH1744,FIND("-",CH1744)-1)))),""))</f>
        <v/>
      </c>
      <c r="CN1744">
        <f>IF(CH1744="","",IFERROR(IF(AND(LEN(CH1744)=9,ISERROR(FIND("-",LEFT(CH1744,8))),ISNUMBER(-LEFT(CH1744,8))),VALUE(MID(CH1744,5,2)),VALUE(MID(CH1744,FIND("-",CH1744)+1,FIND("-",CH1744,FIND("-",CH1744)+1)-FIND("-",CH1744)-1))),""))</f>
        <v/>
      </c>
      <c r="CO1744">
        <f>IF(CH1744="","",IFERROR(IF(AND(LEN(CH1744)=9,ISERROR(FIND("-",LEFT(CH1744,8))),ISNUMBER(-LEFT(CH1744,8))),VALUE(MID(CH1744,7,2)),VALUE(MID(CH1744,FIND("-",CH1744,FIND("-",CH1744)+1)+1,FIND("-",CH1744,FIND("-",CH1744,FIND("-",CH1744)+1)+1)-FIND("-",CH1744,FIND("-",CH1744)+1)-1))),""))</f>
        <v/>
      </c>
    </row>
    <row r="1745">
      <c r="CH1745">
        <f>IF(ISTEXT('월 가계부'!A1745),SUBSTITUTE(SUBSTITUTE(SUBSTITUTE(SUBSTITUTE(SUBSTITUTE(SUBSTITUTE(SUBSTITUTE(SUBSTITUTE(SUBSTITUTE(TRIM('월 가계부'!A1745),"년","-"),"월","-"),"일",""),".","-"),"/","-")," ","-"),"--","-"),"--","-"),"--","-")&amp;"-","")</f>
        <v/>
      </c>
      <c r="CI1745">
        <f>IFERROR(IF('월 가계부'!A1745="","",IF(ISNUMBER('월 가계부'!A1745),IF(AND('월 가계부'!A1745&gt;=19000101,'월 가계부'!A1745&lt;=21001231),IF(AND(MOD(INT('월 가계부'!A1745/100),100)&gt;=1,MOD(INT('월 가계부'!A1745/100),100)&lt;=12,MOD(INT('월 가계부'!A1745),100)&gt;=1,MOD(INT('월 가계부'!A1745),100)&lt;=31),IF(MONTH(DATE(INT('월 가계부'!A1745/10000),MOD(INT('월 가계부'!A1745/100),100),MOD(INT('월 가계부'!A1745),100)))=MOD(INT('월 가계부'!A1745/100),100),DATE(INT('월 가계부'!A1745/10000),MOD(INT('월 가계부'!A1745/100),100),MOD(INT('월 가계부'!A1745),100)),""),""),IF(AND('월 가계부'!A1745&gt;=36526,'월 가계부'!A1745&lt;73051),INT('월 가계부'!A1745),"")),IF(OR(CM1745="",CN1745="",CO1745=""),"",IF(AND(CM1745&gt;=2000,CM1745&lt;=2099,CN1745&gt;=1,CN1745&lt;=12,CO1745&gt;=1,CO1745&lt;=31),IF(MONTH(DATE(CM1745,CN1745,CO1745))=CN1745,DATE(CM1745,CN1745,CO1745),""),"")))),"")</f>
        <v/>
      </c>
      <c r="CJ1745">
        <f>IFERROR(IF('월 가계부'!C1745="","",IF(ISNUMBER('월 가계부'!C1745),'월 가계부'!C1745,VALUE(SUBSTITUTE(SUBSTITUTE(SUBSTITUTE(SUBSTITUTE(TRIM('월 가계부'!C1745),",",""),"원","")," ",""),"−","-")))),"")</f>
        <v/>
      </c>
      <c r="CK1745">
        <f>IF(ISNUMBER(CI1745),IF(CI1745&lt;$B$13,CI1745,""),"")</f>
        <v/>
      </c>
      <c r="CM1745">
        <f>IF(CH1745="","",IFERROR(IF(IF(AND(LEN(CH1745)=9,ISERROR(FIND("-",LEFT(CH1745,8))),ISNUMBER(-LEFT(CH1745,8))),VALUE(LEFT(CH1745,4)),VALUE(LEFT(CH1745,FIND("-",CH1745)-1)))&lt;100,IF(AND(LEN(CH1745)=9,ISERROR(FIND("-",LEFT(CH1745,8))),ISNUMBER(-LEFT(CH1745,8))),VALUE(LEFT(CH1745,4)),VALUE(LEFT(CH1745,FIND("-",CH1745)-1)))+2000,IF(AND(LEN(CH1745)=9,ISERROR(FIND("-",LEFT(CH1745,8))),ISNUMBER(-LEFT(CH1745,8))),VALUE(LEFT(CH1745,4)),VALUE(LEFT(CH1745,FIND("-",CH1745)-1)))),""))</f>
        <v/>
      </c>
      <c r="CN1745">
        <f>IF(CH1745="","",IFERROR(IF(AND(LEN(CH1745)=9,ISERROR(FIND("-",LEFT(CH1745,8))),ISNUMBER(-LEFT(CH1745,8))),VALUE(MID(CH1745,5,2)),VALUE(MID(CH1745,FIND("-",CH1745)+1,FIND("-",CH1745,FIND("-",CH1745)+1)-FIND("-",CH1745)-1))),""))</f>
        <v/>
      </c>
      <c r="CO1745">
        <f>IF(CH1745="","",IFERROR(IF(AND(LEN(CH1745)=9,ISERROR(FIND("-",LEFT(CH1745,8))),ISNUMBER(-LEFT(CH1745,8))),VALUE(MID(CH1745,7,2)),VALUE(MID(CH1745,FIND("-",CH1745,FIND("-",CH1745)+1)+1,FIND("-",CH1745,FIND("-",CH1745,FIND("-",CH1745)+1)+1)-FIND("-",CH1745,FIND("-",CH1745)+1)-1))),""))</f>
        <v/>
      </c>
    </row>
    <row r="1746">
      <c r="CH1746">
        <f>IF(ISTEXT('월 가계부'!A1746),SUBSTITUTE(SUBSTITUTE(SUBSTITUTE(SUBSTITUTE(SUBSTITUTE(SUBSTITUTE(SUBSTITUTE(SUBSTITUTE(SUBSTITUTE(TRIM('월 가계부'!A1746),"년","-"),"월","-"),"일",""),".","-"),"/","-")," ","-"),"--","-"),"--","-"),"--","-")&amp;"-","")</f>
        <v/>
      </c>
      <c r="CI1746">
        <f>IFERROR(IF('월 가계부'!A1746="","",IF(ISNUMBER('월 가계부'!A1746),IF(AND('월 가계부'!A1746&gt;=19000101,'월 가계부'!A1746&lt;=21001231),IF(AND(MOD(INT('월 가계부'!A1746/100),100)&gt;=1,MOD(INT('월 가계부'!A1746/100),100)&lt;=12,MOD(INT('월 가계부'!A1746),100)&gt;=1,MOD(INT('월 가계부'!A1746),100)&lt;=31),IF(MONTH(DATE(INT('월 가계부'!A1746/10000),MOD(INT('월 가계부'!A1746/100),100),MOD(INT('월 가계부'!A1746),100)))=MOD(INT('월 가계부'!A1746/100),100),DATE(INT('월 가계부'!A1746/10000),MOD(INT('월 가계부'!A1746/100),100),MOD(INT('월 가계부'!A1746),100)),""),""),IF(AND('월 가계부'!A1746&gt;=36526,'월 가계부'!A1746&lt;73051),INT('월 가계부'!A1746),"")),IF(OR(CM1746="",CN1746="",CO1746=""),"",IF(AND(CM1746&gt;=2000,CM1746&lt;=2099,CN1746&gt;=1,CN1746&lt;=12,CO1746&gt;=1,CO1746&lt;=31),IF(MONTH(DATE(CM1746,CN1746,CO1746))=CN1746,DATE(CM1746,CN1746,CO1746),""),"")))),"")</f>
        <v/>
      </c>
      <c r="CJ1746">
        <f>IFERROR(IF('월 가계부'!C1746="","",IF(ISNUMBER('월 가계부'!C1746),'월 가계부'!C1746,VALUE(SUBSTITUTE(SUBSTITUTE(SUBSTITUTE(SUBSTITUTE(TRIM('월 가계부'!C1746),",",""),"원","")," ",""),"−","-")))),"")</f>
        <v/>
      </c>
      <c r="CK1746">
        <f>IF(ISNUMBER(CI1746),IF(CI1746&lt;$B$13,CI1746,""),"")</f>
        <v/>
      </c>
      <c r="CM1746">
        <f>IF(CH1746="","",IFERROR(IF(IF(AND(LEN(CH1746)=9,ISERROR(FIND("-",LEFT(CH1746,8))),ISNUMBER(-LEFT(CH1746,8))),VALUE(LEFT(CH1746,4)),VALUE(LEFT(CH1746,FIND("-",CH1746)-1)))&lt;100,IF(AND(LEN(CH1746)=9,ISERROR(FIND("-",LEFT(CH1746,8))),ISNUMBER(-LEFT(CH1746,8))),VALUE(LEFT(CH1746,4)),VALUE(LEFT(CH1746,FIND("-",CH1746)-1)))+2000,IF(AND(LEN(CH1746)=9,ISERROR(FIND("-",LEFT(CH1746,8))),ISNUMBER(-LEFT(CH1746,8))),VALUE(LEFT(CH1746,4)),VALUE(LEFT(CH1746,FIND("-",CH1746)-1)))),""))</f>
        <v/>
      </c>
      <c r="CN1746">
        <f>IF(CH1746="","",IFERROR(IF(AND(LEN(CH1746)=9,ISERROR(FIND("-",LEFT(CH1746,8))),ISNUMBER(-LEFT(CH1746,8))),VALUE(MID(CH1746,5,2)),VALUE(MID(CH1746,FIND("-",CH1746)+1,FIND("-",CH1746,FIND("-",CH1746)+1)-FIND("-",CH1746)-1))),""))</f>
        <v/>
      </c>
      <c r="CO1746">
        <f>IF(CH1746="","",IFERROR(IF(AND(LEN(CH1746)=9,ISERROR(FIND("-",LEFT(CH1746,8))),ISNUMBER(-LEFT(CH1746,8))),VALUE(MID(CH1746,7,2)),VALUE(MID(CH1746,FIND("-",CH1746,FIND("-",CH1746)+1)+1,FIND("-",CH1746,FIND("-",CH1746,FIND("-",CH1746)+1)+1)-FIND("-",CH1746,FIND("-",CH1746)+1)-1))),""))</f>
        <v/>
      </c>
    </row>
    <row r="1747">
      <c r="CH1747">
        <f>IF(ISTEXT('월 가계부'!A1747),SUBSTITUTE(SUBSTITUTE(SUBSTITUTE(SUBSTITUTE(SUBSTITUTE(SUBSTITUTE(SUBSTITUTE(SUBSTITUTE(SUBSTITUTE(TRIM('월 가계부'!A1747),"년","-"),"월","-"),"일",""),".","-"),"/","-")," ","-"),"--","-"),"--","-"),"--","-")&amp;"-","")</f>
        <v/>
      </c>
      <c r="CI1747">
        <f>IFERROR(IF('월 가계부'!A1747="","",IF(ISNUMBER('월 가계부'!A1747),IF(AND('월 가계부'!A1747&gt;=19000101,'월 가계부'!A1747&lt;=21001231),IF(AND(MOD(INT('월 가계부'!A1747/100),100)&gt;=1,MOD(INT('월 가계부'!A1747/100),100)&lt;=12,MOD(INT('월 가계부'!A1747),100)&gt;=1,MOD(INT('월 가계부'!A1747),100)&lt;=31),IF(MONTH(DATE(INT('월 가계부'!A1747/10000),MOD(INT('월 가계부'!A1747/100),100),MOD(INT('월 가계부'!A1747),100)))=MOD(INT('월 가계부'!A1747/100),100),DATE(INT('월 가계부'!A1747/10000),MOD(INT('월 가계부'!A1747/100),100),MOD(INT('월 가계부'!A1747),100)),""),""),IF(AND('월 가계부'!A1747&gt;=36526,'월 가계부'!A1747&lt;73051),INT('월 가계부'!A1747),"")),IF(OR(CM1747="",CN1747="",CO1747=""),"",IF(AND(CM1747&gt;=2000,CM1747&lt;=2099,CN1747&gt;=1,CN1747&lt;=12,CO1747&gt;=1,CO1747&lt;=31),IF(MONTH(DATE(CM1747,CN1747,CO1747))=CN1747,DATE(CM1747,CN1747,CO1747),""),"")))),"")</f>
        <v/>
      </c>
      <c r="CJ1747">
        <f>IFERROR(IF('월 가계부'!C1747="","",IF(ISNUMBER('월 가계부'!C1747),'월 가계부'!C1747,VALUE(SUBSTITUTE(SUBSTITUTE(SUBSTITUTE(SUBSTITUTE(TRIM('월 가계부'!C1747),",",""),"원","")," ",""),"−","-")))),"")</f>
        <v/>
      </c>
      <c r="CK1747">
        <f>IF(ISNUMBER(CI1747),IF(CI1747&lt;$B$13,CI1747,""),"")</f>
        <v/>
      </c>
      <c r="CM1747">
        <f>IF(CH1747="","",IFERROR(IF(IF(AND(LEN(CH1747)=9,ISERROR(FIND("-",LEFT(CH1747,8))),ISNUMBER(-LEFT(CH1747,8))),VALUE(LEFT(CH1747,4)),VALUE(LEFT(CH1747,FIND("-",CH1747)-1)))&lt;100,IF(AND(LEN(CH1747)=9,ISERROR(FIND("-",LEFT(CH1747,8))),ISNUMBER(-LEFT(CH1747,8))),VALUE(LEFT(CH1747,4)),VALUE(LEFT(CH1747,FIND("-",CH1747)-1)))+2000,IF(AND(LEN(CH1747)=9,ISERROR(FIND("-",LEFT(CH1747,8))),ISNUMBER(-LEFT(CH1747,8))),VALUE(LEFT(CH1747,4)),VALUE(LEFT(CH1747,FIND("-",CH1747)-1)))),""))</f>
        <v/>
      </c>
      <c r="CN1747">
        <f>IF(CH1747="","",IFERROR(IF(AND(LEN(CH1747)=9,ISERROR(FIND("-",LEFT(CH1747,8))),ISNUMBER(-LEFT(CH1747,8))),VALUE(MID(CH1747,5,2)),VALUE(MID(CH1747,FIND("-",CH1747)+1,FIND("-",CH1747,FIND("-",CH1747)+1)-FIND("-",CH1747)-1))),""))</f>
        <v/>
      </c>
      <c r="CO1747">
        <f>IF(CH1747="","",IFERROR(IF(AND(LEN(CH1747)=9,ISERROR(FIND("-",LEFT(CH1747,8))),ISNUMBER(-LEFT(CH1747,8))),VALUE(MID(CH1747,7,2)),VALUE(MID(CH1747,FIND("-",CH1747,FIND("-",CH1747)+1)+1,FIND("-",CH1747,FIND("-",CH1747,FIND("-",CH1747)+1)+1)-FIND("-",CH1747,FIND("-",CH1747)+1)-1))),""))</f>
        <v/>
      </c>
    </row>
    <row r="1748">
      <c r="CH1748">
        <f>IF(ISTEXT('월 가계부'!A1748),SUBSTITUTE(SUBSTITUTE(SUBSTITUTE(SUBSTITUTE(SUBSTITUTE(SUBSTITUTE(SUBSTITUTE(SUBSTITUTE(SUBSTITUTE(TRIM('월 가계부'!A1748),"년","-"),"월","-"),"일",""),".","-"),"/","-")," ","-"),"--","-"),"--","-"),"--","-")&amp;"-","")</f>
        <v/>
      </c>
      <c r="CI1748">
        <f>IFERROR(IF('월 가계부'!A1748="","",IF(ISNUMBER('월 가계부'!A1748),IF(AND('월 가계부'!A1748&gt;=19000101,'월 가계부'!A1748&lt;=21001231),IF(AND(MOD(INT('월 가계부'!A1748/100),100)&gt;=1,MOD(INT('월 가계부'!A1748/100),100)&lt;=12,MOD(INT('월 가계부'!A1748),100)&gt;=1,MOD(INT('월 가계부'!A1748),100)&lt;=31),IF(MONTH(DATE(INT('월 가계부'!A1748/10000),MOD(INT('월 가계부'!A1748/100),100),MOD(INT('월 가계부'!A1748),100)))=MOD(INT('월 가계부'!A1748/100),100),DATE(INT('월 가계부'!A1748/10000),MOD(INT('월 가계부'!A1748/100),100),MOD(INT('월 가계부'!A1748),100)),""),""),IF(AND('월 가계부'!A1748&gt;=36526,'월 가계부'!A1748&lt;73051),INT('월 가계부'!A1748),"")),IF(OR(CM1748="",CN1748="",CO1748=""),"",IF(AND(CM1748&gt;=2000,CM1748&lt;=2099,CN1748&gt;=1,CN1748&lt;=12,CO1748&gt;=1,CO1748&lt;=31),IF(MONTH(DATE(CM1748,CN1748,CO1748))=CN1748,DATE(CM1748,CN1748,CO1748),""),"")))),"")</f>
        <v/>
      </c>
      <c r="CJ1748">
        <f>IFERROR(IF('월 가계부'!C1748="","",IF(ISNUMBER('월 가계부'!C1748),'월 가계부'!C1748,VALUE(SUBSTITUTE(SUBSTITUTE(SUBSTITUTE(SUBSTITUTE(TRIM('월 가계부'!C1748),",",""),"원","")," ",""),"−","-")))),"")</f>
        <v/>
      </c>
      <c r="CK1748">
        <f>IF(ISNUMBER(CI1748),IF(CI1748&lt;$B$13,CI1748,""),"")</f>
        <v/>
      </c>
      <c r="CM1748">
        <f>IF(CH1748="","",IFERROR(IF(IF(AND(LEN(CH1748)=9,ISERROR(FIND("-",LEFT(CH1748,8))),ISNUMBER(-LEFT(CH1748,8))),VALUE(LEFT(CH1748,4)),VALUE(LEFT(CH1748,FIND("-",CH1748)-1)))&lt;100,IF(AND(LEN(CH1748)=9,ISERROR(FIND("-",LEFT(CH1748,8))),ISNUMBER(-LEFT(CH1748,8))),VALUE(LEFT(CH1748,4)),VALUE(LEFT(CH1748,FIND("-",CH1748)-1)))+2000,IF(AND(LEN(CH1748)=9,ISERROR(FIND("-",LEFT(CH1748,8))),ISNUMBER(-LEFT(CH1748,8))),VALUE(LEFT(CH1748,4)),VALUE(LEFT(CH1748,FIND("-",CH1748)-1)))),""))</f>
        <v/>
      </c>
      <c r="CN1748">
        <f>IF(CH1748="","",IFERROR(IF(AND(LEN(CH1748)=9,ISERROR(FIND("-",LEFT(CH1748,8))),ISNUMBER(-LEFT(CH1748,8))),VALUE(MID(CH1748,5,2)),VALUE(MID(CH1748,FIND("-",CH1748)+1,FIND("-",CH1748,FIND("-",CH1748)+1)-FIND("-",CH1748)-1))),""))</f>
        <v/>
      </c>
      <c r="CO1748">
        <f>IF(CH1748="","",IFERROR(IF(AND(LEN(CH1748)=9,ISERROR(FIND("-",LEFT(CH1748,8))),ISNUMBER(-LEFT(CH1748,8))),VALUE(MID(CH1748,7,2)),VALUE(MID(CH1748,FIND("-",CH1748,FIND("-",CH1748)+1)+1,FIND("-",CH1748,FIND("-",CH1748,FIND("-",CH1748)+1)+1)-FIND("-",CH1748,FIND("-",CH1748)+1)-1))),""))</f>
        <v/>
      </c>
    </row>
    <row r="1749">
      <c r="CH1749">
        <f>IF(ISTEXT('월 가계부'!A1749),SUBSTITUTE(SUBSTITUTE(SUBSTITUTE(SUBSTITUTE(SUBSTITUTE(SUBSTITUTE(SUBSTITUTE(SUBSTITUTE(SUBSTITUTE(TRIM('월 가계부'!A1749),"년","-"),"월","-"),"일",""),".","-"),"/","-")," ","-"),"--","-"),"--","-"),"--","-")&amp;"-","")</f>
        <v/>
      </c>
      <c r="CI1749">
        <f>IFERROR(IF('월 가계부'!A1749="","",IF(ISNUMBER('월 가계부'!A1749),IF(AND('월 가계부'!A1749&gt;=19000101,'월 가계부'!A1749&lt;=21001231),IF(AND(MOD(INT('월 가계부'!A1749/100),100)&gt;=1,MOD(INT('월 가계부'!A1749/100),100)&lt;=12,MOD(INT('월 가계부'!A1749),100)&gt;=1,MOD(INT('월 가계부'!A1749),100)&lt;=31),IF(MONTH(DATE(INT('월 가계부'!A1749/10000),MOD(INT('월 가계부'!A1749/100),100),MOD(INT('월 가계부'!A1749),100)))=MOD(INT('월 가계부'!A1749/100),100),DATE(INT('월 가계부'!A1749/10000),MOD(INT('월 가계부'!A1749/100),100),MOD(INT('월 가계부'!A1749),100)),""),""),IF(AND('월 가계부'!A1749&gt;=36526,'월 가계부'!A1749&lt;73051),INT('월 가계부'!A1749),"")),IF(OR(CM1749="",CN1749="",CO1749=""),"",IF(AND(CM1749&gt;=2000,CM1749&lt;=2099,CN1749&gt;=1,CN1749&lt;=12,CO1749&gt;=1,CO1749&lt;=31),IF(MONTH(DATE(CM1749,CN1749,CO1749))=CN1749,DATE(CM1749,CN1749,CO1749),""),"")))),"")</f>
        <v/>
      </c>
      <c r="CJ1749">
        <f>IFERROR(IF('월 가계부'!C1749="","",IF(ISNUMBER('월 가계부'!C1749),'월 가계부'!C1749,VALUE(SUBSTITUTE(SUBSTITUTE(SUBSTITUTE(SUBSTITUTE(TRIM('월 가계부'!C1749),",",""),"원","")," ",""),"−","-")))),"")</f>
        <v/>
      </c>
      <c r="CK1749">
        <f>IF(ISNUMBER(CI1749),IF(CI1749&lt;$B$13,CI1749,""),"")</f>
        <v/>
      </c>
      <c r="CM1749">
        <f>IF(CH1749="","",IFERROR(IF(IF(AND(LEN(CH1749)=9,ISERROR(FIND("-",LEFT(CH1749,8))),ISNUMBER(-LEFT(CH1749,8))),VALUE(LEFT(CH1749,4)),VALUE(LEFT(CH1749,FIND("-",CH1749)-1)))&lt;100,IF(AND(LEN(CH1749)=9,ISERROR(FIND("-",LEFT(CH1749,8))),ISNUMBER(-LEFT(CH1749,8))),VALUE(LEFT(CH1749,4)),VALUE(LEFT(CH1749,FIND("-",CH1749)-1)))+2000,IF(AND(LEN(CH1749)=9,ISERROR(FIND("-",LEFT(CH1749,8))),ISNUMBER(-LEFT(CH1749,8))),VALUE(LEFT(CH1749,4)),VALUE(LEFT(CH1749,FIND("-",CH1749)-1)))),""))</f>
        <v/>
      </c>
      <c r="CN1749">
        <f>IF(CH1749="","",IFERROR(IF(AND(LEN(CH1749)=9,ISERROR(FIND("-",LEFT(CH1749,8))),ISNUMBER(-LEFT(CH1749,8))),VALUE(MID(CH1749,5,2)),VALUE(MID(CH1749,FIND("-",CH1749)+1,FIND("-",CH1749,FIND("-",CH1749)+1)-FIND("-",CH1749)-1))),""))</f>
        <v/>
      </c>
      <c r="CO1749">
        <f>IF(CH1749="","",IFERROR(IF(AND(LEN(CH1749)=9,ISERROR(FIND("-",LEFT(CH1749,8))),ISNUMBER(-LEFT(CH1749,8))),VALUE(MID(CH1749,7,2)),VALUE(MID(CH1749,FIND("-",CH1749,FIND("-",CH1749)+1)+1,FIND("-",CH1749,FIND("-",CH1749,FIND("-",CH1749)+1)+1)-FIND("-",CH1749,FIND("-",CH1749)+1)-1))),""))</f>
        <v/>
      </c>
    </row>
    <row r="1750">
      <c r="CH1750">
        <f>IF(ISTEXT('월 가계부'!A1750),SUBSTITUTE(SUBSTITUTE(SUBSTITUTE(SUBSTITUTE(SUBSTITUTE(SUBSTITUTE(SUBSTITUTE(SUBSTITUTE(SUBSTITUTE(TRIM('월 가계부'!A1750),"년","-"),"월","-"),"일",""),".","-"),"/","-")," ","-"),"--","-"),"--","-"),"--","-")&amp;"-","")</f>
        <v/>
      </c>
      <c r="CI1750">
        <f>IFERROR(IF('월 가계부'!A1750="","",IF(ISNUMBER('월 가계부'!A1750),IF(AND('월 가계부'!A1750&gt;=19000101,'월 가계부'!A1750&lt;=21001231),IF(AND(MOD(INT('월 가계부'!A1750/100),100)&gt;=1,MOD(INT('월 가계부'!A1750/100),100)&lt;=12,MOD(INT('월 가계부'!A1750),100)&gt;=1,MOD(INT('월 가계부'!A1750),100)&lt;=31),IF(MONTH(DATE(INT('월 가계부'!A1750/10000),MOD(INT('월 가계부'!A1750/100),100),MOD(INT('월 가계부'!A1750),100)))=MOD(INT('월 가계부'!A1750/100),100),DATE(INT('월 가계부'!A1750/10000),MOD(INT('월 가계부'!A1750/100),100),MOD(INT('월 가계부'!A1750),100)),""),""),IF(AND('월 가계부'!A1750&gt;=36526,'월 가계부'!A1750&lt;73051),INT('월 가계부'!A1750),"")),IF(OR(CM1750="",CN1750="",CO1750=""),"",IF(AND(CM1750&gt;=2000,CM1750&lt;=2099,CN1750&gt;=1,CN1750&lt;=12,CO1750&gt;=1,CO1750&lt;=31),IF(MONTH(DATE(CM1750,CN1750,CO1750))=CN1750,DATE(CM1750,CN1750,CO1750),""),"")))),"")</f>
        <v/>
      </c>
      <c r="CJ1750">
        <f>IFERROR(IF('월 가계부'!C1750="","",IF(ISNUMBER('월 가계부'!C1750),'월 가계부'!C1750,VALUE(SUBSTITUTE(SUBSTITUTE(SUBSTITUTE(SUBSTITUTE(TRIM('월 가계부'!C1750),",",""),"원","")," ",""),"−","-")))),"")</f>
        <v/>
      </c>
      <c r="CK1750">
        <f>IF(ISNUMBER(CI1750),IF(CI1750&lt;$B$13,CI1750,""),"")</f>
        <v/>
      </c>
      <c r="CM1750">
        <f>IF(CH1750="","",IFERROR(IF(IF(AND(LEN(CH1750)=9,ISERROR(FIND("-",LEFT(CH1750,8))),ISNUMBER(-LEFT(CH1750,8))),VALUE(LEFT(CH1750,4)),VALUE(LEFT(CH1750,FIND("-",CH1750)-1)))&lt;100,IF(AND(LEN(CH1750)=9,ISERROR(FIND("-",LEFT(CH1750,8))),ISNUMBER(-LEFT(CH1750,8))),VALUE(LEFT(CH1750,4)),VALUE(LEFT(CH1750,FIND("-",CH1750)-1)))+2000,IF(AND(LEN(CH1750)=9,ISERROR(FIND("-",LEFT(CH1750,8))),ISNUMBER(-LEFT(CH1750,8))),VALUE(LEFT(CH1750,4)),VALUE(LEFT(CH1750,FIND("-",CH1750)-1)))),""))</f>
        <v/>
      </c>
      <c r="CN1750">
        <f>IF(CH1750="","",IFERROR(IF(AND(LEN(CH1750)=9,ISERROR(FIND("-",LEFT(CH1750,8))),ISNUMBER(-LEFT(CH1750,8))),VALUE(MID(CH1750,5,2)),VALUE(MID(CH1750,FIND("-",CH1750)+1,FIND("-",CH1750,FIND("-",CH1750)+1)-FIND("-",CH1750)-1))),""))</f>
        <v/>
      </c>
      <c r="CO1750">
        <f>IF(CH1750="","",IFERROR(IF(AND(LEN(CH1750)=9,ISERROR(FIND("-",LEFT(CH1750,8))),ISNUMBER(-LEFT(CH1750,8))),VALUE(MID(CH1750,7,2)),VALUE(MID(CH1750,FIND("-",CH1750,FIND("-",CH1750)+1)+1,FIND("-",CH1750,FIND("-",CH1750,FIND("-",CH1750)+1)+1)-FIND("-",CH1750,FIND("-",CH1750)+1)-1))),""))</f>
        <v/>
      </c>
    </row>
    <row r="1751">
      <c r="CH1751">
        <f>IF(ISTEXT('월 가계부'!A1751),SUBSTITUTE(SUBSTITUTE(SUBSTITUTE(SUBSTITUTE(SUBSTITUTE(SUBSTITUTE(SUBSTITUTE(SUBSTITUTE(SUBSTITUTE(TRIM('월 가계부'!A1751),"년","-"),"월","-"),"일",""),".","-"),"/","-")," ","-"),"--","-"),"--","-"),"--","-")&amp;"-","")</f>
        <v/>
      </c>
      <c r="CI1751">
        <f>IFERROR(IF('월 가계부'!A1751="","",IF(ISNUMBER('월 가계부'!A1751),IF(AND('월 가계부'!A1751&gt;=19000101,'월 가계부'!A1751&lt;=21001231),IF(AND(MOD(INT('월 가계부'!A1751/100),100)&gt;=1,MOD(INT('월 가계부'!A1751/100),100)&lt;=12,MOD(INT('월 가계부'!A1751),100)&gt;=1,MOD(INT('월 가계부'!A1751),100)&lt;=31),IF(MONTH(DATE(INT('월 가계부'!A1751/10000),MOD(INT('월 가계부'!A1751/100),100),MOD(INT('월 가계부'!A1751),100)))=MOD(INT('월 가계부'!A1751/100),100),DATE(INT('월 가계부'!A1751/10000),MOD(INT('월 가계부'!A1751/100),100),MOD(INT('월 가계부'!A1751),100)),""),""),IF(AND('월 가계부'!A1751&gt;=36526,'월 가계부'!A1751&lt;73051),INT('월 가계부'!A1751),"")),IF(OR(CM1751="",CN1751="",CO1751=""),"",IF(AND(CM1751&gt;=2000,CM1751&lt;=2099,CN1751&gt;=1,CN1751&lt;=12,CO1751&gt;=1,CO1751&lt;=31),IF(MONTH(DATE(CM1751,CN1751,CO1751))=CN1751,DATE(CM1751,CN1751,CO1751),""),"")))),"")</f>
        <v/>
      </c>
      <c r="CJ1751">
        <f>IFERROR(IF('월 가계부'!C1751="","",IF(ISNUMBER('월 가계부'!C1751),'월 가계부'!C1751,VALUE(SUBSTITUTE(SUBSTITUTE(SUBSTITUTE(SUBSTITUTE(TRIM('월 가계부'!C1751),",",""),"원","")," ",""),"−","-")))),"")</f>
        <v/>
      </c>
      <c r="CK1751">
        <f>IF(ISNUMBER(CI1751),IF(CI1751&lt;$B$13,CI1751,""),"")</f>
        <v/>
      </c>
      <c r="CM1751">
        <f>IF(CH1751="","",IFERROR(IF(IF(AND(LEN(CH1751)=9,ISERROR(FIND("-",LEFT(CH1751,8))),ISNUMBER(-LEFT(CH1751,8))),VALUE(LEFT(CH1751,4)),VALUE(LEFT(CH1751,FIND("-",CH1751)-1)))&lt;100,IF(AND(LEN(CH1751)=9,ISERROR(FIND("-",LEFT(CH1751,8))),ISNUMBER(-LEFT(CH1751,8))),VALUE(LEFT(CH1751,4)),VALUE(LEFT(CH1751,FIND("-",CH1751)-1)))+2000,IF(AND(LEN(CH1751)=9,ISERROR(FIND("-",LEFT(CH1751,8))),ISNUMBER(-LEFT(CH1751,8))),VALUE(LEFT(CH1751,4)),VALUE(LEFT(CH1751,FIND("-",CH1751)-1)))),""))</f>
        <v/>
      </c>
      <c r="CN1751">
        <f>IF(CH1751="","",IFERROR(IF(AND(LEN(CH1751)=9,ISERROR(FIND("-",LEFT(CH1751,8))),ISNUMBER(-LEFT(CH1751,8))),VALUE(MID(CH1751,5,2)),VALUE(MID(CH1751,FIND("-",CH1751)+1,FIND("-",CH1751,FIND("-",CH1751)+1)-FIND("-",CH1751)-1))),""))</f>
        <v/>
      </c>
      <c r="CO1751">
        <f>IF(CH1751="","",IFERROR(IF(AND(LEN(CH1751)=9,ISERROR(FIND("-",LEFT(CH1751,8))),ISNUMBER(-LEFT(CH1751,8))),VALUE(MID(CH1751,7,2)),VALUE(MID(CH1751,FIND("-",CH1751,FIND("-",CH1751)+1)+1,FIND("-",CH1751,FIND("-",CH1751,FIND("-",CH1751)+1)+1)-FIND("-",CH1751,FIND("-",CH1751)+1)-1))),""))</f>
        <v/>
      </c>
    </row>
    <row r="1752">
      <c r="CH1752">
        <f>IF(ISTEXT('월 가계부'!A1752),SUBSTITUTE(SUBSTITUTE(SUBSTITUTE(SUBSTITUTE(SUBSTITUTE(SUBSTITUTE(SUBSTITUTE(SUBSTITUTE(SUBSTITUTE(TRIM('월 가계부'!A1752),"년","-"),"월","-"),"일",""),".","-"),"/","-")," ","-"),"--","-"),"--","-"),"--","-")&amp;"-","")</f>
        <v/>
      </c>
      <c r="CI1752">
        <f>IFERROR(IF('월 가계부'!A1752="","",IF(ISNUMBER('월 가계부'!A1752),IF(AND('월 가계부'!A1752&gt;=19000101,'월 가계부'!A1752&lt;=21001231),IF(AND(MOD(INT('월 가계부'!A1752/100),100)&gt;=1,MOD(INT('월 가계부'!A1752/100),100)&lt;=12,MOD(INT('월 가계부'!A1752),100)&gt;=1,MOD(INT('월 가계부'!A1752),100)&lt;=31),IF(MONTH(DATE(INT('월 가계부'!A1752/10000),MOD(INT('월 가계부'!A1752/100),100),MOD(INT('월 가계부'!A1752),100)))=MOD(INT('월 가계부'!A1752/100),100),DATE(INT('월 가계부'!A1752/10000),MOD(INT('월 가계부'!A1752/100),100),MOD(INT('월 가계부'!A1752),100)),""),""),IF(AND('월 가계부'!A1752&gt;=36526,'월 가계부'!A1752&lt;73051),INT('월 가계부'!A1752),"")),IF(OR(CM1752="",CN1752="",CO1752=""),"",IF(AND(CM1752&gt;=2000,CM1752&lt;=2099,CN1752&gt;=1,CN1752&lt;=12,CO1752&gt;=1,CO1752&lt;=31),IF(MONTH(DATE(CM1752,CN1752,CO1752))=CN1752,DATE(CM1752,CN1752,CO1752),""),"")))),"")</f>
        <v/>
      </c>
      <c r="CJ1752">
        <f>IFERROR(IF('월 가계부'!C1752="","",IF(ISNUMBER('월 가계부'!C1752),'월 가계부'!C1752,VALUE(SUBSTITUTE(SUBSTITUTE(SUBSTITUTE(SUBSTITUTE(TRIM('월 가계부'!C1752),",",""),"원","")," ",""),"−","-")))),"")</f>
        <v/>
      </c>
      <c r="CK1752">
        <f>IF(ISNUMBER(CI1752),IF(CI1752&lt;$B$13,CI1752,""),"")</f>
        <v/>
      </c>
      <c r="CM1752">
        <f>IF(CH1752="","",IFERROR(IF(IF(AND(LEN(CH1752)=9,ISERROR(FIND("-",LEFT(CH1752,8))),ISNUMBER(-LEFT(CH1752,8))),VALUE(LEFT(CH1752,4)),VALUE(LEFT(CH1752,FIND("-",CH1752)-1)))&lt;100,IF(AND(LEN(CH1752)=9,ISERROR(FIND("-",LEFT(CH1752,8))),ISNUMBER(-LEFT(CH1752,8))),VALUE(LEFT(CH1752,4)),VALUE(LEFT(CH1752,FIND("-",CH1752)-1)))+2000,IF(AND(LEN(CH1752)=9,ISERROR(FIND("-",LEFT(CH1752,8))),ISNUMBER(-LEFT(CH1752,8))),VALUE(LEFT(CH1752,4)),VALUE(LEFT(CH1752,FIND("-",CH1752)-1)))),""))</f>
        <v/>
      </c>
      <c r="CN1752">
        <f>IF(CH1752="","",IFERROR(IF(AND(LEN(CH1752)=9,ISERROR(FIND("-",LEFT(CH1752,8))),ISNUMBER(-LEFT(CH1752,8))),VALUE(MID(CH1752,5,2)),VALUE(MID(CH1752,FIND("-",CH1752)+1,FIND("-",CH1752,FIND("-",CH1752)+1)-FIND("-",CH1752)-1))),""))</f>
        <v/>
      </c>
      <c r="CO1752">
        <f>IF(CH1752="","",IFERROR(IF(AND(LEN(CH1752)=9,ISERROR(FIND("-",LEFT(CH1752,8))),ISNUMBER(-LEFT(CH1752,8))),VALUE(MID(CH1752,7,2)),VALUE(MID(CH1752,FIND("-",CH1752,FIND("-",CH1752)+1)+1,FIND("-",CH1752,FIND("-",CH1752,FIND("-",CH1752)+1)+1)-FIND("-",CH1752,FIND("-",CH1752)+1)-1))),""))</f>
        <v/>
      </c>
    </row>
    <row r="1753">
      <c r="CH1753">
        <f>IF(ISTEXT('월 가계부'!A1753),SUBSTITUTE(SUBSTITUTE(SUBSTITUTE(SUBSTITUTE(SUBSTITUTE(SUBSTITUTE(SUBSTITUTE(SUBSTITUTE(SUBSTITUTE(TRIM('월 가계부'!A1753),"년","-"),"월","-"),"일",""),".","-"),"/","-")," ","-"),"--","-"),"--","-"),"--","-")&amp;"-","")</f>
        <v/>
      </c>
      <c r="CI1753">
        <f>IFERROR(IF('월 가계부'!A1753="","",IF(ISNUMBER('월 가계부'!A1753),IF(AND('월 가계부'!A1753&gt;=19000101,'월 가계부'!A1753&lt;=21001231),IF(AND(MOD(INT('월 가계부'!A1753/100),100)&gt;=1,MOD(INT('월 가계부'!A1753/100),100)&lt;=12,MOD(INT('월 가계부'!A1753),100)&gt;=1,MOD(INT('월 가계부'!A1753),100)&lt;=31),IF(MONTH(DATE(INT('월 가계부'!A1753/10000),MOD(INT('월 가계부'!A1753/100),100),MOD(INT('월 가계부'!A1753),100)))=MOD(INT('월 가계부'!A1753/100),100),DATE(INT('월 가계부'!A1753/10000),MOD(INT('월 가계부'!A1753/100),100),MOD(INT('월 가계부'!A1753),100)),""),""),IF(AND('월 가계부'!A1753&gt;=36526,'월 가계부'!A1753&lt;73051),INT('월 가계부'!A1753),"")),IF(OR(CM1753="",CN1753="",CO1753=""),"",IF(AND(CM1753&gt;=2000,CM1753&lt;=2099,CN1753&gt;=1,CN1753&lt;=12,CO1753&gt;=1,CO1753&lt;=31),IF(MONTH(DATE(CM1753,CN1753,CO1753))=CN1753,DATE(CM1753,CN1753,CO1753),""),"")))),"")</f>
        <v/>
      </c>
      <c r="CJ1753">
        <f>IFERROR(IF('월 가계부'!C1753="","",IF(ISNUMBER('월 가계부'!C1753),'월 가계부'!C1753,VALUE(SUBSTITUTE(SUBSTITUTE(SUBSTITUTE(SUBSTITUTE(TRIM('월 가계부'!C1753),",",""),"원","")," ",""),"−","-")))),"")</f>
        <v/>
      </c>
      <c r="CK1753">
        <f>IF(ISNUMBER(CI1753),IF(CI1753&lt;$B$13,CI1753,""),"")</f>
        <v/>
      </c>
      <c r="CM1753">
        <f>IF(CH1753="","",IFERROR(IF(IF(AND(LEN(CH1753)=9,ISERROR(FIND("-",LEFT(CH1753,8))),ISNUMBER(-LEFT(CH1753,8))),VALUE(LEFT(CH1753,4)),VALUE(LEFT(CH1753,FIND("-",CH1753)-1)))&lt;100,IF(AND(LEN(CH1753)=9,ISERROR(FIND("-",LEFT(CH1753,8))),ISNUMBER(-LEFT(CH1753,8))),VALUE(LEFT(CH1753,4)),VALUE(LEFT(CH1753,FIND("-",CH1753)-1)))+2000,IF(AND(LEN(CH1753)=9,ISERROR(FIND("-",LEFT(CH1753,8))),ISNUMBER(-LEFT(CH1753,8))),VALUE(LEFT(CH1753,4)),VALUE(LEFT(CH1753,FIND("-",CH1753)-1)))),""))</f>
        <v/>
      </c>
      <c r="CN1753">
        <f>IF(CH1753="","",IFERROR(IF(AND(LEN(CH1753)=9,ISERROR(FIND("-",LEFT(CH1753,8))),ISNUMBER(-LEFT(CH1753,8))),VALUE(MID(CH1753,5,2)),VALUE(MID(CH1753,FIND("-",CH1753)+1,FIND("-",CH1753,FIND("-",CH1753)+1)-FIND("-",CH1753)-1))),""))</f>
        <v/>
      </c>
      <c r="CO1753">
        <f>IF(CH1753="","",IFERROR(IF(AND(LEN(CH1753)=9,ISERROR(FIND("-",LEFT(CH1753,8))),ISNUMBER(-LEFT(CH1753,8))),VALUE(MID(CH1753,7,2)),VALUE(MID(CH1753,FIND("-",CH1753,FIND("-",CH1753)+1)+1,FIND("-",CH1753,FIND("-",CH1753,FIND("-",CH1753)+1)+1)-FIND("-",CH1753,FIND("-",CH1753)+1)-1))),""))</f>
        <v/>
      </c>
    </row>
    <row r="1754">
      <c r="CH1754">
        <f>IF(ISTEXT('월 가계부'!A1754),SUBSTITUTE(SUBSTITUTE(SUBSTITUTE(SUBSTITUTE(SUBSTITUTE(SUBSTITUTE(SUBSTITUTE(SUBSTITUTE(SUBSTITUTE(TRIM('월 가계부'!A1754),"년","-"),"월","-"),"일",""),".","-"),"/","-")," ","-"),"--","-"),"--","-"),"--","-")&amp;"-","")</f>
        <v/>
      </c>
      <c r="CI1754">
        <f>IFERROR(IF('월 가계부'!A1754="","",IF(ISNUMBER('월 가계부'!A1754),IF(AND('월 가계부'!A1754&gt;=19000101,'월 가계부'!A1754&lt;=21001231),IF(AND(MOD(INT('월 가계부'!A1754/100),100)&gt;=1,MOD(INT('월 가계부'!A1754/100),100)&lt;=12,MOD(INT('월 가계부'!A1754),100)&gt;=1,MOD(INT('월 가계부'!A1754),100)&lt;=31),IF(MONTH(DATE(INT('월 가계부'!A1754/10000),MOD(INT('월 가계부'!A1754/100),100),MOD(INT('월 가계부'!A1754),100)))=MOD(INT('월 가계부'!A1754/100),100),DATE(INT('월 가계부'!A1754/10000),MOD(INT('월 가계부'!A1754/100),100),MOD(INT('월 가계부'!A1754),100)),""),""),IF(AND('월 가계부'!A1754&gt;=36526,'월 가계부'!A1754&lt;73051),INT('월 가계부'!A1754),"")),IF(OR(CM1754="",CN1754="",CO1754=""),"",IF(AND(CM1754&gt;=2000,CM1754&lt;=2099,CN1754&gt;=1,CN1754&lt;=12,CO1754&gt;=1,CO1754&lt;=31),IF(MONTH(DATE(CM1754,CN1754,CO1754))=CN1754,DATE(CM1754,CN1754,CO1754),""),"")))),"")</f>
        <v/>
      </c>
      <c r="CJ1754">
        <f>IFERROR(IF('월 가계부'!C1754="","",IF(ISNUMBER('월 가계부'!C1754),'월 가계부'!C1754,VALUE(SUBSTITUTE(SUBSTITUTE(SUBSTITUTE(SUBSTITUTE(TRIM('월 가계부'!C1754),",",""),"원","")," ",""),"−","-")))),"")</f>
        <v/>
      </c>
      <c r="CK1754">
        <f>IF(ISNUMBER(CI1754),IF(CI1754&lt;$B$13,CI1754,""),"")</f>
        <v/>
      </c>
      <c r="CM1754">
        <f>IF(CH1754="","",IFERROR(IF(IF(AND(LEN(CH1754)=9,ISERROR(FIND("-",LEFT(CH1754,8))),ISNUMBER(-LEFT(CH1754,8))),VALUE(LEFT(CH1754,4)),VALUE(LEFT(CH1754,FIND("-",CH1754)-1)))&lt;100,IF(AND(LEN(CH1754)=9,ISERROR(FIND("-",LEFT(CH1754,8))),ISNUMBER(-LEFT(CH1754,8))),VALUE(LEFT(CH1754,4)),VALUE(LEFT(CH1754,FIND("-",CH1754)-1)))+2000,IF(AND(LEN(CH1754)=9,ISERROR(FIND("-",LEFT(CH1754,8))),ISNUMBER(-LEFT(CH1754,8))),VALUE(LEFT(CH1754,4)),VALUE(LEFT(CH1754,FIND("-",CH1754)-1)))),""))</f>
        <v/>
      </c>
      <c r="CN1754">
        <f>IF(CH1754="","",IFERROR(IF(AND(LEN(CH1754)=9,ISERROR(FIND("-",LEFT(CH1754,8))),ISNUMBER(-LEFT(CH1754,8))),VALUE(MID(CH1754,5,2)),VALUE(MID(CH1754,FIND("-",CH1754)+1,FIND("-",CH1754,FIND("-",CH1754)+1)-FIND("-",CH1754)-1))),""))</f>
        <v/>
      </c>
      <c r="CO1754">
        <f>IF(CH1754="","",IFERROR(IF(AND(LEN(CH1754)=9,ISERROR(FIND("-",LEFT(CH1754,8))),ISNUMBER(-LEFT(CH1754,8))),VALUE(MID(CH1754,7,2)),VALUE(MID(CH1754,FIND("-",CH1754,FIND("-",CH1754)+1)+1,FIND("-",CH1754,FIND("-",CH1754,FIND("-",CH1754)+1)+1)-FIND("-",CH1754,FIND("-",CH1754)+1)-1))),""))</f>
        <v/>
      </c>
    </row>
    <row r="1755">
      <c r="CH1755">
        <f>IF(ISTEXT('월 가계부'!A1755),SUBSTITUTE(SUBSTITUTE(SUBSTITUTE(SUBSTITUTE(SUBSTITUTE(SUBSTITUTE(SUBSTITUTE(SUBSTITUTE(SUBSTITUTE(TRIM('월 가계부'!A1755),"년","-"),"월","-"),"일",""),".","-"),"/","-")," ","-"),"--","-"),"--","-"),"--","-")&amp;"-","")</f>
        <v/>
      </c>
      <c r="CI1755">
        <f>IFERROR(IF('월 가계부'!A1755="","",IF(ISNUMBER('월 가계부'!A1755),IF(AND('월 가계부'!A1755&gt;=19000101,'월 가계부'!A1755&lt;=21001231),IF(AND(MOD(INT('월 가계부'!A1755/100),100)&gt;=1,MOD(INT('월 가계부'!A1755/100),100)&lt;=12,MOD(INT('월 가계부'!A1755),100)&gt;=1,MOD(INT('월 가계부'!A1755),100)&lt;=31),IF(MONTH(DATE(INT('월 가계부'!A1755/10000),MOD(INT('월 가계부'!A1755/100),100),MOD(INT('월 가계부'!A1755),100)))=MOD(INT('월 가계부'!A1755/100),100),DATE(INT('월 가계부'!A1755/10000),MOD(INT('월 가계부'!A1755/100),100),MOD(INT('월 가계부'!A1755),100)),""),""),IF(AND('월 가계부'!A1755&gt;=36526,'월 가계부'!A1755&lt;73051),INT('월 가계부'!A1755),"")),IF(OR(CM1755="",CN1755="",CO1755=""),"",IF(AND(CM1755&gt;=2000,CM1755&lt;=2099,CN1755&gt;=1,CN1755&lt;=12,CO1755&gt;=1,CO1755&lt;=31),IF(MONTH(DATE(CM1755,CN1755,CO1755))=CN1755,DATE(CM1755,CN1755,CO1755),""),"")))),"")</f>
        <v/>
      </c>
      <c r="CJ1755">
        <f>IFERROR(IF('월 가계부'!C1755="","",IF(ISNUMBER('월 가계부'!C1755),'월 가계부'!C1755,VALUE(SUBSTITUTE(SUBSTITUTE(SUBSTITUTE(SUBSTITUTE(TRIM('월 가계부'!C1755),",",""),"원","")," ",""),"−","-")))),"")</f>
        <v/>
      </c>
      <c r="CK1755">
        <f>IF(ISNUMBER(CI1755),IF(CI1755&lt;$B$13,CI1755,""),"")</f>
        <v/>
      </c>
      <c r="CM1755">
        <f>IF(CH1755="","",IFERROR(IF(IF(AND(LEN(CH1755)=9,ISERROR(FIND("-",LEFT(CH1755,8))),ISNUMBER(-LEFT(CH1755,8))),VALUE(LEFT(CH1755,4)),VALUE(LEFT(CH1755,FIND("-",CH1755)-1)))&lt;100,IF(AND(LEN(CH1755)=9,ISERROR(FIND("-",LEFT(CH1755,8))),ISNUMBER(-LEFT(CH1755,8))),VALUE(LEFT(CH1755,4)),VALUE(LEFT(CH1755,FIND("-",CH1755)-1)))+2000,IF(AND(LEN(CH1755)=9,ISERROR(FIND("-",LEFT(CH1755,8))),ISNUMBER(-LEFT(CH1755,8))),VALUE(LEFT(CH1755,4)),VALUE(LEFT(CH1755,FIND("-",CH1755)-1)))),""))</f>
        <v/>
      </c>
      <c r="CN1755">
        <f>IF(CH1755="","",IFERROR(IF(AND(LEN(CH1755)=9,ISERROR(FIND("-",LEFT(CH1755,8))),ISNUMBER(-LEFT(CH1755,8))),VALUE(MID(CH1755,5,2)),VALUE(MID(CH1755,FIND("-",CH1755)+1,FIND("-",CH1755,FIND("-",CH1755)+1)-FIND("-",CH1755)-1))),""))</f>
        <v/>
      </c>
      <c r="CO1755">
        <f>IF(CH1755="","",IFERROR(IF(AND(LEN(CH1755)=9,ISERROR(FIND("-",LEFT(CH1755,8))),ISNUMBER(-LEFT(CH1755,8))),VALUE(MID(CH1755,7,2)),VALUE(MID(CH1755,FIND("-",CH1755,FIND("-",CH1755)+1)+1,FIND("-",CH1755,FIND("-",CH1755,FIND("-",CH1755)+1)+1)-FIND("-",CH1755,FIND("-",CH1755)+1)-1))),""))</f>
        <v/>
      </c>
    </row>
    <row r="1756">
      <c r="CH1756">
        <f>IF(ISTEXT('월 가계부'!A1756),SUBSTITUTE(SUBSTITUTE(SUBSTITUTE(SUBSTITUTE(SUBSTITUTE(SUBSTITUTE(SUBSTITUTE(SUBSTITUTE(SUBSTITUTE(TRIM('월 가계부'!A1756),"년","-"),"월","-"),"일",""),".","-"),"/","-")," ","-"),"--","-"),"--","-"),"--","-")&amp;"-","")</f>
        <v/>
      </c>
      <c r="CI1756">
        <f>IFERROR(IF('월 가계부'!A1756="","",IF(ISNUMBER('월 가계부'!A1756),IF(AND('월 가계부'!A1756&gt;=19000101,'월 가계부'!A1756&lt;=21001231),IF(AND(MOD(INT('월 가계부'!A1756/100),100)&gt;=1,MOD(INT('월 가계부'!A1756/100),100)&lt;=12,MOD(INT('월 가계부'!A1756),100)&gt;=1,MOD(INT('월 가계부'!A1756),100)&lt;=31),IF(MONTH(DATE(INT('월 가계부'!A1756/10000),MOD(INT('월 가계부'!A1756/100),100),MOD(INT('월 가계부'!A1756),100)))=MOD(INT('월 가계부'!A1756/100),100),DATE(INT('월 가계부'!A1756/10000),MOD(INT('월 가계부'!A1756/100),100),MOD(INT('월 가계부'!A1756),100)),""),""),IF(AND('월 가계부'!A1756&gt;=36526,'월 가계부'!A1756&lt;73051),INT('월 가계부'!A1756),"")),IF(OR(CM1756="",CN1756="",CO1756=""),"",IF(AND(CM1756&gt;=2000,CM1756&lt;=2099,CN1756&gt;=1,CN1756&lt;=12,CO1756&gt;=1,CO1756&lt;=31),IF(MONTH(DATE(CM1756,CN1756,CO1756))=CN1756,DATE(CM1756,CN1756,CO1756),""),"")))),"")</f>
        <v/>
      </c>
      <c r="CJ1756">
        <f>IFERROR(IF('월 가계부'!C1756="","",IF(ISNUMBER('월 가계부'!C1756),'월 가계부'!C1756,VALUE(SUBSTITUTE(SUBSTITUTE(SUBSTITUTE(SUBSTITUTE(TRIM('월 가계부'!C1756),",",""),"원","")," ",""),"−","-")))),"")</f>
        <v/>
      </c>
      <c r="CK1756">
        <f>IF(ISNUMBER(CI1756),IF(CI1756&lt;$B$13,CI1756,""),"")</f>
        <v/>
      </c>
      <c r="CM1756">
        <f>IF(CH1756="","",IFERROR(IF(IF(AND(LEN(CH1756)=9,ISERROR(FIND("-",LEFT(CH1756,8))),ISNUMBER(-LEFT(CH1756,8))),VALUE(LEFT(CH1756,4)),VALUE(LEFT(CH1756,FIND("-",CH1756)-1)))&lt;100,IF(AND(LEN(CH1756)=9,ISERROR(FIND("-",LEFT(CH1756,8))),ISNUMBER(-LEFT(CH1756,8))),VALUE(LEFT(CH1756,4)),VALUE(LEFT(CH1756,FIND("-",CH1756)-1)))+2000,IF(AND(LEN(CH1756)=9,ISERROR(FIND("-",LEFT(CH1756,8))),ISNUMBER(-LEFT(CH1756,8))),VALUE(LEFT(CH1756,4)),VALUE(LEFT(CH1756,FIND("-",CH1756)-1)))),""))</f>
        <v/>
      </c>
      <c r="CN1756">
        <f>IF(CH1756="","",IFERROR(IF(AND(LEN(CH1756)=9,ISERROR(FIND("-",LEFT(CH1756,8))),ISNUMBER(-LEFT(CH1756,8))),VALUE(MID(CH1756,5,2)),VALUE(MID(CH1756,FIND("-",CH1756)+1,FIND("-",CH1756,FIND("-",CH1756)+1)-FIND("-",CH1756)-1))),""))</f>
        <v/>
      </c>
      <c r="CO1756">
        <f>IF(CH1756="","",IFERROR(IF(AND(LEN(CH1756)=9,ISERROR(FIND("-",LEFT(CH1756,8))),ISNUMBER(-LEFT(CH1756,8))),VALUE(MID(CH1756,7,2)),VALUE(MID(CH1756,FIND("-",CH1756,FIND("-",CH1756)+1)+1,FIND("-",CH1756,FIND("-",CH1756,FIND("-",CH1756)+1)+1)-FIND("-",CH1756,FIND("-",CH1756)+1)-1))),""))</f>
        <v/>
      </c>
    </row>
    <row r="1757">
      <c r="CH1757">
        <f>IF(ISTEXT('월 가계부'!A1757),SUBSTITUTE(SUBSTITUTE(SUBSTITUTE(SUBSTITUTE(SUBSTITUTE(SUBSTITUTE(SUBSTITUTE(SUBSTITUTE(SUBSTITUTE(TRIM('월 가계부'!A1757),"년","-"),"월","-"),"일",""),".","-"),"/","-")," ","-"),"--","-"),"--","-"),"--","-")&amp;"-","")</f>
        <v/>
      </c>
      <c r="CI1757">
        <f>IFERROR(IF('월 가계부'!A1757="","",IF(ISNUMBER('월 가계부'!A1757),IF(AND('월 가계부'!A1757&gt;=19000101,'월 가계부'!A1757&lt;=21001231),IF(AND(MOD(INT('월 가계부'!A1757/100),100)&gt;=1,MOD(INT('월 가계부'!A1757/100),100)&lt;=12,MOD(INT('월 가계부'!A1757),100)&gt;=1,MOD(INT('월 가계부'!A1757),100)&lt;=31),IF(MONTH(DATE(INT('월 가계부'!A1757/10000),MOD(INT('월 가계부'!A1757/100),100),MOD(INT('월 가계부'!A1757),100)))=MOD(INT('월 가계부'!A1757/100),100),DATE(INT('월 가계부'!A1757/10000),MOD(INT('월 가계부'!A1757/100),100),MOD(INT('월 가계부'!A1757),100)),""),""),IF(AND('월 가계부'!A1757&gt;=36526,'월 가계부'!A1757&lt;73051),INT('월 가계부'!A1757),"")),IF(OR(CM1757="",CN1757="",CO1757=""),"",IF(AND(CM1757&gt;=2000,CM1757&lt;=2099,CN1757&gt;=1,CN1757&lt;=12,CO1757&gt;=1,CO1757&lt;=31),IF(MONTH(DATE(CM1757,CN1757,CO1757))=CN1757,DATE(CM1757,CN1757,CO1757),""),"")))),"")</f>
        <v/>
      </c>
      <c r="CJ1757">
        <f>IFERROR(IF('월 가계부'!C1757="","",IF(ISNUMBER('월 가계부'!C1757),'월 가계부'!C1757,VALUE(SUBSTITUTE(SUBSTITUTE(SUBSTITUTE(SUBSTITUTE(TRIM('월 가계부'!C1757),",",""),"원","")," ",""),"−","-")))),"")</f>
        <v/>
      </c>
      <c r="CK1757">
        <f>IF(ISNUMBER(CI1757),IF(CI1757&lt;$B$13,CI1757,""),"")</f>
        <v/>
      </c>
      <c r="CM1757">
        <f>IF(CH1757="","",IFERROR(IF(IF(AND(LEN(CH1757)=9,ISERROR(FIND("-",LEFT(CH1757,8))),ISNUMBER(-LEFT(CH1757,8))),VALUE(LEFT(CH1757,4)),VALUE(LEFT(CH1757,FIND("-",CH1757)-1)))&lt;100,IF(AND(LEN(CH1757)=9,ISERROR(FIND("-",LEFT(CH1757,8))),ISNUMBER(-LEFT(CH1757,8))),VALUE(LEFT(CH1757,4)),VALUE(LEFT(CH1757,FIND("-",CH1757)-1)))+2000,IF(AND(LEN(CH1757)=9,ISERROR(FIND("-",LEFT(CH1757,8))),ISNUMBER(-LEFT(CH1757,8))),VALUE(LEFT(CH1757,4)),VALUE(LEFT(CH1757,FIND("-",CH1757)-1)))),""))</f>
        <v/>
      </c>
      <c r="CN1757">
        <f>IF(CH1757="","",IFERROR(IF(AND(LEN(CH1757)=9,ISERROR(FIND("-",LEFT(CH1757,8))),ISNUMBER(-LEFT(CH1757,8))),VALUE(MID(CH1757,5,2)),VALUE(MID(CH1757,FIND("-",CH1757)+1,FIND("-",CH1757,FIND("-",CH1757)+1)-FIND("-",CH1757)-1))),""))</f>
        <v/>
      </c>
      <c r="CO1757">
        <f>IF(CH1757="","",IFERROR(IF(AND(LEN(CH1757)=9,ISERROR(FIND("-",LEFT(CH1757,8))),ISNUMBER(-LEFT(CH1757,8))),VALUE(MID(CH1757,7,2)),VALUE(MID(CH1757,FIND("-",CH1757,FIND("-",CH1757)+1)+1,FIND("-",CH1757,FIND("-",CH1757,FIND("-",CH1757)+1)+1)-FIND("-",CH1757,FIND("-",CH1757)+1)-1))),""))</f>
        <v/>
      </c>
    </row>
    <row r="1758">
      <c r="CH1758">
        <f>IF(ISTEXT('월 가계부'!A1758),SUBSTITUTE(SUBSTITUTE(SUBSTITUTE(SUBSTITUTE(SUBSTITUTE(SUBSTITUTE(SUBSTITUTE(SUBSTITUTE(SUBSTITUTE(TRIM('월 가계부'!A1758),"년","-"),"월","-"),"일",""),".","-"),"/","-")," ","-"),"--","-"),"--","-"),"--","-")&amp;"-","")</f>
        <v/>
      </c>
      <c r="CI1758">
        <f>IFERROR(IF('월 가계부'!A1758="","",IF(ISNUMBER('월 가계부'!A1758),IF(AND('월 가계부'!A1758&gt;=19000101,'월 가계부'!A1758&lt;=21001231),IF(AND(MOD(INT('월 가계부'!A1758/100),100)&gt;=1,MOD(INT('월 가계부'!A1758/100),100)&lt;=12,MOD(INT('월 가계부'!A1758),100)&gt;=1,MOD(INT('월 가계부'!A1758),100)&lt;=31),IF(MONTH(DATE(INT('월 가계부'!A1758/10000),MOD(INT('월 가계부'!A1758/100),100),MOD(INT('월 가계부'!A1758),100)))=MOD(INT('월 가계부'!A1758/100),100),DATE(INT('월 가계부'!A1758/10000),MOD(INT('월 가계부'!A1758/100),100),MOD(INT('월 가계부'!A1758),100)),""),""),IF(AND('월 가계부'!A1758&gt;=36526,'월 가계부'!A1758&lt;73051),INT('월 가계부'!A1758),"")),IF(OR(CM1758="",CN1758="",CO1758=""),"",IF(AND(CM1758&gt;=2000,CM1758&lt;=2099,CN1758&gt;=1,CN1758&lt;=12,CO1758&gt;=1,CO1758&lt;=31),IF(MONTH(DATE(CM1758,CN1758,CO1758))=CN1758,DATE(CM1758,CN1758,CO1758),""),"")))),"")</f>
        <v/>
      </c>
      <c r="CJ1758">
        <f>IFERROR(IF('월 가계부'!C1758="","",IF(ISNUMBER('월 가계부'!C1758),'월 가계부'!C1758,VALUE(SUBSTITUTE(SUBSTITUTE(SUBSTITUTE(SUBSTITUTE(TRIM('월 가계부'!C1758),",",""),"원","")," ",""),"−","-")))),"")</f>
        <v/>
      </c>
      <c r="CK1758">
        <f>IF(ISNUMBER(CI1758),IF(CI1758&lt;$B$13,CI1758,""),"")</f>
        <v/>
      </c>
      <c r="CM1758">
        <f>IF(CH1758="","",IFERROR(IF(IF(AND(LEN(CH1758)=9,ISERROR(FIND("-",LEFT(CH1758,8))),ISNUMBER(-LEFT(CH1758,8))),VALUE(LEFT(CH1758,4)),VALUE(LEFT(CH1758,FIND("-",CH1758)-1)))&lt;100,IF(AND(LEN(CH1758)=9,ISERROR(FIND("-",LEFT(CH1758,8))),ISNUMBER(-LEFT(CH1758,8))),VALUE(LEFT(CH1758,4)),VALUE(LEFT(CH1758,FIND("-",CH1758)-1)))+2000,IF(AND(LEN(CH1758)=9,ISERROR(FIND("-",LEFT(CH1758,8))),ISNUMBER(-LEFT(CH1758,8))),VALUE(LEFT(CH1758,4)),VALUE(LEFT(CH1758,FIND("-",CH1758)-1)))),""))</f>
        <v/>
      </c>
      <c r="CN1758">
        <f>IF(CH1758="","",IFERROR(IF(AND(LEN(CH1758)=9,ISERROR(FIND("-",LEFT(CH1758,8))),ISNUMBER(-LEFT(CH1758,8))),VALUE(MID(CH1758,5,2)),VALUE(MID(CH1758,FIND("-",CH1758)+1,FIND("-",CH1758,FIND("-",CH1758)+1)-FIND("-",CH1758)-1))),""))</f>
        <v/>
      </c>
      <c r="CO1758">
        <f>IF(CH1758="","",IFERROR(IF(AND(LEN(CH1758)=9,ISERROR(FIND("-",LEFT(CH1758,8))),ISNUMBER(-LEFT(CH1758,8))),VALUE(MID(CH1758,7,2)),VALUE(MID(CH1758,FIND("-",CH1758,FIND("-",CH1758)+1)+1,FIND("-",CH1758,FIND("-",CH1758,FIND("-",CH1758)+1)+1)-FIND("-",CH1758,FIND("-",CH1758)+1)-1))),""))</f>
        <v/>
      </c>
    </row>
    <row r="1759">
      <c r="CH1759">
        <f>IF(ISTEXT('월 가계부'!A1759),SUBSTITUTE(SUBSTITUTE(SUBSTITUTE(SUBSTITUTE(SUBSTITUTE(SUBSTITUTE(SUBSTITUTE(SUBSTITUTE(SUBSTITUTE(TRIM('월 가계부'!A1759),"년","-"),"월","-"),"일",""),".","-"),"/","-")," ","-"),"--","-"),"--","-"),"--","-")&amp;"-","")</f>
        <v/>
      </c>
      <c r="CI1759">
        <f>IFERROR(IF('월 가계부'!A1759="","",IF(ISNUMBER('월 가계부'!A1759),IF(AND('월 가계부'!A1759&gt;=19000101,'월 가계부'!A1759&lt;=21001231),IF(AND(MOD(INT('월 가계부'!A1759/100),100)&gt;=1,MOD(INT('월 가계부'!A1759/100),100)&lt;=12,MOD(INT('월 가계부'!A1759),100)&gt;=1,MOD(INT('월 가계부'!A1759),100)&lt;=31),IF(MONTH(DATE(INT('월 가계부'!A1759/10000),MOD(INT('월 가계부'!A1759/100),100),MOD(INT('월 가계부'!A1759),100)))=MOD(INT('월 가계부'!A1759/100),100),DATE(INT('월 가계부'!A1759/10000),MOD(INT('월 가계부'!A1759/100),100),MOD(INT('월 가계부'!A1759),100)),""),""),IF(AND('월 가계부'!A1759&gt;=36526,'월 가계부'!A1759&lt;73051),INT('월 가계부'!A1759),"")),IF(OR(CM1759="",CN1759="",CO1759=""),"",IF(AND(CM1759&gt;=2000,CM1759&lt;=2099,CN1759&gt;=1,CN1759&lt;=12,CO1759&gt;=1,CO1759&lt;=31),IF(MONTH(DATE(CM1759,CN1759,CO1759))=CN1759,DATE(CM1759,CN1759,CO1759),""),"")))),"")</f>
        <v/>
      </c>
      <c r="CJ1759">
        <f>IFERROR(IF('월 가계부'!C1759="","",IF(ISNUMBER('월 가계부'!C1759),'월 가계부'!C1759,VALUE(SUBSTITUTE(SUBSTITUTE(SUBSTITUTE(SUBSTITUTE(TRIM('월 가계부'!C1759),",",""),"원","")," ",""),"−","-")))),"")</f>
        <v/>
      </c>
      <c r="CK1759">
        <f>IF(ISNUMBER(CI1759),IF(CI1759&lt;$B$13,CI1759,""),"")</f>
        <v/>
      </c>
      <c r="CM1759">
        <f>IF(CH1759="","",IFERROR(IF(IF(AND(LEN(CH1759)=9,ISERROR(FIND("-",LEFT(CH1759,8))),ISNUMBER(-LEFT(CH1759,8))),VALUE(LEFT(CH1759,4)),VALUE(LEFT(CH1759,FIND("-",CH1759)-1)))&lt;100,IF(AND(LEN(CH1759)=9,ISERROR(FIND("-",LEFT(CH1759,8))),ISNUMBER(-LEFT(CH1759,8))),VALUE(LEFT(CH1759,4)),VALUE(LEFT(CH1759,FIND("-",CH1759)-1)))+2000,IF(AND(LEN(CH1759)=9,ISERROR(FIND("-",LEFT(CH1759,8))),ISNUMBER(-LEFT(CH1759,8))),VALUE(LEFT(CH1759,4)),VALUE(LEFT(CH1759,FIND("-",CH1759)-1)))),""))</f>
        <v/>
      </c>
      <c r="CN1759">
        <f>IF(CH1759="","",IFERROR(IF(AND(LEN(CH1759)=9,ISERROR(FIND("-",LEFT(CH1759,8))),ISNUMBER(-LEFT(CH1759,8))),VALUE(MID(CH1759,5,2)),VALUE(MID(CH1759,FIND("-",CH1759)+1,FIND("-",CH1759,FIND("-",CH1759)+1)-FIND("-",CH1759)-1))),""))</f>
        <v/>
      </c>
      <c r="CO1759">
        <f>IF(CH1759="","",IFERROR(IF(AND(LEN(CH1759)=9,ISERROR(FIND("-",LEFT(CH1759,8))),ISNUMBER(-LEFT(CH1759,8))),VALUE(MID(CH1759,7,2)),VALUE(MID(CH1759,FIND("-",CH1759,FIND("-",CH1759)+1)+1,FIND("-",CH1759,FIND("-",CH1759,FIND("-",CH1759)+1)+1)-FIND("-",CH1759,FIND("-",CH1759)+1)-1))),""))</f>
        <v/>
      </c>
    </row>
    <row r="1760">
      <c r="CH1760">
        <f>IF(ISTEXT('월 가계부'!A1760),SUBSTITUTE(SUBSTITUTE(SUBSTITUTE(SUBSTITUTE(SUBSTITUTE(SUBSTITUTE(SUBSTITUTE(SUBSTITUTE(SUBSTITUTE(TRIM('월 가계부'!A1760),"년","-"),"월","-"),"일",""),".","-"),"/","-")," ","-"),"--","-"),"--","-"),"--","-")&amp;"-","")</f>
        <v/>
      </c>
      <c r="CI1760">
        <f>IFERROR(IF('월 가계부'!A1760="","",IF(ISNUMBER('월 가계부'!A1760),IF(AND('월 가계부'!A1760&gt;=19000101,'월 가계부'!A1760&lt;=21001231),IF(AND(MOD(INT('월 가계부'!A1760/100),100)&gt;=1,MOD(INT('월 가계부'!A1760/100),100)&lt;=12,MOD(INT('월 가계부'!A1760),100)&gt;=1,MOD(INT('월 가계부'!A1760),100)&lt;=31),IF(MONTH(DATE(INT('월 가계부'!A1760/10000),MOD(INT('월 가계부'!A1760/100),100),MOD(INT('월 가계부'!A1760),100)))=MOD(INT('월 가계부'!A1760/100),100),DATE(INT('월 가계부'!A1760/10000),MOD(INT('월 가계부'!A1760/100),100),MOD(INT('월 가계부'!A1760),100)),""),""),IF(AND('월 가계부'!A1760&gt;=36526,'월 가계부'!A1760&lt;73051),INT('월 가계부'!A1760),"")),IF(OR(CM1760="",CN1760="",CO1760=""),"",IF(AND(CM1760&gt;=2000,CM1760&lt;=2099,CN1760&gt;=1,CN1760&lt;=12,CO1760&gt;=1,CO1760&lt;=31),IF(MONTH(DATE(CM1760,CN1760,CO1760))=CN1760,DATE(CM1760,CN1760,CO1760),""),"")))),"")</f>
        <v/>
      </c>
      <c r="CJ1760">
        <f>IFERROR(IF('월 가계부'!C1760="","",IF(ISNUMBER('월 가계부'!C1760),'월 가계부'!C1760,VALUE(SUBSTITUTE(SUBSTITUTE(SUBSTITUTE(SUBSTITUTE(TRIM('월 가계부'!C1760),",",""),"원","")," ",""),"−","-")))),"")</f>
        <v/>
      </c>
      <c r="CK1760">
        <f>IF(ISNUMBER(CI1760),IF(CI1760&lt;$B$13,CI1760,""),"")</f>
        <v/>
      </c>
      <c r="CM1760">
        <f>IF(CH1760="","",IFERROR(IF(IF(AND(LEN(CH1760)=9,ISERROR(FIND("-",LEFT(CH1760,8))),ISNUMBER(-LEFT(CH1760,8))),VALUE(LEFT(CH1760,4)),VALUE(LEFT(CH1760,FIND("-",CH1760)-1)))&lt;100,IF(AND(LEN(CH1760)=9,ISERROR(FIND("-",LEFT(CH1760,8))),ISNUMBER(-LEFT(CH1760,8))),VALUE(LEFT(CH1760,4)),VALUE(LEFT(CH1760,FIND("-",CH1760)-1)))+2000,IF(AND(LEN(CH1760)=9,ISERROR(FIND("-",LEFT(CH1760,8))),ISNUMBER(-LEFT(CH1760,8))),VALUE(LEFT(CH1760,4)),VALUE(LEFT(CH1760,FIND("-",CH1760)-1)))),""))</f>
        <v/>
      </c>
      <c r="CN1760">
        <f>IF(CH1760="","",IFERROR(IF(AND(LEN(CH1760)=9,ISERROR(FIND("-",LEFT(CH1760,8))),ISNUMBER(-LEFT(CH1760,8))),VALUE(MID(CH1760,5,2)),VALUE(MID(CH1760,FIND("-",CH1760)+1,FIND("-",CH1760,FIND("-",CH1760)+1)-FIND("-",CH1760)-1))),""))</f>
        <v/>
      </c>
      <c r="CO1760">
        <f>IF(CH1760="","",IFERROR(IF(AND(LEN(CH1760)=9,ISERROR(FIND("-",LEFT(CH1760,8))),ISNUMBER(-LEFT(CH1760,8))),VALUE(MID(CH1760,7,2)),VALUE(MID(CH1760,FIND("-",CH1760,FIND("-",CH1760)+1)+1,FIND("-",CH1760,FIND("-",CH1760,FIND("-",CH1760)+1)+1)-FIND("-",CH1760,FIND("-",CH1760)+1)-1))),""))</f>
        <v/>
      </c>
    </row>
    <row r="1761">
      <c r="CH1761">
        <f>IF(ISTEXT('월 가계부'!A1761),SUBSTITUTE(SUBSTITUTE(SUBSTITUTE(SUBSTITUTE(SUBSTITUTE(SUBSTITUTE(SUBSTITUTE(SUBSTITUTE(SUBSTITUTE(TRIM('월 가계부'!A1761),"년","-"),"월","-"),"일",""),".","-"),"/","-")," ","-"),"--","-"),"--","-"),"--","-")&amp;"-","")</f>
        <v/>
      </c>
      <c r="CI1761">
        <f>IFERROR(IF('월 가계부'!A1761="","",IF(ISNUMBER('월 가계부'!A1761),IF(AND('월 가계부'!A1761&gt;=19000101,'월 가계부'!A1761&lt;=21001231),IF(AND(MOD(INT('월 가계부'!A1761/100),100)&gt;=1,MOD(INT('월 가계부'!A1761/100),100)&lt;=12,MOD(INT('월 가계부'!A1761),100)&gt;=1,MOD(INT('월 가계부'!A1761),100)&lt;=31),IF(MONTH(DATE(INT('월 가계부'!A1761/10000),MOD(INT('월 가계부'!A1761/100),100),MOD(INT('월 가계부'!A1761),100)))=MOD(INT('월 가계부'!A1761/100),100),DATE(INT('월 가계부'!A1761/10000),MOD(INT('월 가계부'!A1761/100),100),MOD(INT('월 가계부'!A1761),100)),""),""),IF(AND('월 가계부'!A1761&gt;=36526,'월 가계부'!A1761&lt;73051),INT('월 가계부'!A1761),"")),IF(OR(CM1761="",CN1761="",CO1761=""),"",IF(AND(CM1761&gt;=2000,CM1761&lt;=2099,CN1761&gt;=1,CN1761&lt;=12,CO1761&gt;=1,CO1761&lt;=31),IF(MONTH(DATE(CM1761,CN1761,CO1761))=CN1761,DATE(CM1761,CN1761,CO1761),""),"")))),"")</f>
        <v/>
      </c>
      <c r="CJ1761">
        <f>IFERROR(IF('월 가계부'!C1761="","",IF(ISNUMBER('월 가계부'!C1761),'월 가계부'!C1761,VALUE(SUBSTITUTE(SUBSTITUTE(SUBSTITUTE(SUBSTITUTE(TRIM('월 가계부'!C1761),",",""),"원","")," ",""),"−","-")))),"")</f>
        <v/>
      </c>
      <c r="CK1761">
        <f>IF(ISNUMBER(CI1761),IF(CI1761&lt;$B$13,CI1761,""),"")</f>
        <v/>
      </c>
      <c r="CM1761">
        <f>IF(CH1761="","",IFERROR(IF(IF(AND(LEN(CH1761)=9,ISERROR(FIND("-",LEFT(CH1761,8))),ISNUMBER(-LEFT(CH1761,8))),VALUE(LEFT(CH1761,4)),VALUE(LEFT(CH1761,FIND("-",CH1761)-1)))&lt;100,IF(AND(LEN(CH1761)=9,ISERROR(FIND("-",LEFT(CH1761,8))),ISNUMBER(-LEFT(CH1761,8))),VALUE(LEFT(CH1761,4)),VALUE(LEFT(CH1761,FIND("-",CH1761)-1)))+2000,IF(AND(LEN(CH1761)=9,ISERROR(FIND("-",LEFT(CH1761,8))),ISNUMBER(-LEFT(CH1761,8))),VALUE(LEFT(CH1761,4)),VALUE(LEFT(CH1761,FIND("-",CH1761)-1)))),""))</f>
        <v/>
      </c>
      <c r="CN1761">
        <f>IF(CH1761="","",IFERROR(IF(AND(LEN(CH1761)=9,ISERROR(FIND("-",LEFT(CH1761,8))),ISNUMBER(-LEFT(CH1761,8))),VALUE(MID(CH1761,5,2)),VALUE(MID(CH1761,FIND("-",CH1761)+1,FIND("-",CH1761,FIND("-",CH1761)+1)-FIND("-",CH1761)-1))),""))</f>
        <v/>
      </c>
      <c r="CO1761">
        <f>IF(CH1761="","",IFERROR(IF(AND(LEN(CH1761)=9,ISERROR(FIND("-",LEFT(CH1761,8))),ISNUMBER(-LEFT(CH1761,8))),VALUE(MID(CH1761,7,2)),VALUE(MID(CH1761,FIND("-",CH1761,FIND("-",CH1761)+1)+1,FIND("-",CH1761,FIND("-",CH1761,FIND("-",CH1761)+1)+1)-FIND("-",CH1761,FIND("-",CH1761)+1)-1))),""))</f>
        <v/>
      </c>
    </row>
    <row r="1762">
      <c r="CH1762">
        <f>IF(ISTEXT('월 가계부'!A1762),SUBSTITUTE(SUBSTITUTE(SUBSTITUTE(SUBSTITUTE(SUBSTITUTE(SUBSTITUTE(SUBSTITUTE(SUBSTITUTE(SUBSTITUTE(TRIM('월 가계부'!A1762),"년","-"),"월","-"),"일",""),".","-"),"/","-")," ","-"),"--","-"),"--","-"),"--","-")&amp;"-","")</f>
        <v/>
      </c>
      <c r="CI1762">
        <f>IFERROR(IF('월 가계부'!A1762="","",IF(ISNUMBER('월 가계부'!A1762),IF(AND('월 가계부'!A1762&gt;=19000101,'월 가계부'!A1762&lt;=21001231),IF(AND(MOD(INT('월 가계부'!A1762/100),100)&gt;=1,MOD(INT('월 가계부'!A1762/100),100)&lt;=12,MOD(INT('월 가계부'!A1762),100)&gt;=1,MOD(INT('월 가계부'!A1762),100)&lt;=31),IF(MONTH(DATE(INT('월 가계부'!A1762/10000),MOD(INT('월 가계부'!A1762/100),100),MOD(INT('월 가계부'!A1762),100)))=MOD(INT('월 가계부'!A1762/100),100),DATE(INT('월 가계부'!A1762/10000),MOD(INT('월 가계부'!A1762/100),100),MOD(INT('월 가계부'!A1762),100)),""),""),IF(AND('월 가계부'!A1762&gt;=36526,'월 가계부'!A1762&lt;73051),INT('월 가계부'!A1762),"")),IF(OR(CM1762="",CN1762="",CO1762=""),"",IF(AND(CM1762&gt;=2000,CM1762&lt;=2099,CN1762&gt;=1,CN1762&lt;=12,CO1762&gt;=1,CO1762&lt;=31),IF(MONTH(DATE(CM1762,CN1762,CO1762))=CN1762,DATE(CM1762,CN1762,CO1762),""),"")))),"")</f>
        <v/>
      </c>
      <c r="CJ1762">
        <f>IFERROR(IF('월 가계부'!C1762="","",IF(ISNUMBER('월 가계부'!C1762),'월 가계부'!C1762,VALUE(SUBSTITUTE(SUBSTITUTE(SUBSTITUTE(SUBSTITUTE(TRIM('월 가계부'!C1762),",",""),"원","")," ",""),"−","-")))),"")</f>
        <v/>
      </c>
      <c r="CK1762">
        <f>IF(ISNUMBER(CI1762),IF(CI1762&lt;$B$13,CI1762,""),"")</f>
        <v/>
      </c>
      <c r="CM1762">
        <f>IF(CH1762="","",IFERROR(IF(IF(AND(LEN(CH1762)=9,ISERROR(FIND("-",LEFT(CH1762,8))),ISNUMBER(-LEFT(CH1762,8))),VALUE(LEFT(CH1762,4)),VALUE(LEFT(CH1762,FIND("-",CH1762)-1)))&lt;100,IF(AND(LEN(CH1762)=9,ISERROR(FIND("-",LEFT(CH1762,8))),ISNUMBER(-LEFT(CH1762,8))),VALUE(LEFT(CH1762,4)),VALUE(LEFT(CH1762,FIND("-",CH1762)-1)))+2000,IF(AND(LEN(CH1762)=9,ISERROR(FIND("-",LEFT(CH1762,8))),ISNUMBER(-LEFT(CH1762,8))),VALUE(LEFT(CH1762,4)),VALUE(LEFT(CH1762,FIND("-",CH1762)-1)))),""))</f>
        <v/>
      </c>
      <c r="CN1762">
        <f>IF(CH1762="","",IFERROR(IF(AND(LEN(CH1762)=9,ISERROR(FIND("-",LEFT(CH1762,8))),ISNUMBER(-LEFT(CH1762,8))),VALUE(MID(CH1762,5,2)),VALUE(MID(CH1762,FIND("-",CH1762)+1,FIND("-",CH1762,FIND("-",CH1762)+1)-FIND("-",CH1762)-1))),""))</f>
        <v/>
      </c>
      <c r="CO1762">
        <f>IF(CH1762="","",IFERROR(IF(AND(LEN(CH1762)=9,ISERROR(FIND("-",LEFT(CH1762,8))),ISNUMBER(-LEFT(CH1762,8))),VALUE(MID(CH1762,7,2)),VALUE(MID(CH1762,FIND("-",CH1762,FIND("-",CH1762)+1)+1,FIND("-",CH1762,FIND("-",CH1762,FIND("-",CH1762)+1)+1)-FIND("-",CH1762,FIND("-",CH1762)+1)-1))),""))</f>
        <v/>
      </c>
    </row>
    <row r="1763">
      <c r="CH1763">
        <f>IF(ISTEXT('월 가계부'!A1763),SUBSTITUTE(SUBSTITUTE(SUBSTITUTE(SUBSTITUTE(SUBSTITUTE(SUBSTITUTE(SUBSTITUTE(SUBSTITUTE(SUBSTITUTE(TRIM('월 가계부'!A1763),"년","-"),"월","-"),"일",""),".","-"),"/","-")," ","-"),"--","-"),"--","-"),"--","-")&amp;"-","")</f>
        <v/>
      </c>
      <c r="CI1763">
        <f>IFERROR(IF('월 가계부'!A1763="","",IF(ISNUMBER('월 가계부'!A1763),IF(AND('월 가계부'!A1763&gt;=19000101,'월 가계부'!A1763&lt;=21001231),IF(AND(MOD(INT('월 가계부'!A1763/100),100)&gt;=1,MOD(INT('월 가계부'!A1763/100),100)&lt;=12,MOD(INT('월 가계부'!A1763),100)&gt;=1,MOD(INT('월 가계부'!A1763),100)&lt;=31),IF(MONTH(DATE(INT('월 가계부'!A1763/10000),MOD(INT('월 가계부'!A1763/100),100),MOD(INT('월 가계부'!A1763),100)))=MOD(INT('월 가계부'!A1763/100),100),DATE(INT('월 가계부'!A1763/10000),MOD(INT('월 가계부'!A1763/100),100),MOD(INT('월 가계부'!A1763),100)),""),""),IF(AND('월 가계부'!A1763&gt;=36526,'월 가계부'!A1763&lt;73051),INT('월 가계부'!A1763),"")),IF(OR(CM1763="",CN1763="",CO1763=""),"",IF(AND(CM1763&gt;=2000,CM1763&lt;=2099,CN1763&gt;=1,CN1763&lt;=12,CO1763&gt;=1,CO1763&lt;=31),IF(MONTH(DATE(CM1763,CN1763,CO1763))=CN1763,DATE(CM1763,CN1763,CO1763),""),"")))),"")</f>
        <v/>
      </c>
      <c r="CJ1763">
        <f>IFERROR(IF('월 가계부'!C1763="","",IF(ISNUMBER('월 가계부'!C1763),'월 가계부'!C1763,VALUE(SUBSTITUTE(SUBSTITUTE(SUBSTITUTE(SUBSTITUTE(TRIM('월 가계부'!C1763),",",""),"원","")," ",""),"−","-")))),"")</f>
        <v/>
      </c>
      <c r="CK1763">
        <f>IF(ISNUMBER(CI1763),IF(CI1763&lt;$B$13,CI1763,""),"")</f>
        <v/>
      </c>
      <c r="CM1763">
        <f>IF(CH1763="","",IFERROR(IF(IF(AND(LEN(CH1763)=9,ISERROR(FIND("-",LEFT(CH1763,8))),ISNUMBER(-LEFT(CH1763,8))),VALUE(LEFT(CH1763,4)),VALUE(LEFT(CH1763,FIND("-",CH1763)-1)))&lt;100,IF(AND(LEN(CH1763)=9,ISERROR(FIND("-",LEFT(CH1763,8))),ISNUMBER(-LEFT(CH1763,8))),VALUE(LEFT(CH1763,4)),VALUE(LEFT(CH1763,FIND("-",CH1763)-1)))+2000,IF(AND(LEN(CH1763)=9,ISERROR(FIND("-",LEFT(CH1763,8))),ISNUMBER(-LEFT(CH1763,8))),VALUE(LEFT(CH1763,4)),VALUE(LEFT(CH1763,FIND("-",CH1763)-1)))),""))</f>
        <v/>
      </c>
      <c r="CN1763">
        <f>IF(CH1763="","",IFERROR(IF(AND(LEN(CH1763)=9,ISERROR(FIND("-",LEFT(CH1763,8))),ISNUMBER(-LEFT(CH1763,8))),VALUE(MID(CH1763,5,2)),VALUE(MID(CH1763,FIND("-",CH1763)+1,FIND("-",CH1763,FIND("-",CH1763)+1)-FIND("-",CH1763)-1))),""))</f>
        <v/>
      </c>
      <c r="CO1763">
        <f>IF(CH1763="","",IFERROR(IF(AND(LEN(CH1763)=9,ISERROR(FIND("-",LEFT(CH1763,8))),ISNUMBER(-LEFT(CH1763,8))),VALUE(MID(CH1763,7,2)),VALUE(MID(CH1763,FIND("-",CH1763,FIND("-",CH1763)+1)+1,FIND("-",CH1763,FIND("-",CH1763,FIND("-",CH1763)+1)+1)-FIND("-",CH1763,FIND("-",CH1763)+1)-1))),""))</f>
        <v/>
      </c>
    </row>
    <row r="1764">
      <c r="CH1764">
        <f>IF(ISTEXT('월 가계부'!A1764),SUBSTITUTE(SUBSTITUTE(SUBSTITUTE(SUBSTITUTE(SUBSTITUTE(SUBSTITUTE(SUBSTITUTE(SUBSTITUTE(SUBSTITUTE(TRIM('월 가계부'!A1764),"년","-"),"월","-"),"일",""),".","-"),"/","-")," ","-"),"--","-"),"--","-"),"--","-")&amp;"-","")</f>
        <v/>
      </c>
      <c r="CI1764">
        <f>IFERROR(IF('월 가계부'!A1764="","",IF(ISNUMBER('월 가계부'!A1764),IF(AND('월 가계부'!A1764&gt;=19000101,'월 가계부'!A1764&lt;=21001231),IF(AND(MOD(INT('월 가계부'!A1764/100),100)&gt;=1,MOD(INT('월 가계부'!A1764/100),100)&lt;=12,MOD(INT('월 가계부'!A1764),100)&gt;=1,MOD(INT('월 가계부'!A1764),100)&lt;=31),IF(MONTH(DATE(INT('월 가계부'!A1764/10000),MOD(INT('월 가계부'!A1764/100),100),MOD(INT('월 가계부'!A1764),100)))=MOD(INT('월 가계부'!A1764/100),100),DATE(INT('월 가계부'!A1764/10000),MOD(INT('월 가계부'!A1764/100),100),MOD(INT('월 가계부'!A1764),100)),""),""),IF(AND('월 가계부'!A1764&gt;=36526,'월 가계부'!A1764&lt;73051),INT('월 가계부'!A1764),"")),IF(OR(CM1764="",CN1764="",CO1764=""),"",IF(AND(CM1764&gt;=2000,CM1764&lt;=2099,CN1764&gt;=1,CN1764&lt;=12,CO1764&gt;=1,CO1764&lt;=31),IF(MONTH(DATE(CM1764,CN1764,CO1764))=CN1764,DATE(CM1764,CN1764,CO1764),""),"")))),"")</f>
        <v/>
      </c>
      <c r="CJ1764">
        <f>IFERROR(IF('월 가계부'!C1764="","",IF(ISNUMBER('월 가계부'!C1764),'월 가계부'!C1764,VALUE(SUBSTITUTE(SUBSTITUTE(SUBSTITUTE(SUBSTITUTE(TRIM('월 가계부'!C1764),",",""),"원","")," ",""),"−","-")))),"")</f>
        <v/>
      </c>
      <c r="CK1764">
        <f>IF(ISNUMBER(CI1764),IF(CI1764&lt;$B$13,CI1764,""),"")</f>
        <v/>
      </c>
      <c r="CM1764">
        <f>IF(CH1764="","",IFERROR(IF(IF(AND(LEN(CH1764)=9,ISERROR(FIND("-",LEFT(CH1764,8))),ISNUMBER(-LEFT(CH1764,8))),VALUE(LEFT(CH1764,4)),VALUE(LEFT(CH1764,FIND("-",CH1764)-1)))&lt;100,IF(AND(LEN(CH1764)=9,ISERROR(FIND("-",LEFT(CH1764,8))),ISNUMBER(-LEFT(CH1764,8))),VALUE(LEFT(CH1764,4)),VALUE(LEFT(CH1764,FIND("-",CH1764)-1)))+2000,IF(AND(LEN(CH1764)=9,ISERROR(FIND("-",LEFT(CH1764,8))),ISNUMBER(-LEFT(CH1764,8))),VALUE(LEFT(CH1764,4)),VALUE(LEFT(CH1764,FIND("-",CH1764)-1)))),""))</f>
        <v/>
      </c>
      <c r="CN1764">
        <f>IF(CH1764="","",IFERROR(IF(AND(LEN(CH1764)=9,ISERROR(FIND("-",LEFT(CH1764,8))),ISNUMBER(-LEFT(CH1764,8))),VALUE(MID(CH1764,5,2)),VALUE(MID(CH1764,FIND("-",CH1764)+1,FIND("-",CH1764,FIND("-",CH1764)+1)-FIND("-",CH1764)-1))),""))</f>
        <v/>
      </c>
      <c r="CO1764">
        <f>IF(CH1764="","",IFERROR(IF(AND(LEN(CH1764)=9,ISERROR(FIND("-",LEFT(CH1764,8))),ISNUMBER(-LEFT(CH1764,8))),VALUE(MID(CH1764,7,2)),VALUE(MID(CH1764,FIND("-",CH1764,FIND("-",CH1764)+1)+1,FIND("-",CH1764,FIND("-",CH1764,FIND("-",CH1764)+1)+1)-FIND("-",CH1764,FIND("-",CH1764)+1)-1))),""))</f>
        <v/>
      </c>
    </row>
    <row r="1765">
      <c r="CH1765">
        <f>IF(ISTEXT('월 가계부'!A1765),SUBSTITUTE(SUBSTITUTE(SUBSTITUTE(SUBSTITUTE(SUBSTITUTE(SUBSTITUTE(SUBSTITUTE(SUBSTITUTE(SUBSTITUTE(TRIM('월 가계부'!A1765),"년","-"),"월","-"),"일",""),".","-"),"/","-")," ","-"),"--","-"),"--","-"),"--","-")&amp;"-","")</f>
        <v/>
      </c>
      <c r="CI1765">
        <f>IFERROR(IF('월 가계부'!A1765="","",IF(ISNUMBER('월 가계부'!A1765),IF(AND('월 가계부'!A1765&gt;=19000101,'월 가계부'!A1765&lt;=21001231),IF(AND(MOD(INT('월 가계부'!A1765/100),100)&gt;=1,MOD(INT('월 가계부'!A1765/100),100)&lt;=12,MOD(INT('월 가계부'!A1765),100)&gt;=1,MOD(INT('월 가계부'!A1765),100)&lt;=31),IF(MONTH(DATE(INT('월 가계부'!A1765/10000),MOD(INT('월 가계부'!A1765/100),100),MOD(INT('월 가계부'!A1765),100)))=MOD(INT('월 가계부'!A1765/100),100),DATE(INT('월 가계부'!A1765/10000),MOD(INT('월 가계부'!A1765/100),100),MOD(INT('월 가계부'!A1765),100)),""),""),IF(AND('월 가계부'!A1765&gt;=36526,'월 가계부'!A1765&lt;73051),INT('월 가계부'!A1765),"")),IF(OR(CM1765="",CN1765="",CO1765=""),"",IF(AND(CM1765&gt;=2000,CM1765&lt;=2099,CN1765&gt;=1,CN1765&lt;=12,CO1765&gt;=1,CO1765&lt;=31),IF(MONTH(DATE(CM1765,CN1765,CO1765))=CN1765,DATE(CM1765,CN1765,CO1765),""),"")))),"")</f>
        <v/>
      </c>
      <c r="CJ1765">
        <f>IFERROR(IF('월 가계부'!C1765="","",IF(ISNUMBER('월 가계부'!C1765),'월 가계부'!C1765,VALUE(SUBSTITUTE(SUBSTITUTE(SUBSTITUTE(SUBSTITUTE(TRIM('월 가계부'!C1765),",",""),"원","")," ",""),"−","-")))),"")</f>
        <v/>
      </c>
      <c r="CK1765">
        <f>IF(ISNUMBER(CI1765),IF(CI1765&lt;$B$13,CI1765,""),"")</f>
        <v/>
      </c>
      <c r="CM1765">
        <f>IF(CH1765="","",IFERROR(IF(IF(AND(LEN(CH1765)=9,ISERROR(FIND("-",LEFT(CH1765,8))),ISNUMBER(-LEFT(CH1765,8))),VALUE(LEFT(CH1765,4)),VALUE(LEFT(CH1765,FIND("-",CH1765)-1)))&lt;100,IF(AND(LEN(CH1765)=9,ISERROR(FIND("-",LEFT(CH1765,8))),ISNUMBER(-LEFT(CH1765,8))),VALUE(LEFT(CH1765,4)),VALUE(LEFT(CH1765,FIND("-",CH1765)-1)))+2000,IF(AND(LEN(CH1765)=9,ISERROR(FIND("-",LEFT(CH1765,8))),ISNUMBER(-LEFT(CH1765,8))),VALUE(LEFT(CH1765,4)),VALUE(LEFT(CH1765,FIND("-",CH1765)-1)))),""))</f>
        <v/>
      </c>
      <c r="CN1765">
        <f>IF(CH1765="","",IFERROR(IF(AND(LEN(CH1765)=9,ISERROR(FIND("-",LEFT(CH1765,8))),ISNUMBER(-LEFT(CH1765,8))),VALUE(MID(CH1765,5,2)),VALUE(MID(CH1765,FIND("-",CH1765)+1,FIND("-",CH1765,FIND("-",CH1765)+1)-FIND("-",CH1765)-1))),""))</f>
        <v/>
      </c>
      <c r="CO1765">
        <f>IF(CH1765="","",IFERROR(IF(AND(LEN(CH1765)=9,ISERROR(FIND("-",LEFT(CH1765,8))),ISNUMBER(-LEFT(CH1765,8))),VALUE(MID(CH1765,7,2)),VALUE(MID(CH1765,FIND("-",CH1765,FIND("-",CH1765)+1)+1,FIND("-",CH1765,FIND("-",CH1765,FIND("-",CH1765)+1)+1)-FIND("-",CH1765,FIND("-",CH1765)+1)-1))),""))</f>
        <v/>
      </c>
    </row>
    <row r="1766">
      <c r="CH1766">
        <f>IF(ISTEXT('월 가계부'!A1766),SUBSTITUTE(SUBSTITUTE(SUBSTITUTE(SUBSTITUTE(SUBSTITUTE(SUBSTITUTE(SUBSTITUTE(SUBSTITUTE(SUBSTITUTE(TRIM('월 가계부'!A1766),"년","-"),"월","-"),"일",""),".","-"),"/","-")," ","-"),"--","-"),"--","-"),"--","-")&amp;"-","")</f>
        <v/>
      </c>
      <c r="CI1766">
        <f>IFERROR(IF('월 가계부'!A1766="","",IF(ISNUMBER('월 가계부'!A1766),IF(AND('월 가계부'!A1766&gt;=19000101,'월 가계부'!A1766&lt;=21001231),IF(AND(MOD(INT('월 가계부'!A1766/100),100)&gt;=1,MOD(INT('월 가계부'!A1766/100),100)&lt;=12,MOD(INT('월 가계부'!A1766),100)&gt;=1,MOD(INT('월 가계부'!A1766),100)&lt;=31),IF(MONTH(DATE(INT('월 가계부'!A1766/10000),MOD(INT('월 가계부'!A1766/100),100),MOD(INT('월 가계부'!A1766),100)))=MOD(INT('월 가계부'!A1766/100),100),DATE(INT('월 가계부'!A1766/10000),MOD(INT('월 가계부'!A1766/100),100),MOD(INT('월 가계부'!A1766),100)),""),""),IF(AND('월 가계부'!A1766&gt;=36526,'월 가계부'!A1766&lt;73051),INT('월 가계부'!A1766),"")),IF(OR(CM1766="",CN1766="",CO1766=""),"",IF(AND(CM1766&gt;=2000,CM1766&lt;=2099,CN1766&gt;=1,CN1766&lt;=12,CO1766&gt;=1,CO1766&lt;=31),IF(MONTH(DATE(CM1766,CN1766,CO1766))=CN1766,DATE(CM1766,CN1766,CO1766),""),"")))),"")</f>
        <v/>
      </c>
      <c r="CJ1766">
        <f>IFERROR(IF('월 가계부'!C1766="","",IF(ISNUMBER('월 가계부'!C1766),'월 가계부'!C1766,VALUE(SUBSTITUTE(SUBSTITUTE(SUBSTITUTE(SUBSTITUTE(TRIM('월 가계부'!C1766),",",""),"원","")," ",""),"−","-")))),"")</f>
        <v/>
      </c>
      <c r="CK1766">
        <f>IF(ISNUMBER(CI1766),IF(CI1766&lt;$B$13,CI1766,""),"")</f>
        <v/>
      </c>
      <c r="CM1766">
        <f>IF(CH1766="","",IFERROR(IF(IF(AND(LEN(CH1766)=9,ISERROR(FIND("-",LEFT(CH1766,8))),ISNUMBER(-LEFT(CH1766,8))),VALUE(LEFT(CH1766,4)),VALUE(LEFT(CH1766,FIND("-",CH1766)-1)))&lt;100,IF(AND(LEN(CH1766)=9,ISERROR(FIND("-",LEFT(CH1766,8))),ISNUMBER(-LEFT(CH1766,8))),VALUE(LEFT(CH1766,4)),VALUE(LEFT(CH1766,FIND("-",CH1766)-1)))+2000,IF(AND(LEN(CH1766)=9,ISERROR(FIND("-",LEFT(CH1766,8))),ISNUMBER(-LEFT(CH1766,8))),VALUE(LEFT(CH1766,4)),VALUE(LEFT(CH1766,FIND("-",CH1766)-1)))),""))</f>
        <v/>
      </c>
      <c r="CN1766">
        <f>IF(CH1766="","",IFERROR(IF(AND(LEN(CH1766)=9,ISERROR(FIND("-",LEFT(CH1766,8))),ISNUMBER(-LEFT(CH1766,8))),VALUE(MID(CH1766,5,2)),VALUE(MID(CH1766,FIND("-",CH1766)+1,FIND("-",CH1766,FIND("-",CH1766)+1)-FIND("-",CH1766)-1))),""))</f>
        <v/>
      </c>
      <c r="CO1766">
        <f>IF(CH1766="","",IFERROR(IF(AND(LEN(CH1766)=9,ISERROR(FIND("-",LEFT(CH1766,8))),ISNUMBER(-LEFT(CH1766,8))),VALUE(MID(CH1766,7,2)),VALUE(MID(CH1766,FIND("-",CH1766,FIND("-",CH1766)+1)+1,FIND("-",CH1766,FIND("-",CH1766,FIND("-",CH1766)+1)+1)-FIND("-",CH1766,FIND("-",CH1766)+1)-1))),""))</f>
        <v/>
      </c>
    </row>
    <row r="1767">
      <c r="CH1767">
        <f>IF(ISTEXT('월 가계부'!A1767),SUBSTITUTE(SUBSTITUTE(SUBSTITUTE(SUBSTITUTE(SUBSTITUTE(SUBSTITUTE(SUBSTITUTE(SUBSTITUTE(SUBSTITUTE(TRIM('월 가계부'!A1767),"년","-"),"월","-"),"일",""),".","-"),"/","-")," ","-"),"--","-"),"--","-"),"--","-")&amp;"-","")</f>
        <v/>
      </c>
      <c r="CI1767">
        <f>IFERROR(IF('월 가계부'!A1767="","",IF(ISNUMBER('월 가계부'!A1767),IF(AND('월 가계부'!A1767&gt;=19000101,'월 가계부'!A1767&lt;=21001231),IF(AND(MOD(INT('월 가계부'!A1767/100),100)&gt;=1,MOD(INT('월 가계부'!A1767/100),100)&lt;=12,MOD(INT('월 가계부'!A1767),100)&gt;=1,MOD(INT('월 가계부'!A1767),100)&lt;=31),IF(MONTH(DATE(INT('월 가계부'!A1767/10000),MOD(INT('월 가계부'!A1767/100),100),MOD(INT('월 가계부'!A1767),100)))=MOD(INT('월 가계부'!A1767/100),100),DATE(INT('월 가계부'!A1767/10000),MOD(INT('월 가계부'!A1767/100),100),MOD(INT('월 가계부'!A1767),100)),""),""),IF(AND('월 가계부'!A1767&gt;=36526,'월 가계부'!A1767&lt;73051),INT('월 가계부'!A1767),"")),IF(OR(CM1767="",CN1767="",CO1767=""),"",IF(AND(CM1767&gt;=2000,CM1767&lt;=2099,CN1767&gt;=1,CN1767&lt;=12,CO1767&gt;=1,CO1767&lt;=31),IF(MONTH(DATE(CM1767,CN1767,CO1767))=CN1767,DATE(CM1767,CN1767,CO1767),""),"")))),"")</f>
        <v/>
      </c>
      <c r="CJ1767">
        <f>IFERROR(IF('월 가계부'!C1767="","",IF(ISNUMBER('월 가계부'!C1767),'월 가계부'!C1767,VALUE(SUBSTITUTE(SUBSTITUTE(SUBSTITUTE(SUBSTITUTE(TRIM('월 가계부'!C1767),",",""),"원","")," ",""),"−","-")))),"")</f>
        <v/>
      </c>
      <c r="CK1767">
        <f>IF(ISNUMBER(CI1767),IF(CI1767&lt;$B$13,CI1767,""),"")</f>
        <v/>
      </c>
      <c r="CM1767">
        <f>IF(CH1767="","",IFERROR(IF(IF(AND(LEN(CH1767)=9,ISERROR(FIND("-",LEFT(CH1767,8))),ISNUMBER(-LEFT(CH1767,8))),VALUE(LEFT(CH1767,4)),VALUE(LEFT(CH1767,FIND("-",CH1767)-1)))&lt;100,IF(AND(LEN(CH1767)=9,ISERROR(FIND("-",LEFT(CH1767,8))),ISNUMBER(-LEFT(CH1767,8))),VALUE(LEFT(CH1767,4)),VALUE(LEFT(CH1767,FIND("-",CH1767)-1)))+2000,IF(AND(LEN(CH1767)=9,ISERROR(FIND("-",LEFT(CH1767,8))),ISNUMBER(-LEFT(CH1767,8))),VALUE(LEFT(CH1767,4)),VALUE(LEFT(CH1767,FIND("-",CH1767)-1)))),""))</f>
        <v/>
      </c>
      <c r="CN1767">
        <f>IF(CH1767="","",IFERROR(IF(AND(LEN(CH1767)=9,ISERROR(FIND("-",LEFT(CH1767,8))),ISNUMBER(-LEFT(CH1767,8))),VALUE(MID(CH1767,5,2)),VALUE(MID(CH1767,FIND("-",CH1767)+1,FIND("-",CH1767,FIND("-",CH1767)+1)-FIND("-",CH1767)-1))),""))</f>
        <v/>
      </c>
      <c r="CO1767">
        <f>IF(CH1767="","",IFERROR(IF(AND(LEN(CH1767)=9,ISERROR(FIND("-",LEFT(CH1767,8))),ISNUMBER(-LEFT(CH1767,8))),VALUE(MID(CH1767,7,2)),VALUE(MID(CH1767,FIND("-",CH1767,FIND("-",CH1767)+1)+1,FIND("-",CH1767,FIND("-",CH1767,FIND("-",CH1767)+1)+1)-FIND("-",CH1767,FIND("-",CH1767)+1)-1))),""))</f>
        <v/>
      </c>
    </row>
    <row r="1768">
      <c r="CH1768">
        <f>IF(ISTEXT('월 가계부'!A1768),SUBSTITUTE(SUBSTITUTE(SUBSTITUTE(SUBSTITUTE(SUBSTITUTE(SUBSTITUTE(SUBSTITUTE(SUBSTITUTE(SUBSTITUTE(TRIM('월 가계부'!A1768),"년","-"),"월","-"),"일",""),".","-"),"/","-")," ","-"),"--","-"),"--","-"),"--","-")&amp;"-","")</f>
        <v/>
      </c>
      <c r="CI1768">
        <f>IFERROR(IF('월 가계부'!A1768="","",IF(ISNUMBER('월 가계부'!A1768),IF(AND('월 가계부'!A1768&gt;=19000101,'월 가계부'!A1768&lt;=21001231),IF(AND(MOD(INT('월 가계부'!A1768/100),100)&gt;=1,MOD(INT('월 가계부'!A1768/100),100)&lt;=12,MOD(INT('월 가계부'!A1768),100)&gt;=1,MOD(INT('월 가계부'!A1768),100)&lt;=31),IF(MONTH(DATE(INT('월 가계부'!A1768/10000),MOD(INT('월 가계부'!A1768/100),100),MOD(INT('월 가계부'!A1768),100)))=MOD(INT('월 가계부'!A1768/100),100),DATE(INT('월 가계부'!A1768/10000),MOD(INT('월 가계부'!A1768/100),100),MOD(INT('월 가계부'!A1768),100)),""),""),IF(AND('월 가계부'!A1768&gt;=36526,'월 가계부'!A1768&lt;73051),INT('월 가계부'!A1768),"")),IF(OR(CM1768="",CN1768="",CO1768=""),"",IF(AND(CM1768&gt;=2000,CM1768&lt;=2099,CN1768&gt;=1,CN1768&lt;=12,CO1768&gt;=1,CO1768&lt;=31),IF(MONTH(DATE(CM1768,CN1768,CO1768))=CN1768,DATE(CM1768,CN1768,CO1768),""),"")))),"")</f>
        <v/>
      </c>
      <c r="CJ1768">
        <f>IFERROR(IF('월 가계부'!C1768="","",IF(ISNUMBER('월 가계부'!C1768),'월 가계부'!C1768,VALUE(SUBSTITUTE(SUBSTITUTE(SUBSTITUTE(SUBSTITUTE(TRIM('월 가계부'!C1768),",",""),"원","")," ",""),"−","-")))),"")</f>
        <v/>
      </c>
      <c r="CK1768">
        <f>IF(ISNUMBER(CI1768),IF(CI1768&lt;$B$13,CI1768,""),"")</f>
        <v/>
      </c>
      <c r="CM1768">
        <f>IF(CH1768="","",IFERROR(IF(IF(AND(LEN(CH1768)=9,ISERROR(FIND("-",LEFT(CH1768,8))),ISNUMBER(-LEFT(CH1768,8))),VALUE(LEFT(CH1768,4)),VALUE(LEFT(CH1768,FIND("-",CH1768)-1)))&lt;100,IF(AND(LEN(CH1768)=9,ISERROR(FIND("-",LEFT(CH1768,8))),ISNUMBER(-LEFT(CH1768,8))),VALUE(LEFT(CH1768,4)),VALUE(LEFT(CH1768,FIND("-",CH1768)-1)))+2000,IF(AND(LEN(CH1768)=9,ISERROR(FIND("-",LEFT(CH1768,8))),ISNUMBER(-LEFT(CH1768,8))),VALUE(LEFT(CH1768,4)),VALUE(LEFT(CH1768,FIND("-",CH1768)-1)))),""))</f>
        <v/>
      </c>
      <c r="CN1768">
        <f>IF(CH1768="","",IFERROR(IF(AND(LEN(CH1768)=9,ISERROR(FIND("-",LEFT(CH1768,8))),ISNUMBER(-LEFT(CH1768,8))),VALUE(MID(CH1768,5,2)),VALUE(MID(CH1768,FIND("-",CH1768)+1,FIND("-",CH1768,FIND("-",CH1768)+1)-FIND("-",CH1768)-1))),""))</f>
        <v/>
      </c>
      <c r="CO1768">
        <f>IF(CH1768="","",IFERROR(IF(AND(LEN(CH1768)=9,ISERROR(FIND("-",LEFT(CH1768,8))),ISNUMBER(-LEFT(CH1768,8))),VALUE(MID(CH1768,7,2)),VALUE(MID(CH1768,FIND("-",CH1768,FIND("-",CH1768)+1)+1,FIND("-",CH1768,FIND("-",CH1768,FIND("-",CH1768)+1)+1)-FIND("-",CH1768,FIND("-",CH1768)+1)-1))),""))</f>
        <v/>
      </c>
    </row>
    <row r="1769">
      <c r="CH1769">
        <f>IF(ISTEXT('월 가계부'!A1769),SUBSTITUTE(SUBSTITUTE(SUBSTITUTE(SUBSTITUTE(SUBSTITUTE(SUBSTITUTE(SUBSTITUTE(SUBSTITUTE(SUBSTITUTE(TRIM('월 가계부'!A1769),"년","-"),"월","-"),"일",""),".","-"),"/","-")," ","-"),"--","-"),"--","-"),"--","-")&amp;"-","")</f>
        <v/>
      </c>
      <c r="CI1769">
        <f>IFERROR(IF('월 가계부'!A1769="","",IF(ISNUMBER('월 가계부'!A1769),IF(AND('월 가계부'!A1769&gt;=19000101,'월 가계부'!A1769&lt;=21001231),IF(AND(MOD(INT('월 가계부'!A1769/100),100)&gt;=1,MOD(INT('월 가계부'!A1769/100),100)&lt;=12,MOD(INT('월 가계부'!A1769),100)&gt;=1,MOD(INT('월 가계부'!A1769),100)&lt;=31),IF(MONTH(DATE(INT('월 가계부'!A1769/10000),MOD(INT('월 가계부'!A1769/100),100),MOD(INT('월 가계부'!A1769),100)))=MOD(INT('월 가계부'!A1769/100),100),DATE(INT('월 가계부'!A1769/10000),MOD(INT('월 가계부'!A1769/100),100),MOD(INT('월 가계부'!A1769),100)),""),""),IF(AND('월 가계부'!A1769&gt;=36526,'월 가계부'!A1769&lt;73051),INT('월 가계부'!A1769),"")),IF(OR(CM1769="",CN1769="",CO1769=""),"",IF(AND(CM1769&gt;=2000,CM1769&lt;=2099,CN1769&gt;=1,CN1769&lt;=12,CO1769&gt;=1,CO1769&lt;=31),IF(MONTH(DATE(CM1769,CN1769,CO1769))=CN1769,DATE(CM1769,CN1769,CO1769),""),"")))),"")</f>
        <v/>
      </c>
      <c r="CJ1769">
        <f>IFERROR(IF('월 가계부'!C1769="","",IF(ISNUMBER('월 가계부'!C1769),'월 가계부'!C1769,VALUE(SUBSTITUTE(SUBSTITUTE(SUBSTITUTE(SUBSTITUTE(TRIM('월 가계부'!C1769),",",""),"원","")," ",""),"−","-")))),"")</f>
        <v/>
      </c>
      <c r="CK1769">
        <f>IF(ISNUMBER(CI1769),IF(CI1769&lt;$B$13,CI1769,""),"")</f>
        <v/>
      </c>
      <c r="CM1769">
        <f>IF(CH1769="","",IFERROR(IF(IF(AND(LEN(CH1769)=9,ISERROR(FIND("-",LEFT(CH1769,8))),ISNUMBER(-LEFT(CH1769,8))),VALUE(LEFT(CH1769,4)),VALUE(LEFT(CH1769,FIND("-",CH1769)-1)))&lt;100,IF(AND(LEN(CH1769)=9,ISERROR(FIND("-",LEFT(CH1769,8))),ISNUMBER(-LEFT(CH1769,8))),VALUE(LEFT(CH1769,4)),VALUE(LEFT(CH1769,FIND("-",CH1769)-1)))+2000,IF(AND(LEN(CH1769)=9,ISERROR(FIND("-",LEFT(CH1769,8))),ISNUMBER(-LEFT(CH1769,8))),VALUE(LEFT(CH1769,4)),VALUE(LEFT(CH1769,FIND("-",CH1769)-1)))),""))</f>
        <v/>
      </c>
      <c r="CN1769">
        <f>IF(CH1769="","",IFERROR(IF(AND(LEN(CH1769)=9,ISERROR(FIND("-",LEFT(CH1769,8))),ISNUMBER(-LEFT(CH1769,8))),VALUE(MID(CH1769,5,2)),VALUE(MID(CH1769,FIND("-",CH1769)+1,FIND("-",CH1769,FIND("-",CH1769)+1)-FIND("-",CH1769)-1))),""))</f>
        <v/>
      </c>
      <c r="CO1769">
        <f>IF(CH1769="","",IFERROR(IF(AND(LEN(CH1769)=9,ISERROR(FIND("-",LEFT(CH1769,8))),ISNUMBER(-LEFT(CH1769,8))),VALUE(MID(CH1769,7,2)),VALUE(MID(CH1769,FIND("-",CH1769,FIND("-",CH1769)+1)+1,FIND("-",CH1769,FIND("-",CH1769,FIND("-",CH1769)+1)+1)-FIND("-",CH1769,FIND("-",CH1769)+1)-1))),""))</f>
        <v/>
      </c>
    </row>
    <row r="1770">
      <c r="CH1770">
        <f>IF(ISTEXT('월 가계부'!A1770),SUBSTITUTE(SUBSTITUTE(SUBSTITUTE(SUBSTITUTE(SUBSTITUTE(SUBSTITUTE(SUBSTITUTE(SUBSTITUTE(SUBSTITUTE(TRIM('월 가계부'!A1770),"년","-"),"월","-"),"일",""),".","-"),"/","-")," ","-"),"--","-"),"--","-"),"--","-")&amp;"-","")</f>
        <v/>
      </c>
      <c r="CI1770">
        <f>IFERROR(IF('월 가계부'!A1770="","",IF(ISNUMBER('월 가계부'!A1770),IF(AND('월 가계부'!A1770&gt;=19000101,'월 가계부'!A1770&lt;=21001231),IF(AND(MOD(INT('월 가계부'!A1770/100),100)&gt;=1,MOD(INT('월 가계부'!A1770/100),100)&lt;=12,MOD(INT('월 가계부'!A1770),100)&gt;=1,MOD(INT('월 가계부'!A1770),100)&lt;=31),IF(MONTH(DATE(INT('월 가계부'!A1770/10000),MOD(INT('월 가계부'!A1770/100),100),MOD(INT('월 가계부'!A1770),100)))=MOD(INT('월 가계부'!A1770/100),100),DATE(INT('월 가계부'!A1770/10000),MOD(INT('월 가계부'!A1770/100),100),MOD(INT('월 가계부'!A1770),100)),""),""),IF(AND('월 가계부'!A1770&gt;=36526,'월 가계부'!A1770&lt;73051),INT('월 가계부'!A1770),"")),IF(OR(CM1770="",CN1770="",CO1770=""),"",IF(AND(CM1770&gt;=2000,CM1770&lt;=2099,CN1770&gt;=1,CN1770&lt;=12,CO1770&gt;=1,CO1770&lt;=31),IF(MONTH(DATE(CM1770,CN1770,CO1770))=CN1770,DATE(CM1770,CN1770,CO1770),""),"")))),"")</f>
        <v/>
      </c>
      <c r="CJ1770">
        <f>IFERROR(IF('월 가계부'!C1770="","",IF(ISNUMBER('월 가계부'!C1770),'월 가계부'!C1770,VALUE(SUBSTITUTE(SUBSTITUTE(SUBSTITUTE(SUBSTITUTE(TRIM('월 가계부'!C1770),",",""),"원","")," ",""),"−","-")))),"")</f>
        <v/>
      </c>
      <c r="CK1770">
        <f>IF(ISNUMBER(CI1770),IF(CI1770&lt;$B$13,CI1770,""),"")</f>
        <v/>
      </c>
      <c r="CM1770">
        <f>IF(CH1770="","",IFERROR(IF(IF(AND(LEN(CH1770)=9,ISERROR(FIND("-",LEFT(CH1770,8))),ISNUMBER(-LEFT(CH1770,8))),VALUE(LEFT(CH1770,4)),VALUE(LEFT(CH1770,FIND("-",CH1770)-1)))&lt;100,IF(AND(LEN(CH1770)=9,ISERROR(FIND("-",LEFT(CH1770,8))),ISNUMBER(-LEFT(CH1770,8))),VALUE(LEFT(CH1770,4)),VALUE(LEFT(CH1770,FIND("-",CH1770)-1)))+2000,IF(AND(LEN(CH1770)=9,ISERROR(FIND("-",LEFT(CH1770,8))),ISNUMBER(-LEFT(CH1770,8))),VALUE(LEFT(CH1770,4)),VALUE(LEFT(CH1770,FIND("-",CH1770)-1)))),""))</f>
        <v/>
      </c>
      <c r="CN1770">
        <f>IF(CH1770="","",IFERROR(IF(AND(LEN(CH1770)=9,ISERROR(FIND("-",LEFT(CH1770,8))),ISNUMBER(-LEFT(CH1770,8))),VALUE(MID(CH1770,5,2)),VALUE(MID(CH1770,FIND("-",CH1770)+1,FIND("-",CH1770,FIND("-",CH1770)+1)-FIND("-",CH1770)-1))),""))</f>
        <v/>
      </c>
      <c r="CO1770">
        <f>IF(CH1770="","",IFERROR(IF(AND(LEN(CH1770)=9,ISERROR(FIND("-",LEFT(CH1770,8))),ISNUMBER(-LEFT(CH1770,8))),VALUE(MID(CH1770,7,2)),VALUE(MID(CH1770,FIND("-",CH1770,FIND("-",CH1770)+1)+1,FIND("-",CH1770,FIND("-",CH1770,FIND("-",CH1770)+1)+1)-FIND("-",CH1770,FIND("-",CH1770)+1)-1))),""))</f>
        <v/>
      </c>
    </row>
    <row r="1771">
      <c r="CH1771">
        <f>IF(ISTEXT('월 가계부'!A1771),SUBSTITUTE(SUBSTITUTE(SUBSTITUTE(SUBSTITUTE(SUBSTITUTE(SUBSTITUTE(SUBSTITUTE(SUBSTITUTE(SUBSTITUTE(TRIM('월 가계부'!A1771),"년","-"),"월","-"),"일",""),".","-"),"/","-")," ","-"),"--","-"),"--","-"),"--","-")&amp;"-","")</f>
        <v/>
      </c>
      <c r="CI1771">
        <f>IFERROR(IF('월 가계부'!A1771="","",IF(ISNUMBER('월 가계부'!A1771),IF(AND('월 가계부'!A1771&gt;=19000101,'월 가계부'!A1771&lt;=21001231),IF(AND(MOD(INT('월 가계부'!A1771/100),100)&gt;=1,MOD(INT('월 가계부'!A1771/100),100)&lt;=12,MOD(INT('월 가계부'!A1771),100)&gt;=1,MOD(INT('월 가계부'!A1771),100)&lt;=31),IF(MONTH(DATE(INT('월 가계부'!A1771/10000),MOD(INT('월 가계부'!A1771/100),100),MOD(INT('월 가계부'!A1771),100)))=MOD(INT('월 가계부'!A1771/100),100),DATE(INT('월 가계부'!A1771/10000),MOD(INT('월 가계부'!A1771/100),100),MOD(INT('월 가계부'!A1771),100)),""),""),IF(AND('월 가계부'!A1771&gt;=36526,'월 가계부'!A1771&lt;73051),INT('월 가계부'!A1771),"")),IF(OR(CM1771="",CN1771="",CO1771=""),"",IF(AND(CM1771&gt;=2000,CM1771&lt;=2099,CN1771&gt;=1,CN1771&lt;=12,CO1771&gt;=1,CO1771&lt;=31),IF(MONTH(DATE(CM1771,CN1771,CO1771))=CN1771,DATE(CM1771,CN1771,CO1771),""),"")))),"")</f>
        <v/>
      </c>
      <c r="CJ1771">
        <f>IFERROR(IF('월 가계부'!C1771="","",IF(ISNUMBER('월 가계부'!C1771),'월 가계부'!C1771,VALUE(SUBSTITUTE(SUBSTITUTE(SUBSTITUTE(SUBSTITUTE(TRIM('월 가계부'!C1771),",",""),"원","")," ",""),"−","-")))),"")</f>
        <v/>
      </c>
      <c r="CK1771">
        <f>IF(ISNUMBER(CI1771),IF(CI1771&lt;$B$13,CI1771,""),"")</f>
        <v/>
      </c>
      <c r="CM1771">
        <f>IF(CH1771="","",IFERROR(IF(IF(AND(LEN(CH1771)=9,ISERROR(FIND("-",LEFT(CH1771,8))),ISNUMBER(-LEFT(CH1771,8))),VALUE(LEFT(CH1771,4)),VALUE(LEFT(CH1771,FIND("-",CH1771)-1)))&lt;100,IF(AND(LEN(CH1771)=9,ISERROR(FIND("-",LEFT(CH1771,8))),ISNUMBER(-LEFT(CH1771,8))),VALUE(LEFT(CH1771,4)),VALUE(LEFT(CH1771,FIND("-",CH1771)-1)))+2000,IF(AND(LEN(CH1771)=9,ISERROR(FIND("-",LEFT(CH1771,8))),ISNUMBER(-LEFT(CH1771,8))),VALUE(LEFT(CH1771,4)),VALUE(LEFT(CH1771,FIND("-",CH1771)-1)))),""))</f>
        <v/>
      </c>
      <c r="CN1771">
        <f>IF(CH1771="","",IFERROR(IF(AND(LEN(CH1771)=9,ISERROR(FIND("-",LEFT(CH1771,8))),ISNUMBER(-LEFT(CH1771,8))),VALUE(MID(CH1771,5,2)),VALUE(MID(CH1771,FIND("-",CH1771)+1,FIND("-",CH1771,FIND("-",CH1771)+1)-FIND("-",CH1771)-1))),""))</f>
        <v/>
      </c>
      <c r="CO1771">
        <f>IF(CH1771="","",IFERROR(IF(AND(LEN(CH1771)=9,ISERROR(FIND("-",LEFT(CH1771,8))),ISNUMBER(-LEFT(CH1771,8))),VALUE(MID(CH1771,7,2)),VALUE(MID(CH1771,FIND("-",CH1771,FIND("-",CH1771)+1)+1,FIND("-",CH1771,FIND("-",CH1771,FIND("-",CH1771)+1)+1)-FIND("-",CH1771,FIND("-",CH1771)+1)-1))),""))</f>
        <v/>
      </c>
    </row>
    <row r="1772">
      <c r="CH1772">
        <f>IF(ISTEXT('월 가계부'!A1772),SUBSTITUTE(SUBSTITUTE(SUBSTITUTE(SUBSTITUTE(SUBSTITUTE(SUBSTITUTE(SUBSTITUTE(SUBSTITUTE(SUBSTITUTE(TRIM('월 가계부'!A1772),"년","-"),"월","-"),"일",""),".","-"),"/","-")," ","-"),"--","-"),"--","-"),"--","-")&amp;"-","")</f>
        <v/>
      </c>
      <c r="CI1772">
        <f>IFERROR(IF('월 가계부'!A1772="","",IF(ISNUMBER('월 가계부'!A1772),IF(AND('월 가계부'!A1772&gt;=19000101,'월 가계부'!A1772&lt;=21001231),IF(AND(MOD(INT('월 가계부'!A1772/100),100)&gt;=1,MOD(INT('월 가계부'!A1772/100),100)&lt;=12,MOD(INT('월 가계부'!A1772),100)&gt;=1,MOD(INT('월 가계부'!A1772),100)&lt;=31),IF(MONTH(DATE(INT('월 가계부'!A1772/10000),MOD(INT('월 가계부'!A1772/100),100),MOD(INT('월 가계부'!A1772),100)))=MOD(INT('월 가계부'!A1772/100),100),DATE(INT('월 가계부'!A1772/10000),MOD(INT('월 가계부'!A1772/100),100),MOD(INT('월 가계부'!A1772),100)),""),""),IF(AND('월 가계부'!A1772&gt;=36526,'월 가계부'!A1772&lt;73051),INT('월 가계부'!A1772),"")),IF(OR(CM1772="",CN1772="",CO1772=""),"",IF(AND(CM1772&gt;=2000,CM1772&lt;=2099,CN1772&gt;=1,CN1772&lt;=12,CO1772&gt;=1,CO1772&lt;=31),IF(MONTH(DATE(CM1772,CN1772,CO1772))=CN1772,DATE(CM1772,CN1772,CO1772),""),"")))),"")</f>
        <v/>
      </c>
      <c r="CJ1772">
        <f>IFERROR(IF('월 가계부'!C1772="","",IF(ISNUMBER('월 가계부'!C1772),'월 가계부'!C1772,VALUE(SUBSTITUTE(SUBSTITUTE(SUBSTITUTE(SUBSTITUTE(TRIM('월 가계부'!C1772),",",""),"원","")," ",""),"−","-")))),"")</f>
        <v/>
      </c>
      <c r="CK1772">
        <f>IF(ISNUMBER(CI1772),IF(CI1772&lt;$B$13,CI1772,""),"")</f>
        <v/>
      </c>
      <c r="CM1772">
        <f>IF(CH1772="","",IFERROR(IF(IF(AND(LEN(CH1772)=9,ISERROR(FIND("-",LEFT(CH1772,8))),ISNUMBER(-LEFT(CH1772,8))),VALUE(LEFT(CH1772,4)),VALUE(LEFT(CH1772,FIND("-",CH1772)-1)))&lt;100,IF(AND(LEN(CH1772)=9,ISERROR(FIND("-",LEFT(CH1772,8))),ISNUMBER(-LEFT(CH1772,8))),VALUE(LEFT(CH1772,4)),VALUE(LEFT(CH1772,FIND("-",CH1772)-1)))+2000,IF(AND(LEN(CH1772)=9,ISERROR(FIND("-",LEFT(CH1772,8))),ISNUMBER(-LEFT(CH1772,8))),VALUE(LEFT(CH1772,4)),VALUE(LEFT(CH1772,FIND("-",CH1772)-1)))),""))</f>
        <v/>
      </c>
      <c r="CN1772">
        <f>IF(CH1772="","",IFERROR(IF(AND(LEN(CH1772)=9,ISERROR(FIND("-",LEFT(CH1772,8))),ISNUMBER(-LEFT(CH1772,8))),VALUE(MID(CH1772,5,2)),VALUE(MID(CH1772,FIND("-",CH1772)+1,FIND("-",CH1772,FIND("-",CH1772)+1)-FIND("-",CH1772)-1))),""))</f>
        <v/>
      </c>
      <c r="CO1772">
        <f>IF(CH1772="","",IFERROR(IF(AND(LEN(CH1772)=9,ISERROR(FIND("-",LEFT(CH1772,8))),ISNUMBER(-LEFT(CH1772,8))),VALUE(MID(CH1772,7,2)),VALUE(MID(CH1772,FIND("-",CH1772,FIND("-",CH1772)+1)+1,FIND("-",CH1772,FIND("-",CH1772,FIND("-",CH1772)+1)+1)-FIND("-",CH1772,FIND("-",CH1772)+1)-1))),""))</f>
        <v/>
      </c>
    </row>
    <row r="1773">
      <c r="CH1773">
        <f>IF(ISTEXT('월 가계부'!A1773),SUBSTITUTE(SUBSTITUTE(SUBSTITUTE(SUBSTITUTE(SUBSTITUTE(SUBSTITUTE(SUBSTITUTE(SUBSTITUTE(SUBSTITUTE(TRIM('월 가계부'!A1773),"년","-"),"월","-"),"일",""),".","-"),"/","-")," ","-"),"--","-"),"--","-"),"--","-")&amp;"-","")</f>
        <v/>
      </c>
      <c r="CI1773">
        <f>IFERROR(IF('월 가계부'!A1773="","",IF(ISNUMBER('월 가계부'!A1773),IF(AND('월 가계부'!A1773&gt;=19000101,'월 가계부'!A1773&lt;=21001231),IF(AND(MOD(INT('월 가계부'!A1773/100),100)&gt;=1,MOD(INT('월 가계부'!A1773/100),100)&lt;=12,MOD(INT('월 가계부'!A1773),100)&gt;=1,MOD(INT('월 가계부'!A1773),100)&lt;=31),IF(MONTH(DATE(INT('월 가계부'!A1773/10000),MOD(INT('월 가계부'!A1773/100),100),MOD(INT('월 가계부'!A1773),100)))=MOD(INT('월 가계부'!A1773/100),100),DATE(INT('월 가계부'!A1773/10000),MOD(INT('월 가계부'!A1773/100),100),MOD(INT('월 가계부'!A1773),100)),""),""),IF(AND('월 가계부'!A1773&gt;=36526,'월 가계부'!A1773&lt;73051),INT('월 가계부'!A1773),"")),IF(OR(CM1773="",CN1773="",CO1773=""),"",IF(AND(CM1773&gt;=2000,CM1773&lt;=2099,CN1773&gt;=1,CN1773&lt;=12,CO1773&gt;=1,CO1773&lt;=31),IF(MONTH(DATE(CM1773,CN1773,CO1773))=CN1773,DATE(CM1773,CN1773,CO1773),""),"")))),"")</f>
        <v/>
      </c>
      <c r="CJ1773">
        <f>IFERROR(IF('월 가계부'!C1773="","",IF(ISNUMBER('월 가계부'!C1773),'월 가계부'!C1773,VALUE(SUBSTITUTE(SUBSTITUTE(SUBSTITUTE(SUBSTITUTE(TRIM('월 가계부'!C1773),",",""),"원","")," ",""),"−","-")))),"")</f>
        <v/>
      </c>
      <c r="CK1773">
        <f>IF(ISNUMBER(CI1773),IF(CI1773&lt;$B$13,CI1773,""),"")</f>
        <v/>
      </c>
      <c r="CM1773">
        <f>IF(CH1773="","",IFERROR(IF(IF(AND(LEN(CH1773)=9,ISERROR(FIND("-",LEFT(CH1773,8))),ISNUMBER(-LEFT(CH1773,8))),VALUE(LEFT(CH1773,4)),VALUE(LEFT(CH1773,FIND("-",CH1773)-1)))&lt;100,IF(AND(LEN(CH1773)=9,ISERROR(FIND("-",LEFT(CH1773,8))),ISNUMBER(-LEFT(CH1773,8))),VALUE(LEFT(CH1773,4)),VALUE(LEFT(CH1773,FIND("-",CH1773)-1)))+2000,IF(AND(LEN(CH1773)=9,ISERROR(FIND("-",LEFT(CH1773,8))),ISNUMBER(-LEFT(CH1773,8))),VALUE(LEFT(CH1773,4)),VALUE(LEFT(CH1773,FIND("-",CH1773)-1)))),""))</f>
        <v/>
      </c>
      <c r="CN1773">
        <f>IF(CH1773="","",IFERROR(IF(AND(LEN(CH1773)=9,ISERROR(FIND("-",LEFT(CH1773,8))),ISNUMBER(-LEFT(CH1773,8))),VALUE(MID(CH1773,5,2)),VALUE(MID(CH1773,FIND("-",CH1773)+1,FIND("-",CH1773,FIND("-",CH1773)+1)-FIND("-",CH1773)-1))),""))</f>
        <v/>
      </c>
      <c r="CO1773">
        <f>IF(CH1773="","",IFERROR(IF(AND(LEN(CH1773)=9,ISERROR(FIND("-",LEFT(CH1773,8))),ISNUMBER(-LEFT(CH1773,8))),VALUE(MID(CH1773,7,2)),VALUE(MID(CH1773,FIND("-",CH1773,FIND("-",CH1773)+1)+1,FIND("-",CH1773,FIND("-",CH1773,FIND("-",CH1773)+1)+1)-FIND("-",CH1773,FIND("-",CH1773)+1)-1))),""))</f>
        <v/>
      </c>
    </row>
    <row r="1774">
      <c r="CH1774">
        <f>IF(ISTEXT('월 가계부'!A1774),SUBSTITUTE(SUBSTITUTE(SUBSTITUTE(SUBSTITUTE(SUBSTITUTE(SUBSTITUTE(SUBSTITUTE(SUBSTITUTE(SUBSTITUTE(TRIM('월 가계부'!A1774),"년","-"),"월","-"),"일",""),".","-"),"/","-")," ","-"),"--","-"),"--","-"),"--","-")&amp;"-","")</f>
        <v/>
      </c>
      <c r="CI1774">
        <f>IFERROR(IF('월 가계부'!A1774="","",IF(ISNUMBER('월 가계부'!A1774),IF(AND('월 가계부'!A1774&gt;=19000101,'월 가계부'!A1774&lt;=21001231),IF(AND(MOD(INT('월 가계부'!A1774/100),100)&gt;=1,MOD(INT('월 가계부'!A1774/100),100)&lt;=12,MOD(INT('월 가계부'!A1774),100)&gt;=1,MOD(INT('월 가계부'!A1774),100)&lt;=31),IF(MONTH(DATE(INT('월 가계부'!A1774/10000),MOD(INT('월 가계부'!A1774/100),100),MOD(INT('월 가계부'!A1774),100)))=MOD(INT('월 가계부'!A1774/100),100),DATE(INT('월 가계부'!A1774/10000),MOD(INT('월 가계부'!A1774/100),100),MOD(INT('월 가계부'!A1774),100)),""),""),IF(AND('월 가계부'!A1774&gt;=36526,'월 가계부'!A1774&lt;73051),INT('월 가계부'!A1774),"")),IF(OR(CM1774="",CN1774="",CO1774=""),"",IF(AND(CM1774&gt;=2000,CM1774&lt;=2099,CN1774&gt;=1,CN1774&lt;=12,CO1774&gt;=1,CO1774&lt;=31),IF(MONTH(DATE(CM1774,CN1774,CO1774))=CN1774,DATE(CM1774,CN1774,CO1774),""),"")))),"")</f>
        <v/>
      </c>
      <c r="CJ1774">
        <f>IFERROR(IF('월 가계부'!C1774="","",IF(ISNUMBER('월 가계부'!C1774),'월 가계부'!C1774,VALUE(SUBSTITUTE(SUBSTITUTE(SUBSTITUTE(SUBSTITUTE(TRIM('월 가계부'!C1774),",",""),"원","")," ",""),"−","-")))),"")</f>
        <v/>
      </c>
      <c r="CK1774">
        <f>IF(ISNUMBER(CI1774),IF(CI1774&lt;$B$13,CI1774,""),"")</f>
        <v/>
      </c>
      <c r="CM1774">
        <f>IF(CH1774="","",IFERROR(IF(IF(AND(LEN(CH1774)=9,ISERROR(FIND("-",LEFT(CH1774,8))),ISNUMBER(-LEFT(CH1774,8))),VALUE(LEFT(CH1774,4)),VALUE(LEFT(CH1774,FIND("-",CH1774)-1)))&lt;100,IF(AND(LEN(CH1774)=9,ISERROR(FIND("-",LEFT(CH1774,8))),ISNUMBER(-LEFT(CH1774,8))),VALUE(LEFT(CH1774,4)),VALUE(LEFT(CH1774,FIND("-",CH1774)-1)))+2000,IF(AND(LEN(CH1774)=9,ISERROR(FIND("-",LEFT(CH1774,8))),ISNUMBER(-LEFT(CH1774,8))),VALUE(LEFT(CH1774,4)),VALUE(LEFT(CH1774,FIND("-",CH1774)-1)))),""))</f>
        <v/>
      </c>
      <c r="CN1774">
        <f>IF(CH1774="","",IFERROR(IF(AND(LEN(CH1774)=9,ISERROR(FIND("-",LEFT(CH1774,8))),ISNUMBER(-LEFT(CH1774,8))),VALUE(MID(CH1774,5,2)),VALUE(MID(CH1774,FIND("-",CH1774)+1,FIND("-",CH1774,FIND("-",CH1774)+1)-FIND("-",CH1774)-1))),""))</f>
        <v/>
      </c>
      <c r="CO1774">
        <f>IF(CH1774="","",IFERROR(IF(AND(LEN(CH1774)=9,ISERROR(FIND("-",LEFT(CH1774,8))),ISNUMBER(-LEFT(CH1774,8))),VALUE(MID(CH1774,7,2)),VALUE(MID(CH1774,FIND("-",CH1774,FIND("-",CH1774)+1)+1,FIND("-",CH1774,FIND("-",CH1774,FIND("-",CH1774)+1)+1)-FIND("-",CH1774,FIND("-",CH1774)+1)-1))),""))</f>
        <v/>
      </c>
    </row>
    <row r="1775">
      <c r="CH1775">
        <f>IF(ISTEXT('월 가계부'!A1775),SUBSTITUTE(SUBSTITUTE(SUBSTITUTE(SUBSTITUTE(SUBSTITUTE(SUBSTITUTE(SUBSTITUTE(SUBSTITUTE(SUBSTITUTE(TRIM('월 가계부'!A1775),"년","-"),"월","-"),"일",""),".","-"),"/","-")," ","-"),"--","-"),"--","-"),"--","-")&amp;"-","")</f>
        <v/>
      </c>
      <c r="CI1775">
        <f>IFERROR(IF('월 가계부'!A1775="","",IF(ISNUMBER('월 가계부'!A1775),IF(AND('월 가계부'!A1775&gt;=19000101,'월 가계부'!A1775&lt;=21001231),IF(AND(MOD(INT('월 가계부'!A1775/100),100)&gt;=1,MOD(INT('월 가계부'!A1775/100),100)&lt;=12,MOD(INT('월 가계부'!A1775),100)&gt;=1,MOD(INT('월 가계부'!A1775),100)&lt;=31),IF(MONTH(DATE(INT('월 가계부'!A1775/10000),MOD(INT('월 가계부'!A1775/100),100),MOD(INT('월 가계부'!A1775),100)))=MOD(INT('월 가계부'!A1775/100),100),DATE(INT('월 가계부'!A1775/10000),MOD(INT('월 가계부'!A1775/100),100),MOD(INT('월 가계부'!A1775),100)),""),""),IF(AND('월 가계부'!A1775&gt;=36526,'월 가계부'!A1775&lt;73051),INT('월 가계부'!A1775),"")),IF(OR(CM1775="",CN1775="",CO1775=""),"",IF(AND(CM1775&gt;=2000,CM1775&lt;=2099,CN1775&gt;=1,CN1775&lt;=12,CO1775&gt;=1,CO1775&lt;=31),IF(MONTH(DATE(CM1775,CN1775,CO1775))=CN1775,DATE(CM1775,CN1775,CO1775),""),"")))),"")</f>
        <v/>
      </c>
      <c r="CJ1775">
        <f>IFERROR(IF('월 가계부'!C1775="","",IF(ISNUMBER('월 가계부'!C1775),'월 가계부'!C1775,VALUE(SUBSTITUTE(SUBSTITUTE(SUBSTITUTE(SUBSTITUTE(TRIM('월 가계부'!C1775),",",""),"원","")," ",""),"−","-")))),"")</f>
        <v/>
      </c>
      <c r="CK1775">
        <f>IF(ISNUMBER(CI1775),IF(CI1775&lt;$B$13,CI1775,""),"")</f>
        <v/>
      </c>
      <c r="CM1775">
        <f>IF(CH1775="","",IFERROR(IF(IF(AND(LEN(CH1775)=9,ISERROR(FIND("-",LEFT(CH1775,8))),ISNUMBER(-LEFT(CH1775,8))),VALUE(LEFT(CH1775,4)),VALUE(LEFT(CH1775,FIND("-",CH1775)-1)))&lt;100,IF(AND(LEN(CH1775)=9,ISERROR(FIND("-",LEFT(CH1775,8))),ISNUMBER(-LEFT(CH1775,8))),VALUE(LEFT(CH1775,4)),VALUE(LEFT(CH1775,FIND("-",CH1775)-1)))+2000,IF(AND(LEN(CH1775)=9,ISERROR(FIND("-",LEFT(CH1775,8))),ISNUMBER(-LEFT(CH1775,8))),VALUE(LEFT(CH1775,4)),VALUE(LEFT(CH1775,FIND("-",CH1775)-1)))),""))</f>
        <v/>
      </c>
      <c r="CN1775">
        <f>IF(CH1775="","",IFERROR(IF(AND(LEN(CH1775)=9,ISERROR(FIND("-",LEFT(CH1775,8))),ISNUMBER(-LEFT(CH1775,8))),VALUE(MID(CH1775,5,2)),VALUE(MID(CH1775,FIND("-",CH1775)+1,FIND("-",CH1775,FIND("-",CH1775)+1)-FIND("-",CH1775)-1))),""))</f>
        <v/>
      </c>
      <c r="CO1775">
        <f>IF(CH1775="","",IFERROR(IF(AND(LEN(CH1775)=9,ISERROR(FIND("-",LEFT(CH1775,8))),ISNUMBER(-LEFT(CH1775,8))),VALUE(MID(CH1775,7,2)),VALUE(MID(CH1775,FIND("-",CH1775,FIND("-",CH1775)+1)+1,FIND("-",CH1775,FIND("-",CH1775,FIND("-",CH1775)+1)+1)-FIND("-",CH1775,FIND("-",CH1775)+1)-1))),""))</f>
        <v/>
      </c>
    </row>
    <row r="1776">
      <c r="CH1776">
        <f>IF(ISTEXT('월 가계부'!A1776),SUBSTITUTE(SUBSTITUTE(SUBSTITUTE(SUBSTITUTE(SUBSTITUTE(SUBSTITUTE(SUBSTITUTE(SUBSTITUTE(SUBSTITUTE(TRIM('월 가계부'!A1776),"년","-"),"월","-"),"일",""),".","-"),"/","-")," ","-"),"--","-"),"--","-"),"--","-")&amp;"-","")</f>
        <v/>
      </c>
      <c r="CI1776">
        <f>IFERROR(IF('월 가계부'!A1776="","",IF(ISNUMBER('월 가계부'!A1776),IF(AND('월 가계부'!A1776&gt;=19000101,'월 가계부'!A1776&lt;=21001231),IF(AND(MOD(INT('월 가계부'!A1776/100),100)&gt;=1,MOD(INT('월 가계부'!A1776/100),100)&lt;=12,MOD(INT('월 가계부'!A1776),100)&gt;=1,MOD(INT('월 가계부'!A1776),100)&lt;=31),IF(MONTH(DATE(INT('월 가계부'!A1776/10000),MOD(INT('월 가계부'!A1776/100),100),MOD(INT('월 가계부'!A1776),100)))=MOD(INT('월 가계부'!A1776/100),100),DATE(INT('월 가계부'!A1776/10000),MOD(INT('월 가계부'!A1776/100),100),MOD(INT('월 가계부'!A1776),100)),""),""),IF(AND('월 가계부'!A1776&gt;=36526,'월 가계부'!A1776&lt;73051),INT('월 가계부'!A1776),"")),IF(OR(CM1776="",CN1776="",CO1776=""),"",IF(AND(CM1776&gt;=2000,CM1776&lt;=2099,CN1776&gt;=1,CN1776&lt;=12,CO1776&gt;=1,CO1776&lt;=31),IF(MONTH(DATE(CM1776,CN1776,CO1776))=CN1776,DATE(CM1776,CN1776,CO1776),""),"")))),"")</f>
        <v/>
      </c>
      <c r="CJ1776">
        <f>IFERROR(IF('월 가계부'!C1776="","",IF(ISNUMBER('월 가계부'!C1776),'월 가계부'!C1776,VALUE(SUBSTITUTE(SUBSTITUTE(SUBSTITUTE(SUBSTITUTE(TRIM('월 가계부'!C1776),",",""),"원","")," ",""),"−","-")))),"")</f>
        <v/>
      </c>
      <c r="CK1776">
        <f>IF(ISNUMBER(CI1776),IF(CI1776&lt;$B$13,CI1776,""),"")</f>
        <v/>
      </c>
      <c r="CM1776">
        <f>IF(CH1776="","",IFERROR(IF(IF(AND(LEN(CH1776)=9,ISERROR(FIND("-",LEFT(CH1776,8))),ISNUMBER(-LEFT(CH1776,8))),VALUE(LEFT(CH1776,4)),VALUE(LEFT(CH1776,FIND("-",CH1776)-1)))&lt;100,IF(AND(LEN(CH1776)=9,ISERROR(FIND("-",LEFT(CH1776,8))),ISNUMBER(-LEFT(CH1776,8))),VALUE(LEFT(CH1776,4)),VALUE(LEFT(CH1776,FIND("-",CH1776)-1)))+2000,IF(AND(LEN(CH1776)=9,ISERROR(FIND("-",LEFT(CH1776,8))),ISNUMBER(-LEFT(CH1776,8))),VALUE(LEFT(CH1776,4)),VALUE(LEFT(CH1776,FIND("-",CH1776)-1)))),""))</f>
        <v/>
      </c>
      <c r="CN1776">
        <f>IF(CH1776="","",IFERROR(IF(AND(LEN(CH1776)=9,ISERROR(FIND("-",LEFT(CH1776,8))),ISNUMBER(-LEFT(CH1776,8))),VALUE(MID(CH1776,5,2)),VALUE(MID(CH1776,FIND("-",CH1776)+1,FIND("-",CH1776,FIND("-",CH1776)+1)-FIND("-",CH1776)-1))),""))</f>
        <v/>
      </c>
      <c r="CO1776">
        <f>IF(CH1776="","",IFERROR(IF(AND(LEN(CH1776)=9,ISERROR(FIND("-",LEFT(CH1776,8))),ISNUMBER(-LEFT(CH1776,8))),VALUE(MID(CH1776,7,2)),VALUE(MID(CH1776,FIND("-",CH1776,FIND("-",CH1776)+1)+1,FIND("-",CH1776,FIND("-",CH1776,FIND("-",CH1776)+1)+1)-FIND("-",CH1776,FIND("-",CH1776)+1)-1))),""))</f>
        <v/>
      </c>
    </row>
    <row r="1777">
      <c r="CH1777">
        <f>IF(ISTEXT('월 가계부'!A1777),SUBSTITUTE(SUBSTITUTE(SUBSTITUTE(SUBSTITUTE(SUBSTITUTE(SUBSTITUTE(SUBSTITUTE(SUBSTITUTE(SUBSTITUTE(TRIM('월 가계부'!A1777),"년","-"),"월","-"),"일",""),".","-"),"/","-")," ","-"),"--","-"),"--","-"),"--","-")&amp;"-","")</f>
        <v/>
      </c>
      <c r="CI1777">
        <f>IFERROR(IF('월 가계부'!A1777="","",IF(ISNUMBER('월 가계부'!A1777),IF(AND('월 가계부'!A1777&gt;=19000101,'월 가계부'!A1777&lt;=21001231),IF(AND(MOD(INT('월 가계부'!A1777/100),100)&gt;=1,MOD(INT('월 가계부'!A1777/100),100)&lt;=12,MOD(INT('월 가계부'!A1777),100)&gt;=1,MOD(INT('월 가계부'!A1777),100)&lt;=31),IF(MONTH(DATE(INT('월 가계부'!A1777/10000),MOD(INT('월 가계부'!A1777/100),100),MOD(INT('월 가계부'!A1777),100)))=MOD(INT('월 가계부'!A1777/100),100),DATE(INT('월 가계부'!A1777/10000),MOD(INT('월 가계부'!A1777/100),100),MOD(INT('월 가계부'!A1777),100)),""),""),IF(AND('월 가계부'!A1777&gt;=36526,'월 가계부'!A1777&lt;73051),INT('월 가계부'!A1777),"")),IF(OR(CM1777="",CN1777="",CO1777=""),"",IF(AND(CM1777&gt;=2000,CM1777&lt;=2099,CN1777&gt;=1,CN1777&lt;=12,CO1777&gt;=1,CO1777&lt;=31),IF(MONTH(DATE(CM1777,CN1777,CO1777))=CN1777,DATE(CM1777,CN1777,CO1777),""),"")))),"")</f>
        <v/>
      </c>
      <c r="CJ1777">
        <f>IFERROR(IF('월 가계부'!C1777="","",IF(ISNUMBER('월 가계부'!C1777),'월 가계부'!C1777,VALUE(SUBSTITUTE(SUBSTITUTE(SUBSTITUTE(SUBSTITUTE(TRIM('월 가계부'!C1777),",",""),"원","")," ",""),"−","-")))),"")</f>
        <v/>
      </c>
      <c r="CK1777">
        <f>IF(ISNUMBER(CI1777),IF(CI1777&lt;$B$13,CI1777,""),"")</f>
        <v/>
      </c>
      <c r="CM1777">
        <f>IF(CH1777="","",IFERROR(IF(IF(AND(LEN(CH1777)=9,ISERROR(FIND("-",LEFT(CH1777,8))),ISNUMBER(-LEFT(CH1777,8))),VALUE(LEFT(CH1777,4)),VALUE(LEFT(CH1777,FIND("-",CH1777)-1)))&lt;100,IF(AND(LEN(CH1777)=9,ISERROR(FIND("-",LEFT(CH1777,8))),ISNUMBER(-LEFT(CH1777,8))),VALUE(LEFT(CH1777,4)),VALUE(LEFT(CH1777,FIND("-",CH1777)-1)))+2000,IF(AND(LEN(CH1777)=9,ISERROR(FIND("-",LEFT(CH1777,8))),ISNUMBER(-LEFT(CH1777,8))),VALUE(LEFT(CH1777,4)),VALUE(LEFT(CH1777,FIND("-",CH1777)-1)))),""))</f>
        <v/>
      </c>
      <c r="CN1777">
        <f>IF(CH1777="","",IFERROR(IF(AND(LEN(CH1777)=9,ISERROR(FIND("-",LEFT(CH1777,8))),ISNUMBER(-LEFT(CH1777,8))),VALUE(MID(CH1777,5,2)),VALUE(MID(CH1777,FIND("-",CH1777)+1,FIND("-",CH1777,FIND("-",CH1777)+1)-FIND("-",CH1777)-1))),""))</f>
        <v/>
      </c>
      <c r="CO1777">
        <f>IF(CH1777="","",IFERROR(IF(AND(LEN(CH1777)=9,ISERROR(FIND("-",LEFT(CH1777,8))),ISNUMBER(-LEFT(CH1777,8))),VALUE(MID(CH1777,7,2)),VALUE(MID(CH1777,FIND("-",CH1777,FIND("-",CH1777)+1)+1,FIND("-",CH1777,FIND("-",CH1777,FIND("-",CH1777)+1)+1)-FIND("-",CH1777,FIND("-",CH1777)+1)-1))),""))</f>
        <v/>
      </c>
    </row>
    <row r="1778">
      <c r="CH1778">
        <f>IF(ISTEXT('월 가계부'!A1778),SUBSTITUTE(SUBSTITUTE(SUBSTITUTE(SUBSTITUTE(SUBSTITUTE(SUBSTITUTE(SUBSTITUTE(SUBSTITUTE(SUBSTITUTE(TRIM('월 가계부'!A1778),"년","-"),"월","-"),"일",""),".","-"),"/","-")," ","-"),"--","-"),"--","-"),"--","-")&amp;"-","")</f>
        <v/>
      </c>
      <c r="CI1778">
        <f>IFERROR(IF('월 가계부'!A1778="","",IF(ISNUMBER('월 가계부'!A1778),IF(AND('월 가계부'!A1778&gt;=19000101,'월 가계부'!A1778&lt;=21001231),IF(AND(MOD(INT('월 가계부'!A1778/100),100)&gt;=1,MOD(INT('월 가계부'!A1778/100),100)&lt;=12,MOD(INT('월 가계부'!A1778),100)&gt;=1,MOD(INT('월 가계부'!A1778),100)&lt;=31),IF(MONTH(DATE(INT('월 가계부'!A1778/10000),MOD(INT('월 가계부'!A1778/100),100),MOD(INT('월 가계부'!A1778),100)))=MOD(INT('월 가계부'!A1778/100),100),DATE(INT('월 가계부'!A1778/10000),MOD(INT('월 가계부'!A1778/100),100),MOD(INT('월 가계부'!A1778),100)),""),""),IF(AND('월 가계부'!A1778&gt;=36526,'월 가계부'!A1778&lt;73051),INT('월 가계부'!A1778),"")),IF(OR(CM1778="",CN1778="",CO1778=""),"",IF(AND(CM1778&gt;=2000,CM1778&lt;=2099,CN1778&gt;=1,CN1778&lt;=12,CO1778&gt;=1,CO1778&lt;=31),IF(MONTH(DATE(CM1778,CN1778,CO1778))=CN1778,DATE(CM1778,CN1778,CO1778),""),"")))),"")</f>
        <v/>
      </c>
      <c r="CJ1778">
        <f>IFERROR(IF('월 가계부'!C1778="","",IF(ISNUMBER('월 가계부'!C1778),'월 가계부'!C1778,VALUE(SUBSTITUTE(SUBSTITUTE(SUBSTITUTE(SUBSTITUTE(TRIM('월 가계부'!C1778),",",""),"원","")," ",""),"−","-")))),"")</f>
        <v/>
      </c>
      <c r="CK1778">
        <f>IF(ISNUMBER(CI1778),IF(CI1778&lt;$B$13,CI1778,""),"")</f>
        <v/>
      </c>
      <c r="CM1778">
        <f>IF(CH1778="","",IFERROR(IF(IF(AND(LEN(CH1778)=9,ISERROR(FIND("-",LEFT(CH1778,8))),ISNUMBER(-LEFT(CH1778,8))),VALUE(LEFT(CH1778,4)),VALUE(LEFT(CH1778,FIND("-",CH1778)-1)))&lt;100,IF(AND(LEN(CH1778)=9,ISERROR(FIND("-",LEFT(CH1778,8))),ISNUMBER(-LEFT(CH1778,8))),VALUE(LEFT(CH1778,4)),VALUE(LEFT(CH1778,FIND("-",CH1778)-1)))+2000,IF(AND(LEN(CH1778)=9,ISERROR(FIND("-",LEFT(CH1778,8))),ISNUMBER(-LEFT(CH1778,8))),VALUE(LEFT(CH1778,4)),VALUE(LEFT(CH1778,FIND("-",CH1778)-1)))),""))</f>
        <v/>
      </c>
      <c r="CN1778">
        <f>IF(CH1778="","",IFERROR(IF(AND(LEN(CH1778)=9,ISERROR(FIND("-",LEFT(CH1778,8))),ISNUMBER(-LEFT(CH1778,8))),VALUE(MID(CH1778,5,2)),VALUE(MID(CH1778,FIND("-",CH1778)+1,FIND("-",CH1778,FIND("-",CH1778)+1)-FIND("-",CH1778)-1))),""))</f>
        <v/>
      </c>
      <c r="CO1778">
        <f>IF(CH1778="","",IFERROR(IF(AND(LEN(CH1778)=9,ISERROR(FIND("-",LEFT(CH1778,8))),ISNUMBER(-LEFT(CH1778,8))),VALUE(MID(CH1778,7,2)),VALUE(MID(CH1778,FIND("-",CH1778,FIND("-",CH1778)+1)+1,FIND("-",CH1778,FIND("-",CH1778,FIND("-",CH1778)+1)+1)-FIND("-",CH1778,FIND("-",CH1778)+1)-1))),""))</f>
        <v/>
      </c>
    </row>
    <row r="1779">
      <c r="CH1779">
        <f>IF(ISTEXT('월 가계부'!A1779),SUBSTITUTE(SUBSTITUTE(SUBSTITUTE(SUBSTITUTE(SUBSTITUTE(SUBSTITUTE(SUBSTITUTE(SUBSTITUTE(SUBSTITUTE(TRIM('월 가계부'!A1779),"년","-"),"월","-"),"일",""),".","-"),"/","-")," ","-"),"--","-"),"--","-"),"--","-")&amp;"-","")</f>
        <v/>
      </c>
      <c r="CI1779">
        <f>IFERROR(IF('월 가계부'!A1779="","",IF(ISNUMBER('월 가계부'!A1779),IF(AND('월 가계부'!A1779&gt;=19000101,'월 가계부'!A1779&lt;=21001231),IF(AND(MOD(INT('월 가계부'!A1779/100),100)&gt;=1,MOD(INT('월 가계부'!A1779/100),100)&lt;=12,MOD(INT('월 가계부'!A1779),100)&gt;=1,MOD(INT('월 가계부'!A1779),100)&lt;=31),IF(MONTH(DATE(INT('월 가계부'!A1779/10000),MOD(INT('월 가계부'!A1779/100),100),MOD(INT('월 가계부'!A1779),100)))=MOD(INT('월 가계부'!A1779/100),100),DATE(INT('월 가계부'!A1779/10000),MOD(INT('월 가계부'!A1779/100),100),MOD(INT('월 가계부'!A1779),100)),""),""),IF(AND('월 가계부'!A1779&gt;=36526,'월 가계부'!A1779&lt;73051),INT('월 가계부'!A1779),"")),IF(OR(CM1779="",CN1779="",CO1779=""),"",IF(AND(CM1779&gt;=2000,CM1779&lt;=2099,CN1779&gt;=1,CN1779&lt;=12,CO1779&gt;=1,CO1779&lt;=31),IF(MONTH(DATE(CM1779,CN1779,CO1779))=CN1779,DATE(CM1779,CN1779,CO1779),""),"")))),"")</f>
        <v/>
      </c>
      <c r="CJ1779">
        <f>IFERROR(IF('월 가계부'!C1779="","",IF(ISNUMBER('월 가계부'!C1779),'월 가계부'!C1779,VALUE(SUBSTITUTE(SUBSTITUTE(SUBSTITUTE(SUBSTITUTE(TRIM('월 가계부'!C1779),",",""),"원","")," ",""),"−","-")))),"")</f>
        <v/>
      </c>
      <c r="CK1779">
        <f>IF(ISNUMBER(CI1779),IF(CI1779&lt;$B$13,CI1779,""),"")</f>
        <v/>
      </c>
      <c r="CM1779">
        <f>IF(CH1779="","",IFERROR(IF(IF(AND(LEN(CH1779)=9,ISERROR(FIND("-",LEFT(CH1779,8))),ISNUMBER(-LEFT(CH1779,8))),VALUE(LEFT(CH1779,4)),VALUE(LEFT(CH1779,FIND("-",CH1779)-1)))&lt;100,IF(AND(LEN(CH1779)=9,ISERROR(FIND("-",LEFT(CH1779,8))),ISNUMBER(-LEFT(CH1779,8))),VALUE(LEFT(CH1779,4)),VALUE(LEFT(CH1779,FIND("-",CH1779)-1)))+2000,IF(AND(LEN(CH1779)=9,ISERROR(FIND("-",LEFT(CH1779,8))),ISNUMBER(-LEFT(CH1779,8))),VALUE(LEFT(CH1779,4)),VALUE(LEFT(CH1779,FIND("-",CH1779)-1)))),""))</f>
        <v/>
      </c>
      <c r="CN1779">
        <f>IF(CH1779="","",IFERROR(IF(AND(LEN(CH1779)=9,ISERROR(FIND("-",LEFT(CH1779,8))),ISNUMBER(-LEFT(CH1779,8))),VALUE(MID(CH1779,5,2)),VALUE(MID(CH1779,FIND("-",CH1779)+1,FIND("-",CH1779,FIND("-",CH1779)+1)-FIND("-",CH1779)-1))),""))</f>
        <v/>
      </c>
      <c r="CO1779">
        <f>IF(CH1779="","",IFERROR(IF(AND(LEN(CH1779)=9,ISERROR(FIND("-",LEFT(CH1779,8))),ISNUMBER(-LEFT(CH1779,8))),VALUE(MID(CH1779,7,2)),VALUE(MID(CH1779,FIND("-",CH1779,FIND("-",CH1779)+1)+1,FIND("-",CH1779,FIND("-",CH1779,FIND("-",CH1779)+1)+1)-FIND("-",CH1779,FIND("-",CH1779)+1)-1))),""))</f>
        <v/>
      </c>
    </row>
    <row r="1780">
      <c r="CH1780">
        <f>IF(ISTEXT('월 가계부'!A1780),SUBSTITUTE(SUBSTITUTE(SUBSTITUTE(SUBSTITUTE(SUBSTITUTE(SUBSTITUTE(SUBSTITUTE(SUBSTITUTE(SUBSTITUTE(TRIM('월 가계부'!A1780),"년","-"),"월","-"),"일",""),".","-"),"/","-")," ","-"),"--","-"),"--","-"),"--","-")&amp;"-","")</f>
        <v/>
      </c>
      <c r="CI1780">
        <f>IFERROR(IF('월 가계부'!A1780="","",IF(ISNUMBER('월 가계부'!A1780),IF(AND('월 가계부'!A1780&gt;=19000101,'월 가계부'!A1780&lt;=21001231),IF(AND(MOD(INT('월 가계부'!A1780/100),100)&gt;=1,MOD(INT('월 가계부'!A1780/100),100)&lt;=12,MOD(INT('월 가계부'!A1780),100)&gt;=1,MOD(INT('월 가계부'!A1780),100)&lt;=31),IF(MONTH(DATE(INT('월 가계부'!A1780/10000),MOD(INT('월 가계부'!A1780/100),100),MOD(INT('월 가계부'!A1780),100)))=MOD(INT('월 가계부'!A1780/100),100),DATE(INT('월 가계부'!A1780/10000),MOD(INT('월 가계부'!A1780/100),100),MOD(INT('월 가계부'!A1780),100)),""),""),IF(AND('월 가계부'!A1780&gt;=36526,'월 가계부'!A1780&lt;73051),INT('월 가계부'!A1780),"")),IF(OR(CM1780="",CN1780="",CO1780=""),"",IF(AND(CM1780&gt;=2000,CM1780&lt;=2099,CN1780&gt;=1,CN1780&lt;=12,CO1780&gt;=1,CO1780&lt;=31),IF(MONTH(DATE(CM1780,CN1780,CO1780))=CN1780,DATE(CM1780,CN1780,CO1780),""),"")))),"")</f>
        <v/>
      </c>
      <c r="CJ1780">
        <f>IFERROR(IF('월 가계부'!C1780="","",IF(ISNUMBER('월 가계부'!C1780),'월 가계부'!C1780,VALUE(SUBSTITUTE(SUBSTITUTE(SUBSTITUTE(SUBSTITUTE(TRIM('월 가계부'!C1780),",",""),"원","")," ",""),"−","-")))),"")</f>
        <v/>
      </c>
      <c r="CK1780">
        <f>IF(ISNUMBER(CI1780),IF(CI1780&lt;$B$13,CI1780,""),"")</f>
        <v/>
      </c>
      <c r="CM1780">
        <f>IF(CH1780="","",IFERROR(IF(IF(AND(LEN(CH1780)=9,ISERROR(FIND("-",LEFT(CH1780,8))),ISNUMBER(-LEFT(CH1780,8))),VALUE(LEFT(CH1780,4)),VALUE(LEFT(CH1780,FIND("-",CH1780)-1)))&lt;100,IF(AND(LEN(CH1780)=9,ISERROR(FIND("-",LEFT(CH1780,8))),ISNUMBER(-LEFT(CH1780,8))),VALUE(LEFT(CH1780,4)),VALUE(LEFT(CH1780,FIND("-",CH1780)-1)))+2000,IF(AND(LEN(CH1780)=9,ISERROR(FIND("-",LEFT(CH1780,8))),ISNUMBER(-LEFT(CH1780,8))),VALUE(LEFT(CH1780,4)),VALUE(LEFT(CH1780,FIND("-",CH1780)-1)))),""))</f>
        <v/>
      </c>
      <c r="CN1780">
        <f>IF(CH1780="","",IFERROR(IF(AND(LEN(CH1780)=9,ISERROR(FIND("-",LEFT(CH1780,8))),ISNUMBER(-LEFT(CH1780,8))),VALUE(MID(CH1780,5,2)),VALUE(MID(CH1780,FIND("-",CH1780)+1,FIND("-",CH1780,FIND("-",CH1780)+1)-FIND("-",CH1780)-1))),""))</f>
        <v/>
      </c>
      <c r="CO1780">
        <f>IF(CH1780="","",IFERROR(IF(AND(LEN(CH1780)=9,ISERROR(FIND("-",LEFT(CH1780,8))),ISNUMBER(-LEFT(CH1780,8))),VALUE(MID(CH1780,7,2)),VALUE(MID(CH1780,FIND("-",CH1780,FIND("-",CH1780)+1)+1,FIND("-",CH1780,FIND("-",CH1780,FIND("-",CH1780)+1)+1)-FIND("-",CH1780,FIND("-",CH1780)+1)-1))),""))</f>
        <v/>
      </c>
    </row>
    <row r="1781">
      <c r="CH1781">
        <f>IF(ISTEXT('월 가계부'!A1781),SUBSTITUTE(SUBSTITUTE(SUBSTITUTE(SUBSTITUTE(SUBSTITUTE(SUBSTITUTE(SUBSTITUTE(SUBSTITUTE(SUBSTITUTE(TRIM('월 가계부'!A1781),"년","-"),"월","-"),"일",""),".","-"),"/","-")," ","-"),"--","-"),"--","-"),"--","-")&amp;"-","")</f>
        <v/>
      </c>
      <c r="CI1781">
        <f>IFERROR(IF('월 가계부'!A1781="","",IF(ISNUMBER('월 가계부'!A1781),IF(AND('월 가계부'!A1781&gt;=19000101,'월 가계부'!A1781&lt;=21001231),IF(AND(MOD(INT('월 가계부'!A1781/100),100)&gt;=1,MOD(INT('월 가계부'!A1781/100),100)&lt;=12,MOD(INT('월 가계부'!A1781),100)&gt;=1,MOD(INT('월 가계부'!A1781),100)&lt;=31),IF(MONTH(DATE(INT('월 가계부'!A1781/10000),MOD(INT('월 가계부'!A1781/100),100),MOD(INT('월 가계부'!A1781),100)))=MOD(INT('월 가계부'!A1781/100),100),DATE(INT('월 가계부'!A1781/10000),MOD(INT('월 가계부'!A1781/100),100),MOD(INT('월 가계부'!A1781),100)),""),""),IF(AND('월 가계부'!A1781&gt;=36526,'월 가계부'!A1781&lt;73051),INT('월 가계부'!A1781),"")),IF(OR(CM1781="",CN1781="",CO1781=""),"",IF(AND(CM1781&gt;=2000,CM1781&lt;=2099,CN1781&gt;=1,CN1781&lt;=12,CO1781&gt;=1,CO1781&lt;=31),IF(MONTH(DATE(CM1781,CN1781,CO1781))=CN1781,DATE(CM1781,CN1781,CO1781),""),"")))),"")</f>
        <v/>
      </c>
      <c r="CJ1781">
        <f>IFERROR(IF('월 가계부'!C1781="","",IF(ISNUMBER('월 가계부'!C1781),'월 가계부'!C1781,VALUE(SUBSTITUTE(SUBSTITUTE(SUBSTITUTE(SUBSTITUTE(TRIM('월 가계부'!C1781),",",""),"원","")," ",""),"−","-")))),"")</f>
        <v/>
      </c>
      <c r="CK1781">
        <f>IF(ISNUMBER(CI1781),IF(CI1781&lt;$B$13,CI1781,""),"")</f>
        <v/>
      </c>
      <c r="CM1781">
        <f>IF(CH1781="","",IFERROR(IF(IF(AND(LEN(CH1781)=9,ISERROR(FIND("-",LEFT(CH1781,8))),ISNUMBER(-LEFT(CH1781,8))),VALUE(LEFT(CH1781,4)),VALUE(LEFT(CH1781,FIND("-",CH1781)-1)))&lt;100,IF(AND(LEN(CH1781)=9,ISERROR(FIND("-",LEFT(CH1781,8))),ISNUMBER(-LEFT(CH1781,8))),VALUE(LEFT(CH1781,4)),VALUE(LEFT(CH1781,FIND("-",CH1781)-1)))+2000,IF(AND(LEN(CH1781)=9,ISERROR(FIND("-",LEFT(CH1781,8))),ISNUMBER(-LEFT(CH1781,8))),VALUE(LEFT(CH1781,4)),VALUE(LEFT(CH1781,FIND("-",CH1781)-1)))),""))</f>
        <v/>
      </c>
      <c r="CN1781">
        <f>IF(CH1781="","",IFERROR(IF(AND(LEN(CH1781)=9,ISERROR(FIND("-",LEFT(CH1781,8))),ISNUMBER(-LEFT(CH1781,8))),VALUE(MID(CH1781,5,2)),VALUE(MID(CH1781,FIND("-",CH1781)+1,FIND("-",CH1781,FIND("-",CH1781)+1)-FIND("-",CH1781)-1))),""))</f>
        <v/>
      </c>
      <c r="CO1781">
        <f>IF(CH1781="","",IFERROR(IF(AND(LEN(CH1781)=9,ISERROR(FIND("-",LEFT(CH1781,8))),ISNUMBER(-LEFT(CH1781,8))),VALUE(MID(CH1781,7,2)),VALUE(MID(CH1781,FIND("-",CH1781,FIND("-",CH1781)+1)+1,FIND("-",CH1781,FIND("-",CH1781,FIND("-",CH1781)+1)+1)-FIND("-",CH1781,FIND("-",CH1781)+1)-1))),""))</f>
        <v/>
      </c>
    </row>
    <row r="1782">
      <c r="CH1782">
        <f>IF(ISTEXT('월 가계부'!A1782),SUBSTITUTE(SUBSTITUTE(SUBSTITUTE(SUBSTITUTE(SUBSTITUTE(SUBSTITUTE(SUBSTITUTE(SUBSTITUTE(SUBSTITUTE(TRIM('월 가계부'!A1782),"년","-"),"월","-"),"일",""),".","-"),"/","-")," ","-"),"--","-"),"--","-"),"--","-")&amp;"-","")</f>
        <v/>
      </c>
      <c r="CI1782">
        <f>IFERROR(IF('월 가계부'!A1782="","",IF(ISNUMBER('월 가계부'!A1782),IF(AND('월 가계부'!A1782&gt;=19000101,'월 가계부'!A1782&lt;=21001231),IF(AND(MOD(INT('월 가계부'!A1782/100),100)&gt;=1,MOD(INT('월 가계부'!A1782/100),100)&lt;=12,MOD(INT('월 가계부'!A1782),100)&gt;=1,MOD(INT('월 가계부'!A1782),100)&lt;=31),IF(MONTH(DATE(INT('월 가계부'!A1782/10000),MOD(INT('월 가계부'!A1782/100),100),MOD(INT('월 가계부'!A1782),100)))=MOD(INT('월 가계부'!A1782/100),100),DATE(INT('월 가계부'!A1782/10000),MOD(INT('월 가계부'!A1782/100),100),MOD(INT('월 가계부'!A1782),100)),""),""),IF(AND('월 가계부'!A1782&gt;=36526,'월 가계부'!A1782&lt;73051),INT('월 가계부'!A1782),"")),IF(OR(CM1782="",CN1782="",CO1782=""),"",IF(AND(CM1782&gt;=2000,CM1782&lt;=2099,CN1782&gt;=1,CN1782&lt;=12,CO1782&gt;=1,CO1782&lt;=31),IF(MONTH(DATE(CM1782,CN1782,CO1782))=CN1782,DATE(CM1782,CN1782,CO1782),""),"")))),"")</f>
        <v/>
      </c>
      <c r="CJ1782">
        <f>IFERROR(IF('월 가계부'!C1782="","",IF(ISNUMBER('월 가계부'!C1782),'월 가계부'!C1782,VALUE(SUBSTITUTE(SUBSTITUTE(SUBSTITUTE(SUBSTITUTE(TRIM('월 가계부'!C1782),",",""),"원","")," ",""),"−","-")))),"")</f>
        <v/>
      </c>
      <c r="CK1782">
        <f>IF(ISNUMBER(CI1782),IF(CI1782&lt;$B$13,CI1782,""),"")</f>
        <v/>
      </c>
      <c r="CM1782">
        <f>IF(CH1782="","",IFERROR(IF(IF(AND(LEN(CH1782)=9,ISERROR(FIND("-",LEFT(CH1782,8))),ISNUMBER(-LEFT(CH1782,8))),VALUE(LEFT(CH1782,4)),VALUE(LEFT(CH1782,FIND("-",CH1782)-1)))&lt;100,IF(AND(LEN(CH1782)=9,ISERROR(FIND("-",LEFT(CH1782,8))),ISNUMBER(-LEFT(CH1782,8))),VALUE(LEFT(CH1782,4)),VALUE(LEFT(CH1782,FIND("-",CH1782)-1)))+2000,IF(AND(LEN(CH1782)=9,ISERROR(FIND("-",LEFT(CH1782,8))),ISNUMBER(-LEFT(CH1782,8))),VALUE(LEFT(CH1782,4)),VALUE(LEFT(CH1782,FIND("-",CH1782)-1)))),""))</f>
        <v/>
      </c>
      <c r="CN1782">
        <f>IF(CH1782="","",IFERROR(IF(AND(LEN(CH1782)=9,ISERROR(FIND("-",LEFT(CH1782,8))),ISNUMBER(-LEFT(CH1782,8))),VALUE(MID(CH1782,5,2)),VALUE(MID(CH1782,FIND("-",CH1782)+1,FIND("-",CH1782,FIND("-",CH1782)+1)-FIND("-",CH1782)-1))),""))</f>
        <v/>
      </c>
      <c r="CO1782">
        <f>IF(CH1782="","",IFERROR(IF(AND(LEN(CH1782)=9,ISERROR(FIND("-",LEFT(CH1782,8))),ISNUMBER(-LEFT(CH1782,8))),VALUE(MID(CH1782,7,2)),VALUE(MID(CH1782,FIND("-",CH1782,FIND("-",CH1782)+1)+1,FIND("-",CH1782,FIND("-",CH1782,FIND("-",CH1782)+1)+1)-FIND("-",CH1782,FIND("-",CH1782)+1)-1))),""))</f>
        <v/>
      </c>
    </row>
    <row r="1783">
      <c r="CH1783">
        <f>IF(ISTEXT('월 가계부'!A1783),SUBSTITUTE(SUBSTITUTE(SUBSTITUTE(SUBSTITUTE(SUBSTITUTE(SUBSTITUTE(SUBSTITUTE(SUBSTITUTE(SUBSTITUTE(TRIM('월 가계부'!A1783),"년","-"),"월","-"),"일",""),".","-"),"/","-")," ","-"),"--","-"),"--","-"),"--","-")&amp;"-","")</f>
        <v/>
      </c>
      <c r="CI1783">
        <f>IFERROR(IF('월 가계부'!A1783="","",IF(ISNUMBER('월 가계부'!A1783),IF(AND('월 가계부'!A1783&gt;=19000101,'월 가계부'!A1783&lt;=21001231),IF(AND(MOD(INT('월 가계부'!A1783/100),100)&gt;=1,MOD(INT('월 가계부'!A1783/100),100)&lt;=12,MOD(INT('월 가계부'!A1783),100)&gt;=1,MOD(INT('월 가계부'!A1783),100)&lt;=31),IF(MONTH(DATE(INT('월 가계부'!A1783/10000),MOD(INT('월 가계부'!A1783/100),100),MOD(INT('월 가계부'!A1783),100)))=MOD(INT('월 가계부'!A1783/100),100),DATE(INT('월 가계부'!A1783/10000),MOD(INT('월 가계부'!A1783/100),100),MOD(INT('월 가계부'!A1783),100)),""),""),IF(AND('월 가계부'!A1783&gt;=36526,'월 가계부'!A1783&lt;73051),INT('월 가계부'!A1783),"")),IF(OR(CM1783="",CN1783="",CO1783=""),"",IF(AND(CM1783&gt;=2000,CM1783&lt;=2099,CN1783&gt;=1,CN1783&lt;=12,CO1783&gt;=1,CO1783&lt;=31),IF(MONTH(DATE(CM1783,CN1783,CO1783))=CN1783,DATE(CM1783,CN1783,CO1783),""),"")))),"")</f>
        <v/>
      </c>
      <c r="CJ1783">
        <f>IFERROR(IF('월 가계부'!C1783="","",IF(ISNUMBER('월 가계부'!C1783),'월 가계부'!C1783,VALUE(SUBSTITUTE(SUBSTITUTE(SUBSTITUTE(SUBSTITUTE(TRIM('월 가계부'!C1783),",",""),"원","")," ",""),"−","-")))),"")</f>
        <v/>
      </c>
      <c r="CK1783">
        <f>IF(ISNUMBER(CI1783),IF(CI1783&lt;$B$13,CI1783,""),"")</f>
        <v/>
      </c>
      <c r="CM1783">
        <f>IF(CH1783="","",IFERROR(IF(IF(AND(LEN(CH1783)=9,ISERROR(FIND("-",LEFT(CH1783,8))),ISNUMBER(-LEFT(CH1783,8))),VALUE(LEFT(CH1783,4)),VALUE(LEFT(CH1783,FIND("-",CH1783)-1)))&lt;100,IF(AND(LEN(CH1783)=9,ISERROR(FIND("-",LEFT(CH1783,8))),ISNUMBER(-LEFT(CH1783,8))),VALUE(LEFT(CH1783,4)),VALUE(LEFT(CH1783,FIND("-",CH1783)-1)))+2000,IF(AND(LEN(CH1783)=9,ISERROR(FIND("-",LEFT(CH1783,8))),ISNUMBER(-LEFT(CH1783,8))),VALUE(LEFT(CH1783,4)),VALUE(LEFT(CH1783,FIND("-",CH1783)-1)))),""))</f>
        <v/>
      </c>
      <c r="CN1783">
        <f>IF(CH1783="","",IFERROR(IF(AND(LEN(CH1783)=9,ISERROR(FIND("-",LEFT(CH1783,8))),ISNUMBER(-LEFT(CH1783,8))),VALUE(MID(CH1783,5,2)),VALUE(MID(CH1783,FIND("-",CH1783)+1,FIND("-",CH1783,FIND("-",CH1783)+1)-FIND("-",CH1783)-1))),""))</f>
        <v/>
      </c>
      <c r="CO1783">
        <f>IF(CH1783="","",IFERROR(IF(AND(LEN(CH1783)=9,ISERROR(FIND("-",LEFT(CH1783,8))),ISNUMBER(-LEFT(CH1783,8))),VALUE(MID(CH1783,7,2)),VALUE(MID(CH1783,FIND("-",CH1783,FIND("-",CH1783)+1)+1,FIND("-",CH1783,FIND("-",CH1783,FIND("-",CH1783)+1)+1)-FIND("-",CH1783,FIND("-",CH1783)+1)-1))),""))</f>
        <v/>
      </c>
    </row>
    <row r="1784">
      <c r="CH1784">
        <f>IF(ISTEXT('월 가계부'!A1784),SUBSTITUTE(SUBSTITUTE(SUBSTITUTE(SUBSTITUTE(SUBSTITUTE(SUBSTITUTE(SUBSTITUTE(SUBSTITUTE(SUBSTITUTE(TRIM('월 가계부'!A1784),"년","-"),"월","-"),"일",""),".","-"),"/","-")," ","-"),"--","-"),"--","-"),"--","-")&amp;"-","")</f>
        <v/>
      </c>
      <c r="CI1784">
        <f>IFERROR(IF('월 가계부'!A1784="","",IF(ISNUMBER('월 가계부'!A1784),IF(AND('월 가계부'!A1784&gt;=19000101,'월 가계부'!A1784&lt;=21001231),IF(AND(MOD(INT('월 가계부'!A1784/100),100)&gt;=1,MOD(INT('월 가계부'!A1784/100),100)&lt;=12,MOD(INT('월 가계부'!A1784),100)&gt;=1,MOD(INT('월 가계부'!A1784),100)&lt;=31),IF(MONTH(DATE(INT('월 가계부'!A1784/10000),MOD(INT('월 가계부'!A1784/100),100),MOD(INT('월 가계부'!A1784),100)))=MOD(INT('월 가계부'!A1784/100),100),DATE(INT('월 가계부'!A1784/10000),MOD(INT('월 가계부'!A1784/100),100),MOD(INT('월 가계부'!A1784),100)),""),""),IF(AND('월 가계부'!A1784&gt;=36526,'월 가계부'!A1784&lt;73051),INT('월 가계부'!A1784),"")),IF(OR(CM1784="",CN1784="",CO1784=""),"",IF(AND(CM1784&gt;=2000,CM1784&lt;=2099,CN1784&gt;=1,CN1784&lt;=12,CO1784&gt;=1,CO1784&lt;=31),IF(MONTH(DATE(CM1784,CN1784,CO1784))=CN1784,DATE(CM1784,CN1784,CO1784),""),"")))),"")</f>
        <v/>
      </c>
      <c r="CJ1784">
        <f>IFERROR(IF('월 가계부'!C1784="","",IF(ISNUMBER('월 가계부'!C1784),'월 가계부'!C1784,VALUE(SUBSTITUTE(SUBSTITUTE(SUBSTITUTE(SUBSTITUTE(TRIM('월 가계부'!C1784),",",""),"원","")," ",""),"−","-")))),"")</f>
        <v/>
      </c>
      <c r="CK1784">
        <f>IF(ISNUMBER(CI1784),IF(CI1784&lt;$B$13,CI1784,""),"")</f>
        <v/>
      </c>
      <c r="CM1784">
        <f>IF(CH1784="","",IFERROR(IF(IF(AND(LEN(CH1784)=9,ISERROR(FIND("-",LEFT(CH1784,8))),ISNUMBER(-LEFT(CH1784,8))),VALUE(LEFT(CH1784,4)),VALUE(LEFT(CH1784,FIND("-",CH1784)-1)))&lt;100,IF(AND(LEN(CH1784)=9,ISERROR(FIND("-",LEFT(CH1784,8))),ISNUMBER(-LEFT(CH1784,8))),VALUE(LEFT(CH1784,4)),VALUE(LEFT(CH1784,FIND("-",CH1784)-1)))+2000,IF(AND(LEN(CH1784)=9,ISERROR(FIND("-",LEFT(CH1784,8))),ISNUMBER(-LEFT(CH1784,8))),VALUE(LEFT(CH1784,4)),VALUE(LEFT(CH1784,FIND("-",CH1784)-1)))),""))</f>
        <v/>
      </c>
      <c r="CN1784">
        <f>IF(CH1784="","",IFERROR(IF(AND(LEN(CH1784)=9,ISERROR(FIND("-",LEFT(CH1784,8))),ISNUMBER(-LEFT(CH1784,8))),VALUE(MID(CH1784,5,2)),VALUE(MID(CH1784,FIND("-",CH1784)+1,FIND("-",CH1784,FIND("-",CH1784)+1)-FIND("-",CH1784)-1))),""))</f>
        <v/>
      </c>
      <c r="CO1784">
        <f>IF(CH1784="","",IFERROR(IF(AND(LEN(CH1784)=9,ISERROR(FIND("-",LEFT(CH1784,8))),ISNUMBER(-LEFT(CH1784,8))),VALUE(MID(CH1784,7,2)),VALUE(MID(CH1784,FIND("-",CH1784,FIND("-",CH1784)+1)+1,FIND("-",CH1784,FIND("-",CH1784,FIND("-",CH1784)+1)+1)-FIND("-",CH1784,FIND("-",CH1784)+1)-1))),""))</f>
        <v/>
      </c>
    </row>
    <row r="1785">
      <c r="CH1785">
        <f>IF(ISTEXT('월 가계부'!A1785),SUBSTITUTE(SUBSTITUTE(SUBSTITUTE(SUBSTITUTE(SUBSTITUTE(SUBSTITUTE(SUBSTITUTE(SUBSTITUTE(SUBSTITUTE(TRIM('월 가계부'!A1785),"년","-"),"월","-"),"일",""),".","-"),"/","-")," ","-"),"--","-"),"--","-"),"--","-")&amp;"-","")</f>
        <v/>
      </c>
      <c r="CI1785">
        <f>IFERROR(IF('월 가계부'!A1785="","",IF(ISNUMBER('월 가계부'!A1785),IF(AND('월 가계부'!A1785&gt;=19000101,'월 가계부'!A1785&lt;=21001231),IF(AND(MOD(INT('월 가계부'!A1785/100),100)&gt;=1,MOD(INT('월 가계부'!A1785/100),100)&lt;=12,MOD(INT('월 가계부'!A1785),100)&gt;=1,MOD(INT('월 가계부'!A1785),100)&lt;=31),IF(MONTH(DATE(INT('월 가계부'!A1785/10000),MOD(INT('월 가계부'!A1785/100),100),MOD(INT('월 가계부'!A1785),100)))=MOD(INT('월 가계부'!A1785/100),100),DATE(INT('월 가계부'!A1785/10000),MOD(INT('월 가계부'!A1785/100),100),MOD(INT('월 가계부'!A1785),100)),""),""),IF(AND('월 가계부'!A1785&gt;=36526,'월 가계부'!A1785&lt;73051),INT('월 가계부'!A1785),"")),IF(OR(CM1785="",CN1785="",CO1785=""),"",IF(AND(CM1785&gt;=2000,CM1785&lt;=2099,CN1785&gt;=1,CN1785&lt;=12,CO1785&gt;=1,CO1785&lt;=31),IF(MONTH(DATE(CM1785,CN1785,CO1785))=CN1785,DATE(CM1785,CN1785,CO1785),""),"")))),"")</f>
        <v/>
      </c>
      <c r="CJ1785">
        <f>IFERROR(IF('월 가계부'!C1785="","",IF(ISNUMBER('월 가계부'!C1785),'월 가계부'!C1785,VALUE(SUBSTITUTE(SUBSTITUTE(SUBSTITUTE(SUBSTITUTE(TRIM('월 가계부'!C1785),",",""),"원","")," ",""),"−","-")))),"")</f>
        <v/>
      </c>
      <c r="CK1785">
        <f>IF(ISNUMBER(CI1785),IF(CI1785&lt;$B$13,CI1785,""),"")</f>
        <v/>
      </c>
      <c r="CM1785">
        <f>IF(CH1785="","",IFERROR(IF(IF(AND(LEN(CH1785)=9,ISERROR(FIND("-",LEFT(CH1785,8))),ISNUMBER(-LEFT(CH1785,8))),VALUE(LEFT(CH1785,4)),VALUE(LEFT(CH1785,FIND("-",CH1785)-1)))&lt;100,IF(AND(LEN(CH1785)=9,ISERROR(FIND("-",LEFT(CH1785,8))),ISNUMBER(-LEFT(CH1785,8))),VALUE(LEFT(CH1785,4)),VALUE(LEFT(CH1785,FIND("-",CH1785)-1)))+2000,IF(AND(LEN(CH1785)=9,ISERROR(FIND("-",LEFT(CH1785,8))),ISNUMBER(-LEFT(CH1785,8))),VALUE(LEFT(CH1785,4)),VALUE(LEFT(CH1785,FIND("-",CH1785)-1)))),""))</f>
        <v/>
      </c>
      <c r="CN1785">
        <f>IF(CH1785="","",IFERROR(IF(AND(LEN(CH1785)=9,ISERROR(FIND("-",LEFT(CH1785,8))),ISNUMBER(-LEFT(CH1785,8))),VALUE(MID(CH1785,5,2)),VALUE(MID(CH1785,FIND("-",CH1785)+1,FIND("-",CH1785,FIND("-",CH1785)+1)-FIND("-",CH1785)-1))),""))</f>
        <v/>
      </c>
      <c r="CO1785">
        <f>IF(CH1785="","",IFERROR(IF(AND(LEN(CH1785)=9,ISERROR(FIND("-",LEFT(CH1785,8))),ISNUMBER(-LEFT(CH1785,8))),VALUE(MID(CH1785,7,2)),VALUE(MID(CH1785,FIND("-",CH1785,FIND("-",CH1785)+1)+1,FIND("-",CH1785,FIND("-",CH1785,FIND("-",CH1785)+1)+1)-FIND("-",CH1785,FIND("-",CH1785)+1)-1))),""))</f>
        <v/>
      </c>
    </row>
    <row r="1786">
      <c r="CH1786">
        <f>IF(ISTEXT('월 가계부'!A1786),SUBSTITUTE(SUBSTITUTE(SUBSTITUTE(SUBSTITUTE(SUBSTITUTE(SUBSTITUTE(SUBSTITUTE(SUBSTITUTE(SUBSTITUTE(TRIM('월 가계부'!A1786),"년","-"),"월","-"),"일",""),".","-"),"/","-")," ","-"),"--","-"),"--","-"),"--","-")&amp;"-","")</f>
        <v/>
      </c>
      <c r="CI1786">
        <f>IFERROR(IF('월 가계부'!A1786="","",IF(ISNUMBER('월 가계부'!A1786),IF(AND('월 가계부'!A1786&gt;=19000101,'월 가계부'!A1786&lt;=21001231),IF(AND(MOD(INT('월 가계부'!A1786/100),100)&gt;=1,MOD(INT('월 가계부'!A1786/100),100)&lt;=12,MOD(INT('월 가계부'!A1786),100)&gt;=1,MOD(INT('월 가계부'!A1786),100)&lt;=31),IF(MONTH(DATE(INT('월 가계부'!A1786/10000),MOD(INT('월 가계부'!A1786/100),100),MOD(INT('월 가계부'!A1786),100)))=MOD(INT('월 가계부'!A1786/100),100),DATE(INT('월 가계부'!A1786/10000),MOD(INT('월 가계부'!A1786/100),100),MOD(INT('월 가계부'!A1786),100)),""),""),IF(AND('월 가계부'!A1786&gt;=36526,'월 가계부'!A1786&lt;73051),INT('월 가계부'!A1786),"")),IF(OR(CM1786="",CN1786="",CO1786=""),"",IF(AND(CM1786&gt;=2000,CM1786&lt;=2099,CN1786&gt;=1,CN1786&lt;=12,CO1786&gt;=1,CO1786&lt;=31),IF(MONTH(DATE(CM1786,CN1786,CO1786))=CN1786,DATE(CM1786,CN1786,CO1786),""),"")))),"")</f>
        <v/>
      </c>
      <c r="CJ1786">
        <f>IFERROR(IF('월 가계부'!C1786="","",IF(ISNUMBER('월 가계부'!C1786),'월 가계부'!C1786,VALUE(SUBSTITUTE(SUBSTITUTE(SUBSTITUTE(SUBSTITUTE(TRIM('월 가계부'!C1786),",",""),"원","")," ",""),"−","-")))),"")</f>
        <v/>
      </c>
      <c r="CK1786">
        <f>IF(ISNUMBER(CI1786),IF(CI1786&lt;$B$13,CI1786,""),"")</f>
        <v/>
      </c>
      <c r="CM1786">
        <f>IF(CH1786="","",IFERROR(IF(IF(AND(LEN(CH1786)=9,ISERROR(FIND("-",LEFT(CH1786,8))),ISNUMBER(-LEFT(CH1786,8))),VALUE(LEFT(CH1786,4)),VALUE(LEFT(CH1786,FIND("-",CH1786)-1)))&lt;100,IF(AND(LEN(CH1786)=9,ISERROR(FIND("-",LEFT(CH1786,8))),ISNUMBER(-LEFT(CH1786,8))),VALUE(LEFT(CH1786,4)),VALUE(LEFT(CH1786,FIND("-",CH1786)-1)))+2000,IF(AND(LEN(CH1786)=9,ISERROR(FIND("-",LEFT(CH1786,8))),ISNUMBER(-LEFT(CH1786,8))),VALUE(LEFT(CH1786,4)),VALUE(LEFT(CH1786,FIND("-",CH1786)-1)))),""))</f>
        <v/>
      </c>
      <c r="CN1786">
        <f>IF(CH1786="","",IFERROR(IF(AND(LEN(CH1786)=9,ISERROR(FIND("-",LEFT(CH1786,8))),ISNUMBER(-LEFT(CH1786,8))),VALUE(MID(CH1786,5,2)),VALUE(MID(CH1786,FIND("-",CH1786)+1,FIND("-",CH1786,FIND("-",CH1786)+1)-FIND("-",CH1786)-1))),""))</f>
        <v/>
      </c>
      <c r="CO1786">
        <f>IF(CH1786="","",IFERROR(IF(AND(LEN(CH1786)=9,ISERROR(FIND("-",LEFT(CH1786,8))),ISNUMBER(-LEFT(CH1786,8))),VALUE(MID(CH1786,7,2)),VALUE(MID(CH1786,FIND("-",CH1786,FIND("-",CH1786)+1)+1,FIND("-",CH1786,FIND("-",CH1786,FIND("-",CH1786)+1)+1)-FIND("-",CH1786,FIND("-",CH1786)+1)-1))),""))</f>
        <v/>
      </c>
    </row>
    <row r="1787">
      <c r="CH1787">
        <f>IF(ISTEXT('월 가계부'!A1787),SUBSTITUTE(SUBSTITUTE(SUBSTITUTE(SUBSTITUTE(SUBSTITUTE(SUBSTITUTE(SUBSTITUTE(SUBSTITUTE(SUBSTITUTE(TRIM('월 가계부'!A1787),"년","-"),"월","-"),"일",""),".","-"),"/","-")," ","-"),"--","-"),"--","-"),"--","-")&amp;"-","")</f>
        <v/>
      </c>
      <c r="CI1787">
        <f>IFERROR(IF('월 가계부'!A1787="","",IF(ISNUMBER('월 가계부'!A1787),IF(AND('월 가계부'!A1787&gt;=19000101,'월 가계부'!A1787&lt;=21001231),IF(AND(MOD(INT('월 가계부'!A1787/100),100)&gt;=1,MOD(INT('월 가계부'!A1787/100),100)&lt;=12,MOD(INT('월 가계부'!A1787),100)&gt;=1,MOD(INT('월 가계부'!A1787),100)&lt;=31),IF(MONTH(DATE(INT('월 가계부'!A1787/10000),MOD(INT('월 가계부'!A1787/100),100),MOD(INT('월 가계부'!A1787),100)))=MOD(INT('월 가계부'!A1787/100),100),DATE(INT('월 가계부'!A1787/10000),MOD(INT('월 가계부'!A1787/100),100),MOD(INT('월 가계부'!A1787),100)),""),""),IF(AND('월 가계부'!A1787&gt;=36526,'월 가계부'!A1787&lt;73051),INT('월 가계부'!A1787),"")),IF(OR(CM1787="",CN1787="",CO1787=""),"",IF(AND(CM1787&gt;=2000,CM1787&lt;=2099,CN1787&gt;=1,CN1787&lt;=12,CO1787&gt;=1,CO1787&lt;=31),IF(MONTH(DATE(CM1787,CN1787,CO1787))=CN1787,DATE(CM1787,CN1787,CO1787),""),"")))),"")</f>
        <v/>
      </c>
      <c r="CJ1787">
        <f>IFERROR(IF('월 가계부'!C1787="","",IF(ISNUMBER('월 가계부'!C1787),'월 가계부'!C1787,VALUE(SUBSTITUTE(SUBSTITUTE(SUBSTITUTE(SUBSTITUTE(TRIM('월 가계부'!C1787),",",""),"원","")," ",""),"−","-")))),"")</f>
        <v/>
      </c>
      <c r="CK1787">
        <f>IF(ISNUMBER(CI1787),IF(CI1787&lt;$B$13,CI1787,""),"")</f>
        <v/>
      </c>
      <c r="CM1787">
        <f>IF(CH1787="","",IFERROR(IF(IF(AND(LEN(CH1787)=9,ISERROR(FIND("-",LEFT(CH1787,8))),ISNUMBER(-LEFT(CH1787,8))),VALUE(LEFT(CH1787,4)),VALUE(LEFT(CH1787,FIND("-",CH1787)-1)))&lt;100,IF(AND(LEN(CH1787)=9,ISERROR(FIND("-",LEFT(CH1787,8))),ISNUMBER(-LEFT(CH1787,8))),VALUE(LEFT(CH1787,4)),VALUE(LEFT(CH1787,FIND("-",CH1787)-1)))+2000,IF(AND(LEN(CH1787)=9,ISERROR(FIND("-",LEFT(CH1787,8))),ISNUMBER(-LEFT(CH1787,8))),VALUE(LEFT(CH1787,4)),VALUE(LEFT(CH1787,FIND("-",CH1787)-1)))),""))</f>
        <v/>
      </c>
      <c r="CN1787">
        <f>IF(CH1787="","",IFERROR(IF(AND(LEN(CH1787)=9,ISERROR(FIND("-",LEFT(CH1787,8))),ISNUMBER(-LEFT(CH1787,8))),VALUE(MID(CH1787,5,2)),VALUE(MID(CH1787,FIND("-",CH1787)+1,FIND("-",CH1787,FIND("-",CH1787)+1)-FIND("-",CH1787)-1))),""))</f>
        <v/>
      </c>
      <c r="CO1787">
        <f>IF(CH1787="","",IFERROR(IF(AND(LEN(CH1787)=9,ISERROR(FIND("-",LEFT(CH1787,8))),ISNUMBER(-LEFT(CH1787,8))),VALUE(MID(CH1787,7,2)),VALUE(MID(CH1787,FIND("-",CH1787,FIND("-",CH1787)+1)+1,FIND("-",CH1787,FIND("-",CH1787,FIND("-",CH1787)+1)+1)-FIND("-",CH1787,FIND("-",CH1787)+1)-1))),""))</f>
        <v/>
      </c>
    </row>
    <row r="1788">
      <c r="CH1788">
        <f>IF(ISTEXT('월 가계부'!A1788),SUBSTITUTE(SUBSTITUTE(SUBSTITUTE(SUBSTITUTE(SUBSTITUTE(SUBSTITUTE(SUBSTITUTE(SUBSTITUTE(SUBSTITUTE(TRIM('월 가계부'!A1788),"년","-"),"월","-"),"일",""),".","-"),"/","-")," ","-"),"--","-"),"--","-"),"--","-")&amp;"-","")</f>
        <v/>
      </c>
      <c r="CI1788">
        <f>IFERROR(IF('월 가계부'!A1788="","",IF(ISNUMBER('월 가계부'!A1788),IF(AND('월 가계부'!A1788&gt;=19000101,'월 가계부'!A1788&lt;=21001231),IF(AND(MOD(INT('월 가계부'!A1788/100),100)&gt;=1,MOD(INT('월 가계부'!A1788/100),100)&lt;=12,MOD(INT('월 가계부'!A1788),100)&gt;=1,MOD(INT('월 가계부'!A1788),100)&lt;=31),IF(MONTH(DATE(INT('월 가계부'!A1788/10000),MOD(INT('월 가계부'!A1788/100),100),MOD(INT('월 가계부'!A1788),100)))=MOD(INT('월 가계부'!A1788/100),100),DATE(INT('월 가계부'!A1788/10000),MOD(INT('월 가계부'!A1788/100),100),MOD(INT('월 가계부'!A1788),100)),""),""),IF(AND('월 가계부'!A1788&gt;=36526,'월 가계부'!A1788&lt;73051),INT('월 가계부'!A1788),"")),IF(OR(CM1788="",CN1788="",CO1788=""),"",IF(AND(CM1788&gt;=2000,CM1788&lt;=2099,CN1788&gt;=1,CN1788&lt;=12,CO1788&gt;=1,CO1788&lt;=31),IF(MONTH(DATE(CM1788,CN1788,CO1788))=CN1788,DATE(CM1788,CN1788,CO1788),""),"")))),"")</f>
        <v/>
      </c>
      <c r="CJ1788">
        <f>IFERROR(IF('월 가계부'!C1788="","",IF(ISNUMBER('월 가계부'!C1788),'월 가계부'!C1788,VALUE(SUBSTITUTE(SUBSTITUTE(SUBSTITUTE(SUBSTITUTE(TRIM('월 가계부'!C1788),",",""),"원","")," ",""),"−","-")))),"")</f>
        <v/>
      </c>
      <c r="CK1788">
        <f>IF(ISNUMBER(CI1788),IF(CI1788&lt;$B$13,CI1788,""),"")</f>
        <v/>
      </c>
      <c r="CM1788">
        <f>IF(CH1788="","",IFERROR(IF(IF(AND(LEN(CH1788)=9,ISERROR(FIND("-",LEFT(CH1788,8))),ISNUMBER(-LEFT(CH1788,8))),VALUE(LEFT(CH1788,4)),VALUE(LEFT(CH1788,FIND("-",CH1788)-1)))&lt;100,IF(AND(LEN(CH1788)=9,ISERROR(FIND("-",LEFT(CH1788,8))),ISNUMBER(-LEFT(CH1788,8))),VALUE(LEFT(CH1788,4)),VALUE(LEFT(CH1788,FIND("-",CH1788)-1)))+2000,IF(AND(LEN(CH1788)=9,ISERROR(FIND("-",LEFT(CH1788,8))),ISNUMBER(-LEFT(CH1788,8))),VALUE(LEFT(CH1788,4)),VALUE(LEFT(CH1788,FIND("-",CH1788)-1)))),""))</f>
        <v/>
      </c>
      <c r="CN1788">
        <f>IF(CH1788="","",IFERROR(IF(AND(LEN(CH1788)=9,ISERROR(FIND("-",LEFT(CH1788,8))),ISNUMBER(-LEFT(CH1788,8))),VALUE(MID(CH1788,5,2)),VALUE(MID(CH1788,FIND("-",CH1788)+1,FIND("-",CH1788,FIND("-",CH1788)+1)-FIND("-",CH1788)-1))),""))</f>
        <v/>
      </c>
      <c r="CO1788">
        <f>IF(CH1788="","",IFERROR(IF(AND(LEN(CH1788)=9,ISERROR(FIND("-",LEFT(CH1788,8))),ISNUMBER(-LEFT(CH1788,8))),VALUE(MID(CH1788,7,2)),VALUE(MID(CH1788,FIND("-",CH1788,FIND("-",CH1788)+1)+1,FIND("-",CH1788,FIND("-",CH1788,FIND("-",CH1788)+1)+1)-FIND("-",CH1788,FIND("-",CH1788)+1)-1))),""))</f>
        <v/>
      </c>
    </row>
    <row r="1789">
      <c r="CH1789">
        <f>IF(ISTEXT('월 가계부'!A1789),SUBSTITUTE(SUBSTITUTE(SUBSTITUTE(SUBSTITUTE(SUBSTITUTE(SUBSTITUTE(SUBSTITUTE(SUBSTITUTE(SUBSTITUTE(TRIM('월 가계부'!A1789),"년","-"),"월","-"),"일",""),".","-"),"/","-")," ","-"),"--","-"),"--","-"),"--","-")&amp;"-","")</f>
        <v/>
      </c>
      <c r="CI1789">
        <f>IFERROR(IF('월 가계부'!A1789="","",IF(ISNUMBER('월 가계부'!A1789),IF(AND('월 가계부'!A1789&gt;=19000101,'월 가계부'!A1789&lt;=21001231),IF(AND(MOD(INT('월 가계부'!A1789/100),100)&gt;=1,MOD(INT('월 가계부'!A1789/100),100)&lt;=12,MOD(INT('월 가계부'!A1789),100)&gt;=1,MOD(INT('월 가계부'!A1789),100)&lt;=31),IF(MONTH(DATE(INT('월 가계부'!A1789/10000),MOD(INT('월 가계부'!A1789/100),100),MOD(INT('월 가계부'!A1789),100)))=MOD(INT('월 가계부'!A1789/100),100),DATE(INT('월 가계부'!A1789/10000),MOD(INT('월 가계부'!A1789/100),100),MOD(INT('월 가계부'!A1789),100)),""),""),IF(AND('월 가계부'!A1789&gt;=36526,'월 가계부'!A1789&lt;73051),INT('월 가계부'!A1789),"")),IF(OR(CM1789="",CN1789="",CO1789=""),"",IF(AND(CM1789&gt;=2000,CM1789&lt;=2099,CN1789&gt;=1,CN1789&lt;=12,CO1789&gt;=1,CO1789&lt;=31),IF(MONTH(DATE(CM1789,CN1789,CO1789))=CN1789,DATE(CM1789,CN1789,CO1789),""),"")))),"")</f>
        <v/>
      </c>
      <c r="CJ1789">
        <f>IFERROR(IF('월 가계부'!C1789="","",IF(ISNUMBER('월 가계부'!C1789),'월 가계부'!C1789,VALUE(SUBSTITUTE(SUBSTITUTE(SUBSTITUTE(SUBSTITUTE(TRIM('월 가계부'!C1789),",",""),"원","")," ",""),"−","-")))),"")</f>
        <v/>
      </c>
      <c r="CK1789">
        <f>IF(ISNUMBER(CI1789),IF(CI1789&lt;$B$13,CI1789,""),"")</f>
        <v/>
      </c>
      <c r="CM1789">
        <f>IF(CH1789="","",IFERROR(IF(IF(AND(LEN(CH1789)=9,ISERROR(FIND("-",LEFT(CH1789,8))),ISNUMBER(-LEFT(CH1789,8))),VALUE(LEFT(CH1789,4)),VALUE(LEFT(CH1789,FIND("-",CH1789)-1)))&lt;100,IF(AND(LEN(CH1789)=9,ISERROR(FIND("-",LEFT(CH1789,8))),ISNUMBER(-LEFT(CH1789,8))),VALUE(LEFT(CH1789,4)),VALUE(LEFT(CH1789,FIND("-",CH1789)-1)))+2000,IF(AND(LEN(CH1789)=9,ISERROR(FIND("-",LEFT(CH1789,8))),ISNUMBER(-LEFT(CH1789,8))),VALUE(LEFT(CH1789,4)),VALUE(LEFT(CH1789,FIND("-",CH1789)-1)))),""))</f>
        <v/>
      </c>
      <c r="CN1789">
        <f>IF(CH1789="","",IFERROR(IF(AND(LEN(CH1789)=9,ISERROR(FIND("-",LEFT(CH1789,8))),ISNUMBER(-LEFT(CH1789,8))),VALUE(MID(CH1789,5,2)),VALUE(MID(CH1789,FIND("-",CH1789)+1,FIND("-",CH1789,FIND("-",CH1789)+1)-FIND("-",CH1789)-1))),""))</f>
        <v/>
      </c>
      <c r="CO1789">
        <f>IF(CH1789="","",IFERROR(IF(AND(LEN(CH1789)=9,ISERROR(FIND("-",LEFT(CH1789,8))),ISNUMBER(-LEFT(CH1789,8))),VALUE(MID(CH1789,7,2)),VALUE(MID(CH1789,FIND("-",CH1789,FIND("-",CH1789)+1)+1,FIND("-",CH1789,FIND("-",CH1789,FIND("-",CH1789)+1)+1)-FIND("-",CH1789,FIND("-",CH1789)+1)-1))),""))</f>
        <v/>
      </c>
    </row>
    <row r="1790">
      <c r="CH1790">
        <f>IF(ISTEXT('월 가계부'!A1790),SUBSTITUTE(SUBSTITUTE(SUBSTITUTE(SUBSTITUTE(SUBSTITUTE(SUBSTITUTE(SUBSTITUTE(SUBSTITUTE(SUBSTITUTE(TRIM('월 가계부'!A1790),"년","-"),"월","-"),"일",""),".","-"),"/","-")," ","-"),"--","-"),"--","-"),"--","-")&amp;"-","")</f>
        <v/>
      </c>
      <c r="CI1790">
        <f>IFERROR(IF('월 가계부'!A1790="","",IF(ISNUMBER('월 가계부'!A1790),IF(AND('월 가계부'!A1790&gt;=19000101,'월 가계부'!A1790&lt;=21001231),IF(AND(MOD(INT('월 가계부'!A1790/100),100)&gt;=1,MOD(INT('월 가계부'!A1790/100),100)&lt;=12,MOD(INT('월 가계부'!A1790),100)&gt;=1,MOD(INT('월 가계부'!A1790),100)&lt;=31),IF(MONTH(DATE(INT('월 가계부'!A1790/10000),MOD(INT('월 가계부'!A1790/100),100),MOD(INT('월 가계부'!A1790),100)))=MOD(INT('월 가계부'!A1790/100),100),DATE(INT('월 가계부'!A1790/10000),MOD(INT('월 가계부'!A1790/100),100),MOD(INT('월 가계부'!A1790),100)),""),""),IF(AND('월 가계부'!A1790&gt;=36526,'월 가계부'!A1790&lt;73051),INT('월 가계부'!A1790),"")),IF(OR(CM1790="",CN1790="",CO1790=""),"",IF(AND(CM1790&gt;=2000,CM1790&lt;=2099,CN1790&gt;=1,CN1790&lt;=12,CO1790&gt;=1,CO1790&lt;=31),IF(MONTH(DATE(CM1790,CN1790,CO1790))=CN1790,DATE(CM1790,CN1790,CO1790),""),"")))),"")</f>
        <v/>
      </c>
      <c r="CJ1790">
        <f>IFERROR(IF('월 가계부'!C1790="","",IF(ISNUMBER('월 가계부'!C1790),'월 가계부'!C1790,VALUE(SUBSTITUTE(SUBSTITUTE(SUBSTITUTE(SUBSTITUTE(TRIM('월 가계부'!C1790),",",""),"원","")," ",""),"−","-")))),"")</f>
        <v/>
      </c>
      <c r="CK1790">
        <f>IF(ISNUMBER(CI1790),IF(CI1790&lt;$B$13,CI1790,""),"")</f>
        <v/>
      </c>
      <c r="CM1790">
        <f>IF(CH1790="","",IFERROR(IF(IF(AND(LEN(CH1790)=9,ISERROR(FIND("-",LEFT(CH1790,8))),ISNUMBER(-LEFT(CH1790,8))),VALUE(LEFT(CH1790,4)),VALUE(LEFT(CH1790,FIND("-",CH1790)-1)))&lt;100,IF(AND(LEN(CH1790)=9,ISERROR(FIND("-",LEFT(CH1790,8))),ISNUMBER(-LEFT(CH1790,8))),VALUE(LEFT(CH1790,4)),VALUE(LEFT(CH1790,FIND("-",CH1790)-1)))+2000,IF(AND(LEN(CH1790)=9,ISERROR(FIND("-",LEFT(CH1790,8))),ISNUMBER(-LEFT(CH1790,8))),VALUE(LEFT(CH1790,4)),VALUE(LEFT(CH1790,FIND("-",CH1790)-1)))),""))</f>
        <v/>
      </c>
      <c r="CN1790">
        <f>IF(CH1790="","",IFERROR(IF(AND(LEN(CH1790)=9,ISERROR(FIND("-",LEFT(CH1790,8))),ISNUMBER(-LEFT(CH1790,8))),VALUE(MID(CH1790,5,2)),VALUE(MID(CH1790,FIND("-",CH1790)+1,FIND("-",CH1790,FIND("-",CH1790)+1)-FIND("-",CH1790)-1))),""))</f>
        <v/>
      </c>
      <c r="CO1790">
        <f>IF(CH1790="","",IFERROR(IF(AND(LEN(CH1790)=9,ISERROR(FIND("-",LEFT(CH1790,8))),ISNUMBER(-LEFT(CH1790,8))),VALUE(MID(CH1790,7,2)),VALUE(MID(CH1790,FIND("-",CH1790,FIND("-",CH1790)+1)+1,FIND("-",CH1790,FIND("-",CH1790,FIND("-",CH1790)+1)+1)-FIND("-",CH1790,FIND("-",CH1790)+1)-1))),""))</f>
        <v/>
      </c>
    </row>
    <row r="1791">
      <c r="CH1791">
        <f>IF(ISTEXT('월 가계부'!A1791),SUBSTITUTE(SUBSTITUTE(SUBSTITUTE(SUBSTITUTE(SUBSTITUTE(SUBSTITUTE(SUBSTITUTE(SUBSTITUTE(SUBSTITUTE(TRIM('월 가계부'!A1791),"년","-"),"월","-"),"일",""),".","-"),"/","-")," ","-"),"--","-"),"--","-"),"--","-")&amp;"-","")</f>
        <v/>
      </c>
      <c r="CI1791">
        <f>IFERROR(IF('월 가계부'!A1791="","",IF(ISNUMBER('월 가계부'!A1791),IF(AND('월 가계부'!A1791&gt;=19000101,'월 가계부'!A1791&lt;=21001231),IF(AND(MOD(INT('월 가계부'!A1791/100),100)&gt;=1,MOD(INT('월 가계부'!A1791/100),100)&lt;=12,MOD(INT('월 가계부'!A1791),100)&gt;=1,MOD(INT('월 가계부'!A1791),100)&lt;=31),IF(MONTH(DATE(INT('월 가계부'!A1791/10000),MOD(INT('월 가계부'!A1791/100),100),MOD(INT('월 가계부'!A1791),100)))=MOD(INT('월 가계부'!A1791/100),100),DATE(INT('월 가계부'!A1791/10000),MOD(INT('월 가계부'!A1791/100),100),MOD(INT('월 가계부'!A1791),100)),""),""),IF(AND('월 가계부'!A1791&gt;=36526,'월 가계부'!A1791&lt;73051),INT('월 가계부'!A1791),"")),IF(OR(CM1791="",CN1791="",CO1791=""),"",IF(AND(CM1791&gt;=2000,CM1791&lt;=2099,CN1791&gt;=1,CN1791&lt;=12,CO1791&gt;=1,CO1791&lt;=31),IF(MONTH(DATE(CM1791,CN1791,CO1791))=CN1791,DATE(CM1791,CN1791,CO1791),""),"")))),"")</f>
        <v/>
      </c>
      <c r="CJ1791">
        <f>IFERROR(IF('월 가계부'!C1791="","",IF(ISNUMBER('월 가계부'!C1791),'월 가계부'!C1791,VALUE(SUBSTITUTE(SUBSTITUTE(SUBSTITUTE(SUBSTITUTE(TRIM('월 가계부'!C1791),",",""),"원","")," ",""),"−","-")))),"")</f>
        <v/>
      </c>
      <c r="CK1791">
        <f>IF(ISNUMBER(CI1791),IF(CI1791&lt;$B$13,CI1791,""),"")</f>
        <v/>
      </c>
      <c r="CM1791">
        <f>IF(CH1791="","",IFERROR(IF(IF(AND(LEN(CH1791)=9,ISERROR(FIND("-",LEFT(CH1791,8))),ISNUMBER(-LEFT(CH1791,8))),VALUE(LEFT(CH1791,4)),VALUE(LEFT(CH1791,FIND("-",CH1791)-1)))&lt;100,IF(AND(LEN(CH1791)=9,ISERROR(FIND("-",LEFT(CH1791,8))),ISNUMBER(-LEFT(CH1791,8))),VALUE(LEFT(CH1791,4)),VALUE(LEFT(CH1791,FIND("-",CH1791)-1)))+2000,IF(AND(LEN(CH1791)=9,ISERROR(FIND("-",LEFT(CH1791,8))),ISNUMBER(-LEFT(CH1791,8))),VALUE(LEFT(CH1791,4)),VALUE(LEFT(CH1791,FIND("-",CH1791)-1)))),""))</f>
        <v/>
      </c>
      <c r="CN1791">
        <f>IF(CH1791="","",IFERROR(IF(AND(LEN(CH1791)=9,ISERROR(FIND("-",LEFT(CH1791,8))),ISNUMBER(-LEFT(CH1791,8))),VALUE(MID(CH1791,5,2)),VALUE(MID(CH1791,FIND("-",CH1791)+1,FIND("-",CH1791,FIND("-",CH1791)+1)-FIND("-",CH1791)-1))),""))</f>
        <v/>
      </c>
      <c r="CO1791">
        <f>IF(CH1791="","",IFERROR(IF(AND(LEN(CH1791)=9,ISERROR(FIND("-",LEFT(CH1791,8))),ISNUMBER(-LEFT(CH1791,8))),VALUE(MID(CH1791,7,2)),VALUE(MID(CH1791,FIND("-",CH1791,FIND("-",CH1791)+1)+1,FIND("-",CH1791,FIND("-",CH1791,FIND("-",CH1791)+1)+1)-FIND("-",CH1791,FIND("-",CH1791)+1)-1))),""))</f>
        <v/>
      </c>
    </row>
    <row r="1792">
      <c r="CH1792">
        <f>IF(ISTEXT('월 가계부'!A1792),SUBSTITUTE(SUBSTITUTE(SUBSTITUTE(SUBSTITUTE(SUBSTITUTE(SUBSTITUTE(SUBSTITUTE(SUBSTITUTE(SUBSTITUTE(TRIM('월 가계부'!A1792),"년","-"),"월","-"),"일",""),".","-"),"/","-")," ","-"),"--","-"),"--","-"),"--","-")&amp;"-","")</f>
        <v/>
      </c>
      <c r="CI1792">
        <f>IFERROR(IF('월 가계부'!A1792="","",IF(ISNUMBER('월 가계부'!A1792),IF(AND('월 가계부'!A1792&gt;=19000101,'월 가계부'!A1792&lt;=21001231),IF(AND(MOD(INT('월 가계부'!A1792/100),100)&gt;=1,MOD(INT('월 가계부'!A1792/100),100)&lt;=12,MOD(INT('월 가계부'!A1792),100)&gt;=1,MOD(INT('월 가계부'!A1792),100)&lt;=31),IF(MONTH(DATE(INT('월 가계부'!A1792/10000),MOD(INT('월 가계부'!A1792/100),100),MOD(INT('월 가계부'!A1792),100)))=MOD(INT('월 가계부'!A1792/100),100),DATE(INT('월 가계부'!A1792/10000),MOD(INT('월 가계부'!A1792/100),100),MOD(INT('월 가계부'!A1792),100)),""),""),IF(AND('월 가계부'!A1792&gt;=36526,'월 가계부'!A1792&lt;73051),INT('월 가계부'!A1792),"")),IF(OR(CM1792="",CN1792="",CO1792=""),"",IF(AND(CM1792&gt;=2000,CM1792&lt;=2099,CN1792&gt;=1,CN1792&lt;=12,CO1792&gt;=1,CO1792&lt;=31),IF(MONTH(DATE(CM1792,CN1792,CO1792))=CN1792,DATE(CM1792,CN1792,CO1792),""),"")))),"")</f>
        <v/>
      </c>
      <c r="CJ1792">
        <f>IFERROR(IF('월 가계부'!C1792="","",IF(ISNUMBER('월 가계부'!C1792),'월 가계부'!C1792,VALUE(SUBSTITUTE(SUBSTITUTE(SUBSTITUTE(SUBSTITUTE(TRIM('월 가계부'!C1792),",",""),"원","")," ",""),"−","-")))),"")</f>
        <v/>
      </c>
      <c r="CK1792">
        <f>IF(ISNUMBER(CI1792),IF(CI1792&lt;$B$13,CI1792,""),"")</f>
        <v/>
      </c>
      <c r="CM1792">
        <f>IF(CH1792="","",IFERROR(IF(IF(AND(LEN(CH1792)=9,ISERROR(FIND("-",LEFT(CH1792,8))),ISNUMBER(-LEFT(CH1792,8))),VALUE(LEFT(CH1792,4)),VALUE(LEFT(CH1792,FIND("-",CH1792)-1)))&lt;100,IF(AND(LEN(CH1792)=9,ISERROR(FIND("-",LEFT(CH1792,8))),ISNUMBER(-LEFT(CH1792,8))),VALUE(LEFT(CH1792,4)),VALUE(LEFT(CH1792,FIND("-",CH1792)-1)))+2000,IF(AND(LEN(CH1792)=9,ISERROR(FIND("-",LEFT(CH1792,8))),ISNUMBER(-LEFT(CH1792,8))),VALUE(LEFT(CH1792,4)),VALUE(LEFT(CH1792,FIND("-",CH1792)-1)))),""))</f>
        <v/>
      </c>
      <c r="CN1792">
        <f>IF(CH1792="","",IFERROR(IF(AND(LEN(CH1792)=9,ISERROR(FIND("-",LEFT(CH1792,8))),ISNUMBER(-LEFT(CH1792,8))),VALUE(MID(CH1792,5,2)),VALUE(MID(CH1792,FIND("-",CH1792)+1,FIND("-",CH1792,FIND("-",CH1792)+1)-FIND("-",CH1792)-1))),""))</f>
        <v/>
      </c>
      <c r="CO1792">
        <f>IF(CH1792="","",IFERROR(IF(AND(LEN(CH1792)=9,ISERROR(FIND("-",LEFT(CH1792,8))),ISNUMBER(-LEFT(CH1792,8))),VALUE(MID(CH1792,7,2)),VALUE(MID(CH1792,FIND("-",CH1792,FIND("-",CH1792)+1)+1,FIND("-",CH1792,FIND("-",CH1792,FIND("-",CH1792)+1)+1)-FIND("-",CH1792,FIND("-",CH1792)+1)-1))),""))</f>
        <v/>
      </c>
    </row>
    <row r="1793">
      <c r="CH1793">
        <f>IF(ISTEXT('월 가계부'!A1793),SUBSTITUTE(SUBSTITUTE(SUBSTITUTE(SUBSTITUTE(SUBSTITUTE(SUBSTITUTE(SUBSTITUTE(SUBSTITUTE(SUBSTITUTE(TRIM('월 가계부'!A1793),"년","-"),"월","-"),"일",""),".","-"),"/","-")," ","-"),"--","-"),"--","-"),"--","-")&amp;"-","")</f>
        <v/>
      </c>
      <c r="CI1793">
        <f>IFERROR(IF('월 가계부'!A1793="","",IF(ISNUMBER('월 가계부'!A1793),IF(AND('월 가계부'!A1793&gt;=19000101,'월 가계부'!A1793&lt;=21001231),IF(AND(MOD(INT('월 가계부'!A1793/100),100)&gt;=1,MOD(INT('월 가계부'!A1793/100),100)&lt;=12,MOD(INT('월 가계부'!A1793),100)&gt;=1,MOD(INT('월 가계부'!A1793),100)&lt;=31),IF(MONTH(DATE(INT('월 가계부'!A1793/10000),MOD(INT('월 가계부'!A1793/100),100),MOD(INT('월 가계부'!A1793),100)))=MOD(INT('월 가계부'!A1793/100),100),DATE(INT('월 가계부'!A1793/10000),MOD(INT('월 가계부'!A1793/100),100),MOD(INT('월 가계부'!A1793),100)),""),""),IF(AND('월 가계부'!A1793&gt;=36526,'월 가계부'!A1793&lt;73051),INT('월 가계부'!A1793),"")),IF(OR(CM1793="",CN1793="",CO1793=""),"",IF(AND(CM1793&gt;=2000,CM1793&lt;=2099,CN1793&gt;=1,CN1793&lt;=12,CO1793&gt;=1,CO1793&lt;=31),IF(MONTH(DATE(CM1793,CN1793,CO1793))=CN1793,DATE(CM1793,CN1793,CO1793),""),"")))),"")</f>
        <v/>
      </c>
      <c r="CJ1793">
        <f>IFERROR(IF('월 가계부'!C1793="","",IF(ISNUMBER('월 가계부'!C1793),'월 가계부'!C1793,VALUE(SUBSTITUTE(SUBSTITUTE(SUBSTITUTE(SUBSTITUTE(TRIM('월 가계부'!C1793),",",""),"원","")," ",""),"−","-")))),"")</f>
        <v/>
      </c>
      <c r="CK1793">
        <f>IF(ISNUMBER(CI1793),IF(CI1793&lt;$B$13,CI1793,""),"")</f>
        <v/>
      </c>
      <c r="CM1793">
        <f>IF(CH1793="","",IFERROR(IF(IF(AND(LEN(CH1793)=9,ISERROR(FIND("-",LEFT(CH1793,8))),ISNUMBER(-LEFT(CH1793,8))),VALUE(LEFT(CH1793,4)),VALUE(LEFT(CH1793,FIND("-",CH1793)-1)))&lt;100,IF(AND(LEN(CH1793)=9,ISERROR(FIND("-",LEFT(CH1793,8))),ISNUMBER(-LEFT(CH1793,8))),VALUE(LEFT(CH1793,4)),VALUE(LEFT(CH1793,FIND("-",CH1793)-1)))+2000,IF(AND(LEN(CH1793)=9,ISERROR(FIND("-",LEFT(CH1793,8))),ISNUMBER(-LEFT(CH1793,8))),VALUE(LEFT(CH1793,4)),VALUE(LEFT(CH1793,FIND("-",CH1793)-1)))),""))</f>
        <v/>
      </c>
      <c r="CN1793">
        <f>IF(CH1793="","",IFERROR(IF(AND(LEN(CH1793)=9,ISERROR(FIND("-",LEFT(CH1793,8))),ISNUMBER(-LEFT(CH1793,8))),VALUE(MID(CH1793,5,2)),VALUE(MID(CH1793,FIND("-",CH1793)+1,FIND("-",CH1793,FIND("-",CH1793)+1)-FIND("-",CH1793)-1))),""))</f>
        <v/>
      </c>
      <c r="CO1793">
        <f>IF(CH1793="","",IFERROR(IF(AND(LEN(CH1793)=9,ISERROR(FIND("-",LEFT(CH1793,8))),ISNUMBER(-LEFT(CH1793,8))),VALUE(MID(CH1793,7,2)),VALUE(MID(CH1793,FIND("-",CH1793,FIND("-",CH1793)+1)+1,FIND("-",CH1793,FIND("-",CH1793,FIND("-",CH1793)+1)+1)-FIND("-",CH1793,FIND("-",CH1793)+1)-1))),""))</f>
        <v/>
      </c>
    </row>
    <row r="1794">
      <c r="CH1794">
        <f>IF(ISTEXT('월 가계부'!A1794),SUBSTITUTE(SUBSTITUTE(SUBSTITUTE(SUBSTITUTE(SUBSTITUTE(SUBSTITUTE(SUBSTITUTE(SUBSTITUTE(SUBSTITUTE(TRIM('월 가계부'!A1794),"년","-"),"월","-"),"일",""),".","-"),"/","-")," ","-"),"--","-"),"--","-"),"--","-")&amp;"-","")</f>
        <v/>
      </c>
      <c r="CI1794">
        <f>IFERROR(IF('월 가계부'!A1794="","",IF(ISNUMBER('월 가계부'!A1794),IF(AND('월 가계부'!A1794&gt;=19000101,'월 가계부'!A1794&lt;=21001231),IF(AND(MOD(INT('월 가계부'!A1794/100),100)&gt;=1,MOD(INT('월 가계부'!A1794/100),100)&lt;=12,MOD(INT('월 가계부'!A1794),100)&gt;=1,MOD(INT('월 가계부'!A1794),100)&lt;=31),IF(MONTH(DATE(INT('월 가계부'!A1794/10000),MOD(INT('월 가계부'!A1794/100),100),MOD(INT('월 가계부'!A1794),100)))=MOD(INT('월 가계부'!A1794/100),100),DATE(INT('월 가계부'!A1794/10000),MOD(INT('월 가계부'!A1794/100),100),MOD(INT('월 가계부'!A1794),100)),""),""),IF(AND('월 가계부'!A1794&gt;=36526,'월 가계부'!A1794&lt;73051),INT('월 가계부'!A1794),"")),IF(OR(CM1794="",CN1794="",CO1794=""),"",IF(AND(CM1794&gt;=2000,CM1794&lt;=2099,CN1794&gt;=1,CN1794&lt;=12,CO1794&gt;=1,CO1794&lt;=31),IF(MONTH(DATE(CM1794,CN1794,CO1794))=CN1794,DATE(CM1794,CN1794,CO1794),""),"")))),"")</f>
        <v/>
      </c>
      <c r="CJ1794">
        <f>IFERROR(IF('월 가계부'!C1794="","",IF(ISNUMBER('월 가계부'!C1794),'월 가계부'!C1794,VALUE(SUBSTITUTE(SUBSTITUTE(SUBSTITUTE(SUBSTITUTE(TRIM('월 가계부'!C1794),",",""),"원","")," ",""),"−","-")))),"")</f>
        <v/>
      </c>
      <c r="CK1794">
        <f>IF(ISNUMBER(CI1794),IF(CI1794&lt;$B$13,CI1794,""),"")</f>
        <v/>
      </c>
      <c r="CM1794">
        <f>IF(CH1794="","",IFERROR(IF(IF(AND(LEN(CH1794)=9,ISERROR(FIND("-",LEFT(CH1794,8))),ISNUMBER(-LEFT(CH1794,8))),VALUE(LEFT(CH1794,4)),VALUE(LEFT(CH1794,FIND("-",CH1794)-1)))&lt;100,IF(AND(LEN(CH1794)=9,ISERROR(FIND("-",LEFT(CH1794,8))),ISNUMBER(-LEFT(CH1794,8))),VALUE(LEFT(CH1794,4)),VALUE(LEFT(CH1794,FIND("-",CH1794)-1)))+2000,IF(AND(LEN(CH1794)=9,ISERROR(FIND("-",LEFT(CH1794,8))),ISNUMBER(-LEFT(CH1794,8))),VALUE(LEFT(CH1794,4)),VALUE(LEFT(CH1794,FIND("-",CH1794)-1)))),""))</f>
        <v/>
      </c>
      <c r="CN1794">
        <f>IF(CH1794="","",IFERROR(IF(AND(LEN(CH1794)=9,ISERROR(FIND("-",LEFT(CH1794,8))),ISNUMBER(-LEFT(CH1794,8))),VALUE(MID(CH1794,5,2)),VALUE(MID(CH1794,FIND("-",CH1794)+1,FIND("-",CH1794,FIND("-",CH1794)+1)-FIND("-",CH1794)-1))),""))</f>
        <v/>
      </c>
      <c r="CO1794">
        <f>IF(CH1794="","",IFERROR(IF(AND(LEN(CH1794)=9,ISERROR(FIND("-",LEFT(CH1794,8))),ISNUMBER(-LEFT(CH1794,8))),VALUE(MID(CH1794,7,2)),VALUE(MID(CH1794,FIND("-",CH1794,FIND("-",CH1794)+1)+1,FIND("-",CH1794,FIND("-",CH1794,FIND("-",CH1794)+1)+1)-FIND("-",CH1794,FIND("-",CH1794)+1)-1))),""))</f>
        <v/>
      </c>
    </row>
    <row r="1795">
      <c r="CH1795">
        <f>IF(ISTEXT('월 가계부'!A1795),SUBSTITUTE(SUBSTITUTE(SUBSTITUTE(SUBSTITUTE(SUBSTITUTE(SUBSTITUTE(SUBSTITUTE(SUBSTITUTE(SUBSTITUTE(TRIM('월 가계부'!A1795),"년","-"),"월","-"),"일",""),".","-"),"/","-")," ","-"),"--","-"),"--","-"),"--","-")&amp;"-","")</f>
        <v/>
      </c>
      <c r="CI1795">
        <f>IFERROR(IF('월 가계부'!A1795="","",IF(ISNUMBER('월 가계부'!A1795),IF(AND('월 가계부'!A1795&gt;=19000101,'월 가계부'!A1795&lt;=21001231),IF(AND(MOD(INT('월 가계부'!A1795/100),100)&gt;=1,MOD(INT('월 가계부'!A1795/100),100)&lt;=12,MOD(INT('월 가계부'!A1795),100)&gt;=1,MOD(INT('월 가계부'!A1795),100)&lt;=31),IF(MONTH(DATE(INT('월 가계부'!A1795/10000),MOD(INT('월 가계부'!A1795/100),100),MOD(INT('월 가계부'!A1795),100)))=MOD(INT('월 가계부'!A1795/100),100),DATE(INT('월 가계부'!A1795/10000),MOD(INT('월 가계부'!A1795/100),100),MOD(INT('월 가계부'!A1795),100)),""),""),IF(AND('월 가계부'!A1795&gt;=36526,'월 가계부'!A1795&lt;73051),INT('월 가계부'!A1795),"")),IF(OR(CM1795="",CN1795="",CO1795=""),"",IF(AND(CM1795&gt;=2000,CM1795&lt;=2099,CN1795&gt;=1,CN1795&lt;=12,CO1795&gt;=1,CO1795&lt;=31),IF(MONTH(DATE(CM1795,CN1795,CO1795))=CN1795,DATE(CM1795,CN1795,CO1795),""),"")))),"")</f>
        <v/>
      </c>
      <c r="CJ1795">
        <f>IFERROR(IF('월 가계부'!C1795="","",IF(ISNUMBER('월 가계부'!C1795),'월 가계부'!C1795,VALUE(SUBSTITUTE(SUBSTITUTE(SUBSTITUTE(SUBSTITUTE(TRIM('월 가계부'!C1795),",",""),"원","")," ",""),"−","-")))),"")</f>
        <v/>
      </c>
      <c r="CK1795">
        <f>IF(ISNUMBER(CI1795),IF(CI1795&lt;$B$13,CI1795,""),"")</f>
        <v/>
      </c>
      <c r="CM1795">
        <f>IF(CH1795="","",IFERROR(IF(IF(AND(LEN(CH1795)=9,ISERROR(FIND("-",LEFT(CH1795,8))),ISNUMBER(-LEFT(CH1795,8))),VALUE(LEFT(CH1795,4)),VALUE(LEFT(CH1795,FIND("-",CH1795)-1)))&lt;100,IF(AND(LEN(CH1795)=9,ISERROR(FIND("-",LEFT(CH1795,8))),ISNUMBER(-LEFT(CH1795,8))),VALUE(LEFT(CH1795,4)),VALUE(LEFT(CH1795,FIND("-",CH1795)-1)))+2000,IF(AND(LEN(CH1795)=9,ISERROR(FIND("-",LEFT(CH1795,8))),ISNUMBER(-LEFT(CH1795,8))),VALUE(LEFT(CH1795,4)),VALUE(LEFT(CH1795,FIND("-",CH1795)-1)))),""))</f>
        <v/>
      </c>
      <c r="CN1795">
        <f>IF(CH1795="","",IFERROR(IF(AND(LEN(CH1795)=9,ISERROR(FIND("-",LEFT(CH1795,8))),ISNUMBER(-LEFT(CH1795,8))),VALUE(MID(CH1795,5,2)),VALUE(MID(CH1795,FIND("-",CH1795)+1,FIND("-",CH1795,FIND("-",CH1795)+1)-FIND("-",CH1795)-1))),""))</f>
        <v/>
      </c>
      <c r="CO1795">
        <f>IF(CH1795="","",IFERROR(IF(AND(LEN(CH1795)=9,ISERROR(FIND("-",LEFT(CH1795,8))),ISNUMBER(-LEFT(CH1795,8))),VALUE(MID(CH1795,7,2)),VALUE(MID(CH1795,FIND("-",CH1795,FIND("-",CH1795)+1)+1,FIND("-",CH1795,FIND("-",CH1795,FIND("-",CH1795)+1)+1)-FIND("-",CH1795,FIND("-",CH1795)+1)-1))),""))</f>
        <v/>
      </c>
    </row>
    <row r="1796">
      <c r="CH1796">
        <f>IF(ISTEXT('월 가계부'!A1796),SUBSTITUTE(SUBSTITUTE(SUBSTITUTE(SUBSTITUTE(SUBSTITUTE(SUBSTITUTE(SUBSTITUTE(SUBSTITUTE(SUBSTITUTE(TRIM('월 가계부'!A1796),"년","-"),"월","-"),"일",""),".","-"),"/","-")," ","-"),"--","-"),"--","-"),"--","-")&amp;"-","")</f>
        <v/>
      </c>
      <c r="CI1796">
        <f>IFERROR(IF('월 가계부'!A1796="","",IF(ISNUMBER('월 가계부'!A1796),IF(AND('월 가계부'!A1796&gt;=19000101,'월 가계부'!A1796&lt;=21001231),IF(AND(MOD(INT('월 가계부'!A1796/100),100)&gt;=1,MOD(INT('월 가계부'!A1796/100),100)&lt;=12,MOD(INT('월 가계부'!A1796),100)&gt;=1,MOD(INT('월 가계부'!A1796),100)&lt;=31),IF(MONTH(DATE(INT('월 가계부'!A1796/10000),MOD(INT('월 가계부'!A1796/100),100),MOD(INT('월 가계부'!A1796),100)))=MOD(INT('월 가계부'!A1796/100),100),DATE(INT('월 가계부'!A1796/10000),MOD(INT('월 가계부'!A1796/100),100),MOD(INT('월 가계부'!A1796),100)),""),""),IF(AND('월 가계부'!A1796&gt;=36526,'월 가계부'!A1796&lt;73051),INT('월 가계부'!A1796),"")),IF(OR(CM1796="",CN1796="",CO1796=""),"",IF(AND(CM1796&gt;=2000,CM1796&lt;=2099,CN1796&gt;=1,CN1796&lt;=12,CO1796&gt;=1,CO1796&lt;=31),IF(MONTH(DATE(CM1796,CN1796,CO1796))=CN1796,DATE(CM1796,CN1796,CO1796),""),"")))),"")</f>
        <v/>
      </c>
      <c r="CJ1796">
        <f>IFERROR(IF('월 가계부'!C1796="","",IF(ISNUMBER('월 가계부'!C1796),'월 가계부'!C1796,VALUE(SUBSTITUTE(SUBSTITUTE(SUBSTITUTE(SUBSTITUTE(TRIM('월 가계부'!C1796),",",""),"원","")," ",""),"−","-")))),"")</f>
        <v/>
      </c>
      <c r="CK1796">
        <f>IF(ISNUMBER(CI1796),IF(CI1796&lt;$B$13,CI1796,""),"")</f>
        <v/>
      </c>
      <c r="CM1796">
        <f>IF(CH1796="","",IFERROR(IF(IF(AND(LEN(CH1796)=9,ISERROR(FIND("-",LEFT(CH1796,8))),ISNUMBER(-LEFT(CH1796,8))),VALUE(LEFT(CH1796,4)),VALUE(LEFT(CH1796,FIND("-",CH1796)-1)))&lt;100,IF(AND(LEN(CH1796)=9,ISERROR(FIND("-",LEFT(CH1796,8))),ISNUMBER(-LEFT(CH1796,8))),VALUE(LEFT(CH1796,4)),VALUE(LEFT(CH1796,FIND("-",CH1796)-1)))+2000,IF(AND(LEN(CH1796)=9,ISERROR(FIND("-",LEFT(CH1796,8))),ISNUMBER(-LEFT(CH1796,8))),VALUE(LEFT(CH1796,4)),VALUE(LEFT(CH1796,FIND("-",CH1796)-1)))),""))</f>
        <v/>
      </c>
      <c r="CN1796">
        <f>IF(CH1796="","",IFERROR(IF(AND(LEN(CH1796)=9,ISERROR(FIND("-",LEFT(CH1796,8))),ISNUMBER(-LEFT(CH1796,8))),VALUE(MID(CH1796,5,2)),VALUE(MID(CH1796,FIND("-",CH1796)+1,FIND("-",CH1796,FIND("-",CH1796)+1)-FIND("-",CH1796)-1))),""))</f>
        <v/>
      </c>
      <c r="CO1796">
        <f>IF(CH1796="","",IFERROR(IF(AND(LEN(CH1796)=9,ISERROR(FIND("-",LEFT(CH1796,8))),ISNUMBER(-LEFT(CH1796,8))),VALUE(MID(CH1796,7,2)),VALUE(MID(CH1796,FIND("-",CH1796,FIND("-",CH1796)+1)+1,FIND("-",CH1796,FIND("-",CH1796,FIND("-",CH1796)+1)+1)-FIND("-",CH1796,FIND("-",CH1796)+1)-1))),""))</f>
        <v/>
      </c>
    </row>
    <row r="1797">
      <c r="CH1797">
        <f>IF(ISTEXT('월 가계부'!A1797),SUBSTITUTE(SUBSTITUTE(SUBSTITUTE(SUBSTITUTE(SUBSTITUTE(SUBSTITUTE(SUBSTITUTE(SUBSTITUTE(SUBSTITUTE(TRIM('월 가계부'!A1797),"년","-"),"월","-"),"일",""),".","-"),"/","-")," ","-"),"--","-"),"--","-"),"--","-")&amp;"-","")</f>
        <v/>
      </c>
      <c r="CI1797">
        <f>IFERROR(IF('월 가계부'!A1797="","",IF(ISNUMBER('월 가계부'!A1797),IF(AND('월 가계부'!A1797&gt;=19000101,'월 가계부'!A1797&lt;=21001231),IF(AND(MOD(INT('월 가계부'!A1797/100),100)&gt;=1,MOD(INT('월 가계부'!A1797/100),100)&lt;=12,MOD(INT('월 가계부'!A1797),100)&gt;=1,MOD(INT('월 가계부'!A1797),100)&lt;=31),IF(MONTH(DATE(INT('월 가계부'!A1797/10000),MOD(INT('월 가계부'!A1797/100),100),MOD(INT('월 가계부'!A1797),100)))=MOD(INT('월 가계부'!A1797/100),100),DATE(INT('월 가계부'!A1797/10000),MOD(INT('월 가계부'!A1797/100),100),MOD(INT('월 가계부'!A1797),100)),""),""),IF(AND('월 가계부'!A1797&gt;=36526,'월 가계부'!A1797&lt;73051),INT('월 가계부'!A1797),"")),IF(OR(CM1797="",CN1797="",CO1797=""),"",IF(AND(CM1797&gt;=2000,CM1797&lt;=2099,CN1797&gt;=1,CN1797&lt;=12,CO1797&gt;=1,CO1797&lt;=31),IF(MONTH(DATE(CM1797,CN1797,CO1797))=CN1797,DATE(CM1797,CN1797,CO1797),""),"")))),"")</f>
        <v/>
      </c>
      <c r="CJ1797">
        <f>IFERROR(IF('월 가계부'!C1797="","",IF(ISNUMBER('월 가계부'!C1797),'월 가계부'!C1797,VALUE(SUBSTITUTE(SUBSTITUTE(SUBSTITUTE(SUBSTITUTE(TRIM('월 가계부'!C1797),",",""),"원","")," ",""),"−","-")))),"")</f>
        <v/>
      </c>
      <c r="CK1797">
        <f>IF(ISNUMBER(CI1797),IF(CI1797&lt;$B$13,CI1797,""),"")</f>
        <v/>
      </c>
      <c r="CM1797">
        <f>IF(CH1797="","",IFERROR(IF(IF(AND(LEN(CH1797)=9,ISERROR(FIND("-",LEFT(CH1797,8))),ISNUMBER(-LEFT(CH1797,8))),VALUE(LEFT(CH1797,4)),VALUE(LEFT(CH1797,FIND("-",CH1797)-1)))&lt;100,IF(AND(LEN(CH1797)=9,ISERROR(FIND("-",LEFT(CH1797,8))),ISNUMBER(-LEFT(CH1797,8))),VALUE(LEFT(CH1797,4)),VALUE(LEFT(CH1797,FIND("-",CH1797)-1)))+2000,IF(AND(LEN(CH1797)=9,ISERROR(FIND("-",LEFT(CH1797,8))),ISNUMBER(-LEFT(CH1797,8))),VALUE(LEFT(CH1797,4)),VALUE(LEFT(CH1797,FIND("-",CH1797)-1)))),""))</f>
        <v/>
      </c>
      <c r="CN1797">
        <f>IF(CH1797="","",IFERROR(IF(AND(LEN(CH1797)=9,ISERROR(FIND("-",LEFT(CH1797,8))),ISNUMBER(-LEFT(CH1797,8))),VALUE(MID(CH1797,5,2)),VALUE(MID(CH1797,FIND("-",CH1797)+1,FIND("-",CH1797,FIND("-",CH1797)+1)-FIND("-",CH1797)-1))),""))</f>
        <v/>
      </c>
      <c r="CO1797">
        <f>IF(CH1797="","",IFERROR(IF(AND(LEN(CH1797)=9,ISERROR(FIND("-",LEFT(CH1797,8))),ISNUMBER(-LEFT(CH1797,8))),VALUE(MID(CH1797,7,2)),VALUE(MID(CH1797,FIND("-",CH1797,FIND("-",CH1797)+1)+1,FIND("-",CH1797,FIND("-",CH1797,FIND("-",CH1797)+1)+1)-FIND("-",CH1797,FIND("-",CH1797)+1)-1))),""))</f>
        <v/>
      </c>
    </row>
    <row r="1798">
      <c r="CH1798">
        <f>IF(ISTEXT('월 가계부'!A1798),SUBSTITUTE(SUBSTITUTE(SUBSTITUTE(SUBSTITUTE(SUBSTITUTE(SUBSTITUTE(SUBSTITUTE(SUBSTITUTE(SUBSTITUTE(TRIM('월 가계부'!A1798),"년","-"),"월","-"),"일",""),".","-"),"/","-")," ","-"),"--","-"),"--","-"),"--","-")&amp;"-","")</f>
        <v/>
      </c>
      <c r="CI1798">
        <f>IFERROR(IF('월 가계부'!A1798="","",IF(ISNUMBER('월 가계부'!A1798),IF(AND('월 가계부'!A1798&gt;=19000101,'월 가계부'!A1798&lt;=21001231),IF(AND(MOD(INT('월 가계부'!A1798/100),100)&gt;=1,MOD(INT('월 가계부'!A1798/100),100)&lt;=12,MOD(INT('월 가계부'!A1798),100)&gt;=1,MOD(INT('월 가계부'!A1798),100)&lt;=31),IF(MONTH(DATE(INT('월 가계부'!A1798/10000),MOD(INT('월 가계부'!A1798/100),100),MOD(INT('월 가계부'!A1798),100)))=MOD(INT('월 가계부'!A1798/100),100),DATE(INT('월 가계부'!A1798/10000),MOD(INT('월 가계부'!A1798/100),100),MOD(INT('월 가계부'!A1798),100)),""),""),IF(AND('월 가계부'!A1798&gt;=36526,'월 가계부'!A1798&lt;73051),INT('월 가계부'!A1798),"")),IF(OR(CM1798="",CN1798="",CO1798=""),"",IF(AND(CM1798&gt;=2000,CM1798&lt;=2099,CN1798&gt;=1,CN1798&lt;=12,CO1798&gt;=1,CO1798&lt;=31),IF(MONTH(DATE(CM1798,CN1798,CO1798))=CN1798,DATE(CM1798,CN1798,CO1798),""),"")))),"")</f>
        <v/>
      </c>
      <c r="CJ1798">
        <f>IFERROR(IF('월 가계부'!C1798="","",IF(ISNUMBER('월 가계부'!C1798),'월 가계부'!C1798,VALUE(SUBSTITUTE(SUBSTITUTE(SUBSTITUTE(SUBSTITUTE(TRIM('월 가계부'!C1798),",",""),"원","")," ",""),"−","-")))),"")</f>
        <v/>
      </c>
      <c r="CK1798">
        <f>IF(ISNUMBER(CI1798),IF(CI1798&lt;$B$13,CI1798,""),"")</f>
        <v/>
      </c>
      <c r="CM1798">
        <f>IF(CH1798="","",IFERROR(IF(IF(AND(LEN(CH1798)=9,ISERROR(FIND("-",LEFT(CH1798,8))),ISNUMBER(-LEFT(CH1798,8))),VALUE(LEFT(CH1798,4)),VALUE(LEFT(CH1798,FIND("-",CH1798)-1)))&lt;100,IF(AND(LEN(CH1798)=9,ISERROR(FIND("-",LEFT(CH1798,8))),ISNUMBER(-LEFT(CH1798,8))),VALUE(LEFT(CH1798,4)),VALUE(LEFT(CH1798,FIND("-",CH1798)-1)))+2000,IF(AND(LEN(CH1798)=9,ISERROR(FIND("-",LEFT(CH1798,8))),ISNUMBER(-LEFT(CH1798,8))),VALUE(LEFT(CH1798,4)),VALUE(LEFT(CH1798,FIND("-",CH1798)-1)))),""))</f>
        <v/>
      </c>
      <c r="CN1798">
        <f>IF(CH1798="","",IFERROR(IF(AND(LEN(CH1798)=9,ISERROR(FIND("-",LEFT(CH1798,8))),ISNUMBER(-LEFT(CH1798,8))),VALUE(MID(CH1798,5,2)),VALUE(MID(CH1798,FIND("-",CH1798)+1,FIND("-",CH1798,FIND("-",CH1798)+1)-FIND("-",CH1798)-1))),""))</f>
        <v/>
      </c>
      <c r="CO1798">
        <f>IF(CH1798="","",IFERROR(IF(AND(LEN(CH1798)=9,ISERROR(FIND("-",LEFT(CH1798,8))),ISNUMBER(-LEFT(CH1798,8))),VALUE(MID(CH1798,7,2)),VALUE(MID(CH1798,FIND("-",CH1798,FIND("-",CH1798)+1)+1,FIND("-",CH1798,FIND("-",CH1798,FIND("-",CH1798)+1)+1)-FIND("-",CH1798,FIND("-",CH1798)+1)-1))),""))</f>
        <v/>
      </c>
    </row>
    <row r="1799">
      <c r="CH1799">
        <f>IF(ISTEXT('월 가계부'!A1799),SUBSTITUTE(SUBSTITUTE(SUBSTITUTE(SUBSTITUTE(SUBSTITUTE(SUBSTITUTE(SUBSTITUTE(SUBSTITUTE(SUBSTITUTE(TRIM('월 가계부'!A1799),"년","-"),"월","-"),"일",""),".","-"),"/","-")," ","-"),"--","-"),"--","-"),"--","-")&amp;"-","")</f>
        <v/>
      </c>
      <c r="CI1799">
        <f>IFERROR(IF('월 가계부'!A1799="","",IF(ISNUMBER('월 가계부'!A1799),IF(AND('월 가계부'!A1799&gt;=19000101,'월 가계부'!A1799&lt;=21001231),IF(AND(MOD(INT('월 가계부'!A1799/100),100)&gt;=1,MOD(INT('월 가계부'!A1799/100),100)&lt;=12,MOD(INT('월 가계부'!A1799),100)&gt;=1,MOD(INT('월 가계부'!A1799),100)&lt;=31),IF(MONTH(DATE(INT('월 가계부'!A1799/10000),MOD(INT('월 가계부'!A1799/100),100),MOD(INT('월 가계부'!A1799),100)))=MOD(INT('월 가계부'!A1799/100),100),DATE(INT('월 가계부'!A1799/10000),MOD(INT('월 가계부'!A1799/100),100),MOD(INT('월 가계부'!A1799),100)),""),""),IF(AND('월 가계부'!A1799&gt;=36526,'월 가계부'!A1799&lt;73051),INT('월 가계부'!A1799),"")),IF(OR(CM1799="",CN1799="",CO1799=""),"",IF(AND(CM1799&gt;=2000,CM1799&lt;=2099,CN1799&gt;=1,CN1799&lt;=12,CO1799&gt;=1,CO1799&lt;=31),IF(MONTH(DATE(CM1799,CN1799,CO1799))=CN1799,DATE(CM1799,CN1799,CO1799),""),"")))),"")</f>
        <v/>
      </c>
      <c r="CJ1799">
        <f>IFERROR(IF('월 가계부'!C1799="","",IF(ISNUMBER('월 가계부'!C1799),'월 가계부'!C1799,VALUE(SUBSTITUTE(SUBSTITUTE(SUBSTITUTE(SUBSTITUTE(TRIM('월 가계부'!C1799),",",""),"원","")," ",""),"−","-")))),"")</f>
        <v/>
      </c>
      <c r="CK1799">
        <f>IF(ISNUMBER(CI1799),IF(CI1799&lt;$B$13,CI1799,""),"")</f>
        <v/>
      </c>
      <c r="CM1799">
        <f>IF(CH1799="","",IFERROR(IF(IF(AND(LEN(CH1799)=9,ISERROR(FIND("-",LEFT(CH1799,8))),ISNUMBER(-LEFT(CH1799,8))),VALUE(LEFT(CH1799,4)),VALUE(LEFT(CH1799,FIND("-",CH1799)-1)))&lt;100,IF(AND(LEN(CH1799)=9,ISERROR(FIND("-",LEFT(CH1799,8))),ISNUMBER(-LEFT(CH1799,8))),VALUE(LEFT(CH1799,4)),VALUE(LEFT(CH1799,FIND("-",CH1799)-1)))+2000,IF(AND(LEN(CH1799)=9,ISERROR(FIND("-",LEFT(CH1799,8))),ISNUMBER(-LEFT(CH1799,8))),VALUE(LEFT(CH1799,4)),VALUE(LEFT(CH1799,FIND("-",CH1799)-1)))),""))</f>
        <v/>
      </c>
      <c r="CN1799">
        <f>IF(CH1799="","",IFERROR(IF(AND(LEN(CH1799)=9,ISERROR(FIND("-",LEFT(CH1799,8))),ISNUMBER(-LEFT(CH1799,8))),VALUE(MID(CH1799,5,2)),VALUE(MID(CH1799,FIND("-",CH1799)+1,FIND("-",CH1799,FIND("-",CH1799)+1)-FIND("-",CH1799)-1))),""))</f>
        <v/>
      </c>
      <c r="CO1799">
        <f>IF(CH1799="","",IFERROR(IF(AND(LEN(CH1799)=9,ISERROR(FIND("-",LEFT(CH1799,8))),ISNUMBER(-LEFT(CH1799,8))),VALUE(MID(CH1799,7,2)),VALUE(MID(CH1799,FIND("-",CH1799,FIND("-",CH1799)+1)+1,FIND("-",CH1799,FIND("-",CH1799,FIND("-",CH1799)+1)+1)-FIND("-",CH1799,FIND("-",CH1799)+1)-1))),""))</f>
        <v/>
      </c>
    </row>
    <row r="1800">
      <c r="CH1800">
        <f>IF(ISTEXT('월 가계부'!A1800),SUBSTITUTE(SUBSTITUTE(SUBSTITUTE(SUBSTITUTE(SUBSTITUTE(SUBSTITUTE(SUBSTITUTE(SUBSTITUTE(SUBSTITUTE(TRIM('월 가계부'!A1800),"년","-"),"월","-"),"일",""),".","-"),"/","-")," ","-"),"--","-"),"--","-"),"--","-")&amp;"-","")</f>
        <v/>
      </c>
      <c r="CI1800">
        <f>IFERROR(IF('월 가계부'!A1800="","",IF(ISNUMBER('월 가계부'!A1800),IF(AND('월 가계부'!A1800&gt;=19000101,'월 가계부'!A1800&lt;=21001231),IF(AND(MOD(INT('월 가계부'!A1800/100),100)&gt;=1,MOD(INT('월 가계부'!A1800/100),100)&lt;=12,MOD(INT('월 가계부'!A1800),100)&gt;=1,MOD(INT('월 가계부'!A1800),100)&lt;=31),IF(MONTH(DATE(INT('월 가계부'!A1800/10000),MOD(INT('월 가계부'!A1800/100),100),MOD(INT('월 가계부'!A1800),100)))=MOD(INT('월 가계부'!A1800/100),100),DATE(INT('월 가계부'!A1800/10000),MOD(INT('월 가계부'!A1800/100),100),MOD(INT('월 가계부'!A1800),100)),""),""),IF(AND('월 가계부'!A1800&gt;=36526,'월 가계부'!A1800&lt;73051),INT('월 가계부'!A1800),"")),IF(OR(CM1800="",CN1800="",CO1800=""),"",IF(AND(CM1800&gt;=2000,CM1800&lt;=2099,CN1800&gt;=1,CN1800&lt;=12,CO1800&gt;=1,CO1800&lt;=31),IF(MONTH(DATE(CM1800,CN1800,CO1800))=CN1800,DATE(CM1800,CN1800,CO1800),""),"")))),"")</f>
        <v/>
      </c>
      <c r="CJ1800">
        <f>IFERROR(IF('월 가계부'!C1800="","",IF(ISNUMBER('월 가계부'!C1800),'월 가계부'!C1800,VALUE(SUBSTITUTE(SUBSTITUTE(SUBSTITUTE(SUBSTITUTE(TRIM('월 가계부'!C1800),",",""),"원","")," ",""),"−","-")))),"")</f>
        <v/>
      </c>
      <c r="CK1800">
        <f>IF(ISNUMBER(CI1800),IF(CI1800&lt;$B$13,CI1800,""),"")</f>
        <v/>
      </c>
      <c r="CM1800">
        <f>IF(CH1800="","",IFERROR(IF(IF(AND(LEN(CH1800)=9,ISERROR(FIND("-",LEFT(CH1800,8))),ISNUMBER(-LEFT(CH1800,8))),VALUE(LEFT(CH1800,4)),VALUE(LEFT(CH1800,FIND("-",CH1800)-1)))&lt;100,IF(AND(LEN(CH1800)=9,ISERROR(FIND("-",LEFT(CH1800,8))),ISNUMBER(-LEFT(CH1800,8))),VALUE(LEFT(CH1800,4)),VALUE(LEFT(CH1800,FIND("-",CH1800)-1)))+2000,IF(AND(LEN(CH1800)=9,ISERROR(FIND("-",LEFT(CH1800,8))),ISNUMBER(-LEFT(CH1800,8))),VALUE(LEFT(CH1800,4)),VALUE(LEFT(CH1800,FIND("-",CH1800)-1)))),""))</f>
        <v/>
      </c>
      <c r="CN1800">
        <f>IF(CH1800="","",IFERROR(IF(AND(LEN(CH1800)=9,ISERROR(FIND("-",LEFT(CH1800,8))),ISNUMBER(-LEFT(CH1800,8))),VALUE(MID(CH1800,5,2)),VALUE(MID(CH1800,FIND("-",CH1800)+1,FIND("-",CH1800,FIND("-",CH1800)+1)-FIND("-",CH1800)-1))),""))</f>
        <v/>
      </c>
      <c r="CO1800">
        <f>IF(CH1800="","",IFERROR(IF(AND(LEN(CH1800)=9,ISERROR(FIND("-",LEFT(CH1800,8))),ISNUMBER(-LEFT(CH1800,8))),VALUE(MID(CH1800,7,2)),VALUE(MID(CH1800,FIND("-",CH1800,FIND("-",CH1800)+1)+1,FIND("-",CH1800,FIND("-",CH1800,FIND("-",CH1800)+1)+1)-FIND("-",CH1800,FIND("-",CH1800)+1)-1))),""))</f>
        <v/>
      </c>
    </row>
    <row r="1801">
      <c r="CH1801">
        <f>IF(ISTEXT('월 가계부'!A1801),SUBSTITUTE(SUBSTITUTE(SUBSTITUTE(SUBSTITUTE(SUBSTITUTE(SUBSTITUTE(SUBSTITUTE(SUBSTITUTE(SUBSTITUTE(TRIM('월 가계부'!A1801),"년","-"),"월","-"),"일",""),".","-"),"/","-")," ","-"),"--","-"),"--","-"),"--","-")&amp;"-","")</f>
        <v/>
      </c>
      <c r="CI1801">
        <f>IFERROR(IF('월 가계부'!A1801="","",IF(ISNUMBER('월 가계부'!A1801),IF(AND('월 가계부'!A1801&gt;=19000101,'월 가계부'!A1801&lt;=21001231),IF(AND(MOD(INT('월 가계부'!A1801/100),100)&gt;=1,MOD(INT('월 가계부'!A1801/100),100)&lt;=12,MOD(INT('월 가계부'!A1801),100)&gt;=1,MOD(INT('월 가계부'!A1801),100)&lt;=31),IF(MONTH(DATE(INT('월 가계부'!A1801/10000),MOD(INT('월 가계부'!A1801/100),100),MOD(INT('월 가계부'!A1801),100)))=MOD(INT('월 가계부'!A1801/100),100),DATE(INT('월 가계부'!A1801/10000),MOD(INT('월 가계부'!A1801/100),100),MOD(INT('월 가계부'!A1801),100)),""),""),IF(AND('월 가계부'!A1801&gt;=36526,'월 가계부'!A1801&lt;73051),INT('월 가계부'!A1801),"")),IF(OR(CM1801="",CN1801="",CO1801=""),"",IF(AND(CM1801&gt;=2000,CM1801&lt;=2099,CN1801&gt;=1,CN1801&lt;=12,CO1801&gt;=1,CO1801&lt;=31),IF(MONTH(DATE(CM1801,CN1801,CO1801))=CN1801,DATE(CM1801,CN1801,CO1801),""),"")))),"")</f>
        <v/>
      </c>
      <c r="CJ1801">
        <f>IFERROR(IF('월 가계부'!C1801="","",IF(ISNUMBER('월 가계부'!C1801),'월 가계부'!C1801,VALUE(SUBSTITUTE(SUBSTITUTE(SUBSTITUTE(SUBSTITUTE(TRIM('월 가계부'!C1801),",",""),"원","")," ",""),"−","-")))),"")</f>
        <v/>
      </c>
      <c r="CK1801">
        <f>IF(ISNUMBER(CI1801),IF(CI1801&lt;$B$13,CI1801,""),"")</f>
        <v/>
      </c>
      <c r="CM1801">
        <f>IF(CH1801="","",IFERROR(IF(IF(AND(LEN(CH1801)=9,ISERROR(FIND("-",LEFT(CH1801,8))),ISNUMBER(-LEFT(CH1801,8))),VALUE(LEFT(CH1801,4)),VALUE(LEFT(CH1801,FIND("-",CH1801)-1)))&lt;100,IF(AND(LEN(CH1801)=9,ISERROR(FIND("-",LEFT(CH1801,8))),ISNUMBER(-LEFT(CH1801,8))),VALUE(LEFT(CH1801,4)),VALUE(LEFT(CH1801,FIND("-",CH1801)-1)))+2000,IF(AND(LEN(CH1801)=9,ISERROR(FIND("-",LEFT(CH1801,8))),ISNUMBER(-LEFT(CH1801,8))),VALUE(LEFT(CH1801,4)),VALUE(LEFT(CH1801,FIND("-",CH1801)-1)))),""))</f>
        <v/>
      </c>
      <c r="CN1801">
        <f>IF(CH1801="","",IFERROR(IF(AND(LEN(CH1801)=9,ISERROR(FIND("-",LEFT(CH1801,8))),ISNUMBER(-LEFT(CH1801,8))),VALUE(MID(CH1801,5,2)),VALUE(MID(CH1801,FIND("-",CH1801)+1,FIND("-",CH1801,FIND("-",CH1801)+1)-FIND("-",CH1801)-1))),""))</f>
        <v/>
      </c>
      <c r="CO1801">
        <f>IF(CH1801="","",IFERROR(IF(AND(LEN(CH1801)=9,ISERROR(FIND("-",LEFT(CH1801,8))),ISNUMBER(-LEFT(CH1801,8))),VALUE(MID(CH1801,7,2)),VALUE(MID(CH1801,FIND("-",CH1801,FIND("-",CH1801)+1)+1,FIND("-",CH1801,FIND("-",CH1801,FIND("-",CH1801)+1)+1)-FIND("-",CH1801,FIND("-",CH1801)+1)-1))),""))</f>
        <v/>
      </c>
    </row>
    <row r="1802">
      <c r="CH1802">
        <f>IF(ISTEXT('월 가계부'!A1802),SUBSTITUTE(SUBSTITUTE(SUBSTITUTE(SUBSTITUTE(SUBSTITUTE(SUBSTITUTE(SUBSTITUTE(SUBSTITUTE(SUBSTITUTE(TRIM('월 가계부'!A1802),"년","-"),"월","-"),"일",""),".","-"),"/","-")," ","-"),"--","-"),"--","-"),"--","-")&amp;"-","")</f>
        <v/>
      </c>
      <c r="CI1802">
        <f>IFERROR(IF('월 가계부'!A1802="","",IF(ISNUMBER('월 가계부'!A1802),IF(AND('월 가계부'!A1802&gt;=19000101,'월 가계부'!A1802&lt;=21001231),IF(AND(MOD(INT('월 가계부'!A1802/100),100)&gt;=1,MOD(INT('월 가계부'!A1802/100),100)&lt;=12,MOD(INT('월 가계부'!A1802),100)&gt;=1,MOD(INT('월 가계부'!A1802),100)&lt;=31),IF(MONTH(DATE(INT('월 가계부'!A1802/10000),MOD(INT('월 가계부'!A1802/100),100),MOD(INT('월 가계부'!A1802),100)))=MOD(INT('월 가계부'!A1802/100),100),DATE(INT('월 가계부'!A1802/10000),MOD(INT('월 가계부'!A1802/100),100),MOD(INT('월 가계부'!A1802),100)),""),""),IF(AND('월 가계부'!A1802&gt;=36526,'월 가계부'!A1802&lt;73051),INT('월 가계부'!A1802),"")),IF(OR(CM1802="",CN1802="",CO1802=""),"",IF(AND(CM1802&gt;=2000,CM1802&lt;=2099,CN1802&gt;=1,CN1802&lt;=12,CO1802&gt;=1,CO1802&lt;=31),IF(MONTH(DATE(CM1802,CN1802,CO1802))=CN1802,DATE(CM1802,CN1802,CO1802),""),"")))),"")</f>
        <v/>
      </c>
      <c r="CJ1802">
        <f>IFERROR(IF('월 가계부'!C1802="","",IF(ISNUMBER('월 가계부'!C1802),'월 가계부'!C1802,VALUE(SUBSTITUTE(SUBSTITUTE(SUBSTITUTE(SUBSTITUTE(TRIM('월 가계부'!C1802),",",""),"원","")," ",""),"−","-")))),"")</f>
        <v/>
      </c>
      <c r="CK1802">
        <f>IF(ISNUMBER(CI1802),IF(CI1802&lt;$B$13,CI1802,""),"")</f>
        <v/>
      </c>
      <c r="CM1802">
        <f>IF(CH1802="","",IFERROR(IF(IF(AND(LEN(CH1802)=9,ISERROR(FIND("-",LEFT(CH1802,8))),ISNUMBER(-LEFT(CH1802,8))),VALUE(LEFT(CH1802,4)),VALUE(LEFT(CH1802,FIND("-",CH1802)-1)))&lt;100,IF(AND(LEN(CH1802)=9,ISERROR(FIND("-",LEFT(CH1802,8))),ISNUMBER(-LEFT(CH1802,8))),VALUE(LEFT(CH1802,4)),VALUE(LEFT(CH1802,FIND("-",CH1802)-1)))+2000,IF(AND(LEN(CH1802)=9,ISERROR(FIND("-",LEFT(CH1802,8))),ISNUMBER(-LEFT(CH1802,8))),VALUE(LEFT(CH1802,4)),VALUE(LEFT(CH1802,FIND("-",CH1802)-1)))),""))</f>
        <v/>
      </c>
      <c r="CN1802">
        <f>IF(CH1802="","",IFERROR(IF(AND(LEN(CH1802)=9,ISERROR(FIND("-",LEFT(CH1802,8))),ISNUMBER(-LEFT(CH1802,8))),VALUE(MID(CH1802,5,2)),VALUE(MID(CH1802,FIND("-",CH1802)+1,FIND("-",CH1802,FIND("-",CH1802)+1)-FIND("-",CH1802)-1))),""))</f>
        <v/>
      </c>
      <c r="CO1802">
        <f>IF(CH1802="","",IFERROR(IF(AND(LEN(CH1802)=9,ISERROR(FIND("-",LEFT(CH1802,8))),ISNUMBER(-LEFT(CH1802,8))),VALUE(MID(CH1802,7,2)),VALUE(MID(CH1802,FIND("-",CH1802,FIND("-",CH1802)+1)+1,FIND("-",CH1802,FIND("-",CH1802,FIND("-",CH1802)+1)+1)-FIND("-",CH1802,FIND("-",CH1802)+1)-1))),""))</f>
        <v/>
      </c>
    </row>
    <row r="1803">
      <c r="CH1803">
        <f>IF(ISTEXT('월 가계부'!A1803),SUBSTITUTE(SUBSTITUTE(SUBSTITUTE(SUBSTITUTE(SUBSTITUTE(SUBSTITUTE(SUBSTITUTE(SUBSTITUTE(SUBSTITUTE(TRIM('월 가계부'!A1803),"년","-"),"월","-"),"일",""),".","-"),"/","-")," ","-"),"--","-"),"--","-"),"--","-")&amp;"-","")</f>
        <v/>
      </c>
      <c r="CI1803">
        <f>IFERROR(IF('월 가계부'!A1803="","",IF(ISNUMBER('월 가계부'!A1803),IF(AND('월 가계부'!A1803&gt;=19000101,'월 가계부'!A1803&lt;=21001231),IF(AND(MOD(INT('월 가계부'!A1803/100),100)&gt;=1,MOD(INT('월 가계부'!A1803/100),100)&lt;=12,MOD(INT('월 가계부'!A1803),100)&gt;=1,MOD(INT('월 가계부'!A1803),100)&lt;=31),IF(MONTH(DATE(INT('월 가계부'!A1803/10000),MOD(INT('월 가계부'!A1803/100),100),MOD(INT('월 가계부'!A1803),100)))=MOD(INT('월 가계부'!A1803/100),100),DATE(INT('월 가계부'!A1803/10000),MOD(INT('월 가계부'!A1803/100),100),MOD(INT('월 가계부'!A1803),100)),""),""),IF(AND('월 가계부'!A1803&gt;=36526,'월 가계부'!A1803&lt;73051),INT('월 가계부'!A1803),"")),IF(OR(CM1803="",CN1803="",CO1803=""),"",IF(AND(CM1803&gt;=2000,CM1803&lt;=2099,CN1803&gt;=1,CN1803&lt;=12,CO1803&gt;=1,CO1803&lt;=31),IF(MONTH(DATE(CM1803,CN1803,CO1803))=CN1803,DATE(CM1803,CN1803,CO1803),""),"")))),"")</f>
        <v/>
      </c>
      <c r="CJ1803">
        <f>IFERROR(IF('월 가계부'!C1803="","",IF(ISNUMBER('월 가계부'!C1803),'월 가계부'!C1803,VALUE(SUBSTITUTE(SUBSTITUTE(SUBSTITUTE(SUBSTITUTE(TRIM('월 가계부'!C1803),",",""),"원","")," ",""),"−","-")))),"")</f>
        <v/>
      </c>
      <c r="CK1803">
        <f>IF(ISNUMBER(CI1803),IF(CI1803&lt;$B$13,CI1803,""),"")</f>
        <v/>
      </c>
      <c r="CM1803">
        <f>IF(CH1803="","",IFERROR(IF(IF(AND(LEN(CH1803)=9,ISERROR(FIND("-",LEFT(CH1803,8))),ISNUMBER(-LEFT(CH1803,8))),VALUE(LEFT(CH1803,4)),VALUE(LEFT(CH1803,FIND("-",CH1803)-1)))&lt;100,IF(AND(LEN(CH1803)=9,ISERROR(FIND("-",LEFT(CH1803,8))),ISNUMBER(-LEFT(CH1803,8))),VALUE(LEFT(CH1803,4)),VALUE(LEFT(CH1803,FIND("-",CH1803)-1)))+2000,IF(AND(LEN(CH1803)=9,ISERROR(FIND("-",LEFT(CH1803,8))),ISNUMBER(-LEFT(CH1803,8))),VALUE(LEFT(CH1803,4)),VALUE(LEFT(CH1803,FIND("-",CH1803)-1)))),""))</f>
        <v/>
      </c>
      <c r="CN1803">
        <f>IF(CH1803="","",IFERROR(IF(AND(LEN(CH1803)=9,ISERROR(FIND("-",LEFT(CH1803,8))),ISNUMBER(-LEFT(CH1803,8))),VALUE(MID(CH1803,5,2)),VALUE(MID(CH1803,FIND("-",CH1803)+1,FIND("-",CH1803,FIND("-",CH1803)+1)-FIND("-",CH1803)-1))),""))</f>
        <v/>
      </c>
      <c r="CO1803">
        <f>IF(CH1803="","",IFERROR(IF(AND(LEN(CH1803)=9,ISERROR(FIND("-",LEFT(CH1803,8))),ISNUMBER(-LEFT(CH1803,8))),VALUE(MID(CH1803,7,2)),VALUE(MID(CH1803,FIND("-",CH1803,FIND("-",CH1803)+1)+1,FIND("-",CH1803,FIND("-",CH1803,FIND("-",CH1803)+1)+1)-FIND("-",CH1803,FIND("-",CH1803)+1)-1))),""))</f>
        <v/>
      </c>
    </row>
    <row r="1804">
      <c r="CH1804">
        <f>IF(ISTEXT('월 가계부'!A1804),SUBSTITUTE(SUBSTITUTE(SUBSTITUTE(SUBSTITUTE(SUBSTITUTE(SUBSTITUTE(SUBSTITUTE(SUBSTITUTE(SUBSTITUTE(TRIM('월 가계부'!A1804),"년","-"),"월","-"),"일",""),".","-"),"/","-")," ","-"),"--","-"),"--","-"),"--","-")&amp;"-","")</f>
        <v/>
      </c>
      <c r="CI1804">
        <f>IFERROR(IF('월 가계부'!A1804="","",IF(ISNUMBER('월 가계부'!A1804),IF(AND('월 가계부'!A1804&gt;=19000101,'월 가계부'!A1804&lt;=21001231),IF(AND(MOD(INT('월 가계부'!A1804/100),100)&gt;=1,MOD(INT('월 가계부'!A1804/100),100)&lt;=12,MOD(INT('월 가계부'!A1804),100)&gt;=1,MOD(INT('월 가계부'!A1804),100)&lt;=31),IF(MONTH(DATE(INT('월 가계부'!A1804/10000),MOD(INT('월 가계부'!A1804/100),100),MOD(INT('월 가계부'!A1804),100)))=MOD(INT('월 가계부'!A1804/100),100),DATE(INT('월 가계부'!A1804/10000),MOD(INT('월 가계부'!A1804/100),100),MOD(INT('월 가계부'!A1804),100)),""),""),IF(AND('월 가계부'!A1804&gt;=36526,'월 가계부'!A1804&lt;73051),INT('월 가계부'!A1804),"")),IF(OR(CM1804="",CN1804="",CO1804=""),"",IF(AND(CM1804&gt;=2000,CM1804&lt;=2099,CN1804&gt;=1,CN1804&lt;=12,CO1804&gt;=1,CO1804&lt;=31),IF(MONTH(DATE(CM1804,CN1804,CO1804))=CN1804,DATE(CM1804,CN1804,CO1804),""),"")))),"")</f>
        <v/>
      </c>
      <c r="CJ1804">
        <f>IFERROR(IF('월 가계부'!C1804="","",IF(ISNUMBER('월 가계부'!C1804),'월 가계부'!C1804,VALUE(SUBSTITUTE(SUBSTITUTE(SUBSTITUTE(SUBSTITUTE(TRIM('월 가계부'!C1804),",",""),"원","")," ",""),"−","-")))),"")</f>
        <v/>
      </c>
      <c r="CK1804">
        <f>IF(ISNUMBER(CI1804),IF(CI1804&lt;$B$13,CI1804,""),"")</f>
        <v/>
      </c>
      <c r="CM1804">
        <f>IF(CH1804="","",IFERROR(IF(IF(AND(LEN(CH1804)=9,ISERROR(FIND("-",LEFT(CH1804,8))),ISNUMBER(-LEFT(CH1804,8))),VALUE(LEFT(CH1804,4)),VALUE(LEFT(CH1804,FIND("-",CH1804)-1)))&lt;100,IF(AND(LEN(CH1804)=9,ISERROR(FIND("-",LEFT(CH1804,8))),ISNUMBER(-LEFT(CH1804,8))),VALUE(LEFT(CH1804,4)),VALUE(LEFT(CH1804,FIND("-",CH1804)-1)))+2000,IF(AND(LEN(CH1804)=9,ISERROR(FIND("-",LEFT(CH1804,8))),ISNUMBER(-LEFT(CH1804,8))),VALUE(LEFT(CH1804,4)),VALUE(LEFT(CH1804,FIND("-",CH1804)-1)))),""))</f>
        <v/>
      </c>
      <c r="CN1804">
        <f>IF(CH1804="","",IFERROR(IF(AND(LEN(CH1804)=9,ISERROR(FIND("-",LEFT(CH1804,8))),ISNUMBER(-LEFT(CH1804,8))),VALUE(MID(CH1804,5,2)),VALUE(MID(CH1804,FIND("-",CH1804)+1,FIND("-",CH1804,FIND("-",CH1804)+1)-FIND("-",CH1804)-1))),""))</f>
        <v/>
      </c>
      <c r="CO1804">
        <f>IF(CH1804="","",IFERROR(IF(AND(LEN(CH1804)=9,ISERROR(FIND("-",LEFT(CH1804,8))),ISNUMBER(-LEFT(CH1804,8))),VALUE(MID(CH1804,7,2)),VALUE(MID(CH1804,FIND("-",CH1804,FIND("-",CH1804)+1)+1,FIND("-",CH1804,FIND("-",CH1804,FIND("-",CH1804)+1)+1)-FIND("-",CH1804,FIND("-",CH1804)+1)-1))),""))</f>
        <v/>
      </c>
    </row>
    <row r="1805">
      <c r="CH1805">
        <f>IF(ISTEXT('월 가계부'!A1805),SUBSTITUTE(SUBSTITUTE(SUBSTITUTE(SUBSTITUTE(SUBSTITUTE(SUBSTITUTE(SUBSTITUTE(SUBSTITUTE(SUBSTITUTE(TRIM('월 가계부'!A1805),"년","-"),"월","-"),"일",""),".","-"),"/","-")," ","-"),"--","-"),"--","-"),"--","-")&amp;"-","")</f>
        <v/>
      </c>
      <c r="CI1805">
        <f>IFERROR(IF('월 가계부'!A1805="","",IF(ISNUMBER('월 가계부'!A1805),IF(AND('월 가계부'!A1805&gt;=19000101,'월 가계부'!A1805&lt;=21001231),IF(AND(MOD(INT('월 가계부'!A1805/100),100)&gt;=1,MOD(INT('월 가계부'!A1805/100),100)&lt;=12,MOD(INT('월 가계부'!A1805),100)&gt;=1,MOD(INT('월 가계부'!A1805),100)&lt;=31),IF(MONTH(DATE(INT('월 가계부'!A1805/10000),MOD(INT('월 가계부'!A1805/100),100),MOD(INT('월 가계부'!A1805),100)))=MOD(INT('월 가계부'!A1805/100),100),DATE(INT('월 가계부'!A1805/10000),MOD(INT('월 가계부'!A1805/100),100),MOD(INT('월 가계부'!A1805),100)),""),""),IF(AND('월 가계부'!A1805&gt;=36526,'월 가계부'!A1805&lt;73051),INT('월 가계부'!A1805),"")),IF(OR(CM1805="",CN1805="",CO1805=""),"",IF(AND(CM1805&gt;=2000,CM1805&lt;=2099,CN1805&gt;=1,CN1805&lt;=12,CO1805&gt;=1,CO1805&lt;=31),IF(MONTH(DATE(CM1805,CN1805,CO1805))=CN1805,DATE(CM1805,CN1805,CO1805),""),"")))),"")</f>
        <v/>
      </c>
      <c r="CJ1805">
        <f>IFERROR(IF('월 가계부'!C1805="","",IF(ISNUMBER('월 가계부'!C1805),'월 가계부'!C1805,VALUE(SUBSTITUTE(SUBSTITUTE(SUBSTITUTE(SUBSTITUTE(TRIM('월 가계부'!C1805),",",""),"원","")," ",""),"−","-")))),"")</f>
        <v/>
      </c>
      <c r="CK1805">
        <f>IF(ISNUMBER(CI1805),IF(CI1805&lt;$B$13,CI1805,""),"")</f>
        <v/>
      </c>
      <c r="CM1805">
        <f>IF(CH1805="","",IFERROR(IF(IF(AND(LEN(CH1805)=9,ISERROR(FIND("-",LEFT(CH1805,8))),ISNUMBER(-LEFT(CH1805,8))),VALUE(LEFT(CH1805,4)),VALUE(LEFT(CH1805,FIND("-",CH1805)-1)))&lt;100,IF(AND(LEN(CH1805)=9,ISERROR(FIND("-",LEFT(CH1805,8))),ISNUMBER(-LEFT(CH1805,8))),VALUE(LEFT(CH1805,4)),VALUE(LEFT(CH1805,FIND("-",CH1805)-1)))+2000,IF(AND(LEN(CH1805)=9,ISERROR(FIND("-",LEFT(CH1805,8))),ISNUMBER(-LEFT(CH1805,8))),VALUE(LEFT(CH1805,4)),VALUE(LEFT(CH1805,FIND("-",CH1805)-1)))),""))</f>
        <v/>
      </c>
      <c r="CN1805">
        <f>IF(CH1805="","",IFERROR(IF(AND(LEN(CH1805)=9,ISERROR(FIND("-",LEFT(CH1805,8))),ISNUMBER(-LEFT(CH1805,8))),VALUE(MID(CH1805,5,2)),VALUE(MID(CH1805,FIND("-",CH1805)+1,FIND("-",CH1805,FIND("-",CH1805)+1)-FIND("-",CH1805)-1))),""))</f>
        <v/>
      </c>
      <c r="CO1805">
        <f>IF(CH1805="","",IFERROR(IF(AND(LEN(CH1805)=9,ISERROR(FIND("-",LEFT(CH1805,8))),ISNUMBER(-LEFT(CH1805,8))),VALUE(MID(CH1805,7,2)),VALUE(MID(CH1805,FIND("-",CH1805,FIND("-",CH1805)+1)+1,FIND("-",CH1805,FIND("-",CH1805,FIND("-",CH1805)+1)+1)-FIND("-",CH1805,FIND("-",CH1805)+1)-1))),""))</f>
        <v/>
      </c>
    </row>
    <row r="1806">
      <c r="CH1806">
        <f>IF(ISTEXT('월 가계부'!A1806),SUBSTITUTE(SUBSTITUTE(SUBSTITUTE(SUBSTITUTE(SUBSTITUTE(SUBSTITUTE(SUBSTITUTE(SUBSTITUTE(SUBSTITUTE(TRIM('월 가계부'!A1806),"년","-"),"월","-"),"일",""),".","-"),"/","-")," ","-"),"--","-"),"--","-"),"--","-")&amp;"-","")</f>
        <v/>
      </c>
      <c r="CI1806">
        <f>IFERROR(IF('월 가계부'!A1806="","",IF(ISNUMBER('월 가계부'!A1806),IF(AND('월 가계부'!A1806&gt;=19000101,'월 가계부'!A1806&lt;=21001231),IF(AND(MOD(INT('월 가계부'!A1806/100),100)&gt;=1,MOD(INT('월 가계부'!A1806/100),100)&lt;=12,MOD(INT('월 가계부'!A1806),100)&gt;=1,MOD(INT('월 가계부'!A1806),100)&lt;=31),IF(MONTH(DATE(INT('월 가계부'!A1806/10000),MOD(INT('월 가계부'!A1806/100),100),MOD(INT('월 가계부'!A1806),100)))=MOD(INT('월 가계부'!A1806/100),100),DATE(INT('월 가계부'!A1806/10000),MOD(INT('월 가계부'!A1806/100),100),MOD(INT('월 가계부'!A1806),100)),""),""),IF(AND('월 가계부'!A1806&gt;=36526,'월 가계부'!A1806&lt;73051),INT('월 가계부'!A1806),"")),IF(OR(CM1806="",CN1806="",CO1806=""),"",IF(AND(CM1806&gt;=2000,CM1806&lt;=2099,CN1806&gt;=1,CN1806&lt;=12,CO1806&gt;=1,CO1806&lt;=31),IF(MONTH(DATE(CM1806,CN1806,CO1806))=CN1806,DATE(CM1806,CN1806,CO1806),""),"")))),"")</f>
        <v/>
      </c>
      <c r="CJ1806">
        <f>IFERROR(IF('월 가계부'!C1806="","",IF(ISNUMBER('월 가계부'!C1806),'월 가계부'!C1806,VALUE(SUBSTITUTE(SUBSTITUTE(SUBSTITUTE(SUBSTITUTE(TRIM('월 가계부'!C1806),",",""),"원","")," ",""),"−","-")))),"")</f>
        <v/>
      </c>
      <c r="CK1806">
        <f>IF(ISNUMBER(CI1806),IF(CI1806&lt;$B$13,CI1806,""),"")</f>
        <v/>
      </c>
      <c r="CM1806">
        <f>IF(CH1806="","",IFERROR(IF(IF(AND(LEN(CH1806)=9,ISERROR(FIND("-",LEFT(CH1806,8))),ISNUMBER(-LEFT(CH1806,8))),VALUE(LEFT(CH1806,4)),VALUE(LEFT(CH1806,FIND("-",CH1806)-1)))&lt;100,IF(AND(LEN(CH1806)=9,ISERROR(FIND("-",LEFT(CH1806,8))),ISNUMBER(-LEFT(CH1806,8))),VALUE(LEFT(CH1806,4)),VALUE(LEFT(CH1806,FIND("-",CH1806)-1)))+2000,IF(AND(LEN(CH1806)=9,ISERROR(FIND("-",LEFT(CH1806,8))),ISNUMBER(-LEFT(CH1806,8))),VALUE(LEFT(CH1806,4)),VALUE(LEFT(CH1806,FIND("-",CH1806)-1)))),""))</f>
        <v/>
      </c>
      <c r="CN1806">
        <f>IF(CH1806="","",IFERROR(IF(AND(LEN(CH1806)=9,ISERROR(FIND("-",LEFT(CH1806,8))),ISNUMBER(-LEFT(CH1806,8))),VALUE(MID(CH1806,5,2)),VALUE(MID(CH1806,FIND("-",CH1806)+1,FIND("-",CH1806,FIND("-",CH1806)+1)-FIND("-",CH1806)-1))),""))</f>
        <v/>
      </c>
      <c r="CO1806">
        <f>IF(CH1806="","",IFERROR(IF(AND(LEN(CH1806)=9,ISERROR(FIND("-",LEFT(CH1806,8))),ISNUMBER(-LEFT(CH1806,8))),VALUE(MID(CH1806,7,2)),VALUE(MID(CH1806,FIND("-",CH1806,FIND("-",CH1806)+1)+1,FIND("-",CH1806,FIND("-",CH1806,FIND("-",CH1806)+1)+1)-FIND("-",CH1806,FIND("-",CH1806)+1)-1))),""))</f>
        <v/>
      </c>
    </row>
    <row r="1807">
      <c r="CH1807">
        <f>IF(ISTEXT('월 가계부'!A1807),SUBSTITUTE(SUBSTITUTE(SUBSTITUTE(SUBSTITUTE(SUBSTITUTE(SUBSTITUTE(SUBSTITUTE(SUBSTITUTE(SUBSTITUTE(TRIM('월 가계부'!A1807),"년","-"),"월","-"),"일",""),".","-"),"/","-")," ","-"),"--","-"),"--","-"),"--","-")&amp;"-","")</f>
        <v/>
      </c>
      <c r="CI1807">
        <f>IFERROR(IF('월 가계부'!A1807="","",IF(ISNUMBER('월 가계부'!A1807),IF(AND('월 가계부'!A1807&gt;=19000101,'월 가계부'!A1807&lt;=21001231),IF(AND(MOD(INT('월 가계부'!A1807/100),100)&gt;=1,MOD(INT('월 가계부'!A1807/100),100)&lt;=12,MOD(INT('월 가계부'!A1807),100)&gt;=1,MOD(INT('월 가계부'!A1807),100)&lt;=31),IF(MONTH(DATE(INT('월 가계부'!A1807/10000),MOD(INT('월 가계부'!A1807/100),100),MOD(INT('월 가계부'!A1807),100)))=MOD(INT('월 가계부'!A1807/100),100),DATE(INT('월 가계부'!A1807/10000),MOD(INT('월 가계부'!A1807/100),100),MOD(INT('월 가계부'!A1807),100)),""),""),IF(AND('월 가계부'!A1807&gt;=36526,'월 가계부'!A1807&lt;73051),INT('월 가계부'!A1807),"")),IF(OR(CM1807="",CN1807="",CO1807=""),"",IF(AND(CM1807&gt;=2000,CM1807&lt;=2099,CN1807&gt;=1,CN1807&lt;=12,CO1807&gt;=1,CO1807&lt;=31),IF(MONTH(DATE(CM1807,CN1807,CO1807))=CN1807,DATE(CM1807,CN1807,CO1807),""),"")))),"")</f>
        <v/>
      </c>
      <c r="CJ1807">
        <f>IFERROR(IF('월 가계부'!C1807="","",IF(ISNUMBER('월 가계부'!C1807),'월 가계부'!C1807,VALUE(SUBSTITUTE(SUBSTITUTE(SUBSTITUTE(SUBSTITUTE(TRIM('월 가계부'!C1807),",",""),"원","")," ",""),"−","-")))),"")</f>
        <v/>
      </c>
      <c r="CK1807">
        <f>IF(ISNUMBER(CI1807),IF(CI1807&lt;$B$13,CI1807,""),"")</f>
        <v/>
      </c>
      <c r="CM1807">
        <f>IF(CH1807="","",IFERROR(IF(IF(AND(LEN(CH1807)=9,ISERROR(FIND("-",LEFT(CH1807,8))),ISNUMBER(-LEFT(CH1807,8))),VALUE(LEFT(CH1807,4)),VALUE(LEFT(CH1807,FIND("-",CH1807)-1)))&lt;100,IF(AND(LEN(CH1807)=9,ISERROR(FIND("-",LEFT(CH1807,8))),ISNUMBER(-LEFT(CH1807,8))),VALUE(LEFT(CH1807,4)),VALUE(LEFT(CH1807,FIND("-",CH1807)-1)))+2000,IF(AND(LEN(CH1807)=9,ISERROR(FIND("-",LEFT(CH1807,8))),ISNUMBER(-LEFT(CH1807,8))),VALUE(LEFT(CH1807,4)),VALUE(LEFT(CH1807,FIND("-",CH1807)-1)))),""))</f>
        <v/>
      </c>
      <c r="CN1807">
        <f>IF(CH1807="","",IFERROR(IF(AND(LEN(CH1807)=9,ISERROR(FIND("-",LEFT(CH1807,8))),ISNUMBER(-LEFT(CH1807,8))),VALUE(MID(CH1807,5,2)),VALUE(MID(CH1807,FIND("-",CH1807)+1,FIND("-",CH1807,FIND("-",CH1807)+1)-FIND("-",CH1807)-1))),""))</f>
        <v/>
      </c>
      <c r="CO1807">
        <f>IF(CH1807="","",IFERROR(IF(AND(LEN(CH1807)=9,ISERROR(FIND("-",LEFT(CH1807,8))),ISNUMBER(-LEFT(CH1807,8))),VALUE(MID(CH1807,7,2)),VALUE(MID(CH1807,FIND("-",CH1807,FIND("-",CH1807)+1)+1,FIND("-",CH1807,FIND("-",CH1807,FIND("-",CH1807)+1)+1)-FIND("-",CH1807,FIND("-",CH1807)+1)-1))),""))</f>
        <v/>
      </c>
    </row>
    <row r="1808">
      <c r="CH1808">
        <f>IF(ISTEXT('월 가계부'!A1808),SUBSTITUTE(SUBSTITUTE(SUBSTITUTE(SUBSTITUTE(SUBSTITUTE(SUBSTITUTE(SUBSTITUTE(SUBSTITUTE(SUBSTITUTE(TRIM('월 가계부'!A1808),"년","-"),"월","-"),"일",""),".","-"),"/","-")," ","-"),"--","-"),"--","-"),"--","-")&amp;"-","")</f>
        <v/>
      </c>
      <c r="CI1808">
        <f>IFERROR(IF('월 가계부'!A1808="","",IF(ISNUMBER('월 가계부'!A1808),IF(AND('월 가계부'!A1808&gt;=19000101,'월 가계부'!A1808&lt;=21001231),IF(AND(MOD(INT('월 가계부'!A1808/100),100)&gt;=1,MOD(INT('월 가계부'!A1808/100),100)&lt;=12,MOD(INT('월 가계부'!A1808),100)&gt;=1,MOD(INT('월 가계부'!A1808),100)&lt;=31),IF(MONTH(DATE(INT('월 가계부'!A1808/10000),MOD(INT('월 가계부'!A1808/100),100),MOD(INT('월 가계부'!A1808),100)))=MOD(INT('월 가계부'!A1808/100),100),DATE(INT('월 가계부'!A1808/10000),MOD(INT('월 가계부'!A1808/100),100),MOD(INT('월 가계부'!A1808),100)),""),""),IF(AND('월 가계부'!A1808&gt;=36526,'월 가계부'!A1808&lt;73051),INT('월 가계부'!A1808),"")),IF(OR(CM1808="",CN1808="",CO1808=""),"",IF(AND(CM1808&gt;=2000,CM1808&lt;=2099,CN1808&gt;=1,CN1808&lt;=12,CO1808&gt;=1,CO1808&lt;=31),IF(MONTH(DATE(CM1808,CN1808,CO1808))=CN1808,DATE(CM1808,CN1808,CO1808),""),"")))),"")</f>
        <v/>
      </c>
      <c r="CJ1808">
        <f>IFERROR(IF('월 가계부'!C1808="","",IF(ISNUMBER('월 가계부'!C1808),'월 가계부'!C1808,VALUE(SUBSTITUTE(SUBSTITUTE(SUBSTITUTE(SUBSTITUTE(TRIM('월 가계부'!C1808),",",""),"원","")," ",""),"−","-")))),"")</f>
        <v/>
      </c>
      <c r="CK1808">
        <f>IF(ISNUMBER(CI1808),IF(CI1808&lt;$B$13,CI1808,""),"")</f>
        <v/>
      </c>
      <c r="CM1808">
        <f>IF(CH1808="","",IFERROR(IF(IF(AND(LEN(CH1808)=9,ISERROR(FIND("-",LEFT(CH1808,8))),ISNUMBER(-LEFT(CH1808,8))),VALUE(LEFT(CH1808,4)),VALUE(LEFT(CH1808,FIND("-",CH1808)-1)))&lt;100,IF(AND(LEN(CH1808)=9,ISERROR(FIND("-",LEFT(CH1808,8))),ISNUMBER(-LEFT(CH1808,8))),VALUE(LEFT(CH1808,4)),VALUE(LEFT(CH1808,FIND("-",CH1808)-1)))+2000,IF(AND(LEN(CH1808)=9,ISERROR(FIND("-",LEFT(CH1808,8))),ISNUMBER(-LEFT(CH1808,8))),VALUE(LEFT(CH1808,4)),VALUE(LEFT(CH1808,FIND("-",CH1808)-1)))),""))</f>
        <v/>
      </c>
      <c r="CN1808">
        <f>IF(CH1808="","",IFERROR(IF(AND(LEN(CH1808)=9,ISERROR(FIND("-",LEFT(CH1808,8))),ISNUMBER(-LEFT(CH1808,8))),VALUE(MID(CH1808,5,2)),VALUE(MID(CH1808,FIND("-",CH1808)+1,FIND("-",CH1808,FIND("-",CH1808)+1)-FIND("-",CH1808)-1))),""))</f>
        <v/>
      </c>
      <c r="CO1808">
        <f>IF(CH1808="","",IFERROR(IF(AND(LEN(CH1808)=9,ISERROR(FIND("-",LEFT(CH1808,8))),ISNUMBER(-LEFT(CH1808,8))),VALUE(MID(CH1808,7,2)),VALUE(MID(CH1808,FIND("-",CH1808,FIND("-",CH1808)+1)+1,FIND("-",CH1808,FIND("-",CH1808,FIND("-",CH1808)+1)+1)-FIND("-",CH1808,FIND("-",CH1808)+1)-1))),""))</f>
        <v/>
      </c>
    </row>
    <row r="1809">
      <c r="CH1809">
        <f>IF(ISTEXT('월 가계부'!A1809),SUBSTITUTE(SUBSTITUTE(SUBSTITUTE(SUBSTITUTE(SUBSTITUTE(SUBSTITUTE(SUBSTITUTE(SUBSTITUTE(SUBSTITUTE(TRIM('월 가계부'!A1809),"년","-"),"월","-"),"일",""),".","-"),"/","-")," ","-"),"--","-"),"--","-"),"--","-")&amp;"-","")</f>
        <v/>
      </c>
      <c r="CI1809">
        <f>IFERROR(IF('월 가계부'!A1809="","",IF(ISNUMBER('월 가계부'!A1809),IF(AND('월 가계부'!A1809&gt;=19000101,'월 가계부'!A1809&lt;=21001231),IF(AND(MOD(INT('월 가계부'!A1809/100),100)&gt;=1,MOD(INT('월 가계부'!A1809/100),100)&lt;=12,MOD(INT('월 가계부'!A1809),100)&gt;=1,MOD(INT('월 가계부'!A1809),100)&lt;=31),IF(MONTH(DATE(INT('월 가계부'!A1809/10000),MOD(INT('월 가계부'!A1809/100),100),MOD(INT('월 가계부'!A1809),100)))=MOD(INT('월 가계부'!A1809/100),100),DATE(INT('월 가계부'!A1809/10000),MOD(INT('월 가계부'!A1809/100),100),MOD(INT('월 가계부'!A1809),100)),""),""),IF(AND('월 가계부'!A1809&gt;=36526,'월 가계부'!A1809&lt;73051),INT('월 가계부'!A1809),"")),IF(OR(CM1809="",CN1809="",CO1809=""),"",IF(AND(CM1809&gt;=2000,CM1809&lt;=2099,CN1809&gt;=1,CN1809&lt;=12,CO1809&gt;=1,CO1809&lt;=31),IF(MONTH(DATE(CM1809,CN1809,CO1809))=CN1809,DATE(CM1809,CN1809,CO1809),""),"")))),"")</f>
        <v/>
      </c>
      <c r="CJ1809">
        <f>IFERROR(IF('월 가계부'!C1809="","",IF(ISNUMBER('월 가계부'!C1809),'월 가계부'!C1809,VALUE(SUBSTITUTE(SUBSTITUTE(SUBSTITUTE(SUBSTITUTE(TRIM('월 가계부'!C1809),",",""),"원","")," ",""),"−","-")))),"")</f>
        <v/>
      </c>
      <c r="CK1809">
        <f>IF(ISNUMBER(CI1809),IF(CI1809&lt;$B$13,CI1809,""),"")</f>
        <v/>
      </c>
      <c r="CM1809">
        <f>IF(CH1809="","",IFERROR(IF(IF(AND(LEN(CH1809)=9,ISERROR(FIND("-",LEFT(CH1809,8))),ISNUMBER(-LEFT(CH1809,8))),VALUE(LEFT(CH1809,4)),VALUE(LEFT(CH1809,FIND("-",CH1809)-1)))&lt;100,IF(AND(LEN(CH1809)=9,ISERROR(FIND("-",LEFT(CH1809,8))),ISNUMBER(-LEFT(CH1809,8))),VALUE(LEFT(CH1809,4)),VALUE(LEFT(CH1809,FIND("-",CH1809)-1)))+2000,IF(AND(LEN(CH1809)=9,ISERROR(FIND("-",LEFT(CH1809,8))),ISNUMBER(-LEFT(CH1809,8))),VALUE(LEFT(CH1809,4)),VALUE(LEFT(CH1809,FIND("-",CH1809)-1)))),""))</f>
        <v/>
      </c>
      <c r="CN1809">
        <f>IF(CH1809="","",IFERROR(IF(AND(LEN(CH1809)=9,ISERROR(FIND("-",LEFT(CH1809,8))),ISNUMBER(-LEFT(CH1809,8))),VALUE(MID(CH1809,5,2)),VALUE(MID(CH1809,FIND("-",CH1809)+1,FIND("-",CH1809,FIND("-",CH1809)+1)-FIND("-",CH1809)-1))),""))</f>
        <v/>
      </c>
      <c r="CO1809">
        <f>IF(CH1809="","",IFERROR(IF(AND(LEN(CH1809)=9,ISERROR(FIND("-",LEFT(CH1809,8))),ISNUMBER(-LEFT(CH1809,8))),VALUE(MID(CH1809,7,2)),VALUE(MID(CH1809,FIND("-",CH1809,FIND("-",CH1809)+1)+1,FIND("-",CH1809,FIND("-",CH1809,FIND("-",CH1809)+1)+1)-FIND("-",CH1809,FIND("-",CH1809)+1)-1))),""))</f>
        <v/>
      </c>
    </row>
    <row r="1810">
      <c r="CH1810">
        <f>IF(ISTEXT('월 가계부'!A1810),SUBSTITUTE(SUBSTITUTE(SUBSTITUTE(SUBSTITUTE(SUBSTITUTE(SUBSTITUTE(SUBSTITUTE(SUBSTITUTE(SUBSTITUTE(TRIM('월 가계부'!A1810),"년","-"),"월","-"),"일",""),".","-"),"/","-")," ","-"),"--","-"),"--","-"),"--","-")&amp;"-","")</f>
        <v/>
      </c>
      <c r="CI1810">
        <f>IFERROR(IF('월 가계부'!A1810="","",IF(ISNUMBER('월 가계부'!A1810),IF(AND('월 가계부'!A1810&gt;=19000101,'월 가계부'!A1810&lt;=21001231),IF(AND(MOD(INT('월 가계부'!A1810/100),100)&gt;=1,MOD(INT('월 가계부'!A1810/100),100)&lt;=12,MOD(INT('월 가계부'!A1810),100)&gt;=1,MOD(INT('월 가계부'!A1810),100)&lt;=31),IF(MONTH(DATE(INT('월 가계부'!A1810/10000),MOD(INT('월 가계부'!A1810/100),100),MOD(INT('월 가계부'!A1810),100)))=MOD(INT('월 가계부'!A1810/100),100),DATE(INT('월 가계부'!A1810/10000),MOD(INT('월 가계부'!A1810/100),100),MOD(INT('월 가계부'!A1810),100)),""),""),IF(AND('월 가계부'!A1810&gt;=36526,'월 가계부'!A1810&lt;73051),INT('월 가계부'!A1810),"")),IF(OR(CM1810="",CN1810="",CO1810=""),"",IF(AND(CM1810&gt;=2000,CM1810&lt;=2099,CN1810&gt;=1,CN1810&lt;=12,CO1810&gt;=1,CO1810&lt;=31),IF(MONTH(DATE(CM1810,CN1810,CO1810))=CN1810,DATE(CM1810,CN1810,CO1810),""),"")))),"")</f>
        <v/>
      </c>
      <c r="CJ1810">
        <f>IFERROR(IF('월 가계부'!C1810="","",IF(ISNUMBER('월 가계부'!C1810),'월 가계부'!C1810,VALUE(SUBSTITUTE(SUBSTITUTE(SUBSTITUTE(SUBSTITUTE(TRIM('월 가계부'!C1810),",",""),"원","")," ",""),"−","-")))),"")</f>
        <v/>
      </c>
      <c r="CK1810">
        <f>IF(ISNUMBER(CI1810),IF(CI1810&lt;$B$13,CI1810,""),"")</f>
        <v/>
      </c>
      <c r="CM1810">
        <f>IF(CH1810="","",IFERROR(IF(IF(AND(LEN(CH1810)=9,ISERROR(FIND("-",LEFT(CH1810,8))),ISNUMBER(-LEFT(CH1810,8))),VALUE(LEFT(CH1810,4)),VALUE(LEFT(CH1810,FIND("-",CH1810)-1)))&lt;100,IF(AND(LEN(CH1810)=9,ISERROR(FIND("-",LEFT(CH1810,8))),ISNUMBER(-LEFT(CH1810,8))),VALUE(LEFT(CH1810,4)),VALUE(LEFT(CH1810,FIND("-",CH1810)-1)))+2000,IF(AND(LEN(CH1810)=9,ISERROR(FIND("-",LEFT(CH1810,8))),ISNUMBER(-LEFT(CH1810,8))),VALUE(LEFT(CH1810,4)),VALUE(LEFT(CH1810,FIND("-",CH1810)-1)))),""))</f>
        <v/>
      </c>
      <c r="CN1810">
        <f>IF(CH1810="","",IFERROR(IF(AND(LEN(CH1810)=9,ISERROR(FIND("-",LEFT(CH1810,8))),ISNUMBER(-LEFT(CH1810,8))),VALUE(MID(CH1810,5,2)),VALUE(MID(CH1810,FIND("-",CH1810)+1,FIND("-",CH1810,FIND("-",CH1810)+1)-FIND("-",CH1810)-1))),""))</f>
        <v/>
      </c>
      <c r="CO1810">
        <f>IF(CH1810="","",IFERROR(IF(AND(LEN(CH1810)=9,ISERROR(FIND("-",LEFT(CH1810,8))),ISNUMBER(-LEFT(CH1810,8))),VALUE(MID(CH1810,7,2)),VALUE(MID(CH1810,FIND("-",CH1810,FIND("-",CH1810)+1)+1,FIND("-",CH1810,FIND("-",CH1810,FIND("-",CH1810)+1)+1)-FIND("-",CH1810,FIND("-",CH1810)+1)-1))),""))</f>
        <v/>
      </c>
    </row>
    <row r="1811">
      <c r="CH1811">
        <f>IF(ISTEXT('월 가계부'!A1811),SUBSTITUTE(SUBSTITUTE(SUBSTITUTE(SUBSTITUTE(SUBSTITUTE(SUBSTITUTE(SUBSTITUTE(SUBSTITUTE(SUBSTITUTE(TRIM('월 가계부'!A1811),"년","-"),"월","-"),"일",""),".","-"),"/","-")," ","-"),"--","-"),"--","-"),"--","-")&amp;"-","")</f>
        <v/>
      </c>
      <c r="CI1811">
        <f>IFERROR(IF('월 가계부'!A1811="","",IF(ISNUMBER('월 가계부'!A1811),IF(AND('월 가계부'!A1811&gt;=19000101,'월 가계부'!A1811&lt;=21001231),IF(AND(MOD(INT('월 가계부'!A1811/100),100)&gt;=1,MOD(INT('월 가계부'!A1811/100),100)&lt;=12,MOD(INT('월 가계부'!A1811),100)&gt;=1,MOD(INT('월 가계부'!A1811),100)&lt;=31),IF(MONTH(DATE(INT('월 가계부'!A1811/10000),MOD(INT('월 가계부'!A1811/100),100),MOD(INT('월 가계부'!A1811),100)))=MOD(INT('월 가계부'!A1811/100),100),DATE(INT('월 가계부'!A1811/10000),MOD(INT('월 가계부'!A1811/100),100),MOD(INT('월 가계부'!A1811),100)),""),""),IF(AND('월 가계부'!A1811&gt;=36526,'월 가계부'!A1811&lt;73051),INT('월 가계부'!A1811),"")),IF(OR(CM1811="",CN1811="",CO1811=""),"",IF(AND(CM1811&gt;=2000,CM1811&lt;=2099,CN1811&gt;=1,CN1811&lt;=12,CO1811&gt;=1,CO1811&lt;=31),IF(MONTH(DATE(CM1811,CN1811,CO1811))=CN1811,DATE(CM1811,CN1811,CO1811),""),"")))),"")</f>
        <v/>
      </c>
      <c r="CJ1811">
        <f>IFERROR(IF('월 가계부'!C1811="","",IF(ISNUMBER('월 가계부'!C1811),'월 가계부'!C1811,VALUE(SUBSTITUTE(SUBSTITUTE(SUBSTITUTE(SUBSTITUTE(TRIM('월 가계부'!C1811),",",""),"원","")," ",""),"−","-")))),"")</f>
        <v/>
      </c>
      <c r="CK1811">
        <f>IF(ISNUMBER(CI1811),IF(CI1811&lt;$B$13,CI1811,""),"")</f>
        <v/>
      </c>
      <c r="CM1811">
        <f>IF(CH1811="","",IFERROR(IF(IF(AND(LEN(CH1811)=9,ISERROR(FIND("-",LEFT(CH1811,8))),ISNUMBER(-LEFT(CH1811,8))),VALUE(LEFT(CH1811,4)),VALUE(LEFT(CH1811,FIND("-",CH1811)-1)))&lt;100,IF(AND(LEN(CH1811)=9,ISERROR(FIND("-",LEFT(CH1811,8))),ISNUMBER(-LEFT(CH1811,8))),VALUE(LEFT(CH1811,4)),VALUE(LEFT(CH1811,FIND("-",CH1811)-1)))+2000,IF(AND(LEN(CH1811)=9,ISERROR(FIND("-",LEFT(CH1811,8))),ISNUMBER(-LEFT(CH1811,8))),VALUE(LEFT(CH1811,4)),VALUE(LEFT(CH1811,FIND("-",CH1811)-1)))),""))</f>
        <v/>
      </c>
      <c r="CN1811">
        <f>IF(CH1811="","",IFERROR(IF(AND(LEN(CH1811)=9,ISERROR(FIND("-",LEFT(CH1811,8))),ISNUMBER(-LEFT(CH1811,8))),VALUE(MID(CH1811,5,2)),VALUE(MID(CH1811,FIND("-",CH1811)+1,FIND("-",CH1811,FIND("-",CH1811)+1)-FIND("-",CH1811)-1))),""))</f>
        <v/>
      </c>
      <c r="CO1811">
        <f>IF(CH1811="","",IFERROR(IF(AND(LEN(CH1811)=9,ISERROR(FIND("-",LEFT(CH1811,8))),ISNUMBER(-LEFT(CH1811,8))),VALUE(MID(CH1811,7,2)),VALUE(MID(CH1811,FIND("-",CH1811,FIND("-",CH1811)+1)+1,FIND("-",CH1811,FIND("-",CH1811,FIND("-",CH1811)+1)+1)-FIND("-",CH1811,FIND("-",CH1811)+1)-1))),""))</f>
        <v/>
      </c>
    </row>
    <row r="1812">
      <c r="CH1812">
        <f>IF(ISTEXT('월 가계부'!A1812),SUBSTITUTE(SUBSTITUTE(SUBSTITUTE(SUBSTITUTE(SUBSTITUTE(SUBSTITUTE(SUBSTITUTE(SUBSTITUTE(SUBSTITUTE(TRIM('월 가계부'!A1812),"년","-"),"월","-"),"일",""),".","-"),"/","-")," ","-"),"--","-"),"--","-"),"--","-")&amp;"-","")</f>
        <v/>
      </c>
      <c r="CI1812">
        <f>IFERROR(IF('월 가계부'!A1812="","",IF(ISNUMBER('월 가계부'!A1812),IF(AND('월 가계부'!A1812&gt;=19000101,'월 가계부'!A1812&lt;=21001231),IF(AND(MOD(INT('월 가계부'!A1812/100),100)&gt;=1,MOD(INT('월 가계부'!A1812/100),100)&lt;=12,MOD(INT('월 가계부'!A1812),100)&gt;=1,MOD(INT('월 가계부'!A1812),100)&lt;=31),IF(MONTH(DATE(INT('월 가계부'!A1812/10000),MOD(INT('월 가계부'!A1812/100),100),MOD(INT('월 가계부'!A1812),100)))=MOD(INT('월 가계부'!A1812/100),100),DATE(INT('월 가계부'!A1812/10000),MOD(INT('월 가계부'!A1812/100),100),MOD(INT('월 가계부'!A1812),100)),""),""),IF(AND('월 가계부'!A1812&gt;=36526,'월 가계부'!A1812&lt;73051),INT('월 가계부'!A1812),"")),IF(OR(CM1812="",CN1812="",CO1812=""),"",IF(AND(CM1812&gt;=2000,CM1812&lt;=2099,CN1812&gt;=1,CN1812&lt;=12,CO1812&gt;=1,CO1812&lt;=31),IF(MONTH(DATE(CM1812,CN1812,CO1812))=CN1812,DATE(CM1812,CN1812,CO1812),""),"")))),"")</f>
        <v/>
      </c>
      <c r="CJ1812">
        <f>IFERROR(IF('월 가계부'!C1812="","",IF(ISNUMBER('월 가계부'!C1812),'월 가계부'!C1812,VALUE(SUBSTITUTE(SUBSTITUTE(SUBSTITUTE(SUBSTITUTE(TRIM('월 가계부'!C1812),",",""),"원","")," ",""),"−","-")))),"")</f>
        <v/>
      </c>
      <c r="CK1812">
        <f>IF(ISNUMBER(CI1812),IF(CI1812&lt;$B$13,CI1812,""),"")</f>
        <v/>
      </c>
      <c r="CM1812">
        <f>IF(CH1812="","",IFERROR(IF(IF(AND(LEN(CH1812)=9,ISERROR(FIND("-",LEFT(CH1812,8))),ISNUMBER(-LEFT(CH1812,8))),VALUE(LEFT(CH1812,4)),VALUE(LEFT(CH1812,FIND("-",CH1812)-1)))&lt;100,IF(AND(LEN(CH1812)=9,ISERROR(FIND("-",LEFT(CH1812,8))),ISNUMBER(-LEFT(CH1812,8))),VALUE(LEFT(CH1812,4)),VALUE(LEFT(CH1812,FIND("-",CH1812)-1)))+2000,IF(AND(LEN(CH1812)=9,ISERROR(FIND("-",LEFT(CH1812,8))),ISNUMBER(-LEFT(CH1812,8))),VALUE(LEFT(CH1812,4)),VALUE(LEFT(CH1812,FIND("-",CH1812)-1)))),""))</f>
        <v/>
      </c>
      <c r="CN1812">
        <f>IF(CH1812="","",IFERROR(IF(AND(LEN(CH1812)=9,ISERROR(FIND("-",LEFT(CH1812,8))),ISNUMBER(-LEFT(CH1812,8))),VALUE(MID(CH1812,5,2)),VALUE(MID(CH1812,FIND("-",CH1812)+1,FIND("-",CH1812,FIND("-",CH1812)+1)-FIND("-",CH1812)-1))),""))</f>
        <v/>
      </c>
      <c r="CO1812">
        <f>IF(CH1812="","",IFERROR(IF(AND(LEN(CH1812)=9,ISERROR(FIND("-",LEFT(CH1812,8))),ISNUMBER(-LEFT(CH1812,8))),VALUE(MID(CH1812,7,2)),VALUE(MID(CH1812,FIND("-",CH1812,FIND("-",CH1812)+1)+1,FIND("-",CH1812,FIND("-",CH1812,FIND("-",CH1812)+1)+1)-FIND("-",CH1812,FIND("-",CH1812)+1)-1))),""))</f>
        <v/>
      </c>
    </row>
    <row r="1813">
      <c r="CH1813">
        <f>IF(ISTEXT('월 가계부'!A1813),SUBSTITUTE(SUBSTITUTE(SUBSTITUTE(SUBSTITUTE(SUBSTITUTE(SUBSTITUTE(SUBSTITUTE(SUBSTITUTE(SUBSTITUTE(TRIM('월 가계부'!A1813),"년","-"),"월","-"),"일",""),".","-"),"/","-")," ","-"),"--","-"),"--","-"),"--","-")&amp;"-","")</f>
        <v/>
      </c>
      <c r="CI1813">
        <f>IFERROR(IF('월 가계부'!A1813="","",IF(ISNUMBER('월 가계부'!A1813),IF(AND('월 가계부'!A1813&gt;=19000101,'월 가계부'!A1813&lt;=21001231),IF(AND(MOD(INT('월 가계부'!A1813/100),100)&gt;=1,MOD(INT('월 가계부'!A1813/100),100)&lt;=12,MOD(INT('월 가계부'!A1813),100)&gt;=1,MOD(INT('월 가계부'!A1813),100)&lt;=31),IF(MONTH(DATE(INT('월 가계부'!A1813/10000),MOD(INT('월 가계부'!A1813/100),100),MOD(INT('월 가계부'!A1813),100)))=MOD(INT('월 가계부'!A1813/100),100),DATE(INT('월 가계부'!A1813/10000),MOD(INT('월 가계부'!A1813/100),100),MOD(INT('월 가계부'!A1813),100)),""),""),IF(AND('월 가계부'!A1813&gt;=36526,'월 가계부'!A1813&lt;73051),INT('월 가계부'!A1813),"")),IF(OR(CM1813="",CN1813="",CO1813=""),"",IF(AND(CM1813&gt;=2000,CM1813&lt;=2099,CN1813&gt;=1,CN1813&lt;=12,CO1813&gt;=1,CO1813&lt;=31),IF(MONTH(DATE(CM1813,CN1813,CO1813))=CN1813,DATE(CM1813,CN1813,CO1813),""),"")))),"")</f>
        <v/>
      </c>
      <c r="CJ1813">
        <f>IFERROR(IF('월 가계부'!C1813="","",IF(ISNUMBER('월 가계부'!C1813),'월 가계부'!C1813,VALUE(SUBSTITUTE(SUBSTITUTE(SUBSTITUTE(SUBSTITUTE(TRIM('월 가계부'!C1813),",",""),"원","")," ",""),"−","-")))),"")</f>
        <v/>
      </c>
      <c r="CK1813">
        <f>IF(ISNUMBER(CI1813),IF(CI1813&lt;$B$13,CI1813,""),"")</f>
        <v/>
      </c>
      <c r="CM1813">
        <f>IF(CH1813="","",IFERROR(IF(IF(AND(LEN(CH1813)=9,ISERROR(FIND("-",LEFT(CH1813,8))),ISNUMBER(-LEFT(CH1813,8))),VALUE(LEFT(CH1813,4)),VALUE(LEFT(CH1813,FIND("-",CH1813)-1)))&lt;100,IF(AND(LEN(CH1813)=9,ISERROR(FIND("-",LEFT(CH1813,8))),ISNUMBER(-LEFT(CH1813,8))),VALUE(LEFT(CH1813,4)),VALUE(LEFT(CH1813,FIND("-",CH1813)-1)))+2000,IF(AND(LEN(CH1813)=9,ISERROR(FIND("-",LEFT(CH1813,8))),ISNUMBER(-LEFT(CH1813,8))),VALUE(LEFT(CH1813,4)),VALUE(LEFT(CH1813,FIND("-",CH1813)-1)))),""))</f>
        <v/>
      </c>
      <c r="CN1813">
        <f>IF(CH1813="","",IFERROR(IF(AND(LEN(CH1813)=9,ISERROR(FIND("-",LEFT(CH1813,8))),ISNUMBER(-LEFT(CH1813,8))),VALUE(MID(CH1813,5,2)),VALUE(MID(CH1813,FIND("-",CH1813)+1,FIND("-",CH1813,FIND("-",CH1813)+1)-FIND("-",CH1813)-1))),""))</f>
        <v/>
      </c>
      <c r="CO1813">
        <f>IF(CH1813="","",IFERROR(IF(AND(LEN(CH1813)=9,ISERROR(FIND("-",LEFT(CH1813,8))),ISNUMBER(-LEFT(CH1813,8))),VALUE(MID(CH1813,7,2)),VALUE(MID(CH1813,FIND("-",CH1813,FIND("-",CH1813)+1)+1,FIND("-",CH1813,FIND("-",CH1813,FIND("-",CH1813)+1)+1)-FIND("-",CH1813,FIND("-",CH1813)+1)-1))),""))</f>
        <v/>
      </c>
    </row>
    <row r="1814">
      <c r="CH1814">
        <f>IF(ISTEXT('월 가계부'!A1814),SUBSTITUTE(SUBSTITUTE(SUBSTITUTE(SUBSTITUTE(SUBSTITUTE(SUBSTITUTE(SUBSTITUTE(SUBSTITUTE(SUBSTITUTE(TRIM('월 가계부'!A1814),"년","-"),"월","-"),"일",""),".","-"),"/","-")," ","-"),"--","-"),"--","-"),"--","-")&amp;"-","")</f>
        <v/>
      </c>
      <c r="CI1814">
        <f>IFERROR(IF('월 가계부'!A1814="","",IF(ISNUMBER('월 가계부'!A1814),IF(AND('월 가계부'!A1814&gt;=19000101,'월 가계부'!A1814&lt;=21001231),IF(AND(MOD(INT('월 가계부'!A1814/100),100)&gt;=1,MOD(INT('월 가계부'!A1814/100),100)&lt;=12,MOD(INT('월 가계부'!A1814),100)&gt;=1,MOD(INT('월 가계부'!A1814),100)&lt;=31),IF(MONTH(DATE(INT('월 가계부'!A1814/10000),MOD(INT('월 가계부'!A1814/100),100),MOD(INT('월 가계부'!A1814),100)))=MOD(INT('월 가계부'!A1814/100),100),DATE(INT('월 가계부'!A1814/10000),MOD(INT('월 가계부'!A1814/100),100),MOD(INT('월 가계부'!A1814),100)),""),""),IF(AND('월 가계부'!A1814&gt;=36526,'월 가계부'!A1814&lt;73051),INT('월 가계부'!A1814),"")),IF(OR(CM1814="",CN1814="",CO1814=""),"",IF(AND(CM1814&gt;=2000,CM1814&lt;=2099,CN1814&gt;=1,CN1814&lt;=12,CO1814&gt;=1,CO1814&lt;=31),IF(MONTH(DATE(CM1814,CN1814,CO1814))=CN1814,DATE(CM1814,CN1814,CO1814),""),"")))),"")</f>
        <v/>
      </c>
      <c r="CJ1814">
        <f>IFERROR(IF('월 가계부'!C1814="","",IF(ISNUMBER('월 가계부'!C1814),'월 가계부'!C1814,VALUE(SUBSTITUTE(SUBSTITUTE(SUBSTITUTE(SUBSTITUTE(TRIM('월 가계부'!C1814),",",""),"원","")," ",""),"−","-")))),"")</f>
        <v/>
      </c>
      <c r="CK1814">
        <f>IF(ISNUMBER(CI1814),IF(CI1814&lt;$B$13,CI1814,""),"")</f>
        <v/>
      </c>
      <c r="CM1814">
        <f>IF(CH1814="","",IFERROR(IF(IF(AND(LEN(CH1814)=9,ISERROR(FIND("-",LEFT(CH1814,8))),ISNUMBER(-LEFT(CH1814,8))),VALUE(LEFT(CH1814,4)),VALUE(LEFT(CH1814,FIND("-",CH1814)-1)))&lt;100,IF(AND(LEN(CH1814)=9,ISERROR(FIND("-",LEFT(CH1814,8))),ISNUMBER(-LEFT(CH1814,8))),VALUE(LEFT(CH1814,4)),VALUE(LEFT(CH1814,FIND("-",CH1814)-1)))+2000,IF(AND(LEN(CH1814)=9,ISERROR(FIND("-",LEFT(CH1814,8))),ISNUMBER(-LEFT(CH1814,8))),VALUE(LEFT(CH1814,4)),VALUE(LEFT(CH1814,FIND("-",CH1814)-1)))),""))</f>
        <v/>
      </c>
      <c r="CN1814">
        <f>IF(CH1814="","",IFERROR(IF(AND(LEN(CH1814)=9,ISERROR(FIND("-",LEFT(CH1814,8))),ISNUMBER(-LEFT(CH1814,8))),VALUE(MID(CH1814,5,2)),VALUE(MID(CH1814,FIND("-",CH1814)+1,FIND("-",CH1814,FIND("-",CH1814)+1)-FIND("-",CH1814)-1))),""))</f>
        <v/>
      </c>
      <c r="CO1814">
        <f>IF(CH1814="","",IFERROR(IF(AND(LEN(CH1814)=9,ISERROR(FIND("-",LEFT(CH1814,8))),ISNUMBER(-LEFT(CH1814,8))),VALUE(MID(CH1814,7,2)),VALUE(MID(CH1814,FIND("-",CH1814,FIND("-",CH1814)+1)+1,FIND("-",CH1814,FIND("-",CH1814,FIND("-",CH1814)+1)+1)-FIND("-",CH1814,FIND("-",CH1814)+1)-1))),""))</f>
        <v/>
      </c>
    </row>
    <row r="1815">
      <c r="CH1815">
        <f>IF(ISTEXT('월 가계부'!A1815),SUBSTITUTE(SUBSTITUTE(SUBSTITUTE(SUBSTITUTE(SUBSTITUTE(SUBSTITUTE(SUBSTITUTE(SUBSTITUTE(SUBSTITUTE(TRIM('월 가계부'!A1815),"년","-"),"월","-"),"일",""),".","-"),"/","-")," ","-"),"--","-"),"--","-"),"--","-")&amp;"-","")</f>
        <v/>
      </c>
      <c r="CI1815">
        <f>IFERROR(IF('월 가계부'!A1815="","",IF(ISNUMBER('월 가계부'!A1815),IF(AND('월 가계부'!A1815&gt;=19000101,'월 가계부'!A1815&lt;=21001231),IF(AND(MOD(INT('월 가계부'!A1815/100),100)&gt;=1,MOD(INT('월 가계부'!A1815/100),100)&lt;=12,MOD(INT('월 가계부'!A1815),100)&gt;=1,MOD(INT('월 가계부'!A1815),100)&lt;=31),IF(MONTH(DATE(INT('월 가계부'!A1815/10000),MOD(INT('월 가계부'!A1815/100),100),MOD(INT('월 가계부'!A1815),100)))=MOD(INT('월 가계부'!A1815/100),100),DATE(INT('월 가계부'!A1815/10000),MOD(INT('월 가계부'!A1815/100),100),MOD(INT('월 가계부'!A1815),100)),""),""),IF(AND('월 가계부'!A1815&gt;=36526,'월 가계부'!A1815&lt;73051),INT('월 가계부'!A1815),"")),IF(OR(CM1815="",CN1815="",CO1815=""),"",IF(AND(CM1815&gt;=2000,CM1815&lt;=2099,CN1815&gt;=1,CN1815&lt;=12,CO1815&gt;=1,CO1815&lt;=31),IF(MONTH(DATE(CM1815,CN1815,CO1815))=CN1815,DATE(CM1815,CN1815,CO1815),""),"")))),"")</f>
        <v/>
      </c>
      <c r="CJ1815">
        <f>IFERROR(IF('월 가계부'!C1815="","",IF(ISNUMBER('월 가계부'!C1815),'월 가계부'!C1815,VALUE(SUBSTITUTE(SUBSTITUTE(SUBSTITUTE(SUBSTITUTE(TRIM('월 가계부'!C1815),",",""),"원","")," ",""),"−","-")))),"")</f>
        <v/>
      </c>
      <c r="CK1815">
        <f>IF(ISNUMBER(CI1815),IF(CI1815&lt;$B$13,CI1815,""),"")</f>
        <v/>
      </c>
      <c r="CM1815">
        <f>IF(CH1815="","",IFERROR(IF(IF(AND(LEN(CH1815)=9,ISERROR(FIND("-",LEFT(CH1815,8))),ISNUMBER(-LEFT(CH1815,8))),VALUE(LEFT(CH1815,4)),VALUE(LEFT(CH1815,FIND("-",CH1815)-1)))&lt;100,IF(AND(LEN(CH1815)=9,ISERROR(FIND("-",LEFT(CH1815,8))),ISNUMBER(-LEFT(CH1815,8))),VALUE(LEFT(CH1815,4)),VALUE(LEFT(CH1815,FIND("-",CH1815)-1)))+2000,IF(AND(LEN(CH1815)=9,ISERROR(FIND("-",LEFT(CH1815,8))),ISNUMBER(-LEFT(CH1815,8))),VALUE(LEFT(CH1815,4)),VALUE(LEFT(CH1815,FIND("-",CH1815)-1)))),""))</f>
        <v/>
      </c>
      <c r="CN1815">
        <f>IF(CH1815="","",IFERROR(IF(AND(LEN(CH1815)=9,ISERROR(FIND("-",LEFT(CH1815,8))),ISNUMBER(-LEFT(CH1815,8))),VALUE(MID(CH1815,5,2)),VALUE(MID(CH1815,FIND("-",CH1815)+1,FIND("-",CH1815,FIND("-",CH1815)+1)-FIND("-",CH1815)-1))),""))</f>
        <v/>
      </c>
      <c r="CO1815">
        <f>IF(CH1815="","",IFERROR(IF(AND(LEN(CH1815)=9,ISERROR(FIND("-",LEFT(CH1815,8))),ISNUMBER(-LEFT(CH1815,8))),VALUE(MID(CH1815,7,2)),VALUE(MID(CH1815,FIND("-",CH1815,FIND("-",CH1815)+1)+1,FIND("-",CH1815,FIND("-",CH1815,FIND("-",CH1815)+1)+1)-FIND("-",CH1815,FIND("-",CH1815)+1)-1))),""))</f>
        <v/>
      </c>
    </row>
    <row r="1816">
      <c r="CH1816">
        <f>IF(ISTEXT('월 가계부'!A1816),SUBSTITUTE(SUBSTITUTE(SUBSTITUTE(SUBSTITUTE(SUBSTITUTE(SUBSTITUTE(SUBSTITUTE(SUBSTITUTE(SUBSTITUTE(TRIM('월 가계부'!A1816),"년","-"),"월","-"),"일",""),".","-"),"/","-")," ","-"),"--","-"),"--","-"),"--","-")&amp;"-","")</f>
        <v/>
      </c>
      <c r="CI1816">
        <f>IFERROR(IF('월 가계부'!A1816="","",IF(ISNUMBER('월 가계부'!A1816),IF(AND('월 가계부'!A1816&gt;=19000101,'월 가계부'!A1816&lt;=21001231),IF(AND(MOD(INT('월 가계부'!A1816/100),100)&gt;=1,MOD(INT('월 가계부'!A1816/100),100)&lt;=12,MOD(INT('월 가계부'!A1816),100)&gt;=1,MOD(INT('월 가계부'!A1816),100)&lt;=31),IF(MONTH(DATE(INT('월 가계부'!A1816/10000),MOD(INT('월 가계부'!A1816/100),100),MOD(INT('월 가계부'!A1816),100)))=MOD(INT('월 가계부'!A1816/100),100),DATE(INT('월 가계부'!A1816/10000),MOD(INT('월 가계부'!A1816/100),100),MOD(INT('월 가계부'!A1816),100)),""),""),IF(AND('월 가계부'!A1816&gt;=36526,'월 가계부'!A1816&lt;73051),INT('월 가계부'!A1816),"")),IF(OR(CM1816="",CN1816="",CO1816=""),"",IF(AND(CM1816&gt;=2000,CM1816&lt;=2099,CN1816&gt;=1,CN1816&lt;=12,CO1816&gt;=1,CO1816&lt;=31),IF(MONTH(DATE(CM1816,CN1816,CO1816))=CN1816,DATE(CM1816,CN1816,CO1816),""),"")))),"")</f>
        <v/>
      </c>
      <c r="CJ1816">
        <f>IFERROR(IF('월 가계부'!C1816="","",IF(ISNUMBER('월 가계부'!C1816),'월 가계부'!C1816,VALUE(SUBSTITUTE(SUBSTITUTE(SUBSTITUTE(SUBSTITUTE(TRIM('월 가계부'!C1816),",",""),"원","")," ",""),"−","-")))),"")</f>
        <v/>
      </c>
      <c r="CK1816">
        <f>IF(ISNUMBER(CI1816),IF(CI1816&lt;$B$13,CI1816,""),"")</f>
        <v/>
      </c>
      <c r="CM1816">
        <f>IF(CH1816="","",IFERROR(IF(IF(AND(LEN(CH1816)=9,ISERROR(FIND("-",LEFT(CH1816,8))),ISNUMBER(-LEFT(CH1816,8))),VALUE(LEFT(CH1816,4)),VALUE(LEFT(CH1816,FIND("-",CH1816)-1)))&lt;100,IF(AND(LEN(CH1816)=9,ISERROR(FIND("-",LEFT(CH1816,8))),ISNUMBER(-LEFT(CH1816,8))),VALUE(LEFT(CH1816,4)),VALUE(LEFT(CH1816,FIND("-",CH1816)-1)))+2000,IF(AND(LEN(CH1816)=9,ISERROR(FIND("-",LEFT(CH1816,8))),ISNUMBER(-LEFT(CH1816,8))),VALUE(LEFT(CH1816,4)),VALUE(LEFT(CH1816,FIND("-",CH1816)-1)))),""))</f>
        <v/>
      </c>
      <c r="CN1816">
        <f>IF(CH1816="","",IFERROR(IF(AND(LEN(CH1816)=9,ISERROR(FIND("-",LEFT(CH1816,8))),ISNUMBER(-LEFT(CH1816,8))),VALUE(MID(CH1816,5,2)),VALUE(MID(CH1816,FIND("-",CH1816)+1,FIND("-",CH1816,FIND("-",CH1816)+1)-FIND("-",CH1816)-1))),""))</f>
        <v/>
      </c>
      <c r="CO1816">
        <f>IF(CH1816="","",IFERROR(IF(AND(LEN(CH1816)=9,ISERROR(FIND("-",LEFT(CH1816,8))),ISNUMBER(-LEFT(CH1816,8))),VALUE(MID(CH1816,7,2)),VALUE(MID(CH1816,FIND("-",CH1816,FIND("-",CH1816)+1)+1,FIND("-",CH1816,FIND("-",CH1816,FIND("-",CH1816)+1)+1)-FIND("-",CH1816,FIND("-",CH1816)+1)-1))),""))</f>
        <v/>
      </c>
    </row>
    <row r="1817">
      <c r="CH1817">
        <f>IF(ISTEXT('월 가계부'!A1817),SUBSTITUTE(SUBSTITUTE(SUBSTITUTE(SUBSTITUTE(SUBSTITUTE(SUBSTITUTE(SUBSTITUTE(SUBSTITUTE(SUBSTITUTE(TRIM('월 가계부'!A1817),"년","-"),"월","-"),"일",""),".","-"),"/","-")," ","-"),"--","-"),"--","-"),"--","-")&amp;"-","")</f>
        <v/>
      </c>
      <c r="CI1817">
        <f>IFERROR(IF('월 가계부'!A1817="","",IF(ISNUMBER('월 가계부'!A1817),IF(AND('월 가계부'!A1817&gt;=19000101,'월 가계부'!A1817&lt;=21001231),IF(AND(MOD(INT('월 가계부'!A1817/100),100)&gt;=1,MOD(INT('월 가계부'!A1817/100),100)&lt;=12,MOD(INT('월 가계부'!A1817),100)&gt;=1,MOD(INT('월 가계부'!A1817),100)&lt;=31),IF(MONTH(DATE(INT('월 가계부'!A1817/10000),MOD(INT('월 가계부'!A1817/100),100),MOD(INT('월 가계부'!A1817),100)))=MOD(INT('월 가계부'!A1817/100),100),DATE(INT('월 가계부'!A1817/10000),MOD(INT('월 가계부'!A1817/100),100),MOD(INT('월 가계부'!A1817),100)),""),""),IF(AND('월 가계부'!A1817&gt;=36526,'월 가계부'!A1817&lt;73051),INT('월 가계부'!A1817),"")),IF(OR(CM1817="",CN1817="",CO1817=""),"",IF(AND(CM1817&gt;=2000,CM1817&lt;=2099,CN1817&gt;=1,CN1817&lt;=12,CO1817&gt;=1,CO1817&lt;=31),IF(MONTH(DATE(CM1817,CN1817,CO1817))=CN1817,DATE(CM1817,CN1817,CO1817),""),"")))),"")</f>
        <v/>
      </c>
      <c r="CJ1817">
        <f>IFERROR(IF('월 가계부'!C1817="","",IF(ISNUMBER('월 가계부'!C1817),'월 가계부'!C1817,VALUE(SUBSTITUTE(SUBSTITUTE(SUBSTITUTE(SUBSTITUTE(TRIM('월 가계부'!C1817),",",""),"원","")," ",""),"−","-")))),"")</f>
        <v/>
      </c>
      <c r="CK1817">
        <f>IF(ISNUMBER(CI1817),IF(CI1817&lt;$B$13,CI1817,""),"")</f>
        <v/>
      </c>
      <c r="CM1817">
        <f>IF(CH1817="","",IFERROR(IF(IF(AND(LEN(CH1817)=9,ISERROR(FIND("-",LEFT(CH1817,8))),ISNUMBER(-LEFT(CH1817,8))),VALUE(LEFT(CH1817,4)),VALUE(LEFT(CH1817,FIND("-",CH1817)-1)))&lt;100,IF(AND(LEN(CH1817)=9,ISERROR(FIND("-",LEFT(CH1817,8))),ISNUMBER(-LEFT(CH1817,8))),VALUE(LEFT(CH1817,4)),VALUE(LEFT(CH1817,FIND("-",CH1817)-1)))+2000,IF(AND(LEN(CH1817)=9,ISERROR(FIND("-",LEFT(CH1817,8))),ISNUMBER(-LEFT(CH1817,8))),VALUE(LEFT(CH1817,4)),VALUE(LEFT(CH1817,FIND("-",CH1817)-1)))),""))</f>
        <v/>
      </c>
      <c r="CN1817">
        <f>IF(CH1817="","",IFERROR(IF(AND(LEN(CH1817)=9,ISERROR(FIND("-",LEFT(CH1817,8))),ISNUMBER(-LEFT(CH1817,8))),VALUE(MID(CH1817,5,2)),VALUE(MID(CH1817,FIND("-",CH1817)+1,FIND("-",CH1817,FIND("-",CH1817)+1)-FIND("-",CH1817)-1))),""))</f>
        <v/>
      </c>
      <c r="CO1817">
        <f>IF(CH1817="","",IFERROR(IF(AND(LEN(CH1817)=9,ISERROR(FIND("-",LEFT(CH1817,8))),ISNUMBER(-LEFT(CH1817,8))),VALUE(MID(CH1817,7,2)),VALUE(MID(CH1817,FIND("-",CH1817,FIND("-",CH1817)+1)+1,FIND("-",CH1817,FIND("-",CH1817,FIND("-",CH1817)+1)+1)-FIND("-",CH1817,FIND("-",CH1817)+1)-1))),""))</f>
        <v/>
      </c>
    </row>
    <row r="1818">
      <c r="CH1818">
        <f>IF(ISTEXT('월 가계부'!A1818),SUBSTITUTE(SUBSTITUTE(SUBSTITUTE(SUBSTITUTE(SUBSTITUTE(SUBSTITUTE(SUBSTITUTE(SUBSTITUTE(SUBSTITUTE(TRIM('월 가계부'!A1818),"년","-"),"월","-"),"일",""),".","-"),"/","-")," ","-"),"--","-"),"--","-"),"--","-")&amp;"-","")</f>
        <v/>
      </c>
      <c r="CI1818">
        <f>IFERROR(IF('월 가계부'!A1818="","",IF(ISNUMBER('월 가계부'!A1818),IF(AND('월 가계부'!A1818&gt;=19000101,'월 가계부'!A1818&lt;=21001231),IF(AND(MOD(INT('월 가계부'!A1818/100),100)&gt;=1,MOD(INT('월 가계부'!A1818/100),100)&lt;=12,MOD(INT('월 가계부'!A1818),100)&gt;=1,MOD(INT('월 가계부'!A1818),100)&lt;=31),IF(MONTH(DATE(INT('월 가계부'!A1818/10000),MOD(INT('월 가계부'!A1818/100),100),MOD(INT('월 가계부'!A1818),100)))=MOD(INT('월 가계부'!A1818/100),100),DATE(INT('월 가계부'!A1818/10000),MOD(INT('월 가계부'!A1818/100),100),MOD(INT('월 가계부'!A1818),100)),""),""),IF(AND('월 가계부'!A1818&gt;=36526,'월 가계부'!A1818&lt;73051),INT('월 가계부'!A1818),"")),IF(OR(CM1818="",CN1818="",CO1818=""),"",IF(AND(CM1818&gt;=2000,CM1818&lt;=2099,CN1818&gt;=1,CN1818&lt;=12,CO1818&gt;=1,CO1818&lt;=31),IF(MONTH(DATE(CM1818,CN1818,CO1818))=CN1818,DATE(CM1818,CN1818,CO1818),""),"")))),"")</f>
        <v/>
      </c>
      <c r="CJ1818">
        <f>IFERROR(IF('월 가계부'!C1818="","",IF(ISNUMBER('월 가계부'!C1818),'월 가계부'!C1818,VALUE(SUBSTITUTE(SUBSTITUTE(SUBSTITUTE(SUBSTITUTE(TRIM('월 가계부'!C1818),",",""),"원","")," ",""),"−","-")))),"")</f>
        <v/>
      </c>
      <c r="CK1818">
        <f>IF(ISNUMBER(CI1818),IF(CI1818&lt;$B$13,CI1818,""),"")</f>
        <v/>
      </c>
      <c r="CM1818">
        <f>IF(CH1818="","",IFERROR(IF(IF(AND(LEN(CH1818)=9,ISERROR(FIND("-",LEFT(CH1818,8))),ISNUMBER(-LEFT(CH1818,8))),VALUE(LEFT(CH1818,4)),VALUE(LEFT(CH1818,FIND("-",CH1818)-1)))&lt;100,IF(AND(LEN(CH1818)=9,ISERROR(FIND("-",LEFT(CH1818,8))),ISNUMBER(-LEFT(CH1818,8))),VALUE(LEFT(CH1818,4)),VALUE(LEFT(CH1818,FIND("-",CH1818)-1)))+2000,IF(AND(LEN(CH1818)=9,ISERROR(FIND("-",LEFT(CH1818,8))),ISNUMBER(-LEFT(CH1818,8))),VALUE(LEFT(CH1818,4)),VALUE(LEFT(CH1818,FIND("-",CH1818)-1)))),""))</f>
        <v/>
      </c>
      <c r="CN1818">
        <f>IF(CH1818="","",IFERROR(IF(AND(LEN(CH1818)=9,ISERROR(FIND("-",LEFT(CH1818,8))),ISNUMBER(-LEFT(CH1818,8))),VALUE(MID(CH1818,5,2)),VALUE(MID(CH1818,FIND("-",CH1818)+1,FIND("-",CH1818,FIND("-",CH1818)+1)-FIND("-",CH1818)-1))),""))</f>
        <v/>
      </c>
      <c r="CO1818">
        <f>IF(CH1818="","",IFERROR(IF(AND(LEN(CH1818)=9,ISERROR(FIND("-",LEFT(CH1818,8))),ISNUMBER(-LEFT(CH1818,8))),VALUE(MID(CH1818,7,2)),VALUE(MID(CH1818,FIND("-",CH1818,FIND("-",CH1818)+1)+1,FIND("-",CH1818,FIND("-",CH1818,FIND("-",CH1818)+1)+1)-FIND("-",CH1818,FIND("-",CH1818)+1)-1))),""))</f>
        <v/>
      </c>
    </row>
    <row r="1819">
      <c r="CH1819">
        <f>IF(ISTEXT('월 가계부'!A1819),SUBSTITUTE(SUBSTITUTE(SUBSTITUTE(SUBSTITUTE(SUBSTITUTE(SUBSTITUTE(SUBSTITUTE(SUBSTITUTE(SUBSTITUTE(TRIM('월 가계부'!A1819),"년","-"),"월","-"),"일",""),".","-"),"/","-")," ","-"),"--","-"),"--","-"),"--","-")&amp;"-","")</f>
        <v/>
      </c>
      <c r="CI1819">
        <f>IFERROR(IF('월 가계부'!A1819="","",IF(ISNUMBER('월 가계부'!A1819),IF(AND('월 가계부'!A1819&gt;=19000101,'월 가계부'!A1819&lt;=21001231),IF(AND(MOD(INT('월 가계부'!A1819/100),100)&gt;=1,MOD(INT('월 가계부'!A1819/100),100)&lt;=12,MOD(INT('월 가계부'!A1819),100)&gt;=1,MOD(INT('월 가계부'!A1819),100)&lt;=31),IF(MONTH(DATE(INT('월 가계부'!A1819/10000),MOD(INT('월 가계부'!A1819/100),100),MOD(INT('월 가계부'!A1819),100)))=MOD(INT('월 가계부'!A1819/100),100),DATE(INT('월 가계부'!A1819/10000),MOD(INT('월 가계부'!A1819/100),100),MOD(INT('월 가계부'!A1819),100)),""),""),IF(AND('월 가계부'!A1819&gt;=36526,'월 가계부'!A1819&lt;73051),INT('월 가계부'!A1819),"")),IF(OR(CM1819="",CN1819="",CO1819=""),"",IF(AND(CM1819&gt;=2000,CM1819&lt;=2099,CN1819&gt;=1,CN1819&lt;=12,CO1819&gt;=1,CO1819&lt;=31),IF(MONTH(DATE(CM1819,CN1819,CO1819))=CN1819,DATE(CM1819,CN1819,CO1819),""),"")))),"")</f>
        <v/>
      </c>
      <c r="CJ1819">
        <f>IFERROR(IF('월 가계부'!C1819="","",IF(ISNUMBER('월 가계부'!C1819),'월 가계부'!C1819,VALUE(SUBSTITUTE(SUBSTITUTE(SUBSTITUTE(SUBSTITUTE(TRIM('월 가계부'!C1819),",",""),"원","")," ",""),"−","-")))),"")</f>
        <v/>
      </c>
      <c r="CK1819">
        <f>IF(ISNUMBER(CI1819),IF(CI1819&lt;$B$13,CI1819,""),"")</f>
        <v/>
      </c>
      <c r="CM1819">
        <f>IF(CH1819="","",IFERROR(IF(IF(AND(LEN(CH1819)=9,ISERROR(FIND("-",LEFT(CH1819,8))),ISNUMBER(-LEFT(CH1819,8))),VALUE(LEFT(CH1819,4)),VALUE(LEFT(CH1819,FIND("-",CH1819)-1)))&lt;100,IF(AND(LEN(CH1819)=9,ISERROR(FIND("-",LEFT(CH1819,8))),ISNUMBER(-LEFT(CH1819,8))),VALUE(LEFT(CH1819,4)),VALUE(LEFT(CH1819,FIND("-",CH1819)-1)))+2000,IF(AND(LEN(CH1819)=9,ISERROR(FIND("-",LEFT(CH1819,8))),ISNUMBER(-LEFT(CH1819,8))),VALUE(LEFT(CH1819,4)),VALUE(LEFT(CH1819,FIND("-",CH1819)-1)))),""))</f>
        <v/>
      </c>
      <c r="CN1819">
        <f>IF(CH1819="","",IFERROR(IF(AND(LEN(CH1819)=9,ISERROR(FIND("-",LEFT(CH1819,8))),ISNUMBER(-LEFT(CH1819,8))),VALUE(MID(CH1819,5,2)),VALUE(MID(CH1819,FIND("-",CH1819)+1,FIND("-",CH1819,FIND("-",CH1819)+1)-FIND("-",CH1819)-1))),""))</f>
        <v/>
      </c>
      <c r="CO1819">
        <f>IF(CH1819="","",IFERROR(IF(AND(LEN(CH1819)=9,ISERROR(FIND("-",LEFT(CH1819,8))),ISNUMBER(-LEFT(CH1819,8))),VALUE(MID(CH1819,7,2)),VALUE(MID(CH1819,FIND("-",CH1819,FIND("-",CH1819)+1)+1,FIND("-",CH1819,FIND("-",CH1819,FIND("-",CH1819)+1)+1)-FIND("-",CH1819,FIND("-",CH1819)+1)-1))),""))</f>
        <v/>
      </c>
    </row>
    <row r="1820">
      <c r="CH1820">
        <f>IF(ISTEXT('월 가계부'!A1820),SUBSTITUTE(SUBSTITUTE(SUBSTITUTE(SUBSTITUTE(SUBSTITUTE(SUBSTITUTE(SUBSTITUTE(SUBSTITUTE(SUBSTITUTE(TRIM('월 가계부'!A1820),"년","-"),"월","-"),"일",""),".","-"),"/","-")," ","-"),"--","-"),"--","-"),"--","-")&amp;"-","")</f>
        <v/>
      </c>
      <c r="CI1820">
        <f>IFERROR(IF('월 가계부'!A1820="","",IF(ISNUMBER('월 가계부'!A1820),IF(AND('월 가계부'!A1820&gt;=19000101,'월 가계부'!A1820&lt;=21001231),IF(AND(MOD(INT('월 가계부'!A1820/100),100)&gt;=1,MOD(INT('월 가계부'!A1820/100),100)&lt;=12,MOD(INT('월 가계부'!A1820),100)&gt;=1,MOD(INT('월 가계부'!A1820),100)&lt;=31),IF(MONTH(DATE(INT('월 가계부'!A1820/10000),MOD(INT('월 가계부'!A1820/100),100),MOD(INT('월 가계부'!A1820),100)))=MOD(INT('월 가계부'!A1820/100),100),DATE(INT('월 가계부'!A1820/10000),MOD(INT('월 가계부'!A1820/100),100),MOD(INT('월 가계부'!A1820),100)),""),""),IF(AND('월 가계부'!A1820&gt;=36526,'월 가계부'!A1820&lt;73051),INT('월 가계부'!A1820),"")),IF(OR(CM1820="",CN1820="",CO1820=""),"",IF(AND(CM1820&gt;=2000,CM1820&lt;=2099,CN1820&gt;=1,CN1820&lt;=12,CO1820&gt;=1,CO1820&lt;=31),IF(MONTH(DATE(CM1820,CN1820,CO1820))=CN1820,DATE(CM1820,CN1820,CO1820),""),"")))),"")</f>
        <v/>
      </c>
      <c r="CJ1820">
        <f>IFERROR(IF('월 가계부'!C1820="","",IF(ISNUMBER('월 가계부'!C1820),'월 가계부'!C1820,VALUE(SUBSTITUTE(SUBSTITUTE(SUBSTITUTE(SUBSTITUTE(TRIM('월 가계부'!C1820),",",""),"원","")," ",""),"−","-")))),"")</f>
        <v/>
      </c>
      <c r="CK1820">
        <f>IF(ISNUMBER(CI1820),IF(CI1820&lt;$B$13,CI1820,""),"")</f>
        <v/>
      </c>
      <c r="CM1820">
        <f>IF(CH1820="","",IFERROR(IF(IF(AND(LEN(CH1820)=9,ISERROR(FIND("-",LEFT(CH1820,8))),ISNUMBER(-LEFT(CH1820,8))),VALUE(LEFT(CH1820,4)),VALUE(LEFT(CH1820,FIND("-",CH1820)-1)))&lt;100,IF(AND(LEN(CH1820)=9,ISERROR(FIND("-",LEFT(CH1820,8))),ISNUMBER(-LEFT(CH1820,8))),VALUE(LEFT(CH1820,4)),VALUE(LEFT(CH1820,FIND("-",CH1820)-1)))+2000,IF(AND(LEN(CH1820)=9,ISERROR(FIND("-",LEFT(CH1820,8))),ISNUMBER(-LEFT(CH1820,8))),VALUE(LEFT(CH1820,4)),VALUE(LEFT(CH1820,FIND("-",CH1820)-1)))),""))</f>
        <v/>
      </c>
      <c r="CN1820">
        <f>IF(CH1820="","",IFERROR(IF(AND(LEN(CH1820)=9,ISERROR(FIND("-",LEFT(CH1820,8))),ISNUMBER(-LEFT(CH1820,8))),VALUE(MID(CH1820,5,2)),VALUE(MID(CH1820,FIND("-",CH1820)+1,FIND("-",CH1820,FIND("-",CH1820)+1)-FIND("-",CH1820)-1))),""))</f>
        <v/>
      </c>
      <c r="CO1820">
        <f>IF(CH1820="","",IFERROR(IF(AND(LEN(CH1820)=9,ISERROR(FIND("-",LEFT(CH1820,8))),ISNUMBER(-LEFT(CH1820,8))),VALUE(MID(CH1820,7,2)),VALUE(MID(CH1820,FIND("-",CH1820,FIND("-",CH1820)+1)+1,FIND("-",CH1820,FIND("-",CH1820,FIND("-",CH1820)+1)+1)-FIND("-",CH1820,FIND("-",CH1820)+1)-1))),""))</f>
        <v/>
      </c>
    </row>
    <row r="1821">
      <c r="CH1821">
        <f>IF(ISTEXT('월 가계부'!A1821),SUBSTITUTE(SUBSTITUTE(SUBSTITUTE(SUBSTITUTE(SUBSTITUTE(SUBSTITUTE(SUBSTITUTE(SUBSTITUTE(SUBSTITUTE(TRIM('월 가계부'!A1821),"년","-"),"월","-"),"일",""),".","-"),"/","-")," ","-"),"--","-"),"--","-"),"--","-")&amp;"-","")</f>
        <v/>
      </c>
      <c r="CI1821">
        <f>IFERROR(IF('월 가계부'!A1821="","",IF(ISNUMBER('월 가계부'!A1821),IF(AND('월 가계부'!A1821&gt;=19000101,'월 가계부'!A1821&lt;=21001231),IF(AND(MOD(INT('월 가계부'!A1821/100),100)&gt;=1,MOD(INT('월 가계부'!A1821/100),100)&lt;=12,MOD(INT('월 가계부'!A1821),100)&gt;=1,MOD(INT('월 가계부'!A1821),100)&lt;=31),IF(MONTH(DATE(INT('월 가계부'!A1821/10000),MOD(INT('월 가계부'!A1821/100),100),MOD(INT('월 가계부'!A1821),100)))=MOD(INT('월 가계부'!A1821/100),100),DATE(INT('월 가계부'!A1821/10000),MOD(INT('월 가계부'!A1821/100),100),MOD(INT('월 가계부'!A1821),100)),""),""),IF(AND('월 가계부'!A1821&gt;=36526,'월 가계부'!A1821&lt;73051),INT('월 가계부'!A1821),"")),IF(OR(CM1821="",CN1821="",CO1821=""),"",IF(AND(CM1821&gt;=2000,CM1821&lt;=2099,CN1821&gt;=1,CN1821&lt;=12,CO1821&gt;=1,CO1821&lt;=31),IF(MONTH(DATE(CM1821,CN1821,CO1821))=CN1821,DATE(CM1821,CN1821,CO1821),""),"")))),"")</f>
        <v/>
      </c>
      <c r="CJ1821">
        <f>IFERROR(IF('월 가계부'!C1821="","",IF(ISNUMBER('월 가계부'!C1821),'월 가계부'!C1821,VALUE(SUBSTITUTE(SUBSTITUTE(SUBSTITUTE(SUBSTITUTE(TRIM('월 가계부'!C1821),",",""),"원","")," ",""),"−","-")))),"")</f>
        <v/>
      </c>
      <c r="CK1821">
        <f>IF(ISNUMBER(CI1821),IF(CI1821&lt;$B$13,CI1821,""),"")</f>
        <v/>
      </c>
      <c r="CM1821">
        <f>IF(CH1821="","",IFERROR(IF(IF(AND(LEN(CH1821)=9,ISERROR(FIND("-",LEFT(CH1821,8))),ISNUMBER(-LEFT(CH1821,8))),VALUE(LEFT(CH1821,4)),VALUE(LEFT(CH1821,FIND("-",CH1821)-1)))&lt;100,IF(AND(LEN(CH1821)=9,ISERROR(FIND("-",LEFT(CH1821,8))),ISNUMBER(-LEFT(CH1821,8))),VALUE(LEFT(CH1821,4)),VALUE(LEFT(CH1821,FIND("-",CH1821)-1)))+2000,IF(AND(LEN(CH1821)=9,ISERROR(FIND("-",LEFT(CH1821,8))),ISNUMBER(-LEFT(CH1821,8))),VALUE(LEFT(CH1821,4)),VALUE(LEFT(CH1821,FIND("-",CH1821)-1)))),""))</f>
        <v/>
      </c>
      <c r="CN1821">
        <f>IF(CH1821="","",IFERROR(IF(AND(LEN(CH1821)=9,ISERROR(FIND("-",LEFT(CH1821,8))),ISNUMBER(-LEFT(CH1821,8))),VALUE(MID(CH1821,5,2)),VALUE(MID(CH1821,FIND("-",CH1821)+1,FIND("-",CH1821,FIND("-",CH1821)+1)-FIND("-",CH1821)-1))),""))</f>
        <v/>
      </c>
      <c r="CO1821">
        <f>IF(CH1821="","",IFERROR(IF(AND(LEN(CH1821)=9,ISERROR(FIND("-",LEFT(CH1821,8))),ISNUMBER(-LEFT(CH1821,8))),VALUE(MID(CH1821,7,2)),VALUE(MID(CH1821,FIND("-",CH1821,FIND("-",CH1821)+1)+1,FIND("-",CH1821,FIND("-",CH1821,FIND("-",CH1821)+1)+1)-FIND("-",CH1821,FIND("-",CH1821)+1)-1))),""))</f>
        <v/>
      </c>
    </row>
    <row r="1822">
      <c r="CH1822">
        <f>IF(ISTEXT('월 가계부'!A1822),SUBSTITUTE(SUBSTITUTE(SUBSTITUTE(SUBSTITUTE(SUBSTITUTE(SUBSTITUTE(SUBSTITUTE(SUBSTITUTE(SUBSTITUTE(TRIM('월 가계부'!A1822),"년","-"),"월","-"),"일",""),".","-"),"/","-")," ","-"),"--","-"),"--","-"),"--","-")&amp;"-","")</f>
        <v/>
      </c>
      <c r="CI1822">
        <f>IFERROR(IF('월 가계부'!A1822="","",IF(ISNUMBER('월 가계부'!A1822),IF(AND('월 가계부'!A1822&gt;=19000101,'월 가계부'!A1822&lt;=21001231),IF(AND(MOD(INT('월 가계부'!A1822/100),100)&gt;=1,MOD(INT('월 가계부'!A1822/100),100)&lt;=12,MOD(INT('월 가계부'!A1822),100)&gt;=1,MOD(INT('월 가계부'!A1822),100)&lt;=31),IF(MONTH(DATE(INT('월 가계부'!A1822/10000),MOD(INT('월 가계부'!A1822/100),100),MOD(INT('월 가계부'!A1822),100)))=MOD(INT('월 가계부'!A1822/100),100),DATE(INT('월 가계부'!A1822/10000),MOD(INT('월 가계부'!A1822/100),100),MOD(INT('월 가계부'!A1822),100)),""),""),IF(AND('월 가계부'!A1822&gt;=36526,'월 가계부'!A1822&lt;73051),INT('월 가계부'!A1822),"")),IF(OR(CM1822="",CN1822="",CO1822=""),"",IF(AND(CM1822&gt;=2000,CM1822&lt;=2099,CN1822&gt;=1,CN1822&lt;=12,CO1822&gt;=1,CO1822&lt;=31),IF(MONTH(DATE(CM1822,CN1822,CO1822))=CN1822,DATE(CM1822,CN1822,CO1822),""),"")))),"")</f>
        <v/>
      </c>
      <c r="CJ1822">
        <f>IFERROR(IF('월 가계부'!C1822="","",IF(ISNUMBER('월 가계부'!C1822),'월 가계부'!C1822,VALUE(SUBSTITUTE(SUBSTITUTE(SUBSTITUTE(SUBSTITUTE(TRIM('월 가계부'!C1822),",",""),"원","")," ",""),"−","-")))),"")</f>
        <v/>
      </c>
      <c r="CK1822">
        <f>IF(ISNUMBER(CI1822),IF(CI1822&lt;$B$13,CI1822,""),"")</f>
        <v/>
      </c>
      <c r="CM1822">
        <f>IF(CH1822="","",IFERROR(IF(IF(AND(LEN(CH1822)=9,ISERROR(FIND("-",LEFT(CH1822,8))),ISNUMBER(-LEFT(CH1822,8))),VALUE(LEFT(CH1822,4)),VALUE(LEFT(CH1822,FIND("-",CH1822)-1)))&lt;100,IF(AND(LEN(CH1822)=9,ISERROR(FIND("-",LEFT(CH1822,8))),ISNUMBER(-LEFT(CH1822,8))),VALUE(LEFT(CH1822,4)),VALUE(LEFT(CH1822,FIND("-",CH1822)-1)))+2000,IF(AND(LEN(CH1822)=9,ISERROR(FIND("-",LEFT(CH1822,8))),ISNUMBER(-LEFT(CH1822,8))),VALUE(LEFT(CH1822,4)),VALUE(LEFT(CH1822,FIND("-",CH1822)-1)))),""))</f>
        <v/>
      </c>
      <c r="CN1822">
        <f>IF(CH1822="","",IFERROR(IF(AND(LEN(CH1822)=9,ISERROR(FIND("-",LEFT(CH1822,8))),ISNUMBER(-LEFT(CH1822,8))),VALUE(MID(CH1822,5,2)),VALUE(MID(CH1822,FIND("-",CH1822)+1,FIND("-",CH1822,FIND("-",CH1822)+1)-FIND("-",CH1822)-1))),""))</f>
        <v/>
      </c>
      <c r="CO1822">
        <f>IF(CH1822="","",IFERROR(IF(AND(LEN(CH1822)=9,ISERROR(FIND("-",LEFT(CH1822,8))),ISNUMBER(-LEFT(CH1822,8))),VALUE(MID(CH1822,7,2)),VALUE(MID(CH1822,FIND("-",CH1822,FIND("-",CH1822)+1)+1,FIND("-",CH1822,FIND("-",CH1822,FIND("-",CH1822)+1)+1)-FIND("-",CH1822,FIND("-",CH1822)+1)-1))),""))</f>
        <v/>
      </c>
    </row>
    <row r="1823">
      <c r="CH1823">
        <f>IF(ISTEXT('월 가계부'!A1823),SUBSTITUTE(SUBSTITUTE(SUBSTITUTE(SUBSTITUTE(SUBSTITUTE(SUBSTITUTE(SUBSTITUTE(SUBSTITUTE(SUBSTITUTE(TRIM('월 가계부'!A1823),"년","-"),"월","-"),"일",""),".","-"),"/","-")," ","-"),"--","-"),"--","-"),"--","-")&amp;"-","")</f>
        <v/>
      </c>
      <c r="CI1823">
        <f>IFERROR(IF('월 가계부'!A1823="","",IF(ISNUMBER('월 가계부'!A1823),IF(AND('월 가계부'!A1823&gt;=19000101,'월 가계부'!A1823&lt;=21001231),IF(AND(MOD(INT('월 가계부'!A1823/100),100)&gt;=1,MOD(INT('월 가계부'!A1823/100),100)&lt;=12,MOD(INT('월 가계부'!A1823),100)&gt;=1,MOD(INT('월 가계부'!A1823),100)&lt;=31),IF(MONTH(DATE(INT('월 가계부'!A1823/10000),MOD(INT('월 가계부'!A1823/100),100),MOD(INT('월 가계부'!A1823),100)))=MOD(INT('월 가계부'!A1823/100),100),DATE(INT('월 가계부'!A1823/10000),MOD(INT('월 가계부'!A1823/100),100),MOD(INT('월 가계부'!A1823),100)),""),""),IF(AND('월 가계부'!A1823&gt;=36526,'월 가계부'!A1823&lt;73051),INT('월 가계부'!A1823),"")),IF(OR(CM1823="",CN1823="",CO1823=""),"",IF(AND(CM1823&gt;=2000,CM1823&lt;=2099,CN1823&gt;=1,CN1823&lt;=12,CO1823&gt;=1,CO1823&lt;=31),IF(MONTH(DATE(CM1823,CN1823,CO1823))=CN1823,DATE(CM1823,CN1823,CO1823),""),"")))),"")</f>
        <v/>
      </c>
      <c r="CJ1823">
        <f>IFERROR(IF('월 가계부'!C1823="","",IF(ISNUMBER('월 가계부'!C1823),'월 가계부'!C1823,VALUE(SUBSTITUTE(SUBSTITUTE(SUBSTITUTE(SUBSTITUTE(TRIM('월 가계부'!C1823),",",""),"원","")," ",""),"−","-")))),"")</f>
        <v/>
      </c>
      <c r="CK1823">
        <f>IF(ISNUMBER(CI1823),IF(CI1823&lt;$B$13,CI1823,""),"")</f>
        <v/>
      </c>
      <c r="CM1823">
        <f>IF(CH1823="","",IFERROR(IF(IF(AND(LEN(CH1823)=9,ISERROR(FIND("-",LEFT(CH1823,8))),ISNUMBER(-LEFT(CH1823,8))),VALUE(LEFT(CH1823,4)),VALUE(LEFT(CH1823,FIND("-",CH1823)-1)))&lt;100,IF(AND(LEN(CH1823)=9,ISERROR(FIND("-",LEFT(CH1823,8))),ISNUMBER(-LEFT(CH1823,8))),VALUE(LEFT(CH1823,4)),VALUE(LEFT(CH1823,FIND("-",CH1823)-1)))+2000,IF(AND(LEN(CH1823)=9,ISERROR(FIND("-",LEFT(CH1823,8))),ISNUMBER(-LEFT(CH1823,8))),VALUE(LEFT(CH1823,4)),VALUE(LEFT(CH1823,FIND("-",CH1823)-1)))),""))</f>
        <v/>
      </c>
      <c r="CN1823">
        <f>IF(CH1823="","",IFERROR(IF(AND(LEN(CH1823)=9,ISERROR(FIND("-",LEFT(CH1823,8))),ISNUMBER(-LEFT(CH1823,8))),VALUE(MID(CH1823,5,2)),VALUE(MID(CH1823,FIND("-",CH1823)+1,FIND("-",CH1823,FIND("-",CH1823)+1)-FIND("-",CH1823)-1))),""))</f>
        <v/>
      </c>
      <c r="CO1823">
        <f>IF(CH1823="","",IFERROR(IF(AND(LEN(CH1823)=9,ISERROR(FIND("-",LEFT(CH1823,8))),ISNUMBER(-LEFT(CH1823,8))),VALUE(MID(CH1823,7,2)),VALUE(MID(CH1823,FIND("-",CH1823,FIND("-",CH1823)+1)+1,FIND("-",CH1823,FIND("-",CH1823,FIND("-",CH1823)+1)+1)-FIND("-",CH1823,FIND("-",CH1823)+1)-1))),""))</f>
        <v/>
      </c>
    </row>
    <row r="1824">
      <c r="CH1824">
        <f>IF(ISTEXT('월 가계부'!A1824),SUBSTITUTE(SUBSTITUTE(SUBSTITUTE(SUBSTITUTE(SUBSTITUTE(SUBSTITUTE(SUBSTITUTE(SUBSTITUTE(SUBSTITUTE(TRIM('월 가계부'!A1824),"년","-"),"월","-"),"일",""),".","-"),"/","-")," ","-"),"--","-"),"--","-"),"--","-")&amp;"-","")</f>
        <v/>
      </c>
      <c r="CI1824">
        <f>IFERROR(IF('월 가계부'!A1824="","",IF(ISNUMBER('월 가계부'!A1824),IF(AND('월 가계부'!A1824&gt;=19000101,'월 가계부'!A1824&lt;=21001231),IF(AND(MOD(INT('월 가계부'!A1824/100),100)&gt;=1,MOD(INT('월 가계부'!A1824/100),100)&lt;=12,MOD(INT('월 가계부'!A1824),100)&gt;=1,MOD(INT('월 가계부'!A1824),100)&lt;=31),IF(MONTH(DATE(INT('월 가계부'!A1824/10000),MOD(INT('월 가계부'!A1824/100),100),MOD(INT('월 가계부'!A1824),100)))=MOD(INT('월 가계부'!A1824/100),100),DATE(INT('월 가계부'!A1824/10000),MOD(INT('월 가계부'!A1824/100),100),MOD(INT('월 가계부'!A1824),100)),""),""),IF(AND('월 가계부'!A1824&gt;=36526,'월 가계부'!A1824&lt;73051),INT('월 가계부'!A1824),"")),IF(OR(CM1824="",CN1824="",CO1824=""),"",IF(AND(CM1824&gt;=2000,CM1824&lt;=2099,CN1824&gt;=1,CN1824&lt;=12,CO1824&gt;=1,CO1824&lt;=31),IF(MONTH(DATE(CM1824,CN1824,CO1824))=CN1824,DATE(CM1824,CN1824,CO1824),""),"")))),"")</f>
        <v/>
      </c>
      <c r="CJ1824">
        <f>IFERROR(IF('월 가계부'!C1824="","",IF(ISNUMBER('월 가계부'!C1824),'월 가계부'!C1824,VALUE(SUBSTITUTE(SUBSTITUTE(SUBSTITUTE(SUBSTITUTE(TRIM('월 가계부'!C1824),",",""),"원","")," ",""),"−","-")))),"")</f>
        <v/>
      </c>
      <c r="CK1824">
        <f>IF(ISNUMBER(CI1824),IF(CI1824&lt;$B$13,CI1824,""),"")</f>
        <v/>
      </c>
      <c r="CM1824">
        <f>IF(CH1824="","",IFERROR(IF(IF(AND(LEN(CH1824)=9,ISERROR(FIND("-",LEFT(CH1824,8))),ISNUMBER(-LEFT(CH1824,8))),VALUE(LEFT(CH1824,4)),VALUE(LEFT(CH1824,FIND("-",CH1824)-1)))&lt;100,IF(AND(LEN(CH1824)=9,ISERROR(FIND("-",LEFT(CH1824,8))),ISNUMBER(-LEFT(CH1824,8))),VALUE(LEFT(CH1824,4)),VALUE(LEFT(CH1824,FIND("-",CH1824)-1)))+2000,IF(AND(LEN(CH1824)=9,ISERROR(FIND("-",LEFT(CH1824,8))),ISNUMBER(-LEFT(CH1824,8))),VALUE(LEFT(CH1824,4)),VALUE(LEFT(CH1824,FIND("-",CH1824)-1)))),""))</f>
        <v/>
      </c>
      <c r="CN1824">
        <f>IF(CH1824="","",IFERROR(IF(AND(LEN(CH1824)=9,ISERROR(FIND("-",LEFT(CH1824,8))),ISNUMBER(-LEFT(CH1824,8))),VALUE(MID(CH1824,5,2)),VALUE(MID(CH1824,FIND("-",CH1824)+1,FIND("-",CH1824,FIND("-",CH1824)+1)-FIND("-",CH1824)-1))),""))</f>
        <v/>
      </c>
      <c r="CO1824">
        <f>IF(CH1824="","",IFERROR(IF(AND(LEN(CH1824)=9,ISERROR(FIND("-",LEFT(CH1824,8))),ISNUMBER(-LEFT(CH1824,8))),VALUE(MID(CH1824,7,2)),VALUE(MID(CH1824,FIND("-",CH1824,FIND("-",CH1824)+1)+1,FIND("-",CH1824,FIND("-",CH1824,FIND("-",CH1824)+1)+1)-FIND("-",CH1824,FIND("-",CH1824)+1)-1))),""))</f>
        <v/>
      </c>
    </row>
    <row r="1825">
      <c r="CH1825">
        <f>IF(ISTEXT('월 가계부'!A1825),SUBSTITUTE(SUBSTITUTE(SUBSTITUTE(SUBSTITUTE(SUBSTITUTE(SUBSTITUTE(SUBSTITUTE(SUBSTITUTE(SUBSTITUTE(TRIM('월 가계부'!A1825),"년","-"),"월","-"),"일",""),".","-"),"/","-")," ","-"),"--","-"),"--","-"),"--","-")&amp;"-","")</f>
        <v/>
      </c>
      <c r="CI1825">
        <f>IFERROR(IF('월 가계부'!A1825="","",IF(ISNUMBER('월 가계부'!A1825),IF(AND('월 가계부'!A1825&gt;=19000101,'월 가계부'!A1825&lt;=21001231),IF(AND(MOD(INT('월 가계부'!A1825/100),100)&gt;=1,MOD(INT('월 가계부'!A1825/100),100)&lt;=12,MOD(INT('월 가계부'!A1825),100)&gt;=1,MOD(INT('월 가계부'!A1825),100)&lt;=31),IF(MONTH(DATE(INT('월 가계부'!A1825/10000),MOD(INT('월 가계부'!A1825/100),100),MOD(INT('월 가계부'!A1825),100)))=MOD(INT('월 가계부'!A1825/100),100),DATE(INT('월 가계부'!A1825/10000),MOD(INT('월 가계부'!A1825/100),100),MOD(INT('월 가계부'!A1825),100)),""),""),IF(AND('월 가계부'!A1825&gt;=36526,'월 가계부'!A1825&lt;73051),INT('월 가계부'!A1825),"")),IF(OR(CM1825="",CN1825="",CO1825=""),"",IF(AND(CM1825&gt;=2000,CM1825&lt;=2099,CN1825&gt;=1,CN1825&lt;=12,CO1825&gt;=1,CO1825&lt;=31),IF(MONTH(DATE(CM1825,CN1825,CO1825))=CN1825,DATE(CM1825,CN1825,CO1825),""),"")))),"")</f>
        <v/>
      </c>
      <c r="CJ1825">
        <f>IFERROR(IF('월 가계부'!C1825="","",IF(ISNUMBER('월 가계부'!C1825),'월 가계부'!C1825,VALUE(SUBSTITUTE(SUBSTITUTE(SUBSTITUTE(SUBSTITUTE(TRIM('월 가계부'!C1825),",",""),"원","")," ",""),"−","-")))),"")</f>
        <v/>
      </c>
      <c r="CK1825">
        <f>IF(ISNUMBER(CI1825),IF(CI1825&lt;$B$13,CI1825,""),"")</f>
        <v/>
      </c>
      <c r="CM1825">
        <f>IF(CH1825="","",IFERROR(IF(IF(AND(LEN(CH1825)=9,ISERROR(FIND("-",LEFT(CH1825,8))),ISNUMBER(-LEFT(CH1825,8))),VALUE(LEFT(CH1825,4)),VALUE(LEFT(CH1825,FIND("-",CH1825)-1)))&lt;100,IF(AND(LEN(CH1825)=9,ISERROR(FIND("-",LEFT(CH1825,8))),ISNUMBER(-LEFT(CH1825,8))),VALUE(LEFT(CH1825,4)),VALUE(LEFT(CH1825,FIND("-",CH1825)-1)))+2000,IF(AND(LEN(CH1825)=9,ISERROR(FIND("-",LEFT(CH1825,8))),ISNUMBER(-LEFT(CH1825,8))),VALUE(LEFT(CH1825,4)),VALUE(LEFT(CH1825,FIND("-",CH1825)-1)))),""))</f>
        <v/>
      </c>
      <c r="CN1825">
        <f>IF(CH1825="","",IFERROR(IF(AND(LEN(CH1825)=9,ISERROR(FIND("-",LEFT(CH1825,8))),ISNUMBER(-LEFT(CH1825,8))),VALUE(MID(CH1825,5,2)),VALUE(MID(CH1825,FIND("-",CH1825)+1,FIND("-",CH1825,FIND("-",CH1825)+1)-FIND("-",CH1825)-1))),""))</f>
        <v/>
      </c>
      <c r="CO1825">
        <f>IF(CH1825="","",IFERROR(IF(AND(LEN(CH1825)=9,ISERROR(FIND("-",LEFT(CH1825,8))),ISNUMBER(-LEFT(CH1825,8))),VALUE(MID(CH1825,7,2)),VALUE(MID(CH1825,FIND("-",CH1825,FIND("-",CH1825)+1)+1,FIND("-",CH1825,FIND("-",CH1825,FIND("-",CH1825)+1)+1)-FIND("-",CH1825,FIND("-",CH1825)+1)-1))),""))</f>
        <v/>
      </c>
    </row>
    <row r="1826">
      <c r="CH1826">
        <f>IF(ISTEXT('월 가계부'!A1826),SUBSTITUTE(SUBSTITUTE(SUBSTITUTE(SUBSTITUTE(SUBSTITUTE(SUBSTITUTE(SUBSTITUTE(SUBSTITUTE(SUBSTITUTE(TRIM('월 가계부'!A1826),"년","-"),"월","-"),"일",""),".","-"),"/","-")," ","-"),"--","-"),"--","-"),"--","-")&amp;"-","")</f>
        <v/>
      </c>
      <c r="CI1826">
        <f>IFERROR(IF('월 가계부'!A1826="","",IF(ISNUMBER('월 가계부'!A1826),IF(AND('월 가계부'!A1826&gt;=19000101,'월 가계부'!A1826&lt;=21001231),IF(AND(MOD(INT('월 가계부'!A1826/100),100)&gt;=1,MOD(INT('월 가계부'!A1826/100),100)&lt;=12,MOD(INT('월 가계부'!A1826),100)&gt;=1,MOD(INT('월 가계부'!A1826),100)&lt;=31),IF(MONTH(DATE(INT('월 가계부'!A1826/10000),MOD(INT('월 가계부'!A1826/100),100),MOD(INT('월 가계부'!A1826),100)))=MOD(INT('월 가계부'!A1826/100),100),DATE(INT('월 가계부'!A1826/10000),MOD(INT('월 가계부'!A1826/100),100),MOD(INT('월 가계부'!A1826),100)),""),""),IF(AND('월 가계부'!A1826&gt;=36526,'월 가계부'!A1826&lt;73051),INT('월 가계부'!A1826),"")),IF(OR(CM1826="",CN1826="",CO1826=""),"",IF(AND(CM1826&gt;=2000,CM1826&lt;=2099,CN1826&gt;=1,CN1826&lt;=12,CO1826&gt;=1,CO1826&lt;=31),IF(MONTH(DATE(CM1826,CN1826,CO1826))=CN1826,DATE(CM1826,CN1826,CO1826),""),"")))),"")</f>
        <v/>
      </c>
      <c r="CJ1826">
        <f>IFERROR(IF('월 가계부'!C1826="","",IF(ISNUMBER('월 가계부'!C1826),'월 가계부'!C1826,VALUE(SUBSTITUTE(SUBSTITUTE(SUBSTITUTE(SUBSTITUTE(TRIM('월 가계부'!C1826),",",""),"원","")," ",""),"−","-")))),"")</f>
        <v/>
      </c>
      <c r="CK1826">
        <f>IF(ISNUMBER(CI1826),IF(CI1826&lt;$B$13,CI1826,""),"")</f>
        <v/>
      </c>
      <c r="CM1826">
        <f>IF(CH1826="","",IFERROR(IF(IF(AND(LEN(CH1826)=9,ISERROR(FIND("-",LEFT(CH1826,8))),ISNUMBER(-LEFT(CH1826,8))),VALUE(LEFT(CH1826,4)),VALUE(LEFT(CH1826,FIND("-",CH1826)-1)))&lt;100,IF(AND(LEN(CH1826)=9,ISERROR(FIND("-",LEFT(CH1826,8))),ISNUMBER(-LEFT(CH1826,8))),VALUE(LEFT(CH1826,4)),VALUE(LEFT(CH1826,FIND("-",CH1826)-1)))+2000,IF(AND(LEN(CH1826)=9,ISERROR(FIND("-",LEFT(CH1826,8))),ISNUMBER(-LEFT(CH1826,8))),VALUE(LEFT(CH1826,4)),VALUE(LEFT(CH1826,FIND("-",CH1826)-1)))),""))</f>
        <v/>
      </c>
      <c r="CN1826">
        <f>IF(CH1826="","",IFERROR(IF(AND(LEN(CH1826)=9,ISERROR(FIND("-",LEFT(CH1826,8))),ISNUMBER(-LEFT(CH1826,8))),VALUE(MID(CH1826,5,2)),VALUE(MID(CH1826,FIND("-",CH1826)+1,FIND("-",CH1826,FIND("-",CH1826)+1)-FIND("-",CH1826)-1))),""))</f>
        <v/>
      </c>
      <c r="CO1826">
        <f>IF(CH1826="","",IFERROR(IF(AND(LEN(CH1826)=9,ISERROR(FIND("-",LEFT(CH1826,8))),ISNUMBER(-LEFT(CH1826,8))),VALUE(MID(CH1826,7,2)),VALUE(MID(CH1826,FIND("-",CH1826,FIND("-",CH1826)+1)+1,FIND("-",CH1826,FIND("-",CH1826,FIND("-",CH1826)+1)+1)-FIND("-",CH1826,FIND("-",CH1826)+1)-1))),""))</f>
        <v/>
      </c>
    </row>
    <row r="1827">
      <c r="CH1827">
        <f>IF(ISTEXT('월 가계부'!A1827),SUBSTITUTE(SUBSTITUTE(SUBSTITUTE(SUBSTITUTE(SUBSTITUTE(SUBSTITUTE(SUBSTITUTE(SUBSTITUTE(SUBSTITUTE(TRIM('월 가계부'!A1827),"년","-"),"월","-"),"일",""),".","-"),"/","-")," ","-"),"--","-"),"--","-"),"--","-")&amp;"-","")</f>
        <v/>
      </c>
      <c r="CI1827">
        <f>IFERROR(IF('월 가계부'!A1827="","",IF(ISNUMBER('월 가계부'!A1827),IF(AND('월 가계부'!A1827&gt;=19000101,'월 가계부'!A1827&lt;=21001231),IF(AND(MOD(INT('월 가계부'!A1827/100),100)&gt;=1,MOD(INT('월 가계부'!A1827/100),100)&lt;=12,MOD(INT('월 가계부'!A1827),100)&gt;=1,MOD(INT('월 가계부'!A1827),100)&lt;=31),IF(MONTH(DATE(INT('월 가계부'!A1827/10000),MOD(INT('월 가계부'!A1827/100),100),MOD(INT('월 가계부'!A1827),100)))=MOD(INT('월 가계부'!A1827/100),100),DATE(INT('월 가계부'!A1827/10000),MOD(INT('월 가계부'!A1827/100),100),MOD(INT('월 가계부'!A1827),100)),""),""),IF(AND('월 가계부'!A1827&gt;=36526,'월 가계부'!A1827&lt;73051),INT('월 가계부'!A1827),"")),IF(OR(CM1827="",CN1827="",CO1827=""),"",IF(AND(CM1827&gt;=2000,CM1827&lt;=2099,CN1827&gt;=1,CN1827&lt;=12,CO1827&gt;=1,CO1827&lt;=31),IF(MONTH(DATE(CM1827,CN1827,CO1827))=CN1827,DATE(CM1827,CN1827,CO1827),""),"")))),"")</f>
        <v/>
      </c>
      <c r="CJ1827">
        <f>IFERROR(IF('월 가계부'!C1827="","",IF(ISNUMBER('월 가계부'!C1827),'월 가계부'!C1827,VALUE(SUBSTITUTE(SUBSTITUTE(SUBSTITUTE(SUBSTITUTE(TRIM('월 가계부'!C1827),",",""),"원","")," ",""),"−","-")))),"")</f>
        <v/>
      </c>
      <c r="CK1827">
        <f>IF(ISNUMBER(CI1827),IF(CI1827&lt;$B$13,CI1827,""),"")</f>
        <v/>
      </c>
      <c r="CM1827">
        <f>IF(CH1827="","",IFERROR(IF(IF(AND(LEN(CH1827)=9,ISERROR(FIND("-",LEFT(CH1827,8))),ISNUMBER(-LEFT(CH1827,8))),VALUE(LEFT(CH1827,4)),VALUE(LEFT(CH1827,FIND("-",CH1827)-1)))&lt;100,IF(AND(LEN(CH1827)=9,ISERROR(FIND("-",LEFT(CH1827,8))),ISNUMBER(-LEFT(CH1827,8))),VALUE(LEFT(CH1827,4)),VALUE(LEFT(CH1827,FIND("-",CH1827)-1)))+2000,IF(AND(LEN(CH1827)=9,ISERROR(FIND("-",LEFT(CH1827,8))),ISNUMBER(-LEFT(CH1827,8))),VALUE(LEFT(CH1827,4)),VALUE(LEFT(CH1827,FIND("-",CH1827)-1)))),""))</f>
        <v/>
      </c>
      <c r="CN1827">
        <f>IF(CH1827="","",IFERROR(IF(AND(LEN(CH1827)=9,ISERROR(FIND("-",LEFT(CH1827,8))),ISNUMBER(-LEFT(CH1827,8))),VALUE(MID(CH1827,5,2)),VALUE(MID(CH1827,FIND("-",CH1827)+1,FIND("-",CH1827,FIND("-",CH1827)+1)-FIND("-",CH1827)-1))),""))</f>
        <v/>
      </c>
      <c r="CO1827">
        <f>IF(CH1827="","",IFERROR(IF(AND(LEN(CH1827)=9,ISERROR(FIND("-",LEFT(CH1827,8))),ISNUMBER(-LEFT(CH1827,8))),VALUE(MID(CH1827,7,2)),VALUE(MID(CH1827,FIND("-",CH1827,FIND("-",CH1827)+1)+1,FIND("-",CH1827,FIND("-",CH1827,FIND("-",CH1827)+1)+1)-FIND("-",CH1827,FIND("-",CH1827)+1)-1))),""))</f>
        <v/>
      </c>
    </row>
    <row r="1828">
      <c r="CH1828">
        <f>IF(ISTEXT('월 가계부'!A1828),SUBSTITUTE(SUBSTITUTE(SUBSTITUTE(SUBSTITUTE(SUBSTITUTE(SUBSTITUTE(SUBSTITUTE(SUBSTITUTE(SUBSTITUTE(TRIM('월 가계부'!A1828),"년","-"),"월","-"),"일",""),".","-"),"/","-")," ","-"),"--","-"),"--","-"),"--","-")&amp;"-","")</f>
        <v/>
      </c>
      <c r="CI1828">
        <f>IFERROR(IF('월 가계부'!A1828="","",IF(ISNUMBER('월 가계부'!A1828),IF(AND('월 가계부'!A1828&gt;=19000101,'월 가계부'!A1828&lt;=21001231),IF(AND(MOD(INT('월 가계부'!A1828/100),100)&gt;=1,MOD(INT('월 가계부'!A1828/100),100)&lt;=12,MOD(INT('월 가계부'!A1828),100)&gt;=1,MOD(INT('월 가계부'!A1828),100)&lt;=31),IF(MONTH(DATE(INT('월 가계부'!A1828/10000),MOD(INT('월 가계부'!A1828/100),100),MOD(INT('월 가계부'!A1828),100)))=MOD(INT('월 가계부'!A1828/100),100),DATE(INT('월 가계부'!A1828/10000),MOD(INT('월 가계부'!A1828/100),100),MOD(INT('월 가계부'!A1828),100)),""),""),IF(AND('월 가계부'!A1828&gt;=36526,'월 가계부'!A1828&lt;73051),INT('월 가계부'!A1828),"")),IF(OR(CM1828="",CN1828="",CO1828=""),"",IF(AND(CM1828&gt;=2000,CM1828&lt;=2099,CN1828&gt;=1,CN1828&lt;=12,CO1828&gt;=1,CO1828&lt;=31),IF(MONTH(DATE(CM1828,CN1828,CO1828))=CN1828,DATE(CM1828,CN1828,CO1828),""),"")))),"")</f>
        <v/>
      </c>
      <c r="CJ1828">
        <f>IFERROR(IF('월 가계부'!C1828="","",IF(ISNUMBER('월 가계부'!C1828),'월 가계부'!C1828,VALUE(SUBSTITUTE(SUBSTITUTE(SUBSTITUTE(SUBSTITUTE(TRIM('월 가계부'!C1828),",",""),"원","")," ",""),"−","-")))),"")</f>
        <v/>
      </c>
      <c r="CK1828">
        <f>IF(ISNUMBER(CI1828),IF(CI1828&lt;$B$13,CI1828,""),"")</f>
        <v/>
      </c>
      <c r="CM1828">
        <f>IF(CH1828="","",IFERROR(IF(IF(AND(LEN(CH1828)=9,ISERROR(FIND("-",LEFT(CH1828,8))),ISNUMBER(-LEFT(CH1828,8))),VALUE(LEFT(CH1828,4)),VALUE(LEFT(CH1828,FIND("-",CH1828)-1)))&lt;100,IF(AND(LEN(CH1828)=9,ISERROR(FIND("-",LEFT(CH1828,8))),ISNUMBER(-LEFT(CH1828,8))),VALUE(LEFT(CH1828,4)),VALUE(LEFT(CH1828,FIND("-",CH1828)-1)))+2000,IF(AND(LEN(CH1828)=9,ISERROR(FIND("-",LEFT(CH1828,8))),ISNUMBER(-LEFT(CH1828,8))),VALUE(LEFT(CH1828,4)),VALUE(LEFT(CH1828,FIND("-",CH1828)-1)))),""))</f>
        <v/>
      </c>
      <c r="CN1828">
        <f>IF(CH1828="","",IFERROR(IF(AND(LEN(CH1828)=9,ISERROR(FIND("-",LEFT(CH1828,8))),ISNUMBER(-LEFT(CH1828,8))),VALUE(MID(CH1828,5,2)),VALUE(MID(CH1828,FIND("-",CH1828)+1,FIND("-",CH1828,FIND("-",CH1828)+1)-FIND("-",CH1828)-1))),""))</f>
        <v/>
      </c>
      <c r="CO1828">
        <f>IF(CH1828="","",IFERROR(IF(AND(LEN(CH1828)=9,ISERROR(FIND("-",LEFT(CH1828,8))),ISNUMBER(-LEFT(CH1828,8))),VALUE(MID(CH1828,7,2)),VALUE(MID(CH1828,FIND("-",CH1828,FIND("-",CH1828)+1)+1,FIND("-",CH1828,FIND("-",CH1828,FIND("-",CH1828)+1)+1)-FIND("-",CH1828,FIND("-",CH1828)+1)-1))),""))</f>
        <v/>
      </c>
    </row>
    <row r="1829">
      <c r="CH1829">
        <f>IF(ISTEXT('월 가계부'!A1829),SUBSTITUTE(SUBSTITUTE(SUBSTITUTE(SUBSTITUTE(SUBSTITUTE(SUBSTITUTE(SUBSTITUTE(SUBSTITUTE(SUBSTITUTE(TRIM('월 가계부'!A1829),"년","-"),"월","-"),"일",""),".","-"),"/","-")," ","-"),"--","-"),"--","-"),"--","-")&amp;"-","")</f>
        <v/>
      </c>
      <c r="CI1829">
        <f>IFERROR(IF('월 가계부'!A1829="","",IF(ISNUMBER('월 가계부'!A1829),IF(AND('월 가계부'!A1829&gt;=19000101,'월 가계부'!A1829&lt;=21001231),IF(AND(MOD(INT('월 가계부'!A1829/100),100)&gt;=1,MOD(INT('월 가계부'!A1829/100),100)&lt;=12,MOD(INT('월 가계부'!A1829),100)&gt;=1,MOD(INT('월 가계부'!A1829),100)&lt;=31),IF(MONTH(DATE(INT('월 가계부'!A1829/10000),MOD(INT('월 가계부'!A1829/100),100),MOD(INT('월 가계부'!A1829),100)))=MOD(INT('월 가계부'!A1829/100),100),DATE(INT('월 가계부'!A1829/10000),MOD(INT('월 가계부'!A1829/100),100),MOD(INT('월 가계부'!A1829),100)),""),""),IF(AND('월 가계부'!A1829&gt;=36526,'월 가계부'!A1829&lt;73051),INT('월 가계부'!A1829),"")),IF(OR(CM1829="",CN1829="",CO1829=""),"",IF(AND(CM1829&gt;=2000,CM1829&lt;=2099,CN1829&gt;=1,CN1829&lt;=12,CO1829&gt;=1,CO1829&lt;=31),IF(MONTH(DATE(CM1829,CN1829,CO1829))=CN1829,DATE(CM1829,CN1829,CO1829),""),"")))),"")</f>
        <v/>
      </c>
      <c r="CJ1829">
        <f>IFERROR(IF('월 가계부'!C1829="","",IF(ISNUMBER('월 가계부'!C1829),'월 가계부'!C1829,VALUE(SUBSTITUTE(SUBSTITUTE(SUBSTITUTE(SUBSTITUTE(TRIM('월 가계부'!C1829),",",""),"원","")," ",""),"−","-")))),"")</f>
        <v/>
      </c>
      <c r="CK1829">
        <f>IF(ISNUMBER(CI1829),IF(CI1829&lt;$B$13,CI1829,""),"")</f>
        <v/>
      </c>
      <c r="CM1829">
        <f>IF(CH1829="","",IFERROR(IF(IF(AND(LEN(CH1829)=9,ISERROR(FIND("-",LEFT(CH1829,8))),ISNUMBER(-LEFT(CH1829,8))),VALUE(LEFT(CH1829,4)),VALUE(LEFT(CH1829,FIND("-",CH1829)-1)))&lt;100,IF(AND(LEN(CH1829)=9,ISERROR(FIND("-",LEFT(CH1829,8))),ISNUMBER(-LEFT(CH1829,8))),VALUE(LEFT(CH1829,4)),VALUE(LEFT(CH1829,FIND("-",CH1829)-1)))+2000,IF(AND(LEN(CH1829)=9,ISERROR(FIND("-",LEFT(CH1829,8))),ISNUMBER(-LEFT(CH1829,8))),VALUE(LEFT(CH1829,4)),VALUE(LEFT(CH1829,FIND("-",CH1829)-1)))),""))</f>
        <v/>
      </c>
      <c r="CN1829">
        <f>IF(CH1829="","",IFERROR(IF(AND(LEN(CH1829)=9,ISERROR(FIND("-",LEFT(CH1829,8))),ISNUMBER(-LEFT(CH1829,8))),VALUE(MID(CH1829,5,2)),VALUE(MID(CH1829,FIND("-",CH1829)+1,FIND("-",CH1829,FIND("-",CH1829)+1)-FIND("-",CH1829)-1))),""))</f>
        <v/>
      </c>
      <c r="CO1829">
        <f>IF(CH1829="","",IFERROR(IF(AND(LEN(CH1829)=9,ISERROR(FIND("-",LEFT(CH1829,8))),ISNUMBER(-LEFT(CH1829,8))),VALUE(MID(CH1829,7,2)),VALUE(MID(CH1829,FIND("-",CH1829,FIND("-",CH1829)+1)+1,FIND("-",CH1829,FIND("-",CH1829,FIND("-",CH1829)+1)+1)-FIND("-",CH1829,FIND("-",CH1829)+1)-1))),""))</f>
        <v/>
      </c>
    </row>
    <row r="1830">
      <c r="CH1830">
        <f>IF(ISTEXT('월 가계부'!A1830),SUBSTITUTE(SUBSTITUTE(SUBSTITUTE(SUBSTITUTE(SUBSTITUTE(SUBSTITUTE(SUBSTITUTE(SUBSTITUTE(SUBSTITUTE(TRIM('월 가계부'!A1830),"년","-"),"월","-"),"일",""),".","-"),"/","-")," ","-"),"--","-"),"--","-"),"--","-")&amp;"-","")</f>
        <v/>
      </c>
      <c r="CI1830">
        <f>IFERROR(IF('월 가계부'!A1830="","",IF(ISNUMBER('월 가계부'!A1830),IF(AND('월 가계부'!A1830&gt;=19000101,'월 가계부'!A1830&lt;=21001231),IF(AND(MOD(INT('월 가계부'!A1830/100),100)&gt;=1,MOD(INT('월 가계부'!A1830/100),100)&lt;=12,MOD(INT('월 가계부'!A1830),100)&gt;=1,MOD(INT('월 가계부'!A1830),100)&lt;=31),IF(MONTH(DATE(INT('월 가계부'!A1830/10000),MOD(INT('월 가계부'!A1830/100),100),MOD(INT('월 가계부'!A1830),100)))=MOD(INT('월 가계부'!A1830/100),100),DATE(INT('월 가계부'!A1830/10000),MOD(INT('월 가계부'!A1830/100),100),MOD(INT('월 가계부'!A1830),100)),""),""),IF(AND('월 가계부'!A1830&gt;=36526,'월 가계부'!A1830&lt;73051),INT('월 가계부'!A1830),"")),IF(OR(CM1830="",CN1830="",CO1830=""),"",IF(AND(CM1830&gt;=2000,CM1830&lt;=2099,CN1830&gt;=1,CN1830&lt;=12,CO1830&gt;=1,CO1830&lt;=31),IF(MONTH(DATE(CM1830,CN1830,CO1830))=CN1830,DATE(CM1830,CN1830,CO1830),""),"")))),"")</f>
        <v/>
      </c>
      <c r="CJ1830">
        <f>IFERROR(IF('월 가계부'!C1830="","",IF(ISNUMBER('월 가계부'!C1830),'월 가계부'!C1830,VALUE(SUBSTITUTE(SUBSTITUTE(SUBSTITUTE(SUBSTITUTE(TRIM('월 가계부'!C1830),",",""),"원","")," ",""),"−","-")))),"")</f>
        <v/>
      </c>
      <c r="CK1830">
        <f>IF(ISNUMBER(CI1830),IF(CI1830&lt;$B$13,CI1830,""),"")</f>
        <v/>
      </c>
      <c r="CM1830">
        <f>IF(CH1830="","",IFERROR(IF(IF(AND(LEN(CH1830)=9,ISERROR(FIND("-",LEFT(CH1830,8))),ISNUMBER(-LEFT(CH1830,8))),VALUE(LEFT(CH1830,4)),VALUE(LEFT(CH1830,FIND("-",CH1830)-1)))&lt;100,IF(AND(LEN(CH1830)=9,ISERROR(FIND("-",LEFT(CH1830,8))),ISNUMBER(-LEFT(CH1830,8))),VALUE(LEFT(CH1830,4)),VALUE(LEFT(CH1830,FIND("-",CH1830)-1)))+2000,IF(AND(LEN(CH1830)=9,ISERROR(FIND("-",LEFT(CH1830,8))),ISNUMBER(-LEFT(CH1830,8))),VALUE(LEFT(CH1830,4)),VALUE(LEFT(CH1830,FIND("-",CH1830)-1)))),""))</f>
        <v/>
      </c>
      <c r="CN1830">
        <f>IF(CH1830="","",IFERROR(IF(AND(LEN(CH1830)=9,ISERROR(FIND("-",LEFT(CH1830,8))),ISNUMBER(-LEFT(CH1830,8))),VALUE(MID(CH1830,5,2)),VALUE(MID(CH1830,FIND("-",CH1830)+1,FIND("-",CH1830,FIND("-",CH1830)+1)-FIND("-",CH1830)-1))),""))</f>
        <v/>
      </c>
      <c r="CO1830">
        <f>IF(CH1830="","",IFERROR(IF(AND(LEN(CH1830)=9,ISERROR(FIND("-",LEFT(CH1830,8))),ISNUMBER(-LEFT(CH1830,8))),VALUE(MID(CH1830,7,2)),VALUE(MID(CH1830,FIND("-",CH1830,FIND("-",CH1830)+1)+1,FIND("-",CH1830,FIND("-",CH1830,FIND("-",CH1830)+1)+1)-FIND("-",CH1830,FIND("-",CH1830)+1)-1))),""))</f>
        <v/>
      </c>
    </row>
    <row r="1831">
      <c r="CH1831">
        <f>IF(ISTEXT('월 가계부'!A1831),SUBSTITUTE(SUBSTITUTE(SUBSTITUTE(SUBSTITUTE(SUBSTITUTE(SUBSTITUTE(SUBSTITUTE(SUBSTITUTE(SUBSTITUTE(TRIM('월 가계부'!A1831),"년","-"),"월","-"),"일",""),".","-"),"/","-")," ","-"),"--","-"),"--","-"),"--","-")&amp;"-","")</f>
        <v/>
      </c>
      <c r="CI1831">
        <f>IFERROR(IF('월 가계부'!A1831="","",IF(ISNUMBER('월 가계부'!A1831),IF(AND('월 가계부'!A1831&gt;=19000101,'월 가계부'!A1831&lt;=21001231),IF(AND(MOD(INT('월 가계부'!A1831/100),100)&gt;=1,MOD(INT('월 가계부'!A1831/100),100)&lt;=12,MOD(INT('월 가계부'!A1831),100)&gt;=1,MOD(INT('월 가계부'!A1831),100)&lt;=31),IF(MONTH(DATE(INT('월 가계부'!A1831/10000),MOD(INT('월 가계부'!A1831/100),100),MOD(INT('월 가계부'!A1831),100)))=MOD(INT('월 가계부'!A1831/100),100),DATE(INT('월 가계부'!A1831/10000),MOD(INT('월 가계부'!A1831/100),100),MOD(INT('월 가계부'!A1831),100)),""),""),IF(AND('월 가계부'!A1831&gt;=36526,'월 가계부'!A1831&lt;73051),INT('월 가계부'!A1831),"")),IF(OR(CM1831="",CN1831="",CO1831=""),"",IF(AND(CM1831&gt;=2000,CM1831&lt;=2099,CN1831&gt;=1,CN1831&lt;=12,CO1831&gt;=1,CO1831&lt;=31),IF(MONTH(DATE(CM1831,CN1831,CO1831))=CN1831,DATE(CM1831,CN1831,CO1831),""),"")))),"")</f>
        <v/>
      </c>
      <c r="CJ1831">
        <f>IFERROR(IF('월 가계부'!C1831="","",IF(ISNUMBER('월 가계부'!C1831),'월 가계부'!C1831,VALUE(SUBSTITUTE(SUBSTITUTE(SUBSTITUTE(SUBSTITUTE(TRIM('월 가계부'!C1831),",",""),"원","")," ",""),"−","-")))),"")</f>
        <v/>
      </c>
      <c r="CK1831">
        <f>IF(ISNUMBER(CI1831),IF(CI1831&lt;$B$13,CI1831,""),"")</f>
        <v/>
      </c>
      <c r="CM1831">
        <f>IF(CH1831="","",IFERROR(IF(IF(AND(LEN(CH1831)=9,ISERROR(FIND("-",LEFT(CH1831,8))),ISNUMBER(-LEFT(CH1831,8))),VALUE(LEFT(CH1831,4)),VALUE(LEFT(CH1831,FIND("-",CH1831)-1)))&lt;100,IF(AND(LEN(CH1831)=9,ISERROR(FIND("-",LEFT(CH1831,8))),ISNUMBER(-LEFT(CH1831,8))),VALUE(LEFT(CH1831,4)),VALUE(LEFT(CH1831,FIND("-",CH1831)-1)))+2000,IF(AND(LEN(CH1831)=9,ISERROR(FIND("-",LEFT(CH1831,8))),ISNUMBER(-LEFT(CH1831,8))),VALUE(LEFT(CH1831,4)),VALUE(LEFT(CH1831,FIND("-",CH1831)-1)))),""))</f>
        <v/>
      </c>
      <c r="CN1831">
        <f>IF(CH1831="","",IFERROR(IF(AND(LEN(CH1831)=9,ISERROR(FIND("-",LEFT(CH1831,8))),ISNUMBER(-LEFT(CH1831,8))),VALUE(MID(CH1831,5,2)),VALUE(MID(CH1831,FIND("-",CH1831)+1,FIND("-",CH1831,FIND("-",CH1831)+1)-FIND("-",CH1831)-1))),""))</f>
        <v/>
      </c>
      <c r="CO1831">
        <f>IF(CH1831="","",IFERROR(IF(AND(LEN(CH1831)=9,ISERROR(FIND("-",LEFT(CH1831,8))),ISNUMBER(-LEFT(CH1831,8))),VALUE(MID(CH1831,7,2)),VALUE(MID(CH1831,FIND("-",CH1831,FIND("-",CH1831)+1)+1,FIND("-",CH1831,FIND("-",CH1831,FIND("-",CH1831)+1)+1)-FIND("-",CH1831,FIND("-",CH1831)+1)-1))),""))</f>
        <v/>
      </c>
    </row>
    <row r="1832">
      <c r="CH1832">
        <f>IF(ISTEXT('월 가계부'!A1832),SUBSTITUTE(SUBSTITUTE(SUBSTITUTE(SUBSTITUTE(SUBSTITUTE(SUBSTITUTE(SUBSTITUTE(SUBSTITUTE(SUBSTITUTE(TRIM('월 가계부'!A1832),"년","-"),"월","-"),"일",""),".","-"),"/","-")," ","-"),"--","-"),"--","-"),"--","-")&amp;"-","")</f>
        <v/>
      </c>
      <c r="CI1832">
        <f>IFERROR(IF('월 가계부'!A1832="","",IF(ISNUMBER('월 가계부'!A1832),IF(AND('월 가계부'!A1832&gt;=19000101,'월 가계부'!A1832&lt;=21001231),IF(AND(MOD(INT('월 가계부'!A1832/100),100)&gt;=1,MOD(INT('월 가계부'!A1832/100),100)&lt;=12,MOD(INT('월 가계부'!A1832),100)&gt;=1,MOD(INT('월 가계부'!A1832),100)&lt;=31),IF(MONTH(DATE(INT('월 가계부'!A1832/10000),MOD(INT('월 가계부'!A1832/100),100),MOD(INT('월 가계부'!A1832),100)))=MOD(INT('월 가계부'!A1832/100),100),DATE(INT('월 가계부'!A1832/10000),MOD(INT('월 가계부'!A1832/100),100),MOD(INT('월 가계부'!A1832),100)),""),""),IF(AND('월 가계부'!A1832&gt;=36526,'월 가계부'!A1832&lt;73051),INT('월 가계부'!A1832),"")),IF(OR(CM1832="",CN1832="",CO1832=""),"",IF(AND(CM1832&gt;=2000,CM1832&lt;=2099,CN1832&gt;=1,CN1832&lt;=12,CO1832&gt;=1,CO1832&lt;=31),IF(MONTH(DATE(CM1832,CN1832,CO1832))=CN1832,DATE(CM1832,CN1832,CO1832),""),"")))),"")</f>
        <v/>
      </c>
      <c r="CJ1832">
        <f>IFERROR(IF('월 가계부'!C1832="","",IF(ISNUMBER('월 가계부'!C1832),'월 가계부'!C1832,VALUE(SUBSTITUTE(SUBSTITUTE(SUBSTITUTE(SUBSTITUTE(TRIM('월 가계부'!C1832),",",""),"원","")," ",""),"−","-")))),"")</f>
        <v/>
      </c>
      <c r="CK1832">
        <f>IF(ISNUMBER(CI1832),IF(CI1832&lt;$B$13,CI1832,""),"")</f>
        <v/>
      </c>
      <c r="CM1832">
        <f>IF(CH1832="","",IFERROR(IF(IF(AND(LEN(CH1832)=9,ISERROR(FIND("-",LEFT(CH1832,8))),ISNUMBER(-LEFT(CH1832,8))),VALUE(LEFT(CH1832,4)),VALUE(LEFT(CH1832,FIND("-",CH1832)-1)))&lt;100,IF(AND(LEN(CH1832)=9,ISERROR(FIND("-",LEFT(CH1832,8))),ISNUMBER(-LEFT(CH1832,8))),VALUE(LEFT(CH1832,4)),VALUE(LEFT(CH1832,FIND("-",CH1832)-1)))+2000,IF(AND(LEN(CH1832)=9,ISERROR(FIND("-",LEFT(CH1832,8))),ISNUMBER(-LEFT(CH1832,8))),VALUE(LEFT(CH1832,4)),VALUE(LEFT(CH1832,FIND("-",CH1832)-1)))),""))</f>
        <v/>
      </c>
      <c r="CN1832">
        <f>IF(CH1832="","",IFERROR(IF(AND(LEN(CH1832)=9,ISERROR(FIND("-",LEFT(CH1832,8))),ISNUMBER(-LEFT(CH1832,8))),VALUE(MID(CH1832,5,2)),VALUE(MID(CH1832,FIND("-",CH1832)+1,FIND("-",CH1832,FIND("-",CH1832)+1)-FIND("-",CH1832)-1))),""))</f>
        <v/>
      </c>
      <c r="CO1832">
        <f>IF(CH1832="","",IFERROR(IF(AND(LEN(CH1832)=9,ISERROR(FIND("-",LEFT(CH1832,8))),ISNUMBER(-LEFT(CH1832,8))),VALUE(MID(CH1832,7,2)),VALUE(MID(CH1832,FIND("-",CH1832,FIND("-",CH1832)+1)+1,FIND("-",CH1832,FIND("-",CH1832,FIND("-",CH1832)+1)+1)-FIND("-",CH1832,FIND("-",CH1832)+1)-1))),""))</f>
        <v/>
      </c>
    </row>
    <row r="1833">
      <c r="CH1833">
        <f>IF(ISTEXT('월 가계부'!A1833),SUBSTITUTE(SUBSTITUTE(SUBSTITUTE(SUBSTITUTE(SUBSTITUTE(SUBSTITUTE(SUBSTITUTE(SUBSTITUTE(SUBSTITUTE(TRIM('월 가계부'!A1833),"년","-"),"월","-"),"일",""),".","-"),"/","-")," ","-"),"--","-"),"--","-"),"--","-")&amp;"-","")</f>
        <v/>
      </c>
      <c r="CI1833">
        <f>IFERROR(IF('월 가계부'!A1833="","",IF(ISNUMBER('월 가계부'!A1833),IF(AND('월 가계부'!A1833&gt;=19000101,'월 가계부'!A1833&lt;=21001231),IF(AND(MOD(INT('월 가계부'!A1833/100),100)&gt;=1,MOD(INT('월 가계부'!A1833/100),100)&lt;=12,MOD(INT('월 가계부'!A1833),100)&gt;=1,MOD(INT('월 가계부'!A1833),100)&lt;=31),IF(MONTH(DATE(INT('월 가계부'!A1833/10000),MOD(INT('월 가계부'!A1833/100),100),MOD(INT('월 가계부'!A1833),100)))=MOD(INT('월 가계부'!A1833/100),100),DATE(INT('월 가계부'!A1833/10000),MOD(INT('월 가계부'!A1833/100),100),MOD(INT('월 가계부'!A1833),100)),""),""),IF(AND('월 가계부'!A1833&gt;=36526,'월 가계부'!A1833&lt;73051),INT('월 가계부'!A1833),"")),IF(OR(CM1833="",CN1833="",CO1833=""),"",IF(AND(CM1833&gt;=2000,CM1833&lt;=2099,CN1833&gt;=1,CN1833&lt;=12,CO1833&gt;=1,CO1833&lt;=31),IF(MONTH(DATE(CM1833,CN1833,CO1833))=CN1833,DATE(CM1833,CN1833,CO1833),""),"")))),"")</f>
        <v/>
      </c>
      <c r="CJ1833">
        <f>IFERROR(IF('월 가계부'!C1833="","",IF(ISNUMBER('월 가계부'!C1833),'월 가계부'!C1833,VALUE(SUBSTITUTE(SUBSTITUTE(SUBSTITUTE(SUBSTITUTE(TRIM('월 가계부'!C1833),",",""),"원","")," ",""),"−","-")))),"")</f>
        <v/>
      </c>
      <c r="CK1833">
        <f>IF(ISNUMBER(CI1833),IF(CI1833&lt;$B$13,CI1833,""),"")</f>
        <v/>
      </c>
      <c r="CM1833">
        <f>IF(CH1833="","",IFERROR(IF(IF(AND(LEN(CH1833)=9,ISERROR(FIND("-",LEFT(CH1833,8))),ISNUMBER(-LEFT(CH1833,8))),VALUE(LEFT(CH1833,4)),VALUE(LEFT(CH1833,FIND("-",CH1833)-1)))&lt;100,IF(AND(LEN(CH1833)=9,ISERROR(FIND("-",LEFT(CH1833,8))),ISNUMBER(-LEFT(CH1833,8))),VALUE(LEFT(CH1833,4)),VALUE(LEFT(CH1833,FIND("-",CH1833)-1)))+2000,IF(AND(LEN(CH1833)=9,ISERROR(FIND("-",LEFT(CH1833,8))),ISNUMBER(-LEFT(CH1833,8))),VALUE(LEFT(CH1833,4)),VALUE(LEFT(CH1833,FIND("-",CH1833)-1)))),""))</f>
        <v/>
      </c>
      <c r="CN1833">
        <f>IF(CH1833="","",IFERROR(IF(AND(LEN(CH1833)=9,ISERROR(FIND("-",LEFT(CH1833,8))),ISNUMBER(-LEFT(CH1833,8))),VALUE(MID(CH1833,5,2)),VALUE(MID(CH1833,FIND("-",CH1833)+1,FIND("-",CH1833,FIND("-",CH1833)+1)-FIND("-",CH1833)-1))),""))</f>
        <v/>
      </c>
      <c r="CO1833">
        <f>IF(CH1833="","",IFERROR(IF(AND(LEN(CH1833)=9,ISERROR(FIND("-",LEFT(CH1833,8))),ISNUMBER(-LEFT(CH1833,8))),VALUE(MID(CH1833,7,2)),VALUE(MID(CH1833,FIND("-",CH1833,FIND("-",CH1833)+1)+1,FIND("-",CH1833,FIND("-",CH1833,FIND("-",CH1833)+1)+1)-FIND("-",CH1833,FIND("-",CH1833)+1)-1))),""))</f>
        <v/>
      </c>
    </row>
    <row r="1834">
      <c r="CH1834">
        <f>IF(ISTEXT('월 가계부'!A1834),SUBSTITUTE(SUBSTITUTE(SUBSTITUTE(SUBSTITUTE(SUBSTITUTE(SUBSTITUTE(SUBSTITUTE(SUBSTITUTE(SUBSTITUTE(TRIM('월 가계부'!A1834),"년","-"),"월","-"),"일",""),".","-"),"/","-")," ","-"),"--","-"),"--","-"),"--","-")&amp;"-","")</f>
        <v/>
      </c>
      <c r="CI1834">
        <f>IFERROR(IF('월 가계부'!A1834="","",IF(ISNUMBER('월 가계부'!A1834),IF(AND('월 가계부'!A1834&gt;=19000101,'월 가계부'!A1834&lt;=21001231),IF(AND(MOD(INT('월 가계부'!A1834/100),100)&gt;=1,MOD(INT('월 가계부'!A1834/100),100)&lt;=12,MOD(INT('월 가계부'!A1834),100)&gt;=1,MOD(INT('월 가계부'!A1834),100)&lt;=31),IF(MONTH(DATE(INT('월 가계부'!A1834/10000),MOD(INT('월 가계부'!A1834/100),100),MOD(INT('월 가계부'!A1834),100)))=MOD(INT('월 가계부'!A1834/100),100),DATE(INT('월 가계부'!A1834/10000),MOD(INT('월 가계부'!A1834/100),100),MOD(INT('월 가계부'!A1834),100)),""),""),IF(AND('월 가계부'!A1834&gt;=36526,'월 가계부'!A1834&lt;73051),INT('월 가계부'!A1834),"")),IF(OR(CM1834="",CN1834="",CO1834=""),"",IF(AND(CM1834&gt;=2000,CM1834&lt;=2099,CN1834&gt;=1,CN1834&lt;=12,CO1834&gt;=1,CO1834&lt;=31),IF(MONTH(DATE(CM1834,CN1834,CO1834))=CN1834,DATE(CM1834,CN1834,CO1834),""),"")))),"")</f>
        <v/>
      </c>
      <c r="CJ1834">
        <f>IFERROR(IF('월 가계부'!C1834="","",IF(ISNUMBER('월 가계부'!C1834),'월 가계부'!C1834,VALUE(SUBSTITUTE(SUBSTITUTE(SUBSTITUTE(SUBSTITUTE(TRIM('월 가계부'!C1834),",",""),"원","")," ",""),"−","-")))),"")</f>
        <v/>
      </c>
      <c r="CK1834">
        <f>IF(ISNUMBER(CI1834),IF(CI1834&lt;$B$13,CI1834,""),"")</f>
        <v/>
      </c>
      <c r="CM1834">
        <f>IF(CH1834="","",IFERROR(IF(IF(AND(LEN(CH1834)=9,ISERROR(FIND("-",LEFT(CH1834,8))),ISNUMBER(-LEFT(CH1834,8))),VALUE(LEFT(CH1834,4)),VALUE(LEFT(CH1834,FIND("-",CH1834)-1)))&lt;100,IF(AND(LEN(CH1834)=9,ISERROR(FIND("-",LEFT(CH1834,8))),ISNUMBER(-LEFT(CH1834,8))),VALUE(LEFT(CH1834,4)),VALUE(LEFT(CH1834,FIND("-",CH1834)-1)))+2000,IF(AND(LEN(CH1834)=9,ISERROR(FIND("-",LEFT(CH1834,8))),ISNUMBER(-LEFT(CH1834,8))),VALUE(LEFT(CH1834,4)),VALUE(LEFT(CH1834,FIND("-",CH1834)-1)))),""))</f>
        <v/>
      </c>
      <c r="CN1834">
        <f>IF(CH1834="","",IFERROR(IF(AND(LEN(CH1834)=9,ISERROR(FIND("-",LEFT(CH1834,8))),ISNUMBER(-LEFT(CH1834,8))),VALUE(MID(CH1834,5,2)),VALUE(MID(CH1834,FIND("-",CH1834)+1,FIND("-",CH1834,FIND("-",CH1834)+1)-FIND("-",CH1834)-1))),""))</f>
        <v/>
      </c>
      <c r="CO1834">
        <f>IF(CH1834="","",IFERROR(IF(AND(LEN(CH1834)=9,ISERROR(FIND("-",LEFT(CH1834,8))),ISNUMBER(-LEFT(CH1834,8))),VALUE(MID(CH1834,7,2)),VALUE(MID(CH1834,FIND("-",CH1834,FIND("-",CH1834)+1)+1,FIND("-",CH1834,FIND("-",CH1834,FIND("-",CH1834)+1)+1)-FIND("-",CH1834,FIND("-",CH1834)+1)-1))),""))</f>
        <v/>
      </c>
    </row>
    <row r="1835">
      <c r="CH1835">
        <f>IF(ISTEXT('월 가계부'!A1835),SUBSTITUTE(SUBSTITUTE(SUBSTITUTE(SUBSTITUTE(SUBSTITUTE(SUBSTITUTE(SUBSTITUTE(SUBSTITUTE(SUBSTITUTE(TRIM('월 가계부'!A1835),"년","-"),"월","-"),"일",""),".","-"),"/","-")," ","-"),"--","-"),"--","-"),"--","-")&amp;"-","")</f>
        <v/>
      </c>
      <c r="CI1835">
        <f>IFERROR(IF('월 가계부'!A1835="","",IF(ISNUMBER('월 가계부'!A1835),IF(AND('월 가계부'!A1835&gt;=19000101,'월 가계부'!A1835&lt;=21001231),IF(AND(MOD(INT('월 가계부'!A1835/100),100)&gt;=1,MOD(INT('월 가계부'!A1835/100),100)&lt;=12,MOD(INT('월 가계부'!A1835),100)&gt;=1,MOD(INT('월 가계부'!A1835),100)&lt;=31),IF(MONTH(DATE(INT('월 가계부'!A1835/10000),MOD(INT('월 가계부'!A1835/100),100),MOD(INT('월 가계부'!A1835),100)))=MOD(INT('월 가계부'!A1835/100),100),DATE(INT('월 가계부'!A1835/10000),MOD(INT('월 가계부'!A1835/100),100),MOD(INT('월 가계부'!A1835),100)),""),""),IF(AND('월 가계부'!A1835&gt;=36526,'월 가계부'!A1835&lt;73051),INT('월 가계부'!A1835),"")),IF(OR(CM1835="",CN1835="",CO1835=""),"",IF(AND(CM1835&gt;=2000,CM1835&lt;=2099,CN1835&gt;=1,CN1835&lt;=12,CO1835&gt;=1,CO1835&lt;=31),IF(MONTH(DATE(CM1835,CN1835,CO1835))=CN1835,DATE(CM1835,CN1835,CO1835),""),"")))),"")</f>
        <v/>
      </c>
      <c r="CJ1835">
        <f>IFERROR(IF('월 가계부'!C1835="","",IF(ISNUMBER('월 가계부'!C1835),'월 가계부'!C1835,VALUE(SUBSTITUTE(SUBSTITUTE(SUBSTITUTE(SUBSTITUTE(TRIM('월 가계부'!C1835),",",""),"원","")," ",""),"−","-")))),"")</f>
        <v/>
      </c>
      <c r="CK1835">
        <f>IF(ISNUMBER(CI1835),IF(CI1835&lt;$B$13,CI1835,""),"")</f>
        <v/>
      </c>
      <c r="CM1835">
        <f>IF(CH1835="","",IFERROR(IF(IF(AND(LEN(CH1835)=9,ISERROR(FIND("-",LEFT(CH1835,8))),ISNUMBER(-LEFT(CH1835,8))),VALUE(LEFT(CH1835,4)),VALUE(LEFT(CH1835,FIND("-",CH1835)-1)))&lt;100,IF(AND(LEN(CH1835)=9,ISERROR(FIND("-",LEFT(CH1835,8))),ISNUMBER(-LEFT(CH1835,8))),VALUE(LEFT(CH1835,4)),VALUE(LEFT(CH1835,FIND("-",CH1835)-1)))+2000,IF(AND(LEN(CH1835)=9,ISERROR(FIND("-",LEFT(CH1835,8))),ISNUMBER(-LEFT(CH1835,8))),VALUE(LEFT(CH1835,4)),VALUE(LEFT(CH1835,FIND("-",CH1835)-1)))),""))</f>
        <v/>
      </c>
      <c r="CN1835">
        <f>IF(CH1835="","",IFERROR(IF(AND(LEN(CH1835)=9,ISERROR(FIND("-",LEFT(CH1835,8))),ISNUMBER(-LEFT(CH1835,8))),VALUE(MID(CH1835,5,2)),VALUE(MID(CH1835,FIND("-",CH1835)+1,FIND("-",CH1835,FIND("-",CH1835)+1)-FIND("-",CH1835)-1))),""))</f>
        <v/>
      </c>
      <c r="CO1835">
        <f>IF(CH1835="","",IFERROR(IF(AND(LEN(CH1835)=9,ISERROR(FIND("-",LEFT(CH1835,8))),ISNUMBER(-LEFT(CH1835,8))),VALUE(MID(CH1835,7,2)),VALUE(MID(CH1835,FIND("-",CH1835,FIND("-",CH1835)+1)+1,FIND("-",CH1835,FIND("-",CH1835,FIND("-",CH1835)+1)+1)-FIND("-",CH1835,FIND("-",CH1835)+1)-1))),""))</f>
        <v/>
      </c>
    </row>
    <row r="1836">
      <c r="CH1836">
        <f>IF(ISTEXT('월 가계부'!A1836),SUBSTITUTE(SUBSTITUTE(SUBSTITUTE(SUBSTITUTE(SUBSTITUTE(SUBSTITUTE(SUBSTITUTE(SUBSTITUTE(SUBSTITUTE(TRIM('월 가계부'!A1836),"년","-"),"월","-"),"일",""),".","-"),"/","-")," ","-"),"--","-"),"--","-"),"--","-")&amp;"-","")</f>
        <v/>
      </c>
      <c r="CI1836">
        <f>IFERROR(IF('월 가계부'!A1836="","",IF(ISNUMBER('월 가계부'!A1836),IF(AND('월 가계부'!A1836&gt;=19000101,'월 가계부'!A1836&lt;=21001231),IF(AND(MOD(INT('월 가계부'!A1836/100),100)&gt;=1,MOD(INT('월 가계부'!A1836/100),100)&lt;=12,MOD(INT('월 가계부'!A1836),100)&gt;=1,MOD(INT('월 가계부'!A1836),100)&lt;=31),IF(MONTH(DATE(INT('월 가계부'!A1836/10000),MOD(INT('월 가계부'!A1836/100),100),MOD(INT('월 가계부'!A1836),100)))=MOD(INT('월 가계부'!A1836/100),100),DATE(INT('월 가계부'!A1836/10000),MOD(INT('월 가계부'!A1836/100),100),MOD(INT('월 가계부'!A1836),100)),""),""),IF(AND('월 가계부'!A1836&gt;=36526,'월 가계부'!A1836&lt;73051),INT('월 가계부'!A1836),"")),IF(OR(CM1836="",CN1836="",CO1836=""),"",IF(AND(CM1836&gt;=2000,CM1836&lt;=2099,CN1836&gt;=1,CN1836&lt;=12,CO1836&gt;=1,CO1836&lt;=31),IF(MONTH(DATE(CM1836,CN1836,CO1836))=CN1836,DATE(CM1836,CN1836,CO1836),""),"")))),"")</f>
        <v/>
      </c>
      <c r="CJ1836">
        <f>IFERROR(IF('월 가계부'!C1836="","",IF(ISNUMBER('월 가계부'!C1836),'월 가계부'!C1836,VALUE(SUBSTITUTE(SUBSTITUTE(SUBSTITUTE(SUBSTITUTE(TRIM('월 가계부'!C1836),",",""),"원","")," ",""),"−","-")))),"")</f>
        <v/>
      </c>
      <c r="CK1836">
        <f>IF(ISNUMBER(CI1836),IF(CI1836&lt;$B$13,CI1836,""),"")</f>
        <v/>
      </c>
      <c r="CM1836">
        <f>IF(CH1836="","",IFERROR(IF(IF(AND(LEN(CH1836)=9,ISERROR(FIND("-",LEFT(CH1836,8))),ISNUMBER(-LEFT(CH1836,8))),VALUE(LEFT(CH1836,4)),VALUE(LEFT(CH1836,FIND("-",CH1836)-1)))&lt;100,IF(AND(LEN(CH1836)=9,ISERROR(FIND("-",LEFT(CH1836,8))),ISNUMBER(-LEFT(CH1836,8))),VALUE(LEFT(CH1836,4)),VALUE(LEFT(CH1836,FIND("-",CH1836)-1)))+2000,IF(AND(LEN(CH1836)=9,ISERROR(FIND("-",LEFT(CH1836,8))),ISNUMBER(-LEFT(CH1836,8))),VALUE(LEFT(CH1836,4)),VALUE(LEFT(CH1836,FIND("-",CH1836)-1)))),""))</f>
        <v/>
      </c>
      <c r="CN1836">
        <f>IF(CH1836="","",IFERROR(IF(AND(LEN(CH1836)=9,ISERROR(FIND("-",LEFT(CH1836,8))),ISNUMBER(-LEFT(CH1836,8))),VALUE(MID(CH1836,5,2)),VALUE(MID(CH1836,FIND("-",CH1836)+1,FIND("-",CH1836,FIND("-",CH1836)+1)-FIND("-",CH1836)-1))),""))</f>
        <v/>
      </c>
      <c r="CO1836">
        <f>IF(CH1836="","",IFERROR(IF(AND(LEN(CH1836)=9,ISERROR(FIND("-",LEFT(CH1836,8))),ISNUMBER(-LEFT(CH1836,8))),VALUE(MID(CH1836,7,2)),VALUE(MID(CH1836,FIND("-",CH1836,FIND("-",CH1836)+1)+1,FIND("-",CH1836,FIND("-",CH1836,FIND("-",CH1836)+1)+1)-FIND("-",CH1836,FIND("-",CH1836)+1)-1))),""))</f>
        <v/>
      </c>
    </row>
    <row r="1837">
      <c r="CH1837">
        <f>IF(ISTEXT('월 가계부'!A1837),SUBSTITUTE(SUBSTITUTE(SUBSTITUTE(SUBSTITUTE(SUBSTITUTE(SUBSTITUTE(SUBSTITUTE(SUBSTITUTE(SUBSTITUTE(TRIM('월 가계부'!A1837),"년","-"),"월","-"),"일",""),".","-"),"/","-")," ","-"),"--","-"),"--","-"),"--","-")&amp;"-","")</f>
        <v/>
      </c>
      <c r="CI1837">
        <f>IFERROR(IF('월 가계부'!A1837="","",IF(ISNUMBER('월 가계부'!A1837),IF(AND('월 가계부'!A1837&gt;=19000101,'월 가계부'!A1837&lt;=21001231),IF(AND(MOD(INT('월 가계부'!A1837/100),100)&gt;=1,MOD(INT('월 가계부'!A1837/100),100)&lt;=12,MOD(INT('월 가계부'!A1837),100)&gt;=1,MOD(INT('월 가계부'!A1837),100)&lt;=31),IF(MONTH(DATE(INT('월 가계부'!A1837/10000),MOD(INT('월 가계부'!A1837/100),100),MOD(INT('월 가계부'!A1837),100)))=MOD(INT('월 가계부'!A1837/100),100),DATE(INT('월 가계부'!A1837/10000),MOD(INT('월 가계부'!A1837/100),100),MOD(INT('월 가계부'!A1837),100)),""),""),IF(AND('월 가계부'!A1837&gt;=36526,'월 가계부'!A1837&lt;73051),INT('월 가계부'!A1837),"")),IF(OR(CM1837="",CN1837="",CO1837=""),"",IF(AND(CM1837&gt;=2000,CM1837&lt;=2099,CN1837&gt;=1,CN1837&lt;=12,CO1837&gt;=1,CO1837&lt;=31),IF(MONTH(DATE(CM1837,CN1837,CO1837))=CN1837,DATE(CM1837,CN1837,CO1837),""),"")))),"")</f>
        <v/>
      </c>
      <c r="CJ1837">
        <f>IFERROR(IF('월 가계부'!C1837="","",IF(ISNUMBER('월 가계부'!C1837),'월 가계부'!C1837,VALUE(SUBSTITUTE(SUBSTITUTE(SUBSTITUTE(SUBSTITUTE(TRIM('월 가계부'!C1837),",",""),"원","")," ",""),"−","-")))),"")</f>
        <v/>
      </c>
      <c r="CK1837">
        <f>IF(ISNUMBER(CI1837),IF(CI1837&lt;$B$13,CI1837,""),"")</f>
        <v/>
      </c>
      <c r="CM1837">
        <f>IF(CH1837="","",IFERROR(IF(IF(AND(LEN(CH1837)=9,ISERROR(FIND("-",LEFT(CH1837,8))),ISNUMBER(-LEFT(CH1837,8))),VALUE(LEFT(CH1837,4)),VALUE(LEFT(CH1837,FIND("-",CH1837)-1)))&lt;100,IF(AND(LEN(CH1837)=9,ISERROR(FIND("-",LEFT(CH1837,8))),ISNUMBER(-LEFT(CH1837,8))),VALUE(LEFT(CH1837,4)),VALUE(LEFT(CH1837,FIND("-",CH1837)-1)))+2000,IF(AND(LEN(CH1837)=9,ISERROR(FIND("-",LEFT(CH1837,8))),ISNUMBER(-LEFT(CH1837,8))),VALUE(LEFT(CH1837,4)),VALUE(LEFT(CH1837,FIND("-",CH1837)-1)))),""))</f>
        <v/>
      </c>
      <c r="CN1837">
        <f>IF(CH1837="","",IFERROR(IF(AND(LEN(CH1837)=9,ISERROR(FIND("-",LEFT(CH1837,8))),ISNUMBER(-LEFT(CH1837,8))),VALUE(MID(CH1837,5,2)),VALUE(MID(CH1837,FIND("-",CH1837)+1,FIND("-",CH1837,FIND("-",CH1837)+1)-FIND("-",CH1837)-1))),""))</f>
        <v/>
      </c>
      <c r="CO1837">
        <f>IF(CH1837="","",IFERROR(IF(AND(LEN(CH1837)=9,ISERROR(FIND("-",LEFT(CH1837,8))),ISNUMBER(-LEFT(CH1837,8))),VALUE(MID(CH1837,7,2)),VALUE(MID(CH1837,FIND("-",CH1837,FIND("-",CH1837)+1)+1,FIND("-",CH1837,FIND("-",CH1837,FIND("-",CH1837)+1)+1)-FIND("-",CH1837,FIND("-",CH1837)+1)-1))),""))</f>
        <v/>
      </c>
    </row>
    <row r="1838">
      <c r="CH1838">
        <f>IF(ISTEXT('월 가계부'!A1838),SUBSTITUTE(SUBSTITUTE(SUBSTITUTE(SUBSTITUTE(SUBSTITUTE(SUBSTITUTE(SUBSTITUTE(SUBSTITUTE(SUBSTITUTE(TRIM('월 가계부'!A1838),"년","-"),"월","-"),"일",""),".","-"),"/","-")," ","-"),"--","-"),"--","-"),"--","-")&amp;"-","")</f>
        <v/>
      </c>
      <c r="CI1838">
        <f>IFERROR(IF('월 가계부'!A1838="","",IF(ISNUMBER('월 가계부'!A1838),IF(AND('월 가계부'!A1838&gt;=19000101,'월 가계부'!A1838&lt;=21001231),IF(AND(MOD(INT('월 가계부'!A1838/100),100)&gt;=1,MOD(INT('월 가계부'!A1838/100),100)&lt;=12,MOD(INT('월 가계부'!A1838),100)&gt;=1,MOD(INT('월 가계부'!A1838),100)&lt;=31),IF(MONTH(DATE(INT('월 가계부'!A1838/10000),MOD(INT('월 가계부'!A1838/100),100),MOD(INT('월 가계부'!A1838),100)))=MOD(INT('월 가계부'!A1838/100),100),DATE(INT('월 가계부'!A1838/10000),MOD(INT('월 가계부'!A1838/100),100),MOD(INT('월 가계부'!A1838),100)),""),""),IF(AND('월 가계부'!A1838&gt;=36526,'월 가계부'!A1838&lt;73051),INT('월 가계부'!A1838),"")),IF(OR(CM1838="",CN1838="",CO1838=""),"",IF(AND(CM1838&gt;=2000,CM1838&lt;=2099,CN1838&gt;=1,CN1838&lt;=12,CO1838&gt;=1,CO1838&lt;=31),IF(MONTH(DATE(CM1838,CN1838,CO1838))=CN1838,DATE(CM1838,CN1838,CO1838),""),"")))),"")</f>
        <v/>
      </c>
      <c r="CJ1838">
        <f>IFERROR(IF('월 가계부'!C1838="","",IF(ISNUMBER('월 가계부'!C1838),'월 가계부'!C1838,VALUE(SUBSTITUTE(SUBSTITUTE(SUBSTITUTE(SUBSTITUTE(TRIM('월 가계부'!C1838),",",""),"원","")," ",""),"−","-")))),"")</f>
        <v/>
      </c>
      <c r="CK1838">
        <f>IF(ISNUMBER(CI1838),IF(CI1838&lt;$B$13,CI1838,""),"")</f>
        <v/>
      </c>
      <c r="CM1838">
        <f>IF(CH1838="","",IFERROR(IF(IF(AND(LEN(CH1838)=9,ISERROR(FIND("-",LEFT(CH1838,8))),ISNUMBER(-LEFT(CH1838,8))),VALUE(LEFT(CH1838,4)),VALUE(LEFT(CH1838,FIND("-",CH1838)-1)))&lt;100,IF(AND(LEN(CH1838)=9,ISERROR(FIND("-",LEFT(CH1838,8))),ISNUMBER(-LEFT(CH1838,8))),VALUE(LEFT(CH1838,4)),VALUE(LEFT(CH1838,FIND("-",CH1838)-1)))+2000,IF(AND(LEN(CH1838)=9,ISERROR(FIND("-",LEFT(CH1838,8))),ISNUMBER(-LEFT(CH1838,8))),VALUE(LEFT(CH1838,4)),VALUE(LEFT(CH1838,FIND("-",CH1838)-1)))),""))</f>
        <v/>
      </c>
      <c r="CN1838">
        <f>IF(CH1838="","",IFERROR(IF(AND(LEN(CH1838)=9,ISERROR(FIND("-",LEFT(CH1838,8))),ISNUMBER(-LEFT(CH1838,8))),VALUE(MID(CH1838,5,2)),VALUE(MID(CH1838,FIND("-",CH1838)+1,FIND("-",CH1838,FIND("-",CH1838)+1)-FIND("-",CH1838)-1))),""))</f>
        <v/>
      </c>
      <c r="CO1838">
        <f>IF(CH1838="","",IFERROR(IF(AND(LEN(CH1838)=9,ISERROR(FIND("-",LEFT(CH1838,8))),ISNUMBER(-LEFT(CH1838,8))),VALUE(MID(CH1838,7,2)),VALUE(MID(CH1838,FIND("-",CH1838,FIND("-",CH1838)+1)+1,FIND("-",CH1838,FIND("-",CH1838,FIND("-",CH1838)+1)+1)-FIND("-",CH1838,FIND("-",CH1838)+1)-1))),""))</f>
        <v/>
      </c>
    </row>
    <row r="1839">
      <c r="CH1839">
        <f>IF(ISTEXT('월 가계부'!A1839),SUBSTITUTE(SUBSTITUTE(SUBSTITUTE(SUBSTITUTE(SUBSTITUTE(SUBSTITUTE(SUBSTITUTE(SUBSTITUTE(SUBSTITUTE(TRIM('월 가계부'!A1839),"년","-"),"월","-"),"일",""),".","-"),"/","-")," ","-"),"--","-"),"--","-"),"--","-")&amp;"-","")</f>
        <v/>
      </c>
      <c r="CI1839">
        <f>IFERROR(IF('월 가계부'!A1839="","",IF(ISNUMBER('월 가계부'!A1839),IF(AND('월 가계부'!A1839&gt;=19000101,'월 가계부'!A1839&lt;=21001231),IF(AND(MOD(INT('월 가계부'!A1839/100),100)&gt;=1,MOD(INT('월 가계부'!A1839/100),100)&lt;=12,MOD(INT('월 가계부'!A1839),100)&gt;=1,MOD(INT('월 가계부'!A1839),100)&lt;=31),IF(MONTH(DATE(INT('월 가계부'!A1839/10000),MOD(INT('월 가계부'!A1839/100),100),MOD(INT('월 가계부'!A1839),100)))=MOD(INT('월 가계부'!A1839/100),100),DATE(INT('월 가계부'!A1839/10000),MOD(INT('월 가계부'!A1839/100),100),MOD(INT('월 가계부'!A1839),100)),""),""),IF(AND('월 가계부'!A1839&gt;=36526,'월 가계부'!A1839&lt;73051),INT('월 가계부'!A1839),"")),IF(OR(CM1839="",CN1839="",CO1839=""),"",IF(AND(CM1839&gt;=2000,CM1839&lt;=2099,CN1839&gt;=1,CN1839&lt;=12,CO1839&gt;=1,CO1839&lt;=31),IF(MONTH(DATE(CM1839,CN1839,CO1839))=CN1839,DATE(CM1839,CN1839,CO1839),""),"")))),"")</f>
        <v/>
      </c>
      <c r="CJ1839">
        <f>IFERROR(IF('월 가계부'!C1839="","",IF(ISNUMBER('월 가계부'!C1839),'월 가계부'!C1839,VALUE(SUBSTITUTE(SUBSTITUTE(SUBSTITUTE(SUBSTITUTE(TRIM('월 가계부'!C1839),",",""),"원","")," ",""),"−","-")))),"")</f>
        <v/>
      </c>
      <c r="CK1839">
        <f>IF(ISNUMBER(CI1839),IF(CI1839&lt;$B$13,CI1839,""),"")</f>
        <v/>
      </c>
      <c r="CM1839">
        <f>IF(CH1839="","",IFERROR(IF(IF(AND(LEN(CH1839)=9,ISERROR(FIND("-",LEFT(CH1839,8))),ISNUMBER(-LEFT(CH1839,8))),VALUE(LEFT(CH1839,4)),VALUE(LEFT(CH1839,FIND("-",CH1839)-1)))&lt;100,IF(AND(LEN(CH1839)=9,ISERROR(FIND("-",LEFT(CH1839,8))),ISNUMBER(-LEFT(CH1839,8))),VALUE(LEFT(CH1839,4)),VALUE(LEFT(CH1839,FIND("-",CH1839)-1)))+2000,IF(AND(LEN(CH1839)=9,ISERROR(FIND("-",LEFT(CH1839,8))),ISNUMBER(-LEFT(CH1839,8))),VALUE(LEFT(CH1839,4)),VALUE(LEFT(CH1839,FIND("-",CH1839)-1)))),""))</f>
        <v/>
      </c>
      <c r="CN1839">
        <f>IF(CH1839="","",IFERROR(IF(AND(LEN(CH1839)=9,ISERROR(FIND("-",LEFT(CH1839,8))),ISNUMBER(-LEFT(CH1839,8))),VALUE(MID(CH1839,5,2)),VALUE(MID(CH1839,FIND("-",CH1839)+1,FIND("-",CH1839,FIND("-",CH1839)+1)-FIND("-",CH1839)-1))),""))</f>
        <v/>
      </c>
      <c r="CO1839">
        <f>IF(CH1839="","",IFERROR(IF(AND(LEN(CH1839)=9,ISERROR(FIND("-",LEFT(CH1839,8))),ISNUMBER(-LEFT(CH1839,8))),VALUE(MID(CH1839,7,2)),VALUE(MID(CH1839,FIND("-",CH1839,FIND("-",CH1839)+1)+1,FIND("-",CH1839,FIND("-",CH1839,FIND("-",CH1839)+1)+1)-FIND("-",CH1839,FIND("-",CH1839)+1)-1))),""))</f>
        <v/>
      </c>
    </row>
    <row r="1840">
      <c r="CH1840">
        <f>IF(ISTEXT('월 가계부'!A1840),SUBSTITUTE(SUBSTITUTE(SUBSTITUTE(SUBSTITUTE(SUBSTITUTE(SUBSTITUTE(SUBSTITUTE(SUBSTITUTE(SUBSTITUTE(TRIM('월 가계부'!A1840),"년","-"),"월","-"),"일",""),".","-"),"/","-")," ","-"),"--","-"),"--","-"),"--","-")&amp;"-","")</f>
        <v/>
      </c>
      <c r="CI1840">
        <f>IFERROR(IF('월 가계부'!A1840="","",IF(ISNUMBER('월 가계부'!A1840),IF(AND('월 가계부'!A1840&gt;=19000101,'월 가계부'!A1840&lt;=21001231),IF(AND(MOD(INT('월 가계부'!A1840/100),100)&gt;=1,MOD(INT('월 가계부'!A1840/100),100)&lt;=12,MOD(INT('월 가계부'!A1840),100)&gt;=1,MOD(INT('월 가계부'!A1840),100)&lt;=31),IF(MONTH(DATE(INT('월 가계부'!A1840/10000),MOD(INT('월 가계부'!A1840/100),100),MOD(INT('월 가계부'!A1840),100)))=MOD(INT('월 가계부'!A1840/100),100),DATE(INT('월 가계부'!A1840/10000),MOD(INT('월 가계부'!A1840/100),100),MOD(INT('월 가계부'!A1840),100)),""),""),IF(AND('월 가계부'!A1840&gt;=36526,'월 가계부'!A1840&lt;73051),INT('월 가계부'!A1840),"")),IF(OR(CM1840="",CN1840="",CO1840=""),"",IF(AND(CM1840&gt;=2000,CM1840&lt;=2099,CN1840&gt;=1,CN1840&lt;=12,CO1840&gt;=1,CO1840&lt;=31),IF(MONTH(DATE(CM1840,CN1840,CO1840))=CN1840,DATE(CM1840,CN1840,CO1840),""),"")))),"")</f>
        <v/>
      </c>
      <c r="CJ1840">
        <f>IFERROR(IF('월 가계부'!C1840="","",IF(ISNUMBER('월 가계부'!C1840),'월 가계부'!C1840,VALUE(SUBSTITUTE(SUBSTITUTE(SUBSTITUTE(SUBSTITUTE(TRIM('월 가계부'!C1840),",",""),"원","")," ",""),"−","-")))),"")</f>
        <v/>
      </c>
      <c r="CK1840">
        <f>IF(ISNUMBER(CI1840),IF(CI1840&lt;$B$13,CI1840,""),"")</f>
        <v/>
      </c>
      <c r="CM1840">
        <f>IF(CH1840="","",IFERROR(IF(IF(AND(LEN(CH1840)=9,ISERROR(FIND("-",LEFT(CH1840,8))),ISNUMBER(-LEFT(CH1840,8))),VALUE(LEFT(CH1840,4)),VALUE(LEFT(CH1840,FIND("-",CH1840)-1)))&lt;100,IF(AND(LEN(CH1840)=9,ISERROR(FIND("-",LEFT(CH1840,8))),ISNUMBER(-LEFT(CH1840,8))),VALUE(LEFT(CH1840,4)),VALUE(LEFT(CH1840,FIND("-",CH1840)-1)))+2000,IF(AND(LEN(CH1840)=9,ISERROR(FIND("-",LEFT(CH1840,8))),ISNUMBER(-LEFT(CH1840,8))),VALUE(LEFT(CH1840,4)),VALUE(LEFT(CH1840,FIND("-",CH1840)-1)))),""))</f>
        <v/>
      </c>
      <c r="CN1840">
        <f>IF(CH1840="","",IFERROR(IF(AND(LEN(CH1840)=9,ISERROR(FIND("-",LEFT(CH1840,8))),ISNUMBER(-LEFT(CH1840,8))),VALUE(MID(CH1840,5,2)),VALUE(MID(CH1840,FIND("-",CH1840)+1,FIND("-",CH1840,FIND("-",CH1840)+1)-FIND("-",CH1840)-1))),""))</f>
        <v/>
      </c>
      <c r="CO1840">
        <f>IF(CH1840="","",IFERROR(IF(AND(LEN(CH1840)=9,ISERROR(FIND("-",LEFT(CH1840,8))),ISNUMBER(-LEFT(CH1840,8))),VALUE(MID(CH1840,7,2)),VALUE(MID(CH1840,FIND("-",CH1840,FIND("-",CH1840)+1)+1,FIND("-",CH1840,FIND("-",CH1840,FIND("-",CH1840)+1)+1)-FIND("-",CH1840,FIND("-",CH1840)+1)-1))),""))</f>
        <v/>
      </c>
    </row>
    <row r="1841">
      <c r="CH1841">
        <f>IF(ISTEXT('월 가계부'!A1841),SUBSTITUTE(SUBSTITUTE(SUBSTITUTE(SUBSTITUTE(SUBSTITUTE(SUBSTITUTE(SUBSTITUTE(SUBSTITUTE(SUBSTITUTE(TRIM('월 가계부'!A1841),"년","-"),"월","-"),"일",""),".","-"),"/","-")," ","-"),"--","-"),"--","-"),"--","-")&amp;"-","")</f>
        <v/>
      </c>
      <c r="CI1841">
        <f>IFERROR(IF('월 가계부'!A1841="","",IF(ISNUMBER('월 가계부'!A1841),IF(AND('월 가계부'!A1841&gt;=19000101,'월 가계부'!A1841&lt;=21001231),IF(AND(MOD(INT('월 가계부'!A1841/100),100)&gt;=1,MOD(INT('월 가계부'!A1841/100),100)&lt;=12,MOD(INT('월 가계부'!A1841),100)&gt;=1,MOD(INT('월 가계부'!A1841),100)&lt;=31),IF(MONTH(DATE(INT('월 가계부'!A1841/10000),MOD(INT('월 가계부'!A1841/100),100),MOD(INT('월 가계부'!A1841),100)))=MOD(INT('월 가계부'!A1841/100),100),DATE(INT('월 가계부'!A1841/10000),MOD(INT('월 가계부'!A1841/100),100),MOD(INT('월 가계부'!A1841),100)),""),""),IF(AND('월 가계부'!A1841&gt;=36526,'월 가계부'!A1841&lt;73051),INT('월 가계부'!A1841),"")),IF(OR(CM1841="",CN1841="",CO1841=""),"",IF(AND(CM1841&gt;=2000,CM1841&lt;=2099,CN1841&gt;=1,CN1841&lt;=12,CO1841&gt;=1,CO1841&lt;=31),IF(MONTH(DATE(CM1841,CN1841,CO1841))=CN1841,DATE(CM1841,CN1841,CO1841),""),"")))),"")</f>
        <v/>
      </c>
      <c r="CJ1841">
        <f>IFERROR(IF('월 가계부'!C1841="","",IF(ISNUMBER('월 가계부'!C1841),'월 가계부'!C1841,VALUE(SUBSTITUTE(SUBSTITUTE(SUBSTITUTE(SUBSTITUTE(TRIM('월 가계부'!C1841),",",""),"원","")," ",""),"−","-")))),"")</f>
        <v/>
      </c>
      <c r="CK1841">
        <f>IF(ISNUMBER(CI1841),IF(CI1841&lt;$B$13,CI1841,""),"")</f>
        <v/>
      </c>
      <c r="CM1841">
        <f>IF(CH1841="","",IFERROR(IF(IF(AND(LEN(CH1841)=9,ISERROR(FIND("-",LEFT(CH1841,8))),ISNUMBER(-LEFT(CH1841,8))),VALUE(LEFT(CH1841,4)),VALUE(LEFT(CH1841,FIND("-",CH1841)-1)))&lt;100,IF(AND(LEN(CH1841)=9,ISERROR(FIND("-",LEFT(CH1841,8))),ISNUMBER(-LEFT(CH1841,8))),VALUE(LEFT(CH1841,4)),VALUE(LEFT(CH1841,FIND("-",CH1841)-1)))+2000,IF(AND(LEN(CH1841)=9,ISERROR(FIND("-",LEFT(CH1841,8))),ISNUMBER(-LEFT(CH1841,8))),VALUE(LEFT(CH1841,4)),VALUE(LEFT(CH1841,FIND("-",CH1841)-1)))),""))</f>
        <v/>
      </c>
      <c r="CN1841">
        <f>IF(CH1841="","",IFERROR(IF(AND(LEN(CH1841)=9,ISERROR(FIND("-",LEFT(CH1841,8))),ISNUMBER(-LEFT(CH1841,8))),VALUE(MID(CH1841,5,2)),VALUE(MID(CH1841,FIND("-",CH1841)+1,FIND("-",CH1841,FIND("-",CH1841)+1)-FIND("-",CH1841)-1))),""))</f>
        <v/>
      </c>
      <c r="CO1841">
        <f>IF(CH1841="","",IFERROR(IF(AND(LEN(CH1841)=9,ISERROR(FIND("-",LEFT(CH1841,8))),ISNUMBER(-LEFT(CH1841,8))),VALUE(MID(CH1841,7,2)),VALUE(MID(CH1841,FIND("-",CH1841,FIND("-",CH1841)+1)+1,FIND("-",CH1841,FIND("-",CH1841,FIND("-",CH1841)+1)+1)-FIND("-",CH1841,FIND("-",CH1841)+1)-1))),""))</f>
        <v/>
      </c>
    </row>
    <row r="1842">
      <c r="CH1842">
        <f>IF(ISTEXT('월 가계부'!A1842),SUBSTITUTE(SUBSTITUTE(SUBSTITUTE(SUBSTITUTE(SUBSTITUTE(SUBSTITUTE(SUBSTITUTE(SUBSTITUTE(SUBSTITUTE(TRIM('월 가계부'!A1842),"년","-"),"월","-"),"일",""),".","-"),"/","-")," ","-"),"--","-"),"--","-"),"--","-")&amp;"-","")</f>
        <v/>
      </c>
      <c r="CI1842">
        <f>IFERROR(IF('월 가계부'!A1842="","",IF(ISNUMBER('월 가계부'!A1842),IF(AND('월 가계부'!A1842&gt;=19000101,'월 가계부'!A1842&lt;=21001231),IF(AND(MOD(INT('월 가계부'!A1842/100),100)&gt;=1,MOD(INT('월 가계부'!A1842/100),100)&lt;=12,MOD(INT('월 가계부'!A1842),100)&gt;=1,MOD(INT('월 가계부'!A1842),100)&lt;=31),IF(MONTH(DATE(INT('월 가계부'!A1842/10000),MOD(INT('월 가계부'!A1842/100),100),MOD(INT('월 가계부'!A1842),100)))=MOD(INT('월 가계부'!A1842/100),100),DATE(INT('월 가계부'!A1842/10000),MOD(INT('월 가계부'!A1842/100),100),MOD(INT('월 가계부'!A1842),100)),""),""),IF(AND('월 가계부'!A1842&gt;=36526,'월 가계부'!A1842&lt;73051),INT('월 가계부'!A1842),"")),IF(OR(CM1842="",CN1842="",CO1842=""),"",IF(AND(CM1842&gt;=2000,CM1842&lt;=2099,CN1842&gt;=1,CN1842&lt;=12,CO1842&gt;=1,CO1842&lt;=31),IF(MONTH(DATE(CM1842,CN1842,CO1842))=CN1842,DATE(CM1842,CN1842,CO1842),""),"")))),"")</f>
        <v/>
      </c>
      <c r="CJ1842">
        <f>IFERROR(IF('월 가계부'!C1842="","",IF(ISNUMBER('월 가계부'!C1842),'월 가계부'!C1842,VALUE(SUBSTITUTE(SUBSTITUTE(SUBSTITUTE(SUBSTITUTE(TRIM('월 가계부'!C1842),",",""),"원","")," ",""),"−","-")))),"")</f>
        <v/>
      </c>
      <c r="CK1842">
        <f>IF(ISNUMBER(CI1842),IF(CI1842&lt;$B$13,CI1842,""),"")</f>
        <v/>
      </c>
      <c r="CM1842">
        <f>IF(CH1842="","",IFERROR(IF(IF(AND(LEN(CH1842)=9,ISERROR(FIND("-",LEFT(CH1842,8))),ISNUMBER(-LEFT(CH1842,8))),VALUE(LEFT(CH1842,4)),VALUE(LEFT(CH1842,FIND("-",CH1842)-1)))&lt;100,IF(AND(LEN(CH1842)=9,ISERROR(FIND("-",LEFT(CH1842,8))),ISNUMBER(-LEFT(CH1842,8))),VALUE(LEFT(CH1842,4)),VALUE(LEFT(CH1842,FIND("-",CH1842)-1)))+2000,IF(AND(LEN(CH1842)=9,ISERROR(FIND("-",LEFT(CH1842,8))),ISNUMBER(-LEFT(CH1842,8))),VALUE(LEFT(CH1842,4)),VALUE(LEFT(CH1842,FIND("-",CH1842)-1)))),""))</f>
        <v/>
      </c>
      <c r="CN1842">
        <f>IF(CH1842="","",IFERROR(IF(AND(LEN(CH1842)=9,ISERROR(FIND("-",LEFT(CH1842,8))),ISNUMBER(-LEFT(CH1842,8))),VALUE(MID(CH1842,5,2)),VALUE(MID(CH1842,FIND("-",CH1842)+1,FIND("-",CH1842,FIND("-",CH1842)+1)-FIND("-",CH1842)-1))),""))</f>
        <v/>
      </c>
      <c r="CO1842">
        <f>IF(CH1842="","",IFERROR(IF(AND(LEN(CH1842)=9,ISERROR(FIND("-",LEFT(CH1842,8))),ISNUMBER(-LEFT(CH1842,8))),VALUE(MID(CH1842,7,2)),VALUE(MID(CH1842,FIND("-",CH1842,FIND("-",CH1842)+1)+1,FIND("-",CH1842,FIND("-",CH1842,FIND("-",CH1842)+1)+1)-FIND("-",CH1842,FIND("-",CH1842)+1)-1))),""))</f>
        <v/>
      </c>
    </row>
    <row r="1843">
      <c r="CH1843">
        <f>IF(ISTEXT('월 가계부'!A1843),SUBSTITUTE(SUBSTITUTE(SUBSTITUTE(SUBSTITUTE(SUBSTITUTE(SUBSTITUTE(SUBSTITUTE(SUBSTITUTE(SUBSTITUTE(TRIM('월 가계부'!A1843),"년","-"),"월","-"),"일",""),".","-"),"/","-")," ","-"),"--","-"),"--","-"),"--","-")&amp;"-","")</f>
        <v/>
      </c>
      <c r="CI1843">
        <f>IFERROR(IF('월 가계부'!A1843="","",IF(ISNUMBER('월 가계부'!A1843),IF(AND('월 가계부'!A1843&gt;=19000101,'월 가계부'!A1843&lt;=21001231),IF(AND(MOD(INT('월 가계부'!A1843/100),100)&gt;=1,MOD(INT('월 가계부'!A1843/100),100)&lt;=12,MOD(INT('월 가계부'!A1843),100)&gt;=1,MOD(INT('월 가계부'!A1843),100)&lt;=31),IF(MONTH(DATE(INT('월 가계부'!A1843/10000),MOD(INT('월 가계부'!A1843/100),100),MOD(INT('월 가계부'!A1843),100)))=MOD(INT('월 가계부'!A1843/100),100),DATE(INT('월 가계부'!A1843/10000),MOD(INT('월 가계부'!A1843/100),100),MOD(INT('월 가계부'!A1843),100)),""),""),IF(AND('월 가계부'!A1843&gt;=36526,'월 가계부'!A1843&lt;73051),INT('월 가계부'!A1843),"")),IF(OR(CM1843="",CN1843="",CO1843=""),"",IF(AND(CM1843&gt;=2000,CM1843&lt;=2099,CN1843&gt;=1,CN1843&lt;=12,CO1843&gt;=1,CO1843&lt;=31),IF(MONTH(DATE(CM1843,CN1843,CO1843))=CN1843,DATE(CM1843,CN1843,CO1843),""),"")))),"")</f>
        <v/>
      </c>
      <c r="CJ1843">
        <f>IFERROR(IF('월 가계부'!C1843="","",IF(ISNUMBER('월 가계부'!C1843),'월 가계부'!C1843,VALUE(SUBSTITUTE(SUBSTITUTE(SUBSTITUTE(SUBSTITUTE(TRIM('월 가계부'!C1843),",",""),"원","")," ",""),"−","-")))),"")</f>
        <v/>
      </c>
      <c r="CK1843">
        <f>IF(ISNUMBER(CI1843),IF(CI1843&lt;$B$13,CI1843,""),"")</f>
        <v/>
      </c>
      <c r="CM1843">
        <f>IF(CH1843="","",IFERROR(IF(IF(AND(LEN(CH1843)=9,ISERROR(FIND("-",LEFT(CH1843,8))),ISNUMBER(-LEFT(CH1843,8))),VALUE(LEFT(CH1843,4)),VALUE(LEFT(CH1843,FIND("-",CH1843)-1)))&lt;100,IF(AND(LEN(CH1843)=9,ISERROR(FIND("-",LEFT(CH1843,8))),ISNUMBER(-LEFT(CH1843,8))),VALUE(LEFT(CH1843,4)),VALUE(LEFT(CH1843,FIND("-",CH1843)-1)))+2000,IF(AND(LEN(CH1843)=9,ISERROR(FIND("-",LEFT(CH1843,8))),ISNUMBER(-LEFT(CH1843,8))),VALUE(LEFT(CH1843,4)),VALUE(LEFT(CH1843,FIND("-",CH1843)-1)))),""))</f>
        <v/>
      </c>
      <c r="CN1843">
        <f>IF(CH1843="","",IFERROR(IF(AND(LEN(CH1843)=9,ISERROR(FIND("-",LEFT(CH1843,8))),ISNUMBER(-LEFT(CH1843,8))),VALUE(MID(CH1843,5,2)),VALUE(MID(CH1843,FIND("-",CH1843)+1,FIND("-",CH1843,FIND("-",CH1843)+1)-FIND("-",CH1843)-1))),""))</f>
        <v/>
      </c>
      <c r="CO1843">
        <f>IF(CH1843="","",IFERROR(IF(AND(LEN(CH1843)=9,ISERROR(FIND("-",LEFT(CH1843,8))),ISNUMBER(-LEFT(CH1843,8))),VALUE(MID(CH1843,7,2)),VALUE(MID(CH1843,FIND("-",CH1843,FIND("-",CH1843)+1)+1,FIND("-",CH1843,FIND("-",CH1843,FIND("-",CH1843)+1)+1)-FIND("-",CH1843,FIND("-",CH1843)+1)-1))),""))</f>
        <v/>
      </c>
    </row>
    <row r="1844">
      <c r="CH1844">
        <f>IF(ISTEXT('월 가계부'!A1844),SUBSTITUTE(SUBSTITUTE(SUBSTITUTE(SUBSTITUTE(SUBSTITUTE(SUBSTITUTE(SUBSTITUTE(SUBSTITUTE(SUBSTITUTE(TRIM('월 가계부'!A1844),"년","-"),"월","-"),"일",""),".","-"),"/","-")," ","-"),"--","-"),"--","-"),"--","-")&amp;"-","")</f>
        <v/>
      </c>
      <c r="CI1844">
        <f>IFERROR(IF('월 가계부'!A1844="","",IF(ISNUMBER('월 가계부'!A1844),IF(AND('월 가계부'!A1844&gt;=19000101,'월 가계부'!A1844&lt;=21001231),IF(AND(MOD(INT('월 가계부'!A1844/100),100)&gt;=1,MOD(INT('월 가계부'!A1844/100),100)&lt;=12,MOD(INT('월 가계부'!A1844),100)&gt;=1,MOD(INT('월 가계부'!A1844),100)&lt;=31),IF(MONTH(DATE(INT('월 가계부'!A1844/10000),MOD(INT('월 가계부'!A1844/100),100),MOD(INT('월 가계부'!A1844),100)))=MOD(INT('월 가계부'!A1844/100),100),DATE(INT('월 가계부'!A1844/10000),MOD(INT('월 가계부'!A1844/100),100),MOD(INT('월 가계부'!A1844),100)),""),""),IF(AND('월 가계부'!A1844&gt;=36526,'월 가계부'!A1844&lt;73051),INT('월 가계부'!A1844),"")),IF(OR(CM1844="",CN1844="",CO1844=""),"",IF(AND(CM1844&gt;=2000,CM1844&lt;=2099,CN1844&gt;=1,CN1844&lt;=12,CO1844&gt;=1,CO1844&lt;=31),IF(MONTH(DATE(CM1844,CN1844,CO1844))=CN1844,DATE(CM1844,CN1844,CO1844),""),"")))),"")</f>
        <v/>
      </c>
      <c r="CJ1844">
        <f>IFERROR(IF('월 가계부'!C1844="","",IF(ISNUMBER('월 가계부'!C1844),'월 가계부'!C1844,VALUE(SUBSTITUTE(SUBSTITUTE(SUBSTITUTE(SUBSTITUTE(TRIM('월 가계부'!C1844),",",""),"원","")," ",""),"−","-")))),"")</f>
        <v/>
      </c>
      <c r="CK1844">
        <f>IF(ISNUMBER(CI1844),IF(CI1844&lt;$B$13,CI1844,""),"")</f>
        <v/>
      </c>
      <c r="CM1844">
        <f>IF(CH1844="","",IFERROR(IF(IF(AND(LEN(CH1844)=9,ISERROR(FIND("-",LEFT(CH1844,8))),ISNUMBER(-LEFT(CH1844,8))),VALUE(LEFT(CH1844,4)),VALUE(LEFT(CH1844,FIND("-",CH1844)-1)))&lt;100,IF(AND(LEN(CH1844)=9,ISERROR(FIND("-",LEFT(CH1844,8))),ISNUMBER(-LEFT(CH1844,8))),VALUE(LEFT(CH1844,4)),VALUE(LEFT(CH1844,FIND("-",CH1844)-1)))+2000,IF(AND(LEN(CH1844)=9,ISERROR(FIND("-",LEFT(CH1844,8))),ISNUMBER(-LEFT(CH1844,8))),VALUE(LEFT(CH1844,4)),VALUE(LEFT(CH1844,FIND("-",CH1844)-1)))),""))</f>
        <v/>
      </c>
      <c r="CN1844">
        <f>IF(CH1844="","",IFERROR(IF(AND(LEN(CH1844)=9,ISERROR(FIND("-",LEFT(CH1844,8))),ISNUMBER(-LEFT(CH1844,8))),VALUE(MID(CH1844,5,2)),VALUE(MID(CH1844,FIND("-",CH1844)+1,FIND("-",CH1844,FIND("-",CH1844)+1)-FIND("-",CH1844)-1))),""))</f>
        <v/>
      </c>
      <c r="CO1844">
        <f>IF(CH1844="","",IFERROR(IF(AND(LEN(CH1844)=9,ISERROR(FIND("-",LEFT(CH1844,8))),ISNUMBER(-LEFT(CH1844,8))),VALUE(MID(CH1844,7,2)),VALUE(MID(CH1844,FIND("-",CH1844,FIND("-",CH1844)+1)+1,FIND("-",CH1844,FIND("-",CH1844,FIND("-",CH1844)+1)+1)-FIND("-",CH1844,FIND("-",CH1844)+1)-1))),""))</f>
        <v/>
      </c>
    </row>
    <row r="1845">
      <c r="CH1845">
        <f>IF(ISTEXT('월 가계부'!A1845),SUBSTITUTE(SUBSTITUTE(SUBSTITUTE(SUBSTITUTE(SUBSTITUTE(SUBSTITUTE(SUBSTITUTE(SUBSTITUTE(SUBSTITUTE(TRIM('월 가계부'!A1845),"년","-"),"월","-"),"일",""),".","-"),"/","-")," ","-"),"--","-"),"--","-"),"--","-")&amp;"-","")</f>
        <v/>
      </c>
      <c r="CI1845">
        <f>IFERROR(IF('월 가계부'!A1845="","",IF(ISNUMBER('월 가계부'!A1845),IF(AND('월 가계부'!A1845&gt;=19000101,'월 가계부'!A1845&lt;=21001231),IF(AND(MOD(INT('월 가계부'!A1845/100),100)&gt;=1,MOD(INT('월 가계부'!A1845/100),100)&lt;=12,MOD(INT('월 가계부'!A1845),100)&gt;=1,MOD(INT('월 가계부'!A1845),100)&lt;=31),IF(MONTH(DATE(INT('월 가계부'!A1845/10000),MOD(INT('월 가계부'!A1845/100),100),MOD(INT('월 가계부'!A1845),100)))=MOD(INT('월 가계부'!A1845/100),100),DATE(INT('월 가계부'!A1845/10000),MOD(INT('월 가계부'!A1845/100),100),MOD(INT('월 가계부'!A1845),100)),""),""),IF(AND('월 가계부'!A1845&gt;=36526,'월 가계부'!A1845&lt;73051),INT('월 가계부'!A1845),"")),IF(OR(CM1845="",CN1845="",CO1845=""),"",IF(AND(CM1845&gt;=2000,CM1845&lt;=2099,CN1845&gt;=1,CN1845&lt;=12,CO1845&gt;=1,CO1845&lt;=31),IF(MONTH(DATE(CM1845,CN1845,CO1845))=CN1845,DATE(CM1845,CN1845,CO1845),""),"")))),"")</f>
        <v/>
      </c>
      <c r="CJ1845">
        <f>IFERROR(IF('월 가계부'!C1845="","",IF(ISNUMBER('월 가계부'!C1845),'월 가계부'!C1845,VALUE(SUBSTITUTE(SUBSTITUTE(SUBSTITUTE(SUBSTITUTE(TRIM('월 가계부'!C1845),",",""),"원","")," ",""),"−","-")))),"")</f>
        <v/>
      </c>
      <c r="CK1845">
        <f>IF(ISNUMBER(CI1845),IF(CI1845&lt;$B$13,CI1845,""),"")</f>
        <v/>
      </c>
      <c r="CM1845">
        <f>IF(CH1845="","",IFERROR(IF(IF(AND(LEN(CH1845)=9,ISERROR(FIND("-",LEFT(CH1845,8))),ISNUMBER(-LEFT(CH1845,8))),VALUE(LEFT(CH1845,4)),VALUE(LEFT(CH1845,FIND("-",CH1845)-1)))&lt;100,IF(AND(LEN(CH1845)=9,ISERROR(FIND("-",LEFT(CH1845,8))),ISNUMBER(-LEFT(CH1845,8))),VALUE(LEFT(CH1845,4)),VALUE(LEFT(CH1845,FIND("-",CH1845)-1)))+2000,IF(AND(LEN(CH1845)=9,ISERROR(FIND("-",LEFT(CH1845,8))),ISNUMBER(-LEFT(CH1845,8))),VALUE(LEFT(CH1845,4)),VALUE(LEFT(CH1845,FIND("-",CH1845)-1)))),""))</f>
        <v/>
      </c>
      <c r="CN1845">
        <f>IF(CH1845="","",IFERROR(IF(AND(LEN(CH1845)=9,ISERROR(FIND("-",LEFT(CH1845,8))),ISNUMBER(-LEFT(CH1845,8))),VALUE(MID(CH1845,5,2)),VALUE(MID(CH1845,FIND("-",CH1845)+1,FIND("-",CH1845,FIND("-",CH1845)+1)-FIND("-",CH1845)-1))),""))</f>
        <v/>
      </c>
      <c r="CO1845">
        <f>IF(CH1845="","",IFERROR(IF(AND(LEN(CH1845)=9,ISERROR(FIND("-",LEFT(CH1845,8))),ISNUMBER(-LEFT(CH1845,8))),VALUE(MID(CH1845,7,2)),VALUE(MID(CH1845,FIND("-",CH1845,FIND("-",CH1845)+1)+1,FIND("-",CH1845,FIND("-",CH1845,FIND("-",CH1845)+1)+1)-FIND("-",CH1845,FIND("-",CH1845)+1)-1))),""))</f>
        <v/>
      </c>
    </row>
    <row r="1846">
      <c r="CH1846">
        <f>IF(ISTEXT('월 가계부'!A1846),SUBSTITUTE(SUBSTITUTE(SUBSTITUTE(SUBSTITUTE(SUBSTITUTE(SUBSTITUTE(SUBSTITUTE(SUBSTITUTE(SUBSTITUTE(TRIM('월 가계부'!A1846),"년","-"),"월","-"),"일",""),".","-"),"/","-")," ","-"),"--","-"),"--","-"),"--","-")&amp;"-","")</f>
        <v/>
      </c>
      <c r="CI1846">
        <f>IFERROR(IF('월 가계부'!A1846="","",IF(ISNUMBER('월 가계부'!A1846),IF(AND('월 가계부'!A1846&gt;=19000101,'월 가계부'!A1846&lt;=21001231),IF(AND(MOD(INT('월 가계부'!A1846/100),100)&gt;=1,MOD(INT('월 가계부'!A1846/100),100)&lt;=12,MOD(INT('월 가계부'!A1846),100)&gt;=1,MOD(INT('월 가계부'!A1846),100)&lt;=31),IF(MONTH(DATE(INT('월 가계부'!A1846/10000),MOD(INT('월 가계부'!A1846/100),100),MOD(INT('월 가계부'!A1846),100)))=MOD(INT('월 가계부'!A1846/100),100),DATE(INT('월 가계부'!A1846/10000),MOD(INT('월 가계부'!A1846/100),100),MOD(INT('월 가계부'!A1846),100)),""),""),IF(AND('월 가계부'!A1846&gt;=36526,'월 가계부'!A1846&lt;73051),INT('월 가계부'!A1846),"")),IF(OR(CM1846="",CN1846="",CO1846=""),"",IF(AND(CM1846&gt;=2000,CM1846&lt;=2099,CN1846&gt;=1,CN1846&lt;=12,CO1846&gt;=1,CO1846&lt;=31),IF(MONTH(DATE(CM1846,CN1846,CO1846))=CN1846,DATE(CM1846,CN1846,CO1846),""),"")))),"")</f>
        <v/>
      </c>
      <c r="CJ1846">
        <f>IFERROR(IF('월 가계부'!C1846="","",IF(ISNUMBER('월 가계부'!C1846),'월 가계부'!C1846,VALUE(SUBSTITUTE(SUBSTITUTE(SUBSTITUTE(SUBSTITUTE(TRIM('월 가계부'!C1846),",",""),"원","")," ",""),"−","-")))),"")</f>
        <v/>
      </c>
      <c r="CK1846">
        <f>IF(ISNUMBER(CI1846),IF(CI1846&lt;$B$13,CI1846,""),"")</f>
        <v/>
      </c>
      <c r="CM1846">
        <f>IF(CH1846="","",IFERROR(IF(IF(AND(LEN(CH1846)=9,ISERROR(FIND("-",LEFT(CH1846,8))),ISNUMBER(-LEFT(CH1846,8))),VALUE(LEFT(CH1846,4)),VALUE(LEFT(CH1846,FIND("-",CH1846)-1)))&lt;100,IF(AND(LEN(CH1846)=9,ISERROR(FIND("-",LEFT(CH1846,8))),ISNUMBER(-LEFT(CH1846,8))),VALUE(LEFT(CH1846,4)),VALUE(LEFT(CH1846,FIND("-",CH1846)-1)))+2000,IF(AND(LEN(CH1846)=9,ISERROR(FIND("-",LEFT(CH1846,8))),ISNUMBER(-LEFT(CH1846,8))),VALUE(LEFT(CH1846,4)),VALUE(LEFT(CH1846,FIND("-",CH1846)-1)))),""))</f>
        <v/>
      </c>
      <c r="CN1846">
        <f>IF(CH1846="","",IFERROR(IF(AND(LEN(CH1846)=9,ISERROR(FIND("-",LEFT(CH1846,8))),ISNUMBER(-LEFT(CH1846,8))),VALUE(MID(CH1846,5,2)),VALUE(MID(CH1846,FIND("-",CH1846)+1,FIND("-",CH1846,FIND("-",CH1846)+1)-FIND("-",CH1846)-1))),""))</f>
        <v/>
      </c>
      <c r="CO1846">
        <f>IF(CH1846="","",IFERROR(IF(AND(LEN(CH1846)=9,ISERROR(FIND("-",LEFT(CH1846,8))),ISNUMBER(-LEFT(CH1846,8))),VALUE(MID(CH1846,7,2)),VALUE(MID(CH1846,FIND("-",CH1846,FIND("-",CH1846)+1)+1,FIND("-",CH1846,FIND("-",CH1846,FIND("-",CH1846)+1)+1)-FIND("-",CH1846,FIND("-",CH1846)+1)-1))),""))</f>
        <v/>
      </c>
    </row>
    <row r="1847">
      <c r="CH1847">
        <f>IF(ISTEXT('월 가계부'!A1847),SUBSTITUTE(SUBSTITUTE(SUBSTITUTE(SUBSTITUTE(SUBSTITUTE(SUBSTITUTE(SUBSTITUTE(SUBSTITUTE(SUBSTITUTE(TRIM('월 가계부'!A1847),"년","-"),"월","-"),"일",""),".","-"),"/","-")," ","-"),"--","-"),"--","-"),"--","-")&amp;"-","")</f>
        <v/>
      </c>
      <c r="CI1847">
        <f>IFERROR(IF('월 가계부'!A1847="","",IF(ISNUMBER('월 가계부'!A1847),IF(AND('월 가계부'!A1847&gt;=19000101,'월 가계부'!A1847&lt;=21001231),IF(AND(MOD(INT('월 가계부'!A1847/100),100)&gt;=1,MOD(INT('월 가계부'!A1847/100),100)&lt;=12,MOD(INT('월 가계부'!A1847),100)&gt;=1,MOD(INT('월 가계부'!A1847),100)&lt;=31),IF(MONTH(DATE(INT('월 가계부'!A1847/10000),MOD(INT('월 가계부'!A1847/100),100),MOD(INT('월 가계부'!A1847),100)))=MOD(INT('월 가계부'!A1847/100),100),DATE(INT('월 가계부'!A1847/10000),MOD(INT('월 가계부'!A1847/100),100),MOD(INT('월 가계부'!A1847),100)),""),""),IF(AND('월 가계부'!A1847&gt;=36526,'월 가계부'!A1847&lt;73051),INT('월 가계부'!A1847),"")),IF(OR(CM1847="",CN1847="",CO1847=""),"",IF(AND(CM1847&gt;=2000,CM1847&lt;=2099,CN1847&gt;=1,CN1847&lt;=12,CO1847&gt;=1,CO1847&lt;=31),IF(MONTH(DATE(CM1847,CN1847,CO1847))=CN1847,DATE(CM1847,CN1847,CO1847),""),"")))),"")</f>
        <v/>
      </c>
      <c r="CJ1847">
        <f>IFERROR(IF('월 가계부'!C1847="","",IF(ISNUMBER('월 가계부'!C1847),'월 가계부'!C1847,VALUE(SUBSTITUTE(SUBSTITUTE(SUBSTITUTE(SUBSTITUTE(TRIM('월 가계부'!C1847),",",""),"원","")," ",""),"−","-")))),"")</f>
        <v/>
      </c>
      <c r="CK1847">
        <f>IF(ISNUMBER(CI1847),IF(CI1847&lt;$B$13,CI1847,""),"")</f>
        <v/>
      </c>
      <c r="CM1847">
        <f>IF(CH1847="","",IFERROR(IF(IF(AND(LEN(CH1847)=9,ISERROR(FIND("-",LEFT(CH1847,8))),ISNUMBER(-LEFT(CH1847,8))),VALUE(LEFT(CH1847,4)),VALUE(LEFT(CH1847,FIND("-",CH1847)-1)))&lt;100,IF(AND(LEN(CH1847)=9,ISERROR(FIND("-",LEFT(CH1847,8))),ISNUMBER(-LEFT(CH1847,8))),VALUE(LEFT(CH1847,4)),VALUE(LEFT(CH1847,FIND("-",CH1847)-1)))+2000,IF(AND(LEN(CH1847)=9,ISERROR(FIND("-",LEFT(CH1847,8))),ISNUMBER(-LEFT(CH1847,8))),VALUE(LEFT(CH1847,4)),VALUE(LEFT(CH1847,FIND("-",CH1847)-1)))),""))</f>
        <v/>
      </c>
      <c r="CN1847">
        <f>IF(CH1847="","",IFERROR(IF(AND(LEN(CH1847)=9,ISERROR(FIND("-",LEFT(CH1847,8))),ISNUMBER(-LEFT(CH1847,8))),VALUE(MID(CH1847,5,2)),VALUE(MID(CH1847,FIND("-",CH1847)+1,FIND("-",CH1847,FIND("-",CH1847)+1)-FIND("-",CH1847)-1))),""))</f>
        <v/>
      </c>
      <c r="CO1847">
        <f>IF(CH1847="","",IFERROR(IF(AND(LEN(CH1847)=9,ISERROR(FIND("-",LEFT(CH1847,8))),ISNUMBER(-LEFT(CH1847,8))),VALUE(MID(CH1847,7,2)),VALUE(MID(CH1847,FIND("-",CH1847,FIND("-",CH1847)+1)+1,FIND("-",CH1847,FIND("-",CH1847,FIND("-",CH1847)+1)+1)-FIND("-",CH1847,FIND("-",CH1847)+1)-1))),""))</f>
        <v/>
      </c>
    </row>
    <row r="1848">
      <c r="CH1848">
        <f>IF(ISTEXT('월 가계부'!A1848),SUBSTITUTE(SUBSTITUTE(SUBSTITUTE(SUBSTITUTE(SUBSTITUTE(SUBSTITUTE(SUBSTITUTE(SUBSTITUTE(SUBSTITUTE(TRIM('월 가계부'!A1848),"년","-"),"월","-"),"일",""),".","-"),"/","-")," ","-"),"--","-"),"--","-"),"--","-")&amp;"-","")</f>
        <v/>
      </c>
      <c r="CI1848">
        <f>IFERROR(IF('월 가계부'!A1848="","",IF(ISNUMBER('월 가계부'!A1848),IF(AND('월 가계부'!A1848&gt;=19000101,'월 가계부'!A1848&lt;=21001231),IF(AND(MOD(INT('월 가계부'!A1848/100),100)&gt;=1,MOD(INT('월 가계부'!A1848/100),100)&lt;=12,MOD(INT('월 가계부'!A1848),100)&gt;=1,MOD(INT('월 가계부'!A1848),100)&lt;=31),IF(MONTH(DATE(INT('월 가계부'!A1848/10000),MOD(INT('월 가계부'!A1848/100),100),MOD(INT('월 가계부'!A1848),100)))=MOD(INT('월 가계부'!A1848/100),100),DATE(INT('월 가계부'!A1848/10000),MOD(INT('월 가계부'!A1848/100),100),MOD(INT('월 가계부'!A1848),100)),""),""),IF(AND('월 가계부'!A1848&gt;=36526,'월 가계부'!A1848&lt;73051),INT('월 가계부'!A1848),"")),IF(OR(CM1848="",CN1848="",CO1848=""),"",IF(AND(CM1848&gt;=2000,CM1848&lt;=2099,CN1848&gt;=1,CN1848&lt;=12,CO1848&gt;=1,CO1848&lt;=31),IF(MONTH(DATE(CM1848,CN1848,CO1848))=CN1848,DATE(CM1848,CN1848,CO1848),""),"")))),"")</f>
        <v/>
      </c>
      <c r="CJ1848">
        <f>IFERROR(IF('월 가계부'!C1848="","",IF(ISNUMBER('월 가계부'!C1848),'월 가계부'!C1848,VALUE(SUBSTITUTE(SUBSTITUTE(SUBSTITUTE(SUBSTITUTE(TRIM('월 가계부'!C1848),",",""),"원","")," ",""),"−","-")))),"")</f>
        <v/>
      </c>
      <c r="CK1848">
        <f>IF(ISNUMBER(CI1848),IF(CI1848&lt;$B$13,CI1848,""),"")</f>
        <v/>
      </c>
      <c r="CM1848">
        <f>IF(CH1848="","",IFERROR(IF(IF(AND(LEN(CH1848)=9,ISERROR(FIND("-",LEFT(CH1848,8))),ISNUMBER(-LEFT(CH1848,8))),VALUE(LEFT(CH1848,4)),VALUE(LEFT(CH1848,FIND("-",CH1848)-1)))&lt;100,IF(AND(LEN(CH1848)=9,ISERROR(FIND("-",LEFT(CH1848,8))),ISNUMBER(-LEFT(CH1848,8))),VALUE(LEFT(CH1848,4)),VALUE(LEFT(CH1848,FIND("-",CH1848)-1)))+2000,IF(AND(LEN(CH1848)=9,ISERROR(FIND("-",LEFT(CH1848,8))),ISNUMBER(-LEFT(CH1848,8))),VALUE(LEFT(CH1848,4)),VALUE(LEFT(CH1848,FIND("-",CH1848)-1)))),""))</f>
        <v/>
      </c>
      <c r="CN1848">
        <f>IF(CH1848="","",IFERROR(IF(AND(LEN(CH1848)=9,ISERROR(FIND("-",LEFT(CH1848,8))),ISNUMBER(-LEFT(CH1848,8))),VALUE(MID(CH1848,5,2)),VALUE(MID(CH1848,FIND("-",CH1848)+1,FIND("-",CH1848,FIND("-",CH1848)+1)-FIND("-",CH1848)-1))),""))</f>
        <v/>
      </c>
      <c r="CO1848">
        <f>IF(CH1848="","",IFERROR(IF(AND(LEN(CH1848)=9,ISERROR(FIND("-",LEFT(CH1848,8))),ISNUMBER(-LEFT(CH1848,8))),VALUE(MID(CH1848,7,2)),VALUE(MID(CH1848,FIND("-",CH1848,FIND("-",CH1848)+1)+1,FIND("-",CH1848,FIND("-",CH1848,FIND("-",CH1848)+1)+1)-FIND("-",CH1848,FIND("-",CH1848)+1)-1))),""))</f>
        <v/>
      </c>
    </row>
    <row r="1849">
      <c r="CH1849">
        <f>IF(ISTEXT('월 가계부'!A1849),SUBSTITUTE(SUBSTITUTE(SUBSTITUTE(SUBSTITUTE(SUBSTITUTE(SUBSTITUTE(SUBSTITUTE(SUBSTITUTE(SUBSTITUTE(TRIM('월 가계부'!A1849),"년","-"),"월","-"),"일",""),".","-"),"/","-")," ","-"),"--","-"),"--","-"),"--","-")&amp;"-","")</f>
        <v/>
      </c>
      <c r="CI1849">
        <f>IFERROR(IF('월 가계부'!A1849="","",IF(ISNUMBER('월 가계부'!A1849),IF(AND('월 가계부'!A1849&gt;=19000101,'월 가계부'!A1849&lt;=21001231),IF(AND(MOD(INT('월 가계부'!A1849/100),100)&gt;=1,MOD(INT('월 가계부'!A1849/100),100)&lt;=12,MOD(INT('월 가계부'!A1849),100)&gt;=1,MOD(INT('월 가계부'!A1849),100)&lt;=31),IF(MONTH(DATE(INT('월 가계부'!A1849/10000),MOD(INT('월 가계부'!A1849/100),100),MOD(INT('월 가계부'!A1849),100)))=MOD(INT('월 가계부'!A1849/100),100),DATE(INT('월 가계부'!A1849/10000),MOD(INT('월 가계부'!A1849/100),100),MOD(INT('월 가계부'!A1849),100)),""),""),IF(AND('월 가계부'!A1849&gt;=36526,'월 가계부'!A1849&lt;73051),INT('월 가계부'!A1849),"")),IF(OR(CM1849="",CN1849="",CO1849=""),"",IF(AND(CM1849&gt;=2000,CM1849&lt;=2099,CN1849&gt;=1,CN1849&lt;=12,CO1849&gt;=1,CO1849&lt;=31),IF(MONTH(DATE(CM1849,CN1849,CO1849))=CN1849,DATE(CM1849,CN1849,CO1849),""),"")))),"")</f>
        <v/>
      </c>
      <c r="CJ1849">
        <f>IFERROR(IF('월 가계부'!C1849="","",IF(ISNUMBER('월 가계부'!C1849),'월 가계부'!C1849,VALUE(SUBSTITUTE(SUBSTITUTE(SUBSTITUTE(SUBSTITUTE(TRIM('월 가계부'!C1849),",",""),"원","")," ",""),"−","-")))),"")</f>
        <v/>
      </c>
      <c r="CK1849">
        <f>IF(ISNUMBER(CI1849),IF(CI1849&lt;$B$13,CI1849,""),"")</f>
        <v/>
      </c>
      <c r="CM1849">
        <f>IF(CH1849="","",IFERROR(IF(IF(AND(LEN(CH1849)=9,ISERROR(FIND("-",LEFT(CH1849,8))),ISNUMBER(-LEFT(CH1849,8))),VALUE(LEFT(CH1849,4)),VALUE(LEFT(CH1849,FIND("-",CH1849)-1)))&lt;100,IF(AND(LEN(CH1849)=9,ISERROR(FIND("-",LEFT(CH1849,8))),ISNUMBER(-LEFT(CH1849,8))),VALUE(LEFT(CH1849,4)),VALUE(LEFT(CH1849,FIND("-",CH1849)-1)))+2000,IF(AND(LEN(CH1849)=9,ISERROR(FIND("-",LEFT(CH1849,8))),ISNUMBER(-LEFT(CH1849,8))),VALUE(LEFT(CH1849,4)),VALUE(LEFT(CH1849,FIND("-",CH1849)-1)))),""))</f>
        <v/>
      </c>
      <c r="CN1849">
        <f>IF(CH1849="","",IFERROR(IF(AND(LEN(CH1849)=9,ISERROR(FIND("-",LEFT(CH1849,8))),ISNUMBER(-LEFT(CH1849,8))),VALUE(MID(CH1849,5,2)),VALUE(MID(CH1849,FIND("-",CH1849)+1,FIND("-",CH1849,FIND("-",CH1849)+1)-FIND("-",CH1849)-1))),""))</f>
        <v/>
      </c>
      <c r="CO1849">
        <f>IF(CH1849="","",IFERROR(IF(AND(LEN(CH1849)=9,ISERROR(FIND("-",LEFT(CH1849,8))),ISNUMBER(-LEFT(CH1849,8))),VALUE(MID(CH1849,7,2)),VALUE(MID(CH1849,FIND("-",CH1849,FIND("-",CH1849)+1)+1,FIND("-",CH1849,FIND("-",CH1849,FIND("-",CH1849)+1)+1)-FIND("-",CH1849,FIND("-",CH1849)+1)-1))),""))</f>
        <v/>
      </c>
    </row>
    <row r="1850">
      <c r="CH1850">
        <f>IF(ISTEXT('월 가계부'!A1850),SUBSTITUTE(SUBSTITUTE(SUBSTITUTE(SUBSTITUTE(SUBSTITUTE(SUBSTITUTE(SUBSTITUTE(SUBSTITUTE(SUBSTITUTE(TRIM('월 가계부'!A1850),"년","-"),"월","-"),"일",""),".","-"),"/","-")," ","-"),"--","-"),"--","-"),"--","-")&amp;"-","")</f>
        <v/>
      </c>
      <c r="CI1850">
        <f>IFERROR(IF('월 가계부'!A1850="","",IF(ISNUMBER('월 가계부'!A1850),IF(AND('월 가계부'!A1850&gt;=19000101,'월 가계부'!A1850&lt;=21001231),IF(AND(MOD(INT('월 가계부'!A1850/100),100)&gt;=1,MOD(INT('월 가계부'!A1850/100),100)&lt;=12,MOD(INT('월 가계부'!A1850),100)&gt;=1,MOD(INT('월 가계부'!A1850),100)&lt;=31),IF(MONTH(DATE(INT('월 가계부'!A1850/10000),MOD(INT('월 가계부'!A1850/100),100),MOD(INT('월 가계부'!A1850),100)))=MOD(INT('월 가계부'!A1850/100),100),DATE(INT('월 가계부'!A1850/10000),MOD(INT('월 가계부'!A1850/100),100),MOD(INT('월 가계부'!A1850),100)),""),""),IF(AND('월 가계부'!A1850&gt;=36526,'월 가계부'!A1850&lt;73051),INT('월 가계부'!A1850),"")),IF(OR(CM1850="",CN1850="",CO1850=""),"",IF(AND(CM1850&gt;=2000,CM1850&lt;=2099,CN1850&gt;=1,CN1850&lt;=12,CO1850&gt;=1,CO1850&lt;=31),IF(MONTH(DATE(CM1850,CN1850,CO1850))=CN1850,DATE(CM1850,CN1850,CO1850),""),"")))),"")</f>
        <v/>
      </c>
      <c r="CJ1850">
        <f>IFERROR(IF('월 가계부'!C1850="","",IF(ISNUMBER('월 가계부'!C1850),'월 가계부'!C1850,VALUE(SUBSTITUTE(SUBSTITUTE(SUBSTITUTE(SUBSTITUTE(TRIM('월 가계부'!C1850),",",""),"원","")," ",""),"−","-")))),"")</f>
        <v/>
      </c>
      <c r="CK1850">
        <f>IF(ISNUMBER(CI1850),IF(CI1850&lt;$B$13,CI1850,""),"")</f>
        <v/>
      </c>
      <c r="CM1850">
        <f>IF(CH1850="","",IFERROR(IF(IF(AND(LEN(CH1850)=9,ISERROR(FIND("-",LEFT(CH1850,8))),ISNUMBER(-LEFT(CH1850,8))),VALUE(LEFT(CH1850,4)),VALUE(LEFT(CH1850,FIND("-",CH1850)-1)))&lt;100,IF(AND(LEN(CH1850)=9,ISERROR(FIND("-",LEFT(CH1850,8))),ISNUMBER(-LEFT(CH1850,8))),VALUE(LEFT(CH1850,4)),VALUE(LEFT(CH1850,FIND("-",CH1850)-1)))+2000,IF(AND(LEN(CH1850)=9,ISERROR(FIND("-",LEFT(CH1850,8))),ISNUMBER(-LEFT(CH1850,8))),VALUE(LEFT(CH1850,4)),VALUE(LEFT(CH1850,FIND("-",CH1850)-1)))),""))</f>
        <v/>
      </c>
      <c r="CN1850">
        <f>IF(CH1850="","",IFERROR(IF(AND(LEN(CH1850)=9,ISERROR(FIND("-",LEFT(CH1850,8))),ISNUMBER(-LEFT(CH1850,8))),VALUE(MID(CH1850,5,2)),VALUE(MID(CH1850,FIND("-",CH1850)+1,FIND("-",CH1850,FIND("-",CH1850)+1)-FIND("-",CH1850)-1))),""))</f>
        <v/>
      </c>
      <c r="CO1850">
        <f>IF(CH1850="","",IFERROR(IF(AND(LEN(CH1850)=9,ISERROR(FIND("-",LEFT(CH1850,8))),ISNUMBER(-LEFT(CH1850,8))),VALUE(MID(CH1850,7,2)),VALUE(MID(CH1850,FIND("-",CH1850,FIND("-",CH1850)+1)+1,FIND("-",CH1850,FIND("-",CH1850,FIND("-",CH1850)+1)+1)-FIND("-",CH1850,FIND("-",CH1850)+1)-1))),""))</f>
        <v/>
      </c>
    </row>
    <row r="1851">
      <c r="CH1851">
        <f>IF(ISTEXT('월 가계부'!A1851),SUBSTITUTE(SUBSTITUTE(SUBSTITUTE(SUBSTITUTE(SUBSTITUTE(SUBSTITUTE(SUBSTITUTE(SUBSTITUTE(SUBSTITUTE(TRIM('월 가계부'!A1851),"년","-"),"월","-"),"일",""),".","-"),"/","-")," ","-"),"--","-"),"--","-"),"--","-")&amp;"-","")</f>
        <v/>
      </c>
      <c r="CI1851">
        <f>IFERROR(IF('월 가계부'!A1851="","",IF(ISNUMBER('월 가계부'!A1851),IF(AND('월 가계부'!A1851&gt;=19000101,'월 가계부'!A1851&lt;=21001231),IF(AND(MOD(INT('월 가계부'!A1851/100),100)&gt;=1,MOD(INT('월 가계부'!A1851/100),100)&lt;=12,MOD(INT('월 가계부'!A1851),100)&gt;=1,MOD(INT('월 가계부'!A1851),100)&lt;=31),IF(MONTH(DATE(INT('월 가계부'!A1851/10000),MOD(INT('월 가계부'!A1851/100),100),MOD(INT('월 가계부'!A1851),100)))=MOD(INT('월 가계부'!A1851/100),100),DATE(INT('월 가계부'!A1851/10000),MOD(INT('월 가계부'!A1851/100),100),MOD(INT('월 가계부'!A1851),100)),""),""),IF(AND('월 가계부'!A1851&gt;=36526,'월 가계부'!A1851&lt;73051),INT('월 가계부'!A1851),"")),IF(OR(CM1851="",CN1851="",CO1851=""),"",IF(AND(CM1851&gt;=2000,CM1851&lt;=2099,CN1851&gt;=1,CN1851&lt;=12,CO1851&gt;=1,CO1851&lt;=31),IF(MONTH(DATE(CM1851,CN1851,CO1851))=CN1851,DATE(CM1851,CN1851,CO1851),""),"")))),"")</f>
        <v/>
      </c>
      <c r="CJ1851">
        <f>IFERROR(IF('월 가계부'!C1851="","",IF(ISNUMBER('월 가계부'!C1851),'월 가계부'!C1851,VALUE(SUBSTITUTE(SUBSTITUTE(SUBSTITUTE(SUBSTITUTE(TRIM('월 가계부'!C1851),",",""),"원","")," ",""),"−","-")))),"")</f>
        <v/>
      </c>
      <c r="CK1851">
        <f>IF(ISNUMBER(CI1851),IF(CI1851&lt;$B$13,CI1851,""),"")</f>
        <v/>
      </c>
      <c r="CM1851">
        <f>IF(CH1851="","",IFERROR(IF(IF(AND(LEN(CH1851)=9,ISERROR(FIND("-",LEFT(CH1851,8))),ISNUMBER(-LEFT(CH1851,8))),VALUE(LEFT(CH1851,4)),VALUE(LEFT(CH1851,FIND("-",CH1851)-1)))&lt;100,IF(AND(LEN(CH1851)=9,ISERROR(FIND("-",LEFT(CH1851,8))),ISNUMBER(-LEFT(CH1851,8))),VALUE(LEFT(CH1851,4)),VALUE(LEFT(CH1851,FIND("-",CH1851)-1)))+2000,IF(AND(LEN(CH1851)=9,ISERROR(FIND("-",LEFT(CH1851,8))),ISNUMBER(-LEFT(CH1851,8))),VALUE(LEFT(CH1851,4)),VALUE(LEFT(CH1851,FIND("-",CH1851)-1)))),""))</f>
        <v/>
      </c>
      <c r="CN1851">
        <f>IF(CH1851="","",IFERROR(IF(AND(LEN(CH1851)=9,ISERROR(FIND("-",LEFT(CH1851,8))),ISNUMBER(-LEFT(CH1851,8))),VALUE(MID(CH1851,5,2)),VALUE(MID(CH1851,FIND("-",CH1851)+1,FIND("-",CH1851,FIND("-",CH1851)+1)-FIND("-",CH1851)-1))),""))</f>
        <v/>
      </c>
      <c r="CO1851">
        <f>IF(CH1851="","",IFERROR(IF(AND(LEN(CH1851)=9,ISERROR(FIND("-",LEFT(CH1851,8))),ISNUMBER(-LEFT(CH1851,8))),VALUE(MID(CH1851,7,2)),VALUE(MID(CH1851,FIND("-",CH1851,FIND("-",CH1851)+1)+1,FIND("-",CH1851,FIND("-",CH1851,FIND("-",CH1851)+1)+1)-FIND("-",CH1851,FIND("-",CH1851)+1)-1))),""))</f>
        <v/>
      </c>
    </row>
    <row r="1852">
      <c r="CH1852">
        <f>IF(ISTEXT('월 가계부'!A1852),SUBSTITUTE(SUBSTITUTE(SUBSTITUTE(SUBSTITUTE(SUBSTITUTE(SUBSTITUTE(SUBSTITUTE(SUBSTITUTE(SUBSTITUTE(TRIM('월 가계부'!A1852),"년","-"),"월","-"),"일",""),".","-"),"/","-")," ","-"),"--","-"),"--","-"),"--","-")&amp;"-","")</f>
        <v/>
      </c>
      <c r="CI1852">
        <f>IFERROR(IF('월 가계부'!A1852="","",IF(ISNUMBER('월 가계부'!A1852),IF(AND('월 가계부'!A1852&gt;=19000101,'월 가계부'!A1852&lt;=21001231),IF(AND(MOD(INT('월 가계부'!A1852/100),100)&gt;=1,MOD(INT('월 가계부'!A1852/100),100)&lt;=12,MOD(INT('월 가계부'!A1852),100)&gt;=1,MOD(INT('월 가계부'!A1852),100)&lt;=31),IF(MONTH(DATE(INT('월 가계부'!A1852/10000),MOD(INT('월 가계부'!A1852/100),100),MOD(INT('월 가계부'!A1852),100)))=MOD(INT('월 가계부'!A1852/100),100),DATE(INT('월 가계부'!A1852/10000),MOD(INT('월 가계부'!A1852/100),100),MOD(INT('월 가계부'!A1852),100)),""),""),IF(AND('월 가계부'!A1852&gt;=36526,'월 가계부'!A1852&lt;73051),INT('월 가계부'!A1852),"")),IF(OR(CM1852="",CN1852="",CO1852=""),"",IF(AND(CM1852&gt;=2000,CM1852&lt;=2099,CN1852&gt;=1,CN1852&lt;=12,CO1852&gt;=1,CO1852&lt;=31),IF(MONTH(DATE(CM1852,CN1852,CO1852))=CN1852,DATE(CM1852,CN1852,CO1852),""),"")))),"")</f>
        <v/>
      </c>
      <c r="CJ1852">
        <f>IFERROR(IF('월 가계부'!C1852="","",IF(ISNUMBER('월 가계부'!C1852),'월 가계부'!C1852,VALUE(SUBSTITUTE(SUBSTITUTE(SUBSTITUTE(SUBSTITUTE(TRIM('월 가계부'!C1852),",",""),"원","")," ",""),"−","-")))),"")</f>
        <v/>
      </c>
      <c r="CK1852">
        <f>IF(ISNUMBER(CI1852),IF(CI1852&lt;$B$13,CI1852,""),"")</f>
        <v/>
      </c>
      <c r="CM1852">
        <f>IF(CH1852="","",IFERROR(IF(IF(AND(LEN(CH1852)=9,ISERROR(FIND("-",LEFT(CH1852,8))),ISNUMBER(-LEFT(CH1852,8))),VALUE(LEFT(CH1852,4)),VALUE(LEFT(CH1852,FIND("-",CH1852)-1)))&lt;100,IF(AND(LEN(CH1852)=9,ISERROR(FIND("-",LEFT(CH1852,8))),ISNUMBER(-LEFT(CH1852,8))),VALUE(LEFT(CH1852,4)),VALUE(LEFT(CH1852,FIND("-",CH1852)-1)))+2000,IF(AND(LEN(CH1852)=9,ISERROR(FIND("-",LEFT(CH1852,8))),ISNUMBER(-LEFT(CH1852,8))),VALUE(LEFT(CH1852,4)),VALUE(LEFT(CH1852,FIND("-",CH1852)-1)))),""))</f>
        <v/>
      </c>
      <c r="CN1852">
        <f>IF(CH1852="","",IFERROR(IF(AND(LEN(CH1852)=9,ISERROR(FIND("-",LEFT(CH1852,8))),ISNUMBER(-LEFT(CH1852,8))),VALUE(MID(CH1852,5,2)),VALUE(MID(CH1852,FIND("-",CH1852)+1,FIND("-",CH1852,FIND("-",CH1852)+1)-FIND("-",CH1852)-1))),""))</f>
        <v/>
      </c>
      <c r="CO1852">
        <f>IF(CH1852="","",IFERROR(IF(AND(LEN(CH1852)=9,ISERROR(FIND("-",LEFT(CH1852,8))),ISNUMBER(-LEFT(CH1852,8))),VALUE(MID(CH1852,7,2)),VALUE(MID(CH1852,FIND("-",CH1852,FIND("-",CH1852)+1)+1,FIND("-",CH1852,FIND("-",CH1852,FIND("-",CH1852)+1)+1)-FIND("-",CH1852,FIND("-",CH1852)+1)-1))),""))</f>
        <v/>
      </c>
    </row>
    <row r="1853">
      <c r="CH1853">
        <f>IF(ISTEXT('월 가계부'!A1853),SUBSTITUTE(SUBSTITUTE(SUBSTITUTE(SUBSTITUTE(SUBSTITUTE(SUBSTITUTE(SUBSTITUTE(SUBSTITUTE(SUBSTITUTE(TRIM('월 가계부'!A1853),"년","-"),"월","-"),"일",""),".","-"),"/","-")," ","-"),"--","-"),"--","-"),"--","-")&amp;"-","")</f>
        <v/>
      </c>
      <c r="CI1853">
        <f>IFERROR(IF('월 가계부'!A1853="","",IF(ISNUMBER('월 가계부'!A1853),IF(AND('월 가계부'!A1853&gt;=19000101,'월 가계부'!A1853&lt;=21001231),IF(AND(MOD(INT('월 가계부'!A1853/100),100)&gt;=1,MOD(INT('월 가계부'!A1853/100),100)&lt;=12,MOD(INT('월 가계부'!A1853),100)&gt;=1,MOD(INT('월 가계부'!A1853),100)&lt;=31),IF(MONTH(DATE(INT('월 가계부'!A1853/10000),MOD(INT('월 가계부'!A1853/100),100),MOD(INT('월 가계부'!A1853),100)))=MOD(INT('월 가계부'!A1853/100),100),DATE(INT('월 가계부'!A1853/10000),MOD(INT('월 가계부'!A1853/100),100),MOD(INT('월 가계부'!A1853),100)),""),""),IF(AND('월 가계부'!A1853&gt;=36526,'월 가계부'!A1853&lt;73051),INT('월 가계부'!A1853),"")),IF(OR(CM1853="",CN1853="",CO1853=""),"",IF(AND(CM1853&gt;=2000,CM1853&lt;=2099,CN1853&gt;=1,CN1853&lt;=12,CO1853&gt;=1,CO1853&lt;=31),IF(MONTH(DATE(CM1853,CN1853,CO1853))=CN1853,DATE(CM1853,CN1853,CO1853),""),"")))),"")</f>
        <v/>
      </c>
      <c r="CJ1853">
        <f>IFERROR(IF('월 가계부'!C1853="","",IF(ISNUMBER('월 가계부'!C1853),'월 가계부'!C1853,VALUE(SUBSTITUTE(SUBSTITUTE(SUBSTITUTE(SUBSTITUTE(TRIM('월 가계부'!C1853),",",""),"원","")," ",""),"−","-")))),"")</f>
        <v/>
      </c>
      <c r="CK1853">
        <f>IF(ISNUMBER(CI1853),IF(CI1853&lt;$B$13,CI1853,""),"")</f>
        <v/>
      </c>
      <c r="CM1853">
        <f>IF(CH1853="","",IFERROR(IF(IF(AND(LEN(CH1853)=9,ISERROR(FIND("-",LEFT(CH1853,8))),ISNUMBER(-LEFT(CH1853,8))),VALUE(LEFT(CH1853,4)),VALUE(LEFT(CH1853,FIND("-",CH1853)-1)))&lt;100,IF(AND(LEN(CH1853)=9,ISERROR(FIND("-",LEFT(CH1853,8))),ISNUMBER(-LEFT(CH1853,8))),VALUE(LEFT(CH1853,4)),VALUE(LEFT(CH1853,FIND("-",CH1853)-1)))+2000,IF(AND(LEN(CH1853)=9,ISERROR(FIND("-",LEFT(CH1853,8))),ISNUMBER(-LEFT(CH1853,8))),VALUE(LEFT(CH1853,4)),VALUE(LEFT(CH1853,FIND("-",CH1853)-1)))),""))</f>
        <v/>
      </c>
      <c r="CN1853">
        <f>IF(CH1853="","",IFERROR(IF(AND(LEN(CH1853)=9,ISERROR(FIND("-",LEFT(CH1853,8))),ISNUMBER(-LEFT(CH1853,8))),VALUE(MID(CH1853,5,2)),VALUE(MID(CH1853,FIND("-",CH1853)+1,FIND("-",CH1853,FIND("-",CH1853)+1)-FIND("-",CH1853)-1))),""))</f>
        <v/>
      </c>
      <c r="CO1853">
        <f>IF(CH1853="","",IFERROR(IF(AND(LEN(CH1853)=9,ISERROR(FIND("-",LEFT(CH1853,8))),ISNUMBER(-LEFT(CH1853,8))),VALUE(MID(CH1853,7,2)),VALUE(MID(CH1853,FIND("-",CH1853,FIND("-",CH1853)+1)+1,FIND("-",CH1853,FIND("-",CH1853,FIND("-",CH1853)+1)+1)-FIND("-",CH1853,FIND("-",CH1853)+1)-1))),""))</f>
        <v/>
      </c>
    </row>
    <row r="1854">
      <c r="CH1854">
        <f>IF(ISTEXT('월 가계부'!A1854),SUBSTITUTE(SUBSTITUTE(SUBSTITUTE(SUBSTITUTE(SUBSTITUTE(SUBSTITUTE(SUBSTITUTE(SUBSTITUTE(SUBSTITUTE(TRIM('월 가계부'!A1854),"년","-"),"월","-"),"일",""),".","-"),"/","-")," ","-"),"--","-"),"--","-"),"--","-")&amp;"-","")</f>
        <v/>
      </c>
      <c r="CI1854">
        <f>IFERROR(IF('월 가계부'!A1854="","",IF(ISNUMBER('월 가계부'!A1854),IF(AND('월 가계부'!A1854&gt;=19000101,'월 가계부'!A1854&lt;=21001231),IF(AND(MOD(INT('월 가계부'!A1854/100),100)&gt;=1,MOD(INT('월 가계부'!A1854/100),100)&lt;=12,MOD(INT('월 가계부'!A1854),100)&gt;=1,MOD(INT('월 가계부'!A1854),100)&lt;=31),IF(MONTH(DATE(INT('월 가계부'!A1854/10000),MOD(INT('월 가계부'!A1854/100),100),MOD(INT('월 가계부'!A1854),100)))=MOD(INT('월 가계부'!A1854/100),100),DATE(INT('월 가계부'!A1854/10000),MOD(INT('월 가계부'!A1854/100),100),MOD(INT('월 가계부'!A1854),100)),""),""),IF(AND('월 가계부'!A1854&gt;=36526,'월 가계부'!A1854&lt;73051),INT('월 가계부'!A1854),"")),IF(OR(CM1854="",CN1854="",CO1854=""),"",IF(AND(CM1854&gt;=2000,CM1854&lt;=2099,CN1854&gt;=1,CN1854&lt;=12,CO1854&gt;=1,CO1854&lt;=31),IF(MONTH(DATE(CM1854,CN1854,CO1854))=CN1854,DATE(CM1854,CN1854,CO1854),""),"")))),"")</f>
        <v/>
      </c>
      <c r="CJ1854">
        <f>IFERROR(IF('월 가계부'!C1854="","",IF(ISNUMBER('월 가계부'!C1854),'월 가계부'!C1854,VALUE(SUBSTITUTE(SUBSTITUTE(SUBSTITUTE(SUBSTITUTE(TRIM('월 가계부'!C1854),",",""),"원","")," ",""),"−","-")))),"")</f>
        <v/>
      </c>
      <c r="CK1854">
        <f>IF(ISNUMBER(CI1854),IF(CI1854&lt;$B$13,CI1854,""),"")</f>
        <v/>
      </c>
      <c r="CM1854">
        <f>IF(CH1854="","",IFERROR(IF(IF(AND(LEN(CH1854)=9,ISERROR(FIND("-",LEFT(CH1854,8))),ISNUMBER(-LEFT(CH1854,8))),VALUE(LEFT(CH1854,4)),VALUE(LEFT(CH1854,FIND("-",CH1854)-1)))&lt;100,IF(AND(LEN(CH1854)=9,ISERROR(FIND("-",LEFT(CH1854,8))),ISNUMBER(-LEFT(CH1854,8))),VALUE(LEFT(CH1854,4)),VALUE(LEFT(CH1854,FIND("-",CH1854)-1)))+2000,IF(AND(LEN(CH1854)=9,ISERROR(FIND("-",LEFT(CH1854,8))),ISNUMBER(-LEFT(CH1854,8))),VALUE(LEFT(CH1854,4)),VALUE(LEFT(CH1854,FIND("-",CH1854)-1)))),""))</f>
        <v/>
      </c>
      <c r="CN1854">
        <f>IF(CH1854="","",IFERROR(IF(AND(LEN(CH1854)=9,ISERROR(FIND("-",LEFT(CH1854,8))),ISNUMBER(-LEFT(CH1854,8))),VALUE(MID(CH1854,5,2)),VALUE(MID(CH1854,FIND("-",CH1854)+1,FIND("-",CH1854,FIND("-",CH1854)+1)-FIND("-",CH1854)-1))),""))</f>
        <v/>
      </c>
      <c r="CO1854">
        <f>IF(CH1854="","",IFERROR(IF(AND(LEN(CH1854)=9,ISERROR(FIND("-",LEFT(CH1854,8))),ISNUMBER(-LEFT(CH1854,8))),VALUE(MID(CH1854,7,2)),VALUE(MID(CH1854,FIND("-",CH1854,FIND("-",CH1854)+1)+1,FIND("-",CH1854,FIND("-",CH1854,FIND("-",CH1854)+1)+1)-FIND("-",CH1854,FIND("-",CH1854)+1)-1))),""))</f>
        <v/>
      </c>
    </row>
    <row r="1855">
      <c r="CH1855">
        <f>IF(ISTEXT('월 가계부'!A1855),SUBSTITUTE(SUBSTITUTE(SUBSTITUTE(SUBSTITUTE(SUBSTITUTE(SUBSTITUTE(SUBSTITUTE(SUBSTITUTE(SUBSTITUTE(TRIM('월 가계부'!A1855),"년","-"),"월","-"),"일",""),".","-"),"/","-")," ","-"),"--","-"),"--","-"),"--","-")&amp;"-","")</f>
        <v/>
      </c>
      <c r="CI1855">
        <f>IFERROR(IF('월 가계부'!A1855="","",IF(ISNUMBER('월 가계부'!A1855),IF(AND('월 가계부'!A1855&gt;=19000101,'월 가계부'!A1855&lt;=21001231),IF(AND(MOD(INT('월 가계부'!A1855/100),100)&gt;=1,MOD(INT('월 가계부'!A1855/100),100)&lt;=12,MOD(INT('월 가계부'!A1855),100)&gt;=1,MOD(INT('월 가계부'!A1855),100)&lt;=31),IF(MONTH(DATE(INT('월 가계부'!A1855/10000),MOD(INT('월 가계부'!A1855/100),100),MOD(INT('월 가계부'!A1855),100)))=MOD(INT('월 가계부'!A1855/100),100),DATE(INT('월 가계부'!A1855/10000),MOD(INT('월 가계부'!A1855/100),100),MOD(INT('월 가계부'!A1855),100)),""),""),IF(AND('월 가계부'!A1855&gt;=36526,'월 가계부'!A1855&lt;73051),INT('월 가계부'!A1855),"")),IF(OR(CM1855="",CN1855="",CO1855=""),"",IF(AND(CM1855&gt;=2000,CM1855&lt;=2099,CN1855&gt;=1,CN1855&lt;=12,CO1855&gt;=1,CO1855&lt;=31),IF(MONTH(DATE(CM1855,CN1855,CO1855))=CN1855,DATE(CM1855,CN1855,CO1855),""),"")))),"")</f>
        <v/>
      </c>
      <c r="CJ1855">
        <f>IFERROR(IF('월 가계부'!C1855="","",IF(ISNUMBER('월 가계부'!C1855),'월 가계부'!C1855,VALUE(SUBSTITUTE(SUBSTITUTE(SUBSTITUTE(SUBSTITUTE(TRIM('월 가계부'!C1855),",",""),"원","")," ",""),"−","-")))),"")</f>
        <v/>
      </c>
      <c r="CK1855">
        <f>IF(ISNUMBER(CI1855),IF(CI1855&lt;$B$13,CI1855,""),"")</f>
        <v/>
      </c>
      <c r="CM1855">
        <f>IF(CH1855="","",IFERROR(IF(IF(AND(LEN(CH1855)=9,ISERROR(FIND("-",LEFT(CH1855,8))),ISNUMBER(-LEFT(CH1855,8))),VALUE(LEFT(CH1855,4)),VALUE(LEFT(CH1855,FIND("-",CH1855)-1)))&lt;100,IF(AND(LEN(CH1855)=9,ISERROR(FIND("-",LEFT(CH1855,8))),ISNUMBER(-LEFT(CH1855,8))),VALUE(LEFT(CH1855,4)),VALUE(LEFT(CH1855,FIND("-",CH1855)-1)))+2000,IF(AND(LEN(CH1855)=9,ISERROR(FIND("-",LEFT(CH1855,8))),ISNUMBER(-LEFT(CH1855,8))),VALUE(LEFT(CH1855,4)),VALUE(LEFT(CH1855,FIND("-",CH1855)-1)))),""))</f>
        <v/>
      </c>
      <c r="CN1855">
        <f>IF(CH1855="","",IFERROR(IF(AND(LEN(CH1855)=9,ISERROR(FIND("-",LEFT(CH1855,8))),ISNUMBER(-LEFT(CH1855,8))),VALUE(MID(CH1855,5,2)),VALUE(MID(CH1855,FIND("-",CH1855)+1,FIND("-",CH1855,FIND("-",CH1855)+1)-FIND("-",CH1855)-1))),""))</f>
        <v/>
      </c>
      <c r="CO1855">
        <f>IF(CH1855="","",IFERROR(IF(AND(LEN(CH1855)=9,ISERROR(FIND("-",LEFT(CH1855,8))),ISNUMBER(-LEFT(CH1855,8))),VALUE(MID(CH1855,7,2)),VALUE(MID(CH1855,FIND("-",CH1855,FIND("-",CH1855)+1)+1,FIND("-",CH1855,FIND("-",CH1855,FIND("-",CH1855)+1)+1)-FIND("-",CH1855,FIND("-",CH1855)+1)-1))),""))</f>
        <v/>
      </c>
    </row>
    <row r="1856">
      <c r="CH1856">
        <f>IF(ISTEXT('월 가계부'!A1856),SUBSTITUTE(SUBSTITUTE(SUBSTITUTE(SUBSTITUTE(SUBSTITUTE(SUBSTITUTE(SUBSTITUTE(SUBSTITUTE(SUBSTITUTE(TRIM('월 가계부'!A1856),"년","-"),"월","-"),"일",""),".","-"),"/","-")," ","-"),"--","-"),"--","-"),"--","-")&amp;"-","")</f>
        <v/>
      </c>
      <c r="CI1856">
        <f>IFERROR(IF('월 가계부'!A1856="","",IF(ISNUMBER('월 가계부'!A1856),IF(AND('월 가계부'!A1856&gt;=19000101,'월 가계부'!A1856&lt;=21001231),IF(AND(MOD(INT('월 가계부'!A1856/100),100)&gt;=1,MOD(INT('월 가계부'!A1856/100),100)&lt;=12,MOD(INT('월 가계부'!A1856),100)&gt;=1,MOD(INT('월 가계부'!A1856),100)&lt;=31),IF(MONTH(DATE(INT('월 가계부'!A1856/10000),MOD(INT('월 가계부'!A1856/100),100),MOD(INT('월 가계부'!A1856),100)))=MOD(INT('월 가계부'!A1856/100),100),DATE(INT('월 가계부'!A1856/10000),MOD(INT('월 가계부'!A1856/100),100),MOD(INT('월 가계부'!A1856),100)),""),""),IF(AND('월 가계부'!A1856&gt;=36526,'월 가계부'!A1856&lt;73051),INT('월 가계부'!A1856),"")),IF(OR(CM1856="",CN1856="",CO1856=""),"",IF(AND(CM1856&gt;=2000,CM1856&lt;=2099,CN1856&gt;=1,CN1856&lt;=12,CO1856&gt;=1,CO1856&lt;=31),IF(MONTH(DATE(CM1856,CN1856,CO1856))=CN1856,DATE(CM1856,CN1856,CO1856),""),"")))),"")</f>
        <v/>
      </c>
      <c r="CJ1856">
        <f>IFERROR(IF('월 가계부'!C1856="","",IF(ISNUMBER('월 가계부'!C1856),'월 가계부'!C1856,VALUE(SUBSTITUTE(SUBSTITUTE(SUBSTITUTE(SUBSTITUTE(TRIM('월 가계부'!C1856),",",""),"원","")," ",""),"−","-")))),"")</f>
        <v/>
      </c>
      <c r="CK1856">
        <f>IF(ISNUMBER(CI1856),IF(CI1856&lt;$B$13,CI1856,""),"")</f>
        <v/>
      </c>
      <c r="CM1856">
        <f>IF(CH1856="","",IFERROR(IF(IF(AND(LEN(CH1856)=9,ISERROR(FIND("-",LEFT(CH1856,8))),ISNUMBER(-LEFT(CH1856,8))),VALUE(LEFT(CH1856,4)),VALUE(LEFT(CH1856,FIND("-",CH1856)-1)))&lt;100,IF(AND(LEN(CH1856)=9,ISERROR(FIND("-",LEFT(CH1856,8))),ISNUMBER(-LEFT(CH1856,8))),VALUE(LEFT(CH1856,4)),VALUE(LEFT(CH1856,FIND("-",CH1856)-1)))+2000,IF(AND(LEN(CH1856)=9,ISERROR(FIND("-",LEFT(CH1856,8))),ISNUMBER(-LEFT(CH1856,8))),VALUE(LEFT(CH1856,4)),VALUE(LEFT(CH1856,FIND("-",CH1856)-1)))),""))</f>
        <v/>
      </c>
      <c r="CN1856">
        <f>IF(CH1856="","",IFERROR(IF(AND(LEN(CH1856)=9,ISERROR(FIND("-",LEFT(CH1856,8))),ISNUMBER(-LEFT(CH1856,8))),VALUE(MID(CH1856,5,2)),VALUE(MID(CH1856,FIND("-",CH1856)+1,FIND("-",CH1856,FIND("-",CH1856)+1)-FIND("-",CH1856)-1))),""))</f>
        <v/>
      </c>
      <c r="CO1856">
        <f>IF(CH1856="","",IFERROR(IF(AND(LEN(CH1856)=9,ISERROR(FIND("-",LEFT(CH1856,8))),ISNUMBER(-LEFT(CH1856,8))),VALUE(MID(CH1856,7,2)),VALUE(MID(CH1856,FIND("-",CH1856,FIND("-",CH1856)+1)+1,FIND("-",CH1856,FIND("-",CH1856,FIND("-",CH1856)+1)+1)-FIND("-",CH1856,FIND("-",CH1856)+1)-1))),""))</f>
        <v/>
      </c>
    </row>
    <row r="1857">
      <c r="CH1857">
        <f>IF(ISTEXT('월 가계부'!A1857),SUBSTITUTE(SUBSTITUTE(SUBSTITUTE(SUBSTITUTE(SUBSTITUTE(SUBSTITUTE(SUBSTITUTE(SUBSTITUTE(SUBSTITUTE(TRIM('월 가계부'!A1857),"년","-"),"월","-"),"일",""),".","-"),"/","-")," ","-"),"--","-"),"--","-"),"--","-")&amp;"-","")</f>
        <v/>
      </c>
      <c r="CI1857">
        <f>IFERROR(IF('월 가계부'!A1857="","",IF(ISNUMBER('월 가계부'!A1857),IF(AND('월 가계부'!A1857&gt;=19000101,'월 가계부'!A1857&lt;=21001231),IF(AND(MOD(INT('월 가계부'!A1857/100),100)&gt;=1,MOD(INT('월 가계부'!A1857/100),100)&lt;=12,MOD(INT('월 가계부'!A1857),100)&gt;=1,MOD(INT('월 가계부'!A1857),100)&lt;=31),IF(MONTH(DATE(INT('월 가계부'!A1857/10000),MOD(INT('월 가계부'!A1857/100),100),MOD(INT('월 가계부'!A1857),100)))=MOD(INT('월 가계부'!A1857/100),100),DATE(INT('월 가계부'!A1857/10000),MOD(INT('월 가계부'!A1857/100),100),MOD(INT('월 가계부'!A1857),100)),""),""),IF(AND('월 가계부'!A1857&gt;=36526,'월 가계부'!A1857&lt;73051),INT('월 가계부'!A1857),"")),IF(OR(CM1857="",CN1857="",CO1857=""),"",IF(AND(CM1857&gt;=2000,CM1857&lt;=2099,CN1857&gt;=1,CN1857&lt;=12,CO1857&gt;=1,CO1857&lt;=31),IF(MONTH(DATE(CM1857,CN1857,CO1857))=CN1857,DATE(CM1857,CN1857,CO1857),""),"")))),"")</f>
        <v/>
      </c>
      <c r="CJ1857">
        <f>IFERROR(IF('월 가계부'!C1857="","",IF(ISNUMBER('월 가계부'!C1857),'월 가계부'!C1857,VALUE(SUBSTITUTE(SUBSTITUTE(SUBSTITUTE(SUBSTITUTE(TRIM('월 가계부'!C1857),",",""),"원","")," ",""),"−","-")))),"")</f>
        <v/>
      </c>
      <c r="CK1857">
        <f>IF(ISNUMBER(CI1857),IF(CI1857&lt;$B$13,CI1857,""),"")</f>
        <v/>
      </c>
      <c r="CM1857">
        <f>IF(CH1857="","",IFERROR(IF(IF(AND(LEN(CH1857)=9,ISERROR(FIND("-",LEFT(CH1857,8))),ISNUMBER(-LEFT(CH1857,8))),VALUE(LEFT(CH1857,4)),VALUE(LEFT(CH1857,FIND("-",CH1857)-1)))&lt;100,IF(AND(LEN(CH1857)=9,ISERROR(FIND("-",LEFT(CH1857,8))),ISNUMBER(-LEFT(CH1857,8))),VALUE(LEFT(CH1857,4)),VALUE(LEFT(CH1857,FIND("-",CH1857)-1)))+2000,IF(AND(LEN(CH1857)=9,ISERROR(FIND("-",LEFT(CH1857,8))),ISNUMBER(-LEFT(CH1857,8))),VALUE(LEFT(CH1857,4)),VALUE(LEFT(CH1857,FIND("-",CH1857)-1)))),""))</f>
        <v/>
      </c>
      <c r="CN1857">
        <f>IF(CH1857="","",IFERROR(IF(AND(LEN(CH1857)=9,ISERROR(FIND("-",LEFT(CH1857,8))),ISNUMBER(-LEFT(CH1857,8))),VALUE(MID(CH1857,5,2)),VALUE(MID(CH1857,FIND("-",CH1857)+1,FIND("-",CH1857,FIND("-",CH1857)+1)-FIND("-",CH1857)-1))),""))</f>
        <v/>
      </c>
      <c r="CO1857">
        <f>IF(CH1857="","",IFERROR(IF(AND(LEN(CH1857)=9,ISERROR(FIND("-",LEFT(CH1857,8))),ISNUMBER(-LEFT(CH1857,8))),VALUE(MID(CH1857,7,2)),VALUE(MID(CH1857,FIND("-",CH1857,FIND("-",CH1857)+1)+1,FIND("-",CH1857,FIND("-",CH1857,FIND("-",CH1857)+1)+1)-FIND("-",CH1857,FIND("-",CH1857)+1)-1))),""))</f>
        <v/>
      </c>
    </row>
    <row r="1858">
      <c r="CH1858">
        <f>IF(ISTEXT('월 가계부'!A1858),SUBSTITUTE(SUBSTITUTE(SUBSTITUTE(SUBSTITUTE(SUBSTITUTE(SUBSTITUTE(SUBSTITUTE(SUBSTITUTE(SUBSTITUTE(TRIM('월 가계부'!A1858),"년","-"),"월","-"),"일",""),".","-"),"/","-")," ","-"),"--","-"),"--","-"),"--","-")&amp;"-","")</f>
        <v/>
      </c>
      <c r="CI1858">
        <f>IFERROR(IF('월 가계부'!A1858="","",IF(ISNUMBER('월 가계부'!A1858),IF(AND('월 가계부'!A1858&gt;=19000101,'월 가계부'!A1858&lt;=21001231),IF(AND(MOD(INT('월 가계부'!A1858/100),100)&gt;=1,MOD(INT('월 가계부'!A1858/100),100)&lt;=12,MOD(INT('월 가계부'!A1858),100)&gt;=1,MOD(INT('월 가계부'!A1858),100)&lt;=31),IF(MONTH(DATE(INT('월 가계부'!A1858/10000),MOD(INT('월 가계부'!A1858/100),100),MOD(INT('월 가계부'!A1858),100)))=MOD(INT('월 가계부'!A1858/100),100),DATE(INT('월 가계부'!A1858/10000),MOD(INT('월 가계부'!A1858/100),100),MOD(INT('월 가계부'!A1858),100)),""),""),IF(AND('월 가계부'!A1858&gt;=36526,'월 가계부'!A1858&lt;73051),INT('월 가계부'!A1858),"")),IF(OR(CM1858="",CN1858="",CO1858=""),"",IF(AND(CM1858&gt;=2000,CM1858&lt;=2099,CN1858&gt;=1,CN1858&lt;=12,CO1858&gt;=1,CO1858&lt;=31),IF(MONTH(DATE(CM1858,CN1858,CO1858))=CN1858,DATE(CM1858,CN1858,CO1858),""),"")))),"")</f>
        <v/>
      </c>
      <c r="CJ1858">
        <f>IFERROR(IF('월 가계부'!C1858="","",IF(ISNUMBER('월 가계부'!C1858),'월 가계부'!C1858,VALUE(SUBSTITUTE(SUBSTITUTE(SUBSTITUTE(SUBSTITUTE(TRIM('월 가계부'!C1858),",",""),"원","")," ",""),"−","-")))),"")</f>
        <v/>
      </c>
      <c r="CK1858">
        <f>IF(ISNUMBER(CI1858),IF(CI1858&lt;$B$13,CI1858,""),"")</f>
        <v/>
      </c>
      <c r="CM1858">
        <f>IF(CH1858="","",IFERROR(IF(IF(AND(LEN(CH1858)=9,ISERROR(FIND("-",LEFT(CH1858,8))),ISNUMBER(-LEFT(CH1858,8))),VALUE(LEFT(CH1858,4)),VALUE(LEFT(CH1858,FIND("-",CH1858)-1)))&lt;100,IF(AND(LEN(CH1858)=9,ISERROR(FIND("-",LEFT(CH1858,8))),ISNUMBER(-LEFT(CH1858,8))),VALUE(LEFT(CH1858,4)),VALUE(LEFT(CH1858,FIND("-",CH1858)-1)))+2000,IF(AND(LEN(CH1858)=9,ISERROR(FIND("-",LEFT(CH1858,8))),ISNUMBER(-LEFT(CH1858,8))),VALUE(LEFT(CH1858,4)),VALUE(LEFT(CH1858,FIND("-",CH1858)-1)))),""))</f>
        <v/>
      </c>
      <c r="CN1858">
        <f>IF(CH1858="","",IFERROR(IF(AND(LEN(CH1858)=9,ISERROR(FIND("-",LEFT(CH1858,8))),ISNUMBER(-LEFT(CH1858,8))),VALUE(MID(CH1858,5,2)),VALUE(MID(CH1858,FIND("-",CH1858)+1,FIND("-",CH1858,FIND("-",CH1858)+1)-FIND("-",CH1858)-1))),""))</f>
        <v/>
      </c>
      <c r="CO1858">
        <f>IF(CH1858="","",IFERROR(IF(AND(LEN(CH1858)=9,ISERROR(FIND("-",LEFT(CH1858,8))),ISNUMBER(-LEFT(CH1858,8))),VALUE(MID(CH1858,7,2)),VALUE(MID(CH1858,FIND("-",CH1858,FIND("-",CH1858)+1)+1,FIND("-",CH1858,FIND("-",CH1858,FIND("-",CH1858)+1)+1)-FIND("-",CH1858,FIND("-",CH1858)+1)-1))),""))</f>
        <v/>
      </c>
    </row>
    <row r="1859">
      <c r="CH1859">
        <f>IF(ISTEXT('월 가계부'!A1859),SUBSTITUTE(SUBSTITUTE(SUBSTITUTE(SUBSTITUTE(SUBSTITUTE(SUBSTITUTE(SUBSTITUTE(SUBSTITUTE(SUBSTITUTE(TRIM('월 가계부'!A1859),"년","-"),"월","-"),"일",""),".","-"),"/","-")," ","-"),"--","-"),"--","-"),"--","-")&amp;"-","")</f>
        <v/>
      </c>
      <c r="CI1859">
        <f>IFERROR(IF('월 가계부'!A1859="","",IF(ISNUMBER('월 가계부'!A1859),IF(AND('월 가계부'!A1859&gt;=19000101,'월 가계부'!A1859&lt;=21001231),IF(AND(MOD(INT('월 가계부'!A1859/100),100)&gt;=1,MOD(INT('월 가계부'!A1859/100),100)&lt;=12,MOD(INT('월 가계부'!A1859),100)&gt;=1,MOD(INT('월 가계부'!A1859),100)&lt;=31),IF(MONTH(DATE(INT('월 가계부'!A1859/10000),MOD(INT('월 가계부'!A1859/100),100),MOD(INT('월 가계부'!A1859),100)))=MOD(INT('월 가계부'!A1859/100),100),DATE(INT('월 가계부'!A1859/10000),MOD(INT('월 가계부'!A1859/100),100),MOD(INT('월 가계부'!A1859),100)),""),""),IF(AND('월 가계부'!A1859&gt;=36526,'월 가계부'!A1859&lt;73051),INT('월 가계부'!A1859),"")),IF(OR(CM1859="",CN1859="",CO1859=""),"",IF(AND(CM1859&gt;=2000,CM1859&lt;=2099,CN1859&gt;=1,CN1859&lt;=12,CO1859&gt;=1,CO1859&lt;=31),IF(MONTH(DATE(CM1859,CN1859,CO1859))=CN1859,DATE(CM1859,CN1859,CO1859),""),"")))),"")</f>
        <v/>
      </c>
      <c r="CJ1859">
        <f>IFERROR(IF('월 가계부'!C1859="","",IF(ISNUMBER('월 가계부'!C1859),'월 가계부'!C1859,VALUE(SUBSTITUTE(SUBSTITUTE(SUBSTITUTE(SUBSTITUTE(TRIM('월 가계부'!C1859),",",""),"원","")," ",""),"−","-")))),"")</f>
        <v/>
      </c>
      <c r="CK1859">
        <f>IF(ISNUMBER(CI1859),IF(CI1859&lt;$B$13,CI1859,""),"")</f>
        <v/>
      </c>
      <c r="CM1859">
        <f>IF(CH1859="","",IFERROR(IF(IF(AND(LEN(CH1859)=9,ISERROR(FIND("-",LEFT(CH1859,8))),ISNUMBER(-LEFT(CH1859,8))),VALUE(LEFT(CH1859,4)),VALUE(LEFT(CH1859,FIND("-",CH1859)-1)))&lt;100,IF(AND(LEN(CH1859)=9,ISERROR(FIND("-",LEFT(CH1859,8))),ISNUMBER(-LEFT(CH1859,8))),VALUE(LEFT(CH1859,4)),VALUE(LEFT(CH1859,FIND("-",CH1859)-1)))+2000,IF(AND(LEN(CH1859)=9,ISERROR(FIND("-",LEFT(CH1859,8))),ISNUMBER(-LEFT(CH1859,8))),VALUE(LEFT(CH1859,4)),VALUE(LEFT(CH1859,FIND("-",CH1859)-1)))),""))</f>
        <v/>
      </c>
      <c r="CN1859">
        <f>IF(CH1859="","",IFERROR(IF(AND(LEN(CH1859)=9,ISERROR(FIND("-",LEFT(CH1859,8))),ISNUMBER(-LEFT(CH1859,8))),VALUE(MID(CH1859,5,2)),VALUE(MID(CH1859,FIND("-",CH1859)+1,FIND("-",CH1859,FIND("-",CH1859)+1)-FIND("-",CH1859)-1))),""))</f>
        <v/>
      </c>
      <c r="CO1859">
        <f>IF(CH1859="","",IFERROR(IF(AND(LEN(CH1859)=9,ISERROR(FIND("-",LEFT(CH1859,8))),ISNUMBER(-LEFT(CH1859,8))),VALUE(MID(CH1859,7,2)),VALUE(MID(CH1859,FIND("-",CH1859,FIND("-",CH1859)+1)+1,FIND("-",CH1859,FIND("-",CH1859,FIND("-",CH1859)+1)+1)-FIND("-",CH1859,FIND("-",CH1859)+1)-1))),""))</f>
        <v/>
      </c>
    </row>
    <row r="1860">
      <c r="CH1860">
        <f>IF(ISTEXT('월 가계부'!A1860),SUBSTITUTE(SUBSTITUTE(SUBSTITUTE(SUBSTITUTE(SUBSTITUTE(SUBSTITUTE(SUBSTITUTE(SUBSTITUTE(SUBSTITUTE(TRIM('월 가계부'!A1860),"년","-"),"월","-"),"일",""),".","-"),"/","-")," ","-"),"--","-"),"--","-"),"--","-")&amp;"-","")</f>
        <v/>
      </c>
      <c r="CI1860">
        <f>IFERROR(IF('월 가계부'!A1860="","",IF(ISNUMBER('월 가계부'!A1860),IF(AND('월 가계부'!A1860&gt;=19000101,'월 가계부'!A1860&lt;=21001231),IF(AND(MOD(INT('월 가계부'!A1860/100),100)&gt;=1,MOD(INT('월 가계부'!A1860/100),100)&lt;=12,MOD(INT('월 가계부'!A1860),100)&gt;=1,MOD(INT('월 가계부'!A1860),100)&lt;=31),IF(MONTH(DATE(INT('월 가계부'!A1860/10000),MOD(INT('월 가계부'!A1860/100),100),MOD(INT('월 가계부'!A1860),100)))=MOD(INT('월 가계부'!A1860/100),100),DATE(INT('월 가계부'!A1860/10000),MOD(INT('월 가계부'!A1860/100),100),MOD(INT('월 가계부'!A1860),100)),""),""),IF(AND('월 가계부'!A1860&gt;=36526,'월 가계부'!A1860&lt;73051),INT('월 가계부'!A1860),"")),IF(OR(CM1860="",CN1860="",CO1860=""),"",IF(AND(CM1860&gt;=2000,CM1860&lt;=2099,CN1860&gt;=1,CN1860&lt;=12,CO1860&gt;=1,CO1860&lt;=31),IF(MONTH(DATE(CM1860,CN1860,CO1860))=CN1860,DATE(CM1860,CN1860,CO1860),""),"")))),"")</f>
        <v/>
      </c>
      <c r="CJ1860">
        <f>IFERROR(IF('월 가계부'!C1860="","",IF(ISNUMBER('월 가계부'!C1860),'월 가계부'!C1860,VALUE(SUBSTITUTE(SUBSTITUTE(SUBSTITUTE(SUBSTITUTE(TRIM('월 가계부'!C1860),",",""),"원","")," ",""),"−","-")))),"")</f>
        <v/>
      </c>
      <c r="CK1860">
        <f>IF(ISNUMBER(CI1860),IF(CI1860&lt;$B$13,CI1860,""),"")</f>
        <v/>
      </c>
      <c r="CM1860">
        <f>IF(CH1860="","",IFERROR(IF(IF(AND(LEN(CH1860)=9,ISERROR(FIND("-",LEFT(CH1860,8))),ISNUMBER(-LEFT(CH1860,8))),VALUE(LEFT(CH1860,4)),VALUE(LEFT(CH1860,FIND("-",CH1860)-1)))&lt;100,IF(AND(LEN(CH1860)=9,ISERROR(FIND("-",LEFT(CH1860,8))),ISNUMBER(-LEFT(CH1860,8))),VALUE(LEFT(CH1860,4)),VALUE(LEFT(CH1860,FIND("-",CH1860)-1)))+2000,IF(AND(LEN(CH1860)=9,ISERROR(FIND("-",LEFT(CH1860,8))),ISNUMBER(-LEFT(CH1860,8))),VALUE(LEFT(CH1860,4)),VALUE(LEFT(CH1860,FIND("-",CH1860)-1)))),""))</f>
        <v/>
      </c>
      <c r="CN1860">
        <f>IF(CH1860="","",IFERROR(IF(AND(LEN(CH1860)=9,ISERROR(FIND("-",LEFT(CH1860,8))),ISNUMBER(-LEFT(CH1860,8))),VALUE(MID(CH1860,5,2)),VALUE(MID(CH1860,FIND("-",CH1860)+1,FIND("-",CH1860,FIND("-",CH1860)+1)-FIND("-",CH1860)-1))),""))</f>
        <v/>
      </c>
      <c r="CO1860">
        <f>IF(CH1860="","",IFERROR(IF(AND(LEN(CH1860)=9,ISERROR(FIND("-",LEFT(CH1860,8))),ISNUMBER(-LEFT(CH1860,8))),VALUE(MID(CH1860,7,2)),VALUE(MID(CH1860,FIND("-",CH1860,FIND("-",CH1860)+1)+1,FIND("-",CH1860,FIND("-",CH1860,FIND("-",CH1860)+1)+1)-FIND("-",CH1860,FIND("-",CH1860)+1)-1))),""))</f>
        <v/>
      </c>
    </row>
    <row r="1861">
      <c r="CH1861">
        <f>IF(ISTEXT('월 가계부'!A1861),SUBSTITUTE(SUBSTITUTE(SUBSTITUTE(SUBSTITUTE(SUBSTITUTE(SUBSTITUTE(SUBSTITUTE(SUBSTITUTE(SUBSTITUTE(TRIM('월 가계부'!A1861),"년","-"),"월","-"),"일",""),".","-"),"/","-")," ","-"),"--","-"),"--","-"),"--","-")&amp;"-","")</f>
        <v/>
      </c>
      <c r="CI1861">
        <f>IFERROR(IF('월 가계부'!A1861="","",IF(ISNUMBER('월 가계부'!A1861),IF(AND('월 가계부'!A1861&gt;=19000101,'월 가계부'!A1861&lt;=21001231),IF(AND(MOD(INT('월 가계부'!A1861/100),100)&gt;=1,MOD(INT('월 가계부'!A1861/100),100)&lt;=12,MOD(INT('월 가계부'!A1861),100)&gt;=1,MOD(INT('월 가계부'!A1861),100)&lt;=31),IF(MONTH(DATE(INT('월 가계부'!A1861/10000),MOD(INT('월 가계부'!A1861/100),100),MOD(INT('월 가계부'!A1861),100)))=MOD(INT('월 가계부'!A1861/100),100),DATE(INT('월 가계부'!A1861/10000),MOD(INT('월 가계부'!A1861/100),100),MOD(INT('월 가계부'!A1861),100)),""),""),IF(AND('월 가계부'!A1861&gt;=36526,'월 가계부'!A1861&lt;73051),INT('월 가계부'!A1861),"")),IF(OR(CM1861="",CN1861="",CO1861=""),"",IF(AND(CM1861&gt;=2000,CM1861&lt;=2099,CN1861&gt;=1,CN1861&lt;=12,CO1861&gt;=1,CO1861&lt;=31),IF(MONTH(DATE(CM1861,CN1861,CO1861))=CN1861,DATE(CM1861,CN1861,CO1861),""),"")))),"")</f>
        <v/>
      </c>
      <c r="CJ1861">
        <f>IFERROR(IF('월 가계부'!C1861="","",IF(ISNUMBER('월 가계부'!C1861),'월 가계부'!C1861,VALUE(SUBSTITUTE(SUBSTITUTE(SUBSTITUTE(SUBSTITUTE(TRIM('월 가계부'!C1861),",",""),"원","")," ",""),"−","-")))),"")</f>
        <v/>
      </c>
      <c r="CK1861">
        <f>IF(ISNUMBER(CI1861),IF(CI1861&lt;$B$13,CI1861,""),"")</f>
        <v/>
      </c>
      <c r="CM1861">
        <f>IF(CH1861="","",IFERROR(IF(IF(AND(LEN(CH1861)=9,ISERROR(FIND("-",LEFT(CH1861,8))),ISNUMBER(-LEFT(CH1861,8))),VALUE(LEFT(CH1861,4)),VALUE(LEFT(CH1861,FIND("-",CH1861)-1)))&lt;100,IF(AND(LEN(CH1861)=9,ISERROR(FIND("-",LEFT(CH1861,8))),ISNUMBER(-LEFT(CH1861,8))),VALUE(LEFT(CH1861,4)),VALUE(LEFT(CH1861,FIND("-",CH1861)-1)))+2000,IF(AND(LEN(CH1861)=9,ISERROR(FIND("-",LEFT(CH1861,8))),ISNUMBER(-LEFT(CH1861,8))),VALUE(LEFT(CH1861,4)),VALUE(LEFT(CH1861,FIND("-",CH1861)-1)))),""))</f>
        <v/>
      </c>
      <c r="CN1861">
        <f>IF(CH1861="","",IFERROR(IF(AND(LEN(CH1861)=9,ISERROR(FIND("-",LEFT(CH1861,8))),ISNUMBER(-LEFT(CH1861,8))),VALUE(MID(CH1861,5,2)),VALUE(MID(CH1861,FIND("-",CH1861)+1,FIND("-",CH1861,FIND("-",CH1861)+1)-FIND("-",CH1861)-1))),""))</f>
        <v/>
      </c>
      <c r="CO1861">
        <f>IF(CH1861="","",IFERROR(IF(AND(LEN(CH1861)=9,ISERROR(FIND("-",LEFT(CH1861,8))),ISNUMBER(-LEFT(CH1861,8))),VALUE(MID(CH1861,7,2)),VALUE(MID(CH1861,FIND("-",CH1861,FIND("-",CH1861)+1)+1,FIND("-",CH1861,FIND("-",CH1861,FIND("-",CH1861)+1)+1)-FIND("-",CH1861,FIND("-",CH1861)+1)-1))),""))</f>
        <v/>
      </c>
    </row>
    <row r="1862">
      <c r="CH1862">
        <f>IF(ISTEXT('월 가계부'!A1862),SUBSTITUTE(SUBSTITUTE(SUBSTITUTE(SUBSTITUTE(SUBSTITUTE(SUBSTITUTE(SUBSTITUTE(SUBSTITUTE(SUBSTITUTE(TRIM('월 가계부'!A1862),"년","-"),"월","-"),"일",""),".","-"),"/","-")," ","-"),"--","-"),"--","-"),"--","-")&amp;"-","")</f>
        <v/>
      </c>
      <c r="CI1862">
        <f>IFERROR(IF('월 가계부'!A1862="","",IF(ISNUMBER('월 가계부'!A1862),IF(AND('월 가계부'!A1862&gt;=19000101,'월 가계부'!A1862&lt;=21001231),IF(AND(MOD(INT('월 가계부'!A1862/100),100)&gt;=1,MOD(INT('월 가계부'!A1862/100),100)&lt;=12,MOD(INT('월 가계부'!A1862),100)&gt;=1,MOD(INT('월 가계부'!A1862),100)&lt;=31),IF(MONTH(DATE(INT('월 가계부'!A1862/10000),MOD(INT('월 가계부'!A1862/100),100),MOD(INT('월 가계부'!A1862),100)))=MOD(INT('월 가계부'!A1862/100),100),DATE(INT('월 가계부'!A1862/10000),MOD(INT('월 가계부'!A1862/100),100),MOD(INT('월 가계부'!A1862),100)),""),""),IF(AND('월 가계부'!A1862&gt;=36526,'월 가계부'!A1862&lt;73051),INT('월 가계부'!A1862),"")),IF(OR(CM1862="",CN1862="",CO1862=""),"",IF(AND(CM1862&gt;=2000,CM1862&lt;=2099,CN1862&gt;=1,CN1862&lt;=12,CO1862&gt;=1,CO1862&lt;=31),IF(MONTH(DATE(CM1862,CN1862,CO1862))=CN1862,DATE(CM1862,CN1862,CO1862),""),"")))),"")</f>
        <v/>
      </c>
      <c r="CJ1862">
        <f>IFERROR(IF('월 가계부'!C1862="","",IF(ISNUMBER('월 가계부'!C1862),'월 가계부'!C1862,VALUE(SUBSTITUTE(SUBSTITUTE(SUBSTITUTE(SUBSTITUTE(TRIM('월 가계부'!C1862),",",""),"원","")," ",""),"−","-")))),"")</f>
        <v/>
      </c>
      <c r="CK1862">
        <f>IF(ISNUMBER(CI1862),IF(CI1862&lt;$B$13,CI1862,""),"")</f>
        <v/>
      </c>
      <c r="CM1862">
        <f>IF(CH1862="","",IFERROR(IF(IF(AND(LEN(CH1862)=9,ISERROR(FIND("-",LEFT(CH1862,8))),ISNUMBER(-LEFT(CH1862,8))),VALUE(LEFT(CH1862,4)),VALUE(LEFT(CH1862,FIND("-",CH1862)-1)))&lt;100,IF(AND(LEN(CH1862)=9,ISERROR(FIND("-",LEFT(CH1862,8))),ISNUMBER(-LEFT(CH1862,8))),VALUE(LEFT(CH1862,4)),VALUE(LEFT(CH1862,FIND("-",CH1862)-1)))+2000,IF(AND(LEN(CH1862)=9,ISERROR(FIND("-",LEFT(CH1862,8))),ISNUMBER(-LEFT(CH1862,8))),VALUE(LEFT(CH1862,4)),VALUE(LEFT(CH1862,FIND("-",CH1862)-1)))),""))</f>
        <v/>
      </c>
      <c r="CN1862">
        <f>IF(CH1862="","",IFERROR(IF(AND(LEN(CH1862)=9,ISERROR(FIND("-",LEFT(CH1862,8))),ISNUMBER(-LEFT(CH1862,8))),VALUE(MID(CH1862,5,2)),VALUE(MID(CH1862,FIND("-",CH1862)+1,FIND("-",CH1862,FIND("-",CH1862)+1)-FIND("-",CH1862)-1))),""))</f>
        <v/>
      </c>
      <c r="CO1862">
        <f>IF(CH1862="","",IFERROR(IF(AND(LEN(CH1862)=9,ISERROR(FIND("-",LEFT(CH1862,8))),ISNUMBER(-LEFT(CH1862,8))),VALUE(MID(CH1862,7,2)),VALUE(MID(CH1862,FIND("-",CH1862,FIND("-",CH1862)+1)+1,FIND("-",CH1862,FIND("-",CH1862,FIND("-",CH1862)+1)+1)-FIND("-",CH1862,FIND("-",CH1862)+1)-1))),""))</f>
        <v/>
      </c>
    </row>
    <row r="1863">
      <c r="CH1863">
        <f>IF(ISTEXT('월 가계부'!A1863),SUBSTITUTE(SUBSTITUTE(SUBSTITUTE(SUBSTITUTE(SUBSTITUTE(SUBSTITUTE(SUBSTITUTE(SUBSTITUTE(SUBSTITUTE(TRIM('월 가계부'!A1863),"년","-"),"월","-"),"일",""),".","-"),"/","-")," ","-"),"--","-"),"--","-"),"--","-")&amp;"-","")</f>
        <v/>
      </c>
      <c r="CI1863">
        <f>IFERROR(IF('월 가계부'!A1863="","",IF(ISNUMBER('월 가계부'!A1863),IF(AND('월 가계부'!A1863&gt;=19000101,'월 가계부'!A1863&lt;=21001231),IF(AND(MOD(INT('월 가계부'!A1863/100),100)&gt;=1,MOD(INT('월 가계부'!A1863/100),100)&lt;=12,MOD(INT('월 가계부'!A1863),100)&gt;=1,MOD(INT('월 가계부'!A1863),100)&lt;=31),IF(MONTH(DATE(INT('월 가계부'!A1863/10000),MOD(INT('월 가계부'!A1863/100),100),MOD(INT('월 가계부'!A1863),100)))=MOD(INT('월 가계부'!A1863/100),100),DATE(INT('월 가계부'!A1863/10000),MOD(INT('월 가계부'!A1863/100),100),MOD(INT('월 가계부'!A1863),100)),""),""),IF(AND('월 가계부'!A1863&gt;=36526,'월 가계부'!A1863&lt;73051),INT('월 가계부'!A1863),"")),IF(OR(CM1863="",CN1863="",CO1863=""),"",IF(AND(CM1863&gt;=2000,CM1863&lt;=2099,CN1863&gt;=1,CN1863&lt;=12,CO1863&gt;=1,CO1863&lt;=31),IF(MONTH(DATE(CM1863,CN1863,CO1863))=CN1863,DATE(CM1863,CN1863,CO1863),""),"")))),"")</f>
        <v/>
      </c>
      <c r="CJ1863">
        <f>IFERROR(IF('월 가계부'!C1863="","",IF(ISNUMBER('월 가계부'!C1863),'월 가계부'!C1863,VALUE(SUBSTITUTE(SUBSTITUTE(SUBSTITUTE(SUBSTITUTE(TRIM('월 가계부'!C1863),",",""),"원","")," ",""),"−","-")))),"")</f>
        <v/>
      </c>
      <c r="CK1863">
        <f>IF(ISNUMBER(CI1863),IF(CI1863&lt;$B$13,CI1863,""),"")</f>
        <v/>
      </c>
      <c r="CM1863">
        <f>IF(CH1863="","",IFERROR(IF(IF(AND(LEN(CH1863)=9,ISERROR(FIND("-",LEFT(CH1863,8))),ISNUMBER(-LEFT(CH1863,8))),VALUE(LEFT(CH1863,4)),VALUE(LEFT(CH1863,FIND("-",CH1863)-1)))&lt;100,IF(AND(LEN(CH1863)=9,ISERROR(FIND("-",LEFT(CH1863,8))),ISNUMBER(-LEFT(CH1863,8))),VALUE(LEFT(CH1863,4)),VALUE(LEFT(CH1863,FIND("-",CH1863)-1)))+2000,IF(AND(LEN(CH1863)=9,ISERROR(FIND("-",LEFT(CH1863,8))),ISNUMBER(-LEFT(CH1863,8))),VALUE(LEFT(CH1863,4)),VALUE(LEFT(CH1863,FIND("-",CH1863)-1)))),""))</f>
        <v/>
      </c>
      <c r="CN1863">
        <f>IF(CH1863="","",IFERROR(IF(AND(LEN(CH1863)=9,ISERROR(FIND("-",LEFT(CH1863,8))),ISNUMBER(-LEFT(CH1863,8))),VALUE(MID(CH1863,5,2)),VALUE(MID(CH1863,FIND("-",CH1863)+1,FIND("-",CH1863,FIND("-",CH1863)+1)-FIND("-",CH1863)-1))),""))</f>
        <v/>
      </c>
      <c r="CO1863">
        <f>IF(CH1863="","",IFERROR(IF(AND(LEN(CH1863)=9,ISERROR(FIND("-",LEFT(CH1863,8))),ISNUMBER(-LEFT(CH1863,8))),VALUE(MID(CH1863,7,2)),VALUE(MID(CH1863,FIND("-",CH1863,FIND("-",CH1863)+1)+1,FIND("-",CH1863,FIND("-",CH1863,FIND("-",CH1863)+1)+1)-FIND("-",CH1863,FIND("-",CH1863)+1)-1))),""))</f>
        <v/>
      </c>
    </row>
    <row r="1864">
      <c r="CH1864">
        <f>IF(ISTEXT('월 가계부'!A1864),SUBSTITUTE(SUBSTITUTE(SUBSTITUTE(SUBSTITUTE(SUBSTITUTE(SUBSTITUTE(SUBSTITUTE(SUBSTITUTE(SUBSTITUTE(TRIM('월 가계부'!A1864),"년","-"),"월","-"),"일",""),".","-"),"/","-")," ","-"),"--","-"),"--","-"),"--","-")&amp;"-","")</f>
        <v/>
      </c>
      <c r="CI1864">
        <f>IFERROR(IF('월 가계부'!A1864="","",IF(ISNUMBER('월 가계부'!A1864),IF(AND('월 가계부'!A1864&gt;=19000101,'월 가계부'!A1864&lt;=21001231),IF(AND(MOD(INT('월 가계부'!A1864/100),100)&gt;=1,MOD(INT('월 가계부'!A1864/100),100)&lt;=12,MOD(INT('월 가계부'!A1864),100)&gt;=1,MOD(INT('월 가계부'!A1864),100)&lt;=31),IF(MONTH(DATE(INT('월 가계부'!A1864/10000),MOD(INT('월 가계부'!A1864/100),100),MOD(INT('월 가계부'!A1864),100)))=MOD(INT('월 가계부'!A1864/100),100),DATE(INT('월 가계부'!A1864/10000),MOD(INT('월 가계부'!A1864/100),100),MOD(INT('월 가계부'!A1864),100)),""),""),IF(AND('월 가계부'!A1864&gt;=36526,'월 가계부'!A1864&lt;73051),INT('월 가계부'!A1864),"")),IF(OR(CM1864="",CN1864="",CO1864=""),"",IF(AND(CM1864&gt;=2000,CM1864&lt;=2099,CN1864&gt;=1,CN1864&lt;=12,CO1864&gt;=1,CO1864&lt;=31),IF(MONTH(DATE(CM1864,CN1864,CO1864))=CN1864,DATE(CM1864,CN1864,CO1864),""),"")))),"")</f>
        <v/>
      </c>
      <c r="CJ1864">
        <f>IFERROR(IF('월 가계부'!C1864="","",IF(ISNUMBER('월 가계부'!C1864),'월 가계부'!C1864,VALUE(SUBSTITUTE(SUBSTITUTE(SUBSTITUTE(SUBSTITUTE(TRIM('월 가계부'!C1864),",",""),"원","")," ",""),"−","-")))),"")</f>
        <v/>
      </c>
      <c r="CK1864">
        <f>IF(ISNUMBER(CI1864),IF(CI1864&lt;$B$13,CI1864,""),"")</f>
        <v/>
      </c>
      <c r="CM1864">
        <f>IF(CH1864="","",IFERROR(IF(IF(AND(LEN(CH1864)=9,ISERROR(FIND("-",LEFT(CH1864,8))),ISNUMBER(-LEFT(CH1864,8))),VALUE(LEFT(CH1864,4)),VALUE(LEFT(CH1864,FIND("-",CH1864)-1)))&lt;100,IF(AND(LEN(CH1864)=9,ISERROR(FIND("-",LEFT(CH1864,8))),ISNUMBER(-LEFT(CH1864,8))),VALUE(LEFT(CH1864,4)),VALUE(LEFT(CH1864,FIND("-",CH1864)-1)))+2000,IF(AND(LEN(CH1864)=9,ISERROR(FIND("-",LEFT(CH1864,8))),ISNUMBER(-LEFT(CH1864,8))),VALUE(LEFT(CH1864,4)),VALUE(LEFT(CH1864,FIND("-",CH1864)-1)))),""))</f>
        <v/>
      </c>
      <c r="CN1864">
        <f>IF(CH1864="","",IFERROR(IF(AND(LEN(CH1864)=9,ISERROR(FIND("-",LEFT(CH1864,8))),ISNUMBER(-LEFT(CH1864,8))),VALUE(MID(CH1864,5,2)),VALUE(MID(CH1864,FIND("-",CH1864)+1,FIND("-",CH1864,FIND("-",CH1864)+1)-FIND("-",CH1864)-1))),""))</f>
        <v/>
      </c>
      <c r="CO1864">
        <f>IF(CH1864="","",IFERROR(IF(AND(LEN(CH1864)=9,ISERROR(FIND("-",LEFT(CH1864,8))),ISNUMBER(-LEFT(CH1864,8))),VALUE(MID(CH1864,7,2)),VALUE(MID(CH1864,FIND("-",CH1864,FIND("-",CH1864)+1)+1,FIND("-",CH1864,FIND("-",CH1864,FIND("-",CH1864)+1)+1)-FIND("-",CH1864,FIND("-",CH1864)+1)-1))),""))</f>
        <v/>
      </c>
    </row>
    <row r="1865">
      <c r="CH1865">
        <f>IF(ISTEXT('월 가계부'!A1865),SUBSTITUTE(SUBSTITUTE(SUBSTITUTE(SUBSTITUTE(SUBSTITUTE(SUBSTITUTE(SUBSTITUTE(SUBSTITUTE(SUBSTITUTE(TRIM('월 가계부'!A1865),"년","-"),"월","-"),"일",""),".","-"),"/","-")," ","-"),"--","-"),"--","-"),"--","-")&amp;"-","")</f>
        <v/>
      </c>
      <c r="CI1865">
        <f>IFERROR(IF('월 가계부'!A1865="","",IF(ISNUMBER('월 가계부'!A1865),IF(AND('월 가계부'!A1865&gt;=19000101,'월 가계부'!A1865&lt;=21001231),IF(AND(MOD(INT('월 가계부'!A1865/100),100)&gt;=1,MOD(INT('월 가계부'!A1865/100),100)&lt;=12,MOD(INT('월 가계부'!A1865),100)&gt;=1,MOD(INT('월 가계부'!A1865),100)&lt;=31),IF(MONTH(DATE(INT('월 가계부'!A1865/10000),MOD(INT('월 가계부'!A1865/100),100),MOD(INT('월 가계부'!A1865),100)))=MOD(INT('월 가계부'!A1865/100),100),DATE(INT('월 가계부'!A1865/10000),MOD(INT('월 가계부'!A1865/100),100),MOD(INT('월 가계부'!A1865),100)),""),""),IF(AND('월 가계부'!A1865&gt;=36526,'월 가계부'!A1865&lt;73051),INT('월 가계부'!A1865),"")),IF(OR(CM1865="",CN1865="",CO1865=""),"",IF(AND(CM1865&gt;=2000,CM1865&lt;=2099,CN1865&gt;=1,CN1865&lt;=12,CO1865&gt;=1,CO1865&lt;=31),IF(MONTH(DATE(CM1865,CN1865,CO1865))=CN1865,DATE(CM1865,CN1865,CO1865),""),"")))),"")</f>
        <v/>
      </c>
      <c r="CJ1865">
        <f>IFERROR(IF('월 가계부'!C1865="","",IF(ISNUMBER('월 가계부'!C1865),'월 가계부'!C1865,VALUE(SUBSTITUTE(SUBSTITUTE(SUBSTITUTE(SUBSTITUTE(TRIM('월 가계부'!C1865),",",""),"원","")," ",""),"−","-")))),"")</f>
        <v/>
      </c>
      <c r="CK1865">
        <f>IF(ISNUMBER(CI1865),IF(CI1865&lt;$B$13,CI1865,""),"")</f>
        <v/>
      </c>
      <c r="CM1865">
        <f>IF(CH1865="","",IFERROR(IF(IF(AND(LEN(CH1865)=9,ISERROR(FIND("-",LEFT(CH1865,8))),ISNUMBER(-LEFT(CH1865,8))),VALUE(LEFT(CH1865,4)),VALUE(LEFT(CH1865,FIND("-",CH1865)-1)))&lt;100,IF(AND(LEN(CH1865)=9,ISERROR(FIND("-",LEFT(CH1865,8))),ISNUMBER(-LEFT(CH1865,8))),VALUE(LEFT(CH1865,4)),VALUE(LEFT(CH1865,FIND("-",CH1865)-1)))+2000,IF(AND(LEN(CH1865)=9,ISERROR(FIND("-",LEFT(CH1865,8))),ISNUMBER(-LEFT(CH1865,8))),VALUE(LEFT(CH1865,4)),VALUE(LEFT(CH1865,FIND("-",CH1865)-1)))),""))</f>
        <v/>
      </c>
      <c r="CN1865">
        <f>IF(CH1865="","",IFERROR(IF(AND(LEN(CH1865)=9,ISERROR(FIND("-",LEFT(CH1865,8))),ISNUMBER(-LEFT(CH1865,8))),VALUE(MID(CH1865,5,2)),VALUE(MID(CH1865,FIND("-",CH1865)+1,FIND("-",CH1865,FIND("-",CH1865)+1)-FIND("-",CH1865)-1))),""))</f>
        <v/>
      </c>
      <c r="CO1865">
        <f>IF(CH1865="","",IFERROR(IF(AND(LEN(CH1865)=9,ISERROR(FIND("-",LEFT(CH1865,8))),ISNUMBER(-LEFT(CH1865,8))),VALUE(MID(CH1865,7,2)),VALUE(MID(CH1865,FIND("-",CH1865,FIND("-",CH1865)+1)+1,FIND("-",CH1865,FIND("-",CH1865,FIND("-",CH1865)+1)+1)-FIND("-",CH1865,FIND("-",CH1865)+1)-1))),""))</f>
        <v/>
      </c>
    </row>
    <row r="1866">
      <c r="CH1866">
        <f>IF(ISTEXT('월 가계부'!A1866),SUBSTITUTE(SUBSTITUTE(SUBSTITUTE(SUBSTITUTE(SUBSTITUTE(SUBSTITUTE(SUBSTITUTE(SUBSTITUTE(SUBSTITUTE(TRIM('월 가계부'!A1866),"년","-"),"월","-"),"일",""),".","-"),"/","-")," ","-"),"--","-"),"--","-"),"--","-")&amp;"-","")</f>
        <v/>
      </c>
      <c r="CI1866">
        <f>IFERROR(IF('월 가계부'!A1866="","",IF(ISNUMBER('월 가계부'!A1866),IF(AND('월 가계부'!A1866&gt;=19000101,'월 가계부'!A1866&lt;=21001231),IF(AND(MOD(INT('월 가계부'!A1866/100),100)&gt;=1,MOD(INT('월 가계부'!A1866/100),100)&lt;=12,MOD(INT('월 가계부'!A1866),100)&gt;=1,MOD(INT('월 가계부'!A1866),100)&lt;=31),IF(MONTH(DATE(INT('월 가계부'!A1866/10000),MOD(INT('월 가계부'!A1866/100),100),MOD(INT('월 가계부'!A1866),100)))=MOD(INT('월 가계부'!A1866/100),100),DATE(INT('월 가계부'!A1866/10000),MOD(INT('월 가계부'!A1866/100),100),MOD(INT('월 가계부'!A1866),100)),""),""),IF(AND('월 가계부'!A1866&gt;=36526,'월 가계부'!A1866&lt;73051),INT('월 가계부'!A1866),"")),IF(OR(CM1866="",CN1866="",CO1866=""),"",IF(AND(CM1866&gt;=2000,CM1866&lt;=2099,CN1866&gt;=1,CN1866&lt;=12,CO1866&gt;=1,CO1866&lt;=31),IF(MONTH(DATE(CM1866,CN1866,CO1866))=CN1866,DATE(CM1866,CN1866,CO1866),""),"")))),"")</f>
        <v/>
      </c>
      <c r="CJ1866">
        <f>IFERROR(IF('월 가계부'!C1866="","",IF(ISNUMBER('월 가계부'!C1866),'월 가계부'!C1866,VALUE(SUBSTITUTE(SUBSTITUTE(SUBSTITUTE(SUBSTITUTE(TRIM('월 가계부'!C1866),",",""),"원","")," ",""),"−","-")))),"")</f>
        <v/>
      </c>
      <c r="CK1866">
        <f>IF(ISNUMBER(CI1866),IF(CI1866&lt;$B$13,CI1866,""),"")</f>
        <v/>
      </c>
      <c r="CM1866">
        <f>IF(CH1866="","",IFERROR(IF(IF(AND(LEN(CH1866)=9,ISERROR(FIND("-",LEFT(CH1866,8))),ISNUMBER(-LEFT(CH1866,8))),VALUE(LEFT(CH1866,4)),VALUE(LEFT(CH1866,FIND("-",CH1866)-1)))&lt;100,IF(AND(LEN(CH1866)=9,ISERROR(FIND("-",LEFT(CH1866,8))),ISNUMBER(-LEFT(CH1866,8))),VALUE(LEFT(CH1866,4)),VALUE(LEFT(CH1866,FIND("-",CH1866)-1)))+2000,IF(AND(LEN(CH1866)=9,ISERROR(FIND("-",LEFT(CH1866,8))),ISNUMBER(-LEFT(CH1866,8))),VALUE(LEFT(CH1866,4)),VALUE(LEFT(CH1866,FIND("-",CH1866)-1)))),""))</f>
        <v/>
      </c>
      <c r="CN1866">
        <f>IF(CH1866="","",IFERROR(IF(AND(LEN(CH1866)=9,ISERROR(FIND("-",LEFT(CH1866,8))),ISNUMBER(-LEFT(CH1866,8))),VALUE(MID(CH1866,5,2)),VALUE(MID(CH1866,FIND("-",CH1866)+1,FIND("-",CH1866,FIND("-",CH1866)+1)-FIND("-",CH1866)-1))),""))</f>
        <v/>
      </c>
      <c r="CO1866">
        <f>IF(CH1866="","",IFERROR(IF(AND(LEN(CH1866)=9,ISERROR(FIND("-",LEFT(CH1866,8))),ISNUMBER(-LEFT(CH1866,8))),VALUE(MID(CH1866,7,2)),VALUE(MID(CH1866,FIND("-",CH1866,FIND("-",CH1866)+1)+1,FIND("-",CH1866,FIND("-",CH1866,FIND("-",CH1866)+1)+1)-FIND("-",CH1866,FIND("-",CH1866)+1)-1))),""))</f>
        <v/>
      </c>
    </row>
    <row r="1867">
      <c r="CH1867">
        <f>IF(ISTEXT('월 가계부'!A1867),SUBSTITUTE(SUBSTITUTE(SUBSTITUTE(SUBSTITUTE(SUBSTITUTE(SUBSTITUTE(SUBSTITUTE(SUBSTITUTE(SUBSTITUTE(TRIM('월 가계부'!A1867),"년","-"),"월","-"),"일",""),".","-"),"/","-")," ","-"),"--","-"),"--","-"),"--","-")&amp;"-","")</f>
        <v/>
      </c>
      <c r="CI1867">
        <f>IFERROR(IF('월 가계부'!A1867="","",IF(ISNUMBER('월 가계부'!A1867),IF(AND('월 가계부'!A1867&gt;=19000101,'월 가계부'!A1867&lt;=21001231),IF(AND(MOD(INT('월 가계부'!A1867/100),100)&gt;=1,MOD(INT('월 가계부'!A1867/100),100)&lt;=12,MOD(INT('월 가계부'!A1867),100)&gt;=1,MOD(INT('월 가계부'!A1867),100)&lt;=31),IF(MONTH(DATE(INT('월 가계부'!A1867/10000),MOD(INT('월 가계부'!A1867/100),100),MOD(INT('월 가계부'!A1867),100)))=MOD(INT('월 가계부'!A1867/100),100),DATE(INT('월 가계부'!A1867/10000),MOD(INT('월 가계부'!A1867/100),100),MOD(INT('월 가계부'!A1867),100)),""),""),IF(AND('월 가계부'!A1867&gt;=36526,'월 가계부'!A1867&lt;73051),INT('월 가계부'!A1867),"")),IF(OR(CM1867="",CN1867="",CO1867=""),"",IF(AND(CM1867&gt;=2000,CM1867&lt;=2099,CN1867&gt;=1,CN1867&lt;=12,CO1867&gt;=1,CO1867&lt;=31),IF(MONTH(DATE(CM1867,CN1867,CO1867))=CN1867,DATE(CM1867,CN1867,CO1867),""),"")))),"")</f>
        <v/>
      </c>
      <c r="CJ1867">
        <f>IFERROR(IF('월 가계부'!C1867="","",IF(ISNUMBER('월 가계부'!C1867),'월 가계부'!C1867,VALUE(SUBSTITUTE(SUBSTITUTE(SUBSTITUTE(SUBSTITUTE(TRIM('월 가계부'!C1867),",",""),"원","")," ",""),"−","-")))),"")</f>
        <v/>
      </c>
      <c r="CK1867">
        <f>IF(ISNUMBER(CI1867),IF(CI1867&lt;$B$13,CI1867,""),"")</f>
        <v/>
      </c>
      <c r="CM1867">
        <f>IF(CH1867="","",IFERROR(IF(IF(AND(LEN(CH1867)=9,ISERROR(FIND("-",LEFT(CH1867,8))),ISNUMBER(-LEFT(CH1867,8))),VALUE(LEFT(CH1867,4)),VALUE(LEFT(CH1867,FIND("-",CH1867)-1)))&lt;100,IF(AND(LEN(CH1867)=9,ISERROR(FIND("-",LEFT(CH1867,8))),ISNUMBER(-LEFT(CH1867,8))),VALUE(LEFT(CH1867,4)),VALUE(LEFT(CH1867,FIND("-",CH1867)-1)))+2000,IF(AND(LEN(CH1867)=9,ISERROR(FIND("-",LEFT(CH1867,8))),ISNUMBER(-LEFT(CH1867,8))),VALUE(LEFT(CH1867,4)),VALUE(LEFT(CH1867,FIND("-",CH1867)-1)))),""))</f>
        <v/>
      </c>
      <c r="CN1867">
        <f>IF(CH1867="","",IFERROR(IF(AND(LEN(CH1867)=9,ISERROR(FIND("-",LEFT(CH1867,8))),ISNUMBER(-LEFT(CH1867,8))),VALUE(MID(CH1867,5,2)),VALUE(MID(CH1867,FIND("-",CH1867)+1,FIND("-",CH1867,FIND("-",CH1867)+1)-FIND("-",CH1867)-1))),""))</f>
        <v/>
      </c>
      <c r="CO1867">
        <f>IF(CH1867="","",IFERROR(IF(AND(LEN(CH1867)=9,ISERROR(FIND("-",LEFT(CH1867,8))),ISNUMBER(-LEFT(CH1867,8))),VALUE(MID(CH1867,7,2)),VALUE(MID(CH1867,FIND("-",CH1867,FIND("-",CH1867)+1)+1,FIND("-",CH1867,FIND("-",CH1867,FIND("-",CH1867)+1)+1)-FIND("-",CH1867,FIND("-",CH1867)+1)-1))),""))</f>
        <v/>
      </c>
    </row>
    <row r="1868">
      <c r="CH1868">
        <f>IF(ISTEXT('월 가계부'!A1868),SUBSTITUTE(SUBSTITUTE(SUBSTITUTE(SUBSTITUTE(SUBSTITUTE(SUBSTITUTE(SUBSTITUTE(SUBSTITUTE(SUBSTITUTE(TRIM('월 가계부'!A1868),"년","-"),"월","-"),"일",""),".","-"),"/","-")," ","-"),"--","-"),"--","-"),"--","-")&amp;"-","")</f>
        <v/>
      </c>
      <c r="CI1868">
        <f>IFERROR(IF('월 가계부'!A1868="","",IF(ISNUMBER('월 가계부'!A1868),IF(AND('월 가계부'!A1868&gt;=19000101,'월 가계부'!A1868&lt;=21001231),IF(AND(MOD(INT('월 가계부'!A1868/100),100)&gt;=1,MOD(INT('월 가계부'!A1868/100),100)&lt;=12,MOD(INT('월 가계부'!A1868),100)&gt;=1,MOD(INT('월 가계부'!A1868),100)&lt;=31),IF(MONTH(DATE(INT('월 가계부'!A1868/10000),MOD(INT('월 가계부'!A1868/100),100),MOD(INT('월 가계부'!A1868),100)))=MOD(INT('월 가계부'!A1868/100),100),DATE(INT('월 가계부'!A1868/10000),MOD(INT('월 가계부'!A1868/100),100),MOD(INT('월 가계부'!A1868),100)),""),""),IF(AND('월 가계부'!A1868&gt;=36526,'월 가계부'!A1868&lt;73051),INT('월 가계부'!A1868),"")),IF(OR(CM1868="",CN1868="",CO1868=""),"",IF(AND(CM1868&gt;=2000,CM1868&lt;=2099,CN1868&gt;=1,CN1868&lt;=12,CO1868&gt;=1,CO1868&lt;=31),IF(MONTH(DATE(CM1868,CN1868,CO1868))=CN1868,DATE(CM1868,CN1868,CO1868),""),"")))),"")</f>
        <v/>
      </c>
      <c r="CJ1868">
        <f>IFERROR(IF('월 가계부'!C1868="","",IF(ISNUMBER('월 가계부'!C1868),'월 가계부'!C1868,VALUE(SUBSTITUTE(SUBSTITUTE(SUBSTITUTE(SUBSTITUTE(TRIM('월 가계부'!C1868),",",""),"원","")," ",""),"−","-")))),"")</f>
        <v/>
      </c>
      <c r="CK1868">
        <f>IF(ISNUMBER(CI1868),IF(CI1868&lt;$B$13,CI1868,""),"")</f>
        <v/>
      </c>
      <c r="CM1868">
        <f>IF(CH1868="","",IFERROR(IF(IF(AND(LEN(CH1868)=9,ISERROR(FIND("-",LEFT(CH1868,8))),ISNUMBER(-LEFT(CH1868,8))),VALUE(LEFT(CH1868,4)),VALUE(LEFT(CH1868,FIND("-",CH1868)-1)))&lt;100,IF(AND(LEN(CH1868)=9,ISERROR(FIND("-",LEFT(CH1868,8))),ISNUMBER(-LEFT(CH1868,8))),VALUE(LEFT(CH1868,4)),VALUE(LEFT(CH1868,FIND("-",CH1868)-1)))+2000,IF(AND(LEN(CH1868)=9,ISERROR(FIND("-",LEFT(CH1868,8))),ISNUMBER(-LEFT(CH1868,8))),VALUE(LEFT(CH1868,4)),VALUE(LEFT(CH1868,FIND("-",CH1868)-1)))),""))</f>
        <v/>
      </c>
      <c r="CN1868">
        <f>IF(CH1868="","",IFERROR(IF(AND(LEN(CH1868)=9,ISERROR(FIND("-",LEFT(CH1868,8))),ISNUMBER(-LEFT(CH1868,8))),VALUE(MID(CH1868,5,2)),VALUE(MID(CH1868,FIND("-",CH1868)+1,FIND("-",CH1868,FIND("-",CH1868)+1)-FIND("-",CH1868)-1))),""))</f>
        <v/>
      </c>
      <c r="CO1868">
        <f>IF(CH1868="","",IFERROR(IF(AND(LEN(CH1868)=9,ISERROR(FIND("-",LEFT(CH1868,8))),ISNUMBER(-LEFT(CH1868,8))),VALUE(MID(CH1868,7,2)),VALUE(MID(CH1868,FIND("-",CH1868,FIND("-",CH1868)+1)+1,FIND("-",CH1868,FIND("-",CH1868,FIND("-",CH1868)+1)+1)-FIND("-",CH1868,FIND("-",CH1868)+1)-1))),""))</f>
        <v/>
      </c>
    </row>
    <row r="1869">
      <c r="CH1869">
        <f>IF(ISTEXT('월 가계부'!A1869),SUBSTITUTE(SUBSTITUTE(SUBSTITUTE(SUBSTITUTE(SUBSTITUTE(SUBSTITUTE(SUBSTITUTE(SUBSTITUTE(SUBSTITUTE(TRIM('월 가계부'!A1869),"년","-"),"월","-"),"일",""),".","-"),"/","-")," ","-"),"--","-"),"--","-"),"--","-")&amp;"-","")</f>
        <v/>
      </c>
      <c r="CI1869">
        <f>IFERROR(IF('월 가계부'!A1869="","",IF(ISNUMBER('월 가계부'!A1869),IF(AND('월 가계부'!A1869&gt;=19000101,'월 가계부'!A1869&lt;=21001231),IF(AND(MOD(INT('월 가계부'!A1869/100),100)&gt;=1,MOD(INT('월 가계부'!A1869/100),100)&lt;=12,MOD(INT('월 가계부'!A1869),100)&gt;=1,MOD(INT('월 가계부'!A1869),100)&lt;=31),IF(MONTH(DATE(INT('월 가계부'!A1869/10000),MOD(INT('월 가계부'!A1869/100),100),MOD(INT('월 가계부'!A1869),100)))=MOD(INT('월 가계부'!A1869/100),100),DATE(INT('월 가계부'!A1869/10000),MOD(INT('월 가계부'!A1869/100),100),MOD(INT('월 가계부'!A1869),100)),""),""),IF(AND('월 가계부'!A1869&gt;=36526,'월 가계부'!A1869&lt;73051),INT('월 가계부'!A1869),"")),IF(OR(CM1869="",CN1869="",CO1869=""),"",IF(AND(CM1869&gt;=2000,CM1869&lt;=2099,CN1869&gt;=1,CN1869&lt;=12,CO1869&gt;=1,CO1869&lt;=31),IF(MONTH(DATE(CM1869,CN1869,CO1869))=CN1869,DATE(CM1869,CN1869,CO1869),""),"")))),"")</f>
        <v/>
      </c>
      <c r="CJ1869">
        <f>IFERROR(IF('월 가계부'!C1869="","",IF(ISNUMBER('월 가계부'!C1869),'월 가계부'!C1869,VALUE(SUBSTITUTE(SUBSTITUTE(SUBSTITUTE(SUBSTITUTE(TRIM('월 가계부'!C1869),",",""),"원","")," ",""),"−","-")))),"")</f>
        <v/>
      </c>
      <c r="CK1869">
        <f>IF(ISNUMBER(CI1869),IF(CI1869&lt;$B$13,CI1869,""),"")</f>
        <v/>
      </c>
      <c r="CM1869">
        <f>IF(CH1869="","",IFERROR(IF(IF(AND(LEN(CH1869)=9,ISERROR(FIND("-",LEFT(CH1869,8))),ISNUMBER(-LEFT(CH1869,8))),VALUE(LEFT(CH1869,4)),VALUE(LEFT(CH1869,FIND("-",CH1869)-1)))&lt;100,IF(AND(LEN(CH1869)=9,ISERROR(FIND("-",LEFT(CH1869,8))),ISNUMBER(-LEFT(CH1869,8))),VALUE(LEFT(CH1869,4)),VALUE(LEFT(CH1869,FIND("-",CH1869)-1)))+2000,IF(AND(LEN(CH1869)=9,ISERROR(FIND("-",LEFT(CH1869,8))),ISNUMBER(-LEFT(CH1869,8))),VALUE(LEFT(CH1869,4)),VALUE(LEFT(CH1869,FIND("-",CH1869)-1)))),""))</f>
        <v/>
      </c>
      <c r="CN1869">
        <f>IF(CH1869="","",IFERROR(IF(AND(LEN(CH1869)=9,ISERROR(FIND("-",LEFT(CH1869,8))),ISNUMBER(-LEFT(CH1869,8))),VALUE(MID(CH1869,5,2)),VALUE(MID(CH1869,FIND("-",CH1869)+1,FIND("-",CH1869,FIND("-",CH1869)+1)-FIND("-",CH1869)-1))),""))</f>
        <v/>
      </c>
      <c r="CO1869">
        <f>IF(CH1869="","",IFERROR(IF(AND(LEN(CH1869)=9,ISERROR(FIND("-",LEFT(CH1869,8))),ISNUMBER(-LEFT(CH1869,8))),VALUE(MID(CH1869,7,2)),VALUE(MID(CH1869,FIND("-",CH1869,FIND("-",CH1869)+1)+1,FIND("-",CH1869,FIND("-",CH1869,FIND("-",CH1869)+1)+1)-FIND("-",CH1869,FIND("-",CH1869)+1)-1))),""))</f>
        <v/>
      </c>
    </row>
    <row r="1870">
      <c r="CH1870">
        <f>IF(ISTEXT('월 가계부'!A1870),SUBSTITUTE(SUBSTITUTE(SUBSTITUTE(SUBSTITUTE(SUBSTITUTE(SUBSTITUTE(SUBSTITUTE(SUBSTITUTE(SUBSTITUTE(TRIM('월 가계부'!A1870),"년","-"),"월","-"),"일",""),".","-"),"/","-")," ","-"),"--","-"),"--","-"),"--","-")&amp;"-","")</f>
        <v/>
      </c>
      <c r="CI1870">
        <f>IFERROR(IF('월 가계부'!A1870="","",IF(ISNUMBER('월 가계부'!A1870),IF(AND('월 가계부'!A1870&gt;=19000101,'월 가계부'!A1870&lt;=21001231),IF(AND(MOD(INT('월 가계부'!A1870/100),100)&gt;=1,MOD(INT('월 가계부'!A1870/100),100)&lt;=12,MOD(INT('월 가계부'!A1870),100)&gt;=1,MOD(INT('월 가계부'!A1870),100)&lt;=31),IF(MONTH(DATE(INT('월 가계부'!A1870/10000),MOD(INT('월 가계부'!A1870/100),100),MOD(INT('월 가계부'!A1870),100)))=MOD(INT('월 가계부'!A1870/100),100),DATE(INT('월 가계부'!A1870/10000),MOD(INT('월 가계부'!A1870/100),100),MOD(INT('월 가계부'!A1870),100)),""),""),IF(AND('월 가계부'!A1870&gt;=36526,'월 가계부'!A1870&lt;73051),INT('월 가계부'!A1870),"")),IF(OR(CM1870="",CN1870="",CO1870=""),"",IF(AND(CM1870&gt;=2000,CM1870&lt;=2099,CN1870&gt;=1,CN1870&lt;=12,CO1870&gt;=1,CO1870&lt;=31),IF(MONTH(DATE(CM1870,CN1870,CO1870))=CN1870,DATE(CM1870,CN1870,CO1870),""),"")))),"")</f>
        <v/>
      </c>
      <c r="CJ1870">
        <f>IFERROR(IF('월 가계부'!C1870="","",IF(ISNUMBER('월 가계부'!C1870),'월 가계부'!C1870,VALUE(SUBSTITUTE(SUBSTITUTE(SUBSTITUTE(SUBSTITUTE(TRIM('월 가계부'!C1870),",",""),"원","")," ",""),"−","-")))),"")</f>
        <v/>
      </c>
      <c r="CK1870">
        <f>IF(ISNUMBER(CI1870),IF(CI1870&lt;$B$13,CI1870,""),"")</f>
        <v/>
      </c>
      <c r="CM1870">
        <f>IF(CH1870="","",IFERROR(IF(IF(AND(LEN(CH1870)=9,ISERROR(FIND("-",LEFT(CH1870,8))),ISNUMBER(-LEFT(CH1870,8))),VALUE(LEFT(CH1870,4)),VALUE(LEFT(CH1870,FIND("-",CH1870)-1)))&lt;100,IF(AND(LEN(CH1870)=9,ISERROR(FIND("-",LEFT(CH1870,8))),ISNUMBER(-LEFT(CH1870,8))),VALUE(LEFT(CH1870,4)),VALUE(LEFT(CH1870,FIND("-",CH1870)-1)))+2000,IF(AND(LEN(CH1870)=9,ISERROR(FIND("-",LEFT(CH1870,8))),ISNUMBER(-LEFT(CH1870,8))),VALUE(LEFT(CH1870,4)),VALUE(LEFT(CH1870,FIND("-",CH1870)-1)))),""))</f>
        <v/>
      </c>
      <c r="CN1870">
        <f>IF(CH1870="","",IFERROR(IF(AND(LEN(CH1870)=9,ISERROR(FIND("-",LEFT(CH1870,8))),ISNUMBER(-LEFT(CH1870,8))),VALUE(MID(CH1870,5,2)),VALUE(MID(CH1870,FIND("-",CH1870)+1,FIND("-",CH1870,FIND("-",CH1870)+1)-FIND("-",CH1870)-1))),""))</f>
        <v/>
      </c>
      <c r="CO1870">
        <f>IF(CH1870="","",IFERROR(IF(AND(LEN(CH1870)=9,ISERROR(FIND("-",LEFT(CH1870,8))),ISNUMBER(-LEFT(CH1870,8))),VALUE(MID(CH1870,7,2)),VALUE(MID(CH1870,FIND("-",CH1870,FIND("-",CH1870)+1)+1,FIND("-",CH1870,FIND("-",CH1870,FIND("-",CH1870)+1)+1)-FIND("-",CH1870,FIND("-",CH1870)+1)-1))),""))</f>
        <v/>
      </c>
    </row>
    <row r="1871">
      <c r="CH1871">
        <f>IF(ISTEXT('월 가계부'!A1871),SUBSTITUTE(SUBSTITUTE(SUBSTITUTE(SUBSTITUTE(SUBSTITUTE(SUBSTITUTE(SUBSTITUTE(SUBSTITUTE(SUBSTITUTE(TRIM('월 가계부'!A1871),"년","-"),"월","-"),"일",""),".","-"),"/","-")," ","-"),"--","-"),"--","-"),"--","-")&amp;"-","")</f>
        <v/>
      </c>
      <c r="CI1871">
        <f>IFERROR(IF('월 가계부'!A1871="","",IF(ISNUMBER('월 가계부'!A1871),IF(AND('월 가계부'!A1871&gt;=19000101,'월 가계부'!A1871&lt;=21001231),IF(AND(MOD(INT('월 가계부'!A1871/100),100)&gt;=1,MOD(INT('월 가계부'!A1871/100),100)&lt;=12,MOD(INT('월 가계부'!A1871),100)&gt;=1,MOD(INT('월 가계부'!A1871),100)&lt;=31),IF(MONTH(DATE(INT('월 가계부'!A1871/10000),MOD(INT('월 가계부'!A1871/100),100),MOD(INT('월 가계부'!A1871),100)))=MOD(INT('월 가계부'!A1871/100),100),DATE(INT('월 가계부'!A1871/10000),MOD(INT('월 가계부'!A1871/100),100),MOD(INT('월 가계부'!A1871),100)),""),""),IF(AND('월 가계부'!A1871&gt;=36526,'월 가계부'!A1871&lt;73051),INT('월 가계부'!A1871),"")),IF(OR(CM1871="",CN1871="",CO1871=""),"",IF(AND(CM1871&gt;=2000,CM1871&lt;=2099,CN1871&gt;=1,CN1871&lt;=12,CO1871&gt;=1,CO1871&lt;=31),IF(MONTH(DATE(CM1871,CN1871,CO1871))=CN1871,DATE(CM1871,CN1871,CO1871),""),"")))),"")</f>
        <v/>
      </c>
      <c r="CJ1871">
        <f>IFERROR(IF('월 가계부'!C1871="","",IF(ISNUMBER('월 가계부'!C1871),'월 가계부'!C1871,VALUE(SUBSTITUTE(SUBSTITUTE(SUBSTITUTE(SUBSTITUTE(TRIM('월 가계부'!C1871),",",""),"원","")," ",""),"−","-")))),"")</f>
        <v/>
      </c>
      <c r="CK1871">
        <f>IF(ISNUMBER(CI1871),IF(CI1871&lt;$B$13,CI1871,""),"")</f>
        <v/>
      </c>
      <c r="CM1871">
        <f>IF(CH1871="","",IFERROR(IF(IF(AND(LEN(CH1871)=9,ISERROR(FIND("-",LEFT(CH1871,8))),ISNUMBER(-LEFT(CH1871,8))),VALUE(LEFT(CH1871,4)),VALUE(LEFT(CH1871,FIND("-",CH1871)-1)))&lt;100,IF(AND(LEN(CH1871)=9,ISERROR(FIND("-",LEFT(CH1871,8))),ISNUMBER(-LEFT(CH1871,8))),VALUE(LEFT(CH1871,4)),VALUE(LEFT(CH1871,FIND("-",CH1871)-1)))+2000,IF(AND(LEN(CH1871)=9,ISERROR(FIND("-",LEFT(CH1871,8))),ISNUMBER(-LEFT(CH1871,8))),VALUE(LEFT(CH1871,4)),VALUE(LEFT(CH1871,FIND("-",CH1871)-1)))),""))</f>
        <v/>
      </c>
      <c r="CN1871">
        <f>IF(CH1871="","",IFERROR(IF(AND(LEN(CH1871)=9,ISERROR(FIND("-",LEFT(CH1871,8))),ISNUMBER(-LEFT(CH1871,8))),VALUE(MID(CH1871,5,2)),VALUE(MID(CH1871,FIND("-",CH1871)+1,FIND("-",CH1871,FIND("-",CH1871)+1)-FIND("-",CH1871)-1))),""))</f>
        <v/>
      </c>
      <c r="CO1871">
        <f>IF(CH1871="","",IFERROR(IF(AND(LEN(CH1871)=9,ISERROR(FIND("-",LEFT(CH1871,8))),ISNUMBER(-LEFT(CH1871,8))),VALUE(MID(CH1871,7,2)),VALUE(MID(CH1871,FIND("-",CH1871,FIND("-",CH1871)+1)+1,FIND("-",CH1871,FIND("-",CH1871,FIND("-",CH1871)+1)+1)-FIND("-",CH1871,FIND("-",CH1871)+1)-1))),""))</f>
        <v/>
      </c>
    </row>
    <row r="1872">
      <c r="CH1872">
        <f>IF(ISTEXT('월 가계부'!A1872),SUBSTITUTE(SUBSTITUTE(SUBSTITUTE(SUBSTITUTE(SUBSTITUTE(SUBSTITUTE(SUBSTITUTE(SUBSTITUTE(SUBSTITUTE(TRIM('월 가계부'!A1872),"년","-"),"월","-"),"일",""),".","-"),"/","-")," ","-"),"--","-"),"--","-"),"--","-")&amp;"-","")</f>
        <v/>
      </c>
      <c r="CI1872">
        <f>IFERROR(IF('월 가계부'!A1872="","",IF(ISNUMBER('월 가계부'!A1872),IF(AND('월 가계부'!A1872&gt;=19000101,'월 가계부'!A1872&lt;=21001231),IF(AND(MOD(INT('월 가계부'!A1872/100),100)&gt;=1,MOD(INT('월 가계부'!A1872/100),100)&lt;=12,MOD(INT('월 가계부'!A1872),100)&gt;=1,MOD(INT('월 가계부'!A1872),100)&lt;=31),IF(MONTH(DATE(INT('월 가계부'!A1872/10000),MOD(INT('월 가계부'!A1872/100),100),MOD(INT('월 가계부'!A1872),100)))=MOD(INT('월 가계부'!A1872/100),100),DATE(INT('월 가계부'!A1872/10000),MOD(INT('월 가계부'!A1872/100),100),MOD(INT('월 가계부'!A1872),100)),""),""),IF(AND('월 가계부'!A1872&gt;=36526,'월 가계부'!A1872&lt;73051),INT('월 가계부'!A1872),"")),IF(OR(CM1872="",CN1872="",CO1872=""),"",IF(AND(CM1872&gt;=2000,CM1872&lt;=2099,CN1872&gt;=1,CN1872&lt;=12,CO1872&gt;=1,CO1872&lt;=31),IF(MONTH(DATE(CM1872,CN1872,CO1872))=CN1872,DATE(CM1872,CN1872,CO1872),""),"")))),"")</f>
        <v/>
      </c>
      <c r="CJ1872">
        <f>IFERROR(IF('월 가계부'!C1872="","",IF(ISNUMBER('월 가계부'!C1872),'월 가계부'!C1872,VALUE(SUBSTITUTE(SUBSTITUTE(SUBSTITUTE(SUBSTITUTE(TRIM('월 가계부'!C1872),",",""),"원","")," ",""),"−","-")))),"")</f>
        <v/>
      </c>
      <c r="CK1872">
        <f>IF(ISNUMBER(CI1872),IF(CI1872&lt;$B$13,CI1872,""),"")</f>
        <v/>
      </c>
      <c r="CM1872">
        <f>IF(CH1872="","",IFERROR(IF(IF(AND(LEN(CH1872)=9,ISERROR(FIND("-",LEFT(CH1872,8))),ISNUMBER(-LEFT(CH1872,8))),VALUE(LEFT(CH1872,4)),VALUE(LEFT(CH1872,FIND("-",CH1872)-1)))&lt;100,IF(AND(LEN(CH1872)=9,ISERROR(FIND("-",LEFT(CH1872,8))),ISNUMBER(-LEFT(CH1872,8))),VALUE(LEFT(CH1872,4)),VALUE(LEFT(CH1872,FIND("-",CH1872)-1)))+2000,IF(AND(LEN(CH1872)=9,ISERROR(FIND("-",LEFT(CH1872,8))),ISNUMBER(-LEFT(CH1872,8))),VALUE(LEFT(CH1872,4)),VALUE(LEFT(CH1872,FIND("-",CH1872)-1)))),""))</f>
        <v/>
      </c>
      <c r="CN1872">
        <f>IF(CH1872="","",IFERROR(IF(AND(LEN(CH1872)=9,ISERROR(FIND("-",LEFT(CH1872,8))),ISNUMBER(-LEFT(CH1872,8))),VALUE(MID(CH1872,5,2)),VALUE(MID(CH1872,FIND("-",CH1872)+1,FIND("-",CH1872,FIND("-",CH1872)+1)-FIND("-",CH1872)-1))),""))</f>
        <v/>
      </c>
      <c r="CO1872">
        <f>IF(CH1872="","",IFERROR(IF(AND(LEN(CH1872)=9,ISERROR(FIND("-",LEFT(CH1872,8))),ISNUMBER(-LEFT(CH1872,8))),VALUE(MID(CH1872,7,2)),VALUE(MID(CH1872,FIND("-",CH1872,FIND("-",CH1872)+1)+1,FIND("-",CH1872,FIND("-",CH1872,FIND("-",CH1872)+1)+1)-FIND("-",CH1872,FIND("-",CH1872)+1)-1))),""))</f>
        <v/>
      </c>
    </row>
    <row r="1873">
      <c r="CH1873">
        <f>IF(ISTEXT('월 가계부'!A1873),SUBSTITUTE(SUBSTITUTE(SUBSTITUTE(SUBSTITUTE(SUBSTITUTE(SUBSTITUTE(SUBSTITUTE(SUBSTITUTE(SUBSTITUTE(TRIM('월 가계부'!A1873),"년","-"),"월","-"),"일",""),".","-"),"/","-")," ","-"),"--","-"),"--","-"),"--","-")&amp;"-","")</f>
        <v/>
      </c>
      <c r="CI1873">
        <f>IFERROR(IF('월 가계부'!A1873="","",IF(ISNUMBER('월 가계부'!A1873),IF(AND('월 가계부'!A1873&gt;=19000101,'월 가계부'!A1873&lt;=21001231),IF(AND(MOD(INT('월 가계부'!A1873/100),100)&gt;=1,MOD(INT('월 가계부'!A1873/100),100)&lt;=12,MOD(INT('월 가계부'!A1873),100)&gt;=1,MOD(INT('월 가계부'!A1873),100)&lt;=31),IF(MONTH(DATE(INT('월 가계부'!A1873/10000),MOD(INT('월 가계부'!A1873/100),100),MOD(INT('월 가계부'!A1873),100)))=MOD(INT('월 가계부'!A1873/100),100),DATE(INT('월 가계부'!A1873/10000),MOD(INT('월 가계부'!A1873/100),100),MOD(INT('월 가계부'!A1873),100)),""),""),IF(AND('월 가계부'!A1873&gt;=36526,'월 가계부'!A1873&lt;73051),INT('월 가계부'!A1873),"")),IF(OR(CM1873="",CN1873="",CO1873=""),"",IF(AND(CM1873&gt;=2000,CM1873&lt;=2099,CN1873&gt;=1,CN1873&lt;=12,CO1873&gt;=1,CO1873&lt;=31),IF(MONTH(DATE(CM1873,CN1873,CO1873))=CN1873,DATE(CM1873,CN1873,CO1873),""),"")))),"")</f>
        <v/>
      </c>
      <c r="CJ1873">
        <f>IFERROR(IF('월 가계부'!C1873="","",IF(ISNUMBER('월 가계부'!C1873),'월 가계부'!C1873,VALUE(SUBSTITUTE(SUBSTITUTE(SUBSTITUTE(SUBSTITUTE(TRIM('월 가계부'!C1873),",",""),"원","")," ",""),"−","-")))),"")</f>
        <v/>
      </c>
      <c r="CK1873">
        <f>IF(ISNUMBER(CI1873),IF(CI1873&lt;$B$13,CI1873,""),"")</f>
        <v/>
      </c>
      <c r="CM1873">
        <f>IF(CH1873="","",IFERROR(IF(IF(AND(LEN(CH1873)=9,ISERROR(FIND("-",LEFT(CH1873,8))),ISNUMBER(-LEFT(CH1873,8))),VALUE(LEFT(CH1873,4)),VALUE(LEFT(CH1873,FIND("-",CH1873)-1)))&lt;100,IF(AND(LEN(CH1873)=9,ISERROR(FIND("-",LEFT(CH1873,8))),ISNUMBER(-LEFT(CH1873,8))),VALUE(LEFT(CH1873,4)),VALUE(LEFT(CH1873,FIND("-",CH1873)-1)))+2000,IF(AND(LEN(CH1873)=9,ISERROR(FIND("-",LEFT(CH1873,8))),ISNUMBER(-LEFT(CH1873,8))),VALUE(LEFT(CH1873,4)),VALUE(LEFT(CH1873,FIND("-",CH1873)-1)))),""))</f>
        <v/>
      </c>
      <c r="CN1873">
        <f>IF(CH1873="","",IFERROR(IF(AND(LEN(CH1873)=9,ISERROR(FIND("-",LEFT(CH1873,8))),ISNUMBER(-LEFT(CH1873,8))),VALUE(MID(CH1873,5,2)),VALUE(MID(CH1873,FIND("-",CH1873)+1,FIND("-",CH1873,FIND("-",CH1873)+1)-FIND("-",CH1873)-1))),""))</f>
        <v/>
      </c>
      <c r="CO1873">
        <f>IF(CH1873="","",IFERROR(IF(AND(LEN(CH1873)=9,ISERROR(FIND("-",LEFT(CH1873,8))),ISNUMBER(-LEFT(CH1873,8))),VALUE(MID(CH1873,7,2)),VALUE(MID(CH1873,FIND("-",CH1873,FIND("-",CH1873)+1)+1,FIND("-",CH1873,FIND("-",CH1873,FIND("-",CH1873)+1)+1)-FIND("-",CH1873,FIND("-",CH1873)+1)-1))),""))</f>
        <v/>
      </c>
    </row>
    <row r="1874">
      <c r="CH1874">
        <f>IF(ISTEXT('월 가계부'!A1874),SUBSTITUTE(SUBSTITUTE(SUBSTITUTE(SUBSTITUTE(SUBSTITUTE(SUBSTITUTE(SUBSTITUTE(SUBSTITUTE(SUBSTITUTE(TRIM('월 가계부'!A1874),"년","-"),"월","-"),"일",""),".","-"),"/","-")," ","-"),"--","-"),"--","-"),"--","-")&amp;"-","")</f>
        <v/>
      </c>
      <c r="CI1874">
        <f>IFERROR(IF('월 가계부'!A1874="","",IF(ISNUMBER('월 가계부'!A1874),IF(AND('월 가계부'!A1874&gt;=19000101,'월 가계부'!A1874&lt;=21001231),IF(AND(MOD(INT('월 가계부'!A1874/100),100)&gt;=1,MOD(INT('월 가계부'!A1874/100),100)&lt;=12,MOD(INT('월 가계부'!A1874),100)&gt;=1,MOD(INT('월 가계부'!A1874),100)&lt;=31),IF(MONTH(DATE(INT('월 가계부'!A1874/10000),MOD(INT('월 가계부'!A1874/100),100),MOD(INT('월 가계부'!A1874),100)))=MOD(INT('월 가계부'!A1874/100),100),DATE(INT('월 가계부'!A1874/10000),MOD(INT('월 가계부'!A1874/100),100),MOD(INT('월 가계부'!A1874),100)),""),""),IF(AND('월 가계부'!A1874&gt;=36526,'월 가계부'!A1874&lt;73051),INT('월 가계부'!A1874),"")),IF(OR(CM1874="",CN1874="",CO1874=""),"",IF(AND(CM1874&gt;=2000,CM1874&lt;=2099,CN1874&gt;=1,CN1874&lt;=12,CO1874&gt;=1,CO1874&lt;=31),IF(MONTH(DATE(CM1874,CN1874,CO1874))=CN1874,DATE(CM1874,CN1874,CO1874),""),"")))),"")</f>
        <v/>
      </c>
      <c r="CJ1874">
        <f>IFERROR(IF('월 가계부'!C1874="","",IF(ISNUMBER('월 가계부'!C1874),'월 가계부'!C1874,VALUE(SUBSTITUTE(SUBSTITUTE(SUBSTITUTE(SUBSTITUTE(TRIM('월 가계부'!C1874),",",""),"원","")," ",""),"−","-")))),"")</f>
        <v/>
      </c>
      <c r="CK1874">
        <f>IF(ISNUMBER(CI1874),IF(CI1874&lt;$B$13,CI1874,""),"")</f>
        <v/>
      </c>
      <c r="CM1874">
        <f>IF(CH1874="","",IFERROR(IF(IF(AND(LEN(CH1874)=9,ISERROR(FIND("-",LEFT(CH1874,8))),ISNUMBER(-LEFT(CH1874,8))),VALUE(LEFT(CH1874,4)),VALUE(LEFT(CH1874,FIND("-",CH1874)-1)))&lt;100,IF(AND(LEN(CH1874)=9,ISERROR(FIND("-",LEFT(CH1874,8))),ISNUMBER(-LEFT(CH1874,8))),VALUE(LEFT(CH1874,4)),VALUE(LEFT(CH1874,FIND("-",CH1874)-1)))+2000,IF(AND(LEN(CH1874)=9,ISERROR(FIND("-",LEFT(CH1874,8))),ISNUMBER(-LEFT(CH1874,8))),VALUE(LEFT(CH1874,4)),VALUE(LEFT(CH1874,FIND("-",CH1874)-1)))),""))</f>
        <v/>
      </c>
      <c r="CN1874">
        <f>IF(CH1874="","",IFERROR(IF(AND(LEN(CH1874)=9,ISERROR(FIND("-",LEFT(CH1874,8))),ISNUMBER(-LEFT(CH1874,8))),VALUE(MID(CH1874,5,2)),VALUE(MID(CH1874,FIND("-",CH1874)+1,FIND("-",CH1874,FIND("-",CH1874)+1)-FIND("-",CH1874)-1))),""))</f>
        <v/>
      </c>
      <c r="CO1874">
        <f>IF(CH1874="","",IFERROR(IF(AND(LEN(CH1874)=9,ISERROR(FIND("-",LEFT(CH1874,8))),ISNUMBER(-LEFT(CH1874,8))),VALUE(MID(CH1874,7,2)),VALUE(MID(CH1874,FIND("-",CH1874,FIND("-",CH1874)+1)+1,FIND("-",CH1874,FIND("-",CH1874,FIND("-",CH1874)+1)+1)-FIND("-",CH1874,FIND("-",CH1874)+1)-1))),""))</f>
        <v/>
      </c>
    </row>
    <row r="1875">
      <c r="CH1875">
        <f>IF(ISTEXT('월 가계부'!A1875),SUBSTITUTE(SUBSTITUTE(SUBSTITUTE(SUBSTITUTE(SUBSTITUTE(SUBSTITUTE(SUBSTITUTE(SUBSTITUTE(SUBSTITUTE(TRIM('월 가계부'!A1875),"년","-"),"월","-"),"일",""),".","-"),"/","-")," ","-"),"--","-"),"--","-"),"--","-")&amp;"-","")</f>
        <v/>
      </c>
      <c r="CI1875">
        <f>IFERROR(IF('월 가계부'!A1875="","",IF(ISNUMBER('월 가계부'!A1875),IF(AND('월 가계부'!A1875&gt;=19000101,'월 가계부'!A1875&lt;=21001231),IF(AND(MOD(INT('월 가계부'!A1875/100),100)&gt;=1,MOD(INT('월 가계부'!A1875/100),100)&lt;=12,MOD(INT('월 가계부'!A1875),100)&gt;=1,MOD(INT('월 가계부'!A1875),100)&lt;=31),IF(MONTH(DATE(INT('월 가계부'!A1875/10000),MOD(INT('월 가계부'!A1875/100),100),MOD(INT('월 가계부'!A1875),100)))=MOD(INT('월 가계부'!A1875/100),100),DATE(INT('월 가계부'!A1875/10000),MOD(INT('월 가계부'!A1875/100),100),MOD(INT('월 가계부'!A1875),100)),""),""),IF(AND('월 가계부'!A1875&gt;=36526,'월 가계부'!A1875&lt;73051),INT('월 가계부'!A1875),"")),IF(OR(CM1875="",CN1875="",CO1875=""),"",IF(AND(CM1875&gt;=2000,CM1875&lt;=2099,CN1875&gt;=1,CN1875&lt;=12,CO1875&gt;=1,CO1875&lt;=31),IF(MONTH(DATE(CM1875,CN1875,CO1875))=CN1875,DATE(CM1875,CN1875,CO1875),""),"")))),"")</f>
        <v/>
      </c>
      <c r="CJ1875">
        <f>IFERROR(IF('월 가계부'!C1875="","",IF(ISNUMBER('월 가계부'!C1875),'월 가계부'!C1875,VALUE(SUBSTITUTE(SUBSTITUTE(SUBSTITUTE(SUBSTITUTE(TRIM('월 가계부'!C1875),",",""),"원","")," ",""),"−","-")))),"")</f>
        <v/>
      </c>
      <c r="CK1875">
        <f>IF(ISNUMBER(CI1875),IF(CI1875&lt;$B$13,CI1875,""),"")</f>
        <v/>
      </c>
      <c r="CM1875">
        <f>IF(CH1875="","",IFERROR(IF(IF(AND(LEN(CH1875)=9,ISERROR(FIND("-",LEFT(CH1875,8))),ISNUMBER(-LEFT(CH1875,8))),VALUE(LEFT(CH1875,4)),VALUE(LEFT(CH1875,FIND("-",CH1875)-1)))&lt;100,IF(AND(LEN(CH1875)=9,ISERROR(FIND("-",LEFT(CH1875,8))),ISNUMBER(-LEFT(CH1875,8))),VALUE(LEFT(CH1875,4)),VALUE(LEFT(CH1875,FIND("-",CH1875)-1)))+2000,IF(AND(LEN(CH1875)=9,ISERROR(FIND("-",LEFT(CH1875,8))),ISNUMBER(-LEFT(CH1875,8))),VALUE(LEFT(CH1875,4)),VALUE(LEFT(CH1875,FIND("-",CH1875)-1)))),""))</f>
        <v/>
      </c>
      <c r="CN1875">
        <f>IF(CH1875="","",IFERROR(IF(AND(LEN(CH1875)=9,ISERROR(FIND("-",LEFT(CH1875,8))),ISNUMBER(-LEFT(CH1875,8))),VALUE(MID(CH1875,5,2)),VALUE(MID(CH1875,FIND("-",CH1875)+1,FIND("-",CH1875,FIND("-",CH1875)+1)-FIND("-",CH1875)-1))),""))</f>
        <v/>
      </c>
      <c r="CO1875">
        <f>IF(CH1875="","",IFERROR(IF(AND(LEN(CH1875)=9,ISERROR(FIND("-",LEFT(CH1875,8))),ISNUMBER(-LEFT(CH1875,8))),VALUE(MID(CH1875,7,2)),VALUE(MID(CH1875,FIND("-",CH1875,FIND("-",CH1875)+1)+1,FIND("-",CH1875,FIND("-",CH1875,FIND("-",CH1875)+1)+1)-FIND("-",CH1875,FIND("-",CH1875)+1)-1))),""))</f>
        <v/>
      </c>
    </row>
    <row r="1876">
      <c r="CH1876">
        <f>IF(ISTEXT('월 가계부'!A1876),SUBSTITUTE(SUBSTITUTE(SUBSTITUTE(SUBSTITUTE(SUBSTITUTE(SUBSTITUTE(SUBSTITUTE(SUBSTITUTE(SUBSTITUTE(TRIM('월 가계부'!A1876),"년","-"),"월","-"),"일",""),".","-"),"/","-")," ","-"),"--","-"),"--","-"),"--","-")&amp;"-","")</f>
        <v/>
      </c>
      <c r="CI1876">
        <f>IFERROR(IF('월 가계부'!A1876="","",IF(ISNUMBER('월 가계부'!A1876),IF(AND('월 가계부'!A1876&gt;=19000101,'월 가계부'!A1876&lt;=21001231),IF(AND(MOD(INT('월 가계부'!A1876/100),100)&gt;=1,MOD(INT('월 가계부'!A1876/100),100)&lt;=12,MOD(INT('월 가계부'!A1876),100)&gt;=1,MOD(INT('월 가계부'!A1876),100)&lt;=31),IF(MONTH(DATE(INT('월 가계부'!A1876/10000),MOD(INT('월 가계부'!A1876/100),100),MOD(INT('월 가계부'!A1876),100)))=MOD(INT('월 가계부'!A1876/100),100),DATE(INT('월 가계부'!A1876/10000),MOD(INT('월 가계부'!A1876/100),100),MOD(INT('월 가계부'!A1876),100)),""),""),IF(AND('월 가계부'!A1876&gt;=36526,'월 가계부'!A1876&lt;73051),INT('월 가계부'!A1876),"")),IF(OR(CM1876="",CN1876="",CO1876=""),"",IF(AND(CM1876&gt;=2000,CM1876&lt;=2099,CN1876&gt;=1,CN1876&lt;=12,CO1876&gt;=1,CO1876&lt;=31),IF(MONTH(DATE(CM1876,CN1876,CO1876))=CN1876,DATE(CM1876,CN1876,CO1876),""),"")))),"")</f>
        <v/>
      </c>
      <c r="CJ1876">
        <f>IFERROR(IF('월 가계부'!C1876="","",IF(ISNUMBER('월 가계부'!C1876),'월 가계부'!C1876,VALUE(SUBSTITUTE(SUBSTITUTE(SUBSTITUTE(SUBSTITUTE(TRIM('월 가계부'!C1876),",",""),"원","")," ",""),"−","-")))),"")</f>
        <v/>
      </c>
      <c r="CK1876">
        <f>IF(ISNUMBER(CI1876),IF(CI1876&lt;$B$13,CI1876,""),"")</f>
        <v/>
      </c>
      <c r="CM1876">
        <f>IF(CH1876="","",IFERROR(IF(IF(AND(LEN(CH1876)=9,ISERROR(FIND("-",LEFT(CH1876,8))),ISNUMBER(-LEFT(CH1876,8))),VALUE(LEFT(CH1876,4)),VALUE(LEFT(CH1876,FIND("-",CH1876)-1)))&lt;100,IF(AND(LEN(CH1876)=9,ISERROR(FIND("-",LEFT(CH1876,8))),ISNUMBER(-LEFT(CH1876,8))),VALUE(LEFT(CH1876,4)),VALUE(LEFT(CH1876,FIND("-",CH1876)-1)))+2000,IF(AND(LEN(CH1876)=9,ISERROR(FIND("-",LEFT(CH1876,8))),ISNUMBER(-LEFT(CH1876,8))),VALUE(LEFT(CH1876,4)),VALUE(LEFT(CH1876,FIND("-",CH1876)-1)))),""))</f>
        <v/>
      </c>
      <c r="CN1876">
        <f>IF(CH1876="","",IFERROR(IF(AND(LEN(CH1876)=9,ISERROR(FIND("-",LEFT(CH1876,8))),ISNUMBER(-LEFT(CH1876,8))),VALUE(MID(CH1876,5,2)),VALUE(MID(CH1876,FIND("-",CH1876)+1,FIND("-",CH1876,FIND("-",CH1876)+1)-FIND("-",CH1876)-1))),""))</f>
        <v/>
      </c>
      <c r="CO1876">
        <f>IF(CH1876="","",IFERROR(IF(AND(LEN(CH1876)=9,ISERROR(FIND("-",LEFT(CH1876,8))),ISNUMBER(-LEFT(CH1876,8))),VALUE(MID(CH1876,7,2)),VALUE(MID(CH1876,FIND("-",CH1876,FIND("-",CH1876)+1)+1,FIND("-",CH1876,FIND("-",CH1876,FIND("-",CH1876)+1)+1)-FIND("-",CH1876,FIND("-",CH1876)+1)-1))),""))</f>
        <v/>
      </c>
    </row>
    <row r="1877">
      <c r="CH1877">
        <f>IF(ISTEXT('월 가계부'!A1877),SUBSTITUTE(SUBSTITUTE(SUBSTITUTE(SUBSTITUTE(SUBSTITUTE(SUBSTITUTE(SUBSTITUTE(SUBSTITUTE(SUBSTITUTE(TRIM('월 가계부'!A1877),"년","-"),"월","-"),"일",""),".","-"),"/","-")," ","-"),"--","-"),"--","-"),"--","-")&amp;"-","")</f>
        <v/>
      </c>
      <c r="CI1877">
        <f>IFERROR(IF('월 가계부'!A1877="","",IF(ISNUMBER('월 가계부'!A1877),IF(AND('월 가계부'!A1877&gt;=19000101,'월 가계부'!A1877&lt;=21001231),IF(AND(MOD(INT('월 가계부'!A1877/100),100)&gt;=1,MOD(INT('월 가계부'!A1877/100),100)&lt;=12,MOD(INT('월 가계부'!A1877),100)&gt;=1,MOD(INT('월 가계부'!A1877),100)&lt;=31),IF(MONTH(DATE(INT('월 가계부'!A1877/10000),MOD(INT('월 가계부'!A1877/100),100),MOD(INT('월 가계부'!A1877),100)))=MOD(INT('월 가계부'!A1877/100),100),DATE(INT('월 가계부'!A1877/10000),MOD(INT('월 가계부'!A1877/100),100),MOD(INT('월 가계부'!A1877),100)),""),""),IF(AND('월 가계부'!A1877&gt;=36526,'월 가계부'!A1877&lt;73051),INT('월 가계부'!A1877),"")),IF(OR(CM1877="",CN1877="",CO1877=""),"",IF(AND(CM1877&gt;=2000,CM1877&lt;=2099,CN1877&gt;=1,CN1877&lt;=12,CO1877&gt;=1,CO1877&lt;=31),IF(MONTH(DATE(CM1877,CN1877,CO1877))=CN1877,DATE(CM1877,CN1877,CO1877),""),"")))),"")</f>
        <v/>
      </c>
      <c r="CJ1877">
        <f>IFERROR(IF('월 가계부'!C1877="","",IF(ISNUMBER('월 가계부'!C1877),'월 가계부'!C1877,VALUE(SUBSTITUTE(SUBSTITUTE(SUBSTITUTE(SUBSTITUTE(TRIM('월 가계부'!C1877),",",""),"원","")," ",""),"−","-")))),"")</f>
        <v/>
      </c>
      <c r="CK1877">
        <f>IF(ISNUMBER(CI1877),IF(CI1877&lt;$B$13,CI1877,""),"")</f>
        <v/>
      </c>
      <c r="CM1877">
        <f>IF(CH1877="","",IFERROR(IF(IF(AND(LEN(CH1877)=9,ISERROR(FIND("-",LEFT(CH1877,8))),ISNUMBER(-LEFT(CH1877,8))),VALUE(LEFT(CH1877,4)),VALUE(LEFT(CH1877,FIND("-",CH1877)-1)))&lt;100,IF(AND(LEN(CH1877)=9,ISERROR(FIND("-",LEFT(CH1877,8))),ISNUMBER(-LEFT(CH1877,8))),VALUE(LEFT(CH1877,4)),VALUE(LEFT(CH1877,FIND("-",CH1877)-1)))+2000,IF(AND(LEN(CH1877)=9,ISERROR(FIND("-",LEFT(CH1877,8))),ISNUMBER(-LEFT(CH1877,8))),VALUE(LEFT(CH1877,4)),VALUE(LEFT(CH1877,FIND("-",CH1877)-1)))),""))</f>
        <v/>
      </c>
      <c r="CN1877">
        <f>IF(CH1877="","",IFERROR(IF(AND(LEN(CH1877)=9,ISERROR(FIND("-",LEFT(CH1877,8))),ISNUMBER(-LEFT(CH1877,8))),VALUE(MID(CH1877,5,2)),VALUE(MID(CH1877,FIND("-",CH1877)+1,FIND("-",CH1877,FIND("-",CH1877)+1)-FIND("-",CH1877)-1))),""))</f>
        <v/>
      </c>
      <c r="CO1877">
        <f>IF(CH1877="","",IFERROR(IF(AND(LEN(CH1877)=9,ISERROR(FIND("-",LEFT(CH1877,8))),ISNUMBER(-LEFT(CH1877,8))),VALUE(MID(CH1877,7,2)),VALUE(MID(CH1877,FIND("-",CH1877,FIND("-",CH1877)+1)+1,FIND("-",CH1877,FIND("-",CH1877,FIND("-",CH1877)+1)+1)-FIND("-",CH1877,FIND("-",CH1877)+1)-1))),""))</f>
        <v/>
      </c>
    </row>
    <row r="1878">
      <c r="CH1878">
        <f>IF(ISTEXT('월 가계부'!A1878),SUBSTITUTE(SUBSTITUTE(SUBSTITUTE(SUBSTITUTE(SUBSTITUTE(SUBSTITUTE(SUBSTITUTE(SUBSTITUTE(SUBSTITUTE(TRIM('월 가계부'!A1878),"년","-"),"월","-"),"일",""),".","-"),"/","-")," ","-"),"--","-"),"--","-"),"--","-")&amp;"-","")</f>
        <v/>
      </c>
      <c r="CI1878">
        <f>IFERROR(IF('월 가계부'!A1878="","",IF(ISNUMBER('월 가계부'!A1878),IF(AND('월 가계부'!A1878&gt;=19000101,'월 가계부'!A1878&lt;=21001231),IF(AND(MOD(INT('월 가계부'!A1878/100),100)&gt;=1,MOD(INT('월 가계부'!A1878/100),100)&lt;=12,MOD(INT('월 가계부'!A1878),100)&gt;=1,MOD(INT('월 가계부'!A1878),100)&lt;=31),IF(MONTH(DATE(INT('월 가계부'!A1878/10000),MOD(INT('월 가계부'!A1878/100),100),MOD(INT('월 가계부'!A1878),100)))=MOD(INT('월 가계부'!A1878/100),100),DATE(INT('월 가계부'!A1878/10000),MOD(INT('월 가계부'!A1878/100),100),MOD(INT('월 가계부'!A1878),100)),""),""),IF(AND('월 가계부'!A1878&gt;=36526,'월 가계부'!A1878&lt;73051),INT('월 가계부'!A1878),"")),IF(OR(CM1878="",CN1878="",CO1878=""),"",IF(AND(CM1878&gt;=2000,CM1878&lt;=2099,CN1878&gt;=1,CN1878&lt;=12,CO1878&gt;=1,CO1878&lt;=31),IF(MONTH(DATE(CM1878,CN1878,CO1878))=CN1878,DATE(CM1878,CN1878,CO1878),""),"")))),"")</f>
        <v/>
      </c>
      <c r="CJ1878">
        <f>IFERROR(IF('월 가계부'!C1878="","",IF(ISNUMBER('월 가계부'!C1878),'월 가계부'!C1878,VALUE(SUBSTITUTE(SUBSTITUTE(SUBSTITUTE(SUBSTITUTE(TRIM('월 가계부'!C1878),",",""),"원","")," ",""),"−","-")))),"")</f>
        <v/>
      </c>
      <c r="CK1878">
        <f>IF(ISNUMBER(CI1878),IF(CI1878&lt;$B$13,CI1878,""),"")</f>
        <v/>
      </c>
      <c r="CM1878">
        <f>IF(CH1878="","",IFERROR(IF(IF(AND(LEN(CH1878)=9,ISERROR(FIND("-",LEFT(CH1878,8))),ISNUMBER(-LEFT(CH1878,8))),VALUE(LEFT(CH1878,4)),VALUE(LEFT(CH1878,FIND("-",CH1878)-1)))&lt;100,IF(AND(LEN(CH1878)=9,ISERROR(FIND("-",LEFT(CH1878,8))),ISNUMBER(-LEFT(CH1878,8))),VALUE(LEFT(CH1878,4)),VALUE(LEFT(CH1878,FIND("-",CH1878)-1)))+2000,IF(AND(LEN(CH1878)=9,ISERROR(FIND("-",LEFT(CH1878,8))),ISNUMBER(-LEFT(CH1878,8))),VALUE(LEFT(CH1878,4)),VALUE(LEFT(CH1878,FIND("-",CH1878)-1)))),""))</f>
        <v/>
      </c>
      <c r="CN1878">
        <f>IF(CH1878="","",IFERROR(IF(AND(LEN(CH1878)=9,ISERROR(FIND("-",LEFT(CH1878,8))),ISNUMBER(-LEFT(CH1878,8))),VALUE(MID(CH1878,5,2)),VALUE(MID(CH1878,FIND("-",CH1878)+1,FIND("-",CH1878,FIND("-",CH1878)+1)-FIND("-",CH1878)-1))),""))</f>
        <v/>
      </c>
      <c r="CO1878">
        <f>IF(CH1878="","",IFERROR(IF(AND(LEN(CH1878)=9,ISERROR(FIND("-",LEFT(CH1878,8))),ISNUMBER(-LEFT(CH1878,8))),VALUE(MID(CH1878,7,2)),VALUE(MID(CH1878,FIND("-",CH1878,FIND("-",CH1878)+1)+1,FIND("-",CH1878,FIND("-",CH1878,FIND("-",CH1878)+1)+1)-FIND("-",CH1878,FIND("-",CH1878)+1)-1))),""))</f>
        <v/>
      </c>
    </row>
    <row r="1879">
      <c r="CH1879">
        <f>IF(ISTEXT('월 가계부'!A1879),SUBSTITUTE(SUBSTITUTE(SUBSTITUTE(SUBSTITUTE(SUBSTITUTE(SUBSTITUTE(SUBSTITUTE(SUBSTITUTE(SUBSTITUTE(TRIM('월 가계부'!A1879),"년","-"),"월","-"),"일",""),".","-"),"/","-")," ","-"),"--","-"),"--","-"),"--","-")&amp;"-","")</f>
        <v/>
      </c>
      <c r="CI1879">
        <f>IFERROR(IF('월 가계부'!A1879="","",IF(ISNUMBER('월 가계부'!A1879),IF(AND('월 가계부'!A1879&gt;=19000101,'월 가계부'!A1879&lt;=21001231),IF(AND(MOD(INT('월 가계부'!A1879/100),100)&gt;=1,MOD(INT('월 가계부'!A1879/100),100)&lt;=12,MOD(INT('월 가계부'!A1879),100)&gt;=1,MOD(INT('월 가계부'!A1879),100)&lt;=31),IF(MONTH(DATE(INT('월 가계부'!A1879/10000),MOD(INT('월 가계부'!A1879/100),100),MOD(INT('월 가계부'!A1879),100)))=MOD(INT('월 가계부'!A1879/100),100),DATE(INT('월 가계부'!A1879/10000),MOD(INT('월 가계부'!A1879/100),100),MOD(INT('월 가계부'!A1879),100)),""),""),IF(AND('월 가계부'!A1879&gt;=36526,'월 가계부'!A1879&lt;73051),INT('월 가계부'!A1879),"")),IF(OR(CM1879="",CN1879="",CO1879=""),"",IF(AND(CM1879&gt;=2000,CM1879&lt;=2099,CN1879&gt;=1,CN1879&lt;=12,CO1879&gt;=1,CO1879&lt;=31),IF(MONTH(DATE(CM1879,CN1879,CO1879))=CN1879,DATE(CM1879,CN1879,CO1879),""),"")))),"")</f>
        <v/>
      </c>
      <c r="CJ1879">
        <f>IFERROR(IF('월 가계부'!C1879="","",IF(ISNUMBER('월 가계부'!C1879),'월 가계부'!C1879,VALUE(SUBSTITUTE(SUBSTITUTE(SUBSTITUTE(SUBSTITUTE(TRIM('월 가계부'!C1879),",",""),"원","")," ",""),"−","-")))),"")</f>
        <v/>
      </c>
      <c r="CK1879">
        <f>IF(ISNUMBER(CI1879),IF(CI1879&lt;$B$13,CI1879,""),"")</f>
        <v/>
      </c>
      <c r="CM1879">
        <f>IF(CH1879="","",IFERROR(IF(IF(AND(LEN(CH1879)=9,ISERROR(FIND("-",LEFT(CH1879,8))),ISNUMBER(-LEFT(CH1879,8))),VALUE(LEFT(CH1879,4)),VALUE(LEFT(CH1879,FIND("-",CH1879)-1)))&lt;100,IF(AND(LEN(CH1879)=9,ISERROR(FIND("-",LEFT(CH1879,8))),ISNUMBER(-LEFT(CH1879,8))),VALUE(LEFT(CH1879,4)),VALUE(LEFT(CH1879,FIND("-",CH1879)-1)))+2000,IF(AND(LEN(CH1879)=9,ISERROR(FIND("-",LEFT(CH1879,8))),ISNUMBER(-LEFT(CH1879,8))),VALUE(LEFT(CH1879,4)),VALUE(LEFT(CH1879,FIND("-",CH1879)-1)))),""))</f>
        <v/>
      </c>
      <c r="CN1879">
        <f>IF(CH1879="","",IFERROR(IF(AND(LEN(CH1879)=9,ISERROR(FIND("-",LEFT(CH1879,8))),ISNUMBER(-LEFT(CH1879,8))),VALUE(MID(CH1879,5,2)),VALUE(MID(CH1879,FIND("-",CH1879)+1,FIND("-",CH1879,FIND("-",CH1879)+1)-FIND("-",CH1879)-1))),""))</f>
        <v/>
      </c>
      <c r="CO1879">
        <f>IF(CH1879="","",IFERROR(IF(AND(LEN(CH1879)=9,ISERROR(FIND("-",LEFT(CH1879,8))),ISNUMBER(-LEFT(CH1879,8))),VALUE(MID(CH1879,7,2)),VALUE(MID(CH1879,FIND("-",CH1879,FIND("-",CH1879)+1)+1,FIND("-",CH1879,FIND("-",CH1879,FIND("-",CH1879)+1)+1)-FIND("-",CH1879,FIND("-",CH1879)+1)-1))),""))</f>
        <v/>
      </c>
    </row>
    <row r="1880">
      <c r="CH1880">
        <f>IF(ISTEXT('월 가계부'!A1880),SUBSTITUTE(SUBSTITUTE(SUBSTITUTE(SUBSTITUTE(SUBSTITUTE(SUBSTITUTE(SUBSTITUTE(SUBSTITUTE(SUBSTITUTE(TRIM('월 가계부'!A1880),"년","-"),"월","-"),"일",""),".","-"),"/","-")," ","-"),"--","-"),"--","-"),"--","-")&amp;"-","")</f>
        <v/>
      </c>
      <c r="CI1880">
        <f>IFERROR(IF('월 가계부'!A1880="","",IF(ISNUMBER('월 가계부'!A1880),IF(AND('월 가계부'!A1880&gt;=19000101,'월 가계부'!A1880&lt;=21001231),IF(AND(MOD(INT('월 가계부'!A1880/100),100)&gt;=1,MOD(INT('월 가계부'!A1880/100),100)&lt;=12,MOD(INT('월 가계부'!A1880),100)&gt;=1,MOD(INT('월 가계부'!A1880),100)&lt;=31),IF(MONTH(DATE(INT('월 가계부'!A1880/10000),MOD(INT('월 가계부'!A1880/100),100),MOD(INT('월 가계부'!A1880),100)))=MOD(INT('월 가계부'!A1880/100),100),DATE(INT('월 가계부'!A1880/10000),MOD(INT('월 가계부'!A1880/100),100),MOD(INT('월 가계부'!A1880),100)),""),""),IF(AND('월 가계부'!A1880&gt;=36526,'월 가계부'!A1880&lt;73051),INT('월 가계부'!A1880),"")),IF(OR(CM1880="",CN1880="",CO1880=""),"",IF(AND(CM1880&gt;=2000,CM1880&lt;=2099,CN1880&gt;=1,CN1880&lt;=12,CO1880&gt;=1,CO1880&lt;=31),IF(MONTH(DATE(CM1880,CN1880,CO1880))=CN1880,DATE(CM1880,CN1880,CO1880),""),"")))),"")</f>
        <v/>
      </c>
      <c r="CJ1880">
        <f>IFERROR(IF('월 가계부'!C1880="","",IF(ISNUMBER('월 가계부'!C1880),'월 가계부'!C1880,VALUE(SUBSTITUTE(SUBSTITUTE(SUBSTITUTE(SUBSTITUTE(TRIM('월 가계부'!C1880),",",""),"원","")," ",""),"−","-")))),"")</f>
        <v/>
      </c>
      <c r="CK1880">
        <f>IF(ISNUMBER(CI1880),IF(CI1880&lt;$B$13,CI1880,""),"")</f>
        <v/>
      </c>
      <c r="CM1880">
        <f>IF(CH1880="","",IFERROR(IF(IF(AND(LEN(CH1880)=9,ISERROR(FIND("-",LEFT(CH1880,8))),ISNUMBER(-LEFT(CH1880,8))),VALUE(LEFT(CH1880,4)),VALUE(LEFT(CH1880,FIND("-",CH1880)-1)))&lt;100,IF(AND(LEN(CH1880)=9,ISERROR(FIND("-",LEFT(CH1880,8))),ISNUMBER(-LEFT(CH1880,8))),VALUE(LEFT(CH1880,4)),VALUE(LEFT(CH1880,FIND("-",CH1880)-1)))+2000,IF(AND(LEN(CH1880)=9,ISERROR(FIND("-",LEFT(CH1880,8))),ISNUMBER(-LEFT(CH1880,8))),VALUE(LEFT(CH1880,4)),VALUE(LEFT(CH1880,FIND("-",CH1880)-1)))),""))</f>
        <v/>
      </c>
      <c r="CN1880">
        <f>IF(CH1880="","",IFERROR(IF(AND(LEN(CH1880)=9,ISERROR(FIND("-",LEFT(CH1880,8))),ISNUMBER(-LEFT(CH1880,8))),VALUE(MID(CH1880,5,2)),VALUE(MID(CH1880,FIND("-",CH1880)+1,FIND("-",CH1880,FIND("-",CH1880)+1)-FIND("-",CH1880)-1))),""))</f>
        <v/>
      </c>
      <c r="CO1880">
        <f>IF(CH1880="","",IFERROR(IF(AND(LEN(CH1880)=9,ISERROR(FIND("-",LEFT(CH1880,8))),ISNUMBER(-LEFT(CH1880,8))),VALUE(MID(CH1880,7,2)),VALUE(MID(CH1880,FIND("-",CH1880,FIND("-",CH1880)+1)+1,FIND("-",CH1880,FIND("-",CH1880,FIND("-",CH1880)+1)+1)-FIND("-",CH1880,FIND("-",CH1880)+1)-1))),""))</f>
        <v/>
      </c>
    </row>
    <row r="1881">
      <c r="CH1881">
        <f>IF(ISTEXT('월 가계부'!A1881),SUBSTITUTE(SUBSTITUTE(SUBSTITUTE(SUBSTITUTE(SUBSTITUTE(SUBSTITUTE(SUBSTITUTE(SUBSTITUTE(SUBSTITUTE(TRIM('월 가계부'!A1881),"년","-"),"월","-"),"일",""),".","-"),"/","-")," ","-"),"--","-"),"--","-"),"--","-")&amp;"-","")</f>
        <v/>
      </c>
      <c r="CI1881">
        <f>IFERROR(IF('월 가계부'!A1881="","",IF(ISNUMBER('월 가계부'!A1881),IF(AND('월 가계부'!A1881&gt;=19000101,'월 가계부'!A1881&lt;=21001231),IF(AND(MOD(INT('월 가계부'!A1881/100),100)&gt;=1,MOD(INT('월 가계부'!A1881/100),100)&lt;=12,MOD(INT('월 가계부'!A1881),100)&gt;=1,MOD(INT('월 가계부'!A1881),100)&lt;=31),IF(MONTH(DATE(INT('월 가계부'!A1881/10000),MOD(INT('월 가계부'!A1881/100),100),MOD(INT('월 가계부'!A1881),100)))=MOD(INT('월 가계부'!A1881/100),100),DATE(INT('월 가계부'!A1881/10000),MOD(INT('월 가계부'!A1881/100),100),MOD(INT('월 가계부'!A1881),100)),""),""),IF(AND('월 가계부'!A1881&gt;=36526,'월 가계부'!A1881&lt;73051),INT('월 가계부'!A1881),"")),IF(OR(CM1881="",CN1881="",CO1881=""),"",IF(AND(CM1881&gt;=2000,CM1881&lt;=2099,CN1881&gt;=1,CN1881&lt;=12,CO1881&gt;=1,CO1881&lt;=31),IF(MONTH(DATE(CM1881,CN1881,CO1881))=CN1881,DATE(CM1881,CN1881,CO1881),""),"")))),"")</f>
        <v/>
      </c>
      <c r="CJ1881">
        <f>IFERROR(IF('월 가계부'!C1881="","",IF(ISNUMBER('월 가계부'!C1881),'월 가계부'!C1881,VALUE(SUBSTITUTE(SUBSTITUTE(SUBSTITUTE(SUBSTITUTE(TRIM('월 가계부'!C1881),",",""),"원","")," ",""),"−","-")))),"")</f>
        <v/>
      </c>
      <c r="CK1881">
        <f>IF(ISNUMBER(CI1881),IF(CI1881&lt;$B$13,CI1881,""),"")</f>
        <v/>
      </c>
      <c r="CM1881">
        <f>IF(CH1881="","",IFERROR(IF(IF(AND(LEN(CH1881)=9,ISERROR(FIND("-",LEFT(CH1881,8))),ISNUMBER(-LEFT(CH1881,8))),VALUE(LEFT(CH1881,4)),VALUE(LEFT(CH1881,FIND("-",CH1881)-1)))&lt;100,IF(AND(LEN(CH1881)=9,ISERROR(FIND("-",LEFT(CH1881,8))),ISNUMBER(-LEFT(CH1881,8))),VALUE(LEFT(CH1881,4)),VALUE(LEFT(CH1881,FIND("-",CH1881)-1)))+2000,IF(AND(LEN(CH1881)=9,ISERROR(FIND("-",LEFT(CH1881,8))),ISNUMBER(-LEFT(CH1881,8))),VALUE(LEFT(CH1881,4)),VALUE(LEFT(CH1881,FIND("-",CH1881)-1)))),""))</f>
        <v/>
      </c>
      <c r="CN1881">
        <f>IF(CH1881="","",IFERROR(IF(AND(LEN(CH1881)=9,ISERROR(FIND("-",LEFT(CH1881,8))),ISNUMBER(-LEFT(CH1881,8))),VALUE(MID(CH1881,5,2)),VALUE(MID(CH1881,FIND("-",CH1881)+1,FIND("-",CH1881,FIND("-",CH1881)+1)-FIND("-",CH1881)-1))),""))</f>
        <v/>
      </c>
      <c r="CO1881">
        <f>IF(CH1881="","",IFERROR(IF(AND(LEN(CH1881)=9,ISERROR(FIND("-",LEFT(CH1881,8))),ISNUMBER(-LEFT(CH1881,8))),VALUE(MID(CH1881,7,2)),VALUE(MID(CH1881,FIND("-",CH1881,FIND("-",CH1881)+1)+1,FIND("-",CH1881,FIND("-",CH1881,FIND("-",CH1881)+1)+1)-FIND("-",CH1881,FIND("-",CH1881)+1)-1))),""))</f>
        <v/>
      </c>
    </row>
    <row r="1882">
      <c r="CH1882">
        <f>IF(ISTEXT('월 가계부'!A1882),SUBSTITUTE(SUBSTITUTE(SUBSTITUTE(SUBSTITUTE(SUBSTITUTE(SUBSTITUTE(SUBSTITUTE(SUBSTITUTE(SUBSTITUTE(TRIM('월 가계부'!A1882),"년","-"),"월","-"),"일",""),".","-"),"/","-")," ","-"),"--","-"),"--","-"),"--","-")&amp;"-","")</f>
        <v/>
      </c>
      <c r="CI1882">
        <f>IFERROR(IF('월 가계부'!A1882="","",IF(ISNUMBER('월 가계부'!A1882),IF(AND('월 가계부'!A1882&gt;=19000101,'월 가계부'!A1882&lt;=21001231),IF(AND(MOD(INT('월 가계부'!A1882/100),100)&gt;=1,MOD(INT('월 가계부'!A1882/100),100)&lt;=12,MOD(INT('월 가계부'!A1882),100)&gt;=1,MOD(INT('월 가계부'!A1882),100)&lt;=31),IF(MONTH(DATE(INT('월 가계부'!A1882/10000),MOD(INT('월 가계부'!A1882/100),100),MOD(INT('월 가계부'!A1882),100)))=MOD(INT('월 가계부'!A1882/100),100),DATE(INT('월 가계부'!A1882/10000),MOD(INT('월 가계부'!A1882/100),100),MOD(INT('월 가계부'!A1882),100)),""),""),IF(AND('월 가계부'!A1882&gt;=36526,'월 가계부'!A1882&lt;73051),INT('월 가계부'!A1882),"")),IF(OR(CM1882="",CN1882="",CO1882=""),"",IF(AND(CM1882&gt;=2000,CM1882&lt;=2099,CN1882&gt;=1,CN1882&lt;=12,CO1882&gt;=1,CO1882&lt;=31),IF(MONTH(DATE(CM1882,CN1882,CO1882))=CN1882,DATE(CM1882,CN1882,CO1882),""),"")))),"")</f>
        <v/>
      </c>
      <c r="CJ1882">
        <f>IFERROR(IF('월 가계부'!C1882="","",IF(ISNUMBER('월 가계부'!C1882),'월 가계부'!C1882,VALUE(SUBSTITUTE(SUBSTITUTE(SUBSTITUTE(SUBSTITUTE(TRIM('월 가계부'!C1882),",",""),"원","")," ",""),"−","-")))),"")</f>
        <v/>
      </c>
      <c r="CK1882">
        <f>IF(ISNUMBER(CI1882),IF(CI1882&lt;$B$13,CI1882,""),"")</f>
        <v/>
      </c>
      <c r="CM1882">
        <f>IF(CH1882="","",IFERROR(IF(IF(AND(LEN(CH1882)=9,ISERROR(FIND("-",LEFT(CH1882,8))),ISNUMBER(-LEFT(CH1882,8))),VALUE(LEFT(CH1882,4)),VALUE(LEFT(CH1882,FIND("-",CH1882)-1)))&lt;100,IF(AND(LEN(CH1882)=9,ISERROR(FIND("-",LEFT(CH1882,8))),ISNUMBER(-LEFT(CH1882,8))),VALUE(LEFT(CH1882,4)),VALUE(LEFT(CH1882,FIND("-",CH1882)-1)))+2000,IF(AND(LEN(CH1882)=9,ISERROR(FIND("-",LEFT(CH1882,8))),ISNUMBER(-LEFT(CH1882,8))),VALUE(LEFT(CH1882,4)),VALUE(LEFT(CH1882,FIND("-",CH1882)-1)))),""))</f>
        <v/>
      </c>
      <c r="CN1882">
        <f>IF(CH1882="","",IFERROR(IF(AND(LEN(CH1882)=9,ISERROR(FIND("-",LEFT(CH1882,8))),ISNUMBER(-LEFT(CH1882,8))),VALUE(MID(CH1882,5,2)),VALUE(MID(CH1882,FIND("-",CH1882)+1,FIND("-",CH1882,FIND("-",CH1882)+1)-FIND("-",CH1882)-1))),""))</f>
        <v/>
      </c>
      <c r="CO1882">
        <f>IF(CH1882="","",IFERROR(IF(AND(LEN(CH1882)=9,ISERROR(FIND("-",LEFT(CH1882,8))),ISNUMBER(-LEFT(CH1882,8))),VALUE(MID(CH1882,7,2)),VALUE(MID(CH1882,FIND("-",CH1882,FIND("-",CH1882)+1)+1,FIND("-",CH1882,FIND("-",CH1882,FIND("-",CH1882)+1)+1)-FIND("-",CH1882,FIND("-",CH1882)+1)-1))),""))</f>
        <v/>
      </c>
    </row>
    <row r="1883">
      <c r="CH1883">
        <f>IF(ISTEXT('월 가계부'!A1883),SUBSTITUTE(SUBSTITUTE(SUBSTITUTE(SUBSTITUTE(SUBSTITUTE(SUBSTITUTE(SUBSTITUTE(SUBSTITUTE(SUBSTITUTE(TRIM('월 가계부'!A1883),"년","-"),"월","-"),"일",""),".","-"),"/","-")," ","-"),"--","-"),"--","-"),"--","-")&amp;"-","")</f>
        <v/>
      </c>
      <c r="CI1883">
        <f>IFERROR(IF('월 가계부'!A1883="","",IF(ISNUMBER('월 가계부'!A1883),IF(AND('월 가계부'!A1883&gt;=19000101,'월 가계부'!A1883&lt;=21001231),IF(AND(MOD(INT('월 가계부'!A1883/100),100)&gt;=1,MOD(INT('월 가계부'!A1883/100),100)&lt;=12,MOD(INT('월 가계부'!A1883),100)&gt;=1,MOD(INT('월 가계부'!A1883),100)&lt;=31),IF(MONTH(DATE(INT('월 가계부'!A1883/10000),MOD(INT('월 가계부'!A1883/100),100),MOD(INT('월 가계부'!A1883),100)))=MOD(INT('월 가계부'!A1883/100),100),DATE(INT('월 가계부'!A1883/10000),MOD(INT('월 가계부'!A1883/100),100),MOD(INT('월 가계부'!A1883),100)),""),""),IF(AND('월 가계부'!A1883&gt;=36526,'월 가계부'!A1883&lt;73051),INT('월 가계부'!A1883),"")),IF(OR(CM1883="",CN1883="",CO1883=""),"",IF(AND(CM1883&gt;=2000,CM1883&lt;=2099,CN1883&gt;=1,CN1883&lt;=12,CO1883&gt;=1,CO1883&lt;=31),IF(MONTH(DATE(CM1883,CN1883,CO1883))=CN1883,DATE(CM1883,CN1883,CO1883),""),"")))),"")</f>
        <v/>
      </c>
      <c r="CJ1883">
        <f>IFERROR(IF('월 가계부'!C1883="","",IF(ISNUMBER('월 가계부'!C1883),'월 가계부'!C1883,VALUE(SUBSTITUTE(SUBSTITUTE(SUBSTITUTE(SUBSTITUTE(TRIM('월 가계부'!C1883),",",""),"원","")," ",""),"−","-")))),"")</f>
        <v/>
      </c>
      <c r="CK1883">
        <f>IF(ISNUMBER(CI1883),IF(CI1883&lt;$B$13,CI1883,""),"")</f>
        <v/>
      </c>
      <c r="CM1883">
        <f>IF(CH1883="","",IFERROR(IF(IF(AND(LEN(CH1883)=9,ISERROR(FIND("-",LEFT(CH1883,8))),ISNUMBER(-LEFT(CH1883,8))),VALUE(LEFT(CH1883,4)),VALUE(LEFT(CH1883,FIND("-",CH1883)-1)))&lt;100,IF(AND(LEN(CH1883)=9,ISERROR(FIND("-",LEFT(CH1883,8))),ISNUMBER(-LEFT(CH1883,8))),VALUE(LEFT(CH1883,4)),VALUE(LEFT(CH1883,FIND("-",CH1883)-1)))+2000,IF(AND(LEN(CH1883)=9,ISERROR(FIND("-",LEFT(CH1883,8))),ISNUMBER(-LEFT(CH1883,8))),VALUE(LEFT(CH1883,4)),VALUE(LEFT(CH1883,FIND("-",CH1883)-1)))),""))</f>
        <v/>
      </c>
      <c r="CN1883">
        <f>IF(CH1883="","",IFERROR(IF(AND(LEN(CH1883)=9,ISERROR(FIND("-",LEFT(CH1883,8))),ISNUMBER(-LEFT(CH1883,8))),VALUE(MID(CH1883,5,2)),VALUE(MID(CH1883,FIND("-",CH1883)+1,FIND("-",CH1883,FIND("-",CH1883)+1)-FIND("-",CH1883)-1))),""))</f>
        <v/>
      </c>
      <c r="CO1883">
        <f>IF(CH1883="","",IFERROR(IF(AND(LEN(CH1883)=9,ISERROR(FIND("-",LEFT(CH1883,8))),ISNUMBER(-LEFT(CH1883,8))),VALUE(MID(CH1883,7,2)),VALUE(MID(CH1883,FIND("-",CH1883,FIND("-",CH1883)+1)+1,FIND("-",CH1883,FIND("-",CH1883,FIND("-",CH1883)+1)+1)-FIND("-",CH1883,FIND("-",CH1883)+1)-1))),""))</f>
        <v/>
      </c>
    </row>
    <row r="1884">
      <c r="CH1884">
        <f>IF(ISTEXT('월 가계부'!A1884),SUBSTITUTE(SUBSTITUTE(SUBSTITUTE(SUBSTITUTE(SUBSTITUTE(SUBSTITUTE(SUBSTITUTE(SUBSTITUTE(SUBSTITUTE(TRIM('월 가계부'!A1884),"년","-"),"월","-"),"일",""),".","-"),"/","-")," ","-"),"--","-"),"--","-"),"--","-")&amp;"-","")</f>
        <v/>
      </c>
      <c r="CI1884">
        <f>IFERROR(IF('월 가계부'!A1884="","",IF(ISNUMBER('월 가계부'!A1884),IF(AND('월 가계부'!A1884&gt;=19000101,'월 가계부'!A1884&lt;=21001231),IF(AND(MOD(INT('월 가계부'!A1884/100),100)&gt;=1,MOD(INT('월 가계부'!A1884/100),100)&lt;=12,MOD(INT('월 가계부'!A1884),100)&gt;=1,MOD(INT('월 가계부'!A1884),100)&lt;=31),IF(MONTH(DATE(INT('월 가계부'!A1884/10000),MOD(INT('월 가계부'!A1884/100),100),MOD(INT('월 가계부'!A1884),100)))=MOD(INT('월 가계부'!A1884/100),100),DATE(INT('월 가계부'!A1884/10000),MOD(INT('월 가계부'!A1884/100),100),MOD(INT('월 가계부'!A1884),100)),""),""),IF(AND('월 가계부'!A1884&gt;=36526,'월 가계부'!A1884&lt;73051),INT('월 가계부'!A1884),"")),IF(OR(CM1884="",CN1884="",CO1884=""),"",IF(AND(CM1884&gt;=2000,CM1884&lt;=2099,CN1884&gt;=1,CN1884&lt;=12,CO1884&gt;=1,CO1884&lt;=31),IF(MONTH(DATE(CM1884,CN1884,CO1884))=CN1884,DATE(CM1884,CN1884,CO1884),""),"")))),"")</f>
        <v/>
      </c>
      <c r="CJ1884">
        <f>IFERROR(IF('월 가계부'!C1884="","",IF(ISNUMBER('월 가계부'!C1884),'월 가계부'!C1884,VALUE(SUBSTITUTE(SUBSTITUTE(SUBSTITUTE(SUBSTITUTE(TRIM('월 가계부'!C1884),",",""),"원","")," ",""),"−","-")))),"")</f>
        <v/>
      </c>
      <c r="CK1884">
        <f>IF(ISNUMBER(CI1884),IF(CI1884&lt;$B$13,CI1884,""),"")</f>
        <v/>
      </c>
      <c r="CM1884">
        <f>IF(CH1884="","",IFERROR(IF(IF(AND(LEN(CH1884)=9,ISERROR(FIND("-",LEFT(CH1884,8))),ISNUMBER(-LEFT(CH1884,8))),VALUE(LEFT(CH1884,4)),VALUE(LEFT(CH1884,FIND("-",CH1884)-1)))&lt;100,IF(AND(LEN(CH1884)=9,ISERROR(FIND("-",LEFT(CH1884,8))),ISNUMBER(-LEFT(CH1884,8))),VALUE(LEFT(CH1884,4)),VALUE(LEFT(CH1884,FIND("-",CH1884)-1)))+2000,IF(AND(LEN(CH1884)=9,ISERROR(FIND("-",LEFT(CH1884,8))),ISNUMBER(-LEFT(CH1884,8))),VALUE(LEFT(CH1884,4)),VALUE(LEFT(CH1884,FIND("-",CH1884)-1)))),""))</f>
        <v/>
      </c>
      <c r="CN1884">
        <f>IF(CH1884="","",IFERROR(IF(AND(LEN(CH1884)=9,ISERROR(FIND("-",LEFT(CH1884,8))),ISNUMBER(-LEFT(CH1884,8))),VALUE(MID(CH1884,5,2)),VALUE(MID(CH1884,FIND("-",CH1884)+1,FIND("-",CH1884,FIND("-",CH1884)+1)-FIND("-",CH1884)-1))),""))</f>
        <v/>
      </c>
      <c r="CO1884">
        <f>IF(CH1884="","",IFERROR(IF(AND(LEN(CH1884)=9,ISERROR(FIND("-",LEFT(CH1884,8))),ISNUMBER(-LEFT(CH1884,8))),VALUE(MID(CH1884,7,2)),VALUE(MID(CH1884,FIND("-",CH1884,FIND("-",CH1884)+1)+1,FIND("-",CH1884,FIND("-",CH1884,FIND("-",CH1884)+1)+1)-FIND("-",CH1884,FIND("-",CH1884)+1)-1))),""))</f>
        <v/>
      </c>
    </row>
    <row r="1885">
      <c r="CH1885">
        <f>IF(ISTEXT('월 가계부'!A1885),SUBSTITUTE(SUBSTITUTE(SUBSTITUTE(SUBSTITUTE(SUBSTITUTE(SUBSTITUTE(SUBSTITUTE(SUBSTITUTE(SUBSTITUTE(TRIM('월 가계부'!A1885),"년","-"),"월","-"),"일",""),".","-"),"/","-")," ","-"),"--","-"),"--","-"),"--","-")&amp;"-","")</f>
        <v/>
      </c>
      <c r="CI1885">
        <f>IFERROR(IF('월 가계부'!A1885="","",IF(ISNUMBER('월 가계부'!A1885),IF(AND('월 가계부'!A1885&gt;=19000101,'월 가계부'!A1885&lt;=21001231),IF(AND(MOD(INT('월 가계부'!A1885/100),100)&gt;=1,MOD(INT('월 가계부'!A1885/100),100)&lt;=12,MOD(INT('월 가계부'!A1885),100)&gt;=1,MOD(INT('월 가계부'!A1885),100)&lt;=31),IF(MONTH(DATE(INT('월 가계부'!A1885/10000),MOD(INT('월 가계부'!A1885/100),100),MOD(INT('월 가계부'!A1885),100)))=MOD(INT('월 가계부'!A1885/100),100),DATE(INT('월 가계부'!A1885/10000),MOD(INT('월 가계부'!A1885/100),100),MOD(INT('월 가계부'!A1885),100)),""),""),IF(AND('월 가계부'!A1885&gt;=36526,'월 가계부'!A1885&lt;73051),INT('월 가계부'!A1885),"")),IF(OR(CM1885="",CN1885="",CO1885=""),"",IF(AND(CM1885&gt;=2000,CM1885&lt;=2099,CN1885&gt;=1,CN1885&lt;=12,CO1885&gt;=1,CO1885&lt;=31),IF(MONTH(DATE(CM1885,CN1885,CO1885))=CN1885,DATE(CM1885,CN1885,CO1885),""),"")))),"")</f>
        <v/>
      </c>
      <c r="CJ1885">
        <f>IFERROR(IF('월 가계부'!C1885="","",IF(ISNUMBER('월 가계부'!C1885),'월 가계부'!C1885,VALUE(SUBSTITUTE(SUBSTITUTE(SUBSTITUTE(SUBSTITUTE(TRIM('월 가계부'!C1885),",",""),"원","")," ",""),"−","-")))),"")</f>
        <v/>
      </c>
      <c r="CK1885">
        <f>IF(ISNUMBER(CI1885),IF(CI1885&lt;$B$13,CI1885,""),"")</f>
        <v/>
      </c>
      <c r="CM1885">
        <f>IF(CH1885="","",IFERROR(IF(IF(AND(LEN(CH1885)=9,ISERROR(FIND("-",LEFT(CH1885,8))),ISNUMBER(-LEFT(CH1885,8))),VALUE(LEFT(CH1885,4)),VALUE(LEFT(CH1885,FIND("-",CH1885)-1)))&lt;100,IF(AND(LEN(CH1885)=9,ISERROR(FIND("-",LEFT(CH1885,8))),ISNUMBER(-LEFT(CH1885,8))),VALUE(LEFT(CH1885,4)),VALUE(LEFT(CH1885,FIND("-",CH1885)-1)))+2000,IF(AND(LEN(CH1885)=9,ISERROR(FIND("-",LEFT(CH1885,8))),ISNUMBER(-LEFT(CH1885,8))),VALUE(LEFT(CH1885,4)),VALUE(LEFT(CH1885,FIND("-",CH1885)-1)))),""))</f>
        <v/>
      </c>
      <c r="CN1885">
        <f>IF(CH1885="","",IFERROR(IF(AND(LEN(CH1885)=9,ISERROR(FIND("-",LEFT(CH1885,8))),ISNUMBER(-LEFT(CH1885,8))),VALUE(MID(CH1885,5,2)),VALUE(MID(CH1885,FIND("-",CH1885)+1,FIND("-",CH1885,FIND("-",CH1885)+1)-FIND("-",CH1885)-1))),""))</f>
        <v/>
      </c>
      <c r="CO1885">
        <f>IF(CH1885="","",IFERROR(IF(AND(LEN(CH1885)=9,ISERROR(FIND("-",LEFT(CH1885,8))),ISNUMBER(-LEFT(CH1885,8))),VALUE(MID(CH1885,7,2)),VALUE(MID(CH1885,FIND("-",CH1885,FIND("-",CH1885)+1)+1,FIND("-",CH1885,FIND("-",CH1885,FIND("-",CH1885)+1)+1)-FIND("-",CH1885,FIND("-",CH1885)+1)-1))),""))</f>
        <v/>
      </c>
    </row>
    <row r="1886">
      <c r="CH1886">
        <f>IF(ISTEXT('월 가계부'!A1886),SUBSTITUTE(SUBSTITUTE(SUBSTITUTE(SUBSTITUTE(SUBSTITUTE(SUBSTITUTE(SUBSTITUTE(SUBSTITUTE(SUBSTITUTE(TRIM('월 가계부'!A1886),"년","-"),"월","-"),"일",""),".","-"),"/","-")," ","-"),"--","-"),"--","-"),"--","-")&amp;"-","")</f>
        <v/>
      </c>
      <c r="CI1886">
        <f>IFERROR(IF('월 가계부'!A1886="","",IF(ISNUMBER('월 가계부'!A1886),IF(AND('월 가계부'!A1886&gt;=19000101,'월 가계부'!A1886&lt;=21001231),IF(AND(MOD(INT('월 가계부'!A1886/100),100)&gt;=1,MOD(INT('월 가계부'!A1886/100),100)&lt;=12,MOD(INT('월 가계부'!A1886),100)&gt;=1,MOD(INT('월 가계부'!A1886),100)&lt;=31),IF(MONTH(DATE(INT('월 가계부'!A1886/10000),MOD(INT('월 가계부'!A1886/100),100),MOD(INT('월 가계부'!A1886),100)))=MOD(INT('월 가계부'!A1886/100),100),DATE(INT('월 가계부'!A1886/10000),MOD(INT('월 가계부'!A1886/100),100),MOD(INT('월 가계부'!A1886),100)),""),""),IF(AND('월 가계부'!A1886&gt;=36526,'월 가계부'!A1886&lt;73051),INT('월 가계부'!A1886),"")),IF(OR(CM1886="",CN1886="",CO1886=""),"",IF(AND(CM1886&gt;=2000,CM1886&lt;=2099,CN1886&gt;=1,CN1886&lt;=12,CO1886&gt;=1,CO1886&lt;=31),IF(MONTH(DATE(CM1886,CN1886,CO1886))=CN1886,DATE(CM1886,CN1886,CO1886),""),"")))),"")</f>
        <v/>
      </c>
      <c r="CJ1886">
        <f>IFERROR(IF('월 가계부'!C1886="","",IF(ISNUMBER('월 가계부'!C1886),'월 가계부'!C1886,VALUE(SUBSTITUTE(SUBSTITUTE(SUBSTITUTE(SUBSTITUTE(TRIM('월 가계부'!C1886),",",""),"원","")," ",""),"−","-")))),"")</f>
        <v/>
      </c>
      <c r="CK1886">
        <f>IF(ISNUMBER(CI1886),IF(CI1886&lt;$B$13,CI1886,""),"")</f>
        <v/>
      </c>
      <c r="CM1886">
        <f>IF(CH1886="","",IFERROR(IF(IF(AND(LEN(CH1886)=9,ISERROR(FIND("-",LEFT(CH1886,8))),ISNUMBER(-LEFT(CH1886,8))),VALUE(LEFT(CH1886,4)),VALUE(LEFT(CH1886,FIND("-",CH1886)-1)))&lt;100,IF(AND(LEN(CH1886)=9,ISERROR(FIND("-",LEFT(CH1886,8))),ISNUMBER(-LEFT(CH1886,8))),VALUE(LEFT(CH1886,4)),VALUE(LEFT(CH1886,FIND("-",CH1886)-1)))+2000,IF(AND(LEN(CH1886)=9,ISERROR(FIND("-",LEFT(CH1886,8))),ISNUMBER(-LEFT(CH1886,8))),VALUE(LEFT(CH1886,4)),VALUE(LEFT(CH1886,FIND("-",CH1886)-1)))),""))</f>
        <v/>
      </c>
      <c r="CN1886">
        <f>IF(CH1886="","",IFERROR(IF(AND(LEN(CH1886)=9,ISERROR(FIND("-",LEFT(CH1886,8))),ISNUMBER(-LEFT(CH1886,8))),VALUE(MID(CH1886,5,2)),VALUE(MID(CH1886,FIND("-",CH1886)+1,FIND("-",CH1886,FIND("-",CH1886)+1)-FIND("-",CH1886)-1))),""))</f>
        <v/>
      </c>
      <c r="CO1886">
        <f>IF(CH1886="","",IFERROR(IF(AND(LEN(CH1886)=9,ISERROR(FIND("-",LEFT(CH1886,8))),ISNUMBER(-LEFT(CH1886,8))),VALUE(MID(CH1886,7,2)),VALUE(MID(CH1886,FIND("-",CH1886,FIND("-",CH1886)+1)+1,FIND("-",CH1886,FIND("-",CH1886,FIND("-",CH1886)+1)+1)-FIND("-",CH1886,FIND("-",CH1886)+1)-1))),""))</f>
        <v/>
      </c>
    </row>
    <row r="1887">
      <c r="CH1887">
        <f>IF(ISTEXT('월 가계부'!A1887),SUBSTITUTE(SUBSTITUTE(SUBSTITUTE(SUBSTITUTE(SUBSTITUTE(SUBSTITUTE(SUBSTITUTE(SUBSTITUTE(SUBSTITUTE(TRIM('월 가계부'!A1887),"년","-"),"월","-"),"일",""),".","-"),"/","-")," ","-"),"--","-"),"--","-"),"--","-")&amp;"-","")</f>
        <v/>
      </c>
      <c r="CI1887">
        <f>IFERROR(IF('월 가계부'!A1887="","",IF(ISNUMBER('월 가계부'!A1887),IF(AND('월 가계부'!A1887&gt;=19000101,'월 가계부'!A1887&lt;=21001231),IF(AND(MOD(INT('월 가계부'!A1887/100),100)&gt;=1,MOD(INT('월 가계부'!A1887/100),100)&lt;=12,MOD(INT('월 가계부'!A1887),100)&gt;=1,MOD(INT('월 가계부'!A1887),100)&lt;=31),IF(MONTH(DATE(INT('월 가계부'!A1887/10000),MOD(INT('월 가계부'!A1887/100),100),MOD(INT('월 가계부'!A1887),100)))=MOD(INT('월 가계부'!A1887/100),100),DATE(INT('월 가계부'!A1887/10000),MOD(INT('월 가계부'!A1887/100),100),MOD(INT('월 가계부'!A1887),100)),""),""),IF(AND('월 가계부'!A1887&gt;=36526,'월 가계부'!A1887&lt;73051),INT('월 가계부'!A1887),"")),IF(OR(CM1887="",CN1887="",CO1887=""),"",IF(AND(CM1887&gt;=2000,CM1887&lt;=2099,CN1887&gt;=1,CN1887&lt;=12,CO1887&gt;=1,CO1887&lt;=31),IF(MONTH(DATE(CM1887,CN1887,CO1887))=CN1887,DATE(CM1887,CN1887,CO1887),""),"")))),"")</f>
        <v/>
      </c>
      <c r="CJ1887">
        <f>IFERROR(IF('월 가계부'!C1887="","",IF(ISNUMBER('월 가계부'!C1887),'월 가계부'!C1887,VALUE(SUBSTITUTE(SUBSTITUTE(SUBSTITUTE(SUBSTITUTE(TRIM('월 가계부'!C1887),",",""),"원","")," ",""),"−","-")))),"")</f>
        <v/>
      </c>
      <c r="CK1887">
        <f>IF(ISNUMBER(CI1887),IF(CI1887&lt;$B$13,CI1887,""),"")</f>
        <v/>
      </c>
      <c r="CM1887">
        <f>IF(CH1887="","",IFERROR(IF(IF(AND(LEN(CH1887)=9,ISERROR(FIND("-",LEFT(CH1887,8))),ISNUMBER(-LEFT(CH1887,8))),VALUE(LEFT(CH1887,4)),VALUE(LEFT(CH1887,FIND("-",CH1887)-1)))&lt;100,IF(AND(LEN(CH1887)=9,ISERROR(FIND("-",LEFT(CH1887,8))),ISNUMBER(-LEFT(CH1887,8))),VALUE(LEFT(CH1887,4)),VALUE(LEFT(CH1887,FIND("-",CH1887)-1)))+2000,IF(AND(LEN(CH1887)=9,ISERROR(FIND("-",LEFT(CH1887,8))),ISNUMBER(-LEFT(CH1887,8))),VALUE(LEFT(CH1887,4)),VALUE(LEFT(CH1887,FIND("-",CH1887)-1)))),""))</f>
        <v/>
      </c>
      <c r="CN1887">
        <f>IF(CH1887="","",IFERROR(IF(AND(LEN(CH1887)=9,ISERROR(FIND("-",LEFT(CH1887,8))),ISNUMBER(-LEFT(CH1887,8))),VALUE(MID(CH1887,5,2)),VALUE(MID(CH1887,FIND("-",CH1887)+1,FIND("-",CH1887,FIND("-",CH1887)+1)-FIND("-",CH1887)-1))),""))</f>
        <v/>
      </c>
      <c r="CO1887">
        <f>IF(CH1887="","",IFERROR(IF(AND(LEN(CH1887)=9,ISERROR(FIND("-",LEFT(CH1887,8))),ISNUMBER(-LEFT(CH1887,8))),VALUE(MID(CH1887,7,2)),VALUE(MID(CH1887,FIND("-",CH1887,FIND("-",CH1887)+1)+1,FIND("-",CH1887,FIND("-",CH1887,FIND("-",CH1887)+1)+1)-FIND("-",CH1887,FIND("-",CH1887)+1)-1))),""))</f>
        <v/>
      </c>
    </row>
    <row r="1888">
      <c r="CH1888">
        <f>IF(ISTEXT('월 가계부'!A1888),SUBSTITUTE(SUBSTITUTE(SUBSTITUTE(SUBSTITUTE(SUBSTITUTE(SUBSTITUTE(SUBSTITUTE(SUBSTITUTE(SUBSTITUTE(TRIM('월 가계부'!A1888),"년","-"),"월","-"),"일",""),".","-"),"/","-")," ","-"),"--","-"),"--","-"),"--","-")&amp;"-","")</f>
        <v/>
      </c>
      <c r="CI1888">
        <f>IFERROR(IF('월 가계부'!A1888="","",IF(ISNUMBER('월 가계부'!A1888),IF(AND('월 가계부'!A1888&gt;=19000101,'월 가계부'!A1888&lt;=21001231),IF(AND(MOD(INT('월 가계부'!A1888/100),100)&gt;=1,MOD(INT('월 가계부'!A1888/100),100)&lt;=12,MOD(INT('월 가계부'!A1888),100)&gt;=1,MOD(INT('월 가계부'!A1888),100)&lt;=31),IF(MONTH(DATE(INT('월 가계부'!A1888/10000),MOD(INT('월 가계부'!A1888/100),100),MOD(INT('월 가계부'!A1888),100)))=MOD(INT('월 가계부'!A1888/100),100),DATE(INT('월 가계부'!A1888/10000),MOD(INT('월 가계부'!A1888/100),100),MOD(INT('월 가계부'!A1888),100)),""),""),IF(AND('월 가계부'!A1888&gt;=36526,'월 가계부'!A1888&lt;73051),INT('월 가계부'!A1888),"")),IF(OR(CM1888="",CN1888="",CO1888=""),"",IF(AND(CM1888&gt;=2000,CM1888&lt;=2099,CN1888&gt;=1,CN1888&lt;=12,CO1888&gt;=1,CO1888&lt;=31),IF(MONTH(DATE(CM1888,CN1888,CO1888))=CN1888,DATE(CM1888,CN1888,CO1888),""),"")))),"")</f>
        <v/>
      </c>
      <c r="CJ1888">
        <f>IFERROR(IF('월 가계부'!C1888="","",IF(ISNUMBER('월 가계부'!C1888),'월 가계부'!C1888,VALUE(SUBSTITUTE(SUBSTITUTE(SUBSTITUTE(SUBSTITUTE(TRIM('월 가계부'!C1888),",",""),"원","")," ",""),"−","-")))),"")</f>
        <v/>
      </c>
      <c r="CK1888">
        <f>IF(ISNUMBER(CI1888),IF(CI1888&lt;$B$13,CI1888,""),"")</f>
        <v/>
      </c>
      <c r="CM1888">
        <f>IF(CH1888="","",IFERROR(IF(IF(AND(LEN(CH1888)=9,ISERROR(FIND("-",LEFT(CH1888,8))),ISNUMBER(-LEFT(CH1888,8))),VALUE(LEFT(CH1888,4)),VALUE(LEFT(CH1888,FIND("-",CH1888)-1)))&lt;100,IF(AND(LEN(CH1888)=9,ISERROR(FIND("-",LEFT(CH1888,8))),ISNUMBER(-LEFT(CH1888,8))),VALUE(LEFT(CH1888,4)),VALUE(LEFT(CH1888,FIND("-",CH1888)-1)))+2000,IF(AND(LEN(CH1888)=9,ISERROR(FIND("-",LEFT(CH1888,8))),ISNUMBER(-LEFT(CH1888,8))),VALUE(LEFT(CH1888,4)),VALUE(LEFT(CH1888,FIND("-",CH1888)-1)))),""))</f>
        <v/>
      </c>
      <c r="CN1888">
        <f>IF(CH1888="","",IFERROR(IF(AND(LEN(CH1888)=9,ISERROR(FIND("-",LEFT(CH1888,8))),ISNUMBER(-LEFT(CH1888,8))),VALUE(MID(CH1888,5,2)),VALUE(MID(CH1888,FIND("-",CH1888)+1,FIND("-",CH1888,FIND("-",CH1888)+1)-FIND("-",CH1888)-1))),""))</f>
        <v/>
      </c>
      <c r="CO1888">
        <f>IF(CH1888="","",IFERROR(IF(AND(LEN(CH1888)=9,ISERROR(FIND("-",LEFT(CH1888,8))),ISNUMBER(-LEFT(CH1888,8))),VALUE(MID(CH1888,7,2)),VALUE(MID(CH1888,FIND("-",CH1888,FIND("-",CH1888)+1)+1,FIND("-",CH1888,FIND("-",CH1888,FIND("-",CH1888)+1)+1)-FIND("-",CH1888,FIND("-",CH1888)+1)-1))),""))</f>
        <v/>
      </c>
    </row>
    <row r="1889">
      <c r="CH1889">
        <f>IF(ISTEXT('월 가계부'!A1889),SUBSTITUTE(SUBSTITUTE(SUBSTITUTE(SUBSTITUTE(SUBSTITUTE(SUBSTITUTE(SUBSTITUTE(SUBSTITUTE(SUBSTITUTE(TRIM('월 가계부'!A1889),"년","-"),"월","-"),"일",""),".","-"),"/","-")," ","-"),"--","-"),"--","-"),"--","-")&amp;"-","")</f>
        <v/>
      </c>
      <c r="CI1889">
        <f>IFERROR(IF('월 가계부'!A1889="","",IF(ISNUMBER('월 가계부'!A1889),IF(AND('월 가계부'!A1889&gt;=19000101,'월 가계부'!A1889&lt;=21001231),IF(AND(MOD(INT('월 가계부'!A1889/100),100)&gt;=1,MOD(INT('월 가계부'!A1889/100),100)&lt;=12,MOD(INT('월 가계부'!A1889),100)&gt;=1,MOD(INT('월 가계부'!A1889),100)&lt;=31),IF(MONTH(DATE(INT('월 가계부'!A1889/10000),MOD(INT('월 가계부'!A1889/100),100),MOD(INT('월 가계부'!A1889),100)))=MOD(INT('월 가계부'!A1889/100),100),DATE(INT('월 가계부'!A1889/10000),MOD(INT('월 가계부'!A1889/100),100),MOD(INT('월 가계부'!A1889),100)),""),""),IF(AND('월 가계부'!A1889&gt;=36526,'월 가계부'!A1889&lt;73051),INT('월 가계부'!A1889),"")),IF(OR(CM1889="",CN1889="",CO1889=""),"",IF(AND(CM1889&gt;=2000,CM1889&lt;=2099,CN1889&gt;=1,CN1889&lt;=12,CO1889&gt;=1,CO1889&lt;=31),IF(MONTH(DATE(CM1889,CN1889,CO1889))=CN1889,DATE(CM1889,CN1889,CO1889),""),"")))),"")</f>
        <v/>
      </c>
      <c r="CJ1889">
        <f>IFERROR(IF('월 가계부'!C1889="","",IF(ISNUMBER('월 가계부'!C1889),'월 가계부'!C1889,VALUE(SUBSTITUTE(SUBSTITUTE(SUBSTITUTE(SUBSTITUTE(TRIM('월 가계부'!C1889),",",""),"원","")," ",""),"−","-")))),"")</f>
        <v/>
      </c>
      <c r="CK1889">
        <f>IF(ISNUMBER(CI1889),IF(CI1889&lt;$B$13,CI1889,""),"")</f>
        <v/>
      </c>
      <c r="CM1889">
        <f>IF(CH1889="","",IFERROR(IF(IF(AND(LEN(CH1889)=9,ISERROR(FIND("-",LEFT(CH1889,8))),ISNUMBER(-LEFT(CH1889,8))),VALUE(LEFT(CH1889,4)),VALUE(LEFT(CH1889,FIND("-",CH1889)-1)))&lt;100,IF(AND(LEN(CH1889)=9,ISERROR(FIND("-",LEFT(CH1889,8))),ISNUMBER(-LEFT(CH1889,8))),VALUE(LEFT(CH1889,4)),VALUE(LEFT(CH1889,FIND("-",CH1889)-1)))+2000,IF(AND(LEN(CH1889)=9,ISERROR(FIND("-",LEFT(CH1889,8))),ISNUMBER(-LEFT(CH1889,8))),VALUE(LEFT(CH1889,4)),VALUE(LEFT(CH1889,FIND("-",CH1889)-1)))),""))</f>
        <v/>
      </c>
      <c r="CN1889">
        <f>IF(CH1889="","",IFERROR(IF(AND(LEN(CH1889)=9,ISERROR(FIND("-",LEFT(CH1889,8))),ISNUMBER(-LEFT(CH1889,8))),VALUE(MID(CH1889,5,2)),VALUE(MID(CH1889,FIND("-",CH1889)+1,FIND("-",CH1889,FIND("-",CH1889)+1)-FIND("-",CH1889)-1))),""))</f>
        <v/>
      </c>
      <c r="CO1889">
        <f>IF(CH1889="","",IFERROR(IF(AND(LEN(CH1889)=9,ISERROR(FIND("-",LEFT(CH1889,8))),ISNUMBER(-LEFT(CH1889,8))),VALUE(MID(CH1889,7,2)),VALUE(MID(CH1889,FIND("-",CH1889,FIND("-",CH1889)+1)+1,FIND("-",CH1889,FIND("-",CH1889,FIND("-",CH1889)+1)+1)-FIND("-",CH1889,FIND("-",CH1889)+1)-1))),""))</f>
        <v/>
      </c>
    </row>
    <row r="1890">
      <c r="CH1890">
        <f>IF(ISTEXT('월 가계부'!A1890),SUBSTITUTE(SUBSTITUTE(SUBSTITUTE(SUBSTITUTE(SUBSTITUTE(SUBSTITUTE(SUBSTITUTE(SUBSTITUTE(SUBSTITUTE(TRIM('월 가계부'!A1890),"년","-"),"월","-"),"일",""),".","-"),"/","-")," ","-"),"--","-"),"--","-"),"--","-")&amp;"-","")</f>
        <v/>
      </c>
      <c r="CI1890">
        <f>IFERROR(IF('월 가계부'!A1890="","",IF(ISNUMBER('월 가계부'!A1890),IF(AND('월 가계부'!A1890&gt;=19000101,'월 가계부'!A1890&lt;=21001231),IF(AND(MOD(INT('월 가계부'!A1890/100),100)&gt;=1,MOD(INT('월 가계부'!A1890/100),100)&lt;=12,MOD(INT('월 가계부'!A1890),100)&gt;=1,MOD(INT('월 가계부'!A1890),100)&lt;=31),IF(MONTH(DATE(INT('월 가계부'!A1890/10000),MOD(INT('월 가계부'!A1890/100),100),MOD(INT('월 가계부'!A1890),100)))=MOD(INT('월 가계부'!A1890/100),100),DATE(INT('월 가계부'!A1890/10000),MOD(INT('월 가계부'!A1890/100),100),MOD(INT('월 가계부'!A1890),100)),""),""),IF(AND('월 가계부'!A1890&gt;=36526,'월 가계부'!A1890&lt;73051),INT('월 가계부'!A1890),"")),IF(OR(CM1890="",CN1890="",CO1890=""),"",IF(AND(CM1890&gt;=2000,CM1890&lt;=2099,CN1890&gt;=1,CN1890&lt;=12,CO1890&gt;=1,CO1890&lt;=31),IF(MONTH(DATE(CM1890,CN1890,CO1890))=CN1890,DATE(CM1890,CN1890,CO1890),""),"")))),"")</f>
        <v/>
      </c>
      <c r="CJ1890">
        <f>IFERROR(IF('월 가계부'!C1890="","",IF(ISNUMBER('월 가계부'!C1890),'월 가계부'!C1890,VALUE(SUBSTITUTE(SUBSTITUTE(SUBSTITUTE(SUBSTITUTE(TRIM('월 가계부'!C1890),",",""),"원","")," ",""),"−","-")))),"")</f>
        <v/>
      </c>
      <c r="CK1890">
        <f>IF(ISNUMBER(CI1890),IF(CI1890&lt;$B$13,CI1890,""),"")</f>
        <v/>
      </c>
      <c r="CM1890">
        <f>IF(CH1890="","",IFERROR(IF(IF(AND(LEN(CH1890)=9,ISERROR(FIND("-",LEFT(CH1890,8))),ISNUMBER(-LEFT(CH1890,8))),VALUE(LEFT(CH1890,4)),VALUE(LEFT(CH1890,FIND("-",CH1890)-1)))&lt;100,IF(AND(LEN(CH1890)=9,ISERROR(FIND("-",LEFT(CH1890,8))),ISNUMBER(-LEFT(CH1890,8))),VALUE(LEFT(CH1890,4)),VALUE(LEFT(CH1890,FIND("-",CH1890)-1)))+2000,IF(AND(LEN(CH1890)=9,ISERROR(FIND("-",LEFT(CH1890,8))),ISNUMBER(-LEFT(CH1890,8))),VALUE(LEFT(CH1890,4)),VALUE(LEFT(CH1890,FIND("-",CH1890)-1)))),""))</f>
        <v/>
      </c>
      <c r="CN1890">
        <f>IF(CH1890="","",IFERROR(IF(AND(LEN(CH1890)=9,ISERROR(FIND("-",LEFT(CH1890,8))),ISNUMBER(-LEFT(CH1890,8))),VALUE(MID(CH1890,5,2)),VALUE(MID(CH1890,FIND("-",CH1890)+1,FIND("-",CH1890,FIND("-",CH1890)+1)-FIND("-",CH1890)-1))),""))</f>
        <v/>
      </c>
      <c r="CO1890">
        <f>IF(CH1890="","",IFERROR(IF(AND(LEN(CH1890)=9,ISERROR(FIND("-",LEFT(CH1890,8))),ISNUMBER(-LEFT(CH1890,8))),VALUE(MID(CH1890,7,2)),VALUE(MID(CH1890,FIND("-",CH1890,FIND("-",CH1890)+1)+1,FIND("-",CH1890,FIND("-",CH1890,FIND("-",CH1890)+1)+1)-FIND("-",CH1890,FIND("-",CH1890)+1)-1))),""))</f>
        <v/>
      </c>
    </row>
    <row r="1891">
      <c r="CH1891">
        <f>IF(ISTEXT('월 가계부'!A1891),SUBSTITUTE(SUBSTITUTE(SUBSTITUTE(SUBSTITUTE(SUBSTITUTE(SUBSTITUTE(SUBSTITUTE(SUBSTITUTE(SUBSTITUTE(TRIM('월 가계부'!A1891),"년","-"),"월","-"),"일",""),".","-"),"/","-")," ","-"),"--","-"),"--","-"),"--","-")&amp;"-","")</f>
        <v/>
      </c>
      <c r="CI1891">
        <f>IFERROR(IF('월 가계부'!A1891="","",IF(ISNUMBER('월 가계부'!A1891),IF(AND('월 가계부'!A1891&gt;=19000101,'월 가계부'!A1891&lt;=21001231),IF(AND(MOD(INT('월 가계부'!A1891/100),100)&gt;=1,MOD(INT('월 가계부'!A1891/100),100)&lt;=12,MOD(INT('월 가계부'!A1891),100)&gt;=1,MOD(INT('월 가계부'!A1891),100)&lt;=31),IF(MONTH(DATE(INT('월 가계부'!A1891/10000),MOD(INT('월 가계부'!A1891/100),100),MOD(INT('월 가계부'!A1891),100)))=MOD(INT('월 가계부'!A1891/100),100),DATE(INT('월 가계부'!A1891/10000),MOD(INT('월 가계부'!A1891/100),100),MOD(INT('월 가계부'!A1891),100)),""),""),IF(AND('월 가계부'!A1891&gt;=36526,'월 가계부'!A1891&lt;73051),INT('월 가계부'!A1891),"")),IF(OR(CM1891="",CN1891="",CO1891=""),"",IF(AND(CM1891&gt;=2000,CM1891&lt;=2099,CN1891&gt;=1,CN1891&lt;=12,CO1891&gt;=1,CO1891&lt;=31),IF(MONTH(DATE(CM1891,CN1891,CO1891))=CN1891,DATE(CM1891,CN1891,CO1891),""),"")))),"")</f>
        <v/>
      </c>
      <c r="CJ1891">
        <f>IFERROR(IF('월 가계부'!C1891="","",IF(ISNUMBER('월 가계부'!C1891),'월 가계부'!C1891,VALUE(SUBSTITUTE(SUBSTITUTE(SUBSTITUTE(SUBSTITUTE(TRIM('월 가계부'!C1891),",",""),"원","")," ",""),"−","-")))),"")</f>
        <v/>
      </c>
      <c r="CK1891">
        <f>IF(ISNUMBER(CI1891),IF(CI1891&lt;$B$13,CI1891,""),"")</f>
        <v/>
      </c>
      <c r="CM1891">
        <f>IF(CH1891="","",IFERROR(IF(IF(AND(LEN(CH1891)=9,ISERROR(FIND("-",LEFT(CH1891,8))),ISNUMBER(-LEFT(CH1891,8))),VALUE(LEFT(CH1891,4)),VALUE(LEFT(CH1891,FIND("-",CH1891)-1)))&lt;100,IF(AND(LEN(CH1891)=9,ISERROR(FIND("-",LEFT(CH1891,8))),ISNUMBER(-LEFT(CH1891,8))),VALUE(LEFT(CH1891,4)),VALUE(LEFT(CH1891,FIND("-",CH1891)-1)))+2000,IF(AND(LEN(CH1891)=9,ISERROR(FIND("-",LEFT(CH1891,8))),ISNUMBER(-LEFT(CH1891,8))),VALUE(LEFT(CH1891,4)),VALUE(LEFT(CH1891,FIND("-",CH1891)-1)))),""))</f>
        <v/>
      </c>
      <c r="CN1891">
        <f>IF(CH1891="","",IFERROR(IF(AND(LEN(CH1891)=9,ISERROR(FIND("-",LEFT(CH1891,8))),ISNUMBER(-LEFT(CH1891,8))),VALUE(MID(CH1891,5,2)),VALUE(MID(CH1891,FIND("-",CH1891)+1,FIND("-",CH1891,FIND("-",CH1891)+1)-FIND("-",CH1891)-1))),""))</f>
        <v/>
      </c>
      <c r="CO1891">
        <f>IF(CH1891="","",IFERROR(IF(AND(LEN(CH1891)=9,ISERROR(FIND("-",LEFT(CH1891,8))),ISNUMBER(-LEFT(CH1891,8))),VALUE(MID(CH1891,7,2)),VALUE(MID(CH1891,FIND("-",CH1891,FIND("-",CH1891)+1)+1,FIND("-",CH1891,FIND("-",CH1891,FIND("-",CH1891)+1)+1)-FIND("-",CH1891,FIND("-",CH1891)+1)-1))),""))</f>
        <v/>
      </c>
    </row>
    <row r="1892">
      <c r="CH1892">
        <f>IF(ISTEXT('월 가계부'!A1892),SUBSTITUTE(SUBSTITUTE(SUBSTITUTE(SUBSTITUTE(SUBSTITUTE(SUBSTITUTE(SUBSTITUTE(SUBSTITUTE(SUBSTITUTE(TRIM('월 가계부'!A1892),"년","-"),"월","-"),"일",""),".","-"),"/","-")," ","-"),"--","-"),"--","-"),"--","-")&amp;"-","")</f>
        <v/>
      </c>
      <c r="CI1892">
        <f>IFERROR(IF('월 가계부'!A1892="","",IF(ISNUMBER('월 가계부'!A1892),IF(AND('월 가계부'!A1892&gt;=19000101,'월 가계부'!A1892&lt;=21001231),IF(AND(MOD(INT('월 가계부'!A1892/100),100)&gt;=1,MOD(INT('월 가계부'!A1892/100),100)&lt;=12,MOD(INT('월 가계부'!A1892),100)&gt;=1,MOD(INT('월 가계부'!A1892),100)&lt;=31),IF(MONTH(DATE(INT('월 가계부'!A1892/10000),MOD(INT('월 가계부'!A1892/100),100),MOD(INT('월 가계부'!A1892),100)))=MOD(INT('월 가계부'!A1892/100),100),DATE(INT('월 가계부'!A1892/10000),MOD(INT('월 가계부'!A1892/100),100),MOD(INT('월 가계부'!A1892),100)),""),""),IF(AND('월 가계부'!A1892&gt;=36526,'월 가계부'!A1892&lt;73051),INT('월 가계부'!A1892),"")),IF(OR(CM1892="",CN1892="",CO1892=""),"",IF(AND(CM1892&gt;=2000,CM1892&lt;=2099,CN1892&gt;=1,CN1892&lt;=12,CO1892&gt;=1,CO1892&lt;=31),IF(MONTH(DATE(CM1892,CN1892,CO1892))=CN1892,DATE(CM1892,CN1892,CO1892),""),"")))),"")</f>
        <v/>
      </c>
      <c r="CJ1892">
        <f>IFERROR(IF('월 가계부'!C1892="","",IF(ISNUMBER('월 가계부'!C1892),'월 가계부'!C1892,VALUE(SUBSTITUTE(SUBSTITUTE(SUBSTITUTE(SUBSTITUTE(TRIM('월 가계부'!C1892),",",""),"원","")," ",""),"−","-")))),"")</f>
        <v/>
      </c>
      <c r="CK1892">
        <f>IF(ISNUMBER(CI1892),IF(CI1892&lt;$B$13,CI1892,""),"")</f>
        <v/>
      </c>
      <c r="CM1892">
        <f>IF(CH1892="","",IFERROR(IF(IF(AND(LEN(CH1892)=9,ISERROR(FIND("-",LEFT(CH1892,8))),ISNUMBER(-LEFT(CH1892,8))),VALUE(LEFT(CH1892,4)),VALUE(LEFT(CH1892,FIND("-",CH1892)-1)))&lt;100,IF(AND(LEN(CH1892)=9,ISERROR(FIND("-",LEFT(CH1892,8))),ISNUMBER(-LEFT(CH1892,8))),VALUE(LEFT(CH1892,4)),VALUE(LEFT(CH1892,FIND("-",CH1892)-1)))+2000,IF(AND(LEN(CH1892)=9,ISERROR(FIND("-",LEFT(CH1892,8))),ISNUMBER(-LEFT(CH1892,8))),VALUE(LEFT(CH1892,4)),VALUE(LEFT(CH1892,FIND("-",CH1892)-1)))),""))</f>
        <v/>
      </c>
      <c r="CN1892">
        <f>IF(CH1892="","",IFERROR(IF(AND(LEN(CH1892)=9,ISERROR(FIND("-",LEFT(CH1892,8))),ISNUMBER(-LEFT(CH1892,8))),VALUE(MID(CH1892,5,2)),VALUE(MID(CH1892,FIND("-",CH1892)+1,FIND("-",CH1892,FIND("-",CH1892)+1)-FIND("-",CH1892)-1))),""))</f>
        <v/>
      </c>
      <c r="CO1892">
        <f>IF(CH1892="","",IFERROR(IF(AND(LEN(CH1892)=9,ISERROR(FIND("-",LEFT(CH1892,8))),ISNUMBER(-LEFT(CH1892,8))),VALUE(MID(CH1892,7,2)),VALUE(MID(CH1892,FIND("-",CH1892,FIND("-",CH1892)+1)+1,FIND("-",CH1892,FIND("-",CH1892,FIND("-",CH1892)+1)+1)-FIND("-",CH1892,FIND("-",CH1892)+1)-1))),""))</f>
        <v/>
      </c>
    </row>
    <row r="1893">
      <c r="CH1893">
        <f>IF(ISTEXT('월 가계부'!A1893),SUBSTITUTE(SUBSTITUTE(SUBSTITUTE(SUBSTITUTE(SUBSTITUTE(SUBSTITUTE(SUBSTITUTE(SUBSTITUTE(SUBSTITUTE(TRIM('월 가계부'!A1893),"년","-"),"월","-"),"일",""),".","-"),"/","-")," ","-"),"--","-"),"--","-"),"--","-")&amp;"-","")</f>
        <v/>
      </c>
      <c r="CI1893">
        <f>IFERROR(IF('월 가계부'!A1893="","",IF(ISNUMBER('월 가계부'!A1893),IF(AND('월 가계부'!A1893&gt;=19000101,'월 가계부'!A1893&lt;=21001231),IF(AND(MOD(INT('월 가계부'!A1893/100),100)&gt;=1,MOD(INT('월 가계부'!A1893/100),100)&lt;=12,MOD(INT('월 가계부'!A1893),100)&gt;=1,MOD(INT('월 가계부'!A1893),100)&lt;=31),IF(MONTH(DATE(INT('월 가계부'!A1893/10000),MOD(INT('월 가계부'!A1893/100),100),MOD(INT('월 가계부'!A1893),100)))=MOD(INT('월 가계부'!A1893/100),100),DATE(INT('월 가계부'!A1893/10000),MOD(INT('월 가계부'!A1893/100),100),MOD(INT('월 가계부'!A1893),100)),""),""),IF(AND('월 가계부'!A1893&gt;=36526,'월 가계부'!A1893&lt;73051),INT('월 가계부'!A1893),"")),IF(OR(CM1893="",CN1893="",CO1893=""),"",IF(AND(CM1893&gt;=2000,CM1893&lt;=2099,CN1893&gt;=1,CN1893&lt;=12,CO1893&gt;=1,CO1893&lt;=31),IF(MONTH(DATE(CM1893,CN1893,CO1893))=CN1893,DATE(CM1893,CN1893,CO1893),""),"")))),"")</f>
        <v/>
      </c>
      <c r="CJ1893">
        <f>IFERROR(IF('월 가계부'!C1893="","",IF(ISNUMBER('월 가계부'!C1893),'월 가계부'!C1893,VALUE(SUBSTITUTE(SUBSTITUTE(SUBSTITUTE(SUBSTITUTE(TRIM('월 가계부'!C1893),",",""),"원","")," ",""),"−","-")))),"")</f>
        <v/>
      </c>
      <c r="CK1893">
        <f>IF(ISNUMBER(CI1893),IF(CI1893&lt;$B$13,CI1893,""),"")</f>
        <v/>
      </c>
      <c r="CM1893">
        <f>IF(CH1893="","",IFERROR(IF(IF(AND(LEN(CH1893)=9,ISERROR(FIND("-",LEFT(CH1893,8))),ISNUMBER(-LEFT(CH1893,8))),VALUE(LEFT(CH1893,4)),VALUE(LEFT(CH1893,FIND("-",CH1893)-1)))&lt;100,IF(AND(LEN(CH1893)=9,ISERROR(FIND("-",LEFT(CH1893,8))),ISNUMBER(-LEFT(CH1893,8))),VALUE(LEFT(CH1893,4)),VALUE(LEFT(CH1893,FIND("-",CH1893)-1)))+2000,IF(AND(LEN(CH1893)=9,ISERROR(FIND("-",LEFT(CH1893,8))),ISNUMBER(-LEFT(CH1893,8))),VALUE(LEFT(CH1893,4)),VALUE(LEFT(CH1893,FIND("-",CH1893)-1)))),""))</f>
        <v/>
      </c>
      <c r="CN1893">
        <f>IF(CH1893="","",IFERROR(IF(AND(LEN(CH1893)=9,ISERROR(FIND("-",LEFT(CH1893,8))),ISNUMBER(-LEFT(CH1893,8))),VALUE(MID(CH1893,5,2)),VALUE(MID(CH1893,FIND("-",CH1893)+1,FIND("-",CH1893,FIND("-",CH1893)+1)-FIND("-",CH1893)-1))),""))</f>
        <v/>
      </c>
      <c r="CO1893">
        <f>IF(CH1893="","",IFERROR(IF(AND(LEN(CH1893)=9,ISERROR(FIND("-",LEFT(CH1893,8))),ISNUMBER(-LEFT(CH1893,8))),VALUE(MID(CH1893,7,2)),VALUE(MID(CH1893,FIND("-",CH1893,FIND("-",CH1893)+1)+1,FIND("-",CH1893,FIND("-",CH1893,FIND("-",CH1893)+1)+1)-FIND("-",CH1893,FIND("-",CH1893)+1)-1))),""))</f>
        <v/>
      </c>
    </row>
    <row r="1894">
      <c r="CH1894">
        <f>IF(ISTEXT('월 가계부'!A1894),SUBSTITUTE(SUBSTITUTE(SUBSTITUTE(SUBSTITUTE(SUBSTITUTE(SUBSTITUTE(SUBSTITUTE(SUBSTITUTE(SUBSTITUTE(TRIM('월 가계부'!A1894),"년","-"),"월","-"),"일",""),".","-"),"/","-")," ","-"),"--","-"),"--","-"),"--","-")&amp;"-","")</f>
        <v/>
      </c>
      <c r="CI1894">
        <f>IFERROR(IF('월 가계부'!A1894="","",IF(ISNUMBER('월 가계부'!A1894),IF(AND('월 가계부'!A1894&gt;=19000101,'월 가계부'!A1894&lt;=21001231),IF(AND(MOD(INT('월 가계부'!A1894/100),100)&gt;=1,MOD(INT('월 가계부'!A1894/100),100)&lt;=12,MOD(INT('월 가계부'!A1894),100)&gt;=1,MOD(INT('월 가계부'!A1894),100)&lt;=31),IF(MONTH(DATE(INT('월 가계부'!A1894/10000),MOD(INT('월 가계부'!A1894/100),100),MOD(INT('월 가계부'!A1894),100)))=MOD(INT('월 가계부'!A1894/100),100),DATE(INT('월 가계부'!A1894/10000),MOD(INT('월 가계부'!A1894/100),100),MOD(INT('월 가계부'!A1894),100)),""),""),IF(AND('월 가계부'!A1894&gt;=36526,'월 가계부'!A1894&lt;73051),INT('월 가계부'!A1894),"")),IF(OR(CM1894="",CN1894="",CO1894=""),"",IF(AND(CM1894&gt;=2000,CM1894&lt;=2099,CN1894&gt;=1,CN1894&lt;=12,CO1894&gt;=1,CO1894&lt;=31),IF(MONTH(DATE(CM1894,CN1894,CO1894))=CN1894,DATE(CM1894,CN1894,CO1894),""),"")))),"")</f>
        <v/>
      </c>
      <c r="CJ1894">
        <f>IFERROR(IF('월 가계부'!C1894="","",IF(ISNUMBER('월 가계부'!C1894),'월 가계부'!C1894,VALUE(SUBSTITUTE(SUBSTITUTE(SUBSTITUTE(SUBSTITUTE(TRIM('월 가계부'!C1894),",",""),"원","")," ",""),"−","-")))),"")</f>
        <v/>
      </c>
      <c r="CK1894">
        <f>IF(ISNUMBER(CI1894),IF(CI1894&lt;$B$13,CI1894,""),"")</f>
        <v/>
      </c>
      <c r="CM1894">
        <f>IF(CH1894="","",IFERROR(IF(IF(AND(LEN(CH1894)=9,ISERROR(FIND("-",LEFT(CH1894,8))),ISNUMBER(-LEFT(CH1894,8))),VALUE(LEFT(CH1894,4)),VALUE(LEFT(CH1894,FIND("-",CH1894)-1)))&lt;100,IF(AND(LEN(CH1894)=9,ISERROR(FIND("-",LEFT(CH1894,8))),ISNUMBER(-LEFT(CH1894,8))),VALUE(LEFT(CH1894,4)),VALUE(LEFT(CH1894,FIND("-",CH1894)-1)))+2000,IF(AND(LEN(CH1894)=9,ISERROR(FIND("-",LEFT(CH1894,8))),ISNUMBER(-LEFT(CH1894,8))),VALUE(LEFT(CH1894,4)),VALUE(LEFT(CH1894,FIND("-",CH1894)-1)))),""))</f>
        <v/>
      </c>
      <c r="CN1894">
        <f>IF(CH1894="","",IFERROR(IF(AND(LEN(CH1894)=9,ISERROR(FIND("-",LEFT(CH1894,8))),ISNUMBER(-LEFT(CH1894,8))),VALUE(MID(CH1894,5,2)),VALUE(MID(CH1894,FIND("-",CH1894)+1,FIND("-",CH1894,FIND("-",CH1894)+1)-FIND("-",CH1894)-1))),""))</f>
        <v/>
      </c>
      <c r="CO1894">
        <f>IF(CH1894="","",IFERROR(IF(AND(LEN(CH1894)=9,ISERROR(FIND("-",LEFT(CH1894,8))),ISNUMBER(-LEFT(CH1894,8))),VALUE(MID(CH1894,7,2)),VALUE(MID(CH1894,FIND("-",CH1894,FIND("-",CH1894)+1)+1,FIND("-",CH1894,FIND("-",CH1894,FIND("-",CH1894)+1)+1)-FIND("-",CH1894,FIND("-",CH1894)+1)-1))),""))</f>
        <v/>
      </c>
    </row>
    <row r="1895">
      <c r="CH1895">
        <f>IF(ISTEXT('월 가계부'!A1895),SUBSTITUTE(SUBSTITUTE(SUBSTITUTE(SUBSTITUTE(SUBSTITUTE(SUBSTITUTE(SUBSTITUTE(SUBSTITUTE(SUBSTITUTE(TRIM('월 가계부'!A1895),"년","-"),"월","-"),"일",""),".","-"),"/","-")," ","-"),"--","-"),"--","-"),"--","-")&amp;"-","")</f>
        <v/>
      </c>
      <c r="CI1895">
        <f>IFERROR(IF('월 가계부'!A1895="","",IF(ISNUMBER('월 가계부'!A1895),IF(AND('월 가계부'!A1895&gt;=19000101,'월 가계부'!A1895&lt;=21001231),IF(AND(MOD(INT('월 가계부'!A1895/100),100)&gt;=1,MOD(INT('월 가계부'!A1895/100),100)&lt;=12,MOD(INT('월 가계부'!A1895),100)&gt;=1,MOD(INT('월 가계부'!A1895),100)&lt;=31),IF(MONTH(DATE(INT('월 가계부'!A1895/10000),MOD(INT('월 가계부'!A1895/100),100),MOD(INT('월 가계부'!A1895),100)))=MOD(INT('월 가계부'!A1895/100),100),DATE(INT('월 가계부'!A1895/10000),MOD(INT('월 가계부'!A1895/100),100),MOD(INT('월 가계부'!A1895),100)),""),""),IF(AND('월 가계부'!A1895&gt;=36526,'월 가계부'!A1895&lt;73051),INT('월 가계부'!A1895),"")),IF(OR(CM1895="",CN1895="",CO1895=""),"",IF(AND(CM1895&gt;=2000,CM1895&lt;=2099,CN1895&gt;=1,CN1895&lt;=12,CO1895&gt;=1,CO1895&lt;=31),IF(MONTH(DATE(CM1895,CN1895,CO1895))=CN1895,DATE(CM1895,CN1895,CO1895),""),"")))),"")</f>
        <v/>
      </c>
      <c r="CJ1895">
        <f>IFERROR(IF('월 가계부'!C1895="","",IF(ISNUMBER('월 가계부'!C1895),'월 가계부'!C1895,VALUE(SUBSTITUTE(SUBSTITUTE(SUBSTITUTE(SUBSTITUTE(TRIM('월 가계부'!C1895),",",""),"원","")," ",""),"−","-")))),"")</f>
        <v/>
      </c>
      <c r="CK1895">
        <f>IF(ISNUMBER(CI1895),IF(CI1895&lt;$B$13,CI1895,""),"")</f>
        <v/>
      </c>
      <c r="CM1895">
        <f>IF(CH1895="","",IFERROR(IF(IF(AND(LEN(CH1895)=9,ISERROR(FIND("-",LEFT(CH1895,8))),ISNUMBER(-LEFT(CH1895,8))),VALUE(LEFT(CH1895,4)),VALUE(LEFT(CH1895,FIND("-",CH1895)-1)))&lt;100,IF(AND(LEN(CH1895)=9,ISERROR(FIND("-",LEFT(CH1895,8))),ISNUMBER(-LEFT(CH1895,8))),VALUE(LEFT(CH1895,4)),VALUE(LEFT(CH1895,FIND("-",CH1895)-1)))+2000,IF(AND(LEN(CH1895)=9,ISERROR(FIND("-",LEFT(CH1895,8))),ISNUMBER(-LEFT(CH1895,8))),VALUE(LEFT(CH1895,4)),VALUE(LEFT(CH1895,FIND("-",CH1895)-1)))),""))</f>
        <v/>
      </c>
      <c r="CN1895">
        <f>IF(CH1895="","",IFERROR(IF(AND(LEN(CH1895)=9,ISERROR(FIND("-",LEFT(CH1895,8))),ISNUMBER(-LEFT(CH1895,8))),VALUE(MID(CH1895,5,2)),VALUE(MID(CH1895,FIND("-",CH1895)+1,FIND("-",CH1895,FIND("-",CH1895)+1)-FIND("-",CH1895)-1))),""))</f>
        <v/>
      </c>
      <c r="CO1895">
        <f>IF(CH1895="","",IFERROR(IF(AND(LEN(CH1895)=9,ISERROR(FIND("-",LEFT(CH1895,8))),ISNUMBER(-LEFT(CH1895,8))),VALUE(MID(CH1895,7,2)),VALUE(MID(CH1895,FIND("-",CH1895,FIND("-",CH1895)+1)+1,FIND("-",CH1895,FIND("-",CH1895,FIND("-",CH1895)+1)+1)-FIND("-",CH1895,FIND("-",CH1895)+1)-1))),""))</f>
        <v/>
      </c>
    </row>
    <row r="1896">
      <c r="CH1896">
        <f>IF(ISTEXT('월 가계부'!A1896),SUBSTITUTE(SUBSTITUTE(SUBSTITUTE(SUBSTITUTE(SUBSTITUTE(SUBSTITUTE(SUBSTITUTE(SUBSTITUTE(SUBSTITUTE(TRIM('월 가계부'!A1896),"년","-"),"월","-"),"일",""),".","-"),"/","-")," ","-"),"--","-"),"--","-"),"--","-")&amp;"-","")</f>
        <v/>
      </c>
      <c r="CI1896">
        <f>IFERROR(IF('월 가계부'!A1896="","",IF(ISNUMBER('월 가계부'!A1896),IF(AND('월 가계부'!A1896&gt;=19000101,'월 가계부'!A1896&lt;=21001231),IF(AND(MOD(INT('월 가계부'!A1896/100),100)&gt;=1,MOD(INT('월 가계부'!A1896/100),100)&lt;=12,MOD(INT('월 가계부'!A1896),100)&gt;=1,MOD(INT('월 가계부'!A1896),100)&lt;=31),IF(MONTH(DATE(INT('월 가계부'!A1896/10000),MOD(INT('월 가계부'!A1896/100),100),MOD(INT('월 가계부'!A1896),100)))=MOD(INT('월 가계부'!A1896/100),100),DATE(INT('월 가계부'!A1896/10000),MOD(INT('월 가계부'!A1896/100),100),MOD(INT('월 가계부'!A1896),100)),""),""),IF(AND('월 가계부'!A1896&gt;=36526,'월 가계부'!A1896&lt;73051),INT('월 가계부'!A1896),"")),IF(OR(CM1896="",CN1896="",CO1896=""),"",IF(AND(CM1896&gt;=2000,CM1896&lt;=2099,CN1896&gt;=1,CN1896&lt;=12,CO1896&gt;=1,CO1896&lt;=31),IF(MONTH(DATE(CM1896,CN1896,CO1896))=CN1896,DATE(CM1896,CN1896,CO1896),""),"")))),"")</f>
        <v/>
      </c>
      <c r="CJ1896">
        <f>IFERROR(IF('월 가계부'!C1896="","",IF(ISNUMBER('월 가계부'!C1896),'월 가계부'!C1896,VALUE(SUBSTITUTE(SUBSTITUTE(SUBSTITUTE(SUBSTITUTE(TRIM('월 가계부'!C1896),",",""),"원","")," ",""),"−","-")))),"")</f>
        <v/>
      </c>
      <c r="CK1896">
        <f>IF(ISNUMBER(CI1896),IF(CI1896&lt;$B$13,CI1896,""),"")</f>
        <v/>
      </c>
      <c r="CM1896">
        <f>IF(CH1896="","",IFERROR(IF(IF(AND(LEN(CH1896)=9,ISERROR(FIND("-",LEFT(CH1896,8))),ISNUMBER(-LEFT(CH1896,8))),VALUE(LEFT(CH1896,4)),VALUE(LEFT(CH1896,FIND("-",CH1896)-1)))&lt;100,IF(AND(LEN(CH1896)=9,ISERROR(FIND("-",LEFT(CH1896,8))),ISNUMBER(-LEFT(CH1896,8))),VALUE(LEFT(CH1896,4)),VALUE(LEFT(CH1896,FIND("-",CH1896)-1)))+2000,IF(AND(LEN(CH1896)=9,ISERROR(FIND("-",LEFT(CH1896,8))),ISNUMBER(-LEFT(CH1896,8))),VALUE(LEFT(CH1896,4)),VALUE(LEFT(CH1896,FIND("-",CH1896)-1)))),""))</f>
        <v/>
      </c>
      <c r="CN1896">
        <f>IF(CH1896="","",IFERROR(IF(AND(LEN(CH1896)=9,ISERROR(FIND("-",LEFT(CH1896,8))),ISNUMBER(-LEFT(CH1896,8))),VALUE(MID(CH1896,5,2)),VALUE(MID(CH1896,FIND("-",CH1896)+1,FIND("-",CH1896,FIND("-",CH1896)+1)-FIND("-",CH1896)-1))),""))</f>
        <v/>
      </c>
      <c r="CO1896">
        <f>IF(CH1896="","",IFERROR(IF(AND(LEN(CH1896)=9,ISERROR(FIND("-",LEFT(CH1896,8))),ISNUMBER(-LEFT(CH1896,8))),VALUE(MID(CH1896,7,2)),VALUE(MID(CH1896,FIND("-",CH1896,FIND("-",CH1896)+1)+1,FIND("-",CH1896,FIND("-",CH1896,FIND("-",CH1896)+1)+1)-FIND("-",CH1896,FIND("-",CH1896)+1)-1))),""))</f>
        <v/>
      </c>
    </row>
    <row r="1897">
      <c r="CH1897">
        <f>IF(ISTEXT('월 가계부'!A1897),SUBSTITUTE(SUBSTITUTE(SUBSTITUTE(SUBSTITUTE(SUBSTITUTE(SUBSTITUTE(SUBSTITUTE(SUBSTITUTE(SUBSTITUTE(TRIM('월 가계부'!A1897),"년","-"),"월","-"),"일",""),".","-"),"/","-")," ","-"),"--","-"),"--","-"),"--","-")&amp;"-","")</f>
        <v/>
      </c>
      <c r="CI1897">
        <f>IFERROR(IF('월 가계부'!A1897="","",IF(ISNUMBER('월 가계부'!A1897),IF(AND('월 가계부'!A1897&gt;=19000101,'월 가계부'!A1897&lt;=21001231),IF(AND(MOD(INT('월 가계부'!A1897/100),100)&gt;=1,MOD(INT('월 가계부'!A1897/100),100)&lt;=12,MOD(INT('월 가계부'!A1897),100)&gt;=1,MOD(INT('월 가계부'!A1897),100)&lt;=31),IF(MONTH(DATE(INT('월 가계부'!A1897/10000),MOD(INT('월 가계부'!A1897/100),100),MOD(INT('월 가계부'!A1897),100)))=MOD(INT('월 가계부'!A1897/100),100),DATE(INT('월 가계부'!A1897/10000),MOD(INT('월 가계부'!A1897/100),100),MOD(INT('월 가계부'!A1897),100)),""),""),IF(AND('월 가계부'!A1897&gt;=36526,'월 가계부'!A1897&lt;73051),INT('월 가계부'!A1897),"")),IF(OR(CM1897="",CN1897="",CO1897=""),"",IF(AND(CM1897&gt;=2000,CM1897&lt;=2099,CN1897&gt;=1,CN1897&lt;=12,CO1897&gt;=1,CO1897&lt;=31),IF(MONTH(DATE(CM1897,CN1897,CO1897))=CN1897,DATE(CM1897,CN1897,CO1897),""),"")))),"")</f>
        <v/>
      </c>
      <c r="CJ1897">
        <f>IFERROR(IF('월 가계부'!C1897="","",IF(ISNUMBER('월 가계부'!C1897),'월 가계부'!C1897,VALUE(SUBSTITUTE(SUBSTITUTE(SUBSTITUTE(SUBSTITUTE(TRIM('월 가계부'!C1897),",",""),"원","")," ",""),"−","-")))),"")</f>
        <v/>
      </c>
      <c r="CK1897">
        <f>IF(ISNUMBER(CI1897),IF(CI1897&lt;$B$13,CI1897,""),"")</f>
        <v/>
      </c>
      <c r="CM1897">
        <f>IF(CH1897="","",IFERROR(IF(IF(AND(LEN(CH1897)=9,ISERROR(FIND("-",LEFT(CH1897,8))),ISNUMBER(-LEFT(CH1897,8))),VALUE(LEFT(CH1897,4)),VALUE(LEFT(CH1897,FIND("-",CH1897)-1)))&lt;100,IF(AND(LEN(CH1897)=9,ISERROR(FIND("-",LEFT(CH1897,8))),ISNUMBER(-LEFT(CH1897,8))),VALUE(LEFT(CH1897,4)),VALUE(LEFT(CH1897,FIND("-",CH1897)-1)))+2000,IF(AND(LEN(CH1897)=9,ISERROR(FIND("-",LEFT(CH1897,8))),ISNUMBER(-LEFT(CH1897,8))),VALUE(LEFT(CH1897,4)),VALUE(LEFT(CH1897,FIND("-",CH1897)-1)))),""))</f>
        <v/>
      </c>
      <c r="CN1897">
        <f>IF(CH1897="","",IFERROR(IF(AND(LEN(CH1897)=9,ISERROR(FIND("-",LEFT(CH1897,8))),ISNUMBER(-LEFT(CH1897,8))),VALUE(MID(CH1897,5,2)),VALUE(MID(CH1897,FIND("-",CH1897)+1,FIND("-",CH1897,FIND("-",CH1897)+1)-FIND("-",CH1897)-1))),""))</f>
        <v/>
      </c>
      <c r="CO1897">
        <f>IF(CH1897="","",IFERROR(IF(AND(LEN(CH1897)=9,ISERROR(FIND("-",LEFT(CH1897,8))),ISNUMBER(-LEFT(CH1897,8))),VALUE(MID(CH1897,7,2)),VALUE(MID(CH1897,FIND("-",CH1897,FIND("-",CH1897)+1)+1,FIND("-",CH1897,FIND("-",CH1897,FIND("-",CH1897)+1)+1)-FIND("-",CH1897,FIND("-",CH1897)+1)-1))),""))</f>
        <v/>
      </c>
    </row>
    <row r="1898">
      <c r="CH1898">
        <f>IF(ISTEXT('월 가계부'!A1898),SUBSTITUTE(SUBSTITUTE(SUBSTITUTE(SUBSTITUTE(SUBSTITUTE(SUBSTITUTE(SUBSTITUTE(SUBSTITUTE(SUBSTITUTE(TRIM('월 가계부'!A1898),"년","-"),"월","-"),"일",""),".","-"),"/","-")," ","-"),"--","-"),"--","-"),"--","-")&amp;"-","")</f>
        <v/>
      </c>
      <c r="CI1898">
        <f>IFERROR(IF('월 가계부'!A1898="","",IF(ISNUMBER('월 가계부'!A1898),IF(AND('월 가계부'!A1898&gt;=19000101,'월 가계부'!A1898&lt;=21001231),IF(AND(MOD(INT('월 가계부'!A1898/100),100)&gt;=1,MOD(INT('월 가계부'!A1898/100),100)&lt;=12,MOD(INT('월 가계부'!A1898),100)&gt;=1,MOD(INT('월 가계부'!A1898),100)&lt;=31),IF(MONTH(DATE(INT('월 가계부'!A1898/10000),MOD(INT('월 가계부'!A1898/100),100),MOD(INT('월 가계부'!A1898),100)))=MOD(INT('월 가계부'!A1898/100),100),DATE(INT('월 가계부'!A1898/10000),MOD(INT('월 가계부'!A1898/100),100),MOD(INT('월 가계부'!A1898),100)),""),""),IF(AND('월 가계부'!A1898&gt;=36526,'월 가계부'!A1898&lt;73051),INT('월 가계부'!A1898),"")),IF(OR(CM1898="",CN1898="",CO1898=""),"",IF(AND(CM1898&gt;=2000,CM1898&lt;=2099,CN1898&gt;=1,CN1898&lt;=12,CO1898&gt;=1,CO1898&lt;=31),IF(MONTH(DATE(CM1898,CN1898,CO1898))=CN1898,DATE(CM1898,CN1898,CO1898),""),"")))),"")</f>
        <v/>
      </c>
      <c r="CJ1898">
        <f>IFERROR(IF('월 가계부'!C1898="","",IF(ISNUMBER('월 가계부'!C1898),'월 가계부'!C1898,VALUE(SUBSTITUTE(SUBSTITUTE(SUBSTITUTE(SUBSTITUTE(TRIM('월 가계부'!C1898),",",""),"원","")," ",""),"−","-")))),"")</f>
        <v/>
      </c>
      <c r="CK1898">
        <f>IF(ISNUMBER(CI1898),IF(CI1898&lt;$B$13,CI1898,""),"")</f>
        <v/>
      </c>
      <c r="CM1898">
        <f>IF(CH1898="","",IFERROR(IF(IF(AND(LEN(CH1898)=9,ISERROR(FIND("-",LEFT(CH1898,8))),ISNUMBER(-LEFT(CH1898,8))),VALUE(LEFT(CH1898,4)),VALUE(LEFT(CH1898,FIND("-",CH1898)-1)))&lt;100,IF(AND(LEN(CH1898)=9,ISERROR(FIND("-",LEFT(CH1898,8))),ISNUMBER(-LEFT(CH1898,8))),VALUE(LEFT(CH1898,4)),VALUE(LEFT(CH1898,FIND("-",CH1898)-1)))+2000,IF(AND(LEN(CH1898)=9,ISERROR(FIND("-",LEFT(CH1898,8))),ISNUMBER(-LEFT(CH1898,8))),VALUE(LEFT(CH1898,4)),VALUE(LEFT(CH1898,FIND("-",CH1898)-1)))),""))</f>
        <v/>
      </c>
      <c r="CN1898">
        <f>IF(CH1898="","",IFERROR(IF(AND(LEN(CH1898)=9,ISERROR(FIND("-",LEFT(CH1898,8))),ISNUMBER(-LEFT(CH1898,8))),VALUE(MID(CH1898,5,2)),VALUE(MID(CH1898,FIND("-",CH1898)+1,FIND("-",CH1898,FIND("-",CH1898)+1)-FIND("-",CH1898)-1))),""))</f>
        <v/>
      </c>
      <c r="CO1898">
        <f>IF(CH1898="","",IFERROR(IF(AND(LEN(CH1898)=9,ISERROR(FIND("-",LEFT(CH1898,8))),ISNUMBER(-LEFT(CH1898,8))),VALUE(MID(CH1898,7,2)),VALUE(MID(CH1898,FIND("-",CH1898,FIND("-",CH1898)+1)+1,FIND("-",CH1898,FIND("-",CH1898,FIND("-",CH1898)+1)+1)-FIND("-",CH1898,FIND("-",CH1898)+1)-1))),""))</f>
        <v/>
      </c>
    </row>
    <row r="1899">
      <c r="CH1899">
        <f>IF(ISTEXT('월 가계부'!A1899),SUBSTITUTE(SUBSTITUTE(SUBSTITUTE(SUBSTITUTE(SUBSTITUTE(SUBSTITUTE(SUBSTITUTE(SUBSTITUTE(SUBSTITUTE(TRIM('월 가계부'!A1899),"년","-"),"월","-"),"일",""),".","-"),"/","-")," ","-"),"--","-"),"--","-"),"--","-")&amp;"-","")</f>
        <v/>
      </c>
      <c r="CI1899">
        <f>IFERROR(IF('월 가계부'!A1899="","",IF(ISNUMBER('월 가계부'!A1899),IF(AND('월 가계부'!A1899&gt;=19000101,'월 가계부'!A1899&lt;=21001231),IF(AND(MOD(INT('월 가계부'!A1899/100),100)&gt;=1,MOD(INT('월 가계부'!A1899/100),100)&lt;=12,MOD(INT('월 가계부'!A1899),100)&gt;=1,MOD(INT('월 가계부'!A1899),100)&lt;=31),IF(MONTH(DATE(INT('월 가계부'!A1899/10000),MOD(INT('월 가계부'!A1899/100),100),MOD(INT('월 가계부'!A1899),100)))=MOD(INT('월 가계부'!A1899/100),100),DATE(INT('월 가계부'!A1899/10000),MOD(INT('월 가계부'!A1899/100),100),MOD(INT('월 가계부'!A1899),100)),""),""),IF(AND('월 가계부'!A1899&gt;=36526,'월 가계부'!A1899&lt;73051),INT('월 가계부'!A1899),"")),IF(OR(CM1899="",CN1899="",CO1899=""),"",IF(AND(CM1899&gt;=2000,CM1899&lt;=2099,CN1899&gt;=1,CN1899&lt;=12,CO1899&gt;=1,CO1899&lt;=31),IF(MONTH(DATE(CM1899,CN1899,CO1899))=CN1899,DATE(CM1899,CN1899,CO1899),""),"")))),"")</f>
        <v/>
      </c>
      <c r="CJ1899">
        <f>IFERROR(IF('월 가계부'!C1899="","",IF(ISNUMBER('월 가계부'!C1899),'월 가계부'!C1899,VALUE(SUBSTITUTE(SUBSTITUTE(SUBSTITUTE(SUBSTITUTE(TRIM('월 가계부'!C1899),",",""),"원","")," ",""),"−","-")))),"")</f>
        <v/>
      </c>
      <c r="CK1899">
        <f>IF(ISNUMBER(CI1899),IF(CI1899&lt;$B$13,CI1899,""),"")</f>
        <v/>
      </c>
      <c r="CM1899">
        <f>IF(CH1899="","",IFERROR(IF(IF(AND(LEN(CH1899)=9,ISERROR(FIND("-",LEFT(CH1899,8))),ISNUMBER(-LEFT(CH1899,8))),VALUE(LEFT(CH1899,4)),VALUE(LEFT(CH1899,FIND("-",CH1899)-1)))&lt;100,IF(AND(LEN(CH1899)=9,ISERROR(FIND("-",LEFT(CH1899,8))),ISNUMBER(-LEFT(CH1899,8))),VALUE(LEFT(CH1899,4)),VALUE(LEFT(CH1899,FIND("-",CH1899)-1)))+2000,IF(AND(LEN(CH1899)=9,ISERROR(FIND("-",LEFT(CH1899,8))),ISNUMBER(-LEFT(CH1899,8))),VALUE(LEFT(CH1899,4)),VALUE(LEFT(CH1899,FIND("-",CH1899)-1)))),""))</f>
        <v/>
      </c>
      <c r="CN1899">
        <f>IF(CH1899="","",IFERROR(IF(AND(LEN(CH1899)=9,ISERROR(FIND("-",LEFT(CH1899,8))),ISNUMBER(-LEFT(CH1899,8))),VALUE(MID(CH1899,5,2)),VALUE(MID(CH1899,FIND("-",CH1899)+1,FIND("-",CH1899,FIND("-",CH1899)+1)-FIND("-",CH1899)-1))),""))</f>
        <v/>
      </c>
      <c r="CO1899">
        <f>IF(CH1899="","",IFERROR(IF(AND(LEN(CH1899)=9,ISERROR(FIND("-",LEFT(CH1899,8))),ISNUMBER(-LEFT(CH1899,8))),VALUE(MID(CH1899,7,2)),VALUE(MID(CH1899,FIND("-",CH1899,FIND("-",CH1899)+1)+1,FIND("-",CH1899,FIND("-",CH1899,FIND("-",CH1899)+1)+1)-FIND("-",CH1899,FIND("-",CH1899)+1)-1))),""))</f>
        <v/>
      </c>
    </row>
    <row r="1900">
      <c r="CH1900">
        <f>IF(ISTEXT('월 가계부'!A1900),SUBSTITUTE(SUBSTITUTE(SUBSTITUTE(SUBSTITUTE(SUBSTITUTE(SUBSTITUTE(SUBSTITUTE(SUBSTITUTE(SUBSTITUTE(TRIM('월 가계부'!A1900),"년","-"),"월","-"),"일",""),".","-"),"/","-")," ","-"),"--","-"),"--","-"),"--","-")&amp;"-","")</f>
        <v/>
      </c>
      <c r="CI1900">
        <f>IFERROR(IF('월 가계부'!A1900="","",IF(ISNUMBER('월 가계부'!A1900),IF(AND('월 가계부'!A1900&gt;=19000101,'월 가계부'!A1900&lt;=21001231),IF(AND(MOD(INT('월 가계부'!A1900/100),100)&gt;=1,MOD(INT('월 가계부'!A1900/100),100)&lt;=12,MOD(INT('월 가계부'!A1900),100)&gt;=1,MOD(INT('월 가계부'!A1900),100)&lt;=31),IF(MONTH(DATE(INT('월 가계부'!A1900/10000),MOD(INT('월 가계부'!A1900/100),100),MOD(INT('월 가계부'!A1900),100)))=MOD(INT('월 가계부'!A1900/100),100),DATE(INT('월 가계부'!A1900/10000),MOD(INT('월 가계부'!A1900/100),100),MOD(INT('월 가계부'!A1900),100)),""),""),IF(AND('월 가계부'!A1900&gt;=36526,'월 가계부'!A1900&lt;73051),INT('월 가계부'!A1900),"")),IF(OR(CM1900="",CN1900="",CO1900=""),"",IF(AND(CM1900&gt;=2000,CM1900&lt;=2099,CN1900&gt;=1,CN1900&lt;=12,CO1900&gt;=1,CO1900&lt;=31),IF(MONTH(DATE(CM1900,CN1900,CO1900))=CN1900,DATE(CM1900,CN1900,CO1900),""),"")))),"")</f>
        <v/>
      </c>
      <c r="CJ1900">
        <f>IFERROR(IF('월 가계부'!C1900="","",IF(ISNUMBER('월 가계부'!C1900),'월 가계부'!C1900,VALUE(SUBSTITUTE(SUBSTITUTE(SUBSTITUTE(SUBSTITUTE(TRIM('월 가계부'!C1900),",",""),"원","")," ",""),"−","-")))),"")</f>
        <v/>
      </c>
      <c r="CK1900">
        <f>IF(ISNUMBER(CI1900),IF(CI1900&lt;$B$13,CI1900,""),"")</f>
        <v/>
      </c>
      <c r="CM1900">
        <f>IF(CH1900="","",IFERROR(IF(IF(AND(LEN(CH1900)=9,ISERROR(FIND("-",LEFT(CH1900,8))),ISNUMBER(-LEFT(CH1900,8))),VALUE(LEFT(CH1900,4)),VALUE(LEFT(CH1900,FIND("-",CH1900)-1)))&lt;100,IF(AND(LEN(CH1900)=9,ISERROR(FIND("-",LEFT(CH1900,8))),ISNUMBER(-LEFT(CH1900,8))),VALUE(LEFT(CH1900,4)),VALUE(LEFT(CH1900,FIND("-",CH1900)-1)))+2000,IF(AND(LEN(CH1900)=9,ISERROR(FIND("-",LEFT(CH1900,8))),ISNUMBER(-LEFT(CH1900,8))),VALUE(LEFT(CH1900,4)),VALUE(LEFT(CH1900,FIND("-",CH1900)-1)))),""))</f>
        <v/>
      </c>
      <c r="CN1900">
        <f>IF(CH1900="","",IFERROR(IF(AND(LEN(CH1900)=9,ISERROR(FIND("-",LEFT(CH1900,8))),ISNUMBER(-LEFT(CH1900,8))),VALUE(MID(CH1900,5,2)),VALUE(MID(CH1900,FIND("-",CH1900)+1,FIND("-",CH1900,FIND("-",CH1900)+1)-FIND("-",CH1900)-1))),""))</f>
        <v/>
      </c>
      <c r="CO1900">
        <f>IF(CH1900="","",IFERROR(IF(AND(LEN(CH1900)=9,ISERROR(FIND("-",LEFT(CH1900,8))),ISNUMBER(-LEFT(CH1900,8))),VALUE(MID(CH1900,7,2)),VALUE(MID(CH1900,FIND("-",CH1900,FIND("-",CH1900)+1)+1,FIND("-",CH1900,FIND("-",CH1900,FIND("-",CH1900)+1)+1)-FIND("-",CH1900,FIND("-",CH1900)+1)-1))),""))</f>
        <v/>
      </c>
    </row>
    <row r="1901">
      <c r="CH1901">
        <f>IF(ISTEXT('월 가계부'!A1901),SUBSTITUTE(SUBSTITUTE(SUBSTITUTE(SUBSTITUTE(SUBSTITUTE(SUBSTITUTE(SUBSTITUTE(SUBSTITUTE(SUBSTITUTE(TRIM('월 가계부'!A1901),"년","-"),"월","-"),"일",""),".","-"),"/","-")," ","-"),"--","-"),"--","-"),"--","-")&amp;"-","")</f>
        <v/>
      </c>
      <c r="CI1901">
        <f>IFERROR(IF('월 가계부'!A1901="","",IF(ISNUMBER('월 가계부'!A1901),IF(AND('월 가계부'!A1901&gt;=19000101,'월 가계부'!A1901&lt;=21001231),IF(AND(MOD(INT('월 가계부'!A1901/100),100)&gt;=1,MOD(INT('월 가계부'!A1901/100),100)&lt;=12,MOD(INT('월 가계부'!A1901),100)&gt;=1,MOD(INT('월 가계부'!A1901),100)&lt;=31),IF(MONTH(DATE(INT('월 가계부'!A1901/10000),MOD(INT('월 가계부'!A1901/100),100),MOD(INT('월 가계부'!A1901),100)))=MOD(INT('월 가계부'!A1901/100),100),DATE(INT('월 가계부'!A1901/10000),MOD(INT('월 가계부'!A1901/100),100),MOD(INT('월 가계부'!A1901),100)),""),""),IF(AND('월 가계부'!A1901&gt;=36526,'월 가계부'!A1901&lt;73051),INT('월 가계부'!A1901),"")),IF(OR(CM1901="",CN1901="",CO1901=""),"",IF(AND(CM1901&gt;=2000,CM1901&lt;=2099,CN1901&gt;=1,CN1901&lt;=12,CO1901&gt;=1,CO1901&lt;=31),IF(MONTH(DATE(CM1901,CN1901,CO1901))=CN1901,DATE(CM1901,CN1901,CO1901),""),"")))),"")</f>
        <v/>
      </c>
      <c r="CJ1901">
        <f>IFERROR(IF('월 가계부'!C1901="","",IF(ISNUMBER('월 가계부'!C1901),'월 가계부'!C1901,VALUE(SUBSTITUTE(SUBSTITUTE(SUBSTITUTE(SUBSTITUTE(TRIM('월 가계부'!C1901),",",""),"원","")," ",""),"−","-")))),"")</f>
        <v/>
      </c>
      <c r="CK1901">
        <f>IF(ISNUMBER(CI1901),IF(CI1901&lt;$B$13,CI1901,""),"")</f>
        <v/>
      </c>
      <c r="CM1901">
        <f>IF(CH1901="","",IFERROR(IF(IF(AND(LEN(CH1901)=9,ISERROR(FIND("-",LEFT(CH1901,8))),ISNUMBER(-LEFT(CH1901,8))),VALUE(LEFT(CH1901,4)),VALUE(LEFT(CH1901,FIND("-",CH1901)-1)))&lt;100,IF(AND(LEN(CH1901)=9,ISERROR(FIND("-",LEFT(CH1901,8))),ISNUMBER(-LEFT(CH1901,8))),VALUE(LEFT(CH1901,4)),VALUE(LEFT(CH1901,FIND("-",CH1901)-1)))+2000,IF(AND(LEN(CH1901)=9,ISERROR(FIND("-",LEFT(CH1901,8))),ISNUMBER(-LEFT(CH1901,8))),VALUE(LEFT(CH1901,4)),VALUE(LEFT(CH1901,FIND("-",CH1901)-1)))),""))</f>
        <v/>
      </c>
      <c r="CN1901">
        <f>IF(CH1901="","",IFERROR(IF(AND(LEN(CH1901)=9,ISERROR(FIND("-",LEFT(CH1901,8))),ISNUMBER(-LEFT(CH1901,8))),VALUE(MID(CH1901,5,2)),VALUE(MID(CH1901,FIND("-",CH1901)+1,FIND("-",CH1901,FIND("-",CH1901)+1)-FIND("-",CH1901)-1))),""))</f>
        <v/>
      </c>
      <c r="CO1901">
        <f>IF(CH1901="","",IFERROR(IF(AND(LEN(CH1901)=9,ISERROR(FIND("-",LEFT(CH1901,8))),ISNUMBER(-LEFT(CH1901,8))),VALUE(MID(CH1901,7,2)),VALUE(MID(CH1901,FIND("-",CH1901,FIND("-",CH1901)+1)+1,FIND("-",CH1901,FIND("-",CH1901,FIND("-",CH1901)+1)+1)-FIND("-",CH1901,FIND("-",CH1901)+1)-1))),""))</f>
        <v/>
      </c>
    </row>
    <row r="1902">
      <c r="CH1902">
        <f>IF(ISTEXT('월 가계부'!A1902),SUBSTITUTE(SUBSTITUTE(SUBSTITUTE(SUBSTITUTE(SUBSTITUTE(SUBSTITUTE(SUBSTITUTE(SUBSTITUTE(SUBSTITUTE(TRIM('월 가계부'!A1902),"년","-"),"월","-"),"일",""),".","-"),"/","-")," ","-"),"--","-"),"--","-"),"--","-")&amp;"-","")</f>
        <v/>
      </c>
      <c r="CI1902">
        <f>IFERROR(IF('월 가계부'!A1902="","",IF(ISNUMBER('월 가계부'!A1902),IF(AND('월 가계부'!A1902&gt;=19000101,'월 가계부'!A1902&lt;=21001231),IF(AND(MOD(INT('월 가계부'!A1902/100),100)&gt;=1,MOD(INT('월 가계부'!A1902/100),100)&lt;=12,MOD(INT('월 가계부'!A1902),100)&gt;=1,MOD(INT('월 가계부'!A1902),100)&lt;=31),IF(MONTH(DATE(INT('월 가계부'!A1902/10000),MOD(INT('월 가계부'!A1902/100),100),MOD(INT('월 가계부'!A1902),100)))=MOD(INT('월 가계부'!A1902/100),100),DATE(INT('월 가계부'!A1902/10000),MOD(INT('월 가계부'!A1902/100),100),MOD(INT('월 가계부'!A1902),100)),""),""),IF(AND('월 가계부'!A1902&gt;=36526,'월 가계부'!A1902&lt;73051),INT('월 가계부'!A1902),"")),IF(OR(CM1902="",CN1902="",CO1902=""),"",IF(AND(CM1902&gt;=2000,CM1902&lt;=2099,CN1902&gt;=1,CN1902&lt;=12,CO1902&gt;=1,CO1902&lt;=31),IF(MONTH(DATE(CM1902,CN1902,CO1902))=CN1902,DATE(CM1902,CN1902,CO1902),""),"")))),"")</f>
        <v/>
      </c>
      <c r="CJ1902">
        <f>IFERROR(IF('월 가계부'!C1902="","",IF(ISNUMBER('월 가계부'!C1902),'월 가계부'!C1902,VALUE(SUBSTITUTE(SUBSTITUTE(SUBSTITUTE(SUBSTITUTE(TRIM('월 가계부'!C1902),",",""),"원","")," ",""),"−","-")))),"")</f>
        <v/>
      </c>
      <c r="CK1902">
        <f>IF(ISNUMBER(CI1902),IF(CI1902&lt;$B$13,CI1902,""),"")</f>
        <v/>
      </c>
      <c r="CM1902">
        <f>IF(CH1902="","",IFERROR(IF(IF(AND(LEN(CH1902)=9,ISERROR(FIND("-",LEFT(CH1902,8))),ISNUMBER(-LEFT(CH1902,8))),VALUE(LEFT(CH1902,4)),VALUE(LEFT(CH1902,FIND("-",CH1902)-1)))&lt;100,IF(AND(LEN(CH1902)=9,ISERROR(FIND("-",LEFT(CH1902,8))),ISNUMBER(-LEFT(CH1902,8))),VALUE(LEFT(CH1902,4)),VALUE(LEFT(CH1902,FIND("-",CH1902)-1)))+2000,IF(AND(LEN(CH1902)=9,ISERROR(FIND("-",LEFT(CH1902,8))),ISNUMBER(-LEFT(CH1902,8))),VALUE(LEFT(CH1902,4)),VALUE(LEFT(CH1902,FIND("-",CH1902)-1)))),""))</f>
        <v/>
      </c>
      <c r="CN1902">
        <f>IF(CH1902="","",IFERROR(IF(AND(LEN(CH1902)=9,ISERROR(FIND("-",LEFT(CH1902,8))),ISNUMBER(-LEFT(CH1902,8))),VALUE(MID(CH1902,5,2)),VALUE(MID(CH1902,FIND("-",CH1902)+1,FIND("-",CH1902,FIND("-",CH1902)+1)-FIND("-",CH1902)-1))),""))</f>
        <v/>
      </c>
      <c r="CO1902">
        <f>IF(CH1902="","",IFERROR(IF(AND(LEN(CH1902)=9,ISERROR(FIND("-",LEFT(CH1902,8))),ISNUMBER(-LEFT(CH1902,8))),VALUE(MID(CH1902,7,2)),VALUE(MID(CH1902,FIND("-",CH1902,FIND("-",CH1902)+1)+1,FIND("-",CH1902,FIND("-",CH1902,FIND("-",CH1902)+1)+1)-FIND("-",CH1902,FIND("-",CH1902)+1)-1))),""))</f>
        <v/>
      </c>
    </row>
    <row r="1903">
      <c r="CH1903">
        <f>IF(ISTEXT('월 가계부'!A1903),SUBSTITUTE(SUBSTITUTE(SUBSTITUTE(SUBSTITUTE(SUBSTITUTE(SUBSTITUTE(SUBSTITUTE(SUBSTITUTE(SUBSTITUTE(TRIM('월 가계부'!A1903),"년","-"),"월","-"),"일",""),".","-"),"/","-")," ","-"),"--","-"),"--","-"),"--","-")&amp;"-","")</f>
        <v/>
      </c>
      <c r="CI1903">
        <f>IFERROR(IF('월 가계부'!A1903="","",IF(ISNUMBER('월 가계부'!A1903),IF(AND('월 가계부'!A1903&gt;=19000101,'월 가계부'!A1903&lt;=21001231),IF(AND(MOD(INT('월 가계부'!A1903/100),100)&gt;=1,MOD(INT('월 가계부'!A1903/100),100)&lt;=12,MOD(INT('월 가계부'!A1903),100)&gt;=1,MOD(INT('월 가계부'!A1903),100)&lt;=31),IF(MONTH(DATE(INT('월 가계부'!A1903/10000),MOD(INT('월 가계부'!A1903/100),100),MOD(INT('월 가계부'!A1903),100)))=MOD(INT('월 가계부'!A1903/100),100),DATE(INT('월 가계부'!A1903/10000),MOD(INT('월 가계부'!A1903/100),100),MOD(INT('월 가계부'!A1903),100)),""),""),IF(AND('월 가계부'!A1903&gt;=36526,'월 가계부'!A1903&lt;73051),INT('월 가계부'!A1903),"")),IF(OR(CM1903="",CN1903="",CO1903=""),"",IF(AND(CM1903&gt;=2000,CM1903&lt;=2099,CN1903&gt;=1,CN1903&lt;=12,CO1903&gt;=1,CO1903&lt;=31),IF(MONTH(DATE(CM1903,CN1903,CO1903))=CN1903,DATE(CM1903,CN1903,CO1903),""),"")))),"")</f>
        <v/>
      </c>
      <c r="CJ1903">
        <f>IFERROR(IF('월 가계부'!C1903="","",IF(ISNUMBER('월 가계부'!C1903),'월 가계부'!C1903,VALUE(SUBSTITUTE(SUBSTITUTE(SUBSTITUTE(SUBSTITUTE(TRIM('월 가계부'!C1903),",",""),"원","")," ",""),"−","-")))),"")</f>
        <v/>
      </c>
      <c r="CK1903">
        <f>IF(ISNUMBER(CI1903),IF(CI1903&lt;$B$13,CI1903,""),"")</f>
        <v/>
      </c>
      <c r="CM1903">
        <f>IF(CH1903="","",IFERROR(IF(IF(AND(LEN(CH1903)=9,ISERROR(FIND("-",LEFT(CH1903,8))),ISNUMBER(-LEFT(CH1903,8))),VALUE(LEFT(CH1903,4)),VALUE(LEFT(CH1903,FIND("-",CH1903)-1)))&lt;100,IF(AND(LEN(CH1903)=9,ISERROR(FIND("-",LEFT(CH1903,8))),ISNUMBER(-LEFT(CH1903,8))),VALUE(LEFT(CH1903,4)),VALUE(LEFT(CH1903,FIND("-",CH1903)-1)))+2000,IF(AND(LEN(CH1903)=9,ISERROR(FIND("-",LEFT(CH1903,8))),ISNUMBER(-LEFT(CH1903,8))),VALUE(LEFT(CH1903,4)),VALUE(LEFT(CH1903,FIND("-",CH1903)-1)))),""))</f>
        <v/>
      </c>
      <c r="CN1903">
        <f>IF(CH1903="","",IFERROR(IF(AND(LEN(CH1903)=9,ISERROR(FIND("-",LEFT(CH1903,8))),ISNUMBER(-LEFT(CH1903,8))),VALUE(MID(CH1903,5,2)),VALUE(MID(CH1903,FIND("-",CH1903)+1,FIND("-",CH1903,FIND("-",CH1903)+1)-FIND("-",CH1903)-1))),""))</f>
        <v/>
      </c>
      <c r="CO1903">
        <f>IF(CH1903="","",IFERROR(IF(AND(LEN(CH1903)=9,ISERROR(FIND("-",LEFT(CH1903,8))),ISNUMBER(-LEFT(CH1903,8))),VALUE(MID(CH1903,7,2)),VALUE(MID(CH1903,FIND("-",CH1903,FIND("-",CH1903)+1)+1,FIND("-",CH1903,FIND("-",CH1903,FIND("-",CH1903)+1)+1)-FIND("-",CH1903,FIND("-",CH1903)+1)-1))),""))</f>
        <v/>
      </c>
    </row>
    <row r="1904">
      <c r="CH1904">
        <f>IF(ISTEXT('월 가계부'!A1904),SUBSTITUTE(SUBSTITUTE(SUBSTITUTE(SUBSTITUTE(SUBSTITUTE(SUBSTITUTE(SUBSTITUTE(SUBSTITUTE(SUBSTITUTE(TRIM('월 가계부'!A1904),"년","-"),"월","-"),"일",""),".","-"),"/","-")," ","-"),"--","-"),"--","-"),"--","-")&amp;"-","")</f>
        <v/>
      </c>
      <c r="CI1904">
        <f>IFERROR(IF('월 가계부'!A1904="","",IF(ISNUMBER('월 가계부'!A1904),IF(AND('월 가계부'!A1904&gt;=19000101,'월 가계부'!A1904&lt;=21001231),IF(AND(MOD(INT('월 가계부'!A1904/100),100)&gt;=1,MOD(INT('월 가계부'!A1904/100),100)&lt;=12,MOD(INT('월 가계부'!A1904),100)&gt;=1,MOD(INT('월 가계부'!A1904),100)&lt;=31),IF(MONTH(DATE(INT('월 가계부'!A1904/10000),MOD(INT('월 가계부'!A1904/100),100),MOD(INT('월 가계부'!A1904),100)))=MOD(INT('월 가계부'!A1904/100),100),DATE(INT('월 가계부'!A1904/10000),MOD(INT('월 가계부'!A1904/100),100),MOD(INT('월 가계부'!A1904),100)),""),""),IF(AND('월 가계부'!A1904&gt;=36526,'월 가계부'!A1904&lt;73051),INT('월 가계부'!A1904),"")),IF(OR(CM1904="",CN1904="",CO1904=""),"",IF(AND(CM1904&gt;=2000,CM1904&lt;=2099,CN1904&gt;=1,CN1904&lt;=12,CO1904&gt;=1,CO1904&lt;=31),IF(MONTH(DATE(CM1904,CN1904,CO1904))=CN1904,DATE(CM1904,CN1904,CO1904),""),"")))),"")</f>
        <v/>
      </c>
      <c r="CJ1904">
        <f>IFERROR(IF('월 가계부'!C1904="","",IF(ISNUMBER('월 가계부'!C1904),'월 가계부'!C1904,VALUE(SUBSTITUTE(SUBSTITUTE(SUBSTITUTE(SUBSTITUTE(TRIM('월 가계부'!C1904),",",""),"원","")," ",""),"−","-")))),"")</f>
        <v/>
      </c>
      <c r="CK1904">
        <f>IF(ISNUMBER(CI1904),IF(CI1904&lt;$B$13,CI1904,""),"")</f>
        <v/>
      </c>
      <c r="CM1904">
        <f>IF(CH1904="","",IFERROR(IF(IF(AND(LEN(CH1904)=9,ISERROR(FIND("-",LEFT(CH1904,8))),ISNUMBER(-LEFT(CH1904,8))),VALUE(LEFT(CH1904,4)),VALUE(LEFT(CH1904,FIND("-",CH1904)-1)))&lt;100,IF(AND(LEN(CH1904)=9,ISERROR(FIND("-",LEFT(CH1904,8))),ISNUMBER(-LEFT(CH1904,8))),VALUE(LEFT(CH1904,4)),VALUE(LEFT(CH1904,FIND("-",CH1904)-1)))+2000,IF(AND(LEN(CH1904)=9,ISERROR(FIND("-",LEFT(CH1904,8))),ISNUMBER(-LEFT(CH1904,8))),VALUE(LEFT(CH1904,4)),VALUE(LEFT(CH1904,FIND("-",CH1904)-1)))),""))</f>
        <v/>
      </c>
      <c r="CN1904">
        <f>IF(CH1904="","",IFERROR(IF(AND(LEN(CH1904)=9,ISERROR(FIND("-",LEFT(CH1904,8))),ISNUMBER(-LEFT(CH1904,8))),VALUE(MID(CH1904,5,2)),VALUE(MID(CH1904,FIND("-",CH1904)+1,FIND("-",CH1904,FIND("-",CH1904)+1)-FIND("-",CH1904)-1))),""))</f>
        <v/>
      </c>
      <c r="CO1904">
        <f>IF(CH1904="","",IFERROR(IF(AND(LEN(CH1904)=9,ISERROR(FIND("-",LEFT(CH1904,8))),ISNUMBER(-LEFT(CH1904,8))),VALUE(MID(CH1904,7,2)),VALUE(MID(CH1904,FIND("-",CH1904,FIND("-",CH1904)+1)+1,FIND("-",CH1904,FIND("-",CH1904,FIND("-",CH1904)+1)+1)-FIND("-",CH1904,FIND("-",CH1904)+1)-1))),""))</f>
        <v/>
      </c>
    </row>
    <row r="1905">
      <c r="CH1905">
        <f>IF(ISTEXT('월 가계부'!A1905),SUBSTITUTE(SUBSTITUTE(SUBSTITUTE(SUBSTITUTE(SUBSTITUTE(SUBSTITUTE(SUBSTITUTE(SUBSTITUTE(SUBSTITUTE(TRIM('월 가계부'!A1905),"년","-"),"월","-"),"일",""),".","-"),"/","-")," ","-"),"--","-"),"--","-"),"--","-")&amp;"-","")</f>
        <v/>
      </c>
      <c r="CI1905">
        <f>IFERROR(IF('월 가계부'!A1905="","",IF(ISNUMBER('월 가계부'!A1905),IF(AND('월 가계부'!A1905&gt;=19000101,'월 가계부'!A1905&lt;=21001231),IF(AND(MOD(INT('월 가계부'!A1905/100),100)&gt;=1,MOD(INT('월 가계부'!A1905/100),100)&lt;=12,MOD(INT('월 가계부'!A1905),100)&gt;=1,MOD(INT('월 가계부'!A1905),100)&lt;=31),IF(MONTH(DATE(INT('월 가계부'!A1905/10000),MOD(INT('월 가계부'!A1905/100),100),MOD(INT('월 가계부'!A1905),100)))=MOD(INT('월 가계부'!A1905/100),100),DATE(INT('월 가계부'!A1905/10000),MOD(INT('월 가계부'!A1905/100),100),MOD(INT('월 가계부'!A1905),100)),""),""),IF(AND('월 가계부'!A1905&gt;=36526,'월 가계부'!A1905&lt;73051),INT('월 가계부'!A1905),"")),IF(OR(CM1905="",CN1905="",CO1905=""),"",IF(AND(CM1905&gt;=2000,CM1905&lt;=2099,CN1905&gt;=1,CN1905&lt;=12,CO1905&gt;=1,CO1905&lt;=31),IF(MONTH(DATE(CM1905,CN1905,CO1905))=CN1905,DATE(CM1905,CN1905,CO1905),""),"")))),"")</f>
        <v/>
      </c>
      <c r="CJ1905">
        <f>IFERROR(IF('월 가계부'!C1905="","",IF(ISNUMBER('월 가계부'!C1905),'월 가계부'!C1905,VALUE(SUBSTITUTE(SUBSTITUTE(SUBSTITUTE(SUBSTITUTE(TRIM('월 가계부'!C1905),",",""),"원","")," ",""),"−","-")))),"")</f>
        <v/>
      </c>
      <c r="CK1905">
        <f>IF(ISNUMBER(CI1905),IF(CI1905&lt;$B$13,CI1905,""),"")</f>
        <v/>
      </c>
      <c r="CM1905">
        <f>IF(CH1905="","",IFERROR(IF(IF(AND(LEN(CH1905)=9,ISERROR(FIND("-",LEFT(CH1905,8))),ISNUMBER(-LEFT(CH1905,8))),VALUE(LEFT(CH1905,4)),VALUE(LEFT(CH1905,FIND("-",CH1905)-1)))&lt;100,IF(AND(LEN(CH1905)=9,ISERROR(FIND("-",LEFT(CH1905,8))),ISNUMBER(-LEFT(CH1905,8))),VALUE(LEFT(CH1905,4)),VALUE(LEFT(CH1905,FIND("-",CH1905)-1)))+2000,IF(AND(LEN(CH1905)=9,ISERROR(FIND("-",LEFT(CH1905,8))),ISNUMBER(-LEFT(CH1905,8))),VALUE(LEFT(CH1905,4)),VALUE(LEFT(CH1905,FIND("-",CH1905)-1)))),""))</f>
        <v/>
      </c>
      <c r="CN1905">
        <f>IF(CH1905="","",IFERROR(IF(AND(LEN(CH1905)=9,ISERROR(FIND("-",LEFT(CH1905,8))),ISNUMBER(-LEFT(CH1905,8))),VALUE(MID(CH1905,5,2)),VALUE(MID(CH1905,FIND("-",CH1905)+1,FIND("-",CH1905,FIND("-",CH1905)+1)-FIND("-",CH1905)-1))),""))</f>
        <v/>
      </c>
      <c r="CO1905">
        <f>IF(CH1905="","",IFERROR(IF(AND(LEN(CH1905)=9,ISERROR(FIND("-",LEFT(CH1905,8))),ISNUMBER(-LEFT(CH1905,8))),VALUE(MID(CH1905,7,2)),VALUE(MID(CH1905,FIND("-",CH1905,FIND("-",CH1905)+1)+1,FIND("-",CH1905,FIND("-",CH1905,FIND("-",CH1905)+1)+1)-FIND("-",CH1905,FIND("-",CH1905)+1)-1))),""))</f>
        <v/>
      </c>
    </row>
    <row r="1906">
      <c r="CH1906">
        <f>IF(ISTEXT('월 가계부'!A1906),SUBSTITUTE(SUBSTITUTE(SUBSTITUTE(SUBSTITUTE(SUBSTITUTE(SUBSTITUTE(SUBSTITUTE(SUBSTITUTE(SUBSTITUTE(TRIM('월 가계부'!A1906),"년","-"),"월","-"),"일",""),".","-"),"/","-")," ","-"),"--","-"),"--","-"),"--","-")&amp;"-","")</f>
        <v/>
      </c>
      <c r="CI1906">
        <f>IFERROR(IF('월 가계부'!A1906="","",IF(ISNUMBER('월 가계부'!A1906),IF(AND('월 가계부'!A1906&gt;=19000101,'월 가계부'!A1906&lt;=21001231),IF(AND(MOD(INT('월 가계부'!A1906/100),100)&gt;=1,MOD(INT('월 가계부'!A1906/100),100)&lt;=12,MOD(INT('월 가계부'!A1906),100)&gt;=1,MOD(INT('월 가계부'!A1906),100)&lt;=31),IF(MONTH(DATE(INT('월 가계부'!A1906/10000),MOD(INT('월 가계부'!A1906/100),100),MOD(INT('월 가계부'!A1906),100)))=MOD(INT('월 가계부'!A1906/100),100),DATE(INT('월 가계부'!A1906/10000),MOD(INT('월 가계부'!A1906/100),100),MOD(INT('월 가계부'!A1906),100)),""),""),IF(AND('월 가계부'!A1906&gt;=36526,'월 가계부'!A1906&lt;73051),INT('월 가계부'!A1906),"")),IF(OR(CM1906="",CN1906="",CO1906=""),"",IF(AND(CM1906&gt;=2000,CM1906&lt;=2099,CN1906&gt;=1,CN1906&lt;=12,CO1906&gt;=1,CO1906&lt;=31),IF(MONTH(DATE(CM1906,CN1906,CO1906))=CN1906,DATE(CM1906,CN1906,CO1906),""),"")))),"")</f>
        <v/>
      </c>
      <c r="CJ1906">
        <f>IFERROR(IF('월 가계부'!C1906="","",IF(ISNUMBER('월 가계부'!C1906),'월 가계부'!C1906,VALUE(SUBSTITUTE(SUBSTITUTE(SUBSTITUTE(SUBSTITUTE(TRIM('월 가계부'!C1906),",",""),"원","")," ",""),"−","-")))),"")</f>
        <v/>
      </c>
      <c r="CK1906">
        <f>IF(ISNUMBER(CI1906),IF(CI1906&lt;$B$13,CI1906,""),"")</f>
        <v/>
      </c>
      <c r="CM1906">
        <f>IF(CH1906="","",IFERROR(IF(IF(AND(LEN(CH1906)=9,ISERROR(FIND("-",LEFT(CH1906,8))),ISNUMBER(-LEFT(CH1906,8))),VALUE(LEFT(CH1906,4)),VALUE(LEFT(CH1906,FIND("-",CH1906)-1)))&lt;100,IF(AND(LEN(CH1906)=9,ISERROR(FIND("-",LEFT(CH1906,8))),ISNUMBER(-LEFT(CH1906,8))),VALUE(LEFT(CH1906,4)),VALUE(LEFT(CH1906,FIND("-",CH1906)-1)))+2000,IF(AND(LEN(CH1906)=9,ISERROR(FIND("-",LEFT(CH1906,8))),ISNUMBER(-LEFT(CH1906,8))),VALUE(LEFT(CH1906,4)),VALUE(LEFT(CH1906,FIND("-",CH1906)-1)))),""))</f>
        <v/>
      </c>
      <c r="CN1906">
        <f>IF(CH1906="","",IFERROR(IF(AND(LEN(CH1906)=9,ISERROR(FIND("-",LEFT(CH1906,8))),ISNUMBER(-LEFT(CH1906,8))),VALUE(MID(CH1906,5,2)),VALUE(MID(CH1906,FIND("-",CH1906)+1,FIND("-",CH1906,FIND("-",CH1906)+1)-FIND("-",CH1906)-1))),""))</f>
        <v/>
      </c>
      <c r="CO1906">
        <f>IF(CH1906="","",IFERROR(IF(AND(LEN(CH1906)=9,ISERROR(FIND("-",LEFT(CH1906,8))),ISNUMBER(-LEFT(CH1906,8))),VALUE(MID(CH1906,7,2)),VALUE(MID(CH1906,FIND("-",CH1906,FIND("-",CH1906)+1)+1,FIND("-",CH1906,FIND("-",CH1906,FIND("-",CH1906)+1)+1)-FIND("-",CH1906,FIND("-",CH1906)+1)-1))),""))</f>
        <v/>
      </c>
    </row>
    <row r="1907">
      <c r="CH1907">
        <f>IF(ISTEXT('월 가계부'!A1907),SUBSTITUTE(SUBSTITUTE(SUBSTITUTE(SUBSTITUTE(SUBSTITUTE(SUBSTITUTE(SUBSTITUTE(SUBSTITUTE(SUBSTITUTE(TRIM('월 가계부'!A1907),"년","-"),"월","-"),"일",""),".","-"),"/","-")," ","-"),"--","-"),"--","-"),"--","-")&amp;"-","")</f>
        <v/>
      </c>
      <c r="CI1907">
        <f>IFERROR(IF('월 가계부'!A1907="","",IF(ISNUMBER('월 가계부'!A1907),IF(AND('월 가계부'!A1907&gt;=19000101,'월 가계부'!A1907&lt;=21001231),IF(AND(MOD(INT('월 가계부'!A1907/100),100)&gt;=1,MOD(INT('월 가계부'!A1907/100),100)&lt;=12,MOD(INT('월 가계부'!A1907),100)&gt;=1,MOD(INT('월 가계부'!A1907),100)&lt;=31),IF(MONTH(DATE(INT('월 가계부'!A1907/10000),MOD(INT('월 가계부'!A1907/100),100),MOD(INT('월 가계부'!A1907),100)))=MOD(INT('월 가계부'!A1907/100),100),DATE(INT('월 가계부'!A1907/10000),MOD(INT('월 가계부'!A1907/100),100),MOD(INT('월 가계부'!A1907),100)),""),""),IF(AND('월 가계부'!A1907&gt;=36526,'월 가계부'!A1907&lt;73051),INT('월 가계부'!A1907),"")),IF(OR(CM1907="",CN1907="",CO1907=""),"",IF(AND(CM1907&gt;=2000,CM1907&lt;=2099,CN1907&gt;=1,CN1907&lt;=12,CO1907&gt;=1,CO1907&lt;=31),IF(MONTH(DATE(CM1907,CN1907,CO1907))=CN1907,DATE(CM1907,CN1907,CO1907),""),"")))),"")</f>
        <v/>
      </c>
      <c r="CJ1907">
        <f>IFERROR(IF('월 가계부'!C1907="","",IF(ISNUMBER('월 가계부'!C1907),'월 가계부'!C1907,VALUE(SUBSTITUTE(SUBSTITUTE(SUBSTITUTE(SUBSTITUTE(TRIM('월 가계부'!C1907),",",""),"원","")," ",""),"−","-")))),"")</f>
        <v/>
      </c>
      <c r="CK1907">
        <f>IF(ISNUMBER(CI1907),IF(CI1907&lt;$B$13,CI1907,""),"")</f>
        <v/>
      </c>
      <c r="CM1907">
        <f>IF(CH1907="","",IFERROR(IF(IF(AND(LEN(CH1907)=9,ISERROR(FIND("-",LEFT(CH1907,8))),ISNUMBER(-LEFT(CH1907,8))),VALUE(LEFT(CH1907,4)),VALUE(LEFT(CH1907,FIND("-",CH1907)-1)))&lt;100,IF(AND(LEN(CH1907)=9,ISERROR(FIND("-",LEFT(CH1907,8))),ISNUMBER(-LEFT(CH1907,8))),VALUE(LEFT(CH1907,4)),VALUE(LEFT(CH1907,FIND("-",CH1907)-1)))+2000,IF(AND(LEN(CH1907)=9,ISERROR(FIND("-",LEFT(CH1907,8))),ISNUMBER(-LEFT(CH1907,8))),VALUE(LEFT(CH1907,4)),VALUE(LEFT(CH1907,FIND("-",CH1907)-1)))),""))</f>
        <v/>
      </c>
      <c r="CN1907">
        <f>IF(CH1907="","",IFERROR(IF(AND(LEN(CH1907)=9,ISERROR(FIND("-",LEFT(CH1907,8))),ISNUMBER(-LEFT(CH1907,8))),VALUE(MID(CH1907,5,2)),VALUE(MID(CH1907,FIND("-",CH1907)+1,FIND("-",CH1907,FIND("-",CH1907)+1)-FIND("-",CH1907)-1))),""))</f>
        <v/>
      </c>
      <c r="CO1907">
        <f>IF(CH1907="","",IFERROR(IF(AND(LEN(CH1907)=9,ISERROR(FIND("-",LEFT(CH1907,8))),ISNUMBER(-LEFT(CH1907,8))),VALUE(MID(CH1907,7,2)),VALUE(MID(CH1907,FIND("-",CH1907,FIND("-",CH1907)+1)+1,FIND("-",CH1907,FIND("-",CH1907,FIND("-",CH1907)+1)+1)-FIND("-",CH1907,FIND("-",CH1907)+1)-1))),""))</f>
        <v/>
      </c>
    </row>
    <row r="1908">
      <c r="CH1908">
        <f>IF(ISTEXT('월 가계부'!A1908),SUBSTITUTE(SUBSTITUTE(SUBSTITUTE(SUBSTITUTE(SUBSTITUTE(SUBSTITUTE(SUBSTITUTE(SUBSTITUTE(SUBSTITUTE(TRIM('월 가계부'!A1908),"년","-"),"월","-"),"일",""),".","-"),"/","-")," ","-"),"--","-"),"--","-"),"--","-")&amp;"-","")</f>
        <v/>
      </c>
      <c r="CI1908">
        <f>IFERROR(IF('월 가계부'!A1908="","",IF(ISNUMBER('월 가계부'!A1908),IF(AND('월 가계부'!A1908&gt;=19000101,'월 가계부'!A1908&lt;=21001231),IF(AND(MOD(INT('월 가계부'!A1908/100),100)&gt;=1,MOD(INT('월 가계부'!A1908/100),100)&lt;=12,MOD(INT('월 가계부'!A1908),100)&gt;=1,MOD(INT('월 가계부'!A1908),100)&lt;=31),IF(MONTH(DATE(INT('월 가계부'!A1908/10000),MOD(INT('월 가계부'!A1908/100),100),MOD(INT('월 가계부'!A1908),100)))=MOD(INT('월 가계부'!A1908/100),100),DATE(INT('월 가계부'!A1908/10000),MOD(INT('월 가계부'!A1908/100),100),MOD(INT('월 가계부'!A1908),100)),""),""),IF(AND('월 가계부'!A1908&gt;=36526,'월 가계부'!A1908&lt;73051),INT('월 가계부'!A1908),"")),IF(OR(CM1908="",CN1908="",CO1908=""),"",IF(AND(CM1908&gt;=2000,CM1908&lt;=2099,CN1908&gt;=1,CN1908&lt;=12,CO1908&gt;=1,CO1908&lt;=31),IF(MONTH(DATE(CM1908,CN1908,CO1908))=CN1908,DATE(CM1908,CN1908,CO1908),""),"")))),"")</f>
        <v/>
      </c>
      <c r="CJ1908">
        <f>IFERROR(IF('월 가계부'!C1908="","",IF(ISNUMBER('월 가계부'!C1908),'월 가계부'!C1908,VALUE(SUBSTITUTE(SUBSTITUTE(SUBSTITUTE(SUBSTITUTE(TRIM('월 가계부'!C1908),",",""),"원","")," ",""),"−","-")))),"")</f>
        <v/>
      </c>
      <c r="CK1908">
        <f>IF(ISNUMBER(CI1908),IF(CI1908&lt;$B$13,CI1908,""),"")</f>
        <v/>
      </c>
      <c r="CM1908">
        <f>IF(CH1908="","",IFERROR(IF(IF(AND(LEN(CH1908)=9,ISERROR(FIND("-",LEFT(CH1908,8))),ISNUMBER(-LEFT(CH1908,8))),VALUE(LEFT(CH1908,4)),VALUE(LEFT(CH1908,FIND("-",CH1908)-1)))&lt;100,IF(AND(LEN(CH1908)=9,ISERROR(FIND("-",LEFT(CH1908,8))),ISNUMBER(-LEFT(CH1908,8))),VALUE(LEFT(CH1908,4)),VALUE(LEFT(CH1908,FIND("-",CH1908)-1)))+2000,IF(AND(LEN(CH1908)=9,ISERROR(FIND("-",LEFT(CH1908,8))),ISNUMBER(-LEFT(CH1908,8))),VALUE(LEFT(CH1908,4)),VALUE(LEFT(CH1908,FIND("-",CH1908)-1)))),""))</f>
        <v/>
      </c>
      <c r="CN1908">
        <f>IF(CH1908="","",IFERROR(IF(AND(LEN(CH1908)=9,ISERROR(FIND("-",LEFT(CH1908,8))),ISNUMBER(-LEFT(CH1908,8))),VALUE(MID(CH1908,5,2)),VALUE(MID(CH1908,FIND("-",CH1908)+1,FIND("-",CH1908,FIND("-",CH1908)+1)-FIND("-",CH1908)-1))),""))</f>
        <v/>
      </c>
      <c r="CO1908">
        <f>IF(CH1908="","",IFERROR(IF(AND(LEN(CH1908)=9,ISERROR(FIND("-",LEFT(CH1908,8))),ISNUMBER(-LEFT(CH1908,8))),VALUE(MID(CH1908,7,2)),VALUE(MID(CH1908,FIND("-",CH1908,FIND("-",CH1908)+1)+1,FIND("-",CH1908,FIND("-",CH1908,FIND("-",CH1908)+1)+1)-FIND("-",CH1908,FIND("-",CH1908)+1)-1))),""))</f>
        <v/>
      </c>
    </row>
    <row r="1909">
      <c r="CH1909">
        <f>IF(ISTEXT('월 가계부'!A1909),SUBSTITUTE(SUBSTITUTE(SUBSTITUTE(SUBSTITUTE(SUBSTITUTE(SUBSTITUTE(SUBSTITUTE(SUBSTITUTE(SUBSTITUTE(TRIM('월 가계부'!A1909),"년","-"),"월","-"),"일",""),".","-"),"/","-")," ","-"),"--","-"),"--","-"),"--","-")&amp;"-","")</f>
        <v/>
      </c>
      <c r="CI1909">
        <f>IFERROR(IF('월 가계부'!A1909="","",IF(ISNUMBER('월 가계부'!A1909),IF(AND('월 가계부'!A1909&gt;=19000101,'월 가계부'!A1909&lt;=21001231),IF(AND(MOD(INT('월 가계부'!A1909/100),100)&gt;=1,MOD(INT('월 가계부'!A1909/100),100)&lt;=12,MOD(INT('월 가계부'!A1909),100)&gt;=1,MOD(INT('월 가계부'!A1909),100)&lt;=31),IF(MONTH(DATE(INT('월 가계부'!A1909/10000),MOD(INT('월 가계부'!A1909/100),100),MOD(INT('월 가계부'!A1909),100)))=MOD(INT('월 가계부'!A1909/100),100),DATE(INT('월 가계부'!A1909/10000),MOD(INT('월 가계부'!A1909/100),100),MOD(INT('월 가계부'!A1909),100)),""),""),IF(AND('월 가계부'!A1909&gt;=36526,'월 가계부'!A1909&lt;73051),INT('월 가계부'!A1909),"")),IF(OR(CM1909="",CN1909="",CO1909=""),"",IF(AND(CM1909&gt;=2000,CM1909&lt;=2099,CN1909&gt;=1,CN1909&lt;=12,CO1909&gt;=1,CO1909&lt;=31),IF(MONTH(DATE(CM1909,CN1909,CO1909))=CN1909,DATE(CM1909,CN1909,CO1909),""),"")))),"")</f>
        <v/>
      </c>
      <c r="CJ1909">
        <f>IFERROR(IF('월 가계부'!C1909="","",IF(ISNUMBER('월 가계부'!C1909),'월 가계부'!C1909,VALUE(SUBSTITUTE(SUBSTITUTE(SUBSTITUTE(SUBSTITUTE(TRIM('월 가계부'!C1909),",",""),"원","")," ",""),"−","-")))),"")</f>
        <v/>
      </c>
      <c r="CK1909">
        <f>IF(ISNUMBER(CI1909),IF(CI1909&lt;$B$13,CI1909,""),"")</f>
        <v/>
      </c>
      <c r="CM1909">
        <f>IF(CH1909="","",IFERROR(IF(IF(AND(LEN(CH1909)=9,ISERROR(FIND("-",LEFT(CH1909,8))),ISNUMBER(-LEFT(CH1909,8))),VALUE(LEFT(CH1909,4)),VALUE(LEFT(CH1909,FIND("-",CH1909)-1)))&lt;100,IF(AND(LEN(CH1909)=9,ISERROR(FIND("-",LEFT(CH1909,8))),ISNUMBER(-LEFT(CH1909,8))),VALUE(LEFT(CH1909,4)),VALUE(LEFT(CH1909,FIND("-",CH1909)-1)))+2000,IF(AND(LEN(CH1909)=9,ISERROR(FIND("-",LEFT(CH1909,8))),ISNUMBER(-LEFT(CH1909,8))),VALUE(LEFT(CH1909,4)),VALUE(LEFT(CH1909,FIND("-",CH1909)-1)))),""))</f>
        <v/>
      </c>
      <c r="CN1909">
        <f>IF(CH1909="","",IFERROR(IF(AND(LEN(CH1909)=9,ISERROR(FIND("-",LEFT(CH1909,8))),ISNUMBER(-LEFT(CH1909,8))),VALUE(MID(CH1909,5,2)),VALUE(MID(CH1909,FIND("-",CH1909)+1,FIND("-",CH1909,FIND("-",CH1909)+1)-FIND("-",CH1909)-1))),""))</f>
        <v/>
      </c>
      <c r="CO1909">
        <f>IF(CH1909="","",IFERROR(IF(AND(LEN(CH1909)=9,ISERROR(FIND("-",LEFT(CH1909,8))),ISNUMBER(-LEFT(CH1909,8))),VALUE(MID(CH1909,7,2)),VALUE(MID(CH1909,FIND("-",CH1909,FIND("-",CH1909)+1)+1,FIND("-",CH1909,FIND("-",CH1909,FIND("-",CH1909)+1)+1)-FIND("-",CH1909,FIND("-",CH1909)+1)-1))),""))</f>
        <v/>
      </c>
    </row>
    <row r="1910">
      <c r="CH1910">
        <f>IF(ISTEXT('월 가계부'!A1910),SUBSTITUTE(SUBSTITUTE(SUBSTITUTE(SUBSTITUTE(SUBSTITUTE(SUBSTITUTE(SUBSTITUTE(SUBSTITUTE(SUBSTITUTE(TRIM('월 가계부'!A1910),"년","-"),"월","-"),"일",""),".","-"),"/","-")," ","-"),"--","-"),"--","-"),"--","-")&amp;"-","")</f>
        <v/>
      </c>
      <c r="CI1910">
        <f>IFERROR(IF('월 가계부'!A1910="","",IF(ISNUMBER('월 가계부'!A1910),IF(AND('월 가계부'!A1910&gt;=19000101,'월 가계부'!A1910&lt;=21001231),IF(AND(MOD(INT('월 가계부'!A1910/100),100)&gt;=1,MOD(INT('월 가계부'!A1910/100),100)&lt;=12,MOD(INT('월 가계부'!A1910),100)&gt;=1,MOD(INT('월 가계부'!A1910),100)&lt;=31),IF(MONTH(DATE(INT('월 가계부'!A1910/10000),MOD(INT('월 가계부'!A1910/100),100),MOD(INT('월 가계부'!A1910),100)))=MOD(INT('월 가계부'!A1910/100),100),DATE(INT('월 가계부'!A1910/10000),MOD(INT('월 가계부'!A1910/100),100),MOD(INT('월 가계부'!A1910),100)),""),""),IF(AND('월 가계부'!A1910&gt;=36526,'월 가계부'!A1910&lt;73051),INT('월 가계부'!A1910),"")),IF(OR(CM1910="",CN1910="",CO1910=""),"",IF(AND(CM1910&gt;=2000,CM1910&lt;=2099,CN1910&gt;=1,CN1910&lt;=12,CO1910&gt;=1,CO1910&lt;=31),IF(MONTH(DATE(CM1910,CN1910,CO1910))=CN1910,DATE(CM1910,CN1910,CO1910),""),"")))),"")</f>
        <v/>
      </c>
      <c r="CJ1910">
        <f>IFERROR(IF('월 가계부'!C1910="","",IF(ISNUMBER('월 가계부'!C1910),'월 가계부'!C1910,VALUE(SUBSTITUTE(SUBSTITUTE(SUBSTITUTE(SUBSTITUTE(TRIM('월 가계부'!C1910),",",""),"원","")," ",""),"−","-")))),"")</f>
        <v/>
      </c>
      <c r="CK1910">
        <f>IF(ISNUMBER(CI1910),IF(CI1910&lt;$B$13,CI1910,""),"")</f>
        <v/>
      </c>
      <c r="CM1910">
        <f>IF(CH1910="","",IFERROR(IF(IF(AND(LEN(CH1910)=9,ISERROR(FIND("-",LEFT(CH1910,8))),ISNUMBER(-LEFT(CH1910,8))),VALUE(LEFT(CH1910,4)),VALUE(LEFT(CH1910,FIND("-",CH1910)-1)))&lt;100,IF(AND(LEN(CH1910)=9,ISERROR(FIND("-",LEFT(CH1910,8))),ISNUMBER(-LEFT(CH1910,8))),VALUE(LEFT(CH1910,4)),VALUE(LEFT(CH1910,FIND("-",CH1910)-1)))+2000,IF(AND(LEN(CH1910)=9,ISERROR(FIND("-",LEFT(CH1910,8))),ISNUMBER(-LEFT(CH1910,8))),VALUE(LEFT(CH1910,4)),VALUE(LEFT(CH1910,FIND("-",CH1910)-1)))),""))</f>
        <v/>
      </c>
      <c r="CN1910">
        <f>IF(CH1910="","",IFERROR(IF(AND(LEN(CH1910)=9,ISERROR(FIND("-",LEFT(CH1910,8))),ISNUMBER(-LEFT(CH1910,8))),VALUE(MID(CH1910,5,2)),VALUE(MID(CH1910,FIND("-",CH1910)+1,FIND("-",CH1910,FIND("-",CH1910)+1)-FIND("-",CH1910)-1))),""))</f>
        <v/>
      </c>
      <c r="CO1910">
        <f>IF(CH1910="","",IFERROR(IF(AND(LEN(CH1910)=9,ISERROR(FIND("-",LEFT(CH1910,8))),ISNUMBER(-LEFT(CH1910,8))),VALUE(MID(CH1910,7,2)),VALUE(MID(CH1910,FIND("-",CH1910,FIND("-",CH1910)+1)+1,FIND("-",CH1910,FIND("-",CH1910,FIND("-",CH1910)+1)+1)-FIND("-",CH1910,FIND("-",CH1910)+1)-1))),""))</f>
        <v/>
      </c>
    </row>
    <row r="1911">
      <c r="CH1911">
        <f>IF(ISTEXT('월 가계부'!A1911),SUBSTITUTE(SUBSTITUTE(SUBSTITUTE(SUBSTITUTE(SUBSTITUTE(SUBSTITUTE(SUBSTITUTE(SUBSTITUTE(SUBSTITUTE(TRIM('월 가계부'!A1911),"년","-"),"월","-"),"일",""),".","-"),"/","-")," ","-"),"--","-"),"--","-"),"--","-")&amp;"-","")</f>
        <v/>
      </c>
      <c r="CI1911">
        <f>IFERROR(IF('월 가계부'!A1911="","",IF(ISNUMBER('월 가계부'!A1911),IF(AND('월 가계부'!A1911&gt;=19000101,'월 가계부'!A1911&lt;=21001231),IF(AND(MOD(INT('월 가계부'!A1911/100),100)&gt;=1,MOD(INT('월 가계부'!A1911/100),100)&lt;=12,MOD(INT('월 가계부'!A1911),100)&gt;=1,MOD(INT('월 가계부'!A1911),100)&lt;=31),IF(MONTH(DATE(INT('월 가계부'!A1911/10000),MOD(INT('월 가계부'!A1911/100),100),MOD(INT('월 가계부'!A1911),100)))=MOD(INT('월 가계부'!A1911/100),100),DATE(INT('월 가계부'!A1911/10000),MOD(INT('월 가계부'!A1911/100),100),MOD(INT('월 가계부'!A1911),100)),""),""),IF(AND('월 가계부'!A1911&gt;=36526,'월 가계부'!A1911&lt;73051),INT('월 가계부'!A1911),"")),IF(OR(CM1911="",CN1911="",CO1911=""),"",IF(AND(CM1911&gt;=2000,CM1911&lt;=2099,CN1911&gt;=1,CN1911&lt;=12,CO1911&gt;=1,CO1911&lt;=31),IF(MONTH(DATE(CM1911,CN1911,CO1911))=CN1911,DATE(CM1911,CN1911,CO1911),""),"")))),"")</f>
        <v/>
      </c>
      <c r="CJ1911">
        <f>IFERROR(IF('월 가계부'!C1911="","",IF(ISNUMBER('월 가계부'!C1911),'월 가계부'!C1911,VALUE(SUBSTITUTE(SUBSTITUTE(SUBSTITUTE(SUBSTITUTE(TRIM('월 가계부'!C1911),",",""),"원","")," ",""),"−","-")))),"")</f>
        <v/>
      </c>
      <c r="CK1911">
        <f>IF(ISNUMBER(CI1911),IF(CI1911&lt;$B$13,CI1911,""),"")</f>
        <v/>
      </c>
      <c r="CM1911">
        <f>IF(CH1911="","",IFERROR(IF(IF(AND(LEN(CH1911)=9,ISERROR(FIND("-",LEFT(CH1911,8))),ISNUMBER(-LEFT(CH1911,8))),VALUE(LEFT(CH1911,4)),VALUE(LEFT(CH1911,FIND("-",CH1911)-1)))&lt;100,IF(AND(LEN(CH1911)=9,ISERROR(FIND("-",LEFT(CH1911,8))),ISNUMBER(-LEFT(CH1911,8))),VALUE(LEFT(CH1911,4)),VALUE(LEFT(CH1911,FIND("-",CH1911)-1)))+2000,IF(AND(LEN(CH1911)=9,ISERROR(FIND("-",LEFT(CH1911,8))),ISNUMBER(-LEFT(CH1911,8))),VALUE(LEFT(CH1911,4)),VALUE(LEFT(CH1911,FIND("-",CH1911)-1)))),""))</f>
        <v/>
      </c>
      <c r="CN1911">
        <f>IF(CH1911="","",IFERROR(IF(AND(LEN(CH1911)=9,ISERROR(FIND("-",LEFT(CH1911,8))),ISNUMBER(-LEFT(CH1911,8))),VALUE(MID(CH1911,5,2)),VALUE(MID(CH1911,FIND("-",CH1911)+1,FIND("-",CH1911,FIND("-",CH1911)+1)-FIND("-",CH1911)-1))),""))</f>
        <v/>
      </c>
      <c r="CO1911">
        <f>IF(CH1911="","",IFERROR(IF(AND(LEN(CH1911)=9,ISERROR(FIND("-",LEFT(CH1911,8))),ISNUMBER(-LEFT(CH1911,8))),VALUE(MID(CH1911,7,2)),VALUE(MID(CH1911,FIND("-",CH1911,FIND("-",CH1911)+1)+1,FIND("-",CH1911,FIND("-",CH1911,FIND("-",CH1911)+1)+1)-FIND("-",CH1911,FIND("-",CH1911)+1)-1))),""))</f>
        <v/>
      </c>
    </row>
    <row r="1912">
      <c r="CH1912">
        <f>IF(ISTEXT('월 가계부'!A1912),SUBSTITUTE(SUBSTITUTE(SUBSTITUTE(SUBSTITUTE(SUBSTITUTE(SUBSTITUTE(SUBSTITUTE(SUBSTITUTE(SUBSTITUTE(TRIM('월 가계부'!A1912),"년","-"),"월","-"),"일",""),".","-"),"/","-")," ","-"),"--","-"),"--","-"),"--","-")&amp;"-","")</f>
        <v/>
      </c>
      <c r="CI1912">
        <f>IFERROR(IF('월 가계부'!A1912="","",IF(ISNUMBER('월 가계부'!A1912),IF(AND('월 가계부'!A1912&gt;=19000101,'월 가계부'!A1912&lt;=21001231),IF(AND(MOD(INT('월 가계부'!A1912/100),100)&gt;=1,MOD(INT('월 가계부'!A1912/100),100)&lt;=12,MOD(INT('월 가계부'!A1912),100)&gt;=1,MOD(INT('월 가계부'!A1912),100)&lt;=31),IF(MONTH(DATE(INT('월 가계부'!A1912/10000),MOD(INT('월 가계부'!A1912/100),100),MOD(INT('월 가계부'!A1912),100)))=MOD(INT('월 가계부'!A1912/100),100),DATE(INT('월 가계부'!A1912/10000),MOD(INT('월 가계부'!A1912/100),100),MOD(INT('월 가계부'!A1912),100)),""),""),IF(AND('월 가계부'!A1912&gt;=36526,'월 가계부'!A1912&lt;73051),INT('월 가계부'!A1912),"")),IF(OR(CM1912="",CN1912="",CO1912=""),"",IF(AND(CM1912&gt;=2000,CM1912&lt;=2099,CN1912&gt;=1,CN1912&lt;=12,CO1912&gt;=1,CO1912&lt;=31),IF(MONTH(DATE(CM1912,CN1912,CO1912))=CN1912,DATE(CM1912,CN1912,CO1912),""),"")))),"")</f>
        <v/>
      </c>
      <c r="CJ1912">
        <f>IFERROR(IF('월 가계부'!C1912="","",IF(ISNUMBER('월 가계부'!C1912),'월 가계부'!C1912,VALUE(SUBSTITUTE(SUBSTITUTE(SUBSTITUTE(SUBSTITUTE(TRIM('월 가계부'!C1912),",",""),"원","")," ",""),"−","-")))),"")</f>
        <v/>
      </c>
      <c r="CK1912">
        <f>IF(ISNUMBER(CI1912),IF(CI1912&lt;$B$13,CI1912,""),"")</f>
        <v/>
      </c>
      <c r="CM1912">
        <f>IF(CH1912="","",IFERROR(IF(IF(AND(LEN(CH1912)=9,ISERROR(FIND("-",LEFT(CH1912,8))),ISNUMBER(-LEFT(CH1912,8))),VALUE(LEFT(CH1912,4)),VALUE(LEFT(CH1912,FIND("-",CH1912)-1)))&lt;100,IF(AND(LEN(CH1912)=9,ISERROR(FIND("-",LEFT(CH1912,8))),ISNUMBER(-LEFT(CH1912,8))),VALUE(LEFT(CH1912,4)),VALUE(LEFT(CH1912,FIND("-",CH1912)-1)))+2000,IF(AND(LEN(CH1912)=9,ISERROR(FIND("-",LEFT(CH1912,8))),ISNUMBER(-LEFT(CH1912,8))),VALUE(LEFT(CH1912,4)),VALUE(LEFT(CH1912,FIND("-",CH1912)-1)))),""))</f>
        <v/>
      </c>
      <c r="CN1912">
        <f>IF(CH1912="","",IFERROR(IF(AND(LEN(CH1912)=9,ISERROR(FIND("-",LEFT(CH1912,8))),ISNUMBER(-LEFT(CH1912,8))),VALUE(MID(CH1912,5,2)),VALUE(MID(CH1912,FIND("-",CH1912)+1,FIND("-",CH1912,FIND("-",CH1912)+1)-FIND("-",CH1912)-1))),""))</f>
        <v/>
      </c>
      <c r="CO1912">
        <f>IF(CH1912="","",IFERROR(IF(AND(LEN(CH1912)=9,ISERROR(FIND("-",LEFT(CH1912,8))),ISNUMBER(-LEFT(CH1912,8))),VALUE(MID(CH1912,7,2)),VALUE(MID(CH1912,FIND("-",CH1912,FIND("-",CH1912)+1)+1,FIND("-",CH1912,FIND("-",CH1912,FIND("-",CH1912)+1)+1)-FIND("-",CH1912,FIND("-",CH1912)+1)-1))),""))</f>
        <v/>
      </c>
    </row>
    <row r="1913">
      <c r="CH1913">
        <f>IF(ISTEXT('월 가계부'!A1913),SUBSTITUTE(SUBSTITUTE(SUBSTITUTE(SUBSTITUTE(SUBSTITUTE(SUBSTITUTE(SUBSTITUTE(SUBSTITUTE(SUBSTITUTE(TRIM('월 가계부'!A1913),"년","-"),"월","-"),"일",""),".","-"),"/","-")," ","-"),"--","-"),"--","-"),"--","-")&amp;"-","")</f>
        <v/>
      </c>
      <c r="CI1913">
        <f>IFERROR(IF('월 가계부'!A1913="","",IF(ISNUMBER('월 가계부'!A1913),IF(AND('월 가계부'!A1913&gt;=19000101,'월 가계부'!A1913&lt;=21001231),IF(AND(MOD(INT('월 가계부'!A1913/100),100)&gt;=1,MOD(INT('월 가계부'!A1913/100),100)&lt;=12,MOD(INT('월 가계부'!A1913),100)&gt;=1,MOD(INT('월 가계부'!A1913),100)&lt;=31),IF(MONTH(DATE(INT('월 가계부'!A1913/10000),MOD(INT('월 가계부'!A1913/100),100),MOD(INT('월 가계부'!A1913),100)))=MOD(INT('월 가계부'!A1913/100),100),DATE(INT('월 가계부'!A1913/10000),MOD(INT('월 가계부'!A1913/100),100),MOD(INT('월 가계부'!A1913),100)),""),""),IF(AND('월 가계부'!A1913&gt;=36526,'월 가계부'!A1913&lt;73051),INT('월 가계부'!A1913),"")),IF(OR(CM1913="",CN1913="",CO1913=""),"",IF(AND(CM1913&gt;=2000,CM1913&lt;=2099,CN1913&gt;=1,CN1913&lt;=12,CO1913&gt;=1,CO1913&lt;=31),IF(MONTH(DATE(CM1913,CN1913,CO1913))=CN1913,DATE(CM1913,CN1913,CO1913),""),"")))),"")</f>
        <v/>
      </c>
      <c r="CJ1913">
        <f>IFERROR(IF('월 가계부'!C1913="","",IF(ISNUMBER('월 가계부'!C1913),'월 가계부'!C1913,VALUE(SUBSTITUTE(SUBSTITUTE(SUBSTITUTE(SUBSTITUTE(TRIM('월 가계부'!C1913),",",""),"원","")," ",""),"−","-")))),"")</f>
        <v/>
      </c>
      <c r="CK1913">
        <f>IF(ISNUMBER(CI1913),IF(CI1913&lt;$B$13,CI1913,""),"")</f>
        <v/>
      </c>
      <c r="CM1913">
        <f>IF(CH1913="","",IFERROR(IF(IF(AND(LEN(CH1913)=9,ISERROR(FIND("-",LEFT(CH1913,8))),ISNUMBER(-LEFT(CH1913,8))),VALUE(LEFT(CH1913,4)),VALUE(LEFT(CH1913,FIND("-",CH1913)-1)))&lt;100,IF(AND(LEN(CH1913)=9,ISERROR(FIND("-",LEFT(CH1913,8))),ISNUMBER(-LEFT(CH1913,8))),VALUE(LEFT(CH1913,4)),VALUE(LEFT(CH1913,FIND("-",CH1913)-1)))+2000,IF(AND(LEN(CH1913)=9,ISERROR(FIND("-",LEFT(CH1913,8))),ISNUMBER(-LEFT(CH1913,8))),VALUE(LEFT(CH1913,4)),VALUE(LEFT(CH1913,FIND("-",CH1913)-1)))),""))</f>
        <v/>
      </c>
      <c r="CN1913">
        <f>IF(CH1913="","",IFERROR(IF(AND(LEN(CH1913)=9,ISERROR(FIND("-",LEFT(CH1913,8))),ISNUMBER(-LEFT(CH1913,8))),VALUE(MID(CH1913,5,2)),VALUE(MID(CH1913,FIND("-",CH1913)+1,FIND("-",CH1913,FIND("-",CH1913)+1)-FIND("-",CH1913)-1))),""))</f>
        <v/>
      </c>
      <c r="CO1913">
        <f>IF(CH1913="","",IFERROR(IF(AND(LEN(CH1913)=9,ISERROR(FIND("-",LEFT(CH1913,8))),ISNUMBER(-LEFT(CH1913,8))),VALUE(MID(CH1913,7,2)),VALUE(MID(CH1913,FIND("-",CH1913,FIND("-",CH1913)+1)+1,FIND("-",CH1913,FIND("-",CH1913,FIND("-",CH1913)+1)+1)-FIND("-",CH1913,FIND("-",CH1913)+1)-1))),""))</f>
        <v/>
      </c>
    </row>
    <row r="1914">
      <c r="CH1914">
        <f>IF(ISTEXT('월 가계부'!A1914),SUBSTITUTE(SUBSTITUTE(SUBSTITUTE(SUBSTITUTE(SUBSTITUTE(SUBSTITUTE(SUBSTITUTE(SUBSTITUTE(SUBSTITUTE(TRIM('월 가계부'!A1914),"년","-"),"월","-"),"일",""),".","-"),"/","-")," ","-"),"--","-"),"--","-"),"--","-")&amp;"-","")</f>
        <v/>
      </c>
      <c r="CI1914">
        <f>IFERROR(IF('월 가계부'!A1914="","",IF(ISNUMBER('월 가계부'!A1914),IF(AND('월 가계부'!A1914&gt;=19000101,'월 가계부'!A1914&lt;=21001231),IF(AND(MOD(INT('월 가계부'!A1914/100),100)&gt;=1,MOD(INT('월 가계부'!A1914/100),100)&lt;=12,MOD(INT('월 가계부'!A1914),100)&gt;=1,MOD(INT('월 가계부'!A1914),100)&lt;=31),IF(MONTH(DATE(INT('월 가계부'!A1914/10000),MOD(INT('월 가계부'!A1914/100),100),MOD(INT('월 가계부'!A1914),100)))=MOD(INT('월 가계부'!A1914/100),100),DATE(INT('월 가계부'!A1914/10000),MOD(INT('월 가계부'!A1914/100),100),MOD(INT('월 가계부'!A1914),100)),""),""),IF(AND('월 가계부'!A1914&gt;=36526,'월 가계부'!A1914&lt;73051),INT('월 가계부'!A1914),"")),IF(OR(CM1914="",CN1914="",CO1914=""),"",IF(AND(CM1914&gt;=2000,CM1914&lt;=2099,CN1914&gt;=1,CN1914&lt;=12,CO1914&gt;=1,CO1914&lt;=31),IF(MONTH(DATE(CM1914,CN1914,CO1914))=CN1914,DATE(CM1914,CN1914,CO1914),""),"")))),"")</f>
        <v/>
      </c>
      <c r="CJ1914">
        <f>IFERROR(IF('월 가계부'!C1914="","",IF(ISNUMBER('월 가계부'!C1914),'월 가계부'!C1914,VALUE(SUBSTITUTE(SUBSTITUTE(SUBSTITUTE(SUBSTITUTE(TRIM('월 가계부'!C1914),",",""),"원","")," ",""),"−","-")))),"")</f>
        <v/>
      </c>
      <c r="CK1914">
        <f>IF(ISNUMBER(CI1914),IF(CI1914&lt;$B$13,CI1914,""),"")</f>
        <v/>
      </c>
      <c r="CM1914">
        <f>IF(CH1914="","",IFERROR(IF(IF(AND(LEN(CH1914)=9,ISERROR(FIND("-",LEFT(CH1914,8))),ISNUMBER(-LEFT(CH1914,8))),VALUE(LEFT(CH1914,4)),VALUE(LEFT(CH1914,FIND("-",CH1914)-1)))&lt;100,IF(AND(LEN(CH1914)=9,ISERROR(FIND("-",LEFT(CH1914,8))),ISNUMBER(-LEFT(CH1914,8))),VALUE(LEFT(CH1914,4)),VALUE(LEFT(CH1914,FIND("-",CH1914)-1)))+2000,IF(AND(LEN(CH1914)=9,ISERROR(FIND("-",LEFT(CH1914,8))),ISNUMBER(-LEFT(CH1914,8))),VALUE(LEFT(CH1914,4)),VALUE(LEFT(CH1914,FIND("-",CH1914)-1)))),""))</f>
        <v/>
      </c>
      <c r="CN1914">
        <f>IF(CH1914="","",IFERROR(IF(AND(LEN(CH1914)=9,ISERROR(FIND("-",LEFT(CH1914,8))),ISNUMBER(-LEFT(CH1914,8))),VALUE(MID(CH1914,5,2)),VALUE(MID(CH1914,FIND("-",CH1914)+1,FIND("-",CH1914,FIND("-",CH1914)+1)-FIND("-",CH1914)-1))),""))</f>
        <v/>
      </c>
      <c r="CO1914">
        <f>IF(CH1914="","",IFERROR(IF(AND(LEN(CH1914)=9,ISERROR(FIND("-",LEFT(CH1914,8))),ISNUMBER(-LEFT(CH1914,8))),VALUE(MID(CH1914,7,2)),VALUE(MID(CH1914,FIND("-",CH1914,FIND("-",CH1914)+1)+1,FIND("-",CH1914,FIND("-",CH1914,FIND("-",CH1914)+1)+1)-FIND("-",CH1914,FIND("-",CH1914)+1)-1))),""))</f>
        <v/>
      </c>
    </row>
    <row r="1915">
      <c r="CH1915">
        <f>IF(ISTEXT('월 가계부'!A1915),SUBSTITUTE(SUBSTITUTE(SUBSTITUTE(SUBSTITUTE(SUBSTITUTE(SUBSTITUTE(SUBSTITUTE(SUBSTITUTE(SUBSTITUTE(TRIM('월 가계부'!A1915),"년","-"),"월","-"),"일",""),".","-"),"/","-")," ","-"),"--","-"),"--","-"),"--","-")&amp;"-","")</f>
        <v/>
      </c>
      <c r="CI1915">
        <f>IFERROR(IF('월 가계부'!A1915="","",IF(ISNUMBER('월 가계부'!A1915),IF(AND('월 가계부'!A1915&gt;=19000101,'월 가계부'!A1915&lt;=21001231),IF(AND(MOD(INT('월 가계부'!A1915/100),100)&gt;=1,MOD(INT('월 가계부'!A1915/100),100)&lt;=12,MOD(INT('월 가계부'!A1915),100)&gt;=1,MOD(INT('월 가계부'!A1915),100)&lt;=31),IF(MONTH(DATE(INT('월 가계부'!A1915/10000),MOD(INT('월 가계부'!A1915/100),100),MOD(INT('월 가계부'!A1915),100)))=MOD(INT('월 가계부'!A1915/100),100),DATE(INT('월 가계부'!A1915/10000),MOD(INT('월 가계부'!A1915/100),100),MOD(INT('월 가계부'!A1915),100)),""),""),IF(AND('월 가계부'!A1915&gt;=36526,'월 가계부'!A1915&lt;73051),INT('월 가계부'!A1915),"")),IF(OR(CM1915="",CN1915="",CO1915=""),"",IF(AND(CM1915&gt;=2000,CM1915&lt;=2099,CN1915&gt;=1,CN1915&lt;=12,CO1915&gt;=1,CO1915&lt;=31),IF(MONTH(DATE(CM1915,CN1915,CO1915))=CN1915,DATE(CM1915,CN1915,CO1915),""),"")))),"")</f>
        <v/>
      </c>
      <c r="CJ1915">
        <f>IFERROR(IF('월 가계부'!C1915="","",IF(ISNUMBER('월 가계부'!C1915),'월 가계부'!C1915,VALUE(SUBSTITUTE(SUBSTITUTE(SUBSTITUTE(SUBSTITUTE(TRIM('월 가계부'!C1915),",",""),"원","")," ",""),"−","-")))),"")</f>
        <v/>
      </c>
      <c r="CK1915">
        <f>IF(ISNUMBER(CI1915),IF(CI1915&lt;$B$13,CI1915,""),"")</f>
        <v/>
      </c>
      <c r="CM1915">
        <f>IF(CH1915="","",IFERROR(IF(IF(AND(LEN(CH1915)=9,ISERROR(FIND("-",LEFT(CH1915,8))),ISNUMBER(-LEFT(CH1915,8))),VALUE(LEFT(CH1915,4)),VALUE(LEFT(CH1915,FIND("-",CH1915)-1)))&lt;100,IF(AND(LEN(CH1915)=9,ISERROR(FIND("-",LEFT(CH1915,8))),ISNUMBER(-LEFT(CH1915,8))),VALUE(LEFT(CH1915,4)),VALUE(LEFT(CH1915,FIND("-",CH1915)-1)))+2000,IF(AND(LEN(CH1915)=9,ISERROR(FIND("-",LEFT(CH1915,8))),ISNUMBER(-LEFT(CH1915,8))),VALUE(LEFT(CH1915,4)),VALUE(LEFT(CH1915,FIND("-",CH1915)-1)))),""))</f>
        <v/>
      </c>
      <c r="CN1915">
        <f>IF(CH1915="","",IFERROR(IF(AND(LEN(CH1915)=9,ISERROR(FIND("-",LEFT(CH1915,8))),ISNUMBER(-LEFT(CH1915,8))),VALUE(MID(CH1915,5,2)),VALUE(MID(CH1915,FIND("-",CH1915)+1,FIND("-",CH1915,FIND("-",CH1915)+1)-FIND("-",CH1915)-1))),""))</f>
        <v/>
      </c>
      <c r="CO1915">
        <f>IF(CH1915="","",IFERROR(IF(AND(LEN(CH1915)=9,ISERROR(FIND("-",LEFT(CH1915,8))),ISNUMBER(-LEFT(CH1915,8))),VALUE(MID(CH1915,7,2)),VALUE(MID(CH1915,FIND("-",CH1915,FIND("-",CH1915)+1)+1,FIND("-",CH1915,FIND("-",CH1915,FIND("-",CH1915)+1)+1)-FIND("-",CH1915,FIND("-",CH1915)+1)-1))),""))</f>
        <v/>
      </c>
    </row>
    <row r="1916">
      <c r="CH1916">
        <f>IF(ISTEXT('월 가계부'!A1916),SUBSTITUTE(SUBSTITUTE(SUBSTITUTE(SUBSTITUTE(SUBSTITUTE(SUBSTITUTE(SUBSTITUTE(SUBSTITUTE(SUBSTITUTE(TRIM('월 가계부'!A1916),"년","-"),"월","-"),"일",""),".","-"),"/","-")," ","-"),"--","-"),"--","-"),"--","-")&amp;"-","")</f>
        <v/>
      </c>
      <c r="CI1916">
        <f>IFERROR(IF('월 가계부'!A1916="","",IF(ISNUMBER('월 가계부'!A1916),IF(AND('월 가계부'!A1916&gt;=19000101,'월 가계부'!A1916&lt;=21001231),IF(AND(MOD(INT('월 가계부'!A1916/100),100)&gt;=1,MOD(INT('월 가계부'!A1916/100),100)&lt;=12,MOD(INT('월 가계부'!A1916),100)&gt;=1,MOD(INT('월 가계부'!A1916),100)&lt;=31),IF(MONTH(DATE(INT('월 가계부'!A1916/10000),MOD(INT('월 가계부'!A1916/100),100),MOD(INT('월 가계부'!A1916),100)))=MOD(INT('월 가계부'!A1916/100),100),DATE(INT('월 가계부'!A1916/10000),MOD(INT('월 가계부'!A1916/100),100),MOD(INT('월 가계부'!A1916),100)),""),""),IF(AND('월 가계부'!A1916&gt;=36526,'월 가계부'!A1916&lt;73051),INT('월 가계부'!A1916),"")),IF(OR(CM1916="",CN1916="",CO1916=""),"",IF(AND(CM1916&gt;=2000,CM1916&lt;=2099,CN1916&gt;=1,CN1916&lt;=12,CO1916&gt;=1,CO1916&lt;=31),IF(MONTH(DATE(CM1916,CN1916,CO1916))=CN1916,DATE(CM1916,CN1916,CO1916),""),"")))),"")</f>
        <v/>
      </c>
      <c r="CJ1916">
        <f>IFERROR(IF('월 가계부'!C1916="","",IF(ISNUMBER('월 가계부'!C1916),'월 가계부'!C1916,VALUE(SUBSTITUTE(SUBSTITUTE(SUBSTITUTE(SUBSTITUTE(TRIM('월 가계부'!C1916),",",""),"원","")," ",""),"−","-")))),"")</f>
        <v/>
      </c>
      <c r="CK1916">
        <f>IF(ISNUMBER(CI1916),IF(CI1916&lt;$B$13,CI1916,""),"")</f>
        <v/>
      </c>
      <c r="CM1916">
        <f>IF(CH1916="","",IFERROR(IF(IF(AND(LEN(CH1916)=9,ISERROR(FIND("-",LEFT(CH1916,8))),ISNUMBER(-LEFT(CH1916,8))),VALUE(LEFT(CH1916,4)),VALUE(LEFT(CH1916,FIND("-",CH1916)-1)))&lt;100,IF(AND(LEN(CH1916)=9,ISERROR(FIND("-",LEFT(CH1916,8))),ISNUMBER(-LEFT(CH1916,8))),VALUE(LEFT(CH1916,4)),VALUE(LEFT(CH1916,FIND("-",CH1916)-1)))+2000,IF(AND(LEN(CH1916)=9,ISERROR(FIND("-",LEFT(CH1916,8))),ISNUMBER(-LEFT(CH1916,8))),VALUE(LEFT(CH1916,4)),VALUE(LEFT(CH1916,FIND("-",CH1916)-1)))),""))</f>
        <v/>
      </c>
      <c r="CN1916">
        <f>IF(CH1916="","",IFERROR(IF(AND(LEN(CH1916)=9,ISERROR(FIND("-",LEFT(CH1916,8))),ISNUMBER(-LEFT(CH1916,8))),VALUE(MID(CH1916,5,2)),VALUE(MID(CH1916,FIND("-",CH1916)+1,FIND("-",CH1916,FIND("-",CH1916)+1)-FIND("-",CH1916)-1))),""))</f>
        <v/>
      </c>
      <c r="CO1916">
        <f>IF(CH1916="","",IFERROR(IF(AND(LEN(CH1916)=9,ISERROR(FIND("-",LEFT(CH1916,8))),ISNUMBER(-LEFT(CH1916,8))),VALUE(MID(CH1916,7,2)),VALUE(MID(CH1916,FIND("-",CH1916,FIND("-",CH1916)+1)+1,FIND("-",CH1916,FIND("-",CH1916,FIND("-",CH1916)+1)+1)-FIND("-",CH1916,FIND("-",CH1916)+1)-1))),""))</f>
        <v/>
      </c>
    </row>
    <row r="1917">
      <c r="CH1917">
        <f>IF(ISTEXT('월 가계부'!A1917),SUBSTITUTE(SUBSTITUTE(SUBSTITUTE(SUBSTITUTE(SUBSTITUTE(SUBSTITUTE(SUBSTITUTE(SUBSTITUTE(SUBSTITUTE(TRIM('월 가계부'!A1917),"년","-"),"월","-"),"일",""),".","-"),"/","-")," ","-"),"--","-"),"--","-"),"--","-")&amp;"-","")</f>
        <v/>
      </c>
      <c r="CI1917">
        <f>IFERROR(IF('월 가계부'!A1917="","",IF(ISNUMBER('월 가계부'!A1917),IF(AND('월 가계부'!A1917&gt;=19000101,'월 가계부'!A1917&lt;=21001231),IF(AND(MOD(INT('월 가계부'!A1917/100),100)&gt;=1,MOD(INT('월 가계부'!A1917/100),100)&lt;=12,MOD(INT('월 가계부'!A1917),100)&gt;=1,MOD(INT('월 가계부'!A1917),100)&lt;=31),IF(MONTH(DATE(INT('월 가계부'!A1917/10000),MOD(INT('월 가계부'!A1917/100),100),MOD(INT('월 가계부'!A1917),100)))=MOD(INT('월 가계부'!A1917/100),100),DATE(INT('월 가계부'!A1917/10000),MOD(INT('월 가계부'!A1917/100),100),MOD(INT('월 가계부'!A1917),100)),""),""),IF(AND('월 가계부'!A1917&gt;=36526,'월 가계부'!A1917&lt;73051),INT('월 가계부'!A1917),"")),IF(OR(CM1917="",CN1917="",CO1917=""),"",IF(AND(CM1917&gt;=2000,CM1917&lt;=2099,CN1917&gt;=1,CN1917&lt;=12,CO1917&gt;=1,CO1917&lt;=31),IF(MONTH(DATE(CM1917,CN1917,CO1917))=CN1917,DATE(CM1917,CN1917,CO1917),""),"")))),"")</f>
        <v/>
      </c>
      <c r="CJ1917">
        <f>IFERROR(IF('월 가계부'!C1917="","",IF(ISNUMBER('월 가계부'!C1917),'월 가계부'!C1917,VALUE(SUBSTITUTE(SUBSTITUTE(SUBSTITUTE(SUBSTITUTE(TRIM('월 가계부'!C1917),",",""),"원","")," ",""),"−","-")))),"")</f>
        <v/>
      </c>
      <c r="CK1917">
        <f>IF(ISNUMBER(CI1917),IF(CI1917&lt;$B$13,CI1917,""),"")</f>
        <v/>
      </c>
      <c r="CM1917">
        <f>IF(CH1917="","",IFERROR(IF(IF(AND(LEN(CH1917)=9,ISERROR(FIND("-",LEFT(CH1917,8))),ISNUMBER(-LEFT(CH1917,8))),VALUE(LEFT(CH1917,4)),VALUE(LEFT(CH1917,FIND("-",CH1917)-1)))&lt;100,IF(AND(LEN(CH1917)=9,ISERROR(FIND("-",LEFT(CH1917,8))),ISNUMBER(-LEFT(CH1917,8))),VALUE(LEFT(CH1917,4)),VALUE(LEFT(CH1917,FIND("-",CH1917)-1)))+2000,IF(AND(LEN(CH1917)=9,ISERROR(FIND("-",LEFT(CH1917,8))),ISNUMBER(-LEFT(CH1917,8))),VALUE(LEFT(CH1917,4)),VALUE(LEFT(CH1917,FIND("-",CH1917)-1)))),""))</f>
        <v/>
      </c>
      <c r="CN1917">
        <f>IF(CH1917="","",IFERROR(IF(AND(LEN(CH1917)=9,ISERROR(FIND("-",LEFT(CH1917,8))),ISNUMBER(-LEFT(CH1917,8))),VALUE(MID(CH1917,5,2)),VALUE(MID(CH1917,FIND("-",CH1917)+1,FIND("-",CH1917,FIND("-",CH1917)+1)-FIND("-",CH1917)-1))),""))</f>
        <v/>
      </c>
      <c r="CO1917">
        <f>IF(CH1917="","",IFERROR(IF(AND(LEN(CH1917)=9,ISERROR(FIND("-",LEFT(CH1917,8))),ISNUMBER(-LEFT(CH1917,8))),VALUE(MID(CH1917,7,2)),VALUE(MID(CH1917,FIND("-",CH1917,FIND("-",CH1917)+1)+1,FIND("-",CH1917,FIND("-",CH1917,FIND("-",CH1917)+1)+1)-FIND("-",CH1917,FIND("-",CH1917)+1)-1))),""))</f>
        <v/>
      </c>
    </row>
    <row r="1918">
      <c r="CH1918">
        <f>IF(ISTEXT('월 가계부'!A1918),SUBSTITUTE(SUBSTITUTE(SUBSTITUTE(SUBSTITUTE(SUBSTITUTE(SUBSTITUTE(SUBSTITUTE(SUBSTITUTE(SUBSTITUTE(TRIM('월 가계부'!A1918),"년","-"),"월","-"),"일",""),".","-"),"/","-")," ","-"),"--","-"),"--","-"),"--","-")&amp;"-","")</f>
        <v/>
      </c>
      <c r="CI1918">
        <f>IFERROR(IF('월 가계부'!A1918="","",IF(ISNUMBER('월 가계부'!A1918),IF(AND('월 가계부'!A1918&gt;=19000101,'월 가계부'!A1918&lt;=21001231),IF(AND(MOD(INT('월 가계부'!A1918/100),100)&gt;=1,MOD(INT('월 가계부'!A1918/100),100)&lt;=12,MOD(INT('월 가계부'!A1918),100)&gt;=1,MOD(INT('월 가계부'!A1918),100)&lt;=31),IF(MONTH(DATE(INT('월 가계부'!A1918/10000),MOD(INT('월 가계부'!A1918/100),100),MOD(INT('월 가계부'!A1918),100)))=MOD(INT('월 가계부'!A1918/100),100),DATE(INT('월 가계부'!A1918/10000),MOD(INT('월 가계부'!A1918/100),100),MOD(INT('월 가계부'!A1918),100)),""),""),IF(AND('월 가계부'!A1918&gt;=36526,'월 가계부'!A1918&lt;73051),INT('월 가계부'!A1918),"")),IF(OR(CM1918="",CN1918="",CO1918=""),"",IF(AND(CM1918&gt;=2000,CM1918&lt;=2099,CN1918&gt;=1,CN1918&lt;=12,CO1918&gt;=1,CO1918&lt;=31),IF(MONTH(DATE(CM1918,CN1918,CO1918))=CN1918,DATE(CM1918,CN1918,CO1918),""),"")))),"")</f>
        <v/>
      </c>
      <c r="CJ1918">
        <f>IFERROR(IF('월 가계부'!C1918="","",IF(ISNUMBER('월 가계부'!C1918),'월 가계부'!C1918,VALUE(SUBSTITUTE(SUBSTITUTE(SUBSTITUTE(SUBSTITUTE(TRIM('월 가계부'!C1918),",",""),"원","")," ",""),"−","-")))),"")</f>
        <v/>
      </c>
      <c r="CK1918">
        <f>IF(ISNUMBER(CI1918),IF(CI1918&lt;$B$13,CI1918,""),"")</f>
        <v/>
      </c>
      <c r="CM1918">
        <f>IF(CH1918="","",IFERROR(IF(IF(AND(LEN(CH1918)=9,ISERROR(FIND("-",LEFT(CH1918,8))),ISNUMBER(-LEFT(CH1918,8))),VALUE(LEFT(CH1918,4)),VALUE(LEFT(CH1918,FIND("-",CH1918)-1)))&lt;100,IF(AND(LEN(CH1918)=9,ISERROR(FIND("-",LEFT(CH1918,8))),ISNUMBER(-LEFT(CH1918,8))),VALUE(LEFT(CH1918,4)),VALUE(LEFT(CH1918,FIND("-",CH1918)-1)))+2000,IF(AND(LEN(CH1918)=9,ISERROR(FIND("-",LEFT(CH1918,8))),ISNUMBER(-LEFT(CH1918,8))),VALUE(LEFT(CH1918,4)),VALUE(LEFT(CH1918,FIND("-",CH1918)-1)))),""))</f>
        <v/>
      </c>
      <c r="CN1918">
        <f>IF(CH1918="","",IFERROR(IF(AND(LEN(CH1918)=9,ISERROR(FIND("-",LEFT(CH1918,8))),ISNUMBER(-LEFT(CH1918,8))),VALUE(MID(CH1918,5,2)),VALUE(MID(CH1918,FIND("-",CH1918)+1,FIND("-",CH1918,FIND("-",CH1918)+1)-FIND("-",CH1918)-1))),""))</f>
        <v/>
      </c>
      <c r="CO1918">
        <f>IF(CH1918="","",IFERROR(IF(AND(LEN(CH1918)=9,ISERROR(FIND("-",LEFT(CH1918,8))),ISNUMBER(-LEFT(CH1918,8))),VALUE(MID(CH1918,7,2)),VALUE(MID(CH1918,FIND("-",CH1918,FIND("-",CH1918)+1)+1,FIND("-",CH1918,FIND("-",CH1918,FIND("-",CH1918)+1)+1)-FIND("-",CH1918,FIND("-",CH1918)+1)-1))),""))</f>
        <v/>
      </c>
    </row>
    <row r="1919">
      <c r="CH1919">
        <f>IF(ISTEXT('월 가계부'!A1919),SUBSTITUTE(SUBSTITUTE(SUBSTITUTE(SUBSTITUTE(SUBSTITUTE(SUBSTITUTE(SUBSTITUTE(SUBSTITUTE(SUBSTITUTE(TRIM('월 가계부'!A1919),"년","-"),"월","-"),"일",""),".","-"),"/","-")," ","-"),"--","-"),"--","-"),"--","-")&amp;"-","")</f>
        <v/>
      </c>
      <c r="CI1919">
        <f>IFERROR(IF('월 가계부'!A1919="","",IF(ISNUMBER('월 가계부'!A1919),IF(AND('월 가계부'!A1919&gt;=19000101,'월 가계부'!A1919&lt;=21001231),IF(AND(MOD(INT('월 가계부'!A1919/100),100)&gt;=1,MOD(INT('월 가계부'!A1919/100),100)&lt;=12,MOD(INT('월 가계부'!A1919),100)&gt;=1,MOD(INT('월 가계부'!A1919),100)&lt;=31),IF(MONTH(DATE(INT('월 가계부'!A1919/10000),MOD(INT('월 가계부'!A1919/100),100),MOD(INT('월 가계부'!A1919),100)))=MOD(INT('월 가계부'!A1919/100),100),DATE(INT('월 가계부'!A1919/10000),MOD(INT('월 가계부'!A1919/100),100),MOD(INT('월 가계부'!A1919),100)),""),""),IF(AND('월 가계부'!A1919&gt;=36526,'월 가계부'!A1919&lt;73051),INT('월 가계부'!A1919),"")),IF(OR(CM1919="",CN1919="",CO1919=""),"",IF(AND(CM1919&gt;=2000,CM1919&lt;=2099,CN1919&gt;=1,CN1919&lt;=12,CO1919&gt;=1,CO1919&lt;=31),IF(MONTH(DATE(CM1919,CN1919,CO1919))=CN1919,DATE(CM1919,CN1919,CO1919),""),"")))),"")</f>
        <v/>
      </c>
      <c r="CJ1919">
        <f>IFERROR(IF('월 가계부'!C1919="","",IF(ISNUMBER('월 가계부'!C1919),'월 가계부'!C1919,VALUE(SUBSTITUTE(SUBSTITUTE(SUBSTITUTE(SUBSTITUTE(TRIM('월 가계부'!C1919),",",""),"원","")," ",""),"−","-")))),"")</f>
        <v/>
      </c>
      <c r="CK1919">
        <f>IF(ISNUMBER(CI1919),IF(CI1919&lt;$B$13,CI1919,""),"")</f>
        <v/>
      </c>
      <c r="CM1919">
        <f>IF(CH1919="","",IFERROR(IF(IF(AND(LEN(CH1919)=9,ISERROR(FIND("-",LEFT(CH1919,8))),ISNUMBER(-LEFT(CH1919,8))),VALUE(LEFT(CH1919,4)),VALUE(LEFT(CH1919,FIND("-",CH1919)-1)))&lt;100,IF(AND(LEN(CH1919)=9,ISERROR(FIND("-",LEFT(CH1919,8))),ISNUMBER(-LEFT(CH1919,8))),VALUE(LEFT(CH1919,4)),VALUE(LEFT(CH1919,FIND("-",CH1919)-1)))+2000,IF(AND(LEN(CH1919)=9,ISERROR(FIND("-",LEFT(CH1919,8))),ISNUMBER(-LEFT(CH1919,8))),VALUE(LEFT(CH1919,4)),VALUE(LEFT(CH1919,FIND("-",CH1919)-1)))),""))</f>
        <v/>
      </c>
      <c r="CN1919">
        <f>IF(CH1919="","",IFERROR(IF(AND(LEN(CH1919)=9,ISERROR(FIND("-",LEFT(CH1919,8))),ISNUMBER(-LEFT(CH1919,8))),VALUE(MID(CH1919,5,2)),VALUE(MID(CH1919,FIND("-",CH1919)+1,FIND("-",CH1919,FIND("-",CH1919)+1)-FIND("-",CH1919)-1))),""))</f>
        <v/>
      </c>
      <c r="CO1919">
        <f>IF(CH1919="","",IFERROR(IF(AND(LEN(CH1919)=9,ISERROR(FIND("-",LEFT(CH1919,8))),ISNUMBER(-LEFT(CH1919,8))),VALUE(MID(CH1919,7,2)),VALUE(MID(CH1919,FIND("-",CH1919,FIND("-",CH1919)+1)+1,FIND("-",CH1919,FIND("-",CH1919,FIND("-",CH1919)+1)+1)-FIND("-",CH1919,FIND("-",CH1919)+1)-1))),""))</f>
        <v/>
      </c>
    </row>
    <row r="1920">
      <c r="CH1920">
        <f>IF(ISTEXT('월 가계부'!A1920),SUBSTITUTE(SUBSTITUTE(SUBSTITUTE(SUBSTITUTE(SUBSTITUTE(SUBSTITUTE(SUBSTITUTE(SUBSTITUTE(SUBSTITUTE(TRIM('월 가계부'!A1920),"년","-"),"월","-"),"일",""),".","-"),"/","-")," ","-"),"--","-"),"--","-"),"--","-")&amp;"-","")</f>
        <v/>
      </c>
      <c r="CI1920">
        <f>IFERROR(IF('월 가계부'!A1920="","",IF(ISNUMBER('월 가계부'!A1920),IF(AND('월 가계부'!A1920&gt;=19000101,'월 가계부'!A1920&lt;=21001231),IF(AND(MOD(INT('월 가계부'!A1920/100),100)&gt;=1,MOD(INT('월 가계부'!A1920/100),100)&lt;=12,MOD(INT('월 가계부'!A1920),100)&gt;=1,MOD(INT('월 가계부'!A1920),100)&lt;=31),IF(MONTH(DATE(INT('월 가계부'!A1920/10000),MOD(INT('월 가계부'!A1920/100),100),MOD(INT('월 가계부'!A1920),100)))=MOD(INT('월 가계부'!A1920/100),100),DATE(INT('월 가계부'!A1920/10000),MOD(INT('월 가계부'!A1920/100),100),MOD(INT('월 가계부'!A1920),100)),""),""),IF(AND('월 가계부'!A1920&gt;=36526,'월 가계부'!A1920&lt;73051),INT('월 가계부'!A1920),"")),IF(OR(CM1920="",CN1920="",CO1920=""),"",IF(AND(CM1920&gt;=2000,CM1920&lt;=2099,CN1920&gt;=1,CN1920&lt;=12,CO1920&gt;=1,CO1920&lt;=31),IF(MONTH(DATE(CM1920,CN1920,CO1920))=CN1920,DATE(CM1920,CN1920,CO1920),""),"")))),"")</f>
        <v/>
      </c>
      <c r="CJ1920">
        <f>IFERROR(IF('월 가계부'!C1920="","",IF(ISNUMBER('월 가계부'!C1920),'월 가계부'!C1920,VALUE(SUBSTITUTE(SUBSTITUTE(SUBSTITUTE(SUBSTITUTE(TRIM('월 가계부'!C1920),",",""),"원","")," ",""),"−","-")))),"")</f>
        <v/>
      </c>
      <c r="CK1920">
        <f>IF(ISNUMBER(CI1920),IF(CI1920&lt;$B$13,CI1920,""),"")</f>
        <v/>
      </c>
      <c r="CM1920">
        <f>IF(CH1920="","",IFERROR(IF(IF(AND(LEN(CH1920)=9,ISERROR(FIND("-",LEFT(CH1920,8))),ISNUMBER(-LEFT(CH1920,8))),VALUE(LEFT(CH1920,4)),VALUE(LEFT(CH1920,FIND("-",CH1920)-1)))&lt;100,IF(AND(LEN(CH1920)=9,ISERROR(FIND("-",LEFT(CH1920,8))),ISNUMBER(-LEFT(CH1920,8))),VALUE(LEFT(CH1920,4)),VALUE(LEFT(CH1920,FIND("-",CH1920)-1)))+2000,IF(AND(LEN(CH1920)=9,ISERROR(FIND("-",LEFT(CH1920,8))),ISNUMBER(-LEFT(CH1920,8))),VALUE(LEFT(CH1920,4)),VALUE(LEFT(CH1920,FIND("-",CH1920)-1)))),""))</f>
        <v/>
      </c>
      <c r="CN1920">
        <f>IF(CH1920="","",IFERROR(IF(AND(LEN(CH1920)=9,ISERROR(FIND("-",LEFT(CH1920,8))),ISNUMBER(-LEFT(CH1920,8))),VALUE(MID(CH1920,5,2)),VALUE(MID(CH1920,FIND("-",CH1920)+1,FIND("-",CH1920,FIND("-",CH1920)+1)-FIND("-",CH1920)-1))),""))</f>
        <v/>
      </c>
      <c r="CO1920">
        <f>IF(CH1920="","",IFERROR(IF(AND(LEN(CH1920)=9,ISERROR(FIND("-",LEFT(CH1920,8))),ISNUMBER(-LEFT(CH1920,8))),VALUE(MID(CH1920,7,2)),VALUE(MID(CH1920,FIND("-",CH1920,FIND("-",CH1920)+1)+1,FIND("-",CH1920,FIND("-",CH1920,FIND("-",CH1920)+1)+1)-FIND("-",CH1920,FIND("-",CH1920)+1)-1))),""))</f>
        <v/>
      </c>
    </row>
    <row r="1921">
      <c r="CH1921">
        <f>IF(ISTEXT('월 가계부'!A1921),SUBSTITUTE(SUBSTITUTE(SUBSTITUTE(SUBSTITUTE(SUBSTITUTE(SUBSTITUTE(SUBSTITUTE(SUBSTITUTE(SUBSTITUTE(TRIM('월 가계부'!A1921),"년","-"),"월","-"),"일",""),".","-"),"/","-")," ","-"),"--","-"),"--","-"),"--","-")&amp;"-","")</f>
        <v/>
      </c>
      <c r="CI1921">
        <f>IFERROR(IF('월 가계부'!A1921="","",IF(ISNUMBER('월 가계부'!A1921),IF(AND('월 가계부'!A1921&gt;=19000101,'월 가계부'!A1921&lt;=21001231),IF(AND(MOD(INT('월 가계부'!A1921/100),100)&gt;=1,MOD(INT('월 가계부'!A1921/100),100)&lt;=12,MOD(INT('월 가계부'!A1921),100)&gt;=1,MOD(INT('월 가계부'!A1921),100)&lt;=31),IF(MONTH(DATE(INT('월 가계부'!A1921/10000),MOD(INT('월 가계부'!A1921/100),100),MOD(INT('월 가계부'!A1921),100)))=MOD(INT('월 가계부'!A1921/100),100),DATE(INT('월 가계부'!A1921/10000),MOD(INT('월 가계부'!A1921/100),100),MOD(INT('월 가계부'!A1921),100)),""),""),IF(AND('월 가계부'!A1921&gt;=36526,'월 가계부'!A1921&lt;73051),INT('월 가계부'!A1921),"")),IF(OR(CM1921="",CN1921="",CO1921=""),"",IF(AND(CM1921&gt;=2000,CM1921&lt;=2099,CN1921&gt;=1,CN1921&lt;=12,CO1921&gt;=1,CO1921&lt;=31),IF(MONTH(DATE(CM1921,CN1921,CO1921))=CN1921,DATE(CM1921,CN1921,CO1921),""),"")))),"")</f>
        <v/>
      </c>
      <c r="CJ1921">
        <f>IFERROR(IF('월 가계부'!C1921="","",IF(ISNUMBER('월 가계부'!C1921),'월 가계부'!C1921,VALUE(SUBSTITUTE(SUBSTITUTE(SUBSTITUTE(SUBSTITUTE(TRIM('월 가계부'!C1921),",",""),"원","")," ",""),"−","-")))),"")</f>
        <v/>
      </c>
      <c r="CK1921">
        <f>IF(ISNUMBER(CI1921),IF(CI1921&lt;$B$13,CI1921,""),"")</f>
        <v/>
      </c>
      <c r="CM1921">
        <f>IF(CH1921="","",IFERROR(IF(IF(AND(LEN(CH1921)=9,ISERROR(FIND("-",LEFT(CH1921,8))),ISNUMBER(-LEFT(CH1921,8))),VALUE(LEFT(CH1921,4)),VALUE(LEFT(CH1921,FIND("-",CH1921)-1)))&lt;100,IF(AND(LEN(CH1921)=9,ISERROR(FIND("-",LEFT(CH1921,8))),ISNUMBER(-LEFT(CH1921,8))),VALUE(LEFT(CH1921,4)),VALUE(LEFT(CH1921,FIND("-",CH1921)-1)))+2000,IF(AND(LEN(CH1921)=9,ISERROR(FIND("-",LEFT(CH1921,8))),ISNUMBER(-LEFT(CH1921,8))),VALUE(LEFT(CH1921,4)),VALUE(LEFT(CH1921,FIND("-",CH1921)-1)))),""))</f>
        <v/>
      </c>
      <c r="CN1921">
        <f>IF(CH1921="","",IFERROR(IF(AND(LEN(CH1921)=9,ISERROR(FIND("-",LEFT(CH1921,8))),ISNUMBER(-LEFT(CH1921,8))),VALUE(MID(CH1921,5,2)),VALUE(MID(CH1921,FIND("-",CH1921)+1,FIND("-",CH1921,FIND("-",CH1921)+1)-FIND("-",CH1921)-1))),""))</f>
        <v/>
      </c>
      <c r="CO1921">
        <f>IF(CH1921="","",IFERROR(IF(AND(LEN(CH1921)=9,ISERROR(FIND("-",LEFT(CH1921,8))),ISNUMBER(-LEFT(CH1921,8))),VALUE(MID(CH1921,7,2)),VALUE(MID(CH1921,FIND("-",CH1921,FIND("-",CH1921)+1)+1,FIND("-",CH1921,FIND("-",CH1921,FIND("-",CH1921)+1)+1)-FIND("-",CH1921,FIND("-",CH1921)+1)-1))),""))</f>
        <v/>
      </c>
    </row>
    <row r="1922">
      <c r="CH1922">
        <f>IF(ISTEXT('월 가계부'!A1922),SUBSTITUTE(SUBSTITUTE(SUBSTITUTE(SUBSTITUTE(SUBSTITUTE(SUBSTITUTE(SUBSTITUTE(SUBSTITUTE(SUBSTITUTE(TRIM('월 가계부'!A1922),"년","-"),"월","-"),"일",""),".","-"),"/","-")," ","-"),"--","-"),"--","-"),"--","-")&amp;"-","")</f>
        <v/>
      </c>
      <c r="CI1922">
        <f>IFERROR(IF('월 가계부'!A1922="","",IF(ISNUMBER('월 가계부'!A1922),IF(AND('월 가계부'!A1922&gt;=19000101,'월 가계부'!A1922&lt;=21001231),IF(AND(MOD(INT('월 가계부'!A1922/100),100)&gt;=1,MOD(INT('월 가계부'!A1922/100),100)&lt;=12,MOD(INT('월 가계부'!A1922),100)&gt;=1,MOD(INT('월 가계부'!A1922),100)&lt;=31),IF(MONTH(DATE(INT('월 가계부'!A1922/10000),MOD(INT('월 가계부'!A1922/100),100),MOD(INT('월 가계부'!A1922),100)))=MOD(INT('월 가계부'!A1922/100),100),DATE(INT('월 가계부'!A1922/10000),MOD(INT('월 가계부'!A1922/100),100),MOD(INT('월 가계부'!A1922),100)),""),""),IF(AND('월 가계부'!A1922&gt;=36526,'월 가계부'!A1922&lt;73051),INT('월 가계부'!A1922),"")),IF(OR(CM1922="",CN1922="",CO1922=""),"",IF(AND(CM1922&gt;=2000,CM1922&lt;=2099,CN1922&gt;=1,CN1922&lt;=12,CO1922&gt;=1,CO1922&lt;=31),IF(MONTH(DATE(CM1922,CN1922,CO1922))=CN1922,DATE(CM1922,CN1922,CO1922),""),"")))),"")</f>
        <v/>
      </c>
      <c r="CJ1922">
        <f>IFERROR(IF('월 가계부'!C1922="","",IF(ISNUMBER('월 가계부'!C1922),'월 가계부'!C1922,VALUE(SUBSTITUTE(SUBSTITUTE(SUBSTITUTE(SUBSTITUTE(TRIM('월 가계부'!C1922),",",""),"원","")," ",""),"−","-")))),"")</f>
        <v/>
      </c>
      <c r="CK1922">
        <f>IF(ISNUMBER(CI1922),IF(CI1922&lt;$B$13,CI1922,""),"")</f>
        <v/>
      </c>
      <c r="CM1922">
        <f>IF(CH1922="","",IFERROR(IF(IF(AND(LEN(CH1922)=9,ISERROR(FIND("-",LEFT(CH1922,8))),ISNUMBER(-LEFT(CH1922,8))),VALUE(LEFT(CH1922,4)),VALUE(LEFT(CH1922,FIND("-",CH1922)-1)))&lt;100,IF(AND(LEN(CH1922)=9,ISERROR(FIND("-",LEFT(CH1922,8))),ISNUMBER(-LEFT(CH1922,8))),VALUE(LEFT(CH1922,4)),VALUE(LEFT(CH1922,FIND("-",CH1922)-1)))+2000,IF(AND(LEN(CH1922)=9,ISERROR(FIND("-",LEFT(CH1922,8))),ISNUMBER(-LEFT(CH1922,8))),VALUE(LEFT(CH1922,4)),VALUE(LEFT(CH1922,FIND("-",CH1922)-1)))),""))</f>
        <v/>
      </c>
      <c r="CN1922">
        <f>IF(CH1922="","",IFERROR(IF(AND(LEN(CH1922)=9,ISERROR(FIND("-",LEFT(CH1922,8))),ISNUMBER(-LEFT(CH1922,8))),VALUE(MID(CH1922,5,2)),VALUE(MID(CH1922,FIND("-",CH1922)+1,FIND("-",CH1922,FIND("-",CH1922)+1)-FIND("-",CH1922)-1))),""))</f>
        <v/>
      </c>
      <c r="CO1922">
        <f>IF(CH1922="","",IFERROR(IF(AND(LEN(CH1922)=9,ISERROR(FIND("-",LEFT(CH1922,8))),ISNUMBER(-LEFT(CH1922,8))),VALUE(MID(CH1922,7,2)),VALUE(MID(CH1922,FIND("-",CH1922,FIND("-",CH1922)+1)+1,FIND("-",CH1922,FIND("-",CH1922,FIND("-",CH1922)+1)+1)-FIND("-",CH1922,FIND("-",CH1922)+1)-1))),""))</f>
        <v/>
      </c>
    </row>
    <row r="1923">
      <c r="CH1923">
        <f>IF(ISTEXT('월 가계부'!A1923),SUBSTITUTE(SUBSTITUTE(SUBSTITUTE(SUBSTITUTE(SUBSTITUTE(SUBSTITUTE(SUBSTITUTE(SUBSTITUTE(SUBSTITUTE(TRIM('월 가계부'!A1923),"년","-"),"월","-"),"일",""),".","-"),"/","-")," ","-"),"--","-"),"--","-"),"--","-")&amp;"-","")</f>
        <v/>
      </c>
      <c r="CI1923">
        <f>IFERROR(IF('월 가계부'!A1923="","",IF(ISNUMBER('월 가계부'!A1923),IF(AND('월 가계부'!A1923&gt;=19000101,'월 가계부'!A1923&lt;=21001231),IF(AND(MOD(INT('월 가계부'!A1923/100),100)&gt;=1,MOD(INT('월 가계부'!A1923/100),100)&lt;=12,MOD(INT('월 가계부'!A1923),100)&gt;=1,MOD(INT('월 가계부'!A1923),100)&lt;=31),IF(MONTH(DATE(INT('월 가계부'!A1923/10000),MOD(INT('월 가계부'!A1923/100),100),MOD(INT('월 가계부'!A1923),100)))=MOD(INT('월 가계부'!A1923/100),100),DATE(INT('월 가계부'!A1923/10000),MOD(INT('월 가계부'!A1923/100),100),MOD(INT('월 가계부'!A1923),100)),""),""),IF(AND('월 가계부'!A1923&gt;=36526,'월 가계부'!A1923&lt;73051),INT('월 가계부'!A1923),"")),IF(OR(CM1923="",CN1923="",CO1923=""),"",IF(AND(CM1923&gt;=2000,CM1923&lt;=2099,CN1923&gt;=1,CN1923&lt;=12,CO1923&gt;=1,CO1923&lt;=31),IF(MONTH(DATE(CM1923,CN1923,CO1923))=CN1923,DATE(CM1923,CN1923,CO1923),""),"")))),"")</f>
        <v/>
      </c>
      <c r="CJ1923">
        <f>IFERROR(IF('월 가계부'!C1923="","",IF(ISNUMBER('월 가계부'!C1923),'월 가계부'!C1923,VALUE(SUBSTITUTE(SUBSTITUTE(SUBSTITUTE(SUBSTITUTE(TRIM('월 가계부'!C1923),",",""),"원","")," ",""),"−","-")))),"")</f>
        <v/>
      </c>
      <c r="CK1923">
        <f>IF(ISNUMBER(CI1923),IF(CI1923&lt;$B$13,CI1923,""),"")</f>
        <v/>
      </c>
      <c r="CM1923">
        <f>IF(CH1923="","",IFERROR(IF(IF(AND(LEN(CH1923)=9,ISERROR(FIND("-",LEFT(CH1923,8))),ISNUMBER(-LEFT(CH1923,8))),VALUE(LEFT(CH1923,4)),VALUE(LEFT(CH1923,FIND("-",CH1923)-1)))&lt;100,IF(AND(LEN(CH1923)=9,ISERROR(FIND("-",LEFT(CH1923,8))),ISNUMBER(-LEFT(CH1923,8))),VALUE(LEFT(CH1923,4)),VALUE(LEFT(CH1923,FIND("-",CH1923)-1)))+2000,IF(AND(LEN(CH1923)=9,ISERROR(FIND("-",LEFT(CH1923,8))),ISNUMBER(-LEFT(CH1923,8))),VALUE(LEFT(CH1923,4)),VALUE(LEFT(CH1923,FIND("-",CH1923)-1)))),""))</f>
        <v/>
      </c>
      <c r="CN1923">
        <f>IF(CH1923="","",IFERROR(IF(AND(LEN(CH1923)=9,ISERROR(FIND("-",LEFT(CH1923,8))),ISNUMBER(-LEFT(CH1923,8))),VALUE(MID(CH1923,5,2)),VALUE(MID(CH1923,FIND("-",CH1923)+1,FIND("-",CH1923,FIND("-",CH1923)+1)-FIND("-",CH1923)-1))),""))</f>
        <v/>
      </c>
      <c r="CO1923">
        <f>IF(CH1923="","",IFERROR(IF(AND(LEN(CH1923)=9,ISERROR(FIND("-",LEFT(CH1923,8))),ISNUMBER(-LEFT(CH1923,8))),VALUE(MID(CH1923,7,2)),VALUE(MID(CH1923,FIND("-",CH1923,FIND("-",CH1923)+1)+1,FIND("-",CH1923,FIND("-",CH1923,FIND("-",CH1923)+1)+1)-FIND("-",CH1923,FIND("-",CH1923)+1)-1))),""))</f>
        <v/>
      </c>
    </row>
    <row r="1924">
      <c r="CH1924">
        <f>IF(ISTEXT('월 가계부'!A1924),SUBSTITUTE(SUBSTITUTE(SUBSTITUTE(SUBSTITUTE(SUBSTITUTE(SUBSTITUTE(SUBSTITUTE(SUBSTITUTE(SUBSTITUTE(TRIM('월 가계부'!A1924),"년","-"),"월","-"),"일",""),".","-"),"/","-")," ","-"),"--","-"),"--","-"),"--","-")&amp;"-","")</f>
        <v/>
      </c>
      <c r="CI1924">
        <f>IFERROR(IF('월 가계부'!A1924="","",IF(ISNUMBER('월 가계부'!A1924),IF(AND('월 가계부'!A1924&gt;=19000101,'월 가계부'!A1924&lt;=21001231),IF(AND(MOD(INT('월 가계부'!A1924/100),100)&gt;=1,MOD(INT('월 가계부'!A1924/100),100)&lt;=12,MOD(INT('월 가계부'!A1924),100)&gt;=1,MOD(INT('월 가계부'!A1924),100)&lt;=31),IF(MONTH(DATE(INT('월 가계부'!A1924/10000),MOD(INT('월 가계부'!A1924/100),100),MOD(INT('월 가계부'!A1924),100)))=MOD(INT('월 가계부'!A1924/100),100),DATE(INT('월 가계부'!A1924/10000),MOD(INT('월 가계부'!A1924/100),100),MOD(INT('월 가계부'!A1924),100)),""),""),IF(AND('월 가계부'!A1924&gt;=36526,'월 가계부'!A1924&lt;73051),INT('월 가계부'!A1924),"")),IF(OR(CM1924="",CN1924="",CO1924=""),"",IF(AND(CM1924&gt;=2000,CM1924&lt;=2099,CN1924&gt;=1,CN1924&lt;=12,CO1924&gt;=1,CO1924&lt;=31),IF(MONTH(DATE(CM1924,CN1924,CO1924))=CN1924,DATE(CM1924,CN1924,CO1924),""),"")))),"")</f>
        <v/>
      </c>
      <c r="CJ1924">
        <f>IFERROR(IF('월 가계부'!C1924="","",IF(ISNUMBER('월 가계부'!C1924),'월 가계부'!C1924,VALUE(SUBSTITUTE(SUBSTITUTE(SUBSTITUTE(SUBSTITUTE(TRIM('월 가계부'!C1924),",",""),"원","")," ",""),"−","-")))),"")</f>
        <v/>
      </c>
      <c r="CK1924">
        <f>IF(ISNUMBER(CI1924),IF(CI1924&lt;$B$13,CI1924,""),"")</f>
        <v/>
      </c>
      <c r="CM1924">
        <f>IF(CH1924="","",IFERROR(IF(IF(AND(LEN(CH1924)=9,ISERROR(FIND("-",LEFT(CH1924,8))),ISNUMBER(-LEFT(CH1924,8))),VALUE(LEFT(CH1924,4)),VALUE(LEFT(CH1924,FIND("-",CH1924)-1)))&lt;100,IF(AND(LEN(CH1924)=9,ISERROR(FIND("-",LEFT(CH1924,8))),ISNUMBER(-LEFT(CH1924,8))),VALUE(LEFT(CH1924,4)),VALUE(LEFT(CH1924,FIND("-",CH1924)-1)))+2000,IF(AND(LEN(CH1924)=9,ISERROR(FIND("-",LEFT(CH1924,8))),ISNUMBER(-LEFT(CH1924,8))),VALUE(LEFT(CH1924,4)),VALUE(LEFT(CH1924,FIND("-",CH1924)-1)))),""))</f>
        <v/>
      </c>
      <c r="CN1924">
        <f>IF(CH1924="","",IFERROR(IF(AND(LEN(CH1924)=9,ISERROR(FIND("-",LEFT(CH1924,8))),ISNUMBER(-LEFT(CH1924,8))),VALUE(MID(CH1924,5,2)),VALUE(MID(CH1924,FIND("-",CH1924)+1,FIND("-",CH1924,FIND("-",CH1924)+1)-FIND("-",CH1924)-1))),""))</f>
        <v/>
      </c>
      <c r="CO1924">
        <f>IF(CH1924="","",IFERROR(IF(AND(LEN(CH1924)=9,ISERROR(FIND("-",LEFT(CH1924,8))),ISNUMBER(-LEFT(CH1924,8))),VALUE(MID(CH1924,7,2)),VALUE(MID(CH1924,FIND("-",CH1924,FIND("-",CH1924)+1)+1,FIND("-",CH1924,FIND("-",CH1924,FIND("-",CH1924)+1)+1)-FIND("-",CH1924,FIND("-",CH1924)+1)-1))),""))</f>
        <v/>
      </c>
    </row>
    <row r="1925">
      <c r="CH1925">
        <f>IF(ISTEXT('월 가계부'!A1925),SUBSTITUTE(SUBSTITUTE(SUBSTITUTE(SUBSTITUTE(SUBSTITUTE(SUBSTITUTE(SUBSTITUTE(SUBSTITUTE(SUBSTITUTE(TRIM('월 가계부'!A1925),"년","-"),"월","-"),"일",""),".","-"),"/","-")," ","-"),"--","-"),"--","-"),"--","-")&amp;"-","")</f>
        <v/>
      </c>
      <c r="CI1925">
        <f>IFERROR(IF('월 가계부'!A1925="","",IF(ISNUMBER('월 가계부'!A1925),IF(AND('월 가계부'!A1925&gt;=19000101,'월 가계부'!A1925&lt;=21001231),IF(AND(MOD(INT('월 가계부'!A1925/100),100)&gt;=1,MOD(INT('월 가계부'!A1925/100),100)&lt;=12,MOD(INT('월 가계부'!A1925),100)&gt;=1,MOD(INT('월 가계부'!A1925),100)&lt;=31),IF(MONTH(DATE(INT('월 가계부'!A1925/10000),MOD(INT('월 가계부'!A1925/100),100),MOD(INT('월 가계부'!A1925),100)))=MOD(INT('월 가계부'!A1925/100),100),DATE(INT('월 가계부'!A1925/10000),MOD(INT('월 가계부'!A1925/100),100),MOD(INT('월 가계부'!A1925),100)),""),""),IF(AND('월 가계부'!A1925&gt;=36526,'월 가계부'!A1925&lt;73051),INT('월 가계부'!A1925),"")),IF(OR(CM1925="",CN1925="",CO1925=""),"",IF(AND(CM1925&gt;=2000,CM1925&lt;=2099,CN1925&gt;=1,CN1925&lt;=12,CO1925&gt;=1,CO1925&lt;=31),IF(MONTH(DATE(CM1925,CN1925,CO1925))=CN1925,DATE(CM1925,CN1925,CO1925),""),"")))),"")</f>
        <v/>
      </c>
      <c r="CJ1925">
        <f>IFERROR(IF('월 가계부'!C1925="","",IF(ISNUMBER('월 가계부'!C1925),'월 가계부'!C1925,VALUE(SUBSTITUTE(SUBSTITUTE(SUBSTITUTE(SUBSTITUTE(TRIM('월 가계부'!C1925),",",""),"원","")," ",""),"−","-")))),"")</f>
        <v/>
      </c>
      <c r="CK1925">
        <f>IF(ISNUMBER(CI1925),IF(CI1925&lt;$B$13,CI1925,""),"")</f>
        <v/>
      </c>
      <c r="CM1925">
        <f>IF(CH1925="","",IFERROR(IF(IF(AND(LEN(CH1925)=9,ISERROR(FIND("-",LEFT(CH1925,8))),ISNUMBER(-LEFT(CH1925,8))),VALUE(LEFT(CH1925,4)),VALUE(LEFT(CH1925,FIND("-",CH1925)-1)))&lt;100,IF(AND(LEN(CH1925)=9,ISERROR(FIND("-",LEFT(CH1925,8))),ISNUMBER(-LEFT(CH1925,8))),VALUE(LEFT(CH1925,4)),VALUE(LEFT(CH1925,FIND("-",CH1925)-1)))+2000,IF(AND(LEN(CH1925)=9,ISERROR(FIND("-",LEFT(CH1925,8))),ISNUMBER(-LEFT(CH1925,8))),VALUE(LEFT(CH1925,4)),VALUE(LEFT(CH1925,FIND("-",CH1925)-1)))),""))</f>
        <v/>
      </c>
      <c r="CN1925">
        <f>IF(CH1925="","",IFERROR(IF(AND(LEN(CH1925)=9,ISERROR(FIND("-",LEFT(CH1925,8))),ISNUMBER(-LEFT(CH1925,8))),VALUE(MID(CH1925,5,2)),VALUE(MID(CH1925,FIND("-",CH1925)+1,FIND("-",CH1925,FIND("-",CH1925)+1)-FIND("-",CH1925)-1))),""))</f>
        <v/>
      </c>
      <c r="CO1925">
        <f>IF(CH1925="","",IFERROR(IF(AND(LEN(CH1925)=9,ISERROR(FIND("-",LEFT(CH1925,8))),ISNUMBER(-LEFT(CH1925,8))),VALUE(MID(CH1925,7,2)),VALUE(MID(CH1925,FIND("-",CH1925,FIND("-",CH1925)+1)+1,FIND("-",CH1925,FIND("-",CH1925,FIND("-",CH1925)+1)+1)-FIND("-",CH1925,FIND("-",CH1925)+1)-1))),""))</f>
        <v/>
      </c>
    </row>
    <row r="1926">
      <c r="CH1926">
        <f>IF(ISTEXT('월 가계부'!A1926),SUBSTITUTE(SUBSTITUTE(SUBSTITUTE(SUBSTITUTE(SUBSTITUTE(SUBSTITUTE(SUBSTITUTE(SUBSTITUTE(SUBSTITUTE(TRIM('월 가계부'!A1926),"년","-"),"월","-"),"일",""),".","-"),"/","-")," ","-"),"--","-"),"--","-"),"--","-")&amp;"-","")</f>
        <v/>
      </c>
      <c r="CI1926">
        <f>IFERROR(IF('월 가계부'!A1926="","",IF(ISNUMBER('월 가계부'!A1926),IF(AND('월 가계부'!A1926&gt;=19000101,'월 가계부'!A1926&lt;=21001231),IF(AND(MOD(INT('월 가계부'!A1926/100),100)&gt;=1,MOD(INT('월 가계부'!A1926/100),100)&lt;=12,MOD(INT('월 가계부'!A1926),100)&gt;=1,MOD(INT('월 가계부'!A1926),100)&lt;=31),IF(MONTH(DATE(INT('월 가계부'!A1926/10000),MOD(INT('월 가계부'!A1926/100),100),MOD(INT('월 가계부'!A1926),100)))=MOD(INT('월 가계부'!A1926/100),100),DATE(INT('월 가계부'!A1926/10000),MOD(INT('월 가계부'!A1926/100),100),MOD(INT('월 가계부'!A1926),100)),""),""),IF(AND('월 가계부'!A1926&gt;=36526,'월 가계부'!A1926&lt;73051),INT('월 가계부'!A1926),"")),IF(OR(CM1926="",CN1926="",CO1926=""),"",IF(AND(CM1926&gt;=2000,CM1926&lt;=2099,CN1926&gt;=1,CN1926&lt;=12,CO1926&gt;=1,CO1926&lt;=31),IF(MONTH(DATE(CM1926,CN1926,CO1926))=CN1926,DATE(CM1926,CN1926,CO1926),""),"")))),"")</f>
        <v/>
      </c>
      <c r="CJ1926">
        <f>IFERROR(IF('월 가계부'!C1926="","",IF(ISNUMBER('월 가계부'!C1926),'월 가계부'!C1926,VALUE(SUBSTITUTE(SUBSTITUTE(SUBSTITUTE(SUBSTITUTE(TRIM('월 가계부'!C1926),",",""),"원","")," ",""),"−","-")))),"")</f>
        <v/>
      </c>
      <c r="CK1926">
        <f>IF(ISNUMBER(CI1926),IF(CI1926&lt;$B$13,CI1926,""),"")</f>
        <v/>
      </c>
      <c r="CM1926">
        <f>IF(CH1926="","",IFERROR(IF(IF(AND(LEN(CH1926)=9,ISERROR(FIND("-",LEFT(CH1926,8))),ISNUMBER(-LEFT(CH1926,8))),VALUE(LEFT(CH1926,4)),VALUE(LEFT(CH1926,FIND("-",CH1926)-1)))&lt;100,IF(AND(LEN(CH1926)=9,ISERROR(FIND("-",LEFT(CH1926,8))),ISNUMBER(-LEFT(CH1926,8))),VALUE(LEFT(CH1926,4)),VALUE(LEFT(CH1926,FIND("-",CH1926)-1)))+2000,IF(AND(LEN(CH1926)=9,ISERROR(FIND("-",LEFT(CH1926,8))),ISNUMBER(-LEFT(CH1926,8))),VALUE(LEFT(CH1926,4)),VALUE(LEFT(CH1926,FIND("-",CH1926)-1)))),""))</f>
        <v/>
      </c>
      <c r="CN1926">
        <f>IF(CH1926="","",IFERROR(IF(AND(LEN(CH1926)=9,ISERROR(FIND("-",LEFT(CH1926,8))),ISNUMBER(-LEFT(CH1926,8))),VALUE(MID(CH1926,5,2)),VALUE(MID(CH1926,FIND("-",CH1926)+1,FIND("-",CH1926,FIND("-",CH1926)+1)-FIND("-",CH1926)-1))),""))</f>
        <v/>
      </c>
      <c r="CO1926">
        <f>IF(CH1926="","",IFERROR(IF(AND(LEN(CH1926)=9,ISERROR(FIND("-",LEFT(CH1926,8))),ISNUMBER(-LEFT(CH1926,8))),VALUE(MID(CH1926,7,2)),VALUE(MID(CH1926,FIND("-",CH1926,FIND("-",CH1926)+1)+1,FIND("-",CH1926,FIND("-",CH1926,FIND("-",CH1926)+1)+1)-FIND("-",CH1926,FIND("-",CH1926)+1)-1))),""))</f>
        <v/>
      </c>
    </row>
    <row r="1927">
      <c r="CH1927">
        <f>IF(ISTEXT('월 가계부'!A1927),SUBSTITUTE(SUBSTITUTE(SUBSTITUTE(SUBSTITUTE(SUBSTITUTE(SUBSTITUTE(SUBSTITUTE(SUBSTITUTE(SUBSTITUTE(TRIM('월 가계부'!A1927),"년","-"),"월","-"),"일",""),".","-"),"/","-")," ","-"),"--","-"),"--","-"),"--","-")&amp;"-","")</f>
        <v/>
      </c>
      <c r="CI1927">
        <f>IFERROR(IF('월 가계부'!A1927="","",IF(ISNUMBER('월 가계부'!A1927),IF(AND('월 가계부'!A1927&gt;=19000101,'월 가계부'!A1927&lt;=21001231),IF(AND(MOD(INT('월 가계부'!A1927/100),100)&gt;=1,MOD(INT('월 가계부'!A1927/100),100)&lt;=12,MOD(INT('월 가계부'!A1927),100)&gt;=1,MOD(INT('월 가계부'!A1927),100)&lt;=31),IF(MONTH(DATE(INT('월 가계부'!A1927/10000),MOD(INT('월 가계부'!A1927/100),100),MOD(INT('월 가계부'!A1927),100)))=MOD(INT('월 가계부'!A1927/100),100),DATE(INT('월 가계부'!A1927/10000),MOD(INT('월 가계부'!A1927/100),100),MOD(INT('월 가계부'!A1927),100)),""),""),IF(AND('월 가계부'!A1927&gt;=36526,'월 가계부'!A1927&lt;73051),INT('월 가계부'!A1927),"")),IF(OR(CM1927="",CN1927="",CO1927=""),"",IF(AND(CM1927&gt;=2000,CM1927&lt;=2099,CN1927&gt;=1,CN1927&lt;=12,CO1927&gt;=1,CO1927&lt;=31),IF(MONTH(DATE(CM1927,CN1927,CO1927))=CN1927,DATE(CM1927,CN1927,CO1927),""),"")))),"")</f>
        <v/>
      </c>
      <c r="CJ1927">
        <f>IFERROR(IF('월 가계부'!C1927="","",IF(ISNUMBER('월 가계부'!C1927),'월 가계부'!C1927,VALUE(SUBSTITUTE(SUBSTITUTE(SUBSTITUTE(SUBSTITUTE(TRIM('월 가계부'!C1927),",",""),"원","")," ",""),"−","-")))),"")</f>
        <v/>
      </c>
      <c r="CK1927">
        <f>IF(ISNUMBER(CI1927),IF(CI1927&lt;$B$13,CI1927,""),"")</f>
        <v/>
      </c>
      <c r="CM1927">
        <f>IF(CH1927="","",IFERROR(IF(IF(AND(LEN(CH1927)=9,ISERROR(FIND("-",LEFT(CH1927,8))),ISNUMBER(-LEFT(CH1927,8))),VALUE(LEFT(CH1927,4)),VALUE(LEFT(CH1927,FIND("-",CH1927)-1)))&lt;100,IF(AND(LEN(CH1927)=9,ISERROR(FIND("-",LEFT(CH1927,8))),ISNUMBER(-LEFT(CH1927,8))),VALUE(LEFT(CH1927,4)),VALUE(LEFT(CH1927,FIND("-",CH1927)-1)))+2000,IF(AND(LEN(CH1927)=9,ISERROR(FIND("-",LEFT(CH1927,8))),ISNUMBER(-LEFT(CH1927,8))),VALUE(LEFT(CH1927,4)),VALUE(LEFT(CH1927,FIND("-",CH1927)-1)))),""))</f>
        <v/>
      </c>
      <c r="CN1927">
        <f>IF(CH1927="","",IFERROR(IF(AND(LEN(CH1927)=9,ISERROR(FIND("-",LEFT(CH1927,8))),ISNUMBER(-LEFT(CH1927,8))),VALUE(MID(CH1927,5,2)),VALUE(MID(CH1927,FIND("-",CH1927)+1,FIND("-",CH1927,FIND("-",CH1927)+1)-FIND("-",CH1927)-1))),""))</f>
        <v/>
      </c>
      <c r="CO1927">
        <f>IF(CH1927="","",IFERROR(IF(AND(LEN(CH1927)=9,ISERROR(FIND("-",LEFT(CH1927,8))),ISNUMBER(-LEFT(CH1927,8))),VALUE(MID(CH1927,7,2)),VALUE(MID(CH1927,FIND("-",CH1927,FIND("-",CH1927)+1)+1,FIND("-",CH1927,FIND("-",CH1927,FIND("-",CH1927)+1)+1)-FIND("-",CH1927,FIND("-",CH1927)+1)-1))),""))</f>
        <v/>
      </c>
    </row>
    <row r="1928">
      <c r="CH1928">
        <f>IF(ISTEXT('월 가계부'!A1928),SUBSTITUTE(SUBSTITUTE(SUBSTITUTE(SUBSTITUTE(SUBSTITUTE(SUBSTITUTE(SUBSTITUTE(SUBSTITUTE(SUBSTITUTE(TRIM('월 가계부'!A1928),"년","-"),"월","-"),"일",""),".","-"),"/","-")," ","-"),"--","-"),"--","-"),"--","-")&amp;"-","")</f>
        <v/>
      </c>
      <c r="CI1928">
        <f>IFERROR(IF('월 가계부'!A1928="","",IF(ISNUMBER('월 가계부'!A1928),IF(AND('월 가계부'!A1928&gt;=19000101,'월 가계부'!A1928&lt;=21001231),IF(AND(MOD(INT('월 가계부'!A1928/100),100)&gt;=1,MOD(INT('월 가계부'!A1928/100),100)&lt;=12,MOD(INT('월 가계부'!A1928),100)&gt;=1,MOD(INT('월 가계부'!A1928),100)&lt;=31),IF(MONTH(DATE(INT('월 가계부'!A1928/10000),MOD(INT('월 가계부'!A1928/100),100),MOD(INT('월 가계부'!A1928),100)))=MOD(INT('월 가계부'!A1928/100),100),DATE(INT('월 가계부'!A1928/10000),MOD(INT('월 가계부'!A1928/100),100),MOD(INT('월 가계부'!A1928),100)),""),""),IF(AND('월 가계부'!A1928&gt;=36526,'월 가계부'!A1928&lt;73051),INT('월 가계부'!A1928),"")),IF(OR(CM1928="",CN1928="",CO1928=""),"",IF(AND(CM1928&gt;=2000,CM1928&lt;=2099,CN1928&gt;=1,CN1928&lt;=12,CO1928&gt;=1,CO1928&lt;=31),IF(MONTH(DATE(CM1928,CN1928,CO1928))=CN1928,DATE(CM1928,CN1928,CO1928),""),"")))),"")</f>
        <v/>
      </c>
      <c r="CJ1928">
        <f>IFERROR(IF('월 가계부'!C1928="","",IF(ISNUMBER('월 가계부'!C1928),'월 가계부'!C1928,VALUE(SUBSTITUTE(SUBSTITUTE(SUBSTITUTE(SUBSTITUTE(TRIM('월 가계부'!C1928),",",""),"원","")," ",""),"−","-")))),"")</f>
        <v/>
      </c>
      <c r="CK1928">
        <f>IF(ISNUMBER(CI1928),IF(CI1928&lt;$B$13,CI1928,""),"")</f>
        <v/>
      </c>
      <c r="CM1928">
        <f>IF(CH1928="","",IFERROR(IF(IF(AND(LEN(CH1928)=9,ISERROR(FIND("-",LEFT(CH1928,8))),ISNUMBER(-LEFT(CH1928,8))),VALUE(LEFT(CH1928,4)),VALUE(LEFT(CH1928,FIND("-",CH1928)-1)))&lt;100,IF(AND(LEN(CH1928)=9,ISERROR(FIND("-",LEFT(CH1928,8))),ISNUMBER(-LEFT(CH1928,8))),VALUE(LEFT(CH1928,4)),VALUE(LEFT(CH1928,FIND("-",CH1928)-1)))+2000,IF(AND(LEN(CH1928)=9,ISERROR(FIND("-",LEFT(CH1928,8))),ISNUMBER(-LEFT(CH1928,8))),VALUE(LEFT(CH1928,4)),VALUE(LEFT(CH1928,FIND("-",CH1928)-1)))),""))</f>
        <v/>
      </c>
      <c r="CN1928">
        <f>IF(CH1928="","",IFERROR(IF(AND(LEN(CH1928)=9,ISERROR(FIND("-",LEFT(CH1928,8))),ISNUMBER(-LEFT(CH1928,8))),VALUE(MID(CH1928,5,2)),VALUE(MID(CH1928,FIND("-",CH1928)+1,FIND("-",CH1928,FIND("-",CH1928)+1)-FIND("-",CH1928)-1))),""))</f>
        <v/>
      </c>
      <c r="CO1928">
        <f>IF(CH1928="","",IFERROR(IF(AND(LEN(CH1928)=9,ISERROR(FIND("-",LEFT(CH1928,8))),ISNUMBER(-LEFT(CH1928,8))),VALUE(MID(CH1928,7,2)),VALUE(MID(CH1928,FIND("-",CH1928,FIND("-",CH1928)+1)+1,FIND("-",CH1928,FIND("-",CH1928,FIND("-",CH1928)+1)+1)-FIND("-",CH1928,FIND("-",CH1928)+1)-1))),""))</f>
        <v/>
      </c>
    </row>
    <row r="1929">
      <c r="CH1929">
        <f>IF(ISTEXT('월 가계부'!A1929),SUBSTITUTE(SUBSTITUTE(SUBSTITUTE(SUBSTITUTE(SUBSTITUTE(SUBSTITUTE(SUBSTITUTE(SUBSTITUTE(SUBSTITUTE(TRIM('월 가계부'!A1929),"년","-"),"월","-"),"일",""),".","-"),"/","-")," ","-"),"--","-"),"--","-"),"--","-")&amp;"-","")</f>
        <v/>
      </c>
      <c r="CI1929">
        <f>IFERROR(IF('월 가계부'!A1929="","",IF(ISNUMBER('월 가계부'!A1929),IF(AND('월 가계부'!A1929&gt;=19000101,'월 가계부'!A1929&lt;=21001231),IF(AND(MOD(INT('월 가계부'!A1929/100),100)&gt;=1,MOD(INT('월 가계부'!A1929/100),100)&lt;=12,MOD(INT('월 가계부'!A1929),100)&gt;=1,MOD(INT('월 가계부'!A1929),100)&lt;=31),IF(MONTH(DATE(INT('월 가계부'!A1929/10000),MOD(INT('월 가계부'!A1929/100),100),MOD(INT('월 가계부'!A1929),100)))=MOD(INT('월 가계부'!A1929/100),100),DATE(INT('월 가계부'!A1929/10000),MOD(INT('월 가계부'!A1929/100),100),MOD(INT('월 가계부'!A1929),100)),""),""),IF(AND('월 가계부'!A1929&gt;=36526,'월 가계부'!A1929&lt;73051),INT('월 가계부'!A1929),"")),IF(OR(CM1929="",CN1929="",CO1929=""),"",IF(AND(CM1929&gt;=2000,CM1929&lt;=2099,CN1929&gt;=1,CN1929&lt;=12,CO1929&gt;=1,CO1929&lt;=31),IF(MONTH(DATE(CM1929,CN1929,CO1929))=CN1929,DATE(CM1929,CN1929,CO1929),""),"")))),"")</f>
        <v/>
      </c>
      <c r="CJ1929">
        <f>IFERROR(IF('월 가계부'!C1929="","",IF(ISNUMBER('월 가계부'!C1929),'월 가계부'!C1929,VALUE(SUBSTITUTE(SUBSTITUTE(SUBSTITUTE(SUBSTITUTE(TRIM('월 가계부'!C1929),",",""),"원","")," ",""),"−","-")))),"")</f>
        <v/>
      </c>
      <c r="CK1929">
        <f>IF(ISNUMBER(CI1929),IF(CI1929&lt;$B$13,CI1929,""),"")</f>
        <v/>
      </c>
      <c r="CM1929">
        <f>IF(CH1929="","",IFERROR(IF(IF(AND(LEN(CH1929)=9,ISERROR(FIND("-",LEFT(CH1929,8))),ISNUMBER(-LEFT(CH1929,8))),VALUE(LEFT(CH1929,4)),VALUE(LEFT(CH1929,FIND("-",CH1929)-1)))&lt;100,IF(AND(LEN(CH1929)=9,ISERROR(FIND("-",LEFT(CH1929,8))),ISNUMBER(-LEFT(CH1929,8))),VALUE(LEFT(CH1929,4)),VALUE(LEFT(CH1929,FIND("-",CH1929)-1)))+2000,IF(AND(LEN(CH1929)=9,ISERROR(FIND("-",LEFT(CH1929,8))),ISNUMBER(-LEFT(CH1929,8))),VALUE(LEFT(CH1929,4)),VALUE(LEFT(CH1929,FIND("-",CH1929)-1)))),""))</f>
        <v/>
      </c>
      <c r="CN1929">
        <f>IF(CH1929="","",IFERROR(IF(AND(LEN(CH1929)=9,ISERROR(FIND("-",LEFT(CH1929,8))),ISNUMBER(-LEFT(CH1929,8))),VALUE(MID(CH1929,5,2)),VALUE(MID(CH1929,FIND("-",CH1929)+1,FIND("-",CH1929,FIND("-",CH1929)+1)-FIND("-",CH1929)-1))),""))</f>
        <v/>
      </c>
      <c r="CO1929">
        <f>IF(CH1929="","",IFERROR(IF(AND(LEN(CH1929)=9,ISERROR(FIND("-",LEFT(CH1929,8))),ISNUMBER(-LEFT(CH1929,8))),VALUE(MID(CH1929,7,2)),VALUE(MID(CH1929,FIND("-",CH1929,FIND("-",CH1929)+1)+1,FIND("-",CH1929,FIND("-",CH1929,FIND("-",CH1929)+1)+1)-FIND("-",CH1929,FIND("-",CH1929)+1)-1))),""))</f>
        <v/>
      </c>
    </row>
    <row r="1930">
      <c r="CH1930">
        <f>IF(ISTEXT('월 가계부'!A1930),SUBSTITUTE(SUBSTITUTE(SUBSTITUTE(SUBSTITUTE(SUBSTITUTE(SUBSTITUTE(SUBSTITUTE(SUBSTITUTE(SUBSTITUTE(TRIM('월 가계부'!A1930),"년","-"),"월","-"),"일",""),".","-"),"/","-")," ","-"),"--","-"),"--","-"),"--","-")&amp;"-","")</f>
        <v/>
      </c>
      <c r="CI1930">
        <f>IFERROR(IF('월 가계부'!A1930="","",IF(ISNUMBER('월 가계부'!A1930),IF(AND('월 가계부'!A1930&gt;=19000101,'월 가계부'!A1930&lt;=21001231),IF(AND(MOD(INT('월 가계부'!A1930/100),100)&gt;=1,MOD(INT('월 가계부'!A1930/100),100)&lt;=12,MOD(INT('월 가계부'!A1930),100)&gt;=1,MOD(INT('월 가계부'!A1930),100)&lt;=31),IF(MONTH(DATE(INT('월 가계부'!A1930/10000),MOD(INT('월 가계부'!A1930/100),100),MOD(INT('월 가계부'!A1930),100)))=MOD(INT('월 가계부'!A1930/100),100),DATE(INT('월 가계부'!A1930/10000),MOD(INT('월 가계부'!A1930/100),100),MOD(INT('월 가계부'!A1930),100)),""),""),IF(AND('월 가계부'!A1930&gt;=36526,'월 가계부'!A1930&lt;73051),INT('월 가계부'!A1930),"")),IF(OR(CM1930="",CN1930="",CO1930=""),"",IF(AND(CM1930&gt;=2000,CM1930&lt;=2099,CN1930&gt;=1,CN1930&lt;=12,CO1930&gt;=1,CO1930&lt;=31),IF(MONTH(DATE(CM1930,CN1930,CO1930))=CN1930,DATE(CM1930,CN1930,CO1930),""),"")))),"")</f>
        <v/>
      </c>
      <c r="CJ1930">
        <f>IFERROR(IF('월 가계부'!C1930="","",IF(ISNUMBER('월 가계부'!C1930),'월 가계부'!C1930,VALUE(SUBSTITUTE(SUBSTITUTE(SUBSTITUTE(SUBSTITUTE(TRIM('월 가계부'!C1930),",",""),"원","")," ",""),"−","-")))),"")</f>
        <v/>
      </c>
      <c r="CK1930">
        <f>IF(ISNUMBER(CI1930),IF(CI1930&lt;$B$13,CI1930,""),"")</f>
        <v/>
      </c>
      <c r="CM1930">
        <f>IF(CH1930="","",IFERROR(IF(IF(AND(LEN(CH1930)=9,ISERROR(FIND("-",LEFT(CH1930,8))),ISNUMBER(-LEFT(CH1930,8))),VALUE(LEFT(CH1930,4)),VALUE(LEFT(CH1930,FIND("-",CH1930)-1)))&lt;100,IF(AND(LEN(CH1930)=9,ISERROR(FIND("-",LEFT(CH1930,8))),ISNUMBER(-LEFT(CH1930,8))),VALUE(LEFT(CH1930,4)),VALUE(LEFT(CH1930,FIND("-",CH1930)-1)))+2000,IF(AND(LEN(CH1930)=9,ISERROR(FIND("-",LEFT(CH1930,8))),ISNUMBER(-LEFT(CH1930,8))),VALUE(LEFT(CH1930,4)),VALUE(LEFT(CH1930,FIND("-",CH1930)-1)))),""))</f>
        <v/>
      </c>
      <c r="CN1930">
        <f>IF(CH1930="","",IFERROR(IF(AND(LEN(CH1930)=9,ISERROR(FIND("-",LEFT(CH1930,8))),ISNUMBER(-LEFT(CH1930,8))),VALUE(MID(CH1930,5,2)),VALUE(MID(CH1930,FIND("-",CH1930)+1,FIND("-",CH1930,FIND("-",CH1930)+1)-FIND("-",CH1930)-1))),""))</f>
        <v/>
      </c>
      <c r="CO1930">
        <f>IF(CH1930="","",IFERROR(IF(AND(LEN(CH1930)=9,ISERROR(FIND("-",LEFT(CH1930,8))),ISNUMBER(-LEFT(CH1930,8))),VALUE(MID(CH1930,7,2)),VALUE(MID(CH1930,FIND("-",CH1930,FIND("-",CH1930)+1)+1,FIND("-",CH1930,FIND("-",CH1930,FIND("-",CH1930)+1)+1)-FIND("-",CH1930,FIND("-",CH1930)+1)-1))),""))</f>
        <v/>
      </c>
    </row>
    <row r="1931">
      <c r="CH1931">
        <f>IF(ISTEXT('월 가계부'!A1931),SUBSTITUTE(SUBSTITUTE(SUBSTITUTE(SUBSTITUTE(SUBSTITUTE(SUBSTITUTE(SUBSTITUTE(SUBSTITUTE(SUBSTITUTE(TRIM('월 가계부'!A1931),"년","-"),"월","-"),"일",""),".","-"),"/","-")," ","-"),"--","-"),"--","-"),"--","-")&amp;"-","")</f>
        <v/>
      </c>
      <c r="CI1931">
        <f>IFERROR(IF('월 가계부'!A1931="","",IF(ISNUMBER('월 가계부'!A1931),IF(AND('월 가계부'!A1931&gt;=19000101,'월 가계부'!A1931&lt;=21001231),IF(AND(MOD(INT('월 가계부'!A1931/100),100)&gt;=1,MOD(INT('월 가계부'!A1931/100),100)&lt;=12,MOD(INT('월 가계부'!A1931),100)&gt;=1,MOD(INT('월 가계부'!A1931),100)&lt;=31),IF(MONTH(DATE(INT('월 가계부'!A1931/10000),MOD(INT('월 가계부'!A1931/100),100),MOD(INT('월 가계부'!A1931),100)))=MOD(INT('월 가계부'!A1931/100),100),DATE(INT('월 가계부'!A1931/10000),MOD(INT('월 가계부'!A1931/100),100),MOD(INT('월 가계부'!A1931),100)),""),""),IF(AND('월 가계부'!A1931&gt;=36526,'월 가계부'!A1931&lt;73051),INT('월 가계부'!A1931),"")),IF(OR(CM1931="",CN1931="",CO1931=""),"",IF(AND(CM1931&gt;=2000,CM1931&lt;=2099,CN1931&gt;=1,CN1931&lt;=12,CO1931&gt;=1,CO1931&lt;=31),IF(MONTH(DATE(CM1931,CN1931,CO1931))=CN1931,DATE(CM1931,CN1931,CO1931),""),"")))),"")</f>
        <v/>
      </c>
      <c r="CJ1931">
        <f>IFERROR(IF('월 가계부'!C1931="","",IF(ISNUMBER('월 가계부'!C1931),'월 가계부'!C1931,VALUE(SUBSTITUTE(SUBSTITUTE(SUBSTITUTE(SUBSTITUTE(TRIM('월 가계부'!C1931),",",""),"원","")," ",""),"−","-")))),"")</f>
        <v/>
      </c>
      <c r="CK1931">
        <f>IF(ISNUMBER(CI1931),IF(CI1931&lt;$B$13,CI1931,""),"")</f>
        <v/>
      </c>
      <c r="CM1931">
        <f>IF(CH1931="","",IFERROR(IF(IF(AND(LEN(CH1931)=9,ISERROR(FIND("-",LEFT(CH1931,8))),ISNUMBER(-LEFT(CH1931,8))),VALUE(LEFT(CH1931,4)),VALUE(LEFT(CH1931,FIND("-",CH1931)-1)))&lt;100,IF(AND(LEN(CH1931)=9,ISERROR(FIND("-",LEFT(CH1931,8))),ISNUMBER(-LEFT(CH1931,8))),VALUE(LEFT(CH1931,4)),VALUE(LEFT(CH1931,FIND("-",CH1931)-1)))+2000,IF(AND(LEN(CH1931)=9,ISERROR(FIND("-",LEFT(CH1931,8))),ISNUMBER(-LEFT(CH1931,8))),VALUE(LEFT(CH1931,4)),VALUE(LEFT(CH1931,FIND("-",CH1931)-1)))),""))</f>
        <v/>
      </c>
      <c r="CN1931">
        <f>IF(CH1931="","",IFERROR(IF(AND(LEN(CH1931)=9,ISERROR(FIND("-",LEFT(CH1931,8))),ISNUMBER(-LEFT(CH1931,8))),VALUE(MID(CH1931,5,2)),VALUE(MID(CH1931,FIND("-",CH1931)+1,FIND("-",CH1931,FIND("-",CH1931)+1)-FIND("-",CH1931)-1))),""))</f>
        <v/>
      </c>
      <c r="CO1931">
        <f>IF(CH1931="","",IFERROR(IF(AND(LEN(CH1931)=9,ISERROR(FIND("-",LEFT(CH1931,8))),ISNUMBER(-LEFT(CH1931,8))),VALUE(MID(CH1931,7,2)),VALUE(MID(CH1931,FIND("-",CH1931,FIND("-",CH1931)+1)+1,FIND("-",CH1931,FIND("-",CH1931,FIND("-",CH1931)+1)+1)-FIND("-",CH1931,FIND("-",CH1931)+1)-1))),""))</f>
        <v/>
      </c>
    </row>
    <row r="1932">
      <c r="CH1932">
        <f>IF(ISTEXT('월 가계부'!A1932),SUBSTITUTE(SUBSTITUTE(SUBSTITUTE(SUBSTITUTE(SUBSTITUTE(SUBSTITUTE(SUBSTITUTE(SUBSTITUTE(SUBSTITUTE(TRIM('월 가계부'!A1932),"년","-"),"월","-"),"일",""),".","-"),"/","-")," ","-"),"--","-"),"--","-"),"--","-")&amp;"-","")</f>
        <v/>
      </c>
      <c r="CI1932">
        <f>IFERROR(IF('월 가계부'!A1932="","",IF(ISNUMBER('월 가계부'!A1932),IF(AND('월 가계부'!A1932&gt;=19000101,'월 가계부'!A1932&lt;=21001231),IF(AND(MOD(INT('월 가계부'!A1932/100),100)&gt;=1,MOD(INT('월 가계부'!A1932/100),100)&lt;=12,MOD(INT('월 가계부'!A1932),100)&gt;=1,MOD(INT('월 가계부'!A1932),100)&lt;=31),IF(MONTH(DATE(INT('월 가계부'!A1932/10000),MOD(INT('월 가계부'!A1932/100),100),MOD(INT('월 가계부'!A1932),100)))=MOD(INT('월 가계부'!A1932/100),100),DATE(INT('월 가계부'!A1932/10000),MOD(INT('월 가계부'!A1932/100),100),MOD(INT('월 가계부'!A1932),100)),""),""),IF(AND('월 가계부'!A1932&gt;=36526,'월 가계부'!A1932&lt;73051),INT('월 가계부'!A1932),"")),IF(OR(CM1932="",CN1932="",CO1932=""),"",IF(AND(CM1932&gt;=2000,CM1932&lt;=2099,CN1932&gt;=1,CN1932&lt;=12,CO1932&gt;=1,CO1932&lt;=31),IF(MONTH(DATE(CM1932,CN1932,CO1932))=CN1932,DATE(CM1932,CN1932,CO1932),""),"")))),"")</f>
        <v/>
      </c>
      <c r="CJ1932">
        <f>IFERROR(IF('월 가계부'!C1932="","",IF(ISNUMBER('월 가계부'!C1932),'월 가계부'!C1932,VALUE(SUBSTITUTE(SUBSTITUTE(SUBSTITUTE(SUBSTITUTE(TRIM('월 가계부'!C1932),",",""),"원","")," ",""),"−","-")))),"")</f>
        <v/>
      </c>
      <c r="CK1932">
        <f>IF(ISNUMBER(CI1932),IF(CI1932&lt;$B$13,CI1932,""),"")</f>
        <v/>
      </c>
      <c r="CM1932">
        <f>IF(CH1932="","",IFERROR(IF(IF(AND(LEN(CH1932)=9,ISERROR(FIND("-",LEFT(CH1932,8))),ISNUMBER(-LEFT(CH1932,8))),VALUE(LEFT(CH1932,4)),VALUE(LEFT(CH1932,FIND("-",CH1932)-1)))&lt;100,IF(AND(LEN(CH1932)=9,ISERROR(FIND("-",LEFT(CH1932,8))),ISNUMBER(-LEFT(CH1932,8))),VALUE(LEFT(CH1932,4)),VALUE(LEFT(CH1932,FIND("-",CH1932)-1)))+2000,IF(AND(LEN(CH1932)=9,ISERROR(FIND("-",LEFT(CH1932,8))),ISNUMBER(-LEFT(CH1932,8))),VALUE(LEFT(CH1932,4)),VALUE(LEFT(CH1932,FIND("-",CH1932)-1)))),""))</f>
        <v/>
      </c>
      <c r="CN1932">
        <f>IF(CH1932="","",IFERROR(IF(AND(LEN(CH1932)=9,ISERROR(FIND("-",LEFT(CH1932,8))),ISNUMBER(-LEFT(CH1932,8))),VALUE(MID(CH1932,5,2)),VALUE(MID(CH1932,FIND("-",CH1932)+1,FIND("-",CH1932,FIND("-",CH1932)+1)-FIND("-",CH1932)-1))),""))</f>
        <v/>
      </c>
      <c r="CO1932">
        <f>IF(CH1932="","",IFERROR(IF(AND(LEN(CH1932)=9,ISERROR(FIND("-",LEFT(CH1932,8))),ISNUMBER(-LEFT(CH1932,8))),VALUE(MID(CH1932,7,2)),VALUE(MID(CH1932,FIND("-",CH1932,FIND("-",CH1932)+1)+1,FIND("-",CH1932,FIND("-",CH1932,FIND("-",CH1932)+1)+1)-FIND("-",CH1932,FIND("-",CH1932)+1)-1))),""))</f>
        <v/>
      </c>
    </row>
    <row r="1933">
      <c r="CH1933">
        <f>IF(ISTEXT('월 가계부'!A1933),SUBSTITUTE(SUBSTITUTE(SUBSTITUTE(SUBSTITUTE(SUBSTITUTE(SUBSTITUTE(SUBSTITUTE(SUBSTITUTE(SUBSTITUTE(TRIM('월 가계부'!A1933),"년","-"),"월","-"),"일",""),".","-"),"/","-")," ","-"),"--","-"),"--","-"),"--","-")&amp;"-","")</f>
        <v/>
      </c>
      <c r="CI1933">
        <f>IFERROR(IF('월 가계부'!A1933="","",IF(ISNUMBER('월 가계부'!A1933),IF(AND('월 가계부'!A1933&gt;=19000101,'월 가계부'!A1933&lt;=21001231),IF(AND(MOD(INT('월 가계부'!A1933/100),100)&gt;=1,MOD(INT('월 가계부'!A1933/100),100)&lt;=12,MOD(INT('월 가계부'!A1933),100)&gt;=1,MOD(INT('월 가계부'!A1933),100)&lt;=31),IF(MONTH(DATE(INT('월 가계부'!A1933/10000),MOD(INT('월 가계부'!A1933/100),100),MOD(INT('월 가계부'!A1933),100)))=MOD(INT('월 가계부'!A1933/100),100),DATE(INT('월 가계부'!A1933/10000),MOD(INT('월 가계부'!A1933/100),100),MOD(INT('월 가계부'!A1933),100)),""),""),IF(AND('월 가계부'!A1933&gt;=36526,'월 가계부'!A1933&lt;73051),INT('월 가계부'!A1933),"")),IF(OR(CM1933="",CN1933="",CO1933=""),"",IF(AND(CM1933&gt;=2000,CM1933&lt;=2099,CN1933&gt;=1,CN1933&lt;=12,CO1933&gt;=1,CO1933&lt;=31),IF(MONTH(DATE(CM1933,CN1933,CO1933))=CN1933,DATE(CM1933,CN1933,CO1933),""),"")))),"")</f>
        <v/>
      </c>
      <c r="CJ1933">
        <f>IFERROR(IF('월 가계부'!C1933="","",IF(ISNUMBER('월 가계부'!C1933),'월 가계부'!C1933,VALUE(SUBSTITUTE(SUBSTITUTE(SUBSTITUTE(SUBSTITUTE(TRIM('월 가계부'!C1933),",",""),"원","")," ",""),"−","-")))),"")</f>
        <v/>
      </c>
      <c r="CK1933">
        <f>IF(ISNUMBER(CI1933),IF(CI1933&lt;$B$13,CI1933,""),"")</f>
        <v/>
      </c>
      <c r="CM1933">
        <f>IF(CH1933="","",IFERROR(IF(IF(AND(LEN(CH1933)=9,ISERROR(FIND("-",LEFT(CH1933,8))),ISNUMBER(-LEFT(CH1933,8))),VALUE(LEFT(CH1933,4)),VALUE(LEFT(CH1933,FIND("-",CH1933)-1)))&lt;100,IF(AND(LEN(CH1933)=9,ISERROR(FIND("-",LEFT(CH1933,8))),ISNUMBER(-LEFT(CH1933,8))),VALUE(LEFT(CH1933,4)),VALUE(LEFT(CH1933,FIND("-",CH1933)-1)))+2000,IF(AND(LEN(CH1933)=9,ISERROR(FIND("-",LEFT(CH1933,8))),ISNUMBER(-LEFT(CH1933,8))),VALUE(LEFT(CH1933,4)),VALUE(LEFT(CH1933,FIND("-",CH1933)-1)))),""))</f>
        <v/>
      </c>
      <c r="CN1933">
        <f>IF(CH1933="","",IFERROR(IF(AND(LEN(CH1933)=9,ISERROR(FIND("-",LEFT(CH1933,8))),ISNUMBER(-LEFT(CH1933,8))),VALUE(MID(CH1933,5,2)),VALUE(MID(CH1933,FIND("-",CH1933)+1,FIND("-",CH1933,FIND("-",CH1933)+1)-FIND("-",CH1933)-1))),""))</f>
        <v/>
      </c>
      <c r="CO1933">
        <f>IF(CH1933="","",IFERROR(IF(AND(LEN(CH1933)=9,ISERROR(FIND("-",LEFT(CH1933,8))),ISNUMBER(-LEFT(CH1933,8))),VALUE(MID(CH1933,7,2)),VALUE(MID(CH1933,FIND("-",CH1933,FIND("-",CH1933)+1)+1,FIND("-",CH1933,FIND("-",CH1933,FIND("-",CH1933)+1)+1)-FIND("-",CH1933,FIND("-",CH1933)+1)-1))),""))</f>
        <v/>
      </c>
    </row>
    <row r="1934">
      <c r="CH1934">
        <f>IF(ISTEXT('월 가계부'!A1934),SUBSTITUTE(SUBSTITUTE(SUBSTITUTE(SUBSTITUTE(SUBSTITUTE(SUBSTITUTE(SUBSTITUTE(SUBSTITUTE(SUBSTITUTE(TRIM('월 가계부'!A1934),"년","-"),"월","-"),"일",""),".","-"),"/","-")," ","-"),"--","-"),"--","-"),"--","-")&amp;"-","")</f>
        <v/>
      </c>
      <c r="CI1934">
        <f>IFERROR(IF('월 가계부'!A1934="","",IF(ISNUMBER('월 가계부'!A1934),IF(AND('월 가계부'!A1934&gt;=19000101,'월 가계부'!A1934&lt;=21001231),IF(AND(MOD(INT('월 가계부'!A1934/100),100)&gt;=1,MOD(INT('월 가계부'!A1934/100),100)&lt;=12,MOD(INT('월 가계부'!A1934),100)&gt;=1,MOD(INT('월 가계부'!A1934),100)&lt;=31),IF(MONTH(DATE(INT('월 가계부'!A1934/10000),MOD(INT('월 가계부'!A1934/100),100),MOD(INT('월 가계부'!A1934),100)))=MOD(INT('월 가계부'!A1934/100),100),DATE(INT('월 가계부'!A1934/10000),MOD(INT('월 가계부'!A1934/100),100),MOD(INT('월 가계부'!A1934),100)),""),""),IF(AND('월 가계부'!A1934&gt;=36526,'월 가계부'!A1934&lt;73051),INT('월 가계부'!A1934),"")),IF(OR(CM1934="",CN1934="",CO1934=""),"",IF(AND(CM1934&gt;=2000,CM1934&lt;=2099,CN1934&gt;=1,CN1934&lt;=12,CO1934&gt;=1,CO1934&lt;=31),IF(MONTH(DATE(CM1934,CN1934,CO1934))=CN1934,DATE(CM1934,CN1934,CO1934),""),"")))),"")</f>
        <v/>
      </c>
      <c r="CJ1934">
        <f>IFERROR(IF('월 가계부'!C1934="","",IF(ISNUMBER('월 가계부'!C1934),'월 가계부'!C1934,VALUE(SUBSTITUTE(SUBSTITUTE(SUBSTITUTE(SUBSTITUTE(TRIM('월 가계부'!C1934),",",""),"원","")," ",""),"−","-")))),"")</f>
        <v/>
      </c>
      <c r="CK1934">
        <f>IF(ISNUMBER(CI1934),IF(CI1934&lt;$B$13,CI1934,""),"")</f>
        <v/>
      </c>
      <c r="CM1934">
        <f>IF(CH1934="","",IFERROR(IF(IF(AND(LEN(CH1934)=9,ISERROR(FIND("-",LEFT(CH1934,8))),ISNUMBER(-LEFT(CH1934,8))),VALUE(LEFT(CH1934,4)),VALUE(LEFT(CH1934,FIND("-",CH1934)-1)))&lt;100,IF(AND(LEN(CH1934)=9,ISERROR(FIND("-",LEFT(CH1934,8))),ISNUMBER(-LEFT(CH1934,8))),VALUE(LEFT(CH1934,4)),VALUE(LEFT(CH1934,FIND("-",CH1934)-1)))+2000,IF(AND(LEN(CH1934)=9,ISERROR(FIND("-",LEFT(CH1934,8))),ISNUMBER(-LEFT(CH1934,8))),VALUE(LEFT(CH1934,4)),VALUE(LEFT(CH1934,FIND("-",CH1934)-1)))),""))</f>
        <v/>
      </c>
      <c r="CN1934">
        <f>IF(CH1934="","",IFERROR(IF(AND(LEN(CH1934)=9,ISERROR(FIND("-",LEFT(CH1934,8))),ISNUMBER(-LEFT(CH1934,8))),VALUE(MID(CH1934,5,2)),VALUE(MID(CH1934,FIND("-",CH1934)+1,FIND("-",CH1934,FIND("-",CH1934)+1)-FIND("-",CH1934)-1))),""))</f>
        <v/>
      </c>
      <c r="CO1934">
        <f>IF(CH1934="","",IFERROR(IF(AND(LEN(CH1934)=9,ISERROR(FIND("-",LEFT(CH1934,8))),ISNUMBER(-LEFT(CH1934,8))),VALUE(MID(CH1934,7,2)),VALUE(MID(CH1934,FIND("-",CH1934,FIND("-",CH1934)+1)+1,FIND("-",CH1934,FIND("-",CH1934,FIND("-",CH1934)+1)+1)-FIND("-",CH1934,FIND("-",CH1934)+1)-1))),""))</f>
        <v/>
      </c>
    </row>
    <row r="1935">
      <c r="CH1935">
        <f>IF(ISTEXT('월 가계부'!A1935),SUBSTITUTE(SUBSTITUTE(SUBSTITUTE(SUBSTITUTE(SUBSTITUTE(SUBSTITUTE(SUBSTITUTE(SUBSTITUTE(SUBSTITUTE(TRIM('월 가계부'!A1935),"년","-"),"월","-"),"일",""),".","-"),"/","-")," ","-"),"--","-"),"--","-"),"--","-")&amp;"-","")</f>
        <v/>
      </c>
      <c r="CI1935">
        <f>IFERROR(IF('월 가계부'!A1935="","",IF(ISNUMBER('월 가계부'!A1935),IF(AND('월 가계부'!A1935&gt;=19000101,'월 가계부'!A1935&lt;=21001231),IF(AND(MOD(INT('월 가계부'!A1935/100),100)&gt;=1,MOD(INT('월 가계부'!A1935/100),100)&lt;=12,MOD(INT('월 가계부'!A1935),100)&gt;=1,MOD(INT('월 가계부'!A1935),100)&lt;=31),IF(MONTH(DATE(INT('월 가계부'!A1935/10000),MOD(INT('월 가계부'!A1935/100),100),MOD(INT('월 가계부'!A1935),100)))=MOD(INT('월 가계부'!A1935/100),100),DATE(INT('월 가계부'!A1935/10000),MOD(INT('월 가계부'!A1935/100),100),MOD(INT('월 가계부'!A1935),100)),""),""),IF(AND('월 가계부'!A1935&gt;=36526,'월 가계부'!A1935&lt;73051),INT('월 가계부'!A1935),"")),IF(OR(CM1935="",CN1935="",CO1935=""),"",IF(AND(CM1935&gt;=2000,CM1935&lt;=2099,CN1935&gt;=1,CN1935&lt;=12,CO1935&gt;=1,CO1935&lt;=31),IF(MONTH(DATE(CM1935,CN1935,CO1935))=CN1935,DATE(CM1935,CN1935,CO1935),""),"")))),"")</f>
        <v/>
      </c>
      <c r="CJ1935">
        <f>IFERROR(IF('월 가계부'!C1935="","",IF(ISNUMBER('월 가계부'!C1935),'월 가계부'!C1935,VALUE(SUBSTITUTE(SUBSTITUTE(SUBSTITUTE(SUBSTITUTE(TRIM('월 가계부'!C1935),",",""),"원","")," ",""),"−","-")))),"")</f>
        <v/>
      </c>
      <c r="CK1935">
        <f>IF(ISNUMBER(CI1935),IF(CI1935&lt;$B$13,CI1935,""),"")</f>
        <v/>
      </c>
      <c r="CM1935">
        <f>IF(CH1935="","",IFERROR(IF(IF(AND(LEN(CH1935)=9,ISERROR(FIND("-",LEFT(CH1935,8))),ISNUMBER(-LEFT(CH1935,8))),VALUE(LEFT(CH1935,4)),VALUE(LEFT(CH1935,FIND("-",CH1935)-1)))&lt;100,IF(AND(LEN(CH1935)=9,ISERROR(FIND("-",LEFT(CH1935,8))),ISNUMBER(-LEFT(CH1935,8))),VALUE(LEFT(CH1935,4)),VALUE(LEFT(CH1935,FIND("-",CH1935)-1)))+2000,IF(AND(LEN(CH1935)=9,ISERROR(FIND("-",LEFT(CH1935,8))),ISNUMBER(-LEFT(CH1935,8))),VALUE(LEFT(CH1935,4)),VALUE(LEFT(CH1935,FIND("-",CH1935)-1)))),""))</f>
        <v/>
      </c>
      <c r="CN1935">
        <f>IF(CH1935="","",IFERROR(IF(AND(LEN(CH1935)=9,ISERROR(FIND("-",LEFT(CH1935,8))),ISNUMBER(-LEFT(CH1935,8))),VALUE(MID(CH1935,5,2)),VALUE(MID(CH1935,FIND("-",CH1935)+1,FIND("-",CH1935,FIND("-",CH1935)+1)-FIND("-",CH1935)-1))),""))</f>
        <v/>
      </c>
      <c r="CO1935">
        <f>IF(CH1935="","",IFERROR(IF(AND(LEN(CH1935)=9,ISERROR(FIND("-",LEFT(CH1935,8))),ISNUMBER(-LEFT(CH1935,8))),VALUE(MID(CH1935,7,2)),VALUE(MID(CH1935,FIND("-",CH1935,FIND("-",CH1935)+1)+1,FIND("-",CH1935,FIND("-",CH1935,FIND("-",CH1935)+1)+1)-FIND("-",CH1935,FIND("-",CH1935)+1)-1))),""))</f>
        <v/>
      </c>
    </row>
    <row r="1936">
      <c r="CH1936">
        <f>IF(ISTEXT('월 가계부'!A1936),SUBSTITUTE(SUBSTITUTE(SUBSTITUTE(SUBSTITUTE(SUBSTITUTE(SUBSTITUTE(SUBSTITUTE(SUBSTITUTE(SUBSTITUTE(TRIM('월 가계부'!A1936),"년","-"),"월","-"),"일",""),".","-"),"/","-")," ","-"),"--","-"),"--","-"),"--","-")&amp;"-","")</f>
        <v/>
      </c>
      <c r="CI1936">
        <f>IFERROR(IF('월 가계부'!A1936="","",IF(ISNUMBER('월 가계부'!A1936),IF(AND('월 가계부'!A1936&gt;=19000101,'월 가계부'!A1936&lt;=21001231),IF(AND(MOD(INT('월 가계부'!A1936/100),100)&gt;=1,MOD(INT('월 가계부'!A1936/100),100)&lt;=12,MOD(INT('월 가계부'!A1936),100)&gt;=1,MOD(INT('월 가계부'!A1936),100)&lt;=31),IF(MONTH(DATE(INT('월 가계부'!A1936/10000),MOD(INT('월 가계부'!A1936/100),100),MOD(INT('월 가계부'!A1936),100)))=MOD(INT('월 가계부'!A1936/100),100),DATE(INT('월 가계부'!A1936/10000),MOD(INT('월 가계부'!A1936/100),100),MOD(INT('월 가계부'!A1936),100)),""),""),IF(AND('월 가계부'!A1936&gt;=36526,'월 가계부'!A1936&lt;73051),INT('월 가계부'!A1936),"")),IF(OR(CM1936="",CN1936="",CO1936=""),"",IF(AND(CM1936&gt;=2000,CM1936&lt;=2099,CN1936&gt;=1,CN1936&lt;=12,CO1936&gt;=1,CO1936&lt;=31),IF(MONTH(DATE(CM1936,CN1936,CO1936))=CN1936,DATE(CM1936,CN1936,CO1936),""),"")))),"")</f>
        <v/>
      </c>
      <c r="CJ1936">
        <f>IFERROR(IF('월 가계부'!C1936="","",IF(ISNUMBER('월 가계부'!C1936),'월 가계부'!C1936,VALUE(SUBSTITUTE(SUBSTITUTE(SUBSTITUTE(SUBSTITUTE(TRIM('월 가계부'!C1936),",",""),"원","")," ",""),"−","-")))),"")</f>
        <v/>
      </c>
      <c r="CK1936">
        <f>IF(ISNUMBER(CI1936),IF(CI1936&lt;$B$13,CI1936,""),"")</f>
        <v/>
      </c>
      <c r="CM1936">
        <f>IF(CH1936="","",IFERROR(IF(IF(AND(LEN(CH1936)=9,ISERROR(FIND("-",LEFT(CH1936,8))),ISNUMBER(-LEFT(CH1936,8))),VALUE(LEFT(CH1936,4)),VALUE(LEFT(CH1936,FIND("-",CH1936)-1)))&lt;100,IF(AND(LEN(CH1936)=9,ISERROR(FIND("-",LEFT(CH1936,8))),ISNUMBER(-LEFT(CH1936,8))),VALUE(LEFT(CH1936,4)),VALUE(LEFT(CH1936,FIND("-",CH1936)-1)))+2000,IF(AND(LEN(CH1936)=9,ISERROR(FIND("-",LEFT(CH1936,8))),ISNUMBER(-LEFT(CH1936,8))),VALUE(LEFT(CH1936,4)),VALUE(LEFT(CH1936,FIND("-",CH1936)-1)))),""))</f>
        <v/>
      </c>
      <c r="CN1936">
        <f>IF(CH1936="","",IFERROR(IF(AND(LEN(CH1936)=9,ISERROR(FIND("-",LEFT(CH1936,8))),ISNUMBER(-LEFT(CH1936,8))),VALUE(MID(CH1936,5,2)),VALUE(MID(CH1936,FIND("-",CH1936)+1,FIND("-",CH1936,FIND("-",CH1936)+1)-FIND("-",CH1936)-1))),""))</f>
        <v/>
      </c>
      <c r="CO1936">
        <f>IF(CH1936="","",IFERROR(IF(AND(LEN(CH1936)=9,ISERROR(FIND("-",LEFT(CH1936,8))),ISNUMBER(-LEFT(CH1936,8))),VALUE(MID(CH1936,7,2)),VALUE(MID(CH1936,FIND("-",CH1936,FIND("-",CH1936)+1)+1,FIND("-",CH1936,FIND("-",CH1936,FIND("-",CH1936)+1)+1)-FIND("-",CH1936,FIND("-",CH1936)+1)-1))),""))</f>
        <v/>
      </c>
    </row>
    <row r="1937">
      <c r="CH1937">
        <f>IF(ISTEXT('월 가계부'!A1937),SUBSTITUTE(SUBSTITUTE(SUBSTITUTE(SUBSTITUTE(SUBSTITUTE(SUBSTITUTE(SUBSTITUTE(SUBSTITUTE(SUBSTITUTE(TRIM('월 가계부'!A1937),"년","-"),"월","-"),"일",""),".","-"),"/","-")," ","-"),"--","-"),"--","-"),"--","-")&amp;"-","")</f>
        <v/>
      </c>
      <c r="CI1937">
        <f>IFERROR(IF('월 가계부'!A1937="","",IF(ISNUMBER('월 가계부'!A1937),IF(AND('월 가계부'!A1937&gt;=19000101,'월 가계부'!A1937&lt;=21001231),IF(AND(MOD(INT('월 가계부'!A1937/100),100)&gt;=1,MOD(INT('월 가계부'!A1937/100),100)&lt;=12,MOD(INT('월 가계부'!A1937),100)&gt;=1,MOD(INT('월 가계부'!A1937),100)&lt;=31),IF(MONTH(DATE(INT('월 가계부'!A1937/10000),MOD(INT('월 가계부'!A1937/100),100),MOD(INT('월 가계부'!A1937),100)))=MOD(INT('월 가계부'!A1937/100),100),DATE(INT('월 가계부'!A1937/10000),MOD(INT('월 가계부'!A1937/100),100),MOD(INT('월 가계부'!A1937),100)),""),""),IF(AND('월 가계부'!A1937&gt;=36526,'월 가계부'!A1937&lt;73051),INT('월 가계부'!A1937),"")),IF(OR(CM1937="",CN1937="",CO1937=""),"",IF(AND(CM1937&gt;=2000,CM1937&lt;=2099,CN1937&gt;=1,CN1937&lt;=12,CO1937&gt;=1,CO1937&lt;=31),IF(MONTH(DATE(CM1937,CN1937,CO1937))=CN1937,DATE(CM1937,CN1937,CO1937),""),"")))),"")</f>
        <v/>
      </c>
      <c r="CJ1937">
        <f>IFERROR(IF('월 가계부'!C1937="","",IF(ISNUMBER('월 가계부'!C1937),'월 가계부'!C1937,VALUE(SUBSTITUTE(SUBSTITUTE(SUBSTITUTE(SUBSTITUTE(TRIM('월 가계부'!C1937),",",""),"원","")," ",""),"−","-")))),"")</f>
        <v/>
      </c>
      <c r="CK1937">
        <f>IF(ISNUMBER(CI1937),IF(CI1937&lt;$B$13,CI1937,""),"")</f>
        <v/>
      </c>
      <c r="CM1937">
        <f>IF(CH1937="","",IFERROR(IF(IF(AND(LEN(CH1937)=9,ISERROR(FIND("-",LEFT(CH1937,8))),ISNUMBER(-LEFT(CH1937,8))),VALUE(LEFT(CH1937,4)),VALUE(LEFT(CH1937,FIND("-",CH1937)-1)))&lt;100,IF(AND(LEN(CH1937)=9,ISERROR(FIND("-",LEFT(CH1937,8))),ISNUMBER(-LEFT(CH1937,8))),VALUE(LEFT(CH1937,4)),VALUE(LEFT(CH1937,FIND("-",CH1937)-1)))+2000,IF(AND(LEN(CH1937)=9,ISERROR(FIND("-",LEFT(CH1937,8))),ISNUMBER(-LEFT(CH1937,8))),VALUE(LEFT(CH1937,4)),VALUE(LEFT(CH1937,FIND("-",CH1937)-1)))),""))</f>
        <v/>
      </c>
      <c r="CN1937">
        <f>IF(CH1937="","",IFERROR(IF(AND(LEN(CH1937)=9,ISERROR(FIND("-",LEFT(CH1937,8))),ISNUMBER(-LEFT(CH1937,8))),VALUE(MID(CH1937,5,2)),VALUE(MID(CH1937,FIND("-",CH1937)+1,FIND("-",CH1937,FIND("-",CH1937)+1)-FIND("-",CH1937)-1))),""))</f>
        <v/>
      </c>
      <c r="CO1937">
        <f>IF(CH1937="","",IFERROR(IF(AND(LEN(CH1937)=9,ISERROR(FIND("-",LEFT(CH1937,8))),ISNUMBER(-LEFT(CH1937,8))),VALUE(MID(CH1937,7,2)),VALUE(MID(CH1937,FIND("-",CH1937,FIND("-",CH1937)+1)+1,FIND("-",CH1937,FIND("-",CH1937,FIND("-",CH1937)+1)+1)-FIND("-",CH1937,FIND("-",CH1937)+1)-1))),""))</f>
        <v/>
      </c>
    </row>
    <row r="1938">
      <c r="CH1938">
        <f>IF(ISTEXT('월 가계부'!A1938),SUBSTITUTE(SUBSTITUTE(SUBSTITUTE(SUBSTITUTE(SUBSTITUTE(SUBSTITUTE(SUBSTITUTE(SUBSTITUTE(SUBSTITUTE(TRIM('월 가계부'!A1938),"년","-"),"월","-"),"일",""),".","-"),"/","-")," ","-"),"--","-"),"--","-"),"--","-")&amp;"-","")</f>
        <v/>
      </c>
      <c r="CI1938">
        <f>IFERROR(IF('월 가계부'!A1938="","",IF(ISNUMBER('월 가계부'!A1938),IF(AND('월 가계부'!A1938&gt;=19000101,'월 가계부'!A1938&lt;=21001231),IF(AND(MOD(INT('월 가계부'!A1938/100),100)&gt;=1,MOD(INT('월 가계부'!A1938/100),100)&lt;=12,MOD(INT('월 가계부'!A1938),100)&gt;=1,MOD(INT('월 가계부'!A1938),100)&lt;=31),IF(MONTH(DATE(INT('월 가계부'!A1938/10000),MOD(INT('월 가계부'!A1938/100),100),MOD(INT('월 가계부'!A1938),100)))=MOD(INT('월 가계부'!A1938/100),100),DATE(INT('월 가계부'!A1938/10000),MOD(INT('월 가계부'!A1938/100),100),MOD(INT('월 가계부'!A1938),100)),""),""),IF(AND('월 가계부'!A1938&gt;=36526,'월 가계부'!A1938&lt;73051),INT('월 가계부'!A1938),"")),IF(OR(CM1938="",CN1938="",CO1938=""),"",IF(AND(CM1938&gt;=2000,CM1938&lt;=2099,CN1938&gt;=1,CN1938&lt;=12,CO1938&gt;=1,CO1938&lt;=31),IF(MONTH(DATE(CM1938,CN1938,CO1938))=CN1938,DATE(CM1938,CN1938,CO1938),""),"")))),"")</f>
        <v/>
      </c>
      <c r="CJ1938">
        <f>IFERROR(IF('월 가계부'!C1938="","",IF(ISNUMBER('월 가계부'!C1938),'월 가계부'!C1938,VALUE(SUBSTITUTE(SUBSTITUTE(SUBSTITUTE(SUBSTITUTE(TRIM('월 가계부'!C1938),",",""),"원","")," ",""),"−","-")))),"")</f>
        <v/>
      </c>
      <c r="CK1938">
        <f>IF(ISNUMBER(CI1938),IF(CI1938&lt;$B$13,CI1938,""),"")</f>
        <v/>
      </c>
      <c r="CM1938">
        <f>IF(CH1938="","",IFERROR(IF(IF(AND(LEN(CH1938)=9,ISERROR(FIND("-",LEFT(CH1938,8))),ISNUMBER(-LEFT(CH1938,8))),VALUE(LEFT(CH1938,4)),VALUE(LEFT(CH1938,FIND("-",CH1938)-1)))&lt;100,IF(AND(LEN(CH1938)=9,ISERROR(FIND("-",LEFT(CH1938,8))),ISNUMBER(-LEFT(CH1938,8))),VALUE(LEFT(CH1938,4)),VALUE(LEFT(CH1938,FIND("-",CH1938)-1)))+2000,IF(AND(LEN(CH1938)=9,ISERROR(FIND("-",LEFT(CH1938,8))),ISNUMBER(-LEFT(CH1938,8))),VALUE(LEFT(CH1938,4)),VALUE(LEFT(CH1938,FIND("-",CH1938)-1)))),""))</f>
        <v/>
      </c>
      <c r="CN1938">
        <f>IF(CH1938="","",IFERROR(IF(AND(LEN(CH1938)=9,ISERROR(FIND("-",LEFT(CH1938,8))),ISNUMBER(-LEFT(CH1938,8))),VALUE(MID(CH1938,5,2)),VALUE(MID(CH1938,FIND("-",CH1938)+1,FIND("-",CH1938,FIND("-",CH1938)+1)-FIND("-",CH1938)-1))),""))</f>
        <v/>
      </c>
      <c r="CO1938">
        <f>IF(CH1938="","",IFERROR(IF(AND(LEN(CH1938)=9,ISERROR(FIND("-",LEFT(CH1938,8))),ISNUMBER(-LEFT(CH1938,8))),VALUE(MID(CH1938,7,2)),VALUE(MID(CH1938,FIND("-",CH1938,FIND("-",CH1938)+1)+1,FIND("-",CH1938,FIND("-",CH1938,FIND("-",CH1938)+1)+1)-FIND("-",CH1938,FIND("-",CH1938)+1)-1))),""))</f>
        <v/>
      </c>
    </row>
    <row r="1939">
      <c r="CH1939">
        <f>IF(ISTEXT('월 가계부'!A1939),SUBSTITUTE(SUBSTITUTE(SUBSTITUTE(SUBSTITUTE(SUBSTITUTE(SUBSTITUTE(SUBSTITUTE(SUBSTITUTE(SUBSTITUTE(TRIM('월 가계부'!A1939),"년","-"),"월","-"),"일",""),".","-"),"/","-")," ","-"),"--","-"),"--","-"),"--","-")&amp;"-","")</f>
        <v/>
      </c>
      <c r="CI1939">
        <f>IFERROR(IF('월 가계부'!A1939="","",IF(ISNUMBER('월 가계부'!A1939),IF(AND('월 가계부'!A1939&gt;=19000101,'월 가계부'!A1939&lt;=21001231),IF(AND(MOD(INT('월 가계부'!A1939/100),100)&gt;=1,MOD(INT('월 가계부'!A1939/100),100)&lt;=12,MOD(INT('월 가계부'!A1939),100)&gt;=1,MOD(INT('월 가계부'!A1939),100)&lt;=31),IF(MONTH(DATE(INT('월 가계부'!A1939/10000),MOD(INT('월 가계부'!A1939/100),100),MOD(INT('월 가계부'!A1939),100)))=MOD(INT('월 가계부'!A1939/100),100),DATE(INT('월 가계부'!A1939/10000),MOD(INT('월 가계부'!A1939/100),100),MOD(INT('월 가계부'!A1939),100)),""),""),IF(AND('월 가계부'!A1939&gt;=36526,'월 가계부'!A1939&lt;73051),INT('월 가계부'!A1939),"")),IF(OR(CM1939="",CN1939="",CO1939=""),"",IF(AND(CM1939&gt;=2000,CM1939&lt;=2099,CN1939&gt;=1,CN1939&lt;=12,CO1939&gt;=1,CO1939&lt;=31),IF(MONTH(DATE(CM1939,CN1939,CO1939))=CN1939,DATE(CM1939,CN1939,CO1939),""),"")))),"")</f>
        <v/>
      </c>
      <c r="CJ1939">
        <f>IFERROR(IF('월 가계부'!C1939="","",IF(ISNUMBER('월 가계부'!C1939),'월 가계부'!C1939,VALUE(SUBSTITUTE(SUBSTITUTE(SUBSTITUTE(SUBSTITUTE(TRIM('월 가계부'!C1939),",",""),"원","")," ",""),"−","-")))),"")</f>
        <v/>
      </c>
      <c r="CK1939">
        <f>IF(ISNUMBER(CI1939),IF(CI1939&lt;$B$13,CI1939,""),"")</f>
        <v/>
      </c>
      <c r="CM1939">
        <f>IF(CH1939="","",IFERROR(IF(IF(AND(LEN(CH1939)=9,ISERROR(FIND("-",LEFT(CH1939,8))),ISNUMBER(-LEFT(CH1939,8))),VALUE(LEFT(CH1939,4)),VALUE(LEFT(CH1939,FIND("-",CH1939)-1)))&lt;100,IF(AND(LEN(CH1939)=9,ISERROR(FIND("-",LEFT(CH1939,8))),ISNUMBER(-LEFT(CH1939,8))),VALUE(LEFT(CH1939,4)),VALUE(LEFT(CH1939,FIND("-",CH1939)-1)))+2000,IF(AND(LEN(CH1939)=9,ISERROR(FIND("-",LEFT(CH1939,8))),ISNUMBER(-LEFT(CH1939,8))),VALUE(LEFT(CH1939,4)),VALUE(LEFT(CH1939,FIND("-",CH1939)-1)))),""))</f>
        <v/>
      </c>
      <c r="CN1939">
        <f>IF(CH1939="","",IFERROR(IF(AND(LEN(CH1939)=9,ISERROR(FIND("-",LEFT(CH1939,8))),ISNUMBER(-LEFT(CH1939,8))),VALUE(MID(CH1939,5,2)),VALUE(MID(CH1939,FIND("-",CH1939)+1,FIND("-",CH1939,FIND("-",CH1939)+1)-FIND("-",CH1939)-1))),""))</f>
        <v/>
      </c>
      <c r="CO1939">
        <f>IF(CH1939="","",IFERROR(IF(AND(LEN(CH1939)=9,ISERROR(FIND("-",LEFT(CH1939,8))),ISNUMBER(-LEFT(CH1939,8))),VALUE(MID(CH1939,7,2)),VALUE(MID(CH1939,FIND("-",CH1939,FIND("-",CH1939)+1)+1,FIND("-",CH1939,FIND("-",CH1939,FIND("-",CH1939)+1)+1)-FIND("-",CH1939,FIND("-",CH1939)+1)-1))),""))</f>
        <v/>
      </c>
    </row>
    <row r="1940">
      <c r="CH1940">
        <f>IF(ISTEXT('월 가계부'!A1940),SUBSTITUTE(SUBSTITUTE(SUBSTITUTE(SUBSTITUTE(SUBSTITUTE(SUBSTITUTE(SUBSTITUTE(SUBSTITUTE(SUBSTITUTE(TRIM('월 가계부'!A1940),"년","-"),"월","-"),"일",""),".","-"),"/","-")," ","-"),"--","-"),"--","-"),"--","-")&amp;"-","")</f>
        <v/>
      </c>
      <c r="CI1940">
        <f>IFERROR(IF('월 가계부'!A1940="","",IF(ISNUMBER('월 가계부'!A1940),IF(AND('월 가계부'!A1940&gt;=19000101,'월 가계부'!A1940&lt;=21001231),IF(AND(MOD(INT('월 가계부'!A1940/100),100)&gt;=1,MOD(INT('월 가계부'!A1940/100),100)&lt;=12,MOD(INT('월 가계부'!A1940),100)&gt;=1,MOD(INT('월 가계부'!A1940),100)&lt;=31),IF(MONTH(DATE(INT('월 가계부'!A1940/10000),MOD(INT('월 가계부'!A1940/100),100),MOD(INT('월 가계부'!A1940),100)))=MOD(INT('월 가계부'!A1940/100),100),DATE(INT('월 가계부'!A1940/10000),MOD(INT('월 가계부'!A1940/100),100),MOD(INT('월 가계부'!A1940),100)),""),""),IF(AND('월 가계부'!A1940&gt;=36526,'월 가계부'!A1940&lt;73051),INT('월 가계부'!A1940),"")),IF(OR(CM1940="",CN1940="",CO1940=""),"",IF(AND(CM1940&gt;=2000,CM1940&lt;=2099,CN1940&gt;=1,CN1940&lt;=12,CO1940&gt;=1,CO1940&lt;=31),IF(MONTH(DATE(CM1940,CN1940,CO1940))=CN1940,DATE(CM1940,CN1940,CO1940),""),"")))),"")</f>
        <v/>
      </c>
      <c r="CJ1940">
        <f>IFERROR(IF('월 가계부'!C1940="","",IF(ISNUMBER('월 가계부'!C1940),'월 가계부'!C1940,VALUE(SUBSTITUTE(SUBSTITUTE(SUBSTITUTE(SUBSTITUTE(TRIM('월 가계부'!C1940),",",""),"원","")," ",""),"−","-")))),"")</f>
        <v/>
      </c>
      <c r="CK1940">
        <f>IF(ISNUMBER(CI1940),IF(CI1940&lt;$B$13,CI1940,""),"")</f>
        <v/>
      </c>
      <c r="CM1940">
        <f>IF(CH1940="","",IFERROR(IF(IF(AND(LEN(CH1940)=9,ISERROR(FIND("-",LEFT(CH1940,8))),ISNUMBER(-LEFT(CH1940,8))),VALUE(LEFT(CH1940,4)),VALUE(LEFT(CH1940,FIND("-",CH1940)-1)))&lt;100,IF(AND(LEN(CH1940)=9,ISERROR(FIND("-",LEFT(CH1940,8))),ISNUMBER(-LEFT(CH1940,8))),VALUE(LEFT(CH1940,4)),VALUE(LEFT(CH1940,FIND("-",CH1940)-1)))+2000,IF(AND(LEN(CH1940)=9,ISERROR(FIND("-",LEFT(CH1940,8))),ISNUMBER(-LEFT(CH1940,8))),VALUE(LEFT(CH1940,4)),VALUE(LEFT(CH1940,FIND("-",CH1940)-1)))),""))</f>
        <v/>
      </c>
      <c r="CN1940">
        <f>IF(CH1940="","",IFERROR(IF(AND(LEN(CH1940)=9,ISERROR(FIND("-",LEFT(CH1940,8))),ISNUMBER(-LEFT(CH1940,8))),VALUE(MID(CH1940,5,2)),VALUE(MID(CH1940,FIND("-",CH1940)+1,FIND("-",CH1940,FIND("-",CH1940)+1)-FIND("-",CH1940)-1))),""))</f>
        <v/>
      </c>
      <c r="CO1940">
        <f>IF(CH1940="","",IFERROR(IF(AND(LEN(CH1940)=9,ISERROR(FIND("-",LEFT(CH1940,8))),ISNUMBER(-LEFT(CH1940,8))),VALUE(MID(CH1940,7,2)),VALUE(MID(CH1940,FIND("-",CH1940,FIND("-",CH1940)+1)+1,FIND("-",CH1940,FIND("-",CH1940,FIND("-",CH1940)+1)+1)-FIND("-",CH1940,FIND("-",CH1940)+1)-1))),""))</f>
        <v/>
      </c>
    </row>
    <row r="1941">
      <c r="CH1941">
        <f>IF(ISTEXT('월 가계부'!A1941),SUBSTITUTE(SUBSTITUTE(SUBSTITUTE(SUBSTITUTE(SUBSTITUTE(SUBSTITUTE(SUBSTITUTE(SUBSTITUTE(SUBSTITUTE(TRIM('월 가계부'!A1941),"년","-"),"월","-"),"일",""),".","-"),"/","-")," ","-"),"--","-"),"--","-"),"--","-")&amp;"-","")</f>
        <v/>
      </c>
      <c r="CI1941">
        <f>IFERROR(IF('월 가계부'!A1941="","",IF(ISNUMBER('월 가계부'!A1941),IF(AND('월 가계부'!A1941&gt;=19000101,'월 가계부'!A1941&lt;=21001231),IF(AND(MOD(INT('월 가계부'!A1941/100),100)&gt;=1,MOD(INT('월 가계부'!A1941/100),100)&lt;=12,MOD(INT('월 가계부'!A1941),100)&gt;=1,MOD(INT('월 가계부'!A1941),100)&lt;=31),IF(MONTH(DATE(INT('월 가계부'!A1941/10000),MOD(INT('월 가계부'!A1941/100),100),MOD(INT('월 가계부'!A1941),100)))=MOD(INT('월 가계부'!A1941/100),100),DATE(INT('월 가계부'!A1941/10000),MOD(INT('월 가계부'!A1941/100),100),MOD(INT('월 가계부'!A1941),100)),""),""),IF(AND('월 가계부'!A1941&gt;=36526,'월 가계부'!A1941&lt;73051),INT('월 가계부'!A1941),"")),IF(OR(CM1941="",CN1941="",CO1941=""),"",IF(AND(CM1941&gt;=2000,CM1941&lt;=2099,CN1941&gt;=1,CN1941&lt;=12,CO1941&gt;=1,CO1941&lt;=31),IF(MONTH(DATE(CM1941,CN1941,CO1941))=CN1941,DATE(CM1941,CN1941,CO1941),""),"")))),"")</f>
        <v/>
      </c>
      <c r="CJ1941">
        <f>IFERROR(IF('월 가계부'!C1941="","",IF(ISNUMBER('월 가계부'!C1941),'월 가계부'!C1941,VALUE(SUBSTITUTE(SUBSTITUTE(SUBSTITUTE(SUBSTITUTE(TRIM('월 가계부'!C1941),",",""),"원","")," ",""),"−","-")))),"")</f>
        <v/>
      </c>
      <c r="CK1941">
        <f>IF(ISNUMBER(CI1941),IF(CI1941&lt;$B$13,CI1941,""),"")</f>
        <v/>
      </c>
      <c r="CM1941">
        <f>IF(CH1941="","",IFERROR(IF(IF(AND(LEN(CH1941)=9,ISERROR(FIND("-",LEFT(CH1941,8))),ISNUMBER(-LEFT(CH1941,8))),VALUE(LEFT(CH1941,4)),VALUE(LEFT(CH1941,FIND("-",CH1941)-1)))&lt;100,IF(AND(LEN(CH1941)=9,ISERROR(FIND("-",LEFT(CH1941,8))),ISNUMBER(-LEFT(CH1941,8))),VALUE(LEFT(CH1941,4)),VALUE(LEFT(CH1941,FIND("-",CH1941)-1)))+2000,IF(AND(LEN(CH1941)=9,ISERROR(FIND("-",LEFT(CH1941,8))),ISNUMBER(-LEFT(CH1941,8))),VALUE(LEFT(CH1941,4)),VALUE(LEFT(CH1941,FIND("-",CH1941)-1)))),""))</f>
        <v/>
      </c>
      <c r="CN1941">
        <f>IF(CH1941="","",IFERROR(IF(AND(LEN(CH1941)=9,ISERROR(FIND("-",LEFT(CH1941,8))),ISNUMBER(-LEFT(CH1941,8))),VALUE(MID(CH1941,5,2)),VALUE(MID(CH1941,FIND("-",CH1941)+1,FIND("-",CH1941,FIND("-",CH1941)+1)-FIND("-",CH1941)-1))),""))</f>
        <v/>
      </c>
      <c r="CO1941">
        <f>IF(CH1941="","",IFERROR(IF(AND(LEN(CH1941)=9,ISERROR(FIND("-",LEFT(CH1941,8))),ISNUMBER(-LEFT(CH1941,8))),VALUE(MID(CH1941,7,2)),VALUE(MID(CH1941,FIND("-",CH1941,FIND("-",CH1941)+1)+1,FIND("-",CH1941,FIND("-",CH1941,FIND("-",CH1941)+1)+1)-FIND("-",CH1941,FIND("-",CH1941)+1)-1))),""))</f>
        <v/>
      </c>
    </row>
    <row r="1942">
      <c r="CH1942">
        <f>IF(ISTEXT('월 가계부'!A1942),SUBSTITUTE(SUBSTITUTE(SUBSTITUTE(SUBSTITUTE(SUBSTITUTE(SUBSTITUTE(SUBSTITUTE(SUBSTITUTE(SUBSTITUTE(TRIM('월 가계부'!A1942),"년","-"),"월","-"),"일",""),".","-"),"/","-")," ","-"),"--","-"),"--","-"),"--","-")&amp;"-","")</f>
        <v/>
      </c>
      <c r="CI1942">
        <f>IFERROR(IF('월 가계부'!A1942="","",IF(ISNUMBER('월 가계부'!A1942),IF(AND('월 가계부'!A1942&gt;=19000101,'월 가계부'!A1942&lt;=21001231),IF(AND(MOD(INT('월 가계부'!A1942/100),100)&gt;=1,MOD(INT('월 가계부'!A1942/100),100)&lt;=12,MOD(INT('월 가계부'!A1942),100)&gt;=1,MOD(INT('월 가계부'!A1942),100)&lt;=31),IF(MONTH(DATE(INT('월 가계부'!A1942/10000),MOD(INT('월 가계부'!A1942/100),100),MOD(INT('월 가계부'!A1942),100)))=MOD(INT('월 가계부'!A1942/100),100),DATE(INT('월 가계부'!A1942/10000),MOD(INT('월 가계부'!A1942/100),100),MOD(INT('월 가계부'!A1942),100)),""),""),IF(AND('월 가계부'!A1942&gt;=36526,'월 가계부'!A1942&lt;73051),INT('월 가계부'!A1942),"")),IF(OR(CM1942="",CN1942="",CO1942=""),"",IF(AND(CM1942&gt;=2000,CM1942&lt;=2099,CN1942&gt;=1,CN1942&lt;=12,CO1942&gt;=1,CO1942&lt;=31),IF(MONTH(DATE(CM1942,CN1942,CO1942))=CN1942,DATE(CM1942,CN1942,CO1942),""),"")))),"")</f>
        <v/>
      </c>
      <c r="CJ1942">
        <f>IFERROR(IF('월 가계부'!C1942="","",IF(ISNUMBER('월 가계부'!C1942),'월 가계부'!C1942,VALUE(SUBSTITUTE(SUBSTITUTE(SUBSTITUTE(SUBSTITUTE(TRIM('월 가계부'!C1942),",",""),"원","")," ",""),"−","-")))),"")</f>
        <v/>
      </c>
      <c r="CK1942">
        <f>IF(ISNUMBER(CI1942),IF(CI1942&lt;$B$13,CI1942,""),"")</f>
        <v/>
      </c>
      <c r="CM1942">
        <f>IF(CH1942="","",IFERROR(IF(IF(AND(LEN(CH1942)=9,ISERROR(FIND("-",LEFT(CH1942,8))),ISNUMBER(-LEFT(CH1942,8))),VALUE(LEFT(CH1942,4)),VALUE(LEFT(CH1942,FIND("-",CH1942)-1)))&lt;100,IF(AND(LEN(CH1942)=9,ISERROR(FIND("-",LEFT(CH1942,8))),ISNUMBER(-LEFT(CH1942,8))),VALUE(LEFT(CH1942,4)),VALUE(LEFT(CH1942,FIND("-",CH1942)-1)))+2000,IF(AND(LEN(CH1942)=9,ISERROR(FIND("-",LEFT(CH1942,8))),ISNUMBER(-LEFT(CH1942,8))),VALUE(LEFT(CH1942,4)),VALUE(LEFT(CH1942,FIND("-",CH1942)-1)))),""))</f>
        <v/>
      </c>
      <c r="CN1942">
        <f>IF(CH1942="","",IFERROR(IF(AND(LEN(CH1942)=9,ISERROR(FIND("-",LEFT(CH1942,8))),ISNUMBER(-LEFT(CH1942,8))),VALUE(MID(CH1942,5,2)),VALUE(MID(CH1942,FIND("-",CH1942)+1,FIND("-",CH1942,FIND("-",CH1942)+1)-FIND("-",CH1942)-1))),""))</f>
        <v/>
      </c>
      <c r="CO1942">
        <f>IF(CH1942="","",IFERROR(IF(AND(LEN(CH1942)=9,ISERROR(FIND("-",LEFT(CH1942,8))),ISNUMBER(-LEFT(CH1942,8))),VALUE(MID(CH1942,7,2)),VALUE(MID(CH1942,FIND("-",CH1942,FIND("-",CH1942)+1)+1,FIND("-",CH1942,FIND("-",CH1942,FIND("-",CH1942)+1)+1)-FIND("-",CH1942,FIND("-",CH1942)+1)-1))),""))</f>
        <v/>
      </c>
    </row>
    <row r="1943">
      <c r="CH1943">
        <f>IF(ISTEXT('월 가계부'!A1943),SUBSTITUTE(SUBSTITUTE(SUBSTITUTE(SUBSTITUTE(SUBSTITUTE(SUBSTITUTE(SUBSTITUTE(SUBSTITUTE(SUBSTITUTE(TRIM('월 가계부'!A1943),"년","-"),"월","-"),"일",""),".","-"),"/","-")," ","-"),"--","-"),"--","-"),"--","-")&amp;"-","")</f>
        <v/>
      </c>
      <c r="CI1943">
        <f>IFERROR(IF('월 가계부'!A1943="","",IF(ISNUMBER('월 가계부'!A1943),IF(AND('월 가계부'!A1943&gt;=19000101,'월 가계부'!A1943&lt;=21001231),IF(AND(MOD(INT('월 가계부'!A1943/100),100)&gt;=1,MOD(INT('월 가계부'!A1943/100),100)&lt;=12,MOD(INT('월 가계부'!A1943),100)&gt;=1,MOD(INT('월 가계부'!A1943),100)&lt;=31),IF(MONTH(DATE(INT('월 가계부'!A1943/10000),MOD(INT('월 가계부'!A1943/100),100),MOD(INT('월 가계부'!A1943),100)))=MOD(INT('월 가계부'!A1943/100),100),DATE(INT('월 가계부'!A1943/10000),MOD(INT('월 가계부'!A1943/100),100),MOD(INT('월 가계부'!A1943),100)),""),""),IF(AND('월 가계부'!A1943&gt;=36526,'월 가계부'!A1943&lt;73051),INT('월 가계부'!A1943),"")),IF(OR(CM1943="",CN1943="",CO1943=""),"",IF(AND(CM1943&gt;=2000,CM1943&lt;=2099,CN1943&gt;=1,CN1943&lt;=12,CO1943&gt;=1,CO1943&lt;=31),IF(MONTH(DATE(CM1943,CN1943,CO1943))=CN1943,DATE(CM1943,CN1943,CO1943),""),"")))),"")</f>
        <v/>
      </c>
      <c r="CJ1943">
        <f>IFERROR(IF('월 가계부'!C1943="","",IF(ISNUMBER('월 가계부'!C1943),'월 가계부'!C1943,VALUE(SUBSTITUTE(SUBSTITUTE(SUBSTITUTE(SUBSTITUTE(TRIM('월 가계부'!C1943),",",""),"원","")," ",""),"−","-")))),"")</f>
        <v/>
      </c>
      <c r="CK1943">
        <f>IF(ISNUMBER(CI1943),IF(CI1943&lt;$B$13,CI1943,""),"")</f>
        <v/>
      </c>
      <c r="CM1943">
        <f>IF(CH1943="","",IFERROR(IF(IF(AND(LEN(CH1943)=9,ISERROR(FIND("-",LEFT(CH1943,8))),ISNUMBER(-LEFT(CH1943,8))),VALUE(LEFT(CH1943,4)),VALUE(LEFT(CH1943,FIND("-",CH1943)-1)))&lt;100,IF(AND(LEN(CH1943)=9,ISERROR(FIND("-",LEFT(CH1943,8))),ISNUMBER(-LEFT(CH1943,8))),VALUE(LEFT(CH1943,4)),VALUE(LEFT(CH1943,FIND("-",CH1943)-1)))+2000,IF(AND(LEN(CH1943)=9,ISERROR(FIND("-",LEFT(CH1943,8))),ISNUMBER(-LEFT(CH1943,8))),VALUE(LEFT(CH1943,4)),VALUE(LEFT(CH1943,FIND("-",CH1943)-1)))),""))</f>
        <v/>
      </c>
      <c r="CN1943">
        <f>IF(CH1943="","",IFERROR(IF(AND(LEN(CH1943)=9,ISERROR(FIND("-",LEFT(CH1943,8))),ISNUMBER(-LEFT(CH1943,8))),VALUE(MID(CH1943,5,2)),VALUE(MID(CH1943,FIND("-",CH1943)+1,FIND("-",CH1943,FIND("-",CH1943)+1)-FIND("-",CH1943)-1))),""))</f>
        <v/>
      </c>
      <c r="CO1943">
        <f>IF(CH1943="","",IFERROR(IF(AND(LEN(CH1943)=9,ISERROR(FIND("-",LEFT(CH1943,8))),ISNUMBER(-LEFT(CH1943,8))),VALUE(MID(CH1943,7,2)),VALUE(MID(CH1943,FIND("-",CH1943,FIND("-",CH1943)+1)+1,FIND("-",CH1943,FIND("-",CH1943,FIND("-",CH1943)+1)+1)-FIND("-",CH1943,FIND("-",CH1943)+1)-1))),""))</f>
        <v/>
      </c>
    </row>
    <row r="1944">
      <c r="CH1944">
        <f>IF(ISTEXT('월 가계부'!A1944),SUBSTITUTE(SUBSTITUTE(SUBSTITUTE(SUBSTITUTE(SUBSTITUTE(SUBSTITUTE(SUBSTITUTE(SUBSTITUTE(SUBSTITUTE(TRIM('월 가계부'!A1944),"년","-"),"월","-"),"일",""),".","-"),"/","-")," ","-"),"--","-"),"--","-"),"--","-")&amp;"-","")</f>
        <v/>
      </c>
      <c r="CI1944">
        <f>IFERROR(IF('월 가계부'!A1944="","",IF(ISNUMBER('월 가계부'!A1944),IF(AND('월 가계부'!A1944&gt;=19000101,'월 가계부'!A1944&lt;=21001231),IF(AND(MOD(INT('월 가계부'!A1944/100),100)&gt;=1,MOD(INT('월 가계부'!A1944/100),100)&lt;=12,MOD(INT('월 가계부'!A1944),100)&gt;=1,MOD(INT('월 가계부'!A1944),100)&lt;=31),IF(MONTH(DATE(INT('월 가계부'!A1944/10000),MOD(INT('월 가계부'!A1944/100),100),MOD(INT('월 가계부'!A1944),100)))=MOD(INT('월 가계부'!A1944/100),100),DATE(INT('월 가계부'!A1944/10000),MOD(INT('월 가계부'!A1944/100),100),MOD(INT('월 가계부'!A1944),100)),""),""),IF(AND('월 가계부'!A1944&gt;=36526,'월 가계부'!A1944&lt;73051),INT('월 가계부'!A1944),"")),IF(OR(CM1944="",CN1944="",CO1944=""),"",IF(AND(CM1944&gt;=2000,CM1944&lt;=2099,CN1944&gt;=1,CN1944&lt;=12,CO1944&gt;=1,CO1944&lt;=31),IF(MONTH(DATE(CM1944,CN1944,CO1944))=CN1944,DATE(CM1944,CN1944,CO1944),""),"")))),"")</f>
        <v/>
      </c>
      <c r="CJ1944">
        <f>IFERROR(IF('월 가계부'!C1944="","",IF(ISNUMBER('월 가계부'!C1944),'월 가계부'!C1944,VALUE(SUBSTITUTE(SUBSTITUTE(SUBSTITUTE(SUBSTITUTE(TRIM('월 가계부'!C1944),",",""),"원","")," ",""),"−","-")))),"")</f>
        <v/>
      </c>
      <c r="CK1944">
        <f>IF(ISNUMBER(CI1944),IF(CI1944&lt;$B$13,CI1944,""),"")</f>
        <v/>
      </c>
      <c r="CM1944">
        <f>IF(CH1944="","",IFERROR(IF(IF(AND(LEN(CH1944)=9,ISERROR(FIND("-",LEFT(CH1944,8))),ISNUMBER(-LEFT(CH1944,8))),VALUE(LEFT(CH1944,4)),VALUE(LEFT(CH1944,FIND("-",CH1944)-1)))&lt;100,IF(AND(LEN(CH1944)=9,ISERROR(FIND("-",LEFT(CH1944,8))),ISNUMBER(-LEFT(CH1944,8))),VALUE(LEFT(CH1944,4)),VALUE(LEFT(CH1944,FIND("-",CH1944)-1)))+2000,IF(AND(LEN(CH1944)=9,ISERROR(FIND("-",LEFT(CH1944,8))),ISNUMBER(-LEFT(CH1944,8))),VALUE(LEFT(CH1944,4)),VALUE(LEFT(CH1944,FIND("-",CH1944)-1)))),""))</f>
        <v/>
      </c>
      <c r="CN1944">
        <f>IF(CH1944="","",IFERROR(IF(AND(LEN(CH1944)=9,ISERROR(FIND("-",LEFT(CH1944,8))),ISNUMBER(-LEFT(CH1944,8))),VALUE(MID(CH1944,5,2)),VALUE(MID(CH1944,FIND("-",CH1944)+1,FIND("-",CH1944,FIND("-",CH1944)+1)-FIND("-",CH1944)-1))),""))</f>
        <v/>
      </c>
      <c r="CO1944">
        <f>IF(CH1944="","",IFERROR(IF(AND(LEN(CH1944)=9,ISERROR(FIND("-",LEFT(CH1944,8))),ISNUMBER(-LEFT(CH1944,8))),VALUE(MID(CH1944,7,2)),VALUE(MID(CH1944,FIND("-",CH1944,FIND("-",CH1944)+1)+1,FIND("-",CH1944,FIND("-",CH1944,FIND("-",CH1944)+1)+1)-FIND("-",CH1944,FIND("-",CH1944)+1)-1))),""))</f>
        <v/>
      </c>
    </row>
    <row r="1945">
      <c r="CH1945">
        <f>IF(ISTEXT('월 가계부'!A1945),SUBSTITUTE(SUBSTITUTE(SUBSTITUTE(SUBSTITUTE(SUBSTITUTE(SUBSTITUTE(SUBSTITUTE(SUBSTITUTE(SUBSTITUTE(TRIM('월 가계부'!A1945),"년","-"),"월","-"),"일",""),".","-"),"/","-")," ","-"),"--","-"),"--","-"),"--","-")&amp;"-","")</f>
        <v/>
      </c>
      <c r="CI1945">
        <f>IFERROR(IF('월 가계부'!A1945="","",IF(ISNUMBER('월 가계부'!A1945),IF(AND('월 가계부'!A1945&gt;=19000101,'월 가계부'!A1945&lt;=21001231),IF(AND(MOD(INT('월 가계부'!A1945/100),100)&gt;=1,MOD(INT('월 가계부'!A1945/100),100)&lt;=12,MOD(INT('월 가계부'!A1945),100)&gt;=1,MOD(INT('월 가계부'!A1945),100)&lt;=31),IF(MONTH(DATE(INT('월 가계부'!A1945/10000),MOD(INT('월 가계부'!A1945/100),100),MOD(INT('월 가계부'!A1945),100)))=MOD(INT('월 가계부'!A1945/100),100),DATE(INT('월 가계부'!A1945/10000),MOD(INT('월 가계부'!A1945/100),100),MOD(INT('월 가계부'!A1945),100)),""),""),IF(AND('월 가계부'!A1945&gt;=36526,'월 가계부'!A1945&lt;73051),INT('월 가계부'!A1945),"")),IF(OR(CM1945="",CN1945="",CO1945=""),"",IF(AND(CM1945&gt;=2000,CM1945&lt;=2099,CN1945&gt;=1,CN1945&lt;=12,CO1945&gt;=1,CO1945&lt;=31),IF(MONTH(DATE(CM1945,CN1945,CO1945))=CN1945,DATE(CM1945,CN1945,CO1945),""),"")))),"")</f>
        <v/>
      </c>
      <c r="CJ1945">
        <f>IFERROR(IF('월 가계부'!C1945="","",IF(ISNUMBER('월 가계부'!C1945),'월 가계부'!C1945,VALUE(SUBSTITUTE(SUBSTITUTE(SUBSTITUTE(SUBSTITUTE(TRIM('월 가계부'!C1945),",",""),"원","")," ",""),"−","-")))),"")</f>
        <v/>
      </c>
      <c r="CK1945">
        <f>IF(ISNUMBER(CI1945),IF(CI1945&lt;$B$13,CI1945,""),"")</f>
        <v/>
      </c>
      <c r="CM1945">
        <f>IF(CH1945="","",IFERROR(IF(IF(AND(LEN(CH1945)=9,ISERROR(FIND("-",LEFT(CH1945,8))),ISNUMBER(-LEFT(CH1945,8))),VALUE(LEFT(CH1945,4)),VALUE(LEFT(CH1945,FIND("-",CH1945)-1)))&lt;100,IF(AND(LEN(CH1945)=9,ISERROR(FIND("-",LEFT(CH1945,8))),ISNUMBER(-LEFT(CH1945,8))),VALUE(LEFT(CH1945,4)),VALUE(LEFT(CH1945,FIND("-",CH1945)-1)))+2000,IF(AND(LEN(CH1945)=9,ISERROR(FIND("-",LEFT(CH1945,8))),ISNUMBER(-LEFT(CH1945,8))),VALUE(LEFT(CH1945,4)),VALUE(LEFT(CH1945,FIND("-",CH1945)-1)))),""))</f>
        <v/>
      </c>
      <c r="CN1945">
        <f>IF(CH1945="","",IFERROR(IF(AND(LEN(CH1945)=9,ISERROR(FIND("-",LEFT(CH1945,8))),ISNUMBER(-LEFT(CH1945,8))),VALUE(MID(CH1945,5,2)),VALUE(MID(CH1945,FIND("-",CH1945)+1,FIND("-",CH1945,FIND("-",CH1945)+1)-FIND("-",CH1945)-1))),""))</f>
        <v/>
      </c>
      <c r="CO1945">
        <f>IF(CH1945="","",IFERROR(IF(AND(LEN(CH1945)=9,ISERROR(FIND("-",LEFT(CH1945,8))),ISNUMBER(-LEFT(CH1945,8))),VALUE(MID(CH1945,7,2)),VALUE(MID(CH1945,FIND("-",CH1945,FIND("-",CH1945)+1)+1,FIND("-",CH1945,FIND("-",CH1945,FIND("-",CH1945)+1)+1)-FIND("-",CH1945,FIND("-",CH1945)+1)-1))),""))</f>
        <v/>
      </c>
    </row>
    <row r="1946">
      <c r="CH1946">
        <f>IF(ISTEXT('월 가계부'!A1946),SUBSTITUTE(SUBSTITUTE(SUBSTITUTE(SUBSTITUTE(SUBSTITUTE(SUBSTITUTE(SUBSTITUTE(SUBSTITUTE(SUBSTITUTE(TRIM('월 가계부'!A1946),"년","-"),"월","-"),"일",""),".","-"),"/","-")," ","-"),"--","-"),"--","-"),"--","-")&amp;"-","")</f>
        <v/>
      </c>
      <c r="CI1946">
        <f>IFERROR(IF('월 가계부'!A1946="","",IF(ISNUMBER('월 가계부'!A1946),IF(AND('월 가계부'!A1946&gt;=19000101,'월 가계부'!A1946&lt;=21001231),IF(AND(MOD(INT('월 가계부'!A1946/100),100)&gt;=1,MOD(INT('월 가계부'!A1946/100),100)&lt;=12,MOD(INT('월 가계부'!A1946),100)&gt;=1,MOD(INT('월 가계부'!A1946),100)&lt;=31),IF(MONTH(DATE(INT('월 가계부'!A1946/10000),MOD(INT('월 가계부'!A1946/100),100),MOD(INT('월 가계부'!A1946),100)))=MOD(INT('월 가계부'!A1946/100),100),DATE(INT('월 가계부'!A1946/10000),MOD(INT('월 가계부'!A1946/100),100),MOD(INT('월 가계부'!A1946),100)),""),""),IF(AND('월 가계부'!A1946&gt;=36526,'월 가계부'!A1946&lt;73051),INT('월 가계부'!A1946),"")),IF(OR(CM1946="",CN1946="",CO1946=""),"",IF(AND(CM1946&gt;=2000,CM1946&lt;=2099,CN1946&gt;=1,CN1946&lt;=12,CO1946&gt;=1,CO1946&lt;=31),IF(MONTH(DATE(CM1946,CN1946,CO1946))=CN1946,DATE(CM1946,CN1946,CO1946),""),"")))),"")</f>
        <v/>
      </c>
      <c r="CJ1946">
        <f>IFERROR(IF('월 가계부'!C1946="","",IF(ISNUMBER('월 가계부'!C1946),'월 가계부'!C1946,VALUE(SUBSTITUTE(SUBSTITUTE(SUBSTITUTE(SUBSTITUTE(TRIM('월 가계부'!C1946),",",""),"원","")," ",""),"−","-")))),"")</f>
        <v/>
      </c>
      <c r="CK1946">
        <f>IF(ISNUMBER(CI1946),IF(CI1946&lt;$B$13,CI1946,""),"")</f>
        <v/>
      </c>
      <c r="CM1946">
        <f>IF(CH1946="","",IFERROR(IF(IF(AND(LEN(CH1946)=9,ISERROR(FIND("-",LEFT(CH1946,8))),ISNUMBER(-LEFT(CH1946,8))),VALUE(LEFT(CH1946,4)),VALUE(LEFT(CH1946,FIND("-",CH1946)-1)))&lt;100,IF(AND(LEN(CH1946)=9,ISERROR(FIND("-",LEFT(CH1946,8))),ISNUMBER(-LEFT(CH1946,8))),VALUE(LEFT(CH1946,4)),VALUE(LEFT(CH1946,FIND("-",CH1946)-1)))+2000,IF(AND(LEN(CH1946)=9,ISERROR(FIND("-",LEFT(CH1946,8))),ISNUMBER(-LEFT(CH1946,8))),VALUE(LEFT(CH1946,4)),VALUE(LEFT(CH1946,FIND("-",CH1946)-1)))),""))</f>
        <v/>
      </c>
      <c r="CN1946">
        <f>IF(CH1946="","",IFERROR(IF(AND(LEN(CH1946)=9,ISERROR(FIND("-",LEFT(CH1946,8))),ISNUMBER(-LEFT(CH1946,8))),VALUE(MID(CH1946,5,2)),VALUE(MID(CH1946,FIND("-",CH1946)+1,FIND("-",CH1946,FIND("-",CH1946)+1)-FIND("-",CH1946)-1))),""))</f>
        <v/>
      </c>
      <c r="CO1946">
        <f>IF(CH1946="","",IFERROR(IF(AND(LEN(CH1946)=9,ISERROR(FIND("-",LEFT(CH1946,8))),ISNUMBER(-LEFT(CH1946,8))),VALUE(MID(CH1946,7,2)),VALUE(MID(CH1946,FIND("-",CH1946,FIND("-",CH1946)+1)+1,FIND("-",CH1946,FIND("-",CH1946,FIND("-",CH1946)+1)+1)-FIND("-",CH1946,FIND("-",CH1946)+1)-1))),""))</f>
        <v/>
      </c>
    </row>
    <row r="1947">
      <c r="CH1947">
        <f>IF(ISTEXT('월 가계부'!A1947),SUBSTITUTE(SUBSTITUTE(SUBSTITUTE(SUBSTITUTE(SUBSTITUTE(SUBSTITUTE(SUBSTITUTE(SUBSTITUTE(SUBSTITUTE(TRIM('월 가계부'!A1947),"년","-"),"월","-"),"일",""),".","-"),"/","-")," ","-"),"--","-"),"--","-"),"--","-")&amp;"-","")</f>
        <v/>
      </c>
      <c r="CI1947">
        <f>IFERROR(IF('월 가계부'!A1947="","",IF(ISNUMBER('월 가계부'!A1947),IF(AND('월 가계부'!A1947&gt;=19000101,'월 가계부'!A1947&lt;=21001231),IF(AND(MOD(INT('월 가계부'!A1947/100),100)&gt;=1,MOD(INT('월 가계부'!A1947/100),100)&lt;=12,MOD(INT('월 가계부'!A1947),100)&gt;=1,MOD(INT('월 가계부'!A1947),100)&lt;=31),IF(MONTH(DATE(INT('월 가계부'!A1947/10000),MOD(INT('월 가계부'!A1947/100),100),MOD(INT('월 가계부'!A1947),100)))=MOD(INT('월 가계부'!A1947/100),100),DATE(INT('월 가계부'!A1947/10000),MOD(INT('월 가계부'!A1947/100),100),MOD(INT('월 가계부'!A1947),100)),""),""),IF(AND('월 가계부'!A1947&gt;=36526,'월 가계부'!A1947&lt;73051),INT('월 가계부'!A1947),"")),IF(OR(CM1947="",CN1947="",CO1947=""),"",IF(AND(CM1947&gt;=2000,CM1947&lt;=2099,CN1947&gt;=1,CN1947&lt;=12,CO1947&gt;=1,CO1947&lt;=31),IF(MONTH(DATE(CM1947,CN1947,CO1947))=CN1947,DATE(CM1947,CN1947,CO1947),""),"")))),"")</f>
        <v/>
      </c>
      <c r="CJ1947">
        <f>IFERROR(IF('월 가계부'!C1947="","",IF(ISNUMBER('월 가계부'!C1947),'월 가계부'!C1947,VALUE(SUBSTITUTE(SUBSTITUTE(SUBSTITUTE(SUBSTITUTE(TRIM('월 가계부'!C1947),",",""),"원","")," ",""),"−","-")))),"")</f>
        <v/>
      </c>
      <c r="CK1947">
        <f>IF(ISNUMBER(CI1947),IF(CI1947&lt;$B$13,CI1947,""),"")</f>
        <v/>
      </c>
      <c r="CM1947">
        <f>IF(CH1947="","",IFERROR(IF(IF(AND(LEN(CH1947)=9,ISERROR(FIND("-",LEFT(CH1947,8))),ISNUMBER(-LEFT(CH1947,8))),VALUE(LEFT(CH1947,4)),VALUE(LEFT(CH1947,FIND("-",CH1947)-1)))&lt;100,IF(AND(LEN(CH1947)=9,ISERROR(FIND("-",LEFT(CH1947,8))),ISNUMBER(-LEFT(CH1947,8))),VALUE(LEFT(CH1947,4)),VALUE(LEFT(CH1947,FIND("-",CH1947)-1)))+2000,IF(AND(LEN(CH1947)=9,ISERROR(FIND("-",LEFT(CH1947,8))),ISNUMBER(-LEFT(CH1947,8))),VALUE(LEFT(CH1947,4)),VALUE(LEFT(CH1947,FIND("-",CH1947)-1)))),""))</f>
        <v/>
      </c>
      <c r="CN1947">
        <f>IF(CH1947="","",IFERROR(IF(AND(LEN(CH1947)=9,ISERROR(FIND("-",LEFT(CH1947,8))),ISNUMBER(-LEFT(CH1947,8))),VALUE(MID(CH1947,5,2)),VALUE(MID(CH1947,FIND("-",CH1947)+1,FIND("-",CH1947,FIND("-",CH1947)+1)-FIND("-",CH1947)-1))),""))</f>
        <v/>
      </c>
      <c r="CO1947">
        <f>IF(CH1947="","",IFERROR(IF(AND(LEN(CH1947)=9,ISERROR(FIND("-",LEFT(CH1947,8))),ISNUMBER(-LEFT(CH1947,8))),VALUE(MID(CH1947,7,2)),VALUE(MID(CH1947,FIND("-",CH1947,FIND("-",CH1947)+1)+1,FIND("-",CH1947,FIND("-",CH1947,FIND("-",CH1947)+1)+1)-FIND("-",CH1947,FIND("-",CH1947)+1)-1))),""))</f>
        <v/>
      </c>
    </row>
    <row r="1948">
      <c r="CH1948">
        <f>IF(ISTEXT('월 가계부'!A1948),SUBSTITUTE(SUBSTITUTE(SUBSTITUTE(SUBSTITUTE(SUBSTITUTE(SUBSTITUTE(SUBSTITUTE(SUBSTITUTE(SUBSTITUTE(TRIM('월 가계부'!A1948),"년","-"),"월","-"),"일",""),".","-"),"/","-")," ","-"),"--","-"),"--","-"),"--","-")&amp;"-","")</f>
        <v/>
      </c>
      <c r="CI1948">
        <f>IFERROR(IF('월 가계부'!A1948="","",IF(ISNUMBER('월 가계부'!A1948),IF(AND('월 가계부'!A1948&gt;=19000101,'월 가계부'!A1948&lt;=21001231),IF(AND(MOD(INT('월 가계부'!A1948/100),100)&gt;=1,MOD(INT('월 가계부'!A1948/100),100)&lt;=12,MOD(INT('월 가계부'!A1948),100)&gt;=1,MOD(INT('월 가계부'!A1948),100)&lt;=31),IF(MONTH(DATE(INT('월 가계부'!A1948/10000),MOD(INT('월 가계부'!A1948/100),100),MOD(INT('월 가계부'!A1948),100)))=MOD(INT('월 가계부'!A1948/100),100),DATE(INT('월 가계부'!A1948/10000),MOD(INT('월 가계부'!A1948/100),100),MOD(INT('월 가계부'!A1948),100)),""),""),IF(AND('월 가계부'!A1948&gt;=36526,'월 가계부'!A1948&lt;73051),INT('월 가계부'!A1948),"")),IF(OR(CM1948="",CN1948="",CO1948=""),"",IF(AND(CM1948&gt;=2000,CM1948&lt;=2099,CN1948&gt;=1,CN1948&lt;=12,CO1948&gt;=1,CO1948&lt;=31),IF(MONTH(DATE(CM1948,CN1948,CO1948))=CN1948,DATE(CM1948,CN1948,CO1948),""),"")))),"")</f>
        <v/>
      </c>
      <c r="CJ1948">
        <f>IFERROR(IF('월 가계부'!C1948="","",IF(ISNUMBER('월 가계부'!C1948),'월 가계부'!C1948,VALUE(SUBSTITUTE(SUBSTITUTE(SUBSTITUTE(SUBSTITUTE(TRIM('월 가계부'!C1948),",",""),"원","")," ",""),"−","-")))),"")</f>
        <v/>
      </c>
      <c r="CK1948">
        <f>IF(ISNUMBER(CI1948),IF(CI1948&lt;$B$13,CI1948,""),"")</f>
        <v/>
      </c>
      <c r="CM1948">
        <f>IF(CH1948="","",IFERROR(IF(IF(AND(LEN(CH1948)=9,ISERROR(FIND("-",LEFT(CH1948,8))),ISNUMBER(-LEFT(CH1948,8))),VALUE(LEFT(CH1948,4)),VALUE(LEFT(CH1948,FIND("-",CH1948)-1)))&lt;100,IF(AND(LEN(CH1948)=9,ISERROR(FIND("-",LEFT(CH1948,8))),ISNUMBER(-LEFT(CH1948,8))),VALUE(LEFT(CH1948,4)),VALUE(LEFT(CH1948,FIND("-",CH1948)-1)))+2000,IF(AND(LEN(CH1948)=9,ISERROR(FIND("-",LEFT(CH1948,8))),ISNUMBER(-LEFT(CH1948,8))),VALUE(LEFT(CH1948,4)),VALUE(LEFT(CH1948,FIND("-",CH1948)-1)))),""))</f>
        <v/>
      </c>
      <c r="CN1948">
        <f>IF(CH1948="","",IFERROR(IF(AND(LEN(CH1948)=9,ISERROR(FIND("-",LEFT(CH1948,8))),ISNUMBER(-LEFT(CH1948,8))),VALUE(MID(CH1948,5,2)),VALUE(MID(CH1948,FIND("-",CH1948)+1,FIND("-",CH1948,FIND("-",CH1948)+1)-FIND("-",CH1948)-1))),""))</f>
        <v/>
      </c>
      <c r="CO1948">
        <f>IF(CH1948="","",IFERROR(IF(AND(LEN(CH1948)=9,ISERROR(FIND("-",LEFT(CH1948,8))),ISNUMBER(-LEFT(CH1948,8))),VALUE(MID(CH1948,7,2)),VALUE(MID(CH1948,FIND("-",CH1948,FIND("-",CH1948)+1)+1,FIND("-",CH1948,FIND("-",CH1948,FIND("-",CH1948)+1)+1)-FIND("-",CH1948,FIND("-",CH1948)+1)-1))),""))</f>
        <v/>
      </c>
    </row>
    <row r="1949">
      <c r="CH1949">
        <f>IF(ISTEXT('월 가계부'!A1949),SUBSTITUTE(SUBSTITUTE(SUBSTITUTE(SUBSTITUTE(SUBSTITUTE(SUBSTITUTE(SUBSTITUTE(SUBSTITUTE(SUBSTITUTE(TRIM('월 가계부'!A1949),"년","-"),"월","-"),"일",""),".","-"),"/","-")," ","-"),"--","-"),"--","-"),"--","-")&amp;"-","")</f>
        <v/>
      </c>
      <c r="CI1949">
        <f>IFERROR(IF('월 가계부'!A1949="","",IF(ISNUMBER('월 가계부'!A1949),IF(AND('월 가계부'!A1949&gt;=19000101,'월 가계부'!A1949&lt;=21001231),IF(AND(MOD(INT('월 가계부'!A1949/100),100)&gt;=1,MOD(INT('월 가계부'!A1949/100),100)&lt;=12,MOD(INT('월 가계부'!A1949),100)&gt;=1,MOD(INT('월 가계부'!A1949),100)&lt;=31),IF(MONTH(DATE(INT('월 가계부'!A1949/10000),MOD(INT('월 가계부'!A1949/100),100),MOD(INT('월 가계부'!A1949),100)))=MOD(INT('월 가계부'!A1949/100),100),DATE(INT('월 가계부'!A1949/10000),MOD(INT('월 가계부'!A1949/100),100),MOD(INT('월 가계부'!A1949),100)),""),""),IF(AND('월 가계부'!A1949&gt;=36526,'월 가계부'!A1949&lt;73051),INT('월 가계부'!A1949),"")),IF(OR(CM1949="",CN1949="",CO1949=""),"",IF(AND(CM1949&gt;=2000,CM1949&lt;=2099,CN1949&gt;=1,CN1949&lt;=12,CO1949&gt;=1,CO1949&lt;=31),IF(MONTH(DATE(CM1949,CN1949,CO1949))=CN1949,DATE(CM1949,CN1949,CO1949),""),"")))),"")</f>
        <v/>
      </c>
      <c r="CJ1949">
        <f>IFERROR(IF('월 가계부'!C1949="","",IF(ISNUMBER('월 가계부'!C1949),'월 가계부'!C1949,VALUE(SUBSTITUTE(SUBSTITUTE(SUBSTITUTE(SUBSTITUTE(TRIM('월 가계부'!C1949),",",""),"원","")," ",""),"−","-")))),"")</f>
        <v/>
      </c>
      <c r="CK1949">
        <f>IF(ISNUMBER(CI1949),IF(CI1949&lt;$B$13,CI1949,""),"")</f>
        <v/>
      </c>
      <c r="CM1949">
        <f>IF(CH1949="","",IFERROR(IF(IF(AND(LEN(CH1949)=9,ISERROR(FIND("-",LEFT(CH1949,8))),ISNUMBER(-LEFT(CH1949,8))),VALUE(LEFT(CH1949,4)),VALUE(LEFT(CH1949,FIND("-",CH1949)-1)))&lt;100,IF(AND(LEN(CH1949)=9,ISERROR(FIND("-",LEFT(CH1949,8))),ISNUMBER(-LEFT(CH1949,8))),VALUE(LEFT(CH1949,4)),VALUE(LEFT(CH1949,FIND("-",CH1949)-1)))+2000,IF(AND(LEN(CH1949)=9,ISERROR(FIND("-",LEFT(CH1949,8))),ISNUMBER(-LEFT(CH1949,8))),VALUE(LEFT(CH1949,4)),VALUE(LEFT(CH1949,FIND("-",CH1949)-1)))),""))</f>
        <v/>
      </c>
      <c r="CN1949">
        <f>IF(CH1949="","",IFERROR(IF(AND(LEN(CH1949)=9,ISERROR(FIND("-",LEFT(CH1949,8))),ISNUMBER(-LEFT(CH1949,8))),VALUE(MID(CH1949,5,2)),VALUE(MID(CH1949,FIND("-",CH1949)+1,FIND("-",CH1949,FIND("-",CH1949)+1)-FIND("-",CH1949)-1))),""))</f>
        <v/>
      </c>
      <c r="CO1949">
        <f>IF(CH1949="","",IFERROR(IF(AND(LEN(CH1949)=9,ISERROR(FIND("-",LEFT(CH1949,8))),ISNUMBER(-LEFT(CH1949,8))),VALUE(MID(CH1949,7,2)),VALUE(MID(CH1949,FIND("-",CH1949,FIND("-",CH1949)+1)+1,FIND("-",CH1949,FIND("-",CH1949,FIND("-",CH1949)+1)+1)-FIND("-",CH1949,FIND("-",CH1949)+1)-1))),""))</f>
        <v/>
      </c>
    </row>
    <row r="1950">
      <c r="CH1950">
        <f>IF(ISTEXT('월 가계부'!A1950),SUBSTITUTE(SUBSTITUTE(SUBSTITUTE(SUBSTITUTE(SUBSTITUTE(SUBSTITUTE(SUBSTITUTE(SUBSTITUTE(SUBSTITUTE(TRIM('월 가계부'!A1950),"년","-"),"월","-"),"일",""),".","-"),"/","-")," ","-"),"--","-"),"--","-"),"--","-")&amp;"-","")</f>
        <v/>
      </c>
      <c r="CI1950">
        <f>IFERROR(IF('월 가계부'!A1950="","",IF(ISNUMBER('월 가계부'!A1950),IF(AND('월 가계부'!A1950&gt;=19000101,'월 가계부'!A1950&lt;=21001231),IF(AND(MOD(INT('월 가계부'!A1950/100),100)&gt;=1,MOD(INT('월 가계부'!A1950/100),100)&lt;=12,MOD(INT('월 가계부'!A1950),100)&gt;=1,MOD(INT('월 가계부'!A1950),100)&lt;=31),IF(MONTH(DATE(INT('월 가계부'!A1950/10000),MOD(INT('월 가계부'!A1950/100),100),MOD(INT('월 가계부'!A1950),100)))=MOD(INT('월 가계부'!A1950/100),100),DATE(INT('월 가계부'!A1950/10000),MOD(INT('월 가계부'!A1950/100),100),MOD(INT('월 가계부'!A1950),100)),""),""),IF(AND('월 가계부'!A1950&gt;=36526,'월 가계부'!A1950&lt;73051),INT('월 가계부'!A1950),"")),IF(OR(CM1950="",CN1950="",CO1950=""),"",IF(AND(CM1950&gt;=2000,CM1950&lt;=2099,CN1950&gt;=1,CN1950&lt;=12,CO1950&gt;=1,CO1950&lt;=31),IF(MONTH(DATE(CM1950,CN1950,CO1950))=CN1950,DATE(CM1950,CN1950,CO1950),""),"")))),"")</f>
        <v/>
      </c>
      <c r="CJ1950">
        <f>IFERROR(IF('월 가계부'!C1950="","",IF(ISNUMBER('월 가계부'!C1950),'월 가계부'!C1950,VALUE(SUBSTITUTE(SUBSTITUTE(SUBSTITUTE(SUBSTITUTE(TRIM('월 가계부'!C1950),",",""),"원","")," ",""),"−","-")))),"")</f>
        <v/>
      </c>
      <c r="CK1950">
        <f>IF(ISNUMBER(CI1950),IF(CI1950&lt;$B$13,CI1950,""),"")</f>
        <v/>
      </c>
      <c r="CM1950">
        <f>IF(CH1950="","",IFERROR(IF(IF(AND(LEN(CH1950)=9,ISERROR(FIND("-",LEFT(CH1950,8))),ISNUMBER(-LEFT(CH1950,8))),VALUE(LEFT(CH1950,4)),VALUE(LEFT(CH1950,FIND("-",CH1950)-1)))&lt;100,IF(AND(LEN(CH1950)=9,ISERROR(FIND("-",LEFT(CH1950,8))),ISNUMBER(-LEFT(CH1950,8))),VALUE(LEFT(CH1950,4)),VALUE(LEFT(CH1950,FIND("-",CH1950)-1)))+2000,IF(AND(LEN(CH1950)=9,ISERROR(FIND("-",LEFT(CH1950,8))),ISNUMBER(-LEFT(CH1950,8))),VALUE(LEFT(CH1950,4)),VALUE(LEFT(CH1950,FIND("-",CH1950)-1)))),""))</f>
        <v/>
      </c>
      <c r="CN1950">
        <f>IF(CH1950="","",IFERROR(IF(AND(LEN(CH1950)=9,ISERROR(FIND("-",LEFT(CH1950,8))),ISNUMBER(-LEFT(CH1950,8))),VALUE(MID(CH1950,5,2)),VALUE(MID(CH1950,FIND("-",CH1950)+1,FIND("-",CH1950,FIND("-",CH1950)+1)-FIND("-",CH1950)-1))),""))</f>
        <v/>
      </c>
      <c r="CO1950">
        <f>IF(CH1950="","",IFERROR(IF(AND(LEN(CH1950)=9,ISERROR(FIND("-",LEFT(CH1950,8))),ISNUMBER(-LEFT(CH1950,8))),VALUE(MID(CH1950,7,2)),VALUE(MID(CH1950,FIND("-",CH1950,FIND("-",CH1950)+1)+1,FIND("-",CH1950,FIND("-",CH1950,FIND("-",CH1950)+1)+1)-FIND("-",CH1950,FIND("-",CH1950)+1)-1))),""))</f>
        <v/>
      </c>
    </row>
    <row r="1951">
      <c r="CH1951">
        <f>IF(ISTEXT('월 가계부'!A1951),SUBSTITUTE(SUBSTITUTE(SUBSTITUTE(SUBSTITUTE(SUBSTITUTE(SUBSTITUTE(SUBSTITUTE(SUBSTITUTE(SUBSTITUTE(TRIM('월 가계부'!A1951),"년","-"),"월","-"),"일",""),".","-"),"/","-")," ","-"),"--","-"),"--","-"),"--","-")&amp;"-","")</f>
        <v/>
      </c>
      <c r="CI1951">
        <f>IFERROR(IF('월 가계부'!A1951="","",IF(ISNUMBER('월 가계부'!A1951),IF(AND('월 가계부'!A1951&gt;=19000101,'월 가계부'!A1951&lt;=21001231),IF(AND(MOD(INT('월 가계부'!A1951/100),100)&gt;=1,MOD(INT('월 가계부'!A1951/100),100)&lt;=12,MOD(INT('월 가계부'!A1951),100)&gt;=1,MOD(INT('월 가계부'!A1951),100)&lt;=31),IF(MONTH(DATE(INT('월 가계부'!A1951/10000),MOD(INT('월 가계부'!A1951/100),100),MOD(INT('월 가계부'!A1951),100)))=MOD(INT('월 가계부'!A1951/100),100),DATE(INT('월 가계부'!A1951/10000),MOD(INT('월 가계부'!A1951/100),100),MOD(INT('월 가계부'!A1951),100)),""),""),IF(AND('월 가계부'!A1951&gt;=36526,'월 가계부'!A1951&lt;73051),INT('월 가계부'!A1951),"")),IF(OR(CM1951="",CN1951="",CO1951=""),"",IF(AND(CM1951&gt;=2000,CM1951&lt;=2099,CN1951&gt;=1,CN1951&lt;=12,CO1951&gt;=1,CO1951&lt;=31),IF(MONTH(DATE(CM1951,CN1951,CO1951))=CN1951,DATE(CM1951,CN1951,CO1951),""),"")))),"")</f>
        <v/>
      </c>
      <c r="CJ1951">
        <f>IFERROR(IF('월 가계부'!C1951="","",IF(ISNUMBER('월 가계부'!C1951),'월 가계부'!C1951,VALUE(SUBSTITUTE(SUBSTITUTE(SUBSTITUTE(SUBSTITUTE(TRIM('월 가계부'!C1951),",",""),"원","")," ",""),"−","-")))),"")</f>
        <v/>
      </c>
      <c r="CK1951">
        <f>IF(ISNUMBER(CI1951),IF(CI1951&lt;$B$13,CI1951,""),"")</f>
        <v/>
      </c>
      <c r="CM1951">
        <f>IF(CH1951="","",IFERROR(IF(IF(AND(LEN(CH1951)=9,ISERROR(FIND("-",LEFT(CH1951,8))),ISNUMBER(-LEFT(CH1951,8))),VALUE(LEFT(CH1951,4)),VALUE(LEFT(CH1951,FIND("-",CH1951)-1)))&lt;100,IF(AND(LEN(CH1951)=9,ISERROR(FIND("-",LEFT(CH1951,8))),ISNUMBER(-LEFT(CH1951,8))),VALUE(LEFT(CH1951,4)),VALUE(LEFT(CH1951,FIND("-",CH1951)-1)))+2000,IF(AND(LEN(CH1951)=9,ISERROR(FIND("-",LEFT(CH1951,8))),ISNUMBER(-LEFT(CH1951,8))),VALUE(LEFT(CH1951,4)),VALUE(LEFT(CH1951,FIND("-",CH1951)-1)))),""))</f>
        <v/>
      </c>
      <c r="CN1951">
        <f>IF(CH1951="","",IFERROR(IF(AND(LEN(CH1951)=9,ISERROR(FIND("-",LEFT(CH1951,8))),ISNUMBER(-LEFT(CH1951,8))),VALUE(MID(CH1951,5,2)),VALUE(MID(CH1951,FIND("-",CH1951)+1,FIND("-",CH1951,FIND("-",CH1951)+1)-FIND("-",CH1951)-1))),""))</f>
        <v/>
      </c>
      <c r="CO1951">
        <f>IF(CH1951="","",IFERROR(IF(AND(LEN(CH1951)=9,ISERROR(FIND("-",LEFT(CH1951,8))),ISNUMBER(-LEFT(CH1951,8))),VALUE(MID(CH1951,7,2)),VALUE(MID(CH1951,FIND("-",CH1951,FIND("-",CH1951)+1)+1,FIND("-",CH1951,FIND("-",CH1951,FIND("-",CH1951)+1)+1)-FIND("-",CH1951,FIND("-",CH1951)+1)-1))),""))</f>
        <v/>
      </c>
    </row>
    <row r="1952">
      <c r="CH1952">
        <f>IF(ISTEXT('월 가계부'!A1952),SUBSTITUTE(SUBSTITUTE(SUBSTITUTE(SUBSTITUTE(SUBSTITUTE(SUBSTITUTE(SUBSTITUTE(SUBSTITUTE(SUBSTITUTE(TRIM('월 가계부'!A1952),"년","-"),"월","-"),"일",""),".","-"),"/","-")," ","-"),"--","-"),"--","-"),"--","-")&amp;"-","")</f>
        <v/>
      </c>
      <c r="CI1952">
        <f>IFERROR(IF('월 가계부'!A1952="","",IF(ISNUMBER('월 가계부'!A1952),IF(AND('월 가계부'!A1952&gt;=19000101,'월 가계부'!A1952&lt;=21001231),IF(AND(MOD(INT('월 가계부'!A1952/100),100)&gt;=1,MOD(INT('월 가계부'!A1952/100),100)&lt;=12,MOD(INT('월 가계부'!A1952),100)&gt;=1,MOD(INT('월 가계부'!A1952),100)&lt;=31),IF(MONTH(DATE(INT('월 가계부'!A1952/10000),MOD(INT('월 가계부'!A1952/100),100),MOD(INT('월 가계부'!A1952),100)))=MOD(INT('월 가계부'!A1952/100),100),DATE(INT('월 가계부'!A1952/10000),MOD(INT('월 가계부'!A1952/100),100),MOD(INT('월 가계부'!A1952),100)),""),""),IF(AND('월 가계부'!A1952&gt;=36526,'월 가계부'!A1952&lt;73051),INT('월 가계부'!A1952),"")),IF(OR(CM1952="",CN1952="",CO1952=""),"",IF(AND(CM1952&gt;=2000,CM1952&lt;=2099,CN1952&gt;=1,CN1952&lt;=12,CO1952&gt;=1,CO1952&lt;=31),IF(MONTH(DATE(CM1952,CN1952,CO1952))=CN1952,DATE(CM1952,CN1952,CO1952),""),"")))),"")</f>
        <v/>
      </c>
      <c r="CJ1952">
        <f>IFERROR(IF('월 가계부'!C1952="","",IF(ISNUMBER('월 가계부'!C1952),'월 가계부'!C1952,VALUE(SUBSTITUTE(SUBSTITUTE(SUBSTITUTE(SUBSTITUTE(TRIM('월 가계부'!C1952),",",""),"원","")," ",""),"−","-")))),"")</f>
        <v/>
      </c>
      <c r="CK1952">
        <f>IF(ISNUMBER(CI1952),IF(CI1952&lt;$B$13,CI1952,""),"")</f>
        <v/>
      </c>
      <c r="CM1952">
        <f>IF(CH1952="","",IFERROR(IF(IF(AND(LEN(CH1952)=9,ISERROR(FIND("-",LEFT(CH1952,8))),ISNUMBER(-LEFT(CH1952,8))),VALUE(LEFT(CH1952,4)),VALUE(LEFT(CH1952,FIND("-",CH1952)-1)))&lt;100,IF(AND(LEN(CH1952)=9,ISERROR(FIND("-",LEFT(CH1952,8))),ISNUMBER(-LEFT(CH1952,8))),VALUE(LEFT(CH1952,4)),VALUE(LEFT(CH1952,FIND("-",CH1952)-1)))+2000,IF(AND(LEN(CH1952)=9,ISERROR(FIND("-",LEFT(CH1952,8))),ISNUMBER(-LEFT(CH1952,8))),VALUE(LEFT(CH1952,4)),VALUE(LEFT(CH1952,FIND("-",CH1952)-1)))),""))</f>
        <v/>
      </c>
      <c r="CN1952">
        <f>IF(CH1952="","",IFERROR(IF(AND(LEN(CH1952)=9,ISERROR(FIND("-",LEFT(CH1952,8))),ISNUMBER(-LEFT(CH1952,8))),VALUE(MID(CH1952,5,2)),VALUE(MID(CH1952,FIND("-",CH1952)+1,FIND("-",CH1952,FIND("-",CH1952)+1)-FIND("-",CH1952)-1))),""))</f>
        <v/>
      </c>
      <c r="CO1952">
        <f>IF(CH1952="","",IFERROR(IF(AND(LEN(CH1952)=9,ISERROR(FIND("-",LEFT(CH1952,8))),ISNUMBER(-LEFT(CH1952,8))),VALUE(MID(CH1952,7,2)),VALUE(MID(CH1952,FIND("-",CH1952,FIND("-",CH1952)+1)+1,FIND("-",CH1952,FIND("-",CH1952,FIND("-",CH1952)+1)+1)-FIND("-",CH1952,FIND("-",CH1952)+1)-1))),""))</f>
        <v/>
      </c>
    </row>
    <row r="1953">
      <c r="CH1953">
        <f>IF(ISTEXT('월 가계부'!A1953),SUBSTITUTE(SUBSTITUTE(SUBSTITUTE(SUBSTITUTE(SUBSTITUTE(SUBSTITUTE(SUBSTITUTE(SUBSTITUTE(SUBSTITUTE(TRIM('월 가계부'!A1953),"년","-"),"월","-"),"일",""),".","-"),"/","-")," ","-"),"--","-"),"--","-"),"--","-")&amp;"-","")</f>
        <v/>
      </c>
      <c r="CI1953">
        <f>IFERROR(IF('월 가계부'!A1953="","",IF(ISNUMBER('월 가계부'!A1953),IF(AND('월 가계부'!A1953&gt;=19000101,'월 가계부'!A1953&lt;=21001231),IF(AND(MOD(INT('월 가계부'!A1953/100),100)&gt;=1,MOD(INT('월 가계부'!A1953/100),100)&lt;=12,MOD(INT('월 가계부'!A1953),100)&gt;=1,MOD(INT('월 가계부'!A1953),100)&lt;=31),IF(MONTH(DATE(INT('월 가계부'!A1953/10000),MOD(INT('월 가계부'!A1953/100),100),MOD(INT('월 가계부'!A1953),100)))=MOD(INT('월 가계부'!A1953/100),100),DATE(INT('월 가계부'!A1953/10000),MOD(INT('월 가계부'!A1953/100),100),MOD(INT('월 가계부'!A1953),100)),""),""),IF(AND('월 가계부'!A1953&gt;=36526,'월 가계부'!A1953&lt;73051),INT('월 가계부'!A1953),"")),IF(OR(CM1953="",CN1953="",CO1953=""),"",IF(AND(CM1953&gt;=2000,CM1953&lt;=2099,CN1953&gt;=1,CN1953&lt;=12,CO1953&gt;=1,CO1953&lt;=31),IF(MONTH(DATE(CM1953,CN1953,CO1953))=CN1953,DATE(CM1953,CN1953,CO1953),""),"")))),"")</f>
        <v/>
      </c>
      <c r="CJ1953">
        <f>IFERROR(IF('월 가계부'!C1953="","",IF(ISNUMBER('월 가계부'!C1953),'월 가계부'!C1953,VALUE(SUBSTITUTE(SUBSTITUTE(SUBSTITUTE(SUBSTITUTE(TRIM('월 가계부'!C1953),",",""),"원","")," ",""),"−","-")))),"")</f>
        <v/>
      </c>
      <c r="CK1953">
        <f>IF(ISNUMBER(CI1953),IF(CI1953&lt;$B$13,CI1953,""),"")</f>
        <v/>
      </c>
      <c r="CM1953">
        <f>IF(CH1953="","",IFERROR(IF(IF(AND(LEN(CH1953)=9,ISERROR(FIND("-",LEFT(CH1953,8))),ISNUMBER(-LEFT(CH1953,8))),VALUE(LEFT(CH1953,4)),VALUE(LEFT(CH1953,FIND("-",CH1953)-1)))&lt;100,IF(AND(LEN(CH1953)=9,ISERROR(FIND("-",LEFT(CH1953,8))),ISNUMBER(-LEFT(CH1953,8))),VALUE(LEFT(CH1953,4)),VALUE(LEFT(CH1953,FIND("-",CH1953)-1)))+2000,IF(AND(LEN(CH1953)=9,ISERROR(FIND("-",LEFT(CH1953,8))),ISNUMBER(-LEFT(CH1953,8))),VALUE(LEFT(CH1953,4)),VALUE(LEFT(CH1953,FIND("-",CH1953)-1)))),""))</f>
        <v/>
      </c>
      <c r="CN1953">
        <f>IF(CH1953="","",IFERROR(IF(AND(LEN(CH1953)=9,ISERROR(FIND("-",LEFT(CH1953,8))),ISNUMBER(-LEFT(CH1953,8))),VALUE(MID(CH1953,5,2)),VALUE(MID(CH1953,FIND("-",CH1953)+1,FIND("-",CH1953,FIND("-",CH1953)+1)-FIND("-",CH1953)-1))),""))</f>
        <v/>
      </c>
      <c r="CO1953">
        <f>IF(CH1953="","",IFERROR(IF(AND(LEN(CH1953)=9,ISERROR(FIND("-",LEFT(CH1953,8))),ISNUMBER(-LEFT(CH1953,8))),VALUE(MID(CH1953,7,2)),VALUE(MID(CH1953,FIND("-",CH1953,FIND("-",CH1953)+1)+1,FIND("-",CH1953,FIND("-",CH1953,FIND("-",CH1953)+1)+1)-FIND("-",CH1953,FIND("-",CH1953)+1)-1))),""))</f>
        <v/>
      </c>
    </row>
    <row r="1954">
      <c r="CH1954">
        <f>IF(ISTEXT('월 가계부'!A1954),SUBSTITUTE(SUBSTITUTE(SUBSTITUTE(SUBSTITUTE(SUBSTITUTE(SUBSTITUTE(SUBSTITUTE(SUBSTITUTE(SUBSTITUTE(TRIM('월 가계부'!A1954),"년","-"),"월","-"),"일",""),".","-"),"/","-")," ","-"),"--","-"),"--","-"),"--","-")&amp;"-","")</f>
        <v/>
      </c>
      <c r="CI1954">
        <f>IFERROR(IF('월 가계부'!A1954="","",IF(ISNUMBER('월 가계부'!A1954),IF(AND('월 가계부'!A1954&gt;=19000101,'월 가계부'!A1954&lt;=21001231),IF(AND(MOD(INT('월 가계부'!A1954/100),100)&gt;=1,MOD(INT('월 가계부'!A1954/100),100)&lt;=12,MOD(INT('월 가계부'!A1954),100)&gt;=1,MOD(INT('월 가계부'!A1954),100)&lt;=31),IF(MONTH(DATE(INT('월 가계부'!A1954/10000),MOD(INT('월 가계부'!A1954/100),100),MOD(INT('월 가계부'!A1954),100)))=MOD(INT('월 가계부'!A1954/100),100),DATE(INT('월 가계부'!A1954/10000),MOD(INT('월 가계부'!A1954/100),100),MOD(INT('월 가계부'!A1954),100)),""),""),IF(AND('월 가계부'!A1954&gt;=36526,'월 가계부'!A1954&lt;73051),INT('월 가계부'!A1954),"")),IF(OR(CM1954="",CN1954="",CO1954=""),"",IF(AND(CM1954&gt;=2000,CM1954&lt;=2099,CN1954&gt;=1,CN1954&lt;=12,CO1954&gt;=1,CO1954&lt;=31),IF(MONTH(DATE(CM1954,CN1954,CO1954))=CN1954,DATE(CM1954,CN1954,CO1954),""),"")))),"")</f>
        <v/>
      </c>
      <c r="CJ1954">
        <f>IFERROR(IF('월 가계부'!C1954="","",IF(ISNUMBER('월 가계부'!C1954),'월 가계부'!C1954,VALUE(SUBSTITUTE(SUBSTITUTE(SUBSTITUTE(SUBSTITUTE(TRIM('월 가계부'!C1954),",",""),"원","")," ",""),"−","-")))),"")</f>
        <v/>
      </c>
      <c r="CK1954">
        <f>IF(ISNUMBER(CI1954),IF(CI1954&lt;$B$13,CI1954,""),"")</f>
        <v/>
      </c>
      <c r="CM1954">
        <f>IF(CH1954="","",IFERROR(IF(IF(AND(LEN(CH1954)=9,ISERROR(FIND("-",LEFT(CH1954,8))),ISNUMBER(-LEFT(CH1954,8))),VALUE(LEFT(CH1954,4)),VALUE(LEFT(CH1954,FIND("-",CH1954)-1)))&lt;100,IF(AND(LEN(CH1954)=9,ISERROR(FIND("-",LEFT(CH1954,8))),ISNUMBER(-LEFT(CH1954,8))),VALUE(LEFT(CH1954,4)),VALUE(LEFT(CH1954,FIND("-",CH1954)-1)))+2000,IF(AND(LEN(CH1954)=9,ISERROR(FIND("-",LEFT(CH1954,8))),ISNUMBER(-LEFT(CH1954,8))),VALUE(LEFT(CH1954,4)),VALUE(LEFT(CH1954,FIND("-",CH1954)-1)))),""))</f>
        <v/>
      </c>
      <c r="CN1954">
        <f>IF(CH1954="","",IFERROR(IF(AND(LEN(CH1954)=9,ISERROR(FIND("-",LEFT(CH1954,8))),ISNUMBER(-LEFT(CH1954,8))),VALUE(MID(CH1954,5,2)),VALUE(MID(CH1954,FIND("-",CH1954)+1,FIND("-",CH1954,FIND("-",CH1954)+1)-FIND("-",CH1954)-1))),""))</f>
        <v/>
      </c>
      <c r="CO1954">
        <f>IF(CH1954="","",IFERROR(IF(AND(LEN(CH1954)=9,ISERROR(FIND("-",LEFT(CH1954,8))),ISNUMBER(-LEFT(CH1954,8))),VALUE(MID(CH1954,7,2)),VALUE(MID(CH1954,FIND("-",CH1954,FIND("-",CH1954)+1)+1,FIND("-",CH1954,FIND("-",CH1954,FIND("-",CH1954)+1)+1)-FIND("-",CH1954,FIND("-",CH1954)+1)-1))),""))</f>
        <v/>
      </c>
    </row>
    <row r="1955">
      <c r="CH1955">
        <f>IF(ISTEXT('월 가계부'!A1955),SUBSTITUTE(SUBSTITUTE(SUBSTITUTE(SUBSTITUTE(SUBSTITUTE(SUBSTITUTE(SUBSTITUTE(SUBSTITUTE(SUBSTITUTE(TRIM('월 가계부'!A1955),"년","-"),"월","-"),"일",""),".","-"),"/","-")," ","-"),"--","-"),"--","-"),"--","-")&amp;"-","")</f>
        <v/>
      </c>
      <c r="CI1955">
        <f>IFERROR(IF('월 가계부'!A1955="","",IF(ISNUMBER('월 가계부'!A1955),IF(AND('월 가계부'!A1955&gt;=19000101,'월 가계부'!A1955&lt;=21001231),IF(AND(MOD(INT('월 가계부'!A1955/100),100)&gt;=1,MOD(INT('월 가계부'!A1955/100),100)&lt;=12,MOD(INT('월 가계부'!A1955),100)&gt;=1,MOD(INT('월 가계부'!A1955),100)&lt;=31),IF(MONTH(DATE(INT('월 가계부'!A1955/10000),MOD(INT('월 가계부'!A1955/100),100),MOD(INT('월 가계부'!A1955),100)))=MOD(INT('월 가계부'!A1955/100),100),DATE(INT('월 가계부'!A1955/10000),MOD(INT('월 가계부'!A1955/100),100),MOD(INT('월 가계부'!A1955),100)),""),""),IF(AND('월 가계부'!A1955&gt;=36526,'월 가계부'!A1955&lt;73051),INT('월 가계부'!A1955),"")),IF(OR(CM1955="",CN1955="",CO1955=""),"",IF(AND(CM1955&gt;=2000,CM1955&lt;=2099,CN1955&gt;=1,CN1955&lt;=12,CO1955&gt;=1,CO1955&lt;=31),IF(MONTH(DATE(CM1955,CN1955,CO1955))=CN1955,DATE(CM1955,CN1955,CO1955),""),"")))),"")</f>
        <v/>
      </c>
      <c r="CJ1955">
        <f>IFERROR(IF('월 가계부'!C1955="","",IF(ISNUMBER('월 가계부'!C1955),'월 가계부'!C1955,VALUE(SUBSTITUTE(SUBSTITUTE(SUBSTITUTE(SUBSTITUTE(TRIM('월 가계부'!C1955),",",""),"원","")," ",""),"−","-")))),"")</f>
        <v/>
      </c>
      <c r="CK1955">
        <f>IF(ISNUMBER(CI1955),IF(CI1955&lt;$B$13,CI1955,""),"")</f>
        <v/>
      </c>
      <c r="CM1955">
        <f>IF(CH1955="","",IFERROR(IF(IF(AND(LEN(CH1955)=9,ISERROR(FIND("-",LEFT(CH1955,8))),ISNUMBER(-LEFT(CH1955,8))),VALUE(LEFT(CH1955,4)),VALUE(LEFT(CH1955,FIND("-",CH1955)-1)))&lt;100,IF(AND(LEN(CH1955)=9,ISERROR(FIND("-",LEFT(CH1955,8))),ISNUMBER(-LEFT(CH1955,8))),VALUE(LEFT(CH1955,4)),VALUE(LEFT(CH1955,FIND("-",CH1955)-1)))+2000,IF(AND(LEN(CH1955)=9,ISERROR(FIND("-",LEFT(CH1955,8))),ISNUMBER(-LEFT(CH1955,8))),VALUE(LEFT(CH1955,4)),VALUE(LEFT(CH1955,FIND("-",CH1955)-1)))),""))</f>
        <v/>
      </c>
      <c r="CN1955">
        <f>IF(CH1955="","",IFERROR(IF(AND(LEN(CH1955)=9,ISERROR(FIND("-",LEFT(CH1955,8))),ISNUMBER(-LEFT(CH1955,8))),VALUE(MID(CH1955,5,2)),VALUE(MID(CH1955,FIND("-",CH1955)+1,FIND("-",CH1955,FIND("-",CH1955)+1)-FIND("-",CH1955)-1))),""))</f>
        <v/>
      </c>
      <c r="CO1955">
        <f>IF(CH1955="","",IFERROR(IF(AND(LEN(CH1955)=9,ISERROR(FIND("-",LEFT(CH1955,8))),ISNUMBER(-LEFT(CH1955,8))),VALUE(MID(CH1955,7,2)),VALUE(MID(CH1955,FIND("-",CH1955,FIND("-",CH1955)+1)+1,FIND("-",CH1955,FIND("-",CH1955,FIND("-",CH1955)+1)+1)-FIND("-",CH1955,FIND("-",CH1955)+1)-1))),""))</f>
        <v/>
      </c>
    </row>
    <row r="1956">
      <c r="CH1956">
        <f>IF(ISTEXT('월 가계부'!A1956),SUBSTITUTE(SUBSTITUTE(SUBSTITUTE(SUBSTITUTE(SUBSTITUTE(SUBSTITUTE(SUBSTITUTE(SUBSTITUTE(SUBSTITUTE(TRIM('월 가계부'!A1956),"년","-"),"월","-"),"일",""),".","-"),"/","-")," ","-"),"--","-"),"--","-"),"--","-")&amp;"-","")</f>
        <v/>
      </c>
      <c r="CI1956">
        <f>IFERROR(IF('월 가계부'!A1956="","",IF(ISNUMBER('월 가계부'!A1956),IF(AND('월 가계부'!A1956&gt;=19000101,'월 가계부'!A1956&lt;=21001231),IF(AND(MOD(INT('월 가계부'!A1956/100),100)&gt;=1,MOD(INT('월 가계부'!A1956/100),100)&lt;=12,MOD(INT('월 가계부'!A1956),100)&gt;=1,MOD(INT('월 가계부'!A1956),100)&lt;=31),IF(MONTH(DATE(INT('월 가계부'!A1956/10000),MOD(INT('월 가계부'!A1956/100),100),MOD(INT('월 가계부'!A1956),100)))=MOD(INT('월 가계부'!A1956/100),100),DATE(INT('월 가계부'!A1956/10000),MOD(INT('월 가계부'!A1956/100),100),MOD(INT('월 가계부'!A1956),100)),""),""),IF(AND('월 가계부'!A1956&gt;=36526,'월 가계부'!A1956&lt;73051),INT('월 가계부'!A1956),"")),IF(OR(CM1956="",CN1956="",CO1956=""),"",IF(AND(CM1956&gt;=2000,CM1956&lt;=2099,CN1956&gt;=1,CN1956&lt;=12,CO1956&gt;=1,CO1956&lt;=31),IF(MONTH(DATE(CM1956,CN1956,CO1956))=CN1956,DATE(CM1956,CN1956,CO1956),""),"")))),"")</f>
        <v/>
      </c>
      <c r="CJ1956">
        <f>IFERROR(IF('월 가계부'!C1956="","",IF(ISNUMBER('월 가계부'!C1956),'월 가계부'!C1956,VALUE(SUBSTITUTE(SUBSTITUTE(SUBSTITUTE(SUBSTITUTE(TRIM('월 가계부'!C1956),",",""),"원","")," ",""),"−","-")))),"")</f>
        <v/>
      </c>
      <c r="CK1956">
        <f>IF(ISNUMBER(CI1956),IF(CI1956&lt;$B$13,CI1956,""),"")</f>
        <v/>
      </c>
      <c r="CM1956">
        <f>IF(CH1956="","",IFERROR(IF(IF(AND(LEN(CH1956)=9,ISERROR(FIND("-",LEFT(CH1956,8))),ISNUMBER(-LEFT(CH1956,8))),VALUE(LEFT(CH1956,4)),VALUE(LEFT(CH1956,FIND("-",CH1956)-1)))&lt;100,IF(AND(LEN(CH1956)=9,ISERROR(FIND("-",LEFT(CH1956,8))),ISNUMBER(-LEFT(CH1956,8))),VALUE(LEFT(CH1956,4)),VALUE(LEFT(CH1956,FIND("-",CH1956)-1)))+2000,IF(AND(LEN(CH1956)=9,ISERROR(FIND("-",LEFT(CH1956,8))),ISNUMBER(-LEFT(CH1956,8))),VALUE(LEFT(CH1956,4)),VALUE(LEFT(CH1956,FIND("-",CH1956)-1)))),""))</f>
        <v/>
      </c>
      <c r="CN1956">
        <f>IF(CH1956="","",IFERROR(IF(AND(LEN(CH1956)=9,ISERROR(FIND("-",LEFT(CH1956,8))),ISNUMBER(-LEFT(CH1956,8))),VALUE(MID(CH1956,5,2)),VALUE(MID(CH1956,FIND("-",CH1956)+1,FIND("-",CH1956,FIND("-",CH1956)+1)-FIND("-",CH1956)-1))),""))</f>
        <v/>
      </c>
      <c r="CO1956">
        <f>IF(CH1956="","",IFERROR(IF(AND(LEN(CH1956)=9,ISERROR(FIND("-",LEFT(CH1956,8))),ISNUMBER(-LEFT(CH1956,8))),VALUE(MID(CH1956,7,2)),VALUE(MID(CH1956,FIND("-",CH1956,FIND("-",CH1956)+1)+1,FIND("-",CH1956,FIND("-",CH1956,FIND("-",CH1956)+1)+1)-FIND("-",CH1956,FIND("-",CH1956)+1)-1))),""))</f>
        <v/>
      </c>
    </row>
    <row r="1957">
      <c r="CH1957">
        <f>IF(ISTEXT('월 가계부'!A1957),SUBSTITUTE(SUBSTITUTE(SUBSTITUTE(SUBSTITUTE(SUBSTITUTE(SUBSTITUTE(SUBSTITUTE(SUBSTITUTE(SUBSTITUTE(TRIM('월 가계부'!A1957),"년","-"),"월","-"),"일",""),".","-"),"/","-")," ","-"),"--","-"),"--","-"),"--","-")&amp;"-","")</f>
        <v/>
      </c>
      <c r="CI1957">
        <f>IFERROR(IF('월 가계부'!A1957="","",IF(ISNUMBER('월 가계부'!A1957),IF(AND('월 가계부'!A1957&gt;=19000101,'월 가계부'!A1957&lt;=21001231),IF(AND(MOD(INT('월 가계부'!A1957/100),100)&gt;=1,MOD(INT('월 가계부'!A1957/100),100)&lt;=12,MOD(INT('월 가계부'!A1957),100)&gt;=1,MOD(INT('월 가계부'!A1957),100)&lt;=31),IF(MONTH(DATE(INT('월 가계부'!A1957/10000),MOD(INT('월 가계부'!A1957/100),100),MOD(INT('월 가계부'!A1957),100)))=MOD(INT('월 가계부'!A1957/100),100),DATE(INT('월 가계부'!A1957/10000),MOD(INT('월 가계부'!A1957/100),100),MOD(INT('월 가계부'!A1957),100)),""),""),IF(AND('월 가계부'!A1957&gt;=36526,'월 가계부'!A1957&lt;73051),INT('월 가계부'!A1957),"")),IF(OR(CM1957="",CN1957="",CO1957=""),"",IF(AND(CM1957&gt;=2000,CM1957&lt;=2099,CN1957&gt;=1,CN1957&lt;=12,CO1957&gt;=1,CO1957&lt;=31),IF(MONTH(DATE(CM1957,CN1957,CO1957))=CN1957,DATE(CM1957,CN1957,CO1957),""),"")))),"")</f>
        <v/>
      </c>
      <c r="CJ1957">
        <f>IFERROR(IF('월 가계부'!C1957="","",IF(ISNUMBER('월 가계부'!C1957),'월 가계부'!C1957,VALUE(SUBSTITUTE(SUBSTITUTE(SUBSTITUTE(SUBSTITUTE(TRIM('월 가계부'!C1957),",",""),"원","")," ",""),"−","-")))),"")</f>
        <v/>
      </c>
      <c r="CK1957">
        <f>IF(ISNUMBER(CI1957),IF(CI1957&lt;$B$13,CI1957,""),"")</f>
        <v/>
      </c>
      <c r="CM1957">
        <f>IF(CH1957="","",IFERROR(IF(IF(AND(LEN(CH1957)=9,ISERROR(FIND("-",LEFT(CH1957,8))),ISNUMBER(-LEFT(CH1957,8))),VALUE(LEFT(CH1957,4)),VALUE(LEFT(CH1957,FIND("-",CH1957)-1)))&lt;100,IF(AND(LEN(CH1957)=9,ISERROR(FIND("-",LEFT(CH1957,8))),ISNUMBER(-LEFT(CH1957,8))),VALUE(LEFT(CH1957,4)),VALUE(LEFT(CH1957,FIND("-",CH1957)-1)))+2000,IF(AND(LEN(CH1957)=9,ISERROR(FIND("-",LEFT(CH1957,8))),ISNUMBER(-LEFT(CH1957,8))),VALUE(LEFT(CH1957,4)),VALUE(LEFT(CH1957,FIND("-",CH1957)-1)))),""))</f>
        <v/>
      </c>
      <c r="CN1957">
        <f>IF(CH1957="","",IFERROR(IF(AND(LEN(CH1957)=9,ISERROR(FIND("-",LEFT(CH1957,8))),ISNUMBER(-LEFT(CH1957,8))),VALUE(MID(CH1957,5,2)),VALUE(MID(CH1957,FIND("-",CH1957)+1,FIND("-",CH1957,FIND("-",CH1957)+1)-FIND("-",CH1957)-1))),""))</f>
        <v/>
      </c>
      <c r="CO1957">
        <f>IF(CH1957="","",IFERROR(IF(AND(LEN(CH1957)=9,ISERROR(FIND("-",LEFT(CH1957,8))),ISNUMBER(-LEFT(CH1957,8))),VALUE(MID(CH1957,7,2)),VALUE(MID(CH1957,FIND("-",CH1957,FIND("-",CH1957)+1)+1,FIND("-",CH1957,FIND("-",CH1957,FIND("-",CH1957)+1)+1)-FIND("-",CH1957,FIND("-",CH1957)+1)-1))),""))</f>
        <v/>
      </c>
    </row>
    <row r="1958">
      <c r="CH1958">
        <f>IF(ISTEXT('월 가계부'!A1958),SUBSTITUTE(SUBSTITUTE(SUBSTITUTE(SUBSTITUTE(SUBSTITUTE(SUBSTITUTE(SUBSTITUTE(SUBSTITUTE(SUBSTITUTE(TRIM('월 가계부'!A1958),"년","-"),"월","-"),"일",""),".","-"),"/","-")," ","-"),"--","-"),"--","-"),"--","-")&amp;"-","")</f>
        <v/>
      </c>
      <c r="CI1958">
        <f>IFERROR(IF('월 가계부'!A1958="","",IF(ISNUMBER('월 가계부'!A1958),IF(AND('월 가계부'!A1958&gt;=19000101,'월 가계부'!A1958&lt;=21001231),IF(AND(MOD(INT('월 가계부'!A1958/100),100)&gt;=1,MOD(INT('월 가계부'!A1958/100),100)&lt;=12,MOD(INT('월 가계부'!A1958),100)&gt;=1,MOD(INT('월 가계부'!A1958),100)&lt;=31),IF(MONTH(DATE(INT('월 가계부'!A1958/10000),MOD(INT('월 가계부'!A1958/100),100),MOD(INT('월 가계부'!A1958),100)))=MOD(INT('월 가계부'!A1958/100),100),DATE(INT('월 가계부'!A1958/10000),MOD(INT('월 가계부'!A1958/100),100),MOD(INT('월 가계부'!A1958),100)),""),""),IF(AND('월 가계부'!A1958&gt;=36526,'월 가계부'!A1958&lt;73051),INT('월 가계부'!A1958),"")),IF(OR(CM1958="",CN1958="",CO1958=""),"",IF(AND(CM1958&gt;=2000,CM1958&lt;=2099,CN1958&gt;=1,CN1958&lt;=12,CO1958&gt;=1,CO1958&lt;=31),IF(MONTH(DATE(CM1958,CN1958,CO1958))=CN1958,DATE(CM1958,CN1958,CO1958),""),"")))),"")</f>
        <v/>
      </c>
      <c r="CJ1958">
        <f>IFERROR(IF('월 가계부'!C1958="","",IF(ISNUMBER('월 가계부'!C1958),'월 가계부'!C1958,VALUE(SUBSTITUTE(SUBSTITUTE(SUBSTITUTE(SUBSTITUTE(TRIM('월 가계부'!C1958),",",""),"원","")," ",""),"−","-")))),"")</f>
        <v/>
      </c>
      <c r="CK1958">
        <f>IF(ISNUMBER(CI1958),IF(CI1958&lt;$B$13,CI1958,""),"")</f>
        <v/>
      </c>
      <c r="CM1958">
        <f>IF(CH1958="","",IFERROR(IF(IF(AND(LEN(CH1958)=9,ISERROR(FIND("-",LEFT(CH1958,8))),ISNUMBER(-LEFT(CH1958,8))),VALUE(LEFT(CH1958,4)),VALUE(LEFT(CH1958,FIND("-",CH1958)-1)))&lt;100,IF(AND(LEN(CH1958)=9,ISERROR(FIND("-",LEFT(CH1958,8))),ISNUMBER(-LEFT(CH1958,8))),VALUE(LEFT(CH1958,4)),VALUE(LEFT(CH1958,FIND("-",CH1958)-1)))+2000,IF(AND(LEN(CH1958)=9,ISERROR(FIND("-",LEFT(CH1958,8))),ISNUMBER(-LEFT(CH1958,8))),VALUE(LEFT(CH1958,4)),VALUE(LEFT(CH1958,FIND("-",CH1958)-1)))),""))</f>
        <v/>
      </c>
      <c r="CN1958">
        <f>IF(CH1958="","",IFERROR(IF(AND(LEN(CH1958)=9,ISERROR(FIND("-",LEFT(CH1958,8))),ISNUMBER(-LEFT(CH1958,8))),VALUE(MID(CH1958,5,2)),VALUE(MID(CH1958,FIND("-",CH1958)+1,FIND("-",CH1958,FIND("-",CH1958)+1)-FIND("-",CH1958)-1))),""))</f>
        <v/>
      </c>
      <c r="CO1958">
        <f>IF(CH1958="","",IFERROR(IF(AND(LEN(CH1958)=9,ISERROR(FIND("-",LEFT(CH1958,8))),ISNUMBER(-LEFT(CH1958,8))),VALUE(MID(CH1958,7,2)),VALUE(MID(CH1958,FIND("-",CH1958,FIND("-",CH1958)+1)+1,FIND("-",CH1958,FIND("-",CH1958,FIND("-",CH1958)+1)+1)-FIND("-",CH1958,FIND("-",CH1958)+1)-1))),""))</f>
        <v/>
      </c>
    </row>
    <row r="1959">
      <c r="CH1959">
        <f>IF(ISTEXT('월 가계부'!A1959),SUBSTITUTE(SUBSTITUTE(SUBSTITUTE(SUBSTITUTE(SUBSTITUTE(SUBSTITUTE(SUBSTITUTE(SUBSTITUTE(SUBSTITUTE(TRIM('월 가계부'!A1959),"년","-"),"월","-"),"일",""),".","-"),"/","-")," ","-"),"--","-"),"--","-"),"--","-")&amp;"-","")</f>
        <v/>
      </c>
      <c r="CI1959">
        <f>IFERROR(IF('월 가계부'!A1959="","",IF(ISNUMBER('월 가계부'!A1959),IF(AND('월 가계부'!A1959&gt;=19000101,'월 가계부'!A1959&lt;=21001231),IF(AND(MOD(INT('월 가계부'!A1959/100),100)&gt;=1,MOD(INT('월 가계부'!A1959/100),100)&lt;=12,MOD(INT('월 가계부'!A1959),100)&gt;=1,MOD(INT('월 가계부'!A1959),100)&lt;=31),IF(MONTH(DATE(INT('월 가계부'!A1959/10000),MOD(INT('월 가계부'!A1959/100),100),MOD(INT('월 가계부'!A1959),100)))=MOD(INT('월 가계부'!A1959/100),100),DATE(INT('월 가계부'!A1959/10000),MOD(INT('월 가계부'!A1959/100),100),MOD(INT('월 가계부'!A1959),100)),""),""),IF(AND('월 가계부'!A1959&gt;=36526,'월 가계부'!A1959&lt;73051),INT('월 가계부'!A1959),"")),IF(OR(CM1959="",CN1959="",CO1959=""),"",IF(AND(CM1959&gt;=2000,CM1959&lt;=2099,CN1959&gt;=1,CN1959&lt;=12,CO1959&gt;=1,CO1959&lt;=31),IF(MONTH(DATE(CM1959,CN1959,CO1959))=CN1959,DATE(CM1959,CN1959,CO1959),""),"")))),"")</f>
        <v/>
      </c>
      <c r="CJ1959">
        <f>IFERROR(IF('월 가계부'!C1959="","",IF(ISNUMBER('월 가계부'!C1959),'월 가계부'!C1959,VALUE(SUBSTITUTE(SUBSTITUTE(SUBSTITUTE(SUBSTITUTE(TRIM('월 가계부'!C1959),",",""),"원","")," ",""),"−","-")))),"")</f>
        <v/>
      </c>
      <c r="CK1959">
        <f>IF(ISNUMBER(CI1959),IF(CI1959&lt;$B$13,CI1959,""),"")</f>
        <v/>
      </c>
      <c r="CM1959">
        <f>IF(CH1959="","",IFERROR(IF(IF(AND(LEN(CH1959)=9,ISERROR(FIND("-",LEFT(CH1959,8))),ISNUMBER(-LEFT(CH1959,8))),VALUE(LEFT(CH1959,4)),VALUE(LEFT(CH1959,FIND("-",CH1959)-1)))&lt;100,IF(AND(LEN(CH1959)=9,ISERROR(FIND("-",LEFT(CH1959,8))),ISNUMBER(-LEFT(CH1959,8))),VALUE(LEFT(CH1959,4)),VALUE(LEFT(CH1959,FIND("-",CH1959)-1)))+2000,IF(AND(LEN(CH1959)=9,ISERROR(FIND("-",LEFT(CH1959,8))),ISNUMBER(-LEFT(CH1959,8))),VALUE(LEFT(CH1959,4)),VALUE(LEFT(CH1959,FIND("-",CH1959)-1)))),""))</f>
        <v/>
      </c>
      <c r="CN1959">
        <f>IF(CH1959="","",IFERROR(IF(AND(LEN(CH1959)=9,ISERROR(FIND("-",LEFT(CH1959,8))),ISNUMBER(-LEFT(CH1959,8))),VALUE(MID(CH1959,5,2)),VALUE(MID(CH1959,FIND("-",CH1959)+1,FIND("-",CH1959,FIND("-",CH1959)+1)-FIND("-",CH1959)-1))),""))</f>
        <v/>
      </c>
      <c r="CO1959">
        <f>IF(CH1959="","",IFERROR(IF(AND(LEN(CH1959)=9,ISERROR(FIND("-",LEFT(CH1959,8))),ISNUMBER(-LEFT(CH1959,8))),VALUE(MID(CH1959,7,2)),VALUE(MID(CH1959,FIND("-",CH1959,FIND("-",CH1959)+1)+1,FIND("-",CH1959,FIND("-",CH1959,FIND("-",CH1959)+1)+1)-FIND("-",CH1959,FIND("-",CH1959)+1)-1))),""))</f>
        <v/>
      </c>
    </row>
    <row r="1960">
      <c r="CH1960">
        <f>IF(ISTEXT('월 가계부'!A1960),SUBSTITUTE(SUBSTITUTE(SUBSTITUTE(SUBSTITUTE(SUBSTITUTE(SUBSTITUTE(SUBSTITUTE(SUBSTITUTE(SUBSTITUTE(TRIM('월 가계부'!A1960),"년","-"),"월","-"),"일",""),".","-"),"/","-")," ","-"),"--","-"),"--","-"),"--","-")&amp;"-","")</f>
        <v/>
      </c>
      <c r="CI1960">
        <f>IFERROR(IF('월 가계부'!A1960="","",IF(ISNUMBER('월 가계부'!A1960),IF(AND('월 가계부'!A1960&gt;=19000101,'월 가계부'!A1960&lt;=21001231),IF(AND(MOD(INT('월 가계부'!A1960/100),100)&gt;=1,MOD(INT('월 가계부'!A1960/100),100)&lt;=12,MOD(INT('월 가계부'!A1960),100)&gt;=1,MOD(INT('월 가계부'!A1960),100)&lt;=31),IF(MONTH(DATE(INT('월 가계부'!A1960/10000),MOD(INT('월 가계부'!A1960/100),100),MOD(INT('월 가계부'!A1960),100)))=MOD(INT('월 가계부'!A1960/100),100),DATE(INT('월 가계부'!A1960/10000),MOD(INT('월 가계부'!A1960/100),100),MOD(INT('월 가계부'!A1960),100)),""),""),IF(AND('월 가계부'!A1960&gt;=36526,'월 가계부'!A1960&lt;73051),INT('월 가계부'!A1960),"")),IF(OR(CM1960="",CN1960="",CO1960=""),"",IF(AND(CM1960&gt;=2000,CM1960&lt;=2099,CN1960&gt;=1,CN1960&lt;=12,CO1960&gt;=1,CO1960&lt;=31),IF(MONTH(DATE(CM1960,CN1960,CO1960))=CN1960,DATE(CM1960,CN1960,CO1960),""),"")))),"")</f>
        <v/>
      </c>
      <c r="CJ1960">
        <f>IFERROR(IF('월 가계부'!C1960="","",IF(ISNUMBER('월 가계부'!C1960),'월 가계부'!C1960,VALUE(SUBSTITUTE(SUBSTITUTE(SUBSTITUTE(SUBSTITUTE(TRIM('월 가계부'!C1960),",",""),"원","")," ",""),"−","-")))),"")</f>
        <v/>
      </c>
      <c r="CK1960">
        <f>IF(ISNUMBER(CI1960),IF(CI1960&lt;$B$13,CI1960,""),"")</f>
        <v/>
      </c>
      <c r="CM1960">
        <f>IF(CH1960="","",IFERROR(IF(IF(AND(LEN(CH1960)=9,ISERROR(FIND("-",LEFT(CH1960,8))),ISNUMBER(-LEFT(CH1960,8))),VALUE(LEFT(CH1960,4)),VALUE(LEFT(CH1960,FIND("-",CH1960)-1)))&lt;100,IF(AND(LEN(CH1960)=9,ISERROR(FIND("-",LEFT(CH1960,8))),ISNUMBER(-LEFT(CH1960,8))),VALUE(LEFT(CH1960,4)),VALUE(LEFT(CH1960,FIND("-",CH1960)-1)))+2000,IF(AND(LEN(CH1960)=9,ISERROR(FIND("-",LEFT(CH1960,8))),ISNUMBER(-LEFT(CH1960,8))),VALUE(LEFT(CH1960,4)),VALUE(LEFT(CH1960,FIND("-",CH1960)-1)))),""))</f>
        <v/>
      </c>
      <c r="CN1960">
        <f>IF(CH1960="","",IFERROR(IF(AND(LEN(CH1960)=9,ISERROR(FIND("-",LEFT(CH1960,8))),ISNUMBER(-LEFT(CH1960,8))),VALUE(MID(CH1960,5,2)),VALUE(MID(CH1960,FIND("-",CH1960)+1,FIND("-",CH1960,FIND("-",CH1960)+1)-FIND("-",CH1960)-1))),""))</f>
        <v/>
      </c>
      <c r="CO1960">
        <f>IF(CH1960="","",IFERROR(IF(AND(LEN(CH1960)=9,ISERROR(FIND("-",LEFT(CH1960,8))),ISNUMBER(-LEFT(CH1960,8))),VALUE(MID(CH1960,7,2)),VALUE(MID(CH1960,FIND("-",CH1960,FIND("-",CH1960)+1)+1,FIND("-",CH1960,FIND("-",CH1960,FIND("-",CH1960)+1)+1)-FIND("-",CH1960,FIND("-",CH1960)+1)-1))),""))</f>
        <v/>
      </c>
    </row>
    <row r="1961">
      <c r="CH1961">
        <f>IF(ISTEXT('월 가계부'!A1961),SUBSTITUTE(SUBSTITUTE(SUBSTITUTE(SUBSTITUTE(SUBSTITUTE(SUBSTITUTE(SUBSTITUTE(SUBSTITUTE(SUBSTITUTE(TRIM('월 가계부'!A1961),"년","-"),"월","-"),"일",""),".","-"),"/","-")," ","-"),"--","-"),"--","-"),"--","-")&amp;"-","")</f>
        <v/>
      </c>
      <c r="CI1961">
        <f>IFERROR(IF('월 가계부'!A1961="","",IF(ISNUMBER('월 가계부'!A1961),IF(AND('월 가계부'!A1961&gt;=19000101,'월 가계부'!A1961&lt;=21001231),IF(AND(MOD(INT('월 가계부'!A1961/100),100)&gt;=1,MOD(INT('월 가계부'!A1961/100),100)&lt;=12,MOD(INT('월 가계부'!A1961),100)&gt;=1,MOD(INT('월 가계부'!A1961),100)&lt;=31),IF(MONTH(DATE(INT('월 가계부'!A1961/10000),MOD(INT('월 가계부'!A1961/100),100),MOD(INT('월 가계부'!A1961),100)))=MOD(INT('월 가계부'!A1961/100),100),DATE(INT('월 가계부'!A1961/10000),MOD(INT('월 가계부'!A1961/100),100),MOD(INT('월 가계부'!A1961),100)),""),""),IF(AND('월 가계부'!A1961&gt;=36526,'월 가계부'!A1961&lt;73051),INT('월 가계부'!A1961),"")),IF(OR(CM1961="",CN1961="",CO1961=""),"",IF(AND(CM1961&gt;=2000,CM1961&lt;=2099,CN1961&gt;=1,CN1961&lt;=12,CO1961&gt;=1,CO1961&lt;=31),IF(MONTH(DATE(CM1961,CN1961,CO1961))=CN1961,DATE(CM1961,CN1961,CO1961),""),"")))),"")</f>
        <v/>
      </c>
      <c r="CJ1961">
        <f>IFERROR(IF('월 가계부'!C1961="","",IF(ISNUMBER('월 가계부'!C1961),'월 가계부'!C1961,VALUE(SUBSTITUTE(SUBSTITUTE(SUBSTITUTE(SUBSTITUTE(TRIM('월 가계부'!C1961),",",""),"원","")," ",""),"−","-")))),"")</f>
        <v/>
      </c>
      <c r="CK1961">
        <f>IF(ISNUMBER(CI1961),IF(CI1961&lt;$B$13,CI1961,""),"")</f>
        <v/>
      </c>
      <c r="CM1961">
        <f>IF(CH1961="","",IFERROR(IF(IF(AND(LEN(CH1961)=9,ISERROR(FIND("-",LEFT(CH1961,8))),ISNUMBER(-LEFT(CH1961,8))),VALUE(LEFT(CH1961,4)),VALUE(LEFT(CH1961,FIND("-",CH1961)-1)))&lt;100,IF(AND(LEN(CH1961)=9,ISERROR(FIND("-",LEFT(CH1961,8))),ISNUMBER(-LEFT(CH1961,8))),VALUE(LEFT(CH1961,4)),VALUE(LEFT(CH1961,FIND("-",CH1961)-1)))+2000,IF(AND(LEN(CH1961)=9,ISERROR(FIND("-",LEFT(CH1961,8))),ISNUMBER(-LEFT(CH1961,8))),VALUE(LEFT(CH1961,4)),VALUE(LEFT(CH1961,FIND("-",CH1961)-1)))),""))</f>
        <v/>
      </c>
      <c r="CN1961">
        <f>IF(CH1961="","",IFERROR(IF(AND(LEN(CH1961)=9,ISERROR(FIND("-",LEFT(CH1961,8))),ISNUMBER(-LEFT(CH1961,8))),VALUE(MID(CH1961,5,2)),VALUE(MID(CH1961,FIND("-",CH1961)+1,FIND("-",CH1961,FIND("-",CH1961)+1)-FIND("-",CH1961)-1))),""))</f>
        <v/>
      </c>
      <c r="CO1961">
        <f>IF(CH1961="","",IFERROR(IF(AND(LEN(CH1961)=9,ISERROR(FIND("-",LEFT(CH1961,8))),ISNUMBER(-LEFT(CH1961,8))),VALUE(MID(CH1961,7,2)),VALUE(MID(CH1961,FIND("-",CH1961,FIND("-",CH1961)+1)+1,FIND("-",CH1961,FIND("-",CH1961,FIND("-",CH1961)+1)+1)-FIND("-",CH1961,FIND("-",CH1961)+1)-1))),""))</f>
        <v/>
      </c>
    </row>
    <row r="1962">
      <c r="CH1962">
        <f>IF(ISTEXT('월 가계부'!A1962),SUBSTITUTE(SUBSTITUTE(SUBSTITUTE(SUBSTITUTE(SUBSTITUTE(SUBSTITUTE(SUBSTITUTE(SUBSTITUTE(SUBSTITUTE(TRIM('월 가계부'!A1962),"년","-"),"월","-"),"일",""),".","-"),"/","-")," ","-"),"--","-"),"--","-"),"--","-")&amp;"-","")</f>
        <v/>
      </c>
      <c r="CI1962">
        <f>IFERROR(IF('월 가계부'!A1962="","",IF(ISNUMBER('월 가계부'!A1962),IF(AND('월 가계부'!A1962&gt;=19000101,'월 가계부'!A1962&lt;=21001231),IF(AND(MOD(INT('월 가계부'!A1962/100),100)&gt;=1,MOD(INT('월 가계부'!A1962/100),100)&lt;=12,MOD(INT('월 가계부'!A1962),100)&gt;=1,MOD(INT('월 가계부'!A1962),100)&lt;=31),IF(MONTH(DATE(INT('월 가계부'!A1962/10000),MOD(INT('월 가계부'!A1962/100),100),MOD(INT('월 가계부'!A1962),100)))=MOD(INT('월 가계부'!A1962/100),100),DATE(INT('월 가계부'!A1962/10000),MOD(INT('월 가계부'!A1962/100),100),MOD(INT('월 가계부'!A1962),100)),""),""),IF(AND('월 가계부'!A1962&gt;=36526,'월 가계부'!A1962&lt;73051),INT('월 가계부'!A1962),"")),IF(OR(CM1962="",CN1962="",CO1962=""),"",IF(AND(CM1962&gt;=2000,CM1962&lt;=2099,CN1962&gt;=1,CN1962&lt;=12,CO1962&gt;=1,CO1962&lt;=31),IF(MONTH(DATE(CM1962,CN1962,CO1962))=CN1962,DATE(CM1962,CN1962,CO1962),""),"")))),"")</f>
        <v/>
      </c>
      <c r="CJ1962">
        <f>IFERROR(IF('월 가계부'!C1962="","",IF(ISNUMBER('월 가계부'!C1962),'월 가계부'!C1962,VALUE(SUBSTITUTE(SUBSTITUTE(SUBSTITUTE(SUBSTITUTE(TRIM('월 가계부'!C1962),",",""),"원","")," ",""),"−","-")))),"")</f>
        <v/>
      </c>
      <c r="CK1962">
        <f>IF(ISNUMBER(CI1962),IF(CI1962&lt;$B$13,CI1962,""),"")</f>
        <v/>
      </c>
      <c r="CM1962">
        <f>IF(CH1962="","",IFERROR(IF(IF(AND(LEN(CH1962)=9,ISERROR(FIND("-",LEFT(CH1962,8))),ISNUMBER(-LEFT(CH1962,8))),VALUE(LEFT(CH1962,4)),VALUE(LEFT(CH1962,FIND("-",CH1962)-1)))&lt;100,IF(AND(LEN(CH1962)=9,ISERROR(FIND("-",LEFT(CH1962,8))),ISNUMBER(-LEFT(CH1962,8))),VALUE(LEFT(CH1962,4)),VALUE(LEFT(CH1962,FIND("-",CH1962)-1)))+2000,IF(AND(LEN(CH1962)=9,ISERROR(FIND("-",LEFT(CH1962,8))),ISNUMBER(-LEFT(CH1962,8))),VALUE(LEFT(CH1962,4)),VALUE(LEFT(CH1962,FIND("-",CH1962)-1)))),""))</f>
        <v/>
      </c>
      <c r="CN1962">
        <f>IF(CH1962="","",IFERROR(IF(AND(LEN(CH1962)=9,ISERROR(FIND("-",LEFT(CH1962,8))),ISNUMBER(-LEFT(CH1962,8))),VALUE(MID(CH1962,5,2)),VALUE(MID(CH1962,FIND("-",CH1962)+1,FIND("-",CH1962,FIND("-",CH1962)+1)-FIND("-",CH1962)-1))),""))</f>
        <v/>
      </c>
      <c r="CO1962">
        <f>IF(CH1962="","",IFERROR(IF(AND(LEN(CH1962)=9,ISERROR(FIND("-",LEFT(CH1962,8))),ISNUMBER(-LEFT(CH1962,8))),VALUE(MID(CH1962,7,2)),VALUE(MID(CH1962,FIND("-",CH1962,FIND("-",CH1962)+1)+1,FIND("-",CH1962,FIND("-",CH1962,FIND("-",CH1962)+1)+1)-FIND("-",CH1962,FIND("-",CH1962)+1)-1))),""))</f>
        <v/>
      </c>
    </row>
    <row r="1963">
      <c r="CH1963">
        <f>IF(ISTEXT('월 가계부'!A1963),SUBSTITUTE(SUBSTITUTE(SUBSTITUTE(SUBSTITUTE(SUBSTITUTE(SUBSTITUTE(SUBSTITUTE(SUBSTITUTE(SUBSTITUTE(TRIM('월 가계부'!A1963),"년","-"),"월","-"),"일",""),".","-"),"/","-")," ","-"),"--","-"),"--","-"),"--","-")&amp;"-","")</f>
        <v/>
      </c>
      <c r="CI1963">
        <f>IFERROR(IF('월 가계부'!A1963="","",IF(ISNUMBER('월 가계부'!A1963),IF(AND('월 가계부'!A1963&gt;=19000101,'월 가계부'!A1963&lt;=21001231),IF(AND(MOD(INT('월 가계부'!A1963/100),100)&gt;=1,MOD(INT('월 가계부'!A1963/100),100)&lt;=12,MOD(INT('월 가계부'!A1963),100)&gt;=1,MOD(INT('월 가계부'!A1963),100)&lt;=31),IF(MONTH(DATE(INT('월 가계부'!A1963/10000),MOD(INT('월 가계부'!A1963/100),100),MOD(INT('월 가계부'!A1963),100)))=MOD(INT('월 가계부'!A1963/100),100),DATE(INT('월 가계부'!A1963/10000),MOD(INT('월 가계부'!A1963/100),100),MOD(INT('월 가계부'!A1963),100)),""),""),IF(AND('월 가계부'!A1963&gt;=36526,'월 가계부'!A1963&lt;73051),INT('월 가계부'!A1963),"")),IF(OR(CM1963="",CN1963="",CO1963=""),"",IF(AND(CM1963&gt;=2000,CM1963&lt;=2099,CN1963&gt;=1,CN1963&lt;=12,CO1963&gt;=1,CO1963&lt;=31),IF(MONTH(DATE(CM1963,CN1963,CO1963))=CN1963,DATE(CM1963,CN1963,CO1963),""),"")))),"")</f>
        <v/>
      </c>
      <c r="CJ1963">
        <f>IFERROR(IF('월 가계부'!C1963="","",IF(ISNUMBER('월 가계부'!C1963),'월 가계부'!C1963,VALUE(SUBSTITUTE(SUBSTITUTE(SUBSTITUTE(SUBSTITUTE(TRIM('월 가계부'!C1963),",",""),"원","")," ",""),"−","-")))),"")</f>
        <v/>
      </c>
      <c r="CK1963">
        <f>IF(ISNUMBER(CI1963),IF(CI1963&lt;$B$13,CI1963,""),"")</f>
        <v/>
      </c>
      <c r="CM1963">
        <f>IF(CH1963="","",IFERROR(IF(IF(AND(LEN(CH1963)=9,ISERROR(FIND("-",LEFT(CH1963,8))),ISNUMBER(-LEFT(CH1963,8))),VALUE(LEFT(CH1963,4)),VALUE(LEFT(CH1963,FIND("-",CH1963)-1)))&lt;100,IF(AND(LEN(CH1963)=9,ISERROR(FIND("-",LEFT(CH1963,8))),ISNUMBER(-LEFT(CH1963,8))),VALUE(LEFT(CH1963,4)),VALUE(LEFT(CH1963,FIND("-",CH1963)-1)))+2000,IF(AND(LEN(CH1963)=9,ISERROR(FIND("-",LEFT(CH1963,8))),ISNUMBER(-LEFT(CH1963,8))),VALUE(LEFT(CH1963,4)),VALUE(LEFT(CH1963,FIND("-",CH1963)-1)))),""))</f>
        <v/>
      </c>
      <c r="CN1963">
        <f>IF(CH1963="","",IFERROR(IF(AND(LEN(CH1963)=9,ISERROR(FIND("-",LEFT(CH1963,8))),ISNUMBER(-LEFT(CH1963,8))),VALUE(MID(CH1963,5,2)),VALUE(MID(CH1963,FIND("-",CH1963)+1,FIND("-",CH1963,FIND("-",CH1963)+1)-FIND("-",CH1963)-1))),""))</f>
        <v/>
      </c>
      <c r="CO1963">
        <f>IF(CH1963="","",IFERROR(IF(AND(LEN(CH1963)=9,ISERROR(FIND("-",LEFT(CH1963,8))),ISNUMBER(-LEFT(CH1963,8))),VALUE(MID(CH1963,7,2)),VALUE(MID(CH1963,FIND("-",CH1963,FIND("-",CH1963)+1)+1,FIND("-",CH1963,FIND("-",CH1963,FIND("-",CH1963)+1)+1)-FIND("-",CH1963,FIND("-",CH1963)+1)-1))),""))</f>
        <v/>
      </c>
    </row>
    <row r="1964">
      <c r="CH1964">
        <f>IF(ISTEXT('월 가계부'!A1964),SUBSTITUTE(SUBSTITUTE(SUBSTITUTE(SUBSTITUTE(SUBSTITUTE(SUBSTITUTE(SUBSTITUTE(SUBSTITUTE(SUBSTITUTE(TRIM('월 가계부'!A1964),"년","-"),"월","-"),"일",""),".","-"),"/","-")," ","-"),"--","-"),"--","-"),"--","-")&amp;"-","")</f>
        <v/>
      </c>
      <c r="CI1964">
        <f>IFERROR(IF('월 가계부'!A1964="","",IF(ISNUMBER('월 가계부'!A1964),IF(AND('월 가계부'!A1964&gt;=19000101,'월 가계부'!A1964&lt;=21001231),IF(AND(MOD(INT('월 가계부'!A1964/100),100)&gt;=1,MOD(INT('월 가계부'!A1964/100),100)&lt;=12,MOD(INT('월 가계부'!A1964),100)&gt;=1,MOD(INT('월 가계부'!A1964),100)&lt;=31),IF(MONTH(DATE(INT('월 가계부'!A1964/10000),MOD(INT('월 가계부'!A1964/100),100),MOD(INT('월 가계부'!A1964),100)))=MOD(INT('월 가계부'!A1964/100),100),DATE(INT('월 가계부'!A1964/10000),MOD(INT('월 가계부'!A1964/100),100),MOD(INT('월 가계부'!A1964),100)),""),""),IF(AND('월 가계부'!A1964&gt;=36526,'월 가계부'!A1964&lt;73051),INT('월 가계부'!A1964),"")),IF(OR(CM1964="",CN1964="",CO1964=""),"",IF(AND(CM1964&gt;=2000,CM1964&lt;=2099,CN1964&gt;=1,CN1964&lt;=12,CO1964&gt;=1,CO1964&lt;=31),IF(MONTH(DATE(CM1964,CN1964,CO1964))=CN1964,DATE(CM1964,CN1964,CO1964),""),"")))),"")</f>
        <v/>
      </c>
      <c r="CJ1964">
        <f>IFERROR(IF('월 가계부'!C1964="","",IF(ISNUMBER('월 가계부'!C1964),'월 가계부'!C1964,VALUE(SUBSTITUTE(SUBSTITUTE(SUBSTITUTE(SUBSTITUTE(TRIM('월 가계부'!C1964),",",""),"원","")," ",""),"−","-")))),"")</f>
        <v/>
      </c>
      <c r="CK1964">
        <f>IF(ISNUMBER(CI1964),IF(CI1964&lt;$B$13,CI1964,""),"")</f>
        <v/>
      </c>
      <c r="CM1964">
        <f>IF(CH1964="","",IFERROR(IF(IF(AND(LEN(CH1964)=9,ISERROR(FIND("-",LEFT(CH1964,8))),ISNUMBER(-LEFT(CH1964,8))),VALUE(LEFT(CH1964,4)),VALUE(LEFT(CH1964,FIND("-",CH1964)-1)))&lt;100,IF(AND(LEN(CH1964)=9,ISERROR(FIND("-",LEFT(CH1964,8))),ISNUMBER(-LEFT(CH1964,8))),VALUE(LEFT(CH1964,4)),VALUE(LEFT(CH1964,FIND("-",CH1964)-1)))+2000,IF(AND(LEN(CH1964)=9,ISERROR(FIND("-",LEFT(CH1964,8))),ISNUMBER(-LEFT(CH1964,8))),VALUE(LEFT(CH1964,4)),VALUE(LEFT(CH1964,FIND("-",CH1964)-1)))),""))</f>
        <v/>
      </c>
      <c r="CN1964">
        <f>IF(CH1964="","",IFERROR(IF(AND(LEN(CH1964)=9,ISERROR(FIND("-",LEFT(CH1964,8))),ISNUMBER(-LEFT(CH1964,8))),VALUE(MID(CH1964,5,2)),VALUE(MID(CH1964,FIND("-",CH1964)+1,FIND("-",CH1964,FIND("-",CH1964)+1)-FIND("-",CH1964)-1))),""))</f>
        <v/>
      </c>
      <c r="CO1964">
        <f>IF(CH1964="","",IFERROR(IF(AND(LEN(CH1964)=9,ISERROR(FIND("-",LEFT(CH1964,8))),ISNUMBER(-LEFT(CH1964,8))),VALUE(MID(CH1964,7,2)),VALUE(MID(CH1964,FIND("-",CH1964,FIND("-",CH1964)+1)+1,FIND("-",CH1964,FIND("-",CH1964,FIND("-",CH1964)+1)+1)-FIND("-",CH1964,FIND("-",CH1964)+1)-1))),""))</f>
        <v/>
      </c>
    </row>
    <row r="1965">
      <c r="CH1965">
        <f>IF(ISTEXT('월 가계부'!A1965),SUBSTITUTE(SUBSTITUTE(SUBSTITUTE(SUBSTITUTE(SUBSTITUTE(SUBSTITUTE(SUBSTITUTE(SUBSTITUTE(SUBSTITUTE(TRIM('월 가계부'!A1965),"년","-"),"월","-"),"일",""),".","-"),"/","-")," ","-"),"--","-"),"--","-"),"--","-")&amp;"-","")</f>
        <v/>
      </c>
      <c r="CI1965">
        <f>IFERROR(IF('월 가계부'!A1965="","",IF(ISNUMBER('월 가계부'!A1965),IF(AND('월 가계부'!A1965&gt;=19000101,'월 가계부'!A1965&lt;=21001231),IF(AND(MOD(INT('월 가계부'!A1965/100),100)&gt;=1,MOD(INT('월 가계부'!A1965/100),100)&lt;=12,MOD(INT('월 가계부'!A1965),100)&gt;=1,MOD(INT('월 가계부'!A1965),100)&lt;=31),IF(MONTH(DATE(INT('월 가계부'!A1965/10000),MOD(INT('월 가계부'!A1965/100),100),MOD(INT('월 가계부'!A1965),100)))=MOD(INT('월 가계부'!A1965/100),100),DATE(INT('월 가계부'!A1965/10000),MOD(INT('월 가계부'!A1965/100),100),MOD(INT('월 가계부'!A1965),100)),""),""),IF(AND('월 가계부'!A1965&gt;=36526,'월 가계부'!A1965&lt;73051),INT('월 가계부'!A1965),"")),IF(OR(CM1965="",CN1965="",CO1965=""),"",IF(AND(CM1965&gt;=2000,CM1965&lt;=2099,CN1965&gt;=1,CN1965&lt;=12,CO1965&gt;=1,CO1965&lt;=31),IF(MONTH(DATE(CM1965,CN1965,CO1965))=CN1965,DATE(CM1965,CN1965,CO1965),""),"")))),"")</f>
        <v/>
      </c>
      <c r="CJ1965">
        <f>IFERROR(IF('월 가계부'!C1965="","",IF(ISNUMBER('월 가계부'!C1965),'월 가계부'!C1965,VALUE(SUBSTITUTE(SUBSTITUTE(SUBSTITUTE(SUBSTITUTE(TRIM('월 가계부'!C1965),",",""),"원","")," ",""),"−","-")))),"")</f>
        <v/>
      </c>
      <c r="CK1965">
        <f>IF(ISNUMBER(CI1965),IF(CI1965&lt;$B$13,CI1965,""),"")</f>
        <v/>
      </c>
      <c r="CM1965">
        <f>IF(CH1965="","",IFERROR(IF(IF(AND(LEN(CH1965)=9,ISERROR(FIND("-",LEFT(CH1965,8))),ISNUMBER(-LEFT(CH1965,8))),VALUE(LEFT(CH1965,4)),VALUE(LEFT(CH1965,FIND("-",CH1965)-1)))&lt;100,IF(AND(LEN(CH1965)=9,ISERROR(FIND("-",LEFT(CH1965,8))),ISNUMBER(-LEFT(CH1965,8))),VALUE(LEFT(CH1965,4)),VALUE(LEFT(CH1965,FIND("-",CH1965)-1)))+2000,IF(AND(LEN(CH1965)=9,ISERROR(FIND("-",LEFT(CH1965,8))),ISNUMBER(-LEFT(CH1965,8))),VALUE(LEFT(CH1965,4)),VALUE(LEFT(CH1965,FIND("-",CH1965)-1)))),""))</f>
        <v/>
      </c>
      <c r="CN1965">
        <f>IF(CH1965="","",IFERROR(IF(AND(LEN(CH1965)=9,ISERROR(FIND("-",LEFT(CH1965,8))),ISNUMBER(-LEFT(CH1965,8))),VALUE(MID(CH1965,5,2)),VALUE(MID(CH1965,FIND("-",CH1965)+1,FIND("-",CH1965,FIND("-",CH1965)+1)-FIND("-",CH1965)-1))),""))</f>
        <v/>
      </c>
      <c r="CO1965">
        <f>IF(CH1965="","",IFERROR(IF(AND(LEN(CH1965)=9,ISERROR(FIND("-",LEFT(CH1965,8))),ISNUMBER(-LEFT(CH1965,8))),VALUE(MID(CH1965,7,2)),VALUE(MID(CH1965,FIND("-",CH1965,FIND("-",CH1965)+1)+1,FIND("-",CH1965,FIND("-",CH1965,FIND("-",CH1965)+1)+1)-FIND("-",CH1965,FIND("-",CH1965)+1)-1))),""))</f>
        <v/>
      </c>
    </row>
    <row r="1966">
      <c r="CH1966">
        <f>IF(ISTEXT('월 가계부'!A1966),SUBSTITUTE(SUBSTITUTE(SUBSTITUTE(SUBSTITUTE(SUBSTITUTE(SUBSTITUTE(SUBSTITUTE(SUBSTITUTE(SUBSTITUTE(TRIM('월 가계부'!A1966),"년","-"),"월","-"),"일",""),".","-"),"/","-")," ","-"),"--","-"),"--","-"),"--","-")&amp;"-","")</f>
        <v/>
      </c>
      <c r="CI1966">
        <f>IFERROR(IF('월 가계부'!A1966="","",IF(ISNUMBER('월 가계부'!A1966),IF(AND('월 가계부'!A1966&gt;=19000101,'월 가계부'!A1966&lt;=21001231),IF(AND(MOD(INT('월 가계부'!A1966/100),100)&gt;=1,MOD(INT('월 가계부'!A1966/100),100)&lt;=12,MOD(INT('월 가계부'!A1966),100)&gt;=1,MOD(INT('월 가계부'!A1966),100)&lt;=31),IF(MONTH(DATE(INT('월 가계부'!A1966/10000),MOD(INT('월 가계부'!A1966/100),100),MOD(INT('월 가계부'!A1966),100)))=MOD(INT('월 가계부'!A1966/100),100),DATE(INT('월 가계부'!A1966/10000),MOD(INT('월 가계부'!A1966/100),100),MOD(INT('월 가계부'!A1966),100)),""),""),IF(AND('월 가계부'!A1966&gt;=36526,'월 가계부'!A1966&lt;73051),INT('월 가계부'!A1966),"")),IF(OR(CM1966="",CN1966="",CO1966=""),"",IF(AND(CM1966&gt;=2000,CM1966&lt;=2099,CN1966&gt;=1,CN1966&lt;=12,CO1966&gt;=1,CO1966&lt;=31),IF(MONTH(DATE(CM1966,CN1966,CO1966))=CN1966,DATE(CM1966,CN1966,CO1966),""),"")))),"")</f>
        <v/>
      </c>
      <c r="CJ1966">
        <f>IFERROR(IF('월 가계부'!C1966="","",IF(ISNUMBER('월 가계부'!C1966),'월 가계부'!C1966,VALUE(SUBSTITUTE(SUBSTITUTE(SUBSTITUTE(SUBSTITUTE(TRIM('월 가계부'!C1966),",",""),"원","")," ",""),"−","-")))),"")</f>
        <v/>
      </c>
      <c r="CK1966">
        <f>IF(ISNUMBER(CI1966),IF(CI1966&lt;$B$13,CI1966,""),"")</f>
        <v/>
      </c>
      <c r="CM1966">
        <f>IF(CH1966="","",IFERROR(IF(IF(AND(LEN(CH1966)=9,ISERROR(FIND("-",LEFT(CH1966,8))),ISNUMBER(-LEFT(CH1966,8))),VALUE(LEFT(CH1966,4)),VALUE(LEFT(CH1966,FIND("-",CH1966)-1)))&lt;100,IF(AND(LEN(CH1966)=9,ISERROR(FIND("-",LEFT(CH1966,8))),ISNUMBER(-LEFT(CH1966,8))),VALUE(LEFT(CH1966,4)),VALUE(LEFT(CH1966,FIND("-",CH1966)-1)))+2000,IF(AND(LEN(CH1966)=9,ISERROR(FIND("-",LEFT(CH1966,8))),ISNUMBER(-LEFT(CH1966,8))),VALUE(LEFT(CH1966,4)),VALUE(LEFT(CH1966,FIND("-",CH1966)-1)))),""))</f>
        <v/>
      </c>
      <c r="CN1966">
        <f>IF(CH1966="","",IFERROR(IF(AND(LEN(CH1966)=9,ISERROR(FIND("-",LEFT(CH1966,8))),ISNUMBER(-LEFT(CH1966,8))),VALUE(MID(CH1966,5,2)),VALUE(MID(CH1966,FIND("-",CH1966)+1,FIND("-",CH1966,FIND("-",CH1966)+1)-FIND("-",CH1966)-1))),""))</f>
        <v/>
      </c>
      <c r="CO1966">
        <f>IF(CH1966="","",IFERROR(IF(AND(LEN(CH1966)=9,ISERROR(FIND("-",LEFT(CH1966,8))),ISNUMBER(-LEFT(CH1966,8))),VALUE(MID(CH1966,7,2)),VALUE(MID(CH1966,FIND("-",CH1966,FIND("-",CH1966)+1)+1,FIND("-",CH1966,FIND("-",CH1966,FIND("-",CH1966)+1)+1)-FIND("-",CH1966,FIND("-",CH1966)+1)-1))),""))</f>
        <v/>
      </c>
    </row>
    <row r="1967">
      <c r="CH1967">
        <f>IF(ISTEXT('월 가계부'!A1967),SUBSTITUTE(SUBSTITUTE(SUBSTITUTE(SUBSTITUTE(SUBSTITUTE(SUBSTITUTE(SUBSTITUTE(SUBSTITUTE(SUBSTITUTE(TRIM('월 가계부'!A1967),"년","-"),"월","-"),"일",""),".","-"),"/","-")," ","-"),"--","-"),"--","-"),"--","-")&amp;"-","")</f>
        <v/>
      </c>
      <c r="CI1967">
        <f>IFERROR(IF('월 가계부'!A1967="","",IF(ISNUMBER('월 가계부'!A1967),IF(AND('월 가계부'!A1967&gt;=19000101,'월 가계부'!A1967&lt;=21001231),IF(AND(MOD(INT('월 가계부'!A1967/100),100)&gt;=1,MOD(INT('월 가계부'!A1967/100),100)&lt;=12,MOD(INT('월 가계부'!A1967),100)&gt;=1,MOD(INT('월 가계부'!A1967),100)&lt;=31),IF(MONTH(DATE(INT('월 가계부'!A1967/10000),MOD(INT('월 가계부'!A1967/100),100),MOD(INT('월 가계부'!A1967),100)))=MOD(INT('월 가계부'!A1967/100),100),DATE(INT('월 가계부'!A1967/10000),MOD(INT('월 가계부'!A1967/100),100),MOD(INT('월 가계부'!A1967),100)),""),""),IF(AND('월 가계부'!A1967&gt;=36526,'월 가계부'!A1967&lt;73051),INT('월 가계부'!A1967),"")),IF(OR(CM1967="",CN1967="",CO1967=""),"",IF(AND(CM1967&gt;=2000,CM1967&lt;=2099,CN1967&gt;=1,CN1967&lt;=12,CO1967&gt;=1,CO1967&lt;=31),IF(MONTH(DATE(CM1967,CN1967,CO1967))=CN1967,DATE(CM1967,CN1967,CO1967),""),"")))),"")</f>
        <v/>
      </c>
      <c r="CJ1967">
        <f>IFERROR(IF('월 가계부'!C1967="","",IF(ISNUMBER('월 가계부'!C1967),'월 가계부'!C1967,VALUE(SUBSTITUTE(SUBSTITUTE(SUBSTITUTE(SUBSTITUTE(TRIM('월 가계부'!C1967),",",""),"원","")," ",""),"−","-")))),"")</f>
        <v/>
      </c>
      <c r="CK1967">
        <f>IF(ISNUMBER(CI1967),IF(CI1967&lt;$B$13,CI1967,""),"")</f>
        <v/>
      </c>
      <c r="CM1967">
        <f>IF(CH1967="","",IFERROR(IF(IF(AND(LEN(CH1967)=9,ISERROR(FIND("-",LEFT(CH1967,8))),ISNUMBER(-LEFT(CH1967,8))),VALUE(LEFT(CH1967,4)),VALUE(LEFT(CH1967,FIND("-",CH1967)-1)))&lt;100,IF(AND(LEN(CH1967)=9,ISERROR(FIND("-",LEFT(CH1967,8))),ISNUMBER(-LEFT(CH1967,8))),VALUE(LEFT(CH1967,4)),VALUE(LEFT(CH1967,FIND("-",CH1967)-1)))+2000,IF(AND(LEN(CH1967)=9,ISERROR(FIND("-",LEFT(CH1967,8))),ISNUMBER(-LEFT(CH1967,8))),VALUE(LEFT(CH1967,4)),VALUE(LEFT(CH1967,FIND("-",CH1967)-1)))),""))</f>
        <v/>
      </c>
      <c r="CN1967">
        <f>IF(CH1967="","",IFERROR(IF(AND(LEN(CH1967)=9,ISERROR(FIND("-",LEFT(CH1967,8))),ISNUMBER(-LEFT(CH1967,8))),VALUE(MID(CH1967,5,2)),VALUE(MID(CH1967,FIND("-",CH1967)+1,FIND("-",CH1967,FIND("-",CH1967)+1)-FIND("-",CH1967)-1))),""))</f>
        <v/>
      </c>
      <c r="CO1967">
        <f>IF(CH1967="","",IFERROR(IF(AND(LEN(CH1967)=9,ISERROR(FIND("-",LEFT(CH1967,8))),ISNUMBER(-LEFT(CH1967,8))),VALUE(MID(CH1967,7,2)),VALUE(MID(CH1967,FIND("-",CH1967,FIND("-",CH1967)+1)+1,FIND("-",CH1967,FIND("-",CH1967,FIND("-",CH1967)+1)+1)-FIND("-",CH1967,FIND("-",CH1967)+1)-1))),""))</f>
        <v/>
      </c>
    </row>
    <row r="1968">
      <c r="CH1968">
        <f>IF(ISTEXT('월 가계부'!A1968),SUBSTITUTE(SUBSTITUTE(SUBSTITUTE(SUBSTITUTE(SUBSTITUTE(SUBSTITUTE(SUBSTITUTE(SUBSTITUTE(SUBSTITUTE(TRIM('월 가계부'!A1968),"년","-"),"월","-"),"일",""),".","-"),"/","-")," ","-"),"--","-"),"--","-"),"--","-")&amp;"-","")</f>
        <v/>
      </c>
      <c r="CI1968">
        <f>IFERROR(IF('월 가계부'!A1968="","",IF(ISNUMBER('월 가계부'!A1968),IF(AND('월 가계부'!A1968&gt;=19000101,'월 가계부'!A1968&lt;=21001231),IF(AND(MOD(INT('월 가계부'!A1968/100),100)&gt;=1,MOD(INT('월 가계부'!A1968/100),100)&lt;=12,MOD(INT('월 가계부'!A1968),100)&gt;=1,MOD(INT('월 가계부'!A1968),100)&lt;=31),IF(MONTH(DATE(INT('월 가계부'!A1968/10000),MOD(INT('월 가계부'!A1968/100),100),MOD(INT('월 가계부'!A1968),100)))=MOD(INT('월 가계부'!A1968/100),100),DATE(INT('월 가계부'!A1968/10000),MOD(INT('월 가계부'!A1968/100),100),MOD(INT('월 가계부'!A1968),100)),""),""),IF(AND('월 가계부'!A1968&gt;=36526,'월 가계부'!A1968&lt;73051),INT('월 가계부'!A1968),"")),IF(OR(CM1968="",CN1968="",CO1968=""),"",IF(AND(CM1968&gt;=2000,CM1968&lt;=2099,CN1968&gt;=1,CN1968&lt;=12,CO1968&gt;=1,CO1968&lt;=31),IF(MONTH(DATE(CM1968,CN1968,CO1968))=CN1968,DATE(CM1968,CN1968,CO1968),""),"")))),"")</f>
        <v/>
      </c>
      <c r="CJ1968">
        <f>IFERROR(IF('월 가계부'!C1968="","",IF(ISNUMBER('월 가계부'!C1968),'월 가계부'!C1968,VALUE(SUBSTITUTE(SUBSTITUTE(SUBSTITUTE(SUBSTITUTE(TRIM('월 가계부'!C1968),",",""),"원","")," ",""),"−","-")))),"")</f>
        <v/>
      </c>
      <c r="CK1968">
        <f>IF(ISNUMBER(CI1968),IF(CI1968&lt;$B$13,CI1968,""),"")</f>
        <v/>
      </c>
      <c r="CM1968">
        <f>IF(CH1968="","",IFERROR(IF(IF(AND(LEN(CH1968)=9,ISERROR(FIND("-",LEFT(CH1968,8))),ISNUMBER(-LEFT(CH1968,8))),VALUE(LEFT(CH1968,4)),VALUE(LEFT(CH1968,FIND("-",CH1968)-1)))&lt;100,IF(AND(LEN(CH1968)=9,ISERROR(FIND("-",LEFT(CH1968,8))),ISNUMBER(-LEFT(CH1968,8))),VALUE(LEFT(CH1968,4)),VALUE(LEFT(CH1968,FIND("-",CH1968)-1)))+2000,IF(AND(LEN(CH1968)=9,ISERROR(FIND("-",LEFT(CH1968,8))),ISNUMBER(-LEFT(CH1968,8))),VALUE(LEFT(CH1968,4)),VALUE(LEFT(CH1968,FIND("-",CH1968)-1)))),""))</f>
        <v/>
      </c>
      <c r="CN1968">
        <f>IF(CH1968="","",IFERROR(IF(AND(LEN(CH1968)=9,ISERROR(FIND("-",LEFT(CH1968,8))),ISNUMBER(-LEFT(CH1968,8))),VALUE(MID(CH1968,5,2)),VALUE(MID(CH1968,FIND("-",CH1968)+1,FIND("-",CH1968,FIND("-",CH1968)+1)-FIND("-",CH1968)-1))),""))</f>
        <v/>
      </c>
      <c r="CO1968">
        <f>IF(CH1968="","",IFERROR(IF(AND(LEN(CH1968)=9,ISERROR(FIND("-",LEFT(CH1968,8))),ISNUMBER(-LEFT(CH1968,8))),VALUE(MID(CH1968,7,2)),VALUE(MID(CH1968,FIND("-",CH1968,FIND("-",CH1968)+1)+1,FIND("-",CH1968,FIND("-",CH1968,FIND("-",CH1968)+1)+1)-FIND("-",CH1968,FIND("-",CH1968)+1)-1))),""))</f>
        <v/>
      </c>
    </row>
    <row r="1969">
      <c r="CH1969">
        <f>IF(ISTEXT('월 가계부'!A1969),SUBSTITUTE(SUBSTITUTE(SUBSTITUTE(SUBSTITUTE(SUBSTITUTE(SUBSTITUTE(SUBSTITUTE(SUBSTITUTE(SUBSTITUTE(TRIM('월 가계부'!A1969),"년","-"),"월","-"),"일",""),".","-"),"/","-")," ","-"),"--","-"),"--","-"),"--","-")&amp;"-","")</f>
        <v/>
      </c>
      <c r="CI1969">
        <f>IFERROR(IF('월 가계부'!A1969="","",IF(ISNUMBER('월 가계부'!A1969),IF(AND('월 가계부'!A1969&gt;=19000101,'월 가계부'!A1969&lt;=21001231),IF(AND(MOD(INT('월 가계부'!A1969/100),100)&gt;=1,MOD(INT('월 가계부'!A1969/100),100)&lt;=12,MOD(INT('월 가계부'!A1969),100)&gt;=1,MOD(INT('월 가계부'!A1969),100)&lt;=31),IF(MONTH(DATE(INT('월 가계부'!A1969/10000),MOD(INT('월 가계부'!A1969/100),100),MOD(INT('월 가계부'!A1969),100)))=MOD(INT('월 가계부'!A1969/100),100),DATE(INT('월 가계부'!A1969/10000),MOD(INT('월 가계부'!A1969/100),100),MOD(INT('월 가계부'!A1969),100)),""),""),IF(AND('월 가계부'!A1969&gt;=36526,'월 가계부'!A1969&lt;73051),INT('월 가계부'!A1969),"")),IF(OR(CM1969="",CN1969="",CO1969=""),"",IF(AND(CM1969&gt;=2000,CM1969&lt;=2099,CN1969&gt;=1,CN1969&lt;=12,CO1969&gt;=1,CO1969&lt;=31),IF(MONTH(DATE(CM1969,CN1969,CO1969))=CN1969,DATE(CM1969,CN1969,CO1969),""),"")))),"")</f>
        <v/>
      </c>
      <c r="CJ1969">
        <f>IFERROR(IF('월 가계부'!C1969="","",IF(ISNUMBER('월 가계부'!C1969),'월 가계부'!C1969,VALUE(SUBSTITUTE(SUBSTITUTE(SUBSTITUTE(SUBSTITUTE(TRIM('월 가계부'!C1969),",",""),"원","")," ",""),"−","-")))),"")</f>
        <v/>
      </c>
      <c r="CK1969">
        <f>IF(ISNUMBER(CI1969),IF(CI1969&lt;$B$13,CI1969,""),"")</f>
        <v/>
      </c>
      <c r="CM1969">
        <f>IF(CH1969="","",IFERROR(IF(IF(AND(LEN(CH1969)=9,ISERROR(FIND("-",LEFT(CH1969,8))),ISNUMBER(-LEFT(CH1969,8))),VALUE(LEFT(CH1969,4)),VALUE(LEFT(CH1969,FIND("-",CH1969)-1)))&lt;100,IF(AND(LEN(CH1969)=9,ISERROR(FIND("-",LEFT(CH1969,8))),ISNUMBER(-LEFT(CH1969,8))),VALUE(LEFT(CH1969,4)),VALUE(LEFT(CH1969,FIND("-",CH1969)-1)))+2000,IF(AND(LEN(CH1969)=9,ISERROR(FIND("-",LEFT(CH1969,8))),ISNUMBER(-LEFT(CH1969,8))),VALUE(LEFT(CH1969,4)),VALUE(LEFT(CH1969,FIND("-",CH1969)-1)))),""))</f>
        <v/>
      </c>
      <c r="CN1969">
        <f>IF(CH1969="","",IFERROR(IF(AND(LEN(CH1969)=9,ISERROR(FIND("-",LEFT(CH1969,8))),ISNUMBER(-LEFT(CH1969,8))),VALUE(MID(CH1969,5,2)),VALUE(MID(CH1969,FIND("-",CH1969)+1,FIND("-",CH1969,FIND("-",CH1969)+1)-FIND("-",CH1969)-1))),""))</f>
        <v/>
      </c>
      <c r="CO1969">
        <f>IF(CH1969="","",IFERROR(IF(AND(LEN(CH1969)=9,ISERROR(FIND("-",LEFT(CH1969,8))),ISNUMBER(-LEFT(CH1969,8))),VALUE(MID(CH1969,7,2)),VALUE(MID(CH1969,FIND("-",CH1969,FIND("-",CH1969)+1)+1,FIND("-",CH1969,FIND("-",CH1969,FIND("-",CH1969)+1)+1)-FIND("-",CH1969,FIND("-",CH1969)+1)-1))),""))</f>
        <v/>
      </c>
    </row>
    <row r="1970">
      <c r="CH1970">
        <f>IF(ISTEXT('월 가계부'!A1970),SUBSTITUTE(SUBSTITUTE(SUBSTITUTE(SUBSTITUTE(SUBSTITUTE(SUBSTITUTE(SUBSTITUTE(SUBSTITUTE(SUBSTITUTE(TRIM('월 가계부'!A1970),"년","-"),"월","-"),"일",""),".","-"),"/","-")," ","-"),"--","-"),"--","-"),"--","-")&amp;"-","")</f>
        <v/>
      </c>
      <c r="CI1970">
        <f>IFERROR(IF('월 가계부'!A1970="","",IF(ISNUMBER('월 가계부'!A1970),IF(AND('월 가계부'!A1970&gt;=19000101,'월 가계부'!A1970&lt;=21001231),IF(AND(MOD(INT('월 가계부'!A1970/100),100)&gt;=1,MOD(INT('월 가계부'!A1970/100),100)&lt;=12,MOD(INT('월 가계부'!A1970),100)&gt;=1,MOD(INT('월 가계부'!A1970),100)&lt;=31),IF(MONTH(DATE(INT('월 가계부'!A1970/10000),MOD(INT('월 가계부'!A1970/100),100),MOD(INT('월 가계부'!A1970),100)))=MOD(INT('월 가계부'!A1970/100),100),DATE(INT('월 가계부'!A1970/10000),MOD(INT('월 가계부'!A1970/100),100),MOD(INT('월 가계부'!A1970),100)),""),""),IF(AND('월 가계부'!A1970&gt;=36526,'월 가계부'!A1970&lt;73051),INT('월 가계부'!A1970),"")),IF(OR(CM1970="",CN1970="",CO1970=""),"",IF(AND(CM1970&gt;=2000,CM1970&lt;=2099,CN1970&gt;=1,CN1970&lt;=12,CO1970&gt;=1,CO1970&lt;=31),IF(MONTH(DATE(CM1970,CN1970,CO1970))=CN1970,DATE(CM1970,CN1970,CO1970),""),"")))),"")</f>
        <v/>
      </c>
      <c r="CJ1970">
        <f>IFERROR(IF('월 가계부'!C1970="","",IF(ISNUMBER('월 가계부'!C1970),'월 가계부'!C1970,VALUE(SUBSTITUTE(SUBSTITUTE(SUBSTITUTE(SUBSTITUTE(TRIM('월 가계부'!C1970),",",""),"원","")," ",""),"−","-")))),"")</f>
        <v/>
      </c>
      <c r="CK1970">
        <f>IF(ISNUMBER(CI1970),IF(CI1970&lt;$B$13,CI1970,""),"")</f>
        <v/>
      </c>
      <c r="CM1970">
        <f>IF(CH1970="","",IFERROR(IF(IF(AND(LEN(CH1970)=9,ISERROR(FIND("-",LEFT(CH1970,8))),ISNUMBER(-LEFT(CH1970,8))),VALUE(LEFT(CH1970,4)),VALUE(LEFT(CH1970,FIND("-",CH1970)-1)))&lt;100,IF(AND(LEN(CH1970)=9,ISERROR(FIND("-",LEFT(CH1970,8))),ISNUMBER(-LEFT(CH1970,8))),VALUE(LEFT(CH1970,4)),VALUE(LEFT(CH1970,FIND("-",CH1970)-1)))+2000,IF(AND(LEN(CH1970)=9,ISERROR(FIND("-",LEFT(CH1970,8))),ISNUMBER(-LEFT(CH1970,8))),VALUE(LEFT(CH1970,4)),VALUE(LEFT(CH1970,FIND("-",CH1970)-1)))),""))</f>
        <v/>
      </c>
      <c r="CN1970">
        <f>IF(CH1970="","",IFERROR(IF(AND(LEN(CH1970)=9,ISERROR(FIND("-",LEFT(CH1970,8))),ISNUMBER(-LEFT(CH1970,8))),VALUE(MID(CH1970,5,2)),VALUE(MID(CH1970,FIND("-",CH1970)+1,FIND("-",CH1970,FIND("-",CH1970)+1)-FIND("-",CH1970)-1))),""))</f>
        <v/>
      </c>
      <c r="CO1970">
        <f>IF(CH1970="","",IFERROR(IF(AND(LEN(CH1970)=9,ISERROR(FIND("-",LEFT(CH1970,8))),ISNUMBER(-LEFT(CH1970,8))),VALUE(MID(CH1970,7,2)),VALUE(MID(CH1970,FIND("-",CH1970,FIND("-",CH1970)+1)+1,FIND("-",CH1970,FIND("-",CH1970,FIND("-",CH1970)+1)+1)-FIND("-",CH1970,FIND("-",CH1970)+1)-1))),""))</f>
        <v/>
      </c>
    </row>
    <row r="1971">
      <c r="CH1971">
        <f>IF(ISTEXT('월 가계부'!A1971),SUBSTITUTE(SUBSTITUTE(SUBSTITUTE(SUBSTITUTE(SUBSTITUTE(SUBSTITUTE(SUBSTITUTE(SUBSTITUTE(SUBSTITUTE(TRIM('월 가계부'!A1971),"년","-"),"월","-"),"일",""),".","-"),"/","-")," ","-"),"--","-"),"--","-"),"--","-")&amp;"-","")</f>
        <v/>
      </c>
      <c r="CI1971">
        <f>IFERROR(IF('월 가계부'!A1971="","",IF(ISNUMBER('월 가계부'!A1971),IF(AND('월 가계부'!A1971&gt;=19000101,'월 가계부'!A1971&lt;=21001231),IF(AND(MOD(INT('월 가계부'!A1971/100),100)&gt;=1,MOD(INT('월 가계부'!A1971/100),100)&lt;=12,MOD(INT('월 가계부'!A1971),100)&gt;=1,MOD(INT('월 가계부'!A1971),100)&lt;=31),IF(MONTH(DATE(INT('월 가계부'!A1971/10000),MOD(INT('월 가계부'!A1971/100),100),MOD(INT('월 가계부'!A1971),100)))=MOD(INT('월 가계부'!A1971/100),100),DATE(INT('월 가계부'!A1971/10000),MOD(INT('월 가계부'!A1971/100),100),MOD(INT('월 가계부'!A1971),100)),""),""),IF(AND('월 가계부'!A1971&gt;=36526,'월 가계부'!A1971&lt;73051),INT('월 가계부'!A1971),"")),IF(OR(CM1971="",CN1971="",CO1971=""),"",IF(AND(CM1971&gt;=2000,CM1971&lt;=2099,CN1971&gt;=1,CN1971&lt;=12,CO1971&gt;=1,CO1971&lt;=31),IF(MONTH(DATE(CM1971,CN1971,CO1971))=CN1971,DATE(CM1971,CN1971,CO1971),""),"")))),"")</f>
        <v/>
      </c>
      <c r="CJ1971">
        <f>IFERROR(IF('월 가계부'!C1971="","",IF(ISNUMBER('월 가계부'!C1971),'월 가계부'!C1971,VALUE(SUBSTITUTE(SUBSTITUTE(SUBSTITUTE(SUBSTITUTE(TRIM('월 가계부'!C1971),",",""),"원","")," ",""),"−","-")))),"")</f>
        <v/>
      </c>
      <c r="CK1971">
        <f>IF(ISNUMBER(CI1971),IF(CI1971&lt;$B$13,CI1971,""),"")</f>
        <v/>
      </c>
      <c r="CM1971">
        <f>IF(CH1971="","",IFERROR(IF(IF(AND(LEN(CH1971)=9,ISERROR(FIND("-",LEFT(CH1971,8))),ISNUMBER(-LEFT(CH1971,8))),VALUE(LEFT(CH1971,4)),VALUE(LEFT(CH1971,FIND("-",CH1971)-1)))&lt;100,IF(AND(LEN(CH1971)=9,ISERROR(FIND("-",LEFT(CH1971,8))),ISNUMBER(-LEFT(CH1971,8))),VALUE(LEFT(CH1971,4)),VALUE(LEFT(CH1971,FIND("-",CH1971)-1)))+2000,IF(AND(LEN(CH1971)=9,ISERROR(FIND("-",LEFT(CH1971,8))),ISNUMBER(-LEFT(CH1971,8))),VALUE(LEFT(CH1971,4)),VALUE(LEFT(CH1971,FIND("-",CH1971)-1)))),""))</f>
        <v/>
      </c>
      <c r="CN1971">
        <f>IF(CH1971="","",IFERROR(IF(AND(LEN(CH1971)=9,ISERROR(FIND("-",LEFT(CH1971,8))),ISNUMBER(-LEFT(CH1971,8))),VALUE(MID(CH1971,5,2)),VALUE(MID(CH1971,FIND("-",CH1971)+1,FIND("-",CH1971,FIND("-",CH1971)+1)-FIND("-",CH1971)-1))),""))</f>
        <v/>
      </c>
      <c r="CO1971">
        <f>IF(CH1971="","",IFERROR(IF(AND(LEN(CH1971)=9,ISERROR(FIND("-",LEFT(CH1971,8))),ISNUMBER(-LEFT(CH1971,8))),VALUE(MID(CH1971,7,2)),VALUE(MID(CH1971,FIND("-",CH1971,FIND("-",CH1971)+1)+1,FIND("-",CH1971,FIND("-",CH1971,FIND("-",CH1971)+1)+1)-FIND("-",CH1971,FIND("-",CH1971)+1)-1))),""))</f>
        <v/>
      </c>
    </row>
    <row r="1972">
      <c r="CH1972">
        <f>IF(ISTEXT('월 가계부'!A1972),SUBSTITUTE(SUBSTITUTE(SUBSTITUTE(SUBSTITUTE(SUBSTITUTE(SUBSTITUTE(SUBSTITUTE(SUBSTITUTE(SUBSTITUTE(TRIM('월 가계부'!A1972),"년","-"),"월","-"),"일",""),".","-"),"/","-")," ","-"),"--","-"),"--","-"),"--","-")&amp;"-","")</f>
        <v/>
      </c>
      <c r="CI1972">
        <f>IFERROR(IF('월 가계부'!A1972="","",IF(ISNUMBER('월 가계부'!A1972),IF(AND('월 가계부'!A1972&gt;=19000101,'월 가계부'!A1972&lt;=21001231),IF(AND(MOD(INT('월 가계부'!A1972/100),100)&gt;=1,MOD(INT('월 가계부'!A1972/100),100)&lt;=12,MOD(INT('월 가계부'!A1972),100)&gt;=1,MOD(INT('월 가계부'!A1972),100)&lt;=31),IF(MONTH(DATE(INT('월 가계부'!A1972/10000),MOD(INT('월 가계부'!A1972/100),100),MOD(INT('월 가계부'!A1972),100)))=MOD(INT('월 가계부'!A1972/100),100),DATE(INT('월 가계부'!A1972/10000),MOD(INT('월 가계부'!A1972/100),100),MOD(INT('월 가계부'!A1972),100)),""),""),IF(AND('월 가계부'!A1972&gt;=36526,'월 가계부'!A1972&lt;73051),INT('월 가계부'!A1972),"")),IF(OR(CM1972="",CN1972="",CO1972=""),"",IF(AND(CM1972&gt;=2000,CM1972&lt;=2099,CN1972&gt;=1,CN1972&lt;=12,CO1972&gt;=1,CO1972&lt;=31),IF(MONTH(DATE(CM1972,CN1972,CO1972))=CN1972,DATE(CM1972,CN1972,CO1972),""),"")))),"")</f>
        <v/>
      </c>
      <c r="CJ1972">
        <f>IFERROR(IF('월 가계부'!C1972="","",IF(ISNUMBER('월 가계부'!C1972),'월 가계부'!C1972,VALUE(SUBSTITUTE(SUBSTITUTE(SUBSTITUTE(SUBSTITUTE(TRIM('월 가계부'!C1972),",",""),"원","")," ",""),"−","-")))),"")</f>
        <v/>
      </c>
      <c r="CK1972">
        <f>IF(ISNUMBER(CI1972),IF(CI1972&lt;$B$13,CI1972,""),"")</f>
        <v/>
      </c>
      <c r="CM1972">
        <f>IF(CH1972="","",IFERROR(IF(IF(AND(LEN(CH1972)=9,ISERROR(FIND("-",LEFT(CH1972,8))),ISNUMBER(-LEFT(CH1972,8))),VALUE(LEFT(CH1972,4)),VALUE(LEFT(CH1972,FIND("-",CH1972)-1)))&lt;100,IF(AND(LEN(CH1972)=9,ISERROR(FIND("-",LEFT(CH1972,8))),ISNUMBER(-LEFT(CH1972,8))),VALUE(LEFT(CH1972,4)),VALUE(LEFT(CH1972,FIND("-",CH1972)-1)))+2000,IF(AND(LEN(CH1972)=9,ISERROR(FIND("-",LEFT(CH1972,8))),ISNUMBER(-LEFT(CH1972,8))),VALUE(LEFT(CH1972,4)),VALUE(LEFT(CH1972,FIND("-",CH1972)-1)))),""))</f>
        <v/>
      </c>
      <c r="CN1972">
        <f>IF(CH1972="","",IFERROR(IF(AND(LEN(CH1972)=9,ISERROR(FIND("-",LEFT(CH1972,8))),ISNUMBER(-LEFT(CH1972,8))),VALUE(MID(CH1972,5,2)),VALUE(MID(CH1972,FIND("-",CH1972)+1,FIND("-",CH1972,FIND("-",CH1972)+1)-FIND("-",CH1972)-1))),""))</f>
        <v/>
      </c>
      <c r="CO1972">
        <f>IF(CH1972="","",IFERROR(IF(AND(LEN(CH1972)=9,ISERROR(FIND("-",LEFT(CH1972,8))),ISNUMBER(-LEFT(CH1972,8))),VALUE(MID(CH1972,7,2)),VALUE(MID(CH1972,FIND("-",CH1972,FIND("-",CH1972)+1)+1,FIND("-",CH1972,FIND("-",CH1972,FIND("-",CH1972)+1)+1)-FIND("-",CH1972,FIND("-",CH1972)+1)-1))),""))</f>
        <v/>
      </c>
    </row>
    <row r="1973">
      <c r="CH1973">
        <f>IF(ISTEXT('월 가계부'!A1973),SUBSTITUTE(SUBSTITUTE(SUBSTITUTE(SUBSTITUTE(SUBSTITUTE(SUBSTITUTE(SUBSTITUTE(SUBSTITUTE(SUBSTITUTE(TRIM('월 가계부'!A1973),"년","-"),"월","-"),"일",""),".","-"),"/","-")," ","-"),"--","-"),"--","-"),"--","-")&amp;"-","")</f>
        <v/>
      </c>
      <c r="CI1973">
        <f>IFERROR(IF('월 가계부'!A1973="","",IF(ISNUMBER('월 가계부'!A1973),IF(AND('월 가계부'!A1973&gt;=19000101,'월 가계부'!A1973&lt;=21001231),IF(AND(MOD(INT('월 가계부'!A1973/100),100)&gt;=1,MOD(INT('월 가계부'!A1973/100),100)&lt;=12,MOD(INT('월 가계부'!A1973),100)&gt;=1,MOD(INT('월 가계부'!A1973),100)&lt;=31),IF(MONTH(DATE(INT('월 가계부'!A1973/10000),MOD(INT('월 가계부'!A1973/100),100),MOD(INT('월 가계부'!A1973),100)))=MOD(INT('월 가계부'!A1973/100),100),DATE(INT('월 가계부'!A1973/10000),MOD(INT('월 가계부'!A1973/100),100),MOD(INT('월 가계부'!A1973),100)),""),""),IF(AND('월 가계부'!A1973&gt;=36526,'월 가계부'!A1973&lt;73051),INT('월 가계부'!A1973),"")),IF(OR(CM1973="",CN1973="",CO1973=""),"",IF(AND(CM1973&gt;=2000,CM1973&lt;=2099,CN1973&gt;=1,CN1973&lt;=12,CO1973&gt;=1,CO1973&lt;=31),IF(MONTH(DATE(CM1973,CN1973,CO1973))=CN1973,DATE(CM1973,CN1973,CO1973),""),"")))),"")</f>
        <v/>
      </c>
      <c r="CJ1973">
        <f>IFERROR(IF('월 가계부'!C1973="","",IF(ISNUMBER('월 가계부'!C1973),'월 가계부'!C1973,VALUE(SUBSTITUTE(SUBSTITUTE(SUBSTITUTE(SUBSTITUTE(TRIM('월 가계부'!C1973),",",""),"원","")," ",""),"−","-")))),"")</f>
        <v/>
      </c>
      <c r="CK1973">
        <f>IF(ISNUMBER(CI1973),IF(CI1973&lt;$B$13,CI1973,""),"")</f>
        <v/>
      </c>
      <c r="CM1973">
        <f>IF(CH1973="","",IFERROR(IF(IF(AND(LEN(CH1973)=9,ISERROR(FIND("-",LEFT(CH1973,8))),ISNUMBER(-LEFT(CH1973,8))),VALUE(LEFT(CH1973,4)),VALUE(LEFT(CH1973,FIND("-",CH1973)-1)))&lt;100,IF(AND(LEN(CH1973)=9,ISERROR(FIND("-",LEFT(CH1973,8))),ISNUMBER(-LEFT(CH1973,8))),VALUE(LEFT(CH1973,4)),VALUE(LEFT(CH1973,FIND("-",CH1973)-1)))+2000,IF(AND(LEN(CH1973)=9,ISERROR(FIND("-",LEFT(CH1973,8))),ISNUMBER(-LEFT(CH1973,8))),VALUE(LEFT(CH1973,4)),VALUE(LEFT(CH1973,FIND("-",CH1973)-1)))),""))</f>
        <v/>
      </c>
      <c r="CN1973">
        <f>IF(CH1973="","",IFERROR(IF(AND(LEN(CH1973)=9,ISERROR(FIND("-",LEFT(CH1973,8))),ISNUMBER(-LEFT(CH1973,8))),VALUE(MID(CH1973,5,2)),VALUE(MID(CH1973,FIND("-",CH1973)+1,FIND("-",CH1973,FIND("-",CH1973)+1)-FIND("-",CH1973)-1))),""))</f>
        <v/>
      </c>
      <c r="CO1973">
        <f>IF(CH1973="","",IFERROR(IF(AND(LEN(CH1973)=9,ISERROR(FIND("-",LEFT(CH1973,8))),ISNUMBER(-LEFT(CH1973,8))),VALUE(MID(CH1973,7,2)),VALUE(MID(CH1973,FIND("-",CH1973,FIND("-",CH1973)+1)+1,FIND("-",CH1973,FIND("-",CH1973,FIND("-",CH1973)+1)+1)-FIND("-",CH1973,FIND("-",CH1973)+1)-1))),""))</f>
        <v/>
      </c>
    </row>
    <row r="1974">
      <c r="CH1974">
        <f>IF(ISTEXT('월 가계부'!A1974),SUBSTITUTE(SUBSTITUTE(SUBSTITUTE(SUBSTITUTE(SUBSTITUTE(SUBSTITUTE(SUBSTITUTE(SUBSTITUTE(SUBSTITUTE(TRIM('월 가계부'!A1974),"년","-"),"월","-"),"일",""),".","-"),"/","-")," ","-"),"--","-"),"--","-"),"--","-")&amp;"-","")</f>
        <v/>
      </c>
      <c r="CI1974">
        <f>IFERROR(IF('월 가계부'!A1974="","",IF(ISNUMBER('월 가계부'!A1974),IF(AND('월 가계부'!A1974&gt;=19000101,'월 가계부'!A1974&lt;=21001231),IF(AND(MOD(INT('월 가계부'!A1974/100),100)&gt;=1,MOD(INT('월 가계부'!A1974/100),100)&lt;=12,MOD(INT('월 가계부'!A1974),100)&gt;=1,MOD(INT('월 가계부'!A1974),100)&lt;=31),IF(MONTH(DATE(INT('월 가계부'!A1974/10000),MOD(INT('월 가계부'!A1974/100),100),MOD(INT('월 가계부'!A1974),100)))=MOD(INT('월 가계부'!A1974/100),100),DATE(INT('월 가계부'!A1974/10000),MOD(INT('월 가계부'!A1974/100),100),MOD(INT('월 가계부'!A1974),100)),""),""),IF(AND('월 가계부'!A1974&gt;=36526,'월 가계부'!A1974&lt;73051),INT('월 가계부'!A1974),"")),IF(OR(CM1974="",CN1974="",CO1974=""),"",IF(AND(CM1974&gt;=2000,CM1974&lt;=2099,CN1974&gt;=1,CN1974&lt;=12,CO1974&gt;=1,CO1974&lt;=31),IF(MONTH(DATE(CM1974,CN1974,CO1974))=CN1974,DATE(CM1974,CN1974,CO1974),""),"")))),"")</f>
        <v/>
      </c>
      <c r="CJ1974">
        <f>IFERROR(IF('월 가계부'!C1974="","",IF(ISNUMBER('월 가계부'!C1974),'월 가계부'!C1974,VALUE(SUBSTITUTE(SUBSTITUTE(SUBSTITUTE(SUBSTITUTE(TRIM('월 가계부'!C1974),",",""),"원","")," ",""),"−","-")))),"")</f>
        <v/>
      </c>
      <c r="CK1974">
        <f>IF(ISNUMBER(CI1974),IF(CI1974&lt;$B$13,CI1974,""),"")</f>
        <v/>
      </c>
      <c r="CM1974">
        <f>IF(CH1974="","",IFERROR(IF(IF(AND(LEN(CH1974)=9,ISERROR(FIND("-",LEFT(CH1974,8))),ISNUMBER(-LEFT(CH1974,8))),VALUE(LEFT(CH1974,4)),VALUE(LEFT(CH1974,FIND("-",CH1974)-1)))&lt;100,IF(AND(LEN(CH1974)=9,ISERROR(FIND("-",LEFT(CH1974,8))),ISNUMBER(-LEFT(CH1974,8))),VALUE(LEFT(CH1974,4)),VALUE(LEFT(CH1974,FIND("-",CH1974)-1)))+2000,IF(AND(LEN(CH1974)=9,ISERROR(FIND("-",LEFT(CH1974,8))),ISNUMBER(-LEFT(CH1974,8))),VALUE(LEFT(CH1974,4)),VALUE(LEFT(CH1974,FIND("-",CH1974)-1)))),""))</f>
        <v/>
      </c>
      <c r="CN1974">
        <f>IF(CH1974="","",IFERROR(IF(AND(LEN(CH1974)=9,ISERROR(FIND("-",LEFT(CH1974,8))),ISNUMBER(-LEFT(CH1974,8))),VALUE(MID(CH1974,5,2)),VALUE(MID(CH1974,FIND("-",CH1974)+1,FIND("-",CH1974,FIND("-",CH1974)+1)-FIND("-",CH1974)-1))),""))</f>
        <v/>
      </c>
      <c r="CO1974">
        <f>IF(CH1974="","",IFERROR(IF(AND(LEN(CH1974)=9,ISERROR(FIND("-",LEFT(CH1974,8))),ISNUMBER(-LEFT(CH1974,8))),VALUE(MID(CH1974,7,2)),VALUE(MID(CH1974,FIND("-",CH1974,FIND("-",CH1974)+1)+1,FIND("-",CH1974,FIND("-",CH1974,FIND("-",CH1974)+1)+1)-FIND("-",CH1974,FIND("-",CH1974)+1)-1))),""))</f>
        <v/>
      </c>
    </row>
    <row r="1975">
      <c r="CH1975">
        <f>IF(ISTEXT('월 가계부'!A1975),SUBSTITUTE(SUBSTITUTE(SUBSTITUTE(SUBSTITUTE(SUBSTITUTE(SUBSTITUTE(SUBSTITUTE(SUBSTITUTE(SUBSTITUTE(TRIM('월 가계부'!A1975),"년","-"),"월","-"),"일",""),".","-"),"/","-")," ","-"),"--","-"),"--","-"),"--","-")&amp;"-","")</f>
        <v/>
      </c>
      <c r="CI1975">
        <f>IFERROR(IF('월 가계부'!A1975="","",IF(ISNUMBER('월 가계부'!A1975),IF(AND('월 가계부'!A1975&gt;=19000101,'월 가계부'!A1975&lt;=21001231),IF(AND(MOD(INT('월 가계부'!A1975/100),100)&gt;=1,MOD(INT('월 가계부'!A1975/100),100)&lt;=12,MOD(INT('월 가계부'!A1975),100)&gt;=1,MOD(INT('월 가계부'!A1975),100)&lt;=31),IF(MONTH(DATE(INT('월 가계부'!A1975/10000),MOD(INT('월 가계부'!A1975/100),100),MOD(INT('월 가계부'!A1975),100)))=MOD(INT('월 가계부'!A1975/100),100),DATE(INT('월 가계부'!A1975/10000),MOD(INT('월 가계부'!A1975/100),100),MOD(INT('월 가계부'!A1975),100)),""),""),IF(AND('월 가계부'!A1975&gt;=36526,'월 가계부'!A1975&lt;73051),INT('월 가계부'!A1975),"")),IF(OR(CM1975="",CN1975="",CO1975=""),"",IF(AND(CM1975&gt;=2000,CM1975&lt;=2099,CN1975&gt;=1,CN1975&lt;=12,CO1975&gt;=1,CO1975&lt;=31),IF(MONTH(DATE(CM1975,CN1975,CO1975))=CN1975,DATE(CM1975,CN1975,CO1975),""),"")))),"")</f>
        <v/>
      </c>
      <c r="CJ1975">
        <f>IFERROR(IF('월 가계부'!C1975="","",IF(ISNUMBER('월 가계부'!C1975),'월 가계부'!C1975,VALUE(SUBSTITUTE(SUBSTITUTE(SUBSTITUTE(SUBSTITUTE(TRIM('월 가계부'!C1975),",",""),"원","")," ",""),"−","-")))),"")</f>
        <v/>
      </c>
      <c r="CK1975">
        <f>IF(ISNUMBER(CI1975),IF(CI1975&lt;$B$13,CI1975,""),"")</f>
        <v/>
      </c>
      <c r="CM1975">
        <f>IF(CH1975="","",IFERROR(IF(IF(AND(LEN(CH1975)=9,ISERROR(FIND("-",LEFT(CH1975,8))),ISNUMBER(-LEFT(CH1975,8))),VALUE(LEFT(CH1975,4)),VALUE(LEFT(CH1975,FIND("-",CH1975)-1)))&lt;100,IF(AND(LEN(CH1975)=9,ISERROR(FIND("-",LEFT(CH1975,8))),ISNUMBER(-LEFT(CH1975,8))),VALUE(LEFT(CH1975,4)),VALUE(LEFT(CH1975,FIND("-",CH1975)-1)))+2000,IF(AND(LEN(CH1975)=9,ISERROR(FIND("-",LEFT(CH1975,8))),ISNUMBER(-LEFT(CH1975,8))),VALUE(LEFT(CH1975,4)),VALUE(LEFT(CH1975,FIND("-",CH1975)-1)))),""))</f>
        <v/>
      </c>
      <c r="CN1975">
        <f>IF(CH1975="","",IFERROR(IF(AND(LEN(CH1975)=9,ISERROR(FIND("-",LEFT(CH1975,8))),ISNUMBER(-LEFT(CH1975,8))),VALUE(MID(CH1975,5,2)),VALUE(MID(CH1975,FIND("-",CH1975)+1,FIND("-",CH1975,FIND("-",CH1975)+1)-FIND("-",CH1975)-1))),""))</f>
        <v/>
      </c>
      <c r="CO1975">
        <f>IF(CH1975="","",IFERROR(IF(AND(LEN(CH1975)=9,ISERROR(FIND("-",LEFT(CH1975,8))),ISNUMBER(-LEFT(CH1975,8))),VALUE(MID(CH1975,7,2)),VALUE(MID(CH1975,FIND("-",CH1975,FIND("-",CH1975)+1)+1,FIND("-",CH1975,FIND("-",CH1975,FIND("-",CH1975)+1)+1)-FIND("-",CH1975,FIND("-",CH1975)+1)-1))),""))</f>
        <v/>
      </c>
    </row>
    <row r="1976">
      <c r="CH1976">
        <f>IF(ISTEXT('월 가계부'!A1976),SUBSTITUTE(SUBSTITUTE(SUBSTITUTE(SUBSTITUTE(SUBSTITUTE(SUBSTITUTE(SUBSTITUTE(SUBSTITUTE(SUBSTITUTE(TRIM('월 가계부'!A1976),"년","-"),"월","-"),"일",""),".","-"),"/","-")," ","-"),"--","-"),"--","-"),"--","-")&amp;"-","")</f>
        <v/>
      </c>
      <c r="CI1976">
        <f>IFERROR(IF('월 가계부'!A1976="","",IF(ISNUMBER('월 가계부'!A1976),IF(AND('월 가계부'!A1976&gt;=19000101,'월 가계부'!A1976&lt;=21001231),IF(AND(MOD(INT('월 가계부'!A1976/100),100)&gt;=1,MOD(INT('월 가계부'!A1976/100),100)&lt;=12,MOD(INT('월 가계부'!A1976),100)&gt;=1,MOD(INT('월 가계부'!A1976),100)&lt;=31),IF(MONTH(DATE(INT('월 가계부'!A1976/10000),MOD(INT('월 가계부'!A1976/100),100),MOD(INT('월 가계부'!A1976),100)))=MOD(INT('월 가계부'!A1976/100),100),DATE(INT('월 가계부'!A1976/10000),MOD(INT('월 가계부'!A1976/100),100),MOD(INT('월 가계부'!A1976),100)),""),""),IF(AND('월 가계부'!A1976&gt;=36526,'월 가계부'!A1976&lt;73051),INT('월 가계부'!A1976),"")),IF(OR(CM1976="",CN1976="",CO1976=""),"",IF(AND(CM1976&gt;=2000,CM1976&lt;=2099,CN1976&gt;=1,CN1976&lt;=12,CO1976&gt;=1,CO1976&lt;=31),IF(MONTH(DATE(CM1976,CN1976,CO1976))=CN1976,DATE(CM1976,CN1976,CO1976),""),"")))),"")</f>
        <v/>
      </c>
      <c r="CJ1976">
        <f>IFERROR(IF('월 가계부'!C1976="","",IF(ISNUMBER('월 가계부'!C1976),'월 가계부'!C1976,VALUE(SUBSTITUTE(SUBSTITUTE(SUBSTITUTE(SUBSTITUTE(TRIM('월 가계부'!C1976),",",""),"원","")," ",""),"−","-")))),"")</f>
        <v/>
      </c>
      <c r="CK1976">
        <f>IF(ISNUMBER(CI1976),IF(CI1976&lt;$B$13,CI1976,""),"")</f>
        <v/>
      </c>
      <c r="CM1976">
        <f>IF(CH1976="","",IFERROR(IF(IF(AND(LEN(CH1976)=9,ISERROR(FIND("-",LEFT(CH1976,8))),ISNUMBER(-LEFT(CH1976,8))),VALUE(LEFT(CH1976,4)),VALUE(LEFT(CH1976,FIND("-",CH1976)-1)))&lt;100,IF(AND(LEN(CH1976)=9,ISERROR(FIND("-",LEFT(CH1976,8))),ISNUMBER(-LEFT(CH1976,8))),VALUE(LEFT(CH1976,4)),VALUE(LEFT(CH1976,FIND("-",CH1976)-1)))+2000,IF(AND(LEN(CH1976)=9,ISERROR(FIND("-",LEFT(CH1976,8))),ISNUMBER(-LEFT(CH1976,8))),VALUE(LEFT(CH1976,4)),VALUE(LEFT(CH1976,FIND("-",CH1976)-1)))),""))</f>
        <v/>
      </c>
      <c r="CN1976">
        <f>IF(CH1976="","",IFERROR(IF(AND(LEN(CH1976)=9,ISERROR(FIND("-",LEFT(CH1976,8))),ISNUMBER(-LEFT(CH1976,8))),VALUE(MID(CH1976,5,2)),VALUE(MID(CH1976,FIND("-",CH1976)+1,FIND("-",CH1976,FIND("-",CH1976)+1)-FIND("-",CH1976)-1))),""))</f>
        <v/>
      </c>
      <c r="CO1976">
        <f>IF(CH1976="","",IFERROR(IF(AND(LEN(CH1976)=9,ISERROR(FIND("-",LEFT(CH1976,8))),ISNUMBER(-LEFT(CH1976,8))),VALUE(MID(CH1976,7,2)),VALUE(MID(CH1976,FIND("-",CH1976,FIND("-",CH1976)+1)+1,FIND("-",CH1976,FIND("-",CH1976,FIND("-",CH1976)+1)+1)-FIND("-",CH1976,FIND("-",CH1976)+1)-1))),""))</f>
        <v/>
      </c>
    </row>
    <row r="1977">
      <c r="CH1977">
        <f>IF(ISTEXT('월 가계부'!A1977),SUBSTITUTE(SUBSTITUTE(SUBSTITUTE(SUBSTITUTE(SUBSTITUTE(SUBSTITUTE(SUBSTITUTE(SUBSTITUTE(SUBSTITUTE(TRIM('월 가계부'!A1977),"년","-"),"월","-"),"일",""),".","-"),"/","-")," ","-"),"--","-"),"--","-"),"--","-")&amp;"-","")</f>
        <v/>
      </c>
      <c r="CI1977">
        <f>IFERROR(IF('월 가계부'!A1977="","",IF(ISNUMBER('월 가계부'!A1977),IF(AND('월 가계부'!A1977&gt;=19000101,'월 가계부'!A1977&lt;=21001231),IF(AND(MOD(INT('월 가계부'!A1977/100),100)&gt;=1,MOD(INT('월 가계부'!A1977/100),100)&lt;=12,MOD(INT('월 가계부'!A1977),100)&gt;=1,MOD(INT('월 가계부'!A1977),100)&lt;=31),IF(MONTH(DATE(INT('월 가계부'!A1977/10000),MOD(INT('월 가계부'!A1977/100),100),MOD(INT('월 가계부'!A1977),100)))=MOD(INT('월 가계부'!A1977/100),100),DATE(INT('월 가계부'!A1977/10000),MOD(INT('월 가계부'!A1977/100),100),MOD(INT('월 가계부'!A1977),100)),""),""),IF(AND('월 가계부'!A1977&gt;=36526,'월 가계부'!A1977&lt;73051),INT('월 가계부'!A1977),"")),IF(OR(CM1977="",CN1977="",CO1977=""),"",IF(AND(CM1977&gt;=2000,CM1977&lt;=2099,CN1977&gt;=1,CN1977&lt;=12,CO1977&gt;=1,CO1977&lt;=31),IF(MONTH(DATE(CM1977,CN1977,CO1977))=CN1977,DATE(CM1977,CN1977,CO1977),""),"")))),"")</f>
        <v/>
      </c>
      <c r="CJ1977">
        <f>IFERROR(IF('월 가계부'!C1977="","",IF(ISNUMBER('월 가계부'!C1977),'월 가계부'!C1977,VALUE(SUBSTITUTE(SUBSTITUTE(SUBSTITUTE(SUBSTITUTE(TRIM('월 가계부'!C1977),",",""),"원","")," ",""),"−","-")))),"")</f>
        <v/>
      </c>
      <c r="CK1977">
        <f>IF(ISNUMBER(CI1977),IF(CI1977&lt;$B$13,CI1977,""),"")</f>
        <v/>
      </c>
      <c r="CM1977">
        <f>IF(CH1977="","",IFERROR(IF(IF(AND(LEN(CH1977)=9,ISERROR(FIND("-",LEFT(CH1977,8))),ISNUMBER(-LEFT(CH1977,8))),VALUE(LEFT(CH1977,4)),VALUE(LEFT(CH1977,FIND("-",CH1977)-1)))&lt;100,IF(AND(LEN(CH1977)=9,ISERROR(FIND("-",LEFT(CH1977,8))),ISNUMBER(-LEFT(CH1977,8))),VALUE(LEFT(CH1977,4)),VALUE(LEFT(CH1977,FIND("-",CH1977)-1)))+2000,IF(AND(LEN(CH1977)=9,ISERROR(FIND("-",LEFT(CH1977,8))),ISNUMBER(-LEFT(CH1977,8))),VALUE(LEFT(CH1977,4)),VALUE(LEFT(CH1977,FIND("-",CH1977)-1)))),""))</f>
        <v/>
      </c>
      <c r="CN1977">
        <f>IF(CH1977="","",IFERROR(IF(AND(LEN(CH1977)=9,ISERROR(FIND("-",LEFT(CH1977,8))),ISNUMBER(-LEFT(CH1977,8))),VALUE(MID(CH1977,5,2)),VALUE(MID(CH1977,FIND("-",CH1977)+1,FIND("-",CH1977,FIND("-",CH1977)+1)-FIND("-",CH1977)-1))),""))</f>
        <v/>
      </c>
      <c r="CO1977">
        <f>IF(CH1977="","",IFERROR(IF(AND(LEN(CH1977)=9,ISERROR(FIND("-",LEFT(CH1977,8))),ISNUMBER(-LEFT(CH1977,8))),VALUE(MID(CH1977,7,2)),VALUE(MID(CH1977,FIND("-",CH1977,FIND("-",CH1977)+1)+1,FIND("-",CH1977,FIND("-",CH1977,FIND("-",CH1977)+1)+1)-FIND("-",CH1977,FIND("-",CH1977)+1)-1))),""))</f>
        <v/>
      </c>
    </row>
    <row r="1978">
      <c r="CH1978">
        <f>IF(ISTEXT('월 가계부'!A1978),SUBSTITUTE(SUBSTITUTE(SUBSTITUTE(SUBSTITUTE(SUBSTITUTE(SUBSTITUTE(SUBSTITUTE(SUBSTITUTE(SUBSTITUTE(TRIM('월 가계부'!A1978),"년","-"),"월","-"),"일",""),".","-"),"/","-")," ","-"),"--","-"),"--","-"),"--","-")&amp;"-","")</f>
        <v/>
      </c>
      <c r="CI1978">
        <f>IFERROR(IF('월 가계부'!A1978="","",IF(ISNUMBER('월 가계부'!A1978),IF(AND('월 가계부'!A1978&gt;=19000101,'월 가계부'!A1978&lt;=21001231),IF(AND(MOD(INT('월 가계부'!A1978/100),100)&gt;=1,MOD(INT('월 가계부'!A1978/100),100)&lt;=12,MOD(INT('월 가계부'!A1978),100)&gt;=1,MOD(INT('월 가계부'!A1978),100)&lt;=31),IF(MONTH(DATE(INT('월 가계부'!A1978/10000),MOD(INT('월 가계부'!A1978/100),100),MOD(INT('월 가계부'!A1978),100)))=MOD(INT('월 가계부'!A1978/100),100),DATE(INT('월 가계부'!A1978/10000),MOD(INT('월 가계부'!A1978/100),100),MOD(INT('월 가계부'!A1978),100)),""),""),IF(AND('월 가계부'!A1978&gt;=36526,'월 가계부'!A1978&lt;73051),INT('월 가계부'!A1978),"")),IF(OR(CM1978="",CN1978="",CO1978=""),"",IF(AND(CM1978&gt;=2000,CM1978&lt;=2099,CN1978&gt;=1,CN1978&lt;=12,CO1978&gt;=1,CO1978&lt;=31),IF(MONTH(DATE(CM1978,CN1978,CO1978))=CN1978,DATE(CM1978,CN1978,CO1978),""),"")))),"")</f>
        <v/>
      </c>
      <c r="CJ1978">
        <f>IFERROR(IF('월 가계부'!C1978="","",IF(ISNUMBER('월 가계부'!C1978),'월 가계부'!C1978,VALUE(SUBSTITUTE(SUBSTITUTE(SUBSTITUTE(SUBSTITUTE(TRIM('월 가계부'!C1978),",",""),"원","")," ",""),"−","-")))),"")</f>
        <v/>
      </c>
      <c r="CK1978">
        <f>IF(ISNUMBER(CI1978),IF(CI1978&lt;$B$13,CI1978,""),"")</f>
        <v/>
      </c>
      <c r="CM1978">
        <f>IF(CH1978="","",IFERROR(IF(IF(AND(LEN(CH1978)=9,ISERROR(FIND("-",LEFT(CH1978,8))),ISNUMBER(-LEFT(CH1978,8))),VALUE(LEFT(CH1978,4)),VALUE(LEFT(CH1978,FIND("-",CH1978)-1)))&lt;100,IF(AND(LEN(CH1978)=9,ISERROR(FIND("-",LEFT(CH1978,8))),ISNUMBER(-LEFT(CH1978,8))),VALUE(LEFT(CH1978,4)),VALUE(LEFT(CH1978,FIND("-",CH1978)-1)))+2000,IF(AND(LEN(CH1978)=9,ISERROR(FIND("-",LEFT(CH1978,8))),ISNUMBER(-LEFT(CH1978,8))),VALUE(LEFT(CH1978,4)),VALUE(LEFT(CH1978,FIND("-",CH1978)-1)))),""))</f>
        <v/>
      </c>
      <c r="CN1978">
        <f>IF(CH1978="","",IFERROR(IF(AND(LEN(CH1978)=9,ISERROR(FIND("-",LEFT(CH1978,8))),ISNUMBER(-LEFT(CH1978,8))),VALUE(MID(CH1978,5,2)),VALUE(MID(CH1978,FIND("-",CH1978)+1,FIND("-",CH1978,FIND("-",CH1978)+1)-FIND("-",CH1978)-1))),""))</f>
        <v/>
      </c>
      <c r="CO1978">
        <f>IF(CH1978="","",IFERROR(IF(AND(LEN(CH1978)=9,ISERROR(FIND("-",LEFT(CH1978,8))),ISNUMBER(-LEFT(CH1978,8))),VALUE(MID(CH1978,7,2)),VALUE(MID(CH1978,FIND("-",CH1978,FIND("-",CH1978)+1)+1,FIND("-",CH1978,FIND("-",CH1978,FIND("-",CH1978)+1)+1)-FIND("-",CH1978,FIND("-",CH1978)+1)-1))),""))</f>
        <v/>
      </c>
    </row>
    <row r="1979">
      <c r="CH1979">
        <f>IF(ISTEXT('월 가계부'!A1979),SUBSTITUTE(SUBSTITUTE(SUBSTITUTE(SUBSTITUTE(SUBSTITUTE(SUBSTITUTE(SUBSTITUTE(SUBSTITUTE(SUBSTITUTE(TRIM('월 가계부'!A1979),"년","-"),"월","-"),"일",""),".","-"),"/","-")," ","-"),"--","-"),"--","-"),"--","-")&amp;"-","")</f>
        <v/>
      </c>
      <c r="CI1979">
        <f>IFERROR(IF('월 가계부'!A1979="","",IF(ISNUMBER('월 가계부'!A1979),IF(AND('월 가계부'!A1979&gt;=19000101,'월 가계부'!A1979&lt;=21001231),IF(AND(MOD(INT('월 가계부'!A1979/100),100)&gt;=1,MOD(INT('월 가계부'!A1979/100),100)&lt;=12,MOD(INT('월 가계부'!A1979),100)&gt;=1,MOD(INT('월 가계부'!A1979),100)&lt;=31),IF(MONTH(DATE(INT('월 가계부'!A1979/10000),MOD(INT('월 가계부'!A1979/100),100),MOD(INT('월 가계부'!A1979),100)))=MOD(INT('월 가계부'!A1979/100),100),DATE(INT('월 가계부'!A1979/10000),MOD(INT('월 가계부'!A1979/100),100),MOD(INT('월 가계부'!A1979),100)),""),""),IF(AND('월 가계부'!A1979&gt;=36526,'월 가계부'!A1979&lt;73051),INT('월 가계부'!A1979),"")),IF(OR(CM1979="",CN1979="",CO1979=""),"",IF(AND(CM1979&gt;=2000,CM1979&lt;=2099,CN1979&gt;=1,CN1979&lt;=12,CO1979&gt;=1,CO1979&lt;=31),IF(MONTH(DATE(CM1979,CN1979,CO1979))=CN1979,DATE(CM1979,CN1979,CO1979),""),"")))),"")</f>
        <v/>
      </c>
      <c r="CJ1979">
        <f>IFERROR(IF('월 가계부'!C1979="","",IF(ISNUMBER('월 가계부'!C1979),'월 가계부'!C1979,VALUE(SUBSTITUTE(SUBSTITUTE(SUBSTITUTE(SUBSTITUTE(TRIM('월 가계부'!C1979),",",""),"원","")," ",""),"−","-")))),"")</f>
        <v/>
      </c>
      <c r="CK1979">
        <f>IF(ISNUMBER(CI1979),IF(CI1979&lt;$B$13,CI1979,""),"")</f>
        <v/>
      </c>
      <c r="CM1979">
        <f>IF(CH1979="","",IFERROR(IF(IF(AND(LEN(CH1979)=9,ISERROR(FIND("-",LEFT(CH1979,8))),ISNUMBER(-LEFT(CH1979,8))),VALUE(LEFT(CH1979,4)),VALUE(LEFT(CH1979,FIND("-",CH1979)-1)))&lt;100,IF(AND(LEN(CH1979)=9,ISERROR(FIND("-",LEFT(CH1979,8))),ISNUMBER(-LEFT(CH1979,8))),VALUE(LEFT(CH1979,4)),VALUE(LEFT(CH1979,FIND("-",CH1979)-1)))+2000,IF(AND(LEN(CH1979)=9,ISERROR(FIND("-",LEFT(CH1979,8))),ISNUMBER(-LEFT(CH1979,8))),VALUE(LEFT(CH1979,4)),VALUE(LEFT(CH1979,FIND("-",CH1979)-1)))),""))</f>
        <v/>
      </c>
      <c r="CN1979">
        <f>IF(CH1979="","",IFERROR(IF(AND(LEN(CH1979)=9,ISERROR(FIND("-",LEFT(CH1979,8))),ISNUMBER(-LEFT(CH1979,8))),VALUE(MID(CH1979,5,2)),VALUE(MID(CH1979,FIND("-",CH1979)+1,FIND("-",CH1979,FIND("-",CH1979)+1)-FIND("-",CH1979)-1))),""))</f>
        <v/>
      </c>
      <c r="CO1979">
        <f>IF(CH1979="","",IFERROR(IF(AND(LEN(CH1979)=9,ISERROR(FIND("-",LEFT(CH1979,8))),ISNUMBER(-LEFT(CH1979,8))),VALUE(MID(CH1979,7,2)),VALUE(MID(CH1979,FIND("-",CH1979,FIND("-",CH1979)+1)+1,FIND("-",CH1979,FIND("-",CH1979,FIND("-",CH1979)+1)+1)-FIND("-",CH1979,FIND("-",CH1979)+1)-1))),""))</f>
        <v/>
      </c>
    </row>
    <row r="1980">
      <c r="CH1980">
        <f>IF(ISTEXT('월 가계부'!A1980),SUBSTITUTE(SUBSTITUTE(SUBSTITUTE(SUBSTITUTE(SUBSTITUTE(SUBSTITUTE(SUBSTITUTE(SUBSTITUTE(SUBSTITUTE(TRIM('월 가계부'!A1980),"년","-"),"월","-"),"일",""),".","-"),"/","-")," ","-"),"--","-"),"--","-"),"--","-")&amp;"-","")</f>
        <v/>
      </c>
      <c r="CI1980">
        <f>IFERROR(IF('월 가계부'!A1980="","",IF(ISNUMBER('월 가계부'!A1980),IF(AND('월 가계부'!A1980&gt;=19000101,'월 가계부'!A1980&lt;=21001231),IF(AND(MOD(INT('월 가계부'!A1980/100),100)&gt;=1,MOD(INT('월 가계부'!A1980/100),100)&lt;=12,MOD(INT('월 가계부'!A1980),100)&gt;=1,MOD(INT('월 가계부'!A1980),100)&lt;=31),IF(MONTH(DATE(INT('월 가계부'!A1980/10000),MOD(INT('월 가계부'!A1980/100),100),MOD(INT('월 가계부'!A1980),100)))=MOD(INT('월 가계부'!A1980/100),100),DATE(INT('월 가계부'!A1980/10000),MOD(INT('월 가계부'!A1980/100),100),MOD(INT('월 가계부'!A1980),100)),""),""),IF(AND('월 가계부'!A1980&gt;=36526,'월 가계부'!A1980&lt;73051),INT('월 가계부'!A1980),"")),IF(OR(CM1980="",CN1980="",CO1980=""),"",IF(AND(CM1980&gt;=2000,CM1980&lt;=2099,CN1980&gt;=1,CN1980&lt;=12,CO1980&gt;=1,CO1980&lt;=31),IF(MONTH(DATE(CM1980,CN1980,CO1980))=CN1980,DATE(CM1980,CN1980,CO1980),""),"")))),"")</f>
        <v/>
      </c>
      <c r="CJ1980">
        <f>IFERROR(IF('월 가계부'!C1980="","",IF(ISNUMBER('월 가계부'!C1980),'월 가계부'!C1980,VALUE(SUBSTITUTE(SUBSTITUTE(SUBSTITUTE(SUBSTITUTE(TRIM('월 가계부'!C1980),",",""),"원","")," ",""),"−","-")))),"")</f>
        <v/>
      </c>
      <c r="CK1980">
        <f>IF(ISNUMBER(CI1980),IF(CI1980&lt;$B$13,CI1980,""),"")</f>
        <v/>
      </c>
      <c r="CM1980">
        <f>IF(CH1980="","",IFERROR(IF(IF(AND(LEN(CH1980)=9,ISERROR(FIND("-",LEFT(CH1980,8))),ISNUMBER(-LEFT(CH1980,8))),VALUE(LEFT(CH1980,4)),VALUE(LEFT(CH1980,FIND("-",CH1980)-1)))&lt;100,IF(AND(LEN(CH1980)=9,ISERROR(FIND("-",LEFT(CH1980,8))),ISNUMBER(-LEFT(CH1980,8))),VALUE(LEFT(CH1980,4)),VALUE(LEFT(CH1980,FIND("-",CH1980)-1)))+2000,IF(AND(LEN(CH1980)=9,ISERROR(FIND("-",LEFT(CH1980,8))),ISNUMBER(-LEFT(CH1980,8))),VALUE(LEFT(CH1980,4)),VALUE(LEFT(CH1980,FIND("-",CH1980)-1)))),""))</f>
        <v/>
      </c>
      <c r="CN1980">
        <f>IF(CH1980="","",IFERROR(IF(AND(LEN(CH1980)=9,ISERROR(FIND("-",LEFT(CH1980,8))),ISNUMBER(-LEFT(CH1980,8))),VALUE(MID(CH1980,5,2)),VALUE(MID(CH1980,FIND("-",CH1980)+1,FIND("-",CH1980,FIND("-",CH1980)+1)-FIND("-",CH1980)-1))),""))</f>
        <v/>
      </c>
      <c r="CO1980">
        <f>IF(CH1980="","",IFERROR(IF(AND(LEN(CH1980)=9,ISERROR(FIND("-",LEFT(CH1980,8))),ISNUMBER(-LEFT(CH1980,8))),VALUE(MID(CH1980,7,2)),VALUE(MID(CH1980,FIND("-",CH1980,FIND("-",CH1980)+1)+1,FIND("-",CH1980,FIND("-",CH1980,FIND("-",CH1980)+1)+1)-FIND("-",CH1980,FIND("-",CH1980)+1)-1))),""))</f>
        <v/>
      </c>
    </row>
    <row r="1981">
      <c r="CH1981">
        <f>IF(ISTEXT('월 가계부'!A1981),SUBSTITUTE(SUBSTITUTE(SUBSTITUTE(SUBSTITUTE(SUBSTITUTE(SUBSTITUTE(SUBSTITUTE(SUBSTITUTE(SUBSTITUTE(TRIM('월 가계부'!A1981),"년","-"),"월","-"),"일",""),".","-"),"/","-")," ","-"),"--","-"),"--","-"),"--","-")&amp;"-","")</f>
        <v/>
      </c>
      <c r="CI1981">
        <f>IFERROR(IF('월 가계부'!A1981="","",IF(ISNUMBER('월 가계부'!A1981),IF(AND('월 가계부'!A1981&gt;=19000101,'월 가계부'!A1981&lt;=21001231),IF(AND(MOD(INT('월 가계부'!A1981/100),100)&gt;=1,MOD(INT('월 가계부'!A1981/100),100)&lt;=12,MOD(INT('월 가계부'!A1981),100)&gt;=1,MOD(INT('월 가계부'!A1981),100)&lt;=31),IF(MONTH(DATE(INT('월 가계부'!A1981/10000),MOD(INT('월 가계부'!A1981/100),100),MOD(INT('월 가계부'!A1981),100)))=MOD(INT('월 가계부'!A1981/100),100),DATE(INT('월 가계부'!A1981/10000),MOD(INT('월 가계부'!A1981/100),100),MOD(INT('월 가계부'!A1981),100)),""),""),IF(AND('월 가계부'!A1981&gt;=36526,'월 가계부'!A1981&lt;73051),INT('월 가계부'!A1981),"")),IF(OR(CM1981="",CN1981="",CO1981=""),"",IF(AND(CM1981&gt;=2000,CM1981&lt;=2099,CN1981&gt;=1,CN1981&lt;=12,CO1981&gt;=1,CO1981&lt;=31),IF(MONTH(DATE(CM1981,CN1981,CO1981))=CN1981,DATE(CM1981,CN1981,CO1981),""),"")))),"")</f>
        <v/>
      </c>
      <c r="CJ1981">
        <f>IFERROR(IF('월 가계부'!C1981="","",IF(ISNUMBER('월 가계부'!C1981),'월 가계부'!C1981,VALUE(SUBSTITUTE(SUBSTITUTE(SUBSTITUTE(SUBSTITUTE(TRIM('월 가계부'!C1981),",",""),"원","")," ",""),"−","-")))),"")</f>
        <v/>
      </c>
      <c r="CK1981">
        <f>IF(ISNUMBER(CI1981),IF(CI1981&lt;$B$13,CI1981,""),"")</f>
        <v/>
      </c>
      <c r="CM1981">
        <f>IF(CH1981="","",IFERROR(IF(IF(AND(LEN(CH1981)=9,ISERROR(FIND("-",LEFT(CH1981,8))),ISNUMBER(-LEFT(CH1981,8))),VALUE(LEFT(CH1981,4)),VALUE(LEFT(CH1981,FIND("-",CH1981)-1)))&lt;100,IF(AND(LEN(CH1981)=9,ISERROR(FIND("-",LEFT(CH1981,8))),ISNUMBER(-LEFT(CH1981,8))),VALUE(LEFT(CH1981,4)),VALUE(LEFT(CH1981,FIND("-",CH1981)-1)))+2000,IF(AND(LEN(CH1981)=9,ISERROR(FIND("-",LEFT(CH1981,8))),ISNUMBER(-LEFT(CH1981,8))),VALUE(LEFT(CH1981,4)),VALUE(LEFT(CH1981,FIND("-",CH1981)-1)))),""))</f>
        <v/>
      </c>
      <c r="CN1981">
        <f>IF(CH1981="","",IFERROR(IF(AND(LEN(CH1981)=9,ISERROR(FIND("-",LEFT(CH1981,8))),ISNUMBER(-LEFT(CH1981,8))),VALUE(MID(CH1981,5,2)),VALUE(MID(CH1981,FIND("-",CH1981)+1,FIND("-",CH1981,FIND("-",CH1981)+1)-FIND("-",CH1981)-1))),""))</f>
        <v/>
      </c>
      <c r="CO1981">
        <f>IF(CH1981="","",IFERROR(IF(AND(LEN(CH1981)=9,ISERROR(FIND("-",LEFT(CH1981,8))),ISNUMBER(-LEFT(CH1981,8))),VALUE(MID(CH1981,7,2)),VALUE(MID(CH1981,FIND("-",CH1981,FIND("-",CH1981)+1)+1,FIND("-",CH1981,FIND("-",CH1981,FIND("-",CH1981)+1)+1)-FIND("-",CH1981,FIND("-",CH1981)+1)-1))),""))</f>
        <v/>
      </c>
    </row>
    <row r="1982">
      <c r="CH1982">
        <f>IF(ISTEXT('월 가계부'!A1982),SUBSTITUTE(SUBSTITUTE(SUBSTITUTE(SUBSTITUTE(SUBSTITUTE(SUBSTITUTE(SUBSTITUTE(SUBSTITUTE(SUBSTITUTE(TRIM('월 가계부'!A1982),"년","-"),"월","-"),"일",""),".","-"),"/","-")," ","-"),"--","-"),"--","-"),"--","-")&amp;"-","")</f>
        <v/>
      </c>
      <c r="CI1982">
        <f>IFERROR(IF('월 가계부'!A1982="","",IF(ISNUMBER('월 가계부'!A1982),IF(AND('월 가계부'!A1982&gt;=19000101,'월 가계부'!A1982&lt;=21001231),IF(AND(MOD(INT('월 가계부'!A1982/100),100)&gt;=1,MOD(INT('월 가계부'!A1982/100),100)&lt;=12,MOD(INT('월 가계부'!A1982),100)&gt;=1,MOD(INT('월 가계부'!A1982),100)&lt;=31),IF(MONTH(DATE(INT('월 가계부'!A1982/10000),MOD(INT('월 가계부'!A1982/100),100),MOD(INT('월 가계부'!A1982),100)))=MOD(INT('월 가계부'!A1982/100),100),DATE(INT('월 가계부'!A1982/10000),MOD(INT('월 가계부'!A1982/100),100),MOD(INT('월 가계부'!A1982),100)),""),""),IF(AND('월 가계부'!A1982&gt;=36526,'월 가계부'!A1982&lt;73051),INT('월 가계부'!A1982),"")),IF(OR(CM1982="",CN1982="",CO1982=""),"",IF(AND(CM1982&gt;=2000,CM1982&lt;=2099,CN1982&gt;=1,CN1982&lt;=12,CO1982&gt;=1,CO1982&lt;=31),IF(MONTH(DATE(CM1982,CN1982,CO1982))=CN1982,DATE(CM1982,CN1982,CO1982),""),"")))),"")</f>
        <v/>
      </c>
      <c r="CJ1982">
        <f>IFERROR(IF('월 가계부'!C1982="","",IF(ISNUMBER('월 가계부'!C1982),'월 가계부'!C1982,VALUE(SUBSTITUTE(SUBSTITUTE(SUBSTITUTE(SUBSTITUTE(TRIM('월 가계부'!C1982),",",""),"원","")," ",""),"−","-")))),"")</f>
        <v/>
      </c>
      <c r="CK1982">
        <f>IF(ISNUMBER(CI1982),IF(CI1982&lt;$B$13,CI1982,""),"")</f>
        <v/>
      </c>
      <c r="CM1982">
        <f>IF(CH1982="","",IFERROR(IF(IF(AND(LEN(CH1982)=9,ISERROR(FIND("-",LEFT(CH1982,8))),ISNUMBER(-LEFT(CH1982,8))),VALUE(LEFT(CH1982,4)),VALUE(LEFT(CH1982,FIND("-",CH1982)-1)))&lt;100,IF(AND(LEN(CH1982)=9,ISERROR(FIND("-",LEFT(CH1982,8))),ISNUMBER(-LEFT(CH1982,8))),VALUE(LEFT(CH1982,4)),VALUE(LEFT(CH1982,FIND("-",CH1982)-1)))+2000,IF(AND(LEN(CH1982)=9,ISERROR(FIND("-",LEFT(CH1982,8))),ISNUMBER(-LEFT(CH1982,8))),VALUE(LEFT(CH1982,4)),VALUE(LEFT(CH1982,FIND("-",CH1982)-1)))),""))</f>
        <v/>
      </c>
      <c r="CN1982">
        <f>IF(CH1982="","",IFERROR(IF(AND(LEN(CH1982)=9,ISERROR(FIND("-",LEFT(CH1982,8))),ISNUMBER(-LEFT(CH1982,8))),VALUE(MID(CH1982,5,2)),VALUE(MID(CH1982,FIND("-",CH1982)+1,FIND("-",CH1982,FIND("-",CH1982)+1)-FIND("-",CH1982)-1))),""))</f>
        <v/>
      </c>
      <c r="CO1982">
        <f>IF(CH1982="","",IFERROR(IF(AND(LEN(CH1982)=9,ISERROR(FIND("-",LEFT(CH1982,8))),ISNUMBER(-LEFT(CH1982,8))),VALUE(MID(CH1982,7,2)),VALUE(MID(CH1982,FIND("-",CH1982,FIND("-",CH1982)+1)+1,FIND("-",CH1982,FIND("-",CH1982,FIND("-",CH1982)+1)+1)-FIND("-",CH1982,FIND("-",CH1982)+1)-1))),""))</f>
        <v/>
      </c>
    </row>
    <row r="1983">
      <c r="CH1983">
        <f>IF(ISTEXT('월 가계부'!A1983),SUBSTITUTE(SUBSTITUTE(SUBSTITUTE(SUBSTITUTE(SUBSTITUTE(SUBSTITUTE(SUBSTITUTE(SUBSTITUTE(SUBSTITUTE(TRIM('월 가계부'!A1983),"년","-"),"월","-"),"일",""),".","-"),"/","-")," ","-"),"--","-"),"--","-"),"--","-")&amp;"-","")</f>
        <v/>
      </c>
      <c r="CI1983">
        <f>IFERROR(IF('월 가계부'!A1983="","",IF(ISNUMBER('월 가계부'!A1983),IF(AND('월 가계부'!A1983&gt;=19000101,'월 가계부'!A1983&lt;=21001231),IF(AND(MOD(INT('월 가계부'!A1983/100),100)&gt;=1,MOD(INT('월 가계부'!A1983/100),100)&lt;=12,MOD(INT('월 가계부'!A1983),100)&gt;=1,MOD(INT('월 가계부'!A1983),100)&lt;=31),IF(MONTH(DATE(INT('월 가계부'!A1983/10000),MOD(INT('월 가계부'!A1983/100),100),MOD(INT('월 가계부'!A1983),100)))=MOD(INT('월 가계부'!A1983/100),100),DATE(INT('월 가계부'!A1983/10000),MOD(INT('월 가계부'!A1983/100),100),MOD(INT('월 가계부'!A1983),100)),""),""),IF(AND('월 가계부'!A1983&gt;=36526,'월 가계부'!A1983&lt;73051),INT('월 가계부'!A1983),"")),IF(OR(CM1983="",CN1983="",CO1983=""),"",IF(AND(CM1983&gt;=2000,CM1983&lt;=2099,CN1983&gt;=1,CN1983&lt;=12,CO1983&gt;=1,CO1983&lt;=31),IF(MONTH(DATE(CM1983,CN1983,CO1983))=CN1983,DATE(CM1983,CN1983,CO1983),""),"")))),"")</f>
        <v/>
      </c>
      <c r="CJ1983">
        <f>IFERROR(IF('월 가계부'!C1983="","",IF(ISNUMBER('월 가계부'!C1983),'월 가계부'!C1983,VALUE(SUBSTITUTE(SUBSTITUTE(SUBSTITUTE(SUBSTITUTE(TRIM('월 가계부'!C1983),",",""),"원","")," ",""),"−","-")))),"")</f>
        <v/>
      </c>
      <c r="CK1983">
        <f>IF(ISNUMBER(CI1983),IF(CI1983&lt;$B$13,CI1983,""),"")</f>
        <v/>
      </c>
      <c r="CM1983">
        <f>IF(CH1983="","",IFERROR(IF(IF(AND(LEN(CH1983)=9,ISERROR(FIND("-",LEFT(CH1983,8))),ISNUMBER(-LEFT(CH1983,8))),VALUE(LEFT(CH1983,4)),VALUE(LEFT(CH1983,FIND("-",CH1983)-1)))&lt;100,IF(AND(LEN(CH1983)=9,ISERROR(FIND("-",LEFT(CH1983,8))),ISNUMBER(-LEFT(CH1983,8))),VALUE(LEFT(CH1983,4)),VALUE(LEFT(CH1983,FIND("-",CH1983)-1)))+2000,IF(AND(LEN(CH1983)=9,ISERROR(FIND("-",LEFT(CH1983,8))),ISNUMBER(-LEFT(CH1983,8))),VALUE(LEFT(CH1983,4)),VALUE(LEFT(CH1983,FIND("-",CH1983)-1)))),""))</f>
        <v/>
      </c>
      <c r="CN1983">
        <f>IF(CH1983="","",IFERROR(IF(AND(LEN(CH1983)=9,ISERROR(FIND("-",LEFT(CH1983,8))),ISNUMBER(-LEFT(CH1983,8))),VALUE(MID(CH1983,5,2)),VALUE(MID(CH1983,FIND("-",CH1983)+1,FIND("-",CH1983,FIND("-",CH1983)+1)-FIND("-",CH1983)-1))),""))</f>
        <v/>
      </c>
      <c r="CO1983">
        <f>IF(CH1983="","",IFERROR(IF(AND(LEN(CH1983)=9,ISERROR(FIND("-",LEFT(CH1983,8))),ISNUMBER(-LEFT(CH1983,8))),VALUE(MID(CH1983,7,2)),VALUE(MID(CH1983,FIND("-",CH1983,FIND("-",CH1983)+1)+1,FIND("-",CH1983,FIND("-",CH1983,FIND("-",CH1983)+1)+1)-FIND("-",CH1983,FIND("-",CH1983)+1)-1))),""))</f>
        <v/>
      </c>
    </row>
    <row r="1984">
      <c r="CH1984">
        <f>IF(ISTEXT('월 가계부'!A1984),SUBSTITUTE(SUBSTITUTE(SUBSTITUTE(SUBSTITUTE(SUBSTITUTE(SUBSTITUTE(SUBSTITUTE(SUBSTITUTE(SUBSTITUTE(TRIM('월 가계부'!A1984),"년","-"),"월","-"),"일",""),".","-"),"/","-")," ","-"),"--","-"),"--","-"),"--","-")&amp;"-","")</f>
        <v/>
      </c>
      <c r="CI1984">
        <f>IFERROR(IF('월 가계부'!A1984="","",IF(ISNUMBER('월 가계부'!A1984),IF(AND('월 가계부'!A1984&gt;=19000101,'월 가계부'!A1984&lt;=21001231),IF(AND(MOD(INT('월 가계부'!A1984/100),100)&gt;=1,MOD(INT('월 가계부'!A1984/100),100)&lt;=12,MOD(INT('월 가계부'!A1984),100)&gt;=1,MOD(INT('월 가계부'!A1984),100)&lt;=31),IF(MONTH(DATE(INT('월 가계부'!A1984/10000),MOD(INT('월 가계부'!A1984/100),100),MOD(INT('월 가계부'!A1984),100)))=MOD(INT('월 가계부'!A1984/100),100),DATE(INT('월 가계부'!A1984/10000),MOD(INT('월 가계부'!A1984/100),100),MOD(INT('월 가계부'!A1984),100)),""),""),IF(AND('월 가계부'!A1984&gt;=36526,'월 가계부'!A1984&lt;73051),INT('월 가계부'!A1984),"")),IF(OR(CM1984="",CN1984="",CO1984=""),"",IF(AND(CM1984&gt;=2000,CM1984&lt;=2099,CN1984&gt;=1,CN1984&lt;=12,CO1984&gt;=1,CO1984&lt;=31),IF(MONTH(DATE(CM1984,CN1984,CO1984))=CN1984,DATE(CM1984,CN1984,CO1984),""),"")))),"")</f>
        <v/>
      </c>
      <c r="CJ1984">
        <f>IFERROR(IF('월 가계부'!C1984="","",IF(ISNUMBER('월 가계부'!C1984),'월 가계부'!C1984,VALUE(SUBSTITUTE(SUBSTITUTE(SUBSTITUTE(SUBSTITUTE(TRIM('월 가계부'!C1984),",",""),"원","")," ",""),"−","-")))),"")</f>
        <v/>
      </c>
      <c r="CK1984">
        <f>IF(ISNUMBER(CI1984),IF(CI1984&lt;$B$13,CI1984,""),"")</f>
        <v/>
      </c>
      <c r="CM1984">
        <f>IF(CH1984="","",IFERROR(IF(IF(AND(LEN(CH1984)=9,ISERROR(FIND("-",LEFT(CH1984,8))),ISNUMBER(-LEFT(CH1984,8))),VALUE(LEFT(CH1984,4)),VALUE(LEFT(CH1984,FIND("-",CH1984)-1)))&lt;100,IF(AND(LEN(CH1984)=9,ISERROR(FIND("-",LEFT(CH1984,8))),ISNUMBER(-LEFT(CH1984,8))),VALUE(LEFT(CH1984,4)),VALUE(LEFT(CH1984,FIND("-",CH1984)-1)))+2000,IF(AND(LEN(CH1984)=9,ISERROR(FIND("-",LEFT(CH1984,8))),ISNUMBER(-LEFT(CH1984,8))),VALUE(LEFT(CH1984,4)),VALUE(LEFT(CH1984,FIND("-",CH1984)-1)))),""))</f>
        <v/>
      </c>
      <c r="CN1984">
        <f>IF(CH1984="","",IFERROR(IF(AND(LEN(CH1984)=9,ISERROR(FIND("-",LEFT(CH1984,8))),ISNUMBER(-LEFT(CH1984,8))),VALUE(MID(CH1984,5,2)),VALUE(MID(CH1984,FIND("-",CH1984)+1,FIND("-",CH1984,FIND("-",CH1984)+1)-FIND("-",CH1984)-1))),""))</f>
        <v/>
      </c>
      <c r="CO1984">
        <f>IF(CH1984="","",IFERROR(IF(AND(LEN(CH1984)=9,ISERROR(FIND("-",LEFT(CH1984,8))),ISNUMBER(-LEFT(CH1984,8))),VALUE(MID(CH1984,7,2)),VALUE(MID(CH1984,FIND("-",CH1984,FIND("-",CH1984)+1)+1,FIND("-",CH1984,FIND("-",CH1984,FIND("-",CH1984)+1)+1)-FIND("-",CH1984,FIND("-",CH1984)+1)-1))),""))</f>
        <v/>
      </c>
    </row>
    <row r="1985">
      <c r="CH1985">
        <f>IF(ISTEXT('월 가계부'!A1985),SUBSTITUTE(SUBSTITUTE(SUBSTITUTE(SUBSTITUTE(SUBSTITUTE(SUBSTITUTE(SUBSTITUTE(SUBSTITUTE(SUBSTITUTE(TRIM('월 가계부'!A1985),"년","-"),"월","-"),"일",""),".","-"),"/","-")," ","-"),"--","-"),"--","-"),"--","-")&amp;"-","")</f>
        <v/>
      </c>
      <c r="CI1985">
        <f>IFERROR(IF('월 가계부'!A1985="","",IF(ISNUMBER('월 가계부'!A1985),IF(AND('월 가계부'!A1985&gt;=19000101,'월 가계부'!A1985&lt;=21001231),IF(AND(MOD(INT('월 가계부'!A1985/100),100)&gt;=1,MOD(INT('월 가계부'!A1985/100),100)&lt;=12,MOD(INT('월 가계부'!A1985),100)&gt;=1,MOD(INT('월 가계부'!A1985),100)&lt;=31),IF(MONTH(DATE(INT('월 가계부'!A1985/10000),MOD(INT('월 가계부'!A1985/100),100),MOD(INT('월 가계부'!A1985),100)))=MOD(INT('월 가계부'!A1985/100),100),DATE(INT('월 가계부'!A1985/10000),MOD(INT('월 가계부'!A1985/100),100),MOD(INT('월 가계부'!A1985),100)),""),""),IF(AND('월 가계부'!A1985&gt;=36526,'월 가계부'!A1985&lt;73051),INT('월 가계부'!A1985),"")),IF(OR(CM1985="",CN1985="",CO1985=""),"",IF(AND(CM1985&gt;=2000,CM1985&lt;=2099,CN1985&gt;=1,CN1985&lt;=12,CO1985&gt;=1,CO1985&lt;=31),IF(MONTH(DATE(CM1985,CN1985,CO1985))=CN1985,DATE(CM1985,CN1985,CO1985),""),"")))),"")</f>
        <v/>
      </c>
      <c r="CJ1985">
        <f>IFERROR(IF('월 가계부'!C1985="","",IF(ISNUMBER('월 가계부'!C1985),'월 가계부'!C1985,VALUE(SUBSTITUTE(SUBSTITUTE(SUBSTITUTE(SUBSTITUTE(TRIM('월 가계부'!C1985),",",""),"원","")," ",""),"−","-")))),"")</f>
        <v/>
      </c>
      <c r="CK1985">
        <f>IF(ISNUMBER(CI1985),IF(CI1985&lt;$B$13,CI1985,""),"")</f>
        <v/>
      </c>
      <c r="CM1985">
        <f>IF(CH1985="","",IFERROR(IF(IF(AND(LEN(CH1985)=9,ISERROR(FIND("-",LEFT(CH1985,8))),ISNUMBER(-LEFT(CH1985,8))),VALUE(LEFT(CH1985,4)),VALUE(LEFT(CH1985,FIND("-",CH1985)-1)))&lt;100,IF(AND(LEN(CH1985)=9,ISERROR(FIND("-",LEFT(CH1985,8))),ISNUMBER(-LEFT(CH1985,8))),VALUE(LEFT(CH1985,4)),VALUE(LEFT(CH1985,FIND("-",CH1985)-1)))+2000,IF(AND(LEN(CH1985)=9,ISERROR(FIND("-",LEFT(CH1985,8))),ISNUMBER(-LEFT(CH1985,8))),VALUE(LEFT(CH1985,4)),VALUE(LEFT(CH1985,FIND("-",CH1985)-1)))),""))</f>
        <v/>
      </c>
      <c r="CN1985">
        <f>IF(CH1985="","",IFERROR(IF(AND(LEN(CH1985)=9,ISERROR(FIND("-",LEFT(CH1985,8))),ISNUMBER(-LEFT(CH1985,8))),VALUE(MID(CH1985,5,2)),VALUE(MID(CH1985,FIND("-",CH1985)+1,FIND("-",CH1985,FIND("-",CH1985)+1)-FIND("-",CH1985)-1))),""))</f>
        <v/>
      </c>
      <c r="CO1985">
        <f>IF(CH1985="","",IFERROR(IF(AND(LEN(CH1985)=9,ISERROR(FIND("-",LEFT(CH1985,8))),ISNUMBER(-LEFT(CH1985,8))),VALUE(MID(CH1985,7,2)),VALUE(MID(CH1985,FIND("-",CH1985,FIND("-",CH1985)+1)+1,FIND("-",CH1985,FIND("-",CH1985,FIND("-",CH1985)+1)+1)-FIND("-",CH1985,FIND("-",CH1985)+1)-1))),""))</f>
        <v/>
      </c>
    </row>
    <row r="1986">
      <c r="CH1986">
        <f>IF(ISTEXT('월 가계부'!A1986),SUBSTITUTE(SUBSTITUTE(SUBSTITUTE(SUBSTITUTE(SUBSTITUTE(SUBSTITUTE(SUBSTITUTE(SUBSTITUTE(SUBSTITUTE(TRIM('월 가계부'!A1986),"년","-"),"월","-"),"일",""),".","-"),"/","-")," ","-"),"--","-"),"--","-"),"--","-")&amp;"-","")</f>
        <v/>
      </c>
      <c r="CI1986">
        <f>IFERROR(IF('월 가계부'!A1986="","",IF(ISNUMBER('월 가계부'!A1986),IF(AND('월 가계부'!A1986&gt;=19000101,'월 가계부'!A1986&lt;=21001231),IF(AND(MOD(INT('월 가계부'!A1986/100),100)&gt;=1,MOD(INT('월 가계부'!A1986/100),100)&lt;=12,MOD(INT('월 가계부'!A1986),100)&gt;=1,MOD(INT('월 가계부'!A1986),100)&lt;=31),IF(MONTH(DATE(INT('월 가계부'!A1986/10000),MOD(INT('월 가계부'!A1986/100),100),MOD(INT('월 가계부'!A1986),100)))=MOD(INT('월 가계부'!A1986/100),100),DATE(INT('월 가계부'!A1986/10000),MOD(INT('월 가계부'!A1986/100),100),MOD(INT('월 가계부'!A1986),100)),""),""),IF(AND('월 가계부'!A1986&gt;=36526,'월 가계부'!A1986&lt;73051),INT('월 가계부'!A1986),"")),IF(OR(CM1986="",CN1986="",CO1986=""),"",IF(AND(CM1986&gt;=2000,CM1986&lt;=2099,CN1986&gt;=1,CN1986&lt;=12,CO1986&gt;=1,CO1986&lt;=31),IF(MONTH(DATE(CM1986,CN1986,CO1986))=CN1986,DATE(CM1986,CN1986,CO1986),""),"")))),"")</f>
        <v/>
      </c>
      <c r="CJ1986">
        <f>IFERROR(IF('월 가계부'!C1986="","",IF(ISNUMBER('월 가계부'!C1986),'월 가계부'!C1986,VALUE(SUBSTITUTE(SUBSTITUTE(SUBSTITUTE(SUBSTITUTE(TRIM('월 가계부'!C1986),",",""),"원","")," ",""),"−","-")))),"")</f>
        <v/>
      </c>
      <c r="CK1986">
        <f>IF(ISNUMBER(CI1986),IF(CI1986&lt;$B$13,CI1986,""),"")</f>
        <v/>
      </c>
      <c r="CM1986">
        <f>IF(CH1986="","",IFERROR(IF(IF(AND(LEN(CH1986)=9,ISERROR(FIND("-",LEFT(CH1986,8))),ISNUMBER(-LEFT(CH1986,8))),VALUE(LEFT(CH1986,4)),VALUE(LEFT(CH1986,FIND("-",CH1986)-1)))&lt;100,IF(AND(LEN(CH1986)=9,ISERROR(FIND("-",LEFT(CH1986,8))),ISNUMBER(-LEFT(CH1986,8))),VALUE(LEFT(CH1986,4)),VALUE(LEFT(CH1986,FIND("-",CH1986)-1)))+2000,IF(AND(LEN(CH1986)=9,ISERROR(FIND("-",LEFT(CH1986,8))),ISNUMBER(-LEFT(CH1986,8))),VALUE(LEFT(CH1986,4)),VALUE(LEFT(CH1986,FIND("-",CH1986)-1)))),""))</f>
        <v/>
      </c>
      <c r="CN1986">
        <f>IF(CH1986="","",IFERROR(IF(AND(LEN(CH1986)=9,ISERROR(FIND("-",LEFT(CH1986,8))),ISNUMBER(-LEFT(CH1986,8))),VALUE(MID(CH1986,5,2)),VALUE(MID(CH1986,FIND("-",CH1986)+1,FIND("-",CH1986,FIND("-",CH1986)+1)-FIND("-",CH1986)-1))),""))</f>
        <v/>
      </c>
      <c r="CO1986">
        <f>IF(CH1986="","",IFERROR(IF(AND(LEN(CH1986)=9,ISERROR(FIND("-",LEFT(CH1986,8))),ISNUMBER(-LEFT(CH1986,8))),VALUE(MID(CH1986,7,2)),VALUE(MID(CH1986,FIND("-",CH1986,FIND("-",CH1986)+1)+1,FIND("-",CH1986,FIND("-",CH1986,FIND("-",CH1986)+1)+1)-FIND("-",CH1986,FIND("-",CH1986)+1)-1))),""))</f>
        <v/>
      </c>
    </row>
    <row r="1987">
      <c r="CH1987">
        <f>IF(ISTEXT('월 가계부'!A1987),SUBSTITUTE(SUBSTITUTE(SUBSTITUTE(SUBSTITUTE(SUBSTITUTE(SUBSTITUTE(SUBSTITUTE(SUBSTITUTE(SUBSTITUTE(TRIM('월 가계부'!A1987),"년","-"),"월","-"),"일",""),".","-"),"/","-")," ","-"),"--","-"),"--","-"),"--","-")&amp;"-","")</f>
        <v/>
      </c>
      <c r="CI1987">
        <f>IFERROR(IF('월 가계부'!A1987="","",IF(ISNUMBER('월 가계부'!A1987),IF(AND('월 가계부'!A1987&gt;=19000101,'월 가계부'!A1987&lt;=21001231),IF(AND(MOD(INT('월 가계부'!A1987/100),100)&gt;=1,MOD(INT('월 가계부'!A1987/100),100)&lt;=12,MOD(INT('월 가계부'!A1987),100)&gt;=1,MOD(INT('월 가계부'!A1987),100)&lt;=31),IF(MONTH(DATE(INT('월 가계부'!A1987/10000),MOD(INT('월 가계부'!A1987/100),100),MOD(INT('월 가계부'!A1987),100)))=MOD(INT('월 가계부'!A1987/100),100),DATE(INT('월 가계부'!A1987/10000),MOD(INT('월 가계부'!A1987/100),100),MOD(INT('월 가계부'!A1987),100)),""),""),IF(AND('월 가계부'!A1987&gt;=36526,'월 가계부'!A1987&lt;73051),INT('월 가계부'!A1987),"")),IF(OR(CM1987="",CN1987="",CO1987=""),"",IF(AND(CM1987&gt;=2000,CM1987&lt;=2099,CN1987&gt;=1,CN1987&lt;=12,CO1987&gt;=1,CO1987&lt;=31),IF(MONTH(DATE(CM1987,CN1987,CO1987))=CN1987,DATE(CM1987,CN1987,CO1987),""),"")))),"")</f>
        <v/>
      </c>
      <c r="CJ1987">
        <f>IFERROR(IF('월 가계부'!C1987="","",IF(ISNUMBER('월 가계부'!C1987),'월 가계부'!C1987,VALUE(SUBSTITUTE(SUBSTITUTE(SUBSTITUTE(SUBSTITUTE(TRIM('월 가계부'!C1987),",",""),"원","")," ",""),"−","-")))),"")</f>
        <v/>
      </c>
      <c r="CK1987">
        <f>IF(ISNUMBER(CI1987),IF(CI1987&lt;$B$13,CI1987,""),"")</f>
        <v/>
      </c>
      <c r="CM1987">
        <f>IF(CH1987="","",IFERROR(IF(IF(AND(LEN(CH1987)=9,ISERROR(FIND("-",LEFT(CH1987,8))),ISNUMBER(-LEFT(CH1987,8))),VALUE(LEFT(CH1987,4)),VALUE(LEFT(CH1987,FIND("-",CH1987)-1)))&lt;100,IF(AND(LEN(CH1987)=9,ISERROR(FIND("-",LEFT(CH1987,8))),ISNUMBER(-LEFT(CH1987,8))),VALUE(LEFT(CH1987,4)),VALUE(LEFT(CH1987,FIND("-",CH1987)-1)))+2000,IF(AND(LEN(CH1987)=9,ISERROR(FIND("-",LEFT(CH1987,8))),ISNUMBER(-LEFT(CH1987,8))),VALUE(LEFT(CH1987,4)),VALUE(LEFT(CH1987,FIND("-",CH1987)-1)))),""))</f>
        <v/>
      </c>
      <c r="CN1987">
        <f>IF(CH1987="","",IFERROR(IF(AND(LEN(CH1987)=9,ISERROR(FIND("-",LEFT(CH1987,8))),ISNUMBER(-LEFT(CH1987,8))),VALUE(MID(CH1987,5,2)),VALUE(MID(CH1987,FIND("-",CH1987)+1,FIND("-",CH1987,FIND("-",CH1987)+1)-FIND("-",CH1987)-1))),""))</f>
        <v/>
      </c>
      <c r="CO1987">
        <f>IF(CH1987="","",IFERROR(IF(AND(LEN(CH1987)=9,ISERROR(FIND("-",LEFT(CH1987,8))),ISNUMBER(-LEFT(CH1987,8))),VALUE(MID(CH1987,7,2)),VALUE(MID(CH1987,FIND("-",CH1987,FIND("-",CH1987)+1)+1,FIND("-",CH1987,FIND("-",CH1987,FIND("-",CH1987)+1)+1)-FIND("-",CH1987,FIND("-",CH1987)+1)-1))),""))</f>
        <v/>
      </c>
    </row>
    <row r="1988">
      <c r="CH1988">
        <f>IF(ISTEXT('월 가계부'!A1988),SUBSTITUTE(SUBSTITUTE(SUBSTITUTE(SUBSTITUTE(SUBSTITUTE(SUBSTITUTE(SUBSTITUTE(SUBSTITUTE(SUBSTITUTE(TRIM('월 가계부'!A1988),"년","-"),"월","-"),"일",""),".","-"),"/","-")," ","-"),"--","-"),"--","-"),"--","-")&amp;"-","")</f>
        <v/>
      </c>
      <c r="CI1988">
        <f>IFERROR(IF('월 가계부'!A1988="","",IF(ISNUMBER('월 가계부'!A1988),IF(AND('월 가계부'!A1988&gt;=19000101,'월 가계부'!A1988&lt;=21001231),IF(AND(MOD(INT('월 가계부'!A1988/100),100)&gt;=1,MOD(INT('월 가계부'!A1988/100),100)&lt;=12,MOD(INT('월 가계부'!A1988),100)&gt;=1,MOD(INT('월 가계부'!A1988),100)&lt;=31),IF(MONTH(DATE(INT('월 가계부'!A1988/10000),MOD(INT('월 가계부'!A1988/100),100),MOD(INT('월 가계부'!A1988),100)))=MOD(INT('월 가계부'!A1988/100),100),DATE(INT('월 가계부'!A1988/10000),MOD(INT('월 가계부'!A1988/100),100),MOD(INT('월 가계부'!A1988),100)),""),""),IF(AND('월 가계부'!A1988&gt;=36526,'월 가계부'!A1988&lt;73051),INT('월 가계부'!A1988),"")),IF(OR(CM1988="",CN1988="",CO1988=""),"",IF(AND(CM1988&gt;=2000,CM1988&lt;=2099,CN1988&gt;=1,CN1988&lt;=12,CO1988&gt;=1,CO1988&lt;=31),IF(MONTH(DATE(CM1988,CN1988,CO1988))=CN1988,DATE(CM1988,CN1988,CO1988),""),"")))),"")</f>
        <v/>
      </c>
      <c r="CJ1988">
        <f>IFERROR(IF('월 가계부'!C1988="","",IF(ISNUMBER('월 가계부'!C1988),'월 가계부'!C1988,VALUE(SUBSTITUTE(SUBSTITUTE(SUBSTITUTE(SUBSTITUTE(TRIM('월 가계부'!C1988),",",""),"원","")," ",""),"−","-")))),"")</f>
        <v/>
      </c>
      <c r="CK1988">
        <f>IF(ISNUMBER(CI1988),IF(CI1988&lt;$B$13,CI1988,""),"")</f>
        <v/>
      </c>
      <c r="CM1988">
        <f>IF(CH1988="","",IFERROR(IF(IF(AND(LEN(CH1988)=9,ISERROR(FIND("-",LEFT(CH1988,8))),ISNUMBER(-LEFT(CH1988,8))),VALUE(LEFT(CH1988,4)),VALUE(LEFT(CH1988,FIND("-",CH1988)-1)))&lt;100,IF(AND(LEN(CH1988)=9,ISERROR(FIND("-",LEFT(CH1988,8))),ISNUMBER(-LEFT(CH1988,8))),VALUE(LEFT(CH1988,4)),VALUE(LEFT(CH1988,FIND("-",CH1988)-1)))+2000,IF(AND(LEN(CH1988)=9,ISERROR(FIND("-",LEFT(CH1988,8))),ISNUMBER(-LEFT(CH1988,8))),VALUE(LEFT(CH1988,4)),VALUE(LEFT(CH1988,FIND("-",CH1988)-1)))),""))</f>
        <v/>
      </c>
      <c r="CN1988">
        <f>IF(CH1988="","",IFERROR(IF(AND(LEN(CH1988)=9,ISERROR(FIND("-",LEFT(CH1988,8))),ISNUMBER(-LEFT(CH1988,8))),VALUE(MID(CH1988,5,2)),VALUE(MID(CH1988,FIND("-",CH1988)+1,FIND("-",CH1988,FIND("-",CH1988)+1)-FIND("-",CH1988)-1))),""))</f>
        <v/>
      </c>
      <c r="CO1988">
        <f>IF(CH1988="","",IFERROR(IF(AND(LEN(CH1988)=9,ISERROR(FIND("-",LEFT(CH1988,8))),ISNUMBER(-LEFT(CH1988,8))),VALUE(MID(CH1988,7,2)),VALUE(MID(CH1988,FIND("-",CH1988,FIND("-",CH1988)+1)+1,FIND("-",CH1988,FIND("-",CH1988,FIND("-",CH1988)+1)+1)-FIND("-",CH1988,FIND("-",CH1988)+1)-1))),""))</f>
        <v/>
      </c>
    </row>
    <row r="1989">
      <c r="CH1989">
        <f>IF(ISTEXT('월 가계부'!A1989),SUBSTITUTE(SUBSTITUTE(SUBSTITUTE(SUBSTITUTE(SUBSTITUTE(SUBSTITUTE(SUBSTITUTE(SUBSTITUTE(SUBSTITUTE(TRIM('월 가계부'!A1989),"년","-"),"월","-"),"일",""),".","-"),"/","-")," ","-"),"--","-"),"--","-"),"--","-")&amp;"-","")</f>
        <v/>
      </c>
      <c r="CI1989">
        <f>IFERROR(IF('월 가계부'!A1989="","",IF(ISNUMBER('월 가계부'!A1989),IF(AND('월 가계부'!A1989&gt;=19000101,'월 가계부'!A1989&lt;=21001231),IF(AND(MOD(INT('월 가계부'!A1989/100),100)&gt;=1,MOD(INT('월 가계부'!A1989/100),100)&lt;=12,MOD(INT('월 가계부'!A1989),100)&gt;=1,MOD(INT('월 가계부'!A1989),100)&lt;=31),IF(MONTH(DATE(INT('월 가계부'!A1989/10000),MOD(INT('월 가계부'!A1989/100),100),MOD(INT('월 가계부'!A1989),100)))=MOD(INT('월 가계부'!A1989/100),100),DATE(INT('월 가계부'!A1989/10000),MOD(INT('월 가계부'!A1989/100),100),MOD(INT('월 가계부'!A1989),100)),""),""),IF(AND('월 가계부'!A1989&gt;=36526,'월 가계부'!A1989&lt;73051),INT('월 가계부'!A1989),"")),IF(OR(CM1989="",CN1989="",CO1989=""),"",IF(AND(CM1989&gt;=2000,CM1989&lt;=2099,CN1989&gt;=1,CN1989&lt;=12,CO1989&gt;=1,CO1989&lt;=31),IF(MONTH(DATE(CM1989,CN1989,CO1989))=CN1989,DATE(CM1989,CN1989,CO1989),""),"")))),"")</f>
        <v/>
      </c>
      <c r="CJ1989">
        <f>IFERROR(IF('월 가계부'!C1989="","",IF(ISNUMBER('월 가계부'!C1989),'월 가계부'!C1989,VALUE(SUBSTITUTE(SUBSTITUTE(SUBSTITUTE(SUBSTITUTE(TRIM('월 가계부'!C1989),",",""),"원","")," ",""),"−","-")))),"")</f>
        <v/>
      </c>
      <c r="CK1989">
        <f>IF(ISNUMBER(CI1989),IF(CI1989&lt;$B$13,CI1989,""),"")</f>
        <v/>
      </c>
      <c r="CM1989">
        <f>IF(CH1989="","",IFERROR(IF(IF(AND(LEN(CH1989)=9,ISERROR(FIND("-",LEFT(CH1989,8))),ISNUMBER(-LEFT(CH1989,8))),VALUE(LEFT(CH1989,4)),VALUE(LEFT(CH1989,FIND("-",CH1989)-1)))&lt;100,IF(AND(LEN(CH1989)=9,ISERROR(FIND("-",LEFT(CH1989,8))),ISNUMBER(-LEFT(CH1989,8))),VALUE(LEFT(CH1989,4)),VALUE(LEFT(CH1989,FIND("-",CH1989)-1)))+2000,IF(AND(LEN(CH1989)=9,ISERROR(FIND("-",LEFT(CH1989,8))),ISNUMBER(-LEFT(CH1989,8))),VALUE(LEFT(CH1989,4)),VALUE(LEFT(CH1989,FIND("-",CH1989)-1)))),""))</f>
        <v/>
      </c>
      <c r="CN1989">
        <f>IF(CH1989="","",IFERROR(IF(AND(LEN(CH1989)=9,ISERROR(FIND("-",LEFT(CH1989,8))),ISNUMBER(-LEFT(CH1989,8))),VALUE(MID(CH1989,5,2)),VALUE(MID(CH1989,FIND("-",CH1989)+1,FIND("-",CH1989,FIND("-",CH1989)+1)-FIND("-",CH1989)-1))),""))</f>
        <v/>
      </c>
      <c r="CO1989">
        <f>IF(CH1989="","",IFERROR(IF(AND(LEN(CH1989)=9,ISERROR(FIND("-",LEFT(CH1989,8))),ISNUMBER(-LEFT(CH1989,8))),VALUE(MID(CH1989,7,2)),VALUE(MID(CH1989,FIND("-",CH1989,FIND("-",CH1989)+1)+1,FIND("-",CH1989,FIND("-",CH1989,FIND("-",CH1989)+1)+1)-FIND("-",CH1989,FIND("-",CH1989)+1)-1))),""))</f>
        <v/>
      </c>
    </row>
    <row r="1990">
      <c r="CH1990">
        <f>IF(ISTEXT('월 가계부'!A1990),SUBSTITUTE(SUBSTITUTE(SUBSTITUTE(SUBSTITUTE(SUBSTITUTE(SUBSTITUTE(SUBSTITUTE(SUBSTITUTE(SUBSTITUTE(TRIM('월 가계부'!A1990),"년","-"),"월","-"),"일",""),".","-"),"/","-")," ","-"),"--","-"),"--","-"),"--","-")&amp;"-","")</f>
        <v/>
      </c>
      <c r="CI1990">
        <f>IFERROR(IF('월 가계부'!A1990="","",IF(ISNUMBER('월 가계부'!A1990),IF(AND('월 가계부'!A1990&gt;=19000101,'월 가계부'!A1990&lt;=21001231),IF(AND(MOD(INT('월 가계부'!A1990/100),100)&gt;=1,MOD(INT('월 가계부'!A1990/100),100)&lt;=12,MOD(INT('월 가계부'!A1990),100)&gt;=1,MOD(INT('월 가계부'!A1990),100)&lt;=31),IF(MONTH(DATE(INT('월 가계부'!A1990/10000),MOD(INT('월 가계부'!A1990/100),100),MOD(INT('월 가계부'!A1990),100)))=MOD(INT('월 가계부'!A1990/100),100),DATE(INT('월 가계부'!A1990/10000),MOD(INT('월 가계부'!A1990/100),100),MOD(INT('월 가계부'!A1990),100)),""),""),IF(AND('월 가계부'!A1990&gt;=36526,'월 가계부'!A1990&lt;73051),INT('월 가계부'!A1990),"")),IF(OR(CM1990="",CN1990="",CO1990=""),"",IF(AND(CM1990&gt;=2000,CM1990&lt;=2099,CN1990&gt;=1,CN1990&lt;=12,CO1990&gt;=1,CO1990&lt;=31),IF(MONTH(DATE(CM1990,CN1990,CO1990))=CN1990,DATE(CM1990,CN1990,CO1990),""),"")))),"")</f>
        <v/>
      </c>
      <c r="CJ1990">
        <f>IFERROR(IF('월 가계부'!C1990="","",IF(ISNUMBER('월 가계부'!C1990),'월 가계부'!C1990,VALUE(SUBSTITUTE(SUBSTITUTE(SUBSTITUTE(SUBSTITUTE(TRIM('월 가계부'!C1990),",",""),"원","")," ",""),"−","-")))),"")</f>
        <v/>
      </c>
      <c r="CK1990">
        <f>IF(ISNUMBER(CI1990),IF(CI1990&lt;$B$13,CI1990,""),"")</f>
        <v/>
      </c>
      <c r="CM1990">
        <f>IF(CH1990="","",IFERROR(IF(IF(AND(LEN(CH1990)=9,ISERROR(FIND("-",LEFT(CH1990,8))),ISNUMBER(-LEFT(CH1990,8))),VALUE(LEFT(CH1990,4)),VALUE(LEFT(CH1990,FIND("-",CH1990)-1)))&lt;100,IF(AND(LEN(CH1990)=9,ISERROR(FIND("-",LEFT(CH1990,8))),ISNUMBER(-LEFT(CH1990,8))),VALUE(LEFT(CH1990,4)),VALUE(LEFT(CH1990,FIND("-",CH1990)-1)))+2000,IF(AND(LEN(CH1990)=9,ISERROR(FIND("-",LEFT(CH1990,8))),ISNUMBER(-LEFT(CH1990,8))),VALUE(LEFT(CH1990,4)),VALUE(LEFT(CH1990,FIND("-",CH1990)-1)))),""))</f>
        <v/>
      </c>
      <c r="CN1990">
        <f>IF(CH1990="","",IFERROR(IF(AND(LEN(CH1990)=9,ISERROR(FIND("-",LEFT(CH1990,8))),ISNUMBER(-LEFT(CH1990,8))),VALUE(MID(CH1990,5,2)),VALUE(MID(CH1990,FIND("-",CH1990)+1,FIND("-",CH1990,FIND("-",CH1990)+1)-FIND("-",CH1990)-1))),""))</f>
        <v/>
      </c>
      <c r="CO1990">
        <f>IF(CH1990="","",IFERROR(IF(AND(LEN(CH1990)=9,ISERROR(FIND("-",LEFT(CH1990,8))),ISNUMBER(-LEFT(CH1990,8))),VALUE(MID(CH1990,7,2)),VALUE(MID(CH1990,FIND("-",CH1990,FIND("-",CH1990)+1)+1,FIND("-",CH1990,FIND("-",CH1990,FIND("-",CH1990)+1)+1)-FIND("-",CH1990,FIND("-",CH1990)+1)-1))),""))</f>
        <v/>
      </c>
    </row>
    <row r="1991">
      <c r="CH1991">
        <f>IF(ISTEXT('월 가계부'!A1991),SUBSTITUTE(SUBSTITUTE(SUBSTITUTE(SUBSTITUTE(SUBSTITUTE(SUBSTITUTE(SUBSTITUTE(SUBSTITUTE(SUBSTITUTE(TRIM('월 가계부'!A1991),"년","-"),"월","-"),"일",""),".","-"),"/","-")," ","-"),"--","-"),"--","-"),"--","-")&amp;"-","")</f>
        <v/>
      </c>
      <c r="CI1991">
        <f>IFERROR(IF('월 가계부'!A1991="","",IF(ISNUMBER('월 가계부'!A1991),IF(AND('월 가계부'!A1991&gt;=19000101,'월 가계부'!A1991&lt;=21001231),IF(AND(MOD(INT('월 가계부'!A1991/100),100)&gt;=1,MOD(INT('월 가계부'!A1991/100),100)&lt;=12,MOD(INT('월 가계부'!A1991),100)&gt;=1,MOD(INT('월 가계부'!A1991),100)&lt;=31),IF(MONTH(DATE(INT('월 가계부'!A1991/10000),MOD(INT('월 가계부'!A1991/100),100),MOD(INT('월 가계부'!A1991),100)))=MOD(INT('월 가계부'!A1991/100),100),DATE(INT('월 가계부'!A1991/10000),MOD(INT('월 가계부'!A1991/100),100),MOD(INT('월 가계부'!A1991),100)),""),""),IF(AND('월 가계부'!A1991&gt;=36526,'월 가계부'!A1991&lt;73051),INT('월 가계부'!A1991),"")),IF(OR(CM1991="",CN1991="",CO1991=""),"",IF(AND(CM1991&gt;=2000,CM1991&lt;=2099,CN1991&gt;=1,CN1991&lt;=12,CO1991&gt;=1,CO1991&lt;=31),IF(MONTH(DATE(CM1991,CN1991,CO1991))=CN1991,DATE(CM1991,CN1991,CO1991),""),"")))),"")</f>
        <v/>
      </c>
      <c r="CJ1991">
        <f>IFERROR(IF('월 가계부'!C1991="","",IF(ISNUMBER('월 가계부'!C1991),'월 가계부'!C1991,VALUE(SUBSTITUTE(SUBSTITUTE(SUBSTITUTE(SUBSTITUTE(TRIM('월 가계부'!C1991),",",""),"원","")," ",""),"−","-")))),"")</f>
        <v/>
      </c>
      <c r="CK1991">
        <f>IF(ISNUMBER(CI1991),IF(CI1991&lt;$B$13,CI1991,""),"")</f>
        <v/>
      </c>
      <c r="CM1991">
        <f>IF(CH1991="","",IFERROR(IF(IF(AND(LEN(CH1991)=9,ISERROR(FIND("-",LEFT(CH1991,8))),ISNUMBER(-LEFT(CH1991,8))),VALUE(LEFT(CH1991,4)),VALUE(LEFT(CH1991,FIND("-",CH1991)-1)))&lt;100,IF(AND(LEN(CH1991)=9,ISERROR(FIND("-",LEFT(CH1991,8))),ISNUMBER(-LEFT(CH1991,8))),VALUE(LEFT(CH1991,4)),VALUE(LEFT(CH1991,FIND("-",CH1991)-1)))+2000,IF(AND(LEN(CH1991)=9,ISERROR(FIND("-",LEFT(CH1991,8))),ISNUMBER(-LEFT(CH1991,8))),VALUE(LEFT(CH1991,4)),VALUE(LEFT(CH1991,FIND("-",CH1991)-1)))),""))</f>
        <v/>
      </c>
      <c r="CN1991">
        <f>IF(CH1991="","",IFERROR(IF(AND(LEN(CH1991)=9,ISERROR(FIND("-",LEFT(CH1991,8))),ISNUMBER(-LEFT(CH1991,8))),VALUE(MID(CH1991,5,2)),VALUE(MID(CH1991,FIND("-",CH1991)+1,FIND("-",CH1991,FIND("-",CH1991)+1)-FIND("-",CH1991)-1))),""))</f>
        <v/>
      </c>
      <c r="CO1991">
        <f>IF(CH1991="","",IFERROR(IF(AND(LEN(CH1991)=9,ISERROR(FIND("-",LEFT(CH1991,8))),ISNUMBER(-LEFT(CH1991,8))),VALUE(MID(CH1991,7,2)),VALUE(MID(CH1991,FIND("-",CH1991,FIND("-",CH1991)+1)+1,FIND("-",CH1991,FIND("-",CH1991,FIND("-",CH1991)+1)+1)-FIND("-",CH1991,FIND("-",CH1991)+1)-1))),""))</f>
        <v/>
      </c>
    </row>
    <row r="1992">
      <c r="CH1992">
        <f>IF(ISTEXT('월 가계부'!A1992),SUBSTITUTE(SUBSTITUTE(SUBSTITUTE(SUBSTITUTE(SUBSTITUTE(SUBSTITUTE(SUBSTITUTE(SUBSTITUTE(SUBSTITUTE(TRIM('월 가계부'!A1992),"년","-"),"월","-"),"일",""),".","-"),"/","-")," ","-"),"--","-"),"--","-"),"--","-")&amp;"-","")</f>
        <v/>
      </c>
      <c r="CI1992">
        <f>IFERROR(IF('월 가계부'!A1992="","",IF(ISNUMBER('월 가계부'!A1992),IF(AND('월 가계부'!A1992&gt;=19000101,'월 가계부'!A1992&lt;=21001231),IF(AND(MOD(INT('월 가계부'!A1992/100),100)&gt;=1,MOD(INT('월 가계부'!A1992/100),100)&lt;=12,MOD(INT('월 가계부'!A1992),100)&gt;=1,MOD(INT('월 가계부'!A1992),100)&lt;=31),IF(MONTH(DATE(INT('월 가계부'!A1992/10000),MOD(INT('월 가계부'!A1992/100),100),MOD(INT('월 가계부'!A1992),100)))=MOD(INT('월 가계부'!A1992/100),100),DATE(INT('월 가계부'!A1992/10000),MOD(INT('월 가계부'!A1992/100),100),MOD(INT('월 가계부'!A1992),100)),""),""),IF(AND('월 가계부'!A1992&gt;=36526,'월 가계부'!A1992&lt;73051),INT('월 가계부'!A1992),"")),IF(OR(CM1992="",CN1992="",CO1992=""),"",IF(AND(CM1992&gt;=2000,CM1992&lt;=2099,CN1992&gt;=1,CN1992&lt;=12,CO1992&gt;=1,CO1992&lt;=31),IF(MONTH(DATE(CM1992,CN1992,CO1992))=CN1992,DATE(CM1992,CN1992,CO1992),""),"")))),"")</f>
        <v/>
      </c>
      <c r="CJ1992">
        <f>IFERROR(IF('월 가계부'!C1992="","",IF(ISNUMBER('월 가계부'!C1992),'월 가계부'!C1992,VALUE(SUBSTITUTE(SUBSTITUTE(SUBSTITUTE(SUBSTITUTE(TRIM('월 가계부'!C1992),",",""),"원","")," ",""),"−","-")))),"")</f>
        <v/>
      </c>
      <c r="CK1992">
        <f>IF(ISNUMBER(CI1992),IF(CI1992&lt;$B$13,CI1992,""),"")</f>
        <v/>
      </c>
      <c r="CM1992">
        <f>IF(CH1992="","",IFERROR(IF(IF(AND(LEN(CH1992)=9,ISERROR(FIND("-",LEFT(CH1992,8))),ISNUMBER(-LEFT(CH1992,8))),VALUE(LEFT(CH1992,4)),VALUE(LEFT(CH1992,FIND("-",CH1992)-1)))&lt;100,IF(AND(LEN(CH1992)=9,ISERROR(FIND("-",LEFT(CH1992,8))),ISNUMBER(-LEFT(CH1992,8))),VALUE(LEFT(CH1992,4)),VALUE(LEFT(CH1992,FIND("-",CH1992)-1)))+2000,IF(AND(LEN(CH1992)=9,ISERROR(FIND("-",LEFT(CH1992,8))),ISNUMBER(-LEFT(CH1992,8))),VALUE(LEFT(CH1992,4)),VALUE(LEFT(CH1992,FIND("-",CH1992)-1)))),""))</f>
        <v/>
      </c>
      <c r="CN1992">
        <f>IF(CH1992="","",IFERROR(IF(AND(LEN(CH1992)=9,ISERROR(FIND("-",LEFT(CH1992,8))),ISNUMBER(-LEFT(CH1992,8))),VALUE(MID(CH1992,5,2)),VALUE(MID(CH1992,FIND("-",CH1992)+1,FIND("-",CH1992,FIND("-",CH1992)+1)-FIND("-",CH1992)-1))),""))</f>
        <v/>
      </c>
      <c r="CO1992">
        <f>IF(CH1992="","",IFERROR(IF(AND(LEN(CH1992)=9,ISERROR(FIND("-",LEFT(CH1992,8))),ISNUMBER(-LEFT(CH1992,8))),VALUE(MID(CH1992,7,2)),VALUE(MID(CH1992,FIND("-",CH1992,FIND("-",CH1992)+1)+1,FIND("-",CH1992,FIND("-",CH1992,FIND("-",CH1992)+1)+1)-FIND("-",CH1992,FIND("-",CH1992)+1)-1))),""))</f>
        <v/>
      </c>
    </row>
    <row r="1993">
      <c r="CH1993">
        <f>IF(ISTEXT('월 가계부'!A1993),SUBSTITUTE(SUBSTITUTE(SUBSTITUTE(SUBSTITUTE(SUBSTITUTE(SUBSTITUTE(SUBSTITUTE(SUBSTITUTE(SUBSTITUTE(TRIM('월 가계부'!A1993),"년","-"),"월","-"),"일",""),".","-"),"/","-")," ","-"),"--","-"),"--","-"),"--","-")&amp;"-","")</f>
        <v/>
      </c>
      <c r="CI1993">
        <f>IFERROR(IF('월 가계부'!A1993="","",IF(ISNUMBER('월 가계부'!A1993),IF(AND('월 가계부'!A1993&gt;=19000101,'월 가계부'!A1993&lt;=21001231),IF(AND(MOD(INT('월 가계부'!A1993/100),100)&gt;=1,MOD(INT('월 가계부'!A1993/100),100)&lt;=12,MOD(INT('월 가계부'!A1993),100)&gt;=1,MOD(INT('월 가계부'!A1993),100)&lt;=31),IF(MONTH(DATE(INT('월 가계부'!A1993/10000),MOD(INT('월 가계부'!A1993/100),100),MOD(INT('월 가계부'!A1993),100)))=MOD(INT('월 가계부'!A1993/100),100),DATE(INT('월 가계부'!A1993/10000),MOD(INT('월 가계부'!A1993/100),100),MOD(INT('월 가계부'!A1993),100)),""),""),IF(AND('월 가계부'!A1993&gt;=36526,'월 가계부'!A1993&lt;73051),INT('월 가계부'!A1993),"")),IF(OR(CM1993="",CN1993="",CO1993=""),"",IF(AND(CM1993&gt;=2000,CM1993&lt;=2099,CN1993&gt;=1,CN1993&lt;=12,CO1993&gt;=1,CO1993&lt;=31),IF(MONTH(DATE(CM1993,CN1993,CO1993))=CN1993,DATE(CM1993,CN1993,CO1993),""),"")))),"")</f>
        <v/>
      </c>
      <c r="CJ1993">
        <f>IFERROR(IF('월 가계부'!C1993="","",IF(ISNUMBER('월 가계부'!C1993),'월 가계부'!C1993,VALUE(SUBSTITUTE(SUBSTITUTE(SUBSTITUTE(SUBSTITUTE(TRIM('월 가계부'!C1993),",",""),"원","")," ",""),"−","-")))),"")</f>
        <v/>
      </c>
      <c r="CK1993">
        <f>IF(ISNUMBER(CI1993),IF(CI1993&lt;$B$13,CI1993,""),"")</f>
        <v/>
      </c>
      <c r="CM1993">
        <f>IF(CH1993="","",IFERROR(IF(IF(AND(LEN(CH1993)=9,ISERROR(FIND("-",LEFT(CH1993,8))),ISNUMBER(-LEFT(CH1993,8))),VALUE(LEFT(CH1993,4)),VALUE(LEFT(CH1993,FIND("-",CH1993)-1)))&lt;100,IF(AND(LEN(CH1993)=9,ISERROR(FIND("-",LEFT(CH1993,8))),ISNUMBER(-LEFT(CH1993,8))),VALUE(LEFT(CH1993,4)),VALUE(LEFT(CH1993,FIND("-",CH1993)-1)))+2000,IF(AND(LEN(CH1993)=9,ISERROR(FIND("-",LEFT(CH1993,8))),ISNUMBER(-LEFT(CH1993,8))),VALUE(LEFT(CH1993,4)),VALUE(LEFT(CH1993,FIND("-",CH1993)-1)))),""))</f>
        <v/>
      </c>
      <c r="CN1993">
        <f>IF(CH1993="","",IFERROR(IF(AND(LEN(CH1993)=9,ISERROR(FIND("-",LEFT(CH1993,8))),ISNUMBER(-LEFT(CH1993,8))),VALUE(MID(CH1993,5,2)),VALUE(MID(CH1993,FIND("-",CH1993)+1,FIND("-",CH1993,FIND("-",CH1993)+1)-FIND("-",CH1993)-1))),""))</f>
        <v/>
      </c>
      <c r="CO1993">
        <f>IF(CH1993="","",IFERROR(IF(AND(LEN(CH1993)=9,ISERROR(FIND("-",LEFT(CH1993,8))),ISNUMBER(-LEFT(CH1993,8))),VALUE(MID(CH1993,7,2)),VALUE(MID(CH1993,FIND("-",CH1993,FIND("-",CH1993)+1)+1,FIND("-",CH1993,FIND("-",CH1993,FIND("-",CH1993)+1)+1)-FIND("-",CH1993,FIND("-",CH1993)+1)-1))),""))</f>
        <v/>
      </c>
    </row>
    <row r="1994">
      <c r="CH1994">
        <f>IF(ISTEXT('월 가계부'!A1994),SUBSTITUTE(SUBSTITUTE(SUBSTITUTE(SUBSTITUTE(SUBSTITUTE(SUBSTITUTE(SUBSTITUTE(SUBSTITUTE(SUBSTITUTE(TRIM('월 가계부'!A1994),"년","-"),"월","-"),"일",""),".","-"),"/","-")," ","-"),"--","-"),"--","-"),"--","-")&amp;"-","")</f>
        <v/>
      </c>
      <c r="CI1994">
        <f>IFERROR(IF('월 가계부'!A1994="","",IF(ISNUMBER('월 가계부'!A1994),IF(AND('월 가계부'!A1994&gt;=19000101,'월 가계부'!A1994&lt;=21001231),IF(AND(MOD(INT('월 가계부'!A1994/100),100)&gt;=1,MOD(INT('월 가계부'!A1994/100),100)&lt;=12,MOD(INT('월 가계부'!A1994),100)&gt;=1,MOD(INT('월 가계부'!A1994),100)&lt;=31),IF(MONTH(DATE(INT('월 가계부'!A1994/10000),MOD(INT('월 가계부'!A1994/100),100),MOD(INT('월 가계부'!A1994),100)))=MOD(INT('월 가계부'!A1994/100),100),DATE(INT('월 가계부'!A1994/10000),MOD(INT('월 가계부'!A1994/100),100),MOD(INT('월 가계부'!A1994),100)),""),""),IF(AND('월 가계부'!A1994&gt;=36526,'월 가계부'!A1994&lt;73051),INT('월 가계부'!A1994),"")),IF(OR(CM1994="",CN1994="",CO1994=""),"",IF(AND(CM1994&gt;=2000,CM1994&lt;=2099,CN1994&gt;=1,CN1994&lt;=12,CO1994&gt;=1,CO1994&lt;=31),IF(MONTH(DATE(CM1994,CN1994,CO1994))=CN1994,DATE(CM1994,CN1994,CO1994),""),"")))),"")</f>
        <v/>
      </c>
      <c r="CJ1994">
        <f>IFERROR(IF('월 가계부'!C1994="","",IF(ISNUMBER('월 가계부'!C1994),'월 가계부'!C1994,VALUE(SUBSTITUTE(SUBSTITUTE(SUBSTITUTE(SUBSTITUTE(TRIM('월 가계부'!C1994),",",""),"원","")," ",""),"−","-")))),"")</f>
        <v/>
      </c>
      <c r="CK1994">
        <f>IF(ISNUMBER(CI1994),IF(CI1994&lt;$B$13,CI1994,""),"")</f>
        <v/>
      </c>
      <c r="CM1994">
        <f>IF(CH1994="","",IFERROR(IF(IF(AND(LEN(CH1994)=9,ISERROR(FIND("-",LEFT(CH1994,8))),ISNUMBER(-LEFT(CH1994,8))),VALUE(LEFT(CH1994,4)),VALUE(LEFT(CH1994,FIND("-",CH1994)-1)))&lt;100,IF(AND(LEN(CH1994)=9,ISERROR(FIND("-",LEFT(CH1994,8))),ISNUMBER(-LEFT(CH1994,8))),VALUE(LEFT(CH1994,4)),VALUE(LEFT(CH1994,FIND("-",CH1994)-1)))+2000,IF(AND(LEN(CH1994)=9,ISERROR(FIND("-",LEFT(CH1994,8))),ISNUMBER(-LEFT(CH1994,8))),VALUE(LEFT(CH1994,4)),VALUE(LEFT(CH1994,FIND("-",CH1994)-1)))),""))</f>
        <v/>
      </c>
      <c r="CN1994">
        <f>IF(CH1994="","",IFERROR(IF(AND(LEN(CH1994)=9,ISERROR(FIND("-",LEFT(CH1994,8))),ISNUMBER(-LEFT(CH1994,8))),VALUE(MID(CH1994,5,2)),VALUE(MID(CH1994,FIND("-",CH1994)+1,FIND("-",CH1994,FIND("-",CH1994)+1)-FIND("-",CH1994)-1))),""))</f>
        <v/>
      </c>
      <c r="CO1994">
        <f>IF(CH1994="","",IFERROR(IF(AND(LEN(CH1994)=9,ISERROR(FIND("-",LEFT(CH1994,8))),ISNUMBER(-LEFT(CH1994,8))),VALUE(MID(CH1994,7,2)),VALUE(MID(CH1994,FIND("-",CH1994,FIND("-",CH1994)+1)+1,FIND("-",CH1994,FIND("-",CH1994,FIND("-",CH1994)+1)+1)-FIND("-",CH1994,FIND("-",CH1994)+1)-1))),""))</f>
        <v/>
      </c>
    </row>
    <row r="1995">
      <c r="CH1995">
        <f>IF(ISTEXT('월 가계부'!A1995),SUBSTITUTE(SUBSTITUTE(SUBSTITUTE(SUBSTITUTE(SUBSTITUTE(SUBSTITUTE(SUBSTITUTE(SUBSTITUTE(SUBSTITUTE(TRIM('월 가계부'!A1995),"년","-"),"월","-"),"일",""),".","-"),"/","-")," ","-"),"--","-"),"--","-"),"--","-")&amp;"-","")</f>
        <v/>
      </c>
      <c r="CI1995">
        <f>IFERROR(IF('월 가계부'!A1995="","",IF(ISNUMBER('월 가계부'!A1995),IF(AND('월 가계부'!A1995&gt;=19000101,'월 가계부'!A1995&lt;=21001231),IF(AND(MOD(INT('월 가계부'!A1995/100),100)&gt;=1,MOD(INT('월 가계부'!A1995/100),100)&lt;=12,MOD(INT('월 가계부'!A1995),100)&gt;=1,MOD(INT('월 가계부'!A1995),100)&lt;=31),IF(MONTH(DATE(INT('월 가계부'!A1995/10000),MOD(INT('월 가계부'!A1995/100),100),MOD(INT('월 가계부'!A1995),100)))=MOD(INT('월 가계부'!A1995/100),100),DATE(INT('월 가계부'!A1995/10000),MOD(INT('월 가계부'!A1995/100),100),MOD(INT('월 가계부'!A1995),100)),""),""),IF(AND('월 가계부'!A1995&gt;=36526,'월 가계부'!A1995&lt;73051),INT('월 가계부'!A1995),"")),IF(OR(CM1995="",CN1995="",CO1995=""),"",IF(AND(CM1995&gt;=2000,CM1995&lt;=2099,CN1995&gt;=1,CN1995&lt;=12,CO1995&gt;=1,CO1995&lt;=31),IF(MONTH(DATE(CM1995,CN1995,CO1995))=CN1995,DATE(CM1995,CN1995,CO1995),""),"")))),"")</f>
        <v/>
      </c>
      <c r="CJ1995">
        <f>IFERROR(IF('월 가계부'!C1995="","",IF(ISNUMBER('월 가계부'!C1995),'월 가계부'!C1995,VALUE(SUBSTITUTE(SUBSTITUTE(SUBSTITUTE(SUBSTITUTE(TRIM('월 가계부'!C1995),",",""),"원","")," ",""),"−","-")))),"")</f>
        <v/>
      </c>
      <c r="CK1995">
        <f>IF(ISNUMBER(CI1995),IF(CI1995&lt;$B$13,CI1995,""),"")</f>
        <v/>
      </c>
      <c r="CM1995">
        <f>IF(CH1995="","",IFERROR(IF(IF(AND(LEN(CH1995)=9,ISERROR(FIND("-",LEFT(CH1995,8))),ISNUMBER(-LEFT(CH1995,8))),VALUE(LEFT(CH1995,4)),VALUE(LEFT(CH1995,FIND("-",CH1995)-1)))&lt;100,IF(AND(LEN(CH1995)=9,ISERROR(FIND("-",LEFT(CH1995,8))),ISNUMBER(-LEFT(CH1995,8))),VALUE(LEFT(CH1995,4)),VALUE(LEFT(CH1995,FIND("-",CH1995)-1)))+2000,IF(AND(LEN(CH1995)=9,ISERROR(FIND("-",LEFT(CH1995,8))),ISNUMBER(-LEFT(CH1995,8))),VALUE(LEFT(CH1995,4)),VALUE(LEFT(CH1995,FIND("-",CH1995)-1)))),""))</f>
        <v/>
      </c>
      <c r="CN1995">
        <f>IF(CH1995="","",IFERROR(IF(AND(LEN(CH1995)=9,ISERROR(FIND("-",LEFT(CH1995,8))),ISNUMBER(-LEFT(CH1995,8))),VALUE(MID(CH1995,5,2)),VALUE(MID(CH1995,FIND("-",CH1995)+1,FIND("-",CH1995,FIND("-",CH1995)+1)-FIND("-",CH1995)-1))),""))</f>
        <v/>
      </c>
      <c r="CO1995">
        <f>IF(CH1995="","",IFERROR(IF(AND(LEN(CH1995)=9,ISERROR(FIND("-",LEFT(CH1995,8))),ISNUMBER(-LEFT(CH1995,8))),VALUE(MID(CH1995,7,2)),VALUE(MID(CH1995,FIND("-",CH1995,FIND("-",CH1995)+1)+1,FIND("-",CH1995,FIND("-",CH1995,FIND("-",CH1995)+1)+1)-FIND("-",CH1995,FIND("-",CH1995)+1)-1))),""))</f>
        <v/>
      </c>
    </row>
    <row r="1996">
      <c r="CH1996">
        <f>IF(ISTEXT('월 가계부'!A1996),SUBSTITUTE(SUBSTITUTE(SUBSTITUTE(SUBSTITUTE(SUBSTITUTE(SUBSTITUTE(SUBSTITUTE(SUBSTITUTE(SUBSTITUTE(TRIM('월 가계부'!A1996),"년","-"),"월","-"),"일",""),".","-"),"/","-")," ","-"),"--","-"),"--","-"),"--","-")&amp;"-","")</f>
        <v/>
      </c>
      <c r="CI1996">
        <f>IFERROR(IF('월 가계부'!A1996="","",IF(ISNUMBER('월 가계부'!A1996),IF(AND('월 가계부'!A1996&gt;=19000101,'월 가계부'!A1996&lt;=21001231),IF(AND(MOD(INT('월 가계부'!A1996/100),100)&gt;=1,MOD(INT('월 가계부'!A1996/100),100)&lt;=12,MOD(INT('월 가계부'!A1996),100)&gt;=1,MOD(INT('월 가계부'!A1996),100)&lt;=31),IF(MONTH(DATE(INT('월 가계부'!A1996/10000),MOD(INT('월 가계부'!A1996/100),100),MOD(INT('월 가계부'!A1996),100)))=MOD(INT('월 가계부'!A1996/100),100),DATE(INT('월 가계부'!A1996/10000),MOD(INT('월 가계부'!A1996/100),100),MOD(INT('월 가계부'!A1996),100)),""),""),IF(AND('월 가계부'!A1996&gt;=36526,'월 가계부'!A1996&lt;73051),INT('월 가계부'!A1996),"")),IF(OR(CM1996="",CN1996="",CO1996=""),"",IF(AND(CM1996&gt;=2000,CM1996&lt;=2099,CN1996&gt;=1,CN1996&lt;=12,CO1996&gt;=1,CO1996&lt;=31),IF(MONTH(DATE(CM1996,CN1996,CO1996))=CN1996,DATE(CM1996,CN1996,CO1996),""),"")))),"")</f>
        <v/>
      </c>
      <c r="CJ1996">
        <f>IFERROR(IF('월 가계부'!C1996="","",IF(ISNUMBER('월 가계부'!C1996),'월 가계부'!C1996,VALUE(SUBSTITUTE(SUBSTITUTE(SUBSTITUTE(SUBSTITUTE(TRIM('월 가계부'!C1996),",",""),"원","")," ",""),"−","-")))),"")</f>
        <v/>
      </c>
      <c r="CK1996">
        <f>IF(ISNUMBER(CI1996),IF(CI1996&lt;$B$13,CI1996,""),"")</f>
        <v/>
      </c>
      <c r="CM1996">
        <f>IF(CH1996="","",IFERROR(IF(IF(AND(LEN(CH1996)=9,ISERROR(FIND("-",LEFT(CH1996,8))),ISNUMBER(-LEFT(CH1996,8))),VALUE(LEFT(CH1996,4)),VALUE(LEFT(CH1996,FIND("-",CH1996)-1)))&lt;100,IF(AND(LEN(CH1996)=9,ISERROR(FIND("-",LEFT(CH1996,8))),ISNUMBER(-LEFT(CH1996,8))),VALUE(LEFT(CH1996,4)),VALUE(LEFT(CH1996,FIND("-",CH1996)-1)))+2000,IF(AND(LEN(CH1996)=9,ISERROR(FIND("-",LEFT(CH1996,8))),ISNUMBER(-LEFT(CH1996,8))),VALUE(LEFT(CH1996,4)),VALUE(LEFT(CH1996,FIND("-",CH1996)-1)))),""))</f>
        <v/>
      </c>
      <c r="CN1996">
        <f>IF(CH1996="","",IFERROR(IF(AND(LEN(CH1996)=9,ISERROR(FIND("-",LEFT(CH1996,8))),ISNUMBER(-LEFT(CH1996,8))),VALUE(MID(CH1996,5,2)),VALUE(MID(CH1996,FIND("-",CH1996)+1,FIND("-",CH1996,FIND("-",CH1996)+1)-FIND("-",CH1996)-1))),""))</f>
        <v/>
      </c>
      <c r="CO1996">
        <f>IF(CH1996="","",IFERROR(IF(AND(LEN(CH1996)=9,ISERROR(FIND("-",LEFT(CH1996,8))),ISNUMBER(-LEFT(CH1996,8))),VALUE(MID(CH1996,7,2)),VALUE(MID(CH1996,FIND("-",CH1996,FIND("-",CH1996)+1)+1,FIND("-",CH1996,FIND("-",CH1996,FIND("-",CH1996)+1)+1)-FIND("-",CH1996,FIND("-",CH1996)+1)-1))),""))</f>
        <v/>
      </c>
    </row>
    <row r="1997">
      <c r="CH1997">
        <f>IF(ISTEXT('월 가계부'!A1997),SUBSTITUTE(SUBSTITUTE(SUBSTITUTE(SUBSTITUTE(SUBSTITUTE(SUBSTITUTE(SUBSTITUTE(SUBSTITUTE(SUBSTITUTE(TRIM('월 가계부'!A1997),"년","-"),"월","-"),"일",""),".","-"),"/","-")," ","-"),"--","-"),"--","-"),"--","-")&amp;"-","")</f>
        <v/>
      </c>
      <c r="CI1997">
        <f>IFERROR(IF('월 가계부'!A1997="","",IF(ISNUMBER('월 가계부'!A1997),IF(AND('월 가계부'!A1997&gt;=19000101,'월 가계부'!A1997&lt;=21001231),IF(AND(MOD(INT('월 가계부'!A1997/100),100)&gt;=1,MOD(INT('월 가계부'!A1997/100),100)&lt;=12,MOD(INT('월 가계부'!A1997),100)&gt;=1,MOD(INT('월 가계부'!A1997),100)&lt;=31),IF(MONTH(DATE(INT('월 가계부'!A1997/10000),MOD(INT('월 가계부'!A1997/100),100),MOD(INT('월 가계부'!A1997),100)))=MOD(INT('월 가계부'!A1997/100),100),DATE(INT('월 가계부'!A1997/10000),MOD(INT('월 가계부'!A1997/100),100),MOD(INT('월 가계부'!A1997),100)),""),""),IF(AND('월 가계부'!A1997&gt;=36526,'월 가계부'!A1997&lt;73051),INT('월 가계부'!A1997),"")),IF(OR(CM1997="",CN1997="",CO1997=""),"",IF(AND(CM1997&gt;=2000,CM1997&lt;=2099,CN1997&gt;=1,CN1997&lt;=12,CO1997&gt;=1,CO1997&lt;=31),IF(MONTH(DATE(CM1997,CN1997,CO1997))=CN1997,DATE(CM1997,CN1997,CO1997),""),"")))),"")</f>
        <v/>
      </c>
      <c r="CJ1997">
        <f>IFERROR(IF('월 가계부'!C1997="","",IF(ISNUMBER('월 가계부'!C1997),'월 가계부'!C1997,VALUE(SUBSTITUTE(SUBSTITUTE(SUBSTITUTE(SUBSTITUTE(TRIM('월 가계부'!C1997),",",""),"원","")," ",""),"−","-")))),"")</f>
        <v/>
      </c>
      <c r="CK1997">
        <f>IF(ISNUMBER(CI1997),IF(CI1997&lt;$B$13,CI1997,""),"")</f>
        <v/>
      </c>
      <c r="CM1997">
        <f>IF(CH1997="","",IFERROR(IF(IF(AND(LEN(CH1997)=9,ISERROR(FIND("-",LEFT(CH1997,8))),ISNUMBER(-LEFT(CH1997,8))),VALUE(LEFT(CH1997,4)),VALUE(LEFT(CH1997,FIND("-",CH1997)-1)))&lt;100,IF(AND(LEN(CH1997)=9,ISERROR(FIND("-",LEFT(CH1997,8))),ISNUMBER(-LEFT(CH1997,8))),VALUE(LEFT(CH1997,4)),VALUE(LEFT(CH1997,FIND("-",CH1997)-1)))+2000,IF(AND(LEN(CH1997)=9,ISERROR(FIND("-",LEFT(CH1997,8))),ISNUMBER(-LEFT(CH1997,8))),VALUE(LEFT(CH1997,4)),VALUE(LEFT(CH1997,FIND("-",CH1997)-1)))),""))</f>
        <v/>
      </c>
      <c r="CN1997">
        <f>IF(CH1997="","",IFERROR(IF(AND(LEN(CH1997)=9,ISERROR(FIND("-",LEFT(CH1997,8))),ISNUMBER(-LEFT(CH1997,8))),VALUE(MID(CH1997,5,2)),VALUE(MID(CH1997,FIND("-",CH1997)+1,FIND("-",CH1997,FIND("-",CH1997)+1)-FIND("-",CH1997)-1))),""))</f>
        <v/>
      </c>
      <c r="CO1997">
        <f>IF(CH1997="","",IFERROR(IF(AND(LEN(CH1997)=9,ISERROR(FIND("-",LEFT(CH1997,8))),ISNUMBER(-LEFT(CH1997,8))),VALUE(MID(CH1997,7,2)),VALUE(MID(CH1997,FIND("-",CH1997,FIND("-",CH1997)+1)+1,FIND("-",CH1997,FIND("-",CH1997,FIND("-",CH1997)+1)+1)-FIND("-",CH1997,FIND("-",CH1997)+1)-1))),""))</f>
        <v/>
      </c>
    </row>
    <row r="1998">
      <c r="CH1998">
        <f>IF(ISTEXT('월 가계부'!A1998),SUBSTITUTE(SUBSTITUTE(SUBSTITUTE(SUBSTITUTE(SUBSTITUTE(SUBSTITUTE(SUBSTITUTE(SUBSTITUTE(SUBSTITUTE(TRIM('월 가계부'!A1998),"년","-"),"월","-"),"일",""),".","-"),"/","-")," ","-"),"--","-"),"--","-"),"--","-")&amp;"-","")</f>
        <v/>
      </c>
      <c r="CI1998">
        <f>IFERROR(IF('월 가계부'!A1998="","",IF(ISNUMBER('월 가계부'!A1998),IF(AND('월 가계부'!A1998&gt;=19000101,'월 가계부'!A1998&lt;=21001231),IF(AND(MOD(INT('월 가계부'!A1998/100),100)&gt;=1,MOD(INT('월 가계부'!A1998/100),100)&lt;=12,MOD(INT('월 가계부'!A1998),100)&gt;=1,MOD(INT('월 가계부'!A1998),100)&lt;=31),IF(MONTH(DATE(INT('월 가계부'!A1998/10000),MOD(INT('월 가계부'!A1998/100),100),MOD(INT('월 가계부'!A1998),100)))=MOD(INT('월 가계부'!A1998/100),100),DATE(INT('월 가계부'!A1998/10000),MOD(INT('월 가계부'!A1998/100),100),MOD(INT('월 가계부'!A1998),100)),""),""),IF(AND('월 가계부'!A1998&gt;=36526,'월 가계부'!A1998&lt;73051),INT('월 가계부'!A1998),"")),IF(OR(CM1998="",CN1998="",CO1998=""),"",IF(AND(CM1998&gt;=2000,CM1998&lt;=2099,CN1998&gt;=1,CN1998&lt;=12,CO1998&gt;=1,CO1998&lt;=31),IF(MONTH(DATE(CM1998,CN1998,CO1998))=CN1998,DATE(CM1998,CN1998,CO1998),""),"")))),"")</f>
        <v/>
      </c>
      <c r="CJ1998">
        <f>IFERROR(IF('월 가계부'!C1998="","",IF(ISNUMBER('월 가계부'!C1998),'월 가계부'!C1998,VALUE(SUBSTITUTE(SUBSTITUTE(SUBSTITUTE(SUBSTITUTE(TRIM('월 가계부'!C1998),",",""),"원","")," ",""),"−","-")))),"")</f>
        <v/>
      </c>
      <c r="CK1998">
        <f>IF(ISNUMBER(CI1998),IF(CI1998&lt;$B$13,CI1998,""),"")</f>
        <v/>
      </c>
      <c r="CM1998">
        <f>IF(CH1998="","",IFERROR(IF(IF(AND(LEN(CH1998)=9,ISERROR(FIND("-",LEFT(CH1998,8))),ISNUMBER(-LEFT(CH1998,8))),VALUE(LEFT(CH1998,4)),VALUE(LEFT(CH1998,FIND("-",CH1998)-1)))&lt;100,IF(AND(LEN(CH1998)=9,ISERROR(FIND("-",LEFT(CH1998,8))),ISNUMBER(-LEFT(CH1998,8))),VALUE(LEFT(CH1998,4)),VALUE(LEFT(CH1998,FIND("-",CH1998)-1)))+2000,IF(AND(LEN(CH1998)=9,ISERROR(FIND("-",LEFT(CH1998,8))),ISNUMBER(-LEFT(CH1998,8))),VALUE(LEFT(CH1998,4)),VALUE(LEFT(CH1998,FIND("-",CH1998)-1)))),""))</f>
        <v/>
      </c>
      <c r="CN1998">
        <f>IF(CH1998="","",IFERROR(IF(AND(LEN(CH1998)=9,ISERROR(FIND("-",LEFT(CH1998,8))),ISNUMBER(-LEFT(CH1998,8))),VALUE(MID(CH1998,5,2)),VALUE(MID(CH1998,FIND("-",CH1998)+1,FIND("-",CH1998,FIND("-",CH1998)+1)-FIND("-",CH1998)-1))),""))</f>
        <v/>
      </c>
      <c r="CO1998">
        <f>IF(CH1998="","",IFERROR(IF(AND(LEN(CH1998)=9,ISERROR(FIND("-",LEFT(CH1998,8))),ISNUMBER(-LEFT(CH1998,8))),VALUE(MID(CH1998,7,2)),VALUE(MID(CH1998,FIND("-",CH1998,FIND("-",CH1998)+1)+1,FIND("-",CH1998,FIND("-",CH1998,FIND("-",CH1998)+1)+1)-FIND("-",CH1998,FIND("-",CH1998)+1)-1))),""))</f>
        <v/>
      </c>
    </row>
    <row r="1999">
      <c r="CH1999">
        <f>IF(ISTEXT('월 가계부'!A1999),SUBSTITUTE(SUBSTITUTE(SUBSTITUTE(SUBSTITUTE(SUBSTITUTE(SUBSTITUTE(SUBSTITUTE(SUBSTITUTE(SUBSTITUTE(TRIM('월 가계부'!A1999),"년","-"),"월","-"),"일",""),".","-"),"/","-")," ","-"),"--","-"),"--","-"),"--","-")&amp;"-","")</f>
        <v/>
      </c>
      <c r="CI1999">
        <f>IFERROR(IF('월 가계부'!A1999="","",IF(ISNUMBER('월 가계부'!A1999),IF(AND('월 가계부'!A1999&gt;=19000101,'월 가계부'!A1999&lt;=21001231),IF(AND(MOD(INT('월 가계부'!A1999/100),100)&gt;=1,MOD(INT('월 가계부'!A1999/100),100)&lt;=12,MOD(INT('월 가계부'!A1999),100)&gt;=1,MOD(INT('월 가계부'!A1999),100)&lt;=31),IF(MONTH(DATE(INT('월 가계부'!A1999/10000),MOD(INT('월 가계부'!A1999/100),100),MOD(INT('월 가계부'!A1999),100)))=MOD(INT('월 가계부'!A1999/100),100),DATE(INT('월 가계부'!A1999/10000),MOD(INT('월 가계부'!A1999/100),100),MOD(INT('월 가계부'!A1999),100)),""),""),IF(AND('월 가계부'!A1999&gt;=36526,'월 가계부'!A1999&lt;73051),INT('월 가계부'!A1999),"")),IF(OR(CM1999="",CN1999="",CO1999=""),"",IF(AND(CM1999&gt;=2000,CM1999&lt;=2099,CN1999&gt;=1,CN1999&lt;=12,CO1999&gt;=1,CO1999&lt;=31),IF(MONTH(DATE(CM1999,CN1999,CO1999))=CN1999,DATE(CM1999,CN1999,CO1999),""),"")))),"")</f>
        <v/>
      </c>
      <c r="CJ1999">
        <f>IFERROR(IF('월 가계부'!C1999="","",IF(ISNUMBER('월 가계부'!C1999),'월 가계부'!C1999,VALUE(SUBSTITUTE(SUBSTITUTE(SUBSTITUTE(SUBSTITUTE(TRIM('월 가계부'!C1999),",",""),"원","")," ",""),"−","-")))),"")</f>
        <v/>
      </c>
      <c r="CK1999">
        <f>IF(ISNUMBER(CI1999),IF(CI1999&lt;$B$13,CI1999,""),"")</f>
        <v/>
      </c>
      <c r="CM1999">
        <f>IF(CH1999="","",IFERROR(IF(IF(AND(LEN(CH1999)=9,ISERROR(FIND("-",LEFT(CH1999,8))),ISNUMBER(-LEFT(CH1999,8))),VALUE(LEFT(CH1999,4)),VALUE(LEFT(CH1999,FIND("-",CH1999)-1)))&lt;100,IF(AND(LEN(CH1999)=9,ISERROR(FIND("-",LEFT(CH1999,8))),ISNUMBER(-LEFT(CH1999,8))),VALUE(LEFT(CH1999,4)),VALUE(LEFT(CH1999,FIND("-",CH1999)-1)))+2000,IF(AND(LEN(CH1999)=9,ISERROR(FIND("-",LEFT(CH1999,8))),ISNUMBER(-LEFT(CH1999,8))),VALUE(LEFT(CH1999,4)),VALUE(LEFT(CH1999,FIND("-",CH1999)-1)))),""))</f>
        <v/>
      </c>
      <c r="CN1999">
        <f>IF(CH1999="","",IFERROR(IF(AND(LEN(CH1999)=9,ISERROR(FIND("-",LEFT(CH1999,8))),ISNUMBER(-LEFT(CH1999,8))),VALUE(MID(CH1999,5,2)),VALUE(MID(CH1999,FIND("-",CH1999)+1,FIND("-",CH1999,FIND("-",CH1999)+1)-FIND("-",CH1999)-1))),""))</f>
        <v/>
      </c>
      <c r="CO1999">
        <f>IF(CH1999="","",IFERROR(IF(AND(LEN(CH1999)=9,ISERROR(FIND("-",LEFT(CH1999,8))),ISNUMBER(-LEFT(CH1999,8))),VALUE(MID(CH1999,7,2)),VALUE(MID(CH1999,FIND("-",CH1999,FIND("-",CH1999)+1)+1,FIND("-",CH1999,FIND("-",CH1999,FIND("-",CH1999)+1)+1)-FIND("-",CH1999,FIND("-",CH1999)+1)-1))),""))</f>
        <v/>
      </c>
    </row>
    <row r="2000">
      <c r="CH2000">
        <f>IF(ISTEXT('월 가계부'!A2000),SUBSTITUTE(SUBSTITUTE(SUBSTITUTE(SUBSTITUTE(SUBSTITUTE(SUBSTITUTE(SUBSTITUTE(SUBSTITUTE(SUBSTITUTE(TRIM('월 가계부'!A2000),"년","-"),"월","-"),"일",""),".","-"),"/","-")," ","-"),"--","-"),"--","-"),"--","-")&amp;"-","")</f>
        <v/>
      </c>
      <c r="CI2000">
        <f>IFERROR(IF('월 가계부'!A2000="","",IF(ISNUMBER('월 가계부'!A2000),IF(AND('월 가계부'!A2000&gt;=19000101,'월 가계부'!A2000&lt;=21001231),IF(AND(MOD(INT('월 가계부'!A2000/100),100)&gt;=1,MOD(INT('월 가계부'!A2000/100),100)&lt;=12,MOD(INT('월 가계부'!A2000),100)&gt;=1,MOD(INT('월 가계부'!A2000),100)&lt;=31),IF(MONTH(DATE(INT('월 가계부'!A2000/10000),MOD(INT('월 가계부'!A2000/100),100),MOD(INT('월 가계부'!A2000),100)))=MOD(INT('월 가계부'!A2000/100),100),DATE(INT('월 가계부'!A2000/10000),MOD(INT('월 가계부'!A2000/100),100),MOD(INT('월 가계부'!A2000),100)),""),""),IF(AND('월 가계부'!A2000&gt;=36526,'월 가계부'!A2000&lt;73051),INT('월 가계부'!A2000),"")),IF(OR(CM2000="",CN2000="",CO2000=""),"",IF(AND(CM2000&gt;=2000,CM2000&lt;=2099,CN2000&gt;=1,CN2000&lt;=12,CO2000&gt;=1,CO2000&lt;=31),IF(MONTH(DATE(CM2000,CN2000,CO2000))=CN2000,DATE(CM2000,CN2000,CO2000),""),"")))),"")</f>
        <v/>
      </c>
      <c r="CJ2000">
        <f>IFERROR(IF('월 가계부'!C2000="","",IF(ISNUMBER('월 가계부'!C2000),'월 가계부'!C2000,VALUE(SUBSTITUTE(SUBSTITUTE(SUBSTITUTE(SUBSTITUTE(TRIM('월 가계부'!C2000),",",""),"원","")," ",""),"−","-")))),"")</f>
        <v/>
      </c>
      <c r="CK2000">
        <f>IF(ISNUMBER(CI2000),IF(CI2000&lt;$B$13,CI2000,""),"")</f>
        <v/>
      </c>
      <c r="CM2000">
        <f>IF(CH2000="","",IFERROR(IF(IF(AND(LEN(CH2000)=9,ISERROR(FIND("-",LEFT(CH2000,8))),ISNUMBER(-LEFT(CH2000,8))),VALUE(LEFT(CH2000,4)),VALUE(LEFT(CH2000,FIND("-",CH2000)-1)))&lt;100,IF(AND(LEN(CH2000)=9,ISERROR(FIND("-",LEFT(CH2000,8))),ISNUMBER(-LEFT(CH2000,8))),VALUE(LEFT(CH2000,4)),VALUE(LEFT(CH2000,FIND("-",CH2000)-1)))+2000,IF(AND(LEN(CH2000)=9,ISERROR(FIND("-",LEFT(CH2000,8))),ISNUMBER(-LEFT(CH2000,8))),VALUE(LEFT(CH2000,4)),VALUE(LEFT(CH2000,FIND("-",CH2000)-1)))),""))</f>
        <v/>
      </c>
      <c r="CN2000">
        <f>IF(CH2000="","",IFERROR(IF(AND(LEN(CH2000)=9,ISERROR(FIND("-",LEFT(CH2000,8))),ISNUMBER(-LEFT(CH2000,8))),VALUE(MID(CH2000,5,2)),VALUE(MID(CH2000,FIND("-",CH2000)+1,FIND("-",CH2000,FIND("-",CH2000)+1)-FIND("-",CH2000)-1))),""))</f>
        <v/>
      </c>
      <c r="CO2000">
        <f>IF(CH2000="","",IFERROR(IF(AND(LEN(CH2000)=9,ISERROR(FIND("-",LEFT(CH2000,8))),ISNUMBER(-LEFT(CH2000,8))),VALUE(MID(CH2000,7,2)),VALUE(MID(CH2000,FIND("-",CH2000,FIND("-",CH2000)+1)+1,FIND("-",CH2000,FIND("-",CH2000,FIND("-",CH2000)+1)+1)-FIND("-",CH2000,FIND("-",CH2000)+1)-1))),""))</f>
        <v/>
      </c>
    </row>
    <row r="2001">
      <c r="CH2001">
        <f>IF(ISTEXT('월 가계부'!A2001),SUBSTITUTE(SUBSTITUTE(SUBSTITUTE(SUBSTITUTE(SUBSTITUTE(SUBSTITUTE(SUBSTITUTE(SUBSTITUTE(SUBSTITUTE(TRIM('월 가계부'!A2001),"년","-"),"월","-"),"일",""),".","-"),"/","-")," ","-"),"--","-"),"--","-"),"--","-")&amp;"-","")</f>
        <v/>
      </c>
      <c r="CI2001">
        <f>IFERROR(IF('월 가계부'!A2001="","",IF(ISNUMBER('월 가계부'!A2001),IF(AND('월 가계부'!A2001&gt;=19000101,'월 가계부'!A2001&lt;=21001231),IF(AND(MOD(INT('월 가계부'!A2001/100),100)&gt;=1,MOD(INT('월 가계부'!A2001/100),100)&lt;=12,MOD(INT('월 가계부'!A2001),100)&gt;=1,MOD(INT('월 가계부'!A2001),100)&lt;=31),IF(MONTH(DATE(INT('월 가계부'!A2001/10000),MOD(INT('월 가계부'!A2001/100),100),MOD(INT('월 가계부'!A2001),100)))=MOD(INT('월 가계부'!A2001/100),100),DATE(INT('월 가계부'!A2001/10000),MOD(INT('월 가계부'!A2001/100),100),MOD(INT('월 가계부'!A2001),100)),""),""),IF(AND('월 가계부'!A2001&gt;=36526,'월 가계부'!A2001&lt;73051),INT('월 가계부'!A2001),"")),IF(OR(CM2001="",CN2001="",CO2001=""),"",IF(AND(CM2001&gt;=2000,CM2001&lt;=2099,CN2001&gt;=1,CN2001&lt;=12,CO2001&gt;=1,CO2001&lt;=31),IF(MONTH(DATE(CM2001,CN2001,CO2001))=CN2001,DATE(CM2001,CN2001,CO2001),""),"")))),"")</f>
        <v/>
      </c>
      <c r="CJ2001">
        <f>IFERROR(IF('월 가계부'!C2001="","",IF(ISNUMBER('월 가계부'!C2001),'월 가계부'!C2001,VALUE(SUBSTITUTE(SUBSTITUTE(SUBSTITUTE(SUBSTITUTE(TRIM('월 가계부'!C2001),",",""),"원","")," ",""),"−","-")))),"")</f>
        <v/>
      </c>
      <c r="CK2001">
        <f>IF(ISNUMBER(CI2001),IF(CI2001&lt;$B$13,CI2001,""),"")</f>
        <v/>
      </c>
      <c r="CM2001">
        <f>IF(CH2001="","",IFERROR(IF(IF(AND(LEN(CH2001)=9,ISERROR(FIND("-",LEFT(CH2001,8))),ISNUMBER(-LEFT(CH2001,8))),VALUE(LEFT(CH2001,4)),VALUE(LEFT(CH2001,FIND("-",CH2001)-1)))&lt;100,IF(AND(LEN(CH2001)=9,ISERROR(FIND("-",LEFT(CH2001,8))),ISNUMBER(-LEFT(CH2001,8))),VALUE(LEFT(CH2001,4)),VALUE(LEFT(CH2001,FIND("-",CH2001)-1)))+2000,IF(AND(LEN(CH2001)=9,ISERROR(FIND("-",LEFT(CH2001,8))),ISNUMBER(-LEFT(CH2001,8))),VALUE(LEFT(CH2001,4)),VALUE(LEFT(CH2001,FIND("-",CH2001)-1)))),""))</f>
        <v/>
      </c>
      <c r="CN2001">
        <f>IF(CH2001="","",IFERROR(IF(AND(LEN(CH2001)=9,ISERROR(FIND("-",LEFT(CH2001,8))),ISNUMBER(-LEFT(CH2001,8))),VALUE(MID(CH2001,5,2)),VALUE(MID(CH2001,FIND("-",CH2001)+1,FIND("-",CH2001,FIND("-",CH2001)+1)-FIND("-",CH2001)-1))),""))</f>
        <v/>
      </c>
      <c r="CO2001">
        <f>IF(CH2001="","",IFERROR(IF(AND(LEN(CH2001)=9,ISERROR(FIND("-",LEFT(CH2001,8))),ISNUMBER(-LEFT(CH2001,8))),VALUE(MID(CH2001,7,2)),VALUE(MID(CH2001,FIND("-",CH2001,FIND("-",CH2001)+1)+1,FIND("-",CH2001,FIND("-",CH2001,FIND("-",CH2001)+1)+1)-FIND("-",CH2001,FIND("-",CH2001)+1)-1))),""))</f>
        <v/>
      </c>
    </row>
    <row r="2002">
      <c r="CH2002">
        <f>IF(ISTEXT('월 가계부'!A2002),SUBSTITUTE(SUBSTITUTE(SUBSTITUTE(SUBSTITUTE(SUBSTITUTE(SUBSTITUTE(SUBSTITUTE(SUBSTITUTE(SUBSTITUTE(TRIM('월 가계부'!A2002),"년","-"),"월","-"),"일",""),".","-"),"/","-")," ","-"),"--","-"),"--","-"),"--","-")&amp;"-","")</f>
        <v/>
      </c>
      <c r="CI2002">
        <f>IFERROR(IF('월 가계부'!A2002="","",IF(ISNUMBER('월 가계부'!A2002),IF(AND('월 가계부'!A2002&gt;=19000101,'월 가계부'!A2002&lt;=21001231),IF(AND(MOD(INT('월 가계부'!A2002/100),100)&gt;=1,MOD(INT('월 가계부'!A2002/100),100)&lt;=12,MOD(INT('월 가계부'!A2002),100)&gt;=1,MOD(INT('월 가계부'!A2002),100)&lt;=31),IF(MONTH(DATE(INT('월 가계부'!A2002/10000),MOD(INT('월 가계부'!A2002/100),100),MOD(INT('월 가계부'!A2002),100)))=MOD(INT('월 가계부'!A2002/100),100),DATE(INT('월 가계부'!A2002/10000),MOD(INT('월 가계부'!A2002/100),100),MOD(INT('월 가계부'!A2002),100)),""),""),IF(AND('월 가계부'!A2002&gt;=36526,'월 가계부'!A2002&lt;73051),INT('월 가계부'!A2002),"")),IF(OR(CM2002="",CN2002="",CO2002=""),"",IF(AND(CM2002&gt;=2000,CM2002&lt;=2099,CN2002&gt;=1,CN2002&lt;=12,CO2002&gt;=1,CO2002&lt;=31),IF(MONTH(DATE(CM2002,CN2002,CO2002))=CN2002,DATE(CM2002,CN2002,CO2002),""),"")))),"")</f>
        <v/>
      </c>
      <c r="CJ2002">
        <f>IFERROR(IF('월 가계부'!C2002="","",IF(ISNUMBER('월 가계부'!C2002),'월 가계부'!C2002,VALUE(SUBSTITUTE(SUBSTITUTE(SUBSTITUTE(SUBSTITUTE(TRIM('월 가계부'!C2002),",",""),"원","")," ",""),"−","-")))),"")</f>
        <v/>
      </c>
      <c r="CK2002">
        <f>IF(ISNUMBER(CI2002),IF(CI2002&lt;$B$13,CI2002,""),"")</f>
        <v/>
      </c>
      <c r="CM2002">
        <f>IF(CH2002="","",IFERROR(IF(IF(AND(LEN(CH2002)=9,ISERROR(FIND("-",LEFT(CH2002,8))),ISNUMBER(-LEFT(CH2002,8))),VALUE(LEFT(CH2002,4)),VALUE(LEFT(CH2002,FIND("-",CH2002)-1)))&lt;100,IF(AND(LEN(CH2002)=9,ISERROR(FIND("-",LEFT(CH2002,8))),ISNUMBER(-LEFT(CH2002,8))),VALUE(LEFT(CH2002,4)),VALUE(LEFT(CH2002,FIND("-",CH2002)-1)))+2000,IF(AND(LEN(CH2002)=9,ISERROR(FIND("-",LEFT(CH2002,8))),ISNUMBER(-LEFT(CH2002,8))),VALUE(LEFT(CH2002,4)),VALUE(LEFT(CH2002,FIND("-",CH2002)-1)))),""))</f>
        <v/>
      </c>
      <c r="CN2002">
        <f>IF(CH2002="","",IFERROR(IF(AND(LEN(CH2002)=9,ISERROR(FIND("-",LEFT(CH2002,8))),ISNUMBER(-LEFT(CH2002,8))),VALUE(MID(CH2002,5,2)),VALUE(MID(CH2002,FIND("-",CH2002)+1,FIND("-",CH2002,FIND("-",CH2002)+1)-FIND("-",CH2002)-1))),""))</f>
        <v/>
      </c>
      <c r="CO2002">
        <f>IF(CH2002="","",IFERROR(IF(AND(LEN(CH2002)=9,ISERROR(FIND("-",LEFT(CH2002,8))),ISNUMBER(-LEFT(CH2002,8))),VALUE(MID(CH2002,7,2)),VALUE(MID(CH2002,FIND("-",CH2002,FIND("-",CH2002)+1)+1,FIND("-",CH2002,FIND("-",CH2002,FIND("-",CH2002)+1)+1)-FIND("-",CH2002,FIND("-",CH2002)+1)-1))),""))</f>
        <v/>
      </c>
    </row>
    <row r="2003">
      <c r="CH2003">
        <f>IF(ISTEXT('월 가계부'!A2003),SUBSTITUTE(SUBSTITUTE(SUBSTITUTE(SUBSTITUTE(SUBSTITUTE(SUBSTITUTE(SUBSTITUTE(SUBSTITUTE(SUBSTITUTE(TRIM('월 가계부'!A2003),"년","-"),"월","-"),"일",""),".","-"),"/","-")," ","-"),"--","-"),"--","-"),"--","-")&amp;"-","")</f>
        <v/>
      </c>
      <c r="CI2003">
        <f>IFERROR(IF('월 가계부'!A2003="","",IF(ISNUMBER('월 가계부'!A2003),IF(AND('월 가계부'!A2003&gt;=19000101,'월 가계부'!A2003&lt;=21001231),IF(AND(MOD(INT('월 가계부'!A2003/100),100)&gt;=1,MOD(INT('월 가계부'!A2003/100),100)&lt;=12,MOD(INT('월 가계부'!A2003),100)&gt;=1,MOD(INT('월 가계부'!A2003),100)&lt;=31),IF(MONTH(DATE(INT('월 가계부'!A2003/10000),MOD(INT('월 가계부'!A2003/100),100),MOD(INT('월 가계부'!A2003),100)))=MOD(INT('월 가계부'!A2003/100),100),DATE(INT('월 가계부'!A2003/10000),MOD(INT('월 가계부'!A2003/100),100),MOD(INT('월 가계부'!A2003),100)),""),""),IF(AND('월 가계부'!A2003&gt;=36526,'월 가계부'!A2003&lt;73051),INT('월 가계부'!A2003),"")),IF(OR(CM2003="",CN2003="",CO2003=""),"",IF(AND(CM2003&gt;=2000,CM2003&lt;=2099,CN2003&gt;=1,CN2003&lt;=12,CO2003&gt;=1,CO2003&lt;=31),IF(MONTH(DATE(CM2003,CN2003,CO2003))=CN2003,DATE(CM2003,CN2003,CO2003),""),"")))),"")</f>
        <v/>
      </c>
      <c r="CJ2003">
        <f>IFERROR(IF('월 가계부'!C2003="","",IF(ISNUMBER('월 가계부'!C2003),'월 가계부'!C2003,VALUE(SUBSTITUTE(SUBSTITUTE(SUBSTITUTE(SUBSTITUTE(TRIM('월 가계부'!C2003),",",""),"원","")," ",""),"−","-")))),"")</f>
        <v/>
      </c>
      <c r="CK2003">
        <f>IF(ISNUMBER(CI2003),IF(CI2003&lt;$B$13,CI2003,""),"")</f>
        <v/>
      </c>
      <c r="CM2003">
        <f>IF(CH2003="","",IFERROR(IF(IF(AND(LEN(CH2003)=9,ISERROR(FIND("-",LEFT(CH2003,8))),ISNUMBER(-LEFT(CH2003,8))),VALUE(LEFT(CH2003,4)),VALUE(LEFT(CH2003,FIND("-",CH2003)-1)))&lt;100,IF(AND(LEN(CH2003)=9,ISERROR(FIND("-",LEFT(CH2003,8))),ISNUMBER(-LEFT(CH2003,8))),VALUE(LEFT(CH2003,4)),VALUE(LEFT(CH2003,FIND("-",CH2003)-1)))+2000,IF(AND(LEN(CH2003)=9,ISERROR(FIND("-",LEFT(CH2003,8))),ISNUMBER(-LEFT(CH2003,8))),VALUE(LEFT(CH2003,4)),VALUE(LEFT(CH2003,FIND("-",CH2003)-1)))),""))</f>
        <v/>
      </c>
      <c r="CN2003">
        <f>IF(CH2003="","",IFERROR(IF(AND(LEN(CH2003)=9,ISERROR(FIND("-",LEFT(CH2003,8))),ISNUMBER(-LEFT(CH2003,8))),VALUE(MID(CH2003,5,2)),VALUE(MID(CH2003,FIND("-",CH2003)+1,FIND("-",CH2003,FIND("-",CH2003)+1)-FIND("-",CH2003)-1))),""))</f>
        <v/>
      </c>
      <c r="CO2003">
        <f>IF(CH2003="","",IFERROR(IF(AND(LEN(CH2003)=9,ISERROR(FIND("-",LEFT(CH2003,8))),ISNUMBER(-LEFT(CH2003,8))),VALUE(MID(CH2003,7,2)),VALUE(MID(CH2003,FIND("-",CH2003,FIND("-",CH2003)+1)+1,FIND("-",CH2003,FIND("-",CH2003,FIND("-",CH2003)+1)+1)-FIND("-",CH2003,FIND("-",CH2003)+1)-1))),""))</f>
        <v/>
      </c>
    </row>
    <row r="2004">
      <c r="CH2004">
        <f>IF(ISTEXT('월 가계부'!A2004),SUBSTITUTE(SUBSTITUTE(SUBSTITUTE(SUBSTITUTE(SUBSTITUTE(SUBSTITUTE(SUBSTITUTE(SUBSTITUTE(SUBSTITUTE(TRIM('월 가계부'!A2004),"년","-"),"월","-"),"일",""),".","-"),"/","-")," ","-"),"--","-"),"--","-"),"--","-")&amp;"-","")</f>
        <v/>
      </c>
      <c r="CI2004">
        <f>IFERROR(IF('월 가계부'!A2004="","",IF(ISNUMBER('월 가계부'!A2004),IF(AND('월 가계부'!A2004&gt;=19000101,'월 가계부'!A2004&lt;=21001231),IF(AND(MOD(INT('월 가계부'!A2004/100),100)&gt;=1,MOD(INT('월 가계부'!A2004/100),100)&lt;=12,MOD(INT('월 가계부'!A2004),100)&gt;=1,MOD(INT('월 가계부'!A2004),100)&lt;=31),IF(MONTH(DATE(INT('월 가계부'!A2004/10000),MOD(INT('월 가계부'!A2004/100),100),MOD(INT('월 가계부'!A2004),100)))=MOD(INT('월 가계부'!A2004/100),100),DATE(INT('월 가계부'!A2004/10000),MOD(INT('월 가계부'!A2004/100),100),MOD(INT('월 가계부'!A2004),100)),""),""),IF(AND('월 가계부'!A2004&gt;=36526,'월 가계부'!A2004&lt;73051),INT('월 가계부'!A2004),"")),IF(OR(CM2004="",CN2004="",CO2004=""),"",IF(AND(CM2004&gt;=2000,CM2004&lt;=2099,CN2004&gt;=1,CN2004&lt;=12,CO2004&gt;=1,CO2004&lt;=31),IF(MONTH(DATE(CM2004,CN2004,CO2004))=CN2004,DATE(CM2004,CN2004,CO2004),""),"")))),"")</f>
        <v/>
      </c>
      <c r="CJ2004">
        <f>IFERROR(IF('월 가계부'!C2004="","",IF(ISNUMBER('월 가계부'!C2004),'월 가계부'!C2004,VALUE(SUBSTITUTE(SUBSTITUTE(SUBSTITUTE(SUBSTITUTE(TRIM('월 가계부'!C2004),",",""),"원","")," ",""),"−","-")))),"")</f>
        <v/>
      </c>
      <c r="CK2004">
        <f>IF(ISNUMBER(CI2004),IF(CI2004&lt;$B$13,CI2004,""),"")</f>
        <v/>
      </c>
      <c r="CM2004">
        <f>IF(CH2004="","",IFERROR(IF(IF(AND(LEN(CH2004)=9,ISERROR(FIND("-",LEFT(CH2004,8))),ISNUMBER(-LEFT(CH2004,8))),VALUE(LEFT(CH2004,4)),VALUE(LEFT(CH2004,FIND("-",CH2004)-1)))&lt;100,IF(AND(LEN(CH2004)=9,ISERROR(FIND("-",LEFT(CH2004,8))),ISNUMBER(-LEFT(CH2004,8))),VALUE(LEFT(CH2004,4)),VALUE(LEFT(CH2004,FIND("-",CH2004)-1)))+2000,IF(AND(LEN(CH2004)=9,ISERROR(FIND("-",LEFT(CH2004,8))),ISNUMBER(-LEFT(CH2004,8))),VALUE(LEFT(CH2004,4)),VALUE(LEFT(CH2004,FIND("-",CH2004)-1)))),""))</f>
        <v/>
      </c>
      <c r="CN2004">
        <f>IF(CH2004="","",IFERROR(IF(AND(LEN(CH2004)=9,ISERROR(FIND("-",LEFT(CH2004,8))),ISNUMBER(-LEFT(CH2004,8))),VALUE(MID(CH2004,5,2)),VALUE(MID(CH2004,FIND("-",CH2004)+1,FIND("-",CH2004,FIND("-",CH2004)+1)-FIND("-",CH2004)-1))),""))</f>
        <v/>
      </c>
      <c r="CO2004">
        <f>IF(CH2004="","",IFERROR(IF(AND(LEN(CH2004)=9,ISERROR(FIND("-",LEFT(CH2004,8))),ISNUMBER(-LEFT(CH2004,8))),VALUE(MID(CH2004,7,2)),VALUE(MID(CH2004,FIND("-",CH2004,FIND("-",CH2004)+1)+1,FIND("-",CH2004,FIND("-",CH2004,FIND("-",CH2004)+1)+1)-FIND("-",CH2004,FIND("-",CH2004)+1)-1))),""))</f>
        <v/>
      </c>
    </row>
    <row r="2005">
      <c r="CH2005">
        <f>IF(ISTEXT('월 가계부'!A2005),SUBSTITUTE(SUBSTITUTE(SUBSTITUTE(SUBSTITUTE(SUBSTITUTE(SUBSTITUTE(SUBSTITUTE(SUBSTITUTE(SUBSTITUTE(TRIM('월 가계부'!A2005),"년","-"),"월","-"),"일",""),".","-"),"/","-")," ","-"),"--","-"),"--","-"),"--","-")&amp;"-","")</f>
        <v/>
      </c>
      <c r="CI2005">
        <f>IFERROR(IF('월 가계부'!A2005="","",IF(ISNUMBER('월 가계부'!A2005),IF(AND('월 가계부'!A2005&gt;=19000101,'월 가계부'!A2005&lt;=21001231),IF(AND(MOD(INT('월 가계부'!A2005/100),100)&gt;=1,MOD(INT('월 가계부'!A2005/100),100)&lt;=12,MOD(INT('월 가계부'!A2005),100)&gt;=1,MOD(INT('월 가계부'!A2005),100)&lt;=31),IF(MONTH(DATE(INT('월 가계부'!A2005/10000),MOD(INT('월 가계부'!A2005/100),100),MOD(INT('월 가계부'!A2005),100)))=MOD(INT('월 가계부'!A2005/100),100),DATE(INT('월 가계부'!A2005/10000),MOD(INT('월 가계부'!A2005/100),100),MOD(INT('월 가계부'!A2005),100)),""),""),IF(AND('월 가계부'!A2005&gt;=36526,'월 가계부'!A2005&lt;73051),INT('월 가계부'!A2005),"")),IF(OR(CM2005="",CN2005="",CO2005=""),"",IF(AND(CM2005&gt;=2000,CM2005&lt;=2099,CN2005&gt;=1,CN2005&lt;=12,CO2005&gt;=1,CO2005&lt;=31),IF(MONTH(DATE(CM2005,CN2005,CO2005))=CN2005,DATE(CM2005,CN2005,CO2005),""),"")))),"")</f>
        <v/>
      </c>
      <c r="CJ2005">
        <f>IFERROR(IF('월 가계부'!C2005="","",IF(ISNUMBER('월 가계부'!C2005),'월 가계부'!C2005,VALUE(SUBSTITUTE(SUBSTITUTE(SUBSTITUTE(SUBSTITUTE(TRIM('월 가계부'!C2005),",",""),"원","")," ",""),"−","-")))),"")</f>
        <v/>
      </c>
      <c r="CK2005">
        <f>IF(ISNUMBER(CI2005),IF(CI2005&lt;$B$13,CI2005,""),"")</f>
        <v/>
      </c>
      <c r="CM2005">
        <f>IF(CH2005="","",IFERROR(IF(IF(AND(LEN(CH2005)=9,ISERROR(FIND("-",LEFT(CH2005,8))),ISNUMBER(-LEFT(CH2005,8))),VALUE(LEFT(CH2005,4)),VALUE(LEFT(CH2005,FIND("-",CH2005)-1)))&lt;100,IF(AND(LEN(CH2005)=9,ISERROR(FIND("-",LEFT(CH2005,8))),ISNUMBER(-LEFT(CH2005,8))),VALUE(LEFT(CH2005,4)),VALUE(LEFT(CH2005,FIND("-",CH2005)-1)))+2000,IF(AND(LEN(CH2005)=9,ISERROR(FIND("-",LEFT(CH2005,8))),ISNUMBER(-LEFT(CH2005,8))),VALUE(LEFT(CH2005,4)),VALUE(LEFT(CH2005,FIND("-",CH2005)-1)))),""))</f>
        <v/>
      </c>
      <c r="CN2005">
        <f>IF(CH2005="","",IFERROR(IF(AND(LEN(CH2005)=9,ISERROR(FIND("-",LEFT(CH2005,8))),ISNUMBER(-LEFT(CH2005,8))),VALUE(MID(CH2005,5,2)),VALUE(MID(CH2005,FIND("-",CH2005)+1,FIND("-",CH2005,FIND("-",CH2005)+1)-FIND("-",CH2005)-1))),""))</f>
        <v/>
      </c>
      <c r="CO2005">
        <f>IF(CH2005="","",IFERROR(IF(AND(LEN(CH2005)=9,ISERROR(FIND("-",LEFT(CH2005,8))),ISNUMBER(-LEFT(CH2005,8))),VALUE(MID(CH2005,7,2)),VALUE(MID(CH2005,FIND("-",CH2005,FIND("-",CH2005)+1)+1,FIND("-",CH2005,FIND("-",CH2005,FIND("-",CH2005)+1)+1)-FIND("-",CH2005,FIND("-",CH2005)+1)-1))),""))</f>
        <v/>
      </c>
    </row>
    <row r="2006">
      <c r="CH2006">
        <f>IF(ISTEXT('월 가계부'!A2006),SUBSTITUTE(SUBSTITUTE(SUBSTITUTE(SUBSTITUTE(SUBSTITUTE(SUBSTITUTE(SUBSTITUTE(SUBSTITUTE(SUBSTITUTE(TRIM('월 가계부'!A2006),"년","-"),"월","-"),"일",""),".","-"),"/","-")," ","-"),"--","-"),"--","-"),"--","-")&amp;"-","")</f>
        <v/>
      </c>
      <c r="CI2006">
        <f>IFERROR(IF('월 가계부'!A2006="","",IF(ISNUMBER('월 가계부'!A2006),IF(AND('월 가계부'!A2006&gt;=19000101,'월 가계부'!A2006&lt;=21001231),IF(AND(MOD(INT('월 가계부'!A2006/100),100)&gt;=1,MOD(INT('월 가계부'!A2006/100),100)&lt;=12,MOD(INT('월 가계부'!A2006),100)&gt;=1,MOD(INT('월 가계부'!A2006),100)&lt;=31),IF(MONTH(DATE(INT('월 가계부'!A2006/10000),MOD(INT('월 가계부'!A2006/100),100),MOD(INT('월 가계부'!A2006),100)))=MOD(INT('월 가계부'!A2006/100),100),DATE(INT('월 가계부'!A2006/10000),MOD(INT('월 가계부'!A2006/100),100),MOD(INT('월 가계부'!A2006),100)),""),""),IF(AND('월 가계부'!A2006&gt;=36526,'월 가계부'!A2006&lt;73051),INT('월 가계부'!A2006),"")),IF(OR(CM2006="",CN2006="",CO2006=""),"",IF(AND(CM2006&gt;=2000,CM2006&lt;=2099,CN2006&gt;=1,CN2006&lt;=12,CO2006&gt;=1,CO2006&lt;=31),IF(MONTH(DATE(CM2006,CN2006,CO2006))=CN2006,DATE(CM2006,CN2006,CO2006),""),"")))),"")</f>
        <v/>
      </c>
      <c r="CJ2006">
        <f>IFERROR(IF('월 가계부'!C2006="","",IF(ISNUMBER('월 가계부'!C2006),'월 가계부'!C2006,VALUE(SUBSTITUTE(SUBSTITUTE(SUBSTITUTE(SUBSTITUTE(TRIM('월 가계부'!C2006),",",""),"원","")," ",""),"−","-")))),"")</f>
        <v/>
      </c>
      <c r="CK2006">
        <f>IF(ISNUMBER(CI2006),IF(CI2006&lt;$B$13,CI2006,""),"")</f>
        <v/>
      </c>
      <c r="CM2006">
        <f>IF(CH2006="","",IFERROR(IF(IF(AND(LEN(CH2006)=9,ISERROR(FIND("-",LEFT(CH2006,8))),ISNUMBER(-LEFT(CH2006,8))),VALUE(LEFT(CH2006,4)),VALUE(LEFT(CH2006,FIND("-",CH2006)-1)))&lt;100,IF(AND(LEN(CH2006)=9,ISERROR(FIND("-",LEFT(CH2006,8))),ISNUMBER(-LEFT(CH2006,8))),VALUE(LEFT(CH2006,4)),VALUE(LEFT(CH2006,FIND("-",CH2006)-1)))+2000,IF(AND(LEN(CH2006)=9,ISERROR(FIND("-",LEFT(CH2006,8))),ISNUMBER(-LEFT(CH2006,8))),VALUE(LEFT(CH2006,4)),VALUE(LEFT(CH2006,FIND("-",CH2006)-1)))),""))</f>
        <v/>
      </c>
      <c r="CN2006">
        <f>IF(CH2006="","",IFERROR(IF(AND(LEN(CH2006)=9,ISERROR(FIND("-",LEFT(CH2006,8))),ISNUMBER(-LEFT(CH2006,8))),VALUE(MID(CH2006,5,2)),VALUE(MID(CH2006,FIND("-",CH2006)+1,FIND("-",CH2006,FIND("-",CH2006)+1)-FIND("-",CH2006)-1))),""))</f>
        <v/>
      </c>
      <c r="CO2006">
        <f>IF(CH2006="","",IFERROR(IF(AND(LEN(CH2006)=9,ISERROR(FIND("-",LEFT(CH2006,8))),ISNUMBER(-LEFT(CH2006,8))),VALUE(MID(CH2006,7,2)),VALUE(MID(CH2006,FIND("-",CH2006,FIND("-",CH2006)+1)+1,FIND("-",CH2006,FIND("-",CH2006,FIND("-",CH2006)+1)+1)-FIND("-",CH2006,FIND("-",CH2006)+1)-1))),""))</f>
        <v/>
      </c>
    </row>
    <row r="2007">
      <c r="CH2007">
        <f>IF(ISTEXT('월 가계부'!A2007),SUBSTITUTE(SUBSTITUTE(SUBSTITUTE(SUBSTITUTE(SUBSTITUTE(SUBSTITUTE(SUBSTITUTE(SUBSTITUTE(SUBSTITUTE(TRIM('월 가계부'!A2007),"년","-"),"월","-"),"일",""),".","-"),"/","-")," ","-"),"--","-"),"--","-"),"--","-")&amp;"-","")</f>
        <v/>
      </c>
      <c r="CI2007">
        <f>IFERROR(IF('월 가계부'!A2007="","",IF(ISNUMBER('월 가계부'!A2007),IF(AND('월 가계부'!A2007&gt;=19000101,'월 가계부'!A2007&lt;=21001231),IF(AND(MOD(INT('월 가계부'!A2007/100),100)&gt;=1,MOD(INT('월 가계부'!A2007/100),100)&lt;=12,MOD(INT('월 가계부'!A2007),100)&gt;=1,MOD(INT('월 가계부'!A2007),100)&lt;=31),IF(MONTH(DATE(INT('월 가계부'!A2007/10000),MOD(INT('월 가계부'!A2007/100),100),MOD(INT('월 가계부'!A2007),100)))=MOD(INT('월 가계부'!A2007/100),100),DATE(INT('월 가계부'!A2007/10000),MOD(INT('월 가계부'!A2007/100),100),MOD(INT('월 가계부'!A2007),100)),""),""),IF(AND('월 가계부'!A2007&gt;=36526,'월 가계부'!A2007&lt;73051),INT('월 가계부'!A2007),"")),IF(OR(CM2007="",CN2007="",CO2007=""),"",IF(AND(CM2007&gt;=2000,CM2007&lt;=2099,CN2007&gt;=1,CN2007&lt;=12,CO2007&gt;=1,CO2007&lt;=31),IF(MONTH(DATE(CM2007,CN2007,CO2007))=CN2007,DATE(CM2007,CN2007,CO2007),""),"")))),"")</f>
        <v/>
      </c>
      <c r="CJ2007">
        <f>IFERROR(IF('월 가계부'!C2007="","",IF(ISNUMBER('월 가계부'!C2007),'월 가계부'!C2007,VALUE(SUBSTITUTE(SUBSTITUTE(SUBSTITUTE(SUBSTITUTE(TRIM('월 가계부'!C2007),",",""),"원","")," ",""),"−","-")))),"")</f>
        <v/>
      </c>
      <c r="CK2007">
        <f>IF(ISNUMBER(CI2007),IF(CI2007&lt;$B$13,CI2007,""),"")</f>
        <v/>
      </c>
      <c r="CM2007">
        <f>IF(CH2007="","",IFERROR(IF(IF(AND(LEN(CH2007)=9,ISERROR(FIND("-",LEFT(CH2007,8))),ISNUMBER(-LEFT(CH2007,8))),VALUE(LEFT(CH2007,4)),VALUE(LEFT(CH2007,FIND("-",CH2007)-1)))&lt;100,IF(AND(LEN(CH2007)=9,ISERROR(FIND("-",LEFT(CH2007,8))),ISNUMBER(-LEFT(CH2007,8))),VALUE(LEFT(CH2007,4)),VALUE(LEFT(CH2007,FIND("-",CH2007)-1)))+2000,IF(AND(LEN(CH2007)=9,ISERROR(FIND("-",LEFT(CH2007,8))),ISNUMBER(-LEFT(CH2007,8))),VALUE(LEFT(CH2007,4)),VALUE(LEFT(CH2007,FIND("-",CH2007)-1)))),""))</f>
        <v/>
      </c>
      <c r="CN2007">
        <f>IF(CH2007="","",IFERROR(IF(AND(LEN(CH2007)=9,ISERROR(FIND("-",LEFT(CH2007,8))),ISNUMBER(-LEFT(CH2007,8))),VALUE(MID(CH2007,5,2)),VALUE(MID(CH2007,FIND("-",CH2007)+1,FIND("-",CH2007,FIND("-",CH2007)+1)-FIND("-",CH2007)-1))),""))</f>
        <v/>
      </c>
      <c r="CO2007">
        <f>IF(CH2007="","",IFERROR(IF(AND(LEN(CH2007)=9,ISERROR(FIND("-",LEFT(CH2007,8))),ISNUMBER(-LEFT(CH2007,8))),VALUE(MID(CH2007,7,2)),VALUE(MID(CH2007,FIND("-",CH2007,FIND("-",CH2007)+1)+1,FIND("-",CH2007,FIND("-",CH2007,FIND("-",CH2007)+1)+1)-FIND("-",CH2007,FIND("-",CH2007)+1)-1))),""))</f>
        <v/>
      </c>
    </row>
    <row r="2008">
      <c r="CH2008">
        <f>IF(ISTEXT('월 가계부'!A2008),SUBSTITUTE(SUBSTITUTE(SUBSTITUTE(SUBSTITUTE(SUBSTITUTE(SUBSTITUTE(SUBSTITUTE(SUBSTITUTE(SUBSTITUTE(TRIM('월 가계부'!A2008),"년","-"),"월","-"),"일",""),".","-"),"/","-")," ","-"),"--","-"),"--","-"),"--","-")&amp;"-","")</f>
        <v/>
      </c>
      <c r="CI2008">
        <f>IFERROR(IF('월 가계부'!A2008="","",IF(ISNUMBER('월 가계부'!A2008),IF(AND('월 가계부'!A2008&gt;=19000101,'월 가계부'!A2008&lt;=21001231),IF(AND(MOD(INT('월 가계부'!A2008/100),100)&gt;=1,MOD(INT('월 가계부'!A2008/100),100)&lt;=12,MOD(INT('월 가계부'!A2008),100)&gt;=1,MOD(INT('월 가계부'!A2008),100)&lt;=31),IF(MONTH(DATE(INT('월 가계부'!A2008/10000),MOD(INT('월 가계부'!A2008/100),100),MOD(INT('월 가계부'!A2008),100)))=MOD(INT('월 가계부'!A2008/100),100),DATE(INT('월 가계부'!A2008/10000),MOD(INT('월 가계부'!A2008/100),100),MOD(INT('월 가계부'!A2008),100)),""),""),IF(AND('월 가계부'!A2008&gt;=36526,'월 가계부'!A2008&lt;73051),INT('월 가계부'!A2008),"")),IF(OR(CM2008="",CN2008="",CO2008=""),"",IF(AND(CM2008&gt;=2000,CM2008&lt;=2099,CN2008&gt;=1,CN2008&lt;=12,CO2008&gt;=1,CO2008&lt;=31),IF(MONTH(DATE(CM2008,CN2008,CO2008))=CN2008,DATE(CM2008,CN2008,CO2008),""),"")))),"")</f>
        <v/>
      </c>
      <c r="CJ2008">
        <f>IFERROR(IF('월 가계부'!C2008="","",IF(ISNUMBER('월 가계부'!C2008),'월 가계부'!C2008,VALUE(SUBSTITUTE(SUBSTITUTE(SUBSTITUTE(SUBSTITUTE(TRIM('월 가계부'!C2008),",",""),"원","")," ",""),"−","-")))),"")</f>
        <v/>
      </c>
      <c r="CK2008">
        <f>IF(ISNUMBER(CI2008),IF(CI2008&lt;$B$13,CI2008,""),"")</f>
        <v/>
      </c>
      <c r="CM2008">
        <f>IF(CH2008="","",IFERROR(IF(IF(AND(LEN(CH2008)=9,ISERROR(FIND("-",LEFT(CH2008,8))),ISNUMBER(-LEFT(CH2008,8))),VALUE(LEFT(CH2008,4)),VALUE(LEFT(CH2008,FIND("-",CH2008)-1)))&lt;100,IF(AND(LEN(CH2008)=9,ISERROR(FIND("-",LEFT(CH2008,8))),ISNUMBER(-LEFT(CH2008,8))),VALUE(LEFT(CH2008,4)),VALUE(LEFT(CH2008,FIND("-",CH2008)-1)))+2000,IF(AND(LEN(CH2008)=9,ISERROR(FIND("-",LEFT(CH2008,8))),ISNUMBER(-LEFT(CH2008,8))),VALUE(LEFT(CH2008,4)),VALUE(LEFT(CH2008,FIND("-",CH2008)-1)))),""))</f>
        <v/>
      </c>
      <c r="CN2008">
        <f>IF(CH2008="","",IFERROR(IF(AND(LEN(CH2008)=9,ISERROR(FIND("-",LEFT(CH2008,8))),ISNUMBER(-LEFT(CH2008,8))),VALUE(MID(CH2008,5,2)),VALUE(MID(CH2008,FIND("-",CH2008)+1,FIND("-",CH2008,FIND("-",CH2008)+1)-FIND("-",CH2008)-1))),""))</f>
        <v/>
      </c>
      <c r="CO2008">
        <f>IF(CH2008="","",IFERROR(IF(AND(LEN(CH2008)=9,ISERROR(FIND("-",LEFT(CH2008,8))),ISNUMBER(-LEFT(CH2008,8))),VALUE(MID(CH2008,7,2)),VALUE(MID(CH2008,FIND("-",CH2008,FIND("-",CH2008)+1)+1,FIND("-",CH2008,FIND("-",CH2008,FIND("-",CH2008)+1)+1)-FIND("-",CH2008,FIND("-",CH2008)+1)-1))),""))</f>
        <v/>
      </c>
    </row>
    <row r="2009">
      <c r="CH2009">
        <f>IF(ISTEXT('월 가계부'!A2009),SUBSTITUTE(SUBSTITUTE(SUBSTITUTE(SUBSTITUTE(SUBSTITUTE(SUBSTITUTE(SUBSTITUTE(SUBSTITUTE(SUBSTITUTE(TRIM('월 가계부'!A2009),"년","-"),"월","-"),"일",""),".","-"),"/","-")," ","-"),"--","-"),"--","-"),"--","-")&amp;"-","")</f>
        <v/>
      </c>
      <c r="CI2009">
        <f>IFERROR(IF('월 가계부'!A2009="","",IF(ISNUMBER('월 가계부'!A2009),IF(AND('월 가계부'!A2009&gt;=19000101,'월 가계부'!A2009&lt;=21001231),IF(AND(MOD(INT('월 가계부'!A2009/100),100)&gt;=1,MOD(INT('월 가계부'!A2009/100),100)&lt;=12,MOD(INT('월 가계부'!A2009),100)&gt;=1,MOD(INT('월 가계부'!A2009),100)&lt;=31),IF(MONTH(DATE(INT('월 가계부'!A2009/10000),MOD(INT('월 가계부'!A2009/100),100),MOD(INT('월 가계부'!A2009),100)))=MOD(INT('월 가계부'!A2009/100),100),DATE(INT('월 가계부'!A2009/10000),MOD(INT('월 가계부'!A2009/100),100),MOD(INT('월 가계부'!A2009),100)),""),""),IF(AND('월 가계부'!A2009&gt;=36526,'월 가계부'!A2009&lt;73051),INT('월 가계부'!A2009),"")),IF(OR(CM2009="",CN2009="",CO2009=""),"",IF(AND(CM2009&gt;=2000,CM2009&lt;=2099,CN2009&gt;=1,CN2009&lt;=12,CO2009&gt;=1,CO2009&lt;=31),IF(MONTH(DATE(CM2009,CN2009,CO2009))=CN2009,DATE(CM2009,CN2009,CO2009),""),"")))),"")</f>
        <v/>
      </c>
      <c r="CJ2009">
        <f>IFERROR(IF('월 가계부'!C2009="","",IF(ISNUMBER('월 가계부'!C2009),'월 가계부'!C2009,VALUE(SUBSTITUTE(SUBSTITUTE(SUBSTITUTE(SUBSTITUTE(TRIM('월 가계부'!C2009),",",""),"원","")," ",""),"−","-")))),"")</f>
        <v/>
      </c>
      <c r="CK2009">
        <f>IF(ISNUMBER(CI2009),IF(CI2009&lt;$B$13,CI2009,""),"")</f>
        <v/>
      </c>
      <c r="CM2009">
        <f>IF(CH2009="","",IFERROR(IF(IF(AND(LEN(CH2009)=9,ISERROR(FIND("-",LEFT(CH2009,8))),ISNUMBER(-LEFT(CH2009,8))),VALUE(LEFT(CH2009,4)),VALUE(LEFT(CH2009,FIND("-",CH2009)-1)))&lt;100,IF(AND(LEN(CH2009)=9,ISERROR(FIND("-",LEFT(CH2009,8))),ISNUMBER(-LEFT(CH2009,8))),VALUE(LEFT(CH2009,4)),VALUE(LEFT(CH2009,FIND("-",CH2009)-1)))+2000,IF(AND(LEN(CH2009)=9,ISERROR(FIND("-",LEFT(CH2009,8))),ISNUMBER(-LEFT(CH2009,8))),VALUE(LEFT(CH2009,4)),VALUE(LEFT(CH2009,FIND("-",CH2009)-1)))),""))</f>
        <v/>
      </c>
      <c r="CN2009">
        <f>IF(CH2009="","",IFERROR(IF(AND(LEN(CH2009)=9,ISERROR(FIND("-",LEFT(CH2009,8))),ISNUMBER(-LEFT(CH2009,8))),VALUE(MID(CH2009,5,2)),VALUE(MID(CH2009,FIND("-",CH2009)+1,FIND("-",CH2009,FIND("-",CH2009)+1)-FIND("-",CH2009)-1))),""))</f>
        <v/>
      </c>
      <c r="CO2009">
        <f>IF(CH2009="","",IFERROR(IF(AND(LEN(CH2009)=9,ISERROR(FIND("-",LEFT(CH2009,8))),ISNUMBER(-LEFT(CH2009,8))),VALUE(MID(CH2009,7,2)),VALUE(MID(CH2009,FIND("-",CH2009,FIND("-",CH2009)+1)+1,FIND("-",CH2009,FIND("-",CH2009,FIND("-",CH2009)+1)+1)-FIND("-",CH2009,FIND("-",CH2009)+1)-1))),""))</f>
        <v/>
      </c>
    </row>
    <row r="2010">
      <c r="CH2010">
        <f>IF(ISTEXT('월 가계부'!A2010),SUBSTITUTE(SUBSTITUTE(SUBSTITUTE(SUBSTITUTE(SUBSTITUTE(SUBSTITUTE(SUBSTITUTE(SUBSTITUTE(SUBSTITUTE(TRIM('월 가계부'!A2010),"년","-"),"월","-"),"일",""),".","-"),"/","-")," ","-"),"--","-"),"--","-"),"--","-")&amp;"-","")</f>
        <v/>
      </c>
      <c r="CI2010">
        <f>IFERROR(IF('월 가계부'!A2010="","",IF(ISNUMBER('월 가계부'!A2010),IF(AND('월 가계부'!A2010&gt;=19000101,'월 가계부'!A2010&lt;=21001231),IF(AND(MOD(INT('월 가계부'!A2010/100),100)&gt;=1,MOD(INT('월 가계부'!A2010/100),100)&lt;=12,MOD(INT('월 가계부'!A2010),100)&gt;=1,MOD(INT('월 가계부'!A2010),100)&lt;=31),IF(MONTH(DATE(INT('월 가계부'!A2010/10000),MOD(INT('월 가계부'!A2010/100),100),MOD(INT('월 가계부'!A2010),100)))=MOD(INT('월 가계부'!A2010/100),100),DATE(INT('월 가계부'!A2010/10000),MOD(INT('월 가계부'!A2010/100),100),MOD(INT('월 가계부'!A2010),100)),""),""),IF(AND('월 가계부'!A2010&gt;=36526,'월 가계부'!A2010&lt;73051),INT('월 가계부'!A2010),"")),IF(OR(CM2010="",CN2010="",CO2010=""),"",IF(AND(CM2010&gt;=2000,CM2010&lt;=2099,CN2010&gt;=1,CN2010&lt;=12,CO2010&gt;=1,CO2010&lt;=31),IF(MONTH(DATE(CM2010,CN2010,CO2010))=CN2010,DATE(CM2010,CN2010,CO2010),""),"")))),"")</f>
        <v/>
      </c>
      <c r="CJ2010">
        <f>IFERROR(IF('월 가계부'!C2010="","",IF(ISNUMBER('월 가계부'!C2010),'월 가계부'!C2010,VALUE(SUBSTITUTE(SUBSTITUTE(SUBSTITUTE(SUBSTITUTE(TRIM('월 가계부'!C2010),",",""),"원","")," ",""),"−","-")))),"")</f>
        <v/>
      </c>
      <c r="CK2010">
        <f>IF(ISNUMBER(CI2010),IF(CI2010&lt;$B$13,CI2010,""),"")</f>
        <v/>
      </c>
      <c r="CM2010">
        <f>IF(CH2010="","",IFERROR(IF(IF(AND(LEN(CH2010)=9,ISERROR(FIND("-",LEFT(CH2010,8))),ISNUMBER(-LEFT(CH2010,8))),VALUE(LEFT(CH2010,4)),VALUE(LEFT(CH2010,FIND("-",CH2010)-1)))&lt;100,IF(AND(LEN(CH2010)=9,ISERROR(FIND("-",LEFT(CH2010,8))),ISNUMBER(-LEFT(CH2010,8))),VALUE(LEFT(CH2010,4)),VALUE(LEFT(CH2010,FIND("-",CH2010)-1)))+2000,IF(AND(LEN(CH2010)=9,ISERROR(FIND("-",LEFT(CH2010,8))),ISNUMBER(-LEFT(CH2010,8))),VALUE(LEFT(CH2010,4)),VALUE(LEFT(CH2010,FIND("-",CH2010)-1)))),""))</f>
        <v/>
      </c>
      <c r="CN2010">
        <f>IF(CH2010="","",IFERROR(IF(AND(LEN(CH2010)=9,ISERROR(FIND("-",LEFT(CH2010,8))),ISNUMBER(-LEFT(CH2010,8))),VALUE(MID(CH2010,5,2)),VALUE(MID(CH2010,FIND("-",CH2010)+1,FIND("-",CH2010,FIND("-",CH2010)+1)-FIND("-",CH2010)-1))),""))</f>
        <v/>
      </c>
      <c r="CO2010">
        <f>IF(CH2010="","",IFERROR(IF(AND(LEN(CH2010)=9,ISERROR(FIND("-",LEFT(CH2010,8))),ISNUMBER(-LEFT(CH2010,8))),VALUE(MID(CH2010,7,2)),VALUE(MID(CH2010,FIND("-",CH2010,FIND("-",CH2010)+1)+1,FIND("-",CH2010,FIND("-",CH2010,FIND("-",CH2010)+1)+1)-FIND("-",CH2010,FIND("-",CH2010)+1)-1))),""))</f>
        <v/>
      </c>
    </row>
    <row r="2011">
      <c r="CH2011">
        <f>IF(ISTEXT('월 가계부'!A2011),SUBSTITUTE(SUBSTITUTE(SUBSTITUTE(SUBSTITUTE(SUBSTITUTE(SUBSTITUTE(SUBSTITUTE(SUBSTITUTE(SUBSTITUTE(TRIM('월 가계부'!A2011),"년","-"),"월","-"),"일",""),".","-"),"/","-")," ","-"),"--","-"),"--","-"),"--","-")&amp;"-","")</f>
        <v/>
      </c>
      <c r="CI2011">
        <f>IFERROR(IF('월 가계부'!A2011="","",IF(ISNUMBER('월 가계부'!A2011),IF(AND('월 가계부'!A2011&gt;=19000101,'월 가계부'!A2011&lt;=21001231),IF(AND(MOD(INT('월 가계부'!A2011/100),100)&gt;=1,MOD(INT('월 가계부'!A2011/100),100)&lt;=12,MOD(INT('월 가계부'!A2011),100)&gt;=1,MOD(INT('월 가계부'!A2011),100)&lt;=31),IF(MONTH(DATE(INT('월 가계부'!A2011/10000),MOD(INT('월 가계부'!A2011/100),100),MOD(INT('월 가계부'!A2011),100)))=MOD(INT('월 가계부'!A2011/100),100),DATE(INT('월 가계부'!A2011/10000),MOD(INT('월 가계부'!A2011/100),100),MOD(INT('월 가계부'!A2011),100)),""),""),IF(AND('월 가계부'!A2011&gt;=36526,'월 가계부'!A2011&lt;73051),INT('월 가계부'!A2011),"")),IF(OR(CM2011="",CN2011="",CO2011=""),"",IF(AND(CM2011&gt;=2000,CM2011&lt;=2099,CN2011&gt;=1,CN2011&lt;=12,CO2011&gt;=1,CO2011&lt;=31),IF(MONTH(DATE(CM2011,CN2011,CO2011))=CN2011,DATE(CM2011,CN2011,CO2011),""),"")))),"")</f>
        <v/>
      </c>
      <c r="CJ2011">
        <f>IFERROR(IF('월 가계부'!C2011="","",IF(ISNUMBER('월 가계부'!C2011),'월 가계부'!C2011,VALUE(SUBSTITUTE(SUBSTITUTE(SUBSTITUTE(SUBSTITUTE(TRIM('월 가계부'!C2011),",",""),"원","")," ",""),"−","-")))),"")</f>
        <v/>
      </c>
      <c r="CK2011">
        <f>IF(ISNUMBER(CI2011),IF(CI2011&lt;$B$13,CI2011,""),"")</f>
        <v/>
      </c>
      <c r="CM2011">
        <f>IF(CH2011="","",IFERROR(IF(IF(AND(LEN(CH2011)=9,ISERROR(FIND("-",LEFT(CH2011,8))),ISNUMBER(-LEFT(CH2011,8))),VALUE(LEFT(CH2011,4)),VALUE(LEFT(CH2011,FIND("-",CH2011)-1)))&lt;100,IF(AND(LEN(CH2011)=9,ISERROR(FIND("-",LEFT(CH2011,8))),ISNUMBER(-LEFT(CH2011,8))),VALUE(LEFT(CH2011,4)),VALUE(LEFT(CH2011,FIND("-",CH2011)-1)))+2000,IF(AND(LEN(CH2011)=9,ISERROR(FIND("-",LEFT(CH2011,8))),ISNUMBER(-LEFT(CH2011,8))),VALUE(LEFT(CH2011,4)),VALUE(LEFT(CH2011,FIND("-",CH2011)-1)))),""))</f>
        <v/>
      </c>
      <c r="CN2011">
        <f>IF(CH2011="","",IFERROR(IF(AND(LEN(CH2011)=9,ISERROR(FIND("-",LEFT(CH2011,8))),ISNUMBER(-LEFT(CH2011,8))),VALUE(MID(CH2011,5,2)),VALUE(MID(CH2011,FIND("-",CH2011)+1,FIND("-",CH2011,FIND("-",CH2011)+1)-FIND("-",CH2011)-1))),""))</f>
        <v/>
      </c>
      <c r="CO2011">
        <f>IF(CH2011="","",IFERROR(IF(AND(LEN(CH2011)=9,ISERROR(FIND("-",LEFT(CH2011,8))),ISNUMBER(-LEFT(CH2011,8))),VALUE(MID(CH2011,7,2)),VALUE(MID(CH2011,FIND("-",CH2011,FIND("-",CH2011)+1)+1,FIND("-",CH2011,FIND("-",CH2011,FIND("-",CH2011)+1)+1)-FIND("-",CH2011,FIND("-",CH2011)+1)-1))),""))</f>
        <v/>
      </c>
    </row>
    <row r="2012">
      <c r="CH2012">
        <f>IF(ISTEXT('월 가계부'!A2012),SUBSTITUTE(SUBSTITUTE(SUBSTITUTE(SUBSTITUTE(SUBSTITUTE(SUBSTITUTE(SUBSTITUTE(SUBSTITUTE(SUBSTITUTE(TRIM('월 가계부'!A2012),"년","-"),"월","-"),"일",""),".","-"),"/","-")," ","-"),"--","-"),"--","-"),"--","-")&amp;"-","")</f>
        <v/>
      </c>
      <c r="CI2012">
        <f>IFERROR(IF('월 가계부'!A2012="","",IF(ISNUMBER('월 가계부'!A2012),IF(AND('월 가계부'!A2012&gt;=19000101,'월 가계부'!A2012&lt;=21001231),IF(AND(MOD(INT('월 가계부'!A2012/100),100)&gt;=1,MOD(INT('월 가계부'!A2012/100),100)&lt;=12,MOD(INT('월 가계부'!A2012),100)&gt;=1,MOD(INT('월 가계부'!A2012),100)&lt;=31),IF(MONTH(DATE(INT('월 가계부'!A2012/10000),MOD(INT('월 가계부'!A2012/100),100),MOD(INT('월 가계부'!A2012),100)))=MOD(INT('월 가계부'!A2012/100),100),DATE(INT('월 가계부'!A2012/10000),MOD(INT('월 가계부'!A2012/100),100),MOD(INT('월 가계부'!A2012),100)),""),""),IF(AND('월 가계부'!A2012&gt;=36526,'월 가계부'!A2012&lt;73051),INT('월 가계부'!A2012),"")),IF(OR(CM2012="",CN2012="",CO2012=""),"",IF(AND(CM2012&gt;=2000,CM2012&lt;=2099,CN2012&gt;=1,CN2012&lt;=12,CO2012&gt;=1,CO2012&lt;=31),IF(MONTH(DATE(CM2012,CN2012,CO2012))=CN2012,DATE(CM2012,CN2012,CO2012),""),"")))),"")</f>
        <v/>
      </c>
      <c r="CJ2012">
        <f>IFERROR(IF('월 가계부'!C2012="","",IF(ISNUMBER('월 가계부'!C2012),'월 가계부'!C2012,VALUE(SUBSTITUTE(SUBSTITUTE(SUBSTITUTE(SUBSTITUTE(TRIM('월 가계부'!C2012),",",""),"원","")," ",""),"−","-")))),"")</f>
        <v/>
      </c>
      <c r="CK2012">
        <f>IF(ISNUMBER(CI2012),IF(CI2012&lt;$B$13,CI2012,""),"")</f>
        <v/>
      </c>
      <c r="CM2012">
        <f>IF(CH2012="","",IFERROR(IF(IF(AND(LEN(CH2012)=9,ISERROR(FIND("-",LEFT(CH2012,8))),ISNUMBER(-LEFT(CH2012,8))),VALUE(LEFT(CH2012,4)),VALUE(LEFT(CH2012,FIND("-",CH2012)-1)))&lt;100,IF(AND(LEN(CH2012)=9,ISERROR(FIND("-",LEFT(CH2012,8))),ISNUMBER(-LEFT(CH2012,8))),VALUE(LEFT(CH2012,4)),VALUE(LEFT(CH2012,FIND("-",CH2012)-1)))+2000,IF(AND(LEN(CH2012)=9,ISERROR(FIND("-",LEFT(CH2012,8))),ISNUMBER(-LEFT(CH2012,8))),VALUE(LEFT(CH2012,4)),VALUE(LEFT(CH2012,FIND("-",CH2012)-1)))),""))</f>
        <v/>
      </c>
      <c r="CN2012">
        <f>IF(CH2012="","",IFERROR(IF(AND(LEN(CH2012)=9,ISERROR(FIND("-",LEFT(CH2012,8))),ISNUMBER(-LEFT(CH2012,8))),VALUE(MID(CH2012,5,2)),VALUE(MID(CH2012,FIND("-",CH2012)+1,FIND("-",CH2012,FIND("-",CH2012)+1)-FIND("-",CH2012)-1))),""))</f>
        <v/>
      </c>
      <c r="CO2012">
        <f>IF(CH2012="","",IFERROR(IF(AND(LEN(CH2012)=9,ISERROR(FIND("-",LEFT(CH2012,8))),ISNUMBER(-LEFT(CH2012,8))),VALUE(MID(CH2012,7,2)),VALUE(MID(CH2012,FIND("-",CH2012,FIND("-",CH2012)+1)+1,FIND("-",CH2012,FIND("-",CH2012,FIND("-",CH2012)+1)+1)-FIND("-",CH2012,FIND("-",CH2012)+1)-1))),""))</f>
        <v/>
      </c>
    </row>
    <row r="2013">
      <c r="CH2013">
        <f>IF(ISTEXT('월 가계부'!A2013),SUBSTITUTE(SUBSTITUTE(SUBSTITUTE(SUBSTITUTE(SUBSTITUTE(SUBSTITUTE(SUBSTITUTE(SUBSTITUTE(SUBSTITUTE(TRIM('월 가계부'!A2013),"년","-"),"월","-"),"일",""),".","-"),"/","-")," ","-"),"--","-"),"--","-"),"--","-")&amp;"-","")</f>
        <v/>
      </c>
      <c r="CI2013">
        <f>IFERROR(IF('월 가계부'!A2013="","",IF(ISNUMBER('월 가계부'!A2013),IF(AND('월 가계부'!A2013&gt;=19000101,'월 가계부'!A2013&lt;=21001231),IF(AND(MOD(INT('월 가계부'!A2013/100),100)&gt;=1,MOD(INT('월 가계부'!A2013/100),100)&lt;=12,MOD(INT('월 가계부'!A2013),100)&gt;=1,MOD(INT('월 가계부'!A2013),100)&lt;=31),IF(MONTH(DATE(INT('월 가계부'!A2013/10000),MOD(INT('월 가계부'!A2013/100),100),MOD(INT('월 가계부'!A2013),100)))=MOD(INT('월 가계부'!A2013/100),100),DATE(INT('월 가계부'!A2013/10000),MOD(INT('월 가계부'!A2013/100),100),MOD(INT('월 가계부'!A2013),100)),""),""),IF(AND('월 가계부'!A2013&gt;=36526,'월 가계부'!A2013&lt;73051),INT('월 가계부'!A2013),"")),IF(OR(CM2013="",CN2013="",CO2013=""),"",IF(AND(CM2013&gt;=2000,CM2013&lt;=2099,CN2013&gt;=1,CN2013&lt;=12,CO2013&gt;=1,CO2013&lt;=31),IF(MONTH(DATE(CM2013,CN2013,CO2013))=CN2013,DATE(CM2013,CN2013,CO2013),""),"")))),"")</f>
        <v/>
      </c>
      <c r="CJ2013">
        <f>IFERROR(IF('월 가계부'!C2013="","",IF(ISNUMBER('월 가계부'!C2013),'월 가계부'!C2013,VALUE(SUBSTITUTE(SUBSTITUTE(SUBSTITUTE(SUBSTITUTE(TRIM('월 가계부'!C2013),",",""),"원","")," ",""),"−","-")))),"")</f>
        <v/>
      </c>
      <c r="CK2013">
        <f>IF(ISNUMBER(CI2013),IF(CI2013&lt;$B$13,CI2013,""),"")</f>
        <v/>
      </c>
      <c r="CM2013">
        <f>IF(CH2013="","",IFERROR(IF(IF(AND(LEN(CH2013)=9,ISERROR(FIND("-",LEFT(CH2013,8))),ISNUMBER(-LEFT(CH2013,8))),VALUE(LEFT(CH2013,4)),VALUE(LEFT(CH2013,FIND("-",CH2013)-1)))&lt;100,IF(AND(LEN(CH2013)=9,ISERROR(FIND("-",LEFT(CH2013,8))),ISNUMBER(-LEFT(CH2013,8))),VALUE(LEFT(CH2013,4)),VALUE(LEFT(CH2013,FIND("-",CH2013)-1)))+2000,IF(AND(LEN(CH2013)=9,ISERROR(FIND("-",LEFT(CH2013,8))),ISNUMBER(-LEFT(CH2013,8))),VALUE(LEFT(CH2013,4)),VALUE(LEFT(CH2013,FIND("-",CH2013)-1)))),""))</f>
        <v/>
      </c>
      <c r="CN2013">
        <f>IF(CH2013="","",IFERROR(IF(AND(LEN(CH2013)=9,ISERROR(FIND("-",LEFT(CH2013,8))),ISNUMBER(-LEFT(CH2013,8))),VALUE(MID(CH2013,5,2)),VALUE(MID(CH2013,FIND("-",CH2013)+1,FIND("-",CH2013,FIND("-",CH2013)+1)-FIND("-",CH2013)-1))),""))</f>
        <v/>
      </c>
      <c r="CO2013">
        <f>IF(CH2013="","",IFERROR(IF(AND(LEN(CH2013)=9,ISERROR(FIND("-",LEFT(CH2013,8))),ISNUMBER(-LEFT(CH2013,8))),VALUE(MID(CH2013,7,2)),VALUE(MID(CH2013,FIND("-",CH2013,FIND("-",CH2013)+1)+1,FIND("-",CH2013,FIND("-",CH2013,FIND("-",CH2013)+1)+1)-FIND("-",CH2013,FIND("-",CH2013)+1)-1))),""))</f>
        <v/>
      </c>
    </row>
    <row r="2014">
      <c r="CH2014">
        <f>IF(ISTEXT('월 가계부'!A2014),SUBSTITUTE(SUBSTITUTE(SUBSTITUTE(SUBSTITUTE(SUBSTITUTE(SUBSTITUTE(SUBSTITUTE(SUBSTITUTE(SUBSTITUTE(TRIM('월 가계부'!A2014),"년","-"),"월","-"),"일",""),".","-"),"/","-")," ","-"),"--","-"),"--","-"),"--","-")&amp;"-","")</f>
        <v/>
      </c>
      <c r="CI2014">
        <f>IFERROR(IF('월 가계부'!A2014="","",IF(ISNUMBER('월 가계부'!A2014),IF(AND('월 가계부'!A2014&gt;=19000101,'월 가계부'!A2014&lt;=21001231),IF(AND(MOD(INT('월 가계부'!A2014/100),100)&gt;=1,MOD(INT('월 가계부'!A2014/100),100)&lt;=12,MOD(INT('월 가계부'!A2014),100)&gt;=1,MOD(INT('월 가계부'!A2014),100)&lt;=31),IF(MONTH(DATE(INT('월 가계부'!A2014/10000),MOD(INT('월 가계부'!A2014/100),100),MOD(INT('월 가계부'!A2014),100)))=MOD(INT('월 가계부'!A2014/100),100),DATE(INT('월 가계부'!A2014/10000),MOD(INT('월 가계부'!A2014/100),100),MOD(INT('월 가계부'!A2014),100)),""),""),IF(AND('월 가계부'!A2014&gt;=36526,'월 가계부'!A2014&lt;73051),INT('월 가계부'!A2014),"")),IF(OR(CM2014="",CN2014="",CO2014=""),"",IF(AND(CM2014&gt;=2000,CM2014&lt;=2099,CN2014&gt;=1,CN2014&lt;=12,CO2014&gt;=1,CO2014&lt;=31),IF(MONTH(DATE(CM2014,CN2014,CO2014))=CN2014,DATE(CM2014,CN2014,CO2014),""),"")))),"")</f>
        <v/>
      </c>
      <c r="CJ2014">
        <f>IFERROR(IF('월 가계부'!C2014="","",IF(ISNUMBER('월 가계부'!C2014),'월 가계부'!C2014,VALUE(SUBSTITUTE(SUBSTITUTE(SUBSTITUTE(SUBSTITUTE(TRIM('월 가계부'!C2014),",",""),"원","")," ",""),"−","-")))),"")</f>
        <v/>
      </c>
      <c r="CK2014">
        <f>IF(ISNUMBER(CI2014),IF(CI2014&lt;$B$13,CI2014,""),"")</f>
        <v/>
      </c>
      <c r="CM2014">
        <f>IF(CH2014="","",IFERROR(IF(IF(AND(LEN(CH2014)=9,ISERROR(FIND("-",LEFT(CH2014,8))),ISNUMBER(-LEFT(CH2014,8))),VALUE(LEFT(CH2014,4)),VALUE(LEFT(CH2014,FIND("-",CH2014)-1)))&lt;100,IF(AND(LEN(CH2014)=9,ISERROR(FIND("-",LEFT(CH2014,8))),ISNUMBER(-LEFT(CH2014,8))),VALUE(LEFT(CH2014,4)),VALUE(LEFT(CH2014,FIND("-",CH2014)-1)))+2000,IF(AND(LEN(CH2014)=9,ISERROR(FIND("-",LEFT(CH2014,8))),ISNUMBER(-LEFT(CH2014,8))),VALUE(LEFT(CH2014,4)),VALUE(LEFT(CH2014,FIND("-",CH2014)-1)))),""))</f>
        <v/>
      </c>
      <c r="CN2014">
        <f>IF(CH2014="","",IFERROR(IF(AND(LEN(CH2014)=9,ISERROR(FIND("-",LEFT(CH2014,8))),ISNUMBER(-LEFT(CH2014,8))),VALUE(MID(CH2014,5,2)),VALUE(MID(CH2014,FIND("-",CH2014)+1,FIND("-",CH2014,FIND("-",CH2014)+1)-FIND("-",CH2014)-1))),""))</f>
        <v/>
      </c>
      <c r="CO2014">
        <f>IF(CH2014="","",IFERROR(IF(AND(LEN(CH2014)=9,ISERROR(FIND("-",LEFT(CH2014,8))),ISNUMBER(-LEFT(CH2014,8))),VALUE(MID(CH2014,7,2)),VALUE(MID(CH2014,FIND("-",CH2014,FIND("-",CH2014)+1)+1,FIND("-",CH2014,FIND("-",CH2014,FIND("-",CH2014)+1)+1)-FIND("-",CH2014,FIND("-",CH2014)+1)-1))),""))</f>
        <v/>
      </c>
    </row>
    <row r="2015">
      <c r="CH2015">
        <f>IF(ISTEXT('월 가계부'!A2015),SUBSTITUTE(SUBSTITUTE(SUBSTITUTE(SUBSTITUTE(SUBSTITUTE(SUBSTITUTE(SUBSTITUTE(SUBSTITUTE(SUBSTITUTE(TRIM('월 가계부'!A2015),"년","-"),"월","-"),"일",""),".","-"),"/","-")," ","-"),"--","-"),"--","-"),"--","-")&amp;"-","")</f>
        <v/>
      </c>
      <c r="CI2015">
        <f>IFERROR(IF('월 가계부'!A2015="","",IF(ISNUMBER('월 가계부'!A2015),IF(AND('월 가계부'!A2015&gt;=19000101,'월 가계부'!A2015&lt;=21001231),IF(AND(MOD(INT('월 가계부'!A2015/100),100)&gt;=1,MOD(INT('월 가계부'!A2015/100),100)&lt;=12,MOD(INT('월 가계부'!A2015),100)&gt;=1,MOD(INT('월 가계부'!A2015),100)&lt;=31),IF(MONTH(DATE(INT('월 가계부'!A2015/10000),MOD(INT('월 가계부'!A2015/100),100),MOD(INT('월 가계부'!A2015),100)))=MOD(INT('월 가계부'!A2015/100),100),DATE(INT('월 가계부'!A2015/10000),MOD(INT('월 가계부'!A2015/100),100),MOD(INT('월 가계부'!A2015),100)),""),""),IF(AND('월 가계부'!A2015&gt;=36526,'월 가계부'!A2015&lt;73051),INT('월 가계부'!A2015),"")),IF(OR(CM2015="",CN2015="",CO2015=""),"",IF(AND(CM2015&gt;=2000,CM2015&lt;=2099,CN2015&gt;=1,CN2015&lt;=12,CO2015&gt;=1,CO2015&lt;=31),IF(MONTH(DATE(CM2015,CN2015,CO2015))=CN2015,DATE(CM2015,CN2015,CO2015),""),"")))),"")</f>
        <v/>
      </c>
      <c r="CJ2015">
        <f>IFERROR(IF('월 가계부'!C2015="","",IF(ISNUMBER('월 가계부'!C2015),'월 가계부'!C2015,VALUE(SUBSTITUTE(SUBSTITUTE(SUBSTITUTE(SUBSTITUTE(TRIM('월 가계부'!C2015),",",""),"원","")," ",""),"−","-")))),"")</f>
        <v/>
      </c>
      <c r="CK2015">
        <f>IF(ISNUMBER(CI2015),IF(CI2015&lt;$B$13,CI2015,""),"")</f>
        <v/>
      </c>
      <c r="CM2015">
        <f>IF(CH2015="","",IFERROR(IF(IF(AND(LEN(CH2015)=9,ISERROR(FIND("-",LEFT(CH2015,8))),ISNUMBER(-LEFT(CH2015,8))),VALUE(LEFT(CH2015,4)),VALUE(LEFT(CH2015,FIND("-",CH2015)-1)))&lt;100,IF(AND(LEN(CH2015)=9,ISERROR(FIND("-",LEFT(CH2015,8))),ISNUMBER(-LEFT(CH2015,8))),VALUE(LEFT(CH2015,4)),VALUE(LEFT(CH2015,FIND("-",CH2015)-1)))+2000,IF(AND(LEN(CH2015)=9,ISERROR(FIND("-",LEFT(CH2015,8))),ISNUMBER(-LEFT(CH2015,8))),VALUE(LEFT(CH2015,4)),VALUE(LEFT(CH2015,FIND("-",CH2015)-1)))),""))</f>
        <v/>
      </c>
      <c r="CN2015">
        <f>IF(CH2015="","",IFERROR(IF(AND(LEN(CH2015)=9,ISERROR(FIND("-",LEFT(CH2015,8))),ISNUMBER(-LEFT(CH2015,8))),VALUE(MID(CH2015,5,2)),VALUE(MID(CH2015,FIND("-",CH2015)+1,FIND("-",CH2015,FIND("-",CH2015)+1)-FIND("-",CH2015)-1))),""))</f>
        <v/>
      </c>
      <c r="CO2015">
        <f>IF(CH2015="","",IFERROR(IF(AND(LEN(CH2015)=9,ISERROR(FIND("-",LEFT(CH2015,8))),ISNUMBER(-LEFT(CH2015,8))),VALUE(MID(CH2015,7,2)),VALUE(MID(CH2015,FIND("-",CH2015,FIND("-",CH2015)+1)+1,FIND("-",CH2015,FIND("-",CH2015,FIND("-",CH2015)+1)+1)-FIND("-",CH2015,FIND("-",CH2015)+1)-1))),""))</f>
        <v/>
      </c>
    </row>
    <row r="2016">
      <c r="CH2016">
        <f>IF(ISTEXT('월 가계부'!A2016),SUBSTITUTE(SUBSTITUTE(SUBSTITUTE(SUBSTITUTE(SUBSTITUTE(SUBSTITUTE(SUBSTITUTE(SUBSTITUTE(SUBSTITUTE(TRIM('월 가계부'!A2016),"년","-"),"월","-"),"일",""),".","-"),"/","-")," ","-"),"--","-"),"--","-"),"--","-")&amp;"-","")</f>
        <v/>
      </c>
      <c r="CI2016">
        <f>IFERROR(IF('월 가계부'!A2016="","",IF(ISNUMBER('월 가계부'!A2016),IF(AND('월 가계부'!A2016&gt;=19000101,'월 가계부'!A2016&lt;=21001231),IF(AND(MOD(INT('월 가계부'!A2016/100),100)&gt;=1,MOD(INT('월 가계부'!A2016/100),100)&lt;=12,MOD(INT('월 가계부'!A2016),100)&gt;=1,MOD(INT('월 가계부'!A2016),100)&lt;=31),IF(MONTH(DATE(INT('월 가계부'!A2016/10000),MOD(INT('월 가계부'!A2016/100),100),MOD(INT('월 가계부'!A2016),100)))=MOD(INT('월 가계부'!A2016/100),100),DATE(INT('월 가계부'!A2016/10000),MOD(INT('월 가계부'!A2016/100),100),MOD(INT('월 가계부'!A2016),100)),""),""),IF(AND('월 가계부'!A2016&gt;=36526,'월 가계부'!A2016&lt;73051),INT('월 가계부'!A2016),"")),IF(OR(CM2016="",CN2016="",CO2016=""),"",IF(AND(CM2016&gt;=2000,CM2016&lt;=2099,CN2016&gt;=1,CN2016&lt;=12,CO2016&gt;=1,CO2016&lt;=31),IF(MONTH(DATE(CM2016,CN2016,CO2016))=CN2016,DATE(CM2016,CN2016,CO2016),""),"")))),"")</f>
        <v/>
      </c>
      <c r="CJ2016">
        <f>IFERROR(IF('월 가계부'!C2016="","",IF(ISNUMBER('월 가계부'!C2016),'월 가계부'!C2016,VALUE(SUBSTITUTE(SUBSTITUTE(SUBSTITUTE(SUBSTITUTE(TRIM('월 가계부'!C2016),",",""),"원","")," ",""),"−","-")))),"")</f>
        <v/>
      </c>
      <c r="CK2016">
        <f>IF(ISNUMBER(CI2016),IF(CI2016&lt;$B$13,CI2016,""),"")</f>
        <v/>
      </c>
      <c r="CM2016">
        <f>IF(CH2016="","",IFERROR(IF(IF(AND(LEN(CH2016)=9,ISERROR(FIND("-",LEFT(CH2016,8))),ISNUMBER(-LEFT(CH2016,8))),VALUE(LEFT(CH2016,4)),VALUE(LEFT(CH2016,FIND("-",CH2016)-1)))&lt;100,IF(AND(LEN(CH2016)=9,ISERROR(FIND("-",LEFT(CH2016,8))),ISNUMBER(-LEFT(CH2016,8))),VALUE(LEFT(CH2016,4)),VALUE(LEFT(CH2016,FIND("-",CH2016)-1)))+2000,IF(AND(LEN(CH2016)=9,ISERROR(FIND("-",LEFT(CH2016,8))),ISNUMBER(-LEFT(CH2016,8))),VALUE(LEFT(CH2016,4)),VALUE(LEFT(CH2016,FIND("-",CH2016)-1)))),""))</f>
        <v/>
      </c>
      <c r="CN2016">
        <f>IF(CH2016="","",IFERROR(IF(AND(LEN(CH2016)=9,ISERROR(FIND("-",LEFT(CH2016,8))),ISNUMBER(-LEFT(CH2016,8))),VALUE(MID(CH2016,5,2)),VALUE(MID(CH2016,FIND("-",CH2016)+1,FIND("-",CH2016,FIND("-",CH2016)+1)-FIND("-",CH2016)-1))),""))</f>
        <v/>
      </c>
      <c r="CO2016">
        <f>IF(CH2016="","",IFERROR(IF(AND(LEN(CH2016)=9,ISERROR(FIND("-",LEFT(CH2016,8))),ISNUMBER(-LEFT(CH2016,8))),VALUE(MID(CH2016,7,2)),VALUE(MID(CH2016,FIND("-",CH2016,FIND("-",CH2016)+1)+1,FIND("-",CH2016,FIND("-",CH2016,FIND("-",CH2016)+1)+1)-FIND("-",CH2016,FIND("-",CH2016)+1)-1))),""))</f>
        <v/>
      </c>
    </row>
    <row r="2017">
      <c r="CH2017">
        <f>IF(ISTEXT('월 가계부'!A2017),SUBSTITUTE(SUBSTITUTE(SUBSTITUTE(SUBSTITUTE(SUBSTITUTE(SUBSTITUTE(SUBSTITUTE(SUBSTITUTE(SUBSTITUTE(TRIM('월 가계부'!A2017),"년","-"),"월","-"),"일",""),".","-"),"/","-")," ","-"),"--","-"),"--","-"),"--","-")&amp;"-","")</f>
        <v/>
      </c>
      <c r="CI2017">
        <f>IFERROR(IF('월 가계부'!A2017="","",IF(ISNUMBER('월 가계부'!A2017),IF(AND('월 가계부'!A2017&gt;=19000101,'월 가계부'!A2017&lt;=21001231),IF(AND(MOD(INT('월 가계부'!A2017/100),100)&gt;=1,MOD(INT('월 가계부'!A2017/100),100)&lt;=12,MOD(INT('월 가계부'!A2017),100)&gt;=1,MOD(INT('월 가계부'!A2017),100)&lt;=31),IF(MONTH(DATE(INT('월 가계부'!A2017/10000),MOD(INT('월 가계부'!A2017/100),100),MOD(INT('월 가계부'!A2017),100)))=MOD(INT('월 가계부'!A2017/100),100),DATE(INT('월 가계부'!A2017/10000),MOD(INT('월 가계부'!A2017/100),100),MOD(INT('월 가계부'!A2017),100)),""),""),IF(AND('월 가계부'!A2017&gt;=36526,'월 가계부'!A2017&lt;73051),INT('월 가계부'!A2017),"")),IF(OR(CM2017="",CN2017="",CO2017=""),"",IF(AND(CM2017&gt;=2000,CM2017&lt;=2099,CN2017&gt;=1,CN2017&lt;=12,CO2017&gt;=1,CO2017&lt;=31),IF(MONTH(DATE(CM2017,CN2017,CO2017))=CN2017,DATE(CM2017,CN2017,CO2017),""),"")))),"")</f>
        <v/>
      </c>
      <c r="CJ2017">
        <f>IFERROR(IF('월 가계부'!C2017="","",IF(ISNUMBER('월 가계부'!C2017),'월 가계부'!C2017,VALUE(SUBSTITUTE(SUBSTITUTE(SUBSTITUTE(SUBSTITUTE(TRIM('월 가계부'!C2017),",",""),"원","")," ",""),"−","-")))),"")</f>
        <v/>
      </c>
      <c r="CK2017">
        <f>IF(ISNUMBER(CI2017),IF(CI2017&lt;$B$13,CI2017,""),"")</f>
        <v/>
      </c>
      <c r="CM2017">
        <f>IF(CH2017="","",IFERROR(IF(IF(AND(LEN(CH2017)=9,ISERROR(FIND("-",LEFT(CH2017,8))),ISNUMBER(-LEFT(CH2017,8))),VALUE(LEFT(CH2017,4)),VALUE(LEFT(CH2017,FIND("-",CH2017)-1)))&lt;100,IF(AND(LEN(CH2017)=9,ISERROR(FIND("-",LEFT(CH2017,8))),ISNUMBER(-LEFT(CH2017,8))),VALUE(LEFT(CH2017,4)),VALUE(LEFT(CH2017,FIND("-",CH2017)-1)))+2000,IF(AND(LEN(CH2017)=9,ISERROR(FIND("-",LEFT(CH2017,8))),ISNUMBER(-LEFT(CH2017,8))),VALUE(LEFT(CH2017,4)),VALUE(LEFT(CH2017,FIND("-",CH2017)-1)))),""))</f>
        <v/>
      </c>
      <c r="CN2017">
        <f>IF(CH2017="","",IFERROR(IF(AND(LEN(CH2017)=9,ISERROR(FIND("-",LEFT(CH2017,8))),ISNUMBER(-LEFT(CH2017,8))),VALUE(MID(CH2017,5,2)),VALUE(MID(CH2017,FIND("-",CH2017)+1,FIND("-",CH2017,FIND("-",CH2017)+1)-FIND("-",CH2017)-1))),""))</f>
        <v/>
      </c>
      <c r="CO2017">
        <f>IF(CH2017="","",IFERROR(IF(AND(LEN(CH2017)=9,ISERROR(FIND("-",LEFT(CH2017,8))),ISNUMBER(-LEFT(CH2017,8))),VALUE(MID(CH2017,7,2)),VALUE(MID(CH2017,FIND("-",CH2017,FIND("-",CH2017)+1)+1,FIND("-",CH2017,FIND("-",CH2017,FIND("-",CH2017)+1)+1)-FIND("-",CH2017,FIND("-",CH2017)+1)-1))),""))</f>
        <v/>
      </c>
    </row>
    <row r="2018">
      <c r="CH2018">
        <f>IF(ISTEXT('월 가계부'!A2018),SUBSTITUTE(SUBSTITUTE(SUBSTITUTE(SUBSTITUTE(SUBSTITUTE(SUBSTITUTE(SUBSTITUTE(SUBSTITUTE(SUBSTITUTE(TRIM('월 가계부'!A2018),"년","-"),"월","-"),"일",""),".","-"),"/","-")," ","-"),"--","-"),"--","-"),"--","-")&amp;"-","")</f>
        <v/>
      </c>
      <c r="CI2018">
        <f>IFERROR(IF('월 가계부'!A2018="","",IF(ISNUMBER('월 가계부'!A2018),IF(AND('월 가계부'!A2018&gt;=19000101,'월 가계부'!A2018&lt;=21001231),IF(AND(MOD(INT('월 가계부'!A2018/100),100)&gt;=1,MOD(INT('월 가계부'!A2018/100),100)&lt;=12,MOD(INT('월 가계부'!A2018),100)&gt;=1,MOD(INT('월 가계부'!A2018),100)&lt;=31),IF(MONTH(DATE(INT('월 가계부'!A2018/10000),MOD(INT('월 가계부'!A2018/100),100),MOD(INT('월 가계부'!A2018),100)))=MOD(INT('월 가계부'!A2018/100),100),DATE(INT('월 가계부'!A2018/10000),MOD(INT('월 가계부'!A2018/100),100),MOD(INT('월 가계부'!A2018),100)),""),""),IF(AND('월 가계부'!A2018&gt;=36526,'월 가계부'!A2018&lt;73051),INT('월 가계부'!A2018),"")),IF(OR(CM2018="",CN2018="",CO2018=""),"",IF(AND(CM2018&gt;=2000,CM2018&lt;=2099,CN2018&gt;=1,CN2018&lt;=12,CO2018&gt;=1,CO2018&lt;=31),IF(MONTH(DATE(CM2018,CN2018,CO2018))=CN2018,DATE(CM2018,CN2018,CO2018),""),"")))),"")</f>
        <v/>
      </c>
      <c r="CJ2018">
        <f>IFERROR(IF('월 가계부'!C2018="","",IF(ISNUMBER('월 가계부'!C2018),'월 가계부'!C2018,VALUE(SUBSTITUTE(SUBSTITUTE(SUBSTITUTE(SUBSTITUTE(TRIM('월 가계부'!C2018),",",""),"원","")," ",""),"−","-")))),"")</f>
        <v/>
      </c>
      <c r="CK2018">
        <f>IF(ISNUMBER(CI2018),IF(CI2018&lt;$B$13,CI2018,""),"")</f>
        <v/>
      </c>
      <c r="CM2018">
        <f>IF(CH2018="","",IFERROR(IF(IF(AND(LEN(CH2018)=9,ISERROR(FIND("-",LEFT(CH2018,8))),ISNUMBER(-LEFT(CH2018,8))),VALUE(LEFT(CH2018,4)),VALUE(LEFT(CH2018,FIND("-",CH2018)-1)))&lt;100,IF(AND(LEN(CH2018)=9,ISERROR(FIND("-",LEFT(CH2018,8))),ISNUMBER(-LEFT(CH2018,8))),VALUE(LEFT(CH2018,4)),VALUE(LEFT(CH2018,FIND("-",CH2018)-1)))+2000,IF(AND(LEN(CH2018)=9,ISERROR(FIND("-",LEFT(CH2018,8))),ISNUMBER(-LEFT(CH2018,8))),VALUE(LEFT(CH2018,4)),VALUE(LEFT(CH2018,FIND("-",CH2018)-1)))),""))</f>
        <v/>
      </c>
      <c r="CN2018">
        <f>IF(CH2018="","",IFERROR(IF(AND(LEN(CH2018)=9,ISERROR(FIND("-",LEFT(CH2018,8))),ISNUMBER(-LEFT(CH2018,8))),VALUE(MID(CH2018,5,2)),VALUE(MID(CH2018,FIND("-",CH2018)+1,FIND("-",CH2018,FIND("-",CH2018)+1)-FIND("-",CH2018)-1))),""))</f>
        <v/>
      </c>
      <c r="CO2018">
        <f>IF(CH2018="","",IFERROR(IF(AND(LEN(CH2018)=9,ISERROR(FIND("-",LEFT(CH2018,8))),ISNUMBER(-LEFT(CH2018,8))),VALUE(MID(CH2018,7,2)),VALUE(MID(CH2018,FIND("-",CH2018,FIND("-",CH2018)+1)+1,FIND("-",CH2018,FIND("-",CH2018,FIND("-",CH2018)+1)+1)-FIND("-",CH2018,FIND("-",CH2018)+1)-1))),""))</f>
        <v/>
      </c>
    </row>
    <row r="2019">
      <c r="CH2019">
        <f>IF(ISTEXT('월 가계부'!A2019),SUBSTITUTE(SUBSTITUTE(SUBSTITUTE(SUBSTITUTE(SUBSTITUTE(SUBSTITUTE(SUBSTITUTE(SUBSTITUTE(SUBSTITUTE(TRIM('월 가계부'!A2019),"년","-"),"월","-"),"일",""),".","-"),"/","-")," ","-"),"--","-"),"--","-"),"--","-")&amp;"-","")</f>
        <v/>
      </c>
      <c r="CI2019">
        <f>IFERROR(IF('월 가계부'!A2019="","",IF(ISNUMBER('월 가계부'!A2019),IF(AND('월 가계부'!A2019&gt;=19000101,'월 가계부'!A2019&lt;=21001231),IF(AND(MOD(INT('월 가계부'!A2019/100),100)&gt;=1,MOD(INT('월 가계부'!A2019/100),100)&lt;=12,MOD(INT('월 가계부'!A2019),100)&gt;=1,MOD(INT('월 가계부'!A2019),100)&lt;=31),IF(MONTH(DATE(INT('월 가계부'!A2019/10000),MOD(INT('월 가계부'!A2019/100),100),MOD(INT('월 가계부'!A2019),100)))=MOD(INT('월 가계부'!A2019/100),100),DATE(INT('월 가계부'!A2019/10000),MOD(INT('월 가계부'!A2019/100),100),MOD(INT('월 가계부'!A2019),100)),""),""),IF(AND('월 가계부'!A2019&gt;=36526,'월 가계부'!A2019&lt;73051),INT('월 가계부'!A2019),"")),IF(OR(CM2019="",CN2019="",CO2019=""),"",IF(AND(CM2019&gt;=2000,CM2019&lt;=2099,CN2019&gt;=1,CN2019&lt;=12,CO2019&gt;=1,CO2019&lt;=31),IF(MONTH(DATE(CM2019,CN2019,CO2019))=CN2019,DATE(CM2019,CN2019,CO2019),""),"")))),"")</f>
        <v/>
      </c>
      <c r="CJ2019">
        <f>IFERROR(IF('월 가계부'!C2019="","",IF(ISNUMBER('월 가계부'!C2019),'월 가계부'!C2019,VALUE(SUBSTITUTE(SUBSTITUTE(SUBSTITUTE(SUBSTITUTE(TRIM('월 가계부'!C2019),",",""),"원","")," ",""),"−","-")))),"")</f>
        <v/>
      </c>
      <c r="CK2019">
        <f>IF(ISNUMBER(CI2019),IF(CI2019&lt;$B$13,CI2019,""),"")</f>
        <v/>
      </c>
      <c r="CM2019">
        <f>IF(CH2019="","",IFERROR(IF(IF(AND(LEN(CH2019)=9,ISERROR(FIND("-",LEFT(CH2019,8))),ISNUMBER(-LEFT(CH2019,8))),VALUE(LEFT(CH2019,4)),VALUE(LEFT(CH2019,FIND("-",CH2019)-1)))&lt;100,IF(AND(LEN(CH2019)=9,ISERROR(FIND("-",LEFT(CH2019,8))),ISNUMBER(-LEFT(CH2019,8))),VALUE(LEFT(CH2019,4)),VALUE(LEFT(CH2019,FIND("-",CH2019)-1)))+2000,IF(AND(LEN(CH2019)=9,ISERROR(FIND("-",LEFT(CH2019,8))),ISNUMBER(-LEFT(CH2019,8))),VALUE(LEFT(CH2019,4)),VALUE(LEFT(CH2019,FIND("-",CH2019)-1)))),""))</f>
        <v/>
      </c>
      <c r="CN2019">
        <f>IF(CH2019="","",IFERROR(IF(AND(LEN(CH2019)=9,ISERROR(FIND("-",LEFT(CH2019,8))),ISNUMBER(-LEFT(CH2019,8))),VALUE(MID(CH2019,5,2)),VALUE(MID(CH2019,FIND("-",CH2019)+1,FIND("-",CH2019,FIND("-",CH2019)+1)-FIND("-",CH2019)-1))),""))</f>
        <v/>
      </c>
      <c r="CO2019">
        <f>IF(CH2019="","",IFERROR(IF(AND(LEN(CH2019)=9,ISERROR(FIND("-",LEFT(CH2019,8))),ISNUMBER(-LEFT(CH2019,8))),VALUE(MID(CH2019,7,2)),VALUE(MID(CH2019,FIND("-",CH2019,FIND("-",CH2019)+1)+1,FIND("-",CH2019,FIND("-",CH2019,FIND("-",CH2019)+1)+1)-FIND("-",CH2019,FIND("-",CH2019)+1)-1))),""))</f>
        <v/>
      </c>
    </row>
    <row r="2020">
      <c r="CH2020">
        <f>IF(ISTEXT('월 가계부'!A2020),SUBSTITUTE(SUBSTITUTE(SUBSTITUTE(SUBSTITUTE(SUBSTITUTE(SUBSTITUTE(SUBSTITUTE(SUBSTITUTE(SUBSTITUTE(TRIM('월 가계부'!A2020),"년","-"),"월","-"),"일",""),".","-"),"/","-")," ","-"),"--","-"),"--","-"),"--","-")&amp;"-","")</f>
        <v/>
      </c>
      <c r="CI2020">
        <f>IFERROR(IF('월 가계부'!A2020="","",IF(ISNUMBER('월 가계부'!A2020),IF(AND('월 가계부'!A2020&gt;=19000101,'월 가계부'!A2020&lt;=21001231),IF(AND(MOD(INT('월 가계부'!A2020/100),100)&gt;=1,MOD(INT('월 가계부'!A2020/100),100)&lt;=12,MOD(INT('월 가계부'!A2020),100)&gt;=1,MOD(INT('월 가계부'!A2020),100)&lt;=31),IF(MONTH(DATE(INT('월 가계부'!A2020/10000),MOD(INT('월 가계부'!A2020/100),100),MOD(INT('월 가계부'!A2020),100)))=MOD(INT('월 가계부'!A2020/100),100),DATE(INT('월 가계부'!A2020/10000),MOD(INT('월 가계부'!A2020/100),100),MOD(INT('월 가계부'!A2020),100)),""),""),IF(AND('월 가계부'!A2020&gt;=36526,'월 가계부'!A2020&lt;73051),INT('월 가계부'!A2020),"")),IF(OR(CM2020="",CN2020="",CO2020=""),"",IF(AND(CM2020&gt;=2000,CM2020&lt;=2099,CN2020&gt;=1,CN2020&lt;=12,CO2020&gt;=1,CO2020&lt;=31),IF(MONTH(DATE(CM2020,CN2020,CO2020))=CN2020,DATE(CM2020,CN2020,CO2020),""),"")))),"")</f>
        <v/>
      </c>
      <c r="CJ2020">
        <f>IFERROR(IF('월 가계부'!C2020="","",IF(ISNUMBER('월 가계부'!C2020),'월 가계부'!C2020,VALUE(SUBSTITUTE(SUBSTITUTE(SUBSTITUTE(SUBSTITUTE(TRIM('월 가계부'!C2020),",",""),"원","")," ",""),"−","-")))),"")</f>
        <v/>
      </c>
      <c r="CK2020">
        <f>IF(ISNUMBER(CI2020),IF(CI2020&lt;$B$13,CI2020,""),"")</f>
        <v/>
      </c>
      <c r="CM2020">
        <f>IF(CH2020="","",IFERROR(IF(IF(AND(LEN(CH2020)=9,ISERROR(FIND("-",LEFT(CH2020,8))),ISNUMBER(-LEFT(CH2020,8))),VALUE(LEFT(CH2020,4)),VALUE(LEFT(CH2020,FIND("-",CH2020)-1)))&lt;100,IF(AND(LEN(CH2020)=9,ISERROR(FIND("-",LEFT(CH2020,8))),ISNUMBER(-LEFT(CH2020,8))),VALUE(LEFT(CH2020,4)),VALUE(LEFT(CH2020,FIND("-",CH2020)-1)))+2000,IF(AND(LEN(CH2020)=9,ISERROR(FIND("-",LEFT(CH2020,8))),ISNUMBER(-LEFT(CH2020,8))),VALUE(LEFT(CH2020,4)),VALUE(LEFT(CH2020,FIND("-",CH2020)-1)))),""))</f>
        <v/>
      </c>
      <c r="CN2020">
        <f>IF(CH2020="","",IFERROR(IF(AND(LEN(CH2020)=9,ISERROR(FIND("-",LEFT(CH2020,8))),ISNUMBER(-LEFT(CH2020,8))),VALUE(MID(CH2020,5,2)),VALUE(MID(CH2020,FIND("-",CH2020)+1,FIND("-",CH2020,FIND("-",CH2020)+1)-FIND("-",CH2020)-1))),""))</f>
        <v/>
      </c>
      <c r="CO2020">
        <f>IF(CH2020="","",IFERROR(IF(AND(LEN(CH2020)=9,ISERROR(FIND("-",LEFT(CH2020,8))),ISNUMBER(-LEFT(CH2020,8))),VALUE(MID(CH2020,7,2)),VALUE(MID(CH2020,FIND("-",CH2020,FIND("-",CH2020)+1)+1,FIND("-",CH2020,FIND("-",CH2020,FIND("-",CH2020)+1)+1)-FIND("-",CH2020,FIND("-",CH2020)+1)-1))),""))</f>
        <v/>
      </c>
    </row>
    <row r="2021">
      <c r="CH2021">
        <f>IF(ISTEXT('월 가계부'!A2021),SUBSTITUTE(SUBSTITUTE(SUBSTITUTE(SUBSTITUTE(SUBSTITUTE(SUBSTITUTE(SUBSTITUTE(SUBSTITUTE(SUBSTITUTE(TRIM('월 가계부'!A2021),"년","-"),"월","-"),"일",""),".","-"),"/","-")," ","-"),"--","-"),"--","-"),"--","-")&amp;"-","")</f>
        <v/>
      </c>
      <c r="CI2021">
        <f>IFERROR(IF('월 가계부'!A2021="","",IF(ISNUMBER('월 가계부'!A2021),IF(AND('월 가계부'!A2021&gt;=19000101,'월 가계부'!A2021&lt;=21001231),IF(AND(MOD(INT('월 가계부'!A2021/100),100)&gt;=1,MOD(INT('월 가계부'!A2021/100),100)&lt;=12,MOD(INT('월 가계부'!A2021),100)&gt;=1,MOD(INT('월 가계부'!A2021),100)&lt;=31),IF(MONTH(DATE(INT('월 가계부'!A2021/10000),MOD(INT('월 가계부'!A2021/100),100),MOD(INT('월 가계부'!A2021),100)))=MOD(INT('월 가계부'!A2021/100),100),DATE(INT('월 가계부'!A2021/10000),MOD(INT('월 가계부'!A2021/100),100),MOD(INT('월 가계부'!A2021),100)),""),""),IF(AND('월 가계부'!A2021&gt;=36526,'월 가계부'!A2021&lt;73051),INT('월 가계부'!A2021),"")),IF(OR(CM2021="",CN2021="",CO2021=""),"",IF(AND(CM2021&gt;=2000,CM2021&lt;=2099,CN2021&gt;=1,CN2021&lt;=12,CO2021&gt;=1,CO2021&lt;=31),IF(MONTH(DATE(CM2021,CN2021,CO2021))=CN2021,DATE(CM2021,CN2021,CO2021),""),"")))),"")</f>
        <v/>
      </c>
      <c r="CJ2021">
        <f>IFERROR(IF('월 가계부'!C2021="","",IF(ISNUMBER('월 가계부'!C2021),'월 가계부'!C2021,VALUE(SUBSTITUTE(SUBSTITUTE(SUBSTITUTE(SUBSTITUTE(TRIM('월 가계부'!C2021),",",""),"원","")," ",""),"−","-")))),"")</f>
        <v/>
      </c>
      <c r="CK2021">
        <f>IF(ISNUMBER(CI2021),IF(CI2021&lt;$B$13,CI2021,""),"")</f>
        <v/>
      </c>
      <c r="CM2021">
        <f>IF(CH2021="","",IFERROR(IF(IF(AND(LEN(CH2021)=9,ISERROR(FIND("-",LEFT(CH2021,8))),ISNUMBER(-LEFT(CH2021,8))),VALUE(LEFT(CH2021,4)),VALUE(LEFT(CH2021,FIND("-",CH2021)-1)))&lt;100,IF(AND(LEN(CH2021)=9,ISERROR(FIND("-",LEFT(CH2021,8))),ISNUMBER(-LEFT(CH2021,8))),VALUE(LEFT(CH2021,4)),VALUE(LEFT(CH2021,FIND("-",CH2021)-1)))+2000,IF(AND(LEN(CH2021)=9,ISERROR(FIND("-",LEFT(CH2021,8))),ISNUMBER(-LEFT(CH2021,8))),VALUE(LEFT(CH2021,4)),VALUE(LEFT(CH2021,FIND("-",CH2021)-1)))),""))</f>
        <v/>
      </c>
      <c r="CN2021">
        <f>IF(CH2021="","",IFERROR(IF(AND(LEN(CH2021)=9,ISERROR(FIND("-",LEFT(CH2021,8))),ISNUMBER(-LEFT(CH2021,8))),VALUE(MID(CH2021,5,2)),VALUE(MID(CH2021,FIND("-",CH2021)+1,FIND("-",CH2021,FIND("-",CH2021)+1)-FIND("-",CH2021)-1))),""))</f>
        <v/>
      </c>
      <c r="CO2021">
        <f>IF(CH2021="","",IFERROR(IF(AND(LEN(CH2021)=9,ISERROR(FIND("-",LEFT(CH2021,8))),ISNUMBER(-LEFT(CH2021,8))),VALUE(MID(CH2021,7,2)),VALUE(MID(CH2021,FIND("-",CH2021,FIND("-",CH2021)+1)+1,FIND("-",CH2021,FIND("-",CH2021,FIND("-",CH2021)+1)+1)-FIND("-",CH2021,FIND("-",CH2021)+1)-1))),""))</f>
        <v/>
      </c>
    </row>
    <row r="2022">
      <c r="CH2022">
        <f>IF(ISTEXT('월 가계부'!A2022),SUBSTITUTE(SUBSTITUTE(SUBSTITUTE(SUBSTITUTE(SUBSTITUTE(SUBSTITUTE(SUBSTITUTE(SUBSTITUTE(SUBSTITUTE(TRIM('월 가계부'!A2022),"년","-"),"월","-"),"일",""),".","-"),"/","-")," ","-"),"--","-"),"--","-"),"--","-")&amp;"-","")</f>
        <v/>
      </c>
      <c r="CI2022">
        <f>IFERROR(IF('월 가계부'!A2022="","",IF(ISNUMBER('월 가계부'!A2022),IF(AND('월 가계부'!A2022&gt;=19000101,'월 가계부'!A2022&lt;=21001231),IF(AND(MOD(INT('월 가계부'!A2022/100),100)&gt;=1,MOD(INT('월 가계부'!A2022/100),100)&lt;=12,MOD(INT('월 가계부'!A2022),100)&gt;=1,MOD(INT('월 가계부'!A2022),100)&lt;=31),IF(MONTH(DATE(INT('월 가계부'!A2022/10000),MOD(INT('월 가계부'!A2022/100),100),MOD(INT('월 가계부'!A2022),100)))=MOD(INT('월 가계부'!A2022/100),100),DATE(INT('월 가계부'!A2022/10000),MOD(INT('월 가계부'!A2022/100),100),MOD(INT('월 가계부'!A2022),100)),""),""),IF(AND('월 가계부'!A2022&gt;=36526,'월 가계부'!A2022&lt;73051),INT('월 가계부'!A2022),"")),IF(OR(CM2022="",CN2022="",CO2022=""),"",IF(AND(CM2022&gt;=2000,CM2022&lt;=2099,CN2022&gt;=1,CN2022&lt;=12,CO2022&gt;=1,CO2022&lt;=31),IF(MONTH(DATE(CM2022,CN2022,CO2022))=CN2022,DATE(CM2022,CN2022,CO2022),""),"")))),"")</f>
        <v/>
      </c>
      <c r="CJ2022">
        <f>IFERROR(IF('월 가계부'!C2022="","",IF(ISNUMBER('월 가계부'!C2022),'월 가계부'!C2022,VALUE(SUBSTITUTE(SUBSTITUTE(SUBSTITUTE(SUBSTITUTE(TRIM('월 가계부'!C2022),",",""),"원","")," ",""),"−","-")))),"")</f>
        <v/>
      </c>
      <c r="CK2022">
        <f>IF(ISNUMBER(CI2022),IF(CI2022&lt;$B$13,CI2022,""),"")</f>
        <v/>
      </c>
      <c r="CM2022">
        <f>IF(CH2022="","",IFERROR(IF(IF(AND(LEN(CH2022)=9,ISERROR(FIND("-",LEFT(CH2022,8))),ISNUMBER(-LEFT(CH2022,8))),VALUE(LEFT(CH2022,4)),VALUE(LEFT(CH2022,FIND("-",CH2022)-1)))&lt;100,IF(AND(LEN(CH2022)=9,ISERROR(FIND("-",LEFT(CH2022,8))),ISNUMBER(-LEFT(CH2022,8))),VALUE(LEFT(CH2022,4)),VALUE(LEFT(CH2022,FIND("-",CH2022)-1)))+2000,IF(AND(LEN(CH2022)=9,ISERROR(FIND("-",LEFT(CH2022,8))),ISNUMBER(-LEFT(CH2022,8))),VALUE(LEFT(CH2022,4)),VALUE(LEFT(CH2022,FIND("-",CH2022)-1)))),""))</f>
        <v/>
      </c>
      <c r="CN2022">
        <f>IF(CH2022="","",IFERROR(IF(AND(LEN(CH2022)=9,ISERROR(FIND("-",LEFT(CH2022,8))),ISNUMBER(-LEFT(CH2022,8))),VALUE(MID(CH2022,5,2)),VALUE(MID(CH2022,FIND("-",CH2022)+1,FIND("-",CH2022,FIND("-",CH2022)+1)-FIND("-",CH2022)-1))),""))</f>
        <v/>
      </c>
      <c r="CO2022">
        <f>IF(CH2022="","",IFERROR(IF(AND(LEN(CH2022)=9,ISERROR(FIND("-",LEFT(CH2022,8))),ISNUMBER(-LEFT(CH2022,8))),VALUE(MID(CH2022,7,2)),VALUE(MID(CH2022,FIND("-",CH2022,FIND("-",CH2022)+1)+1,FIND("-",CH2022,FIND("-",CH2022,FIND("-",CH2022)+1)+1)-FIND("-",CH2022,FIND("-",CH2022)+1)-1))),""))</f>
        <v/>
      </c>
    </row>
    <row r="2023">
      <c r="CH2023">
        <f>IF(ISTEXT('월 가계부'!A2023),SUBSTITUTE(SUBSTITUTE(SUBSTITUTE(SUBSTITUTE(SUBSTITUTE(SUBSTITUTE(SUBSTITUTE(SUBSTITUTE(SUBSTITUTE(TRIM('월 가계부'!A2023),"년","-"),"월","-"),"일",""),".","-"),"/","-")," ","-"),"--","-"),"--","-"),"--","-")&amp;"-","")</f>
        <v/>
      </c>
      <c r="CI2023">
        <f>IFERROR(IF('월 가계부'!A2023="","",IF(ISNUMBER('월 가계부'!A2023),IF(AND('월 가계부'!A2023&gt;=19000101,'월 가계부'!A2023&lt;=21001231),IF(AND(MOD(INT('월 가계부'!A2023/100),100)&gt;=1,MOD(INT('월 가계부'!A2023/100),100)&lt;=12,MOD(INT('월 가계부'!A2023),100)&gt;=1,MOD(INT('월 가계부'!A2023),100)&lt;=31),IF(MONTH(DATE(INT('월 가계부'!A2023/10000),MOD(INT('월 가계부'!A2023/100),100),MOD(INT('월 가계부'!A2023),100)))=MOD(INT('월 가계부'!A2023/100),100),DATE(INT('월 가계부'!A2023/10000),MOD(INT('월 가계부'!A2023/100),100),MOD(INT('월 가계부'!A2023),100)),""),""),IF(AND('월 가계부'!A2023&gt;=36526,'월 가계부'!A2023&lt;73051),INT('월 가계부'!A2023),"")),IF(OR(CM2023="",CN2023="",CO2023=""),"",IF(AND(CM2023&gt;=2000,CM2023&lt;=2099,CN2023&gt;=1,CN2023&lt;=12,CO2023&gt;=1,CO2023&lt;=31),IF(MONTH(DATE(CM2023,CN2023,CO2023))=CN2023,DATE(CM2023,CN2023,CO2023),""),"")))),"")</f>
        <v/>
      </c>
      <c r="CJ2023">
        <f>IFERROR(IF('월 가계부'!C2023="","",IF(ISNUMBER('월 가계부'!C2023),'월 가계부'!C2023,VALUE(SUBSTITUTE(SUBSTITUTE(SUBSTITUTE(SUBSTITUTE(TRIM('월 가계부'!C2023),",",""),"원","")," ",""),"−","-")))),"")</f>
        <v/>
      </c>
      <c r="CK2023">
        <f>IF(ISNUMBER(CI2023),IF(CI2023&lt;$B$13,CI2023,""),"")</f>
        <v/>
      </c>
      <c r="CM2023">
        <f>IF(CH2023="","",IFERROR(IF(IF(AND(LEN(CH2023)=9,ISERROR(FIND("-",LEFT(CH2023,8))),ISNUMBER(-LEFT(CH2023,8))),VALUE(LEFT(CH2023,4)),VALUE(LEFT(CH2023,FIND("-",CH2023)-1)))&lt;100,IF(AND(LEN(CH2023)=9,ISERROR(FIND("-",LEFT(CH2023,8))),ISNUMBER(-LEFT(CH2023,8))),VALUE(LEFT(CH2023,4)),VALUE(LEFT(CH2023,FIND("-",CH2023)-1)))+2000,IF(AND(LEN(CH2023)=9,ISERROR(FIND("-",LEFT(CH2023,8))),ISNUMBER(-LEFT(CH2023,8))),VALUE(LEFT(CH2023,4)),VALUE(LEFT(CH2023,FIND("-",CH2023)-1)))),""))</f>
        <v/>
      </c>
      <c r="CN2023">
        <f>IF(CH2023="","",IFERROR(IF(AND(LEN(CH2023)=9,ISERROR(FIND("-",LEFT(CH2023,8))),ISNUMBER(-LEFT(CH2023,8))),VALUE(MID(CH2023,5,2)),VALUE(MID(CH2023,FIND("-",CH2023)+1,FIND("-",CH2023,FIND("-",CH2023)+1)-FIND("-",CH2023)-1))),""))</f>
        <v/>
      </c>
      <c r="CO2023">
        <f>IF(CH2023="","",IFERROR(IF(AND(LEN(CH2023)=9,ISERROR(FIND("-",LEFT(CH2023,8))),ISNUMBER(-LEFT(CH2023,8))),VALUE(MID(CH2023,7,2)),VALUE(MID(CH2023,FIND("-",CH2023,FIND("-",CH2023)+1)+1,FIND("-",CH2023,FIND("-",CH2023,FIND("-",CH2023)+1)+1)-FIND("-",CH2023,FIND("-",CH2023)+1)-1))),""))</f>
        <v/>
      </c>
    </row>
    <row r="2024">
      <c r="CH2024">
        <f>IF(ISTEXT('월 가계부'!A2024),SUBSTITUTE(SUBSTITUTE(SUBSTITUTE(SUBSTITUTE(SUBSTITUTE(SUBSTITUTE(SUBSTITUTE(SUBSTITUTE(SUBSTITUTE(TRIM('월 가계부'!A2024),"년","-"),"월","-"),"일",""),".","-"),"/","-")," ","-"),"--","-"),"--","-"),"--","-")&amp;"-","")</f>
        <v/>
      </c>
      <c r="CI2024">
        <f>IFERROR(IF('월 가계부'!A2024="","",IF(ISNUMBER('월 가계부'!A2024),IF(AND('월 가계부'!A2024&gt;=19000101,'월 가계부'!A2024&lt;=21001231),IF(AND(MOD(INT('월 가계부'!A2024/100),100)&gt;=1,MOD(INT('월 가계부'!A2024/100),100)&lt;=12,MOD(INT('월 가계부'!A2024),100)&gt;=1,MOD(INT('월 가계부'!A2024),100)&lt;=31),IF(MONTH(DATE(INT('월 가계부'!A2024/10000),MOD(INT('월 가계부'!A2024/100),100),MOD(INT('월 가계부'!A2024),100)))=MOD(INT('월 가계부'!A2024/100),100),DATE(INT('월 가계부'!A2024/10000),MOD(INT('월 가계부'!A2024/100),100),MOD(INT('월 가계부'!A2024),100)),""),""),IF(AND('월 가계부'!A2024&gt;=36526,'월 가계부'!A2024&lt;73051),INT('월 가계부'!A2024),"")),IF(OR(CM2024="",CN2024="",CO2024=""),"",IF(AND(CM2024&gt;=2000,CM2024&lt;=2099,CN2024&gt;=1,CN2024&lt;=12,CO2024&gt;=1,CO2024&lt;=31),IF(MONTH(DATE(CM2024,CN2024,CO2024))=CN2024,DATE(CM2024,CN2024,CO2024),""),"")))),"")</f>
        <v/>
      </c>
      <c r="CJ2024">
        <f>IFERROR(IF('월 가계부'!C2024="","",IF(ISNUMBER('월 가계부'!C2024),'월 가계부'!C2024,VALUE(SUBSTITUTE(SUBSTITUTE(SUBSTITUTE(SUBSTITUTE(TRIM('월 가계부'!C2024),",",""),"원","")," ",""),"−","-")))),"")</f>
        <v/>
      </c>
      <c r="CK2024">
        <f>IF(ISNUMBER(CI2024),IF(CI2024&lt;$B$13,CI2024,""),"")</f>
        <v/>
      </c>
      <c r="CM2024">
        <f>IF(CH2024="","",IFERROR(IF(IF(AND(LEN(CH2024)=9,ISERROR(FIND("-",LEFT(CH2024,8))),ISNUMBER(-LEFT(CH2024,8))),VALUE(LEFT(CH2024,4)),VALUE(LEFT(CH2024,FIND("-",CH2024)-1)))&lt;100,IF(AND(LEN(CH2024)=9,ISERROR(FIND("-",LEFT(CH2024,8))),ISNUMBER(-LEFT(CH2024,8))),VALUE(LEFT(CH2024,4)),VALUE(LEFT(CH2024,FIND("-",CH2024)-1)))+2000,IF(AND(LEN(CH2024)=9,ISERROR(FIND("-",LEFT(CH2024,8))),ISNUMBER(-LEFT(CH2024,8))),VALUE(LEFT(CH2024,4)),VALUE(LEFT(CH2024,FIND("-",CH2024)-1)))),""))</f>
        <v/>
      </c>
      <c r="CN2024">
        <f>IF(CH2024="","",IFERROR(IF(AND(LEN(CH2024)=9,ISERROR(FIND("-",LEFT(CH2024,8))),ISNUMBER(-LEFT(CH2024,8))),VALUE(MID(CH2024,5,2)),VALUE(MID(CH2024,FIND("-",CH2024)+1,FIND("-",CH2024,FIND("-",CH2024)+1)-FIND("-",CH2024)-1))),""))</f>
        <v/>
      </c>
      <c r="CO2024">
        <f>IF(CH2024="","",IFERROR(IF(AND(LEN(CH2024)=9,ISERROR(FIND("-",LEFT(CH2024,8))),ISNUMBER(-LEFT(CH2024,8))),VALUE(MID(CH2024,7,2)),VALUE(MID(CH2024,FIND("-",CH2024,FIND("-",CH2024)+1)+1,FIND("-",CH2024,FIND("-",CH2024,FIND("-",CH2024)+1)+1)-FIND("-",CH2024,FIND("-",CH2024)+1)-1))),""))</f>
        <v/>
      </c>
    </row>
    <row r="2025">
      <c r="CH2025">
        <f>IF(ISTEXT('월 가계부'!A2025),SUBSTITUTE(SUBSTITUTE(SUBSTITUTE(SUBSTITUTE(SUBSTITUTE(SUBSTITUTE(SUBSTITUTE(SUBSTITUTE(SUBSTITUTE(TRIM('월 가계부'!A2025),"년","-"),"월","-"),"일",""),".","-"),"/","-")," ","-"),"--","-"),"--","-"),"--","-")&amp;"-","")</f>
        <v/>
      </c>
      <c r="CI2025">
        <f>IFERROR(IF('월 가계부'!A2025="","",IF(ISNUMBER('월 가계부'!A2025),IF(AND('월 가계부'!A2025&gt;=19000101,'월 가계부'!A2025&lt;=21001231),IF(AND(MOD(INT('월 가계부'!A2025/100),100)&gt;=1,MOD(INT('월 가계부'!A2025/100),100)&lt;=12,MOD(INT('월 가계부'!A2025),100)&gt;=1,MOD(INT('월 가계부'!A2025),100)&lt;=31),IF(MONTH(DATE(INT('월 가계부'!A2025/10000),MOD(INT('월 가계부'!A2025/100),100),MOD(INT('월 가계부'!A2025),100)))=MOD(INT('월 가계부'!A2025/100),100),DATE(INT('월 가계부'!A2025/10000),MOD(INT('월 가계부'!A2025/100),100),MOD(INT('월 가계부'!A2025),100)),""),""),IF(AND('월 가계부'!A2025&gt;=36526,'월 가계부'!A2025&lt;73051),INT('월 가계부'!A2025),"")),IF(OR(CM2025="",CN2025="",CO2025=""),"",IF(AND(CM2025&gt;=2000,CM2025&lt;=2099,CN2025&gt;=1,CN2025&lt;=12,CO2025&gt;=1,CO2025&lt;=31),IF(MONTH(DATE(CM2025,CN2025,CO2025))=CN2025,DATE(CM2025,CN2025,CO2025),""),"")))),"")</f>
        <v/>
      </c>
      <c r="CJ2025">
        <f>IFERROR(IF('월 가계부'!C2025="","",IF(ISNUMBER('월 가계부'!C2025),'월 가계부'!C2025,VALUE(SUBSTITUTE(SUBSTITUTE(SUBSTITUTE(SUBSTITUTE(TRIM('월 가계부'!C2025),",",""),"원","")," ",""),"−","-")))),"")</f>
        <v/>
      </c>
      <c r="CK2025">
        <f>IF(ISNUMBER(CI2025),IF(CI2025&lt;$B$13,CI2025,""),"")</f>
        <v/>
      </c>
      <c r="CM2025">
        <f>IF(CH2025="","",IFERROR(IF(IF(AND(LEN(CH2025)=9,ISERROR(FIND("-",LEFT(CH2025,8))),ISNUMBER(-LEFT(CH2025,8))),VALUE(LEFT(CH2025,4)),VALUE(LEFT(CH2025,FIND("-",CH2025)-1)))&lt;100,IF(AND(LEN(CH2025)=9,ISERROR(FIND("-",LEFT(CH2025,8))),ISNUMBER(-LEFT(CH2025,8))),VALUE(LEFT(CH2025,4)),VALUE(LEFT(CH2025,FIND("-",CH2025)-1)))+2000,IF(AND(LEN(CH2025)=9,ISERROR(FIND("-",LEFT(CH2025,8))),ISNUMBER(-LEFT(CH2025,8))),VALUE(LEFT(CH2025,4)),VALUE(LEFT(CH2025,FIND("-",CH2025)-1)))),""))</f>
        <v/>
      </c>
      <c r="CN2025">
        <f>IF(CH2025="","",IFERROR(IF(AND(LEN(CH2025)=9,ISERROR(FIND("-",LEFT(CH2025,8))),ISNUMBER(-LEFT(CH2025,8))),VALUE(MID(CH2025,5,2)),VALUE(MID(CH2025,FIND("-",CH2025)+1,FIND("-",CH2025,FIND("-",CH2025)+1)-FIND("-",CH2025)-1))),""))</f>
        <v/>
      </c>
      <c r="CO2025">
        <f>IF(CH2025="","",IFERROR(IF(AND(LEN(CH2025)=9,ISERROR(FIND("-",LEFT(CH2025,8))),ISNUMBER(-LEFT(CH2025,8))),VALUE(MID(CH2025,7,2)),VALUE(MID(CH2025,FIND("-",CH2025,FIND("-",CH2025)+1)+1,FIND("-",CH2025,FIND("-",CH2025,FIND("-",CH2025)+1)+1)-FIND("-",CH2025,FIND("-",CH2025)+1)-1))),""))</f>
        <v/>
      </c>
    </row>
    <row r="2026">
      <c r="CH2026">
        <f>IF(ISTEXT('월 가계부'!A2026),SUBSTITUTE(SUBSTITUTE(SUBSTITUTE(SUBSTITUTE(SUBSTITUTE(SUBSTITUTE(SUBSTITUTE(SUBSTITUTE(SUBSTITUTE(TRIM('월 가계부'!A2026),"년","-"),"월","-"),"일",""),".","-"),"/","-")," ","-"),"--","-"),"--","-"),"--","-")&amp;"-","")</f>
        <v/>
      </c>
      <c r="CI2026">
        <f>IFERROR(IF('월 가계부'!A2026="","",IF(ISNUMBER('월 가계부'!A2026),IF(AND('월 가계부'!A2026&gt;=19000101,'월 가계부'!A2026&lt;=21001231),IF(AND(MOD(INT('월 가계부'!A2026/100),100)&gt;=1,MOD(INT('월 가계부'!A2026/100),100)&lt;=12,MOD(INT('월 가계부'!A2026),100)&gt;=1,MOD(INT('월 가계부'!A2026),100)&lt;=31),IF(MONTH(DATE(INT('월 가계부'!A2026/10000),MOD(INT('월 가계부'!A2026/100),100),MOD(INT('월 가계부'!A2026),100)))=MOD(INT('월 가계부'!A2026/100),100),DATE(INT('월 가계부'!A2026/10000),MOD(INT('월 가계부'!A2026/100),100),MOD(INT('월 가계부'!A2026),100)),""),""),IF(AND('월 가계부'!A2026&gt;=36526,'월 가계부'!A2026&lt;73051),INT('월 가계부'!A2026),"")),IF(OR(CM2026="",CN2026="",CO2026=""),"",IF(AND(CM2026&gt;=2000,CM2026&lt;=2099,CN2026&gt;=1,CN2026&lt;=12,CO2026&gt;=1,CO2026&lt;=31),IF(MONTH(DATE(CM2026,CN2026,CO2026))=CN2026,DATE(CM2026,CN2026,CO2026),""),"")))),"")</f>
        <v/>
      </c>
      <c r="CJ2026">
        <f>IFERROR(IF('월 가계부'!C2026="","",IF(ISNUMBER('월 가계부'!C2026),'월 가계부'!C2026,VALUE(SUBSTITUTE(SUBSTITUTE(SUBSTITUTE(SUBSTITUTE(TRIM('월 가계부'!C2026),",",""),"원","")," ",""),"−","-")))),"")</f>
        <v/>
      </c>
      <c r="CK2026">
        <f>IF(ISNUMBER(CI2026),IF(CI2026&lt;$B$13,CI2026,""),"")</f>
        <v/>
      </c>
      <c r="CM2026">
        <f>IF(CH2026="","",IFERROR(IF(IF(AND(LEN(CH2026)=9,ISERROR(FIND("-",LEFT(CH2026,8))),ISNUMBER(-LEFT(CH2026,8))),VALUE(LEFT(CH2026,4)),VALUE(LEFT(CH2026,FIND("-",CH2026)-1)))&lt;100,IF(AND(LEN(CH2026)=9,ISERROR(FIND("-",LEFT(CH2026,8))),ISNUMBER(-LEFT(CH2026,8))),VALUE(LEFT(CH2026,4)),VALUE(LEFT(CH2026,FIND("-",CH2026)-1)))+2000,IF(AND(LEN(CH2026)=9,ISERROR(FIND("-",LEFT(CH2026,8))),ISNUMBER(-LEFT(CH2026,8))),VALUE(LEFT(CH2026,4)),VALUE(LEFT(CH2026,FIND("-",CH2026)-1)))),""))</f>
        <v/>
      </c>
      <c r="CN2026">
        <f>IF(CH2026="","",IFERROR(IF(AND(LEN(CH2026)=9,ISERROR(FIND("-",LEFT(CH2026,8))),ISNUMBER(-LEFT(CH2026,8))),VALUE(MID(CH2026,5,2)),VALUE(MID(CH2026,FIND("-",CH2026)+1,FIND("-",CH2026,FIND("-",CH2026)+1)-FIND("-",CH2026)-1))),""))</f>
        <v/>
      </c>
      <c r="CO2026">
        <f>IF(CH2026="","",IFERROR(IF(AND(LEN(CH2026)=9,ISERROR(FIND("-",LEFT(CH2026,8))),ISNUMBER(-LEFT(CH2026,8))),VALUE(MID(CH2026,7,2)),VALUE(MID(CH2026,FIND("-",CH2026,FIND("-",CH2026)+1)+1,FIND("-",CH2026,FIND("-",CH2026,FIND("-",CH2026)+1)+1)-FIND("-",CH2026,FIND("-",CH2026)+1)-1))),""))</f>
        <v/>
      </c>
    </row>
    <row r="2027">
      <c r="CH2027">
        <f>IF(ISTEXT('월 가계부'!A2027),SUBSTITUTE(SUBSTITUTE(SUBSTITUTE(SUBSTITUTE(SUBSTITUTE(SUBSTITUTE(SUBSTITUTE(SUBSTITUTE(SUBSTITUTE(TRIM('월 가계부'!A2027),"년","-"),"월","-"),"일",""),".","-"),"/","-")," ","-"),"--","-"),"--","-"),"--","-")&amp;"-","")</f>
        <v/>
      </c>
      <c r="CI2027">
        <f>IFERROR(IF('월 가계부'!A2027="","",IF(ISNUMBER('월 가계부'!A2027),IF(AND('월 가계부'!A2027&gt;=19000101,'월 가계부'!A2027&lt;=21001231),IF(AND(MOD(INT('월 가계부'!A2027/100),100)&gt;=1,MOD(INT('월 가계부'!A2027/100),100)&lt;=12,MOD(INT('월 가계부'!A2027),100)&gt;=1,MOD(INT('월 가계부'!A2027),100)&lt;=31),IF(MONTH(DATE(INT('월 가계부'!A2027/10000),MOD(INT('월 가계부'!A2027/100),100),MOD(INT('월 가계부'!A2027),100)))=MOD(INT('월 가계부'!A2027/100),100),DATE(INT('월 가계부'!A2027/10000),MOD(INT('월 가계부'!A2027/100),100),MOD(INT('월 가계부'!A2027),100)),""),""),IF(AND('월 가계부'!A2027&gt;=36526,'월 가계부'!A2027&lt;73051),INT('월 가계부'!A2027),"")),IF(OR(CM2027="",CN2027="",CO2027=""),"",IF(AND(CM2027&gt;=2000,CM2027&lt;=2099,CN2027&gt;=1,CN2027&lt;=12,CO2027&gt;=1,CO2027&lt;=31),IF(MONTH(DATE(CM2027,CN2027,CO2027))=CN2027,DATE(CM2027,CN2027,CO2027),""),"")))),"")</f>
        <v/>
      </c>
      <c r="CJ2027">
        <f>IFERROR(IF('월 가계부'!C2027="","",IF(ISNUMBER('월 가계부'!C2027),'월 가계부'!C2027,VALUE(SUBSTITUTE(SUBSTITUTE(SUBSTITUTE(SUBSTITUTE(TRIM('월 가계부'!C2027),",",""),"원","")," ",""),"−","-")))),"")</f>
        <v/>
      </c>
      <c r="CK2027">
        <f>IF(ISNUMBER(CI2027),IF(CI2027&lt;$B$13,CI2027,""),"")</f>
        <v/>
      </c>
      <c r="CM2027">
        <f>IF(CH2027="","",IFERROR(IF(IF(AND(LEN(CH2027)=9,ISERROR(FIND("-",LEFT(CH2027,8))),ISNUMBER(-LEFT(CH2027,8))),VALUE(LEFT(CH2027,4)),VALUE(LEFT(CH2027,FIND("-",CH2027)-1)))&lt;100,IF(AND(LEN(CH2027)=9,ISERROR(FIND("-",LEFT(CH2027,8))),ISNUMBER(-LEFT(CH2027,8))),VALUE(LEFT(CH2027,4)),VALUE(LEFT(CH2027,FIND("-",CH2027)-1)))+2000,IF(AND(LEN(CH2027)=9,ISERROR(FIND("-",LEFT(CH2027,8))),ISNUMBER(-LEFT(CH2027,8))),VALUE(LEFT(CH2027,4)),VALUE(LEFT(CH2027,FIND("-",CH2027)-1)))),""))</f>
        <v/>
      </c>
      <c r="CN2027">
        <f>IF(CH2027="","",IFERROR(IF(AND(LEN(CH2027)=9,ISERROR(FIND("-",LEFT(CH2027,8))),ISNUMBER(-LEFT(CH2027,8))),VALUE(MID(CH2027,5,2)),VALUE(MID(CH2027,FIND("-",CH2027)+1,FIND("-",CH2027,FIND("-",CH2027)+1)-FIND("-",CH2027)-1))),""))</f>
        <v/>
      </c>
      <c r="CO2027">
        <f>IF(CH2027="","",IFERROR(IF(AND(LEN(CH2027)=9,ISERROR(FIND("-",LEFT(CH2027,8))),ISNUMBER(-LEFT(CH2027,8))),VALUE(MID(CH2027,7,2)),VALUE(MID(CH2027,FIND("-",CH2027,FIND("-",CH2027)+1)+1,FIND("-",CH2027,FIND("-",CH2027,FIND("-",CH2027)+1)+1)-FIND("-",CH2027,FIND("-",CH2027)+1)-1))),""))</f>
        <v/>
      </c>
    </row>
    <row r="2028">
      <c r="CH2028">
        <f>IF(ISTEXT('월 가계부'!A2028),SUBSTITUTE(SUBSTITUTE(SUBSTITUTE(SUBSTITUTE(SUBSTITUTE(SUBSTITUTE(SUBSTITUTE(SUBSTITUTE(SUBSTITUTE(TRIM('월 가계부'!A2028),"년","-"),"월","-"),"일",""),".","-"),"/","-")," ","-"),"--","-"),"--","-"),"--","-")&amp;"-","")</f>
        <v/>
      </c>
      <c r="CI2028">
        <f>IFERROR(IF('월 가계부'!A2028="","",IF(ISNUMBER('월 가계부'!A2028),IF(AND('월 가계부'!A2028&gt;=19000101,'월 가계부'!A2028&lt;=21001231),IF(AND(MOD(INT('월 가계부'!A2028/100),100)&gt;=1,MOD(INT('월 가계부'!A2028/100),100)&lt;=12,MOD(INT('월 가계부'!A2028),100)&gt;=1,MOD(INT('월 가계부'!A2028),100)&lt;=31),IF(MONTH(DATE(INT('월 가계부'!A2028/10000),MOD(INT('월 가계부'!A2028/100),100),MOD(INT('월 가계부'!A2028),100)))=MOD(INT('월 가계부'!A2028/100),100),DATE(INT('월 가계부'!A2028/10000),MOD(INT('월 가계부'!A2028/100),100),MOD(INT('월 가계부'!A2028),100)),""),""),IF(AND('월 가계부'!A2028&gt;=36526,'월 가계부'!A2028&lt;73051),INT('월 가계부'!A2028),"")),IF(OR(CM2028="",CN2028="",CO2028=""),"",IF(AND(CM2028&gt;=2000,CM2028&lt;=2099,CN2028&gt;=1,CN2028&lt;=12,CO2028&gt;=1,CO2028&lt;=31),IF(MONTH(DATE(CM2028,CN2028,CO2028))=CN2028,DATE(CM2028,CN2028,CO2028),""),"")))),"")</f>
        <v/>
      </c>
      <c r="CJ2028">
        <f>IFERROR(IF('월 가계부'!C2028="","",IF(ISNUMBER('월 가계부'!C2028),'월 가계부'!C2028,VALUE(SUBSTITUTE(SUBSTITUTE(SUBSTITUTE(SUBSTITUTE(TRIM('월 가계부'!C2028),",",""),"원","")," ",""),"−","-")))),"")</f>
        <v/>
      </c>
      <c r="CK2028">
        <f>IF(ISNUMBER(CI2028),IF(CI2028&lt;$B$13,CI2028,""),"")</f>
        <v/>
      </c>
      <c r="CM2028">
        <f>IF(CH2028="","",IFERROR(IF(IF(AND(LEN(CH2028)=9,ISERROR(FIND("-",LEFT(CH2028,8))),ISNUMBER(-LEFT(CH2028,8))),VALUE(LEFT(CH2028,4)),VALUE(LEFT(CH2028,FIND("-",CH2028)-1)))&lt;100,IF(AND(LEN(CH2028)=9,ISERROR(FIND("-",LEFT(CH2028,8))),ISNUMBER(-LEFT(CH2028,8))),VALUE(LEFT(CH2028,4)),VALUE(LEFT(CH2028,FIND("-",CH2028)-1)))+2000,IF(AND(LEN(CH2028)=9,ISERROR(FIND("-",LEFT(CH2028,8))),ISNUMBER(-LEFT(CH2028,8))),VALUE(LEFT(CH2028,4)),VALUE(LEFT(CH2028,FIND("-",CH2028)-1)))),""))</f>
        <v/>
      </c>
      <c r="CN2028">
        <f>IF(CH2028="","",IFERROR(IF(AND(LEN(CH2028)=9,ISERROR(FIND("-",LEFT(CH2028,8))),ISNUMBER(-LEFT(CH2028,8))),VALUE(MID(CH2028,5,2)),VALUE(MID(CH2028,FIND("-",CH2028)+1,FIND("-",CH2028,FIND("-",CH2028)+1)-FIND("-",CH2028)-1))),""))</f>
        <v/>
      </c>
      <c r="CO2028">
        <f>IF(CH2028="","",IFERROR(IF(AND(LEN(CH2028)=9,ISERROR(FIND("-",LEFT(CH2028,8))),ISNUMBER(-LEFT(CH2028,8))),VALUE(MID(CH2028,7,2)),VALUE(MID(CH2028,FIND("-",CH2028,FIND("-",CH2028)+1)+1,FIND("-",CH2028,FIND("-",CH2028,FIND("-",CH2028)+1)+1)-FIND("-",CH2028,FIND("-",CH2028)+1)-1))),""))</f>
        <v/>
      </c>
    </row>
    <row r="2029">
      <c r="CH2029">
        <f>IF(ISTEXT('월 가계부'!A2029),SUBSTITUTE(SUBSTITUTE(SUBSTITUTE(SUBSTITUTE(SUBSTITUTE(SUBSTITUTE(SUBSTITUTE(SUBSTITUTE(SUBSTITUTE(TRIM('월 가계부'!A2029),"년","-"),"월","-"),"일",""),".","-"),"/","-")," ","-"),"--","-"),"--","-"),"--","-")&amp;"-","")</f>
        <v/>
      </c>
      <c r="CI2029">
        <f>IFERROR(IF('월 가계부'!A2029="","",IF(ISNUMBER('월 가계부'!A2029),IF(AND('월 가계부'!A2029&gt;=19000101,'월 가계부'!A2029&lt;=21001231),IF(AND(MOD(INT('월 가계부'!A2029/100),100)&gt;=1,MOD(INT('월 가계부'!A2029/100),100)&lt;=12,MOD(INT('월 가계부'!A2029),100)&gt;=1,MOD(INT('월 가계부'!A2029),100)&lt;=31),IF(MONTH(DATE(INT('월 가계부'!A2029/10000),MOD(INT('월 가계부'!A2029/100),100),MOD(INT('월 가계부'!A2029),100)))=MOD(INT('월 가계부'!A2029/100),100),DATE(INT('월 가계부'!A2029/10000),MOD(INT('월 가계부'!A2029/100),100),MOD(INT('월 가계부'!A2029),100)),""),""),IF(AND('월 가계부'!A2029&gt;=36526,'월 가계부'!A2029&lt;73051),INT('월 가계부'!A2029),"")),IF(OR(CM2029="",CN2029="",CO2029=""),"",IF(AND(CM2029&gt;=2000,CM2029&lt;=2099,CN2029&gt;=1,CN2029&lt;=12,CO2029&gt;=1,CO2029&lt;=31),IF(MONTH(DATE(CM2029,CN2029,CO2029))=CN2029,DATE(CM2029,CN2029,CO2029),""),"")))),"")</f>
        <v/>
      </c>
      <c r="CJ2029">
        <f>IFERROR(IF('월 가계부'!C2029="","",IF(ISNUMBER('월 가계부'!C2029),'월 가계부'!C2029,VALUE(SUBSTITUTE(SUBSTITUTE(SUBSTITUTE(SUBSTITUTE(TRIM('월 가계부'!C2029),",",""),"원","")," ",""),"−","-")))),"")</f>
        <v/>
      </c>
      <c r="CK2029">
        <f>IF(ISNUMBER(CI2029),IF(CI2029&lt;$B$13,CI2029,""),"")</f>
        <v/>
      </c>
      <c r="CM2029">
        <f>IF(CH2029="","",IFERROR(IF(IF(AND(LEN(CH2029)=9,ISERROR(FIND("-",LEFT(CH2029,8))),ISNUMBER(-LEFT(CH2029,8))),VALUE(LEFT(CH2029,4)),VALUE(LEFT(CH2029,FIND("-",CH2029)-1)))&lt;100,IF(AND(LEN(CH2029)=9,ISERROR(FIND("-",LEFT(CH2029,8))),ISNUMBER(-LEFT(CH2029,8))),VALUE(LEFT(CH2029,4)),VALUE(LEFT(CH2029,FIND("-",CH2029)-1)))+2000,IF(AND(LEN(CH2029)=9,ISERROR(FIND("-",LEFT(CH2029,8))),ISNUMBER(-LEFT(CH2029,8))),VALUE(LEFT(CH2029,4)),VALUE(LEFT(CH2029,FIND("-",CH2029)-1)))),""))</f>
        <v/>
      </c>
      <c r="CN2029">
        <f>IF(CH2029="","",IFERROR(IF(AND(LEN(CH2029)=9,ISERROR(FIND("-",LEFT(CH2029,8))),ISNUMBER(-LEFT(CH2029,8))),VALUE(MID(CH2029,5,2)),VALUE(MID(CH2029,FIND("-",CH2029)+1,FIND("-",CH2029,FIND("-",CH2029)+1)-FIND("-",CH2029)-1))),""))</f>
        <v/>
      </c>
      <c r="CO2029">
        <f>IF(CH2029="","",IFERROR(IF(AND(LEN(CH2029)=9,ISERROR(FIND("-",LEFT(CH2029,8))),ISNUMBER(-LEFT(CH2029,8))),VALUE(MID(CH2029,7,2)),VALUE(MID(CH2029,FIND("-",CH2029,FIND("-",CH2029)+1)+1,FIND("-",CH2029,FIND("-",CH2029,FIND("-",CH2029)+1)+1)-FIND("-",CH2029,FIND("-",CH2029)+1)-1))),""))</f>
        <v/>
      </c>
    </row>
    <row r="2030">
      <c r="CH2030">
        <f>IF(ISTEXT('월 가계부'!A2030),SUBSTITUTE(SUBSTITUTE(SUBSTITUTE(SUBSTITUTE(SUBSTITUTE(SUBSTITUTE(SUBSTITUTE(SUBSTITUTE(SUBSTITUTE(TRIM('월 가계부'!A2030),"년","-"),"월","-"),"일",""),".","-"),"/","-")," ","-"),"--","-"),"--","-"),"--","-")&amp;"-","")</f>
        <v/>
      </c>
      <c r="CI2030">
        <f>IFERROR(IF('월 가계부'!A2030="","",IF(ISNUMBER('월 가계부'!A2030),IF(AND('월 가계부'!A2030&gt;=19000101,'월 가계부'!A2030&lt;=21001231),IF(AND(MOD(INT('월 가계부'!A2030/100),100)&gt;=1,MOD(INT('월 가계부'!A2030/100),100)&lt;=12,MOD(INT('월 가계부'!A2030),100)&gt;=1,MOD(INT('월 가계부'!A2030),100)&lt;=31),IF(MONTH(DATE(INT('월 가계부'!A2030/10000),MOD(INT('월 가계부'!A2030/100),100),MOD(INT('월 가계부'!A2030),100)))=MOD(INT('월 가계부'!A2030/100),100),DATE(INT('월 가계부'!A2030/10000),MOD(INT('월 가계부'!A2030/100),100),MOD(INT('월 가계부'!A2030),100)),""),""),IF(AND('월 가계부'!A2030&gt;=36526,'월 가계부'!A2030&lt;73051),INT('월 가계부'!A2030),"")),IF(OR(CM2030="",CN2030="",CO2030=""),"",IF(AND(CM2030&gt;=2000,CM2030&lt;=2099,CN2030&gt;=1,CN2030&lt;=12,CO2030&gt;=1,CO2030&lt;=31),IF(MONTH(DATE(CM2030,CN2030,CO2030))=CN2030,DATE(CM2030,CN2030,CO2030),""),"")))),"")</f>
        <v/>
      </c>
      <c r="CJ2030">
        <f>IFERROR(IF('월 가계부'!C2030="","",IF(ISNUMBER('월 가계부'!C2030),'월 가계부'!C2030,VALUE(SUBSTITUTE(SUBSTITUTE(SUBSTITUTE(SUBSTITUTE(TRIM('월 가계부'!C2030),",",""),"원","")," ",""),"−","-")))),"")</f>
        <v/>
      </c>
      <c r="CK2030">
        <f>IF(ISNUMBER(CI2030),IF(CI2030&lt;$B$13,CI2030,""),"")</f>
        <v/>
      </c>
      <c r="CM2030">
        <f>IF(CH2030="","",IFERROR(IF(IF(AND(LEN(CH2030)=9,ISERROR(FIND("-",LEFT(CH2030,8))),ISNUMBER(-LEFT(CH2030,8))),VALUE(LEFT(CH2030,4)),VALUE(LEFT(CH2030,FIND("-",CH2030)-1)))&lt;100,IF(AND(LEN(CH2030)=9,ISERROR(FIND("-",LEFT(CH2030,8))),ISNUMBER(-LEFT(CH2030,8))),VALUE(LEFT(CH2030,4)),VALUE(LEFT(CH2030,FIND("-",CH2030)-1)))+2000,IF(AND(LEN(CH2030)=9,ISERROR(FIND("-",LEFT(CH2030,8))),ISNUMBER(-LEFT(CH2030,8))),VALUE(LEFT(CH2030,4)),VALUE(LEFT(CH2030,FIND("-",CH2030)-1)))),""))</f>
        <v/>
      </c>
      <c r="CN2030">
        <f>IF(CH2030="","",IFERROR(IF(AND(LEN(CH2030)=9,ISERROR(FIND("-",LEFT(CH2030,8))),ISNUMBER(-LEFT(CH2030,8))),VALUE(MID(CH2030,5,2)),VALUE(MID(CH2030,FIND("-",CH2030)+1,FIND("-",CH2030,FIND("-",CH2030)+1)-FIND("-",CH2030)-1))),""))</f>
        <v/>
      </c>
      <c r="CO2030">
        <f>IF(CH2030="","",IFERROR(IF(AND(LEN(CH2030)=9,ISERROR(FIND("-",LEFT(CH2030,8))),ISNUMBER(-LEFT(CH2030,8))),VALUE(MID(CH2030,7,2)),VALUE(MID(CH2030,FIND("-",CH2030,FIND("-",CH2030)+1)+1,FIND("-",CH2030,FIND("-",CH2030,FIND("-",CH2030)+1)+1)-FIND("-",CH2030,FIND("-",CH2030)+1)-1))),""))</f>
        <v/>
      </c>
    </row>
    <row r="2031">
      <c r="CH2031">
        <f>IF(ISTEXT('월 가계부'!A2031),SUBSTITUTE(SUBSTITUTE(SUBSTITUTE(SUBSTITUTE(SUBSTITUTE(SUBSTITUTE(SUBSTITUTE(SUBSTITUTE(SUBSTITUTE(TRIM('월 가계부'!A2031),"년","-"),"월","-"),"일",""),".","-"),"/","-")," ","-"),"--","-"),"--","-"),"--","-")&amp;"-","")</f>
        <v/>
      </c>
      <c r="CI2031">
        <f>IFERROR(IF('월 가계부'!A2031="","",IF(ISNUMBER('월 가계부'!A2031),IF(AND('월 가계부'!A2031&gt;=19000101,'월 가계부'!A2031&lt;=21001231),IF(AND(MOD(INT('월 가계부'!A2031/100),100)&gt;=1,MOD(INT('월 가계부'!A2031/100),100)&lt;=12,MOD(INT('월 가계부'!A2031),100)&gt;=1,MOD(INT('월 가계부'!A2031),100)&lt;=31),IF(MONTH(DATE(INT('월 가계부'!A2031/10000),MOD(INT('월 가계부'!A2031/100),100),MOD(INT('월 가계부'!A2031),100)))=MOD(INT('월 가계부'!A2031/100),100),DATE(INT('월 가계부'!A2031/10000),MOD(INT('월 가계부'!A2031/100),100),MOD(INT('월 가계부'!A2031),100)),""),""),IF(AND('월 가계부'!A2031&gt;=36526,'월 가계부'!A2031&lt;73051),INT('월 가계부'!A2031),"")),IF(OR(CM2031="",CN2031="",CO2031=""),"",IF(AND(CM2031&gt;=2000,CM2031&lt;=2099,CN2031&gt;=1,CN2031&lt;=12,CO2031&gt;=1,CO2031&lt;=31),IF(MONTH(DATE(CM2031,CN2031,CO2031))=CN2031,DATE(CM2031,CN2031,CO2031),""),"")))),"")</f>
        <v/>
      </c>
      <c r="CJ2031">
        <f>IFERROR(IF('월 가계부'!C2031="","",IF(ISNUMBER('월 가계부'!C2031),'월 가계부'!C2031,VALUE(SUBSTITUTE(SUBSTITUTE(SUBSTITUTE(SUBSTITUTE(TRIM('월 가계부'!C2031),",",""),"원","")," ",""),"−","-")))),"")</f>
        <v/>
      </c>
      <c r="CK2031">
        <f>IF(ISNUMBER(CI2031),IF(CI2031&lt;$B$13,CI2031,""),"")</f>
        <v/>
      </c>
      <c r="CM2031">
        <f>IF(CH2031="","",IFERROR(IF(IF(AND(LEN(CH2031)=9,ISERROR(FIND("-",LEFT(CH2031,8))),ISNUMBER(-LEFT(CH2031,8))),VALUE(LEFT(CH2031,4)),VALUE(LEFT(CH2031,FIND("-",CH2031)-1)))&lt;100,IF(AND(LEN(CH2031)=9,ISERROR(FIND("-",LEFT(CH2031,8))),ISNUMBER(-LEFT(CH2031,8))),VALUE(LEFT(CH2031,4)),VALUE(LEFT(CH2031,FIND("-",CH2031)-1)))+2000,IF(AND(LEN(CH2031)=9,ISERROR(FIND("-",LEFT(CH2031,8))),ISNUMBER(-LEFT(CH2031,8))),VALUE(LEFT(CH2031,4)),VALUE(LEFT(CH2031,FIND("-",CH2031)-1)))),""))</f>
        <v/>
      </c>
      <c r="CN2031">
        <f>IF(CH2031="","",IFERROR(IF(AND(LEN(CH2031)=9,ISERROR(FIND("-",LEFT(CH2031,8))),ISNUMBER(-LEFT(CH2031,8))),VALUE(MID(CH2031,5,2)),VALUE(MID(CH2031,FIND("-",CH2031)+1,FIND("-",CH2031,FIND("-",CH2031)+1)-FIND("-",CH2031)-1))),""))</f>
        <v/>
      </c>
      <c r="CO2031">
        <f>IF(CH2031="","",IFERROR(IF(AND(LEN(CH2031)=9,ISERROR(FIND("-",LEFT(CH2031,8))),ISNUMBER(-LEFT(CH2031,8))),VALUE(MID(CH2031,7,2)),VALUE(MID(CH2031,FIND("-",CH2031,FIND("-",CH2031)+1)+1,FIND("-",CH2031,FIND("-",CH2031,FIND("-",CH2031)+1)+1)-FIND("-",CH2031,FIND("-",CH2031)+1)-1))),""))</f>
        <v/>
      </c>
    </row>
    <row r="2032">
      <c r="CH2032">
        <f>IF(ISTEXT('월 가계부'!A2032),SUBSTITUTE(SUBSTITUTE(SUBSTITUTE(SUBSTITUTE(SUBSTITUTE(SUBSTITUTE(SUBSTITUTE(SUBSTITUTE(SUBSTITUTE(TRIM('월 가계부'!A2032),"년","-"),"월","-"),"일",""),".","-"),"/","-")," ","-"),"--","-"),"--","-"),"--","-")&amp;"-","")</f>
        <v/>
      </c>
      <c r="CI2032">
        <f>IFERROR(IF('월 가계부'!A2032="","",IF(ISNUMBER('월 가계부'!A2032),IF(AND('월 가계부'!A2032&gt;=19000101,'월 가계부'!A2032&lt;=21001231),IF(AND(MOD(INT('월 가계부'!A2032/100),100)&gt;=1,MOD(INT('월 가계부'!A2032/100),100)&lt;=12,MOD(INT('월 가계부'!A2032),100)&gt;=1,MOD(INT('월 가계부'!A2032),100)&lt;=31),IF(MONTH(DATE(INT('월 가계부'!A2032/10000),MOD(INT('월 가계부'!A2032/100),100),MOD(INT('월 가계부'!A2032),100)))=MOD(INT('월 가계부'!A2032/100),100),DATE(INT('월 가계부'!A2032/10000),MOD(INT('월 가계부'!A2032/100),100),MOD(INT('월 가계부'!A2032),100)),""),""),IF(AND('월 가계부'!A2032&gt;=36526,'월 가계부'!A2032&lt;73051),INT('월 가계부'!A2032),"")),IF(OR(CM2032="",CN2032="",CO2032=""),"",IF(AND(CM2032&gt;=2000,CM2032&lt;=2099,CN2032&gt;=1,CN2032&lt;=12,CO2032&gt;=1,CO2032&lt;=31),IF(MONTH(DATE(CM2032,CN2032,CO2032))=CN2032,DATE(CM2032,CN2032,CO2032),""),"")))),"")</f>
        <v/>
      </c>
      <c r="CJ2032">
        <f>IFERROR(IF('월 가계부'!C2032="","",IF(ISNUMBER('월 가계부'!C2032),'월 가계부'!C2032,VALUE(SUBSTITUTE(SUBSTITUTE(SUBSTITUTE(SUBSTITUTE(TRIM('월 가계부'!C2032),",",""),"원","")," ",""),"−","-")))),"")</f>
        <v/>
      </c>
      <c r="CK2032">
        <f>IF(ISNUMBER(CI2032),IF(CI2032&lt;$B$13,CI2032,""),"")</f>
        <v/>
      </c>
      <c r="CM2032">
        <f>IF(CH2032="","",IFERROR(IF(IF(AND(LEN(CH2032)=9,ISERROR(FIND("-",LEFT(CH2032,8))),ISNUMBER(-LEFT(CH2032,8))),VALUE(LEFT(CH2032,4)),VALUE(LEFT(CH2032,FIND("-",CH2032)-1)))&lt;100,IF(AND(LEN(CH2032)=9,ISERROR(FIND("-",LEFT(CH2032,8))),ISNUMBER(-LEFT(CH2032,8))),VALUE(LEFT(CH2032,4)),VALUE(LEFT(CH2032,FIND("-",CH2032)-1)))+2000,IF(AND(LEN(CH2032)=9,ISERROR(FIND("-",LEFT(CH2032,8))),ISNUMBER(-LEFT(CH2032,8))),VALUE(LEFT(CH2032,4)),VALUE(LEFT(CH2032,FIND("-",CH2032)-1)))),""))</f>
        <v/>
      </c>
      <c r="CN2032">
        <f>IF(CH2032="","",IFERROR(IF(AND(LEN(CH2032)=9,ISERROR(FIND("-",LEFT(CH2032,8))),ISNUMBER(-LEFT(CH2032,8))),VALUE(MID(CH2032,5,2)),VALUE(MID(CH2032,FIND("-",CH2032)+1,FIND("-",CH2032,FIND("-",CH2032)+1)-FIND("-",CH2032)-1))),""))</f>
        <v/>
      </c>
      <c r="CO2032">
        <f>IF(CH2032="","",IFERROR(IF(AND(LEN(CH2032)=9,ISERROR(FIND("-",LEFT(CH2032,8))),ISNUMBER(-LEFT(CH2032,8))),VALUE(MID(CH2032,7,2)),VALUE(MID(CH2032,FIND("-",CH2032,FIND("-",CH2032)+1)+1,FIND("-",CH2032,FIND("-",CH2032,FIND("-",CH2032)+1)+1)-FIND("-",CH2032,FIND("-",CH2032)+1)-1))),""))</f>
        <v/>
      </c>
    </row>
    <row r="2033">
      <c r="CH2033">
        <f>IF(ISTEXT('월 가계부'!A2033),SUBSTITUTE(SUBSTITUTE(SUBSTITUTE(SUBSTITUTE(SUBSTITUTE(SUBSTITUTE(SUBSTITUTE(SUBSTITUTE(SUBSTITUTE(TRIM('월 가계부'!A2033),"년","-"),"월","-"),"일",""),".","-"),"/","-")," ","-"),"--","-"),"--","-"),"--","-")&amp;"-","")</f>
        <v/>
      </c>
      <c r="CI2033">
        <f>IFERROR(IF('월 가계부'!A2033="","",IF(ISNUMBER('월 가계부'!A2033),IF(AND('월 가계부'!A2033&gt;=19000101,'월 가계부'!A2033&lt;=21001231),IF(AND(MOD(INT('월 가계부'!A2033/100),100)&gt;=1,MOD(INT('월 가계부'!A2033/100),100)&lt;=12,MOD(INT('월 가계부'!A2033),100)&gt;=1,MOD(INT('월 가계부'!A2033),100)&lt;=31),IF(MONTH(DATE(INT('월 가계부'!A2033/10000),MOD(INT('월 가계부'!A2033/100),100),MOD(INT('월 가계부'!A2033),100)))=MOD(INT('월 가계부'!A2033/100),100),DATE(INT('월 가계부'!A2033/10000),MOD(INT('월 가계부'!A2033/100),100),MOD(INT('월 가계부'!A2033),100)),""),""),IF(AND('월 가계부'!A2033&gt;=36526,'월 가계부'!A2033&lt;73051),INT('월 가계부'!A2033),"")),IF(OR(CM2033="",CN2033="",CO2033=""),"",IF(AND(CM2033&gt;=2000,CM2033&lt;=2099,CN2033&gt;=1,CN2033&lt;=12,CO2033&gt;=1,CO2033&lt;=31),IF(MONTH(DATE(CM2033,CN2033,CO2033))=CN2033,DATE(CM2033,CN2033,CO2033),""),"")))),"")</f>
        <v/>
      </c>
      <c r="CJ2033">
        <f>IFERROR(IF('월 가계부'!C2033="","",IF(ISNUMBER('월 가계부'!C2033),'월 가계부'!C2033,VALUE(SUBSTITUTE(SUBSTITUTE(SUBSTITUTE(SUBSTITUTE(TRIM('월 가계부'!C2033),",",""),"원","")," ",""),"−","-")))),"")</f>
        <v/>
      </c>
      <c r="CK2033">
        <f>IF(ISNUMBER(CI2033),IF(CI2033&lt;$B$13,CI2033,""),"")</f>
        <v/>
      </c>
      <c r="CM2033">
        <f>IF(CH2033="","",IFERROR(IF(IF(AND(LEN(CH2033)=9,ISERROR(FIND("-",LEFT(CH2033,8))),ISNUMBER(-LEFT(CH2033,8))),VALUE(LEFT(CH2033,4)),VALUE(LEFT(CH2033,FIND("-",CH2033)-1)))&lt;100,IF(AND(LEN(CH2033)=9,ISERROR(FIND("-",LEFT(CH2033,8))),ISNUMBER(-LEFT(CH2033,8))),VALUE(LEFT(CH2033,4)),VALUE(LEFT(CH2033,FIND("-",CH2033)-1)))+2000,IF(AND(LEN(CH2033)=9,ISERROR(FIND("-",LEFT(CH2033,8))),ISNUMBER(-LEFT(CH2033,8))),VALUE(LEFT(CH2033,4)),VALUE(LEFT(CH2033,FIND("-",CH2033)-1)))),""))</f>
        <v/>
      </c>
      <c r="CN2033">
        <f>IF(CH2033="","",IFERROR(IF(AND(LEN(CH2033)=9,ISERROR(FIND("-",LEFT(CH2033,8))),ISNUMBER(-LEFT(CH2033,8))),VALUE(MID(CH2033,5,2)),VALUE(MID(CH2033,FIND("-",CH2033)+1,FIND("-",CH2033,FIND("-",CH2033)+1)-FIND("-",CH2033)-1))),""))</f>
        <v/>
      </c>
      <c r="CO2033">
        <f>IF(CH2033="","",IFERROR(IF(AND(LEN(CH2033)=9,ISERROR(FIND("-",LEFT(CH2033,8))),ISNUMBER(-LEFT(CH2033,8))),VALUE(MID(CH2033,7,2)),VALUE(MID(CH2033,FIND("-",CH2033,FIND("-",CH2033)+1)+1,FIND("-",CH2033,FIND("-",CH2033,FIND("-",CH2033)+1)+1)-FIND("-",CH2033,FIND("-",CH2033)+1)-1))),""))</f>
        <v/>
      </c>
    </row>
    <row r="2034">
      <c r="CH2034">
        <f>IF(ISTEXT('월 가계부'!A2034),SUBSTITUTE(SUBSTITUTE(SUBSTITUTE(SUBSTITUTE(SUBSTITUTE(SUBSTITUTE(SUBSTITUTE(SUBSTITUTE(SUBSTITUTE(TRIM('월 가계부'!A2034),"년","-"),"월","-"),"일",""),".","-"),"/","-")," ","-"),"--","-"),"--","-"),"--","-")&amp;"-","")</f>
        <v/>
      </c>
      <c r="CI2034">
        <f>IFERROR(IF('월 가계부'!A2034="","",IF(ISNUMBER('월 가계부'!A2034),IF(AND('월 가계부'!A2034&gt;=19000101,'월 가계부'!A2034&lt;=21001231),IF(AND(MOD(INT('월 가계부'!A2034/100),100)&gt;=1,MOD(INT('월 가계부'!A2034/100),100)&lt;=12,MOD(INT('월 가계부'!A2034),100)&gt;=1,MOD(INT('월 가계부'!A2034),100)&lt;=31),IF(MONTH(DATE(INT('월 가계부'!A2034/10000),MOD(INT('월 가계부'!A2034/100),100),MOD(INT('월 가계부'!A2034),100)))=MOD(INT('월 가계부'!A2034/100),100),DATE(INT('월 가계부'!A2034/10000),MOD(INT('월 가계부'!A2034/100),100),MOD(INT('월 가계부'!A2034),100)),""),""),IF(AND('월 가계부'!A2034&gt;=36526,'월 가계부'!A2034&lt;73051),INT('월 가계부'!A2034),"")),IF(OR(CM2034="",CN2034="",CO2034=""),"",IF(AND(CM2034&gt;=2000,CM2034&lt;=2099,CN2034&gt;=1,CN2034&lt;=12,CO2034&gt;=1,CO2034&lt;=31),IF(MONTH(DATE(CM2034,CN2034,CO2034))=CN2034,DATE(CM2034,CN2034,CO2034),""),"")))),"")</f>
        <v/>
      </c>
      <c r="CJ2034">
        <f>IFERROR(IF('월 가계부'!C2034="","",IF(ISNUMBER('월 가계부'!C2034),'월 가계부'!C2034,VALUE(SUBSTITUTE(SUBSTITUTE(SUBSTITUTE(SUBSTITUTE(TRIM('월 가계부'!C2034),",",""),"원","")," ",""),"−","-")))),"")</f>
        <v/>
      </c>
      <c r="CK2034">
        <f>IF(ISNUMBER(CI2034),IF(CI2034&lt;$B$13,CI2034,""),"")</f>
        <v/>
      </c>
      <c r="CM2034">
        <f>IF(CH2034="","",IFERROR(IF(IF(AND(LEN(CH2034)=9,ISERROR(FIND("-",LEFT(CH2034,8))),ISNUMBER(-LEFT(CH2034,8))),VALUE(LEFT(CH2034,4)),VALUE(LEFT(CH2034,FIND("-",CH2034)-1)))&lt;100,IF(AND(LEN(CH2034)=9,ISERROR(FIND("-",LEFT(CH2034,8))),ISNUMBER(-LEFT(CH2034,8))),VALUE(LEFT(CH2034,4)),VALUE(LEFT(CH2034,FIND("-",CH2034)-1)))+2000,IF(AND(LEN(CH2034)=9,ISERROR(FIND("-",LEFT(CH2034,8))),ISNUMBER(-LEFT(CH2034,8))),VALUE(LEFT(CH2034,4)),VALUE(LEFT(CH2034,FIND("-",CH2034)-1)))),""))</f>
        <v/>
      </c>
      <c r="CN2034">
        <f>IF(CH2034="","",IFERROR(IF(AND(LEN(CH2034)=9,ISERROR(FIND("-",LEFT(CH2034,8))),ISNUMBER(-LEFT(CH2034,8))),VALUE(MID(CH2034,5,2)),VALUE(MID(CH2034,FIND("-",CH2034)+1,FIND("-",CH2034,FIND("-",CH2034)+1)-FIND("-",CH2034)-1))),""))</f>
        <v/>
      </c>
      <c r="CO2034">
        <f>IF(CH2034="","",IFERROR(IF(AND(LEN(CH2034)=9,ISERROR(FIND("-",LEFT(CH2034,8))),ISNUMBER(-LEFT(CH2034,8))),VALUE(MID(CH2034,7,2)),VALUE(MID(CH2034,FIND("-",CH2034,FIND("-",CH2034)+1)+1,FIND("-",CH2034,FIND("-",CH2034,FIND("-",CH2034)+1)+1)-FIND("-",CH2034,FIND("-",CH2034)+1)-1))),""))</f>
        <v/>
      </c>
    </row>
    <row r="2035">
      <c r="CH2035">
        <f>IF(ISTEXT('월 가계부'!A2035),SUBSTITUTE(SUBSTITUTE(SUBSTITUTE(SUBSTITUTE(SUBSTITUTE(SUBSTITUTE(SUBSTITUTE(SUBSTITUTE(SUBSTITUTE(TRIM('월 가계부'!A2035),"년","-"),"월","-"),"일",""),".","-"),"/","-")," ","-"),"--","-"),"--","-"),"--","-")&amp;"-","")</f>
        <v/>
      </c>
      <c r="CI2035">
        <f>IFERROR(IF('월 가계부'!A2035="","",IF(ISNUMBER('월 가계부'!A2035),IF(AND('월 가계부'!A2035&gt;=19000101,'월 가계부'!A2035&lt;=21001231),IF(AND(MOD(INT('월 가계부'!A2035/100),100)&gt;=1,MOD(INT('월 가계부'!A2035/100),100)&lt;=12,MOD(INT('월 가계부'!A2035),100)&gt;=1,MOD(INT('월 가계부'!A2035),100)&lt;=31),IF(MONTH(DATE(INT('월 가계부'!A2035/10000),MOD(INT('월 가계부'!A2035/100),100),MOD(INT('월 가계부'!A2035),100)))=MOD(INT('월 가계부'!A2035/100),100),DATE(INT('월 가계부'!A2035/10000),MOD(INT('월 가계부'!A2035/100),100),MOD(INT('월 가계부'!A2035),100)),""),""),IF(AND('월 가계부'!A2035&gt;=36526,'월 가계부'!A2035&lt;73051),INT('월 가계부'!A2035),"")),IF(OR(CM2035="",CN2035="",CO2035=""),"",IF(AND(CM2035&gt;=2000,CM2035&lt;=2099,CN2035&gt;=1,CN2035&lt;=12,CO2035&gt;=1,CO2035&lt;=31),IF(MONTH(DATE(CM2035,CN2035,CO2035))=CN2035,DATE(CM2035,CN2035,CO2035),""),"")))),"")</f>
        <v/>
      </c>
      <c r="CJ2035">
        <f>IFERROR(IF('월 가계부'!C2035="","",IF(ISNUMBER('월 가계부'!C2035),'월 가계부'!C2035,VALUE(SUBSTITUTE(SUBSTITUTE(SUBSTITUTE(SUBSTITUTE(TRIM('월 가계부'!C2035),",",""),"원","")," ",""),"−","-")))),"")</f>
        <v/>
      </c>
      <c r="CK2035">
        <f>IF(ISNUMBER(CI2035),IF(CI2035&lt;$B$13,CI2035,""),"")</f>
        <v/>
      </c>
      <c r="CM2035">
        <f>IF(CH2035="","",IFERROR(IF(IF(AND(LEN(CH2035)=9,ISERROR(FIND("-",LEFT(CH2035,8))),ISNUMBER(-LEFT(CH2035,8))),VALUE(LEFT(CH2035,4)),VALUE(LEFT(CH2035,FIND("-",CH2035)-1)))&lt;100,IF(AND(LEN(CH2035)=9,ISERROR(FIND("-",LEFT(CH2035,8))),ISNUMBER(-LEFT(CH2035,8))),VALUE(LEFT(CH2035,4)),VALUE(LEFT(CH2035,FIND("-",CH2035)-1)))+2000,IF(AND(LEN(CH2035)=9,ISERROR(FIND("-",LEFT(CH2035,8))),ISNUMBER(-LEFT(CH2035,8))),VALUE(LEFT(CH2035,4)),VALUE(LEFT(CH2035,FIND("-",CH2035)-1)))),""))</f>
        <v/>
      </c>
      <c r="CN2035">
        <f>IF(CH2035="","",IFERROR(IF(AND(LEN(CH2035)=9,ISERROR(FIND("-",LEFT(CH2035,8))),ISNUMBER(-LEFT(CH2035,8))),VALUE(MID(CH2035,5,2)),VALUE(MID(CH2035,FIND("-",CH2035)+1,FIND("-",CH2035,FIND("-",CH2035)+1)-FIND("-",CH2035)-1))),""))</f>
        <v/>
      </c>
      <c r="CO2035">
        <f>IF(CH2035="","",IFERROR(IF(AND(LEN(CH2035)=9,ISERROR(FIND("-",LEFT(CH2035,8))),ISNUMBER(-LEFT(CH2035,8))),VALUE(MID(CH2035,7,2)),VALUE(MID(CH2035,FIND("-",CH2035,FIND("-",CH2035)+1)+1,FIND("-",CH2035,FIND("-",CH2035,FIND("-",CH2035)+1)+1)-FIND("-",CH2035,FIND("-",CH2035)+1)-1))),""))</f>
        <v/>
      </c>
    </row>
    <row r="2036">
      <c r="CH2036">
        <f>IF(ISTEXT('월 가계부'!A2036),SUBSTITUTE(SUBSTITUTE(SUBSTITUTE(SUBSTITUTE(SUBSTITUTE(SUBSTITUTE(SUBSTITUTE(SUBSTITUTE(SUBSTITUTE(TRIM('월 가계부'!A2036),"년","-"),"월","-"),"일",""),".","-"),"/","-")," ","-"),"--","-"),"--","-"),"--","-")&amp;"-","")</f>
        <v/>
      </c>
      <c r="CI2036">
        <f>IFERROR(IF('월 가계부'!A2036="","",IF(ISNUMBER('월 가계부'!A2036),IF(AND('월 가계부'!A2036&gt;=19000101,'월 가계부'!A2036&lt;=21001231),IF(AND(MOD(INT('월 가계부'!A2036/100),100)&gt;=1,MOD(INT('월 가계부'!A2036/100),100)&lt;=12,MOD(INT('월 가계부'!A2036),100)&gt;=1,MOD(INT('월 가계부'!A2036),100)&lt;=31),IF(MONTH(DATE(INT('월 가계부'!A2036/10000),MOD(INT('월 가계부'!A2036/100),100),MOD(INT('월 가계부'!A2036),100)))=MOD(INT('월 가계부'!A2036/100),100),DATE(INT('월 가계부'!A2036/10000),MOD(INT('월 가계부'!A2036/100),100),MOD(INT('월 가계부'!A2036),100)),""),""),IF(AND('월 가계부'!A2036&gt;=36526,'월 가계부'!A2036&lt;73051),INT('월 가계부'!A2036),"")),IF(OR(CM2036="",CN2036="",CO2036=""),"",IF(AND(CM2036&gt;=2000,CM2036&lt;=2099,CN2036&gt;=1,CN2036&lt;=12,CO2036&gt;=1,CO2036&lt;=31),IF(MONTH(DATE(CM2036,CN2036,CO2036))=CN2036,DATE(CM2036,CN2036,CO2036),""),"")))),"")</f>
        <v/>
      </c>
      <c r="CJ2036">
        <f>IFERROR(IF('월 가계부'!C2036="","",IF(ISNUMBER('월 가계부'!C2036),'월 가계부'!C2036,VALUE(SUBSTITUTE(SUBSTITUTE(SUBSTITUTE(SUBSTITUTE(TRIM('월 가계부'!C2036),",",""),"원","")," ",""),"−","-")))),"")</f>
        <v/>
      </c>
      <c r="CK2036">
        <f>IF(ISNUMBER(CI2036),IF(CI2036&lt;$B$13,CI2036,""),"")</f>
        <v/>
      </c>
      <c r="CM2036">
        <f>IF(CH2036="","",IFERROR(IF(IF(AND(LEN(CH2036)=9,ISERROR(FIND("-",LEFT(CH2036,8))),ISNUMBER(-LEFT(CH2036,8))),VALUE(LEFT(CH2036,4)),VALUE(LEFT(CH2036,FIND("-",CH2036)-1)))&lt;100,IF(AND(LEN(CH2036)=9,ISERROR(FIND("-",LEFT(CH2036,8))),ISNUMBER(-LEFT(CH2036,8))),VALUE(LEFT(CH2036,4)),VALUE(LEFT(CH2036,FIND("-",CH2036)-1)))+2000,IF(AND(LEN(CH2036)=9,ISERROR(FIND("-",LEFT(CH2036,8))),ISNUMBER(-LEFT(CH2036,8))),VALUE(LEFT(CH2036,4)),VALUE(LEFT(CH2036,FIND("-",CH2036)-1)))),""))</f>
        <v/>
      </c>
      <c r="CN2036">
        <f>IF(CH2036="","",IFERROR(IF(AND(LEN(CH2036)=9,ISERROR(FIND("-",LEFT(CH2036,8))),ISNUMBER(-LEFT(CH2036,8))),VALUE(MID(CH2036,5,2)),VALUE(MID(CH2036,FIND("-",CH2036)+1,FIND("-",CH2036,FIND("-",CH2036)+1)-FIND("-",CH2036)-1))),""))</f>
        <v/>
      </c>
      <c r="CO2036">
        <f>IF(CH2036="","",IFERROR(IF(AND(LEN(CH2036)=9,ISERROR(FIND("-",LEFT(CH2036,8))),ISNUMBER(-LEFT(CH2036,8))),VALUE(MID(CH2036,7,2)),VALUE(MID(CH2036,FIND("-",CH2036,FIND("-",CH2036)+1)+1,FIND("-",CH2036,FIND("-",CH2036,FIND("-",CH2036)+1)+1)-FIND("-",CH2036,FIND("-",CH2036)+1)-1))),""))</f>
        <v/>
      </c>
    </row>
    <row r="2037">
      <c r="CH2037">
        <f>IF(ISTEXT('월 가계부'!A2037),SUBSTITUTE(SUBSTITUTE(SUBSTITUTE(SUBSTITUTE(SUBSTITUTE(SUBSTITUTE(SUBSTITUTE(SUBSTITUTE(SUBSTITUTE(TRIM('월 가계부'!A2037),"년","-"),"월","-"),"일",""),".","-"),"/","-")," ","-"),"--","-"),"--","-"),"--","-")&amp;"-","")</f>
        <v/>
      </c>
      <c r="CI2037">
        <f>IFERROR(IF('월 가계부'!A2037="","",IF(ISNUMBER('월 가계부'!A2037),IF(AND('월 가계부'!A2037&gt;=19000101,'월 가계부'!A2037&lt;=21001231),IF(AND(MOD(INT('월 가계부'!A2037/100),100)&gt;=1,MOD(INT('월 가계부'!A2037/100),100)&lt;=12,MOD(INT('월 가계부'!A2037),100)&gt;=1,MOD(INT('월 가계부'!A2037),100)&lt;=31),IF(MONTH(DATE(INT('월 가계부'!A2037/10000),MOD(INT('월 가계부'!A2037/100),100),MOD(INT('월 가계부'!A2037),100)))=MOD(INT('월 가계부'!A2037/100),100),DATE(INT('월 가계부'!A2037/10000),MOD(INT('월 가계부'!A2037/100),100),MOD(INT('월 가계부'!A2037),100)),""),""),IF(AND('월 가계부'!A2037&gt;=36526,'월 가계부'!A2037&lt;73051),INT('월 가계부'!A2037),"")),IF(OR(CM2037="",CN2037="",CO2037=""),"",IF(AND(CM2037&gt;=2000,CM2037&lt;=2099,CN2037&gt;=1,CN2037&lt;=12,CO2037&gt;=1,CO2037&lt;=31),IF(MONTH(DATE(CM2037,CN2037,CO2037))=CN2037,DATE(CM2037,CN2037,CO2037),""),"")))),"")</f>
        <v/>
      </c>
      <c r="CJ2037">
        <f>IFERROR(IF('월 가계부'!C2037="","",IF(ISNUMBER('월 가계부'!C2037),'월 가계부'!C2037,VALUE(SUBSTITUTE(SUBSTITUTE(SUBSTITUTE(SUBSTITUTE(TRIM('월 가계부'!C2037),",",""),"원","")," ",""),"−","-")))),"")</f>
        <v/>
      </c>
      <c r="CK2037">
        <f>IF(ISNUMBER(CI2037),IF(CI2037&lt;$B$13,CI2037,""),"")</f>
        <v/>
      </c>
      <c r="CM2037">
        <f>IF(CH2037="","",IFERROR(IF(IF(AND(LEN(CH2037)=9,ISERROR(FIND("-",LEFT(CH2037,8))),ISNUMBER(-LEFT(CH2037,8))),VALUE(LEFT(CH2037,4)),VALUE(LEFT(CH2037,FIND("-",CH2037)-1)))&lt;100,IF(AND(LEN(CH2037)=9,ISERROR(FIND("-",LEFT(CH2037,8))),ISNUMBER(-LEFT(CH2037,8))),VALUE(LEFT(CH2037,4)),VALUE(LEFT(CH2037,FIND("-",CH2037)-1)))+2000,IF(AND(LEN(CH2037)=9,ISERROR(FIND("-",LEFT(CH2037,8))),ISNUMBER(-LEFT(CH2037,8))),VALUE(LEFT(CH2037,4)),VALUE(LEFT(CH2037,FIND("-",CH2037)-1)))),""))</f>
        <v/>
      </c>
      <c r="CN2037">
        <f>IF(CH2037="","",IFERROR(IF(AND(LEN(CH2037)=9,ISERROR(FIND("-",LEFT(CH2037,8))),ISNUMBER(-LEFT(CH2037,8))),VALUE(MID(CH2037,5,2)),VALUE(MID(CH2037,FIND("-",CH2037)+1,FIND("-",CH2037,FIND("-",CH2037)+1)-FIND("-",CH2037)-1))),""))</f>
        <v/>
      </c>
      <c r="CO2037">
        <f>IF(CH2037="","",IFERROR(IF(AND(LEN(CH2037)=9,ISERROR(FIND("-",LEFT(CH2037,8))),ISNUMBER(-LEFT(CH2037,8))),VALUE(MID(CH2037,7,2)),VALUE(MID(CH2037,FIND("-",CH2037,FIND("-",CH2037)+1)+1,FIND("-",CH2037,FIND("-",CH2037,FIND("-",CH2037)+1)+1)-FIND("-",CH2037,FIND("-",CH2037)+1)-1))),""))</f>
        <v/>
      </c>
    </row>
    <row r="2038">
      <c r="CH2038">
        <f>IF(ISTEXT('월 가계부'!A2038),SUBSTITUTE(SUBSTITUTE(SUBSTITUTE(SUBSTITUTE(SUBSTITUTE(SUBSTITUTE(SUBSTITUTE(SUBSTITUTE(SUBSTITUTE(TRIM('월 가계부'!A2038),"년","-"),"월","-"),"일",""),".","-"),"/","-")," ","-"),"--","-"),"--","-"),"--","-")&amp;"-","")</f>
        <v/>
      </c>
      <c r="CI2038">
        <f>IFERROR(IF('월 가계부'!A2038="","",IF(ISNUMBER('월 가계부'!A2038),IF(AND('월 가계부'!A2038&gt;=19000101,'월 가계부'!A2038&lt;=21001231),IF(AND(MOD(INT('월 가계부'!A2038/100),100)&gt;=1,MOD(INT('월 가계부'!A2038/100),100)&lt;=12,MOD(INT('월 가계부'!A2038),100)&gt;=1,MOD(INT('월 가계부'!A2038),100)&lt;=31),IF(MONTH(DATE(INT('월 가계부'!A2038/10000),MOD(INT('월 가계부'!A2038/100),100),MOD(INT('월 가계부'!A2038),100)))=MOD(INT('월 가계부'!A2038/100),100),DATE(INT('월 가계부'!A2038/10000),MOD(INT('월 가계부'!A2038/100),100),MOD(INT('월 가계부'!A2038),100)),""),""),IF(AND('월 가계부'!A2038&gt;=36526,'월 가계부'!A2038&lt;73051),INT('월 가계부'!A2038),"")),IF(OR(CM2038="",CN2038="",CO2038=""),"",IF(AND(CM2038&gt;=2000,CM2038&lt;=2099,CN2038&gt;=1,CN2038&lt;=12,CO2038&gt;=1,CO2038&lt;=31),IF(MONTH(DATE(CM2038,CN2038,CO2038))=CN2038,DATE(CM2038,CN2038,CO2038),""),"")))),"")</f>
        <v/>
      </c>
      <c r="CJ2038">
        <f>IFERROR(IF('월 가계부'!C2038="","",IF(ISNUMBER('월 가계부'!C2038),'월 가계부'!C2038,VALUE(SUBSTITUTE(SUBSTITUTE(SUBSTITUTE(SUBSTITUTE(TRIM('월 가계부'!C2038),",",""),"원","")," ",""),"−","-")))),"")</f>
        <v/>
      </c>
      <c r="CK2038">
        <f>IF(ISNUMBER(CI2038),IF(CI2038&lt;$B$13,CI2038,""),"")</f>
        <v/>
      </c>
      <c r="CM2038">
        <f>IF(CH2038="","",IFERROR(IF(IF(AND(LEN(CH2038)=9,ISERROR(FIND("-",LEFT(CH2038,8))),ISNUMBER(-LEFT(CH2038,8))),VALUE(LEFT(CH2038,4)),VALUE(LEFT(CH2038,FIND("-",CH2038)-1)))&lt;100,IF(AND(LEN(CH2038)=9,ISERROR(FIND("-",LEFT(CH2038,8))),ISNUMBER(-LEFT(CH2038,8))),VALUE(LEFT(CH2038,4)),VALUE(LEFT(CH2038,FIND("-",CH2038)-1)))+2000,IF(AND(LEN(CH2038)=9,ISERROR(FIND("-",LEFT(CH2038,8))),ISNUMBER(-LEFT(CH2038,8))),VALUE(LEFT(CH2038,4)),VALUE(LEFT(CH2038,FIND("-",CH2038)-1)))),""))</f>
        <v/>
      </c>
      <c r="CN2038">
        <f>IF(CH2038="","",IFERROR(IF(AND(LEN(CH2038)=9,ISERROR(FIND("-",LEFT(CH2038,8))),ISNUMBER(-LEFT(CH2038,8))),VALUE(MID(CH2038,5,2)),VALUE(MID(CH2038,FIND("-",CH2038)+1,FIND("-",CH2038,FIND("-",CH2038)+1)-FIND("-",CH2038)-1))),""))</f>
        <v/>
      </c>
      <c r="CO2038">
        <f>IF(CH2038="","",IFERROR(IF(AND(LEN(CH2038)=9,ISERROR(FIND("-",LEFT(CH2038,8))),ISNUMBER(-LEFT(CH2038,8))),VALUE(MID(CH2038,7,2)),VALUE(MID(CH2038,FIND("-",CH2038,FIND("-",CH2038)+1)+1,FIND("-",CH2038,FIND("-",CH2038,FIND("-",CH2038)+1)+1)-FIND("-",CH2038,FIND("-",CH2038)+1)-1))),""))</f>
        <v/>
      </c>
    </row>
    <row r="2039">
      <c r="CH2039">
        <f>IF(ISTEXT('월 가계부'!A2039),SUBSTITUTE(SUBSTITUTE(SUBSTITUTE(SUBSTITUTE(SUBSTITUTE(SUBSTITUTE(SUBSTITUTE(SUBSTITUTE(SUBSTITUTE(TRIM('월 가계부'!A2039),"년","-"),"월","-"),"일",""),".","-"),"/","-")," ","-"),"--","-"),"--","-"),"--","-")&amp;"-","")</f>
        <v/>
      </c>
      <c r="CI2039">
        <f>IFERROR(IF('월 가계부'!A2039="","",IF(ISNUMBER('월 가계부'!A2039),IF(AND('월 가계부'!A2039&gt;=19000101,'월 가계부'!A2039&lt;=21001231),IF(AND(MOD(INT('월 가계부'!A2039/100),100)&gt;=1,MOD(INT('월 가계부'!A2039/100),100)&lt;=12,MOD(INT('월 가계부'!A2039),100)&gt;=1,MOD(INT('월 가계부'!A2039),100)&lt;=31),IF(MONTH(DATE(INT('월 가계부'!A2039/10000),MOD(INT('월 가계부'!A2039/100),100),MOD(INT('월 가계부'!A2039),100)))=MOD(INT('월 가계부'!A2039/100),100),DATE(INT('월 가계부'!A2039/10000),MOD(INT('월 가계부'!A2039/100),100),MOD(INT('월 가계부'!A2039),100)),""),""),IF(AND('월 가계부'!A2039&gt;=36526,'월 가계부'!A2039&lt;73051),INT('월 가계부'!A2039),"")),IF(OR(CM2039="",CN2039="",CO2039=""),"",IF(AND(CM2039&gt;=2000,CM2039&lt;=2099,CN2039&gt;=1,CN2039&lt;=12,CO2039&gt;=1,CO2039&lt;=31),IF(MONTH(DATE(CM2039,CN2039,CO2039))=CN2039,DATE(CM2039,CN2039,CO2039),""),"")))),"")</f>
        <v/>
      </c>
      <c r="CJ2039">
        <f>IFERROR(IF('월 가계부'!C2039="","",IF(ISNUMBER('월 가계부'!C2039),'월 가계부'!C2039,VALUE(SUBSTITUTE(SUBSTITUTE(SUBSTITUTE(SUBSTITUTE(TRIM('월 가계부'!C2039),",",""),"원","")," ",""),"−","-")))),"")</f>
        <v/>
      </c>
      <c r="CK2039">
        <f>IF(ISNUMBER(CI2039),IF(CI2039&lt;$B$13,CI2039,""),"")</f>
        <v/>
      </c>
      <c r="CM2039">
        <f>IF(CH2039="","",IFERROR(IF(IF(AND(LEN(CH2039)=9,ISERROR(FIND("-",LEFT(CH2039,8))),ISNUMBER(-LEFT(CH2039,8))),VALUE(LEFT(CH2039,4)),VALUE(LEFT(CH2039,FIND("-",CH2039)-1)))&lt;100,IF(AND(LEN(CH2039)=9,ISERROR(FIND("-",LEFT(CH2039,8))),ISNUMBER(-LEFT(CH2039,8))),VALUE(LEFT(CH2039,4)),VALUE(LEFT(CH2039,FIND("-",CH2039)-1)))+2000,IF(AND(LEN(CH2039)=9,ISERROR(FIND("-",LEFT(CH2039,8))),ISNUMBER(-LEFT(CH2039,8))),VALUE(LEFT(CH2039,4)),VALUE(LEFT(CH2039,FIND("-",CH2039)-1)))),""))</f>
        <v/>
      </c>
      <c r="CN2039">
        <f>IF(CH2039="","",IFERROR(IF(AND(LEN(CH2039)=9,ISERROR(FIND("-",LEFT(CH2039,8))),ISNUMBER(-LEFT(CH2039,8))),VALUE(MID(CH2039,5,2)),VALUE(MID(CH2039,FIND("-",CH2039)+1,FIND("-",CH2039,FIND("-",CH2039)+1)-FIND("-",CH2039)-1))),""))</f>
        <v/>
      </c>
      <c r="CO2039">
        <f>IF(CH2039="","",IFERROR(IF(AND(LEN(CH2039)=9,ISERROR(FIND("-",LEFT(CH2039,8))),ISNUMBER(-LEFT(CH2039,8))),VALUE(MID(CH2039,7,2)),VALUE(MID(CH2039,FIND("-",CH2039,FIND("-",CH2039)+1)+1,FIND("-",CH2039,FIND("-",CH2039,FIND("-",CH2039)+1)+1)-FIND("-",CH2039,FIND("-",CH2039)+1)-1))),""))</f>
        <v/>
      </c>
    </row>
    <row r="2040">
      <c r="CH2040">
        <f>IF(ISTEXT('월 가계부'!A2040),SUBSTITUTE(SUBSTITUTE(SUBSTITUTE(SUBSTITUTE(SUBSTITUTE(SUBSTITUTE(SUBSTITUTE(SUBSTITUTE(SUBSTITUTE(TRIM('월 가계부'!A2040),"년","-"),"월","-"),"일",""),".","-"),"/","-")," ","-"),"--","-"),"--","-"),"--","-")&amp;"-","")</f>
        <v/>
      </c>
      <c r="CI2040">
        <f>IFERROR(IF('월 가계부'!A2040="","",IF(ISNUMBER('월 가계부'!A2040),IF(AND('월 가계부'!A2040&gt;=19000101,'월 가계부'!A2040&lt;=21001231),IF(AND(MOD(INT('월 가계부'!A2040/100),100)&gt;=1,MOD(INT('월 가계부'!A2040/100),100)&lt;=12,MOD(INT('월 가계부'!A2040),100)&gt;=1,MOD(INT('월 가계부'!A2040),100)&lt;=31),IF(MONTH(DATE(INT('월 가계부'!A2040/10000),MOD(INT('월 가계부'!A2040/100),100),MOD(INT('월 가계부'!A2040),100)))=MOD(INT('월 가계부'!A2040/100),100),DATE(INT('월 가계부'!A2040/10000),MOD(INT('월 가계부'!A2040/100),100),MOD(INT('월 가계부'!A2040),100)),""),""),IF(AND('월 가계부'!A2040&gt;=36526,'월 가계부'!A2040&lt;73051),INT('월 가계부'!A2040),"")),IF(OR(CM2040="",CN2040="",CO2040=""),"",IF(AND(CM2040&gt;=2000,CM2040&lt;=2099,CN2040&gt;=1,CN2040&lt;=12,CO2040&gt;=1,CO2040&lt;=31),IF(MONTH(DATE(CM2040,CN2040,CO2040))=CN2040,DATE(CM2040,CN2040,CO2040),""),"")))),"")</f>
        <v/>
      </c>
      <c r="CJ2040">
        <f>IFERROR(IF('월 가계부'!C2040="","",IF(ISNUMBER('월 가계부'!C2040),'월 가계부'!C2040,VALUE(SUBSTITUTE(SUBSTITUTE(SUBSTITUTE(SUBSTITUTE(TRIM('월 가계부'!C2040),",",""),"원","")," ",""),"−","-")))),"")</f>
        <v/>
      </c>
      <c r="CK2040">
        <f>IF(ISNUMBER(CI2040),IF(CI2040&lt;$B$13,CI2040,""),"")</f>
        <v/>
      </c>
      <c r="CM2040">
        <f>IF(CH2040="","",IFERROR(IF(IF(AND(LEN(CH2040)=9,ISERROR(FIND("-",LEFT(CH2040,8))),ISNUMBER(-LEFT(CH2040,8))),VALUE(LEFT(CH2040,4)),VALUE(LEFT(CH2040,FIND("-",CH2040)-1)))&lt;100,IF(AND(LEN(CH2040)=9,ISERROR(FIND("-",LEFT(CH2040,8))),ISNUMBER(-LEFT(CH2040,8))),VALUE(LEFT(CH2040,4)),VALUE(LEFT(CH2040,FIND("-",CH2040)-1)))+2000,IF(AND(LEN(CH2040)=9,ISERROR(FIND("-",LEFT(CH2040,8))),ISNUMBER(-LEFT(CH2040,8))),VALUE(LEFT(CH2040,4)),VALUE(LEFT(CH2040,FIND("-",CH2040)-1)))),""))</f>
        <v/>
      </c>
      <c r="CN2040">
        <f>IF(CH2040="","",IFERROR(IF(AND(LEN(CH2040)=9,ISERROR(FIND("-",LEFT(CH2040,8))),ISNUMBER(-LEFT(CH2040,8))),VALUE(MID(CH2040,5,2)),VALUE(MID(CH2040,FIND("-",CH2040)+1,FIND("-",CH2040,FIND("-",CH2040)+1)-FIND("-",CH2040)-1))),""))</f>
        <v/>
      </c>
      <c r="CO2040">
        <f>IF(CH2040="","",IFERROR(IF(AND(LEN(CH2040)=9,ISERROR(FIND("-",LEFT(CH2040,8))),ISNUMBER(-LEFT(CH2040,8))),VALUE(MID(CH2040,7,2)),VALUE(MID(CH2040,FIND("-",CH2040,FIND("-",CH2040)+1)+1,FIND("-",CH2040,FIND("-",CH2040,FIND("-",CH2040)+1)+1)-FIND("-",CH2040,FIND("-",CH2040)+1)-1))),""))</f>
        <v/>
      </c>
    </row>
    <row r="2041">
      <c r="CH2041">
        <f>IF(ISTEXT('월 가계부'!A2041),SUBSTITUTE(SUBSTITUTE(SUBSTITUTE(SUBSTITUTE(SUBSTITUTE(SUBSTITUTE(SUBSTITUTE(SUBSTITUTE(SUBSTITUTE(TRIM('월 가계부'!A2041),"년","-"),"월","-"),"일",""),".","-"),"/","-")," ","-"),"--","-"),"--","-"),"--","-")&amp;"-","")</f>
        <v/>
      </c>
      <c r="CI2041">
        <f>IFERROR(IF('월 가계부'!A2041="","",IF(ISNUMBER('월 가계부'!A2041),IF(AND('월 가계부'!A2041&gt;=19000101,'월 가계부'!A2041&lt;=21001231),IF(AND(MOD(INT('월 가계부'!A2041/100),100)&gt;=1,MOD(INT('월 가계부'!A2041/100),100)&lt;=12,MOD(INT('월 가계부'!A2041),100)&gt;=1,MOD(INT('월 가계부'!A2041),100)&lt;=31),IF(MONTH(DATE(INT('월 가계부'!A2041/10000),MOD(INT('월 가계부'!A2041/100),100),MOD(INT('월 가계부'!A2041),100)))=MOD(INT('월 가계부'!A2041/100),100),DATE(INT('월 가계부'!A2041/10000),MOD(INT('월 가계부'!A2041/100),100),MOD(INT('월 가계부'!A2041),100)),""),""),IF(AND('월 가계부'!A2041&gt;=36526,'월 가계부'!A2041&lt;73051),INT('월 가계부'!A2041),"")),IF(OR(CM2041="",CN2041="",CO2041=""),"",IF(AND(CM2041&gt;=2000,CM2041&lt;=2099,CN2041&gt;=1,CN2041&lt;=12,CO2041&gt;=1,CO2041&lt;=31),IF(MONTH(DATE(CM2041,CN2041,CO2041))=CN2041,DATE(CM2041,CN2041,CO2041),""),"")))),"")</f>
        <v/>
      </c>
      <c r="CJ2041">
        <f>IFERROR(IF('월 가계부'!C2041="","",IF(ISNUMBER('월 가계부'!C2041),'월 가계부'!C2041,VALUE(SUBSTITUTE(SUBSTITUTE(SUBSTITUTE(SUBSTITUTE(TRIM('월 가계부'!C2041),",",""),"원","")," ",""),"−","-")))),"")</f>
        <v/>
      </c>
      <c r="CK2041">
        <f>IF(ISNUMBER(CI2041),IF(CI2041&lt;$B$13,CI2041,""),"")</f>
        <v/>
      </c>
      <c r="CM2041">
        <f>IF(CH2041="","",IFERROR(IF(IF(AND(LEN(CH2041)=9,ISERROR(FIND("-",LEFT(CH2041,8))),ISNUMBER(-LEFT(CH2041,8))),VALUE(LEFT(CH2041,4)),VALUE(LEFT(CH2041,FIND("-",CH2041)-1)))&lt;100,IF(AND(LEN(CH2041)=9,ISERROR(FIND("-",LEFT(CH2041,8))),ISNUMBER(-LEFT(CH2041,8))),VALUE(LEFT(CH2041,4)),VALUE(LEFT(CH2041,FIND("-",CH2041)-1)))+2000,IF(AND(LEN(CH2041)=9,ISERROR(FIND("-",LEFT(CH2041,8))),ISNUMBER(-LEFT(CH2041,8))),VALUE(LEFT(CH2041,4)),VALUE(LEFT(CH2041,FIND("-",CH2041)-1)))),""))</f>
        <v/>
      </c>
      <c r="CN2041">
        <f>IF(CH2041="","",IFERROR(IF(AND(LEN(CH2041)=9,ISERROR(FIND("-",LEFT(CH2041,8))),ISNUMBER(-LEFT(CH2041,8))),VALUE(MID(CH2041,5,2)),VALUE(MID(CH2041,FIND("-",CH2041)+1,FIND("-",CH2041,FIND("-",CH2041)+1)-FIND("-",CH2041)-1))),""))</f>
        <v/>
      </c>
      <c r="CO2041">
        <f>IF(CH2041="","",IFERROR(IF(AND(LEN(CH2041)=9,ISERROR(FIND("-",LEFT(CH2041,8))),ISNUMBER(-LEFT(CH2041,8))),VALUE(MID(CH2041,7,2)),VALUE(MID(CH2041,FIND("-",CH2041,FIND("-",CH2041)+1)+1,FIND("-",CH2041,FIND("-",CH2041,FIND("-",CH2041)+1)+1)-FIND("-",CH2041,FIND("-",CH2041)+1)-1))),""))</f>
        <v/>
      </c>
    </row>
    <row r="2042">
      <c r="CH2042">
        <f>IF(ISTEXT('월 가계부'!A2042),SUBSTITUTE(SUBSTITUTE(SUBSTITUTE(SUBSTITUTE(SUBSTITUTE(SUBSTITUTE(SUBSTITUTE(SUBSTITUTE(SUBSTITUTE(TRIM('월 가계부'!A2042),"년","-"),"월","-"),"일",""),".","-"),"/","-")," ","-"),"--","-"),"--","-"),"--","-")&amp;"-","")</f>
        <v/>
      </c>
      <c r="CI2042">
        <f>IFERROR(IF('월 가계부'!A2042="","",IF(ISNUMBER('월 가계부'!A2042),IF(AND('월 가계부'!A2042&gt;=19000101,'월 가계부'!A2042&lt;=21001231),IF(AND(MOD(INT('월 가계부'!A2042/100),100)&gt;=1,MOD(INT('월 가계부'!A2042/100),100)&lt;=12,MOD(INT('월 가계부'!A2042),100)&gt;=1,MOD(INT('월 가계부'!A2042),100)&lt;=31),IF(MONTH(DATE(INT('월 가계부'!A2042/10000),MOD(INT('월 가계부'!A2042/100),100),MOD(INT('월 가계부'!A2042),100)))=MOD(INT('월 가계부'!A2042/100),100),DATE(INT('월 가계부'!A2042/10000),MOD(INT('월 가계부'!A2042/100),100),MOD(INT('월 가계부'!A2042),100)),""),""),IF(AND('월 가계부'!A2042&gt;=36526,'월 가계부'!A2042&lt;73051),INT('월 가계부'!A2042),"")),IF(OR(CM2042="",CN2042="",CO2042=""),"",IF(AND(CM2042&gt;=2000,CM2042&lt;=2099,CN2042&gt;=1,CN2042&lt;=12,CO2042&gt;=1,CO2042&lt;=31),IF(MONTH(DATE(CM2042,CN2042,CO2042))=CN2042,DATE(CM2042,CN2042,CO2042),""),"")))),"")</f>
        <v/>
      </c>
      <c r="CJ2042">
        <f>IFERROR(IF('월 가계부'!C2042="","",IF(ISNUMBER('월 가계부'!C2042),'월 가계부'!C2042,VALUE(SUBSTITUTE(SUBSTITUTE(SUBSTITUTE(SUBSTITUTE(TRIM('월 가계부'!C2042),",",""),"원","")," ",""),"−","-")))),"")</f>
        <v/>
      </c>
      <c r="CK2042">
        <f>IF(ISNUMBER(CI2042),IF(CI2042&lt;$B$13,CI2042,""),"")</f>
        <v/>
      </c>
      <c r="CM2042">
        <f>IF(CH2042="","",IFERROR(IF(IF(AND(LEN(CH2042)=9,ISERROR(FIND("-",LEFT(CH2042,8))),ISNUMBER(-LEFT(CH2042,8))),VALUE(LEFT(CH2042,4)),VALUE(LEFT(CH2042,FIND("-",CH2042)-1)))&lt;100,IF(AND(LEN(CH2042)=9,ISERROR(FIND("-",LEFT(CH2042,8))),ISNUMBER(-LEFT(CH2042,8))),VALUE(LEFT(CH2042,4)),VALUE(LEFT(CH2042,FIND("-",CH2042)-1)))+2000,IF(AND(LEN(CH2042)=9,ISERROR(FIND("-",LEFT(CH2042,8))),ISNUMBER(-LEFT(CH2042,8))),VALUE(LEFT(CH2042,4)),VALUE(LEFT(CH2042,FIND("-",CH2042)-1)))),""))</f>
        <v/>
      </c>
      <c r="CN2042">
        <f>IF(CH2042="","",IFERROR(IF(AND(LEN(CH2042)=9,ISERROR(FIND("-",LEFT(CH2042,8))),ISNUMBER(-LEFT(CH2042,8))),VALUE(MID(CH2042,5,2)),VALUE(MID(CH2042,FIND("-",CH2042)+1,FIND("-",CH2042,FIND("-",CH2042)+1)-FIND("-",CH2042)-1))),""))</f>
        <v/>
      </c>
      <c r="CO2042">
        <f>IF(CH2042="","",IFERROR(IF(AND(LEN(CH2042)=9,ISERROR(FIND("-",LEFT(CH2042,8))),ISNUMBER(-LEFT(CH2042,8))),VALUE(MID(CH2042,7,2)),VALUE(MID(CH2042,FIND("-",CH2042,FIND("-",CH2042)+1)+1,FIND("-",CH2042,FIND("-",CH2042,FIND("-",CH2042)+1)+1)-FIND("-",CH2042,FIND("-",CH2042)+1)-1))),""))</f>
        <v/>
      </c>
    </row>
    <row r="2043">
      <c r="CH2043">
        <f>IF(ISTEXT('월 가계부'!A2043),SUBSTITUTE(SUBSTITUTE(SUBSTITUTE(SUBSTITUTE(SUBSTITUTE(SUBSTITUTE(SUBSTITUTE(SUBSTITUTE(SUBSTITUTE(TRIM('월 가계부'!A2043),"년","-"),"월","-"),"일",""),".","-"),"/","-")," ","-"),"--","-"),"--","-"),"--","-")&amp;"-","")</f>
        <v/>
      </c>
      <c r="CI2043">
        <f>IFERROR(IF('월 가계부'!A2043="","",IF(ISNUMBER('월 가계부'!A2043),IF(AND('월 가계부'!A2043&gt;=19000101,'월 가계부'!A2043&lt;=21001231),IF(AND(MOD(INT('월 가계부'!A2043/100),100)&gt;=1,MOD(INT('월 가계부'!A2043/100),100)&lt;=12,MOD(INT('월 가계부'!A2043),100)&gt;=1,MOD(INT('월 가계부'!A2043),100)&lt;=31),IF(MONTH(DATE(INT('월 가계부'!A2043/10000),MOD(INT('월 가계부'!A2043/100),100),MOD(INT('월 가계부'!A2043),100)))=MOD(INT('월 가계부'!A2043/100),100),DATE(INT('월 가계부'!A2043/10000),MOD(INT('월 가계부'!A2043/100),100),MOD(INT('월 가계부'!A2043),100)),""),""),IF(AND('월 가계부'!A2043&gt;=36526,'월 가계부'!A2043&lt;73051),INT('월 가계부'!A2043),"")),IF(OR(CM2043="",CN2043="",CO2043=""),"",IF(AND(CM2043&gt;=2000,CM2043&lt;=2099,CN2043&gt;=1,CN2043&lt;=12,CO2043&gt;=1,CO2043&lt;=31),IF(MONTH(DATE(CM2043,CN2043,CO2043))=CN2043,DATE(CM2043,CN2043,CO2043),""),"")))),"")</f>
        <v/>
      </c>
      <c r="CJ2043">
        <f>IFERROR(IF('월 가계부'!C2043="","",IF(ISNUMBER('월 가계부'!C2043),'월 가계부'!C2043,VALUE(SUBSTITUTE(SUBSTITUTE(SUBSTITUTE(SUBSTITUTE(TRIM('월 가계부'!C2043),",",""),"원","")," ",""),"−","-")))),"")</f>
        <v/>
      </c>
      <c r="CK2043">
        <f>IF(ISNUMBER(CI2043),IF(CI2043&lt;$B$13,CI2043,""),"")</f>
        <v/>
      </c>
      <c r="CM2043">
        <f>IF(CH2043="","",IFERROR(IF(IF(AND(LEN(CH2043)=9,ISERROR(FIND("-",LEFT(CH2043,8))),ISNUMBER(-LEFT(CH2043,8))),VALUE(LEFT(CH2043,4)),VALUE(LEFT(CH2043,FIND("-",CH2043)-1)))&lt;100,IF(AND(LEN(CH2043)=9,ISERROR(FIND("-",LEFT(CH2043,8))),ISNUMBER(-LEFT(CH2043,8))),VALUE(LEFT(CH2043,4)),VALUE(LEFT(CH2043,FIND("-",CH2043)-1)))+2000,IF(AND(LEN(CH2043)=9,ISERROR(FIND("-",LEFT(CH2043,8))),ISNUMBER(-LEFT(CH2043,8))),VALUE(LEFT(CH2043,4)),VALUE(LEFT(CH2043,FIND("-",CH2043)-1)))),""))</f>
        <v/>
      </c>
      <c r="CN2043">
        <f>IF(CH2043="","",IFERROR(IF(AND(LEN(CH2043)=9,ISERROR(FIND("-",LEFT(CH2043,8))),ISNUMBER(-LEFT(CH2043,8))),VALUE(MID(CH2043,5,2)),VALUE(MID(CH2043,FIND("-",CH2043)+1,FIND("-",CH2043,FIND("-",CH2043)+1)-FIND("-",CH2043)-1))),""))</f>
        <v/>
      </c>
      <c r="CO2043">
        <f>IF(CH2043="","",IFERROR(IF(AND(LEN(CH2043)=9,ISERROR(FIND("-",LEFT(CH2043,8))),ISNUMBER(-LEFT(CH2043,8))),VALUE(MID(CH2043,7,2)),VALUE(MID(CH2043,FIND("-",CH2043,FIND("-",CH2043)+1)+1,FIND("-",CH2043,FIND("-",CH2043,FIND("-",CH2043)+1)+1)-FIND("-",CH2043,FIND("-",CH2043)+1)-1))),""))</f>
        <v/>
      </c>
    </row>
    <row r="2044">
      <c r="CH2044">
        <f>IF(ISTEXT('월 가계부'!A2044),SUBSTITUTE(SUBSTITUTE(SUBSTITUTE(SUBSTITUTE(SUBSTITUTE(SUBSTITUTE(SUBSTITUTE(SUBSTITUTE(SUBSTITUTE(TRIM('월 가계부'!A2044),"년","-"),"월","-"),"일",""),".","-"),"/","-")," ","-"),"--","-"),"--","-"),"--","-")&amp;"-","")</f>
        <v/>
      </c>
      <c r="CI2044">
        <f>IFERROR(IF('월 가계부'!A2044="","",IF(ISNUMBER('월 가계부'!A2044),IF(AND('월 가계부'!A2044&gt;=19000101,'월 가계부'!A2044&lt;=21001231),IF(AND(MOD(INT('월 가계부'!A2044/100),100)&gt;=1,MOD(INT('월 가계부'!A2044/100),100)&lt;=12,MOD(INT('월 가계부'!A2044),100)&gt;=1,MOD(INT('월 가계부'!A2044),100)&lt;=31),IF(MONTH(DATE(INT('월 가계부'!A2044/10000),MOD(INT('월 가계부'!A2044/100),100),MOD(INT('월 가계부'!A2044),100)))=MOD(INT('월 가계부'!A2044/100),100),DATE(INT('월 가계부'!A2044/10000),MOD(INT('월 가계부'!A2044/100),100),MOD(INT('월 가계부'!A2044),100)),""),""),IF(AND('월 가계부'!A2044&gt;=36526,'월 가계부'!A2044&lt;73051),INT('월 가계부'!A2044),"")),IF(OR(CM2044="",CN2044="",CO2044=""),"",IF(AND(CM2044&gt;=2000,CM2044&lt;=2099,CN2044&gt;=1,CN2044&lt;=12,CO2044&gt;=1,CO2044&lt;=31),IF(MONTH(DATE(CM2044,CN2044,CO2044))=CN2044,DATE(CM2044,CN2044,CO2044),""),"")))),"")</f>
        <v/>
      </c>
      <c r="CJ2044">
        <f>IFERROR(IF('월 가계부'!C2044="","",IF(ISNUMBER('월 가계부'!C2044),'월 가계부'!C2044,VALUE(SUBSTITUTE(SUBSTITUTE(SUBSTITUTE(SUBSTITUTE(TRIM('월 가계부'!C2044),",",""),"원","")," ",""),"−","-")))),"")</f>
        <v/>
      </c>
      <c r="CK2044">
        <f>IF(ISNUMBER(CI2044),IF(CI2044&lt;$B$13,CI2044,""),"")</f>
        <v/>
      </c>
      <c r="CM2044">
        <f>IF(CH2044="","",IFERROR(IF(IF(AND(LEN(CH2044)=9,ISERROR(FIND("-",LEFT(CH2044,8))),ISNUMBER(-LEFT(CH2044,8))),VALUE(LEFT(CH2044,4)),VALUE(LEFT(CH2044,FIND("-",CH2044)-1)))&lt;100,IF(AND(LEN(CH2044)=9,ISERROR(FIND("-",LEFT(CH2044,8))),ISNUMBER(-LEFT(CH2044,8))),VALUE(LEFT(CH2044,4)),VALUE(LEFT(CH2044,FIND("-",CH2044)-1)))+2000,IF(AND(LEN(CH2044)=9,ISERROR(FIND("-",LEFT(CH2044,8))),ISNUMBER(-LEFT(CH2044,8))),VALUE(LEFT(CH2044,4)),VALUE(LEFT(CH2044,FIND("-",CH2044)-1)))),""))</f>
        <v/>
      </c>
      <c r="CN2044">
        <f>IF(CH2044="","",IFERROR(IF(AND(LEN(CH2044)=9,ISERROR(FIND("-",LEFT(CH2044,8))),ISNUMBER(-LEFT(CH2044,8))),VALUE(MID(CH2044,5,2)),VALUE(MID(CH2044,FIND("-",CH2044)+1,FIND("-",CH2044,FIND("-",CH2044)+1)-FIND("-",CH2044)-1))),""))</f>
        <v/>
      </c>
      <c r="CO2044">
        <f>IF(CH2044="","",IFERROR(IF(AND(LEN(CH2044)=9,ISERROR(FIND("-",LEFT(CH2044,8))),ISNUMBER(-LEFT(CH2044,8))),VALUE(MID(CH2044,7,2)),VALUE(MID(CH2044,FIND("-",CH2044,FIND("-",CH2044)+1)+1,FIND("-",CH2044,FIND("-",CH2044,FIND("-",CH2044)+1)+1)-FIND("-",CH2044,FIND("-",CH2044)+1)-1))),""))</f>
        <v/>
      </c>
    </row>
    <row r="2045">
      <c r="CH2045">
        <f>IF(ISTEXT('월 가계부'!A2045),SUBSTITUTE(SUBSTITUTE(SUBSTITUTE(SUBSTITUTE(SUBSTITUTE(SUBSTITUTE(SUBSTITUTE(SUBSTITUTE(SUBSTITUTE(TRIM('월 가계부'!A2045),"년","-"),"월","-"),"일",""),".","-"),"/","-")," ","-"),"--","-"),"--","-"),"--","-")&amp;"-","")</f>
        <v/>
      </c>
      <c r="CI2045">
        <f>IFERROR(IF('월 가계부'!A2045="","",IF(ISNUMBER('월 가계부'!A2045),IF(AND('월 가계부'!A2045&gt;=19000101,'월 가계부'!A2045&lt;=21001231),IF(AND(MOD(INT('월 가계부'!A2045/100),100)&gt;=1,MOD(INT('월 가계부'!A2045/100),100)&lt;=12,MOD(INT('월 가계부'!A2045),100)&gt;=1,MOD(INT('월 가계부'!A2045),100)&lt;=31),IF(MONTH(DATE(INT('월 가계부'!A2045/10000),MOD(INT('월 가계부'!A2045/100),100),MOD(INT('월 가계부'!A2045),100)))=MOD(INT('월 가계부'!A2045/100),100),DATE(INT('월 가계부'!A2045/10000),MOD(INT('월 가계부'!A2045/100),100),MOD(INT('월 가계부'!A2045),100)),""),""),IF(AND('월 가계부'!A2045&gt;=36526,'월 가계부'!A2045&lt;73051),INT('월 가계부'!A2045),"")),IF(OR(CM2045="",CN2045="",CO2045=""),"",IF(AND(CM2045&gt;=2000,CM2045&lt;=2099,CN2045&gt;=1,CN2045&lt;=12,CO2045&gt;=1,CO2045&lt;=31),IF(MONTH(DATE(CM2045,CN2045,CO2045))=CN2045,DATE(CM2045,CN2045,CO2045),""),"")))),"")</f>
        <v/>
      </c>
      <c r="CJ2045">
        <f>IFERROR(IF('월 가계부'!C2045="","",IF(ISNUMBER('월 가계부'!C2045),'월 가계부'!C2045,VALUE(SUBSTITUTE(SUBSTITUTE(SUBSTITUTE(SUBSTITUTE(TRIM('월 가계부'!C2045),",",""),"원","")," ",""),"−","-")))),"")</f>
        <v/>
      </c>
      <c r="CK2045">
        <f>IF(ISNUMBER(CI2045),IF(CI2045&lt;$B$13,CI2045,""),"")</f>
        <v/>
      </c>
      <c r="CM2045">
        <f>IF(CH2045="","",IFERROR(IF(IF(AND(LEN(CH2045)=9,ISERROR(FIND("-",LEFT(CH2045,8))),ISNUMBER(-LEFT(CH2045,8))),VALUE(LEFT(CH2045,4)),VALUE(LEFT(CH2045,FIND("-",CH2045)-1)))&lt;100,IF(AND(LEN(CH2045)=9,ISERROR(FIND("-",LEFT(CH2045,8))),ISNUMBER(-LEFT(CH2045,8))),VALUE(LEFT(CH2045,4)),VALUE(LEFT(CH2045,FIND("-",CH2045)-1)))+2000,IF(AND(LEN(CH2045)=9,ISERROR(FIND("-",LEFT(CH2045,8))),ISNUMBER(-LEFT(CH2045,8))),VALUE(LEFT(CH2045,4)),VALUE(LEFT(CH2045,FIND("-",CH2045)-1)))),""))</f>
        <v/>
      </c>
      <c r="CN2045">
        <f>IF(CH2045="","",IFERROR(IF(AND(LEN(CH2045)=9,ISERROR(FIND("-",LEFT(CH2045,8))),ISNUMBER(-LEFT(CH2045,8))),VALUE(MID(CH2045,5,2)),VALUE(MID(CH2045,FIND("-",CH2045)+1,FIND("-",CH2045,FIND("-",CH2045)+1)-FIND("-",CH2045)-1))),""))</f>
        <v/>
      </c>
      <c r="CO2045">
        <f>IF(CH2045="","",IFERROR(IF(AND(LEN(CH2045)=9,ISERROR(FIND("-",LEFT(CH2045,8))),ISNUMBER(-LEFT(CH2045,8))),VALUE(MID(CH2045,7,2)),VALUE(MID(CH2045,FIND("-",CH2045,FIND("-",CH2045)+1)+1,FIND("-",CH2045,FIND("-",CH2045,FIND("-",CH2045)+1)+1)-FIND("-",CH2045,FIND("-",CH2045)+1)-1))),""))</f>
        <v/>
      </c>
    </row>
    <row r="2046">
      <c r="CH2046">
        <f>IF(ISTEXT('월 가계부'!A2046),SUBSTITUTE(SUBSTITUTE(SUBSTITUTE(SUBSTITUTE(SUBSTITUTE(SUBSTITUTE(SUBSTITUTE(SUBSTITUTE(SUBSTITUTE(TRIM('월 가계부'!A2046),"년","-"),"월","-"),"일",""),".","-"),"/","-")," ","-"),"--","-"),"--","-"),"--","-")&amp;"-","")</f>
        <v/>
      </c>
      <c r="CI2046">
        <f>IFERROR(IF('월 가계부'!A2046="","",IF(ISNUMBER('월 가계부'!A2046),IF(AND('월 가계부'!A2046&gt;=19000101,'월 가계부'!A2046&lt;=21001231),IF(AND(MOD(INT('월 가계부'!A2046/100),100)&gt;=1,MOD(INT('월 가계부'!A2046/100),100)&lt;=12,MOD(INT('월 가계부'!A2046),100)&gt;=1,MOD(INT('월 가계부'!A2046),100)&lt;=31),IF(MONTH(DATE(INT('월 가계부'!A2046/10000),MOD(INT('월 가계부'!A2046/100),100),MOD(INT('월 가계부'!A2046),100)))=MOD(INT('월 가계부'!A2046/100),100),DATE(INT('월 가계부'!A2046/10000),MOD(INT('월 가계부'!A2046/100),100),MOD(INT('월 가계부'!A2046),100)),""),""),IF(AND('월 가계부'!A2046&gt;=36526,'월 가계부'!A2046&lt;73051),INT('월 가계부'!A2046),"")),IF(OR(CM2046="",CN2046="",CO2046=""),"",IF(AND(CM2046&gt;=2000,CM2046&lt;=2099,CN2046&gt;=1,CN2046&lt;=12,CO2046&gt;=1,CO2046&lt;=31),IF(MONTH(DATE(CM2046,CN2046,CO2046))=CN2046,DATE(CM2046,CN2046,CO2046),""),"")))),"")</f>
        <v/>
      </c>
      <c r="CJ2046">
        <f>IFERROR(IF('월 가계부'!C2046="","",IF(ISNUMBER('월 가계부'!C2046),'월 가계부'!C2046,VALUE(SUBSTITUTE(SUBSTITUTE(SUBSTITUTE(SUBSTITUTE(TRIM('월 가계부'!C2046),",",""),"원","")," ",""),"−","-")))),"")</f>
        <v/>
      </c>
      <c r="CK2046">
        <f>IF(ISNUMBER(CI2046),IF(CI2046&lt;$B$13,CI2046,""),"")</f>
        <v/>
      </c>
      <c r="CM2046">
        <f>IF(CH2046="","",IFERROR(IF(IF(AND(LEN(CH2046)=9,ISERROR(FIND("-",LEFT(CH2046,8))),ISNUMBER(-LEFT(CH2046,8))),VALUE(LEFT(CH2046,4)),VALUE(LEFT(CH2046,FIND("-",CH2046)-1)))&lt;100,IF(AND(LEN(CH2046)=9,ISERROR(FIND("-",LEFT(CH2046,8))),ISNUMBER(-LEFT(CH2046,8))),VALUE(LEFT(CH2046,4)),VALUE(LEFT(CH2046,FIND("-",CH2046)-1)))+2000,IF(AND(LEN(CH2046)=9,ISERROR(FIND("-",LEFT(CH2046,8))),ISNUMBER(-LEFT(CH2046,8))),VALUE(LEFT(CH2046,4)),VALUE(LEFT(CH2046,FIND("-",CH2046)-1)))),""))</f>
        <v/>
      </c>
      <c r="CN2046">
        <f>IF(CH2046="","",IFERROR(IF(AND(LEN(CH2046)=9,ISERROR(FIND("-",LEFT(CH2046,8))),ISNUMBER(-LEFT(CH2046,8))),VALUE(MID(CH2046,5,2)),VALUE(MID(CH2046,FIND("-",CH2046)+1,FIND("-",CH2046,FIND("-",CH2046)+1)-FIND("-",CH2046)-1))),""))</f>
        <v/>
      </c>
      <c r="CO2046">
        <f>IF(CH2046="","",IFERROR(IF(AND(LEN(CH2046)=9,ISERROR(FIND("-",LEFT(CH2046,8))),ISNUMBER(-LEFT(CH2046,8))),VALUE(MID(CH2046,7,2)),VALUE(MID(CH2046,FIND("-",CH2046,FIND("-",CH2046)+1)+1,FIND("-",CH2046,FIND("-",CH2046,FIND("-",CH2046)+1)+1)-FIND("-",CH2046,FIND("-",CH2046)+1)-1))),""))</f>
        <v/>
      </c>
    </row>
    <row r="2047">
      <c r="CH2047">
        <f>IF(ISTEXT('월 가계부'!A2047),SUBSTITUTE(SUBSTITUTE(SUBSTITUTE(SUBSTITUTE(SUBSTITUTE(SUBSTITUTE(SUBSTITUTE(SUBSTITUTE(SUBSTITUTE(TRIM('월 가계부'!A2047),"년","-"),"월","-"),"일",""),".","-"),"/","-")," ","-"),"--","-"),"--","-"),"--","-")&amp;"-","")</f>
        <v/>
      </c>
      <c r="CI2047">
        <f>IFERROR(IF('월 가계부'!A2047="","",IF(ISNUMBER('월 가계부'!A2047),IF(AND('월 가계부'!A2047&gt;=19000101,'월 가계부'!A2047&lt;=21001231),IF(AND(MOD(INT('월 가계부'!A2047/100),100)&gt;=1,MOD(INT('월 가계부'!A2047/100),100)&lt;=12,MOD(INT('월 가계부'!A2047),100)&gt;=1,MOD(INT('월 가계부'!A2047),100)&lt;=31),IF(MONTH(DATE(INT('월 가계부'!A2047/10000),MOD(INT('월 가계부'!A2047/100),100),MOD(INT('월 가계부'!A2047),100)))=MOD(INT('월 가계부'!A2047/100),100),DATE(INT('월 가계부'!A2047/10000),MOD(INT('월 가계부'!A2047/100),100),MOD(INT('월 가계부'!A2047),100)),""),""),IF(AND('월 가계부'!A2047&gt;=36526,'월 가계부'!A2047&lt;73051),INT('월 가계부'!A2047),"")),IF(OR(CM2047="",CN2047="",CO2047=""),"",IF(AND(CM2047&gt;=2000,CM2047&lt;=2099,CN2047&gt;=1,CN2047&lt;=12,CO2047&gt;=1,CO2047&lt;=31),IF(MONTH(DATE(CM2047,CN2047,CO2047))=CN2047,DATE(CM2047,CN2047,CO2047),""),"")))),"")</f>
        <v/>
      </c>
      <c r="CJ2047">
        <f>IFERROR(IF('월 가계부'!C2047="","",IF(ISNUMBER('월 가계부'!C2047),'월 가계부'!C2047,VALUE(SUBSTITUTE(SUBSTITUTE(SUBSTITUTE(SUBSTITUTE(TRIM('월 가계부'!C2047),",",""),"원","")," ",""),"−","-")))),"")</f>
        <v/>
      </c>
      <c r="CK2047">
        <f>IF(ISNUMBER(CI2047),IF(CI2047&lt;$B$13,CI2047,""),"")</f>
        <v/>
      </c>
      <c r="CM2047">
        <f>IF(CH2047="","",IFERROR(IF(IF(AND(LEN(CH2047)=9,ISERROR(FIND("-",LEFT(CH2047,8))),ISNUMBER(-LEFT(CH2047,8))),VALUE(LEFT(CH2047,4)),VALUE(LEFT(CH2047,FIND("-",CH2047)-1)))&lt;100,IF(AND(LEN(CH2047)=9,ISERROR(FIND("-",LEFT(CH2047,8))),ISNUMBER(-LEFT(CH2047,8))),VALUE(LEFT(CH2047,4)),VALUE(LEFT(CH2047,FIND("-",CH2047)-1)))+2000,IF(AND(LEN(CH2047)=9,ISERROR(FIND("-",LEFT(CH2047,8))),ISNUMBER(-LEFT(CH2047,8))),VALUE(LEFT(CH2047,4)),VALUE(LEFT(CH2047,FIND("-",CH2047)-1)))),""))</f>
        <v/>
      </c>
      <c r="CN2047">
        <f>IF(CH2047="","",IFERROR(IF(AND(LEN(CH2047)=9,ISERROR(FIND("-",LEFT(CH2047,8))),ISNUMBER(-LEFT(CH2047,8))),VALUE(MID(CH2047,5,2)),VALUE(MID(CH2047,FIND("-",CH2047)+1,FIND("-",CH2047,FIND("-",CH2047)+1)-FIND("-",CH2047)-1))),""))</f>
        <v/>
      </c>
      <c r="CO2047">
        <f>IF(CH2047="","",IFERROR(IF(AND(LEN(CH2047)=9,ISERROR(FIND("-",LEFT(CH2047,8))),ISNUMBER(-LEFT(CH2047,8))),VALUE(MID(CH2047,7,2)),VALUE(MID(CH2047,FIND("-",CH2047,FIND("-",CH2047)+1)+1,FIND("-",CH2047,FIND("-",CH2047,FIND("-",CH2047)+1)+1)-FIND("-",CH2047,FIND("-",CH2047)+1)-1))),""))</f>
        <v/>
      </c>
    </row>
    <row r="2048">
      <c r="CH2048">
        <f>IF(ISTEXT('월 가계부'!A2048),SUBSTITUTE(SUBSTITUTE(SUBSTITUTE(SUBSTITUTE(SUBSTITUTE(SUBSTITUTE(SUBSTITUTE(SUBSTITUTE(SUBSTITUTE(TRIM('월 가계부'!A2048),"년","-"),"월","-"),"일",""),".","-"),"/","-")," ","-"),"--","-"),"--","-"),"--","-")&amp;"-","")</f>
        <v/>
      </c>
      <c r="CI2048">
        <f>IFERROR(IF('월 가계부'!A2048="","",IF(ISNUMBER('월 가계부'!A2048),IF(AND('월 가계부'!A2048&gt;=19000101,'월 가계부'!A2048&lt;=21001231),IF(AND(MOD(INT('월 가계부'!A2048/100),100)&gt;=1,MOD(INT('월 가계부'!A2048/100),100)&lt;=12,MOD(INT('월 가계부'!A2048),100)&gt;=1,MOD(INT('월 가계부'!A2048),100)&lt;=31),IF(MONTH(DATE(INT('월 가계부'!A2048/10000),MOD(INT('월 가계부'!A2048/100),100),MOD(INT('월 가계부'!A2048),100)))=MOD(INT('월 가계부'!A2048/100),100),DATE(INT('월 가계부'!A2048/10000),MOD(INT('월 가계부'!A2048/100),100),MOD(INT('월 가계부'!A2048),100)),""),""),IF(AND('월 가계부'!A2048&gt;=36526,'월 가계부'!A2048&lt;73051),INT('월 가계부'!A2048),"")),IF(OR(CM2048="",CN2048="",CO2048=""),"",IF(AND(CM2048&gt;=2000,CM2048&lt;=2099,CN2048&gt;=1,CN2048&lt;=12,CO2048&gt;=1,CO2048&lt;=31),IF(MONTH(DATE(CM2048,CN2048,CO2048))=CN2048,DATE(CM2048,CN2048,CO2048),""),"")))),"")</f>
        <v/>
      </c>
      <c r="CJ2048">
        <f>IFERROR(IF('월 가계부'!C2048="","",IF(ISNUMBER('월 가계부'!C2048),'월 가계부'!C2048,VALUE(SUBSTITUTE(SUBSTITUTE(SUBSTITUTE(SUBSTITUTE(TRIM('월 가계부'!C2048),",",""),"원","")," ",""),"−","-")))),"")</f>
        <v/>
      </c>
      <c r="CK2048">
        <f>IF(ISNUMBER(CI2048),IF(CI2048&lt;$B$13,CI2048,""),"")</f>
        <v/>
      </c>
      <c r="CM2048">
        <f>IF(CH2048="","",IFERROR(IF(IF(AND(LEN(CH2048)=9,ISERROR(FIND("-",LEFT(CH2048,8))),ISNUMBER(-LEFT(CH2048,8))),VALUE(LEFT(CH2048,4)),VALUE(LEFT(CH2048,FIND("-",CH2048)-1)))&lt;100,IF(AND(LEN(CH2048)=9,ISERROR(FIND("-",LEFT(CH2048,8))),ISNUMBER(-LEFT(CH2048,8))),VALUE(LEFT(CH2048,4)),VALUE(LEFT(CH2048,FIND("-",CH2048)-1)))+2000,IF(AND(LEN(CH2048)=9,ISERROR(FIND("-",LEFT(CH2048,8))),ISNUMBER(-LEFT(CH2048,8))),VALUE(LEFT(CH2048,4)),VALUE(LEFT(CH2048,FIND("-",CH2048)-1)))),""))</f>
        <v/>
      </c>
      <c r="CN2048">
        <f>IF(CH2048="","",IFERROR(IF(AND(LEN(CH2048)=9,ISERROR(FIND("-",LEFT(CH2048,8))),ISNUMBER(-LEFT(CH2048,8))),VALUE(MID(CH2048,5,2)),VALUE(MID(CH2048,FIND("-",CH2048)+1,FIND("-",CH2048,FIND("-",CH2048)+1)-FIND("-",CH2048)-1))),""))</f>
        <v/>
      </c>
      <c r="CO2048">
        <f>IF(CH2048="","",IFERROR(IF(AND(LEN(CH2048)=9,ISERROR(FIND("-",LEFT(CH2048,8))),ISNUMBER(-LEFT(CH2048,8))),VALUE(MID(CH2048,7,2)),VALUE(MID(CH2048,FIND("-",CH2048,FIND("-",CH2048)+1)+1,FIND("-",CH2048,FIND("-",CH2048,FIND("-",CH2048)+1)+1)-FIND("-",CH2048,FIND("-",CH2048)+1)-1))),""))</f>
        <v/>
      </c>
    </row>
    <row r="2049">
      <c r="CH2049">
        <f>IF(ISTEXT('월 가계부'!A2049),SUBSTITUTE(SUBSTITUTE(SUBSTITUTE(SUBSTITUTE(SUBSTITUTE(SUBSTITUTE(SUBSTITUTE(SUBSTITUTE(SUBSTITUTE(TRIM('월 가계부'!A2049),"년","-"),"월","-"),"일",""),".","-"),"/","-")," ","-"),"--","-"),"--","-"),"--","-")&amp;"-","")</f>
        <v/>
      </c>
      <c r="CI2049">
        <f>IFERROR(IF('월 가계부'!A2049="","",IF(ISNUMBER('월 가계부'!A2049),IF(AND('월 가계부'!A2049&gt;=19000101,'월 가계부'!A2049&lt;=21001231),IF(AND(MOD(INT('월 가계부'!A2049/100),100)&gt;=1,MOD(INT('월 가계부'!A2049/100),100)&lt;=12,MOD(INT('월 가계부'!A2049),100)&gt;=1,MOD(INT('월 가계부'!A2049),100)&lt;=31),IF(MONTH(DATE(INT('월 가계부'!A2049/10000),MOD(INT('월 가계부'!A2049/100),100),MOD(INT('월 가계부'!A2049),100)))=MOD(INT('월 가계부'!A2049/100),100),DATE(INT('월 가계부'!A2049/10000),MOD(INT('월 가계부'!A2049/100),100),MOD(INT('월 가계부'!A2049),100)),""),""),IF(AND('월 가계부'!A2049&gt;=36526,'월 가계부'!A2049&lt;73051),INT('월 가계부'!A2049),"")),IF(OR(CM2049="",CN2049="",CO2049=""),"",IF(AND(CM2049&gt;=2000,CM2049&lt;=2099,CN2049&gt;=1,CN2049&lt;=12,CO2049&gt;=1,CO2049&lt;=31),IF(MONTH(DATE(CM2049,CN2049,CO2049))=CN2049,DATE(CM2049,CN2049,CO2049),""),"")))),"")</f>
        <v/>
      </c>
      <c r="CJ2049">
        <f>IFERROR(IF('월 가계부'!C2049="","",IF(ISNUMBER('월 가계부'!C2049),'월 가계부'!C2049,VALUE(SUBSTITUTE(SUBSTITUTE(SUBSTITUTE(SUBSTITUTE(TRIM('월 가계부'!C2049),",",""),"원","")," ",""),"−","-")))),"")</f>
        <v/>
      </c>
      <c r="CK2049">
        <f>IF(ISNUMBER(CI2049),IF(CI2049&lt;$B$13,CI2049,""),"")</f>
        <v/>
      </c>
      <c r="CM2049">
        <f>IF(CH2049="","",IFERROR(IF(IF(AND(LEN(CH2049)=9,ISERROR(FIND("-",LEFT(CH2049,8))),ISNUMBER(-LEFT(CH2049,8))),VALUE(LEFT(CH2049,4)),VALUE(LEFT(CH2049,FIND("-",CH2049)-1)))&lt;100,IF(AND(LEN(CH2049)=9,ISERROR(FIND("-",LEFT(CH2049,8))),ISNUMBER(-LEFT(CH2049,8))),VALUE(LEFT(CH2049,4)),VALUE(LEFT(CH2049,FIND("-",CH2049)-1)))+2000,IF(AND(LEN(CH2049)=9,ISERROR(FIND("-",LEFT(CH2049,8))),ISNUMBER(-LEFT(CH2049,8))),VALUE(LEFT(CH2049,4)),VALUE(LEFT(CH2049,FIND("-",CH2049)-1)))),""))</f>
        <v/>
      </c>
      <c r="CN2049">
        <f>IF(CH2049="","",IFERROR(IF(AND(LEN(CH2049)=9,ISERROR(FIND("-",LEFT(CH2049,8))),ISNUMBER(-LEFT(CH2049,8))),VALUE(MID(CH2049,5,2)),VALUE(MID(CH2049,FIND("-",CH2049)+1,FIND("-",CH2049,FIND("-",CH2049)+1)-FIND("-",CH2049)-1))),""))</f>
        <v/>
      </c>
      <c r="CO2049">
        <f>IF(CH2049="","",IFERROR(IF(AND(LEN(CH2049)=9,ISERROR(FIND("-",LEFT(CH2049,8))),ISNUMBER(-LEFT(CH2049,8))),VALUE(MID(CH2049,7,2)),VALUE(MID(CH2049,FIND("-",CH2049,FIND("-",CH2049)+1)+1,FIND("-",CH2049,FIND("-",CH2049,FIND("-",CH2049)+1)+1)-FIND("-",CH2049,FIND("-",CH2049)+1)-1))),""))</f>
        <v/>
      </c>
    </row>
    <row r="2050">
      <c r="CH2050">
        <f>IF(ISTEXT('월 가계부'!A2050),SUBSTITUTE(SUBSTITUTE(SUBSTITUTE(SUBSTITUTE(SUBSTITUTE(SUBSTITUTE(SUBSTITUTE(SUBSTITUTE(SUBSTITUTE(TRIM('월 가계부'!A2050),"년","-"),"월","-"),"일",""),".","-"),"/","-")," ","-"),"--","-"),"--","-"),"--","-")&amp;"-","")</f>
        <v/>
      </c>
      <c r="CI2050">
        <f>IFERROR(IF('월 가계부'!A2050="","",IF(ISNUMBER('월 가계부'!A2050),IF(AND('월 가계부'!A2050&gt;=19000101,'월 가계부'!A2050&lt;=21001231),IF(AND(MOD(INT('월 가계부'!A2050/100),100)&gt;=1,MOD(INT('월 가계부'!A2050/100),100)&lt;=12,MOD(INT('월 가계부'!A2050),100)&gt;=1,MOD(INT('월 가계부'!A2050),100)&lt;=31),IF(MONTH(DATE(INT('월 가계부'!A2050/10000),MOD(INT('월 가계부'!A2050/100),100),MOD(INT('월 가계부'!A2050),100)))=MOD(INT('월 가계부'!A2050/100),100),DATE(INT('월 가계부'!A2050/10000),MOD(INT('월 가계부'!A2050/100),100),MOD(INT('월 가계부'!A2050),100)),""),""),IF(AND('월 가계부'!A2050&gt;=36526,'월 가계부'!A2050&lt;73051),INT('월 가계부'!A2050),"")),IF(OR(CM2050="",CN2050="",CO2050=""),"",IF(AND(CM2050&gt;=2000,CM2050&lt;=2099,CN2050&gt;=1,CN2050&lt;=12,CO2050&gt;=1,CO2050&lt;=31),IF(MONTH(DATE(CM2050,CN2050,CO2050))=CN2050,DATE(CM2050,CN2050,CO2050),""),"")))),"")</f>
        <v/>
      </c>
      <c r="CJ2050">
        <f>IFERROR(IF('월 가계부'!C2050="","",IF(ISNUMBER('월 가계부'!C2050),'월 가계부'!C2050,VALUE(SUBSTITUTE(SUBSTITUTE(SUBSTITUTE(SUBSTITUTE(TRIM('월 가계부'!C2050),",",""),"원","")," ",""),"−","-")))),"")</f>
        <v/>
      </c>
      <c r="CK2050">
        <f>IF(ISNUMBER(CI2050),IF(CI2050&lt;$B$13,CI2050,""),"")</f>
        <v/>
      </c>
      <c r="CM2050">
        <f>IF(CH2050="","",IFERROR(IF(IF(AND(LEN(CH2050)=9,ISERROR(FIND("-",LEFT(CH2050,8))),ISNUMBER(-LEFT(CH2050,8))),VALUE(LEFT(CH2050,4)),VALUE(LEFT(CH2050,FIND("-",CH2050)-1)))&lt;100,IF(AND(LEN(CH2050)=9,ISERROR(FIND("-",LEFT(CH2050,8))),ISNUMBER(-LEFT(CH2050,8))),VALUE(LEFT(CH2050,4)),VALUE(LEFT(CH2050,FIND("-",CH2050)-1)))+2000,IF(AND(LEN(CH2050)=9,ISERROR(FIND("-",LEFT(CH2050,8))),ISNUMBER(-LEFT(CH2050,8))),VALUE(LEFT(CH2050,4)),VALUE(LEFT(CH2050,FIND("-",CH2050)-1)))),""))</f>
        <v/>
      </c>
      <c r="CN2050">
        <f>IF(CH2050="","",IFERROR(IF(AND(LEN(CH2050)=9,ISERROR(FIND("-",LEFT(CH2050,8))),ISNUMBER(-LEFT(CH2050,8))),VALUE(MID(CH2050,5,2)),VALUE(MID(CH2050,FIND("-",CH2050)+1,FIND("-",CH2050,FIND("-",CH2050)+1)-FIND("-",CH2050)-1))),""))</f>
        <v/>
      </c>
      <c r="CO2050">
        <f>IF(CH2050="","",IFERROR(IF(AND(LEN(CH2050)=9,ISERROR(FIND("-",LEFT(CH2050,8))),ISNUMBER(-LEFT(CH2050,8))),VALUE(MID(CH2050,7,2)),VALUE(MID(CH2050,FIND("-",CH2050,FIND("-",CH2050)+1)+1,FIND("-",CH2050,FIND("-",CH2050,FIND("-",CH2050)+1)+1)-FIND("-",CH2050,FIND("-",CH2050)+1)-1))),""))</f>
        <v/>
      </c>
    </row>
    <row r="2051">
      <c r="CH2051">
        <f>IF(ISTEXT('월 가계부'!A2051),SUBSTITUTE(SUBSTITUTE(SUBSTITUTE(SUBSTITUTE(SUBSTITUTE(SUBSTITUTE(SUBSTITUTE(SUBSTITUTE(SUBSTITUTE(TRIM('월 가계부'!A2051),"년","-"),"월","-"),"일",""),".","-"),"/","-")," ","-"),"--","-"),"--","-"),"--","-")&amp;"-","")</f>
        <v/>
      </c>
      <c r="CI2051">
        <f>IFERROR(IF('월 가계부'!A2051="","",IF(ISNUMBER('월 가계부'!A2051),IF(AND('월 가계부'!A2051&gt;=19000101,'월 가계부'!A2051&lt;=21001231),IF(AND(MOD(INT('월 가계부'!A2051/100),100)&gt;=1,MOD(INT('월 가계부'!A2051/100),100)&lt;=12,MOD(INT('월 가계부'!A2051),100)&gt;=1,MOD(INT('월 가계부'!A2051),100)&lt;=31),IF(MONTH(DATE(INT('월 가계부'!A2051/10000),MOD(INT('월 가계부'!A2051/100),100),MOD(INT('월 가계부'!A2051),100)))=MOD(INT('월 가계부'!A2051/100),100),DATE(INT('월 가계부'!A2051/10000),MOD(INT('월 가계부'!A2051/100),100),MOD(INT('월 가계부'!A2051),100)),""),""),IF(AND('월 가계부'!A2051&gt;=36526,'월 가계부'!A2051&lt;73051),INT('월 가계부'!A2051),"")),IF(OR(CM2051="",CN2051="",CO2051=""),"",IF(AND(CM2051&gt;=2000,CM2051&lt;=2099,CN2051&gt;=1,CN2051&lt;=12,CO2051&gt;=1,CO2051&lt;=31),IF(MONTH(DATE(CM2051,CN2051,CO2051))=CN2051,DATE(CM2051,CN2051,CO2051),""),"")))),"")</f>
        <v/>
      </c>
      <c r="CJ2051">
        <f>IFERROR(IF('월 가계부'!C2051="","",IF(ISNUMBER('월 가계부'!C2051),'월 가계부'!C2051,VALUE(SUBSTITUTE(SUBSTITUTE(SUBSTITUTE(SUBSTITUTE(TRIM('월 가계부'!C2051),",",""),"원","")," ",""),"−","-")))),"")</f>
        <v/>
      </c>
      <c r="CK2051">
        <f>IF(ISNUMBER(CI2051),IF(CI2051&lt;$B$13,CI2051,""),"")</f>
        <v/>
      </c>
      <c r="CM2051">
        <f>IF(CH2051="","",IFERROR(IF(IF(AND(LEN(CH2051)=9,ISERROR(FIND("-",LEFT(CH2051,8))),ISNUMBER(-LEFT(CH2051,8))),VALUE(LEFT(CH2051,4)),VALUE(LEFT(CH2051,FIND("-",CH2051)-1)))&lt;100,IF(AND(LEN(CH2051)=9,ISERROR(FIND("-",LEFT(CH2051,8))),ISNUMBER(-LEFT(CH2051,8))),VALUE(LEFT(CH2051,4)),VALUE(LEFT(CH2051,FIND("-",CH2051)-1)))+2000,IF(AND(LEN(CH2051)=9,ISERROR(FIND("-",LEFT(CH2051,8))),ISNUMBER(-LEFT(CH2051,8))),VALUE(LEFT(CH2051,4)),VALUE(LEFT(CH2051,FIND("-",CH2051)-1)))),""))</f>
        <v/>
      </c>
      <c r="CN2051">
        <f>IF(CH2051="","",IFERROR(IF(AND(LEN(CH2051)=9,ISERROR(FIND("-",LEFT(CH2051,8))),ISNUMBER(-LEFT(CH2051,8))),VALUE(MID(CH2051,5,2)),VALUE(MID(CH2051,FIND("-",CH2051)+1,FIND("-",CH2051,FIND("-",CH2051)+1)-FIND("-",CH2051)-1))),""))</f>
        <v/>
      </c>
      <c r="CO2051">
        <f>IF(CH2051="","",IFERROR(IF(AND(LEN(CH2051)=9,ISERROR(FIND("-",LEFT(CH2051,8))),ISNUMBER(-LEFT(CH2051,8))),VALUE(MID(CH2051,7,2)),VALUE(MID(CH2051,FIND("-",CH2051,FIND("-",CH2051)+1)+1,FIND("-",CH2051,FIND("-",CH2051,FIND("-",CH2051)+1)+1)-FIND("-",CH2051,FIND("-",CH2051)+1)-1))),""))</f>
        <v/>
      </c>
    </row>
    <row r="2052">
      <c r="CH2052">
        <f>IF(ISTEXT('월 가계부'!A2052),SUBSTITUTE(SUBSTITUTE(SUBSTITUTE(SUBSTITUTE(SUBSTITUTE(SUBSTITUTE(SUBSTITUTE(SUBSTITUTE(SUBSTITUTE(TRIM('월 가계부'!A2052),"년","-"),"월","-"),"일",""),".","-"),"/","-")," ","-"),"--","-"),"--","-"),"--","-")&amp;"-","")</f>
        <v/>
      </c>
      <c r="CI2052">
        <f>IFERROR(IF('월 가계부'!A2052="","",IF(ISNUMBER('월 가계부'!A2052),IF(AND('월 가계부'!A2052&gt;=19000101,'월 가계부'!A2052&lt;=21001231),IF(AND(MOD(INT('월 가계부'!A2052/100),100)&gt;=1,MOD(INT('월 가계부'!A2052/100),100)&lt;=12,MOD(INT('월 가계부'!A2052),100)&gt;=1,MOD(INT('월 가계부'!A2052),100)&lt;=31),IF(MONTH(DATE(INT('월 가계부'!A2052/10000),MOD(INT('월 가계부'!A2052/100),100),MOD(INT('월 가계부'!A2052),100)))=MOD(INT('월 가계부'!A2052/100),100),DATE(INT('월 가계부'!A2052/10000),MOD(INT('월 가계부'!A2052/100),100),MOD(INT('월 가계부'!A2052),100)),""),""),IF(AND('월 가계부'!A2052&gt;=36526,'월 가계부'!A2052&lt;73051),INT('월 가계부'!A2052),"")),IF(OR(CM2052="",CN2052="",CO2052=""),"",IF(AND(CM2052&gt;=2000,CM2052&lt;=2099,CN2052&gt;=1,CN2052&lt;=12,CO2052&gt;=1,CO2052&lt;=31),IF(MONTH(DATE(CM2052,CN2052,CO2052))=CN2052,DATE(CM2052,CN2052,CO2052),""),"")))),"")</f>
        <v/>
      </c>
      <c r="CJ2052">
        <f>IFERROR(IF('월 가계부'!C2052="","",IF(ISNUMBER('월 가계부'!C2052),'월 가계부'!C2052,VALUE(SUBSTITUTE(SUBSTITUTE(SUBSTITUTE(SUBSTITUTE(TRIM('월 가계부'!C2052),",",""),"원","")," ",""),"−","-")))),"")</f>
        <v/>
      </c>
      <c r="CK2052">
        <f>IF(ISNUMBER(CI2052),IF(CI2052&lt;$B$13,CI2052,""),"")</f>
        <v/>
      </c>
      <c r="CM2052">
        <f>IF(CH2052="","",IFERROR(IF(IF(AND(LEN(CH2052)=9,ISERROR(FIND("-",LEFT(CH2052,8))),ISNUMBER(-LEFT(CH2052,8))),VALUE(LEFT(CH2052,4)),VALUE(LEFT(CH2052,FIND("-",CH2052)-1)))&lt;100,IF(AND(LEN(CH2052)=9,ISERROR(FIND("-",LEFT(CH2052,8))),ISNUMBER(-LEFT(CH2052,8))),VALUE(LEFT(CH2052,4)),VALUE(LEFT(CH2052,FIND("-",CH2052)-1)))+2000,IF(AND(LEN(CH2052)=9,ISERROR(FIND("-",LEFT(CH2052,8))),ISNUMBER(-LEFT(CH2052,8))),VALUE(LEFT(CH2052,4)),VALUE(LEFT(CH2052,FIND("-",CH2052)-1)))),""))</f>
        <v/>
      </c>
      <c r="CN2052">
        <f>IF(CH2052="","",IFERROR(IF(AND(LEN(CH2052)=9,ISERROR(FIND("-",LEFT(CH2052,8))),ISNUMBER(-LEFT(CH2052,8))),VALUE(MID(CH2052,5,2)),VALUE(MID(CH2052,FIND("-",CH2052)+1,FIND("-",CH2052,FIND("-",CH2052)+1)-FIND("-",CH2052)-1))),""))</f>
        <v/>
      </c>
      <c r="CO2052">
        <f>IF(CH2052="","",IFERROR(IF(AND(LEN(CH2052)=9,ISERROR(FIND("-",LEFT(CH2052,8))),ISNUMBER(-LEFT(CH2052,8))),VALUE(MID(CH2052,7,2)),VALUE(MID(CH2052,FIND("-",CH2052,FIND("-",CH2052)+1)+1,FIND("-",CH2052,FIND("-",CH2052,FIND("-",CH2052)+1)+1)-FIND("-",CH2052,FIND("-",CH2052)+1)-1))),""))</f>
        <v/>
      </c>
    </row>
    <row r="2053">
      <c r="CH2053">
        <f>IF(ISTEXT('월 가계부'!A2053),SUBSTITUTE(SUBSTITUTE(SUBSTITUTE(SUBSTITUTE(SUBSTITUTE(SUBSTITUTE(SUBSTITUTE(SUBSTITUTE(SUBSTITUTE(TRIM('월 가계부'!A2053),"년","-"),"월","-"),"일",""),".","-"),"/","-")," ","-"),"--","-"),"--","-"),"--","-")&amp;"-","")</f>
        <v/>
      </c>
      <c r="CI2053">
        <f>IFERROR(IF('월 가계부'!A2053="","",IF(ISNUMBER('월 가계부'!A2053),IF(AND('월 가계부'!A2053&gt;=19000101,'월 가계부'!A2053&lt;=21001231),IF(AND(MOD(INT('월 가계부'!A2053/100),100)&gt;=1,MOD(INT('월 가계부'!A2053/100),100)&lt;=12,MOD(INT('월 가계부'!A2053),100)&gt;=1,MOD(INT('월 가계부'!A2053),100)&lt;=31),IF(MONTH(DATE(INT('월 가계부'!A2053/10000),MOD(INT('월 가계부'!A2053/100),100),MOD(INT('월 가계부'!A2053),100)))=MOD(INT('월 가계부'!A2053/100),100),DATE(INT('월 가계부'!A2053/10000),MOD(INT('월 가계부'!A2053/100),100),MOD(INT('월 가계부'!A2053),100)),""),""),IF(AND('월 가계부'!A2053&gt;=36526,'월 가계부'!A2053&lt;73051),INT('월 가계부'!A2053),"")),IF(OR(CM2053="",CN2053="",CO2053=""),"",IF(AND(CM2053&gt;=2000,CM2053&lt;=2099,CN2053&gt;=1,CN2053&lt;=12,CO2053&gt;=1,CO2053&lt;=31),IF(MONTH(DATE(CM2053,CN2053,CO2053))=CN2053,DATE(CM2053,CN2053,CO2053),""),"")))),"")</f>
        <v/>
      </c>
      <c r="CJ2053">
        <f>IFERROR(IF('월 가계부'!C2053="","",IF(ISNUMBER('월 가계부'!C2053),'월 가계부'!C2053,VALUE(SUBSTITUTE(SUBSTITUTE(SUBSTITUTE(SUBSTITUTE(TRIM('월 가계부'!C2053),",",""),"원","")," ",""),"−","-")))),"")</f>
        <v/>
      </c>
      <c r="CK2053">
        <f>IF(ISNUMBER(CI2053),IF(CI2053&lt;$B$13,CI2053,""),"")</f>
        <v/>
      </c>
      <c r="CM2053">
        <f>IF(CH2053="","",IFERROR(IF(IF(AND(LEN(CH2053)=9,ISERROR(FIND("-",LEFT(CH2053,8))),ISNUMBER(-LEFT(CH2053,8))),VALUE(LEFT(CH2053,4)),VALUE(LEFT(CH2053,FIND("-",CH2053)-1)))&lt;100,IF(AND(LEN(CH2053)=9,ISERROR(FIND("-",LEFT(CH2053,8))),ISNUMBER(-LEFT(CH2053,8))),VALUE(LEFT(CH2053,4)),VALUE(LEFT(CH2053,FIND("-",CH2053)-1)))+2000,IF(AND(LEN(CH2053)=9,ISERROR(FIND("-",LEFT(CH2053,8))),ISNUMBER(-LEFT(CH2053,8))),VALUE(LEFT(CH2053,4)),VALUE(LEFT(CH2053,FIND("-",CH2053)-1)))),""))</f>
        <v/>
      </c>
      <c r="CN2053">
        <f>IF(CH2053="","",IFERROR(IF(AND(LEN(CH2053)=9,ISERROR(FIND("-",LEFT(CH2053,8))),ISNUMBER(-LEFT(CH2053,8))),VALUE(MID(CH2053,5,2)),VALUE(MID(CH2053,FIND("-",CH2053)+1,FIND("-",CH2053,FIND("-",CH2053)+1)-FIND("-",CH2053)-1))),""))</f>
        <v/>
      </c>
      <c r="CO2053">
        <f>IF(CH2053="","",IFERROR(IF(AND(LEN(CH2053)=9,ISERROR(FIND("-",LEFT(CH2053,8))),ISNUMBER(-LEFT(CH2053,8))),VALUE(MID(CH2053,7,2)),VALUE(MID(CH2053,FIND("-",CH2053,FIND("-",CH2053)+1)+1,FIND("-",CH2053,FIND("-",CH2053,FIND("-",CH2053)+1)+1)-FIND("-",CH2053,FIND("-",CH2053)+1)-1))),""))</f>
        <v/>
      </c>
    </row>
    <row r="2054">
      <c r="CH2054">
        <f>IF(ISTEXT('월 가계부'!A2054),SUBSTITUTE(SUBSTITUTE(SUBSTITUTE(SUBSTITUTE(SUBSTITUTE(SUBSTITUTE(SUBSTITUTE(SUBSTITUTE(SUBSTITUTE(TRIM('월 가계부'!A2054),"년","-"),"월","-"),"일",""),".","-"),"/","-")," ","-"),"--","-"),"--","-"),"--","-")&amp;"-","")</f>
        <v/>
      </c>
      <c r="CI2054">
        <f>IFERROR(IF('월 가계부'!A2054="","",IF(ISNUMBER('월 가계부'!A2054),IF(AND('월 가계부'!A2054&gt;=19000101,'월 가계부'!A2054&lt;=21001231),IF(AND(MOD(INT('월 가계부'!A2054/100),100)&gt;=1,MOD(INT('월 가계부'!A2054/100),100)&lt;=12,MOD(INT('월 가계부'!A2054),100)&gt;=1,MOD(INT('월 가계부'!A2054),100)&lt;=31),IF(MONTH(DATE(INT('월 가계부'!A2054/10000),MOD(INT('월 가계부'!A2054/100),100),MOD(INT('월 가계부'!A2054),100)))=MOD(INT('월 가계부'!A2054/100),100),DATE(INT('월 가계부'!A2054/10000),MOD(INT('월 가계부'!A2054/100),100),MOD(INT('월 가계부'!A2054),100)),""),""),IF(AND('월 가계부'!A2054&gt;=36526,'월 가계부'!A2054&lt;73051),INT('월 가계부'!A2054),"")),IF(OR(CM2054="",CN2054="",CO2054=""),"",IF(AND(CM2054&gt;=2000,CM2054&lt;=2099,CN2054&gt;=1,CN2054&lt;=12,CO2054&gt;=1,CO2054&lt;=31),IF(MONTH(DATE(CM2054,CN2054,CO2054))=CN2054,DATE(CM2054,CN2054,CO2054),""),"")))),"")</f>
        <v/>
      </c>
      <c r="CJ2054">
        <f>IFERROR(IF('월 가계부'!C2054="","",IF(ISNUMBER('월 가계부'!C2054),'월 가계부'!C2054,VALUE(SUBSTITUTE(SUBSTITUTE(SUBSTITUTE(SUBSTITUTE(TRIM('월 가계부'!C2054),",",""),"원","")," ",""),"−","-")))),"")</f>
        <v/>
      </c>
      <c r="CK2054">
        <f>IF(ISNUMBER(CI2054),IF(CI2054&lt;$B$13,CI2054,""),"")</f>
        <v/>
      </c>
      <c r="CM2054">
        <f>IF(CH2054="","",IFERROR(IF(IF(AND(LEN(CH2054)=9,ISERROR(FIND("-",LEFT(CH2054,8))),ISNUMBER(-LEFT(CH2054,8))),VALUE(LEFT(CH2054,4)),VALUE(LEFT(CH2054,FIND("-",CH2054)-1)))&lt;100,IF(AND(LEN(CH2054)=9,ISERROR(FIND("-",LEFT(CH2054,8))),ISNUMBER(-LEFT(CH2054,8))),VALUE(LEFT(CH2054,4)),VALUE(LEFT(CH2054,FIND("-",CH2054)-1)))+2000,IF(AND(LEN(CH2054)=9,ISERROR(FIND("-",LEFT(CH2054,8))),ISNUMBER(-LEFT(CH2054,8))),VALUE(LEFT(CH2054,4)),VALUE(LEFT(CH2054,FIND("-",CH2054)-1)))),""))</f>
        <v/>
      </c>
      <c r="CN2054">
        <f>IF(CH2054="","",IFERROR(IF(AND(LEN(CH2054)=9,ISERROR(FIND("-",LEFT(CH2054,8))),ISNUMBER(-LEFT(CH2054,8))),VALUE(MID(CH2054,5,2)),VALUE(MID(CH2054,FIND("-",CH2054)+1,FIND("-",CH2054,FIND("-",CH2054)+1)-FIND("-",CH2054)-1))),""))</f>
        <v/>
      </c>
      <c r="CO2054">
        <f>IF(CH2054="","",IFERROR(IF(AND(LEN(CH2054)=9,ISERROR(FIND("-",LEFT(CH2054,8))),ISNUMBER(-LEFT(CH2054,8))),VALUE(MID(CH2054,7,2)),VALUE(MID(CH2054,FIND("-",CH2054,FIND("-",CH2054)+1)+1,FIND("-",CH2054,FIND("-",CH2054,FIND("-",CH2054)+1)+1)-FIND("-",CH2054,FIND("-",CH2054)+1)-1))),""))</f>
        <v/>
      </c>
    </row>
    <row r="2055">
      <c r="CH2055">
        <f>IF(ISTEXT('월 가계부'!A2055),SUBSTITUTE(SUBSTITUTE(SUBSTITUTE(SUBSTITUTE(SUBSTITUTE(SUBSTITUTE(SUBSTITUTE(SUBSTITUTE(SUBSTITUTE(TRIM('월 가계부'!A2055),"년","-"),"월","-"),"일",""),".","-"),"/","-")," ","-"),"--","-"),"--","-"),"--","-")&amp;"-","")</f>
        <v/>
      </c>
      <c r="CI2055">
        <f>IFERROR(IF('월 가계부'!A2055="","",IF(ISNUMBER('월 가계부'!A2055),IF(AND('월 가계부'!A2055&gt;=19000101,'월 가계부'!A2055&lt;=21001231),IF(AND(MOD(INT('월 가계부'!A2055/100),100)&gt;=1,MOD(INT('월 가계부'!A2055/100),100)&lt;=12,MOD(INT('월 가계부'!A2055),100)&gt;=1,MOD(INT('월 가계부'!A2055),100)&lt;=31),IF(MONTH(DATE(INT('월 가계부'!A2055/10000),MOD(INT('월 가계부'!A2055/100),100),MOD(INT('월 가계부'!A2055),100)))=MOD(INT('월 가계부'!A2055/100),100),DATE(INT('월 가계부'!A2055/10000),MOD(INT('월 가계부'!A2055/100),100),MOD(INT('월 가계부'!A2055),100)),""),""),IF(AND('월 가계부'!A2055&gt;=36526,'월 가계부'!A2055&lt;73051),INT('월 가계부'!A2055),"")),IF(OR(CM2055="",CN2055="",CO2055=""),"",IF(AND(CM2055&gt;=2000,CM2055&lt;=2099,CN2055&gt;=1,CN2055&lt;=12,CO2055&gt;=1,CO2055&lt;=31),IF(MONTH(DATE(CM2055,CN2055,CO2055))=CN2055,DATE(CM2055,CN2055,CO2055),""),"")))),"")</f>
        <v/>
      </c>
      <c r="CJ2055">
        <f>IFERROR(IF('월 가계부'!C2055="","",IF(ISNUMBER('월 가계부'!C2055),'월 가계부'!C2055,VALUE(SUBSTITUTE(SUBSTITUTE(SUBSTITUTE(SUBSTITUTE(TRIM('월 가계부'!C2055),",",""),"원","")," ",""),"−","-")))),"")</f>
        <v/>
      </c>
      <c r="CK2055">
        <f>IF(ISNUMBER(CI2055),IF(CI2055&lt;$B$13,CI2055,""),"")</f>
        <v/>
      </c>
      <c r="CM2055">
        <f>IF(CH2055="","",IFERROR(IF(IF(AND(LEN(CH2055)=9,ISERROR(FIND("-",LEFT(CH2055,8))),ISNUMBER(-LEFT(CH2055,8))),VALUE(LEFT(CH2055,4)),VALUE(LEFT(CH2055,FIND("-",CH2055)-1)))&lt;100,IF(AND(LEN(CH2055)=9,ISERROR(FIND("-",LEFT(CH2055,8))),ISNUMBER(-LEFT(CH2055,8))),VALUE(LEFT(CH2055,4)),VALUE(LEFT(CH2055,FIND("-",CH2055)-1)))+2000,IF(AND(LEN(CH2055)=9,ISERROR(FIND("-",LEFT(CH2055,8))),ISNUMBER(-LEFT(CH2055,8))),VALUE(LEFT(CH2055,4)),VALUE(LEFT(CH2055,FIND("-",CH2055)-1)))),""))</f>
        <v/>
      </c>
      <c r="CN2055">
        <f>IF(CH2055="","",IFERROR(IF(AND(LEN(CH2055)=9,ISERROR(FIND("-",LEFT(CH2055,8))),ISNUMBER(-LEFT(CH2055,8))),VALUE(MID(CH2055,5,2)),VALUE(MID(CH2055,FIND("-",CH2055)+1,FIND("-",CH2055,FIND("-",CH2055)+1)-FIND("-",CH2055)-1))),""))</f>
        <v/>
      </c>
      <c r="CO2055">
        <f>IF(CH2055="","",IFERROR(IF(AND(LEN(CH2055)=9,ISERROR(FIND("-",LEFT(CH2055,8))),ISNUMBER(-LEFT(CH2055,8))),VALUE(MID(CH2055,7,2)),VALUE(MID(CH2055,FIND("-",CH2055,FIND("-",CH2055)+1)+1,FIND("-",CH2055,FIND("-",CH2055,FIND("-",CH2055)+1)+1)-FIND("-",CH2055,FIND("-",CH2055)+1)-1))),""))</f>
        <v/>
      </c>
    </row>
    <row r="2056">
      <c r="CH2056">
        <f>IF(ISTEXT('월 가계부'!A2056),SUBSTITUTE(SUBSTITUTE(SUBSTITUTE(SUBSTITUTE(SUBSTITUTE(SUBSTITUTE(SUBSTITUTE(SUBSTITUTE(SUBSTITUTE(TRIM('월 가계부'!A2056),"년","-"),"월","-"),"일",""),".","-"),"/","-")," ","-"),"--","-"),"--","-"),"--","-")&amp;"-","")</f>
        <v/>
      </c>
      <c r="CI2056">
        <f>IFERROR(IF('월 가계부'!A2056="","",IF(ISNUMBER('월 가계부'!A2056),IF(AND('월 가계부'!A2056&gt;=19000101,'월 가계부'!A2056&lt;=21001231),IF(AND(MOD(INT('월 가계부'!A2056/100),100)&gt;=1,MOD(INT('월 가계부'!A2056/100),100)&lt;=12,MOD(INT('월 가계부'!A2056),100)&gt;=1,MOD(INT('월 가계부'!A2056),100)&lt;=31),IF(MONTH(DATE(INT('월 가계부'!A2056/10000),MOD(INT('월 가계부'!A2056/100),100),MOD(INT('월 가계부'!A2056),100)))=MOD(INT('월 가계부'!A2056/100),100),DATE(INT('월 가계부'!A2056/10000),MOD(INT('월 가계부'!A2056/100),100),MOD(INT('월 가계부'!A2056),100)),""),""),IF(AND('월 가계부'!A2056&gt;=36526,'월 가계부'!A2056&lt;73051),INT('월 가계부'!A2056),"")),IF(OR(CM2056="",CN2056="",CO2056=""),"",IF(AND(CM2056&gt;=2000,CM2056&lt;=2099,CN2056&gt;=1,CN2056&lt;=12,CO2056&gt;=1,CO2056&lt;=31),IF(MONTH(DATE(CM2056,CN2056,CO2056))=CN2056,DATE(CM2056,CN2056,CO2056),""),"")))),"")</f>
        <v/>
      </c>
      <c r="CJ2056">
        <f>IFERROR(IF('월 가계부'!C2056="","",IF(ISNUMBER('월 가계부'!C2056),'월 가계부'!C2056,VALUE(SUBSTITUTE(SUBSTITUTE(SUBSTITUTE(SUBSTITUTE(TRIM('월 가계부'!C2056),",",""),"원","")," ",""),"−","-")))),"")</f>
        <v/>
      </c>
      <c r="CK2056">
        <f>IF(ISNUMBER(CI2056),IF(CI2056&lt;$B$13,CI2056,""),"")</f>
        <v/>
      </c>
      <c r="CM2056">
        <f>IF(CH2056="","",IFERROR(IF(IF(AND(LEN(CH2056)=9,ISERROR(FIND("-",LEFT(CH2056,8))),ISNUMBER(-LEFT(CH2056,8))),VALUE(LEFT(CH2056,4)),VALUE(LEFT(CH2056,FIND("-",CH2056)-1)))&lt;100,IF(AND(LEN(CH2056)=9,ISERROR(FIND("-",LEFT(CH2056,8))),ISNUMBER(-LEFT(CH2056,8))),VALUE(LEFT(CH2056,4)),VALUE(LEFT(CH2056,FIND("-",CH2056)-1)))+2000,IF(AND(LEN(CH2056)=9,ISERROR(FIND("-",LEFT(CH2056,8))),ISNUMBER(-LEFT(CH2056,8))),VALUE(LEFT(CH2056,4)),VALUE(LEFT(CH2056,FIND("-",CH2056)-1)))),""))</f>
        <v/>
      </c>
      <c r="CN2056">
        <f>IF(CH2056="","",IFERROR(IF(AND(LEN(CH2056)=9,ISERROR(FIND("-",LEFT(CH2056,8))),ISNUMBER(-LEFT(CH2056,8))),VALUE(MID(CH2056,5,2)),VALUE(MID(CH2056,FIND("-",CH2056)+1,FIND("-",CH2056,FIND("-",CH2056)+1)-FIND("-",CH2056)-1))),""))</f>
        <v/>
      </c>
      <c r="CO2056">
        <f>IF(CH2056="","",IFERROR(IF(AND(LEN(CH2056)=9,ISERROR(FIND("-",LEFT(CH2056,8))),ISNUMBER(-LEFT(CH2056,8))),VALUE(MID(CH2056,7,2)),VALUE(MID(CH2056,FIND("-",CH2056,FIND("-",CH2056)+1)+1,FIND("-",CH2056,FIND("-",CH2056,FIND("-",CH2056)+1)+1)-FIND("-",CH2056,FIND("-",CH2056)+1)-1))),""))</f>
        <v/>
      </c>
    </row>
    <row r="2057">
      <c r="CH2057">
        <f>IF(ISTEXT('월 가계부'!A2057),SUBSTITUTE(SUBSTITUTE(SUBSTITUTE(SUBSTITUTE(SUBSTITUTE(SUBSTITUTE(SUBSTITUTE(SUBSTITUTE(SUBSTITUTE(TRIM('월 가계부'!A2057),"년","-"),"월","-"),"일",""),".","-"),"/","-")," ","-"),"--","-"),"--","-"),"--","-")&amp;"-","")</f>
        <v/>
      </c>
      <c r="CI2057">
        <f>IFERROR(IF('월 가계부'!A2057="","",IF(ISNUMBER('월 가계부'!A2057),IF(AND('월 가계부'!A2057&gt;=19000101,'월 가계부'!A2057&lt;=21001231),IF(AND(MOD(INT('월 가계부'!A2057/100),100)&gt;=1,MOD(INT('월 가계부'!A2057/100),100)&lt;=12,MOD(INT('월 가계부'!A2057),100)&gt;=1,MOD(INT('월 가계부'!A2057),100)&lt;=31),IF(MONTH(DATE(INT('월 가계부'!A2057/10000),MOD(INT('월 가계부'!A2057/100),100),MOD(INT('월 가계부'!A2057),100)))=MOD(INT('월 가계부'!A2057/100),100),DATE(INT('월 가계부'!A2057/10000),MOD(INT('월 가계부'!A2057/100),100),MOD(INT('월 가계부'!A2057),100)),""),""),IF(AND('월 가계부'!A2057&gt;=36526,'월 가계부'!A2057&lt;73051),INT('월 가계부'!A2057),"")),IF(OR(CM2057="",CN2057="",CO2057=""),"",IF(AND(CM2057&gt;=2000,CM2057&lt;=2099,CN2057&gt;=1,CN2057&lt;=12,CO2057&gt;=1,CO2057&lt;=31),IF(MONTH(DATE(CM2057,CN2057,CO2057))=CN2057,DATE(CM2057,CN2057,CO2057),""),"")))),"")</f>
        <v/>
      </c>
      <c r="CJ2057">
        <f>IFERROR(IF('월 가계부'!C2057="","",IF(ISNUMBER('월 가계부'!C2057),'월 가계부'!C2057,VALUE(SUBSTITUTE(SUBSTITUTE(SUBSTITUTE(SUBSTITUTE(TRIM('월 가계부'!C2057),",",""),"원","")," ",""),"−","-")))),"")</f>
        <v/>
      </c>
      <c r="CK2057">
        <f>IF(ISNUMBER(CI2057),IF(CI2057&lt;$B$13,CI2057,""),"")</f>
        <v/>
      </c>
      <c r="CM2057">
        <f>IF(CH2057="","",IFERROR(IF(IF(AND(LEN(CH2057)=9,ISERROR(FIND("-",LEFT(CH2057,8))),ISNUMBER(-LEFT(CH2057,8))),VALUE(LEFT(CH2057,4)),VALUE(LEFT(CH2057,FIND("-",CH2057)-1)))&lt;100,IF(AND(LEN(CH2057)=9,ISERROR(FIND("-",LEFT(CH2057,8))),ISNUMBER(-LEFT(CH2057,8))),VALUE(LEFT(CH2057,4)),VALUE(LEFT(CH2057,FIND("-",CH2057)-1)))+2000,IF(AND(LEN(CH2057)=9,ISERROR(FIND("-",LEFT(CH2057,8))),ISNUMBER(-LEFT(CH2057,8))),VALUE(LEFT(CH2057,4)),VALUE(LEFT(CH2057,FIND("-",CH2057)-1)))),""))</f>
        <v/>
      </c>
      <c r="CN2057">
        <f>IF(CH2057="","",IFERROR(IF(AND(LEN(CH2057)=9,ISERROR(FIND("-",LEFT(CH2057,8))),ISNUMBER(-LEFT(CH2057,8))),VALUE(MID(CH2057,5,2)),VALUE(MID(CH2057,FIND("-",CH2057)+1,FIND("-",CH2057,FIND("-",CH2057)+1)-FIND("-",CH2057)-1))),""))</f>
        <v/>
      </c>
      <c r="CO2057">
        <f>IF(CH2057="","",IFERROR(IF(AND(LEN(CH2057)=9,ISERROR(FIND("-",LEFT(CH2057,8))),ISNUMBER(-LEFT(CH2057,8))),VALUE(MID(CH2057,7,2)),VALUE(MID(CH2057,FIND("-",CH2057,FIND("-",CH2057)+1)+1,FIND("-",CH2057,FIND("-",CH2057,FIND("-",CH2057)+1)+1)-FIND("-",CH2057,FIND("-",CH2057)+1)-1))),""))</f>
        <v/>
      </c>
    </row>
    <row r="2058">
      <c r="CH2058">
        <f>IF(ISTEXT('월 가계부'!A2058),SUBSTITUTE(SUBSTITUTE(SUBSTITUTE(SUBSTITUTE(SUBSTITUTE(SUBSTITUTE(SUBSTITUTE(SUBSTITUTE(SUBSTITUTE(TRIM('월 가계부'!A2058),"년","-"),"월","-"),"일",""),".","-"),"/","-")," ","-"),"--","-"),"--","-"),"--","-")&amp;"-","")</f>
        <v/>
      </c>
      <c r="CI2058">
        <f>IFERROR(IF('월 가계부'!A2058="","",IF(ISNUMBER('월 가계부'!A2058),IF(AND('월 가계부'!A2058&gt;=19000101,'월 가계부'!A2058&lt;=21001231),IF(AND(MOD(INT('월 가계부'!A2058/100),100)&gt;=1,MOD(INT('월 가계부'!A2058/100),100)&lt;=12,MOD(INT('월 가계부'!A2058),100)&gt;=1,MOD(INT('월 가계부'!A2058),100)&lt;=31),IF(MONTH(DATE(INT('월 가계부'!A2058/10000),MOD(INT('월 가계부'!A2058/100),100),MOD(INT('월 가계부'!A2058),100)))=MOD(INT('월 가계부'!A2058/100),100),DATE(INT('월 가계부'!A2058/10000),MOD(INT('월 가계부'!A2058/100),100),MOD(INT('월 가계부'!A2058),100)),""),""),IF(AND('월 가계부'!A2058&gt;=36526,'월 가계부'!A2058&lt;73051),INT('월 가계부'!A2058),"")),IF(OR(CM2058="",CN2058="",CO2058=""),"",IF(AND(CM2058&gt;=2000,CM2058&lt;=2099,CN2058&gt;=1,CN2058&lt;=12,CO2058&gt;=1,CO2058&lt;=31),IF(MONTH(DATE(CM2058,CN2058,CO2058))=CN2058,DATE(CM2058,CN2058,CO2058),""),"")))),"")</f>
        <v/>
      </c>
      <c r="CJ2058">
        <f>IFERROR(IF('월 가계부'!C2058="","",IF(ISNUMBER('월 가계부'!C2058),'월 가계부'!C2058,VALUE(SUBSTITUTE(SUBSTITUTE(SUBSTITUTE(SUBSTITUTE(TRIM('월 가계부'!C2058),",",""),"원","")," ",""),"−","-")))),"")</f>
        <v/>
      </c>
      <c r="CK2058">
        <f>IF(ISNUMBER(CI2058),IF(CI2058&lt;$B$13,CI2058,""),"")</f>
        <v/>
      </c>
      <c r="CM2058">
        <f>IF(CH2058="","",IFERROR(IF(IF(AND(LEN(CH2058)=9,ISERROR(FIND("-",LEFT(CH2058,8))),ISNUMBER(-LEFT(CH2058,8))),VALUE(LEFT(CH2058,4)),VALUE(LEFT(CH2058,FIND("-",CH2058)-1)))&lt;100,IF(AND(LEN(CH2058)=9,ISERROR(FIND("-",LEFT(CH2058,8))),ISNUMBER(-LEFT(CH2058,8))),VALUE(LEFT(CH2058,4)),VALUE(LEFT(CH2058,FIND("-",CH2058)-1)))+2000,IF(AND(LEN(CH2058)=9,ISERROR(FIND("-",LEFT(CH2058,8))),ISNUMBER(-LEFT(CH2058,8))),VALUE(LEFT(CH2058,4)),VALUE(LEFT(CH2058,FIND("-",CH2058)-1)))),""))</f>
        <v/>
      </c>
      <c r="CN2058">
        <f>IF(CH2058="","",IFERROR(IF(AND(LEN(CH2058)=9,ISERROR(FIND("-",LEFT(CH2058,8))),ISNUMBER(-LEFT(CH2058,8))),VALUE(MID(CH2058,5,2)),VALUE(MID(CH2058,FIND("-",CH2058)+1,FIND("-",CH2058,FIND("-",CH2058)+1)-FIND("-",CH2058)-1))),""))</f>
        <v/>
      </c>
      <c r="CO2058">
        <f>IF(CH2058="","",IFERROR(IF(AND(LEN(CH2058)=9,ISERROR(FIND("-",LEFT(CH2058,8))),ISNUMBER(-LEFT(CH2058,8))),VALUE(MID(CH2058,7,2)),VALUE(MID(CH2058,FIND("-",CH2058,FIND("-",CH2058)+1)+1,FIND("-",CH2058,FIND("-",CH2058,FIND("-",CH2058)+1)+1)-FIND("-",CH2058,FIND("-",CH2058)+1)-1))),""))</f>
        <v/>
      </c>
    </row>
    <row r="2059">
      <c r="CH2059">
        <f>IF(ISTEXT('월 가계부'!A2059),SUBSTITUTE(SUBSTITUTE(SUBSTITUTE(SUBSTITUTE(SUBSTITUTE(SUBSTITUTE(SUBSTITUTE(SUBSTITUTE(SUBSTITUTE(TRIM('월 가계부'!A2059),"년","-"),"월","-"),"일",""),".","-"),"/","-")," ","-"),"--","-"),"--","-"),"--","-")&amp;"-","")</f>
        <v/>
      </c>
      <c r="CI2059">
        <f>IFERROR(IF('월 가계부'!A2059="","",IF(ISNUMBER('월 가계부'!A2059),IF(AND('월 가계부'!A2059&gt;=19000101,'월 가계부'!A2059&lt;=21001231),IF(AND(MOD(INT('월 가계부'!A2059/100),100)&gt;=1,MOD(INT('월 가계부'!A2059/100),100)&lt;=12,MOD(INT('월 가계부'!A2059),100)&gt;=1,MOD(INT('월 가계부'!A2059),100)&lt;=31),IF(MONTH(DATE(INT('월 가계부'!A2059/10000),MOD(INT('월 가계부'!A2059/100),100),MOD(INT('월 가계부'!A2059),100)))=MOD(INT('월 가계부'!A2059/100),100),DATE(INT('월 가계부'!A2059/10000),MOD(INT('월 가계부'!A2059/100),100),MOD(INT('월 가계부'!A2059),100)),""),""),IF(AND('월 가계부'!A2059&gt;=36526,'월 가계부'!A2059&lt;73051),INT('월 가계부'!A2059),"")),IF(OR(CM2059="",CN2059="",CO2059=""),"",IF(AND(CM2059&gt;=2000,CM2059&lt;=2099,CN2059&gt;=1,CN2059&lt;=12,CO2059&gt;=1,CO2059&lt;=31),IF(MONTH(DATE(CM2059,CN2059,CO2059))=CN2059,DATE(CM2059,CN2059,CO2059),""),"")))),"")</f>
        <v/>
      </c>
      <c r="CJ2059">
        <f>IFERROR(IF('월 가계부'!C2059="","",IF(ISNUMBER('월 가계부'!C2059),'월 가계부'!C2059,VALUE(SUBSTITUTE(SUBSTITUTE(SUBSTITUTE(SUBSTITUTE(TRIM('월 가계부'!C2059),",",""),"원","")," ",""),"−","-")))),"")</f>
        <v/>
      </c>
      <c r="CK2059">
        <f>IF(ISNUMBER(CI2059),IF(CI2059&lt;$B$13,CI2059,""),"")</f>
        <v/>
      </c>
      <c r="CM2059">
        <f>IF(CH2059="","",IFERROR(IF(IF(AND(LEN(CH2059)=9,ISERROR(FIND("-",LEFT(CH2059,8))),ISNUMBER(-LEFT(CH2059,8))),VALUE(LEFT(CH2059,4)),VALUE(LEFT(CH2059,FIND("-",CH2059)-1)))&lt;100,IF(AND(LEN(CH2059)=9,ISERROR(FIND("-",LEFT(CH2059,8))),ISNUMBER(-LEFT(CH2059,8))),VALUE(LEFT(CH2059,4)),VALUE(LEFT(CH2059,FIND("-",CH2059)-1)))+2000,IF(AND(LEN(CH2059)=9,ISERROR(FIND("-",LEFT(CH2059,8))),ISNUMBER(-LEFT(CH2059,8))),VALUE(LEFT(CH2059,4)),VALUE(LEFT(CH2059,FIND("-",CH2059)-1)))),""))</f>
        <v/>
      </c>
      <c r="CN2059">
        <f>IF(CH2059="","",IFERROR(IF(AND(LEN(CH2059)=9,ISERROR(FIND("-",LEFT(CH2059,8))),ISNUMBER(-LEFT(CH2059,8))),VALUE(MID(CH2059,5,2)),VALUE(MID(CH2059,FIND("-",CH2059)+1,FIND("-",CH2059,FIND("-",CH2059)+1)-FIND("-",CH2059)-1))),""))</f>
        <v/>
      </c>
      <c r="CO2059">
        <f>IF(CH2059="","",IFERROR(IF(AND(LEN(CH2059)=9,ISERROR(FIND("-",LEFT(CH2059,8))),ISNUMBER(-LEFT(CH2059,8))),VALUE(MID(CH2059,7,2)),VALUE(MID(CH2059,FIND("-",CH2059,FIND("-",CH2059)+1)+1,FIND("-",CH2059,FIND("-",CH2059,FIND("-",CH2059)+1)+1)-FIND("-",CH2059,FIND("-",CH2059)+1)-1))),""))</f>
        <v/>
      </c>
    </row>
    <row r="2060">
      <c r="CH2060">
        <f>IF(ISTEXT('월 가계부'!A2060),SUBSTITUTE(SUBSTITUTE(SUBSTITUTE(SUBSTITUTE(SUBSTITUTE(SUBSTITUTE(SUBSTITUTE(SUBSTITUTE(SUBSTITUTE(TRIM('월 가계부'!A2060),"년","-"),"월","-"),"일",""),".","-"),"/","-")," ","-"),"--","-"),"--","-"),"--","-")&amp;"-","")</f>
        <v/>
      </c>
      <c r="CI2060">
        <f>IFERROR(IF('월 가계부'!A2060="","",IF(ISNUMBER('월 가계부'!A2060),IF(AND('월 가계부'!A2060&gt;=19000101,'월 가계부'!A2060&lt;=21001231),IF(AND(MOD(INT('월 가계부'!A2060/100),100)&gt;=1,MOD(INT('월 가계부'!A2060/100),100)&lt;=12,MOD(INT('월 가계부'!A2060),100)&gt;=1,MOD(INT('월 가계부'!A2060),100)&lt;=31),IF(MONTH(DATE(INT('월 가계부'!A2060/10000),MOD(INT('월 가계부'!A2060/100),100),MOD(INT('월 가계부'!A2060),100)))=MOD(INT('월 가계부'!A2060/100),100),DATE(INT('월 가계부'!A2060/10000),MOD(INT('월 가계부'!A2060/100),100),MOD(INT('월 가계부'!A2060),100)),""),""),IF(AND('월 가계부'!A2060&gt;=36526,'월 가계부'!A2060&lt;73051),INT('월 가계부'!A2060),"")),IF(OR(CM2060="",CN2060="",CO2060=""),"",IF(AND(CM2060&gt;=2000,CM2060&lt;=2099,CN2060&gt;=1,CN2060&lt;=12,CO2060&gt;=1,CO2060&lt;=31),IF(MONTH(DATE(CM2060,CN2060,CO2060))=CN2060,DATE(CM2060,CN2060,CO2060),""),"")))),"")</f>
        <v/>
      </c>
      <c r="CJ2060">
        <f>IFERROR(IF('월 가계부'!C2060="","",IF(ISNUMBER('월 가계부'!C2060),'월 가계부'!C2060,VALUE(SUBSTITUTE(SUBSTITUTE(SUBSTITUTE(SUBSTITUTE(TRIM('월 가계부'!C2060),",",""),"원","")," ",""),"−","-")))),"")</f>
        <v/>
      </c>
      <c r="CK2060">
        <f>IF(ISNUMBER(CI2060),IF(CI2060&lt;$B$13,CI2060,""),"")</f>
        <v/>
      </c>
      <c r="CM2060">
        <f>IF(CH2060="","",IFERROR(IF(IF(AND(LEN(CH2060)=9,ISERROR(FIND("-",LEFT(CH2060,8))),ISNUMBER(-LEFT(CH2060,8))),VALUE(LEFT(CH2060,4)),VALUE(LEFT(CH2060,FIND("-",CH2060)-1)))&lt;100,IF(AND(LEN(CH2060)=9,ISERROR(FIND("-",LEFT(CH2060,8))),ISNUMBER(-LEFT(CH2060,8))),VALUE(LEFT(CH2060,4)),VALUE(LEFT(CH2060,FIND("-",CH2060)-1)))+2000,IF(AND(LEN(CH2060)=9,ISERROR(FIND("-",LEFT(CH2060,8))),ISNUMBER(-LEFT(CH2060,8))),VALUE(LEFT(CH2060,4)),VALUE(LEFT(CH2060,FIND("-",CH2060)-1)))),""))</f>
        <v/>
      </c>
      <c r="CN2060">
        <f>IF(CH2060="","",IFERROR(IF(AND(LEN(CH2060)=9,ISERROR(FIND("-",LEFT(CH2060,8))),ISNUMBER(-LEFT(CH2060,8))),VALUE(MID(CH2060,5,2)),VALUE(MID(CH2060,FIND("-",CH2060)+1,FIND("-",CH2060,FIND("-",CH2060)+1)-FIND("-",CH2060)-1))),""))</f>
        <v/>
      </c>
      <c r="CO2060">
        <f>IF(CH2060="","",IFERROR(IF(AND(LEN(CH2060)=9,ISERROR(FIND("-",LEFT(CH2060,8))),ISNUMBER(-LEFT(CH2060,8))),VALUE(MID(CH2060,7,2)),VALUE(MID(CH2060,FIND("-",CH2060,FIND("-",CH2060)+1)+1,FIND("-",CH2060,FIND("-",CH2060,FIND("-",CH2060)+1)+1)-FIND("-",CH2060,FIND("-",CH2060)+1)-1))),""))</f>
        <v/>
      </c>
    </row>
    <row r="2061">
      <c r="CH2061">
        <f>IF(ISTEXT('월 가계부'!A2061),SUBSTITUTE(SUBSTITUTE(SUBSTITUTE(SUBSTITUTE(SUBSTITUTE(SUBSTITUTE(SUBSTITUTE(SUBSTITUTE(SUBSTITUTE(TRIM('월 가계부'!A2061),"년","-"),"월","-"),"일",""),".","-"),"/","-")," ","-"),"--","-"),"--","-"),"--","-")&amp;"-","")</f>
        <v/>
      </c>
      <c r="CI2061">
        <f>IFERROR(IF('월 가계부'!A2061="","",IF(ISNUMBER('월 가계부'!A2061),IF(AND('월 가계부'!A2061&gt;=19000101,'월 가계부'!A2061&lt;=21001231),IF(AND(MOD(INT('월 가계부'!A2061/100),100)&gt;=1,MOD(INT('월 가계부'!A2061/100),100)&lt;=12,MOD(INT('월 가계부'!A2061),100)&gt;=1,MOD(INT('월 가계부'!A2061),100)&lt;=31),IF(MONTH(DATE(INT('월 가계부'!A2061/10000),MOD(INT('월 가계부'!A2061/100),100),MOD(INT('월 가계부'!A2061),100)))=MOD(INT('월 가계부'!A2061/100),100),DATE(INT('월 가계부'!A2061/10000),MOD(INT('월 가계부'!A2061/100),100),MOD(INT('월 가계부'!A2061),100)),""),""),IF(AND('월 가계부'!A2061&gt;=36526,'월 가계부'!A2061&lt;73051),INT('월 가계부'!A2061),"")),IF(OR(CM2061="",CN2061="",CO2061=""),"",IF(AND(CM2061&gt;=2000,CM2061&lt;=2099,CN2061&gt;=1,CN2061&lt;=12,CO2061&gt;=1,CO2061&lt;=31),IF(MONTH(DATE(CM2061,CN2061,CO2061))=CN2061,DATE(CM2061,CN2061,CO2061),""),"")))),"")</f>
        <v/>
      </c>
      <c r="CJ2061">
        <f>IFERROR(IF('월 가계부'!C2061="","",IF(ISNUMBER('월 가계부'!C2061),'월 가계부'!C2061,VALUE(SUBSTITUTE(SUBSTITUTE(SUBSTITUTE(SUBSTITUTE(TRIM('월 가계부'!C2061),",",""),"원","")," ",""),"−","-")))),"")</f>
        <v/>
      </c>
      <c r="CK2061">
        <f>IF(ISNUMBER(CI2061),IF(CI2061&lt;$B$13,CI2061,""),"")</f>
        <v/>
      </c>
      <c r="CM2061">
        <f>IF(CH2061="","",IFERROR(IF(IF(AND(LEN(CH2061)=9,ISERROR(FIND("-",LEFT(CH2061,8))),ISNUMBER(-LEFT(CH2061,8))),VALUE(LEFT(CH2061,4)),VALUE(LEFT(CH2061,FIND("-",CH2061)-1)))&lt;100,IF(AND(LEN(CH2061)=9,ISERROR(FIND("-",LEFT(CH2061,8))),ISNUMBER(-LEFT(CH2061,8))),VALUE(LEFT(CH2061,4)),VALUE(LEFT(CH2061,FIND("-",CH2061)-1)))+2000,IF(AND(LEN(CH2061)=9,ISERROR(FIND("-",LEFT(CH2061,8))),ISNUMBER(-LEFT(CH2061,8))),VALUE(LEFT(CH2061,4)),VALUE(LEFT(CH2061,FIND("-",CH2061)-1)))),""))</f>
        <v/>
      </c>
      <c r="CN2061">
        <f>IF(CH2061="","",IFERROR(IF(AND(LEN(CH2061)=9,ISERROR(FIND("-",LEFT(CH2061,8))),ISNUMBER(-LEFT(CH2061,8))),VALUE(MID(CH2061,5,2)),VALUE(MID(CH2061,FIND("-",CH2061)+1,FIND("-",CH2061,FIND("-",CH2061)+1)-FIND("-",CH2061)-1))),""))</f>
        <v/>
      </c>
      <c r="CO2061">
        <f>IF(CH2061="","",IFERROR(IF(AND(LEN(CH2061)=9,ISERROR(FIND("-",LEFT(CH2061,8))),ISNUMBER(-LEFT(CH2061,8))),VALUE(MID(CH2061,7,2)),VALUE(MID(CH2061,FIND("-",CH2061,FIND("-",CH2061)+1)+1,FIND("-",CH2061,FIND("-",CH2061,FIND("-",CH2061)+1)+1)-FIND("-",CH2061,FIND("-",CH2061)+1)-1))),""))</f>
        <v/>
      </c>
    </row>
    <row r="2062">
      <c r="CH2062">
        <f>IF(ISTEXT('월 가계부'!A2062),SUBSTITUTE(SUBSTITUTE(SUBSTITUTE(SUBSTITUTE(SUBSTITUTE(SUBSTITUTE(SUBSTITUTE(SUBSTITUTE(SUBSTITUTE(TRIM('월 가계부'!A2062),"년","-"),"월","-"),"일",""),".","-"),"/","-")," ","-"),"--","-"),"--","-"),"--","-")&amp;"-","")</f>
        <v/>
      </c>
      <c r="CI2062">
        <f>IFERROR(IF('월 가계부'!A2062="","",IF(ISNUMBER('월 가계부'!A2062),IF(AND('월 가계부'!A2062&gt;=19000101,'월 가계부'!A2062&lt;=21001231),IF(AND(MOD(INT('월 가계부'!A2062/100),100)&gt;=1,MOD(INT('월 가계부'!A2062/100),100)&lt;=12,MOD(INT('월 가계부'!A2062),100)&gt;=1,MOD(INT('월 가계부'!A2062),100)&lt;=31),IF(MONTH(DATE(INT('월 가계부'!A2062/10000),MOD(INT('월 가계부'!A2062/100),100),MOD(INT('월 가계부'!A2062),100)))=MOD(INT('월 가계부'!A2062/100),100),DATE(INT('월 가계부'!A2062/10000),MOD(INT('월 가계부'!A2062/100),100),MOD(INT('월 가계부'!A2062),100)),""),""),IF(AND('월 가계부'!A2062&gt;=36526,'월 가계부'!A2062&lt;73051),INT('월 가계부'!A2062),"")),IF(OR(CM2062="",CN2062="",CO2062=""),"",IF(AND(CM2062&gt;=2000,CM2062&lt;=2099,CN2062&gt;=1,CN2062&lt;=12,CO2062&gt;=1,CO2062&lt;=31),IF(MONTH(DATE(CM2062,CN2062,CO2062))=CN2062,DATE(CM2062,CN2062,CO2062),""),"")))),"")</f>
        <v/>
      </c>
      <c r="CJ2062">
        <f>IFERROR(IF('월 가계부'!C2062="","",IF(ISNUMBER('월 가계부'!C2062),'월 가계부'!C2062,VALUE(SUBSTITUTE(SUBSTITUTE(SUBSTITUTE(SUBSTITUTE(TRIM('월 가계부'!C2062),",",""),"원","")," ",""),"−","-")))),"")</f>
        <v/>
      </c>
      <c r="CK2062">
        <f>IF(ISNUMBER(CI2062),IF(CI2062&lt;$B$13,CI2062,""),"")</f>
        <v/>
      </c>
      <c r="CM2062">
        <f>IF(CH2062="","",IFERROR(IF(IF(AND(LEN(CH2062)=9,ISERROR(FIND("-",LEFT(CH2062,8))),ISNUMBER(-LEFT(CH2062,8))),VALUE(LEFT(CH2062,4)),VALUE(LEFT(CH2062,FIND("-",CH2062)-1)))&lt;100,IF(AND(LEN(CH2062)=9,ISERROR(FIND("-",LEFT(CH2062,8))),ISNUMBER(-LEFT(CH2062,8))),VALUE(LEFT(CH2062,4)),VALUE(LEFT(CH2062,FIND("-",CH2062)-1)))+2000,IF(AND(LEN(CH2062)=9,ISERROR(FIND("-",LEFT(CH2062,8))),ISNUMBER(-LEFT(CH2062,8))),VALUE(LEFT(CH2062,4)),VALUE(LEFT(CH2062,FIND("-",CH2062)-1)))),""))</f>
        <v/>
      </c>
      <c r="CN2062">
        <f>IF(CH2062="","",IFERROR(IF(AND(LEN(CH2062)=9,ISERROR(FIND("-",LEFT(CH2062,8))),ISNUMBER(-LEFT(CH2062,8))),VALUE(MID(CH2062,5,2)),VALUE(MID(CH2062,FIND("-",CH2062)+1,FIND("-",CH2062,FIND("-",CH2062)+1)-FIND("-",CH2062)-1))),""))</f>
        <v/>
      </c>
      <c r="CO2062">
        <f>IF(CH2062="","",IFERROR(IF(AND(LEN(CH2062)=9,ISERROR(FIND("-",LEFT(CH2062,8))),ISNUMBER(-LEFT(CH2062,8))),VALUE(MID(CH2062,7,2)),VALUE(MID(CH2062,FIND("-",CH2062,FIND("-",CH2062)+1)+1,FIND("-",CH2062,FIND("-",CH2062,FIND("-",CH2062)+1)+1)-FIND("-",CH2062,FIND("-",CH2062)+1)-1))),""))</f>
        <v/>
      </c>
    </row>
    <row r="2063">
      <c r="CH2063">
        <f>IF(ISTEXT('월 가계부'!A2063),SUBSTITUTE(SUBSTITUTE(SUBSTITUTE(SUBSTITUTE(SUBSTITUTE(SUBSTITUTE(SUBSTITUTE(SUBSTITUTE(SUBSTITUTE(TRIM('월 가계부'!A2063),"년","-"),"월","-"),"일",""),".","-"),"/","-")," ","-"),"--","-"),"--","-"),"--","-")&amp;"-","")</f>
        <v/>
      </c>
      <c r="CI2063">
        <f>IFERROR(IF('월 가계부'!A2063="","",IF(ISNUMBER('월 가계부'!A2063),IF(AND('월 가계부'!A2063&gt;=19000101,'월 가계부'!A2063&lt;=21001231),IF(AND(MOD(INT('월 가계부'!A2063/100),100)&gt;=1,MOD(INT('월 가계부'!A2063/100),100)&lt;=12,MOD(INT('월 가계부'!A2063),100)&gt;=1,MOD(INT('월 가계부'!A2063),100)&lt;=31),IF(MONTH(DATE(INT('월 가계부'!A2063/10000),MOD(INT('월 가계부'!A2063/100),100),MOD(INT('월 가계부'!A2063),100)))=MOD(INT('월 가계부'!A2063/100),100),DATE(INT('월 가계부'!A2063/10000),MOD(INT('월 가계부'!A2063/100),100),MOD(INT('월 가계부'!A2063),100)),""),""),IF(AND('월 가계부'!A2063&gt;=36526,'월 가계부'!A2063&lt;73051),INT('월 가계부'!A2063),"")),IF(OR(CM2063="",CN2063="",CO2063=""),"",IF(AND(CM2063&gt;=2000,CM2063&lt;=2099,CN2063&gt;=1,CN2063&lt;=12,CO2063&gt;=1,CO2063&lt;=31),IF(MONTH(DATE(CM2063,CN2063,CO2063))=CN2063,DATE(CM2063,CN2063,CO2063),""),"")))),"")</f>
        <v/>
      </c>
      <c r="CJ2063">
        <f>IFERROR(IF('월 가계부'!C2063="","",IF(ISNUMBER('월 가계부'!C2063),'월 가계부'!C2063,VALUE(SUBSTITUTE(SUBSTITUTE(SUBSTITUTE(SUBSTITUTE(TRIM('월 가계부'!C2063),",",""),"원","")," ",""),"−","-")))),"")</f>
        <v/>
      </c>
      <c r="CK2063">
        <f>IF(ISNUMBER(CI2063),IF(CI2063&lt;$B$13,CI2063,""),"")</f>
        <v/>
      </c>
      <c r="CM2063">
        <f>IF(CH2063="","",IFERROR(IF(IF(AND(LEN(CH2063)=9,ISERROR(FIND("-",LEFT(CH2063,8))),ISNUMBER(-LEFT(CH2063,8))),VALUE(LEFT(CH2063,4)),VALUE(LEFT(CH2063,FIND("-",CH2063)-1)))&lt;100,IF(AND(LEN(CH2063)=9,ISERROR(FIND("-",LEFT(CH2063,8))),ISNUMBER(-LEFT(CH2063,8))),VALUE(LEFT(CH2063,4)),VALUE(LEFT(CH2063,FIND("-",CH2063)-1)))+2000,IF(AND(LEN(CH2063)=9,ISERROR(FIND("-",LEFT(CH2063,8))),ISNUMBER(-LEFT(CH2063,8))),VALUE(LEFT(CH2063,4)),VALUE(LEFT(CH2063,FIND("-",CH2063)-1)))),""))</f>
        <v/>
      </c>
      <c r="CN2063">
        <f>IF(CH2063="","",IFERROR(IF(AND(LEN(CH2063)=9,ISERROR(FIND("-",LEFT(CH2063,8))),ISNUMBER(-LEFT(CH2063,8))),VALUE(MID(CH2063,5,2)),VALUE(MID(CH2063,FIND("-",CH2063)+1,FIND("-",CH2063,FIND("-",CH2063)+1)-FIND("-",CH2063)-1))),""))</f>
        <v/>
      </c>
      <c r="CO2063">
        <f>IF(CH2063="","",IFERROR(IF(AND(LEN(CH2063)=9,ISERROR(FIND("-",LEFT(CH2063,8))),ISNUMBER(-LEFT(CH2063,8))),VALUE(MID(CH2063,7,2)),VALUE(MID(CH2063,FIND("-",CH2063,FIND("-",CH2063)+1)+1,FIND("-",CH2063,FIND("-",CH2063,FIND("-",CH2063)+1)+1)-FIND("-",CH2063,FIND("-",CH2063)+1)-1))),""))</f>
        <v/>
      </c>
    </row>
    <row r="2064">
      <c r="CH2064">
        <f>IF(ISTEXT('월 가계부'!A2064),SUBSTITUTE(SUBSTITUTE(SUBSTITUTE(SUBSTITUTE(SUBSTITUTE(SUBSTITUTE(SUBSTITUTE(SUBSTITUTE(SUBSTITUTE(TRIM('월 가계부'!A2064),"년","-"),"월","-"),"일",""),".","-"),"/","-")," ","-"),"--","-"),"--","-"),"--","-")&amp;"-","")</f>
        <v/>
      </c>
      <c r="CI2064">
        <f>IFERROR(IF('월 가계부'!A2064="","",IF(ISNUMBER('월 가계부'!A2064),IF(AND('월 가계부'!A2064&gt;=19000101,'월 가계부'!A2064&lt;=21001231),IF(AND(MOD(INT('월 가계부'!A2064/100),100)&gt;=1,MOD(INT('월 가계부'!A2064/100),100)&lt;=12,MOD(INT('월 가계부'!A2064),100)&gt;=1,MOD(INT('월 가계부'!A2064),100)&lt;=31),IF(MONTH(DATE(INT('월 가계부'!A2064/10000),MOD(INT('월 가계부'!A2064/100),100),MOD(INT('월 가계부'!A2064),100)))=MOD(INT('월 가계부'!A2064/100),100),DATE(INT('월 가계부'!A2064/10000),MOD(INT('월 가계부'!A2064/100),100),MOD(INT('월 가계부'!A2064),100)),""),""),IF(AND('월 가계부'!A2064&gt;=36526,'월 가계부'!A2064&lt;73051),INT('월 가계부'!A2064),"")),IF(OR(CM2064="",CN2064="",CO2064=""),"",IF(AND(CM2064&gt;=2000,CM2064&lt;=2099,CN2064&gt;=1,CN2064&lt;=12,CO2064&gt;=1,CO2064&lt;=31),IF(MONTH(DATE(CM2064,CN2064,CO2064))=CN2064,DATE(CM2064,CN2064,CO2064),""),"")))),"")</f>
        <v/>
      </c>
      <c r="CJ2064">
        <f>IFERROR(IF('월 가계부'!C2064="","",IF(ISNUMBER('월 가계부'!C2064),'월 가계부'!C2064,VALUE(SUBSTITUTE(SUBSTITUTE(SUBSTITUTE(SUBSTITUTE(TRIM('월 가계부'!C2064),",",""),"원","")," ",""),"−","-")))),"")</f>
        <v/>
      </c>
      <c r="CK2064">
        <f>IF(ISNUMBER(CI2064),IF(CI2064&lt;$B$13,CI2064,""),"")</f>
        <v/>
      </c>
      <c r="CM2064">
        <f>IF(CH2064="","",IFERROR(IF(IF(AND(LEN(CH2064)=9,ISERROR(FIND("-",LEFT(CH2064,8))),ISNUMBER(-LEFT(CH2064,8))),VALUE(LEFT(CH2064,4)),VALUE(LEFT(CH2064,FIND("-",CH2064)-1)))&lt;100,IF(AND(LEN(CH2064)=9,ISERROR(FIND("-",LEFT(CH2064,8))),ISNUMBER(-LEFT(CH2064,8))),VALUE(LEFT(CH2064,4)),VALUE(LEFT(CH2064,FIND("-",CH2064)-1)))+2000,IF(AND(LEN(CH2064)=9,ISERROR(FIND("-",LEFT(CH2064,8))),ISNUMBER(-LEFT(CH2064,8))),VALUE(LEFT(CH2064,4)),VALUE(LEFT(CH2064,FIND("-",CH2064)-1)))),""))</f>
        <v/>
      </c>
      <c r="CN2064">
        <f>IF(CH2064="","",IFERROR(IF(AND(LEN(CH2064)=9,ISERROR(FIND("-",LEFT(CH2064,8))),ISNUMBER(-LEFT(CH2064,8))),VALUE(MID(CH2064,5,2)),VALUE(MID(CH2064,FIND("-",CH2064)+1,FIND("-",CH2064,FIND("-",CH2064)+1)-FIND("-",CH2064)-1))),""))</f>
        <v/>
      </c>
      <c r="CO2064">
        <f>IF(CH2064="","",IFERROR(IF(AND(LEN(CH2064)=9,ISERROR(FIND("-",LEFT(CH2064,8))),ISNUMBER(-LEFT(CH2064,8))),VALUE(MID(CH2064,7,2)),VALUE(MID(CH2064,FIND("-",CH2064,FIND("-",CH2064)+1)+1,FIND("-",CH2064,FIND("-",CH2064,FIND("-",CH2064)+1)+1)-FIND("-",CH2064,FIND("-",CH2064)+1)-1))),""))</f>
        <v/>
      </c>
    </row>
    <row r="2065">
      <c r="CH2065">
        <f>IF(ISTEXT('월 가계부'!A2065),SUBSTITUTE(SUBSTITUTE(SUBSTITUTE(SUBSTITUTE(SUBSTITUTE(SUBSTITUTE(SUBSTITUTE(SUBSTITUTE(SUBSTITUTE(TRIM('월 가계부'!A2065),"년","-"),"월","-"),"일",""),".","-"),"/","-")," ","-"),"--","-"),"--","-"),"--","-")&amp;"-","")</f>
        <v/>
      </c>
      <c r="CI2065">
        <f>IFERROR(IF('월 가계부'!A2065="","",IF(ISNUMBER('월 가계부'!A2065),IF(AND('월 가계부'!A2065&gt;=19000101,'월 가계부'!A2065&lt;=21001231),IF(AND(MOD(INT('월 가계부'!A2065/100),100)&gt;=1,MOD(INT('월 가계부'!A2065/100),100)&lt;=12,MOD(INT('월 가계부'!A2065),100)&gt;=1,MOD(INT('월 가계부'!A2065),100)&lt;=31),IF(MONTH(DATE(INT('월 가계부'!A2065/10000),MOD(INT('월 가계부'!A2065/100),100),MOD(INT('월 가계부'!A2065),100)))=MOD(INT('월 가계부'!A2065/100),100),DATE(INT('월 가계부'!A2065/10000),MOD(INT('월 가계부'!A2065/100),100),MOD(INT('월 가계부'!A2065),100)),""),""),IF(AND('월 가계부'!A2065&gt;=36526,'월 가계부'!A2065&lt;73051),INT('월 가계부'!A2065),"")),IF(OR(CM2065="",CN2065="",CO2065=""),"",IF(AND(CM2065&gt;=2000,CM2065&lt;=2099,CN2065&gt;=1,CN2065&lt;=12,CO2065&gt;=1,CO2065&lt;=31),IF(MONTH(DATE(CM2065,CN2065,CO2065))=CN2065,DATE(CM2065,CN2065,CO2065),""),"")))),"")</f>
        <v/>
      </c>
      <c r="CJ2065">
        <f>IFERROR(IF('월 가계부'!C2065="","",IF(ISNUMBER('월 가계부'!C2065),'월 가계부'!C2065,VALUE(SUBSTITUTE(SUBSTITUTE(SUBSTITUTE(SUBSTITUTE(TRIM('월 가계부'!C2065),",",""),"원","")," ",""),"−","-")))),"")</f>
        <v/>
      </c>
      <c r="CK2065">
        <f>IF(ISNUMBER(CI2065),IF(CI2065&lt;$B$13,CI2065,""),"")</f>
        <v/>
      </c>
      <c r="CM2065">
        <f>IF(CH2065="","",IFERROR(IF(IF(AND(LEN(CH2065)=9,ISERROR(FIND("-",LEFT(CH2065,8))),ISNUMBER(-LEFT(CH2065,8))),VALUE(LEFT(CH2065,4)),VALUE(LEFT(CH2065,FIND("-",CH2065)-1)))&lt;100,IF(AND(LEN(CH2065)=9,ISERROR(FIND("-",LEFT(CH2065,8))),ISNUMBER(-LEFT(CH2065,8))),VALUE(LEFT(CH2065,4)),VALUE(LEFT(CH2065,FIND("-",CH2065)-1)))+2000,IF(AND(LEN(CH2065)=9,ISERROR(FIND("-",LEFT(CH2065,8))),ISNUMBER(-LEFT(CH2065,8))),VALUE(LEFT(CH2065,4)),VALUE(LEFT(CH2065,FIND("-",CH2065)-1)))),""))</f>
        <v/>
      </c>
      <c r="CN2065">
        <f>IF(CH2065="","",IFERROR(IF(AND(LEN(CH2065)=9,ISERROR(FIND("-",LEFT(CH2065,8))),ISNUMBER(-LEFT(CH2065,8))),VALUE(MID(CH2065,5,2)),VALUE(MID(CH2065,FIND("-",CH2065)+1,FIND("-",CH2065,FIND("-",CH2065)+1)-FIND("-",CH2065)-1))),""))</f>
        <v/>
      </c>
      <c r="CO2065">
        <f>IF(CH2065="","",IFERROR(IF(AND(LEN(CH2065)=9,ISERROR(FIND("-",LEFT(CH2065,8))),ISNUMBER(-LEFT(CH2065,8))),VALUE(MID(CH2065,7,2)),VALUE(MID(CH2065,FIND("-",CH2065,FIND("-",CH2065)+1)+1,FIND("-",CH2065,FIND("-",CH2065,FIND("-",CH2065)+1)+1)-FIND("-",CH2065,FIND("-",CH2065)+1)-1))),""))</f>
        <v/>
      </c>
    </row>
    <row r="2066">
      <c r="CH2066">
        <f>IF(ISTEXT('월 가계부'!A2066),SUBSTITUTE(SUBSTITUTE(SUBSTITUTE(SUBSTITUTE(SUBSTITUTE(SUBSTITUTE(SUBSTITUTE(SUBSTITUTE(SUBSTITUTE(TRIM('월 가계부'!A2066),"년","-"),"월","-"),"일",""),".","-"),"/","-")," ","-"),"--","-"),"--","-"),"--","-")&amp;"-","")</f>
        <v/>
      </c>
      <c r="CI2066">
        <f>IFERROR(IF('월 가계부'!A2066="","",IF(ISNUMBER('월 가계부'!A2066),IF(AND('월 가계부'!A2066&gt;=19000101,'월 가계부'!A2066&lt;=21001231),IF(AND(MOD(INT('월 가계부'!A2066/100),100)&gt;=1,MOD(INT('월 가계부'!A2066/100),100)&lt;=12,MOD(INT('월 가계부'!A2066),100)&gt;=1,MOD(INT('월 가계부'!A2066),100)&lt;=31),IF(MONTH(DATE(INT('월 가계부'!A2066/10000),MOD(INT('월 가계부'!A2066/100),100),MOD(INT('월 가계부'!A2066),100)))=MOD(INT('월 가계부'!A2066/100),100),DATE(INT('월 가계부'!A2066/10000),MOD(INT('월 가계부'!A2066/100),100),MOD(INT('월 가계부'!A2066),100)),""),""),IF(AND('월 가계부'!A2066&gt;=36526,'월 가계부'!A2066&lt;73051),INT('월 가계부'!A2066),"")),IF(OR(CM2066="",CN2066="",CO2066=""),"",IF(AND(CM2066&gt;=2000,CM2066&lt;=2099,CN2066&gt;=1,CN2066&lt;=12,CO2066&gt;=1,CO2066&lt;=31),IF(MONTH(DATE(CM2066,CN2066,CO2066))=CN2066,DATE(CM2066,CN2066,CO2066),""),"")))),"")</f>
        <v/>
      </c>
      <c r="CJ2066">
        <f>IFERROR(IF('월 가계부'!C2066="","",IF(ISNUMBER('월 가계부'!C2066),'월 가계부'!C2066,VALUE(SUBSTITUTE(SUBSTITUTE(SUBSTITUTE(SUBSTITUTE(TRIM('월 가계부'!C2066),",",""),"원","")," ",""),"−","-")))),"")</f>
        <v/>
      </c>
      <c r="CK2066">
        <f>IF(ISNUMBER(CI2066),IF(CI2066&lt;$B$13,CI2066,""),"")</f>
        <v/>
      </c>
      <c r="CM2066">
        <f>IF(CH2066="","",IFERROR(IF(IF(AND(LEN(CH2066)=9,ISERROR(FIND("-",LEFT(CH2066,8))),ISNUMBER(-LEFT(CH2066,8))),VALUE(LEFT(CH2066,4)),VALUE(LEFT(CH2066,FIND("-",CH2066)-1)))&lt;100,IF(AND(LEN(CH2066)=9,ISERROR(FIND("-",LEFT(CH2066,8))),ISNUMBER(-LEFT(CH2066,8))),VALUE(LEFT(CH2066,4)),VALUE(LEFT(CH2066,FIND("-",CH2066)-1)))+2000,IF(AND(LEN(CH2066)=9,ISERROR(FIND("-",LEFT(CH2066,8))),ISNUMBER(-LEFT(CH2066,8))),VALUE(LEFT(CH2066,4)),VALUE(LEFT(CH2066,FIND("-",CH2066)-1)))),""))</f>
        <v/>
      </c>
      <c r="CN2066">
        <f>IF(CH2066="","",IFERROR(IF(AND(LEN(CH2066)=9,ISERROR(FIND("-",LEFT(CH2066,8))),ISNUMBER(-LEFT(CH2066,8))),VALUE(MID(CH2066,5,2)),VALUE(MID(CH2066,FIND("-",CH2066)+1,FIND("-",CH2066,FIND("-",CH2066)+1)-FIND("-",CH2066)-1))),""))</f>
        <v/>
      </c>
      <c r="CO2066">
        <f>IF(CH2066="","",IFERROR(IF(AND(LEN(CH2066)=9,ISERROR(FIND("-",LEFT(CH2066,8))),ISNUMBER(-LEFT(CH2066,8))),VALUE(MID(CH2066,7,2)),VALUE(MID(CH2066,FIND("-",CH2066,FIND("-",CH2066)+1)+1,FIND("-",CH2066,FIND("-",CH2066,FIND("-",CH2066)+1)+1)-FIND("-",CH2066,FIND("-",CH2066)+1)-1))),""))</f>
        <v/>
      </c>
    </row>
    <row r="2067">
      <c r="CH2067">
        <f>IF(ISTEXT('월 가계부'!A2067),SUBSTITUTE(SUBSTITUTE(SUBSTITUTE(SUBSTITUTE(SUBSTITUTE(SUBSTITUTE(SUBSTITUTE(SUBSTITUTE(SUBSTITUTE(TRIM('월 가계부'!A2067),"년","-"),"월","-"),"일",""),".","-"),"/","-")," ","-"),"--","-"),"--","-"),"--","-")&amp;"-","")</f>
        <v/>
      </c>
      <c r="CI2067">
        <f>IFERROR(IF('월 가계부'!A2067="","",IF(ISNUMBER('월 가계부'!A2067),IF(AND('월 가계부'!A2067&gt;=19000101,'월 가계부'!A2067&lt;=21001231),IF(AND(MOD(INT('월 가계부'!A2067/100),100)&gt;=1,MOD(INT('월 가계부'!A2067/100),100)&lt;=12,MOD(INT('월 가계부'!A2067),100)&gt;=1,MOD(INT('월 가계부'!A2067),100)&lt;=31),IF(MONTH(DATE(INT('월 가계부'!A2067/10000),MOD(INT('월 가계부'!A2067/100),100),MOD(INT('월 가계부'!A2067),100)))=MOD(INT('월 가계부'!A2067/100),100),DATE(INT('월 가계부'!A2067/10000),MOD(INT('월 가계부'!A2067/100),100),MOD(INT('월 가계부'!A2067),100)),""),""),IF(AND('월 가계부'!A2067&gt;=36526,'월 가계부'!A2067&lt;73051),INT('월 가계부'!A2067),"")),IF(OR(CM2067="",CN2067="",CO2067=""),"",IF(AND(CM2067&gt;=2000,CM2067&lt;=2099,CN2067&gt;=1,CN2067&lt;=12,CO2067&gt;=1,CO2067&lt;=31),IF(MONTH(DATE(CM2067,CN2067,CO2067))=CN2067,DATE(CM2067,CN2067,CO2067),""),"")))),"")</f>
        <v/>
      </c>
      <c r="CJ2067">
        <f>IFERROR(IF('월 가계부'!C2067="","",IF(ISNUMBER('월 가계부'!C2067),'월 가계부'!C2067,VALUE(SUBSTITUTE(SUBSTITUTE(SUBSTITUTE(SUBSTITUTE(TRIM('월 가계부'!C2067),",",""),"원","")," ",""),"−","-")))),"")</f>
        <v/>
      </c>
      <c r="CK2067">
        <f>IF(ISNUMBER(CI2067),IF(CI2067&lt;$B$13,CI2067,""),"")</f>
        <v/>
      </c>
      <c r="CM2067">
        <f>IF(CH2067="","",IFERROR(IF(IF(AND(LEN(CH2067)=9,ISERROR(FIND("-",LEFT(CH2067,8))),ISNUMBER(-LEFT(CH2067,8))),VALUE(LEFT(CH2067,4)),VALUE(LEFT(CH2067,FIND("-",CH2067)-1)))&lt;100,IF(AND(LEN(CH2067)=9,ISERROR(FIND("-",LEFT(CH2067,8))),ISNUMBER(-LEFT(CH2067,8))),VALUE(LEFT(CH2067,4)),VALUE(LEFT(CH2067,FIND("-",CH2067)-1)))+2000,IF(AND(LEN(CH2067)=9,ISERROR(FIND("-",LEFT(CH2067,8))),ISNUMBER(-LEFT(CH2067,8))),VALUE(LEFT(CH2067,4)),VALUE(LEFT(CH2067,FIND("-",CH2067)-1)))),""))</f>
        <v/>
      </c>
      <c r="CN2067">
        <f>IF(CH2067="","",IFERROR(IF(AND(LEN(CH2067)=9,ISERROR(FIND("-",LEFT(CH2067,8))),ISNUMBER(-LEFT(CH2067,8))),VALUE(MID(CH2067,5,2)),VALUE(MID(CH2067,FIND("-",CH2067)+1,FIND("-",CH2067,FIND("-",CH2067)+1)-FIND("-",CH2067)-1))),""))</f>
        <v/>
      </c>
      <c r="CO2067">
        <f>IF(CH2067="","",IFERROR(IF(AND(LEN(CH2067)=9,ISERROR(FIND("-",LEFT(CH2067,8))),ISNUMBER(-LEFT(CH2067,8))),VALUE(MID(CH2067,7,2)),VALUE(MID(CH2067,FIND("-",CH2067,FIND("-",CH2067)+1)+1,FIND("-",CH2067,FIND("-",CH2067,FIND("-",CH2067)+1)+1)-FIND("-",CH2067,FIND("-",CH2067)+1)-1))),""))</f>
        <v/>
      </c>
    </row>
    <row r="2068">
      <c r="CH2068">
        <f>IF(ISTEXT('월 가계부'!A2068),SUBSTITUTE(SUBSTITUTE(SUBSTITUTE(SUBSTITUTE(SUBSTITUTE(SUBSTITUTE(SUBSTITUTE(SUBSTITUTE(SUBSTITUTE(TRIM('월 가계부'!A2068),"년","-"),"월","-"),"일",""),".","-"),"/","-")," ","-"),"--","-"),"--","-"),"--","-")&amp;"-","")</f>
        <v/>
      </c>
      <c r="CI2068">
        <f>IFERROR(IF('월 가계부'!A2068="","",IF(ISNUMBER('월 가계부'!A2068),IF(AND('월 가계부'!A2068&gt;=19000101,'월 가계부'!A2068&lt;=21001231),IF(AND(MOD(INT('월 가계부'!A2068/100),100)&gt;=1,MOD(INT('월 가계부'!A2068/100),100)&lt;=12,MOD(INT('월 가계부'!A2068),100)&gt;=1,MOD(INT('월 가계부'!A2068),100)&lt;=31),IF(MONTH(DATE(INT('월 가계부'!A2068/10000),MOD(INT('월 가계부'!A2068/100),100),MOD(INT('월 가계부'!A2068),100)))=MOD(INT('월 가계부'!A2068/100),100),DATE(INT('월 가계부'!A2068/10000),MOD(INT('월 가계부'!A2068/100),100),MOD(INT('월 가계부'!A2068),100)),""),""),IF(AND('월 가계부'!A2068&gt;=36526,'월 가계부'!A2068&lt;73051),INT('월 가계부'!A2068),"")),IF(OR(CM2068="",CN2068="",CO2068=""),"",IF(AND(CM2068&gt;=2000,CM2068&lt;=2099,CN2068&gt;=1,CN2068&lt;=12,CO2068&gt;=1,CO2068&lt;=31),IF(MONTH(DATE(CM2068,CN2068,CO2068))=CN2068,DATE(CM2068,CN2068,CO2068),""),"")))),"")</f>
        <v/>
      </c>
      <c r="CJ2068">
        <f>IFERROR(IF('월 가계부'!C2068="","",IF(ISNUMBER('월 가계부'!C2068),'월 가계부'!C2068,VALUE(SUBSTITUTE(SUBSTITUTE(SUBSTITUTE(SUBSTITUTE(TRIM('월 가계부'!C2068),",",""),"원","")," ",""),"−","-")))),"")</f>
        <v/>
      </c>
      <c r="CK2068">
        <f>IF(ISNUMBER(CI2068),IF(CI2068&lt;$B$13,CI2068,""),"")</f>
        <v/>
      </c>
      <c r="CM2068">
        <f>IF(CH2068="","",IFERROR(IF(IF(AND(LEN(CH2068)=9,ISERROR(FIND("-",LEFT(CH2068,8))),ISNUMBER(-LEFT(CH2068,8))),VALUE(LEFT(CH2068,4)),VALUE(LEFT(CH2068,FIND("-",CH2068)-1)))&lt;100,IF(AND(LEN(CH2068)=9,ISERROR(FIND("-",LEFT(CH2068,8))),ISNUMBER(-LEFT(CH2068,8))),VALUE(LEFT(CH2068,4)),VALUE(LEFT(CH2068,FIND("-",CH2068)-1)))+2000,IF(AND(LEN(CH2068)=9,ISERROR(FIND("-",LEFT(CH2068,8))),ISNUMBER(-LEFT(CH2068,8))),VALUE(LEFT(CH2068,4)),VALUE(LEFT(CH2068,FIND("-",CH2068)-1)))),""))</f>
        <v/>
      </c>
      <c r="CN2068">
        <f>IF(CH2068="","",IFERROR(IF(AND(LEN(CH2068)=9,ISERROR(FIND("-",LEFT(CH2068,8))),ISNUMBER(-LEFT(CH2068,8))),VALUE(MID(CH2068,5,2)),VALUE(MID(CH2068,FIND("-",CH2068)+1,FIND("-",CH2068,FIND("-",CH2068)+1)-FIND("-",CH2068)-1))),""))</f>
        <v/>
      </c>
      <c r="CO2068">
        <f>IF(CH2068="","",IFERROR(IF(AND(LEN(CH2068)=9,ISERROR(FIND("-",LEFT(CH2068,8))),ISNUMBER(-LEFT(CH2068,8))),VALUE(MID(CH2068,7,2)),VALUE(MID(CH2068,FIND("-",CH2068,FIND("-",CH2068)+1)+1,FIND("-",CH2068,FIND("-",CH2068,FIND("-",CH2068)+1)+1)-FIND("-",CH2068,FIND("-",CH2068)+1)-1))),""))</f>
        <v/>
      </c>
    </row>
    <row r="2069">
      <c r="CH2069">
        <f>IF(ISTEXT('월 가계부'!A2069),SUBSTITUTE(SUBSTITUTE(SUBSTITUTE(SUBSTITUTE(SUBSTITUTE(SUBSTITUTE(SUBSTITUTE(SUBSTITUTE(SUBSTITUTE(TRIM('월 가계부'!A2069),"년","-"),"월","-"),"일",""),".","-"),"/","-")," ","-"),"--","-"),"--","-"),"--","-")&amp;"-","")</f>
        <v/>
      </c>
      <c r="CI2069">
        <f>IFERROR(IF('월 가계부'!A2069="","",IF(ISNUMBER('월 가계부'!A2069),IF(AND('월 가계부'!A2069&gt;=19000101,'월 가계부'!A2069&lt;=21001231),IF(AND(MOD(INT('월 가계부'!A2069/100),100)&gt;=1,MOD(INT('월 가계부'!A2069/100),100)&lt;=12,MOD(INT('월 가계부'!A2069),100)&gt;=1,MOD(INT('월 가계부'!A2069),100)&lt;=31),IF(MONTH(DATE(INT('월 가계부'!A2069/10000),MOD(INT('월 가계부'!A2069/100),100),MOD(INT('월 가계부'!A2069),100)))=MOD(INT('월 가계부'!A2069/100),100),DATE(INT('월 가계부'!A2069/10000),MOD(INT('월 가계부'!A2069/100),100),MOD(INT('월 가계부'!A2069),100)),""),""),IF(AND('월 가계부'!A2069&gt;=36526,'월 가계부'!A2069&lt;73051),INT('월 가계부'!A2069),"")),IF(OR(CM2069="",CN2069="",CO2069=""),"",IF(AND(CM2069&gt;=2000,CM2069&lt;=2099,CN2069&gt;=1,CN2069&lt;=12,CO2069&gt;=1,CO2069&lt;=31),IF(MONTH(DATE(CM2069,CN2069,CO2069))=CN2069,DATE(CM2069,CN2069,CO2069),""),"")))),"")</f>
        <v/>
      </c>
      <c r="CJ2069">
        <f>IFERROR(IF('월 가계부'!C2069="","",IF(ISNUMBER('월 가계부'!C2069),'월 가계부'!C2069,VALUE(SUBSTITUTE(SUBSTITUTE(SUBSTITUTE(SUBSTITUTE(TRIM('월 가계부'!C2069),",",""),"원","")," ",""),"−","-")))),"")</f>
        <v/>
      </c>
      <c r="CK2069">
        <f>IF(ISNUMBER(CI2069),IF(CI2069&lt;$B$13,CI2069,""),"")</f>
        <v/>
      </c>
      <c r="CM2069">
        <f>IF(CH2069="","",IFERROR(IF(IF(AND(LEN(CH2069)=9,ISERROR(FIND("-",LEFT(CH2069,8))),ISNUMBER(-LEFT(CH2069,8))),VALUE(LEFT(CH2069,4)),VALUE(LEFT(CH2069,FIND("-",CH2069)-1)))&lt;100,IF(AND(LEN(CH2069)=9,ISERROR(FIND("-",LEFT(CH2069,8))),ISNUMBER(-LEFT(CH2069,8))),VALUE(LEFT(CH2069,4)),VALUE(LEFT(CH2069,FIND("-",CH2069)-1)))+2000,IF(AND(LEN(CH2069)=9,ISERROR(FIND("-",LEFT(CH2069,8))),ISNUMBER(-LEFT(CH2069,8))),VALUE(LEFT(CH2069,4)),VALUE(LEFT(CH2069,FIND("-",CH2069)-1)))),""))</f>
        <v/>
      </c>
      <c r="CN2069">
        <f>IF(CH2069="","",IFERROR(IF(AND(LEN(CH2069)=9,ISERROR(FIND("-",LEFT(CH2069,8))),ISNUMBER(-LEFT(CH2069,8))),VALUE(MID(CH2069,5,2)),VALUE(MID(CH2069,FIND("-",CH2069)+1,FIND("-",CH2069,FIND("-",CH2069)+1)-FIND("-",CH2069)-1))),""))</f>
        <v/>
      </c>
      <c r="CO2069">
        <f>IF(CH2069="","",IFERROR(IF(AND(LEN(CH2069)=9,ISERROR(FIND("-",LEFT(CH2069,8))),ISNUMBER(-LEFT(CH2069,8))),VALUE(MID(CH2069,7,2)),VALUE(MID(CH2069,FIND("-",CH2069,FIND("-",CH2069)+1)+1,FIND("-",CH2069,FIND("-",CH2069,FIND("-",CH2069)+1)+1)-FIND("-",CH2069,FIND("-",CH2069)+1)-1))),""))</f>
        <v/>
      </c>
    </row>
    <row r="2070">
      <c r="CH2070">
        <f>IF(ISTEXT('월 가계부'!A2070),SUBSTITUTE(SUBSTITUTE(SUBSTITUTE(SUBSTITUTE(SUBSTITUTE(SUBSTITUTE(SUBSTITUTE(SUBSTITUTE(SUBSTITUTE(TRIM('월 가계부'!A2070),"년","-"),"월","-"),"일",""),".","-"),"/","-")," ","-"),"--","-"),"--","-"),"--","-")&amp;"-","")</f>
        <v/>
      </c>
      <c r="CI2070">
        <f>IFERROR(IF('월 가계부'!A2070="","",IF(ISNUMBER('월 가계부'!A2070),IF(AND('월 가계부'!A2070&gt;=19000101,'월 가계부'!A2070&lt;=21001231),IF(AND(MOD(INT('월 가계부'!A2070/100),100)&gt;=1,MOD(INT('월 가계부'!A2070/100),100)&lt;=12,MOD(INT('월 가계부'!A2070),100)&gt;=1,MOD(INT('월 가계부'!A2070),100)&lt;=31),IF(MONTH(DATE(INT('월 가계부'!A2070/10000),MOD(INT('월 가계부'!A2070/100),100),MOD(INT('월 가계부'!A2070),100)))=MOD(INT('월 가계부'!A2070/100),100),DATE(INT('월 가계부'!A2070/10000),MOD(INT('월 가계부'!A2070/100),100),MOD(INT('월 가계부'!A2070),100)),""),""),IF(AND('월 가계부'!A2070&gt;=36526,'월 가계부'!A2070&lt;73051),INT('월 가계부'!A2070),"")),IF(OR(CM2070="",CN2070="",CO2070=""),"",IF(AND(CM2070&gt;=2000,CM2070&lt;=2099,CN2070&gt;=1,CN2070&lt;=12,CO2070&gt;=1,CO2070&lt;=31),IF(MONTH(DATE(CM2070,CN2070,CO2070))=CN2070,DATE(CM2070,CN2070,CO2070),""),"")))),"")</f>
        <v/>
      </c>
      <c r="CJ2070">
        <f>IFERROR(IF('월 가계부'!C2070="","",IF(ISNUMBER('월 가계부'!C2070),'월 가계부'!C2070,VALUE(SUBSTITUTE(SUBSTITUTE(SUBSTITUTE(SUBSTITUTE(TRIM('월 가계부'!C2070),",",""),"원","")," ",""),"−","-")))),"")</f>
        <v/>
      </c>
      <c r="CK2070">
        <f>IF(ISNUMBER(CI2070),IF(CI2070&lt;$B$13,CI2070,""),"")</f>
        <v/>
      </c>
      <c r="CM2070">
        <f>IF(CH2070="","",IFERROR(IF(IF(AND(LEN(CH2070)=9,ISERROR(FIND("-",LEFT(CH2070,8))),ISNUMBER(-LEFT(CH2070,8))),VALUE(LEFT(CH2070,4)),VALUE(LEFT(CH2070,FIND("-",CH2070)-1)))&lt;100,IF(AND(LEN(CH2070)=9,ISERROR(FIND("-",LEFT(CH2070,8))),ISNUMBER(-LEFT(CH2070,8))),VALUE(LEFT(CH2070,4)),VALUE(LEFT(CH2070,FIND("-",CH2070)-1)))+2000,IF(AND(LEN(CH2070)=9,ISERROR(FIND("-",LEFT(CH2070,8))),ISNUMBER(-LEFT(CH2070,8))),VALUE(LEFT(CH2070,4)),VALUE(LEFT(CH2070,FIND("-",CH2070)-1)))),""))</f>
        <v/>
      </c>
      <c r="CN2070">
        <f>IF(CH2070="","",IFERROR(IF(AND(LEN(CH2070)=9,ISERROR(FIND("-",LEFT(CH2070,8))),ISNUMBER(-LEFT(CH2070,8))),VALUE(MID(CH2070,5,2)),VALUE(MID(CH2070,FIND("-",CH2070)+1,FIND("-",CH2070,FIND("-",CH2070)+1)-FIND("-",CH2070)-1))),""))</f>
        <v/>
      </c>
      <c r="CO2070">
        <f>IF(CH2070="","",IFERROR(IF(AND(LEN(CH2070)=9,ISERROR(FIND("-",LEFT(CH2070,8))),ISNUMBER(-LEFT(CH2070,8))),VALUE(MID(CH2070,7,2)),VALUE(MID(CH2070,FIND("-",CH2070,FIND("-",CH2070)+1)+1,FIND("-",CH2070,FIND("-",CH2070,FIND("-",CH2070)+1)+1)-FIND("-",CH2070,FIND("-",CH2070)+1)-1))),""))</f>
        <v/>
      </c>
    </row>
    <row r="2071">
      <c r="CH2071">
        <f>IF(ISTEXT('월 가계부'!A2071),SUBSTITUTE(SUBSTITUTE(SUBSTITUTE(SUBSTITUTE(SUBSTITUTE(SUBSTITUTE(SUBSTITUTE(SUBSTITUTE(SUBSTITUTE(TRIM('월 가계부'!A2071),"년","-"),"월","-"),"일",""),".","-"),"/","-")," ","-"),"--","-"),"--","-"),"--","-")&amp;"-","")</f>
        <v/>
      </c>
      <c r="CI2071">
        <f>IFERROR(IF('월 가계부'!A2071="","",IF(ISNUMBER('월 가계부'!A2071),IF(AND('월 가계부'!A2071&gt;=19000101,'월 가계부'!A2071&lt;=21001231),IF(AND(MOD(INT('월 가계부'!A2071/100),100)&gt;=1,MOD(INT('월 가계부'!A2071/100),100)&lt;=12,MOD(INT('월 가계부'!A2071),100)&gt;=1,MOD(INT('월 가계부'!A2071),100)&lt;=31),IF(MONTH(DATE(INT('월 가계부'!A2071/10000),MOD(INT('월 가계부'!A2071/100),100),MOD(INT('월 가계부'!A2071),100)))=MOD(INT('월 가계부'!A2071/100),100),DATE(INT('월 가계부'!A2071/10000),MOD(INT('월 가계부'!A2071/100),100),MOD(INT('월 가계부'!A2071),100)),""),""),IF(AND('월 가계부'!A2071&gt;=36526,'월 가계부'!A2071&lt;73051),INT('월 가계부'!A2071),"")),IF(OR(CM2071="",CN2071="",CO2071=""),"",IF(AND(CM2071&gt;=2000,CM2071&lt;=2099,CN2071&gt;=1,CN2071&lt;=12,CO2071&gt;=1,CO2071&lt;=31),IF(MONTH(DATE(CM2071,CN2071,CO2071))=CN2071,DATE(CM2071,CN2071,CO2071),""),"")))),"")</f>
        <v/>
      </c>
      <c r="CJ2071">
        <f>IFERROR(IF('월 가계부'!C2071="","",IF(ISNUMBER('월 가계부'!C2071),'월 가계부'!C2071,VALUE(SUBSTITUTE(SUBSTITUTE(SUBSTITUTE(SUBSTITUTE(TRIM('월 가계부'!C2071),",",""),"원","")," ",""),"−","-")))),"")</f>
        <v/>
      </c>
      <c r="CK2071">
        <f>IF(ISNUMBER(CI2071),IF(CI2071&lt;$B$13,CI2071,""),"")</f>
        <v/>
      </c>
      <c r="CM2071">
        <f>IF(CH2071="","",IFERROR(IF(IF(AND(LEN(CH2071)=9,ISERROR(FIND("-",LEFT(CH2071,8))),ISNUMBER(-LEFT(CH2071,8))),VALUE(LEFT(CH2071,4)),VALUE(LEFT(CH2071,FIND("-",CH2071)-1)))&lt;100,IF(AND(LEN(CH2071)=9,ISERROR(FIND("-",LEFT(CH2071,8))),ISNUMBER(-LEFT(CH2071,8))),VALUE(LEFT(CH2071,4)),VALUE(LEFT(CH2071,FIND("-",CH2071)-1)))+2000,IF(AND(LEN(CH2071)=9,ISERROR(FIND("-",LEFT(CH2071,8))),ISNUMBER(-LEFT(CH2071,8))),VALUE(LEFT(CH2071,4)),VALUE(LEFT(CH2071,FIND("-",CH2071)-1)))),""))</f>
        <v/>
      </c>
      <c r="CN2071">
        <f>IF(CH2071="","",IFERROR(IF(AND(LEN(CH2071)=9,ISERROR(FIND("-",LEFT(CH2071,8))),ISNUMBER(-LEFT(CH2071,8))),VALUE(MID(CH2071,5,2)),VALUE(MID(CH2071,FIND("-",CH2071)+1,FIND("-",CH2071,FIND("-",CH2071)+1)-FIND("-",CH2071)-1))),""))</f>
        <v/>
      </c>
      <c r="CO2071">
        <f>IF(CH2071="","",IFERROR(IF(AND(LEN(CH2071)=9,ISERROR(FIND("-",LEFT(CH2071,8))),ISNUMBER(-LEFT(CH2071,8))),VALUE(MID(CH2071,7,2)),VALUE(MID(CH2071,FIND("-",CH2071,FIND("-",CH2071)+1)+1,FIND("-",CH2071,FIND("-",CH2071,FIND("-",CH2071)+1)+1)-FIND("-",CH2071,FIND("-",CH2071)+1)-1))),""))</f>
        <v/>
      </c>
    </row>
    <row r="2072">
      <c r="CH2072">
        <f>IF(ISTEXT('월 가계부'!A2072),SUBSTITUTE(SUBSTITUTE(SUBSTITUTE(SUBSTITUTE(SUBSTITUTE(SUBSTITUTE(SUBSTITUTE(SUBSTITUTE(SUBSTITUTE(TRIM('월 가계부'!A2072),"년","-"),"월","-"),"일",""),".","-"),"/","-")," ","-"),"--","-"),"--","-"),"--","-")&amp;"-","")</f>
        <v/>
      </c>
      <c r="CI2072">
        <f>IFERROR(IF('월 가계부'!A2072="","",IF(ISNUMBER('월 가계부'!A2072),IF(AND('월 가계부'!A2072&gt;=19000101,'월 가계부'!A2072&lt;=21001231),IF(AND(MOD(INT('월 가계부'!A2072/100),100)&gt;=1,MOD(INT('월 가계부'!A2072/100),100)&lt;=12,MOD(INT('월 가계부'!A2072),100)&gt;=1,MOD(INT('월 가계부'!A2072),100)&lt;=31),IF(MONTH(DATE(INT('월 가계부'!A2072/10000),MOD(INT('월 가계부'!A2072/100),100),MOD(INT('월 가계부'!A2072),100)))=MOD(INT('월 가계부'!A2072/100),100),DATE(INT('월 가계부'!A2072/10000),MOD(INT('월 가계부'!A2072/100),100),MOD(INT('월 가계부'!A2072),100)),""),""),IF(AND('월 가계부'!A2072&gt;=36526,'월 가계부'!A2072&lt;73051),INT('월 가계부'!A2072),"")),IF(OR(CM2072="",CN2072="",CO2072=""),"",IF(AND(CM2072&gt;=2000,CM2072&lt;=2099,CN2072&gt;=1,CN2072&lt;=12,CO2072&gt;=1,CO2072&lt;=31),IF(MONTH(DATE(CM2072,CN2072,CO2072))=CN2072,DATE(CM2072,CN2072,CO2072),""),"")))),"")</f>
        <v/>
      </c>
      <c r="CJ2072">
        <f>IFERROR(IF('월 가계부'!C2072="","",IF(ISNUMBER('월 가계부'!C2072),'월 가계부'!C2072,VALUE(SUBSTITUTE(SUBSTITUTE(SUBSTITUTE(SUBSTITUTE(TRIM('월 가계부'!C2072),",",""),"원","")," ",""),"−","-")))),"")</f>
        <v/>
      </c>
      <c r="CK2072">
        <f>IF(ISNUMBER(CI2072),IF(CI2072&lt;$B$13,CI2072,""),"")</f>
        <v/>
      </c>
      <c r="CM2072">
        <f>IF(CH2072="","",IFERROR(IF(IF(AND(LEN(CH2072)=9,ISERROR(FIND("-",LEFT(CH2072,8))),ISNUMBER(-LEFT(CH2072,8))),VALUE(LEFT(CH2072,4)),VALUE(LEFT(CH2072,FIND("-",CH2072)-1)))&lt;100,IF(AND(LEN(CH2072)=9,ISERROR(FIND("-",LEFT(CH2072,8))),ISNUMBER(-LEFT(CH2072,8))),VALUE(LEFT(CH2072,4)),VALUE(LEFT(CH2072,FIND("-",CH2072)-1)))+2000,IF(AND(LEN(CH2072)=9,ISERROR(FIND("-",LEFT(CH2072,8))),ISNUMBER(-LEFT(CH2072,8))),VALUE(LEFT(CH2072,4)),VALUE(LEFT(CH2072,FIND("-",CH2072)-1)))),""))</f>
        <v/>
      </c>
      <c r="CN2072">
        <f>IF(CH2072="","",IFERROR(IF(AND(LEN(CH2072)=9,ISERROR(FIND("-",LEFT(CH2072,8))),ISNUMBER(-LEFT(CH2072,8))),VALUE(MID(CH2072,5,2)),VALUE(MID(CH2072,FIND("-",CH2072)+1,FIND("-",CH2072,FIND("-",CH2072)+1)-FIND("-",CH2072)-1))),""))</f>
        <v/>
      </c>
      <c r="CO2072">
        <f>IF(CH2072="","",IFERROR(IF(AND(LEN(CH2072)=9,ISERROR(FIND("-",LEFT(CH2072,8))),ISNUMBER(-LEFT(CH2072,8))),VALUE(MID(CH2072,7,2)),VALUE(MID(CH2072,FIND("-",CH2072,FIND("-",CH2072)+1)+1,FIND("-",CH2072,FIND("-",CH2072,FIND("-",CH2072)+1)+1)-FIND("-",CH2072,FIND("-",CH2072)+1)-1))),""))</f>
        <v/>
      </c>
    </row>
    <row r="2073">
      <c r="CH2073">
        <f>IF(ISTEXT('월 가계부'!A2073),SUBSTITUTE(SUBSTITUTE(SUBSTITUTE(SUBSTITUTE(SUBSTITUTE(SUBSTITUTE(SUBSTITUTE(SUBSTITUTE(SUBSTITUTE(TRIM('월 가계부'!A2073),"년","-"),"월","-"),"일",""),".","-"),"/","-")," ","-"),"--","-"),"--","-"),"--","-")&amp;"-","")</f>
        <v/>
      </c>
      <c r="CI2073">
        <f>IFERROR(IF('월 가계부'!A2073="","",IF(ISNUMBER('월 가계부'!A2073),IF(AND('월 가계부'!A2073&gt;=19000101,'월 가계부'!A2073&lt;=21001231),IF(AND(MOD(INT('월 가계부'!A2073/100),100)&gt;=1,MOD(INT('월 가계부'!A2073/100),100)&lt;=12,MOD(INT('월 가계부'!A2073),100)&gt;=1,MOD(INT('월 가계부'!A2073),100)&lt;=31),IF(MONTH(DATE(INT('월 가계부'!A2073/10000),MOD(INT('월 가계부'!A2073/100),100),MOD(INT('월 가계부'!A2073),100)))=MOD(INT('월 가계부'!A2073/100),100),DATE(INT('월 가계부'!A2073/10000),MOD(INT('월 가계부'!A2073/100),100),MOD(INT('월 가계부'!A2073),100)),""),""),IF(AND('월 가계부'!A2073&gt;=36526,'월 가계부'!A2073&lt;73051),INT('월 가계부'!A2073),"")),IF(OR(CM2073="",CN2073="",CO2073=""),"",IF(AND(CM2073&gt;=2000,CM2073&lt;=2099,CN2073&gt;=1,CN2073&lt;=12,CO2073&gt;=1,CO2073&lt;=31),IF(MONTH(DATE(CM2073,CN2073,CO2073))=CN2073,DATE(CM2073,CN2073,CO2073),""),"")))),"")</f>
        <v/>
      </c>
      <c r="CJ2073">
        <f>IFERROR(IF('월 가계부'!C2073="","",IF(ISNUMBER('월 가계부'!C2073),'월 가계부'!C2073,VALUE(SUBSTITUTE(SUBSTITUTE(SUBSTITUTE(SUBSTITUTE(TRIM('월 가계부'!C2073),",",""),"원","")," ",""),"−","-")))),"")</f>
        <v/>
      </c>
      <c r="CK2073">
        <f>IF(ISNUMBER(CI2073),IF(CI2073&lt;$B$13,CI2073,""),"")</f>
        <v/>
      </c>
      <c r="CM2073">
        <f>IF(CH2073="","",IFERROR(IF(IF(AND(LEN(CH2073)=9,ISERROR(FIND("-",LEFT(CH2073,8))),ISNUMBER(-LEFT(CH2073,8))),VALUE(LEFT(CH2073,4)),VALUE(LEFT(CH2073,FIND("-",CH2073)-1)))&lt;100,IF(AND(LEN(CH2073)=9,ISERROR(FIND("-",LEFT(CH2073,8))),ISNUMBER(-LEFT(CH2073,8))),VALUE(LEFT(CH2073,4)),VALUE(LEFT(CH2073,FIND("-",CH2073)-1)))+2000,IF(AND(LEN(CH2073)=9,ISERROR(FIND("-",LEFT(CH2073,8))),ISNUMBER(-LEFT(CH2073,8))),VALUE(LEFT(CH2073,4)),VALUE(LEFT(CH2073,FIND("-",CH2073)-1)))),""))</f>
        <v/>
      </c>
      <c r="CN2073">
        <f>IF(CH2073="","",IFERROR(IF(AND(LEN(CH2073)=9,ISERROR(FIND("-",LEFT(CH2073,8))),ISNUMBER(-LEFT(CH2073,8))),VALUE(MID(CH2073,5,2)),VALUE(MID(CH2073,FIND("-",CH2073)+1,FIND("-",CH2073,FIND("-",CH2073)+1)-FIND("-",CH2073)-1))),""))</f>
        <v/>
      </c>
      <c r="CO2073">
        <f>IF(CH2073="","",IFERROR(IF(AND(LEN(CH2073)=9,ISERROR(FIND("-",LEFT(CH2073,8))),ISNUMBER(-LEFT(CH2073,8))),VALUE(MID(CH2073,7,2)),VALUE(MID(CH2073,FIND("-",CH2073,FIND("-",CH2073)+1)+1,FIND("-",CH2073,FIND("-",CH2073,FIND("-",CH2073)+1)+1)-FIND("-",CH2073,FIND("-",CH2073)+1)-1))),""))</f>
        <v/>
      </c>
    </row>
    <row r="2074">
      <c r="CH2074">
        <f>IF(ISTEXT('월 가계부'!A2074),SUBSTITUTE(SUBSTITUTE(SUBSTITUTE(SUBSTITUTE(SUBSTITUTE(SUBSTITUTE(SUBSTITUTE(SUBSTITUTE(SUBSTITUTE(TRIM('월 가계부'!A2074),"년","-"),"월","-"),"일",""),".","-"),"/","-")," ","-"),"--","-"),"--","-"),"--","-")&amp;"-","")</f>
        <v/>
      </c>
      <c r="CI2074">
        <f>IFERROR(IF('월 가계부'!A2074="","",IF(ISNUMBER('월 가계부'!A2074),IF(AND('월 가계부'!A2074&gt;=19000101,'월 가계부'!A2074&lt;=21001231),IF(AND(MOD(INT('월 가계부'!A2074/100),100)&gt;=1,MOD(INT('월 가계부'!A2074/100),100)&lt;=12,MOD(INT('월 가계부'!A2074),100)&gt;=1,MOD(INT('월 가계부'!A2074),100)&lt;=31),IF(MONTH(DATE(INT('월 가계부'!A2074/10000),MOD(INT('월 가계부'!A2074/100),100),MOD(INT('월 가계부'!A2074),100)))=MOD(INT('월 가계부'!A2074/100),100),DATE(INT('월 가계부'!A2074/10000),MOD(INT('월 가계부'!A2074/100),100),MOD(INT('월 가계부'!A2074),100)),""),""),IF(AND('월 가계부'!A2074&gt;=36526,'월 가계부'!A2074&lt;73051),INT('월 가계부'!A2074),"")),IF(OR(CM2074="",CN2074="",CO2074=""),"",IF(AND(CM2074&gt;=2000,CM2074&lt;=2099,CN2074&gt;=1,CN2074&lt;=12,CO2074&gt;=1,CO2074&lt;=31),IF(MONTH(DATE(CM2074,CN2074,CO2074))=CN2074,DATE(CM2074,CN2074,CO2074),""),"")))),"")</f>
        <v/>
      </c>
      <c r="CJ2074">
        <f>IFERROR(IF('월 가계부'!C2074="","",IF(ISNUMBER('월 가계부'!C2074),'월 가계부'!C2074,VALUE(SUBSTITUTE(SUBSTITUTE(SUBSTITUTE(SUBSTITUTE(TRIM('월 가계부'!C2074),",",""),"원","")," ",""),"−","-")))),"")</f>
        <v/>
      </c>
      <c r="CK2074">
        <f>IF(ISNUMBER(CI2074),IF(CI2074&lt;$B$13,CI2074,""),"")</f>
        <v/>
      </c>
      <c r="CM2074">
        <f>IF(CH2074="","",IFERROR(IF(IF(AND(LEN(CH2074)=9,ISERROR(FIND("-",LEFT(CH2074,8))),ISNUMBER(-LEFT(CH2074,8))),VALUE(LEFT(CH2074,4)),VALUE(LEFT(CH2074,FIND("-",CH2074)-1)))&lt;100,IF(AND(LEN(CH2074)=9,ISERROR(FIND("-",LEFT(CH2074,8))),ISNUMBER(-LEFT(CH2074,8))),VALUE(LEFT(CH2074,4)),VALUE(LEFT(CH2074,FIND("-",CH2074)-1)))+2000,IF(AND(LEN(CH2074)=9,ISERROR(FIND("-",LEFT(CH2074,8))),ISNUMBER(-LEFT(CH2074,8))),VALUE(LEFT(CH2074,4)),VALUE(LEFT(CH2074,FIND("-",CH2074)-1)))),""))</f>
        <v/>
      </c>
      <c r="CN2074">
        <f>IF(CH2074="","",IFERROR(IF(AND(LEN(CH2074)=9,ISERROR(FIND("-",LEFT(CH2074,8))),ISNUMBER(-LEFT(CH2074,8))),VALUE(MID(CH2074,5,2)),VALUE(MID(CH2074,FIND("-",CH2074)+1,FIND("-",CH2074,FIND("-",CH2074)+1)-FIND("-",CH2074)-1))),""))</f>
        <v/>
      </c>
      <c r="CO2074">
        <f>IF(CH2074="","",IFERROR(IF(AND(LEN(CH2074)=9,ISERROR(FIND("-",LEFT(CH2074,8))),ISNUMBER(-LEFT(CH2074,8))),VALUE(MID(CH2074,7,2)),VALUE(MID(CH2074,FIND("-",CH2074,FIND("-",CH2074)+1)+1,FIND("-",CH2074,FIND("-",CH2074,FIND("-",CH2074)+1)+1)-FIND("-",CH2074,FIND("-",CH2074)+1)-1))),""))</f>
        <v/>
      </c>
    </row>
    <row r="2075">
      <c r="CH2075">
        <f>IF(ISTEXT('월 가계부'!A2075),SUBSTITUTE(SUBSTITUTE(SUBSTITUTE(SUBSTITUTE(SUBSTITUTE(SUBSTITUTE(SUBSTITUTE(SUBSTITUTE(SUBSTITUTE(TRIM('월 가계부'!A2075),"년","-"),"월","-"),"일",""),".","-"),"/","-")," ","-"),"--","-"),"--","-"),"--","-")&amp;"-","")</f>
        <v/>
      </c>
      <c r="CI2075">
        <f>IFERROR(IF('월 가계부'!A2075="","",IF(ISNUMBER('월 가계부'!A2075),IF(AND('월 가계부'!A2075&gt;=19000101,'월 가계부'!A2075&lt;=21001231),IF(AND(MOD(INT('월 가계부'!A2075/100),100)&gt;=1,MOD(INT('월 가계부'!A2075/100),100)&lt;=12,MOD(INT('월 가계부'!A2075),100)&gt;=1,MOD(INT('월 가계부'!A2075),100)&lt;=31),IF(MONTH(DATE(INT('월 가계부'!A2075/10000),MOD(INT('월 가계부'!A2075/100),100),MOD(INT('월 가계부'!A2075),100)))=MOD(INT('월 가계부'!A2075/100),100),DATE(INT('월 가계부'!A2075/10000),MOD(INT('월 가계부'!A2075/100),100),MOD(INT('월 가계부'!A2075),100)),""),""),IF(AND('월 가계부'!A2075&gt;=36526,'월 가계부'!A2075&lt;73051),INT('월 가계부'!A2075),"")),IF(OR(CM2075="",CN2075="",CO2075=""),"",IF(AND(CM2075&gt;=2000,CM2075&lt;=2099,CN2075&gt;=1,CN2075&lt;=12,CO2075&gt;=1,CO2075&lt;=31),IF(MONTH(DATE(CM2075,CN2075,CO2075))=CN2075,DATE(CM2075,CN2075,CO2075),""),"")))),"")</f>
        <v/>
      </c>
      <c r="CJ2075">
        <f>IFERROR(IF('월 가계부'!C2075="","",IF(ISNUMBER('월 가계부'!C2075),'월 가계부'!C2075,VALUE(SUBSTITUTE(SUBSTITUTE(SUBSTITUTE(SUBSTITUTE(TRIM('월 가계부'!C2075),",",""),"원","")," ",""),"−","-")))),"")</f>
        <v/>
      </c>
      <c r="CK2075">
        <f>IF(ISNUMBER(CI2075),IF(CI2075&lt;$B$13,CI2075,""),"")</f>
        <v/>
      </c>
      <c r="CM2075">
        <f>IF(CH2075="","",IFERROR(IF(IF(AND(LEN(CH2075)=9,ISERROR(FIND("-",LEFT(CH2075,8))),ISNUMBER(-LEFT(CH2075,8))),VALUE(LEFT(CH2075,4)),VALUE(LEFT(CH2075,FIND("-",CH2075)-1)))&lt;100,IF(AND(LEN(CH2075)=9,ISERROR(FIND("-",LEFT(CH2075,8))),ISNUMBER(-LEFT(CH2075,8))),VALUE(LEFT(CH2075,4)),VALUE(LEFT(CH2075,FIND("-",CH2075)-1)))+2000,IF(AND(LEN(CH2075)=9,ISERROR(FIND("-",LEFT(CH2075,8))),ISNUMBER(-LEFT(CH2075,8))),VALUE(LEFT(CH2075,4)),VALUE(LEFT(CH2075,FIND("-",CH2075)-1)))),""))</f>
        <v/>
      </c>
      <c r="CN2075">
        <f>IF(CH2075="","",IFERROR(IF(AND(LEN(CH2075)=9,ISERROR(FIND("-",LEFT(CH2075,8))),ISNUMBER(-LEFT(CH2075,8))),VALUE(MID(CH2075,5,2)),VALUE(MID(CH2075,FIND("-",CH2075)+1,FIND("-",CH2075,FIND("-",CH2075)+1)-FIND("-",CH2075)-1))),""))</f>
        <v/>
      </c>
      <c r="CO2075">
        <f>IF(CH2075="","",IFERROR(IF(AND(LEN(CH2075)=9,ISERROR(FIND("-",LEFT(CH2075,8))),ISNUMBER(-LEFT(CH2075,8))),VALUE(MID(CH2075,7,2)),VALUE(MID(CH2075,FIND("-",CH2075,FIND("-",CH2075)+1)+1,FIND("-",CH2075,FIND("-",CH2075,FIND("-",CH2075)+1)+1)-FIND("-",CH2075,FIND("-",CH2075)+1)-1))),""))</f>
        <v/>
      </c>
    </row>
    <row r="2076">
      <c r="CH2076">
        <f>IF(ISTEXT('월 가계부'!A2076),SUBSTITUTE(SUBSTITUTE(SUBSTITUTE(SUBSTITUTE(SUBSTITUTE(SUBSTITUTE(SUBSTITUTE(SUBSTITUTE(SUBSTITUTE(TRIM('월 가계부'!A2076),"년","-"),"월","-"),"일",""),".","-"),"/","-")," ","-"),"--","-"),"--","-"),"--","-")&amp;"-","")</f>
        <v/>
      </c>
      <c r="CI2076">
        <f>IFERROR(IF('월 가계부'!A2076="","",IF(ISNUMBER('월 가계부'!A2076),IF(AND('월 가계부'!A2076&gt;=19000101,'월 가계부'!A2076&lt;=21001231),IF(AND(MOD(INT('월 가계부'!A2076/100),100)&gt;=1,MOD(INT('월 가계부'!A2076/100),100)&lt;=12,MOD(INT('월 가계부'!A2076),100)&gt;=1,MOD(INT('월 가계부'!A2076),100)&lt;=31),IF(MONTH(DATE(INT('월 가계부'!A2076/10000),MOD(INT('월 가계부'!A2076/100),100),MOD(INT('월 가계부'!A2076),100)))=MOD(INT('월 가계부'!A2076/100),100),DATE(INT('월 가계부'!A2076/10000),MOD(INT('월 가계부'!A2076/100),100),MOD(INT('월 가계부'!A2076),100)),""),""),IF(AND('월 가계부'!A2076&gt;=36526,'월 가계부'!A2076&lt;73051),INT('월 가계부'!A2076),"")),IF(OR(CM2076="",CN2076="",CO2076=""),"",IF(AND(CM2076&gt;=2000,CM2076&lt;=2099,CN2076&gt;=1,CN2076&lt;=12,CO2076&gt;=1,CO2076&lt;=31),IF(MONTH(DATE(CM2076,CN2076,CO2076))=CN2076,DATE(CM2076,CN2076,CO2076),""),"")))),"")</f>
        <v/>
      </c>
      <c r="CJ2076">
        <f>IFERROR(IF('월 가계부'!C2076="","",IF(ISNUMBER('월 가계부'!C2076),'월 가계부'!C2076,VALUE(SUBSTITUTE(SUBSTITUTE(SUBSTITUTE(SUBSTITUTE(TRIM('월 가계부'!C2076),",",""),"원","")," ",""),"−","-")))),"")</f>
        <v/>
      </c>
      <c r="CK2076">
        <f>IF(ISNUMBER(CI2076),IF(CI2076&lt;$B$13,CI2076,""),"")</f>
        <v/>
      </c>
      <c r="CM2076">
        <f>IF(CH2076="","",IFERROR(IF(IF(AND(LEN(CH2076)=9,ISERROR(FIND("-",LEFT(CH2076,8))),ISNUMBER(-LEFT(CH2076,8))),VALUE(LEFT(CH2076,4)),VALUE(LEFT(CH2076,FIND("-",CH2076)-1)))&lt;100,IF(AND(LEN(CH2076)=9,ISERROR(FIND("-",LEFT(CH2076,8))),ISNUMBER(-LEFT(CH2076,8))),VALUE(LEFT(CH2076,4)),VALUE(LEFT(CH2076,FIND("-",CH2076)-1)))+2000,IF(AND(LEN(CH2076)=9,ISERROR(FIND("-",LEFT(CH2076,8))),ISNUMBER(-LEFT(CH2076,8))),VALUE(LEFT(CH2076,4)),VALUE(LEFT(CH2076,FIND("-",CH2076)-1)))),""))</f>
        <v/>
      </c>
      <c r="CN2076">
        <f>IF(CH2076="","",IFERROR(IF(AND(LEN(CH2076)=9,ISERROR(FIND("-",LEFT(CH2076,8))),ISNUMBER(-LEFT(CH2076,8))),VALUE(MID(CH2076,5,2)),VALUE(MID(CH2076,FIND("-",CH2076)+1,FIND("-",CH2076,FIND("-",CH2076)+1)-FIND("-",CH2076)-1))),""))</f>
        <v/>
      </c>
      <c r="CO2076">
        <f>IF(CH2076="","",IFERROR(IF(AND(LEN(CH2076)=9,ISERROR(FIND("-",LEFT(CH2076,8))),ISNUMBER(-LEFT(CH2076,8))),VALUE(MID(CH2076,7,2)),VALUE(MID(CH2076,FIND("-",CH2076,FIND("-",CH2076)+1)+1,FIND("-",CH2076,FIND("-",CH2076,FIND("-",CH2076)+1)+1)-FIND("-",CH2076,FIND("-",CH2076)+1)-1))),""))</f>
        <v/>
      </c>
    </row>
    <row r="2077">
      <c r="CH2077">
        <f>IF(ISTEXT('월 가계부'!A2077),SUBSTITUTE(SUBSTITUTE(SUBSTITUTE(SUBSTITUTE(SUBSTITUTE(SUBSTITUTE(SUBSTITUTE(SUBSTITUTE(SUBSTITUTE(TRIM('월 가계부'!A2077),"년","-"),"월","-"),"일",""),".","-"),"/","-")," ","-"),"--","-"),"--","-"),"--","-")&amp;"-","")</f>
        <v/>
      </c>
      <c r="CI2077">
        <f>IFERROR(IF('월 가계부'!A2077="","",IF(ISNUMBER('월 가계부'!A2077),IF(AND('월 가계부'!A2077&gt;=19000101,'월 가계부'!A2077&lt;=21001231),IF(AND(MOD(INT('월 가계부'!A2077/100),100)&gt;=1,MOD(INT('월 가계부'!A2077/100),100)&lt;=12,MOD(INT('월 가계부'!A2077),100)&gt;=1,MOD(INT('월 가계부'!A2077),100)&lt;=31),IF(MONTH(DATE(INT('월 가계부'!A2077/10000),MOD(INT('월 가계부'!A2077/100),100),MOD(INT('월 가계부'!A2077),100)))=MOD(INT('월 가계부'!A2077/100),100),DATE(INT('월 가계부'!A2077/10000),MOD(INT('월 가계부'!A2077/100),100),MOD(INT('월 가계부'!A2077),100)),""),""),IF(AND('월 가계부'!A2077&gt;=36526,'월 가계부'!A2077&lt;73051),INT('월 가계부'!A2077),"")),IF(OR(CM2077="",CN2077="",CO2077=""),"",IF(AND(CM2077&gt;=2000,CM2077&lt;=2099,CN2077&gt;=1,CN2077&lt;=12,CO2077&gt;=1,CO2077&lt;=31),IF(MONTH(DATE(CM2077,CN2077,CO2077))=CN2077,DATE(CM2077,CN2077,CO2077),""),"")))),"")</f>
        <v/>
      </c>
      <c r="CJ2077">
        <f>IFERROR(IF('월 가계부'!C2077="","",IF(ISNUMBER('월 가계부'!C2077),'월 가계부'!C2077,VALUE(SUBSTITUTE(SUBSTITUTE(SUBSTITUTE(SUBSTITUTE(TRIM('월 가계부'!C2077),",",""),"원","")," ",""),"−","-")))),"")</f>
        <v/>
      </c>
      <c r="CK2077">
        <f>IF(ISNUMBER(CI2077),IF(CI2077&lt;$B$13,CI2077,""),"")</f>
        <v/>
      </c>
      <c r="CM2077">
        <f>IF(CH2077="","",IFERROR(IF(IF(AND(LEN(CH2077)=9,ISERROR(FIND("-",LEFT(CH2077,8))),ISNUMBER(-LEFT(CH2077,8))),VALUE(LEFT(CH2077,4)),VALUE(LEFT(CH2077,FIND("-",CH2077)-1)))&lt;100,IF(AND(LEN(CH2077)=9,ISERROR(FIND("-",LEFT(CH2077,8))),ISNUMBER(-LEFT(CH2077,8))),VALUE(LEFT(CH2077,4)),VALUE(LEFT(CH2077,FIND("-",CH2077)-1)))+2000,IF(AND(LEN(CH2077)=9,ISERROR(FIND("-",LEFT(CH2077,8))),ISNUMBER(-LEFT(CH2077,8))),VALUE(LEFT(CH2077,4)),VALUE(LEFT(CH2077,FIND("-",CH2077)-1)))),""))</f>
        <v/>
      </c>
      <c r="CN2077">
        <f>IF(CH2077="","",IFERROR(IF(AND(LEN(CH2077)=9,ISERROR(FIND("-",LEFT(CH2077,8))),ISNUMBER(-LEFT(CH2077,8))),VALUE(MID(CH2077,5,2)),VALUE(MID(CH2077,FIND("-",CH2077)+1,FIND("-",CH2077,FIND("-",CH2077)+1)-FIND("-",CH2077)-1))),""))</f>
        <v/>
      </c>
      <c r="CO2077">
        <f>IF(CH2077="","",IFERROR(IF(AND(LEN(CH2077)=9,ISERROR(FIND("-",LEFT(CH2077,8))),ISNUMBER(-LEFT(CH2077,8))),VALUE(MID(CH2077,7,2)),VALUE(MID(CH2077,FIND("-",CH2077,FIND("-",CH2077)+1)+1,FIND("-",CH2077,FIND("-",CH2077,FIND("-",CH2077)+1)+1)-FIND("-",CH2077,FIND("-",CH2077)+1)-1))),""))</f>
        <v/>
      </c>
    </row>
    <row r="2078">
      <c r="CH2078">
        <f>IF(ISTEXT('월 가계부'!A2078),SUBSTITUTE(SUBSTITUTE(SUBSTITUTE(SUBSTITUTE(SUBSTITUTE(SUBSTITUTE(SUBSTITUTE(SUBSTITUTE(SUBSTITUTE(TRIM('월 가계부'!A2078),"년","-"),"월","-"),"일",""),".","-"),"/","-")," ","-"),"--","-"),"--","-"),"--","-")&amp;"-","")</f>
        <v/>
      </c>
      <c r="CI2078">
        <f>IFERROR(IF('월 가계부'!A2078="","",IF(ISNUMBER('월 가계부'!A2078),IF(AND('월 가계부'!A2078&gt;=19000101,'월 가계부'!A2078&lt;=21001231),IF(AND(MOD(INT('월 가계부'!A2078/100),100)&gt;=1,MOD(INT('월 가계부'!A2078/100),100)&lt;=12,MOD(INT('월 가계부'!A2078),100)&gt;=1,MOD(INT('월 가계부'!A2078),100)&lt;=31),IF(MONTH(DATE(INT('월 가계부'!A2078/10000),MOD(INT('월 가계부'!A2078/100),100),MOD(INT('월 가계부'!A2078),100)))=MOD(INT('월 가계부'!A2078/100),100),DATE(INT('월 가계부'!A2078/10000),MOD(INT('월 가계부'!A2078/100),100),MOD(INT('월 가계부'!A2078),100)),""),""),IF(AND('월 가계부'!A2078&gt;=36526,'월 가계부'!A2078&lt;73051),INT('월 가계부'!A2078),"")),IF(OR(CM2078="",CN2078="",CO2078=""),"",IF(AND(CM2078&gt;=2000,CM2078&lt;=2099,CN2078&gt;=1,CN2078&lt;=12,CO2078&gt;=1,CO2078&lt;=31),IF(MONTH(DATE(CM2078,CN2078,CO2078))=CN2078,DATE(CM2078,CN2078,CO2078),""),"")))),"")</f>
        <v/>
      </c>
      <c r="CJ2078">
        <f>IFERROR(IF('월 가계부'!C2078="","",IF(ISNUMBER('월 가계부'!C2078),'월 가계부'!C2078,VALUE(SUBSTITUTE(SUBSTITUTE(SUBSTITUTE(SUBSTITUTE(TRIM('월 가계부'!C2078),",",""),"원","")," ",""),"−","-")))),"")</f>
        <v/>
      </c>
      <c r="CK2078">
        <f>IF(ISNUMBER(CI2078),IF(CI2078&lt;$B$13,CI2078,""),"")</f>
        <v/>
      </c>
      <c r="CM2078">
        <f>IF(CH2078="","",IFERROR(IF(IF(AND(LEN(CH2078)=9,ISERROR(FIND("-",LEFT(CH2078,8))),ISNUMBER(-LEFT(CH2078,8))),VALUE(LEFT(CH2078,4)),VALUE(LEFT(CH2078,FIND("-",CH2078)-1)))&lt;100,IF(AND(LEN(CH2078)=9,ISERROR(FIND("-",LEFT(CH2078,8))),ISNUMBER(-LEFT(CH2078,8))),VALUE(LEFT(CH2078,4)),VALUE(LEFT(CH2078,FIND("-",CH2078)-1)))+2000,IF(AND(LEN(CH2078)=9,ISERROR(FIND("-",LEFT(CH2078,8))),ISNUMBER(-LEFT(CH2078,8))),VALUE(LEFT(CH2078,4)),VALUE(LEFT(CH2078,FIND("-",CH2078)-1)))),""))</f>
        <v/>
      </c>
      <c r="CN2078">
        <f>IF(CH2078="","",IFERROR(IF(AND(LEN(CH2078)=9,ISERROR(FIND("-",LEFT(CH2078,8))),ISNUMBER(-LEFT(CH2078,8))),VALUE(MID(CH2078,5,2)),VALUE(MID(CH2078,FIND("-",CH2078)+1,FIND("-",CH2078,FIND("-",CH2078)+1)-FIND("-",CH2078)-1))),""))</f>
        <v/>
      </c>
      <c r="CO2078">
        <f>IF(CH2078="","",IFERROR(IF(AND(LEN(CH2078)=9,ISERROR(FIND("-",LEFT(CH2078,8))),ISNUMBER(-LEFT(CH2078,8))),VALUE(MID(CH2078,7,2)),VALUE(MID(CH2078,FIND("-",CH2078,FIND("-",CH2078)+1)+1,FIND("-",CH2078,FIND("-",CH2078,FIND("-",CH2078)+1)+1)-FIND("-",CH2078,FIND("-",CH2078)+1)-1))),""))</f>
        <v/>
      </c>
    </row>
    <row r="2079">
      <c r="CH2079">
        <f>IF(ISTEXT('월 가계부'!A2079),SUBSTITUTE(SUBSTITUTE(SUBSTITUTE(SUBSTITUTE(SUBSTITUTE(SUBSTITUTE(SUBSTITUTE(SUBSTITUTE(SUBSTITUTE(TRIM('월 가계부'!A2079),"년","-"),"월","-"),"일",""),".","-"),"/","-")," ","-"),"--","-"),"--","-"),"--","-")&amp;"-","")</f>
        <v/>
      </c>
      <c r="CI2079">
        <f>IFERROR(IF('월 가계부'!A2079="","",IF(ISNUMBER('월 가계부'!A2079),IF(AND('월 가계부'!A2079&gt;=19000101,'월 가계부'!A2079&lt;=21001231),IF(AND(MOD(INT('월 가계부'!A2079/100),100)&gt;=1,MOD(INT('월 가계부'!A2079/100),100)&lt;=12,MOD(INT('월 가계부'!A2079),100)&gt;=1,MOD(INT('월 가계부'!A2079),100)&lt;=31),IF(MONTH(DATE(INT('월 가계부'!A2079/10000),MOD(INT('월 가계부'!A2079/100),100),MOD(INT('월 가계부'!A2079),100)))=MOD(INT('월 가계부'!A2079/100),100),DATE(INT('월 가계부'!A2079/10000),MOD(INT('월 가계부'!A2079/100),100),MOD(INT('월 가계부'!A2079),100)),""),""),IF(AND('월 가계부'!A2079&gt;=36526,'월 가계부'!A2079&lt;73051),INT('월 가계부'!A2079),"")),IF(OR(CM2079="",CN2079="",CO2079=""),"",IF(AND(CM2079&gt;=2000,CM2079&lt;=2099,CN2079&gt;=1,CN2079&lt;=12,CO2079&gt;=1,CO2079&lt;=31),IF(MONTH(DATE(CM2079,CN2079,CO2079))=CN2079,DATE(CM2079,CN2079,CO2079),""),"")))),"")</f>
        <v/>
      </c>
      <c r="CJ2079">
        <f>IFERROR(IF('월 가계부'!C2079="","",IF(ISNUMBER('월 가계부'!C2079),'월 가계부'!C2079,VALUE(SUBSTITUTE(SUBSTITUTE(SUBSTITUTE(SUBSTITUTE(TRIM('월 가계부'!C2079),",",""),"원","")," ",""),"−","-")))),"")</f>
        <v/>
      </c>
      <c r="CK2079">
        <f>IF(ISNUMBER(CI2079),IF(CI2079&lt;$B$13,CI2079,""),"")</f>
        <v/>
      </c>
      <c r="CM2079">
        <f>IF(CH2079="","",IFERROR(IF(IF(AND(LEN(CH2079)=9,ISERROR(FIND("-",LEFT(CH2079,8))),ISNUMBER(-LEFT(CH2079,8))),VALUE(LEFT(CH2079,4)),VALUE(LEFT(CH2079,FIND("-",CH2079)-1)))&lt;100,IF(AND(LEN(CH2079)=9,ISERROR(FIND("-",LEFT(CH2079,8))),ISNUMBER(-LEFT(CH2079,8))),VALUE(LEFT(CH2079,4)),VALUE(LEFT(CH2079,FIND("-",CH2079)-1)))+2000,IF(AND(LEN(CH2079)=9,ISERROR(FIND("-",LEFT(CH2079,8))),ISNUMBER(-LEFT(CH2079,8))),VALUE(LEFT(CH2079,4)),VALUE(LEFT(CH2079,FIND("-",CH2079)-1)))),""))</f>
        <v/>
      </c>
      <c r="CN2079">
        <f>IF(CH2079="","",IFERROR(IF(AND(LEN(CH2079)=9,ISERROR(FIND("-",LEFT(CH2079,8))),ISNUMBER(-LEFT(CH2079,8))),VALUE(MID(CH2079,5,2)),VALUE(MID(CH2079,FIND("-",CH2079)+1,FIND("-",CH2079,FIND("-",CH2079)+1)-FIND("-",CH2079)-1))),""))</f>
        <v/>
      </c>
      <c r="CO2079">
        <f>IF(CH2079="","",IFERROR(IF(AND(LEN(CH2079)=9,ISERROR(FIND("-",LEFT(CH2079,8))),ISNUMBER(-LEFT(CH2079,8))),VALUE(MID(CH2079,7,2)),VALUE(MID(CH2079,FIND("-",CH2079,FIND("-",CH2079)+1)+1,FIND("-",CH2079,FIND("-",CH2079,FIND("-",CH2079)+1)+1)-FIND("-",CH2079,FIND("-",CH2079)+1)-1))),""))</f>
        <v/>
      </c>
    </row>
    <row r="2080">
      <c r="CH2080">
        <f>IF(ISTEXT('월 가계부'!A2080),SUBSTITUTE(SUBSTITUTE(SUBSTITUTE(SUBSTITUTE(SUBSTITUTE(SUBSTITUTE(SUBSTITUTE(SUBSTITUTE(SUBSTITUTE(TRIM('월 가계부'!A2080),"년","-"),"월","-"),"일",""),".","-"),"/","-")," ","-"),"--","-"),"--","-"),"--","-")&amp;"-","")</f>
        <v/>
      </c>
      <c r="CI2080">
        <f>IFERROR(IF('월 가계부'!A2080="","",IF(ISNUMBER('월 가계부'!A2080),IF(AND('월 가계부'!A2080&gt;=19000101,'월 가계부'!A2080&lt;=21001231),IF(AND(MOD(INT('월 가계부'!A2080/100),100)&gt;=1,MOD(INT('월 가계부'!A2080/100),100)&lt;=12,MOD(INT('월 가계부'!A2080),100)&gt;=1,MOD(INT('월 가계부'!A2080),100)&lt;=31),IF(MONTH(DATE(INT('월 가계부'!A2080/10000),MOD(INT('월 가계부'!A2080/100),100),MOD(INT('월 가계부'!A2080),100)))=MOD(INT('월 가계부'!A2080/100),100),DATE(INT('월 가계부'!A2080/10000),MOD(INT('월 가계부'!A2080/100),100),MOD(INT('월 가계부'!A2080),100)),""),""),IF(AND('월 가계부'!A2080&gt;=36526,'월 가계부'!A2080&lt;73051),INT('월 가계부'!A2080),"")),IF(OR(CM2080="",CN2080="",CO2080=""),"",IF(AND(CM2080&gt;=2000,CM2080&lt;=2099,CN2080&gt;=1,CN2080&lt;=12,CO2080&gt;=1,CO2080&lt;=31),IF(MONTH(DATE(CM2080,CN2080,CO2080))=CN2080,DATE(CM2080,CN2080,CO2080),""),"")))),"")</f>
        <v/>
      </c>
      <c r="CJ2080">
        <f>IFERROR(IF('월 가계부'!C2080="","",IF(ISNUMBER('월 가계부'!C2080),'월 가계부'!C2080,VALUE(SUBSTITUTE(SUBSTITUTE(SUBSTITUTE(SUBSTITUTE(TRIM('월 가계부'!C2080),",",""),"원","")," ",""),"−","-")))),"")</f>
        <v/>
      </c>
      <c r="CK2080">
        <f>IF(ISNUMBER(CI2080),IF(CI2080&lt;$B$13,CI2080,""),"")</f>
        <v/>
      </c>
      <c r="CM2080">
        <f>IF(CH2080="","",IFERROR(IF(IF(AND(LEN(CH2080)=9,ISERROR(FIND("-",LEFT(CH2080,8))),ISNUMBER(-LEFT(CH2080,8))),VALUE(LEFT(CH2080,4)),VALUE(LEFT(CH2080,FIND("-",CH2080)-1)))&lt;100,IF(AND(LEN(CH2080)=9,ISERROR(FIND("-",LEFT(CH2080,8))),ISNUMBER(-LEFT(CH2080,8))),VALUE(LEFT(CH2080,4)),VALUE(LEFT(CH2080,FIND("-",CH2080)-1)))+2000,IF(AND(LEN(CH2080)=9,ISERROR(FIND("-",LEFT(CH2080,8))),ISNUMBER(-LEFT(CH2080,8))),VALUE(LEFT(CH2080,4)),VALUE(LEFT(CH2080,FIND("-",CH2080)-1)))),""))</f>
        <v/>
      </c>
      <c r="CN2080">
        <f>IF(CH2080="","",IFERROR(IF(AND(LEN(CH2080)=9,ISERROR(FIND("-",LEFT(CH2080,8))),ISNUMBER(-LEFT(CH2080,8))),VALUE(MID(CH2080,5,2)),VALUE(MID(CH2080,FIND("-",CH2080)+1,FIND("-",CH2080,FIND("-",CH2080)+1)-FIND("-",CH2080)-1))),""))</f>
        <v/>
      </c>
      <c r="CO2080">
        <f>IF(CH2080="","",IFERROR(IF(AND(LEN(CH2080)=9,ISERROR(FIND("-",LEFT(CH2080,8))),ISNUMBER(-LEFT(CH2080,8))),VALUE(MID(CH2080,7,2)),VALUE(MID(CH2080,FIND("-",CH2080,FIND("-",CH2080)+1)+1,FIND("-",CH2080,FIND("-",CH2080,FIND("-",CH2080)+1)+1)-FIND("-",CH2080,FIND("-",CH2080)+1)-1))),""))</f>
        <v/>
      </c>
    </row>
    <row r="2081">
      <c r="CH2081">
        <f>IF(ISTEXT('월 가계부'!A2081),SUBSTITUTE(SUBSTITUTE(SUBSTITUTE(SUBSTITUTE(SUBSTITUTE(SUBSTITUTE(SUBSTITUTE(SUBSTITUTE(SUBSTITUTE(TRIM('월 가계부'!A2081),"년","-"),"월","-"),"일",""),".","-"),"/","-")," ","-"),"--","-"),"--","-"),"--","-")&amp;"-","")</f>
        <v/>
      </c>
      <c r="CI2081">
        <f>IFERROR(IF('월 가계부'!A2081="","",IF(ISNUMBER('월 가계부'!A2081),IF(AND('월 가계부'!A2081&gt;=19000101,'월 가계부'!A2081&lt;=21001231),IF(AND(MOD(INT('월 가계부'!A2081/100),100)&gt;=1,MOD(INT('월 가계부'!A2081/100),100)&lt;=12,MOD(INT('월 가계부'!A2081),100)&gt;=1,MOD(INT('월 가계부'!A2081),100)&lt;=31),IF(MONTH(DATE(INT('월 가계부'!A2081/10000),MOD(INT('월 가계부'!A2081/100),100),MOD(INT('월 가계부'!A2081),100)))=MOD(INT('월 가계부'!A2081/100),100),DATE(INT('월 가계부'!A2081/10000),MOD(INT('월 가계부'!A2081/100),100),MOD(INT('월 가계부'!A2081),100)),""),""),IF(AND('월 가계부'!A2081&gt;=36526,'월 가계부'!A2081&lt;73051),INT('월 가계부'!A2081),"")),IF(OR(CM2081="",CN2081="",CO2081=""),"",IF(AND(CM2081&gt;=2000,CM2081&lt;=2099,CN2081&gt;=1,CN2081&lt;=12,CO2081&gt;=1,CO2081&lt;=31),IF(MONTH(DATE(CM2081,CN2081,CO2081))=CN2081,DATE(CM2081,CN2081,CO2081),""),"")))),"")</f>
        <v/>
      </c>
      <c r="CJ2081">
        <f>IFERROR(IF('월 가계부'!C2081="","",IF(ISNUMBER('월 가계부'!C2081),'월 가계부'!C2081,VALUE(SUBSTITUTE(SUBSTITUTE(SUBSTITUTE(SUBSTITUTE(TRIM('월 가계부'!C2081),",",""),"원","")," ",""),"−","-")))),"")</f>
        <v/>
      </c>
      <c r="CK2081">
        <f>IF(ISNUMBER(CI2081),IF(CI2081&lt;$B$13,CI2081,""),"")</f>
        <v/>
      </c>
      <c r="CM2081">
        <f>IF(CH2081="","",IFERROR(IF(IF(AND(LEN(CH2081)=9,ISERROR(FIND("-",LEFT(CH2081,8))),ISNUMBER(-LEFT(CH2081,8))),VALUE(LEFT(CH2081,4)),VALUE(LEFT(CH2081,FIND("-",CH2081)-1)))&lt;100,IF(AND(LEN(CH2081)=9,ISERROR(FIND("-",LEFT(CH2081,8))),ISNUMBER(-LEFT(CH2081,8))),VALUE(LEFT(CH2081,4)),VALUE(LEFT(CH2081,FIND("-",CH2081)-1)))+2000,IF(AND(LEN(CH2081)=9,ISERROR(FIND("-",LEFT(CH2081,8))),ISNUMBER(-LEFT(CH2081,8))),VALUE(LEFT(CH2081,4)),VALUE(LEFT(CH2081,FIND("-",CH2081)-1)))),""))</f>
        <v/>
      </c>
      <c r="CN2081">
        <f>IF(CH2081="","",IFERROR(IF(AND(LEN(CH2081)=9,ISERROR(FIND("-",LEFT(CH2081,8))),ISNUMBER(-LEFT(CH2081,8))),VALUE(MID(CH2081,5,2)),VALUE(MID(CH2081,FIND("-",CH2081)+1,FIND("-",CH2081,FIND("-",CH2081)+1)-FIND("-",CH2081)-1))),""))</f>
        <v/>
      </c>
      <c r="CO2081">
        <f>IF(CH2081="","",IFERROR(IF(AND(LEN(CH2081)=9,ISERROR(FIND("-",LEFT(CH2081,8))),ISNUMBER(-LEFT(CH2081,8))),VALUE(MID(CH2081,7,2)),VALUE(MID(CH2081,FIND("-",CH2081,FIND("-",CH2081)+1)+1,FIND("-",CH2081,FIND("-",CH2081,FIND("-",CH2081)+1)+1)-FIND("-",CH2081,FIND("-",CH2081)+1)-1))),""))</f>
        <v/>
      </c>
    </row>
    <row r="2082">
      <c r="CH2082">
        <f>IF(ISTEXT('월 가계부'!A2082),SUBSTITUTE(SUBSTITUTE(SUBSTITUTE(SUBSTITUTE(SUBSTITUTE(SUBSTITUTE(SUBSTITUTE(SUBSTITUTE(SUBSTITUTE(TRIM('월 가계부'!A2082),"년","-"),"월","-"),"일",""),".","-"),"/","-")," ","-"),"--","-"),"--","-"),"--","-")&amp;"-","")</f>
        <v/>
      </c>
      <c r="CI2082">
        <f>IFERROR(IF('월 가계부'!A2082="","",IF(ISNUMBER('월 가계부'!A2082),IF(AND('월 가계부'!A2082&gt;=19000101,'월 가계부'!A2082&lt;=21001231),IF(AND(MOD(INT('월 가계부'!A2082/100),100)&gt;=1,MOD(INT('월 가계부'!A2082/100),100)&lt;=12,MOD(INT('월 가계부'!A2082),100)&gt;=1,MOD(INT('월 가계부'!A2082),100)&lt;=31),IF(MONTH(DATE(INT('월 가계부'!A2082/10000),MOD(INT('월 가계부'!A2082/100),100),MOD(INT('월 가계부'!A2082),100)))=MOD(INT('월 가계부'!A2082/100),100),DATE(INT('월 가계부'!A2082/10000),MOD(INT('월 가계부'!A2082/100),100),MOD(INT('월 가계부'!A2082),100)),""),""),IF(AND('월 가계부'!A2082&gt;=36526,'월 가계부'!A2082&lt;73051),INT('월 가계부'!A2082),"")),IF(OR(CM2082="",CN2082="",CO2082=""),"",IF(AND(CM2082&gt;=2000,CM2082&lt;=2099,CN2082&gt;=1,CN2082&lt;=12,CO2082&gt;=1,CO2082&lt;=31),IF(MONTH(DATE(CM2082,CN2082,CO2082))=CN2082,DATE(CM2082,CN2082,CO2082),""),"")))),"")</f>
        <v/>
      </c>
      <c r="CJ2082">
        <f>IFERROR(IF('월 가계부'!C2082="","",IF(ISNUMBER('월 가계부'!C2082),'월 가계부'!C2082,VALUE(SUBSTITUTE(SUBSTITUTE(SUBSTITUTE(SUBSTITUTE(TRIM('월 가계부'!C2082),",",""),"원","")," ",""),"−","-")))),"")</f>
        <v/>
      </c>
      <c r="CK2082">
        <f>IF(ISNUMBER(CI2082),IF(CI2082&lt;$B$13,CI2082,""),"")</f>
        <v/>
      </c>
      <c r="CM2082">
        <f>IF(CH2082="","",IFERROR(IF(IF(AND(LEN(CH2082)=9,ISERROR(FIND("-",LEFT(CH2082,8))),ISNUMBER(-LEFT(CH2082,8))),VALUE(LEFT(CH2082,4)),VALUE(LEFT(CH2082,FIND("-",CH2082)-1)))&lt;100,IF(AND(LEN(CH2082)=9,ISERROR(FIND("-",LEFT(CH2082,8))),ISNUMBER(-LEFT(CH2082,8))),VALUE(LEFT(CH2082,4)),VALUE(LEFT(CH2082,FIND("-",CH2082)-1)))+2000,IF(AND(LEN(CH2082)=9,ISERROR(FIND("-",LEFT(CH2082,8))),ISNUMBER(-LEFT(CH2082,8))),VALUE(LEFT(CH2082,4)),VALUE(LEFT(CH2082,FIND("-",CH2082)-1)))),""))</f>
        <v/>
      </c>
      <c r="CN2082">
        <f>IF(CH2082="","",IFERROR(IF(AND(LEN(CH2082)=9,ISERROR(FIND("-",LEFT(CH2082,8))),ISNUMBER(-LEFT(CH2082,8))),VALUE(MID(CH2082,5,2)),VALUE(MID(CH2082,FIND("-",CH2082)+1,FIND("-",CH2082,FIND("-",CH2082)+1)-FIND("-",CH2082)-1))),""))</f>
        <v/>
      </c>
      <c r="CO2082">
        <f>IF(CH2082="","",IFERROR(IF(AND(LEN(CH2082)=9,ISERROR(FIND("-",LEFT(CH2082,8))),ISNUMBER(-LEFT(CH2082,8))),VALUE(MID(CH2082,7,2)),VALUE(MID(CH2082,FIND("-",CH2082,FIND("-",CH2082)+1)+1,FIND("-",CH2082,FIND("-",CH2082,FIND("-",CH2082)+1)+1)-FIND("-",CH2082,FIND("-",CH2082)+1)-1))),""))</f>
        <v/>
      </c>
    </row>
    <row r="2083">
      <c r="CH2083">
        <f>IF(ISTEXT('월 가계부'!A2083),SUBSTITUTE(SUBSTITUTE(SUBSTITUTE(SUBSTITUTE(SUBSTITUTE(SUBSTITUTE(SUBSTITUTE(SUBSTITUTE(SUBSTITUTE(TRIM('월 가계부'!A2083),"년","-"),"월","-"),"일",""),".","-"),"/","-")," ","-"),"--","-"),"--","-"),"--","-")&amp;"-","")</f>
        <v/>
      </c>
      <c r="CI2083">
        <f>IFERROR(IF('월 가계부'!A2083="","",IF(ISNUMBER('월 가계부'!A2083),IF(AND('월 가계부'!A2083&gt;=19000101,'월 가계부'!A2083&lt;=21001231),IF(AND(MOD(INT('월 가계부'!A2083/100),100)&gt;=1,MOD(INT('월 가계부'!A2083/100),100)&lt;=12,MOD(INT('월 가계부'!A2083),100)&gt;=1,MOD(INT('월 가계부'!A2083),100)&lt;=31),IF(MONTH(DATE(INT('월 가계부'!A2083/10000),MOD(INT('월 가계부'!A2083/100),100),MOD(INT('월 가계부'!A2083),100)))=MOD(INT('월 가계부'!A2083/100),100),DATE(INT('월 가계부'!A2083/10000),MOD(INT('월 가계부'!A2083/100),100),MOD(INT('월 가계부'!A2083),100)),""),""),IF(AND('월 가계부'!A2083&gt;=36526,'월 가계부'!A2083&lt;73051),INT('월 가계부'!A2083),"")),IF(OR(CM2083="",CN2083="",CO2083=""),"",IF(AND(CM2083&gt;=2000,CM2083&lt;=2099,CN2083&gt;=1,CN2083&lt;=12,CO2083&gt;=1,CO2083&lt;=31),IF(MONTH(DATE(CM2083,CN2083,CO2083))=CN2083,DATE(CM2083,CN2083,CO2083),""),"")))),"")</f>
        <v/>
      </c>
      <c r="CJ2083">
        <f>IFERROR(IF('월 가계부'!C2083="","",IF(ISNUMBER('월 가계부'!C2083),'월 가계부'!C2083,VALUE(SUBSTITUTE(SUBSTITUTE(SUBSTITUTE(SUBSTITUTE(TRIM('월 가계부'!C2083),",",""),"원","")," ",""),"−","-")))),"")</f>
        <v/>
      </c>
      <c r="CK2083">
        <f>IF(ISNUMBER(CI2083),IF(CI2083&lt;$B$13,CI2083,""),"")</f>
        <v/>
      </c>
      <c r="CM2083">
        <f>IF(CH2083="","",IFERROR(IF(IF(AND(LEN(CH2083)=9,ISERROR(FIND("-",LEFT(CH2083,8))),ISNUMBER(-LEFT(CH2083,8))),VALUE(LEFT(CH2083,4)),VALUE(LEFT(CH2083,FIND("-",CH2083)-1)))&lt;100,IF(AND(LEN(CH2083)=9,ISERROR(FIND("-",LEFT(CH2083,8))),ISNUMBER(-LEFT(CH2083,8))),VALUE(LEFT(CH2083,4)),VALUE(LEFT(CH2083,FIND("-",CH2083)-1)))+2000,IF(AND(LEN(CH2083)=9,ISERROR(FIND("-",LEFT(CH2083,8))),ISNUMBER(-LEFT(CH2083,8))),VALUE(LEFT(CH2083,4)),VALUE(LEFT(CH2083,FIND("-",CH2083)-1)))),""))</f>
        <v/>
      </c>
      <c r="CN2083">
        <f>IF(CH2083="","",IFERROR(IF(AND(LEN(CH2083)=9,ISERROR(FIND("-",LEFT(CH2083,8))),ISNUMBER(-LEFT(CH2083,8))),VALUE(MID(CH2083,5,2)),VALUE(MID(CH2083,FIND("-",CH2083)+1,FIND("-",CH2083,FIND("-",CH2083)+1)-FIND("-",CH2083)-1))),""))</f>
        <v/>
      </c>
      <c r="CO2083">
        <f>IF(CH2083="","",IFERROR(IF(AND(LEN(CH2083)=9,ISERROR(FIND("-",LEFT(CH2083,8))),ISNUMBER(-LEFT(CH2083,8))),VALUE(MID(CH2083,7,2)),VALUE(MID(CH2083,FIND("-",CH2083,FIND("-",CH2083)+1)+1,FIND("-",CH2083,FIND("-",CH2083,FIND("-",CH2083)+1)+1)-FIND("-",CH2083,FIND("-",CH2083)+1)-1))),""))</f>
        <v/>
      </c>
    </row>
    <row r="2084">
      <c r="CH2084">
        <f>IF(ISTEXT('월 가계부'!A2084),SUBSTITUTE(SUBSTITUTE(SUBSTITUTE(SUBSTITUTE(SUBSTITUTE(SUBSTITUTE(SUBSTITUTE(SUBSTITUTE(SUBSTITUTE(TRIM('월 가계부'!A2084),"년","-"),"월","-"),"일",""),".","-"),"/","-")," ","-"),"--","-"),"--","-"),"--","-")&amp;"-","")</f>
        <v/>
      </c>
      <c r="CI2084">
        <f>IFERROR(IF('월 가계부'!A2084="","",IF(ISNUMBER('월 가계부'!A2084),IF(AND('월 가계부'!A2084&gt;=19000101,'월 가계부'!A2084&lt;=21001231),IF(AND(MOD(INT('월 가계부'!A2084/100),100)&gt;=1,MOD(INT('월 가계부'!A2084/100),100)&lt;=12,MOD(INT('월 가계부'!A2084),100)&gt;=1,MOD(INT('월 가계부'!A2084),100)&lt;=31),IF(MONTH(DATE(INT('월 가계부'!A2084/10000),MOD(INT('월 가계부'!A2084/100),100),MOD(INT('월 가계부'!A2084),100)))=MOD(INT('월 가계부'!A2084/100),100),DATE(INT('월 가계부'!A2084/10000),MOD(INT('월 가계부'!A2084/100),100),MOD(INT('월 가계부'!A2084),100)),""),""),IF(AND('월 가계부'!A2084&gt;=36526,'월 가계부'!A2084&lt;73051),INT('월 가계부'!A2084),"")),IF(OR(CM2084="",CN2084="",CO2084=""),"",IF(AND(CM2084&gt;=2000,CM2084&lt;=2099,CN2084&gt;=1,CN2084&lt;=12,CO2084&gt;=1,CO2084&lt;=31),IF(MONTH(DATE(CM2084,CN2084,CO2084))=CN2084,DATE(CM2084,CN2084,CO2084),""),"")))),"")</f>
        <v/>
      </c>
      <c r="CJ2084">
        <f>IFERROR(IF('월 가계부'!C2084="","",IF(ISNUMBER('월 가계부'!C2084),'월 가계부'!C2084,VALUE(SUBSTITUTE(SUBSTITUTE(SUBSTITUTE(SUBSTITUTE(TRIM('월 가계부'!C2084),",",""),"원","")," ",""),"−","-")))),"")</f>
        <v/>
      </c>
      <c r="CK2084">
        <f>IF(ISNUMBER(CI2084),IF(CI2084&lt;$B$13,CI2084,""),"")</f>
        <v/>
      </c>
      <c r="CM2084">
        <f>IF(CH2084="","",IFERROR(IF(IF(AND(LEN(CH2084)=9,ISERROR(FIND("-",LEFT(CH2084,8))),ISNUMBER(-LEFT(CH2084,8))),VALUE(LEFT(CH2084,4)),VALUE(LEFT(CH2084,FIND("-",CH2084)-1)))&lt;100,IF(AND(LEN(CH2084)=9,ISERROR(FIND("-",LEFT(CH2084,8))),ISNUMBER(-LEFT(CH2084,8))),VALUE(LEFT(CH2084,4)),VALUE(LEFT(CH2084,FIND("-",CH2084)-1)))+2000,IF(AND(LEN(CH2084)=9,ISERROR(FIND("-",LEFT(CH2084,8))),ISNUMBER(-LEFT(CH2084,8))),VALUE(LEFT(CH2084,4)),VALUE(LEFT(CH2084,FIND("-",CH2084)-1)))),""))</f>
        <v/>
      </c>
      <c r="CN2084">
        <f>IF(CH2084="","",IFERROR(IF(AND(LEN(CH2084)=9,ISERROR(FIND("-",LEFT(CH2084,8))),ISNUMBER(-LEFT(CH2084,8))),VALUE(MID(CH2084,5,2)),VALUE(MID(CH2084,FIND("-",CH2084)+1,FIND("-",CH2084,FIND("-",CH2084)+1)-FIND("-",CH2084)-1))),""))</f>
        <v/>
      </c>
      <c r="CO2084">
        <f>IF(CH2084="","",IFERROR(IF(AND(LEN(CH2084)=9,ISERROR(FIND("-",LEFT(CH2084,8))),ISNUMBER(-LEFT(CH2084,8))),VALUE(MID(CH2084,7,2)),VALUE(MID(CH2084,FIND("-",CH2084,FIND("-",CH2084)+1)+1,FIND("-",CH2084,FIND("-",CH2084,FIND("-",CH2084)+1)+1)-FIND("-",CH2084,FIND("-",CH2084)+1)-1))),""))</f>
        <v/>
      </c>
    </row>
    <row r="2085">
      <c r="CH2085">
        <f>IF(ISTEXT('월 가계부'!A2085),SUBSTITUTE(SUBSTITUTE(SUBSTITUTE(SUBSTITUTE(SUBSTITUTE(SUBSTITUTE(SUBSTITUTE(SUBSTITUTE(SUBSTITUTE(TRIM('월 가계부'!A2085),"년","-"),"월","-"),"일",""),".","-"),"/","-")," ","-"),"--","-"),"--","-"),"--","-")&amp;"-","")</f>
        <v/>
      </c>
      <c r="CI2085">
        <f>IFERROR(IF('월 가계부'!A2085="","",IF(ISNUMBER('월 가계부'!A2085),IF(AND('월 가계부'!A2085&gt;=19000101,'월 가계부'!A2085&lt;=21001231),IF(AND(MOD(INT('월 가계부'!A2085/100),100)&gt;=1,MOD(INT('월 가계부'!A2085/100),100)&lt;=12,MOD(INT('월 가계부'!A2085),100)&gt;=1,MOD(INT('월 가계부'!A2085),100)&lt;=31),IF(MONTH(DATE(INT('월 가계부'!A2085/10000),MOD(INT('월 가계부'!A2085/100),100),MOD(INT('월 가계부'!A2085),100)))=MOD(INT('월 가계부'!A2085/100),100),DATE(INT('월 가계부'!A2085/10000),MOD(INT('월 가계부'!A2085/100),100),MOD(INT('월 가계부'!A2085),100)),""),""),IF(AND('월 가계부'!A2085&gt;=36526,'월 가계부'!A2085&lt;73051),INT('월 가계부'!A2085),"")),IF(OR(CM2085="",CN2085="",CO2085=""),"",IF(AND(CM2085&gt;=2000,CM2085&lt;=2099,CN2085&gt;=1,CN2085&lt;=12,CO2085&gt;=1,CO2085&lt;=31),IF(MONTH(DATE(CM2085,CN2085,CO2085))=CN2085,DATE(CM2085,CN2085,CO2085),""),"")))),"")</f>
        <v/>
      </c>
      <c r="CJ2085">
        <f>IFERROR(IF('월 가계부'!C2085="","",IF(ISNUMBER('월 가계부'!C2085),'월 가계부'!C2085,VALUE(SUBSTITUTE(SUBSTITUTE(SUBSTITUTE(SUBSTITUTE(TRIM('월 가계부'!C2085),",",""),"원","")," ",""),"−","-")))),"")</f>
        <v/>
      </c>
      <c r="CK2085">
        <f>IF(ISNUMBER(CI2085),IF(CI2085&lt;$B$13,CI2085,""),"")</f>
        <v/>
      </c>
      <c r="CM2085">
        <f>IF(CH2085="","",IFERROR(IF(IF(AND(LEN(CH2085)=9,ISERROR(FIND("-",LEFT(CH2085,8))),ISNUMBER(-LEFT(CH2085,8))),VALUE(LEFT(CH2085,4)),VALUE(LEFT(CH2085,FIND("-",CH2085)-1)))&lt;100,IF(AND(LEN(CH2085)=9,ISERROR(FIND("-",LEFT(CH2085,8))),ISNUMBER(-LEFT(CH2085,8))),VALUE(LEFT(CH2085,4)),VALUE(LEFT(CH2085,FIND("-",CH2085)-1)))+2000,IF(AND(LEN(CH2085)=9,ISERROR(FIND("-",LEFT(CH2085,8))),ISNUMBER(-LEFT(CH2085,8))),VALUE(LEFT(CH2085,4)),VALUE(LEFT(CH2085,FIND("-",CH2085)-1)))),""))</f>
        <v/>
      </c>
      <c r="CN2085">
        <f>IF(CH2085="","",IFERROR(IF(AND(LEN(CH2085)=9,ISERROR(FIND("-",LEFT(CH2085,8))),ISNUMBER(-LEFT(CH2085,8))),VALUE(MID(CH2085,5,2)),VALUE(MID(CH2085,FIND("-",CH2085)+1,FIND("-",CH2085,FIND("-",CH2085)+1)-FIND("-",CH2085)-1))),""))</f>
        <v/>
      </c>
      <c r="CO2085">
        <f>IF(CH2085="","",IFERROR(IF(AND(LEN(CH2085)=9,ISERROR(FIND("-",LEFT(CH2085,8))),ISNUMBER(-LEFT(CH2085,8))),VALUE(MID(CH2085,7,2)),VALUE(MID(CH2085,FIND("-",CH2085,FIND("-",CH2085)+1)+1,FIND("-",CH2085,FIND("-",CH2085,FIND("-",CH2085)+1)+1)-FIND("-",CH2085,FIND("-",CH2085)+1)-1))),""))</f>
        <v/>
      </c>
    </row>
    <row r="2086">
      <c r="CH2086">
        <f>IF(ISTEXT('월 가계부'!A2086),SUBSTITUTE(SUBSTITUTE(SUBSTITUTE(SUBSTITUTE(SUBSTITUTE(SUBSTITUTE(SUBSTITUTE(SUBSTITUTE(SUBSTITUTE(TRIM('월 가계부'!A2086),"년","-"),"월","-"),"일",""),".","-"),"/","-")," ","-"),"--","-"),"--","-"),"--","-")&amp;"-","")</f>
        <v/>
      </c>
      <c r="CI2086">
        <f>IFERROR(IF('월 가계부'!A2086="","",IF(ISNUMBER('월 가계부'!A2086),IF(AND('월 가계부'!A2086&gt;=19000101,'월 가계부'!A2086&lt;=21001231),IF(AND(MOD(INT('월 가계부'!A2086/100),100)&gt;=1,MOD(INT('월 가계부'!A2086/100),100)&lt;=12,MOD(INT('월 가계부'!A2086),100)&gt;=1,MOD(INT('월 가계부'!A2086),100)&lt;=31),IF(MONTH(DATE(INT('월 가계부'!A2086/10000),MOD(INT('월 가계부'!A2086/100),100),MOD(INT('월 가계부'!A2086),100)))=MOD(INT('월 가계부'!A2086/100),100),DATE(INT('월 가계부'!A2086/10000),MOD(INT('월 가계부'!A2086/100),100),MOD(INT('월 가계부'!A2086),100)),""),""),IF(AND('월 가계부'!A2086&gt;=36526,'월 가계부'!A2086&lt;73051),INT('월 가계부'!A2086),"")),IF(OR(CM2086="",CN2086="",CO2086=""),"",IF(AND(CM2086&gt;=2000,CM2086&lt;=2099,CN2086&gt;=1,CN2086&lt;=12,CO2086&gt;=1,CO2086&lt;=31),IF(MONTH(DATE(CM2086,CN2086,CO2086))=CN2086,DATE(CM2086,CN2086,CO2086),""),"")))),"")</f>
        <v/>
      </c>
      <c r="CJ2086">
        <f>IFERROR(IF('월 가계부'!C2086="","",IF(ISNUMBER('월 가계부'!C2086),'월 가계부'!C2086,VALUE(SUBSTITUTE(SUBSTITUTE(SUBSTITUTE(SUBSTITUTE(TRIM('월 가계부'!C2086),",",""),"원","")," ",""),"−","-")))),"")</f>
        <v/>
      </c>
      <c r="CK2086">
        <f>IF(ISNUMBER(CI2086),IF(CI2086&lt;$B$13,CI2086,""),"")</f>
        <v/>
      </c>
      <c r="CM2086">
        <f>IF(CH2086="","",IFERROR(IF(IF(AND(LEN(CH2086)=9,ISERROR(FIND("-",LEFT(CH2086,8))),ISNUMBER(-LEFT(CH2086,8))),VALUE(LEFT(CH2086,4)),VALUE(LEFT(CH2086,FIND("-",CH2086)-1)))&lt;100,IF(AND(LEN(CH2086)=9,ISERROR(FIND("-",LEFT(CH2086,8))),ISNUMBER(-LEFT(CH2086,8))),VALUE(LEFT(CH2086,4)),VALUE(LEFT(CH2086,FIND("-",CH2086)-1)))+2000,IF(AND(LEN(CH2086)=9,ISERROR(FIND("-",LEFT(CH2086,8))),ISNUMBER(-LEFT(CH2086,8))),VALUE(LEFT(CH2086,4)),VALUE(LEFT(CH2086,FIND("-",CH2086)-1)))),""))</f>
        <v/>
      </c>
      <c r="CN2086">
        <f>IF(CH2086="","",IFERROR(IF(AND(LEN(CH2086)=9,ISERROR(FIND("-",LEFT(CH2086,8))),ISNUMBER(-LEFT(CH2086,8))),VALUE(MID(CH2086,5,2)),VALUE(MID(CH2086,FIND("-",CH2086)+1,FIND("-",CH2086,FIND("-",CH2086)+1)-FIND("-",CH2086)-1))),""))</f>
        <v/>
      </c>
      <c r="CO2086">
        <f>IF(CH2086="","",IFERROR(IF(AND(LEN(CH2086)=9,ISERROR(FIND("-",LEFT(CH2086,8))),ISNUMBER(-LEFT(CH2086,8))),VALUE(MID(CH2086,7,2)),VALUE(MID(CH2086,FIND("-",CH2086,FIND("-",CH2086)+1)+1,FIND("-",CH2086,FIND("-",CH2086,FIND("-",CH2086)+1)+1)-FIND("-",CH2086,FIND("-",CH2086)+1)-1))),""))</f>
        <v/>
      </c>
    </row>
    <row r="2087">
      <c r="CH2087">
        <f>IF(ISTEXT('월 가계부'!A2087),SUBSTITUTE(SUBSTITUTE(SUBSTITUTE(SUBSTITUTE(SUBSTITUTE(SUBSTITUTE(SUBSTITUTE(SUBSTITUTE(SUBSTITUTE(TRIM('월 가계부'!A2087),"년","-"),"월","-"),"일",""),".","-"),"/","-")," ","-"),"--","-"),"--","-"),"--","-")&amp;"-","")</f>
        <v/>
      </c>
      <c r="CI2087">
        <f>IFERROR(IF('월 가계부'!A2087="","",IF(ISNUMBER('월 가계부'!A2087),IF(AND('월 가계부'!A2087&gt;=19000101,'월 가계부'!A2087&lt;=21001231),IF(AND(MOD(INT('월 가계부'!A2087/100),100)&gt;=1,MOD(INT('월 가계부'!A2087/100),100)&lt;=12,MOD(INT('월 가계부'!A2087),100)&gt;=1,MOD(INT('월 가계부'!A2087),100)&lt;=31),IF(MONTH(DATE(INT('월 가계부'!A2087/10000),MOD(INT('월 가계부'!A2087/100),100),MOD(INT('월 가계부'!A2087),100)))=MOD(INT('월 가계부'!A2087/100),100),DATE(INT('월 가계부'!A2087/10000),MOD(INT('월 가계부'!A2087/100),100),MOD(INT('월 가계부'!A2087),100)),""),""),IF(AND('월 가계부'!A2087&gt;=36526,'월 가계부'!A2087&lt;73051),INT('월 가계부'!A2087),"")),IF(OR(CM2087="",CN2087="",CO2087=""),"",IF(AND(CM2087&gt;=2000,CM2087&lt;=2099,CN2087&gt;=1,CN2087&lt;=12,CO2087&gt;=1,CO2087&lt;=31),IF(MONTH(DATE(CM2087,CN2087,CO2087))=CN2087,DATE(CM2087,CN2087,CO2087),""),"")))),"")</f>
        <v/>
      </c>
      <c r="CJ2087">
        <f>IFERROR(IF('월 가계부'!C2087="","",IF(ISNUMBER('월 가계부'!C2087),'월 가계부'!C2087,VALUE(SUBSTITUTE(SUBSTITUTE(SUBSTITUTE(SUBSTITUTE(TRIM('월 가계부'!C2087),",",""),"원","")," ",""),"−","-")))),"")</f>
        <v/>
      </c>
      <c r="CK2087">
        <f>IF(ISNUMBER(CI2087),IF(CI2087&lt;$B$13,CI2087,""),"")</f>
        <v/>
      </c>
      <c r="CM2087">
        <f>IF(CH2087="","",IFERROR(IF(IF(AND(LEN(CH2087)=9,ISERROR(FIND("-",LEFT(CH2087,8))),ISNUMBER(-LEFT(CH2087,8))),VALUE(LEFT(CH2087,4)),VALUE(LEFT(CH2087,FIND("-",CH2087)-1)))&lt;100,IF(AND(LEN(CH2087)=9,ISERROR(FIND("-",LEFT(CH2087,8))),ISNUMBER(-LEFT(CH2087,8))),VALUE(LEFT(CH2087,4)),VALUE(LEFT(CH2087,FIND("-",CH2087)-1)))+2000,IF(AND(LEN(CH2087)=9,ISERROR(FIND("-",LEFT(CH2087,8))),ISNUMBER(-LEFT(CH2087,8))),VALUE(LEFT(CH2087,4)),VALUE(LEFT(CH2087,FIND("-",CH2087)-1)))),""))</f>
        <v/>
      </c>
      <c r="CN2087">
        <f>IF(CH2087="","",IFERROR(IF(AND(LEN(CH2087)=9,ISERROR(FIND("-",LEFT(CH2087,8))),ISNUMBER(-LEFT(CH2087,8))),VALUE(MID(CH2087,5,2)),VALUE(MID(CH2087,FIND("-",CH2087)+1,FIND("-",CH2087,FIND("-",CH2087)+1)-FIND("-",CH2087)-1))),""))</f>
        <v/>
      </c>
      <c r="CO2087">
        <f>IF(CH2087="","",IFERROR(IF(AND(LEN(CH2087)=9,ISERROR(FIND("-",LEFT(CH2087,8))),ISNUMBER(-LEFT(CH2087,8))),VALUE(MID(CH2087,7,2)),VALUE(MID(CH2087,FIND("-",CH2087,FIND("-",CH2087)+1)+1,FIND("-",CH2087,FIND("-",CH2087,FIND("-",CH2087)+1)+1)-FIND("-",CH2087,FIND("-",CH2087)+1)-1))),""))</f>
        <v/>
      </c>
    </row>
    <row r="2088">
      <c r="CH2088">
        <f>IF(ISTEXT('월 가계부'!A2088),SUBSTITUTE(SUBSTITUTE(SUBSTITUTE(SUBSTITUTE(SUBSTITUTE(SUBSTITUTE(SUBSTITUTE(SUBSTITUTE(SUBSTITUTE(TRIM('월 가계부'!A2088),"년","-"),"월","-"),"일",""),".","-"),"/","-")," ","-"),"--","-"),"--","-"),"--","-")&amp;"-","")</f>
        <v/>
      </c>
      <c r="CI2088">
        <f>IFERROR(IF('월 가계부'!A2088="","",IF(ISNUMBER('월 가계부'!A2088),IF(AND('월 가계부'!A2088&gt;=19000101,'월 가계부'!A2088&lt;=21001231),IF(AND(MOD(INT('월 가계부'!A2088/100),100)&gt;=1,MOD(INT('월 가계부'!A2088/100),100)&lt;=12,MOD(INT('월 가계부'!A2088),100)&gt;=1,MOD(INT('월 가계부'!A2088),100)&lt;=31),IF(MONTH(DATE(INT('월 가계부'!A2088/10000),MOD(INT('월 가계부'!A2088/100),100),MOD(INT('월 가계부'!A2088),100)))=MOD(INT('월 가계부'!A2088/100),100),DATE(INT('월 가계부'!A2088/10000),MOD(INT('월 가계부'!A2088/100),100),MOD(INT('월 가계부'!A2088),100)),""),""),IF(AND('월 가계부'!A2088&gt;=36526,'월 가계부'!A2088&lt;73051),INT('월 가계부'!A2088),"")),IF(OR(CM2088="",CN2088="",CO2088=""),"",IF(AND(CM2088&gt;=2000,CM2088&lt;=2099,CN2088&gt;=1,CN2088&lt;=12,CO2088&gt;=1,CO2088&lt;=31),IF(MONTH(DATE(CM2088,CN2088,CO2088))=CN2088,DATE(CM2088,CN2088,CO2088),""),"")))),"")</f>
        <v/>
      </c>
      <c r="CJ2088">
        <f>IFERROR(IF('월 가계부'!C2088="","",IF(ISNUMBER('월 가계부'!C2088),'월 가계부'!C2088,VALUE(SUBSTITUTE(SUBSTITUTE(SUBSTITUTE(SUBSTITUTE(TRIM('월 가계부'!C2088),",",""),"원","")," ",""),"−","-")))),"")</f>
        <v/>
      </c>
      <c r="CK2088">
        <f>IF(ISNUMBER(CI2088),IF(CI2088&lt;$B$13,CI2088,""),"")</f>
        <v/>
      </c>
      <c r="CM2088">
        <f>IF(CH2088="","",IFERROR(IF(IF(AND(LEN(CH2088)=9,ISERROR(FIND("-",LEFT(CH2088,8))),ISNUMBER(-LEFT(CH2088,8))),VALUE(LEFT(CH2088,4)),VALUE(LEFT(CH2088,FIND("-",CH2088)-1)))&lt;100,IF(AND(LEN(CH2088)=9,ISERROR(FIND("-",LEFT(CH2088,8))),ISNUMBER(-LEFT(CH2088,8))),VALUE(LEFT(CH2088,4)),VALUE(LEFT(CH2088,FIND("-",CH2088)-1)))+2000,IF(AND(LEN(CH2088)=9,ISERROR(FIND("-",LEFT(CH2088,8))),ISNUMBER(-LEFT(CH2088,8))),VALUE(LEFT(CH2088,4)),VALUE(LEFT(CH2088,FIND("-",CH2088)-1)))),""))</f>
        <v/>
      </c>
      <c r="CN2088">
        <f>IF(CH2088="","",IFERROR(IF(AND(LEN(CH2088)=9,ISERROR(FIND("-",LEFT(CH2088,8))),ISNUMBER(-LEFT(CH2088,8))),VALUE(MID(CH2088,5,2)),VALUE(MID(CH2088,FIND("-",CH2088)+1,FIND("-",CH2088,FIND("-",CH2088)+1)-FIND("-",CH2088)-1))),""))</f>
        <v/>
      </c>
      <c r="CO2088">
        <f>IF(CH2088="","",IFERROR(IF(AND(LEN(CH2088)=9,ISERROR(FIND("-",LEFT(CH2088,8))),ISNUMBER(-LEFT(CH2088,8))),VALUE(MID(CH2088,7,2)),VALUE(MID(CH2088,FIND("-",CH2088,FIND("-",CH2088)+1)+1,FIND("-",CH2088,FIND("-",CH2088,FIND("-",CH2088)+1)+1)-FIND("-",CH2088,FIND("-",CH2088)+1)-1))),""))</f>
        <v/>
      </c>
    </row>
    <row r="2089">
      <c r="CH2089">
        <f>IF(ISTEXT('월 가계부'!A2089),SUBSTITUTE(SUBSTITUTE(SUBSTITUTE(SUBSTITUTE(SUBSTITUTE(SUBSTITUTE(SUBSTITUTE(SUBSTITUTE(SUBSTITUTE(TRIM('월 가계부'!A2089),"년","-"),"월","-"),"일",""),".","-"),"/","-")," ","-"),"--","-"),"--","-"),"--","-")&amp;"-","")</f>
        <v/>
      </c>
      <c r="CI2089">
        <f>IFERROR(IF('월 가계부'!A2089="","",IF(ISNUMBER('월 가계부'!A2089),IF(AND('월 가계부'!A2089&gt;=19000101,'월 가계부'!A2089&lt;=21001231),IF(AND(MOD(INT('월 가계부'!A2089/100),100)&gt;=1,MOD(INT('월 가계부'!A2089/100),100)&lt;=12,MOD(INT('월 가계부'!A2089),100)&gt;=1,MOD(INT('월 가계부'!A2089),100)&lt;=31),IF(MONTH(DATE(INT('월 가계부'!A2089/10000),MOD(INT('월 가계부'!A2089/100),100),MOD(INT('월 가계부'!A2089),100)))=MOD(INT('월 가계부'!A2089/100),100),DATE(INT('월 가계부'!A2089/10000),MOD(INT('월 가계부'!A2089/100),100),MOD(INT('월 가계부'!A2089),100)),""),""),IF(AND('월 가계부'!A2089&gt;=36526,'월 가계부'!A2089&lt;73051),INT('월 가계부'!A2089),"")),IF(OR(CM2089="",CN2089="",CO2089=""),"",IF(AND(CM2089&gt;=2000,CM2089&lt;=2099,CN2089&gt;=1,CN2089&lt;=12,CO2089&gt;=1,CO2089&lt;=31),IF(MONTH(DATE(CM2089,CN2089,CO2089))=CN2089,DATE(CM2089,CN2089,CO2089),""),"")))),"")</f>
        <v/>
      </c>
      <c r="CJ2089">
        <f>IFERROR(IF('월 가계부'!C2089="","",IF(ISNUMBER('월 가계부'!C2089),'월 가계부'!C2089,VALUE(SUBSTITUTE(SUBSTITUTE(SUBSTITUTE(SUBSTITUTE(TRIM('월 가계부'!C2089),",",""),"원","")," ",""),"−","-")))),"")</f>
        <v/>
      </c>
      <c r="CK2089">
        <f>IF(ISNUMBER(CI2089),IF(CI2089&lt;$B$13,CI2089,""),"")</f>
        <v/>
      </c>
      <c r="CM2089">
        <f>IF(CH2089="","",IFERROR(IF(IF(AND(LEN(CH2089)=9,ISERROR(FIND("-",LEFT(CH2089,8))),ISNUMBER(-LEFT(CH2089,8))),VALUE(LEFT(CH2089,4)),VALUE(LEFT(CH2089,FIND("-",CH2089)-1)))&lt;100,IF(AND(LEN(CH2089)=9,ISERROR(FIND("-",LEFT(CH2089,8))),ISNUMBER(-LEFT(CH2089,8))),VALUE(LEFT(CH2089,4)),VALUE(LEFT(CH2089,FIND("-",CH2089)-1)))+2000,IF(AND(LEN(CH2089)=9,ISERROR(FIND("-",LEFT(CH2089,8))),ISNUMBER(-LEFT(CH2089,8))),VALUE(LEFT(CH2089,4)),VALUE(LEFT(CH2089,FIND("-",CH2089)-1)))),""))</f>
        <v/>
      </c>
      <c r="CN2089">
        <f>IF(CH2089="","",IFERROR(IF(AND(LEN(CH2089)=9,ISERROR(FIND("-",LEFT(CH2089,8))),ISNUMBER(-LEFT(CH2089,8))),VALUE(MID(CH2089,5,2)),VALUE(MID(CH2089,FIND("-",CH2089)+1,FIND("-",CH2089,FIND("-",CH2089)+1)-FIND("-",CH2089)-1))),""))</f>
        <v/>
      </c>
      <c r="CO2089">
        <f>IF(CH2089="","",IFERROR(IF(AND(LEN(CH2089)=9,ISERROR(FIND("-",LEFT(CH2089,8))),ISNUMBER(-LEFT(CH2089,8))),VALUE(MID(CH2089,7,2)),VALUE(MID(CH2089,FIND("-",CH2089,FIND("-",CH2089)+1)+1,FIND("-",CH2089,FIND("-",CH2089,FIND("-",CH2089)+1)+1)-FIND("-",CH2089,FIND("-",CH2089)+1)-1))),""))</f>
        <v/>
      </c>
    </row>
    <row r="2090">
      <c r="CH2090">
        <f>IF(ISTEXT('월 가계부'!A2090),SUBSTITUTE(SUBSTITUTE(SUBSTITUTE(SUBSTITUTE(SUBSTITUTE(SUBSTITUTE(SUBSTITUTE(SUBSTITUTE(SUBSTITUTE(TRIM('월 가계부'!A2090),"년","-"),"월","-"),"일",""),".","-"),"/","-")," ","-"),"--","-"),"--","-"),"--","-")&amp;"-","")</f>
        <v/>
      </c>
      <c r="CI2090">
        <f>IFERROR(IF('월 가계부'!A2090="","",IF(ISNUMBER('월 가계부'!A2090),IF(AND('월 가계부'!A2090&gt;=19000101,'월 가계부'!A2090&lt;=21001231),IF(AND(MOD(INT('월 가계부'!A2090/100),100)&gt;=1,MOD(INT('월 가계부'!A2090/100),100)&lt;=12,MOD(INT('월 가계부'!A2090),100)&gt;=1,MOD(INT('월 가계부'!A2090),100)&lt;=31),IF(MONTH(DATE(INT('월 가계부'!A2090/10000),MOD(INT('월 가계부'!A2090/100),100),MOD(INT('월 가계부'!A2090),100)))=MOD(INT('월 가계부'!A2090/100),100),DATE(INT('월 가계부'!A2090/10000),MOD(INT('월 가계부'!A2090/100),100),MOD(INT('월 가계부'!A2090),100)),""),""),IF(AND('월 가계부'!A2090&gt;=36526,'월 가계부'!A2090&lt;73051),INT('월 가계부'!A2090),"")),IF(OR(CM2090="",CN2090="",CO2090=""),"",IF(AND(CM2090&gt;=2000,CM2090&lt;=2099,CN2090&gt;=1,CN2090&lt;=12,CO2090&gt;=1,CO2090&lt;=31),IF(MONTH(DATE(CM2090,CN2090,CO2090))=CN2090,DATE(CM2090,CN2090,CO2090),""),"")))),"")</f>
        <v/>
      </c>
      <c r="CJ2090">
        <f>IFERROR(IF('월 가계부'!C2090="","",IF(ISNUMBER('월 가계부'!C2090),'월 가계부'!C2090,VALUE(SUBSTITUTE(SUBSTITUTE(SUBSTITUTE(SUBSTITUTE(TRIM('월 가계부'!C2090),",",""),"원","")," ",""),"−","-")))),"")</f>
        <v/>
      </c>
      <c r="CK2090">
        <f>IF(ISNUMBER(CI2090),IF(CI2090&lt;$B$13,CI2090,""),"")</f>
        <v/>
      </c>
      <c r="CM2090">
        <f>IF(CH2090="","",IFERROR(IF(IF(AND(LEN(CH2090)=9,ISERROR(FIND("-",LEFT(CH2090,8))),ISNUMBER(-LEFT(CH2090,8))),VALUE(LEFT(CH2090,4)),VALUE(LEFT(CH2090,FIND("-",CH2090)-1)))&lt;100,IF(AND(LEN(CH2090)=9,ISERROR(FIND("-",LEFT(CH2090,8))),ISNUMBER(-LEFT(CH2090,8))),VALUE(LEFT(CH2090,4)),VALUE(LEFT(CH2090,FIND("-",CH2090)-1)))+2000,IF(AND(LEN(CH2090)=9,ISERROR(FIND("-",LEFT(CH2090,8))),ISNUMBER(-LEFT(CH2090,8))),VALUE(LEFT(CH2090,4)),VALUE(LEFT(CH2090,FIND("-",CH2090)-1)))),""))</f>
        <v/>
      </c>
      <c r="CN2090">
        <f>IF(CH2090="","",IFERROR(IF(AND(LEN(CH2090)=9,ISERROR(FIND("-",LEFT(CH2090,8))),ISNUMBER(-LEFT(CH2090,8))),VALUE(MID(CH2090,5,2)),VALUE(MID(CH2090,FIND("-",CH2090)+1,FIND("-",CH2090,FIND("-",CH2090)+1)-FIND("-",CH2090)-1))),""))</f>
        <v/>
      </c>
      <c r="CO2090">
        <f>IF(CH2090="","",IFERROR(IF(AND(LEN(CH2090)=9,ISERROR(FIND("-",LEFT(CH2090,8))),ISNUMBER(-LEFT(CH2090,8))),VALUE(MID(CH2090,7,2)),VALUE(MID(CH2090,FIND("-",CH2090,FIND("-",CH2090)+1)+1,FIND("-",CH2090,FIND("-",CH2090,FIND("-",CH2090)+1)+1)-FIND("-",CH2090,FIND("-",CH2090)+1)-1))),""))</f>
        <v/>
      </c>
    </row>
    <row r="2091">
      <c r="CH2091">
        <f>IF(ISTEXT('월 가계부'!A2091),SUBSTITUTE(SUBSTITUTE(SUBSTITUTE(SUBSTITUTE(SUBSTITUTE(SUBSTITUTE(SUBSTITUTE(SUBSTITUTE(SUBSTITUTE(TRIM('월 가계부'!A2091),"년","-"),"월","-"),"일",""),".","-"),"/","-")," ","-"),"--","-"),"--","-"),"--","-")&amp;"-","")</f>
        <v/>
      </c>
      <c r="CI2091">
        <f>IFERROR(IF('월 가계부'!A2091="","",IF(ISNUMBER('월 가계부'!A2091),IF(AND('월 가계부'!A2091&gt;=19000101,'월 가계부'!A2091&lt;=21001231),IF(AND(MOD(INT('월 가계부'!A2091/100),100)&gt;=1,MOD(INT('월 가계부'!A2091/100),100)&lt;=12,MOD(INT('월 가계부'!A2091),100)&gt;=1,MOD(INT('월 가계부'!A2091),100)&lt;=31),IF(MONTH(DATE(INT('월 가계부'!A2091/10000),MOD(INT('월 가계부'!A2091/100),100),MOD(INT('월 가계부'!A2091),100)))=MOD(INT('월 가계부'!A2091/100),100),DATE(INT('월 가계부'!A2091/10000),MOD(INT('월 가계부'!A2091/100),100),MOD(INT('월 가계부'!A2091),100)),""),""),IF(AND('월 가계부'!A2091&gt;=36526,'월 가계부'!A2091&lt;73051),INT('월 가계부'!A2091),"")),IF(OR(CM2091="",CN2091="",CO2091=""),"",IF(AND(CM2091&gt;=2000,CM2091&lt;=2099,CN2091&gt;=1,CN2091&lt;=12,CO2091&gt;=1,CO2091&lt;=31),IF(MONTH(DATE(CM2091,CN2091,CO2091))=CN2091,DATE(CM2091,CN2091,CO2091),""),"")))),"")</f>
        <v/>
      </c>
      <c r="CJ2091">
        <f>IFERROR(IF('월 가계부'!C2091="","",IF(ISNUMBER('월 가계부'!C2091),'월 가계부'!C2091,VALUE(SUBSTITUTE(SUBSTITUTE(SUBSTITUTE(SUBSTITUTE(TRIM('월 가계부'!C2091),",",""),"원","")," ",""),"−","-")))),"")</f>
        <v/>
      </c>
      <c r="CK2091">
        <f>IF(ISNUMBER(CI2091),IF(CI2091&lt;$B$13,CI2091,""),"")</f>
        <v/>
      </c>
      <c r="CM2091">
        <f>IF(CH2091="","",IFERROR(IF(IF(AND(LEN(CH2091)=9,ISERROR(FIND("-",LEFT(CH2091,8))),ISNUMBER(-LEFT(CH2091,8))),VALUE(LEFT(CH2091,4)),VALUE(LEFT(CH2091,FIND("-",CH2091)-1)))&lt;100,IF(AND(LEN(CH2091)=9,ISERROR(FIND("-",LEFT(CH2091,8))),ISNUMBER(-LEFT(CH2091,8))),VALUE(LEFT(CH2091,4)),VALUE(LEFT(CH2091,FIND("-",CH2091)-1)))+2000,IF(AND(LEN(CH2091)=9,ISERROR(FIND("-",LEFT(CH2091,8))),ISNUMBER(-LEFT(CH2091,8))),VALUE(LEFT(CH2091,4)),VALUE(LEFT(CH2091,FIND("-",CH2091)-1)))),""))</f>
        <v/>
      </c>
      <c r="CN2091">
        <f>IF(CH2091="","",IFERROR(IF(AND(LEN(CH2091)=9,ISERROR(FIND("-",LEFT(CH2091,8))),ISNUMBER(-LEFT(CH2091,8))),VALUE(MID(CH2091,5,2)),VALUE(MID(CH2091,FIND("-",CH2091)+1,FIND("-",CH2091,FIND("-",CH2091)+1)-FIND("-",CH2091)-1))),""))</f>
        <v/>
      </c>
      <c r="CO2091">
        <f>IF(CH2091="","",IFERROR(IF(AND(LEN(CH2091)=9,ISERROR(FIND("-",LEFT(CH2091,8))),ISNUMBER(-LEFT(CH2091,8))),VALUE(MID(CH2091,7,2)),VALUE(MID(CH2091,FIND("-",CH2091,FIND("-",CH2091)+1)+1,FIND("-",CH2091,FIND("-",CH2091,FIND("-",CH2091)+1)+1)-FIND("-",CH2091,FIND("-",CH2091)+1)-1))),""))</f>
        <v/>
      </c>
    </row>
    <row r="2092">
      <c r="CH2092">
        <f>IF(ISTEXT('월 가계부'!A2092),SUBSTITUTE(SUBSTITUTE(SUBSTITUTE(SUBSTITUTE(SUBSTITUTE(SUBSTITUTE(SUBSTITUTE(SUBSTITUTE(SUBSTITUTE(TRIM('월 가계부'!A2092),"년","-"),"월","-"),"일",""),".","-"),"/","-")," ","-"),"--","-"),"--","-"),"--","-")&amp;"-","")</f>
        <v/>
      </c>
      <c r="CI2092">
        <f>IFERROR(IF('월 가계부'!A2092="","",IF(ISNUMBER('월 가계부'!A2092),IF(AND('월 가계부'!A2092&gt;=19000101,'월 가계부'!A2092&lt;=21001231),IF(AND(MOD(INT('월 가계부'!A2092/100),100)&gt;=1,MOD(INT('월 가계부'!A2092/100),100)&lt;=12,MOD(INT('월 가계부'!A2092),100)&gt;=1,MOD(INT('월 가계부'!A2092),100)&lt;=31),IF(MONTH(DATE(INT('월 가계부'!A2092/10000),MOD(INT('월 가계부'!A2092/100),100),MOD(INT('월 가계부'!A2092),100)))=MOD(INT('월 가계부'!A2092/100),100),DATE(INT('월 가계부'!A2092/10000),MOD(INT('월 가계부'!A2092/100),100),MOD(INT('월 가계부'!A2092),100)),""),""),IF(AND('월 가계부'!A2092&gt;=36526,'월 가계부'!A2092&lt;73051),INT('월 가계부'!A2092),"")),IF(OR(CM2092="",CN2092="",CO2092=""),"",IF(AND(CM2092&gt;=2000,CM2092&lt;=2099,CN2092&gt;=1,CN2092&lt;=12,CO2092&gt;=1,CO2092&lt;=31),IF(MONTH(DATE(CM2092,CN2092,CO2092))=CN2092,DATE(CM2092,CN2092,CO2092),""),"")))),"")</f>
        <v/>
      </c>
      <c r="CJ2092">
        <f>IFERROR(IF('월 가계부'!C2092="","",IF(ISNUMBER('월 가계부'!C2092),'월 가계부'!C2092,VALUE(SUBSTITUTE(SUBSTITUTE(SUBSTITUTE(SUBSTITUTE(TRIM('월 가계부'!C2092),",",""),"원","")," ",""),"−","-")))),"")</f>
        <v/>
      </c>
      <c r="CK2092">
        <f>IF(ISNUMBER(CI2092),IF(CI2092&lt;$B$13,CI2092,""),"")</f>
        <v/>
      </c>
      <c r="CM2092">
        <f>IF(CH2092="","",IFERROR(IF(IF(AND(LEN(CH2092)=9,ISERROR(FIND("-",LEFT(CH2092,8))),ISNUMBER(-LEFT(CH2092,8))),VALUE(LEFT(CH2092,4)),VALUE(LEFT(CH2092,FIND("-",CH2092)-1)))&lt;100,IF(AND(LEN(CH2092)=9,ISERROR(FIND("-",LEFT(CH2092,8))),ISNUMBER(-LEFT(CH2092,8))),VALUE(LEFT(CH2092,4)),VALUE(LEFT(CH2092,FIND("-",CH2092)-1)))+2000,IF(AND(LEN(CH2092)=9,ISERROR(FIND("-",LEFT(CH2092,8))),ISNUMBER(-LEFT(CH2092,8))),VALUE(LEFT(CH2092,4)),VALUE(LEFT(CH2092,FIND("-",CH2092)-1)))),""))</f>
        <v/>
      </c>
      <c r="CN2092">
        <f>IF(CH2092="","",IFERROR(IF(AND(LEN(CH2092)=9,ISERROR(FIND("-",LEFT(CH2092,8))),ISNUMBER(-LEFT(CH2092,8))),VALUE(MID(CH2092,5,2)),VALUE(MID(CH2092,FIND("-",CH2092)+1,FIND("-",CH2092,FIND("-",CH2092)+1)-FIND("-",CH2092)-1))),""))</f>
        <v/>
      </c>
      <c r="CO2092">
        <f>IF(CH2092="","",IFERROR(IF(AND(LEN(CH2092)=9,ISERROR(FIND("-",LEFT(CH2092,8))),ISNUMBER(-LEFT(CH2092,8))),VALUE(MID(CH2092,7,2)),VALUE(MID(CH2092,FIND("-",CH2092,FIND("-",CH2092)+1)+1,FIND("-",CH2092,FIND("-",CH2092,FIND("-",CH2092)+1)+1)-FIND("-",CH2092,FIND("-",CH2092)+1)-1))),""))</f>
        <v/>
      </c>
    </row>
    <row r="2093">
      <c r="CH2093">
        <f>IF(ISTEXT('월 가계부'!A2093),SUBSTITUTE(SUBSTITUTE(SUBSTITUTE(SUBSTITUTE(SUBSTITUTE(SUBSTITUTE(SUBSTITUTE(SUBSTITUTE(SUBSTITUTE(TRIM('월 가계부'!A2093),"년","-"),"월","-"),"일",""),".","-"),"/","-")," ","-"),"--","-"),"--","-"),"--","-")&amp;"-","")</f>
        <v/>
      </c>
      <c r="CI2093">
        <f>IFERROR(IF('월 가계부'!A2093="","",IF(ISNUMBER('월 가계부'!A2093),IF(AND('월 가계부'!A2093&gt;=19000101,'월 가계부'!A2093&lt;=21001231),IF(AND(MOD(INT('월 가계부'!A2093/100),100)&gt;=1,MOD(INT('월 가계부'!A2093/100),100)&lt;=12,MOD(INT('월 가계부'!A2093),100)&gt;=1,MOD(INT('월 가계부'!A2093),100)&lt;=31),IF(MONTH(DATE(INT('월 가계부'!A2093/10000),MOD(INT('월 가계부'!A2093/100),100),MOD(INT('월 가계부'!A2093),100)))=MOD(INT('월 가계부'!A2093/100),100),DATE(INT('월 가계부'!A2093/10000),MOD(INT('월 가계부'!A2093/100),100),MOD(INT('월 가계부'!A2093),100)),""),""),IF(AND('월 가계부'!A2093&gt;=36526,'월 가계부'!A2093&lt;73051),INT('월 가계부'!A2093),"")),IF(OR(CM2093="",CN2093="",CO2093=""),"",IF(AND(CM2093&gt;=2000,CM2093&lt;=2099,CN2093&gt;=1,CN2093&lt;=12,CO2093&gt;=1,CO2093&lt;=31),IF(MONTH(DATE(CM2093,CN2093,CO2093))=CN2093,DATE(CM2093,CN2093,CO2093),""),"")))),"")</f>
        <v/>
      </c>
      <c r="CJ2093">
        <f>IFERROR(IF('월 가계부'!C2093="","",IF(ISNUMBER('월 가계부'!C2093),'월 가계부'!C2093,VALUE(SUBSTITUTE(SUBSTITUTE(SUBSTITUTE(SUBSTITUTE(TRIM('월 가계부'!C2093),",",""),"원","")," ",""),"−","-")))),"")</f>
        <v/>
      </c>
      <c r="CK2093">
        <f>IF(ISNUMBER(CI2093),IF(CI2093&lt;$B$13,CI2093,""),"")</f>
        <v/>
      </c>
      <c r="CM2093">
        <f>IF(CH2093="","",IFERROR(IF(IF(AND(LEN(CH2093)=9,ISERROR(FIND("-",LEFT(CH2093,8))),ISNUMBER(-LEFT(CH2093,8))),VALUE(LEFT(CH2093,4)),VALUE(LEFT(CH2093,FIND("-",CH2093)-1)))&lt;100,IF(AND(LEN(CH2093)=9,ISERROR(FIND("-",LEFT(CH2093,8))),ISNUMBER(-LEFT(CH2093,8))),VALUE(LEFT(CH2093,4)),VALUE(LEFT(CH2093,FIND("-",CH2093)-1)))+2000,IF(AND(LEN(CH2093)=9,ISERROR(FIND("-",LEFT(CH2093,8))),ISNUMBER(-LEFT(CH2093,8))),VALUE(LEFT(CH2093,4)),VALUE(LEFT(CH2093,FIND("-",CH2093)-1)))),""))</f>
        <v/>
      </c>
      <c r="CN2093">
        <f>IF(CH2093="","",IFERROR(IF(AND(LEN(CH2093)=9,ISERROR(FIND("-",LEFT(CH2093,8))),ISNUMBER(-LEFT(CH2093,8))),VALUE(MID(CH2093,5,2)),VALUE(MID(CH2093,FIND("-",CH2093)+1,FIND("-",CH2093,FIND("-",CH2093)+1)-FIND("-",CH2093)-1))),""))</f>
        <v/>
      </c>
      <c r="CO2093">
        <f>IF(CH2093="","",IFERROR(IF(AND(LEN(CH2093)=9,ISERROR(FIND("-",LEFT(CH2093,8))),ISNUMBER(-LEFT(CH2093,8))),VALUE(MID(CH2093,7,2)),VALUE(MID(CH2093,FIND("-",CH2093,FIND("-",CH2093)+1)+1,FIND("-",CH2093,FIND("-",CH2093,FIND("-",CH2093)+1)+1)-FIND("-",CH2093,FIND("-",CH2093)+1)-1))),""))</f>
        <v/>
      </c>
    </row>
    <row r="2094">
      <c r="CH2094">
        <f>IF(ISTEXT('월 가계부'!A2094),SUBSTITUTE(SUBSTITUTE(SUBSTITUTE(SUBSTITUTE(SUBSTITUTE(SUBSTITUTE(SUBSTITUTE(SUBSTITUTE(SUBSTITUTE(TRIM('월 가계부'!A2094),"년","-"),"월","-"),"일",""),".","-"),"/","-")," ","-"),"--","-"),"--","-"),"--","-")&amp;"-","")</f>
        <v/>
      </c>
      <c r="CI2094">
        <f>IFERROR(IF('월 가계부'!A2094="","",IF(ISNUMBER('월 가계부'!A2094),IF(AND('월 가계부'!A2094&gt;=19000101,'월 가계부'!A2094&lt;=21001231),IF(AND(MOD(INT('월 가계부'!A2094/100),100)&gt;=1,MOD(INT('월 가계부'!A2094/100),100)&lt;=12,MOD(INT('월 가계부'!A2094),100)&gt;=1,MOD(INT('월 가계부'!A2094),100)&lt;=31),IF(MONTH(DATE(INT('월 가계부'!A2094/10000),MOD(INT('월 가계부'!A2094/100),100),MOD(INT('월 가계부'!A2094),100)))=MOD(INT('월 가계부'!A2094/100),100),DATE(INT('월 가계부'!A2094/10000),MOD(INT('월 가계부'!A2094/100),100),MOD(INT('월 가계부'!A2094),100)),""),""),IF(AND('월 가계부'!A2094&gt;=36526,'월 가계부'!A2094&lt;73051),INT('월 가계부'!A2094),"")),IF(OR(CM2094="",CN2094="",CO2094=""),"",IF(AND(CM2094&gt;=2000,CM2094&lt;=2099,CN2094&gt;=1,CN2094&lt;=12,CO2094&gt;=1,CO2094&lt;=31),IF(MONTH(DATE(CM2094,CN2094,CO2094))=CN2094,DATE(CM2094,CN2094,CO2094),""),"")))),"")</f>
        <v/>
      </c>
      <c r="CJ2094">
        <f>IFERROR(IF('월 가계부'!C2094="","",IF(ISNUMBER('월 가계부'!C2094),'월 가계부'!C2094,VALUE(SUBSTITUTE(SUBSTITUTE(SUBSTITUTE(SUBSTITUTE(TRIM('월 가계부'!C2094),",",""),"원","")," ",""),"−","-")))),"")</f>
        <v/>
      </c>
      <c r="CK2094">
        <f>IF(ISNUMBER(CI2094),IF(CI2094&lt;$B$13,CI2094,""),"")</f>
        <v/>
      </c>
      <c r="CM2094">
        <f>IF(CH2094="","",IFERROR(IF(IF(AND(LEN(CH2094)=9,ISERROR(FIND("-",LEFT(CH2094,8))),ISNUMBER(-LEFT(CH2094,8))),VALUE(LEFT(CH2094,4)),VALUE(LEFT(CH2094,FIND("-",CH2094)-1)))&lt;100,IF(AND(LEN(CH2094)=9,ISERROR(FIND("-",LEFT(CH2094,8))),ISNUMBER(-LEFT(CH2094,8))),VALUE(LEFT(CH2094,4)),VALUE(LEFT(CH2094,FIND("-",CH2094)-1)))+2000,IF(AND(LEN(CH2094)=9,ISERROR(FIND("-",LEFT(CH2094,8))),ISNUMBER(-LEFT(CH2094,8))),VALUE(LEFT(CH2094,4)),VALUE(LEFT(CH2094,FIND("-",CH2094)-1)))),""))</f>
        <v/>
      </c>
      <c r="CN2094">
        <f>IF(CH2094="","",IFERROR(IF(AND(LEN(CH2094)=9,ISERROR(FIND("-",LEFT(CH2094,8))),ISNUMBER(-LEFT(CH2094,8))),VALUE(MID(CH2094,5,2)),VALUE(MID(CH2094,FIND("-",CH2094)+1,FIND("-",CH2094,FIND("-",CH2094)+1)-FIND("-",CH2094)-1))),""))</f>
        <v/>
      </c>
      <c r="CO2094">
        <f>IF(CH2094="","",IFERROR(IF(AND(LEN(CH2094)=9,ISERROR(FIND("-",LEFT(CH2094,8))),ISNUMBER(-LEFT(CH2094,8))),VALUE(MID(CH2094,7,2)),VALUE(MID(CH2094,FIND("-",CH2094,FIND("-",CH2094)+1)+1,FIND("-",CH2094,FIND("-",CH2094,FIND("-",CH2094)+1)+1)-FIND("-",CH2094,FIND("-",CH2094)+1)-1))),""))</f>
        <v/>
      </c>
    </row>
    <row r="2095">
      <c r="CH2095">
        <f>IF(ISTEXT('월 가계부'!A2095),SUBSTITUTE(SUBSTITUTE(SUBSTITUTE(SUBSTITUTE(SUBSTITUTE(SUBSTITUTE(SUBSTITUTE(SUBSTITUTE(SUBSTITUTE(TRIM('월 가계부'!A2095),"년","-"),"월","-"),"일",""),".","-"),"/","-")," ","-"),"--","-"),"--","-"),"--","-")&amp;"-","")</f>
        <v/>
      </c>
      <c r="CI2095">
        <f>IFERROR(IF('월 가계부'!A2095="","",IF(ISNUMBER('월 가계부'!A2095),IF(AND('월 가계부'!A2095&gt;=19000101,'월 가계부'!A2095&lt;=21001231),IF(AND(MOD(INT('월 가계부'!A2095/100),100)&gt;=1,MOD(INT('월 가계부'!A2095/100),100)&lt;=12,MOD(INT('월 가계부'!A2095),100)&gt;=1,MOD(INT('월 가계부'!A2095),100)&lt;=31),IF(MONTH(DATE(INT('월 가계부'!A2095/10000),MOD(INT('월 가계부'!A2095/100),100),MOD(INT('월 가계부'!A2095),100)))=MOD(INT('월 가계부'!A2095/100),100),DATE(INT('월 가계부'!A2095/10000),MOD(INT('월 가계부'!A2095/100),100),MOD(INT('월 가계부'!A2095),100)),""),""),IF(AND('월 가계부'!A2095&gt;=36526,'월 가계부'!A2095&lt;73051),INT('월 가계부'!A2095),"")),IF(OR(CM2095="",CN2095="",CO2095=""),"",IF(AND(CM2095&gt;=2000,CM2095&lt;=2099,CN2095&gt;=1,CN2095&lt;=12,CO2095&gt;=1,CO2095&lt;=31),IF(MONTH(DATE(CM2095,CN2095,CO2095))=CN2095,DATE(CM2095,CN2095,CO2095),""),"")))),"")</f>
        <v/>
      </c>
      <c r="CJ2095">
        <f>IFERROR(IF('월 가계부'!C2095="","",IF(ISNUMBER('월 가계부'!C2095),'월 가계부'!C2095,VALUE(SUBSTITUTE(SUBSTITUTE(SUBSTITUTE(SUBSTITUTE(TRIM('월 가계부'!C2095),",",""),"원","")," ",""),"−","-")))),"")</f>
        <v/>
      </c>
      <c r="CK2095">
        <f>IF(ISNUMBER(CI2095),IF(CI2095&lt;$B$13,CI2095,""),"")</f>
        <v/>
      </c>
      <c r="CM2095">
        <f>IF(CH2095="","",IFERROR(IF(IF(AND(LEN(CH2095)=9,ISERROR(FIND("-",LEFT(CH2095,8))),ISNUMBER(-LEFT(CH2095,8))),VALUE(LEFT(CH2095,4)),VALUE(LEFT(CH2095,FIND("-",CH2095)-1)))&lt;100,IF(AND(LEN(CH2095)=9,ISERROR(FIND("-",LEFT(CH2095,8))),ISNUMBER(-LEFT(CH2095,8))),VALUE(LEFT(CH2095,4)),VALUE(LEFT(CH2095,FIND("-",CH2095)-1)))+2000,IF(AND(LEN(CH2095)=9,ISERROR(FIND("-",LEFT(CH2095,8))),ISNUMBER(-LEFT(CH2095,8))),VALUE(LEFT(CH2095,4)),VALUE(LEFT(CH2095,FIND("-",CH2095)-1)))),""))</f>
        <v/>
      </c>
      <c r="CN2095">
        <f>IF(CH2095="","",IFERROR(IF(AND(LEN(CH2095)=9,ISERROR(FIND("-",LEFT(CH2095,8))),ISNUMBER(-LEFT(CH2095,8))),VALUE(MID(CH2095,5,2)),VALUE(MID(CH2095,FIND("-",CH2095)+1,FIND("-",CH2095,FIND("-",CH2095)+1)-FIND("-",CH2095)-1))),""))</f>
        <v/>
      </c>
      <c r="CO2095">
        <f>IF(CH2095="","",IFERROR(IF(AND(LEN(CH2095)=9,ISERROR(FIND("-",LEFT(CH2095,8))),ISNUMBER(-LEFT(CH2095,8))),VALUE(MID(CH2095,7,2)),VALUE(MID(CH2095,FIND("-",CH2095,FIND("-",CH2095)+1)+1,FIND("-",CH2095,FIND("-",CH2095,FIND("-",CH2095)+1)+1)-FIND("-",CH2095,FIND("-",CH2095)+1)-1))),""))</f>
        <v/>
      </c>
    </row>
    <row r="2096">
      <c r="CH2096">
        <f>IF(ISTEXT('월 가계부'!A2096),SUBSTITUTE(SUBSTITUTE(SUBSTITUTE(SUBSTITUTE(SUBSTITUTE(SUBSTITUTE(SUBSTITUTE(SUBSTITUTE(SUBSTITUTE(TRIM('월 가계부'!A2096),"년","-"),"월","-"),"일",""),".","-"),"/","-")," ","-"),"--","-"),"--","-"),"--","-")&amp;"-","")</f>
        <v/>
      </c>
      <c r="CI2096">
        <f>IFERROR(IF('월 가계부'!A2096="","",IF(ISNUMBER('월 가계부'!A2096),IF(AND('월 가계부'!A2096&gt;=19000101,'월 가계부'!A2096&lt;=21001231),IF(AND(MOD(INT('월 가계부'!A2096/100),100)&gt;=1,MOD(INT('월 가계부'!A2096/100),100)&lt;=12,MOD(INT('월 가계부'!A2096),100)&gt;=1,MOD(INT('월 가계부'!A2096),100)&lt;=31),IF(MONTH(DATE(INT('월 가계부'!A2096/10000),MOD(INT('월 가계부'!A2096/100),100),MOD(INT('월 가계부'!A2096),100)))=MOD(INT('월 가계부'!A2096/100),100),DATE(INT('월 가계부'!A2096/10000),MOD(INT('월 가계부'!A2096/100),100),MOD(INT('월 가계부'!A2096),100)),""),""),IF(AND('월 가계부'!A2096&gt;=36526,'월 가계부'!A2096&lt;73051),INT('월 가계부'!A2096),"")),IF(OR(CM2096="",CN2096="",CO2096=""),"",IF(AND(CM2096&gt;=2000,CM2096&lt;=2099,CN2096&gt;=1,CN2096&lt;=12,CO2096&gt;=1,CO2096&lt;=31),IF(MONTH(DATE(CM2096,CN2096,CO2096))=CN2096,DATE(CM2096,CN2096,CO2096),""),"")))),"")</f>
        <v/>
      </c>
      <c r="CJ2096">
        <f>IFERROR(IF('월 가계부'!C2096="","",IF(ISNUMBER('월 가계부'!C2096),'월 가계부'!C2096,VALUE(SUBSTITUTE(SUBSTITUTE(SUBSTITUTE(SUBSTITUTE(TRIM('월 가계부'!C2096),",",""),"원","")," ",""),"−","-")))),"")</f>
        <v/>
      </c>
      <c r="CK2096">
        <f>IF(ISNUMBER(CI2096),IF(CI2096&lt;$B$13,CI2096,""),"")</f>
        <v/>
      </c>
      <c r="CM2096">
        <f>IF(CH2096="","",IFERROR(IF(IF(AND(LEN(CH2096)=9,ISERROR(FIND("-",LEFT(CH2096,8))),ISNUMBER(-LEFT(CH2096,8))),VALUE(LEFT(CH2096,4)),VALUE(LEFT(CH2096,FIND("-",CH2096)-1)))&lt;100,IF(AND(LEN(CH2096)=9,ISERROR(FIND("-",LEFT(CH2096,8))),ISNUMBER(-LEFT(CH2096,8))),VALUE(LEFT(CH2096,4)),VALUE(LEFT(CH2096,FIND("-",CH2096)-1)))+2000,IF(AND(LEN(CH2096)=9,ISERROR(FIND("-",LEFT(CH2096,8))),ISNUMBER(-LEFT(CH2096,8))),VALUE(LEFT(CH2096,4)),VALUE(LEFT(CH2096,FIND("-",CH2096)-1)))),""))</f>
        <v/>
      </c>
      <c r="CN2096">
        <f>IF(CH2096="","",IFERROR(IF(AND(LEN(CH2096)=9,ISERROR(FIND("-",LEFT(CH2096,8))),ISNUMBER(-LEFT(CH2096,8))),VALUE(MID(CH2096,5,2)),VALUE(MID(CH2096,FIND("-",CH2096)+1,FIND("-",CH2096,FIND("-",CH2096)+1)-FIND("-",CH2096)-1))),""))</f>
        <v/>
      </c>
      <c r="CO2096">
        <f>IF(CH2096="","",IFERROR(IF(AND(LEN(CH2096)=9,ISERROR(FIND("-",LEFT(CH2096,8))),ISNUMBER(-LEFT(CH2096,8))),VALUE(MID(CH2096,7,2)),VALUE(MID(CH2096,FIND("-",CH2096,FIND("-",CH2096)+1)+1,FIND("-",CH2096,FIND("-",CH2096,FIND("-",CH2096)+1)+1)-FIND("-",CH2096,FIND("-",CH2096)+1)-1))),""))</f>
        <v/>
      </c>
    </row>
    <row r="2097">
      <c r="CH2097">
        <f>IF(ISTEXT('월 가계부'!A2097),SUBSTITUTE(SUBSTITUTE(SUBSTITUTE(SUBSTITUTE(SUBSTITUTE(SUBSTITUTE(SUBSTITUTE(SUBSTITUTE(SUBSTITUTE(TRIM('월 가계부'!A2097),"년","-"),"월","-"),"일",""),".","-"),"/","-")," ","-"),"--","-"),"--","-"),"--","-")&amp;"-","")</f>
        <v/>
      </c>
      <c r="CI2097">
        <f>IFERROR(IF('월 가계부'!A2097="","",IF(ISNUMBER('월 가계부'!A2097),IF(AND('월 가계부'!A2097&gt;=19000101,'월 가계부'!A2097&lt;=21001231),IF(AND(MOD(INT('월 가계부'!A2097/100),100)&gt;=1,MOD(INT('월 가계부'!A2097/100),100)&lt;=12,MOD(INT('월 가계부'!A2097),100)&gt;=1,MOD(INT('월 가계부'!A2097),100)&lt;=31),IF(MONTH(DATE(INT('월 가계부'!A2097/10000),MOD(INT('월 가계부'!A2097/100),100),MOD(INT('월 가계부'!A2097),100)))=MOD(INT('월 가계부'!A2097/100),100),DATE(INT('월 가계부'!A2097/10000),MOD(INT('월 가계부'!A2097/100),100),MOD(INT('월 가계부'!A2097),100)),""),""),IF(AND('월 가계부'!A2097&gt;=36526,'월 가계부'!A2097&lt;73051),INT('월 가계부'!A2097),"")),IF(OR(CM2097="",CN2097="",CO2097=""),"",IF(AND(CM2097&gt;=2000,CM2097&lt;=2099,CN2097&gt;=1,CN2097&lt;=12,CO2097&gt;=1,CO2097&lt;=31),IF(MONTH(DATE(CM2097,CN2097,CO2097))=CN2097,DATE(CM2097,CN2097,CO2097),""),"")))),"")</f>
        <v/>
      </c>
      <c r="CJ2097">
        <f>IFERROR(IF('월 가계부'!C2097="","",IF(ISNUMBER('월 가계부'!C2097),'월 가계부'!C2097,VALUE(SUBSTITUTE(SUBSTITUTE(SUBSTITUTE(SUBSTITUTE(TRIM('월 가계부'!C2097),",",""),"원","")," ",""),"−","-")))),"")</f>
        <v/>
      </c>
      <c r="CK2097">
        <f>IF(ISNUMBER(CI2097),IF(CI2097&lt;$B$13,CI2097,""),"")</f>
        <v/>
      </c>
      <c r="CM2097">
        <f>IF(CH2097="","",IFERROR(IF(IF(AND(LEN(CH2097)=9,ISERROR(FIND("-",LEFT(CH2097,8))),ISNUMBER(-LEFT(CH2097,8))),VALUE(LEFT(CH2097,4)),VALUE(LEFT(CH2097,FIND("-",CH2097)-1)))&lt;100,IF(AND(LEN(CH2097)=9,ISERROR(FIND("-",LEFT(CH2097,8))),ISNUMBER(-LEFT(CH2097,8))),VALUE(LEFT(CH2097,4)),VALUE(LEFT(CH2097,FIND("-",CH2097)-1)))+2000,IF(AND(LEN(CH2097)=9,ISERROR(FIND("-",LEFT(CH2097,8))),ISNUMBER(-LEFT(CH2097,8))),VALUE(LEFT(CH2097,4)),VALUE(LEFT(CH2097,FIND("-",CH2097)-1)))),""))</f>
        <v/>
      </c>
      <c r="CN2097">
        <f>IF(CH2097="","",IFERROR(IF(AND(LEN(CH2097)=9,ISERROR(FIND("-",LEFT(CH2097,8))),ISNUMBER(-LEFT(CH2097,8))),VALUE(MID(CH2097,5,2)),VALUE(MID(CH2097,FIND("-",CH2097)+1,FIND("-",CH2097,FIND("-",CH2097)+1)-FIND("-",CH2097)-1))),""))</f>
        <v/>
      </c>
      <c r="CO2097">
        <f>IF(CH2097="","",IFERROR(IF(AND(LEN(CH2097)=9,ISERROR(FIND("-",LEFT(CH2097,8))),ISNUMBER(-LEFT(CH2097,8))),VALUE(MID(CH2097,7,2)),VALUE(MID(CH2097,FIND("-",CH2097,FIND("-",CH2097)+1)+1,FIND("-",CH2097,FIND("-",CH2097,FIND("-",CH2097)+1)+1)-FIND("-",CH2097,FIND("-",CH2097)+1)-1))),""))</f>
        <v/>
      </c>
    </row>
    <row r="2098">
      <c r="CH2098">
        <f>IF(ISTEXT('월 가계부'!A2098),SUBSTITUTE(SUBSTITUTE(SUBSTITUTE(SUBSTITUTE(SUBSTITUTE(SUBSTITUTE(SUBSTITUTE(SUBSTITUTE(SUBSTITUTE(TRIM('월 가계부'!A2098),"년","-"),"월","-"),"일",""),".","-"),"/","-")," ","-"),"--","-"),"--","-"),"--","-")&amp;"-","")</f>
        <v/>
      </c>
      <c r="CI2098">
        <f>IFERROR(IF('월 가계부'!A2098="","",IF(ISNUMBER('월 가계부'!A2098),IF(AND('월 가계부'!A2098&gt;=19000101,'월 가계부'!A2098&lt;=21001231),IF(AND(MOD(INT('월 가계부'!A2098/100),100)&gt;=1,MOD(INT('월 가계부'!A2098/100),100)&lt;=12,MOD(INT('월 가계부'!A2098),100)&gt;=1,MOD(INT('월 가계부'!A2098),100)&lt;=31),IF(MONTH(DATE(INT('월 가계부'!A2098/10000),MOD(INT('월 가계부'!A2098/100),100),MOD(INT('월 가계부'!A2098),100)))=MOD(INT('월 가계부'!A2098/100),100),DATE(INT('월 가계부'!A2098/10000),MOD(INT('월 가계부'!A2098/100),100),MOD(INT('월 가계부'!A2098),100)),""),""),IF(AND('월 가계부'!A2098&gt;=36526,'월 가계부'!A2098&lt;73051),INT('월 가계부'!A2098),"")),IF(OR(CM2098="",CN2098="",CO2098=""),"",IF(AND(CM2098&gt;=2000,CM2098&lt;=2099,CN2098&gt;=1,CN2098&lt;=12,CO2098&gt;=1,CO2098&lt;=31),IF(MONTH(DATE(CM2098,CN2098,CO2098))=CN2098,DATE(CM2098,CN2098,CO2098),""),"")))),"")</f>
        <v/>
      </c>
      <c r="CJ2098">
        <f>IFERROR(IF('월 가계부'!C2098="","",IF(ISNUMBER('월 가계부'!C2098),'월 가계부'!C2098,VALUE(SUBSTITUTE(SUBSTITUTE(SUBSTITUTE(SUBSTITUTE(TRIM('월 가계부'!C2098),",",""),"원","")," ",""),"−","-")))),"")</f>
        <v/>
      </c>
      <c r="CK2098">
        <f>IF(ISNUMBER(CI2098),IF(CI2098&lt;$B$13,CI2098,""),"")</f>
        <v/>
      </c>
      <c r="CM2098">
        <f>IF(CH2098="","",IFERROR(IF(IF(AND(LEN(CH2098)=9,ISERROR(FIND("-",LEFT(CH2098,8))),ISNUMBER(-LEFT(CH2098,8))),VALUE(LEFT(CH2098,4)),VALUE(LEFT(CH2098,FIND("-",CH2098)-1)))&lt;100,IF(AND(LEN(CH2098)=9,ISERROR(FIND("-",LEFT(CH2098,8))),ISNUMBER(-LEFT(CH2098,8))),VALUE(LEFT(CH2098,4)),VALUE(LEFT(CH2098,FIND("-",CH2098)-1)))+2000,IF(AND(LEN(CH2098)=9,ISERROR(FIND("-",LEFT(CH2098,8))),ISNUMBER(-LEFT(CH2098,8))),VALUE(LEFT(CH2098,4)),VALUE(LEFT(CH2098,FIND("-",CH2098)-1)))),""))</f>
        <v/>
      </c>
      <c r="CN2098">
        <f>IF(CH2098="","",IFERROR(IF(AND(LEN(CH2098)=9,ISERROR(FIND("-",LEFT(CH2098,8))),ISNUMBER(-LEFT(CH2098,8))),VALUE(MID(CH2098,5,2)),VALUE(MID(CH2098,FIND("-",CH2098)+1,FIND("-",CH2098,FIND("-",CH2098)+1)-FIND("-",CH2098)-1))),""))</f>
        <v/>
      </c>
      <c r="CO2098">
        <f>IF(CH2098="","",IFERROR(IF(AND(LEN(CH2098)=9,ISERROR(FIND("-",LEFT(CH2098,8))),ISNUMBER(-LEFT(CH2098,8))),VALUE(MID(CH2098,7,2)),VALUE(MID(CH2098,FIND("-",CH2098,FIND("-",CH2098)+1)+1,FIND("-",CH2098,FIND("-",CH2098,FIND("-",CH2098)+1)+1)-FIND("-",CH2098,FIND("-",CH2098)+1)-1))),""))</f>
        <v/>
      </c>
    </row>
    <row r="2099">
      <c r="CH2099">
        <f>IF(ISTEXT('월 가계부'!A2099),SUBSTITUTE(SUBSTITUTE(SUBSTITUTE(SUBSTITUTE(SUBSTITUTE(SUBSTITUTE(SUBSTITUTE(SUBSTITUTE(SUBSTITUTE(TRIM('월 가계부'!A2099),"년","-"),"월","-"),"일",""),".","-"),"/","-")," ","-"),"--","-"),"--","-"),"--","-")&amp;"-","")</f>
        <v/>
      </c>
      <c r="CI2099">
        <f>IFERROR(IF('월 가계부'!A2099="","",IF(ISNUMBER('월 가계부'!A2099),IF(AND('월 가계부'!A2099&gt;=19000101,'월 가계부'!A2099&lt;=21001231),IF(AND(MOD(INT('월 가계부'!A2099/100),100)&gt;=1,MOD(INT('월 가계부'!A2099/100),100)&lt;=12,MOD(INT('월 가계부'!A2099),100)&gt;=1,MOD(INT('월 가계부'!A2099),100)&lt;=31),IF(MONTH(DATE(INT('월 가계부'!A2099/10000),MOD(INT('월 가계부'!A2099/100),100),MOD(INT('월 가계부'!A2099),100)))=MOD(INT('월 가계부'!A2099/100),100),DATE(INT('월 가계부'!A2099/10000),MOD(INT('월 가계부'!A2099/100),100),MOD(INT('월 가계부'!A2099),100)),""),""),IF(AND('월 가계부'!A2099&gt;=36526,'월 가계부'!A2099&lt;73051),INT('월 가계부'!A2099),"")),IF(OR(CM2099="",CN2099="",CO2099=""),"",IF(AND(CM2099&gt;=2000,CM2099&lt;=2099,CN2099&gt;=1,CN2099&lt;=12,CO2099&gt;=1,CO2099&lt;=31),IF(MONTH(DATE(CM2099,CN2099,CO2099))=CN2099,DATE(CM2099,CN2099,CO2099),""),"")))),"")</f>
        <v/>
      </c>
      <c r="CJ2099">
        <f>IFERROR(IF('월 가계부'!C2099="","",IF(ISNUMBER('월 가계부'!C2099),'월 가계부'!C2099,VALUE(SUBSTITUTE(SUBSTITUTE(SUBSTITUTE(SUBSTITUTE(TRIM('월 가계부'!C2099),",",""),"원","")," ",""),"−","-")))),"")</f>
        <v/>
      </c>
      <c r="CK2099">
        <f>IF(ISNUMBER(CI2099),IF(CI2099&lt;$B$13,CI2099,""),"")</f>
        <v/>
      </c>
      <c r="CM2099">
        <f>IF(CH2099="","",IFERROR(IF(IF(AND(LEN(CH2099)=9,ISERROR(FIND("-",LEFT(CH2099,8))),ISNUMBER(-LEFT(CH2099,8))),VALUE(LEFT(CH2099,4)),VALUE(LEFT(CH2099,FIND("-",CH2099)-1)))&lt;100,IF(AND(LEN(CH2099)=9,ISERROR(FIND("-",LEFT(CH2099,8))),ISNUMBER(-LEFT(CH2099,8))),VALUE(LEFT(CH2099,4)),VALUE(LEFT(CH2099,FIND("-",CH2099)-1)))+2000,IF(AND(LEN(CH2099)=9,ISERROR(FIND("-",LEFT(CH2099,8))),ISNUMBER(-LEFT(CH2099,8))),VALUE(LEFT(CH2099,4)),VALUE(LEFT(CH2099,FIND("-",CH2099)-1)))),""))</f>
        <v/>
      </c>
      <c r="CN2099">
        <f>IF(CH2099="","",IFERROR(IF(AND(LEN(CH2099)=9,ISERROR(FIND("-",LEFT(CH2099,8))),ISNUMBER(-LEFT(CH2099,8))),VALUE(MID(CH2099,5,2)),VALUE(MID(CH2099,FIND("-",CH2099)+1,FIND("-",CH2099,FIND("-",CH2099)+1)-FIND("-",CH2099)-1))),""))</f>
        <v/>
      </c>
      <c r="CO2099">
        <f>IF(CH2099="","",IFERROR(IF(AND(LEN(CH2099)=9,ISERROR(FIND("-",LEFT(CH2099,8))),ISNUMBER(-LEFT(CH2099,8))),VALUE(MID(CH2099,7,2)),VALUE(MID(CH2099,FIND("-",CH2099,FIND("-",CH2099)+1)+1,FIND("-",CH2099,FIND("-",CH2099,FIND("-",CH2099)+1)+1)-FIND("-",CH2099,FIND("-",CH2099)+1)-1))),""))</f>
        <v/>
      </c>
    </row>
    <row r="2100">
      <c r="CH2100">
        <f>IF(ISTEXT('월 가계부'!A2100),SUBSTITUTE(SUBSTITUTE(SUBSTITUTE(SUBSTITUTE(SUBSTITUTE(SUBSTITUTE(SUBSTITUTE(SUBSTITUTE(SUBSTITUTE(TRIM('월 가계부'!A2100),"년","-"),"월","-"),"일",""),".","-"),"/","-")," ","-"),"--","-"),"--","-"),"--","-")&amp;"-","")</f>
        <v/>
      </c>
      <c r="CI2100">
        <f>IFERROR(IF('월 가계부'!A2100="","",IF(ISNUMBER('월 가계부'!A2100),IF(AND('월 가계부'!A2100&gt;=19000101,'월 가계부'!A2100&lt;=21001231),IF(AND(MOD(INT('월 가계부'!A2100/100),100)&gt;=1,MOD(INT('월 가계부'!A2100/100),100)&lt;=12,MOD(INT('월 가계부'!A2100),100)&gt;=1,MOD(INT('월 가계부'!A2100),100)&lt;=31),IF(MONTH(DATE(INT('월 가계부'!A2100/10000),MOD(INT('월 가계부'!A2100/100),100),MOD(INT('월 가계부'!A2100),100)))=MOD(INT('월 가계부'!A2100/100),100),DATE(INT('월 가계부'!A2100/10000),MOD(INT('월 가계부'!A2100/100),100),MOD(INT('월 가계부'!A2100),100)),""),""),IF(AND('월 가계부'!A2100&gt;=36526,'월 가계부'!A2100&lt;73051),INT('월 가계부'!A2100),"")),IF(OR(CM2100="",CN2100="",CO2100=""),"",IF(AND(CM2100&gt;=2000,CM2100&lt;=2099,CN2100&gt;=1,CN2100&lt;=12,CO2100&gt;=1,CO2100&lt;=31),IF(MONTH(DATE(CM2100,CN2100,CO2100))=CN2100,DATE(CM2100,CN2100,CO2100),""),"")))),"")</f>
        <v/>
      </c>
      <c r="CJ2100">
        <f>IFERROR(IF('월 가계부'!C2100="","",IF(ISNUMBER('월 가계부'!C2100),'월 가계부'!C2100,VALUE(SUBSTITUTE(SUBSTITUTE(SUBSTITUTE(SUBSTITUTE(TRIM('월 가계부'!C2100),",",""),"원","")," ",""),"−","-")))),"")</f>
        <v/>
      </c>
      <c r="CK2100">
        <f>IF(ISNUMBER(CI2100),IF(CI2100&lt;$B$13,CI2100,""),"")</f>
        <v/>
      </c>
      <c r="CM2100">
        <f>IF(CH2100="","",IFERROR(IF(IF(AND(LEN(CH2100)=9,ISERROR(FIND("-",LEFT(CH2100,8))),ISNUMBER(-LEFT(CH2100,8))),VALUE(LEFT(CH2100,4)),VALUE(LEFT(CH2100,FIND("-",CH2100)-1)))&lt;100,IF(AND(LEN(CH2100)=9,ISERROR(FIND("-",LEFT(CH2100,8))),ISNUMBER(-LEFT(CH2100,8))),VALUE(LEFT(CH2100,4)),VALUE(LEFT(CH2100,FIND("-",CH2100)-1)))+2000,IF(AND(LEN(CH2100)=9,ISERROR(FIND("-",LEFT(CH2100,8))),ISNUMBER(-LEFT(CH2100,8))),VALUE(LEFT(CH2100,4)),VALUE(LEFT(CH2100,FIND("-",CH2100)-1)))),""))</f>
        <v/>
      </c>
      <c r="CN2100">
        <f>IF(CH2100="","",IFERROR(IF(AND(LEN(CH2100)=9,ISERROR(FIND("-",LEFT(CH2100,8))),ISNUMBER(-LEFT(CH2100,8))),VALUE(MID(CH2100,5,2)),VALUE(MID(CH2100,FIND("-",CH2100)+1,FIND("-",CH2100,FIND("-",CH2100)+1)-FIND("-",CH2100)-1))),""))</f>
        <v/>
      </c>
      <c r="CO2100">
        <f>IF(CH2100="","",IFERROR(IF(AND(LEN(CH2100)=9,ISERROR(FIND("-",LEFT(CH2100,8))),ISNUMBER(-LEFT(CH2100,8))),VALUE(MID(CH2100,7,2)),VALUE(MID(CH2100,FIND("-",CH2100,FIND("-",CH2100)+1)+1,FIND("-",CH2100,FIND("-",CH2100,FIND("-",CH2100)+1)+1)-FIND("-",CH2100,FIND("-",CH2100)+1)-1))),""))</f>
        <v/>
      </c>
    </row>
    <row r="2101">
      <c r="CH2101">
        <f>IF(ISTEXT('월 가계부'!A2101),SUBSTITUTE(SUBSTITUTE(SUBSTITUTE(SUBSTITUTE(SUBSTITUTE(SUBSTITUTE(SUBSTITUTE(SUBSTITUTE(SUBSTITUTE(TRIM('월 가계부'!A2101),"년","-"),"월","-"),"일",""),".","-"),"/","-")," ","-"),"--","-"),"--","-"),"--","-")&amp;"-","")</f>
        <v/>
      </c>
      <c r="CI2101">
        <f>IFERROR(IF('월 가계부'!A2101="","",IF(ISNUMBER('월 가계부'!A2101),IF(AND('월 가계부'!A2101&gt;=19000101,'월 가계부'!A2101&lt;=21001231),IF(AND(MOD(INT('월 가계부'!A2101/100),100)&gt;=1,MOD(INT('월 가계부'!A2101/100),100)&lt;=12,MOD(INT('월 가계부'!A2101),100)&gt;=1,MOD(INT('월 가계부'!A2101),100)&lt;=31),IF(MONTH(DATE(INT('월 가계부'!A2101/10000),MOD(INT('월 가계부'!A2101/100),100),MOD(INT('월 가계부'!A2101),100)))=MOD(INT('월 가계부'!A2101/100),100),DATE(INT('월 가계부'!A2101/10000),MOD(INT('월 가계부'!A2101/100),100),MOD(INT('월 가계부'!A2101),100)),""),""),IF(AND('월 가계부'!A2101&gt;=36526,'월 가계부'!A2101&lt;73051),INT('월 가계부'!A2101),"")),IF(OR(CM2101="",CN2101="",CO2101=""),"",IF(AND(CM2101&gt;=2000,CM2101&lt;=2099,CN2101&gt;=1,CN2101&lt;=12,CO2101&gt;=1,CO2101&lt;=31),IF(MONTH(DATE(CM2101,CN2101,CO2101))=CN2101,DATE(CM2101,CN2101,CO2101),""),"")))),"")</f>
        <v/>
      </c>
      <c r="CJ2101">
        <f>IFERROR(IF('월 가계부'!C2101="","",IF(ISNUMBER('월 가계부'!C2101),'월 가계부'!C2101,VALUE(SUBSTITUTE(SUBSTITUTE(SUBSTITUTE(SUBSTITUTE(TRIM('월 가계부'!C2101),",",""),"원","")," ",""),"−","-")))),"")</f>
        <v/>
      </c>
      <c r="CK2101">
        <f>IF(ISNUMBER(CI2101),IF(CI2101&lt;$B$13,CI2101,""),"")</f>
        <v/>
      </c>
      <c r="CM2101">
        <f>IF(CH2101="","",IFERROR(IF(IF(AND(LEN(CH2101)=9,ISERROR(FIND("-",LEFT(CH2101,8))),ISNUMBER(-LEFT(CH2101,8))),VALUE(LEFT(CH2101,4)),VALUE(LEFT(CH2101,FIND("-",CH2101)-1)))&lt;100,IF(AND(LEN(CH2101)=9,ISERROR(FIND("-",LEFT(CH2101,8))),ISNUMBER(-LEFT(CH2101,8))),VALUE(LEFT(CH2101,4)),VALUE(LEFT(CH2101,FIND("-",CH2101)-1)))+2000,IF(AND(LEN(CH2101)=9,ISERROR(FIND("-",LEFT(CH2101,8))),ISNUMBER(-LEFT(CH2101,8))),VALUE(LEFT(CH2101,4)),VALUE(LEFT(CH2101,FIND("-",CH2101)-1)))),""))</f>
        <v/>
      </c>
      <c r="CN2101">
        <f>IF(CH2101="","",IFERROR(IF(AND(LEN(CH2101)=9,ISERROR(FIND("-",LEFT(CH2101,8))),ISNUMBER(-LEFT(CH2101,8))),VALUE(MID(CH2101,5,2)),VALUE(MID(CH2101,FIND("-",CH2101)+1,FIND("-",CH2101,FIND("-",CH2101)+1)-FIND("-",CH2101)-1))),""))</f>
        <v/>
      </c>
      <c r="CO2101">
        <f>IF(CH2101="","",IFERROR(IF(AND(LEN(CH2101)=9,ISERROR(FIND("-",LEFT(CH2101,8))),ISNUMBER(-LEFT(CH2101,8))),VALUE(MID(CH2101,7,2)),VALUE(MID(CH2101,FIND("-",CH2101,FIND("-",CH2101)+1)+1,FIND("-",CH2101,FIND("-",CH2101,FIND("-",CH2101)+1)+1)-FIND("-",CH2101,FIND("-",CH2101)+1)-1))),""))</f>
        <v/>
      </c>
    </row>
    <row r="2102">
      <c r="CH2102">
        <f>IF(ISTEXT('월 가계부'!A2102),SUBSTITUTE(SUBSTITUTE(SUBSTITUTE(SUBSTITUTE(SUBSTITUTE(SUBSTITUTE(SUBSTITUTE(SUBSTITUTE(SUBSTITUTE(TRIM('월 가계부'!A2102),"년","-"),"월","-"),"일",""),".","-"),"/","-")," ","-"),"--","-"),"--","-"),"--","-")&amp;"-","")</f>
        <v/>
      </c>
      <c r="CI2102">
        <f>IFERROR(IF('월 가계부'!A2102="","",IF(ISNUMBER('월 가계부'!A2102),IF(AND('월 가계부'!A2102&gt;=19000101,'월 가계부'!A2102&lt;=21001231),IF(AND(MOD(INT('월 가계부'!A2102/100),100)&gt;=1,MOD(INT('월 가계부'!A2102/100),100)&lt;=12,MOD(INT('월 가계부'!A2102),100)&gt;=1,MOD(INT('월 가계부'!A2102),100)&lt;=31),IF(MONTH(DATE(INT('월 가계부'!A2102/10000),MOD(INT('월 가계부'!A2102/100),100),MOD(INT('월 가계부'!A2102),100)))=MOD(INT('월 가계부'!A2102/100),100),DATE(INT('월 가계부'!A2102/10000),MOD(INT('월 가계부'!A2102/100),100),MOD(INT('월 가계부'!A2102),100)),""),""),IF(AND('월 가계부'!A2102&gt;=36526,'월 가계부'!A2102&lt;73051),INT('월 가계부'!A2102),"")),IF(OR(CM2102="",CN2102="",CO2102=""),"",IF(AND(CM2102&gt;=2000,CM2102&lt;=2099,CN2102&gt;=1,CN2102&lt;=12,CO2102&gt;=1,CO2102&lt;=31),IF(MONTH(DATE(CM2102,CN2102,CO2102))=CN2102,DATE(CM2102,CN2102,CO2102),""),"")))),"")</f>
        <v/>
      </c>
      <c r="CJ2102">
        <f>IFERROR(IF('월 가계부'!C2102="","",IF(ISNUMBER('월 가계부'!C2102),'월 가계부'!C2102,VALUE(SUBSTITUTE(SUBSTITUTE(SUBSTITUTE(SUBSTITUTE(TRIM('월 가계부'!C2102),",",""),"원","")," ",""),"−","-")))),"")</f>
        <v/>
      </c>
      <c r="CK2102">
        <f>IF(ISNUMBER(CI2102),IF(CI2102&lt;$B$13,CI2102,""),"")</f>
        <v/>
      </c>
      <c r="CM2102">
        <f>IF(CH2102="","",IFERROR(IF(IF(AND(LEN(CH2102)=9,ISERROR(FIND("-",LEFT(CH2102,8))),ISNUMBER(-LEFT(CH2102,8))),VALUE(LEFT(CH2102,4)),VALUE(LEFT(CH2102,FIND("-",CH2102)-1)))&lt;100,IF(AND(LEN(CH2102)=9,ISERROR(FIND("-",LEFT(CH2102,8))),ISNUMBER(-LEFT(CH2102,8))),VALUE(LEFT(CH2102,4)),VALUE(LEFT(CH2102,FIND("-",CH2102)-1)))+2000,IF(AND(LEN(CH2102)=9,ISERROR(FIND("-",LEFT(CH2102,8))),ISNUMBER(-LEFT(CH2102,8))),VALUE(LEFT(CH2102,4)),VALUE(LEFT(CH2102,FIND("-",CH2102)-1)))),""))</f>
        <v/>
      </c>
      <c r="CN2102">
        <f>IF(CH2102="","",IFERROR(IF(AND(LEN(CH2102)=9,ISERROR(FIND("-",LEFT(CH2102,8))),ISNUMBER(-LEFT(CH2102,8))),VALUE(MID(CH2102,5,2)),VALUE(MID(CH2102,FIND("-",CH2102)+1,FIND("-",CH2102,FIND("-",CH2102)+1)-FIND("-",CH2102)-1))),""))</f>
        <v/>
      </c>
      <c r="CO2102">
        <f>IF(CH2102="","",IFERROR(IF(AND(LEN(CH2102)=9,ISERROR(FIND("-",LEFT(CH2102,8))),ISNUMBER(-LEFT(CH2102,8))),VALUE(MID(CH2102,7,2)),VALUE(MID(CH2102,FIND("-",CH2102,FIND("-",CH2102)+1)+1,FIND("-",CH2102,FIND("-",CH2102,FIND("-",CH2102)+1)+1)-FIND("-",CH2102,FIND("-",CH2102)+1)-1))),""))</f>
        <v/>
      </c>
    </row>
    <row r="2103">
      <c r="CH2103">
        <f>IF(ISTEXT('월 가계부'!A2103),SUBSTITUTE(SUBSTITUTE(SUBSTITUTE(SUBSTITUTE(SUBSTITUTE(SUBSTITUTE(SUBSTITUTE(SUBSTITUTE(SUBSTITUTE(TRIM('월 가계부'!A2103),"년","-"),"월","-"),"일",""),".","-"),"/","-")," ","-"),"--","-"),"--","-"),"--","-")&amp;"-","")</f>
        <v/>
      </c>
      <c r="CI2103">
        <f>IFERROR(IF('월 가계부'!A2103="","",IF(ISNUMBER('월 가계부'!A2103),IF(AND('월 가계부'!A2103&gt;=19000101,'월 가계부'!A2103&lt;=21001231),IF(AND(MOD(INT('월 가계부'!A2103/100),100)&gt;=1,MOD(INT('월 가계부'!A2103/100),100)&lt;=12,MOD(INT('월 가계부'!A2103),100)&gt;=1,MOD(INT('월 가계부'!A2103),100)&lt;=31),IF(MONTH(DATE(INT('월 가계부'!A2103/10000),MOD(INT('월 가계부'!A2103/100),100),MOD(INT('월 가계부'!A2103),100)))=MOD(INT('월 가계부'!A2103/100),100),DATE(INT('월 가계부'!A2103/10000),MOD(INT('월 가계부'!A2103/100),100),MOD(INT('월 가계부'!A2103),100)),""),""),IF(AND('월 가계부'!A2103&gt;=36526,'월 가계부'!A2103&lt;73051),INT('월 가계부'!A2103),"")),IF(OR(CM2103="",CN2103="",CO2103=""),"",IF(AND(CM2103&gt;=2000,CM2103&lt;=2099,CN2103&gt;=1,CN2103&lt;=12,CO2103&gt;=1,CO2103&lt;=31),IF(MONTH(DATE(CM2103,CN2103,CO2103))=CN2103,DATE(CM2103,CN2103,CO2103),""),"")))),"")</f>
        <v/>
      </c>
      <c r="CJ2103">
        <f>IFERROR(IF('월 가계부'!C2103="","",IF(ISNUMBER('월 가계부'!C2103),'월 가계부'!C2103,VALUE(SUBSTITUTE(SUBSTITUTE(SUBSTITUTE(SUBSTITUTE(TRIM('월 가계부'!C2103),",",""),"원","")," ",""),"−","-")))),"")</f>
        <v/>
      </c>
      <c r="CK2103">
        <f>IF(ISNUMBER(CI2103),IF(CI2103&lt;$B$13,CI2103,""),"")</f>
        <v/>
      </c>
      <c r="CM2103">
        <f>IF(CH2103="","",IFERROR(IF(IF(AND(LEN(CH2103)=9,ISERROR(FIND("-",LEFT(CH2103,8))),ISNUMBER(-LEFT(CH2103,8))),VALUE(LEFT(CH2103,4)),VALUE(LEFT(CH2103,FIND("-",CH2103)-1)))&lt;100,IF(AND(LEN(CH2103)=9,ISERROR(FIND("-",LEFT(CH2103,8))),ISNUMBER(-LEFT(CH2103,8))),VALUE(LEFT(CH2103,4)),VALUE(LEFT(CH2103,FIND("-",CH2103)-1)))+2000,IF(AND(LEN(CH2103)=9,ISERROR(FIND("-",LEFT(CH2103,8))),ISNUMBER(-LEFT(CH2103,8))),VALUE(LEFT(CH2103,4)),VALUE(LEFT(CH2103,FIND("-",CH2103)-1)))),""))</f>
        <v/>
      </c>
      <c r="CN2103">
        <f>IF(CH2103="","",IFERROR(IF(AND(LEN(CH2103)=9,ISERROR(FIND("-",LEFT(CH2103,8))),ISNUMBER(-LEFT(CH2103,8))),VALUE(MID(CH2103,5,2)),VALUE(MID(CH2103,FIND("-",CH2103)+1,FIND("-",CH2103,FIND("-",CH2103)+1)-FIND("-",CH2103)-1))),""))</f>
        <v/>
      </c>
      <c r="CO2103">
        <f>IF(CH2103="","",IFERROR(IF(AND(LEN(CH2103)=9,ISERROR(FIND("-",LEFT(CH2103,8))),ISNUMBER(-LEFT(CH2103,8))),VALUE(MID(CH2103,7,2)),VALUE(MID(CH2103,FIND("-",CH2103,FIND("-",CH2103)+1)+1,FIND("-",CH2103,FIND("-",CH2103,FIND("-",CH2103)+1)+1)-FIND("-",CH2103,FIND("-",CH2103)+1)-1))),""))</f>
        <v/>
      </c>
    </row>
    <row r="2104">
      <c r="CH2104">
        <f>IF(ISTEXT('월 가계부'!A2104),SUBSTITUTE(SUBSTITUTE(SUBSTITUTE(SUBSTITUTE(SUBSTITUTE(SUBSTITUTE(SUBSTITUTE(SUBSTITUTE(SUBSTITUTE(TRIM('월 가계부'!A2104),"년","-"),"월","-"),"일",""),".","-"),"/","-")," ","-"),"--","-"),"--","-"),"--","-")&amp;"-","")</f>
        <v/>
      </c>
      <c r="CI2104">
        <f>IFERROR(IF('월 가계부'!A2104="","",IF(ISNUMBER('월 가계부'!A2104),IF(AND('월 가계부'!A2104&gt;=19000101,'월 가계부'!A2104&lt;=21001231),IF(AND(MOD(INT('월 가계부'!A2104/100),100)&gt;=1,MOD(INT('월 가계부'!A2104/100),100)&lt;=12,MOD(INT('월 가계부'!A2104),100)&gt;=1,MOD(INT('월 가계부'!A2104),100)&lt;=31),IF(MONTH(DATE(INT('월 가계부'!A2104/10000),MOD(INT('월 가계부'!A2104/100),100),MOD(INT('월 가계부'!A2104),100)))=MOD(INT('월 가계부'!A2104/100),100),DATE(INT('월 가계부'!A2104/10000),MOD(INT('월 가계부'!A2104/100),100),MOD(INT('월 가계부'!A2104),100)),""),""),IF(AND('월 가계부'!A2104&gt;=36526,'월 가계부'!A2104&lt;73051),INT('월 가계부'!A2104),"")),IF(OR(CM2104="",CN2104="",CO2104=""),"",IF(AND(CM2104&gt;=2000,CM2104&lt;=2099,CN2104&gt;=1,CN2104&lt;=12,CO2104&gt;=1,CO2104&lt;=31),IF(MONTH(DATE(CM2104,CN2104,CO2104))=CN2104,DATE(CM2104,CN2104,CO2104),""),"")))),"")</f>
        <v/>
      </c>
      <c r="CJ2104">
        <f>IFERROR(IF('월 가계부'!C2104="","",IF(ISNUMBER('월 가계부'!C2104),'월 가계부'!C2104,VALUE(SUBSTITUTE(SUBSTITUTE(SUBSTITUTE(SUBSTITUTE(TRIM('월 가계부'!C2104),",",""),"원","")," ",""),"−","-")))),"")</f>
        <v/>
      </c>
      <c r="CK2104">
        <f>IF(ISNUMBER(CI2104),IF(CI2104&lt;$B$13,CI2104,""),"")</f>
        <v/>
      </c>
      <c r="CM2104">
        <f>IF(CH2104="","",IFERROR(IF(IF(AND(LEN(CH2104)=9,ISERROR(FIND("-",LEFT(CH2104,8))),ISNUMBER(-LEFT(CH2104,8))),VALUE(LEFT(CH2104,4)),VALUE(LEFT(CH2104,FIND("-",CH2104)-1)))&lt;100,IF(AND(LEN(CH2104)=9,ISERROR(FIND("-",LEFT(CH2104,8))),ISNUMBER(-LEFT(CH2104,8))),VALUE(LEFT(CH2104,4)),VALUE(LEFT(CH2104,FIND("-",CH2104)-1)))+2000,IF(AND(LEN(CH2104)=9,ISERROR(FIND("-",LEFT(CH2104,8))),ISNUMBER(-LEFT(CH2104,8))),VALUE(LEFT(CH2104,4)),VALUE(LEFT(CH2104,FIND("-",CH2104)-1)))),""))</f>
        <v/>
      </c>
      <c r="CN2104">
        <f>IF(CH2104="","",IFERROR(IF(AND(LEN(CH2104)=9,ISERROR(FIND("-",LEFT(CH2104,8))),ISNUMBER(-LEFT(CH2104,8))),VALUE(MID(CH2104,5,2)),VALUE(MID(CH2104,FIND("-",CH2104)+1,FIND("-",CH2104,FIND("-",CH2104)+1)-FIND("-",CH2104)-1))),""))</f>
        <v/>
      </c>
      <c r="CO2104">
        <f>IF(CH2104="","",IFERROR(IF(AND(LEN(CH2104)=9,ISERROR(FIND("-",LEFT(CH2104,8))),ISNUMBER(-LEFT(CH2104,8))),VALUE(MID(CH2104,7,2)),VALUE(MID(CH2104,FIND("-",CH2104,FIND("-",CH2104)+1)+1,FIND("-",CH2104,FIND("-",CH2104,FIND("-",CH2104)+1)+1)-FIND("-",CH2104,FIND("-",CH2104)+1)-1))),""))</f>
        <v/>
      </c>
    </row>
    <row r="2105">
      <c r="CH2105">
        <f>IF(ISTEXT('월 가계부'!A2105),SUBSTITUTE(SUBSTITUTE(SUBSTITUTE(SUBSTITUTE(SUBSTITUTE(SUBSTITUTE(SUBSTITUTE(SUBSTITUTE(SUBSTITUTE(TRIM('월 가계부'!A2105),"년","-"),"월","-"),"일",""),".","-"),"/","-")," ","-"),"--","-"),"--","-"),"--","-")&amp;"-","")</f>
        <v/>
      </c>
      <c r="CI2105">
        <f>IFERROR(IF('월 가계부'!A2105="","",IF(ISNUMBER('월 가계부'!A2105),IF(AND('월 가계부'!A2105&gt;=19000101,'월 가계부'!A2105&lt;=21001231),IF(AND(MOD(INT('월 가계부'!A2105/100),100)&gt;=1,MOD(INT('월 가계부'!A2105/100),100)&lt;=12,MOD(INT('월 가계부'!A2105),100)&gt;=1,MOD(INT('월 가계부'!A2105),100)&lt;=31),IF(MONTH(DATE(INT('월 가계부'!A2105/10000),MOD(INT('월 가계부'!A2105/100),100),MOD(INT('월 가계부'!A2105),100)))=MOD(INT('월 가계부'!A2105/100),100),DATE(INT('월 가계부'!A2105/10000),MOD(INT('월 가계부'!A2105/100),100),MOD(INT('월 가계부'!A2105),100)),""),""),IF(AND('월 가계부'!A2105&gt;=36526,'월 가계부'!A2105&lt;73051),INT('월 가계부'!A2105),"")),IF(OR(CM2105="",CN2105="",CO2105=""),"",IF(AND(CM2105&gt;=2000,CM2105&lt;=2099,CN2105&gt;=1,CN2105&lt;=12,CO2105&gt;=1,CO2105&lt;=31),IF(MONTH(DATE(CM2105,CN2105,CO2105))=CN2105,DATE(CM2105,CN2105,CO2105),""),"")))),"")</f>
        <v/>
      </c>
      <c r="CJ2105">
        <f>IFERROR(IF('월 가계부'!C2105="","",IF(ISNUMBER('월 가계부'!C2105),'월 가계부'!C2105,VALUE(SUBSTITUTE(SUBSTITUTE(SUBSTITUTE(SUBSTITUTE(TRIM('월 가계부'!C2105),",",""),"원","")," ",""),"−","-")))),"")</f>
        <v/>
      </c>
      <c r="CK2105">
        <f>IF(ISNUMBER(CI2105),IF(CI2105&lt;$B$13,CI2105,""),"")</f>
        <v/>
      </c>
      <c r="CM2105">
        <f>IF(CH2105="","",IFERROR(IF(IF(AND(LEN(CH2105)=9,ISERROR(FIND("-",LEFT(CH2105,8))),ISNUMBER(-LEFT(CH2105,8))),VALUE(LEFT(CH2105,4)),VALUE(LEFT(CH2105,FIND("-",CH2105)-1)))&lt;100,IF(AND(LEN(CH2105)=9,ISERROR(FIND("-",LEFT(CH2105,8))),ISNUMBER(-LEFT(CH2105,8))),VALUE(LEFT(CH2105,4)),VALUE(LEFT(CH2105,FIND("-",CH2105)-1)))+2000,IF(AND(LEN(CH2105)=9,ISERROR(FIND("-",LEFT(CH2105,8))),ISNUMBER(-LEFT(CH2105,8))),VALUE(LEFT(CH2105,4)),VALUE(LEFT(CH2105,FIND("-",CH2105)-1)))),""))</f>
        <v/>
      </c>
      <c r="CN2105">
        <f>IF(CH2105="","",IFERROR(IF(AND(LEN(CH2105)=9,ISERROR(FIND("-",LEFT(CH2105,8))),ISNUMBER(-LEFT(CH2105,8))),VALUE(MID(CH2105,5,2)),VALUE(MID(CH2105,FIND("-",CH2105)+1,FIND("-",CH2105,FIND("-",CH2105)+1)-FIND("-",CH2105)-1))),""))</f>
        <v/>
      </c>
      <c r="CO2105">
        <f>IF(CH2105="","",IFERROR(IF(AND(LEN(CH2105)=9,ISERROR(FIND("-",LEFT(CH2105,8))),ISNUMBER(-LEFT(CH2105,8))),VALUE(MID(CH2105,7,2)),VALUE(MID(CH2105,FIND("-",CH2105,FIND("-",CH2105)+1)+1,FIND("-",CH2105,FIND("-",CH2105,FIND("-",CH2105)+1)+1)-FIND("-",CH2105,FIND("-",CH2105)+1)-1))),""))</f>
        <v/>
      </c>
    </row>
    <row r="2106">
      <c r="CH2106">
        <f>IF(ISTEXT('월 가계부'!A2106),SUBSTITUTE(SUBSTITUTE(SUBSTITUTE(SUBSTITUTE(SUBSTITUTE(SUBSTITUTE(SUBSTITUTE(SUBSTITUTE(SUBSTITUTE(TRIM('월 가계부'!A2106),"년","-"),"월","-"),"일",""),".","-"),"/","-")," ","-"),"--","-"),"--","-"),"--","-")&amp;"-","")</f>
        <v/>
      </c>
      <c r="CI2106">
        <f>IFERROR(IF('월 가계부'!A2106="","",IF(ISNUMBER('월 가계부'!A2106),IF(AND('월 가계부'!A2106&gt;=19000101,'월 가계부'!A2106&lt;=21001231),IF(AND(MOD(INT('월 가계부'!A2106/100),100)&gt;=1,MOD(INT('월 가계부'!A2106/100),100)&lt;=12,MOD(INT('월 가계부'!A2106),100)&gt;=1,MOD(INT('월 가계부'!A2106),100)&lt;=31),IF(MONTH(DATE(INT('월 가계부'!A2106/10000),MOD(INT('월 가계부'!A2106/100),100),MOD(INT('월 가계부'!A2106),100)))=MOD(INT('월 가계부'!A2106/100),100),DATE(INT('월 가계부'!A2106/10000),MOD(INT('월 가계부'!A2106/100),100),MOD(INT('월 가계부'!A2106),100)),""),""),IF(AND('월 가계부'!A2106&gt;=36526,'월 가계부'!A2106&lt;73051),INT('월 가계부'!A2106),"")),IF(OR(CM2106="",CN2106="",CO2106=""),"",IF(AND(CM2106&gt;=2000,CM2106&lt;=2099,CN2106&gt;=1,CN2106&lt;=12,CO2106&gt;=1,CO2106&lt;=31),IF(MONTH(DATE(CM2106,CN2106,CO2106))=CN2106,DATE(CM2106,CN2106,CO2106),""),"")))),"")</f>
        <v/>
      </c>
      <c r="CJ2106">
        <f>IFERROR(IF('월 가계부'!C2106="","",IF(ISNUMBER('월 가계부'!C2106),'월 가계부'!C2106,VALUE(SUBSTITUTE(SUBSTITUTE(SUBSTITUTE(SUBSTITUTE(TRIM('월 가계부'!C2106),",",""),"원","")," ",""),"−","-")))),"")</f>
        <v/>
      </c>
      <c r="CK2106">
        <f>IF(ISNUMBER(CI2106),IF(CI2106&lt;$B$13,CI2106,""),"")</f>
        <v/>
      </c>
      <c r="CM2106">
        <f>IF(CH2106="","",IFERROR(IF(IF(AND(LEN(CH2106)=9,ISERROR(FIND("-",LEFT(CH2106,8))),ISNUMBER(-LEFT(CH2106,8))),VALUE(LEFT(CH2106,4)),VALUE(LEFT(CH2106,FIND("-",CH2106)-1)))&lt;100,IF(AND(LEN(CH2106)=9,ISERROR(FIND("-",LEFT(CH2106,8))),ISNUMBER(-LEFT(CH2106,8))),VALUE(LEFT(CH2106,4)),VALUE(LEFT(CH2106,FIND("-",CH2106)-1)))+2000,IF(AND(LEN(CH2106)=9,ISERROR(FIND("-",LEFT(CH2106,8))),ISNUMBER(-LEFT(CH2106,8))),VALUE(LEFT(CH2106,4)),VALUE(LEFT(CH2106,FIND("-",CH2106)-1)))),""))</f>
        <v/>
      </c>
      <c r="CN2106">
        <f>IF(CH2106="","",IFERROR(IF(AND(LEN(CH2106)=9,ISERROR(FIND("-",LEFT(CH2106,8))),ISNUMBER(-LEFT(CH2106,8))),VALUE(MID(CH2106,5,2)),VALUE(MID(CH2106,FIND("-",CH2106)+1,FIND("-",CH2106,FIND("-",CH2106)+1)-FIND("-",CH2106)-1))),""))</f>
        <v/>
      </c>
      <c r="CO2106">
        <f>IF(CH2106="","",IFERROR(IF(AND(LEN(CH2106)=9,ISERROR(FIND("-",LEFT(CH2106,8))),ISNUMBER(-LEFT(CH2106,8))),VALUE(MID(CH2106,7,2)),VALUE(MID(CH2106,FIND("-",CH2106,FIND("-",CH2106)+1)+1,FIND("-",CH2106,FIND("-",CH2106,FIND("-",CH2106)+1)+1)-FIND("-",CH2106,FIND("-",CH2106)+1)-1))),""))</f>
        <v/>
      </c>
    </row>
    <row r="2107">
      <c r="CH2107">
        <f>IF(ISTEXT('월 가계부'!A2107),SUBSTITUTE(SUBSTITUTE(SUBSTITUTE(SUBSTITUTE(SUBSTITUTE(SUBSTITUTE(SUBSTITUTE(SUBSTITUTE(SUBSTITUTE(TRIM('월 가계부'!A2107),"년","-"),"월","-"),"일",""),".","-"),"/","-")," ","-"),"--","-"),"--","-"),"--","-")&amp;"-","")</f>
        <v/>
      </c>
      <c r="CI2107">
        <f>IFERROR(IF('월 가계부'!A2107="","",IF(ISNUMBER('월 가계부'!A2107),IF(AND('월 가계부'!A2107&gt;=19000101,'월 가계부'!A2107&lt;=21001231),IF(AND(MOD(INT('월 가계부'!A2107/100),100)&gt;=1,MOD(INT('월 가계부'!A2107/100),100)&lt;=12,MOD(INT('월 가계부'!A2107),100)&gt;=1,MOD(INT('월 가계부'!A2107),100)&lt;=31),IF(MONTH(DATE(INT('월 가계부'!A2107/10000),MOD(INT('월 가계부'!A2107/100),100),MOD(INT('월 가계부'!A2107),100)))=MOD(INT('월 가계부'!A2107/100),100),DATE(INT('월 가계부'!A2107/10000),MOD(INT('월 가계부'!A2107/100),100),MOD(INT('월 가계부'!A2107),100)),""),""),IF(AND('월 가계부'!A2107&gt;=36526,'월 가계부'!A2107&lt;73051),INT('월 가계부'!A2107),"")),IF(OR(CM2107="",CN2107="",CO2107=""),"",IF(AND(CM2107&gt;=2000,CM2107&lt;=2099,CN2107&gt;=1,CN2107&lt;=12,CO2107&gt;=1,CO2107&lt;=31),IF(MONTH(DATE(CM2107,CN2107,CO2107))=CN2107,DATE(CM2107,CN2107,CO2107),""),"")))),"")</f>
        <v/>
      </c>
      <c r="CJ2107">
        <f>IFERROR(IF('월 가계부'!C2107="","",IF(ISNUMBER('월 가계부'!C2107),'월 가계부'!C2107,VALUE(SUBSTITUTE(SUBSTITUTE(SUBSTITUTE(SUBSTITUTE(TRIM('월 가계부'!C2107),",",""),"원","")," ",""),"−","-")))),"")</f>
        <v/>
      </c>
      <c r="CK2107">
        <f>IF(ISNUMBER(CI2107),IF(CI2107&lt;$B$13,CI2107,""),"")</f>
        <v/>
      </c>
      <c r="CM2107">
        <f>IF(CH2107="","",IFERROR(IF(IF(AND(LEN(CH2107)=9,ISERROR(FIND("-",LEFT(CH2107,8))),ISNUMBER(-LEFT(CH2107,8))),VALUE(LEFT(CH2107,4)),VALUE(LEFT(CH2107,FIND("-",CH2107)-1)))&lt;100,IF(AND(LEN(CH2107)=9,ISERROR(FIND("-",LEFT(CH2107,8))),ISNUMBER(-LEFT(CH2107,8))),VALUE(LEFT(CH2107,4)),VALUE(LEFT(CH2107,FIND("-",CH2107)-1)))+2000,IF(AND(LEN(CH2107)=9,ISERROR(FIND("-",LEFT(CH2107,8))),ISNUMBER(-LEFT(CH2107,8))),VALUE(LEFT(CH2107,4)),VALUE(LEFT(CH2107,FIND("-",CH2107)-1)))),""))</f>
        <v/>
      </c>
      <c r="CN2107">
        <f>IF(CH2107="","",IFERROR(IF(AND(LEN(CH2107)=9,ISERROR(FIND("-",LEFT(CH2107,8))),ISNUMBER(-LEFT(CH2107,8))),VALUE(MID(CH2107,5,2)),VALUE(MID(CH2107,FIND("-",CH2107)+1,FIND("-",CH2107,FIND("-",CH2107)+1)-FIND("-",CH2107)-1))),""))</f>
        <v/>
      </c>
      <c r="CO2107">
        <f>IF(CH2107="","",IFERROR(IF(AND(LEN(CH2107)=9,ISERROR(FIND("-",LEFT(CH2107,8))),ISNUMBER(-LEFT(CH2107,8))),VALUE(MID(CH2107,7,2)),VALUE(MID(CH2107,FIND("-",CH2107,FIND("-",CH2107)+1)+1,FIND("-",CH2107,FIND("-",CH2107,FIND("-",CH2107)+1)+1)-FIND("-",CH2107,FIND("-",CH2107)+1)-1))),""))</f>
        <v/>
      </c>
    </row>
    <row r="2108">
      <c r="CH2108">
        <f>IF(ISTEXT('월 가계부'!A2108),SUBSTITUTE(SUBSTITUTE(SUBSTITUTE(SUBSTITUTE(SUBSTITUTE(SUBSTITUTE(SUBSTITUTE(SUBSTITUTE(SUBSTITUTE(TRIM('월 가계부'!A2108),"년","-"),"월","-"),"일",""),".","-"),"/","-")," ","-"),"--","-"),"--","-"),"--","-")&amp;"-","")</f>
        <v/>
      </c>
      <c r="CI2108">
        <f>IFERROR(IF('월 가계부'!A2108="","",IF(ISNUMBER('월 가계부'!A2108),IF(AND('월 가계부'!A2108&gt;=19000101,'월 가계부'!A2108&lt;=21001231),IF(AND(MOD(INT('월 가계부'!A2108/100),100)&gt;=1,MOD(INT('월 가계부'!A2108/100),100)&lt;=12,MOD(INT('월 가계부'!A2108),100)&gt;=1,MOD(INT('월 가계부'!A2108),100)&lt;=31),IF(MONTH(DATE(INT('월 가계부'!A2108/10000),MOD(INT('월 가계부'!A2108/100),100),MOD(INT('월 가계부'!A2108),100)))=MOD(INT('월 가계부'!A2108/100),100),DATE(INT('월 가계부'!A2108/10000),MOD(INT('월 가계부'!A2108/100),100),MOD(INT('월 가계부'!A2108),100)),""),""),IF(AND('월 가계부'!A2108&gt;=36526,'월 가계부'!A2108&lt;73051),INT('월 가계부'!A2108),"")),IF(OR(CM2108="",CN2108="",CO2108=""),"",IF(AND(CM2108&gt;=2000,CM2108&lt;=2099,CN2108&gt;=1,CN2108&lt;=12,CO2108&gt;=1,CO2108&lt;=31),IF(MONTH(DATE(CM2108,CN2108,CO2108))=CN2108,DATE(CM2108,CN2108,CO2108),""),"")))),"")</f>
        <v/>
      </c>
      <c r="CJ2108">
        <f>IFERROR(IF('월 가계부'!C2108="","",IF(ISNUMBER('월 가계부'!C2108),'월 가계부'!C2108,VALUE(SUBSTITUTE(SUBSTITUTE(SUBSTITUTE(SUBSTITUTE(TRIM('월 가계부'!C2108),",",""),"원","")," ",""),"−","-")))),"")</f>
        <v/>
      </c>
      <c r="CK2108">
        <f>IF(ISNUMBER(CI2108),IF(CI2108&lt;$B$13,CI2108,""),"")</f>
        <v/>
      </c>
      <c r="CM2108">
        <f>IF(CH2108="","",IFERROR(IF(IF(AND(LEN(CH2108)=9,ISERROR(FIND("-",LEFT(CH2108,8))),ISNUMBER(-LEFT(CH2108,8))),VALUE(LEFT(CH2108,4)),VALUE(LEFT(CH2108,FIND("-",CH2108)-1)))&lt;100,IF(AND(LEN(CH2108)=9,ISERROR(FIND("-",LEFT(CH2108,8))),ISNUMBER(-LEFT(CH2108,8))),VALUE(LEFT(CH2108,4)),VALUE(LEFT(CH2108,FIND("-",CH2108)-1)))+2000,IF(AND(LEN(CH2108)=9,ISERROR(FIND("-",LEFT(CH2108,8))),ISNUMBER(-LEFT(CH2108,8))),VALUE(LEFT(CH2108,4)),VALUE(LEFT(CH2108,FIND("-",CH2108)-1)))),""))</f>
        <v/>
      </c>
      <c r="CN2108">
        <f>IF(CH2108="","",IFERROR(IF(AND(LEN(CH2108)=9,ISERROR(FIND("-",LEFT(CH2108,8))),ISNUMBER(-LEFT(CH2108,8))),VALUE(MID(CH2108,5,2)),VALUE(MID(CH2108,FIND("-",CH2108)+1,FIND("-",CH2108,FIND("-",CH2108)+1)-FIND("-",CH2108)-1))),""))</f>
        <v/>
      </c>
      <c r="CO2108">
        <f>IF(CH2108="","",IFERROR(IF(AND(LEN(CH2108)=9,ISERROR(FIND("-",LEFT(CH2108,8))),ISNUMBER(-LEFT(CH2108,8))),VALUE(MID(CH2108,7,2)),VALUE(MID(CH2108,FIND("-",CH2108,FIND("-",CH2108)+1)+1,FIND("-",CH2108,FIND("-",CH2108,FIND("-",CH2108)+1)+1)-FIND("-",CH2108,FIND("-",CH2108)+1)-1))),""))</f>
        <v/>
      </c>
    </row>
    <row r="2109">
      <c r="CH2109">
        <f>IF(ISTEXT('월 가계부'!A2109),SUBSTITUTE(SUBSTITUTE(SUBSTITUTE(SUBSTITUTE(SUBSTITUTE(SUBSTITUTE(SUBSTITUTE(SUBSTITUTE(SUBSTITUTE(TRIM('월 가계부'!A2109),"년","-"),"월","-"),"일",""),".","-"),"/","-")," ","-"),"--","-"),"--","-"),"--","-")&amp;"-","")</f>
        <v/>
      </c>
      <c r="CI2109">
        <f>IFERROR(IF('월 가계부'!A2109="","",IF(ISNUMBER('월 가계부'!A2109),IF(AND('월 가계부'!A2109&gt;=19000101,'월 가계부'!A2109&lt;=21001231),IF(AND(MOD(INT('월 가계부'!A2109/100),100)&gt;=1,MOD(INT('월 가계부'!A2109/100),100)&lt;=12,MOD(INT('월 가계부'!A2109),100)&gt;=1,MOD(INT('월 가계부'!A2109),100)&lt;=31),IF(MONTH(DATE(INT('월 가계부'!A2109/10000),MOD(INT('월 가계부'!A2109/100),100),MOD(INT('월 가계부'!A2109),100)))=MOD(INT('월 가계부'!A2109/100),100),DATE(INT('월 가계부'!A2109/10000),MOD(INT('월 가계부'!A2109/100),100),MOD(INT('월 가계부'!A2109),100)),""),""),IF(AND('월 가계부'!A2109&gt;=36526,'월 가계부'!A2109&lt;73051),INT('월 가계부'!A2109),"")),IF(OR(CM2109="",CN2109="",CO2109=""),"",IF(AND(CM2109&gt;=2000,CM2109&lt;=2099,CN2109&gt;=1,CN2109&lt;=12,CO2109&gt;=1,CO2109&lt;=31),IF(MONTH(DATE(CM2109,CN2109,CO2109))=CN2109,DATE(CM2109,CN2109,CO2109),""),"")))),"")</f>
        <v/>
      </c>
      <c r="CJ2109">
        <f>IFERROR(IF('월 가계부'!C2109="","",IF(ISNUMBER('월 가계부'!C2109),'월 가계부'!C2109,VALUE(SUBSTITUTE(SUBSTITUTE(SUBSTITUTE(SUBSTITUTE(TRIM('월 가계부'!C2109),",",""),"원","")," ",""),"−","-")))),"")</f>
        <v/>
      </c>
      <c r="CK2109">
        <f>IF(ISNUMBER(CI2109),IF(CI2109&lt;$B$13,CI2109,""),"")</f>
        <v/>
      </c>
      <c r="CM2109">
        <f>IF(CH2109="","",IFERROR(IF(IF(AND(LEN(CH2109)=9,ISERROR(FIND("-",LEFT(CH2109,8))),ISNUMBER(-LEFT(CH2109,8))),VALUE(LEFT(CH2109,4)),VALUE(LEFT(CH2109,FIND("-",CH2109)-1)))&lt;100,IF(AND(LEN(CH2109)=9,ISERROR(FIND("-",LEFT(CH2109,8))),ISNUMBER(-LEFT(CH2109,8))),VALUE(LEFT(CH2109,4)),VALUE(LEFT(CH2109,FIND("-",CH2109)-1)))+2000,IF(AND(LEN(CH2109)=9,ISERROR(FIND("-",LEFT(CH2109,8))),ISNUMBER(-LEFT(CH2109,8))),VALUE(LEFT(CH2109,4)),VALUE(LEFT(CH2109,FIND("-",CH2109)-1)))),""))</f>
        <v/>
      </c>
      <c r="CN2109">
        <f>IF(CH2109="","",IFERROR(IF(AND(LEN(CH2109)=9,ISERROR(FIND("-",LEFT(CH2109,8))),ISNUMBER(-LEFT(CH2109,8))),VALUE(MID(CH2109,5,2)),VALUE(MID(CH2109,FIND("-",CH2109)+1,FIND("-",CH2109,FIND("-",CH2109)+1)-FIND("-",CH2109)-1))),""))</f>
        <v/>
      </c>
      <c r="CO2109">
        <f>IF(CH2109="","",IFERROR(IF(AND(LEN(CH2109)=9,ISERROR(FIND("-",LEFT(CH2109,8))),ISNUMBER(-LEFT(CH2109,8))),VALUE(MID(CH2109,7,2)),VALUE(MID(CH2109,FIND("-",CH2109,FIND("-",CH2109)+1)+1,FIND("-",CH2109,FIND("-",CH2109,FIND("-",CH2109)+1)+1)-FIND("-",CH2109,FIND("-",CH2109)+1)-1))),""))</f>
        <v/>
      </c>
    </row>
    <row r="2110">
      <c r="CH2110">
        <f>IF(ISTEXT('월 가계부'!A2110),SUBSTITUTE(SUBSTITUTE(SUBSTITUTE(SUBSTITUTE(SUBSTITUTE(SUBSTITUTE(SUBSTITUTE(SUBSTITUTE(SUBSTITUTE(TRIM('월 가계부'!A2110),"년","-"),"월","-"),"일",""),".","-"),"/","-")," ","-"),"--","-"),"--","-"),"--","-")&amp;"-","")</f>
        <v/>
      </c>
      <c r="CI2110">
        <f>IFERROR(IF('월 가계부'!A2110="","",IF(ISNUMBER('월 가계부'!A2110),IF(AND('월 가계부'!A2110&gt;=19000101,'월 가계부'!A2110&lt;=21001231),IF(AND(MOD(INT('월 가계부'!A2110/100),100)&gt;=1,MOD(INT('월 가계부'!A2110/100),100)&lt;=12,MOD(INT('월 가계부'!A2110),100)&gt;=1,MOD(INT('월 가계부'!A2110),100)&lt;=31),IF(MONTH(DATE(INT('월 가계부'!A2110/10000),MOD(INT('월 가계부'!A2110/100),100),MOD(INT('월 가계부'!A2110),100)))=MOD(INT('월 가계부'!A2110/100),100),DATE(INT('월 가계부'!A2110/10000),MOD(INT('월 가계부'!A2110/100),100),MOD(INT('월 가계부'!A2110),100)),""),""),IF(AND('월 가계부'!A2110&gt;=36526,'월 가계부'!A2110&lt;73051),INT('월 가계부'!A2110),"")),IF(OR(CM2110="",CN2110="",CO2110=""),"",IF(AND(CM2110&gt;=2000,CM2110&lt;=2099,CN2110&gt;=1,CN2110&lt;=12,CO2110&gt;=1,CO2110&lt;=31),IF(MONTH(DATE(CM2110,CN2110,CO2110))=CN2110,DATE(CM2110,CN2110,CO2110),""),"")))),"")</f>
        <v/>
      </c>
      <c r="CJ2110">
        <f>IFERROR(IF('월 가계부'!C2110="","",IF(ISNUMBER('월 가계부'!C2110),'월 가계부'!C2110,VALUE(SUBSTITUTE(SUBSTITUTE(SUBSTITUTE(SUBSTITUTE(TRIM('월 가계부'!C2110),",",""),"원","")," ",""),"−","-")))),"")</f>
        <v/>
      </c>
      <c r="CK2110">
        <f>IF(ISNUMBER(CI2110),IF(CI2110&lt;$B$13,CI2110,""),"")</f>
        <v/>
      </c>
      <c r="CM2110">
        <f>IF(CH2110="","",IFERROR(IF(IF(AND(LEN(CH2110)=9,ISERROR(FIND("-",LEFT(CH2110,8))),ISNUMBER(-LEFT(CH2110,8))),VALUE(LEFT(CH2110,4)),VALUE(LEFT(CH2110,FIND("-",CH2110)-1)))&lt;100,IF(AND(LEN(CH2110)=9,ISERROR(FIND("-",LEFT(CH2110,8))),ISNUMBER(-LEFT(CH2110,8))),VALUE(LEFT(CH2110,4)),VALUE(LEFT(CH2110,FIND("-",CH2110)-1)))+2000,IF(AND(LEN(CH2110)=9,ISERROR(FIND("-",LEFT(CH2110,8))),ISNUMBER(-LEFT(CH2110,8))),VALUE(LEFT(CH2110,4)),VALUE(LEFT(CH2110,FIND("-",CH2110)-1)))),""))</f>
        <v/>
      </c>
      <c r="CN2110">
        <f>IF(CH2110="","",IFERROR(IF(AND(LEN(CH2110)=9,ISERROR(FIND("-",LEFT(CH2110,8))),ISNUMBER(-LEFT(CH2110,8))),VALUE(MID(CH2110,5,2)),VALUE(MID(CH2110,FIND("-",CH2110)+1,FIND("-",CH2110,FIND("-",CH2110)+1)-FIND("-",CH2110)-1))),""))</f>
        <v/>
      </c>
      <c r="CO2110">
        <f>IF(CH2110="","",IFERROR(IF(AND(LEN(CH2110)=9,ISERROR(FIND("-",LEFT(CH2110,8))),ISNUMBER(-LEFT(CH2110,8))),VALUE(MID(CH2110,7,2)),VALUE(MID(CH2110,FIND("-",CH2110,FIND("-",CH2110)+1)+1,FIND("-",CH2110,FIND("-",CH2110,FIND("-",CH2110)+1)+1)-FIND("-",CH2110,FIND("-",CH2110)+1)-1))),""))</f>
        <v/>
      </c>
    </row>
    <row r="2111">
      <c r="CH2111">
        <f>IF(ISTEXT('월 가계부'!A2111),SUBSTITUTE(SUBSTITUTE(SUBSTITUTE(SUBSTITUTE(SUBSTITUTE(SUBSTITUTE(SUBSTITUTE(SUBSTITUTE(SUBSTITUTE(TRIM('월 가계부'!A2111),"년","-"),"월","-"),"일",""),".","-"),"/","-")," ","-"),"--","-"),"--","-"),"--","-")&amp;"-","")</f>
        <v/>
      </c>
      <c r="CI2111">
        <f>IFERROR(IF('월 가계부'!A2111="","",IF(ISNUMBER('월 가계부'!A2111),IF(AND('월 가계부'!A2111&gt;=19000101,'월 가계부'!A2111&lt;=21001231),IF(AND(MOD(INT('월 가계부'!A2111/100),100)&gt;=1,MOD(INT('월 가계부'!A2111/100),100)&lt;=12,MOD(INT('월 가계부'!A2111),100)&gt;=1,MOD(INT('월 가계부'!A2111),100)&lt;=31),IF(MONTH(DATE(INT('월 가계부'!A2111/10000),MOD(INT('월 가계부'!A2111/100),100),MOD(INT('월 가계부'!A2111),100)))=MOD(INT('월 가계부'!A2111/100),100),DATE(INT('월 가계부'!A2111/10000),MOD(INT('월 가계부'!A2111/100),100),MOD(INT('월 가계부'!A2111),100)),""),""),IF(AND('월 가계부'!A2111&gt;=36526,'월 가계부'!A2111&lt;73051),INT('월 가계부'!A2111),"")),IF(OR(CM2111="",CN2111="",CO2111=""),"",IF(AND(CM2111&gt;=2000,CM2111&lt;=2099,CN2111&gt;=1,CN2111&lt;=12,CO2111&gt;=1,CO2111&lt;=31),IF(MONTH(DATE(CM2111,CN2111,CO2111))=CN2111,DATE(CM2111,CN2111,CO2111),""),"")))),"")</f>
        <v/>
      </c>
      <c r="CJ2111">
        <f>IFERROR(IF('월 가계부'!C2111="","",IF(ISNUMBER('월 가계부'!C2111),'월 가계부'!C2111,VALUE(SUBSTITUTE(SUBSTITUTE(SUBSTITUTE(SUBSTITUTE(TRIM('월 가계부'!C2111),",",""),"원","")," ",""),"−","-")))),"")</f>
        <v/>
      </c>
      <c r="CK2111">
        <f>IF(ISNUMBER(CI2111),IF(CI2111&lt;$B$13,CI2111,""),"")</f>
        <v/>
      </c>
      <c r="CM2111">
        <f>IF(CH2111="","",IFERROR(IF(IF(AND(LEN(CH2111)=9,ISERROR(FIND("-",LEFT(CH2111,8))),ISNUMBER(-LEFT(CH2111,8))),VALUE(LEFT(CH2111,4)),VALUE(LEFT(CH2111,FIND("-",CH2111)-1)))&lt;100,IF(AND(LEN(CH2111)=9,ISERROR(FIND("-",LEFT(CH2111,8))),ISNUMBER(-LEFT(CH2111,8))),VALUE(LEFT(CH2111,4)),VALUE(LEFT(CH2111,FIND("-",CH2111)-1)))+2000,IF(AND(LEN(CH2111)=9,ISERROR(FIND("-",LEFT(CH2111,8))),ISNUMBER(-LEFT(CH2111,8))),VALUE(LEFT(CH2111,4)),VALUE(LEFT(CH2111,FIND("-",CH2111)-1)))),""))</f>
        <v/>
      </c>
      <c r="CN2111">
        <f>IF(CH2111="","",IFERROR(IF(AND(LEN(CH2111)=9,ISERROR(FIND("-",LEFT(CH2111,8))),ISNUMBER(-LEFT(CH2111,8))),VALUE(MID(CH2111,5,2)),VALUE(MID(CH2111,FIND("-",CH2111)+1,FIND("-",CH2111,FIND("-",CH2111)+1)-FIND("-",CH2111)-1))),""))</f>
        <v/>
      </c>
      <c r="CO2111">
        <f>IF(CH2111="","",IFERROR(IF(AND(LEN(CH2111)=9,ISERROR(FIND("-",LEFT(CH2111,8))),ISNUMBER(-LEFT(CH2111,8))),VALUE(MID(CH2111,7,2)),VALUE(MID(CH2111,FIND("-",CH2111,FIND("-",CH2111)+1)+1,FIND("-",CH2111,FIND("-",CH2111,FIND("-",CH2111)+1)+1)-FIND("-",CH2111,FIND("-",CH2111)+1)-1))),""))</f>
        <v/>
      </c>
    </row>
    <row r="2112">
      <c r="CH2112">
        <f>IF(ISTEXT('월 가계부'!A2112),SUBSTITUTE(SUBSTITUTE(SUBSTITUTE(SUBSTITUTE(SUBSTITUTE(SUBSTITUTE(SUBSTITUTE(SUBSTITUTE(SUBSTITUTE(TRIM('월 가계부'!A2112),"년","-"),"월","-"),"일",""),".","-"),"/","-")," ","-"),"--","-"),"--","-"),"--","-")&amp;"-","")</f>
        <v/>
      </c>
      <c r="CI2112">
        <f>IFERROR(IF('월 가계부'!A2112="","",IF(ISNUMBER('월 가계부'!A2112),IF(AND('월 가계부'!A2112&gt;=19000101,'월 가계부'!A2112&lt;=21001231),IF(AND(MOD(INT('월 가계부'!A2112/100),100)&gt;=1,MOD(INT('월 가계부'!A2112/100),100)&lt;=12,MOD(INT('월 가계부'!A2112),100)&gt;=1,MOD(INT('월 가계부'!A2112),100)&lt;=31),IF(MONTH(DATE(INT('월 가계부'!A2112/10000),MOD(INT('월 가계부'!A2112/100),100),MOD(INT('월 가계부'!A2112),100)))=MOD(INT('월 가계부'!A2112/100),100),DATE(INT('월 가계부'!A2112/10000),MOD(INT('월 가계부'!A2112/100),100),MOD(INT('월 가계부'!A2112),100)),""),""),IF(AND('월 가계부'!A2112&gt;=36526,'월 가계부'!A2112&lt;73051),INT('월 가계부'!A2112),"")),IF(OR(CM2112="",CN2112="",CO2112=""),"",IF(AND(CM2112&gt;=2000,CM2112&lt;=2099,CN2112&gt;=1,CN2112&lt;=12,CO2112&gt;=1,CO2112&lt;=31),IF(MONTH(DATE(CM2112,CN2112,CO2112))=CN2112,DATE(CM2112,CN2112,CO2112),""),"")))),"")</f>
        <v/>
      </c>
      <c r="CJ2112">
        <f>IFERROR(IF('월 가계부'!C2112="","",IF(ISNUMBER('월 가계부'!C2112),'월 가계부'!C2112,VALUE(SUBSTITUTE(SUBSTITUTE(SUBSTITUTE(SUBSTITUTE(TRIM('월 가계부'!C2112),",",""),"원","")," ",""),"−","-")))),"")</f>
        <v/>
      </c>
      <c r="CK2112">
        <f>IF(ISNUMBER(CI2112),IF(CI2112&lt;$B$13,CI2112,""),"")</f>
        <v/>
      </c>
      <c r="CM2112">
        <f>IF(CH2112="","",IFERROR(IF(IF(AND(LEN(CH2112)=9,ISERROR(FIND("-",LEFT(CH2112,8))),ISNUMBER(-LEFT(CH2112,8))),VALUE(LEFT(CH2112,4)),VALUE(LEFT(CH2112,FIND("-",CH2112)-1)))&lt;100,IF(AND(LEN(CH2112)=9,ISERROR(FIND("-",LEFT(CH2112,8))),ISNUMBER(-LEFT(CH2112,8))),VALUE(LEFT(CH2112,4)),VALUE(LEFT(CH2112,FIND("-",CH2112)-1)))+2000,IF(AND(LEN(CH2112)=9,ISERROR(FIND("-",LEFT(CH2112,8))),ISNUMBER(-LEFT(CH2112,8))),VALUE(LEFT(CH2112,4)),VALUE(LEFT(CH2112,FIND("-",CH2112)-1)))),""))</f>
        <v/>
      </c>
      <c r="CN2112">
        <f>IF(CH2112="","",IFERROR(IF(AND(LEN(CH2112)=9,ISERROR(FIND("-",LEFT(CH2112,8))),ISNUMBER(-LEFT(CH2112,8))),VALUE(MID(CH2112,5,2)),VALUE(MID(CH2112,FIND("-",CH2112)+1,FIND("-",CH2112,FIND("-",CH2112)+1)-FIND("-",CH2112)-1))),""))</f>
        <v/>
      </c>
      <c r="CO2112">
        <f>IF(CH2112="","",IFERROR(IF(AND(LEN(CH2112)=9,ISERROR(FIND("-",LEFT(CH2112,8))),ISNUMBER(-LEFT(CH2112,8))),VALUE(MID(CH2112,7,2)),VALUE(MID(CH2112,FIND("-",CH2112,FIND("-",CH2112)+1)+1,FIND("-",CH2112,FIND("-",CH2112,FIND("-",CH2112)+1)+1)-FIND("-",CH2112,FIND("-",CH2112)+1)-1))),""))</f>
        <v/>
      </c>
    </row>
    <row r="2113">
      <c r="CH2113">
        <f>IF(ISTEXT('월 가계부'!A2113),SUBSTITUTE(SUBSTITUTE(SUBSTITUTE(SUBSTITUTE(SUBSTITUTE(SUBSTITUTE(SUBSTITUTE(SUBSTITUTE(SUBSTITUTE(TRIM('월 가계부'!A2113),"년","-"),"월","-"),"일",""),".","-"),"/","-")," ","-"),"--","-"),"--","-"),"--","-")&amp;"-","")</f>
        <v/>
      </c>
      <c r="CI2113">
        <f>IFERROR(IF('월 가계부'!A2113="","",IF(ISNUMBER('월 가계부'!A2113),IF(AND('월 가계부'!A2113&gt;=19000101,'월 가계부'!A2113&lt;=21001231),IF(AND(MOD(INT('월 가계부'!A2113/100),100)&gt;=1,MOD(INT('월 가계부'!A2113/100),100)&lt;=12,MOD(INT('월 가계부'!A2113),100)&gt;=1,MOD(INT('월 가계부'!A2113),100)&lt;=31),IF(MONTH(DATE(INT('월 가계부'!A2113/10000),MOD(INT('월 가계부'!A2113/100),100),MOD(INT('월 가계부'!A2113),100)))=MOD(INT('월 가계부'!A2113/100),100),DATE(INT('월 가계부'!A2113/10000),MOD(INT('월 가계부'!A2113/100),100),MOD(INT('월 가계부'!A2113),100)),""),""),IF(AND('월 가계부'!A2113&gt;=36526,'월 가계부'!A2113&lt;73051),INT('월 가계부'!A2113),"")),IF(OR(CM2113="",CN2113="",CO2113=""),"",IF(AND(CM2113&gt;=2000,CM2113&lt;=2099,CN2113&gt;=1,CN2113&lt;=12,CO2113&gt;=1,CO2113&lt;=31),IF(MONTH(DATE(CM2113,CN2113,CO2113))=CN2113,DATE(CM2113,CN2113,CO2113),""),"")))),"")</f>
        <v/>
      </c>
      <c r="CJ2113">
        <f>IFERROR(IF('월 가계부'!C2113="","",IF(ISNUMBER('월 가계부'!C2113),'월 가계부'!C2113,VALUE(SUBSTITUTE(SUBSTITUTE(SUBSTITUTE(SUBSTITUTE(TRIM('월 가계부'!C2113),",",""),"원","")," ",""),"−","-")))),"")</f>
        <v/>
      </c>
      <c r="CK2113">
        <f>IF(ISNUMBER(CI2113),IF(CI2113&lt;$B$13,CI2113,""),"")</f>
        <v/>
      </c>
      <c r="CM2113">
        <f>IF(CH2113="","",IFERROR(IF(IF(AND(LEN(CH2113)=9,ISERROR(FIND("-",LEFT(CH2113,8))),ISNUMBER(-LEFT(CH2113,8))),VALUE(LEFT(CH2113,4)),VALUE(LEFT(CH2113,FIND("-",CH2113)-1)))&lt;100,IF(AND(LEN(CH2113)=9,ISERROR(FIND("-",LEFT(CH2113,8))),ISNUMBER(-LEFT(CH2113,8))),VALUE(LEFT(CH2113,4)),VALUE(LEFT(CH2113,FIND("-",CH2113)-1)))+2000,IF(AND(LEN(CH2113)=9,ISERROR(FIND("-",LEFT(CH2113,8))),ISNUMBER(-LEFT(CH2113,8))),VALUE(LEFT(CH2113,4)),VALUE(LEFT(CH2113,FIND("-",CH2113)-1)))),""))</f>
        <v/>
      </c>
      <c r="CN2113">
        <f>IF(CH2113="","",IFERROR(IF(AND(LEN(CH2113)=9,ISERROR(FIND("-",LEFT(CH2113,8))),ISNUMBER(-LEFT(CH2113,8))),VALUE(MID(CH2113,5,2)),VALUE(MID(CH2113,FIND("-",CH2113)+1,FIND("-",CH2113,FIND("-",CH2113)+1)-FIND("-",CH2113)-1))),""))</f>
        <v/>
      </c>
      <c r="CO2113">
        <f>IF(CH2113="","",IFERROR(IF(AND(LEN(CH2113)=9,ISERROR(FIND("-",LEFT(CH2113,8))),ISNUMBER(-LEFT(CH2113,8))),VALUE(MID(CH2113,7,2)),VALUE(MID(CH2113,FIND("-",CH2113,FIND("-",CH2113)+1)+1,FIND("-",CH2113,FIND("-",CH2113,FIND("-",CH2113)+1)+1)-FIND("-",CH2113,FIND("-",CH2113)+1)-1))),""))</f>
        <v/>
      </c>
    </row>
    <row r="2114">
      <c r="CH2114">
        <f>IF(ISTEXT('월 가계부'!A2114),SUBSTITUTE(SUBSTITUTE(SUBSTITUTE(SUBSTITUTE(SUBSTITUTE(SUBSTITUTE(SUBSTITUTE(SUBSTITUTE(SUBSTITUTE(TRIM('월 가계부'!A2114),"년","-"),"월","-"),"일",""),".","-"),"/","-")," ","-"),"--","-"),"--","-"),"--","-")&amp;"-","")</f>
        <v/>
      </c>
      <c r="CI2114">
        <f>IFERROR(IF('월 가계부'!A2114="","",IF(ISNUMBER('월 가계부'!A2114),IF(AND('월 가계부'!A2114&gt;=19000101,'월 가계부'!A2114&lt;=21001231),IF(AND(MOD(INT('월 가계부'!A2114/100),100)&gt;=1,MOD(INT('월 가계부'!A2114/100),100)&lt;=12,MOD(INT('월 가계부'!A2114),100)&gt;=1,MOD(INT('월 가계부'!A2114),100)&lt;=31),IF(MONTH(DATE(INT('월 가계부'!A2114/10000),MOD(INT('월 가계부'!A2114/100),100),MOD(INT('월 가계부'!A2114),100)))=MOD(INT('월 가계부'!A2114/100),100),DATE(INT('월 가계부'!A2114/10000),MOD(INT('월 가계부'!A2114/100),100),MOD(INT('월 가계부'!A2114),100)),""),""),IF(AND('월 가계부'!A2114&gt;=36526,'월 가계부'!A2114&lt;73051),INT('월 가계부'!A2114),"")),IF(OR(CM2114="",CN2114="",CO2114=""),"",IF(AND(CM2114&gt;=2000,CM2114&lt;=2099,CN2114&gt;=1,CN2114&lt;=12,CO2114&gt;=1,CO2114&lt;=31),IF(MONTH(DATE(CM2114,CN2114,CO2114))=CN2114,DATE(CM2114,CN2114,CO2114),""),"")))),"")</f>
        <v/>
      </c>
      <c r="CJ2114">
        <f>IFERROR(IF('월 가계부'!C2114="","",IF(ISNUMBER('월 가계부'!C2114),'월 가계부'!C2114,VALUE(SUBSTITUTE(SUBSTITUTE(SUBSTITUTE(SUBSTITUTE(TRIM('월 가계부'!C2114),",",""),"원","")," ",""),"−","-")))),"")</f>
        <v/>
      </c>
      <c r="CK2114">
        <f>IF(ISNUMBER(CI2114),IF(CI2114&lt;$B$13,CI2114,""),"")</f>
        <v/>
      </c>
      <c r="CM2114">
        <f>IF(CH2114="","",IFERROR(IF(IF(AND(LEN(CH2114)=9,ISERROR(FIND("-",LEFT(CH2114,8))),ISNUMBER(-LEFT(CH2114,8))),VALUE(LEFT(CH2114,4)),VALUE(LEFT(CH2114,FIND("-",CH2114)-1)))&lt;100,IF(AND(LEN(CH2114)=9,ISERROR(FIND("-",LEFT(CH2114,8))),ISNUMBER(-LEFT(CH2114,8))),VALUE(LEFT(CH2114,4)),VALUE(LEFT(CH2114,FIND("-",CH2114)-1)))+2000,IF(AND(LEN(CH2114)=9,ISERROR(FIND("-",LEFT(CH2114,8))),ISNUMBER(-LEFT(CH2114,8))),VALUE(LEFT(CH2114,4)),VALUE(LEFT(CH2114,FIND("-",CH2114)-1)))),""))</f>
        <v/>
      </c>
      <c r="CN2114">
        <f>IF(CH2114="","",IFERROR(IF(AND(LEN(CH2114)=9,ISERROR(FIND("-",LEFT(CH2114,8))),ISNUMBER(-LEFT(CH2114,8))),VALUE(MID(CH2114,5,2)),VALUE(MID(CH2114,FIND("-",CH2114)+1,FIND("-",CH2114,FIND("-",CH2114)+1)-FIND("-",CH2114)-1))),""))</f>
        <v/>
      </c>
      <c r="CO2114">
        <f>IF(CH2114="","",IFERROR(IF(AND(LEN(CH2114)=9,ISERROR(FIND("-",LEFT(CH2114,8))),ISNUMBER(-LEFT(CH2114,8))),VALUE(MID(CH2114,7,2)),VALUE(MID(CH2114,FIND("-",CH2114,FIND("-",CH2114)+1)+1,FIND("-",CH2114,FIND("-",CH2114,FIND("-",CH2114)+1)+1)-FIND("-",CH2114,FIND("-",CH2114)+1)-1))),""))</f>
        <v/>
      </c>
    </row>
    <row r="2115">
      <c r="CH2115">
        <f>IF(ISTEXT('월 가계부'!A2115),SUBSTITUTE(SUBSTITUTE(SUBSTITUTE(SUBSTITUTE(SUBSTITUTE(SUBSTITUTE(SUBSTITUTE(SUBSTITUTE(SUBSTITUTE(TRIM('월 가계부'!A2115),"년","-"),"월","-"),"일",""),".","-"),"/","-")," ","-"),"--","-"),"--","-"),"--","-")&amp;"-","")</f>
        <v/>
      </c>
      <c r="CI2115">
        <f>IFERROR(IF('월 가계부'!A2115="","",IF(ISNUMBER('월 가계부'!A2115),IF(AND('월 가계부'!A2115&gt;=19000101,'월 가계부'!A2115&lt;=21001231),IF(AND(MOD(INT('월 가계부'!A2115/100),100)&gt;=1,MOD(INT('월 가계부'!A2115/100),100)&lt;=12,MOD(INT('월 가계부'!A2115),100)&gt;=1,MOD(INT('월 가계부'!A2115),100)&lt;=31),IF(MONTH(DATE(INT('월 가계부'!A2115/10000),MOD(INT('월 가계부'!A2115/100),100),MOD(INT('월 가계부'!A2115),100)))=MOD(INT('월 가계부'!A2115/100),100),DATE(INT('월 가계부'!A2115/10000),MOD(INT('월 가계부'!A2115/100),100),MOD(INT('월 가계부'!A2115),100)),""),""),IF(AND('월 가계부'!A2115&gt;=36526,'월 가계부'!A2115&lt;73051),INT('월 가계부'!A2115),"")),IF(OR(CM2115="",CN2115="",CO2115=""),"",IF(AND(CM2115&gt;=2000,CM2115&lt;=2099,CN2115&gt;=1,CN2115&lt;=12,CO2115&gt;=1,CO2115&lt;=31),IF(MONTH(DATE(CM2115,CN2115,CO2115))=CN2115,DATE(CM2115,CN2115,CO2115),""),"")))),"")</f>
        <v/>
      </c>
      <c r="CJ2115">
        <f>IFERROR(IF('월 가계부'!C2115="","",IF(ISNUMBER('월 가계부'!C2115),'월 가계부'!C2115,VALUE(SUBSTITUTE(SUBSTITUTE(SUBSTITUTE(SUBSTITUTE(TRIM('월 가계부'!C2115),",",""),"원","")," ",""),"−","-")))),"")</f>
        <v/>
      </c>
      <c r="CK2115">
        <f>IF(ISNUMBER(CI2115),IF(CI2115&lt;$B$13,CI2115,""),"")</f>
        <v/>
      </c>
      <c r="CM2115">
        <f>IF(CH2115="","",IFERROR(IF(IF(AND(LEN(CH2115)=9,ISERROR(FIND("-",LEFT(CH2115,8))),ISNUMBER(-LEFT(CH2115,8))),VALUE(LEFT(CH2115,4)),VALUE(LEFT(CH2115,FIND("-",CH2115)-1)))&lt;100,IF(AND(LEN(CH2115)=9,ISERROR(FIND("-",LEFT(CH2115,8))),ISNUMBER(-LEFT(CH2115,8))),VALUE(LEFT(CH2115,4)),VALUE(LEFT(CH2115,FIND("-",CH2115)-1)))+2000,IF(AND(LEN(CH2115)=9,ISERROR(FIND("-",LEFT(CH2115,8))),ISNUMBER(-LEFT(CH2115,8))),VALUE(LEFT(CH2115,4)),VALUE(LEFT(CH2115,FIND("-",CH2115)-1)))),""))</f>
        <v/>
      </c>
      <c r="CN2115">
        <f>IF(CH2115="","",IFERROR(IF(AND(LEN(CH2115)=9,ISERROR(FIND("-",LEFT(CH2115,8))),ISNUMBER(-LEFT(CH2115,8))),VALUE(MID(CH2115,5,2)),VALUE(MID(CH2115,FIND("-",CH2115)+1,FIND("-",CH2115,FIND("-",CH2115)+1)-FIND("-",CH2115)-1))),""))</f>
        <v/>
      </c>
      <c r="CO2115">
        <f>IF(CH2115="","",IFERROR(IF(AND(LEN(CH2115)=9,ISERROR(FIND("-",LEFT(CH2115,8))),ISNUMBER(-LEFT(CH2115,8))),VALUE(MID(CH2115,7,2)),VALUE(MID(CH2115,FIND("-",CH2115,FIND("-",CH2115)+1)+1,FIND("-",CH2115,FIND("-",CH2115,FIND("-",CH2115)+1)+1)-FIND("-",CH2115,FIND("-",CH2115)+1)-1))),""))</f>
        <v/>
      </c>
    </row>
    <row r="2116">
      <c r="CH2116">
        <f>IF(ISTEXT('월 가계부'!A2116),SUBSTITUTE(SUBSTITUTE(SUBSTITUTE(SUBSTITUTE(SUBSTITUTE(SUBSTITUTE(SUBSTITUTE(SUBSTITUTE(SUBSTITUTE(TRIM('월 가계부'!A2116),"년","-"),"월","-"),"일",""),".","-"),"/","-")," ","-"),"--","-"),"--","-"),"--","-")&amp;"-","")</f>
        <v/>
      </c>
      <c r="CI2116">
        <f>IFERROR(IF('월 가계부'!A2116="","",IF(ISNUMBER('월 가계부'!A2116),IF(AND('월 가계부'!A2116&gt;=19000101,'월 가계부'!A2116&lt;=21001231),IF(AND(MOD(INT('월 가계부'!A2116/100),100)&gt;=1,MOD(INT('월 가계부'!A2116/100),100)&lt;=12,MOD(INT('월 가계부'!A2116),100)&gt;=1,MOD(INT('월 가계부'!A2116),100)&lt;=31),IF(MONTH(DATE(INT('월 가계부'!A2116/10000),MOD(INT('월 가계부'!A2116/100),100),MOD(INT('월 가계부'!A2116),100)))=MOD(INT('월 가계부'!A2116/100),100),DATE(INT('월 가계부'!A2116/10000),MOD(INT('월 가계부'!A2116/100),100),MOD(INT('월 가계부'!A2116),100)),""),""),IF(AND('월 가계부'!A2116&gt;=36526,'월 가계부'!A2116&lt;73051),INT('월 가계부'!A2116),"")),IF(OR(CM2116="",CN2116="",CO2116=""),"",IF(AND(CM2116&gt;=2000,CM2116&lt;=2099,CN2116&gt;=1,CN2116&lt;=12,CO2116&gt;=1,CO2116&lt;=31),IF(MONTH(DATE(CM2116,CN2116,CO2116))=CN2116,DATE(CM2116,CN2116,CO2116),""),"")))),"")</f>
        <v/>
      </c>
      <c r="CJ2116">
        <f>IFERROR(IF('월 가계부'!C2116="","",IF(ISNUMBER('월 가계부'!C2116),'월 가계부'!C2116,VALUE(SUBSTITUTE(SUBSTITUTE(SUBSTITUTE(SUBSTITUTE(TRIM('월 가계부'!C2116),",",""),"원","")," ",""),"−","-")))),"")</f>
        <v/>
      </c>
      <c r="CK2116">
        <f>IF(ISNUMBER(CI2116),IF(CI2116&lt;$B$13,CI2116,""),"")</f>
        <v/>
      </c>
      <c r="CM2116">
        <f>IF(CH2116="","",IFERROR(IF(IF(AND(LEN(CH2116)=9,ISERROR(FIND("-",LEFT(CH2116,8))),ISNUMBER(-LEFT(CH2116,8))),VALUE(LEFT(CH2116,4)),VALUE(LEFT(CH2116,FIND("-",CH2116)-1)))&lt;100,IF(AND(LEN(CH2116)=9,ISERROR(FIND("-",LEFT(CH2116,8))),ISNUMBER(-LEFT(CH2116,8))),VALUE(LEFT(CH2116,4)),VALUE(LEFT(CH2116,FIND("-",CH2116)-1)))+2000,IF(AND(LEN(CH2116)=9,ISERROR(FIND("-",LEFT(CH2116,8))),ISNUMBER(-LEFT(CH2116,8))),VALUE(LEFT(CH2116,4)),VALUE(LEFT(CH2116,FIND("-",CH2116)-1)))),""))</f>
        <v/>
      </c>
      <c r="CN2116">
        <f>IF(CH2116="","",IFERROR(IF(AND(LEN(CH2116)=9,ISERROR(FIND("-",LEFT(CH2116,8))),ISNUMBER(-LEFT(CH2116,8))),VALUE(MID(CH2116,5,2)),VALUE(MID(CH2116,FIND("-",CH2116)+1,FIND("-",CH2116,FIND("-",CH2116)+1)-FIND("-",CH2116)-1))),""))</f>
        <v/>
      </c>
      <c r="CO2116">
        <f>IF(CH2116="","",IFERROR(IF(AND(LEN(CH2116)=9,ISERROR(FIND("-",LEFT(CH2116,8))),ISNUMBER(-LEFT(CH2116,8))),VALUE(MID(CH2116,7,2)),VALUE(MID(CH2116,FIND("-",CH2116,FIND("-",CH2116)+1)+1,FIND("-",CH2116,FIND("-",CH2116,FIND("-",CH2116)+1)+1)-FIND("-",CH2116,FIND("-",CH2116)+1)-1))),""))</f>
        <v/>
      </c>
    </row>
    <row r="2117">
      <c r="CH2117">
        <f>IF(ISTEXT('월 가계부'!A2117),SUBSTITUTE(SUBSTITUTE(SUBSTITUTE(SUBSTITUTE(SUBSTITUTE(SUBSTITUTE(SUBSTITUTE(SUBSTITUTE(SUBSTITUTE(TRIM('월 가계부'!A2117),"년","-"),"월","-"),"일",""),".","-"),"/","-")," ","-"),"--","-"),"--","-"),"--","-")&amp;"-","")</f>
        <v/>
      </c>
      <c r="CI2117">
        <f>IFERROR(IF('월 가계부'!A2117="","",IF(ISNUMBER('월 가계부'!A2117),IF(AND('월 가계부'!A2117&gt;=19000101,'월 가계부'!A2117&lt;=21001231),IF(AND(MOD(INT('월 가계부'!A2117/100),100)&gt;=1,MOD(INT('월 가계부'!A2117/100),100)&lt;=12,MOD(INT('월 가계부'!A2117),100)&gt;=1,MOD(INT('월 가계부'!A2117),100)&lt;=31),IF(MONTH(DATE(INT('월 가계부'!A2117/10000),MOD(INT('월 가계부'!A2117/100),100),MOD(INT('월 가계부'!A2117),100)))=MOD(INT('월 가계부'!A2117/100),100),DATE(INT('월 가계부'!A2117/10000),MOD(INT('월 가계부'!A2117/100),100),MOD(INT('월 가계부'!A2117),100)),""),""),IF(AND('월 가계부'!A2117&gt;=36526,'월 가계부'!A2117&lt;73051),INT('월 가계부'!A2117),"")),IF(OR(CM2117="",CN2117="",CO2117=""),"",IF(AND(CM2117&gt;=2000,CM2117&lt;=2099,CN2117&gt;=1,CN2117&lt;=12,CO2117&gt;=1,CO2117&lt;=31),IF(MONTH(DATE(CM2117,CN2117,CO2117))=CN2117,DATE(CM2117,CN2117,CO2117),""),"")))),"")</f>
        <v/>
      </c>
      <c r="CJ2117">
        <f>IFERROR(IF('월 가계부'!C2117="","",IF(ISNUMBER('월 가계부'!C2117),'월 가계부'!C2117,VALUE(SUBSTITUTE(SUBSTITUTE(SUBSTITUTE(SUBSTITUTE(TRIM('월 가계부'!C2117),",",""),"원","")," ",""),"−","-")))),"")</f>
        <v/>
      </c>
      <c r="CK2117">
        <f>IF(ISNUMBER(CI2117),IF(CI2117&lt;$B$13,CI2117,""),"")</f>
        <v/>
      </c>
      <c r="CM2117">
        <f>IF(CH2117="","",IFERROR(IF(IF(AND(LEN(CH2117)=9,ISERROR(FIND("-",LEFT(CH2117,8))),ISNUMBER(-LEFT(CH2117,8))),VALUE(LEFT(CH2117,4)),VALUE(LEFT(CH2117,FIND("-",CH2117)-1)))&lt;100,IF(AND(LEN(CH2117)=9,ISERROR(FIND("-",LEFT(CH2117,8))),ISNUMBER(-LEFT(CH2117,8))),VALUE(LEFT(CH2117,4)),VALUE(LEFT(CH2117,FIND("-",CH2117)-1)))+2000,IF(AND(LEN(CH2117)=9,ISERROR(FIND("-",LEFT(CH2117,8))),ISNUMBER(-LEFT(CH2117,8))),VALUE(LEFT(CH2117,4)),VALUE(LEFT(CH2117,FIND("-",CH2117)-1)))),""))</f>
        <v/>
      </c>
      <c r="CN2117">
        <f>IF(CH2117="","",IFERROR(IF(AND(LEN(CH2117)=9,ISERROR(FIND("-",LEFT(CH2117,8))),ISNUMBER(-LEFT(CH2117,8))),VALUE(MID(CH2117,5,2)),VALUE(MID(CH2117,FIND("-",CH2117)+1,FIND("-",CH2117,FIND("-",CH2117)+1)-FIND("-",CH2117)-1))),""))</f>
        <v/>
      </c>
      <c r="CO2117">
        <f>IF(CH2117="","",IFERROR(IF(AND(LEN(CH2117)=9,ISERROR(FIND("-",LEFT(CH2117,8))),ISNUMBER(-LEFT(CH2117,8))),VALUE(MID(CH2117,7,2)),VALUE(MID(CH2117,FIND("-",CH2117,FIND("-",CH2117)+1)+1,FIND("-",CH2117,FIND("-",CH2117,FIND("-",CH2117)+1)+1)-FIND("-",CH2117,FIND("-",CH2117)+1)-1))),""))</f>
        <v/>
      </c>
    </row>
    <row r="2118">
      <c r="CH2118">
        <f>IF(ISTEXT('월 가계부'!A2118),SUBSTITUTE(SUBSTITUTE(SUBSTITUTE(SUBSTITUTE(SUBSTITUTE(SUBSTITUTE(SUBSTITUTE(SUBSTITUTE(SUBSTITUTE(TRIM('월 가계부'!A2118),"년","-"),"월","-"),"일",""),".","-"),"/","-")," ","-"),"--","-"),"--","-"),"--","-")&amp;"-","")</f>
        <v/>
      </c>
      <c r="CI2118">
        <f>IFERROR(IF('월 가계부'!A2118="","",IF(ISNUMBER('월 가계부'!A2118),IF(AND('월 가계부'!A2118&gt;=19000101,'월 가계부'!A2118&lt;=21001231),IF(AND(MOD(INT('월 가계부'!A2118/100),100)&gt;=1,MOD(INT('월 가계부'!A2118/100),100)&lt;=12,MOD(INT('월 가계부'!A2118),100)&gt;=1,MOD(INT('월 가계부'!A2118),100)&lt;=31),IF(MONTH(DATE(INT('월 가계부'!A2118/10000),MOD(INT('월 가계부'!A2118/100),100),MOD(INT('월 가계부'!A2118),100)))=MOD(INT('월 가계부'!A2118/100),100),DATE(INT('월 가계부'!A2118/10000),MOD(INT('월 가계부'!A2118/100),100),MOD(INT('월 가계부'!A2118),100)),""),""),IF(AND('월 가계부'!A2118&gt;=36526,'월 가계부'!A2118&lt;73051),INT('월 가계부'!A2118),"")),IF(OR(CM2118="",CN2118="",CO2118=""),"",IF(AND(CM2118&gt;=2000,CM2118&lt;=2099,CN2118&gt;=1,CN2118&lt;=12,CO2118&gt;=1,CO2118&lt;=31),IF(MONTH(DATE(CM2118,CN2118,CO2118))=CN2118,DATE(CM2118,CN2118,CO2118),""),"")))),"")</f>
        <v/>
      </c>
      <c r="CJ2118">
        <f>IFERROR(IF('월 가계부'!C2118="","",IF(ISNUMBER('월 가계부'!C2118),'월 가계부'!C2118,VALUE(SUBSTITUTE(SUBSTITUTE(SUBSTITUTE(SUBSTITUTE(TRIM('월 가계부'!C2118),",",""),"원","")," ",""),"−","-")))),"")</f>
        <v/>
      </c>
      <c r="CK2118">
        <f>IF(ISNUMBER(CI2118),IF(CI2118&lt;$B$13,CI2118,""),"")</f>
        <v/>
      </c>
      <c r="CM2118">
        <f>IF(CH2118="","",IFERROR(IF(IF(AND(LEN(CH2118)=9,ISERROR(FIND("-",LEFT(CH2118,8))),ISNUMBER(-LEFT(CH2118,8))),VALUE(LEFT(CH2118,4)),VALUE(LEFT(CH2118,FIND("-",CH2118)-1)))&lt;100,IF(AND(LEN(CH2118)=9,ISERROR(FIND("-",LEFT(CH2118,8))),ISNUMBER(-LEFT(CH2118,8))),VALUE(LEFT(CH2118,4)),VALUE(LEFT(CH2118,FIND("-",CH2118)-1)))+2000,IF(AND(LEN(CH2118)=9,ISERROR(FIND("-",LEFT(CH2118,8))),ISNUMBER(-LEFT(CH2118,8))),VALUE(LEFT(CH2118,4)),VALUE(LEFT(CH2118,FIND("-",CH2118)-1)))),""))</f>
        <v/>
      </c>
      <c r="CN2118">
        <f>IF(CH2118="","",IFERROR(IF(AND(LEN(CH2118)=9,ISERROR(FIND("-",LEFT(CH2118,8))),ISNUMBER(-LEFT(CH2118,8))),VALUE(MID(CH2118,5,2)),VALUE(MID(CH2118,FIND("-",CH2118)+1,FIND("-",CH2118,FIND("-",CH2118)+1)-FIND("-",CH2118)-1))),""))</f>
        <v/>
      </c>
      <c r="CO2118">
        <f>IF(CH2118="","",IFERROR(IF(AND(LEN(CH2118)=9,ISERROR(FIND("-",LEFT(CH2118,8))),ISNUMBER(-LEFT(CH2118,8))),VALUE(MID(CH2118,7,2)),VALUE(MID(CH2118,FIND("-",CH2118,FIND("-",CH2118)+1)+1,FIND("-",CH2118,FIND("-",CH2118,FIND("-",CH2118)+1)+1)-FIND("-",CH2118,FIND("-",CH2118)+1)-1))),""))</f>
        <v/>
      </c>
    </row>
    <row r="2119">
      <c r="CH2119">
        <f>IF(ISTEXT('월 가계부'!A2119),SUBSTITUTE(SUBSTITUTE(SUBSTITUTE(SUBSTITUTE(SUBSTITUTE(SUBSTITUTE(SUBSTITUTE(SUBSTITUTE(SUBSTITUTE(TRIM('월 가계부'!A2119),"년","-"),"월","-"),"일",""),".","-"),"/","-")," ","-"),"--","-"),"--","-"),"--","-")&amp;"-","")</f>
        <v/>
      </c>
      <c r="CI2119">
        <f>IFERROR(IF('월 가계부'!A2119="","",IF(ISNUMBER('월 가계부'!A2119),IF(AND('월 가계부'!A2119&gt;=19000101,'월 가계부'!A2119&lt;=21001231),IF(AND(MOD(INT('월 가계부'!A2119/100),100)&gt;=1,MOD(INT('월 가계부'!A2119/100),100)&lt;=12,MOD(INT('월 가계부'!A2119),100)&gt;=1,MOD(INT('월 가계부'!A2119),100)&lt;=31),IF(MONTH(DATE(INT('월 가계부'!A2119/10000),MOD(INT('월 가계부'!A2119/100),100),MOD(INT('월 가계부'!A2119),100)))=MOD(INT('월 가계부'!A2119/100),100),DATE(INT('월 가계부'!A2119/10000),MOD(INT('월 가계부'!A2119/100),100),MOD(INT('월 가계부'!A2119),100)),""),""),IF(AND('월 가계부'!A2119&gt;=36526,'월 가계부'!A2119&lt;73051),INT('월 가계부'!A2119),"")),IF(OR(CM2119="",CN2119="",CO2119=""),"",IF(AND(CM2119&gt;=2000,CM2119&lt;=2099,CN2119&gt;=1,CN2119&lt;=12,CO2119&gt;=1,CO2119&lt;=31),IF(MONTH(DATE(CM2119,CN2119,CO2119))=CN2119,DATE(CM2119,CN2119,CO2119),""),"")))),"")</f>
        <v/>
      </c>
      <c r="CJ2119">
        <f>IFERROR(IF('월 가계부'!C2119="","",IF(ISNUMBER('월 가계부'!C2119),'월 가계부'!C2119,VALUE(SUBSTITUTE(SUBSTITUTE(SUBSTITUTE(SUBSTITUTE(TRIM('월 가계부'!C2119),",",""),"원","")," ",""),"−","-")))),"")</f>
        <v/>
      </c>
      <c r="CK2119">
        <f>IF(ISNUMBER(CI2119),IF(CI2119&lt;$B$13,CI2119,""),"")</f>
        <v/>
      </c>
      <c r="CM2119">
        <f>IF(CH2119="","",IFERROR(IF(IF(AND(LEN(CH2119)=9,ISERROR(FIND("-",LEFT(CH2119,8))),ISNUMBER(-LEFT(CH2119,8))),VALUE(LEFT(CH2119,4)),VALUE(LEFT(CH2119,FIND("-",CH2119)-1)))&lt;100,IF(AND(LEN(CH2119)=9,ISERROR(FIND("-",LEFT(CH2119,8))),ISNUMBER(-LEFT(CH2119,8))),VALUE(LEFT(CH2119,4)),VALUE(LEFT(CH2119,FIND("-",CH2119)-1)))+2000,IF(AND(LEN(CH2119)=9,ISERROR(FIND("-",LEFT(CH2119,8))),ISNUMBER(-LEFT(CH2119,8))),VALUE(LEFT(CH2119,4)),VALUE(LEFT(CH2119,FIND("-",CH2119)-1)))),""))</f>
        <v/>
      </c>
      <c r="CN2119">
        <f>IF(CH2119="","",IFERROR(IF(AND(LEN(CH2119)=9,ISERROR(FIND("-",LEFT(CH2119,8))),ISNUMBER(-LEFT(CH2119,8))),VALUE(MID(CH2119,5,2)),VALUE(MID(CH2119,FIND("-",CH2119)+1,FIND("-",CH2119,FIND("-",CH2119)+1)-FIND("-",CH2119)-1))),""))</f>
        <v/>
      </c>
      <c r="CO2119">
        <f>IF(CH2119="","",IFERROR(IF(AND(LEN(CH2119)=9,ISERROR(FIND("-",LEFT(CH2119,8))),ISNUMBER(-LEFT(CH2119,8))),VALUE(MID(CH2119,7,2)),VALUE(MID(CH2119,FIND("-",CH2119,FIND("-",CH2119)+1)+1,FIND("-",CH2119,FIND("-",CH2119,FIND("-",CH2119)+1)+1)-FIND("-",CH2119,FIND("-",CH2119)+1)-1))),""))</f>
        <v/>
      </c>
    </row>
    <row r="2120">
      <c r="CH2120">
        <f>IF(ISTEXT('월 가계부'!A2120),SUBSTITUTE(SUBSTITUTE(SUBSTITUTE(SUBSTITUTE(SUBSTITUTE(SUBSTITUTE(SUBSTITUTE(SUBSTITUTE(SUBSTITUTE(TRIM('월 가계부'!A2120),"년","-"),"월","-"),"일",""),".","-"),"/","-")," ","-"),"--","-"),"--","-"),"--","-")&amp;"-","")</f>
        <v/>
      </c>
      <c r="CI2120">
        <f>IFERROR(IF('월 가계부'!A2120="","",IF(ISNUMBER('월 가계부'!A2120),IF(AND('월 가계부'!A2120&gt;=19000101,'월 가계부'!A2120&lt;=21001231),IF(AND(MOD(INT('월 가계부'!A2120/100),100)&gt;=1,MOD(INT('월 가계부'!A2120/100),100)&lt;=12,MOD(INT('월 가계부'!A2120),100)&gt;=1,MOD(INT('월 가계부'!A2120),100)&lt;=31),IF(MONTH(DATE(INT('월 가계부'!A2120/10000),MOD(INT('월 가계부'!A2120/100),100),MOD(INT('월 가계부'!A2120),100)))=MOD(INT('월 가계부'!A2120/100),100),DATE(INT('월 가계부'!A2120/10000),MOD(INT('월 가계부'!A2120/100),100),MOD(INT('월 가계부'!A2120),100)),""),""),IF(AND('월 가계부'!A2120&gt;=36526,'월 가계부'!A2120&lt;73051),INT('월 가계부'!A2120),"")),IF(OR(CM2120="",CN2120="",CO2120=""),"",IF(AND(CM2120&gt;=2000,CM2120&lt;=2099,CN2120&gt;=1,CN2120&lt;=12,CO2120&gt;=1,CO2120&lt;=31),IF(MONTH(DATE(CM2120,CN2120,CO2120))=CN2120,DATE(CM2120,CN2120,CO2120),""),"")))),"")</f>
        <v/>
      </c>
      <c r="CJ2120">
        <f>IFERROR(IF('월 가계부'!C2120="","",IF(ISNUMBER('월 가계부'!C2120),'월 가계부'!C2120,VALUE(SUBSTITUTE(SUBSTITUTE(SUBSTITUTE(SUBSTITUTE(TRIM('월 가계부'!C2120),",",""),"원","")," ",""),"−","-")))),"")</f>
        <v/>
      </c>
      <c r="CK2120">
        <f>IF(ISNUMBER(CI2120),IF(CI2120&lt;$B$13,CI2120,""),"")</f>
        <v/>
      </c>
      <c r="CM2120">
        <f>IF(CH2120="","",IFERROR(IF(IF(AND(LEN(CH2120)=9,ISERROR(FIND("-",LEFT(CH2120,8))),ISNUMBER(-LEFT(CH2120,8))),VALUE(LEFT(CH2120,4)),VALUE(LEFT(CH2120,FIND("-",CH2120)-1)))&lt;100,IF(AND(LEN(CH2120)=9,ISERROR(FIND("-",LEFT(CH2120,8))),ISNUMBER(-LEFT(CH2120,8))),VALUE(LEFT(CH2120,4)),VALUE(LEFT(CH2120,FIND("-",CH2120)-1)))+2000,IF(AND(LEN(CH2120)=9,ISERROR(FIND("-",LEFT(CH2120,8))),ISNUMBER(-LEFT(CH2120,8))),VALUE(LEFT(CH2120,4)),VALUE(LEFT(CH2120,FIND("-",CH2120)-1)))),""))</f>
        <v/>
      </c>
      <c r="CN2120">
        <f>IF(CH2120="","",IFERROR(IF(AND(LEN(CH2120)=9,ISERROR(FIND("-",LEFT(CH2120,8))),ISNUMBER(-LEFT(CH2120,8))),VALUE(MID(CH2120,5,2)),VALUE(MID(CH2120,FIND("-",CH2120)+1,FIND("-",CH2120,FIND("-",CH2120)+1)-FIND("-",CH2120)-1))),""))</f>
        <v/>
      </c>
      <c r="CO2120">
        <f>IF(CH2120="","",IFERROR(IF(AND(LEN(CH2120)=9,ISERROR(FIND("-",LEFT(CH2120,8))),ISNUMBER(-LEFT(CH2120,8))),VALUE(MID(CH2120,7,2)),VALUE(MID(CH2120,FIND("-",CH2120,FIND("-",CH2120)+1)+1,FIND("-",CH2120,FIND("-",CH2120,FIND("-",CH2120)+1)+1)-FIND("-",CH2120,FIND("-",CH2120)+1)-1))),""))</f>
        <v/>
      </c>
    </row>
    <row r="2121">
      <c r="CH2121">
        <f>IF(ISTEXT('월 가계부'!A2121),SUBSTITUTE(SUBSTITUTE(SUBSTITUTE(SUBSTITUTE(SUBSTITUTE(SUBSTITUTE(SUBSTITUTE(SUBSTITUTE(SUBSTITUTE(TRIM('월 가계부'!A2121),"년","-"),"월","-"),"일",""),".","-"),"/","-")," ","-"),"--","-"),"--","-"),"--","-")&amp;"-","")</f>
        <v/>
      </c>
      <c r="CI2121">
        <f>IFERROR(IF('월 가계부'!A2121="","",IF(ISNUMBER('월 가계부'!A2121),IF(AND('월 가계부'!A2121&gt;=19000101,'월 가계부'!A2121&lt;=21001231),IF(AND(MOD(INT('월 가계부'!A2121/100),100)&gt;=1,MOD(INT('월 가계부'!A2121/100),100)&lt;=12,MOD(INT('월 가계부'!A2121),100)&gt;=1,MOD(INT('월 가계부'!A2121),100)&lt;=31),IF(MONTH(DATE(INT('월 가계부'!A2121/10000),MOD(INT('월 가계부'!A2121/100),100),MOD(INT('월 가계부'!A2121),100)))=MOD(INT('월 가계부'!A2121/100),100),DATE(INT('월 가계부'!A2121/10000),MOD(INT('월 가계부'!A2121/100),100),MOD(INT('월 가계부'!A2121),100)),""),""),IF(AND('월 가계부'!A2121&gt;=36526,'월 가계부'!A2121&lt;73051),INT('월 가계부'!A2121),"")),IF(OR(CM2121="",CN2121="",CO2121=""),"",IF(AND(CM2121&gt;=2000,CM2121&lt;=2099,CN2121&gt;=1,CN2121&lt;=12,CO2121&gt;=1,CO2121&lt;=31),IF(MONTH(DATE(CM2121,CN2121,CO2121))=CN2121,DATE(CM2121,CN2121,CO2121),""),"")))),"")</f>
        <v/>
      </c>
      <c r="CJ2121">
        <f>IFERROR(IF('월 가계부'!C2121="","",IF(ISNUMBER('월 가계부'!C2121),'월 가계부'!C2121,VALUE(SUBSTITUTE(SUBSTITUTE(SUBSTITUTE(SUBSTITUTE(TRIM('월 가계부'!C2121),",",""),"원","")," ",""),"−","-")))),"")</f>
        <v/>
      </c>
      <c r="CK2121">
        <f>IF(ISNUMBER(CI2121),IF(CI2121&lt;$B$13,CI2121,""),"")</f>
        <v/>
      </c>
      <c r="CM2121">
        <f>IF(CH2121="","",IFERROR(IF(IF(AND(LEN(CH2121)=9,ISERROR(FIND("-",LEFT(CH2121,8))),ISNUMBER(-LEFT(CH2121,8))),VALUE(LEFT(CH2121,4)),VALUE(LEFT(CH2121,FIND("-",CH2121)-1)))&lt;100,IF(AND(LEN(CH2121)=9,ISERROR(FIND("-",LEFT(CH2121,8))),ISNUMBER(-LEFT(CH2121,8))),VALUE(LEFT(CH2121,4)),VALUE(LEFT(CH2121,FIND("-",CH2121)-1)))+2000,IF(AND(LEN(CH2121)=9,ISERROR(FIND("-",LEFT(CH2121,8))),ISNUMBER(-LEFT(CH2121,8))),VALUE(LEFT(CH2121,4)),VALUE(LEFT(CH2121,FIND("-",CH2121)-1)))),""))</f>
        <v/>
      </c>
      <c r="CN2121">
        <f>IF(CH2121="","",IFERROR(IF(AND(LEN(CH2121)=9,ISERROR(FIND("-",LEFT(CH2121,8))),ISNUMBER(-LEFT(CH2121,8))),VALUE(MID(CH2121,5,2)),VALUE(MID(CH2121,FIND("-",CH2121)+1,FIND("-",CH2121,FIND("-",CH2121)+1)-FIND("-",CH2121)-1))),""))</f>
        <v/>
      </c>
      <c r="CO2121">
        <f>IF(CH2121="","",IFERROR(IF(AND(LEN(CH2121)=9,ISERROR(FIND("-",LEFT(CH2121,8))),ISNUMBER(-LEFT(CH2121,8))),VALUE(MID(CH2121,7,2)),VALUE(MID(CH2121,FIND("-",CH2121,FIND("-",CH2121)+1)+1,FIND("-",CH2121,FIND("-",CH2121,FIND("-",CH2121)+1)+1)-FIND("-",CH2121,FIND("-",CH2121)+1)-1))),""))</f>
        <v/>
      </c>
    </row>
    <row r="2122">
      <c r="CH2122">
        <f>IF(ISTEXT('월 가계부'!A2122),SUBSTITUTE(SUBSTITUTE(SUBSTITUTE(SUBSTITUTE(SUBSTITUTE(SUBSTITUTE(SUBSTITUTE(SUBSTITUTE(SUBSTITUTE(TRIM('월 가계부'!A2122),"년","-"),"월","-"),"일",""),".","-"),"/","-")," ","-"),"--","-"),"--","-"),"--","-")&amp;"-","")</f>
        <v/>
      </c>
      <c r="CI2122">
        <f>IFERROR(IF('월 가계부'!A2122="","",IF(ISNUMBER('월 가계부'!A2122),IF(AND('월 가계부'!A2122&gt;=19000101,'월 가계부'!A2122&lt;=21001231),IF(AND(MOD(INT('월 가계부'!A2122/100),100)&gt;=1,MOD(INT('월 가계부'!A2122/100),100)&lt;=12,MOD(INT('월 가계부'!A2122),100)&gt;=1,MOD(INT('월 가계부'!A2122),100)&lt;=31),IF(MONTH(DATE(INT('월 가계부'!A2122/10000),MOD(INT('월 가계부'!A2122/100),100),MOD(INT('월 가계부'!A2122),100)))=MOD(INT('월 가계부'!A2122/100),100),DATE(INT('월 가계부'!A2122/10000),MOD(INT('월 가계부'!A2122/100),100),MOD(INT('월 가계부'!A2122),100)),""),""),IF(AND('월 가계부'!A2122&gt;=36526,'월 가계부'!A2122&lt;73051),INT('월 가계부'!A2122),"")),IF(OR(CM2122="",CN2122="",CO2122=""),"",IF(AND(CM2122&gt;=2000,CM2122&lt;=2099,CN2122&gt;=1,CN2122&lt;=12,CO2122&gt;=1,CO2122&lt;=31),IF(MONTH(DATE(CM2122,CN2122,CO2122))=CN2122,DATE(CM2122,CN2122,CO2122),""),"")))),"")</f>
        <v/>
      </c>
      <c r="CJ2122">
        <f>IFERROR(IF('월 가계부'!C2122="","",IF(ISNUMBER('월 가계부'!C2122),'월 가계부'!C2122,VALUE(SUBSTITUTE(SUBSTITUTE(SUBSTITUTE(SUBSTITUTE(TRIM('월 가계부'!C2122),",",""),"원","")," ",""),"−","-")))),"")</f>
        <v/>
      </c>
      <c r="CK2122">
        <f>IF(ISNUMBER(CI2122),IF(CI2122&lt;$B$13,CI2122,""),"")</f>
        <v/>
      </c>
      <c r="CM2122">
        <f>IF(CH2122="","",IFERROR(IF(IF(AND(LEN(CH2122)=9,ISERROR(FIND("-",LEFT(CH2122,8))),ISNUMBER(-LEFT(CH2122,8))),VALUE(LEFT(CH2122,4)),VALUE(LEFT(CH2122,FIND("-",CH2122)-1)))&lt;100,IF(AND(LEN(CH2122)=9,ISERROR(FIND("-",LEFT(CH2122,8))),ISNUMBER(-LEFT(CH2122,8))),VALUE(LEFT(CH2122,4)),VALUE(LEFT(CH2122,FIND("-",CH2122)-1)))+2000,IF(AND(LEN(CH2122)=9,ISERROR(FIND("-",LEFT(CH2122,8))),ISNUMBER(-LEFT(CH2122,8))),VALUE(LEFT(CH2122,4)),VALUE(LEFT(CH2122,FIND("-",CH2122)-1)))),""))</f>
        <v/>
      </c>
      <c r="CN2122">
        <f>IF(CH2122="","",IFERROR(IF(AND(LEN(CH2122)=9,ISERROR(FIND("-",LEFT(CH2122,8))),ISNUMBER(-LEFT(CH2122,8))),VALUE(MID(CH2122,5,2)),VALUE(MID(CH2122,FIND("-",CH2122)+1,FIND("-",CH2122,FIND("-",CH2122)+1)-FIND("-",CH2122)-1))),""))</f>
        <v/>
      </c>
      <c r="CO2122">
        <f>IF(CH2122="","",IFERROR(IF(AND(LEN(CH2122)=9,ISERROR(FIND("-",LEFT(CH2122,8))),ISNUMBER(-LEFT(CH2122,8))),VALUE(MID(CH2122,7,2)),VALUE(MID(CH2122,FIND("-",CH2122,FIND("-",CH2122)+1)+1,FIND("-",CH2122,FIND("-",CH2122,FIND("-",CH2122)+1)+1)-FIND("-",CH2122,FIND("-",CH2122)+1)-1))),""))</f>
        <v/>
      </c>
    </row>
    <row r="2123">
      <c r="CH2123">
        <f>IF(ISTEXT('월 가계부'!A2123),SUBSTITUTE(SUBSTITUTE(SUBSTITUTE(SUBSTITUTE(SUBSTITUTE(SUBSTITUTE(SUBSTITUTE(SUBSTITUTE(SUBSTITUTE(TRIM('월 가계부'!A2123),"년","-"),"월","-"),"일",""),".","-"),"/","-")," ","-"),"--","-"),"--","-"),"--","-")&amp;"-","")</f>
        <v/>
      </c>
      <c r="CI2123">
        <f>IFERROR(IF('월 가계부'!A2123="","",IF(ISNUMBER('월 가계부'!A2123),IF(AND('월 가계부'!A2123&gt;=19000101,'월 가계부'!A2123&lt;=21001231),IF(AND(MOD(INT('월 가계부'!A2123/100),100)&gt;=1,MOD(INT('월 가계부'!A2123/100),100)&lt;=12,MOD(INT('월 가계부'!A2123),100)&gt;=1,MOD(INT('월 가계부'!A2123),100)&lt;=31),IF(MONTH(DATE(INT('월 가계부'!A2123/10000),MOD(INT('월 가계부'!A2123/100),100),MOD(INT('월 가계부'!A2123),100)))=MOD(INT('월 가계부'!A2123/100),100),DATE(INT('월 가계부'!A2123/10000),MOD(INT('월 가계부'!A2123/100),100),MOD(INT('월 가계부'!A2123),100)),""),""),IF(AND('월 가계부'!A2123&gt;=36526,'월 가계부'!A2123&lt;73051),INT('월 가계부'!A2123),"")),IF(OR(CM2123="",CN2123="",CO2123=""),"",IF(AND(CM2123&gt;=2000,CM2123&lt;=2099,CN2123&gt;=1,CN2123&lt;=12,CO2123&gt;=1,CO2123&lt;=31),IF(MONTH(DATE(CM2123,CN2123,CO2123))=CN2123,DATE(CM2123,CN2123,CO2123),""),"")))),"")</f>
        <v/>
      </c>
      <c r="CJ2123">
        <f>IFERROR(IF('월 가계부'!C2123="","",IF(ISNUMBER('월 가계부'!C2123),'월 가계부'!C2123,VALUE(SUBSTITUTE(SUBSTITUTE(SUBSTITUTE(SUBSTITUTE(TRIM('월 가계부'!C2123),",",""),"원","")," ",""),"−","-")))),"")</f>
        <v/>
      </c>
      <c r="CK2123">
        <f>IF(ISNUMBER(CI2123),IF(CI2123&lt;$B$13,CI2123,""),"")</f>
        <v/>
      </c>
      <c r="CM2123">
        <f>IF(CH2123="","",IFERROR(IF(IF(AND(LEN(CH2123)=9,ISERROR(FIND("-",LEFT(CH2123,8))),ISNUMBER(-LEFT(CH2123,8))),VALUE(LEFT(CH2123,4)),VALUE(LEFT(CH2123,FIND("-",CH2123)-1)))&lt;100,IF(AND(LEN(CH2123)=9,ISERROR(FIND("-",LEFT(CH2123,8))),ISNUMBER(-LEFT(CH2123,8))),VALUE(LEFT(CH2123,4)),VALUE(LEFT(CH2123,FIND("-",CH2123)-1)))+2000,IF(AND(LEN(CH2123)=9,ISERROR(FIND("-",LEFT(CH2123,8))),ISNUMBER(-LEFT(CH2123,8))),VALUE(LEFT(CH2123,4)),VALUE(LEFT(CH2123,FIND("-",CH2123)-1)))),""))</f>
        <v/>
      </c>
      <c r="CN2123">
        <f>IF(CH2123="","",IFERROR(IF(AND(LEN(CH2123)=9,ISERROR(FIND("-",LEFT(CH2123,8))),ISNUMBER(-LEFT(CH2123,8))),VALUE(MID(CH2123,5,2)),VALUE(MID(CH2123,FIND("-",CH2123)+1,FIND("-",CH2123,FIND("-",CH2123)+1)-FIND("-",CH2123)-1))),""))</f>
        <v/>
      </c>
      <c r="CO2123">
        <f>IF(CH2123="","",IFERROR(IF(AND(LEN(CH2123)=9,ISERROR(FIND("-",LEFT(CH2123,8))),ISNUMBER(-LEFT(CH2123,8))),VALUE(MID(CH2123,7,2)),VALUE(MID(CH2123,FIND("-",CH2123,FIND("-",CH2123)+1)+1,FIND("-",CH2123,FIND("-",CH2123,FIND("-",CH2123)+1)+1)-FIND("-",CH2123,FIND("-",CH2123)+1)-1))),""))</f>
        <v/>
      </c>
    </row>
    <row r="2124">
      <c r="CH2124">
        <f>IF(ISTEXT('월 가계부'!A2124),SUBSTITUTE(SUBSTITUTE(SUBSTITUTE(SUBSTITUTE(SUBSTITUTE(SUBSTITUTE(SUBSTITUTE(SUBSTITUTE(SUBSTITUTE(TRIM('월 가계부'!A2124),"년","-"),"월","-"),"일",""),".","-"),"/","-")," ","-"),"--","-"),"--","-"),"--","-")&amp;"-","")</f>
        <v/>
      </c>
      <c r="CI2124">
        <f>IFERROR(IF('월 가계부'!A2124="","",IF(ISNUMBER('월 가계부'!A2124),IF(AND('월 가계부'!A2124&gt;=19000101,'월 가계부'!A2124&lt;=21001231),IF(AND(MOD(INT('월 가계부'!A2124/100),100)&gt;=1,MOD(INT('월 가계부'!A2124/100),100)&lt;=12,MOD(INT('월 가계부'!A2124),100)&gt;=1,MOD(INT('월 가계부'!A2124),100)&lt;=31),IF(MONTH(DATE(INT('월 가계부'!A2124/10000),MOD(INT('월 가계부'!A2124/100),100),MOD(INT('월 가계부'!A2124),100)))=MOD(INT('월 가계부'!A2124/100),100),DATE(INT('월 가계부'!A2124/10000),MOD(INT('월 가계부'!A2124/100),100),MOD(INT('월 가계부'!A2124),100)),""),""),IF(AND('월 가계부'!A2124&gt;=36526,'월 가계부'!A2124&lt;73051),INT('월 가계부'!A2124),"")),IF(OR(CM2124="",CN2124="",CO2124=""),"",IF(AND(CM2124&gt;=2000,CM2124&lt;=2099,CN2124&gt;=1,CN2124&lt;=12,CO2124&gt;=1,CO2124&lt;=31),IF(MONTH(DATE(CM2124,CN2124,CO2124))=CN2124,DATE(CM2124,CN2124,CO2124),""),"")))),"")</f>
        <v/>
      </c>
      <c r="CJ2124">
        <f>IFERROR(IF('월 가계부'!C2124="","",IF(ISNUMBER('월 가계부'!C2124),'월 가계부'!C2124,VALUE(SUBSTITUTE(SUBSTITUTE(SUBSTITUTE(SUBSTITUTE(TRIM('월 가계부'!C2124),",",""),"원","")," ",""),"−","-")))),"")</f>
        <v/>
      </c>
      <c r="CK2124">
        <f>IF(ISNUMBER(CI2124),IF(CI2124&lt;$B$13,CI2124,""),"")</f>
        <v/>
      </c>
      <c r="CM2124">
        <f>IF(CH2124="","",IFERROR(IF(IF(AND(LEN(CH2124)=9,ISERROR(FIND("-",LEFT(CH2124,8))),ISNUMBER(-LEFT(CH2124,8))),VALUE(LEFT(CH2124,4)),VALUE(LEFT(CH2124,FIND("-",CH2124)-1)))&lt;100,IF(AND(LEN(CH2124)=9,ISERROR(FIND("-",LEFT(CH2124,8))),ISNUMBER(-LEFT(CH2124,8))),VALUE(LEFT(CH2124,4)),VALUE(LEFT(CH2124,FIND("-",CH2124)-1)))+2000,IF(AND(LEN(CH2124)=9,ISERROR(FIND("-",LEFT(CH2124,8))),ISNUMBER(-LEFT(CH2124,8))),VALUE(LEFT(CH2124,4)),VALUE(LEFT(CH2124,FIND("-",CH2124)-1)))),""))</f>
        <v/>
      </c>
      <c r="CN2124">
        <f>IF(CH2124="","",IFERROR(IF(AND(LEN(CH2124)=9,ISERROR(FIND("-",LEFT(CH2124,8))),ISNUMBER(-LEFT(CH2124,8))),VALUE(MID(CH2124,5,2)),VALUE(MID(CH2124,FIND("-",CH2124)+1,FIND("-",CH2124,FIND("-",CH2124)+1)-FIND("-",CH2124)-1))),""))</f>
        <v/>
      </c>
      <c r="CO2124">
        <f>IF(CH2124="","",IFERROR(IF(AND(LEN(CH2124)=9,ISERROR(FIND("-",LEFT(CH2124,8))),ISNUMBER(-LEFT(CH2124,8))),VALUE(MID(CH2124,7,2)),VALUE(MID(CH2124,FIND("-",CH2124,FIND("-",CH2124)+1)+1,FIND("-",CH2124,FIND("-",CH2124,FIND("-",CH2124)+1)+1)-FIND("-",CH2124,FIND("-",CH2124)+1)-1))),""))</f>
        <v/>
      </c>
    </row>
    <row r="2125">
      <c r="CH2125">
        <f>IF(ISTEXT('월 가계부'!A2125),SUBSTITUTE(SUBSTITUTE(SUBSTITUTE(SUBSTITUTE(SUBSTITUTE(SUBSTITUTE(SUBSTITUTE(SUBSTITUTE(SUBSTITUTE(TRIM('월 가계부'!A2125),"년","-"),"월","-"),"일",""),".","-"),"/","-")," ","-"),"--","-"),"--","-"),"--","-")&amp;"-","")</f>
        <v/>
      </c>
      <c r="CI2125">
        <f>IFERROR(IF('월 가계부'!A2125="","",IF(ISNUMBER('월 가계부'!A2125),IF(AND('월 가계부'!A2125&gt;=19000101,'월 가계부'!A2125&lt;=21001231),IF(AND(MOD(INT('월 가계부'!A2125/100),100)&gt;=1,MOD(INT('월 가계부'!A2125/100),100)&lt;=12,MOD(INT('월 가계부'!A2125),100)&gt;=1,MOD(INT('월 가계부'!A2125),100)&lt;=31),IF(MONTH(DATE(INT('월 가계부'!A2125/10000),MOD(INT('월 가계부'!A2125/100),100),MOD(INT('월 가계부'!A2125),100)))=MOD(INT('월 가계부'!A2125/100),100),DATE(INT('월 가계부'!A2125/10000),MOD(INT('월 가계부'!A2125/100),100),MOD(INT('월 가계부'!A2125),100)),""),""),IF(AND('월 가계부'!A2125&gt;=36526,'월 가계부'!A2125&lt;73051),INT('월 가계부'!A2125),"")),IF(OR(CM2125="",CN2125="",CO2125=""),"",IF(AND(CM2125&gt;=2000,CM2125&lt;=2099,CN2125&gt;=1,CN2125&lt;=12,CO2125&gt;=1,CO2125&lt;=31),IF(MONTH(DATE(CM2125,CN2125,CO2125))=CN2125,DATE(CM2125,CN2125,CO2125),""),"")))),"")</f>
        <v/>
      </c>
      <c r="CJ2125">
        <f>IFERROR(IF('월 가계부'!C2125="","",IF(ISNUMBER('월 가계부'!C2125),'월 가계부'!C2125,VALUE(SUBSTITUTE(SUBSTITUTE(SUBSTITUTE(SUBSTITUTE(TRIM('월 가계부'!C2125),",",""),"원","")," ",""),"−","-")))),"")</f>
        <v/>
      </c>
      <c r="CK2125">
        <f>IF(ISNUMBER(CI2125),IF(CI2125&lt;$B$13,CI2125,""),"")</f>
        <v/>
      </c>
      <c r="CM2125">
        <f>IF(CH2125="","",IFERROR(IF(IF(AND(LEN(CH2125)=9,ISERROR(FIND("-",LEFT(CH2125,8))),ISNUMBER(-LEFT(CH2125,8))),VALUE(LEFT(CH2125,4)),VALUE(LEFT(CH2125,FIND("-",CH2125)-1)))&lt;100,IF(AND(LEN(CH2125)=9,ISERROR(FIND("-",LEFT(CH2125,8))),ISNUMBER(-LEFT(CH2125,8))),VALUE(LEFT(CH2125,4)),VALUE(LEFT(CH2125,FIND("-",CH2125)-1)))+2000,IF(AND(LEN(CH2125)=9,ISERROR(FIND("-",LEFT(CH2125,8))),ISNUMBER(-LEFT(CH2125,8))),VALUE(LEFT(CH2125,4)),VALUE(LEFT(CH2125,FIND("-",CH2125)-1)))),""))</f>
        <v/>
      </c>
      <c r="CN2125">
        <f>IF(CH2125="","",IFERROR(IF(AND(LEN(CH2125)=9,ISERROR(FIND("-",LEFT(CH2125,8))),ISNUMBER(-LEFT(CH2125,8))),VALUE(MID(CH2125,5,2)),VALUE(MID(CH2125,FIND("-",CH2125)+1,FIND("-",CH2125,FIND("-",CH2125)+1)-FIND("-",CH2125)-1))),""))</f>
        <v/>
      </c>
      <c r="CO2125">
        <f>IF(CH2125="","",IFERROR(IF(AND(LEN(CH2125)=9,ISERROR(FIND("-",LEFT(CH2125,8))),ISNUMBER(-LEFT(CH2125,8))),VALUE(MID(CH2125,7,2)),VALUE(MID(CH2125,FIND("-",CH2125,FIND("-",CH2125)+1)+1,FIND("-",CH2125,FIND("-",CH2125,FIND("-",CH2125)+1)+1)-FIND("-",CH2125,FIND("-",CH2125)+1)-1))),""))</f>
        <v/>
      </c>
    </row>
    <row r="2126">
      <c r="CH2126">
        <f>IF(ISTEXT('월 가계부'!A2126),SUBSTITUTE(SUBSTITUTE(SUBSTITUTE(SUBSTITUTE(SUBSTITUTE(SUBSTITUTE(SUBSTITUTE(SUBSTITUTE(SUBSTITUTE(TRIM('월 가계부'!A2126),"년","-"),"월","-"),"일",""),".","-"),"/","-")," ","-"),"--","-"),"--","-"),"--","-")&amp;"-","")</f>
        <v/>
      </c>
      <c r="CI2126">
        <f>IFERROR(IF('월 가계부'!A2126="","",IF(ISNUMBER('월 가계부'!A2126),IF(AND('월 가계부'!A2126&gt;=19000101,'월 가계부'!A2126&lt;=21001231),IF(AND(MOD(INT('월 가계부'!A2126/100),100)&gt;=1,MOD(INT('월 가계부'!A2126/100),100)&lt;=12,MOD(INT('월 가계부'!A2126),100)&gt;=1,MOD(INT('월 가계부'!A2126),100)&lt;=31),IF(MONTH(DATE(INT('월 가계부'!A2126/10000),MOD(INT('월 가계부'!A2126/100),100),MOD(INT('월 가계부'!A2126),100)))=MOD(INT('월 가계부'!A2126/100),100),DATE(INT('월 가계부'!A2126/10000),MOD(INT('월 가계부'!A2126/100),100),MOD(INT('월 가계부'!A2126),100)),""),""),IF(AND('월 가계부'!A2126&gt;=36526,'월 가계부'!A2126&lt;73051),INT('월 가계부'!A2126),"")),IF(OR(CM2126="",CN2126="",CO2126=""),"",IF(AND(CM2126&gt;=2000,CM2126&lt;=2099,CN2126&gt;=1,CN2126&lt;=12,CO2126&gt;=1,CO2126&lt;=31),IF(MONTH(DATE(CM2126,CN2126,CO2126))=CN2126,DATE(CM2126,CN2126,CO2126),""),"")))),"")</f>
        <v/>
      </c>
      <c r="CJ2126">
        <f>IFERROR(IF('월 가계부'!C2126="","",IF(ISNUMBER('월 가계부'!C2126),'월 가계부'!C2126,VALUE(SUBSTITUTE(SUBSTITUTE(SUBSTITUTE(SUBSTITUTE(TRIM('월 가계부'!C2126),",",""),"원","")," ",""),"−","-")))),"")</f>
        <v/>
      </c>
      <c r="CK2126">
        <f>IF(ISNUMBER(CI2126),IF(CI2126&lt;$B$13,CI2126,""),"")</f>
        <v/>
      </c>
      <c r="CM2126">
        <f>IF(CH2126="","",IFERROR(IF(IF(AND(LEN(CH2126)=9,ISERROR(FIND("-",LEFT(CH2126,8))),ISNUMBER(-LEFT(CH2126,8))),VALUE(LEFT(CH2126,4)),VALUE(LEFT(CH2126,FIND("-",CH2126)-1)))&lt;100,IF(AND(LEN(CH2126)=9,ISERROR(FIND("-",LEFT(CH2126,8))),ISNUMBER(-LEFT(CH2126,8))),VALUE(LEFT(CH2126,4)),VALUE(LEFT(CH2126,FIND("-",CH2126)-1)))+2000,IF(AND(LEN(CH2126)=9,ISERROR(FIND("-",LEFT(CH2126,8))),ISNUMBER(-LEFT(CH2126,8))),VALUE(LEFT(CH2126,4)),VALUE(LEFT(CH2126,FIND("-",CH2126)-1)))),""))</f>
        <v/>
      </c>
      <c r="CN2126">
        <f>IF(CH2126="","",IFERROR(IF(AND(LEN(CH2126)=9,ISERROR(FIND("-",LEFT(CH2126,8))),ISNUMBER(-LEFT(CH2126,8))),VALUE(MID(CH2126,5,2)),VALUE(MID(CH2126,FIND("-",CH2126)+1,FIND("-",CH2126,FIND("-",CH2126)+1)-FIND("-",CH2126)-1))),""))</f>
        <v/>
      </c>
      <c r="CO2126">
        <f>IF(CH2126="","",IFERROR(IF(AND(LEN(CH2126)=9,ISERROR(FIND("-",LEFT(CH2126,8))),ISNUMBER(-LEFT(CH2126,8))),VALUE(MID(CH2126,7,2)),VALUE(MID(CH2126,FIND("-",CH2126,FIND("-",CH2126)+1)+1,FIND("-",CH2126,FIND("-",CH2126,FIND("-",CH2126)+1)+1)-FIND("-",CH2126,FIND("-",CH2126)+1)-1))),""))</f>
        <v/>
      </c>
    </row>
    <row r="2127">
      <c r="CH2127">
        <f>IF(ISTEXT('월 가계부'!A2127),SUBSTITUTE(SUBSTITUTE(SUBSTITUTE(SUBSTITUTE(SUBSTITUTE(SUBSTITUTE(SUBSTITUTE(SUBSTITUTE(SUBSTITUTE(TRIM('월 가계부'!A2127),"년","-"),"월","-"),"일",""),".","-"),"/","-")," ","-"),"--","-"),"--","-"),"--","-")&amp;"-","")</f>
        <v/>
      </c>
      <c r="CI2127">
        <f>IFERROR(IF('월 가계부'!A2127="","",IF(ISNUMBER('월 가계부'!A2127),IF(AND('월 가계부'!A2127&gt;=19000101,'월 가계부'!A2127&lt;=21001231),IF(AND(MOD(INT('월 가계부'!A2127/100),100)&gt;=1,MOD(INT('월 가계부'!A2127/100),100)&lt;=12,MOD(INT('월 가계부'!A2127),100)&gt;=1,MOD(INT('월 가계부'!A2127),100)&lt;=31),IF(MONTH(DATE(INT('월 가계부'!A2127/10000),MOD(INT('월 가계부'!A2127/100),100),MOD(INT('월 가계부'!A2127),100)))=MOD(INT('월 가계부'!A2127/100),100),DATE(INT('월 가계부'!A2127/10000),MOD(INT('월 가계부'!A2127/100),100),MOD(INT('월 가계부'!A2127),100)),""),""),IF(AND('월 가계부'!A2127&gt;=36526,'월 가계부'!A2127&lt;73051),INT('월 가계부'!A2127),"")),IF(OR(CM2127="",CN2127="",CO2127=""),"",IF(AND(CM2127&gt;=2000,CM2127&lt;=2099,CN2127&gt;=1,CN2127&lt;=12,CO2127&gt;=1,CO2127&lt;=31),IF(MONTH(DATE(CM2127,CN2127,CO2127))=CN2127,DATE(CM2127,CN2127,CO2127),""),"")))),"")</f>
        <v/>
      </c>
      <c r="CJ2127">
        <f>IFERROR(IF('월 가계부'!C2127="","",IF(ISNUMBER('월 가계부'!C2127),'월 가계부'!C2127,VALUE(SUBSTITUTE(SUBSTITUTE(SUBSTITUTE(SUBSTITUTE(TRIM('월 가계부'!C2127),",",""),"원","")," ",""),"−","-")))),"")</f>
        <v/>
      </c>
      <c r="CK2127">
        <f>IF(ISNUMBER(CI2127),IF(CI2127&lt;$B$13,CI2127,""),"")</f>
        <v/>
      </c>
      <c r="CM2127">
        <f>IF(CH2127="","",IFERROR(IF(IF(AND(LEN(CH2127)=9,ISERROR(FIND("-",LEFT(CH2127,8))),ISNUMBER(-LEFT(CH2127,8))),VALUE(LEFT(CH2127,4)),VALUE(LEFT(CH2127,FIND("-",CH2127)-1)))&lt;100,IF(AND(LEN(CH2127)=9,ISERROR(FIND("-",LEFT(CH2127,8))),ISNUMBER(-LEFT(CH2127,8))),VALUE(LEFT(CH2127,4)),VALUE(LEFT(CH2127,FIND("-",CH2127)-1)))+2000,IF(AND(LEN(CH2127)=9,ISERROR(FIND("-",LEFT(CH2127,8))),ISNUMBER(-LEFT(CH2127,8))),VALUE(LEFT(CH2127,4)),VALUE(LEFT(CH2127,FIND("-",CH2127)-1)))),""))</f>
        <v/>
      </c>
      <c r="CN2127">
        <f>IF(CH2127="","",IFERROR(IF(AND(LEN(CH2127)=9,ISERROR(FIND("-",LEFT(CH2127,8))),ISNUMBER(-LEFT(CH2127,8))),VALUE(MID(CH2127,5,2)),VALUE(MID(CH2127,FIND("-",CH2127)+1,FIND("-",CH2127,FIND("-",CH2127)+1)-FIND("-",CH2127)-1))),""))</f>
        <v/>
      </c>
      <c r="CO2127">
        <f>IF(CH2127="","",IFERROR(IF(AND(LEN(CH2127)=9,ISERROR(FIND("-",LEFT(CH2127,8))),ISNUMBER(-LEFT(CH2127,8))),VALUE(MID(CH2127,7,2)),VALUE(MID(CH2127,FIND("-",CH2127,FIND("-",CH2127)+1)+1,FIND("-",CH2127,FIND("-",CH2127,FIND("-",CH2127)+1)+1)-FIND("-",CH2127,FIND("-",CH2127)+1)-1))),""))</f>
        <v/>
      </c>
    </row>
    <row r="2128">
      <c r="CH2128">
        <f>IF(ISTEXT('월 가계부'!A2128),SUBSTITUTE(SUBSTITUTE(SUBSTITUTE(SUBSTITUTE(SUBSTITUTE(SUBSTITUTE(SUBSTITUTE(SUBSTITUTE(SUBSTITUTE(TRIM('월 가계부'!A2128),"년","-"),"월","-"),"일",""),".","-"),"/","-")," ","-"),"--","-"),"--","-"),"--","-")&amp;"-","")</f>
        <v/>
      </c>
      <c r="CI2128">
        <f>IFERROR(IF('월 가계부'!A2128="","",IF(ISNUMBER('월 가계부'!A2128),IF(AND('월 가계부'!A2128&gt;=19000101,'월 가계부'!A2128&lt;=21001231),IF(AND(MOD(INT('월 가계부'!A2128/100),100)&gt;=1,MOD(INT('월 가계부'!A2128/100),100)&lt;=12,MOD(INT('월 가계부'!A2128),100)&gt;=1,MOD(INT('월 가계부'!A2128),100)&lt;=31),IF(MONTH(DATE(INT('월 가계부'!A2128/10000),MOD(INT('월 가계부'!A2128/100),100),MOD(INT('월 가계부'!A2128),100)))=MOD(INT('월 가계부'!A2128/100),100),DATE(INT('월 가계부'!A2128/10000),MOD(INT('월 가계부'!A2128/100),100),MOD(INT('월 가계부'!A2128),100)),""),""),IF(AND('월 가계부'!A2128&gt;=36526,'월 가계부'!A2128&lt;73051),INT('월 가계부'!A2128),"")),IF(OR(CM2128="",CN2128="",CO2128=""),"",IF(AND(CM2128&gt;=2000,CM2128&lt;=2099,CN2128&gt;=1,CN2128&lt;=12,CO2128&gt;=1,CO2128&lt;=31),IF(MONTH(DATE(CM2128,CN2128,CO2128))=CN2128,DATE(CM2128,CN2128,CO2128),""),"")))),"")</f>
        <v/>
      </c>
      <c r="CJ2128">
        <f>IFERROR(IF('월 가계부'!C2128="","",IF(ISNUMBER('월 가계부'!C2128),'월 가계부'!C2128,VALUE(SUBSTITUTE(SUBSTITUTE(SUBSTITUTE(SUBSTITUTE(TRIM('월 가계부'!C2128),",",""),"원","")," ",""),"−","-")))),"")</f>
        <v/>
      </c>
      <c r="CK2128">
        <f>IF(ISNUMBER(CI2128),IF(CI2128&lt;$B$13,CI2128,""),"")</f>
        <v/>
      </c>
      <c r="CM2128">
        <f>IF(CH2128="","",IFERROR(IF(IF(AND(LEN(CH2128)=9,ISERROR(FIND("-",LEFT(CH2128,8))),ISNUMBER(-LEFT(CH2128,8))),VALUE(LEFT(CH2128,4)),VALUE(LEFT(CH2128,FIND("-",CH2128)-1)))&lt;100,IF(AND(LEN(CH2128)=9,ISERROR(FIND("-",LEFT(CH2128,8))),ISNUMBER(-LEFT(CH2128,8))),VALUE(LEFT(CH2128,4)),VALUE(LEFT(CH2128,FIND("-",CH2128)-1)))+2000,IF(AND(LEN(CH2128)=9,ISERROR(FIND("-",LEFT(CH2128,8))),ISNUMBER(-LEFT(CH2128,8))),VALUE(LEFT(CH2128,4)),VALUE(LEFT(CH2128,FIND("-",CH2128)-1)))),""))</f>
        <v/>
      </c>
      <c r="CN2128">
        <f>IF(CH2128="","",IFERROR(IF(AND(LEN(CH2128)=9,ISERROR(FIND("-",LEFT(CH2128,8))),ISNUMBER(-LEFT(CH2128,8))),VALUE(MID(CH2128,5,2)),VALUE(MID(CH2128,FIND("-",CH2128)+1,FIND("-",CH2128,FIND("-",CH2128)+1)-FIND("-",CH2128)-1))),""))</f>
        <v/>
      </c>
      <c r="CO2128">
        <f>IF(CH2128="","",IFERROR(IF(AND(LEN(CH2128)=9,ISERROR(FIND("-",LEFT(CH2128,8))),ISNUMBER(-LEFT(CH2128,8))),VALUE(MID(CH2128,7,2)),VALUE(MID(CH2128,FIND("-",CH2128,FIND("-",CH2128)+1)+1,FIND("-",CH2128,FIND("-",CH2128,FIND("-",CH2128)+1)+1)-FIND("-",CH2128,FIND("-",CH2128)+1)-1))),""))</f>
        <v/>
      </c>
    </row>
    <row r="2129">
      <c r="CH2129">
        <f>IF(ISTEXT('월 가계부'!A2129),SUBSTITUTE(SUBSTITUTE(SUBSTITUTE(SUBSTITUTE(SUBSTITUTE(SUBSTITUTE(SUBSTITUTE(SUBSTITUTE(SUBSTITUTE(TRIM('월 가계부'!A2129),"년","-"),"월","-"),"일",""),".","-"),"/","-")," ","-"),"--","-"),"--","-"),"--","-")&amp;"-","")</f>
        <v/>
      </c>
      <c r="CI2129">
        <f>IFERROR(IF('월 가계부'!A2129="","",IF(ISNUMBER('월 가계부'!A2129),IF(AND('월 가계부'!A2129&gt;=19000101,'월 가계부'!A2129&lt;=21001231),IF(AND(MOD(INT('월 가계부'!A2129/100),100)&gt;=1,MOD(INT('월 가계부'!A2129/100),100)&lt;=12,MOD(INT('월 가계부'!A2129),100)&gt;=1,MOD(INT('월 가계부'!A2129),100)&lt;=31),IF(MONTH(DATE(INT('월 가계부'!A2129/10000),MOD(INT('월 가계부'!A2129/100),100),MOD(INT('월 가계부'!A2129),100)))=MOD(INT('월 가계부'!A2129/100),100),DATE(INT('월 가계부'!A2129/10000),MOD(INT('월 가계부'!A2129/100),100),MOD(INT('월 가계부'!A2129),100)),""),""),IF(AND('월 가계부'!A2129&gt;=36526,'월 가계부'!A2129&lt;73051),INT('월 가계부'!A2129),"")),IF(OR(CM2129="",CN2129="",CO2129=""),"",IF(AND(CM2129&gt;=2000,CM2129&lt;=2099,CN2129&gt;=1,CN2129&lt;=12,CO2129&gt;=1,CO2129&lt;=31),IF(MONTH(DATE(CM2129,CN2129,CO2129))=CN2129,DATE(CM2129,CN2129,CO2129),""),"")))),"")</f>
        <v/>
      </c>
      <c r="CJ2129">
        <f>IFERROR(IF('월 가계부'!C2129="","",IF(ISNUMBER('월 가계부'!C2129),'월 가계부'!C2129,VALUE(SUBSTITUTE(SUBSTITUTE(SUBSTITUTE(SUBSTITUTE(TRIM('월 가계부'!C2129),",",""),"원","")," ",""),"−","-")))),"")</f>
        <v/>
      </c>
      <c r="CK2129">
        <f>IF(ISNUMBER(CI2129),IF(CI2129&lt;$B$13,CI2129,""),"")</f>
        <v/>
      </c>
      <c r="CM2129">
        <f>IF(CH2129="","",IFERROR(IF(IF(AND(LEN(CH2129)=9,ISERROR(FIND("-",LEFT(CH2129,8))),ISNUMBER(-LEFT(CH2129,8))),VALUE(LEFT(CH2129,4)),VALUE(LEFT(CH2129,FIND("-",CH2129)-1)))&lt;100,IF(AND(LEN(CH2129)=9,ISERROR(FIND("-",LEFT(CH2129,8))),ISNUMBER(-LEFT(CH2129,8))),VALUE(LEFT(CH2129,4)),VALUE(LEFT(CH2129,FIND("-",CH2129)-1)))+2000,IF(AND(LEN(CH2129)=9,ISERROR(FIND("-",LEFT(CH2129,8))),ISNUMBER(-LEFT(CH2129,8))),VALUE(LEFT(CH2129,4)),VALUE(LEFT(CH2129,FIND("-",CH2129)-1)))),""))</f>
        <v/>
      </c>
      <c r="CN2129">
        <f>IF(CH2129="","",IFERROR(IF(AND(LEN(CH2129)=9,ISERROR(FIND("-",LEFT(CH2129,8))),ISNUMBER(-LEFT(CH2129,8))),VALUE(MID(CH2129,5,2)),VALUE(MID(CH2129,FIND("-",CH2129)+1,FIND("-",CH2129,FIND("-",CH2129)+1)-FIND("-",CH2129)-1))),""))</f>
        <v/>
      </c>
      <c r="CO2129">
        <f>IF(CH2129="","",IFERROR(IF(AND(LEN(CH2129)=9,ISERROR(FIND("-",LEFT(CH2129,8))),ISNUMBER(-LEFT(CH2129,8))),VALUE(MID(CH2129,7,2)),VALUE(MID(CH2129,FIND("-",CH2129,FIND("-",CH2129)+1)+1,FIND("-",CH2129,FIND("-",CH2129,FIND("-",CH2129)+1)+1)-FIND("-",CH2129,FIND("-",CH2129)+1)-1))),""))</f>
        <v/>
      </c>
    </row>
    <row r="2130">
      <c r="CH2130">
        <f>IF(ISTEXT('월 가계부'!A2130),SUBSTITUTE(SUBSTITUTE(SUBSTITUTE(SUBSTITUTE(SUBSTITUTE(SUBSTITUTE(SUBSTITUTE(SUBSTITUTE(SUBSTITUTE(TRIM('월 가계부'!A2130),"년","-"),"월","-"),"일",""),".","-"),"/","-")," ","-"),"--","-"),"--","-"),"--","-")&amp;"-","")</f>
        <v/>
      </c>
      <c r="CI2130">
        <f>IFERROR(IF('월 가계부'!A2130="","",IF(ISNUMBER('월 가계부'!A2130),IF(AND('월 가계부'!A2130&gt;=19000101,'월 가계부'!A2130&lt;=21001231),IF(AND(MOD(INT('월 가계부'!A2130/100),100)&gt;=1,MOD(INT('월 가계부'!A2130/100),100)&lt;=12,MOD(INT('월 가계부'!A2130),100)&gt;=1,MOD(INT('월 가계부'!A2130),100)&lt;=31),IF(MONTH(DATE(INT('월 가계부'!A2130/10000),MOD(INT('월 가계부'!A2130/100),100),MOD(INT('월 가계부'!A2130),100)))=MOD(INT('월 가계부'!A2130/100),100),DATE(INT('월 가계부'!A2130/10000),MOD(INT('월 가계부'!A2130/100),100),MOD(INT('월 가계부'!A2130),100)),""),""),IF(AND('월 가계부'!A2130&gt;=36526,'월 가계부'!A2130&lt;73051),INT('월 가계부'!A2130),"")),IF(OR(CM2130="",CN2130="",CO2130=""),"",IF(AND(CM2130&gt;=2000,CM2130&lt;=2099,CN2130&gt;=1,CN2130&lt;=12,CO2130&gt;=1,CO2130&lt;=31),IF(MONTH(DATE(CM2130,CN2130,CO2130))=CN2130,DATE(CM2130,CN2130,CO2130),""),"")))),"")</f>
        <v/>
      </c>
      <c r="CJ2130">
        <f>IFERROR(IF('월 가계부'!C2130="","",IF(ISNUMBER('월 가계부'!C2130),'월 가계부'!C2130,VALUE(SUBSTITUTE(SUBSTITUTE(SUBSTITUTE(SUBSTITUTE(TRIM('월 가계부'!C2130),",",""),"원","")," ",""),"−","-")))),"")</f>
        <v/>
      </c>
      <c r="CK2130">
        <f>IF(ISNUMBER(CI2130),IF(CI2130&lt;$B$13,CI2130,""),"")</f>
        <v/>
      </c>
      <c r="CM2130">
        <f>IF(CH2130="","",IFERROR(IF(IF(AND(LEN(CH2130)=9,ISERROR(FIND("-",LEFT(CH2130,8))),ISNUMBER(-LEFT(CH2130,8))),VALUE(LEFT(CH2130,4)),VALUE(LEFT(CH2130,FIND("-",CH2130)-1)))&lt;100,IF(AND(LEN(CH2130)=9,ISERROR(FIND("-",LEFT(CH2130,8))),ISNUMBER(-LEFT(CH2130,8))),VALUE(LEFT(CH2130,4)),VALUE(LEFT(CH2130,FIND("-",CH2130)-1)))+2000,IF(AND(LEN(CH2130)=9,ISERROR(FIND("-",LEFT(CH2130,8))),ISNUMBER(-LEFT(CH2130,8))),VALUE(LEFT(CH2130,4)),VALUE(LEFT(CH2130,FIND("-",CH2130)-1)))),""))</f>
        <v/>
      </c>
      <c r="CN2130">
        <f>IF(CH2130="","",IFERROR(IF(AND(LEN(CH2130)=9,ISERROR(FIND("-",LEFT(CH2130,8))),ISNUMBER(-LEFT(CH2130,8))),VALUE(MID(CH2130,5,2)),VALUE(MID(CH2130,FIND("-",CH2130)+1,FIND("-",CH2130,FIND("-",CH2130)+1)-FIND("-",CH2130)-1))),""))</f>
        <v/>
      </c>
      <c r="CO2130">
        <f>IF(CH2130="","",IFERROR(IF(AND(LEN(CH2130)=9,ISERROR(FIND("-",LEFT(CH2130,8))),ISNUMBER(-LEFT(CH2130,8))),VALUE(MID(CH2130,7,2)),VALUE(MID(CH2130,FIND("-",CH2130,FIND("-",CH2130)+1)+1,FIND("-",CH2130,FIND("-",CH2130,FIND("-",CH2130)+1)+1)-FIND("-",CH2130,FIND("-",CH2130)+1)-1))),""))</f>
        <v/>
      </c>
    </row>
    <row r="2131">
      <c r="CH2131">
        <f>IF(ISTEXT('월 가계부'!A2131),SUBSTITUTE(SUBSTITUTE(SUBSTITUTE(SUBSTITUTE(SUBSTITUTE(SUBSTITUTE(SUBSTITUTE(SUBSTITUTE(SUBSTITUTE(TRIM('월 가계부'!A2131),"년","-"),"월","-"),"일",""),".","-"),"/","-")," ","-"),"--","-"),"--","-"),"--","-")&amp;"-","")</f>
        <v/>
      </c>
      <c r="CI2131">
        <f>IFERROR(IF('월 가계부'!A2131="","",IF(ISNUMBER('월 가계부'!A2131),IF(AND('월 가계부'!A2131&gt;=19000101,'월 가계부'!A2131&lt;=21001231),IF(AND(MOD(INT('월 가계부'!A2131/100),100)&gt;=1,MOD(INT('월 가계부'!A2131/100),100)&lt;=12,MOD(INT('월 가계부'!A2131),100)&gt;=1,MOD(INT('월 가계부'!A2131),100)&lt;=31),IF(MONTH(DATE(INT('월 가계부'!A2131/10000),MOD(INT('월 가계부'!A2131/100),100),MOD(INT('월 가계부'!A2131),100)))=MOD(INT('월 가계부'!A2131/100),100),DATE(INT('월 가계부'!A2131/10000),MOD(INT('월 가계부'!A2131/100),100),MOD(INT('월 가계부'!A2131),100)),""),""),IF(AND('월 가계부'!A2131&gt;=36526,'월 가계부'!A2131&lt;73051),INT('월 가계부'!A2131),"")),IF(OR(CM2131="",CN2131="",CO2131=""),"",IF(AND(CM2131&gt;=2000,CM2131&lt;=2099,CN2131&gt;=1,CN2131&lt;=12,CO2131&gt;=1,CO2131&lt;=31),IF(MONTH(DATE(CM2131,CN2131,CO2131))=CN2131,DATE(CM2131,CN2131,CO2131),""),"")))),"")</f>
        <v/>
      </c>
      <c r="CJ2131">
        <f>IFERROR(IF('월 가계부'!C2131="","",IF(ISNUMBER('월 가계부'!C2131),'월 가계부'!C2131,VALUE(SUBSTITUTE(SUBSTITUTE(SUBSTITUTE(SUBSTITUTE(TRIM('월 가계부'!C2131),",",""),"원","")," ",""),"−","-")))),"")</f>
        <v/>
      </c>
      <c r="CK2131">
        <f>IF(ISNUMBER(CI2131),IF(CI2131&lt;$B$13,CI2131,""),"")</f>
        <v/>
      </c>
      <c r="CM2131">
        <f>IF(CH2131="","",IFERROR(IF(IF(AND(LEN(CH2131)=9,ISERROR(FIND("-",LEFT(CH2131,8))),ISNUMBER(-LEFT(CH2131,8))),VALUE(LEFT(CH2131,4)),VALUE(LEFT(CH2131,FIND("-",CH2131)-1)))&lt;100,IF(AND(LEN(CH2131)=9,ISERROR(FIND("-",LEFT(CH2131,8))),ISNUMBER(-LEFT(CH2131,8))),VALUE(LEFT(CH2131,4)),VALUE(LEFT(CH2131,FIND("-",CH2131)-1)))+2000,IF(AND(LEN(CH2131)=9,ISERROR(FIND("-",LEFT(CH2131,8))),ISNUMBER(-LEFT(CH2131,8))),VALUE(LEFT(CH2131,4)),VALUE(LEFT(CH2131,FIND("-",CH2131)-1)))),""))</f>
        <v/>
      </c>
      <c r="CN2131">
        <f>IF(CH2131="","",IFERROR(IF(AND(LEN(CH2131)=9,ISERROR(FIND("-",LEFT(CH2131,8))),ISNUMBER(-LEFT(CH2131,8))),VALUE(MID(CH2131,5,2)),VALUE(MID(CH2131,FIND("-",CH2131)+1,FIND("-",CH2131,FIND("-",CH2131)+1)-FIND("-",CH2131)-1))),""))</f>
        <v/>
      </c>
      <c r="CO2131">
        <f>IF(CH2131="","",IFERROR(IF(AND(LEN(CH2131)=9,ISERROR(FIND("-",LEFT(CH2131,8))),ISNUMBER(-LEFT(CH2131,8))),VALUE(MID(CH2131,7,2)),VALUE(MID(CH2131,FIND("-",CH2131,FIND("-",CH2131)+1)+1,FIND("-",CH2131,FIND("-",CH2131,FIND("-",CH2131)+1)+1)-FIND("-",CH2131,FIND("-",CH2131)+1)-1))),""))</f>
        <v/>
      </c>
    </row>
    <row r="2132">
      <c r="CH2132">
        <f>IF(ISTEXT('월 가계부'!A2132),SUBSTITUTE(SUBSTITUTE(SUBSTITUTE(SUBSTITUTE(SUBSTITUTE(SUBSTITUTE(SUBSTITUTE(SUBSTITUTE(SUBSTITUTE(TRIM('월 가계부'!A2132),"년","-"),"월","-"),"일",""),".","-"),"/","-")," ","-"),"--","-"),"--","-"),"--","-")&amp;"-","")</f>
        <v/>
      </c>
      <c r="CI2132">
        <f>IFERROR(IF('월 가계부'!A2132="","",IF(ISNUMBER('월 가계부'!A2132),IF(AND('월 가계부'!A2132&gt;=19000101,'월 가계부'!A2132&lt;=21001231),IF(AND(MOD(INT('월 가계부'!A2132/100),100)&gt;=1,MOD(INT('월 가계부'!A2132/100),100)&lt;=12,MOD(INT('월 가계부'!A2132),100)&gt;=1,MOD(INT('월 가계부'!A2132),100)&lt;=31),IF(MONTH(DATE(INT('월 가계부'!A2132/10000),MOD(INT('월 가계부'!A2132/100),100),MOD(INT('월 가계부'!A2132),100)))=MOD(INT('월 가계부'!A2132/100),100),DATE(INT('월 가계부'!A2132/10000),MOD(INT('월 가계부'!A2132/100),100),MOD(INT('월 가계부'!A2132),100)),""),""),IF(AND('월 가계부'!A2132&gt;=36526,'월 가계부'!A2132&lt;73051),INT('월 가계부'!A2132),"")),IF(OR(CM2132="",CN2132="",CO2132=""),"",IF(AND(CM2132&gt;=2000,CM2132&lt;=2099,CN2132&gt;=1,CN2132&lt;=12,CO2132&gt;=1,CO2132&lt;=31),IF(MONTH(DATE(CM2132,CN2132,CO2132))=CN2132,DATE(CM2132,CN2132,CO2132),""),"")))),"")</f>
        <v/>
      </c>
      <c r="CJ2132">
        <f>IFERROR(IF('월 가계부'!C2132="","",IF(ISNUMBER('월 가계부'!C2132),'월 가계부'!C2132,VALUE(SUBSTITUTE(SUBSTITUTE(SUBSTITUTE(SUBSTITUTE(TRIM('월 가계부'!C2132),",",""),"원","")," ",""),"−","-")))),"")</f>
        <v/>
      </c>
      <c r="CK2132">
        <f>IF(ISNUMBER(CI2132),IF(CI2132&lt;$B$13,CI2132,""),"")</f>
        <v/>
      </c>
      <c r="CM2132">
        <f>IF(CH2132="","",IFERROR(IF(IF(AND(LEN(CH2132)=9,ISERROR(FIND("-",LEFT(CH2132,8))),ISNUMBER(-LEFT(CH2132,8))),VALUE(LEFT(CH2132,4)),VALUE(LEFT(CH2132,FIND("-",CH2132)-1)))&lt;100,IF(AND(LEN(CH2132)=9,ISERROR(FIND("-",LEFT(CH2132,8))),ISNUMBER(-LEFT(CH2132,8))),VALUE(LEFT(CH2132,4)),VALUE(LEFT(CH2132,FIND("-",CH2132)-1)))+2000,IF(AND(LEN(CH2132)=9,ISERROR(FIND("-",LEFT(CH2132,8))),ISNUMBER(-LEFT(CH2132,8))),VALUE(LEFT(CH2132,4)),VALUE(LEFT(CH2132,FIND("-",CH2132)-1)))),""))</f>
        <v/>
      </c>
      <c r="CN2132">
        <f>IF(CH2132="","",IFERROR(IF(AND(LEN(CH2132)=9,ISERROR(FIND("-",LEFT(CH2132,8))),ISNUMBER(-LEFT(CH2132,8))),VALUE(MID(CH2132,5,2)),VALUE(MID(CH2132,FIND("-",CH2132)+1,FIND("-",CH2132,FIND("-",CH2132)+1)-FIND("-",CH2132)-1))),""))</f>
        <v/>
      </c>
      <c r="CO2132">
        <f>IF(CH2132="","",IFERROR(IF(AND(LEN(CH2132)=9,ISERROR(FIND("-",LEFT(CH2132,8))),ISNUMBER(-LEFT(CH2132,8))),VALUE(MID(CH2132,7,2)),VALUE(MID(CH2132,FIND("-",CH2132,FIND("-",CH2132)+1)+1,FIND("-",CH2132,FIND("-",CH2132,FIND("-",CH2132)+1)+1)-FIND("-",CH2132,FIND("-",CH2132)+1)-1))),""))</f>
        <v/>
      </c>
    </row>
    <row r="2133">
      <c r="CH2133">
        <f>IF(ISTEXT('월 가계부'!A2133),SUBSTITUTE(SUBSTITUTE(SUBSTITUTE(SUBSTITUTE(SUBSTITUTE(SUBSTITUTE(SUBSTITUTE(SUBSTITUTE(SUBSTITUTE(TRIM('월 가계부'!A2133),"년","-"),"월","-"),"일",""),".","-"),"/","-")," ","-"),"--","-"),"--","-"),"--","-")&amp;"-","")</f>
        <v/>
      </c>
      <c r="CI2133">
        <f>IFERROR(IF('월 가계부'!A2133="","",IF(ISNUMBER('월 가계부'!A2133),IF(AND('월 가계부'!A2133&gt;=19000101,'월 가계부'!A2133&lt;=21001231),IF(AND(MOD(INT('월 가계부'!A2133/100),100)&gt;=1,MOD(INT('월 가계부'!A2133/100),100)&lt;=12,MOD(INT('월 가계부'!A2133),100)&gt;=1,MOD(INT('월 가계부'!A2133),100)&lt;=31),IF(MONTH(DATE(INT('월 가계부'!A2133/10000),MOD(INT('월 가계부'!A2133/100),100),MOD(INT('월 가계부'!A2133),100)))=MOD(INT('월 가계부'!A2133/100),100),DATE(INT('월 가계부'!A2133/10000),MOD(INT('월 가계부'!A2133/100),100),MOD(INT('월 가계부'!A2133),100)),""),""),IF(AND('월 가계부'!A2133&gt;=36526,'월 가계부'!A2133&lt;73051),INT('월 가계부'!A2133),"")),IF(OR(CM2133="",CN2133="",CO2133=""),"",IF(AND(CM2133&gt;=2000,CM2133&lt;=2099,CN2133&gt;=1,CN2133&lt;=12,CO2133&gt;=1,CO2133&lt;=31),IF(MONTH(DATE(CM2133,CN2133,CO2133))=CN2133,DATE(CM2133,CN2133,CO2133),""),"")))),"")</f>
        <v/>
      </c>
      <c r="CJ2133">
        <f>IFERROR(IF('월 가계부'!C2133="","",IF(ISNUMBER('월 가계부'!C2133),'월 가계부'!C2133,VALUE(SUBSTITUTE(SUBSTITUTE(SUBSTITUTE(SUBSTITUTE(TRIM('월 가계부'!C2133),",",""),"원","")," ",""),"−","-")))),"")</f>
        <v/>
      </c>
      <c r="CK2133">
        <f>IF(ISNUMBER(CI2133),IF(CI2133&lt;$B$13,CI2133,""),"")</f>
        <v/>
      </c>
      <c r="CM2133">
        <f>IF(CH2133="","",IFERROR(IF(IF(AND(LEN(CH2133)=9,ISERROR(FIND("-",LEFT(CH2133,8))),ISNUMBER(-LEFT(CH2133,8))),VALUE(LEFT(CH2133,4)),VALUE(LEFT(CH2133,FIND("-",CH2133)-1)))&lt;100,IF(AND(LEN(CH2133)=9,ISERROR(FIND("-",LEFT(CH2133,8))),ISNUMBER(-LEFT(CH2133,8))),VALUE(LEFT(CH2133,4)),VALUE(LEFT(CH2133,FIND("-",CH2133)-1)))+2000,IF(AND(LEN(CH2133)=9,ISERROR(FIND("-",LEFT(CH2133,8))),ISNUMBER(-LEFT(CH2133,8))),VALUE(LEFT(CH2133,4)),VALUE(LEFT(CH2133,FIND("-",CH2133)-1)))),""))</f>
        <v/>
      </c>
      <c r="CN2133">
        <f>IF(CH2133="","",IFERROR(IF(AND(LEN(CH2133)=9,ISERROR(FIND("-",LEFT(CH2133,8))),ISNUMBER(-LEFT(CH2133,8))),VALUE(MID(CH2133,5,2)),VALUE(MID(CH2133,FIND("-",CH2133)+1,FIND("-",CH2133,FIND("-",CH2133)+1)-FIND("-",CH2133)-1))),""))</f>
        <v/>
      </c>
      <c r="CO2133">
        <f>IF(CH2133="","",IFERROR(IF(AND(LEN(CH2133)=9,ISERROR(FIND("-",LEFT(CH2133,8))),ISNUMBER(-LEFT(CH2133,8))),VALUE(MID(CH2133,7,2)),VALUE(MID(CH2133,FIND("-",CH2133,FIND("-",CH2133)+1)+1,FIND("-",CH2133,FIND("-",CH2133,FIND("-",CH2133)+1)+1)-FIND("-",CH2133,FIND("-",CH2133)+1)-1))),""))</f>
        <v/>
      </c>
    </row>
    <row r="2134">
      <c r="CH2134">
        <f>IF(ISTEXT('월 가계부'!A2134),SUBSTITUTE(SUBSTITUTE(SUBSTITUTE(SUBSTITUTE(SUBSTITUTE(SUBSTITUTE(SUBSTITUTE(SUBSTITUTE(SUBSTITUTE(TRIM('월 가계부'!A2134),"년","-"),"월","-"),"일",""),".","-"),"/","-")," ","-"),"--","-"),"--","-"),"--","-")&amp;"-","")</f>
        <v/>
      </c>
      <c r="CI2134">
        <f>IFERROR(IF('월 가계부'!A2134="","",IF(ISNUMBER('월 가계부'!A2134),IF(AND('월 가계부'!A2134&gt;=19000101,'월 가계부'!A2134&lt;=21001231),IF(AND(MOD(INT('월 가계부'!A2134/100),100)&gt;=1,MOD(INT('월 가계부'!A2134/100),100)&lt;=12,MOD(INT('월 가계부'!A2134),100)&gt;=1,MOD(INT('월 가계부'!A2134),100)&lt;=31),IF(MONTH(DATE(INT('월 가계부'!A2134/10000),MOD(INT('월 가계부'!A2134/100),100),MOD(INT('월 가계부'!A2134),100)))=MOD(INT('월 가계부'!A2134/100),100),DATE(INT('월 가계부'!A2134/10000),MOD(INT('월 가계부'!A2134/100),100),MOD(INT('월 가계부'!A2134),100)),""),""),IF(AND('월 가계부'!A2134&gt;=36526,'월 가계부'!A2134&lt;73051),INT('월 가계부'!A2134),"")),IF(OR(CM2134="",CN2134="",CO2134=""),"",IF(AND(CM2134&gt;=2000,CM2134&lt;=2099,CN2134&gt;=1,CN2134&lt;=12,CO2134&gt;=1,CO2134&lt;=31),IF(MONTH(DATE(CM2134,CN2134,CO2134))=CN2134,DATE(CM2134,CN2134,CO2134),""),"")))),"")</f>
        <v/>
      </c>
      <c r="CJ2134">
        <f>IFERROR(IF('월 가계부'!C2134="","",IF(ISNUMBER('월 가계부'!C2134),'월 가계부'!C2134,VALUE(SUBSTITUTE(SUBSTITUTE(SUBSTITUTE(SUBSTITUTE(TRIM('월 가계부'!C2134),",",""),"원","")," ",""),"−","-")))),"")</f>
        <v/>
      </c>
      <c r="CK2134">
        <f>IF(ISNUMBER(CI2134),IF(CI2134&lt;$B$13,CI2134,""),"")</f>
        <v/>
      </c>
      <c r="CM2134">
        <f>IF(CH2134="","",IFERROR(IF(IF(AND(LEN(CH2134)=9,ISERROR(FIND("-",LEFT(CH2134,8))),ISNUMBER(-LEFT(CH2134,8))),VALUE(LEFT(CH2134,4)),VALUE(LEFT(CH2134,FIND("-",CH2134)-1)))&lt;100,IF(AND(LEN(CH2134)=9,ISERROR(FIND("-",LEFT(CH2134,8))),ISNUMBER(-LEFT(CH2134,8))),VALUE(LEFT(CH2134,4)),VALUE(LEFT(CH2134,FIND("-",CH2134)-1)))+2000,IF(AND(LEN(CH2134)=9,ISERROR(FIND("-",LEFT(CH2134,8))),ISNUMBER(-LEFT(CH2134,8))),VALUE(LEFT(CH2134,4)),VALUE(LEFT(CH2134,FIND("-",CH2134)-1)))),""))</f>
        <v/>
      </c>
      <c r="CN2134">
        <f>IF(CH2134="","",IFERROR(IF(AND(LEN(CH2134)=9,ISERROR(FIND("-",LEFT(CH2134,8))),ISNUMBER(-LEFT(CH2134,8))),VALUE(MID(CH2134,5,2)),VALUE(MID(CH2134,FIND("-",CH2134)+1,FIND("-",CH2134,FIND("-",CH2134)+1)-FIND("-",CH2134)-1))),""))</f>
        <v/>
      </c>
      <c r="CO2134">
        <f>IF(CH2134="","",IFERROR(IF(AND(LEN(CH2134)=9,ISERROR(FIND("-",LEFT(CH2134,8))),ISNUMBER(-LEFT(CH2134,8))),VALUE(MID(CH2134,7,2)),VALUE(MID(CH2134,FIND("-",CH2134,FIND("-",CH2134)+1)+1,FIND("-",CH2134,FIND("-",CH2134,FIND("-",CH2134)+1)+1)-FIND("-",CH2134,FIND("-",CH2134)+1)-1))),""))</f>
        <v/>
      </c>
    </row>
    <row r="2135">
      <c r="CH2135">
        <f>IF(ISTEXT('월 가계부'!A2135),SUBSTITUTE(SUBSTITUTE(SUBSTITUTE(SUBSTITUTE(SUBSTITUTE(SUBSTITUTE(SUBSTITUTE(SUBSTITUTE(SUBSTITUTE(TRIM('월 가계부'!A2135),"년","-"),"월","-"),"일",""),".","-"),"/","-")," ","-"),"--","-"),"--","-"),"--","-")&amp;"-","")</f>
        <v/>
      </c>
      <c r="CI2135">
        <f>IFERROR(IF('월 가계부'!A2135="","",IF(ISNUMBER('월 가계부'!A2135),IF(AND('월 가계부'!A2135&gt;=19000101,'월 가계부'!A2135&lt;=21001231),IF(AND(MOD(INT('월 가계부'!A2135/100),100)&gt;=1,MOD(INT('월 가계부'!A2135/100),100)&lt;=12,MOD(INT('월 가계부'!A2135),100)&gt;=1,MOD(INT('월 가계부'!A2135),100)&lt;=31),IF(MONTH(DATE(INT('월 가계부'!A2135/10000),MOD(INT('월 가계부'!A2135/100),100),MOD(INT('월 가계부'!A2135),100)))=MOD(INT('월 가계부'!A2135/100),100),DATE(INT('월 가계부'!A2135/10000),MOD(INT('월 가계부'!A2135/100),100),MOD(INT('월 가계부'!A2135),100)),""),""),IF(AND('월 가계부'!A2135&gt;=36526,'월 가계부'!A2135&lt;73051),INT('월 가계부'!A2135),"")),IF(OR(CM2135="",CN2135="",CO2135=""),"",IF(AND(CM2135&gt;=2000,CM2135&lt;=2099,CN2135&gt;=1,CN2135&lt;=12,CO2135&gt;=1,CO2135&lt;=31),IF(MONTH(DATE(CM2135,CN2135,CO2135))=CN2135,DATE(CM2135,CN2135,CO2135),""),"")))),"")</f>
        <v/>
      </c>
      <c r="CJ2135">
        <f>IFERROR(IF('월 가계부'!C2135="","",IF(ISNUMBER('월 가계부'!C2135),'월 가계부'!C2135,VALUE(SUBSTITUTE(SUBSTITUTE(SUBSTITUTE(SUBSTITUTE(TRIM('월 가계부'!C2135),",",""),"원","")," ",""),"−","-")))),"")</f>
        <v/>
      </c>
      <c r="CK2135">
        <f>IF(ISNUMBER(CI2135),IF(CI2135&lt;$B$13,CI2135,""),"")</f>
        <v/>
      </c>
      <c r="CM2135">
        <f>IF(CH2135="","",IFERROR(IF(IF(AND(LEN(CH2135)=9,ISERROR(FIND("-",LEFT(CH2135,8))),ISNUMBER(-LEFT(CH2135,8))),VALUE(LEFT(CH2135,4)),VALUE(LEFT(CH2135,FIND("-",CH2135)-1)))&lt;100,IF(AND(LEN(CH2135)=9,ISERROR(FIND("-",LEFT(CH2135,8))),ISNUMBER(-LEFT(CH2135,8))),VALUE(LEFT(CH2135,4)),VALUE(LEFT(CH2135,FIND("-",CH2135)-1)))+2000,IF(AND(LEN(CH2135)=9,ISERROR(FIND("-",LEFT(CH2135,8))),ISNUMBER(-LEFT(CH2135,8))),VALUE(LEFT(CH2135,4)),VALUE(LEFT(CH2135,FIND("-",CH2135)-1)))),""))</f>
        <v/>
      </c>
      <c r="CN2135">
        <f>IF(CH2135="","",IFERROR(IF(AND(LEN(CH2135)=9,ISERROR(FIND("-",LEFT(CH2135,8))),ISNUMBER(-LEFT(CH2135,8))),VALUE(MID(CH2135,5,2)),VALUE(MID(CH2135,FIND("-",CH2135)+1,FIND("-",CH2135,FIND("-",CH2135)+1)-FIND("-",CH2135)-1))),""))</f>
        <v/>
      </c>
      <c r="CO2135">
        <f>IF(CH2135="","",IFERROR(IF(AND(LEN(CH2135)=9,ISERROR(FIND("-",LEFT(CH2135,8))),ISNUMBER(-LEFT(CH2135,8))),VALUE(MID(CH2135,7,2)),VALUE(MID(CH2135,FIND("-",CH2135,FIND("-",CH2135)+1)+1,FIND("-",CH2135,FIND("-",CH2135,FIND("-",CH2135)+1)+1)-FIND("-",CH2135,FIND("-",CH2135)+1)-1))),""))</f>
        <v/>
      </c>
    </row>
    <row r="2136">
      <c r="CH2136">
        <f>IF(ISTEXT('월 가계부'!A2136),SUBSTITUTE(SUBSTITUTE(SUBSTITUTE(SUBSTITUTE(SUBSTITUTE(SUBSTITUTE(SUBSTITUTE(SUBSTITUTE(SUBSTITUTE(TRIM('월 가계부'!A2136),"년","-"),"월","-"),"일",""),".","-"),"/","-")," ","-"),"--","-"),"--","-"),"--","-")&amp;"-","")</f>
        <v/>
      </c>
      <c r="CI2136">
        <f>IFERROR(IF('월 가계부'!A2136="","",IF(ISNUMBER('월 가계부'!A2136),IF(AND('월 가계부'!A2136&gt;=19000101,'월 가계부'!A2136&lt;=21001231),IF(AND(MOD(INT('월 가계부'!A2136/100),100)&gt;=1,MOD(INT('월 가계부'!A2136/100),100)&lt;=12,MOD(INT('월 가계부'!A2136),100)&gt;=1,MOD(INT('월 가계부'!A2136),100)&lt;=31),IF(MONTH(DATE(INT('월 가계부'!A2136/10000),MOD(INT('월 가계부'!A2136/100),100),MOD(INT('월 가계부'!A2136),100)))=MOD(INT('월 가계부'!A2136/100),100),DATE(INT('월 가계부'!A2136/10000),MOD(INT('월 가계부'!A2136/100),100),MOD(INT('월 가계부'!A2136),100)),""),""),IF(AND('월 가계부'!A2136&gt;=36526,'월 가계부'!A2136&lt;73051),INT('월 가계부'!A2136),"")),IF(OR(CM2136="",CN2136="",CO2136=""),"",IF(AND(CM2136&gt;=2000,CM2136&lt;=2099,CN2136&gt;=1,CN2136&lt;=12,CO2136&gt;=1,CO2136&lt;=31),IF(MONTH(DATE(CM2136,CN2136,CO2136))=CN2136,DATE(CM2136,CN2136,CO2136),""),"")))),"")</f>
        <v/>
      </c>
      <c r="CJ2136">
        <f>IFERROR(IF('월 가계부'!C2136="","",IF(ISNUMBER('월 가계부'!C2136),'월 가계부'!C2136,VALUE(SUBSTITUTE(SUBSTITUTE(SUBSTITUTE(SUBSTITUTE(TRIM('월 가계부'!C2136),",",""),"원","")," ",""),"−","-")))),"")</f>
        <v/>
      </c>
      <c r="CK2136">
        <f>IF(ISNUMBER(CI2136),IF(CI2136&lt;$B$13,CI2136,""),"")</f>
        <v/>
      </c>
      <c r="CM2136">
        <f>IF(CH2136="","",IFERROR(IF(IF(AND(LEN(CH2136)=9,ISERROR(FIND("-",LEFT(CH2136,8))),ISNUMBER(-LEFT(CH2136,8))),VALUE(LEFT(CH2136,4)),VALUE(LEFT(CH2136,FIND("-",CH2136)-1)))&lt;100,IF(AND(LEN(CH2136)=9,ISERROR(FIND("-",LEFT(CH2136,8))),ISNUMBER(-LEFT(CH2136,8))),VALUE(LEFT(CH2136,4)),VALUE(LEFT(CH2136,FIND("-",CH2136)-1)))+2000,IF(AND(LEN(CH2136)=9,ISERROR(FIND("-",LEFT(CH2136,8))),ISNUMBER(-LEFT(CH2136,8))),VALUE(LEFT(CH2136,4)),VALUE(LEFT(CH2136,FIND("-",CH2136)-1)))),""))</f>
        <v/>
      </c>
      <c r="CN2136">
        <f>IF(CH2136="","",IFERROR(IF(AND(LEN(CH2136)=9,ISERROR(FIND("-",LEFT(CH2136,8))),ISNUMBER(-LEFT(CH2136,8))),VALUE(MID(CH2136,5,2)),VALUE(MID(CH2136,FIND("-",CH2136)+1,FIND("-",CH2136,FIND("-",CH2136)+1)-FIND("-",CH2136)-1))),""))</f>
        <v/>
      </c>
      <c r="CO2136">
        <f>IF(CH2136="","",IFERROR(IF(AND(LEN(CH2136)=9,ISERROR(FIND("-",LEFT(CH2136,8))),ISNUMBER(-LEFT(CH2136,8))),VALUE(MID(CH2136,7,2)),VALUE(MID(CH2136,FIND("-",CH2136,FIND("-",CH2136)+1)+1,FIND("-",CH2136,FIND("-",CH2136,FIND("-",CH2136)+1)+1)-FIND("-",CH2136,FIND("-",CH2136)+1)-1))),""))</f>
        <v/>
      </c>
    </row>
    <row r="2137">
      <c r="CH2137">
        <f>IF(ISTEXT('월 가계부'!A2137),SUBSTITUTE(SUBSTITUTE(SUBSTITUTE(SUBSTITUTE(SUBSTITUTE(SUBSTITUTE(SUBSTITUTE(SUBSTITUTE(SUBSTITUTE(TRIM('월 가계부'!A2137),"년","-"),"월","-"),"일",""),".","-"),"/","-")," ","-"),"--","-"),"--","-"),"--","-")&amp;"-","")</f>
        <v/>
      </c>
      <c r="CI2137">
        <f>IFERROR(IF('월 가계부'!A2137="","",IF(ISNUMBER('월 가계부'!A2137),IF(AND('월 가계부'!A2137&gt;=19000101,'월 가계부'!A2137&lt;=21001231),IF(AND(MOD(INT('월 가계부'!A2137/100),100)&gt;=1,MOD(INT('월 가계부'!A2137/100),100)&lt;=12,MOD(INT('월 가계부'!A2137),100)&gt;=1,MOD(INT('월 가계부'!A2137),100)&lt;=31),IF(MONTH(DATE(INT('월 가계부'!A2137/10000),MOD(INT('월 가계부'!A2137/100),100),MOD(INT('월 가계부'!A2137),100)))=MOD(INT('월 가계부'!A2137/100),100),DATE(INT('월 가계부'!A2137/10000),MOD(INT('월 가계부'!A2137/100),100),MOD(INT('월 가계부'!A2137),100)),""),""),IF(AND('월 가계부'!A2137&gt;=36526,'월 가계부'!A2137&lt;73051),INT('월 가계부'!A2137),"")),IF(OR(CM2137="",CN2137="",CO2137=""),"",IF(AND(CM2137&gt;=2000,CM2137&lt;=2099,CN2137&gt;=1,CN2137&lt;=12,CO2137&gt;=1,CO2137&lt;=31),IF(MONTH(DATE(CM2137,CN2137,CO2137))=CN2137,DATE(CM2137,CN2137,CO2137),""),"")))),"")</f>
        <v/>
      </c>
      <c r="CJ2137">
        <f>IFERROR(IF('월 가계부'!C2137="","",IF(ISNUMBER('월 가계부'!C2137),'월 가계부'!C2137,VALUE(SUBSTITUTE(SUBSTITUTE(SUBSTITUTE(SUBSTITUTE(TRIM('월 가계부'!C2137),",",""),"원","")," ",""),"−","-")))),"")</f>
        <v/>
      </c>
      <c r="CK2137">
        <f>IF(ISNUMBER(CI2137),IF(CI2137&lt;$B$13,CI2137,""),"")</f>
        <v/>
      </c>
      <c r="CM2137">
        <f>IF(CH2137="","",IFERROR(IF(IF(AND(LEN(CH2137)=9,ISERROR(FIND("-",LEFT(CH2137,8))),ISNUMBER(-LEFT(CH2137,8))),VALUE(LEFT(CH2137,4)),VALUE(LEFT(CH2137,FIND("-",CH2137)-1)))&lt;100,IF(AND(LEN(CH2137)=9,ISERROR(FIND("-",LEFT(CH2137,8))),ISNUMBER(-LEFT(CH2137,8))),VALUE(LEFT(CH2137,4)),VALUE(LEFT(CH2137,FIND("-",CH2137)-1)))+2000,IF(AND(LEN(CH2137)=9,ISERROR(FIND("-",LEFT(CH2137,8))),ISNUMBER(-LEFT(CH2137,8))),VALUE(LEFT(CH2137,4)),VALUE(LEFT(CH2137,FIND("-",CH2137)-1)))),""))</f>
        <v/>
      </c>
      <c r="CN2137">
        <f>IF(CH2137="","",IFERROR(IF(AND(LEN(CH2137)=9,ISERROR(FIND("-",LEFT(CH2137,8))),ISNUMBER(-LEFT(CH2137,8))),VALUE(MID(CH2137,5,2)),VALUE(MID(CH2137,FIND("-",CH2137)+1,FIND("-",CH2137,FIND("-",CH2137)+1)-FIND("-",CH2137)-1))),""))</f>
        <v/>
      </c>
      <c r="CO2137">
        <f>IF(CH2137="","",IFERROR(IF(AND(LEN(CH2137)=9,ISERROR(FIND("-",LEFT(CH2137,8))),ISNUMBER(-LEFT(CH2137,8))),VALUE(MID(CH2137,7,2)),VALUE(MID(CH2137,FIND("-",CH2137,FIND("-",CH2137)+1)+1,FIND("-",CH2137,FIND("-",CH2137,FIND("-",CH2137)+1)+1)-FIND("-",CH2137,FIND("-",CH2137)+1)-1))),""))</f>
        <v/>
      </c>
    </row>
    <row r="2138">
      <c r="CH2138">
        <f>IF(ISTEXT('월 가계부'!A2138),SUBSTITUTE(SUBSTITUTE(SUBSTITUTE(SUBSTITUTE(SUBSTITUTE(SUBSTITUTE(SUBSTITUTE(SUBSTITUTE(SUBSTITUTE(TRIM('월 가계부'!A2138),"년","-"),"월","-"),"일",""),".","-"),"/","-")," ","-"),"--","-"),"--","-"),"--","-")&amp;"-","")</f>
        <v/>
      </c>
      <c r="CI2138">
        <f>IFERROR(IF('월 가계부'!A2138="","",IF(ISNUMBER('월 가계부'!A2138),IF(AND('월 가계부'!A2138&gt;=19000101,'월 가계부'!A2138&lt;=21001231),IF(AND(MOD(INT('월 가계부'!A2138/100),100)&gt;=1,MOD(INT('월 가계부'!A2138/100),100)&lt;=12,MOD(INT('월 가계부'!A2138),100)&gt;=1,MOD(INT('월 가계부'!A2138),100)&lt;=31),IF(MONTH(DATE(INT('월 가계부'!A2138/10000),MOD(INT('월 가계부'!A2138/100),100),MOD(INT('월 가계부'!A2138),100)))=MOD(INT('월 가계부'!A2138/100),100),DATE(INT('월 가계부'!A2138/10000),MOD(INT('월 가계부'!A2138/100),100),MOD(INT('월 가계부'!A2138),100)),""),""),IF(AND('월 가계부'!A2138&gt;=36526,'월 가계부'!A2138&lt;73051),INT('월 가계부'!A2138),"")),IF(OR(CM2138="",CN2138="",CO2138=""),"",IF(AND(CM2138&gt;=2000,CM2138&lt;=2099,CN2138&gt;=1,CN2138&lt;=12,CO2138&gt;=1,CO2138&lt;=31),IF(MONTH(DATE(CM2138,CN2138,CO2138))=CN2138,DATE(CM2138,CN2138,CO2138),""),"")))),"")</f>
        <v/>
      </c>
      <c r="CJ2138">
        <f>IFERROR(IF('월 가계부'!C2138="","",IF(ISNUMBER('월 가계부'!C2138),'월 가계부'!C2138,VALUE(SUBSTITUTE(SUBSTITUTE(SUBSTITUTE(SUBSTITUTE(TRIM('월 가계부'!C2138),",",""),"원","")," ",""),"−","-")))),"")</f>
        <v/>
      </c>
      <c r="CK2138">
        <f>IF(ISNUMBER(CI2138),IF(CI2138&lt;$B$13,CI2138,""),"")</f>
        <v/>
      </c>
      <c r="CM2138">
        <f>IF(CH2138="","",IFERROR(IF(IF(AND(LEN(CH2138)=9,ISERROR(FIND("-",LEFT(CH2138,8))),ISNUMBER(-LEFT(CH2138,8))),VALUE(LEFT(CH2138,4)),VALUE(LEFT(CH2138,FIND("-",CH2138)-1)))&lt;100,IF(AND(LEN(CH2138)=9,ISERROR(FIND("-",LEFT(CH2138,8))),ISNUMBER(-LEFT(CH2138,8))),VALUE(LEFT(CH2138,4)),VALUE(LEFT(CH2138,FIND("-",CH2138)-1)))+2000,IF(AND(LEN(CH2138)=9,ISERROR(FIND("-",LEFT(CH2138,8))),ISNUMBER(-LEFT(CH2138,8))),VALUE(LEFT(CH2138,4)),VALUE(LEFT(CH2138,FIND("-",CH2138)-1)))),""))</f>
        <v/>
      </c>
      <c r="CN2138">
        <f>IF(CH2138="","",IFERROR(IF(AND(LEN(CH2138)=9,ISERROR(FIND("-",LEFT(CH2138,8))),ISNUMBER(-LEFT(CH2138,8))),VALUE(MID(CH2138,5,2)),VALUE(MID(CH2138,FIND("-",CH2138)+1,FIND("-",CH2138,FIND("-",CH2138)+1)-FIND("-",CH2138)-1))),""))</f>
        <v/>
      </c>
      <c r="CO2138">
        <f>IF(CH2138="","",IFERROR(IF(AND(LEN(CH2138)=9,ISERROR(FIND("-",LEFT(CH2138,8))),ISNUMBER(-LEFT(CH2138,8))),VALUE(MID(CH2138,7,2)),VALUE(MID(CH2138,FIND("-",CH2138,FIND("-",CH2138)+1)+1,FIND("-",CH2138,FIND("-",CH2138,FIND("-",CH2138)+1)+1)-FIND("-",CH2138,FIND("-",CH2138)+1)-1))),""))</f>
        <v/>
      </c>
    </row>
    <row r="2139">
      <c r="CH2139">
        <f>IF(ISTEXT('월 가계부'!A2139),SUBSTITUTE(SUBSTITUTE(SUBSTITUTE(SUBSTITUTE(SUBSTITUTE(SUBSTITUTE(SUBSTITUTE(SUBSTITUTE(SUBSTITUTE(TRIM('월 가계부'!A2139),"년","-"),"월","-"),"일",""),".","-"),"/","-")," ","-"),"--","-"),"--","-"),"--","-")&amp;"-","")</f>
        <v/>
      </c>
      <c r="CI2139">
        <f>IFERROR(IF('월 가계부'!A2139="","",IF(ISNUMBER('월 가계부'!A2139),IF(AND('월 가계부'!A2139&gt;=19000101,'월 가계부'!A2139&lt;=21001231),IF(AND(MOD(INT('월 가계부'!A2139/100),100)&gt;=1,MOD(INT('월 가계부'!A2139/100),100)&lt;=12,MOD(INT('월 가계부'!A2139),100)&gt;=1,MOD(INT('월 가계부'!A2139),100)&lt;=31),IF(MONTH(DATE(INT('월 가계부'!A2139/10000),MOD(INT('월 가계부'!A2139/100),100),MOD(INT('월 가계부'!A2139),100)))=MOD(INT('월 가계부'!A2139/100),100),DATE(INT('월 가계부'!A2139/10000),MOD(INT('월 가계부'!A2139/100),100),MOD(INT('월 가계부'!A2139),100)),""),""),IF(AND('월 가계부'!A2139&gt;=36526,'월 가계부'!A2139&lt;73051),INT('월 가계부'!A2139),"")),IF(OR(CM2139="",CN2139="",CO2139=""),"",IF(AND(CM2139&gt;=2000,CM2139&lt;=2099,CN2139&gt;=1,CN2139&lt;=12,CO2139&gt;=1,CO2139&lt;=31),IF(MONTH(DATE(CM2139,CN2139,CO2139))=CN2139,DATE(CM2139,CN2139,CO2139),""),"")))),"")</f>
        <v/>
      </c>
      <c r="CJ2139">
        <f>IFERROR(IF('월 가계부'!C2139="","",IF(ISNUMBER('월 가계부'!C2139),'월 가계부'!C2139,VALUE(SUBSTITUTE(SUBSTITUTE(SUBSTITUTE(SUBSTITUTE(TRIM('월 가계부'!C2139),",",""),"원","")," ",""),"−","-")))),"")</f>
        <v/>
      </c>
      <c r="CK2139">
        <f>IF(ISNUMBER(CI2139),IF(CI2139&lt;$B$13,CI2139,""),"")</f>
        <v/>
      </c>
      <c r="CM2139">
        <f>IF(CH2139="","",IFERROR(IF(IF(AND(LEN(CH2139)=9,ISERROR(FIND("-",LEFT(CH2139,8))),ISNUMBER(-LEFT(CH2139,8))),VALUE(LEFT(CH2139,4)),VALUE(LEFT(CH2139,FIND("-",CH2139)-1)))&lt;100,IF(AND(LEN(CH2139)=9,ISERROR(FIND("-",LEFT(CH2139,8))),ISNUMBER(-LEFT(CH2139,8))),VALUE(LEFT(CH2139,4)),VALUE(LEFT(CH2139,FIND("-",CH2139)-1)))+2000,IF(AND(LEN(CH2139)=9,ISERROR(FIND("-",LEFT(CH2139,8))),ISNUMBER(-LEFT(CH2139,8))),VALUE(LEFT(CH2139,4)),VALUE(LEFT(CH2139,FIND("-",CH2139)-1)))),""))</f>
        <v/>
      </c>
      <c r="CN2139">
        <f>IF(CH2139="","",IFERROR(IF(AND(LEN(CH2139)=9,ISERROR(FIND("-",LEFT(CH2139,8))),ISNUMBER(-LEFT(CH2139,8))),VALUE(MID(CH2139,5,2)),VALUE(MID(CH2139,FIND("-",CH2139)+1,FIND("-",CH2139,FIND("-",CH2139)+1)-FIND("-",CH2139)-1))),""))</f>
        <v/>
      </c>
      <c r="CO2139">
        <f>IF(CH2139="","",IFERROR(IF(AND(LEN(CH2139)=9,ISERROR(FIND("-",LEFT(CH2139,8))),ISNUMBER(-LEFT(CH2139,8))),VALUE(MID(CH2139,7,2)),VALUE(MID(CH2139,FIND("-",CH2139,FIND("-",CH2139)+1)+1,FIND("-",CH2139,FIND("-",CH2139,FIND("-",CH2139)+1)+1)-FIND("-",CH2139,FIND("-",CH2139)+1)-1))),""))</f>
        <v/>
      </c>
    </row>
    <row r="2140">
      <c r="CH2140">
        <f>IF(ISTEXT('월 가계부'!A2140),SUBSTITUTE(SUBSTITUTE(SUBSTITUTE(SUBSTITUTE(SUBSTITUTE(SUBSTITUTE(SUBSTITUTE(SUBSTITUTE(SUBSTITUTE(TRIM('월 가계부'!A2140),"년","-"),"월","-"),"일",""),".","-"),"/","-")," ","-"),"--","-"),"--","-"),"--","-")&amp;"-","")</f>
        <v/>
      </c>
      <c r="CI2140">
        <f>IFERROR(IF('월 가계부'!A2140="","",IF(ISNUMBER('월 가계부'!A2140),IF(AND('월 가계부'!A2140&gt;=19000101,'월 가계부'!A2140&lt;=21001231),IF(AND(MOD(INT('월 가계부'!A2140/100),100)&gt;=1,MOD(INT('월 가계부'!A2140/100),100)&lt;=12,MOD(INT('월 가계부'!A2140),100)&gt;=1,MOD(INT('월 가계부'!A2140),100)&lt;=31),IF(MONTH(DATE(INT('월 가계부'!A2140/10000),MOD(INT('월 가계부'!A2140/100),100),MOD(INT('월 가계부'!A2140),100)))=MOD(INT('월 가계부'!A2140/100),100),DATE(INT('월 가계부'!A2140/10000),MOD(INT('월 가계부'!A2140/100),100),MOD(INT('월 가계부'!A2140),100)),""),""),IF(AND('월 가계부'!A2140&gt;=36526,'월 가계부'!A2140&lt;73051),INT('월 가계부'!A2140),"")),IF(OR(CM2140="",CN2140="",CO2140=""),"",IF(AND(CM2140&gt;=2000,CM2140&lt;=2099,CN2140&gt;=1,CN2140&lt;=12,CO2140&gt;=1,CO2140&lt;=31),IF(MONTH(DATE(CM2140,CN2140,CO2140))=CN2140,DATE(CM2140,CN2140,CO2140),""),"")))),"")</f>
        <v/>
      </c>
      <c r="CJ2140">
        <f>IFERROR(IF('월 가계부'!C2140="","",IF(ISNUMBER('월 가계부'!C2140),'월 가계부'!C2140,VALUE(SUBSTITUTE(SUBSTITUTE(SUBSTITUTE(SUBSTITUTE(TRIM('월 가계부'!C2140),",",""),"원","")," ",""),"−","-")))),"")</f>
        <v/>
      </c>
      <c r="CK2140">
        <f>IF(ISNUMBER(CI2140),IF(CI2140&lt;$B$13,CI2140,""),"")</f>
        <v/>
      </c>
      <c r="CM2140">
        <f>IF(CH2140="","",IFERROR(IF(IF(AND(LEN(CH2140)=9,ISERROR(FIND("-",LEFT(CH2140,8))),ISNUMBER(-LEFT(CH2140,8))),VALUE(LEFT(CH2140,4)),VALUE(LEFT(CH2140,FIND("-",CH2140)-1)))&lt;100,IF(AND(LEN(CH2140)=9,ISERROR(FIND("-",LEFT(CH2140,8))),ISNUMBER(-LEFT(CH2140,8))),VALUE(LEFT(CH2140,4)),VALUE(LEFT(CH2140,FIND("-",CH2140)-1)))+2000,IF(AND(LEN(CH2140)=9,ISERROR(FIND("-",LEFT(CH2140,8))),ISNUMBER(-LEFT(CH2140,8))),VALUE(LEFT(CH2140,4)),VALUE(LEFT(CH2140,FIND("-",CH2140)-1)))),""))</f>
        <v/>
      </c>
      <c r="CN2140">
        <f>IF(CH2140="","",IFERROR(IF(AND(LEN(CH2140)=9,ISERROR(FIND("-",LEFT(CH2140,8))),ISNUMBER(-LEFT(CH2140,8))),VALUE(MID(CH2140,5,2)),VALUE(MID(CH2140,FIND("-",CH2140)+1,FIND("-",CH2140,FIND("-",CH2140)+1)-FIND("-",CH2140)-1))),""))</f>
        <v/>
      </c>
      <c r="CO2140">
        <f>IF(CH2140="","",IFERROR(IF(AND(LEN(CH2140)=9,ISERROR(FIND("-",LEFT(CH2140,8))),ISNUMBER(-LEFT(CH2140,8))),VALUE(MID(CH2140,7,2)),VALUE(MID(CH2140,FIND("-",CH2140,FIND("-",CH2140)+1)+1,FIND("-",CH2140,FIND("-",CH2140,FIND("-",CH2140)+1)+1)-FIND("-",CH2140,FIND("-",CH2140)+1)-1))),""))</f>
        <v/>
      </c>
    </row>
    <row r="2141">
      <c r="CH2141">
        <f>IF(ISTEXT('월 가계부'!A2141),SUBSTITUTE(SUBSTITUTE(SUBSTITUTE(SUBSTITUTE(SUBSTITUTE(SUBSTITUTE(SUBSTITUTE(SUBSTITUTE(SUBSTITUTE(TRIM('월 가계부'!A2141),"년","-"),"월","-"),"일",""),".","-"),"/","-")," ","-"),"--","-"),"--","-"),"--","-")&amp;"-","")</f>
        <v/>
      </c>
      <c r="CI2141">
        <f>IFERROR(IF('월 가계부'!A2141="","",IF(ISNUMBER('월 가계부'!A2141),IF(AND('월 가계부'!A2141&gt;=19000101,'월 가계부'!A2141&lt;=21001231),IF(AND(MOD(INT('월 가계부'!A2141/100),100)&gt;=1,MOD(INT('월 가계부'!A2141/100),100)&lt;=12,MOD(INT('월 가계부'!A2141),100)&gt;=1,MOD(INT('월 가계부'!A2141),100)&lt;=31),IF(MONTH(DATE(INT('월 가계부'!A2141/10000),MOD(INT('월 가계부'!A2141/100),100),MOD(INT('월 가계부'!A2141),100)))=MOD(INT('월 가계부'!A2141/100),100),DATE(INT('월 가계부'!A2141/10000),MOD(INT('월 가계부'!A2141/100),100),MOD(INT('월 가계부'!A2141),100)),""),""),IF(AND('월 가계부'!A2141&gt;=36526,'월 가계부'!A2141&lt;73051),INT('월 가계부'!A2141),"")),IF(OR(CM2141="",CN2141="",CO2141=""),"",IF(AND(CM2141&gt;=2000,CM2141&lt;=2099,CN2141&gt;=1,CN2141&lt;=12,CO2141&gt;=1,CO2141&lt;=31),IF(MONTH(DATE(CM2141,CN2141,CO2141))=CN2141,DATE(CM2141,CN2141,CO2141),""),"")))),"")</f>
        <v/>
      </c>
      <c r="CJ2141">
        <f>IFERROR(IF('월 가계부'!C2141="","",IF(ISNUMBER('월 가계부'!C2141),'월 가계부'!C2141,VALUE(SUBSTITUTE(SUBSTITUTE(SUBSTITUTE(SUBSTITUTE(TRIM('월 가계부'!C2141),",",""),"원","")," ",""),"−","-")))),"")</f>
        <v/>
      </c>
      <c r="CK2141">
        <f>IF(ISNUMBER(CI2141),IF(CI2141&lt;$B$13,CI2141,""),"")</f>
        <v/>
      </c>
      <c r="CM2141">
        <f>IF(CH2141="","",IFERROR(IF(IF(AND(LEN(CH2141)=9,ISERROR(FIND("-",LEFT(CH2141,8))),ISNUMBER(-LEFT(CH2141,8))),VALUE(LEFT(CH2141,4)),VALUE(LEFT(CH2141,FIND("-",CH2141)-1)))&lt;100,IF(AND(LEN(CH2141)=9,ISERROR(FIND("-",LEFT(CH2141,8))),ISNUMBER(-LEFT(CH2141,8))),VALUE(LEFT(CH2141,4)),VALUE(LEFT(CH2141,FIND("-",CH2141)-1)))+2000,IF(AND(LEN(CH2141)=9,ISERROR(FIND("-",LEFT(CH2141,8))),ISNUMBER(-LEFT(CH2141,8))),VALUE(LEFT(CH2141,4)),VALUE(LEFT(CH2141,FIND("-",CH2141)-1)))),""))</f>
        <v/>
      </c>
      <c r="CN2141">
        <f>IF(CH2141="","",IFERROR(IF(AND(LEN(CH2141)=9,ISERROR(FIND("-",LEFT(CH2141,8))),ISNUMBER(-LEFT(CH2141,8))),VALUE(MID(CH2141,5,2)),VALUE(MID(CH2141,FIND("-",CH2141)+1,FIND("-",CH2141,FIND("-",CH2141)+1)-FIND("-",CH2141)-1))),""))</f>
        <v/>
      </c>
      <c r="CO2141">
        <f>IF(CH2141="","",IFERROR(IF(AND(LEN(CH2141)=9,ISERROR(FIND("-",LEFT(CH2141,8))),ISNUMBER(-LEFT(CH2141,8))),VALUE(MID(CH2141,7,2)),VALUE(MID(CH2141,FIND("-",CH2141,FIND("-",CH2141)+1)+1,FIND("-",CH2141,FIND("-",CH2141,FIND("-",CH2141)+1)+1)-FIND("-",CH2141,FIND("-",CH2141)+1)-1))),""))</f>
        <v/>
      </c>
    </row>
    <row r="2142">
      <c r="CH2142">
        <f>IF(ISTEXT('월 가계부'!A2142),SUBSTITUTE(SUBSTITUTE(SUBSTITUTE(SUBSTITUTE(SUBSTITUTE(SUBSTITUTE(SUBSTITUTE(SUBSTITUTE(SUBSTITUTE(TRIM('월 가계부'!A2142),"년","-"),"월","-"),"일",""),".","-"),"/","-")," ","-"),"--","-"),"--","-"),"--","-")&amp;"-","")</f>
        <v/>
      </c>
      <c r="CI2142">
        <f>IFERROR(IF('월 가계부'!A2142="","",IF(ISNUMBER('월 가계부'!A2142),IF(AND('월 가계부'!A2142&gt;=19000101,'월 가계부'!A2142&lt;=21001231),IF(AND(MOD(INT('월 가계부'!A2142/100),100)&gt;=1,MOD(INT('월 가계부'!A2142/100),100)&lt;=12,MOD(INT('월 가계부'!A2142),100)&gt;=1,MOD(INT('월 가계부'!A2142),100)&lt;=31),IF(MONTH(DATE(INT('월 가계부'!A2142/10000),MOD(INT('월 가계부'!A2142/100),100),MOD(INT('월 가계부'!A2142),100)))=MOD(INT('월 가계부'!A2142/100),100),DATE(INT('월 가계부'!A2142/10000),MOD(INT('월 가계부'!A2142/100),100),MOD(INT('월 가계부'!A2142),100)),""),""),IF(AND('월 가계부'!A2142&gt;=36526,'월 가계부'!A2142&lt;73051),INT('월 가계부'!A2142),"")),IF(OR(CM2142="",CN2142="",CO2142=""),"",IF(AND(CM2142&gt;=2000,CM2142&lt;=2099,CN2142&gt;=1,CN2142&lt;=12,CO2142&gt;=1,CO2142&lt;=31),IF(MONTH(DATE(CM2142,CN2142,CO2142))=CN2142,DATE(CM2142,CN2142,CO2142),""),"")))),"")</f>
        <v/>
      </c>
      <c r="CJ2142">
        <f>IFERROR(IF('월 가계부'!C2142="","",IF(ISNUMBER('월 가계부'!C2142),'월 가계부'!C2142,VALUE(SUBSTITUTE(SUBSTITUTE(SUBSTITUTE(SUBSTITUTE(TRIM('월 가계부'!C2142),",",""),"원","")," ",""),"−","-")))),"")</f>
        <v/>
      </c>
      <c r="CK2142">
        <f>IF(ISNUMBER(CI2142),IF(CI2142&lt;$B$13,CI2142,""),"")</f>
        <v/>
      </c>
      <c r="CM2142">
        <f>IF(CH2142="","",IFERROR(IF(IF(AND(LEN(CH2142)=9,ISERROR(FIND("-",LEFT(CH2142,8))),ISNUMBER(-LEFT(CH2142,8))),VALUE(LEFT(CH2142,4)),VALUE(LEFT(CH2142,FIND("-",CH2142)-1)))&lt;100,IF(AND(LEN(CH2142)=9,ISERROR(FIND("-",LEFT(CH2142,8))),ISNUMBER(-LEFT(CH2142,8))),VALUE(LEFT(CH2142,4)),VALUE(LEFT(CH2142,FIND("-",CH2142)-1)))+2000,IF(AND(LEN(CH2142)=9,ISERROR(FIND("-",LEFT(CH2142,8))),ISNUMBER(-LEFT(CH2142,8))),VALUE(LEFT(CH2142,4)),VALUE(LEFT(CH2142,FIND("-",CH2142)-1)))),""))</f>
        <v/>
      </c>
      <c r="CN2142">
        <f>IF(CH2142="","",IFERROR(IF(AND(LEN(CH2142)=9,ISERROR(FIND("-",LEFT(CH2142,8))),ISNUMBER(-LEFT(CH2142,8))),VALUE(MID(CH2142,5,2)),VALUE(MID(CH2142,FIND("-",CH2142)+1,FIND("-",CH2142,FIND("-",CH2142)+1)-FIND("-",CH2142)-1))),""))</f>
        <v/>
      </c>
      <c r="CO2142">
        <f>IF(CH2142="","",IFERROR(IF(AND(LEN(CH2142)=9,ISERROR(FIND("-",LEFT(CH2142,8))),ISNUMBER(-LEFT(CH2142,8))),VALUE(MID(CH2142,7,2)),VALUE(MID(CH2142,FIND("-",CH2142,FIND("-",CH2142)+1)+1,FIND("-",CH2142,FIND("-",CH2142,FIND("-",CH2142)+1)+1)-FIND("-",CH2142,FIND("-",CH2142)+1)-1))),""))</f>
        <v/>
      </c>
    </row>
    <row r="2143">
      <c r="CH2143">
        <f>IF(ISTEXT('월 가계부'!A2143),SUBSTITUTE(SUBSTITUTE(SUBSTITUTE(SUBSTITUTE(SUBSTITUTE(SUBSTITUTE(SUBSTITUTE(SUBSTITUTE(SUBSTITUTE(TRIM('월 가계부'!A2143),"년","-"),"월","-"),"일",""),".","-"),"/","-")," ","-"),"--","-"),"--","-"),"--","-")&amp;"-","")</f>
        <v/>
      </c>
      <c r="CI2143">
        <f>IFERROR(IF('월 가계부'!A2143="","",IF(ISNUMBER('월 가계부'!A2143),IF(AND('월 가계부'!A2143&gt;=19000101,'월 가계부'!A2143&lt;=21001231),IF(AND(MOD(INT('월 가계부'!A2143/100),100)&gt;=1,MOD(INT('월 가계부'!A2143/100),100)&lt;=12,MOD(INT('월 가계부'!A2143),100)&gt;=1,MOD(INT('월 가계부'!A2143),100)&lt;=31),IF(MONTH(DATE(INT('월 가계부'!A2143/10000),MOD(INT('월 가계부'!A2143/100),100),MOD(INT('월 가계부'!A2143),100)))=MOD(INT('월 가계부'!A2143/100),100),DATE(INT('월 가계부'!A2143/10000),MOD(INT('월 가계부'!A2143/100),100),MOD(INT('월 가계부'!A2143),100)),""),""),IF(AND('월 가계부'!A2143&gt;=36526,'월 가계부'!A2143&lt;73051),INT('월 가계부'!A2143),"")),IF(OR(CM2143="",CN2143="",CO2143=""),"",IF(AND(CM2143&gt;=2000,CM2143&lt;=2099,CN2143&gt;=1,CN2143&lt;=12,CO2143&gt;=1,CO2143&lt;=31),IF(MONTH(DATE(CM2143,CN2143,CO2143))=CN2143,DATE(CM2143,CN2143,CO2143),""),"")))),"")</f>
        <v/>
      </c>
      <c r="CJ2143">
        <f>IFERROR(IF('월 가계부'!C2143="","",IF(ISNUMBER('월 가계부'!C2143),'월 가계부'!C2143,VALUE(SUBSTITUTE(SUBSTITUTE(SUBSTITUTE(SUBSTITUTE(TRIM('월 가계부'!C2143),",",""),"원","")," ",""),"−","-")))),"")</f>
        <v/>
      </c>
      <c r="CK2143">
        <f>IF(ISNUMBER(CI2143),IF(CI2143&lt;$B$13,CI2143,""),"")</f>
        <v/>
      </c>
      <c r="CM2143">
        <f>IF(CH2143="","",IFERROR(IF(IF(AND(LEN(CH2143)=9,ISERROR(FIND("-",LEFT(CH2143,8))),ISNUMBER(-LEFT(CH2143,8))),VALUE(LEFT(CH2143,4)),VALUE(LEFT(CH2143,FIND("-",CH2143)-1)))&lt;100,IF(AND(LEN(CH2143)=9,ISERROR(FIND("-",LEFT(CH2143,8))),ISNUMBER(-LEFT(CH2143,8))),VALUE(LEFT(CH2143,4)),VALUE(LEFT(CH2143,FIND("-",CH2143)-1)))+2000,IF(AND(LEN(CH2143)=9,ISERROR(FIND("-",LEFT(CH2143,8))),ISNUMBER(-LEFT(CH2143,8))),VALUE(LEFT(CH2143,4)),VALUE(LEFT(CH2143,FIND("-",CH2143)-1)))),""))</f>
        <v/>
      </c>
      <c r="CN2143">
        <f>IF(CH2143="","",IFERROR(IF(AND(LEN(CH2143)=9,ISERROR(FIND("-",LEFT(CH2143,8))),ISNUMBER(-LEFT(CH2143,8))),VALUE(MID(CH2143,5,2)),VALUE(MID(CH2143,FIND("-",CH2143)+1,FIND("-",CH2143,FIND("-",CH2143)+1)-FIND("-",CH2143)-1))),""))</f>
        <v/>
      </c>
      <c r="CO2143">
        <f>IF(CH2143="","",IFERROR(IF(AND(LEN(CH2143)=9,ISERROR(FIND("-",LEFT(CH2143,8))),ISNUMBER(-LEFT(CH2143,8))),VALUE(MID(CH2143,7,2)),VALUE(MID(CH2143,FIND("-",CH2143,FIND("-",CH2143)+1)+1,FIND("-",CH2143,FIND("-",CH2143,FIND("-",CH2143)+1)+1)-FIND("-",CH2143,FIND("-",CH2143)+1)-1))),""))</f>
        <v/>
      </c>
    </row>
    <row r="2144">
      <c r="CH2144">
        <f>IF(ISTEXT('월 가계부'!A2144),SUBSTITUTE(SUBSTITUTE(SUBSTITUTE(SUBSTITUTE(SUBSTITUTE(SUBSTITUTE(SUBSTITUTE(SUBSTITUTE(SUBSTITUTE(TRIM('월 가계부'!A2144),"년","-"),"월","-"),"일",""),".","-"),"/","-")," ","-"),"--","-"),"--","-"),"--","-")&amp;"-","")</f>
        <v/>
      </c>
      <c r="CI2144">
        <f>IFERROR(IF('월 가계부'!A2144="","",IF(ISNUMBER('월 가계부'!A2144),IF(AND('월 가계부'!A2144&gt;=19000101,'월 가계부'!A2144&lt;=21001231),IF(AND(MOD(INT('월 가계부'!A2144/100),100)&gt;=1,MOD(INT('월 가계부'!A2144/100),100)&lt;=12,MOD(INT('월 가계부'!A2144),100)&gt;=1,MOD(INT('월 가계부'!A2144),100)&lt;=31),IF(MONTH(DATE(INT('월 가계부'!A2144/10000),MOD(INT('월 가계부'!A2144/100),100),MOD(INT('월 가계부'!A2144),100)))=MOD(INT('월 가계부'!A2144/100),100),DATE(INT('월 가계부'!A2144/10000),MOD(INT('월 가계부'!A2144/100),100),MOD(INT('월 가계부'!A2144),100)),""),""),IF(AND('월 가계부'!A2144&gt;=36526,'월 가계부'!A2144&lt;73051),INT('월 가계부'!A2144),"")),IF(OR(CM2144="",CN2144="",CO2144=""),"",IF(AND(CM2144&gt;=2000,CM2144&lt;=2099,CN2144&gt;=1,CN2144&lt;=12,CO2144&gt;=1,CO2144&lt;=31),IF(MONTH(DATE(CM2144,CN2144,CO2144))=CN2144,DATE(CM2144,CN2144,CO2144),""),"")))),"")</f>
        <v/>
      </c>
      <c r="CJ2144">
        <f>IFERROR(IF('월 가계부'!C2144="","",IF(ISNUMBER('월 가계부'!C2144),'월 가계부'!C2144,VALUE(SUBSTITUTE(SUBSTITUTE(SUBSTITUTE(SUBSTITUTE(TRIM('월 가계부'!C2144),",",""),"원","")," ",""),"−","-")))),"")</f>
        <v/>
      </c>
      <c r="CK2144">
        <f>IF(ISNUMBER(CI2144),IF(CI2144&lt;$B$13,CI2144,""),"")</f>
        <v/>
      </c>
      <c r="CM2144">
        <f>IF(CH2144="","",IFERROR(IF(IF(AND(LEN(CH2144)=9,ISERROR(FIND("-",LEFT(CH2144,8))),ISNUMBER(-LEFT(CH2144,8))),VALUE(LEFT(CH2144,4)),VALUE(LEFT(CH2144,FIND("-",CH2144)-1)))&lt;100,IF(AND(LEN(CH2144)=9,ISERROR(FIND("-",LEFT(CH2144,8))),ISNUMBER(-LEFT(CH2144,8))),VALUE(LEFT(CH2144,4)),VALUE(LEFT(CH2144,FIND("-",CH2144)-1)))+2000,IF(AND(LEN(CH2144)=9,ISERROR(FIND("-",LEFT(CH2144,8))),ISNUMBER(-LEFT(CH2144,8))),VALUE(LEFT(CH2144,4)),VALUE(LEFT(CH2144,FIND("-",CH2144)-1)))),""))</f>
        <v/>
      </c>
      <c r="CN2144">
        <f>IF(CH2144="","",IFERROR(IF(AND(LEN(CH2144)=9,ISERROR(FIND("-",LEFT(CH2144,8))),ISNUMBER(-LEFT(CH2144,8))),VALUE(MID(CH2144,5,2)),VALUE(MID(CH2144,FIND("-",CH2144)+1,FIND("-",CH2144,FIND("-",CH2144)+1)-FIND("-",CH2144)-1))),""))</f>
        <v/>
      </c>
      <c r="CO2144">
        <f>IF(CH2144="","",IFERROR(IF(AND(LEN(CH2144)=9,ISERROR(FIND("-",LEFT(CH2144,8))),ISNUMBER(-LEFT(CH2144,8))),VALUE(MID(CH2144,7,2)),VALUE(MID(CH2144,FIND("-",CH2144,FIND("-",CH2144)+1)+1,FIND("-",CH2144,FIND("-",CH2144,FIND("-",CH2144)+1)+1)-FIND("-",CH2144,FIND("-",CH2144)+1)-1))),""))</f>
        <v/>
      </c>
    </row>
    <row r="2145">
      <c r="CH2145">
        <f>IF(ISTEXT('월 가계부'!A2145),SUBSTITUTE(SUBSTITUTE(SUBSTITUTE(SUBSTITUTE(SUBSTITUTE(SUBSTITUTE(SUBSTITUTE(SUBSTITUTE(SUBSTITUTE(TRIM('월 가계부'!A2145),"년","-"),"월","-"),"일",""),".","-"),"/","-")," ","-"),"--","-"),"--","-"),"--","-")&amp;"-","")</f>
        <v/>
      </c>
      <c r="CI2145">
        <f>IFERROR(IF('월 가계부'!A2145="","",IF(ISNUMBER('월 가계부'!A2145),IF(AND('월 가계부'!A2145&gt;=19000101,'월 가계부'!A2145&lt;=21001231),IF(AND(MOD(INT('월 가계부'!A2145/100),100)&gt;=1,MOD(INT('월 가계부'!A2145/100),100)&lt;=12,MOD(INT('월 가계부'!A2145),100)&gt;=1,MOD(INT('월 가계부'!A2145),100)&lt;=31),IF(MONTH(DATE(INT('월 가계부'!A2145/10000),MOD(INT('월 가계부'!A2145/100),100),MOD(INT('월 가계부'!A2145),100)))=MOD(INT('월 가계부'!A2145/100),100),DATE(INT('월 가계부'!A2145/10000),MOD(INT('월 가계부'!A2145/100),100),MOD(INT('월 가계부'!A2145),100)),""),""),IF(AND('월 가계부'!A2145&gt;=36526,'월 가계부'!A2145&lt;73051),INT('월 가계부'!A2145),"")),IF(OR(CM2145="",CN2145="",CO2145=""),"",IF(AND(CM2145&gt;=2000,CM2145&lt;=2099,CN2145&gt;=1,CN2145&lt;=12,CO2145&gt;=1,CO2145&lt;=31),IF(MONTH(DATE(CM2145,CN2145,CO2145))=CN2145,DATE(CM2145,CN2145,CO2145),""),"")))),"")</f>
        <v/>
      </c>
      <c r="CJ2145">
        <f>IFERROR(IF('월 가계부'!C2145="","",IF(ISNUMBER('월 가계부'!C2145),'월 가계부'!C2145,VALUE(SUBSTITUTE(SUBSTITUTE(SUBSTITUTE(SUBSTITUTE(TRIM('월 가계부'!C2145),",",""),"원","")," ",""),"−","-")))),"")</f>
        <v/>
      </c>
      <c r="CK2145">
        <f>IF(ISNUMBER(CI2145),IF(CI2145&lt;$B$13,CI2145,""),"")</f>
        <v/>
      </c>
      <c r="CM2145">
        <f>IF(CH2145="","",IFERROR(IF(IF(AND(LEN(CH2145)=9,ISERROR(FIND("-",LEFT(CH2145,8))),ISNUMBER(-LEFT(CH2145,8))),VALUE(LEFT(CH2145,4)),VALUE(LEFT(CH2145,FIND("-",CH2145)-1)))&lt;100,IF(AND(LEN(CH2145)=9,ISERROR(FIND("-",LEFT(CH2145,8))),ISNUMBER(-LEFT(CH2145,8))),VALUE(LEFT(CH2145,4)),VALUE(LEFT(CH2145,FIND("-",CH2145)-1)))+2000,IF(AND(LEN(CH2145)=9,ISERROR(FIND("-",LEFT(CH2145,8))),ISNUMBER(-LEFT(CH2145,8))),VALUE(LEFT(CH2145,4)),VALUE(LEFT(CH2145,FIND("-",CH2145)-1)))),""))</f>
        <v/>
      </c>
      <c r="CN2145">
        <f>IF(CH2145="","",IFERROR(IF(AND(LEN(CH2145)=9,ISERROR(FIND("-",LEFT(CH2145,8))),ISNUMBER(-LEFT(CH2145,8))),VALUE(MID(CH2145,5,2)),VALUE(MID(CH2145,FIND("-",CH2145)+1,FIND("-",CH2145,FIND("-",CH2145)+1)-FIND("-",CH2145)-1))),""))</f>
        <v/>
      </c>
      <c r="CO2145">
        <f>IF(CH2145="","",IFERROR(IF(AND(LEN(CH2145)=9,ISERROR(FIND("-",LEFT(CH2145,8))),ISNUMBER(-LEFT(CH2145,8))),VALUE(MID(CH2145,7,2)),VALUE(MID(CH2145,FIND("-",CH2145,FIND("-",CH2145)+1)+1,FIND("-",CH2145,FIND("-",CH2145,FIND("-",CH2145)+1)+1)-FIND("-",CH2145,FIND("-",CH2145)+1)-1))),""))</f>
        <v/>
      </c>
    </row>
    <row r="2146">
      <c r="CH2146">
        <f>IF(ISTEXT('월 가계부'!A2146),SUBSTITUTE(SUBSTITUTE(SUBSTITUTE(SUBSTITUTE(SUBSTITUTE(SUBSTITUTE(SUBSTITUTE(SUBSTITUTE(SUBSTITUTE(TRIM('월 가계부'!A2146),"년","-"),"월","-"),"일",""),".","-"),"/","-")," ","-"),"--","-"),"--","-"),"--","-")&amp;"-","")</f>
        <v/>
      </c>
      <c r="CI2146">
        <f>IFERROR(IF('월 가계부'!A2146="","",IF(ISNUMBER('월 가계부'!A2146),IF(AND('월 가계부'!A2146&gt;=19000101,'월 가계부'!A2146&lt;=21001231),IF(AND(MOD(INT('월 가계부'!A2146/100),100)&gt;=1,MOD(INT('월 가계부'!A2146/100),100)&lt;=12,MOD(INT('월 가계부'!A2146),100)&gt;=1,MOD(INT('월 가계부'!A2146),100)&lt;=31),IF(MONTH(DATE(INT('월 가계부'!A2146/10000),MOD(INT('월 가계부'!A2146/100),100),MOD(INT('월 가계부'!A2146),100)))=MOD(INT('월 가계부'!A2146/100),100),DATE(INT('월 가계부'!A2146/10000),MOD(INT('월 가계부'!A2146/100),100),MOD(INT('월 가계부'!A2146),100)),""),""),IF(AND('월 가계부'!A2146&gt;=36526,'월 가계부'!A2146&lt;73051),INT('월 가계부'!A2146),"")),IF(OR(CM2146="",CN2146="",CO2146=""),"",IF(AND(CM2146&gt;=2000,CM2146&lt;=2099,CN2146&gt;=1,CN2146&lt;=12,CO2146&gt;=1,CO2146&lt;=31),IF(MONTH(DATE(CM2146,CN2146,CO2146))=CN2146,DATE(CM2146,CN2146,CO2146),""),"")))),"")</f>
        <v/>
      </c>
      <c r="CJ2146">
        <f>IFERROR(IF('월 가계부'!C2146="","",IF(ISNUMBER('월 가계부'!C2146),'월 가계부'!C2146,VALUE(SUBSTITUTE(SUBSTITUTE(SUBSTITUTE(SUBSTITUTE(TRIM('월 가계부'!C2146),",",""),"원","")," ",""),"−","-")))),"")</f>
        <v/>
      </c>
      <c r="CK2146">
        <f>IF(ISNUMBER(CI2146),IF(CI2146&lt;$B$13,CI2146,""),"")</f>
        <v/>
      </c>
      <c r="CM2146">
        <f>IF(CH2146="","",IFERROR(IF(IF(AND(LEN(CH2146)=9,ISERROR(FIND("-",LEFT(CH2146,8))),ISNUMBER(-LEFT(CH2146,8))),VALUE(LEFT(CH2146,4)),VALUE(LEFT(CH2146,FIND("-",CH2146)-1)))&lt;100,IF(AND(LEN(CH2146)=9,ISERROR(FIND("-",LEFT(CH2146,8))),ISNUMBER(-LEFT(CH2146,8))),VALUE(LEFT(CH2146,4)),VALUE(LEFT(CH2146,FIND("-",CH2146)-1)))+2000,IF(AND(LEN(CH2146)=9,ISERROR(FIND("-",LEFT(CH2146,8))),ISNUMBER(-LEFT(CH2146,8))),VALUE(LEFT(CH2146,4)),VALUE(LEFT(CH2146,FIND("-",CH2146)-1)))),""))</f>
        <v/>
      </c>
      <c r="CN2146">
        <f>IF(CH2146="","",IFERROR(IF(AND(LEN(CH2146)=9,ISERROR(FIND("-",LEFT(CH2146,8))),ISNUMBER(-LEFT(CH2146,8))),VALUE(MID(CH2146,5,2)),VALUE(MID(CH2146,FIND("-",CH2146)+1,FIND("-",CH2146,FIND("-",CH2146)+1)-FIND("-",CH2146)-1))),""))</f>
        <v/>
      </c>
      <c r="CO2146">
        <f>IF(CH2146="","",IFERROR(IF(AND(LEN(CH2146)=9,ISERROR(FIND("-",LEFT(CH2146,8))),ISNUMBER(-LEFT(CH2146,8))),VALUE(MID(CH2146,7,2)),VALUE(MID(CH2146,FIND("-",CH2146,FIND("-",CH2146)+1)+1,FIND("-",CH2146,FIND("-",CH2146,FIND("-",CH2146)+1)+1)-FIND("-",CH2146,FIND("-",CH2146)+1)-1))),""))</f>
        <v/>
      </c>
    </row>
    <row r="2147">
      <c r="CH2147">
        <f>IF(ISTEXT('월 가계부'!A2147),SUBSTITUTE(SUBSTITUTE(SUBSTITUTE(SUBSTITUTE(SUBSTITUTE(SUBSTITUTE(SUBSTITUTE(SUBSTITUTE(SUBSTITUTE(TRIM('월 가계부'!A2147),"년","-"),"월","-"),"일",""),".","-"),"/","-")," ","-"),"--","-"),"--","-"),"--","-")&amp;"-","")</f>
        <v/>
      </c>
      <c r="CI2147">
        <f>IFERROR(IF('월 가계부'!A2147="","",IF(ISNUMBER('월 가계부'!A2147),IF(AND('월 가계부'!A2147&gt;=19000101,'월 가계부'!A2147&lt;=21001231),IF(AND(MOD(INT('월 가계부'!A2147/100),100)&gt;=1,MOD(INT('월 가계부'!A2147/100),100)&lt;=12,MOD(INT('월 가계부'!A2147),100)&gt;=1,MOD(INT('월 가계부'!A2147),100)&lt;=31),IF(MONTH(DATE(INT('월 가계부'!A2147/10000),MOD(INT('월 가계부'!A2147/100),100),MOD(INT('월 가계부'!A2147),100)))=MOD(INT('월 가계부'!A2147/100),100),DATE(INT('월 가계부'!A2147/10000),MOD(INT('월 가계부'!A2147/100),100),MOD(INT('월 가계부'!A2147),100)),""),""),IF(AND('월 가계부'!A2147&gt;=36526,'월 가계부'!A2147&lt;73051),INT('월 가계부'!A2147),"")),IF(OR(CM2147="",CN2147="",CO2147=""),"",IF(AND(CM2147&gt;=2000,CM2147&lt;=2099,CN2147&gt;=1,CN2147&lt;=12,CO2147&gt;=1,CO2147&lt;=31),IF(MONTH(DATE(CM2147,CN2147,CO2147))=CN2147,DATE(CM2147,CN2147,CO2147),""),"")))),"")</f>
        <v/>
      </c>
      <c r="CJ2147">
        <f>IFERROR(IF('월 가계부'!C2147="","",IF(ISNUMBER('월 가계부'!C2147),'월 가계부'!C2147,VALUE(SUBSTITUTE(SUBSTITUTE(SUBSTITUTE(SUBSTITUTE(TRIM('월 가계부'!C2147),",",""),"원","")," ",""),"−","-")))),"")</f>
        <v/>
      </c>
      <c r="CK2147">
        <f>IF(ISNUMBER(CI2147),IF(CI2147&lt;$B$13,CI2147,""),"")</f>
        <v/>
      </c>
      <c r="CM2147">
        <f>IF(CH2147="","",IFERROR(IF(IF(AND(LEN(CH2147)=9,ISERROR(FIND("-",LEFT(CH2147,8))),ISNUMBER(-LEFT(CH2147,8))),VALUE(LEFT(CH2147,4)),VALUE(LEFT(CH2147,FIND("-",CH2147)-1)))&lt;100,IF(AND(LEN(CH2147)=9,ISERROR(FIND("-",LEFT(CH2147,8))),ISNUMBER(-LEFT(CH2147,8))),VALUE(LEFT(CH2147,4)),VALUE(LEFT(CH2147,FIND("-",CH2147)-1)))+2000,IF(AND(LEN(CH2147)=9,ISERROR(FIND("-",LEFT(CH2147,8))),ISNUMBER(-LEFT(CH2147,8))),VALUE(LEFT(CH2147,4)),VALUE(LEFT(CH2147,FIND("-",CH2147)-1)))),""))</f>
        <v/>
      </c>
      <c r="CN2147">
        <f>IF(CH2147="","",IFERROR(IF(AND(LEN(CH2147)=9,ISERROR(FIND("-",LEFT(CH2147,8))),ISNUMBER(-LEFT(CH2147,8))),VALUE(MID(CH2147,5,2)),VALUE(MID(CH2147,FIND("-",CH2147)+1,FIND("-",CH2147,FIND("-",CH2147)+1)-FIND("-",CH2147)-1))),""))</f>
        <v/>
      </c>
      <c r="CO2147">
        <f>IF(CH2147="","",IFERROR(IF(AND(LEN(CH2147)=9,ISERROR(FIND("-",LEFT(CH2147,8))),ISNUMBER(-LEFT(CH2147,8))),VALUE(MID(CH2147,7,2)),VALUE(MID(CH2147,FIND("-",CH2147,FIND("-",CH2147)+1)+1,FIND("-",CH2147,FIND("-",CH2147,FIND("-",CH2147)+1)+1)-FIND("-",CH2147,FIND("-",CH2147)+1)-1))),""))</f>
        <v/>
      </c>
    </row>
    <row r="2148">
      <c r="CH2148">
        <f>IF(ISTEXT('월 가계부'!A2148),SUBSTITUTE(SUBSTITUTE(SUBSTITUTE(SUBSTITUTE(SUBSTITUTE(SUBSTITUTE(SUBSTITUTE(SUBSTITUTE(SUBSTITUTE(TRIM('월 가계부'!A2148),"년","-"),"월","-"),"일",""),".","-"),"/","-")," ","-"),"--","-"),"--","-"),"--","-")&amp;"-","")</f>
        <v/>
      </c>
      <c r="CI2148">
        <f>IFERROR(IF('월 가계부'!A2148="","",IF(ISNUMBER('월 가계부'!A2148),IF(AND('월 가계부'!A2148&gt;=19000101,'월 가계부'!A2148&lt;=21001231),IF(AND(MOD(INT('월 가계부'!A2148/100),100)&gt;=1,MOD(INT('월 가계부'!A2148/100),100)&lt;=12,MOD(INT('월 가계부'!A2148),100)&gt;=1,MOD(INT('월 가계부'!A2148),100)&lt;=31),IF(MONTH(DATE(INT('월 가계부'!A2148/10000),MOD(INT('월 가계부'!A2148/100),100),MOD(INT('월 가계부'!A2148),100)))=MOD(INT('월 가계부'!A2148/100),100),DATE(INT('월 가계부'!A2148/10000),MOD(INT('월 가계부'!A2148/100),100),MOD(INT('월 가계부'!A2148),100)),""),""),IF(AND('월 가계부'!A2148&gt;=36526,'월 가계부'!A2148&lt;73051),INT('월 가계부'!A2148),"")),IF(OR(CM2148="",CN2148="",CO2148=""),"",IF(AND(CM2148&gt;=2000,CM2148&lt;=2099,CN2148&gt;=1,CN2148&lt;=12,CO2148&gt;=1,CO2148&lt;=31),IF(MONTH(DATE(CM2148,CN2148,CO2148))=CN2148,DATE(CM2148,CN2148,CO2148),""),"")))),"")</f>
        <v/>
      </c>
      <c r="CJ2148">
        <f>IFERROR(IF('월 가계부'!C2148="","",IF(ISNUMBER('월 가계부'!C2148),'월 가계부'!C2148,VALUE(SUBSTITUTE(SUBSTITUTE(SUBSTITUTE(SUBSTITUTE(TRIM('월 가계부'!C2148),",",""),"원","")," ",""),"−","-")))),"")</f>
        <v/>
      </c>
      <c r="CK2148">
        <f>IF(ISNUMBER(CI2148),IF(CI2148&lt;$B$13,CI2148,""),"")</f>
        <v/>
      </c>
      <c r="CM2148">
        <f>IF(CH2148="","",IFERROR(IF(IF(AND(LEN(CH2148)=9,ISERROR(FIND("-",LEFT(CH2148,8))),ISNUMBER(-LEFT(CH2148,8))),VALUE(LEFT(CH2148,4)),VALUE(LEFT(CH2148,FIND("-",CH2148)-1)))&lt;100,IF(AND(LEN(CH2148)=9,ISERROR(FIND("-",LEFT(CH2148,8))),ISNUMBER(-LEFT(CH2148,8))),VALUE(LEFT(CH2148,4)),VALUE(LEFT(CH2148,FIND("-",CH2148)-1)))+2000,IF(AND(LEN(CH2148)=9,ISERROR(FIND("-",LEFT(CH2148,8))),ISNUMBER(-LEFT(CH2148,8))),VALUE(LEFT(CH2148,4)),VALUE(LEFT(CH2148,FIND("-",CH2148)-1)))),""))</f>
        <v/>
      </c>
      <c r="CN2148">
        <f>IF(CH2148="","",IFERROR(IF(AND(LEN(CH2148)=9,ISERROR(FIND("-",LEFT(CH2148,8))),ISNUMBER(-LEFT(CH2148,8))),VALUE(MID(CH2148,5,2)),VALUE(MID(CH2148,FIND("-",CH2148)+1,FIND("-",CH2148,FIND("-",CH2148)+1)-FIND("-",CH2148)-1))),""))</f>
        <v/>
      </c>
      <c r="CO2148">
        <f>IF(CH2148="","",IFERROR(IF(AND(LEN(CH2148)=9,ISERROR(FIND("-",LEFT(CH2148,8))),ISNUMBER(-LEFT(CH2148,8))),VALUE(MID(CH2148,7,2)),VALUE(MID(CH2148,FIND("-",CH2148,FIND("-",CH2148)+1)+1,FIND("-",CH2148,FIND("-",CH2148,FIND("-",CH2148)+1)+1)-FIND("-",CH2148,FIND("-",CH2148)+1)-1))),""))</f>
        <v/>
      </c>
    </row>
    <row r="2149">
      <c r="CH2149">
        <f>IF(ISTEXT('월 가계부'!A2149),SUBSTITUTE(SUBSTITUTE(SUBSTITUTE(SUBSTITUTE(SUBSTITUTE(SUBSTITUTE(SUBSTITUTE(SUBSTITUTE(SUBSTITUTE(TRIM('월 가계부'!A2149),"년","-"),"월","-"),"일",""),".","-"),"/","-")," ","-"),"--","-"),"--","-"),"--","-")&amp;"-","")</f>
        <v/>
      </c>
      <c r="CI2149">
        <f>IFERROR(IF('월 가계부'!A2149="","",IF(ISNUMBER('월 가계부'!A2149),IF(AND('월 가계부'!A2149&gt;=19000101,'월 가계부'!A2149&lt;=21001231),IF(AND(MOD(INT('월 가계부'!A2149/100),100)&gt;=1,MOD(INT('월 가계부'!A2149/100),100)&lt;=12,MOD(INT('월 가계부'!A2149),100)&gt;=1,MOD(INT('월 가계부'!A2149),100)&lt;=31),IF(MONTH(DATE(INT('월 가계부'!A2149/10000),MOD(INT('월 가계부'!A2149/100),100),MOD(INT('월 가계부'!A2149),100)))=MOD(INT('월 가계부'!A2149/100),100),DATE(INT('월 가계부'!A2149/10000),MOD(INT('월 가계부'!A2149/100),100),MOD(INT('월 가계부'!A2149),100)),""),""),IF(AND('월 가계부'!A2149&gt;=36526,'월 가계부'!A2149&lt;73051),INT('월 가계부'!A2149),"")),IF(OR(CM2149="",CN2149="",CO2149=""),"",IF(AND(CM2149&gt;=2000,CM2149&lt;=2099,CN2149&gt;=1,CN2149&lt;=12,CO2149&gt;=1,CO2149&lt;=31),IF(MONTH(DATE(CM2149,CN2149,CO2149))=CN2149,DATE(CM2149,CN2149,CO2149),""),"")))),"")</f>
        <v/>
      </c>
      <c r="CJ2149">
        <f>IFERROR(IF('월 가계부'!C2149="","",IF(ISNUMBER('월 가계부'!C2149),'월 가계부'!C2149,VALUE(SUBSTITUTE(SUBSTITUTE(SUBSTITUTE(SUBSTITUTE(TRIM('월 가계부'!C2149),",",""),"원","")," ",""),"−","-")))),"")</f>
        <v/>
      </c>
      <c r="CK2149">
        <f>IF(ISNUMBER(CI2149),IF(CI2149&lt;$B$13,CI2149,""),"")</f>
        <v/>
      </c>
      <c r="CM2149">
        <f>IF(CH2149="","",IFERROR(IF(IF(AND(LEN(CH2149)=9,ISERROR(FIND("-",LEFT(CH2149,8))),ISNUMBER(-LEFT(CH2149,8))),VALUE(LEFT(CH2149,4)),VALUE(LEFT(CH2149,FIND("-",CH2149)-1)))&lt;100,IF(AND(LEN(CH2149)=9,ISERROR(FIND("-",LEFT(CH2149,8))),ISNUMBER(-LEFT(CH2149,8))),VALUE(LEFT(CH2149,4)),VALUE(LEFT(CH2149,FIND("-",CH2149)-1)))+2000,IF(AND(LEN(CH2149)=9,ISERROR(FIND("-",LEFT(CH2149,8))),ISNUMBER(-LEFT(CH2149,8))),VALUE(LEFT(CH2149,4)),VALUE(LEFT(CH2149,FIND("-",CH2149)-1)))),""))</f>
        <v/>
      </c>
      <c r="CN2149">
        <f>IF(CH2149="","",IFERROR(IF(AND(LEN(CH2149)=9,ISERROR(FIND("-",LEFT(CH2149,8))),ISNUMBER(-LEFT(CH2149,8))),VALUE(MID(CH2149,5,2)),VALUE(MID(CH2149,FIND("-",CH2149)+1,FIND("-",CH2149,FIND("-",CH2149)+1)-FIND("-",CH2149)-1))),""))</f>
        <v/>
      </c>
      <c r="CO2149">
        <f>IF(CH2149="","",IFERROR(IF(AND(LEN(CH2149)=9,ISERROR(FIND("-",LEFT(CH2149,8))),ISNUMBER(-LEFT(CH2149,8))),VALUE(MID(CH2149,7,2)),VALUE(MID(CH2149,FIND("-",CH2149,FIND("-",CH2149)+1)+1,FIND("-",CH2149,FIND("-",CH2149,FIND("-",CH2149)+1)+1)-FIND("-",CH2149,FIND("-",CH2149)+1)-1))),""))</f>
        <v/>
      </c>
    </row>
    <row r="2150">
      <c r="CH2150">
        <f>IF(ISTEXT('월 가계부'!A2150),SUBSTITUTE(SUBSTITUTE(SUBSTITUTE(SUBSTITUTE(SUBSTITUTE(SUBSTITUTE(SUBSTITUTE(SUBSTITUTE(SUBSTITUTE(TRIM('월 가계부'!A2150),"년","-"),"월","-"),"일",""),".","-"),"/","-")," ","-"),"--","-"),"--","-"),"--","-")&amp;"-","")</f>
        <v/>
      </c>
      <c r="CI2150">
        <f>IFERROR(IF('월 가계부'!A2150="","",IF(ISNUMBER('월 가계부'!A2150),IF(AND('월 가계부'!A2150&gt;=19000101,'월 가계부'!A2150&lt;=21001231),IF(AND(MOD(INT('월 가계부'!A2150/100),100)&gt;=1,MOD(INT('월 가계부'!A2150/100),100)&lt;=12,MOD(INT('월 가계부'!A2150),100)&gt;=1,MOD(INT('월 가계부'!A2150),100)&lt;=31),IF(MONTH(DATE(INT('월 가계부'!A2150/10000),MOD(INT('월 가계부'!A2150/100),100),MOD(INT('월 가계부'!A2150),100)))=MOD(INT('월 가계부'!A2150/100),100),DATE(INT('월 가계부'!A2150/10000),MOD(INT('월 가계부'!A2150/100),100),MOD(INT('월 가계부'!A2150),100)),""),""),IF(AND('월 가계부'!A2150&gt;=36526,'월 가계부'!A2150&lt;73051),INT('월 가계부'!A2150),"")),IF(OR(CM2150="",CN2150="",CO2150=""),"",IF(AND(CM2150&gt;=2000,CM2150&lt;=2099,CN2150&gt;=1,CN2150&lt;=12,CO2150&gt;=1,CO2150&lt;=31),IF(MONTH(DATE(CM2150,CN2150,CO2150))=CN2150,DATE(CM2150,CN2150,CO2150),""),"")))),"")</f>
        <v/>
      </c>
      <c r="CJ2150">
        <f>IFERROR(IF('월 가계부'!C2150="","",IF(ISNUMBER('월 가계부'!C2150),'월 가계부'!C2150,VALUE(SUBSTITUTE(SUBSTITUTE(SUBSTITUTE(SUBSTITUTE(TRIM('월 가계부'!C2150),",",""),"원","")," ",""),"−","-")))),"")</f>
        <v/>
      </c>
      <c r="CK2150">
        <f>IF(ISNUMBER(CI2150),IF(CI2150&lt;$B$13,CI2150,""),"")</f>
        <v/>
      </c>
      <c r="CM2150">
        <f>IF(CH2150="","",IFERROR(IF(IF(AND(LEN(CH2150)=9,ISERROR(FIND("-",LEFT(CH2150,8))),ISNUMBER(-LEFT(CH2150,8))),VALUE(LEFT(CH2150,4)),VALUE(LEFT(CH2150,FIND("-",CH2150)-1)))&lt;100,IF(AND(LEN(CH2150)=9,ISERROR(FIND("-",LEFT(CH2150,8))),ISNUMBER(-LEFT(CH2150,8))),VALUE(LEFT(CH2150,4)),VALUE(LEFT(CH2150,FIND("-",CH2150)-1)))+2000,IF(AND(LEN(CH2150)=9,ISERROR(FIND("-",LEFT(CH2150,8))),ISNUMBER(-LEFT(CH2150,8))),VALUE(LEFT(CH2150,4)),VALUE(LEFT(CH2150,FIND("-",CH2150)-1)))),""))</f>
        <v/>
      </c>
      <c r="CN2150">
        <f>IF(CH2150="","",IFERROR(IF(AND(LEN(CH2150)=9,ISERROR(FIND("-",LEFT(CH2150,8))),ISNUMBER(-LEFT(CH2150,8))),VALUE(MID(CH2150,5,2)),VALUE(MID(CH2150,FIND("-",CH2150)+1,FIND("-",CH2150,FIND("-",CH2150)+1)-FIND("-",CH2150)-1))),""))</f>
        <v/>
      </c>
      <c r="CO2150">
        <f>IF(CH2150="","",IFERROR(IF(AND(LEN(CH2150)=9,ISERROR(FIND("-",LEFT(CH2150,8))),ISNUMBER(-LEFT(CH2150,8))),VALUE(MID(CH2150,7,2)),VALUE(MID(CH2150,FIND("-",CH2150,FIND("-",CH2150)+1)+1,FIND("-",CH2150,FIND("-",CH2150,FIND("-",CH2150)+1)+1)-FIND("-",CH2150,FIND("-",CH2150)+1)-1))),""))</f>
        <v/>
      </c>
    </row>
    <row r="2151">
      <c r="CH2151">
        <f>IF(ISTEXT('월 가계부'!A2151),SUBSTITUTE(SUBSTITUTE(SUBSTITUTE(SUBSTITUTE(SUBSTITUTE(SUBSTITUTE(SUBSTITUTE(SUBSTITUTE(SUBSTITUTE(TRIM('월 가계부'!A2151),"년","-"),"월","-"),"일",""),".","-"),"/","-")," ","-"),"--","-"),"--","-"),"--","-")&amp;"-","")</f>
        <v/>
      </c>
      <c r="CI2151">
        <f>IFERROR(IF('월 가계부'!A2151="","",IF(ISNUMBER('월 가계부'!A2151),IF(AND('월 가계부'!A2151&gt;=19000101,'월 가계부'!A2151&lt;=21001231),IF(AND(MOD(INT('월 가계부'!A2151/100),100)&gt;=1,MOD(INT('월 가계부'!A2151/100),100)&lt;=12,MOD(INT('월 가계부'!A2151),100)&gt;=1,MOD(INT('월 가계부'!A2151),100)&lt;=31),IF(MONTH(DATE(INT('월 가계부'!A2151/10000),MOD(INT('월 가계부'!A2151/100),100),MOD(INT('월 가계부'!A2151),100)))=MOD(INT('월 가계부'!A2151/100),100),DATE(INT('월 가계부'!A2151/10000),MOD(INT('월 가계부'!A2151/100),100),MOD(INT('월 가계부'!A2151),100)),""),""),IF(AND('월 가계부'!A2151&gt;=36526,'월 가계부'!A2151&lt;73051),INT('월 가계부'!A2151),"")),IF(OR(CM2151="",CN2151="",CO2151=""),"",IF(AND(CM2151&gt;=2000,CM2151&lt;=2099,CN2151&gt;=1,CN2151&lt;=12,CO2151&gt;=1,CO2151&lt;=31),IF(MONTH(DATE(CM2151,CN2151,CO2151))=CN2151,DATE(CM2151,CN2151,CO2151),""),"")))),"")</f>
        <v/>
      </c>
      <c r="CJ2151">
        <f>IFERROR(IF('월 가계부'!C2151="","",IF(ISNUMBER('월 가계부'!C2151),'월 가계부'!C2151,VALUE(SUBSTITUTE(SUBSTITUTE(SUBSTITUTE(SUBSTITUTE(TRIM('월 가계부'!C2151),",",""),"원","")," ",""),"−","-")))),"")</f>
        <v/>
      </c>
      <c r="CK2151">
        <f>IF(ISNUMBER(CI2151),IF(CI2151&lt;$B$13,CI2151,""),"")</f>
        <v/>
      </c>
      <c r="CM2151">
        <f>IF(CH2151="","",IFERROR(IF(IF(AND(LEN(CH2151)=9,ISERROR(FIND("-",LEFT(CH2151,8))),ISNUMBER(-LEFT(CH2151,8))),VALUE(LEFT(CH2151,4)),VALUE(LEFT(CH2151,FIND("-",CH2151)-1)))&lt;100,IF(AND(LEN(CH2151)=9,ISERROR(FIND("-",LEFT(CH2151,8))),ISNUMBER(-LEFT(CH2151,8))),VALUE(LEFT(CH2151,4)),VALUE(LEFT(CH2151,FIND("-",CH2151)-1)))+2000,IF(AND(LEN(CH2151)=9,ISERROR(FIND("-",LEFT(CH2151,8))),ISNUMBER(-LEFT(CH2151,8))),VALUE(LEFT(CH2151,4)),VALUE(LEFT(CH2151,FIND("-",CH2151)-1)))),""))</f>
        <v/>
      </c>
      <c r="CN2151">
        <f>IF(CH2151="","",IFERROR(IF(AND(LEN(CH2151)=9,ISERROR(FIND("-",LEFT(CH2151,8))),ISNUMBER(-LEFT(CH2151,8))),VALUE(MID(CH2151,5,2)),VALUE(MID(CH2151,FIND("-",CH2151)+1,FIND("-",CH2151,FIND("-",CH2151)+1)-FIND("-",CH2151)-1))),""))</f>
        <v/>
      </c>
      <c r="CO2151">
        <f>IF(CH2151="","",IFERROR(IF(AND(LEN(CH2151)=9,ISERROR(FIND("-",LEFT(CH2151,8))),ISNUMBER(-LEFT(CH2151,8))),VALUE(MID(CH2151,7,2)),VALUE(MID(CH2151,FIND("-",CH2151,FIND("-",CH2151)+1)+1,FIND("-",CH2151,FIND("-",CH2151,FIND("-",CH2151)+1)+1)-FIND("-",CH2151,FIND("-",CH2151)+1)-1))),""))</f>
        <v/>
      </c>
    </row>
    <row r="2152">
      <c r="CH2152">
        <f>IF(ISTEXT('월 가계부'!A2152),SUBSTITUTE(SUBSTITUTE(SUBSTITUTE(SUBSTITUTE(SUBSTITUTE(SUBSTITUTE(SUBSTITUTE(SUBSTITUTE(SUBSTITUTE(TRIM('월 가계부'!A2152),"년","-"),"월","-"),"일",""),".","-"),"/","-")," ","-"),"--","-"),"--","-"),"--","-")&amp;"-","")</f>
        <v/>
      </c>
      <c r="CI2152">
        <f>IFERROR(IF('월 가계부'!A2152="","",IF(ISNUMBER('월 가계부'!A2152),IF(AND('월 가계부'!A2152&gt;=19000101,'월 가계부'!A2152&lt;=21001231),IF(AND(MOD(INT('월 가계부'!A2152/100),100)&gt;=1,MOD(INT('월 가계부'!A2152/100),100)&lt;=12,MOD(INT('월 가계부'!A2152),100)&gt;=1,MOD(INT('월 가계부'!A2152),100)&lt;=31),IF(MONTH(DATE(INT('월 가계부'!A2152/10000),MOD(INT('월 가계부'!A2152/100),100),MOD(INT('월 가계부'!A2152),100)))=MOD(INT('월 가계부'!A2152/100),100),DATE(INT('월 가계부'!A2152/10000),MOD(INT('월 가계부'!A2152/100),100),MOD(INT('월 가계부'!A2152),100)),""),""),IF(AND('월 가계부'!A2152&gt;=36526,'월 가계부'!A2152&lt;73051),INT('월 가계부'!A2152),"")),IF(OR(CM2152="",CN2152="",CO2152=""),"",IF(AND(CM2152&gt;=2000,CM2152&lt;=2099,CN2152&gt;=1,CN2152&lt;=12,CO2152&gt;=1,CO2152&lt;=31),IF(MONTH(DATE(CM2152,CN2152,CO2152))=CN2152,DATE(CM2152,CN2152,CO2152),""),"")))),"")</f>
        <v/>
      </c>
      <c r="CJ2152">
        <f>IFERROR(IF('월 가계부'!C2152="","",IF(ISNUMBER('월 가계부'!C2152),'월 가계부'!C2152,VALUE(SUBSTITUTE(SUBSTITUTE(SUBSTITUTE(SUBSTITUTE(TRIM('월 가계부'!C2152),",",""),"원","")," ",""),"−","-")))),"")</f>
        <v/>
      </c>
      <c r="CK2152">
        <f>IF(ISNUMBER(CI2152),IF(CI2152&lt;$B$13,CI2152,""),"")</f>
        <v/>
      </c>
      <c r="CM2152">
        <f>IF(CH2152="","",IFERROR(IF(IF(AND(LEN(CH2152)=9,ISERROR(FIND("-",LEFT(CH2152,8))),ISNUMBER(-LEFT(CH2152,8))),VALUE(LEFT(CH2152,4)),VALUE(LEFT(CH2152,FIND("-",CH2152)-1)))&lt;100,IF(AND(LEN(CH2152)=9,ISERROR(FIND("-",LEFT(CH2152,8))),ISNUMBER(-LEFT(CH2152,8))),VALUE(LEFT(CH2152,4)),VALUE(LEFT(CH2152,FIND("-",CH2152)-1)))+2000,IF(AND(LEN(CH2152)=9,ISERROR(FIND("-",LEFT(CH2152,8))),ISNUMBER(-LEFT(CH2152,8))),VALUE(LEFT(CH2152,4)),VALUE(LEFT(CH2152,FIND("-",CH2152)-1)))),""))</f>
        <v/>
      </c>
      <c r="CN2152">
        <f>IF(CH2152="","",IFERROR(IF(AND(LEN(CH2152)=9,ISERROR(FIND("-",LEFT(CH2152,8))),ISNUMBER(-LEFT(CH2152,8))),VALUE(MID(CH2152,5,2)),VALUE(MID(CH2152,FIND("-",CH2152)+1,FIND("-",CH2152,FIND("-",CH2152)+1)-FIND("-",CH2152)-1))),""))</f>
        <v/>
      </c>
      <c r="CO2152">
        <f>IF(CH2152="","",IFERROR(IF(AND(LEN(CH2152)=9,ISERROR(FIND("-",LEFT(CH2152,8))),ISNUMBER(-LEFT(CH2152,8))),VALUE(MID(CH2152,7,2)),VALUE(MID(CH2152,FIND("-",CH2152,FIND("-",CH2152)+1)+1,FIND("-",CH2152,FIND("-",CH2152,FIND("-",CH2152)+1)+1)-FIND("-",CH2152,FIND("-",CH2152)+1)-1))),""))</f>
        <v/>
      </c>
    </row>
    <row r="2153">
      <c r="CH2153">
        <f>IF(ISTEXT('월 가계부'!A2153),SUBSTITUTE(SUBSTITUTE(SUBSTITUTE(SUBSTITUTE(SUBSTITUTE(SUBSTITUTE(SUBSTITUTE(SUBSTITUTE(SUBSTITUTE(TRIM('월 가계부'!A2153),"년","-"),"월","-"),"일",""),".","-"),"/","-")," ","-"),"--","-"),"--","-"),"--","-")&amp;"-","")</f>
        <v/>
      </c>
      <c r="CI2153">
        <f>IFERROR(IF('월 가계부'!A2153="","",IF(ISNUMBER('월 가계부'!A2153),IF(AND('월 가계부'!A2153&gt;=19000101,'월 가계부'!A2153&lt;=21001231),IF(AND(MOD(INT('월 가계부'!A2153/100),100)&gt;=1,MOD(INT('월 가계부'!A2153/100),100)&lt;=12,MOD(INT('월 가계부'!A2153),100)&gt;=1,MOD(INT('월 가계부'!A2153),100)&lt;=31),IF(MONTH(DATE(INT('월 가계부'!A2153/10000),MOD(INT('월 가계부'!A2153/100),100),MOD(INT('월 가계부'!A2153),100)))=MOD(INT('월 가계부'!A2153/100),100),DATE(INT('월 가계부'!A2153/10000),MOD(INT('월 가계부'!A2153/100),100),MOD(INT('월 가계부'!A2153),100)),""),""),IF(AND('월 가계부'!A2153&gt;=36526,'월 가계부'!A2153&lt;73051),INT('월 가계부'!A2153),"")),IF(OR(CM2153="",CN2153="",CO2153=""),"",IF(AND(CM2153&gt;=2000,CM2153&lt;=2099,CN2153&gt;=1,CN2153&lt;=12,CO2153&gt;=1,CO2153&lt;=31),IF(MONTH(DATE(CM2153,CN2153,CO2153))=CN2153,DATE(CM2153,CN2153,CO2153),""),"")))),"")</f>
        <v/>
      </c>
      <c r="CJ2153">
        <f>IFERROR(IF('월 가계부'!C2153="","",IF(ISNUMBER('월 가계부'!C2153),'월 가계부'!C2153,VALUE(SUBSTITUTE(SUBSTITUTE(SUBSTITUTE(SUBSTITUTE(TRIM('월 가계부'!C2153),",",""),"원","")," ",""),"−","-")))),"")</f>
        <v/>
      </c>
      <c r="CK2153">
        <f>IF(ISNUMBER(CI2153),IF(CI2153&lt;$B$13,CI2153,""),"")</f>
        <v/>
      </c>
      <c r="CM2153">
        <f>IF(CH2153="","",IFERROR(IF(IF(AND(LEN(CH2153)=9,ISERROR(FIND("-",LEFT(CH2153,8))),ISNUMBER(-LEFT(CH2153,8))),VALUE(LEFT(CH2153,4)),VALUE(LEFT(CH2153,FIND("-",CH2153)-1)))&lt;100,IF(AND(LEN(CH2153)=9,ISERROR(FIND("-",LEFT(CH2153,8))),ISNUMBER(-LEFT(CH2153,8))),VALUE(LEFT(CH2153,4)),VALUE(LEFT(CH2153,FIND("-",CH2153)-1)))+2000,IF(AND(LEN(CH2153)=9,ISERROR(FIND("-",LEFT(CH2153,8))),ISNUMBER(-LEFT(CH2153,8))),VALUE(LEFT(CH2153,4)),VALUE(LEFT(CH2153,FIND("-",CH2153)-1)))),""))</f>
        <v/>
      </c>
      <c r="CN2153">
        <f>IF(CH2153="","",IFERROR(IF(AND(LEN(CH2153)=9,ISERROR(FIND("-",LEFT(CH2153,8))),ISNUMBER(-LEFT(CH2153,8))),VALUE(MID(CH2153,5,2)),VALUE(MID(CH2153,FIND("-",CH2153)+1,FIND("-",CH2153,FIND("-",CH2153)+1)-FIND("-",CH2153)-1))),""))</f>
        <v/>
      </c>
      <c r="CO2153">
        <f>IF(CH2153="","",IFERROR(IF(AND(LEN(CH2153)=9,ISERROR(FIND("-",LEFT(CH2153,8))),ISNUMBER(-LEFT(CH2153,8))),VALUE(MID(CH2153,7,2)),VALUE(MID(CH2153,FIND("-",CH2153,FIND("-",CH2153)+1)+1,FIND("-",CH2153,FIND("-",CH2153,FIND("-",CH2153)+1)+1)-FIND("-",CH2153,FIND("-",CH2153)+1)-1))),""))</f>
        <v/>
      </c>
    </row>
    <row r="2154">
      <c r="CH2154">
        <f>IF(ISTEXT('월 가계부'!A2154),SUBSTITUTE(SUBSTITUTE(SUBSTITUTE(SUBSTITUTE(SUBSTITUTE(SUBSTITUTE(SUBSTITUTE(SUBSTITUTE(SUBSTITUTE(TRIM('월 가계부'!A2154),"년","-"),"월","-"),"일",""),".","-"),"/","-")," ","-"),"--","-"),"--","-"),"--","-")&amp;"-","")</f>
        <v/>
      </c>
      <c r="CI2154">
        <f>IFERROR(IF('월 가계부'!A2154="","",IF(ISNUMBER('월 가계부'!A2154),IF(AND('월 가계부'!A2154&gt;=19000101,'월 가계부'!A2154&lt;=21001231),IF(AND(MOD(INT('월 가계부'!A2154/100),100)&gt;=1,MOD(INT('월 가계부'!A2154/100),100)&lt;=12,MOD(INT('월 가계부'!A2154),100)&gt;=1,MOD(INT('월 가계부'!A2154),100)&lt;=31),IF(MONTH(DATE(INT('월 가계부'!A2154/10000),MOD(INT('월 가계부'!A2154/100),100),MOD(INT('월 가계부'!A2154),100)))=MOD(INT('월 가계부'!A2154/100),100),DATE(INT('월 가계부'!A2154/10000),MOD(INT('월 가계부'!A2154/100),100),MOD(INT('월 가계부'!A2154),100)),""),""),IF(AND('월 가계부'!A2154&gt;=36526,'월 가계부'!A2154&lt;73051),INT('월 가계부'!A2154),"")),IF(OR(CM2154="",CN2154="",CO2154=""),"",IF(AND(CM2154&gt;=2000,CM2154&lt;=2099,CN2154&gt;=1,CN2154&lt;=12,CO2154&gt;=1,CO2154&lt;=31),IF(MONTH(DATE(CM2154,CN2154,CO2154))=CN2154,DATE(CM2154,CN2154,CO2154),""),"")))),"")</f>
        <v/>
      </c>
      <c r="CJ2154">
        <f>IFERROR(IF('월 가계부'!C2154="","",IF(ISNUMBER('월 가계부'!C2154),'월 가계부'!C2154,VALUE(SUBSTITUTE(SUBSTITUTE(SUBSTITUTE(SUBSTITUTE(TRIM('월 가계부'!C2154),",",""),"원","")," ",""),"−","-")))),"")</f>
        <v/>
      </c>
      <c r="CK2154">
        <f>IF(ISNUMBER(CI2154),IF(CI2154&lt;$B$13,CI2154,""),"")</f>
        <v/>
      </c>
      <c r="CM2154">
        <f>IF(CH2154="","",IFERROR(IF(IF(AND(LEN(CH2154)=9,ISERROR(FIND("-",LEFT(CH2154,8))),ISNUMBER(-LEFT(CH2154,8))),VALUE(LEFT(CH2154,4)),VALUE(LEFT(CH2154,FIND("-",CH2154)-1)))&lt;100,IF(AND(LEN(CH2154)=9,ISERROR(FIND("-",LEFT(CH2154,8))),ISNUMBER(-LEFT(CH2154,8))),VALUE(LEFT(CH2154,4)),VALUE(LEFT(CH2154,FIND("-",CH2154)-1)))+2000,IF(AND(LEN(CH2154)=9,ISERROR(FIND("-",LEFT(CH2154,8))),ISNUMBER(-LEFT(CH2154,8))),VALUE(LEFT(CH2154,4)),VALUE(LEFT(CH2154,FIND("-",CH2154)-1)))),""))</f>
        <v/>
      </c>
      <c r="CN2154">
        <f>IF(CH2154="","",IFERROR(IF(AND(LEN(CH2154)=9,ISERROR(FIND("-",LEFT(CH2154,8))),ISNUMBER(-LEFT(CH2154,8))),VALUE(MID(CH2154,5,2)),VALUE(MID(CH2154,FIND("-",CH2154)+1,FIND("-",CH2154,FIND("-",CH2154)+1)-FIND("-",CH2154)-1))),""))</f>
        <v/>
      </c>
      <c r="CO2154">
        <f>IF(CH2154="","",IFERROR(IF(AND(LEN(CH2154)=9,ISERROR(FIND("-",LEFT(CH2154,8))),ISNUMBER(-LEFT(CH2154,8))),VALUE(MID(CH2154,7,2)),VALUE(MID(CH2154,FIND("-",CH2154,FIND("-",CH2154)+1)+1,FIND("-",CH2154,FIND("-",CH2154,FIND("-",CH2154)+1)+1)-FIND("-",CH2154,FIND("-",CH2154)+1)-1))),""))</f>
        <v/>
      </c>
    </row>
    <row r="2155">
      <c r="CH2155">
        <f>IF(ISTEXT('월 가계부'!A2155),SUBSTITUTE(SUBSTITUTE(SUBSTITUTE(SUBSTITUTE(SUBSTITUTE(SUBSTITUTE(SUBSTITUTE(SUBSTITUTE(SUBSTITUTE(TRIM('월 가계부'!A2155),"년","-"),"월","-"),"일",""),".","-"),"/","-")," ","-"),"--","-"),"--","-"),"--","-")&amp;"-","")</f>
        <v/>
      </c>
      <c r="CI2155">
        <f>IFERROR(IF('월 가계부'!A2155="","",IF(ISNUMBER('월 가계부'!A2155),IF(AND('월 가계부'!A2155&gt;=19000101,'월 가계부'!A2155&lt;=21001231),IF(AND(MOD(INT('월 가계부'!A2155/100),100)&gt;=1,MOD(INT('월 가계부'!A2155/100),100)&lt;=12,MOD(INT('월 가계부'!A2155),100)&gt;=1,MOD(INT('월 가계부'!A2155),100)&lt;=31),IF(MONTH(DATE(INT('월 가계부'!A2155/10000),MOD(INT('월 가계부'!A2155/100),100),MOD(INT('월 가계부'!A2155),100)))=MOD(INT('월 가계부'!A2155/100),100),DATE(INT('월 가계부'!A2155/10000),MOD(INT('월 가계부'!A2155/100),100),MOD(INT('월 가계부'!A2155),100)),""),""),IF(AND('월 가계부'!A2155&gt;=36526,'월 가계부'!A2155&lt;73051),INT('월 가계부'!A2155),"")),IF(OR(CM2155="",CN2155="",CO2155=""),"",IF(AND(CM2155&gt;=2000,CM2155&lt;=2099,CN2155&gt;=1,CN2155&lt;=12,CO2155&gt;=1,CO2155&lt;=31),IF(MONTH(DATE(CM2155,CN2155,CO2155))=CN2155,DATE(CM2155,CN2155,CO2155),""),"")))),"")</f>
        <v/>
      </c>
      <c r="CJ2155">
        <f>IFERROR(IF('월 가계부'!C2155="","",IF(ISNUMBER('월 가계부'!C2155),'월 가계부'!C2155,VALUE(SUBSTITUTE(SUBSTITUTE(SUBSTITUTE(SUBSTITUTE(TRIM('월 가계부'!C2155),",",""),"원","")," ",""),"−","-")))),"")</f>
        <v/>
      </c>
      <c r="CK2155">
        <f>IF(ISNUMBER(CI2155),IF(CI2155&lt;$B$13,CI2155,""),"")</f>
        <v/>
      </c>
      <c r="CM2155">
        <f>IF(CH2155="","",IFERROR(IF(IF(AND(LEN(CH2155)=9,ISERROR(FIND("-",LEFT(CH2155,8))),ISNUMBER(-LEFT(CH2155,8))),VALUE(LEFT(CH2155,4)),VALUE(LEFT(CH2155,FIND("-",CH2155)-1)))&lt;100,IF(AND(LEN(CH2155)=9,ISERROR(FIND("-",LEFT(CH2155,8))),ISNUMBER(-LEFT(CH2155,8))),VALUE(LEFT(CH2155,4)),VALUE(LEFT(CH2155,FIND("-",CH2155)-1)))+2000,IF(AND(LEN(CH2155)=9,ISERROR(FIND("-",LEFT(CH2155,8))),ISNUMBER(-LEFT(CH2155,8))),VALUE(LEFT(CH2155,4)),VALUE(LEFT(CH2155,FIND("-",CH2155)-1)))),""))</f>
        <v/>
      </c>
      <c r="CN2155">
        <f>IF(CH2155="","",IFERROR(IF(AND(LEN(CH2155)=9,ISERROR(FIND("-",LEFT(CH2155,8))),ISNUMBER(-LEFT(CH2155,8))),VALUE(MID(CH2155,5,2)),VALUE(MID(CH2155,FIND("-",CH2155)+1,FIND("-",CH2155,FIND("-",CH2155)+1)-FIND("-",CH2155)-1))),""))</f>
        <v/>
      </c>
      <c r="CO2155">
        <f>IF(CH2155="","",IFERROR(IF(AND(LEN(CH2155)=9,ISERROR(FIND("-",LEFT(CH2155,8))),ISNUMBER(-LEFT(CH2155,8))),VALUE(MID(CH2155,7,2)),VALUE(MID(CH2155,FIND("-",CH2155,FIND("-",CH2155)+1)+1,FIND("-",CH2155,FIND("-",CH2155,FIND("-",CH2155)+1)+1)-FIND("-",CH2155,FIND("-",CH2155)+1)-1))),""))</f>
        <v/>
      </c>
    </row>
    <row r="2156">
      <c r="CH2156">
        <f>IF(ISTEXT('월 가계부'!A2156),SUBSTITUTE(SUBSTITUTE(SUBSTITUTE(SUBSTITUTE(SUBSTITUTE(SUBSTITUTE(SUBSTITUTE(SUBSTITUTE(SUBSTITUTE(TRIM('월 가계부'!A2156),"년","-"),"월","-"),"일",""),".","-"),"/","-")," ","-"),"--","-"),"--","-"),"--","-")&amp;"-","")</f>
        <v/>
      </c>
      <c r="CI2156">
        <f>IFERROR(IF('월 가계부'!A2156="","",IF(ISNUMBER('월 가계부'!A2156),IF(AND('월 가계부'!A2156&gt;=19000101,'월 가계부'!A2156&lt;=21001231),IF(AND(MOD(INT('월 가계부'!A2156/100),100)&gt;=1,MOD(INT('월 가계부'!A2156/100),100)&lt;=12,MOD(INT('월 가계부'!A2156),100)&gt;=1,MOD(INT('월 가계부'!A2156),100)&lt;=31),IF(MONTH(DATE(INT('월 가계부'!A2156/10000),MOD(INT('월 가계부'!A2156/100),100),MOD(INT('월 가계부'!A2156),100)))=MOD(INT('월 가계부'!A2156/100),100),DATE(INT('월 가계부'!A2156/10000),MOD(INT('월 가계부'!A2156/100),100),MOD(INT('월 가계부'!A2156),100)),""),""),IF(AND('월 가계부'!A2156&gt;=36526,'월 가계부'!A2156&lt;73051),INT('월 가계부'!A2156),"")),IF(OR(CM2156="",CN2156="",CO2156=""),"",IF(AND(CM2156&gt;=2000,CM2156&lt;=2099,CN2156&gt;=1,CN2156&lt;=12,CO2156&gt;=1,CO2156&lt;=31),IF(MONTH(DATE(CM2156,CN2156,CO2156))=CN2156,DATE(CM2156,CN2156,CO2156),""),"")))),"")</f>
        <v/>
      </c>
      <c r="CJ2156">
        <f>IFERROR(IF('월 가계부'!C2156="","",IF(ISNUMBER('월 가계부'!C2156),'월 가계부'!C2156,VALUE(SUBSTITUTE(SUBSTITUTE(SUBSTITUTE(SUBSTITUTE(TRIM('월 가계부'!C2156),",",""),"원","")," ",""),"−","-")))),"")</f>
        <v/>
      </c>
      <c r="CK2156">
        <f>IF(ISNUMBER(CI2156),IF(CI2156&lt;$B$13,CI2156,""),"")</f>
        <v/>
      </c>
      <c r="CM2156">
        <f>IF(CH2156="","",IFERROR(IF(IF(AND(LEN(CH2156)=9,ISERROR(FIND("-",LEFT(CH2156,8))),ISNUMBER(-LEFT(CH2156,8))),VALUE(LEFT(CH2156,4)),VALUE(LEFT(CH2156,FIND("-",CH2156)-1)))&lt;100,IF(AND(LEN(CH2156)=9,ISERROR(FIND("-",LEFT(CH2156,8))),ISNUMBER(-LEFT(CH2156,8))),VALUE(LEFT(CH2156,4)),VALUE(LEFT(CH2156,FIND("-",CH2156)-1)))+2000,IF(AND(LEN(CH2156)=9,ISERROR(FIND("-",LEFT(CH2156,8))),ISNUMBER(-LEFT(CH2156,8))),VALUE(LEFT(CH2156,4)),VALUE(LEFT(CH2156,FIND("-",CH2156)-1)))),""))</f>
        <v/>
      </c>
      <c r="CN2156">
        <f>IF(CH2156="","",IFERROR(IF(AND(LEN(CH2156)=9,ISERROR(FIND("-",LEFT(CH2156,8))),ISNUMBER(-LEFT(CH2156,8))),VALUE(MID(CH2156,5,2)),VALUE(MID(CH2156,FIND("-",CH2156)+1,FIND("-",CH2156,FIND("-",CH2156)+1)-FIND("-",CH2156)-1))),""))</f>
        <v/>
      </c>
      <c r="CO2156">
        <f>IF(CH2156="","",IFERROR(IF(AND(LEN(CH2156)=9,ISERROR(FIND("-",LEFT(CH2156,8))),ISNUMBER(-LEFT(CH2156,8))),VALUE(MID(CH2156,7,2)),VALUE(MID(CH2156,FIND("-",CH2156,FIND("-",CH2156)+1)+1,FIND("-",CH2156,FIND("-",CH2156,FIND("-",CH2156)+1)+1)-FIND("-",CH2156,FIND("-",CH2156)+1)-1))),""))</f>
        <v/>
      </c>
    </row>
    <row r="2157">
      <c r="CH2157">
        <f>IF(ISTEXT('월 가계부'!A2157),SUBSTITUTE(SUBSTITUTE(SUBSTITUTE(SUBSTITUTE(SUBSTITUTE(SUBSTITUTE(SUBSTITUTE(SUBSTITUTE(SUBSTITUTE(TRIM('월 가계부'!A2157),"년","-"),"월","-"),"일",""),".","-"),"/","-")," ","-"),"--","-"),"--","-"),"--","-")&amp;"-","")</f>
        <v/>
      </c>
      <c r="CI2157">
        <f>IFERROR(IF('월 가계부'!A2157="","",IF(ISNUMBER('월 가계부'!A2157),IF(AND('월 가계부'!A2157&gt;=19000101,'월 가계부'!A2157&lt;=21001231),IF(AND(MOD(INT('월 가계부'!A2157/100),100)&gt;=1,MOD(INT('월 가계부'!A2157/100),100)&lt;=12,MOD(INT('월 가계부'!A2157),100)&gt;=1,MOD(INT('월 가계부'!A2157),100)&lt;=31),IF(MONTH(DATE(INT('월 가계부'!A2157/10000),MOD(INT('월 가계부'!A2157/100),100),MOD(INT('월 가계부'!A2157),100)))=MOD(INT('월 가계부'!A2157/100),100),DATE(INT('월 가계부'!A2157/10000),MOD(INT('월 가계부'!A2157/100),100),MOD(INT('월 가계부'!A2157),100)),""),""),IF(AND('월 가계부'!A2157&gt;=36526,'월 가계부'!A2157&lt;73051),INT('월 가계부'!A2157),"")),IF(OR(CM2157="",CN2157="",CO2157=""),"",IF(AND(CM2157&gt;=2000,CM2157&lt;=2099,CN2157&gt;=1,CN2157&lt;=12,CO2157&gt;=1,CO2157&lt;=31),IF(MONTH(DATE(CM2157,CN2157,CO2157))=CN2157,DATE(CM2157,CN2157,CO2157),""),"")))),"")</f>
        <v/>
      </c>
      <c r="CJ2157">
        <f>IFERROR(IF('월 가계부'!C2157="","",IF(ISNUMBER('월 가계부'!C2157),'월 가계부'!C2157,VALUE(SUBSTITUTE(SUBSTITUTE(SUBSTITUTE(SUBSTITUTE(TRIM('월 가계부'!C2157),",",""),"원","")," ",""),"−","-")))),"")</f>
        <v/>
      </c>
      <c r="CK2157">
        <f>IF(ISNUMBER(CI2157),IF(CI2157&lt;$B$13,CI2157,""),"")</f>
        <v/>
      </c>
      <c r="CM2157">
        <f>IF(CH2157="","",IFERROR(IF(IF(AND(LEN(CH2157)=9,ISERROR(FIND("-",LEFT(CH2157,8))),ISNUMBER(-LEFT(CH2157,8))),VALUE(LEFT(CH2157,4)),VALUE(LEFT(CH2157,FIND("-",CH2157)-1)))&lt;100,IF(AND(LEN(CH2157)=9,ISERROR(FIND("-",LEFT(CH2157,8))),ISNUMBER(-LEFT(CH2157,8))),VALUE(LEFT(CH2157,4)),VALUE(LEFT(CH2157,FIND("-",CH2157)-1)))+2000,IF(AND(LEN(CH2157)=9,ISERROR(FIND("-",LEFT(CH2157,8))),ISNUMBER(-LEFT(CH2157,8))),VALUE(LEFT(CH2157,4)),VALUE(LEFT(CH2157,FIND("-",CH2157)-1)))),""))</f>
        <v/>
      </c>
      <c r="CN2157">
        <f>IF(CH2157="","",IFERROR(IF(AND(LEN(CH2157)=9,ISERROR(FIND("-",LEFT(CH2157,8))),ISNUMBER(-LEFT(CH2157,8))),VALUE(MID(CH2157,5,2)),VALUE(MID(CH2157,FIND("-",CH2157)+1,FIND("-",CH2157,FIND("-",CH2157)+1)-FIND("-",CH2157)-1))),""))</f>
        <v/>
      </c>
      <c r="CO2157">
        <f>IF(CH2157="","",IFERROR(IF(AND(LEN(CH2157)=9,ISERROR(FIND("-",LEFT(CH2157,8))),ISNUMBER(-LEFT(CH2157,8))),VALUE(MID(CH2157,7,2)),VALUE(MID(CH2157,FIND("-",CH2157,FIND("-",CH2157)+1)+1,FIND("-",CH2157,FIND("-",CH2157,FIND("-",CH2157)+1)+1)-FIND("-",CH2157,FIND("-",CH2157)+1)-1))),""))</f>
        <v/>
      </c>
    </row>
    <row r="2158">
      <c r="CH2158">
        <f>IF(ISTEXT('월 가계부'!A2158),SUBSTITUTE(SUBSTITUTE(SUBSTITUTE(SUBSTITUTE(SUBSTITUTE(SUBSTITUTE(SUBSTITUTE(SUBSTITUTE(SUBSTITUTE(TRIM('월 가계부'!A2158),"년","-"),"월","-"),"일",""),".","-"),"/","-")," ","-"),"--","-"),"--","-"),"--","-")&amp;"-","")</f>
        <v/>
      </c>
      <c r="CI2158">
        <f>IFERROR(IF('월 가계부'!A2158="","",IF(ISNUMBER('월 가계부'!A2158),IF(AND('월 가계부'!A2158&gt;=19000101,'월 가계부'!A2158&lt;=21001231),IF(AND(MOD(INT('월 가계부'!A2158/100),100)&gt;=1,MOD(INT('월 가계부'!A2158/100),100)&lt;=12,MOD(INT('월 가계부'!A2158),100)&gt;=1,MOD(INT('월 가계부'!A2158),100)&lt;=31),IF(MONTH(DATE(INT('월 가계부'!A2158/10000),MOD(INT('월 가계부'!A2158/100),100),MOD(INT('월 가계부'!A2158),100)))=MOD(INT('월 가계부'!A2158/100),100),DATE(INT('월 가계부'!A2158/10000),MOD(INT('월 가계부'!A2158/100),100),MOD(INT('월 가계부'!A2158),100)),""),""),IF(AND('월 가계부'!A2158&gt;=36526,'월 가계부'!A2158&lt;73051),INT('월 가계부'!A2158),"")),IF(OR(CM2158="",CN2158="",CO2158=""),"",IF(AND(CM2158&gt;=2000,CM2158&lt;=2099,CN2158&gt;=1,CN2158&lt;=12,CO2158&gt;=1,CO2158&lt;=31),IF(MONTH(DATE(CM2158,CN2158,CO2158))=CN2158,DATE(CM2158,CN2158,CO2158),""),"")))),"")</f>
        <v/>
      </c>
      <c r="CJ2158">
        <f>IFERROR(IF('월 가계부'!C2158="","",IF(ISNUMBER('월 가계부'!C2158),'월 가계부'!C2158,VALUE(SUBSTITUTE(SUBSTITUTE(SUBSTITUTE(SUBSTITUTE(TRIM('월 가계부'!C2158),",",""),"원","")," ",""),"−","-")))),"")</f>
        <v/>
      </c>
      <c r="CK2158">
        <f>IF(ISNUMBER(CI2158),IF(CI2158&lt;$B$13,CI2158,""),"")</f>
        <v/>
      </c>
      <c r="CM2158">
        <f>IF(CH2158="","",IFERROR(IF(IF(AND(LEN(CH2158)=9,ISERROR(FIND("-",LEFT(CH2158,8))),ISNUMBER(-LEFT(CH2158,8))),VALUE(LEFT(CH2158,4)),VALUE(LEFT(CH2158,FIND("-",CH2158)-1)))&lt;100,IF(AND(LEN(CH2158)=9,ISERROR(FIND("-",LEFT(CH2158,8))),ISNUMBER(-LEFT(CH2158,8))),VALUE(LEFT(CH2158,4)),VALUE(LEFT(CH2158,FIND("-",CH2158)-1)))+2000,IF(AND(LEN(CH2158)=9,ISERROR(FIND("-",LEFT(CH2158,8))),ISNUMBER(-LEFT(CH2158,8))),VALUE(LEFT(CH2158,4)),VALUE(LEFT(CH2158,FIND("-",CH2158)-1)))),""))</f>
        <v/>
      </c>
      <c r="CN2158">
        <f>IF(CH2158="","",IFERROR(IF(AND(LEN(CH2158)=9,ISERROR(FIND("-",LEFT(CH2158,8))),ISNUMBER(-LEFT(CH2158,8))),VALUE(MID(CH2158,5,2)),VALUE(MID(CH2158,FIND("-",CH2158)+1,FIND("-",CH2158,FIND("-",CH2158)+1)-FIND("-",CH2158)-1))),""))</f>
        <v/>
      </c>
      <c r="CO2158">
        <f>IF(CH2158="","",IFERROR(IF(AND(LEN(CH2158)=9,ISERROR(FIND("-",LEFT(CH2158,8))),ISNUMBER(-LEFT(CH2158,8))),VALUE(MID(CH2158,7,2)),VALUE(MID(CH2158,FIND("-",CH2158,FIND("-",CH2158)+1)+1,FIND("-",CH2158,FIND("-",CH2158,FIND("-",CH2158)+1)+1)-FIND("-",CH2158,FIND("-",CH2158)+1)-1))),""))</f>
        <v/>
      </c>
    </row>
    <row r="2159">
      <c r="CH2159">
        <f>IF(ISTEXT('월 가계부'!A2159),SUBSTITUTE(SUBSTITUTE(SUBSTITUTE(SUBSTITUTE(SUBSTITUTE(SUBSTITUTE(SUBSTITUTE(SUBSTITUTE(SUBSTITUTE(TRIM('월 가계부'!A2159),"년","-"),"월","-"),"일",""),".","-"),"/","-")," ","-"),"--","-"),"--","-"),"--","-")&amp;"-","")</f>
        <v/>
      </c>
      <c r="CI2159">
        <f>IFERROR(IF('월 가계부'!A2159="","",IF(ISNUMBER('월 가계부'!A2159),IF(AND('월 가계부'!A2159&gt;=19000101,'월 가계부'!A2159&lt;=21001231),IF(AND(MOD(INT('월 가계부'!A2159/100),100)&gt;=1,MOD(INT('월 가계부'!A2159/100),100)&lt;=12,MOD(INT('월 가계부'!A2159),100)&gt;=1,MOD(INT('월 가계부'!A2159),100)&lt;=31),IF(MONTH(DATE(INT('월 가계부'!A2159/10000),MOD(INT('월 가계부'!A2159/100),100),MOD(INT('월 가계부'!A2159),100)))=MOD(INT('월 가계부'!A2159/100),100),DATE(INT('월 가계부'!A2159/10000),MOD(INT('월 가계부'!A2159/100),100),MOD(INT('월 가계부'!A2159),100)),""),""),IF(AND('월 가계부'!A2159&gt;=36526,'월 가계부'!A2159&lt;73051),INT('월 가계부'!A2159),"")),IF(OR(CM2159="",CN2159="",CO2159=""),"",IF(AND(CM2159&gt;=2000,CM2159&lt;=2099,CN2159&gt;=1,CN2159&lt;=12,CO2159&gt;=1,CO2159&lt;=31),IF(MONTH(DATE(CM2159,CN2159,CO2159))=CN2159,DATE(CM2159,CN2159,CO2159),""),"")))),"")</f>
        <v/>
      </c>
      <c r="CJ2159">
        <f>IFERROR(IF('월 가계부'!C2159="","",IF(ISNUMBER('월 가계부'!C2159),'월 가계부'!C2159,VALUE(SUBSTITUTE(SUBSTITUTE(SUBSTITUTE(SUBSTITUTE(TRIM('월 가계부'!C2159),",",""),"원","")," ",""),"−","-")))),"")</f>
        <v/>
      </c>
      <c r="CK2159">
        <f>IF(ISNUMBER(CI2159),IF(CI2159&lt;$B$13,CI2159,""),"")</f>
        <v/>
      </c>
      <c r="CM2159">
        <f>IF(CH2159="","",IFERROR(IF(IF(AND(LEN(CH2159)=9,ISERROR(FIND("-",LEFT(CH2159,8))),ISNUMBER(-LEFT(CH2159,8))),VALUE(LEFT(CH2159,4)),VALUE(LEFT(CH2159,FIND("-",CH2159)-1)))&lt;100,IF(AND(LEN(CH2159)=9,ISERROR(FIND("-",LEFT(CH2159,8))),ISNUMBER(-LEFT(CH2159,8))),VALUE(LEFT(CH2159,4)),VALUE(LEFT(CH2159,FIND("-",CH2159)-1)))+2000,IF(AND(LEN(CH2159)=9,ISERROR(FIND("-",LEFT(CH2159,8))),ISNUMBER(-LEFT(CH2159,8))),VALUE(LEFT(CH2159,4)),VALUE(LEFT(CH2159,FIND("-",CH2159)-1)))),""))</f>
        <v/>
      </c>
      <c r="CN2159">
        <f>IF(CH2159="","",IFERROR(IF(AND(LEN(CH2159)=9,ISERROR(FIND("-",LEFT(CH2159,8))),ISNUMBER(-LEFT(CH2159,8))),VALUE(MID(CH2159,5,2)),VALUE(MID(CH2159,FIND("-",CH2159)+1,FIND("-",CH2159,FIND("-",CH2159)+1)-FIND("-",CH2159)-1))),""))</f>
        <v/>
      </c>
      <c r="CO2159">
        <f>IF(CH2159="","",IFERROR(IF(AND(LEN(CH2159)=9,ISERROR(FIND("-",LEFT(CH2159,8))),ISNUMBER(-LEFT(CH2159,8))),VALUE(MID(CH2159,7,2)),VALUE(MID(CH2159,FIND("-",CH2159,FIND("-",CH2159)+1)+1,FIND("-",CH2159,FIND("-",CH2159,FIND("-",CH2159)+1)+1)-FIND("-",CH2159,FIND("-",CH2159)+1)-1))),""))</f>
        <v/>
      </c>
    </row>
    <row r="2160">
      <c r="CH2160">
        <f>IF(ISTEXT('월 가계부'!A2160),SUBSTITUTE(SUBSTITUTE(SUBSTITUTE(SUBSTITUTE(SUBSTITUTE(SUBSTITUTE(SUBSTITUTE(SUBSTITUTE(SUBSTITUTE(TRIM('월 가계부'!A2160),"년","-"),"월","-"),"일",""),".","-"),"/","-")," ","-"),"--","-"),"--","-"),"--","-")&amp;"-","")</f>
        <v/>
      </c>
      <c r="CI2160">
        <f>IFERROR(IF('월 가계부'!A2160="","",IF(ISNUMBER('월 가계부'!A2160),IF(AND('월 가계부'!A2160&gt;=19000101,'월 가계부'!A2160&lt;=21001231),IF(AND(MOD(INT('월 가계부'!A2160/100),100)&gt;=1,MOD(INT('월 가계부'!A2160/100),100)&lt;=12,MOD(INT('월 가계부'!A2160),100)&gt;=1,MOD(INT('월 가계부'!A2160),100)&lt;=31),IF(MONTH(DATE(INT('월 가계부'!A2160/10000),MOD(INT('월 가계부'!A2160/100),100),MOD(INT('월 가계부'!A2160),100)))=MOD(INT('월 가계부'!A2160/100),100),DATE(INT('월 가계부'!A2160/10000),MOD(INT('월 가계부'!A2160/100),100),MOD(INT('월 가계부'!A2160),100)),""),""),IF(AND('월 가계부'!A2160&gt;=36526,'월 가계부'!A2160&lt;73051),INT('월 가계부'!A2160),"")),IF(OR(CM2160="",CN2160="",CO2160=""),"",IF(AND(CM2160&gt;=2000,CM2160&lt;=2099,CN2160&gt;=1,CN2160&lt;=12,CO2160&gt;=1,CO2160&lt;=31),IF(MONTH(DATE(CM2160,CN2160,CO2160))=CN2160,DATE(CM2160,CN2160,CO2160),""),"")))),"")</f>
        <v/>
      </c>
      <c r="CJ2160">
        <f>IFERROR(IF('월 가계부'!C2160="","",IF(ISNUMBER('월 가계부'!C2160),'월 가계부'!C2160,VALUE(SUBSTITUTE(SUBSTITUTE(SUBSTITUTE(SUBSTITUTE(TRIM('월 가계부'!C2160),",",""),"원","")," ",""),"−","-")))),"")</f>
        <v/>
      </c>
      <c r="CK2160">
        <f>IF(ISNUMBER(CI2160),IF(CI2160&lt;$B$13,CI2160,""),"")</f>
        <v/>
      </c>
      <c r="CM2160">
        <f>IF(CH2160="","",IFERROR(IF(IF(AND(LEN(CH2160)=9,ISERROR(FIND("-",LEFT(CH2160,8))),ISNUMBER(-LEFT(CH2160,8))),VALUE(LEFT(CH2160,4)),VALUE(LEFT(CH2160,FIND("-",CH2160)-1)))&lt;100,IF(AND(LEN(CH2160)=9,ISERROR(FIND("-",LEFT(CH2160,8))),ISNUMBER(-LEFT(CH2160,8))),VALUE(LEFT(CH2160,4)),VALUE(LEFT(CH2160,FIND("-",CH2160)-1)))+2000,IF(AND(LEN(CH2160)=9,ISERROR(FIND("-",LEFT(CH2160,8))),ISNUMBER(-LEFT(CH2160,8))),VALUE(LEFT(CH2160,4)),VALUE(LEFT(CH2160,FIND("-",CH2160)-1)))),""))</f>
        <v/>
      </c>
      <c r="CN2160">
        <f>IF(CH2160="","",IFERROR(IF(AND(LEN(CH2160)=9,ISERROR(FIND("-",LEFT(CH2160,8))),ISNUMBER(-LEFT(CH2160,8))),VALUE(MID(CH2160,5,2)),VALUE(MID(CH2160,FIND("-",CH2160)+1,FIND("-",CH2160,FIND("-",CH2160)+1)-FIND("-",CH2160)-1))),""))</f>
        <v/>
      </c>
      <c r="CO2160">
        <f>IF(CH2160="","",IFERROR(IF(AND(LEN(CH2160)=9,ISERROR(FIND("-",LEFT(CH2160,8))),ISNUMBER(-LEFT(CH2160,8))),VALUE(MID(CH2160,7,2)),VALUE(MID(CH2160,FIND("-",CH2160,FIND("-",CH2160)+1)+1,FIND("-",CH2160,FIND("-",CH2160,FIND("-",CH2160)+1)+1)-FIND("-",CH2160,FIND("-",CH2160)+1)-1))),""))</f>
        <v/>
      </c>
    </row>
    <row r="2161">
      <c r="CH2161">
        <f>IF(ISTEXT('월 가계부'!A2161),SUBSTITUTE(SUBSTITUTE(SUBSTITUTE(SUBSTITUTE(SUBSTITUTE(SUBSTITUTE(SUBSTITUTE(SUBSTITUTE(SUBSTITUTE(TRIM('월 가계부'!A2161),"년","-"),"월","-"),"일",""),".","-"),"/","-")," ","-"),"--","-"),"--","-"),"--","-")&amp;"-","")</f>
        <v/>
      </c>
      <c r="CI2161">
        <f>IFERROR(IF('월 가계부'!A2161="","",IF(ISNUMBER('월 가계부'!A2161),IF(AND('월 가계부'!A2161&gt;=19000101,'월 가계부'!A2161&lt;=21001231),IF(AND(MOD(INT('월 가계부'!A2161/100),100)&gt;=1,MOD(INT('월 가계부'!A2161/100),100)&lt;=12,MOD(INT('월 가계부'!A2161),100)&gt;=1,MOD(INT('월 가계부'!A2161),100)&lt;=31),IF(MONTH(DATE(INT('월 가계부'!A2161/10000),MOD(INT('월 가계부'!A2161/100),100),MOD(INT('월 가계부'!A2161),100)))=MOD(INT('월 가계부'!A2161/100),100),DATE(INT('월 가계부'!A2161/10000),MOD(INT('월 가계부'!A2161/100),100),MOD(INT('월 가계부'!A2161),100)),""),""),IF(AND('월 가계부'!A2161&gt;=36526,'월 가계부'!A2161&lt;73051),INT('월 가계부'!A2161),"")),IF(OR(CM2161="",CN2161="",CO2161=""),"",IF(AND(CM2161&gt;=2000,CM2161&lt;=2099,CN2161&gt;=1,CN2161&lt;=12,CO2161&gt;=1,CO2161&lt;=31),IF(MONTH(DATE(CM2161,CN2161,CO2161))=CN2161,DATE(CM2161,CN2161,CO2161),""),"")))),"")</f>
        <v/>
      </c>
      <c r="CJ2161">
        <f>IFERROR(IF('월 가계부'!C2161="","",IF(ISNUMBER('월 가계부'!C2161),'월 가계부'!C2161,VALUE(SUBSTITUTE(SUBSTITUTE(SUBSTITUTE(SUBSTITUTE(TRIM('월 가계부'!C2161),",",""),"원","")," ",""),"−","-")))),"")</f>
        <v/>
      </c>
      <c r="CK2161">
        <f>IF(ISNUMBER(CI2161),IF(CI2161&lt;$B$13,CI2161,""),"")</f>
        <v/>
      </c>
      <c r="CM2161">
        <f>IF(CH2161="","",IFERROR(IF(IF(AND(LEN(CH2161)=9,ISERROR(FIND("-",LEFT(CH2161,8))),ISNUMBER(-LEFT(CH2161,8))),VALUE(LEFT(CH2161,4)),VALUE(LEFT(CH2161,FIND("-",CH2161)-1)))&lt;100,IF(AND(LEN(CH2161)=9,ISERROR(FIND("-",LEFT(CH2161,8))),ISNUMBER(-LEFT(CH2161,8))),VALUE(LEFT(CH2161,4)),VALUE(LEFT(CH2161,FIND("-",CH2161)-1)))+2000,IF(AND(LEN(CH2161)=9,ISERROR(FIND("-",LEFT(CH2161,8))),ISNUMBER(-LEFT(CH2161,8))),VALUE(LEFT(CH2161,4)),VALUE(LEFT(CH2161,FIND("-",CH2161)-1)))),""))</f>
        <v/>
      </c>
      <c r="CN2161">
        <f>IF(CH2161="","",IFERROR(IF(AND(LEN(CH2161)=9,ISERROR(FIND("-",LEFT(CH2161,8))),ISNUMBER(-LEFT(CH2161,8))),VALUE(MID(CH2161,5,2)),VALUE(MID(CH2161,FIND("-",CH2161)+1,FIND("-",CH2161,FIND("-",CH2161)+1)-FIND("-",CH2161)-1))),""))</f>
        <v/>
      </c>
      <c r="CO2161">
        <f>IF(CH2161="","",IFERROR(IF(AND(LEN(CH2161)=9,ISERROR(FIND("-",LEFT(CH2161,8))),ISNUMBER(-LEFT(CH2161,8))),VALUE(MID(CH2161,7,2)),VALUE(MID(CH2161,FIND("-",CH2161,FIND("-",CH2161)+1)+1,FIND("-",CH2161,FIND("-",CH2161,FIND("-",CH2161)+1)+1)-FIND("-",CH2161,FIND("-",CH2161)+1)-1))),""))</f>
        <v/>
      </c>
    </row>
    <row r="2162">
      <c r="CH2162">
        <f>IF(ISTEXT('월 가계부'!A2162),SUBSTITUTE(SUBSTITUTE(SUBSTITUTE(SUBSTITUTE(SUBSTITUTE(SUBSTITUTE(SUBSTITUTE(SUBSTITUTE(SUBSTITUTE(TRIM('월 가계부'!A2162),"년","-"),"월","-"),"일",""),".","-"),"/","-")," ","-"),"--","-"),"--","-"),"--","-")&amp;"-","")</f>
        <v/>
      </c>
      <c r="CI2162">
        <f>IFERROR(IF('월 가계부'!A2162="","",IF(ISNUMBER('월 가계부'!A2162),IF(AND('월 가계부'!A2162&gt;=19000101,'월 가계부'!A2162&lt;=21001231),IF(AND(MOD(INT('월 가계부'!A2162/100),100)&gt;=1,MOD(INT('월 가계부'!A2162/100),100)&lt;=12,MOD(INT('월 가계부'!A2162),100)&gt;=1,MOD(INT('월 가계부'!A2162),100)&lt;=31),IF(MONTH(DATE(INT('월 가계부'!A2162/10000),MOD(INT('월 가계부'!A2162/100),100),MOD(INT('월 가계부'!A2162),100)))=MOD(INT('월 가계부'!A2162/100),100),DATE(INT('월 가계부'!A2162/10000),MOD(INT('월 가계부'!A2162/100),100),MOD(INT('월 가계부'!A2162),100)),""),""),IF(AND('월 가계부'!A2162&gt;=36526,'월 가계부'!A2162&lt;73051),INT('월 가계부'!A2162),"")),IF(OR(CM2162="",CN2162="",CO2162=""),"",IF(AND(CM2162&gt;=2000,CM2162&lt;=2099,CN2162&gt;=1,CN2162&lt;=12,CO2162&gt;=1,CO2162&lt;=31),IF(MONTH(DATE(CM2162,CN2162,CO2162))=CN2162,DATE(CM2162,CN2162,CO2162),""),"")))),"")</f>
        <v/>
      </c>
      <c r="CJ2162">
        <f>IFERROR(IF('월 가계부'!C2162="","",IF(ISNUMBER('월 가계부'!C2162),'월 가계부'!C2162,VALUE(SUBSTITUTE(SUBSTITUTE(SUBSTITUTE(SUBSTITUTE(TRIM('월 가계부'!C2162),",",""),"원","")," ",""),"−","-")))),"")</f>
        <v/>
      </c>
      <c r="CK2162">
        <f>IF(ISNUMBER(CI2162),IF(CI2162&lt;$B$13,CI2162,""),"")</f>
        <v/>
      </c>
      <c r="CM2162">
        <f>IF(CH2162="","",IFERROR(IF(IF(AND(LEN(CH2162)=9,ISERROR(FIND("-",LEFT(CH2162,8))),ISNUMBER(-LEFT(CH2162,8))),VALUE(LEFT(CH2162,4)),VALUE(LEFT(CH2162,FIND("-",CH2162)-1)))&lt;100,IF(AND(LEN(CH2162)=9,ISERROR(FIND("-",LEFT(CH2162,8))),ISNUMBER(-LEFT(CH2162,8))),VALUE(LEFT(CH2162,4)),VALUE(LEFT(CH2162,FIND("-",CH2162)-1)))+2000,IF(AND(LEN(CH2162)=9,ISERROR(FIND("-",LEFT(CH2162,8))),ISNUMBER(-LEFT(CH2162,8))),VALUE(LEFT(CH2162,4)),VALUE(LEFT(CH2162,FIND("-",CH2162)-1)))),""))</f>
        <v/>
      </c>
      <c r="CN2162">
        <f>IF(CH2162="","",IFERROR(IF(AND(LEN(CH2162)=9,ISERROR(FIND("-",LEFT(CH2162,8))),ISNUMBER(-LEFT(CH2162,8))),VALUE(MID(CH2162,5,2)),VALUE(MID(CH2162,FIND("-",CH2162)+1,FIND("-",CH2162,FIND("-",CH2162)+1)-FIND("-",CH2162)-1))),""))</f>
        <v/>
      </c>
      <c r="CO2162">
        <f>IF(CH2162="","",IFERROR(IF(AND(LEN(CH2162)=9,ISERROR(FIND("-",LEFT(CH2162,8))),ISNUMBER(-LEFT(CH2162,8))),VALUE(MID(CH2162,7,2)),VALUE(MID(CH2162,FIND("-",CH2162,FIND("-",CH2162)+1)+1,FIND("-",CH2162,FIND("-",CH2162,FIND("-",CH2162)+1)+1)-FIND("-",CH2162,FIND("-",CH2162)+1)-1))),""))</f>
        <v/>
      </c>
    </row>
    <row r="2163">
      <c r="CH2163">
        <f>IF(ISTEXT('월 가계부'!A2163),SUBSTITUTE(SUBSTITUTE(SUBSTITUTE(SUBSTITUTE(SUBSTITUTE(SUBSTITUTE(SUBSTITUTE(SUBSTITUTE(SUBSTITUTE(TRIM('월 가계부'!A2163),"년","-"),"월","-"),"일",""),".","-"),"/","-")," ","-"),"--","-"),"--","-"),"--","-")&amp;"-","")</f>
        <v/>
      </c>
      <c r="CI2163">
        <f>IFERROR(IF('월 가계부'!A2163="","",IF(ISNUMBER('월 가계부'!A2163),IF(AND('월 가계부'!A2163&gt;=19000101,'월 가계부'!A2163&lt;=21001231),IF(AND(MOD(INT('월 가계부'!A2163/100),100)&gt;=1,MOD(INT('월 가계부'!A2163/100),100)&lt;=12,MOD(INT('월 가계부'!A2163),100)&gt;=1,MOD(INT('월 가계부'!A2163),100)&lt;=31),IF(MONTH(DATE(INT('월 가계부'!A2163/10000),MOD(INT('월 가계부'!A2163/100),100),MOD(INT('월 가계부'!A2163),100)))=MOD(INT('월 가계부'!A2163/100),100),DATE(INT('월 가계부'!A2163/10000),MOD(INT('월 가계부'!A2163/100),100),MOD(INT('월 가계부'!A2163),100)),""),""),IF(AND('월 가계부'!A2163&gt;=36526,'월 가계부'!A2163&lt;73051),INT('월 가계부'!A2163),"")),IF(OR(CM2163="",CN2163="",CO2163=""),"",IF(AND(CM2163&gt;=2000,CM2163&lt;=2099,CN2163&gt;=1,CN2163&lt;=12,CO2163&gt;=1,CO2163&lt;=31),IF(MONTH(DATE(CM2163,CN2163,CO2163))=CN2163,DATE(CM2163,CN2163,CO2163),""),"")))),"")</f>
        <v/>
      </c>
      <c r="CJ2163">
        <f>IFERROR(IF('월 가계부'!C2163="","",IF(ISNUMBER('월 가계부'!C2163),'월 가계부'!C2163,VALUE(SUBSTITUTE(SUBSTITUTE(SUBSTITUTE(SUBSTITUTE(TRIM('월 가계부'!C2163),",",""),"원","")," ",""),"−","-")))),"")</f>
        <v/>
      </c>
      <c r="CK2163">
        <f>IF(ISNUMBER(CI2163),IF(CI2163&lt;$B$13,CI2163,""),"")</f>
        <v/>
      </c>
      <c r="CM2163">
        <f>IF(CH2163="","",IFERROR(IF(IF(AND(LEN(CH2163)=9,ISERROR(FIND("-",LEFT(CH2163,8))),ISNUMBER(-LEFT(CH2163,8))),VALUE(LEFT(CH2163,4)),VALUE(LEFT(CH2163,FIND("-",CH2163)-1)))&lt;100,IF(AND(LEN(CH2163)=9,ISERROR(FIND("-",LEFT(CH2163,8))),ISNUMBER(-LEFT(CH2163,8))),VALUE(LEFT(CH2163,4)),VALUE(LEFT(CH2163,FIND("-",CH2163)-1)))+2000,IF(AND(LEN(CH2163)=9,ISERROR(FIND("-",LEFT(CH2163,8))),ISNUMBER(-LEFT(CH2163,8))),VALUE(LEFT(CH2163,4)),VALUE(LEFT(CH2163,FIND("-",CH2163)-1)))),""))</f>
        <v/>
      </c>
      <c r="CN2163">
        <f>IF(CH2163="","",IFERROR(IF(AND(LEN(CH2163)=9,ISERROR(FIND("-",LEFT(CH2163,8))),ISNUMBER(-LEFT(CH2163,8))),VALUE(MID(CH2163,5,2)),VALUE(MID(CH2163,FIND("-",CH2163)+1,FIND("-",CH2163,FIND("-",CH2163)+1)-FIND("-",CH2163)-1))),""))</f>
        <v/>
      </c>
      <c r="CO2163">
        <f>IF(CH2163="","",IFERROR(IF(AND(LEN(CH2163)=9,ISERROR(FIND("-",LEFT(CH2163,8))),ISNUMBER(-LEFT(CH2163,8))),VALUE(MID(CH2163,7,2)),VALUE(MID(CH2163,FIND("-",CH2163,FIND("-",CH2163)+1)+1,FIND("-",CH2163,FIND("-",CH2163,FIND("-",CH2163)+1)+1)-FIND("-",CH2163,FIND("-",CH2163)+1)-1))),""))</f>
        <v/>
      </c>
    </row>
    <row r="2164">
      <c r="CH2164">
        <f>IF(ISTEXT('월 가계부'!A2164),SUBSTITUTE(SUBSTITUTE(SUBSTITUTE(SUBSTITUTE(SUBSTITUTE(SUBSTITUTE(SUBSTITUTE(SUBSTITUTE(SUBSTITUTE(TRIM('월 가계부'!A2164),"년","-"),"월","-"),"일",""),".","-"),"/","-")," ","-"),"--","-"),"--","-"),"--","-")&amp;"-","")</f>
        <v/>
      </c>
      <c r="CI2164">
        <f>IFERROR(IF('월 가계부'!A2164="","",IF(ISNUMBER('월 가계부'!A2164),IF(AND('월 가계부'!A2164&gt;=19000101,'월 가계부'!A2164&lt;=21001231),IF(AND(MOD(INT('월 가계부'!A2164/100),100)&gt;=1,MOD(INT('월 가계부'!A2164/100),100)&lt;=12,MOD(INT('월 가계부'!A2164),100)&gt;=1,MOD(INT('월 가계부'!A2164),100)&lt;=31),IF(MONTH(DATE(INT('월 가계부'!A2164/10000),MOD(INT('월 가계부'!A2164/100),100),MOD(INT('월 가계부'!A2164),100)))=MOD(INT('월 가계부'!A2164/100),100),DATE(INT('월 가계부'!A2164/10000),MOD(INT('월 가계부'!A2164/100),100),MOD(INT('월 가계부'!A2164),100)),""),""),IF(AND('월 가계부'!A2164&gt;=36526,'월 가계부'!A2164&lt;73051),INT('월 가계부'!A2164),"")),IF(OR(CM2164="",CN2164="",CO2164=""),"",IF(AND(CM2164&gt;=2000,CM2164&lt;=2099,CN2164&gt;=1,CN2164&lt;=12,CO2164&gt;=1,CO2164&lt;=31),IF(MONTH(DATE(CM2164,CN2164,CO2164))=CN2164,DATE(CM2164,CN2164,CO2164),""),"")))),"")</f>
        <v/>
      </c>
      <c r="CJ2164">
        <f>IFERROR(IF('월 가계부'!C2164="","",IF(ISNUMBER('월 가계부'!C2164),'월 가계부'!C2164,VALUE(SUBSTITUTE(SUBSTITUTE(SUBSTITUTE(SUBSTITUTE(TRIM('월 가계부'!C2164),",",""),"원","")," ",""),"−","-")))),"")</f>
        <v/>
      </c>
      <c r="CK2164">
        <f>IF(ISNUMBER(CI2164),IF(CI2164&lt;$B$13,CI2164,""),"")</f>
        <v/>
      </c>
      <c r="CM2164">
        <f>IF(CH2164="","",IFERROR(IF(IF(AND(LEN(CH2164)=9,ISERROR(FIND("-",LEFT(CH2164,8))),ISNUMBER(-LEFT(CH2164,8))),VALUE(LEFT(CH2164,4)),VALUE(LEFT(CH2164,FIND("-",CH2164)-1)))&lt;100,IF(AND(LEN(CH2164)=9,ISERROR(FIND("-",LEFT(CH2164,8))),ISNUMBER(-LEFT(CH2164,8))),VALUE(LEFT(CH2164,4)),VALUE(LEFT(CH2164,FIND("-",CH2164)-1)))+2000,IF(AND(LEN(CH2164)=9,ISERROR(FIND("-",LEFT(CH2164,8))),ISNUMBER(-LEFT(CH2164,8))),VALUE(LEFT(CH2164,4)),VALUE(LEFT(CH2164,FIND("-",CH2164)-1)))),""))</f>
        <v/>
      </c>
      <c r="CN2164">
        <f>IF(CH2164="","",IFERROR(IF(AND(LEN(CH2164)=9,ISERROR(FIND("-",LEFT(CH2164,8))),ISNUMBER(-LEFT(CH2164,8))),VALUE(MID(CH2164,5,2)),VALUE(MID(CH2164,FIND("-",CH2164)+1,FIND("-",CH2164,FIND("-",CH2164)+1)-FIND("-",CH2164)-1))),""))</f>
        <v/>
      </c>
      <c r="CO2164">
        <f>IF(CH2164="","",IFERROR(IF(AND(LEN(CH2164)=9,ISERROR(FIND("-",LEFT(CH2164,8))),ISNUMBER(-LEFT(CH2164,8))),VALUE(MID(CH2164,7,2)),VALUE(MID(CH2164,FIND("-",CH2164,FIND("-",CH2164)+1)+1,FIND("-",CH2164,FIND("-",CH2164,FIND("-",CH2164)+1)+1)-FIND("-",CH2164,FIND("-",CH2164)+1)-1))),""))</f>
        <v/>
      </c>
    </row>
    <row r="2165">
      <c r="CH2165">
        <f>IF(ISTEXT('월 가계부'!A2165),SUBSTITUTE(SUBSTITUTE(SUBSTITUTE(SUBSTITUTE(SUBSTITUTE(SUBSTITUTE(SUBSTITUTE(SUBSTITUTE(SUBSTITUTE(TRIM('월 가계부'!A2165),"년","-"),"월","-"),"일",""),".","-"),"/","-")," ","-"),"--","-"),"--","-"),"--","-")&amp;"-","")</f>
        <v/>
      </c>
      <c r="CI2165">
        <f>IFERROR(IF('월 가계부'!A2165="","",IF(ISNUMBER('월 가계부'!A2165),IF(AND('월 가계부'!A2165&gt;=19000101,'월 가계부'!A2165&lt;=21001231),IF(AND(MOD(INT('월 가계부'!A2165/100),100)&gt;=1,MOD(INT('월 가계부'!A2165/100),100)&lt;=12,MOD(INT('월 가계부'!A2165),100)&gt;=1,MOD(INT('월 가계부'!A2165),100)&lt;=31),IF(MONTH(DATE(INT('월 가계부'!A2165/10000),MOD(INT('월 가계부'!A2165/100),100),MOD(INT('월 가계부'!A2165),100)))=MOD(INT('월 가계부'!A2165/100),100),DATE(INT('월 가계부'!A2165/10000),MOD(INT('월 가계부'!A2165/100),100),MOD(INT('월 가계부'!A2165),100)),""),""),IF(AND('월 가계부'!A2165&gt;=36526,'월 가계부'!A2165&lt;73051),INT('월 가계부'!A2165),"")),IF(OR(CM2165="",CN2165="",CO2165=""),"",IF(AND(CM2165&gt;=2000,CM2165&lt;=2099,CN2165&gt;=1,CN2165&lt;=12,CO2165&gt;=1,CO2165&lt;=31),IF(MONTH(DATE(CM2165,CN2165,CO2165))=CN2165,DATE(CM2165,CN2165,CO2165),""),"")))),"")</f>
        <v/>
      </c>
      <c r="CJ2165">
        <f>IFERROR(IF('월 가계부'!C2165="","",IF(ISNUMBER('월 가계부'!C2165),'월 가계부'!C2165,VALUE(SUBSTITUTE(SUBSTITUTE(SUBSTITUTE(SUBSTITUTE(TRIM('월 가계부'!C2165),",",""),"원","")," ",""),"−","-")))),"")</f>
        <v/>
      </c>
      <c r="CK2165">
        <f>IF(ISNUMBER(CI2165),IF(CI2165&lt;$B$13,CI2165,""),"")</f>
        <v/>
      </c>
      <c r="CM2165">
        <f>IF(CH2165="","",IFERROR(IF(IF(AND(LEN(CH2165)=9,ISERROR(FIND("-",LEFT(CH2165,8))),ISNUMBER(-LEFT(CH2165,8))),VALUE(LEFT(CH2165,4)),VALUE(LEFT(CH2165,FIND("-",CH2165)-1)))&lt;100,IF(AND(LEN(CH2165)=9,ISERROR(FIND("-",LEFT(CH2165,8))),ISNUMBER(-LEFT(CH2165,8))),VALUE(LEFT(CH2165,4)),VALUE(LEFT(CH2165,FIND("-",CH2165)-1)))+2000,IF(AND(LEN(CH2165)=9,ISERROR(FIND("-",LEFT(CH2165,8))),ISNUMBER(-LEFT(CH2165,8))),VALUE(LEFT(CH2165,4)),VALUE(LEFT(CH2165,FIND("-",CH2165)-1)))),""))</f>
        <v/>
      </c>
      <c r="CN2165">
        <f>IF(CH2165="","",IFERROR(IF(AND(LEN(CH2165)=9,ISERROR(FIND("-",LEFT(CH2165,8))),ISNUMBER(-LEFT(CH2165,8))),VALUE(MID(CH2165,5,2)),VALUE(MID(CH2165,FIND("-",CH2165)+1,FIND("-",CH2165,FIND("-",CH2165)+1)-FIND("-",CH2165)-1))),""))</f>
        <v/>
      </c>
      <c r="CO2165">
        <f>IF(CH2165="","",IFERROR(IF(AND(LEN(CH2165)=9,ISERROR(FIND("-",LEFT(CH2165,8))),ISNUMBER(-LEFT(CH2165,8))),VALUE(MID(CH2165,7,2)),VALUE(MID(CH2165,FIND("-",CH2165,FIND("-",CH2165)+1)+1,FIND("-",CH2165,FIND("-",CH2165,FIND("-",CH2165)+1)+1)-FIND("-",CH2165,FIND("-",CH2165)+1)-1))),""))</f>
        <v/>
      </c>
    </row>
    <row r="2166">
      <c r="CH2166">
        <f>IF(ISTEXT('월 가계부'!A2166),SUBSTITUTE(SUBSTITUTE(SUBSTITUTE(SUBSTITUTE(SUBSTITUTE(SUBSTITUTE(SUBSTITUTE(SUBSTITUTE(SUBSTITUTE(TRIM('월 가계부'!A2166),"년","-"),"월","-"),"일",""),".","-"),"/","-")," ","-"),"--","-"),"--","-"),"--","-")&amp;"-","")</f>
        <v/>
      </c>
      <c r="CI2166">
        <f>IFERROR(IF('월 가계부'!A2166="","",IF(ISNUMBER('월 가계부'!A2166),IF(AND('월 가계부'!A2166&gt;=19000101,'월 가계부'!A2166&lt;=21001231),IF(AND(MOD(INT('월 가계부'!A2166/100),100)&gt;=1,MOD(INT('월 가계부'!A2166/100),100)&lt;=12,MOD(INT('월 가계부'!A2166),100)&gt;=1,MOD(INT('월 가계부'!A2166),100)&lt;=31),IF(MONTH(DATE(INT('월 가계부'!A2166/10000),MOD(INT('월 가계부'!A2166/100),100),MOD(INT('월 가계부'!A2166),100)))=MOD(INT('월 가계부'!A2166/100),100),DATE(INT('월 가계부'!A2166/10000),MOD(INT('월 가계부'!A2166/100),100),MOD(INT('월 가계부'!A2166),100)),""),""),IF(AND('월 가계부'!A2166&gt;=36526,'월 가계부'!A2166&lt;73051),INT('월 가계부'!A2166),"")),IF(OR(CM2166="",CN2166="",CO2166=""),"",IF(AND(CM2166&gt;=2000,CM2166&lt;=2099,CN2166&gt;=1,CN2166&lt;=12,CO2166&gt;=1,CO2166&lt;=31),IF(MONTH(DATE(CM2166,CN2166,CO2166))=CN2166,DATE(CM2166,CN2166,CO2166),""),"")))),"")</f>
        <v/>
      </c>
      <c r="CJ2166">
        <f>IFERROR(IF('월 가계부'!C2166="","",IF(ISNUMBER('월 가계부'!C2166),'월 가계부'!C2166,VALUE(SUBSTITUTE(SUBSTITUTE(SUBSTITUTE(SUBSTITUTE(TRIM('월 가계부'!C2166),",",""),"원","")," ",""),"−","-")))),"")</f>
        <v/>
      </c>
      <c r="CK2166">
        <f>IF(ISNUMBER(CI2166),IF(CI2166&lt;$B$13,CI2166,""),"")</f>
        <v/>
      </c>
      <c r="CM2166">
        <f>IF(CH2166="","",IFERROR(IF(IF(AND(LEN(CH2166)=9,ISERROR(FIND("-",LEFT(CH2166,8))),ISNUMBER(-LEFT(CH2166,8))),VALUE(LEFT(CH2166,4)),VALUE(LEFT(CH2166,FIND("-",CH2166)-1)))&lt;100,IF(AND(LEN(CH2166)=9,ISERROR(FIND("-",LEFT(CH2166,8))),ISNUMBER(-LEFT(CH2166,8))),VALUE(LEFT(CH2166,4)),VALUE(LEFT(CH2166,FIND("-",CH2166)-1)))+2000,IF(AND(LEN(CH2166)=9,ISERROR(FIND("-",LEFT(CH2166,8))),ISNUMBER(-LEFT(CH2166,8))),VALUE(LEFT(CH2166,4)),VALUE(LEFT(CH2166,FIND("-",CH2166)-1)))),""))</f>
        <v/>
      </c>
      <c r="CN2166">
        <f>IF(CH2166="","",IFERROR(IF(AND(LEN(CH2166)=9,ISERROR(FIND("-",LEFT(CH2166,8))),ISNUMBER(-LEFT(CH2166,8))),VALUE(MID(CH2166,5,2)),VALUE(MID(CH2166,FIND("-",CH2166)+1,FIND("-",CH2166,FIND("-",CH2166)+1)-FIND("-",CH2166)-1))),""))</f>
        <v/>
      </c>
      <c r="CO2166">
        <f>IF(CH2166="","",IFERROR(IF(AND(LEN(CH2166)=9,ISERROR(FIND("-",LEFT(CH2166,8))),ISNUMBER(-LEFT(CH2166,8))),VALUE(MID(CH2166,7,2)),VALUE(MID(CH2166,FIND("-",CH2166,FIND("-",CH2166)+1)+1,FIND("-",CH2166,FIND("-",CH2166,FIND("-",CH2166)+1)+1)-FIND("-",CH2166,FIND("-",CH2166)+1)-1))),""))</f>
        <v/>
      </c>
    </row>
    <row r="2167">
      <c r="CH2167">
        <f>IF(ISTEXT('월 가계부'!A2167),SUBSTITUTE(SUBSTITUTE(SUBSTITUTE(SUBSTITUTE(SUBSTITUTE(SUBSTITUTE(SUBSTITUTE(SUBSTITUTE(SUBSTITUTE(TRIM('월 가계부'!A2167),"년","-"),"월","-"),"일",""),".","-"),"/","-")," ","-"),"--","-"),"--","-"),"--","-")&amp;"-","")</f>
        <v/>
      </c>
      <c r="CI2167">
        <f>IFERROR(IF('월 가계부'!A2167="","",IF(ISNUMBER('월 가계부'!A2167),IF(AND('월 가계부'!A2167&gt;=19000101,'월 가계부'!A2167&lt;=21001231),IF(AND(MOD(INT('월 가계부'!A2167/100),100)&gt;=1,MOD(INT('월 가계부'!A2167/100),100)&lt;=12,MOD(INT('월 가계부'!A2167),100)&gt;=1,MOD(INT('월 가계부'!A2167),100)&lt;=31),IF(MONTH(DATE(INT('월 가계부'!A2167/10000),MOD(INT('월 가계부'!A2167/100),100),MOD(INT('월 가계부'!A2167),100)))=MOD(INT('월 가계부'!A2167/100),100),DATE(INT('월 가계부'!A2167/10000),MOD(INT('월 가계부'!A2167/100),100),MOD(INT('월 가계부'!A2167),100)),""),""),IF(AND('월 가계부'!A2167&gt;=36526,'월 가계부'!A2167&lt;73051),INT('월 가계부'!A2167),"")),IF(OR(CM2167="",CN2167="",CO2167=""),"",IF(AND(CM2167&gt;=2000,CM2167&lt;=2099,CN2167&gt;=1,CN2167&lt;=12,CO2167&gt;=1,CO2167&lt;=31),IF(MONTH(DATE(CM2167,CN2167,CO2167))=CN2167,DATE(CM2167,CN2167,CO2167),""),"")))),"")</f>
        <v/>
      </c>
      <c r="CJ2167">
        <f>IFERROR(IF('월 가계부'!C2167="","",IF(ISNUMBER('월 가계부'!C2167),'월 가계부'!C2167,VALUE(SUBSTITUTE(SUBSTITUTE(SUBSTITUTE(SUBSTITUTE(TRIM('월 가계부'!C2167),",",""),"원","")," ",""),"−","-")))),"")</f>
        <v/>
      </c>
      <c r="CK2167">
        <f>IF(ISNUMBER(CI2167),IF(CI2167&lt;$B$13,CI2167,""),"")</f>
        <v/>
      </c>
      <c r="CM2167">
        <f>IF(CH2167="","",IFERROR(IF(IF(AND(LEN(CH2167)=9,ISERROR(FIND("-",LEFT(CH2167,8))),ISNUMBER(-LEFT(CH2167,8))),VALUE(LEFT(CH2167,4)),VALUE(LEFT(CH2167,FIND("-",CH2167)-1)))&lt;100,IF(AND(LEN(CH2167)=9,ISERROR(FIND("-",LEFT(CH2167,8))),ISNUMBER(-LEFT(CH2167,8))),VALUE(LEFT(CH2167,4)),VALUE(LEFT(CH2167,FIND("-",CH2167)-1)))+2000,IF(AND(LEN(CH2167)=9,ISERROR(FIND("-",LEFT(CH2167,8))),ISNUMBER(-LEFT(CH2167,8))),VALUE(LEFT(CH2167,4)),VALUE(LEFT(CH2167,FIND("-",CH2167)-1)))),""))</f>
        <v/>
      </c>
      <c r="CN2167">
        <f>IF(CH2167="","",IFERROR(IF(AND(LEN(CH2167)=9,ISERROR(FIND("-",LEFT(CH2167,8))),ISNUMBER(-LEFT(CH2167,8))),VALUE(MID(CH2167,5,2)),VALUE(MID(CH2167,FIND("-",CH2167)+1,FIND("-",CH2167,FIND("-",CH2167)+1)-FIND("-",CH2167)-1))),""))</f>
        <v/>
      </c>
      <c r="CO2167">
        <f>IF(CH2167="","",IFERROR(IF(AND(LEN(CH2167)=9,ISERROR(FIND("-",LEFT(CH2167,8))),ISNUMBER(-LEFT(CH2167,8))),VALUE(MID(CH2167,7,2)),VALUE(MID(CH2167,FIND("-",CH2167,FIND("-",CH2167)+1)+1,FIND("-",CH2167,FIND("-",CH2167,FIND("-",CH2167)+1)+1)-FIND("-",CH2167,FIND("-",CH2167)+1)-1))),""))</f>
        <v/>
      </c>
    </row>
    <row r="2168">
      <c r="CH2168">
        <f>IF(ISTEXT('월 가계부'!A2168),SUBSTITUTE(SUBSTITUTE(SUBSTITUTE(SUBSTITUTE(SUBSTITUTE(SUBSTITUTE(SUBSTITUTE(SUBSTITUTE(SUBSTITUTE(TRIM('월 가계부'!A2168),"년","-"),"월","-"),"일",""),".","-"),"/","-")," ","-"),"--","-"),"--","-"),"--","-")&amp;"-","")</f>
        <v/>
      </c>
      <c r="CI2168">
        <f>IFERROR(IF('월 가계부'!A2168="","",IF(ISNUMBER('월 가계부'!A2168),IF(AND('월 가계부'!A2168&gt;=19000101,'월 가계부'!A2168&lt;=21001231),IF(AND(MOD(INT('월 가계부'!A2168/100),100)&gt;=1,MOD(INT('월 가계부'!A2168/100),100)&lt;=12,MOD(INT('월 가계부'!A2168),100)&gt;=1,MOD(INT('월 가계부'!A2168),100)&lt;=31),IF(MONTH(DATE(INT('월 가계부'!A2168/10000),MOD(INT('월 가계부'!A2168/100),100),MOD(INT('월 가계부'!A2168),100)))=MOD(INT('월 가계부'!A2168/100),100),DATE(INT('월 가계부'!A2168/10000),MOD(INT('월 가계부'!A2168/100),100),MOD(INT('월 가계부'!A2168),100)),""),""),IF(AND('월 가계부'!A2168&gt;=36526,'월 가계부'!A2168&lt;73051),INT('월 가계부'!A2168),"")),IF(OR(CM2168="",CN2168="",CO2168=""),"",IF(AND(CM2168&gt;=2000,CM2168&lt;=2099,CN2168&gt;=1,CN2168&lt;=12,CO2168&gt;=1,CO2168&lt;=31),IF(MONTH(DATE(CM2168,CN2168,CO2168))=CN2168,DATE(CM2168,CN2168,CO2168),""),"")))),"")</f>
        <v/>
      </c>
      <c r="CJ2168">
        <f>IFERROR(IF('월 가계부'!C2168="","",IF(ISNUMBER('월 가계부'!C2168),'월 가계부'!C2168,VALUE(SUBSTITUTE(SUBSTITUTE(SUBSTITUTE(SUBSTITUTE(TRIM('월 가계부'!C2168),",",""),"원","")," ",""),"−","-")))),"")</f>
        <v/>
      </c>
      <c r="CK2168">
        <f>IF(ISNUMBER(CI2168),IF(CI2168&lt;$B$13,CI2168,""),"")</f>
        <v/>
      </c>
      <c r="CM2168">
        <f>IF(CH2168="","",IFERROR(IF(IF(AND(LEN(CH2168)=9,ISERROR(FIND("-",LEFT(CH2168,8))),ISNUMBER(-LEFT(CH2168,8))),VALUE(LEFT(CH2168,4)),VALUE(LEFT(CH2168,FIND("-",CH2168)-1)))&lt;100,IF(AND(LEN(CH2168)=9,ISERROR(FIND("-",LEFT(CH2168,8))),ISNUMBER(-LEFT(CH2168,8))),VALUE(LEFT(CH2168,4)),VALUE(LEFT(CH2168,FIND("-",CH2168)-1)))+2000,IF(AND(LEN(CH2168)=9,ISERROR(FIND("-",LEFT(CH2168,8))),ISNUMBER(-LEFT(CH2168,8))),VALUE(LEFT(CH2168,4)),VALUE(LEFT(CH2168,FIND("-",CH2168)-1)))),""))</f>
        <v/>
      </c>
      <c r="CN2168">
        <f>IF(CH2168="","",IFERROR(IF(AND(LEN(CH2168)=9,ISERROR(FIND("-",LEFT(CH2168,8))),ISNUMBER(-LEFT(CH2168,8))),VALUE(MID(CH2168,5,2)),VALUE(MID(CH2168,FIND("-",CH2168)+1,FIND("-",CH2168,FIND("-",CH2168)+1)-FIND("-",CH2168)-1))),""))</f>
        <v/>
      </c>
      <c r="CO2168">
        <f>IF(CH2168="","",IFERROR(IF(AND(LEN(CH2168)=9,ISERROR(FIND("-",LEFT(CH2168,8))),ISNUMBER(-LEFT(CH2168,8))),VALUE(MID(CH2168,7,2)),VALUE(MID(CH2168,FIND("-",CH2168,FIND("-",CH2168)+1)+1,FIND("-",CH2168,FIND("-",CH2168,FIND("-",CH2168)+1)+1)-FIND("-",CH2168,FIND("-",CH2168)+1)-1))),""))</f>
        <v/>
      </c>
    </row>
    <row r="2169">
      <c r="CH2169">
        <f>IF(ISTEXT('월 가계부'!A2169),SUBSTITUTE(SUBSTITUTE(SUBSTITUTE(SUBSTITUTE(SUBSTITUTE(SUBSTITUTE(SUBSTITUTE(SUBSTITUTE(SUBSTITUTE(TRIM('월 가계부'!A2169),"년","-"),"월","-"),"일",""),".","-"),"/","-")," ","-"),"--","-"),"--","-"),"--","-")&amp;"-","")</f>
        <v/>
      </c>
      <c r="CI2169">
        <f>IFERROR(IF('월 가계부'!A2169="","",IF(ISNUMBER('월 가계부'!A2169),IF(AND('월 가계부'!A2169&gt;=19000101,'월 가계부'!A2169&lt;=21001231),IF(AND(MOD(INT('월 가계부'!A2169/100),100)&gt;=1,MOD(INT('월 가계부'!A2169/100),100)&lt;=12,MOD(INT('월 가계부'!A2169),100)&gt;=1,MOD(INT('월 가계부'!A2169),100)&lt;=31),IF(MONTH(DATE(INT('월 가계부'!A2169/10000),MOD(INT('월 가계부'!A2169/100),100),MOD(INT('월 가계부'!A2169),100)))=MOD(INT('월 가계부'!A2169/100),100),DATE(INT('월 가계부'!A2169/10000),MOD(INT('월 가계부'!A2169/100),100),MOD(INT('월 가계부'!A2169),100)),""),""),IF(AND('월 가계부'!A2169&gt;=36526,'월 가계부'!A2169&lt;73051),INT('월 가계부'!A2169),"")),IF(OR(CM2169="",CN2169="",CO2169=""),"",IF(AND(CM2169&gt;=2000,CM2169&lt;=2099,CN2169&gt;=1,CN2169&lt;=12,CO2169&gt;=1,CO2169&lt;=31),IF(MONTH(DATE(CM2169,CN2169,CO2169))=CN2169,DATE(CM2169,CN2169,CO2169),""),"")))),"")</f>
        <v/>
      </c>
      <c r="CJ2169">
        <f>IFERROR(IF('월 가계부'!C2169="","",IF(ISNUMBER('월 가계부'!C2169),'월 가계부'!C2169,VALUE(SUBSTITUTE(SUBSTITUTE(SUBSTITUTE(SUBSTITUTE(TRIM('월 가계부'!C2169),",",""),"원","")," ",""),"−","-")))),"")</f>
        <v/>
      </c>
      <c r="CK2169">
        <f>IF(ISNUMBER(CI2169),IF(CI2169&lt;$B$13,CI2169,""),"")</f>
        <v/>
      </c>
      <c r="CM2169">
        <f>IF(CH2169="","",IFERROR(IF(IF(AND(LEN(CH2169)=9,ISERROR(FIND("-",LEFT(CH2169,8))),ISNUMBER(-LEFT(CH2169,8))),VALUE(LEFT(CH2169,4)),VALUE(LEFT(CH2169,FIND("-",CH2169)-1)))&lt;100,IF(AND(LEN(CH2169)=9,ISERROR(FIND("-",LEFT(CH2169,8))),ISNUMBER(-LEFT(CH2169,8))),VALUE(LEFT(CH2169,4)),VALUE(LEFT(CH2169,FIND("-",CH2169)-1)))+2000,IF(AND(LEN(CH2169)=9,ISERROR(FIND("-",LEFT(CH2169,8))),ISNUMBER(-LEFT(CH2169,8))),VALUE(LEFT(CH2169,4)),VALUE(LEFT(CH2169,FIND("-",CH2169)-1)))),""))</f>
        <v/>
      </c>
      <c r="CN2169">
        <f>IF(CH2169="","",IFERROR(IF(AND(LEN(CH2169)=9,ISERROR(FIND("-",LEFT(CH2169,8))),ISNUMBER(-LEFT(CH2169,8))),VALUE(MID(CH2169,5,2)),VALUE(MID(CH2169,FIND("-",CH2169)+1,FIND("-",CH2169,FIND("-",CH2169)+1)-FIND("-",CH2169)-1))),""))</f>
        <v/>
      </c>
      <c r="CO2169">
        <f>IF(CH2169="","",IFERROR(IF(AND(LEN(CH2169)=9,ISERROR(FIND("-",LEFT(CH2169,8))),ISNUMBER(-LEFT(CH2169,8))),VALUE(MID(CH2169,7,2)),VALUE(MID(CH2169,FIND("-",CH2169,FIND("-",CH2169)+1)+1,FIND("-",CH2169,FIND("-",CH2169,FIND("-",CH2169)+1)+1)-FIND("-",CH2169,FIND("-",CH2169)+1)-1))),""))</f>
        <v/>
      </c>
    </row>
    <row r="2170">
      <c r="CH2170">
        <f>IF(ISTEXT('월 가계부'!A2170),SUBSTITUTE(SUBSTITUTE(SUBSTITUTE(SUBSTITUTE(SUBSTITUTE(SUBSTITUTE(SUBSTITUTE(SUBSTITUTE(SUBSTITUTE(TRIM('월 가계부'!A2170),"년","-"),"월","-"),"일",""),".","-"),"/","-")," ","-"),"--","-"),"--","-"),"--","-")&amp;"-","")</f>
        <v/>
      </c>
      <c r="CI2170">
        <f>IFERROR(IF('월 가계부'!A2170="","",IF(ISNUMBER('월 가계부'!A2170),IF(AND('월 가계부'!A2170&gt;=19000101,'월 가계부'!A2170&lt;=21001231),IF(AND(MOD(INT('월 가계부'!A2170/100),100)&gt;=1,MOD(INT('월 가계부'!A2170/100),100)&lt;=12,MOD(INT('월 가계부'!A2170),100)&gt;=1,MOD(INT('월 가계부'!A2170),100)&lt;=31),IF(MONTH(DATE(INT('월 가계부'!A2170/10000),MOD(INT('월 가계부'!A2170/100),100),MOD(INT('월 가계부'!A2170),100)))=MOD(INT('월 가계부'!A2170/100),100),DATE(INT('월 가계부'!A2170/10000),MOD(INT('월 가계부'!A2170/100),100),MOD(INT('월 가계부'!A2170),100)),""),""),IF(AND('월 가계부'!A2170&gt;=36526,'월 가계부'!A2170&lt;73051),INT('월 가계부'!A2170),"")),IF(OR(CM2170="",CN2170="",CO2170=""),"",IF(AND(CM2170&gt;=2000,CM2170&lt;=2099,CN2170&gt;=1,CN2170&lt;=12,CO2170&gt;=1,CO2170&lt;=31),IF(MONTH(DATE(CM2170,CN2170,CO2170))=CN2170,DATE(CM2170,CN2170,CO2170),""),"")))),"")</f>
        <v/>
      </c>
      <c r="CJ2170">
        <f>IFERROR(IF('월 가계부'!C2170="","",IF(ISNUMBER('월 가계부'!C2170),'월 가계부'!C2170,VALUE(SUBSTITUTE(SUBSTITUTE(SUBSTITUTE(SUBSTITUTE(TRIM('월 가계부'!C2170),",",""),"원","")," ",""),"−","-")))),"")</f>
        <v/>
      </c>
      <c r="CK2170">
        <f>IF(ISNUMBER(CI2170),IF(CI2170&lt;$B$13,CI2170,""),"")</f>
        <v/>
      </c>
      <c r="CM2170">
        <f>IF(CH2170="","",IFERROR(IF(IF(AND(LEN(CH2170)=9,ISERROR(FIND("-",LEFT(CH2170,8))),ISNUMBER(-LEFT(CH2170,8))),VALUE(LEFT(CH2170,4)),VALUE(LEFT(CH2170,FIND("-",CH2170)-1)))&lt;100,IF(AND(LEN(CH2170)=9,ISERROR(FIND("-",LEFT(CH2170,8))),ISNUMBER(-LEFT(CH2170,8))),VALUE(LEFT(CH2170,4)),VALUE(LEFT(CH2170,FIND("-",CH2170)-1)))+2000,IF(AND(LEN(CH2170)=9,ISERROR(FIND("-",LEFT(CH2170,8))),ISNUMBER(-LEFT(CH2170,8))),VALUE(LEFT(CH2170,4)),VALUE(LEFT(CH2170,FIND("-",CH2170)-1)))),""))</f>
        <v/>
      </c>
      <c r="CN2170">
        <f>IF(CH2170="","",IFERROR(IF(AND(LEN(CH2170)=9,ISERROR(FIND("-",LEFT(CH2170,8))),ISNUMBER(-LEFT(CH2170,8))),VALUE(MID(CH2170,5,2)),VALUE(MID(CH2170,FIND("-",CH2170)+1,FIND("-",CH2170,FIND("-",CH2170)+1)-FIND("-",CH2170)-1))),""))</f>
        <v/>
      </c>
      <c r="CO2170">
        <f>IF(CH2170="","",IFERROR(IF(AND(LEN(CH2170)=9,ISERROR(FIND("-",LEFT(CH2170,8))),ISNUMBER(-LEFT(CH2170,8))),VALUE(MID(CH2170,7,2)),VALUE(MID(CH2170,FIND("-",CH2170,FIND("-",CH2170)+1)+1,FIND("-",CH2170,FIND("-",CH2170,FIND("-",CH2170)+1)+1)-FIND("-",CH2170,FIND("-",CH2170)+1)-1))),""))</f>
        <v/>
      </c>
    </row>
    <row r="2171">
      <c r="CH2171">
        <f>IF(ISTEXT('월 가계부'!A2171),SUBSTITUTE(SUBSTITUTE(SUBSTITUTE(SUBSTITUTE(SUBSTITUTE(SUBSTITUTE(SUBSTITUTE(SUBSTITUTE(SUBSTITUTE(TRIM('월 가계부'!A2171),"년","-"),"월","-"),"일",""),".","-"),"/","-")," ","-"),"--","-"),"--","-"),"--","-")&amp;"-","")</f>
        <v/>
      </c>
      <c r="CI2171">
        <f>IFERROR(IF('월 가계부'!A2171="","",IF(ISNUMBER('월 가계부'!A2171),IF(AND('월 가계부'!A2171&gt;=19000101,'월 가계부'!A2171&lt;=21001231),IF(AND(MOD(INT('월 가계부'!A2171/100),100)&gt;=1,MOD(INT('월 가계부'!A2171/100),100)&lt;=12,MOD(INT('월 가계부'!A2171),100)&gt;=1,MOD(INT('월 가계부'!A2171),100)&lt;=31),IF(MONTH(DATE(INT('월 가계부'!A2171/10000),MOD(INT('월 가계부'!A2171/100),100),MOD(INT('월 가계부'!A2171),100)))=MOD(INT('월 가계부'!A2171/100),100),DATE(INT('월 가계부'!A2171/10000),MOD(INT('월 가계부'!A2171/100),100),MOD(INT('월 가계부'!A2171),100)),""),""),IF(AND('월 가계부'!A2171&gt;=36526,'월 가계부'!A2171&lt;73051),INT('월 가계부'!A2171),"")),IF(OR(CM2171="",CN2171="",CO2171=""),"",IF(AND(CM2171&gt;=2000,CM2171&lt;=2099,CN2171&gt;=1,CN2171&lt;=12,CO2171&gt;=1,CO2171&lt;=31),IF(MONTH(DATE(CM2171,CN2171,CO2171))=CN2171,DATE(CM2171,CN2171,CO2171),""),"")))),"")</f>
        <v/>
      </c>
      <c r="CJ2171">
        <f>IFERROR(IF('월 가계부'!C2171="","",IF(ISNUMBER('월 가계부'!C2171),'월 가계부'!C2171,VALUE(SUBSTITUTE(SUBSTITUTE(SUBSTITUTE(SUBSTITUTE(TRIM('월 가계부'!C2171),",",""),"원","")," ",""),"−","-")))),"")</f>
        <v/>
      </c>
      <c r="CK2171">
        <f>IF(ISNUMBER(CI2171),IF(CI2171&lt;$B$13,CI2171,""),"")</f>
        <v/>
      </c>
      <c r="CM2171">
        <f>IF(CH2171="","",IFERROR(IF(IF(AND(LEN(CH2171)=9,ISERROR(FIND("-",LEFT(CH2171,8))),ISNUMBER(-LEFT(CH2171,8))),VALUE(LEFT(CH2171,4)),VALUE(LEFT(CH2171,FIND("-",CH2171)-1)))&lt;100,IF(AND(LEN(CH2171)=9,ISERROR(FIND("-",LEFT(CH2171,8))),ISNUMBER(-LEFT(CH2171,8))),VALUE(LEFT(CH2171,4)),VALUE(LEFT(CH2171,FIND("-",CH2171)-1)))+2000,IF(AND(LEN(CH2171)=9,ISERROR(FIND("-",LEFT(CH2171,8))),ISNUMBER(-LEFT(CH2171,8))),VALUE(LEFT(CH2171,4)),VALUE(LEFT(CH2171,FIND("-",CH2171)-1)))),""))</f>
        <v/>
      </c>
      <c r="CN2171">
        <f>IF(CH2171="","",IFERROR(IF(AND(LEN(CH2171)=9,ISERROR(FIND("-",LEFT(CH2171,8))),ISNUMBER(-LEFT(CH2171,8))),VALUE(MID(CH2171,5,2)),VALUE(MID(CH2171,FIND("-",CH2171)+1,FIND("-",CH2171,FIND("-",CH2171)+1)-FIND("-",CH2171)-1))),""))</f>
        <v/>
      </c>
      <c r="CO2171">
        <f>IF(CH2171="","",IFERROR(IF(AND(LEN(CH2171)=9,ISERROR(FIND("-",LEFT(CH2171,8))),ISNUMBER(-LEFT(CH2171,8))),VALUE(MID(CH2171,7,2)),VALUE(MID(CH2171,FIND("-",CH2171,FIND("-",CH2171)+1)+1,FIND("-",CH2171,FIND("-",CH2171,FIND("-",CH2171)+1)+1)-FIND("-",CH2171,FIND("-",CH2171)+1)-1))),""))</f>
        <v/>
      </c>
    </row>
    <row r="2172">
      <c r="CH2172">
        <f>IF(ISTEXT('월 가계부'!A2172),SUBSTITUTE(SUBSTITUTE(SUBSTITUTE(SUBSTITUTE(SUBSTITUTE(SUBSTITUTE(SUBSTITUTE(SUBSTITUTE(SUBSTITUTE(TRIM('월 가계부'!A2172),"년","-"),"월","-"),"일",""),".","-"),"/","-")," ","-"),"--","-"),"--","-"),"--","-")&amp;"-","")</f>
        <v/>
      </c>
      <c r="CI2172">
        <f>IFERROR(IF('월 가계부'!A2172="","",IF(ISNUMBER('월 가계부'!A2172),IF(AND('월 가계부'!A2172&gt;=19000101,'월 가계부'!A2172&lt;=21001231),IF(AND(MOD(INT('월 가계부'!A2172/100),100)&gt;=1,MOD(INT('월 가계부'!A2172/100),100)&lt;=12,MOD(INT('월 가계부'!A2172),100)&gt;=1,MOD(INT('월 가계부'!A2172),100)&lt;=31),IF(MONTH(DATE(INT('월 가계부'!A2172/10000),MOD(INT('월 가계부'!A2172/100),100),MOD(INT('월 가계부'!A2172),100)))=MOD(INT('월 가계부'!A2172/100),100),DATE(INT('월 가계부'!A2172/10000),MOD(INT('월 가계부'!A2172/100),100),MOD(INT('월 가계부'!A2172),100)),""),""),IF(AND('월 가계부'!A2172&gt;=36526,'월 가계부'!A2172&lt;73051),INT('월 가계부'!A2172),"")),IF(OR(CM2172="",CN2172="",CO2172=""),"",IF(AND(CM2172&gt;=2000,CM2172&lt;=2099,CN2172&gt;=1,CN2172&lt;=12,CO2172&gt;=1,CO2172&lt;=31),IF(MONTH(DATE(CM2172,CN2172,CO2172))=CN2172,DATE(CM2172,CN2172,CO2172),""),"")))),"")</f>
        <v/>
      </c>
      <c r="CJ2172">
        <f>IFERROR(IF('월 가계부'!C2172="","",IF(ISNUMBER('월 가계부'!C2172),'월 가계부'!C2172,VALUE(SUBSTITUTE(SUBSTITUTE(SUBSTITUTE(SUBSTITUTE(TRIM('월 가계부'!C2172),",",""),"원","")," ",""),"−","-")))),"")</f>
        <v/>
      </c>
      <c r="CK2172">
        <f>IF(ISNUMBER(CI2172),IF(CI2172&lt;$B$13,CI2172,""),"")</f>
        <v/>
      </c>
      <c r="CM2172">
        <f>IF(CH2172="","",IFERROR(IF(IF(AND(LEN(CH2172)=9,ISERROR(FIND("-",LEFT(CH2172,8))),ISNUMBER(-LEFT(CH2172,8))),VALUE(LEFT(CH2172,4)),VALUE(LEFT(CH2172,FIND("-",CH2172)-1)))&lt;100,IF(AND(LEN(CH2172)=9,ISERROR(FIND("-",LEFT(CH2172,8))),ISNUMBER(-LEFT(CH2172,8))),VALUE(LEFT(CH2172,4)),VALUE(LEFT(CH2172,FIND("-",CH2172)-1)))+2000,IF(AND(LEN(CH2172)=9,ISERROR(FIND("-",LEFT(CH2172,8))),ISNUMBER(-LEFT(CH2172,8))),VALUE(LEFT(CH2172,4)),VALUE(LEFT(CH2172,FIND("-",CH2172)-1)))),""))</f>
        <v/>
      </c>
      <c r="CN2172">
        <f>IF(CH2172="","",IFERROR(IF(AND(LEN(CH2172)=9,ISERROR(FIND("-",LEFT(CH2172,8))),ISNUMBER(-LEFT(CH2172,8))),VALUE(MID(CH2172,5,2)),VALUE(MID(CH2172,FIND("-",CH2172)+1,FIND("-",CH2172,FIND("-",CH2172)+1)-FIND("-",CH2172)-1))),""))</f>
        <v/>
      </c>
      <c r="CO2172">
        <f>IF(CH2172="","",IFERROR(IF(AND(LEN(CH2172)=9,ISERROR(FIND("-",LEFT(CH2172,8))),ISNUMBER(-LEFT(CH2172,8))),VALUE(MID(CH2172,7,2)),VALUE(MID(CH2172,FIND("-",CH2172,FIND("-",CH2172)+1)+1,FIND("-",CH2172,FIND("-",CH2172,FIND("-",CH2172)+1)+1)-FIND("-",CH2172,FIND("-",CH2172)+1)-1))),""))</f>
        <v/>
      </c>
    </row>
    <row r="2173">
      <c r="CH2173">
        <f>IF(ISTEXT('월 가계부'!A2173),SUBSTITUTE(SUBSTITUTE(SUBSTITUTE(SUBSTITUTE(SUBSTITUTE(SUBSTITUTE(SUBSTITUTE(SUBSTITUTE(SUBSTITUTE(TRIM('월 가계부'!A2173),"년","-"),"월","-"),"일",""),".","-"),"/","-")," ","-"),"--","-"),"--","-"),"--","-")&amp;"-","")</f>
        <v/>
      </c>
      <c r="CI2173">
        <f>IFERROR(IF('월 가계부'!A2173="","",IF(ISNUMBER('월 가계부'!A2173),IF(AND('월 가계부'!A2173&gt;=19000101,'월 가계부'!A2173&lt;=21001231),IF(AND(MOD(INT('월 가계부'!A2173/100),100)&gt;=1,MOD(INT('월 가계부'!A2173/100),100)&lt;=12,MOD(INT('월 가계부'!A2173),100)&gt;=1,MOD(INT('월 가계부'!A2173),100)&lt;=31),IF(MONTH(DATE(INT('월 가계부'!A2173/10000),MOD(INT('월 가계부'!A2173/100),100),MOD(INT('월 가계부'!A2173),100)))=MOD(INT('월 가계부'!A2173/100),100),DATE(INT('월 가계부'!A2173/10000),MOD(INT('월 가계부'!A2173/100),100),MOD(INT('월 가계부'!A2173),100)),""),""),IF(AND('월 가계부'!A2173&gt;=36526,'월 가계부'!A2173&lt;73051),INT('월 가계부'!A2173),"")),IF(OR(CM2173="",CN2173="",CO2173=""),"",IF(AND(CM2173&gt;=2000,CM2173&lt;=2099,CN2173&gt;=1,CN2173&lt;=12,CO2173&gt;=1,CO2173&lt;=31),IF(MONTH(DATE(CM2173,CN2173,CO2173))=CN2173,DATE(CM2173,CN2173,CO2173),""),"")))),"")</f>
        <v/>
      </c>
      <c r="CJ2173">
        <f>IFERROR(IF('월 가계부'!C2173="","",IF(ISNUMBER('월 가계부'!C2173),'월 가계부'!C2173,VALUE(SUBSTITUTE(SUBSTITUTE(SUBSTITUTE(SUBSTITUTE(TRIM('월 가계부'!C2173),",",""),"원","")," ",""),"−","-")))),"")</f>
        <v/>
      </c>
      <c r="CK2173">
        <f>IF(ISNUMBER(CI2173),IF(CI2173&lt;$B$13,CI2173,""),"")</f>
        <v/>
      </c>
      <c r="CM2173">
        <f>IF(CH2173="","",IFERROR(IF(IF(AND(LEN(CH2173)=9,ISERROR(FIND("-",LEFT(CH2173,8))),ISNUMBER(-LEFT(CH2173,8))),VALUE(LEFT(CH2173,4)),VALUE(LEFT(CH2173,FIND("-",CH2173)-1)))&lt;100,IF(AND(LEN(CH2173)=9,ISERROR(FIND("-",LEFT(CH2173,8))),ISNUMBER(-LEFT(CH2173,8))),VALUE(LEFT(CH2173,4)),VALUE(LEFT(CH2173,FIND("-",CH2173)-1)))+2000,IF(AND(LEN(CH2173)=9,ISERROR(FIND("-",LEFT(CH2173,8))),ISNUMBER(-LEFT(CH2173,8))),VALUE(LEFT(CH2173,4)),VALUE(LEFT(CH2173,FIND("-",CH2173)-1)))),""))</f>
        <v/>
      </c>
      <c r="CN2173">
        <f>IF(CH2173="","",IFERROR(IF(AND(LEN(CH2173)=9,ISERROR(FIND("-",LEFT(CH2173,8))),ISNUMBER(-LEFT(CH2173,8))),VALUE(MID(CH2173,5,2)),VALUE(MID(CH2173,FIND("-",CH2173)+1,FIND("-",CH2173,FIND("-",CH2173)+1)-FIND("-",CH2173)-1))),""))</f>
        <v/>
      </c>
      <c r="CO2173">
        <f>IF(CH2173="","",IFERROR(IF(AND(LEN(CH2173)=9,ISERROR(FIND("-",LEFT(CH2173,8))),ISNUMBER(-LEFT(CH2173,8))),VALUE(MID(CH2173,7,2)),VALUE(MID(CH2173,FIND("-",CH2173,FIND("-",CH2173)+1)+1,FIND("-",CH2173,FIND("-",CH2173,FIND("-",CH2173)+1)+1)-FIND("-",CH2173,FIND("-",CH2173)+1)-1))),""))</f>
        <v/>
      </c>
    </row>
    <row r="2174">
      <c r="CH2174">
        <f>IF(ISTEXT('월 가계부'!A2174),SUBSTITUTE(SUBSTITUTE(SUBSTITUTE(SUBSTITUTE(SUBSTITUTE(SUBSTITUTE(SUBSTITUTE(SUBSTITUTE(SUBSTITUTE(TRIM('월 가계부'!A2174),"년","-"),"월","-"),"일",""),".","-"),"/","-")," ","-"),"--","-"),"--","-"),"--","-")&amp;"-","")</f>
        <v/>
      </c>
      <c r="CI2174">
        <f>IFERROR(IF('월 가계부'!A2174="","",IF(ISNUMBER('월 가계부'!A2174),IF(AND('월 가계부'!A2174&gt;=19000101,'월 가계부'!A2174&lt;=21001231),IF(AND(MOD(INT('월 가계부'!A2174/100),100)&gt;=1,MOD(INT('월 가계부'!A2174/100),100)&lt;=12,MOD(INT('월 가계부'!A2174),100)&gt;=1,MOD(INT('월 가계부'!A2174),100)&lt;=31),IF(MONTH(DATE(INT('월 가계부'!A2174/10000),MOD(INT('월 가계부'!A2174/100),100),MOD(INT('월 가계부'!A2174),100)))=MOD(INT('월 가계부'!A2174/100),100),DATE(INT('월 가계부'!A2174/10000),MOD(INT('월 가계부'!A2174/100),100),MOD(INT('월 가계부'!A2174),100)),""),""),IF(AND('월 가계부'!A2174&gt;=36526,'월 가계부'!A2174&lt;73051),INT('월 가계부'!A2174),"")),IF(OR(CM2174="",CN2174="",CO2174=""),"",IF(AND(CM2174&gt;=2000,CM2174&lt;=2099,CN2174&gt;=1,CN2174&lt;=12,CO2174&gt;=1,CO2174&lt;=31),IF(MONTH(DATE(CM2174,CN2174,CO2174))=CN2174,DATE(CM2174,CN2174,CO2174),""),"")))),"")</f>
        <v/>
      </c>
      <c r="CJ2174">
        <f>IFERROR(IF('월 가계부'!C2174="","",IF(ISNUMBER('월 가계부'!C2174),'월 가계부'!C2174,VALUE(SUBSTITUTE(SUBSTITUTE(SUBSTITUTE(SUBSTITUTE(TRIM('월 가계부'!C2174),",",""),"원","")," ",""),"−","-")))),"")</f>
        <v/>
      </c>
      <c r="CK2174">
        <f>IF(ISNUMBER(CI2174),IF(CI2174&lt;$B$13,CI2174,""),"")</f>
        <v/>
      </c>
      <c r="CM2174">
        <f>IF(CH2174="","",IFERROR(IF(IF(AND(LEN(CH2174)=9,ISERROR(FIND("-",LEFT(CH2174,8))),ISNUMBER(-LEFT(CH2174,8))),VALUE(LEFT(CH2174,4)),VALUE(LEFT(CH2174,FIND("-",CH2174)-1)))&lt;100,IF(AND(LEN(CH2174)=9,ISERROR(FIND("-",LEFT(CH2174,8))),ISNUMBER(-LEFT(CH2174,8))),VALUE(LEFT(CH2174,4)),VALUE(LEFT(CH2174,FIND("-",CH2174)-1)))+2000,IF(AND(LEN(CH2174)=9,ISERROR(FIND("-",LEFT(CH2174,8))),ISNUMBER(-LEFT(CH2174,8))),VALUE(LEFT(CH2174,4)),VALUE(LEFT(CH2174,FIND("-",CH2174)-1)))),""))</f>
        <v/>
      </c>
      <c r="CN2174">
        <f>IF(CH2174="","",IFERROR(IF(AND(LEN(CH2174)=9,ISERROR(FIND("-",LEFT(CH2174,8))),ISNUMBER(-LEFT(CH2174,8))),VALUE(MID(CH2174,5,2)),VALUE(MID(CH2174,FIND("-",CH2174)+1,FIND("-",CH2174,FIND("-",CH2174)+1)-FIND("-",CH2174)-1))),""))</f>
        <v/>
      </c>
      <c r="CO2174">
        <f>IF(CH2174="","",IFERROR(IF(AND(LEN(CH2174)=9,ISERROR(FIND("-",LEFT(CH2174,8))),ISNUMBER(-LEFT(CH2174,8))),VALUE(MID(CH2174,7,2)),VALUE(MID(CH2174,FIND("-",CH2174,FIND("-",CH2174)+1)+1,FIND("-",CH2174,FIND("-",CH2174,FIND("-",CH2174)+1)+1)-FIND("-",CH2174,FIND("-",CH2174)+1)-1))),""))</f>
        <v/>
      </c>
    </row>
    <row r="2175">
      <c r="CH2175">
        <f>IF(ISTEXT('월 가계부'!A2175),SUBSTITUTE(SUBSTITUTE(SUBSTITUTE(SUBSTITUTE(SUBSTITUTE(SUBSTITUTE(SUBSTITUTE(SUBSTITUTE(SUBSTITUTE(TRIM('월 가계부'!A2175),"년","-"),"월","-"),"일",""),".","-"),"/","-")," ","-"),"--","-"),"--","-"),"--","-")&amp;"-","")</f>
        <v/>
      </c>
      <c r="CI2175">
        <f>IFERROR(IF('월 가계부'!A2175="","",IF(ISNUMBER('월 가계부'!A2175),IF(AND('월 가계부'!A2175&gt;=19000101,'월 가계부'!A2175&lt;=21001231),IF(AND(MOD(INT('월 가계부'!A2175/100),100)&gt;=1,MOD(INT('월 가계부'!A2175/100),100)&lt;=12,MOD(INT('월 가계부'!A2175),100)&gt;=1,MOD(INT('월 가계부'!A2175),100)&lt;=31),IF(MONTH(DATE(INT('월 가계부'!A2175/10000),MOD(INT('월 가계부'!A2175/100),100),MOD(INT('월 가계부'!A2175),100)))=MOD(INT('월 가계부'!A2175/100),100),DATE(INT('월 가계부'!A2175/10000),MOD(INT('월 가계부'!A2175/100),100),MOD(INT('월 가계부'!A2175),100)),""),""),IF(AND('월 가계부'!A2175&gt;=36526,'월 가계부'!A2175&lt;73051),INT('월 가계부'!A2175),"")),IF(OR(CM2175="",CN2175="",CO2175=""),"",IF(AND(CM2175&gt;=2000,CM2175&lt;=2099,CN2175&gt;=1,CN2175&lt;=12,CO2175&gt;=1,CO2175&lt;=31),IF(MONTH(DATE(CM2175,CN2175,CO2175))=CN2175,DATE(CM2175,CN2175,CO2175),""),"")))),"")</f>
        <v/>
      </c>
      <c r="CJ2175">
        <f>IFERROR(IF('월 가계부'!C2175="","",IF(ISNUMBER('월 가계부'!C2175),'월 가계부'!C2175,VALUE(SUBSTITUTE(SUBSTITUTE(SUBSTITUTE(SUBSTITUTE(TRIM('월 가계부'!C2175),",",""),"원","")," ",""),"−","-")))),"")</f>
        <v/>
      </c>
      <c r="CK2175">
        <f>IF(ISNUMBER(CI2175),IF(CI2175&lt;$B$13,CI2175,""),"")</f>
        <v/>
      </c>
      <c r="CM2175">
        <f>IF(CH2175="","",IFERROR(IF(IF(AND(LEN(CH2175)=9,ISERROR(FIND("-",LEFT(CH2175,8))),ISNUMBER(-LEFT(CH2175,8))),VALUE(LEFT(CH2175,4)),VALUE(LEFT(CH2175,FIND("-",CH2175)-1)))&lt;100,IF(AND(LEN(CH2175)=9,ISERROR(FIND("-",LEFT(CH2175,8))),ISNUMBER(-LEFT(CH2175,8))),VALUE(LEFT(CH2175,4)),VALUE(LEFT(CH2175,FIND("-",CH2175)-1)))+2000,IF(AND(LEN(CH2175)=9,ISERROR(FIND("-",LEFT(CH2175,8))),ISNUMBER(-LEFT(CH2175,8))),VALUE(LEFT(CH2175,4)),VALUE(LEFT(CH2175,FIND("-",CH2175)-1)))),""))</f>
        <v/>
      </c>
      <c r="CN2175">
        <f>IF(CH2175="","",IFERROR(IF(AND(LEN(CH2175)=9,ISERROR(FIND("-",LEFT(CH2175,8))),ISNUMBER(-LEFT(CH2175,8))),VALUE(MID(CH2175,5,2)),VALUE(MID(CH2175,FIND("-",CH2175)+1,FIND("-",CH2175,FIND("-",CH2175)+1)-FIND("-",CH2175)-1))),""))</f>
        <v/>
      </c>
      <c r="CO2175">
        <f>IF(CH2175="","",IFERROR(IF(AND(LEN(CH2175)=9,ISERROR(FIND("-",LEFT(CH2175,8))),ISNUMBER(-LEFT(CH2175,8))),VALUE(MID(CH2175,7,2)),VALUE(MID(CH2175,FIND("-",CH2175,FIND("-",CH2175)+1)+1,FIND("-",CH2175,FIND("-",CH2175,FIND("-",CH2175)+1)+1)-FIND("-",CH2175,FIND("-",CH2175)+1)-1))),""))</f>
        <v/>
      </c>
    </row>
    <row r="2176">
      <c r="CH2176">
        <f>IF(ISTEXT('월 가계부'!A2176),SUBSTITUTE(SUBSTITUTE(SUBSTITUTE(SUBSTITUTE(SUBSTITUTE(SUBSTITUTE(SUBSTITUTE(SUBSTITUTE(SUBSTITUTE(TRIM('월 가계부'!A2176),"년","-"),"월","-"),"일",""),".","-"),"/","-")," ","-"),"--","-"),"--","-"),"--","-")&amp;"-","")</f>
        <v/>
      </c>
      <c r="CI2176">
        <f>IFERROR(IF('월 가계부'!A2176="","",IF(ISNUMBER('월 가계부'!A2176),IF(AND('월 가계부'!A2176&gt;=19000101,'월 가계부'!A2176&lt;=21001231),IF(AND(MOD(INT('월 가계부'!A2176/100),100)&gt;=1,MOD(INT('월 가계부'!A2176/100),100)&lt;=12,MOD(INT('월 가계부'!A2176),100)&gt;=1,MOD(INT('월 가계부'!A2176),100)&lt;=31),IF(MONTH(DATE(INT('월 가계부'!A2176/10000),MOD(INT('월 가계부'!A2176/100),100),MOD(INT('월 가계부'!A2176),100)))=MOD(INT('월 가계부'!A2176/100),100),DATE(INT('월 가계부'!A2176/10000),MOD(INT('월 가계부'!A2176/100),100),MOD(INT('월 가계부'!A2176),100)),""),""),IF(AND('월 가계부'!A2176&gt;=36526,'월 가계부'!A2176&lt;73051),INT('월 가계부'!A2176),"")),IF(OR(CM2176="",CN2176="",CO2176=""),"",IF(AND(CM2176&gt;=2000,CM2176&lt;=2099,CN2176&gt;=1,CN2176&lt;=12,CO2176&gt;=1,CO2176&lt;=31),IF(MONTH(DATE(CM2176,CN2176,CO2176))=CN2176,DATE(CM2176,CN2176,CO2176),""),"")))),"")</f>
        <v/>
      </c>
      <c r="CJ2176">
        <f>IFERROR(IF('월 가계부'!C2176="","",IF(ISNUMBER('월 가계부'!C2176),'월 가계부'!C2176,VALUE(SUBSTITUTE(SUBSTITUTE(SUBSTITUTE(SUBSTITUTE(TRIM('월 가계부'!C2176),",",""),"원","")," ",""),"−","-")))),"")</f>
        <v/>
      </c>
      <c r="CK2176">
        <f>IF(ISNUMBER(CI2176),IF(CI2176&lt;$B$13,CI2176,""),"")</f>
        <v/>
      </c>
      <c r="CM2176">
        <f>IF(CH2176="","",IFERROR(IF(IF(AND(LEN(CH2176)=9,ISERROR(FIND("-",LEFT(CH2176,8))),ISNUMBER(-LEFT(CH2176,8))),VALUE(LEFT(CH2176,4)),VALUE(LEFT(CH2176,FIND("-",CH2176)-1)))&lt;100,IF(AND(LEN(CH2176)=9,ISERROR(FIND("-",LEFT(CH2176,8))),ISNUMBER(-LEFT(CH2176,8))),VALUE(LEFT(CH2176,4)),VALUE(LEFT(CH2176,FIND("-",CH2176)-1)))+2000,IF(AND(LEN(CH2176)=9,ISERROR(FIND("-",LEFT(CH2176,8))),ISNUMBER(-LEFT(CH2176,8))),VALUE(LEFT(CH2176,4)),VALUE(LEFT(CH2176,FIND("-",CH2176)-1)))),""))</f>
        <v/>
      </c>
      <c r="CN2176">
        <f>IF(CH2176="","",IFERROR(IF(AND(LEN(CH2176)=9,ISERROR(FIND("-",LEFT(CH2176,8))),ISNUMBER(-LEFT(CH2176,8))),VALUE(MID(CH2176,5,2)),VALUE(MID(CH2176,FIND("-",CH2176)+1,FIND("-",CH2176,FIND("-",CH2176)+1)-FIND("-",CH2176)-1))),""))</f>
        <v/>
      </c>
      <c r="CO2176">
        <f>IF(CH2176="","",IFERROR(IF(AND(LEN(CH2176)=9,ISERROR(FIND("-",LEFT(CH2176,8))),ISNUMBER(-LEFT(CH2176,8))),VALUE(MID(CH2176,7,2)),VALUE(MID(CH2176,FIND("-",CH2176,FIND("-",CH2176)+1)+1,FIND("-",CH2176,FIND("-",CH2176,FIND("-",CH2176)+1)+1)-FIND("-",CH2176,FIND("-",CH2176)+1)-1))),""))</f>
        <v/>
      </c>
    </row>
    <row r="2177">
      <c r="CH2177">
        <f>IF(ISTEXT('월 가계부'!A2177),SUBSTITUTE(SUBSTITUTE(SUBSTITUTE(SUBSTITUTE(SUBSTITUTE(SUBSTITUTE(SUBSTITUTE(SUBSTITUTE(SUBSTITUTE(TRIM('월 가계부'!A2177),"년","-"),"월","-"),"일",""),".","-"),"/","-")," ","-"),"--","-"),"--","-"),"--","-")&amp;"-","")</f>
        <v/>
      </c>
      <c r="CI2177">
        <f>IFERROR(IF('월 가계부'!A2177="","",IF(ISNUMBER('월 가계부'!A2177),IF(AND('월 가계부'!A2177&gt;=19000101,'월 가계부'!A2177&lt;=21001231),IF(AND(MOD(INT('월 가계부'!A2177/100),100)&gt;=1,MOD(INT('월 가계부'!A2177/100),100)&lt;=12,MOD(INT('월 가계부'!A2177),100)&gt;=1,MOD(INT('월 가계부'!A2177),100)&lt;=31),IF(MONTH(DATE(INT('월 가계부'!A2177/10000),MOD(INT('월 가계부'!A2177/100),100),MOD(INT('월 가계부'!A2177),100)))=MOD(INT('월 가계부'!A2177/100),100),DATE(INT('월 가계부'!A2177/10000),MOD(INT('월 가계부'!A2177/100),100),MOD(INT('월 가계부'!A2177),100)),""),""),IF(AND('월 가계부'!A2177&gt;=36526,'월 가계부'!A2177&lt;73051),INT('월 가계부'!A2177),"")),IF(OR(CM2177="",CN2177="",CO2177=""),"",IF(AND(CM2177&gt;=2000,CM2177&lt;=2099,CN2177&gt;=1,CN2177&lt;=12,CO2177&gt;=1,CO2177&lt;=31),IF(MONTH(DATE(CM2177,CN2177,CO2177))=CN2177,DATE(CM2177,CN2177,CO2177),""),"")))),"")</f>
        <v/>
      </c>
      <c r="CJ2177">
        <f>IFERROR(IF('월 가계부'!C2177="","",IF(ISNUMBER('월 가계부'!C2177),'월 가계부'!C2177,VALUE(SUBSTITUTE(SUBSTITUTE(SUBSTITUTE(SUBSTITUTE(TRIM('월 가계부'!C2177),",",""),"원","")," ",""),"−","-")))),"")</f>
        <v/>
      </c>
      <c r="CK2177">
        <f>IF(ISNUMBER(CI2177),IF(CI2177&lt;$B$13,CI2177,""),"")</f>
        <v/>
      </c>
      <c r="CM2177">
        <f>IF(CH2177="","",IFERROR(IF(IF(AND(LEN(CH2177)=9,ISERROR(FIND("-",LEFT(CH2177,8))),ISNUMBER(-LEFT(CH2177,8))),VALUE(LEFT(CH2177,4)),VALUE(LEFT(CH2177,FIND("-",CH2177)-1)))&lt;100,IF(AND(LEN(CH2177)=9,ISERROR(FIND("-",LEFT(CH2177,8))),ISNUMBER(-LEFT(CH2177,8))),VALUE(LEFT(CH2177,4)),VALUE(LEFT(CH2177,FIND("-",CH2177)-1)))+2000,IF(AND(LEN(CH2177)=9,ISERROR(FIND("-",LEFT(CH2177,8))),ISNUMBER(-LEFT(CH2177,8))),VALUE(LEFT(CH2177,4)),VALUE(LEFT(CH2177,FIND("-",CH2177)-1)))),""))</f>
        <v/>
      </c>
      <c r="CN2177">
        <f>IF(CH2177="","",IFERROR(IF(AND(LEN(CH2177)=9,ISERROR(FIND("-",LEFT(CH2177,8))),ISNUMBER(-LEFT(CH2177,8))),VALUE(MID(CH2177,5,2)),VALUE(MID(CH2177,FIND("-",CH2177)+1,FIND("-",CH2177,FIND("-",CH2177)+1)-FIND("-",CH2177)-1))),""))</f>
        <v/>
      </c>
      <c r="CO2177">
        <f>IF(CH2177="","",IFERROR(IF(AND(LEN(CH2177)=9,ISERROR(FIND("-",LEFT(CH2177,8))),ISNUMBER(-LEFT(CH2177,8))),VALUE(MID(CH2177,7,2)),VALUE(MID(CH2177,FIND("-",CH2177,FIND("-",CH2177)+1)+1,FIND("-",CH2177,FIND("-",CH2177,FIND("-",CH2177)+1)+1)-FIND("-",CH2177,FIND("-",CH2177)+1)-1))),""))</f>
        <v/>
      </c>
    </row>
    <row r="2178">
      <c r="CH2178">
        <f>IF(ISTEXT('월 가계부'!A2178),SUBSTITUTE(SUBSTITUTE(SUBSTITUTE(SUBSTITUTE(SUBSTITUTE(SUBSTITUTE(SUBSTITUTE(SUBSTITUTE(SUBSTITUTE(TRIM('월 가계부'!A2178),"년","-"),"월","-"),"일",""),".","-"),"/","-")," ","-"),"--","-"),"--","-"),"--","-")&amp;"-","")</f>
        <v/>
      </c>
      <c r="CI2178">
        <f>IFERROR(IF('월 가계부'!A2178="","",IF(ISNUMBER('월 가계부'!A2178),IF(AND('월 가계부'!A2178&gt;=19000101,'월 가계부'!A2178&lt;=21001231),IF(AND(MOD(INT('월 가계부'!A2178/100),100)&gt;=1,MOD(INT('월 가계부'!A2178/100),100)&lt;=12,MOD(INT('월 가계부'!A2178),100)&gt;=1,MOD(INT('월 가계부'!A2178),100)&lt;=31),IF(MONTH(DATE(INT('월 가계부'!A2178/10000),MOD(INT('월 가계부'!A2178/100),100),MOD(INT('월 가계부'!A2178),100)))=MOD(INT('월 가계부'!A2178/100),100),DATE(INT('월 가계부'!A2178/10000),MOD(INT('월 가계부'!A2178/100),100),MOD(INT('월 가계부'!A2178),100)),""),""),IF(AND('월 가계부'!A2178&gt;=36526,'월 가계부'!A2178&lt;73051),INT('월 가계부'!A2178),"")),IF(OR(CM2178="",CN2178="",CO2178=""),"",IF(AND(CM2178&gt;=2000,CM2178&lt;=2099,CN2178&gt;=1,CN2178&lt;=12,CO2178&gt;=1,CO2178&lt;=31),IF(MONTH(DATE(CM2178,CN2178,CO2178))=CN2178,DATE(CM2178,CN2178,CO2178),""),"")))),"")</f>
        <v/>
      </c>
      <c r="CJ2178">
        <f>IFERROR(IF('월 가계부'!C2178="","",IF(ISNUMBER('월 가계부'!C2178),'월 가계부'!C2178,VALUE(SUBSTITUTE(SUBSTITUTE(SUBSTITUTE(SUBSTITUTE(TRIM('월 가계부'!C2178),",",""),"원","")," ",""),"−","-")))),"")</f>
        <v/>
      </c>
      <c r="CK2178">
        <f>IF(ISNUMBER(CI2178),IF(CI2178&lt;$B$13,CI2178,""),"")</f>
        <v/>
      </c>
      <c r="CM2178">
        <f>IF(CH2178="","",IFERROR(IF(IF(AND(LEN(CH2178)=9,ISERROR(FIND("-",LEFT(CH2178,8))),ISNUMBER(-LEFT(CH2178,8))),VALUE(LEFT(CH2178,4)),VALUE(LEFT(CH2178,FIND("-",CH2178)-1)))&lt;100,IF(AND(LEN(CH2178)=9,ISERROR(FIND("-",LEFT(CH2178,8))),ISNUMBER(-LEFT(CH2178,8))),VALUE(LEFT(CH2178,4)),VALUE(LEFT(CH2178,FIND("-",CH2178)-1)))+2000,IF(AND(LEN(CH2178)=9,ISERROR(FIND("-",LEFT(CH2178,8))),ISNUMBER(-LEFT(CH2178,8))),VALUE(LEFT(CH2178,4)),VALUE(LEFT(CH2178,FIND("-",CH2178)-1)))),""))</f>
        <v/>
      </c>
      <c r="CN2178">
        <f>IF(CH2178="","",IFERROR(IF(AND(LEN(CH2178)=9,ISERROR(FIND("-",LEFT(CH2178,8))),ISNUMBER(-LEFT(CH2178,8))),VALUE(MID(CH2178,5,2)),VALUE(MID(CH2178,FIND("-",CH2178)+1,FIND("-",CH2178,FIND("-",CH2178)+1)-FIND("-",CH2178)-1))),""))</f>
        <v/>
      </c>
      <c r="CO2178">
        <f>IF(CH2178="","",IFERROR(IF(AND(LEN(CH2178)=9,ISERROR(FIND("-",LEFT(CH2178,8))),ISNUMBER(-LEFT(CH2178,8))),VALUE(MID(CH2178,7,2)),VALUE(MID(CH2178,FIND("-",CH2178,FIND("-",CH2178)+1)+1,FIND("-",CH2178,FIND("-",CH2178,FIND("-",CH2178)+1)+1)-FIND("-",CH2178,FIND("-",CH2178)+1)-1))),""))</f>
        <v/>
      </c>
    </row>
    <row r="2179">
      <c r="CH2179">
        <f>IF(ISTEXT('월 가계부'!A2179),SUBSTITUTE(SUBSTITUTE(SUBSTITUTE(SUBSTITUTE(SUBSTITUTE(SUBSTITUTE(SUBSTITUTE(SUBSTITUTE(SUBSTITUTE(TRIM('월 가계부'!A2179),"년","-"),"월","-"),"일",""),".","-"),"/","-")," ","-"),"--","-"),"--","-"),"--","-")&amp;"-","")</f>
        <v/>
      </c>
      <c r="CI2179">
        <f>IFERROR(IF('월 가계부'!A2179="","",IF(ISNUMBER('월 가계부'!A2179),IF(AND('월 가계부'!A2179&gt;=19000101,'월 가계부'!A2179&lt;=21001231),IF(AND(MOD(INT('월 가계부'!A2179/100),100)&gt;=1,MOD(INT('월 가계부'!A2179/100),100)&lt;=12,MOD(INT('월 가계부'!A2179),100)&gt;=1,MOD(INT('월 가계부'!A2179),100)&lt;=31),IF(MONTH(DATE(INT('월 가계부'!A2179/10000),MOD(INT('월 가계부'!A2179/100),100),MOD(INT('월 가계부'!A2179),100)))=MOD(INT('월 가계부'!A2179/100),100),DATE(INT('월 가계부'!A2179/10000),MOD(INT('월 가계부'!A2179/100),100),MOD(INT('월 가계부'!A2179),100)),""),""),IF(AND('월 가계부'!A2179&gt;=36526,'월 가계부'!A2179&lt;73051),INT('월 가계부'!A2179),"")),IF(OR(CM2179="",CN2179="",CO2179=""),"",IF(AND(CM2179&gt;=2000,CM2179&lt;=2099,CN2179&gt;=1,CN2179&lt;=12,CO2179&gt;=1,CO2179&lt;=31),IF(MONTH(DATE(CM2179,CN2179,CO2179))=CN2179,DATE(CM2179,CN2179,CO2179),""),"")))),"")</f>
        <v/>
      </c>
      <c r="CJ2179">
        <f>IFERROR(IF('월 가계부'!C2179="","",IF(ISNUMBER('월 가계부'!C2179),'월 가계부'!C2179,VALUE(SUBSTITUTE(SUBSTITUTE(SUBSTITUTE(SUBSTITUTE(TRIM('월 가계부'!C2179),",",""),"원","")," ",""),"−","-")))),"")</f>
        <v/>
      </c>
      <c r="CK2179">
        <f>IF(ISNUMBER(CI2179),IF(CI2179&lt;$B$13,CI2179,""),"")</f>
        <v/>
      </c>
      <c r="CM2179">
        <f>IF(CH2179="","",IFERROR(IF(IF(AND(LEN(CH2179)=9,ISERROR(FIND("-",LEFT(CH2179,8))),ISNUMBER(-LEFT(CH2179,8))),VALUE(LEFT(CH2179,4)),VALUE(LEFT(CH2179,FIND("-",CH2179)-1)))&lt;100,IF(AND(LEN(CH2179)=9,ISERROR(FIND("-",LEFT(CH2179,8))),ISNUMBER(-LEFT(CH2179,8))),VALUE(LEFT(CH2179,4)),VALUE(LEFT(CH2179,FIND("-",CH2179)-1)))+2000,IF(AND(LEN(CH2179)=9,ISERROR(FIND("-",LEFT(CH2179,8))),ISNUMBER(-LEFT(CH2179,8))),VALUE(LEFT(CH2179,4)),VALUE(LEFT(CH2179,FIND("-",CH2179)-1)))),""))</f>
        <v/>
      </c>
      <c r="CN2179">
        <f>IF(CH2179="","",IFERROR(IF(AND(LEN(CH2179)=9,ISERROR(FIND("-",LEFT(CH2179,8))),ISNUMBER(-LEFT(CH2179,8))),VALUE(MID(CH2179,5,2)),VALUE(MID(CH2179,FIND("-",CH2179)+1,FIND("-",CH2179,FIND("-",CH2179)+1)-FIND("-",CH2179)-1))),""))</f>
        <v/>
      </c>
      <c r="CO2179">
        <f>IF(CH2179="","",IFERROR(IF(AND(LEN(CH2179)=9,ISERROR(FIND("-",LEFT(CH2179,8))),ISNUMBER(-LEFT(CH2179,8))),VALUE(MID(CH2179,7,2)),VALUE(MID(CH2179,FIND("-",CH2179,FIND("-",CH2179)+1)+1,FIND("-",CH2179,FIND("-",CH2179,FIND("-",CH2179)+1)+1)-FIND("-",CH2179,FIND("-",CH2179)+1)-1))),""))</f>
        <v/>
      </c>
    </row>
    <row r="2180">
      <c r="CH2180">
        <f>IF(ISTEXT('월 가계부'!A2180),SUBSTITUTE(SUBSTITUTE(SUBSTITUTE(SUBSTITUTE(SUBSTITUTE(SUBSTITUTE(SUBSTITUTE(SUBSTITUTE(SUBSTITUTE(TRIM('월 가계부'!A2180),"년","-"),"월","-"),"일",""),".","-"),"/","-")," ","-"),"--","-"),"--","-"),"--","-")&amp;"-","")</f>
        <v/>
      </c>
      <c r="CI2180">
        <f>IFERROR(IF('월 가계부'!A2180="","",IF(ISNUMBER('월 가계부'!A2180),IF(AND('월 가계부'!A2180&gt;=19000101,'월 가계부'!A2180&lt;=21001231),IF(AND(MOD(INT('월 가계부'!A2180/100),100)&gt;=1,MOD(INT('월 가계부'!A2180/100),100)&lt;=12,MOD(INT('월 가계부'!A2180),100)&gt;=1,MOD(INT('월 가계부'!A2180),100)&lt;=31),IF(MONTH(DATE(INT('월 가계부'!A2180/10000),MOD(INT('월 가계부'!A2180/100),100),MOD(INT('월 가계부'!A2180),100)))=MOD(INT('월 가계부'!A2180/100),100),DATE(INT('월 가계부'!A2180/10000),MOD(INT('월 가계부'!A2180/100),100),MOD(INT('월 가계부'!A2180),100)),""),""),IF(AND('월 가계부'!A2180&gt;=36526,'월 가계부'!A2180&lt;73051),INT('월 가계부'!A2180),"")),IF(OR(CM2180="",CN2180="",CO2180=""),"",IF(AND(CM2180&gt;=2000,CM2180&lt;=2099,CN2180&gt;=1,CN2180&lt;=12,CO2180&gt;=1,CO2180&lt;=31),IF(MONTH(DATE(CM2180,CN2180,CO2180))=CN2180,DATE(CM2180,CN2180,CO2180),""),"")))),"")</f>
        <v/>
      </c>
      <c r="CJ2180">
        <f>IFERROR(IF('월 가계부'!C2180="","",IF(ISNUMBER('월 가계부'!C2180),'월 가계부'!C2180,VALUE(SUBSTITUTE(SUBSTITUTE(SUBSTITUTE(SUBSTITUTE(TRIM('월 가계부'!C2180),",",""),"원","")," ",""),"−","-")))),"")</f>
        <v/>
      </c>
      <c r="CK2180">
        <f>IF(ISNUMBER(CI2180),IF(CI2180&lt;$B$13,CI2180,""),"")</f>
        <v/>
      </c>
      <c r="CM2180">
        <f>IF(CH2180="","",IFERROR(IF(IF(AND(LEN(CH2180)=9,ISERROR(FIND("-",LEFT(CH2180,8))),ISNUMBER(-LEFT(CH2180,8))),VALUE(LEFT(CH2180,4)),VALUE(LEFT(CH2180,FIND("-",CH2180)-1)))&lt;100,IF(AND(LEN(CH2180)=9,ISERROR(FIND("-",LEFT(CH2180,8))),ISNUMBER(-LEFT(CH2180,8))),VALUE(LEFT(CH2180,4)),VALUE(LEFT(CH2180,FIND("-",CH2180)-1)))+2000,IF(AND(LEN(CH2180)=9,ISERROR(FIND("-",LEFT(CH2180,8))),ISNUMBER(-LEFT(CH2180,8))),VALUE(LEFT(CH2180,4)),VALUE(LEFT(CH2180,FIND("-",CH2180)-1)))),""))</f>
        <v/>
      </c>
      <c r="CN2180">
        <f>IF(CH2180="","",IFERROR(IF(AND(LEN(CH2180)=9,ISERROR(FIND("-",LEFT(CH2180,8))),ISNUMBER(-LEFT(CH2180,8))),VALUE(MID(CH2180,5,2)),VALUE(MID(CH2180,FIND("-",CH2180)+1,FIND("-",CH2180,FIND("-",CH2180)+1)-FIND("-",CH2180)-1))),""))</f>
        <v/>
      </c>
      <c r="CO2180">
        <f>IF(CH2180="","",IFERROR(IF(AND(LEN(CH2180)=9,ISERROR(FIND("-",LEFT(CH2180,8))),ISNUMBER(-LEFT(CH2180,8))),VALUE(MID(CH2180,7,2)),VALUE(MID(CH2180,FIND("-",CH2180,FIND("-",CH2180)+1)+1,FIND("-",CH2180,FIND("-",CH2180,FIND("-",CH2180)+1)+1)-FIND("-",CH2180,FIND("-",CH2180)+1)-1))),""))</f>
        <v/>
      </c>
    </row>
    <row r="2181">
      <c r="CH2181">
        <f>IF(ISTEXT('월 가계부'!A2181),SUBSTITUTE(SUBSTITUTE(SUBSTITUTE(SUBSTITUTE(SUBSTITUTE(SUBSTITUTE(SUBSTITUTE(SUBSTITUTE(SUBSTITUTE(TRIM('월 가계부'!A2181),"년","-"),"월","-"),"일",""),".","-"),"/","-")," ","-"),"--","-"),"--","-"),"--","-")&amp;"-","")</f>
        <v/>
      </c>
      <c r="CI2181">
        <f>IFERROR(IF('월 가계부'!A2181="","",IF(ISNUMBER('월 가계부'!A2181),IF(AND('월 가계부'!A2181&gt;=19000101,'월 가계부'!A2181&lt;=21001231),IF(AND(MOD(INT('월 가계부'!A2181/100),100)&gt;=1,MOD(INT('월 가계부'!A2181/100),100)&lt;=12,MOD(INT('월 가계부'!A2181),100)&gt;=1,MOD(INT('월 가계부'!A2181),100)&lt;=31),IF(MONTH(DATE(INT('월 가계부'!A2181/10000),MOD(INT('월 가계부'!A2181/100),100),MOD(INT('월 가계부'!A2181),100)))=MOD(INT('월 가계부'!A2181/100),100),DATE(INT('월 가계부'!A2181/10000),MOD(INT('월 가계부'!A2181/100),100),MOD(INT('월 가계부'!A2181),100)),""),""),IF(AND('월 가계부'!A2181&gt;=36526,'월 가계부'!A2181&lt;73051),INT('월 가계부'!A2181),"")),IF(OR(CM2181="",CN2181="",CO2181=""),"",IF(AND(CM2181&gt;=2000,CM2181&lt;=2099,CN2181&gt;=1,CN2181&lt;=12,CO2181&gt;=1,CO2181&lt;=31),IF(MONTH(DATE(CM2181,CN2181,CO2181))=CN2181,DATE(CM2181,CN2181,CO2181),""),"")))),"")</f>
        <v/>
      </c>
      <c r="CJ2181">
        <f>IFERROR(IF('월 가계부'!C2181="","",IF(ISNUMBER('월 가계부'!C2181),'월 가계부'!C2181,VALUE(SUBSTITUTE(SUBSTITUTE(SUBSTITUTE(SUBSTITUTE(TRIM('월 가계부'!C2181),",",""),"원","")," ",""),"−","-")))),"")</f>
        <v/>
      </c>
      <c r="CK2181">
        <f>IF(ISNUMBER(CI2181),IF(CI2181&lt;$B$13,CI2181,""),"")</f>
        <v/>
      </c>
      <c r="CM2181">
        <f>IF(CH2181="","",IFERROR(IF(IF(AND(LEN(CH2181)=9,ISERROR(FIND("-",LEFT(CH2181,8))),ISNUMBER(-LEFT(CH2181,8))),VALUE(LEFT(CH2181,4)),VALUE(LEFT(CH2181,FIND("-",CH2181)-1)))&lt;100,IF(AND(LEN(CH2181)=9,ISERROR(FIND("-",LEFT(CH2181,8))),ISNUMBER(-LEFT(CH2181,8))),VALUE(LEFT(CH2181,4)),VALUE(LEFT(CH2181,FIND("-",CH2181)-1)))+2000,IF(AND(LEN(CH2181)=9,ISERROR(FIND("-",LEFT(CH2181,8))),ISNUMBER(-LEFT(CH2181,8))),VALUE(LEFT(CH2181,4)),VALUE(LEFT(CH2181,FIND("-",CH2181)-1)))),""))</f>
        <v/>
      </c>
      <c r="CN2181">
        <f>IF(CH2181="","",IFERROR(IF(AND(LEN(CH2181)=9,ISERROR(FIND("-",LEFT(CH2181,8))),ISNUMBER(-LEFT(CH2181,8))),VALUE(MID(CH2181,5,2)),VALUE(MID(CH2181,FIND("-",CH2181)+1,FIND("-",CH2181,FIND("-",CH2181)+1)-FIND("-",CH2181)-1))),""))</f>
        <v/>
      </c>
      <c r="CO2181">
        <f>IF(CH2181="","",IFERROR(IF(AND(LEN(CH2181)=9,ISERROR(FIND("-",LEFT(CH2181,8))),ISNUMBER(-LEFT(CH2181,8))),VALUE(MID(CH2181,7,2)),VALUE(MID(CH2181,FIND("-",CH2181,FIND("-",CH2181)+1)+1,FIND("-",CH2181,FIND("-",CH2181,FIND("-",CH2181)+1)+1)-FIND("-",CH2181,FIND("-",CH2181)+1)-1))),""))</f>
        <v/>
      </c>
    </row>
    <row r="2182">
      <c r="CH2182">
        <f>IF(ISTEXT('월 가계부'!A2182),SUBSTITUTE(SUBSTITUTE(SUBSTITUTE(SUBSTITUTE(SUBSTITUTE(SUBSTITUTE(SUBSTITUTE(SUBSTITUTE(SUBSTITUTE(TRIM('월 가계부'!A2182),"년","-"),"월","-"),"일",""),".","-"),"/","-")," ","-"),"--","-"),"--","-"),"--","-")&amp;"-","")</f>
        <v/>
      </c>
      <c r="CI2182">
        <f>IFERROR(IF('월 가계부'!A2182="","",IF(ISNUMBER('월 가계부'!A2182),IF(AND('월 가계부'!A2182&gt;=19000101,'월 가계부'!A2182&lt;=21001231),IF(AND(MOD(INT('월 가계부'!A2182/100),100)&gt;=1,MOD(INT('월 가계부'!A2182/100),100)&lt;=12,MOD(INT('월 가계부'!A2182),100)&gt;=1,MOD(INT('월 가계부'!A2182),100)&lt;=31),IF(MONTH(DATE(INT('월 가계부'!A2182/10000),MOD(INT('월 가계부'!A2182/100),100),MOD(INT('월 가계부'!A2182),100)))=MOD(INT('월 가계부'!A2182/100),100),DATE(INT('월 가계부'!A2182/10000),MOD(INT('월 가계부'!A2182/100),100),MOD(INT('월 가계부'!A2182),100)),""),""),IF(AND('월 가계부'!A2182&gt;=36526,'월 가계부'!A2182&lt;73051),INT('월 가계부'!A2182),"")),IF(OR(CM2182="",CN2182="",CO2182=""),"",IF(AND(CM2182&gt;=2000,CM2182&lt;=2099,CN2182&gt;=1,CN2182&lt;=12,CO2182&gt;=1,CO2182&lt;=31),IF(MONTH(DATE(CM2182,CN2182,CO2182))=CN2182,DATE(CM2182,CN2182,CO2182),""),"")))),"")</f>
        <v/>
      </c>
      <c r="CJ2182">
        <f>IFERROR(IF('월 가계부'!C2182="","",IF(ISNUMBER('월 가계부'!C2182),'월 가계부'!C2182,VALUE(SUBSTITUTE(SUBSTITUTE(SUBSTITUTE(SUBSTITUTE(TRIM('월 가계부'!C2182),",",""),"원","")," ",""),"−","-")))),"")</f>
        <v/>
      </c>
      <c r="CK2182">
        <f>IF(ISNUMBER(CI2182),IF(CI2182&lt;$B$13,CI2182,""),"")</f>
        <v/>
      </c>
      <c r="CM2182">
        <f>IF(CH2182="","",IFERROR(IF(IF(AND(LEN(CH2182)=9,ISERROR(FIND("-",LEFT(CH2182,8))),ISNUMBER(-LEFT(CH2182,8))),VALUE(LEFT(CH2182,4)),VALUE(LEFT(CH2182,FIND("-",CH2182)-1)))&lt;100,IF(AND(LEN(CH2182)=9,ISERROR(FIND("-",LEFT(CH2182,8))),ISNUMBER(-LEFT(CH2182,8))),VALUE(LEFT(CH2182,4)),VALUE(LEFT(CH2182,FIND("-",CH2182)-1)))+2000,IF(AND(LEN(CH2182)=9,ISERROR(FIND("-",LEFT(CH2182,8))),ISNUMBER(-LEFT(CH2182,8))),VALUE(LEFT(CH2182,4)),VALUE(LEFT(CH2182,FIND("-",CH2182)-1)))),""))</f>
        <v/>
      </c>
      <c r="CN2182">
        <f>IF(CH2182="","",IFERROR(IF(AND(LEN(CH2182)=9,ISERROR(FIND("-",LEFT(CH2182,8))),ISNUMBER(-LEFT(CH2182,8))),VALUE(MID(CH2182,5,2)),VALUE(MID(CH2182,FIND("-",CH2182)+1,FIND("-",CH2182,FIND("-",CH2182)+1)-FIND("-",CH2182)-1))),""))</f>
        <v/>
      </c>
      <c r="CO2182">
        <f>IF(CH2182="","",IFERROR(IF(AND(LEN(CH2182)=9,ISERROR(FIND("-",LEFT(CH2182,8))),ISNUMBER(-LEFT(CH2182,8))),VALUE(MID(CH2182,7,2)),VALUE(MID(CH2182,FIND("-",CH2182,FIND("-",CH2182)+1)+1,FIND("-",CH2182,FIND("-",CH2182,FIND("-",CH2182)+1)+1)-FIND("-",CH2182,FIND("-",CH2182)+1)-1))),""))</f>
        <v/>
      </c>
    </row>
    <row r="2183">
      <c r="CH2183">
        <f>IF(ISTEXT('월 가계부'!A2183),SUBSTITUTE(SUBSTITUTE(SUBSTITUTE(SUBSTITUTE(SUBSTITUTE(SUBSTITUTE(SUBSTITUTE(SUBSTITUTE(SUBSTITUTE(TRIM('월 가계부'!A2183),"년","-"),"월","-"),"일",""),".","-"),"/","-")," ","-"),"--","-"),"--","-"),"--","-")&amp;"-","")</f>
        <v/>
      </c>
      <c r="CI2183">
        <f>IFERROR(IF('월 가계부'!A2183="","",IF(ISNUMBER('월 가계부'!A2183),IF(AND('월 가계부'!A2183&gt;=19000101,'월 가계부'!A2183&lt;=21001231),IF(AND(MOD(INT('월 가계부'!A2183/100),100)&gt;=1,MOD(INT('월 가계부'!A2183/100),100)&lt;=12,MOD(INT('월 가계부'!A2183),100)&gt;=1,MOD(INT('월 가계부'!A2183),100)&lt;=31),IF(MONTH(DATE(INT('월 가계부'!A2183/10000),MOD(INT('월 가계부'!A2183/100),100),MOD(INT('월 가계부'!A2183),100)))=MOD(INT('월 가계부'!A2183/100),100),DATE(INT('월 가계부'!A2183/10000),MOD(INT('월 가계부'!A2183/100),100),MOD(INT('월 가계부'!A2183),100)),""),""),IF(AND('월 가계부'!A2183&gt;=36526,'월 가계부'!A2183&lt;73051),INT('월 가계부'!A2183),"")),IF(OR(CM2183="",CN2183="",CO2183=""),"",IF(AND(CM2183&gt;=2000,CM2183&lt;=2099,CN2183&gt;=1,CN2183&lt;=12,CO2183&gt;=1,CO2183&lt;=31),IF(MONTH(DATE(CM2183,CN2183,CO2183))=CN2183,DATE(CM2183,CN2183,CO2183),""),"")))),"")</f>
        <v/>
      </c>
      <c r="CJ2183">
        <f>IFERROR(IF('월 가계부'!C2183="","",IF(ISNUMBER('월 가계부'!C2183),'월 가계부'!C2183,VALUE(SUBSTITUTE(SUBSTITUTE(SUBSTITUTE(SUBSTITUTE(TRIM('월 가계부'!C2183),",",""),"원","")," ",""),"−","-")))),"")</f>
        <v/>
      </c>
      <c r="CK2183">
        <f>IF(ISNUMBER(CI2183),IF(CI2183&lt;$B$13,CI2183,""),"")</f>
        <v/>
      </c>
      <c r="CM2183">
        <f>IF(CH2183="","",IFERROR(IF(IF(AND(LEN(CH2183)=9,ISERROR(FIND("-",LEFT(CH2183,8))),ISNUMBER(-LEFT(CH2183,8))),VALUE(LEFT(CH2183,4)),VALUE(LEFT(CH2183,FIND("-",CH2183)-1)))&lt;100,IF(AND(LEN(CH2183)=9,ISERROR(FIND("-",LEFT(CH2183,8))),ISNUMBER(-LEFT(CH2183,8))),VALUE(LEFT(CH2183,4)),VALUE(LEFT(CH2183,FIND("-",CH2183)-1)))+2000,IF(AND(LEN(CH2183)=9,ISERROR(FIND("-",LEFT(CH2183,8))),ISNUMBER(-LEFT(CH2183,8))),VALUE(LEFT(CH2183,4)),VALUE(LEFT(CH2183,FIND("-",CH2183)-1)))),""))</f>
        <v/>
      </c>
      <c r="CN2183">
        <f>IF(CH2183="","",IFERROR(IF(AND(LEN(CH2183)=9,ISERROR(FIND("-",LEFT(CH2183,8))),ISNUMBER(-LEFT(CH2183,8))),VALUE(MID(CH2183,5,2)),VALUE(MID(CH2183,FIND("-",CH2183)+1,FIND("-",CH2183,FIND("-",CH2183)+1)-FIND("-",CH2183)-1))),""))</f>
        <v/>
      </c>
      <c r="CO2183">
        <f>IF(CH2183="","",IFERROR(IF(AND(LEN(CH2183)=9,ISERROR(FIND("-",LEFT(CH2183,8))),ISNUMBER(-LEFT(CH2183,8))),VALUE(MID(CH2183,7,2)),VALUE(MID(CH2183,FIND("-",CH2183,FIND("-",CH2183)+1)+1,FIND("-",CH2183,FIND("-",CH2183,FIND("-",CH2183)+1)+1)-FIND("-",CH2183,FIND("-",CH2183)+1)-1))),""))</f>
        <v/>
      </c>
    </row>
    <row r="2184">
      <c r="CH2184">
        <f>IF(ISTEXT('월 가계부'!A2184),SUBSTITUTE(SUBSTITUTE(SUBSTITUTE(SUBSTITUTE(SUBSTITUTE(SUBSTITUTE(SUBSTITUTE(SUBSTITUTE(SUBSTITUTE(TRIM('월 가계부'!A2184),"년","-"),"월","-"),"일",""),".","-"),"/","-")," ","-"),"--","-"),"--","-"),"--","-")&amp;"-","")</f>
        <v/>
      </c>
      <c r="CI2184">
        <f>IFERROR(IF('월 가계부'!A2184="","",IF(ISNUMBER('월 가계부'!A2184),IF(AND('월 가계부'!A2184&gt;=19000101,'월 가계부'!A2184&lt;=21001231),IF(AND(MOD(INT('월 가계부'!A2184/100),100)&gt;=1,MOD(INT('월 가계부'!A2184/100),100)&lt;=12,MOD(INT('월 가계부'!A2184),100)&gt;=1,MOD(INT('월 가계부'!A2184),100)&lt;=31),IF(MONTH(DATE(INT('월 가계부'!A2184/10000),MOD(INT('월 가계부'!A2184/100),100),MOD(INT('월 가계부'!A2184),100)))=MOD(INT('월 가계부'!A2184/100),100),DATE(INT('월 가계부'!A2184/10000),MOD(INT('월 가계부'!A2184/100),100),MOD(INT('월 가계부'!A2184),100)),""),""),IF(AND('월 가계부'!A2184&gt;=36526,'월 가계부'!A2184&lt;73051),INT('월 가계부'!A2184),"")),IF(OR(CM2184="",CN2184="",CO2184=""),"",IF(AND(CM2184&gt;=2000,CM2184&lt;=2099,CN2184&gt;=1,CN2184&lt;=12,CO2184&gt;=1,CO2184&lt;=31),IF(MONTH(DATE(CM2184,CN2184,CO2184))=CN2184,DATE(CM2184,CN2184,CO2184),""),"")))),"")</f>
        <v/>
      </c>
      <c r="CJ2184">
        <f>IFERROR(IF('월 가계부'!C2184="","",IF(ISNUMBER('월 가계부'!C2184),'월 가계부'!C2184,VALUE(SUBSTITUTE(SUBSTITUTE(SUBSTITUTE(SUBSTITUTE(TRIM('월 가계부'!C2184),",",""),"원","")," ",""),"−","-")))),"")</f>
        <v/>
      </c>
      <c r="CK2184">
        <f>IF(ISNUMBER(CI2184),IF(CI2184&lt;$B$13,CI2184,""),"")</f>
        <v/>
      </c>
      <c r="CM2184">
        <f>IF(CH2184="","",IFERROR(IF(IF(AND(LEN(CH2184)=9,ISERROR(FIND("-",LEFT(CH2184,8))),ISNUMBER(-LEFT(CH2184,8))),VALUE(LEFT(CH2184,4)),VALUE(LEFT(CH2184,FIND("-",CH2184)-1)))&lt;100,IF(AND(LEN(CH2184)=9,ISERROR(FIND("-",LEFT(CH2184,8))),ISNUMBER(-LEFT(CH2184,8))),VALUE(LEFT(CH2184,4)),VALUE(LEFT(CH2184,FIND("-",CH2184)-1)))+2000,IF(AND(LEN(CH2184)=9,ISERROR(FIND("-",LEFT(CH2184,8))),ISNUMBER(-LEFT(CH2184,8))),VALUE(LEFT(CH2184,4)),VALUE(LEFT(CH2184,FIND("-",CH2184)-1)))),""))</f>
        <v/>
      </c>
      <c r="CN2184">
        <f>IF(CH2184="","",IFERROR(IF(AND(LEN(CH2184)=9,ISERROR(FIND("-",LEFT(CH2184,8))),ISNUMBER(-LEFT(CH2184,8))),VALUE(MID(CH2184,5,2)),VALUE(MID(CH2184,FIND("-",CH2184)+1,FIND("-",CH2184,FIND("-",CH2184)+1)-FIND("-",CH2184)-1))),""))</f>
        <v/>
      </c>
      <c r="CO2184">
        <f>IF(CH2184="","",IFERROR(IF(AND(LEN(CH2184)=9,ISERROR(FIND("-",LEFT(CH2184,8))),ISNUMBER(-LEFT(CH2184,8))),VALUE(MID(CH2184,7,2)),VALUE(MID(CH2184,FIND("-",CH2184,FIND("-",CH2184)+1)+1,FIND("-",CH2184,FIND("-",CH2184,FIND("-",CH2184)+1)+1)-FIND("-",CH2184,FIND("-",CH2184)+1)-1))),""))</f>
        <v/>
      </c>
    </row>
    <row r="2185">
      <c r="CH2185">
        <f>IF(ISTEXT('월 가계부'!A2185),SUBSTITUTE(SUBSTITUTE(SUBSTITUTE(SUBSTITUTE(SUBSTITUTE(SUBSTITUTE(SUBSTITUTE(SUBSTITUTE(SUBSTITUTE(TRIM('월 가계부'!A2185),"년","-"),"월","-"),"일",""),".","-"),"/","-")," ","-"),"--","-"),"--","-"),"--","-")&amp;"-","")</f>
        <v/>
      </c>
      <c r="CI2185">
        <f>IFERROR(IF('월 가계부'!A2185="","",IF(ISNUMBER('월 가계부'!A2185),IF(AND('월 가계부'!A2185&gt;=19000101,'월 가계부'!A2185&lt;=21001231),IF(AND(MOD(INT('월 가계부'!A2185/100),100)&gt;=1,MOD(INT('월 가계부'!A2185/100),100)&lt;=12,MOD(INT('월 가계부'!A2185),100)&gt;=1,MOD(INT('월 가계부'!A2185),100)&lt;=31),IF(MONTH(DATE(INT('월 가계부'!A2185/10000),MOD(INT('월 가계부'!A2185/100),100),MOD(INT('월 가계부'!A2185),100)))=MOD(INT('월 가계부'!A2185/100),100),DATE(INT('월 가계부'!A2185/10000),MOD(INT('월 가계부'!A2185/100),100),MOD(INT('월 가계부'!A2185),100)),""),""),IF(AND('월 가계부'!A2185&gt;=36526,'월 가계부'!A2185&lt;73051),INT('월 가계부'!A2185),"")),IF(OR(CM2185="",CN2185="",CO2185=""),"",IF(AND(CM2185&gt;=2000,CM2185&lt;=2099,CN2185&gt;=1,CN2185&lt;=12,CO2185&gt;=1,CO2185&lt;=31),IF(MONTH(DATE(CM2185,CN2185,CO2185))=CN2185,DATE(CM2185,CN2185,CO2185),""),"")))),"")</f>
        <v/>
      </c>
      <c r="CJ2185">
        <f>IFERROR(IF('월 가계부'!C2185="","",IF(ISNUMBER('월 가계부'!C2185),'월 가계부'!C2185,VALUE(SUBSTITUTE(SUBSTITUTE(SUBSTITUTE(SUBSTITUTE(TRIM('월 가계부'!C2185),",",""),"원","")," ",""),"−","-")))),"")</f>
        <v/>
      </c>
      <c r="CK2185">
        <f>IF(ISNUMBER(CI2185),IF(CI2185&lt;$B$13,CI2185,""),"")</f>
        <v/>
      </c>
      <c r="CM2185">
        <f>IF(CH2185="","",IFERROR(IF(IF(AND(LEN(CH2185)=9,ISERROR(FIND("-",LEFT(CH2185,8))),ISNUMBER(-LEFT(CH2185,8))),VALUE(LEFT(CH2185,4)),VALUE(LEFT(CH2185,FIND("-",CH2185)-1)))&lt;100,IF(AND(LEN(CH2185)=9,ISERROR(FIND("-",LEFT(CH2185,8))),ISNUMBER(-LEFT(CH2185,8))),VALUE(LEFT(CH2185,4)),VALUE(LEFT(CH2185,FIND("-",CH2185)-1)))+2000,IF(AND(LEN(CH2185)=9,ISERROR(FIND("-",LEFT(CH2185,8))),ISNUMBER(-LEFT(CH2185,8))),VALUE(LEFT(CH2185,4)),VALUE(LEFT(CH2185,FIND("-",CH2185)-1)))),""))</f>
        <v/>
      </c>
      <c r="CN2185">
        <f>IF(CH2185="","",IFERROR(IF(AND(LEN(CH2185)=9,ISERROR(FIND("-",LEFT(CH2185,8))),ISNUMBER(-LEFT(CH2185,8))),VALUE(MID(CH2185,5,2)),VALUE(MID(CH2185,FIND("-",CH2185)+1,FIND("-",CH2185,FIND("-",CH2185)+1)-FIND("-",CH2185)-1))),""))</f>
        <v/>
      </c>
      <c r="CO2185">
        <f>IF(CH2185="","",IFERROR(IF(AND(LEN(CH2185)=9,ISERROR(FIND("-",LEFT(CH2185,8))),ISNUMBER(-LEFT(CH2185,8))),VALUE(MID(CH2185,7,2)),VALUE(MID(CH2185,FIND("-",CH2185,FIND("-",CH2185)+1)+1,FIND("-",CH2185,FIND("-",CH2185,FIND("-",CH2185)+1)+1)-FIND("-",CH2185,FIND("-",CH2185)+1)-1))),""))</f>
        <v/>
      </c>
    </row>
    <row r="2186">
      <c r="CH2186">
        <f>IF(ISTEXT('월 가계부'!A2186),SUBSTITUTE(SUBSTITUTE(SUBSTITUTE(SUBSTITUTE(SUBSTITUTE(SUBSTITUTE(SUBSTITUTE(SUBSTITUTE(SUBSTITUTE(TRIM('월 가계부'!A2186),"년","-"),"월","-"),"일",""),".","-"),"/","-")," ","-"),"--","-"),"--","-"),"--","-")&amp;"-","")</f>
        <v/>
      </c>
      <c r="CI2186">
        <f>IFERROR(IF('월 가계부'!A2186="","",IF(ISNUMBER('월 가계부'!A2186),IF(AND('월 가계부'!A2186&gt;=19000101,'월 가계부'!A2186&lt;=21001231),IF(AND(MOD(INT('월 가계부'!A2186/100),100)&gt;=1,MOD(INT('월 가계부'!A2186/100),100)&lt;=12,MOD(INT('월 가계부'!A2186),100)&gt;=1,MOD(INT('월 가계부'!A2186),100)&lt;=31),IF(MONTH(DATE(INT('월 가계부'!A2186/10000),MOD(INT('월 가계부'!A2186/100),100),MOD(INT('월 가계부'!A2186),100)))=MOD(INT('월 가계부'!A2186/100),100),DATE(INT('월 가계부'!A2186/10000),MOD(INT('월 가계부'!A2186/100),100),MOD(INT('월 가계부'!A2186),100)),""),""),IF(AND('월 가계부'!A2186&gt;=36526,'월 가계부'!A2186&lt;73051),INT('월 가계부'!A2186),"")),IF(OR(CM2186="",CN2186="",CO2186=""),"",IF(AND(CM2186&gt;=2000,CM2186&lt;=2099,CN2186&gt;=1,CN2186&lt;=12,CO2186&gt;=1,CO2186&lt;=31),IF(MONTH(DATE(CM2186,CN2186,CO2186))=CN2186,DATE(CM2186,CN2186,CO2186),""),"")))),"")</f>
        <v/>
      </c>
      <c r="CJ2186">
        <f>IFERROR(IF('월 가계부'!C2186="","",IF(ISNUMBER('월 가계부'!C2186),'월 가계부'!C2186,VALUE(SUBSTITUTE(SUBSTITUTE(SUBSTITUTE(SUBSTITUTE(TRIM('월 가계부'!C2186),",",""),"원","")," ",""),"−","-")))),"")</f>
        <v/>
      </c>
      <c r="CK2186">
        <f>IF(ISNUMBER(CI2186),IF(CI2186&lt;$B$13,CI2186,""),"")</f>
        <v/>
      </c>
      <c r="CM2186">
        <f>IF(CH2186="","",IFERROR(IF(IF(AND(LEN(CH2186)=9,ISERROR(FIND("-",LEFT(CH2186,8))),ISNUMBER(-LEFT(CH2186,8))),VALUE(LEFT(CH2186,4)),VALUE(LEFT(CH2186,FIND("-",CH2186)-1)))&lt;100,IF(AND(LEN(CH2186)=9,ISERROR(FIND("-",LEFT(CH2186,8))),ISNUMBER(-LEFT(CH2186,8))),VALUE(LEFT(CH2186,4)),VALUE(LEFT(CH2186,FIND("-",CH2186)-1)))+2000,IF(AND(LEN(CH2186)=9,ISERROR(FIND("-",LEFT(CH2186,8))),ISNUMBER(-LEFT(CH2186,8))),VALUE(LEFT(CH2186,4)),VALUE(LEFT(CH2186,FIND("-",CH2186)-1)))),""))</f>
        <v/>
      </c>
      <c r="CN2186">
        <f>IF(CH2186="","",IFERROR(IF(AND(LEN(CH2186)=9,ISERROR(FIND("-",LEFT(CH2186,8))),ISNUMBER(-LEFT(CH2186,8))),VALUE(MID(CH2186,5,2)),VALUE(MID(CH2186,FIND("-",CH2186)+1,FIND("-",CH2186,FIND("-",CH2186)+1)-FIND("-",CH2186)-1))),""))</f>
        <v/>
      </c>
      <c r="CO2186">
        <f>IF(CH2186="","",IFERROR(IF(AND(LEN(CH2186)=9,ISERROR(FIND("-",LEFT(CH2186,8))),ISNUMBER(-LEFT(CH2186,8))),VALUE(MID(CH2186,7,2)),VALUE(MID(CH2186,FIND("-",CH2186,FIND("-",CH2186)+1)+1,FIND("-",CH2186,FIND("-",CH2186,FIND("-",CH2186)+1)+1)-FIND("-",CH2186,FIND("-",CH2186)+1)-1))),""))</f>
        <v/>
      </c>
    </row>
    <row r="2187">
      <c r="CH2187">
        <f>IF(ISTEXT('월 가계부'!A2187),SUBSTITUTE(SUBSTITUTE(SUBSTITUTE(SUBSTITUTE(SUBSTITUTE(SUBSTITUTE(SUBSTITUTE(SUBSTITUTE(SUBSTITUTE(TRIM('월 가계부'!A2187),"년","-"),"월","-"),"일",""),".","-"),"/","-")," ","-"),"--","-"),"--","-"),"--","-")&amp;"-","")</f>
        <v/>
      </c>
      <c r="CI2187">
        <f>IFERROR(IF('월 가계부'!A2187="","",IF(ISNUMBER('월 가계부'!A2187),IF(AND('월 가계부'!A2187&gt;=19000101,'월 가계부'!A2187&lt;=21001231),IF(AND(MOD(INT('월 가계부'!A2187/100),100)&gt;=1,MOD(INT('월 가계부'!A2187/100),100)&lt;=12,MOD(INT('월 가계부'!A2187),100)&gt;=1,MOD(INT('월 가계부'!A2187),100)&lt;=31),IF(MONTH(DATE(INT('월 가계부'!A2187/10000),MOD(INT('월 가계부'!A2187/100),100),MOD(INT('월 가계부'!A2187),100)))=MOD(INT('월 가계부'!A2187/100),100),DATE(INT('월 가계부'!A2187/10000),MOD(INT('월 가계부'!A2187/100),100),MOD(INT('월 가계부'!A2187),100)),""),""),IF(AND('월 가계부'!A2187&gt;=36526,'월 가계부'!A2187&lt;73051),INT('월 가계부'!A2187),"")),IF(OR(CM2187="",CN2187="",CO2187=""),"",IF(AND(CM2187&gt;=2000,CM2187&lt;=2099,CN2187&gt;=1,CN2187&lt;=12,CO2187&gt;=1,CO2187&lt;=31),IF(MONTH(DATE(CM2187,CN2187,CO2187))=CN2187,DATE(CM2187,CN2187,CO2187),""),"")))),"")</f>
        <v/>
      </c>
      <c r="CJ2187">
        <f>IFERROR(IF('월 가계부'!C2187="","",IF(ISNUMBER('월 가계부'!C2187),'월 가계부'!C2187,VALUE(SUBSTITUTE(SUBSTITUTE(SUBSTITUTE(SUBSTITUTE(TRIM('월 가계부'!C2187),",",""),"원","")," ",""),"−","-")))),"")</f>
        <v/>
      </c>
      <c r="CK2187">
        <f>IF(ISNUMBER(CI2187),IF(CI2187&lt;$B$13,CI2187,""),"")</f>
        <v/>
      </c>
      <c r="CM2187">
        <f>IF(CH2187="","",IFERROR(IF(IF(AND(LEN(CH2187)=9,ISERROR(FIND("-",LEFT(CH2187,8))),ISNUMBER(-LEFT(CH2187,8))),VALUE(LEFT(CH2187,4)),VALUE(LEFT(CH2187,FIND("-",CH2187)-1)))&lt;100,IF(AND(LEN(CH2187)=9,ISERROR(FIND("-",LEFT(CH2187,8))),ISNUMBER(-LEFT(CH2187,8))),VALUE(LEFT(CH2187,4)),VALUE(LEFT(CH2187,FIND("-",CH2187)-1)))+2000,IF(AND(LEN(CH2187)=9,ISERROR(FIND("-",LEFT(CH2187,8))),ISNUMBER(-LEFT(CH2187,8))),VALUE(LEFT(CH2187,4)),VALUE(LEFT(CH2187,FIND("-",CH2187)-1)))),""))</f>
        <v/>
      </c>
      <c r="CN2187">
        <f>IF(CH2187="","",IFERROR(IF(AND(LEN(CH2187)=9,ISERROR(FIND("-",LEFT(CH2187,8))),ISNUMBER(-LEFT(CH2187,8))),VALUE(MID(CH2187,5,2)),VALUE(MID(CH2187,FIND("-",CH2187)+1,FIND("-",CH2187,FIND("-",CH2187)+1)-FIND("-",CH2187)-1))),""))</f>
        <v/>
      </c>
      <c r="CO2187">
        <f>IF(CH2187="","",IFERROR(IF(AND(LEN(CH2187)=9,ISERROR(FIND("-",LEFT(CH2187,8))),ISNUMBER(-LEFT(CH2187,8))),VALUE(MID(CH2187,7,2)),VALUE(MID(CH2187,FIND("-",CH2187,FIND("-",CH2187)+1)+1,FIND("-",CH2187,FIND("-",CH2187,FIND("-",CH2187)+1)+1)-FIND("-",CH2187,FIND("-",CH2187)+1)-1))),""))</f>
        <v/>
      </c>
    </row>
    <row r="2188">
      <c r="CH2188">
        <f>IF(ISTEXT('월 가계부'!A2188),SUBSTITUTE(SUBSTITUTE(SUBSTITUTE(SUBSTITUTE(SUBSTITUTE(SUBSTITUTE(SUBSTITUTE(SUBSTITUTE(SUBSTITUTE(TRIM('월 가계부'!A2188),"년","-"),"월","-"),"일",""),".","-"),"/","-")," ","-"),"--","-"),"--","-"),"--","-")&amp;"-","")</f>
        <v/>
      </c>
      <c r="CI2188">
        <f>IFERROR(IF('월 가계부'!A2188="","",IF(ISNUMBER('월 가계부'!A2188),IF(AND('월 가계부'!A2188&gt;=19000101,'월 가계부'!A2188&lt;=21001231),IF(AND(MOD(INT('월 가계부'!A2188/100),100)&gt;=1,MOD(INT('월 가계부'!A2188/100),100)&lt;=12,MOD(INT('월 가계부'!A2188),100)&gt;=1,MOD(INT('월 가계부'!A2188),100)&lt;=31),IF(MONTH(DATE(INT('월 가계부'!A2188/10000),MOD(INT('월 가계부'!A2188/100),100),MOD(INT('월 가계부'!A2188),100)))=MOD(INT('월 가계부'!A2188/100),100),DATE(INT('월 가계부'!A2188/10000),MOD(INT('월 가계부'!A2188/100),100),MOD(INT('월 가계부'!A2188),100)),""),""),IF(AND('월 가계부'!A2188&gt;=36526,'월 가계부'!A2188&lt;73051),INT('월 가계부'!A2188),"")),IF(OR(CM2188="",CN2188="",CO2188=""),"",IF(AND(CM2188&gt;=2000,CM2188&lt;=2099,CN2188&gt;=1,CN2188&lt;=12,CO2188&gt;=1,CO2188&lt;=31),IF(MONTH(DATE(CM2188,CN2188,CO2188))=CN2188,DATE(CM2188,CN2188,CO2188),""),"")))),"")</f>
        <v/>
      </c>
      <c r="CJ2188">
        <f>IFERROR(IF('월 가계부'!C2188="","",IF(ISNUMBER('월 가계부'!C2188),'월 가계부'!C2188,VALUE(SUBSTITUTE(SUBSTITUTE(SUBSTITUTE(SUBSTITUTE(TRIM('월 가계부'!C2188),",",""),"원","")," ",""),"−","-")))),"")</f>
        <v/>
      </c>
      <c r="CK2188">
        <f>IF(ISNUMBER(CI2188),IF(CI2188&lt;$B$13,CI2188,""),"")</f>
        <v/>
      </c>
      <c r="CM2188">
        <f>IF(CH2188="","",IFERROR(IF(IF(AND(LEN(CH2188)=9,ISERROR(FIND("-",LEFT(CH2188,8))),ISNUMBER(-LEFT(CH2188,8))),VALUE(LEFT(CH2188,4)),VALUE(LEFT(CH2188,FIND("-",CH2188)-1)))&lt;100,IF(AND(LEN(CH2188)=9,ISERROR(FIND("-",LEFT(CH2188,8))),ISNUMBER(-LEFT(CH2188,8))),VALUE(LEFT(CH2188,4)),VALUE(LEFT(CH2188,FIND("-",CH2188)-1)))+2000,IF(AND(LEN(CH2188)=9,ISERROR(FIND("-",LEFT(CH2188,8))),ISNUMBER(-LEFT(CH2188,8))),VALUE(LEFT(CH2188,4)),VALUE(LEFT(CH2188,FIND("-",CH2188)-1)))),""))</f>
        <v/>
      </c>
      <c r="CN2188">
        <f>IF(CH2188="","",IFERROR(IF(AND(LEN(CH2188)=9,ISERROR(FIND("-",LEFT(CH2188,8))),ISNUMBER(-LEFT(CH2188,8))),VALUE(MID(CH2188,5,2)),VALUE(MID(CH2188,FIND("-",CH2188)+1,FIND("-",CH2188,FIND("-",CH2188)+1)-FIND("-",CH2188)-1))),""))</f>
        <v/>
      </c>
      <c r="CO2188">
        <f>IF(CH2188="","",IFERROR(IF(AND(LEN(CH2188)=9,ISERROR(FIND("-",LEFT(CH2188,8))),ISNUMBER(-LEFT(CH2188,8))),VALUE(MID(CH2188,7,2)),VALUE(MID(CH2188,FIND("-",CH2188,FIND("-",CH2188)+1)+1,FIND("-",CH2188,FIND("-",CH2188,FIND("-",CH2188)+1)+1)-FIND("-",CH2188,FIND("-",CH2188)+1)-1))),""))</f>
        <v/>
      </c>
    </row>
    <row r="2189">
      <c r="CH2189">
        <f>IF(ISTEXT('월 가계부'!A2189),SUBSTITUTE(SUBSTITUTE(SUBSTITUTE(SUBSTITUTE(SUBSTITUTE(SUBSTITUTE(SUBSTITUTE(SUBSTITUTE(SUBSTITUTE(TRIM('월 가계부'!A2189),"년","-"),"월","-"),"일",""),".","-"),"/","-")," ","-"),"--","-"),"--","-"),"--","-")&amp;"-","")</f>
        <v/>
      </c>
      <c r="CI2189">
        <f>IFERROR(IF('월 가계부'!A2189="","",IF(ISNUMBER('월 가계부'!A2189),IF(AND('월 가계부'!A2189&gt;=19000101,'월 가계부'!A2189&lt;=21001231),IF(AND(MOD(INT('월 가계부'!A2189/100),100)&gt;=1,MOD(INT('월 가계부'!A2189/100),100)&lt;=12,MOD(INT('월 가계부'!A2189),100)&gt;=1,MOD(INT('월 가계부'!A2189),100)&lt;=31),IF(MONTH(DATE(INT('월 가계부'!A2189/10000),MOD(INT('월 가계부'!A2189/100),100),MOD(INT('월 가계부'!A2189),100)))=MOD(INT('월 가계부'!A2189/100),100),DATE(INT('월 가계부'!A2189/10000),MOD(INT('월 가계부'!A2189/100),100),MOD(INT('월 가계부'!A2189),100)),""),""),IF(AND('월 가계부'!A2189&gt;=36526,'월 가계부'!A2189&lt;73051),INT('월 가계부'!A2189),"")),IF(OR(CM2189="",CN2189="",CO2189=""),"",IF(AND(CM2189&gt;=2000,CM2189&lt;=2099,CN2189&gt;=1,CN2189&lt;=12,CO2189&gt;=1,CO2189&lt;=31),IF(MONTH(DATE(CM2189,CN2189,CO2189))=CN2189,DATE(CM2189,CN2189,CO2189),""),"")))),"")</f>
        <v/>
      </c>
      <c r="CJ2189">
        <f>IFERROR(IF('월 가계부'!C2189="","",IF(ISNUMBER('월 가계부'!C2189),'월 가계부'!C2189,VALUE(SUBSTITUTE(SUBSTITUTE(SUBSTITUTE(SUBSTITUTE(TRIM('월 가계부'!C2189),",",""),"원","")," ",""),"−","-")))),"")</f>
        <v/>
      </c>
      <c r="CK2189">
        <f>IF(ISNUMBER(CI2189),IF(CI2189&lt;$B$13,CI2189,""),"")</f>
        <v/>
      </c>
      <c r="CM2189">
        <f>IF(CH2189="","",IFERROR(IF(IF(AND(LEN(CH2189)=9,ISERROR(FIND("-",LEFT(CH2189,8))),ISNUMBER(-LEFT(CH2189,8))),VALUE(LEFT(CH2189,4)),VALUE(LEFT(CH2189,FIND("-",CH2189)-1)))&lt;100,IF(AND(LEN(CH2189)=9,ISERROR(FIND("-",LEFT(CH2189,8))),ISNUMBER(-LEFT(CH2189,8))),VALUE(LEFT(CH2189,4)),VALUE(LEFT(CH2189,FIND("-",CH2189)-1)))+2000,IF(AND(LEN(CH2189)=9,ISERROR(FIND("-",LEFT(CH2189,8))),ISNUMBER(-LEFT(CH2189,8))),VALUE(LEFT(CH2189,4)),VALUE(LEFT(CH2189,FIND("-",CH2189)-1)))),""))</f>
        <v/>
      </c>
      <c r="CN2189">
        <f>IF(CH2189="","",IFERROR(IF(AND(LEN(CH2189)=9,ISERROR(FIND("-",LEFT(CH2189,8))),ISNUMBER(-LEFT(CH2189,8))),VALUE(MID(CH2189,5,2)),VALUE(MID(CH2189,FIND("-",CH2189)+1,FIND("-",CH2189,FIND("-",CH2189)+1)-FIND("-",CH2189)-1))),""))</f>
        <v/>
      </c>
      <c r="CO2189">
        <f>IF(CH2189="","",IFERROR(IF(AND(LEN(CH2189)=9,ISERROR(FIND("-",LEFT(CH2189,8))),ISNUMBER(-LEFT(CH2189,8))),VALUE(MID(CH2189,7,2)),VALUE(MID(CH2189,FIND("-",CH2189,FIND("-",CH2189)+1)+1,FIND("-",CH2189,FIND("-",CH2189,FIND("-",CH2189)+1)+1)-FIND("-",CH2189,FIND("-",CH2189)+1)-1))),""))</f>
        <v/>
      </c>
    </row>
    <row r="2190">
      <c r="CH2190">
        <f>IF(ISTEXT('월 가계부'!A2190),SUBSTITUTE(SUBSTITUTE(SUBSTITUTE(SUBSTITUTE(SUBSTITUTE(SUBSTITUTE(SUBSTITUTE(SUBSTITUTE(SUBSTITUTE(TRIM('월 가계부'!A2190),"년","-"),"월","-"),"일",""),".","-"),"/","-")," ","-"),"--","-"),"--","-"),"--","-")&amp;"-","")</f>
        <v/>
      </c>
      <c r="CI2190">
        <f>IFERROR(IF('월 가계부'!A2190="","",IF(ISNUMBER('월 가계부'!A2190),IF(AND('월 가계부'!A2190&gt;=19000101,'월 가계부'!A2190&lt;=21001231),IF(AND(MOD(INT('월 가계부'!A2190/100),100)&gt;=1,MOD(INT('월 가계부'!A2190/100),100)&lt;=12,MOD(INT('월 가계부'!A2190),100)&gt;=1,MOD(INT('월 가계부'!A2190),100)&lt;=31),IF(MONTH(DATE(INT('월 가계부'!A2190/10000),MOD(INT('월 가계부'!A2190/100),100),MOD(INT('월 가계부'!A2190),100)))=MOD(INT('월 가계부'!A2190/100),100),DATE(INT('월 가계부'!A2190/10000),MOD(INT('월 가계부'!A2190/100),100),MOD(INT('월 가계부'!A2190),100)),""),""),IF(AND('월 가계부'!A2190&gt;=36526,'월 가계부'!A2190&lt;73051),INT('월 가계부'!A2190),"")),IF(OR(CM2190="",CN2190="",CO2190=""),"",IF(AND(CM2190&gt;=2000,CM2190&lt;=2099,CN2190&gt;=1,CN2190&lt;=12,CO2190&gt;=1,CO2190&lt;=31),IF(MONTH(DATE(CM2190,CN2190,CO2190))=CN2190,DATE(CM2190,CN2190,CO2190),""),"")))),"")</f>
        <v/>
      </c>
      <c r="CJ2190">
        <f>IFERROR(IF('월 가계부'!C2190="","",IF(ISNUMBER('월 가계부'!C2190),'월 가계부'!C2190,VALUE(SUBSTITUTE(SUBSTITUTE(SUBSTITUTE(SUBSTITUTE(TRIM('월 가계부'!C2190),",",""),"원","")," ",""),"−","-")))),"")</f>
        <v/>
      </c>
      <c r="CK2190">
        <f>IF(ISNUMBER(CI2190),IF(CI2190&lt;$B$13,CI2190,""),"")</f>
        <v/>
      </c>
      <c r="CM2190">
        <f>IF(CH2190="","",IFERROR(IF(IF(AND(LEN(CH2190)=9,ISERROR(FIND("-",LEFT(CH2190,8))),ISNUMBER(-LEFT(CH2190,8))),VALUE(LEFT(CH2190,4)),VALUE(LEFT(CH2190,FIND("-",CH2190)-1)))&lt;100,IF(AND(LEN(CH2190)=9,ISERROR(FIND("-",LEFT(CH2190,8))),ISNUMBER(-LEFT(CH2190,8))),VALUE(LEFT(CH2190,4)),VALUE(LEFT(CH2190,FIND("-",CH2190)-1)))+2000,IF(AND(LEN(CH2190)=9,ISERROR(FIND("-",LEFT(CH2190,8))),ISNUMBER(-LEFT(CH2190,8))),VALUE(LEFT(CH2190,4)),VALUE(LEFT(CH2190,FIND("-",CH2190)-1)))),""))</f>
        <v/>
      </c>
      <c r="CN2190">
        <f>IF(CH2190="","",IFERROR(IF(AND(LEN(CH2190)=9,ISERROR(FIND("-",LEFT(CH2190,8))),ISNUMBER(-LEFT(CH2190,8))),VALUE(MID(CH2190,5,2)),VALUE(MID(CH2190,FIND("-",CH2190)+1,FIND("-",CH2190,FIND("-",CH2190)+1)-FIND("-",CH2190)-1))),""))</f>
        <v/>
      </c>
      <c r="CO2190">
        <f>IF(CH2190="","",IFERROR(IF(AND(LEN(CH2190)=9,ISERROR(FIND("-",LEFT(CH2190,8))),ISNUMBER(-LEFT(CH2190,8))),VALUE(MID(CH2190,7,2)),VALUE(MID(CH2190,FIND("-",CH2190,FIND("-",CH2190)+1)+1,FIND("-",CH2190,FIND("-",CH2190,FIND("-",CH2190)+1)+1)-FIND("-",CH2190,FIND("-",CH2190)+1)-1))),""))</f>
        <v/>
      </c>
    </row>
    <row r="2191">
      <c r="CH2191">
        <f>IF(ISTEXT('월 가계부'!A2191),SUBSTITUTE(SUBSTITUTE(SUBSTITUTE(SUBSTITUTE(SUBSTITUTE(SUBSTITUTE(SUBSTITUTE(SUBSTITUTE(SUBSTITUTE(TRIM('월 가계부'!A2191),"년","-"),"월","-"),"일",""),".","-"),"/","-")," ","-"),"--","-"),"--","-"),"--","-")&amp;"-","")</f>
        <v/>
      </c>
      <c r="CI2191">
        <f>IFERROR(IF('월 가계부'!A2191="","",IF(ISNUMBER('월 가계부'!A2191),IF(AND('월 가계부'!A2191&gt;=19000101,'월 가계부'!A2191&lt;=21001231),IF(AND(MOD(INT('월 가계부'!A2191/100),100)&gt;=1,MOD(INT('월 가계부'!A2191/100),100)&lt;=12,MOD(INT('월 가계부'!A2191),100)&gt;=1,MOD(INT('월 가계부'!A2191),100)&lt;=31),IF(MONTH(DATE(INT('월 가계부'!A2191/10000),MOD(INT('월 가계부'!A2191/100),100),MOD(INT('월 가계부'!A2191),100)))=MOD(INT('월 가계부'!A2191/100),100),DATE(INT('월 가계부'!A2191/10000),MOD(INT('월 가계부'!A2191/100),100),MOD(INT('월 가계부'!A2191),100)),""),""),IF(AND('월 가계부'!A2191&gt;=36526,'월 가계부'!A2191&lt;73051),INT('월 가계부'!A2191),"")),IF(OR(CM2191="",CN2191="",CO2191=""),"",IF(AND(CM2191&gt;=2000,CM2191&lt;=2099,CN2191&gt;=1,CN2191&lt;=12,CO2191&gt;=1,CO2191&lt;=31),IF(MONTH(DATE(CM2191,CN2191,CO2191))=CN2191,DATE(CM2191,CN2191,CO2191),""),"")))),"")</f>
        <v/>
      </c>
      <c r="CJ2191">
        <f>IFERROR(IF('월 가계부'!C2191="","",IF(ISNUMBER('월 가계부'!C2191),'월 가계부'!C2191,VALUE(SUBSTITUTE(SUBSTITUTE(SUBSTITUTE(SUBSTITUTE(TRIM('월 가계부'!C2191),",",""),"원","")," ",""),"−","-")))),"")</f>
        <v/>
      </c>
      <c r="CK2191">
        <f>IF(ISNUMBER(CI2191),IF(CI2191&lt;$B$13,CI2191,""),"")</f>
        <v/>
      </c>
      <c r="CM2191">
        <f>IF(CH2191="","",IFERROR(IF(IF(AND(LEN(CH2191)=9,ISERROR(FIND("-",LEFT(CH2191,8))),ISNUMBER(-LEFT(CH2191,8))),VALUE(LEFT(CH2191,4)),VALUE(LEFT(CH2191,FIND("-",CH2191)-1)))&lt;100,IF(AND(LEN(CH2191)=9,ISERROR(FIND("-",LEFT(CH2191,8))),ISNUMBER(-LEFT(CH2191,8))),VALUE(LEFT(CH2191,4)),VALUE(LEFT(CH2191,FIND("-",CH2191)-1)))+2000,IF(AND(LEN(CH2191)=9,ISERROR(FIND("-",LEFT(CH2191,8))),ISNUMBER(-LEFT(CH2191,8))),VALUE(LEFT(CH2191,4)),VALUE(LEFT(CH2191,FIND("-",CH2191)-1)))),""))</f>
        <v/>
      </c>
      <c r="CN2191">
        <f>IF(CH2191="","",IFERROR(IF(AND(LEN(CH2191)=9,ISERROR(FIND("-",LEFT(CH2191,8))),ISNUMBER(-LEFT(CH2191,8))),VALUE(MID(CH2191,5,2)),VALUE(MID(CH2191,FIND("-",CH2191)+1,FIND("-",CH2191,FIND("-",CH2191)+1)-FIND("-",CH2191)-1))),""))</f>
        <v/>
      </c>
      <c r="CO2191">
        <f>IF(CH2191="","",IFERROR(IF(AND(LEN(CH2191)=9,ISERROR(FIND("-",LEFT(CH2191,8))),ISNUMBER(-LEFT(CH2191,8))),VALUE(MID(CH2191,7,2)),VALUE(MID(CH2191,FIND("-",CH2191,FIND("-",CH2191)+1)+1,FIND("-",CH2191,FIND("-",CH2191,FIND("-",CH2191)+1)+1)-FIND("-",CH2191,FIND("-",CH2191)+1)-1))),""))</f>
        <v/>
      </c>
    </row>
    <row r="2192">
      <c r="CH2192">
        <f>IF(ISTEXT('월 가계부'!A2192),SUBSTITUTE(SUBSTITUTE(SUBSTITUTE(SUBSTITUTE(SUBSTITUTE(SUBSTITUTE(SUBSTITUTE(SUBSTITUTE(SUBSTITUTE(TRIM('월 가계부'!A2192),"년","-"),"월","-"),"일",""),".","-"),"/","-")," ","-"),"--","-"),"--","-"),"--","-")&amp;"-","")</f>
        <v/>
      </c>
      <c r="CI2192">
        <f>IFERROR(IF('월 가계부'!A2192="","",IF(ISNUMBER('월 가계부'!A2192),IF(AND('월 가계부'!A2192&gt;=19000101,'월 가계부'!A2192&lt;=21001231),IF(AND(MOD(INT('월 가계부'!A2192/100),100)&gt;=1,MOD(INT('월 가계부'!A2192/100),100)&lt;=12,MOD(INT('월 가계부'!A2192),100)&gt;=1,MOD(INT('월 가계부'!A2192),100)&lt;=31),IF(MONTH(DATE(INT('월 가계부'!A2192/10000),MOD(INT('월 가계부'!A2192/100),100),MOD(INT('월 가계부'!A2192),100)))=MOD(INT('월 가계부'!A2192/100),100),DATE(INT('월 가계부'!A2192/10000),MOD(INT('월 가계부'!A2192/100),100),MOD(INT('월 가계부'!A2192),100)),""),""),IF(AND('월 가계부'!A2192&gt;=36526,'월 가계부'!A2192&lt;73051),INT('월 가계부'!A2192),"")),IF(OR(CM2192="",CN2192="",CO2192=""),"",IF(AND(CM2192&gt;=2000,CM2192&lt;=2099,CN2192&gt;=1,CN2192&lt;=12,CO2192&gt;=1,CO2192&lt;=31),IF(MONTH(DATE(CM2192,CN2192,CO2192))=CN2192,DATE(CM2192,CN2192,CO2192),""),"")))),"")</f>
        <v/>
      </c>
      <c r="CJ2192">
        <f>IFERROR(IF('월 가계부'!C2192="","",IF(ISNUMBER('월 가계부'!C2192),'월 가계부'!C2192,VALUE(SUBSTITUTE(SUBSTITUTE(SUBSTITUTE(SUBSTITUTE(TRIM('월 가계부'!C2192),",",""),"원","")," ",""),"−","-")))),"")</f>
        <v/>
      </c>
      <c r="CK2192">
        <f>IF(ISNUMBER(CI2192),IF(CI2192&lt;$B$13,CI2192,""),"")</f>
        <v/>
      </c>
      <c r="CM2192">
        <f>IF(CH2192="","",IFERROR(IF(IF(AND(LEN(CH2192)=9,ISERROR(FIND("-",LEFT(CH2192,8))),ISNUMBER(-LEFT(CH2192,8))),VALUE(LEFT(CH2192,4)),VALUE(LEFT(CH2192,FIND("-",CH2192)-1)))&lt;100,IF(AND(LEN(CH2192)=9,ISERROR(FIND("-",LEFT(CH2192,8))),ISNUMBER(-LEFT(CH2192,8))),VALUE(LEFT(CH2192,4)),VALUE(LEFT(CH2192,FIND("-",CH2192)-1)))+2000,IF(AND(LEN(CH2192)=9,ISERROR(FIND("-",LEFT(CH2192,8))),ISNUMBER(-LEFT(CH2192,8))),VALUE(LEFT(CH2192,4)),VALUE(LEFT(CH2192,FIND("-",CH2192)-1)))),""))</f>
        <v/>
      </c>
      <c r="CN2192">
        <f>IF(CH2192="","",IFERROR(IF(AND(LEN(CH2192)=9,ISERROR(FIND("-",LEFT(CH2192,8))),ISNUMBER(-LEFT(CH2192,8))),VALUE(MID(CH2192,5,2)),VALUE(MID(CH2192,FIND("-",CH2192)+1,FIND("-",CH2192,FIND("-",CH2192)+1)-FIND("-",CH2192)-1))),""))</f>
        <v/>
      </c>
      <c r="CO2192">
        <f>IF(CH2192="","",IFERROR(IF(AND(LEN(CH2192)=9,ISERROR(FIND("-",LEFT(CH2192,8))),ISNUMBER(-LEFT(CH2192,8))),VALUE(MID(CH2192,7,2)),VALUE(MID(CH2192,FIND("-",CH2192,FIND("-",CH2192)+1)+1,FIND("-",CH2192,FIND("-",CH2192,FIND("-",CH2192)+1)+1)-FIND("-",CH2192,FIND("-",CH2192)+1)-1))),""))</f>
        <v/>
      </c>
    </row>
    <row r="2193">
      <c r="CH2193">
        <f>IF(ISTEXT('월 가계부'!A2193),SUBSTITUTE(SUBSTITUTE(SUBSTITUTE(SUBSTITUTE(SUBSTITUTE(SUBSTITUTE(SUBSTITUTE(SUBSTITUTE(SUBSTITUTE(TRIM('월 가계부'!A2193),"년","-"),"월","-"),"일",""),".","-"),"/","-")," ","-"),"--","-"),"--","-"),"--","-")&amp;"-","")</f>
        <v/>
      </c>
      <c r="CI2193">
        <f>IFERROR(IF('월 가계부'!A2193="","",IF(ISNUMBER('월 가계부'!A2193),IF(AND('월 가계부'!A2193&gt;=19000101,'월 가계부'!A2193&lt;=21001231),IF(AND(MOD(INT('월 가계부'!A2193/100),100)&gt;=1,MOD(INT('월 가계부'!A2193/100),100)&lt;=12,MOD(INT('월 가계부'!A2193),100)&gt;=1,MOD(INT('월 가계부'!A2193),100)&lt;=31),IF(MONTH(DATE(INT('월 가계부'!A2193/10000),MOD(INT('월 가계부'!A2193/100),100),MOD(INT('월 가계부'!A2193),100)))=MOD(INT('월 가계부'!A2193/100),100),DATE(INT('월 가계부'!A2193/10000),MOD(INT('월 가계부'!A2193/100),100),MOD(INT('월 가계부'!A2193),100)),""),""),IF(AND('월 가계부'!A2193&gt;=36526,'월 가계부'!A2193&lt;73051),INT('월 가계부'!A2193),"")),IF(OR(CM2193="",CN2193="",CO2193=""),"",IF(AND(CM2193&gt;=2000,CM2193&lt;=2099,CN2193&gt;=1,CN2193&lt;=12,CO2193&gt;=1,CO2193&lt;=31),IF(MONTH(DATE(CM2193,CN2193,CO2193))=CN2193,DATE(CM2193,CN2193,CO2193),""),"")))),"")</f>
        <v/>
      </c>
      <c r="CJ2193">
        <f>IFERROR(IF('월 가계부'!C2193="","",IF(ISNUMBER('월 가계부'!C2193),'월 가계부'!C2193,VALUE(SUBSTITUTE(SUBSTITUTE(SUBSTITUTE(SUBSTITUTE(TRIM('월 가계부'!C2193),",",""),"원","")," ",""),"−","-")))),"")</f>
        <v/>
      </c>
      <c r="CK2193">
        <f>IF(ISNUMBER(CI2193),IF(CI2193&lt;$B$13,CI2193,""),"")</f>
        <v/>
      </c>
      <c r="CM2193">
        <f>IF(CH2193="","",IFERROR(IF(IF(AND(LEN(CH2193)=9,ISERROR(FIND("-",LEFT(CH2193,8))),ISNUMBER(-LEFT(CH2193,8))),VALUE(LEFT(CH2193,4)),VALUE(LEFT(CH2193,FIND("-",CH2193)-1)))&lt;100,IF(AND(LEN(CH2193)=9,ISERROR(FIND("-",LEFT(CH2193,8))),ISNUMBER(-LEFT(CH2193,8))),VALUE(LEFT(CH2193,4)),VALUE(LEFT(CH2193,FIND("-",CH2193)-1)))+2000,IF(AND(LEN(CH2193)=9,ISERROR(FIND("-",LEFT(CH2193,8))),ISNUMBER(-LEFT(CH2193,8))),VALUE(LEFT(CH2193,4)),VALUE(LEFT(CH2193,FIND("-",CH2193)-1)))),""))</f>
        <v/>
      </c>
      <c r="CN2193">
        <f>IF(CH2193="","",IFERROR(IF(AND(LEN(CH2193)=9,ISERROR(FIND("-",LEFT(CH2193,8))),ISNUMBER(-LEFT(CH2193,8))),VALUE(MID(CH2193,5,2)),VALUE(MID(CH2193,FIND("-",CH2193)+1,FIND("-",CH2193,FIND("-",CH2193)+1)-FIND("-",CH2193)-1))),""))</f>
        <v/>
      </c>
      <c r="CO2193">
        <f>IF(CH2193="","",IFERROR(IF(AND(LEN(CH2193)=9,ISERROR(FIND("-",LEFT(CH2193,8))),ISNUMBER(-LEFT(CH2193,8))),VALUE(MID(CH2193,7,2)),VALUE(MID(CH2193,FIND("-",CH2193,FIND("-",CH2193)+1)+1,FIND("-",CH2193,FIND("-",CH2193,FIND("-",CH2193)+1)+1)-FIND("-",CH2193,FIND("-",CH2193)+1)-1))),""))</f>
        <v/>
      </c>
    </row>
    <row r="2194">
      <c r="CH2194">
        <f>IF(ISTEXT('월 가계부'!A2194),SUBSTITUTE(SUBSTITUTE(SUBSTITUTE(SUBSTITUTE(SUBSTITUTE(SUBSTITUTE(SUBSTITUTE(SUBSTITUTE(SUBSTITUTE(TRIM('월 가계부'!A2194),"년","-"),"월","-"),"일",""),".","-"),"/","-")," ","-"),"--","-"),"--","-"),"--","-")&amp;"-","")</f>
        <v/>
      </c>
      <c r="CI2194">
        <f>IFERROR(IF('월 가계부'!A2194="","",IF(ISNUMBER('월 가계부'!A2194),IF(AND('월 가계부'!A2194&gt;=19000101,'월 가계부'!A2194&lt;=21001231),IF(AND(MOD(INT('월 가계부'!A2194/100),100)&gt;=1,MOD(INT('월 가계부'!A2194/100),100)&lt;=12,MOD(INT('월 가계부'!A2194),100)&gt;=1,MOD(INT('월 가계부'!A2194),100)&lt;=31),IF(MONTH(DATE(INT('월 가계부'!A2194/10000),MOD(INT('월 가계부'!A2194/100),100),MOD(INT('월 가계부'!A2194),100)))=MOD(INT('월 가계부'!A2194/100),100),DATE(INT('월 가계부'!A2194/10000),MOD(INT('월 가계부'!A2194/100),100),MOD(INT('월 가계부'!A2194),100)),""),""),IF(AND('월 가계부'!A2194&gt;=36526,'월 가계부'!A2194&lt;73051),INT('월 가계부'!A2194),"")),IF(OR(CM2194="",CN2194="",CO2194=""),"",IF(AND(CM2194&gt;=2000,CM2194&lt;=2099,CN2194&gt;=1,CN2194&lt;=12,CO2194&gt;=1,CO2194&lt;=31),IF(MONTH(DATE(CM2194,CN2194,CO2194))=CN2194,DATE(CM2194,CN2194,CO2194),""),"")))),"")</f>
        <v/>
      </c>
      <c r="CJ2194">
        <f>IFERROR(IF('월 가계부'!C2194="","",IF(ISNUMBER('월 가계부'!C2194),'월 가계부'!C2194,VALUE(SUBSTITUTE(SUBSTITUTE(SUBSTITUTE(SUBSTITUTE(TRIM('월 가계부'!C2194),",",""),"원","")," ",""),"−","-")))),"")</f>
        <v/>
      </c>
      <c r="CK2194">
        <f>IF(ISNUMBER(CI2194),IF(CI2194&lt;$B$13,CI2194,""),"")</f>
        <v/>
      </c>
      <c r="CM2194">
        <f>IF(CH2194="","",IFERROR(IF(IF(AND(LEN(CH2194)=9,ISERROR(FIND("-",LEFT(CH2194,8))),ISNUMBER(-LEFT(CH2194,8))),VALUE(LEFT(CH2194,4)),VALUE(LEFT(CH2194,FIND("-",CH2194)-1)))&lt;100,IF(AND(LEN(CH2194)=9,ISERROR(FIND("-",LEFT(CH2194,8))),ISNUMBER(-LEFT(CH2194,8))),VALUE(LEFT(CH2194,4)),VALUE(LEFT(CH2194,FIND("-",CH2194)-1)))+2000,IF(AND(LEN(CH2194)=9,ISERROR(FIND("-",LEFT(CH2194,8))),ISNUMBER(-LEFT(CH2194,8))),VALUE(LEFT(CH2194,4)),VALUE(LEFT(CH2194,FIND("-",CH2194)-1)))),""))</f>
        <v/>
      </c>
      <c r="CN2194">
        <f>IF(CH2194="","",IFERROR(IF(AND(LEN(CH2194)=9,ISERROR(FIND("-",LEFT(CH2194,8))),ISNUMBER(-LEFT(CH2194,8))),VALUE(MID(CH2194,5,2)),VALUE(MID(CH2194,FIND("-",CH2194)+1,FIND("-",CH2194,FIND("-",CH2194)+1)-FIND("-",CH2194)-1))),""))</f>
        <v/>
      </c>
      <c r="CO2194">
        <f>IF(CH2194="","",IFERROR(IF(AND(LEN(CH2194)=9,ISERROR(FIND("-",LEFT(CH2194,8))),ISNUMBER(-LEFT(CH2194,8))),VALUE(MID(CH2194,7,2)),VALUE(MID(CH2194,FIND("-",CH2194,FIND("-",CH2194)+1)+1,FIND("-",CH2194,FIND("-",CH2194,FIND("-",CH2194)+1)+1)-FIND("-",CH2194,FIND("-",CH2194)+1)-1))),""))</f>
        <v/>
      </c>
    </row>
    <row r="2195">
      <c r="CH2195">
        <f>IF(ISTEXT('월 가계부'!A2195),SUBSTITUTE(SUBSTITUTE(SUBSTITUTE(SUBSTITUTE(SUBSTITUTE(SUBSTITUTE(SUBSTITUTE(SUBSTITUTE(SUBSTITUTE(TRIM('월 가계부'!A2195),"년","-"),"월","-"),"일",""),".","-"),"/","-")," ","-"),"--","-"),"--","-"),"--","-")&amp;"-","")</f>
        <v/>
      </c>
      <c r="CI2195">
        <f>IFERROR(IF('월 가계부'!A2195="","",IF(ISNUMBER('월 가계부'!A2195),IF(AND('월 가계부'!A2195&gt;=19000101,'월 가계부'!A2195&lt;=21001231),IF(AND(MOD(INT('월 가계부'!A2195/100),100)&gt;=1,MOD(INT('월 가계부'!A2195/100),100)&lt;=12,MOD(INT('월 가계부'!A2195),100)&gt;=1,MOD(INT('월 가계부'!A2195),100)&lt;=31),IF(MONTH(DATE(INT('월 가계부'!A2195/10000),MOD(INT('월 가계부'!A2195/100),100),MOD(INT('월 가계부'!A2195),100)))=MOD(INT('월 가계부'!A2195/100),100),DATE(INT('월 가계부'!A2195/10000),MOD(INT('월 가계부'!A2195/100),100),MOD(INT('월 가계부'!A2195),100)),""),""),IF(AND('월 가계부'!A2195&gt;=36526,'월 가계부'!A2195&lt;73051),INT('월 가계부'!A2195),"")),IF(OR(CM2195="",CN2195="",CO2195=""),"",IF(AND(CM2195&gt;=2000,CM2195&lt;=2099,CN2195&gt;=1,CN2195&lt;=12,CO2195&gt;=1,CO2195&lt;=31),IF(MONTH(DATE(CM2195,CN2195,CO2195))=CN2195,DATE(CM2195,CN2195,CO2195),""),"")))),"")</f>
        <v/>
      </c>
      <c r="CJ2195">
        <f>IFERROR(IF('월 가계부'!C2195="","",IF(ISNUMBER('월 가계부'!C2195),'월 가계부'!C2195,VALUE(SUBSTITUTE(SUBSTITUTE(SUBSTITUTE(SUBSTITUTE(TRIM('월 가계부'!C2195),",",""),"원","")," ",""),"−","-")))),"")</f>
        <v/>
      </c>
      <c r="CK2195">
        <f>IF(ISNUMBER(CI2195),IF(CI2195&lt;$B$13,CI2195,""),"")</f>
        <v/>
      </c>
      <c r="CM2195">
        <f>IF(CH2195="","",IFERROR(IF(IF(AND(LEN(CH2195)=9,ISERROR(FIND("-",LEFT(CH2195,8))),ISNUMBER(-LEFT(CH2195,8))),VALUE(LEFT(CH2195,4)),VALUE(LEFT(CH2195,FIND("-",CH2195)-1)))&lt;100,IF(AND(LEN(CH2195)=9,ISERROR(FIND("-",LEFT(CH2195,8))),ISNUMBER(-LEFT(CH2195,8))),VALUE(LEFT(CH2195,4)),VALUE(LEFT(CH2195,FIND("-",CH2195)-1)))+2000,IF(AND(LEN(CH2195)=9,ISERROR(FIND("-",LEFT(CH2195,8))),ISNUMBER(-LEFT(CH2195,8))),VALUE(LEFT(CH2195,4)),VALUE(LEFT(CH2195,FIND("-",CH2195)-1)))),""))</f>
        <v/>
      </c>
      <c r="CN2195">
        <f>IF(CH2195="","",IFERROR(IF(AND(LEN(CH2195)=9,ISERROR(FIND("-",LEFT(CH2195,8))),ISNUMBER(-LEFT(CH2195,8))),VALUE(MID(CH2195,5,2)),VALUE(MID(CH2195,FIND("-",CH2195)+1,FIND("-",CH2195,FIND("-",CH2195)+1)-FIND("-",CH2195)-1))),""))</f>
        <v/>
      </c>
      <c r="CO2195">
        <f>IF(CH2195="","",IFERROR(IF(AND(LEN(CH2195)=9,ISERROR(FIND("-",LEFT(CH2195,8))),ISNUMBER(-LEFT(CH2195,8))),VALUE(MID(CH2195,7,2)),VALUE(MID(CH2195,FIND("-",CH2195,FIND("-",CH2195)+1)+1,FIND("-",CH2195,FIND("-",CH2195,FIND("-",CH2195)+1)+1)-FIND("-",CH2195,FIND("-",CH2195)+1)-1))),""))</f>
        <v/>
      </c>
    </row>
    <row r="2196">
      <c r="CH2196">
        <f>IF(ISTEXT('월 가계부'!A2196),SUBSTITUTE(SUBSTITUTE(SUBSTITUTE(SUBSTITUTE(SUBSTITUTE(SUBSTITUTE(SUBSTITUTE(SUBSTITUTE(SUBSTITUTE(TRIM('월 가계부'!A2196),"년","-"),"월","-"),"일",""),".","-"),"/","-")," ","-"),"--","-"),"--","-"),"--","-")&amp;"-","")</f>
        <v/>
      </c>
      <c r="CI2196">
        <f>IFERROR(IF('월 가계부'!A2196="","",IF(ISNUMBER('월 가계부'!A2196),IF(AND('월 가계부'!A2196&gt;=19000101,'월 가계부'!A2196&lt;=21001231),IF(AND(MOD(INT('월 가계부'!A2196/100),100)&gt;=1,MOD(INT('월 가계부'!A2196/100),100)&lt;=12,MOD(INT('월 가계부'!A2196),100)&gt;=1,MOD(INT('월 가계부'!A2196),100)&lt;=31),IF(MONTH(DATE(INT('월 가계부'!A2196/10000),MOD(INT('월 가계부'!A2196/100),100),MOD(INT('월 가계부'!A2196),100)))=MOD(INT('월 가계부'!A2196/100),100),DATE(INT('월 가계부'!A2196/10000),MOD(INT('월 가계부'!A2196/100),100),MOD(INT('월 가계부'!A2196),100)),""),""),IF(AND('월 가계부'!A2196&gt;=36526,'월 가계부'!A2196&lt;73051),INT('월 가계부'!A2196),"")),IF(OR(CM2196="",CN2196="",CO2196=""),"",IF(AND(CM2196&gt;=2000,CM2196&lt;=2099,CN2196&gt;=1,CN2196&lt;=12,CO2196&gt;=1,CO2196&lt;=31),IF(MONTH(DATE(CM2196,CN2196,CO2196))=CN2196,DATE(CM2196,CN2196,CO2196),""),"")))),"")</f>
        <v/>
      </c>
      <c r="CJ2196">
        <f>IFERROR(IF('월 가계부'!C2196="","",IF(ISNUMBER('월 가계부'!C2196),'월 가계부'!C2196,VALUE(SUBSTITUTE(SUBSTITUTE(SUBSTITUTE(SUBSTITUTE(TRIM('월 가계부'!C2196),",",""),"원","")," ",""),"−","-")))),"")</f>
        <v/>
      </c>
      <c r="CK2196">
        <f>IF(ISNUMBER(CI2196),IF(CI2196&lt;$B$13,CI2196,""),"")</f>
        <v/>
      </c>
      <c r="CM2196">
        <f>IF(CH2196="","",IFERROR(IF(IF(AND(LEN(CH2196)=9,ISERROR(FIND("-",LEFT(CH2196,8))),ISNUMBER(-LEFT(CH2196,8))),VALUE(LEFT(CH2196,4)),VALUE(LEFT(CH2196,FIND("-",CH2196)-1)))&lt;100,IF(AND(LEN(CH2196)=9,ISERROR(FIND("-",LEFT(CH2196,8))),ISNUMBER(-LEFT(CH2196,8))),VALUE(LEFT(CH2196,4)),VALUE(LEFT(CH2196,FIND("-",CH2196)-1)))+2000,IF(AND(LEN(CH2196)=9,ISERROR(FIND("-",LEFT(CH2196,8))),ISNUMBER(-LEFT(CH2196,8))),VALUE(LEFT(CH2196,4)),VALUE(LEFT(CH2196,FIND("-",CH2196)-1)))),""))</f>
        <v/>
      </c>
      <c r="CN2196">
        <f>IF(CH2196="","",IFERROR(IF(AND(LEN(CH2196)=9,ISERROR(FIND("-",LEFT(CH2196,8))),ISNUMBER(-LEFT(CH2196,8))),VALUE(MID(CH2196,5,2)),VALUE(MID(CH2196,FIND("-",CH2196)+1,FIND("-",CH2196,FIND("-",CH2196)+1)-FIND("-",CH2196)-1))),""))</f>
        <v/>
      </c>
      <c r="CO2196">
        <f>IF(CH2196="","",IFERROR(IF(AND(LEN(CH2196)=9,ISERROR(FIND("-",LEFT(CH2196,8))),ISNUMBER(-LEFT(CH2196,8))),VALUE(MID(CH2196,7,2)),VALUE(MID(CH2196,FIND("-",CH2196,FIND("-",CH2196)+1)+1,FIND("-",CH2196,FIND("-",CH2196,FIND("-",CH2196)+1)+1)-FIND("-",CH2196,FIND("-",CH2196)+1)-1))),""))</f>
        <v/>
      </c>
    </row>
    <row r="2197">
      <c r="CH2197">
        <f>IF(ISTEXT('월 가계부'!A2197),SUBSTITUTE(SUBSTITUTE(SUBSTITUTE(SUBSTITUTE(SUBSTITUTE(SUBSTITUTE(SUBSTITUTE(SUBSTITUTE(SUBSTITUTE(TRIM('월 가계부'!A2197),"년","-"),"월","-"),"일",""),".","-"),"/","-")," ","-"),"--","-"),"--","-"),"--","-")&amp;"-","")</f>
        <v/>
      </c>
      <c r="CI2197">
        <f>IFERROR(IF('월 가계부'!A2197="","",IF(ISNUMBER('월 가계부'!A2197),IF(AND('월 가계부'!A2197&gt;=19000101,'월 가계부'!A2197&lt;=21001231),IF(AND(MOD(INT('월 가계부'!A2197/100),100)&gt;=1,MOD(INT('월 가계부'!A2197/100),100)&lt;=12,MOD(INT('월 가계부'!A2197),100)&gt;=1,MOD(INT('월 가계부'!A2197),100)&lt;=31),IF(MONTH(DATE(INT('월 가계부'!A2197/10000),MOD(INT('월 가계부'!A2197/100),100),MOD(INT('월 가계부'!A2197),100)))=MOD(INT('월 가계부'!A2197/100),100),DATE(INT('월 가계부'!A2197/10000),MOD(INT('월 가계부'!A2197/100),100),MOD(INT('월 가계부'!A2197),100)),""),""),IF(AND('월 가계부'!A2197&gt;=36526,'월 가계부'!A2197&lt;73051),INT('월 가계부'!A2197),"")),IF(OR(CM2197="",CN2197="",CO2197=""),"",IF(AND(CM2197&gt;=2000,CM2197&lt;=2099,CN2197&gt;=1,CN2197&lt;=12,CO2197&gt;=1,CO2197&lt;=31),IF(MONTH(DATE(CM2197,CN2197,CO2197))=CN2197,DATE(CM2197,CN2197,CO2197),""),"")))),"")</f>
        <v/>
      </c>
      <c r="CJ2197">
        <f>IFERROR(IF('월 가계부'!C2197="","",IF(ISNUMBER('월 가계부'!C2197),'월 가계부'!C2197,VALUE(SUBSTITUTE(SUBSTITUTE(SUBSTITUTE(SUBSTITUTE(TRIM('월 가계부'!C2197),",",""),"원","")," ",""),"−","-")))),"")</f>
        <v/>
      </c>
      <c r="CK2197">
        <f>IF(ISNUMBER(CI2197),IF(CI2197&lt;$B$13,CI2197,""),"")</f>
        <v/>
      </c>
      <c r="CM2197">
        <f>IF(CH2197="","",IFERROR(IF(IF(AND(LEN(CH2197)=9,ISERROR(FIND("-",LEFT(CH2197,8))),ISNUMBER(-LEFT(CH2197,8))),VALUE(LEFT(CH2197,4)),VALUE(LEFT(CH2197,FIND("-",CH2197)-1)))&lt;100,IF(AND(LEN(CH2197)=9,ISERROR(FIND("-",LEFT(CH2197,8))),ISNUMBER(-LEFT(CH2197,8))),VALUE(LEFT(CH2197,4)),VALUE(LEFT(CH2197,FIND("-",CH2197)-1)))+2000,IF(AND(LEN(CH2197)=9,ISERROR(FIND("-",LEFT(CH2197,8))),ISNUMBER(-LEFT(CH2197,8))),VALUE(LEFT(CH2197,4)),VALUE(LEFT(CH2197,FIND("-",CH2197)-1)))),""))</f>
        <v/>
      </c>
      <c r="CN2197">
        <f>IF(CH2197="","",IFERROR(IF(AND(LEN(CH2197)=9,ISERROR(FIND("-",LEFT(CH2197,8))),ISNUMBER(-LEFT(CH2197,8))),VALUE(MID(CH2197,5,2)),VALUE(MID(CH2197,FIND("-",CH2197)+1,FIND("-",CH2197,FIND("-",CH2197)+1)-FIND("-",CH2197)-1))),""))</f>
        <v/>
      </c>
      <c r="CO2197">
        <f>IF(CH2197="","",IFERROR(IF(AND(LEN(CH2197)=9,ISERROR(FIND("-",LEFT(CH2197,8))),ISNUMBER(-LEFT(CH2197,8))),VALUE(MID(CH2197,7,2)),VALUE(MID(CH2197,FIND("-",CH2197,FIND("-",CH2197)+1)+1,FIND("-",CH2197,FIND("-",CH2197,FIND("-",CH2197)+1)+1)-FIND("-",CH2197,FIND("-",CH2197)+1)-1))),""))</f>
        <v/>
      </c>
    </row>
    <row r="2198">
      <c r="CH2198">
        <f>IF(ISTEXT('월 가계부'!A2198),SUBSTITUTE(SUBSTITUTE(SUBSTITUTE(SUBSTITUTE(SUBSTITUTE(SUBSTITUTE(SUBSTITUTE(SUBSTITUTE(SUBSTITUTE(TRIM('월 가계부'!A2198),"년","-"),"월","-"),"일",""),".","-"),"/","-")," ","-"),"--","-"),"--","-"),"--","-")&amp;"-","")</f>
        <v/>
      </c>
      <c r="CI2198">
        <f>IFERROR(IF('월 가계부'!A2198="","",IF(ISNUMBER('월 가계부'!A2198),IF(AND('월 가계부'!A2198&gt;=19000101,'월 가계부'!A2198&lt;=21001231),IF(AND(MOD(INT('월 가계부'!A2198/100),100)&gt;=1,MOD(INT('월 가계부'!A2198/100),100)&lt;=12,MOD(INT('월 가계부'!A2198),100)&gt;=1,MOD(INT('월 가계부'!A2198),100)&lt;=31),IF(MONTH(DATE(INT('월 가계부'!A2198/10000),MOD(INT('월 가계부'!A2198/100),100),MOD(INT('월 가계부'!A2198),100)))=MOD(INT('월 가계부'!A2198/100),100),DATE(INT('월 가계부'!A2198/10000),MOD(INT('월 가계부'!A2198/100),100),MOD(INT('월 가계부'!A2198),100)),""),""),IF(AND('월 가계부'!A2198&gt;=36526,'월 가계부'!A2198&lt;73051),INT('월 가계부'!A2198),"")),IF(OR(CM2198="",CN2198="",CO2198=""),"",IF(AND(CM2198&gt;=2000,CM2198&lt;=2099,CN2198&gt;=1,CN2198&lt;=12,CO2198&gt;=1,CO2198&lt;=31),IF(MONTH(DATE(CM2198,CN2198,CO2198))=CN2198,DATE(CM2198,CN2198,CO2198),""),"")))),"")</f>
        <v/>
      </c>
      <c r="CJ2198">
        <f>IFERROR(IF('월 가계부'!C2198="","",IF(ISNUMBER('월 가계부'!C2198),'월 가계부'!C2198,VALUE(SUBSTITUTE(SUBSTITUTE(SUBSTITUTE(SUBSTITUTE(TRIM('월 가계부'!C2198),",",""),"원","")," ",""),"−","-")))),"")</f>
        <v/>
      </c>
      <c r="CK2198">
        <f>IF(ISNUMBER(CI2198),IF(CI2198&lt;$B$13,CI2198,""),"")</f>
        <v/>
      </c>
      <c r="CM2198">
        <f>IF(CH2198="","",IFERROR(IF(IF(AND(LEN(CH2198)=9,ISERROR(FIND("-",LEFT(CH2198,8))),ISNUMBER(-LEFT(CH2198,8))),VALUE(LEFT(CH2198,4)),VALUE(LEFT(CH2198,FIND("-",CH2198)-1)))&lt;100,IF(AND(LEN(CH2198)=9,ISERROR(FIND("-",LEFT(CH2198,8))),ISNUMBER(-LEFT(CH2198,8))),VALUE(LEFT(CH2198,4)),VALUE(LEFT(CH2198,FIND("-",CH2198)-1)))+2000,IF(AND(LEN(CH2198)=9,ISERROR(FIND("-",LEFT(CH2198,8))),ISNUMBER(-LEFT(CH2198,8))),VALUE(LEFT(CH2198,4)),VALUE(LEFT(CH2198,FIND("-",CH2198)-1)))),""))</f>
        <v/>
      </c>
      <c r="CN2198">
        <f>IF(CH2198="","",IFERROR(IF(AND(LEN(CH2198)=9,ISERROR(FIND("-",LEFT(CH2198,8))),ISNUMBER(-LEFT(CH2198,8))),VALUE(MID(CH2198,5,2)),VALUE(MID(CH2198,FIND("-",CH2198)+1,FIND("-",CH2198,FIND("-",CH2198)+1)-FIND("-",CH2198)-1))),""))</f>
        <v/>
      </c>
      <c r="CO2198">
        <f>IF(CH2198="","",IFERROR(IF(AND(LEN(CH2198)=9,ISERROR(FIND("-",LEFT(CH2198,8))),ISNUMBER(-LEFT(CH2198,8))),VALUE(MID(CH2198,7,2)),VALUE(MID(CH2198,FIND("-",CH2198,FIND("-",CH2198)+1)+1,FIND("-",CH2198,FIND("-",CH2198,FIND("-",CH2198)+1)+1)-FIND("-",CH2198,FIND("-",CH2198)+1)-1))),""))</f>
        <v/>
      </c>
    </row>
    <row r="2199">
      <c r="CH2199">
        <f>IF(ISTEXT('월 가계부'!A2199),SUBSTITUTE(SUBSTITUTE(SUBSTITUTE(SUBSTITUTE(SUBSTITUTE(SUBSTITUTE(SUBSTITUTE(SUBSTITUTE(SUBSTITUTE(TRIM('월 가계부'!A2199),"년","-"),"월","-"),"일",""),".","-"),"/","-")," ","-"),"--","-"),"--","-"),"--","-")&amp;"-","")</f>
        <v/>
      </c>
      <c r="CI2199">
        <f>IFERROR(IF('월 가계부'!A2199="","",IF(ISNUMBER('월 가계부'!A2199),IF(AND('월 가계부'!A2199&gt;=19000101,'월 가계부'!A2199&lt;=21001231),IF(AND(MOD(INT('월 가계부'!A2199/100),100)&gt;=1,MOD(INT('월 가계부'!A2199/100),100)&lt;=12,MOD(INT('월 가계부'!A2199),100)&gt;=1,MOD(INT('월 가계부'!A2199),100)&lt;=31),IF(MONTH(DATE(INT('월 가계부'!A2199/10000),MOD(INT('월 가계부'!A2199/100),100),MOD(INT('월 가계부'!A2199),100)))=MOD(INT('월 가계부'!A2199/100),100),DATE(INT('월 가계부'!A2199/10000),MOD(INT('월 가계부'!A2199/100),100),MOD(INT('월 가계부'!A2199),100)),""),""),IF(AND('월 가계부'!A2199&gt;=36526,'월 가계부'!A2199&lt;73051),INT('월 가계부'!A2199),"")),IF(OR(CM2199="",CN2199="",CO2199=""),"",IF(AND(CM2199&gt;=2000,CM2199&lt;=2099,CN2199&gt;=1,CN2199&lt;=12,CO2199&gt;=1,CO2199&lt;=31),IF(MONTH(DATE(CM2199,CN2199,CO2199))=CN2199,DATE(CM2199,CN2199,CO2199),""),"")))),"")</f>
        <v/>
      </c>
      <c r="CJ2199">
        <f>IFERROR(IF('월 가계부'!C2199="","",IF(ISNUMBER('월 가계부'!C2199),'월 가계부'!C2199,VALUE(SUBSTITUTE(SUBSTITUTE(SUBSTITUTE(SUBSTITUTE(TRIM('월 가계부'!C2199),",",""),"원","")," ",""),"−","-")))),"")</f>
        <v/>
      </c>
      <c r="CK2199">
        <f>IF(ISNUMBER(CI2199),IF(CI2199&lt;$B$13,CI2199,""),"")</f>
        <v/>
      </c>
      <c r="CM2199">
        <f>IF(CH2199="","",IFERROR(IF(IF(AND(LEN(CH2199)=9,ISERROR(FIND("-",LEFT(CH2199,8))),ISNUMBER(-LEFT(CH2199,8))),VALUE(LEFT(CH2199,4)),VALUE(LEFT(CH2199,FIND("-",CH2199)-1)))&lt;100,IF(AND(LEN(CH2199)=9,ISERROR(FIND("-",LEFT(CH2199,8))),ISNUMBER(-LEFT(CH2199,8))),VALUE(LEFT(CH2199,4)),VALUE(LEFT(CH2199,FIND("-",CH2199)-1)))+2000,IF(AND(LEN(CH2199)=9,ISERROR(FIND("-",LEFT(CH2199,8))),ISNUMBER(-LEFT(CH2199,8))),VALUE(LEFT(CH2199,4)),VALUE(LEFT(CH2199,FIND("-",CH2199)-1)))),""))</f>
        <v/>
      </c>
      <c r="CN2199">
        <f>IF(CH2199="","",IFERROR(IF(AND(LEN(CH2199)=9,ISERROR(FIND("-",LEFT(CH2199,8))),ISNUMBER(-LEFT(CH2199,8))),VALUE(MID(CH2199,5,2)),VALUE(MID(CH2199,FIND("-",CH2199)+1,FIND("-",CH2199,FIND("-",CH2199)+1)-FIND("-",CH2199)-1))),""))</f>
        <v/>
      </c>
      <c r="CO2199">
        <f>IF(CH2199="","",IFERROR(IF(AND(LEN(CH2199)=9,ISERROR(FIND("-",LEFT(CH2199,8))),ISNUMBER(-LEFT(CH2199,8))),VALUE(MID(CH2199,7,2)),VALUE(MID(CH2199,FIND("-",CH2199,FIND("-",CH2199)+1)+1,FIND("-",CH2199,FIND("-",CH2199,FIND("-",CH2199)+1)+1)-FIND("-",CH2199,FIND("-",CH2199)+1)-1))),""))</f>
        <v/>
      </c>
    </row>
    <row r="2200">
      <c r="CH2200">
        <f>IF(ISTEXT('월 가계부'!A2200),SUBSTITUTE(SUBSTITUTE(SUBSTITUTE(SUBSTITUTE(SUBSTITUTE(SUBSTITUTE(SUBSTITUTE(SUBSTITUTE(SUBSTITUTE(TRIM('월 가계부'!A2200),"년","-"),"월","-"),"일",""),".","-"),"/","-")," ","-"),"--","-"),"--","-"),"--","-")&amp;"-","")</f>
        <v/>
      </c>
      <c r="CI2200">
        <f>IFERROR(IF('월 가계부'!A2200="","",IF(ISNUMBER('월 가계부'!A2200),IF(AND('월 가계부'!A2200&gt;=19000101,'월 가계부'!A2200&lt;=21001231),IF(AND(MOD(INT('월 가계부'!A2200/100),100)&gt;=1,MOD(INT('월 가계부'!A2200/100),100)&lt;=12,MOD(INT('월 가계부'!A2200),100)&gt;=1,MOD(INT('월 가계부'!A2200),100)&lt;=31),IF(MONTH(DATE(INT('월 가계부'!A2200/10000),MOD(INT('월 가계부'!A2200/100),100),MOD(INT('월 가계부'!A2200),100)))=MOD(INT('월 가계부'!A2200/100),100),DATE(INT('월 가계부'!A2200/10000),MOD(INT('월 가계부'!A2200/100),100),MOD(INT('월 가계부'!A2200),100)),""),""),IF(AND('월 가계부'!A2200&gt;=36526,'월 가계부'!A2200&lt;73051),INT('월 가계부'!A2200),"")),IF(OR(CM2200="",CN2200="",CO2200=""),"",IF(AND(CM2200&gt;=2000,CM2200&lt;=2099,CN2200&gt;=1,CN2200&lt;=12,CO2200&gt;=1,CO2200&lt;=31),IF(MONTH(DATE(CM2200,CN2200,CO2200))=CN2200,DATE(CM2200,CN2200,CO2200),""),"")))),"")</f>
        <v/>
      </c>
      <c r="CJ2200">
        <f>IFERROR(IF('월 가계부'!C2200="","",IF(ISNUMBER('월 가계부'!C2200),'월 가계부'!C2200,VALUE(SUBSTITUTE(SUBSTITUTE(SUBSTITUTE(SUBSTITUTE(TRIM('월 가계부'!C2200),",",""),"원","")," ",""),"−","-")))),"")</f>
        <v/>
      </c>
      <c r="CK2200">
        <f>IF(ISNUMBER(CI2200),IF(CI2200&lt;$B$13,CI2200,""),"")</f>
        <v/>
      </c>
      <c r="CM2200">
        <f>IF(CH2200="","",IFERROR(IF(IF(AND(LEN(CH2200)=9,ISERROR(FIND("-",LEFT(CH2200,8))),ISNUMBER(-LEFT(CH2200,8))),VALUE(LEFT(CH2200,4)),VALUE(LEFT(CH2200,FIND("-",CH2200)-1)))&lt;100,IF(AND(LEN(CH2200)=9,ISERROR(FIND("-",LEFT(CH2200,8))),ISNUMBER(-LEFT(CH2200,8))),VALUE(LEFT(CH2200,4)),VALUE(LEFT(CH2200,FIND("-",CH2200)-1)))+2000,IF(AND(LEN(CH2200)=9,ISERROR(FIND("-",LEFT(CH2200,8))),ISNUMBER(-LEFT(CH2200,8))),VALUE(LEFT(CH2200,4)),VALUE(LEFT(CH2200,FIND("-",CH2200)-1)))),""))</f>
        <v/>
      </c>
      <c r="CN2200">
        <f>IF(CH2200="","",IFERROR(IF(AND(LEN(CH2200)=9,ISERROR(FIND("-",LEFT(CH2200,8))),ISNUMBER(-LEFT(CH2200,8))),VALUE(MID(CH2200,5,2)),VALUE(MID(CH2200,FIND("-",CH2200)+1,FIND("-",CH2200,FIND("-",CH2200)+1)-FIND("-",CH2200)-1))),""))</f>
        <v/>
      </c>
      <c r="CO2200">
        <f>IF(CH2200="","",IFERROR(IF(AND(LEN(CH2200)=9,ISERROR(FIND("-",LEFT(CH2200,8))),ISNUMBER(-LEFT(CH2200,8))),VALUE(MID(CH2200,7,2)),VALUE(MID(CH2200,FIND("-",CH2200,FIND("-",CH2200)+1)+1,FIND("-",CH2200,FIND("-",CH2200,FIND("-",CH2200)+1)+1)-FIND("-",CH2200,FIND("-",CH2200)+1)-1))),""))</f>
        <v/>
      </c>
    </row>
    <row r="2201">
      <c r="CH2201">
        <f>IF(ISTEXT('월 가계부'!A2201),SUBSTITUTE(SUBSTITUTE(SUBSTITUTE(SUBSTITUTE(SUBSTITUTE(SUBSTITUTE(SUBSTITUTE(SUBSTITUTE(SUBSTITUTE(TRIM('월 가계부'!A2201),"년","-"),"월","-"),"일",""),".","-"),"/","-")," ","-"),"--","-"),"--","-"),"--","-")&amp;"-","")</f>
        <v/>
      </c>
      <c r="CI2201">
        <f>IFERROR(IF('월 가계부'!A2201="","",IF(ISNUMBER('월 가계부'!A2201),IF(AND('월 가계부'!A2201&gt;=19000101,'월 가계부'!A2201&lt;=21001231),IF(AND(MOD(INT('월 가계부'!A2201/100),100)&gt;=1,MOD(INT('월 가계부'!A2201/100),100)&lt;=12,MOD(INT('월 가계부'!A2201),100)&gt;=1,MOD(INT('월 가계부'!A2201),100)&lt;=31),IF(MONTH(DATE(INT('월 가계부'!A2201/10000),MOD(INT('월 가계부'!A2201/100),100),MOD(INT('월 가계부'!A2201),100)))=MOD(INT('월 가계부'!A2201/100),100),DATE(INT('월 가계부'!A2201/10000),MOD(INT('월 가계부'!A2201/100),100),MOD(INT('월 가계부'!A2201),100)),""),""),IF(AND('월 가계부'!A2201&gt;=36526,'월 가계부'!A2201&lt;73051),INT('월 가계부'!A2201),"")),IF(OR(CM2201="",CN2201="",CO2201=""),"",IF(AND(CM2201&gt;=2000,CM2201&lt;=2099,CN2201&gt;=1,CN2201&lt;=12,CO2201&gt;=1,CO2201&lt;=31),IF(MONTH(DATE(CM2201,CN2201,CO2201))=CN2201,DATE(CM2201,CN2201,CO2201),""),"")))),"")</f>
        <v/>
      </c>
      <c r="CJ2201">
        <f>IFERROR(IF('월 가계부'!C2201="","",IF(ISNUMBER('월 가계부'!C2201),'월 가계부'!C2201,VALUE(SUBSTITUTE(SUBSTITUTE(SUBSTITUTE(SUBSTITUTE(TRIM('월 가계부'!C2201),",",""),"원","")," ",""),"−","-")))),"")</f>
        <v/>
      </c>
      <c r="CK2201">
        <f>IF(ISNUMBER(CI2201),IF(CI2201&lt;$B$13,CI2201,""),"")</f>
        <v/>
      </c>
      <c r="CM2201">
        <f>IF(CH2201="","",IFERROR(IF(IF(AND(LEN(CH2201)=9,ISERROR(FIND("-",LEFT(CH2201,8))),ISNUMBER(-LEFT(CH2201,8))),VALUE(LEFT(CH2201,4)),VALUE(LEFT(CH2201,FIND("-",CH2201)-1)))&lt;100,IF(AND(LEN(CH2201)=9,ISERROR(FIND("-",LEFT(CH2201,8))),ISNUMBER(-LEFT(CH2201,8))),VALUE(LEFT(CH2201,4)),VALUE(LEFT(CH2201,FIND("-",CH2201)-1)))+2000,IF(AND(LEN(CH2201)=9,ISERROR(FIND("-",LEFT(CH2201,8))),ISNUMBER(-LEFT(CH2201,8))),VALUE(LEFT(CH2201,4)),VALUE(LEFT(CH2201,FIND("-",CH2201)-1)))),""))</f>
        <v/>
      </c>
      <c r="CN2201">
        <f>IF(CH2201="","",IFERROR(IF(AND(LEN(CH2201)=9,ISERROR(FIND("-",LEFT(CH2201,8))),ISNUMBER(-LEFT(CH2201,8))),VALUE(MID(CH2201,5,2)),VALUE(MID(CH2201,FIND("-",CH2201)+1,FIND("-",CH2201,FIND("-",CH2201)+1)-FIND("-",CH2201)-1))),""))</f>
        <v/>
      </c>
      <c r="CO2201">
        <f>IF(CH2201="","",IFERROR(IF(AND(LEN(CH2201)=9,ISERROR(FIND("-",LEFT(CH2201,8))),ISNUMBER(-LEFT(CH2201,8))),VALUE(MID(CH2201,7,2)),VALUE(MID(CH2201,FIND("-",CH2201,FIND("-",CH2201)+1)+1,FIND("-",CH2201,FIND("-",CH2201,FIND("-",CH2201)+1)+1)-FIND("-",CH2201,FIND("-",CH2201)+1)-1))),""))</f>
        <v/>
      </c>
    </row>
    <row r="2202">
      <c r="CH2202">
        <f>IF(ISTEXT('월 가계부'!A2202),SUBSTITUTE(SUBSTITUTE(SUBSTITUTE(SUBSTITUTE(SUBSTITUTE(SUBSTITUTE(SUBSTITUTE(SUBSTITUTE(SUBSTITUTE(TRIM('월 가계부'!A2202),"년","-"),"월","-"),"일",""),".","-"),"/","-")," ","-"),"--","-"),"--","-"),"--","-")&amp;"-","")</f>
        <v/>
      </c>
      <c r="CI2202">
        <f>IFERROR(IF('월 가계부'!A2202="","",IF(ISNUMBER('월 가계부'!A2202),IF(AND('월 가계부'!A2202&gt;=19000101,'월 가계부'!A2202&lt;=21001231),IF(AND(MOD(INT('월 가계부'!A2202/100),100)&gt;=1,MOD(INT('월 가계부'!A2202/100),100)&lt;=12,MOD(INT('월 가계부'!A2202),100)&gt;=1,MOD(INT('월 가계부'!A2202),100)&lt;=31),IF(MONTH(DATE(INT('월 가계부'!A2202/10000),MOD(INT('월 가계부'!A2202/100),100),MOD(INT('월 가계부'!A2202),100)))=MOD(INT('월 가계부'!A2202/100),100),DATE(INT('월 가계부'!A2202/10000),MOD(INT('월 가계부'!A2202/100),100),MOD(INT('월 가계부'!A2202),100)),""),""),IF(AND('월 가계부'!A2202&gt;=36526,'월 가계부'!A2202&lt;73051),INT('월 가계부'!A2202),"")),IF(OR(CM2202="",CN2202="",CO2202=""),"",IF(AND(CM2202&gt;=2000,CM2202&lt;=2099,CN2202&gt;=1,CN2202&lt;=12,CO2202&gt;=1,CO2202&lt;=31),IF(MONTH(DATE(CM2202,CN2202,CO2202))=CN2202,DATE(CM2202,CN2202,CO2202),""),"")))),"")</f>
        <v/>
      </c>
      <c r="CJ2202">
        <f>IFERROR(IF('월 가계부'!C2202="","",IF(ISNUMBER('월 가계부'!C2202),'월 가계부'!C2202,VALUE(SUBSTITUTE(SUBSTITUTE(SUBSTITUTE(SUBSTITUTE(TRIM('월 가계부'!C2202),",",""),"원","")," ",""),"−","-")))),"")</f>
        <v/>
      </c>
      <c r="CK2202">
        <f>IF(ISNUMBER(CI2202),IF(CI2202&lt;$B$13,CI2202,""),"")</f>
        <v/>
      </c>
      <c r="CM2202">
        <f>IF(CH2202="","",IFERROR(IF(IF(AND(LEN(CH2202)=9,ISERROR(FIND("-",LEFT(CH2202,8))),ISNUMBER(-LEFT(CH2202,8))),VALUE(LEFT(CH2202,4)),VALUE(LEFT(CH2202,FIND("-",CH2202)-1)))&lt;100,IF(AND(LEN(CH2202)=9,ISERROR(FIND("-",LEFT(CH2202,8))),ISNUMBER(-LEFT(CH2202,8))),VALUE(LEFT(CH2202,4)),VALUE(LEFT(CH2202,FIND("-",CH2202)-1)))+2000,IF(AND(LEN(CH2202)=9,ISERROR(FIND("-",LEFT(CH2202,8))),ISNUMBER(-LEFT(CH2202,8))),VALUE(LEFT(CH2202,4)),VALUE(LEFT(CH2202,FIND("-",CH2202)-1)))),""))</f>
        <v/>
      </c>
      <c r="CN2202">
        <f>IF(CH2202="","",IFERROR(IF(AND(LEN(CH2202)=9,ISERROR(FIND("-",LEFT(CH2202,8))),ISNUMBER(-LEFT(CH2202,8))),VALUE(MID(CH2202,5,2)),VALUE(MID(CH2202,FIND("-",CH2202)+1,FIND("-",CH2202,FIND("-",CH2202)+1)-FIND("-",CH2202)-1))),""))</f>
        <v/>
      </c>
      <c r="CO2202">
        <f>IF(CH2202="","",IFERROR(IF(AND(LEN(CH2202)=9,ISERROR(FIND("-",LEFT(CH2202,8))),ISNUMBER(-LEFT(CH2202,8))),VALUE(MID(CH2202,7,2)),VALUE(MID(CH2202,FIND("-",CH2202,FIND("-",CH2202)+1)+1,FIND("-",CH2202,FIND("-",CH2202,FIND("-",CH2202)+1)+1)-FIND("-",CH2202,FIND("-",CH2202)+1)-1))),""))</f>
        <v/>
      </c>
    </row>
    <row r="2203">
      <c r="CH2203">
        <f>IF(ISTEXT('월 가계부'!A2203),SUBSTITUTE(SUBSTITUTE(SUBSTITUTE(SUBSTITUTE(SUBSTITUTE(SUBSTITUTE(SUBSTITUTE(SUBSTITUTE(SUBSTITUTE(TRIM('월 가계부'!A2203),"년","-"),"월","-"),"일",""),".","-"),"/","-")," ","-"),"--","-"),"--","-"),"--","-")&amp;"-","")</f>
        <v/>
      </c>
      <c r="CI2203">
        <f>IFERROR(IF('월 가계부'!A2203="","",IF(ISNUMBER('월 가계부'!A2203),IF(AND('월 가계부'!A2203&gt;=19000101,'월 가계부'!A2203&lt;=21001231),IF(AND(MOD(INT('월 가계부'!A2203/100),100)&gt;=1,MOD(INT('월 가계부'!A2203/100),100)&lt;=12,MOD(INT('월 가계부'!A2203),100)&gt;=1,MOD(INT('월 가계부'!A2203),100)&lt;=31),IF(MONTH(DATE(INT('월 가계부'!A2203/10000),MOD(INT('월 가계부'!A2203/100),100),MOD(INT('월 가계부'!A2203),100)))=MOD(INT('월 가계부'!A2203/100),100),DATE(INT('월 가계부'!A2203/10000),MOD(INT('월 가계부'!A2203/100),100),MOD(INT('월 가계부'!A2203),100)),""),""),IF(AND('월 가계부'!A2203&gt;=36526,'월 가계부'!A2203&lt;73051),INT('월 가계부'!A2203),"")),IF(OR(CM2203="",CN2203="",CO2203=""),"",IF(AND(CM2203&gt;=2000,CM2203&lt;=2099,CN2203&gt;=1,CN2203&lt;=12,CO2203&gt;=1,CO2203&lt;=31),IF(MONTH(DATE(CM2203,CN2203,CO2203))=CN2203,DATE(CM2203,CN2203,CO2203),""),"")))),"")</f>
        <v/>
      </c>
      <c r="CJ2203">
        <f>IFERROR(IF('월 가계부'!C2203="","",IF(ISNUMBER('월 가계부'!C2203),'월 가계부'!C2203,VALUE(SUBSTITUTE(SUBSTITUTE(SUBSTITUTE(SUBSTITUTE(TRIM('월 가계부'!C2203),",",""),"원","")," ",""),"−","-")))),"")</f>
        <v/>
      </c>
      <c r="CK2203">
        <f>IF(ISNUMBER(CI2203),IF(CI2203&lt;$B$13,CI2203,""),"")</f>
        <v/>
      </c>
      <c r="CM2203">
        <f>IF(CH2203="","",IFERROR(IF(IF(AND(LEN(CH2203)=9,ISERROR(FIND("-",LEFT(CH2203,8))),ISNUMBER(-LEFT(CH2203,8))),VALUE(LEFT(CH2203,4)),VALUE(LEFT(CH2203,FIND("-",CH2203)-1)))&lt;100,IF(AND(LEN(CH2203)=9,ISERROR(FIND("-",LEFT(CH2203,8))),ISNUMBER(-LEFT(CH2203,8))),VALUE(LEFT(CH2203,4)),VALUE(LEFT(CH2203,FIND("-",CH2203)-1)))+2000,IF(AND(LEN(CH2203)=9,ISERROR(FIND("-",LEFT(CH2203,8))),ISNUMBER(-LEFT(CH2203,8))),VALUE(LEFT(CH2203,4)),VALUE(LEFT(CH2203,FIND("-",CH2203)-1)))),""))</f>
        <v/>
      </c>
      <c r="CN2203">
        <f>IF(CH2203="","",IFERROR(IF(AND(LEN(CH2203)=9,ISERROR(FIND("-",LEFT(CH2203,8))),ISNUMBER(-LEFT(CH2203,8))),VALUE(MID(CH2203,5,2)),VALUE(MID(CH2203,FIND("-",CH2203)+1,FIND("-",CH2203,FIND("-",CH2203)+1)-FIND("-",CH2203)-1))),""))</f>
        <v/>
      </c>
      <c r="CO2203">
        <f>IF(CH2203="","",IFERROR(IF(AND(LEN(CH2203)=9,ISERROR(FIND("-",LEFT(CH2203,8))),ISNUMBER(-LEFT(CH2203,8))),VALUE(MID(CH2203,7,2)),VALUE(MID(CH2203,FIND("-",CH2203,FIND("-",CH2203)+1)+1,FIND("-",CH2203,FIND("-",CH2203,FIND("-",CH2203)+1)+1)-FIND("-",CH2203,FIND("-",CH2203)+1)-1))),""))</f>
        <v/>
      </c>
    </row>
    <row r="2204">
      <c r="CH2204">
        <f>IF(ISTEXT('월 가계부'!A2204),SUBSTITUTE(SUBSTITUTE(SUBSTITUTE(SUBSTITUTE(SUBSTITUTE(SUBSTITUTE(SUBSTITUTE(SUBSTITUTE(SUBSTITUTE(TRIM('월 가계부'!A2204),"년","-"),"월","-"),"일",""),".","-"),"/","-")," ","-"),"--","-"),"--","-"),"--","-")&amp;"-","")</f>
        <v/>
      </c>
      <c r="CI2204">
        <f>IFERROR(IF('월 가계부'!A2204="","",IF(ISNUMBER('월 가계부'!A2204),IF(AND('월 가계부'!A2204&gt;=19000101,'월 가계부'!A2204&lt;=21001231),IF(AND(MOD(INT('월 가계부'!A2204/100),100)&gt;=1,MOD(INT('월 가계부'!A2204/100),100)&lt;=12,MOD(INT('월 가계부'!A2204),100)&gt;=1,MOD(INT('월 가계부'!A2204),100)&lt;=31),IF(MONTH(DATE(INT('월 가계부'!A2204/10000),MOD(INT('월 가계부'!A2204/100),100),MOD(INT('월 가계부'!A2204),100)))=MOD(INT('월 가계부'!A2204/100),100),DATE(INT('월 가계부'!A2204/10000),MOD(INT('월 가계부'!A2204/100),100),MOD(INT('월 가계부'!A2204),100)),""),""),IF(AND('월 가계부'!A2204&gt;=36526,'월 가계부'!A2204&lt;73051),INT('월 가계부'!A2204),"")),IF(OR(CM2204="",CN2204="",CO2204=""),"",IF(AND(CM2204&gt;=2000,CM2204&lt;=2099,CN2204&gt;=1,CN2204&lt;=12,CO2204&gt;=1,CO2204&lt;=31),IF(MONTH(DATE(CM2204,CN2204,CO2204))=CN2204,DATE(CM2204,CN2204,CO2204),""),"")))),"")</f>
        <v/>
      </c>
      <c r="CJ2204">
        <f>IFERROR(IF('월 가계부'!C2204="","",IF(ISNUMBER('월 가계부'!C2204),'월 가계부'!C2204,VALUE(SUBSTITUTE(SUBSTITUTE(SUBSTITUTE(SUBSTITUTE(TRIM('월 가계부'!C2204),",",""),"원","")," ",""),"−","-")))),"")</f>
        <v/>
      </c>
      <c r="CK2204">
        <f>IF(ISNUMBER(CI2204),IF(CI2204&lt;$B$13,CI2204,""),"")</f>
        <v/>
      </c>
      <c r="CM2204">
        <f>IF(CH2204="","",IFERROR(IF(IF(AND(LEN(CH2204)=9,ISERROR(FIND("-",LEFT(CH2204,8))),ISNUMBER(-LEFT(CH2204,8))),VALUE(LEFT(CH2204,4)),VALUE(LEFT(CH2204,FIND("-",CH2204)-1)))&lt;100,IF(AND(LEN(CH2204)=9,ISERROR(FIND("-",LEFT(CH2204,8))),ISNUMBER(-LEFT(CH2204,8))),VALUE(LEFT(CH2204,4)),VALUE(LEFT(CH2204,FIND("-",CH2204)-1)))+2000,IF(AND(LEN(CH2204)=9,ISERROR(FIND("-",LEFT(CH2204,8))),ISNUMBER(-LEFT(CH2204,8))),VALUE(LEFT(CH2204,4)),VALUE(LEFT(CH2204,FIND("-",CH2204)-1)))),""))</f>
        <v/>
      </c>
      <c r="CN2204">
        <f>IF(CH2204="","",IFERROR(IF(AND(LEN(CH2204)=9,ISERROR(FIND("-",LEFT(CH2204,8))),ISNUMBER(-LEFT(CH2204,8))),VALUE(MID(CH2204,5,2)),VALUE(MID(CH2204,FIND("-",CH2204)+1,FIND("-",CH2204,FIND("-",CH2204)+1)-FIND("-",CH2204)-1))),""))</f>
        <v/>
      </c>
      <c r="CO2204">
        <f>IF(CH2204="","",IFERROR(IF(AND(LEN(CH2204)=9,ISERROR(FIND("-",LEFT(CH2204,8))),ISNUMBER(-LEFT(CH2204,8))),VALUE(MID(CH2204,7,2)),VALUE(MID(CH2204,FIND("-",CH2204,FIND("-",CH2204)+1)+1,FIND("-",CH2204,FIND("-",CH2204,FIND("-",CH2204)+1)+1)-FIND("-",CH2204,FIND("-",CH2204)+1)-1))),""))</f>
        <v/>
      </c>
    </row>
    <row r="2205">
      <c r="CH2205">
        <f>IF(ISTEXT('월 가계부'!A2205),SUBSTITUTE(SUBSTITUTE(SUBSTITUTE(SUBSTITUTE(SUBSTITUTE(SUBSTITUTE(SUBSTITUTE(SUBSTITUTE(SUBSTITUTE(TRIM('월 가계부'!A2205),"년","-"),"월","-"),"일",""),".","-"),"/","-")," ","-"),"--","-"),"--","-"),"--","-")&amp;"-","")</f>
        <v/>
      </c>
      <c r="CI2205">
        <f>IFERROR(IF('월 가계부'!A2205="","",IF(ISNUMBER('월 가계부'!A2205),IF(AND('월 가계부'!A2205&gt;=19000101,'월 가계부'!A2205&lt;=21001231),IF(AND(MOD(INT('월 가계부'!A2205/100),100)&gt;=1,MOD(INT('월 가계부'!A2205/100),100)&lt;=12,MOD(INT('월 가계부'!A2205),100)&gt;=1,MOD(INT('월 가계부'!A2205),100)&lt;=31),IF(MONTH(DATE(INT('월 가계부'!A2205/10000),MOD(INT('월 가계부'!A2205/100),100),MOD(INT('월 가계부'!A2205),100)))=MOD(INT('월 가계부'!A2205/100),100),DATE(INT('월 가계부'!A2205/10000),MOD(INT('월 가계부'!A2205/100),100),MOD(INT('월 가계부'!A2205),100)),""),""),IF(AND('월 가계부'!A2205&gt;=36526,'월 가계부'!A2205&lt;73051),INT('월 가계부'!A2205),"")),IF(OR(CM2205="",CN2205="",CO2205=""),"",IF(AND(CM2205&gt;=2000,CM2205&lt;=2099,CN2205&gt;=1,CN2205&lt;=12,CO2205&gt;=1,CO2205&lt;=31),IF(MONTH(DATE(CM2205,CN2205,CO2205))=CN2205,DATE(CM2205,CN2205,CO2205),""),"")))),"")</f>
        <v/>
      </c>
      <c r="CJ2205">
        <f>IFERROR(IF('월 가계부'!C2205="","",IF(ISNUMBER('월 가계부'!C2205),'월 가계부'!C2205,VALUE(SUBSTITUTE(SUBSTITUTE(SUBSTITUTE(SUBSTITUTE(TRIM('월 가계부'!C2205),",",""),"원","")," ",""),"−","-")))),"")</f>
        <v/>
      </c>
      <c r="CK2205">
        <f>IF(ISNUMBER(CI2205),IF(CI2205&lt;$B$13,CI2205,""),"")</f>
        <v/>
      </c>
      <c r="CM2205">
        <f>IF(CH2205="","",IFERROR(IF(IF(AND(LEN(CH2205)=9,ISERROR(FIND("-",LEFT(CH2205,8))),ISNUMBER(-LEFT(CH2205,8))),VALUE(LEFT(CH2205,4)),VALUE(LEFT(CH2205,FIND("-",CH2205)-1)))&lt;100,IF(AND(LEN(CH2205)=9,ISERROR(FIND("-",LEFT(CH2205,8))),ISNUMBER(-LEFT(CH2205,8))),VALUE(LEFT(CH2205,4)),VALUE(LEFT(CH2205,FIND("-",CH2205)-1)))+2000,IF(AND(LEN(CH2205)=9,ISERROR(FIND("-",LEFT(CH2205,8))),ISNUMBER(-LEFT(CH2205,8))),VALUE(LEFT(CH2205,4)),VALUE(LEFT(CH2205,FIND("-",CH2205)-1)))),""))</f>
        <v/>
      </c>
      <c r="CN2205">
        <f>IF(CH2205="","",IFERROR(IF(AND(LEN(CH2205)=9,ISERROR(FIND("-",LEFT(CH2205,8))),ISNUMBER(-LEFT(CH2205,8))),VALUE(MID(CH2205,5,2)),VALUE(MID(CH2205,FIND("-",CH2205)+1,FIND("-",CH2205,FIND("-",CH2205)+1)-FIND("-",CH2205)-1))),""))</f>
        <v/>
      </c>
      <c r="CO2205">
        <f>IF(CH2205="","",IFERROR(IF(AND(LEN(CH2205)=9,ISERROR(FIND("-",LEFT(CH2205,8))),ISNUMBER(-LEFT(CH2205,8))),VALUE(MID(CH2205,7,2)),VALUE(MID(CH2205,FIND("-",CH2205,FIND("-",CH2205)+1)+1,FIND("-",CH2205,FIND("-",CH2205,FIND("-",CH2205)+1)+1)-FIND("-",CH2205,FIND("-",CH2205)+1)-1))),""))</f>
        <v/>
      </c>
    </row>
    <row r="2206">
      <c r="CH2206">
        <f>IF(ISTEXT('월 가계부'!A2206),SUBSTITUTE(SUBSTITUTE(SUBSTITUTE(SUBSTITUTE(SUBSTITUTE(SUBSTITUTE(SUBSTITUTE(SUBSTITUTE(SUBSTITUTE(TRIM('월 가계부'!A2206),"년","-"),"월","-"),"일",""),".","-"),"/","-")," ","-"),"--","-"),"--","-"),"--","-")&amp;"-","")</f>
        <v/>
      </c>
      <c r="CI2206">
        <f>IFERROR(IF('월 가계부'!A2206="","",IF(ISNUMBER('월 가계부'!A2206),IF(AND('월 가계부'!A2206&gt;=19000101,'월 가계부'!A2206&lt;=21001231),IF(AND(MOD(INT('월 가계부'!A2206/100),100)&gt;=1,MOD(INT('월 가계부'!A2206/100),100)&lt;=12,MOD(INT('월 가계부'!A2206),100)&gt;=1,MOD(INT('월 가계부'!A2206),100)&lt;=31),IF(MONTH(DATE(INT('월 가계부'!A2206/10000),MOD(INT('월 가계부'!A2206/100),100),MOD(INT('월 가계부'!A2206),100)))=MOD(INT('월 가계부'!A2206/100),100),DATE(INT('월 가계부'!A2206/10000),MOD(INT('월 가계부'!A2206/100),100),MOD(INT('월 가계부'!A2206),100)),""),""),IF(AND('월 가계부'!A2206&gt;=36526,'월 가계부'!A2206&lt;73051),INT('월 가계부'!A2206),"")),IF(OR(CM2206="",CN2206="",CO2206=""),"",IF(AND(CM2206&gt;=2000,CM2206&lt;=2099,CN2206&gt;=1,CN2206&lt;=12,CO2206&gt;=1,CO2206&lt;=31),IF(MONTH(DATE(CM2206,CN2206,CO2206))=CN2206,DATE(CM2206,CN2206,CO2206),""),"")))),"")</f>
        <v/>
      </c>
      <c r="CJ2206">
        <f>IFERROR(IF('월 가계부'!C2206="","",IF(ISNUMBER('월 가계부'!C2206),'월 가계부'!C2206,VALUE(SUBSTITUTE(SUBSTITUTE(SUBSTITUTE(SUBSTITUTE(TRIM('월 가계부'!C2206),",",""),"원","")," ",""),"−","-")))),"")</f>
        <v/>
      </c>
      <c r="CK2206">
        <f>IF(ISNUMBER(CI2206),IF(CI2206&lt;$B$13,CI2206,""),"")</f>
        <v/>
      </c>
      <c r="CM2206">
        <f>IF(CH2206="","",IFERROR(IF(IF(AND(LEN(CH2206)=9,ISERROR(FIND("-",LEFT(CH2206,8))),ISNUMBER(-LEFT(CH2206,8))),VALUE(LEFT(CH2206,4)),VALUE(LEFT(CH2206,FIND("-",CH2206)-1)))&lt;100,IF(AND(LEN(CH2206)=9,ISERROR(FIND("-",LEFT(CH2206,8))),ISNUMBER(-LEFT(CH2206,8))),VALUE(LEFT(CH2206,4)),VALUE(LEFT(CH2206,FIND("-",CH2206)-1)))+2000,IF(AND(LEN(CH2206)=9,ISERROR(FIND("-",LEFT(CH2206,8))),ISNUMBER(-LEFT(CH2206,8))),VALUE(LEFT(CH2206,4)),VALUE(LEFT(CH2206,FIND("-",CH2206)-1)))),""))</f>
        <v/>
      </c>
      <c r="CN2206">
        <f>IF(CH2206="","",IFERROR(IF(AND(LEN(CH2206)=9,ISERROR(FIND("-",LEFT(CH2206,8))),ISNUMBER(-LEFT(CH2206,8))),VALUE(MID(CH2206,5,2)),VALUE(MID(CH2206,FIND("-",CH2206)+1,FIND("-",CH2206,FIND("-",CH2206)+1)-FIND("-",CH2206)-1))),""))</f>
        <v/>
      </c>
      <c r="CO2206">
        <f>IF(CH2206="","",IFERROR(IF(AND(LEN(CH2206)=9,ISERROR(FIND("-",LEFT(CH2206,8))),ISNUMBER(-LEFT(CH2206,8))),VALUE(MID(CH2206,7,2)),VALUE(MID(CH2206,FIND("-",CH2206,FIND("-",CH2206)+1)+1,FIND("-",CH2206,FIND("-",CH2206,FIND("-",CH2206)+1)+1)-FIND("-",CH2206,FIND("-",CH2206)+1)-1))),""))</f>
        <v/>
      </c>
    </row>
    <row r="2207">
      <c r="CH2207">
        <f>IF(ISTEXT('월 가계부'!A2207),SUBSTITUTE(SUBSTITUTE(SUBSTITUTE(SUBSTITUTE(SUBSTITUTE(SUBSTITUTE(SUBSTITUTE(SUBSTITUTE(SUBSTITUTE(TRIM('월 가계부'!A2207),"년","-"),"월","-"),"일",""),".","-"),"/","-")," ","-"),"--","-"),"--","-"),"--","-")&amp;"-","")</f>
        <v/>
      </c>
      <c r="CI2207">
        <f>IFERROR(IF('월 가계부'!A2207="","",IF(ISNUMBER('월 가계부'!A2207),IF(AND('월 가계부'!A2207&gt;=19000101,'월 가계부'!A2207&lt;=21001231),IF(AND(MOD(INT('월 가계부'!A2207/100),100)&gt;=1,MOD(INT('월 가계부'!A2207/100),100)&lt;=12,MOD(INT('월 가계부'!A2207),100)&gt;=1,MOD(INT('월 가계부'!A2207),100)&lt;=31),IF(MONTH(DATE(INT('월 가계부'!A2207/10000),MOD(INT('월 가계부'!A2207/100),100),MOD(INT('월 가계부'!A2207),100)))=MOD(INT('월 가계부'!A2207/100),100),DATE(INT('월 가계부'!A2207/10000),MOD(INT('월 가계부'!A2207/100),100),MOD(INT('월 가계부'!A2207),100)),""),""),IF(AND('월 가계부'!A2207&gt;=36526,'월 가계부'!A2207&lt;73051),INT('월 가계부'!A2207),"")),IF(OR(CM2207="",CN2207="",CO2207=""),"",IF(AND(CM2207&gt;=2000,CM2207&lt;=2099,CN2207&gt;=1,CN2207&lt;=12,CO2207&gt;=1,CO2207&lt;=31),IF(MONTH(DATE(CM2207,CN2207,CO2207))=CN2207,DATE(CM2207,CN2207,CO2207),""),"")))),"")</f>
        <v/>
      </c>
      <c r="CJ2207">
        <f>IFERROR(IF('월 가계부'!C2207="","",IF(ISNUMBER('월 가계부'!C2207),'월 가계부'!C2207,VALUE(SUBSTITUTE(SUBSTITUTE(SUBSTITUTE(SUBSTITUTE(TRIM('월 가계부'!C2207),",",""),"원","")," ",""),"−","-")))),"")</f>
        <v/>
      </c>
      <c r="CK2207">
        <f>IF(ISNUMBER(CI2207),IF(CI2207&lt;$B$13,CI2207,""),"")</f>
        <v/>
      </c>
      <c r="CM2207">
        <f>IF(CH2207="","",IFERROR(IF(IF(AND(LEN(CH2207)=9,ISERROR(FIND("-",LEFT(CH2207,8))),ISNUMBER(-LEFT(CH2207,8))),VALUE(LEFT(CH2207,4)),VALUE(LEFT(CH2207,FIND("-",CH2207)-1)))&lt;100,IF(AND(LEN(CH2207)=9,ISERROR(FIND("-",LEFT(CH2207,8))),ISNUMBER(-LEFT(CH2207,8))),VALUE(LEFT(CH2207,4)),VALUE(LEFT(CH2207,FIND("-",CH2207)-1)))+2000,IF(AND(LEN(CH2207)=9,ISERROR(FIND("-",LEFT(CH2207,8))),ISNUMBER(-LEFT(CH2207,8))),VALUE(LEFT(CH2207,4)),VALUE(LEFT(CH2207,FIND("-",CH2207)-1)))),""))</f>
        <v/>
      </c>
      <c r="CN2207">
        <f>IF(CH2207="","",IFERROR(IF(AND(LEN(CH2207)=9,ISERROR(FIND("-",LEFT(CH2207,8))),ISNUMBER(-LEFT(CH2207,8))),VALUE(MID(CH2207,5,2)),VALUE(MID(CH2207,FIND("-",CH2207)+1,FIND("-",CH2207,FIND("-",CH2207)+1)-FIND("-",CH2207)-1))),""))</f>
        <v/>
      </c>
      <c r="CO2207">
        <f>IF(CH2207="","",IFERROR(IF(AND(LEN(CH2207)=9,ISERROR(FIND("-",LEFT(CH2207,8))),ISNUMBER(-LEFT(CH2207,8))),VALUE(MID(CH2207,7,2)),VALUE(MID(CH2207,FIND("-",CH2207,FIND("-",CH2207)+1)+1,FIND("-",CH2207,FIND("-",CH2207,FIND("-",CH2207)+1)+1)-FIND("-",CH2207,FIND("-",CH2207)+1)-1))),""))</f>
        <v/>
      </c>
    </row>
    <row r="2208">
      <c r="CH2208">
        <f>IF(ISTEXT('월 가계부'!A2208),SUBSTITUTE(SUBSTITUTE(SUBSTITUTE(SUBSTITUTE(SUBSTITUTE(SUBSTITUTE(SUBSTITUTE(SUBSTITUTE(SUBSTITUTE(TRIM('월 가계부'!A2208),"년","-"),"월","-"),"일",""),".","-"),"/","-")," ","-"),"--","-"),"--","-"),"--","-")&amp;"-","")</f>
        <v/>
      </c>
      <c r="CI2208">
        <f>IFERROR(IF('월 가계부'!A2208="","",IF(ISNUMBER('월 가계부'!A2208),IF(AND('월 가계부'!A2208&gt;=19000101,'월 가계부'!A2208&lt;=21001231),IF(AND(MOD(INT('월 가계부'!A2208/100),100)&gt;=1,MOD(INT('월 가계부'!A2208/100),100)&lt;=12,MOD(INT('월 가계부'!A2208),100)&gt;=1,MOD(INT('월 가계부'!A2208),100)&lt;=31),IF(MONTH(DATE(INT('월 가계부'!A2208/10000),MOD(INT('월 가계부'!A2208/100),100),MOD(INT('월 가계부'!A2208),100)))=MOD(INT('월 가계부'!A2208/100),100),DATE(INT('월 가계부'!A2208/10000),MOD(INT('월 가계부'!A2208/100),100),MOD(INT('월 가계부'!A2208),100)),""),""),IF(AND('월 가계부'!A2208&gt;=36526,'월 가계부'!A2208&lt;73051),INT('월 가계부'!A2208),"")),IF(OR(CM2208="",CN2208="",CO2208=""),"",IF(AND(CM2208&gt;=2000,CM2208&lt;=2099,CN2208&gt;=1,CN2208&lt;=12,CO2208&gt;=1,CO2208&lt;=31),IF(MONTH(DATE(CM2208,CN2208,CO2208))=CN2208,DATE(CM2208,CN2208,CO2208),""),"")))),"")</f>
        <v/>
      </c>
      <c r="CJ2208">
        <f>IFERROR(IF('월 가계부'!C2208="","",IF(ISNUMBER('월 가계부'!C2208),'월 가계부'!C2208,VALUE(SUBSTITUTE(SUBSTITUTE(SUBSTITUTE(SUBSTITUTE(TRIM('월 가계부'!C2208),",",""),"원","")," ",""),"−","-")))),"")</f>
        <v/>
      </c>
      <c r="CK2208">
        <f>IF(ISNUMBER(CI2208),IF(CI2208&lt;$B$13,CI2208,""),"")</f>
        <v/>
      </c>
      <c r="CM2208">
        <f>IF(CH2208="","",IFERROR(IF(IF(AND(LEN(CH2208)=9,ISERROR(FIND("-",LEFT(CH2208,8))),ISNUMBER(-LEFT(CH2208,8))),VALUE(LEFT(CH2208,4)),VALUE(LEFT(CH2208,FIND("-",CH2208)-1)))&lt;100,IF(AND(LEN(CH2208)=9,ISERROR(FIND("-",LEFT(CH2208,8))),ISNUMBER(-LEFT(CH2208,8))),VALUE(LEFT(CH2208,4)),VALUE(LEFT(CH2208,FIND("-",CH2208)-1)))+2000,IF(AND(LEN(CH2208)=9,ISERROR(FIND("-",LEFT(CH2208,8))),ISNUMBER(-LEFT(CH2208,8))),VALUE(LEFT(CH2208,4)),VALUE(LEFT(CH2208,FIND("-",CH2208)-1)))),""))</f>
        <v/>
      </c>
      <c r="CN2208">
        <f>IF(CH2208="","",IFERROR(IF(AND(LEN(CH2208)=9,ISERROR(FIND("-",LEFT(CH2208,8))),ISNUMBER(-LEFT(CH2208,8))),VALUE(MID(CH2208,5,2)),VALUE(MID(CH2208,FIND("-",CH2208)+1,FIND("-",CH2208,FIND("-",CH2208)+1)-FIND("-",CH2208)-1))),""))</f>
        <v/>
      </c>
      <c r="CO2208">
        <f>IF(CH2208="","",IFERROR(IF(AND(LEN(CH2208)=9,ISERROR(FIND("-",LEFT(CH2208,8))),ISNUMBER(-LEFT(CH2208,8))),VALUE(MID(CH2208,7,2)),VALUE(MID(CH2208,FIND("-",CH2208,FIND("-",CH2208)+1)+1,FIND("-",CH2208,FIND("-",CH2208,FIND("-",CH2208)+1)+1)-FIND("-",CH2208,FIND("-",CH2208)+1)-1))),""))</f>
        <v/>
      </c>
    </row>
    <row r="2209">
      <c r="CH2209">
        <f>IF(ISTEXT('월 가계부'!A2209),SUBSTITUTE(SUBSTITUTE(SUBSTITUTE(SUBSTITUTE(SUBSTITUTE(SUBSTITUTE(SUBSTITUTE(SUBSTITUTE(SUBSTITUTE(TRIM('월 가계부'!A2209),"년","-"),"월","-"),"일",""),".","-"),"/","-")," ","-"),"--","-"),"--","-"),"--","-")&amp;"-","")</f>
        <v/>
      </c>
      <c r="CI2209">
        <f>IFERROR(IF('월 가계부'!A2209="","",IF(ISNUMBER('월 가계부'!A2209),IF(AND('월 가계부'!A2209&gt;=19000101,'월 가계부'!A2209&lt;=21001231),IF(AND(MOD(INT('월 가계부'!A2209/100),100)&gt;=1,MOD(INT('월 가계부'!A2209/100),100)&lt;=12,MOD(INT('월 가계부'!A2209),100)&gt;=1,MOD(INT('월 가계부'!A2209),100)&lt;=31),IF(MONTH(DATE(INT('월 가계부'!A2209/10000),MOD(INT('월 가계부'!A2209/100),100),MOD(INT('월 가계부'!A2209),100)))=MOD(INT('월 가계부'!A2209/100),100),DATE(INT('월 가계부'!A2209/10000),MOD(INT('월 가계부'!A2209/100),100),MOD(INT('월 가계부'!A2209),100)),""),""),IF(AND('월 가계부'!A2209&gt;=36526,'월 가계부'!A2209&lt;73051),INT('월 가계부'!A2209),"")),IF(OR(CM2209="",CN2209="",CO2209=""),"",IF(AND(CM2209&gt;=2000,CM2209&lt;=2099,CN2209&gt;=1,CN2209&lt;=12,CO2209&gt;=1,CO2209&lt;=31),IF(MONTH(DATE(CM2209,CN2209,CO2209))=CN2209,DATE(CM2209,CN2209,CO2209),""),"")))),"")</f>
        <v/>
      </c>
      <c r="CJ2209">
        <f>IFERROR(IF('월 가계부'!C2209="","",IF(ISNUMBER('월 가계부'!C2209),'월 가계부'!C2209,VALUE(SUBSTITUTE(SUBSTITUTE(SUBSTITUTE(SUBSTITUTE(TRIM('월 가계부'!C2209),",",""),"원","")," ",""),"−","-")))),"")</f>
        <v/>
      </c>
      <c r="CK2209">
        <f>IF(ISNUMBER(CI2209),IF(CI2209&lt;$B$13,CI2209,""),"")</f>
        <v/>
      </c>
      <c r="CM2209">
        <f>IF(CH2209="","",IFERROR(IF(IF(AND(LEN(CH2209)=9,ISERROR(FIND("-",LEFT(CH2209,8))),ISNUMBER(-LEFT(CH2209,8))),VALUE(LEFT(CH2209,4)),VALUE(LEFT(CH2209,FIND("-",CH2209)-1)))&lt;100,IF(AND(LEN(CH2209)=9,ISERROR(FIND("-",LEFT(CH2209,8))),ISNUMBER(-LEFT(CH2209,8))),VALUE(LEFT(CH2209,4)),VALUE(LEFT(CH2209,FIND("-",CH2209)-1)))+2000,IF(AND(LEN(CH2209)=9,ISERROR(FIND("-",LEFT(CH2209,8))),ISNUMBER(-LEFT(CH2209,8))),VALUE(LEFT(CH2209,4)),VALUE(LEFT(CH2209,FIND("-",CH2209)-1)))),""))</f>
        <v/>
      </c>
      <c r="CN2209">
        <f>IF(CH2209="","",IFERROR(IF(AND(LEN(CH2209)=9,ISERROR(FIND("-",LEFT(CH2209,8))),ISNUMBER(-LEFT(CH2209,8))),VALUE(MID(CH2209,5,2)),VALUE(MID(CH2209,FIND("-",CH2209)+1,FIND("-",CH2209,FIND("-",CH2209)+1)-FIND("-",CH2209)-1))),""))</f>
        <v/>
      </c>
      <c r="CO2209">
        <f>IF(CH2209="","",IFERROR(IF(AND(LEN(CH2209)=9,ISERROR(FIND("-",LEFT(CH2209,8))),ISNUMBER(-LEFT(CH2209,8))),VALUE(MID(CH2209,7,2)),VALUE(MID(CH2209,FIND("-",CH2209,FIND("-",CH2209)+1)+1,FIND("-",CH2209,FIND("-",CH2209,FIND("-",CH2209)+1)+1)-FIND("-",CH2209,FIND("-",CH2209)+1)-1))),""))</f>
        <v/>
      </c>
    </row>
    <row r="2210">
      <c r="CH2210">
        <f>IF(ISTEXT('월 가계부'!A2210),SUBSTITUTE(SUBSTITUTE(SUBSTITUTE(SUBSTITUTE(SUBSTITUTE(SUBSTITUTE(SUBSTITUTE(SUBSTITUTE(SUBSTITUTE(TRIM('월 가계부'!A2210),"년","-"),"월","-"),"일",""),".","-"),"/","-")," ","-"),"--","-"),"--","-"),"--","-")&amp;"-","")</f>
        <v/>
      </c>
      <c r="CI2210">
        <f>IFERROR(IF('월 가계부'!A2210="","",IF(ISNUMBER('월 가계부'!A2210),IF(AND('월 가계부'!A2210&gt;=19000101,'월 가계부'!A2210&lt;=21001231),IF(AND(MOD(INT('월 가계부'!A2210/100),100)&gt;=1,MOD(INT('월 가계부'!A2210/100),100)&lt;=12,MOD(INT('월 가계부'!A2210),100)&gt;=1,MOD(INT('월 가계부'!A2210),100)&lt;=31),IF(MONTH(DATE(INT('월 가계부'!A2210/10000),MOD(INT('월 가계부'!A2210/100),100),MOD(INT('월 가계부'!A2210),100)))=MOD(INT('월 가계부'!A2210/100),100),DATE(INT('월 가계부'!A2210/10000),MOD(INT('월 가계부'!A2210/100),100),MOD(INT('월 가계부'!A2210),100)),""),""),IF(AND('월 가계부'!A2210&gt;=36526,'월 가계부'!A2210&lt;73051),INT('월 가계부'!A2210),"")),IF(OR(CM2210="",CN2210="",CO2210=""),"",IF(AND(CM2210&gt;=2000,CM2210&lt;=2099,CN2210&gt;=1,CN2210&lt;=12,CO2210&gt;=1,CO2210&lt;=31),IF(MONTH(DATE(CM2210,CN2210,CO2210))=CN2210,DATE(CM2210,CN2210,CO2210),""),"")))),"")</f>
        <v/>
      </c>
      <c r="CJ2210">
        <f>IFERROR(IF('월 가계부'!C2210="","",IF(ISNUMBER('월 가계부'!C2210),'월 가계부'!C2210,VALUE(SUBSTITUTE(SUBSTITUTE(SUBSTITUTE(SUBSTITUTE(TRIM('월 가계부'!C2210),",",""),"원","")," ",""),"−","-")))),"")</f>
        <v/>
      </c>
      <c r="CK2210">
        <f>IF(ISNUMBER(CI2210),IF(CI2210&lt;$B$13,CI2210,""),"")</f>
        <v/>
      </c>
      <c r="CM2210">
        <f>IF(CH2210="","",IFERROR(IF(IF(AND(LEN(CH2210)=9,ISERROR(FIND("-",LEFT(CH2210,8))),ISNUMBER(-LEFT(CH2210,8))),VALUE(LEFT(CH2210,4)),VALUE(LEFT(CH2210,FIND("-",CH2210)-1)))&lt;100,IF(AND(LEN(CH2210)=9,ISERROR(FIND("-",LEFT(CH2210,8))),ISNUMBER(-LEFT(CH2210,8))),VALUE(LEFT(CH2210,4)),VALUE(LEFT(CH2210,FIND("-",CH2210)-1)))+2000,IF(AND(LEN(CH2210)=9,ISERROR(FIND("-",LEFT(CH2210,8))),ISNUMBER(-LEFT(CH2210,8))),VALUE(LEFT(CH2210,4)),VALUE(LEFT(CH2210,FIND("-",CH2210)-1)))),""))</f>
        <v/>
      </c>
      <c r="CN2210">
        <f>IF(CH2210="","",IFERROR(IF(AND(LEN(CH2210)=9,ISERROR(FIND("-",LEFT(CH2210,8))),ISNUMBER(-LEFT(CH2210,8))),VALUE(MID(CH2210,5,2)),VALUE(MID(CH2210,FIND("-",CH2210)+1,FIND("-",CH2210,FIND("-",CH2210)+1)-FIND("-",CH2210)-1))),""))</f>
        <v/>
      </c>
      <c r="CO2210">
        <f>IF(CH2210="","",IFERROR(IF(AND(LEN(CH2210)=9,ISERROR(FIND("-",LEFT(CH2210,8))),ISNUMBER(-LEFT(CH2210,8))),VALUE(MID(CH2210,7,2)),VALUE(MID(CH2210,FIND("-",CH2210,FIND("-",CH2210)+1)+1,FIND("-",CH2210,FIND("-",CH2210,FIND("-",CH2210)+1)+1)-FIND("-",CH2210,FIND("-",CH2210)+1)-1))),""))</f>
        <v/>
      </c>
    </row>
    <row r="2211">
      <c r="CH2211">
        <f>IF(ISTEXT('월 가계부'!A2211),SUBSTITUTE(SUBSTITUTE(SUBSTITUTE(SUBSTITUTE(SUBSTITUTE(SUBSTITUTE(SUBSTITUTE(SUBSTITUTE(SUBSTITUTE(TRIM('월 가계부'!A2211),"년","-"),"월","-"),"일",""),".","-"),"/","-")," ","-"),"--","-"),"--","-"),"--","-")&amp;"-","")</f>
        <v/>
      </c>
      <c r="CI2211">
        <f>IFERROR(IF('월 가계부'!A2211="","",IF(ISNUMBER('월 가계부'!A2211),IF(AND('월 가계부'!A2211&gt;=19000101,'월 가계부'!A2211&lt;=21001231),IF(AND(MOD(INT('월 가계부'!A2211/100),100)&gt;=1,MOD(INT('월 가계부'!A2211/100),100)&lt;=12,MOD(INT('월 가계부'!A2211),100)&gt;=1,MOD(INT('월 가계부'!A2211),100)&lt;=31),IF(MONTH(DATE(INT('월 가계부'!A2211/10000),MOD(INT('월 가계부'!A2211/100),100),MOD(INT('월 가계부'!A2211),100)))=MOD(INT('월 가계부'!A2211/100),100),DATE(INT('월 가계부'!A2211/10000),MOD(INT('월 가계부'!A2211/100),100),MOD(INT('월 가계부'!A2211),100)),""),""),IF(AND('월 가계부'!A2211&gt;=36526,'월 가계부'!A2211&lt;73051),INT('월 가계부'!A2211),"")),IF(OR(CM2211="",CN2211="",CO2211=""),"",IF(AND(CM2211&gt;=2000,CM2211&lt;=2099,CN2211&gt;=1,CN2211&lt;=12,CO2211&gt;=1,CO2211&lt;=31),IF(MONTH(DATE(CM2211,CN2211,CO2211))=CN2211,DATE(CM2211,CN2211,CO2211),""),"")))),"")</f>
        <v/>
      </c>
      <c r="CJ2211">
        <f>IFERROR(IF('월 가계부'!C2211="","",IF(ISNUMBER('월 가계부'!C2211),'월 가계부'!C2211,VALUE(SUBSTITUTE(SUBSTITUTE(SUBSTITUTE(SUBSTITUTE(TRIM('월 가계부'!C2211),",",""),"원","")," ",""),"−","-")))),"")</f>
        <v/>
      </c>
      <c r="CK2211">
        <f>IF(ISNUMBER(CI2211),IF(CI2211&lt;$B$13,CI2211,""),"")</f>
        <v/>
      </c>
      <c r="CM2211">
        <f>IF(CH2211="","",IFERROR(IF(IF(AND(LEN(CH2211)=9,ISERROR(FIND("-",LEFT(CH2211,8))),ISNUMBER(-LEFT(CH2211,8))),VALUE(LEFT(CH2211,4)),VALUE(LEFT(CH2211,FIND("-",CH2211)-1)))&lt;100,IF(AND(LEN(CH2211)=9,ISERROR(FIND("-",LEFT(CH2211,8))),ISNUMBER(-LEFT(CH2211,8))),VALUE(LEFT(CH2211,4)),VALUE(LEFT(CH2211,FIND("-",CH2211)-1)))+2000,IF(AND(LEN(CH2211)=9,ISERROR(FIND("-",LEFT(CH2211,8))),ISNUMBER(-LEFT(CH2211,8))),VALUE(LEFT(CH2211,4)),VALUE(LEFT(CH2211,FIND("-",CH2211)-1)))),""))</f>
        <v/>
      </c>
      <c r="CN2211">
        <f>IF(CH2211="","",IFERROR(IF(AND(LEN(CH2211)=9,ISERROR(FIND("-",LEFT(CH2211,8))),ISNUMBER(-LEFT(CH2211,8))),VALUE(MID(CH2211,5,2)),VALUE(MID(CH2211,FIND("-",CH2211)+1,FIND("-",CH2211,FIND("-",CH2211)+1)-FIND("-",CH2211)-1))),""))</f>
        <v/>
      </c>
      <c r="CO2211">
        <f>IF(CH2211="","",IFERROR(IF(AND(LEN(CH2211)=9,ISERROR(FIND("-",LEFT(CH2211,8))),ISNUMBER(-LEFT(CH2211,8))),VALUE(MID(CH2211,7,2)),VALUE(MID(CH2211,FIND("-",CH2211,FIND("-",CH2211)+1)+1,FIND("-",CH2211,FIND("-",CH2211,FIND("-",CH2211)+1)+1)-FIND("-",CH2211,FIND("-",CH2211)+1)-1))),""))</f>
        <v/>
      </c>
    </row>
    <row r="2212">
      <c r="CH2212">
        <f>IF(ISTEXT('월 가계부'!A2212),SUBSTITUTE(SUBSTITUTE(SUBSTITUTE(SUBSTITUTE(SUBSTITUTE(SUBSTITUTE(SUBSTITUTE(SUBSTITUTE(SUBSTITUTE(TRIM('월 가계부'!A2212),"년","-"),"월","-"),"일",""),".","-"),"/","-")," ","-"),"--","-"),"--","-"),"--","-")&amp;"-","")</f>
        <v/>
      </c>
      <c r="CI2212">
        <f>IFERROR(IF('월 가계부'!A2212="","",IF(ISNUMBER('월 가계부'!A2212),IF(AND('월 가계부'!A2212&gt;=19000101,'월 가계부'!A2212&lt;=21001231),IF(AND(MOD(INT('월 가계부'!A2212/100),100)&gt;=1,MOD(INT('월 가계부'!A2212/100),100)&lt;=12,MOD(INT('월 가계부'!A2212),100)&gt;=1,MOD(INT('월 가계부'!A2212),100)&lt;=31),IF(MONTH(DATE(INT('월 가계부'!A2212/10000),MOD(INT('월 가계부'!A2212/100),100),MOD(INT('월 가계부'!A2212),100)))=MOD(INT('월 가계부'!A2212/100),100),DATE(INT('월 가계부'!A2212/10000),MOD(INT('월 가계부'!A2212/100),100),MOD(INT('월 가계부'!A2212),100)),""),""),IF(AND('월 가계부'!A2212&gt;=36526,'월 가계부'!A2212&lt;73051),INT('월 가계부'!A2212),"")),IF(OR(CM2212="",CN2212="",CO2212=""),"",IF(AND(CM2212&gt;=2000,CM2212&lt;=2099,CN2212&gt;=1,CN2212&lt;=12,CO2212&gt;=1,CO2212&lt;=31),IF(MONTH(DATE(CM2212,CN2212,CO2212))=CN2212,DATE(CM2212,CN2212,CO2212),""),"")))),"")</f>
        <v/>
      </c>
      <c r="CJ2212">
        <f>IFERROR(IF('월 가계부'!C2212="","",IF(ISNUMBER('월 가계부'!C2212),'월 가계부'!C2212,VALUE(SUBSTITUTE(SUBSTITUTE(SUBSTITUTE(SUBSTITUTE(TRIM('월 가계부'!C2212),",",""),"원","")," ",""),"−","-")))),"")</f>
        <v/>
      </c>
      <c r="CK2212">
        <f>IF(ISNUMBER(CI2212),IF(CI2212&lt;$B$13,CI2212,""),"")</f>
        <v/>
      </c>
      <c r="CM2212">
        <f>IF(CH2212="","",IFERROR(IF(IF(AND(LEN(CH2212)=9,ISERROR(FIND("-",LEFT(CH2212,8))),ISNUMBER(-LEFT(CH2212,8))),VALUE(LEFT(CH2212,4)),VALUE(LEFT(CH2212,FIND("-",CH2212)-1)))&lt;100,IF(AND(LEN(CH2212)=9,ISERROR(FIND("-",LEFT(CH2212,8))),ISNUMBER(-LEFT(CH2212,8))),VALUE(LEFT(CH2212,4)),VALUE(LEFT(CH2212,FIND("-",CH2212)-1)))+2000,IF(AND(LEN(CH2212)=9,ISERROR(FIND("-",LEFT(CH2212,8))),ISNUMBER(-LEFT(CH2212,8))),VALUE(LEFT(CH2212,4)),VALUE(LEFT(CH2212,FIND("-",CH2212)-1)))),""))</f>
        <v/>
      </c>
      <c r="CN2212">
        <f>IF(CH2212="","",IFERROR(IF(AND(LEN(CH2212)=9,ISERROR(FIND("-",LEFT(CH2212,8))),ISNUMBER(-LEFT(CH2212,8))),VALUE(MID(CH2212,5,2)),VALUE(MID(CH2212,FIND("-",CH2212)+1,FIND("-",CH2212,FIND("-",CH2212)+1)-FIND("-",CH2212)-1))),""))</f>
        <v/>
      </c>
      <c r="CO2212">
        <f>IF(CH2212="","",IFERROR(IF(AND(LEN(CH2212)=9,ISERROR(FIND("-",LEFT(CH2212,8))),ISNUMBER(-LEFT(CH2212,8))),VALUE(MID(CH2212,7,2)),VALUE(MID(CH2212,FIND("-",CH2212,FIND("-",CH2212)+1)+1,FIND("-",CH2212,FIND("-",CH2212,FIND("-",CH2212)+1)+1)-FIND("-",CH2212,FIND("-",CH2212)+1)-1))),""))</f>
        <v/>
      </c>
    </row>
    <row r="2213">
      <c r="CH2213">
        <f>IF(ISTEXT('월 가계부'!A2213),SUBSTITUTE(SUBSTITUTE(SUBSTITUTE(SUBSTITUTE(SUBSTITUTE(SUBSTITUTE(SUBSTITUTE(SUBSTITUTE(SUBSTITUTE(TRIM('월 가계부'!A2213),"년","-"),"월","-"),"일",""),".","-"),"/","-")," ","-"),"--","-"),"--","-"),"--","-")&amp;"-","")</f>
        <v/>
      </c>
      <c r="CI2213">
        <f>IFERROR(IF('월 가계부'!A2213="","",IF(ISNUMBER('월 가계부'!A2213),IF(AND('월 가계부'!A2213&gt;=19000101,'월 가계부'!A2213&lt;=21001231),IF(AND(MOD(INT('월 가계부'!A2213/100),100)&gt;=1,MOD(INT('월 가계부'!A2213/100),100)&lt;=12,MOD(INT('월 가계부'!A2213),100)&gt;=1,MOD(INT('월 가계부'!A2213),100)&lt;=31),IF(MONTH(DATE(INT('월 가계부'!A2213/10000),MOD(INT('월 가계부'!A2213/100),100),MOD(INT('월 가계부'!A2213),100)))=MOD(INT('월 가계부'!A2213/100),100),DATE(INT('월 가계부'!A2213/10000),MOD(INT('월 가계부'!A2213/100),100),MOD(INT('월 가계부'!A2213),100)),""),""),IF(AND('월 가계부'!A2213&gt;=36526,'월 가계부'!A2213&lt;73051),INT('월 가계부'!A2213),"")),IF(OR(CM2213="",CN2213="",CO2213=""),"",IF(AND(CM2213&gt;=2000,CM2213&lt;=2099,CN2213&gt;=1,CN2213&lt;=12,CO2213&gt;=1,CO2213&lt;=31),IF(MONTH(DATE(CM2213,CN2213,CO2213))=CN2213,DATE(CM2213,CN2213,CO2213),""),"")))),"")</f>
        <v/>
      </c>
      <c r="CJ2213">
        <f>IFERROR(IF('월 가계부'!C2213="","",IF(ISNUMBER('월 가계부'!C2213),'월 가계부'!C2213,VALUE(SUBSTITUTE(SUBSTITUTE(SUBSTITUTE(SUBSTITUTE(TRIM('월 가계부'!C2213),",",""),"원","")," ",""),"−","-")))),"")</f>
        <v/>
      </c>
      <c r="CK2213">
        <f>IF(ISNUMBER(CI2213),IF(CI2213&lt;$B$13,CI2213,""),"")</f>
        <v/>
      </c>
      <c r="CM2213">
        <f>IF(CH2213="","",IFERROR(IF(IF(AND(LEN(CH2213)=9,ISERROR(FIND("-",LEFT(CH2213,8))),ISNUMBER(-LEFT(CH2213,8))),VALUE(LEFT(CH2213,4)),VALUE(LEFT(CH2213,FIND("-",CH2213)-1)))&lt;100,IF(AND(LEN(CH2213)=9,ISERROR(FIND("-",LEFT(CH2213,8))),ISNUMBER(-LEFT(CH2213,8))),VALUE(LEFT(CH2213,4)),VALUE(LEFT(CH2213,FIND("-",CH2213)-1)))+2000,IF(AND(LEN(CH2213)=9,ISERROR(FIND("-",LEFT(CH2213,8))),ISNUMBER(-LEFT(CH2213,8))),VALUE(LEFT(CH2213,4)),VALUE(LEFT(CH2213,FIND("-",CH2213)-1)))),""))</f>
        <v/>
      </c>
      <c r="CN2213">
        <f>IF(CH2213="","",IFERROR(IF(AND(LEN(CH2213)=9,ISERROR(FIND("-",LEFT(CH2213,8))),ISNUMBER(-LEFT(CH2213,8))),VALUE(MID(CH2213,5,2)),VALUE(MID(CH2213,FIND("-",CH2213)+1,FIND("-",CH2213,FIND("-",CH2213)+1)-FIND("-",CH2213)-1))),""))</f>
        <v/>
      </c>
      <c r="CO2213">
        <f>IF(CH2213="","",IFERROR(IF(AND(LEN(CH2213)=9,ISERROR(FIND("-",LEFT(CH2213,8))),ISNUMBER(-LEFT(CH2213,8))),VALUE(MID(CH2213,7,2)),VALUE(MID(CH2213,FIND("-",CH2213,FIND("-",CH2213)+1)+1,FIND("-",CH2213,FIND("-",CH2213,FIND("-",CH2213)+1)+1)-FIND("-",CH2213,FIND("-",CH2213)+1)-1))),""))</f>
        <v/>
      </c>
    </row>
    <row r="2214">
      <c r="CH2214">
        <f>IF(ISTEXT('월 가계부'!A2214),SUBSTITUTE(SUBSTITUTE(SUBSTITUTE(SUBSTITUTE(SUBSTITUTE(SUBSTITUTE(SUBSTITUTE(SUBSTITUTE(SUBSTITUTE(TRIM('월 가계부'!A2214),"년","-"),"월","-"),"일",""),".","-"),"/","-")," ","-"),"--","-"),"--","-"),"--","-")&amp;"-","")</f>
        <v/>
      </c>
      <c r="CI2214">
        <f>IFERROR(IF('월 가계부'!A2214="","",IF(ISNUMBER('월 가계부'!A2214),IF(AND('월 가계부'!A2214&gt;=19000101,'월 가계부'!A2214&lt;=21001231),IF(AND(MOD(INT('월 가계부'!A2214/100),100)&gt;=1,MOD(INT('월 가계부'!A2214/100),100)&lt;=12,MOD(INT('월 가계부'!A2214),100)&gt;=1,MOD(INT('월 가계부'!A2214),100)&lt;=31),IF(MONTH(DATE(INT('월 가계부'!A2214/10000),MOD(INT('월 가계부'!A2214/100),100),MOD(INT('월 가계부'!A2214),100)))=MOD(INT('월 가계부'!A2214/100),100),DATE(INT('월 가계부'!A2214/10000),MOD(INT('월 가계부'!A2214/100),100),MOD(INT('월 가계부'!A2214),100)),""),""),IF(AND('월 가계부'!A2214&gt;=36526,'월 가계부'!A2214&lt;73051),INT('월 가계부'!A2214),"")),IF(OR(CM2214="",CN2214="",CO2214=""),"",IF(AND(CM2214&gt;=2000,CM2214&lt;=2099,CN2214&gt;=1,CN2214&lt;=12,CO2214&gt;=1,CO2214&lt;=31),IF(MONTH(DATE(CM2214,CN2214,CO2214))=CN2214,DATE(CM2214,CN2214,CO2214),""),"")))),"")</f>
        <v/>
      </c>
      <c r="CJ2214">
        <f>IFERROR(IF('월 가계부'!C2214="","",IF(ISNUMBER('월 가계부'!C2214),'월 가계부'!C2214,VALUE(SUBSTITUTE(SUBSTITUTE(SUBSTITUTE(SUBSTITUTE(TRIM('월 가계부'!C2214),",",""),"원","")," ",""),"−","-")))),"")</f>
        <v/>
      </c>
      <c r="CK2214">
        <f>IF(ISNUMBER(CI2214),IF(CI2214&lt;$B$13,CI2214,""),"")</f>
        <v/>
      </c>
      <c r="CM2214">
        <f>IF(CH2214="","",IFERROR(IF(IF(AND(LEN(CH2214)=9,ISERROR(FIND("-",LEFT(CH2214,8))),ISNUMBER(-LEFT(CH2214,8))),VALUE(LEFT(CH2214,4)),VALUE(LEFT(CH2214,FIND("-",CH2214)-1)))&lt;100,IF(AND(LEN(CH2214)=9,ISERROR(FIND("-",LEFT(CH2214,8))),ISNUMBER(-LEFT(CH2214,8))),VALUE(LEFT(CH2214,4)),VALUE(LEFT(CH2214,FIND("-",CH2214)-1)))+2000,IF(AND(LEN(CH2214)=9,ISERROR(FIND("-",LEFT(CH2214,8))),ISNUMBER(-LEFT(CH2214,8))),VALUE(LEFT(CH2214,4)),VALUE(LEFT(CH2214,FIND("-",CH2214)-1)))),""))</f>
        <v/>
      </c>
      <c r="CN2214">
        <f>IF(CH2214="","",IFERROR(IF(AND(LEN(CH2214)=9,ISERROR(FIND("-",LEFT(CH2214,8))),ISNUMBER(-LEFT(CH2214,8))),VALUE(MID(CH2214,5,2)),VALUE(MID(CH2214,FIND("-",CH2214)+1,FIND("-",CH2214,FIND("-",CH2214)+1)-FIND("-",CH2214)-1))),""))</f>
        <v/>
      </c>
      <c r="CO2214">
        <f>IF(CH2214="","",IFERROR(IF(AND(LEN(CH2214)=9,ISERROR(FIND("-",LEFT(CH2214,8))),ISNUMBER(-LEFT(CH2214,8))),VALUE(MID(CH2214,7,2)),VALUE(MID(CH2214,FIND("-",CH2214,FIND("-",CH2214)+1)+1,FIND("-",CH2214,FIND("-",CH2214,FIND("-",CH2214)+1)+1)-FIND("-",CH2214,FIND("-",CH2214)+1)-1))),""))</f>
        <v/>
      </c>
    </row>
    <row r="2215">
      <c r="CH2215">
        <f>IF(ISTEXT('월 가계부'!A2215),SUBSTITUTE(SUBSTITUTE(SUBSTITUTE(SUBSTITUTE(SUBSTITUTE(SUBSTITUTE(SUBSTITUTE(SUBSTITUTE(SUBSTITUTE(TRIM('월 가계부'!A2215),"년","-"),"월","-"),"일",""),".","-"),"/","-")," ","-"),"--","-"),"--","-"),"--","-")&amp;"-","")</f>
        <v/>
      </c>
      <c r="CI2215">
        <f>IFERROR(IF('월 가계부'!A2215="","",IF(ISNUMBER('월 가계부'!A2215),IF(AND('월 가계부'!A2215&gt;=19000101,'월 가계부'!A2215&lt;=21001231),IF(AND(MOD(INT('월 가계부'!A2215/100),100)&gt;=1,MOD(INT('월 가계부'!A2215/100),100)&lt;=12,MOD(INT('월 가계부'!A2215),100)&gt;=1,MOD(INT('월 가계부'!A2215),100)&lt;=31),IF(MONTH(DATE(INT('월 가계부'!A2215/10000),MOD(INT('월 가계부'!A2215/100),100),MOD(INT('월 가계부'!A2215),100)))=MOD(INT('월 가계부'!A2215/100),100),DATE(INT('월 가계부'!A2215/10000),MOD(INT('월 가계부'!A2215/100),100),MOD(INT('월 가계부'!A2215),100)),""),""),IF(AND('월 가계부'!A2215&gt;=36526,'월 가계부'!A2215&lt;73051),INT('월 가계부'!A2215),"")),IF(OR(CM2215="",CN2215="",CO2215=""),"",IF(AND(CM2215&gt;=2000,CM2215&lt;=2099,CN2215&gt;=1,CN2215&lt;=12,CO2215&gt;=1,CO2215&lt;=31),IF(MONTH(DATE(CM2215,CN2215,CO2215))=CN2215,DATE(CM2215,CN2215,CO2215),""),"")))),"")</f>
        <v/>
      </c>
      <c r="CJ2215">
        <f>IFERROR(IF('월 가계부'!C2215="","",IF(ISNUMBER('월 가계부'!C2215),'월 가계부'!C2215,VALUE(SUBSTITUTE(SUBSTITUTE(SUBSTITUTE(SUBSTITUTE(TRIM('월 가계부'!C2215),",",""),"원","")," ",""),"−","-")))),"")</f>
        <v/>
      </c>
      <c r="CK2215">
        <f>IF(ISNUMBER(CI2215),IF(CI2215&lt;$B$13,CI2215,""),"")</f>
        <v/>
      </c>
      <c r="CM2215">
        <f>IF(CH2215="","",IFERROR(IF(IF(AND(LEN(CH2215)=9,ISERROR(FIND("-",LEFT(CH2215,8))),ISNUMBER(-LEFT(CH2215,8))),VALUE(LEFT(CH2215,4)),VALUE(LEFT(CH2215,FIND("-",CH2215)-1)))&lt;100,IF(AND(LEN(CH2215)=9,ISERROR(FIND("-",LEFT(CH2215,8))),ISNUMBER(-LEFT(CH2215,8))),VALUE(LEFT(CH2215,4)),VALUE(LEFT(CH2215,FIND("-",CH2215)-1)))+2000,IF(AND(LEN(CH2215)=9,ISERROR(FIND("-",LEFT(CH2215,8))),ISNUMBER(-LEFT(CH2215,8))),VALUE(LEFT(CH2215,4)),VALUE(LEFT(CH2215,FIND("-",CH2215)-1)))),""))</f>
        <v/>
      </c>
      <c r="CN2215">
        <f>IF(CH2215="","",IFERROR(IF(AND(LEN(CH2215)=9,ISERROR(FIND("-",LEFT(CH2215,8))),ISNUMBER(-LEFT(CH2215,8))),VALUE(MID(CH2215,5,2)),VALUE(MID(CH2215,FIND("-",CH2215)+1,FIND("-",CH2215,FIND("-",CH2215)+1)-FIND("-",CH2215)-1))),""))</f>
        <v/>
      </c>
      <c r="CO2215">
        <f>IF(CH2215="","",IFERROR(IF(AND(LEN(CH2215)=9,ISERROR(FIND("-",LEFT(CH2215,8))),ISNUMBER(-LEFT(CH2215,8))),VALUE(MID(CH2215,7,2)),VALUE(MID(CH2215,FIND("-",CH2215,FIND("-",CH2215)+1)+1,FIND("-",CH2215,FIND("-",CH2215,FIND("-",CH2215)+1)+1)-FIND("-",CH2215,FIND("-",CH2215)+1)-1))),""))</f>
        <v/>
      </c>
    </row>
    <row r="2216">
      <c r="CH2216">
        <f>IF(ISTEXT('월 가계부'!A2216),SUBSTITUTE(SUBSTITUTE(SUBSTITUTE(SUBSTITUTE(SUBSTITUTE(SUBSTITUTE(SUBSTITUTE(SUBSTITUTE(SUBSTITUTE(TRIM('월 가계부'!A2216),"년","-"),"월","-"),"일",""),".","-"),"/","-")," ","-"),"--","-"),"--","-"),"--","-")&amp;"-","")</f>
        <v/>
      </c>
      <c r="CI2216">
        <f>IFERROR(IF('월 가계부'!A2216="","",IF(ISNUMBER('월 가계부'!A2216),IF(AND('월 가계부'!A2216&gt;=19000101,'월 가계부'!A2216&lt;=21001231),IF(AND(MOD(INT('월 가계부'!A2216/100),100)&gt;=1,MOD(INT('월 가계부'!A2216/100),100)&lt;=12,MOD(INT('월 가계부'!A2216),100)&gt;=1,MOD(INT('월 가계부'!A2216),100)&lt;=31),IF(MONTH(DATE(INT('월 가계부'!A2216/10000),MOD(INT('월 가계부'!A2216/100),100),MOD(INT('월 가계부'!A2216),100)))=MOD(INT('월 가계부'!A2216/100),100),DATE(INT('월 가계부'!A2216/10000),MOD(INT('월 가계부'!A2216/100),100),MOD(INT('월 가계부'!A2216),100)),""),""),IF(AND('월 가계부'!A2216&gt;=36526,'월 가계부'!A2216&lt;73051),INT('월 가계부'!A2216),"")),IF(OR(CM2216="",CN2216="",CO2216=""),"",IF(AND(CM2216&gt;=2000,CM2216&lt;=2099,CN2216&gt;=1,CN2216&lt;=12,CO2216&gt;=1,CO2216&lt;=31),IF(MONTH(DATE(CM2216,CN2216,CO2216))=CN2216,DATE(CM2216,CN2216,CO2216),""),"")))),"")</f>
        <v/>
      </c>
      <c r="CJ2216">
        <f>IFERROR(IF('월 가계부'!C2216="","",IF(ISNUMBER('월 가계부'!C2216),'월 가계부'!C2216,VALUE(SUBSTITUTE(SUBSTITUTE(SUBSTITUTE(SUBSTITUTE(TRIM('월 가계부'!C2216),",",""),"원","")," ",""),"−","-")))),"")</f>
        <v/>
      </c>
      <c r="CK2216">
        <f>IF(ISNUMBER(CI2216),IF(CI2216&lt;$B$13,CI2216,""),"")</f>
        <v/>
      </c>
      <c r="CM2216">
        <f>IF(CH2216="","",IFERROR(IF(IF(AND(LEN(CH2216)=9,ISERROR(FIND("-",LEFT(CH2216,8))),ISNUMBER(-LEFT(CH2216,8))),VALUE(LEFT(CH2216,4)),VALUE(LEFT(CH2216,FIND("-",CH2216)-1)))&lt;100,IF(AND(LEN(CH2216)=9,ISERROR(FIND("-",LEFT(CH2216,8))),ISNUMBER(-LEFT(CH2216,8))),VALUE(LEFT(CH2216,4)),VALUE(LEFT(CH2216,FIND("-",CH2216)-1)))+2000,IF(AND(LEN(CH2216)=9,ISERROR(FIND("-",LEFT(CH2216,8))),ISNUMBER(-LEFT(CH2216,8))),VALUE(LEFT(CH2216,4)),VALUE(LEFT(CH2216,FIND("-",CH2216)-1)))),""))</f>
        <v/>
      </c>
      <c r="CN2216">
        <f>IF(CH2216="","",IFERROR(IF(AND(LEN(CH2216)=9,ISERROR(FIND("-",LEFT(CH2216,8))),ISNUMBER(-LEFT(CH2216,8))),VALUE(MID(CH2216,5,2)),VALUE(MID(CH2216,FIND("-",CH2216)+1,FIND("-",CH2216,FIND("-",CH2216)+1)-FIND("-",CH2216)-1))),""))</f>
        <v/>
      </c>
      <c r="CO2216">
        <f>IF(CH2216="","",IFERROR(IF(AND(LEN(CH2216)=9,ISERROR(FIND("-",LEFT(CH2216,8))),ISNUMBER(-LEFT(CH2216,8))),VALUE(MID(CH2216,7,2)),VALUE(MID(CH2216,FIND("-",CH2216,FIND("-",CH2216)+1)+1,FIND("-",CH2216,FIND("-",CH2216,FIND("-",CH2216)+1)+1)-FIND("-",CH2216,FIND("-",CH2216)+1)-1))),""))</f>
        <v/>
      </c>
    </row>
    <row r="2217">
      <c r="CH2217">
        <f>IF(ISTEXT('월 가계부'!A2217),SUBSTITUTE(SUBSTITUTE(SUBSTITUTE(SUBSTITUTE(SUBSTITUTE(SUBSTITUTE(SUBSTITUTE(SUBSTITUTE(SUBSTITUTE(TRIM('월 가계부'!A2217),"년","-"),"월","-"),"일",""),".","-"),"/","-")," ","-"),"--","-"),"--","-"),"--","-")&amp;"-","")</f>
        <v/>
      </c>
      <c r="CI2217">
        <f>IFERROR(IF('월 가계부'!A2217="","",IF(ISNUMBER('월 가계부'!A2217),IF(AND('월 가계부'!A2217&gt;=19000101,'월 가계부'!A2217&lt;=21001231),IF(AND(MOD(INT('월 가계부'!A2217/100),100)&gt;=1,MOD(INT('월 가계부'!A2217/100),100)&lt;=12,MOD(INT('월 가계부'!A2217),100)&gt;=1,MOD(INT('월 가계부'!A2217),100)&lt;=31),IF(MONTH(DATE(INT('월 가계부'!A2217/10000),MOD(INT('월 가계부'!A2217/100),100),MOD(INT('월 가계부'!A2217),100)))=MOD(INT('월 가계부'!A2217/100),100),DATE(INT('월 가계부'!A2217/10000),MOD(INT('월 가계부'!A2217/100),100),MOD(INT('월 가계부'!A2217),100)),""),""),IF(AND('월 가계부'!A2217&gt;=36526,'월 가계부'!A2217&lt;73051),INT('월 가계부'!A2217),"")),IF(OR(CM2217="",CN2217="",CO2217=""),"",IF(AND(CM2217&gt;=2000,CM2217&lt;=2099,CN2217&gt;=1,CN2217&lt;=12,CO2217&gt;=1,CO2217&lt;=31),IF(MONTH(DATE(CM2217,CN2217,CO2217))=CN2217,DATE(CM2217,CN2217,CO2217),""),"")))),"")</f>
        <v/>
      </c>
      <c r="CJ2217">
        <f>IFERROR(IF('월 가계부'!C2217="","",IF(ISNUMBER('월 가계부'!C2217),'월 가계부'!C2217,VALUE(SUBSTITUTE(SUBSTITUTE(SUBSTITUTE(SUBSTITUTE(TRIM('월 가계부'!C2217),",",""),"원","")," ",""),"−","-")))),"")</f>
        <v/>
      </c>
      <c r="CK2217">
        <f>IF(ISNUMBER(CI2217),IF(CI2217&lt;$B$13,CI2217,""),"")</f>
        <v/>
      </c>
      <c r="CM2217">
        <f>IF(CH2217="","",IFERROR(IF(IF(AND(LEN(CH2217)=9,ISERROR(FIND("-",LEFT(CH2217,8))),ISNUMBER(-LEFT(CH2217,8))),VALUE(LEFT(CH2217,4)),VALUE(LEFT(CH2217,FIND("-",CH2217)-1)))&lt;100,IF(AND(LEN(CH2217)=9,ISERROR(FIND("-",LEFT(CH2217,8))),ISNUMBER(-LEFT(CH2217,8))),VALUE(LEFT(CH2217,4)),VALUE(LEFT(CH2217,FIND("-",CH2217)-1)))+2000,IF(AND(LEN(CH2217)=9,ISERROR(FIND("-",LEFT(CH2217,8))),ISNUMBER(-LEFT(CH2217,8))),VALUE(LEFT(CH2217,4)),VALUE(LEFT(CH2217,FIND("-",CH2217)-1)))),""))</f>
        <v/>
      </c>
      <c r="CN2217">
        <f>IF(CH2217="","",IFERROR(IF(AND(LEN(CH2217)=9,ISERROR(FIND("-",LEFT(CH2217,8))),ISNUMBER(-LEFT(CH2217,8))),VALUE(MID(CH2217,5,2)),VALUE(MID(CH2217,FIND("-",CH2217)+1,FIND("-",CH2217,FIND("-",CH2217)+1)-FIND("-",CH2217)-1))),""))</f>
        <v/>
      </c>
      <c r="CO2217">
        <f>IF(CH2217="","",IFERROR(IF(AND(LEN(CH2217)=9,ISERROR(FIND("-",LEFT(CH2217,8))),ISNUMBER(-LEFT(CH2217,8))),VALUE(MID(CH2217,7,2)),VALUE(MID(CH2217,FIND("-",CH2217,FIND("-",CH2217)+1)+1,FIND("-",CH2217,FIND("-",CH2217,FIND("-",CH2217)+1)+1)-FIND("-",CH2217,FIND("-",CH2217)+1)-1))),""))</f>
        <v/>
      </c>
    </row>
    <row r="2218">
      <c r="CH2218">
        <f>IF(ISTEXT('월 가계부'!A2218),SUBSTITUTE(SUBSTITUTE(SUBSTITUTE(SUBSTITUTE(SUBSTITUTE(SUBSTITUTE(SUBSTITUTE(SUBSTITUTE(SUBSTITUTE(TRIM('월 가계부'!A2218),"년","-"),"월","-"),"일",""),".","-"),"/","-")," ","-"),"--","-"),"--","-"),"--","-")&amp;"-","")</f>
        <v/>
      </c>
      <c r="CI2218">
        <f>IFERROR(IF('월 가계부'!A2218="","",IF(ISNUMBER('월 가계부'!A2218),IF(AND('월 가계부'!A2218&gt;=19000101,'월 가계부'!A2218&lt;=21001231),IF(AND(MOD(INT('월 가계부'!A2218/100),100)&gt;=1,MOD(INT('월 가계부'!A2218/100),100)&lt;=12,MOD(INT('월 가계부'!A2218),100)&gt;=1,MOD(INT('월 가계부'!A2218),100)&lt;=31),IF(MONTH(DATE(INT('월 가계부'!A2218/10000),MOD(INT('월 가계부'!A2218/100),100),MOD(INT('월 가계부'!A2218),100)))=MOD(INT('월 가계부'!A2218/100),100),DATE(INT('월 가계부'!A2218/10000),MOD(INT('월 가계부'!A2218/100),100),MOD(INT('월 가계부'!A2218),100)),""),""),IF(AND('월 가계부'!A2218&gt;=36526,'월 가계부'!A2218&lt;73051),INT('월 가계부'!A2218),"")),IF(OR(CM2218="",CN2218="",CO2218=""),"",IF(AND(CM2218&gt;=2000,CM2218&lt;=2099,CN2218&gt;=1,CN2218&lt;=12,CO2218&gt;=1,CO2218&lt;=31),IF(MONTH(DATE(CM2218,CN2218,CO2218))=CN2218,DATE(CM2218,CN2218,CO2218),""),"")))),"")</f>
        <v/>
      </c>
      <c r="CJ2218">
        <f>IFERROR(IF('월 가계부'!C2218="","",IF(ISNUMBER('월 가계부'!C2218),'월 가계부'!C2218,VALUE(SUBSTITUTE(SUBSTITUTE(SUBSTITUTE(SUBSTITUTE(TRIM('월 가계부'!C2218),",",""),"원","")," ",""),"−","-")))),"")</f>
        <v/>
      </c>
      <c r="CK2218">
        <f>IF(ISNUMBER(CI2218),IF(CI2218&lt;$B$13,CI2218,""),"")</f>
        <v/>
      </c>
      <c r="CM2218">
        <f>IF(CH2218="","",IFERROR(IF(IF(AND(LEN(CH2218)=9,ISERROR(FIND("-",LEFT(CH2218,8))),ISNUMBER(-LEFT(CH2218,8))),VALUE(LEFT(CH2218,4)),VALUE(LEFT(CH2218,FIND("-",CH2218)-1)))&lt;100,IF(AND(LEN(CH2218)=9,ISERROR(FIND("-",LEFT(CH2218,8))),ISNUMBER(-LEFT(CH2218,8))),VALUE(LEFT(CH2218,4)),VALUE(LEFT(CH2218,FIND("-",CH2218)-1)))+2000,IF(AND(LEN(CH2218)=9,ISERROR(FIND("-",LEFT(CH2218,8))),ISNUMBER(-LEFT(CH2218,8))),VALUE(LEFT(CH2218,4)),VALUE(LEFT(CH2218,FIND("-",CH2218)-1)))),""))</f>
        <v/>
      </c>
      <c r="CN2218">
        <f>IF(CH2218="","",IFERROR(IF(AND(LEN(CH2218)=9,ISERROR(FIND("-",LEFT(CH2218,8))),ISNUMBER(-LEFT(CH2218,8))),VALUE(MID(CH2218,5,2)),VALUE(MID(CH2218,FIND("-",CH2218)+1,FIND("-",CH2218,FIND("-",CH2218)+1)-FIND("-",CH2218)-1))),""))</f>
        <v/>
      </c>
      <c r="CO2218">
        <f>IF(CH2218="","",IFERROR(IF(AND(LEN(CH2218)=9,ISERROR(FIND("-",LEFT(CH2218,8))),ISNUMBER(-LEFT(CH2218,8))),VALUE(MID(CH2218,7,2)),VALUE(MID(CH2218,FIND("-",CH2218,FIND("-",CH2218)+1)+1,FIND("-",CH2218,FIND("-",CH2218,FIND("-",CH2218)+1)+1)-FIND("-",CH2218,FIND("-",CH2218)+1)-1))),""))</f>
        <v/>
      </c>
    </row>
    <row r="2219">
      <c r="CH2219">
        <f>IF(ISTEXT('월 가계부'!A2219),SUBSTITUTE(SUBSTITUTE(SUBSTITUTE(SUBSTITUTE(SUBSTITUTE(SUBSTITUTE(SUBSTITUTE(SUBSTITUTE(SUBSTITUTE(TRIM('월 가계부'!A2219),"년","-"),"월","-"),"일",""),".","-"),"/","-")," ","-"),"--","-"),"--","-"),"--","-")&amp;"-","")</f>
        <v/>
      </c>
      <c r="CI2219">
        <f>IFERROR(IF('월 가계부'!A2219="","",IF(ISNUMBER('월 가계부'!A2219),IF(AND('월 가계부'!A2219&gt;=19000101,'월 가계부'!A2219&lt;=21001231),IF(AND(MOD(INT('월 가계부'!A2219/100),100)&gt;=1,MOD(INT('월 가계부'!A2219/100),100)&lt;=12,MOD(INT('월 가계부'!A2219),100)&gt;=1,MOD(INT('월 가계부'!A2219),100)&lt;=31),IF(MONTH(DATE(INT('월 가계부'!A2219/10000),MOD(INT('월 가계부'!A2219/100),100),MOD(INT('월 가계부'!A2219),100)))=MOD(INT('월 가계부'!A2219/100),100),DATE(INT('월 가계부'!A2219/10000),MOD(INT('월 가계부'!A2219/100),100),MOD(INT('월 가계부'!A2219),100)),""),""),IF(AND('월 가계부'!A2219&gt;=36526,'월 가계부'!A2219&lt;73051),INT('월 가계부'!A2219),"")),IF(OR(CM2219="",CN2219="",CO2219=""),"",IF(AND(CM2219&gt;=2000,CM2219&lt;=2099,CN2219&gt;=1,CN2219&lt;=12,CO2219&gt;=1,CO2219&lt;=31),IF(MONTH(DATE(CM2219,CN2219,CO2219))=CN2219,DATE(CM2219,CN2219,CO2219),""),"")))),"")</f>
        <v/>
      </c>
      <c r="CJ2219">
        <f>IFERROR(IF('월 가계부'!C2219="","",IF(ISNUMBER('월 가계부'!C2219),'월 가계부'!C2219,VALUE(SUBSTITUTE(SUBSTITUTE(SUBSTITUTE(SUBSTITUTE(TRIM('월 가계부'!C2219),",",""),"원","")," ",""),"−","-")))),"")</f>
        <v/>
      </c>
      <c r="CK2219">
        <f>IF(ISNUMBER(CI2219),IF(CI2219&lt;$B$13,CI2219,""),"")</f>
        <v/>
      </c>
      <c r="CM2219">
        <f>IF(CH2219="","",IFERROR(IF(IF(AND(LEN(CH2219)=9,ISERROR(FIND("-",LEFT(CH2219,8))),ISNUMBER(-LEFT(CH2219,8))),VALUE(LEFT(CH2219,4)),VALUE(LEFT(CH2219,FIND("-",CH2219)-1)))&lt;100,IF(AND(LEN(CH2219)=9,ISERROR(FIND("-",LEFT(CH2219,8))),ISNUMBER(-LEFT(CH2219,8))),VALUE(LEFT(CH2219,4)),VALUE(LEFT(CH2219,FIND("-",CH2219)-1)))+2000,IF(AND(LEN(CH2219)=9,ISERROR(FIND("-",LEFT(CH2219,8))),ISNUMBER(-LEFT(CH2219,8))),VALUE(LEFT(CH2219,4)),VALUE(LEFT(CH2219,FIND("-",CH2219)-1)))),""))</f>
        <v/>
      </c>
      <c r="CN2219">
        <f>IF(CH2219="","",IFERROR(IF(AND(LEN(CH2219)=9,ISERROR(FIND("-",LEFT(CH2219,8))),ISNUMBER(-LEFT(CH2219,8))),VALUE(MID(CH2219,5,2)),VALUE(MID(CH2219,FIND("-",CH2219)+1,FIND("-",CH2219,FIND("-",CH2219)+1)-FIND("-",CH2219)-1))),""))</f>
        <v/>
      </c>
      <c r="CO2219">
        <f>IF(CH2219="","",IFERROR(IF(AND(LEN(CH2219)=9,ISERROR(FIND("-",LEFT(CH2219,8))),ISNUMBER(-LEFT(CH2219,8))),VALUE(MID(CH2219,7,2)),VALUE(MID(CH2219,FIND("-",CH2219,FIND("-",CH2219)+1)+1,FIND("-",CH2219,FIND("-",CH2219,FIND("-",CH2219)+1)+1)-FIND("-",CH2219,FIND("-",CH2219)+1)-1))),""))</f>
        <v/>
      </c>
    </row>
    <row r="2220">
      <c r="CH2220">
        <f>IF(ISTEXT('월 가계부'!A2220),SUBSTITUTE(SUBSTITUTE(SUBSTITUTE(SUBSTITUTE(SUBSTITUTE(SUBSTITUTE(SUBSTITUTE(SUBSTITUTE(SUBSTITUTE(TRIM('월 가계부'!A2220),"년","-"),"월","-"),"일",""),".","-"),"/","-")," ","-"),"--","-"),"--","-"),"--","-")&amp;"-","")</f>
        <v/>
      </c>
      <c r="CI2220">
        <f>IFERROR(IF('월 가계부'!A2220="","",IF(ISNUMBER('월 가계부'!A2220),IF(AND('월 가계부'!A2220&gt;=19000101,'월 가계부'!A2220&lt;=21001231),IF(AND(MOD(INT('월 가계부'!A2220/100),100)&gt;=1,MOD(INT('월 가계부'!A2220/100),100)&lt;=12,MOD(INT('월 가계부'!A2220),100)&gt;=1,MOD(INT('월 가계부'!A2220),100)&lt;=31),IF(MONTH(DATE(INT('월 가계부'!A2220/10000),MOD(INT('월 가계부'!A2220/100),100),MOD(INT('월 가계부'!A2220),100)))=MOD(INT('월 가계부'!A2220/100),100),DATE(INT('월 가계부'!A2220/10000),MOD(INT('월 가계부'!A2220/100),100),MOD(INT('월 가계부'!A2220),100)),""),""),IF(AND('월 가계부'!A2220&gt;=36526,'월 가계부'!A2220&lt;73051),INT('월 가계부'!A2220),"")),IF(OR(CM2220="",CN2220="",CO2220=""),"",IF(AND(CM2220&gt;=2000,CM2220&lt;=2099,CN2220&gt;=1,CN2220&lt;=12,CO2220&gt;=1,CO2220&lt;=31),IF(MONTH(DATE(CM2220,CN2220,CO2220))=CN2220,DATE(CM2220,CN2220,CO2220),""),"")))),"")</f>
        <v/>
      </c>
      <c r="CJ2220">
        <f>IFERROR(IF('월 가계부'!C2220="","",IF(ISNUMBER('월 가계부'!C2220),'월 가계부'!C2220,VALUE(SUBSTITUTE(SUBSTITUTE(SUBSTITUTE(SUBSTITUTE(TRIM('월 가계부'!C2220),",",""),"원","")," ",""),"−","-")))),"")</f>
        <v/>
      </c>
      <c r="CK2220">
        <f>IF(ISNUMBER(CI2220),IF(CI2220&lt;$B$13,CI2220,""),"")</f>
        <v/>
      </c>
      <c r="CM2220">
        <f>IF(CH2220="","",IFERROR(IF(IF(AND(LEN(CH2220)=9,ISERROR(FIND("-",LEFT(CH2220,8))),ISNUMBER(-LEFT(CH2220,8))),VALUE(LEFT(CH2220,4)),VALUE(LEFT(CH2220,FIND("-",CH2220)-1)))&lt;100,IF(AND(LEN(CH2220)=9,ISERROR(FIND("-",LEFT(CH2220,8))),ISNUMBER(-LEFT(CH2220,8))),VALUE(LEFT(CH2220,4)),VALUE(LEFT(CH2220,FIND("-",CH2220)-1)))+2000,IF(AND(LEN(CH2220)=9,ISERROR(FIND("-",LEFT(CH2220,8))),ISNUMBER(-LEFT(CH2220,8))),VALUE(LEFT(CH2220,4)),VALUE(LEFT(CH2220,FIND("-",CH2220)-1)))),""))</f>
        <v/>
      </c>
      <c r="CN2220">
        <f>IF(CH2220="","",IFERROR(IF(AND(LEN(CH2220)=9,ISERROR(FIND("-",LEFT(CH2220,8))),ISNUMBER(-LEFT(CH2220,8))),VALUE(MID(CH2220,5,2)),VALUE(MID(CH2220,FIND("-",CH2220)+1,FIND("-",CH2220,FIND("-",CH2220)+1)-FIND("-",CH2220)-1))),""))</f>
        <v/>
      </c>
      <c r="CO2220">
        <f>IF(CH2220="","",IFERROR(IF(AND(LEN(CH2220)=9,ISERROR(FIND("-",LEFT(CH2220,8))),ISNUMBER(-LEFT(CH2220,8))),VALUE(MID(CH2220,7,2)),VALUE(MID(CH2220,FIND("-",CH2220,FIND("-",CH2220)+1)+1,FIND("-",CH2220,FIND("-",CH2220,FIND("-",CH2220)+1)+1)-FIND("-",CH2220,FIND("-",CH2220)+1)-1))),""))</f>
        <v/>
      </c>
    </row>
    <row r="2221">
      <c r="CH2221">
        <f>IF(ISTEXT('월 가계부'!A2221),SUBSTITUTE(SUBSTITUTE(SUBSTITUTE(SUBSTITUTE(SUBSTITUTE(SUBSTITUTE(SUBSTITUTE(SUBSTITUTE(SUBSTITUTE(TRIM('월 가계부'!A2221),"년","-"),"월","-"),"일",""),".","-"),"/","-")," ","-"),"--","-"),"--","-"),"--","-")&amp;"-","")</f>
        <v/>
      </c>
      <c r="CI2221">
        <f>IFERROR(IF('월 가계부'!A2221="","",IF(ISNUMBER('월 가계부'!A2221),IF(AND('월 가계부'!A2221&gt;=19000101,'월 가계부'!A2221&lt;=21001231),IF(AND(MOD(INT('월 가계부'!A2221/100),100)&gt;=1,MOD(INT('월 가계부'!A2221/100),100)&lt;=12,MOD(INT('월 가계부'!A2221),100)&gt;=1,MOD(INT('월 가계부'!A2221),100)&lt;=31),IF(MONTH(DATE(INT('월 가계부'!A2221/10000),MOD(INT('월 가계부'!A2221/100),100),MOD(INT('월 가계부'!A2221),100)))=MOD(INT('월 가계부'!A2221/100),100),DATE(INT('월 가계부'!A2221/10000),MOD(INT('월 가계부'!A2221/100),100),MOD(INT('월 가계부'!A2221),100)),""),""),IF(AND('월 가계부'!A2221&gt;=36526,'월 가계부'!A2221&lt;73051),INT('월 가계부'!A2221),"")),IF(OR(CM2221="",CN2221="",CO2221=""),"",IF(AND(CM2221&gt;=2000,CM2221&lt;=2099,CN2221&gt;=1,CN2221&lt;=12,CO2221&gt;=1,CO2221&lt;=31),IF(MONTH(DATE(CM2221,CN2221,CO2221))=CN2221,DATE(CM2221,CN2221,CO2221),""),"")))),"")</f>
        <v/>
      </c>
      <c r="CJ2221">
        <f>IFERROR(IF('월 가계부'!C2221="","",IF(ISNUMBER('월 가계부'!C2221),'월 가계부'!C2221,VALUE(SUBSTITUTE(SUBSTITUTE(SUBSTITUTE(SUBSTITUTE(TRIM('월 가계부'!C2221),",",""),"원","")," ",""),"−","-")))),"")</f>
        <v/>
      </c>
      <c r="CK2221">
        <f>IF(ISNUMBER(CI2221),IF(CI2221&lt;$B$13,CI2221,""),"")</f>
        <v/>
      </c>
      <c r="CM2221">
        <f>IF(CH2221="","",IFERROR(IF(IF(AND(LEN(CH2221)=9,ISERROR(FIND("-",LEFT(CH2221,8))),ISNUMBER(-LEFT(CH2221,8))),VALUE(LEFT(CH2221,4)),VALUE(LEFT(CH2221,FIND("-",CH2221)-1)))&lt;100,IF(AND(LEN(CH2221)=9,ISERROR(FIND("-",LEFT(CH2221,8))),ISNUMBER(-LEFT(CH2221,8))),VALUE(LEFT(CH2221,4)),VALUE(LEFT(CH2221,FIND("-",CH2221)-1)))+2000,IF(AND(LEN(CH2221)=9,ISERROR(FIND("-",LEFT(CH2221,8))),ISNUMBER(-LEFT(CH2221,8))),VALUE(LEFT(CH2221,4)),VALUE(LEFT(CH2221,FIND("-",CH2221)-1)))),""))</f>
        <v/>
      </c>
      <c r="CN2221">
        <f>IF(CH2221="","",IFERROR(IF(AND(LEN(CH2221)=9,ISERROR(FIND("-",LEFT(CH2221,8))),ISNUMBER(-LEFT(CH2221,8))),VALUE(MID(CH2221,5,2)),VALUE(MID(CH2221,FIND("-",CH2221)+1,FIND("-",CH2221,FIND("-",CH2221)+1)-FIND("-",CH2221)-1))),""))</f>
        <v/>
      </c>
      <c r="CO2221">
        <f>IF(CH2221="","",IFERROR(IF(AND(LEN(CH2221)=9,ISERROR(FIND("-",LEFT(CH2221,8))),ISNUMBER(-LEFT(CH2221,8))),VALUE(MID(CH2221,7,2)),VALUE(MID(CH2221,FIND("-",CH2221,FIND("-",CH2221)+1)+1,FIND("-",CH2221,FIND("-",CH2221,FIND("-",CH2221)+1)+1)-FIND("-",CH2221,FIND("-",CH2221)+1)-1))),""))</f>
        <v/>
      </c>
    </row>
    <row r="2222">
      <c r="CH2222">
        <f>IF(ISTEXT('월 가계부'!A2222),SUBSTITUTE(SUBSTITUTE(SUBSTITUTE(SUBSTITUTE(SUBSTITUTE(SUBSTITUTE(SUBSTITUTE(SUBSTITUTE(SUBSTITUTE(TRIM('월 가계부'!A2222),"년","-"),"월","-"),"일",""),".","-"),"/","-")," ","-"),"--","-"),"--","-"),"--","-")&amp;"-","")</f>
        <v/>
      </c>
      <c r="CI2222">
        <f>IFERROR(IF('월 가계부'!A2222="","",IF(ISNUMBER('월 가계부'!A2222),IF(AND('월 가계부'!A2222&gt;=19000101,'월 가계부'!A2222&lt;=21001231),IF(AND(MOD(INT('월 가계부'!A2222/100),100)&gt;=1,MOD(INT('월 가계부'!A2222/100),100)&lt;=12,MOD(INT('월 가계부'!A2222),100)&gt;=1,MOD(INT('월 가계부'!A2222),100)&lt;=31),IF(MONTH(DATE(INT('월 가계부'!A2222/10000),MOD(INT('월 가계부'!A2222/100),100),MOD(INT('월 가계부'!A2222),100)))=MOD(INT('월 가계부'!A2222/100),100),DATE(INT('월 가계부'!A2222/10000),MOD(INT('월 가계부'!A2222/100),100),MOD(INT('월 가계부'!A2222),100)),""),""),IF(AND('월 가계부'!A2222&gt;=36526,'월 가계부'!A2222&lt;73051),INT('월 가계부'!A2222),"")),IF(OR(CM2222="",CN2222="",CO2222=""),"",IF(AND(CM2222&gt;=2000,CM2222&lt;=2099,CN2222&gt;=1,CN2222&lt;=12,CO2222&gt;=1,CO2222&lt;=31),IF(MONTH(DATE(CM2222,CN2222,CO2222))=CN2222,DATE(CM2222,CN2222,CO2222),""),"")))),"")</f>
        <v/>
      </c>
      <c r="CJ2222">
        <f>IFERROR(IF('월 가계부'!C2222="","",IF(ISNUMBER('월 가계부'!C2222),'월 가계부'!C2222,VALUE(SUBSTITUTE(SUBSTITUTE(SUBSTITUTE(SUBSTITUTE(TRIM('월 가계부'!C2222),",",""),"원","")," ",""),"−","-")))),"")</f>
        <v/>
      </c>
      <c r="CK2222">
        <f>IF(ISNUMBER(CI2222),IF(CI2222&lt;$B$13,CI2222,""),"")</f>
        <v/>
      </c>
      <c r="CM2222">
        <f>IF(CH2222="","",IFERROR(IF(IF(AND(LEN(CH2222)=9,ISERROR(FIND("-",LEFT(CH2222,8))),ISNUMBER(-LEFT(CH2222,8))),VALUE(LEFT(CH2222,4)),VALUE(LEFT(CH2222,FIND("-",CH2222)-1)))&lt;100,IF(AND(LEN(CH2222)=9,ISERROR(FIND("-",LEFT(CH2222,8))),ISNUMBER(-LEFT(CH2222,8))),VALUE(LEFT(CH2222,4)),VALUE(LEFT(CH2222,FIND("-",CH2222)-1)))+2000,IF(AND(LEN(CH2222)=9,ISERROR(FIND("-",LEFT(CH2222,8))),ISNUMBER(-LEFT(CH2222,8))),VALUE(LEFT(CH2222,4)),VALUE(LEFT(CH2222,FIND("-",CH2222)-1)))),""))</f>
        <v/>
      </c>
      <c r="CN2222">
        <f>IF(CH2222="","",IFERROR(IF(AND(LEN(CH2222)=9,ISERROR(FIND("-",LEFT(CH2222,8))),ISNUMBER(-LEFT(CH2222,8))),VALUE(MID(CH2222,5,2)),VALUE(MID(CH2222,FIND("-",CH2222)+1,FIND("-",CH2222,FIND("-",CH2222)+1)-FIND("-",CH2222)-1))),""))</f>
        <v/>
      </c>
      <c r="CO2222">
        <f>IF(CH2222="","",IFERROR(IF(AND(LEN(CH2222)=9,ISERROR(FIND("-",LEFT(CH2222,8))),ISNUMBER(-LEFT(CH2222,8))),VALUE(MID(CH2222,7,2)),VALUE(MID(CH2222,FIND("-",CH2222,FIND("-",CH2222)+1)+1,FIND("-",CH2222,FIND("-",CH2222,FIND("-",CH2222)+1)+1)-FIND("-",CH2222,FIND("-",CH2222)+1)-1))),""))</f>
        <v/>
      </c>
    </row>
    <row r="2223">
      <c r="CH2223">
        <f>IF(ISTEXT('월 가계부'!A2223),SUBSTITUTE(SUBSTITUTE(SUBSTITUTE(SUBSTITUTE(SUBSTITUTE(SUBSTITUTE(SUBSTITUTE(SUBSTITUTE(SUBSTITUTE(TRIM('월 가계부'!A2223),"년","-"),"월","-"),"일",""),".","-"),"/","-")," ","-"),"--","-"),"--","-"),"--","-")&amp;"-","")</f>
        <v/>
      </c>
      <c r="CI2223">
        <f>IFERROR(IF('월 가계부'!A2223="","",IF(ISNUMBER('월 가계부'!A2223),IF(AND('월 가계부'!A2223&gt;=19000101,'월 가계부'!A2223&lt;=21001231),IF(AND(MOD(INT('월 가계부'!A2223/100),100)&gt;=1,MOD(INT('월 가계부'!A2223/100),100)&lt;=12,MOD(INT('월 가계부'!A2223),100)&gt;=1,MOD(INT('월 가계부'!A2223),100)&lt;=31),IF(MONTH(DATE(INT('월 가계부'!A2223/10000),MOD(INT('월 가계부'!A2223/100),100),MOD(INT('월 가계부'!A2223),100)))=MOD(INT('월 가계부'!A2223/100),100),DATE(INT('월 가계부'!A2223/10000),MOD(INT('월 가계부'!A2223/100),100),MOD(INT('월 가계부'!A2223),100)),""),""),IF(AND('월 가계부'!A2223&gt;=36526,'월 가계부'!A2223&lt;73051),INT('월 가계부'!A2223),"")),IF(OR(CM2223="",CN2223="",CO2223=""),"",IF(AND(CM2223&gt;=2000,CM2223&lt;=2099,CN2223&gt;=1,CN2223&lt;=12,CO2223&gt;=1,CO2223&lt;=31),IF(MONTH(DATE(CM2223,CN2223,CO2223))=CN2223,DATE(CM2223,CN2223,CO2223),""),"")))),"")</f>
        <v/>
      </c>
      <c r="CJ2223">
        <f>IFERROR(IF('월 가계부'!C2223="","",IF(ISNUMBER('월 가계부'!C2223),'월 가계부'!C2223,VALUE(SUBSTITUTE(SUBSTITUTE(SUBSTITUTE(SUBSTITUTE(TRIM('월 가계부'!C2223),",",""),"원","")," ",""),"−","-")))),"")</f>
        <v/>
      </c>
      <c r="CK2223">
        <f>IF(ISNUMBER(CI2223),IF(CI2223&lt;$B$13,CI2223,""),"")</f>
        <v/>
      </c>
      <c r="CM2223">
        <f>IF(CH2223="","",IFERROR(IF(IF(AND(LEN(CH2223)=9,ISERROR(FIND("-",LEFT(CH2223,8))),ISNUMBER(-LEFT(CH2223,8))),VALUE(LEFT(CH2223,4)),VALUE(LEFT(CH2223,FIND("-",CH2223)-1)))&lt;100,IF(AND(LEN(CH2223)=9,ISERROR(FIND("-",LEFT(CH2223,8))),ISNUMBER(-LEFT(CH2223,8))),VALUE(LEFT(CH2223,4)),VALUE(LEFT(CH2223,FIND("-",CH2223)-1)))+2000,IF(AND(LEN(CH2223)=9,ISERROR(FIND("-",LEFT(CH2223,8))),ISNUMBER(-LEFT(CH2223,8))),VALUE(LEFT(CH2223,4)),VALUE(LEFT(CH2223,FIND("-",CH2223)-1)))),""))</f>
        <v/>
      </c>
      <c r="CN2223">
        <f>IF(CH2223="","",IFERROR(IF(AND(LEN(CH2223)=9,ISERROR(FIND("-",LEFT(CH2223,8))),ISNUMBER(-LEFT(CH2223,8))),VALUE(MID(CH2223,5,2)),VALUE(MID(CH2223,FIND("-",CH2223)+1,FIND("-",CH2223,FIND("-",CH2223)+1)-FIND("-",CH2223)-1))),""))</f>
        <v/>
      </c>
      <c r="CO2223">
        <f>IF(CH2223="","",IFERROR(IF(AND(LEN(CH2223)=9,ISERROR(FIND("-",LEFT(CH2223,8))),ISNUMBER(-LEFT(CH2223,8))),VALUE(MID(CH2223,7,2)),VALUE(MID(CH2223,FIND("-",CH2223,FIND("-",CH2223)+1)+1,FIND("-",CH2223,FIND("-",CH2223,FIND("-",CH2223)+1)+1)-FIND("-",CH2223,FIND("-",CH2223)+1)-1))),""))</f>
        <v/>
      </c>
    </row>
    <row r="2224">
      <c r="CH2224">
        <f>IF(ISTEXT('월 가계부'!A2224),SUBSTITUTE(SUBSTITUTE(SUBSTITUTE(SUBSTITUTE(SUBSTITUTE(SUBSTITUTE(SUBSTITUTE(SUBSTITUTE(SUBSTITUTE(TRIM('월 가계부'!A2224),"년","-"),"월","-"),"일",""),".","-"),"/","-")," ","-"),"--","-"),"--","-"),"--","-")&amp;"-","")</f>
        <v/>
      </c>
      <c r="CI2224">
        <f>IFERROR(IF('월 가계부'!A2224="","",IF(ISNUMBER('월 가계부'!A2224),IF(AND('월 가계부'!A2224&gt;=19000101,'월 가계부'!A2224&lt;=21001231),IF(AND(MOD(INT('월 가계부'!A2224/100),100)&gt;=1,MOD(INT('월 가계부'!A2224/100),100)&lt;=12,MOD(INT('월 가계부'!A2224),100)&gt;=1,MOD(INT('월 가계부'!A2224),100)&lt;=31),IF(MONTH(DATE(INT('월 가계부'!A2224/10000),MOD(INT('월 가계부'!A2224/100),100),MOD(INT('월 가계부'!A2224),100)))=MOD(INT('월 가계부'!A2224/100),100),DATE(INT('월 가계부'!A2224/10000),MOD(INT('월 가계부'!A2224/100),100),MOD(INT('월 가계부'!A2224),100)),""),""),IF(AND('월 가계부'!A2224&gt;=36526,'월 가계부'!A2224&lt;73051),INT('월 가계부'!A2224),"")),IF(OR(CM2224="",CN2224="",CO2224=""),"",IF(AND(CM2224&gt;=2000,CM2224&lt;=2099,CN2224&gt;=1,CN2224&lt;=12,CO2224&gt;=1,CO2224&lt;=31),IF(MONTH(DATE(CM2224,CN2224,CO2224))=CN2224,DATE(CM2224,CN2224,CO2224),""),"")))),"")</f>
        <v/>
      </c>
      <c r="CJ2224">
        <f>IFERROR(IF('월 가계부'!C2224="","",IF(ISNUMBER('월 가계부'!C2224),'월 가계부'!C2224,VALUE(SUBSTITUTE(SUBSTITUTE(SUBSTITUTE(SUBSTITUTE(TRIM('월 가계부'!C2224),",",""),"원","")," ",""),"−","-")))),"")</f>
        <v/>
      </c>
      <c r="CK2224">
        <f>IF(ISNUMBER(CI2224),IF(CI2224&lt;$B$13,CI2224,""),"")</f>
        <v/>
      </c>
      <c r="CM2224">
        <f>IF(CH2224="","",IFERROR(IF(IF(AND(LEN(CH2224)=9,ISERROR(FIND("-",LEFT(CH2224,8))),ISNUMBER(-LEFT(CH2224,8))),VALUE(LEFT(CH2224,4)),VALUE(LEFT(CH2224,FIND("-",CH2224)-1)))&lt;100,IF(AND(LEN(CH2224)=9,ISERROR(FIND("-",LEFT(CH2224,8))),ISNUMBER(-LEFT(CH2224,8))),VALUE(LEFT(CH2224,4)),VALUE(LEFT(CH2224,FIND("-",CH2224)-1)))+2000,IF(AND(LEN(CH2224)=9,ISERROR(FIND("-",LEFT(CH2224,8))),ISNUMBER(-LEFT(CH2224,8))),VALUE(LEFT(CH2224,4)),VALUE(LEFT(CH2224,FIND("-",CH2224)-1)))),""))</f>
        <v/>
      </c>
      <c r="CN2224">
        <f>IF(CH2224="","",IFERROR(IF(AND(LEN(CH2224)=9,ISERROR(FIND("-",LEFT(CH2224,8))),ISNUMBER(-LEFT(CH2224,8))),VALUE(MID(CH2224,5,2)),VALUE(MID(CH2224,FIND("-",CH2224)+1,FIND("-",CH2224,FIND("-",CH2224)+1)-FIND("-",CH2224)-1))),""))</f>
        <v/>
      </c>
      <c r="CO2224">
        <f>IF(CH2224="","",IFERROR(IF(AND(LEN(CH2224)=9,ISERROR(FIND("-",LEFT(CH2224,8))),ISNUMBER(-LEFT(CH2224,8))),VALUE(MID(CH2224,7,2)),VALUE(MID(CH2224,FIND("-",CH2224,FIND("-",CH2224)+1)+1,FIND("-",CH2224,FIND("-",CH2224,FIND("-",CH2224)+1)+1)-FIND("-",CH2224,FIND("-",CH2224)+1)-1))),""))</f>
        <v/>
      </c>
    </row>
    <row r="2225">
      <c r="CH2225">
        <f>IF(ISTEXT('월 가계부'!A2225),SUBSTITUTE(SUBSTITUTE(SUBSTITUTE(SUBSTITUTE(SUBSTITUTE(SUBSTITUTE(SUBSTITUTE(SUBSTITUTE(SUBSTITUTE(TRIM('월 가계부'!A2225),"년","-"),"월","-"),"일",""),".","-"),"/","-")," ","-"),"--","-"),"--","-"),"--","-")&amp;"-","")</f>
        <v/>
      </c>
      <c r="CI2225">
        <f>IFERROR(IF('월 가계부'!A2225="","",IF(ISNUMBER('월 가계부'!A2225),IF(AND('월 가계부'!A2225&gt;=19000101,'월 가계부'!A2225&lt;=21001231),IF(AND(MOD(INT('월 가계부'!A2225/100),100)&gt;=1,MOD(INT('월 가계부'!A2225/100),100)&lt;=12,MOD(INT('월 가계부'!A2225),100)&gt;=1,MOD(INT('월 가계부'!A2225),100)&lt;=31),IF(MONTH(DATE(INT('월 가계부'!A2225/10000),MOD(INT('월 가계부'!A2225/100),100),MOD(INT('월 가계부'!A2225),100)))=MOD(INT('월 가계부'!A2225/100),100),DATE(INT('월 가계부'!A2225/10000),MOD(INT('월 가계부'!A2225/100),100),MOD(INT('월 가계부'!A2225),100)),""),""),IF(AND('월 가계부'!A2225&gt;=36526,'월 가계부'!A2225&lt;73051),INT('월 가계부'!A2225),"")),IF(OR(CM2225="",CN2225="",CO2225=""),"",IF(AND(CM2225&gt;=2000,CM2225&lt;=2099,CN2225&gt;=1,CN2225&lt;=12,CO2225&gt;=1,CO2225&lt;=31),IF(MONTH(DATE(CM2225,CN2225,CO2225))=CN2225,DATE(CM2225,CN2225,CO2225),""),"")))),"")</f>
        <v/>
      </c>
      <c r="CJ2225">
        <f>IFERROR(IF('월 가계부'!C2225="","",IF(ISNUMBER('월 가계부'!C2225),'월 가계부'!C2225,VALUE(SUBSTITUTE(SUBSTITUTE(SUBSTITUTE(SUBSTITUTE(TRIM('월 가계부'!C2225),",",""),"원","")," ",""),"−","-")))),"")</f>
        <v/>
      </c>
      <c r="CK2225">
        <f>IF(ISNUMBER(CI2225),IF(CI2225&lt;$B$13,CI2225,""),"")</f>
        <v/>
      </c>
      <c r="CM2225">
        <f>IF(CH2225="","",IFERROR(IF(IF(AND(LEN(CH2225)=9,ISERROR(FIND("-",LEFT(CH2225,8))),ISNUMBER(-LEFT(CH2225,8))),VALUE(LEFT(CH2225,4)),VALUE(LEFT(CH2225,FIND("-",CH2225)-1)))&lt;100,IF(AND(LEN(CH2225)=9,ISERROR(FIND("-",LEFT(CH2225,8))),ISNUMBER(-LEFT(CH2225,8))),VALUE(LEFT(CH2225,4)),VALUE(LEFT(CH2225,FIND("-",CH2225)-1)))+2000,IF(AND(LEN(CH2225)=9,ISERROR(FIND("-",LEFT(CH2225,8))),ISNUMBER(-LEFT(CH2225,8))),VALUE(LEFT(CH2225,4)),VALUE(LEFT(CH2225,FIND("-",CH2225)-1)))),""))</f>
        <v/>
      </c>
      <c r="CN2225">
        <f>IF(CH2225="","",IFERROR(IF(AND(LEN(CH2225)=9,ISERROR(FIND("-",LEFT(CH2225,8))),ISNUMBER(-LEFT(CH2225,8))),VALUE(MID(CH2225,5,2)),VALUE(MID(CH2225,FIND("-",CH2225)+1,FIND("-",CH2225,FIND("-",CH2225)+1)-FIND("-",CH2225)-1))),""))</f>
        <v/>
      </c>
      <c r="CO2225">
        <f>IF(CH2225="","",IFERROR(IF(AND(LEN(CH2225)=9,ISERROR(FIND("-",LEFT(CH2225,8))),ISNUMBER(-LEFT(CH2225,8))),VALUE(MID(CH2225,7,2)),VALUE(MID(CH2225,FIND("-",CH2225,FIND("-",CH2225)+1)+1,FIND("-",CH2225,FIND("-",CH2225,FIND("-",CH2225)+1)+1)-FIND("-",CH2225,FIND("-",CH2225)+1)-1))),""))</f>
        <v/>
      </c>
    </row>
    <row r="2226">
      <c r="CH2226">
        <f>IF(ISTEXT('월 가계부'!A2226),SUBSTITUTE(SUBSTITUTE(SUBSTITUTE(SUBSTITUTE(SUBSTITUTE(SUBSTITUTE(SUBSTITUTE(SUBSTITUTE(SUBSTITUTE(TRIM('월 가계부'!A2226),"년","-"),"월","-"),"일",""),".","-"),"/","-")," ","-"),"--","-"),"--","-"),"--","-")&amp;"-","")</f>
        <v/>
      </c>
      <c r="CI2226">
        <f>IFERROR(IF('월 가계부'!A2226="","",IF(ISNUMBER('월 가계부'!A2226),IF(AND('월 가계부'!A2226&gt;=19000101,'월 가계부'!A2226&lt;=21001231),IF(AND(MOD(INT('월 가계부'!A2226/100),100)&gt;=1,MOD(INT('월 가계부'!A2226/100),100)&lt;=12,MOD(INT('월 가계부'!A2226),100)&gt;=1,MOD(INT('월 가계부'!A2226),100)&lt;=31),IF(MONTH(DATE(INT('월 가계부'!A2226/10000),MOD(INT('월 가계부'!A2226/100),100),MOD(INT('월 가계부'!A2226),100)))=MOD(INT('월 가계부'!A2226/100),100),DATE(INT('월 가계부'!A2226/10000),MOD(INT('월 가계부'!A2226/100),100),MOD(INT('월 가계부'!A2226),100)),""),""),IF(AND('월 가계부'!A2226&gt;=36526,'월 가계부'!A2226&lt;73051),INT('월 가계부'!A2226),"")),IF(OR(CM2226="",CN2226="",CO2226=""),"",IF(AND(CM2226&gt;=2000,CM2226&lt;=2099,CN2226&gt;=1,CN2226&lt;=12,CO2226&gt;=1,CO2226&lt;=31),IF(MONTH(DATE(CM2226,CN2226,CO2226))=CN2226,DATE(CM2226,CN2226,CO2226),""),"")))),"")</f>
        <v/>
      </c>
      <c r="CJ2226">
        <f>IFERROR(IF('월 가계부'!C2226="","",IF(ISNUMBER('월 가계부'!C2226),'월 가계부'!C2226,VALUE(SUBSTITUTE(SUBSTITUTE(SUBSTITUTE(SUBSTITUTE(TRIM('월 가계부'!C2226),",",""),"원","")," ",""),"−","-")))),"")</f>
        <v/>
      </c>
      <c r="CK2226">
        <f>IF(ISNUMBER(CI2226),IF(CI2226&lt;$B$13,CI2226,""),"")</f>
        <v/>
      </c>
      <c r="CM2226">
        <f>IF(CH2226="","",IFERROR(IF(IF(AND(LEN(CH2226)=9,ISERROR(FIND("-",LEFT(CH2226,8))),ISNUMBER(-LEFT(CH2226,8))),VALUE(LEFT(CH2226,4)),VALUE(LEFT(CH2226,FIND("-",CH2226)-1)))&lt;100,IF(AND(LEN(CH2226)=9,ISERROR(FIND("-",LEFT(CH2226,8))),ISNUMBER(-LEFT(CH2226,8))),VALUE(LEFT(CH2226,4)),VALUE(LEFT(CH2226,FIND("-",CH2226)-1)))+2000,IF(AND(LEN(CH2226)=9,ISERROR(FIND("-",LEFT(CH2226,8))),ISNUMBER(-LEFT(CH2226,8))),VALUE(LEFT(CH2226,4)),VALUE(LEFT(CH2226,FIND("-",CH2226)-1)))),""))</f>
        <v/>
      </c>
      <c r="CN2226">
        <f>IF(CH2226="","",IFERROR(IF(AND(LEN(CH2226)=9,ISERROR(FIND("-",LEFT(CH2226,8))),ISNUMBER(-LEFT(CH2226,8))),VALUE(MID(CH2226,5,2)),VALUE(MID(CH2226,FIND("-",CH2226)+1,FIND("-",CH2226,FIND("-",CH2226)+1)-FIND("-",CH2226)-1))),""))</f>
        <v/>
      </c>
      <c r="CO2226">
        <f>IF(CH2226="","",IFERROR(IF(AND(LEN(CH2226)=9,ISERROR(FIND("-",LEFT(CH2226,8))),ISNUMBER(-LEFT(CH2226,8))),VALUE(MID(CH2226,7,2)),VALUE(MID(CH2226,FIND("-",CH2226,FIND("-",CH2226)+1)+1,FIND("-",CH2226,FIND("-",CH2226,FIND("-",CH2226)+1)+1)-FIND("-",CH2226,FIND("-",CH2226)+1)-1))),""))</f>
        <v/>
      </c>
    </row>
    <row r="2227">
      <c r="CH2227">
        <f>IF(ISTEXT('월 가계부'!A2227),SUBSTITUTE(SUBSTITUTE(SUBSTITUTE(SUBSTITUTE(SUBSTITUTE(SUBSTITUTE(SUBSTITUTE(SUBSTITUTE(SUBSTITUTE(TRIM('월 가계부'!A2227),"년","-"),"월","-"),"일",""),".","-"),"/","-")," ","-"),"--","-"),"--","-"),"--","-")&amp;"-","")</f>
        <v/>
      </c>
      <c r="CI2227">
        <f>IFERROR(IF('월 가계부'!A2227="","",IF(ISNUMBER('월 가계부'!A2227),IF(AND('월 가계부'!A2227&gt;=19000101,'월 가계부'!A2227&lt;=21001231),IF(AND(MOD(INT('월 가계부'!A2227/100),100)&gt;=1,MOD(INT('월 가계부'!A2227/100),100)&lt;=12,MOD(INT('월 가계부'!A2227),100)&gt;=1,MOD(INT('월 가계부'!A2227),100)&lt;=31),IF(MONTH(DATE(INT('월 가계부'!A2227/10000),MOD(INT('월 가계부'!A2227/100),100),MOD(INT('월 가계부'!A2227),100)))=MOD(INT('월 가계부'!A2227/100),100),DATE(INT('월 가계부'!A2227/10000),MOD(INT('월 가계부'!A2227/100),100),MOD(INT('월 가계부'!A2227),100)),""),""),IF(AND('월 가계부'!A2227&gt;=36526,'월 가계부'!A2227&lt;73051),INT('월 가계부'!A2227),"")),IF(OR(CM2227="",CN2227="",CO2227=""),"",IF(AND(CM2227&gt;=2000,CM2227&lt;=2099,CN2227&gt;=1,CN2227&lt;=12,CO2227&gt;=1,CO2227&lt;=31),IF(MONTH(DATE(CM2227,CN2227,CO2227))=CN2227,DATE(CM2227,CN2227,CO2227),""),"")))),"")</f>
        <v/>
      </c>
      <c r="CJ2227">
        <f>IFERROR(IF('월 가계부'!C2227="","",IF(ISNUMBER('월 가계부'!C2227),'월 가계부'!C2227,VALUE(SUBSTITUTE(SUBSTITUTE(SUBSTITUTE(SUBSTITUTE(TRIM('월 가계부'!C2227),",",""),"원","")," ",""),"−","-")))),"")</f>
        <v/>
      </c>
      <c r="CK2227">
        <f>IF(ISNUMBER(CI2227),IF(CI2227&lt;$B$13,CI2227,""),"")</f>
        <v/>
      </c>
      <c r="CM2227">
        <f>IF(CH2227="","",IFERROR(IF(IF(AND(LEN(CH2227)=9,ISERROR(FIND("-",LEFT(CH2227,8))),ISNUMBER(-LEFT(CH2227,8))),VALUE(LEFT(CH2227,4)),VALUE(LEFT(CH2227,FIND("-",CH2227)-1)))&lt;100,IF(AND(LEN(CH2227)=9,ISERROR(FIND("-",LEFT(CH2227,8))),ISNUMBER(-LEFT(CH2227,8))),VALUE(LEFT(CH2227,4)),VALUE(LEFT(CH2227,FIND("-",CH2227)-1)))+2000,IF(AND(LEN(CH2227)=9,ISERROR(FIND("-",LEFT(CH2227,8))),ISNUMBER(-LEFT(CH2227,8))),VALUE(LEFT(CH2227,4)),VALUE(LEFT(CH2227,FIND("-",CH2227)-1)))),""))</f>
        <v/>
      </c>
      <c r="CN2227">
        <f>IF(CH2227="","",IFERROR(IF(AND(LEN(CH2227)=9,ISERROR(FIND("-",LEFT(CH2227,8))),ISNUMBER(-LEFT(CH2227,8))),VALUE(MID(CH2227,5,2)),VALUE(MID(CH2227,FIND("-",CH2227)+1,FIND("-",CH2227,FIND("-",CH2227)+1)-FIND("-",CH2227)-1))),""))</f>
        <v/>
      </c>
      <c r="CO2227">
        <f>IF(CH2227="","",IFERROR(IF(AND(LEN(CH2227)=9,ISERROR(FIND("-",LEFT(CH2227,8))),ISNUMBER(-LEFT(CH2227,8))),VALUE(MID(CH2227,7,2)),VALUE(MID(CH2227,FIND("-",CH2227,FIND("-",CH2227)+1)+1,FIND("-",CH2227,FIND("-",CH2227,FIND("-",CH2227)+1)+1)-FIND("-",CH2227,FIND("-",CH2227)+1)-1))),""))</f>
        <v/>
      </c>
    </row>
    <row r="2228">
      <c r="CH2228">
        <f>IF(ISTEXT('월 가계부'!A2228),SUBSTITUTE(SUBSTITUTE(SUBSTITUTE(SUBSTITUTE(SUBSTITUTE(SUBSTITUTE(SUBSTITUTE(SUBSTITUTE(SUBSTITUTE(TRIM('월 가계부'!A2228),"년","-"),"월","-"),"일",""),".","-"),"/","-")," ","-"),"--","-"),"--","-"),"--","-")&amp;"-","")</f>
        <v/>
      </c>
      <c r="CI2228">
        <f>IFERROR(IF('월 가계부'!A2228="","",IF(ISNUMBER('월 가계부'!A2228),IF(AND('월 가계부'!A2228&gt;=19000101,'월 가계부'!A2228&lt;=21001231),IF(AND(MOD(INT('월 가계부'!A2228/100),100)&gt;=1,MOD(INT('월 가계부'!A2228/100),100)&lt;=12,MOD(INT('월 가계부'!A2228),100)&gt;=1,MOD(INT('월 가계부'!A2228),100)&lt;=31),IF(MONTH(DATE(INT('월 가계부'!A2228/10000),MOD(INT('월 가계부'!A2228/100),100),MOD(INT('월 가계부'!A2228),100)))=MOD(INT('월 가계부'!A2228/100),100),DATE(INT('월 가계부'!A2228/10000),MOD(INT('월 가계부'!A2228/100),100),MOD(INT('월 가계부'!A2228),100)),""),""),IF(AND('월 가계부'!A2228&gt;=36526,'월 가계부'!A2228&lt;73051),INT('월 가계부'!A2228),"")),IF(OR(CM2228="",CN2228="",CO2228=""),"",IF(AND(CM2228&gt;=2000,CM2228&lt;=2099,CN2228&gt;=1,CN2228&lt;=12,CO2228&gt;=1,CO2228&lt;=31),IF(MONTH(DATE(CM2228,CN2228,CO2228))=CN2228,DATE(CM2228,CN2228,CO2228),""),"")))),"")</f>
        <v/>
      </c>
      <c r="CJ2228">
        <f>IFERROR(IF('월 가계부'!C2228="","",IF(ISNUMBER('월 가계부'!C2228),'월 가계부'!C2228,VALUE(SUBSTITUTE(SUBSTITUTE(SUBSTITUTE(SUBSTITUTE(TRIM('월 가계부'!C2228),",",""),"원","")," ",""),"−","-")))),"")</f>
        <v/>
      </c>
      <c r="CK2228">
        <f>IF(ISNUMBER(CI2228),IF(CI2228&lt;$B$13,CI2228,""),"")</f>
        <v/>
      </c>
      <c r="CM2228">
        <f>IF(CH2228="","",IFERROR(IF(IF(AND(LEN(CH2228)=9,ISERROR(FIND("-",LEFT(CH2228,8))),ISNUMBER(-LEFT(CH2228,8))),VALUE(LEFT(CH2228,4)),VALUE(LEFT(CH2228,FIND("-",CH2228)-1)))&lt;100,IF(AND(LEN(CH2228)=9,ISERROR(FIND("-",LEFT(CH2228,8))),ISNUMBER(-LEFT(CH2228,8))),VALUE(LEFT(CH2228,4)),VALUE(LEFT(CH2228,FIND("-",CH2228)-1)))+2000,IF(AND(LEN(CH2228)=9,ISERROR(FIND("-",LEFT(CH2228,8))),ISNUMBER(-LEFT(CH2228,8))),VALUE(LEFT(CH2228,4)),VALUE(LEFT(CH2228,FIND("-",CH2228)-1)))),""))</f>
        <v/>
      </c>
      <c r="CN2228">
        <f>IF(CH2228="","",IFERROR(IF(AND(LEN(CH2228)=9,ISERROR(FIND("-",LEFT(CH2228,8))),ISNUMBER(-LEFT(CH2228,8))),VALUE(MID(CH2228,5,2)),VALUE(MID(CH2228,FIND("-",CH2228)+1,FIND("-",CH2228,FIND("-",CH2228)+1)-FIND("-",CH2228)-1))),""))</f>
        <v/>
      </c>
      <c r="CO2228">
        <f>IF(CH2228="","",IFERROR(IF(AND(LEN(CH2228)=9,ISERROR(FIND("-",LEFT(CH2228,8))),ISNUMBER(-LEFT(CH2228,8))),VALUE(MID(CH2228,7,2)),VALUE(MID(CH2228,FIND("-",CH2228,FIND("-",CH2228)+1)+1,FIND("-",CH2228,FIND("-",CH2228,FIND("-",CH2228)+1)+1)-FIND("-",CH2228,FIND("-",CH2228)+1)-1))),""))</f>
        <v/>
      </c>
    </row>
    <row r="2229">
      <c r="CH2229">
        <f>IF(ISTEXT('월 가계부'!A2229),SUBSTITUTE(SUBSTITUTE(SUBSTITUTE(SUBSTITUTE(SUBSTITUTE(SUBSTITUTE(SUBSTITUTE(SUBSTITUTE(SUBSTITUTE(TRIM('월 가계부'!A2229),"년","-"),"월","-"),"일",""),".","-"),"/","-")," ","-"),"--","-"),"--","-"),"--","-")&amp;"-","")</f>
        <v/>
      </c>
      <c r="CI2229">
        <f>IFERROR(IF('월 가계부'!A2229="","",IF(ISNUMBER('월 가계부'!A2229),IF(AND('월 가계부'!A2229&gt;=19000101,'월 가계부'!A2229&lt;=21001231),IF(AND(MOD(INT('월 가계부'!A2229/100),100)&gt;=1,MOD(INT('월 가계부'!A2229/100),100)&lt;=12,MOD(INT('월 가계부'!A2229),100)&gt;=1,MOD(INT('월 가계부'!A2229),100)&lt;=31),IF(MONTH(DATE(INT('월 가계부'!A2229/10000),MOD(INT('월 가계부'!A2229/100),100),MOD(INT('월 가계부'!A2229),100)))=MOD(INT('월 가계부'!A2229/100),100),DATE(INT('월 가계부'!A2229/10000),MOD(INT('월 가계부'!A2229/100),100),MOD(INT('월 가계부'!A2229),100)),""),""),IF(AND('월 가계부'!A2229&gt;=36526,'월 가계부'!A2229&lt;73051),INT('월 가계부'!A2229),"")),IF(OR(CM2229="",CN2229="",CO2229=""),"",IF(AND(CM2229&gt;=2000,CM2229&lt;=2099,CN2229&gt;=1,CN2229&lt;=12,CO2229&gt;=1,CO2229&lt;=31),IF(MONTH(DATE(CM2229,CN2229,CO2229))=CN2229,DATE(CM2229,CN2229,CO2229),""),"")))),"")</f>
        <v/>
      </c>
      <c r="CJ2229">
        <f>IFERROR(IF('월 가계부'!C2229="","",IF(ISNUMBER('월 가계부'!C2229),'월 가계부'!C2229,VALUE(SUBSTITUTE(SUBSTITUTE(SUBSTITUTE(SUBSTITUTE(TRIM('월 가계부'!C2229),",",""),"원","")," ",""),"−","-")))),"")</f>
        <v/>
      </c>
      <c r="CK2229">
        <f>IF(ISNUMBER(CI2229),IF(CI2229&lt;$B$13,CI2229,""),"")</f>
        <v/>
      </c>
      <c r="CM2229">
        <f>IF(CH2229="","",IFERROR(IF(IF(AND(LEN(CH2229)=9,ISERROR(FIND("-",LEFT(CH2229,8))),ISNUMBER(-LEFT(CH2229,8))),VALUE(LEFT(CH2229,4)),VALUE(LEFT(CH2229,FIND("-",CH2229)-1)))&lt;100,IF(AND(LEN(CH2229)=9,ISERROR(FIND("-",LEFT(CH2229,8))),ISNUMBER(-LEFT(CH2229,8))),VALUE(LEFT(CH2229,4)),VALUE(LEFT(CH2229,FIND("-",CH2229)-1)))+2000,IF(AND(LEN(CH2229)=9,ISERROR(FIND("-",LEFT(CH2229,8))),ISNUMBER(-LEFT(CH2229,8))),VALUE(LEFT(CH2229,4)),VALUE(LEFT(CH2229,FIND("-",CH2229)-1)))),""))</f>
        <v/>
      </c>
      <c r="CN2229">
        <f>IF(CH2229="","",IFERROR(IF(AND(LEN(CH2229)=9,ISERROR(FIND("-",LEFT(CH2229,8))),ISNUMBER(-LEFT(CH2229,8))),VALUE(MID(CH2229,5,2)),VALUE(MID(CH2229,FIND("-",CH2229)+1,FIND("-",CH2229,FIND("-",CH2229)+1)-FIND("-",CH2229)-1))),""))</f>
        <v/>
      </c>
      <c r="CO2229">
        <f>IF(CH2229="","",IFERROR(IF(AND(LEN(CH2229)=9,ISERROR(FIND("-",LEFT(CH2229,8))),ISNUMBER(-LEFT(CH2229,8))),VALUE(MID(CH2229,7,2)),VALUE(MID(CH2229,FIND("-",CH2229,FIND("-",CH2229)+1)+1,FIND("-",CH2229,FIND("-",CH2229,FIND("-",CH2229)+1)+1)-FIND("-",CH2229,FIND("-",CH2229)+1)-1))),""))</f>
        <v/>
      </c>
    </row>
    <row r="2230">
      <c r="CH2230">
        <f>IF(ISTEXT('월 가계부'!A2230),SUBSTITUTE(SUBSTITUTE(SUBSTITUTE(SUBSTITUTE(SUBSTITUTE(SUBSTITUTE(SUBSTITUTE(SUBSTITUTE(SUBSTITUTE(TRIM('월 가계부'!A2230),"년","-"),"월","-"),"일",""),".","-"),"/","-")," ","-"),"--","-"),"--","-"),"--","-")&amp;"-","")</f>
        <v/>
      </c>
      <c r="CI2230">
        <f>IFERROR(IF('월 가계부'!A2230="","",IF(ISNUMBER('월 가계부'!A2230),IF(AND('월 가계부'!A2230&gt;=19000101,'월 가계부'!A2230&lt;=21001231),IF(AND(MOD(INT('월 가계부'!A2230/100),100)&gt;=1,MOD(INT('월 가계부'!A2230/100),100)&lt;=12,MOD(INT('월 가계부'!A2230),100)&gt;=1,MOD(INT('월 가계부'!A2230),100)&lt;=31),IF(MONTH(DATE(INT('월 가계부'!A2230/10000),MOD(INT('월 가계부'!A2230/100),100),MOD(INT('월 가계부'!A2230),100)))=MOD(INT('월 가계부'!A2230/100),100),DATE(INT('월 가계부'!A2230/10000),MOD(INT('월 가계부'!A2230/100),100),MOD(INT('월 가계부'!A2230),100)),""),""),IF(AND('월 가계부'!A2230&gt;=36526,'월 가계부'!A2230&lt;73051),INT('월 가계부'!A2230),"")),IF(OR(CM2230="",CN2230="",CO2230=""),"",IF(AND(CM2230&gt;=2000,CM2230&lt;=2099,CN2230&gt;=1,CN2230&lt;=12,CO2230&gt;=1,CO2230&lt;=31),IF(MONTH(DATE(CM2230,CN2230,CO2230))=CN2230,DATE(CM2230,CN2230,CO2230),""),"")))),"")</f>
        <v/>
      </c>
      <c r="CJ2230">
        <f>IFERROR(IF('월 가계부'!C2230="","",IF(ISNUMBER('월 가계부'!C2230),'월 가계부'!C2230,VALUE(SUBSTITUTE(SUBSTITUTE(SUBSTITUTE(SUBSTITUTE(TRIM('월 가계부'!C2230),",",""),"원","")," ",""),"−","-")))),"")</f>
        <v/>
      </c>
      <c r="CK2230">
        <f>IF(ISNUMBER(CI2230),IF(CI2230&lt;$B$13,CI2230,""),"")</f>
        <v/>
      </c>
      <c r="CM2230">
        <f>IF(CH2230="","",IFERROR(IF(IF(AND(LEN(CH2230)=9,ISERROR(FIND("-",LEFT(CH2230,8))),ISNUMBER(-LEFT(CH2230,8))),VALUE(LEFT(CH2230,4)),VALUE(LEFT(CH2230,FIND("-",CH2230)-1)))&lt;100,IF(AND(LEN(CH2230)=9,ISERROR(FIND("-",LEFT(CH2230,8))),ISNUMBER(-LEFT(CH2230,8))),VALUE(LEFT(CH2230,4)),VALUE(LEFT(CH2230,FIND("-",CH2230)-1)))+2000,IF(AND(LEN(CH2230)=9,ISERROR(FIND("-",LEFT(CH2230,8))),ISNUMBER(-LEFT(CH2230,8))),VALUE(LEFT(CH2230,4)),VALUE(LEFT(CH2230,FIND("-",CH2230)-1)))),""))</f>
        <v/>
      </c>
      <c r="CN2230">
        <f>IF(CH2230="","",IFERROR(IF(AND(LEN(CH2230)=9,ISERROR(FIND("-",LEFT(CH2230,8))),ISNUMBER(-LEFT(CH2230,8))),VALUE(MID(CH2230,5,2)),VALUE(MID(CH2230,FIND("-",CH2230)+1,FIND("-",CH2230,FIND("-",CH2230)+1)-FIND("-",CH2230)-1))),""))</f>
        <v/>
      </c>
      <c r="CO2230">
        <f>IF(CH2230="","",IFERROR(IF(AND(LEN(CH2230)=9,ISERROR(FIND("-",LEFT(CH2230,8))),ISNUMBER(-LEFT(CH2230,8))),VALUE(MID(CH2230,7,2)),VALUE(MID(CH2230,FIND("-",CH2230,FIND("-",CH2230)+1)+1,FIND("-",CH2230,FIND("-",CH2230,FIND("-",CH2230)+1)+1)-FIND("-",CH2230,FIND("-",CH2230)+1)-1))),""))</f>
        <v/>
      </c>
    </row>
    <row r="2231">
      <c r="CH2231">
        <f>IF(ISTEXT('월 가계부'!A2231),SUBSTITUTE(SUBSTITUTE(SUBSTITUTE(SUBSTITUTE(SUBSTITUTE(SUBSTITUTE(SUBSTITUTE(SUBSTITUTE(SUBSTITUTE(TRIM('월 가계부'!A2231),"년","-"),"월","-"),"일",""),".","-"),"/","-")," ","-"),"--","-"),"--","-"),"--","-")&amp;"-","")</f>
        <v/>
      </c>
      <c r="CI2231">
        <f>IFERROR(IF('월 가계부'!A2231="","",IF(ISNUMBER('월 가계부'!A2231),IF(AND('월 가계부'!A2231&gt;=19000101,'월 가계부'!A2231&lt;=21001231),IF(AND(MOD(INT('월 가계부'!A2231/100),100)&gt;=1,MOD(INT('월 가계부'!A2231/100),100)&lt;=12,MOD(INT('월 가계부'!A2231),100)&gt;=1,MOD(INT('월 가계부'!A2231),100)&lt;=31),IF(MONTH(DATE(INT('월 가계부'!A2231/10000),MOD(INT('월 가계부'!A2231/100),100),MOD(INT('월 가계부'!A2231),100)))=MOD(INT('월 가계부'!A2231/100),100),DATE(INT('월 가계부'!A2231/10000),MOD(INT('월 가계부'!A2231/100),100),MOD(INT('월 가계부'!A2231),100)),""),""),IF(AND('월 가계부'!A2231&gt;=36526,'월 가계부'!A2231&lt;73051),INT('월 가계부'!A2231),"")),IF(OR(CM2231="",CN2231="",CO2231=""),"",IF(AND(CM2231&gt;=2000,CM2231&lt;=2099,CN2231&gt;=1,CN2231&lt;=12,CO2231&gt;=1,CO2231&lt;=31),IF(MONTH(DATE(CM2231,CN2231,CO2231))=CN2231,DATE(CM2231,CN2231,CO2231),""),"")))),"")</f>
        <v/>
      </c>
      <c r="CJ2231">
        <f>IFERROR(IF('월 가계부'!C2231="","",IF(ISNUMBER('월 가계부'!C2231),'월 가계부'!C2231,VALUE(SUBSTITUTE(SUBSTITUTE(SUBSTITUTE(SUBSTITUTE(TRIM('월 가계부'!C2231),",",""),"원","")," ",""),"−","-")))),"")</f>
        <v/>
      </c>
      <c r="CK2231">
        <f>IF(ISNUMBER(CI2231),IF(CI2231&lt;$B$13,CI2231,""),"")</f>
        <v/>
      </c>
      <c r="CM2231">
        <f>IF(CH2231="","",IFERROR(IF(IF(AND(LEN(CH2231)=9,ISERROR(FIND("-",LEFT(CH2231,8))),ISNUMBER(-LEFT(CH2231,8))),VALUE(LEFT(CH2231,4)),VALUE(LEFT(CH2231,FIND("-",CH2231)-1)))&lt;100,IF(AND(LEN(CH2231)=9,ISERROR(FIND("-",LEFT(CH2231,8))),ISNUMBER(-LEFT(CH2231,8))),VALUE(LEFT(CH2231,4)),VALUE(LEFT(CH2231,FIND("-",CH2231)-1)))+2000,IF(AND(LEN(CH2231)=9,ISERROR(FIND("-",LEFT(CH2231,8))),ISNUMBER(-LEFT(CH2231,8))),VALUE(LEFT(CH2231,4)),VALUE(LEFT(CH2231,FIND("-",CH2231)-1)))),""))</f>
        <v/>
      </c>
      <c r="CN2231">
        <f>IF(CH2231="","",IFERROR(IF(AND(LEN(CH2231)=9,ISERROR(FIND("-",LEFT(CH2231,8))),ISNUMBER(-LEFT(CH2231,8))),VALUE(MID(CH2231,5,2)),VALUE(MID(CH2231,FIND("-",CH2231)+1,FIND("-",CH2231,FIND("-",CH2231)+1)-FIND("-",CH2231)-1))),""))</f>
        <v/>
      </c>
      <c r="CO2231">
        <f>IF(CH2231="","",IFERROR(IF(AND(LEN(CH2231)=9,ISERROR(FIND("-",LEFT(CH2231,8))),ISNUMBER(-LEFT(CH2231,8))),VALUE(MID(CH2231,7,2)),VALUE(MID(CH2231,FIND("-",CH2231,FIND("-",CH2231)+1)+1,FIND("-",CH2231,FIND("-",CH2231,FIND("-",CH2231)+1)+1)-FIND("-",CH2231,FIND("-",CH2231)+1)-1))),""))</f>
        <v/>
      </c>
    </row>
    <row r="2232">
      <c r="CH2232">
        <f>IF(ISTEXT('월 가계부'!A2232),SUBSTITUTE(SUBSTITUTE(SUBSTITUTE(SUBSTITUTE(SUBSTITUTE(SUBSTITUTE(SUBSTITUTE(SUBSTITUTE(SUBSTITUTE(TRIM('월 가계부'!A2232),"년","-"),"월","-"),"일",""),".","-"),"/","-")," ","-"),"--","-"),"--","-"),"--","-")&amp;"-","")</f>
        <v/>
      </c>
      <c r="CI2232">
        <f>IFERROR(IF('월 가계부'!A2232="","",IF(ISNUMBER('월 가계부'!A2232),IF(AND('월 가계부'!A2232&gt;=19000101,'월 가계부'!A2232&lt;=21001231),IF(AND(MOD(INT('월 가계부'!A2232/100),100)&gt;=1,MOD(INT('월 가계부'!A2232/100),100)&lt;=12,MOD(INT('월 가계부'!A2232),100)&gt;=1,MOD(INT('월 가계부'!A2232),100)&lt;=31),IF(MONTH(DATE(INT('월 가계부'!A2232/10000),MOD(INT('월 가계부'!A2232/100),100),MOD(INT('월 가계부'!A2232),100)))=MOD(INT('월 가계부'!A2232/100),100),DATE(INT('월 가계부'!A2232/10000),MOD(INT('월 가계부'!A2232/100),100),MOD(INT('월 가계부'!A2232),100)),""),""),IF(AND('월 가계부'!A2232&gt;=36526,'월 가계부'!A2232&lt;73051),INT('월 가계부'!A2232),"")),IF(OR(CM2232="",CN2232="",CO2232=""),"",IF(AND(CM2232&gt;=2000,CM2232&lt;=2099,CN2232&gt;=1,CN2232&lt;=12,CO2232&gt;=1,CO2232&lt;=31),IF(MONTH(DATE(CM2232,CN2232,CO2232))=CN2232,DATE(CM2232,CN2232,CO2232),""),"")))),"")</f>
        <v/>
      </c>
      <c r="CJ2232">
        <f>IFERROR(IF('월 가계부'!C2232="","",IF(ISNUMBER('월 가계부'!C2232),'월 가계부'!C2232,VALUE(SUBSTITUTE(SUBSTITUTE(SUBSTITUTE(SUBSTITUTE(TRIM('월 가계부'!C2232),",",""),"원","")," ",""),"−","-")))),"")</f>
        <v/>
      </c>
      <c r="CK2232">
        <f>IF(ISNUMBER(CI2232),IF(CI2232&lt;$B$13,CI2232,""),"")</f>
        <v/>
      </c>
      <c r="CM2232">
        <f>IF(CH2232="","",IFERROR(IF(IF(AND(LEN(CH2232)=9,ISERROR(FIND("-",LEFT(CH2232,8))),ISNUMBER(-LEFT(CH2232,8))),VALUE(LEFT(CH2232,4)),VALUE(LEFT(CH2232,FIND("-",CH2232)-1)))&lt;100,IF(AND(LEN(CH2232)=9,ISERROR(FIND("-",LEFT(CH2232,8))),ISNUMBER(-LEFT(CH2232,8))),VALUE(LEFT(CH2232,4)),VALUE(LEFT(CH2232,FIND("-",CH2232)-1)))+2000,IF(AND(LEN(CH2232)=9,ISERROR(FIND("-",LEFT(CH2232,8))),ISNUMBER(-LEFT(CH2232,8))),VALUE(LEFT(CH2232,4)),VALUE(LEFT(CH2232,FIND("-",CH2232)-1)))),""))</f>
        <v/>
      </c>
      <c r="CN2232">
        <f>IF(CH2232="","",IFERROR(IF(AND(LEN(CH2232)=9,ISERROR(FIND("-",LEFT(CH2232,8))),ISNUMBER(-LEFT(CH2232,8))),VALUE(MID(CH2232,5,2)),VALUE(MID(CH2232,FIND("-",CH2232)+1,FIND("-",CH2232,FIND("-",CH2232)+1)-FIND("-",CH2232)-1))),""))</f>
        <v/>
      </c>
      <c r="CO2232">
        <f>IF(CH2232="","",IFERROR(IF(AND(LEN(CH2232)=9,ISERROR(FIND("-",LEFT(CH2232,8))),ISNUMBER(-LEFT(CH2232,8))),VALUE(MID(CH2232,7,2)),VALUE(MID(CH2232,FIND("-",CH2232,FIND("-",CH2232)+1)+1,FIND("-",CH2232,FIND("-",CH2232,FIND("-",CH2232)+1)+1)-FIND("-",CH2232,FIND("-",CH2232)+1)-1))),""))</f>
        <v/>
      </c>
    </row>
    <row r="2233">
      <c r="CH2233">
        <f>IF(ISTEXT('월 가계부'!A2233),SUBSTITUTE(SUBSTITUTE(SUBSTITUTE(SUBSTITUTE(SUBSTITUTE(SUBSTITUTE(SUBSTITUTE(SUBSTITUTE(SUBSTITUTE(TRIM('월 가계부'!A2233),"년","-"),"월","-"),"일",""),".","-"),"/","-")," ","-"),"--","-"),"--","-"),"--","-")&amp;"-","")</f>
        <v/>
      </c>
      <c r="CI2233">
        <f>IFERROR(IF('월 가계부'!A2233="","",IF(ISNUMBER('월 가계부'!A2233),IF(AND('월 가계부'!A2233&gt;=19000101,'월 가계부'!A2233&lt;=21001231),IF(AND(MOD(INT('월 가계부'!A2233/100),100)&gt;=1,MOD(INT('월 가계부'!A2233/100),100)&lt;=12,MOD(INT('월 가계부'!A2233),100)&gt;=1,MOD(INT('월 가계부'!A2233),100)&lt;=31),IF(MONTH(DATE(INT('월 가계부'!A2233/10000),MOD(INT('월 가계부'!A2233/100),100),MOD(INT('월 가계부'!A2233),100)))=MOD(INT('월 가계부'!A2233/100),100),DATE(INT('월 가계부'!A2233/10000),MOD(INT('월 가계부'!A2233/100),100),MOD(INT('월 가계부'!A2233),100)),""),""),IF(AND('월 가계부'!A2233&gt;=36526,'월 가계부'!A2233&lt;73051),INT('월 가계부'!A2233),"")),IF(OR(CM2233="",CN2233="",CO2233=""),"",IF(AND(CM2233&gt;=2000,CM2233&lt;=2099,CN2233&gt;=1,CN2233&lt;=12,CO2233&gt;=1,CO2233&lt;=31),IF(MONTH(DATE(CM2233,CN2233,CO2233))=CN2233,DATE(CM2233,CN2233,CO2233),""),"")))),"")</f>
        <v/>
      </c>
      <c r="CJ2233">
        <f>IFERROR(IF('월 가계부'!C2233="","",IF(ISNUMBER('월 가계부'!C2233),'월 가계부'!C2233,VALUE(SUBSTITUTE(SUBSTITUTE(SUBSTITUTE(SUBSTITUTE(TRIM('월 가계부'!C2233),",",""),"원","")," ",""),"−","-")))),"")</f>
        <v/>
      </c>
      <c r="CK2233">
        <f>IF(ISNUMBER(CI2233),IF(CI2233&lt;$B$13,CI2233,""),"")</f>
        <v/>
      </c>
      <c r="CM2233">
        <f>IF(CH2233="","",IFERROR(IF(IF(AND(LEN(CH2233)=9,ISERROR(FIND("-",LEFT(CH2233,8))),ISNUMBER(-LEFT(CH2233,8))),VALUE(LEFT(CH2233,4)),VALUE(LEFT(CH2233,FIND("-",CH2233)-1)))&lt;100,IF(AND(LEN(CH2233)=9,ISERROR(FIND("-",LEFT(CH2233,8))),ISNUMBER(-LEFT(CH2233,8))),VALUE(LEFT(CH2233,4)),VALUE(LEFT(CH2233,FIND("-",CH2233)-1)))+2000,IF(AND(LEN(CH2233)=9,ISERROR(FIND("-",LEFT(CH2233,8))),ISNUMBER(-LEFT(CH2233,8))),VALUE(LEFT(CH2233,4)),VALUE(LEFT(CH2233,FIND("-",CH2233)-1)))),""))</f>
        <v/>
      </c>
      <c r="CN2233">
        <f>IF(CH2233="","",IFERROR(IF(AND(LEN(CH2233)=9,ISERROR(FIND("-",LEFT(CH2233,8))),ISNUMBER(-LEFT(CH2233,8))),VALUE(MID(CH2233,5,2)),VALUE(MID(CH2233,FIND("-",CH2233)+1,FIND("-",CH2233,FIND("-",CH2233)+1)-FIND("-",CH2233)-1))),""))</f>
        <v/>
      </c>
      <c r="CO2233">
        <f>IF(CH2233="","",IFERROR(IF(AND(LEN(CH2233)=9,ISERROR(FIND("-",LEFT(CH2233,8))),ISNUMBER(-LEFT(CH2233,8))),VALUE(MID(CH2233,7,2)),VALUE(MID(CH2233,FIND("-",CH2233,FIND("-",CH2233)+1)+1,FIND("-",CH2233,FIND("-",CH2233,FIND("-",CH2233)+1)+1)-FIND("-",CH2233,FIND("-",CH2233)+1)-1))),""))</f>
        <v/>
      </c>
    </row>
    <row r="2234">
      <c r="CH2234">
        <f>IF(ISTEXT('월 가계부'!A2234),SUBSTITUTE(SUBSTITUTE(SUBSTITUTE(SUBSTITUTE(SUBSTITUTE(SUBSTITUTE(SUBSTITUTE(SUBSTITUTE(SUBSTITUTE(TRIM('월 가계부'!A2234),"년","-"),"월","-"),"일",""),".","-"),"/","-")," ","-"),"--","-"),"--","-"),"--","-")&amp;"-","")</f>
        <v/>
      </c>
      <c r="CI2234">
        <f>IFERROR(IF('월 가계부'!A2234="","",IF(ISNUMBER('월 가계부'!A2234),IF(AND('월 가계부'!A2234&gt;=19000101,'월 가계부'!A2234&lt;=21001231),IF(AND(MOD(INT('월 가계부'!A2234/100),100)&gt;=1,MOD(INT('월 가계부'!A2234/100),100)&lt;=12,MOD(INT('월 가계부'!A2234),100)&gt;=1,MOD(INT('월 가계부'!A2234),100)&lt;=31),IF(MONTH(DATE(INT('월 가계부'!A2234/10000),MOD(INT('월 가계부'!A2234/100),100),MOD(INT('월 가계부'!A2234),100)))=MOD(INT('월 가계부'!A2234/100),100),DATE(INT('월 가계부'!A2234/10000),MOD(INT('월 가계부'!A2234/100),100),MOD(INT('월 가계부'!A2234),100)),""),""),IF(AND('월 가계부'!A2234&gt;=36526,'월 가계부'!A2234&lt;73051),INT('월 가계부'!A2234),"")),IF(OR(CM2234="",CN2234="",CO2234=""),"",IF(AND(CM2234&gt;=2000,CM2234&lt;=2099,CN2234&gt;=1,CN2234&lt;=12,CO2234&gt;=1,CO2234&lt;=31),IF(MONTH(DATE(CM2234,CN2234,CO2234))=CN2234,DATE(CM2234,CN2234,CO2234),""),"")))),"")</f>
        <v/>
      </c>
      <c r="CJ2234">
        <f>IFERROR(IF('월 가계부'!C2234="","",IF(ISNUMBER('월 가계부'!C2234),'월 가계부'!C2234,VALUE(SUBSTITUTE(SUBSTITUTE(SUBSTITUTE(SUBSTITUTE(TRIM('월 가계부'!C2234),",",""),"원","")," ",""),"−","-")))),"")</f>
        <v/>
      </c>
      <c r="CK2234">
        <f>IF(ISNUMBER(CI2234),IF(CI2234&lt;$B$13,CI2234,""),"")</f>
        <v/>
      </c>
      <c r="CM2234">
        <f>IF(CH2234="","",IFERROR(IF(IF(AND(LEN(CH2234)=9,ISERROR(FIND("-",LEFT(CH2234,8))),ISNUMBER(-LEFT(CH2234,8))),VALUE(LEFT(CH2234,4)),VALUE(LEFT(CH2234,FIND("-",CH2234)-1)))&lt;100,IF(AND(LEN(CH2234)=9,ISERROR(FIND("-",LEFT(CH2234,8))),ISNUMBER(-LEFT(CH2234,8))),VALUE(LEFT(CH2234,4)),VALUE(LEFT(CH2234,FIND("-",CH2234)-1)))+2000,IF(AND(LEN(CH2234)=9,ISERROR(FIND("-",LEFT(CH2234,8))),ISNUMBER(-LEFT(CH2234,8))),VALUE(LEFT(CH2234,4)),VALUE(LEFT(CH2234,FIND("-",CH2234)-1)))),""))</f>
        <v/>
      </c>
      <c r="CN2234">
        <f>IF(CH2234="","",IFERROR(IF(AND(LEN(CH2234)=9,ISERROR(FIND("-",LEFT(CH2234,8))),ISNUMBER(-LEFT(CH2234,8))),VALUE(MID(CH2234,5,2)),VALUE(MID(CH2234,FIND("-",CH2234)+1,FIND("-",CH2234,FIND("-",CH2234)+1)-FIND("-",CH2234)-1))),""))</f>
        <v/>
      </c>
      <c r="CO2234">
        <f>IF(CH2234="","",IFERROR(IF(AND(LEN(CH2234)=9,ISERROR(FIND("-",LEFT(CH2234,8))),ISNUMBER(-LEFT(CH2234,8))),VALUE(MID(CH2234,7,2)),VALUE(MID(CH2234,FIND("-",CH2234,FIND("-",CH2234)+1)+1,FIND("-",CH2234,FIND("-",CH2234,FIND("-",CH2234)+1)+1)-FIND("-",CH2234,FIND("-",CH2234)+1)-1))),""))</f>
        <v/>
      </c>
    </row>
    <row r="2235">
      <c r="CH2235">
        <f>IF(ISTEXT('월 가계부'!A2235),SUBSTITUTE(SUBSTITUTE(SUBSTITUTE(SUBSTITUTE(SUBSTITUTE(SUBSTITUTE(SUBSTITUTE(SUBSTITUTE(SUBSTITUTE(TRIM('월 가계부'!A2235),"년","-"),"월","-"),"일",""),".","-"),"/","-")," ","-"),"--","-"),"--","-"),"--","-")&amp;"-","")</f>
        <v/>
      </c>
      <c r="CI2235">
        <f>IFERROR(IF('월 가계부'!A2235="","",IF(ISNUMBER('월 가계부'!A2235),IF(AND('월 가계부'!A2235&gt;=19000101,'월 가계부'!A2235&lt;=21001231),IF(AND(MOD(INT('월 가계부'!A2235/100),100)&gt;=1,MOD(INT('월 가계부'!A2235/100),100)&lt;=12,MOD(INT('월 가계부'!A2235),100)&gt;=1,MOD(INT('월 가계부'!A2235),100)&lt;=31),IF(MONTH(DATE(INT('월 가계부'!A2235/10000),MOD(INT('월 가계부'!A2235/100),100),MOD(INT('월 가계부'!A2235),100)))=MOD(INT('월 가계부'!A2235/100),100),DATE(INT('월 가계부'!A2235/10000),MOD(INT('월 가계부'!A2235/100),100),MOD(INT('월 가계부'!A2235),100)),""),""),IF(AND('월 가계부'!A2235&gt;=36526,'월 가계부'!A2235&lt;73051),INT('월 가계부'!A2235),"")),IF(OR(CM2235="",CN2235="",CO2235=""),"",IF(AND(CM2235&gt;=2000,CM2235&lt;=2099,CN2235&gt;=1,CN2235&lt;=12,CO2235&gt;=1,CO2235&lt;=31),IF(MONTH(DATE(CM2235,CN2235,CO2235))=CN2235,DATE(CM2235,CN2235,CO2235),""),"")))),"")</f>
        <v/>
      </c>
      <c r="CJ2235">
        <f>IFERROR(IF('월 가계부'!C2235="","",IF(ISNUMBER('월 가계부'!C2235),'월 가계부'!C2235,VALUE(SUBSTITUTE(SUBSTITUTE(SUBSTITUTE(SUBSTITUTE(TRIM('월 가계부'!C2235),",",""),"원","")," ",""),"−","-")))),"")</f>
        <v/>
      </c>
      <c r="CK2235">
        <f>IF(ISNUMBER(CI2235),IF(CI2235&lt;$B$13,CI2235,""),"")</f>
        <v/>
      </c>
      <c r="CM2235">
        <f>IF(CH2235="","",IFERROR(IF(IF(AND(LEN(CH2235)=9,ISERROR(FIND("-",LEFT(CH2235,8))),ISNUMBER(-LEFT(CH2235,8))),VALUE(LEFT(CH2235,4)),VALUE(LEFT(CH2235,FIND("-",CH2235)-1)))&lt;100,IF(AND(LEN(CH2235)=9,ISERROR(FIND("-",LEFT(CH2235,8))),ISNUMBER(-LEFT(CH2235,8))),VALUE(LEFT(CH2235,4)),VALUE(LEFT(CH2235,FIND("-",CH2235)-1)))+2000,IF(AND(LEN(CH2235)=9,ISERROR(FIND("-",LEFT(CH2235,8))),ISNUMBER(-LEFT(CH2235,8))),VALUE(LEFT(CH2235,4)),VALUE(LEFT(CH2235,FIND("-",CH2235)-1)))),""))</f>
        <v/>
      </c>
      <c r="CN2235">
        <f>IF(CH2235="","",IFERROR(IF(AND(LEN(CH2235)=9,ISERROR(FIND("-",LEFT(CH2235,8))),ISNUMBER(-LEFT(CH2235,8))),VALUE(MID(CH2235,5,2)),VALUE(MID(CH2235,FIND("-",CH2235)+1,FIND("-",CH2235,FIND("-",CH2235)+1)-FIND("-",CH2235)-1))),""))</f>
        <v/>
      </c>
      <c r="CO2235">
        <f>IF(CH2235="","",IFERROR(IF(AND(LEN(CH2235)=9,ISERROR(FIND("-",LEFT(CH2235,8))),ISNUMBER(-LEFT(CH2235,8))),VALUE(MID(CH2235,7,2)),VALUE(MID(CH2235,FIND("-",CH2235,FIND("-",CH2235)+1)+1,FIND("-",CH2235,FIND("-",CH2235,FIND("-",CH2235)+1)+1)-FIND("-",CH2235,FIND("-",CH2235)+1)-1))),""))</f>
        <v/>
      </c>
    </row>
    <row r="2236">
      <c r="CH2236">
        <f>IF(ISTEXT('월 가계부'!A2236),SUBSTITUTE(SUBSTITUTE(SUBSTITUTE(SUBSTITUTE(SUBSTITUTE(SUBSTITUTE(SUBSTITUTE(SUBSTITUTE(SUBSTITUTE(TRIM('월 가계부'!A2236),"년","-"),"월","-"),"일",""),".","-"),"/","-")," ","-"),"--","-"),"--","-"),"--","-")&amp;"-","")</f>
        <v/>
      </c>
      <c r="CI2236">
        <f>IFERROR(IF('월 가계부'!A2236="","",IF(ISNUMBER('월 가계부'!A2236),IF(AND('월 가계부'!A2236&gt;=19000101,'월 가계부'!A2236&lt;=21001231),IF(AND(MOD(INT('월 가계부'!A2236/100),100)&gt;=1,MOD(INT('월 가계부'!A2236/100),100)&lt;=12,MOD(INT('월 가계부'!A2236),100)&gt;=1,MOD(INT('월 가계부'!A2236),100)&lt;=31),IF(MONTH(DATE(INT('월 가계부'!A2236/10000),MOD(INT('월 가계부'!A2236/100),100),MOD(INT('월 가계부'!A2236),100)))=MOD(INT('월 가계부'!A2236/100),100),DATE(INT('월 가계부'!A2236/10000),MOD(INT('월 가계부'!A2236/100),100),MOD(INT('월 가계부'!A2236),100)),""),""),IF(AND('월 가계부'!A2236&gt;=36526,'월 가계부'!A2236&lt;73051),INT('월 가계부'!A2236),"")),IF(OR(CM2236="",CN2236="",CO2236=""),"",IF(AND(CM2236&gt;=2000,CM2236&lt;=2099,CN2236&gt;=1,CN2236&lt;=12,CO2236&gt;=1,CO2236&lt;=31),IF(MONTH(DATE(CM2236,CN2236,CO2236))=CN2236,DATE(CM2236,CN2236,CO2236),""),"")))),"")</f>
        <v/>
      </c>
      <c r="CJ2236">
        <f>IFERROR(IF('월 가계부'!C2236="","",IF(ISNUMBER('월 가계부'!C2236),'월 가계부'!C2236,VALUE(SUBSTITUTE(SUBSTITUTE(SUBSTITUTE(SUBSTITUTE(TRIM('월 가계부'!C2236),",",""),"원","")," ",""),"−","-")))),"")</f>
        <v/>
      </c>
      <c r="CK2236">
        <f>IF(ISNUMBER(CI2236),IF(CI2236&lt;$B$13,CI2236,""),"")</f>
        <v/>
      </c>
      <c r="CM2236">
        <f>IF(CH2236="","",IFERROR(IF(IF(AND(LEN(CH2236)=9,ISERROR(FIND("-",LEFT(CH2236,8))),ISNUMBER(-LEFT(CH2236,8))),VALUE(LEFT(CH2236,4)),VALUE(LEFT(CH2236,FIND("-",CH2236)-1)))&lt;100,IF(AND(LEN(CH2236)=9,ISERROR(FIND("-",LEFT(CH2236,8))),ISNUMBER(-LEFT(CH2236,8))),VALUE(LEFT(CH2236,4)),VALUE(LEFT(CH2236,FIND("-",CH2236)-1)))+2000,IF(AND(LEN(CH2236)=9,ISERROR(FIND("-",LEFT(CH2236,8))),ISNUMBER(-LEFT(CH2236,8))),VALUE(LEFT(CH2236,4)),VALUE(LEFT(CH2236,FIND("-",CH2236)-1)))),""))</f>
        <v/>
      </c>
      <c r="CN2236">
        <f>IF(CH2236="","",IFERROR(IF(AND(LEN(CH2236)=9,ISERROR(FIND("-",LEFT(CH2236,8))),ISNUMBER(-LEFT(CH2236,8))),VALUE(MID(CH2236,5,2)),VALUE(MID(CH2236,FIND("-",CH2236)+1,FIND("-",CH2236,FIND("-",CH2236)+1)-FIND("-",CH2236)-1))),""))</f>
        <v/>
      </c>
      <c r="CO2236">
        <f>IF(CH2236="","",IFERROR(IF(AND(LEN(CH2236)=9,ISERROR(FIND("-",LEFT(CH2236,8))),ISNUMBER(-LEFT(CH2236,8))),VALUE(MID(CH2236,7,2)),VALUE(MID(CH2236,FIND("-",CH2236,FIND("-",CH2236)+1)+1,FIND("-",CH2236,FIND("-",CH2236,FIND("-",CH2236)+1)+1)-FIND("-",CH2236,FIND("-",CH2236)+1)-1))),""))</f>
        <v/>
      </c>
    </row>
    <row r="2237">
      <c r="CH2237">
        <f>IF(ISTEXT('월 가계부'!A2237),SUBSTITUTE(SUBSTITUTE(SUBSTITUTE(SUBSTITUTE(SUBSTITUTE(SUBSTITUTE(SUBSTITUTE(SUBSTITUTE(SUBSTITUTE(TRIM('월 가계부'!A2237),"년","-"),"월","-"),"일",""),".","-"),"/","-")," ","-"),"--","-"),"--","-"),"--","-")&amp;"-","")</f>
        <v/>
      </c>
      <c r="CI2237">
        <f>IFERROR(IF('월 가계부'!A2237="","",IF(ISNUMBER('월 가계부'!A2237),IF(AND('월 가계부'!A2237&gt;=19000101,'월 가계부'!A2237&lt;=21001231),IF(AND(MOD(INT('월 가계부'!A2237/100),100)&gt;=1,MOD(INT('월 가계부'!A2237/100),100)&lt;=12,MOD(INT('월 가계부'!A2237),100)&gt;=1,MOD(INT('월 가계부'!A2237),100)&lt;=31),IF(MONTH(DATE(INT('월 가계부'!A2237/10000),MOD(INT('월 가계부'!A2237/100),100),MOD(INT('월 가계부'!A2237),100)))=MOD(INT('월 가계부'!A2237/100),100),DATE(INT('월 가계부'!A2237/10000),MOD(INT('월 가계부'!A2237/100),100),MOD(INT('월 가계부'!A2237),100)),""),""),IF(AND('월 가계부'!A2237&gt;=36526,'월 가계부'!A2237&lt;73051),INT('월 가계부'!A2237),"")),IF(OR(CM2237="",CN2237="",CO2237=""),"",IF(AND(CM2237&gt;=2000,CM2237&lt;=2099,CN2237&gt;=1,CN2237&lt;=12,CO2237&gt;=1,CO2237&lt;=31),IF(MONTH(DATE(CM2237,CN2237,CO2237))=CN2237,DATE(CM2237,CN2237,CO2237),""),"")))),"")</f>
        <v/>
      </c>
      <c r="CJ2237">
        <f>IFERROR(IF('월 가계부'!C2237="","",IF(ISNUMBER('월 가계부'!C2237),'월 가계부'!C2237,VALUE(SUBSTITUTE(SUBSTITUTE(SUBSTITUTE(SUBSTITUTE(TRIM('월 가계부'!C2237),",",""),"원","")," ",""),"−","-")))),"")</f>
        <v/>
      </c>
      <c r="CK2237">
        <f>IF(ISNUMBER(CI2237),IF(CI2237&lt;$B$13,CI2237,""),"")</f>
        <v/>
      </c>
      <c r="CM2237">
        <f>IF(CH2237="","",IFERROR(IF(IF(AND(LEN(CH2237)=9,ISERROR(FIND("-",LEFT(CH2237,8))),ISNUMBER(-LEFT(CH2237,8))),VALUE(LEFT(CH2237,4)),VALUE(LEFT(CH2237,FIND("-",CH2237)-1)))&lt;100,IF(AND(LEN(CH2237)=9,ISERROR(FIND("-",LEFT(CH2237,8))),ISNUMBER(-LEFT(CH2237,8))),VALUE(LEFT(CH2237,4)),VALUE(LEFT(CH2237,FIND("-",CH2237)-1)))+2000,IF(AND(LEN(CH2237)=9,ISERROR(FIND("-",LEFT(CH2237,8))),ISNUMBER(-LEFT(CH2237,8))),VALUE(LEFT(CH2237,4)),VALUE(LEFT(CH2237,FIND("-",CH2237)-1)))),""))</f>
        <v/>
      </c>
      <c r="CN2237">
        <f>IF(CH2237="","",IFERROR(IF(AND(LEN(CH2237)=9,ISERROR(FIND("-",LEFT(CH2237,8))),ISNUMBER(-LEFT(CH2237,8))),VALUE(MID(CH2237,5,2)),VALUE(MID(CH2237,FIND("-",CH2237)+1,FIND("-",CH2237,FIND("-",CH2237)+1)-FIND("-",CH2237)-1))),""))</f>
        <v/>
      </c>
      <c r="CO2237">
        <f>IF(CH2237="","",IFERROR(IF(AND(LEN(CH2237)=9,ISERROR(FIND("-",LEFT(CH2237,8))),ISNUMBER(-LEFT(CH2237,8))),VALUE(MID(CH2237,7,2)),VALUE(MID(CH2237,FIND("-",CH2237,FIND("-",CH2237)+1)+1,FIND("-",CH2237,FIND("-",CH2237,FIND("-",CH2237)+1)+1)-FIND("-",CH2237,FIND("-",CH2237)+1)-1))),""))</f>
        <v/>
      </c>
    </row>
    <row r="2238">
      <c r="CH2238">
        <f>IF(ISTEXT('월 가계부'!A2238),SUBSTITUTE(SUBSTITUTE(SUBSTITUTE(SUBSTITUTE(SUBSTITUTE(SUBSTITUTE(SUBSTITUTE(SUBSTITUTE(SUBSTITUTE(TRIM('월 가계부'!A2238),"년","-"),"월","-"),"일",""),".","-"),"/","-")," ","-"),"--","-"),"--","-"),"--","-")&amp;"-","")</f>
        <v/>
      </c>
      <c r="CI2238">
        <f>IFERROR(IF('월 가계부'!A2238="","",IF(ISNUMBER('월 가계부'!A2238),IF(AND('월 가계부'!A2238&gt;=19000101,'월 가계부'!A2238&lt;=21001231),IF(AND(MOD(INT('월 가계부'!A2238/100),100)&gt;=1,MOD(INT('월 가계부'!A2238/100),100)&lt;=12,MOD(INT('월 가계부'!A2238),100)&gt;=1,MOD(INT('월 가계부'!A2238),100)&lt;=31),IF(MONTH(DATE(INT('월 가계부'!A2238/10000),MOD(INT('월 가계부'!A2238/100),100),MOD(INT('월 가계부'!A2238),100)))=MOD(INT('월 가계부'!A2238/100),100),DATE(INT('월 가계부'!A2238/10000),MOD(INT('월 가계부'!A2238/100),100),MOD(INT('월 가계부'!A2238),100)),""),""),IF(AND('월 가계부'!A2238&gt;=36526,'월 가계부'!A2238&lt;73051),INT('월 가계부'!A2238),"")),IF(OR(CM2238="",CN2238="",CO2238=""),"",IF(AND(CM2238&gt;=2000,CM2238&lt;=2099,CN2238&gt;=1,CN2238&lt;=12,CO2238&gt;=1,CO2238&lt;=31),IF(MONTH(DATE(CM2238,CN2238,CO2238))=CN2238,DATE(CM2238,CN2238,CO2238),""),"")))),"")</f>
        <v/>
      </c>
      <c r="CJ2238">
        <f>IFERROR(IF('월 가계부'!C2238="","",IF(ISNUMBER('월 가계부'!C2238),'월 가계부'!C2238,VALUE(SUBSTITUTE(SUBSTITUTE(SUBSTITUTE(SUBSTITUTE(TRIM('월 가계부'!C2238),",",""),"원","")," ",""),"−","-")))),"")</f>
        <v/>
      </c>
      <c r="CK2238">
        <f>IF(ISNUMBER(CI2238),IF(CI2238&lt;$B$13,CI2238,""),"")</f>
        <v/>
      </c>
      <c r="CM2238">
        <f>IF(CH2238="","",IFERROR(IF(IF(AND(LEN(CH2238)=9,ISERROR(FIND("-",LEFT(CH2238,8))),ISNUMBER(-LEFT(CH2238,8))),VALUE(LEFT(CH2238,4)),VALUE(LEFT(CH2238,FIND("-",CH2238)-1)))&lt;100,IF(AND(LEN(CH2238)=9,ISERROR(FIND("-",LEFT(CH2238,8))),ISNUMBER(-LEFT(CH2238,8))),VALUE(LEFT(CH2238,4)),VALUE(LEFT(CH2238,FIND("-",CH2238)-1)))+2000,IF(AND(LEN(CH2238)=9,ISERROR(FIND("-",LEFT(CH2238,8))),ISNUMBER(-LEFT(CH2238,8))),VALUE(LEFT(CH2238,4)),VALUE(LEFT(CH2238,FIND("-",CH2238)-1)))),""))</f>
        <v/>
      </c>
      <c r="CN2238">
        <f>IF(CH2238="","",IFERROR(IF(AND(LEN(CH2238)=9,ISERROR(FIND("-",LEFT(CH2238,8))),ISNUMBER(-LEFT(CH2238,8))),VALUE(MID(CH2238,5,2)),VALUE(MID(CH2238,FIND("-",CH2238)+1,FIND("-",CH2238,FIND("-",CH2238)+1)-FIND("-",CH2238)-1))),""))</f>
        <v/>
      </c>
      <c r="CO2238">
        <f>IF(CH2238="","",IFERROR(IF(AND(LEN(CH2238)=9,ISERROR(FIND("-",LEFT(CH2238,8))),ISNUMBER(-LEFT(CH2238,8))),VALUE(MID(CH2238,7,2)),VALUE(MID(CH2238,FIND("-",CH2238,FIND("-",CH2238)+1)+1,FIND("-",CH2238,FIND("-",CH2238,FIND("-",CH2238)+1)+1)-FIND("-",CH2238,FIND("-",CH2238)+1)-1))),""))</f>
        <v/>
      </c>
    </row>
    <row r="2239">
      <c r="CH2239">
        <f>IF(ISTEXT('월 가계부'!A2239),SUBSTITUTE(SUBSTITUTE(SUBSTITUTE(SUBSTITUTE(SUBSTITUTE(SUBSTITUTE(SUBSTITUTE(SUBSTITUTE(SUBSTITUTE(TRIM('월 가계부'!A2239),"년","-"),"월","-"),"일",""),".","-"),"/","-")," ","-"),"--","-"),"--","-"),"--","-")&amp;"-","")</f>
        <v/>
      </c>
      <c r="CI2239">
        <f>IFERROR(IF('월 가계부'!A2239="","",IF(ISNUMBER('월 가계부'!A2239),IF(AND('월 가계부'!A2239&gt;=19000101,'월 가계부'!A2239&lt;=21001231),IF(AND(MOD(INT('월 가계부'!A2239/100),100)&gt;=1,MOD(INT('월 가계부'!A2239/100),100)&lt;=12,MOD(INT('월 가계부'!A2239),100)&gt;=1,MOD(INT('월 가계부'!A2239),100)&lt;=31),IF(MONTH(DATE(INT('월 가계부'!A2239/10000),MOD(INT('월 가계부'!A2239/100),100),MOD(INT('월 가계부'!A2239),100)))=MOD(INT('월 가계부'!A2239/100),100),DATE(INT('월 가계부'!A2239/10000),MOD(INT('월 가계부'!A2239/100),100),MOD(INT('월 가계부'!A2239),100)),""),""),IF(AND('월 가계부'!A2239&gt;=36526,'월 가계부'!A2239&lt;73051),INT('월 가계부'!A2239),"")),IF(OR(CM2239="",CN2239="",CO2239=""),"",IF(AND(CM2239&gt;=2000,CM2239&lt;=2099,CN2239&gt;=1,CN2239&lt;=12,CO2239&gt;=1,CO2239&lt;=31),IF(MONTH(DATE(CM2239,CN2239,CO2239))=CN2239,DATE(CM2239,CN2239,CO2239),""),"")))),"")</f>
        <v/>
      </c>
      <c r="CJ2239">
        <f>IFERROR(IF('월 가계부'!C2239="","",IF(ISNUMBER('월 가계부'!C2239),'월 가계부'!C2239,VALUE(SUBSTITUTE(SUBSTITUTE(SUBSTITUTE(SUBSTITUTE(TRIM('월 가계부'!C2239),",",""),"원","")," ",""),"−","-")))),"")</f>
        <v/>
      </c>
      <c r="CK2239">
        <f>IF(ISNUMBER(CI2239),IF(CI2239&lt;$B$13,CI2239,""),"")</f>
        <v/>
      </c>
      <c r="CM2239">
        <f>IF(CH2239="","",IFERROR(IF(IF(AND(LEN(CH2239)=9,ISERROR(FIND("-",LEFT(CH2239,8))),ISNUMBER(-LEFT(CH2239,8))),VALUE(LEFT(CH2239,4)),VALUE(LEFT(CH2239,FIND("-",CH2239)-1)))&lt;100,IF(AND(LEN(CH2239)=9,ISERROR(FIND("-",LEFT(CH2239,8))),ISNUMBER(-LEFT(CH2239,8))),VALUE(LEFT(CH2239,4)),VALUE(LEFT(CH2239,FIND("-",CH2239)-1)))+2000,IF(AND(LEN(CH2239)=9,ISERROR(FIND("-",LEFT(CH2239,8))),ISNUMBER(-LEFT(CH2239,8))),VALUE(LEFT(CH2239,4)),VALUE(LEFT(CH2239,FIND("-",CH2239)-1)))),""))</f>
        <v/>
      </c>
      <c r="CN2239">
        <f>IF(CH2239="","",IFERROR(IF(AND(LEN(CH2239)=9,ISERROR(FIND("-",LEFT(CH2239,8))),ISNUMBER(-LEFT(CH2239,8))),VALUE(MID(CH2239,5,2)),VALUE(MID(CH2239,FIND("-",CH2239)+1,FIND("-",CH2239,FIND("-",CH2239)+1)-FIND("-",CH2239)-1))),""))</f>
        <v/>
      </c>
      <c r="CO2239">
        <f>IF(CH2239="","",IFERROR(IF(AND(LEN(CH2239)=9,ISERROR(FIND("-",LEFT(CH2239,8))),ISNUMBER(-LEFT(CH2239,8))),VALUE(MID(CH2239,7,2)),VALUE(MID(CH2239,FIND("-",CH2239,FIND("-",CH2239)+1)+1,FIND("-",CH2239,FIND("-",CH2239,FIND("-",CH2239)+1)+1)-FIND("-",CH2239,FIND("-",CH2239)+1)-1))),""))</f>
        <v/>
      </c>
    </row>
    <row r="2240">
      <c r="CH2240">
        <f>IF(ISTEXT('월 가계부'!A2240),SUBSTITUTE(SUBSTITUTE(SUBSTITUTE(SUBSTITUTE(SUBSTITUTE(SUBSTITUTE(SUBSTITUTE(SUBSTITUTE(SUBSTITUTE(TRIM('월 가계부'!A2240),"년","-"),"월","-"),"일",""),".","-"),"/","-")," ","-"),"--","-"),"--","-"),"--","-")&amp;"-","")</f>
        <v/>
      </c>
      <c r="CI2240">
        <f>IFERROR(IF('월 가계부'!A2240="","",IF(ISNUMBER('월 가계부'!A2240),IF(AND('월 가계부'!A2240&gt;=19000101,'월 가계부'!A2240&lt;=21001231),IF(AND(MOD(INT('월 가계부'!A2240/100),100)&gt;=1,MOD(INT('월 가계부'!A2240/100),100)&lt;=12,MOD(INT('월 가계부'!A2240),100)&gt;=1,MOD(INT('월 가계부'!A2240),100)&lt;=31),IF(MONTH(DATE(INT('월 가계부'!A2240/10000),MOD(INT('월 가계부'!A2240/100),100),MOD(INT('월 가계부'!A2240),100)))=MOD(INT('월 가계부'!A2240/100),100),DATE(INT('월 가계부'!A2240/10000),MOD(INT('월 가계부'!A2240/100),100),MOD(INT('월 가계부'!A2240),100)),""),""),IF(AND('월 가계부'!A2240&gt;=36526,'월 가계부'!A2240&lt;73051),INT('월 가계부'!A2240),"")),IF(OR(CM2240="",CN2240="",CO2240=""),"",IF(AND(CM2240&gt;=2000,CM2240&lt;=2099,CN2240&gt;=1,CN2240&lt;=12,CO2240&gt;=1,CO2240&lt;=31),IF(MONTH(DATE(CM2240,CN2240,CO2240))=CN2240,DATE(CM2240,CN2240,CO2240),""),"")))),"")</f>
        <v/>
      </c>
      <c r="CJ2240">
        <f>IFERROR(IF('월 가계부'!C2240="","",IF(ISNUMBER('월 가계부'!C2240),'월 가계부'!C2240,VALUE(SUBSTITUTE(SUBSTITUTE(SUBSTITUTE(SUBSTITUTE(TRIM('월 가계부'!C2240),",",""),"원","")," ",""),"−","-")))),"")</f>
        <v/>
      </c>
      <c r="CK2240">
        <f>IF(ISNUMBER(CI2240),IF(CI2240&lt;$B$13,CI2240,""),"")</f>
        <v/>
      </c>
      <c r="CM2240">
        <f>IF(CH2240="","",IFERROR(IF(IF(AND(LEN(CH2240)=9,ISERROR(FIND("-",LEFT(CH2240,8))),ISNUMBER(-LEFT(CH2240,8))),VALUE(LEFT(CH2240,4)),VALUE(LEFT(CH2240,FIND("-",CH2240)-1)))&lt;100,IF(AND(LEN(CH2240)=9,ISERROR(FIND("-",LEFT(CH2240,8))),ISNUMBER(-LEFT(CH2240,8))),VALUE(LEFT(CH2240,4)),VALUE(LEFT(CH2240,FIND("-",CH2240)-1)))+2000,IF(AND(LEN(CH2240)=9,ISERROR(FIND("-",LEFT(CH2240,8))),ISNUMBER(-LEFT(CH2240,8))),VALUE(LEFT(CH2240,4)),VALUE(LEFT(CH2240,FIND("-",CH2240)-1)))),""))</f>
        <v/>
      </c>
      <c r="CN2240">
        <f>IF(CH2240="","",IFERROR(IF(AND(LEN(CH2240)=9,ISERROR(FIND("-",LEFT(CH2240,8))),ISNUMBER(-LEFT(CH2240,8))),VALUE(MID(CH2240,5,2)),VALUE(MID(CH2240,FIND("-",CH2240)+1,FIND("-",CH2240,FIND("-",CH2240)+1)-FIND("-",CH2240)-1))),""))</f>
        <v/>
      </c>
      <c r="CO2240">
        <f>IF(CH2240="","",IFERROR(IF(AND(LEN(CH2240)=9,ISERROR(FIND("-",LEFT(CH2240,8))),ISNUMBER(-LEFT(CH2240,8))),VALUE(MID(CH2240,7,2)),VALUE(MID(CH2240,FIND("-",CH2240,FIND("-",CH2240)+1)+1,FIND("-",CH2240,FIND("-",CH2240,FIND("-",CH2240)+1)+1)-FIND("-",CH2240,FIND("-",CH2240)+1)-1))),""))</f>
        <v/>
      </c>
    </row>
    <row r="2241">
      <c r="CH2241">
        <f>IF(ISTEXT('월 가계부'!A2241),SUBSTITUTE(SUBSTITUTE(SUBSTITUTE(SUBSTITUTE(SUBSTITUTE(SUBSTITUTE(SUBSTITUTE(SUBSTITUTE(SUBSTITUTE(TRIM('월 가계부'!A2241),"년","-"),"월","-"),"일",""),".","-"),"/","-")," ","-"),"--","-"),"--","-"),"--","-")&amp;"-","")</f>
        <v/>
      </c>
      <c r="CI2241">
        <f>IFERROR(IF('월 가계부'!A2241="","",IF(ISNUMBER('월 가계부'!A2241),IF(AND('월 가계부'!A2241&gt;=19000101,'월 가계부'!A2241&lt;=21001231),IF(AND(MOD(INT('월 가계부'!A2241/100),100)&gt;=1,MOD(INT('월 가계부'!A2241/100),100)&lt;=12,MOD(INT('월 가계부'!A2241),100)&gt;=1,MOD(INT('월 가계부'!A2241),100)&lt;=31),IF(MONTH(DATE(INT('월 가계부'!A2241/10000),MOD(INT('월 가계부'!A2241/100),100),MOD(INT('월 가계부'!A2241),100)))=MOD(INT('월 가계부'!A2241/100),100),DATE(INT('월 가계부'!A2241/10000),MOD(INT('월 가계부'!A2241/100),100),MOD(INT('월 가계부'!A2241),100)),""),""),IF(AND('월 가계부'!A2241&gt;=36526,'월 가계부'!A2241&lt;73051),INT('월 가계부'!A2241),"")),IF(OR(CM2241="",CN2241="",CO2241=""),"",IF(AND(CM2241&gt;=2000,CM2241&lt;=2099,CN2241&gt;=1,CN2241&lt;=12,CO2241&gt;=1,CO2241&lt;=31),IF(MONTH(DATE(CM2241,CN2241,CO2241))=CN2241,DATE(CM2241,CN2241,CO2241),""),"")))),"")</f>
        <v/>
      </c>
      <c r="CJ2241">
        <f>IFERROR(IF('월 가계부'!C2241="","",IF(ISNUMBER('월 가계부'!C2241),'월 가계부'!C2241,VALUE(SUBSTITUTE(SUBSTITUTE(SUBSTITUTE(SUBSTITUTE(TRIM('월 가계부'!C2241),",",""),"원","")," ",""),"−","-")))),"")</f>
        <v/>
      </c>
      <c r="CK2241">
        <f>IF(ISNUMBER(CI2241),IF(CI2241&lt;$B$13,CI2241,""),"")</f>
        <v/>
      </c>
      <c r="CM2241">
        <f>IF(CH2241="","",IFERROR(IF(IF(AND(LEN(CH2241)=9,ISERROR(FIND("-",LEFT(CH2241,8))),ISNUMBER(-LEFT(CH2241,8))),VALUE(LEFT(CH2241,4)),VALUE(LEFT(CH2241,FIND("-",CH2241)-1)))&lt;100,IF(AND(LEN(CH2241)=9,ISERROR(FIND("-",LEFT(CH2241,8))),ISNUMBER(-LEFT(CH2241,8))),VALUE(LEFT(CH2241,4)),VALUE(LEFT(CH2241,FIND("-",CH2241)-1)))+2000,IF(AND(LEN(CH2241)=9,ISERROR(FIND("-",LEFT(CH2241,8))),ISNUMBER(-LEFT(CH2241,8))),VALUE(LEFT(CH2241,4)),VALUE(LEFT(CH2241,FIND("-",CH2241)-1)))),""))</f>
        <v/>
      </c>
      <c r="CN2241">
        <f>IF(CH2241="","",IFERROR(IF(AND(LEN(CH2241)=9,ISERROR(FIND("-",LEFT(CH2241,8))),ISNUMBER(-LEFT(CH2241,8))),VALUE(MID(CH2241,5,2)),VALUE(MID(CH2241,FIND("-",CH2241)+1,FIND("-",CH2241,FIND("-",CH2241)+1)-FIND("-",CH2241)-1))),""))</f>
        <v/>
      </c>
      <c r="CO2241">
        <f>IF(CH2241="","",IFERROR(IF(AND(LEN(CH2241)=9,ISERROR(FIND("-",LEFT(CH2241,8))),ISNUMBER(-LEFT(CH2241,8))),VALUE(MID(CH2241,7,2)),VALUE(MID(CH2241,FIND("-",CH2241,FIND("-",CH2241)+1)+1,FIND("-",CH2241,FIND("-",CH2241,FIND("-",CH2241)+1)+1)-FIND("-",CH2241,FIND("-",CH2241)+1)-1))),""))</f>
        <v/>
      </c>
    </row>
    <row r="2242">
      <c r="CH2242">
        <f>IF(ISTEXT('월 가계부'!A2242),SUBSTITUTE(SUBSTITUTE(SUBSTITUTE(SUBSTITUTE(SUBSTITUTE(SUBSTITUTE(SUBSTITUTE(SUBSTITUTE(SUBSTITUTE(TRIM('월 가계부'!A2242),"년","-"),"월","-"),"일",""),".","-"),"/","-")," ","-"),"--","-"),"--","-"),"--","-")&amp;"-","")</f>
        <v/>
      </c>
      <c r="CI2242">
        <f>IFERROR(IF('월 가계부'!A2242="","",IF(ISNUMBER('월 가계부'!A2242),IF(AND('월 가계부'!A2242&gt;=19000101,'월 가계부'!A2242&lt;=21001231),IF(AND(MOD(INT('월 가계부'!A2242/100),100)&gt;=1,MOD(INT('월 가계부'!A2242/100),100)&lt;=12,MOD(INT('월 가계부'!A2242),100)&gt;=1,MOD(INT('월 가계부'!A2242),100)&lt;=31),IF(MONTH(DATE(INT('월 가계부'!A2242/10000),MOD(INT('월 가계부'!A2242/100),100),MOD(INT('월 가계부'!A2242),100)))=MOD(INT('월 가계부'!A2242/100),100),DATE(INT('월 가계부'!A2242/10000),MOD(INT('월 가계부'!A2242/100),100),MOD(INT('월 가계부'!A2242),100)),""),""),IF(AND('월 가계부'!A2242&gt;=36526,'월 가계부'!A2242&lt;73051),INT('월 가계부'!A2242),"")),IF(OR(CM2242="",CN2242="",CO2242=""),"",IF(AND(CM2242&gt;=2000,CM2242&lt;=2099,CN2242&gt;=1,CN2242&lt;=12,CO2242&gt;=1,CO2242&lt;=31),IF(MONTH(DATE(CM2242,CN2242,CO2242))=CN2242,DATE(CM2242,CN2242,CO2242),""),"")))),"")</f>
        <v/>
      </c>
      <c r="CJ2242">
        <f>IFERROR(IF('월 가계부'!C2242="","",IF(ISNUMBER('월 가계부'!C2242),'월 가계부'!C2242,VALUE(SUBSTITUTE(SUBSTITUTE(SUBSTITUTE(SUBSTITUTE(TRIM('월 가계부'!C2242),",",""),"원","")," ",""),"−","-")))),"")</f>
        <v/>
      </c>
      <c r="CK2242">
        <f>IF(ISNUMBER(CI2242),IF(CI2242&lt;$B$13,CI2242,""),"")</f>
        <v/>
      </c>
      <c r="CM2242">
        <f>IF(CH2242="","",IFERROR(IF(IF(AND(LEN(CH2242)=9,ISERROR(FIND("-",LEFT(CH2242,8))),ISNUMBER(-LEFT(CH2242,8))),VALUE(LEFT(CH2242,4)),VALUE(LEFT(CH2242,FIND("-",CH2242)-1)))&lt;100,IF(AND(LEN(CH2242)=9,ISERROR(FIND("-",LEFT(CH2242,8))),ISNUMBER(-LEFT(CH2242,8))),VALUE(LEFT(CH2242,4)),VALUE(LEFT(CH2242,FIND("-",CH2242)-1)))+2000,IF(AND(LEN(CH2242)=9,ISERROR(FIND("-",LEFT(CH2242,8))),ISNUMBER(-LEFT(CH2242,8))),VALUE(LEFT(CH2242,4)),VALUE(LEFT(CH2242,FIND("-",CH2242)-1)))),""))</f>
        <v/>
      </c>
      <c r="CN2242">
        <f>IF(CH2242="","",IFERROR(IF(AND(LEN(CH2242)=9,ISERROR(FIND("-",LEFT(CH2242,8))),ISNUMBER(-LEFT(CH2242,8))),VALUE(MID(CH2242,5,2)),VALUE(MID(CH2242,FIND("-",CH2242)+1,FIND("-",CH2242,FIND("-",CH2242)+1)-FIND("-",CH2242)-1))),""))</f>
        <v/>
      </c>
      <c r="CO2242">
        <f>IF(CH2242="","",IFERROR(IF(AND(LEN(CH2242)=9,ISERROR(FIND("-",LEFT(CH2242,8))),ISNUMBER(-LEFT(CH2242,8))),VALUE(MID(CH2242,7,2)),VALUE(MID(CH2242,FIND("-",CH2242,FIND("-",CH2242)+1)+1,FIND("-",CH2242,FIND("-",CH2242,FIND("-",CH2242)+1)+1)-FIND("-",CH2242,FIND("-",CH2242)+1)-1))),""))</f>
        <v/>
      </c>
    </row>
    <row r="2243">
      <c r="CH2243">
        <f>IF(ISTEXT('월 가계부'!A2243),SUBSTITUTE(SUBSTITUTE(SUBSTITUTE(SUBSTITUTE(SUBSTITUTE(SUBSTITUTE(SUBSTITUTE(SUBSTITUTE(SUBSTITUTE(TRIM('월 가계부'!A2243),"년","-"),"월","-"),"일",""),".","-"),"/","-")," ","-"),"--","-"),"--","-"),"--","-")&amp;"-","")</f>
        <v/>
      </c>
      <c r="CI2243">
        <f>IFERROR(IF('월 가계부'!A2243="","",IF(ISNUMBER('월 가계부'!A2243),IF(AND('월 가계부'!A2243&gt;=19000101,'월 가계부'!A2243&lt;=21001231),IF(AND(MOD(INT('월 가계부'!A2243/100),100)&gt;=1,MOD(INT('월 가계부'!A2243/100),100)&lt;=12,MOD(INT('월 가계부'!A2243),100)&gt;=1,MOD(INT('월 가계부'!A2243),100)&lt;=31),IF(MONTH(DATE(INT('월 가계부'!A2243/10000),MOD(INT('월 가계부'!A2243/100),100),MOD(INT('월 가계부'!A2243),100)))=MOD(INT('월 가계부'!A2243/100),100),DATE(INT('월 가계부'!A2243/10000),MOD(INT('월 가계부'!A2243/100),100),MOD(INT('월 가계부'!A2243),100)),""),""),IF(AND('월 가계부'!A2243&gt;=36526,'월 가계부'!A2243&lt;73051),INT('월 가계부'!A2243),"")),IF(OR(CM2243="",CN2243="",CO2243=""),"",IF(AND(CM2243&gt;=2000,CM2243&lt;=2099,CN2243&gt;=1,CN2243&lt;=12,CO2243&gt;=1,CO2243&lt;=31),IF(MONTH(DATE(CM2243,CN2243,CO2243))=CN2243,DATE(CM2243,CN2243,CO2243),""),"")))),"")</f>
        <v/>
      </c>
      <c r="CJ2243">
        <f>IFERROR(IF('월 가계부'!C2243="","",IF(ISNUMBER('월 가계부'!C2243),'월 가계부'!C2243,VALUE(SUBSTITUTE(SUBSTITUTE(SUBSTITUTE(SUBSTITUTE(TRIM('월 가계부'!C2243),",",""),"원","")," ",""),"−","-")))),"")</f>
        <v/>
      </c>
      <c r="CK2243">
        <f>IF(ISNUMBER(CI2243),IF(CI2243&lt;$B$13,CI2243,""),"")</f>
        <v/>
      </c>
      <c r="CM2243">
        <f>IF(CH2243="","",IFERROR(IF(IF(AND(LEN(CH2243)=9,ISERROR(FIND("-",LEFT(CH2243,8))),ISNUMBER(-LEFT(CH2243,8))),VALUE(LEFT(CH2243,4)),VALUE(LEFT(CH2243,FIND("-",CH2243)-1)))&lt;100,IF(AND(LEN(CH2243)=9,ISERROR(FIND("-",LEFT(CH2243,8))),ISNUMBER(-LEFT(CH2243,8))),VALUE(LEFT(CH2243,4)),VALUE(LEFT(CH2243,FIND("-",CH2243)-1)))+2000,IF(AND(LEN(CH2243)=9,ISERROR(FIND("-",LEFT(CH2243,8))),ISNUMBER(-LEFT(CH2243,8))),VALUE(LEFT(CH2243,4)),VALUE(LEFT(CH2243,FIND("-",CH2243)-1)))),""))</f>
        <v/>
      </c>
      <c r="CN2243">
        <f>IF(CH2243="","",IFERROR(IF(AND(LEN(CH2243)=9,ISERROR(FIND("-",LEFT(CH2243,8))),ISNUMBER(-LEFT(CH2243,8))),VALUE(MID(CH2243,5,2)),VALUE(MID(CH2243,FIND("-",CH2243)+1,FIND("-",CH2243,FIND("-",CH2243)+1)-FIND("-",CH2243)-1))),""))</f>
        <v/>
      </c>
      <c r="CO2243">
        <f>IF(CH2243="","",IFERROR(IF(AND(LEN(CH2243)=9,ISERROR(FIND("-",LEFT(CH2243,8))),ISNUMBER(-LEFT(CH2243,8))),VALUE(MID(CH2243,7,2)),VALUE(MID(CH2243,FIND("-",CH2243,FIND("-",CH2243)+1)+1,FIND("-",CH2243,FIND("-",CH2243,FIND("-",CH2243)+1)+1)-FIND("-",CH2243,FIND("-",CH2243)+1)-1))),""))</f>
        <v/>
      </c>
    </row>
    <row r="2244">
      <c r="CH2244">
        <f>IF(ISTEXT('월 가계부'!A2244),SUBSTITUTE(SUBSTITUTE(SUBSTITUTE(SUBSTITUTE(SUBSTITUTE(SUBSTITUTE(SUBSTITUTE(SUBSTITUTE(SUBSTITUTE(TRIM('월 가계부'!A2244),"년","-"),"월","-"),"일",""),".","-"),"/","-")," ","-"),"--","-"),"--","-"),"--","-")&amp;"-","")</f>
        <v/>
      </c>
      <c r="CI2244">
        <f>IFERROR(IF('월 가계부'!A2244="","",IF(ISNUMBER('월 가계부'!A2244),IF(AND('월 가계부'!A2244&gt;=19000101,'월 가계부'!A2244&lt;=21001231),IF(AND(MOD(INT('월 가계부'!A2244/100),100)&gt;=1,MOD(INT('월 가계부'!A2244/100),100)&lt;=12,MOD(INT('월 가계부'!A2244),100)&gt;=1,MOD(INT('월 가계부'!A2244),100)&lt;=31),IF(MONTH(DATE(INT('월 가계부'!A2244/10000),MOD(INT('월 가계부'!A2244/100),100),MOD(INT('월 가계부'!A2244),100)))=MOD(INT('월 가계부'!A2244/100),100),DATE(INT('월 가계부'!A2244/10000),MOD(INT('월 가계부'!A2244/100),100),MOD(INT('월 가계부'!A2244),100)),""),""),IF(AND('월 가계부'!A2244&gt;=36526,'월 가계부'!A2244&lt;73051),INT('월 가계부'!A2244),"")),IF(OR(CM2244="",CN2244="",CO2244=""),"",IF(AND(CM2244&gt;=2000,CM2244&lt;=2099,CN2244&gt;=1,CN2244&lt;=12,CO2244&gt;=1,CO2244&lt;=31),IF(MONTH(DATE(CM2244,CN2244,CO2244))=CN2244,DATE(CM2244,CN2244,CO2244),""),"")))),"")</f>
        <v/>
      </c>
      <c r="CJ2244">
        <f>IFERROR(IF('월 가계부'!C2244="","",IF(ISNUMBER('월 가계부'!C2244),'월 가계부'!C2244,VALUE(SUBSTITUTE(SUBSTITUTE(SUBSTITUTE(SUBSTITUTE(TRIM('월 가계부'!C2244),",",""),"원","")," ",""),"−","-")))),"")</f>
        <v/>
      </c>
      <c r="CK2244">
        <f>IF(ISNUMBER(CI2244),IF(CI2244&lt;$B$13,CI2244,""),"")</f>
        <v/>
      </c>
      <c r="CM2244">
        <f>IF(CH2244="","",IFERROR(IF(IF(AND(LEN(CH2244)=9,ISERROR(FIND("-",LEFT(CH2244,8))),ISNUMBER(-LEFT(CH2244,8))),VALUE(LEFT(CH2244,4)),VALUE(LEFT(CH2244,FIND("-",CH2244)-1)))&lt;100,IF(AND(LEN(CH2244)=9,ISERROR(FIND("-",LEFT(CH2244,8))),ISNUMBER(-LEFT(CH2244,8))),VALUE(LEFT(CH2244,4)),VALUE(LEFT(CH2244,FIND("-",CH2244)-1)))+2000,IF(AND(LEN(CH2244)=9,ISERROR(FIND("-",LEFT(CH2244,8))),ISNUMBER(-LEFT(CH2244,8))),VALUE(LEFT(CH2244,4)),VALUE(LEFT(CH2244,FIND("-",CH2244)-1)))),""))</f>
        <v/>
      </c>
      <c r="CN2244">
        <f>IF(CH2244="","",IFERROR(IF(AND(LEN(CH2244)=9,ISERROR(FIND("-",LEFT(CH2244,8))),ISNUMBER(-LEFT(CH2244,8))),VALUE(MID(CH2244,5,2)),VALUE(MID(CH2244,FIND("-",CH2244)+1,FIND("-",CH2244,FIND("-",CH2244)+1)-FIND("-",CH2244)-1))),""))</f>
        <v/>
      </c>
      <c r="CO2244">
        <f>IF(CH2244="","",IFERROR(IF(AND(LEN(CH2244)=9,ISERROR(FIND("-",LEFT(CH2244,8))),ISNUMBER(-LEFT(CH2244,8))),VALUE(MID(CH2244,7,2)),VALUE(MID(CH2244,FIND("-",CH2244,FIND("-",CH2244)+1)+1,FIND("-",CH2244,FIND("-",CH2244,FIND("-",CH2244)+1)+1)-FIND("-",CH2244,FIND("-",CH2244)+1)-1))),""))</f>
        <v/>
      </c>
    </row>
    <row r="2245">
      <c r="CH2245">
        <f>IF(ISTEXT('월 가계부'!A2245),SUBSTITUTE(SUBSTITUTE(SUBSTITUTE(SUBSTITUTE(SUBSTITUTE(SUBSTITUTE(SUBSTITUTE(SUBSTITUTE(SUBSTITUTE(TRIM('월 가계부'!A2245),"년","-"),"월","-"),"일",""),".","-"),"/","-")," ","-"),"--","-"),"--","-"),"--","-")&amp;"-","")</f>
        <v/>
      </c>
      <c r="CI2245">
        <f>IFERROR(IF('월 가계부'!A2245="","",IF(ISNUMBER('월 가계부'!A2245),IF(AND('월 가계부'!A2245&gt;=19000101,'월 가계부'!A2245&lt;=21001231),IF(AND(MOD(INT('월 가계부'!A2245/100),100)&gt;=1,MOD(INT('월 가계부'!A2245/100),100)&lt;=12,MOD(INT('월 가계부'!A2245),100)&gt;=1,MOD(INT('월 가계부'!A2245),100)&lt;=31),IF(MONTH(DATE(INT('월 가계부'!A2245/10000),MOD(INT('월 가계부'!A2245/100),100),MOD(INT('월 가계부'!A2245),100)))=MOD(INT('월 가계부'!A2245/100),100),DATE(INT('월 가계부'!A2245/10000),MOD(INT('월 가계부'!A2245/100),100),MOD(INT('월 가계부'!A2245),100)),""),""),IF(AND('월 가계부'!A2245&gt;=36526,'월 가계부'!A2245&lt;73051),INT('월 가계부'!A2245),"")),IF(OR(CM2245="",CN2245="",CO2245=""),"",IF(AND(CM2245&gt;=2000,CM2245&lt;=2099,CN2245&gt;=1,CN2245&lt;=12,CO2245&gt;=1,CO2245&lt;=31),IF(MONTH(DATE(CM2245,CN2245,CO2245))=CN2245,DATE(CM2245,CN2245,CO2245),""),"")))),"")</f>
        <v/>
      </c>
      <c r="CJ2245">
        <f>IFERROR(IF('월 가계부'!C2245="","",IF(ISNUMBER('월 가계부'!C2245),'월 가계부'!C2245,VALUE(SUBSTITUTE(SUBSTITUTE(SUBSTITUTE(SUBSTITUTE(TRIM('월 가계부'!C2245),",",""),"원","")," ",""),"−","-")))),"")</f>
        <v/>
      </c>
      <c r="CK2245">
        <f>IF(ISNUMBER(CI2245),IF(CI2245&lt;$B$13,CI2245,""),"")</f>
        <v/>
      </c>
      <c r="CM2245">
        <f>IF(CH2245="","",IFERROR(IF(IF(AND(LEN(CH2245)=9,ISERROR(FIND("-",LEFT(CH2245,8))),ISNUMBER(-LEFT(CH2245,8))),VALUE(LEFT(CH2245,4)),VALUE(LEFT(CH2245,FIND("-",CH2245)-1)))&lt;100,IF(AND(LEN(CH2245)=9,ISERROR(FIND("-",LEFT(CH2245,8))),ISNUMBER(-LEFT(CH2245,8))),VALUE(LEFT(CH2245,4)),VALUE(LEFT(CH2245,FIND("-",CH2245)-1)))+2000,IF(AND(LEN(CH2245)=9,ISERROR(FIND("-",LEFT(CH2245,8))),ISNUMBER(-LEFT(CH2245,8))),VALUE(LEFT(CH2245,4)),VALUE(LEFT(CH2245,FIND("-",CH2245)-1)))),""))</f>
        <v/>
      </c>
      <c r="CN2245">
        <f>IF(CH2245="","",IFERROR(IF(AND(LEN(CH2245)=9,ISERROR(FIND("-",LEFT(CH2245,8))),ISNUMBER(-LEFT(CH2245,8))),VALUE(MID(CH2245,5,2)),VALUE(MID(CH2245,FIND("-",CH2245)+1,FIND("-",CH2245,FIND("-",CH2245)+1)-FIND("-",CH2245)-1))),""))</f>
        <v/>
      </c>
      <c r="CO2245">
        <f>IF(CH2245="","",IFERROR(IF(AND(LEN(CH2245)=9,ISERROR(FIND("-",LEFT(CH2245,8))),ISNUMBER(-LEFT(CH2245,8))),VALUE(MID(CH2245,7,2)),VALUE(MID(CH2245,FIND("-",CH2245,FIND("-",CH2245)+1)+1,FIND("-",CH2245,FIND("-",CH2245,FIND("-",CH2245)+1)+1)-FIND("-",CH2245,FIND("-",CH2245)+1)-1))),""))</f>
        <v/>
      </c>
    </row>
    <row r="2246">
      <c r="CH2246">
        <f>IF(ISTEXT('월 가계부'!A2246),SUBSTITUTE(SUBSTITUTE(SUBSTITUTE(SUBSTITUTE(SUBSTITUTE(SUBSTITUTE(SUBSTITUTE(SUBSTITUTE(SUBSTITUTE(TRIM('월 가계부'!A2246),"년","-"),"월","-"),"일",""),".","-"),"/","-")," ","-"),"--","-"),"--","-"),"--","-")&amp;"-","")</f>
        <v/>
      </c>
      <c r="CI2246">
        <f>IFERROR(IF('월 가계부'!A2246="","",IF(ISNUMBER('월 가계부'!A2246),IF(AND('월 가계부'!A2246&gt;=19000101,'월 가계부'!A2246&lt;=21001231),IF(AND(MOD(INT('월 가계부'!A2246/100),100)&gt;=1,MOD(INT('월 가계부'!A2246/100),100)&lt;=12,MOD(INT('월 가계부'!A2246),100)&gt;=1,MOD(INT('월 가계부'!A2246),100)&lt;=31),IF(MONTH(DATE(INT('월 가계부'!A2246/10000),MOD(INT('월 가계부'!A2246/100),100),MOD(INT('월 가계부'!A2246),100)))=MOD(INT('월 가계부'!A2246/100),100),DATE(INT('월 가계부'!A2246/10000),MOD(INT('월 가계부'!A2246/100),100),MOD(INT('월 가계부'!A2246),100)),""),""),IF(AND('월 가계부'!A2246&gt;=36526,'월 가계부'!A2246&lt;73051),INT('월 가계부'!A2246),"")),IF(OR(CM2246="",CN2246="",CO2246=""),"",IF(AND(CM2246&gt;=2000,CM2246&lt;=2099,CN2246&gt;=1,CN2246&lt;=12,CO2246&gt;=1,CO2246&lt;=31),IF(MONTH(DATE(CM2246,CN2246,CO2246))=CN2246,DATE(CM2246,CN2246,CO2246),""),"")))),"")</f>
        <v/>
      </c>
      <c r="CJ2246">
        <f>IFERROR(IF('월 가계부'!C2246="","",IF(ISNUMBER('월 가계부'!C2246),'월 가계부'!C2246,VALUE(SUBSTITUTE(SUBSTITUTE(SUBSTITUTE(SUBSTITUTE(TRIM('월 가계부'!C2246),",",""),"원","")," ",""),"−","-")))),"")</f>
        <v/>
      </c>
      <c r="CK2246">
        <f>IF(ISNUMBER(CI2246),IF(CI2246&lt;$B$13,CI2246,""),"")</f>
        <v/>
      </c>
      <c r="CM2246">
        <f>IF(CH2246="","",IFERROR(IF(IF(AND(LEN(CH2246)=9,ISERROR(FIND("-",LEFT(CH2246,8))),ISNUMBER(-LEFT(CH2246,8))),VALUE(LEFT(CH2246,4)),VALUE(LEFT(CH2246,FIND("-",CH2246)-1)))&lt;100,IF(AND(LEN(CH2246)=9,ISERROR(FIND("-",LEFT(CH2246,8))),ISNUMBER(-LEFT(CH2246,8))),VALUE(LEFT(CH2246,4)),VALUE(LEFT(CH2246,FIND("-",CH2246)-1)))+2000,IF(AND(LEN(CH2246)=9,ISERROR(FIND("-",LEFT(CH2246,8))),ISNUMBER(-LEFT(CH2246,8))),VALUE(LEFT(CH2246,4)),VALUE(LEFT(CH2246,FIND("-",CH2246)-1)))),""))</f>
        <v/>
      </c>
      <c r="CN2246">
        <f>IF(CH2246="","",IFERROR(IF(AND(LEN(CH2246)=9,ISERROR(FIND("-",LEFT(CH2246,8))),ISNUMBER(-LEFT(CH2246,8))),VALUE(MID(CH2246,5,2)),VALUE(MID(CH2246,FIND("-",CH2246)+1,FIND("-",CH2246,FIND("-",CH2246)+1)-FIND("-",CH2246)-1))),""))</f>
        <v/>
      </c>
      <c r="CO2246">
        <f>IF(CH2246="","",IFERROR(IF(AND(LEN(CH2246)=9,ISERROR(FIND("-",LEFT(CH2246,8))),ISNUMBER(-LEFT(CH2246,8))),VALUE(MID(CH2246,7,2)),VALUE(MID(CH2246,FIND("-",CH2246,FIND("-",CH2246)+1)+1,FIND("-",CH2246,FIND("-",CH2246,FIND("-",CH2246)+1)+1)-FIND("-",CH2246,FIND("-",CH2246)+1)-1))),""))</f>
        <v/>
      </c>
    </row>
    <row r="2247">
      <c r="CH2247">
        <f>IF(ISTEXT('월 가계부'!A2247),SUBSTITUTE(SUBSTITUTE(SUBSTITUTE(SUBSTITUTE(SUBSTITUTE(SUBSTITUTE(SUBSTITUTE(SUBSTITUTE(SUBSTITUTE(TRIM('월 가계부'!A2247),"년","-"),"월","-"),"일",""),".","-"),"/","-")," ","-"),"--","-"),"--","-"),"--","-")&amp;"-","")</f>
        <v/>
      </c>
      <c r="CI2247">
        <f>IFERROR(IF('월 가계부'!A2247="","",IF(ISNUMBER('월 가계부'!A2247),IF(AND('월 가계부'!A2247&gt;=19000101,'월 가계부'!A2247&lt;=21001231),IF(AND(MOD(INT('월 가계부'!A2247/100),100)&gt;=1,MOD(INT('월 가계부'!A2247/100),100)&lt;=12,MOD(INT('월 가계부'!A2247),100)&gt;=1,MOD(INT('월 가계부'!A2247),100)&lt;=31),IF(MONTH(DATE(INT('월 가계부'!A2247/10000),MOD(INT('월 가계부'!A2247/100),100),MOD(INT('월 가계부'!A2247),100)))=MOD(INT('월 가계부'!A2247/100),100),DATE(INT('월 가계부'!A2247/10000),MOD(INT('월 가계부'!A2247/100),100),MOD(INT('월 가계부'!A2247),100)),""),""),IF(AND('월 가계부'!A2247&gt;=36526,'월 가계부'!A2247&lt;73051),INT('월 가계부'!A2247),"")),IF(OR(CM2247="",CN2247="",CO2247=""),"",IF(AND(CM2247&gt;=2000,CM2247&lt;=2099,CN2247&gt;=1,CN2247&lt;=12,CO2247&gt;=1,CO2247&lt;=31),IF(MONTH(DATE(CM2247,CN2247,CO2247))=CN2247,DATE(CM2247,CN2247,CO2247),""),"")))),"")</f>
        <v/>
      </c>
      <c r="CJ2247">
        <f>IFERROR(IF('월 가계부'!C2247="","",IF(ISNUMBER('월 가계부'!C2247),'월 가계부'!C2247,VALUE(SUBSTITUTE(SUBSTITUTE(SUBSTITUTE(SUBSTITUTE(TRIM('월 가계부'!C2247),",",""),"원","")," ",""),"−","-")))),"")</f>
        <v/>
      </c>
      <c r="CK2247">
        <f>IF(ISNUMBER(CI2247),IF(CI2247&lt;$B$13,CI2247,""),"")</f>
        <v/>
      </c>
      <c r="CM2247">
        <f>IF(CH2247="","",IFERROR(IF(IF(AND(LEN(CH2247)=9,ISERROR(FIND("-",LEFT(CH2247,8))),ISNUMBER(-LEFT(CH2247,8))),VALUE(LEFT(CH2247,4)),VALUE(LEFT(CH2247,FIND("-",CH2247)-1)))&lt;100,IF(AND(LEN(CH2247)=9,ISERROR(FIND("-",LEFT(CH2247,8))),ISNUMBER(-LEFT(CH2247,8))),VALUE(LEFT(CH2247,4)),VALUE(LEFT(CH2247,FIND("-",CH2247)-1)))+2000,IF(AND(LEN(CH2247)=9,ISERROR(FIND("-",LEFT(CH2247,8))),ISNUMBER(-LEFT(CH2247,8))),VALUE(LEFT(CH2247,4)),VALUE(LEFT(CH2247,FIND("-",CH2247)-1)))),""))</f>
        <v/>
      </c>
      <c r="CN2247">
        <f>IF(CH2247="","",IFERROR(IF(AND(LEN(CH2247)=9,ISERROR(FIND("-",LEFT(CH2247,8))),ISNUMBER(-LEFT(CH2247,8))),VALUE(MID(CH2247,5,2)),VALUE(MID(CH2247,FIND("-",CH2247)+1,FIND("-",CH2247,FIND("-",CH2247)+1)-FIND("-",CH2247)-1))),""))</f>
        <v/>
      </c>
      <c r="CO2247">
        <f>IF(CH2247="","",IFERROR(IF(AND(LEN(CH2247)=9,ISERROR(FIND("-",LEFT(CH2247,8))),ISNUMBER(-LEFT(CH2247,8))),VALUE(MID(CH2247,7,2)),VALUE(MID(CH2247,FIND("-",CH2247,FIND("-",CH2247)+1)+1,FIND("-",CH2247,FIND("-",CH2247,FIND("-",CH2247)+1)+1)-FIND("-",CH2247,FIND("-",CH2247)+1)-1))),""))</f>
        <v/>
      </c>
    </row>
    <row r="2248">
      <c r="CH2248">
        <f>IF(ISTEXT('월 가계부'!A2248),SUBSTITUTE(SUBSTITUTE(SUBSTITUTE(SUBSTITUTE(SUBSTITUTE(SUBSTITUTE(SUBSTITUTE(SUBSTITUTE(SUBSTITUTE(TRIM('월 가계부'!A2248),"년","-"),"월","-"),"일",""),".","-"),"/","-")," ","-"),"--","-"),"--","-"),"--","-")&amp;"-","")</f>
        <v/>
      </c>
      <c r="CI2248">
        <f>IFERROR(IF('월 가계부'!A2248="","",IF(ISNUMBER('월 가계부'!A2248),IF(AND('월 가계부'!A2248&gt;=19000101,'월 가계부'!A2248&lt;=21001231),IF(AND(MOD(INT('월 가계부'!A2248/100),100)&gt;=1,MOD(INT('월 가계부'!A2248/100),100)&lt;=12,MOD(INT('월 가계부'!A2248),100)&gt;=1,MOD(INT('월 가계부'!A2248),100)&lt;=31),IF(MONTH(DATE(INT('월 가계부'!A2248/10000),MOD(INT('월 가계부'!A2248/100),100),MOD(INT('월 가계부'!A2248),100)))=MOD(INT('월 가계부'!A2248/100),100),DATE(INT('월 가계부'!A2248/10000),MOD(INT('월 가계부'!A2248/100),100),MOD(INT('월 가계부'!A2248),100)),""),""),IF(AND('월 가계부'!A2248&gt;=36526,'월 가계부'!A2248&lt;73051),INT('월 가계부'!A2248),"")),IF(OR(CM2248="",CN2248="",CO2248=""),"",IF(AND(CM2248&gt;=2000,CM2248&lt;=2099,CN2248&gt;=1,CN2248&lt;=12,CO2248&gt;=1,CO2248&lt;=31),IF(MONTH(DATE(CM2248,CN2248,CO2248))=CN2248,DATE(CM2248,CN2248,CO2248),""),"")))),"")</f>
        <v/>
      </c>
      <c r="CJ2248">
        <f>IFERROR(IF('월 가계부'!C2248="","",IF(ISNUMBER('월 가계부'!C2248),'월 가계부'!C2248,VALUE(SUBSTITUTE(SUBSTITUTE(SUBSTITUTE(SUBSTITUTE(TRIM('월 가계부'!C2248),",",""),"원","")," ",""),"−","-")))),"")</f>
        <v/>
      </c>
      <c r="CK2248">
        <f>IF(ISNUMBER(CI2248),IF(CI2248&lt;$B$13,CI2248,""),"")</f>
        <v/>
      </c>
      <c r="CM2248">
        <f>IF(CH2248="","",IFERROR(IF(IF(AND(LEN(CH2248)=9,ISERROR(FIND("-",LEFT(CH2248,8))),ISNUMBER(-LEFT(CH2248,8))),VALUE(LEFT(CH2248,4)),VALUE(LEFT(CH2248,FIND("-",CH2248)-1)))&lt;100,IF(AND(LEN(CH2248)=9,ISERROR(FIND("-",LEFT(CH2248,8))),ISNUMBER(-LEFT(CH2248,8))),VALUE(LEFT(CH2248,4)),VALUE(LEFT(CH2248,FIND("-",CH2248)-1)))+2000,IF(AND(LEN(CH2248)=9,ISERROR(FIND("-",LEFT(CH2248,8))),ISNUMBER(-LEFT(CH2248,8))),VALUE(LEFT(CH2248,4)),VALUE(LEFT(CH2248,FIND("-",CH2248)-1)))),""))</f>
        <v/>
      </c>
      <c r="CN2248">
        <f>IF(CH2248="","",IFERROR(IF(AND(LEN(CH2248)=9,ISERROR(FIND("-",LEFT(CH2248,8))),ISNUMBER(-LEFT(CH2248,8))),VALUE(MID(CH2248,5,2)),VALUE(MID(CH2248,FIND("-",CH2248)+1,FIND("-",CH2248,FIND("-",CH2248)+1)-FIND("-",CH2248)-1))),""))</f>
        <v/>
      </c>
      <c r="CO2248">
        <f>IF(CH2248="","",IFERROR(IF(AND(LEN(CH2248)=9,ISERROR(FIND("-",LEFT(CH2248,8))),ISNUMBER(-LEFT(CH2248,8))),VALUE(MID(CH2248,7,2)),VALUE(MID(CH2248,FIND("-",CH2248,FIND("-",CH2248)+1)+1,FIND("-",CH2248,FIND("-",CH2248,FIND("-",CH2248)+1)+1)-FIND("-",CH2248,FIND("-",CH2248)+1)-1))),""))</f>
        <v/>
      </c>
    </row>
    <row r="2249">
      <c r="CH2249">
        <f>IF(ISTEXT('월 가계부'!A2249),SUBSTITUTE(SUBSTITUTE(SUBSTITUTE(SUBSTITUTE(SUBSTITUTE(SUBSTITUTE(SUBSTITUTE(SUBSTITUTE(SUBSTITUTE(TRIM('월 가계부'!A2249),"년","-"),"월","-"),"일",""),".","-"),"/","-")," ","-"),"--","-"),"--","-"),"--","-")&amp;"-","")</f>
        <v/>
      </c>
      <c r="CI2249">
        <f>IFERROR(IF('월 가계부'!A2249="","",IF(ISNUMBER('월 가계부'!A2249),IF(AND('월 가계부'!A2249&gt;=19000101,'월 가계부'!A2249&lt;=21001231),IF(AND(MOD(INT('월 가계부'!A2249/100),100)&gt;=1,MOD(INT('월 가계부'!A2249/100),100)&lt;=12,MOD(INT('월 가계부'!A2249),100)&gt;=1,MOD(INT('월 가계부'!A2249),100)&lt;=31),IF(MONTH(DATE(INT('월 가계부'!A2249/10000),MOD(INT('월 가계부'!A2249/100),100),MOD(INT('월 가계부'!A2249),100)))=MOD(INT('월 가계부'!A2249/100),100),DATE(INT('월 가계부'!A2249/10000),MOD(INT('월 가계부'!A2249/100),100),MOD(INT('월 가계부'!A2249),100)),""),""),IF(AND('월 가계부'!A2249&gt;=36526,'월 가계부'!A2249&lt;73051),INT('월 가계부'!A2249),"")),IF(OR(CM2249="",CN2249="",CO2249=""),"",IF(AND(CM2249&gt;=2000,CM2249&lt;=2099,CN2249&gt;=1,CN2249&lt;=12,CO2249&gt;=1,CO2249&lt;=31),IF(MONTH(DATE(CM2249,CN2249,CO2249))=CN2249,DATE(CM2249,CN2249,CO2249),""),"")))),"")</f>
        <v/>
      </c>
      <c r="CJ2249">
        <f>IFERROR(IF('월 가계부'!C2249="","",IF(ISNUMBER('월 가계부'!C2249),'월 가계부'!C2249,VALUE(SUBSTITUTE(SUBSTITUTE(SUBSTITUTE(SUBSTITUTE(TRIM('월 가계부'!C2249),",",""),"원","")," ",""),"−","-")))),"")</f>
        <v/>
      </c>
      <c r="CK2249">
        <f>IF(ISNUMBER(CI2249),IF(CI2249&lt;$B$13,CI2249,""),"")</f>
        <v/>
      </c>
      <c r="CM2249">
        <f>IF(CH2249="","",IFERROR(IF(IF(AND(LEN(CH2249)=9,ISERROR(FIND("-",LEFT(CH2249,8))),ISNUMBER(-LEFT(CH2249,8))),VALUE(LEFT(CH2249,4)),VALUE(LEFT(CH2249,FIND("-",CH2249)-1)))&lt;100,IF(AND(LEN(CH2249)=9,ISERROR(FIND("-",LEFT(CH2249,8))),ISNUMBER(-LEFT(CH2249,8))),VALUE(LEFT(CH2249,4)),VALUE(LEFT(CH2249,FIND("-",CH2249)-1)))+2000,IF(AND(LEN(CH2249)=9,ISERROR(FIND("-",LEFT(CH2249,8))),ISNUMBER(-LEFT(CH2249,8))),VALUE(LEFT(CH2249,4)),VALUE(LEFT(CH2249,FIND("-",CH2249)-1)))),""))</f>
        <v/>
      </c>
      <c r="CN2249">
        <f>IF(CH2249="","",IFERROR(IF(AND(LEN(CH2249)=9,ISERROR(FIND("-",LEFT(CH2249,8))),ISNUMBER(-LEFT(CH2249,8))),VALUE(MID(CH2249,5,2)),VALUE(MID(CH2249,FIND("-",CH2249)+1,FIND("-",CH2249,FIND("-",CH2249)+1)-FIND("-",CH2249)-1))),""))</f>
        <v/>
      </c>
      <c r="CO2249">
        <f>IF(CH2249="","",IFERROR(IF(AND(LEN(CH2249)=9,ISERROR(FIND("-",LEFT(CH2249,8))),ISNUMBER(-LEFT(CH2249,8))),VALUE(MID(CH2249,7,2)),VALUE(MID(CH2249,FIND("-",CH2249,FIND("-",CH2249)+1)+1,FIND("-",CH2249,FIND("-",CH2249,FIND("-",CH2249)+1)+1)-FIND("-",CH2249,FIND("-",CH2249)+1)-1))),""))</f>
        <v/>
      </c>
    </row>
    <row r="2250">
      <c r="CH2250">
        <f>IF(ISTEXT('월 가계부'!A2250),SUBSTITUTE(SUBSTITUTE(SUBSTITUTE(SUBSTITUTE(SUBSTITUTE(SUBSTITUTE(SUBSTITUTE(SUBSTITUTE(SUBSTITUTE(TRIM('월 가계부'!A2250),"년","-"),"월","-"),"일",""),".","-"),"/","-")," ","-"),"--","-"),"--","-"),"--","-")&amp;"-","")</f>
        <v/>
      </c>
      <c r="CI2250">
        <f>IFERROR(IF('월 가계부'!A2250="","",IF(ISNUMBER('월 가계부'!A2250),IF(AND('월 가계부'!A2250&gt;=19000101,'월 가계부'!A2250&lt;=21001231),IF(AND(MOD(INT('월 가계부'!A2250/100),100)&gt;=1,MOD(INT('월 가계부'!A2250/100),100)&lt;=12,MOD(INT('월 가계부'!A2250),100)&gt;=1,MOD(INT('월 가계부'!A2250),100)&lt;=31),IF(MONTH(DATE(INT('월 가계부'!A2250/10000),MOD(INT('월 가계부'!A2250/100),100),MOD(INT('월 가계부'!A2250),100)))=MOD(INT('월 가계부'!A2250/100),100),DATE(INT('월 가계부'!A2250/10000),MOD(INT('월 가계부'!A2250/100),100),MOD(INT('월 가계부'!A2250),100)),""),""),IF(AND('월 가계부'!A2250&gt;=36526,'월 가계부'!A2250&lt;73051),INT('월 가계부'!A2250),"")),IF(OR(CM2250="",CN2250="",CO2250=""),"",IF(AND(CM2250&gt;=2000,CM2250&lt;=2099,CN2250&gt;=1,CN2250&lt;=12,CO2250&gt;=1,CO2250&lt;=31),IF(MONTH(DATE(CM2250,CN2250,CO2250))=CN2250,DATE(CM2250,CN2250,CO2250),""),"")))),"")</f>
        <v/>
      </c>
      <c r="CJ2250">
        <f>IFERROR(IF('월 가계부'!C2250="","",IF(ISNUMBER('월 가계부'!C2250),'월 가계부'!C2250,VALUE(SUBSTITUTE(SUBSTITUTE(SUBSTITUTE(SUBSTITUTE(TRIM('월 가계부'!C2250),",",""),"원","")," ",""),"−","-")))),"")</f>
        <v/>
      </c>
      <c r="CK2250">
        <f>IF(ISNUMBER(CI2250),IF(CI2250&lt;$B$13,CI2250,""),"")</f>
        <v/>
      </c>
      <c r="CM2250">
        <f>IF(CH2250="","",IFERROR(IF(IF(AND(LEN(CH2250)=9,ISERROR(FIND("-",LEFT(CH2250,8))),ISNUMBER(-LEFT(CH2250,8))),VALUE(LEFT(CH2250,4)),VALUE(LEFT(CH2250,FIND("-",CH2250)-1)))&lt;100,IF(AND(LEN(CH2250)=9,ISERROR(FIND("-",LEFT(CH2250,8))),ISNUMBER(-LEFT(CH2250,8))),VALUE(LEFT(CH2250,4)),VALUE(LEFT(CH2250,FIND("-",CH2250)-1)))+2000,IF(AND(LEN(CH2250)=9,ISERROR(FIND("-",LEFT(CH2250,8))),ISNUMBER(-LEFT(CH2250,8))),VALUE(LEFT(CH2250,4)),VALUE(LEFT(CH2250,FIND("-",CH2250)-1)))),""))</f>
        <v/>
      </c>
      <c r="CN2250">
        <f>IF(CH2250="","",IFERROR(IF(AND(LEN(CH2250)=9,ISERROR(FIND("-",LEFT(CH2250,8))),ISNUMBER(-LEFT(CH2250,8))),VALUE(MID(CH2250,5,2)),VALUE(MID(CH2250,FIND("-",CH2250)+1,FIND("-",CH2250,FIND("-",CH2250)+1)-FIND("-",CH2250)-1))),""))</f>
        <v/>
      </c>
      <c r="CO2250">
        <f>IF(CH2250="","",IFERROR(IF(AND(LEN(CH2250)=9,ISERROR(FIND("-",LEFT(CH2250,8))),ISNUMBER(-LEFT(CH2250,8))),VALUE(MID(CH2250,7,2)),VALUE(MID(CH2250,FIND("-",CH2250,FIND("-",CH2250)+1)+1,FIND("-",CH2250,FIND("-",CH2250,FIND("-",CH2250)+1)+1)-FIND("-",CH2250,FIND("-",CH2250)+1)-1))),""))</f>
        <v/>
      </c>
    </row>
    <row r="2251">
      <c r="CH2251">
        <f>IF(ISTEXT('월 가계부'!A2251),SUBSTITUTE(SUBSTITUTE(SUBSTITUTE(SUBSTITUTE(SUBSTITUTE(SUBSTITUTE(SUBSTITUTE(SUBSTITUTE(SUBSTITUTE(TRIM('월 가계부'!A2251),"년","-"),"월","-"),"일",""),".","-"),"/","-")," ","-"),"--","-"),"--","-"),"--","-")&amp;"-","")</f>
        <v/>
      </c>
      <c r="CI2251">
        <f>IFERROR(IF('월 가계부'!A2251="","",IF(ISNUMBER('월 가계부'!A2251),IF(AND('월 가계부'!A2251&gt;=19000101,'월 가계부'!A2251&lt;=21001231),IF(AND(MOD(INT('월 가계부'!A2251/100),100)&gt;=1,MOD(INT('월 가계부'!A2251/100),100)&lt;=12,MOD(INT('월 가계부'!A2251),100)&gt;=1,MOD(INT('월 가계부'!A2251),100)&lt;=31),IF(MONTH(DATE(INT('월 가계부'!A2251/10000),MOD(INT('월 가계부'!A2251/100),100),MOD(INT('월 가계부'!A2251),100)))=MOD(INT('월 가계부'!A2251/100),100),DATE(INT('월 가계부'!A2251/10000),MOD(INT('월 가계부'!A2251/100),100),MOD(INT('월 가계부'!A2251),100)),""),""),IF(AND('월 가계부'!A2251&gt;=36526,'월 가계부'!A2251&lt;73051),INT('월 가계부'!A2251),"")),IF(OR(CM2251="",CN2251="",CO2251=""),"",IF(AND(CM2251&gt;=2000,CM2251&lt;=2099,CN2251&gt;=1,CN2251&lt;=12,CO2251&gt;=1,CO2251&lt;=31),IF(MONTH(DATE(CM2251,CN2251,CO2251))=CN2251,DATE(CM2251,CN2251,CO2251),""),"")))),"")</f>
        <v/>
      </c>
      <c r="CJ2251">
        <f>IFERROR(IF('월 가계부'!C2251="","",IF(ISNUMBER('월 가계부'!C2251),'월 가계부'!C2251,VALUE(SUBSTITUTE(SUBSTITUTE(SUBSTITUTE(SUBSTITUTE(TRIM('월 가계부'!C2251),",",""),"원","")," ",""),"−","-")))),"")</f>
        <v/>
      </c>
      <c r="CK2251">
        <f>IF(ISNUMBER(CI2251),IF(CI2251&lt;$B$13,CI2251,""),"")</f>
        <v/>
      </c>
      <c r="CM2251">
        <f>IF(CH2251="","",IFERROR(IF(IF(AND(LEN(CH2251)=9,ISERROR(FIND("-",LEFT(CH2251,8))),ISNUMBER(-LEFT(CH2251,8))),VALUE(LEFT(CH2251,4)),VALUE(LEFT(CH2251,FIND("-",CH2251)-1)))&lt;100,IF(AND(LEN(CH2251)=9,ISERROR(FIND("-",LEFT(CH2251,8))),ISNUMBER(-LEFT(CH2251,8))),VALUE(LEFT(CH2251,4)),VALUE(LEFT(CH2251,FIND("-",CH2251)-1)))+2000,IF(AND(LEN(CH2251)=9,ISERROR(FIND("-",LEFT(CH2251,8))),ISNUMBER(-LEFT(CH2251,8))),VALUE(LEFT(CH2251,4)),VALUE(LEFT(CH2251,FIND("-",CH2251)-1)))),""))</f>
        <v/>
      </c>
      <c r="CN2251">
        <f>IF(CH2251="","",IFERROR(IF(AND(LEN(CH2251)=9,ISERROR(FIND("-",LEFT(CH2251,8))),ISNUMBER(-LEFT(CH2251,8))),VALUE(MID(CH2251,5,2)),VALUE(MID(CH2251,FIND("-",CH2251)+1,FIND("-",CH2251,FIND("-",CH2251)+1)-FIND("-",CH2251)-1))),""))</f>
        <v/>
      </c>
      <c r="CO2251">
        <f>IF(CH2251="","",IFERROR(IF(AND(LEN(CH2251)=9,ISERROR(FIND("-",LEFT(CH2251,8))),ISNUMBER(-LEFT(CH2251,8))),VALUE(MID(CH2251,7,2)),VALUE(MID(CH2251,FIND("-",CH2251,FIND("-",CH2251)+1)+1,FIND("-",CH2251,FIND("-",CH2251,FIND("-",CH2251)+1)+1)-FIND("-",CH2251,FIND("-",CH2251)+1)-1))),""))</f>
        <v/>
      </c>
    </row>
    <row r="2252">
      <c r="CH2252">
        <f>IF(ISTEXT('월 가계부'!A2252),SUBSTITUTE(SUBSTITUTE(SUBSTITUTE(SUBSTITUTE(SUBSTITUTE(SUBSTITUTE(SUBSTITUTE(SUBSTITUTE(SUBSTITUTE(TRIM('월 가계부'!A2252),"년","-"),"월","-"),"일",""),".","-"),"/","-")," ","-"),"--","-"),"--","-"),"--","-")&amp;"-","")</f>
        <v/>
      </c>
      <c r="CI2252">
        <f>IFERROR(IF('월 가계부'!A2252="","",IF(ISNUMBER('월 가계부'!A2252),IF(AND('월 가계부'!A2252&gt;=19000101,'월 가계부'!A2252&lt;=21001231),IF(AND(MOD(INT('월 가계부'!A2252/100),100)&gt;=1,MOD(INT('월 가계부'!A2252/100),100)&lt;=12,MOD(INT('월 가계부'!A2252),100)&gt;=1,MOD(INT('월 가계부'!A2252),100)&lt;=31),IF(MONTH(DATE(INT('월 가계부'!A2252/10000),MOD(INT('월 가계부'!A2252/100),100),MOD(INT('월 가계부'!A2252),100)))=MOD(INT('월 가계부'!A2252/100),100),DATE(INT('월 가계부'!A2252/10000),MOD(INT('월 가계부'!A2252/100),100),MOD(INT('월 가계부'!A2252),100)),""),""),IF(AND('월 가계부'!A2252&gt;=36526,'월 가계부'!A2252&lt;73051),INT('월 가계부'!A2252),"")),IF(OR(CM2252="",CN2252="",CO2252=""),"",IF(AND(CM2252&gt;=2000,CM2252&lt;=2099,CN2252&gt;=1,CN2252&lt;=12,CO2252&gt;=1,CO2252&lt;=31),IF(MONTH(DATE(CM2252,CN2252,CO2252))=CN2252,DATE(CM2252,CN2252,CO2252),""),"")))),"")</f>
        <v/>
      </c>
      <c r="CJ2252">
        <f>IFERROR(IF('월 가계부'!C2252="","",IF(ISNUMBER('월 가계부'!C2252),'월 가계부'!C2252,VALUE(SUBSTITUTE(SUBSTITUTE(SUBSTITUTE(SUBSTITUTE(TRIM('월 가계부'!C2252),",",""),"원","")," ",""),"−","-")))),"")</f>
        <v/>
      </c>
      <c r="CK2252">
        <f>IF(ISNUMBER(CI2252),IF(CI2252&lt;$B$13,CI2252,""),"")</f>
        <v/>
      </c>
      <c r="CM2252">
        <f>IF(CH2252="","",IFERROR(IF(IF(AND(LEN(CH2252)=9,ISERROR(FIND("-",LEFT(CH2252,8))),ISNUMBER(-LEFT(CH2252,8))),VALUE(LEFT(CH2252,4)),VALUE(LEFT(CH2252,FIND("-",CH2252)-1)))&lt;100,IF(AND(LEN(CH2252)=9,ISERROR(FIND("-",LEFT(CH2252,8))),ISNUMBER(-LEFT(CH2252,8))),VALUE(LEFT(CH2252,4)),VALUE(LEFT(CH2252,FIND("-",CH2252)-1)))+2000,IF(AND(LEN(CH2252)=9,ISERROR(FIND("-",LEFT(CH2252,8))),ISNUMBER(-LEFT(CH2252,8))),VALUE(LEFT(CH2252,4)),VALUE(LEFT(CH2252,FIND("-",CH2252)-1)))),""))</f>
        <v/>
      </c>
      <c r="CN2252">
        <f>IF(CH2252="","",IFERROR(IF(AND(LEN(CH2252)=9,ISERROR(FIND("-",LEFT(CH2252,8))),ISNUMBER(-LEFT(CH2252,8))),VALUE(MID(CH2252,5,2)),VALUE(MID(CH2252,FIND("-",CH2252)+1,FIND("-",CH2252,FIND("-",CH2252)+1)-FIND("-",CH2252)-1))),""))</f>
        <v/>
      </c>
      <c r="CO2252">
        <f>IF(CH2252="","",IFERROR(IF(AND(LEN(CH2252)=9,ISERROR(FIND("-",LEFT(CH2252,8))),ISNUMBER(-LEFT(CH2252,8))),VALUE(MID(CH2252,7,2)),VALUE(MID(CH2252,FIND("-",CH2252,FIND("-",CH2252)+1)+1,FIND("-",CH2252,FIND("-",CH2252,FIND("-",CH2252)+1)+1)-FIND("-",CH2252,FIND("-",CH2252)+1)-1))),""))</f>
        <v/>
      </c>
    </row>
    <row r="2253">
      <c r="CH2253">
        <f>IF(ISTEXT('월 가계부'!A2253),SUBSTITUTE(SUBSTITUTE(SUBSTITUTE(SUBSTITUTE(SUBSTITUTE(SUBSTITUTE(SUBSTITUTE(SUBSTITUTE(SUBSTITUTE(TRIM('월 가계부'!A2253),"년","-"),"월","-"),"일",""),".","-"),"/","-")," ","-"),"--","-"),"--","-"),"--","-")&amp;"-","")</f>
        <v/>
      </c>
      <c r="CI2253">
        <f>IFERROR(IF('월 가계부'!A2253="","",IF(ISNUMBER('월 가계부'!A2253),IF(AND('월 가계부'!A2253&gt;=19000101,'월 가계부'!A2253&lt;=21001231),IF(AND(MOD(INT('월 가계부'!A2253/100),100)&gt;=1,MOD(INT('월 가계부'!A2253/100),100)&lt;=12,MOD(INT('월 가계부'!A2253),100)&gt;=1,MOD(INT('월 가계부'!A2253),100)&lt;=31),IF(MONTH(DATE(INT('월 가계부'!A2253/10000),MOD(INT('월 가계부'!A2253/100),100),MOD(INT('월 가계부'!A2253),100)))=MOD(INT('월 가계부'!A2253/100),100),DATE(INT('월 가계부'!A2253/10000),MOD(INT('월 가계부'!A2253/100),100),MOD(INT('월 가계부'!A2253),100)),""),""),IF(AND('월 가계부'!A2253&gt;=36526,'월 가계부'!A2253&lt;73051),INT('월 가계부'!A2253),"")),IF(OR(CM2253="",CN2253="",CO2253=""),"",IF(AND(CM2253&gt;=2000,CM2253&lt;=2099,CN2253&gt;=1,CN2253&lt;=12,CO2253&gt;=1,CO2253&lt;=31),IF(MONTH(DATE(CM2253,CN2253,CO2253))=CN2253,DATE(CM2253,CN2253,CO2253),""),"")))),"")</f>
        <v/>
      </c>
      <c r="CJ2253">
        <f>IFERROR(IF('월 가계부'!C2253="","",IF(ISNUMBER('월 가계부'!C2253),'월 가계부'!C2253,VALUE(SUBSTITUTE(SUBSTITUTE(SUBSTITUTE(SUBSTITUTE(TRIM('월 가계부'!C2253),",",""),"원","")," ",""),"−","-")))),"")</f>
        <v/>
      </c>
      <c r="CK2253">
        <f>IF(ISNUMBER(CI2253),IF(CI2253&lt;$B$13,CI2253,""),"")</f>
        <v/>
      </c>
      <c r="CM2253">
        <f>IF(CH2253="","",IFERROR(IF(IF(AND(LEN(CH2253)=9,ISERROR(FIND("-",LEFT(CH2253,8))),ISNUMBER(-LEFT(CH2253,8))),VALUE(LEFT(CH2253,4)),VALUE(LEFT(CH2253,FIND("-",CH2253)-1)))&lt;100,IF(AND(LEN(CH2253)=9,ISERROR(FIND("-",LEFT(CH2253,8))),ISNUMBER(-LEFT(CH2253,8))),VALUE(LEFT(CH2253,4)),VALUE(LEFT(CH2253,FIND("-",CH2253)-1)))+2000,IF(AND(LEN(CH2253)=9,ISERROR(FIND("-",LEFT(CH2253,8))),ISNUMBER(-LEFT(CH2253,8))),VALUE(LEFT(CH2253,4)),VALUE(LEFT(CH2253,FIND("-",CH2253)-1)))),""))</f>
        <v/>
      </c>
      <c r="CN2253">
        <f>IF(CH2253="","",IFERROR(IF(AND(LEN(CH2253)=9,ISERROR(FIND("-",LEFT(CH2253,8))),ISNUMBER(-LEFT(CH2253,8))),VALUE(MID(CH2253,5,2)),VALUE(MID(CH2253,FIND("-",CH2253)+1,FIND("-",CH2253,FIND("-",CH2253)+1)-FIND("-",CH2253)-1))),""))</f>
        <v/>
      </c>
      <c r="CO2253">
        <f>IF(CH2253="","",IFERROR(IF(AND(LEN(CH2253)=9,ISERROR(FIND("-",LEFT(CH2253,8))),ISNUMBER(-LEFT(CH2253,8))),VALUE(MID(CH2253,7,2)),VALUE(MID(CH2253,FIND("-",CH2253,FIND("-",CH2253)+1)+1,FIND("-",CH2253,FIND("-",CH2253,FIND("-",CH2253)+1)+1)-FIND("-",CH2253,FIND("-",CH2253)+1)-1))),""))</f>
        <v/>
      </c>
    </row>
    <row r="2254">
      <c r="CH2254">
        <f>IF(ISTEXT('월 가계부'!A2254),SUBSTITUTE(SUBSTITUTE(SUBSTITUTE(SUBSTITUTE(SUBSTITUTE(SUBSTITUTE(SUBSTITUTE(SUBSTITUTE(SUBSTITUTE(TRIM('월 가계부'!A2254),"년","-"),"월","-"),"일",""),".","-"),"/","-")," ","-"),"--","-"),"--","-"),"--","-")&amp;"-","")</f>
        <v/>
      </c>
      <c r="CI2254">
        <f>IFERROR(IF('월 가계부'!A2254="","",IF(ISNUMBER('월 가계부'!A2254),IF(AND('월 가계부'!A2254&gt;=19000101,'월 가계부'!A2254&lt;=21001231),IF(AND(MOD(INT('월 가계부'!A2254/100),100)&gt;=1,MOD(INT('월 가계부'!A2254/100),100)&lt;=12,MOD(INT('월 가계부'!A2254),100)&gt;=1,MOD(INT('월 가계부'!A2254),100)&lt;=31),IF(MONTH(DATE(INT('월 가계부'!A2254/10000),MOD(INT('월 가계부'!A2254/100),100),MOD(INT('월 가계부'!A2254),100)))=MOD(INT('월 가계부'!A2254/100),100),DATE(INT('월 가계부'!A2254/10000),MOD(INT('월 가계부'!A2254/100),100),MOD(INT('월 가계부'!A2254),100)),""),""),IF(AND('월 가계부'!A2254&gt;=36526,'월 가계부'!A2254&lt;73051),INT('월 가계부'!A2254),"")),IF(OR(CM2254="",CN2254="",CO2254=""),"",IF(AND(CM2254&gt;=2000,CM2254&lt;=2099,CN2254&gt;=1,CN2254&lt;=12,CO2254&gt;=1,CO2254&lt;=31),IF(MONTH(DATE(CM2254,CN2254,CO2254))=CN2254,DATE(CM2254,CN2254,CO2254),""),"")))),"")</f>
        <v/>
      </c>
      <c r="CJ2254">
        <f>IFERROR(IF('월 가계부'!C2254="","",IF(ISNUMBER('월 가계부'!C2254),'월 가계부'!C2254,VALUE(SUBSTITUTE(SUBSTITUTE(SUBSTITUTE(SUBSTITUTE(TRIM('월 가계부'!C2254),",",""),"원","")," ",""),"−","-")))),"")</f>
        <v/>
      </c>
      <c r="CK2254">
        <f>IF(ISNUMBER(CI2254),IF(CI2254&lt;$B$13,CI2254,""),"")</f>
        <v/>
      </c>
      <c r="CM2254">
        <f>IF(CH2254="","",IFERROR(IF(IF(AND(LEN(CH2254)=9,ISERROR(FIND("-",LEFT(CH2254,8))),ISNUMBER(-LEFT(CH2254,8))),VALUE(LEFT(CH2254,4)),VALUE(LEFT(CH2254,FIND("-",CH2254)-1)))&lt;100,IF(AND(LEN(CH2254)=9,ISERROR(FIND("-",LEFT(CH2254,8))),ISNUMBER(-LEFT(CH2254,8))),VALUE(LEFT(CH2254,4)),VALUE(LEFT(CH2254,FIND("-",CH2254)-1)))+2000,IF(AND(LEN(CH2254)=9,ISERROR(FIND("-",LEFT(CH2254,8))),ISNUMBER(-LEFT(CH2254,8))),VALUE(LEFT(CH2254,4)),VALUE(LEFT(CH2254,FIND("-",CH2254)-1)))),""))</f>
        <v/>
      </c>
      <c r="CN2254">
        <f>IF(CH2254="","",IFERROR(IF(AND(LEN(CH2254)=9,ISERROR(FIND("-",LEFT(CH2254,8))),ISNUMBER(-LEFT(CH2254,8))),VALUE(MID(CH2254,5,2)),VALUE(MID(CH2254,FIND("-",CH2254)+1,FIND("-",CH2254,FIND("-",CH2254)+1)-FIND("-",CH2254)-1))),""))</f>
        <v/>
      </c>
      <c r="CO2254">
        <f>IF(CH2254="","",IFERROR(IF(AND(LEN(CH2254)=9,ISERROR(FIND("-",LEFT(CH2254,8))),ISNUMBER(-LEFT(CH2254,8))),VALUE(MID(CH2254,7,2)),VALUE(MID(CH2254,FIND("-",CH2254,FIND("-",CH2254)+1)+1,FIND("-",CH2254,FIND("-",CH2254,FIND("-",CH2254)+1)+1)-FIND("-",CH2254,FIND("-",CH2254)+1)-1))),""))</f>
        <v/>
      </c>
    </row>
    <row r="2255">
      <c r="CH2255">
        <f>IF(ISTEXT('월 가계부'!A2255),SUBSTITUTE(SUBSTITUTE(SUBSTITUTE(SUBSTITUTE(SUBSTITUTE(SUBSTITUTE(SUBSTITUTE(SUBSTITUTE(SUBSTITUTE(TRIM('월 가계부'!A2255),"년","-"),"월","-"),"일",""),".","-"),"/","-")," ","-"),"--","-"),"--","-"),"--","-")&amp;"-","")</f>
        <v/>
      </c>
      <c r="CI2255">
        <f>IFERROR(IF('월 가계부'!A2255="","",IF(ISNUMBER('월 가계부'!A2255),IF(AND('월 가계부'!A2255&gt;=19000101,'월 가계부'!A2255&lt;=21001231),IF(AND(MOD(INT('월 가계부'!A2255/100),100)&gt;=1,MOD(INT('월 가계부'!A2255/100),100)&lt;=12,MOD(INT('월 가계부'!A2255),100)&gt;=1,MOD(INT('월 가계부'!A2255),100)&lt;=31),IF(MONTH(DATE(INT('월 가계부'!A2255/10000),MOD(INT('월 가계부'!A2255/100),100),MOD(INT('월 가계부'!A2255),100)))=MOD(INT('월 가계부'!A2255/100),100),DATE(INT('월 가계부'!A2255/10000),MOD(INT('월 가계부'!A2255/100),100),MOD(INT('월 가계부'!A2255),100)),""),""),IF(AND('월 가계부'!A2255&gt;=36526,'월 가계부'!A2255&lt;73051),INT('월 가계부'!A2255),"")),IF(OR(CM2255="",CN2255="",CO2255=""),"",IF(AND(CM2255&gt;=2000,CM2255&lt;=2099,CN2255&gt;=1,CN2255&lt;=12,CO2255&gt;=1,CO2255&lt;=31),IF(MONTH(DATE(CM2255,CN2255,CO2255))=CN2255,DATE(CM2255,CN2255,CO2255),""),"")))),"")</f>
        <v/>
      </c>
      <c r="CJ2255">
        <f>IFERROR(IF('월 가계부'!C2255="","",IF(ISNUMBER('월 가계부'!C2255),'월 가계부'!C2255,VALUE(SUBSTITUTE(SUBSTITUTE(SUBSTITUTE(SUBSTITUTE(TRIM('월 가계부'!C2255),",",""),"원","")," ",""),"−","-")))),"")</f>
        <v/>
      </c>
      <c r="CK2255">
        <f>IF(ISNUMBER(CI2255),IF(CI2255&lt;$B$13,CI2255,""),"")</f>
        <v/>
      </c>
      <c r="CM2255">
        <f>IF(CH2255="","",IFERROR(IF(IF(AND(LEN(CH2255)=9,ISERROR(FIND("-",LEFT(CH2255,8))),ISNUMBER(-LEFT(CH2255,8))),VALUE(LEFT(CH2255,4)),VALUE(LEFT(CH2255,FIND("-",CH2255)-1)))&lt;100,IF(AND(LEN(CH2255)=9,ISERROR(FIND("-",LEFT(CH2255,8))),ISNUMBER(-LEFT(CH2255,8))),VALUE(LEFT(CH2255,4)),VALUE(LEFT(CH2255,FIND("-",CH2255)-1)))+2000,IF(AND(LEN(CH2255)=9,ISERROR(FIND("-",LEFT(CH2255,8))),ISNUMBER(-LEFT(CH2255,8))),VALUE(LEFT(CH2255,4)),VALUE(LEFT(CH2255,FIND("-",CH2255)-1)))),""))</f>
        <v/>
      </c>
      <c r="CN2255">
        <f>IF(CH2255="","",IFERROR(IF(AND(LEN(CH2255)=9,ISERROR(FIND("-",LEFT(CH2255,8))),ISNUMBER(-LEFT(CH2255,8))),VALUE(MID(CH2255,5,2)),VALUE(MID(CH2255,FIND("-",CH2255)+1,FIND("-",CH2255,FIND("-",CH2255)+1)-FIND("-",CH2255)-1))),""))</f>
        <v/>
      </c>
      <c r="CO2255">
        <f>IF(CH2255="","",IFERROR(IF(AND(LEN(CH2255)=9,ISERROR(FIND("-",LEFT(CH2255,8))),ISNUMBER(-LEFT(CH2255,8))),VALUE(MID(CH2255,7,2)),VALUE(MID(CH2255,FIND("-",CH2255,FIND("-",CH2255)+1)+1,FIND("-",CH2255,FIND("-",CH2255,FIND("-",CH2255)+1)+1)-FIND("-",CH2255,FIND("-",CH2255)+1)-1))),""))</f>
        <v/>
      </c>
    </row>
    <row r="2256">
      <c r="CH2256">
        <f>IF(ISTEXT('월 가계부'!A2256),SUBSTITUTE(SUBSTITUTE(SUBSTITUTE(SUBSTITUTE(SUBSTITUTE(SUBSTITUTE(SUBSTITUTE(SUBSTITUTE(SUBSTITUTE(TRIM('월 가계부'!A2256),"년","-"),"월","-"),"일",""),".","-"),"/","-")," ","-"),"--","-"),"--","-"),"--","-")&amp;"-","")</f>
        <v/>
      </c>
      <c r="CI2256">
        <f>IFERROR(IF('월 가계부'!A2256="","",IF(ISNUMBER('월 가계부'!A2256),IF(AND('월 가계부'!A2256&gt;=19000101,'월 가계부'!A2256&lt;=21001231),IF(AND(MOD(INT('월 가계부'!A2256/100),100)&gt;=1,MOD(INT('월 가계부'!A2256/100),100)&lt;=12,MOD(INT('월 가계부'!A2256),100)&gt;=1,MOD(INT('월 가계부'!A2256),100)&lt;=31),IF(MONTH(DATE(INT('월 가계부'!A2256/10000),MOD(INT('월 가계부'!A2256/100),100),MOD(INT('월 가계부'!A2256),100)))=MOD(INT('월 가계부'!A2256/100),100),DATE(INT('월 가계부'!A2256/10000),MOD(INT('월 가계부'!A2256/100),100),MOD(INT('월 가계부'!A2256),100)),""),""),IF(AND('월 가계부'!A2256&gt;=36526,'월 가계부'!A2256&lt;73051),INT('월 가계부'!A2256),"")),IF(OR(CM2256="",CN2256="",CO2256=""),"",IF(AND(CM2256&gt;=2000,CM2256&lt;=2099,CN2256&gt;=1,CN2256&lt;=12,CO2256&gt;=1,CO2256&lt;=31),IF(MONTH(DATE(CM2256,CN2256,CO2256))=CN2256,DATE(CM2256,CN2256,CO2256),""),"")))),"")</f>
        <v/>
      </c>
      <c r="CJ2256">
        <f>IFERROR(IF('월 가계부'!C2256="","",IF(ISNUMBER('월 가계부'!C2256),'월 가계부'!C2256,VALUE(SUBSTITUTE(SUBSTITUTE(SUBSTITUTE(SUBSTITUTE(TRIM('월 가계부'!C2256),",",""),"원","")," ",""),"−","-")))),"")</f>
        <v/>
      </c>
      <c r="CK2256">
        <f>IF(ISNUMBER(CI2256),IF(CI2256&lt;$B$13,CI2256,""),"")</f>
        <v/>
      </c>
      <c r="CM2256">
        <f>IF(CH2256="","",IFERROR(IF(IF(AND(LEN(CH2256)=9,ISERROR(FIND("-",LEFT(CH2256,8))),ISNUMBER(-LEFT(CH2256,8))),VALUE(LEFT(CH2256,4)),VALUE(LEFT(CH2256,FIND("-",CH2256)-1)))&lt;100,IF(AND(LEN(CH2256)=9,ISERROR(FIND("-",LEFT(CH2256,8))),ISNUMBER(-LEFT(CH2256,8))),VALUE(LEFT(CH2256,4)),VALUE(LEFT(CH2256,FIND("-",CH2256)-1)))+2000,IF(AND(LEN(CH2256)=9,ISERROR(FIND("-",LEFT(CH2256,8))),ISNUMBER(-LEFT(CH2256,8))),VALUE(LEFT(CH2256,4)),VALUE(LEFT(CH2256,FIND("-",CH2256)-1)))),""))</f>
        <v/>
      </c>
      <c r="CN2256">
        <f>IF(CH2256="","",IFERROR(IF(AND(LEN(CH2256)=9,ISERROR(FIND("-",LEFT(CH2256,8))),ISNUMBER(-LEFT(CH2256,8))),VALUE(MID(CH2256,5,2)),VALUE(MID(CH2256,FIND("-",CH2256)+1,FIND("-",CH2256,FIND("-",CH2256)+1)-FIND("-",CH2256)-1))),""))</f>
        <v/>
      </c>
      <c r="CO2256">
        <f>IF(CH2256="","",IFERROR(IF(AND(LEN(CH2256)=9,ISERROR(FIND("-",LEFT(CH2256,8))),ISNUMBER(-LEFT(CH2256,8))),VALUE(MID(CH2256,7,2)),VALUE(MID(CH2256,FIND("-",CH2256,FIND("-",CH2256)+1)+1,FIND("-",CH2256,FIND("-",CH2256,FIND("-",CH2256)+1)+1)-FIND("-",CH2256,FIND("-",CH2256)+1)-1))),""))</f>
        <v/>
      </c>
    </row>
    <row r="2257">
      <c r="CH2257">
        <f>IF(ISTEXT('월 가계부'!A2257),SUBSTITUTE(SUBSTITUTE(SUBSTITUTE(SUBSTITUTE(SUBSTITUTE(SUBSTITUTE(SUBSTITUTE(SUBSTITUTE(SUBSTITUTE(TRIM('월 가계부'!A2257),"년","-"),"월","-"),"일",""),".","-"),"/","-")," ","-"),"--","-"),"--","-"),"--","-")&amp;"-","")</f>
        <v/>
      </c>
      <c r="CI2257">
        <f>IFERROR(IF('월 가계부'!A2257="","",IF(ISNUMBER('월 가계부'!A2257),IF(AND('월 가계부'!A2257&gt;=19000101,'월 가계부'!A2257&lt;=21001231),IF(AND(MOD(INT('월 가계부'!A2257/100),100)&gt;=1,MOD(INT('월 가계부'!A2257/100),100)&lt;=12,MOD(INT('월 가계부'!A2257),100)&gt;=1,MOD(INT('월 가계부'!A2257),100)&lt;=31),IF(MONTH(DATE(INT('월 가계부'!A2257/10000),MOD(INT('월 가계부'!A2257/100),100),MOD(INT('월 가계부'!A2257),100)))=MOD(INT('월 가계부'!A2257/100),100),DATE(INT('월 가계부'!A2257/10000),MOD(INT('월 가계부'!A2257/100),100),MOD(INT('월 가계부'!A2257),100)),""),""),IF(AND('월 가계부'!A2257&gt;=36526,'월 가계부'!A2257&lt;73051),INT('월 가계부'!A2257),"")),IF(OR(CM2257="",CN2257="",CO2257=""),"",IF(AND(CM2257&gt;=2000,CM2257&lt;=2099,CN2257&gt;=1,CN2257&lt;=12,CO2257&gt;=1,CO2257&lt;=31),IF(MONTH(DATE(CM2257,CN2257,CO2257))=CN2257,DATE(CM2257,CN2257,CO2257),""),"")))),"")</f>
        <v/>
      </c>
      <c r="CJ2257">
        <f>IFERROR(IF('월 가계부'!C2257="","",IF(ISNUMBER('월 가계부'!C2257),'월 가계부'!C2257,VALUE(SUBSTITUTE(SUBSTITUTE(SUBSTITUTE(SUBSTITUTE(TRIM('월 가계부'!C2257),",",""),"원","")," ",""),"−","-")))),"")</f>
        <v/>
      </c>
      <c r="CK2257">
        <f>IF(ISNUMBER(CI2257),IF(CI2257&lt;$B$13,CI2257,""),"")</f>
        <v/>
      </c>
      <c r="CM2257">
        <f>IF(CH2257="","",IFERROR(IF(IF(AND(LEN(CH2257)=9,ISERROR(FIND("-",LEFT(CH2257,8))),ISNUMBER(-LEFT(CH2257,8))),VALUE(LEFT(CH2257,4)),VALUE(LEFT(CH2257,FIND("-",CH2257)-1)))&lt;100,IF(AND(LEN(CH2257)=9,ISERROR(FIND("-",LEFT(CH2257,8))),ISNUMBER(-LEFT(CH2257,8))),VALUE(LEFT(CH2257,4)),VALUE(LEFT(CH2257,FIND("-",CH2257)-1)))+2000,IF(AND(LEN(CH2257)=9,ISERROR(FIND("-",LEFT(CH2257,8))),ISNUMBER(-LEFT(CH2257,8))),VALUE(LEFT(CH2257,4)),VALUE(LEFT(CH2257,FIND("-",CH2257)-1)))),""))</f>
        <v/>
      </c>
      <c r="CN2257">
        <f>IF(CH2257="","",IFERROR(IF(AND(LEN(CH2257)=9,ISERROR(FIND("-",LEFT(CH2257,8))),ISNUMBER(-LEFT(CH2257,8))),VALUE(MID(CH2257,5,2)),VALUE(MID(CH2257,FIND("-",CH2257)+1,FIND("-",CH2257,FIND("-",CH2257)+1)-FIND("-",CH2257)-1))),""))</f>
        <v/>
      </c>
      <c r="CO2257">
        <f>IF(CH2257="","",IFERROR(IF(AND(LEN(CH2257)=9,ISERROR(FIND("-",LEFT(CH2257,8))),ISNUMBER(-LEFT(CH2257,8))),VALUE(MID(CH2257,7,2)),VALUE(MID(CH2257,FIND("-",CH2257,FIND("-",CH2257)+1)+1,FIND("-",CH2257,FIND("-",CH2257,FIND("-",CH2257)+1)+1)-FIND("-",CH2257,FIND("-",CH2257)+1)-1))),""))</f>
        <v/>
      </c>
    </row>
    <row r="2258">
      <c r="CH2258">
        <f>IF(ISTEXT('월 가계부'!A2258),SUBSTITUTE(SUBSTITUTE(SUBSTITUTE(SUBSTITUTE(SUBSTITUTE(SUBSTITUTE(SUBSTITUTE(SUBSTITUTE(SUBSTITUTE(TRIM('월 가계부'!A2258),"년","-"),"월","-"),"일",""),".","-"),"/","-")," ","-"),"--","-"),"--","-"),"--","-")&amp;"-","")</f>
        <v/>
      </c>
      <c r="CI2258">
        <f>IFERROR(IF('월 가계부'!A2258="","",IF(ISNUMBER('월 가계부'!A2258),IF(AND('월 가계부'!A2258&gt;=19000101,'월 가계부'!A2258&lt;=21001231),IF(AND(MOD(INT('월 가계부'!A2258/100),100)&gt;=1,MOD(INT('월 가계부'!A2258/100),100)&lt;=12,MOD(INT('월 가계부'!A2258),100)&gt;=1,MOD(INT('월 가계부'!A2258),100)&lt;=31),IF(MONTH(DATE(INT('월 가계부'!A2258/10000),MOD(INT('월 가계부'!A2258/100),100),MOD(INT('월 가계부'!A2258),100)))=MOD(INT('월 가계부'!A2258/100),100),DATE(INT('월 가계부'!A2258/10000),MOD(INT('월 가계부'!A2258/100),100),MOD(INT('월 가계부'!A2258),100)),""),""),IF(AND('월 가계부'!A2258&gt;=36526,'월 가계부'!A2258&lt;73051),INT('월 가계부'!A2258),"")),IF(OR(CM2258="",CN2258="",CO2258=""),"",IF(AND(CM2258&gt;=2000,CM2258&lt;=2099,CN2258&gt;=1,CN2258&lt;=12,CO2258&gt;=1,CO2258&lt;=31),IF(MONTH(DATE(CM2258,CN2258,CO2258))=CN2258,DATE(CM2258,CN2258,CO2258),""),"")))),"")</f>
        <v/>
      </c>
      <c r="CJ2258">
        <f>IFERROR(IF('월 가계부'!C2258="","",IF(ISNUMBER('월 가계부'!C2258),'월 가계부'!C2258,VALUE(SUBSTITUTE(SUBSTITUTE(SUBSTITUTE(SUBSTITUTE(TRIM('월 가계부'!C2258),",",""),"원","")," ",""),"−","-")))),"")</f>
        <v/>
      </c>
      <c r="CK2258">
        <f>IF(ISNUMBER(CI2258),IF(CI2258&lt;$B$13,CI2258,""),"")</f>
        <v/>
      </c>
      <c r="CM2258">
        <f>IF(CH2258="","",IFERROR(IF(IF(AND(LEN(CH2258)=9,ISERROR(FIND("-",LEFT(CH2258,8))),ISNUMBER(-LEFT(CH2258,8))),VALUE(LEFT(CH2258,4)),VALUE(LEFT(CH2258,FIND("-",CH2258)-1)))&lt;100,IF(AND(LEN(CH2258)=9,ISERROR(FIND("-",LEFT(CH2258,8))),ISNUMBER(-LEFT(CH2258,8))),VALUE(LEFT(CH2258,4)),VALUE(LEFT(CH2258,FIND("-",CH2258)-1)))+2000,IF(AND(LEN(CH2258)=9,ISERROR(FIND("-",LEFT(CH2258,8))),ISNUMBER(-LEFT(CH2258,8))),VALUE(LEFT(CH2258,4)),VALUE(LEFT(CH2258,FIND("-",CH2258)-1)))),""))</f>
        <v/>
      </c>
      <c r="CN2258">
        <f>IF(CH2258="","",IFERROR(IF(AND(LEN(CH2258)=9,ISERROR(FIND("-",LEFT(CH2258,8))),ISNUMBER(-LEFT(CH2258,8))),VALUE(MID(CH2258,5,2)),VALUE(MID(CH2258,FIND("-",CH2258)+1,FIND("-",CH2258,FIND("-",CH2258)+1)-FIND("-",CH2258)-1))),""))</f>
        <v/>
      </c>
      <c r="CO2258">
        <f>IF(CH2258="","",IFERROR(IF(AND(LEN(CH2258)=9,ISERROR(FIND("-",LEFT(CH2258,8))),ISNUMBER(-LEFT(CH2258,8))),VALUE(MID(CH2258,7,2)),VALUE(MID(CH2258,FIND("-",CH2258,FIND("-",CH2258)+1)+1,FIND("-",CH2258,FIND("-",CH2258,FIND("-",CH2258)+1)+1)-FIND("-",CH2258,FIND("-",CH2258)+1)-1))),""))</f>
        <v/>
      </c>
    </row>
    <row r="2259">
      <c r="CH2259">
        <f>IF(ISTEXT('월 가계부'!A2259),SUBSTITUTE(SUBSTITUTE(SUBSTITUTE(SUBSTITUTE(SUBSTITUTE(SUBSTITUTE(SUBSTITUTE(SUBSTITUTE(SUBSTITUTE(TRIM('월 가계부'!A2259),"년","-"),"월","-"),"일",""),".","-"),"/","-")," ","-"),"--","-"),"--","-"),"--","-")&amp;"-","")</f>
        <v/>
      </c>
      <c r="CI2259">
        <f>IFERROR(IF('월 가계부'!A2259="","",IF(ISNUMBER('월 가계부'!A2259),IF(AND('월 가계부'!A2259&gt;=19000101,'월 가계부'!A2259&lt;=21001231),IF(AND(MOD(INT('월 가계부'!A2259/100),100)&gt;=1,MOD(INT('월 가계부'!A2259/100),100)&lt;=12,MOD(INT('월 가계부'!A2259),100)&gt;=1,MOD(INT('월 가계부'!A2259),100)&lt;=31),IF(MONTH(DATE(INT('월 가계부'!A2259/10000),MOD(INT('월 가계부'!A2259/100),100),MOD(INT('월 가계부'!A2259),100)))=MOD(INT('월 가계부'!A2259/100),100),DATE(INT('월 가계부'!A2259/10000),MOD(INT('월 가계부'!A2259/100),100),MOD(INT('월 가계부'!A2259),100)),""),""),IF(AND('월 가계부'!A2259&gt;=36526,'월 가계부'!A2259&lt;73051),INT('월 가계부'!A2259),"")),IF(OR(CM2259="",CN2259="",CO2259=""),"",IF(AND(CM2259&gt;=2000,CM2259&lt;=2099,CN2259&gt;=1,CN2259&lt;=12,CO2259&gt;=1,CO2259&lt;=31),IF(MONTH(DATE(CM2259,CN2259,CO2259))=CN2259,DATE(CM2259,CN2259,CO2259),""),"")))),"")</f>
        <v/>
      </c>
      <c r="CJ2259">
        <f>IFERROR(IF('월 가계부'!C2259="","",IF(ISNUMBER('월 가계부'!C2259),'월 가계부'!C2259,VALUE(SUBSTITUTE(SUBSTITUTE(SUBSTITUTE(SUBSTITUTE(TRIM('월 가계부'!C2259),",",""),"원","")," ",""),"−","-")))),"")</f>
        <v/>
      </c>
      <c r="CK2259">
        <f>IF(ISNUMBER(CI2259),IF(CI2259&lt;$B$13,CI2259,""),"")</f>
        <v/>
      </c>
      <c r="CM2259">
        <f>IF(CH2259="","",IFERROR(IF(IF(AND(LEN(CH2259)=9,ISERROR(FIND("-",LEFT(CH2259,8))),ISNUMBER(-LEFT(CH2259,8))),VALUE(LEFT(CH2259,4)),VALUE(LEFT(CH2259,FIND("-",CH2259)-1)))&lt;100,IF(AND(LEN(CH2259)=9,ISERROR(FIND("-",LEFT(CH2259,8))),ISNUMBER(-LEFT(CH2259,8))),VALUE(LEFT(CH2259,4)),VALUE(LEFT(CH2259,FIND("-",CH2259)-1)))+2000,IF(AND(LEN(CH2259)=9,ISERROR(FIND("-",LEFT(CH2259,8))),ISNUMBER(-LEFT(CH2259,8))),VALUE(LEFT(CH2259,4)),VALUE(LEFT(CH2259,FIND("-",CH2259)-1)))),""))</f>
        <v/>
      </c>
      <c r="CN2259">
        <f>IF(CH2259="","",IFERROR(IF(AND(LEN(CH2259)=9,ISERROR(FIND("-",LEFT(CH2259,8))),ISNUMBER(-LEFT(CH2259,8))),VALUE(MID(CH2259,5,2)),VALUE(MID(CH2259,FIND("-",CH2259)+1,FIND("-",CH2259,FIND("-",CH2259)+1)-FIND("-",CH2259)-1))),""))</f>
        <v/>
      </c>
      <c r="CO2259">
        <f>IF(CH2259="","",IFERROR(IF(AND(LEN(CH2259)=9,ISERROR(FIND("-",LEFT(CH2259,8))),ISNUMBER(-LEFT(CH2259,8))),VALUE(MID(CH2259,7,2)),VALUE(MID(CH2259,FIND("-",CH2259,FIND("-",CH2259)+1)+1,FIND("-",CH2259,FIND("-",CH2259,FIND("-",CH2259)+1)+1)-FIND("-",CH2259,FIND("-",CH2259)+1)-1))),""))</f>
        <v/>
      </c>
    </row>
    <row r="2260">
      <c r="CH2260">
        <f>IF(ISTEXT('월 가계부'!A2260),SUBSTITUTE(SUBSTITUTE(SUBSTITUTE(SUBSTITUTE(SUBSTITUTE(SUBSTITUTE(SUBSTITUTE(SUBSTITUTE(SUBSTITUTE(TRIM('월 가계부'!A2260),"년","-"),"월","-"),"일",""),".","-"),"/","-")," ","-"),"--","-"),"--","-"),"--","-")&amp;"-","")</f>
        <v/>
      </c>
      <c r="CI2260">
        <f>IFERROR(IF('월 가계부'!A2260="","",IF(ISNUMBER('월 가계부'!A2260),IF(AND('월 가계부'!A2260&gt;=19000101,'월 가계부'!A2260&lt;=21001231),IF(AND(MOD(INT('월 가계부'!A2260/100),100)&gt;=1,MOD(INT('월 가계부'!A2260/100),100)&lt;=12,MOD(INT('월 가계부'!A2260),100)&gt;=1,MOD(INT('월 가계부'!A2260),100)&lt;=31),IF(MONTH(DATE(INT('월 가계부'!A2260/10000),MOD(INT('월 가계부'!A2260/100),100),MOD(INT('월 가계부'!A2260),100)))=MOD(INT('월 가계부'!A2260/100),100),DATE(INT('월 가계부'!A2260/10000),MOD(INT('월 가계부'!A2260/100),100),MOD(INT('월 가계부'!A2260),100)),""),""),IF(AND('월 가계부'!A2260&gt;=36526,'월 가계부'!A2260&lt;73051),INT('월 가계부'!A2260),"")),IF(OR(CM2260="",CN2260="",CO2260=""),"",IF(AND(CM2260&gt;=2000,CM2260&lt;=2099,CN2260&gt;=1,CN2260&lt;=12,CO2260&gt;=1,CO2260&lt;=31),IF(MONTH(DATE(CM2260,CN2260,CO2260))=CN2260,DATE(CM2260,CN2260,CO2260),""),"")))),"")</f>
        <v/>
      </c>
      <c r="CJ2260">
        <f>IFERROR(IF('월 가계부'!C2260="","",IF(ISNUMBER('월 가계부'!C2260),'월 가계부'!C2260,VALUE(SUBSTITUTE(SUBSTITUTE(SUBSTITUTE(SUBSTITUTE(TRIM('월 가계부'!C2260),",",""),"원","")," ",""),"−","-")))),"")</f>
        <v/>
      </c>
      <c r="CK2260">
        <f>IF(ISNUMBER(CI2260),IF(CI2260&lt;$B$13,CI2260,""),"")</f>
        <v/>
      </c>
      <c r="CM2260">
        <f>IF(CH2260="","",IFERROR(IF(IF(AND(LEN(CH2260)=9,ISERROR(FIND("-",LEFT(CH2260,8))),ISNUMBER(-LEFT(CH2260,8))),VALUE(LEFT(CH2260,4)),VALUE(LEFT(CH2260,FIND("-",CH2260)-1)))&lt;100,IF(AND(LEN(CH2260)=9,ISERROR(FIND("-",LEFT(CH2260,8))),ISNUMBER(-LEFT(CH2260,8))),VALUE(LEFT(CH2260,4)),VALUE(LEFT(CH2260,FIND("-",CH2260)-1)))+2000,IF(AND(LEN(CH2260)=9,ISERROR(FIND("-",LEFT(CH2260,8))),ISNUMBER(-LEFT(CH2260,8))),VALUE(LEFT(CH2260,4)),VALUE(LEFT(CH2260,FIND("-",CH2260)-1)))),""))</f>
        <v/>
      </c>
      <c r="CN2260">
        <f>IF(CH2260="","",IFERROR(IF(AND(LEN(CH2260)=9,ISERROR(FIND("-",LEFT(CH2260,8))),ISNUMBER(-LEFT(CH2260,8))),VALUE(MID(CH2260,5,2)),VALUE(MID(CH2260,FIND("-",CH2260)+1,FIND("-",CH2260,FIND("-",CH2260)+1)-FIND("-",CH2260)-1))),""))</f>
        <v/>
      </c>
      <c r="CO2260">
        <f>IF(CH2260="","",IFERROR(IF(AND(LEN(CH2260)=9,ISERROR(FIND("-",LEFT(CH2260,8))),ISNUMBER(-LEFT(CH2260,8))),VALUE(MID(CH2260,7,2)),VALUE(MID(CH2260,FIND("-",CH2260,FIND("-",CH2260)+1)+1,FIND("-",CH2260,FIND("-",CH2260,FIND("-",CH2260)+1)+1)-FIND("-",CH2260,FIND("-",CH2260)+1)-1))),""))</f>
        <v/>
      </c>
    </row>
    <row r="2261">
      <c r="CH2261">
        <f>IF(ISTEXT('월 가계부'!A2261),SUBSTITUTE(SUBSTITUTE(SUBSTITUTE(SUBSTITUTE(SUBSTITUTE(SUBSTITUTE(SUBSTITUTE(SUBSTITUTE(SUBSTITUTE(TRIM('월 가계부'!A2261),"년","-"),"월","-"),"일",""),".","-"),"/","-")," ","-"),"--","-"),"--","-"),"--","-")&amp;"-","")</f>
        <v/>
      </c>
      <c r="CI2261">
        <f>IFERROR(IF('월 가계부'!A2261="","",IF(ISNUMBER('월 가계부'!A2261),IF(AND('월 가계부'!A2261&gt;=19000101,'월 가계부'!A2261&lt;=21001231),IF(AND(MOD(INT('월 가계부'!A2261/100),100)&gt;=1,MOD(INT('월 가계부'!A2261/100),100)&lt;=12,MOD(INT('월 가계부'!A2261),100)&gt;=1,MOD(INT('월 가계부'!A2261),100)&lt;=31),IF(MONTH(DATE(INT('월 가계부'!A2261/10000),MOD(INT('월 가계부'!A2261/100),100),MOD(INT('월 가계부'!A2261),100)))=MOD(INT('월 가계부'!A2261/100),100),DATE(INT('월 가계부'!A2261/10000),MOD(INT('월 가계부'!A2261/100),100),MOD(INT('월 가계부'!A2261),100)),""),""),IF(AND('월 가계부'!A2261&gt;=36526,'월 가계부'!A2261&lt;73051),INT('월 가계부'!A2261),"")),IF(OR(CM2261="",CN2261="",CO2261=""),"",IF(AND(CM2261&gt;=2000,CM2261&lt;=2099,CN2261&gt;=1,CN2261&lt;=12,CO2261&gt;=1,CO2261&lt;=31),IF(MONTH(DATE(CM2261,CN2261,CO2261))=CN2261,DATE(CM2261,CN2261,CO2261),""),"")))),"")</f>
        <v/>
      </c>
      <c r="CJ2261">
        <f>IFERROR(IF('월 가계부'!C2261="","",IF(ISNUMBER('월 가계부'!C2261),'월 가계부'!C2261,VALUE(SUBSTITUTE(SUBSTITUTE(SUBSTITUTE(SUBSTITUTE(TRIM('월 가계부'!C2261),",",""),"원","")," ",""),"−","-")))),"")</f>
        <v/>
      </c>
      <c r="CK2261">
        <f>IF(ISNUMBER(CI2261),IF(CI2261&lt;$B$13,CI2261,""),"")</f>
        <v/>
      </c>
      <c r="CM2261">
        <f>IF(CH2261="","",IFERROR(IF(IF(AND(LEN(CH2261)=9,ISERROR(FIND("-",LEFT(CH2261,8))),ISNUMBER(-LEFT(CH2261,8))),VALUE(LEFT(CH2261,4)),VALUE(LEFT(CH2261,FIND("-",CH2261)-1)))&lt;100,IF(AND(LEN(CH2261)=9,ISERROR(FIND("-",LEFT(CH2261,8))),ISNUMBER(-LEFT(CH2261,8))),VALUE(LEFT(CH2261,4)),VALUE(LEFT(CH2261,FIND("-",CH2261)-1)))+2000,IF(AND(LEN(CH2261)=9,ISERROR(FIND("-",LEFT(CH2261,8))),ISNUMBER(-LEFT(CH2261,8))),VALUE(LEFT(CH2261,4)),VALUE(LEFT(CH2261,FIND("-",CH2261)-1)))),""))</f>
        <v/>
      </c>
      <c r="CN2261">
        <f>IF(CH2261="","",IFERROR(IF(AND(LEN(CH2261)=9,ISERROR(FIND("-",LEFT(CH2261,8))),ISNUMBER(-LEFT(CH2261,8))),VALUE(MID(CH2261,5,2)),VALUE(MID(CH2261,FIND("-",CH2261)+1,FIND("-",CH2261,FIND("-",CH2261)+1)-FIND("-",CH2261)-1))),""))</f>
        <v/>
      </c>
      <c r="CO2261">
        <f>IF(CH2261="","",IFERROR(IF(AND(LEN(CH2261)=9,ISERROR(FIND("-",LEFT(CH2261,8))),ISNUMBER(-LEFT(CH2261,8))),VALUE(MID(CH2261,7,2)),VALUE(MID(CH2261,FIND("-",CH2261,FIND("-",CH2261)+1)+1,FIND("-",CH2261,FIND("-",CH2261,FIND("-",CH2261)+1)+1)-FIND("-",CH2261,FIND("-",CH2261)+1)-1))),""))</f>
        <v/>
      </c>
    </row>
    <row r="2262">
      <c r="CH2262">
        <f>IF(ISTEXT('월 가계부'!A2262),SUBSTITUTE(SUBSTITUTE(SUBSTITUTE(SUBSTITUTE(SUBSTITUTE(SUBSTITUTE(SUBSTITUTE(SUBSTITUTE(SUBSTITUTE(TRIM('월 가계부'!A2262),"년","-"),"월","-"),"일",""),".","-"),"/","-")," ","-"),"--","-"),"--","-"),"--","-")&amp;"-","")</f>
        <v/>
      </c>
      <c r="CI2262">
        <f>IFERROR(IF('월 가계부'!A2262="","",IF(ISNUMBER('월 가계부'!A2262),IF(AND('월 가계부'!A2262&gt;=19000101,'월 가계부'!A2262&lt;=21001231),IF(AND(MOD(INT('월 가계부'!A2262/100),100)&gt;=1,MOD(INT('월 가계부'!A2262/100),100)&lt;=12,MOD(INT('월 가계부'!A2262),100)&gt;=1,MOD(INT('월 가계부'!A2262),100)&lt;=31),IF(MONTH(DATE(INT('월 가계부'!A2262/10000),MOD(INT('월 가계부'!A2262/100),100),MOD(INT('월 가계부'!A2262),100)))=MOD(INT('월 가계부'!A2262/100),100),DATE(INT('월 가계부'!A2262/10000),MOD(INT('월 가계부'!A2262/100),100),MOD(INT('월 가계부'!A2262),100)),""),""),IF(AND('월 가계부'!A2262&gt;=36526,'월 가계부'!A2262&lt;73051),INT('월 가계부'!A2262),"")),IF(OR(CM2262="",CN2262="",CO2262=""),"",IF(AND(CM2262&gt;=2000,CM2262&lt;=2099,CN2262&gt;=1,CN2262&lt;=12,CO2262&gt;=1,CO2262&lt;=31),IF(MONTH(DATE(CM2262,CN2262,CO2262))=CN2262,DATE(CM2262,CN2262,CO2262),""),"")))),"")</f>
        <v/>
      </c>
      <c r="CJ2262">
        <f>IFERROR(IF('월 가계부'!C2262="","",IF(ISNUMBER('월 가계부'!C2262),'월 가계부'!C2262,VALUE(SUBSTITUTE(SUBSTITUTE(SUBSTITUTE(SUBSTITUTE(TRIM('월 가계부'!C2262),",",""),"원","")," ",""),"−","-")))),"")</f>
        <v/>
      </c>
      <c r="CK2262">
        <f>IF(ISNUMBER(CI2262),IF(CI2262&lt;$B$13,CI2262,""),"")</f>
        <v/>
      </c>
      <c r="CM2262">
        <f>IF(CH2262="","",IFERROR(IF(IF(AND(LEN(CH2262)=9,ISERROR(FIND("-",LEFT(CH2262,8))),ISNUMBER(-LEFT(CH2262,8))),VALUE(LEFT(CH2262,4)),VALUE(LEFT(CH2262,FIND("-",CH2262)-1)))&lt;100,IF(AND(LEN(CH2262)=9,ISERROR(FIND("-",LEFT(CH2262,8))),ISNUMBER(-LEFT(CH2262,8))),VALUE(LEFT(CH2262,4)),VALUE(LEFT(CH2262,FIND("-",CH2262)-1)))+2000,IF(AND(LEN(CH2262)=9,ISERROR(FIND("-",LEFT(CH2262,8))),ISNUMBER(-LEFT(CH2262,8))),VALUE(LEFT(CH2262,4)),VALUE(LEFT(CH2262,FIND("-",CH2262)-1)))),""))</f>
        <v/>
      </c>
      <c r="CN2262">
        <f>IF(CH2262="","",IFERROR(IF(AND(LEN(CH2262)=9,ISERROR(FIND("-",LEFT(CH2262,8))),ISNUMBER(-LEFT(CH2262,8))),VALUE(MID(CH2262,5,2)),VALUE(MID(CH2262,FIND("-",CH2262)+1,FIND("-",CH2262,FIND("-",CH2262)+1)-FIND("-",CH2262)-1))),""))</f>
        <v/>
      </c>
      <c r="CO2262">
        <f>IF(CH2262="","",IFERROR(IF(AND(LEN(CH2262)=9,ISERROR(FIND("-",LEFT(CH2262,8))),ISNUMBER(-LEFT(CH2262,8))),VALUE(MID(CH2262,7,2)),VALUE(MID(CH2262,FIND("-",CH2262,FIND("-",CH2262)+1)+1,FIND("-",CH2262,FIND("-",CH2262,FIND("-",CH2262)+1)+1)-FIND("-",CH2262,FIND("-",CH2262)+1)-1))),""))</f>
        <v/>
      </c>
    </row>
    <row r="2263">
      <c r="CH2263">
        <f>IF(ISTEXT('월 가계부'!A2263),SUBSTITUTE(SUBSTITUTE(SUBSTITUTE(SUBSTITUTE(SUBSTITUTE(SUBSTITUTE(SUBSTITUTE(SUBSTITUTE(SUBSTITUTE(TRIM('월 가계부'!A2263),"년","-"),"월","-"),"일",""),".","-"),"/","-")," ","-"),"--","-"),"--","-"),"--","-")&amp;"-","")</f>
        <v/>
      </c>
      <c r="CI2263">
        <f>IFERROR(IF('월 가계부'!A2263="","",IF(ISNUMBER('월 가계부'!A2263),IF(AND('월 가계부'!A2263&gt;=19000101,'월 가계부'!A2263&lt;=21001231),IF(AND(MOD(INT('월 가계부'!A2263/100),100)&gt;=1,MOD(INT('월 가계부'!A2263/100),100)&lt;=12,MOD(INT('월 가계부'!A2263),100)&gt;=1,MOD(INT('월 가계부'!A2263),100)&lt;=31),IF(MONTH(DATE(INT('월 가계부'!A2263/10000),MOD(INT('월 가계부'!A2263/100),100),MOD(INT('월 가계부'!A2263),100)))=MOD(INT('월 가계부'!A2263/100),100),DATE(INT('월 가계부'!A2263/10000),MOD(INT('월 가계부'!A2263/100),100),MOD(INT('월 가계부'!A2263),100)),""),""),IF(AND('월 가계부'!A2263&gt;=36526,'월 가계부'!A2263&lt;73051),INT('월 가계부'!A2263),"")),IF(OR(CM2263="",CN2263="",CO2263=""),"",IF(AND(CM2263&gt;=2000,CM2263&lt;=2099,CN2263&gt;=1,CN2263&lt;=12,CO2263&gt;=1,CO2263&lt;=31),IF(MONTH(DATE(CM2263,CN2263,CO2263))=CN2263,DATE(CM2263,CN2263,CO2263),""),"")))),"")</f>
        <v/>
      </c>
      <c r="CJ2263">
        <f>IFERROR(IF('월 가계부'!C2263="","",IF(ISNUMBER('월 가계부'!C2263),'월 가계부'!C2263,VALUE(SUBSTITUTE(SUBSTITUTE(SUBSTITUTE(SUBSTITUTE(TRIM('월 가계부'!C2263),",",""),"원","")," ",""),"−","-")))),"")</f>
        <v/>
      </c>
      <c r="CK2263">
        <f>IF(ISNUMBER(CI2263),IF(CI2263&lt;$B$13,CI2263,""),"")</f>
        <v/>
      </c>
      <c r="CM2263">
        <f>IF(CH2263="","",IFERROR(IF(IF(AND(LEN(CH2263)=9,ISERROR(FIND("-",LEFT(CH2263,8))),ISNUMBER(-LEFT(CH2263,8))),VALUE(LEFT(CH2263,4)),VALUE(LEFT(CH2263,FIND("-",CH2263)-1)))&lt;100,IF(AND(LEN(CH2263)=9,ISERROR(FIND("-",LEFT(CH2263,8))),ISNUMBER(-LEFT(CH2263,8))),VALUE(LEFT(CH2263,4)),VALUE(LEFT(CH2263,FIND("-",CH2263)-1)))+2000,IF(AND(LEN(CH2263)=9,ISERROR(FIND("-",LEFT(CH2263,8))),ISNUMBER(-LEFT(CH2263,8))),VALUE(LEFT(CH2263,4)),VALUE(LEFT(CH2263,FIND("-",CH2263)-1)))),""))</f>
        <v/>
      </c>
      <c r="CN2263">
        <f>IF(CH2263="","",IFERROR(IF(AND(LEN(CH2263)=9,ISERROR(FIND("-",LEFT(CH2263,8))),ISNUMBER(-LEFT(CH2263,8))),VALUE(MID(CH2263,5,2)),VALUE(MID(CH2263,FIND("-",CH2263)+1,FIND("-",CH2263,FIND("-",CH2263)+1)-FIND("-",CH2263)-1))),""))</f>
        <v/>
      </c>
      <c r="CO2263">
        <f>IF(CH2263="","",IFERROR(IF(AND(LEN(CH2263)=9,ISERROR(FIND("-",LEFT(CH2263,8))),ISNUMBER(-LEFT(CH2263,8))),VALUE(MID(CH2263,7,2)),VALUE(MID(CH2263,FIND("-",CH2263,FIND("-",CH2263)+1)+1,FIND("-",CH2263,FIND("-",CH2263,FIND("-",CH2263)+1)+1)-FIND("-",CH2263,FIND("-",CH2263)+1)-1))),""))</f>
        <v/>
      </c>
    </row>
    <row r="2264">
      <c r="CH2264">
        <f>IF(ISTEXT('월 가계부'!A2264),SUBSTITUTE(SUBSTITUTE(SUBSTITUTE(SUBSTITUTE(SUBSTITUTE(SUBSTITUTE(SUBSTITUTE(SUBSTITUTE(SUBSTITUTE(TRIM('월 가계부'!A2264),"년","-"),"월","-"),"일",""),".","-"),"/","-")," ","-"),"--","-"),"--","-"),"--","-")&amp;"-","")</f>
        <v/>
      </c>
      <c r="CI2264">
        <f>IFERROR(IF('월 가계부'!A2264="","",IF(ISNUMBER('월 가계부'!A2264),IF(AND('월 가계부'!A2264&gt;=19000101,'월 가계부'!A2264&lt;=21001231),IF(AND(MOD(INT('월 가계부'!A2264/100),100)&gt;=1,MOD(INT('월 가계부'!A2264/100),100)&lt;=12,MOD(INT('월 가계부'!A2264),100)&gt;=1,MOD(INT('월 가계부'!A2264),100)&lt;=31),IF(MONTH(DATE(INT('월 가계부'!A2264/10000),MOD(INT('월 가계부'!A2264/100),100),MOD(INT('월 가계부'!A2264),100)))=MOD(INT('월 가계부'!A2264/100),100),DATE(INT('월 가계부'!A2264/10000),MOD(INT('월 가계부'!A2264/100),100),MOD(INT('월 가계부'!A2264),100)),""),""),IF(AND('월 가계부'!A2264&gt;=36526,'월 가계부'!A2264&lt;73051),INT('월 가계부'!A2264),"")),IF(OR(CM2264="",CN2264="",CO2264=""),"",IF(AND(CM2264&gt;=2000,CM2264&lt;=2099,CN2264&gt;=1,CN2264&lt;=12,CO2264&gt;=1,CO2264&lt;=31),IF(MONTH(DATE(CM2264,CN2264,CO2264))=CN2264,DATE(CM2264,CN2264,CO2264),""),"")))),"")</f>
        <v/>
      </c>
      <c r="CJ2264">
        <f>IFERROR(IF('월 가계부'!C2264="","",IF(ISNUMBER('월 가계부'!C2264),'월 가계부'!C2264,VALUE(SUBSTITUTE(SUBSTITUTE(SUBSTITUTE(SUBSTITUTE(TRIM('월 가계부'!C2264),",",""),"원","")," ",""),"−","-")))),"")</f>
        <v/>
      </c>
      <c r="CK2264">
        <f>IF(ISNUMBER(CI2264),IF(CI2264&lt;$B$13,CI2264,""),"")</f>
        <v/>
      </c>
      <c r="CM2264">
        <f>IF(CH2264="","",IFERROR(IF(IF(AND(LEN(CH2264)=9,ISERROR(FIND("-",LEFT(CH2264,8))),ISNUMBER(-LEFT(CH2264,8))),VALUE(LEFT(CH2264,4)),VALUE(LEFT(CH2264,FIND("-",CH2264)-1)))&lt;100,IF(AND(LEN(CH2264)=9,ISERROR(FIND("-",LEFT(CH2264,8))),ISNUMBER(-LEFT(CH2264,8))),VALUE(LEFT(CH2264,4)),VALUE(LEFT(CH2264,FIND("-",CH2264)-1)))+2000,IF(AND(LEN(CH2264)=9,ISERROR(FIND("-",LEFT(CH2264,8))),ISNUMBER(-LEFT(CH2264,8))),VALUE(LEFT(CH2264,4)),VALUE(LEFT(CH2264,FIND("-",CH2264)-1)))),""))</f>
        <v/>
      </c>
      <c r="CN2264">
        <f>IF(CH2264="","",IFERROR(IF(AND(LEN(CH2264)=9,ISERROR(FIND("-",LEFT(CH2264,8))),ISNUMBER(-LEFT(CH2264,8))),VALUE(MID(CH2264,5,2)),VALUE(MID(CH2264,FIND("-",CH2264)+1,FIND("-",CH2264,FIND("-",CH2264)+1)-FIND("-",CH2264)-1))),""))</f>
        <v/>
      </c>
      <c r="CO2264">
        <f>IF(CH2264="","",IFERROR(IF(AND(LEN(CH2264)=9,ISERROR(FIND("-",LEFT(CH2264,8))),ISNUMBER(-LEFT(CH2264,8))),VALUE(MID(CH2264,7,2)),VALUE(MID(CH2264,FIND("-",CH2264,FIND("-",CH2264)+1)+1,FIND("-",CH2264,FIND("-",CH2264,FIND("-",CH2264)+1)+1)-FIND("-",CH2264,FIND("-",CH2264)+1)-1))),""))</f>
        <v/>
      </c>
    </row>
    <row r="2265">
      <c r="CH2265">
        <f>IF(ISTEXT('월 가계부'!A2265),SUBSTITUTE(SUBSTITUTE(SUBSTITUTE(SUBSTITUTE(SUBSTITUTE(SUBSTITUTE(SUBSTITUTE(SUBSTITUTE(SUBSTITUTE(TRIM('월 가계부'!A2265),"년","-"),"월","-"),"일",""),".","-"),"/","-")," ","-"),"--","-"),"--","-"),"--","-")&amp;"-","")</f>
        <v/>
      </c>
      <c r="CI2265">
        <f>IFERROR(IF('월 가계부'!A2265="","",IF(ISNUMBER('월 가계부'!A2265),IF(AND('월 가계부'!A2265&gt;=19000101,'월 가계부'!A2265&lt;=21001231),IF(AND(MOD(INT('월 가계부'!A2265/100),100)&gt;=1,MOD(INT('월 가계부'!A2265/100),100)&lt;=12,MOD(INT('월 가계부'!A2265),100)&gt;=1,MOD(INT('월 가계부'!A2265),100)&lt;=31),IF(MONTH(DATE(INT('월 가계부'!A2265/10000),MOD(INT('월 가계부'!A2265/100),100),MOD(INT('월 가계부'!A2265),100)))=MOD(INT('월 가계부'!A2265/100),100),DATE(INT('월 가계부'!A2265/10000),MOD(INT('월 가계부'!A2265/100),100),MOD(INT('월 가계부'!A2265),100)),""),""),IF(AND('월 가계부'!A2265&gt;=36526,'월 가계부'!A2265&lt;73051),INT('월 가계부'!A2265),"")),IF(OR(CM2265="",CN2265="",CO2265=""),"",IF(AND(CM2265&gt;=2000,CM2265&lt;=2099,CN2265&gt;=1,CN2265&lt;=12,CO2265&gt;=1,CO2265&lt;=31),IF(MONTH(DATE(CM2265,CN2265,CO2265))=CN2265,DATE(CM2265,CN2265,CO2265),""),"")))),"")</f>
        <v/>
      </c>
      <c r="CJ2265">
        <f>IFERROR(IF('월 가계부'!C2265="","",IF(ISNUMBER('월 가계부'!C2265),'월 가계부'!C2265,VALUE(SUBSTITUTE(SUBSTITUTE(SUBSTITUTE(SUBSTITUTE(TRIM('월 가계부'!C2265),",",""),"원","")," ",""),"−","-")))),"")</f>
        <v/>
      </c>
      <c r="CK2265">
        <f>IF(ISNUMBER(CI2265),IF(CI2265&lt;$B$13,CI2265,""),"")</f>
        <v/>
      </c>
      <c r="CM2265">
        <f>IF(CH2265="","",IFERROR(IF(IF(AND(LEN(CH2265)=9,ISERROR(FIND("-",LEFT(CH2265,8))),ISNUMBER(-LEFT(CH2265,8))),VALUE(LEFT(CH2265,4)),VALUE(LEFT(CH2265,FIND("-",CH2265)-1)))&lt;100,IF(AND(LEN(CH2265)=9,ISERROR(FIND("-",LEFT(CH2265,8))),ISNUMBER(-LEFT(CH2265,8))),VALUE(LEFT(CH2265,4)),VALUE(LEFT(CH2265,FIND("-",CH2265)-1)))+2000,IF(AND(LEN(CH2265)=9,ISERROR(FIND("-",LEFT(CH2265,8))),ISNUMBER(-LEFT(CH2265,8))),VALUE(LEFT(CH2265,4)),VALUE(LEFT(CH2265,FIND("-",CH2265)-1)))),""))</f>
        <v/>
      </c>
      <c r="CN2265">
        <f>IF(CH2265="","",IFERROR(IF(AND(LEN(CH2265)=9,ISERROR(FIND("-",LEFT(CH2265,8))),ISNUMBER(-LEFT(CH2265,8))),VALUE(MID(CH2265,5,2)),VALUE(MID(CH2265,FIND("-",CH2265)+1,FIND("-",CH2265,FIND("-",CH2265)+1)-FIND("-",CH2265)-1))),""))</f>
        <v/>
      </c>
      <c r="CO2265">
        <f>IF(CH2265="","",IFERROR(IF(AND(LEN(CH2265)=9,ISERROR(FIND("-",LEFT(CH2265,8))),ISNUMBER(-LEFT(CH2265,8))),VALUE(MID(CH2265,7,2)),VALUE(MID(CH2265,FIND("-",CH2265,FIND("-",CH2265)+1)+1,FIND("-",CH2265,FIND("-",CH2265,FIND("-",CH2265)+1)+1)-FIND("-",CH2265,FIND("-",CH2265)+1)-1))),""))</f>
        <v/>
      </c>
    </row>
    <row r="2266">
      <c r="CH2266">
        <f>IF(ISTEXT('월 가계부'!A2266),SUBSTITUTE(SUBSTITUTE(SUBSTITUTE(SUBSTITUTE(SUBSTITUTE(SUBSTITUTE(SUBSTITUTE(SUBSTITUTE(SUBSTITUTE(TRIM('월 가계부'!A2266),"년","-"),"월","-"),"일",""),".","-"),"/","-")," ","-"),"--","-"),"--","-"),"--","-")&amp;"-","")</f>
        <v/>
      </c>
      <c r="CI2266">
        <f>IFERROR(IF('월 가계부'!A2266="","",IF(ISNUMBER('월 가계부'!A2266),IF(AND('월 가계부'!A2266&gt;=19000101,'월 가계부'!A2266&lt;=21001231),IF(AND(MOD(INT('월 가계부'!A2266/100),100)&gt;=1,MOD(INT('월 가계부'!A2266/100),100)&lt;=12,MOD(INT('월 가계부'!A2266),100)&gt;=1,MOD(INT('월 가계부'!A2266),100)&lt;=31),IF(MONTH(DATE(INT('월 가계부'!A2266/10000),MOD(INT('월 가계부'!A2266/100),100),MOD(INT('월 가계부'!A2266),100)))=MOD(INT('월 가계부'!A2266/100),100),DATE(INT('월 가계부'!A2266/10000),MOD(INT('월 가계부'!A2266/100),100),MOD(INT('월 가계부'!A2266),100)),""),""),IF(AND('월 가계부'!A2266&gt;=36526,'월 가계부'!A2266&lt;73051),INT('월 가계부'!A2266),"")),IF(OR(CM2266="",CN2266="",CO2266=""),"",IF(AND(CM2266&gt;=2000,CM2266&lt;=2099,CN2266&gt;=1,CN2266&lt;=12,CO2266&gt;=1,CO2266&lt;=31),IF(MONTH(DATE(CM2266,CN2266,CO2266))=CN2266,DATE(CM2266,CN2266,CO2266),""),"")))),"")</f>
        <v/>
      </c>
      <c r="CJ2266">
        <f>IFERROR(IF('월 가계부'!C2266="","",IF(ISNUMBER('월 가계부'!C2266),'월 가계부'!C2266,VALUE(SUBSTITUTE(SUBSTITUTE(SUBSTITUTE(SUBSTITUTE(TRIM('월 가계부'!C2266),",",""),"원","")," ",""),"−","-")))),"")</f>
        <v/>
      </c>
      <c r="CK2266">
        <f>IF(ISNUMBER(CI2266),IF(CI2266&lt;$B$13,CI2266,""),"")</f>
        <v/>
      </c>
      <c r="CM2266">
        <f>IF(CH2266="","",IFERROR(IF(IF(AND(LEN(CH2266)=9,ISERROR(FIND("-",LEFT(CH2266,8))),ISNUMBER(-LEFT(CH2266,8))),VALUE(LEFT(CH2266,4)),VALUE(LEFT(CH2266,FIND("-",CH2266)-1)))&lt;100,IF(AND(LEN(CH2266)=9,ISERROR(FIND("-",LEFT(CH2266,8))),ISNUMBER(-LEFT(CH2266,8))),VALUE(LEFT(CH2266,4)),VALUE(LEFT(CH2266,FIND("-",CH2266)-1)))+2000,IF(AND(LEN(CH2266)=9,ISERROR(FIND("-",LEFT(CH2266,8))),ISNUMBER(-LEFT(CH2266,8))),VALUE(LEFT(CH2266,4)),VALUE(LEFT(CH2266,FIND("-",CH2266)-1)))),""))</f>
        <v/>
      </c>
      <c r="CN2266">
        <f>IF(CH2266="","",IFERROR(IF(AND(LEN(CH2266)=9,ISERROR(FIND("-",LEFT(CH2266,8))),ISNUMBER(-LEFT(CH2266,8))),VALUE(MID(CH2266,5,2)),VALUE(MID(CH2266,FIND("-",CH2266)+1,FIND("-",CH2266,FIND("-",CH2266)+1)-FIND("-",CH2266)-1))),""))</f>
        <v/>
      </c>
      <c r="CO2266">
        <f>IF(CH2266="","",IFERROR(IF(AND(LEN(CH2266)=9,ISERROR(FIND("-",LEFT(CH2266,8))),ISNUMBER(-LEFT(CH2266,8))),VALUE(MID(CH2266,7,2)),VALUE(MID(CH2266,FIND("-",CH2266,FIND("-",CH2266)+1)+1,FIND("-",CH2266,FIND("-",CH2266,FIND("-",CH2266)+1)+1)-FIND("-",CH2266,FIND("-",CH2266)+1)-1))),""))</f>
        <v/>
      </c>
    </row>
    <row r="2267">
      <c r="CH2267">
        <f>IF(ISTEXT('월 가계부'!A2267),SUBSTITUTE(SUBSTITUTE(SUBSTITUTE(SUBSTITUTE(SUBSTITUTE(SUBSTITUTE(SUBSTITUTE(SUBSTITUTE(SUBSTITUTE(TRIM('월 가계부'!A2267),"년","-"),"월","-"),"일",""),".","-"),"/","-")," ","-"),"--","-"),"--","-"),"--","-")&amp;"-","")</f>
        <v/>
      </c>
      <c r="CI2267">
        <f>IFERROR(IF('월 가계부'!A2267="","",IF(ISNUMBER('월 가계부'!A2267),IF(AND('월 가계부'!A2267&gt;=19000101,'월 가계부'!A2267&lt;=21001231),IF(AND(MOD(INT('월 가계부'!A2267/100),100)&gt;=1,MOD(INT('월 가계부'!A2267/100),100)&lt;=12,MOD(INT('월 가계부'!A2267),100)&gt;=1,MOD(INT('월 가계부'!A2267),100)&lt;=31),IF(MONTH(DATE(INT('월 가계부'!A2267/10000),MOD(INT('월 가계부'!A2267/100),100),MOD(INT('월 가계부'!A2267),100)))=MOD(INT('월 가계부'!A2267/100),100),DATE(INT('월 가계부'!A2267/10000),MOD(INT('월 가계부'!A2267/100),100),MOD(INT('월 가계부'!A2267),100)),""),""),IF(AND('월 가계부'!A2267&gt;=36526,'월 가계부'!A2267&lt;73051),INT('월 가계부'!A2267),"")),IF(OR(CM2267="",CN2267="",CO2267=""),"",IF(AND(CM2267&gt;=2000,CM2267&lt;=2099,CN2267&gt;=1,CN2267&lt;=12,CO2267&gt;=1,CO2267&lt;=31),IF(MONTH(DATE(CM2267,CN2267,CO2267))=CN2267,DATE(CM2267,CN2267,CO2267),""),"")))),"")</f>
        <v/>
      </c>
      <c r="CJ2267">
        <f>IFERROR(IF('월 가계부'!C2267="","",IF(ISNUMBER('월 가계부'!C2267),'월 가계부'!C2267,VALUE(SUBSTITUTE(SUBSTITUTE(SUBSTITUTE(SUBSTITUTE(TRIM('월 가계부'!C2267),",",""),"원","")," ",""),"−","-")))),"")</f>
        <v/>
      </c>
      <c r="CK2267">
        <f>IF(ISNUMBER(CI2267),IF(CI2267&lt;$B$13,CI2267,""),"")</f>
        <v/>
      </c>
      <c r="CM2267">
        <f>IF(CH2267="","",IFERROR(IF(IF(AND(LEN(CH2267)=9,ISERROR(FIND("-",LEFT(CH2267,8))),ISNUMBER(-LEFT(CH2267,8))),VALUE(LEFT(CH2267,4)),VALUE(LEFT(CH2267,FIND("-",CH2267)-1)))&lt;100,IF(AND(LEN(CH2267)=9,ISERROR(FIND("-",LEFT(CH2267,8))),ISNUMBER(-LEFT(CH2267,8))),VALUE(LEFT(CH2267,4)),VALUE(LEFT(CH2267,FIND("-",CH2267)-1)))+2000,IF(AND(LEN(CH2267)=9,ISERROR(FIND("-",LEFT(CH2267,8))),ISNUMBER(-LEFT(CH2267,8))),VALUE(LEFT(CH2267,4)),VALUE(LEFT(CH2267,FIND("-",CH2267)-1)))),""))</f>
        <v/>
      </c>
      <c r="CN2267">
        <f>IF(CH2267="","",IFERROR(IF(AND(LEN(CH2267)=9,ISERROR(FIND("-",LEFT(CH2267,8))),ISNUMBER(-LEFT(CH2267,8))),VALUE(MID(CH2267,5,2)),VALUE(MID(CH2267,FIND("-",CH2267)+1,FIND("-",CH2267,FIND("-",CH2267)+1)-FIND("-",CH2267)-1))),""))</f>
        <v/>
      </c>
      <c r="CO2267">
        <f>IF(CH2267="","",IFERROR(IF(AND(LEN(CH2267)=9,ISERROR(FIND("-",LEFT(CH2267,8))),ISNUMBER(-LEFT(CH2267,8))),VALUE(MID(CH2267,7,2)),VALUE(MID(CH2267,FIND("-",CH2267,FIND("-",CH2267)+1)+1,FIND("-",CH2267,FIND("-",CH2267,FIND("-",CH2267)+1)+1)-FIND("-",CH2267,FIND("-",CH2267)+1)-1))),""))</f>
        <v/>
      </c>
    </row>
    <row r="2268">
      <c r="CH2268">
        <f>IF(ISTEXT('월 가계부'!A2268),SUBSTITUTE(SUBSTITUTE(SUBSTITUTE(SUBSTITUTE(SUBSTITUTE(SUBSTITUTE(SUBSTITUTE(SUBSTITUTE(SUBSTITUTE(TRIM('월 가계부'!A2268),"년","-"),"월","-"),"일",""),".","-"),"/","-")," ","-"),"--","-"),"--","-"),"--","-")&amp;"-","")</f>
        <v/>
      </c>
      <c r="CI2268">
        <f>IFERROR(IF('월 가계부'!A2268="","",IF(ISNUMBER('월 가계부'!A2268),IF(AND('월 가계부'!A2268&gt;=19000101,'월 가계부'!A2268&lt;=21001231),IF(AND(MOD(INT('월 가계부'!A2268/100),100)&gt;=1,MOD(INT('월 가계부'!A2268/100),100)&lt;=12,MOD(INT('월 가계부'!A2268),100)&gt;=1,MOD(INT('월 가계부'!A2268),100)&lt;=31),IF(MONTH(DATE(INT('월 가계부'!A2268/10000),MOD(INT('월 가계부'!A2268/100),100),MOD(INT('월 가계부'!A2268),100)))=MOD(INT('월 가계부'!A2268/100),100),DATE(INT('월 가계부'!A2268/10000),MOD(INT('월 가계부'!A2268/100),100),MOD(INT('월 가계부'!A2268),100)),""),""),IF(AND('월 가계부'!A2268&gt;=36526,'월 가계부'!A2268&lt;73051),INT('월 가계부'!A2268),"")),IF(OR(CM2268="",CN2268="",CO2268=""),"",IF(AND(CM2268&gt;=2000,CM2268&lt;=2099,CN2268&gt;=1,CN2268&lt;=12,CO2268&gt;=1,CO2268&lt;=31),IF(MONTH(DATE(CM2268,CN2268,CO2268))=CN2268,DATE(CM2268,CN2268,CO2268),""),"")))),"")</f>
        <v/>
      </c>
      <c r="CJ2268">
        <f>IFERROR(IF('월 가계부'!C2268="","",IF(ISNUMBER('월 가계부'!C2268),'월 가계부'!C2268,VALUE(SUBSTITUTE(SUBSTITUTE(SUBSTITUTE(SUBSTITUTE(TRIM('월 가계부'!C2268),",",""),"원","")," ",""),"−","-")))),"")</f>
        <v/>
      </c>
      <c r="CK2268">
        <f>IF(ISNUMBER(CI2268),IF(CI2268&lt;$B$13,CI2268,""),"")</f>
        <v/>
      </c>
      <c r="CM2268">
        <f>IF(CH2268="","",IFERROR(IF(IF(AND(LEN(CH2268)=9,ISERROR(FIND("-",LEFT(CH2268,8))),ISNUMBER(-LEFT(CH2268,8))),VALUE(LEFT(CH2268,4)),VALUE(LEFT(CH2268,FIND("-",CH2268)-1)))&lt;100,IF(AND(LEN(CH2268)=9,ISERROR(FIND("-",LEFT(CH2268,8))),ISNUMBER(-LEFT(CH2268,8))),VALUE(LEFT(CH2268,4)),VALUE(LEFT(CH2268,FIND("-",CH2268)-1)))+2000,IF(AND(LEN(CH2268)=9,ISERROR(FIND("-",LEFT(CH2268,8))),ISNUMBER(-LEFT(CH2268,8))),VALUE(LEFT(CH2268,4)),VALUE(LEFT(CH2268,FIND("-",CH2268)-1)))),""))</f>
        <v/>
      </c>
      <c r="CN2268">
        <f>IF(CH2268="","",IFERROR(IF(AND(LEN(CH2268)=9,ISERROR(FIND("-",LEFT(CH2268,8))),ISNUMBER(-LEFT(CH2268,8))),VALUE(MID(CH2268,5,2)),VALUE(MID(CH2268,FIND("-",CH2268)+1,FIND("-",CH2268,FIND("-",CH2268)+1)-FIND("-",CH2268)-1))),""))</f>
        <v/>
      </c>
      <c r="CO2268">
        <f>IF(CH2268="","",IFERROR(IF(AND(LEN(CH2268)=9,ISERROR(FIND("-",LEFT(CH2268,8))),ISNUMBER(-LEFT(CH2268,8))),VALUE(MID(CH2268,7,2)),VALUE(MID(CH2268,FIND("-",CH2268,FIND("-",CH2268)+1)+1,FIND("-",CH2268,FIND("-",CH2268,FIND("-",CH2268)+1)+1)-FIND("-",CH2268,FIND("-",CH2268)+1)-1))),""))</f>
        <v/>
      </c>
    </row>
    <row r="2269">
      <c r="CH2269">
        <f>IF(ISTEXT('월 가계부'!A2269),SUBSTITUTE(SUBSTITUTE(SUBSTITUTE(SUBSTITUTE(SUBSTITUTE(SUBSTITUTE(SUBSTITUTE(SUBSTITUTE(SUBSTITUTE(TRIM('월 가계부'!A2269),"년","-"),"월","-"),"일",""),".","-"),"/","-")," ","-"),"--","-"),"--","-"),"--","-")&amp;"-","")</f>
        <v/>
      </c>
      <c r="CI2269">
        <f>IFERROR(IF('월 가계부'!A2269="","",IF(ISNUMBER('월 가계부'!A2269),IF(AND('월 가계부'!A2269&gt;=19000101,'월 가계부'!A2269&lt;=21001231),IF(AND(MOD(INT('월 가계부'!A2269/100),100)&gt;=1,MOD(INT('월 가계부'!A2269/100),100)&lt;=12,MOD(INT('월 가계부'!A2269),100)&gt;=1,MOD(INT('월 가계부'!A2269),100)&lt;=31),IF(MONTH(DATE(INT('월 가계부'!A2269/10000),MOD(INT('월 가계부'!A2269/100),100),MOD(INT('월 가계부'!A2269),100)))=MOD(INT('월 가계부'!A2269/100),100),DATE(INT('월 가계부'!A2269/10000),MOD(INT('월 가계부'!A2269/100),100),MOD(INT('월 가계부'!A2269),100)),""),""),IF(AND('월 가계부'!A2269&gt;=36526,'월 가계부'!A2269&lt;73051),INT('월 가계부'!A2269),"")),IF(OR(CM2269="",CN2269="",CO2269=""),"",IF(AND(CM2269&gt;=2000,CM2269&lt;=2099,CN2269&gt;=1,CN2269&lt;=12,CO2269&gt;=1,CO2269&lt;=31),IF(MONTH(DATE(CM2269,CN2269,CO2269))=CN2269,DATE(CM2269,CN2269,CO2269),""),"")))),"")</f>
        <v/>
      </c>
      <c r="CJ2269">
        <f>IFERROR(IF('월 가계부'!C2269="","",IF(ISNUMBER('월 가계부'!C2269),'월 가계부'!C2269,VALUE(SUBSTITUTE(SUBSTITUTE(SUBSTITUTE(SUBSTITUTE(TRIM('월 가계부'!C2269),",",""),"원","")," ",""),"−","-")))),"")</f>
        <v/>
      </c>
      <c r="CK2269">
        <f>IF(ISNUMBER(CI2269),IF(CI2269&lt;$B$13,CI2269,""),"")</f>
        <v/>
      </c>
      <c r="CM2269">
        <f>IF(CH2269="","",IFERROR(IF(IF(AND(LEN(CH2269)=9,ISERROR(FIND("-",LEFT(CH2269,8))),ISNUMBER(-LEFT(CH2269,8))),VALUE(LEFT(CH2269,4)),VALUE(LEFT(CH2269,FIND("-",CH2269)-1)))&lt;100,IF(AND(LEN(CH2269)=9,ISERROR(FIND("-",LEFT(CH2269,8))),ISNUMBER(-LEFT(CH2269,8))),VALUE(LEFT(CH2269,4)),VALUE(LEFT(CH2269,FIND("-",CH2269)-1)))+2000,IF(AND(LEN(CH2269)=9,ISERROR(FIND("-",LEFT(CH2269,8))),ISNUMBER(-LEFT(CH2269,8))),VALUE(LEFT(CH2269,4)),VALUE(LEFT(CH2269,FIND("-",CH2269)-1)))),""))</f>
        <v/>
      </c>
      <c r="CN2269">
        <f>IF(CH2269="","",IFERROR(IF(AND(LEN(CH2269)=9,ISERROR(FIND("-",LEFT(CH2269,8))),ISNUMBER(-LEFT(CH2269,8))),VALUE(MID(CH2269,5,2)),VALUE(MID(CH2269,FIND("-",CH2269)+1,FIND("-",CH2269,FIND("-",CH2269)+1)-FIND("-",CH2269)-1))),""))</f>
        <v/>
      </c>
      <c r="CO2269">
        <f>IF(CH2269="","",IFERROR(IF(AND(LEN(CH2269)=9,ISERROR(FIND("-",LEFT(CH2269,8))),ISNUMBER(-LEFT(CH2269,8))),VALUE(MID(CH2269,7,2)),VALUE(MID(CH2269,FIND("-",CH2269,FIND("-",CH2269)+1)+1,FIND("-",CH2269,FIND("-",CH2269,FIND("-",CH2269)+1)+1)-FIND("-",CH2269,FIND("-",CH2269)+1)-1))),""))</f>
        <v/>
      </c>
    </row>
    <row r="2270">
      <c r="CH2270">
        <f>IF(ISTEXT('월 가계부'!A2270),SUBSTITUTE(SUBSTITUTE(SUBSTITUTE(SUBSTITUTE(SUBSTITUTE(SUBSTITUTE(SUBSTITUTE(SUBSTITUTE(SUBSTITUTE(TRIM('월 가계부'!A2270),"년","-"),"월","-"),"일",""),".","-"),"/","-")," ","-"),"--","-"),"--","-"),"--","-")&amp;"-","")</f>
        <v/>
      </c>
      <c r="CI2270">
        <f>IFERROR(IF('월 가계부'!A2270="","",IF(ISNUMBER('월 가계부'!A2270),IF(AND('월 가계부'!A2270&gt;=19000101,'월 가계부'!A2270&lt;=21001231),IF(AND(MOD(INT('월 가계부'!A2270/100),100)&gt;=1,MOD(INT('월 가계부'!A2270/100),100)&lt;=12,MOD(INT('월 가계부'!A2270),100)&gt;=1,MOD(INT('월 가계부'!A2270),100)&lt;=31),IF(MONTH(DATE(INT('월 가계부'!A2270/10000),MOD(INT('월 가계부'!A2270/100),100),MOD(INT('월 가계부'!A2270),100)))=MOD(INT('월 가계부'!A2270/100),100),DATE(INT('월 가계부'!A2270/10000),MOD(INT('월 가계부'!A2270/100),100),MOD(INT('월 가계부'!A2270),100)),""),""),IF(AND('월 가계부'!A2270&gt;=36526,'월 가계부'!A2270&lt;73051),INT('월 가계부'!A2270),"")),IF(OR(CM2270="",CN2270="",CO2270=""),"",IF(AND(CM2270&gt;=2000,CM2270&lt;=2099,CN2270&gt;=1,CN2270&lt;=12,CO2270&gt;=1,CO2270&lt;=31),IF(MONTH(DATE(CM2270,CN2270,CO2270))=CN2270,DATE(CM2270,CN2270,CO2270),""),"")))),"")</f>
        <v/>
      </c>
      <c r="CJ2270">
        <f>IFERROR(IF('월 가계부'!C2270="","",IF(ISNUMBER('월 가계부'!C2270),'월 가계부'!C2270,VALUE(SUBSTITUTE(SUBSTITUTE(SUBSTITUTE(SUBSTITUTE(TRIM('월 가계부'!C2270),",",""),"원","")," ",""),"−","-")))),"")</f>
        <v/>
      </c>
      <c r="CK2270">
        <f>IF(ISNUMBER(CI2270),IF(CI2270&lt;$B$13,CI2270,""),"")</f>
        <v/>
      </c>
      <c r="CM2270">
        <f>IF(CH2270="","",IFERROR(IF(IF(AND(LEN(CH2270)=9,ISERROR(FIND("-",LEFT(CH2270,8))),ISNUMBER(-LEFT(CH2270,8))),VALUE(LEFT(CH2270,4)),VALUE(LEFT(CH2270,FIND("-",CH2270)-1)))&lt;100,IF(AND(LEN(CH2270)=9,ISERROR(FIND("-",LEFT(CH2270,8))),ISNUMBER(-LEFT(CH2270,8))),VALUE(LEFT(CH2270,4)),VALUE(LEFT(CH2270,FIND("-",CH2270)-1)))+2000,IF(AND(LEN(CH2270)=9,ISERROR(FIND("-",LEFT(CH2270,8))),ISNUMBER(-LEFT(CH2270,8))),VALUE(LEFT(CH2270,4)),VALUE(LEFT(CH2270,FIND("-",CH2270)-1)))),""))</f>
        <v/>
      </c>
      <c r="CN2270">
        <f>IF(CH2270="","",IFERROR(IF(AND(LEN(CH2270)=9,ISERROR(FIND("-",LEFT(CH2270,8))),ISNUMBER(-LEFT(CH2270,8))),VALUE(MID(CH2270,5,2)),VALUE(MID(CH2270,FIND("-",CH2270)+1,FIND("-",CH2270,FIND("-",CH2270)+1)-FIND("-",CH2270)-1))),""))</f>
        <v/>
      </c>
      <c r="CO2270">
        <f>IF(CH2270="","",IFERROR(IF(AND(LEN(CH2270)=9,ISERROR(FIND("-",LEFT(CH2270,8))),ISNUMBER(-LEFT(CH2270,8))),VALUE(MID(CH2270,7,2)),VALUE(MID(CH2270,FIND("-",CH2270,FIND("-",CH2270)+1)+1,FIND("-",CH2270,FIND("-",CH2270,FIND("-",CH2270)+1)+1)-FIND("-",CH2270,FIND("-",CH2270)+1)-1))),""))</f>
        <v/>
      </c>
    </row>
    <row r="2271">
      <c r="CH2271">
        <f>IF(ISTEXT('월 가계부'!A2271),SUBSTITUTE(SUBSTITUTE(SUBSTITUTE(SUBSTITUTE(SUBSTITUTE(SUBSTITUTE(SUBSTITUTE(SUBSTITUTE(SUBSTITUTE(TRIM('월 가계부'!A2271),"년","-"),"월","-"),"일",""),".","-"),"/","-")," ","-"),"--","-"),"--","-"),"--","-")&amp;"-","")</f>
        <v/>
      </c>
      <c r="CI2271">
        <f>IFERROR(IF('월 가계부'!A2271="","",IF(ISNUMBER('월 가계부'!A2271),IF(AND('월 가계부'!A2271&gt;=19000101,'월 가계부'!A2271&lt;=21001231),IF(AND(MOD(INT('월 가계부'!A2271/100),100)&gt;=1,MOD(INT('월 가계부'!A2271/100),100)&lt;=12,MOD(INT('월 가계부'!A2271),100)&gt;=1,MOD(INT('월 가계부'!A2271),100)&lt;=31),IF(MONTH(DATE(INT('월 가계부'!A2271/10000),MOD(INT('월 가계부'!A2271/100),100),MOD(INT('월 가계부'!A2271),100)))=MOD(INT('월 가계부'!A2271/100),100),DATE(INT('월 가계부'!A2271/10000),MOD(INT('월 가계부'!A2271/100),100),MOD(INT('월 가계부'!A2271),100)),""),""),IF(AND('월 가계부'!A2271&gt;=36526,'월 가계부'!A2271&lt;73051),INT('월 가계부'!A2271),"")),IF(OR(CM2271="",CN2271="",CO2271=""),"",IF(AND(CM2271&gt;=2000,CM2271&lt;=2099,CN2271&gt;=1,CN2271&lt;=12,CO2271&gt;=1,CO2271&lt;=31),IF(MONTH(DATE(CM2271,CN2271,CO2271))=CN2271,DATE(CM2271,CN2271,CO2271),""),"")))),"")</f>
        <v/>
      </c>
      <c r="CJ2271">
        <f>IFERROR(IF('월 가계부'!C2271="","",IF(ISNUMBER('월 가계부'!C2271),'월 가계부'!C2271,VALUE(SUBSTITUTE(SUBSTITUTE(SUBSTITUTE(SUBSTITUTE(TRIM('월 가계부'!C2271),",",""),"원","")," ",""),"−","-")))),"")</f>
        <v/>
      </c>
      <c r="CK2271">
        <f>IF(ISNUMBER(CI2271),IF(CI2271&lt;$B$13,CI2271,""),"")</f>
        <v/>
      </c>
      <c r="CM2271">
        <f>IF(CH2271="","",IFERROR(IF(IF(AND(LEN(CH2271)=9,ISERROR(FIND("-",LEFT(CH2271,8))),ISNUMBER(-LEFT(CH2271,8))),VALUE(LEFT(CH2271,4)),VALUE(LEFT(CH2271,FIND("-",CH2271)-1)))&lt;100,IF(AND(LEN(CH2271)=9,ISERROR(FIND("-",LEFT(CH2271,8))),ISNUMBER(-LEFT(CH2271,8))),VALUE(LEFT(CH2271,4)),VALUE(LEFT(CH2271,FIND("-",CH2271)-1)))+2000,IF(AND(LEN(CH2271)=9,ISERROR(FIND("-",LEFT(CH2271,8))),ISNUMBER(-LEFT(CH2271,8))),VALUE(LEFT(CH2271,4)),VALUE(LEFT(CH2271,FIND("-",CH2271)-1)))),""))</f>
        <v/>
      </c>
      <c r="CN2271">
        <f>IF(CH2271="","",IFERROR(IF(AND(LEN(CH2271)=9,ISERROR(FIND("-",LEFT(CH2271,8))),ISNUMBER(-LEFT(CH2271,8))),VALUE(MID(CH2271,5,2)),VALUE(MID(CH2271,FIND("-",CH2271)+1,FIND("-",CH2271,FIND("-",CH2271)+1)-FIND("-",CH2271)-1))),""))</f>
        <v/>
      </c>
      <c r="CO2271">
        <f>IF(CH2271="","",IFERROR(IF(AND(LEN(CH2271)=9,ISERROR(FIND("-",LEFT(CH2271,8))),ISNUMBER(-LEFT(CH2271,8))),VALUE(MID(CH2271,7,2)),VALUE(MID(CH2271,FIND("-",CH2271,FIND("-",CH2271)+1)+1,FIND("-",CH2271,FIND("-",CH2271,FIND("-",CH2271)+1)+1)-FIND("-",CH2271,FIND("-",CH2271)+1)-1))),""))</f>
        <v/>
      </c>
    </row>
    <row r="2272">
      <c r="CH2272">
        <f>IF(ISTEXT('월 가계부'!A2272),SUBSTITUTE(SUBSTITUTE(SUBSTITUTE(SUBSTITUTE(SUBSTITUTE(SUBSTITUTE(SUBSTITUTE(SUBSTITUTE(SUBSTITUTE(TRIM('월 가계부'!A2272),"년","-"),"월","-"),"일",""),".","-"),"/","-")," ","-"),"--","-"),"--","-"),"--","-")&amp;"-","")</f>
        <v/>
      </c>
      <c r="CI2272">
        <f>IFERROR(IF('월 가계부'!A2272="","",IF(ISNUMBER('월 가계부'!A2272),IF(AND('월 가계부'!A2272&gt;=19000101,'월 가계부'!A2272&lt;=21001231),IF(AND(MOD(INT('월 가계부'!A2272/100),100)&gt;=1,MOD(INT('월 가계부'!A2272/100),100)&lt;=12,MOD(INT('월 가계부'!A2272),100)&gt;=1,MOD(INT('월 가계부'!A2272),100)&lt;=31),IF(MONTH(DATE(INT('월 가계부'!A2272/10000),MOD(INT('월 가계부'!A2272/100),100),MOD(INT('월 가계부'!A2272),100)))=MOD(INT('월 가계부'!A2272/100),100),DATE(INT('월 가계부'!A2272/10000),MOD(INT('월 가계부'!A2272/100),100),MOD(INT('월 가계부'!A2272),100)),""),""),IF(AND('월 가계부'!A2272&gt;=36526,'월 가계부'!A2272&lt;73051),INT('월 가계부'!A2272),"")),IF(OR(CM2272="",CN2272="",CO2272=""),"",IF(AND(CM2272&gt;=2000,CM2272&lt;=2099,CN2272&gt;=1,CN2272&lt;=12,CO2272&gt;=1,CO2272&lt;=31),IF(MONTH(DATE(CM2272,CN2272,CO2272))=CN2272,DATE(CM2272,CN2272,CO2272),""),"")))),"")</f>
        <v/>
      </c>
      <c r="CJ2272">
        <f>IFERROR(IF('월 가계부'!C2272="","",IF(ISNUMBER('월 가계부'!C2272),'월 가계부'!C2272,VALUE(SUBSTITUTE(SUBSTITUTE(SUBSTITUTE(SUBSTITUTE(TRIM('월 가계부'!C2272),",",""),"원","")," ",""),"−","-")))),"")</f>
        <v/>
      </c>
      <c r="CK2272">
        <f>IF(ISNUMBER(CI2272),IF(CI2272&lt;$B$13,CI2272,""),"")</f>
        <v/>
      </c>
      <c r="CM2272">
        <f>IF(CH2272="","",IFERROR(IF(IF(AND(LEN(CH2272)=9,ISERROR(FIND("-",LEFT(CH2272,8))),ISNUMBER(-LEFT(CH2272,8))),VALUE(LEFT(CH2272,4)),VALUE(LEFT(CH2272,FIND("-",CH2272)-1)))&lt;100,IF(AND(LEN(CH2272)=9,ISERROR(FIND("-",LEFT(CH2272,8))),ISNUMBER(-LEFT(CH2272,8))),VALUE(LEFT(CH2272,4)),VALUE(LEFT(CH2272,FIND("-",CH2272)-1)))+2000,IF(AND(LEN(CH2272)=9,ISERROR(FIND("-",LEFT(CH2272,8))),ISNUMBER(-LEFT(CH2272,8))),VALUE(LEFT(CH2272,4)),VALUE(LEFT(CH2272,FIND("-",CH2272)-1)))),""))</f>
        <v/>
      </c>
      <c r="CN2272">
        <f>IF(CH2272="","",IFERROR(IF(AND(LEN(CH2272)=9,ISERROR(FIND("-",LEFT(CH2272,8))),ISNUMBER(-LEFT(CH2272,8))),VALUE(MID(CH2272,5,2)),VALUE(MID(CH2272,FIND("-",CH2272)+1,FIND("-",CH2272,FIND("-",CH2272)+1)-FIND("-",CH2272)-1))),""))</f>
        <v/>
      </c>
      <c r="CO2272">
        <f>IF(CH2272="","",IFERROR(IF(AND(LEN(CH2272)=9,ISERROR(FIND("-",LEFT(CH2272,8))),ISNUMBER(-LEFT(CH2272,8))),VALUE(MID(CH2272,7,2)),VALUE(MID(CH2272,FIND("-",CH2272,FIND("-",CH2272)+1)+1,FIND("-",CH2272,FIND("-",CH2272,FIND("-",CH2272)+1)+1)-FIND("-",CH2272,FIND("-",CH2272)+1)-1))),""))</f>
        <v/>
      </c>
    </row>
    <row r="2273">
      <c r="CH2273">
        <f>IF(ISTEXT('월 가계부'!A2273),SUBSTITUTE(SUBSTITUTE(SUBSTITUTE(SUBSTITUTE(SUBSTITUTE(SUBSTITUTE(SUBSTITUTE(SUBSTITUTE(SUBSTITUTE(TRIM('월 가계부'!A2273),"년","-"),"월","-"),"일",""),".","-"),"/","-")," ","-"),"--","-"),"--","-"),"--","-")&amp;"-","")</f>
        <v/>
      </c>
      <c r="CI2273">
        <f>IFERROR(IF('월 가계부'!A2273="","",IF(ISNUMBER('월 가계부'!A2273),IF(AND('월 가계부'!A2273&gt;=19000101,'월 가계부'!A2273&lt;=21001231),IF(AND(MOD(INT('월 가계부'!A2273/100),100)&gt;=1,MOD(INT('월 가계부'!A2273/100),100)&lt;=12,MOD(INT('월 가계부'!A2273),100)&gt;=1,MOD(INT('월 가계부'!A2273),100)&lt;=31),IF(MONTH(DATE(INT('월 가계부'!A2273/10000),MOD(INT('월 가계부'!A2273/100),100),MOD(INT('월 가계부'!A2273),100)))=MOD(INT('월 가계부'!A2273/100),100),DATE(INT('월 가계부'!A2273/10000),MOD(INT('월 가계부'!A2273/100),100),MOD(INT('월 가계부'!A2273),100)),""),""),IF(AND('월 가계부'!A2273&gt;=36526,'월 가계부'!A2273&lt;73051),INT('월 가계부'!A2273),"")),IF(OR(CM2273="",CN2273="",CO2273=""),"",IF(AND(CM2273&gt;=2000,CM2273&lt;=2099,CN2273&gt;=1,CN2273&lt;=12,CO2273&gt;=1,CO2273&lt;=31),IF(MONTH(DATE(CM2273,CN2273,CO2273))=CN2273,DATE(CM2273,CN2273,CO2273),""),"")))),"")</f>
        <v/>
      </c>
      <c r="CJ2273">
        <f>IFERROR(IF('월 가계부'!C2273="","",IF(ISNUMBER('월 가계부'!C2273),'월 가계부'!C2273,VALUE(SUBSTITUTE(SUBSTITUTE(SUBSTITUTE(SUBSTITUTE(TRIM('월 가계부'!C2273),",",""),"원","")," ",""),"−","-")))),"")</f>
        <v/>
      </c>
      <c r="CK2273">
        <f>IF(ISNUMBER(CI2273),IF(CI2273&lt;$B$13,CI2273,""),"")</f>
        <v/>
      </c>
      <c r="CM2273">
        <f>IF(CH2273="","",IFERROR(IF(IF(AND(LEN(CH2273)=9,ISERROR(FIND("-",LEFT(CH2273,8))),ISNUMBER(-LEFT(CH2273,8))),VALUE(LEFT(CH2273,4)),VALUE(LEFT(CH2273,FIND("-",CH2273)-1)))&lt;100,IF(AND(LEN(CH2273)=9,ISERROR(FIND("-",LEFT(CH2273,8))),ISNUMBER(-LEFT(CH2273,8))),VALUE(LEFT(CH2273,4)),VALUE(LEFT(CH2273,FIND("-",CH2273)-1)))+2000,IF(AND(LEN(CH2273)=9,ISERROR(FIND("-",LEFT(CH2273,8))),ISNUMBER(-LEFT(CH2273,8))),VALUE(LEFT(CH2273,4)),VALUE(LEFT(CH2273,FIND("-",CH2273)-1)))),""))</f>
        <v/>
      </c>
      <c r="CN2273">
        <f>IF(CH2273="","",IFERROR(IF(AND(LEN(CH2273)=9,ISERROR(FIND("-",LEFT(CH2273,8))),ISNUMBER(-LEFT(CH2273,8))),VALUE(MID(CH2273,5,2)),VALUE(MID(CH2273,FIND("-",CH2273)+1,FIND("-",CH2273,FIND("-",CH2273)+1)-FIND("-",CH2273)-1))),""))</f>
        <v/>
      </c>
      <c r="CO2273">
        <f>IF(CH2273="","",IFERROR(IF(AND(LEN(CH2273)=9,ISERROR(FIND("-",LEFT(CH2273,8))),ISNUMBER(-LEFT(CH2273,8))),VALUE(MID(CH2273,7,2)),VALUE(MID(CH2273,FIND("-",CH2273,FIND("-",CH2273)+1)+1,FIND("-",CH2273,FIND("-",CH2273,FIND("-",CH2273)+1)+1)-FIND("-",CH2273,FIND("-",CH2273)+1)-1))),""))</f>
        <v/>
      </c>
    </row>
    <row r="2274">
      <c r="CH2274">
        <f>IF(ISTEXT('월 가계부'!A2274),SUBSTITUTE(SUBSTITUTE(SUBSTITUTE(SUBSTITUTE(SUBSTITUTE(SUBSTITUTE(SUBSTITUTE(SUBSTITUTE(SUBSTITUTE(TRIM('월 가계부'!A2274),"년","-"),"월","-"),"일",""),".","-"),"/","-")," ","-"),"--","-"),"--","-"),"--","-")&amp;"-","")</f>
        <v/>
      </c>
      <c r="CI2274">
        <f>IFERROR(IF('월 가계부'!A2274="","",IF(ISNUMBER('월 가계부'!A2274),IF(AND('월 가계부'!A2274&gt;=19000101,'월 가계부'!A2274&lt;=21001231),IF(AND(MOD(INT('월 가계부'!A2274/100),100)&gt;=1,MOD(INT('월 가계부'!A2274/100),100)&lt;=12,MOD(INT('월 가계부'!A2274),100)&gt;=1,MOD(INT('월 가계부'!A2274),100)&lt;=31),IF(MONTH(DATE(INT('월 가계부'!A2274/10000),MOD(INT('월 가계부'!A2274/100),100),MOD(INT('월 가계부'!A2274),100)))=MOD(INT('월 가계부'!A2274/100),100),DATE(INT('월 가계부'!A2274/10000),MOD(INT('월 가계부'!A2274/100),100),MOD(INT('월 가계부'!A2274),100)),""),""),IF(AND('월 가계부'!A2274&gt;=36526,'월 가계부'!A2274&lt;73051),INT('월 가계부'!A2274),"")),IF(OR(CM2274="",CN2274="",CO2274=""),"",IF(AND(CM2274&gt;=2000,CM2274&lt;=2099,CN2274&gt;=1,CN2274&lt;=12,CO2274&gt;=1,CO2274&lt;=31),IF(MONTH(DATE(CM2274,CN2274,CO2274))=CN2274,DATE(CM2274,CN2274,CO2274),""),"")))),"")</f>
        <v/>
      </c>
      <c r="CJ2274">
        <f>IFERROR(IF('월 가계부'!C2274="","",IF(ISNUMBER('월 가계부'!C2274),'월 가계부'!C2274,VALUE(SUBSTITUTE(SUBSTITUTE(SUBSTITUTE(SUBSTITUTE(TRIM('월 가계부'!C2274),",",""),"원","")," ",""),"−","-")))),"")</f>
        <v/>
      </c>
      <c r="CK2274">
        <f>IF(ISNUMBER(CI2274),IF(CI2274&lt;$B$13,CI2274,""),"")</f>
        <v/>
      </c>
      <c r="CM2274">
        <f>IF(CH2274="","",IFERROR(IF(IF(AND(LEN(CH2274)=9,ISERROR(FIND("-",LEFT(CH2274,8))),ISNUMBER(-LEFT(CH2274,8))),VALUE(LEFT(CH2274,4)),VALUE(LEFT(CH2274,FIND("-",CH2274)-1)))&lt;100,IF(AND(LEN(CH2274)=9,ISERROR(FIND("-",LEFT(CH2274,8))),ISNUMBER(-LEFT(CH2274,8))),VALUE(LEFT(CH2274,4)),VALUE(LEFT(CH2274,FIND("-",CH2274)-1)))+2000,IF(AND(LEN(CH2274)=9,ISERROR(FIND("-",LEFT(CH2274,8))),ISNUMBER(-LEFT(CH2274,8))),VALUE(LEFT(CH2274,4)),VALUE(LEFT(CH2274,FIND("-",CH2274)-1)))),""))</f>
        <v/>
      </c>
      <c r="CN2274">
        <f>IF(CH2274="","",IFERROR(IF(AND(LEN(CH2274)=9,ISERROR(FIND("-",LEFT(CH2274,8))),ISNUMBER(-LEFT(CH2274,8))),VALUE(MID(CH2274,5,2)),VALUE(MID(CH2274,FIND("-",CH2274)+1,FIND("-",CH2274,FIND("-",CH2274)+1)-FIND("-",CH2274)-1))),""))</f>
        <v/>
      </c>
      <c r="CO2274">
        <f>IF(CH2274="","",IFERROR(IF(AND(LEN(CH2274)=9,ISERROR(FIND("-",LEFT(CH2274,8))),ISNUMBER(-LEFT(CH2274,8))),VALUE(MID(CH2274,7,2)),VALUE(MID(CH2274,FIND("-",CH2274,FIND("-",CH2274)+1)+1,FIND("-",CH2274,FIND("-",CH2274,FIND("-",CH2274)+1)+1)-FIND("-",CH2274,FIND("-",CH2274)+1)-1))),""))</f>
        <v/>
      </c>
    </row>
    <row r="2275">
      <c r="CH2275">
        <f>IF(ISTEXT('월 가계부'!A2275),SUBSTITUTE(SUBSTITUTE(SUBSTITUTE(SUBSTITUTE(SUBSTITUTE(SUBSTITUTE(SUBSTITUTE(SUBSTITUTE(SUBSTITUTE(TRIM('월 가계부'!A2275),"년","-"),"월","-"),"일",""),".","-"),"/","-")," ","-"),"--","-"),"--","-"),"--","-")&amp;"-","")</f>
        <v/>
      </c>
      <c r="CI2275">
        <f>IFERROR(IF('월 가계부'!A2275="","",IF(ISNUMBER('월 가계부'!A2275),IF(AND('월 가계부'!A2275&gt;=19000101,'월 가계부'!A2275&lt;=21001231),IF(AND(MOD(INT('월 가계부'!A2275/100),100)&gt;=1,MOD(INT('월 가계부'!A2275/100),100)&lt;=12,MOD(INT('월 가계부'!A2275),100)&gt;=1,MOD(INT('월 가계부'!A2275),100)&lt;=31),IF(MONTH(DATE(INT('월 가계부'!A2275/10000),MOD(INT('월 가계부'!A2275/100),100),MOD(INT('월 가계부'!A2275),100)))=MOD(INT('월 가계부'!A2275/100),100),DATE(INT('월 가계부'!A2275/10000),MOD(INT('월 가계부'!A2275/100),100),MOD(INT('월 가계부'!A2275),100)),""),""),IF(AND('월 가계부'!A2275&gt;=36526,'월 가계부'!A2275&lt;73051),INT('월 가계부'!A2275),"")),IF(OR(CM2275="",CN2275="",CO2275=""),"",IF(AND(CM2275&gt;=2000,CM2275&lt;=2099,CN2275&gt;=1,CN2275&lt;=12,CO2275&gt;=1,CO2275&lt;=31),IF(MONTH(DATE(CM2275,CN2275,CO2275))=CN2275,DATE(CM2275,CN2275,CO2275),""),"")))),"")</f>
        <v/>
      </c>
      <c r="CJ2275">
        <f>IFERROR(IF('월 가계부'!C2275="","",IF(ISNUMBER('월 가계부'!C2275),'월 가계부'!C2275,VALUE(SUBSTITUTE(SUBSTITUTE(SUBSTITUTE(SUBSTITUTE(TRIM('월 가계부'!C2275),",",""),"원","")," ",""),"−","-")))),"")</f>
        <v/>
      </c>
      <c r="CK2275">
        <f>IF(ISNUMBER(CI2275),IF(CI2275&lt;$B$13,CI2275,""),"")</f>
        <v/>
      </c>
      <c r="CM2275">
        <f>IF(CH2275="","",IFERROR(IF(IF(AND(LEN(CH2275)=9,ISERROR(FIND("-",LEFT(CH2275,8))),ISNUMBER(-LEFT(CH2275,8))),VALUE(LEFT(CH2275,4)),VALUE(LEFT(CH2275,FIND("-",CH2275)-1)))&lt;100,IF(AND(LEN(CH2275)=9,ISERROR(FIND("-",LEFT(CH2275,8))),ISNUMBER(-LEFT(CH2275,8))),VALUE(LEFT(CH2275,4)),VALUE(LEFT(CH2275,FIND("-",CH2275)-1)))+2000,IF(AND(LEN(CH2275)=9,ISERROR(FIND("-",LEFT(CH2275,8))),ISNUMBER(-LEFT(CH2275,8))),VALUE(LEFT(CH2275,4)),VALUE(LEFT(CH2275,FIND("-",CH2275)-1)))),""))</f>
        <v/>
      </c>
      <c r="CN2275">
        <f>IF(CH2275="","",IFERROR(IF(AND(LEN(CH2275)=9,ISERROR(FIND("-",LEFT(CH2275,8))),ISNUMBER(-LEFT(CH2275,8))),VALUE(MID(CH2275,5,2)),VALUE(MID(CH2275,FIND("-",CH2275)+1,FIND("-",CH2275,FIND("-",CH2275)+1)-FIND("-",CH2275)-1))),""))</f>
        <v/>
      </c>
      <c r="CO2275">
        <f>IF(CH2275="","",IFERROR(IF(AND(LEN(CH2275)=9,ISERROR(FIND("-",LEFT(CH2275,8))),ISNUMBER(-LEFT(CH2275,8))),VALUE(MID(CH2275,7,2)),VALUE(MID(CH2275,FIND("-",CH2275,FIND("-",CH2275)+1)+1,FIND("-",CH2275,FIND("-",CH2275,FIND("-",CH2275)+1)+1)-FIND("-",CH2275,FIND("-",CH2275)+1)-1))),""))</f>
        <v/>
      </c>
    </row>
    <row r="2276">
      <c r="CH2276">
        <f>IF(ISTEXT('월 가계부'!A2276),SUBSTITUTE(SUBSTITUTE(SUBSTITUTE(SUBSTITUTE(SUBSTITUTE(SUBSTITUTE(SUBSTITUTE(SUBSTITUTE(SUBSTITUTE(TRIM('월 가계부'!A2276),"년","-"),"월","-"),"일",""),".","-"),"/","-")," ","-"),"--","-"),"--","-"),"--","-")&amp;"-","")</f>
        <v/>
      </c>
      <c r="CI2276">
        <f>IFERROR(IF('월 가계부'!A2276="","",IF(ISNUMBER('월 가계부'!A2276),IF(AND('월 가계부'!A2276&gt;=19000101,'월 가계부'!A2276&lt;=21001231),IF(AND(MOD(INT('월 가계부'!A2276/100),100)&gt;=1,MOD(INT('월 가계부'!A2276/100),100)&lt;=12,MOD(INT('월 가계부'!A2276),100)&gt;=1,MOD(INT('월 가계부'!A2276),100)&lt;=31),IF(MONTH(DATE(INT('월 가계부'!A2276/10000),MOD(INT('월 가계부'!A2276/100),100),MOD(INT('월 가계부'!A2276),100)))=MOD(INT('월 가계부'!A2276/100),100),DATE(INT('월 가계부'!A2276/10000),MOD(INT('월 가계부'!A2276/100),100),MOD(INT('월 가계부'!A2276),100)),""),""),IF(AND('월 가계부'!A2276&gt;=36526,'월 가계부'!A2276&lt;73051),INT('월 가계부'!A2276),"")),IF(OR(CM2276="",CN2276="",CO2276=""),"",IF(AND(CM2276&gt;=2000,CM2276&lt;=2099,CN2276&gt;=1,CN2276&lt;=12,CO2276&gt;=1,CO2276&lt;=31),IF(MONTH(DATE(CM2276,CN2276,CO2276))=CN2276,DATE(CM2276,CN2276,CO2276),""),"")))),"")</f>
        <v/>
      </c>
      <c r="CJ2276">
        <f>IFERROR(IF('월 가계부'!C2276="","",IF(ISNUMBER('월 가계부'!C2276),'월 가계부'!C2276,VALUE(SUBSTITUTE(SUBSTITUTE(SUBSTITUTE(SUBSTITUTE(TRIM('월 가계부'!C2276),",",""),"원","")," ",""),"−","-")))),"")</f>
        <v/>
      </c>
      <c r="CK2276">
        <f>IF(ISNUMBER(CI2276),IF(CI2276&lt;$B$13,CI2276,""),"")</f>
        <v/>
      </c>
      <c r="CM2276">
        <f>IF(CH2276="","",IFERROR(IF(IF(AND(LEN(CH2276)=9,ISERROR(FIND("-",LEFT(CH2276,8))),ISNUMBER(-LEFT(CH2276,8))),VALUE(LEFT(CH2276,4)),VALUE(LEFT(CH2276,FIND("-",CH2276)-1)))&lt;100,IF(AND(LEN(CH2276)=9,ISERROR(FIND("-",LEFT(CH2276,8))),ISNUMBER(-LEFT(CH2276,8))),VALUE(LEFT(CH2276,4)),VALUE(LEFT(CH2276,FIND("-",CH2276)-1)))+2000,IF(AND(LEN(CH2276)=9,ISERROR(FIND("-",LEFT(CH2276,8))),ISNUMBER(-LEFT(CH2276,8))),VALUE(LEFT(CH2276,4)),VALUE(LEFT(CH2276,FIND("-",CH2276)-1)))),""))</f>
        <v/>
      </c>
      <c r="CN2276">
        <f>IF(CH2276="","",IFERROR(IF(AND(LEN(CH2276)=9,ISERROR(FIND("-",LEFT(CH2276,8))),ISNUMBER(-LEFT(CH2276,8))),VALUE(MID(CH2276,5,2)),VALUE(MID(CH2276,FIND("-",CH2276)+1,FIND("-",CH2276,FIND("-",CH2276)+1)-FIND("-",CH2276)-1))),""))</f>
        <v/>
      </c>
      <c r="CO2276">
        <f>IF(CH2276="","",IFERROR(IF(AND(LEN(CH2276)=9,ISERROR(FIND("-",LEFT(CH2276,8))),ISNUMBER(-LEFT(CH2276,8))),VALUE(MID(CH2276,7,2)),VALUE(MID(CH2276,FIND("-",CH2276,FIND("-",CH2276)+1)+1,FIND("-",CH2276,FIND("-",CH2276,FIND("-",CH2276)+1)+1)-FIND("-",CH2276,FIND("-",CH2276)+1)-1))),""))</f>
        <v/>
      </c>
    </row>
    <row r="2277">
      <c r="CH2277">
        <f>IF(ISTEXT('월 가계부'!A2277),SUBSTITUTE(SUBSTITUTE(SUBSTITUTE(SUBSTITUTE(SUBSTITUTE(SUBSTITUTE(SUBSTITUTE(SUBSTITUTE(SUBSTITUTE(TRIM('월 가계부'!A2277),"년","-"),"월","-"),"일",""),".","-"),"/","-")," ","-"),"--","-"),"--","-"),"--","-")&amp;"-","")</f>
        <v/>
      </c>
      <c r="CI2277">
        <f>IFERROR(IF('월 가계부'!A2277="","",IF(ISNUMBER('월 가계부'!A2277),IF(AND('월 가계부'!A2277&gt;=19000101,'월 가계부'!A2277&lt;=21001231),IF(AND(MOD(INT('월 가계부'!A2277/100),100)&gt;=1,MOD(INT('월 가계부'!A2277/100),100)&lt;=12,MOD(INT('월 가계부'!A2277),100)&gt;=1,MOD(INT('월 가계부'!A2277),100)&lt;=31),IF(MONTH(DATE(INT('월 가계부'!A2277/10000),MOD(INT('월 가계부'!A2277/100),100),MOD(INT('월 가계부'!A2277),100)))=MOD(INT('월 가계부'!A2277/100),100),DATE(INT('월 가계부'!A2277/10000),MOD(INT('월 가계부'!A2277/100),100),MOD(INT('월 가계부'!A2277),100)),""),""),IF(AND('월 가계부'!A2277&gt;=36526,'월 가계부'!A2277&lt;73051),INT('월 가계부'!A2277),"")),IF(OR(CM2277="",CN2277="",CO2277=""),"",IF(AND(CM2277&gt;=2000,CM2277&lt;=2099,CN2277&gt;=1,CN2277&lt;=12,CO2277&gt;=1,CO2277&lt;=31),IF(MONTH(DATE(CM2277,CN2277,CO2277))=CN2277,DATE(CM2277,CN2277,CO2277),""),"")))),"")</f>
        <v/>
      </c>
      <c r="CJ2277">
        <f>IFERROR(IF('월 가계부'!C2277="","",IF(ISNUMBER('월 가계부'!C2277),'월 가계부'!C2277,VALUE(SUBSTITUTE(SUBSTITUTE(SUBSTITUTE(SUBSTITUTE(TRIM('월 가계부'!C2277),",",""),"원","")," ",""),"−","-")))),"")</f>
        <v/>
      </c>
      <c r="CK2277">
        <f>IF(ISNUMBER(CI2277),IF(CI2277&lt;$B$13,CI2277,""),"")</f>
        <v/>
      </c>
      <c r="CM2277">
        <f>IF(CH2277="","",IFERROR(IF(IF(AND(LEN(CH2277)=9,ISERROR(FIND("-",LEFT(CH2277,8))),ISNUMBER(-LEFT(CH2277,8))),VALUE(LEFT(CH2277,4)),VALUE(LEFT(CH2277,FIND("-",CH2277)-1)))&lt;100,IF(AND(LEN(CH2277)=9,ISERROR(FIND("-",LEFT(CH2277,8))),ISNUMBER(-LEFT(CH2277,8))),VALUE(LEFT(CH2277,4)),VALUE(LEFT(CH2277,FIND("-",CH2277)-1)))+2000,IF(AND(LEN(CH2277)=9,ISERROR(FIND("-",LEFT(CH2277,8))),ISNUMBER(-LEFT(CH2277,8))),VALUE(LEFT(CH2277,4)),VALUE(LEFT(CH2277,FIND("-",CH2277)-1)))),""))</f>
        <v/>
      </c>
      <c r="CN2277">
        <f>IF(CH2277="","",IFERROR(IF(AND(LEN(CH2277)=9,ISERROR(FIND("-",LEFT(CH2277,8))),ISNUMBER(-LEFT(CH2277,8))),VALUE(MID(CH2277,5,2)),VALUE(MID(CH2277,FIND("-",CH2277)+1,FIND("-",CH2277,FIND("-",CH2277)+1)-FIND("-",CH2277)-1))),""))</f>
        <v/>
      </c>
      <c r="CO2277">
        <f>IF(CH2277="","",IFERROR(IF(AND(LEN(CH2277)=9,ISERROR(FIND("-",LEFT(CH2277,8))),ISNUMBER(-LEFT(CH2277,8))),VALUE(MID(CH2277,7,2)),VALUE(MID(CH2277,FIND("-",CH2277,FIND("-",CH2277)+1)+1,FIND("-",CH2277,FIND("-",CH2277,FIND("-",CH2277)+1)+1)-FIND("-",CH2277,FIND("-",CH2277)+1)-1))),""))</f>
        <v/>
      </c>
    </row>
    <row r="2278">
      <c r="CH2278">
        <f>IF(ISTEXT('월 가계부'!A2278),SUBSTITUTE(SUBSTITUTE(SUBSTITUTE(SUBSTITUTE(SUBSTITUTE(SUBSTITUTE(SUBSTITUTE(SUBSTITUTE(SUBSTITUTE(TRIM('월 가계부'!A2278),"년","-"),"월","-"),"일",""),".","-"),"/","-")," ","-"),"--","-"),"--","-"),"--","-")&amp;"-","")</f>
        <v/>
      </c>
      <c r="CI2278">
        <f>IFERROR(IF('월 가계부'!A2278="","",IF(ISNUMBER('월 가계부'!A2278),IF(AND('월 가계부'!A2278&gt;=19000101,'월 가계부'!A2278&lt;=21001231),IF(AND(MOD(INT('월 가계부'!A2278/100),100)&gt;=1,MOD(INT('월 가계부'!A2278/100),100)&lt;=12,MOD(INT('월 가계부'!A2278),100)&gt;=1,MOD(INT('월 가계부'!A2278),100)&lt;=31),IF(MONTH(DATE(INT('월 가계부'!A2278/10000),MOD(INT('월 가계부'!A2278/100),100),MOD(INT('월 가계부'!A2278),100)))=MOD(INT('월 가계부'!A2278/100),100),DATE(INT('월 가계부'!A2278/10000),MOD(INT('월 가계부'!A2278/100),100),MOD(INT('월 가계부'!A2278),100)),""),""),IF(AND('월 가계부'!A2278&gt;=36526,'월 가계부'!A2278&lt;73051),INT('월 가계부'!A2278),"")),IF(OR(CM2278="",CN2278="",CO2278=""),"",IF(AND(CM2278&gt;=2000,CM2278&lt;=2099,CN2278&gt;=1,CN2278&lt;=12,CO2278&gt;=1,CO2278&lt;=31),IF(MONTH(DATE(CM2278,CN2278,CO2278))=CN2278,DATE(CM2278,CN2278,CO2278),""),"")))),"")</f>
        <v/>
      </c>
      <c r="CJ2278">
        <f>IFERROR(IF('월 가계부'!C2278="","",IF(ISNUMBER('월 가계부'!C2278),'월 가계부'!C2278,VALUE(SUBSTITUTE(SUBSTITUTE(SUBSTITUTE(SUBSTITUTE(TRIM('월 가계부'!C2278),",",""),"원","")," ",""),"−","-")))),"")</f>
        <v/>
      </c>
      <c r="CK2278">
        <f>IF(ISNUMBER(CI2278),IF(CI2278&lt;$B$13,CI2278,""),"")</f>
        <v/>
      </c>
      <c r="CM2278">
        <f>IF(CH2278="","",IFERROR(IF(IF(AND(LEN(CH2278)=9,ISERROR(FIND("-",LEFT(CH2278,8))),ISNUMBER(-LEFT(CH2278,8))),VALUE(LEFT(CH2278,4)),VALUE(LEFT(CH2278,FIND("-",CH2278)-1)))&lt;100,IF(AND(LEN(CH2278)=9,ISERROR(FIND("-",LEFT(CH2278,8))),ISNUMBER(-LEFT(CH2278,8))),VALUE(LEFT(CH2278,4)),VALUE(LEFT(CH2278,FIND("-",CH2278)-1)))+2000,IF(AND(LEN(CH2278)=9,ISERROR(FIND("-",LEFT(CH2278,8))),ISNUMBER(-LEFT(CH2278,8))),VALUE(LEFT(CH2278,4)),VALUE(LEFT(CH2278,FIND("-",CH2278)-1)))),""))</f>
        <v/>
      </c>
      <c r="CN2278">
        <f>IF(CH2278="","",IFERROR(IF(AND(LEN(CH2278)=9,ISERROR(FIND("-",LEFT(CH2278,8))),ISNUMBER(-LEFT(CH2278,8))),VALUE(MID(CH2278,5,2)),VALUE(MID(CH2278,FIND("-",CH2278)+1,FIND("-",CH2278,FIND("-",CH2278)+1)-FIND("-",CH2278)-1))),""))</f>
        <v/>
      </c>
      <c r="CO2278">
        <f>IF(CH2278="","",IFERROR(IF(AND(LEN(CH2278)=9,ISERROR(FIND("-",LEFT(CH2278,8))),ISNUMBER(-LEFT(CH2278,8))),VALUE(MID(CH2278,7,2)),VALUE(MID(CH2278,FIND("-",CH2278,FIND("-",CH2278)+1)+1,FIND("-",CH2278,FIND("-",CH2278,FIND("-",CH2278)+1)+1)-FIND("-",CH2278,FIND("-",CH2278)+1)-1))),""))</f>
        <v/>
      </c>
    </row>
    <row r="2279">
      <c r="CH2279">
        <f>IF(ISTEXT('월 가계부'!A2279),SUBSTITUTE(SUBSTITUTE(SUBSTITUTE(SUBSTITUTE(SUBSTITUTE(SUBSTITUTE(SUBSTITUTE(SUBSTITUTE(SUBSTITUTE(TRIM('월 가계부'!A2279),"년","-"),"월","-"),"일",""),".","-"),"/","-")," ","-"),"--","-"),"--","-"),"--","-")&amp;"-","")</f>
        <v/>
      </c>
      <c r="CI2279">
        <f>IFERROR(IF('월 가계부'!A2279="","",IF(ISNUMBER('월 가계부'!A2279),IF(AND('월 가계부'!A2279&gt;=19000101,'월 가계부'!A2279&lt;=21001231),IF(AND(MOD(INT('월 가계부'!A2279/100),100)&gt;=1,MOD(INT('월 가계부'!A2279/100),100)&lt;=12,MOD(INT('월 가계부'!A2279),100)&gt;=1,MOD(INT('월 가계부'!A2279),100)&lt;=31),IF(MONTH(DATE(INT('월 가계부'!A2279/10000),MOD(INT('월 가계부'!A2279/100),100),MOD(INT('월 가계부'!A2279),100)))=MOD(INT('월 가계부'!A2279/100),100),DATE(INT('월 가계부'!A2279/10000),MOD(INT('월 가계부'!A2279/100),100),MOD(INT('월 가계부'!A2279),100)),""),""),IF(AND('월 가계부'!A2279&gt;=36526,'월 가계부'!A2279&lt;73051),INT('월 가계부'!A2279),"")),IF(OR(CM2279="",CN2279="",CO2279=""),"",IF(AND(CM2279&gt;=2000,CM2279&lt;=2099,CN2279&gt;=1,CN2279&lt;=12,CO2279&gt;=1,CO2279&lt;=31),IF(MONTH(DATE(CM2279,CN2279,CO2279))=CN2279,DATE(CM2279,CN2279,CO2279),""),"")))),"")</f>
        <v/>
      </c>
      <c r="CJ2279">
        <f>IFERROR(IF('월 가계부'!C2279="","",IF(ISNUMBER('월 가계부'!C2279),'월 가계부'!C2279,VALUE(SUBSTITUTE(SUBSTITUTE(SUBSTITUTE(SUBSTITUTE(TRIM('월 가계부'!C2279),",",""),"원","")," ",""),"−","-")))),"")</f>
        <v/>
      </c>
      <c r="CK2279">
        <f>IF(ISNUMBER(CI2279),IF(CI2279&lt;$B$13,CI2279,""),"")</f>
        <v/>
      </c>
      <c r="CM2279">
        <f>IF(CH2279="","",IFERROR(IF(IF(AND(LEN(CH2279)=9,ISERROR(FIND("-",LEFT(CH2279,8))),ISNUMBER(-LEFT(CH2279,8))),VALUE(LEFT(CH2279,4)),VALUE(LEFT(CH2279,FIND("-",CH2279)-1)))&lt;100,IF(AND(LEN(CH2279)=9,ISERROR(FIND("-",LEFT(CH2279,8))),ISNUMBER(-LEFT(CH2279,8))),VALUE(LEFT(CH2279,4)),VALUE(LEFT(CH2279,FIND("-",CH2279)-1)))+2000,IF(AND(LEN(CH2279)=9,ISERROR(FIND("-",LEFT(CH2279,8))),ISNUMBER(-LEFT(CH2279,8))),VALUE(LEFT(CH2279,4)),VALUE(LEFT(CH2279,FIND("-",CH2279)-1)))),""))</f>
        <v/>
      </c>
      <c r="CN2279">
        <f>IF(CH2279="","",IFERROR(IF(AND(LEN(CH2279)=9,ISERROR(FIND("-",LEFT(CH2279,8))),ISNUMBER(-LEFT(CH2279,8))),VALUE(MID(CH2279,5,2)),VALUE(MID(CH2279,FIND("-",CH2279)+1,FIND("-",CH2279,FIND("-",CH2279)+1)-FIND("-",CH2279)-1))),""))</f>
        <v/>
      </c>
      <c r="CO2279">
        <f>IF(CH2279="","",IFERROR(IF(AND(LEN(CH2279)=9,ISERROR(FIND("-",LEFT(CH2279,8))),ISNUMBER(-LEFT(CH2279,8))),VALUE(MID(CH2279,7,2)),VALUE(MID(CH2279,FIND("-",CH2279,FIND("-",CH2279)+1)+1,FIND("-",CH2279,FIND("-",CH2279,FIND("-",CH2279)+1)+1)-FIND("-",CH2279,FIND("-",CH2279)+1)-1))),""))</f>
        <v/>
      </c>
    </row>
    <row r="2280">
      <c r="CH2280">
        <f>IF(ISTEXT('월 가계부'!A2280),SUBSTITUTE(SUBSTITUTE(SUBSTITUTE(SUBSTITUTE(SUBSTITUTE(SUBSTITUTE(SUBSTITUTE(SUBSTITUTE(SUBSTITUTE(TRIM('월 가계부'!A2280),"년","-"),"월","-"),"일",""),".","-"),"/","-")," ","-"),"--","-"),"--","-"),"--","-")&amp;"-","")</f>
        <v/>
      </c>
      <c r="CI2280">
        <f>IFERROR(IF('월 가계부'!A2280="","",IF(ISNUMBER('월 가계부'!A2280),IF(AND('월 가계부'!A2280&gt;=19000101,'월 가계부'!A2280&lt;=21001231),IF(AND(MOD(INT('월 가계부'!A2280/100),100)&gt;=1,MOD(INT('월 가계부'!A2280/100),100)&lt;=12,MOD(INT('월 가계부'!A2280),100)&gt;=1,MOD(INT('월 가계부'!A2280),100)&lt;=31),IF(MONTH(DATE(INT('월 가계부'!A2280/10000),MOD(INT('월 가계부'!A2280/100),100),MOD(INT('월 가계부'!A2280),100)))=MOD(INT('월 가계부'!A2280/100),100),DATE(INT('월 가계부'!A2280/10000),MOD(INT('월 가계부'!A2280/100),100),MOD(INT('월 가계부'!A2280),100)),""),""),IF(AND('월 가계부'!A2280&gt;=36526,'월 가계부'!A2280&lt;73051),INT('월 가계부'!A2280),"")),IF(OR(CM2280="",CN2280="",CO2280=""),"",IF(AND(CM2280&gt;=2000,CM2280&lt;=2099,CN2280&gt;=1,CN2280&lt;=12,CO2280&gt;=1,CO2280&lt;=31),IF(MONTH(DATE(CM2280,CN2280,CO2280))=CN2280,DATE(CM2280,CN2280,CO2280),""),"")))),"")</f>
        <v/>
      </c>
      <c r="CJ2280">
        <f>IFERROR(IF('월 가계부'!C2280="","",IF(ISNUMBER('월 가계부'!C2280),'월 가계부'!C2280,VALUE(SUBSTITUTE(SUBSTITUTE(SUBSTITUTE(SUBSTITUTE(TRIM('월 가계부'!C2280),",",""),"원","")," ",""),"−","-")))),"")</f>
        <v/>
      </c>
      <c r="CK2280">
        <f>IF(ISNUMBER(CI2280),IF(CI2280&lt;$B$13,CI2280,""),"")</f>
        <v/>
      </c>
      <c r="CM2280">
        <f>IF(CH2280="","",IFERROR(IF(IF(AND(LEN(CH2280)=9,ISERROR(FIND("-",LEFT(CH2280,8))),ISNUMBER(-LEFT(CH2280,8))),VALUE(LEFT(CH2280,4)),VALUE(LEFT(CH2280,FIND("-",CH2280)-1)))&lt;100,IF(AND(LEN(CH2280)=9,ISERROR(FIND("-",LEFT(CH2280,8))),ISNUMBER(-LEFT(CH2280,8))),VALUE(LEFT(CH2280,4)),VALUE(LEFT(CH2280,FIND("-",CH2280)-1)))+2000,IF(AND(LEN(CH2280)=9,ISERROR(FIND("-",LEFT(CH2280,8))),ISNUMBER(-LEFT(CH2280,8))),VALUE(LEFT(CH2280,4)),VALUE(LEFT(CH2280,FIND("-",CH2280)-1)))),""))</f>
        <v/>
      </c>
      <c r="CN2280">
        <f>IF(CH2280="","",IFERROR(IF(AND(LEN(CH2280)=9,ISERROR(FIND("-",LEFT(CH2280,8))),ISNUMBER(-LEFT(CH2280,8))),VALUE(MID(CH2280,5,2)),VALUE(MID(CH2280,FIND("-",CH2280)+1,FIND("-",CH2280,FIND("-",CH2280)+1)-FIND("-",CH2280)-1))),""))</f>
        <v/>
      </c>
      <c r="CO2280">
        <f>IF(CH2280="","",IFERROR(IF(AND(LEN(CH2280)=9,ISERROR(FIND("-",LEFT(CH2280,8))),ISNUMBER(-LEFT(CH2280,8))),VALUE(MID(CH2280,7,2)),VALUE(MID(CH2280,FIND("-",CH2280,FIND("-",CH2280)+1)+1,FIND("-",CH2280,FIND("-",CH2280,FIND("-",CH2280)+1)+1)-FIND("-",CH2280,FIND("-",CH2280)+1)-1))),""))</f>
        <v/>
      </c>
    </row>
    <row r="2281">
      <c r="CH2281">
        <f>IF(ISTEXT('월 가계부'!A2281),SUBSTITUTE(SUBSTITUTE(SUBSTITUTE(SUBSTITUTE(SUBSTITUTE(SUBSTITUTE(SUBSTITUTE(SUBSTITUTE(SUBSTITUTE(TRIM('월 가계부'!A2281),"년","-"),"월","-"),"일",""),".","-"),"/","-")," ","-"),"--","-"),"--","-"),"--","-")&amp;"-","")</f>
        <v/>
      </c>
      <c r="CI2281">
        <f>IFERROR(IF('월 가계부'!A2281="","",IF(ISNUMBER('월 가계부'!A2281),IF(AND('월 가계부'!A2281&gt;=19000101,'월 가계부'!A2281&lt;=21001231),IF(AND(MOD(INT('월 가계부'!A2281/100),100)&gt;=1,MOD(INT('월 가계부'!A2281/100),100)&lt;=12,MOD(INT('월 가계부'!A2281),100)&gt;=1,MOD(INT('월 가계부'!A2281),100)&lt;=31),IF(MONTH(DATE(INT('월 가계부'!A2281/10000),MOD(INT('월 가계부'!A2281/100),100),MOD(INT('월 가계부'!A2281),100)))=MOD(INT('월 가계부'!A2281/100),100),DATE(INT('월 가계부'!A2281/10000),MOD(INT('월 가계부'!A2281/100),100),MOD(INT('월 가계부'!A2281),100)),""),""),IF(AND('월 가계부'!A2281&gt;=36526,'월 가계부'!A2281&lt;73051),INT('월 가계부'!A2281),"")),IF(OR(CM2281="",CN2281="",CO2281=""),"",IF(AND(CM2281&gt;=2000,CM2281&lt;=2099,CN2281&gt;=1,CN2281&lt;=12,CO2281&gt;=1,CO2281&lt;=31),IF(MONTH(DATE(CM2281,CN2281,CO2281))=CN2281,DATE(CM2281,CN2281,CO2281),""),"")))),"")</f>
        <v/>
      </c>
      <c r="CJ2281">
        <f>IFERROR(IF('월 가계부'!C2281="","",IF(ISNUMBER('월 가계부'!C2281),'월 가계부'!C2281,VALUE(SUBSTITUTE(SUBSTITUTE(SUBSTITUTE(SUBSTITUTE(TRIM('월 가계부'!C2281),",",""),"원","")," ",""),"−","-")))),"")</f>
        <v/>
      </c>
      <c r="CK2281">
        <f>IF(ISNUMBER(CI2281),IF(CI2281&lt;$B$13,CI2281,""),"")</f>
        <v/>
      </c>
      <c r="CM2281">
        <f>IF(CH2281="","",IFERROR(IF(IF(AND(LEN(CH2281)=9,ISERROR(FIND("-",LEFT(CH2281,8))),ISNUMBER(-LEFT(CH2281,8))),VALUE(LEFT(CH2281,4)),VALUE(LEFT(CH2281,FIND("-",CH2281)-1)))&lt;100,IF(AND(LEN(CH2281)=9,ISERROR(FIND("-",LEFT(CH2281,8))),ISNUMBER(-LEFT(CH2281,8))),VALUE(LEFT(CH2281,4)),VALUE(LEFT(CH2281,FIND("-",CH2281)-1)))+2000,IF(AND(LEN(CH2281)=9,ISERROR(FIND("-",LEFT(CH2281,8))),ISNUMBER(-LEFT(CH2281,8))),VALUE(LEFT(CH2281,4)),VALUE(LEFT(CH2281,FIND("-",CH2281)-1)))),""))</f>
        <v/>
      </c>
      <c r="CN2281">
        <f>IF(CH2281="","",IFERROR(IF(AND(LEN(CH2281)=9,ISERROR(FIND("-",LEFT(CH2281,8))),ISNUMBER(-LEFT(CH2281,8))),VALUE(MID(CH2281,5,2)),VALUE(MID(CH2281,FIND("-",CH2281)+1,FIND("-",CH2281,FIND("-",CH2281)+1)-FIND("-",CH2281)-1))),""))</f>
        <v/>
      </c>
      <c r="CO2281">
        <f>IF(CH2281="","",IFERROR(IF(AND(LEN(CH2281)=9,ISERROR(FIND("-",LEFT(CH2281,8))),ISNUMBER(-LEFT(CH2281,8))),VALUE(MID(CH2281,7,2)),VALUE(MID(CH2281,FIND("-",CH2281,FIND("-",CH2281)+1)+1,FIND("-",CH2281,FIND("-",CH2281,FIND("-",CH2281)+1)+1)-FIND("-",CH2281,FIND("-",CH2281)+1)-1))),""))</f>
        <v/>
      </c>
    </row>
    <row r="2282">
      <c r="CH2282">
        <f>IF(ISTEXT('월 가계부'!A2282),SUBSTITUTE(SUBSTITUTE(SUBSTITUTE(SUBSTITUTE(SUBSTITUTE(SUBSTITUTE(SUBSTITUTE(SUBSTITUTE(SUBSTITUTE(TRIM('월 가계부'!A2282),"년","-"),"월","-"),"일",""),".","-"),"/","-")," ","-"),"--","-"),"--","-"),"--","-")&amp;"-","")</f>
        <v/>
      </c>
      <c r="CI2282">
        <f>IFERROR(IF('월 가계부'!A2282="","",IF(ISNUMBER('월 가계부'!A2282),IF(AND('월 가계부'!A2282&gt;=19000101,'월 가계부'!A2282&lt;=21001231),IF(AND(MOD(INT('월 가계부'!A2282/100),100)&gt;=1,MOD(INT('월 가계부'!A2282/100),100)&lt;=12,MOD(INT('월 가계부'!A2282),100)&gt;=1,MOD(INT('월 가계부'!A2282),100)&lt;=31),IF(MONTH(DATE(INT('월 가계부'!A2282/10000),MOD(INT('월 가계부'!A2282/100),100),MOD(INT('월 가계부'!A2282),100)))=MOD(INT('월 가계부'!A2282/100),100),DATE(INT('월 가계부'!A2282/10000),MOD(INT('월 가계부'!A2282/100),100),MOD(INT('월 가계부'!A2282),100)),""),""),IF(AND('월 가계부'!A2282&gt;=36526,'월 가계부'!A2282&lt;73051),INT('월 가계부'!A2282),"")),IF(OR(CM2282="",CN2282="",CO2282=""),"",IF(AND(CM2282&gt;=2000,CM2282&lt;=2099,CN2282&gt;=1,CN2282&lt;=12,CO2282&gt;=1,CO2282&lt;=31),IF(MONTH(DATE(CM2282,CN2282,CO2282))=CN2282,DATE(CM2282,CN2282,CO2282),""),"")))),"")</f>
        <v/>
      </c>
      <c r="CJ2282">
        <f>IFERROR(IF('월 가계부'!C2282="","",IF(ISNUMBER('월 가계부'!C2282),'월 가계부'!C2282,VALUE(SUBSTITUTE(SUBSTITUTE(SUBSTITUTE(SUBSTITUTE(TRIM('월 가계부'!C2282),",",""),"원","")," ",""),"−","-")))),"")</f>
        <v/>
      </c>
      <c r="CK2282">
        <f>IF(ISNUMBER(CI2282),IF(CI2282&lt;$B$13,CI2282,""),"")</f>
        <v/>
      </c>
      <c r="CM2282">
        <f>IF(CH2282="","",IFERROR(IF(IF(AND(LEN(CH2282)=9,ISERROR(FIND("-",LEFT(CH2282,8))),ISNUMBER(-LEFT(CH2282,8))),VALUE(LEFT(CH2282,4)),VALUE(LEFT(CH2282,FIND("-",CH2282)-1)))&lt;100,IF(AND(LEN(CH2282)=9,ISERROR(FIND("-",LEFT(CH2282,8))),ISNUMBER(-LEFT(CH2282,8))),VALUE(LEFT(CH2282,4)),VALUE(LEFT(CH2282,FIND("-",CH2282)-1)))+2000,IF(AND(LEN(CH2282)=9,ISERROR(FIND("-",LEFT(CH2282,8))),ISNUMBER(-LEFT(CH2282,8))),VALUE(LEFT(CH2282,4)),VALUE(LEFT(CH2282,FIND("-",CH2282)-1)))),""))</f>
        <v/>
      </c>
      <c r="CN2282">
        <f>IF(CH2282="","",IFERROR(IF(AND(LEN(CH2282)=9,ISERROR(FIND("-",LEFT(CH2282,8))),ISNUMBER(-LEFT(CH2282,8))),VALUE(MID(CH2282,5,2)),VALUE(MID(CH2282,FIND("-",CH2282)+1,FIND("-",CH2282,FIND("-",CH2282)+1)-FIND("-",CH2282)-1))),""))</f>
        <v/>
      </c>
      <c r="CO2282">
        <f>IF(CH2282="","",IFERROR(IF(AND(LEN(CH2282)=9,ISERROR(FIND("-",LEFT(CH2282,8))),ISNUMBER(-LEFT(CH2282,8))),VALUE(MID(CH2282,7,2)),VALUE(MID(CH2282,FIND("-",CH2282,FIND("-",CH2282)+1)+1,FIND("-",CH2282,FIND("-",CH2282,FIND("-",CH2282)+1)+1)-FIND("-",CH2282,FIND("-",CH2282)+1)-1))),""))</f>
        <v/>
      </c>
    </row>
    <row r="2283">
      <c r="CH2283">
        <f>IF(ISTEXT('월 가계부'!A2283),SUBSTITUTE(SUBSTITUTE(SUBSTITUTE(SUBSTITUTE(SUBSTITUTE(SUBSTITUTE(SUBSTITUTE(SUBSTITUTE(SUBSTITUTE(TRIM('월 가계부'!A2283),"년","-"),"월","-"),"일",""),".","-"),"/","-")," ","-"),"--","-"),"--","-"),"--","-")&amp;"-","")</f>
        <v/>
      </c>
      <c r="CI2283">
        <f>IFERROR(IF('월 가계부'!A2283="","",IF(ISNUMBER('월 가계부'!A2283),IF(AND('월 가계부'!A2283&gt;=19000101,'월 가계부'!A2283&lt;=21001231),IF(AND(MOD(INT('월 가계부'!A2283/100),100)&gt;=1,MOD(INT('월 가계부'!A2283/100),100)&lt;=12,MOD(INT('월 가계부'!A2283),100)&gt;=1,MOD(INT('월 가계부'!A2283),100)&lt;=31),IF(MONTH(DATE(INT('월 가계부'!A2283/10000),MOD(INT('월 가계부'!A2283/100),100),MOD(INT('월 가계부'!A2283),100)))=MOD(INT('월 가계부'!A2283/100),100),DATE(INT('월 가계부'!A2283/10000),MOD(INT('월 가계부'!A2283/100),100),MOD(INT('월 가계부'!A2283),100)),""),""),IF(AND('월 가계부'!A2283&gt;=36526,'월 가계부'!A2283&lt;73051),INT('월 가계부'!A2283),"")),IF(OR(CM2283="",CN2283="",CO2283=""),"",IF(AND(CM2283&gt;=2000,CM2283&lt;=2099,CN2283&gt;=1,CN2283&lt;=12,CO2283&gt;=1,CO2283&lt;=31),IF(MONTH(DATE(CM2283,CN2283,CO2283))=CN2283,DATE(CM2283,CN2283,CO2283),""),"")))),"")</f>
        <v/>
      </c>
      <c r="CJ2283">
        <f>IFERROR(IF('월 가계부'!C2283="","",IF(ISNUMBER('월 가계부'!C2283),'월 가계부'!C2283,VALUE(SUBSTITUTE(SUBSTITUTE(SUBSTITUTE(SUBSTITUTE(TRIM('월 가계부'!C2283),",",""),"원","")," ",""),"−","-")))),"")</f>
        <v/>
      </c>
      <c r="CK2283">
        <f>IF(ISNUMBER(CI2283),IF(CI2283&lt;$B$13,CI2283,""),"")</f>
        <v/>
      </c>
      <c r="CM2283">
        <f>IF(CH2283="","",IFERROR(IF(IF(AND(LEN(CH2283)=9,ISERROR(FIND("-",LEFT(CH2283,8))),ISNUMBER(-LEFT(CH2283,8))),VALUE(LEFT(CH2283,4)),VALUE(LEFT(CH2283,FIND("-",CH2283)-1)))&lt;100,IF(AND(LEN(CH2283)=9,ISERROR(FIND("-",LEFT(CH2283,8))),ISNUMBER(-LEFT(CH2283,8))),VALUE(LEFT(CH2283,4)),VALUE(LEFT(CH2283,FIND("-",CH2283)-1)))+2000,IF(AND(LEN(CH2283)=9,ISERROR(FIND("-",LEFT(CH2283,8))),ISNUMBER(-LEFT(CH2283,8))),VALUE(LEFT(CH2283,4)),VALUE(LEFT(CH2283,FIND("-",CH2283)-1)))),""))</f>
        <v/>
      </c>
      <c r="CN2283">
        <f>IF(CH2283="","",IFERROR(IF(AND(LEN(CH2283)=9,ISERROR(FIND("-",LEFT(CH2283,8))),ISNUMBER(-LEFT(CH2283,8))),VALUE(MID(CH2283,5,2)),VALUE(MID(CH2283,FIND("-",CH2283)+1,FIND("-",CH2283,FIND("-",CH2283)+1)-FIND("-",CH2283)-1))),""))</f>
        <v/>
      </c>
      <c r="CO2283">
        <f>IF(CH2283="","",IFERROR(IF(AND(LEN(CH2283)=9,ISERROR(FIND("-",LEFT(CH2283,8))),ISNUMBER(-LEFT(CH2283,8))),VALUE(MID(CH2283,7,2)),VALUE(MID(CH2283,FIND("-",CH2283,FIND("-",CH2283)+1)+1,FIND("-",CH2283,FIND("-",CH2283,FIND("-",CH2283)+1)+1)-FIND("-",CH2283,FIND("-",CH2283)+1)-1))),""))</f>
        <v/>
      </c>
    </row>
    <row r="2284">
      <c r="CH2284">
        <f>IF(ISTEXT('월 가계부'!A2284),SUBSTITUTE(SUBSTITUTE(SUBSTITUTE(SUBSTITUTE(SUBSTITUTE(SUBSTITUTE(SUBSTITUTE(SUBSTITUTE(SUBSTITUTE(TRIM('월 가계부'!A2284),"년","-"),"월","-"),"일",""),".","-"),"/","-")," ","-"),"--","-"),"--","-"),"--","-")&amp;"-","")</f>
        <v/>
      </c>
      <c r="CI2284">
        <f>IFERROR(IF('월 가계부'!A2284="","",IF(ISNUMBER('월 가계부'!A2284),IF(AND('월 가계부'!A2284&gt;=19000101,'월 가계부'!A2284&lt;=21001231),IF(AND(MOD(INT('월 가계부'!A2284/100),100)&gt;=1,MOD(INT('월 가계부'!A2284/100),100)&lt;=12,MOD(INT('월 가계부'!A2284),100)&gt;=1,MOD(INT('월 가계부'!A2284),100)&lt;=31),IF(MONTH(DATE(INT('월 가계부'!A2284/10000),MOD(INT('월 가계부'!A2284/100),100),MOD(INT('월 가계부'!A2284),100)))=MOD(INT('월 가계부'!A2284/100),100),DATE(INT('월 가계부'!A2284/10000),MOD(INT('월 가계부'!A2284/100),100),MOD(INT('월 가계부'!A2284),100)),""),""),IF(AND('월 가계부'!A2284&gt;=36526,'월 가계부'!A2284&lt;73051),INT('월 가계부'!A2284),"")),IF(OR(CM2284="",CN2284="",CO2284=""),"",IF(AND(CM2284&gt;=2000,CM2284&lt;=2099,CN2284&gt;=1,CN2284&lt;=12,CO2284&gt;=1,CO2284&lt;=31),IF(MONTH(DATE(CM2284,CN2284,CO2284))=CN2284,DATE(CM2284,CN2284,CO2284),""),"")))),"")</f>
        <v/>
      </c>
      <c r="CJ2284">
        <f>IFERROR(IF('월 가계부'!C2284="","",IF(ISNUMBER('월 가계부'!C2284),'월 가계부'!C2284,VALUE(SUBSTITUTE(SUBSTITUTE(SUBSTITUTE(SUBSTITUTE(TRIM('월 가계부'!C2284),",",""),"원","")," ",""),"−","-")))),"")</f>
        <v/>
      </c>
      <c r="CK2284">
        <f>IF(ISNUMBER(CI2284),IF(CI2284&lt;$B$13,CI2284,""),"")</f>
        <v/>
      </c>
      <c r="CM2284">
        <f>IF(CH2284="","",IFERROR(IF(IF(AND(LEN(CH2284)=9,ISERROR(FIND("-",LEFT(CH2284,8))),ISNUMBER(-LEFT(CH2284,8))),VALUE(LEFT(CH2284,4)),VALUE(LEFT(CH2284,FIND("-",CH2284)-1)))&lt;100,IF(AND(LEN(CH2284)=9,ISERROR(FIND("-",LEFT(CH2284,8))),ISNUMBER(-LEFT(CH2284,8))),VALUE(LEFT(CH2284,4)),VALUE(LEFT(CH2284,FIND("-",CH2284)-1)))+2000,IF(AND(LEN(CH2284)=9,ISERROR(FIND("-",LEFT(CH2284,8))),ISNUMBER(-LEFT(CH2284,8))),VALUE(LEFT(CH2284,4)),VALUE(LEFT(CH2284,FIND("-",CH2284)-1)))),""))</f>
        <v/>
      </c>
      <c r="CN2284">
        <f>IF(CH2284="","",IFERROR(IF(AND(LEN(CH2284)=9,ISERROR(FIND("-",LEFT(CH2284,8))),ISNUMBER(-LEFT(CH2284,8))),VALUE(MID(CH2284,5,2)),VALUE(MID(CH2284,FIND("-",CH2284)+1,FIND("-",CH2284,FIND("-",CH2284)+1)-FIND("-",CH2284)-1))),""))</f>
        <v/>
      </c>
      <c r="CO2284">
        <f>IF(CH2284="","",IFERROR(IF(AND(LEN(CH2284)=9,ISERROR(FIND("-",LEFT(CH2284,8))),ISNUMBER(-LEFT(CH2284,8))),VALUE(MID(CH2284,7,2)),VALUE(MID(CH2284,FIND("-",CH2284,FIND("-",CH2284)+1)+1,FIND("-",CH2284,FIND("-",CH2284,FIND("-",CH2284)+1)+1)-FIND("-",CH2284,FIND("-",CH2284)+1)-1))),""))</f>
        <v/>
      </c>
    </row>
    <row r="2285">
      <c r="CH2285">
        <f>IF(ISTEXT('월 가계부'!A2285),SUBSTITUTE(SUBSTITUTE(SUBSTITUTE(SUBSTITUTE(SUBSTITUTE(SUBSTITUTE(SUBSTITUTE(SUBSTITUTE(SUBSTITUTE(TRIM('월 가계부'!A2285),"년","-"),"월","-"),"일",""),".","-"),"/","-")," ","-"),"--","-"),"--","-"),"--","-")&amp;"-","")</f>
        <v/>
      </c>
      <c r="CI2285">
        <f>IFERROR(IF('월 가계부'!A2285="","",IF(ISNUMBER('월 가계부'!A2285),IF(AND('월 가계부'!A2285&gt;=19000101,'월 가계부'!A2285&lt;=21001231),IF(AND(MOD(INT('월 가계부'!A2285/100),100)&gt;=1,MOD(INT('월 가계부'!A2285/100),100)&lt;=12,MOD(INT('월 가계부'!A2285),100)&gt;=1,MOD(INT('월 가계부'!A2285),100)&lt;=31),IF(MONTH(DATE(INT('월 가계부'!A2285/10000),MOD(INT('월 가계부'!A2285/100),100),MOD(INT('월 가계부'!A2285),100)))=MOD(INT('월 가계부'!A2285/100),100),DATE(INT('월 가계부'!A2285/10000),MOD(INT('월 가계부'!A2285/100),100),MOD(INT('월 가계부'!A2285),100)),""),""),IF(AND('월 가계부'!A2285&gt;=36526,'월 가계부'!A2285&lt;73051),INT('월 가계부'!A2285),"")),IF(OR(CM2285="",CN2285="",CO2285=""),"",IF(AND(CM2285&gt;=2000,CM2285&lt;=2099,CN2285&gt;=1,CN2285&lt;=12,CO2285&gt;=1,CO2285&lt;=31),IF(MONTH(DATE(CM2285,CN2285,CO2285))=CN2285,DATE(CM2285,CN2285,CO2285),""),"")))),"")</f>
        <v/>
      </c>
      <c r="CJ2285">
        <f>IFERROR(IF('월 가계부'!C2285="","",IF(ISNUMBER('월 가계부'!C2285),'월 가계부'!C2285,VALUE(SUBSTITUTE(SUBSTITUTE(SUBSTITUTE(SUBSTITUTE(TRIM('월 가계부'!C2285),",",""),"원","")," ",""),"−","-")))),"")</f>
        <v/>
      </c>
      <c r="CK2285">
        <f>IF(ISNUMBER(CI2285),IF(CI2285&lt;$B$13,CI2285,""),"")</f>
        <v/>
      </c>
      <c r="CM2285">
        <f>IF(CH2285="","",IFERROR(IF(IF(AND(LEN(CH2285)=9,ISERROR(FIND("-",LEFT(CH2285,8))),ISNUMBER(-LEFT(CH2285,8))),VALUE(LEFT(CH2285,4)),VALUE(LEFT(CH2285,FIND("-",CH2285)-1)))&lt;100,IF(AND(LEN(CH2285)=9,ISERROR(FIND("-",LEFT(CH2285,8))),ISNUMBER(-LEFT(CH2285,8))),VALUE(LEFT(CH2285,4)),VALUE(LEFT(CH2285,FIND("-",CH2285)-1)))+2000,IF(AND(LEN(CH2285)=9,ISERROR(FIND("-",LEFT(CH2285,8))),ISNUMBER(-LEFT(CH2285,8))),VALUE(LEFT(CH2285,4)),VALUE(LEFT(CH2285,FIND("-",CH2285)-1)))),""))</f>
        <v/>
      </c>
      <c r="CN2285">
        <f>IF(CH2285="","",IFERROR(IF(AND(LEN(CH2285)=9,ISERROR(FIND("-",LEFT(CH2285,8))),ISNUMBER(-LEFT(CH2285,8))),VALUE(MID(CH2285,5,2)),VALUE(MID(CH2285,FIND("-",CH2285)+1,FIND("-",CH2285,FIND("-",CH2285)+1)-FIND("-",CH2285)-1))),""))</f>
        <v/>
      </c>
      <c r="CO2285">
        <f>IF(CH2285="","",IFERROR(IF(AND(LEN(CH2285)=9,ISERROR(FIND("-",LEFT(CH2285,8))),ISNUMBER(-LEFT(CH2285,8))),VALUE(MID(CH2285,7,2)),VALUE(MID(CH2285,FIND("-",CH2285,FIND("-",CH2285)+1)+1,FIND("-",CH2285,FIND("-",CH2285,FIND("-",CH2285)+1)+1)-FIND("-",CH2285,FIND("-",CH2285)+1)-1))),""))</f>
        <v/>
      </c>
    </row>
    <row r="2286">
      <c r="CH2286">
        <f>IF(ISTEXT('월 가계부'!A2286),SUBSTITUTE(SUBSTITUTE(SUBSTITUTE(SUBSTITUTE(SUBSTITUTE(SUBSTITUTE(SUBSTITUTE(SUBSTITUTE(SUBSTITUTE(TRIM('월 가계부'!A2286),"년","-"),"월","-"),"일",""),".","-"),"/","-")," ","-"),"--","-"),"--","-"),"--","-")&amp;"-","")</f>
        <v/>
      </c>
      <c r="CI2286">
        <f>IFERROR(IF('월 가계부'!A2286="","",IF(ISNUMBER('월 가계부'!A2286),IF(AND('월 가계부'!A2286&gt;=19000101,'월 가계부'!A2286&lt;=21001231),IF(AND(MOD(INT('월 가계부'!A2286/100),100)&gt;=1,MOD(INT('월 가계부'!A2286/100),100)&lt;=12,MOD(INT('월 가계부'!A2286),100)&gt;=1,MOD(INT('월 가계부'!A2286),100)&lt;=31),IF(MONTH(DATE(INT('월 가계부'!A2286/10000),MOD(INT('월 가계부'!A2286/100),100),MOD(INT('월 가계부'!A2286),100)))=MOD(INT('월 가계부'!A2286/100),100),DATE(INT('월 가계부'!A2286/10000),MOD(INT('월 가계부'!A2286/100),100),MOD(INT('월 가계부'!A2286),100)),""),""),IF(AND('월 가계부'!A2286&gt;=36526,'월 가계부'!A2286&lt;73051),INT('월 가계부'!A2286),"")),IF(OR(CM2286="",CN2286="",CO2286=""),"",IF(AND(CM2286&gt;=2000,CM2286&lt;=2099,CN2286&gt;=1,CN2286&lt;=12,CO2286&gt;=1,CO2286&lt;=31),IF(MONTH(DATE(CM2286,CN2286,CO2286))=CN2286,DATE(CM2286,CN2286,CO2286),""),"")))),"")</f>
        <v/>
      </c>
      <c r="CJ2286">
        <f>IFERROR(IF('월 가계부'!C2286="","",IF(ISNUMBER('월 가계부'!C2286),'월 가계부'!C2286,VALUE(SUBSTITUTE(SUBSTITUTE(SUBSTITUTE(SUBSTITUTE(TRIM('월 가계부'!C2286),",",""),"원","")," ",""),"−","-")))),"")</f>
        <v/>
      </c>
      <c r="CK2286">
        <f>IF(ISNUMBER(CI2286),IF(CI2286&lt;$B$13,CI2286,""),"")</f>
        <v/>
      </c>
      <c r="CM2286">
        <f>IF(CH2286="","",IFERROR(IF(IF(AND(LEN(CH2286)=9,ISERROR(FIND("-",LEFT(CH2286,8))),ISNUMBER(-LEFT(CH2286,8))),VALUE(LEFT(CH2286,4)),VALUE(LEFT(CH2286,FIND("-",CH2286)-1)))&lt;100,IF(AND(LEN(CH2286)=9,ISERROR(FIND("-",LEFT(CH2286,8))),ISNUMBER(-LEFT(CH2286,8))),VALUE(LEFT(CH2286,4)),VALUE(LEFT(CH2286,FIND("-",CH2286)-1)))+2000,IF(AND(LEN(CH2286)=9,ISERROR(FIND("-",LEFT(CH2286,8))),ISNUMBER(-LEFT(CH2286,8))),VALUE(LEFT(CH2286,4)),VALUE(LEFT(CH2286,FIND("-",CH2286)-1)))),""))</f>
        <v/>
      </c>
      <c r="CN2286">
        <f>IF(CH2286="","",IFERROR(IF(AND(LEN(CH2286)=9,ISERROR(FIND("-",LEFT(CH2286,8))),ISNUMBER(-LEFT(CH2286,8))),VALUE(MID(CH2286,5,2)),VALUE(MID(CH2286,FIND("-",CH2286)+1,FIND("-",CH2286,FIND("-",CH2286)+1)-FIND("-",CH2286)-1))),""))</f>
        <v/>
      </c>
      <c r="CO2286">
        <f>IF(CH2286="","",IFERROR(IF(AND(LEN(CH2286)=9,ISERROR(FIND("-",LEFT(CH2286,8))),ISNUMBER(-LEFT(CH2286,8))),VALUE(MID(CH2286,7,2)),VALUE(MID(CH2286,FIND("-",CH2286,FIND("-",CH2286)+1)+1,FIND("-",CH2286,FIND("-",CH2286,FIND("-",CH2286)+1)+1)-FIND("-",CH2286,FIND("-",CH2286)+1)-1))),""))</f>
        <v/>
      </c>
    </row>
    <row r="2287">
      <c r="CH2287">
        <f>IF(ISTEXT('월 가계부'!A2287),SUBSTITUTE(SUBSTITUTE(SUBSTITUTE(SUBSTITUTE(SUBSTITUTE(SUBSTITUTE(SUBSTITUTE(SUBSTITUTE(SUBSTITUTE(TRIM('월 가계부'!A2287),"년","-"),"월","-"),"일",""),".","-"),"/","-")," ","-"),"--","-"),"--","-"),"--","-")&amp;"-","")</f>
        <v/>
      </c>
      <c r="CI2287">
        <f>IFERROR(IF('월 가계부'!A2287="","",IF(ISNUMBER('월 가계부'!A2287),IF(AND('월 가계부'!A2287&gt;=19000101,'월 가계부'!A2287&lt;=21001231),IF(AND(MOD(INT('월 가계부'!A2287/100),100)&gt;=1,MOD(INT('월 가계부'!A2287/100),100)&lt;=12,MOD(INT('월 가계부'!A2287),100)&gt;=1,MOD(INT('월 가계부'!A2287),100)&lt;=31),IF(MONTH(DATE(INT('월 가계부'!A2287/10000),MOD(INT('월 가계부'!A2287/100),100),MOD(INT('월 가계부'!A2287),100)))=MOD(INT('월 가계부'!A2287/100),100),DATE(INT('월 가계부'!A2287/10000),MOD(INT('월 가계부'!A2287/100),100),MOD(INT('월 가계부'!A2287),100)),""),""),IF(AND('월 가계부'!A2287&gt;=36526,'월 가계부'!A2287&lt;73051),INT('월 가계부'!A2287),"")),IF(OR(CM2287="",CN2287="",CO2287=""),"",IF(AND(CM2287&gt;=2000,CM2287&lt;=2099,CN2287&gt;=1,CN2287&lt;=12,CO2287&gt;=1,CO2287&lt;=31),IF(MONTH(DATE(CM2287,CN2287,CO2287))=CN2287,DATE(CM2287,CN2287,CO2287),""),"")))),"")</f>
        <v/>
      </c>
      <c r="CJ2287">
        <f>IFERROR(IF('월 가계부'!C2287="","",IF(ISNUMBER('월 가계부'!C2287),'월 가계부'!C2287,VALUE(SUBSTITUTE(SUBSTITUTE(SUBSTITUTE(SUBSTITUTE(TRIM('월 가계부'!C2287),",",""),"원","")," ",""),"−","-")))),"")</f>
        <v/>
      </c>
      <c r="CK2287">
        <f>IF(ISNUMBER(CI2287),IF(CI2287&lt;$B$13,CI2287,""),"")</f>
        <v/>
      </c>
      <c r="CM2287">
        <f>IF(CH2287="","",IFERROR(IF(IF(AND(LEN(CH2287)=9,ISERROR(FIND("-",LEFT(CH2287,8))),ISNUMBER(-LEFT(CH2287,8))),VALUE(LEFT(CH2287,4)),VALUE(LEFT(CH2287,FIND("-",CH2287)-1)))&lt;100,IF(AND(LEN(CH2287)=9,ISERROR(FIND("-",LEFT(CH2287,8))),ISNUMBER(-LEFT(CH2287,8))),VALUE(LEFT(CH2287,4)),VALUE(LEFT(CH2287,FIND("-",CH2287)-1)))+2000,IF(AND(LEN(CH2287)=9,ISERROR(FIND("-",LEFT(CH2287,8))),ISNUMBER(-LEFT(CH2287,8))),VALUE(LEFT(CH2287,4)),VALUE(LEFT(CH2287,FIND("-",CH2287)-1)))),""))</f>
        <v/>
      </c>
      <c r="CN2287">
        <f>IF(CH2287="","",IFERROR(IF(AND(LEN(CH2287)=9,ISERROR(FIND("-",LEFT(CH2287,8))),ISNUMBER(-LEFT(CH2287,8))),VALUE(MID(CH2287,5,2)),VALUE(MID(CH2287,FIND("-",CH2287)+1,FIND("-",CH2287,FIND("-",CH2287)+1)-FIND("-",CH2287)-1))),""))</f>
        <v/>
      </c>
      <c r="CO2287">
        <f>IF(CH2287="","",IFERROR(IF(AND(LEN(CH2287)=9,ISERROR(FIND("-",LEFT(CH2287,8))),ISNUMBER(-LEFT(CH2287,8))),VALUE(MID(CH2287,7,2)),VALUE(MID(CH2287,FIND("-",CH2287,FIND("-",CH2287)+1)+1,FIND("-",CH2287,FIND("-",CH2287,FIND("-",CH2287)+1)+1)-FIND("-",CH2287,FIND("-",CH2287)+1)-1))),""))</f>
        <v/>
      </c>
    </row>
    <row r="2288">
      <c r="CH2288">
        <f>IF(ISTEXT('월 가계부'!A2288),SUBSTITUTE(SUBSTITUTE(SUBSTITUTE(SUBSTITUTE(SUBSTITUTE(SUBSTITUTE(SUBSTITUTE(SUBSTITUTE(SUBSTITUTE(TRIM('월 가계부'!A2288),"년","-"),"월","-"),"일",""),".","-"),"/","-")," ","-"),"--","-"),"--","-"),"--","-")&amp;"-","")</f>
        <v/>
      </c>
      <c r="CI2288">
        <f>IFERROR(IF('월 가계부'!A2288="","",IF(ISNUMBER('월 가계부'!A2288),IF(AND('월 가계부'!A2288&gt;=19000101,'월 가계부'!A2288&lt;=21001231),IF(AND(MOD(INT('월 가계부'!A2288/100),100)&gt;=1,MOD(INT('월 가계부'!A2288/100),100)&lt;=12,MOD(INT('월 가계부'!A2288),100)&gt;=1,MOD(INT('월 가계부'!A2288),100)&lt;=31),IF(MONTH(DATE(INT('월 가계부'!A2288/10000),MOD(INT('월 가계부'!A2288/100),100),MOD(INT('월 가계부'!A2288),100)))=MOD(INT('월 가계부'!A2288/100),100),DATE(INT('월 가계부'!A2288/10000),MOD(INT('월 가계부'!A2288/100),100),MOD(INT('월 가계부'!A2288),100)),""),""),IF(AND('월 가계부'!A2288&gt;=36526,'월 가계부'!A2288&lt;73051),INT('월 가계부'!A2288),"")),IF(OR(CM2288="",CN2288="",CO2288=""),"",IF(AND(CM2288&gt;=2000,CM2288&lt;=2099,CN2288&gt;=1,CN2288&lt;=12,CO2288&gt;=1,CO2288&lt;=31),IF(MONTH(DATE(CM2288,CN2288,CO2288))=CN2288,DATE(CM2288,CN2288,CO2288),""),"")))),"")</f>
        <v/>
      </c>
      <c r="CJ2288">
        <f>IFERROR(IF('월 가계부'!C2288="","",IF(ISNUMBER('월 가계부'!C2288),'월 가계부'!C2288,VALUE(SUBSTITUTE(SUBSTITUTE(SUBSTITUTE(SUBSTITUTE(TRIM('월 가계부'!C2288),",",""),"원","")," ",""),"−","-")))),"")</f>
        <v/>
      </c>
      <c r="CK2288">
        <f>IF(ISNUMBER(CI2288),IF(CI2288&lt;$B$13,CI2288,""),"")</f>
        <v/>
      </c>
      <c r="CM2288">
        <f>IF(CH2288="","",IFERROR(IF(IF(AND(LEN(CH2288)=9,ISERROR(FIND("-",LEFT(CH2288,8))),ISNUMBER(-LEFT(CH2288,8))),VALUE(LEFT(CH2288,4)),VALUE(LEFT(CH2288,FIND("-",CH2288)-1)))&lt;100,IF(AND(LEN(CH2288)=9,ISERROR(FIND("-",LEFT(CH2288,8))),ISNUMBER(-LEFT(CH2288,8))),VALUE(LEFT(CH2288,4)),VALUE(LEFT(CH2288,FIND("-",CH2288)-1)))+2000,IF(AND(LEN(CH2288)=9,ISERROR(FIND("-",LEFT(CH2288,8))),ISNUMBER(-LEFT(CH2288,8))),VALUE(LEFT(CH2288,4)),VALUE(LEFT(CH2288,FIND("-",CH2288)-1)))),""))</f>
        <v/>
      </c>
      <c r="CN2288">
        <f>IF(CH2288="","",IFERROR(IF(AND(LEN(CH2288)=9,ISERROR(FIND("-",LEFT(CH2288,8))),ISNUMBER(-LEFT(CH2288,8))),VALUE(MID(CH2288,5,2)),VALUE(MID(CH2288,FIND("-",CH2288)+1,FIND("-",CH2288,FIND("-",CH2288)+1)-FIND("-",CH2288)-1))),""))</f>
        <v/>
      </c>
      <c r="CO2288">
        <f>IF(CH2288="","",IFERROR(IF(AND(LEN(CH2288)=9,ISERROR(FIND("-",LEFT(CH2288,8))),ISNUMBER(-LEFT(CH2288,8))),VALUE(MID(CH2288,7,2)),VALUE(MID(CH2288,FIND("-",CH2288,FIND("-",CH2288)+1)+1,FIND("-",CH2288,FIND("-",CH2288,FIND("-",CH2288)+1)+1)-FIND("-",CH2288,FIND("-",CH2288)+1)-1))),""))</f>
        <v/>
      </c>
    </row>
    <row r="2289">
      <c r="CH2289">
        <f>IF(ISTEXT('월 가계부'!A2289),SUBSTITUTE(SUBSTITUTE(SUBSTITUTE(SUBSTITUTE(SUBSTITUTE(SUBSTITUTE(SUBSTITUTE(SUBSTITUTE(SUBSTITUTE(TRIM('월 가계부'!A2289),"년","-"),"월","-"),"일",""),".","-"),"/","-")," ","-"),"--","-"),"--","-"),"--","-")&amp;"-","")</f>
        <v/>
      </c>
      <c r="CI2289">
        <f>IFERROR(IF('월 가계부'!A2289="","",IF(ISNUMBER('월 가계부'!A2289),IF(AND('월 가계부'!A2289&gt;=19000101,'월 가계부'!A2289&lt;=21001231),IF(AND(MOD(INT('월 가계부'!A2289/100),100)&gt;=1,MOD(INT('월 가계부'!A2289/100),100)&lt;=12,MOD(INT('월 가계부'!A2289),100)&gt;=1,MOD(INT('월 가계부'!A2289),100)&lt;=31),IF(MONTH(DATE(INT('월 가계부'!A2289/10000),MOD(INT('월 가계부'!A2289/100),100),MOD(INT('월 가계부'!A2289),100)))=MOD(INT('월 가계부'!A2289/100),100),DATE(INT('월 가계부'!A2289/10000),MOD(INT('월 가계부'!A2289/100),100),MOD(INT('월 가계부'!A2289),100)),""),""),IF(AND('월 가계부'!A2289&gt;=36526,'월 가계부'!A2289&lt;73051),INT('월 가계부'!A2289),"")),IF(OR(CM2289="",CN2289="",CO2289=""),"",IF(AND(CM2289&gt;=2000,CM2289&lt;=2099,CN2289&gt;=1,CN2289&lt;=12,CO2289&gt;=1,CO2289&lt;=31),IF(MONTH(DATE(CM2289,CN2289,CO2289))=CN2289,DATE(CM2289,CN2289,CO2289),""),"")))),"")</f>
        <v/>
      </c>
      <c r="CJ2289">
        <f>IFERROR(IF('월 가계부'!C2289="","",IF(ISNUMBER('월 가계부'!C2289),'월 가계부'!C2289,VALUE(SUBSTITUTE(SUBSTITUTE(SUBSTITUTE(SUBSTITUTE(TRIM('월 가계부'!C2289),",",""),"원","")," ",""),"−","-")))),"")</f>
        <v/>
      </c>
      <c r="CK2289">
        <f>IF(ISNUMBER(CI2289),IF(CI2289&lt;$B$13,CI2289,""),"")</f>
        <v/>
      </c>
      <c r="CM2289">
        <f>IF(CH2289="","",IFERROR(IF(IF(AND(LEN(CH2289)=9,ISERROR(FIND("-",LEFT(CH2289,8))),ISNUMBER(-LEFT(CH2289,8))),VALUE(LEFT(CH2289,4)),VALUE(LEFT(CH2289,FIND("-",CH2289)-1)))&lt;100,IF(AND(LEN(CH2289)=9,ISERROR(FIND("-",LEFT(CH2289,8))),ISNUMBER(-LEFT(CH2289,8))),VALUE(LEFT(CH2289,4)),VALUE(LEFT(CH2289,FIND("-",CH2289)-1)))+2000,IF(AND(LEN(CH2289)=9,ISERROR(FIND("-",LEFT(CH2289,8))),ISNUMBER(-LEFT(CH2289,8))),VALUE(LEFT(CH2289,4)),VALUE(LEFT(CH2289,FIND("-",CH2289)-1)))),""))</f>
        <v/>
      </c>
      <c r="CN2289">
        <f>IF(CH2289="","",IFERROR(IF(AND(LEN(CH2289)=9,ISERROR(FIND("-",LEFT(CH2289,8))),ISNUMBER(-LEFT(CH2289,8))),VALUE(MID(CH2289,5,2)),VALUE(MID(CH2289,FIND("-",CH2289)+1,FIND("-",CH2289,FIND("-",CH2289)+1)-FIND("-",CH2289)-1))),""))</f>
        <v/>
      </c>
      <c r="CO2289">
        <f>IF(CH2289="","",IFERROR(IF(AND(LEN(CH2289)=9,ISERROR(FIND("-",LEFT(CH2289,8))),ISNUMBER(-LEFT(CH2289,8))),VALUE(MID(CH2289,7,2)),VALUE(MID(CH2289,FIND("-",CH2289,FIND("-",CH2289)+1)+1,FIND("-",CH2289,FIND("-",CH2289,FIND("-",CH2289)+1)+1)-FIND("-",CH2289,FIND("-",CH2289)+1)-1))),""))</f>
        <v/>
      </c>
    </row>
    <row r="2290">
      <c r="CH2290">
        <f>IF(ISTEXT('월 가계부'!A2290),SUBSTITUTE(SUBSTITUTE(SUBSTITUTE(SUBSTITUTE(SUBSTITUTE(SUBSTITUTE(SUBSTITUTE(SUBSTITUTE(SUBSTITUTE(TRIM('월 가계부'!A2290),"년","-"),"월","-"),"일",""),".","-"),"/","-")," ","-"),"--","-"),"--","-"),"--","-")&amp;"-","")</f>
        <v/>
      </c>
      <c r="CI2290">
        <f>IFERROR(IF('월 가계부'!A2290="","",IF(ISNUMBER('월 가계부'!A2290),IF(AND('월 가계부'!A2290&gt;=19000101,'월 가계부'!A2290&lt;=21001231),IF(AND(MOD(INT('월 가계부'!A2290/100),100)&gt;=1,MOD(INT('월 가계부'!A2290/100),100)&lt;=12,MOD(INT('월 가계부'!A2290),100)&gt;=1,MOD(INT('월 가계부'!A2290),100)&lt;=31),IF(MONTH(DATE(INT('월 가계부'!A2290/10000),MOD(INT('월 가계부'!A2290/100),100),MOD(INT('월 가계부'!A2290),100)))=MOD(INT('월 가계부'!A2290/100),100),DATE(INT('월 가계부'!A2290/10000),MOD(INT('월 가계부'!A2290/100),100),MOD(INT('월 가계부'!A2290),100)),""),""),IF(AND('월 가계부'!A2290&gt;=36526,'월 가계부'!A2290&lt;73051),INT('월 가계부'!A2290),"")),IF(OR(CM2290="",CN2290="",CO2290=""),"",IF(AND(CM2290&gt;=2000,CM2290&lt;=2099,CN2290&gt;=1,CN2290&lt;=12,CO2290&gt;=1,CO2290&lt;=31),IF(MONTH(DATE(CM2290,CN2290,CO2290))=CN2290,DATE(CM2290,CN2290,CO2290),""),"")))),"")</f>
        <v/>
      </c>
      <c r="CJ2290">
        <f>IFERROR(IF('월 가계부'!C2290="","",IF(ISNUMBER('월 가계부'!C2290),'월 가계부'!C2290,VALUE(SUBSTITUTE(SUBSTITUTE(SUBSTITUTE(SUBSTITUTE(TRIM('월 가계부'!C2290),",",""),"원","")," ",""),"−","-")))),"")</f>
        <v/>
      </c>
      <c r="CK2290">
        <f>IF(ISNUMBER(CI2290),IF(CI2290&lt;$B$13,CI2290,""),"")</f>
        <v/>
      </c>
      <c r="CM2290">
        <f>IF(CH2290="","",IFERROR(IF(IF(AND(LEN(CH2290)=9,ISERROR(FIND("-",LEFT(CH2290,8))),ISNUMBER(-LEFT(CH2290,8))),VALUE(LEFT(CH2290,4)),VALUE(LEFT(CH2290,FIND("-",CH2290)-1)))&lt;100,IF(AND(LEN(CH2290)=9,ISERROR(FIND("-",LEFT(CH2290,8))),ISNUMBER(-LEFT(CH2290,8))),VALUE(LEFT(CH2290,4)),VALUE(LEFT(CH2290,FIND("-",CH2290)-1)))+2000,IF(AND(LEN(CH2290)=9,ISERROR(FIND("-",LEFT(CH2290,8))),ISNUMBER(-LEFT(CH2290,8))),VALUE(LEFT(CH2290,4)),VALUE(LEFT(CH2290,FIND("-",CH2290)-1)))),""))</f>
        <v/>
      </c>
      <c r="CN2290">
        <f>IF(CH2290="","",IFERROR(IF(AND(LEN(CH2290)=9,ISERROR(FIND("-",LEFT(CH2290,8))),ISNUMBER(-LEFT(CH2290,8))),VALUE(MID(CH2290,5,2)),VALUE(MID(CH2290,FIND("-",CH2290)+1,FIND("-",CH2290,FIND("-",CH2290)+1)-FIND("-",CH2290)-1))),""))</f>
        <v/>
      </c>
      <c r="CO2290">
        <f>IF(CH2290="","",IFERROR(IF(AND(LEN(CH2290)=9,ISERROR(FIND("-",LEFT(CH2290,8))),ISNUMBER(-LEFT(CH2290,8))),VALUE(MID(CH2290,7,2)),VALUE(MID(CH2290,FIND("-",CH2290,FIND("-",CH2290)+1)+1,FIND("-",CH2290,FIND("-",CH2290,FIND("-",CH2290)+1)+1)-FIND("-",CH2290,FIND("-",CH2290)+1)-1))),""))</f>
        <v/>
      </c>
    </row>
    <row r="2291">
      <c r="CH2291">
        <f>IF(ISTEXT('월 가계부'!A2291),SUBSTITUTE(SUBSTITUTE(SUBSTITUTE(SUBSTITUTE(SUBSTITUTE(SUBSTITUTE(SUBSTITUTE(SUBSTITUTE(SUBSTITUTE(TRIM('월 가계부'!A2291),"년","-"),"월","-"),"일",""),".","-"),"/","-")," ","-"),"--","-"),"--","-"),"--","-")&amp;"-","")</f>
        <v/>
      </c>
      <c r="CI2291">
        <f>IFERROR(IF('월 가계부'!A2291="","",IF(ISNUMBER('월 가계부'!A2291),IF(AND('월 가계부'!A2291&gt;=19000101,'월 가계부'!A2291&lt;=21001231),IF(AND(MOD(INT('월 가계부'!A2291/100),100)&gt;=1,MOD(INT('월 가계부'!A2291/100),100)&lt;=12,MOD(INT('월 가계부'!A2291),100)&gt;=1,MOD(INT('월 가계부'!A2291),100)&lt;=31),IF(MONTH(DATE(INT('월 가계부'!A2291/10000),MOD(INT('월 가계부'!A2291/100),100),MOD(INT('월 가계부'!A2291),100)))=MOD(INT('월 가계부'!A2291/100),100),DATE(INT('월 가계부'!A2291/10000),MOD(INT('월 가계부'!A2291/100),100),MOD(INT('월 가계부'!A2291),100)),""),""),IF(AND('월 가계부'!A2291&gt;=36526,'월 가계부'!A2291&lt;73051),INT('월 가계부'!A2291),"")),IF(OR(CM2291="",CN2291="",CO2291=""),"",IF(AND(CM2291&gt;=2000,CM2291&lt;=2099,CN2291&gt;=1,CN2291&lt;=12,CO2291&gt;=1,CO2291&lt;=31),IF(MONTH(DATE(CM2291,CN2291,CO2291))=CN2291,DATE(CM2291,CN2291,CO2291),""),"")))),"")</f>
        <v/>
      </c>
      <c r="CJ2291">
        <f>IFERROR(IF('월 가계부'!C2291="","",IF(ISNUMBER('월 가계부'!C2291),'월 가계부'!C2291,VALUE(SUBSTITUTE(SUBSTITUTE(SUBSTITUTE(SUBSTITUTE(TRIM('월 가계부'!C2291),",",""),"원","")," ",""),"−","-")))),"")</f>
        <v/>
      </c>
      <c r="CK2291">
        <f>IF(ISNUMBER(CI2291),IF(CI2291&lt;$B$13,CI2291,""),"")</f>
        <v/>
      </c>
      <c r="CM2291">
        <f>IF(CH2291="","",IFERROR(IF(IF(AND(LEN(CH2291)=9,ISERROR(FIND("-",LEFT(CH2291,8))),ISNUMBER(-LEFT(CH2291,8))),VALUE(LEFT(CH2291,4)),VALUE(LEFT(CH2291,FIND("-",CH2291)-1)))&lt;100,IF(AND(LEN(CH2291)=9,ISERROR(FIND("-",LEFT(CH2291,8))),ISNUMBER(-LEFT(CH2291,8))),VALUE(LEFT(CH2291,4)),VALUE(LEFT(CH2291,FIND("-",CH2291)-1)))+2000,IF(AND(LEN(CH2291)=9,ISERROR(FIND("-",LEFT(CH2291,8))),ISNUMBER(-LEFT(CH2291,8))),VALUE(LEFT(CH2291,4)),VALUE(LEFT(CH2291,FIND("-",CH2291)-1)))),""))</f>
        <v/>
      </c>
      <c r="CN2291">
        <f>IF(CH2291="","",IFERROR(IF(AND(LEN(CH2291)=9,ISERROR(FIND("-",LEFT(CH2291,8))),ISNUMBER(-LEFT(CH2291,8))),VALUE(MID(CH2291,5,2)),VALUE(MID(CH2291,FIND("-",CH2291)+1,FIND("-",CH2291,FIND("-",CH2291)+1)-FIND("-",CH2291)-1))),""))</f>
        <v/>
      </c>
      <c r="CO2291">
        <f>IF(CH2291="","",IFERROR(IF(AND(LEN(CH2291)=9,ISERROR(FIND("-",LEFT(CH2291,8))),ISNUMBER(-LEFT(CH2291,8))),VALUE(MID(CH2291,7,2)),VALUE(MID(CH2291,FIND("-",CH2291,FIND("-",CH2291)+1)+1,FIND("-",CH2291,FIND("-",CH2291,FIND("-",CH2291)+1)+1)-FIND("-",CH2291,FIND("-",CH2291)+1)-1))),""))</f>
        <v/>
      </c>
    </row>
    <row r="2292">
      <c r="CH2292">
        <f>IF(ISTEXT('월 가계부'!A2292),SUBSTITUTE(SUBSTITUTE(SUBSTITUTE(SUBSTITUTE(SUBSTITUTE(SUBSTITUTE(SUBSTITUTE(SUBSTITUTE(SUBSTITUTE(TRIM('월 가계부'!A2292),"년","-"),"월","-"),"일",""),".","-"),"/","-")," ","-"),"--","-"),"--","-"),"--","-")&amp;"-","")</f>
        <v/>
      </c>
      <c r="CI2292">
        <f>IFERROR(IF('월 가계부'!A2292="","",IF(ISNUMBER('월 가계부'!A2292),IF(AND('월 가계부'!A2292&gt;=19000101,'월 가계부'!A2292&lt;=21001231),IF(AND(MOD(INT('월 가계부'!A2292/100),100)&gt;=1,MOD(INT('월 가계부'!A2292/100),100)&lt;=12,MOD(INT('월 가계부'!A2292),100)&gt;=1,MOD(INT('월 가계부'!A2292),100)&lt;=31),IF(MONTH(DATE(INT('월 가계부'!A2292/10000),MOD(INT('월 가계부'!A2292/100),100),MOD(INT('월 가계부'!A2292),100)))=MOD(INT('월 가계부'!A2292/100),100),DATE(INT('월 가계부'!A2292/10000),MOD(INT('월 가계부'!A2292/100),100),MOD(INT('월 가계부'!A2292),100)),""),""),IF(AND('월 가계부'!A2292&gt;=36526,'월 가계부'!A2292&lt;73051),INT('월 가계부'!A2292),"")),IF(OR(CM2292="",CN2292="",CO2292=""),"",IF(AND(CM2292&gt;=2000,CM2292&lt;=2099,CN2292&gt;=1,CN2292&lt;=12,CO2292&gt;=1,CO2292&lt;=31),IF(MONTH(DATE(CM2292,CN2292,CO2292))=CN2292,DATE(CM2292,CN2292,CO2292),""),"")))),"")</f>
        <v/>
      </c>
      <c r="CJ2292">
        <f>IFERROR(IF('월 가계부'!C2292="","",IF(ISNUMBER('월 가계부'!C2292),'월 가계부'!C2292,VALUE(SUBSTITUTE(SUBSTITUTE(SUBSTITUTE(SUBSTITUTE(TRIM('월 가계부'!C2292),",",""),"원","")," ",""),"−","-")))),"")</f>
        <v/>
      </c>
      <c r="CK2292">
        <f>IF(ISNUMBER(CI2292),IF(CI2292&lt;$B$13,CI2292,""),"")</f>
        <v/>
      </c>
      <c r="CM2292">
        <f>IF(CH2292="","",IFERROR(IF(IF(AND(LEN(CH2292)=9,ISERROR(FIND("-",LEFT(CH2292,8))),ISNUMBER(-LEFT(CH2292,8))),VALUE(LEFT(CH2292,4)),VALUE(LEFT(CH2292,FIND("-",CH2292)-1)))&lt;100,IF(AND(LEN(CH2292)=9,ISERROR(FIND("-",LEFT(CH2292,8))),ISNUMBER(-LEFT(CH2292,8))),VALUE(LEFT(CH2292,4)),VALUE(LEFT(CH2292,FIND("-",CH2292)-1)))+2000,IF(AND(LEN(CH2292)=9,ISERROR(FIND("-",LEFT(CH2292,8))),ISNUMBER(-LEFT(CH2292,8))),VALUE(LEFT(CH2292,4)),VALUE(LEFT(CH2292,FIND("-",CH2292)-1)))),""))</f>
        <v/>
      </c>
      <c r="CN2292">
        <f>IF(CH2292="","",IFERROR(IF(AND(LEN(CH2292)=9,ISERROR(FIND("-",LEFT(CH2292,8))),ISNUMBER(-LEFT(CH2292,8))),VALUE(MID(CH2292,5,2)),VALUE(MID(CH2292,FIND("-",CH2292)+1,FIND("-",CH2292,FIND("-",CH2292)+1)-FIND("-",CH2292)-1))),""))</f>
        <v/>
      </c>
      <c r="CO2292">
        <f>IF(CH2292="","",IFERROR(IF(AND(LEN(CH2292)=9,ISERROR(FIND("-",LEFT(CH2292,8))),ISNUMBER(-LEFT(CH2292,8))),VALUE(MID(CH2292,7,2)),VALUE(MID(CH2292,FIND("-",CH2292,FIND("-",CH2292)+1)+1,FIND("-",CH2292,FIND("-",CH2292,FIND("-",CH2292)+1)+1)-FIND("-",CH2292,FIND("-",CH2292)+1)-1))),""))</f>
        <v/>
      </c>
    </row>
    <row r="2293">
      <c r="CH2293">
        <f>IF(ISTEXT('월 가계부'!A2293),SUBSTITUTE(SUBSTITUTE(SUBSTITUTE(SUBSTITUTE(SUBSTITUTE(SUBSTITUTE(SUBSTITUTE(SUBSTITUTE(SUBSTITUTE(TRIM('월 가계부'!A2293),"년","-"),"월","-"),"일",""),".","-"),"/","-")," ","-"),"--","-"),"--","-"),"--","-")&amp;"-","")</f>
        <v/>
      </c>
      <c r="CI2293">
        <f>IFERROR(IF('월 가계부'!A2293="","",IF(ISNUMBER('월 가계부'!A2293),IF(AND('월 가계부'!A2293&gt;=19000101,'월 가계부'!A2293&lt;=21001231),IF(AND(MOD(INT('월 가계부'!A2293/100),100)&gt;=1,MOD(INT('월 가계부'!A2293/100),100)&lt;=12,MOD(INT('월 가계부'!A2293),100)&gt;=1,MOD(INT('월 가계부'!A2293),100)&lt;=31),IF(MONTH(DATE(INT('월 가계부'!A2293/10000),MOD(INT('월 가계부'!A2293/100),100),MOD(INT('월 가계부'!A2293),100)))=MOD(INT('월 가계부'!A2293/100),100),DATE(INT('월 가계부'!A2293/10000),MOD(INT('월 가계부'!A2293/100),100),MOD(INT('월 가계부'!A2293),100)),""),""),IF(AND('월 가계부'!A2293&gt;=36526,'월 가계부'!A2293&lt;73051),INT('월 가계부'!A2293),"")),IF(OR(CM2293="",CN2293="",CO2293=""),"",IF(AND(CM2293&gt;=2000,CM2293&lt;=2099,CN2293&gt;=1,CN2293&lt;=12,CO2293&gt;=1,CO2293&lt;=31),IF(MONTH(DATE(CM2293,CN2293,CO2293))=CN2293,DATE(CM2293,CN2293,CO2293),""),"")))),"")</f>
        <v/>
      </c>
      <c r="CJ2293">
        <f>IFERROR(IF('월 가계부'!C2293="","",IF(ISNUMBER('월 가계부'!C2293),'월 가계부'!C2293,VALUE(SUBSTITUTE(SUBSTITUTE(SUBSTITUTE(SUBSTITUTE(TRIM('월 가계부'!C2293),",",""),"원","")," ",""),"−","-")))),"")</f>
        <v/>
      </c>
      <c r="CK2293">
        <f>IF(ISNUMBER(CI2293),IF(CI2293&lt;$B$13,CI2293,""),"")</f>
        <v/>
      </c>
      <c r="CM2293">
        <f>IF(CH2293="","",IFERROR(IF(IF(AND(LEN(CH2293)=9,ISERROR(FIND("-",LEFT(CH2293,8))),ISNUMBER(-LEFT(CH2293,8))),VALUE(LEFT(CH2293,4)),VALUE(LEFT(CH2293,FIND("-",CH2293)-1)))&lt;100,IF(AND(LEN(CH2293)=9,ISERROR(FIND("-",LEFT(CH2293,8))),ISNUMBER(-LEFT(CH2293,8))),VALUE(LEFT(CH2293,4)),VALUE(LEFT(CH2293,FIND("-",CH2293)-1)))+2000,IF(AND(LEN(CH2293)=9,ISERROR(FIND("-",LEFT(CH2293,8))),ISNUMBER(-LEFT(CH2293,8))),VALUE(LEFT(CH2293,4)),VALUE(LEFT(CH2293,FIND("-",CH2293)-1)))),""))</f>
        <v/>
      </c>
      <c r="CN2293">
        <f>IF(CH2293="","",IFERROR(IF(AND(LEN(CH2293)=9,ISERROR(FIND("-",LEFT(CH2293,8))),ISNUMBER(-LEFT(CH2293,8))),VALUE(MID(CH2293,5,2)),VALUE(MID(CH2293,FIND("-",CH2293)+1,FIND("-",CH2293,FIND("-",CH2293)+1)-FIND("-",CH2293)-1))),""))</f>
        <v/>
      </c>
      <c r="CO2293">
        <f>IF(CH2293="","",IFERROR(IF(AND(LEN(CH2293)=9,ISERROR(FIND("-",LEFT(CH2293,8))),ISNUMBER(-LEFT(CH2293,8))),VALUE(MID(CH2293,7,2)),VALUE(MID(CH2293,FIND("-",CH2293,FIND("-",CH2293)+1)+1,FIND("-",CH2293,FIND("-",CH2293,FIND("-",CH2293)+1)+1)-FIND("-",CH2293,FIND("-",CH2293)+1)-1))),""))</f>
        <v/>
      </c>
    </row>
    <row r="2294">
      <c r="CH2294">
        <f>IF(ISTEXT('월 가계부'!A2294),SUBSTITUTE(SUBSTITUTE(SUBSTITUTE(SUBSTITUTE(SUBSTITUTE(SUBSTITUTE(SUBSTITUTE(SUBSTITUTE(SUBSTITUTE(TRIM('월 가계부'!A2294),"년","-"),"월","-"),"일",""),".","-"),"/","-")," ","-"),"--","-"),"--","-"),"--","-")&amp;"-","")</f>
        <v/>
      </c>
      <c r="CI2294">
        <f>IFERROR(IF('월 가계부'!A2294="","",IF(ISNUMBER('월 가계부'!A2294),IF(AND('월 가계부'!A2294&gt;=19000101,'월 가계부'!A2294&lt;=21001231),IF(AND(MOD(INT('월 가계부'!A2294/100),100)&gt;=1,MOD(INT('월 가계부'!A2294/100),100)&lt;=12,MOD(INT('월 가계부'!A2294),100)&gt;=1,MOD(INT('월 가계부'!A2294),100)&lt;=31),IF(MONTH(DATE(INT('월 가계부'!A2294/10000),MOD(INT('월 가계부'!A2294/100),100),MOD(INT('월 가계부'!A2294),100)))=MOD(INT('월 가계부'!A2294/100),100),DATE(INT('월 가계부'!A2294/10000),MOD(INT('월 가계부'!A2294/100),100),MOD(INT('월 가계부'!A2294),100)),""),""),IF(AND('월 가계부'!A2294&gt;=36526,'월 가계부'!A2294&lt;73051),INT('월 가계부'!A2294),"")),IF(OR(CM2294="",CN2294="",CO2294=""),"",IF(AND(CM2294&gt;=2000,CM2294&lt;=2099,CN2294&gt;=1,CN2294&lt;=12,CO2294&gt;=1,CO2294&lt;=31),IF(MONTH(DATE(CM2294,CN2294,CO2294))=CN2294,DATE(CM2294,CN2294,CO2294),""),"")))),"")</f>
        <v/>
      </c>
      <c r="CJ2294">
        <f>IFERROR(IF('월 가계부'!C2294="","",IF(ISNUMBER('월 가계부'!C2294),'월 가계부'!C2294,VALUE(SUBSTITUTE(SUBSTITUTE(SUBSTITUTE(SUBSTITUTE(TRIM('월 가계부'!C2294),",",""),"원","")," ",""),"−","-")))),"")</f>
        <v/>
      </c>
      <c r="CK2294">
        <f>IF(ISNUMBER(CI2294),IF(CI2294&lt;$B$13,CI2294,""),"")</f>
        <v/>
      </c>
      <c r="CM2294">
        <f>IF(CH2294="","",IFERROR(IF(IF(AND(LEN(CH2294)=9,ISERROR(FIND("-",LEFT(CH2294,8))),ISNUMBER(-LEFT(CH2294,8))),VALUE(LEFT(CH2294,4)),VALUE(LEFT(CH2294,FIND("-",CH2294)-1)))&lt;100,IF(AND(LEN(CH2294)=9,ISERROR(FIND("-",LEFT(CH2294,8))),ISNUMBER(-LEFT(CH2294,8))),VALUE(LEFT(CH2294,4)),VALUE(LEFT(CH2294,FIND("-",CH2294)-1)))+2000,IF(AND(LEN(CH2294)=9,ISERROR(FIND("-",LEFT(CH2294,8))),ISNUMBER(-LEFT(CH2294,8))),VALUE(LEFT(CH2294,4)),VALUE(LEFT(CH2294,FIND("-",CH2294)-1)))),""))</f>
        <v/>
      </c>
      <c r="CN2294">
        <f>IF(CH2294="","",IFERROR(IF(AND(LEN(CH2294)=9,ISERROR(FIND("-",LEFT(CH2294,8))),ISNUMBER(-LEFT(CH2294,8))),VALUE(MID(CH2294,5,2)),VALUE(MID(CH2294,FIND("-",CH2294)+1,FIND("-",CH2294,FIND("-",CH2294)+1)-FIND("-",CH2294)-1))),""))</f>
        <v/>
      </c>
      <c r="CO2294">
        <f>IF(CH2294="","",IFERROR(IF(AND(LEN(CH2294)=9,ISERROR(FIND("-",LEFT(CH2294,8))),ISNUMBER(-LEFT(CH2294,8))),VALUE(MID(CH2294,7,2)),VALUE(MID(CH2294,FIND("-",CH2294,FIND("-",CH2294)+1)+1,FIND("-",CH2294,FIND("-",CH2294,FIND("-",CH2294)+1)+1)-FIND("-",CH2294,FIND("-",CH2294)+1)-1))),""))</f>
        <v/>
      </c>
    </row>
    <row r="2295">
      <c r="CH2295">
        <f>IF(ISTEXT('월 가계부'!A2295),SUBSTITUTE(SUBSTITUTE(SUBSTITUTE(SUBSTITUTE(SUBSTITUTE(SUBSTITUTE(SUBSTITUTE(SUBSTITUTE(SUBSTITUTE(TRIM('월 가계부'!A2295),"년","-"),"월","-"),"일",""),".","-"),"/","-")," ","-"),"--","-"),"--","-"),"--","-")&amp;"-","")</f>
        <v/>
      </c>
      <c r="CI2295">
        <f>IFERROR(IF('월 가계부'!A2295="","",IF(ISNUMBER('월 가계부'!A2295),IF(AND('월 가계부'!A2295&gt;=19000101,'월 가계부'!A2295&lt;=21001231),IF(AND(MOD(INT('월 가계부'!A2295/100),100)&gt;=1,MOD(INT('월 가계부'!A2295/100),100)&lt;=12,MOD(INT('월 가계부'!A2295),100)&gt;=1,MOD(INT('월 가계부'!A2295),100)&lt;=31),IF(MONTH(DATE(INT('월 가계부'!A2295/10000),MOD(INT('월 가계부'!A2295/100),100),MOD(INT('월 가계부'!A2295),100)))=MOD(INT('월 가계부'!A2295/100),100),DATE(INT('월 가계부'!A2295/10000),MOD(INT('월 가계부'!A2295/100),100),MOD(INT('월 가계부'!A2295),100)),""),""),IF(AND('월 가계부'!A2295&gt;=36526,'월 가계부'!A2295&lt;73051),INT('월 가계부'!A2295),"")),IF(OR(CM2295="",CN2295="",CO2295=""),"",IF(AND(CM2295&gt;=2000,CM2295&lt;=2099,CN2295&gt;=1,CN2295&lt;=12,CO2295&gt;=1,CO2295&lt;=31),IF(MONTH(DATE(CM2295,CN2295,CO2295))=CN2295,DATE(CM2295,CN2295,CO2295),""),"")))),"")</f>
        <v/>
      </c>
      <c r="CJ2295">
        <f>IFERROR(IF('월 가계부'!C2295="","",IF(ISNUMBER('월 가계부'!C2295),'월 가계부'!C2295,VALUE(SUBSTITUTE(SUBSTITUTE(SUBSTITUTE(SUBSTITUTE(TRIM('월 가계부'!C2295),",",""),"원","")," ",""),"−","-")))),"")</f>
        <v/>
      </c>
      <c r="CK2295">
        <f>IF(ISNUMBER(CI2295),IF(CI2295&lt;$B$13,CI2295,""),"")</f>
        <v/>
      </c>
      <c r="CM2295">
        <f>IF(CH2295="","",IFERROR(IF(IF(AND(LEN(CH2295)=9,ISERROR(FIND("-",LEFT(CH2295,8))),ISNUMBER(-LEFT(CH2295,8))),VALUE(LEFT(CH2295,4)),VALUE(LEFT(CH2295,FIND("-",CH2295)-1)))&lt;100,IF(AND(LEN(CH2295)=9,ISERROR(FIND("-",LEFT(CH2295,8))),ISNUMBER(-LEFT(CH2295,8))),VALUE(LEFT(CH2295,4)),VALUE(LEFT(CH2295,FIND("-",CH2295)-1)))+2000,IF(AND(LEN(CH2295)=9,ISERROR(FIND("-",LEFT(CH2295,8))),ISNUMBER(-LEFT(CH2295,8))),VALUE(LEFT(CH2295,4)),VALUE(LEFT(CH2295,FIND("-",CH2295)-1)))),""))</f>
        <v/>
      </c>
      <c r="CN2295">
        <f>IF(CH2295="","",IFERROR(IF(AND(LEN(CH2295)=9,ISERROR(FIND("-",LEFT(CH2295,8))),ISNUMBER(-LEFT(CH2295,8))),VALUE(MID(CH2295,5,2)),VALUE(MID(CH2295,FIND("-",CH2295)+1,FIND("-",CH2295,FIND("-",CH2295)+1)-FIND("-",CH2295)-1))),""))</f>
        <v/>
      </c>
      <c r="CO2295">
        <f>IF(CH2295="","",IFERROR(IF(AND(LEN(CH2295)=9,ISERROR(FIND("-",LEFT(CH2295,8))),ISNUMBER(-LEFT(CH2295,8))),VALUE(MID(CH2295,7,2)),VALUE(MID(CH2295,FIND("-",CH2295,FIND("-",CH2295)+1)+1,FIND("-",CH2295,FIND("-",CH2295,FIND("-",CH2295)+1)+1)-FIND("-",CH2295,FIND("-",CH2295)+1)-1))),""))</f>
        <v/>
      </c>
    </row>
    <row r="2296">
      <c r="CH2296">
        <f>IF(ISTEXT('월 가계부'!A2296),SUBSTITUTE(SUBSTITUTE(SUBSTITUTE(SUBSTITUTE(SUBSTITUTE(SUBSTITUTE(SUBSTITUTE(SUBSTITUTE(SUBSTITUTE(TRIM('월 가계부'!A2296),"년","-"),"월","-"),"일",""),".","-"),"/","-")," ","-"),"--","-"),"--","-"),"--","-")&amp;"-","")</f>
        <v/>
      </c>
      <c r="CI2296">
        <f>IFERROR(IF('월 가계부'!A2296="","",IF(ISNUMBER('월 가계부'!A2296),IF(AND('월 가계부'!A2296&gt;=19000101,'월 가계부'!A2296&lt;=21001231),IF(AND(MOD(INT('월 가계부'!A2296/100),100)&gt;=1,MOD(INT('월 가계부'!A2296/100),100)&lt;=12,MOD(INT('월 가계부'!A2296),100)&gt;=1,MOD(INT('월 가계부'!A2296),100)&lt;=31),IF(MONTH(DATE(INT('월 가계부'!A2296/10000),MOD(INT('월 가계부'!A2296/100),100),MOD(INT('월 가계부'!A2296),100)))=MOD(INT('월 가계부'!A2296/100),100),DATE(INT('월 가계부'!A2296/10000),MOD(INT('월 가계부'!A2296/100),100),MOD(INT('월 가계부'!A2296),100)),""),""),IF(AND('월 가계부'!A2296&gt;=36526,'월 가계부'!A2296&lt;73051),INT('월 가계부'!A2296),"")),IF(OR(CM2296="",CN2296="",CO2296=""),"",IF(AND(CM2296&gt;=2000,CM2296&lt;=2099,CN2296&gt;=1,CN2296&lt;=12,CO2296&gt;=1,CO2296&lt;=31),IF(MONTH(DATE(CM2296,CN2296,CO2296))=CN2296,DATE(CM2296,CN2296,CO2296),""),"")))),"")</f>
        <v/>
      </c>
      <c r="CJ2296">
        <f>IFERROR(IF('월 가계부'!C2296="","",IF(ISNUMBER('월 가계부'!C2296),'월 가계부'!C2296,VALUE(SUBSTITUTE(SUBSTITUTE(SUBSTITUTE(SUBSTITUTE(TRIM('월 가계부'!C2296),",",""),"원","")," ",""),"−","-")))),"")</f>
        <v/>
      </c>
      <c r="CK2296">
        <f>IF(ISNUMBER(CI2296),IF(CI2296&lt;$B$13,CI2296,""),"")</f>
        <v/>
      </c>
      <c r="CM2296">
        <f>IF(CH2296="","",IFERROR(IF(IF(AND(LEN(CH2296)=9,ISERROR(FIND("-",LEFT(CH2296,8))),ISNUMBER(-LEFT(CH2296,8))),VALUE(LEFT(CH2296,4)),VALUE(LEFT(CH2296,FIND("-",CH2296)-1)))&lt;100,IF(AND(LEN(CH2296)=9,ISERROR(FIND("-",LEFT(CH2296,8))),ISNUMBER(-LEFT(CH2296,8))),VALUE(LEFT(CH2296,4)),VALUE(LEFT(CH2296,FIND("-",CH2296)-1)))+2000,IF(AND(LEN(CH2296)=9,ISERROR(FIND("-",LEFT(CH2296,8))),ISNUMBER(-LEFT(CH2296,8))),VALUE(LEFT(CH2296,4)),VALUE(LEFT(CH2296,FIND("-",CH2296)-1)))),""))</f>
        <v/>
      </c>
      <c r="CN2296">
        <f>IF(CH2296="","",IFERROR(IF(AND(LEN(CH2296)=9,ISERROR(FIND("-",LEFT(CH2296,8))),ISNUMBER(-LEFT(CH2296,8))),VALUE(MID(CH2296,5,2)),VALUE(MID(CH2296,FIND("-",CH2296)+1,FIND("-",CH2296,FIND("-",CH2296)+1)-FIND("-",CH2296)-1))),""))</f>
        <v/>
      </c>
      <c r="CO2296">
        <f>IF(CH2296="","",IFERROR(IF(AND(LEN(CH2296)=9,ISERROR(FIND("-",LEFT(CH2296,8))),ISNUMBER(-LEFT(CH2296,8))),VALUE(MID(CH2296,7,2)),VALUE(MID(CH2296,FIND("-",CH2296,FIND("-",CH2296)+1)+1,FIND("-",CH2296,FIND("-",CH2296,FIND("-",CH2296)+1)+1)-FIND("-",CH2296,FIND("-",CH2296)+1)-1))),""))</f>
        <v/>
      </c>
    </row>
    <row r="2297">
      <c r="CH2297">
        <f>IF(ISTEXT('월 가계부'!A2297),SUBSTITUTE(SUBSTITUTE(SUBSTITUTE(SUBSTITUTE(SUBSTITUTE(SUBSTITUTE(SUBSTITUTE(SUBSTITUTE(SUBSTITUTE(TRIM('월 가계부'!A2297),"년","-"),"월","-"),"일",""),".","-"),"/","-")," ","-"),"--","-"),"--","-"),"--","-")&amp;"-","")</f>
        <v/>
      </c>
      <c r="CI2297">
        <f>IFERROR(IF('월 가계부'!A2297="","",IF(ISNUMBER('월 가계부'!A2297),IF(AND('월 가계부'!A2297&gt;=19000101,'월 가계부'!A2297&lt;=21001231),IF(AND(MOD(INT('월 가계부'!A2297/100),100)&gt;=1,MOD(INT('월 가계부'!A2297/100),100)&lt;=12,MOD(INT('월 가계부'!A2297),100)&gt;=1,MOD(INT('월 가계부'!A2297),100)&lt;=31),IF(MONTH(DATE(INT('월 가계부'!A2297/10000),MOD(INT('월 가계부'!A2297/100),100),MOD(INT('월 가계부'!A2297),100)))=MOD(INT('월 가계부'!A2297/100),100),DATE(INT('월 가계부'!A2297/10000),MOD(INT('월 가계부'!A2297/100),100),MOD(INT('월 가계부'!A2297),100)),""),""),IF(AND('월 가계부'!A2297&gt;=36526,'월 가계부'!A2297&lt;73051),INT('월 가계부'!A2297),"")),IF(OR(CM2297="",CN2297="",CO2297=""),"",IF(AND(CM2297&gt;=2000,CM2297&lt;=2099,CN2297&gt;=1,CN2297&lt;=12,CO2297&gt;=1,CO2297&lt;=31),IF(MONTH(DATE(CM2297,CN2297,CO2297))=CN2297,DATE(CM2297,CN2297,CO2297),""),"")))),"")</f>
        <v/>
      </c>
      <c r="CJ2297">
        <f>IFERROR(IF('월 가계부'!C2297="","",IF(ISNUMBER('월 가계부'!C2297),'월 가계부'!C2297,VALUE(SUBSTITUTE(SUBSTITUTE(SUBSTITUTE(SUBSTITUTE(TRIM('월 가계부'!C2297),",",""),"원","")," ",""),"−","-")))),"")</f>
        <v/>
      </c>
      <c r="CK2297">
        <f>IF(ISNUMBER(CI2297),IF(CI2297&lt;$B$13,CI2297,""),"")</f>
        <v/>
      </c>
      <c r="CM2297">
        <f>IF(CH2297="","",IFERROR(IF(IF(AND(LEN(CH2297)=9,ISERROR(FIND("-",LEFT(CH2297,8))),ISNUMBER(-LEFT(CH2297,8))),VALUE(LEFT(CH2297,4)),VALUE(LEFT(CH2297,FIND("-",CH2297)-1)))&lt;100,IF(AND(LEN(CH2297)=9,ISERROR(FIND("-",LEFT(CH2297,8))),ISNUMBER(-LEFT(CH2297,8))),VALUE(LEFT(CH2297,4)),VALUE(LEFT(CH2297,FIND("-",CH2297)-1)))+2000,IF(AND(LEN(CH2297)=9,ISERROR(FIND("-",LEFT(CH2297,8))),ISNUMBER(-LEFT(CH2297,8))),VALUE(LEFT(CH2297,4)),VALUE(LEFT(CH2297,FIND("-",CH2297)-1)))),""))</f>
        <v/>
      </c>
      <c r="CN2297">
        <f>IF(CH2297="","",IFERROR(IF(AND(LEN(CH2297)=9,ISERROR(FIND("-",LEFT(CH2297,8))),ISNUMBER(-LEFT(CH2297,8))),VALUE(MID(CH2297,5,2)),VALUE(MID(CH2297,FIND("-",CH2297)+1,FIND("-",CH2297,FIND("-",CH2297)+1)-FIND("-",CH2297)-1))),""))</f>
        <v/>
      </c>
      <c r="CO2297">
        <f>IF(CH2297="","",IFERROR(IF(AND(LEN(CH2297)=9,ISERROR(FIND("-",LEFT(CH2297,8))),ISNUMBER(-LEFT(CH2297,8))),VALUE(MID(CH2297,7,2)),VALUE(MID(CH2297,FIND("-",CH2297,FIND("-",CH2297)+1)+1,FIND("-",CH2297,FIND("-",CH2297,FIND("-",CH2297)+1)+1)-FIND("-",CH2297,FIND("-",CH2297)+1)-1))),""))</f>
        <v/>
      </c>
    </row>
    <row r="2298">
      <c r="CH2298">
        <f>IF(ISTEXT('월 가계부'!A2298),SUBSTITUTE(SUBSTITUTE(SUBSTITUTE(SUBSTITUTE(SUBSTITUTE(SUBSTITUTE(SUBSTITUTE(SUBSTITUTE(SUBSTITUTE(TRIM('월 가계부'!A2298),"년","-"),"월","-"),"일",""),".","-"),"/","-")," ","-"),"--","-"),"--","-"),"--","-")&amp;"-","")</f>
        <v/>
      </c>
      <c r="CI2298">
        <f>IFERROR(IF('월 가계부'!A2298="","",IF(ISNUMBER('월 가계부'!A2298),IF(AND('월 가계부'!A2298&gt;=19000101,'월 가계부'!A2298&lt;=21001231),IF(AND(MOD(INT('월 가계부'!A2298/100),100)&gt;=1,MOD(INT('월 가계부'!A2298/100),100)&lt;=12,MOD(INT('월 가계부'!A2298),100)&gt;=1,MOD(INT('월 가계부'!A2298),100)&lt;=31),IF(MONTH(DATE(INT('월 가계부'!A2298/10000),MOD(INT('월 가계부'!A2298/100),100),MOD(INT('월 가계부'!A2298),100)))=MOD(INT('월 가계부'!A2298/100),100),DATE(INT('월 가계부'!A2298/10000),MOD(INT('월 가계부'!A2298/100),100),MOD(INT('월 가계부'!A2298),100)),""),""),IF(AND('월 가계부'!A2298&gt;=36526,'월 가계부'!A2298&lt;73051),INT('월 가계부'!A2298),"")),IF(OR(CM2298="",CN2298="",CO2298=""),"",IF(AND(CM2298&gt;=2000,CM2298&lt;=2099,CN2298&gt;=1,CN2298&lt;=12,CO2298&gt;=1,CO2298&lt;=31),IF(MONTH(DATE(CM2298,CN2298,CO2298))=CN2298,DATE(CM2298,CN2298,CO2298),""),"")))),"")</f>
        <v/>
      </c>
      <c r="CJ2298">
        <f>IFERROR(IF('월 가계부'!C2298="","",IF(ISNUMBER('월 가계부'!C2298),'월 가계부'!C2298,VALUE(SUBSTITUTE(SUBSTITUTE(SUBSTITUTE(SUBSTITUTE(TRIM('월 가계부'!C2298),",",""),"원","")," ",""),"−","-")))),"")</f>
        <v/>
      </c>
      <c r="CK2298">
        <f>IF(ISNUMBER(CI2298),IF(CI2298&lt;$B$13,CI2298,""),"")</f>
        <v/>
      </c>
      <c r="CM2298">
        <f>IF(CH2298="","",IFERROR(IF(IF(AND(LEN(CH2298)=9,ISERROR(FIND("-",LEFT(CH2298,8))),ISNUMBER(-LEFT(CH2298,8))),VALUE(LEFT(CH2298,4)),VALUE(LEFT(CH2298,FIND("-",CH2298)-1)))&lt;100,IF(AND(LEN(CH2298)=9,ISERROR(FIND("-",LEFT(CH2298,8))),ISNUMBER(-LEFT(CH2298,8))),VALUE(LEFT(CH2298,4)),VALUE(LEFT(CH2298,FIND("-",CH2298)-1)))+2000,IF(AND(LEN(CH2298)=9,ISERROR(FIND("-",LEFT(CH2298,8))),ISNUMBER(-LEFT(CH2298,8))),VALUE(LEFT(CH2298,4)),VALUE(LEFT(CH2298,FIND("-",CH2298)-1)))),""))</f>
        <v/>
      </c>
      <c r="CN2298">
        <f>IF(CH2298="","",IFERROR(IF(AND(LEN(CH2298)=9,ISERROR(FIND("-",LEFT(CH2298,8))),ISNUMBER(-LEFT(CH2298,8))),VALUE(MID(CH2298,5,2)),VALUE(MID(CH2298,FIND("-",CH2298)+1,FIND("-",CH2298,FIND("-",CH2298)+1)-FIND("-",CH2298)-1))),""))</f>
        <v/>
      </c>
      <c r="CO2298">
        <f>IF(CH2298="","",IFERROR(IF(AND(LEN(CH2298)=9,ISERROR(FIND("-",LEFT(CH2298,8))),ISNUMBER(-LEFT(CH2298,8))),VALUE(MID(CH2298,7,2)),VALUE(MID(CH2298,FIND("-",CH2298,FIND("-",CH2298)+1)+1,FIND("-",CH2298,FIND("-",CH2298,FIND("-",CH2298)+1)+1)-FIND("-",CH2298,FIND("-",CH2298)+1)-1))),""))</f>
        <v/>
      </c>
    </row>
    <row r="2299">
      <c r="CH2299">
        <f>IF(ISTEXT('월 가계부'!A2299),SUBSTITUTE(SUBSTITUTE(SUBSTITUTE(SUBSTITUTE(SUBSTITUTE(SUBSTITUTE(SUBSTITUTE(SUBSTITUTE(SUBSTITUTE(TRIM('월 가계부'!A2299),"년","-"),"월","-"),"일",""),".","-"),"/","-")," ","-"),"--","-"),"--","-"),"--","-")&amp;"-","")</f>
        <v/>
      </c>
      <c r="CI2299">
        <f>IFERROR(IF('월 가계부'!A2299="","",IF(ISNUMBER('월 가계부'!A2299),IF(AND('월 가계부'!A2299&gt;=19000101,'월 가계부'!A2299&lt;=21001231),IF(AND(MOD(INT('월 가계부'!A2299/100),100)&gt;=1,MOD(INT('월 가계부'!A2299/100),100)&lt;=12,MOD(INT('월 가계부'!A2299),100)&gt;=1,MOD(INT('월 가계부'!A2299),100)&lt;=31),IF(MONTH(DATE(INT('월 가계부'!A2299/10000),MOD(INT('월 가계부'!A2299/100),100),MOD(INT('월 가계부'!A2299),100)))=MOD(INT('월 가계부'!A2299/100),100),DATE(INT('월 가계부'!A2299/10000),MOD(INT('월 가계부'!A2299/100),100),MOD(INT('월 가계부'!A2299),100)),""),""),IF(AND('월 가계부'!A2299&gt;=36526,'월 가계부'!A2299&lt;73051),INT('월 가계부'!A2299),"")),IF(OR(CM2299="",CN2299="",CO2299=""),"",IF(AND(CM2299&gt;=2000,CM2299&lt;=2099,CN2299&gt;=1,CN2299&lt;=12,CO2299&gt;=1,CO2299&lt;=31),IF(MONTH(DATE(CM2299,CN2299,CO2299))=CN2299,DATE(CM2299,CN2299,CO2299),""),"")))),"")</f>
        <v/>
      </c>
      <c r="CJ2299">
        <f>IFERROR(IF('월 가계부'!C2299="","",IF(ISNUMBER('월 가계부'!C2299),'월 가계부'!C2299,VALUE(SUBSTITUTE(SUBSTITUTE(SUBSTITUTE(SUBSTITUTE(TRIM('월 가계부'!C2299),",",""),"원","")," ",""),"−","-")))),"")</f>
        <v/>
      </c>
      <c r="CK2299">
        <f>IF(ISNUMBER(CI2299),IF(CI2299&lt;$B$13,CI2299,""),"")</f>
        <v/>
      </c>
      <c r="CM2299">
        <f>IF(CH2299="","",IFERROR(IF(IF(AND(LEN(CH2299)=9,ISERROR(FIND("-",LEFT(CH2299,8))),ISNUMBER(-LEFT(CH2299,8))),VALUE(LEFT(CH2299,4)),VALUE(LEFT(CH2299,FIND("-",CH2299)-1)))&lt;100,IF(AND(LEN(CH2299)=9,ISERROR(FIND("-",LEFT(CH2299,8))),ISNUMBER(-LEFT(CH2299,8))),VALUE(LEFT(CH2299,4)),VALUE(LEFT(CH2299,FIND("-",CH2299)-1)))+2000,IF(AND(LEN(CH2299)=9,ISERROR(FIND("-",LEFT(CH2299,8))),ISNUMBER(-LEFT(CH2299,8))),VALUE(LEFT(CH2299,4)),VALUE(LEFT(CH2299,FIND("-",CH2299)-1)))),""))</f>
        <v/>
      </c>
      <c r="CN2299">
        <f>IF(CH2299="","",IFERROR(IF(AND(LEN(CH2299)=9,ISERROR(FIND("-",LEFT(CH2299,8))),ISNUMBER(-LEFT(CH2299,8))),VALUE(MID(CH2299,5,2)),VALUE(MID(CH2299,FIND("-",CH2299)+1,FIND("-",CH2299,FIND("-",CH2299)+1)-FIND("-",CH2299)-1))),""))</f>
        <v/>
      </c>
      <c r="CO2299">
        <f>IF(CH2299="","",IFERROR(IF(AND(LEN(CH2299)=9,ISERROR(FIND("-",LEFT(CH2299,8))),ISNUMBER(-LEFT(CH2299,8))),VALUE(MID(CH2299,7,2)),VALUE(MID(CH2299,FIND("-",CH2299,FIND("-",CH2299)+1)+1,FIND("-",CH2299,FIND("-",CH2299,FIND("-",CH2299)+1)+1)-FIND("-",CH2299,FIND("-",CH2299)+1)-1))),""))</f>
        <v/>
      </c>
    </row>
    <row r="2300">
      <c r="CH2300">
        <f>IF(ISTEXT('월 가계부'!A2300),SUBSTITUTE(SUBSTITUTE(SUBSTITUTE(SUBSTITUTE(SUBSTITUTE(SUBSTITUTE(SUBSTITUTE(SUBSTITUTE(SUBSTITUTE(TRIM('월 가계부'!A2300),"년","-"),"월","-"),"일",""),".","-"),"/","-")," ","-"),"--","-"),"--","-"),"--","-")&amp;"-","")</f>
        <v/>
      </c>
      <c r="CI2300">
        <f>IFERROR(IF('월 가계부'!A2300="","",IF(ISNUMBER('월 가계부'!A2300),IF(AND('월 가계부'!A2300&gt;=19000101,'월 가계부'!A2300&lt;=21001231),IF(AND(MOD(INT('월 가계부'!A2300/100),100)&gt;=1,MOD(INT('월 가계부'!A2300/100),100)&lt;=12,MOD(INT('월 가계부'!A2300),100)&gt;=1,MOD(INT('월 가계부'!A2300),100)&lt;=31),IF(MONTH(DATE(INT('월 가계부'!A2300/10000),MOD(INT('월 가계부'!A2300/100),100),MOD(INT('월 가계부'!A2300),100)))=MOD(INT('월 가계부'!A2300/100),100),DATE(INT('월 가계부'!A2300/10000),MOD(INT('월 가계부'!A2300/100),100),MOD(INT('월 가계부'!A2300),100)),""),""),IF(AND('월 가계부'!A2300&gt;=36526,'월 가계부'!A2300&lt;73051),INT('월 가계부'!A2300),"")),IF(OR(CM2300="",CN2300="",CO2300=""),"",IF(AND(CM2300&gt;=2000,CM2300&lt;=2099,CN2300&gt;=1,CN2300&lt;=12,CO2300&gt;=1,CO2300&lt;=31),IF(MONTH(DATE(CM2300,CN2300,CO2300))=CN2300,DATE(CM2300,CN2300,CO2300),""),"")))),"")</f>
        <v/>
      </c>
      <c r="CJ2300">
        <f>IFERROR(IF('월 가계부'!C2300="","",IF(ISNUMBER('월 가계부'!C2300),'월 가계부'!C2300,VALUE(SUBSTITUTE(SUBSTITUTE(SUBSTITUTE(SUBSTITUTE(TRIM('월 가계부'!C2300),",",""),"원","")," ",""),"−","-")))),"")</f>
        <v/>
      </c>
      <c r="CK2300">
        <f>IF(ISNUMBER(CI2300),IF(CI2300&lt;$B$13,CI2300,""),"")</f>
        <v/>
      </c>
      <c r="CM2300">
        <f>IF(CH2300="","",IFERROR(IF(IF(AND(LEN(CH2300)=9,ISERROR(FIND("-",LEFT(CH2300,8))),ISNUMBER(-LEFT(CH2300,8))),VALUE(LEFT(CH2300,4)),VALUE(LEFT(CH2300,FIND("-",CH2300)-1)))&lt;100,IF(AND(LEN(CH2300)=9,ISERROR(FIND("-",LEFT(CH2300,8))),ISNUMBER(-LEFT(CH2300,8))),VALUE(LEFT(CH2300,4)),VALUE(LEFT(CH2300,FIND("-",CH2300)-1)))+2000,IF(AND(LEN(CH2300)=9,ISERROR(FIND("-",LEFT(CH2300,8))),ISNUMBER(-LEFT(CH2300,8))),VALUE(LEFT(CH2300,4)),VALUE(LEFT(CH2300,FIND("-",CH2300)-1)))),""))</f>
        <v/>
      </c>
      <c r="CN2300">
        <f>IF(CH2300="","",IFERROR(IF(AND(LEN(CH2300)=9,ISERROR(FIND("-",LEFT(CH2300,8))),ISNUMBER(-LEFT(CH2300,8))),VALUE(MID(CH2300,5,2)),VALUE(MID(CH2300,FIND("-",CH2300)+1,FIND("-",CH2300,FIND("-",CH2300)+1)-FIND("-",CH2300)-1))),""))</f>
        <v/>
      </c>
      <c r="CO2300">
        <f>IF(CH2300="","",IFERROR(IF(AND(LEN(CH2300)=9,ISERROR(FIND("-",LEFT(CH2300,8))),ISNUMBER(-LEFT(CH2300,8))),VALUE(MID(CH2300,7,2)),VALUE(MID(CH2300,FIND("-",CH2300,FIND("-",CH2300)+1)+1,FIND("-",CH2300,FIND("-",CH2300,FIND("-",CH2300)+1)+1)-FIND("-",CH2300,FIND("-",CH2300)+1)-1))),""))</f>
        <v/>
      </c>
    </row>
    <row r="2301">
      <c r="CH2301">
        <f>IF(ISTEXT('월 가계부'!A2301),SUBSTITUTE(SUBSTITUTE(SUBSTITUTE(SUBSTITUTE(SUBSTITUTE(SUBSTITUTE(SUBSTITUTE(SUBSTITUTE(SUBSTITUTE(TRIM('월 가계부'!A2301),"년","-"),"월","-"),"일",""),".","-"),"/","-")," ","-"),"--","-"),"--","-"),"--","-")&amp;"-","")</f>
        <v/>
      </c>
      <c r="CI2301">
        <f>IFERROR(IF('월 가계부'!A2301="","",IF(ISNUMBER('월 가계부'!A2301),IF(AND('월 가계부'!A2301&gt;=19000101,'월 가계부'!A2301&lt;=21001231),IF(AND(MOD(INT('월 가계부'!A2301/100),100)&gt;=1,MOD(INT('월 가계부'!A2301/100),100)&lt;=12,MOD(INT('월 가계부'!A2301),100)&gt;=1,MOD(INT('월 가계부'!A2301),100)&lt;=31),IF(MONTH(DATE(INT('월 가계부'!A2301/10000),MOD(INT('월 가계부'!A2301/100),100),MOD(INT('월 가계부'!A2301),100)))=MOD(INT('월 가계부'!A2301/100),100),DATE(INT('월 가계부'!A2301/10000),MOD(INT('월 가계부'!A2301/100),100),MOD(INT('월 가계부'!A2301),100)),""),""),IF(AND('월 가계부'!A2301&gt;=36526,'월 가계부'!A2301&lt;73051),INT('월 가계부'!A2301),"")),IF(OR(CM2301="",CN2301="",CO2301=""),"",IF(AND(CM2301&gt;=2000,CM2301&lt;=2099,CN2301&gt;=1,CN2301&lt;=12,CO2301&gt;=1,CO2301&lt;=31),IF(MONTH(DATE(CM2301,CN2301,CO2301))=CN2301,DATE(CM2301,CN2301,CO2301),""),"")))),"")</f>
        <v/>
      </c>
      <c r="CJ2301">
        <f>IFERROR(IF('월 가계부'!C2301="","",IF(ISNUMBER('월 가계부'!C2301),'월 가계부'!C2301,VALUE(SUBSTITUTE(SUBSTITUTE(SUBSTITUTE(SUBSTITUTE(TRIM('월 가계부'!C2301),",",""),"원","")," ",""),"−","-")))),"")</f>
        <v/>
      </c>
      <c r="CK2301">
        <f>IF(ISNUMBER(CI2301),IF(CI2301&lt;$B$13,CI2301,""),"")</f>
        <v/>
      </c>
      <c r="CM2301">
        <f>IF(CH2301="","",IFERROR(IF(IF(AND(LEN(CH2301)=9,ISERROR(FIND("-",LEFT(CH2301,8))),ISNUMBER(-LEFT(CH2301,8))),VALUE(LEFT(CH2301,4)),VALUE(LEFT(CH2301,FIND("-",CH2301)-1)))&lt;100,IF(AND(LEN(CH2301)=9,ISERROR(FIND("-",LEFT(CH2301,8))),ISNUMBER(-LEFT(CH2301,8))),VALUE(LEFT(CH2301,4)),VALUE(LEFT(CH2301,FIND("-",CH2301)-1)))+2000,IF(AND(LEN(CH2301)=9,ISERROR(FIND("-",LEFT(CH2301,8))),ISNUMBER(-LEFT(CH2301,8))),VALUE(LEFT(CH2301,4)),VALUE(LEFT(CH2301,FIND("-",CH2301)-1)))),""))</f>
        <v/>
      </c>
      <c r="CN2301">
        <f>IF(CH2301="","",IFERROR(IF(AND(LEN(CH2301)=9,ISERROR(FIND("-",LEFT(CH2301,8))),ISNUMBER(-LEFT(CH2301,8))),VALUE(MID(CH2301,5,2)),VALUE(MID(CH2301,FIND("-",CH2301)+1,FIND("-",CH2301,FIND("-",CH2301)+1)-FIND("-",CH2301)-1))),""))</f>
        <v/>
      </c>
      <c r="CO2301">
        <f>IF(CH2301="","",IFERROR(IF(AND(LEN(CH2301)=9,ISERROR(FIND("-",LEFT(CH2301,8))),ISNUMBER(-LEFT(CH2301,8))),VALUE(MID(CH2301,7,2)),VALUE(MID(CH2301,FIND("-",CH2301,FIND("-",CH2301)+1)+1,FIND("-",CH2301,FIND("-",CH2301,FIND("-",CH2301)+1)+1)-FIND("-",CH2301,FIND("-",CH2301)+1)-1))),""))</f>
        <v/>
      </c>
    </row>
    <row r="2302">
      <c r="CH2302">
        <f>IF(ISTEXT('월 가계부'!A2302),SUBSTITUTE(SUBSTITUTE(SUBSTITUTE(SUBSTITUTE(SUBSTITUTE(SUBSTITUTE(SUBSTITUTE(SUBSTITUTE(SUBSTITUTE(TRIM('월 가계부'!A2302),"년","-"),"월","-"),"일",""),".","-"),"/","-")," ","-"),"--","-"),"--","-"),"--","-")&amp;"-","")</f>
        <v/>
      </c>
      <c r="CI2302">
        <f>IFERROR(IF('월 가계부'!A2302="","",IF(ISNUMBER('월 가계부'!A2302),IF(AND('월 가계부'!A2302&gt;=19000101,'월 가계부'!A2302&lt;=21001231),IF(AND(MOD(INT('월 가계부'!A2302/100),100)&gt;=1,MOD(INT('월 가계부'!A2302/100),100)&lt;=12,MOD(INT('월 가계부'!A2302),100)&gt;=1,MOD(INT('월 가계부'!A2302),100)&lt;=31),IF(MONTH(DATE(INT('월 가계부'!A2302/10000),MOD(INT('월 가계부'!A2302/100),100),MOD(INT('월 가계부'!A2302),100)))=MOD(INT('월 가계부'!A2302/100),100),DATE(INT('월 가계부'!A2302/10000),MOD(INT('월 가계부'!A2302/100),100),MOD(INT('월 가계부'!A2302),100)),""),""),IF(AND('월 가계부'!A2302&gt;=36526,'월 가계부'!A2302&lt;73051),INT('월 가계부'!A2302),"")),IF(OR(CM2302="",CN2302="",CO2302=""),"",IF(AND(CM2302&gt;=2000,CM2302&lt;=2099,CN2302&gt;=1,CN2302&lt;=12,CO2302&gt;=1,CO2302&lt;=31),IF(MONTH(DATE(CM2302,CN2302,CO2302))=CN2302,DATE(CM2302,CN2302,CO2302),""),"")))),"")</f>
        <v/>
      </c>
      <c r="CJ2302">
        <f>IFERROR(IF('월 가계부'!C2302="","",IF(ISNUMBER('월 가계부'!C2302),'월 가계부'!C2302,VALUE(SUBSTITUTE(SUBSTITUTE(SUBSTITUTE(SUBSTITUTE(TRIM('월 가계부'!C2302),",",""),"원","")," ",""),"−","-")))),"")</f>
        <v/>
      </c>
      <c r="CK2302">
        <f>IF(ISNUMBER(CI2302),IF(CI2302&lt;$B$13,CI2302,""),"")</f>
        <v/>
      </c>
      <c r="CM2302">
        <f>IF(CH2302="","",IFERROR(IF(IF(AND(LEN(CH2302)=9,ISERROR(FIND("-",LEFT(CH2302,8))),ISNUMBER(-LEFT(CH2302,8))),VALUE(LEFT(CH2302,4)),VALUE(LEFT(CH2302,FIND("-",CH2302)-1)))&lt;100,IF(AND(LEN(CH2302)=9,ISERROR(FIND("-",LEFT(CH2302,8))),ISNUMBER(-LEFT(CH2302,8))),VALUE(LEFT(CH2302,4)),VALUE(LEFT(CH2302,FIND("-",CH2302)-1)))+2000,IF(AND(LEN(CH2302)=9,ISERROR(FIND("-",LEFT(CH2302,8))),ISNUMBER(-LEFT(CH2302,8))),VALUE(LEFT(CH2302,4)),VALUE(LEFT(CH2302,FIND("-",CH2302)-1)))),""))</f>
        <v/>
      </c>
      <c r="CN2302">
        <f>IF(CH2302="","",IFERROR(IF(AND(LEN(CH2302)=9,ISERROR(FIND("-",LEFT(CH2302,8))),ISNUMBER(-LEFT(CH2302,8))),VALUE(MID(CH2302,5,2)),VALUE(MID(CH2302,FIND("-",CH2302)+1,FIND("-",CH2302,FIND("-",CH2302)+1)-FIND("-",CH2302)-1))),""))</f>
        <v/>
      </c>
      <c r="CO2302">
        <f>IF(CH2302="","",IFERROR(IF(AND(LEN(CH2302)=9,ISERROR(FIND("-",LEFT(CH2302,8))),ISNUMBER(-LEFT(CH2302,8))),VALUE(MID(CH2302,7,2)),VALUE(MID(CH2302,FIND("-",CH2302,FIND("-",CH2302)+1)+1,FIND("-",CH2302,FIND("-",CH2302,FIND("-",CH2302)+1)+1)-FIND("-",CH2302,FIND("-",CH2302)+1)-1))),""))</f>
        <v/>
      </c>
    </row>
    <row r="2303">
      <c r="CH2303">
        <f>IF(ISTEXT('월 가계부'!A2303),SUBSTITUTE(SUBSTITUTE(SUBSTITUTE(SUBSTITUTE(SUBSTITUTE(SUBSTITUTE(SUBSTITUTE(SUBSTITUTE(SUBSTITUTE(TRIM('월 가계부'!A2303),"년","-"),"월","-"),"일",""),".","-"),"/","-")," ","-"),"--","-"),"--","-"),"--","-")&amp;"-","")</f>
        <v/>
      </c>
      <c r="CI2303">
        <f>IFERROR(IF('월 가계부'!A2303="","",IF(ISNUMBER('월 가계부'!A2303),IF(AND('월 가계부'!A2303&gt;=19000101,'월 가계부'!A2303&lt;=21001231),IF(AND(MOD(INT('월 가계부'!A2303/100),100)&gt;=1,MOD(INT('월 가계부'!A2303/100),100)&lt;=12,MOD(INT('월 가계부'!A2303),100)&gt;=1,MOD(INT('월 가계부'!A2303),100)&lt;=31),IF(MONTH(DATE(INT('월 가계부'!A2303/10000),MOD(INT('월 가계부'!A2303/100),100),MOD(INT('월 가계부'!A2303),100)))=MOD(INT('월 가계부'!A2303/100),100),DATE(INT('월 가계부'!A2303/10000),MOD(INT('월 가계부'!A2303/100),100),MOD(INT('월 가계부'!A2303),100)),""),""),IF(AND('월 가계부'!A2303&gt;=36526,'월 가계부'!A2303&lt;73051),INT('월 가계부'!A2303),"")),IF(OR(CM2303="",CN2303="",CO2303=""),"",IF(AND(CM2303&gt;=2000,CM2303&lt;=2099,CN2303&gt;=1,CN2303&lt;=12,CO2303&gt;=1,CO2303&lt;=31),IF(MONTH(DATE(CM2303,CN2303,CO2303))=CN2303,DATE(CM2303,CN2303,CO2303),""),"")))),"")</f>
        <v/>
      </c>
      <c r="CJ2303">
        <f>IFERROR(IF('월 가계부'!C2303="","",IF(ISNUMBER('월 가계부'!C2303),'월 가계부'!C2303,VALUE(SUBSTITUTE(SUBSTITUTE(SUBSTITUTE(SUBSTITUTE(TRIM('월 가계부'!C2303),",",""),"원","")," ",""),"−","-")))),"")</f>
        <v/>
      </c>
      <c r="CK2303">
        <f>IF(ISNUMBER(CI2303),IF(CI2303&lt;$B$13,CI2303,""),"")</f>
        <v/>
      </c>
      <c r="CM2303">
        <f>IF(CH2303="","",IFERROR(IF(IF(AND(LEN(CH2303)=9,ISERROR(FIND("-",LEFT(CH2303,8))),ISNUMBER(-LEFT(CH2303,8))),VALUE(LEFT(CH2303,4)),VALUE(LEFT(CH2303,FIND("-",CH2303)-1)))&lt;100,IF(AND(LEN(CH2303)=9,ISERROR(FIND("-",LEFT(CH2303,8))),ISNUMBER(-LEFT(CH2303,8))),VALUE(LEFT(CH2303,4)),VALUE(LEFT(CH2303,FIND("-",CH2303)-1)))+2000,IF(AND(LEN(CH2303)=9,ISERROR(FIND("-",LEFT(CH2303,8))),ISNUMBER(-LEFT(CH2303,8))),VALUE(LEFT(CH2303,4)),VALUE(LEFT(CH2303,FIND("-",CH2303)-1)))),""))</f>
        <v/>
      </c>
      <c r="CN2303">
        <f>IF(CH2303="","",IFERROR(IF(AND(LEN(CH2303)=9,ISERROR(FIND("-",LEFT(CH2303,8))),ISNUMBER(-LEFT(CH2303,8))),VALUE(MID(CH2303,5,2)),VALUE(MID(CH2303,FIND("-",CH2303)+1,FIND("-",CH2303,FIND("-",CH2303)+1)-FIND("-",CH2303)-1))),""))</f>
        <v/>
      </c>
      <c r="CO2303">
        <f>IF(CH2303="","",IFERROR(IF(AND(LEN(CH2303)=9,ISERROR(FIND("-",LEFT(CH2303,8))),ISNUMBER(-LEFT(CH2303,8))),VALUE(MID(CH2303,7,2)),VALUE(MID(CH2303,FIND("-",CH2303,FIND("-",CH2303)+1)+1,FIND("-",CH2303,FIND("-",CH2303,FIND("-",CH2303)+1)+1)-FIND("-",CH2303,FIND("-",CH2303)+1)-1))),""))</f>
        <v/>
      </c>
    </row>
    <row r="2304">
      <c r="CH2304">
        <f>IF(ISTEXT('월 가계부'!A2304),SUBSTITUTE(SUBSTITUTE(SUBSTITUTE(SUBSTITUTE(SUBSTITUTE(SUBSTITUTE(SUBSTITUTE(SUBSTITUTE(SUBSTITUTE(TRIM('월 가계부'!A2304),"년","-"),"월","-"),"일",""),".","-"),"/","-")," ","-"),"--","-"),"--","-"),"--","-")&amp;"-","")</f>
        <v/>
      </c>
      <c r="CI2304">
        <f>IFERROR(IF('월 가계부'!A2304="","",IF(ISNUMBER('월 가계부'!A2304),IF(AND('월 가계부'!A2304&gt;=19000101,'월 가계부'!A2304&lt;=21001231),IF(AND(MOD(INT('월 가계부'!A2304/100),100)&gt;=1,MOD(INT('월 가계부'!A2304/100),100)&lt;=12,MOD(INT('월 가계부'!A2304),100)&gt;=1,MOD(INT('월 가계부'!A2304),100)&lt;=31),IF(MONTH(DATE(INT('월 가계부'!A2304/10000),MOD(INT('월 가계부'!A2304/100),100),MOD(INT('월 가계부'!A2304),100)))=MOD(INT('월 가계부'!A2304/100),100),DATE(INT('월 가계부'!A2304/10000),MOD(INT('월 가계부'!A2304/100),100),MOD(INT('월 가계부'!A2304),100)),""),""),IF(AND('월 가계부'!A2304&gt;=36526,'월 가계부'!A2304&lt;73051),INT('월 가계부'!A2304),"")),IF(OR(CM2304="",CN2304="",CO2304=""),"",IF(AND(CM2304&gt;=2000,CM2304&lt;=2099,CN2304&gt;=1,CN2304&lt;=12,CO2304&gt;=1,CO2304&lt;=31),IF(MONTH(DATE(CM2304,CN2304,CO2304))=CN2304,DATE(CM2304,CN2304,CO2304),""),"")))),"")</f>
        <v/>
      </c>
      <c r="CJ2304">
        <f>IFERROR(IF('월 가계부'!C2304="","",IF(ISNUMBER('월 가계부'!C2304),'월 가계부'!C2304,VALUE(SUBSTITUTE(SUBSTITUTE(SUBSTITUTE(SUBSTITUTE(TRIM('월 가계부'!C2304),",",""),"원","")," ",""),"−","-")))),"")</f>
        <v/>
      </c>
      <c r="CK2304">
        <f>IF(ISNUMBER(CI2304),IF(CI2304&lt;$B$13,CI2304,""),"")</f>
        <v/>
      </c>
      <c r="CM2304">
        <f>IF(CH2304="","",IFERROR(IF(IF(AND(LEN(CH2304)=9,ISERROR(FIND("-",LEFT(CH2304,8))),ISNUMBER(-LEFT(CH2304,8))),VALUE(LEFT(CH2304,4)),VALUE(LEFT(CH2304,FIND("-",CH2304)-1)))&lt;100,IF(AND(LEN(CH2304)=9,ISERROR(FIND("-",LEFT(CH2304,8))),ISNUMBER(-LEFT(CH2304,8))),VALUE(LEFT(CH2304,4)),VALUE(LEFT(CH2304,FIND("-",CH2304)-1)))+2000,IF(AND(LEN(CH2304)=9,ISERROR(FIND("-",LEFT(CH2304,8))),ISNUMBER(-LEFT(CH2304,8))),VALUE(LEFT(CH2304,4)),VALUE(LEFT(CH2304,FIND("-",CH2304)-1)))),""))</f>
        <v/>
      </c>
      <c r="CN2304">
        <f>IF(CH2304="","",IFERROR(IF(AND(LEN(CH2304)=9,ISERROR(FIND("-",LEFT(CH2304,8))),ISNUMBER(-LEFT(CH2304,8))),VALUE(MID(CH2304,5,2)),VALUE(MID(CH2304,FIND("-",CH2304)+1,FIND("-",CH2304,FIND("-",CH2304)+1)-FIND("-",CH2304)-1))),""))</f>
        <v/>
      </c>
      <c r="CO2304">
        <f>IF(CH2304="","",IFERROR(IF(AND(LEN(CH2304)=9,ISERROR(FIND("-",LEFT(CH2304,8))),ISNUMBER(-LEFT(CH2304,8))),VALUE(MID(CH2304,7,2)),VALUE(MID(CH2304,FIND("-",CH2304,FIND("-",CH2304)+1)+1,FIND("-",CH2304,FIND("-",CH2304,FIND("-",CH2304)+1)+1)-FIND("-",CH2304,FIND("-",CH2304)+1)-1))),""))</f>
        <v/>
      </c>
    </row>
    <row r="2305">
      <c r="CH2305">
        <f>IF(ISTEXT('월 가계부'!A2305),SUBSTITUTE(SUBSTITUTE(SUBSTITUTE(SUBSTITUTE(SUBSTITUTE(SUBSTITUTE(SUBSTITUTE(SUBSTITUTE(SUBSTITUTE(TRIM('월 가계부'!A2305),"년","-"),"월","-"),"일",""),".","-"),"/","-")," ","-"),"--","-"),"--","-"),"--","-")&amp;"-","")</f>
        <v/>
      </c>
      <c r="CI2305">
        <f>IFERROR(IF('월 가계부'!A2305="","",IF(ISNUMBER('월 가계부'!A2305),IF(AND('월 가계부'!A2305&gt;=19000101,'월 가계부'!A2305&lt;=21001231),IF(AND(MOD(INT('월 가계부'!A2305/100),100)&gt;=1,MOD(INT('월 가계부'!A2305/100),100)&lt;=12,MOD(INT('월 가계부'!A2305),100)&gt;=1,MOD(INT('월 가계부'!A2305),100)&lt;=31),IF(MONTH(DATE(INT('월 가계부'!A2305/10000),MOD(INT('월 가계부'!A2305/100),100),MOD(INT('월 가계부'!A2305),100)))=MOD(INT('월 가계부'!A2305/100),100),DATE(INT('월 가계부'!A2305/10000),MOD(INT('월 가계부'!A2305/100),100),MOD(INT('월 가계부'!A2305),100)),""),""),IF(AND('월 가계부'!A2305&gt;=36526,'월 가계부'!A2305&lt;73051),INT('월 가계부'!A2305),"")),IF(OR(CM2305="",CN2305="",CO2305=""),"",IF(AND(CM2305&gt;=2000,CM2305&lt;=2099,CN2305&gt;=1,CN2305&lt;=12,CO2305&gt;=1,CO2305&lt;=31),IF(MONTH(DATE(CM2305,CN2305,CO2305))=CN2305,DATE(CM2305,CN2305,CO2305),""),"")))),"")</f>
        <v/>
      </c>
      <c r="CJ2305">
        <f>IFERROR(IF('월 가계부'!C2305="","",IF(ISNUMBER('월 가계부'!C2305),'월 가계부'!C2305,VALUE(SUBSTITUTE(SUBSTITUTE(SUBSTITUTE(SUBSTITUTE(TRIM('월 가계부'!C2305),",",""),"원","")," ",""),"−","-")))),"")</f>
        <v/>
      </c>
      <c r="CK2305">
        <f>IF(ISNUMBER(CI2305),IF(CI2305&lt;$B$13,CI2305,""),"")</f>
        <v/>
      </c>
      <c r="CM2305">
        <f>IF(CH2305="","",IFERROR(IF(IF(AND(LEN(CH2305)=9,ISERROR(FIND("-",LEFT(CH2305,8))),ISNUMBER(-LEFT(CH2305,8))),VALUE(LEFT(CH2305,4)),VALUE(LEFT(CH2305,FIND("-",CH2305)-1)))&lt;100,IF(AND(LEN(CH2305)=9,ISERROR(FIND("-",LEFT(CH2305,8))),ISNUMBER(-LEFT(CH2305,8))),VALUE(LEFT(CH2305,4)),VALUE(LEFT(CH2305,FIND("-",CH2305)-1)))+2000,IF(AND(LEN(CH2305)=9,ISERROR(FIND("-",LEFT(CH2305,8))),ISNUMBER(-LEFT(CH2305,8))),VALUE(LEFT(CH2305,4)),VALUE(LEFT(CH2305,FIND("-",CH2305)-1)))),""))</f>
        <v/>
      </c>
      <c r="CN2305">
        <f>IF(CH2305="","",IFERROR(IF(AND(LEN(CH2305)=9,ISERROR(FIND("-",LEFT(CH2305,8))),ISNUMBER(-LEFT(CH2305,8))),VALUE(MID(CH2305,5,2)),VALUE(MID(CH2305,FIND("-",CH2305)+1,FIND("-",CH2305,FIND("-",CH2305)+1)-FIND("-",CH2305)-1))),""))</f>
        <v/>
      </c>
      <c r="CO2305">
        <f>IF(CH2305="","",IFERROR(IF(AND(LEN(CH2305)=9,ISERROR(FIND("-",LEFT(CH2305,8))),ISNUMBER(-LEFT(CH2305,8))),VALUE(MID(CH2305,7,2)),VALUE(MID(CH2305,FIND("-",CH2305,FIND("-",CH2305)+1)+1,FIND("-",CH2305,FIND("-",CH2305,FIND("-",CH2305)+1)+1)-FIND("-",CH2305,FIND("-",CH2305)+1)-1))),""))</f>
        <v/>
      </c>
    </row>
    <row r="2306">
      <c r="CH2306">
        <f>IF(ISTEXT('월 가계부'!A2306),SUBSTITUTE(SUBSTITUTE(SUBSTITUTE(SUBSTITUTE(SUBSTITUTE(SUBSTITUTE(SUBSTITUTE(SUBSTITUTE(SUBSTITUTE(TRIM('월 가계부'!A2306),"년","-"),"월","-"),"일",""),".","-"),"/","-")," ","-"),"--","-"),"--","-"),"--","-")&amp;"-","")</f>
        <v/>
      </c>
      <c r="CI2306">
        <f>IFERROR(IF('월 가계부'!A2306="","",IF(ISNUMBER('월 가계부'!A2306),IF(AND('월 가계부'!A2306&gt;=19000101,'월 가계부'!A2306&lt;=21001231),IF(AND(MOD(INT('월 가계부'!A2306/100),100)&gt;=1,MOD(INT('월 가계부'!A2306/100),100)&lt;=12,MOD(INT('월 가계부'!A2306),100)&gt;=1,MOD(INT('월 가계부'!A2306),100)&lt;=31),IF(MONTH(DATE(INT('월 가계부'!A2306/10000),MOD(INT('월 가계부'!A2306/100),100),MOD(INT('월 가계부'!A2306),100)))=MOD(INT('월 가계부'!A2306/100),100),DATE(INT('월 가계부'!A2306/10000),MOD(INT('월 가계부'!A2306/100),100),MOD(INT('월 가계부'!A2306),100)),""),""),IF(AND('월 가계부'!A2306&gt;=36526,'월 가계부'!A2306&lt;73051),INT('월 가계부'!A2306),"")),IF(OR(CM2306="",CN2306="",CO2306=""),"",IF(AND(CM2306&gt;=2000,CM2306&lt;=2099,CN2306&gt;=1,CN2306&lt;=12,CO2306&gt;=1,CO2306&lt;=31),IF(MONTH(DATE(CM2306,CN2306,CO2306))=CN2306,DATE(CM2306,CN2306,CO2306),""),"")))),"")</f>
        <v/>
      </c>
      <c r="CJ2306">
        <f>IFERROR(IF('월 가계부'!C2306="","",IF(ISNUMBER('월 가계부'!C2306),'월 가계부'!C2306,VALUE(SUBSTITUTE(SUBSTITUTE(SUBSTITUTE(SUBSTITUTE(TRIM('월 가계부'!C2306),",",""),"원","")," ",""),"−","-")))),"")</f>
        <v/>
      </c>
      <c r="CK2306">
        <f>IF(ISNUMBER(CI2306),IF(CI2306&lt;$B$13,CI2306,""),"")</f>
        <v/>
      </c>
      <c r="CM2306">
        <f>IF(CH2306="","",IFERROR(IF(IF(AND(LEN(CH2306)=9,ISERROR(FIND("-",LEFT(CH2306,8))),ISNUMBER(-LEFT(CH2306,8))),VALUE(LEFT(CH2306,4)),VALUE(LEFT(CH2306,FIND("-",CH2306)-1)))&lt;100,IF(AND(LEN(CH2306)=9,ISERROR(FIND("-",LEFT(CH2306,8))),ISNUMBER(-LEFT(CH2306,8))),VALUE(LEFT(CH2306,4)),VALUE(LEFT(CH2306,FIND("-",CH2306)-1)))+2000,IF(AND(LEN(CH2306)=9,ISERROR(FIND("-",LEFT(CH2306,8))),ISNUMBER(-LEFT(CH2306,8))),VALUE(LEFT(CH2306,4)),VALUE(LEFT(CH2306,FIND("-",CH2306)-1)))),""))</f>
        <v/>
      </c>
      <c r="CN2306">
        <f>IF(CH2306="","",IFERROR(IF(AND(LEN(CH2306)=9,ISERROR(FIND("-",LEFT(CH2306,8))),ISNUMBER(-LEFT(CH2306,8))),VALUE(MID(CH2306,5,2)),VALUE(MID(CH2306,FIND("-",CH2306)+1,FIND("-",CH2306,FIND("-",CH2306)+1)-FIND("-",CH2306)-1))),""))</f>
        <v/>
      </c>
      <c r="CO2306">
        <f>IF(CH2306="","",IFERROR(IF(AND(LEN(CH2306)=9,ISERROR(FIND("-",LEFT(CH2306,8))),ISNUMBER(-LEFT(CH2306,8))),VALUE(MID(CH2306,7,2)),VALUE(MID(CH2306,FIND("-",CH2306,FIND("-",CH2306)+1)+1,FIND("-",CH2306,FIND("-",CH2306,FIND("-",CH2306)+1)+1)-FIND("-",CH2306,FIND("-",CH2306)+1)-1))),""))</f>
        <v/>
      </c>
    </row>
    <row r="2307">
      <c r="CH2307">
        <f>IF(ISTEXT('월 가계부'!A2307),SUBSTITUTE(SUBSTITUTE(SUBSTITUTE(SUBSTITUTE(SUBSTITUTE(SUBSTITUTE(SUBSTITUTE(SUBSTITUTE(SUBSTITUTE(TRIM('월 가계부'!A2307),"년","-"),"월","-"),"일",""),".","-"),"/","-")," ","-"),"--","-"),"--","-"),"--","-")&amp;"-","")</f>
        <v/>
      </c>
      <c r="CI2307">
        <f>IFERROR(IF('월 가계부'!A2307="","",IF(ISNUMBER('월 가계부'!A2307),IF(AND('월 가계부'!A2307&gt;=19000101,'월 가계부'!A2307&lt;=21001231),IF(AND(MOD(INT('월 가계부'!A2307/100),100)&gt;=1,MOD(INT('월 가계부'!A2307/100),100)&lt;=12,MOD(INT('월 가계부'!A2307),100)&gt;=1,MOD(INT('월 가계부'!A2307),100)&lt;=31),IF(MONTH(DATE(INT('월 가계부'!A2307/10000),MOD(INT('월 가계부'!A2307/100),100),MOD(INT('월 가계부'!A2307),100)))=MOD(INT('월 가계부'!A2307/100),100),DATE(INT('월 가계부'!A2307/10000),MOD(INT('월 가계부'!A2307/100),100),MOD(INT('월 가계부'!A2307),100)),""),""),IF(AND('월 가계부'!A2307&gt;=36526,'월 가계부'!A2307&lt;73051),INT('월 가계부'!A2307),"")),IF(OR(CM2307="",CN2307="",CO2307=""),"",IF(AND(CM2307&gt;=2000,CM2307&lt;=2099,CN2307&gt;=1,CN2307&lt;=12,CO2307&gt;=1,CO2307&lt;=31),IF(MONTH(DATE(CM2307,CN2307,CO2307))=CN2307,DATE(CM2307,CN2307,CO2307),""),"")))),"")</f>
        <v/>
      </c>
      <c r="CJ2307">
        <f>IFERROR(IF('월 가계부'!C2307="","",IF(ISNUMBER('월 가계부'!C2307),'월 가계부'!C2307,VALUE(SUBSTITUTE(SUBSTITUTE(SUBSTITUTE(SUBSTITUTE(TRIM('월 가계부'!C2307),",",""),"원","")," ",""),"−","-")))),"")</f>
        <v/>
      </c>
      <c r="CK2307">
        <f>IF(ISNUMBER(CI2307),IF(CI2307&lt;$B$13,CI2307,""),"")</f>
        <v/>
      </c>
      <c r="CM2307">
        <f>IF(CH2307="","",IFERROR(IF(IF(AND(LEN(CH2307)=9,ISERROR(FIND("-",LEFT(CH2307,8))),ISNUMBER(-LEFT(CH2307,8))),VALUE(LEFT(CH2307,4)),VALUE(LEFT(CH2307,FIND("-",CH2307)-1)))&lt;100,IF(AND(LEN(CH2307)=9,ISERROR(FIND("-",LEFT(CH2307,8))),ISNUMBER(-LEFT(CH2307,8))),VALUE(LEFT(CH2307,4)),VALUE(LEFT(CH2307,FIND("-",CH2307)-1)))+2000,IF(AND(LEN(CH2307)=9,ISERROR(FIND("-",LEFT(CH2307,8))),ISNUMBER(-LEFT(CH2307,8))),VALUE(LEFT(CH2307,4)),VALUE(LEFT(CH2307,FIND("-",CH2307)-1)))),""))</f>
        <v/>
      </c>
      <c r="CN2307">
        <f>IF(CH2307="","",IFERROR(IF(AND(LEN(CH2307)=9,ISERROR(FIND("-",LEFT(CH2307,8))),ISNUMBER(-LEFT(CH2307,8))),VALUE(MID(CH2307,5,2)),VALUE(MID(CH2307,FIND("-",CH2307)+1,FIND("-",CH2307,FIND("-",CH2307)+1)-FIND("-",CH2307)-1))),""))</f>
        <v/>
      </c>
      <c r="CO2307">
        <f>IF(CH2307="","",IFERROR(IF(AND(LEN(CH2307)=9,ISERROR(FIND("-",LEFT(CH2307,8))),ISNUMBER(-LEFT(CH2307,8))),VALUE(MID(CH2307,7,2)),VALUE(MID(CH2307,FIND("-",CH2307,FIND("-",CH2307)+1)+1,FIND("-",CH2307,FIND("-",CH2307,FIND("-",CH2307)+1)+1)-FIND("-",CH2307,FIND("-",CH2307)+1)-1))),""))</f>
        <v/>
      </c>
    </row>
    <row r="2308">
      <c r="CH2308">
        <f>IF(ISTEXT('월 가계부'!A2308),SUBSTITUTE(SUBSTITUTE(SUBSTITUTE(SUBSTITUTE(SUBSTITUTE(SUBSTITUTE(SUBSTITUTE(SUBSTITUTE(SUBSTITUTE(TRIM('월 가계부'!A2308),"년","-"),"월","-"),"일",""),".","-"),"/","-")," ","-"),"--","-"),"--","-"),"--","-")&amp;"-","")</f>
        <v/>
      </c>
      <c r="CI2308">
        <f>IFERROR(IF('월 가계부'!A2308="","",IF(ISNUMBER('월 가계부'!A2308),IF(AND('월 가계부'!A2308&gt;=19000101,'월 가계부'!A2308&lt;=21001231),IF(AND(MOD(INT('월 가계부'!A2308/100),100)&gt;=1,MOD(INT('월 가계부'!A2308/100),100)&lt;=12,MOD(INT('월 가계부'!A2308),100)&gt;=1,MOD(INT('월 가계부'!A2308),100)&lt;=31),IF(MONTH(DATE(INT('월 가계부'!A2308/10000),MOD(INT('월 가계부'!A2308/100),100),MOD(INT('월 가계부'!A2308),100)))=MOD(INT('월 가계부'!A2308/100),100),DATE(INT('월 가계부'!A2308/10000),MOD(INT('월 가계부'!A2308/100),100),MOD(INT('월 가계부'!A2308),100)),""),""),IF(AND('월 가계부'!A2308&gt;=36526,'월 가계부'!A2308&lt;73051),INT('월 가계부'!A2308),"")),IF(OR(CM2308="",CN2308="",CO2308=""),"",IF(AND(CM2308&gt;=2000,CM2308&lt;=2099,CN2308&gt;=1,CN2308&lt;=12,CO2308&gt;=1,CO2308&lt;=31),IF(MONTH(DATE(CM2308,CN2308,CO2308))=CN2308,DATE(CM2308,CN2308,CO2308),""),"")))),"")</f>
        <v/>
      </c>
      <c r="CJ2308">
        <f>IFERROR(IF('월 가계부'!C2308="","",IF(ISNUMBER('월 가계부'!C2308),'월 가계부'!C2308,VALUE(SUBSTITUTE(SUBSTITUTE(SUBSTITUTE(SUBSTITUTE(TRIM('월 가계부'!C2308),",",""),"원","")," ",""),"−","-")))),"")</f>
        <v/>
      </c>
      <c r="CK2308">
        <f>IF(ISNUMBER(CI2308),IF(CI2308&lt;$B$13,CI2308,""),"")</f>
        <v/>
      </c>
      <c r="CM2308">
        <f>IF(CH2308="","",IFERROR(IF(IF(AND(LEN(CH2308)=9,ISERROR(FIND("-",LEFT(CH2308,8))),ISNUMBER(-LEFT(CH2308,8))),VALUE(LEFT(CH2308,4)),VALUE(LEFT(CH2308,FIND("-",CH2308)-1)))&lt;100,IF(AND(LEN(CH2308)=9,ISERROR(FIND("-",LEFT(CH2308,8))),ISNUMBER(-LEFT(CH2308,8))),VALUE(LEFT(CH2308,4)),VALUE(LEFT(CH2308,FIND("-",CH2308)-1)))+2000,IF(AND(LEN(CH2308)=9,ISERROR(FIND("-",LEFT(CH2308,8))),ISNUMBER(-LEFT(CH2308,8))),VALUE(LEFT(CH2308,4)),VALUE(LEFT(CH2308,FIND("-",CH2308)-1)))),""))</f>
        <v/>
      </c>
      <c r="CN2308">
        <f>IF(CH2308="","",IFERROR(IF(AND(LEN(CH2308)=9,ISERROR(FIND("-",LEFT(CH2308,8))),ISNUMBER(-LEFT(CH2308,8))),VALUE(MID(CH2308,5,2)),VALUE(MID(CH2308,FIND("-",CH2308)+1,FIND("-",CH2308,FIND("-",CH2308)+1)-FIND("-",CH2308)-1))),""))</f>
        <v/>
      </c>
      <c r="CO2308">
        <f>IF(CH2308="","",IFERROR(IF(AND(LEN(CH2308)=9,ISERROR(FIND("-",LEFT(CH2308,8))),ISNUMBER(-LEFT(CH2308,8))),VALUE(MID(CH2308,7,2)),VALUE(MID(CH2308,FIND("-",CH2308,FIND("-",CH2308)+1)+1,FIND("-",CH2308,FIND("-",CH2308,FIND("-",CH2308)+1)+1)-FIND("-",CH2308,FIND("-",CH2308)+1)-1))),""))</f>
        <v/>
      </c>
    </row>
    <row r="2309">
      <c r="CH2309">
        <f>IF(ISTEXT('월 가계부'!A2309),SUBSTITUTE(SUBSTITUTE(SUBSTITUTE(SUBSTITUTE(SUBSTITUTE(SUBSTITUTE(SUBSTITUTE(SUBSTITUTE(SUBSTITUTE(TRIM('월 가계부'!A2309),"년","-"),"월","-"),"일",""),".","-"),"/","-")," ","-"),"--","-"),"--","-"),"--","-")&amp;"-","")</f>
        <v/>
      </c>
      <c r="CI2309">
        <f>IFERROR(IF('월 가계부'!A2309="","",IF(ISNUMBER('월 가계부'!A2309),IF(AND('월 가계부'!A2309&gt;=19000101,'월 가계부'!A2309&lt;=21001231),IF(AND(MOD(INT('월 가계부'!A2309/100),100)&gt;=1,MOD(INT('월 가계부'!A2309/100),100)&lt;=12,MOD(INT('월 가계부'!A2309),100)&gt;=1,MOD(INT('월 가계부'!A2309),100)&lt;=31),IF(MONTH(DATE(INT('월 가계부'!A2309/10000),MOD(INT('월 가계부'!A2309/100),100),MOD(INT('월 가계부'!A2309),100)))=MOD(INT('월 가계부'!A2309/100),100),DATE(INT('월 가계부'!A2309/10000),MOD(INT('월 가계부'!A2309/100),100),MOD(INT('월 가계부'!A2309),100)),""),""),IF(AND('월 가계부'!A2309&gt;=36526,'월 가계부'!A2309&lt;73051),INT('월 가계부'!A2309),"")),IF(OR(CM2309="",CN2309="",CO2309=""),"",IF(AND(CM2309&gt;=2000,CM2309&lt;=2099,CN2309&gt;=1,CN2309&lt;=12,CO2309&gt;=1,CO2309&lt;=31),IF(MONTH(DATE(CM2309,CN2309,CO2309))=CN2309,DATE(CM2309,CN2309,CO2309),""),"")))),"")</f>
        <v/>
      </c>
      <c r="CJ2309">
        <f>IFERROR(IF('월 가계부'!C2309="","",IF(ISNUMBER('월 가계부'!C2309),'월 가계부'!C2309,VALUE(SUBSTITUTE(SUBSTITUTE(SUBSTITUTE(SUBSTITUTE(TRIM('월 가계부'!C2309),",",""),"원","")," ",""),"−","-")))),"")</f>
        <v/>
      </c>
      <c r="CK2309">
        <f>IF(ISNUMBER(CI2309),IF(CI2309&lt;$B$13,CI2309,""),"")</f>
        <v/>
      </c>
      <c r="CM2309">
        <f>IF(CH2309="","",IFERROR(IF(IF(AND(LEN(CH2309)=9,ISERROR(FIND("-",LEFT(CH2309,8))),ISNUMBER(-LEFT(CH2309,8))),VALUE(LEFT(CH2309,4)),VALUE(LEFT(CH2309,FIND("-",CH2309)-1)))&lt;100,IF(AND(LEN(CH2309)=9,ISERROR(FIND("-",LEFT(CH2309,8))),ISNUMBER(-LEFT(CH2309,8))),VALUE(LEFT(CH2309,4)),VALUE(LEFT(CH2309,FIND("-",CH2309)-1)))+2000,IF(AND(LEN(CH2309)=9,ISERROR(FIND("-",LEFT(CH2309,8))),ISNUMBER(-LEFT(CH2309,8))),VALUE(LEFT(CH2309,4)),VALUE(LEFT(CH2309,FIND("-",CH2309)-1)))),""))</f>
        <v/>
      </c>
      <c r="CN2309">
        <f>IF(CH2309="","",IFERROR(IF(AND(LEN(CH2309)=9,ISERROR(FIND("-",LEFT(CH2309,8))),ISNUMBER(-LEFT(CH2309,8))),VALUE(MID(CH2309,5,2)),VALUE(MID(CH2309,FIND("-",CH2309)+1,FIND("-",CH2309,FIND("-",CH2309)+1)-FIND("-",CH2309)-1))),""))</f>
        <v/>
      </c>
      <c r="CO2309">
        <f>IF(CH2309="","",IFERROR(IF(AND(LEN(CH2309)=9,ISERROR(FIND("-",LEFT(CH2309,8))),ISNUMBER(-LEFT(CH2309,8))),VALUE(MID(CH2309,7,2)),VALUE(MID(CH2309,FIND("-",CH2309,FIND("-",CH2309)+1)+1,FIND("-",CH2309,FIND("-",CH2309,FIND("-",CH2309)+1)+1)-FIND("-",CH2309,FIND("-",CH2309)+1)-1))),""))</f>
        <v/>
      </c>
    </row>
    <row r="2310">
      <c r="CH2310">
        <f>IF(ISTEXT('월 가계부'!A2310),SUBSTITUTE(SUBSTITUTE(SUBSTITUTE(SUBSTITUTE(SUBSTITUTE(SUBSTITUTE(SUBSTITUTE(SUBSTITUTE(SUBSTITUTE(TRIM('월 가계부'!A2310),"년","-"),"월","-"),"일",""),".","-"),"/","-")," ","-"),"--","-"),"--","-"),"--","-")&amp;"-","")</f>
        <v/>
      </c>
      <c r="CI2310">
        <f>IFERROR(IF('월 가계부'!A2310="","",IF(ISNUMBER('월 가계부'!A2310),IF(AND('월 가계부'!A2310&gt;=19000101,'월 가계부'!A2310&lt;=21001231),IF(AND(MOD(INT('월 가계부'!A2310/100),100)&gt;=1,MOD(INT('월 가계부'!A2310/100),100)&lt;=12,MOD(INT('월 가계부'!A2310),100)&gt;=1,MOD(INT('월 가계부'!A2310),100)&lt;=31),IF(MONTH(DATE(INT('월 가계부'!A2310/10000),MOD(INT('월 가계부'!A2310/100),100),MOD(INT('월 가계부'!A2310),100)))=MOD(INT('월 가계부'!A2310/100),100),DATE(INT('월 가계부'!A2310/10000),MOD(INT('월 가계부'!A2310/100),100),MOD(INT('월 가계부'!A2310),100)),""),""),IF(AND('월 가계부'!A2310&gt;=36526,'월 가계부'!A2310&lt;73051),INT('월 가계부'!A2310),"")),IF(OR(CM2310="",CN2310="",CO2310=""),"",IF(AND(CM2310&gt;=2000,CM2310&lt;=2099,CN2310&gt;=1,CN2310&lt;=12,CO2310&gt;=1,CO2310&lt;=31),IF(MONTH(DATE(CM2310,CN2310,CO2310))=CN2310,DATE(CM2310,CN2310,CO2310),""),"")))),"")</f>
        <v/>
      </c>
      <c r="CJ2310">
        <f>IFERROR(IF('월 가계부'!C2310="","",IF(ISNUMBER('월 가계부'!C2310),'월 가계부'!C2310,VALUE(SUBSTITUTE(SUBSTITUTE(SUBSTITUTE(SUBSTITUTE(TRIM('월 가계부'!C2310),",",""),"원","")," ",""),"−","-")))),"")</f>
        <v/>
      </c>
      <c r="CK2310">
        <f>IF(ISNUMBER(CI2310),IF(CI2310&lt;$B$13,CI2310,""),"")</f>
        <v/>
      </c>
      <c r="CM2310">
        <f>IF(CH2310="","",IFERROR(IF(IF(AND(LEN(CH2310)=9,ISERROR(FIND("-",LEFT(CH2310,8))),ISNUMBER(-LEFT(CH2310,8))),VALUE(LEFT(CH2310,4)),VALUE(LEFT(CH2310,FIND("-",CH2310)-1)))&lt;100,IF(AND(LEN(CH2310)=9,ISERROR(FIND("-",LEFT(CH2310,8))),ISNUMBER(-LEFT(CH2310,8))),VALUE(LEFT(CH2310,4)),VALUE(LEFT(CH2310,FIND("-",CH2310)-1)))+2000,IF(AND(LEN(CH2310)=9,ISERROR(FIND("-",LEFT(CH2310,8))),ISNUMBER(-LEFT(CH2310,8))),VALUE(LEFT(CH2310,4)),VALUE(LEFT(CH2310,FIND("-",CH2310)-1)))),""))</f>
        <v/>
      </c>
      <c r="CN2310">
        <f>IF(CH2310="","",IFERROR(IF(AND(LEN(CH2310)=9,ISERROR(FIND("-",LEFT(CH2310,8))),ISNUMBER(-LEFT(CH2310,8))),VALUE(MID(CH2310,5,2)),VALUE(MID(CH2310,FIND("-",CH2310)+1,FIND("-",CH2310,FIND("-",CH2310)+1)-FIND("-",CH2310)-1))),""))</f>
        <v/>
      </c>
      <c r="CO2310">
        <f>IF(CH2310="","",IFERROR(IF(AND(LEN(CH2310)=9,ISERROR(FIND("-",LEFT(CH2310,8))),ISNUMBER(-LEFT(CH2310,8))),VALUE(MID(CH2310,7,2)),VALUE(MID(CH2310,FIND("-",CH2310,FIND("-",CH2310)+1)+1,FIND("-",CH2310,FIND("-",CH2310,FIND("-",CH2310)+1)+1)-FIND("-",CH2310,FIND("-",CH2310)+1)-1))),""))</f>
        <v/>
      </c>
    </row>
    <row r="2311">
      <c r="CH2311">
        <f>IF(ISTEXT('월 가계부'!A2311),SUBSTITUTE(SUBSTITUTE(SUBSTITUTE(SUBSTITUTE(SUBSTITUTE(SUBSTITUTE(SUBSTITUTE(SUBSTITUTE(SUBSTITUTE(TRIM('월 가계부'!A2311),"년","-"),"월","-"),"일",""),".","-"),"/","-")," ","-"),"--","-"),"--","-"),"--","-")&amp;"-","")</f>
        <v/>
      </c>
      <c r="CI2311">
        <f>IFERROR(IF('월 가계부'!A2311="","",IF(ISNUMBER('월 가계부'!A2311),IF(AND('월 가계부'!A2311&gt;=19000101,'월 가계부'!A2311&lt;=21001231),IF(AND(MOD(INT('월 가계부'!A2311/100),100)&gt;=1,MOD(INT('월 가계부'!A2311/100),100)&lt;=12,MOD(INT('월 가계부'!A2311),100)&gt;=1,MOD(INT('월 가계부'!A2311),100)&lt;=31),IF(MONTH(DATE(INT('월 가계부'!A2311/10000),MOD(INT('월 가계부'!A2311/100),100),MOD(INT('월 가계부'!A2311),100)))=MOD(INT('월 가계부'!A2311/100),100),DATE(INT('월 가계부'!A2311/10000),MOD(INT('월 가계부'!A2311/100),100),MOD(INT('월 가계부'!A2311),100)),""),""),IF(AND('월 가계부'!A2311&gt;=36526,'월 가계부'!A2311&lt;73051),INT('월 가계부'!A2311),"")),IF(OR(CM2311="",CN2311="",CO2311=""),"",IF(AND(CM2311&gt;=2000,CM2311&lt;=2099,CN2311&gt;=1,CN2311&lt;=12,CO2311&gt;=1,CO2311&lt;=31),IF(MONTH(DATE(CM2311,CN2311,CO2311))=CN2311,DATE(CM2311,CN2311,CO2311),""),"")))),"")</f>
        <v/>
      </c>
      <c r="CJ2311">
        <f>IFERROR(IF('월 가계부'!C2311="","",IF(ISNUMBER('월 가계부'!C2311),'월 가계부'!C2311,VALUE(SUBSTITUTE(SUBSTITUTE(SUBSTITUTE(SUBSTITUTE(TRIM('월 가계부'!C2311),",",""),"원","")," ",""),"−","-")))),"")</f>
        <v/>
      </c>
      <c r="CK2311">
        <f>IF(ISNUMBER(CI2311),IF(CI2311&lt;$B$13,CI2311,""),"")</f>
        <v/>
      </c>
      <c r="CM2311">
        <f>IF(CH2311="","",IFERROR(IF(IF(AND(LEN(CH2311)=9,ISERROR(FIND("-",LEFT(CH2311,8))),ISNUMBER(-LEFT(CH2311,8))),VALUE(LEFT(CH2311,4)),VALUE(LEFT(CH2311,FIND("-",CH2311)-1)))&lt;100,IF(AND(LEN(CH2311)=9,ISERROR(FIND("-",LEFT(CH2311,8))),ISNUMBER(-LEFT(CH2311,8))),VALUE(LEFT(CH2311,4)),VALUE(LEFT(CH2311,FIND("-",CH2311)-1)))+2000,IF(AND(LEN(CH2311)=9,ISERROR(FIND("-",LEFT(CH2311,8))),ISNUMBER(-LEFT(CH2311,8))),VALUE(LEFT(CH2311,4)),VALUE(LEFT(CH2311,FIND("-",CH2311)-1)))),""))</f>
        <v/>
      </c>
      <c r="CN2311">
        <f>IF(CH2311="","",IFERROR(IF(AND(LEN(CH2311)=9,ISERROR(FIND("-",LEFT(CH2311,8))),ISNUMBER(-LEFT(CH2311,8))),VALUE(MID(CH2311,5,2)),VALUE(MID(CH2311,FIND("-",CH2311)+1,FIND("-",CH2311,FIND("-",CH2311)+1)-FIND("-",CH2311)-1))),""))</f>
        <v/>
      </c>
      <c r="CO2311">
        <f>IF(CH2311="","",IFERROR(IF(AND(LEN(CH2311)=9,ISERROR(FIND("-",LEFT(CH2311,8))),ISNUMBER(-LEFT(CH2311,8))),VALUE(MID(CH2311,7,2)),VALUE(MID(CH2311,FIND("-",CH2311,FIND("-",CH2311)+1)+1,FIND("-",CH2311,FIND("-",CH2311,FIND("-",CH2311)+1)+1)-FIND("-",CH2311,FIND("-",CH2311)+1)-1))),""))</f>
        <v/>
      </c>
    </row>
    <row r="2312">
      <c r="CH2312">
        <f>IF(ISTEXT('월 가계부'!A2312),SUBSTITUTE(SUBSTITUTE(SUBSTITUTE(SUBSTITUTE(SUBSTITUTE(SUBSTITUTE(SUBSTITUTE(SUBSTITUTE(SUBSTITUTE(TRIM('월 가계부'!A2312),"년","-"),"월","-"),"일",""),".","-"),"/","-")," ","-"),"--","-"),"--","-"),"--","-")&amp;"-","")</f>
        <v/>
      </c>
      <c r="CI2312">
        <f>IFERROR(IF('월 가계부'!A2312="","",IF(ISNUMBER('월 가계부'!A2312),IF(AND('월 가계부'!A2312&gt;=19000101,'월 가계부'!A2312&lt;=21001231),IF(AND(MOD(INT('월 가계부'!A2312/100),100)&gt;=1,MOD(INT('월 가계부'!A2312/100),100)&lt;=12,MOD(INT('월 가계부'!A2312),100)&gt;=1,MOD(INT('월 가계부'!A2312),100)&lt;=31),IF(MONTH(DATE(INT('월 가계부'!A2312/10000),MOD(INT('월 가계부'!A2312/100),100),MOD(INT('월 가계부'!A2312),100)))=MOD(INT('월 가계부'!A2312/100),100),DATE(INT('월 가계부'!A2312/10000),MOD(INT('월 가계부'!A2312/100),100),MOD(INT('월 가계부'!A2312),100)),""),""),IF(AND('월 가계부'!A2312&gt;=36526,'월 가계부'!A2312&lt;73051),INT('월 가계부'!A2312),"")),IF(OR(CM2312="",CN2312="",CO2312=""),"",IF(AND(CM2312&gt;=2000,CM2312&lt;=2099,CN2312&gt;=1,CN2312&lt;=12,CO2312&gt;=1,CO2312&lt;=31),IF(MONTH(DATE(CM2312,CN2312,CO2312))=CN2312,DATE(CM2312,CN2312,CO2312),""),"")))),"")</f>
        <v/>
      </c>
      <c r="CJ2312">
        <f>IFERROR(IF('월 가계부'!C2312="","",IF(ISNUMBER('월 가계부'!C2312),'월 가계부'!C2312,VALUE(SUBSTITUTE(SUBSTITUTE(SUBSTITUTE(SUBSTITUTE(TRIM('월 가계부'!C2312),",",""),"원","")," ",""),"−","-")))),"")</f>
        <v/>
      </c>
      <c r="CK2312">
        <f>IF(ISNUMBER(CI2312),IF(CI2312&lt;$B$13,CI2312,""),"")</f>
        <v/>
      </c>
      <c r="CM2312">
        <f>IF(CH2312="","",IFERROR(IF(IF(AND(LEN(CH2312)=9,ISERROR(FIND("-",LEFT(CH2312,8))),ISNUMBER(-LEFT(CH2312,8))),VALUE(LEFT(CH2312,4)),VALUE(LEFT(CH2312,FIND("-",CH2312)-1)))&lt;100,IF(AND(LEN(CH2312)=9,ISERROR(FIND("-",LEFT(CH2312,8))),ISNUMBER(-LEFT(CH2312,8))),VALUE(LEFT(CH2312,4)),VALUE(LEFT(CH2312,FIND("-",CH2312)-1)))+2000,IF(AND(LEN(CH2312)=9,ISERROR(FIND("-",LEFT(CH2312,8))),ISNUMBER(-LEFT(CH2312,8))),VALUE(LEFT(CH2312,4)),VALUE(LEFT(CH2312,FIND("-",CH2312)-1)))),""))</f>
        <v/>
      </c>
      <c r="CN2312">
        <f>IF(CH2312="","",IFERROR(IF(AND(LEN(CH2312)=9,ISERROR(FIND("-",LEFT(CH2312,8))),ISNUMBER(-LEFT(CH2312,8))),VALUE(MID(CH2312,5,2)),VALUE(MID(CH2312,FIND("-",CH2312)+1,FIND("-",CH2312,FIND("-",CH2312)+1)-FIND("-",CH2312)-1))),""))</f>
        <v/>
      </c>
      <c r="CO2312">
        <f>IF(CH2312="","",IFERROR(IF(AND(LEN(CH2312)=9,ISERROR(FIND("-",LEFT(CH2312,8))),ISNUMBER(-LEFT(CH2312,8))),VALUE(MID(CH2312,7,2)),VALUE(MID(CH2312,FIND("-",CH2312,FIND("-",CH2312)+1)+1,FIND("-",CH2312,FIND("-",CH2312,FIND("-",CH2312)+1)+1)-FIND("-",CH2312,FIND("-",CH2312)+1)-1))),""))</f>
        <v/>
      </c>
    </row>
    <row r="2313">
      <c r="CH2313">
        <f>IF(ISTEXT('월 가계부'!A2313),SUBSTITUTE(SUBSTITUTE(SUBSTITUTE(SUBSTITUTE(SUBSTITUTE(SUBSTITUTE(SUBSTITUTE(SUBSTITUTE(SUBSTITUTE(TRIM('월 가계부'!A2313),"년","-"),"월","-"),"일",""),".","-"),"/","-")," ","-"),"--","-"),"--","-"),"--","-")&amp;"-","")</f>
        <v/>
      </c>
      <c r="CI2313">
        <f>IFERROR(IF('월 가계부'!A2313="","",IF(ISNUMBER('월 가계부'!A2313),IF(AND('월 가계부'!A2313&gt;=19000101,'월 가계부'!A2313&lt;=21001231),IF(AND(MOD(INT('월 가계부'!A2313/100),100)&gt;=1,MOD(INT('월 가계부'!A2313/100),100)&lt;=12,MOD(INT('월 가계부'!A2313),100)&gt;=1,MOD(INT('월 가계부'!A2313),100)&lt;=31),IF(MONTH(DATE(INT('월 가계부'!A2313/10000),MOD(INT('월 가계부'!A2313/100),100),MOD(INT('월 가계부'!A2313),100)))=MOD(INT('월 가계부'!A2313/100),100),DATE(INT('월 가계부'!A2313/10000),MOD(INT('월 가계부'!A2313/100),100),MOD(INT('월 가계부'!A2313),100)),""),""),IF(AND('월 가계부'!A2313&gt;=36526,'월 가계부'!A2313&lt;73051),INT('월 가계부'!A2313),"")),IF(OR(CM2313="",CN2313="",CO2313=""),"",IF(AND(CM2313&gt;=2000,CM2313&lt;=2099,CN2313&gt;=1,CN2313&lt;=12,CO2313&gt;=1,CO2313&lt;=31),IF(MONTH(DATE(CM2313,CN2313,CO2313))=CN2313,DATE(CM2313,CN2313,CO2313),""),"")))),"")</f>
        <v/>
      </c>
      <c r="CJ2313">
        <f>IFERROR(IF('월 가계부'!C2313="","",IF(ISNUMBER('월 가계부'!C2313),'월 가계부'!C2313,VALUE(SUBSTITUTE(SUBSTITUTE(SUBSTITUTE(SUBSTITUTE(TRIM('월 가계부'!C2313),",",""),"원","")," ",""),"−","-")))),"")</f>
        <v/>
      </c>
      <c r="CK2313">
        <f>IF(ISNUMBER(CI2313),IF(CI2313&lt;$B$13,CI2313,""),"")</f>
        <v/>
      </c>
      <c r="CM2313">
        <f>IF(CH2313="","",IFERROR(IF(IF(AND(LEN(CH2313)=9,ISERROR(FIND("-",LEFT(CH2313,8))),ISNUMBER(-LEFT(CH2313,8))),VALUE(LEFT(CH2313,4)),VALUE(LEFT(CH2313,FIND("-",CH2313)-1)))&lt;100,IF(AND(LEN(CH2313)=9,ISERROR(FIND("-",LEFT(CH2313,8))),ISNUMBER(-LEFT(CH2313,8))),VALUE(LEFT(CH2313,4)),VALUE(LEFT(CH2313,FIND("-",CH2313)-1)))+2000,IF(AND(LEN(CH2313)=9,ISERROR(FIND("-",LEFT(CH2313,8))),ISNUMBER(-LEFT(CH2313,8))),VALUE(LEFT(CH2313,4)),VALUE(LEFT(CH2313,FIND("-",CH2313)-1)))),""))</f>
        <v/>
      </c>
      <c r="CN2313">
        <f>IF(CH2313="","",IFERROR(IF(AND(LEN(CH2313)=9,ISERROR(FIND("-",LEFT(CH2313,8))),ISNUMBER(-LEFT(CH2313,8))),VALUE(MID(CH2313,5,2)),VALUE(MID(CH2313,FIND("-",CH2313)+1,FIND("-",CH2313,FIND("-",CH2313)+1)-FIND("-",CH2313)-1))),""))</f>
        <v/>
      </c>
      <c r="CO2313">
        <f>IF(CH2313="","",IFERROR(IF(AND(LEN(CH2313)=9,ISERROR(FIND("-",LEFT(CH2313,8))),ISNUMBER(-LEFT(CH2313,8))),VALUE(MID(CH2313,7,2)),VALUE(MID(CH2313,FIND("-",CH2313,FIND("-",CH2313)+1)+1,FIND("-",CH2313,FIND("-",CH2313,FIND("-",CH2313)+1)+1)-FIND("-",CH2313,FIND("-",CH2313)+1)-1))),""))</f>
        <v/>
      </c>
    </row>
    <row r="2314">
      <c r="CH2314">
        <f>IF(ISTEXT('월 가계부'!A2314),SUBSTITUTE(SUBSTITUTE(SUBSTITUTE(SUBSTITUTE(SUBSTITUTE(SUBSTITUTE(SUBSTITUTE(SUBSTITUTE(SUBSTITUTE(TRIM('월 가계부'!A2314),"년","-"),"월","-"),"일",""),".","-"),"/","-")," ","-"),"--","-"),"--","-"),"--","-")&amp;"-","")</f>
        <v/>
      </c>
      <c r="CI2314">
        <f>IFERROR(IF('월 가계부'!A2314="","",IF(ISNUMBER('월 가계부'!A2314),IF(AND('월 가계부'!A2314&gt;=19000101,'월 가계부'!A2314&lt;=21001231),IF(AND(MOD(INT('월 가계부'!A2314/100),100)&gt;=1,MOD(INT('월 가계부'!A2314/100),100)&lt;=12,MOD(INT('월 가계부'!A2314),100)&gt;=1,MOD(INT('월 가계부'!A2314),100)&lt;=31),IF(MONTH(DATE(INT('월 가계부'!A2314/10000),MOD(INT('월 가계부'!A2314/100),100),MOD(INT('월 가계부'!A2314),100)))=MOD(INT('월 가계부'!A2314/100),100),DATE(INT('월 가계부'!A2314/10000),MOD(INT('월 가계부'!A2314/100),100),MOD(INT('월 가계부'!A2314),100)),""),""),IF(AND('월 가계부'!A2314&gt;=36526,'월 가계부'!A2314&lt;73051),INT('월 가계부'!A2314),"")),IF(OR(CM2314="",CN2314="",CO2314=""),"",IF(AND(CM2314&gt;=2000,CM2314&lt;=2099,CN2314&gt;=1,CN2314&lt;=12,CO2314&gt;=1,CO2314&lt;=31),IF(MONTH(DATE(CM2314,CN2314,CO2314))=CN2314,DATE(CM2314,CN2314,CO2314),""),"")))),"")</f>
        <v/>
      </c>
      <c r="CJ2314">
        <f>IFERROR(IF('월 가계부'!C2314="","",IF(ISNUMBER('월 가계부'!C2314),'월 가계부'!C2314,VALUE(SUBSTITUTE(SUBSTITUTE(SUBSTITUTE(SUBSTITUTE(TRIM('월 가계부'!C2314),",",""),"원","")," ",""),"−","-")))),"")</f>
        <v/>
      </c>
      <c r="CK2314">
        <f>IF(ISNUMBER(CI2314),IF(CI2314&lt;$B$13,CI2314,""),"")</f>
        <v/>
      </c>
      <c r="CM2314">
        <f>IF(CH2314="","",IFERROR(IF(IF(AND(LEN(CH2314)=9,ISERROR(FIND("-",LEFT(CH2314,8))),ISNUMBER(-LEFT(CH2314,8))),VALUE(LEFT(CH2314,4)),VALUE(LEFT(CH2314,FIND("-",CH2314)-1)))&lt;100,IF(AND(LEN(CH2314)=9,ISERROR(FIND("-",LEFT(CH2314,8))),ISNUMBER(-LEFT(CH2314,8))),VALUE(LEFT(CH2314,4)),VALUE(LEFT(CH2314,FIND("-",CH2314)-1)))+2000,IF(AND(LEN(CH2314)=9,ISERROR(FIND("-",LEFT(CH2314,8))),ISNUMBER(-LEFT(CH2314,8))),VALUE(LEFT(CH2314,4)),VALUE(LEFT(CH2314,FIND("-",CH2314)-1)))),""))</f>
        <v/>
      </c>
      <c r="CN2314">
        <f>IF(CH2314="","",IFERROR(IF(AND(LEN(CH2314)=9,ISERROR(FIND("-",LEFT(CH2314,8))),ISNUMBER(-LEFT(CH2314,8))),VALUE(MID(CH2314,5,2)),VALUE(MID(CH2314,FIND("-",CH2314)+1,FIND("-",CH2314,FIND("-",CH2314)+1)-FIND("-",CH2314)-1))),""))</f>
        <v/>
      </c>
      <c r="CO2314">
        <f>IF(CH2314="","",IFERROR(IF(AND(LEN(CH2314)=9,ISERROR(FIND("-",LEFT(CH2314,8))),ISNUMBER(-LEFT(CH2314,8))),VALUE(MID(CH2314,7,2)),VALUE(MID(CH2314,FIND("-",CH2314,FIND("-",CH2314)+1)+1,FIND("-",CH2314,FIND("-",CH2314,FIND("-",CH2314)+1)+1)-FIND("-",CH2314,FIND("-",CH2314)+1)-1))),""))</f>
        <v/>
      </c>
    </row>
    <row r="2315">
      <c r="CH2315">
        <f>IF(ISTEXT('월 가계부'!A2315),SUBSTITUTE(SUBSTITUTE(SUBSTITUTE(SUBSTITUTE(SUBSTITUTE(SUBSTITUTE(SUBSTITUTE(SUBSTITUTE(SUBSTITUTE(TRIM('월 가계부'!A2315),"년","-"),"월","-"),"일",""),".","-"),"/","-")," ","-"),"--","-"),"--","-"),"--","-")&amp;"-","")</f>
        <v/>
      </c>
      <c r="CI2315">
        <f>IFERROR(IF('월 가계부'!A2315="","",IF(ISNUMBER('월 가계부'!A2315),IF(AND('월 가계부'!A2315&gt;=19000101,'월 가계부'!A2315&lt;=21001231),IF(AND(MOD(INT('월 가계부'!A2315/100),100)&gt;=1,MOD(INT('월 가계부'!A2315/100),100)&lt;=12,MOD(INT('월 가계부'!A2315),100)&gt;=1,MOD(INT('월 가계부'!A2315),100)&lt;=31),IF(MONTH(DATE(INT('월 가계부'!A2315/10000),MOD(INT('월 가계부'!A2315/100),100),MOD(INT('월 가계부'!A2315),100)))=MOD(INT('월 가계부'!A2315/100),100),DATE(INT('월 가계부'!A2315/10000),MOD(INT('월 가계부'!A2315/100),100),MOD(INT('월 가계부'!A2315),100)),""),""),IF(AND('월 가계부'!A2315&gt;=36526,'월 가계부'!A2315&lt;73051),INT('월 가계부'!A2315),"")),IF(OR(CM2315="",CN2315="",CO2315=""),"",IF(AND(CM2315&gt;=2000,CM2315&lt;=2099,CN2315&gt;=1,CN2315&lt;=12,CO2315&gt;=1,CO2315&lt;=31),IF(MONTH(DATE(CM2315,CN2315,CO2315))=CN2315,DATE(CM2315,CN2315,CO2315),""),"")))),"")</f>
        <v/>
      </c>
      <c r="CJ2315">
        <f>IFERROR(IF('월 가계부'!C2315="","",IF(ISNUMBER('월 가계부'!C2315),'월 가계부'!C2315,VALUE(SUBSTITUTE(SUBSTITUTE(SUBSTITUTE(SUBSTITUTE(TRIM('월 가계부'!C2315),",",""),"원","")," ",""),"−","-")))),"")</f>
        <v/>
      </c>
      <c r="CK2315">
        <f>IF(ISNUMBER(CI2315),IF(CI2315&lt;$B$13,CI2315,""),"")</f>
        <v/>
      </c>
      <c r="CM2315">
        <f>IF(CH2315="","",IFERROR(IF(IF(AND(LEN(CH2315)=9,ISERROR(FIND("-",LEFT(CH2315,8))),ISNUMBER(-LEFT(CH2315,8))),VALUE(LEFT(CH2315,4)),VALUE(LEFT(CH2315,FIND("-",CH2315)-1)))&lt;100,IF(AND(LEN(CH2315)=9,ISERROR(FIND("-",LEFT(CH2315,8))),ISNUMBER(-LEFT(CH2315,8))),VALUE(LEFT(CH2315,4)),VALUE(LEFT(CH2315,FIND("-",CH2315)-1)))+2000,IF(AND(LEN(CH2315)=9,ISERROR(FIND("-",LEFT(CH2315,8))),ISNUMBER(-LEFT(CH2315,8))),VALUE(LEFT(CH2315,4)),VALUE(LEFT(CH2315,FIND("-",CH2315)-1)))),""))</f>
        <v/>
      </c>
      <c r="CN2315">
        <f>IF(CH2315="","",IFERROR(IF(AND(LEN(CH2315)=9,ISERROR(FIND("-",LEFT(CH2315,8))),ISNUMBER(-LEFT(CH2315,8))),VALUE(MID(CH2315,5,2)),VALUE(MID(CH2315,FIND("-",CH2315)+1,FIND("-",CH2315,FIND("-",CH2315)+1)-FIND("-",CH2315)-1))),""))</f>
        <v/>
      </c>
      <c r="CO2315">
        <f>IF(CH2315="","",IFERROR(IF(AND(LEN(CH2315)=9,ISERROR(FIND("-",LEFT(CH2315,8))),ISNUMBER(-LEFT(CH2315,8))),VALUE(MID(CH2315,7,2)),VALUE(MID(CH2315,FIND("-",CH2315,FIND("-",CH2315)+1)+1,FIND("-",CH2315,FIND("-",CH2315,FIND("-",CH2315)+1)+1)-FIND("-",CH2315,FIND("-",CH2315)+1)-1))),""))</f>
        <v/>
      </c>
    </row>
    <row r="2316">
      <c r="CH2316">
        <f>IF(ISTEXT('월 가계부'!A2316),SUBSTITUTE(SUBSTITUTE(SUBSTITUTE(SUBSTITUTE(SUBSTITUTE(SUBSTITUTE(SUBSTITUTE(SUBSTITUTE(SUBSTITUTE(TRIM('월 가계부'!A2316),"년","-"),"월","-"),"일",""),".","-"),"/","-")," ","-"),"--","-"),"--","-"),"--","-")&amp;"-","")</f>
        <v/>
      </c>
      <c r="CI2316">
        <f>IFERROR(IF('월 가계부'!A2316="","",IF(ISNUMBER('월 가계부'!A2316),IF(AND('월 가계부'!A2316&gt;=19000101,'월 가계부'!A2316&lt;=21001231),IF(AND(MOD(INT('월 가계부'!A2316/100),100)&gt;=1,MOD(INT('월 가계부'!A2316/100),100)&lt;=12,MOD(INT('월 가계부'!A2316),100)&gt;=1,MOD(INT('월 가계부'!A2316),100)&lt;=31),IF(MONTH(DATE(INT('월 가계부'!A2316/10000),MOD(INT('월 가계부'!A2316/100),100),MOD(INT('월 가계부'!A2316),100)))=MOD(INT('월 가계부'!A2316/100),100),DATE(INT('월 가계부'!A2316/10000),MOD(INT('월 가계부'!A2316/100),100),MOD(INT('월 가계부'!A2316),100)),""),""),IF(AND('월 가계부'!A2316&gt;=36526,'월 가계부'!A2316&lt;73051),INT('월 가계부'!A2316),"")),IF(OR(CM2316="",CN2316="",CO2316=""),"",IF(AND(CM2316&gt;=2000,CM2316&lt;=2099,CN2316&gt;=1,CN2316&lt;=12,CO2316&gt;=1,CO2316&lt;=31),IF(MONTH(DATE(CM2316,CN2316,CO2316))=CN2316,DATE(CM2316,CN2316,CO2316),""),"")))),"")</f>
        <v/>
      </c>
      <c r="CJ2316">
        <f>IFERROR(IF('월 가계부'!C2316="","",IF(ISNUMBER('월 가계부'!C2316),'월 가계부'!C2316,VALUE(SUBSTITUTE(SUBSTITUTE(SUBSTITUTE(SUBSTITUTE(TRIM('월 가계부'!C2316),",",""),"원","")," ",""),"−","-")))),"")</f>
        <v/>
      </c>
      <c r="CK2316">
        <f>IF(ISNUMBER(CI2316),IF(CI2316&lt;$B$13,CI2316,""),"")</f>
        <v/>
      </c>
      <c r="CM2316">
        <f>IF(CH2316="","",IFERROR(IF(IF(AND(LEN(CH2316)=9,ISERROR(FIND("-",LEFT(CH2316,8))),ISNUMBER(-LEFT(CH2316,8))),VALUE(LEFT(CH2316,4)),VALUE(LEFT(CH2316,FIND("-",CH2316)-1)))&lt;100,IF(AND(LEN(CH2316)=9,ISERROR(FIND("-",LEFT(CH2316,8))),ISNUMBER(-LEFT(CH2316,8))),VALUE(LEFT(CH2316,4)),VALUE(LEFT(CH2316,FIND("-",CH2316)-1)))+2000,IF(AND(LEN(CH2316)=9,ISERROR(FIND("-",LEFT(CH2316,8))),ISNUMBER(-LEFT(CH2316,8))),VALUE(LEFT(CH2316,4)),VALUE(LEFT(CH2316,FIND("-",CH2316)-1)))),""))</f>
        <v/>
      </c>
      <c r="CN2316">
        <f>IF(CH2316="","",IFERROR(IF(AND(LEN(CH2316)=9,ISERROR(FIND("-",LEFT(CH2316,8))),ISNUMBER(-LEFT(CH2316,8))),VALUE(MID(CH2316,5,2)),VALUE(MID(CH2316,FIND("-",CH2316)+1,FIND("-",CH2316,FIND("-",CH2316)+1)-FIND("-",CH2316)-1))),""))</f>
        <v/>
      </c>
      <c r="CO2316">
        <f>IF(CH2316="","",IFERROR(IF(AND(LEN(CH2316)=9,ISERROR(FIND("-",LEFT(CH2316,8))),ISNUMBER(-LEFT(CH2316,8))),VALUE(MID(CH2316,7,2)),VALUE(MID(CH2316,FIND("-",CH2316,FIND("-",CH2316)+1)+1,FIND("-",CH2316,FIND("-",CH2316,FIND("-",CH2316)+1)+1)-FIND("-",CH2316,FIND("-",CH2316)+1)-1))),""))</f>
        <v/>
      </c>
    </row>
    <row r="2317">
      <c r="CH2317">
        <f>IF(ISTEXT('월 가계부'!A2317),SUBSTITUTE(SUBSTITUTE(SUBSTITUTE(SUBSTITUTE(SUBSTITUTE(SUBSTITUTE(SUBSTITUTE(SUBSTITUTE(SUBSTITUTE(TRIM('월 가계부'!A2317),"년","-"),"월","-"),"일",""),".","-"),"/","-")," ","-"),"--","-"),"--","-"),"--","-")&amp;"-","")</f>
        <v/>
      </c>
      <c r="CI2317">
        <f>IFERROR(IF('월 가계부'!A2317="","",IF(ISNUMBER('월 가계부'!A2317),IF(AND('월 가계부'!A2317&gt;=19000101,'월 가계부'!A2317&lt;=21001231),IF(AND(MOD(INT('월 가계부'!A2317/100),100)&gt;=1,MOD(INT('월 가계부'!A2317/100),100)&lt;=12,MOD(INT('월 가계부'!A2317),100)&gt;=1,MOD(INT('월 가계부'!A2317),100)&lt;=31),IF(MONTH(DATE(INT('월 가계부'!A2317/10000),MOD(INT('월 가계부'!A2317/100),100),MOD(INT('월 가계부'!A2317),100)))=MOD(INT('월 가계부'!A2317/100),100),DATE(INT('월 가계부'!A2317/10000),MOD(INT('월 가계부'!A2317/100),100),MOD(INT('월 가계부'!A2317),100)),""),""),IF(AND('월 가계부'!A2317&gt;=36526,'월 가계부'!A2317&lt;73051),INT('월 가계부'!A2317),"")),IF(OR(CM2317="",CN2317="",CO2317=""),"",IF(AND(CM2317&gt;=2000,CM2317&lt;=2099,CN2317&gt;=1,CN2317&lt;=12,CO2317&gt;=1,CO2317&lt;=31),IF(MONTH(DATE(CM2317,CN2317,CO2317))=CN2317,DATE(CM2317,CN2317,CO2317),""),"")))),"")</f>
        <v/>
      </c>
      <c r="CJ2317">
        <f>IFERROR(IF('월 가계부'!C2317="","",IF(ISNUMBER('월 가계부'!C2317),'월 가계부'!C2317,VALUE(SUBSTITUTE(SUBSTITUTE(SUBSTITUTE(SUBSTITUTE(TRIM('월 가계부'!C2317),",",""),"원","")," ",""),"−","-")))),"")</f>
        <v/>
      </c>
      <c r="CK2317">
        <f>IF(ISNUMBER(CI2317),IF(CI2317&lt;$B$13,CI2317,""),"")</f>
        <v/>
      </c>
      <c r="CM2317">
        <f>IF(CH2317="","",IFERROR(IF(IF(AND(LEN(CH2317)=9,ISERROR(FIND("-",LEFT(CH2317,8))),ISNUMBER(-LEFT(CH2317,8))),VALUE(LEFT(CH2317,4)),VALUE(LEFT(CH2317,FIND("-",CH2317)-1)))&lt;100,IF(AND(LEN(CH2317)=9,ISERROR(FIND("-",LEFT(CH2317,8))),ISNUMBER(-LEFT(CH2317,8))),VALUE(LEFT(CH2317,4)),VALUE(LEFT(CH2317,FIND("-",CH2317)-1)))+2000,IF(AND(LEN(CH2317)=9,ISERROR(FIND("-",LEFT(CH2317,8))),ISNUMBER(-LEFT(CH2317,8))),VALUE(LEFT(CH2317,4)),VALUE(LEFT(CH2317,FIND("-",CH2317)-1)))),""))</f>
        <v/>
      </c>
      <c r="CN2317">
        <f>IF(CH2317="","",IFERROR(IF(AND(LEN(CH2317)=9,ISERROR(FIND("-",LEFT(CH2317,8))),ISNUMBER(-LEFT(CH2317,8))),VALUE(MID(CH2317,5,2)),VALUE(MID(CH2317,FIND("-",CH2317)+1,FIND("-",CH2317,FIND("-",CH2317)+1)-FIND("-",CH2317)-1))),""))</f>
        <v/>
      </c>
      <c r="CO2317">
        <f>IF(CH2317="","",IFERROR(IF(AND(LEN(CH2317)=9,ISERROR(FIND("-",LEFT(CH2317,8))),ISNUMBER(-LEFT(CH2317,8))),VALUE(MID(CH2317,7,2)),VALUE(MID(CH2317,FIND("-",CH2317,FIND("-",CH2317)+1)+1,FIND("-",CH2317,FIND("-",CH2317,FIND("-",CH2317)+1)+1)-FIND("-",CH2317,FIND("-",CH2317)+1)-1))),""))</f>
        <v/>
      </c>
    </row>
    <row r="2318">
      <c r="CH2318">
        <f>IF(ISTEXT('월 가계부'!A2318),SUBSTITUTE(SUBSTITUTE(SUBSTITUTE(SUBSTITUTE(SUBSTITUTE(SUBSTITUTE(SUBSTITUTE(SUBSTITUTE(SUBSTITUTE(TRIM('월 가계부'!A2318),"년","-"),"월","-"),"일",""),".","-"),"/","-")," ","-"),"--","-"),"--","-"),"--","-")&amp;"-","")</f>
        <v/>
      </c>
      <c r="CI2318">
        <f>IFERROR(IF('월 가계부'!A2318="","",IF(ISNUMBER('월 가계부'!A2318),IF(AND('월 가계부'!A2318&gt;=19000101,'월 가계부'!A2318&lt;=21001231),IF(AND(MOD(INT('월 가계부'!A2318/100),100)&gt;=1,MOD(INT('월 가계부'!A2318/100),100)&lt;=12,MOD(INT('월 가계부'!A2318),100)&gt;=1,MOD(INT('월 가계부'!A2318),100)&lt;=31),IF(MONTH(DATE(INT('월 가계부'!A2318/10000),MOD(INT('월 가계부'!A2318/100),100),MOD(INT('월 가계부'!A2318),100)))=MOD(INT('월 가계부'!A2318/100),100),DATE(INT('월 가계부'!A2318/10000),MOD(INT('월 가계부'!A2318/100),100),MOD(INT('월 가계부'!A2318),100)),""),""),IF(AND('월 가계부'!A2318&gt;=36526,'월 가계부'!A2318&lt;73051),INT('월 가계부'!A2318),"")),IF(OR(CM2318="",CN2318="",CO2318=""),"",IF(AND(CM2318&gt;=2000,CM2318&lt;=2099,CN2318&gt;=1,CN2318&lt;=12,CO2318&gt;=1,CO2318&lt;=31),IF(MONTH(DATE(CM2318,CN2318,CO2318))=CN2318,DATE(CM2318,CN2318,CO2318),""),"")))),"")</f>
        <v/>
      </c>
      <c r="CJ2318">
        <f>IFERROR(IF('월 가계부'!C2318="","",IF(ISNUMBER('월 가계부'!C2318),'월 가계부'!C2318,VALUE(SUBSTITUTE(SUBSTITUTE(SUBSTITUTE(SUBSTITUTE(TRIM('월 가계부'!C2318),",",""),"원","")," ",""),"−","-")))),"")</f>
        <v/>
      </c>
      <c r="CK2318">
        <f>IF(ISNUMBER(CI2318),IF(CI2318&lt;$B$13,CI2318,""),"")</f>
        <v/>
      </c>
      <c r="CM2318">
        <f>IF(CH2318="","",IFERROR(IF(IF(AND(LEN(CH2318)=9,ISERROR(FIND("-",LEFT(CH2318,8))),ISNUMBER(-LEFT(CH2318,8))),VALUE(LEFT(CH2318,4)),VALUE(LEFT(CH2318,FIND("-",CH2318)-1)))&lt;100,IF(AND(LEN(CH2318)=9,ISERROR(FIND("-",LEFT(CH2318,8))),ISNUMBER(-LEFT(CH2318,8))),VALUE(LEFT(CH2318,4)),VALUE(LEFT(CH2318,FIND("-",CH2318)-1)))+2000,IF(AND(LEN(CH2318)=9,ISERROR(FIND("-",LEFT(CH2318,8))),ISNUMBER(-LEFT(CH2318,8))),VALUE(LEFT(CH2318,4)),VALUE(LEFT(CH2318,FIND("-",CH2318)-1)))),""))</f>
        <v/>
      </c>
      <c r="CN2318">
        <f>IF(CH2318="","",IFERROR(IF(AND(LEN(CH2318)=9,ISERROR(FIND("-",LEFT(CH2318,8))),ISNUMBER(-LEFT(CH2318,8))),VALUE(MID(CH2318,5,2)),VALUE(MID(CH2318,FIND("-",CH2318)+1,FIND("-",CH2318,FIND("-",CH2318)+1)-FIND("-",CH2318)-1))),""))</f>
        <v/>
      </c>
      <c r="CO2318">
        <f>IF(CH2318="","",IFERROR(IF(AND(LEN(CH2318)=9,ISERROR(FIND("-",LEFT(CH2318,8))),ISNUMBER(-LEFT(CH2318,8))),VALUE(MID(CH2318,7,2)),VALUE(MID(CH2318,FIND("-",CH2318,FIND("-",CH2318)+1)+1,FIND("-",CH2318,FIND("-",CH2318,FIND("-",CH2318)+1)+1)-FIND("-",CH2318,FIND("-",CH2318)+1)-1))),""))</f>
        <v/>
      </c>
    </row>
    <row r="2319">
      <c r="CH2319">
        <f>IF(ISTEXT('월 가계부'!A2319),SUBSTITUTE(SUBSTITUTE(SUBSTITUTE(SUBSTITUTE(SUBSTITUTE(SUBSTITUTE(SUBSTITUTE(SUBSTITUTE(SUBSTITUTE(TRIM('월 가계부'!A2319),"년","-"),"월","-"),"일",""),".","-"),"/","-")," ","-"),"--","-"),"--","-"),"--","-")&amp;"-","")</f>
        <v/>
      </c>
      <c r="CI2319">
        <f>IFERROR(IF('월 가계부'!A2319="","",IF(ISNUMBER('월 가계부'!A2319),IF(AND('월 가계부'!A2319&gt;=19000101,'월 가계부'!A2319&lt;=21001231),IF(AND(MOD(INT('월 가계부'!A2319/100),100)&gt;=1,MOD(INT('월 가계부'!A2319/100),100)&lt;=12,MOD(INT('월 가계부'!A2319),100)&gt;=1,MOD(INT('월 가계부'!A2319),100)&lt;=31),IF(MONTH(DATE(INT('월 가계부'!A2319/10000),MOD(INT('월 가계부'!A2319/100),100),MOD(INT('월 가계부'!A2319),100)))=MOD(INT('월 가계부'!A2319/100),100),DATE(INT('월 가계부'!A2319/10000),MOD(INT('월 가계부'!A2319/100),100),MOD(INT('월 가계부'!A2319),100)),""),""),IF(AND('월 가계부'!A2319&gt;=36526,'월 가계부'!A2319&lt;73051),INT('월 가계부'!A2319),"")),IF(OR(CM2319="",CN2319="",CO2319=""),"",IF(AND(CM2319&gt;=2000,CM2319&lt;=2099,CN2319&gt;=1,CN2319&lt;=12,CO2319&gt;=1,CO2319&lt;=31),IF(MONTH(DATE(CM2319,CN2319,CO2319))=CN2319,DATE(CM2319,CN2319,CO2319),""),"")))),"")</f>
        <v/>
      </c>
      <c r="CJ2319">
        <f>IFERROR(IF('월 가계부'!C2319="","",IF(ISNUMBER('월 가계부'!C2319),'월 가계부'!C2319,VALUE(SUBSTITUTE(SUBSTITUTE(SUBSTITUTE(SUBSTITUTE(TRIM('월 가계부'!C2319),",",""),"원","")," ",""),"−","-")))),"")</f>
        <v/>
      </c>
      <c r="CK2319">
        <f>IF(ISNUMBER(CI2319),IF(CI2319&lt;$B$13,CI2319,""),"")</f>
        <v/>
      </c>
      <c r="CM2319">
        <f>IF(CH2319="","",IFERROR(IF(IF(AND(LEN(CH2319)=9,ISERROR(FIND("-",LEFT(CH2319,8))),ISNUMBER(-LEFT(CH2319,8))),VALUE(LEFT(CH2319,4)),VALUE(LEFT(CH2319,FIND("-",CH2319)-1)))&lt;100,IF(AND(LEN(CH2319)=9,ISERROR(FIND("-",LEFT(CH2319,8))),ISNUMBER(-LEFT(CH2319,8))),VALUE(LEFT(CH2319,4)),VALUE(LEFT(CH2319,FIND("-",CH2319)-1)))+2000,IF(AND(LEN(CH2319)=9,ISERROR(FIND("-",LEFT(CH2319,8))),ISNUMBER(-LEFT(CH2319,8))),VALUE(LEFT(CH2319,4)),VALUE(LEFT(CH2319,FIND("-",CH2319)-1)))),""))</f>
        <v/>
      </c>
      <c r="CN2319">
        <f>IF(CH2319="","",IFERROR(IF(AND(LEN(CH2319)=9,ISERROR(FIND("-",LEFT(CH2319,8))),ISNUMBER(-LEFT(CH2319,8))),VALUE(MID(CH2319,5,2)),VALUE(MID(CH2319,FIND("-",CH2319)+1,FIND("-",CH2319,FIND("-",CH2319)+1)-FIND("-",CH2319)-1))),""))</f>
        <v/>
      </c>
      <c r="CO2319">
        <f>IF(CH2319="","",IFERROR(IF(AND(LEN(CH2319)=9,ISERROR(FIND("-",LEFT(CH2319,8))),ISNUMBER(-LEFT(CH2319,8))),VALUE(MID(CH2319,7,2)),VALUE(MID(CH2319,FIND("-",CH2319,FIND("-",CH2319)+1)+1,FIND("-",CH2319,FIND("-",CH2319,FIND("-",CH2319)+1)+1)-FIND("-",CH2319,FIND("-",CH2319)+1)-1))),""))</f>
        <v/>
      </c>
    </row>
    <row r="2320">
      <c r="CH2320">
        <f>IF(ISTEXT('월 가계부'!A2320),SUBSTITUTE(SUBSTITUTE(SUBSTITUTE(SUBSTITUTE(SUBSTITUTE(SUBSTITUTE(SUBSTITUTE(SUBSTITUTE(SUBSTITUTE(TRIM('월 가계부'!A2320),"년","-"),"월","-"),"일",""),".","-"),"/","-")," ","-"),"--","-"),"--","-"),"--","-")&amp;"-","")</f>
        <v/>
      </c>
      <c r="CI2320">
        <f>IFERROR(IF('월 가계부'!A2320="","",IF(ISNUMBER('월 가계부'!A2320),IF(AND('월 가계부'!A2320&gt;=19000101,'월 가계부'!A2320&lt;=21001231),IF(AND(MOD(INT('월 가계부'!A2320/100),100)&gt;=1,MOD(INT('월 가계부'!A2320/100),100)&lt;=12,MOD(INT('월 가계부'!A2320),100)&gt;=1,MOD(INT('월 가계부'!A2320),100)&lt;=31),IF(MONTH(DATE(INT('월 가계부'!A2320/10000),MOD(INT('월 가계부'!A2320/100),100),MOD(INT('월 가계부'!A2320),100)))=MOD(INT('월 가계부'!A2320/100),100),DATE(INT('월 가계부'!A2320/10000),MOD(INT('월 가계부'!A2320/100),100),MOD(INT('월 가계부'!A2320),100)),""),""),IF(AND('월 가계부'!A2320&gt;=36526,'월 가계부'!A2320&lt;73051),INT('월 가계부'!A2320),"")),IF(OR(CM2320="",CN2320="",CO2320=""),"",IF(AND(CM2320&gt;=2000,CM2320&lt;=2099,CN2320&gt;=1,CN2320&lt;=12,CO2320&gt;=1,CO2320&lt;=31),IF(MONTH(DATE(CM2320,CN2320,CO2320))=CN2320,DATE(CM2320,CN2320,CO2320),""),"")))),"")</f>
        <v/>
      </c>
      <c r="CJ2320">
        <f>IFERROR(IF('월 가계부'!C2320="","",IF(ISNUMBER('월 가계부'!C2320),'월 가계부'!C2320,VALUE(SUBSTITUTE(SUBSTITUTE(SUBSTITUTE(SUBSTITUTE(TRIM('월 가계부'!C2320),",",""),"원","")," ",""),"−","-")))),"")</f>
        <v/>
      </c>
      <c r="CK2320">
        <f>IF(ISNUMBER(CI2320),IF(CI2320&lt;$B$13,CI2320,""),"")</f>
        <v/>
      </c>
      <c r="CM2320">
        <f>IF(CH2320="","",IFERROR(IF(IF(AND(LEN(CH2320)=9,ISERROR(FIND("-",LEFT(CH2320,8))),ISNUMBER(-LEFT(CH2320,8))),VALUE(LEFT(CH2320,4)),VALUE(LEFT(CH2320,FIND("-",CH2320)-1)))&lt;100,IF(AND(LEN(CH2320)=9,ISERROR(FIND("-",LEFT(CH2320,8))),ISNUMBER(-LEFT(CH2320,8))),VALUE(LEFT(CH2320,4)),VALUE(LEFT(CH2320,FIND("-",CH2320)-1)))+2000,IF(AND(LEN(CH2320)=9,ISERROR(FIND("-",LEFT(CH2320,8))),ISNUMBER(-LEFT(CH2320,8))),VALUE(LEFT(CH2320,4)),VALUE(LEFT(CH2320,FIND("-",CH2320)-1)))),""))</f>
        <v/>
      </c>
      <c r="CN2320">
        <f>IF(CH2320="","",IFERROR(IF(AND(LEN(CH2320)=9,ISERROR(FIND("-",LEFT(CH2320,8))),ISNUMBER(-LEFT(CH2320,8))),VALUE(MID(CH2320,5,2)),VALUE(MID(CH2320,FIND("-",CH2320)+1,FIND("-",CH2320,FIND("-",CH2320)+1)-FIND("-",CH2320)-1))),""))</f>
        <v/>
      </c>
      <c r="CO2320">
        <f>IF(CH2320="","",IFERROR(IF(AND(LEN(CH2320)=9,ISERROR(FIND("-",LEFT(CH2320,8))),ISNUMBER(-LEFT(CH2320,8))),VALUE(MID(CH2320,7,2)),VALUE(MID(CH2320,FIND("-",CH2320,FIND("-",CH2320)+1)+1,FIND("-",CH2320,FIND("-",CH2320,FIND("-",CH2320)+1)+1)-FIND("-",CH2320,FIND("-",CH2320)+1)-1))),""))</f>
        <v/>
      </c>
    </row>
    <row r="2321">
      <c r="CH2321">
        <f>IF(ISTEXT('월 가계부'!A2321),SUBSTITUTE(SUBSTITUTE(SUBSTITUTE(SUBSTITUTE(SUBSTITUTE(SUBSTITUTE(SUBSTITUTE(SUBSTITUTE(SUBSTITUTE(TRIM('월 가계부'!A2321),"년","-"),"월","-"),"일",""),".","-"),"/","-")," ","-"),"--","-"),"--","-"),"--","-")&amp;"-","")</f>
        <v/>
      </c>
      <c r="CI2321">
        <f>IFERROR(IF('월 가계부'!A2321="","",IF(ISNUMBER('월 가계부'!A2321),IF(AND('월 가계부'!A2321&gt;=19000101,'월 가계부'!A2321&lt;=21001231),IF(AND(MOD(INT('월 가계부'!A2321/100),100)&gt;=1,MOD(INT('월 가계부'!A2321/100),100)&lt;=12,MOD(INT('월 가계부'!A2321),100)&gt;=1,MOD(INT('월 가계부'!A2321),100)&lt;=31),IF(MONTH(DATE(INT('월 가계부'!A2321/10000),MOD(INT('월 가계부'!A2321/100),100),MOD(INT('월 가계부'!A2321),100)))=MOD(INT('월 가계부'!A2321/100),100),DATE(INT('월 가계부'!A2321/10000),MOD(INT('월 가계부'!A2321/100),100),MOD(INT('월 가계부'!A2321),100)),""),""),IF(AND('월 가계부'!A2321&gt;=36526,'월 가계부'!A2321&lt;73051),INT('월 가계부'!A2321),"")),IF(OR(CM2321="",CN2321="",CO2321=""),"",IF(AND(CM2321&gt;=2000,CM2321&lt;=2099,CN2321&gt;=1,CN2321&lt;=12,CO2321&gt;=1,CO2321&lt;=31),IF(MONTH(DATE(CM2321,CN2321,CO2321))=CN2321,DATE(CM2321,CN2321,CO2321),""),"")))),"")</f>
        <v/>
      </c>
      <c r="CJ2321">
        <f>IFERROR(IF('월 가계부'!C2321="","",IF(ISNUMBER('월 가계부'!C2321),'월 가계부'!C2321,VALUE(SUBSTITUTE(SUBSTITUTE(SUBSTITUTE(SUBSTITUTE(TRIM('월 가계부'!C2321),",",""),"원","")," ",""),"−","-")))),"")</f>
        <v/>
      </c>
      <c r="CK2321">
        <f>IF(ISNUMBER(CI2321),IF(CI2321&lt;$B$13,CI2321,""),"")</f>
        <v/>
      </c>
      <c r="CM2321">
        <f>IF(CH2321="","",IFERROR(IF(IF(AND(LEN(CH2321)=9,ISERROR(FIND("-",LEFT(CH2321,8))),ISNUMBER(-LEFT(CH2321,8))),VALUE(LEFT(CH2321,4)),VALUE(LEFT(CH2321,FIND("-",CH2321)-1)))&lt;100,IF(AND(LEN(CH2321)=9,ISERROR(FIND("-",LEFT(CH2321,8))),ISNUMBER(-LEFT(CH2321,8))),VALUE(LEFT(CH2321,4)),VALUE(LEFT(CH2321,FIND("-",CH2321)-1)))+2000,IF(AND(LEN(CH2321)=9,ISERROR(FIND("-",LEFT(CH2321,8))),ISNUMBER(-LEFT(CH2321,8))),VALUE(LEFT(CH2321,4)),VALUE(LEFT(CH2321,FIND("-",CH2321)-1)))),""))</f>
        <v/>
      </c>
      <c r="CN2321">
        <f>IF(CH2321="","",IFERROR(IF(AND(LEN(CH2321)=9,ISERROR(FIND("-",LEFT(CH2321,8))),ISNUMBER(-LEFT(CH2321,8))),VALUE(MID(CH2321,5,2)),VALUE(MID(CH2321,FIND("-",CH2321)+1,FIND("-",CH2321,FIND("-",CH2321)+1)-FIND("-",CH2321)-1))),""))</f>
        <v/>
      </c>
      <c r="CO2321">
        <f>IF(CH2321="","",IFERROR(IF(AND(LEN(CH2321)=9,ISERROR(FIND("-",LEFT(CH2321,8))),ISNUMBER(-LEFT(CH2321,8))),VALUE(MID(CH2321,7,2)),VALUE(MID(CH2321,FIND("-",CH2321,FIND("-",CH2321)+1)+1,FIND("-",CH2321,FIND("-",CH2321,FIND("-",CH2321)+1)+1)-FIND("-",CH2321,FIND("-",CH2321)+1)-1))),""))</f>
        <v/>
      </c>
    </row>
    <row r="2322">
      <c r="CH2322">
        <f>IF(ISTEXT('월 가계부'!A2322),SUBSTITUTE(SUBSTITUTE(SUBSTITUTE(SUBSTITUTE(SUBSTITUTE(SUBSTITUTE(SUBSTITUTE(SUBSTITUTE(SUBSTITUTE(TRIM('월 가계부'!A2322),"년","-"),"월","-"),"일",""),".","-"),"/","-")," ","-"),"--","-"),"--","-"),"--","-")&amp;"-","")</f>
        <v/>
      </c>
      <c r="CI2322">
        <f>IFERROR(IF('월 가계부'!A2322="","",IF(ISNUMBER('월 가계부'!A2322),IF(AND('월 가계부'!A2322&gt;=19000101,'월 가계부'!A2322&lt;=21001231),IF(AND(MOD(INT('월 가계부'!A2322/100),100)&gt;=1,MOD(INT('월 가계부'!A2322/100),100)&lt;=12,MOD(INT('월 가계부'!A2322),100)&gt;=1,MOD(INT('월 가계부'!A2322),100)&lt;=31),IF(MONTH(DATE(INT('월 가계부'!A2322/10000),MOD(INT('월 가계부'!A2322/100),100),MOD(INT('월 가계부'!A2322),100)))=MOD(INT('월 가계부'!A2322/100),100),DATE(INT('월 가계부'!A2322/10000),MOD(INT('월 가계부'!A2322/100),100),MOD(INT('월 가계부'!A2322),100)),""),""),IF(AND('월 가계부'!A2322&gt;=36526,'월 가계부'!A2322&lt;73051),INT('월 가계부'!A2322),"")),IF(OR(CM2322="",CN2322="",CO2322=""),"",IF(AND(CM2322&gt;=2000,CM2322&lt;=2099,CN2322&gt;=1,CN2322&lt;=12,CO2322&gt;=1,CO2322&lt;=31),IF(MONTH(DATE(CM2322,CN2322,CO2322))=CN2322,DATE(CM2322,CN2322,CO2322),""),"")))),"")</f>
        <v/>
      </c>
      <c r="CJ2322">
        <f>IFERROR(IF('월 가계부'!C2322="","",IF(ISNUMBER('월 가계부'!C2322),'월 가계부'!C2322,VALUE(SUBSTITUTE(SUBSTITUTE(SUBSTITUTE(SUBSTITUTE(TRIM('월 가계부'!C2322),",",""),"원","")," ",""),"−","-")))),"")</f>
        <v/>
      </c>
      <c r="CK2322">
        <f>IF(ISNUMBER(CI2322),IF(CI2322&lt;$B$13,CI2322,""),"")</f>
        <v/>
      </c>
      <c r="CM2322">
        <f>IF(CH2322="","",IFERROR(IF(IF(AND(LEN(CH2322)=9,ISERROR(FIND("-",LEFT(CH2322,8))),ISNUMBER(-LEFT(CH2322,8))),VALUE(LEFT(CH2322,4)),VALUE(LEFT(CH2322,FIND("-",CH2322)-1)))&lt;100,IF(AND(LEN(CH2322)=9,ISERROR(FIND("-",LEFT(CH2322,8))),ISNUMBER(-LEFT(CH2322,8))),VALUE(LEFT(CH2322,4)),VALUE(LEFT(CH2322,FIND("-",CH2322)-1)))+2000,IF(AND(LEN(CH2322)=9,ISERROR(FIND("-",LEFT(CH2322,8))),ISNUMBER(-LEFT(CH2322,8))),VALUE(LEFT(CH2322,4)),VALUE(LEFT(CH2322,FIND("-",CH2322)-1)))),""))</f>
        <v/>
      </c>
      <c r="CN2322">
        <f>IF(CH2322="","",IFERROR(IF(AND(LEN(CH2322)=9,ISERROR(FIND("-",LEFT(CH2322,8))),ISNUMBER(-LEFT(CH2322,8))),VALUE(MID(CH2322,5,2)),VALUE(MID(CH2322,FIND("-",CH2322)+1,FIND("-",CH2322,FIND("-",CH2322)+1)-FIND("-",CH2322)-1))),""))</f>
        <v/>
      </c>
      <c r="CO2322">
        <f>IF(CH2322="","",IFERROR(IF(AND(LEN(CH2322)=9,ISERROR(FIND("-",LEFT(CH2322,8))),ISNUMBER(-LEFT(CH2322,8))),VALUE(MID(CH2322,7,2)),VALUE(MID(CH2322,FIND("-",CH2322,FIND("-",CH2322)+1)+1,FIND("-",CH2322,FIND("-",CH2322,FIND("-",CH2322)+1)+1)-FIND("-",CH2322,FIND("-",CH2322)+1)-1))),""))</f>
        <v/>
      </c>
    </row>
    <row r="2323">
      <c r="CH2323">
        <f>IF(ISTEXT('월 가계부'!A2323),SUBSTITUTE(SUBSTITUTE(SUBSTITUTE(SUBSTITUTE(SUBSTITUTE(SUBSTITUTE(SUBSTITUTE(SUBSTITUTE(SUBSTITUTE(TRIM('월 가계부'!A2323),"년","-"),"월","-"),"일",""),".","-"),"/","-")," ","-"),"--","-"),"--","-"),"--","-")&amp;"-","")</f>
        <v/>
      </c>
      <c r="CI2323">
        <f>IFERROR(IF('월 가계부'!A2323="","",IF(ISNUMBER('월 가계부'!A2323),IF(AND('월 가계부'!A2323&gt;=19000101,'월 가계부'!A2323&lt;=21001231),IF(AND(MOD(INT('월 가계부'!A2323/100),100)&gt;=1,MOD(INT('월 가계부'!A2323/100),100)&lt;=12,MOD(INT('월 가계부'!A2323),100)&gt;=1,MOD(INT('월 가계부'!A2323),100)&lt;=31),IF(MONTH(DATE(INT('월 가계부'!A2323/10000),MOD(INT('월 가계부'!A2323/100),100),MOD(INT('월 가계부'!A2323),100)))=MOD(INT('월 가계부'!A2323/100),100),DATE(INT('월 가계부'!A2323/10000),MOD(INT('월 가계부'!A2323/100),100),MOD(INT('월 가계부'!A2323),100)),""),""),IF(AND('월 가계부'!A2323&gt;=36526,'월 가계부'!A2323&lt;73051),INT('월 가계부'!A2323),"")),IF(OR(CM2323="",CN2323="",CO2323=""),"",IF(AND(CM2323&gt;=2000,CM2323&lt;=2099,CN2323&gt;=1,CN2323&lt;=12,CO2323&gt;=1,CO2323&lt;=31),IF(MONTH(DATE(CM2323,CN2323,CO2323))=CN2323,DATE(CM2323,CN2323,CO2323),""),"")))),"")</f>
        <v/>
      </c>
      <c r="CJ2323">
        <f>IFERROR(IF('월 가계부'!C2323="","",IF(ISNUMBER('월 가계부'!C2323),'월 가계부'!C2323,VALUE(SUBSTITUTE(SUBSTITUTE(SUBSTITUTE(SUBSTITUTE(TRIM('월 가계부'!C2323),",",""),"원","")," ",""),"−","-")))),"")</f>
        <v/>
      </c>
      <c r="CK2323">
        <f>IF(ISNUMBER(CI2323),IF(CI2323&lt;$B$13,CI2323,""),"")</f>
        <v/>
      </c>
      <c r="CM2323">
        <f>IF(CH2323="","",IFERROR(IF(IF(AND(LEN(CH2323)=9,ISERROR(FIND("-",LEFT(CH2323,8))),ISNUMBER(-LEFT(CH2323,8))),VALUE(LEFT(CH2323,4)),VALUE(LEFT(CH2323,FIND("-",CH2323)-1)))&lt;100,IF(AND(LEN(CH2323)=9,ISERROR(FIND("-",LEFT(CH2323,8))),ISNUMBER(-LEFT(CH2323,8))),VALUE(LEFT(CH2323,4)),VALUE(LEFT(CH2323,FIND("-",CH2323)-1)))+2000,IF(AND(LEN(CH2323)=9,ISERROR(FIND("-",LEFT(CH2323,8))),ISNUMBER(-LEFT(CH2323,8))),VALUE(LEFT(CH2323,4)),VALUE(LEFT(CH2323,FIND("-",CH2323)-1)))),""))</f>
        <v/>
      </c>
      <c r="CN2323">
        <f>IF(CH2323="","",IFERROR(IF(AND(LEN(CH2323)=9,ISERROR(FIND("-",LEFT(CH2323,8))),ISNUMBER(-LEFT(CH2323,8))),VALUE(MID(CH2323,5,2)),VALUE(MID(CH2323,FIND("-",CH2323)+1,FIND("-",CH2323,FIND("-",CH2323)+1)-FIND("-",CH2323)-1))),""))</f>
        <v/>
      </c>
      <c r="CO2323">
        <f>IF(CH2323="","",IFERROR(IF(AND(LEN(CH2323)=9,ISERROR(FIND("-",LEFT(CH2323,8))),ISNUMBER(-LEFT(CH2323,8))),VALUE(MID(CH2323,7,2)),VALUE(MID(CH2323,FIND("-",CH2323,FIND("-",CH2323)+1)+1,FIND("-",CH2323,FIND("-",CH2323,FIND("-",CH2323)+1)+1)-FIND("-",CH2323,FIND("-",CH2323)+1)-1))),""))</f>
        <v/>
      </c>
    </row>
    <row r="2324">
      <c r="CH2324">
        <f>IF(ISTEXT('월 가계부'!A2324),SUBSTITUTE(SUBSTITUTE(SUBSTITUTE(SUBSTITUTE(SUBSTITUTE(SUBSTITUTE(SUBSTITUTE(SUBSTITUTE(SUBSTITUTE(TRIM('월 가계부'!A2324),"년","-"),"월","-"),"일",""),".","-"),"/","-")," ","-"),"--","-"),"--","-"),"--","-")&amp;"-","")</f>
        <v/>
      </c>
      <c r="CI2324">
        <f>IFERROR(IF('월 가계부'!A2324="","",IF(ISNUMBER('월 가계부'!A2324),IF(AND('월 가계부'!A2324&gt;=19000101,'월 가계부'!A2324&lt;=21001231),IF(AND(MOD(INT('월 가계부'!A2324/100),100)&gt;=1,MOD(INT('월 가계부'!A2324/100),100)&lt;=12,MOD(INT('월 가계부'!A2324),100)&gt;=1,MOD(INT('월 가계부'!A2324),100)&lt;=31),IF(MONTH(DATE(INT('월 가계부'!A2324/10000),MOD(INT('월 가계부'!A2324/100),100),MOD(INT('월 가계부'!A2324),100)))=MOD(INT('월 가계부'!A2324/100),100),DATE(INT('월 가계부'!A2324/10000),MOD(INT('월 가계부'!A2324/100),100),MOD(INT('월 가계부'!A2324),100)),""),""),IF(AND('월 가계부'!A2324&gt;=36526,'월 가계부'!A2324&lt;73051),INT('월 가계부'!A2324),"")),IF(OR(CM2324="",CN2324="",CO2324=""),"",IF(AND(CM2324&gt;=2000,CM2324&lt;=2099,CN2324&gt;=1,CN2324&lt;=12,CO2324&gt;=1,CO2324&lt;=31),IF(MONTH(DATE(CM2324,CN2324,CO2324))=CN2324,DATE(CM2324,CN2324,CO2324),""),"")))),"")</f>
        <v/>
      </c>
      <c r="CJ2324">
        <f>IFERROR(IF('월 가계부'!C2324="","",IF(ISNUMBER('월 가계부'!C2324),'월 가계부'!C2324,VALUE(SUBSTITUTE(SUBSTITUTE(SUBSTITUTE(SUBSTITUTE(TRIM('월 가계부'!C2324),",",""),"원","")," ",""),"−","-")))),"")</f>
        <v/>
      </c>
      <c r="CK2324">
        <f>IF(ISNUMBER(CI2324),IF(CI2324&lt;$B$13,CI2324,""),"")</f>
        <v/>
      </c>
      <c r="CM2324">
        <f>IF(CH2324="","",IFERROR(IF(IF(AND(LEN(CH2324)=9,ISERROR(FIND("-",LEFT(CH2324,8))),ISNUMBER(-LEFT(CH2324,8))),VALUE(LEFT(CH2324,4)),VALUE(LEFT(CH2324,FIND("-",CH2324)-1)))&lt;100,IF(AND(LEN(CH2324)=9,ISERROR(FIND("-",LEFT(CH2324,8))),ISNUMBER(-LEFT(CH2324,8))),VALUE(LEFT(CH2324,4)),VALUE(LEFT(CH2324,FIND("-",CH2324)-1)))+2000,IF(AND(LEN(CH2324)=9,ISERROR(FIND("-",LEFT(CH2324,8))),ISNUMBER(-LEFT(CH2324,8))),VALUE(LEFT(CH2324,4)),VALUE(LEFT(CH2324,FIND("-",CH2324)-1)))),""))</f>
        <v/>
      </c>
      <c r="CN2324">
        <f>IF(CH2324="","",IFERROR(IF(AND(LEN(CH2324)=9,ISERROR(FIND("-",LEFT(CH2324,8))),ISNUMBER(-LEFT(CH2324,8))),VALUE(MID(CH2324,5,2)),VALUE(MID(CH2324,FIND("-",CH2324)+1,FIND("-",CH2324,FIND("-",CH2324)+1)-FIND("-",CH2324)-1))),""))</f>
        <v/>
      </c>
      <c r="CO2324">
        <f>IF(CH2324="","",IFERROR(IF(AND(LEN(CH2324)=9,ISERROR(FIND("-",LEFT(CH2324,8))),ISNUMBER(-LEFT(CH2324,8))),VALUE(MID(CH2324,7,2)),VALUE(MID(CH2324,FIND("-",CH2324,FIND("-",CH2324)+1)+1,FIND("-",CH2324,FIND("-",CH2324,FIND("-",CH2324)+1)+1)-FIND("-",CH2324,FIND("-",CH2324)+1)-1))),""))</f>
        <v/>
      </c>
    </row>
    <row r="2325">
      <c r="CH2325">
        <f>IF(ISTEXT('월 가계부'!A2325),SUBSTITUTE(SUBSTITUTE(SUBSTITUTE(SUBSTITUTE(SUBSTITUTE(SUBSTITUTE(SUBSTITUTE(SUBSTITUTE(SUBSTITUTE(TRIM('월 가계부'!A2325),"년","-"),"월","-"),"일",""),".","-"),"/","-")," ","-"),"--","-"),"--","-"),"--","-")&amp;"-","")</f>
        <v/>
      </c>
      <c r="CI2325">
        <f>IFERROR(IF('월 가계부'!A2325="","",IF(ISNUMBER('월 가계부'!A2325),IF(AND('월 가계부'!A2325&gt;=19000101,'월 가계부'!A2325&lt;=21001231),IF(AND(MOD(INT('월 가계부'!A2325/100),100)&gt;=1,MOD(INT('월 가계부'!A2325/100),100)&lt;=12,MOD(INT('월 가계부'!A2325),100)&gt;=1,MOD(INT('월 가계부'!A2325),100)&lt;=31),IF(MONTH(DATE(INT('월 가계부'!A2325/10000),MOD(INT('월 가계부'!A2325/100),100),MOD(INT('월 가계부'!A2325),100)))=MOD(INT('월 가계부'!A2325/100),100),DATE(INT('월 가계부'!A2325/10000),MOD(INT('월 가계부'!A2325/100),100),MOD(INT('월 가계부'!A2325),100)),""),""),IF(AND('월 가계부'!A2325&gt;=36526,'월 가계부'!A2325&lt;73051),INT('월 가계부'!A2325),"")),IF(OR(CM2325="",CN2325="",CO2325=""),"",IF(AND(CM2325&gt;=2000,CM2325&lt;=2099,CN2325&gt;=1,CN2325&lt;=12,CO2325&gt;=1,CO2325&lt;=31),IF(MONTH(DATE(CM2325,CN2325,CO2325))=CN2325,DATE(CM2325,CN2325,CO2325),""),"")))),"")</f>
        <v/>
      </c>
      <c r="CJ2325">
        <f>IFERROR(IF('월 가계부'!C2325="","",IF(ISNUMBER('월 가계부'!C2325),'월 가계부'!C2325,VALUE(SUBSTITUTE(SUBSTITUTE(SUBSTITUTE(SUBSTITUTE(TRIM('월 가계부'!C2325),",",""),"원","")," ",""),"−","-")))),"")</f>
        <v/>
      </c>
      <c r="CK2325">
        <f>IF(ISNUMBER(CI2325),IF(CI2325&lt;$B$13,CI2325,""),"")</f>
        <v/>
      </c>
      <c r="CM2325">
        <f>IF(CH2325="","",IFERROR(IF(IF(AND(LEN(CH2325)=9,ISERROR(FIND("-",LEFT(CH2325,8))),ISNUMBER(-LEFT(CH2325,8))),VALUE(LEFT(CH2325,4)),VALUE(LEFT(CH2325,FIND("-",CH2325)-1)))&lt;100,IF(AND(LEN(CH2325)=9,ISERROR(FIND("-",LEFT(CH2325,8))),ISNUMBER(-LEFT(CH2325,8))),VALUE(LEFT(CH2325,4)),VALUE(LEFT(CH2325,FIND("-",CH2325)-1)))+2000,IF(AND(LEN(CH2325)=9,ISERROR(FIND("-",LEFT(CH2325,8))),ISNUMBER(-LEFT(CH2325,8))),VALUE(LEFT(CH2325,4)),VALUE(LEFT(CH2325,FIND("-",CH2325)-1)))),""))</f>
        <v/>
      </c>
      <c r="CN2325">
        <f>IF(CH2325="","",IFERROR(IF(AND(LEN(CH2325)=9,ISERROR(FIND("-",LEFT(CH2325,8))),ISNUMBER(-LEFT(CH2325,8))),VALUE(MID(CH2325,5,2)),VALUE(MID(CH2325,FIND("-",CH2325)+1,FIND("-",CH2325,FIND("-",CH2325)+1)-FIND("-",CH2325)-1))),""))</f>
        <v/>
      </c>
      <c r="CO2325">
        <f>IF(CH2325="","",IFERROR(IF(AND(LEN(CH2325)=9,ISERROR(FIND("-",LEFT(CH2325,8))),ISNUMBER(-LEFT(CH2325,8))),VALUE(MID(CH2325,7,2)),VALUE(MID(CH2325,FIND("-",CH2325,FIND("-",CH2325)+1)+1,FIND("-",CH2325,FIND("-",CH2325,FIND("-",CH2325)+1)+1)-FIND("-",CH2325,FIND("-",CH2325)+1)-1))),""))</f>
        <v/>
      </c>
    </row>
    <row r="2326">
      <c r="CH2326">
        <f>IF(ISTEXT('월 가계부'!A2326),SUBSTITUTE(SUBSTITUTE(SUBSTITUTE(SUBSTITUTE(SUBSTITUTE(SUBSTITUTE(SUBSTITUTE(SUBSTITUTE(SUBSTITUTE(TRIM('월 가계부'!A2326),"년","-"),"월","-"),"일",""),".","-"),"/","-")," ","-"),"--","-"),"--","-"),"--","-")&amp;"-","")</f>
        <v/>
      </c>
      <c r="CI2326">
        <f>IFERROR(IF('월 가계부'!A2326="","",IF(ISNUMBER('월 가계부'!A2326),IF(AND('월 가계부'!A2326&gt;=19000101,'월 가계부'!A2326&lt;=21001231),IF(AND(MOD(INT('월 가계부'!A2326/100),100)&gt;=1,MOD(INT('월 가계부'!A2326/100),100)&lt;=12,MOD(INT('월 가계부'!A2326),100)&gt;=1,MOD(INT('월 가계부'!A2326),100)&lt;=31),IF(MONTH(DATE(INT('월 가계부'!A2326/10000),MOD(INT('월 가계부'!A2326/100),100),MOD(INT('월 가계부'!A2326),100)))=MOD(INT('월 가계부'!A2326/100),100),DATE(INT('월 가계부'!A2326/10000),MOD(INT('월 가계부'!A2326/100),100),MOD(INT('월 가계부'!A2326),100)),""),""),IF(AND('월 가계부'!A2326&gt;=36526,'월 가계부'!A2326&lt;73051),INT('월 가계부'!A2326),"")),IF(OR(CM2326="",CN2326="",CO2326=""),"",IF(AND(CM2326&gt;=2000,CM2326&lt;=2099,CN2326&gt;=1,CN2326&lt;=12,CO2326&gt;=1,CO2326&lt;=31),IF(MONTH(DATE(CM2326,CN2326,CO2326))=CN2326,DATE(CM2326,CN2326,CO2326),""),"")))),"")</f>
        <v/>
      </c>
      <c r="CJ2326">
        <f>IFERROR(IF('월 가계부'!C2326="","",IF(ISNUMBER('월 가계부'!C2326),'월 가계부'!C2326,VALUE(SUBSTITUTE(SUBSTITUTE(SUBSTITUTE(SUBSTITUTE(TRIM('월 가계부'!C2326),",",""),"원","")," ",""),"−","-")))),"")</f>
        <v/>
      </c>
      <c r="CK2326">
        <f>IF(ISNUMBER(CI2326),IF(CI2326&lt;$B$13,CI2326,""),"")</f>
        <v/>
      </c>
      <c r="CM2326">
        <f>IF(CH2326="","",IFERROR(IF(IF(AND(LEN(CH2326)=9,ISERROR(FIND("-",LEFT(CH2326,8))),ISNUMBER(-LEFT(CH2326,8))),VALUE(LEFT(CH2326,4)),VALUE(LEFT(CH2326,FIND("-",CH2326)-1)))&lt;100,IF(AND(LEN(CH2326)=9,ISERROR(FIND("-",LEFT(CH2326,8))),ISNUMBER(-LEFT(CH2326,8))),VALUE(LEFT(CH2326,4)),VALUE(LEFT(CH2326,FIND("-",CH2326)-1)))+2000,IF(AND(LEN(CH2326)=9,ISERROR(FIND("-",LEFT(CH2326,8))),ISNUMBER(-LEFT(CH2326,8))),VALUE(LEFT(CH2326,4)),VALUE(LEFT(CH2326,FIND("-",CH2326)-1)))),""))</f>
        <v/>
      </c>
      <c r="CN2326">
        <f>IF(CH2326="","",IFERROR(IF(AND(LEN(CH2326)=9,ISERROR(FIND("-",LEFT(CH2326,8))),ISNUMBER(-LEFT(CH2326,8))),VALUE(MID(CH2326,5,2)),VALUE(MID(CH2326,FIND("-",CH2326)+1,FIND("-",CH2326,FIND("-",CH2326)+1)-FIND("-",CH2326)-1))),""))</f>
        <v/>
      </c>
      <c r="CO2326">
        <f>IF(CH2326="","",IFERROR(IF(AND(LEN(CH2326)=9,ISERROR(FIND("-",LEFT(CH2326,8))),ISNUMBER(-LEFT(CH2326,8))),VALUE(MID(CH2326,7,2)),VALUE(MID(CH2326,FIND("-",CH2326,FIND("-",CH2326)+1)+1,FIND("-",CH2326,FIND("-",CH2326,FIND("-",CH2326)+1)+1)-FIND("-",CH2326,FIND("-",CH2326)+1)-1))),""))</f>
        <v/>
      </c>
    </row>
    <row r="2327">
      <c r="CH2327">
        <f>IF(ISTEXT('월 가계부'!A2327),SUBSTITUTE(SUBSTITUTE(SUBSTITUTE(SUBSTITUTE(SUBSTITUTE(SUBSTITUTE(SUBSTITUTE(SUBSTITUTE(SUBSTITUTE(TRIM('월 가계부'!A2327),"년","-"),"월","-"),"일",""),".","-"),"/","-")," ","-"),"--","-"),"--","-"),"--","-")&amp;"-","")</f>
        <v/>
      </c>
      <c r="CI2327">
        <f>IFERROR(IF('월 가계부'!A2327="","",IF(ISNUMBER('월 가계부'!A2327),IF(AND('월 가계부'!A2327&gt;=19000101,'월 가계부'!A2327&lt;=21001231),IF(AND(MOD(INT('월 가계부'!A2327/100),100)&gt;=1,MOD(INT('월 가계부'!A2327/100),100)&lt;=12,MOD(INT('월 가계부'!A2327),100)&gt;=1,MOD(INT('월 가계부'!A2327),100)&lt;=31),IF(MONTH(DATE(INT('월 가계부'!A2327/10000),MOD(INT('월 가계부'!A2327/100),100),MOD(INT('월 가계부'!A2327),100)))=MOD(INT('월 가계부'!A2327/100),100),DATE(INT('월 가계부'!A2327/10000),MOD(INT('월 가계부'!A2327/100),100),MOD(INT('월 가계부'!A2327),100)),""),""),IF(AND('월 가계부'!A2327&gt;=36526,'월 가계부'!A2327&lt;73051),INT('월 가계부'!A2327),"")),IF(OR(CM2327="",CN2327="",CO2327=""),"",IF(AND(CM2327&gt;=2000,CM2327&lt;=2099,CN2327&gt;=1,CN2327&lt;=12,CO2327&gt;=1,CO2327&lt;=31),IF(MONTH(DATE(CM2327,CN2327,CO2327))=CN2327,DATE(CM2327,CN2327,CO2327),""),"")))),"")</f>
        <v/>
      </c>
      <c r="CJ2327">
        <f>IFERROR(IF('월 가계부'!C2327="","",IF(ISNUMBER('월 가계부'!C2327),'월 가계부'!C2327,VALUE(SUBSTITUTE(SUBSTITUTE(SUBSTITUTE(SUBSTITUTE(TRIM('월 가계부'!C2327),",",""),"원","")," ",""),"−","-")))),"")</f>
        <v/>
      </c>
      <c r="CK2327">
        <f>IF(ISNUMBER(CI2327),IF(CI2327&lt;$B$13,CI2327,""),"")</f>
        <v/>
      </c>
      <c r="CM2327">
        <f>IF(CH2327="","",IFERROR(IF(IF(AND(LEN(CH2327)=9,ISERROR(FIND("-",LEFT(CH2327,8))),ISNUMBER(-LEFT(CH2327,8))),VALUE(LEFT(CH2327,4)),VALUE(LEFT(CH2327,FIND("-",CH2327)-1)))&lt;100,IF(AND(LEN(CH2327)=9,ISERROR(FIND("-",LEFT(CH2327,8))),ISNUMBER(-LEFT(CH2327,8))),VALUE(LEFT(CH2327,4)),VALUE(LEFT(CH2327,FIND("-",CH2327)-1)))+2000,IF(AND(LEN(CH2327)=9,ISERROR(FIND("-",LEFT(CH2327,8))),ISNUMBER(-LEFT(CH2327,8))),VALUE(LEFT(CH2327,4)),VALUE(LEFT(CH2327,FIND("-",CH2327)-1)))),""))</f>
        <v/>
      </c>
      <c r="CN2327">
        <f>IF(CH2327="","",IFERROR(IF(AND(LEN(CH2327)=9,ISERROR(FIND("-",LEFT(CH2327,8))),ISNUMBER(-LEFT(CH2327,8))),VALUE(MID(CH2327,5,2)),VALUE(MID(CH2327,FIND("-",CH2327)+1,FIND("-",CH2327,FIND("-",CH2327)+1)-FIND("-",CH2327)-1))),""))</f>
        <v/>
      </c>
      <c r="CO2327">
        <f>IF(CH2327="","",IFERROR(IF(AND(LEN(CH2327)=9,ISERROR(FIND("-",LEFT(CH2327,8))),ISNUMBER(-LEFT(CH2327,8))),VALUE(MID(CH2327,7,2)),VALUE(MID(CH2327,FIND("-",CH2327,FIND("-",CH2327)+1)+1,FIND("-",CH2327,FIND("-",CH2327,FIND("-",CH2327)+1)+1)-FIND("-",CH2327,FIND("-",CH2327)+1)-1))),""))</f>
        <v/>
      </c>
    </row>
    <row r="2328">
      <c r="CH2328">
        <f>IF(ISTEXT('월 가계부'!A2328),SUBSTITUTE(SUBSTITUTE(SUBSTITUTE(SUBSTITUTE(SUBSTITUTE(SUBSTITUTE(SUBSTITUTE(SUBSTITUTE(SUBSTITUTE(TRIM('월 가계부'!A2328),"년","-"),"월","-"),"일",""),".","-"),"/","-")," ","-"),"--","-"),"--","-"),"--","-")&amp;"-","")</f>
        <v/>
      </c>
      <c r="CI2328">
        <f>IFERROR(IF('월 가계부'!A2328="","",IF(ISNUMBER('월 가계부'!A2328),IF(AND('월 가계부'!A2328&gt;=19000101,'월 가계부'!A2328&lt;=21001231),IF(AND(MOD(INT('월 가계부'!A2328/100),100)&gt;=1,MOD(INT('월 가계부'!A2328/100),100)&lt;=12,MOD(INT('월 가계부'!A2328),100)&gt;=1,MOD(INT('월 가계부'!A2328),100)&lt;=31),IF(MONTH(DATE(INT('월 가계부'!A2328/10000),MOD(INT('월 가계부'!A2328/100),100),MOD(INT('월 가계부'!A2328),100)))=MOD(INT('월 가계부'!A2328/100),100),DATE(INT('월 가계부'!A2328/10000),MOD(INT('월 가계부'!A2328/100),100),MOD(INT('월 가계부'!A2328),100)),""),""),IF(AND('월 가계부'!A2328&gt;=36526,'월 가계부'!A2328&lt;73051),INT('월 가계부'!A2328),"")),IF(OR(CM2328="",CN2328="",CO2328=""),"",IF(AND(CM2328&gt;=2000,CM2328&lt;=2099,CN2328&gt;=1,CN2328&lt;=12,CO2328&gt;=1,CO2328&lt;=31),IF(MONTH(DATE(CM2328,CN2328,CO2328))=CN2328,DATE(CM2328,CN2328,CO2328),""),"")))),"")</f>
        <v/>
      </c>
      <c r="CJ2328">
        <f>IFERROR(IF('월 가계부'!C2328="","",IF(ISNUMBER('월 가계부'!C2328),'월 가계부'!C2328,VALUE(SUBSTITUTE(SUBSTITUTE(SUBSTITUTE(SUBSTITUTE(TRIM('월 가계부'!C2328),",",""),"원","")," ",""),"−","-")))),"")</f>
        <v/>
      </c>
      <c r="CK2328">
        <f>IF(ISNUMBER(CI2328),IF(CI2328&lt;$B$13,CI2328,""),"")</f>
        <v/>
      </c>
      <c r="CM2328">
        <f>IF(CH2328="","",IFERROR(IF(IF(AND(LEN(CH2328)=9,ISERROR(FIND("-",LEFT(CH2328,8))),ISNUMBER(-LEFT(CH2328,8))),VALUE(LEFT(CH2328,4)),VALUE(LEFT(CH2328,FIND("-",CH2328)-1)))&lt;100,IF(AND(LEN(CH2328)=9,ISERROR(FIND("-",LEFT(CH2328,8))),ISNUMBER(-LEFT(CH2328,8))),VALUE(LEFT(CH2328,4)),VALUE(LEFT(CH2328,FIND("-",CH2328)-1)))+2000,IF(AND(LEN(CH2328)=9,ISERROR(FIND("-",LEFT(CH2328,8))),ISNUMBER(-LEFT(CH2328,8))),VALUE(LEFT(CH2328,4)),VALUE(LEFT(CH2328,FIND("-",CH2328)-1)))),""))</f>
        <v/>
      </c>
      <c r="CN2328">
        <f>IF(CH2328="","",IFERROR(IF(AND(LEN(CH2328)=9,ISERROR(FIND("-",LEFT(CH2328,8))),ISNUMBER(-LEFT(CH2328,8))),VALUE(MID(CH2328,5,2)),VALUE(MID(CH2328,FIND("-",CH2328)+1,FIND("-",CH2328,FIND("-",CH2328)+1)-FIND("-",CH2328)-1))),""))</f>
        <v/>
      </c>
      <c r="CO2328">
        <f>IF(CH2328="","",IFERROR(IF(AND(LEN(CH2328)=9,ISERROR(FIND("-",LEFT(CH2328,8))),ISNUMBER(-LEFT(CH2328,8))),VALUE(MID(CH2328,7,2)),VALUE(MID(CH2328,FIND("-",CH2328,FIND("-",CH2328)+1)+1,FIND("-",CH2328,FIND("-",CH2328,FIND("-",CH2328)+1)+1)-FIND("-",CH2328,FIND("-",CH2328)+1)-1))),""))</f>
        <v/>
      </c>
    </row>
    <row r="2329">
      <c r="CH2329">
        <f>IF(ISTEXT('월 가계부'!A2329),SUBSTITUTE(SUBSTITUTE(SUBSTITUTE(SUBSTITUTE(SUBSTITUTE(SUBSTITUTE(SUBSTITUTE(SUBSTITUTE(SUBSTITUTE(TRIM('월 가계부'!A2329),"년","-"),"월","-"),"일",""),".","-"),"/","-")," ","-"),"--","-"),"--","-"),"--","-")&amp;"-","")</f>
        <v/>
      </c>
      <c r="CI2329">
        <f>IFERROR(IF('월 가계부'!A2329="","",IF(ISNUMBER('월 가계부'!A2329),IF(AND('월 가계부'!A2329&gt;=19000101,'월 가계부'!A2329&lt;=21001231),IF(AND(MOD(INT('월 가계부'!A2329/100),100)&gt;=1,MOD(INT('월 가계부'!A2329/100),100)&lt;=12,MOD(INT('월 가계부'!A2329),100)&gt;=1,MOD(INT('월 가계부'!A2329),100)&lt;=31),IF(MONTH(DATE(INT('월 가계부'!A2329/10000),MOD(INT('월 가계부'!A2329/100),100),MOD(INT('월 가계부'!A2329),100)))=MOD(INT('월 가계부'!A2329/100),100),DATE(INT('월 가계부'!A2329/10000),MOD(INT('월 가계부'!A2329/100),100),MOD(INT('월 가계부'!A2329),100)),""),""),IF(AND('월 가계부'!A2329&gt;=36526,'월 가계부'!A2329&lt;73051),INT('월 가계부'!A2329),"")),IF(OR(CM2329="",CN2329="",CO2329=""),"",IF(AND(CM2329&gt;=2000,CM2329&lt;=2099,CN2329&gt;=1,CN2329&lt;=12,CO2329&gt;=1,CO2329&lt;=31),IF(MONTH(DATE(CM2329,CN2329,CO2329))=CN2329,DATE(CM2329,CN2329,CO2329),""),"")))),"")</f>
        <v/>
      </c>
      <c r="CJ2329">
        <f>IFERROR(IF('월 가계부'!C2329="","",IF(ISNUMBER('월 가계부'!C2329),'월 가계부'!C2329,VALUE(SUBSTITUTE(SUBSTITUTE(SUBSTITUTE(SUBSTITUTE(TRIM('월 가계부'!C2329),",",""),"원","")," ",""),"−","-")))),"")</f>
        <v/>
      </c>
      <c r="CK2329">
        <f>IF(ISNUMBER(CI2329),IF(CI2329&lt;$B$13,CI2329,""),"")</f>
        <v/>
      </c>
      <c r="CM2329">
        <f>IF(CH2329="","",IFERROR(IF(IF(AND(LEN(CH2329)=9,ISERROR(FIND("-",LEFT(CH2329,8))),ISNUMBER(-LEFT(CH2329,8))),VALUE(LEFT(CH2329,4)),VALUE(LEFT(CH2329,FIND("-",CH2329)-1)))&lt;100,IF(AND(LEN(CH2329)=9,ISERROR(FIND("-",LEFT(CH2329,8))),ISNUMBER(-LEFT(CH2329,8))),VALUE(LEFT(CH2329,4)),VALUE(LEFT(CH2329,FIND("-",CH2329)-1)))+2000,IF(AND(LEN(CH2329)=9,ISERROR(FIND("-",LEFT(CH2329,8))),ISNUMBER(-LEFT(CH2329,8))),VALUE(LEFT(CH2329,4)),VALUE(LEFT(CH2329,FIND("-",CH2329)-1)))),""))</f>
        <v/>
      </c>
      <c r="CN2329">
        <f>IF(CH2329="","",IFERROR(IF(AND(LEN(CH2329)=9,ISERROR(FIND("-",LEFT(CH2329,8))),ISNUMBER(-LEFT(CH2329,8))),VALUE(MID(CH2329,5,2)),VALUE(MID(CH2329,FIND("-",CH2329)+1,FIND("-",CH2329,FIND("-",CH2329)+1)-FIND("-",CH2329)-1))),""))</f>
        <v/>
      </c>
      <c r="CO2329">
        <f>IF(CH2329="","",IFERROR(IF(AND(LEN(CH2329)=9,ISERROR(FIND("-",LEFT(CH2329,8))),ISNUMBER(-LEFT(CH2329,8))),VALUE(MID(CH2329,7,2)),VALUE(MID(CH2329,FIND("-",CH2329,FIND("-",CH2329)+1)+1,FIND("-",CH2329,FIND("-",CH2329,FIND("-",CH2329)+1)+1)-FIND("-",CH2329,FIND("-",CH2329)+1)-1))),""))</f>
        <v/>
      </c>
    </row>
    <row r="2330">
      <c r="CH2330">
        <f>IF(ISTEXT('월 가계부'!A2330),SUBSTITUTE(SUBSTITUTE(SUBSTITUTE(SUBSTITUTE(SUBSTITUTE(SUBSTITUTE(SUBSTITUTE(SUBSTITUTE(SUBSTITUTE(TRIM('월 가계부'!A2330),"년","-"),"월","-"),"일",""),".","-"),"/","-")," ","-"),"--","-"),"--","-"),"--","-")&amp;"-","")</f>
        <v/>
      </c>
      <c r="CI2330">
        <f>IFERROR(IF('월 가계부'!A2330="","",IF(ISNUMBER('월 가계부'!A2330),IF(AND('월 가계부'!A2330&gt;=19000101,'월 가계부'!A2330&lt;=21001231),IF(AND(MOD(INT('월 가계부'!A2330/100),100)&gt;=1,MOD(INT('월 가계부'!A2330/100),100)&lt;=12,MOD(INT('월 가계부'!A2330),100)&gt;=1,MOD(INT('월 가계부'!A2330),100)&lt;=31),IF(MONTH(DATE(INT('월 가계부'!A2330/10000),MOD(INT('월 가계부'!A2330/100),100),MOD(INT('월 가계부'!A2330),100)))=MOD(INT('월 가계부'!A2330/100),100),DATE(INT('월 가계부'!A2330/10000),MOD(INT('월 가계부'!A2330/100),100),MOD(INT('월 가계부'!A2330),100)),""),""),IF(AND('월 가계부'!A2330&gt;=36526,'월 가계부'!A2330&lt;73051),INT('월 가계부'!A2330),"")),IF(OR(CM2330="",CN2330="",CO2330=""),"",IF(AND(CM2330&gt;=2000,CM2330&lt;=2099,CN2330&gt;=1,CN2330&lt;=12,CO2330&gt;=1,CO2330&lt;=31),IF(MONTH(DATE(CM2330,CN2330,CO2330))=CN2330,DATE(CM2330,CN2330,CO2330),""),"")))),"")</f>
        <v/>
      </c>
      <c r="CJ2330">
        <f>IFERROR(IF('월 가계부'!C2330="","",IF(ISNUMBER('월 가계부'!C2330),'월 가계부'!C2330,VALUE(SUBSTITUTE(SUBSTITUTE(SUBSTITUTE(SUBSTITUTE(TRIM('월 가계부'!C2330),",",""),"원","")," ",""),"−","-")))),"")</f>
        <v/>
      </c>
      <c r="CK2330">
        <f>IF(ISNUMBER(CI2330),IF(CI2330&lt;$B$13,CI2330,""),"")</f>
        <v/>
      </c>
      <c r="CM2330">
        <f>IF(CH2330="","",IFERROR(IF(IF(AND(LEN(CH2330)=9,ISERROR(FIND("-",LEFT(CH2330,8))),ISNUMBER(-LEFT(CH2330,8))),VALUE(LEFT(CH2330,4)),VALUE(LEFT(CH2330,FIND("-",CH2330)-1)))&lt;100,IF(AND(LEN(CH2330)=9,ISERROR(FIND("-",LEFT(CH2330,8))),ISNUMBER(-LEFT(CH2330,8))),VALUE(LEFT(CH2330,4)),VALUE(LEFT(CH2330,FIND("-",CH2330)-1)))+2000,IF(AND(LEN(CH2330)=9,ISERROR(FIND("-",LEFT(CH2330,8))),ISNUMBER(-LEFT(CH2330,8))),VALUE(LEFT(CH2330,4)),VALUE(LEFT(CH2330,FIND("-",CH2330)-1)))),""))</f>
        <v/>
      </c>
      <c r="CN2330">
        <f>IF(CH2330="","",IFERROR(IF(AND(LEN(CH2330)=9,ISERROR(FIND("-",LEFT(CH2330,8))),ISNUMBER(-LEFT(CH2330,8))),VALUE(MID(CH2330,5,2)),VALUE(MID(CH2330,FIND("-",CH2330)+1,FIND("-",CH2330,FIND("-",CH2330)+1)-FIND("-",CH2330)-1))),""))</f>
        <v/>
      </c>
      <c r="CO2330">
        <f>IF(CH2330="","",IFERROR(IF(AND(LEN(CH2330)=9,ISERROR(FIND("-",LEFT(CH2330,8))),ISNUMBER(-LEFT(CH2330,8))),VALUE(MID(CH2330,7,2)),VALUE(MID(CH2330,FIND("-",CH2330,FIND("-",CH2330)+1)+1,FIND("-",CH2330,FIND("-",CH2330,FIND("-",CH2330)+1)+1)-FIND("-",CH2330,FIND("-",CH2330)+1)-1))),""))</f>
        <v/>
      </c>
    </row>
    <row r="2331">
      <c r="CH2331">
        <f>IF(ISTEXT('월 가계부'!A2331),SUBSTITUTE(SUBSTITUTE(SUBSTITUTE(SUBSTITUTE(SUBSTITUTE(SUBSTITUTE(SUBSTITUTE(SUBSTITUTE(SUBSTITUTE(TRIM('월 가계부'!A2331),"년","-"),"월","-"),"일",""),".","-"),"/","-")," ","-"),"--","-"),"--","-"),"--","-")&amp;"-","")</f>
        <v/>
      </c>
      <c r="CI2331">
        <f>IFERROR(IF('월 가계부'!A2331="","",IF(ISNUMBER('월 가계부'!A2331),IF(AND('월 가계부'!A2331&gt;=19000101,'월 가계부'!A2331&lt;=21001231),IF(AND(MOD(INT('월 가계부'!A2331/100),100)&gt;=1,MOD(INT('월 가계부'!A2331/100),100)&lt;=12,MOD(INT('월 가계부'!A2331),100)&gt;=1,MOD(INT('월 가계부'!A2331),100)&lt;=31),IF(MONTH(DATE(INT('월 가계부'!A2331/10000),MOD(INT('월 가계부'!A2331/100),100),MOD(INT('월 가계부'!A2331),100)))=MOD(INT('월 가계부'!A2331/100),100),DATE(INT('월 가계부'!A2331/10000),MOD(INT('월 가계부'!A2331/100),100),MOD(INT('월 가계부'!A2331),100)),""),""),IF(AND('월 가계부'!A2331&gt;=36526,'월 가계부'!A2331&lt;73051),INT('월 가계부'!A2331),"")),IF(OR(CM2331="",CN2331="",CO2331=""),"",IF(AND(CM2331&gt;=2000,CM2331&lt;=2099,CN2331&gt;=1,CN2331&lt;=12,CO2331&gt;=1,CO2331&lt;=31),IF(MONTH(DATE(CM2331,CN2331,CO2331))=CN2331,DATE(CM2331,CN2331,CO2331),""),"")))),"")</f>
        <v/>
      </c>
      <c r="CJ2331">
        <f>IFERROR(IF('월 가계부'!C2331="","",IF(ISNUMBER('월 가계부'!C2331),'월 가계부'!C2331,VALUE(SUBSTITUTE(SUBSTITUTE(SUBSTITUTE(SUBSTITUTE(TRIM('월 가계부'!C2331),",",""),"원","")," ",""),"−","-")))),"")</f>
        <v/>
      </c>
      <c r="CK2331">
        <f>IF(ISNUMBER(CI2331),IF(CI2331&lt;$B$13,CI2331,""),"")</f>
        <v/>
      </c>
      <c r="CM2331">
        <f>IF(CH2331="","",IFERROR(IF(IF(AND(LEN(CH2331)=9,ISERROR(FIND("-",LEFT(CH2331,8))),ISNUMBER(-LEFT(CH2331,8))),VALUE(LEFT(CH2331,4)),VALUE(LEFT(CH2331,FIND("-",CH2331)-1)))&lt;100,IF(AND(LEN(CH2331)=9,ISERROR(FIND("-",LEFT(CH2331,8))),ISNUMBER(-LEFT(CH2331,8))),VALUE(LEFT(CH2331,4)),VALUE(LEFT(CH2331,FIND("-",CH2331)-1)))+2000,IF(AND(LEN(CH2331)=9,ISERROR(FIND("-",LEFT(CH2331,8))),ISNUMBER(-LEFT(CH2331,8))),VALUE(LEFT(CH2331,4)),VALUE(LEFT(CH2331,FIND("-",CH2331)-1)))),""))</f>
        <v/>
      </c>
      <c r="CN2331">
        <f>IF(CH2331="","",IFERROR(IF(AND(LEN(CH2331)=9,ISERROR(FIND("-",LEFT(CH2331,8))),ISNUMBER(-LEFT(CH2331,8))),VALUE(MID(CH2331,5,2)),VALUE(MID(CH2331,FIND("-",CH2331)+1,FIND("-",CH2331,FIND("-",CH2331)+1)-FIND("-",CH2331)-1))),""))</f>
        <v/>
      </c>
      <c r="CO2331">
        <f>IF(CH2331="","",IFERROR(IF(AND(LEN(CH2331)=9,ISERROR(FIND("-",LEFT(CH2331,8))),ISNUMBER(-LEFT(CH2331,8))),VALUE(MID(CH2331,7,2)),VALUE(MID(CH2331,FIND("-",CH2331,FIND("-",CH2331)+1)+1,FIND("-",CH2331,FIND("-",CH2331,FIND("-",CH2331)+1)+1)-FIND("-",CH2331,FIND("-",CH2331)+1)-1))),""))</f>
        <v/>
      </c>
    </row>
    <row r="2332">
      <c r="CH2332">
        <f>IF(ISTEXT('월 가계부'!A2332),SUBSTITUTE(SUBSTITUTE(SUBSTITUTE(SUBSTITUTE(SUBSTITUTE(SUBSTITUTE(SUBSTITUTE(SUBSTITUTE(SUBSTITUTE(TRIM('월 가계부'!A2332),"년","-"),"월","-"),"일",""),".","-"),"/","-")," ","-"),"--","-"),"--","-"),"--","-")&amp;"-","")</f>
        <v/>
      </c>
      <c r="CI2332">
        <f>IFERROR(IF('월 가계부'!A2332="","",IF(ISNUMBER('월 가계부'!A2332),IF(AND('월 가계부'!A2332&gt;=19000101,'월 가계부'!A2332&lt;=21001231),IF(AND(MOD(INT('월 가계부'!A2332/100),100)&gt;=1,MOD(INT('월 가계부'!A2332/100),100)&lt;=12,MOD(INT('월 가계부'!A2332),100)&gt;=1,MOD(INT('월 가계부'!A2332),100)&lt;=31),IF(MONTH(DATE(INT('월 가계부'!A2332/10000),MOD(INT('월 가계부'!A2332/100),100),MOD(INT('월 가계부'!A2332),100)))=MOD(INT('월 가계부'!A2332/100),100),DATE(INT('월 가계부'!A2332/10000),MOD(INT('월 가계부'!A2332/100),100),MOD(INT('월 가계부'!A2332),100)),""),""),IF(AND('월 가계부'!A2332&gt;=36526,'월 가계부'!A2332&lt;73051),INT('월 가계부'!A2332),"")),IF(OR(CM2332="",CN2332="",CO2332=""),"",IF(AND(CM2332&gt;=2000,CM2332&lt;=2099,CN2332&gt;=1,CN2332&lt;=12,CO2332&gt;=1,CO2332&lt;=31),IF(MONTH(DATE(CM2332,CN2332,CO2332))=CN2332,DATE(CM2332,CN2332,CO2332),""),"")))),"")</f>
        <v/>
      </c>
      <c r="CJ2332">
        <f>IFERROR(IF('월 가계부'!C2332="","",IF(ISNUMBER('월 가계부'!C2332),'월 가계부'!C2332,VALUE(SUBSTITUTE(SUBSTITUTE(SUBSTITUTE(SUBSTITUTE(TRIM('월 가계부'!C2332),",",""),"원","")," ",""),"−","-")))),"")</f>
        <v/>
      </c>
      <c r="CK2332">
        <f>IF(ISNUMBER(CI2332),IF(CI2332&lt;$B$13,CI2332,""),"")</f>
        <v/>
      </c>
      <c r="CM2332">
        <f>IF(CH2332="","",IFERROR(IF(IF(AND(LEN(CH2332)=9,ISERROR(FIND("-",LEFT(CH2332,8))),ISNUMBER(-LEFT(CH2332,8))),VALUE(LEFT(CH2332,4)),VALUE(LEFT(CH2332,FIND("-",CH2332)-1)))&lt;100,IF(AND(LEN(CH2332)=9,ISERROR(FIND("-",LEFT(CH2332,8))),ISNUMBER(-LEFT(CH2332,8))),VALUE(LEFT(CH2332,4)),VALUE(LEFT(CH2332,FIND("-",CH2332)-1)))+2000,IF(AND(LEN(CH2332)=9,ISERROR(FIND("-",LEFT(CH2332,8))),ISNUMBER(-LEFT(CH2332,8))),VALUE(LEFT(CH2332,4)),VALUE(LEFT(CH2332,FIND("-",CH2332)-1)))),""))</f>
        <v/>
      </c>
      <c r="CN2332">
        <f>IF(CH2332="","",IFERROR(IF(AND(LEN(CH2332)=9,ISERROR(FIND("-",LEFT(CH2332,8))),ISNUMBER(-LEFT(CH2332,8))),VALUE(MID(CH2332,5,2)),VALUE(MID(CH2332,FIND("-",CH2332)+1,FIND("-",CH2332,FIND("-",CH2332)+1)-FIND("-",CH2332)-1))),""))</f>
        <v/>
      </c>
      <c r="CO2332">
        <f>IF(CH2332="","",IFERROR(IF(AND(LEN(CH2332)=9,ISERROR(FIND("-",LEFT(CH2332,8))),ISNUMBER(-LEFT(CH2332,8))),VALUE(MID(CH2332,7,2)),VALUE(MID(CH2332,FIND("-",CH2332,FIND("-",CH2332)+1)+1,FIND("-",CH2332,FIND("-",CH2332,FIND("-",CH2332)+1)+1)-FIND("-",CH2332,FIND("-",CH2332)+1)-1))),""))</f>
        <v/>
      </c>
    </row>
    <row r="2333">
      <c r="CH2333">
        <f>IF(ISTEXT('월 가계부'!A2333),SUBSTITUTE(SUBSTITUTE(SUBSTITUTE(SUBSTITUTE(SUBSTITUTE(SUBSTITUTE(SUBSTITUTE(SUBSTITUTE(SUBSTITUTE(TRIM('월 가계부'!A2333),"년","-"),"월","-"),"일",""),".","-"),"/","-")," ","-"),"--","-"),"--","-"),"--","-")&amp;"-","")</f>
        <v/>
      </c>
      <c r="CI2333">
        <f>IFERROR(IF('월 가계부'!A2333="","",IF(ISNUMBER('월 가계부'!A2333),IF(AND('월 가계부'!A2333&gt;=19000101,'월 가계부'!A2333&lt;=21001231),IF(AND(MOD(INT('월 가계부'!A2333/100),100)&gt;=1,MOD(INT('월 가계부'!A2333/100),100)&lt;=12,MOD(INT('월 가계부'!A2333),100)&gt;=1,MOD(INT('월 가계부'!A2333),100)&lt;=31),IF(MONTH(DATE(INT('월 가계부'!A2333/10000),MOD(INT('월 가계부'!A2333/100),100),MOD(INT('월 가계부'!A2333),100)))=MOD(INT('월 가계부'!A2333/100),100),DATE(INT('월 가계부'!A2333/10000),MOD(INT('월 가계부'!A2333/100),100),MOD(INT('월 가계부'!A2333),100)),""),""),IF(AND('월 가계부'!A2333&gt;=36526,'월 가계부'!A2333&lt;73051),INT('월 가계부'!A2333),"")),IF(OR(CM2333="",CN2333="",CO2333=""),"",IF(AND(CM2333&gt;=2000,CM2333&lt;=2099,CN2333&gt;=1,CN2333&lt;=12,CO2333&gt;=1,CO2333&lt;=31),IF(MONTH(DATE(CM2333,CN2333,CO2333))=CN2333,DATE(CM2333,CN2333,CO2333),""),"")))),"")</f>
        <v/>
      </c>
      <c r="CJ2333">
        <f>IFERROR(IF('월 가계부'!C2333="","",IF(ISNUMBER('월 가계부'!C2333),'월 가계부'!C2333,VALUE(SUBSTITUTE(SUBSTITUTE(SUBSTITUTE(SUBSTITUTE(TRIM('월 가계부'!C2333),",",""),"원","")," ",""),"−","-")))),"")</f>
        <v/>
      </c>
      <c r="CK2333">
        <f>IF(ISNUMBER(CI2333),IF(CI2333&lt;$B$13,CI2333,""),"")</f>
        <v/>
      </c>
      <c r="CM2333">
        <f>IF(CH2333="","",IFERROR(IF(IF(AND(LEN(CH2333)=9,ISERROR(FIND("-",LEFT(CH2333,8))),ISNUMBER(-LEFT(CH2333,8))),VALUE(LEFT(CH2333,4)),VALUE(LEFT(CH2333,FIND("-",CH2333)-1)))&lt;100,IF(AND(LEN(CH2333)=9,ISERROR(FIND("-",LEFT(CH2333,8))),ISNUMBER(-LEFT(CH2333,8))),VALUE(LEFT(CH2333,4)),VALUE(LEFT(CH2333,FIND("-",CH2333)-1)))+2000,IF(AND(LEN(CH2333)=9,ISERROR(FIND("-",LEFT(CH2333,8))),ISNUMBER(-LEFT(CH2333,8))),VALUE(LEFT(CH2333,4)),VALUE(LEFT(CH2333,FIND("-",CH2333)-1)))),""))</f>
        <v/>
      </c>
      <c r="CN2333">
        <f>IF(CH2333="","",IFERROR(IF(AND(LEN(CH2333)=9,ISERROR(FIND("-",LEFT(CH2333,8))),ISNUMBER(-LEFT(CH2333,8))),VALUE(MID(CH2333,5,2)),VALUE(MID(CH2333,FIND("-",CH2333)+1,FIND("-",CH2333,FIND("-",CH2333)+1)-FIND("-",CH2333)-1))),""))</f>
        <v/>
      </c>
      <c r="CO2333">
        <f>IF(CH2333="","",IFERROR(IF(AND(LEN(CH2333)=9,ISERROR(FIND("-",LEFT(CH2333,8))),ISNUMBER(-LEFT(CH2333,8))),VALUE(MID(CH2333,7,2)),VALUE(MID(CH2333,FIND("-",CH2333,FIND("-",CH2333)+1)+1,FIND("-",CH2333,FIND("-",CH2333,FIND("-",CH2333)+1)+1)-FIND("-",CH2333,FIND("-",CH2333)+1)-1))),""))</f>
        <v/>
      </c>
    </row>
    <row r="2334">
      <c r="CH2334">
        <f>IF(ISTEXT('월 가계부'!A2334),SUBSTITUTE(SUBSTITUTE(SUBSTITUTE(SUBSTITUTE(SUBSTITUTE(SUBSTITUTE(SUBSTITUTE(SUBSTITUTE(SUBSTITUTE(TRIM('월 가계부'!A2334),"년","-"),"월","-"),"일",""),".","-"),"/","-")," ","-"),"--","-"),"--","-"),"--","-")&amp;"-","")</f>
        <v/>
      </c>
      <c r="CI2334">
        <f>IFERROR(IF('월 가계부'!A2334="","",IF(ISNUMBER('월 가계부'!A2334),IF(AND('월 가계부'!A2334&gt;=19000101,'월 가계부'!A2334&lt;=21001231),IF(AND(MOD(INT('월 가계부'!A2334/100),100)&gt;=1,MOD(INT('월 가계부'!A2334/100),100)&lt;=12,MOD(INT('월 가계부'!A2334),100)&gt;=1,MOD(INT('월 가계부'!A2334),100)&lt;=31),IF(MONTH(DATE(INT('월 가계부'!A2334/10000),MOD(INT('월 가계부'!A2334/100),100),MOD(INT('월 가계부'!A2334),100)))=MOD(INT('월 가계부'!A2334/100),100),DATE(INT('월 가계부'!A2334/10000),MOD(INT('월 가계부'!A2334/100),100),MOD(INT('월 가계부'!A2334),100)),""),""),IF(AND('월 가계부'!A2334&gt;=36526,'월 가계부'!A2334&lt;73051),INT('월 가계부'!A2334),"")),IF(OR(CM2334="",CN2334="",CO2334=""),"",IF(AND(CM2334&gt;=2000,CM2334&lt;=2099,CN2334&gt;=1,CN2334&lt;=12,CO2334&gt;=1,CO2334&lt;=31),IF(MONTH(DATE(CM2334,CN2334,CO2334))=CN2334,DATE(CM2334,CN2334,CO2334),""),"")))),"")</f>
        <v/>
      </c>
      <c r="CJ2334">
        <f>IFERROR(IF('월 가계부'!C2334="","",IF(ISNUMBER('월 가계부'!C2334),'월 가계부'!C2334,VALUE(SUBSTITUTE(SUBSTITUTE(SUBSTITUTE(SUBSTITUTE(TRIM('월 가계부'!C2334),",",""),"원","")," ",""),"−","-")))),"")</f>
        <v/>
      </c>
      <c r="CK2334">
        <f>IF(ISNUMBER(CI2334),IF(CI2334&lt;$B$13,CI2334,""),"")</f>
        <v/>
      </c>
      <c r="CM2334">
        <f>IF(CH2334="","",IFERROR(IF(IF(AND(LEN(CH2334)=9,ISERROR(FIND("-",LEFT(CH2334,8))),ISNUMBER(-LEFT(CH2334,8))),VALUE(LEFT(CH2334,4)),VALUE(LEFT(CH2334,FIND("-",CH2334)-1)))&lt;100,IF(AND(LEN(CH2334)=9,ISERROR(FIND("-",LEFT(CH2334,8))),ISNUMBER(-LEFT(CH2334,8))),VALUE(LEFT(CH2334,4)),VALUE(LEFT(CH2334,FIND("-",CH2334)-1)))+2000,IF(AND(LEN(CH2334)=9,ISERROR(FIND("-",LEFT(CH2334,8))),ISNUMBER(-LEFT(CH2334,8))),VALUE(LEFT(CH2334,4)),VALUE(LEFT(CH2334,FIND("-",CH2334)-1)))),""))</f>
        <v/>
      </c>
      <c r="CN2334">
        <f>IF(CH2334="","",IFERROR(IF(AND(LEN(CH2334)=9,ISERROR(FIND("-",LEFT(CH2334,8))),ISNUMBER(-LEFT(CH2334,8))),VALUE(MID(CH2334,5,2)),VALUE(MID(CH2334,FIND("-",CH2334)+1,FIND("-",CH2334,FIND("-",CH2334)+1)-FIND("-",CH2334)-1))),""))</f>
        <v/>
      </c>
      <c r="CO2334">
        <f>IF(CH2334="","",IFERROR(IF(AND(LEN(CH2334)=9,ISERROR(FIND("-",LEFT(CH2334,8))),ISNUMBER(-LEFT(CH2334,8))),VALUE(MID(CH2334,7,2)),VALUE(MID(CH2334,FIND("-",CH2334,FIND("-",CH2334)+1)+1,FIND("-",CH2334,FIND("-",CH2334,FIND("-",CH2334)+1)+1)-FIND("-",CH2334,FIND("-",CH2334)+1)-1))),""))</f>
        <v/>
      </c>
    </row>
    <row r="2335">
      <c r="CH2335">
        <f>IF(ISTEXT('월 가계부'!A2335),SUBSTITUTE(SUBSTITUTE(SUBSTITUTE(SUBSTITUTE(SUBSTITUTE(SUBSTITUTE(SUBSTITUTE(SUBSTITUTE(SUBSTITUTE(TRIM('월 가계부'!A2335),"년","-"),"월","-"),"일",""),".","-"),"/","-")," ","-"),"--","-"),"--","-"),"--","-")&amp;"-","")</f>
        <v/>
      </c>
      <c r="CI2335">
        <f>IFERROR(IF('월 가계부'!A2335="","",IF(ISNUMBER('월 가계부'!A2335),IF(AND('월 가계부'!A2335&gt;=19000101,'월 가계부'!A2335&lt;=21001231),IF(AND(MOD(INT('월 가계부'!A2335/100),100)&gt;=1,MOD(INT('월 가계부'!A2335/100),100)&lt;=12,MOD(INT('월 가계부'!A2335),100)&gt;=1,MOD(INT('월 가계부'!A2335),100)&lt;=31),IF(MONTH(DATE(INT('월 가계부'!A2335/10000),MOD(INT('월 가계부'!A2335/100),100),MOD(INT('월 가계부'!A2335),100)))=MOD(INT('월 가계부'!A2335/100),100),DATE(INT('월 가계부'!A2335/10000),MOD(INT('월 가계부'!A2335/100),100),MOD(INT('월 가계부'!A2335),100)),""),""),IF(AND('월 가계부'!A2335&gt;=36526,'월 가계부'!A2335&lt;73051),INT('월 가계부'!A2335),"")),IF(OR(CM2335="",CN2335="",CO2335=""),"",IF(AND(CM2335&gt;=2000,CM2335&lt;=2099,CN2335&gt;=1,CN2335&lt;=12,CO2335&gt;=1,CO2335&lt;=31),IF(MONTH(DATE(CM2335,CN2335,CO2335))=CN2335,DATE(CM2335,CN2335,CO2335),""),"")))),"")</f>
        <v/>
      </c>
      <c r="CJ2335">
        <f>IFERROR(IF('월 가계부'!C2335="","",IF(ISNUMBER('월 가계부'!C2335),'월 가계부'!C2335,VALUE(SUBSTITUTE(SUBSTITUTE(SUBSTITUTE(SUBSTITUTE(TRIM('월 가계부'!C2335),",",""),"원","")," ",""),"−","-")))),"")</f>
        <v/>
      </c>
      <c r="CK2335">
        <f>IF(ISNUMBER(CI2335),IF(CI2335&lt;$B$13,CI2335,""),"")</f>
        <v/>
      </c>
      <c r="CM2335">
        <f>IF(CH2335="","",IFERROR(IF(IF(AND(LEN(CH2335)=9,ISERROR(FIND("-",LEFT(CH2335,8))),ISNUMBER(-LEFT(CH2335,8))),VALUE(LEFT(CH2335,4)),VALUE(LEFT(CH2335,FIND("-",CH2335)-1)))&lt;100,IF(AND(LEN(CH2335)=9,ISERROR(FIND("-",LEFT(CH2335,8))),ISNUMBER(-LEFT(CH2335,8))),VALUE(LEFT(CH2335,4)),VALUE(LEFT(CH2335,FIND("-",CH2335)-1)))+2000,IF(AND(LEN(CH2335)=9,ISERROR(FIND("-",LEFT(CH2335,8))),ISNUMBER(-LEFT(CH2335,8))),VALUE(LEFT(CH2335,4)),VALUE(LEFT(CH2335,FIND("-",CH2335)-1)))),""))</f>
        <v/>
      </c>
      <c r="CN2335">
        <f>IF(CH2335="","",IFERROR(IF(AND(LEN(CH2335)=9,ISERROR(FIND("-",LEFT(CH2335,8))),ISNUMBER(-LEFT(CH2335,8))),VALUE(MID(CH2335,5,2)),VALUE(MID(CH2335,FIND("-",CH2335)+1,FIND("-",CH2335,FIND("-",CH2335)+1)-FIND("-",CH2335)-1))),""))</f>
        <v/>
      </c>
      <c r="CO2335">
        <f>IF(CH2335="","",IFERROR(IF(AND(LEN(CH2335)=9,ISERROR(FIND("-",LEFT(CH2335,8))),ISNUMBER(-LEFT(CH2335,8))),VALUE(MID(CH2335,7,2)),VALUE(MID(CH2335,FIND("-",CH2335,FIND("-",CH2335)+1)+1,FIND("-",CH2335,FIND("-",CH2335,FIND("-",CH2335)+1)+1)-FIND("-",CH2335,FIND("-",CH2335)+1)-1))),""))</f>
        <v/>
      </c>
    </row>
    <row r="2336">
      <c r="CH2336">
        <f>IF(ISTEXT('월 가계부'!A2336),SUBSTITUTE(SUBSTITUTE(SUBSTITUTE(SUBSTITUTE(SUBSTITUTE(SUBSTITUTE(SUBSTITUTE(SUBSTITUTE(SUBSTITUTE(TRIM('월 가계부'!A2336),"년","-"),"월","-"),"일",""),".","-"),"/","-")," ","-"),"--","-"),"--","-"),"--","-")&amp;"-","")</f>
        <v/>
      </c>
      <c r="CI2336">
        <f>IFERROR(IF('월 가계부'!A2336="","",IF(ISNUMBER('월 가계부'!A2336),IF(AND('월 가계부'!A2336&gt;=19000101,'월 가계부'!A2336&lt;=21001231),IF(AND(MOD(INT('월 가계부'!A2336/100),100)&gt;=1,MOD(INT('월 가계부'!A2336/100),100)&lt;=12,MOD(INT('월 가계부'!A2336),100)&gt;=1,MOD(INT('월 가계부'!A2336),100)&lt;=31),IF(MONTH(DATE(INT('월 가계부'!A2336/10000),MOD(INT('월 가계부'!A2336/100),100),MOD(INT('월 가계부'!A2336),100)))=MOD(INT('월 가계부'!A2336/100),100),DATE(INT('월 가계부'!A2336/10000),MOD(INT('월 가계부'!A2336/100),100),MOD(INT('월 가계부'!A2336),100)),""),""),IF(AND('월 가계부'!A2336&gt;=36526,'월 가계부'!A2336&lt;73051),INT('월 가계부'!A2336),"")),IF(OR(CM2336="",CN2336="",CO2336=""),"",IF(AND(CM2336&gt;=2000,CM2336&lt;=2099,CN2336&gt;=1,CN2336&lt;=12,CO2336&gt;=1,CO2336&lt;=31),IF(MONTH(DATE(CM2336,CN2336,CO2336))=CN2336,DATE(CM2336,CN2336,CO2336),""),"")))),"")</f>
        <v/>
      </c>
      <c r="CJ2336">
        <f>IFERROR(IF('월 가계부'!C2336="","",IF(ISNUMBER('월 가계부'!C2336),'월 가계부'!C2336,VALUE(SUBSTITUTE(SUBSTITUTE(SUBSTITUTE(SUBSTITUTE(TRIM('월 가계부'!C2336),",",""),"원","")," ",""),"−","-")))),"")</f>
        <v/>
      </c>
      <c r="CK2336">
        <f>IF(ISNUMBER(CI2336),IF(CI2336&lt;$B$13,CI2336,""),"")</f>
        <v/>
      </c>
      <c r="CM2336">
        <f>IF(CH2336="","",IFERROR(IF(IF(AND(LEN(CH2336)=9,ISERROR(FIND("-",LEFT(CH2336,8))),ISNUMBER(-LEFT(CH2336,8))),VALUE(LEFT(CH2336,4)),VALUE(LEFT(CH2336,FIND("-",CH2336)-1)))&lt;100,IF(AND(LEN(CH2336)=9,ISERROR(FIND("-",LEFT(CH2336,8))),ISNUMBER(-LEFT(CH2336,8))),VALUE(LEFT(CH2336,4)),VALUE(LEFT(CH2336,FIND("-",CH2336)-1)))+2000,IF(AND(LEN(CH2336)=9,ISERROR(FIND("-",LEFT(CH2336,8))),ISNUMBER(-LEFT(CH2336,8))),VALUE(LEFT(CH2336,4)),VALUE(LEFT(CH2336,FIND("-",CH2336)-1)))),""))</f>
        <v/>
      </c>
      <c r="CN2336">
        <f>IF(CH2336="","",IFERROR(IF(AND(LEN(CH2336)=9,ISERROR(FIND("-",LEFT(CH2336,8))),ISNUMBER(-LEFT(CH2336,8))),VALUE(MID(CH2336,5,2)),VALUE(MID(CH2336,FIND("-",CH2336)+1,FIND("-",CH2336,FIND("-",CH2336)+1)-FIND("-",CH2336)-1))),""))</f>
        <v/>
      </c>
      <c r="CO2336">
        <f>IF(CH2336="","",IFERROR(IF(AND(LEN(CH2336)=9,ISERROR(FIND("-",LEFT(CH2336,8))),ISNUMBER(-LEFT(CH2336,8))),VALUE(MID(CH2336,7,2)),VALUE(MID(CH2336,FIND("-",CH2336,FIND("-",CH2336)+1)+1,FIND("-",CH2336,FIND("-",CH2336,FIND("-",CH2336)+1)+1)-FIND("-",CH2336,FIND("-",CH2336)+1)-1))),""))</f>
        <v/>
      </c>
    </row>
    <row r="2337">
      <c r="CH2337">
        <f>IF(ISTEXT('월 가계부'!A2337),SUBSTITUTE(SUBSTITUTE(SUBSTITUTE(SUBSTITUTE(SUBSTITUTE(SUBSTITUTE(SUBSTITUTE(SUBSTITUTE(SUBSTITUTE(TRIM('월 가계부'!A2337),"년","-"),"월","-"),"일",""),".","-"),"/","-")," ","-"),"--","-"),"--","-"),"--","-")&amp;"-","")</f>
        <v/>
      </c>
      <c r="CI2337">
        <f>IFERROR(IF('월 가계부'!A2337="","",IF(ISNUMBER('월 가계부'!A2337),IF(AND('월 가계부'!A2337&gt;=19000101,'월 가계부'!A2337&lt;=21001231),IF(AND(MOD(INT('월 가계부'!A2337/100),100)&gt;=1,MOD(INT('월 가계부'!A2337/100),100)&lt;=12,MOD(INT('월 가계부'!A2337),100)&gt;=1,MOD(INT('월 가계부'!A2337),100)&lt;=31),IF(MONTH(DATE(INT('월 가계부'!A2337/10000),MOD(INT('월 가계부'!A2337/100),100),MOD(INT('월 가계부'!A2337),100)))=MOD(INT('월 가계부'!A2337/100),100),DATE(INT('월 가계부'!A2337/10000),MOD(INT('월 가계부'!A2337/100),100),MOD(INT('월 가계부'!A2337),100)),""),""),IF(AND('월 가계부'!A2337&gt;=36526,'월 가계부'!A2337&lt;73051),INT('월 가계부'!A2337),"")),IF(OR(CM2337="",CN2337="",CO2337=""),"",IF(AND(CM2337&gt;=2000,CM2337&lt;=2099,CN2337&gt;=1,CN2337&lt;=12,CO2337&gt;=1,CO2337&lt;=31),IF(MONTH(DATE(CM2337,CN2337,CO2337))=CN2337,DATE(CM2337,CN2337,CO2337),""),"")))),"")</f>
        <v/>
      </c>
      <c r="CJ2337">
        <f>IFERROR(IF('월 가계부'!C2337="","",IF(ISNUMBER('월 가계부'!C2337),'월 가계부'!C2337,VALUE(SUBSTITUTE(SUBSTITUTE(SUBSTITUTE(SUBSTITUTE(TRIM('월 가계부'!C2337),",",""),"원","")," ",""),"−","-")))),"")</f>
        <v/>
      </c>
      <c r="CK2337">
        <f>IF(ISNUMBER(CI2337),IF(CI2337&lt;$B$13,CI2337,""),"")</f>
        <v/>
      </c>
      <c r="CM2337">
        <f>IF(CH2337="","",IFERROR(IF(IF(AND(LEN(CH2337)=9,ISERROR(FIND("-",LEFT(CH2337,8))),ISNUMBER(-LEFT(CH2337,8))),VALUE(LEFT(CH2337,4)),VALUE(LEFT(CH2337,FIND("-",CH2337)-1)))&lt;100,IF(AND(LEN(CH2337)=9,ISERROR(FIND("-",LEFT(CH2337,8))),ISNUMBER(-LEFT(CH2337,8))),VALUE(LEFT(CH2337,4)),VALUE(LEFT(CH2337,FIND("-",CH2337)-1)))+2000,IF(AND(LEN(CH2337)=9,ISERROR(FIND("-",LEFT(CH2337,8))),ISNUMBER(-LEFT(CH2337,8))),VALUE(LEFT(CH2337,4)),VALUE(LEFT(CH2337,FIND("-",CH2337)-1)))),""))</f>
        <v/>
      </c>
      <c r="CN2337">
        <f>IF(CH2337="","",IFERROR(IF(AND(LEN(CH2337)=9,ISERROR(FIND("-",LEFT(CH2337,8))),ISNUMBER(-LEFT(CH2337,8))),VALUE(MID(CH2337,5,2)),VALUE(MID(CH2337,FIND("-",CH2337)+1,FIND("-",CH2337,FIND("-",CH2337)+1)-FIND("-",CH2337)-1))),""))</f>
        <v/>
      </c>
      <c r="CO2337">
        <f>IF(CH2337="","",IFERROR(IF(AND(LEN(CH2337)=9,ISERROR(FIND("-",LEFT(CH2337,8))),ISNUMBER(-LEFT(CH2337,8))),VALUE(MID(CH2337,7,2)),VALUE(MID(CH2337,FIND("-",CH2337,FIND("-",CH2337)+1)+1,FIND("-",CH2337,FIND("-",CH2337,FIND("-",CH2337)+1)+1)-FIND("-",CH2337,FIND("-",CH2337)+1)-1))),""))</f>
        <v/>
      </c>
    </row>
    <row r="2338">
      <c r="CH2338">
        <f>IF(ISTEXT('월 가계부'!A2338),SUBSTITUTE(SUBSTITUTE(SUBSTITUTE(SUBSTITUTE(SUBSTITUTE(SUBSTITUTE(SUBSTITUTE(SUBSTITUTE(SUBSTITUTE(TRIM('월 가계부'!A2338),"년","-"),"월","-"),"일",""),".","-"),"/","-")," ","-"),"--","-"),"--","-"),"--","-")&amp;"-","")</f>
        <v/>
      </c>
      <c r="CI2338">
        <f>IFERROR(IF('월 가계부'!A2338="","",IF(ISNUMBER('월 가계부'!A2338),IF(AND('월 가계부'!A2338&gt;=19000101,'월 가계부'!A2338&lt;=21001231),IF(AND(MOD(INT('월 가계부'!A2338/100),100)&gt;=1,MOD(INT('월 가계부'!A2338/100),100)&lt;=12,MOD(INT('월 가계부'!A2338),100)&gt;=1,MOD(INT('월 가계부'!A2338),100)&lt;=31),IF(MONTH(DATE(INT('월 가계부'!A2338/10000),MOD(INT('월 가계부'!A2338/100),100),MOD(INT('월 가계부'!A2338),100)))=MOD(INT('월 가계부'!A2338/100),100),DATE(INT('월 가계부'!A2338/10000),MOD(INT('월 가계부'!A2338/100),100),MOD(INT('월 가계부'!A2338),100)),""),""),IF(AND('월 가계부'!A2338&gt;=36526,'월 가계부'!A2338&lt;73051),INT('월 가계부'!A2338),"")),IF(OR(CM2338="",CN2338="",CO2338=""),"",IF(AND(CM2338&gt;=2000,CM2338&lt;=2099,CN2338&gt;=1,CN2338&lt;=12,CO2338&gt;=1,CO2338&lt;=31),IF(MONTH(DATE(CM2338,CN2338,CO2338))=CN2338,DATE(CM2338,CN2338,CO2338),""),"")))),"")</f>
        <v/>
      </c>
      <c r="CJ2338">
        <f>IFERROR(IF('월 가계부'!C2338="","",IF(ISNUMBER('월 가계부'!C2338),'월 가계부'!C2338,VALUE(SUBSTITUTE(SUBSTITUTE(SUBSTITUTE(SUBSTITUTE(TRIM('월 가계부'!C2338),",",""),"원","")," ",""),"−","-")))),"")</f>
        <v/>
      </c>
      <c r="CK2338">
        <f>IF(ISNUMBER(CI2338),IF(CI2338&lt;$B$13,CI2338,""),"")</f>
        <v/>
      </c>
      <c r="CM2338">
        <f>IF(CH2338="","",IFERROR(IF(IF(AND(LEN(CH2338)=9,ISERROR(FIND("-",LEFT(CH2338,8))),ISNUMBER(-LEFT(CH2338,8))),VALUE(LEFT(CH2338,4)),VALUE(LEFT(CH2338,FIND("-",CH2338)-1)))&lt;100,IF(AND(LEN(CH2338)=9,ISERROR(FIND("-",LEFT(CH2338,8))),ISNUMBER(-LEFT(CH2338,8))),VALUE(LEFT(CH2338,4)),VALUE(LEFT(CH2338,FIND("-",CH2338)-1)))+2000,IF(AND(LEN(CH2338)=9,ISERROR(FIND("-",LEFT(CH2338,8))),ISNUMBER(-LEFT(CH2338,8))),VALUE(LEFT(CH2338,4)),VALUE(LEFT(CH2338,FIND("-",CH2338)-1)))),""))</f>
        <v/>
      </c>
      <c r="CN2338">
        <f>IF(CH2338="","",IFERROR(IF(AND(LEN(CH2338)=9,ISERROR(FIND("-",LEFT(CH2338,8))),ISNUMBER(-LEFT(CH2338,8))),VALUE(MID(CH2338,5,2)),VALUE(MID(CH2338,FIND("-",CH2338)+1,FIND("-",CH2338,FIND("-",CH2338)+1)-FIND("-",CH2338)-1))),""))</f>
        <v/>
      </c>
      <c r="CO2338">
        <f>IF(CH2338="","",IFERROR(IF(AND(LEN(CH2338)=9,ISERROR(FIND("-",LEFT(CH2338,8))),ISNUMBER(-LEFT(CH2338,8))),VALUE(MID(CH2338,7,2)),VALUE(MID(CH2338,FIND("-",CH2338,FIND("-",CH2338)+1)+1,FIND("-",CH2338,FIND("-",CH2338,FIND("-",CH2338)+1)+1)-FIND("-",CH2338,FIND("-",CH2338)+1)-1))),""))</f>
        <v/>
      </c>
    </row>
    <row r="2339">
      <c r="CH2339">
        <f>IF(ISTEXT('월 가계부'!A2339),SUBSTITUTE(SUBSTITUTE(SUBSTITUTE(SUBSTITUTE(SUBSTITUTE(SUBSTITUTE(SUBSTITUTE(SUBSTITUTE(SUBSTITUTE(TRIM('월 가계부'!A2339),"년","-"),"월","-"),"일",""),".","-"),"/","-")," ","-"),"--","-"),"--","-"),"--","-")&amp;"-","")</f>
        <v/>
      </c>
      <c r="CI2339">
        <f>IFERROR(IF('월 가계부'!A2339="","",IF(ISNUMBER('월 가계부'!A2339),IF(AND('월 가계부'!A2339&gt;=19000101,'월 가계부'!A2339&lt;=21001231),IF(AND(MOD(INT('월 가계부'!A2339/100),100)&gt;=1,MOD(INT('월 가계부'!A2339/100),100)&lt;=12,MOD(INT('월 가계부'!A2339),100)&gt;=1,MOD(INT('월 가계부'!A2339),100)&lt;=31),IF(MONTH(DATE(INT('월 가계부'!A2339/10000),MOD(INT('월 가계부'!A2339/100),100),MOD(INT('월 가계부'!A2339),100)))=MOD(INT('월 가계부'!A2339/100),100),DATE(INT('월 가계부'!A2339/10000),MOD(INT('월 가계부'!A2339/100),100),MOD(INT('월 가계부'!A2339),100)),""),""),IF(AND('월 가계부'!A2339&gt;=36526,'월 가계부'!A2339&lt;73051),INT('월 가계부'!A2339),"")),IF(OR(CM2339="",CN2339="",CO2339=""),"",IF(AND(CM2339&gt;=2000,CM2339&lt;=2099,CN2339&gt;=1,CN2339&lt;=12,CO2339&gt;=1,CO2339&lt;=31),IF(MONTH(DATE(CM2339,CN2339,CO2339))=CN2339,DATE(CM2339,CN2339,CO2339),""),"")))),"")</f>
        <v/>
      </c>
      <c r="CJ2339">
        <f>IFERROR(IF('월 가계부'!C2339="","",IF(ISNUMBER('월 가계부'!C2339),'월 가계부'!C2339,VALUE(SUBSTITUTE(SUBSTITUTE(SUBSTITUTE(SUBSTITUTE(TRIM('월 가계부'!C2339),",",""),"원","")," ",""),"−","-")))),"")</f>
        <v/>
      </c>
      <c r="CK2339">
        <f>IF(ISNUMBER(CI2339),IF(CI2339&lt;$B$13,CI2339,""),"")</f>
        <v/>
      </c>
      <c r="CM2339">
        <f>IF(CH2339="","",IFERROR(IF(IF(AND(LEN(CH2339)=9,ISERROR(FIND("-",LEFT(CH2339,8))),ISNUMBER(-LEFT(CH2339,8))),VALUE(LEFT(CH2339,4)),VALUE(LEFT(CH2339,FIND("-",CH2339)-1)))&lt;100,IF(AND(LEN(CH2339)=9,ISERROR(FIND("-",LEFT(CH2339,8))),ISNUMBER(-LEFT(CH2339,8))),VALUE(LEFT(CH2339,4)),VALUE(LEFT(CH2339,FIND("-",CH2339)-1)))+2000,IF(AND(LEN(CH2339)=9,ISERROR(FIND("-",LEFT(CH2339,8))),ISNUMBER(-LEFT(CH2339,8))),VALUE(LEFT(CH2339,4)),VALUE(LEFT(CH2339,FIND("-",CH2339)-1)))),""))</f>
        <v/>
      </c>
      <c r="CN2339">
        <f>IF(CH2339="","",IFERROR(IF(AND(LEN(CH2339)=9,ISERROR(FIND("-",LEFT(CH2339,8))),ISNUMBER(-LEFT(CH2339,8))),VALUE(MID(CH2339,5,2)),VALUE(MID(CH2339,FIND("-",CH2339)+1,FIND("-",CH2339,FIND("-",CH2339)+1)-FIND("-",CH2339)-1))),""))</f>
        <v/>
      </c>
      <c r="CO2339">
        <f>IF(CH2339="","",IFERROR(IF(AND(LEN(CH2339)=9,ISERROR(FIND("-",LEFT(CH2339,8))),ISNUMBER(-LEFT(CH2339,8))),VALUE(MID(CH2339,7,2)),VALUE(MID(CH2339,FIND("-",CH2339,FIND("-",CH2339)+1)+1,FIND("-",CH2339,FIND("-",CH2339,FIND("-",CH2339)+1)+1)-FIND("-",CH2339,FIND("-",CH2339)+1)-1))),""))</f>
        <v/>
      </c>
    </row>
    <row r="2340">
      <c r="CH2340">
        <f>IF(ISTEXT('월 가계부'!A2340),SUBSTITUTE(SUBSTITUTE(SUBSTITUTE(SUBSTITUTE(SUBSTITUTE(SUBSTITUTE(SUBSTITUTE(SUBSTITUTE(SUBSTITUTE(TRIM('월 가계부'!A2340),"년","-"),"월","-"),"일",""),".","-"),"/","-")," ","-"),"--","-"),"--","-"),"--","-")&amp;"-","")</f>
        <v/>
      </c>
      <c r="CI2340">
        <f>IFERROR(IF('월 가계부'!A2340="","",IF(ISNUMBER('월 가계부'!A2340),IF(AND('월 가계부'!A2340&gt;=19000101,'월 가계부'!A2340&lt;=21001231),IF(AND(MOD(INT('월 가계부'!A2340/100),100)&gt;=1,MOD(INT('월 가계부'!A2340/100),100)&lt;=12,MOD(INT('월 가계부'!A2340),100)&gt;=1,MOD(INT('월 가계부'!A2340),100)&lt;=31),IF(MONTH(DATE(INT('월 가계부'!A2340/10000),MOD(INT('월 가계부'!A2340/100),100),MOD(INT('월 가계부'!A2340),100)))=MOD(INT('월 가계부'!A2340/100),100),DATE(INT('월 가계부'!A2340/10000),MOD(INT('월 가계부'!A2340/100),100),MOD(INT('월 가계부'!A2340),100)),""),""),IF(AND('월 가계부'!A2340&gt;=36526,'월 가계부'!A2340&lt;73051),INT('월 가계부'!A2340),"")),IF(OR(CM2340="",CN2340="",CO2340=""),"",IF(AND(CM2340&gt;=2000,CM2340&lt;=2099,CN2340&gt;=1,CN2340&lt;=12,CO2340&gt;=1,CO2340&lt;=31),IF(MONTH(DATE(CM2340,CN2340,CO2340))=CN2340,DATE(CM2340,CN2340,CO2340),""),"")))),"")</f>
        <v/>
      </c>
      <c r="CJ2340">
        <f>IFERROR(IF('월 가계부'!C2340="","",IF(ISNUMBER('월 가계부'!C2340),'월 가계부'!C2340,VALUE(SUBSTITUTE(SUBSTITUTE(SUBSTITUTE(SUBSTITUTE(TRIM('월 가계부'!C2340),",",""),"원","")," ",""),"−","-")))),"")</f>
        <v/>
      </c>
      <c r="CK2340">
        <f>IF(ISNUMBER(CI2340),IF(CI2340&lt;$B$13,CI2340,""),"")</f>
        <v/>
      </c>
      <c r="CM2340">
        <f>IF(CH2340="","",IFERROR(IF(IF(AND(LEN(CH2340)=9,ISERROR(FIND("-",LEFT(CH2340,8))),ISNUMBER(-LEFT(CH2340,8))),VALUE(LEFT(CH2340,4)),VALUE(LEFT(CH2340,FIND("-",CH2340)-1)))&lt;100,IF(AND(LEN(CH2340)=9,ISERROR(FIND("-",LEFT(CH2340,8))),ISNUMBER(-LEFT(CH2340,8))),VALUE(LEFT(CH2340,4)),VALUE(LEFT(CH2340,FIND("-",CH2340)-1)))+2000,IF(AND(LEN(CH2340)=9,ISERROR(FIND("-",LEFT(CH2340,8))),ISNUMBER(-LEFT(CH2340,8))),VALUE(LEFT(CH2340,4)),VALUE(LEFT(CH2340,FIND("-",CH2340)-1)))),""))</f>
        <v/>
      </c>
      <c r="CN2340">
        <f>IF(CH2340="","",IFERROR(IF(AND(LEN(CH2340)=9,ISERROR(FIND("-",LEFT(CH2340,8))),ISNUMBER(-LEFT(CH2340,8))),VALUE(MID(CH2340,5,2)),VALUE(MID(CH2340,FIND("-",CH2340)+1,FIND("-",CH2340,FIND("-",CH2340)+1)-FIND("-",CH2340)-1))),""))</f>
        <v/>
      </c>
      <c r="CO2340">
        <f>IF(CH2340="","",IFERROR(IF(AND(LEN(CH2340)=9,ISERROR(FIND("-",LEFT(CH2340,8))),ISNUMBER(-LEFT(CH2340,8))),VALUE(MID(CH2340,7,2)),VALUE(MID(CH2340,FIND("-",CH2340,FIND("-",CH2340)+1)+1,FIND("-",CH2340,FIND("-",CH2340,FIND("-",CH2340)+1)+1)-FIND("-",CH2340,FIND("-",CH2340)+1)-1))),""))</f>
        <v/>
      </c>
    </row>
    <row r="2341">
      <c r="CH2341">
        <f>IF(ISTEXT('월 가계부'!A2341),SUBSTITUTE(SUBSTITUTE(SUBSTITUTE(SUBSTITUTE(SUBSTITUTE(SUBSTITUTE(SUBSTITUTE(SUBSTITUTE(SUBSTITUTE(TRIM('월 가계부'!A2341),"년","-"),"월","-"),"일",""),".","-"),"/","-")," ","-"),"--","-"),"--","-"),"--","-")&amp;"-","")</f>
        <v/>
      </c>
      <c r="CI2341">
        <f>IFERROR(IF('월 가계부'!A2341="","",IF(ISNUMBER('월 가계부'!A2341),IF(AND('월 가계부'!A2341&gt;=19000101,'월 가계부'!A2341&lt;=21001231),IF(AND(MOD(INT('월 가계부'!A2341/100),100)&gt;=1,MOD(INT('월 가계부'!A2341/100),100)&lt;=12,MOD(INT('월 가계부'!A2341),100)&gt;=1,MOD(INT('월 가계부'!A2341),100)&lt;=31),IF(MONTH(DATE(INT('월 가계부'!A2341/10000),MOD(INT('월 가계부'!A2341/100),100),MOD(INT('월 가계부'!A2341),100)))=MOD(INT('월 가계부'!A2341/100),100),DATE(INT('월 가계부'!A2341/10000),MOD(INT('월 가계부'!A2341/100),100),MOD(INT('월 가계부'!A2341),100)),""),""),IF(AND('월 가계부'!A2341&gt;=36526,'월 가계부'!A2341&lt;73051),INT('월 가계부'!A2341),"")),IF(OR(CM2341="",CN2341="",CO2341=""),"",IF(AND(CM2341&gt;=2000,CM2341&lt;=2099,CN2341&gt;=1,CN2341&lt;=12,CO2341&gt;=1,CO2341&lt;=31),IF(MONTH(DATE(CM2341,CN2341,CO2341))=CN2341,DATE(CM2341,CN2341,CO2341),""),"")))),"")</f>
        <v/>
      </c>
      <c r="CJ2341">
        <f>IFERROR(IF('월 가계부'!C2341="","",IF(ISNUMBER('월 가계부'!C2341),'월 가계부'!C2341,VALUE(SUBSTITUTE(SUBSTITUTE(SUBSTITUTE(SUBSTITUTE(TRIM('월 가계부'!C2341),",",""),"원","")," ",""),"−","-")))),"")</f>
        <v/>
      </c>
      <c r="CK2341">
        <f>IF(ISNUMBER(CI2341),IF(CI2341&lt;$B$13,CI2341,""),"")</f>
        <v/>
      </c>
      <c r="CM2341">
        <f>IF(CH2341="","",IFERROR(IF(IF(AND(LEN(CH2341)=9,ISERROR(FIND("-",LEFT(CH2341,8))),ISNUMBER(-LEFT(CH2341,8))),VALUE(LEFT(CH2341,4)),VALUE(LEFT(CH2341,FIND("-",CH2341)-1)))&lt;100,IF(AND(LEN(CH2341)=9,ISERROR(FIND("-",LEFT(CH2341,8))),ISNUMBER(-LEFT(CH2341,8))),VALUE(LEFT(CH2341,4)),VALUE(LEFT(CH2341,FIND("-",CH2341)-1)))+2000,IF(AND(LEN(CH2341)=9,ISERROR(FIND("-",LEFT(CH2341,8))),ISNUMBER(-LEFT(CH2341,8))),VALUE(LEFT(CH2341,4)),VALUE(LEFT(CH2341,FIND("-",CH2341)-1)))),""))</f>
        <v/>
      </c>
      <c r="CN2341">
        <f>IF(CH2341="","",IFERROR(IF(AND(LEN(CH2341)=9,ISERROR(FIND("-",LEFT(CH2341,8))),ISNUMBER(-LEFT(CH2341,8))),VALUE(MID(CH2341,5,2)),VALUE(MID(CH2341,FIND("-",CH2341)+1,FIND("-",CH2341,FIND("-",CH2341)+1)-FIND("-",CH2341)-1))),""))</f>
        <v/>
      </c>
      <c r="CO2341">
        <f>IF(CH2341="","",IFERROR(IF(AND(LEN(CH2341)=9,ISERROR(FIND("-",LEFT(CH2341,8))),ISNUMBER(-LEFT(CH2341,8))),VALUE(MID(CH2341,7,2)),VALUE(MID(CH2341,FIND("-",CH2341,FIND("-",CH2341)+1)+1,FIND("-",CH2341,FIND("-",CH2341,FIND("-",CH2341)+1)+1)-FIND("-",CH2341,FIND("-",CH2341)+1)-1))),""))</f>
        <v/>
      </c>
    </row>
    <row r="2342">
      <c r="CH2342">
        <f>IF(ISTEXT('월 가계부'!A2342),SUBSTITUTE(SUBSTITUTE(SUBSTITUTE(SUBSTITUTE(SUBSTITUTE(SUBSTITUTE(SUBSTITUTE(SUBSTITUTE(SUBSTITUTE(TRIM('월 가계부'!A2342),"년","-"),"월","-"),"일",""),".","-"),"/","-")," ","-"),"--","-"),"--","-"),"--","-")&amp;"-","")</f>
        <v/>
      </c>
      <c r="CI2342">
        <f>IFERROR(IF('월 가계부'!A2342="","",IF(ISNUMBER('월 가계부'!A2342),IF(AND('월 가계부'!A2342&gt;=19000101,'월 가계부'!A2342&lt;=21001231),IF(AND(MOD(INT('월 가계부'!A2342/100),100)&gt;=1,MOD(INT('월 가계부'!A2342/100),100)&lt;=12,MOD(INT('월 가계부'!A2342),100)&gt;=1,MOD(INT('월 가계부'!A2342),100)&lt;=31),IF(MONTH(DATE(INT('월 가계부'!A2342/10000),MOD(INT('월 가계부'!A2342/100),100),MOD(INT('월 가계부'!A2342),100)))=MOD(INT('월 가계부'!A2342/100),100),DATE(INT('월 가계부'!A2342/10000),MOD(INT('월 가계부'!A2342/100),100),MOD(INT('월 가계부'!A2342),100)),""),""),IF(AND('월 가계부'!A2342&gt;=36526,'월 가계부'!A2342&lt;73051),INT('월 가계부'!A2342),"")),IF(OR(CM2342="",CN2342="",CO2342=""),"",IF(AND(CM2342&gt;=2000,CM2342&lt;=2099,CN2342&gt;=1,CN2342&lt;=12,CO2342&gt;=1,CO2342&lt;=31),IF(MONTH(DATE(CM2342,CN2342,CO2342))=CN2342,DATE(CM2342,CN2342,CO2342),""),"")))),"")</f>
        <v/>
      </c>
      <c r="CJ2342">
        <f>IFERROR(IF('월 가계부'!C2342="","",IF(ISNUMBER('월 가계부'!C2342),'월 가계부'!C2342,VALUE(SUBSTITUTE(SUBSTITUTE(SUBSTITUTE(SUBSTITUTE(TRIM('월 가계부'!C2342),",",""),"원","")," ",""),"−","-")))),"")</f>
        <v/>
      </c>
      <c r="CK2342">
        <f>IF(ISNUMBER(CI2342),IF(CI2342&lt;$B$13,CI2342,""),"")</f>
        <v/>
      </c>
      <c r="CM2342">
        <f>IF(CH2342="","",IFERROR(IF(IF(AND(LEN(CH2342)=9,ISERROR(FIND("-",LEFT(CH2342,8))),ISNUMBER(-LEFT(CH2342,8))),VALUE(LEFT(CH2342,4)),VALUE(LEFT(CH2342,FIND("-",CH2342)-1)))&lt;100,IF(AND(LEN(CH2342)=9,ISERROR(FIND("-",LEFT(CH2342,8))),ISNUMBER(-LEFT(CH2342,8))),VALUE(LEFT(CH2342,4)),VALUE(LEFT(CH2342,FIND("-",CH2342)-1)))+2000,IF(AND(LEN(CH2342)=9,ISERROR(FIND("-",LEFT(CH2342,8))),ISNUMBER(-LEFT(CH2342,8))),VALUE(LEFT(CH2342,4)),VALUE(LEFT(CH2342,FIND("-",CH2342)-1)))),""))</f>
        <v/>
      </c>
      <c r="CN2342">
        <f>IF(CH2342="","",IFERROR(IF(AND(LEN(CH2342)=9,ISERROR(FIND("-",LEFT(CH2342,8))),ISNUMBER(-LEFT(CH2342,8))),VALUE(MID(CH2342,5,2)),VALUE(MID(CH2342,FIND("-",CH2342)+1,FIND("-",CH2342,FIND("-",CH2342)+1)-FIND("-",CH2342)-1))),""))</f>
        <v/>
      </c>
      <c r="CO2342">
        <f>IF(CH2342="","",IFERROR(IF(AND(LEN(CH2342)=9,ISERROR(FIND("-",LEFT(CH2342,8))),ISNUMBER(-LEFT(CH2342,8))),VALUE(MID(CH2342,7,2)),VALUE(MID(CH2342,FIND("-",CH2342,FIND("-",CH2342)+1)+1,FIND("-",CH2342,FIND("-",CH2342,FIND("-",CH2342)+1)+1)-FIND("-",CH2342,FIND("-",CH2342)+1)-1))),""))</f>
        <v/>
      </c>
    </row>
    <row r="2343">
      <c r="CH2343">
        <f>IF(ISTEXT('월 가계부'!A2343),SUBSTITUTE(SUBSTITUTE(SUBSTITUTE(SUBSTITUTE(SUBSTITUTE(SUBSTITUTE(SUBSTITUTE(SUBSTITUTE(SUBSTITUTE(TRIM('월 가계부'!A2343),"년","-"),"월","-"),"일",""),".","-"),"/","-")," ","-"),"--","-"),"--","-"),"--","-")&amp;"-","")</f>
        <v/>
      </c>
      <c r="CI2343">
        <f>IFERROR(IF('월 가계부'!A2343="","",IF(ISNUMBER('월 가계부'!A2343),IF(AND('월 가계부'!A2343&gt;=19000101,'월 가계부'!A2343&lt;=21001231),IF(AND(MOD(INT('월 가계부'!A2343/100),100)&gt;=1,MOD(INT('월 가계부'!A2343/100),100)&lt;=12,MOD(INT('월 가계부'!A2343),100)&gt;=1,MOD(INT('월 가계부'!A2343),100)&lt;=31),IF(MONTH(DATE(INT('월 가계부'!A2343/10000),MOD(INT('월 가계부'!A2343/100),100),MOD(INT('월 가계부'!A2343),100)))=MOD(INT('월 가계부'!A2343/100),100),DATE(INT('월 가계부'!A2343/10000),MOD(INT('월 가계부'!A2343/100),100),MOD(INT('월 가계부'!A2343),100)),""),""),IF(AND('월 가계부'!A2343&gt;=36526,'월 가계부'!A2343&lt;73051),INT('월 가계부'!A2343),"")),IF(OR(CM2343="",CN2343="",CO2343=""),"",IF(AND(CM2343&gt;=2000,CM2343&lt;=2099,CN2343&gt;=1,CN2343&lt;=12,CO2343&gt;=1,CO2343&lt;=31),IF(MONTH(DATE(CM2343,CN2343,CO2343))=CN2343,DATE(CM2343,CN2343,CO2343),""),"")))),"")</f>
        <v/>
      </c>
      <c r="CJ2343">
        <f>IFERROR(IF('월 가계부'!C2343="","",IF(ISNUMBER('월 가계부'!C2343),'월 가계부'!C2343,VALUE(SUBSTITUTE(SUBSTITUTE(SUBSTITUTE(SUBSTITUTE(TRIM('월 가계부'!C2343),",",""),"원","")," ",""),"−","-")))),"")</f>
        <v/>
      </c>
      <c r="CK2343">
        <f>IF(ISNUMBER(CI2343),IF(CI2343&lt;$B$13,CI2343,""),"")</f>
        <v/>
      </c>
      <c r="CM2343">
        <f>IF(CH2343="","",IFERROR(IF(IF(AND(LEN(CH2343)=9,ISERROR(FIND("-",LEFT(CH2343,8))),ISNUMBER(-LEFT(CH2343,8))),VALUE(LEFT(CH2343,4)),VALUE(LEFT(CH2343,FIND("-",CH2343)-1)))&lt;100,IF(AND(LEN(CH2343)=9,ISERROR(FIND("-",LEFT(CH2343,8))),ISNUMBER(-LEFT(CH2343,8))),VALUE(LEFT(CH2343,4)),VALUE(LEFT(CH2343,FIND("-",CH2343)-1)))+2000,IF(AND(LEN(CH2343)=9,ISERROR(FIND("-",LEFT(CH2343,8))),ISNUMBER(-LEFT(CH2343,8))),VALUE(LEFT(CH2343,4)),VALUE(LEFT(CH2343,FIND("-",CH2343)-1)))),""))</f>
        <v/>
      </c>
      <c r="CN2343">
        <f>IF(CH2343="","",IFERROR(IF(AND(LEN(CH2343)=9,ISERROR(FIND("-",LEFT(CH2343,8))),ISNUMBER(-LEFT(CH2343,8))),VALUE(MID(CH2343,5,2)),VALUE(MID(CH2343,FIND("-",CH2343)+1,FIND("-",CH2343,FIND("-",CH2343)+1)-FIND("-",CH2343)-1))),""))</f>
        <v/>
      </c>
      <c r="CO2343">
        <f>IF(CH2343="","",IFERROR(IF(AND(LEN(CH2343)=9,ISERROR(FIND("-",LEFT(CH2343,8))),ISNUMBER(-LEFT(CH2343,8))),VALUE(MID(CH2343,7,2)),VALUE(MID(CH2343,FIND("-",CH2343,FIND("-",CH2343)+1)+1,FIND("-",CH2343,FIND("-",CH2343,FIND("-",CH2343)+1)+1)-FIND("-",CH2343,FIND("-",CH2343)+1)-1))),""))</f>
        <v/>
      </c>
    </row>
    <row r="2344">
      <c r="CH2344">
        <f>IF(ISTEXT('월 가계부'!A2344),SUBSTITUTE(SUBSTITUTE(SUBSTITUTE(SUBSTITUTE(SUBSTITUTE(SUBSTITUTE(SUBSTITUTE(SUBSTITUTE(SUBSTITUTE(TRIM('월 가계부'!A2344),"년","-"),"월","-"),"일",""),".","-"),"/","-")," ","-"),"--","-"),"--","-"),"--","-")&amp;"-","")</f>
        <v/>
      </c>
      <c r="CI2344">
        <f>IFERROR(IF('월 가계부'!A2344="","",IF(ISNUMBER('월 가계부'!A2344),IF(AND('월 가계부'!A2344&gt;=19000101,'월 가계부'!A2344&lt;=21001231),IF(AND(MOD(INT('월 가계부'!A2344/100),100)&gt;=1,MOD(INT('월 가계부'!A2344/100),100)&lt;=12,MOD(INT('월 가계부'!A2344),100)&gt;=1,MOD(INT('월 가계부'!A2344),100)&lt;=31),IF(MONTH(DATE(INT('월 가계부'!A2344/10000),MOD(INT('월 가계부'!A2344/100),100),MOD(INT('월 가계부'!A2344),100)))=MOD(INT('월 가계부'!A2344/100),100),DATE(INT('월 가계부'!A2344/10000),MOD(INT('월 가계부'!A2344/100),100),MOD(INT('월 가계부'!A2344),100)),""),""),IF(AND('월 가계부'!A2344&gt;=36526,'월 가계부'!A2344&lt;73051),INT('월 가계부'!A2344),"")),IF(OR(CM2344="",CN2344="",CO2344=""),"",IF(AND(CM2344&gt;=2000,CM2344&lt;=2099,CN2344&gt;=1,CN2344&lt;=12,CO2344&gt;=1,CO2344&lt;=31),IF(MONTH(DATE(CM2344,CN2344,CO2344))=CN2344,DATE(CM2344,CN2344,CO2344),""),"")))),"")</f>
        <v/>
      </c>
      <c r="CJ2344">
        <f>IFERROR(IF('월 가계부'!C2344="","",IF(ISNUMBER('월 가계부'!C2344),'월 가계부'!C2344,VALUE(SUBSTITUTE(SUBSTITUTE(SUBSTITUTE(SUBSTITUTE(TRIM('월 가계부'!C2344),",",""),"원","")," ",""),"−","-")))),"")</f>
        <v/>
      </c>
      <c r="CK2344">
        <f>IF(ISNUMBER(CI2344),IF(CI2344&lt;$B$13,CI2344,""),"")</f>
        <v/>
      </c>
      <c r="CM2344">
        <f>IF(CH2344="","",IFERROR(IF(IF(AND(LEN(CH2344)=9,ISERROR(FIND("-",LEFT(CH2344,8))),ISNUMBER(-LEFT(CH2344,8))),VALUE(LEFT(CH2344,4)),VALUE(LEFT(CH2344,FIND("-",CH2344)-1)))&lt;100,IF(AND(LEN(CH2344)=9,ISERROR(FIND("-",LEFT(CH2344,8))),ISNUMBER(-LEFT(CH2344,8))),VALUE(LEFT(CH2344,4)),VALUE(LEFT(CH2344,FIND("-",CH2344)-1)))+2000,IF(AND(LEN(CH2344)=9,ISERROR(FIND("-",LEFT(CH2344,8))),ISNUMBER(-LEFT(CH2344,8))),VALUE(LEFT(CH2344,4)),VALUE(LEFT(CH2344,FIND("-",CH2344)-1)))),""))</f>
        <v/>
      </c>
      <c r="CN2344">
        <f>IF(CH2344="","",IFERROR(IF(AND(LEN(CH2344)=9,ISERROR(FIND("-",LEFT(CH2344,8))),ISNUMBER(-LEFT(CH2344,8))),VALUE(MID(CH2344,5,2)),VALUE(MID(CH2344,FIND("-",CH2344)+1,FIND("-",CH2344,FIND("-",CH2344)+1)-FIND("-",CH2344)-1))),""))</f>
        <v/>
      </c>
      <c r="CO2344">
        <f>IF(CH2344="","",IFERROR(IF(AND(LEN(CH2344)=9,ISERROR(FIND("-",LEFT(CH2344,8))),ISNUMBER(-LEFT(CH2344,8))),VALUE(MID(CH2344,7,2)),VALUE(MID(CH2344,FIND("-",CH2344,FIND("-",CH2344)+1)+1,FIND("-",CH2344,FIND("-",CH2344,FIND("-",CH2344)+1)+1)-FIND("-",CH2344,FIND("-",CH2344)+1)-1))),""))</f>
        <v/>
      </c>
    </row>
    <row r="2345">
      <c r="CH2345">
        <f>IF(ISTEXT('월 가계부'!A2345),SUBSTITUTE(SUBSTITUTE(SUBSTITUTE(SUBSTITUTE(SUBSTITUTE(SUBSTITUTE(SUBSTITUTE(SUBSTITUTE(SUBSTITUTE(TRIM('월 가계부'!A2345),"년","-"),"월","-"),"일",""),".","-"),"/","-")," ","-"),"--","-"),"--","-"),"--","-")&amp;"-","")</f>
        <v/>
      </c>
      <c r="CI2345">
        <f>IFERROR(IF('월 가계부'!A2345="","",IF(ISNUMBER('월 가계부'!A2345),IF(AND('월 가계부'!A2345&gt;=19000101,'월 가계부'!A2345&lt;=21001231),IF(AND(MOD(INT('월 가계부'!A2345/100),100)&gt;=1,MOD(INT('월 가계부'!A2345/100),100)&lt;=12,MOD(INT('월 가계부'!A2345),100)&gt;=1,MOD(INT('월 가계부'!A2345),100)&lt;=31),IF(MONTH(DATE(INT('월 가계부'!A2345/10000),MOD(INT('월 가계부'!A2345/100),100),MOD(INT('월 가계부'!A2345),100)))=MOD(INT('월 가계부'!A2345/100),100),DATE(INT('월 가계부'!A2345/10000),MOD(INT('월 가계부'!A2345/100),100),MOD(INT('월 가계부'!A2345),100)),""),""),IF(AND('월 가계부'!A2345&gt;=36526,'월 가계부'!A2345&lt;73051),INT('월 가계부'!A2345),"")),IF(OR(CM2345="",CN2345="",CO2345=""),"",IF(AND(CM2345&gt;=2000,CM2345&lt;=2099,CN2345&gt;=1,CN2345&lt;=12,CO2345&gt;=1,CO2345&lt;=31),IF(MONTH(DATE(CM2345,CN2345,CO2345))=CN2345,DATE(CM2345,CN2345,CO2345),""),"")))),"")</f>
        <v/>
      </c>
      <c r="CJ2345">
        <f>IFERROR(IF('월 가계부'!C2345="","",IF(ISNUMBER('월 가계부'!C2345),'월 가계부'!C2345,VALUE(SUBSTITUTE(SUBSTITUTE(SUBSTITUTE(SUBSTITUTE(TRIM('월 가계부'!C2345),",",""),"원","")," ",""),"−","-")))),"")</f>
        <v/>
      </c>
      <c r="CK2345">
        <f>IF(ISNUMBER(CI2345),IF(CI2345&lt;$B$13,CI2345,""),"")</f>
        <v/>
      </c>
      <c r="CM2345">
        <f>IF(CH2345="","",IFERROR(IF(IF(AND(LEN(CH2345)=9,ISERROR(FIND("-",LEFT(CH2345,8))),ISNUMBER(-LEFT(CH2345,8))),VALUE(LEFT(CH2345,4)),VALUE(LEFT(CH2345,FIND("-",CH2345)-1)))&lt;100,IF(AND(LEN(CH2345)=9,ISERROR(FIND("-",LEFT(CH2345,8))),ISNUMBER(-LEFT(CH2345,8))),VALUE(LEFT(CH2345,4)),VALUE(LEFT(CH2345,FIND("-",CH2345)-1)))+2000,IF(AND(LEN(CH2345)=9,ISERROR(FIND("-",LEFT(CH2345,8))),ISNUMBER(-LEFT(CH2345,8))),VALUE(LEFT(CH2345,4)),VALUE(LEFT(CH2345,FIND("-",CH2345)-1)))),""))</f>
        <v/>
      </c>
      <c r="CN2345">
        <f>IF(CH2345="","",IFERROR(IF(AND(LEN(CH2345)=9,ISERROR(FIND("-",LEFT(CH2345,8))),ISNUMBER(-LEFT(CH2345,8))),VALUE(MID(CH2345,5,2)),VALUE(MID(CH2345,FIND("-",CH2345)+1,FIND("-",CH2345,FIND("-",CH2345)+1)-FIND("-",CH2345)-1))),""))</f>
        <v/>
      </c>
      <c r="CO2345">
        <f>IF(CH2345="","",IFERROR(IF(AND(LEN(CH2345)=9,ISERROR(FIND("-",LEFT(CH2345,8))),ISNUMBER(-LEFT(CH2345,8))),VALUE(MID(CH2345,7,2)),VALUE(MID(CH2345,FIND("-",CH2345,FIND("-",CH2345)+1)+1,FIND("-",CH2345,FIND("-",CH2345,FIND("-",CH2345)+1)+1)-FIND("-",CH2345,FIND("-",CH2345)+1)-1))),""))</f>
        <v/>
      </c>
    </row>
    <row r="2346">
      <c r="CH2346">
        <f>IF(ISTEXT('월 가계부'!A2346),SUBSTITUTE(SUBSTITUTE(SUBSTITUTE(SUBSTITUTE(SUBSTITUTE(SUBSTITUTE(SUBSTITUTE(SUBSTITUTE(SUBSTITUTE(TRIM('월 가계부'!A2346),"년","-"),"월","-"),"일",""),".","-"),"/","-")," ","-"),"--","-"),"--","-"),"--","-")&amp;"-","")</f>
        <v/>
      </c>
      <c r="CI2346">
        <f>IFERROR(IF('월 가계부'!A2346="","",IF(ISNUMBER('월 가계부'!A2346),IF(AND('월 가계부'!A2346&gt;=19000101,'월 가계부'!A2346&lt;=21001231),IF(AND(MOD(INT('월 가계부'!A2346/100),100)&gt;=1,MOD(INT('월 가계부'!A2346/100),100)&lt;=12,MOD(INT('월 가계부'!A2346),100)&gt;=1,MOD(INT('월 가계부'!A2346),100)&lt;=31),IF(MONTH(DATE(INT('월 가계부'!A2346/10000),MOD(INT('월 가계부'!A2346/100),100),MOD(INT('월 가계부'!A2346),100)))=MOD(INT('월 가계부'!A2346/100),100),DATE(INT('월 가계부'!A2346/10000),MOD(INT('월 가계부'!A2346/100),100),MOD(INT('월 가계부'!A2346),100)),""),""),IF(AND('월 가계부'!A2346&gt;=36526,'월 가계부'!A2346&lt;73051),INT('월 가계부'!A2346),"")),IF(OR(CM2346="",CN2346="",CO2346=""),"",IF(AND(CM2346&gt;=2000,CM2346&lt;=2099,CN2346&gt;=1,CN2346&lt;=12,CO2346&gt;=1,CO2346&lt;=31),IF(MONTH(DATE(CM2346,CN2346,CO2346))=CN2346,DATE(CM2346,CN2346,CO2346),""),"")))),"")</f>
        <v/>
      </c>
      <c r="CJ2346">
        <f>IFERROR(IF('월 가계부'!C2346="","",IF(ISNUMBER('월 가계부'!C2346),'월 가계부'!C2346,VALUE(SUBSTITUTE(SUBSTITUTE(SUBSTITUTE(SUBSTITUTE(TRIM('월 가계부'!C2346),",",""),"원","")," ",""),"−","-")))),"")</f>
        <v/>
      </c>
      <c r="CK2346">
        <f>IF(ISNUMBER(CI2346),IF(CI2346&lt;$B$13,CI2346,""),"")</f>
        <v/>
      </c>
      <c r="CM2346">
        <f>IF(CH2346="","",IFERROR(IF(IF(AND(LEN(CH2346)=9,ISERROR(FIND("-",LEFT(CH2346,8))),ISNUMBER(-LEFT(CH2346,8))),VALUE(LEFT(CH2346,4)),VALUE(LEFT(CH2346,FIND("-",CH2346)-1)))&lt;100,IF(AND(LEN(CH2346)=9,ISERROR(FIND("-",LEFT(CH2346,8))),ISNUMBER(-LEFT(CH2346,8))),VALUE(LEFT(CH2346,4)),VALUE(LEFT(CH2346,FIND("-",CH2346)-1)))+2000,IF(AND(LEN(CH2346)=9,ISERROR(FIND("-",LEFT(CH2346,8))),ISNUMBER(-LEFT(CH2346,8))),VALUE(LEFT(CH2346,4)),VALUE(LEFT(CH2346,FIND("-",CH2346)-1)))),""))</f>
        <v/>
      </c>
      <c r="CN2346">
        <f>IF(CH2346="","",IFERROR(IF(AND(LEN(CH2346)=9,ISERROR(FIND("-",LEFT(CH2346,8))),ISNUMBER(-LEFT(CH2346,8))),VALUE(MID(CH2346,5,2)),VALUE(MID(CH2346,FIND("-",CH2346)+1,FIND("-",CH2346,FIND("-",CH2346)+1)-FIND("-",CH2346)-1))),""))</f>
        <v/>
      </c>
      <c r="CO2346">
        <f>IF(CH2346="","",IFERROR(IF(AND(LEN(CH2346)=9,ISERROR(FIND("-",LEFT(CH2346,8))),ISNUMBER(-LEFT(CH2346,8))),VALUE(MID(CH2346,7,2)),VALUE(MID(CH2346,FIND("-",CH2346,FIND("-",CH2346)+1)+1,FIND("-",CH2346,FIND("-",CH2346,FIND("-",CH2346)+1)+1)-FIND("-",CH2346,FIND("-",CH2346)+1)-1))),""))</f>
        <v/>
      </c>
    </row>
    <row r="2347">
      <c r="CH2347">
        <f>IF(ISTEXT('월 가계부'!A2347),SUBSTITUTE(SUBSTITUTE(SUBSTITUTE(SUBSTITUTE(SUBSTITUTE(SUBSTITUTE(SUBSTITUTE(SUBSTITUTE(SUBSTITUTE(TRIM('월 가계부'!A2347),"년","-"),"월","-"),"일",""),".","-"),"/","-")," ","-"),"--","-"),"--","-"),"--","-")&amp;"-","")</f>
        <v/>
      </c>
      <c r="CI2347">
        <f>IFERROR(IF('월 가계부'!A2347="","",IF(ISNUMBER('월 가계부'!A2347),IF(AND('월 가계부'!A2347&gt;=19000101,'월 가계부'!A2347&lt;=21001231),IF(AND(MOD(INT('월 가계부'!A2347/100),100)&gt;=1,MOD(INT('월 가계부'!A2347/100),100)&lt;=12,MOD(INT('월 가계부'!A2347),100)&gt;=1,MOD(INT('월 가계부'!A2347),100)&lt;=31),IF(MONTH(DATE(INT('월 가계부'!A2347/10000),MOD(INT('월 가계부'!A2347/100),100),MOD(INT('월 가계부'!A2347),100)))=MOD(INT('월 가계부'!A2347/100),100),DATE(INT('월 가계부'!A2347/10000),MOD(INT('월 가계부'!A2347/100),100),MOD(INT('월 가계부'!A2347),100)),""),""),IF(AND('월 가계부'!A2347&gt;=36526,'월 가계부'!A2347&lt;73051),INT('월 가계부'!A2347),"")),IF(OR(CM2347="",CN2347="",CO2347=""),"",IF(AND(CM2347&gt;=2000,CM2347&lt;=2099,CN2347&gt;=1,CN2347&lt;=12,CO2347&gt;=1,CO2347&lt;=31),IF(MONTH(DATE(CM2347,CN2347,CO2347))=CN2347,DATE(CM2347,CN2347,CO2347),""),"")))),"")</f>
        <v/>
      </c>
      <c r="CJ2347">
        <f>IFERROR(IF('월 가계부'!C2347="","",IF(ISNUMBER('월 가계부'!C2347),'월 가계부'!C2347,VALUE(SUBSTITUTE(SUBSTITUTE(SUBSTITUTE(SUBSTITUTE(TRIM('월 가계부'!C2347),",",""),"원","")," ",""),"−","-")))),"")</f>
        <v/>
      </c>
      <c r="CK2347">
        <f>IF(ISNUMBER(CI2347),IF(CI2347&lt;$B$13,CI2347,""),"")</f>
        <v/>
      </c>
      <c r="CM2347">
        <f>IF(CH2347="","",IFERROR(IF(IF(AND(LEN(CH2347)=9,ISERROR(FIND("-",LEFT(CH2347,8))),ISNUMBER(-LEFT(CH2347,8))),VALUE(LEFT(CH2347,4)),VALUE(LEFT(CH2347,FIND("-",CH2347)-1)))&lt;100,IF(AND(LEN(CH2347)=9,ISERROR(FIND("-",LEFT(CH2347,8))),ISNUMBER(-LEFT(CH2347,8))),VALUE(LEFT(CH2347,4)),VALUE(LEFT(CH2347,FIND("-",CH2347)-1)))+2000,IF(AND(LEN(CH2347)=9,ISERROR(FIND("-",LEFT(CH2347,8))),ISNUMBER(-LEFT(CH2347,8))),VALUE(LEFT(CH2347,4)),VALUE(LEFT(CH2347,FIND("-",CH2347)-1)))),""))</f>
        <v/>
      </c>
      <c r="CN2347">
        <f>IF(CH2347="","",IFERROR(IF(AND(LEN(CH2347)=9,ISERROR(FIND("-",LEFT(CH2347,8))),ISNUMBER(-LEFT(CH2347,8))),VALUE(MID(CH2347,5,2)),VALUE(MID(CH2347,FIND("-",CH2347)+1,FIND("-",CH2347,FIND("-",CH2347)+1)-FIND("-",CH2347)-1))),""))</f>
        <v/>
      </c>
      <c r="CO2347">
        <f>IF(CH2347="","",IFERROR(IF(AND(LEN(CH2347)=9,ISERROR(FIND("-",LEFT(CH2347,8))),ISNUMBER(-LEFT(CH2347,8))),VALUE(MID(CH2347,7,2)),VALUE(MID(CH2347,FIND("-",CH2347,FIND("-",CH2347)+1)+1,FIND("-",CH2347,FIND("-",CH2347,FIND("-",CH2347)+1)+1)-FIND("-",CH2347,FIND("-",CH2347)+1)-1))),""))</f>
        <v/>
      </c>
    </row>
    <row r="2348">
      <c r="CH2348">
        <f>IF(ISTEXT('월 가계부'!A2348),SUBSTITUTE(SUBSTITUTE(SUBSTITUTE(SUBSTITUTE(SUBSTITUTE(SUBSTITUTE(SUBSTITUTE(SUBSTITUTE(SUBSTITUTE(TRIM('월 가계부'!A2348),"년","-"),"월","-"),"일",""),".","-"),"/","-")," ","-"),"--","-"),"--","-"),"--","-")&amp;"-","")</f>
        <v/>
      </c>
      <c r="CI2348">
        <f>IFERROR(IF('월 가계부'!A2348="","",IF(ISNUMBER('월 가계부'!A2348),IF(AND('월 가계부'!A2348&gt;=19000101,'월 가계부'!A2348&lt;=21001231),IF(AND(MOD(INT('월 가계부'!A2348/100),100)&gt;=1,MOD(INT('월 가계부'!A2348/100),100)&lt;=12,MOD(INT('월 가계부'!A2348),100)&gt;=1,MOD(INT('월 가계부'!A2348),100)&lt;=31),IF(MONTH(DATE(INT('월 가계부'!A2348/10000),MOD(INT('월 가계부'!A2348/100),100),MOD(INT('월 가계부'!A2348),100)))=MOD(INT('월 가계부'!A2348/100),100),DATE(INT('월 가계부'!A2348/10000),MOD(INT('월 가계부'!A2348/100),100),MOD(INT('월 가계부'!A2348),100)),""),""),IF(AND('월 가계부'!A2348&gt;=36526,'월 가계부'!A2348&lt;73051),INT('월 가계부'!A2348),"")),IF(OR(CM2348="",CN2348="",CO2348=""),"",IF(AND(CM2348&gt;=2000,CM2348&lt;=2099,CN2348&gt;=1,CN2348&lt;=12,CO2348&gt;=1,CO2348&lt;=31),IF(MONTH(DATE(CM2348,CN2348,CO2348))=CN2348,DATE(CM2348,CN2348,CO2348),""),"")))),"")</f>
        <v/>
      </c>
      <c r="CJ2348">
        <f>IFERROR(IF('월 가계부'!C2348="","",IF(ISNUMBER('월 가계부'!C2348),'월 가계부'!C2348,VALUE(SUBSTITUTE(SUBSTITUTE(SUBSTITUTE(SUBSTITUTE(TRIM('월 가계부'!C2348),",",""),"원","")," ",""),"−","-")))),"")</f>
        <v/>
      </c>
      <c r="CK2348">
        <f>IF(ISNUMBER(CI2348),IF(CI2348&lt;$B$13,CI2348,""),"")</f>
        <v/>
      </c>
      <c r="CM2348">
        <f>IF(CH2348="","",IFERROR(IF(IF(AND(LEN(CH2348)=9,ISERROR(FIND("-",LEFT(CH2348,8))),ISNUMBER(-LEFT(CH2348,8))),VALUE(LEFT(CH2348,4)),VALUE(LEFT(CH2348,FIND("-",CH2348)-1)))&lt;100,IF(AND(LEN(CH2348)=9,ISERROR(FIND("-",LEFT(CH2348,8))),ISNUMBER(-LEFT(CH2348,8))),VALUE(LEFT(CH2348,4)),VALUE(LEFT(CH2348,FIND("-",CH2348)-1)))+2000,IF(AND(LEN(CH2348)=9,ISERROR(FIND("-",LEFT(CH2348,8))),ISNUMBER(-LEFT(CH2348,8))),VALUE(LEFT(CH2348,4)),VALUE(LEFT(CH2348,FIND("-",CH2348)-1)))),""))</f>
        <v/>
      </c>
      <c r="CN2348">
        <f>IF(CH2348="","",IFERROR(IF(AND(LEN(CH2348)=9,ISERROR(FIND("-",LEFT(CH2348,8))),ISNUMBER(-LEFT(CH2348,8))),VALUE(MID(CH2348,5,2)),VALUE(MID(CH2348,FIND("-",CH2348)+1,FIND("-",CH2348,FIND("-",CH2348)+1)-FIND("-",CH2348)-1))),""))</f>
        <v/>
      </c>
      <c r="CO2348">
        <f>IF(CH2348="","",IFERROR(IF(AND(LEN(CH2348)=9,ISERROR(FIND("-",LEFT(CH2348,8))),ISNUMBER(-LEFT(CH2348,8))),VALUE(MID(CH2348,7,2)),VALUE(MID(CH2348,FIND("-",CH2348,FIND("-",CH2348)+1)+1,FIND("-",CH2348,FIND("-",CH2348,FIND("-",CH2348)+1)+1)-FIND("-",CH2348,FIND("-",CH2348)+1)-1))),""))</f>
        <v/>
      </c>
    </row>
    <row r="2349">
      <c r="CH2349">
        <f>IF(ISTEXT('월 가계부'!A2349),SUBSTITUTE(SUBSTITUTE(SUBSTITUTE(SUBSTITUTE(SUBSTITUTE(SUBSTITUTE(SUBSTITUTE(SUBSTITUTE(SUBSTITUTE(TRIM('월 가계부'!A2349),"년","-"),"월","-"),"일",""),".","-"),"/","-")," ","-"),"--","-"),"--","-"),"--","-")&amp;"-","")</f>
        <v/>
      </c>
      <c r="CI2349">
        <f>IFERROR(IF('월 가계부'!A2349="","",IF(ISNUMBER('월 가계부'!A2349),IF(AND('월 가계부'!A2349&gt;=19000101,'월 가계부'!A2349&lt;=21001231),IF(AND(MOD(INT('월 가계부'!A2349/100),100)&gt;=1,MOD(INT('월 가계부'!A2349/100),100)&lt;=12,MOD(INT('월 가계부'!A2349),100)&gt;=1,MOD(INT('월 가계부'!A2349),100)&lt;=31),IF(MONTH(DATE(INT('월 가계부'!A2349/10000),MOD(INT('월 가계부'!A2349/100),100),MOD(INT('월 가계부'!A2349),100)))=MOD(INT('월 가계부'!A2349/100),100),DATE(INT('월 가계부'!A2349/10000),MOD(INT('월 가계부'!A2349/100),100),MOD(INT('월 가계부'!A2349),100)),""),""),IF(AND('월 가계부'!A2349&gt;=36526,'월 가계부'!A2349&lt;73051),INT('월 가계부'!A2349),"")),IF(OR(CM2349="",CN2349="",CO2349=""),"",IF(AND(CM2349&gt;=2000,CM2349&lt;=2099,CN2349&gt;=1,CN2349&lt;=12,CO2349&gt;=1,CO2349&lt;=31),IF(MONTH(DATE(CM2349,CN2349,CO2349))=CN2349,DATE(CM2349,CN2349,CO2349),""),"")))),"")</f>
        <v/>
      </c>
      <c r="CJ2349">
        <f>IFERROR(IF('월 가계부'!C2349="","",IF(ISNUMBER('월 가계부'!C2349),'월 가계부'!C2349,VALUE(SUBSTITUTE(SUBSTITUTE(SUBSTITUTE(SUBSTITUTE(TRIM('월 가계부'!C2349),",",""),"원","")," ",""),"−","-")))),"")</f>
        <v/>
      </c>
      <c r="CK2349">
        <f>IF(ISNUMBER(CI2349),IF(CI2349&lt;$B$13,CI2349,""),"")</f>
        <v/>
      </c>
      <c r="CM2349">
        <f>IF(CH2349="","",IFERROR(IF(IF(AND(LEN(CH2349)=9,ISERROR(FIND("-",LEFT(CH2349,8))),ISNUMBER(-LEFT(CH2349,8))),VALUE(LEFT(CH2349,4)),VALUE(LEFT(CH2349,FIND("-",CH2349)-1)))&lt;100,IF(AND(LEN(CH2349)=9,ISERROR(FIND("-",LEFT(CH2349,8))),ISNUMBER(-LEFT(CH2349,8))),VALUE(LEFT(CH2349,4)),VALUE(LEFT(CH2349,FIND("-",CH2349)-1)))+2000,IF(AND(LEN(CH2349)=9,ISERROR(FIND("-",LEFT(CH2349,8))),ISNUMBER(-LEFT(CH2349,8))),VALUE(LEFT(CH2349,4)),VALUE(LEFT(CH2349,FIND("-",CH2349)-1)))),""))</f>
        <v/>
      </c>
      <c r="CN2349">
        <f>IF(CH2349="","",IFERROR(IF(AND(LEN(CH2349)=9,ISERROR(FIND("-",LEFT(CH2349,8))),ISNUMBER(-LEFT(CH2349,8))),VALUE(MID(CH2349,5,2)),VALUE(MID(CH2349,FIND("-",CH2349)+1,FIND("-",CH2349,FIND("-",CH2349)+1)-FIND("-",CH2349)-1))),""))</f>
        <v/>
      </c>
      <c r="CO2349">
        <f>IF(CH2349="","",IFERROR(IF(AND(LEN(CH2349)=9,ISERROR(FIND("-",LEFT(CH2349,8))),ISNUMBER(-LEFT(CH2349,8))),VALUE(MID(CH2349,7,2)),VALUE(MID(CH2349,FIND("-",CH2349,FIND("-",CH2349)+1)+1,FIND("-",CH2349,FIND("-",CH2349,FIND("-",CH2349)+1)+1)-FIND("-",CH2349,FIND("-",CH2349)+1)-1))),""))</f>
        <v/>
      </c>
    </row>
    <row r="2350">
      <c r="CH2350">
        <f>IF(ISTEXT('월 가계부'!A2350),SUBSTITUTE(SUBSTITUTE(SUBSTITUTE(SUBSTITUTE(SUBSTITUTE(SUBSTITUTE(SUBSTITUTE(SUBSTITUTE(SUBSTITUTE(TRIM('월 가계부'!A2350),"년","-"),"월","-"),"일",""),".","-"),"/","-")," ","-"),"--","-"),"--","-"),"--","-")&amp;"-","")</f>
        <v/>
      </c>
      <c r="CI2350">
        <f>IFERROR(IF('월 가계부'!A2350="","",IF(ISNUMBER('월 가계부'!A2350),IF(AND('월 가계부'!A2350&gt;=19000101,'월 가계부'!A2350&lt;=21001231),IF(AND(MOD(INT('월 가계부'!A2350/100),100)&gt;=1,MOD(INT('월 가계부'!A2350/100),100)&lt;=12,MOD(INT('월 가계부'!A2350),100)&gt;=1,MOD(INT('월 가계부'!A2350),100)&lt;=31),IF(MONTH(DATE(INT('월 가계부'!A2350/10000),MOD(INT('월 가계부'!A2350/100),100),MOD(INT('월 가계부'!A2350),100)))=MOD(INT('월 가계부'!A2350/100),100),DATE(INT('월 가계부'!A2350/10000),MOD(INT('월 가계부'!A2350/100),100),MOD(INT('월 가계부'!A2350),100)),""),""),IF(AND('월 가계부'!A2350&gt;=36526,'월 가계부'!A2350&lt;73051),INT('월 가계부'!A2350),"")),IF(OR(CM2350="",CN2350="",CO2350=""),"",IF(AND(CM2350&gt;=2000,CM2350&lt;=2099,CN2350&gt;=1,CN2350&lt;=12,CO2350&gt;=1,CO2350&lt;=31),IF(MONTH(DATE(CM2350,CN2350,CO2350))=CN2350,DATE(CM2350,CN2350,CO2350),""),"")))),"")</f>
        <v/>
      </c>
      <c r="CJ2350">
        <f>IFERROR(IF('월 가계부'!C2350="","",IF(ISNUMBER('월 가계부'!C2350),'월 가계부'!C2350,VALUE(SUBSTITUTE(SUBSTITUTE(SUBSTITUTE(SUBSTITUTE(TRIM('월 가계부'!C2350),",",""),"원","")," ",""),"−","-")))),"")</f>
        <v/>
      </c>
      <c r="CK2350">
        <f>IF(ISNUMBER(CI2350),IF(CI2350&lt;$B$13,CI2350,""),"")</f>
        <v/>
      </c>
      <c r="CM2350">
        <f>IF(CH2350="","",IFERROR(IF(IF(AND(LEN(CH2350)=9,ISERROR(FIND("-",LEFT(CH2350,8))),ISNUMBER(-LEFT(CH2350,8))),VALUE(LEFT(CH2350,4)),VALUE(LEFT(CH2350,FIND("-",CH2350)-1)))&lt;100,IF(AND(LEN(CH2350)=9,ISERROR(FIND("-",LEFT(CH2350,8))),ISNUMBER(-LEFT(CH2350,8))),VALUE(LEFT(CH2350,4)),VALUE(LEFT(CH2350,FIND("-",CH2350)-1)))+2000,IF(AND(LEN(CH2350)=9,ISERROR(FIND("-",LEFT(CH2350,8))),ISNUMBER(-LEFT(CH2350,8))),VALUE(LEFT(CH2350,4)),VALUE(LEFT(CH2350,FIND("-",CH2350)-1)))),""))</f>
        <v/>
      </c>
      <c r="CN2350">
        <f>IF(CH2350="","",IFERROR(IF(AND(LEN(CH2350)=9,ISERROR(FIND("-",LEFT(CH2350,8))),ISNUMBER(-LEFT(CH2350,8))),VALUE(MID(CH2350,5,2)),VALUE(MID(CH2350,FIND("-",CH2350)+1,FIND("-",CH2350,FIND("-",CH2350)+1)-FIND("-",CH2350)-1))),""))</f>
        <v/>
      </c>
      <c r="CO2350">
        <f>IF(CH2350="","",IFERROR(IF(AND(LEN(CH2350)=9,ISERROR(FIND("-",LEFT(CH2350,8))),ISNUMBER(-LEFT(CH2350,8))),VALUE(MID(CH2350,7,2)),VALUE(MID(CH2350,FIND("-",CH2350,FIND("-",CH2350)+1)+1,FIND("-",CH2350,FIND("-",CH2350,FIND("-",CH2350)+1)+1)-FIND("-",CH2350,FIND("-",CH2350)+1)-1))),""))</f>
        <v/>
      </c>
    </row>
    <row r="2351">
      <c r="CH2351">
        <f>IF(ISTEXT('월 가계부'!A2351),SUBSTITUTE(SUBSTITUTE(SUBSTITUTE(SUBSTITUTE(SUBSTITUTE(SUBSTITUTE(SUBSTITUTE(SUBSTITUTE(SUBSTITUTE(TRIM('월 가계부'!A2351),"년","-"),"월","-"),"일",""),".","-"),"/","-")," ","-"),"--","-"),"--","-"),"--","-")&amp;"-","")</f>
        <v/>
      </c>
      <c r="CI2351">
        <f>IFERROR(IF('월 가계부'!A2351="","",IF(ISNUMBER('월 가계부'!A2351),IF(AND('월 가계부'!A2351&gt;=19000101,'월 가계부'!A2351&lt;=21001231),IF(AND(MOD(INT('월 가계부'!A2351/100),100)&gt;=1,MOD(INT('월 가계부'!A2351/100),100)&lt;=12,MOD(INT('월 가계부'!A2351),100)&gt;=1,MOD(INT('월 가계부'!A2351),100)&lt;=31),IF(MONTH(DATE(INT('월 가계부'!A2351/10000),MOD(INT('월 가계부'!A2351/100),100),MOD(INT('월 가계부'!A2351),100)))=MOD(INT('월 가계부'!A2351/100),100),DATE(INT('월 가계부'!A2351/10000),MOD(INT('월 가계부'!A2351/100),100),MOD(INT('월 가계부'!A2351),100)),""),""),IF(AND('월 가계부'!A2351&gt;=36526,'월 가계부'!A2351&lt;73051),INT('월 가계부'!A2351),"")),IF(OR(CM2351="",CN2351="",CO2351=""),"",IF(AND(CM2351&gt;=2000,CM2351&lt;=2099,CN2351&gt;=1,CN2351&lt;=12,CO2351&gt;=1,CO2351&lt;=31),IF(MONTH(DATE(CM2351,CN2351,CO2351))=CN2351,DATE(CM2351,CN2351,CO2351),""),"")))),"")</f>
        <v/>
      </c>
      <c r="CJ2351">
        <f>IFERROR(IF('월 가계부'!C2351="","",IF(ISNUMBER('월 가계부'!C2351),'월 가계부'!C2351,VALUE(SUBSTITUTE(SUBSTITUTE(SUBSTITUTE(SUBSTITUTE(TRIM('월 가계부'!C2351),",",""),"원","")," ",""),"−","-")))),"")</f>
        <v/>
      </c>
      <c r="CK2351">
        <f>IF(ISNUMBER(CI2351),IF(CI2351&lt;$B$13,CI2351,""),"")</f>
        <v/>
      </c>
      <c r="CM2351">
        <f>IF(CH2351="","",IFERROR(IF(IF(AND(LEN(CH2351)=9,ISERROR(FIND("-",LEFT(CH2351,8))),ISNUMBER(-LEFT(CH2351,8))),VALUE(LEFT(CH2351,4)),VALUE(LEFT(CH2351,FIND("-",CH2351)-1)))&lt;100,IF(AND(LEN(CH2351)=9,ISERROR(FIND("-",LEFT(CH2351,8))),ISNUMBER(-LEFT(CH2351,8))),VALUE(LEFT(CH2351,4)),VALUE(LEFT(CH2351,FIND("-",CH2351)-1)))+2000,IF(AND(LEN(CH2351)=9,ISERROR(FIND("-",LEFT(CH2351,8))),ISNUMBER(-LEFT(CH2351,8))),VALUE(LEFT(CH2351,4)),VALUE(LEFT(CH2351,FIND("-",CH2351)-1)))),""))</f>
        <v/>
      </c>
      <c r="CN2351">
        <f>IF(CH2351="","",IFERROR(IF(AND(LEN(CH2351)=9,ISERROR(FIND("-",LEFT(CH2351,8))),ISNUMBER(-LEFT(CH2351,8))),VALUE(MID(CH2351,5,2)),VALUE(MID(CH2351,FIND("-",CH2351)+1,FIND("-",CH2351,FIND("-",CH2351)+1)-FIND("-",CH2351)-1))),""))</f>
        <v/>
      </c>
      <c r="CO2351">
        <f>IF(CH2351="","",IFERROR(IF(AND(LEN(CH2351)=9,ISERROR(FIND("-",LEFT(CH2351,8))),ISNUMBER(-LEFT(CH2351,8))),VALUE(MID(CH2351,7,2)),VALUE(MID(CH2351,FIND("-",CH2351,FIND("-",CH2351)+1)+1,FIND("-",CH2351,FIND("-",CH2351,FIND("-",CH2351)+1)+1)-FIND("-",CH2351,FIND("-",CH2351)+1)-1))),""))</f>
        <v/>
      </c>
    </row>
    <row r="2352">
      <c r="CH2352">
        <f>IF(ISTEXT('월 가계부'!A2352),SUBSTITUTE(SUBSTITUTE(SUBSTITUTE(SUBSTITUTE(SUBSTITUTE(SUBSTITUTE(SUBSTITUTE(SUBSTITUTE(SUBSTITUTE(TRIM('월 가계부'!A2352),"년","-"),"월","-"),"일",""),".","-"),"/","-")," ","-"),"--","-"),"--","-"),"--","-")&amp;"-","")</f>
        <v/>
      </c>
      <c r="CI2352">
        <f>IFERROR(IF('월 가계부'!A2352="","",IF(ISNUMBER('월 가계부'!A2352),IF(AND('월 가계부'!A2352&gt;=19000101,'월 가계부'!A2352&lt;=21001231),IF(AND(MOD(INT('월 가계부'!A2352/100),100)&gt;=1,MOD(INT('월 가계부'!A2352/100),100)&lt;=12,MOD(INT('월 가계부'!A2352),100)&gt;=1,MOD(INT('월 가계부'!A2352),100)&lt;=31),IF(MONTH(DATE(INT('월 가계부'!A2352/10000),MOD(INT('월 가계부'!A2352/100),100),MOD(INT('월 가계부'!A2352),100)))=MOD(INT('월 가계부'!A2352/100),100),DATE(INT('월 가계부'!A2352/10000),MOD(INT('월 가계부'!A2352/100),100),MOD(INT('월 가계부'!A2352),100)),""),""),IF(AND('월 가계부'!A2352&gt;=36526,'월 가계부'!A2352&lt;73051),INT('월 가계부'!A2352),"")),IF(OR(CM2352="",CN2352="",CO2352=""),"",IF(AND(CM2352&gt;=2000,CM2352&lt;=2099,CN2352&gt;=1,CN2352&lt;=12,CO2352&gt;=1,CO2352&lt;=31),IF(MONTH(DATE(CM2352,CN2352,CO2352))=CN2352,DATE(CM2352,CN2352,CO2352),""),"")))),"")</f>
        <v/>
      </c>
      <c r="CJ2352">
        <f>IFERROR(IF('월 가계부'!C2352="","",IF(ISNUMBER('월 가계부'!C2352),'월 가계부'!C2352,VALUE(SUBSTITUTE(SUBSTITUTE(SUBSTITUTE(SUBSTITUTE(TRIM('월 가계부'!C2352),",",""),"원","")," ",""),"−","-")))),"")</f>
        <v/>
      </c>
      <c r="CK2352">
        <f>IF(ISNUMBER(CI2352),IF(CI2352&lt;$B$13,CI2352,""),"")</f>
        <v/>
      </c>
      <c r="CM2352">
        <f>IF(CH2352="","",IFERROR(IF(IF(AND(LEN(CH2352)=9,ISERROR(FIND("-",LEFT(CH2352,8))),ISNUMBER(-LEFT(CH2352,8))),VALUE(LEFT(CH2352,4)),VALUE(LEFT(CH2352,FIND("-",CH2352)-1)))&lt;100,IF(AND(LEN(CH2352)=9,ISERROR(FIND("-",LEFT(CH2352,8))),ISNUMBER(-LEFT(CH2352,8))),VALUE(LEFT(CH2352,4)),VALUE(LEFT(CH2352,FIND("-",CH2352)-1)))+2000,IF(AND(LEN(CH2352)=9,ISERROR(FIND("-",LEFT(CH2352,8))),ISNUMBER(-LEFT(CH2352,8))),VALUE(LEFT(CH2352,4)),VALUE(LEFT(CH2352,FIND("-",CH2352)-1)))),""))</f>
        <v/>
      </c>
      <c r="CN2352">
        <f>IF(CH2352="","",IFERROR(IF(AND(LEN(CH2352)=9,ISERROR(FIND("-",LEFT(CH2352,8))),ISNUMBER(-LEFT(CH2352,8))),VALUE(MID(CH2352,5,2)),VALUE(MID(CH2352,FIND("-",CH2352)+1,FIND("-",CH2352,FIND("-",CH2352)+1)-FIND("-",CH2352)-1))),""))</f>
        <v/>
      </c>
      <c r="CO2352">
        <f>IF(CH2352="","",IFERROR(IF(AND(LEN(CH2352)=9,ISERROR(FIND("-",LEFT(CH2352,8))),ISNUMBER(-LEFT(CH2352,8))),VALUE(MID(CH2352,7,2)),VALUE(MID(CH2352,FIND("-",CH2352,FIND("-",CH2352)+1)+1,FIND("-",CH2352,FIND("-",CH2352,FIND("-",CH2352)+1)+1)-FIND("-",CH2352,FIND("-",CH2352)+1)-1))),""))</f>
        <v/>
      </c>
    </row>
    <row r="2353">
      <c r="CH2353">
        <f>IF(ISTEXT('월 가계부'!A2353),SUBSTITUTE(SUBSTITUTE(SUBSTITUTE(SUBSTITUTE(SUBSTITUTE(SUBSTITUTE(SUBSTITUTE(SUBSTITUTE(SUBSTITUTE(TRIM('월 가계부'!A2353),"년","-"),"월","-"),"일",""),".","-"),"/","-")," ","-"),"--","-"),"--","-"),"--","-")&amp;"-","")</f>
        <v/>
      </c>
      <c r="CI2353">
        <f>IFERROR(IF('월 가계부'!A2353="","",IF(ISNUMBER('월 가계부'!A2353),IF(AND('월 가계부'!A2353&gt;=19000101,'월 가계부'!A2353&lt;=21001231),IF(AND(MOD(INT('월 가계부'!A2353/100),100)&gt;=1,MOD(INT('월 가계부'!A2353/100),100)&lt;=12,MOD(INT('월 가계부'!A2353),100)&gt;=1,MOD(INT('월 가계부'!A2353),100)&lt;=31),IF(MONTH(DATE(INT('월 가계부'!A2353/10000),MOD(INT('월 가계부'!A2353/100),100),MOD(INT('월 가계부'!A2353),100)))=MOD(INT('월 가계부'!A2353/100),100),DATE(INT('월 가계부'!A2353/10000),MOD(INT('월 가계부'!A2353/100),100),MOD(INT('월 가계부'!A2353),100)),""),""),IF(AND('월 가계부'!A2353&gt;=36526,'월 가계부'!A2353&lt;73051),INT('월 가계부'!A2353),"")),IF(OR(CM2353="",CN2353="",CO2353=""),"",IF(AND(CM2353&gt;=2000,CM2353&lt;=2099,CN2353&gt;=1,CN2353&lt;=12,CO2353&gt;=1,CO2353&lt;=31),IF(MONTH(DATE(CM2353,CN2353,CO2353))=CN2353,DATE(CM2353,CN2353,CO2353),""),"")))),"")</f>
        <v/>
      </c>
      <c r="CJ2353">
        <f>IFERROR(IF('월 가계부'!C2353="","",IF(ISNUMBER('월 가계부'!C2353),'월 가계부'!C2353,VALUE(SUBSTITUTE(SUBSTITUTE(SUBSTITUTE(SUBSTITUTE(TRIM('월 가계부'!C2353),",",""),"원","")," ",""),"−","-")))),"")</f>
        <v/>
      </c>
      <c r="CK2353">
        <f>IF(ISNUMBER(CI2353),IF(CI2353&lt;$B$13,CI2353,""),"")</f>
        <v/>
      </c>
      <c r="CM2353">
        <f>IF(CH2353="","",IFERROR(IF(IF(AND(LEN(CH2353)=9,ISERROR(FIND("-",LEFT(CH2353,8))),ISNUMBER(-LEFT(CH2353,8))),VALUE(LEFT(CH2353,4)),VALUE(LEFT(CH2353,FIND("-",CH2353)-1)))&lt;100,IF(AND(LEN(CH2353)=9,ISERROR(FIND("-",LEFT(CH2353,8))),ISNUMBER(-LEFT(CH2353,8))),VALUE(LEFT(CH2353,4)),VALUE(LEFT(CH2353,FIND("-",CH2353)-1)))+2000,IF(AND(LEN(CH2353)=9,ISERROR(FIND("-",LEFT(CH2353,8))),ISNUMBER(-LEFT(CH2353,8))),VALUE(LEFT(CH2353,4)),VALUE(LEFT(CH2353,FIND("-",CH2353)-1)))),""))</f>
        <v/>
      </c>
      <c r="CN2353">
        <f>IF(CH2353="","",IFERROR(IF(AND(LEN(CH2353)=9,ISERROR(FIND("-",LEFT(CH2353,8))),ISNUMBER(-LEFT(CH2353,8))),VALUE(MID(CH2353,5,2)),VALUE(MID(CH2353,FIND("-",CH2353)+1,FIND("-",CH2353,FIND("-",CH2353)+1)-FIND("-",CH2353)-1))),""))</f>
        <v/>
      </c>
      <c r="CO2353">
        <f>IF(CH2353="","",IFERROR(IF(AND(LEN(CH2353)=9,ISERROR(FIND("-",LEFT(CH2353,8))),ISNUMBER(-LEFT(CH2353,8))),VALUE(MID(CH2353,7,2)),VALUE(MID(CH2353,FIND("-",CH2353,FIND("-",CH2353)+1)+1,FIND("-",CH2353,FIND("-",CH2353,FIND("-",CH2353)+1)+1)-FIND("-",CH2353,FIND("-",CH2353)+1)-1))),""))</f>
        <v/>
      </c>
    </row>
    <row r="2354">
      <c r="CH2354">
        <f>IF(ISTEXT('월 가계부'!A2354),SUBSTITUTE(SUBSTITUTE(SUBSTITUTE(SUBSTITUTE(SUBSTITUTE(SUBSTITUTE(SUBSTITUTE(SUBSTITUTE(SUBSTITUTE(TRIM('월 가계부'!A2354),"년","-"),"월","-"),"일",""),".","-"),"/","-")," ","-"),"--","-"),"--","-"),"--","-")&amp;"-","")</f>
        <v/>
      </c>
      <c r="CI2354">
        <f>IFERROR(IF('월 가계부'!A2354="","",IF(ISNUMBER('월 가계부'!A2354),IF(AND('월 가계부'!A2354&gt;=19000101,'월 가계부'!A2354&lt;=21001231),IF(AND(MOD(INT('월 가계부'!A2354/100),100)&gt;=1,MOD(INT('월 가계부'!A2354/100),100)&lt;=12,MOD(INT('월 가계부'!A2354),100)&gt;=1,MOD(INT('월 가계부'!A2354),100)&lt;=31),IF(MONTH(DATE(INT('월 가계부'!A2354/10000),MOD(INT('월 가계부'!A2354/100),100),MOD(INT('월 가계부'!A2354),100)))=MOD(INT('월 가계부'!A2354/100),100),DATE(INT('월 가계부'!A2354/10000),MOD(INT('월 가계부'!A2354/100),100),MOD(INT('월 가계부'!A2354),100)),""),""),IF(AND('월 가계부'!A2354&gt;=36526,'월 가계부'!A2354&lt;73051),INT('월 가계부'!A2354),"")),IF(OR(CM2354="",CN2354="",CO2354=""),"",IF(AND(CM2354&gt;=2000,CM2354&lt;=2099,CN2354&gt;=1,CN2354&lt;=12,CO2354&gt;=1,CO2354&lt;=31),IF(MONTH(DATE(CM2354,CN2354,CO2354))=CN2354,DATE(CM2354,CN2354,CO2354),""),"")))),"")</f>
        <v/>
      </c>
      <c r="CJ2354">
        <f>IFERROR(IF('월 가계부'!C2354="","",IF(ISNUMBER('월 가계부'!C2354),'월 가계부'!C2354,VALUE(SUBSTITUTE(SUBSTITUTE(SUBSTITUTE(SUBSTITUTE(TRIM('월 가계부'!C2354),",",""),"원","")," ",""),"−","-")))),"")</f>
        <v/>
      </c>
      <c r="CK2354">
        <f>IF(ISNUMBER(CI2354),IF(CI2354&lt;$B$13,CI2354,""),"")</f>
        <v/>
      </c>
      <c r="CM2354">
        <f>IF(CH2354="","",IFERROR(IF(IF(AND(LEN(CH2354)=9,ISERROR(FIND("-",LEFT(CH2354,8))),ISNUMBER(-LEFT(CH2354,8))),VALUE(LEFT(CH2354,4)),VALUE(LEFT(CH2354,FIND("-",CH2354)-1)))&lt;100,IF(AND(LEN(CH2354)=9,ISERROR(FIND("-",LEFT(CH2354,8))),ISNUMBER(-LEFT(CH2354,8))),VALUE(LEFT(CH2354,4)),VALUE(LEFT(CH2354,FIND("-",CH2354)-1)))+2000,IF(AND(LEN(CH2354)=9,ISERROR(FIND("-",LEFT(CH2354,8))),ISNUMBER(-LEFT(CH2354,8))),VALUE(LEFT(CH2354,4)),VALUE(LEFT(CH2354,FIND("-",CH2354)-1)))),""))</f>
        <v/>
      </c>
      <c r="CN2354">
        <f>IF(CH2354="","",IFERROR(IF(AND(LEN(CH2354)=9,ISERROR(FIND("-",LEFT(CH2354,8))),ISNUMBER(-LEFT(CH2354,8))),VALUE(MID(CH2354,5,2)),VALUE(MID(CH2354,FIND("-",CH2354)+1,FIND("-",CH2354,FIND("-",CH2354)+1)-FIND("-",CH2354)-1))),""))</f>
        <v/>
      </c>
      <c r="CO2354">
        <f>IF(CH2354="","",IFERROR(IF(AND(LEN(CH2354)=9,ISERROR(FIND("-",LEFT(CH2354,8))),ISNUMBER(-LEFT(CH2354,8))),VALUE(MID(CH2354,7,2)),VALUE(MID(CH2354,FIND("-",CH2354,FIND("-",CH2354)+1)+1,FIND("-",CH2354,FIND("-",CH2354,FIND("-",CH2354)+1)+1)-FIND("-",CH2354,FIND("-",CH2354)+1)-1))),""))</f>
        <v/>
      </c>
    </row>
    <row r="2355">
      <c r="CH2355">
        <f>IF(ISTEXT('월 가계부'!A2355),SUBSTITUTE(SUBSTITUTE(SUBSTITUTE(SUBSTITUTE(SUBSTITUTE(SUBSTITUTE(SUBSTITUTE(SUBSTITUTE(SUBSTITUTE(TRIM('월 가계부'!A2355),"년","-"),"월","-"),"일",""),".","-"),"/","-")," ","-"),"--","-"),"--","-"),"--","-")&amp;"-","")</f>
        <v/>
      </c>
      <c r="CI2355">
        <f>IFERROR(IF('월 가계부'!A2355="","",IF(ISNUMBER('월 가계부'!A2355),IF(AND('월 가계부'!A2355&gt;=19000101,'월 가계부'!A2355&lt;=21001231),IF(AND(MOD(INT('월 가계부'!A2355/100),100)&gt;=1,MOD(INT('월 가계부'!A2355/100),100)&lt;=12,MOD(INT('월 가계부'!A2355),100)&gt;=1,MOD(INT('월 가계부'!A2355),100)&lt;=31),IF(MONTH(DATE(INT('월 가계부'!A2355/10000),MOD(INT('월 가계부'!A2355/100),100),MOD(INT('월 가계부'!A2355),100)))=MOD(INT('월 가계부'!A2355/100),100),DATE(INT('월 가계부'!A2355/10000),MOD(INT('월 가계부'!A2355/100),100),MOD(INT('월 가계부'!A2355),100)),""),""),IF(AND('월 가계부'!A2355&gt;=36526,'월 가계부'!A2355&lt;73051),INT('월 가계부'!A2355),"")),IF(OR(CM2355="",CN2355="",CO2355=""),"",IF(AND(CM2355&gt;=2000,CM2355&lt;=2099,CN2355&gt;=1,CN2355&lt;=12,CO2355&gt;=1,CO2355&lt;=31),IF(MONTH(DATE(CM2355,CN2355,CO2355))=CN2355,DATE(CM2355,CN2355,CO2355),""),"")))),"")</f>
        <v/>
      </c>
      <c r="CJ2355">
        <f>IFERROR(IF('월 가계부'!C2355="","",IF(ISNUMBER('월 가계부'!C2355),'월 가계부'!C2355,VALUE(SUBSTITUTE(SUBSTITUTE(SUBSTITUTE(SUBSTITUTE(TRIM('월 가계부'!C2355),",",""),"원","")," ",""),"−","-")))),"")</f>
        <v/>
      </c>
      <c r="CK2355">
        <f>IF(ISNUMBER(CI2355),IF(CI2355&lt;$B$13,CI2355,""),"")</f>
        <v/>
      </c>
      <c r="CM2355">
        <f>IF(CH2355="","",IFERROR(IF(IF(AND(LEN(CH2355)=9,ISERROR(FIND("-",LEFT(CH2355,8))),ISNUMBER(-LEFT(CH2355,8))),VALUE(LEFT(CH2355,4)),VALUE(LEFT(CH2355,FIND("-",CH2355)-1)))&lt;100,IF(AND(LEN(CH2355)=9,ISERROR(FIND("-",LEFT(CH2355,8))),ISNUMBER(-LEFT(CH2355,8))),VALUE(LEFT(CH2355,4)),VALUE(LEFT(CH2355,FIND("-",CH2355)-1)))+2000,IF(AND(LEN(CH2355)=9,ISERROR(FIND("-",LEFT(CH2355,8))),ISNUMBER(-LEFT(CH2355,8))),VALUE(LEFT(CH2355,4)),VALUE(LEFT(CH2355,FIND("-",CH2355)-1)))),""))</f>
        <v/>
      </c>
      <c r="CN2355">
        <f>IF(CH2355="","",IFERROR(IF(AND(LEN(CH2355)=9,ISERROR(FIND("-",LEFT(CH2355,8))),ISNUMBER(-LEFT(CH2355,8))),VALUE(MID(CH2355,5,2)),VALUE(MID(CH2355,FIND("-",CH2355)+1,FIND("-",CH2355,FIND("-",CH2355)+1)-FIND("-",CH2355)-1))),""))</f>
        <v/>
      </c>
      <c r="CO2355">
        <f>IF(CH2355="","",IFERROR(IF(AND(LEN(CH2355)=9,ISERROR(FIND("-",LEFT(CH2355,8))),ISNUMBER(-LEFT(CH2355,8))),VALUE(MID(CH2355,7,2)),VALUE(MID(CH2355,FIND("-",CH2355,FIND("-",CH2355)+1)+1,FIND("-",CH2355,FIND("-",CH2355,FIND("-",CH2355)+1)+1)-FIND("-",CH2355,FIND("-",CH2355)+1)-1))),""))</f>
        <v/>
      </c>
    </row>
    <row r="2356">
      <c r="CH2356">
        <f>IF(ISTEXT('월 가계부'!A2356),SUBSTITUTE(SUBSTITUTE(SUBSTITUTE(SUBSTITUTE(SUBSTITUTE(SUBSTITUTE(SUBSTITUTE(SUBSTITUTE(SUBSTITUTE(TRIM('월 가계부'!A2356),"년","-"),"월","-"),"일",""),".","-"),"/","-")," ","-"),"--","-"),"--","-"),"--","-")&amp;"-","")</f>
        <v/>
      </c>
      <c r="CI2356">
        <f>IFERROR(IF('월 가계부'!A2356="","",IF(ISNUMBER('월 가계부'!A2356),IF(AND('월 가계부'!A2356&gt;=19000101,'월 가계부'!A2356&lt;=21001231),IF(AND(MOD(INT('월 가계부'!A2356/100),100)&gt;=1,MOD(INT('월 가계부'!A2356/100),100)&lt;=12,MOD(INT('월 가계부'!A2356),100)&gt;=1,MOD(INT('월 가계부'!A2356),100)&lt;=31),IF(MONTH(DATE(INT('월 가계부'!A2356/10000),MOD(INT('월 가계부'!A2356/100),100),MOD(INT('월 가계부'!A2356),100)))=MOD(INT('월 가계부'!A2356/100),100),DATE(INT('월 가계부'!A2356/10000),MOD(INT('월 가계부'!A2356/100),100),MOD(INT('월 가계부'!A2356),100)),""),""),IF(AND('월 가계부'!A2356&gt;=36526,'월 가계부'!A2356&lt;73051),INT('월 가계부'!A2356),"")),IF(OR(CM2356="",CN2356="",CO2356=""),"",IF(AND(CM2356&gt;=2000,CM2356&lt;=2099,CN2356&gt;=1,CN2356&lt;=12,CO2356&gt;=1,CO2356&lt;=31),IF(MONTH(DATE(CM2356,CN2356,CO2356))=CN2356,DATE(CM2356,CN2356,CO2356),""),"")))),"")</f>
        <v/>
      </c>
      <c r="CJ2356">
        <f>IFERROR(IF('월 가계부'!C2356="","",IF(ISNUMBER('월 가계부'!C2356),'월 가계부'!C2356,VALUE(SUBSTITUTE(SUBSTITUTE(SUBSTITUTE(SUBSTITUTE(TRIM('월 가계부'!C2356),",",""),"원","")," ",""),"−","-")))),"")</f>
        <v/>
      </c>
      <c r="CK2356">
        <f>IF(ISNUMBER(CI2356),IF(CI2356&lt;$B$13,CI2356,""),"")</f>
        <v/>
      </c>
      <c r="CM2356">
        <f>IF(CH2356="","",IFERROR(IF(IF(AND(LEN(CH2356)=9,ISERROR(FIND("-",LEFT(CH2356,8))),ISNUMBER(-LEFT(CH2356,8))),VALUE(LEFT(CH2356,4)),VALUE(LEFT(CH2356,FIND("-",CH2356)-1)))&lt;100,IF(AND(LEN(CH2356)=9,ISERROR(FIND("-",LEFT(CH2356,8))),ISNUMBER(-LEFT(CH2356,8))),VALUE(LEFT(CH2356,4)),VALUE(LEFT(CH2356,FIND("-",CH2356)-1)))+2000,IF(AND(LEN(CH2356)=9,ISERROR(FIND("-",LEFT(CH2356,8))),ISNUMBER(-LEFT(CH2356,8))),VALUE(LEFT(CH2356,4)),VALUE(LEFT(CH2356,FIND("-",CH2356)-1)))),""))</f>
        <v/>
      </c>
      <c r="CN2356">
        <f>IF(CH2356="","",IFERROR(IF(AND(LEN(CH2356)=9,ISERROR(FIND("-",LEFT(CH2356,8))),ISNUMBER(-LEFT(CH2356,8))),VALUE(MID(CH2356,5,2)),VALUE(MID(CH2356,FIND("-",CH2356)+1,FIND("-",CH2356,FIND("-",CH2356)+1)-FIND("-",CH2356)-1))),""))</f>
        <v/>
      </c>
      <c r="CO2356">
        <f>IF(CH2356="","",IFERROR(IF(AND(LEN(CH2356)=9,ISERROR(FIND("-",LEFT(CH2356,8))),ISNUMBER(-LEFT(CH2356,8))),VALUE(MID(CH2356,7,2)),VALUE(MID(CH2356,FIND("-",CH2356,FIND("-",CH2356)+1)+1,FIND("-",CH2356,FIND("-",CH2356,FIND("-",CH2356)+1)+1)-FIND("-",CH2356,FIND("-",CH2356)+1)-1))),""))</f>
        <v/>
      </c>
    </row>
    <row r="2357">
      <c r="CH2357">
        <f>IF(ISTEXT('월 가계부'!A2357),SUBSTITUTE(SUBSTITUTE(SUBSTITUTE(SUBSTITUTE(SUBSTITUTE(SUBSTITUTE(SUBSTITUTE(SUBSTITUTE(SUBSTITUTE(TRIM('월 가계부'!A2357),"년","-"),"월","-"),"일",""),".","-"),"/","-")," ","-"),"--","-"),"--","-"),"--","-")&amp;"-","")</f>
        <v/>
      </c>
      <c r="CI2357">
        <f>IFERROR(IF('월 가계부'!A2357="","",IF(ISNUMBER('월 가계부'!A2357),IF(AND('월 가계부'!A2357&gt;=19000101,'월 가계부'!A2357&lt;=21001231),IF(AND(MOD(INT('월 가계부'!A2357/100),100)&gt;=1,MOD(INT('월 가계부'!A2357/100),100)&lt;=12,MOD(INT('월 가계부'!A2357),100)&gt;=1,MOD(INT('월 가계부'!A2357),100)&lt;=31),IF(MONTH(DATE(INT('월 가계부'!A2357/10000),MOD(INT('월 가계부'!A2357/100),100),MOD(INT('월 가계부'!A2357),100)))=MOD(INT('월 가계부'!A2357/100),100),DATE(INT('월 가계부'!A2357/10000),MOD(INT('월 가계부'!A2357/100),100),MOD(INT('월 가계부'!A2357),100)),""),""),IF(AND('월 가계부'!A2357&gt;=36526,'월 가계부'!A2357&lt;73051),INT('월 가계부'!A2357),"")),IF(OR(CM2357="",CN2357="",CO2357=""),"",IF(AND(CM2357&gt;=2000,CM2357&lt;=2099,CN2357&gt;=1,CN2357&lt;=12,CO2357&gt;=1,CO2357&lt;=31),IF(MONTH(DATE(CM2357,CN2357,CO2357))=CN2357,DATE(CM2357,CN2357,CO2357),""),"")))),"")</f>
        <v/>
      </c>
      <c r="CJ2357">
        <f>IFERROR(IF('월 가계부'!C2357="","",IF(ISNUMBER('월 가계부'!C2357),'월 가계부'!C2357,VALUE(SUBSTITUTE(SUBSTITUTE(SUBSTITUTE(SUBSTITUTE(TRIM('월 가계부'!C2357),",",""),"원","")," ",""),"−","-")))),"")</f>
        <v/>
      </c>
      <c r="CK2357">
        <f>IF(ISNUMBER(CI2357),IF(CI2357&lt;$B$13,CI2357,""),"")</f>
        <v/>
      </c>
      <c r="CM2357">
        <f>IF(CH2357="","",IFERROR(IF(IF(AND(LEN(CH2357)=9,ISERROR(FIND("-",LEFT(CH2357,8))),ISNUMBER(-LEFT(CH2357,8))),VALUE(LEFT(CH2357,4)),VALUE(LEFT(CH2357,FIND("-",CH2357)-1)))&lt;100,IF(AND(LEN(CH2357)=9,ISERROR(FIND("-",LEFT(CH2357,8))),ISNUMBER(-LEFT(CH2357,8))),VALUE(LEFT(CH2357,4)),VALUE(LEFT(CH2357,FIND("-",CH2357)-1)))+2000,IF(AND(LEN(CH2357)=9,ISERROR(FIND("-",LEFT(CH2357,8))),ISNUMBER(-LEFT(CH2357,8))),VALUE(LEFT(CH2357,4)),VALUE(LEFT(CH2357,FIND("-",CH2357)-1)))),""))</f>
        <v/>
      </c>
      <c r="CN2357">
        <f>IF(CH2357="","",IFERROR(IF(AND(LEN(CH2357)=9,ISERROR(FIND("-",LEFT(CH2357,8))),ISNUMBER(-LEFT(CH2357,8))),VALUE(MID(CH2357,5,2)),VALUE(MID(CH2357,FIND("-",CH2357)+1,FIND("-",CH2357,FIND("-",CH2357)+1)-FIND("-",CH2357)-1))),""))</f>
        <v/>
      </c>
      <c r="CO2357">
        <f>IF(CH2357="","",IFERROR(IF(AND(LEN(CH2357)=9,ISERROR(FIND("-",LEFT(CH2357,8))),ISNUMBER(-LEFT(CH2357,8))),VALUE(MID(CH2357,7,2)),VALUE(MID(CH2357,FIND("-",CH2357,FIND("-",CH2357)+1)+1,FIND("-",CH2357,FIND("-",CH2357,FIND("-",CH2357)+1)+1)-FIND("-",CH2357,FIND("-",CH2357)+1)-1))),""))</f>
        <v/>
      </c>
    </row>
    <row r="2358">
      <c r="CH2358">
        <f>IF(ISTEXT('월 가계부'!A2358),SUBSTITUTE(SUBSTITUTE(SUBSTITUTE(SUBSTITUTE(SUBSTITUTE(SUBSTITUTE(SUBSTITUTE(SUBSTITUTE(SUBSTITUTE(TRIM('월 가계부'!A2358),"년","-"),"월","-"),"일",""),".","-"),"/","-")," ","-"),"--","-"),"--","-"),"--","-")&amp;"-","")</f>
        <v/>
      </c>
      <c r="CI2358">
        <f>IFERROR(IF('월 가계부'!A2358="","",IF(ISNUMBER('월 가계부'!A2358),IF(AND('월 가계부'!A2358&gt;=19000101,'월 가계부'!A2358&lt;=21001231),IF(AND(MOD(INT('월 가계부'!A2358/100),100)&gt;=1,MOD(INT('월 가계부'!A2358/100),100)&lt;=12,MOD(INT('월 가계부'!A2358),100)&gt;=1,MOD(INT('월 가계부'!A2358),100)&lt;=31),IF(MONTH(DATE(INT('월 가계부'!A2358/10000),MOD(INT('월 가계부'!A2358/100),100),MOD(INT('월 가계부'!A2358),100)))=MOD(INT('월 가계부'!A2358/100),100),DATE(INT('월 가계부'!A2358/10000),MOD(INT('월 가계부'!A2358/100),100),MOD(INT('월 가계부'!A2358),100)),""),""),IF(AND('월 가계부'!A2358&gt;=36526,'월 가계부'!A2358&lt;73051),INT('월 가계부'!A2358),"")),IF(OR(CM2358="",CN2358="",CO2358=""),"",IF(AND(CM2358&gt;=2000,CM2358&lt;=2099,CN2358&gt;=1,CN2358&lt;=12,CO2358&gt;=1,CO2358&lt;=31),IF(MONTH(DATE(CM2358,CN2358,CO2358))=CN2358,DATE(CM2358,CN2358,CO2358),""),"")))),"")</f>
        <v/>
      </c>
      <c r="CJ2358">
        <f>IFERROR(IF('월 가계부'!C2358="","",IF(ISNUMBER('월 가계부'!C2358),'월 가계부'!C2358,VALUE(SUBSTITUTE(SUBSTITUTE(SUBSTITUTE(SUBSTITUTE(TRIM('월 가계부'!C2358),",",""),"원","")," ",""),"−","-")))),"")</f>
        <v/>
      </c>
      <c r="CK2358">
        <f>IF(ISNUMBER(CI2358),IF(CI2358&lt;$B$13,CI2358,""),"")</f>
        <v/>
      </c>
      <c r="CM2358">
        <f>IF(CH2358="","",IFERROR(IF(IF(AND(LEN(CH2358)=9,ISERROR(FIND("-",LEFT(CH2358,8))),ISNUMBER(-LEFT(CH2358,8))),VALUE(LEFT(CH2358,4)),VALUE(LEFT(CH2358,FIND("-",CH2358)-1)))&lt;100,IF(AND(LEN(CH2358)=9,ISERROR(FIND("-",LEFT(CH2358,8))),ISNUMBER(-LEFT(CH2358,8))),VALUE(LEFT(CH2358,4)),VALUE(LEFT(CH2358,FIND("-",CH2358)-1)))+2000,IF(AND(LEN(CH2358)=9,ISERROR(FIND("-",LEFT(CH2358,8))),ISNUMBER(-LEFT(CH2358,8))),VALUE(LEFT(CH2358,4)),VALUE(LEFT(CH2358,FIND("-",CH2358)-1)))),""))</f>
        <v/>
      </c>
      <c r="CN2358">
        <f>IF(CH2358="","",IFERROR(IF(AND(LEN(CH2358)=9,ISERROR(FIND("-",LEFT(CH2358,8))),ISNUMBER(-LEFT(CH2358,8))),VALUE(MID(CH2358,5,2)),VALUE(MID(CH2358,FIND("-",CH2358)+1,FIND("-",CH2358,FIND("-",CH2358)+1)-FIND("-",CH2358)-1))),""))</f>
        <v/>
      </c>
      <c r="CO2358">
        <f>IF(CH2358="","",IFERROR(IF(AND(LEN(CH2358)=9,ISERROR(FIND("-",LEFT(CH2358,8))),ISNUMBER(-LEFT(CH2358,8))),VALUE(MID(CH2358,7,2)),VALUE(MID(CH2358,FIND("-",CH2358,FIND("-",CH2358)+1)+1,FIND("-",CH2358,FIND("-",CH2358,FIND("-",CH2358)+1)+1)-FIND("-",CH2358,FIND("-",CH2358)+1)-1))),""))</f>
        <v/>
      </c>
    </row>
    <row r="2359">
      <c r="CH2359">
        <f>IF(ISTEXT('월 가계부'!A2359),SUBSTITUTE(SUBSTITUTE(SUBSTITUTE(SUBSTITUTE(SUBSTITUTE(SUBSTITUTE(SUBSTITUTE(SUBSTITUTE(SUBSTITUTE(TRIM('월 가계부'!A2359),"년","-"),"월","-"),"일",""),".","-"),"/","-")," ","-"),"--","-"),"--","-"),"--","-")&amp;"-","")</f>
        <v/>
      </c>
      <c r="CI2359">
        <f>IFERROR(IF('월 가계부'!A2359="","",IF(ISNUMBER('월 가계부'!A2359),IF(AND('월 가계부'!A2359&gt;=19000101,'월 가계부'!A2359&lt;=21001231),IF(AND(MOD(INT('월 가계부'!A2359/100),100)&gt;=1,MOD(INT('월 가계부'!A2359/100),100)&lt;=12,MOD(INT('월 가계부'!A2359),100)&gt;=1,MOD(INT('월 가계부'!A2359),100)&lt;=31),IF(MONTH(DATE(INT('월 가계부'!A2359/10000),MOD(INT('월 가계부'!A2359/100),100),MOD(INT('월 가계부'!A2359),100)))=MOD(INT('월 가계부'!A2359/100),100),DATE(INT('월 가계부'!A2359/10000),MOD(INT('월 가계부'!A2359/100),100),MOD(INT('월 가계부'!A2359),100)),""),""),IF(AND('월 가계부'!A2359&gt;=36526,'월 가계부'!A2359&lt;73051),INT('월 가계부'!A2359),"")),IF(OR(CM2359="",CN2359="",CO2359=""),"",IF(AND(CM2359&gt;=2000,CM2359&lt;=2099,CN2359&gt;=1,CN2359&lt;=12,CO2359&gt;=1,CO2359&lt;=31),IF(MONTH(DATE(CM2359,CN2359,CO2359))=CN2359,DATE(CM2359,CN2359,CO2359),""),"")))),"")</f>
        <v/>
      </c>
      <c r="CJ2359">
        <f>IFERROR(IF('월 가계부'!C2359="","",IF(ISNUMBER('월 가계부'!C2359),'월 가계부'!C2359,VALUE(SUBSTITUTE(SUBSTITUTE(SUBSTITUTE(SUBSTITUTE(TRIM('월 가계부'!C2359),",",""),"원","")," ",""),"−","-")))),"")</f>
        <v/>
      </c>
      <c r="CK2359">
        <f>IF(ISNUMBER(CI2359),IF(CI2359&lt;$B$13,CI2359,""),"")</f>
        <v/>
      </c>
      <c r="CM2359">
        <f>IF(CH2359="","",IFERROR(IF(IF(AND(LEN(CH2359)=9,ISERROR(FIND("-",LEFT(CH2359,8))),ISNUMBER(-LEFT(CH2359,8))),VALUE(LEFT(CH2359,4)),VALUE(LEFT(CH2359,FIND("-",CH2359)-1)))&lt;100,IF(AND(LEN(CH2359)=9,ISERROR(FIND("-",LEFT(CH2359,8))),ISNUMBER(-LEFT(CH2359,8))),VALUE(LEFT(CH2359,4)),VALUE(LEFT(CH2359,FIND("-",CH2359)-1)))+2000,IF(AND(LEN(CH2359)=9,ISERROR(FIND("-",LEFT(CH2359,8))),ISNUMBER(-LEFT(CH2359,8))),VALUE(LEFT(CH2359,4)),VALUE(LEFT(CH2359,FIND("-",CH2359)-1)))),""))</f>
        <v/>
      </c>
      <c r="CN2359">
        <f>IF(CH2359="","",IFERROR(IF(AND(LEN(CH2359)=9,ISERROR(FIND("-",LEFT(CH2359,8))),ISNUMBER(-LEFT(CH2359,8))),VALUE(MID(CH2359,5,2)),VALUE(MID(CH2359,FIND("-",CH2359)+1,FIND("-",CH2359,FIND("-",CH2359)+1)-FIND("-",CH2359)-1))),""))</f>
        <v/>
      </c>
      <c r="CO2359">
        <f>IF(CH2359="","",IFERROR(IF(AND(LEN(CH2359)=9,ISERROR(FIND("-",LEFT(CH2359,8))),ISNUMBER(-LEFT(CH2359,8))),VALUE(MID(CH2359,7,2)),VALUE(MID(CH2359,FIND("-",CH2359,FIND("-",CH2359)+1)+1,FIND("-",CH2359,FIND("-",CH2359,FIND("-",CH2359)+1)+1)-FIND("-",CH2359,FIND("-",CH2359)+1)-1))),""))</f>
        <v/>
      </c>
    </row>
    <row r="2360">
      <c r="CH2360">
        <f>IF(ISTEXT('월 가계부'!A2360),SUBSTITUTE(SUBSTITUTE(SUBSTITUTE(SUBSTITUTE(SUBSTITUTE(SUBSTITUTE(SUBSTITUTE(SUBSTITUTE(SUBSTITUTE(TRIM('월 가계부'!A2360),"년","-"),"월","-"),"일",""),".","-"),"/","-")," ","-"),"--","-"),"--","-"),"--","-")&amp;"-","")</f>
        <v/>
      </c>
      <c r="CI2360">
        <f>IFERROR(IF('월 가계부'!A2360="","",IF(ISNUMBER('월 가계부'!A2360),IF(AND('월 가계부'!A2360&gt;=19000101,'월 가계부'!A2360&lt;=21001231),IF(AND(MOD(INT('월 가계부'!A2360/100),100)&gt;=1,MOD(INT('월 가계부'!A2360/100),100)&lt;=12,MOD(INT('월 가계부'!A2360),100)&gt;=1,MOD(INT('월 가계부'!A2360),100)&lt;=31),IF(MONTH(DATE(INT('월 가계부'!A2360/10000),MOD(INT('월 가계부'!A2360/100),100),MOD(INT('월 가계부'!A2360),100)))=MOD(INT('월 가계부'!A2360/100),100),DATE(INT('월 가계부'!A2360/10000),MOD(INT('월 가계부'!A2360/100),100),MOD(INT('월 가계부'!A2360),100)),""),""),IF(AND('월 가계부'!A2360&gt;=36526,'월 가계부'!A2360&lt;73051),INT('월 가계부'!A2360),"")),IF(OR(CM2360="",CN2360="",CO2360=""),"",IF(AND(CM2360&gt;=2000,CM2360&lt;=2099,CN2360&gt;=1,CN2360&lt;=12,CO2360&gt;=1,CO2360&lt;=31),IF(MONTH(DATE(CM2360,CN2360,CO2360))=CN2360,DATE(CM2360,CN2360,CO2360),""),"")))),"")</f>
        <v/>
      </c>
      <c r="CJ2360">
        <f>IFERROR(IF('월 가계부'!C2360="","",IF(ISNUMBER('월 가계부'!C2360),'월 가계부'!C2360,VALUE(SUBSTITUTE(SUBSTITUTE(SUBSTITUTE(SUBSTITUTE(TRIM('월 가계부'!C2360),",",""),"원","")," ",""),"−","-")))),"")</f>
        <v/>
      </c>
      <c r="CK2360">
        <f>IF(ISNUMBER(CI2360),IF(CI2360&lt;$B$13,CI2360,""),"")</f>
        <v/>
      </c>
      <c r="CM2360">
        <f>IF(CH2360="","",IFERROR(IF(IF(AND(LEN(CH2360)=9,ISERROR(FIND("-",LEFT(CH2360,8))),ISNUMBER(-LEFT(CH2360,8))),VALUE(LEFT(CH2360,4)),VALUE(LEFT(CH2360,FIND("-",CH2360)-1)))&lt;100,IF(AND(LEN(CH2360)=9,ISERROR(FIND("-",LEFT(CH2360,8))),ISNUMBER(-LEFT(CH2360,8))),VALUE(LEFT(CH2360,4)),VALUE(LEFT(CH2360,FIND("-",CH2360)-1)))+2000,IF(AND(LEN(CH2360)=9,ISERROR(FIND("-",LEFT(CH2360,8))),ISNUMBER(-LEFT(CH2360,8))),VALUE(LEFT(CH2360,4)),VALUE(LEFT(CH2360,FIND("-",CH2360)-1)))),""))</f>
        <v/>
      </c>
      <c r="CN2360">
        <f>IF(CH2360="","",IFERROR(IF(AND(LEN(CH2360)=9,ISERROR(FIND("-",LEFT(CH2360,8))),ISNUMBER(-LEFT(CH2360,8))),VALUE(MID(CH2360,5,2)),VALUE(MID(CH2360,FIND("-",CH2360)+1,FIND("-",CH2360,FIND("-",CH2360)+1)-FIND("-",CH2360)-1))),""))</f>
        <v/>
      </c>
      <c r="CO2360">
        <f>IF(CH2360="","",IFERROR(IF(AND(LEN(CH2360)=9,ISERROR(FIND("-",LEFT(CH2360,8))),ISNUMBER(-LEFT(CH2360,8))),VALUE(MID(CH2360,7,2)),VALUE(MID(CH2360,FIND("-",CH2360,FIND("-",CH2360)+1)+1,FIND("-",CH2360,FIND("-",CH2360,FIND("-",CH2360)+1)+1)-FIND("-",CH2360,FIND("-",CH2360)+1)-1))),""))</f>
        <v/>
      </c>
    </row>
    <row r="2361">
      <c r="CH2361">
        <f>IF(ISTEXT('월 가계부'!A2361),SUBSTITUTE(SUBSTITUTE(SUBSTITUTE(SUBSTITUTE(SUBSTITUTE(SUBSTITUTE(SUBSTITUTE(SUBSTITUTE(SUBSTITUTE(TRIM('월 가계부'!A2361),"년","-"),"월","-"),"일",""),".","-"),"/","-")," ","-"),"--","-"),"--","-"),"--","-")&amp;"-","")</f>
        <v/>
      </c>
      <c r="CI2361">
        <f>IFERROR(IF('월 가계부'!A2361="","",IF(ISNUMBER('월 가계부'!A2361),IF(AND('월 가계부'!A2361&gt;=19000101,'월 가계부'!A2361&lt;=21001231),IF(AND(MOD(INT('월 가계부'!A2361/100),100)&gt;=1,MOD(INT('월 가계부'!A2361/100),100)&lt;=12,MOD(INT('월 가계부'!A2361),100)&gt;=1,MOD(INT('월 가계부'!A2361),100)&lt;=31),IF(MONTH(DATE(INT('월 가계부'!A2361/10000),MOD(INT('월 가계부'!A2361/100),100),MOD(INT('월 가계부'!A2361),100)))=MOD(INT('월 가계부'!A2361/100),100),DATE(INT('월 가계부'!A2361/10000),MOD(INT('월 가계부'!A2361/100),100),MOD(INT('월 가계부'!A2361),100)),""),""),IF(AND('월 가계부'!A2361&gt;=36526,'월 가계부'!A2361&lt;73051),INT('월 가계부'!A2361),"")),IF(OR(CM2361="",CN2361="",CO2361=""),"",IF(AND(CM2361&gt;=2000,CM2361&lt;=2099,CN2361&gt;=1,CN2361&lt;=12,CO2361&gt;=1,CO2361&lt;=31),IF(MONTH(DATE(CM2361,CN2361,CO2361))=CN2361,DATE(CM2361,CN2361,CO2361),""),"")))),"")</f>
        <v/>
      </c>
      <c r="CJ2361">
        <f>IFERROR(IF('월 가계부'!C2361="","",IF(ISNUMBER('월 가계부'!C2361),'월 가계부'!C2361,VALUE(SUBSTITUTE(SUBSTITUTE(SUBSTITUTE(SUBSTITUTE(TRIM('월 가계부'!C2361),",",""),"원","")," ",""),"−","-")))),"")</f>
        <v/>
      </c>
      <c r="CK2361">
        <f>IF(ISNUMBER(CI2361),IF(CI2361&lt;$B$13,CI2361,""),"")</f>
        <v/>
      </c>
      <c r="CM2361">
        <f>IF(CH2361="","",IFERROR(IF(IF(AND(LEN(CH2361)=9,ISERROR(FIND("-",LEFT(CH2361,8))),ISNUMBER(-LEFT(CH2361,8))),VALUE(LEFT(CH2361,4)),VALUE(LEFT(CH2361,FIND("-",CH2361)-1)))&lt;100,IF(AND(LEN(CH2361)=9,ISERROR(FIND("-",LEFT(CH2361,8))),ISNUMBER(-LEFT(CH2361,8))),VALUE(LEFT(CH2361,4)),VALUE(LEFT(CH2361,FIND("-",CH2361)-1)))+2000,IF(AND(LEN(CH2361)=9,ISERROR(FIND("-",LEFT(CH2361,8))),ISNUMBER(-LEFT(CH2361,8))),VALUE(LEFT(CH2361,4)),VALUE(LEFT(CH2361,FIND("-",CH2361)-1)))),""))</f>
        <v/>
      </c>
      <c r="CN2361">
        <f>IF(CH2361="","",IFERROR(IF(AND(LEN(CH2361)=9,ISERROR(FIND("-",LEFT(CH2361,8))),ISNUMBER(-LEFT(CH2361,8))),VALUE(MID(CH2361,5,2)),VALUE(MID(CH2361,FIND("-",CH2361)+1,FIND("-",CH2361,FIND("-",CH2361)+1)-FIND("-",CH2361)-1))),""))</f>
        <v/>
      </c>
      <c r="CO2361">
        <f>IF(CH2361="","",IFERROR(IF(AND(LEN(CH2361)=9,ISERROR(FIND("-",LEFT(CH2361,8))),ISNUMBER(-LEFT(CH2361,8))),VALUE(MID(CH2361,7,2)),VALUE(MID(CH2361,FIND("-",CH2361,FIND("-",CH2361)+1)+1,FIND("-",CH2361,FIND("-",CH2361,FIND("-",CH2361)+1)+1)-FIND("-",CH2361,FIND("-",CH2361)+1)-1))),""))</f>
        <v/>
      </c>
    </row>
    <row r="2362">
      <c r="CH2362">
        <f>IF(ISTEXT('월 가계부'!A2362),SUBSTITUTE(SUBSTITUTE(SUBSTITUTE(SUBSTITUTE(SUBSTITUTE(SUBSTITUTE(SUBSTITUTE(SUBSTITUTE(SUBSTITUTE(TRIM('월 가계부'!A2362),"년","-"),"월","-"),"일",""),".","-"),"/","-")," ","-"),"--","-"),"--","-"),"--","-")&amp;"-","")</f>
        <v/>
      </c>
      <c r="CI2362">
        <f>IFERROR(IF('월 가계부'!A2362="","",IF(ISNUMBER('월 가계부'!A2362),IF(AND('월 가계부'!A2362&gt;=19000101,'월 가계부'!A2362&lt;=21001231),IF(AND(MOD(INT('월 가계부'!A2362/100),100)&gt;=1,MOD(INT('월 가계부'!A2362/100),100)&lt;=12,MOD(INT('월 가계부'!A2362),100)&gt;=1,MOD(INT('월 가계부'!A2362),100)&lt;=31),IF(MONTH(DATE(INT('월 가계부'!A2362/10000),MOD(INT('월 가계부'!A2362/100),100),MOD(INT('월 가계부'!A2362),100)))=MOD(INT('월 가계부'!A2362/100),100),DATE(INT('월 가계부'!A2362/10000),MOD(INT('월 가계부'!A2362/100),100),MOD(INT('월 가계부'!A2362),100)),""),""),IF(AND('월 가계부'!A2362&gt;=36526,'월 가계부'!A2362&lt;73051),INT('월 가계부'!A2362),"")),IF(OR(CM2362="",CN2362="",CO2362=""),"",IF(AND(CM2362&gt;=2000,CM2362&lt;=2099,CN2362&gt;=1,CN2362&lt;=12,CO2362&gt;=1,CO2362&lt;=31),IF(MONTH(DATE(CM2362,CN2362,CO2362))=CN2362,DATE(CM2362,CN2362,CO2362),""),"")))),"")</f>
        <v/>
      </c>
      <c r="CJ2362">
        <f>IFERROR(IF('월 가계부'!C2362="","",IF(ISNUMBER('월 가계부'!C2362),'월 가계부'!C2362,VALUE(SUBSTITUTE(SUBSTITUTE(SUBSTITUTE(SUBSTITUTE(TRIM('월 가계부'!C2362),",",""),"원","")," ",""),"−","-")))),"")</f>
        <v/>
      </c>
      <c r="CK2362">
        <f>IF(ISNUMBER(CI2362),IF(CI2362&lt;$B$13,CI2362,""),"")</f>
        <v/>
      </c>
      <c r="CM2362">
        <f>IF(CH2362="","",IFERROR(IF(IF(AND(LEN(CH2362)=9,ISERROR(FIND("-",LEFT(CH2362,8))),ISNUMBER(-LEFT(CH2362,8))),VALUE(LEFT(CH2362,4)),VALUE(LEFT(CH2362,FIND("-",CH2362)-1)))&lt;100,IF(AND(LEN(CH2362)=9,ISERROR(FIND("-",LEFT(CH2362,8))),ISNUMBER(-LEFT(CH2362,8))),VALUE(LEFT(CH2362,4)),VALUE(LEFT(CH2362,FIND("-",CH2362)-1)))+2000,IF(AND(LEN(CH2362)=9,ISERROR(FIND("-",LEFT(CH2362,8))),ISNUMBER(-LEFT(CH2362,8))),VALUE(LEFT(CH2362,4)),VALUE(LEFT(CH2362,FIND("-",CH2362)-1)))),""))</f>
        <v/>
      </c>
      <c r="CN2362">
        <f>IF(CH2362="","",IFERROR(IF(AND(LEN(CH2362)=9,ISERROR(FIND("-",LEFT(CH2362,8))),ISNUMBER(-LEFT(CH2362,8))),VALUE(MID(CH2362,5,2)),VALUE(MID(CH2362,FIND("-",CH2362)+1,FIND("-",CH2362,FIND("-",CH2362)+1)-FIND("-",CH2362)-1))),""))</f>
        <v/>
      </c>
      <c r="CO2362">
        <f>IF(CH2362="","",IFERROR(IF(AND(LEN(CH2362)=9,ISERROR(FIND("-",LEFT(CH2362,8))),ISNUMBER(-LEFT(CH2362,8))),VALUE(MID(CH2362,7,2)),VALUE(MID(CH2362,FIND("-",CH2362,FIND("-",CH2362)+1)+1,FIND("-",CH2362,FIND("-",CH2362,FIND("-",CH2362)+1)+1)-FIND("-",CH2362,FIND("-",CH2362)+1)-1))),""))</f>
        <v/>
      </c>
    </row>
    <row r="2363">
      <c r="CH2363">
        <f>IF(ISTEXT('월 가계부'!A2363),SUBSTITUTE(SUBSTITUTE(SUBSTITUTE(SUBSTITUTE(SUBSTITUTE(SUBSTITUTE(SUBSTITUTE(SUBSTITUTE(SUBSTITUTE(TRIM('월 가계부'!A2363),"년","-"),"월","-"),"일",""),".","-"),"/","-")," ","-"),"--","-"),"--","-"),"--","-")&amp;"-","")</f>
        <v/>
      </c>
      <c r="CI2363">
        <f>IFERROR(IF('월 가계부'!A2363="","",IF(ISNUMBER('월 가계부'!A2363),IF(AND('월 가계부'!A2363&gt;=19000101,'월 가계부'!A2363&lt;=21001231),IF(AND(MOD(INT('월 가계부'!A2363/100),100)&gt;=1,MOD(INT('월 가계부'!A2363/100),100)&lt;=12,MOD(INT('월 가계부'!A2363),100)&gt;=1,MOD(INT('월 가계부'!A2363),100)&lt;=31),IF(MONTH(DATE(INT('월 가계부'!A2363/10000),MOD(INT('월 가계부'!A2363/100),100),MOD(INT('월 가계부'!A2363),100)))=MOD(INT('월 가계부'!A2363/100),100),DATE(INT('월 가계부'!A2363/10000),MOD(INT('월 가계부'!A2363/100),100),MOD(INT('월 가계부'!A2363),100)),""),""),IF(AND('월 가계부'!A2363&gt;=36526,'월 가계부'!A2363&lt;73051),INT('월 가계부'!A2363),"")),IF(OR(CM2363="",CN2363="",CO2363=""),"",IF(AND(CM2363&gt;=2000,CM2363&lt;=2099,CN2363&gt;=1,CN2363&lt;=12,CO2363&gt;=1,CO2363&lt;=31),IF(MONTH(DATE(CM2363,CN2363,CO2363))=CN2363,DATE(CM2363,CN2363,CO2363),""),"")))),"")</f>
        <v/>
      </c>
      <c r="CJ2363">
        <f>IFERROR(IF('월 가계부'!C2363="","",IF(ISNUMBER('월 가계부'!C2363),'월 가계부'!C2363,VALUE(SUBSTITUTE(SUBSTITUTE(SUBSTITUTE(SUBSTITUTE(TRIM('월 가계부'!C2363),",",""),"원","")," ",""),"−","-")))),"")</f>
        <v/>
      </c>
      <c r="CK2363">
        <f>IF(ISNUMBER(CI2363),IF(CI2363&lt;$B$13,CI2363,""),"")</f>
        <v/>
      </c>
      <c r="CM2363">
        <f>IF(CH2363="","",IFERROR(IF(IF(AND(LEN(CH2363)=9,ISERROR(FIND("-",LEFT(CH2363,8))),ISNUMBER(-LEFT(CH2363,8))),VALUE(LEFT(CH2363,4)),VALUE(LEFT(CH2363,FIND("-",CH2363)-1)))&lt;100,IF(AND(LEN(CH2363)=9,ISERROR(FIND("-",LEFT(CH2363,8))),ISNUMBER(-LEFT(CH2363,8))),VALUE(LEFT(CH2363,4)),VALUE(LEFT(CH2363,FIND("-",CH2363)-1)))+2000,IF(AND(LEN(CH2363)=9,ISERROR(FIND("-",LEFT(CH2363,8))),ISNUMBER(-LEFT(CH2363,8))),VALUE(LEFT(CH2363,4)),VALUE(LEFT(CH2363,FIND("-",CH2363)-1)))),""))</f>
        <v/>
      </c>
      <c r="CN2363">
        <f>IF(CH2363="","",IFERROR(IF(AND(LEN(CH2363)=9,ISERROR(FIND("-",LEFT(CH2363,8))),ISNUMBER(-LEFT(CH2363,8))),VALUE(MID(CH2363,5,2)),VALUE(MID(CH2363,FIND("-",CH2363)+1,FIND("-",CH2363,FIND("-",CH2363)+1)-FIND("-",CH2363)-1))),""))</f>
        <v/>
      </c>
      <c r="CO2363">
        <f>IF(CH2363="","",IFERROR(IF(AND(LEN(CH2363)=9,ISERROR(FIND("-",LEFT(CH2363,8))),ISNUMBER(-LEFT(CH2363,8))),VALUE(MID(CH2363,7,2)),VALUE(MID(CH2363,FIND("-",CH2363,FIND("-",CH2363)+1)+1,FIND("-",CH2363,FIND("-",CH2363,FIND("-",CH2363)+1)+1)-FIND("-",CH2363,FIND("-",CH2363)+1)-1))),""))</f>
        <v/>
      </c>
    </row>
    <row r="2364">
      <c r="CH2364">
        <f>IF(ISTEXT('월 가계부'!A2364),SUBSTITUTE(SUBSTITUTE(SUBSTITUTE(SUBSTITUTE(SUBSTITUTE(SUBSTITUTE(SUBSTITUTE(SUBSTITUTE(SUBSTITUTE(TRIM('월 가계부'!A2364),"년","-"),"월","-"),"일",""),".","-"),"/","-")," ","-"),"--","-"),"--","-"),"--","-")&amp;"-","")</f>
        <v/>
      </c>
      <c r="CI2364">
        <f>IFERROR(IF('월 가계부'!A2364="","",IF(ISNUMBER('월 가계부'!A2364),IF(AND('월 가계부'!A2364&gt;=19000101,'월 가계부'!A2364&lt;=21001231),IF(AND(MOD(INT('월 가계부'!A2364/100),100)&gt;=1,MOD(INT('월 가계부'!A2364/100),100)&lt;=12,MOD(INT('월 가계부'!A2364),100)&gt;=1,MOD(INT('월 가계부'!A2364),100)&lt;=31),IF(MONTH(DATE(INT('월 가계부'!A2364/10000),MOD(INT('월 가계부'!A2364/100),100),MOD(INT('월 가계부'!A2364),100)))=MOD(INT('월 가계부'!A2364/100),100),DATE(INT('월 가계부'!A2364/10000),MOD(INT('월 가계부'!A2364/100),100),MOD(INT('월 가계부'!A2364),100)),""),""),IF(AND('월 가계부'!A2364&gt;=36526,'월 가계부'!A2364&lt;73051),INT('월 가계부'!A2364),"")),IF(OR(CM2364="",CN2364="",CO2364=""),"",IF(AND(CM2364&gt;=2000,CM2364&lt;=2099,CN2364&gt;=1,CN2364&lt;=12,CO2364&gt;=1,CO2364&lt;=31),IF(MONTH(DATE(CM2364,CN2364,CO2364))=CN2364,DATE(CM2364,CN2364,CO2364),""),"")))),"")</f>
        <v/>
      </c>
      <c r="CJ2364">
        <f>IFERROR(IF('월 가계부'!C2364="","",IF(ISNUMBER('월 가계부'!C2364),'월 가계부'!C2364,VALUE(SUBSTITUTE(SUBSTITUTE(SUBSTITUTE(SUBSTITUTE(TRIM('월 가계부'!C2364),",",""),"원","")," ",""),"−","-")))),"")</f>
        <v/>
      </c>
      <c r="CK2364">
        <f>IF(ISNUMBER(CI2364),IF(CI2364&lt;$B$13,CI2364,""),"")</f>
        <v/>
      </c>
      <c r="CM2364">
        <f>IF(CH2364="","",IFERROR(IF(IF(AND(LEN(CH2364)=9,ISERROR(FIND("-",LEFT(CH2364,8))),ISNUMBER(-LEFT(CH2364,8))),VALUE(LEFT(CH2364,4)),VALUE(LEFT(CH2364,FIND("-",CH2364)-1)))&lt;100,IF(AND(LEN(CH2364)=9,ISERROR(FIND("-",LEFT(CH2364,8))),ISNUMBER(-LEFT(CH2364,8))),VALUE(LEFT(CH2364,4)),VALUE(LEFT(CH2364,FIND("-",CH2364)-1)))+2000,IF(AND(LEN(CH2364)=9,ISERROR(FIND("-",LEFT(CH2364,8))),ISNUMBER(-LEFT(CH2364,8))),VALUE(LEFT(CH2364,4)),VALUE(LEFT(CH2364,FIND("-",CH2364)-1)))),""))</f>
        <v/>
      </c>
      <c r="CN2364">
        <f>IF(CH2364="","",IFERROR(IF(AND(LEN(CH2364)=9,ISERROR(FIND("-",LEFT(CH2364,8))),ISNUMBER(-LEFT(CH2364,8))),VALUE(MID(CH2364,5,2)),VALUE(MID(CH2364,FIND("-",CH2364)+1,FIND("-",CH2364,FIND("-",CH2364)+1)-FIND("-",CH2364)-1))),""))</f>
        <v/>
      </c>
      <c r="CO2364">
        <f>IF(CH2364="","",IFERROR(IF(AND(LEN(CH2364)=9,ISERROR(FIND("-",LEFT(CH2364,8))),ISNUMBER(-LEFT(CH2364,8))),VALUE(MID(CH2364,7,2)),VALUE(MID(CH2364,FIND("-",CH2364,FIND("-",CH2364)+1)+1,FIND("-",CH2364,FIND("-",CH2364,FIND("-",CH2364)+1)+1)-FIND("-",CH2364,FIND("-",CH2364)+1)-1))),""))</f>
        <v/>
      </c>
    </row>
    <row r="2365">
      <c r="CH2365">
        <f>IF(ISTEXT('월 가계부'!A2365),SUBSTITUTE(SUBSTITUTE(SUBSTITUTE(SUBSTITUTE(SUBSTITUTE(SUBSTITUTE(SUBSTITUTE(SUBSTITUTE(SUBSTITUTE(TRIM('월 가계부'!A2365),"년","-"),"월","-"),"일",""),".","-"),"/","-")," ","-"),"--","-"),"--","-"),"--","-")&amp;"-","")</f>
        <v/>
      </c>
      <c r="CI2365">
        <f>IFERROR(IF('월 가계부'!A2365="","",IF(ISNUMBER('월 가계부'!A2365),IF(AND('월 가계부'!A2365&gt;=19000101,'월 가계부'!A2365&lt;=21001231),IF(AND(MOD(INT('월 가계부'!A2365/100),100)&gt;=1,MOD(INT('월 가계부'!A2365/100),100)&lt;=12,MOD(INT('월 가계부'!A2365),100)&gt;=1,MOD(INT('월 가계부'!A2365),100)&lt;=31),IF(MONTH(DATE(INT('월 가계부'!A2365/10000),MOD(INT('월 가계부'!A2365/100),100),MOD(INT('월 가계부'!A2365),100)))=MOD(INT('월 가계부'!A2365/100),100),DATE(INT('월 가계부'!A2365/10000),MOD(INT('월 가계부'!A2365/100),100),MOD(INT('월 가계부'!A2365),100)),""),""),IF(AND('월 가계부'!A2365&gt;=36526,'월 가계부'!A2365&lt;73051),INT('월 가계부'!A2365),"")),IF(OR(CM2365="",CN2365="",CO2365=""),"",IF(AND(CM2365&gt;=2000,CM2365&lt;=2099,CN2365&gt;=1,CN2365&lt;=12,CO2365&gt;=1,CO2365&lt;=31),IF(MONTH(DATE(CM2365,CN2365,CO2365))=CN2365,DATE(CM2365,CN2365,CO2365),""),"")))),"")</f>
        <v/>
      </c>
      <c r="CJ2365">
        <f>IFERROR(IF('월 가계부'!C2365="","",IF(ISNUMBER('월 가계부'!C2365),'월 가계부'!C2365,VALUE(SUBSTITUTE(SUBSTITUTE(SUBSTITUTE(SUBSTITUTE(TRIM('월 가계부'!C2365),",",""),"원","")," ",""),"−","-")))),"")</f>
        <v/>
      </c>
      <c r="CK2365">
        <f>IF(ISNUMBER(CI2365),IF(CI2365&lt;$B$13,CI2365,""),"")</f>
        <v/>
      </c>
      <c r="CM2365">
        <f>IF(CH2365="","",IFERROR(IF(IF(AND(LEN(CH2365)=9,ISERROR(FIND("-",LEFT(CH2365,8))),ISNUMBER(-LEFT(CH2365,8))),VALUE(LEFT(CH2365,4)),VALUE(LEFT(CH2365,FIND("-",CH2365)-1)))&lt;100,IF(AND(LEN(CH2365)=9,ISERROR(FIND("-",LEFT(CH2365,8))),ISNUMBER(-LEFT(CH2365,8))),VALUE(LEFT(CH2365,4)),VALUE(LEFT(CH2365,FIND("-",CH2365)-1)))+2000,IF(AND(LEN(CH2365)=9,ISERROR(FIND("-",LEFT(CH2365,8))),ISNUMBER(-LEFT(CH2365,8))),VALUE(LEFT(CH2365,4)),VALUE(LEFT(CH2365,FIND("-",CH2365)-1)))),""))</f>
        <v/>
      </c>
      <c r="CN2365">
        <f>IF(CH2365="","",IFERROR(IF(AND(LEN(CH2365)=9,ISERROR(FIND("-",LEFT(CH2365,8))),ISNUMBER(-LEFT(CH2365,8))),VALUE(MID(CH2365,5,2)),VALUE(MID(CH2365,FIND("-",CH2365)+1,FIND("-",CH2365,FIND("-",CH2365)+1)-FIND("-",CH2365)-1))),""))</f>
        <v/>
      </c>
      <c r="CO2365">
        <f>IF(CH2365="","",IFERROR(IF(AND(LEN(CH2365)=9,ISERROR(FIND("-",LEFT(CH2365,8))),ISNUMBER(-LEFT(CH2365,8))),VALUE(MID(CH2365,7,2)),VALUE(MID(CH2365,FIND("-",CH2365,FIND("-",CH2365)+1)+1,FIND("-",CH2365,FIND("-",CH2365,FIND("-",CH2365)+1)+1)-FIND("-",CH2365,FIND("-",CH2365)+1)-1))),""))</f>
        <v/>
      </c>
    </row>
    <row r="2366">
      <c r="CH2366">
        <f>IF(ISTEXT('월 가계부'!A2366),SUBSTITUTE(SUBSTITUTE(SUBSTITUTE(SUBSTITUTE(SUBSTITUTE(SUBSTITUTE(SUBSTITUTE(SUBSTITUTE(SUBSTITUTE(TRIM('월 가계부'!A2366),"년","-"),"월","-"),"일",""),".","-"),"/","-")," ","-"),"--","-"),"--","-"),"--","-")&amp;"-","")</f>
        <v/>
      </c>
      <c r="CI2366">
        <f>IFERROR(IF('월 가계부'!A2366="","",IF(ISNUMBER('월 가계부'!A2366),IF(AND('월 가계부'!A2366&gt;=19000101,'월 가계부'!A2366&lt;=21001231),IF(AND(MOD(INT('월 가계부'!A2366/100),100)&gt;=1,MOD(INT('월 가계부'!A2366/100),100)&lt;=12,MOD(INT('월 가계부'!A2366),100)&gt;=1,MOD(INT('월 가계부'!A2366),100)&lt;=31),IF(MONTH(DATE(INT('월 가계부'!A2366/10000),MOD(INT('월 가계부'!A2366/100),100),MOD(INT('월 가계부'!A2366),100)))=MOD(INT('월 가계부'!A2366/100),100),DATE(INT('월 가계부'!A2366/10000),MOD(INT('월 가계부'!A2366/100),100),MOD(INT('월 가계부'!A2366),100)),""),""),IF(AND('월 가계부'!A2366&gt;=36526,'월 가계부'!A2366&lt;73051),INT('월 가계부'!A2366),"")),IF(OR(CM2366="",CN2366="",CO2366=""),"",IF(AND(CM2366&gt;=2000,CM2366&lt;=2099,CN2366&gt;=1,CN2366&lt;=12,CO2366&gt;=1,CO2366&lt;=31),IF(MONTH(DATE(CM2366,CN2366,CO2366))=CN2366,DATE(CM2366,CN2366,CO2366),""),"")))),"")</f>
        <v/>
      </c>
      <c r="CJ2366">
        <f>IFERROR(IF('월 가계부'!C2366="","",IF(ISNUMBER('월 가계부'!C2366),'월 가계부'!C2366,VALUE(SUBSTITUTE(SUBSTITUTE(SUBSTITUTE(SUBSTITUTE(TRIM('월 가계부'!C2366),",",""),"원","")," ",""),"−","-")))),"")</f>
        <v/>
      </c>
      <c r="CK2366">
        <f>IF(ISNUMBER(CI2366),IF(CI2366&lt;$B$13,CI2366,""),"")</f>
        <v/>
      </c>
      <c r="CM2366">
        <f>IF(CH2366="","",IFERROR(IF(IF(AND(LEN(CH2366)=9,ISERROR(FIND("-",LEFT(CH2366,8))),ISNUMBER(-LEFT(CH2366,8))),VALUE(LEFT(CH2366,4)),VALUE(LEFT(CH2366,FIND("-",CH2366)-1)))&lt;100,IF(AND(LEN(CH2366)=9,ISERROR(FIND("-",LEFT(CH2366,8))),ISNUMBER(-LEFT(CH2366,8))),VALUE(LEFT(CH2366,4)),VALUE(LEFT(CH2366,FIND("-",CH2366)-1)))+2000,IF(AND(LEN(CH2366)=9,ISERROR(FIND("-",LEFT(CH2366,8))),ISNUMBER(-LEFT(CH2366,8))),VALUE(LEFT(CH2366,4)),VALUE(LEFT(CH2366,FIND("-",CH2366)-1)))),""))</f>
        <v/>
      </c>
      <c r="CN2366">
        <f>IF(CH2366="","",IFERROR(IF(AND(LEN(CH2366)=9,ISERROR(FIND("-",LEFT(CH2366,8))),ISNUMBER(-LEFT(CH2366,8))),VALUE(MID(CH2366,5,2)),VALUE(MID(CH2366,FIND("-",CH2366)+1,FIND("-",CH2366,FIND("-",CH2366)+1)-FIND("-",CH2366)-1))),""))</f>
        <v/>
      </c>
      <c r="CO2366">
        <f>IF(CH2366="","",IFERROR(IF(AND(LEN(CH2366)=9,ISERROR(FIND("-",LEFT(CH2366,8))),ISNUMBER(-LEFT(CH2366,8))),VALUE(MID(CH2366,7,2)),VALUE(MID(CH2366,FIND("-",CH2366,FIND("-",CH2366)+1)+1,FIND("-",CH2366,FIND("-",CH2366,FIND("-",CH2366)+1)+1)-FIND("-",CH2366,FIND("-",CH2366)+1)-1))),""))</f>
        <v/>
      </c>
    </row>
    <row r="2367">
      <c r="CH2367">
        <f>IF(ISTEXT('월 가계부'!A2367),SUBSTITUTE(SUBSTITUTE(SUBSTITUTE(SUBSTITUTE(SUBSTITUTE(SUBSTITUTE(SUBSTITUTE(SUBSTITUTE(SUBSTITUTE(TRIM('월 가계부'!A2367),"년","-"),"월","-"),"일",""),".","-"),"/","-")," ","-"),"--","-"),"--","-"),"--","-")&amp;"-","")</f>
        <v/>
      </c>
      <c r="CI2367">
        <f>IFERROR(IF('월 가계부'!A2367="","",IF(ISNUMBER('월 가계부'!A2367),IF(AND('월 가계부'!A2367&gt;=19000101,'월 가계부'!A2367&lt;=21001231),IF(AND(MOD(INT('월 가계부'!A2367/100),100)&gt;=1,MOD(INT('월 가계부'!A2367/100),100)&lt;=12,MOD(INT('월 가계부'!A2367),100)&gt;=1,MOD(INT('월 가계부'!A2367),100)&lt;=31),IF(MONTH(DATE(INT('월 가계부'!A2367/10000),MOD(INT('월 가계부'!A2367/100),100),MOD(INT('월 가계부'!A2367),100)))=MOD(INT('월 가계부'!A2367/100),100),DATE(INT('월 가계부'!A2367/10000),MOD(INT('월 가계부'!A2367/100),100),MOD(INT('월 가계부'!A2367),100)),""),""),IF(AND('월 가계부'!A2367&gt;=36526,'월 가계부'!A2367&lt;73051),INT('월 가계부'!A2367),"")),IF(OR(CM2367="",CN2367="",CO2367=""),"",IF(AND(CM2367&gt;=2000,CM2367&lt;=2099,CN2367&gt;=1,CN2367&lt;=12,CO2367&gt;=1,CO2367&lt;=31),IF(MONTH(DATE(CM2367,CN2367,CO2367))=CN2367,DATE(CM2367,CN2367,CO2367),""),"")))),"")</f>
        <v/>
      </c>
      <c r="CJ2367">
        <f>IFERROR(IF('월 가계부'!C2367="","",IF(ISNUMBER('월 가계부'!C2367),'월 가계부'!C2367,VALUE(SUBSTITUTE(SUBSTITUTE(SUBSTITUTE(SUBSTITUTE(TRIM('월 가계부'!C2367),",",""),"원","")," ",""),"−","-")))),"")</f>
        <v/>
      </c>
      <c r="CK2367">
        <f>IF(ISNUMBER(CI2367),IF(CI2367&lt;$B$13,CI2367,""),"")</f>
        <v/>
      </c>
      <c r="CM2367">
        <f>IF(CH2367="","",IFERROR(IF(IF(AND(LEN(CH2367)=9,ISERROR(FIND("-",LEFT(CH2367,8))),ISNUMBER(-LEFT(CH2367,8))),VALUE(LEFT(CH2367,4)),VALUE(LEFT(CH2367,FIND("-",CH2367)-1)))&lt;100,IF(AND(LEN(CH2367)=9,ISERROR(FIND("-",LEFT(CH2367,8))),ISNUMBER(-LEFT(CH2367,8))),VALUE(LEFT(CH2367,4)),VALUE(LEFT(CH2367,FIND("-",CH2367)-1)))+2000,IF(AND(LEN(CH2367)=9,ISERROR(FIND("-",LEFT(CH2367,8))),ISNUMBER(-LEFT(CH2367,8))),VALUE(LEFT(CH2367,4)),VALUE(LEFT(CH2367,FIND("-",CH2367)-1)))),""))</f>
        <v/>
      </c>
      <c r="CN2367">
        <f>IF(CH2367="","",IFERROR(IF(AND(LEN(CH2367)=9,ISERROR(FIND("-",LEFT(CH2367,8))),ISNUMBER(-LEFT(CH2367,8))),VALUE(MID(CH2367,5,2)),VALUE(MID(CH2367,FIND("-",CH2367)+1,FIND("-",CH2367,FIND("-",CH2367)+1)-FIND("-",CH2367)-1))),""))</f>
        <v/>
      </c>
      <c r="CO2367">
        <f>IF(CH2367="","",IFERROR(IF(AND(LEN(CH2367)=9,ISERROR(FIND("-",LEFT(CH2367,8))),ISNUMBER(-LEFT(CH2367,8))),VALUE(MID(CH2367,7,2)),VALUE(MID(CH2367,FIND("-",CH2367,FIND("-",CH2367)+1)+1,FIND("-",CH2367,FIND("-",CH2367,FIND("-",CH2367)+1)+1)-FIND("-",CH2367,FIND("-",CH2367)+1)-1))),""))</f>
        <v/>
      </c>
    </row>
    <row r="2368">
      <c r="CH2368">
        <f>IF(ISTEXT('월 가계부'!A2368),SUBSTITUTE(SUBSTITUTE(SUBSTITUTE(SUBSTITUTE(SUBSTITUTE(SUBSTITUTE(SUBSTITUTE(SUBSTITUTE(SUBSTITUTE(TRIM('월 가계부'!A2368),"년","-"),"월","-"),"일",""),".","-"),"/","-")," ","-"),"--","-"),"--","-"),"--","-")&amp;"-","")</f>
        <v/>
      </c>
      <c r="CI2368">
        <f>IFERROR(IF('월 가계부'!A2368="","",IF(ISNUMBER('월 가계부'!A2368),IF(AND('월 가계부'!A2368&gt;=19000101,'월 가계부'!A2368&lt;=21001231),IF(AND(MOD(INT('월 가계부'!A2368/100),100)&gt;=1,MOD(INT('월 가계부'!A2368/100),100)&lt;=12,MOD(INT('월 가계부'!A2368),100)&gt;=1,MOD(INT('월 가계부'!A2368),100)&lt;=31),IF(MONTH(DATE(INT('월 가계부'!A2368/10000),MOD(INT('월 가계부'!A2368/100),100),MOD(INT('월 가계부'!A2368),100)))=MOD(INT('월 가계부'!A2368/100),100),DATE(INT('월 가계부'!A2368/10000),MOD(INT('월 가계부'!A2368/100),100),MOD(INT('월 가계부'!A2368),100)),""),""),IF(AND('월 가계부'!A2368&gt;=36526,'월 가계부'!A2368&lt;73051),INT('월 가계부'!A2368),"")),IF(OR(CM2368="",CN2368="",CO2368=""),"",IF(AND(CM2368&gt;=2000,CM2368&lt;=2099,CN2368&gt;=1,CN2368&lt;=12,CO2368&gt;=1,CO2368&lt;=31),IF(MONTH(DATE(CM2368,CN2368,CO2368))=CN2368,DATE(CM2368,CN2368,CO2368),""),"")))),"")</f>
        <v/>
      </c>
      <c r="CJ2368">
        <f>IFERROR(IF('월 가계부'!C2368="","",IF(ISNUMBER('월 가계부'!C2368),'월 가계부'!C2368,VALUE(SUBSTITUTE(SUBSTITUTE(SUBSTITUTE(SUBSTITUTE(TRIM('월 가계부'!C2368),",",""),"원","")," ",""),"−","-")))),"")</f>
        <v/>
      </c>
      <c r="CK2368">
        <f>IF(ISNUMBER(CI2368),IF(CI2368&lt;$B$13,CI2368,""),"")</f>
        <v/>
      </c>
      <c r="CM2368">
        <f>IF(CH2368="","",IFERROR(IF(IF(AND(LEN(CH2368)=9,ISERROR(FIND("-",LEFT(CH2368,8))),ISNUMBER(-LEFT(CH2368,8))),VALUE(LEFT(CH2368,4)),VALUE(LEFT(CH2368,FIND("-",CH2368)-1)))&lt;100,IF(AND(LEN(CH2368)=9,ISERROR(FIND("-",LEFT(CH2368,8))),ISNUMBER(-LEFT(CH2368,8))),VALUE(LEFT(CH2368,4)),VALUE(LEFT(CH2368,FIND("-",CH2368)-1)))+2000,IF(AND(LEN(CH2368)=9,ISERROR(FIND("-",LEFT(CH2368,8))),ISNUMBER(-LEFT(CH2368,8))),VALUE(LEFT(CH2368,4)),VALUE(LEFT(CH2368,FIND("-",CH2368)-1)))),""))</f>
        <v/>
      </c>
      <c r="CN2368">
        <f>IF(CH2368="","",IFERROR(IF(AND(LEN(CH2368)=9,ISERROR(FIND("-",LEFT(CH2368,8))),ISNUMBER(-LEFT(CH2368,8))),VALUE(MID(CH2368,5,2)),VALUE(MID(CH2368,FIND("-",CH2368)+1,FIND("-",CH2368,FIND("-",CH2368)+1)-FIND("-",CH2368)-1))),""))</f>
        <v/>
      </c>
      <c r="CO2368">
        <f>IF(CH2368="","",IFERROR(IF(AND(LEN(CH2368)=9,ISERROR(FIND("-",LEFT(CH2368,8))),ISNUMBER(-LEFT(CH2368,8))),VALUE(MID(CH2368,7,2)),VALUE(MID(CH2368,FIND("-",CH2368,FIND("-",CH2368)+1)+1,FIND("-",CH2368,FIND("-",CH2368,FIND("-",CH2368)+1)+1)-FIND("-",CH2368,FIND("-",CH2368)+1)-1))),""))</f>
        <v/>
      </c>
    </row>
    <row r="2369">
      <c r="CH2369">
        <f>IF(ISTEXT('월 가계부'!A2369),SUBSTITUTE(SUBSTITUTE(SUBSTITUTE(SUBSTITUTE(SUBSTITUTE(SUBSTITUTE(SUBSTITUTE(SUBSTITUTE(SUBSTITUTE(TRIM('월 가계부'!A2369),"년","-"),"월","-"),"일",""),".","-"),"/","-")," ","-"),"--","-"),"--","-"),"--","-")&amp;"-","")</f>
        <v/>
      </c>
      <c r="CI2369">
        <f>IFERROR(IF('월 가계부'!A2369="","",IF(ISNUMBER('월 가계부'!A2369),IF(AND('월 가계부'!A2369&gt;=19000101,'월 가계부'!A2369&lt;=21001231),IF(AND(MOD(INT('월 가계부'!A2369/100),100)&gt;=1,MOD(INT('월 가계부'!A2369/100),100)&lt;=12,MOD(INT('월 가계부'!A2369),100)&gt;=1,MOD(INT('월 가계부'!A2369),100)&lt;=31),IF(MONTH(DATE(INT('월 가계부'!A2369/10000),MOD(INT('월 가계부'!A2369/100),100),MOD(INT('월 가계부'!A2369),100)))=MOD(INT('월 가계부'!A2369/100),100),DATE(INT('월 가계부'!A2369/10000),MOD(INT('월 가계부'!A2369/100),100),MOD(INT('월 가계부'!A2369),100)),""),""),IF(AND('월 가계부'!A2369&gt;=36526,'월 가계부'!A2369&lt;73051),INT('월 가계부'!A2369),"")),IF(OR(CM2369="",CN2369="",CO2369=""),"",IF(AND(CM2369&gt;=2000,CM2369&lt;=2099,CN2369&gt;=1,CN2369&lt;=12,CO2369&gt;=1,CO2369&lt;=31),IF(MONTH(DATE(CM2369,CN2369,CO2369))=CN2369,DATE(CM2369,CN2369,CO2369),""),"")))),"")</f>
        <v/>
      </c>
      <c r="CJ2369">
        <f>IFERROR(IF('월 가계부'!C2369="","",IF(ISNUMBER('월 가계부'!C2369),'월 가계부'!C2369,VALUE(SUBSTITUTE(SUBSTITUTE(SUBSTITUTE(SUBSTITUTE(TRIM('월 가계부'!C2369),",",""),"원","")," ",""),"−","-")))),"")</f>
        <v/>
      </c>
      <c r="CK2369">
        <f>IF(ISNUMBER(CI2369),IF(CI2369&lt;$B$13,CI2369,""),"")</f>
        <v/>
      </c>
      <c r="CM2369">
        <f>IF(CH2369="","",IFERROR(IF(IF(AND(LEN(CH2369)=9,ISERROR(FIND("-",LEFT(CH2369,8))),ISNUMBER(-LEFT(CH2369,8))),VALUE(LEFT(CH2369,4)),VALUE(LEFT(CH2369,FIND("-",CH2369)-1)))&lt;100,IF(AND(LEN(CH2369)=9,ISERROR(FIND("-",LEFT(CH2369,8))),ISNUMBER(-LEFT(CH2369,8))),VALUE(LEFT(CH2369,4)),VALUE(LEFT(CH2369,FIND("-",CH2369)-1)))+2000,IF(AND(LEN(CH2369)=9,ISERROR(FIND("-",LEFT(CH2369,8))),ISNUMBER(-LEFT(CH2369,8))),VALUE(LEFT(CH2369,4)),VALUE(LEFT(CH2369,FIND("-",CH2369)-1)))),""))</f>
        <v/>
      </c>
      <c r="CN2369">
        <f>IF(CH2369="","",IFERROR(IF(AND(LEN(CH2369)=9,ISERROR(FIND("-",LEFT(CH2369,8))),ISNUMBER(-LEFT(CH2369,8))),VALUE(MID(CH2369,5,2)),VALUE(MID(CH2369,FIND("-",CH2369)+1,FIND("-",CH2369,FIND("-",CH2369)+1)-FIND("-",CH2369)-1))),""))</f>
        <v/>
      </c>
      <c r="CO2369">
        <f>IF(CH2369="","",IFERROR(IF(AND(LEN(CH2369)=9,ISERROR(FIND("-",LEFT(CH2369,8))),ISNUMBER(-LEFT(CH2369,8))),VALUE(MID(CH2369,7,2)),VALUE(MID(CH2369,FIND("-",CH2369,FIND("-",CH2369)+1)+1,FIND("-",CH2369,FIND("-",CH2369,FIND("-",CH2369)+1)+1)-FIND("-",CH2369,FIND("-",CH2369)+1)-1))),""))</f>
        <v/>
      </c>
    </row>
    <row r="2370">
      <c r="CH2370">
        <f>IF(ISTEXT('월 가계부'!A2370),SUBSTITUTE(SUBSTITUTE(SUBSTITUTE(SUBSTITUTE(SUBSTITUTE(SUBSTITUTE(SUBSTITUTE(SUBSTITUTE(SUBSTITUTE(TRIM('월 가계부'!A2370),"년","-"),"월","-"),"일",""),".","-"),"/","-")," ","-"),"--","-"),"--","-"),"--","-")&amp;"-","")</f>
        <v/>
      </c>
      <c r="CI2370">
        <f>IFERROR(IF('월 가계부'!A2370="","",IF(ISNUMBER('월 가계부'!A2370),IF(AND('월 가계부'!A2370&gt;=19000101,'월 가계부'!A2370&lt;=21001231),IF(AND(MOD(INT('월 가계부'!A2370/100),100)&gt;=1,MOD(INT('월 가계부'!A2370/100),100)&lt;=12,MOD(INT('월 가계부'!A2370),100)&gt;=1,MOD(INT('월 가계부'!A2370),100)&lt;=31),IF(MONTH(DATE(INT('월 가계부'!A2370/10000),MOD(INT('월 가계부'!A2370/100),100),MOD(INT('월 가계부'!A2370),100)))=MOD(INT('월 가계부'!A2370/100),100),DATE(INT('월 가계부'!A2370/10000),MOD(INT('월 가계부'!A2370/100),100),MOD(INT('월 가계부'!A2370),100)),""),""),IF(AND('월 가계부'!A2370&gt;=36526,'월 가계부'!A2370&lt;73051),INT('월 가계부'!A2370),"")),IF(OR(CM2370="",CN2370="",CO2370=""),"",IF(AND(CM2370&gt;=2000,CM2370&lt;=2099,CN2370&gt;=1,CN2370&lt;=12,CO2370&gt;=1,CO2370&lt;=31),IF(MONTH(DATE(CM2370,CN2370,CO2370))=CN2370,DATE(CM2370,CN2370,CO2370),""),"")))),"")</f>
        <v/>
      </c>
      <c r="CJ2370">
        <f>IFERROR(IF('월 가계부'!C2370="","",IF(ISNUMBER('월 가계부'!C2370),'월 가계부'!C2370,VALUE(SUBSTITUTE(SUBSTITUTE(SUBSTITUTE(SUBSTITUTE(TRIM('월 가계부'!C2370),",",""),"원","")," ",""),"−","-")))),"")</f>
        <v/>
      </c>
      <c r="CK2370">
        <f>IF(ISNUMBER(CI2370),IF(CI2370&lt;$B$13,CI2370,""),"")</f>
        <v/>
      </c>
      <c r="CM2370">
        <f>IF(CH2370="","",IFERROR(IF(IF(AND(LEN(CH2370)=9,ISERROR(FIND("-",LEFT(CH2370,8))),ISNUMBER(-LEFT(CH2370,8))),VALUE(LEFT(CH2370,4)),VALUE(LEFT(CH2370,FIND("-",CH2370)-1)))&lt;100,IF(AND(LEN(CH2370)=9,ISERROR(FIND("-",LEFT(CH2370,8))),ISNUMBER(-LEFT(CH2370,8))),VALUE(LEFT(CH2370,4)),VALUE(LEFT(CH2370,FIND("-",CH2370)-1)))+2000,IF(AND(LEN(CH2370)=9,ISERROR(FIND("-",LEFT(CH2370,8))),ISNUMBER(-LEFT(CH2370,8))),VALUE(LEFT(CH2370,4)),VALUE(LEFT(CH2370,FIND("-",CH2370)-1)))),""))</f>
        <v/>
      </c>
      <c r="CN2370">
        <f>IF(CH2370="","",IFERROR(IF(AND(LEN(CH2370)=9,ISERROR(FIND("-",LEFT(CH2370,8))),ISNUMBER(-LEFT(CH2370,8))),VALUE(MID(CH2370,5,2)),VALUE(MID(CH2370,FIND("-",CH2370)+1,FIND("-",CH2370,FIND("-",CH2370)+1)-FIND("-",CH2370)-1))),""))</f>
        <v/>
      </c>
      <c r="CO2370">
        <f>IF(CH2370="","",IFERROR(IF(AND(LEN(CH2370)=9,ISERROR(FIND("-",LEFT(CH2370,8))),ISNUMBER(-LEFT(CH2370,8))),VALUE(MID(CH2370,7,2)),VALUE(MID(CH2370,FIND("-",CH2370,FIND("-",CH2370)+1)+1,FIND("-",CH2370,FIND("-",CH2370,FIND("-",CH2370)+1)+1)-FIND("-",CH2370,FIND("-",CH2370)+1)-1))),""))</f>
        <v/>
      </c>
    </row>
    <row r="2371">
      <c r="CH2371">
        <f>IF(ISTEXT('월 가계부'!A2371),SUBSTITUTE(SUBSTITUTE(SUBSTITUTE(SUBSTITUTE(SUBSTITUTE(SUBSTITUTE(SUBSTITUTE(SUBSTITUTE(SUBSTITUTE(TRIM('월 가계부'!A2371),"년","-"),"월","-"),"일",""),".","-"),"/","-")," ","-"),"--","-"),"--","-"),"--","-")&amp;"-","")</f>
        <v/>
      </c>
      <c r="CI2371">
        <f>IFERROR(IF('월 가계부'!A2371="","",IF(ISNUMBER('월 가계부'!A2371),IF(AND('월 가계부'!A2371&gt;=19000101,'월 가계부'!A2371&lt;=21001231),IF(AND(MOD(INT('월 가계부'!A2371/100),100)&gt;=1,MOD(INT('월 가계부'!A2371/100),100)&lt;=12,MOD(INT('월 가계부'!A2371),100)&gt;=1,MOD(INT('월 가계부'!A2371),100)&lt;=31),IF(MONTH(DATE(INT('월 가계부'!A2371/10000),MOD(INT('월 가계부'!A2371/100),100),MOD(INT('월 가계부'!A2371),100)))=MOD(INT('월 가계부'!A2371/100),100),DATE(INT('월 가계부'!A2371/10000),MOD(INT('월 가계부'!A2371/100),100),MOD(INT('월 가계부'!A2371),100)),""),""),IF(AND('월 가계부'!A2371&gt;=36526,'월 가계부'!A2371&lt;73051),INT('월 가계부'!A2371),"")),IF(OR(CM2371="",CN2371="",CO2371=""),"",IF(AND(CM2371&gt;=2000,CM2371&lt;=2099,CN2371&gt;=1,CN2371&lt;=12,CO2371&gt;=1,CO2371&lt;=31),IF(MONTH(DATE(CM2371,CN2371,CO2371))=CN2371,DATE(CM2371,CN2371,CO2371),""),"")))),"")</f>
        <v/>
      </c>
      <c r="CJ2371">
        <f>IFERROR(IF('월 가계부'!C2371="","",IF(ISNUMBER('월 가계부'!C2371),'월 가계부'!C2371,VALUE(SUBSTITUTE(SUBSTITUTE(SUBSTITUTE(SUBSTITUTE(TRIM('월 가계부'!C2371),",",""),"원","")," ",""),"−","-")))),"")</f>
        <v/>
      </c>
      <c r="CK2371">
        <f>IF(ISNUMBER(CI2371),IF(CI2371&lt;$B$13,CI2371,""),"")</f>
        <v/>
      </c>
      <c r="CM2371">
        <f>IF(CH2371="","",IFERROR(IF(IF(AND(LEN(CH2371)=9,ISERROR(FIND("-",LEFT(CH2371,8))),ISNUMBER(-LEFT(CH2371,8))),VALUE(LEFT(CH2371,4)),VALUE(LEFT(CH2371,FIND("-",CH2371)-1)))&lt;100,IF(AND(LEN(CH2371)=9,ISERROR(FIND("-",LEFT(CH2371,8))),ISNUMBER(-LEFT(CH2371,8))),VALUE(LEFT(CH2371,4)),VALUE(LEFT(CH2371,FIND("-",CH2371)-1)))+2000,IF(AND(LEN(CH2371)=9,ISERROR(FIND("-",LEFT(CH2371,8))),ISNUMBER(-LEFT(CH2371,8))),VALUE(LEFT(CH2371,4)),VALUE(LEFT(CH2371,FIND("-",CH2371)-1)))),""))</f>
        <v/>
      </c>
      <c r="CN2371">
        <f>IF(CH2371="","",IFERROR(IF(AND(LEN(CH2371)=9,ISERROR(FIND("-",LEFT(CH2371,8))),ISNUMBER(-LEFT(CH2371,8))),VALUE(MID(CH2371,5,2)),VALUE(MID(CH2371,FIND("-",CH2371)+1,FIND("-",CH2371,FIND("-",CH2371)+1)-FIND("-",CH2371)-1))),""))</f>
        <v/>
      </c>
      <c r="CO2371">
        <f>IF(CH2371="","",IFERROR(IF(AND(LEN(CH2371)=9,ISERROR(FIND("-",LEFT(CH2371,8))),ISNUMBER(-LEFT(CH2371,8))),VALUE(MID(CH2371,7,2)),VALUE(MID(CH2371,FIND("-",CH2371,FIND("-",CH2371)+1)+1,FIND("-",CH2371,FIND("-",CH2371,FIND("-",CH2371)+1)+1)-FIND("-",CH2371,FIND("-",CH2371)+1)-1))),""))</f>
        <v/>
      </c>
    </row>
    <row r="2372">
      <c r="CH2372">
        <f>IF(ISTEXT('월 가계부'!A2372),SUBSTITUTE(SUBSTITUTE(SUBSTITUTE(SUBSTITUTE(SUBSTITUTE(SUBSTITUTE(SUBSTITUTE(SUBSTITUTE(SUBSTITUTE(TRIM('월 가계부'!A2372),"년","-"),"월","-"),"일",""),".","-"),"/","-")," ","-"),"--","-"),"--","-"),"--","-")&amp;"-","")</f>
        <v/>
      </c>
      <c r="CI2372">
        <f>IFERROR(IF('월 가계부'!A2372="","",IF(ISNUMBER('월 가계부'!A2372),IF(AND('월 가계부'!A2372&gt;=19000101,'월 가계부'!A2372&lt;=21001231),IF(AND(MOD(INT('월 가계부'!A2372/100),100)&gt;=1,MOD(INT('월 가계부'!A2372/100),100)&lt;=12,MOD(INT('월 가계부'!A2372),100)&gt;=1,MOD(INT('월 가계부'!A2372),100)&lt;=31),IF(MONTH(DATE(INT('월 가계부'!A2372/10000),MOD(INT('월 가계부'!A2372/100),100),MOD(INT('월 가계부'!A2372),100)))=MOD(INT('월 가계부'!A2372/100),100),DATE(INT('월 가계부'!A2372/10000),MOD(INT('월 가계부'!A2372/100),100),MOD(INT('월 가계부'!A2372),100)),""),""),IF(AND('월 가계부'!A2372&gt;=36526,'월 가계부'!A2372&lt;73051),INT('월 가계부'!A2372),"")),IF(OR(CM2372="",CN2372="",CO2372=""),"",IF(AND(CM2372&gt;=2000,CM2372&lt;=2099,CN2372&gt;=1,CN2372&lt;=12,CO2372&gt;=1,CO2372&lt;=31),IF(MONTH(DATE(CM2372,CN2372,CO2372))=CN2372,DATE(CM2372,CN2372,CO2372),""),"")))),"")</f>
        <v/>
      </c>
      <c r="CJ2372">
        <f>IFERROR(IF('월 가계부'!C2372="","",IF(ISNUMBER('월 가계부'!C2372),'월 가계부'!C2372,VALUE(SUBSTITUTE(SUBSTITUTE(SUBSTITUTE(SUBSTITUTE(TRIM('월 가계부'!C2372),",",""),"원","")," ",""),"−","-")))),"")</f>
        <v/>
      </c>
      <c r="CK2372">
        <f>IF(ISNUMBER(CI2372),IF(CI2372&lt;$B$13,CI2372,""),"")</f>
        <v/>
      </c>
      <c r="CM2372">
        <f>IF(CH2372="","",IFERROR(IF(IF(AND(LEN(CH2372)=9,ISERROR(FIND("-",LEFT(CH2372,8))),ISNUMBER(-LEFT(CH2372,8))),VALUE(LEFT(CH2372,4)),VALUE(LEFT(CH2372,FIND("-",CH2372)-1)))&lt;100,IF(AND(LEN(CH2372)=9,ISERROR(FIND("-",LEFT(CH2372,8))),ISNUMBER(-LEFT(CH2372,8))),VALUE(LEFT(CH2372,4)),VALUE(LEFT(CH2372,FIND("-",CH2372)-1)))+2000,IF(AND(LEN(CH2372)=9,ISERROR(FIND("-",LEFT(CH2372,8))),ISNUMBER(-LEFT(CH2372,8))),VALUE(LEFT(CH2372,4)),VALUE(LEFT(CH2372,FIND("-",CH2372)-1)))),""))</f>
        <v/>
      </c>
      <c r="CN2372">
        <f>IF(CH2372="","",IFERROR(IF(AND(LEN(CH2372)=9,ISERROR(FIND("-",LEFT(CH2372,8))),ISNUMBER(-LEFT(CH2372,8))),VALUE(MID(CH2372,5,2)),VALUE(MID(CH2372,FIND("-",CH2372)+1,FIND("-",CH2372,FIND("-",CH2372)+1)-FIND("-",CH2372)-1))),""))</f>
        <v/>
      </c>
      <c r="CO2372">
        <f>IF(CH2372="","",IFERROR(IF(AND(LEN(CH2372)=9,ISERROR(FIND("-",LEFT(CH2372,8))),ISNUMBER(-LEFT(CH2372,8))),VALUE(MID(CH2372,7,2)),VALUE(MID(CH2372,FIND("-",CH2372,FIND("-",CH2372)+1)+1,FIND("-",CH2372,FIND("-",CH2372,FIND("-",CH2372)+1)+1)-FIND("-",CH2372,FIND("-",CH2372)+1)-1))),""))</f>
        <v/>
      </c>
    </row>
    <row r="2373">
      <c r="CH2373">
        <f>IF(ISTEXT('월 가계부'!A2373),SUBSTITUTE(SUBSTITUTE(SUBSTITUTE(SUBSTITUTE(SUBSTITUTE(SUBSTITUTE(SUBSTITUTE(SUBSTITUTE(SUBSTITUTE(TRIM('월 가계부'!A2373),"년","-"),"월","-"),"일",""),".","-"),"/","-")," ","-"),"--","-"),"--","-"),"--","-")&amp;"-","")</f>
        <v/>
      </c>
      <c r="CI2373">
        <f>IFERROR(IF('월 가계부'!A2373="","",IF(ISNUMBER('월 가계부'!A2373),IF(AND('월 가계부'!A2373&gt;=19000101,'월 가계부'!A2373&lt;=21001231),IF(AND(MOD(INT('월 가계부'!A2373/100),100)&gt;=1,MOD(INT('월 가계부'!A2373/100),100)&lt;=12,MOD(INT('월 가계부'!A2373),100)&gt;=1,MOD(INT('월 가계부'!A2373),100)&lt;=31),IF(MONTH(DATE(INT('월 가계부'!A2373/10000),MOD(INT('월 가계부'!A2373/100),100),MOD(INT('월 가계부'!A2373),100)))=MOD(INT('월 가계부'!A2373/100),100),DATE(INT('월 가계부'!A2373/10000),MOD(INT('월 가계부'!A2373/100),100),MOD(INT('월 가계부'!A2373),100)),""),""),IF(AND('월 가계부'!A2373&gt;=36526,'월 가계부'!A2373&lt;73051),INT('월 가계부'!A2373),"")),IF(OR(CM2373="",CN2373="",CO2373=""),"",IF(AND(CM2373&gt;=2000,CM2373&lt;=2099,CN2373&gt;=1,CN2373&lt;=12,CO2373&gt;=1,CO2373&lt;=31),IF(MONTH(DATE(CM2373,CN2373,CO2373))=CN2373,DATE(CM2373,CN2373,CO2373),""),"")))),"")</f>
        <v/>
      </c>
      <c r="CJ2373">
        <f>IFERROR(IF('월 가계부'!C2373="","",IF(ISNUMBER('월 가계부'!C2373),'월 가계부'!C2373,VALUE(SUBSTITUTE(SUBSTITUTE(SUBSTITUTE(SUBSTITUTE(TRIM('월 가계부'!C2373),",",""),"원","")," ",""),"−","-")))),"")</f>
        <v/>
      </c>
      <c r="CK2373">
        <f>IF(ISNUMBER(CI2373),IF(CI2373&lt;$B$13,CI2373,""),"")</f>
        <v/>
      </c>
      <c r="CM2373">
        <f>IF(CH2373="","",IFERROR(IF(IF(AND(LEN(CH2373)=9,ISERROR(FIND("-",LEFT(CH2373,8))),ISNUMBER(-LEFT(CH2373,8))),VALUE(LEFT(CH2373,4)),VALUE(LEFT(CH2373,FIND("-",CH2373)-1)))&lt;100,IF(AND(LEN(CH2373)=9,ISERROR(FIND("-",LEFT(CH2373,8))),ISNUMBER(-LEFT(CH2373,8))),VALUE(LEFT(CH2373,4)),VALUE(LEFT(CH2373,FIND("-",CH2373)-1)))+2000,IF(AND(LEN(CH2373)=9,ISERROR(FIND("-",LEFT(CH2373,8))),ISNUMBER(-LEFT(CH2373,8))),VALUE(LEFT(CH2373,4)),VALUE(LEFT(CH2373,FIND("-",CH2373)-1)))),""))</f>
        <v/>
      </c>
      <c r="CN2373">
        <f>IF(CH2373="","",IFERROR(IF(AND(LEN(CH2373)=9,ISERROR(FIND("-",LEFT(CH2373,8))),ISNUMBER(-LEFT(CH2373,8))),VALUE(MID(CH2373,5,2)),VALUE(MID(CH2373,FIND("-",CH2373)+1,FIND("-",CH2373,FIND("-",CH2373)+1)-FIND("-",CH2373)-1))),""))</f>
        <v/>
      </c>
      <c r="CO2373">
        <f>IF(CH2373="","",IFERROR(IF(AND(LEN(CH2373)=9,ISERROR(FIND("-",LEFT(CH2373,8))),ISNUMBER(-LEFT(CH2373,8))),VALUE(MID(CH2373,7,2)),VALUE(MID(CH2373,FIND("-",CH2373,FIND("-",CH2373)+1)+1,FIND("-",CH2373,FIND("-",CH2373,FIND("-",CH2373)+1)+1)-FIND("-",CH2373,FIND("-",CH2373)+1)-1))),""))</f>
        <v/>
      </c>
    </row>
    <row r="2374">
      <c r="CH2374">
        <f>IF(ISTEXT('월 가계부'!A2374),SUBSTITUTE(SUBSTITUTE(SUBSTITUTE(SUBSTITUTE(SUBSTITUTE(SUBSTITUTE(SUBSTITUTE(SUBSTITUTE(SUBSTITUTE(TRIM('월 가계부'!A2374),"년","-"),"월","-"),"일",""),".","-"),"/","-")," ","-"),"--","-"),"--","-"),"--","-")&amp;"-","")</f>
        <v/>
      </c>
      <c r="CI2374">
        <f>IFERROR(IF('월 가계부'!A2374="","",IF(ISNUMBER('월 가계부'!A2374),IF(AND('월 가계부'!A2374&gt;=19000101,'월 가계부'!A2374&lt;=21001231),IF(AND(MOD(INT('월 가계부'!A2374/100),100)&gt;=1,MOD(INT('월 가계부'!A2374/100),100)&lt;=12,MOD(INT('월 가계부'!A2374),100)&gt;=1,MOD(INT('월 가계부'!A2374),100)&lt;=31),IF(MONTH(DATE(INT('월 가계부'!A2374/10000),MOD(INT('월 가계부'!A2374/100),100),MOD(INT('월 가계부'!A2374),100)))=MOD(INT('월 가계부'!A2374/100),100),DATE(INT('월 가계부'!A2374/10000),MOD(INT('월 가계부'!A2374/100),100),MOD(INT('월 가계부'!A2374),100)),""),""),IF(AND('월 가계부'!A2374&gt;=36526,'월 가계부'!A2374&lt;73051),INT('월 가계부'!A2374),"")),IF(OR(CM2374="",CN2374="",CO2374=""),"",IF(AND(CM2374&gt;=2000,CM2374&lt;=2099,CN2374&gt;=1,CN2374&lt;=12,CO2374&gt;=1,CO2374&lt;=31),IF(MONTH(DATE(CM2374,CN2374,CO2374))=CN2374,DATE(CM2374,CN2374,CO2374),""),"")))),"")</f>
        <v/>
      </c>
      <c r="CJ2374">
        <f>IFERROR(IF('월 가계부'!C2374="","",IF(ISNUMBER('월 가계부'!C2374),'월 가계부'!C2374,VALUE(SUBSTITUTE(SUBSTITUTE(SUBSTITUTE(SUBSTITUTE(TRIM('월 가계부'!C2374),",",""),"원","")," ",""),"−","-")))),"")</f>
        <v/>
      </c>
      <c r="CK2374">
        <f>IF(ISNUMBER(CI2374),IF(CI2374&lt;$B$13,CI2374,""),"")</f>
        <v/>
      </c>
      <c r="CM2374">
        <f>IF(CH2374="","",IFERROR(IF(IF(AND(LEN(CH2374)=9,ISERROR(FIND("-",LEFT(CH2374,8))),ISNUMBER(-LEFT(CH2374,8))),VALUE(LEFT(CH2374,4)),VALUE(LEFT(CH2374,FIND("-",CH2374)-1)))&lt;100,IF(AND(LEN(CH2374)=9,ISERROR(FIND("-",LEFT(CH2374,8))),ISNUMBER(-LEFT(CH2374,8))),VALUE(LEFT(CH2374,4)),VALUE(LEFT(CH2374,FIND("-",CH2374)-1)))+2000,IF(AND(LEN(CH2374)=9,ISERROR(FIND("-",LEFT(CH2374,8))),ISNUMBER(-LEFT(CH2374,8))),VALUE(LEFT(CH2374,4)),VALUE(LEFT(CH2374,FIND("-",CH2374)-1)))),""))</f>
        <v/>
      </c>
      <c r="CN2374">
        <f>IF(CH2374="","",IFERROR(IF(AND(LEN(CH2374)=9,ISERROR(FIND("-",LEFT(CH2374,8))),ISNUMBER(-LEFT(CH2374,8))),VALUE(MID(CH2374,5,2)),VALUE(MID(CH2374,FIND("-",CH2374)+1,FIND("-",CH2374,FIND("-",CH2374)+1)-FIND("-",CH2374)-1))),""))</f>
        <v/>
      </c>
      <c r="CO2374">
        <f>IF(CH2374="","",IFERROR(IF(AND(LEN(CH2374)=9,ISERROR(FIND("-",LEFT(CH2374,8))),ISNUMBER(-LEFT(CH2374,8))),VALUE(MID(CH2374,7,2)),VALUE(MID(CH2374,FIND("-",CH2374,FIND("-",CH2374)+1)+1,FIND("-",CH2374,FIND("-",CH2374,FIND("-",CH2374)+1)+1)-FIND("-",CH2374,FIND("-",CH2374)+1)-1))),""))</f>
        <v/>
      </c>
    </row>
    <row r="2375">
      <c r="CH2375">
        <f>IF(ISTEXT('월 가계부'!A2375),SUBSTITUTE(SUBSTITUTE(SUBSTITUTE(SUBSTITUTE(SUBSTITUTE(SUBSTITUTE(SUBSTITUTE(SUBSTITUTE(SUBSTITUTE(TRIM('월 가계부'!A2375),"년","-"),"월","-"),"일",""),".","-"),"/","-")," ","-"),"--","-"),"--","-"),"--","-")&amp;"-","")</f>
        <v/>
      </c>
      <c r="CI2375">
        <f>IFERROR(IF('월 가계부'!A2375="","",IF(ISNUMBER('월 가계부'!A2375),IF(AND('월 가계부'!A2375&gt;=19000101,'월 가계부'!A2375&lt;=21001231),IF(AND(MOD(INT('월 가계부'!A2375/100),100)&gt;=1,MOD(INT('월 가계부'!A2375/100),100)&lt;=12,MOD(INT('월 가계부'!A2375),100)&gt;=1,MOD(INT('월 가계부'!A2375),100)&lt;=31),IF(MONTH(DATE(INT('월 가계부'!A2375/10000),MOD(INT('월 가계부'!A2375/100),100),MOD(INT('월 가계부'!A2375),100)))=MOD(INT('월 가계부'!A2375/100),100),DATE(INT('월 가계부'!A2375/10000),MOD(INT('월 가계부'!A2375/100),100),MOD(INT('월 가계부'!A2375),100)),""),""),IF(AND('월 가계부'!A2375&gt;=36526,'월 가계부'!A2375&lt;73051),INT('월 가계부'!A2375),"")),IF(OR(CM2375="",CN2375="",CO2375=""),"",IF(AND(CM2375&gt;=2000,CM2375&lt;=2099,CN2375&gt;=1,CN2375&lt;=12,CO2375&gt;=1,CO2375&lt;=31),IF(MONTH(DATE(CM2375,CN2375,CO2375))=CN2375,DATE(CM2375,CN2375,CO2375),""),"")))),"")</f>
        <v/>
      </c>
      <c r="CJ2375">
        <f>IFERROR(IF('월 가계부'!C2375="","",IF(ISNUMBER('월 가계부'!C2375),'월 가계부'!C2375,VALUE(SUBSTITUTE(SUBSTITUTE(SUBSTITUTE(SUBSTITUTE(TRIM('월 가계부'!C2375),",",""),"원","")," ",""),"−","-")))),"")</f>
        <v/>
      </c>
      <c r="CK2375">
        <f>IF(ISNUMBER(CI2375),IF(CI2375&lt;$B$13,CI2375,""),"")</f>
        <v/>
      </c>
      <c r="CM2375">
        <f>IF(CH2375="","",IFERROR(IF(IF(AND(LEN(CH2375)=9,ISERROR(FIND("-",LEFT(CH2375,8))),ISNUMBER(-LEFT(CH2375,8))),VALUE(LEFT(CH2375,4)),VALUE(LEFT(CH2375,FIND("-",CH2375)-1)))&lt;100,IF(AND(LEN(CH2375)=9,ISERROR(FIND("-",LEFT(CH2375,8))),ISNUMBER(-LEFT(CH2375,8))),VALUE(LEFT(CH2375,4)),VALUE(LEFT(CH2375,FIND("-",CH2375)-1)))+2000,IF(AND(LEN(CH2375)=9,ISERROR(FIND("-",LEFT(CH2375,8))),ISNUMBER(-LEFT(CH2375,8))),VALUE(LEFT(CH2375,4)),VALUE(LEFT(CH2375,FIND("-",CH2375)-1)))),""))</f>
        <v/>
      </c>
      <c r="CN2375">
        <f>IF(CH2375="","",IFERROR(IF(AND(LEN(CH2375)=9,ISERROR(FIND("-",LEFT(CH2375,8))),ISNUMBER(-LEFT(CH2375,8))),VALUE(MID(CH2375,5,2)),VALUE(MID(CH2375,FIND("-",CH2375)+1,FIND("-",CH2375,FIND("-",CH2375)+1)-FIND("-",CH2375)-1))),""))</f>
        <v/>
      </c>
      <c r="CO2375">
        <f>IF(CH2375="","",IFERROR(IF(AND(LEN(CH2375)=9,ISERROR(FIND("-",LEFT(CH2375,8))),ISNUMBER(-LEFT(CH2375,8))),VALUE(MID(CH2375,7,2)),VALUE(MID(CH2375,FIND("-",CH2375,FIND("-",CH2375)+1)+1,FIND("-",CH2375,FIND("-",CH2375,FIND("-",CH2375)+1)+1)-FIND("-",CH2375,FIND("-",CH2375)+1)-1))),""))</f>
        <v/>
      </c>
    </row>
    <row r="2376">
      <c r="CH2376">
        <f>IF(ISTEXT('월 가계부'!A2376),SUBSTITUTE(SUBSTITUTE(SUBSTITUTE(SUBSTITUTE(SUBSTITUTE(SUBSTITUTE(SUBSTITUTE(SUBSTITUTE(SUBSTITUTE(TRIM('월 가계부'!A2376),"년","-"),"월","-"),"일",""),".","-"),"/","-")," ","-"),"--","-"),"--","-"),"--","-")&amp;"-","")</f>
        <v/>
      </c>
      <c r="CI2376">
        <f>IFERROR(IF('월 가계부'!A2376="","",IF(ISNUMBER('월 가계부'!A2376),IF(AND('월 가계부'!A2376&gt;=19000101,'월 가계부'!A2376&lt;=21001231),IF(AND(MOD(INT('월 가계부'!A2376/100),100)&gt;=1,MOD(INT('월 가계부'!A2376/100),100)&lt;=12,MOD(INT('월 가계부'!A2376),100)&gt;=1,MOD(INT('월 가계부'!A2376),100)&lt;=31),IF(MONTH(DATE(INT('월 가계부'!A2376/10000),MOD(INT('월 가계부'!A2376/100),100),MOD(INT('월 가계부'!A2376),100)))=MOD(INT('월 가계부'!A2376/100),100),DATE(INT('월 가계부'!A2376/10000),MOD(INT('월 가계부'!A2376/100),100),MOD(INT('월 가계부'!A2376),100)),""),""),IF(AND('월 가계부'!A2376&gt;=36526,'월 가계부'!A2376&lt;73051),INT('월 가계부'!A2376),"")),IF(OR(CM2376="",CN2376="",CO2376=""),"",IF(AND(CM2376&gt;=2000,CM2376&lt;=2099,CN2376&gt;=1,CN2376&lt;=12,CO2376&gt;=1,CO2376&lt;=31),IF(MONTH(DATE(CM2376,CN2376,CO2376))=CN2376,DATE(CM2376,CN2376,CO2376),""),"")))),"")</f>
        <v/>
      </c>
      <c r="CJ2376">
        <f>IFERROR(IF('월 가계부'!C2376="","",IF(ISNUMBER('월 가계부'!C2376),'월 가계부'!C2376,VALUE(SUBSTITUTE(SUBSTITUTE(SUBSTITUTE(SUBSTITUTE(TRIM('월 가계부'!C2376),",",""),"원","")," ",""),"−","-")))),"")</f>
        <v/>
      </c>
      <c r="CK2376">
        <f>IF(ISNUMBER(CI2376),IF(CI2376&lt;$B$13,CI2376,""),"")</f>
        <v/>
      </c>
      <c r="CM2376">
        <f>IF(CH2376="","",IFERROR(IF(IF(AND(LEN(CH2376)=9,ISERROR(FIND("-",LEFT(CH2376,8))),ISNUMBER(-LEFT(CH2376,8))),VALUE(LEFT(CH2376,4)),VALUE(LEFT(CH2376,FIND("-",CH2376)-1)))&lt;100,IF(AND(LEN(CH2376)=9,ISERROR(FIND("-",LEFT(CH2376,8))),ISNUMBER(-LEFT(CH2376,8))),VALUE(LEFT(CH2376,4)),VALUE(LEFT(CH2376,FIND("-",CH2376)-1)))+2000,IF(AND(LEN(CH2376)=9,ISERROR(FIND("-",LEFT(CH2376,8))),ISNUMBER(-LEFT(CH2376,8))),VALUE(LEFT(CH2376,4)),VALUE(LEFT(CH2376,FIND("-",CH2376)-1)))),""))</f>
        <v/>
      </c>
      <c r="CN2376">
        <f>IF(CH2376="","",IFERROR(IF(AND(LEN(CH2376)=9,ISERROR(FIND("-",LEFT(CH2376,8))),ISNUMBER(-LEFT(CH2376,8))),VALUE(MID(CH2376,5,2)),VALUE(MID(CH2376,FIND("-",CH2376)+1,FIND("-",CH2376,FIND("-",CH2376)+1)-FIND("-",CH2376)-1))),""))</f>
        <v/>
      </c>
      <c r="CO2376">
        <f>IF(CH2376="","",IFERROR(IF(AND(LEN(CH2376)=9,ISERROR(FIND("-",LEFT(CH2376,8))),ISNUMBER(-LEFT(CH2376,8))),VALUE(MID(CH2376,7,2)),VALUE(MID(CH2376,FIND("-",CH2376,FIND("-",CH2376)+1)+1,FIND("-",CH2376,FIND("-",CH2376,FIND("-",CH2376)+1)+1)-FIND("-",CH2376,FIND("-",CH2376)+1)-1))),""))</f>
        <v/>
      </c>
    </row>
    <row r="2377">
      <c r="CH2377">
        <f>IF(ISTEXT('월 가계부'!A2377),SUBSTITUTE(SUBSTITUTE(SUBSTITUTE(SUBSTITUTE(SUBSTITUTE(SUBSTITUTE(SUBSTITUTE(SUBSTITUTE(SUBSTITUTE(TRIM('월 가계부'!A2377),"년","-"),"월","-"),"일",""),".","-"),"/","-")," ","-"),"--","-"),"--","-"),"--","-")&amp;"-","")</f>
        <v/>
      </c>
      <c r="CI2377">
        <f>IFERROR(IF('월 가계부'!A2377="","",IF(ISNUMBER('월 가계부'!A2377),IF(AND('월 가계부'!A2377&gt;=19000101,'월 가계부'!A2377&lt;=21001231),IF(AND(MOD(INT('월 가계부'!A2377/100),100)&gt;=1,MOD(INT('월 가계부'!A2377/100),100)&lt;=12,MOD(INT('월 가계부'!A2377),100)&gt;=1,MOD(INT('월 가계부'!A2377),100)&lt;=31),IF(MONTH(DATE(INT('월 가계부'!A2377/10000),MOD(INT('월 가계부'!A2377/100),100),MOD(INT('월 가계부'!A2377),100)))=MOD(INT('월 가계부'!A2377/100),100),DATE(INT('월 가계부'!A2377/10000),MOD(INT('월 가계부'!A2377/100),100),MOD(INT('월 가계부'!A2377),100)),""),""),IF(AND('월 가계부'!A2377&gt;=36526,'월 가계부'!A2377&lt;73051),INT('월 가계부'!A2377),"")),IF(OR(CM2377="",CN2377="",CO2377=""),"",IF(AND(CM2377&gt;=2000,CM2377&lt;=2099,CN2377&gt;=1,CN2377&lt;=12,CO2377&gt;=1,CO2377&lt;=31),IF(MONTH(DATE(CM2377,CN2377,CO2377))=CN2377,DATE(CM2377,CN2377,CO2377),""),"")))),"")</f>
        <v/>
      </c>
      <c r="CJ2377">
        <f>IFERROR(IF('월 가계부'!C2377="","",IF(ISNUMBER('월 가계부'!C2377),'월 가계부'!C2377,VALUE(SUBSTITUTE(SUBSTITUTE(SUBSTITUTE(SUBSTITUTE(TRIM('월 가계부'!C2377),",",""),"원","")," ",""),"−","-")))),"")</f>
        <v/>
      </c>
      <c r="CK2377">
        <f>IF(ISNUMBER(CI2377),IF(CI2377&lt;$B$13,CI2377,""),"")</f>
        <v/>
      </c>
      <c r="CM2377">
        <f>IF(CH2377="","",IFERROR(IF(IF(AND(LEN(CH2377)=9,ISERROR(FIND("-",LEFT(CH2377,8))),ISNUMBER(-LEFT(CH2377,8))),VALUE(LEFT(CH2377,4)),VALUE(LEFT(CH2377,FIND("-",CH2377)-1)))&lt;100,IF(AND(LEN(CH2377)=9,ISERROR(FIND("-",LEFT(CH2377,8))),ISNUMBER(-LEFT(CH2377,8))),VALUE(LEFT(CH2377,4)),VALUE(LEFT(CH2377,FIND("-",CH2377)-1)))+2000,IF(AND(LEN(CH2377)=9,ISERROR(FIND("-",LEFT(CH2377,8))),ISNUMBER(-LEFT(CH2377,8))),VALUE(LEFT(CH2377,4)),VALUE(LEFT(CH2377,FIND("-",CH2377)-1)))),""))</f>
        <v/>
      </c>
      <c r="CN2377">
        <f>IF(CH2377="","",IFERROR(IF(AND(LEN(CH2377)=9,ISERROR(FIND("-",LEFT(CH2377,8))),ISNUMBER(-LEFT(CH2377,8))),VALUE(MID(CH2377,5,2)),VALUE(MID(CH2377,FIND("-",CH2377)+1,FIND("-",CH2377,FIND("-",CH2377)+1)-FIND("-",CH2377)-1))),""))</f>
        <v/>
      </c>
      <c r="CO2377">
        <f>IF(CH2377="","",IFERROR(IF(AND(LEN(CH2377)=9,ISERROR(FIND("-",LEFT(CH2377,8))),ISNUMBER(-LEFT(CH2377,8))),VALUE(MID(CH2377,7,2)),VALUE(MID(CH2377,FIND("-",CH2377,FIND("-",CH2377)+1)+1,FIND("-",CH2377,FIND("-",CH2377,FIND("-",CH2377)+1)+1)-FIND("-",CH2377,FIND("-",CH2377)+1)-1))),""))</f>
        <v/>
      </c>
    </row>
    <row r="2378">
      <c r="CH2378">
        <f>IF(ISTEXT('월 가계부'!A2378),SUBSTITUTE(SUBSTITUTE(SUBSTITUTE(SUBSTITUTE(SUBSTITUTE(SUBSTITUTE(SUBSTITUTE(SUBSTITUTE(SUBSTITUTE(TRIM('월 가계부'!A2378),"년","-"),"월","-"),"일",""),".","-"),"/","-")," ","-"),"--","-"),"--","-"),"--","-")&amp;"-","")</f>
        <v/>
      </c>
      <c r="CI2378">
        <f>IFERROR(IF('월 가계부'!A2378="","",IF(ISNUMBER('월 가계부'!A2378),IF(AND('월 가계부'!A2378&gt;=19000101,'월 가계부'!A2378&lt;=21001231),IF(AND(MOD(INT('월 가계부'!A2378/100),100)&gt;=1,MOD(INT('월 가계부'!A2378/100),100)&lt;=12,MOD(INT('월 가계부'!A2378),100)&gt;=1,MOD(INT('월 가계부'!A2378),100)&lt;=31),IF(MONTH(DATE(INT('월 가계부'!A2378/10000),MOD(INT('월 가계부'!A2378/100),100),MOD(INT('월 가계부'!A2378),100)))=MOD(INT('월 가계부'!A2378/100),100),DATE(INT('월 가계부'!A2378/10000),MOD(INT('월 가계부'!A2378/100),100),MOD(INT('월 가계부'!A2378),100)),""),""),IF(AND('월 가계부'!A2378&gt;=36526,'월 가계부'!A2378&lt;73051),INT('월 가계부'!A2378),"")),IF(OR(CM2378="",CN2378="",CO2378=""),"",IF(AND(CM2378&gt;=2000,CM2378&lt;=2099,CN2378&gt;=1,CN2378&lt;=12,CO2378&gt;=1,CO2378&lt;=31),IF(MONTH(DATE(CM2378,CN2378,CO2378))=CN2378,DATE(CM2378,CN2378,CO2378),""),"")))),"")</f>
        <v/>
      </c>
      <c r="CJ2378">
        <f>IFERROR(IF('월 가계부'!C2378="","",IF(ISNUMBER('월 가계부'!C2378),'월 가계부'!C2378,VALUE(SUBSTITUTE(SUBSTITUTE(SUBSTITUTE(SUBSTITUTE(TRIM('월 가계부'!C2378),",",""),"원","")," ",""),"−","-")))),"")</f>
        <v/>
      </c>
      <c r="CK2378">
        <f>IF(ISNUMBER(CI2378),IF(CI2378&lt;$B$13,CI2378,""),"")</f>
        <v/>
      </c>
      <c r="CM2378">
        <f>IF(CH2378="","",IFERROR(IF(IF(AND(LEN(CH2378)=9,ISERROR(FIND("-",LEFT(CH2378,8))),ISNUMBER(-LEFT(CH2378,8))),VALUE(LEFT(CH2378,4)),VALUE(LEFT(CH2378,FIND("-",CH2378)-1)))&lt;100,IF(AND(LEN(CH2378)=9,ISERROR(FIND("-",LEFT(CH2378,8))),ISNUMBER(-LEFT(CH2378,8))),VALUE(LEFT(CH2378,4)),VALUE(LEFT(CH2378,FIND("-",CH2378)-1)))+2000,IF(AND(LEN(CH2378)=9,ISERROR(FIND("-",LEFT(CH2378,8))),ISNUMBER(-LEFT(CH2378,8))),VALUE(LEFT(CH2378,4)),VALUE(LEFT(CH2378,FIND("-",CH2378)-1)))),""))</f>
        <v/>
      </c>
      <c r="CN2378">
        <f>IF(CH2378="","",IFERROR(IF(AND(LEN(CH2378)=9,ISERROR(FIND("-",LEFT(CH2378,8))),ISNUMBER(-LEFT(CH2378,8))),VALUE(MID(CH2378,5,2)),VALUE(MID(CH2378,FIND("-",CH2378)+1,FIND("-",CH2378,FIND("-",CH2378)+1)-FIND("-",CH2378)-1))),""))</f>
        <v/>
      </c>
      <c r="CO2378">
        <f>IF(CH2378="","",IFERROR(IF(AND(LEN(CH2378)=9,ISERROR(FIND("-",LEFT(CH2378,8))),ISNUMBER(-LEFT(CH2378,8))),VALUE(MID(CH2378,7,2)),VALUE(MID(CH2378,FIND("-",CH2378,FIND("-",CH2378)+1)+1,FIND("-",CH2378,FIND("-",CH2378,FIND("-",CH2378)+1)+1)-FIND("-",CH2378,FIND("-",CH2378)+1)-1))),""))</f>
        <v/>
      </c>
    </row>
    <row r="2379">
      <c r="CH2379">
        <f>IF(ISTEXT('월 가계부'!A2379),SUBSTITUTE(SUBSTITUTE(SUBSTITUTE(SUBSTITUTE(SUBSTITUTE(SUBSTITUTE(SUBSTITUTE(SUBSTITUTE(SUBSTITUTE(TRIM('월 가계부'!A2379),"년","-"),"월","-"),"일",""),".","-"),"/","-")," ","-"),"--","-"),"--","-"),"--","-")&amp;"-","")</f>
        <v/>
      </c>
      <c r="CI2379">
        <f>IFERROR(IF('월 가계부'!A2379="","",IF(ISNUMBER('월 가계부'!A2379),IF(AND('월 가계부'!A2379&gt;=19000101,'월 가계부'!A2379&lt;=21001231),IF(AND(MOD(INT('월 가계부'!A2379/100),100)&gt;=1,MOD(INT('월 가계부'!A2379/100),100)&lt;=12,MOD(INT('월 가계부'!A2379),100)&gt;=1,MOD(INT('월 가계부'!A2379),100)&lt;=31),IF(MONTH(DATE(INT('월 가계부'!A2379/10000),MOD(INT('월 가계부'!A2379/100),100),MOD(INT('월 가계부'!A2379),100)))=MOD(INT('월 가계부'!A2379/100),100),DATE(INT('월 가계부'!A2379/10000),MOD(INT('월 가계부'!A2379/100),100),MOD(INT('월 가계부'!A2379),100)),""),""),IF(AND('월 가계부'!A2379&gt;=36526,'월 가계부'!A2379&lt;73051),INT('월 가계부'!A2379),"")),IF(OR(CM2379="",CN2379="",CO2379=""),"",IF(AND(CM2379&gt;=2000,CM2379&lt;=2099,CN2379&gt;=1,CN2379&lt;=12,CO2379&gt;=1,CO2379&lt;=31),IF(MONTH(DATE(CM2379,CN2379,CO2379))=CN2379,DATE(CM2379,CN2379,CO2379),""),"")))),"")</f>
        <v/>
      </c>
      <c r="CJ2379">
        <f>IFERROR(IF('월 가계부'!C2379="","",IF(ISNUMBER('월 가계부'!C2379),'월 가계부'!C2379,VALUE(SUBSTITUTE(SUBSTITUTE(SUBSTITUTE(SUBSTITUTE(TRIM('월 가계부'!C2379),",",""),"원","")," ",""),"−","-")))),"")</f>
        <v/>
      </c>
      <c r="CK2379">
        <f>IF(ISNUMBER(CI2379),IF(CI2379&lt;$B$13,CI2379,""),"")</f>
        <v/>
      </c>
      <c r="CM2379">
        <f>IF(CH2379="","",IFERROR(IF(IF(AND(LEN(CH2379)=9,ISERROR(FIND("-",LEFT(CH2379,8))),ISNUMBER(-LEFT(CH2379,8))),VALUE(LEFT(CH2379,4)),VALUE(LEFT(CH2379,FIND("-",CH2379)-1)))&lt;100,IF(AND(LEN(CH2379)=9,ISERROR(FIND("-",LEFT(CH2379,8))),ISNUMBER(-LEFT(CH2379,8))),VALUE(LEFT(CH2379,4)),VALUE(LEFT(CH2379,FIND("-",CH2379)-1)))+2000,IF(AND(LEN(CH2379)=9,ISERROR(FIND("-",LEFT(CH2379,8))),ISNUMBER(-LEFT(CH2379,8))),VALUE(LEFT(CH2379,4)),VALUE(LEFT(CH2379,FIND("-",CH2379)-1)))),""))</f>
        <v/>
      </c>
      <c r="CN2379">
        <f>IF(CH2379="","",IFERROR(IF(AND(LEN(CH2379)=9,ISERROR(FIND("-",LEFT(CH2379,8))),ISNUMBER(-LEFT(CH2379,8))),VALUE(MID(CH2379,5,2)),VALUE(MID(CH2379,FIND("-",CH2379)+1,FIND("-",CH2379,FIND("-",CH2379)+1)-FIND("-",CH2379)-1))),""))</f>
        <v/>
      </c>
      <c r="CO2379">
        <f>IF(CH2379="","",IFERROR(IF(AND(LEN(CH2379)=9,ISERROR(FIND("-",LEFT(CH2379,8))),ISNUMBER(-LEFT(CH2379,8))),VALUE(MID(CH2379,7,2)),VALUE(MID(CH2379,FIND("-",CH2379,FIND("-",CH2379)+1)+1,FIND("-",CH2379,FIND("-",CH2379,FIND("-",CH2379)+1)+1)-FIND("-",CH2379,FIND("-",CH2379)+1)-1))),""))</f>
        <v/>
      </c>
    </row>
    <row r="2380">
      <c r="CH2380">
        <f>IF(ISTEXT('월 가계부'!A2380),SUBSTITUTE(SUBSTITUTE(SUBSTITUTE(SUBSTITUTE(SUBSTITUTE(SUBSTITUTE(SUBSTITUTE(SUBSTITUTE(SUBSTITUTE(TRIM('월 가계부'!A2380),"년","-"),"월","-"),"일",""),".","-"),"/","-")," ","-"),"--","-"),"--","-"),"--","-")&amp;"-","")</f>
        <v/>
      </c>
      <c r="CI2380">
        <f>IFERROR(IF('월 가계부'!A2380="","",IF(ISNUMBER('월 가계부'!A2380),IF(AND('월 가계부'!A2380&gt;=19000101,'월 가계부'!A2380&lt;=21001231),IF(AND(MOD(INT('월 가계부'!A2380/100),100)&gt;=1,MOD(INT('월 가계부'!A2380/100),100)&lt;=12,MOD(INT('월 가계부'!A2380),100)&gt;=1,MOD(INT('월 가계부'!A2380),100)&lt;=31),IF(MONTH(DATE(INT('월 가계부'!A2380/10000),MOD(INT('월 가계부'!A2380/100),100),MOD(INT('월 가계부'!A2380),100)))=MOD(INT('월 가계부'!A2380/100),100),DATE(INT('월 가계부'!A2380/10000),MOD(INT('월 가계부'!A2380/100),100),MOD(INT('월 가계부'!A2380),100)),""),""),IF(AND('월 가계부'!A2380&gt;=36526,'월 가계부'!A2380&lt;73051),INT('월 가계부'!A2380),"")),IF(OR(CM2380="",CN2380="",CO2380=""),"",IF(AND(CM2380&gt;=2000,CM2380&lt;=2099,CN2380&gt;=1,CN2380&lt;=12,CO2380&gt;=1,CO2380&lt;=31),IF(MONTH(DATE(CM2380,CN2380,CO2380))=CN2380,DATE(CM2380,CN2380,CO2380),""),"")))),"")</f>
        <v/>
      </c>
      <c r="CJ2380">
        <f>IFERROR(IF('월 가계부'!C2380="","",IF(ISNUMBER('월 가계부'!C2380),'월 가계부'!C2380,VALUE(SUBSTITUTE(SUBSTITUTE(SUBSTITUTE(SUBSTITUTE(TRIM('월 가계부'!C2380),",",""),"원","")," ",""),"−","-")))),"")</f>
        <v/>
      </c>
      <c r="CK2380">
        <f>IF(ISNUMBER(CI2380),IF(CI2380&lt;$B$13,CI2380,""),"")</f>
        <v/>
      </c>
      <c r="CM2380">
        <f>IF(CH2380="","",IFERROR(IF(IF(AND(LEN(CH2380)=9,ISERROR(FIND("-",LEFT(CH2380,8))),ISNUMBER(-LEFT(CH2380,8))),VALUE(LEFT(CH2380,4)),VALUE(LEFT(CH2380,FIND("-",CH2380)-1)))&lt;100,IF(AND(LEN(CH2380)=9,ISERROR(FIND("-",LEFT(CH2380,8))),ISNUMBER(-LEFT(CH2380,8))),VALUE(LEFT(CH2380,4)),VALUE(LEFT(CH2380,FIND("-",CH2380)-1)))+2000,IF(AND(LEN(CH2380)=9,ISERROR(FIND("-",LEFT(CH2380,8))),ISNUMBER(-LEFT(CH2380,8))),VALUE(LEFT(CH2380,4)),VALUE(LEFT(CH2380,FIND("-",CH2380)-1)))),""))</f>
        <v/>
      </c>
      <c r="CN2380">
        <f>IF(CH2380="","",IFERROR(IF(AND(LEN(CH2380)=9,ISERROR(FIND("-",LEFT(CH2380,8))),ISNUMBER(-LEFT(CH2380,8))),VALUE(MID(CH2380,5,2)),VALUE(MID(CH2380,FIND("-",CH2380)+1,FIND("-",CH2380,FIND("-",CH2380)+1)-FIND("-",CH2380)-1))),""))</f>
        <v/>
      </c>
      <c r="CO2380">
        <f>IF(CH2380="","",IFERROR(IF(AND(LEN(CH2380)=9,ISERROR(FIND("-",LEFT(CH2380,8))),ISNUMBER(-LEFT(CH2380,8))),VALUE(MID(CH2380,7,2)),VALUE(MID(CH2380,FIND("-",CH2380,FIND("-",CH2380)+1)+1,FIND("-",CH2380,FIND("-",CH2380,FIND("-",CH2380)+1)+1)-FIND("-",CH2380,FIND("-",CH2380)+1)-1))),""))</f>
        <v/>
      </c>
    </row>
    <row r="2381">
      <c r="CH2381">
        <f>IF(ISTEXT('월 가계부'!A2381),SUBSTITUTE(SUBSTITUTE(SUBSTITUTE(SUBSTITUTE(SUBSTITUTE(SUBSTITUTE(SUBSTITUTE(SUBSTITUTE(SUBSTITUTE(TRIM('월 가계부'!A2381),"년","-"),"월","-"),"일",""),".","-"),"/","-")," ","-"),"--","-"),"--","-"),"--","-")&amp;"-","")</f>
        <v/>
      </c>
      <c r="CI2381">
        <f>IFERROR(IF('월 가계부'!A2381="","",IF(ISNUMBER('월 가계부'!A2381),IF(AND('월 가계부'!A2381&gt;=19000101,'월 가계부'!A2381&lt;=21001231),IF(AND(MOD(INT('월 가계부'!A2381/100),100)&gt;=1,MOD(INT('월 가계부'!A2381/100),100)&lt;=12,MOD(INT('월 가계부'!A2381),100)&gt;=1,MOD(INT('월 가계부'!A2381),100)&lt;=31),IF(MONTH(DATE(INT('월 가계부'!A2381/10000),MOD(INT('월 가계부'!A2381/100),100),MOD(INT('월 가계부'!A2381),100)))=MOD(INT('월 가계부'!A2381/100),100),DATE(INT('월 가계부'!A2381/10000),MOD(INT('월 가계부'!A2381/100),100),MOD(INT('월 가계부'!A2381),100)),""),""),IF(AND('월 가계부'!A2381&gt;=36526,'월 가계부'!A2381&lt;73051),INT('월 가계부'!A2381),"")),IF(OR(CM2381="",CN2381="",CO2381=""),"",IF(AND(CM2381&gt;=2000,CM2381&lt;=2099,CN2381&gt;=1,CN2381&lt;=12,CO2381&gt;=1,CO2381&lt;=31),IF(MONTH(DATE(CM2381,CN2381,CO2381))=CN2381,DATE(CM2381,CN2381,CO2381),""),"")))),"")</f>
        <v/>
      </c>
      <c r="CJ2381">
        <f>IFERROR(IF('월 가계부'!C2381="","",IF(ISNUMBER('월 가계부'!C2381),'월 가계부'!C2381,VALUE(SUBSTITUTE(SUBSTITUTE(SUBSTITUTE(SUBSTITUTE(TRIM('월 가계부'!C2381),",",""),"원","")," ",""),"−","-")))),"")</f>
        <v/>
      </c>
      <c r="CK2381">
        <f>IF(ISNUMBER(CI2381),IF(CI2381&lt;$B$13,CI2381,""),"")</f>
        <v/>
      </c>
      <c r="CM2381">
        <f>IF(CH2381="","",IFERROR(IF(IF(AND(LEN(CH2381)=9,ISERROR(FIND("-",LEFT(CH2381,8))),ISNUMBER(-LEFT(CH2381,8))),VALUE(LEFT(CH2381,4)),VALUE(LEFT(CH2381,FIND("-",CH2381)-1)))&lt;100,IF(AND(LEN(CH2381)=9,ISERROR(FIND("-",LEFT(CH2381,8))),ISNUMBER(-LEFT(CH2381,8))),VALUE(LEFT(CH2381,4)),VALUE(LEFT(CH2381,FIND("-",CH2381)-1)))+2000,IF(AND(LEN(CH2381)=9,ISERROR(FIND("-",LEFT(CH2381,8))),ISNUMBER(-LEFT(CH2381,8))),VALUE(LEFT(CH2381,4)),VALUE(LEFT(CH2381,FIND("-",CH2381)-1)))),""))</f>
        <v/>
      </c>
      <c r="CN2381">
        <f>IF(CH2381="","",IFERROR(IF(AND(LEN(CH2381)=9,ISERROR(FIND("-",LEFT(CH2381,8))),ISNUMBER(-LEFT(CH2381,8))),VALUE(MID(CH2381,5,2)),VALUE(MID(CH2381,FIND("-",CH2381)+1,FIND("-",CH2381,FIND("-",CH2381)+1)-FIND("-",CH2381)-1))),""))</f>
        <v/>
      </c>
      <c r="CO2381">
        <f>IF(CH2381="","",IFERROR(IF(AND(LEN(CH2381)=9,ISERROR(FIND("-",LEFT(CH2381,8))),ISNUMBER(-LEFT(CH2381,8))),VALUE(MID(CH2381,7,2)),VALUE(MID(CH2381,FIND("-",CH2381,FIND("-",CH2381)+1)+1,FIND("-",CH2381,FIND("-",CH2381,FIND("-",CH2381)+1)+1)-FIND("-",CH2381,FIND("-",CH2381)+1)-1))),""))</f>
        <v/>
      </c>
    </row>
    <row r="2382">
      <c r="CH2382">
        <f>IF(ISTEXT('월 가계부'!A2382),SUBSTITUTE(SUBSTITUTE(SUBSTITUTE(SUBSTITUTE(SUBSTITUTE(SUBSTITUTE(SUBSTITUTE(SUBSTITUTE(SUBSTITUTE(TRIM('월 가계부'!A2382),"년","-"),"월","-"),"일",""),".","-"),"/","-")," ","-"),"--","-"),"--","-"),"--","-")&amp;"-","")</f>
        <v/>
      </c>
      <c r="CI2382">
        <f>IFERROR(IF('월 가계부'!A2382="","",IF(ISNUMBER('월 가계부'!A2382),IF(AND('월 가계부'!A2382&gt;=19000101,'월 가계부'!A2382&lt;=21001231),IF(AND(MOD(INT('월 가계부'!A2382/100),100)&gt;=1,MOD(INT('월 가계부'!A2382/100),100)&lt;=12,MOD(INT('월 가계부'!A2382),100)&gt;=1,MOD(INT('월 가계부'!A2382),100)&lt;=31),IF(MONTH(DATE(INT('월 가계부'!A2382/10000),MOD(INT('월 가계부'!A2382/100),100),MOD(INT('월 가계부'!A2382),100)))=MOD(INT('월 가계부'!A2382/100),100),DATE(INT('월 가계부'!A2382/10000),MOD(INT('월 가계부'!A2382/100),100),MOD(INT('월 가계부'!A2382),100)),""),""),IF(AND('월 가계부'!A2382&gt;=36526,'월 가계부'!A2382&lt;73051),INT('월 가계부'!A2382),"")),IF(OR(CM2382="",CN2382="",CO2382=""),"",IF(AND(CM2382&gt;=2000,CM2382&lt;=2099,CN2382&gt;=1,CN2382&lt;=12,CO2382&gt;=1,CO2382&lt;=31),IF(MONTH(DATE(CM2382,CN2382,CO2382))=CN2382,DATE(CM2382,CN2382,CO2382),""),"")))),"")</f>
        <v/>
      </c>
      <c r="CJ2382">
        <f>IFERROR(IF('월 가계부'!C2382="","",IF(ISNUMBER('월 가계부'!C2382),'월 가계부'!C2382,VALUE(SUBSTITUTE(SUBSTITUTE(SUBSTITUTE(SUBSTITUTE(TRIM('월 가계부'!C2382),",",""),"원","")," ",""),"−","-")))),"")</f>
        <v/>
      </c>
      <c r="CK2382">
        <f>IF(ISNUMBER(CI2382),IF(CI2382&lt;$B$13,CI2382,""),"")</f>
        <v/>
      </c>
      <c r="CM2382">
        <f>IF(CH2382="","",IFERROR(IF(IF(AND(LEN(CH2382)=9,ISERROR(FIND("-",LEFT(CH2382,8))),ISNUMBER(-LEFT(CH2382,8))),VALUE(LEFT(CH2382,4)),VALUE(LEFT(CH2382,FIND("-",CH2382)-1)))&lt;100,IF(AND(LEN(CH2382)=9,ISERROR(FIND("-",LEFT(CH2382,8))),ISNUMBER(-LEFT(CH2382,8))),VALUE(LEFT(CH2382,4)),VALUE(LEFT(CH2382,FIND("-",CH2382)-1)))+2000,IF(AND(LEN(CH2382)=9,ISERROR(FIND("-",LEFT(CH2382,8))),ISNUMBER(-LEFT(CH2382,8))),VALUE(LEFT(CH2382,4)),VALUE(LEFT(CH2382,FIND("-",CH2382)-1)))),""))</f>
        <v/>
      </c>
      <c r="CN2382">
        <f>IF(CH2382="","",IFERROR(IF(AND(LEN(CH2382)=9,ISERROR(FIND("-",LEFT(CH2382,8))),ISNUMBER(-LEFT(CH2382,8))),VALUE(MID(CH2382,5,2)),VALUE(MID(CH2382,FIND("-",CH2382)+1,FIND("-",CH2382,FIND("-",CH2382)+1)-FIND("-",CH2382)-1))),""))</f>
        <v/>
      </c>
      <c r="CO2382">
        <f>IF(CH2382="","",IFERROR(IF(AND(LEN(CH2382)=9,ISERROR(FIND("-",LEFT(CH2382,8))),ISNUMBER(-LEFT(CH2382,8))),VALUE(MID(CH2382,7,2)),VALUE(MID(CH2382,FIND("-",CH2382,FIND("-",CH2382)+1)+1,FIND("-",CH2382,FIND("-",CH2382,FIND("-",CH2382)+1)+1)-FIND("-",CH2382,FIND("-",CH2382)+1)-1))),""))</f>
        <v/>
      </c>
    </row>
    <row r="2383">
      <c r="CH2383">
        <f>IF(ISTEXT('월 가계부'!A2383),SUBSTITUTE(SUBSTITUTE(SUBSTITUTE(SUBSTITUTE(SUBSTITUTE(SUBSTITUTE(SUBSTITUTE(SUBSTITUTE(SUBSTITUTE(TRIM('월 가계부'!A2383),"년","-"),"월","-"),"일",""),".","-"),"/","-")," ","-"),"--","-"),"--","-"),"--","-")&amp;"-","")</f>
        <v/>
      </c>
      <c r="CI2383">
        <f>IFERROR(IF('월 가계부'!A2383="","",IF(ISNUMBER('월 가계부'!A2383),IF(AND('월 가계부'!A2383&gt;=19000101,'월 가계부'!A2383&lt;=21001231),IF(AND(MOD(INT('월 가계부'!A2383/100),100)&gt;=1,MOD(INT('월 가계부'!A2383/100),100)&lt;=12,MOD(INT('월 가계부'!A2383),100)&gt;=1,MOD(INT('월 가계부'!A2383),100)&lt;=31),IF(MONTH(DATE(INT('월 가계부'!A2383/10000),MOD(INT('월 가계부'!A2383/100),100),MOD(INT('월 가계부'!A2383),100)))=MOD(INT('월 가계부'!A2383/100),100),DATE(INT('월 가계부'!A2383/10000),MOD(INT('월 가계부'!A2383/100),100),MOD(INT('월 가계부'!A2383),100)),""),""),IF(AND('월 가계부'!A2383&gt;=36526,'월 가계부'!A2383&lt;73051),INT('월 가계부'!A2383),"")),IF(OR(CM2383="",CN2383="",CO2383=""),"",IF(AND(CM2383&gt;=2000,CM2383&lt;=2099,CN2383&gt;=1,CN2383&lt;=12,CO2383&gt;=1,CO2383&lt;=31),IF(MONTH(DATE(CM2383,CN2383,CO2383))=CN2383,DATE(CM2383,CN2383,CO2383),""),"")))),"")</f>
        <v/>
      </c>
      <c r="CJ2383">
        <f>IFERROR(IF('월 가계부'!C2383="","",IF(ISNUMBER('월 가계부'!C2383),'월 가계부'!C2383,VALUE(SUBSTITUTE(SUBSTITUTE(SUBSTITUTE(SUBSTITUTE(TRIM('월 가계부'!C2383),",",""),"원","")," ",""),"−","-")))),"")</f>
        <v/>
      </c>
      <c r="CK2383">
        <f>IF(ISNUMBER(CI2383),IF(CI2383&lt;$B$13,CI2383,""),"")</f>
        <v/>
      </c>
      <c r="CM2383">
        <f>IF(CH2383="","",IFERROR(IF(IF(AND(LEN(CH2383)=9,ISERROR(FIND("-",LEFT(CH2383,8))),ISNUMBER(-LEFT(CH2383,8))),VALUE(LEFT(CH2383,4)),VALUE(LEFT(CH2383,FIND("-",CH2383)-1)))&lt;100,IF(AND(LEN(CH2383)=9,ISERROR(FIND("-",LEFT(CH2383,8))),ISNUMBER(-LEFT(CH2383,8))),VALUE(LEFT(CH2383,4)),VALUE(LEFT(CH2383,FIND("-",CH2383)-1)))+2000,IF(AND(LEN(CH2383)=9,ISERROR(FIND("-",LEFT(CH2383,8))),ISNUMBER(-LEFT(CH2383,8))),VALUE(LEFT(CH2383,4)),VALUE(LEFT(CH2383,FIND("-",CH2383)-1)))),""))</f>
        <v/>
      </c>
      <c r="CN2383">
        <f>IF(CH2383="","",IFERROR(IF(AND(LEN(CH2383)=9,ISERROR(FIND("-",LEFT(CH2383,8))),ISNUMBER(-LEFT(CH2383,8))),VALUE(MID(CH2383,5,2)),VALUE(MID(CH2383,FIND("-",CH2383)+1,FIND("-",CH2383,FIND("-",CH2383)+1)-FIND("-",CH2383)-1))),""))</f>
        <v/>
      </c>
      <c r="CO2383">
        <f>IF(CH2383="","",IFERROR(IF(AND(LEN(CH2383)=9,ISERROR(FIND("-",LEFT(CH2383,8))),ISNUMBER(-LEFT(CH2383,8))),VALUE(MID(CH2383,7,2)),VALUE(MID(CH2383,FIND("-",CH2383,FIND("-",CH2383)+1)+1,FIND("-",CH2383,FIND("-",CH2383,FIND("-",CH2383)+1)+1)-FIND("-",CH2383,FIND("-",CH2383)+1)-1))),""))</f>
        <v/>
      </c>
    </row>
    <row r="2384">
      <c r="CH2384">
        <f>IF(ISTEXT('월 가계부'!A2384),SUBSTITUTE(SUBSTITUTE(SUBSTITUTE(SUBSTITUTE(SUBSTITUTE(SUBSTITUTE(SUBSTITUTE(SUBSTITUTE(SUBSTITUTE(TRIM('월 가계부'!A2384),"년","-"),"월","-"),"일",""),".","-"),"/","-")," ","-"),"--","-"),"--","-"),"--","-")&amp;"-","")</f>
        <v/>
      </c>
      <c r="CI2384">
        <f>IFERROR(IF('월 가계부'!A2384="","",IF(ISNUMBER('월 가계부'!A2384),IF(AND('월 가계부'!A2384&gt;=19000101,'월 가계부'!A2384&lt;=21001231),IF(AND(MOD(INT('월 가계부'!A2384/100),100)&gt;=1,MOD(INT('월 가계부'!A2384/100),100)&lt;=12,MOD(INT('월 가계부'!A2384),100)&gt;=1,MOD(INT('월 가계부'!A2384),100)&lt;=31),IF(MONTH(DATE(INT('월 가계부'!A2384/10000),MOD(INT('월 가계부'!A2384/100),100),MOD(INT('월 가계부'!A2384),100)))=MOD(INT('월 가계부'!A2384/100),100),DATE(INT('월 가계부'!A2384/10000),MOD(INT('월 가계부'!A2384/100),100),MOD(INT('월 가계부'!A2384),100)),""),""),IF(AND('월 가계부'!A2384&gt;=36526,'월 가계부'!A2384&lt;73051),INT('월 가계부'!A2384),"")),IF(OR(CM2384="",CN2384="",CO2384=""),"",IF(AND(CM2384&gt;=2000,CM2384&lt;=2099,CN2384&gt;=1,CN2384&lt;=12,CO2384&gt;=1,CO2384&lt;=31),IF(MONTH(DATE(CM2384,CN2384,CO2384))=CN2384,DATE(CM2384,CN2384,CO2384),""),"")))),"")</f>
        <v/>
      </c>
      <c r="CJ2384">
        <f>IFERROR(IF('월 가계부'!C2384="","",IF(ISNUMBER('월 가계부'!C2384),'월 가계부'!C2384,VALUE(SUBSTITUTE(SUBSTITUTE(SUBSTITUTE(SUBSTITUTE(TRIM('월 가계부'!C2384),",",""),"원","")," ",""),"−","-")))),"")</f>
        <v/>
      </c>
      <c r="CK2384">
        <f>IF(ISNUMBER(CI2384),IF(CI2384&lt;$B$13,CI2384,""),"")</f>
        <v/>
      </c>
      <c r="CM2384">
        <f>IF(CH2384="","",IFERROR(IF(IF(AND(LEN(CH2384)=9,ISERROR(FIND("-",LEFT(CH2384,8))),ISNUMBER(-LEFT(CH2384,8))),VALUE(LEFT(CH2384,4)),VALUE(LEFT(CH2384,FIND("-",CH2384)-1)))&lt;100,IF(AND(LEN(CH2384)=9,ISERROR(FIND("-",LEFT(CH2384,8))),ISNUMBER(-LEFT(CH2384,8))),VALUE(LEFT(CH2384,4)),VALUE(LEFT(CH2384,FIND("-",CH2384)-1)))+2000,IF(AND(LEN(CH2384)=9,ISERROR(FIND("-",LEFT(CH2384,8))),ISNUMBER(-LEFT(CH2384,8))),VALUE(LEFT(CH2384,4)),VALUE(LEFT(CH2384,FIND("-",CH2384)-1)))),""))</f>
        <v/>
      </c>
      <c r="CN2384">
        <f>IF(CH2384="","",IFERROR(IF(AND(LEN(CH2384)=9,ISERROR(FIND("-",LEFT(CH2384,8))),ISNUMBER(-LEFT(CH2384,8))),VALUE(MID(CH2384,5,2)),VALUE(MID(CH2384,FIND("-",CH2384)+1,FIND("-",CH2384,FIND("-",CH2384)+1)-FIND("-",CH2384)-1))),""))</f>
        <v/>
      </c>
      <c r="CO2384">
        <f>IF(CH2384="","",IFERROR(IF(AND(LEN(CH2384)=9,ISERROR(FIND("-",LEFT(CH2384,8))),ISNUMBER(-LEFT(CH2384,8))),VALUE(MID(CH2384,7,2)),VALUE(MID(CH2384,FIND("-",CH2384,FIND("-",CH2384)+1)+1,FIND("-",CH2384,FIND("-",CH2384,FIND("-",CH2384)+1)+1)-FIND("-",CH2384,FIND("-",CH2384)+1)-1))),""))</f>
        <v/>
      </c>
    </row>
    <row r="2385">
      <c r="CH2385">
        <f>IF(ISTEXT('월 가계부'!A2385),SUBSTITUTE(SUBSTITUTE(SUBSTITUTE(SUBSTITUTE(SUBSTITUTE(SUBSTITUTE(SUBSTITUTE(SUBSTITUTE(SUBSTITUTE(TRIM('월 가계부'!A2385),"년","-"),"월","-"),"일",""),".","-"),"/","-")," ","-"),"--","-"),"--","-"),"--","-")&amp;"-","")</f>
        <v/>
      </c>
      <c r="CI2385">
        <f>IFERROR(IF('월 가계부'!A2385="","",IF(ISNUMBER('월 가계부'!A2385),IF(AND('월 가계부'!A2385&gt;=19000101,'월 가계부'!A2385&lt;=21001231),IF(AND(MOD(INT('월 가계부'!A2385/100),100)&gt;=1,MOD(INT('월 가계부'!A2385/100),100)&lt;=12,MOD(INT('월 가계부'!A2385),100)&gt;=1,MOD(INT('월 가계부'!A2385),100)&lt;=31),IF(MONTH(DATE(INT('월 가계부'!A2385/10000),MOD(INT('월 가계부'!A2385/100),100),MOD(INT('월 가계부'!A2385),100)))=MOD(INT('월 가계부'!A2385/100),100),DATE(INT('월 가계부'!A2385/10000),MOD(INT('월 가계부'!A2385/100),100),MOD(INT('월 가계부'!A2385),100)),""),""),IF(AND('월 가계부'!A2385&gt;=36526,'월 가계부'!A2385&lt;73051),INT('월 가계부'!A2385),"")),IF(OR(CM2385="",CN2385="",CO2385=""),"",IF(AND(CM2385&gt;=2000,CM2385&lt;=2099,CN2385&gt;=1,CN2385&lt;=12,CO2385&gt;=1,CO2385&lt;=31),IF(MONTH(DATE(CM2385,CN2385,CO2385))=CN2385,DATE(CM2385,CN2385,CO2385),""),"")))),"")</f>
        <v/>
      </c>
      <c r="CJ2385">
        <f>IFERROR(IF('월 가계부'!C2385="","",IF(ISNUMBER('월 가계부'!C2385),'월 가계부'!C2385,VALUE(SUBSTITUTE(SUBSTITUTE(SUBSTITUTE(SUBSTITUTE(TRIM('월 가계부'!C2385),",",""),"원","")," ",""),"−","-")))),"")</f>
        <v/>
      </c>
      <c r="CK2385">
        <f>IF(ISNUMBER(CI2385),IF(CI2385&lt;$B$13,CI2385,""),"")</f>
        <v/>
      </c>
      <c r="CM2385">
        <f>IF(CH2385="","",IFERROR(IF(IF(AND(LEN(CH2385)=9,ISERROR(FIND("-",LEFT(CH2385,8))),ISNUMBER(-LEFT(CH2385,8))),VALUE(LEFT(CH2385,4)),VALUE(LEFT(CH2385,FIND("-",CH2385)-1)))&lt;100,IF(AND(LEN(CH2385)=9,ISERROR(FIND("-",LEFT(CH2385,8))),ISNUMBER(-LEFT(CH2385,8))),VALUE(LEFT(CH2385,4)),VALUE(LEFT(CH2385,FIND("-",CH2385)-1)))+2000,IF(AND(LEN(CH2385)=9,ISERROR(FIND("-",LEFT(CH2385,8))),ISNUMBER(-LEFT(CH2385,8))),VALUE(LEFT(CH2385,4)),VALUE(LEFT(CH2385,FIND("-",CH2385)-1)))),""))</f>
        <v/>
      </c>
      <c r="CN2385">
        <f>IF(CH2385="","",IFERROR(IF(AND(LEN(CH2385)=9,ISERROR(FIND("-",LEFT(CH2385,8))),ISNUMBER(-LEFT(CH2385,8))),VALUE(MID(CH2385,5,2)),VALUE(MID(CH2385,FIND("-",CH2385)+1,FIND("-",CH2385,FIND("-",CH2385)+1)-FIND("-",CH2385)-1))),""))</f>
        <v/>
      </c>
      <c r="CO2385">
        <f>IF(CH2385="","",IFERROR(IF(AND(LEN(CH2385)=9,ISERROR(FIND("-",LEFT(CH2385,8))),ISNUMBER(-LEFT(CH2385,8))),VALUE(MID(CH2385,7,2)),VALUE(MID(CH2385,FIND("-",CH2385,FIND("-",CH2385)+1)+1,FIND("-",CH2385,FIND("-",CH2385,FIND("-",CH2385)+1)+1)-FIND("-",CH2385,FIND("-",CH2385)+1)-1))),""))</f>
        <v/>
      </c>
    </row>
    <row r="2386">
      <c r="CH2386">
        <f>IF(ISTEXT('월 가계부'!A2386),SUBSTITUTE(SUBSTITUTE(SUBSTITUTE(SUBSTITUTE(SUBSTITUTE(SUBSTITUTE(SUBSTITUTE(SUBSTITUTE(SUBSTITUTE(TRIM('월 가계부'!A2386),"년","-"),"월","-"),"일",""),".","-"),"/","-")," ","-"),"--","-"),"--","-"),"--","-")&amp;"-","")</f>
        <v/>
      </c>
      <c r="CI2386">
        <f>IFERROR(IF('월 가계부'!A2386="","",IF(ISNUMBER('월 가계부'!A2386),IF(AND('월 가계부'!A2386&gt;=19000101,'월 가계부'!A2386&lt;=21001231),IF(AND(MOD(INT('월 가계부'!A2386/100),100)&gt;=1,MOD(INT('월 가계부'!A2386/100),100)&lt;=12,MOD(INT('월 가계부'!A2386),100)&gt;=1,MOD(INT('월 가계부'!A2386),100)&lt;=31),IF(MONTH(DATE(INT('월 가계부'!A2386/10000),MOD(INT('월 가계부'!A2386/100),100),MOD(INT('월 가계부'!A2386),100)))=MOD(INT('월 가계부'!A2386/100),100),DATE(INT('월 가계부'!A2386/10000),MOD(INT('월 가계부'!A2386/100),100),MOD(INT('월 가계부'!A2386),100)),""),""),IF(AND('월 가계부'!A2386&gt;=36526,'월 가계부'!A2386&lt;73051),INT('월 가계부'!A2386),"")),IF(OR(CM2386="",CN2386="",CO2386=""),"",IF(AND(CM2386&gt;=2000,CM2386&lt;=2099,CN2386&gt;=1,CN2386&lt;=12,CO2386&gt;=1,CO2386&lt;=31),IF(MONTH(DATE(CM2386,CN2386,CO2386))=CN2386,DATE(CM2386,CN2386,CO2386),""),"")))),"")</f>
        <v/>
      </c>
      <c r="CJ2386">
        <f>IFERROR(IF('월 가계부'!C2386="","",IF(ISNUMBER('월 가계부'!C2386),'월 가계부'!C2386,VALUE(SUBSTITUTE(SUBSTITUTE(SUBSTITUTE(SUBSTITUTE(TRIM('월 가계부'!C2386),",",""),"원","")," ",""),"−","-")))),"")</f>
        <v/>
      </c>
      <c r="CK2386">
        <f>IF(ISNUMBER(CI2386),IF(CI2386&lt;$B$13,CI2386,""),"")</f>
        <v/>
      </c>
      <c r="CM2386">
        <f>IF(CH2386="","",IFERROR(IF(IF(AND(LEN(CH2386)=9,ISERROR(FIND("-",LEFT(CH2386,8))),ISNUMBER(-LEFT(CH2386,8))),VALUE(LEFT(CH2386,4)),VALUE(LEFT(CH2386,FIND("-",CH2386)-1)))&lt;100,IF(AND(LEN(CH2386)=9,ISERROR(FIND("-",LEFT(CH2386,8))),ISNUMBER(-LEFT(CH2386,8))),VALUE(LEFT(CH2386,4)),VALUE(LEFT(CH2386,FIND("-",CH2386)-1)))+2000,IF(AND(LEN(CH2386)=9,ISERROR(FIND("-",LEFT(CH2386,8))),ISNUMBER(-LEFT(CH2386,8))),VALUE(LEFT(CH2386,4)),VALUE(LEFT(CH2386,FIND("-",CH2386)-1)))),""))</f>
        <v/>
      </c>
      <c r="CN2386">
        <f>IF(CH2386="","",IFERROR(IF(AND(LEN(CH2386)=9,ISERROR(FIND("-",LEFT(CH2386,8))),ISNUMBER(-LEFT(CH2386,8))),VALUE(MID(CH2386,5,2)),VALUE(MID(CH2386,FIND("-",CH2386)+1,FIND("-",CH2386,FIND("-",CH2386)+1)-FIND("-",CH2386)-1))),""))</f>
        <v/>
      </c>
      <c r="CO2386">
        <f>IF(CH2386="","",IFERROR(IF(AND(LEN(CH2386)=9,ISERROR(FIND("-",LEFT(CH2386,8))),ISNUMBER(-LEFT(CH2386,8))),VALUE(MID(CH2386,7,2)),VALUE(MID(CH2386,FIND("-",CH2386,FIND("-",CH2386)+1)+1,FIND("-",CH2386,FIND("-",CH2386,FIND("-",CH2386)+1)+1)-FIND("-",CH2386,FIND("-",CH2386)+1)-1))),""))</f>
        <v/>
      </c>
    </row>
    <row r="2387">
      <c r="CH2387">
        <f>IF(ISTEXT('월 가계부'!A2387),SUBSTITUTE(SUBSTITUTE(SUBSTITUTE(SUBSTITUTE(SUBSTITUTE(SUBSTITUTE(SUBSTITUTE(SUBSTITUTE(SUBSTITUTE(TRIM('월 가계부'!A2387),"년","-"),"월","-"),"일",""),".","-"),"/","-")," ","-"),"--","-"),"--","-"),"--","-")&amp;"-","")</f>
        <v/>
      </c>
      <c r="CI2387">
        <f>IFERROR(IF('월 가계부'!A2387="","",IF(ISNUMBER('월 가계부'!A2387),IF(AND('월 가계부'!A2387&gt;=19000101,'월 가계부'!A2387&lt;=21001231),IF(AND(MOD(INT('월 가계부'!A2387/100),100)&gt;=1,MOD(INT('월 가계부'!A2387/100),100)&lt;=12,MOD(INT('월 가계부'!A2387),100)&gt;=1,MOD(INT('월 가계부'!A2387),100)&lt;=31),IF(MONTH(DATE(INT('월 가계부'!A2387/10000),MOD(INT('월 가계부'!A2387/100),100),MOD(INT('월 가계부'!A2387),100)))=MOD(INT('월 가계부'!A2387/100),100),DATE(INT('월 가계부'!A2387/10000),MOD(INT('월 가계부'!A2387/100),100),MOD(INT('월 가계부'!A2387),100)),""),""),IF(AND('월 가계부'!A2387&gt;=36526,'월 가계부'!A2387&lt;73051),INT('월 가계부'!A2387),"")),IF(OR(CM2387="",CN2387="",CO2387=""),"",IF(AND(CM2387&gt;=2000,CM2387&lt;=2099,CN2387&gt;=1,CN2387&lt;=12,CO2387&gt;=1,CO2387&lt;=31),IF(MONTH(DATE(CM2387,CN2387,CO2387))=CN2387,DATE(CM2387,CN2387,CO2387),""),"")))),"")</f>
        <v/>
      </c>
      <c r="CJ2387">
        <f>IFERROR(IF('월 가계부'!C2387="","",IF(ISNUMBER('월 가계부'!C2387),'월 가계부'!C2387,VALUE(SUBSTITUTE(SUBSTITUTE(SUBSTITUTE(SUBSTITUTE(TRIM('월 가계부'!C2387),",",""),"원","")," ",""),"−","-")))),"")</f>
        <v/>
      </c>
      <c r="CK2387">
        <f>IF(ISNUMBER(CI2387),IF(CI2387&lt;$B$13,CI2387,""),"")</f>
        <v/>
      </c>
      <c r="CM2387">
        <f>IF(CH2387="","",IFERROR(IF(IF(AND(LEN(CH2387)=9,ISERROR(FIND("-",LEFT(CH2387,8))),ISNUMBER(-LEFT(CH2387,8))),VALUE(LEFT(CH2387,4)),VALUE(LEFT(CH2387,FIND("-",CH2387)-1)))&lt;100,IF(AND(LEN(CH2387)=9,ISERROR(FIND("-",LEFT(CH2387,8))),ISNUMBER(-LEFT(CH2387,8))),VALUE(LEFT(CH2387,4)),VALUE(LEFT(CH2387,FIND("-",CH2387)-1)))+2000,IF(AND(LEN(CH2387)=9,ISERROR(FIND("-",LEFT(CH2387,8))),ISNUMBER(-LEFT(CH2387,8))),VALUE(LEFT(CH2387,4)),VALUE(LEFT(CH2387,FIND("-",CH2387)-1)))),""))</f>
        <v/>
      </c>
      <c r="CN2387">
        <f>IF(CH2387="","",IFERROR(IF(AND(LEN(CH2387)=9,ISERROR(FIND("-",LEFT(CH2387,8))),ISNUMBER(-LEFT(CH2387,8))),VALUE(MID(CH2387,5,2)),VALUE(MID(CH2387,FIND("-",CH2387)+1,FIND("-",CH2387,FIND("-",CH2387)+1)-FIND("-",CH2387)-1))),""))</f>
        <v/>
      </c>
      <c r="CO2387">
        <f>IF(CH2387="","",IFERROR(IF(AND(LEN(CH2387)=9,ISERROR(FIND("-",LEFT(CH2387,8))),ISNUMBER(-LEFT(CH2387,8))),VALUE(MID(CH2387,7,2)),VALUE(MID(CH2387,FIND("-",CH2387,FIND("-",CH2387)+1)+1,FIND("-",CH2387,FIND("-",CH2387,FIND("-",CH2387)+1)+1)-FIND("-",CH2387,FIND("-",CH2387)+1)-1))),""))</f>
        <v/>
      </c>
    </row>
    <row r="2388">
      <c r="CH2388">
        <f>IF(ISTEXT('월 가계부'!A2388),SUBSTITUTE(SUBSTITUTE(SUBSTITUTE(SUBSTITUTE(SUBSTITUTE(SUBSTITUTE(SUBSTITUTE(SUBSTITUTE(SUBSTITUTE(TRIM('월 가계부'!A2388),"년","-"),"월","-"),"일",""),".","-"),"/","-")," ","-"),"--","-"),"--","-"),"--","-")&amp;"-","")</f>
        <v/>
      </c>
      <c r="CI2388">
        <f>IFERROR(IF('월 가계부'!A2388="","",IF(ISNUMBER('월 가계부'!A2388),IF(AND('월 가계부'!A2388&gt;=19000101,'월 가계부'!A2388&lt;=21001231),IF(AND(MOD(INT('월 가계부'!A2388/100),100)&gt;=1,MOD(INT('월 가계부'!A2388/100),100)&lt;=12,MOD(INT('월 가계부'!A2388),100)&gt;=1,MOD(INT('월 가계부'!A2388),100)&lt;=31),IF(MONTH(DATE(INT('월 가계부'!A2388/10000),MOD(INT('월 가계부'!A2388/100),100),MOD(INT('월 가계부'!A2388),100)))=MOD(INT('월 가계부'!A2388/100),100),DATE(INT('월 가계부'!A2388/10000),MOD(INT('월 가계부'!A2388/100),100),MOD(INT('월 가계부'!A2388),100)),""),""),IF(AND('월 가계부'!A2388&gt;=36526,'월 가계부'!A2388&lt;73051),INT('월 가계부'!A2388),"")),IF(OR(CM2388="",CN2388="",CO2388=""),"",IF(AND(CM2388&gt;=2000,CM2388&lt;=2099,CN2388&gt;=1,CN2388&lt;=12,CO2388&gt;=1,CO2388&lt;=31),IF(MONTH(DATE(CM2388,CN2388,CO2388))=CN2388,DATE(CM2388,CN2388,CO2388),""),"")))),"")</f>
        <v/>
      </c>
      <c r="CJ2388">
        <f>IFERROR(IF('월 가계부'!C2388="","",IF(ISNUMBER('월 가계부'!C2388),'월 가계부'!C2388,VALUE(SUBSTITUTE(SUBSTITUTE(SUBSTITUTE(SUBSTITUTE(TRIM('월 가계부'!C2388),",",""),"원","")," ",""),"−","-")))),"")</f>
        <v/>
      </c>
      <c r="CK2388">
        <f>IF(ISNUMBER(CI2388),IF(CI2388&lt;$B$13,CI2388,""),"")</f>
        <v/>
      </c>
      <c r="CM2388">
        <f>IF(CH2388="","",IFERROR(IF(IF(AND(LEN(CH2388)=9,ISERROR(FIND("-",LEFT(CH2388,8))),ISNUMBER(-LEFT(CH2388,8))),VALUE(LEFT(CH2388,4)),VALUE(LEFT(CH2388,FIND("-",CH2388)-1)))&lt;100,IF(AND(LEN(CH2388)=9,ISERROR(FIND("-",LEFT(CH2388,8))),ISNUMBER(-LEFT(CH2388,8))),VALUE(LEFT(CH2388,4)),VALUE(LEFT(CH2388,FIND("-",CH2388)-1)))+2000,IF(AND(LEN(CH2388)=9,ISERROR(FIND("-",LEFT(CH2388,8))),ISNUMBER(-LEFT(CH2388,8))),VALUE(LEFT(CH2388,4)),VALUE(LEFT(CH2388,FIND("-",CH2388)-1)))),""))</f>
        <v/>
      </c>
      <c r="CN2388">
        <f>IF(CH2388="","",IFERROR(IF(AND(LEN(CH2388)=9,ISERROR(FIND("-",LEFT(CH2388,8))),ISNUMBER(-LEFT(CH2388,8))),VALUE(MID(CH2388,5,2)),VALUE(MID(CH2388,FIND("-",CH2388)+1,FIND("-",CH2388,FIND("-",CH2388)+1)-FIND("-",CH2388)-1))),""))</f>
        <v/>
      </c>
      <c r="CO2388">
        <f>IF(CH2388="","",IFERROR(IF(AND(LEN(CH2388)=9,ISERROR(FIND("-",LEFT(CH2388,8))),ISNUMBER(-LEFT(CH2388,8))),VALUE(MID(CH2388,7,2)),VALUE(MID(CH2388,FIND("-",CH2388,FIND("-",CH2388)+1)+1,FIND("-",CH2388,FIND("-",CH2388,FIND("-",CH2388)+1)+1)-FIND("-",CH2388,FIND("-",CH2388)+1)-1))),""))</f>
        <v/>
      </c>
    </row>
    <row r="2389">
      <c r="CH2389">
        <f>IF(ISTEXT('월 가계부'!A2389),SUBSTITUTE(SUBSTITUTE(SUBSTITUTE(SUBSTITUTE(SUBSTITUTE(SUBSTITUTE(SUBSTITUTE(SUBSTITUTE(SUBSTITUTE(TRIM('월 가계부'!A2389),"년","-"),"월","-"),"일",""),".","-"),"/","-")," ","-"),"--","-"),"--","-"),"--","-")&amp;"-","")</f>
        <v/>
      </c>
      <c r="CI2389">
        <f>IFERROR(IF('월 가계부'!A2389="","",IF(ISNUMBER('월 가계부'!A2389),IF(AND('월 가계부'!A2389&gt;=19000101,'월 가계부'!A2389&lt;=21001231),IF(AND(MOD(INT('월 가계부'!A2389/100),100)&gt;=1,MOD(INT('월 가계부'!A2389/100),100)&lt;=12,MOD(INT('월 가계부'!A2389),100)&gt;=1,MOD(INT('월 가계부'!A2389),100)&lt;=31),IF(MONTH(DATE(INT('월 가계부'!A2389/10000),MOD(INT('월 가계부'!A2389/100),100),MOD(INT('월 가계부'!A2389),100)))=MOD(INT('월 가계부'!A2389/100),100),DATE(INT('월 가계부'!A2389/10000),MOD(INT('월 가계부'!A2389/100),100),MOD(INT('월 가계부'!A2389),100)),""),""),IF(AND('월 가계부'!A2389&gt;=36526,'월 가계부'!A2389&lt;73051),INT('월 가계부'!A2389),"")),IF(OR(CM2389="",CN2389="",CO2389=""),"",IF(AND(CM2389&gt;=2000,CM2389&lt;=2099,CN2389&gt;=1,CN2389&lt;=12,CO2389&gt;=1,CO2389&lt;=31),IF(MONTH(DATE(CM2389,CN2389,CO2389))=CN2389,DATE(CM2389,CN2389,CO2389),""),"")))),"")</f>
        <v/>
      </c>
      <c r="CJ2389">
        <f>IFERROR(IF('월 가계부'!C2389="","",IF(ISNUMBER('월 가계부'!C2389),'월 가계부'!C2389,VALUE(SUBSTITUTE(SUBSTITUTE(SUBSTITUTE(SUBSTITUTE(TRIM('월 가계부'!C2389),",",""),"원","")," ",""),"−","-")))),"")</f>
        <v/>
      </c>
      <c r="CK2389">
        <f>IF(ISNUMBER(CI2389),IF(CI2389&lt;$B$13,CI2389,""),"")</f>
        <v/>
      </c>
      <c r="CM2389">
        <f>IF(CH2389="","",IFERROR(IF(IF(AND(LEN(CH2389)=9,ISERROR(FIND("-",LEFT(CH2389,8))),ISNUMBER(-LEFT(CH2389,8))),VALUE(LEFT(CH2389,4)),VALUE(LEFT(CH2389,FIND("-",CH2389)-1)))&lt;100,IF(AND(LEN(CH2389)=9,ISERROR(FIND("-",LEFT(CH2389,8))),ISNUMBER(-LEFT(CH2389,8))),VALUE(LEFT(CH2389,4)),VALUE(LEFT(CH2389,FIND("-",CH2389)-1)))+2000,IF(AND(LEN(CH2389)=9,ISERROR(FIND("-",LEFT(CH2389,8))),ISNUMBER(-LEFT(CH2389,8))),VALUE(LEFT(CH2389,4)),VALUE(LEFT(CH2389,FIND("-",CH2389)-1)))),""))</f>
        <v/>
      </c>
      <c r="CN2389">
        <f>IF(CH2389="","",IFERROR(IF(AND(LEN(CH2389)=9,ISERROR(FIND("-",LEFT(CH2389,8))),ISNUMBER(-LEFT(CH2389,8))),VALUE(MID(CH2389,5,2)),VALUE(MID(CH2389,FIND("-",CH2389)+1,FIND("-",CH2389,FIND("-",CH2389)+1)-FIND("-",CH2389)-1))),""))</f>
        <v/>
      </c>
      <c r="CO2389">
        <f>IF(CH2389="","",IFERROR(IF(AND(LEN(CH2389)=9,ISERROR(FIND("-",LEFT(CH2389,8))),ISNUMBER(-LEFT(CH2389,8))),VALUE(MID(CH2389,7,2)),VALUE(MID(CH2389,FIND("-",CH2389,FIND("-",CH2389)+1)+1,FIND("-",CH2389,FIND("-",CH2389,FIND("-",CH2389)+1)+1)-FIND("-",CH2389,FIND("-",CH2389)+1)-1))),""))</f>
        <v/>
      </c>
    </row>
    <row r="2390">
      <c r="CH2390">
        <f>IF(ISTEXT('월 가계부'!A2390),SUBSTITUTE(SUBSTITUTE(SUBSTITUTE(SUBSTITUTE(SUBSTITUTE(SUBSTITUTE(SUBSTITUTE(SUBSTITUTE(SUBSTITUTE(TRIM('월 가계부'!A2390),"년","-"),"월","-"),"일",""),".","-"),"/","-")," ","-"),"--","-"),"--","-"),"--","-")&amp;"-","")</f>
        <v/>
      </c>
      <c r="CI2390">
        <f>IFERROR(IF('월 가계부'!A2390="","",IF(ISNUMBER('월 가계부'!A2390),IF(AND('월 가계부'!A2390&gt;=19000101,'월 가계부'!A2390&lt;=21001231),IF(AND(MOD(INT('월 가계부'!A2390/100),100)&gt;=1,MOD(INT('월 가계부'!A2390/100),100)&lt;=12,MOD(INT('월 가계부'!A2390),100)&gt;=1,MOD(INT('월 가계부'!A2390),100)&lt;=31),IF(MONTH(DATE(INT('월 가계부'!A2390/10000),MOD(INT('월 가계부'!A2390/100),100),MOD(INT('월 가계부'!A2390),100)))=MOD(INT('월 가계부'!A2390/100),100),DATE(INT('월 가계부'!A2390/10000),MOD(INT('월 가계부'!A2390/100),100),MOD(INT('월 가계부'!A2390),100)),""),""),IF(AND('월 가계부'!A2390&gt;=36526,'월 가계부'!A2390&lt;73051),INT('월 가계부'!A2390),"")),IF(OR(CM2390="",CN2390="",CO2390=""),"",IF(AND(CM2390&gt;=2000,CM2390&lt;=2099,CN2390&gt;=1,CN2390&lt;=12,CO2390&gt;=1,CO2390&lt;=31),IF(MONTH(DATE(CM2390,CN2390,CO2390))=CN2390,DATE(CM2390,CN2390,CO2390),""),"")))),"")</f>
        <v/>
      </c>
      <c r="CJ2390">
        <f>IFERROR(IF('월 가계부'!C2390="","",IF(ISNUMBER('월 가계부'!C2390),'월 가계부'!C2390,VALUE(SUBSTITUTE(SUBSTITUTE(SUBSTITUTE(SUBSTITUTE(TRIM('월 가계부'!C2390),",",""),"원","")," ",""),"−","-")))),"")</f>
        <v/>
      </c>
      <c r="CK2390">
        <f>IF(ISNUMBER(CI2390),IF(CI2390&lt;$B$13,CI2390,""),"")</f>
        <v/>
      </c>
      <c r="CM2390">
        <f>IF(CH2390="","",IFERROR(IF(IF(AND(LEN(CH2390)=9,ISERROR(FIND("-",LEFT(CH2390,8))),ISNUMBER(-LEFT(CH2390,8))),VALUE(LEFT(CH2390,4)),VALUE(LEFT(CH2390,FIND("-",CH2390)-1)))&lt;100,IF(AND(LEN(CH2390)=9,ISERROR(FIND("-",LEFT(CH2390,8))),ISNUMBER(-LEFT(CH2390,8))),VALUE(LEFT(CH2390,4)),VALUE(LEFT(CH2390,FIND("-",CH2390)-1)))+2000,IF(AND(LEN(CH2390)=9,ISERROR(FIND("-",LEFT(CH2390,8))),ISNUMBER(-LEFT(CH2390,8))),VALUE(LEFT(CH2390,4)),VALUE(LEFT(CH2390,FIND("-",CH2390)-1)))),""))</f>
        <v/>
      </c>
      <c r="CN2390">
        <f>IF(CH2390="","",IFERROR(IF(AND(LEN(CH2390)=9,ISERROR(FIND("-",LEFT(CH2390,8))),ISNUMBER(-LEFT(CH2390,8))),VALUE(MID(CH2390,5,2)),VALUE(MID(CH2390,FIND("-",CH2390)+1,FIND("-",CH2390,FIND("-",CH2390)+1)-FIND("-",CH2390)-1))),""))</f>
        <v/>
      </c>
      <c r="CO2390">
        <f>IF(CH2390="","",IFERROR(IF(AND(LEN(CH2390)=9,ISERROR(FIND("-",LEFT(CH2390,8))),ISNUMBER(-LEFT(CH2390,8))),VALUE(MID(CH2390,7,2)),VALUE(MID(CH2390,FIND("-",CH2390,FIND("-",CH2390)+1)+1,FIND("-",CH2390,FIND("-",CH2390,FIND("-",CH2390)+1)+1)-FIND("-",CH2390,FIND("-",CH2390)+1)-1))),""))</f>
        <v/>
      </c>
    </row>
    <row r="2391">
      <c r="CH2391">
        <f>IF(ISTEXT('월 가계부'!A2391),SUBSTITUTE(SUBSTITUTE(SUBSTITUTE(SUBSTITUTE(SUBSTITUTE(SUBSTITUTE(SUBSTITUTE(SUBSTITUTE(SUBSTITUTE(TRIM('월 가계부'!A2391),"년","-"),"월","-"),"일",""),".","-"),"/","-")," ","-"),"--","-"),"--","-"),"--","-")&amp;"-","")</f>
        <v/>
      </c>
      <c r="CI2391">
        <f>IFERROR(IF('월 가계부'!A2391="","",IF(ISNUMBER('월 가계부'!A2391),IF(AND('월 가계부'!A2391&gt;=19000101,'월 가계부'!A2391&lt;=21001231),IF(AND(MOD(INT('월 가계부'!A2391/100),100)&gt;=1,MOD(INT('월 가계부'!A2391/100),100)&lt;=12,MOD(INT('월 가계부'!A2391),100)&gt;=1,MOD(INT('월 가계부'!A2391),100)&lt;=31),IF(MONTH(DATE(INT('월 가계부'!A2391/10000),MOD(INT('월 가계부'!A2391/100),100),MOD(INT('월 가계부'!A2391),100)))=MOD(INT('월 가계부'!A2391/100),100),DATE(INT('월 가계부'!A2391/10000),MOD(INT('월 가계부'!A2391/100),100),MOD(INT('월 가계부'!A2391),100)),""),""),IF(AND('월 가계부'!A2391&gt;=36526,'월 가계부'!A2391&lt;73051),INT('월 가계부'!A2391),"")),IF(OR(CM2391="",CN2391="",CO2391=""),"",IF(AND(CM2391&gt;=2000,CM2391&lt;=2099,CN2391&gt;=1,CN2391&lt;=12,CO2391&gt;=1,CO2391&lt;=31),IF(MONTH(DATE(CM2391,CN2391,CO2391))=CN2391,DATE(CM2391,CN2391,CO2391),""),"")))),"")</f>
        <v/>
      </c>
      <c r="CJ2391">
        <f>IFERROR(IF('월 가계부'!C2391="","",IF(ISNUMBER('월 가계부'!C2391),'월 가계부'!C2391,VALUE(SUBSTITUTE(SUBSTITUTE(SUBSTITUTE(SUBSTITUTE(TRIM('월 가계부'!C2391),",",""),"원","")," ",""),"−","-")))),"")</f>
        <v/>
      </c>
      <c r="CK2391">
        <f>IF(ISNUMBER(CI2391),IF(CI2391&lt;$B$13,CI2391,""),"")</f>
        <v/>
      </c>
      <c r="CM2391">
        <f>IF(CH2391="","",IFERROR(IF(IF(AND(LEN(CH2391)=9,ISERROR(FIND("-",LEFT(CH2391,8))),ISNUMBER(-LEFT(CH2391,8))),VALUE(LEFT(CH2391,4)),VALUE(LEFT(CH2391,FIND("-",CH2391)-1)))&lt;100,IF(AND(LEN(CH2391)=9,ISERROR(FIND("-",LEFT(CH2391,8))),ISNUMBER(-LEFT(CH2391,8))),VALUE(LEFT(CH2391,4)),VALUE(LEFT(CH2391,FIND("-",CH2391)-1)))+2000,IF(AND(LEN(CH2391)=9,ISERROR(FIND("-",LEFT(CH2391,8))),ISNUMBER(-LEFT(CH2391,8))),VALUE(LEFT(CH2391,4)),VALUE(LEFT(CH2391,FIND("-",CH2391)-1)))),""))</f>
        <v/>
      </c>
      <c r="CN2391">
        <f>IF(CH2391="","",IFERROR(IF(AND(LEN(CH2391)=9,ISERROR(FIND("-",LEFT(CH2391,8))),ISNUMBER(-LEFT(CH2391,8))),VALUE(MID(CH2391,5,2)),VALUE(MID(CH2391,FIND("-",CH2391)+1,FIND("-",CH2391,FIND("-",CH2391)+1)-FIND("-",CH2391)-1))),""))</f>
        <v/>
      </c>
      <c r="CO2391">
        <f>IF(CH2391="","",IFERROR(IF(AND(LEN(CH2391)=9,ISERROR(FIND("-",LEFT(CH2391,8))),ISNUMBER(-LEFT(CH2391,8))),VALUE(MID(CH2391,7,2)),VALUE(MID(CH2391,FIND("-",CH2391,FIND("-",CH2391)+1)+1,FIND("-",CH2391,FIND("-",CH2391,FIND("-",CH2391)+1)+1)-FIND("-",CH2391,FIND("-",CH2391)+1)-1))),""))</f>
        <v/>
      </c>
    </row>
    <row r="2392">
      <c r="CH2392">
        <f>IF(ISTEXT('월 가계부'!A2392),SUBSTITUTE(SUBSTITUTE(SUBSTITUTE(SUBSTITUTE(SUBSTITUTE(SUBSTITUTE(SUBSTITUTE(SUBSTITUTE(SUBSTITUTE(TRIM('월 가계부'!A2392),"년","-"),"월","-"),"일",""),".","-"),"/","-")," ","-"),"--","-"),"--","-"),"--","-")&amp;"-","")</f>
        <v/>
      </c>
      <c r="CI2392">
        <f>IFERROR(IF('월 가계부'!A2392="","",IF(ISNUMBER('월 가계부'!A2392),IF(AND('월 가계부'!A2392&gt;=19000101,'월 가계부'!A2392&lt;=21001231),IF(AND(MOD(INT('월 가계부'!A2392/100),100)&gt;=1,MOD(INT('월 가계부'!A2392/100),100)&lt;=12,MOD(INT('월 가계부'!A2392),100)&gt;=1,MOD(INT('월 가계부'!A2392),100)&lt;=31),IF(MONTH(DATE(INT('월 가계부'!A2392/10000),MOD(INT('월 가계부'!A2392/100),100),MOD(INT('월 가계부'!A2392),100)))=MOD(INT('월 가계부'!A2392/100),100),DATE(INT('월 가계부'!A2392/10000),MOD(INT('월 가계부'!A2392/100),100),MOD(INT('월 가계부'!A2392),100)),""),""),IF(AND('월 가계부'!A2392&gt;=36526,'월 가계부'!A2392&lt;73051),INT('월 가계부'!A2392),"")),IF(OR(CM2392="",CN2392="",CO2392=""),"",IF(AND(CM2392&gt;=2000,CM2392&lt;=2099,CN2392&gt;=1,CN2392&lt;=12,CO2392&gt;=1,CO2392&lt;=31),IF(MONTH(DATE(CM2392,CN2392,CO2392))=CN2392,DATE(CM2392,CN2392,CO2392),""),"")))),"")</f>
        <v/>
      </c>
      <c r="CJ2392">
        <f>IFERROR(IF('월 가계부'!C2392="","",IF(ISNUMBER('월 가계부'!C2392),'월 가계부'!C2392,VALUE(SUBSTITUTE(SUBSTITUTE(SUBSTITUTE(SUBSTITUTE(TRIM('월 가계부'!C2392),",",""),"원","")," ",""),"−","-")))),"")</f>
        <v/>
      </c>
      <c r="CK2392">
        <f>IF(ISNUMBER(CI2392),IF(CI2392&lt;$B$13,CI2392,""),"")</f>
        <v/>
      </c>
      <c r="CM2392">
        <f>IF(CH2392="","",IFERROR(IF(IF(AND(LEN(CH2392)=9,ISERROR(FIND("-",LEFT(CH2392,8))),ISNUMBER(-LEFT(CH2392,8))),VALUE(LEFT(CH2392,4)),VALUE(LEFT(CH2392,FIND("-",CH2392)-1)))&lt;100,IF(AND(LEN(CH2392)=9,ISERROR(FIND("-",LEFT(CH2392,8))),ISNUMBER(-LEFT(CH2392,8))),VALUE(LEFT(CH2392,4)),VALUE(LEFT(CH2392,FIND("-",CH2392)-1)))+2000,IF(AND(LEN(CH2392)=9,ISERROR(FIND("-",LEFT(CH2392,8))),ISNUMBER(-LEFT(CH2392,8))),VALUE(LEFT(CH2392,4)),VALUE(LEFT(CH2392,FIND("-",CH2392)-1)))),""))</f>
        <v/>
      </c>
      <c r="CN2392">
        <f>IF(CH2392="","",IFERROR(IF(AND(LEN(CH2392)=9,ISERROR(FIND("-",LEFT(CH2392,8))),ISNUMBER(-LEFT(CH2392,8))),VALUE(MID(CH2392,5,2)),VALUE(MID(CH2392,FIND("-",CH2392)+1,FIND("-",CH2392,FIND("-",CH2392)+1)-FIND("-",CH2392)-1))),""))</f>
        <v/>
      </c>
      <c r="CO2392">
        <f>IF(CH2392="","",IFERROR(IF(AND(LEN(CH2392)=9,ISERROR(FIND("-",LEFT(CH2392,8))),ISNUMBER(-LEFT(CH2392,8))),VALUE(MID(CH2392,7,2)),VALUE(MID(CH2392,FIND("-",CH2392,FIND("-",CH2392)+1)+1,FIND("-",CH2392,FIND("-",CH2392,FIND("-",CH2392)+1)+1)-FIND("-",CH2392,FIND("-",CH2392)+1)-1))),""))</f>
        <v/>
      </c>
    </row>
    <row r="2393">
      <c r="CH2393">
        <f>IF(ISTEXT('월 가계부'!A2393),SUBSTITUTE(SUBSTITUTE(SUBSTITUTE(SUBSTITUTE(SUBSTITUTE(SUBSTITUTE(SUBSTITUTE(SUBSTITUTE(SUBSTITUTE(TRIM('월 가계부'!A2393),"년","-"),"월","-"),"일",""),".","-"),"/","-")," ","-"),"--","-"),"--","-"),"--","-")&amp;"-","")</f>
        <v/>
      </c>
      <c r="CI2393">
        <f>IFERROR(IF('월 가계부'!A2393="","",IF(ISNUMBER('월 가계부'!A2393),IF(AND('월 가계부'!A2393&gt;=19000101,'월 가계부'!A2393&lt;=21001231),IF(AND(MOD(INT('월 가계부'!A2393/100),100)&gt;=1,MOD(INT('월 가계부'!A2393/100),100)&lt;=12,MOD(INT('월 가계부'!A2393),100)&gt;=1,MOD(INT('월 가계부'!A2393),100)&lt;=31),IF(MONTH(DATE(INT('월 가계부'!A2393/10000),MOD(INT('월 가계부'!A2393/100),100),MOD(INT('월 가계부'!A2393),100)))=MOD(INT('월 가계부'!A2393/100),100),DATE(INT('월 가계부'!A2393/10000),MOD(INT('월 가계부'!A2393/100),100),MOD(INT('월 가계부'!A2393),100)),""),""),IF(AND('월 가계부'!A2393&gt;=36526,'월 가계부'!A2393&lt;73051),INT('월 가계부'!A2393),"")),IF(OR(CM2393="",CN2393="",CO2393=""),"",IF(AND(CM2393&gt;=2000,CM2393&lt;=2099,CN2393&gt;=1,CN2393&lt;=12,CO2393&gt;=1,CO2393&lt;=31),IF(MONTH(DATE(CM2393,CN2393,CO2393))=CN2393,DATE(CM2393,CN2393,CO2393),""),"")))),"")</f>
        <v/>
      </c>
      <c r="CJ2393">
        <f>IFERROR(IF('월 가계부'!C2393="","",IF(ISNUMBER('월 가계부'!C2393),'월 가계부'!C2393,VALUE(SUBSTITUTE(SUBSTITUTE(SUBSTITUTE(SUBSTITUTE(TRIM('월 가계부'!C2393),",",""),"원","")," ",""),"−","-")))),"")</f>
        <v/>
      </c>
      <c r="CK2393">
        <f>IF(ISNUMBER(CI2393),IF(CI2393&lt;$B$13,CI2393,""),"")</f>
        <v/>
      </c>
      <c r="CM2393">
        <f>IF(CH2393="","",IFERROR(IF(IF(AND(LEN(CH2393)=9,ISERROR(FIND("-",LEFT(CH2393,8))),ISNUMBER(-LEFT(CH2393,8))),VALUE(LEFT(CH2393,4)),VALUE(LEFT(CH2393,FIND("-",CH2393)-1)))&lt;100,IF(AND(LEN(CH2393)=9,ISERROR(FIND("-",LEFT(CH2393,8))),ISNUMBER(-LEFT(CH2393,8))),VALUE(LEFT(CH2393,4)),VALUE(LEFT(CH2393,FIND("-",CH2393)-1)))+2000,IF(AND(LEN(CH2393)=9,ISERROR(FIND("-",LEFT(CH2393,8))),ISNUMBER(-LEFT(CH2393,8))),VALUE(LEFT(CH2393,4)),VALUE(LEFT(CH2393,FIND("-",CH2393)-1)))),""))</f>
        <v/>
      </c>
      <c r="CN2393">
        <f>IF(CH2393="","",IFERROR(IF(AND(LEN(CH2393)=9,ISERROR(FIND("-",LEFT(CH2393,8))),ISNUMBER(-LEFT(CH2393,8))),VALUE(MID(CH2393,5,2)),VALUE(MID(CH2393,FIND("-",CH2393)+1,FIND("-",CH2393,FIND("-",CH2393)+1)-FIND("-",CH2393)-1))),""))</f>
        <v/>
      </c>
      <c r="CO2393">
        <f>IF(CH2393="","",IFERROR(IF(AND(LEN(CH2393)=9,ISERROR(FIND("-",LEFT(CH2393,8))),ISNUMBER(-LEFT(CH2393,8))),VALUE(MID(CH2393,7,2)),VALUE(MID(CH2393,FIND("-",CH2393,FIND("-",CH2393)+1)+1,FIND("-",CH2393,FIND("-",CH2393,FIND("-",CH2393)+1)+1)-FIND("-",CH2393,FIND("-",CH2393)+1)-1))),""))</f>
        <v/>
      </c>
    </row>
    <row r="2394">
      <c r="CH2394">
        <f>IF(ISTEXT('월 가계부'!A2394),SUBSTITUTE(SUBSTITUTE(SUBSTITUTE(SUBSTITUTE(SUBSTITUTE(SUBSTITUTE(SUBSTITUTE(SUBSTITUTE(SUBSTITUTE(TRIM('월 가계부'!A2394),"년","-"),"월","-"),"일",""),".","-"),"/","-")," ","-"),"--","-"),"--","-"),"--","-")&amp;"-","")</f>
        <v/>
      </c>
      <c r="CI2394">
        <f>IFERROR(IF('월 가계부'!A2394="","",IF(ISNUMBER('월 가계부'!A2394),IF(AND('월 가계부'!A2394&gt;=19000101,'월 가계부'!A2394&lt;=21001231),IF(AND(MOD(INT('월 가계부'!A2394/100),100)&gt;=1,MOD(INT('월 가계부'!A2394/100),100)&lt;=12,MOD(INT('월 가계부'!A2394),100)&gt;=1,MOD(INT('월 가계부'!A2394),100)&lt;=31),IF(MONTH(DATE(INT('월 가계부'!A2394/10000),MOD(INT('월 가계부'!A2394/100),100),MOD(INT('월 가계부'!A2394),100)))=MOD(INT('월 가계부'!A2394/100),100),DATE(INT('월 가계부'!A2394/10000),MOD(INT('월 가계부'!A2394/100),100),MOD(INT('월 가계부'!A2394),100)),""),""),IF(AND('월 가계부'!A2394&gt;=36526,'월 가계부'!A2394&lt;73051),INT('월 가계부'!A2394),"")),IF(OR(CM2394="",CN2394="",CO2394=""),"",IF(AND(CM2394&gt;=2000,CM2394&lt;=2099,CN2394&gt;=1,CN2394&lt;=12,CO2394&gt;=1,CO2394&lt;=31),IF(MONTH(DATE(CM2394,CN2394,CO2394))=CN2394,DATE(CM2394,CN2394,CO2394),""),"")))),"")</f>
        <v/>
      </c>
      <c r="CJ2394">
        <f>IFERROR(IF('월 가계부'!C2394="","",IF(ISNUMBER('월 가계부'!C2394),'월 가계부'!C2394,VALUE(SUBSTITUTE(SUBSTITUTE(SUBSTITUTE(SUBSTITUTE(TRIM('월 가계부'!C2394),",",""),"원","")," ",""),"−","-")))),"")</f>
        <v/>
      </c>
      <c r="CK2394">
        <f>IF(ISNUMBER(CI2394),IF(CI2394&lt;$B$13,CI2394,""),"")</f>
        <v/>
      </c>
      <c r="CM2394">
        <f>IF(CH2394="","",IFERROR(IF(IF(AND(LEN(CH2394)=9,ISERROR(FIND("-",LEFT(CH2394,8))),ISNUMBER(-LEFT(CH2394,8))),VALUE(LEFT(CH2394,4)),VALUE(LEFT(CH2394,FIND("-",CH2394)-1)))&lt;100,IF(AND(LEN(CH2394)=9,ISERROR(FIND("-",LEFT(CH2394,8))),ISNUMBER(-LEFT(CH2394,8))),VALUE(LEFT(CH2394,4)),VALUE(LEFT(CH2394,FIND("-",CH2394)-1)))+2000,IF(AND(LEN(CH2394)=9,ISERROR(FIND("-",LEFT(CH2394,8))),ISNUMBER(-LEFT(CH2394,8))),VALUE(LEFT(CH2394,4)),VALUE(LEFT(CH2394,FIND("-",CH2394)-1)))),""))</f>
        <v/>
      </c>
      <c r="CN2394">
        <f>IF(CH2394="","",IFERROR(IF(AND(LEN(CH2394)=9,ISERROR(FIND("-",LEFT(CH2394,8))),ISNUMBER(-LEFT(CH2394,8))),VALUE(MID(CH2394,5,2)),VALUE(MID(CH2394,FIND("-",CH2394)+1,FIND("-",CH2394,FIND("-",CH2394)+1)-FIND("-",CH2394)-1))),""))</f>
        <v/>
      </c>
      <c r="CO2394">
        <f>IF(CH2394="","",IFERROR(IF(AND(LEN(CH2394)=9,ISERROR(FIND("-",LEFT(CH2394,8))),ISNUMBER(-LEFT(CH2394,8))),VALUE(MID(CH2394,7,2)),VALUE(MID(CH2394,FIND("-",CH2394,FIND("-",CH2394)+1)+1,FIND("-",CH2394,FIND("-",CH2394,FIND("-",CH2394)+1)+1)-FIND("-",CH2394,FIND("-",CH2394)+1)-1))),""))</f>
        <v/>
      </c>
    </row>
    <row r="2395">
      <c r="CH2395">
        <f>IF(ISTEXT('월 가계부'!A2395),SUBSTITUTE(SUBSTITUTE(SUBSTITUTE(SUBSTITUTE(SUBSTITUTE(SUBSTITUTE(SUBSTITUTE(SUBSTITUTE(SUBSTITUTE(TRIM('월 가계부'!A2395),"년","-"),"월","-"),"일",""),".","-"),"/","-")," ","-"),"--","-"),"--","-"),"--","-")&amp;"-","")</f>
        <v/>
      </c>
      <c r="CI2395">
        <f>IFERROR(IF('월 가계부'!A2395="","",IF(ISNUMBER('월 가계부'!A2395),IF(AND('월 가계부'!A2395&gt;=19000101,'월 가계부'!A2395&lt;=21001231),IF(AND(MOD(INT('월 가계부'!A2395/100),100)&gt;=1,MOD(INT('월 가계부'!A2395/100),100)&lt;=12,MOD(INT('월 가계부'!A2395),100)&gt;=1,MOD(INT('월 가계부'!A2395),100)&lt;=31),IF(MONTH(DATE(INT('월 가계부'!A2395/10000),MOD(INT('월 가계부'!A2395/100),100),MOD(INT('월 가계부'!A2395),100)))=MOD(INT('월 가계부'!A2395/100),100),DATE(INT('월 가계부'!A2395/10000),MOD(INT('월 가계부'!A2395/100),100),MOD(INT('월 가계부'!A2395),100)),""),""),IF(AND('월 가계부'!A2395&gt;=36526,'월 가계부'!A2395&lt;73051),INT('월 가계부'!A2395),"")),IF(OR(CM2395="",CN2395="",CO2395=""),"",IF(AND(CM2395&gt;=2000,CM2395&lt;=2099,CN2395&gt;=1,CN2395&lt;=12,CO2395&gt;=1,CO2395&lt;=31),IF(MONTH(DATE(CM2395,CN2395,CO2395))=CN2395,DATE(CM2395,CN2395,CO2395),""),"")))),"")</f>
        <v/>
      </c>
      <c r="CJ2395">
        <f>IFERROR(IF('월 가계부'!C2395="","",IF(ISNUMBER('월 가계부'!C2395),'월 가계부'!C2395,VALUE(SUBSTITUTE(SUBSTITUTE(SUBSTITUTE(SUBSTITUTE(TRIM('월 가계부'!C2395),",",""),"원","")," ",""),"−","-")))),"")</f>
        <v/>
      </c>
      <c r="CK2395">
        <f>IF(ISNUMBER(CI2395),IF(CI2395&lt;$B$13,CI2395,""),"")</f>
        <v/>
      </c>
      <c r="CM2395">
        <f>IF(CH2395="","",IFERROR(IF(IF(AND(LEN(CH2395)=9,ISERROR(FIND("-",LEFT(CH2395,8))),ISNUMBER(-LEFT(CH2395,8))),VALUE(LEFT(CH2395,4)),VALUE(LEFT(CH2395,FIND("-",CH2395)-1)))&lt;100,IF(AND(LEN(CH2395)=9,ISERROR(FIND("-",LEFT(CH2395,8))),ISNUMBER(-LEFT(CH2395,8))),VALUE(LEFT(CH2395,4)),VALUE(LEFT(CH2395,FIND("-",CH2395)-1)))+2000,IF(AND(LEN(CH2395)=9,ISERROR(FIND("-",LEFT(CH2395,8))),ISNUMBER(-LEFT(CH2395,8))),VALUE(LEFT(CH2395,4)),VALUE(LEFT(CH2395,FIND("-",CH2395)-1)))),""))</f>
        <v/>
      </c>
      <c r="CN2395">
        <f>IF(CH2395="","",IFERROR(IF(AND(LEN(CH2395)=9,ISERROR(FIND("-",LEFT(CH2395,8))),ISNUMBER(-LEFT(CH2395,8))),VALUE(MID(CH2395,5,2)),VALUE(MID(CH2395,FIND("-",CH2395)+1,FIND("-",CH2395,FIND("-",CH2395)+1)-FIND("-",CH2395)-1))),""))</f>
        <v/>
      </c>
      <c r="CO2395">
        <f>IF(CH2395="","",IFERROR(IF(AND(LEN(CH2395)=9,ISERROR(FIND("-",LEFT(CH2395,8))),ISNUMBER(-LEFT(CH2395,8))),VALUE(MID(CH2395,7,2)),VALUE(MID(CH2395,FIND("-",CH2395,FIND("-",CH2395)+1)+1,FIND("-",CH2395,FIND("-",CH2395,FIND("-",CH2395)+1)+1)-FIND("-",CH2395,FIND("-",CH2395)+1)-1))),""))</f>
        <v/>
      </c>
    </row>
    <row r="2396">
      <c r="CH2396">
        <f>IF(ISTEXT('월 가계부'!A2396),SUBSTITUTE(SUBSTITUTE(SUBSTITUTE(SUBSTITUTE(SUBSTITUTE(SUBSTITUTE(SUBSTITUTE(SUBSTITUTE(SUBSTITUTE(TRIM('월 가계부'!A2396),"년","-"),"월","-"),"일",""),".","-"),"/","-")," ","-"),"--","-"),"--","-"),"--","-")&amp;"-","")</f>
        <v/>
      </c>
      <c r="CI2396">
        <f>IFERROR(IF('월 가계부'!A2396="","",IF(ISNUMBER('월 가계부'!A2396),IF(AND('월 가계부'!A2396&gt;=19000101,'월 가계부'!A2396&lt;=21001231),IF(AND(MOD(INT('월 가계부'!A2396/100),100)&gt;=1,MOD(INT('월 가계부'!A2396/100),100)&lt;=12,MOD(INT('월 가계부'!A2396),100)&gt;=1,MOD(INT('월 가계부'!A2396),100)&lt;=31),IF(MONTH(DATE(INT('월 가계부'!A2396/10000),MOD(INT('월 가계부'!A2396/100),100),MOD(INT('월 가계부'!A2396),100)))=MOD(INT('월 가계부'!A2396/100),100),DATE(INT('월 가계부'!A2396/10000),MOD(INT('월 가계부'!A2396/100),100),MOD(INT('월 가계부'!A2396),100)),""),""),IF(AND('월 가계부'!A2396&gt;=36526,'월 가계부'!A2396&lt;73051),INT('월 가계부'!A2396),"")),IF(OR(CM2396="",CN2396="",CO2396=""),"",IF(AND(CM2396&gt;=2000,CM2396&lt;=2099,CN2396&gt;=1,CN2396&lt;=12,CO2396&gt;=1,CO2396&lt;=31),IF(MONTH(DATE(CM2396,CN2396,CO2396))=CN2396,DATE(CM2396,CN2396,CO2396),""),"")))),"")</f>
        <v/>
      </c>
      <c r="CJ2396">
        <f>IFERROR(IF('월 가계부'!C2396="","",IF(ISNUMBER('월 가계부'!C2396),'월 가계부'!C2396,VALUE(SUBSTITUTE(SUBSTITUTE(SUBSTITUTE(SUBSTITUTE(TRIM('월 가계부'!C2396),",",""),"원","")," ",""),"−","-")))),"")</f>
        <v/>
      </c>
      <c r="CK2396">
        <f>IF(ISNUMBER(CI2396),IF(CI2396&lt;$B$13,CI2396,""),"")</f>
        <v/>
      </c>
      <c r="CM2396">
        <f>IF(CH2396="","",IFERROR(IF(IF(AND(LEN(CH2396)=9,ISERROR(FIND("-",LEFT(CH2396,8))),ISNUMBER(-LEFT(CH2396,8))),VALUE(LEFT(CH2396,4)),VALUE(LEFT(CH2396,FIND("-",CH2396)-1)))&lt;100,IF(AND(LEN(CH2396)=9,ISERROR(FIND("-",LEFT(CH2396,8))),ISNUMBER(-LEFT(CH2396,8))),VALUE(LEFT(CH2396,4)),VALUE(LEFT(CH2396,FIND("-",CH2396)-1)))+2000,IF(AND(LEN(CH2396)=9,ISERROR(FIND("-",LEFT(CH2396,8))),ISNUMBER(-LEFT(CH2396,8))),VALUE(LEFT(CH2396,4)),VALUE(LEFT(CH2396,FIND("-",CH2396)-1)))),""))</f>
        <v/>
      </c>
      <c r="CN2396">
        <f>IF(CH2396="","",IFERROR(IF(AND(LEN(CH2396)=9,ISERROR(FIND("-",LEFT(CH2396,8))),ISNUMBER(-LEFT(CH2396,8))),VALUE(MID(CH2396,5,2)),VALUE(MID(CH2396,FIND("-",CH2396)+1,FIND("-",CH2396,FIND("-",CH2396)+1)-FIND("-",CH2396)-1))),""))</f>
        <v/>
      </c>
      <c r="CO2396">
        <f>IF(CH2396="","",IFERROR(IF(AND(LEN(CH2396)=9,ISERROR(FIND("-",LEFT(CH2396,8))),ISNUMBER(-LEFT(CH2396,8))),VALUE(MID(CH2396,7,2)),VALUE(MID(CH2396,FIND("-",CH2396,FIND("-",CH2396)+1)+1,FIND("-",CH2396,FIND("-",CH2396,FIND("-",CH2396)+1)+1)-FIND("-",CH2396,FIND("-",CH2396)+1)-1))),""))</f>
        <v/>
      </c>
    </row>
    <row r="2397">
      <c r="CH2397">
        <f>IF(ISTEXT('월 가계부'!A2397),SUBSTITUTE(SUBSTITUTE(SUBSTITUTE(SUBSTITUTE(SUBSTITUTE(SUBSTITUTE(SUBSTITUTE(SUBSTITUTE(SUBSTITUTE(TRIM('월 가계부'!A2397),"년","-"),"월","-"),"일",""),".","-"),"/","-")," ","-"),"--","-"),"--","-"),"--","-")&amp;"-","")</f>
        <v/>
      </c>
      <c r="CI2397">
        <f>IFERROR(IF('월 가계부'!A2397="","",IF(ISNUMBER('월 가계부'!A2397),IF(AND('월 가계부'!A2397&gt;=19000101,'월 가계부'!A2397&lt;=21001231),IF(AND(MOD(INT('월 가계부'!A2397/100),100)&gt;=1,MOD(INT('월 가계부'!A2397/100),100)&lt;=12,MOD(INT('월 가계부'!A2397),100)&gt;=1,MOD(INT('월 가계부'!A2397),100)&lt;=31),IF(MONTH(DATE(INT('월 가계부'!A2397/10000),MOD(INT('월 가계부'!A2397/100),100),MOD(INT('월 가계부'!A2397),100)))=MOD(INT('월 가계부'!A2397/100),100),DATE(INT('월 가계부'!A2397/10000),MOD(INT('월 가계부'!A2397/100),100),MOD(INT('월 가계부'!A2397),100)),""),""),IF(AND('월 가계부'!A2397&gt;=36526,'월 가계부'!A2397&lt;73051),INT('월 가계부'!A2397),"")),IF(OR(CM2397="",CN2397="",CO2397=""),"",IF(AND(CM2397&gt;=2000,CM2397&lt;=2099,CN2397&gt;=1,CN2397&lt;=12,CO2397&gt;=1,CO2397&lt;=31),IF(MONTH(DATE(CM2397,CN2397,CO2397))=CN2397,DATE(CM2397,CN2397,CO2397),""),"")))),"")</f>
        <v/>
      </c>
      <c r="CJ2397">
        <f>IFERROR(IF('월 가계부'!C2397="","",IF(ISNUMBER('월 가계부'!C2397),'월 가계부'!C2397,VALUE(SUBSTITUTE(SUBSTITUTE(SUBSTITUTE(SUBSTITUTE(TRIM('월 가계부'!C2397),",",""),"원","")," ",""),"−","-")))),"")</f>
        <v/>
      </c>
      <c r="CK2397">
        <f>IF(ISNUMBER(CI2397),IF(CI2397&lt;$B$13,CI2397,""),"")</f>
        <v/>
      </c>
      <c r="CM2397">
        <f>IF(CH2397="","",IFERROR(IF(IF(AND(LEN(CH2397)=9,ISERROR(FIND("-",LEFT(CH2397,8))),ISNUMBER(-LEFT(CH2397,8))),VALUE(LEFT(CH2397,4)),VALUE(LEFT(CH2397,FIND("-",CH2397)-1)))&lt;100,IF(AND(LEN(CH2397)=9,ISERROR(FIND("-",LEFT(CH2397,8))),ISNUMBER(-LEFT(CH2397,8))),VALUE(LEFT(CH2397,4)),VALUE(LEFT(CH2397,FIND("-",CH2397)-1)))+2000,IF(AND(LEN(CH2397)=9,ISERROR(FIND("-",LEFT(CH2397,8))),ISNUMBER(-LEFT(CH2397,8))),VALUE(LEFT(CH2397,4)),VALUE(LEFT(CH2397,FIND("-",CH2397)-1)))),""))</f>
        <v/>
      </c>
      <c r="CN2397">
        <f>IF(CH2397="","",IFERROR(IF(AND(LEN(CH2397)=9,ISERROR(FIND("-",LEFT(CH2397,8))),ISNUMBER(-LEFT(CH2397,8))),VALUE(MID(CH2397,5,2)),VALUE(MID(CH2397,FIND("-",CH2397)+1,FIND("-",CH2397,FIND("-",CH2397)+1)-FIND("-",CH2397)-1))),""))</f>
        <v/>
      </c>
      <c r="CO2397">
        <f>IF(CH2397="","",IFERROR(IF(AND(LEN(CH2397)=9,ISERROR(FIND("-",LEFT(CH2397,8))),ISNUMBER(-LEFT(CH2397,8))),VALUE(MID(CH2397,7,2)),VALUE(MID(CH2397,FIND("-",CH2397,FIND("-",CH2397)+1)+1,FIND("-",CH2397,FIND("-",CH2397,FIND("-",CH2397)+1)+1)-FIND("-",CH2397,FIND("-",CH2397)+1)-1))),""))</f>
        <v/>
      </c>
    </row>
    <row r="2398">
      <c r="CH2398">
        <f>IF(ISTEXT('월 가계부'!A2398),SUBSTITUTE(SUBSTITUTE(SUBSTITUTE(SUBSTITUTE(SUBSTITUTE(SUBSTITUTE(SUBSTITUTE(SUBSTITUTE(SUBSTITUTE(TRIM('월 가계부'!A2398),"년","-"),"월","-"),"일",""),".","-"),"/","-")," ","-"),"--","-"),"--","-"),"--","-")&amp;"-","")</f>
        <v/>
      </c>
      <c r="CI2398">
        <f>IFERROR(IF('월 가계부'!A2398="","",IF(ISNUMBER('월 가계부'!A2398),IF(AND('월 가계부'!A2398&gt;=19000101,'월 가계부'!A2398&lt;=21001231),IF(AND(MOD(INT('월 가계부'!A2398/100),100)&gt;=1,MOD(INT('월 가계부'!A2398/100),100)&lt;=12,MOD(INT('월 가계부'!A2398),100)&gt;=1,MOD(INT('월 가계부'!A2398),100)&lt;=31),IF(MONTH(DATE(INT('월 가계부'!A2398/10000),MOD(INT('월 가계부'!A2398/100),100),MOD(INT('월 가계부'!A2398),100)))=MOD(INT('월 가계부'!A2398/100),100),DATE(INT('월 가계부'!A2398/10000),MOD(INT('월 가계부'!A2398/100),100),MOD(INT('월 가계부'!A2398),100)),""),""),IF(AND('월 가계부'!A2398&gt;=36526,'월 가계부'!A2398&lt;73051),INT('월 가계부'!A2398),"")),IF(OR(CM2398="",CN2398="",CO2398=""),"",IF(AND(CM2398&gt;=2000,CM2398&lt;=2099,CN2398&gt;=1,CN2398&lt;=12,CO2398&gt;=1,CO2398&lt;=31),IF(MONTH(DATE(CM2398,CN2398,CO2398))=CN2398,DATE(CM2398,CN2398,CO2398),""),"")))),"")</f>
        <v/>
      </c>
      <c r="CJ2398">
        <f>IFERROR(IF('월 가계부'!C2398="","",IF(ISNUMBER('월 가계부'!C2398),'월 가계부'!C2398,VALUE(SUBSTITUTE(SUBSTITUTE(SUBSTITUTE(SUBSTITUTE(TRIM('월 가계부'!C2398),",",""),"원","")," ",""),"−","-")))),"")</f>
        <v/>
      </c>
      <c r="CK2398">
        <f>IF(ISNUMBER(CI2398),IF(CI2398&lt;$B$13,CI2398,""),"")</f>
        <v/>
      </c>
      <c r="CM2398">
        <f>IF(CH2398="","",IFERROR(IF(IF(AND(LEN(CH2398)=9,ISERROR(FIND("-",LEFT(CH2398,8))),ISNUMBER(-LEFT(CH2398,8))),VALUE(LEFT(CH2398,4)),VALUE(LEFT(CH2398,FIND("-",CH2398)-1)))&lt;100,IF(AND(LEN(CH2398)=9,ISERROR(FIND("-",LEFT(CH2398,8))),ISNUMBER(-LEFT(CH2398,8))),VALUE(LEFT(CH2398,4)),VALUE(LEFT(CH2398,FIND("-",CH2398)-1)))+2000,IF(AND(LEN(CH2398)=9,ISERROR(FIND("-",LEFT(CH2398,8))),ISNUMBER(-LEFT(CH2398,8))),VALUE(LEFT(CH2398,4)),VALUE(LEFT(CH2398,FIND("-",CH2398)-1)))),""))</f>
        <v/>
      </c>
      <c r="CN2398">
        <f>IF(CH2398="","",IFERROR(IF(AND(LEN(CH2398)=9,ISERROR(FIND("-",LEFT(CH2398,8))),ISNUMBER(-LEFT(CH2398,8))),VALUE(MID(CH2398,5,2)),VALUE(MID(CH2398,FIND("-",CH2398)+1,FIND("-",CH2398,FIND("-",CH2398)+1)-FIND("-",CH2398)-1))),""))</f>
        <v/>
      </c>
      <c r="CO2398">
        <f>IF(CH2398="","",IFERROR(IF(AND(LEN(CH2398)=9,ISERROR(FIND("-",LEFT(CH2398,8))),ISNUMBER(-LEFT(CH2398,8))),VALUE(MID(CH2398,7,2)),VALUE(MID(CH2398,FIND("-",CH2398,FIND("-",CH2398)+1)+1,FIND("-",CH2398,FIND("-",CH2398,FIND("-",CH2398)+1)+1)-FIND("-",CH2398,FIND("-",CH2398)+1)-1))),""))</f>
        <v/>
      </c>
    </row>
    <row r="2399">
      <c r="CH2399">
        <f>IF(ISTEXT('월 가계부'!A2399),SUBSTITUTE(SUBSTITUTE(SUBSTITUTE(SUBSTITUTE(SUBSTITUTE(SUBSTITUTE(SUBSTITUTE(SUBSTITUTE(SUBSTITUTE(TRIM('월 가계부'!A2399),"년","-"),"월","-"),"일",""),".","-"),"/","-")," ","-"),"--","-"),"--","-"),"--","-")&amp;"-","")</f>
        <v/>
      </c>
      <c r="CI2399">
        <f>IFERROR(IF('월 가계부'!A2399="","",IF(ISNUMBER('월 가계부'!A2399),IF(AND('월 가계부'!A2399&gt;=19000101,'월 가계부'!A2399&lt;=21001231),IF(AND(MOD(INT('월 가계부'!A2399/100),100)&gt;=1,MOD(INT('월 가계부'!A2399/100),100)&lt;=12,MOD(INT('월 가계부'!A2399),100)&gt;=1,MOD(INT('월 가계부'!A2399),100)&lt;=31),IF(MONTH(DATE(INT('월 가계부'!A2399/10000),MOD(INT('월 가계부'!A2399/100),100),MOD(INT('월 가계부'!A2399),100)))=MOD(INT('월 가계부'!A2399/100),100),DATE(INT('월 가계부'!A2399/10000),MOD(INT('월 가계부'!A2399/100),100),MOD(INT('월 가계부'!A2399),100)),""),""),IF(AND('월 가계부'!A2399&gt;=36526,'월 가계부'!A2399&lt;73051),INT('월 가계부'!A2399),"")),IF(OR(CM2399="",CN2399="",CO2399=""),"",IF(AND(CM2399&gt;=2000,CM2399&lt;=2099,CN2399&gt;=1,CN2399&lt;=12,CO2399&gt;=1,CO2399&lt;=31),IF(MONTH(DATE(CM2399,CN2399,CO2399))=CN2399,DATE(CM2399,CN2399,CO2399),""),"")))),"")</f>
        <v/>
      </c>
      <c r="CJ2399">
        <f>IFERROR(IF('월 가계부'!C2399="","",IF(ISNUMBER('월 가계부'!C2399),'월 가계부'!C2399,VALUE(SUBSTITUTE(SUBSTITUTE(SUBSTITUTE(SUBSTITUTE(TRIM('월 가계부'!C2399),",",""),"원","")," ",""),"−","-")))),"")</f>
        <v/>
      </c>
      <c r="CK2399">
        <f>IF(ISNUMBER(CI2399),IF(CI2399&lt;$B$13,CI2399,""),"")</f>
        <v/>
      </c>
      <c r="CM2399">
        <f>IF(CH2399="","",IFERROR(IF(IF(AND(LEN(CH2399)=9,ISERROR(FIND("-",LEFT(CH2399,8))),ISNUMBER(-LEFT(CH2399,8))),VALUE(LEFT(CH2399,4)),VALUE(LEFT(CH2399,FIND("-",CH2399)-1)))&lt;100,IF(AND(LEN(CH2399)=9,ISERROR(FIND("-",LEFT(CH2399,8))),ISNUMBER(-LEFT(CH2399,8))),VALUE(LEFT(CH2399,4)),VALUE(LEFT(CH2399,FIND("-",CH2399)-1)))+2000,IF(AND(LEN(CH2399)=9,ISERROR(FIND("-",LEFT(CH2399,8))),ISNUMBER(-LEFT(CH2399,8))),VALUE(LEFT(CH2399,4)),VALUE(LEFT(CH2399,FIND("-",CH2399)-1)))),""))</f>
        <v/>
      </c>
      <c r="CN2399">
        <f>IF(CH2399="","",IFERROR(IF(AND(LEN(CH2399)=9,ISERROR(FIND("-",LEFT(CH2399,8))),ISNUMBER(-LEFT(CH2399,8))),VALUE(MID(CH2399,5,2)),VALUE(MID(CH2399,FIND("-",CH2399)+1,FIND("-",CH2399,FIND("-",CH2399)+1)-FIND("-",CH2399)-1))),""))</f>
        <v/>
      </c>
      <c r="CO2399">
        <f>IF(CH2399="","",IFERROR(IF(AND(LEN(CH2399)=9,ISERROR(FIND("-",LEFT(CH2399,8))),ISNUMBER(-LEFT(CH2399,8))),VALUE(MID(CH2399,7,2)),VALUE(MID(CH2399,FIND("-",CH2399,FIND("-",CH2399)+1)+1,FIND("-",CH2399,FIND("-",CH2399,FIND("-",CH2399)+1)+1)-FIND("-",CH2399,FIND("-",CH2399)+1)-1))),""))</f>
        <v/>
      </c>
    </row>
    <row r="2400">
      <c r="CH2400">
        <f>IF(ISTEXT('월 가계부'!A2400),SUBSTITUTE(SUBSTITUTE(SUBSTITUTE(SUBSTITUTE(SUBSTITUTE(SUBSTITUTE(SUBSTITUTE(SUBSTITUTE(SUBSTITUTE(TRIM('월 가계부'!A2400),"년","-"),"월","-"),"일",""),".","-"),"/","-")," ","-"),"--","-"),"--","-"),"--","-")&amp;"-","")</f>
        <v/>
      </c>
      <c r="CI2400">
        <f>IFERROR(IF('월 가계부'!A2400="","",IF(ISNUMBER('월 가계부'!A2400),IF(AND('월 가계부'!A2400&gt;=19000101,'월 가계부'!A2400&lt;=21001231),IF(AND(MOD(INT('월 가계부'!A2400/100),100)&gt;=1,MOD(INT('월 가계부'!A2400/100),100)&lt;=12,MOD(INT('월 가계부'!A2400),100)&gt;=1,MOD(INT('월 가계부'!A2400),100)&lt;=31),IF(MONTH(DATE(INT('월 가계부'!A2400/10000),MOD(INT('월 가계부'!A2400/100),100),MOD(INT('월 가계부'!A2400),100)))=MOD(INT('월 가계부'!A2400/100),100),DATE(INT('월 가계부'!A2400/10000),MOD(INT('월 가계부'!A2400/100),100),MOD(INT('월 가계부'!A2400),100)),""),""),IF(AND('월 가계부'!A2400&gt;=36526,'월 가계부'!A2400&lt;73051),INT('월 가계부'!A2400),"")),IF(OR(CM2400="",CN2400="",CO2400=""),"",IF(AND(CM2400&gt;=2000,CM2400&lt;=2099,CN2400&gt;=1,CN2400&lt;=12,CO2400&gt;=1,CO2400&lt;=31),IF(MONTH(DATE(CM2400,CN2400,CO2400))=CN2400,DATE(CM2400,CN2400,CO2400),""),"")))),"")</f>
        <v/>
      </c>
      <c r="CJ2400">
        <f>IFERROR(IF('월 가계부'!C2400="","",IF(ISNUMBER('월 가계부'!C2400),'월 가계부'!C2400,VALUE(SUBSTITUTE(SUBSTITUTE(SUBSTITUTE(SUBSTITUTE(TRIM('월 가계부'!C2400),",",""),"원","")," ",""),"−","-")))),"")</f>
        <v/>
      </c>
      <c r="CK2400">
        <f>IF(ISNUMBER(CI2400),IF(CI2400&lt;$B$13,CI2400,""),"")</f>
        <v/>
      </c>
      <c r="CM2400">
        <f>IF(CH2400="","",IFERROR(IF(IF(AND(LEN(CH2400)=9,ISERROR(FIND("-",LEFT(CH2400,8))),ISNUMBER(-LEFT(CH2400,8))),VALUE(LEFT(CH2400,4)),VALUE(LEFT(CH2400,FIND("-",CH2400)-1)))&lt;100,IF(AND(LEN(CH2400)=9,ISERROR(FIND("-",LEFT(CH2400,8))),ISNUMBER(-LEFT(CH2400,8))),VALUE(LEFT(CH2400,4)),VALUE(LEFT(CH2400,FIND("-",CH2400)-1)))+2000,IF(AND(LEN(CH2400)=9,ISERROR(FIND("-",LEFT(CH2400,8))),ISNUMBER(-LEFT(CH2400,8))),VALUE(LEFT(CH2400,4)),VALUE(LEFT(CH2400,FIND("-",CH2400)-1)))),""))</f>
        <v/>
      </c>
      <c r="CN2400">
        <f>IF(CH2400="","",IFERROR(IF(AND(LEN(CH2400)=9,ISERROR(FIND("-",LEFT(CH2400,8))),ISNUMBER(-LEFT(CH2400,8))),VALUE(MID(CH2400,5,2)),VALUE(MID(CH2400,FIND("-",CH2400)+1,FIND("-",CH2400,FIND("-",CH2400)+1)-FIND("-",CH2400)-1))),""))</f>
        <v/>
      </c>
      <c r="CO2400">
        <f>IF(CH2400="","",IFERROR(IF(AND(LEN(CH2400)=9,ISERROR(FIND("-",LEFT(CH2400,8))),ISNUMBER(-LEFT(CH2400,8))),VALUE(MID(CH2400,7,2)),VALUE(MID(CH2400,FIND("-",CH2400,FIND("-",CH2400)+1)+1,FIND("-",CH2400,FIND("-",CH2400,FIND("-",CH2400)+1)+1)-FIND("-",CH2400,FIND("-",CH2400)+1)-1))),""))</f>
        <v/>
      </c>
    </row>
    <row r="2401">
      <c r="CH2401">
        <f>IF(ISTEXT('월 가계부'!A2401),SUBSTITUTE(SUBSTITUTE(SUBSTITUTE(SUBSTITUTE(SUBSTITUTE(SUBSTITUTE(SUBSTITUTE(SUBSTITUTE(SUBSTITUTE(TRIM('월 가계부'!A2401),"년","-"),"월","-"),"일",""),".","-"),"/","-")," ","-"),"--","-"),"--","-"),"--","-")&amp;"-","")</f>
        <v/>
      </c>
      <c r="CI2401">
        <f>IFERROR(IF('월 가계부'!A2401="","",IF(ISNUMBER('월 가계부'!A2401),IF(AND('월 가계부'!A2401&gt;=19000101,'월 가계부'!A2401&lt;=21001231),IF(AND(MOD(INT('월 가계부'!A2401/100),100)&gt;=1,MOD(INT('월 가계부'!A2401/100),100)&lt;=12,MOD(INT('월 가계부'!A2401),100)&gt;=1,MOD(INT('월 가계부'!A2401),100)&lt;=31),IF(MONTH(DATE(INT('월 가계부'!A2401/10000),MOD(INT('월 가계부'!A2401/100),100),MOD(INT('월 가계부'!A2401),100)))=MOD(INT('월 가계부'!A2401/100),100),DATE(INT('월 가계부'!A2401/10000),MOD(INT('월 가계부'!A2401/100),100),MOD(INT('월 가계부'!A2401),100)),""),""),IF(AND('월 가계부'!A2401&gt;=36526,'월 가계부'!A2401&lt;73051),INT('월 가계부'!A2401),"")),IF(OR(CM2401="",CN2401="",CO2401=""),"",IF(AND(CM2401&gt;=2000,CM2401&lt;=2099,CN2401&gt;=1,CN2401&lt;=12,CO2401&gt;=1,CO2401&lt;=31),IF(MONTH(DATE(CM2401,CN2401,CO2401))=CN2401,DATE(CM2401,CN2401,CO2401),""),"")))),"")</f>
        <v/>
      </c>
      <c r="CJ2401">
        <f>IFERROR(IF('월 가계부'!C2401="","",IF(ISNUMBER('월 가계부'!C2401),'월 가계부'!C2401,VALUE(SUBSTITUTE(SUBSTITUTE(SUBSTITUTE(SUBSTITUTE(TRIM('월 가계부'!C2401),",",""),"원","")," ",""),"−","-")))),"")</f>
        <v/>
      </c>
      <c r="CK2401">
        <f>IF(ISNUMBER(CI2401),IF(CI2401&lt;$B$13,CI2401,""),"")</f>
        <v/>
      </c>
      <c r="CM2401">
        <f>IF(CH2401="","",IFERROR(IF(IF(AND(LEN(CH2401)=9,ISERROR(FIND("-",LEFT(CH2401,8))),ISNUMBER(-LEFT(CH2401,8))),VALUE(LEFT(CH2401,4)),VALUE(LEFT(CH2401,FIND("-",CH2401)-1)))&lt;100,IF(AND(LEN(CH2401)=9,ISERROR(FIND("-",LEFT(CH2401,8))),ISNUMBER(-LEFT(CH2401,8))),VALUE(LEFT(CH2401,4)),VALUE(LEFT(CH2401,FIND("-",CH2401)-1)))+2000,IF(AND(LEN(CH2401)=9,ISERROR(FIND("-",LEFT(CH2401,8))),ISNUMBER(-LEFT(CH2401,8))),VALUE(LEFT(CH2401,4)),VALUE(LEFT(CH2401,FIND("-",CH2401)-1)))),""))</f>
        <v/>
      </c>
      <c r="CN2401">
        <f>IF(CH2401="","",IFERROR(IF(AND(LEN(CH2401)=9,ISERROR(FIND("-",LEFT(CH2401,8))),ISNUMBER(-LEFT(CH2401,8))),VALUE(MID(CH2401,5,2)),VALUE(MID(CH2401,FIND("-",CH2401)+1,FIND("-",CH2401,FIND("-",CH2401)+1)-FIND("-",CH2401)-1))),""))</f>
        <v/>
      </c>
      <c r="CO2401">
        <f>IF(CH2401="","",IFERROR(IF(AND(LEN(CH2401)=9,ISERROR(FIND("-",LEFT(CH2401,8))),ISNUMBER(-LEFT(CH2401,8))),VALUE(MID(CH2401,7,2)),VALUE(MID(CH2401,FIND("-",CH2401,FIND("-",CH2401)+1)+1,FIND("-",CH2401,FIND("-",CH2401,FIND("-",CH2401)+1)+1)-FIND("-",CH2401,FIND("-",CH2401)+1)-1))),""))</f>
        <v/>
      </c>
    </row>
    <row r="2402">
      <c r="CH2402">
        <f>IF(ISTEXT('월 가계부'!A2402),SUBSTITUTE(SUBSTITUTE(SUBSTITUTE(SUBSTITUTE(SUBSTITUTE(SUBSTITUTE(SUBSTITUTE(SUBSTITUTE(SUBSTITUTE(TRIM('월 가계부'!A2402),"년","-"),"월","-"),"일",""),".","-"),"/","-")," ","-"),"--","-"),"--","-"),"--","-")&amp;"-","")</f>
        <v/>
      </c>
      <c r="CI2402">
        <f>IFERROR(IF('월 가계부'!A2402="","",IF(ISNUMBER('월 가계부'!A2402),IF(AND('월 가계부'!A2402&gt;=19000101,'월 가계부'!A2402&lt;=21001231),IF(AND(MOD(INT('월 가계부'!A2402/100),100)&gt;=1,MOD(INT('월 가계부'!A2402/100),100)&lt;=12,MOD(INT('월 가계부'!A2402),100)&gt;=1,MOD(INT('월 가계부'!A2402),100)&lt;=31),IF(MONTH(DATE(INT('월 가계부'!A2402/10000),MOD(INT('월 가계부'!A2402/100),100),MOD(INT('월 가계부'!A2402),100)))=MOD(INT('월 가계부'!A2402/100),100),DATE(INT('월 가계부'!A2402/10000),MOD(INT('월 가계부'!A2402/100),100),MOD(INT('월 가계부'!A2402),100)),""),""),IF(AND('월 가계부'!A2402&gt;=36526,'월 가계부'!A2402&lt;73051),INT('월 가계부'!A2402),"")),IF(OR(CM2402="",CN2402="",CO2402=""),"",IF(AND(CM2402&gt;=2000,CM2402&lt;=2099,CN2402&gt;=1,CN2402&lt;=12,CO2402&gt;=1,CO2402&lt;=31),IF(MONTH(DATE(CM2402,CN2402,CO2402))=CN2402,DATE(CM2402,CN2402,CO2402),""),"")))),"")</f>
        <v/>
      </c>
      <c r="CJ2402">
        <f>IFERROR(IF('월 가계부'!C2402="","",IF(ISNUMBER('월 가계부'!C2402),'월 가계부'!C2402,VALUE(SUBSTITUTE(SUBSTITUTE(SUBSTITUTE(SUBSTITUTE(TRIM('월 가계부'!C2402),",",""),"원","")," ",""),"−","-")))),"")</f>
        <v/>
      </c>
      <c r="CK2402">
        <f>IF(ISNUMBER(CI2402),IF(CI2402&lt;$B$13,CI2402,""),"")</f>
        <v/>
      </c>
      <c r="CM2402">
        <f>IF(CH2402="","",IFERROR(IF(IF(AND(LEN(CH2402)=9,ISERROR(FIND("-",LEFT(CH2402,8))),ISNUMBER(-LEFT(CH2402,8))),VALUE(LEFT(CH2402,4)),VALUE(LEFT(CH2402,FIND("-",CH2402)-1)))&lt;100,IF(AND(LEN(CH2402)=9,ISERROR(FIND("-",LEFT(CH2402,8))),ISNUMBER(-LEFT(CH2402,8))),VALUE(LEFT(CH2402,4)),VALUE(LEFT(CH2402,FIND("-",CH2402)-1)))+2000,IF(AND(LEN(CH2402)=9,ISERROR(FIND("-",LEFT(CH2402,8))),ISNUMBER(-LEFT(CH2402,8))),VALUE(LEFT(CH2402,4)),VALUE(LEFT(CH2402,FIND("-",CH2402)-1)))),""))</f>
        <v/>
      </c>
      <c r="CN2402">
        <f>IF(CH2402="","",IFERROR(IF(AND(LEN(CH2402)=9,ISERROR(FIND("-",LEFT(CH2402,8))),ISNUMBER(-LEFT(CH2402,8))),VALUE(MID(CH2402,5,2)),VALUE(MID(CH2402,FIND("-",CH2402)+1,FIND("-",CH2402,FIND("-",CH2402)+1)-FIND("-",CH2402)-1))),""))</f>
        <v/>
      </c>
      <c r="CO2402">
        <f>IF(CH2402="","",IFERROR(IF(AND(LEN(CH2402)=9,ISERROR(FIND("-",LEFT(CH2402,8))),ISNUMBER(-LEFT(CH2402,8))),VALUE(MID(CH2402,7,2)),VALUE(MID(CH2402,FIND("-",CH2402,FIND("-",CH2402)+1)+1,FIND("-",CH2402,FIND("-",CH2402,FIND("-",CH2402)+1)+1)-FIND("-",CH2402,FIND("-",CH2402)+1)-1))),""))</f>
        <v/>
      </c>
    </row>
    <row r="2403">
      <c r="CH2403">
        <f>IF(ISTEXT('월 가계부'!A2403),SUBSTITUTE(SUBSTITUTE(SUBSTITUTE(SUBSTITUTE(SUBSTITUTE(SUBSTITUTE(SUBSTITUTE(SUBSTITUTE(SUBSTITUTE(TRIM('월 가계부'!A2403),"년","-"),"월","-"),"일",""),".","-"),"/","-")," ","-"),"--","-"),"--","-"),"--","-")&amp;"-","")</f>
        <v/>
      </c>
      <c r="CI2403">
        <f>IFERROR(IF('월 가계부'!A2403="","",IF(ISNUMBER('월 가계부'!A2403),IF(AND('월 가계부'!A2403&gt;=19000101,'월 가계부'!A2403&lt;=21001231),IF(AND(MOD(INT('월 가계부'!A2403/100),100)&gt;=1,MOD(INT('월 가계부'!A2403/100),100)&lt;=12,MOD(INT('월 가계부'!A2403),100)&gt;=1,MOD(INT('월 가계부'!A2403),100)&lt;=31),IF(MONTH(DATE(INT('월 가계부'!A2403/10000),MOD(INT('월 가계부'!A2403/100),100),MOD(INT('월 가계부'!A2403),100)))=MOD(INT('월 가계부'!A2403/100),100),DATE(INT('월 가계부'!A2403/10000),MOD(INT('월 가계부'!A2403/100),100),MOD(INT('월 가계부'!A2403),100)),""),""),IF(AND('월 가계부'!A2403&gt;=36526,'월 가계부'!A2403&lt;73051),INT('월 가계부'!A2403),"")),IF(OR(CM2403="",CN2403="",CO2403=""),"",IF(AND(CM2403&gt;=2000,CM2403&lt;=2099,CN2403&gt;=1,CN2403&lt;=12,CO2403&gt;=1,CO2403&lt;=31),IF(MONTH(DATE(CM2403,CN2403,CO2403))=CN2403,DATE(CM2403,CN2403,CO2403),""),"")))),"")</f>
        <v/>
      </c>
      <c r="CJ2403">
        <f>IFERROR(IF('월 가계부'!C2403="","",IF(ISNUMBER('월 가계부'!C2403),'월 가계부'!C2403,VALUE(SUBSTITUTE(SUBSTITUTE(SUBSTITUTE(SUBSTITUTE(TRIM('월 가계부'!C2403),",",""),"원","")," ",""),"−","-")))),"")</f>
        <v/>
      </c>
      <c r="CK2403">
        <f>IF(ISNUMBER(CI2403),IF(CI2403&lt;$B$13,CI2403,""),"")</f>
        <v/>
      </c>
      <c r="CM2403">
        <f>IF(CH2403="","",IFERROR(IF(IF(AND(LEN(CH2403)=9,ISERROR(FIND("-",LEFT(CH2403,8))),ISNUMBER(-LEFT(CH2403,8))),VALUE(LEFT(CH2403,4)),VALUE(LEFT(CH2403,FIND("-",CH2403)-1)))&lt;100,IF(AND(LEN(CH2403)=9,ISERROR(FIND("-",LEFT(CH2403,8))),ISNUMBER(-LEFT(CH2403,8))),VALUE(LEFT(CH2403,4)),VALUE(LEFT(CH2403,FIND("-",CH2403)-1)))+2000,IF(AND(LEN(CH2403)=9,ISERROR(FIND("-",LEFT(CH2403,8))),ISNUMBER(-LEFT(CH2403,8))),VALUE(LEFT(CH2403,4)),VALUE(LEFT(CH2403,FIND("-",CH2403)-1)))),""))</f>
        <v/>
      </c>
      <c r="CN2403">
        <f>IF(CH2403="","",IFERROR(IF(AND(LEN(CH2403)=9,ISERROR(FIND("-",LEFT(CH2403,8))),ISNUMBER(-LEFT(CH2403,8))),VALUE(MID(CH2403,5,2)),VALUE(MID(CH2403,FIND("-",CH2403)+1,FIND("-",CH2403,FIND("-",CH2403)+1)-FIND("-",CH2403)-1))),""))</f>
        <v/>
      </c>
      <c r="CO2403">
        <f>IF(CH2403="","",IFERROR(IF(AND(LEN(CH2403)=9,ISERROR(FIND("-",LEFT(CH2403,8))),ISNUMBER(-LEFT(CH2403,8))),VALUE(MID(CH2403,7,2)),VALUE(MID(CH2403,FIND("-",CH2403,FIND("-",CH2403)+1)+1,FIND("-",CH2403,FIND("-",CH2403,FIND("-",CH2403)+1)+1)-FIND("-",CH2403,FIND("-",CH2403)+1)-1))),""))</f>
        <v/>
      </c>
    </row>
    <row r="2404">
      <c r="CH2404">
        <f>IF(ISTEXT('월 가계부'!A2404),SUBSTITUTE(SUBSTITUTE(SUBSTITUTE(SUBSTITUTE(SUBSTITUTE(SUBSTITUTE(SUBSTITUTE(SUBSTITUTE(SUBSTITUTE(TRIM('월 가계부'!A2404),"년","-"),"월","-"),"일",""),".","-"),"/","-")," ","-"),"--","-"),"--","-"),"--","-")&amp;"-","")</f>
        <v/>
      </c>
      <c r="CI2404">
        <f>IFERROR(IF('월 가계부'!A2404="","",IF(ISNUMBER('월 가계부'!A2404),IF(AND('월 가계부'!A2404&gt;=19000101,'월 가계부'!A2404&lt;=21001231),IF(AND(MOD(INT('월 가계부'!A2404/100),100)&gt;=1,MOD(INT('월 가계부'!A2404/100),100)&lt;=12,MOD(INT('월 가계부'!A2404),100)&gt;=1,MOD(INT('월 가계부'!A2404),100)&lt;=31),IF(MONTH(DATE(INT('월 가계부'!A2404/10000),MOD(INT('월 가계부'!A2404/100),100),MOD(INT('월 가계부'!A2404),100)))=MOD(INT('월 가계부'!A2404/100),100),DATE(INT('월 가계부'!A2404/10000),MOD(INT('월 가계부'!A2404/100),100),MOD(INT('월 가계부'!A2404),100)),""),""),IF(AND('월 가계부'!A2404&gt;=36526,'월 가계부'!A2404&lt;73051),INT('월 가계부'!A2404),"")),IF(OR(CM2404="",CN2404="",CO2404=""),"",IF(AND(CM2404&gt;=2000,CM2404&lt;=2099,CN2404&gt;=1,CN2404&lt;=12,CO2404&gt;=1,CO2404&lt;=31),IF(MONTH(DATE(CM2404,CN2404,CO2404))=CN2404,DATE(CM2404,CN2404,CO2404),""),"")))),"")</f>
        <v/>
      </c>
      <c r="CJ2404">
        <f>IFERROR(IF('월 가계부'!C2404="","",IF(ISNUMBER('월 가계부'!C2404),'월 가계부'!C2404,VALUE(SUBSTITUTE(SUBSTITUTE(SUBSTITUTE(SUBSTITUTE(TRIM('월 가계부'!C2404),",",""),"원","")," ",""),"−","-")))),"")</f>
        <v/>
      </c>
      <c r="CK2404">
        <f>IF(ISNUMBER(CI2404),IF(CI2404&lt;$B$13,CI2404,""),"")</f>
        <v/>
      </c>
      <c r="CM2404">
        <f>IF(CH2404="","",IFERROR(IF(IF(AND(LEN(CH2404)=9,ISERROR(FIND("-",LEFT(CH2404,8))),ISNUMBER(-LEFT(CH2404,8))),VALUE(LEFT(CH2404,4)),VALUE(LEFT(CH2404,FIND("-",CH2404)-1)))&lt;100,IF(AND(LEN(CH2404)=9,ISERROR(FIND("-",LEFT(CH2404,8))),ISNUMBER(-LEFT(CH2404,8))),VALUE(LEFT(CH2404,4)),VALUE(LEFT(CH2404,FIND("-",CH2404)-1)))+2000,IF(AND(LEN(CH2404)=9,ISERROR(FIND("-",LEFT(CH2404,8))),ISNUMBER(-LEFT(CH2404,8))),VALUE(LEFT(CH2404,4)),VALUE(LEFT(CH2404,FIND("-",CH2404)-1)))),""))</f>
        <v/>
      </c>
      <c r="CN2404">
        <f>IF(CH2404="","",IFERROR(IF(AND(LEN(CH2404)=9,ISERROR(FIND("-",LEFT(CH2404,8))),ISNUMBER(-LEFT(CH2404,8))),VALUE(MID(CH2404,5,2)),VALUE(MID(CH2404,FIND("-",CH2404)+1,FIND("-",CH2404,FIND("-",CH2404)+1)-FIND("-",CH2404)-1))),""))</f>
        <v/>
      </c>
      <c r="CO2404">
        <f>IF(CH2404="","",IFERROR(IF(AND(LEN(CH2404)=9,ISERROR(FIND("-",LEFT(CH2404,8))),ISNUMBER(-LEFT(CH2404,8))),VALUE(MID(CH2404,7,2)),VALUE(MID(CH2404,FIND("-",CH2404,FIND("-",CH2404)+1)+1,FIND("-",CH2404,FIND("-",CH2404,FIND("-",CH2404)+1)+1)-FIND("-",CH2404,FIND("-",CH2404)+1)-1))),""))</f>
        <v/>
      </c>
    </row>
    <row r="2405">
      <c r="CH2405">
        <f>IF(ISTEXT('월 가계부'!A2405),SUBSTITUTE(SUBSTITUTE(SUBSTITUTE(SUBSTITUTE(SUBSTITUTE(SUBSTITUTE(SUBSTITUTE(SUBSTITUTE(SUBSTITUTE(TRIM('월 가계부'!A2405),"년","-"),"월","-"),"일",""),".","-"),"/","-")," ","-"),"--","-"),"--","-"),"--","-")&amp;"-","")</f>
        <v/>
      </c>
      <c r="CI2405">
        <f>IFERROR(IF('월 가계부'!A2405="","",IF(ISNUMBER('월 가계부'!A2405),IF(AND('월 가계부'!A2405&gt;=19000101,'월 가계부'!A2405&lt;=21001231),IF(AND(MOD(INT('월 가계부'!A2405/100),100)&gt;=1,MOD(INT('월 가계부'!A2405/100),100)&lt;=12,MOD(INT('월 가계부'!A2405),100)&gt;=1,MOD(INT('월 가계부'!A2405),100)&lt;=31),IF(MONTH(DATE(INT('월 가계부'!A2405/10000),MOD(INT('월 가계부'!A2405/100),100),MOD(INT('월 가계부'!A2405),100)))=MOD(INT('월 가계부'!A2405/100),100),DATE(INT('월 가계부'!A2405/10000),MOD(INT('월 가계부'!A2405/100),100),MOD(INT('월 가계부'!A2405),100)),""),""),IF(AND('월 가계부'!A2405&gt;=36526,'월 가계부'!A2405&lt;73051),INT('월 가계부'!A2405),"")),IF(OR(CM2405="",CN2405="",CO2405=""),"",IF(AND(CM2405&gt;=2000,CM2405&lt;=2099,CN2405&gt;=1,CN2405&lt;=12,CO2405&gt;=1,CO2405&lt;=31),IF(MONTH(DATE(CM2405,CN2405,CO2405))=CN2405,DATE(CM2405,CN2405,CO2405),""),"")))),"")</f>
        <v/>
      </c>
      <c r="CJ2405">
        <f>IFERROR(IF('월 가계부'!C2405="","",IF(ISNUMBER('월 가계부'!C2405),'월 가계부'!C2405,VALUE(SUBSTITUTE(SUBSTITUTE(SUBSTITUTE(SUBSTITUTE(TRIM('월 가계부'!C2405),",",""),"원","")," ",""),"−","-")))),"")</f>
        <v/>
      </c>
      <c r="CK2405">
        <f>IF(ISNUMBER(CI2405),IF(CI2405&lt;$B$13,CI2405,""),"")</f>
        <v/>
      </c>
      <c r="CM2405">
        <f>IF(CH2405="","",IFERROR(IF(IF(AND(LEN(CH2405)=9,ISERROR(FIND("-",LEFT(CH2405,8))),ISNUMBER(-LEFT(CH2405,8))),VALUE(LEFT(CH2405,4)),VALUE(LEFT(CH2405,FIND("-",CH2405)-1)))&lt;100,IF(AND(LEN(CH2405)=9,ISERROR(FIND("-",LEFT(CH2405,8))),ISNUMBER(-LEFT(CH2405,8))),VALUE(LEFT(CH2405,4)),VALUE(LEFT(CH2405,FIND("-",CH2405)-1)))+2000,IF(AND(LEN(CH2405)=9,ISERROR(FIND("-",LEFT(CH2405,8))),ISNUMBER(-LEFT(CH2405,8))),VALUE(LEFT(CH2405,4)),VALUE(LEFT(CH2405,FIND("-",CH2405)-1)))),""))</f>
        <v/>
      </c>
      <c r="CN2405">
        <f>IF(CH2405="","",IFERROR(IF(AND(LEN(CH2405)=9,ISERROR(FIND("-",LEFT(CH2405,8))),ISNUMBER(-LEFT(CH2405,8))),VALUE(MID(CH2405,5,2)),VALUE(MID(CH2405,FIND("-",CH2405)+1,FIND("-",CH2405,FIND("-",CH2405)+1)-FIND("-",CH2405)-1))),""))</f>
        <v/>
      </c>
      <c r="CO2405">
        <f>IF(CH2405="","",IFERROR(IF(AND(LEN(CH2405)=9,ISERROR(FIND("-",LEFT(CH2405,8))),ISNUMBER(-LEFT(CH2405,8))),VALUE(MID(CH2405,7,2)),VALUE(MID(CH2405,FIND("-",CH2405,FIND("-",CH2405)+1)+1,FIND("-",CH2405,FIND("-",CH2405,FIND("-",CH2405)+1)+1)-FIND("-",CH2405,FIND("-",CH2405)+1)-1))),""))</f>
        <v/>
      </c>
    </row>
    <row r="2406">
      <c r="CH2406">
        <f>IF(ISTEXT('월 가계부'!A2406),SUBSTITUTE(SUBSTITUTE(SUBSTITUTE(SUBSTITUTE(SUBSTITUTE(SUBSTITUTE(SUBSTITUTE(SUBSTITUTE(SUBSTITUTE(TRIM('월 가계부'!A2406),"년","-"),"월","-"),"일",""),".","-"),"/","-")," ","-"),"--","-"),"--","-"),"--","-")&amp;"-","")</f>
        <v/>
      </c>
      <c r="CI2406">
        <f>IFERROR(IF('월 가계부'!A2406="","",IF(ISNUMBER('월 가계부'!A2406),IF(AND('월 가계부'!A2406&gt;=19000101,'월 가계부'!A2406&lt;=21001231),IF(AND(MOD(INT('월 가계부'!A2406/100),100)&gt;=1,MOD(INT('월 가계부'!A2406/100),100)&lt;=12,MOD(INT('월 가계부'!A2406),100)&gt;=1,MOD(INT('월 가계부'!A2406),100)&lt;=31),IF(MONTH(DATE(INT('월 가계부'!A2406/10000),MOD(INT('월 가계부'!A2406/100),100),MOD(INT('월 가계부'!A2406),100)))=MOD(INT('월 가계부'!A2406/100),100),DATE(INT('월 가계부'!A2406/10000),MOD(INT('월 가계부'!A2406/100),100),MOD(INT('월 가계부'!A2406),100)),""),""),IF(AND('월 가계부'!A2406&gt;=36526,'월 가계부'!A2406&lt;73051),INT('월 가계부'!A2406),"")),IF(OR(CM2406="",CN2406="",CO2406=""),"",IF(AND(CM2406&gt;=2000,CM2406&lt;=2099,CN2406&gt;=1,CN2406&lt;=12,CO2406&gt;=1,CO2406&lt;=31),IF(MONTH(DATE(CM2406,CN2406,CO2406))=CN2406,DATE(CM2406,CN2406,CO2406),""),"")))),"")</f>
        <v/>
      </c>
      <c r="CJ2406">
        <f>IFERROR(IF('월 가계부'!C2406="","",IF(ISNUMBER('월 가계부'!C2406),'월 가계부'!C2406,VALUE(SUBSTITUTE(SUBSTITUTE(SUBSTITUTE(SUBSTITUTE(TRIM('월 가계부'!C2406),",",""),"원","")," ",""),"−","-")))),"")</f>
        <v/>
      </c>
      <c r="CK2406">
        <f>IF(ISNUMBER(CI2406),IF(CI2406&lt;$B$13,CI2406,""),"")</f>
        <v/>
      </c>
      <c r="CM2406">
        <f>IF(CH2406="","",IFERROR(IF(IF(AND(LEN(CH2406)=9,ISERROR(FIND("-",LEFT(CH2406,8))),ISNUMBER(-LEFT(CH2406,8))),VALUE(LEFT(CH2406,4)),VALUE(LEFT(CH2406,FIND("-",CH2406)-1)))&lt;100,IF(AND(LEN(CH2406)=9,ISERROR(FIND("-",LEFT(CH2406,8))),ISNUMBER(-LEFT(CH2406,8))),VALUE(LEFT(CH2406,4)),VALUE(LEFT(CH2406,FIND("-",CH2406)-1)))+2000,IF(AND(LEN(CH2406)=9,ISERROR(FIND("-",LEFT(CH2406,8))),ISNUMBER(-LEFT(CH2406,8))),VALUE(LEFT(CH2406,4)),VALUE(LEFT(CH2406,FIND("-",CH2406)-1)))),""))</f>
        <v/>
      </c>
      <c r="CN2406">
        <f>IF(CH2406="","",IFERROR(IF(AND(LEN(CH2406)=9,ISERROR(FIND("-",LEFT(CH2406,8))),ISNUMBER(-LEFT(CH2406,8))),VALUE(MID(CH2406,5,2)),VALUE(MID(CH2406,FIND("-",CH2406)+1,FIND("-",CH2406,FIND("-",CH2406)+1)-FIND("-",CH2406)-1))),""))</f>
        <v/>
      </c>
      <c r="CO2406">
        <f>IF(CH2406="","",IFERROR(IF(AND(LEN(CH2406)=9,ISERROR(FIND("-",LEFT(CH2406,8))),ISNUMBER(-LEFT(CH2406,8))),VALUE(MID(CH2406,7,2)),VALUE(MID(CH2406,FIND("-",CH2406,FIND("-",CH2406)+1)+1,FIND("-",CH2406,FIND("-",CH2406,FIND("-",CH2406)+1)+1)-FIND("-",CH2406,FIND("-",CH2406)+1)-1))),""))</f>
        <v/>
      </c>
    </row>
    <row r="2407">
      <c r="CH2407">
        <f>IF(ISTEXT('월 가계부'!A2407),SUBSTITUTE(SUBSTITUTE(SUBSTITUTE(SUBSTITUTE(SUBSTITUTE(SUBSTITUTE(SUBSTITUTE(SUBSTITUTE(SUBSTITUTE(TRIM('월 가계부'!A2407),"년","-"),"월","-"),"일",""),".","-"),"/","-")," ","-"),"--","-"),"--","-"),"--","-")&amp;"-","")</f>
        <v/>
      </c>
      <c r="CI2407">
        <f>IFERROR(IF('월 가계부'!A2407="","",IF(ISNUMBER('월 가계부'!A2407),IF(AND('월 가계부'!A2407&gt;=19000101,'월 가계부'!A2407&lt;=21001231),IF(AND(MOD(INT('월 가계부'!A2407/100),100)&gt;=1,MOD(INT('월 가계부'!A2407/100),100)&lt;=12,MOD(INT('월 가계부'!A2407),100)&gt;=1,MOD(INT('월 가계부'!A2407),100)&lt;=31),IF(MONTH(DATE(INT('월 가계부'!A2407/10000),MOD(INT('월 가계부'!A2407/100),100),MOD(INT('월 가계부'!A2407),100)))=MOD(INT('월 가계부'!A2407/100),100),DATE(INT('월 가계부'!A2407/10000),MOD(INT('월 가계부'!A2407/100),100),MOD(INT('월 가계부'!A2407),100)),""),""),IF(AND('월 가계부'!A2407&gt;=36526,'월 가계부'!A2407&lt;73051),INT('월 가계부'!A2407),"")),IF(OR(CM2407="",CN2407="",CO2407=""),"",IF(AND(CM2407&gt;=2000,CM2407&lt;=2099,CN2407&gt;=1,CN2407&lt;=12,CO2407&gt;=1,CO2407&lt;=31),IF(MONTH(DATE(CM2407,CN2407,CO2407))=CN2407,DATE(CM2407,CN2407,CO2407),""),"")))),"")</f>
        <v/>
      </c>
      <c r="CJ2407">
        <f>IFERROR(IF('월 가계부'!C2407="","",IF(ISNUMBER('월 가계부'!C2407),'월 가계부'!C2407,VALUE(SUBSTITUTE(SUBSTITUTE(SUBSTITUTE(SUBSTITUTE(TRIM('월 가계부'!C2407),",",""),"원","")," ",""),"−","-")))),"")</f>
        <v/>
      </c>
      <c r="CK2407">
        <f>IF(ISNUMBER(CI2407),IF(CI2407&lt;$B$13,CI2407,""),"")</f>
        <v/>
      </c>
      <c r="CM2407">
        <f>IF(CH2407="","",IFERROR(IF(IF(AND(LEN(CH2407)=9,ISERROR(FIND("-",LEFT(CH2407,8))),ISNUMBER(-LEFT(CH2407,8))),VALUE(LEFT(CH2407,4)),VALUE(LEFT(CH2407,FIND("-",CH2407)-1)))&lt;100,IF(AND(LEN(CH2407)=9,ISERROR(FIND("-",LEFT(CH2407,8))),ISNUMBER(-LEFT(CH2407,8))),VALUE(LEFT(CH2407,4)),VALUE(LEFT(CH2407,FIND("-",CH2407)-1)))+2000,IF(AND(LEN(CH2407)=9,ISERROR(FIND("-",LEFT(CH2407,8))),ISNUMBER(-LEFT(CH2407,8))),VALUE(LEFT(CH2407,4)),VALUE(LEFT(CH2407,FIND("-",CH2407)-1)))),""))</f>
        <v/>
      </c>
      <c r="CN2407">
        <f>IF(CH2407="","",IFERROR(IF(AND(LEN(CH2407)=9,ISERROR(FIND("-",LEFT(CH2407,8))),ISNUMBER(-LEFT(CH2407,8))),VALUE(MID(CH2407,5,2)),VALUE(MID(CH2407,FIND("-",CH2407)+1,FIND("-",CH2407,FIND("-",CH2407)+1)-FIND("-",CH2407)-1))),""))</f>
        <v/>
      </c>
      <c r="CO2407">
        <f>IF(CH2407="","",IFERROR(IF(AND(LEN(CH2407)=9,ISERROR(FIND("-",LEFT(CH2407,8))),ISNUMBER(-LEFT(CH2407,8))),VALUE(MID(CH2407,7,2)),VALUE(MID(CH2407,FIND("-",CH2407,FIND("-",CH2407)+1)+1,FIND("-",CH2407,FIND("-",CH2407,FIND("-",CH2407)+1)+1)-FIND("-",CH2407,FIND("-",CH2407)+1)-1))),""))</f>
        <v/>
      </c>
    </row>
    <row r="2408">
      <c r="CH2408">
        <f>IF(ISTEXT('월 가계부'!A2408),SUBSTITUTE(SUBSTITUTE(SUBSTITUTE(SUBSTITUTE(SUBSTITUTE(SUBSTITUTE(SUBSTITUTE(SUBSTITUTE(SUBSTITUTE(TRIM('월 가계부'!A2408),"년","-"),"월","-"),"일",""),".","-"),"/","-")," ","-"),"--","-"),"--","-"),"--","-")&amp;"-","")</f>
        <v/>
      </c>
      <c r="CI2408">
        <f>IFERROR(IF('월 가계부'!A2408="","",IF(ISNUMBER('월 가계부'!A2408),IF(AND('월 가계부'!A2408&gt;=19000101,'월 가계부'!A2408&lt;=21001231),IF(AND(MOD(INT('월 가계부'!A2408/100),100)&gt;=1,MOD(INT('월 가계부'!A2408/100),100)&lt;=12,MOD(INT('월 가계부'!A2408),100)&gt;=1,MOD(INT('월 가계부'!A2408),100)&lt;=31),IF(MONTH(DATE(INT('월 가계부'!A2408/10000),MOD(INT('월 가계부'!A2408/100),100),MOD(INT('월 가계부'!A2408),100)))=MOD(INT('월 가계부'!A2408/100),100),DATE(INT('월 가계부'!A2408/10000),MOD(INT('월 가계부'!A2408/100),100),MOD(INT('월 가계부'!A2408),100)),""),""),IF(AND('월 가계부'!A2408&gt;=36526,'월 가계부'!A2408&lt;73051),INT('월 가계부'!A2408),"")),IF(OR(CM2408="",CN2408="",CO2408=""),"",IF(AND(CM2408&gt;=2000,CM2408&lt;=2099,CN2408&gt;=1,CN2408&lt;=12,CO2408&gt;=1,CO2408&lt;=31),IF(MONTH(DATE(CM2408,CN2408,CO2408))=CN2408,DATE(CM2408,CN2408,CO2408),""),"")))),"")</f>
        <v/>
      </c>
      <c r="CJ2408">
        <f>IFERROR(IF('월 가계부'!C2408="","",IF(ISNUMBER('월 가계부'!C2408),'월 가계부'!C2408,VALUE(SUBSTITUTE(SUBSTITUTE(SUBSTITUTE(SUBSTITUTE(TRIM('월 가계부'!C2408),",",""),"원","")," ",""),"−","-")))),"")</f>
        <v/>
      </c>
      <c r="CK2408">
        <f>IF(ISNUMBER(CI2408),IF(CI2408&lt;$B$13,CI2408,""),"")</f>
        <v/>
      </c>
      <c r="CM2408">
        <f>IF(CH2408="","",IFERROR(IF(IF(AND(LEN(CH2408)=9,ISERROR(FIND("-",LEFT(CH2408,8))),ISNUMBER(-LEFT(CH2408,8))),VALUE(LEFT(CH2408,4)),VALUE(LEFT(CH2408,FIND("-",CH2408)-1)))&lt;100,IF(AND(LEN(CH2408)=9,ISERROR(FIND("-",LEFT(CH2408,8))),ISNUMBER(-LEFT(CH2408,8))),VALUE(LEFT(CH2408,4)),VALUE(LEFT(CH2408,FIND("-",CH2408)-1)))+2000,IF(AND(LEN(CH2408)=9,ISERROR(FIND("-",LEFT(CH2408,8))),ISNUMBER(-LEFT(CH2408,8))),VALUE(LEFT(CH2408,4)),VALUE(LEFT(CH2408,FIND("-",CH2408)-1)))),""))</f>
        <v/>
      </c>
      <c r="CN2408">
        <f>IF(CH2408="","",IFERROR(IF(AND(LEN(CH2408)=9,ISERROR(FIND("-",LEFT(CH2408,8))),ISNUMBER(-LEFT(CH2408,8))),VALUE(MID(CH2408,5,2)),VALUE(MID(CH2408,FIND("-",CH2408)+1,FIND("-",CH2408,FIND("-",CH2408)+1)-FIND("-",CH2408)-1))),""))</f>
        <v/>
      </c>
      <c r="CO2408">
        <f>IF(CH2408="","",IFERROR(IF(AND(LEN(CH2408)=9,ISERROR(FIND("-",LEFT(CH2408,8))),ISNUMBER(-LEFT(CH2408,8))),VALUE(MID(CH2408,7,2)),VALUE(MID(CH2408,FIND("-",CH2408,FIND("-",CH2408)+1)+1,FIND("-",CH2408,FIND("-",CH2408,FIND("-",CH2408)+1)+1)-FIND("-",CH2408,FIND("-",CH2408)+1)-1))),""))</f>
        <v/>
      </c>
    </row>
    <row r="2409">
      <c r="CH2409">
        <f>IF(ISTEXT('월 가계부'!A2409),SUBSTITUTE(SUBSTITUTE(SUBSTITUTE(SUBSTITUTE(SUBSTITUTE(SUBSTITUTE(SUBSTITUTE(SUBSTITUTE(SUBSTITUTE(TRIM('월 가계부'!A2409),"년","-"),"월","-"),"일",""),".","-"),"/","-")," ","-"),"--","-"),"--","-"),"--","-")&amp;"-","")</f>
        <v/>
      </c>
      <c r="CI2409">
        <f>IFERROR(IF('월 가계부'!A2409="","",IF(ISNUMBER('월 가계부'!A2409),IF(AND('월 가계부'!A2409&gt;=19000101,'월 가계부'!A2409&lt;=21001231),IF(AND(MOD(INT('월 가계부'!A2409/100),100)&gt;=1,MOD(INT('월 가계부'!A2409/100),100)&lt;=12,MOD(INT('월 가계부'!A2409),100)&gt;=1,MOD(INT('월 가계부'!A2409),100)&lt;=31),IF(MONTH(DATE(INT('월 가계부'!A2409/10000),MOD(INT('월 가계부'!A2409/100),100),MOD(INT('월 가계부'!A2409),100)))=MOD(INT('월 가계부'!A2409/100),100),DATE(INT('월 가계부'!A2409/10000),MOD(INT('월 가계부'!A2409/100),100),MOD(INT('월 가계부'!A2409),100)),""),""),IF(AND('월 가계부'!A2409&gt;=36526,'월 가계부'!A2409&lt;73051),INT('월 가계부'!A2409),"")),IF(OR(CM2409="",CN2409="",CO2409=""),"",IF(AND(CM2409&gt;=2000,CM2409&lt;=2099,CN2409&gt;=1,CN2409&lt;=12,CO2409&gt;=1,CO2409&lt;=31),IF(MONTH(DATE(CM2409,CN2409,CO2409))=CN2409,DATE(CM2409,CN2409,CO2409),""),"")))),"")</f>
        <v/>
      </c>
      <c r="CJ2409">
        <f>IFERROR(IF('월 가계부'!C2409="","",IF(ISNUMBER('월 가계부'!C2409),'월 가계부'!C2409,VALUE(SUBSTITUTE(SUBSTITUTE(SUBSTITUTE(SUBSTITUTE(TRIM('월 가계부'!C2409),",",""),"원","")," ",""),"−","-")))),"")</f>
        <v/>
      </c>
      <c r="CK2409">
        <f>IF(ISNUMBER(CI2409),IF(CI2409&lt;$B$13,CI2409,""),"")</f>
        <v/>
      </c>
      <c r="CM2409">
        <f>IF(CH2409="","",IFERROR(IF(IF(AND(LEN(CH2409)=9,ISERROR(FIND("-",LEFT(CH2409,8))),ISNUMBER(-LEFT(CH2409,8))),VALUE(LEFT(CH2409,4)),VALUE(LEFT(CH2409,FIND("-",CH2409)-1)))&lt;100,IF(AND(LEN(CH2409)=9,ISERROR(FIND("-",LEFT(CH2409,8))),ISNUMBER(-LEFT(CH2409,8))),VALUE(LEFT(CH2409,4)),VALUE(LEFT(CH2409,FIND("-",CH2409)-1)))+2000,IF(AND(LEN(CH2409)=9,ISERROR(FIND("-",LEFT(CH2409,8))),ISNUMBER(-LEFT(CH2409,8))),VALUE(LEFT(CH2409,4)),VALUE(LEFT(CH2409,FIND("-",CH2409)-1)))),""))</f>
        <v/>
      </c>
      <c r="CN2409">
        <f>IF(CH2409="","",IFERROR(IF(AND(LEN(CH2409)=9,ISERROR(FIND("-",LEFT(CH2409,8))),ISNUMBER(-LEFT(CH2409,8))),VALUE(MID(CH2409,5,2)),VALUE(MID(CH2409,FIND("-",CH2409)+1,FIND("-",CH2409,FIND("-",CH2409)+1)-FIND("-",CH2409)-1))),""))</f>
        <v/>
      </c>
      <c r="CO2409">
        <f>IF(CH2409="","",IFERROR(IF(AND(LEN(CH2409)=9,ISERROR(FIND("-",LEFT(CH2409,8))),ISNUMBER(-LEFT(CH2409,8))),VALUE(MID(CH2409,7,2)),VALUE(MID(CH2409,FIND("-",CH2409,FIND("-",CH2409)+1)+1,FIND("-",CH2409,FIND("-",CH2409,FIND("-",CH2409)+1)+1)-FIND("-",CH2409,FIND("-",CH2409)+1)-1))),""))</f>
        <v/>
      </c>
    </row>
    <row r="2410">
      <c r="CH2410">
        <f>IF(ISTEXT('월 가계부'!A2410),SUBSTITUTE(SUBSTITUTE(SUBSTITUTE(SUBSTITUTE(SUBSTITUTE(SUBSTITUTE(SUBSTITUTE(SUBSTITUTE(SUBSTITUTE(TRIM('월 가계부'!A2410),"년","-"),"월","-"),"일",""),".","-"),"/","-")," ","-"),"--","-"),"--","-"),"--","-")&amp;"-","")</f>
        <v/>
      </c>
      <c r="CI2410">
        <f>IFERROR(IF('월 가계부'!A2410="","",IF(ISNUMBER('월 가계부'!A2410),IF(AND('월 가계부'!A2410&gt;=19000101,'월 가계부'!A2410&lt;=21001231),IF(AND(MOD(INT('월 가계부'!A2410/100),100)&gt;=1,MOD(INT('월 가계부'!A2410/100),100)&lt;=12,MOD(INT('월 가계부'!A2410),100)&gt;=1,MOD(INT('월 가계부'!A2410),100)&lt;=31),IF(MONTH(DATE(INT('월 가계부'!A2410/10000),MOD(INT('월 가계부'!A2410/100),100),MOD(INT('월 가계부'!A2410),100)))=MOD(INT('월 가계부'!A2410/100),100),DATE(INT('월 가계부'!A2410/10000),MOD(INT('월 가계부'!A2410/100),100),MOD(INT('월 가계부'!A2410),100)),""),""),IF(AND('월 가계부'!A2410&gt;=36526,'월 가계부'!A2410&lt;73051),INT('월 가계부'!A2410),"")),IF(OR(CM2410="",CN2410="",CO2410=""),"",IF(AND(CM2410&gt;=2000,CM2410&lt;=2099,CN2410&gt;=1,CN2410&lt;=12,CO2410&gt;=1,CO2410&lt;=31),IF(MONTH(DATE(CM2410,CN2410,CO2410))=CN2410,DATE(CM2410,CN2410,CO2410),""),"")))),"")</f>
        <v/>
      </c>
      <c r="CJ2410">
        <f>IFERROR(IF('월 가계부'!C2410="","",IF(ISNUMBER('월 가계부'!C2410),'월 가계부'!C2410,VALUE(SUBSTITUTE(SUBSTITUTE(SUBSTITUTE(SUBSTITUTE(TRIM('월 가계부'!C2410),",",""),"원","")," ",""),"−","-")))),"")</f>
        <v/>
      </c>
      <c r="CK2410">
        <f>IF(ISNUMBER(CI2410),IF(CI2410&lt;$B$13,CI2410,""),"")</f>
        <v/>
      </c>
      <c r="CM2410">
        <f>IF(CH2410="","",IFERROR(IF(IF(AND(LEN(CH2410)=9,ISERROR(FIND("-",LEFT(CH2410,8))),ISNUMBER(-LEFT(CH2410,8))),VALUE(LEFT(CH2410,4)),VALUE(LEFT(CH2410,FIND("-",CH2410)-1)))&lt;100,IF(AND(LEN(CH2410)=9,ISERROR(FIND("-",LEFT(CH2410,8))),ISNUMBER(-LEFT(CH2410,8))),VALUE(LEFT(CH2410,4)),VALUE(LEFT(CH2410,FIND("-",CH2410)-1)))+2000,IF(AND(LEN(CH2410)=9,ISERROR(FIND("-",LEFT(CH2410,8))),ISNUMBER(-LEFT(CH2410,8))),VALUE(LEFT(CH2410,4)),VALUE(LEFT(CH2410,FIND("-",CH2410)-1)))),""))</f>
        <v/>
      </c>
      <c r="CN2410">
        <f>IF(CH2410="","",IFERROR(IF(AND(LEN(CH2410)=9,ISERROR(FIND("-",LEFT(CH2410,8))),ISNUMBER(-LEFT(CH2410,8))),VALUE(MID(CH2410,5,2)),VALUE(MID(CH2410,FIND("-",CH2410)+1,FIND("-",CH2410,FIND("-",CH2410)+1)-FIND("-",CH2410)-1))),""))</f>
        <v/>
      </c>
      <c r="CO2410">
        <f>IF(CH2410="","",IFERROR(IF(AND(LEN(CH2410)=9,ISERROR(FIND("-",LEFT(CH2410,8))),ISNUMBER(-LEFT(CH2410,8))),VALUE(MID(CH2410,7,2)),VALUE(MID(CH2410,FIND("-",CH2410,FIND("-",CH2410)+1)+1,FIND("-",CH2410,FIND("-",CH2410,FIND("-",CH2410)+1)+1)-FIND("-",CH2410,FIND("-",CH2410)+1)-1))),""))</f>
        <v/>
      </c>
    </row>
    <row r="2411">
      <c r="CH2411">
        <f>IF(ISTEXT('월 가계부'!A2411),SUBSTITUTE(SUBSTITUTE(SUBSTITUTE(SUBSTITUTE(SUBSTITUTE(SUBSTITUTE(SUBSTITUTE(SUBSTITUTE(SUBSTITUTE(TRIM('월 가계부'!A2411),"년","-"),"월","-"),"일",""),".","-"),"/","-")," ","-"),"--","-"),"--","-"),"--","-")&amp;"-","")</f>
        <v/>
      </c>
      <c r="CI2411">
        <f>IFERROR(IF('월 가계부'!A2411="","",IF(ISNUMBER('월 가계부'!A2411),IF(AND('월 가계부'!A2411&gt;=19000101,'월 가계부'!A2411&lt;=21001231),IF(AND(MOD(INT('월 가계부'!A2411/100),100)&gt;=1,MOD(INT('월 가계부'!A2411/100),100)&lt;=12,MOD(INT('월 가계부'!A2411),100)&gt;=1,MOD(INT('월 가계부'!A2411),100)&lt;=31),IF(MONTH(DATE(INT('월 가계부'!A2411/10000),MOD(INT('월 가계부'!A2411/100),100),MOD(INT('월 가계부'!A2411),100)))=MOD(INT('월 가계부'!A2411/100),100),DATE(INT('월 가계부'!A2411/10000),MOD(INT('월 가계부'!A2411/100),100),MOD(INT('월 가계부'!A2411),100)),""),""),IF(AND('월 가계부'!A2411&gt;=36526,'월 가계부'!A2411&lt;73051),INT('월 가계부'!A2411),"")),IF(OR(CM2411="",CN2411="",CO2411=""),"",IF(AND(CM2411&gt;=2000,CM2411&lt;=2099,CN2411&gt;=1,CN2411&lt;=12,CO2411&gt;=1,CO2411&lt;=31),IF(MONTH(DATE(CM2411,CN2411,CO2411))=CN2411,DATE(CM2411,CN2411,CO2411),""),"")))),"")</f>
        <v/>
      </c>
      <c r="CJ2411">
        <f>IFERROR(IF('월 가계부'!C2411="","",IF(ISNUMBER('월 가계부'!C2411),'월 가계부'!C2411,VALUE(SUBSTITUTE(SUBSTITUTE(SUBSTITUTE(SUBSTITUTE(TRIM('월 가계부'!C2411),",",""),"원","")," ",""),"−","-")))),"")</f>
        <v/>
      </c>
      <c r="CK2411">
        <f>IF(ISNUMBER(CI2411),IF(CI2411&lt;$B$13,CI2411,""),"")</f>
        <v/>
      </c>
      <c r="CM2411">
        <f>IF(CH2411="","",IFERROR(IF(IF(AND(LEN(CH2411)=9,ISERROR(FIND("-",LEFT(CH2411,8))),ISNUMBER(-LEFT(CH2411,8))),VALUE(LEFT(CH2411,4)),VALUE(LEFT(CH2411,FIND("-",CH2411)-1)))&lt;100,IF(AND(LEN(CH2411)=9,ISERROR(FIND("-",LEFT(CH2411,8))),ISNUMBER(-LEFT(CH2411,8))),VALUE(LEFT(CH2411,4)),VALUE(LEFT(CH2411,FIND("-",CH2411)-1)))+2000,IF(AND(LEN(CH2411)=9,ISERROR(FIND("-",LEFT(CH2411,8))),ISNUMBER(-LEFT(CH2411,8))),VALUE(LEFT(CH2411,4)),VALUE(LEFT(CH2411,FIND("-",CH2411)-1)))),""))</f>
        <v/>
      </c>
      <c r="CN2411">
        <f>IF(CH2411="","",IFERROR(IF(AND(LEN(CH2411)=9,ISERROR(FIND("-",LEFT(CH2411,8))),ISNUMBER(-LEFT(CH2411,8))),VALUE(MID(CH2411,5,2)),VALUE(MID(CH2411,FIND("-",CH2411)+1,FIND("-",CH2411,FIND("-",CH2411)+1)-FIND("-",CH2411)-1))),""))</f>
        <v/>
      </c>
      <c r="CO2411">
        <f>IF(CH2411="","",IFERROR(IF(AND(LEN(CH2411)=9,ISERROR(FIND("-",LEFT(CH2411,8))),ISNUMBER(-LEFT(CH2411,8))),VALUE(MID(CH2411,7,2)),VALUE(MID(CH2411,FIND("-",CH2411,FIND("-",CH2411)+1)+1,FIND("-",CH2411,FIND("-",CH2411,FIND("-",CH2411)+1)+1)-FIND("-",CH2411,FIND("-",CH2411)+1)-1))),""))</f>
        <v/>
      </c>
    </row>
    <row r="2412">
      <c r="CH2412">
        <f>IF(ISTEXT('월 가계부'!A2412),SUBSTITUTE(SUBSTITUTE(SUBSTITUTE(SUBSTITUTE(SUBSTITUTE(SUBSTITUTE(SUBSTITUTE(SUBSTITUTE(SUBSTITUTE(TRIM('월 가계부'!A2412),"년","-"),"월","-"),"일",""),".","-"),"/","-")," ","-"),"--","-"),"--","-"),"--","-")&amp;"-","")</f>
        <v/>
      </c>
      <c r="CI2412">
        <f>IFERROR(IF('월 가계부'!A2412="","",IF(ISNUMBER('월 가계부'!A2412),IF(AND('월 가계부'!A2412&gt;=19000101,'월 가계부'!A2412&lt;=21001231),IF(AND(MOD(INT('월 가계부'!A2412/100),100)&gt;=1,MOD(INT('월 가계부'!A2412/100),100)&lt;=12,MOD(INT('월 가계부'!A2412),100)&gt;=1,MOD(INT('월 가계부'!A2412),100)&lt;=31),IF(MONTH(DATE(INT('월 가계부'!A2412/10000),MOD(INT('월 가계부'!A2412/100),100),MOD(INT('월 가계부'!A2412),100)))=MOD(INT('월 가계부'!A2412/100),100),DATE(INT('월 가계부'!A2412/10000),MOD(INT('월 가계부'!A2412/100),100),MOD(INT('월 가계부'!A2412),100)),""),""),IF(AND('월 가계부'!A2412&gt;=36526,'월 가계부'!A2412&lt;73051),INT('월 가계부'!A2412),"")),IF(OR(CM2412="",CN2412="",CO2412=""),"",IF(AND(CM2412&gt;=2000,CM2412&lt;=2099,CN2412&gt;=1,CN2412&lt;=12,CO2412&gt;=1,CO2412&lt;=31),IF(MONTH(DATE(CM2412,CN2412,CO2412))=CN2412,DATE(CM2412,CN2412,CO2412),""),"")))),"")</f>
        <v/>
      </c>
      <c r="CJ2412">
        <f>IFERROR(IF('월 가계부'!C2412="","",IF(ISNUMBER('월 가계부'!C2412),'월 가계부'!C2412,VALUE(SUBSTITUTE(SUBSTITUTE(SUBSTITUTE(SUBSTITUTE(TRIM('월 가계부'!C2412),",",""),"원","")," ",""),"−","-")))),"")</f>
        <v/>
      </c>
      <c r="CK2412">
        <f>IF(ISNUMBER(CI2412),IF(CI2412&lt;$B$13,CI2412,""),"")</f>
        <v/>
      </c>
      <c r="CM2412">
        <f>IF(CH2412="","",IFERROR(IF(IF(AND(LEN(CH2412)=9,ISERROR(FIND("-",LEFT(CH2412,8))),ISNUMBER(-LEFT(CH2412,8))),VALUE(LEFT(CH2412,4)),VALUE(LEFT(CH2412,FIND("-",CH2412)-1)))&lt;100,IF(AND(LEN(CH2412)=9,ISERROR(FIND("-",LEFT(CH2412,8))),ISNUMBER(-LEFT(CH2412,8))),VALUE(LEFT(CH2412,4)),VALUE(LEFT(CH2412,FIND("-",CH2412)-1)))+2000,IF(AND(LEN(CH2412)=9,ISERROR(FIND("-",LEFT(CH2412,8))),ISNUMBER(-LEFT(CH2412,8))),VALUE(LEFT(CH2412,4)),VALUE(LEFT(CH2412,FIND("-",CH2412)-1)))),""))</f>
        <v/>
      </c>
      <c r="CN2412">
        <f>IF(CH2412="","",IFERROR(IF(AND(LEN(CH2412)=9,ISERROR(FIND("-",LEFT(CH2412,8))),ISNUMBER(-LEFT(CH2412,8))),VALUE(MID(CH2412,5,2)),VALUE(MID(CH2412,FIND("-",CH2412)+1,FIND("-",CH2412,FIND("-",CH2412)+1)-FIND("-",CH2412)-1))),""))</f>
        <v/>
      </c>
      <c r="CO2412">
        <f>IF(CH2412="","",IFERROR(IF(AND(LEN(CH2412)=9,ISERROR(FIND("-",LEFT(CH2412,8))),ISNUMBER(-LEFT(CH2412,8))),VALUE(MID(CH2412,7,2)),VALUE(MID(CH2412,FIND("-",CH2412,FIND("-",CH2412)+1)+1,FIND("-",CH2412,FIND("-",CH2412,FIND("-",CH2412)+1)+1)-FIND("-",CH2412,FIND("-",CH2412)+1)-1))),""))</f>
        <v/>
      </c>
    </row>
    <row r="2413">
      <c r="CH2413">
        <f>IF(ISTEXT('월 가계부'!A2413),SUBSTITUTE(SUBSTITUTE(SUBSTITUTE(SUBSTITUTE(SUBSTITUTE(SUBSTITUTE(SUBSTITUTE(SUBSTITUTE(SUBSTITUTE(TRIM('월 가계부'!A2413),"년","-"),"월","-"),"일",""),".","-"),"/","-")," ","-"),"--","-"),"--","-"),"--","-")&amp;"-","")</f>
        <v/>
      </c>
      <c r="CI2413">
        <f>IFERROR(IF('월 가계부'!A2413="","",IF(ISNUMBER('월 가계부'!A2413),IF(AND('월 가계부'!A2413&gt;=19000101,'월 가계부'!A2413&lt;=21001231),IF(AND(MOD(INT('월 가계부'!A2413/100),100)&gt;=1,MOD(INT('월 가계부'!A2413/100),100)&lt;=12,MOD(INT('월 가계부'!A2413),100)&gt;=1,MOD(INT('월 가계부'!A2413),100)&lt;=31),IF(MONTH(DATE(INT('월 가계부'!A2413/10000),MOD(INT('월 가계부'!A2413/100),100),MOD(INT('월 가계부'!A2413),100)))=MOD(INT('월 가계부'!A2413/100),100),DATE(INT('월 가계부'!A2413/10000),MOD(INT('월 가계부'!A2413/100),100),MOD(INT('월 가계부'!A2413),100)),""),""),IF(AND('월 가계부'!A2413&gt;=36526,'월 가계부'!A2413&lt;73051),INT('월 가계부'!A2413),"")),IF(OR(CM2413="",CN2413="",CO2413=""),"",IF(AND(CM2413&gt;=2000,CM2413&lt;=2099,CN2413&gt;=1,CN2413&lt;=12,CO2413&gt;=1,CO2413&lt;=31),IF(MONTH(DATE(CM2413,CN2413,CO2413))=CN2413,DATE(CM2413,CN2413,CO2413),""),"")))),"")</f>
        <v/>
      </c>
      <c r="CJ2413">
        <f>IFERROR(IF('월 가계부'!C2413="","",IF(ISNUMBER('월 가계부'!C2413),'월 가계부'!C2413,VALUE(SUBSTITUTE(SUBSTITUTE(SUBSTITUTE(SUBSTITUTE(TRIM('월 가계부'!C2413),",",""),"원","")," ",""),"−","-")))),"")</f>
        <v/>
      </c>
      <c r="CK2413">
        <f>IF(ISNUMBER(CI2413),IF(CI2413&lt;$B$13,CI2413,""),"")</f>
        <v/>
      </c>
      <c r="CM2413">
        <f>IF(CH2413="","",IFERROR(IF(IF(AND(LEN(CH2413)=9,ISERROR(FIND("-",LEFT(CH2413,8))),ISNUMBER(-LEFT(CH2413,8))),VALUE(LEFT(CH2413,4)),VALUE(LEFT(CH2413,FIND("-",CH2413)-1)))&lt;100,IF(AND(LEN(CH2413)=9,ISERROR(FIND("-",LEFT(CH2413,8))),ISNUMBER(-LEFT(CH2413,8))),VALUE(LEFT(CH2413,4)),VALUE(LEFT(CH2413,FIND("-",CH2413)-1)))+2000,IF(AND(LEN(CH2413)=9,ISERROR(FIND("-",LEFT(CH2413,8))),ISNUMBER(-LEFT(CH2413,8))),VALUE(LEFT(CH2413,4)),VALUE(LEFT(CH2413,FIND("-",CH2413)-1)))),""))</f>
        <v/>
      </c>
      <c r="CN2413">
        <f>IF(CH2413="","",IFERROR(IF(AND(LEN(CH2413)=9,ISERROR(FIND("-",LEFT(CH2413,8))),ISNUMBER(-LEFT(CH2413,8))),VALUE(MID(CH2413,5,2)),VALUE(MID(CH2413,FIND("-",CH2413)+1,FIND("-",CH2413,FIND("-",CH2413)+1)-FIND("-",CH2413)-1))),""))</f>
        <v/>
      </c>
      <c r="CO2413">
        <f>IF(CH2413="","",IFERROR(IF(AND(LEN(CH2413)=9,ISERROR(FIND("-",LEFT(CH2413,8))),ISNUMBER(-LEFT(CH2413,8))),VALUE(MID(CH2413,7,2)),VALUE(MID(CH2413,FIND("-",CH2413,FIND("-",CH2413)+1)+1,FIND("-",CH2413,FIND("-",CH2413,FIND("-",CH2413)+1)+1)-FIND("-",CH2413,FIND("-",CH2413)+1)-1))),""))</f>
        <v/>
      </c>
    </row>
    <row r="2414">
      <c r="CH2414">
        <f>IF(ISTEXT('월 가계부'!A2414),SUBSTITUTE(SUBSTITUTE(SUBSTITUTE(SUBSTITUTE(SUBSTITUTE(SUBSTITUTE(SUBSTITUTE(SUBSTITUTE(SUBSTITUTE(TRIM('월 가계부'!A2414),"년","-"),"월","-"),"일",""),".","-"),"/","-")," ","-"),"--","-"),"--","-"),"--","-")&amp;"-","")</f>
        <v/>
      </c>
      <c r="CI2414">
        <f>IFERROR(IF('월 가계부'!A2414="","",IF(ISNUMBER('월 가계부'!A2414),IF(AND('월 가계부'!A2414&gt;=19000101,'월 가계부'!A2414&lt;=21001231),IF(AND(MOD(INT('월 가계부'!A2414/100),100)&gt;=1,MOD(INT('월 가계부'!A2414/100),100)&lt;=12,MOD(INT('월 가계부'!A2414),100)&gt;=1,MOD(INT('월 가계부'!A2414),100)&lt;=31),IF(MONTH(DATE(INT('월 가계부'!A2414/10000),MOD(INT('월 가계부'!A2414/100),100),MOD(INT('월 가계부'!A2414),100)))=MOD(INT('월 가계부'!A2414/100),100),DATE(INT('월 가계부'!A2414/10000),MOD(INT('월 가계부'!A2414/100),100),MOD(INT('월 가계부'!A2414),100)),""),""),IF(AND('월 가계부'!A2414&gt;=36526,'월 가계부'!A2414&lt;73051),INT('월 가계부'!A2414),"")),IF(OR(CM2414="",CN2414="",CO2414=""),"",IF(AND(CM2414&gt;=2000,CM2414&lt;=2099,CN2414&gt;=1,CN2414&lt;=12,CO2414&gt;=1,CO2414&lt;=31),IF(MONTH(DATE(CM2414,CN2414,CO2414))=CN2414,DATE(CM2414,CN2414,CO2414),""),"")))),"")</f>
        <v/>
      </c>
      <c r="CJ2414">
        <f>IFERROR(IF('월 가계부'!C2414="","",IF(ISNUMBER('월 가계부'!C2414),'월 가계부'!C2414,VALUE(SUBSTITUTE(SUBSTITUTE(SUBSTITUTE(SUBSTITUTE(TRIM('월 가계부'!C2414),",",""),"원","")," ",""),"−","-")))),"")</f>
        <v/>
      </c>
      <c r="CK2414">
        <f>IF(ISNUMBER(CI2414),IF(CI2414&lt;$B$13,CI2414,""),"")</f>
        <v/>
      </c>
      <c r="CM2414">
        <f>IF(CH2414="","",IFERROR(IF(IF(AND(LEN(CH2414)=9,ISERROR(FIND("-",LEFT(CH2414,8))),ISNUMBER(-LEFT(CH2414,8))),VALUE(LEFT(CH2414,4)),VALUE(LEFT(CH2414,FIND("-",CH2414)-1)))&lt;100,IF(AND(LEN(CH2414)=9,ISERROR(FIND("-",LEFT(CH2414,8))),ISNUMBER(-LEFT(CH2414,8))),VALUE(LEFT(CH2414,4)),VALUE(LEFT(CH2414,FIND("-",CH2414)-1)))+2000,IF(AND(LEN(CH2414)=9,ISERROR(FIND("-",LEFT(CH2414,8))),ISNUMBER(-LEFT(CH2414,8))),VALUE(LEFT(CH2414,4)),VALUE(LEFT(CH2414,FIND("-",CH2414)-1)))),""))</f>
        <v/>
      </c>
      <c r="CN2414">
        <f>IF(CH2414="","",IFERROR(IF(AND(LEN(CH2414)=9,ISERROR(FIND("-",LEFT(CH2414,8))),ISNUMBER(-LEFT(CH2414,8))),VALUE(MID(CH2414,5,2)),VALUE(MID(CH2414,FIND("-",CH2414)+1,FIND("-",CH2414,FIND("-",CH2414)+1)-FIND("-",CH2414)-1))),""))</f>
        <v/>
      </c>
      <c r="CO2414">
        <f>IF(CH2414="","",IFERROR(IF(AND(LEN(CH2414)=9,ISERROR(FIND("-",LEFT(CH2414,8))),ISNUMBER(-LEFT(CH2414,8))),VALUE(MID(CH2414,7,2)),VALUE(MID(CH2414,FIND("-",CH2414,FIND("-",CH2414)+1)+1,FIND("-",CH2414,FIND("-",CH2414,FIND("-",CH2414)+1)+1)-FIND("-",CH2414,FIND("-",CH2414)+1)-1))),""))</f>
        <v/>
      </c>
    </row>
    <row r="2415">
      <c r="CH2415">
        <f>IF(ISTEXT('월 가계부'!A2415),SUBSTITUTE(SUBSTITUTE(SUBSTITUTE(SUBSTITUTE(SUBSTITUTE(SUBSTITUTE(SUBSTITUTE(SUBSTITUTE(SUBSTITUTE(TRIM('월 가계부'!A2415),"년","-"),"월","-"),"일",""),".","-"),"/","-")," ","-"),"--","-"),"--","-"),"--","-")&amp;"-","")</f>
        <v/>
      </c>
      <c r="CI2415">
        <f>IFERROR(IF('월 가계부'!A2415="","",IF(ISNUMBER('월 가계부'!A2415),IF(AND('월 가계부'!A2415&gt;=19000101,'월 가계부'!A2415&lt;=21001231),IF(AND(MOD(INT('월 가계부'!A2415/100),100)&gt;=1,MOD(INT('월 가계부'!A2415/100),100)&lt;=12,MOD(INT('월 가계부'!A2415),100)&gt;=1,MOD(INT('월 가계부'!A2415),100)&lt;=31),IF(MONTH(DATE(INT('월 가계부'!A2415/10000),MOD(INT('월 가계부'!A2415/100),100),MOD(INT('월 가계부'!A2415),100)))=MOD(INT('월 가계부'!A2415/100),100),DATE(INT('월 가계부'!A2415/10000),MOD(INT('월 가계부'!A2415/100),100),MOD(INT('월 가계부'!A2415),100)),""),""),IF(AND('월 가계부'!A2415&gt;=36526,'월 가계부'!A2415&lt;73051),INT('월 가계부'!A2415),"")),IF(OR(CM2415="",CN2415="",CO2415=""),"",IF(AND(CM2415&gt;=2000,CM2415&lt;=2099,CN2415&gt;=1,CN2415&lt;=12,CO2415&gt;=1,CO2415&lt;=31),IF(MONTH(DATE(CM2415,CN2415,CO2415))=CN2415,DATE(CM2415,CN2415,CO2415),""),"")))),"")</f>
        <v/>
      </c>
      <c r="CJ2415">
        <f>IFERROR(IF('월 가계부'!C2415="","",IF(ISNUMBER('월 가계부'!C2415),'월 가계부'!C2415,VALUE(SUBSTITUTE(SUBSTITUTE(SUBSTITUTE(SUBSTITUTE(TRIM('월 가계부'!C2415),",",""),"원","")," ",""),"−","-")))),"")</f>
        <v/>
      </c>
      <c r="CK2415">
        <f>IF(ISNUMBER(CI2415),IF(CI2415&lt;$B$13,CI2415,""),"")</f>
        <v/>
      </c>
      <c r="CM2415">
        <f>IF(CH2415="","",IFERROR(IF(IF(AND(LEN(CH2415)=9,ISERROR(FIND("-",LEFT(CH2415,8))),ISNUMBER(-LEFT(CH2415,8))),VALUE(LEFT(CH2415,4)),VALUE(LEFT(CH2415,FIND("-",CH2415)-1)))&lt;100,IF(AND(LEN(CH2415)=9,ISERROR(FIND("-",LEFT(CH2415,8))),ISNUMBER(-LEFT(CH2415,8))),VALUE(LEFT(CH2415,4)),VALUE(LEFT(CH2415,FIND("-",CH2415)-1)))+2000,IF(AND(LEN(CH2415)=9,ISERROR(FIND("-",LEFT(CH2415,8))),ISNUMBER(-LEFT(CH2415,8))),VALUE(LEFT(CH2415,4)),VALUE(LEFT(CH2415,FIND("-",CH2415)-1)))),""))</f>
        <v/>
      </c>
      <c r="CN2415">
        <f>IF(CH2415="","",IFERROR(IF(AND(LEN(CH2415)=9,ISERROR(FIND("-",LEFT(CH2415,8))),ISNUMBER(-LEFT(CH2415,8))),VALUE(MID(CH2415,5,2)),VALUE(MID(CH2415,FIND("-",CH2415)+1,FIND("-",CH2415,FIND("-",CH2415)+1)-FIND("-",CH2415)-1))),""))</f>
        <v/>
      </c>
      <c r="CO2415">
        <f>IF(CH2415="","",IFERROR(IF(AND(LEN(CH2415)=9,ISERROR(FIND("-",LEFT(CH2415,8))),ISNUMBER(-LEFT(CH2415,8))),VALUE(MID(CH2415,7,2)),VALUE(MID(CH2415,FIND("-",CH2415,FIND("-",CH2415)+1)+1,FIND("-",CH2415,FIND("-",CH2415,FIND("-",CH2415)+1)+1)-FIND("-",CH2415,FIND("-",CH2415)+1)-1))),""))</f>
        <v/>
      </c>
    </row>
    <row r="2416">
      <c r="CH2416">
        <f>IF(ISTEXT('월 가계부'!A2416),SUBSTITUTE(SUBSTITUTE(SUBSTITUTE(SUBSTITUTE(SUBSTITUTE(SUBSTITUTE(SUBSTITUTE(SUBSTITUTE(SUBSTITUTE(TRIM('월 가계부'!A2416),"년","-"),"월","-"),"일",""),".","-"),"/","-")," ","-"),"--","-"),"--","-"),"--","-")&amp;"-","")</f>
        <v/>
      </c>
      <c r="CI2416">
        <f>IFERROR(IF('월 가계부'!A2416="","",IF(ISNUMBER('월 가계부'!A2416),IF(AND('월 가계부'!A2416&gt;=19000101,'월 가계부'!A2416&lt;=21001231),IF(AND(MOD(INT('월 가계부'!A2416/100),100)&gt;=1,MOD(INT('월 가계부'!A2416/100),100)&lt;=12,MOD(INT('월 가계부'!A2416),100)&gt;=1,MOD(INT('월 가계부'!A2416),100)&lt;=31),IF(MONTH(DATE(INT('월 가계부'!A2416/10000),MOD(INT('월 가계부'!A2416/100),100),MOD(INT('월 가계부'!A2416),100)))=MOD(INT('월 가계부'!A2416/100),100),DATE(INT('월 가계부'!A2416/10000),MOD(INT('월 가계부'!A2416/100),100),MOD(INT('월 가계부'!A2416),100)),""),""),IF(AND('월 가계부'!A2416&gt;=36526,'월 가계부'!A2416&lt;73051),INT('월 가계부'!A2416),"")),IF(OR(CM2416="",CN2416="",CO2416=""),"",IF(AND(CM2416&gt;=2000,CM2416&lt;=2099,CN2416&gt;=1,CN2416&lt;=12,CO2416&gt;=1,CO2416&lt;=31),IF(MONTH(DATE(CM2416,CN2416,CO2416))=CN2416,DATE(CM2416,CN2416,CO2416),""),"")))),"")</f>
        <v/>
      </c>
      <c r="CJ2416">
        <f>IFERROR(IF('월 가계부'!C2416="","",IF(ISNUMBER('월 가계부'!C2416),'월 가계부'!C2416,VALUE(SUBSTITUTE(SUBSTITUTE(SUBSTITUTE(SUBSTITUTE(TRIM('월 가계부'!C2416),",",""),"원","")," ",""),"−","-")))),"")</f>
        <v/>
      </c>
      <c r="CK2416">
        <f>IF(ISNUMBER(CI2416),IF(CI2416&lt;$B$13,CI2416,""),"")</f>
        <v/>
      </c>
      <c r="CM2416">
        <f>IF(CH2416="","",IFERROR(IF(IF(AND(LEN(CH2416)=9,ISERROR(FIND("-",LEFT(CH2416,8))),ISNUMBER(-LEFT(CH2416,8))),VALUE(LEFT(CH2416,4)),VALUE(LEFT(CH2416,FIND("-",CH2416)-1)))&lt;100,IF(AND(LEN(CH2416)=9,ISERROR(FIND("-",LEFT(CH2416,8))),ISNUMBER(-LEFT(CH2416,8))),VALUE(LEFT(CH2416,4)),VALUE(LEFT(CH2416,FIND("-",CH2416)-1)))+2000,IF(AND(LEN(CH2416)=9,ISERROR(FIND("-",LEFT(CH2416,8))),ISNUMBER(-LEFT(CH2416,8))),VALUE(LEFT(CH2416,4)),VALUE(LEFT(CH2416,FIND("-",CH2416)-1)))),""))</f>
        <v/>
      </c>
      <c r="CN2416">
        <f>IF(CH2416="","",IFERROR(IF(AND(LEN(CH2416)=9,ISERROR(FIND("-",LEFT(CH2416,8))),ISNUMBER(-LEFT(CH2416,8))),VALUE(MID(CH2416,5,2)),VALUE(MID(CH2416,FIND("-",CH2416)+1,FIND("-",CH2416,FIND("-",CH2416)+1)-FIND("-",CH2416)-1))),""))</f>
        <v/>
      </c>
      <c r="CO2416">
        <f>IF(CH2416="","",IFERROR(IF(AND(LEN(CH2416)=9,ISERROR(FIND("-",LEFT(CH2416,8))),ISNUMBER(-LEFT(CH2416,8))),VALUE(MID(CH2416,7,2)),VALUE(MID(CH2416,FIND("-",CH2416,FIND("-",CH2416)+1)+1,FIND("-",CH2416,FIND("-",CH2416,FIND("-",CH2416)+1)+1)-FIND("-",CH2416,FIND("-",CH2416)+1)-1))),""))</f>
        <v/>
      </c>
    </row>
    <row r="2417">
      <c r="CH2417">
        <f>IF(ISTEXT('월 가계부'!A2417),SUBSTITUTE(SUBSTITUTE(SUBSTITUTE(SUBSTITUTE(SUBSTITUTE(SUBSTITUTE(SUBSTITUTE(SUBSTITUTE(SUBSTITUTE(TRIM('월 가계부'!A2417),"년","-"),"월","-"),"일",""),".","-"),"/","-")," ","-"),"--","-"),"--","-"),"--","-")&amp;"-","")</f>
        <v/>
      </c>
      <c r="CI2417">
        <f>IFERROR(IF('월 가계부'!A2417="","",IF(ISNUMBER('월 가계부'!A2417),IF(AND('월 가계부'!A2417&gt;=19000101,'월 가계부'!A2417&lt;=21001231),IF(AND(MOD(INT('월 가계부'!A2417/100),100)&gt;=1,MOD(INT('월 가계부'!A2417/100),100)&lt;=12,MOD(INT('월 가계부'!A2417),100)&gt;=1,MOD(INT('월 가계부'!A2417),100)&lt;=31),IF(MONTH(DATE(INT('월 가계부'!A2417/10000),MOD(INT('월 가계부'!A2417/100),100),MOD(INT('월 가계부'!A2417),100)))=MOD(INT('월 가계부'!A2417/100),100),DATE(INT('월 가계부'!A2417/10000),MOD(INT('월 가계부'!A2417/100),100),MOD(INT('월 가계부'!A2417),100)),""),""),IF(AND('월 가계부'!A2417&gt;=36526,'월 가계부'!A2417&lt;73051),INT('월 가계부'!A2417),"")),IF(OR(CM2417="",CN2417="",CO2417=""),"",IF(AND(CM2417&gt;=2000,CM2417&lt;=2099,CN2417&gt;=1,CN2417&lt;=12,CO2417&gt;=1,CO2417&lt;=31),IF(MONTH(DATE(CM2417,CN2417,CO2417))=CN2417,DATE(CM2417,CN2417,CO2417),""),"")))),"")</f>
        <v/>
      </c>
      <c r="CJ2417">
        <f>IFERROR(IF('월 가계부'!C2417="","",IF(ISNUMBER('월 가계부'!C2417),'월 가계부'!C2417,VALUE(SUBSTITUTE(SUBSTITUTE(SUBSTITUTE(SUBSTITUTE(TRIM('월 가계부'!C2417),",",""),"원","")," ",""),"−","-")))),"")</f>
        <v/>
      </c>
      <c r="CK2417">
        <f>IF(ISNUMBER(CI2417),IF(CI2417&lt;$B$13,CI2417,""),"")</f>
        <v/>
      </c>
      <c r="CM2417">
        <f>IF(CH2417="","",IFERROR(IF(IF(AND(LEN(CH2417)=9,ISERROR(FIND("-",LEFT(CH2417,8))),ISNUMBER(-LEFT(CH2417,8))),VALUE(LEFT(CH2417,4)),VALUE(LEFT(CH2417,FIND("-",CH2417)-1)))&lt;100,IF(AND(LEN(CH2417)=9,ISERROR(FIND("-",LEFT(CH2417,8))),ISNUMBER(-LEFT(CH2417,8))),VALUE(LEFT(CH2417,4)),VALUE(LEFT(CH2417,FIND("-",CH2417)-1)))+2000,IF(AND(LEN(CH2417)=9,ISERROR(FIND("-",LEFT(CH2417,8))),ISNUMBER(-LEFT(CH2417,8))),VALUE(LEFT(CH2417,4)),VALUE(LEFT(CH2417,FIND("-",CH2417)-1)))),""))</f>
        <v/>
      </c>
      <c r="CN2417">
        <f>IF(CH2417="","",IFERROR(IF(AND(LEN(CH2417)=9,ISERROR(FIND("-",LEFT(CH2417,8))),ISNUMBER(-LEFT(CH2417,8))),VALUE(MID(CH2417,5,2)),VALUE(MID(CH2417,FIND("-",CH2417)+1,FIND("-",CH2417,FIND("-",CH2417)+1)-FIND("-",CH2417)-1))),""))</f>
        <v/>
      </c>
      <c r="CO2417">
        <f>IF(CH2417="","",IFERROR(IF(AND(LEN(CH2417)=9,ISERROR(FIND("-",LEFT(CH2417,8))),ISNUMBER(-LEFT(CH2417,8))),VALUE(MID(CH2417,7,2)),VALUE(MID(CH2417,FIND("-",CH2417,FIND("-",CH2417)+1)+1,FIND("-",CH2417,FIND("-",CH2417,FIND("-",CH2417)+1)+1)-FIND("-",CH2417,FIND("-",CH2417)+1)-1))),""))</f>
        <v/>
      </c>
    </row>
    <row r="2418">
      <c r="CH2418">
        <f>IF(ISTEXT('월 가계부'!A2418),SUBSTITUTE(SUBSTITUTE(SUBSTITUTE(SUBSTITUTE(SUBSTITUTE(SUBSTITUTE(SUBSTITUTE(SUBSTITUTE(SUBSTITUTE(TRIM('월 가계부'!A2418),"년","-"),"월","-"),"일",""),".","-"),"/","-")," ","-"),"--","-"),"--","-"),"--","-")&amp;"-","")</f>
        <v/>
      </c>
      <c r="CI2418">
        <f>IFERROR(IF('월 가계부'!A2418="","",IF(ISNUMBER('월 가계부'!A2418),IF(AND('월 가계부'!A2418&gt;=19000101,'월 가계부'!A2418&lt;=21001231),IF(AND(MOD(INT('월 가계부'!A2418/100),100)&gt;=1,MOD(INT('월 가계부'!A2418/100),100)&lt;=12,MOD(INT('월 가계부'!A2418),100)&gt;=1,MOD(INT('월 가계부'!A2418),100)&lt;=31),IF(MONTH(DATE(INT('월 가계부'!A2418/10000),MOD(INT('월 가계부'!A2418/100),100),MOD(INT('월 가계부'!A2418),100)))=MOD(INT('월 가계부'!A2418/100),100),DATE(INT('월 가계부'!A2418/10000),MOD(INT('월 가계부'!A2418/100),100),MOD(INT('월 가계부'!A2418),100)),""),""),IF(AND('월 가계부'!A2418&gt;=36526,'월 가계부'!A2418&lt;73051),INT('월 가계부'!A2418),"")),IF(OR(CM2418="",CN2418="",CO2418=""),"",IF(AND(CM2418&gt;=2000,CM2418&lt;=2099,CN2418&gt;=1,CN2418&lt;=12,CO2418&gt;=1,CO2418&lt;=31),IF(MONTH(DATE(CM2418,CN2418,CO2418))=CN2418,DATE(CM2418,CN2418,CO2418),""),"")))),"")</f>
        <v/>
      </c>
      <c r="CJ2418">
        <f>IFERROR(IF('월 가계부'!C2418="","",IF(ISNUMBER('월 가계부'!C2418),'월 가계부'!C2418,VALUE(SUBSTITUTE(SUBSTITUTE(SUBSTITUTE(SUBSTITUTE(TRIM('월 가계부'!C2418),",",""),"원","")," ",""),"−","-")))),"")</f>
        <v/>
      </c>
      <c r="CK2418">
        <f>IF(ISNUMBER(CI2418),IF(CI2418&lt;$B$13,CI2418,""),"")</f>
        <v/>
      </c>
      <c r="CM2418">
        <f>IF(CH2418="","",IFERROR(IF(IF(AND(LEN(CH2418)=9,ISERROR(FIND("-",LEFT(CH2418,8))),ISNUMBER(-LEFT(CH2418,8))),VALUE(LEFT(CH2418,4)),VALUE(LEFT(CH2418,FIND("-",CH2418)-1)))&lt;100,IF(AND(LEN(CH2418)=9,ISERROR(FIND("-",LEFT(CH2418,8))),ISNUMBER(-LEFT(CH2418,8))),VALUE(LEFT(CH2418,4)),VALUE(LEFT(CH2418,FIND("-",CH2418)-1)))+2000,IF(AND(LEN(CH2418)=9,ISERROR(FIND("-",LEFT(CH2418,8))),ISNUMBER(-LEFT(CH2418,8))),VALUE(LEFT(CH2418,4)),VALUE(LEFT(CH2418,FIND("-",CH2418)-1)))),""))</f>
        <v/>
      </c>
      <c r="CN2418">
        <f>IF(CH2418="","",IFERROR(IF(AND(LEN(CH2418)=9,ISERROR(FIND("-",LEFT(CH2418,8))),ISNUMBER(-LEFT(CH2418,8))),VALUE(MID(CH2418,5,2)),VALUE(MID(CH2418,FIND("-",CH2418)+1,FIND("-",CH2418,FIND("-",CH2418)+1)-FIND("-",CH2418)-1))),""))</f>
        <v/>
      </c>
      <c r="CO2418">
        <f>IF(CH2418="","",IFERROR(IF(AND(LEN(CH2418)=9,ISERROR(FIND("-",LEFT(CH2418,8))),ISNUMBER(-LEFT(CH2418,8))),VALUE(MID(CH2418,7,2)),VALUE(MID(CH2418,FIND("-",CH2418,FIND("-",CH2418)+1)+1,FIND("-",CH2418,FIND("-",CH2418,FIND("-",CH2418)+1)+1)-FIND("-",CH2418,FIND("-",CH2418)+1)-1))),""))</f>
        <v/>
      </c>
    </row>
    <row r="2419">
      <c r="CH2419">
        <f>IF(ISTEXT('월 가계부'!A2419),SUBSTITUTE(SUBSTITUTE(SUBSTITUTE(SUBSTITUTE(SUBSTITUTE(SUBSTITUTE(SUBSTITUTE(SUBSTITUTE(SUBSTITUTE(TRIM('월 가계부'!A2419),"년","-"),"월","-"),"일",""),".","-"),"/","-")," ","-"),"--","-"),"--","-"),"--","-")&amp;"-","")</f>
        <v/>
      </c>
      <c r="CI2419">
        <f>IFERROR(IF('월 가계부'!A2419="","",IF(ISNUMBER('월 가계부'!A2419),IF(AND('월 가계부'!A2419&gt;=19000101,'월 가계부'!A2419&lt;=21001231),IF(AND(MOD(INT('월 가계부'!A2419/100),100)&gt;=1,MOD(INT('월 가계부'!A2419/100),100)&lt;=12,MOD(INT('월 가계부'!A2419),100)&gt;=1,MOD(INT('월 가계부'!A2419),100)&lt;=31),IF(MONTH(DATE(INT('월 가계부'!A2419/10000),MOD(INT('월 가계부'!A2419/100),100),MOD(INT('월 가계부'!A2419),100)))=MOD(INT('월 가계부'!A2419/100),100),DATE(INT('월 가계부'!A2419/10000),MOD(INT('월 가계부'!A2419/100),100),MOD(INT('월 가계부'!A2419),100)),""),""),IF(AND('월 가계부'!A2419&gt;=36526,'월 가계부'!A2419&lt;73051),INT('월 가계부'!A2419),"")),IF(OR(CM2419="",CN2419="",CO2419=""),"",IF(AND(CM2419&gt;=2000,CM2419&lt;=2099,CN2419&gt;=1,CN2419&lt;=12,CO2419&gt;=1,CO2419&lt;=31),IF(MONTH(DATE(CM2419,CN2419,CO2419))=CN2419,DATE(CM2419,CN2419,CO2419),""),"")))),"")</f>
        <v/>
      </c>
      <c r="CJ2419">
        <f>IFERROR(IF('월 가계부'!C2419="","",IF(ISNUMBER('월 가계부'!C2419),'월 가계부'!C2419,VALUE(SUBSTITUTE(SUBSTITUTE(SUBSTITUTE(SUBSTITUTE(TRIM('월 가계부'!C2419),",",""),"원","")," ",""),"−","-")))),"")</f>
        <v/>
      </c>
      <c r="CK2419">
        <f>IF(ISNUMBER(CI2419),IF(CI2419&lt;$B$13,CI2419,""),"")</f>
        <v/>
      </c>
      <c r="CM2419">
        <f>IF(CH2419="","",IFERROR(IF(IF(AND(LEN(CH2419)=9,ISERROR(FIND("-",LEFT(CH2419,8))),ISNUMBER(-LEFT(CH2419,8))),VALUE(LEFT(CH2419,4)),VALUE(LEFT(CH2419,FIND("-",CH2419)-1)))&lt;100,IF(AND(LEN(CH2419)=9,ISERROR(FIND("-",LEFT(CH2419,8))),ISNUMBER(-LEFT(CH2419,8))),VALUE(LEFT(CH2419,4)),VALUE(LEFT(CH2419,FIND("-",CH2419)-1)))+2000,IF(AND(LEN(CH2419)=9,ISERROR(FIND("-",LEFT(CH2419,8))),ISNUMBER(-LEFT(CH2419,8))),VALUE(LEFT(CH2419,4)),VALUE(LEFT(CH2419,FIND("-",CH2419)-1)))),""))</f>
        <v/>
      </c>
      <c r="CN2419">
        <f>IF(CH2419="","",IFERROR(IF(AND(LEN(CH2419)=9,ISERROR(FIND("-",LEFT(CH2419,8))),ISNUMBER(-LEFT(CH2419,8))),VALUE(MID(CH2419,5,2)),VALUE(MID(CH2419,FIND("-",CH2419)+1,FIND("-",CH2419,FIND("-",CH2419)+1)-FIND("-",CH2419)-1))),""))</f>
        <v/>
      </c>
      <c r="CO2419">
        <f>IF(CH2419="","",IFERROR(IF(AND(LEN(CH2419)=9,ISERROR(FIND("-",LEFT(CH2419,8))),ISNUMBER(-LEFT(CH2419,8))),VALUE(MID(CH2419,7,2)),VALUE(MID(CH2419,FIND("-",CH2419,FIND("-",CH2419)+1)+1,FIND("-",CH2419,FIND("-",CH2419,FIND("-",CH2419)+1)+1)-FIND("-",CH2419,FIND("-",CH2419)+1)-1))),""))</f>
        <v/>
      </c>
    </row>
    <row r="2420">
      <c r="CH2420">
        <f>IF(ISTEXT('월 가계부'!A2420),SUBSTITUTE(SUBSTITUTE(SUBSTITUTE(SUBSTITUTE(SUBSTITUTE(SUBSTITUTE(SUBSTITUTE(SUBSTITUTE(SUBSTITUTE(TRIM('월 가계부'!A2420),"년","-"),"월","-"),"일",""),".","-"),"/","-")," ","-"),"--","-"),"--","-"),"--","-")&amp;"-","")</f>
        <v/>
      </c>
      <c r="CI2420">
        <f>IFERROR(IF('월 가계부'!A2420="","",IF(ISNUMBER('월 가계부'!A2420),IF(AND('월 가계부'!A2420&gt;=19000101,'월 가계부'!A2420&lt;=21001231),IF(AND(MOD(INT('월 가계부'!A2420/100),100)&gt;=1,MOD(INT('월 가계부'!A2420/100),100)&lt;=12,MOD(INT('월 가계부'!A2420),100)&gt;=1,MOD(INT('월 가계부'!A2420),100)&lt;=31),IF(MONTH(DATE(INT('월 가계부'!A2420/10000),MOD(INT('월 가계부'!A2420/100),100),MOD(INT('월 가계부'!A2420),100)))=MOD(INT('월 가계부'!A2420/100),100),DATE(INT('월 가계부'!A2420/10000),MOD(INT('월 가계부'!A2420/100),100),MOD(INT('월 가계부'!A2420),100)),""),""),IF(AND('월 가계부'!A2420&gt;=36526,'월 가계부'!A2420&lt;73051),INT('월 가계부'!A2420),"")),IF(OR(CM2420="",CN2420="",CO2420=""),"",IF(AND(CM2420&gt;=2000,CM2420&lt;=2099,CN2420&gt;=1,CN2420&lt;=12,CO2420&gt;=1,CO2420&lt;=31),IF(MONTH(DATE(CM2420,CN2420,CO2420))=CN2420,DATE(CM2420,CN2420,CO2420),""),"")))),"")</f>
        <v/>
      </c>
      <c r="CJ2420">
        <f>IFERROR(IF('월 가계부'!C2420="","",IF(ISNUMBER('월 가계부'!C2420),'월 가계부'!C2420,VALUE(SUBSTITUTE(SUBSTITUTE(SUBSTITUTE(SUBSTITUTE(TRIM('월 가계부'!C2420),",",""),"원","")," ",""),"−","-")))),"")</f>
        <v/>
      </c>
      <c r="CK2420">
        <f>IF(ISNUMBER(CI2420),IF(CI2420&lt;$B$13,CI2420,""),"")</f>
        <v/>
      </c>
      <c r="CM2420">
        <f>IF(CH2420="","",IFERROR(IF(IF(AND(LEN(CH2420)=9,ISERROR(FIND("-",LEFT(CH2420,8))),ISNUMBER(-LEFT(CH2420,8))),VALUE(LEFT(CH2420,4)),VALUE(LEFT(CH2420,FIND("-",CH2420)-1)))&lt;100,IF(AND(LEN(CH2420)=9,ISERROR(FIND("-",LEFT(CH2420,8))),ISNUMBER(-LEFT(CH2420,8))),VALUE(LEFT(CH2420,4)),VALUE(LEFT(CH2420,FIND("-",CH2420)-1)))+2000,IF(AND(LEN(CH2420)=9,ISERROR(FIND("-",LEFT(CH2420,8))),ISNUMBER(-LEFT(CH2420,8))),VALUE(LEFT(CH2420,4)),VALUE(LEFT(CH2420,FIND("-",CH2420)-1)))),""))</f>
        <v/>
      </c>
      <c r="CN2420">
        <f>IF(CH2420="","",IFERROR(IF(AND(LEN(CH2420)=9,ISERROR(FIND("-",LEFT(CH2420,8))),ISNUMBER(-LEFT(CH2420,8))),VALUE(MID(CH2420,5,2)),VALUE(MID(CH2420,FIND("-",CH2420)+1,FIND("-",CH2420,FIND("-",CH2420)+1)-FIND("-",CH2420)-1))),""))</f>
        <v/>
      </c>
      <c r="CO2420">
        <f>IF(CH2420="","",IFERROR(IF(AND(LEN(CH2420)=9,ISERROR(FIND("-",LEFT(CH2420,8))),ISNUMBER(-LEFT(CH2420,8))),VALUE(MID(CH2420,7,2)),VALUE(MID(CH2420,FIND("-",CH2420,FIND("-",CH2420)+1)+1,FIND("-",CH2420,FIND("-",CH2420,FIND("-",CH2420)+1)+1)-FIND("-",CH2420,FIND("-",CH2420)+1)-1))),""))</f>
        <v/>
      </c>
    </row>
    <row r="2421">
      <c r="CH2421">
        <f>IF(ISTEXT('월 가계부'!A2421),SUBSTITUTE(SUBSTITUTE(SUBSTITUTE(SUBSTITUTE(SUBSTITUTE(SUBSTITUTE(SUBSTITUTE(SUBSTITUTE(SUBSTITUTE(TRIM('월 가계부'!A2421),"년","-"),"월","-"),"일",""),".","-"),"/","-")," ","-"),"--","-"),"--","-"),"--","-")&amp;"-","")</f>
        <v/>
      </c>
      <c r="CI2421">
        <f>IFERROR(IF('월 가계부'!A2421="","",IF(ISNUMBER('월 가계부'!A2421),IF(AND('월 가계부'!A2421&gt;=19000101,'월 가계부'!A2421&lt;=21001231),IF(AND(MOD(INT('월 가계부'!A2421/100),100)&gt;=1,MOD(INT('월 가계부'!A2421/100),100)&lt;=12,MOD(INT('월 가계부'!A2421),100)&gt;=1,MOD(INT('월 가계부'!A2421),100)&lt;=31),IF(MONTH(DATE(INT('월 가계부'!A2421/10000),MOD(INT('월 가계부'!A2421/100),100),MOD(INT('월 가계부'!A2421),100)))=MOD(INT('월 가계부'!A2421/100),100),DATE(INT('월 가계부'!A2421/10000),MOD(INT('월 가계부'!A2421/100),100),MOD(INT('월 가계부'!A2421),100)),""),""),IF(AND('월 가계부'!A2421&gt;=36526,'월 가계부'!A2421&lt;73051),INT('월 가계부'!A2421),"")),IF(OR(CM2421="",CN2421="",CO2421=""),"",IF(AND(CM2421&gt;=2000,CM2421&lt;=2099,CN2421&gt;=1,CN2421&lt;=12,CO2421&gt;=1,CO2421&lt;=31),IF(MONTH(DATE(CM2421,CN2421,CO2421))=CN2421,DATE(CM2421,CN2421,CO2421),""),"")))),"")</f>
        <v/>
      </c>
      <c r="CJ2421">
        <f>IFERROR(IF('월 가계부'!C2421="","",IF(ISNUMBER('월 가계부'!C2421),'월 가계부'!C2421,VALUE(SUBSTITUTE(SUBSTITUTE(SUBSTITUTE(SUBSTITUTE(TRIM('월 가계부'!C2421),",",""),"원","")," ",""),"−","-")))),"")</f>
        <v/>
      </c>
      <c r="CK2421">
        <f>IF(ISNUMBER(CI2421),IF(CI2421&lt;$B$13,CI2421,""),"")</f>
        <v/>
      </c>
      <c r="CM2421">
        <f>IF(CH2421="","",IFERROR(IF(IF(AND(LEN(CH2421)=9,ISERROR(FIND("-",LEFT(CH2421,8))),ISNUMBER(-LEFT(CH2421,8))),VALUE(LEFT(CH2421,4)),VALUE(LEFT(CH2421,FIND("-",CH2421)-1)))&lt;100,IF(AND(LEN(CH2421)=9,ISERROR(FIND("-",LEFT(CH2421,8))),ISNUMBER(-LEFT(CH2421,8))),VALUE(LEFT(CH2421,4)),VALUE(LEFT(CH2421,FIND("-",CH2421)-1)))+2000,IF(AND(LEN(CH2421)=9,ISERROR(FIND("-",LEFT(CH2421,8))),ISNUMBER(-LEFT(CH2421,8))),VALUE(LEFT(CH2421,4)),VALUE(LEFT(CH2421,FIND("-",CH2421)-1)))),""))</f>
        <v/>
      </c>
      <c r="CN2421">
        <f>IF(CH2421="","",IFERROR(IF(AND(LEN(CH2421)=9,ISERROR(FIND("-",LEFT(CH2421,8))),ISNUMBER(-LEFT(CH2421,8))),VALUE(MID(CH2421,5,2)),VALUE(MID(CH2421,FIND("-",CH2421)+1,FIND("-",CH2421,FIND("-",CH2421)+1)-FIND("-",CH2421)-1))),""))</f>
        <v/>
      </c>
      <c r="CO2421">
        <f>IF(CH2421="","",IFERROR(IF(AND(LEN(CH2421)=9,ISERROR(FIND("-",LEFT(CH2421,8))),ISNUMBER(-LEFT(CH2421,8))),VALUE(MID(CH2421,7,2)),VALUE(MID(CH2421,FIND("-",CH2421,FIND("-",CH2421)+1)+1,FIND("-",CH2421,FIND("-",CH2421,FIND("-",CH2421)+1)+1)-FIND("-",CH2421,FIND("-",CH2421)+1)-1))),""))</f>
        <v/>
      </c>
    </row>
    <row r="2422">
      <c r="CH2422">
        <f>IF(ISTEXT('월 가계부'!A2422),SUBSTITUTE(SUBSTITUTE(SUBSTITUTE(SUBSTITUTE(SUBSTITUTE(SUBSTITUTE(SUBSTITUTE(SUBSTITUTE(SUBSTITUTE(TRIM('월 가계부'!A2422),"년","-"),"월","-"),"일",""),".","-"),"/","-")," ","-"),"--","-"),"--","-"),"--","-")&amp;"-","")</f>
        <v/>
      </c>
      <c r="CI2422">
        <f>IFERROR(IF('월 가계부'!A2422="","",IF(ISNUMBER('월 가계부'!A2422),IF(AND('월 가계부'!A2422&gt;=19000101,'월 가계부'!A2422&lt;=21001231),IF(AND(MOD(INT('월 가계부'!A2422/100),100)&gt;=1,MOD(INT('월 가계부'!A2422/100),100)&lt;=12,MOD(INT('월 가계부'!A2422),100)&gt;=1,MOD(INT('월 가계부'!A2422),100)&lt;=31),IF(MONTH(DATE(INT('월 가계부'!A2422/10000),MOD(INT('월 가계부'!A2422/100),100),MOD(INT('월 가계부'!A2422),100)))=MOD(INT('월 가계부'!A2422/100),100),DATE(INT('월 가계부'!A2422/10000),MOD(INT('월 가계부'!A2422/100),100),MOD(INT('월 가계부'!A2422),100)),""),""),IF(AND('월 가계부'!A2422&gt;=36526,'월 가계부'!A2422&lt;73051),INT('월 가계부'!A2422),"")),IF(OR(CM2422="",CN2422="",CO2422=""),"",IF(AND(CM2422&gt;=2000,CM2422&lt;=2099,CN2422&gt;=1,CN2422&lt;=12,CO2422&gt;=1,CO2422&lt;=31),IF(MONTH(DATE(CM2422,CN2422,CO2422))=CN2422,DATE(CM2422,CN2422,CO2422),""),"")))),"")</f>
        <v/>
      </c>
      <c r="CJ2422">
        <f>IFERROR(IF('월 가계부'!C2422="","",IF(ISNUMBER('월 가계부'!C2422),'월 가계부'!C2422,VALUE(SUBSTITUTE(SUBSTITUTE(SUBSTITUTE(SUBSTITUTE(TRIM('월 가계부'!C2422),",",""),"원","")," ",""),"−","-")))),"")</f>
        <v/>
      </c>
      <c r="CK2422">
        <f>IF(ISNUMBER(CI2422),IF(CI2422&lt;$B$13,CI2422,""),"")</f>
        <v/>
      </c>
      <c r="CM2422">
        <f>IF(CH2422="","",IFERROR(IF(IF(AND(LEN(CH2422)=9,ISERROR(FIND("-",LEFT(CH2422,8))),ISNUMBER(-LEFT(CH2422,8))),VALUE(LEFT(CH2422,4)),VALUE(LEFT(CH2422,FIND("-",CH2422)-1)))&lt;100,IF(AND(LEN(CH2422)=9,ISERROR(FIND("-",LEFT(CH2422,8))),ISNUMBER(-LEFT(CH2422,8))),VALUE(LEFT(CH2422,4)),VALUE(LEFT(CH2422,FIND("-",CH2422)-1)))+2000,IF(AND(LEN(CH2422)=9,ISERROR(FIND("-",LEFT(CH2422,8))),ISNUMBER(-LEFT(CH2422,8))),VALUE(LEFT(CH2422,4)),VALUE(LEFT(CH2422,FIND("-",CH2422)-1)))),""))</f>
        <v/>
      </c>
      <c r="CN2422">
        <f>IF(CH2422="","",IFERROR(IF(AND(LEN(CH2422)=9,ISERROR(FIND("-",LEFT(CH2422,8))),ISNUMBER(-LEFT(CH2422,8))),VALUE(MID(CH2422,5,2)),VALUE(MID(CH2422,FIND("-",CH2422)+1,FIND("-",CH2422,FIND("-",CH2422)+1)-FIND("-",CH2422)-1))),""))</f>
        <v/>
      </c>
      <c r="CO2422">
        <f>IF(CH2422="","",IFERROR(IF(AND(LEN(CH2422)=9,ISERROR(FIND("-",LEFT(CH2422,8))),ISNUMBER(-LEFT(CH2422,8))),VALUE(MID(CH2422,7,2)),VALUE(MID(CH2422,FIND("-",CH2422,FIND("-",CH2422)+1)+1,FIND("-",CH2422,FIND("-",CH2422,FIND("-",CH2422)+1)+1)-FIND("-",CH2422,FIND("-",CH2422)+1)-1))),""))</f>
        <v/>
      </c>
    </row>
    <row r="2423">
      <c r="CH2423">
        <f>IF(ISTEXT('월 가계부'!A2423),SUBSTITUTE(SUBSTITUTE(SUBSTITUTE(SUBSTITUTE(SUBSTITUTE(SUBSTITUTE(SUBSTITUTE(SUBSTITUTE(SUBSTITUTE(TRIM('월 가계부'!A2423),"년","-"),"월","-"),"일",""),".","-"),"/","-")," ","-"),"--","-"),"--","-"),"--","-")&amp;"-","")</f>
        <v/>
      </c>
      <c r="CI2423">
        <f>IFERROR(IF('월 가계부'!A2423="","",IF(ISNUMBER('월 가계부'!A2423),IF(AND('월 가계부'!A2423&gt;=19000101,'월 가계부'!A2423&lt;=21001231),IF(AND(MOD(INT('월 가계부'!A2423/100),100)&gt;=1,MOD(INT('월 가계부'!A2423/100),100)&lt;=12,MOD(INT('월 가계부'!A2423),100)&gt;=1,MOD(INT('월 가계부'!A2423),100)&lt;=31),IF(MONTH(DATE(INT('월 가계부'!A2423/10000),MOD(INT('월 가계부'!A2423/100),100),MOD(INT('월 가계부'!A2423),100)))=MOD(INT('월 가계부'!A2423/100),100),DATE(INT('월 가계부'!A2423/10000),MOD(INT('월 가계부'!A2423/100),100),MOD(INT('월 가계부'!A2423),100)),""),""),IF(AND('월 가계부'!A2423&gt;=36526,'월 가계부'!A2423&lt;73051),INT('월 가계부'!A2423),"")),IF(OR(CM2423="",CN2423="",CO2423=""),"",IF(AND(CM2423&gt;=2000,CM2423&lt;=2099,CN2423&gt;=1,CN2423&lt;=12,CO2423&gt;=1,CO2423&lt;=31),IF(MONTH(DATE(CM2423,CN2423,CO2423))=CN2423,DATE(CM2423,CN2423,CO2423),""),"")))),"")</f>
        <v/>
      </c>
      <c r="CJ2423">
        <f>IFERROR(IF('월 가계부'!C2423="","",IF(ISNUMBER('월 가계부'!C2423),'월 가계부'!C2423,VALUE(SUBSTITUTE(SUBSTITUTE(SUBSTITUTE(SUBSTITUTE(TRIM('월 가계부'!C2423),",",""),"원","")," ",""),"−","-")))),"")</f>
        <v/>
      </c>
      <c r="CK2423">
        <f>IF(ISNUMBER(CI2423),IF(CI2423&lt;$B$13,CI2423,""),"")</f>
        <v/>
      </c>
      <c r="CM2423">
        <f>IF(CH2423="","",IFERROR(IF(IF(AND(LEN(CH2423)=9,ISERROR(FIND("-",LEFT(CH2423,8))),ISNUMBER(-LEFT(CH2423,8))),VALUE(LEFT(CH2423,4)),VALUE(LEFT(CH2423,FIND("-",CH2423)-1)))&lt;100,IF(AND(LEN(CH2423)=9,ISERROR(FIND("-",LEFT(CH2423,8))),ISNUMBER(-LEFT(CH2423,8))),VALUE(LEFT(CH2423,4)),VALUE(LEFT(CH2423,FIND("-",CH2423)-1)))+2000,IF(AND(LEN(CH2423)=9,ISERROR(FIND("-",LEFT(CH2423,8))),ISNUMBER(-LEFT(CH2423,8))),VALUE(LEFT(CH2423,4)),VALUE(LEFT(CH2423,FIND("-",CH2423)-1)))),""))</f>
        <v/>
      </c>
      <c r="CN2423">
        <f>IF(CH2423="","",IFERROR(IF(AND(LEN(CH2423)=9,ISERROR(FIND("-",LEFT(CH2423,8))),ISNUMBER(-LEFT(CH2423,8))),VALUE(MID(CH2423,5,2)),VALUE(MID(CH2423,FIND("-",CH2423)+1,FIND("-",CH2423,FIND("-",CH2423)+1)-FIND("-",CH2423)-1))),""))</f>
        <v/>
      </c>
      <c r="CO2423">
        <f>IF(CH2423="","",IFERROR(IF(AND(LEN(CH2423)=9,ISERROR(FIND("-",LEFT(CH2423,8))),ISNUMBER(-LEFT(CH2423,8))),VALUE(MID(CH2423,7,2)),VALUE(MID(CH2423,FIND("-",CH2423,FIND("-",CH2423)+1)+1,FIND("-",CH2423,FIND("-",CH2423,FIND("-",CH2423)+1)+1)-FIND("-",CH2423,FIND("-",CH2423)+1)-1))),""))</f>
        <v/>
      </c>
    </row>
    <row r="2424">
      <c r="CH2424">
        <f>IF(ISTEXT('월 가계부'!A2424),SUBSTITUTE(SUBSTITUTE(SUBSTITUTE(SUBSTITUTE(SUBSTITUTE(SUBSTITUTE(SUBSTITUTE(SUBSTITUTE(SUBSTITUTE(TRIM('월 가계부'!A2424),"년","-"),"월","-"),"일",""),".","-"),"/","-")," ","-"),"--","-"),"--","-"),"--","-")&amp;"-","")</f>
        <v/>
      </c>
      <c r="CI2424">
        <f>IFERROR(IF('월 가계부'!A2424="","",IF(ISNUMBER('월 가계부'!A2424),IF(AND('월 가계부'!A2424&gt;=19000101,'월 가계부'!A2424&lt;=21001231),IF(AND(MOD(INT('월 가계부'!A2424/100),100)&gt;=1,MOD(INT('월 가계부'!A2424/100),100)&lt;=12,MOD(INT('월 가계부'!A2424),100)&gt;=1,MOD(INT('월 가계부'!A2424),100)&lt;=31),IF(MONTH(DATE(INT('월 가계부'!A2424/10000),MOD(INT('월 가계부'!A2424/100),100),MOD(INT('월 가계부'!A2424),100)))=MOD(INT('월 가계부'!A2424/100),100),DATE(INT('월 가계부'!A2424/10000),MOD(INT('월 가계부'!A2424/100),100),MOD(INT('월 가계부'!A2424),100)),""),""),IF(AND('월 가계부'!A2424&gt;=36526,'월 가계부'!A2424&lt;73051),INT('월 가계부'!A2424),"")),IF(OR(CM2424="",CN2424="",CO2424=""),"",IF(AND(CM2424&gt;=2000,CM2424&lt;=2099,CN2424&gt;=1,CN2424&lt;=12,CO2424&gt;=1,CO2424&lt;=31),IF(MONTH(DATE(CM2424,CN2424,CO2424))=CN2424,DATE(CM2424,CN2424,CO2424),""),"")))),"")</f>
        <v/>
      </c>
      <c r="CJ2424">
        <f>IFERROR(IF('월 가계부'!C2424="","",IF(ISNUMBER('월 가계부'!C2424),'월 가계부'!C2424,VALUE(SUBSTITUTE(SUBSTITUTE(SUBSTITUTE(SUBSTITUTE(TRIM('월 가계부'!C2424),",",""),"원","")," ",""),"−","-")))),"")</f>
        <v/>
      </c>
      <c r="CK2424">
        <f>IF(ISNUMBER(CI2424),IF(CI2424&lt;$B$13,CI2424,""),"")</f>
        <v/>
      </c>
      <c r="CM2424">
        <f>IF(CH2424="","",IFERROR(IF(IF(AND(LEN(CH2424)=9,ISERROR(FIND("-",LEFT(CH2424,8))),ISNUMBER(-LEFT(CH2424,8))),VALUE(LEFT(CH2424,4)),VALUE(LEFT(CH2424,FIND("-",CH2424)-1)))&lt;100,IF(AND(LEN(CH2424)=9,ISERROR(FIND("-",LEFT(CH2424,8))),ISNUMBER(-LEFT(CH2424,8))),VALUE(LEFT(CH2424,4)),VALUE(LEFT(CH2424,FIND("-",CH2424)-1)))+2000,IF(AND(LEN(CH2424)=9,ISERROR(FIND("-",LEFT(CH2424,8))),ISNUMBER(-LEFT(CH2424,8))),VALUE(LEFT(CH2424,4)),VALUE(LEFT(CH2424,FIND("-",CH2424)-1)))),""))</f>
        <v/>
      </c>
      <c r="CN2424">
        <f>IF(CH2424="","",IFERROR(IF(AND(LEN(CH2424)=9,ISERROR(FIND("-",LEFT(CH2424,8))),ISNUMBER(-LEFT(CH2424,8))),VALUE(MID(CH2424,5,2)),VALUE(MID(CH2424,FIND("-",CH2424)+1,FIND("-",CH2424,FIND("-",CH2424)+1)-FIND("-",CH2424)-1))),""))</f>
        <v/>
      </c>
      <c r="CO2424">
        <f>IF(CH2424="","",IFERROR(IF(AND(LEN(CH2424)=9,ISERROR(FIND("-",LEFT(CH2424,8))),ISNUMBER(-LEFT(CH2424,8))),VALUE(MID(CH2424,7,2)),VALUE(MID(CH2424,FIND("-",CH2424,FIND("-",CH2424)+1)+1,FIND("-",CH2424,FIND("-",CH2424,FIND("-",CH2424)+1)+1)-FIND("-",CH2424,FIND("-",CH2424)+1)-1))),""))</f>
        <v/>
      </c>
    </row>
    <row r="2425">
      <c r="CH2425">
        <f>IF(ISTEXT('월 가계부'!A2425),SUBSTITUTE(SUBSTITUTE(SUBSTITUTE(SUBSTITUTE(SUBSTITUTE(SUBSTITUTE(SUBSTITUTE(SUBSTITUTE(SUBSTITUTE(TRIM('월 가계부'!A2425),"년","-"),"월","-"),"일",""),".","-"),"/","-")," ","-"),"--","-"),"--","-"),"--","-")&amp;"-","")</f>
        <v/>
      </c>
      <c r="CI2425">
        <f>IFERROR(IF('월 가계부'!A2425="","",IF(ISNUMBER('월 가계부'!A2425),IF(AND('월 가계부'!A2425&gt;=19000101,'월 가계부'!A2425&lt;=21001231),IF(AND(MOD(INT('월 가계부'!A2425/100),100)&gt;=1,MOD(INT('월 가계부'!A2425/100),100)&lt;=12,MOD(INT('월 가계부'!A2425),100)&gt;=1,MOD(INT('월 가계부'!A2425),100)&lt;=31),IF(MONTH(DATE(INT('월 가계부'!A2425/10000),MOD(INT('월 가계부'!A2425/100),100),MOD(INT('월 가계부'!A2425),100)))=MOD(INT('월 가계부'!A2425/100),100),DATE(INT('월 가계부'!A2425/10000),MOD(INT('월 가계부'!A2425/100),100),MOD(INT('월 가계부'!A2425),100)),""),""),IF(AND('월 가계부'!A2425&gt;=36526,'월 가계부'!A2425&lt;73051),INT('월 가계부'!A2425),"")),IF(OR(CM2425="",CN2425="",CO2425=""),"",IF(AND(CM2425&gt;=2000,CM2425&lt;=2099,CN2425&gt;=1,CN2425&lt;=12,CO2425&gt;=1,CO2425&lt;=31),IF(MONTH(DATE(CM2425,CN2425,CO2425))=CN2425,DATE(CM2425,CN2425,CO2425),""),"")))),"")</f>
        <v/>
      </c>
      <c r="CJ2425">
        <f>IFERROR(IF('월 가계부'!C2425="","",IF(ISNUMBER('월 가계부'!C2425),'월 가계부'!C2425,VALUE(SUBSTITUTE(SUBSTITUTE(SUBSTITUTE(SUBSTITUTE(TRIM('월 가계부'!C2425),",",""),"원","")," ",""),"−","-")))),"")</f>
        <v/>
      </c>
      <c r="CK2425">
        <f>IF(ISNUMBER(CI2425),IF(CI2425&lt;$B$13,CI2425,""),"")</f>
        <v/>
      </c>
      <c r="CM2425">
        <f>IF(CH2425="","",IFERROR(IF(IF(AND(LEN(CH2425)=9,ISERROR(FIND("-",LEFT(CH2425,8))),ISNUMBER(-LEFT(CH2425,8))),VALUE(LEFT(CH2425,4)),VALUE(LEFT(CH2425,FIND("-",CH2425)-1)))&lt;100,IF(AND(LEN(CH2425)=9,ISERROR(FIND("-",LEFT(CH2425,8))),ISNUMBER(-LEFT(CH2425,8))),VALUE(LEFT(CH2425,4)),VALUE(LEFT(CH2425,FIND("-",CH2425)-1)))+2000,IF(AND(LEN(CH2425)=9,ISERROR(FIND("-",LEFT(CH2425,8))),ISNUMBER(-LEFT(CH2425,8))),VALUE(LEFT(CH2425,4)),VALUE(LEFT(CH2425,FIND("-",CH2425)-1)))),""))</f>
        <v/>
      </c>
      <c r="CN2425">
        <f>IF(CH2425="","",IFERROR(IF(AND(LEN(CH2425)=9,ISERROR(FIND("-",LEFT(CH2425,8))),ISNUMBER(-LEFT(CH2425,8))),VALUE(MID(CH2425,5,2)),VALUE(MID(CH2425,FIND("-",CH2425)+1,FIND("-",CH2425,FIND("-",CH2425)+1)-FIND("-",CH2425)-1))),""))</f>
        <v/>
      </c>
      <c r="CO2425">
        <f>IF(CH2425="","",IFERROR(IF(AND(LEN(CH2425)=9,ISERROR(FIND("-",LEFT(CH2425,8))),ISNUMBER(-LEFT(CH2425,8))),VALUE(MID(CH2425,7,2)),VALUE(MID(CH2425,FIND("-",CH2425,FIND("-",CH2425)+1)+1,FIND("-",CH2425,FIND("-",CH2425,FIND("-",CH2425)+1)+1)-FIND("-",CH2425,FIND("-",CH2425)+1)-1))),""))</f>
        <v/>
      </c>
    </row>
    <row r="2426">
      <c r="CH2426">
        <f>IF(ISTEXT('월 가계부'!A2426),SUBSTITUTE(SUBSTITUTE(SUBSTITUTE(SUBSTITUTE(SUBSTITUTE(SUBSTITUTE(SUBSTITUTE(SUBSTITUTE(SUBSTITUTE(TRIM('월 가계부'!A2426),"년","-"),"월","-"),"일",""),".","-"),"/","-")," ","-"),"--","-"),"--","-"),"--","-")&amp;"-","")</f>
        <v/>
      </c>
      <c r="CI2426">
        <f>IFERROR(IF('월 가계부'!A2426="","",IF(ISNUMBER('월 가계부'!A2426),IF(AND('월 가계부'!A2426&gt;=19000101,'월 가계부'!A2426&lt;=21001231),IF(AND(MOD(INT('월 가계부'!A2426/100),100)&gt;=1,MOD(INT('월 가계부'!A2426/100),100)&lt;=12,MOD(INT('월 가계부'!A2426),100)&gt;=1,MOD(INT('월 가계부'!A2426),100)&lt;=31),IF(MONTH(DATE(INT('월 가계부'!A2426/10000),MOD(INT('월 가계부'!A2426/100),100),MOD(INT('월 가계부'!A2426),100)))=MOD(INT('월 가계부'!A2426/100),100),DATE(INT('월 가계부'!A2426/10000),MOD(INT('월 가계부'!A2426/100),100),MOD(INT('월 가계부'!A2426),100)),""),""),IF(AND('월 가계부'!A2426&gt;=36526,'월 가계부'!A2426&lt;73051),INT('월 가계부'!A2426),"")),IF(OR(CM2426="",CN2426="",CO2426=""),"",IF(AND(CM2426&gt;=2000,CM2426&lt;=2099,CN2426&gt;=1,CN2426&lt;=12,CO2426&gt;=1,CO2426&lt;=31),IF(MONTH(DATE(CM2426,CN2426,CO2426))=CN2426,DATE(CM2426,CN2426,CO2426),""),"")))),"")</f>
        <v/>
      </c>
      <c r="CJ2426">
        <f>IFERROR(IF('월 가계부'!C2426="","",IF(ISNUMBER('월 가계부'!C2426),'월 가계부'!C2426,VALUE(SUBSTITUTE(SUBSTITUTE(SUBSTITUTE(SUBSTITUTE(TRIM('월 가계부'!C2426),",",""),"원","")," ",""),"−","-")))),"")</f>
        <v/>
      </c>
      <c r="CK2426">
        <f>IF(ISNUMBER(CI2426),IF(CI2426&lt;$B$13,CI2426,""),"")</f>
        <v/>
      </c>
      <c r="CM2426">
        <f>IF(CH2426="","",IFERROR(IF(IF(AND(LEN(CH2426)=9,ISERROR(FIND("-",LEFT(CH2426,8))),ISNUMBER(-LEFT(CH2426,8))),VALUE(LEFT(CH2426,4)),VALUE(LEFT(CH2426,FIND("-",CH2426)-1)))&lt;100,IF(AND(LEN(CH2426)=9,ISERROR(FIND("-",LEFT(CH2426,8))),ISNUMBER(-LEFT(CH2426,8))),VALUE(LEFT(CH2426,4)),VALUE(LEFT(CH2426,FIND("-",CH2426)-1)))+2000,IF(AND(LEN(CH2426)=9,ISERROR(FIND("-",LEFT(CH2426,8))),ISNUMBER(-LEFT(CH2426,8))),VALUE(LEFT(CH2426,4)),VALUE(LEFT(CH2426,FIND("-",CH2426)-1)))),""))</f>
        <v/>
      </c>
      <c r="CN2426">
        <f>IF(CH2426="","",IFERROR(IF(AND(LEN(CH2426)=9,ISERROR(FIND("-",LEFT(CH2426,8))),ISNUMBER(-LEFT(CH2426,8))),VALUE(MID(CH2426,5,2)),VALUE(MID(CH2426,FIND("-",CH2426)+1,FIND("-",CH2426,FIND("-",CH2426)+1)-FIND("-",CH2426)-1))),""))</f>
        <v/>
      </c>
      <c r="CO2426">
        <f>IF(CH2426="","",IFERROR(IF(AND(LEN(CH2426)=9,ISERROR(FIND("-",LEFT(CH2426,8))),ISNUMBER(-LEFT(CH2426,8))),VALUE(MID(CH2426,7,2)),VALUE(MID(CH2426,FIND("-",CH2426,FIND("-",CH2426)+1)+1,FIND("-",CH2426,FIND("-",CH2426,FIND("-",CH2426)+1)+1)-FIND("-",CH2426,FIND("-",CH2426)+1)-1))),""))</f>
        <v/>
      </c>
    </row>
    <row r="2427">
      <c r="CH2427">
        <f>IF(ISTEXT('월 가계부'!A2427),SUBSTITUTE(SUBSTITUTE(SUBSTITUTE(SUBSTITUTE(SUBSTITUTE(SUBSTITUTE(SUBSTITUTE(SUBSTITUTE(SUBSTITUTE(TRIM('월 가계부'!A2427),"년","-"),"월","-"),"일",""),".","-"),"/","-")," ","-"),"--","-"),"--","-"),"--","-")&amp;"-","")</f>
        <v/>
      </c>
      <c r="CI2427">
        <f>IFERROR(IF('월 가계부'!A2427="","",IF(ISNUMBER('월 가계부'!A2427),IF(AND('월 가계부'!A2427&gt;=19000101,'월 가계부'!A2427&lt;=21001231),IF(AND(MOD(INT('월 가계부'!A2427/100),100)&gt;=1,MOD(INT('월 가계부'!A2427/100),100)&lt;=12,MOD(INT('월 가계부'!A2427),100)&gt;=1,MOD(INT('월 가계부'!A2427),100)&lt;=31),IF(MONTH(DATE(INT('월 가계부'!A2427/10000),MOD(INT('월 가계부'!A2427/100),100),MOD(INT('월 가계부'!A2427),100)))=MOD(INT('월 가계부'!A2427/100),100),DATE(INT('월 가계부'!A2427/10000),MOD(INT('월 가계부'!A2427/100),100),MOD(INT('월 가계부'!A2427),100)),""),""),IF(AND('월 가계부'!A2427&gt;=36526,'월 가계부'!A2427&lt;73051),INT('월 가계부'!A2427),"")),IF(OR(CM2427="",CN2427="",CO2427=""),"",IF(AND(CM2427&gt;=2000,CM2427&lt;=2099,CN2427&gt;=1,CN2427&lt;=12,CO2427&gt;=1,CO2427&lt;=31),IF(MONTH(DATE(CM2427,CN2427,CO2427))=CN2427,DATE(CM2427,CN2427,CO2427),""),"")))),"")</f>
        <v/>
      </c>
      <c r="CJ2427">
        <f>IFERROR(IF('월 가계부'!C2427="","",IF(ISNUMBER('월 가계부'!C2427),'월 가계부'!C2427,VALUE(SUBSTITUTE(SUBSTITUTE(SUBSTITUTE(SUBSTITUTE(TRIM('월 가계부'!C2427),",",""),"원","")," ",""),"−","-")))),"")</f>
        <v/>
      </c>
      <c r="CK2427">
        <f>IF(ISNUMBER(CI2427),IF(CI2427&lt;$B$13,CI2427,""),"")</f>
        <v/>
      </c>
      <c r="CM2427">
        <f>IF(CH2427="","",IFERROR(IF(IF(AND(LEN(CH2427)=9,ISERROR(FIND("-",LEFT(CH2427,8))),ISNUMBER(-LEFT(CH2427,8))),VALUE(LEFT(CH2427,4)),VALUE(LEFT(CH2427,FIND("-",CH2427)-1)))&lt;100,IF(AND(LEN(CH2427)=9,ISERROR(FIND("-",LEFT(CH2427,8))),ISNUMBER(-LEFT(CH2427,8))),VALUE(LEFT(CH2427,4)),VALUE(LEFT(CH2427,FIND("-",CH2427)-1)))+2000,IF(AND(LEN(CH2427)=9,ISERROR(FIND("-",LEFT(CH2427,8))),ISNUMBER(-LEFT(CH2427,8))),VALUE(LEFT(CH2427,4)),VALUE(LEFT(CH2427,FIND("-",CH2427)-1)))),""))</f>
        <v/>
      </c>
      <c r="CN2427">
        <f>IF(CH2427="","",IFERROR(IF(AND(LEN(CH2427)=9,ISERROR(FIND("-",LEFT(CH2427,8))),ISNUMBER(-LEFT(CH2427,8))),VALUE(MID(CH2427,5,2)),VALUE(MID(CH2427,FIND("-",CH2427)+1,FIND("-",CH2427,FIND("-",CH2427)+1)-FIND("-",CH2427)-1))),""))</f>
        <v/>
      </c>
      <c r="CO2427">
        <f>IF(CH2427="","",IFERROR(IF(AND(LEN(CH2427)=9,ISERROR(FIND("-",LEFT(CH2427,8))),ISNUMBER(-LEFT(CH2427,8))),VALUE(MID(CH2427,7,2)),VALUE(MID(CH2427,FIND("-",CH2427,FIND("-",CH2427)+1)+1,FIND("-",CH2427,FIND("-",CH2427,FIND("-",CH2427)+1)+1)-FIND("-",CH2427,FIND("-",CH2427)+1)-1))),""))</f>
        <v/>
      </c>
    </row>
    <row r="2428">
      <c r="CH2428">
        <f>IF(ISTEXT('월 가계부'!A2428),SUBSTITUTE(SUBSTITUTE(SUBSTITUTE(SUBSTITUTE(SUBSTITUTE(SUBSTITUTE(SUBSTITUTE(SUBSTITUTE(SUBSTITUTE(TRIM('월 가계부'!A2428),"년","-"),"월","-"),"일",""),".","-"),"/","-")," ","-"),"--","-"),"--","-"),"--","-")&amp;"-","")</f>
        <v/>
      </c>
      <c r="CI2428">
        <f>IFERROR(IF('월 가계부'!A2428="","",IF(ISNUMBER('월 가계부'!A2428),IF(AND('월 가계부'!A2428&gt;=19000101,'월 가계부'!A2428&lt;=21001231),IF(AND(MOD(INT('월 가계부'!A2428/100),100)&gt;=1,MOD(INT('월 가계부'!A2428/100),100)&lt;=12,MOD(INT('월 가계부'!A2428),100)&gt;=1,MOD(INT('월 가계부'!A2428),100)&lt;=31),IF(MONTH(DATE(INT('월 가계부'!A2428/10000),MOD(INT('월 가계부'!A2428/100),100),MOD(INT('월 가계부'!A2428),100)))=MOD(INT('월 가계부'!A2428/100),100),DATE(INT('월 가계부'!A2428/10000),MOD(INT('월 가계부'!A2428/100),100),MOD(INT('월 가계부'!A2428),100)),""),""),IF(AND('월 가계부'!A2428&gt;=36526,'월 가계부'!A2428&lt;73051),INT('월 가계부'!A2428),"")),IF(OR(CM2428="",CN2428="",CO2428=""),"",IF(AND(CM2428&gt;=2000,CM2428&lt;=2099,CN2428&gt;=1,CN2428&lt;=12,CO2428&gt;=1,CO2428&lt;=31),IF(MONTH(DATE(CM2428,CN2428,CO2428))=CN2428,DATE(CM2428,CN2428,CO2428),""),"")))),"")</f>
        <v/>
      </c>
      <c r="CJ2428">
        <f>IFERROR(IF('월 가계부'!C2428="","",IF(ISNUMBER('월 가계부'!C2428),'월 가계부'!C2428,VALUE(SUBSTITUTE(SUBSTITUTE(SUBSTITUTE(SUBSTITUTE(TRIM('월 가계부'!C2428),",",""),"원","")," ",""),"−","-")))),"")</f>
        <v/>
      </c>
      <c r="CK2428">
        <f>IF(ISNUMBER(CI2428),IF(CI2428&lt;$B$13,CI2428,""),"")</f>
        <v/>
      </c>
      <c r="CM2428">
        <f>IF(CH2428="","",IFERROR(IF(IF(AND(LEN(CH2428)=9,ISERROR(FIND("-",LEFT(CH2428,8))),ISNUMBER(-LEFT(CH2428,8))),VALUE(LEFT(CH2428,4)),VALUE(LEFT(CH2428,FIND("-",CH2428)-1)))&lt;100,IF(AND(LEN(CH2428)=9,ISERROR(FIND("-",LEFT(CH2428,8))),ISNUMBER(-LEFT(CH2428,8))),VALUE(LEFT(CH2428,4)),VALUE(LEFT(CH2428,FIND("-",CH2428)-1)))+2000,IF(AND(LEN(CH2428)=9,ISERROR(FIND("-",LEFT(CH2428,8))),ISNUMBER(-LEFT(CH2428,8))),VALUE(LEFT(CH2428,4)),VALUE(LEFT(CH2428,FIND("-",CH2428)-1)))),""))</f>
        <v/>
      </c>
      <c r="CN2428">
        <f>IF(CH2428="","",IFERROR(IF(AND(LEN(CH2428)=9,ISERROR(FIND("-",LEFT(CH2428,8))),ISNUMBER(-LEFT(CH2428,8))),VALUE(MID(CH2428,5,2)),VALUE(MID(CH2428,FIND("-",CH2428)+1,FIND("-",CH2428,FIND("-",CH2428)+1)-FIND("-",CH2428)-1))),""))</f>
        <v/>
      </c>
      <c r="CO2428">
        <f>IF(CH2428="","",IFERROR(IF(AND(LEN(CH2428)=9,ISERROR(FIND("-",LEFT(CH2428,8))),ISNUMBER(-LEFT(CH2428,8))),VALUE(MID(CH2428,7,2)),VALUE(MID(CH2428,FIND("-",CH2428,FIND("-",CH2428)+1)+1,FIND("-",CH2428,FIND("-",CH2428,FIND("-",CH2428)+1)+1)-FIND("-",CH2428,FIND("-",CH2428)+1)-1))),""))</f>
        <v/>
      </c>
    </row>
    <row r="2429">
      <c r="CH2429">
        <f>IF(ISTEXT('월 가계부'!A2429),SUBSTITUTE(SUBSTITUTE(SUBSTITUTE(SUBSTITUTE(SUBSTITUTE(SUBSTITUTE(SUBSTITUTE(SUBSTITUTE(SUBSTITUTE(TRIM('월 가계부'!A2429),"년","-"),"월","-"),"일",""),".","-"),"/","-")," ","-"),"--","-"),"--","-"),"--","-")&amp;"-","")</f>
        <v/>
      </c>
      <c r="CI2429">
        <f>IFERROR(IF('월 가계부'!A2429="","",IF(ISNUMBER('월 가계부'!A2429),IF(AND('월 가계부'!A2429&gt;=19000101,'월 가계부'!A2429&lt;=21001231),IF(AND(MOD(INT('월 가계부'!A2429/100),100)&gt;=1,MOD(INT('월 가계부'!A2429/100),100)&lt;=12,MOD(INT('월 가계부'!A2429),100)&gt;=1,MOD(INT('월 가계부'!A2429),100)&lt;=31),IF(MONTH(DATE(INT('월 가계부'!A2429/10000),MOD(INT('월 가계부'!A2429/100),100),MOD(INT('월 가계부'!A2429),100)))=MOD(INT('월 가계부'!A2429/100),100),DATE(INT('월 가계부'!A2429/10000),MOD(INT('월 가계부'!A2429/100),100),MOD(INT('월 가계부'!A2429),100)),""),""),IF(AND('월 가계부'!A2429&gt;=36526,'월 가계부'!A2429&lt;73051),INT('월 가계부'!A2429),"")),IF(OR(CM2429="",CN2429="",CO2429=""),"",IF(AND(CM2429&gt;=2000,CM2429&lt;=2099,CN2429&gt;=1,CN2429&lt;=12,CO2429&gt;=1,CO2429&lt;=31),IF(MONTH(DATE(CM2429,CN2429,CO2429))=CN2429,DATE(CM2429,CN2429,CO2429),""),"")))),"")</f>
        <v/>
      </c>
      <c r="CJ2429">
        <f>IFERROR(IF('월 가계부'!C2429="","",IF(ISNUMBER('월 가계부'!C2429),'월 가계부'!C2429,VALUE(SUBSTITUTE(SUBSTITUTE(SUBSTITUTE(SUBSTITUTE(TRIM('월 가계부'!C2429),",",""),"원","")," ",""),"−","-")))),"")</f>
        <v/>
      </c>
      <c r="CK2429">
        <f>IF(ISNUMBER(CI2429),IF(CI2429&lt;$B$13,CI2429,""),"")</f>
        <v/>
      </c>
      <c r="CM2429">
        <f>IF(CH2429="","",IFERROR(IF(IF(AND(LEN(CH2429)=9,ISERROR(FIND("-",LEFT(CH2429,8))),ISNUMBER(-LEFT(CH2429,8))),VALUE(LEFT(CH2429,4)),VALUE(LEFT(CH2429,FIND("-",CH2429)-1)))&lt;100,IF(AND(LEN(CH2429)=9,ISERROR(FIND("-",LEFT(CH2429,8))),ISNUMBER(-LEFT(CH2429,8))),VALUE(LEFT(CH2429,4)),VALUE(LEFT(CH2429,FIND("-",CH2429)-1)))+2000,IF(AND(LEN(CH2429)=9,ISERROR(FIND("-",LEFT(CH2429,8))),ISNUMBER(-LEFT(CH2429,8))),VALUE(LEFT(CH2429,4)),VALUE(LEFT(CH2429,FIND("-",CH2429)-1)))),""))</f>
        <v/>
      </c>
      <c r="CN2429">
        <f>IF(CH2429="","",IFERROR(IF(AND(LEN(CH2429)=9,ISERROR(FIND("-",LEFT(CH2429,8))),ISNUMBER(-LEFT(CH2429,8))),VALUE(MID(CH2429,5,2)),VALUE(MID(CH2429,FIND("-",CH2429)+1,FIND("-",CH2429,FIND("-",CH2429)+1)-FIND("-",CH2429)-1))),""))</f>
        <v/>
      </c>
      <c r="CO2429">
        <f>IF(CH2429="","",IFERROR(IF(AND(LEN(CH2429)=9,ISERROR(FIND("-",LEFT(CH2429,8))),ISNUMBER(-LEFT(CH2429,8))),VALUE(MID(CH2429,7,2)),VALUE(MID(CH2429,FIND("-",CH2429,FIND("-",CH2429)+1)+1,FIND("-",CH2429,FIND("-",CH2429,FIND("-",CH2429)+1)+1)-FIND("-",CH2429,FIND("-",CH2429)+1)-1))),""))</f>
        <v/>
      </c>
    </row>
    <row r="2430">
      <c r="CH2430">
        <f>IF(ISTEXT('월 가계부'!A2430),SUBSTITUTE(SUBSTITUTE(SUBSTITUTE(SUBSTITUTE(SUBSTITUTE(SUBSTITUTE(SUBSTITUTE(SUBSTITUTE(SUBSTITUTE(TRIM('월 가계부'!A2430),"년","-"),"월","-"),"일",""),".","-"),"/","-")," ","-"),"--","-"),"--","-"),"--","-")&amp;"-","")</f>
        <v/>
      </c>
      <c r="CI2430">
        <f>IFERROR(IF('월 가계부'!A2430="","",IF(ISNUMBER('월 가계부'!A2430),IF(AND('월 가계부'!A2430&gt;=19000101,'월 가계부'!A2430&lt;=21001231),IF(AND(MOD(INT('월 가계부'!A2430/100),100)&gt;=1,MOD(INT('월 가계부'!A2430/100),100)&lt;=12,MOD(INT('월 가계부'!A2430),100)&gt;=1,MOD(INT('월 가계부'!A2430),100)&lt;=31),IF(MONTH(DATE(INT('월 가계부'!A2430/10000),MOD(INT('월 가계부'!A2430/100),100),MOD(INT('월 가계부'!A2430),100)))=MOD(INT('월 가계부'!A2430/100),100),DATE(INT('월 가계부'!A2430/10000),MOD(INT('월 가계부'!A2430/100),100),MOD(INT('월 가계부'!A2430),100)),""),""),IF(AND('월 가계부'!A2430&gt;=36526,'월 가계부'!A2430&lt;73051),INT('월 가계부'!A2430),"")),IF(OR(CM2430="",CN2430="",CO2430=""),"",IF(AND(CM2430&gt;=2000,CM2430&lt;=2099,CN2430&gt;=1,CN2430&lt;=12,CO2430&gt;=1,CO2430&lt;=31),IF(MONTH(DATE(CM2430,CN2430,CO2430))=CN2430,DATE(CM2430,CN2430,CO2430),""),"")))),"")</f>
        <v/>
      </c>
      <c r="CJ2430">
        <f>IFERROR(IF('월 가계부'!C2430="","",IF(ISNUMBER('월 가계부'!C2430),'월 가계부'!C2430,VALUE(SUBSTITUTE(SUBSTITUTE(SUBSTITUTE(SUBSTITUTE(TRIM('월 가계부'!C2430),",",""),"원","")," ",""),"−","-")))),"")</f>
        <v/>
      </c>
      <c r="CK2430">
        <f>IF(ISNUMBER(CI2430),IF(CI2430&lt;$B$13,CI2430,""),"")</f>
        <v/>
      </c>
      <c r="CM2430">
        <f>IF(CH2430="","",IFERROR(IF(IF(AND(LEN(CH2430)=9,ISERROR(FIND("-",LEFT(CH2430,8))),ISNUMBER(-LEFT(CH2430,8))),VALUE(LEFT(CH2430,4)),VALUE(LEFT(CH2430,FIND("-",CH2430)-1)))&lt;100,IF(AND(LEN(CH2430)=9,ISERROR(FIND("-",LEFT(CH2430,8))),ISNUMBER(-LEFT(CH2430,8))),VALUE(LEFT(CH2430,4)),VALUE(LEFT(CH2430,FIND("-",CH2430)-1)))+2000,IF(AND(LEN(CH2430)=9,ISERROR(FIND("-",LEFT(CH2430,8))),ISNUMBER(-LEFT(CH2430,8))),VALUE(LEFT(CH2430,4)),VALUE(LEFT(CH2430,FIND("-",CH2430)-1)))),""))</f>
        <v/>
      </c>
      <c r="CN2430">
        <f>IF(CH2430="","",IFERROR(IF(AND(LEN(CH2430)=9,ISERROR(FIND("-",LEFT(CH2430,8))),ISNUMBER(-LEFT(CH2430,8))),VALUE(MID(CH2430,5,2)),VALUE(MID(CH2430,FIND("-",CH2430)+1,FIND("-",CH2430,FIND("-",CH2430)+1)-FIND("-",CH2430)-1))),""))</f>
        <v/>
      </c>
      <c r="CO2430">
        <f>IF(CH2430="","",IFERROR(IF(AND(LEN(CH2430)=9,ISERROR(FIND("-",LEFT(CH2430,8))),ISNUMBER(-LEFT(CH2430,8))),VALUE(MID(CH2430,7,2)),VALUE(MID(CH2430,FIND("-",CH2430,FIND("-",CH2430)+1)+1,FIND("-",CH2430,FIND("-",CH2430,FIND("-",CH2430)+1)+1)-FIND("-",CH2430,FIND("-",CH2430)+1)-1))),""))</f>
        <v/>
      </c>
    </row>
    <row r="2431">
      <c r="CH2431">
        <f>IF(ISTEXT('월 가계부'!A2431),SUBSTITUTE(SUBSTITUTE(SUBSTITUTE(SUBSTITUTE(SUBSTITUTE(SUBSTITUTE(SUBSTITUTE(SUBSTITUTE(SUBSTITUTE(TRIM('월 가계부'!A2431),"년","-"),"월","-"),"일",""),".","-"),"/","-")," ","-"),"--","-"),"--","-"),"--","-")&amp;"-","")</f>
        <v/>
      </c>
      <c r="CI2431">
        <f>IFERROR(IF('월 가계부'!A2431="","",IF(ISNUMBER('월 가계부'!A2431),IF(AND('월 가계부'!A2431&gt;=19000101,'월 가계부'!A2431&lt;=21001231),IF(AND(MOD(INT('월 가계부'!A2431/100),100)&gt;=1,MOD(INT('월 가계부'!A2431/100),100)&lt;=12,MOD(INT('월 가계부'!A2431),100)&gt;=1,MOD(INT('월 가계부'!A2431),100)&lt;=31),IF(MONTH(DATE(INT('월 가계부'!A2431/10000),MOD(INT('월 가계부'!A2431/100),100),MOD(INT('월 가계부'!A2431),100)))=MOD(INT('월 가계부'!A2431/100),100),DATE(INT('월 가계부'!A2431/10000),MOD(INT('월 가계부'!A2431/100),100),MOD(INT('월 가계부'!A2431),100)),""),""),IF(AND('월 가계부'!A2431&gt;=36526,'월 가계부'!A2431&lt;73051),INT('월 가계부'!A2431),"")),IF(OR(CM2431="",CN2431="",CO2431=""),"",IF(AND(CM2431&gt;=2000,CM2431&lt;=2099,CN2431&gt;=1,CN2431&lt;=12,CO2431&gt;=1,CO2431&lt;=31),IF(MONTH(DATE(CM2431,CN2431,CO2431))=CN2431,DATE(CM2431,CN2431,CO2431),""),"")))),"")</f>
        <v/>
      </c>
      <c r="CJ2431">
        <f>IFERROR(IF('월 가계부'!C2431="","",IF(ISNUMBER('월 가계부'!C2431),'월 가계부'!C2431,VALUE(SUBSTITUTE(SUBSTITUTE(SUBSTITUTE(SUBSTITUTE(TRIM('월 가계부'!C2431),",",""),"원","")," ",""),"−","-")))),"")</f>
        <v/>
      </c>
      <c r="CK2431">
        <f>IF(ISNUMBER(CI2431),IF(CI2431&lt;$B$13,CI2431,""),"")</f>
        <v/>
      </c>
      <c r="CM2431">
        <f>IF(CH2431="","",IFERROR(IF(IF(AND(LEN(CH2431)=9,ISERROR(FIND("-",LEFT(CH2431,8))),ISNUMBER(-LEFT(CH2431,8))),VALUE(LEFT(CH2431,4)),VALUE(LEFT(CH2431,FIND("-",CH2431)-1)))&lt;100,IF(AND(LEN(CH2431)=9,ISERROR(FIND("-",LEFT(CH2431,8))),ISNUMBER(-LEFT(CH2431,8))),VALUE(LEFT(CH2431,4)),VALUE(LEFT(CH2431,FIND("-",CH2431)-1)))+2000,IF(AND(LEN(CH2431)=9,ISERROR(FIND("-",LEFT(CH2431,8))),ISNUMBER(-LEFT(CH2431,8))),VALUE(LEFT(CH2431,4)),VALUE(LEFT(CH2431,FIND("-",CH2431)-1)))),""))</f>
        <v/>
      </c>
      <c r="CN2431">
        <f>IF(CH2431="","",IFERROR(IF(AND(LEN(CH2431)=9,ISERROR(FIND("-",LEFT(CH2431,8))),ISNUMBER(-LEFT(CH2431,8))),VALUE(MID(CH2431,5,2)),VALUE(MID(CH2431,FIND("-",CH2431)+1,FIND("-",CH2431,FIND("-",CH2431)+1)-FIND("-",CH2431)-1))),""))</f>
        <v/>
      </c>
      <c r="CO2431">
        <f>IF(CH2431="","",IFERROR(IF(AND(LEN(CH2431)=9,ISERROR(FIND("-",LEFT(CH2431,8))),ISNUMBER(-LEFT(CH2431,8))),VALUE(MID(CH2431,7,2)),VALUE(MID(CH2431,FIND("-",CH2431,FIND("-",CH2431)+1)+1,FIND("-",CH2431,FIND("-",CH2431,FIND("-",CH2431)+1)+1)-FIND("-",CH2431,FIND("-",CH2431)+1)-1))),""))</f>
        <v/>
      </c>
    </row>
    <row r="2432">
      <c r="CH2432">
        <f>IF(ISTEXT('월 가계부'!A2432),SUBSTITUTE(SUBSTITUTE(SUBSTITUTE(SUBSTITUTE(SUBSTITUTE(SUBSTITUTE(SUBSTITUTE(SUBSTITUTE(SUBSTITUTE(TRIM('월 가계부'!A2432),"년","-"),"월","-"),"일",""),".","-"),"/","-")," ","-"),"--","-"),"--","-"),"--","-")&amp;"-","")</f>
        <v/>
      </c>
      <c r="CI2432">
        <f>IFERROR(IF('월 가계부'!A2432="","",IF(ISNUMBER('월 가계부'!A2432),IF(AND('월 가계부'!A2432&gt;=19000101,'월 가계부'!A2432&lt;=21001231),IF(AND(MOD(INT('월 가계부'!A2432/100),100)&gt;=1,MOD(INT('월 가계부'!A2432/100),100)&lt;=12,MOD(INT('월 가계부'!A2432),100)&gt;=1,MOD(INT('월 가계부'!A2432),100)&lt;=31),IF(MONTH(DATE(INT('월 가계부'!A2432/10000),MOD(INT('월 가계부'!A2432/100),100),MOD(INT('월 가계부'!A2432),100)))=MOD(INT('월 가계부'!A2432/100),100),DATE(INT('월 가계부'!A2432/10000),MOD(INT('월 가계부'!A2432/100),100),MOD(INT('월 가계부'!A2432),100)),""),""),IF(AND('월 가계부'!A2432&gt;=36526,'월 가계부'!A2432&lt;73051),INT('월 가계부'!A2432),"")),IF(OR(CM2432="",CN2432="",CO2432=""),"",IF(AND(CM2432&gt;=2000,CM2432&lt;=2099,CN2432&gt;=1,CN2432&lt;=12,CO2432&gt;=1,CO2432&lt;=31),IF(MONTH(DATE(CM2432,CN2432,CO2432))=CN2432,DATE(CM2432,CN2432,CO2432),""),"")))),"")</f>
        <v/>
      </c>
      <c r="CJ2432">
        <f>IFERROR(IF('월 가계부'!C2432="","",IF(ISNUMBER('월 가계부'!C2432),'월 가계부'!C2432,VALUE(SUBSTITUTE(SUBSTITUTE(SUBSTITUTE(SUBSTITUTE(TRIM('월 가계부'!C2432),",",""),"원","")," ",""),"−","-")))),"")</f>
        <v/>
      </c>
      <c r="CK2432">
        <f>IF(ISNUMBER(CI2432),IF(CI2432&lt;$B$13,CI2432,""),"")</f>
        <v/>
      </c>
      <c r="CM2432">
        <f>IF(CH2432="","",IFERROR(IF(IF(AND(LEN(CH2432)=9,ISERROR(FIND("-",LEFT(CH2432,8))),ISNUMBER(-LEFT(CH2432,8))),VALUE(LEFT(CH2432,4)),VALUE(LEFT(CH2432,FIND("-",CH2432)-1)))&lt;100,IF(AND(LEN(CH2432)=9,ISERROR(FIND("-",LEFT(CH2432,8))),ISNUMBER(-LEFT(CH2432,8))),VALUE(LEFT(CH2432,4)),VALUE(LEFT(CH2432,FIND("-",CH2432)-1)))+2000,IF(AND(LEN(CH2432)=9,ISERROR(FIND("-",LEFT(CH2432,8))),ISNUMBER(-LEFT(CH2432,8))),VALUE(LEFT(CH2432,4)),VALUE(LEFT(CH2432,FIND("-",CH2432)-1)))),""))</f>
        <v/>
      </c>
      <c r="CN2432">
        <f>IF(CH2432="","",IFERROR(IF(AND(LEN(CH2432)=9,ISERROR(FIND("-",LEFT(CH2432,8))),ISNUMBER(-LEFT(CH2432,8))),VALUE(MID(CH2432,5,2)),VALUE(MID(CH2432,FIND("-",CH2432)+1,FIND("-",CH2432,FIND("-",CH2432)+1)-FIND("-",CH2432)-1))),""))</f>
        <v/>
      </c>
      <c r="CO2432">
        <f>IF(CH2432="","",IFERROR(IF(AND(LEN(CH2432)=9,ISERROR(FIND("-",LEFT(CH2432,8))),ISNUMBER(-LEFT(CH2432,8))),VALUE(MID(CH2432,7,2)),VALUE(MID(CH2432,FIND("-",CH2432,FIND("-",CH2432)+1)+1,FIND("-",CH2432,FIND("-",CH2432,FIND("-",CH2432)+1)+1)-FIND("-",CH2432,FIND("-",CH2432)+1)-1))),""))</f>
        <v/>
      </c>
    </row>
    <row r="2433">
      <c r="CH2433">
        <f>IF(ISTEXT('월 가계부'!A2433),SUBSTITUTE(SUBSTITUTE(SUBSTITUTE(SUBSTITUTE(SUBSTITUTE(SUBSTITUTE(SUBSTITUTE(SUBSTITUTE(SUBSTITUTE(TRIM('월 가계부'!A2433),"년","-"),"월","-"),"일",""),".","-"),"/","-")," ","-"),"--","-"),"--","-"),"--","-")&amp;"-","")</f>
        <v/>
      </c>
      <c r="CI2433">
        <f>IFERROR(IF('월 가계부'!A2433="","",IF(ISNUMBER('월 가계부'!A2433),IF(AND('월 가계부'!A2433&gt;=19000101,'월 가계부'!A2433&lt;=21001231),IF(AND(MOD(INT('월 가계부'!A2433/100),100)&gt;=1,MOD(INT('월 가계부'!A2433/100),100)&lt;=12,MOD(INT('월 가계부'!A2433),100)&gt;=1,MOD(INT('월 가계부'!A2433),100)&lt;=31),IF(MONTH(DATE(INT('월 가계부'!A2433/10000),MOD(INT('월 가계부'!A2433/100),100),MOD(INT('월 가계부'!A2433),100)))=MOD(INT('월 가계부'!A2433/100),100),DATE(INT('월 가계부'!A2433/10000),MOD(INT('월 가계부'!A2433/100),100),MOD(INT('월 가계부'!A2433),100)),""),""),IF(AND('월 가계부'!A2433&gt;=36526,'월 가계부'!A2433&lt;73051),INT('월 가계부'!A2433),"")),IF(OR(CM2433="",CN2433="",CO2433=""),"",IF(AND(CM2433&gt;=2000,CM2433&lt;=2099,CN2433&gt;=1,CN2433&lt;=12,CO2433&gt;=1,CO2433&lt;=31),IF(MONTH(DATE(CM2433,CN2433,CO2433))=CN2433,DATE(CM2433,CN2433,CO2433),""),"")))),"")</f>
        <v/>
      </c>
      <c r="CJ2433">
        <f>IFERROR(IF('월 가계부'!C2433="","",IF(ISNUMBER('월 가계부'!C2433),'월 가계부'!C2433,VALUE(SUBSTITUTE(SUBSTITUTE(SUBSTITUTE(SUBSTITUTE(TRIM('월 가계부'!C2433),",",""),"원","")," ",""),"−","-")))),"")</f>
        <v/>
      </c>
      <c r="CK2433">
        <f>IF(ISNUMBER(CI2433),IF(CI2433&lt;$B$13,CI2433,""),"")</f>
        <v/>
      </c>
      <c r="CM2433">
        <f>IF(CH2433="","",IFERROR(IF(IF(AND(LEN(CH2433)=9,ISERROR(FIND("-",LEFT(CH2433,8))),ISNUMBER(-LEFT(CH2433,8))),VALUE(LEFT(CH2433,4)),VALUE(LEFT(CH2433,FIND("-",CH2433)-1)))&lt;100,IF(AND(LEN(CH2433)=9,ISERROR(FIND("-",LEFT(CH2433,8))),ISNUMBER(-LEFT(CH2433,8))),VALUE(LEFT(CH2433,4)),VALUE(LEFT(CH2433,FIND("-",CH2433)-1)))+2000,IF(AND(LEN(CH2433)=9,ISERROR(FIND("-",LEFT(CH2433,8))),ISNUMBER(-LEFT(CH2433,8))),VALUE(LEFT(CH2433,4)),VALUE(LEFT(CH2433,FIND("-",CH2433)-1)))),""))</f>
        <v/>
      </c>
      <c r="CN2433">
        <f>IF(CH2433="","",IFERROR(IF(AND(LEN(CH2433)=9,ISERROR(FIND("-",LEFT(CH2433,8))),ISNUMBER(-LEFT(CH2433,8))),VALUE(MID(CH2433,5,2)),VALUE(MID(CH2433,FIND("-",CH2433)+1,FIND("-",CH2433,FIND("-",CH2433)+1)-FIND("-",CH2433)-1))),""))</f>
        <v/>
      </c>
      <c r="CO2433">
        <f>IF(CH2433="","",IFERROR(IF(AND(LEN(CH2433)=9,ISERROR(FIND("-",LEFT(CH2433,8))),ISNUMBER(-LEFT(CH2433,8))),VALUE(MID(CH2433,7,2)),VALUE(MID(CH2433,FIND("-",CH2433,FIND("-",CH2433)+1)+1,FIND("-",CH2433,FIND("-",CH2433,FIND("-",CH2433)+1)+1)-FIND("-",CH2433,FIND("-",CH2433)+1)-1))),""))</f>
        <v/>
      </c>
    </row>
    <row r="2434">
      <c r="CH2434">
        <f>IF(ISTEXT('월 가계부'!A2434),SUBSTITUTE(SUBSTITUTE(SUBSTITUTE(SUBSTITUTE(SUBSTITUTE(SUBSTITUTE(SUBSTITUTE(SUBSTITUTE(SUBSTITUTE(TRIM('월 가계부'!A2434),"년","-"),"월","-"),"일",""),".","-"),"/","-")," ","-"),"--","-"),"--","-"),"--","-")&amp;"-","")</f>
        <v/>
      </c>
      <c r="CI2434">
        <f>IFERROR(IF('월 가계부'!A2434="","",IF(ISNUMBER('월 가계부'!A2434),IF(AND('월 가계부'!A2434&gt;=19000101,'월 가계부'!A2434&lt;=21001231),IF(AND(MOD(INT('월 가계부'!A2434/100),100)&gt;=1,MOD(INT('월 가계부'!A2434/100),100)&lt;=12,MOD(INT('월 가계부'!A2434),100)&gt;=1,MOD(INT('월 가계부'!A2434),100)&lt;=31),IF(MONTH(DATE(INT('월 가계부'!A2434/10000),MOD(INT('월 가계부'!A2434/100),100),MOD(INT('월 가계부'!A2434),100)))=MOD(INT('월 가계부'!A2434/100),100),DATE(INT('월 가계부'!A2434/10000),MOD(INT('월 가계부'!A2434/100),100),MOD(INT('월 가계부'!A2434),100)),""),""),IF(AND('월 가계부'!A2434&gt;=36526,'월 가계부'!A2434&lt;73051),INT('월 가계부'!A2434),"")),IF(OR(CM2434="",CN2434="",CO2434=""),"",IF(AND(CM2434&gt;=2000,CM2434&lt;=2099,CN2434&gt;=1,CN2434&lt;=12,CO2434&gt;=1,CO2434&lt;=31),IF(MONTH(DATE(CM2434,CN2434,CO2434))=CN2434,DATE(CM2434,CN2434,CO2434),""),"")))),"")</f>
        <v/>
      </c>
      <c r="CJ2434">
        <f>IFERROR(IF('월 가계부'!C2434="","",IF(ISNUMBER('월 가계부'!C2434),'월 가계부'!C2434,VALUE(SUBSTITUTE(SUBSTITUTE(SUBSTITUTE(SUBSTITUTE(TRIM('월 가계부'!C2434),",",""),"원","")," ",""),"−","-")))),"")</f>
        <v/>
      </c>
      <c r="CK2434">
        <f>IF(ISNUMBER(CI2434),IF(CI2434&lt;$B$13,CI2434,""),"")</f>
        <v/>
      </c>
      <c r="CM2434">
        <f>IF(CH2434="","",IFERROR(IF(IF(AND(LEN(CH2434)=9,ISERROR(FIND("-",LEFT(CH2434,8))),ISNUMBER(-LEFT(CH2434,8))),VALUE(LEFT(CH2434,4)),VALUE(LEFT(CH2434,FIND("-",CH2434)-1)))&lt;100,IF(AND(LEN(CH2434)=9,ISERROR(FIND("-",LEFT(CH2434,8))),ISNUMBER(-LEFT(CH2434,8))),VALUE(LEFT(CH2434,4)),VALUE(LEFT(CH2434,FIND("-",CH2434)-1)))+2000,IF(AND(LEN(CH2434)=9,ISERROR(FIND("-",LEFT(CH2434,8))),ISNUMBER(-LEFT(CH2434,8))),VALUE(LEFT(CH2434,4)),VALUE(LEFT(CH2434,FIND("-",CH2434)-1)))),""))</f>
        <v/>
      </c>
      <c r="CN2434">
        <f>IF(CH2434="","",IFERROR(IF(AND(LEN(CH2434)=9,ISERROR(FIND("-",LEFT(CH2434,8))),ISNUMBER(-LEFT(CH2434,8))),VALUE(MID(CH2434,5,2)),VALUE(MID(CH2434,FIND("-",CH2434)+1,FIND("-",CH2434,FIND("-",CH2434)+1)-FIND("-",CH2434)-1))),""))</f>
        <v/>
      </c>
      <c r="CO2434">
        <f>IF(CH2434="","",IFERROR(IF(AND(LEN(CH2434)=9,ISERROR(FIND("-",LEFT(CH2434,8))),ISNUMBER(-LEFT(CH2434,8))),VALUE(MID(CH2434,7,2)),VALUE(MID(CH2434,FIND("-",CH2434,FIND("-",CH2434)+1)+1,FIND("-",CH2434,FIND("-",CH2434,FIND("-",CH2434)+1)+1)-FIND("-",CH2434,FIND("-",CH2434)+1)-1))),""))</f>
        <v/>
      </c>
    </row>
    <row r="2435">
      <c r="CH2435">
        <f>IF(ISTEXT('월 가계부'!A2435),SUBSTITUTE(SUBSTITUTE(SUBSTITUTE(SUBSTITUTE(SUBSTITUTE(SUBSTITUTE(SUBSTITUTE(SUBSTITUTE(SUBSTITUTE(TRIM('월 가계부'!A2435),"년","-"),"월","-"),"일",""),".","-"),"/","-")," ","-"),"--","-"),"--","-"),"--","-")&amp;"-","")</f>
        <v/>
      </c>
      <c r="CI2435">
        <f>IFERROR(IF('월 가계부'!A2435="","",IF(ISNUMBER('월 가계부'!A2435),IF(AND('월 가계부'!A2435&gt;=19000101,'월 가계부'!A2435&lt;=21001231),IF(AND(MOD(INT('월 가계부'!A2435/100),100)&gt;=1,MOD(INT('월 가계부'!A2435/100),100)&lt;=12,MOD(INT('월 가계부'!A2435),100)&gt;=1,MOD(INT('월 가계부'!A2435),100)&lt;=31),IF(MONTH(DATE(INT('월 가계부'!A2435/10000),MOD(INT('월 가계부'!A2435/100),100),MOD(INT('월 가계부'!A2435),100)))=MOD(INT('월 가계부'!A2435/100),100),DATE(INT('월 가계부'!A2435/10000),MOD(INT('월 가계부'!A2435/100),100),MOD(INT('월 가계부'!A2435),100)),""),""),IF(AND('월 가계부'!A2435&gt;=36526,'월 가계부'!A2435&lt;73051),INT('월 가계부'!A2435),"")),IF(OR(CM2435="",CN2435="",CO2435=""),"",IF(AND(CM2435&gt;=2000,CM2435&lt;=2099,CN2435&gt;=1,CN2435&lt;=12,CO2435&gt;=1,CO2435&lt;=31),IF(MONTH(DATE(CM2435,CN2435,CO2435))=CN2435,DATE(CM2435,CN2435,CO2435),""),"")))),"")</f>
        <v/>
      </c>
      <c r="CJ2435">
        <f>IFERROR(IF('월 가계부'!C2435="","",IF(ISNUMBER('월 가계부'!C2435),'월 가계부'!C2435,VALUE(SUBSTITUTE(SUBSTITUTE(SUBSTITUTE(SUBSTITUTE(TRIM('월 가계부'!C2435),",",""),"원","")," ",""),"−","-")))),"")</f>
        <v/>
      </c>
      <c r="CK2435">
        <f>IF(ISNUMBER(CI2435),IF(CI2435&lt;$B$13,CI2435,""),"")</f>
        <v/>
      </c>
      <c r="CM2435">
        <f>IF(CH2435="","",IFERROR(IF(IF(AND(LEN(CH2435)=9,ISERROR(FIND("-",LEFT(CH2435,8))),ISNUMBER(-LEFT(CH2435,8))),VALUE(LEFT(CH2435,4)),VALUE(LEFT(CH2435,FIND("-",CH2435)-1)))&lt;100,IF(AND(LEN(CH2435)=9,ISERROR(FIND("-",LEFT(CH2435,8))),ISNUMBER(-LEFT(CH2435,8))),VALUE(LEFT(CH2435,4)),VALUE(LEFT(CH2435,FIND("-",CH2435)-1)))+2000,IF(AND(LEN(CH2435)=9,ISERROR(FIND("-",LEFT(CH2435,8))),ISNUMBER(-LEFT(CH2435,8))),VALUE(LEFT(CH2435,4)),VALUE(LEFT(CH2435,FIND("-",CH2435)-1)))),""))</f>
        <v/>
      </c>
      <c r="CN2435">
        <f>IF(CH2435="","",IFERROR(IF(AND(LEN(CH2435)=9,ISERROR(FIND("-",LEFT(CH2435,8))),ISNUMBER(-LEFT(CH2435,8))),VALUE(MID(CH2435,5,2)),VALUE(MID(CH2435,FIND("-",CH2435)+1,FIND("-",CH2435,FIND("-",CH2435)+1)-FIND("-",CH2435)-1))),""))</f>
        <v/>
      </c>
      <c r="CO2435">
        <f>IF(CH2435="","",IFERROR(IF(AND(LEN(CH2435)=9,ISERROR(FIND("-",LEFT(CH2435,8))),ISNUMBER(-LEFT(CH2435,8))),VALUE(MID(CH2435,7,2)),VALUE(MID(CH2435,FIND("-",CH2435,FIND("-",CH2435)+1)+1,FIND("-",CH2435,FIND("-",CH2435,FIND("-",CH2435)+1)+1)-FIND("-",CH2435,FIND("-",CH2435)+1)-1))),""))</f>
        <v/>
      </c>
    </row>
    <row r="2436">
      <c r="CH2436">
        <f>IF(ISTEXT('월 가계부'!A2436),SUBSTITUTE(SUBSTITUTE(SUBSTITUTE(SUBSTITUTE(SUBSTITUTE(SUBSTITUTE(SUBSTITUTE(SUBSTITUTE(SUBSTITUTE(TRIM('월 가계부'!A2436),"년","-"),"월","-"),"일",""),".","-"),"/","-")," ","-"),"--","-"),"--","-"),"--","-")&amp;"-","")</f>
        <v/>
      </c>
      <c r="CI2436">
        <f>IFERROR(IF('월 가계부'!A2436="","",IF(ISNUMBER('월 가계부'!A2436),IF(AND('월 가계부'!A2436&gt;=19000101,'월 가계부'!A2436&lt;=21001231),IF(AND(MOD(INT('월 가계부'!A2436/100),100)&gt;=1,MOD(INT('월 가계부'!A2436/100),100)&lt;=12,MOD(INT('월 가계부'!A2436),100)&gt;=1,MOD(INT('월 가계부'!A2436),100)&lt;=31),IF(MONTH(DATE(INT('월 가계부'!A2436/10000),MOD(INT('월 가계부'!A2436/100),100),MOD(INT('월 가계부'!A2436),100)))=MOD(INT('월 가계부'!A2436/100),100),DATE(INT('월 가계부'!A2436/10000),MOD(INT('월 가계부'!A2436/100),100),MOD(INT('월 가계부'!A2436),100)),""),""),IF(AND('월 가계부'!A2436&gt;=36526,'월 가계부'!A2436&lt;73051),INT('월 가계부'!A2436),"")),IF(OR(CM2436="",CN2436="",CO2436=""),"",IF(AND(CM2436&gt;=2000,CM2436&lt;=2099,CN2436&gt;=1,CN2436&lt;=12,CO2436&gt;=1,CO2436&lt;=31),IF(MONTH(DATE(CM2436,CN2436,CO2436))=CN2436,DATE(CM2436,CN2436,CO2436),""),"")))),"")</f>
        <v/>
      </c>
      <c r="CJ2436">
        <f>IFERROR(IF('월 가계부'!C2436="","",IF(ISNUMBER('월 가계부'!C2436),'월 가계부'!C2436,VALUE(SUBSTITUTE(SUBSTITUTE(SUBSTITUTE(SUBSTITUTE(TRIM('월 가계부'!C2436),",",""),"원","")," ",""),"−","-")))),"")</f>
        <v/>
      </c>
      <c r="CK2436">
        <f>IF(ISNUMBER(CI2436),IF(CI2436&lt;$B$13,CI2436,""),"")</f>
        <v/>
      </c>
      <c r="CM2436">
        <f>IF(CH2436="","",IFERROR(IF(IF(AND(LEN(CH2436)=9,ISERROR(FIND("-",LEFT(CH2436,8))),ISNUMBER(-LEFT(CH2436,8))),VALUE(LEFT(CH2436,4)),VALUE(LEFT(CH2436,FIND("-",CH2436)-1)))&lt;100,IF(AND(LEN(CH2436)=9,ISERROR(FIND("-",LEFT(CH2436,8))),ISNUMBER(-LEFT(CH2436,8))),VALUE(LEFT(CH2436,4)),VALUE(LEFT(CH2436,FIND("-",CH2436)-1)))+2000,IF(AND(LEN(CH2436)=9,ISERROR(FIND("-",LEFT(CH2436,8))),ISNUMBER(-LEFT(CH2436,8))),VALUE(LEFT(CH2436,4)),VALUE(LEFT(CH2436,FIND("-",CH2436)-1)))),""))</f>
        <v/>
      </c>
      <c r="CN2436">
        <f>IF(CH2436="","",IFERROR(IF(AND(LEN(CH2436)=9,ISERROR(FIND("-",LEFT(CH2436,8))),ISNUMBER(-LEFT(CH2436,8))),VALUE(MID(CH2436,5,2)),VALUE(MID(CH2436,FIND("-",CH2436)+1,FIND("-",CH2436,FIND("-",CH2436)+1)-FIND("-",CH2436)-1))),""))</f>
        <v/>
      </c>
      <c r="CO2436">
        <f>IF(CH2436="","",IFERROR(IF(AND(LEN(CH2436)=9,ISERROR(FIND("-",LEFT(CH2436,8))),ISNUMBER(-LEFT(CH2436,8))),VALUE(MID(CH2436,7,2)),VALUE(MID(CH2436,FIND("-",CH2436,FIND("-",CH2436)+1)+1,FIND("-",CH2436,FIND("-",CH2436,FIND("-",CH2436)+1)+1)-FIND("-",CH2436,FIND("-",CH2436)+1)-1))),""))</f>
        <v/>
      </c>
    </row>
    <row r="2437">
      <c r="CH2437">
        <f>IF(ISTEXT('월 가계부'!A2437),SUBSTITUTE(SUBSTITUTE(SUBSTITUTE(SUBSTITUTE(SUBSTITUTE(SUBSTITUTE(SUBSTITUTE(SUBSTITUTE(SUBSTITUTE(TRIM('월 가계부'!A2437),"년","-"),"월","-"),"일",""),".","-"),"/","-")," ","-"),"--","-"),"--","-"),"--","-")&amp;"-","")</f>
        <v/>
      </c>
      <c r="CI2437">
        <f>IFERROR(IF('월 가계부'!A2437="","",IF(ISNUMBER('월 가계부'!A2437),IF(AND('월 가계부'!A2437&gt;=19000101,'월 가계부'!A2437&lt;=21001231),IF(AND(MOD(INT('월 가계부'!A2437/100),100)&gt;=1,MOD(INT('월 가계부'!A2437/100),100)&lt;=12,MOD(INT('월 가계부'!A2437),100)&gt;=1,MOD(INT('월 가계부'!A2437),100)&lt;=31),IF(MONTH(DATE(INT('월 가계부'!A2437/10000),MOD(INT('월 가계부'!A2437/100),100),MOD(INT('월 가계부'!A2437),100)))=MOD(INT('월 가계부'!A2437/100),100),DATE(INT('월 가계부'!A2437/10000),MOD(INT('월 가계부'!A2437/100),100),MOD(INT('월 가계부'!A2437),100)),""),""),IF(AND('월 가계부'!A2437&gt;=36526,'월 가계부'!A2437&lt;73051),INT('월 가계부'!A2437),"")),IF(OR(CM2437="",CN2437="",CO2437=""),"",IF(AND(CM2437&gt;=2000,CM2437&lt;=2099,CN2437&gt;=1,CN2437&lt;=12,CO2437&gt;=1,CO2437&lt;=31),IF(MONTH(DATE(CM2437,CN2437,CO2437))=CN2437,DATE(CM2437,CN2437,CO2437),""),"")))),"")</f>
        <v/>
      </c>
      <c r="CJ2437">
        <f>IFERROR(IF('월 가계부'!C2437="","",IF(ISNUMBER('월 가계부'!C2437),'월 가계부'!C2437,VALUE(SUBSTITUTE(SUBSTITUTE(SUBSTITUTE(SUBSTITUTE(TRIM('월 가계부'!C2437),",",""),"원","")," ",""),"−","-")))),"")</f>
        <v/>
      </c>
      <c r="CK2437">
        <f>IF(ISNUMBER(CI2437),IF(CI2437&lt;$B$13,CI2437,""),"")</f>
        <v/>
      </c>
      <c r="CM2437">
        <f>IF(CH2437="","",IFERROR(IF(IF(AND(LEN(CH2437)=9,ISERROR(FIND("-",LEFT(CH2437,8))),ISNUMBER(-LEFT(CH2437,8))),VALUE(LEFT(CH2437,4)),VALUE(LEFT(CH2437,FIND("-",CH2437)-1)))&lt;100,IF(AND(LEN(CH2437)=9,ISERROR(FIND("-",LEFT(CH2437,8))),ISNUMBER(-LEFT(CH2437,8))),VALUE(LEFT(CH2437,4)),VALUE(LEFT(CH2437,FIND("-",CH2437)-1)))+2000,IF(AND(LEN(CH2437)=9,ISERROR(FIND("-",LEFT(CH2437,8))),ISNUMBER(-LEFT(CH2437,8))),VALUE(LEFT(CH2437,4)),VALUE(LEFT(CH2437,FIND("-",CH2437)-1)))),""))</f>
        <v/>
      </c>
      <c r="CN2437">
        <f>IF(CH2437="","",IFERROR(IF(AND(LEN(CH2437)=9,ISERROR(FIND("-",LEFT(CH2437,8))),ISNUMBER(-LEFT(CH2437,8))),VALUE(MID(CH2437,5,2)),VALUE(MID(CH2437,FIND("-",CH2437)+1,FIND("-",CH2437,FIND("-",CH2437)+1)-FIND("-",CH2437)-1))),""))</f>
        <v/>
      </c>
      <c r="CO2437">
        <f>IF(CH2437="","",IFERROR(IF(AND(LEN(CH2437)=9,ISERROR(FIND("-",LEFT(CH2437,8))),ISNUMBER(-LEFT(CH2437,8))),VALUE(MID(CH2437,7,2)),VALUE(MID(CH2437,FIND("-",CH2437,FIND("-",CH2437)+1)+1,FIND("-",CH2437,FIND("-",CH2437,FIND("-",CH2437)+1)+1)-FIND("-",CH2437,FIND("-",CH2437)+1)-1))),""))</f>
        <v/>
      </c>
    </row>
    <row r="2438">
      <c r="CH2438">
        <f>IF(ISTEXT('월 가계부'!A2438),SUBSTITUTE(SUBSTITUTE(SUBSTITUTE(SUBSTITUTE(SUBSTITUTE(SUBSTITUTE(SUBSTITUTE(SUBSTITUTE(SUBSTITUTE(TRIM('월 가계부'!A2438),"년","-"),"월","-"),"일",""),".","-"),"/","-")," ","-"),"--","-"),"--","-"),"--","-")&amp;"-","")</f>
        <v/>
      </c>
      <c r="CI2438">
        <f>IFERROR(IF('월 가계부'!A2438="","",IF(ISNUMBER('월 가계부'!A2438),IF(AND('월 가계부'!A2438&gt;=19000101,'월 가계부'!A2438&lt;=21001231),IF(AND(MOD(INT('월 가계부'!A2438/100),100)&gt;=1,MOD(INT('월 가계부'!A2438/100),100)&lt;=12,MOD(INT('월 가계부'!A2438),100)&gt;=1,MOD(INT('월 가계부'!A2438),100)&lt;=31),IF(MONTH(DATE(INT('월 가계부'!A2438/10000),MOD(INT('월 가계부'!A2438/100),100),MOD(INT('월 가계부'!A2438),100)))=MOD(INT('월 가계부'!A2438/100),100),DATE(INT('월 가계부'!A2438/10000),MOD(INT('월 가계부'!A2438/100),100),MOD(INT('월 가계부'!A2438),100)),""),""),IF(AND('월 가계부'!A2438&gt;=36526,'월 가계부'!A2438&lt;73051),INT('월 가계부'!A2438),"")),IF(OR(CM2438="",CN2438="",CO2438=""),"",IF(AND(CM2438&gt;=2000,CM2438&lt;=2099,CN2438&gt;=1,CN2438&lt;=12,CO2438&gt;=1,CO2438&lt;=31),IF(MONTH(DATE(CM2438,CN2438,CO2438))=CN2438,DATE(CM2438,CN2438,CO2438),""),"")))),"")</f>
        <v/>
      </c>
      <c r="CJ2438">
        <f>IFERROR(IF('월 가계부'!C2438="","",IF(ISNUMBER('월 가계부'!C2438),'월 가계부'!C2438,VALUE(SUBSTITUTE(SUBSTITUTE(SUBSTITUTE(SUBSTITUTE(TRIM('월 가계부'!C2438),",",""),"원","")," ",""),"−","-")))),"")</f>
        <v/>
      </c>
      <c r="CK2438">
        <f>IF(ISNUMBER(CI2438),IF(CI2438&lt;$B$13,CI2438,""),"")</f>
        <v/>
      </c>
      <c r="CM2438">
        <f>IF(CH2438="","",IFERROR(IF(IF(AND(LEN(CH2438)=9,ISERROR(FIND("-",LEFT(CH2438,8))),ISNUMBER(-LEFT(CH2438,8))),VALUE(LEFT(CH2438,4)),VALUE(LEFT(CH2438,FIND("-",CH2438)-1)))&lt;100,IF(AND(LEN(CH2438)=9,ISERROR(FIND("-",LEFT(CH2438,8))),ISNUMBER(-LEFT(CH2438,8))),VALUE(LEFT(CH2438,4)),VALUE(LEFT(CH2438,FIND("-",CH2438)-1)))+2000,IF(AND(LEN(CH2438)=9,ISERROR(FIND("-",LEFT(CH2438,8))),ISNUMBER(-LEFT(CH2438,8))),VALUE(LEFT(CH2438,4)),VALUE(LEFT(CH2438,FIND("-",CH2438)-1)))),""))</f>
        <v/>
      </c>
      <c r="CN2438">
        <f>IF(CH2438="","",IFERROR(IF(AND(LEN(CH2438)=9,ISERROR(FIND("-",LEFT(CH2438,8))),ISNUMBER(-LEFT(CH2438,8))),VALUE(MID(CH2438,5,2)),VALUE(MID(CH2438,FIND("-",CH2438)+1,FIND("-",CH2438,FIND("-",CH2438)+1)-FIND("-",CH2438)-1))),""))</f>
        <v/>
      </c>
      <c r="CO2438">
        <f>IF(CH2438="","",IFERROR(IF(AND(LEN(CH2438)=9,ISERROR(FIND("-",LEFT(CH2438,8))),ISNUMBER(-LEFT(CH2438,8))),VALUE(MID(CH2438,7,2)),VALUE(MID(CH2438,FIND("-",CH2438,FIND("-",CH2438)+1)+1,FIND("-",CH2438,FIND("-",CH2438,FIND("-",CH2438)+1)+1)-FIND("-",CH2438,FIND("-",CH2438)+1)-1))),""))</f>
        <v/>
      </c>
    </row>
    <row r="2439">
      <c r="CH2439">
        <f>IF(ISTEXT('월 가계부'!A2439),SUBSTITUTE(SUBSTITUTE(SUBSTITUTE(SUBSTITUTE(SUBSTITUTE(SUBSTITUTE(SUBSTITUTE(SUBSTITUTE(SUBSTITUTE(TRIM('월 가계부'!A2439),"년","-"),"월","-"),"일",""),".","-"),"/","-")," ","-"),"--","-"),"--","-"),"--","-")&amp;"-","")</f>
        <v/>
      </c>
      <c r="CI2439">
        <f>IFERROR(IF('월 가계부'!A2439="","",IF(ISNUMBER('월 가계부'!A2439),IF(AND('월 가계부'!A2439&gt;=19000101,'월 가계부'!A2439&lt;=21001231),IF(AND(MOD(INT('월 가계부'!A2439/100),100)&gt;=1,MOD(INT('월 가계부'!A2439/100),100)&lt;=12,MOD(INT('월 가계부'!A2439),100)&gt;=1,MOD(INT('월 가계부'!A2439),100)&lt;=31),IF(MONTH(DATE(INT('월 가계부'!A2439/10000),MOD(INT('월 가계부'!A2439/100),100),MOD(INT('월 가계부'!A2439),100)))=MOD(INT('월 가계부'!A2439/100),100),DATE(INT('월 가계부'!A2439/10000),MOD(INT('월 가계부'!A2439/100),100),MOD(INT('월 가계부'!A2439),100)),""),""),IF(AND('월 가계부'!A2439&gt;=36526,'월 가계부'!A2439&lt;73051),INT('월 가계부'!A2439),"")),IF(OR(CM2439="",CN2439="",CO2439=""),"",IF(AND(CM2439&gt;=2000,CM2439&lt;=2099,CN2439&gt;=1,CN2439&lt;=12,CO2439&gt;=1,CO2439&lt;=31),IF(MONTH(DATE(CM2439,CN2439,CO2439))=CN2439,DATE(CM2439,CN2439,CO2439),""),"")))),"")</f>
        <v/>
      </c>
      <c r="CJ2439">
        <f>IFERROR(IF('월 가계부'!C2439="","",IF(ISNUMBER('월 가계부'!C2439),'월 가계부'!C2439,VALUE(SUBSTITUTE(SUBSTITUTE(SUBSTITUTE(SUBSTITUTE(TRIM('월 가계부'!C2439),",",""),"원","")," ",""),"−","-")))),"")</f>
        <v/>
      </c>
      <c r="CK2439">
        <f>IF(ISNUMBER(CI2439),IF(CI2439&lt;$B$13,CI2439,""),"")</f>
        <v/>
      </c>
      <c r="CM2439">
        <f>IF(CH2439="","",IFERROR(IF(IF(AND(LEN(CH2439)=9,ISERROR(FIND("-",LEFT(CH2439,8))),ISNUMBER(-LEFT(CH2439,8))),VALUE(LEFT(CH2439,4)),VALUE(LEFT(CH2439,FIND("-",CH2439)-1)))&lt;100,IF(AND(LEN(CH2439)=9,ISERROR(FIND("-",LEFT(CH2439,8))),ISNUMBER(-LEFT(CH2439,8))),VALUE(LEFT(CH2439,4)),VALUE(LEFT(CH2439,FIND("-",CH2439)-1)))+2000,IF(AND(LEN(CH2439)=9,ISERROR(FIND("-",LEFT(CH2439,8))),ISNUMBER(-LEFT(CH2439,8))),VALUE(LEFT(CH2439,4)),VALUE(LEFT(CH2439,FIND("-",CH2439)-1)))),""))</f>
        <v/>
      </c>
      <c r="CN2439">
        <f>IF(CH2439="","",IFERROR(IF(AND(LEN(CH2439)=9,ISERROR(FIND("-",LEFT(CH2439,8))),ISNUMBER(-LEFT(CH2439,8))),VALUE(MID(CH2439,5,2)),VALUE(MID(CH2439,FIND("-",CH2439)+1,FIND("-",CH2439,FIND("-",CH2439)+1)-FIND("-",CH2439)-1))),""))</f>
        <v/>
      </c>
      <c r="CO2439">
        <f>IF(CH2439="","",IFERROR(IF(AND(LEN(CH2439)=9,ISERROR(FIND("-",LEFT(CH2439,8))),ISNUMBER(-LEFT(CH2439,8))),VALUE(MID(CH2439,7,2)),VALUE(MID(CH2439,FIND("-",CH2439,FIND("-",CH2439)+1)+1,FIND("-",CH2439,FIND("-",CH2439,FIND("-",CH2439)+1)+1)-FIND("-",CH2439,FIND("-",CH2439)+1)-1))),""))</f>
        <v/>
      </c>
    </row>
    <row r="2440">
      <c r="CH2440">
        <f>IF(ISTEXT('월 가계부'!A2440),SUBSTITUTE(SUBSTITUTE(SUBSTITUTE(SUBSTITUTE(SUBSTITUTE(SUBSTITUTE(SUBSTITUTE(SUBSTITUTE(SUBSTITUTE(TRIM('월 가계부'!A2440),"년","-"),"월","-"),"일",""),".","-"),"/","-")," ","-"),"--","-"),"--","-"),"--","-")&amp;"-","")</f>
        <v/>
      </c>
      <c r="CI2440">
        <f>IFERROR(IF('월 가계부'!A2440="","",IF(ISNUMBER('월 가계부'!A2440),IF(AND('월 가계부'!A2440&gt;=19000101,'월 가계부'!A2440&lt;=21001231),IF(AND(MOD(INT('월 가계부'!A2440/100),100)&gt;=1,MOD(INT('월 가계부'!A2440/100),100)&lt;=12,MOD(INT('월 가계부'!A2440),100)&gt;=1,MOD(INT('월 가계부'!A2440),100)&lt;=31),IF(MONTH(DATE(INT('월 가계부'!A2440/10000),MOD(INT('월 가계부'!A2440/100),100),MOD(INT('월 가계부'!A2440),100)))=MOD(INT('월 가계부'!A2440/100),100),DATE(INT('월 가계부'!A2440/10000),MOD(INT('월 가계부'!A2440/100),100),MOD(INT('월 가계부'!A2440),100)),""),""),IF(AND('월 가계부'!A2440&gt;=36526,'월 가계부'!A2440&lt;73051),INT('월 가계부'!A2440),"")),IF(OR(CM2440="",CN2440="",CO2440=""),"",IF(AND(CM2440&gt;=2000,CM2440&lt;=2099,CN2440&gt;=1,CN2440&lt;=12,CO2440&gt;=1,CO2440&lt;=31),IF(MONTH(DATE(CM2440,CN2440,CO2440))=CN2440,DATE(CM2440,CN2440,CO2440),""),"")))),"")</f>
        <v/>
      </c>
      <c r="CJ2440">
        <f>IFERROR(IF('월 가계부'!C2440="","",IF(ISNUMBER('월 가계부'!C2440),'월 가계부'!C2440,VALUE(SUBSTITUTE(SUBSTITUTE(SUBSTITUTE(SUBSTITUTE(TRIM('월 가계부'!C2440),",",""),"원","")," ",""),"−","-")))),"")</f>
        <v/>
      </c>
      <c r="CK2440">
        <f>IF(ISNUMBER(CI2440),IF(CI2440&lt;$B$13,CI2440,""),"")</f>
        <v/>
      </c>
      <c r="CM2440">
        <f>IF(CH2440="","",IFERROR(IF(IF(AND(LEN(CH2440)=9,ISERROR(FIND("-",LEFT(CH2440,8))),ISNUMBER(-LEFT(CH2440,8))),VALUE(LEFT(CH2440,4)),VALUE(LEFT(CH2440,FIND("-",CH2440)-1)))&lt;100,IF(AND(LEN(CH2440)=9,ISERROR(FIND("-",LEFT(CH2440,8))),ISNUMBER(-LEFT(CH2440,8))),VALUE(LEFT(CH2440,4)),VALUE(LEFT(CH2440,FIND("-",CH2440)-1)))+2000,IF(AND(LEN(CH2440)=9,ISERROR(FIND("-",LEFT(CH2440,8))),ISNUMBER(-LEFT(CH2440,8))),VALUE(LEFT(CH2440,4)),VALUE(LEFT(CH2440,FIND("-",CH2440)-1)))),""))</f>
        <v/>
      </c>
      <c r="CN2440">
        <f>IF(CH2440="","",IFERROR(IF(AND(LEN(CH2440)=9,ISERROR(FIND("-",LEFT(CH2440,8))),ISNUMBER(-LEFT(CH2440,8))),VALUE(MID(CH2440,5,2)),VALUE(MID(CH2440,FIND("-",CH2440)+1,FIND("-",CH2440,FIND("-",CH2440)+1)-FIND("-",CH2440)-1))),""))</f>
        <v/>
      </c>
      <c r="CO2440">
        <f>IF(CH2440="","",IFERROR(IF(AND(LEN(CH2440)=9,ISERROR(FIND("-",LEFT(CH2440,8))),ISNUMBER(-LEFT(CH2440,8))),VALUE(MID(CH2440,7,2)),VALUE(MID(CH2440,FIND("-",CH2440,FIND("-",CH2440)+1)+1,FIND("-",CH2440,FIND("-",CH2440,FIND("-",CH2440)+1)+1)-FIND("-",CH2440,FIND("-",CH2440)+1)-1))),""))</f>
        <v/>
      </c>
    </row>
    <row r="2441">
      <c r="CH2441">
        <f>IF(ISTEXT('월 가계부'!A2441),SUBSTITUTE(SUBSTITUTE(SUBSTITUTE(SUBSTITUTE(SUBSTITUTE(SUBSTITUTE(SUBSTITUTE(SUBSTITUTE(SUBSTITUTE(TRIM('월 가계부'!A2441),"년","-"),"월","-"),"일",""),".","-"),"/","-")," ","-"),"--","-"),"--","-"),"--","-")&amp;"-","")</f>
        <v/>
      </c>
      <c r="CI2441">
        <f>IFERROR(IF('월 가계부'!A2441="","",IF(ISNUMBER('월 가계부'!A2441),IF(AND('월 가계부'!A2441&gt;=19000101,'월 가계부'!A2441&lt;=21001231),IF(AND(MOD(INT('월 가계부'!A2441/100),100)&gt;=1,MOD(INT('월 가계부'!A2441/100),100)&lt;=12,MOD(INT('월 가계부'!A2441),100)&gt;=1,MOD(INT('월 가계부'!A2441),100)&lt;=31),IF(MONTH(DATE(INT('월 가계부'!A2441/10000),MOD(INT('월 가계부'!A2441/100),100),MOD(INT('월 가계부'!A2441),100)))=MOD(INT('월 가계부'!A2441/100),100),DATE(INT('월 가계부'!A2441/10000),MOD(INT('월 가계부'!A2441/100),100),MOD(INT('월 가계부'!A2441),100)),""),""),IF(AND('월 가계부'!A2441&gt;=36526,'월 가계부'!A2441&lt;73051),INT('월 가계부'!A2441),"")),IF(OR(CM2441="",CN2441="",CO2441=""),"",IF(AND(CM2441&gt;=2000,CM2441&lt;=2099,CN2441&gt;=1,CN2441&lt;=12,CO2441&gt;=1,CO2441&lt;=31),IF(MONTH(DATE(CM2441,CN2441,CO2441))=CN2441,DATE(CM2441,CN2441,CO2441),""),"")))),"")</f>
        <v/>
      </c>
      <c r="CJ2441">
        <f>IFERROR(IF('월 가계부'!C2441="","",IF(ISNUMBER('월 가계부'!C2441),'월 가계부'!C2441,VALUE(SUBSTITUTE(SUBSTITUTE(SUBSTITUTE(SUBSTITUTE(TRIM('월 가계부'!C2441),",",""),"원","")," ",""),"−","-")))),"")</f>
        <v/>
      </c>
      <c r="CK2441">
        <f>IF(ISNUMBER(CI2441),IF(CI2441&lt;$B$13,CI2441,""),"")</f>
        <v/>
      </c>
      <c r="CM2441">
        <f>IF(CH2441="","",IFERROR(IF(IF(AND(LEN(CH2441)=9,ISERROR(FIND("-",LEFT(CH2441,8))),ISNUMBER(-LEFT(CH2441,8))),VALUE(LEFT(CH2441,4)),VALUE(LEFT(CH2441,FIND("-",CH2441)-1)))&lt;100,IF(AND(LEN(CH2441)=9,ISERROR(FIND("-",LEFT(CH2441,8))),ISNUMBER(-LEFT(CH2441,8))),VALUE(LEFT(CH2441,4)),VALUE(LEFT(CH2441,FIND("-",CH2441)-1)))+2000,IF(AND(LEN(CH2441)=9,ISERROR(FIND("-",LEFT(CH2441,8))),ISNUMBER(-LEFT(CH2441,8))),VALUE(LEFT(CH2441,4)),VALUE(LEFT(CH2441,FIND("-",CH2441)-1)))),""))</f>
        <v/>
      </c>
      <c r="CN2441">
        <f>IF(CH2441="","",IFERROR(IF(AND(LEN(CH2441)=9,ISERROR(FIND("-",LEFT(CH2441,8))),ISNUMBER(-LEFT(CH2441,8))),VALUE(MID(CH2441,5,2)),VALUE(MID(CH2441,FIND("-",CH2441)+1,FIND("-",CH2441,FIND("-",CH2441)+1)-FIND("-",CH2441)-1))),""))</f>
        <v/>
      </c>
      <c r="CO2441">
        <f>IF(CH2441="","",IFERROR(IF(AND(LEN(CH2441)=9,ISERROR(FIND("-",LEFT(CH2441,8))),ISNUMBER(-LEFT(CH2441,8))),VALUE(MID(CH2441,7,2)),VALUE(MID(CH2441,FIND("-",CH2441,FIND("-",CH2441)+1)+1,FIND("-",CH2441,FIND("-",CH2441,FIND("-",CH2441)+1)+1)-FIND("-",CH2441,FIND("-",CH2441)+1)-1))),""))</f>
        <v/>
      </c>
    </row>
    <row r="2442">
      <c r="CH2442">
        <f>IF(ISTEXT('월 가계부'!A2442),SUBSTITUTE(SUBSTITUTE(SUBSTITUTE(SUBSTITUTE(SUBSTITUTE(SUBSTITUTE(SUBSTITUTE(SUBSTITUTE(SUBSTITUTE(TRIM('월 가계부'!A2442),"년","-"),"월","-"),"일",""),".","-"),"/","-")," ","-"),"--","-"),"--","-"),"--","-")&amp;"-","")</f>
        <v/>
      </c>
      <c r="CI2442">
        <f>IFERROR(IF('월 가계부'!A2442="","",IF(ISNUMBER('월 가계부'!A2442),IF(AND('월 가계부'!A2442&gt;=19000101,'월 가계부'!A2442&lt;=21001231),IF(AND(MOD(INT('월 가계부'!A2442/100),100)&gt;=1,MOD(INT('월 가계부'!A2442/100),100)&lt;=12,MOD(INT('월 가계부'!A2442),100)&gt;=1,MOD(INT('월 가계부'!A2442),100)&lt;=31),IF(MONTH(DATE(INT('월 가계부'!A2442/10000),MOD(INT('월 가계부'!A2442/100),100),MOD(INT('월 가계부'!A2442),100)))=MOD(INT('월 가계부'!A2442/100),100),DATE(INT('월 가계부'!A2442/10000),MOD(INT('월 가계부'!A2442/100),100),MOD(INT('월 가계부'!A2442),100)),""),""),IF(AND('월 가계부'!A2442&gt;=36526,'월 가계부'!A2442&lt;73051),INT('월 가계부'!A2442),"")),IF(OR(CM2442="",CN2442="",CO2442=""),"",IF(AND(CM2442&gt;=2000,CM2442&lt;=2099,CN2442&gt;=1,CN2442&lt;=12,CO2442&gt;=1,CO2442&lt;=31),IF(MONTH(DATE(CM2442,CN2442,CO2442))=CN2442,DATE(CM2442,CN2442,CO2442),""),"")))),"")</f>
        <v/>
      </c>
      <c r="CJ2442">
        <f>IFERROR(IF('월 가계부'!C2442="","",IF(ISNUMBER('월 가계부'!C2442),'월 가계부'!C2442,VALUE(SUBSTITUTE(SUBSTITUTE(SUBSTITUTE(SUBSTITUTE(TRIM('월 가계부'!C2442),",",""),"원","")," ",""),"−","-")))),"")</f>
        <v/>
      </c>
      <c r="CK2442">
        <f>IF(ISNUMBER(CI2442),IF(CI2442&lt;$B$13,CI2442,""),"")</f>
        <v/>
      </c>
      <c r="CM2442">
        <f>IF(CH2442="","",IFERROR(IF(IF(AND(LEN(CH2442)=9,ISERROR(FIND("-",LEFT(CH2442,8))),ISNUMBER(-LEFT(CH2442,8))),VALUE(LEFT(CH2442,4)),VALUE(LEFT(CH2442,FIND("-",CH2442)-1)))&lt;100,IF(AND(LEN(CH2442)=9,ISERROR(FIND("-",LEFT(CH2442,8))),ISNUMBER(-LEFT(CH2442,8))),VALUE(LEFT(CH2442,4)),VALUE(LEFT(CH2442,FIND("-",CH2442)-1)))+2000,IF(AND(LEN(CH2442)=9,ISERROR(FIND("-",LEFT(CH2442,8))),ISNUMBER(-LEFT(CH2442,8))),VALUE(LEFT(CH2442,4)),VALUE(LEFT(CH2442,FIND("-",CH2442)-1)))),""))</f>
        <v/>
      </c>
      <c r="CN2442">
        <f>IF(CH2442="","",IFERROR(IF(AND(LEN(CH2442)=9,ISERROR(FIND("-",LEFT(CH2442,8))),ISNUMBER(-LEFT(CH2442,8))),VALUE(MID(CH2442,5,2)),VALUE(MID(CH2442,FIND("-",CH2442)+1,FIND("-",CH2442,FIND("-",CH2442)+1)-FIND("-",CH2442)-1))),""))</f>
        <v/>
      </c>
      <c r="CO2442">
        <f>IF(CH2442="","",IFERROR(IF(AND(LEN(CH2442)=9,ISERROR(FIND("-",LEFT(CH2442,8))),ISNUMBER(-LEFT(CH2442,8))),VALUE(MID(CH2442,7,2)),VALUE(MID(CH2442,FIND("-",CH2442,FIND("-",CH2442)+1)+1,FIND("-",CH2442,FIND("-",CH2442,FIND("-",CH2442)+1)+1)-FIND("-",CH2442,FIND("-",CH2442)+1)-1))),""))</f>
        <v/>
      </c>
    </row>
    <row r="2443">
      <c r="CH2443">
        <f>IF(ISTEXT('월 가계부'!A2443),SUBSTITUTE(SUBSTITUTE(SUBSTITUTE(SUBSTITUTE(SUBSTITUTE(SUBSTITUTE(SUBSTITUTE(SUBSTITUTE(SUBSTITUTE(TRIM('월 가계부'!A2443),"년","-"),"월","-"),"일",""),".","-"),"/","-")," ","-"),"--","-"),"--","-"),"--","-")&amp;"-","")</f>
        <v/>
      </c>
      <c r="CI2443">
        <f>IFERROR(IF('월 가계부'!A2443="","",IF(ISNUMBER('월 가계부'!A2443),IF(AND('월 가계부'!A2443&gt;=19000101,'월 가계부'!A2443&lt;=21001231),IF(AND(MOD(INT('월 가계부'!A2443/100),100)&gt;=1,MOD(INT('월 가계부'!A2443/100),100)&lt;=12,MOD(INT('월 가계부'!A2443),100)&gt;=1,MOD(INT('월 가계부'!A2443),100)&lt;=31),IF(MONTH(DATE(INT('월 가계부'!A2443/10000),MOD(INT('월 가계부'!A2443/100),100),MOD(INT('월 가계부'!A2443),100)))=MOD(INT('월 가계부'!A2443/100),100),DATE(INT('월 가계부'!A2443/10000),MOD(INT('월 가계부'!A2443/100),100),MOD(INT('월 가계부'!A2443),100)),""),""),IF(AND('월 가계부'!A2443&gt;=36526,'월 가계부'!A2443&lt;73051),INT('월 가계부'!A2443),"")),IF(OR(CM2443="",CN2443="",CO2443=""),"",IF(AND(CM2443&gt;=2000,CM2443&lt;=2099,CN2443&gt;=1,CN2443&lt;=12,CO2443&gt;=1,CO2443&lt;=31),IF(MONTH(DATE(CM2443,CN2443,CO2443))=CN2443,DATE(CM2443,CN2443,CO2443),""),"")))),"")</f>
        <v/>
      </c>
      <c r="CJ2443">
        <f>IFERROR(IF('월 가계부'!C2443="","",IF(ISNUMBER('월 가계부'!C2443),'월 가계부'!C2443,VALUE(SUBSTITUTE(SUBSTITUTE(SUBSTITUTE(SUBSTITUTE(TRIM('월 가계부'!C2443),",",""),"원","")," ",""),"−","-")))),"")</f>
        <v/>
      </c>
      <c r="CK2443">
        <f>IF(ISNUMBER(CI2443),IF(CI2443&lt;$B$13,CI2443,""),"")</f>
        <v/>
      </c>
      <c r="CM2443">
        <f>IF(CH2443="","",IFERROR(IF(IF(AND(LEN(CH2443)=9,ISERROR(FIND("-",LEFT(CH2443,8))),ISNUMBER(-LEFT(CH2443,8))),VALUE(LEFT(CH2443,4)),VALUE(LEFT(CH2443,FIND("-",CH2443)-1)))&lt;100,IF(AND(LEN(CH2443)=9,ISERROR(FIND("-",LEFT(CH2443,8))),ISNUMBER(-LEFT(CH2443,8))),VALUE(LEFT(CH2443,4)),VALUE(LEFT(CH2443,FIND("-",CH2443)-1)))+2000,IF(AND(LEN(CH2443)=9,ISERROR(FIND("-",LEFT(CH2443,8))),ISNUMBER(-LEFT(CH2443,8))),VALUE(LEFT(CH2443,4)),VALUE(LEFT(CH2443,FIND("-",CH2443)-1)))),""))</f>
        <v/>
      </c>
      <c r="CN2443">
        <f>IF(CH2443="","",IFERROR(IF(AND(LEN(CH2443)=9,ISERROR(FIND("-",LEFT(CH2443,8))),ISNUMBER(-LEFT(CH2443,8))),VALUE(MID(CH2443,5,2)),VALUE(MID(CH2443,FIND("-",CH2443)+1,FIND("-",CH2443,FIND("-",CH2443)+1)-FIND("-",CH2443)-1))),""))</f>
        <v/>
      </c>
      <c r="CO2443">
        <f>IF(CH2443="","",IFERROR(IF(AND(LEN(CH2443)=9,ISERROR(FIND("-",LEFT(CH2443,8))),ISNUMBER(-LEFT(CH2443,8))),VALUE(MID(CH2443,7,2)),VALUE(MID(CH2443,FIND("-",CH2443,FIND("-",CH2443)+1)+1,FIND("-",CH2443,FIND("-",CH2443,FIND("-",CH2443)+1)+1)-FIND("-",CH2443,FIND("-",CH2443)+1)-1))),""))</f>
        <v/>
      </c>
    </row>
    <row r="2444">
      <c r="CH2444">
        <f>IF(ISTEXT('월 가계부'!A2444),SUBSTITUTE(SUBSTITUTE(SUBSTITUTE(SUBSTITUTE(SUBSTITUTE(SUBSTITUTE(SUBSTITUTE(SUBSTITUTE(SUBSTITUTE(TRIM('월 가계부'!A2444),"년","-"),"월","-"),"일",""),".","-"),"/","-")," ","-"),"--","-"),"--","-"),"--","-")&amp;"-","")</f>
        <v/>
      </c>
      <c r="CI2444">
        <f>IFERROR(IF('월 가계부'!A2444="","",IF(ISNUMBER('월 가계부'!A2444),IF(AND('월 가계부'!A2444&gt;=19000101,'월 가계부'!A2444&lt;=21001231),IF(AND(MOD(INT('월 가계부'!A2444/100),100)&gt;=1,MOD(INT('월 가계부'!A2444/100),100)&lt;=12,MOD(INT('월 가계부'!A2444),100)&gt;=1,MOD(INT('월 가계부'!A2444),100)&lt;=31),IF(MONTH(DATE(INT('월 가계부'!A2444/10000),MOD(INT('월 가계부'!A2444/100),100),MOD(INT('월 가계부'!A2444),100)))=MOD(INT('월 가계부'!A2444/100),100),DATE(INT('월 가계부'!A2444/10000),MOD(INT('월 가계부'!A2444/100),100),MOD(INT('월 가계부'!A2444),100)),""),""),IF(AND('월 가계부'!A2444&gt;=36526,'월 가계부'!A2444&lt;73051),INT('월 가계부'!A2444),"")),IF(OR(CM2444="",CN2444="",CO2444=""),"",IF(AND(CM2444&gt;=2000,CM2444&lt;=2099,CN2444&gt;=1,CN2444&lt;=12,CO2444&gt;=1,CO2444&lt;=31),IF(MONTH(DATE(CM2444,CN2444,CO2444))=CN2444,DATE(CM2444,CN2444,CO2444),""),"")))),"")</f>
        <v/>
      </c>
      <c r="CJ2444">
        <f>IFERROR(IF('월 가계부'!C2444="","",IF(ISNUMBER('월 가계부'!C2444),'월 가계부'!C2444,VALUE(SUBSTITUTE(SUBSTITUTE(SUBSTITUTE(SUBSTITUTE(TRIM('월 가계부'!C2444),",",""),"원","")," ",""),"−","-")))),"")</f>
        <v/>
      </c>
      <c r="CK2444">
        <f>IF(ISNUMBER(CI2444),IF(CI2444&lt;$B$13,CI2444,""),"")</f>
        <v/>
      </c>
      <c r="CM2444">
        <f>IF(CH2444="","",IFERROR(IF(IF(AND(LEN(CH2444)=9,ISERROR(FIND("-",LEFT(CH2444,8))),ISNUMBER(-LEFT(CH2444,8))),VALUE(LEFT(CH2444,4)),VALUE(LEFT(CH2444,FIND("-",CH2444)-1)))&lt;100,IF(AND(LEN(CH2444)=9,ISERROR(FIND("-",LEFT(CH2444,8))),ISNUMBER(-LEFT(CH2444,8))),VALUE(LEFT(CH2444,4)),VALUE(LEFT(CH2444,FIND("-",CH2444)-1)))+2000,IF(AND(LEN(CH2444)=9,ISERROR(FIND("-",LEFT(CH2444,8))),ISNUMBER(-LEFT(CH2444,8))),VALUE(LEFT(CH2444,4)),VALUE(LEFT(CH2444,FIND("-",CH2444)-1)))),""))</f>
        <v/>
      </c>
      <c r="CN2444">
        <f>IF(CH2444="","",IFERROR(IF(AND(LEN(CH2444)=9,ISERROR(FIND("-",LEFT(CH2444,8))),ISNUMBER(-LEFT(CH2444,8))),VALUE(MID(CH2444,5,2)),VALUE(MID(CH2444,FIND("-",CH2444)+1,FIND("-",CH2444,FIND("-",CH2444)+1)-FIND("-",CH2444)-1))),""))</f>
        <v/>
      </c>
      <c r="CO2444">
        <f>IF(CH2444="","",IFERROR(IF(AND(LEN(CH2444)=9,ISERROR(FIND("-",LEFT(CH2444,8))),ISNUMBER(-LEFT(CH2444,8))),VALUE(MID(CH2444,7,2)),VALUE(MID(CH2444,FIND("-",CH2444,FIND("-",CH2444)+1)+1,FIND("-",CH2444,FIND("-",CH2444,FIND("-",CH2444)+1)+1)-FIND("-",CH2444,FIND("-",CH2444)+1)-1))),""))</f>
        <v/>
      </c>
    </row>
    <row r="2445">
      <c r="CH2445">
        <f>IF(ISTEXT('월 가계부'!A2445),SUBSTITUTE(SUBSTITUTE(SUBSTITUTE(SUBSTITUTE(SUBSTITUTE(SUBSTITUTE(SUBSTITUTE(SUBSTITUTE(SUBSTITUTE(TRIM('월 가계부'!A2445),"년","-"),"월","-"),"일",""),".","-"),"/","-")," ","-"),"--","-"),"--","-"),"--","-")&amp;"-","")</f>
        <v/>
      </c>
      <c r="CI2445">
        <f>IFERROR(IF('월 가계부'!A2445="","",IF(ISNUMBER('월 가계부'!A2445),IF(AND('월 가계부'!A2445&gt;=19000101,'월 가계부'!A2445&lt;=21001231),IF(AND(MOD(INT('월 가계부'!A2445/100),100)&gt;=1,MOD(INT('월 가계부'!A2445/100),100)&lt;=12,MOD(INT('월 가계부'!A2445),100)&gt;=1,MOD(INT('월 가계부'!A2445),100)&lt;=31),IF(MONTH(DATE(INT('월 가계부'!A2445/10000),MOD(INT('월 가계부'!A2445/100),100),MOD(INT('월 가계부'!A2445),100)))=MOD(INT('월 가계부'!A2445/100),100),DATE(INT('월 가계부'!A2445/10000),MOD(INT('월 가계부'!A2445/100),100),MOD(INT('월 가계부'!A2445),100)),""),""),IF(AND('월 가계부'!A2445&gt;=36526,'월 가계부'!A2445&lt;73051),INT('월 가계부'!A2445),"")),IF(OR(CM2445="",CN2445="",CO2445=""),"",IF(AND(CM2445&gt;=2000,CM2445&lt;=2099,CN2445&gt;=1,CN2445&lt;=12,CO2445&gt;=1,CO2445&lt;=31),IF(MONTH(DATE(CM2445,CN2445,CO2445))=CN2445,DATE(CM2445,CN2445,CO2445),""),"")))),"")</f>
        <v/>
      </c>
      <c r="CJ2445">
        <f>IFERROR(IF('월 가계부'!C2445="","",IF(ISNUMBER('월 가계부'!C2445),'월 가계부'!C2445,VALUE(SUBSTITUTE(SUBSTITUTE(SUBSTITUTE(SUBSTITUTE(TRIM('월 가계부'!C2445),",",""),"원","")," ",""),"−","-")))),"")</f>
        <v/>
      </c>
      <c r="CK2445">
        <f>IF(ISNUMBER(CI2445),IF(CI2445&lt;$B$13,CI2445,""),"")</f>
        <v/>
      </c>
      <c r="CM2445">
        <f>IF(CH2445="","",IFERROR(IF(IF(AND(LEN(CH2445)=9,ISERROR(FIND("-",LEFT(CH2445,8))),ISNUMBER(-LEFT(CH2445,8))),VALUE(LEFT(CH2445,4)),VALUE(LEFT(CH2445,FIND("-",CH2445)-1)))&lt;100,IF(AND(LEN(CH2445)=9,ISERROR(FIND("-",LEFT(CH2445,8))),ISNUMBER(-LEFT(CH2445,8))),VALUE(LEFT(CH2445,4)),VALUE(LEFT(CH2445,FIND("-",CH2445)-1)))+2000,IF(AND(LEN(CH2445)=9,ISERROR(FIND("-",LEFT(CH2445,8))),ISNUMBER(-LEFT(CH2445,8))),VALUE(LEFT(CH2445,4)),VALUE(LEFT(CH2445,FIND("-",CH2445)-1)))),""))</f>
        <v/>
      </c>
      <c r="CN2445">
        <f>IF(CH2445="","",IFERROR(IF(AND(LEN(CH2445)=9,ISERROR(FIND("-",LEFT(CH2445,8))),ISNUMBER(-LEFT(CH2445,8))),VALUE(MID(CH2445,5,2)),VALUE(MID(CH2445,FIND("-",CH2445)+1,FIND("-",CH2445,FIND("-",CH2445)+1)-FIND("-",CH2445)-1))),""))</f>
        <v/>
      </c>
      <c r="CO2445">
        <f>IF(CH2445="","",IFERROR(IF(AND(LEN(CH2445)=9,ISERROR(FIND("-",LEFT(CH2445,8))),ISNUMBER(-LEFT(CH2445,8))),VALUE(MID(CH2445,7,2)),VALUE(MID(CH2445,FIND("-",CH2445,FIND("-",CH2445)+1)+1,FIND("-",CH2445,FIND("-",CH2445,FIND("-",CH2445)+1)+1)-FIND("-",CH2445,FIND("-",CH2445)+1)-1))),""))</f>
        <v/>
      </c>
    </row>
    <row r="2446">
      <c r="CH2446">
        <f>IF(ISTEXT('월 가계부'!A2446),SUBSTITUTE(SUBSTITUTE(SUBSTITUTE(SUBSTITUTE(SUBSTITUTE(SUBSTITUTE(SUBSTITUTE(SUBSTITUTE(SUBSTITUTE(TRIM('월 가계부'!A2446),"년","-"),"월","-"),"일",""),".","-"),"/","-")," ","-"),"--","-"),"--","-"),"--","-")&amp;"-","")</f>
        <v/>
      </c>
      <c r="CI2446">
        <f>IFERROR(IF('월 가계부'!A2446="","",IF(ISNUMBER('월 가계부'!A2446),IF(AND('월 가계부'!A2446&gt;=19000101,'월 가계부'!A2446&lt;=21001231),IF(AND(MOD(INT('월 가계부'!A2446/100),100)&gt;=1,MOD(INT('월 가계부'!A2446/100),100)&lt;=12,MOD(INT('월 가계부'!A2446),100)&gt;=1,MOD(INT('월 가계부'!A2446),100)&lt;=31),IF(MONTH(DATE(INT('월 가계부'!A2446/10000),MOD(INT('월 가계부'!A2446/100),100),MOD(INT('월 가계부'!A2446),100)))=MOD(INT('월 가계부'!A2446/100),100),DATE(INT('월 가계부'!A2446/10000),MOD(INT('월 가계부'!A2446/100),100),MOD(INT('월 가계부'!A2446),100)),""),""),IF(AND('월 가계부'!A2446&gt;=36526,'월 가계부'!A2446&lt;73051),INT('월 가계부'!A2446),"")),IF(OR(CM2446="",CN2446="",CO2446=""),"",IF(AND(CM2446&gt;=2000,CM2446&lt;=2099,CN2446&gt;=1,CN2446&lt;=12,CO2446&gt;=1,CO2446&lt;=31),IF(MONTH(DATE(CM2446,CN2446,CO2446))=CN2446,DATE(CM2446,CN2446,CO2446),""),"")))),"")</f>
        <v/>
      </c>
      <c r="CJ2446">
        <f>IFERROR(IF('월 가계부'!C2446="","",IF(ISNUMBER('월 가계부'!C2446),'월 가계부'!C2446,VALUE(SUBSTITUTE(SUBSTITUTE(SUBSTITUTE(SUBSTITUTE(TRIM('월 가계부'!C2446),",",""),"원","")," ",""),"−","-")))),"")</f>
        <v/>
      </c>
      <c r="CK2446">
        <f>IF(ISNUMBER(CI2446),IF(CI2446&lt;$B$13,CI2446,""),"")</f>
        <v/>
      </c>
      <c r="CM2446">
        <f>IF(CH2446="","",IFERROR(IF(IF(AND(LEN(CH2446)=9,ISERROR(FIND("-",LEFT(CH2446,8))),ISNUMBER(-LEFT(CH2446,8))),VALUE(LEFT(CH2446,4)),VALUE(LEFT(CH2446,FIND("-",CH2446)-1)))&lt;100,IF(AND(LEN(CH2446)=9,ISERROR(FIND("-",LEFT(CH2446,8))),ISNUMBER(-LEFT(CH2446,8))),VALUE(LEFT(CH2446,4)),VALUE(LEFT(CH2446,FIND("-",CH2446)-1)))+2000,IF(AND(LEN(CH2446)=9,ISERROR(FIND("-",LEFT(CH2446,8))),ISNUMBER(-LEFT(CH2446,8))),VALUE(LEFT(CH2446,4)),VALUE(LEFT(CH2446,FIND("-",CH2446)-1)))),""))</f>
        <v/>
      </c>
      <c r="CN2446">
        <f>IF(CH2446="","",IFERROR(IF(AND(LEN(CH2446)=9,ISERROR(FIND("-",LEFT(CH2446,8))),ISNUMBER(-LEFT(CH2446,8))),VALUE(MID(CH2446,5,2)),VALUE(MID(CH2446,FIND("-",CH2446)+1,FIND("-",CH2446,FIND("-",CH2446)+1)-FIND("-",CH2446)-1))),""))</f>
        <v/>
      </c>
      <c r="CO2446">
        <f>IF(CH2446="","",IFERROR(IF(AND(LEN(CH2446)=9,ISERROR(FIND("-",LEFT(CH2446,8))),ISNUMBER(-LEFT(CH2446,8))),VALUE(MID(CH2446,7,2)),VALUE(MID(CH2446,FIND("-",CH2446,FIND("-",CH2446)+1)+1,FIND("-",CH2446,FIND("-",CH2446,FIND("-",CH2446)+1)+1)-FIND("-",CH2446,FIND("-",CH2446)+1)-1))),""))</f>
        <v/>
      </c>
    </row>
    <row r="2447">
      <c r="CH2447">
        <f>IF(ISTEXT('월 가계부'!A2447),SUBSTITUTE(SUBSTITUTE(SUBSTITUTE(SUBSTITUTE(SUBSTITUTE(SUBSTITUTE(SUBSTITUTE(SUBSTITUTE(SUBSTITUTE(TRIM('월 가계부'!A2447),"년","-"),"월","-"),"일",""),".","-"),"/","-")," ","-"),"--","-"),"--","-"),"--","-")&amp;"-","")</f>
        <v/>
      </c>
      <c r="CI2447">
        <f>IFERROR(IF('월 가계부'!A2447="","",IF(ISNUMBER('월 가계부'!A2447),IF(AND('월 가계부'!A2447&gt;=19000101,'월 가계부'!A2447&lt;=21001231),IF(AND(MOD(INT('월 가계부'!A2447/100),100)&gt;=1,MOD(INT('월 가계부'!A2447/100),100)&lt;=12,MOD(INT('월 가계부'!A2447),100)&gt;=1,MOD(INT('월 가계부'!A2447),100)&lt;=31),IF(MONTH(DATE(INT('월 가계부'!A2447/10000),MOD(INT('월 가계부'!A2447/100),100),MOD(INT('월 가계부'!A2447),100)))=MOD(INT('월 가계부'!A2447/100),100),DATE(INT('월 가계부'!A2447/10000),MOD(INT('월 가계부'!A2447/100),100),MOD(INT('월 가계부'!A2447),100)),""),""),IF(AND('월 가계부'!A2447&gt;=36526,'월 가계부'!A2447&lt;73051),INT('월 가계부'!A2447),"")),IF(OR(CM2447="",CN2447="",CO2447=""),"",IF(AND(CM2447&gt;=2000,CM2447&lt;=2099,CN2447&gt;=1,CN2447&lt;=12,CO2447&gt;=1,CO2447&lt;=31),IF(MONTH(DATE(CM2447,CN2447,CO2447))=CN2447,DATE(CM2447,CN2447,CO2447),""),"")))),"")</f>
        <v/>
      </c>
      <c r="CJ2447">
        <f>IFERROR(IF('월 가계부'!C2447="","",IF(ISNUMBER('월 가계부'!C2447),'월 가계부'!C2447,VALUE(SUBSTITUTE(SUBSTITUTE(SUBSTITUTE(SUBSTITUTE(TRIM('월 가계부'!C2447),",",""),"원","")," ",""),"−","-")))),"")</f>
        <v/>
      </c>
      <c r="CK2447">
        <f>IF(ISNUMBER(CI2447),IF(CI2447&lt;$B$13,CI2447,""),"")</f>
        <v/>
      </c>
      <c r="CM2447">
        <f>IF(CH2447="","",IFERROR(IF(IF(AND(LEN(CH2447)=9,ISERROR(FIND("-",LEFT(CH2447,8))),ISNUMBER(-LEFT(CH2447,8))),VALUE(LEFT(CH2447,4)),VALUE(LEFT(CH2447,FIND("-",CH2447)-1)))&lt;100,IF(AND(LEN(CH2447)=9,ISERROR(FIND("-",LEFT(CH2447,8))),ISNUMBER(-LEFT(CH2447,8))),VALUE(LEFT(CH2447,4)),VALUE(LEFT(CH2447,FIND("-",CH2447)-1)))+2000,IF(AND(LEN(CH2447)=9,ISERROR(FIND("-",LEFT(CH2447,8))),ISNUMBER(-LEFT(CH2447,8))),VALUE(LEFT(CH2447,4)),VALUE(LEFT(CH2447,FIND("-",CH2447)-1)))),""))</f>
        <v/>
      </c>
      <c r="CN2447">
        <f>IF(CH2447="","",IFERROR(IF(AND(LEN(CH2447)=9,ISERROR(FIND("-",LEFT(CH2447,8))),ISNUMBER(-LEFT(CH2447,8))),VALUE(MID(CH2447,5,2)),VALUE(MID(CH2447,FIND("-",CH2447)+1,FIND("-",CH2447,FIND("-",CH2447)+1)-FIND("-",CH2447)-1))),""))</f>
        <v/>
      </c>
      <c r="CO2447">
        <f>IF(CH2447="","",IFERROR(IF(AND(LEN(CH2447)=9,ISERROR(FIND("-",LEFT(CH2447,8))),ISNUMBER(-LEFT(CH2447,8))),VALUE(MID(CH2447,7,2)),VALUE(MID(CH2447,FIND("-",CH2447,FIND("-",CH2447)+1)+1,FIND("-",CH2447,FIND("-",CH2447,FIND("-",CH2447)+1)+1)-FIND("-",CH2447,FIND("-",CH2447)+1)-1))),""))</f>
        <v/>
      </c>
    </row>
    <row r="2448">
      <c r="CH2448">
        <f>IF(ISTEXT('월 가계부'!A2448),SUBSTITUTE(SUBSTITUTE(SUBSTITUTE(SUBSTITUTE(SUBSTITUTE(SUBSTITUTE(SUBSTITUTE(SUBSTITUTE(SUBSTITUTE(TRIM('월 가계부'!A2448),"년","-"),"월","-"),"일",""),".","-"),"/","-")," ","-"),"--","-"),"--","-"),"--","-")&amp;"-","")</f>
        <v/>
      </c>
      <c r="CI2448">
        <f>IFERROR(IF('월 가계부'!A2448="","",IF(ISNUMBER('월 가계부'!A2448),IF(AND('월 가계부'!A2448&gt;=19000101,'월 가계부'!A2448&lt;=21001231),IF(AND(MOD(INT('월 가계부'!A2448/100),100)&gt;=1,MOD(INT('월 가계부'!A2448/100),100)&lt;=12,MOD(INT('월 가계부'!A2448),100)&gt;=1,MOD(INT('월 가계부'!A2448),100)&lt;=31),IF(MONTH(DATE(INT('월 가계부'!A2448/10000),MOD(INT('월 가계부'!A2448/100),100),MOD(INT('월 가계부'!A2448),100)))=MOD(INT('월 가계부'!A2448/100),100),DATE(INT('월 가계부'!A2448/10000),MOD(INT('월 가계부'!A2448/100),100),MOD(INT('월 가계부'!A2448),100)),""),""),IF(AND('월 가계부'!A2448&gt;=36526,'월 가계부'!A2448&lt;73051),INT('월 가계부'!A2448),"")),IF(OR(CM2448="",CN2448="",CO2448=""),"",IF(AND(CM2448&gt;=2000,CM2448&lt;=2099,CN2448&gt;=1,CN2448&lt;=12,CO2448&gt;=1,CO2448&lt;=31),IF(MONTH(DATE(CM2448,CN2448,CO2448))=CN2448,DATE(CM2448,CN2448,CO2448),""),"")))),"")</f>
        <v/>
      </c>
      <c r="CJ2448">
        <f>IFERROR(IF('월 가계부'!C2448="","",IF(ISNUMBER('월 가계부'!C2448),'월 가계부'!C2448,VALUE(SUBSTITUTE(SUBSTITUTE(SUBSTITUTE(SUBSTITUTE(TRIM('월 가계부'!C2448),",",""),"원","")," ",""),"−","-")))),"")</f>
        <v/>
      </c>
      <c r="CK2448">
        <f>IF(ISNUMBER(CI2448),IF(CI2448&lt;$B$13,CI2448,""),"")</f>
        <v/>
      </c>
      <c r="CM2448">
        <f>IF(CH2448="","",IFERROR(IF(IF(AND(LEN(CH2448)=9,ISERROR(FIND("-",LEFT(CH2448,8))),ISNUMBER(-LEFT(CH2448,8))),VALUE(LEFT(CH2448,4)),VALUE(LEFT(CH2448,FIND("-",CH2448)-1)))&lt;100,IF(AND(LEN(CH2448)=9,ISERROR(FIND("-",LEFT(CH2448,8))),ISNUMBER(-LEFT(CH2448,8))),VALUE(LEFT(CH2448,4)),VALUE(LEFT(CH2448,FIND("-",CH2448)-1)))+2000,IF(AND(LEN(CH2448)=9,ISERROR(FIND("-",LEFT(CH2448,8))),ISNUMBER(-LEFT(CH2448,8))),VALUE(LEFT(CH2448,4)),VALUE(LEFT(CH2448,FIND("-",CH2448)-1)))),""))</f>
        <v/>
      </c>
      <c r="CN2448">
        <f>IF(CH2448="","",IFERROR(IF(AND(LEN(CH2448)=9,ISERROR(FIND("-",LEFT(CH2448,8))),ISNUMBER(-LEFT(CH2448,8))),VALUE(MID(CH2448,5,2)),VALUE(MID(CH2448,FIND("-",CH2448)+1,FIND("-",CH2448,FIND("-",CH2448)+1)-FIND("-",CH2448)-1))),""))</f>
        <v/>
      </c>
      <c r="CO2448">
        <f>IF(CH2448="","",IFERROR(IF(AND(LEN(CH2448)=9,ISERROR(FIND("-",LEFT(CH2448,8))),ISNUMBER(-LEFT(CH2448,8))),VALUE(MID(CH2448,7,2)),VALUE(MID(CH2448,FIND("-",CH2448,FIND("-",CH2448)+1)+1,FIND("-",CH2448,FIND("-",CH2448,FIND("-",CH2448)+1)+1)-FIND("-",CH2448,FIND("-",CH2448)+1)-1))),""))</f>
        <v/>
      </c>
    </row>
    <row r="2449">
      <c r="CH2449">
        <f>IF(ISTEXT('월 가계부'!A2449),SUBSTITUTE(SUBSTITUTE(SUBSTITUTE(SUBSTITUTE(SUBSTITUTE(SUBSTITUTE(SUBSTITUTE(SUBSTITUTE(SUBSTITUTE(TRIM('월 가계부'!A2449),"년","-"),"월","-"),"일",""),".","-"),"/","-")," ","-"),"--","-"),"--","-"),"--","-")&amp;"-","")</f>
        <v/>
      </c>
      <c r="CI2449">
        <f>IFERROR(IF('월 가계부'!A2449="","",IF(ISNUMBER('월 가계부'!A2449),IF(AND('월 가계부'!A2449&gt;=19000101,'월 가계부'!A2449&lt;=21001231),IF(AND(MOD(INT('월 가계부'!A2449/100),100)&gt;=1,MOD(INT('월 가계부'!A2449/100),100)&lt;=12,MOD(INT('월 가계부'!A2449),100)&gt;=1,MOD(INT('월 가계부'!A2449),100)&lt;=31),IF(MONTH(DATE(INT('월 가계부'!A2449/10000),MOD(INT('월 가계부'!A2449/100),100),MOD(INT('월 가계부'!A2449),100)))=MOD(INT('월 가계부'!A2449/100),100),DATE(INT('월 가계부'!A2449/10000),MOD(INT('월 가계부'!A2449/100),100),MOD(INT('월 가계부'!A2449),100)),""),""),IF(AND('월 가계부'!A2449&gt;=36526,'월 가계부'!A2449&lt;73051),INT('월 가계부'!A2449),"")),IF(OR(CM2449="",CN2449="",CO2449=""),"",IF(AND(CM2449&gt;=2000,CM2449&lt;=2099,CN2449&gt;=1,CN2449&lt;=12,CO2449&gt;=1,CO2449&lt;=31),IF(MONTH(DATE(CM2449,CN2449,CO2449))=CN2449,DATE(CM2449,CN2449,CO2449),""),"")))),"")</f>
        <v/>
      </c>
      <c r="CJ2449">
        <f>IFERROR(IF('월 가계부'!C2449="","",IF(ISNUMBER('월 가계부'!C2449),'월 가계부'!C2449,VALUE(SUBSTITUTE(SUBSTITUTE(SUBSTITUTE(SUBSTITUTE(TRIM('월 가계부'!C2449),",",""),"원","")," ",""),"−","-")))),"")</f>
        <v/>
      </c>
      <c r="CK2449">
        <f>IF(ISNUMBER(CI2449),IF(CI2449&lt;$B$13,CI2449,""),"")</f>
        <v/>
      </c>
      <c r="CM2449">
        <f>IF(CH2449="","",IFERROR(IF(IF(AND(LEN(CH2449)=9,ISERROR(FIND("-",LEFT(CH2449,8))),ISNUMBER(-LEFT(CH2449,8))),VALUE(LEFT(CH2449,4)),VALUE(LEFT(CH2449,FIND("-",CH2449)-1)))&lt;100,IF(AND(LEN(CH2449)=9,ISERROR(FIND("-",LEFT(CH2449,8))),ISNUMBER(-LEFT(CH2449,8))),VALUE(LEFT(CH2449,4)),VALUE(LEFT(CH2449,FIND("-",CH2449)-1)))+2000,IF(AND(LEN(CH2449)=9,ISERROR(FIND("-",LEFT(CH2449,8))),ISNUMBER(-LEFT(CH2449,8))),VALUE(LEFT(CH2449,4)),VALUE(LEFT(CH2449,FIND("-",CH2449)-1)))),""))</f>
        <v/>
      </c>
      <c r="CN2449">
        <f>IF(CH2449="","",IFERROR(IF(AND(LEN(CH2449)=9,ISERROR(FIND("-",LEFT(CH2449,8))),ISNUMBER(-LEFT(CH2449,8))),VALUE(MID(CH2449,5,2)),VALUE(MID(CH2449,FIND("-",CH2449)+1,FIND("-",CH2449,FIND("-",CH2449)+1)-FIND("-",CH2449)-1))),""))</f>
        <v/>
      </c>
      <c r="CO2449">
        <f>IF(CH2449="","",IFERROR(IF(AND(LEN(CH2449)=9,ISERROR(FIND("-",LEFT(CH2449,8))),ISNUMBER(-LEFT(CH2449,8))),VALUE(MID(CH2449,7,2)),VALUE(MID(CH2449,FIND("-",CH2449,FIND("-",CH2449)+1)+1,FIND("-",CH2449,FIND("-",CH2449,FIND("-",CH2449)+1)+1)-FIND("-",CH2449,FIND("-",CH2449)+1)-1))),""))</f>
        <v/>
      </c>
    </row>
    <row r="2450">
      <c r="CH2450">
        <f>IF(ISTEXT('월 가계부'!A2450),SUBSTITUTE(SUBSTITUTE(SUBSTITUTE(SUBSTITUTE(SUBSTITUTE(SUBSTITUTE(SUBSTITUTE(SUBSTITUTE(SUBSTITUTE(TRIM('월 가계부'!A2450),"년","-"),"월","-"),"일",""),".","-"),"/","-")," ","-"),"--","-"),"--","-"),"--","-")&amp;"-","")</f>
        <v/>
      </c>
      <c r="CI2450">
        <f>IFERROR(IF('월 가계부'!A2450="","",IF(ISNUMBER('월 가계부'!A2450),IF(AND('월 가계부'!A2450&gt;=19000101,'월 가계부'!A2450&lt;=21001231),IF(AND(MOD(INT('월 가계부'!A2450/100),100)&gt;=1,MOD(INT('월 가계부'!A2450/100),100)&lt;=12,MOD(INT('월 가계부'!A2450),100)&gt;=1,MOD(INT('월 가계부'!A2450),100)&lt;=31),IF(MONTH(DATE(INT('월 가계부'!A2450/10000),MOD(INT('월 가계부'!A2450/100),100),MOD(INT('월 가계부'!A2450),100)))=MOD(INT('월 가계부'!A2450/100),100),DATE(INT('월 가계부'!A2450/10000),MOD(INT('월 가계부'!A2450/100),100),MOD(INT('월 가계부'!A2450),100)),""),""),IF(AND('월 가계부'!A2450&gt;=36526,'월 가계부'!A2450&lt;73051),INT('월 가계부'!A2450),"")),IF(OR(CM2450="",CN2450="",CO2450=""),"",IF(AND(CM2450&gt;=2000,CM2450&lt;=2099,CN2450&gt;=1,CN2450&lt;=12,CO2450&gt;=1,CO2450&lt;=31),IF(MONTH(DATE(CM2450,CN2450,CO2450))=CN2450,DATE(CM2450,CN2450,CO2450),""),"")))),"")</f>
        <v/>
      </c>
      <c r="CJ2450">
        <f>IFERROR(IF('월 가계부'!C2450="","",IF(ISNUMBER('월 가계부'!C2450),'월 가계부'!C2450,VALUE(SUBSTITUTE(SUBSTITUTE(SUBSTITUTE(SUBSTITUTE(TRIM('월 가계부'!C2450),",",""),"원","")," ",""),"−","-")))),"")</f>
        <v/>
      </c>
      <c r="CK2450">
        <f>IF(ISNUMBER(CI2450),IF(CI2450&lt;$B$13,CI2450,""),"")</f>
        <v/>
      </c>
      <c r="CM2450">
        <f>IF(CH2450="","",IFERROR(IF(IF(AND(LEN(CH2450)=9,ISERROR(FIND("-",LEFT(CH2450,8))),ISNUMBER(-LEFT(CH2450,8))),VALUE(LEFT(CH2450,4)),VALUE(LEFT(CH2450,FIND("-",CH2450)-1)))&lt;100,IF(AND(LEN(CH2450)=9,ISERROR(FIND("-",LEFT(CH2450,8))),ISNUMBER(-LEFT(CH2450,8))),VALUE(LEFT(CH2450,4)),VALUE(LEFT(CH2450,FIND("-",CH2450)-1)))+2000,IF(AND(LEN(CH2450)=9,ISERROR(FIND("-",LEFT(CH2450,8))),ISNUMBER(-LEFT(CH2450,8))),VALUE(LEFT(CH2450,4)),VALUE(LEFT(CH2450,FIND("-",CH2450)-1)))),""))</f>
        <v/>
      </c>
      <c r="CN2450">
        <f>IF(CH2450="","",IFERROR(IF(AND(LEN(CH2450)=9,ISERROR(FIND("-",LEFT(CH2450,8))),ISNUMBER(-LEFT(CH2450,8))),VALUE(MID(CH2450,5,2)),VALUE(MID(CH2450,FIND("-",CH2450)+1,FIND("-",CH2450,FIND("-",CH2450)+1)-FIND("-",CH2450)-1))),""))</f>
        <v/>
      </c>
      <c r="CO2450">
        <f>IF(CH2450="","",IFERROR(IF(AND(LEN(CH2450)=9,ISERROR(FIND("-",LEFT(CH2450,8))),ISNUMBER(-LEFT(CH2450,8))),VALUE(MID(CH2450,7,2)),VALUE(MID(CH2450,FIND("-",CH2450,FIND("-",CH2450)+1)+1,FIND("-",CH2450,FIND("-",CH2450,FIND("-",CH2450)+1)+1)-FIND("-",CH2450,FIND("-",CH2450)+1)-1))),""))</f>
        <v/>
      </c>
    </row>
    <row r="2451">
      <c r="CH2451">
        <f>IF(ISTEXT('월 가계부'!A2451),SUBSTITUTE(SUBSTITUTE(SUBSTITUTE(SUBSTITUTE(SUBSTITUTE(SUBSTITUTE(SUBSTITUTE(SUBSTITUTE(SUBSTITUTE(TRIM('월 가계부'!A2451),"년","-"),"월","-"),"일",""),".","-"),"/","-")," ","-"),"--","-"),"--","-"),"--","-")&amp;"-","")</f>
        <v/>
      </c>
      <c r="CI2451">
        <f>IFERROR(IF('월 가계부'!A2451="","",IF(ISNUMBER('월 가계부'!A2451),IF(AND('월 가계부'!A2451&gt;=19000101,'월 가계부'!A2451&lt;=21001231),IF(AND(MOD(INT('월 가계부'!A2451/100),100)&gt;=1,MOD(INT('월 가계부'!A2451/100),100)&lt;=12,MOD(INT('월 가계부'!A2451),100)&gt;=1,MOD(INT('월 가계부'!A2451),100)&lt;=31),IF(MONTH(DATE(INT('월 가계부'!A2451/10000),MOD(INT('월 가계부'!A2451/100),100),MOD(INT('월 가계부'!A2451),100)))=MOD(INT('월 가계부'!A2451/100),100),DATE(INT('월 가계부'!A2451/10000),MOD(INT('월 가계부'!A2451/100),100),MOD(INT('월 가계부'!A2451),100)),""),""),IF(AND('월 가계부'!A2451&gt;=36526,'월 가계부'!A2451&lt;73051),INT('월 가계부'!A2451),"")),IF(OR(CM2451="",CN2451="",CO2451=""),"",IF(AND(CM2451&gt;=2000,CM2451&lt;=2099,CN2451&gt;=1,CN2451&lt;=12,CO2451&gt;=1,CO2451&lt;=31),IF(MONTH(DATE(CM2451,CN2451,CO2451))=CN2451,DATE(CM2451,CN2451,CO2451),""),"")))),"")</f>
        <v/>
      </c>
      <c r="CJ2451">
        <f>IFERROR(IF('월 가계부'!C2451="","",IF(ISNUMBER('월 가계부'!C2451),'월 가계부'!C2451,VALUE(SUBSTITUTE(SUBSTITUTE(SUBSTITUTE(SUBSTITUTE(TRIM('월 가계부'!C2451),",",""),"원","")," ",""),"−","-")))),"")</f>
        <v/>
      </c>
      <c r="CK2451">
        <f>IF(ISNUMBER(CI2451),IF(CI2451&lt;$B$13,CI2451,""),"")</f>
        <v/>
      </c>
      <c r="CM2451">
        <f>IF(CH2451="","",IFERROR(IF(IF(AND(LEN(CH2451)=9,ISERROR(FIND("-",LEFT(CH2451,8))),ISNUMBER(-LEFT(CH2451,8))),VALUE(LEFT(CH2451,4)),VALUE(LEFT(CH2451,FIND("-",CH2451)-1)))&lt;100,IF(AND(LEN(CH2451)=9,ISERROR(FIND("-",LEFT(CH2451,8))),ISNUMBER(-LEFT(CH2451,8))),VALUE(LEFT(CH2451,4)),VALUE(LEFT(CH2451,FIND("-",CH2451)-1)))+2000,IF(AND(LEN(CH2451)=9,ISERROR(FIND("-",LEFT(CH2451,8))),ISNUMBER(-LEFT(CH2451,8))),VALUE(LEFT(CH2451,4)),VALUE(LEFT(CH2451,FIND("-",CH2451)-1)))),""))</f>
        <v/>
      </c>
      <c r="CN2451">
        <f>IF(CH2451="","",IFERROR(IF(AND(LEN(CH2451)=9,ISERROR(FIND("-",LEFT(CH2451,8))),ISNUMBER(-LEFT(CH2451,8))),VALUE(MID(CH2451,5,2)),VALUE(MID(CH2451,FIND("-",CH2451)+1,FIND("-",CH2451,FIND("-",CH2451)+1)-FIND("-",CH2451)-1))),""))</f>
        <v/>
      </c>
      <c r="CO2451">
        <f>IF(CH2451="","",IFERROR(IF(AND(LEN(CH2451)=9,ISERROR(FIND("-",LEFT(CH2451,8))),ISNUMBER(-LEFT(CH2451,8))),VALUE(MID(CH2451,7,2)),VALUE(MID(CH2451,FIND("-",CH2451,FIND("-",CH2451)+1)+1,FIND("-",CH2451,FIND("-",CH2451,FIND("-",CH2451)+1)+1)-FIND("-",CH2451,FIND("-",CH2451)+1)-1))),""))</f>
        <v/>
      </c>
    </row>
    <row r="2452">
      <c r="CH2452">
        <f>IF(ISTEXT('월 가계부'!A2452),SUBSTITUTE(SUBSTITUTE(SUBSTITUTE(SUBSTITUTE(SUBSTITUTE(SUBSTITUTE(SUBSTITUTE(SUBSTITUTE(SUBSTITUTE(TRIM('월 가계부'!A2452),"년","-"),"월","-"),"일",""),".","-"),"/","-")," ","-"),"--","-"),"--","-"),"--","-")&amp;"-","")</f>
        <v/>
      </c>
      <c r="CI2452">
        <f>IFERROR(IF('월 가계부'!A2452="","",IF(ISNUMBER('월 가계부'!A2452),IF(AND('월 가계부'!A2452&gt;=19000101,'월 가계부'!A2452&lt;=21001231),IF(AND(MOD(INT('월 가계부'!A2452/100),100)&gt;=1,MOD(INT('월 가계부'!A2452/100),100)&lt;=12,MOD(INT('월 가계부'!A2452),100)&gt;=1,MOD(INT('월 가계부'!A2452),100)&lt;=31),IF(MONTH(DATE(INT('월 가계부'!A2452/10000),MOD(INT('월 가계부'!A2452/100),100),MOD(INT('월 가계부'!A2452),100)))=MOD(INT('월 가계부'!A2452/100),100),DATE(INT('월 가계부'!A2452/10000),MOD(INT('월 가계부'!A2452/100),100),MOD(INT('월 가계부'!A2452),100)),""),""),IF(AND('월 가계부'!A2452&gt;=36526,'월 가계부'!A2452&lt;73051),INT('월 가계부'!A2452),"")),IF(OR(CM2452="",CN2452="",CO2452=""),"",IF(AND(CM2452&gt;=2000,CM2452&lt;=2099,CN2452&gt;=1,CN2452&lt;=12,CO2452&gt;=1,CO2452&lt;=31),IF(MONTH(DATE(CM2452,CN2452,CO2452))=CN2452,DATE(CM2452,CN2452,CO2452),""),"")))),"")</f>
        <v/>
      </c>
      <c r="CJ2452">
        <f>IFERROR(IF('월 가계부'!C2452="","",IF(ISNUMBER('월 가계부'!C2452),'월 가계부'!C2452,VALUE(SUBSTITUTE(SUBSTITUTE(SUBSTITUTE(SUBSTITUTE(TRIM('월 가계부'!C2452),",",""),"원","")," ",""),"−","-")))),"")</f>
        <v/>
      </c>
      <c r="CK2452">
        <f>IF(ISNUMBER(CI2452),IF(CI2452&lt;$B$13,CI2452,""),"")</f>
        <v/>
      </c>
      <c r="CM2452">
        <f>IF(CH2452="","",IFERROR(IF(IF(AND(LEN(CH2452)=9,ISERROR(FIND("-",LEFT(CH2452,8))),ISNUMBER(-LEFT(CH2452,8))),VALUE(LEFT(CH2452,4)),VALUE(LEFT(CH2452,FIND("-",CH2452)-1)))&lt;100,IF(AND(LEN(CH2452)=9,ISERROR(FIND("-",LEFT(CH2452,8))),ISNUMBER(-LEFT(CH2452,8))),VALUE(LEFT(CH2452,4)),VALUE(LEFT(CH2452,FIND("-",CH2452)-1)))+2000,IF(AND(LEN(CH2452)=9,ISERROR(FIND("-",LEFT(CH2452,8))),ISNUMBER(-LEFT(CH2452,8))),VALUE(LEFT(CH2452,4)),VALUE(LEFT(CH2452,FIND("-",CH2452)-1)))),""))</f>
        <v/>
      </c>
      <c r="CN2452">
        <f>IF(CH2452="","",IFERROR(IF(AND(LEN(CH2452)=9,ISERROR(FIND("-",LEFT(CH2452,8))),ISNUMBER(-LEFT(CH2452,8))),VALUE(MID(CH2452,5,2)),VALUE(MID(CH2452,FIND("-",CH2452)+1,FIND("-",CH2452,FIND("-",CH2452)+1)-FIND("-",CH2452)-1))),""))</f>
        <v/>
      </c>
      <c r="CO2452">
        <f>IF(CH2452="","",IFERROR(IF(AND(LEN(CH2452)=9,ISERROR(FIND("-",LEFT(CH2452,8))),ISNUMBER(-LEFT(CH2452,8))),VALUE(MID(CH2452,7,2)),VALUE(MID(CH2452,FIND("-",CH2452,FIND("-",CH2452)+1)+1,FIND("-",CH2452,FIND("-",CH2452,FIND("-",CH2452)+1)+1)-FIND("-",CH2452,FIND("-",CH2452)+1)-1))),""))</f>
        <v/>
      </c>
    </row>
    <row r="2453">
      <c r="CH2453">
        <f>IF(ISTEXT('월 가계부'!A2453),SUBSTITUTE(SUBSTITUTE(SUBSTITUTE(SUBSTITUTE(SUBSTITUTE(SUBSTITUTE(SUBSTITUTE(SUBSTITUTE(SUBSTITUTE(TRIM('월 가계부'!A2453),"년","-"),"월","-"),"일",""),".","-"),"/","-")," ","-"),"--","-"),"--","-"),"--","-")&amp;"-","")</f>
        <v/>
      </c>
      <c r="CI2453">
        <f>IFERROR(IF('월 가계부'!A2453="","",IF(ISNUMBER('월 가계부'!A2453),IF(AND('월 가계부'!A2453&gt;=19000101,'월 가계부'!A2453&lt;=21001231),IF(AND(MOD(INT('월 가계부'!A2453/100),100)&gt;=1,MOD(INT('월 가계부'!A2453/100),100)&lt;=12,MOD(INT('월 가계부'!A2453),100)&gt;=1,MOD(INT('월 가계부'!A2453),100)&lt;=31),IF(MONTH(DATE(INT('월 가계부'!A2453/10000),MOD(INT('월 가계부'!A2453/100),100),MOD(INT('월 가계부'!A2453),100)))=MOD(INT('월 가계부'!A2453/100),100),DATE(INT('월 가계부'!A2453/10000),MOD(INT('월 가계부'!A2453/100),100),MOD(INT('월 가계부'!A2453),100)),""),""),IF(AND('월 가계부'!A2453&gt;=36526,'월 가계부'!A2453&lt;73051),INT('월 가계부'!A2453),"")),IF(OR(CM2453="",CN2453="",CO2453=""),"",IF(AND(CM2453&gt;=2000,CM2453&lt;=2099,CN2453&gt;=1,CN2453&lt;=12,CO2453&gt;=1,CO2453&lt;=31),IF(MONTH(DATE(CM2453,CN2453,CO2453))=CN2453,DATE(CM2453,CN2453,CO2453),""),"")))),"")</f>
        <v/>
      </c>
      <c r="CJ2453">
        <f>IFERROR(IF('월 가계부'!C2453="","",IF(ISNUMBER('월 가계부'!C2453),'월 가계부'!C2453,VALUE(SUBSTITUTE(SUBSTITUTE(SUBSTITUTE(SUBSTITUTE(TRIM('월 가계부'!C2453),",",""),"원","")," ",""),"−","-")))),"")</f>
        <v/>
      </c>
      <c r="CK2453">
        <f>IF(ISNUMBER(CI2453),IF(CI2453&lt;$B$13,CI2453,""),"")</f>
        <v/>
      </c>
      <c r="CM2453">
        <f>IF(CH2453="","",IFERROR(IF(IF(AND(LEN(CH2453)=9,ISERROR(FIND("-",LEFT(CH2453,8))),ISNUMBER(-LEFT(CH2453,8))),VALUE(LEFT(CH2453,4)),VALUE(LEFT(CH2453,FIND("-",CH2453)-1)))&lt;100,IF(AND(LEN(CH2453)=9,ISERROR(FIND("-",LEFT(CH2453,8))),ISNUMBER(-LEFT(CH2453,8))),VALUE(LEFT(CH2453,4)),VALUE(LEFT(CH2453,FIND("-",CH2453)-1)))+2000,IF(AND(LEN(CH2453)=9,ISERROR(FIND("-",LEFT(CH2453,8))),ISNUMBER(-LEFT(CH2453,8))),VALUE(LEFT(CH2453,4)),VALUE(LEFT(CH2453,FIND("-",CH2453)-1)))),""))</f>
        <v/>
      </c>
      <c r="CN2453">
        <f>IF(CH2453="","",IFERROR(IF(AND(LEN(CH2453)=9,ISERROR(FIND("-",LEFT(CH2453,8))),ISNUMBER(-LEFT(CH2453,8))),VALUE(MID(CH2453,5,2)),VALUE(MID(CH2453,FIND("-",CH2453)+1,FIND("-",CH2453,FIND("-",CH2453)+1)-FIND("-",CH2453)-1))),""))</f>
        <v/>
      </c>
      <c r="CO2453">
        <f>IF(CH2453="","",IFERROR(IF(AND(LEN(CH2453)=9,ISERROR(FIND("-",LEFT(CH2453,8))),ISNUMBER(-LEFT(CH2453,8))),VALUE(MID(CH2453,7,2)),VALUE(MID(CH2453,FIND("-",CH2453,FIND("-",CH2453)+1)+1,FIND("-",CH2453,FIND("-",CH2453,FIND("-",CH2453)+1)+1)-FIND("-",CH2453,FIND("-",CH2453)+1)-1))),""))</f>
        <v/>
      </c>
    </row>
    <row r="2454">
      <c r="CH2454">
        <f>IF(ISTEXT('월 가계부'!A2454),SUBSTITUTE(SUBSTITUTE(SUBSTITUTE(SUBSTITUTE(SUBSTITUTE(SUBSTITUTE(SUBSTITUTE(SUBSTITUTE(SUBSTITUTE(TRIM('월 가계부'!A2454),"년","-"),"월","-"),"일",""),".","-"),"/","-")," ","-"),"--","-"),"--","-"),"--","-")&amp;"-","")</f>
        <v/>
      </c>
      <c r="CI2454">
        <f>IFERROR(IF('월 가계부'!A2454="","",IF(ISNUMBER('월 가계부'!A2454),IF(AND('월 가계부'!A2454&gt;=19000101,'월 가계부'!A2454&lt;=21001231),IF(AND(MOD(INT('월 가계부'!A2454/100),100)&gt;=1,MOD(INT('월 가계부'!A2454/100),100)&lt;=12,MOD(INT('월 가계부'!A2454),100)&gt;=1,MOD(INT('월 가계부'!A2454),100)&lt;=31),IF(MONTH(DATE(INT('월 가계부'!A2454/10000),MOD(INT('월 가계부'!A2454/100),100),MOD(INT('월 가계부'!A2454),100)))=MOD(INT('월 가계부'!A2454/100),100),DATE(INT('월 가계부'!A2454/10000),MOD(INT('월 가계부'!A2454/100),100),MOD(INT('월 가계부'!A2454),100)),""),""),IF(AND('월 가계부'!A2454&gt;=36526,'월 가계부'!A2454&lt;73051),INT('월 가계부'!A2454),"")),IF(OR(CM2454="",CN2454="",CO2454=""),"",IF(AND(CM2454&gt;=2000,CM2454&lt;=2099,CN2454&gt;=1,CN2454&lt;=12,CO2454&gt;=1,CO2454&lt;=31),IF(MONTH(DATE(CM2454,CN2454,CO2454))=CN2454,DATE(CM2454,CN2454,CO2454),""),"")))),"")</f>
        <v/>
      </c>
      <c r="CJ2454">
        <f>IFERROR(IF('월 가계부'!C2454="","",IF(ISNUMBER('월 가계부'!C2454),'월 가계부'!C2454,VALUE(SUBSTITUTE(SUBSTITUTE(SUBSTITUTE(SUBSTITUTE(TRIM('월 가계부'!C2454),",",""),"원","")," ",""),"−","-")))),"")</f>
        <v/>
      </c>
      <c r="CK2454">
        <f>IF(ISNUMBER(CI2454),IF(CI2454&lt;$B$13,CI2454,""),"")</f>
        <v/>
      </c>
      <c r="CM2454">
        <f>IF(CH2454="","",IFERROR(IF(IF(AND(LEN(CH2454)=9,ISERROR(FIND("-",LEFT(CH2454,8))),ISNUMBER(-LEFT(CH2454,8))),VALUE(LEFT(CH2454,4)),VALUE(LEFT(CH2454,FIND("-",CH2454)-1)))&lt;100,IF(AND(LEN(CH2454)=9,ISERROR(FIND("-",LEFT(CH2454,8))),ISNUMBER(-LEFT(CH2454,8))),VALUE(LEFT(CH2454,4)),VALUE(LEFT(CH2454,FIND("-",CH2454)-1)))+2000,IF(AND(LEN(CH2454)=9,ISERROR(FIND("-",LEFT(CH2454,8))),ISNUMBER(-LEFT(CH2454,8))),VALUE(LEFT(CH2454,4)),VALUE(LEFT(CH2454,FIND("-",CH2454)-1)))),""))</f>
        <v/>
      </c>
      <c r="CN2454">
        <f>IF(CH2454="","",IFERROR(IF(AND(LEN(CH2454)=9,ISERROR(FIND("-",LEFT(CH2454,8))),ISNUMBER(-LEFT(CH2454,8))),VALUE(MID(CH2454,5,2)),VALUE(MID(CH2454,FIND("-",CH2454)+1,FIND("-",CH2454,FIND("-",CH2454)+1)-FIND("-",CH2454)-1))),""))</f>
        <v/>
      </c>
      <c r="CO2454">
        <f>IF(CH2454="","",IFERROR(IF(AND(LEN(CH2454)=9,ISERROR(FIND("-",LEFT(CH2454,8))),ISNUMBER(-LEFT(CH2454,8))),VALUE(MID(CH2454,7,2)),VALUE(MID(CH2454,FIND("-",CH2454,FIND("-",CH2454)+1)+1,FIND("-",CH2454,FIND("-",CH2454,FIND("-",CH2454)+1)+1)-FIND("-",CH2454,FIND("-",CH2454)+1)-1))),""))</f>
        <v/>
      </c>
    </row>
    <row r="2455">
      <c r="CH2455">
        <f>IF(ISTEXT('월 가계부'!A2455),SUBSTITUTE(SUBSTITUTE(SUBSTITUTE(SUBSTITUTE(SUBSTITUTE(SUBSTITUTE(SUBSTITUTE(SUBSTITUTE(SUBSTITUTE(TRIM('월 가계부'!A2455),"년","-"),"월","-"),"일",""),".","-"),"/","-")," ","-"),"--","-"),"--","-"),"--","-")&amp;"-","")</f>
        <v/>
      </c>
      <c r="CI2455">
        <f>IFERROR(IF('월 가계부'!A2455="","",IF(ISNUMBER('월 가계부'!A2455),IF(AND('월 가계부'!A2455&gt;=19000101,'월 가계부'!A2455&lt;=21001231),IF(AND(MOD(INT('월 가계부'!A2455/100),100)&gt;=1,MOD(INT('월 가계부'!A2455/100),100)&lt;=12,MOD(INT('월 가계부'!A2455),100)&gt;=1,MOD(INT('월 가계부'!A2455),100)&lt;=31),IF(MONTH(DATE(INT('월 가계부'!A2455/10000),MOD(INT('월 가계부'!A2455/100),100),MOD(INT('월 가계부'!A2455),100)))=MOD(INT('월 가계부'!A2455/100),100),DATE(INT('월 가계부'!A2455/10000),MOD(INT('월 가계부'!A2455/100),100),MOD(INT('월 가계부'!A2455),100)),""),""),IF(AND('월 가계부'!A2455&gt;=36526,'월 가계부'!A2455&lt;73051),INT('월 가계부'!A2455),"")),IF(OR(CM2455="",CN2455="",CO2455=""),"",IF(AND(CM2455&gt;=2000,CM2455&lt;=2099,CN2455&gt;=1,CN2455&lt;=12,CO2455&gt;=1,CO2455&lt;=31),IF(MONTH(DATE(CM2455,CN2455,CO2455))=CN2455,DATE(CM2455,CN2455,CO2455),""),"")))),"")</f>
        <v/>
      </c>
      <c r="CJ2455">
        <f>IFERROR(IF('월 가계부'!C2455="","",IF(ISNUMBER('월 가계부'!C2455),'월 가계부'!C2455,VALUE(SUBSTITUTE(SUBSTITUTE(SUBSTITUTE(SUBSTITUTE(TRIM('월 가계부'!C2455),",",""),"원","")," ",""),"−","-")))),"")</f>
        <v/>
      </c>
      <c r="CK2455">
        <f>IF(ISNUMBER(CI2455),IF(CI2455&lt;$B$13,CI2455,""),"")</f>
        <v/>
      </c>
      <c r="CM2455">
        <f>IF(CH2455="","",IFERROR(IF(IF(AND(LEN(CH2455)=9,ISERROR(FIND("-",LEFT(CH2455,8))),ISNUMBER(-LEFT(CH2455,8))),VALUE(LEFT(CH2455,4)),VALUE(LEFT(CH2455,FIND("-",CH2455)-1)))&lt;100,IF(AND(LEN(CH2455)=9,ISERROR(FIND("-",LEFT(CH2455,8))),ISNUMBER(-LEFT(CH2455,8))),VALUE(LEFT(CH2455,4)),VALUE(LEFT(CH2455,FIND("-",CH2455)-1)))+2000,IF(AND(LEN(CH2455)=9,ISERROR(FIND("-",LEFT(CH2455,8))),ISNUMBER(-LEFT(CH2455,8))),VALUE(LEFT(CH2455,4)),VALUE(LEFT(CH2455,FIND("-",CH2455)-1)))),""))</f>
        <v/>
      </c>
      <c r="CN2455">
        <f>IF(CH2455="","",IFERROR(IF(AND(LEN(CH2455)=9,ISERROR(FIND("-",LEFT(CH2455,8))),ISNUMBER(-LEFT(CH2455,8))),VALUE(MID(CH2455,5,2)),VALUE(MID(CH2455,FIND("-",CH2455)+1,FIND("-",CH2455,FIND("-",CH2455)+1)-FIND("-",CH2455)-1))),""))</f>
        <v/>
      </c>
      <c r="CO2455">
        <f>IF(CH2455="","",IFERROR(IF(AND(LEN(CH2455)=9,ISERROR(FIND("-",LEFT(CH2455,8))),ISNUMBER(-LEFT(CH2455,8))),VALUE(MID(CH2455,7,2)),VALUE(MID(CH2455,FIND("-",CH2455,FIND("-",CH2455)+1)+1,FIND("-",CH2455,FIND("-",CH2455,FIND("-",CH2455)+1)+1)-FIND("-",CH2455,FIND("-",CH2455)+1)-1))),""))</f>
        <v/>
      </c>
    </row>
    <row r="2456">
      <c r="CH2456">
        <f>IF(ISTEXT('월 가계부'!A2456),SUBSTITUTE(SUBSTITUTE(SUBSTITUTE(SUBSTITUTE(SUBSTITUTE(SUBSTITUTE(SUBSTITUTE(SUBSTITUTE(SUBSTITUTE(TRIM('월 가계부'!A2456),"년","-"),"월","-"),"일",""),".","-"),"/","-")," ","-"),"--","-"),"--","-"),"--","-")&amp;"-","")</f>
        <v/>
      </c>
      <c r="CI2456">
        <f>IFERROR(IF('월 가계부'!A2456="","",IF(ISNUMBER('월 가계부'!A2456),IF(AND('월 가계부'!A2456&gt;=19000101,'월 가계부'!A2456&lt;=21001231),IF(AND(MOD(INT('월 가계부'!A2456/100),100)&gt;=1,MOD(INT('월 가계부'!A2456/100),100)&lt;=12,MOD(INT('월 가계부'!A2456),100)&gt;=1,MOD(INT('월 가계부'!A2456),100)&lt;=31),IF(MONTH(DATE(INT('월 가계부'!A2456/10000),MOD(INT('월 가계부'!A2456/100),100),MOD(INT('월 가계부'!A2456),100)))=MOD(INT('월 가계부'!A2456/100),100),DATE(INT('월 가계부'!A2456/10000),MOD(INT('월 가계부'!A2456/100),100),MOD(INT('월 가계부'!A2456),100)),""),""),IF(AND('월 가계부'!A2456&gt;=36526,'월 가계부'!A2456&lt;73051),INT('월 가계부'!A2456),"")),IF(OR(CM2456="",CN2456="",CO2456=""),"",IF(AND(CM2456&gt;=2000,CM2456&lt;=2099,CN2456&gt;=1,CN2456&lt;=12,CO2456&gt;=1,CO2456&lt;=31),IF(MONTH(DATE(CM2456,CN2456,CO2456))=CN2456,DATE(CM2456,CN2456,CO2456),""),"")))),"")</f>
        <v/>
      </c>
      <c r="CJ2456">
        <f>IFERROR(IF('월 가계부'!C2456="","",IF(ISNUMBER('월 가계부'!C2456),'월 가계부'!C2456,VALUE(SUBSTITUTE(SUBSTITUTE(SUBSTITUTE(SUBSTITUTE(TRIM('월 가계부'!C2456),",",""),"원","")," ",""),"−","-")))),"")</f>
        <v/>
      </c>
      <c r="CK2456">
        <f>IF(ISNUMBER(CI2456),IF(CI2456&lt;$B$13,CI2456,""),"")</f>
        <v/>
      </c>
      <c r="CM2456">
        <f>IF(CH2456="","",IFERROR(IF(IF(AND(LEN(CH2456)=9,ISERROR(FIND("-",LEFT(CH2456,8))),ISNUMBER(-LEFT(CH2456,8))),VALUE(LEFT(CH2456,4)),VALUE(LEFT(CH2456,FIND("-",CH2456)-1)))&lt;100,IF(AND(LEN(CH2456)=9,ISERROR(FIND("-",LEFT(CH2456,8))),ISNUMBER(-LEFT(CH2456,8))),VALUE(LEFT(CH2456,4)),VALUE(LEFT(CH2456,FIND("-",CH2456)-1)))+2000,IF(AND(LEN(CH2456)=9,ISERROR(FIND("-",LEFT(CH2456,8))),ISNUMBER(-LEFT(CH2456,8))),VALUE(LEFT(CH2456,4)),VALUE(LEFT(CH2456,FIND("-",CH2456)-1)))),""))</f>
        <v/>
      </c>
      <c r="CN2456">
        <f>IF(CH2456="","",IFERROR(IF(AND(LEN(CH2456)=9,ISERROR(FIND("-",LEFT(CH2456,8))),ISNUMBER(-LEFT(CH2456,8))),VALUE(MID(CH2456,5,2)),VALUE(MID(CH2456,FIND("-",CH2456)+1,FIND("-",CH2456,FIND("-",CH2456)+1)-FIND("-",CH2456)-1))),""))</f>
        <v/>
      </c>
      <c r="CO2456">
        <f>IF(CH2456="","",IFERROR(IF(AND(LEN(CH2456)=9,ISERROR(FIND("-",LEFT(CH2456,8))),ISNUMBER(-LEFT(CH2456,8))),VALUE(MID(CH2456,7,2)),VALUE(MID(CH2456,FIND("-",CH2456,FIND("-",CH2456)+1)+1,FIND("-",CH2456,FIND("-",CH2456,FIND("-",CH2456)+1)+1)-FIND("-",CH2456,FIND("-",CH2456)+1)-1))),""))</f>
        <v/>
      </c>
    </row>
    <row r="2457">
      <c r="CH2457">
        <f>IF(ISTEXT('월 가계부'!A2457),SUBSTITUTE(SUBSTITUTE(SUBSTITUTE(SUBSTITUTE(SUBSTITUTE(SUBSTITUTE(SUBSTITUTE(SUBSTITUTE(SUBSTITUTE(TRIM('월 가계부'!A2457),"년","-"),"월","-"),"일",""),".","-"),"/","-")," ","-"),"--","-"),"--","-"),"--","-")&amp;"-","")</f>
        <v/>
      </c>
      <c r="CI2457">
        <f>IFERROR(IF('월 가계부'!A2457="","",IF(ISNUMBER('월 가계부'!A2457),IF(AND('월 가계부'!A2457&gt;=19000101,'월 가계부'!A2457&lt;=21001231),IF(AND(MOD(INT('월 가계부'!A2457/100),100)&gt;=1,MOD(INT('월 가계부'!A2457/100),100)&lt;=12,MOD(INT('월 가계부'!A2457),100)&gt;=1,MOD(INT('월 가계부'!A2457),100)&lt;=31),IF(MONTH(DATE(INT('월 가계부'!A2457/10000),MOD(INT('월 가계부'!A2457/100),100),MOD(INT('월 가계부'!A2457),100)))=MOD(INT('월 가계부'!A2457/100),100),DATE(INT('월 가계부'!A2457/10000),MOD(INT('월 가계부'!A2457/100),100),MOD(INT('월 가계부'!A2457),100)),""),""),IF(AND('월 가계부'!A2457&gt;=36526,'월 가계부'!A2457&lt;73051),INT('월 가계부'!A2457),"")),IF(OR(CM2457="",CN2457="",CO2457=""),"",IF(AND(CM2457&gt;=2000,CM2457&lt;=2099,CN2457&gt;=1,CN2457&lt;=12,CO2457&gt;=1,CO2457&lt;=31),IF(MONTH(DATE(CM2457,CN2457,CO2457))=CN2457,DATE(CM2457,CN2457,CO2457),""),"")))),"")</f>
        <v/>
      </c>
      <c r="CJ2457">
        <f>IFERROR(IF('월 가계부'!C2457="","",IF(ISNUMBER('월 가계부'!C2457),'월 가계부'!C2457,VALUE(SUBSTITUTE(SUBSTITUTE(SUBSTITUTE(SUBSTITUTE(TRIM('월 가계부'!C2457),",",""),"원","")," ",""),"−","-")))),"")</f>
        <v/>
      </c>
      <c r="CK2457">
        <f>IF(ISNUMBER(CI2457),IF(CI2457&lt;$B$13,CI2457,""),"")</f>
        <v/>
      </c>
      <c r="CM2457">
        <f>IF(CH2457="","",IFERROR(IF(IF(AND(LEN(CH2457)=9,ISERROR(FIND("-",LEFT(CH2457,8))),ISNUMBER(-LEFT(CH2457,8))),VALUE(LEFT(CH2457,4)),VALUE(LEFT(CH2457,FIND("-",CH2457)-1)))&lt;100,IF(AND(LEN(CH2457)=9,ISERROR(FIND("-",LEFT(CH2457,8))),ISNUMBER(-LEFT(CH2457,8))),VALUE(LEFT(CH2457,4)),VALUE(LEFT(CH2457,FIND("-",CH2457)-1)))+2000,IF(AND(LEN(CH2457)=9,ISERROR(FIND("-",LEFT(CH2457,8))),ISNUMBER(-LEFT(CH2457,8))),VALUE(LEFT(CH2457,4)),VALUE(LEFT(CH2457,FIND("-",CH2457)-1)))),""))</f>
        <v/>
      </c>
      <c r="CN2457">
        <f>IF(CH2457="","",IFERROR(IF(AND(LEN(CH2457)=9,ISERROR(FIND("-",LEFT(CH2457,8))),ISNUMBER(-LEFT(CH2457,8))),VALUE(MID(CH2457,5,2)),VALUE(MID(CH2457,FIND("-",CH2457)+1,FIND("-",CH2457,FIND("-",CH2457)+1)-FIND("-",CH2457)-1))),""))</f>
        <v/>
      </c>
      <c r="CO2457">
        <f>IF(CH2457="","",IFERROR(IF(AND(LEN(CH2457)=9,ISERROR(FIND("-",LEFT(CH2457,8))),ISNUMBER(-LEFT(CH2457,8))),VALUE(MID(CH2457,7,2)),VALUE(MID(CH2457,FIND("-",CH2457,FIND("-",CH2457)+1)+1,FIND("-",CH2457,FIND("-",CH2457,FIND("-",CH2457)+1)+1)-FIND("-",CH2457,FIND("-",CH2457)+1)-1))),""))</f>
        <v/>
      </c>
    </row>
    <row r="2458">
      <c r="CH2458">
        <f>IF(ISTEXT('월 가계부'!A2458),SUBSTITUTE(SUBSTITUTE(SUBSTITUTE(SUBSTITUTE(SUBSTITUTE(SUBSTITUTE(SUBSTITUTE(SUBSTITUTE(SUBSTITUTE(TRIM('월 가계부'!A2458),"년","-"),"월","-"),"일",""),".","-"),"/","-")," ","-"),"--","-"),"--","-"),"--","-")&amp;"-","")</f>
        <v/>
      </c>
      <c r="CI2458">
        <f>IFERROR(IF('월 가계부'!A2458="","",IF(ISNUMBER('월 가계부'!A2458),IF(AND('월 가계부'!A2458&gt;=19000101,'월 가계부'!A2458&lt;=21001231),IF(AND(MOD(INT('월 가계부'!A2458/100),100)&gt;=1,MOD(INT('월 가계부'!A2458/100),100)&lt;=12,MOD(INT('월 가계부'!A2458),100)&gt;=1,MOD(INT('월 가계부'!A2458),100)&lt;=31),IF(MONTH(DATE(INT('월 가계부'!A2458/10000),MOD(INT('월 가계부'!A2458/100),100),MOD(INT('월 가계부'!A2458),100)))=MOD(INT('월 가계부'!A2458/100),100),DATE(INT('월 가계부'!A2458/10000),MOD(INT('월 가계부'!A2458/100),100),MOD(INT('월 가계부'!A2458),100)),""),""),IF(AND('월 가계부'!A2458&gt;=36526,'월 가계부'!A2458&lt;73051),INT('월 가계부'!A2458),"")),IF(OR(CM2458="",CN2458="",CO2458=""),"",IF(AND(CM2458&gt;=2000,CM2458&lt;=2099,CN2458&gt;=1,CN2458&lt;=12,CO2458&gt;=1,CO2458&lt;=31),IF(MONTH(DATE(CM2458,CN2458,CO2458))=CN2458,DATE(CM2458,CN2458,CO2458),""),"")))),"")</f>
        <v/>
      </c>
      <c r="CJ2458">
        <f>IFERROR(IF('월 가계부'!C2458="","",IF(ISNUMBER('월 가계부'!C2458),'월 가계부'!C2458,VALUE(SUBSTITUTE(SUBSTITUTE(SUBSTITUTE(SUBSTITUTE(TRIM('월 가계부'!C2458),",",""),"원","")," ",""),"−","-")))),"")</f>
        <v/>
      </c>
      <c r="CK2458">
        <f>IF(ISNUMBER(CI2458),IF(CI2458&lt;$B$13,CI2458,""),"")</f>
        <v/>
      </c>
      <c r="CM2458">
        <f>IF(CH2458="","",IFERROR(IF(IF(AND(LEN(CH2458)=9,ISERROR(FIND("-",LEFT(CH2458,8))),ISNUMBER(-LEFT(CH2458,8))),VALUE(LEFT(CH2458,4)),VALUE(LEFT(CH2458,FIND("-",CH2458)-1)))&lt;100,IF(AND(LEN(CH2458)=9,ISERROR(FIND("-",LEFT(CH2458,8))),ISNUMBER(-LEFT(CH2458,8))),VALUE(LEFT(CH2458,4)),VALUE(LEFT(CH2458,FIND("-",CH2458)-1)))+2000,IF(AND(LEN(CH2458)=9,ISERROR(FIND("-",LEFT(CH2458,8))),ISNUMBER(-LEFT(CH2458,8))),VALUE(LEFT(CH2458,4)),VALUE(LEFT(CH2458,FIND("-",CH2458)-1)))),""))</f>
        <v/>
      </c>
      <c r="CN2458">
        <f>IF(CH2458="","",IFERROR(IF(AND(LEN(CH2458)=9,ISERROR(FIND("-",LEFT(CH2458,8))),ISNUMBER(-LEFT(CH2458,8))),VALUE(MID(CH2458,5,2)),VALUE(MID(CH2458,FIND("-",CH2458)+1,FIND("-",CH2458,FIND("-",CH2458)+1)-FIND("-",CH2458)-1))),""))</f>
        <v/>
      </c>
      <c r="CO2458">
        <f>IF(CH2458="","",IFERROR(IF(AND(LEN(CH2458)=9,ISERROR(FIND("-",LEFT(CH2458,8))),ISNUMBER(-LEFT(CH2458,8))),VALUE(MID(CH2458,7,2)),VALUE(MID(CH2458,FIND("-",CH2458,FIND("-",CH2458)+1)+1,FIND("-",CH2458,FIND("-",CH2458,FIND("-",CH2458)+1)+1)-FIND("-",CH2458,FIND("-",CH2458)+1)-1))),""))</f>
        <v/>
      </c>
    </row>
    <row r="2459">
      <c r="CH2459">
        <f>IF(ISTEXT('월 가계부'!A2459),SUBSTITUTE(SUBSTITUTE(SUBSTITUTE(SUBSTITUTE(SUBSTITUTE(SUBSTITUTE(SUBSTITUTE(SUBSTITUTE(SUBSTITUTE(TRIM('월 가계부'!A2459),"년","-"),"월","-"),"일",""),".","-"),"/","-")," ","-"),"--","-"),"--","-"),"--","-")&amp;"-","")</f>
        <v/>
      </c>
      <c r="CI2459">
        <f>IFERROR(IF('월 가계부'!A2459="","",IF(ISNUMBER('월 가계부'!A2459),IF(AND('월 가계부'!A2459&gt;=19000101,'월 가계부'!A2459&lt;=21001231),IF(AND(MOD(INT('월 가계부'!A2459/100),100)&gt;=1,MOD(INT('월 가계부'!A2459/100),100)&lt;=12,MOD(INT('월 가계부'!A2459),100)&gt;=1,MOD(INT('월 가계부'!A2459),100)&lt;=31),IF(MONTH(DATE(INT('월 가계부'!A2459/10000),MOD(INT('월 가계부'!A2459/100),100),MOD(INT('월 가계부'!A2459),100)))=MOD(INT('월 가계부'!A2459/100),100),DATE(INT('월 가계부'!A2459/10000),MOD(INT('월 가계부'!A2459/100),100),MOD(INT('월 가계부'!A2459),100)),""),""),IF(AND('월 가계부'!A2459&gt;=36526,'월 가계부'!A2459&lt;73051),INT('월 가계부'!A2459),"")),IF(OR(CM2459="",CN2459="",CO2459=""),"",IF(AND(CM2459&gt;=2000,CM2459&lt;=2099,CN2459&gt;=1,CN2459&lt;=12,CO2459&gt;=1,CO2459&lt;=31),IF(MONTH(DATE(CM2459,CN2459,CO2459))=CN2459,DATE(CM2459,CN2459,CO2459),""),"")))),"")</f>
        <v/>
      </c>
      <c r="CJ2459">
        <f>IFERROR(IF('월 가계부'!C2459="","",IF(ISNUMBER('월 가계부'!C2459),'월 가계부'!C2459,VALUE(SUBSTITUTE(SUBSTITUTE(SUBSTITUTE(SUBSTITUTE(TRIM('월 가계부'!C2459),",",""),"원","")," ",""),"−","-")))),"")</f>
        <v/>
      </c>
      <c r="CK2459">
        <f>IF(ISNUMBER(CI2459),IF(CI2459&lt;$B$13,CI2459,""),"")</f>
        <v/>
      </c>
      <c r="CM2459">
        <f>IF(CH2459="","",IFERROR(IF(IF(AND(LEN(CH2459)=9,ISERROR(FIND("-",LEFT(CH2459,8))),ISNUMBER(-LEFT(CH2459,8))),VALUE(LEFT(CH2459,4)),VALUE(LEFT(CH2459,FIND("-",CH2459)-1)))&lt;100,IF(AND(LEN(CH2459)=9,ISERROR(FIND("-",LEFT(CH2459,8))),ISNUMBER(-LEFT(CH2459,8))),VALUE(LEFT(CH2459,4)),VALUE(LEFT(CH2459,FIND("-",CH2459)-1)))+2000,IF(AND(LEN(CH2459)=9,ISERROR(FIND("-",LEFT(CH2459,8))),ISNUMBER(-LEFT(CH2459,8))),VALUE(LEFT(CH2459,4)),VALUE(LEFT(CH2459,FIND("-",CH2459)-1)))),""))</f>
        <v/>
      </c>
      <c r="CN2459">
        <f>IF(CH2459="","",IFERROR(IF(AND(LEN(CH2459)=9,ISERROR(FIND("-",LEFT(CH2459,8))),ISNUMBER(-LEFT(CH2459,8))),VALUE(MID(CH2459,5,2)),VALUE(MID(CH2459,FIND("-",CH2459)+1,FIND("-",CH2459,FIND("-",CH2459)+1)-FIND("-",CH2459)-1))),""))</f>
        <v/>
      </c>
      <c r="CO2459">
        <f>IF(CH2459="","",IFERROR(IF(AND(LEN(CH2459)=9,ISERROR(FIND("-",LEFT(CH2459,8))),ISNUMBER(-LEFT(CH2459,8))),VALUE(MID(CH2459,7,2)),VALUE(MID(CH2459,FIND("-",CH2459,FIND("-",CH2459)+1)+1,FIND("-",CH2459,FIND("-",CH2459,FIND("-",CH2459)+1)+1)-FIND("-",CH2459,FIND("-",CH2459)+1)-1))),""))</f>
        <v/>
      </c>
    </row>
    <row r="2460">
      <c r="CH2460">
        <f>IF(ISTEXT('월 가계부'!A2460),SUBSTITUTE(SUBSTITUTE(SUBSTITUTE(SUBSTITUTE(SUBSTITUTE(SUBSTITUTE(SUBSTITUTE(SUBSTITUTE(SUBSTITUTE(TRIM('월 가계부'!A2460),"년","-"),"월","-"),"일",""),".","-"),"/","-")," ","-"),"--","-"),"--","-"),"--","-")&amp;"-","")</f>
        <v/>
      </c>
      <c r="CI2460">
        <f>IFERROR(IF('월 가계부'!A2460="","",IF(ISNUMBER('월 가계부'!A2460),IF(AND('월 가계부'!A2460&gt;=19000101,'월 가계부'!A2460&lt;=21001231),IF(AND(MOD(INT('월 가계부'!A2460/100),100)&gt;=1,MOD(INT('월 가계부'!A2460/100),100)&lt;=12,MOD(INT('월 가계부'!A2460),100)&gt;=1,MOD(INT('월 가계부'!A2460),100)&lt;=31),IF(MONTH(DATE(INT('월 가계부'!A2460/10000),MOD(INT('월 가계부'!A2460/100),100),MOD(INT('월 가계부'!A2460),100)))=MOD(INT('월 가계부'!A2460/100),100),DATE(INT('월 가계부'!A2460/10000),MOD(INT('월 가계부'!A2460/100),100),MOD(INT('월 가계부'!A2460),100)),""),""),IF(AND('월 가계부'!A2460&gt;=36526,'월 가계부'!A2460&lt;73051),INT('월 가계부'!A2460),"")),IF(OR(CM2460="",CN2460="",CO2460=""),"",IF(AND(CM2460&gt;=2000,CM2460&lt;=2099,CN2460&gt;=1,CN2460&lt;=12,CO2460&gt;=1,CO2460&lt;=31),IF(MONTH(DATE(CM2460,CN2460,CO2460))=CN2460,DATE(CM2460,CN2460,CO2460),""),"")))),"")</f>
        <v/>
      </c>
      <c r="CJ2460">
        <f>IFERROR(IF('월 가계부'!C2460="","",IF(ISNUMBER('월 가계부'!C2460),'월 가계부'!C2460,VALUE(SUBSTITUTE(SUBSTITUTE(SUBSTITUTE(SUBSTITUTE(TRIM('월 가계부'!C2460),",",""),"원","")," ",""),"−","-")))),"")</f>
        <v/>
      </c>
      <c r="CK2460">
        <f>IF(ISNUMBER(CI2460),IF(CI2460&lt;$B$13,CI2460,""),"")</f>
        <v/>
      </c>
      <c r="CM2460">
        <f>IF(CH2460="","",IFERROR(IF(IF(AND(LEN(CH2460)=9,ISERROR(FIND("-",LEFT(CH2460,8))),ISNUMBER(-LEFT(CH2460,8))),VALUE(LEFT(CH2460,4)),VALUE(LEFT(CH2460,FIND("-",CH2460)-1)))&lt;100,IF(AND(LEN(CH2460)=9,ISERROR(FIND("-",LEFT(CH2460,8))),ISNUMBER(-LEFT(CH2460,8))),VALUE(LEFT(CH2460,4)),VALUE(LEFT(CH2460,FIND("-",CH2460)-1)))+2000,IF(AND(LEN(CH2460)=9,ISERROR(FIND("-",LEFT(CH2460,8))),ISNUMBER(-LEFT(CH2460,8))),VALUE(LEFT(CH2460,4)),VALUE(LEFT(CH2460,FIND("-",CH2460)-1)))),""))</f>
        <v/>
      </c>
      <c r="CN2460">
        <f>IF(CH2460="","",IFERROR(IF(AND(LEN(CH2460)=9,ISERROR(FIND("-",LEFT(CH2460,8))),ISNUMBER(-LEFT(CH2460,8))),VALUE(MID(CH2460,5,2)),VALUE(MID(CH2460,FIND("-",CH2460)+1,FIND("-",CH2460,FIND("-",CH2460)+1)-FIND("-",CH2460)-1))),""))</f>
        <v/>
      </c>
      <c r="CO2460">
        <f>IF(CH2460="","",IFERROR(IF(AND(LEN(CH2460)=9,ISERROR(FIND("-",LEFT(CH2460,8))),ISNUMBER(-LEFT(CH2460,8))),VALUE(MID(CH2460,7,2)),VALUE(MID(CH2460,FIND("-",CH2460,FIND("-",CH2460)+1)+1,FIND("-",CH2460,FIND("-",CH2460,FIND("-",CH2460)+1)+1)-FIND("-",CH2460,FIND("-",CH2460)+1)-1))),""))</f>
        <v/>
      </c>
    </row>
    <row r="2461">
      <c r="CH2461">
        <f>IF(ISTEXT('월 가계부'!A2461),SUBSTITUTE(SUBSTITUTE(SUBSTITUTE(SUBSTITUTE(SUBSTITUTE(SUBSTITUTE(SUBSTITUTE(SUBSTITUTE(SUBSTITUTE(TRIM('월 가계부'!A2461),"년","-"),"월","-"),"일",""),".","-"),"/","-")," ","-"),"--","-"),"--","-"),"--","-")&amp;"-","")</f>
        <v/>
      </c>
      <c r="CI2461">
        <f>IFERROR(IF('월 가계부'!A2461="","",IF(ISNUMBER('월 가계부'!A2461),IF(AND('월 가계부'!A2461&gt;=19000101,'월 가계부'!A2461&lt;=21001231),IF(AND(MOD(INT('월 가계부'!A2461/100),100)&gt;=1,MOD(INT('월 가계부'!A2461/100),100)&lt;=12,MOD(INT('월 가계부'!A2461),100)&gt;=1,MOD(INT('월 가계부'!A2461),100)&lt;=31),IF(MONTH(DATE(INT('월 가계부'!A2461/10000),MOD(INT('월 가계부'!A2461/100),100),MOD(INT('월 가계부'!A2461),100)))=MOD(INT('월 가계부'!A2461/100),100),DATE(INT('월 가계부'!A2461/10000),MOD(INT('월 가계부'!A2461/100),100),MOD(INT('월 가계부'!A2461),100)),""),""),IF(AND('월 가계부'!A2461&gt;=36526,'월 가계부'!A2461&lt;73051),INT('월 가계부'!A2461),"")),IF(OR(CM2461="",CN2461="",CO2461=""),"",IF(AND(CM2461&gt;=2000,CM2461&lt;=2099,CN2461&gt;=1,CN2461&lt;=12,CO2461&gt;=1,CO2461&lt;=31),IF(MONTH(DATE(CM2461,CN2461,CO2461))=CN2461,DATE(CM2461,CN2461,CO2461),""),"")))),"")</f>
        <v/>
      </c>
      <c r="CJ2461">
        <f>IFERROR(IF('월 가계부'!C2461="","",IF(ISNUMBER('월 가계부'!C2461),'월 가계부'!C2461,VALUE(SUBSTITUTE(SUBSTITUTE(SUBSTITUTE(SUBSTITUTE(TRIM('월 가계부'!C2461),",",""),"원","")," ",""),"−","-")))),"")</f>
        <v/>
      </c>
      <c r="CK2461">
        <f>IF(ISNUMBER(CI2461),IF(CI2461&lt;$B$13,CI2461,""),"")</f>
        <v/>
      </c>
      <c r="CM2461">
        <f>IF(CH2461="","",IFERROR(IF(IF(AND(LEN(CH2461)=9,ISERROR(FIND("-",LEFT(CH2461,8))),ISNUMBER(-LEFT(CH2461,8))),VALUE(LEFT(CH2461,4)),VALUE(LEFT(CH2461,FIND("-",CH2461)-1)))&lt;100,IF(AND(LEN(CH2461)=9,ISERROR(FIND("-",LEFT(CH2461,8))),ISNUMBER(-LEFT(CH2461,8))),VALUE(LEFT(CH2461,4)),VALUE(LEFT(CH2461,FIND("-",CH2461)-1)))+2000,IF(AND(LEN(CH2461)=9,ISERROR(FIND("-",LEFT(CH2461,8))),ISNUMBER(-LEFT(CH2461,8))),VALUE(LEFT(CH2461,4)),VALUE(LEFT(CH2461,FIND("-",CH2461)-1)))),""))</f>
        <v/>
      </c>
      <c r="CN2461">
        <f>IF(CH2461="","",IFERROR(IF(AND(LEN(CH2461)=9,ISERROR(FIND("-",LEFT(CH2461,8))),ISNUMBER(-LEFT(CH2461,8))),VALUE(MID(CH2461,5,2)),VALUE(MID(CH2461,FIND("-",CH2461)+1,FIND("-",CH2461,FIND("-",CH2461)+1)-FIND("-",CH2461)-1))),""))</f>
        <v/>
      </c>
      <c r="CO2461">
        <f>IF(CH2461="","",IFERROR(IF(AND(LEN(CH2461)=9,ISERROR(FIND("-",LEFT(CH2461,8))),ISNUMBER(-LEFT(CH2461,8))),VALUE(MID(CH2461,7,2)),VALUE(MID(CH2461,FIND("-",CH2461,FIND("-",CH2461)+1)+1,FIND("-",CH2461,FIND("-",CH2461,FIND("-",CH2461)+1)+1)-FIND("-",CH2461,FIND("-",CH2461)+1)-1))),""))</f>
        <v/>
      </c>
    </row>
    <row r="2462">
      <c r="CH2462">
        <f>IF(ISTEXT('월 가계부'!A2462),SUBSTITUTE(SUBSTITUTE(SUBSTITUTE(SUBSTITUTE(SUBSTITUTE(SUBSTITUTE(SUBSTITUTE(SUBSTITUTE(SUBSTITUTE(TRIM('월 가계부'!A2462),"년","-"),"월","-"),"일",""),".","-"),"/","-")," ","-"),"--","-"),"--","-"),"--","-")&amp;"-","")</f>
        <v/>
      </c>
      <c r="CI2462">
        <f>IFERROR(IF('월 가계부'!A2462="","",IF(ISNUMBER('월 가계부'!A2462),IF(AND('월 가계부'!A2462&gt;=19000101,'월 가계부'!A2462&lt;=21001231),IF(AND(MOD(INT('월 가계부'!A2462/100),100)&gt;=1,MOD(INT('월 가계부'!A2462/100),100)&lt;=12,MOD(INT('월 가계부'!A2462),100)&gt;=1,MOD(INT('월 가계부'!A2462),100)&lt;=31),IF(MONTH(DATE(INT('월 가계부'!A2462/10000),MOD(INT('월 가계부'!A2462/100),100),MOD(INT('월 가계부'!A2462),100)))=MOD(INT('월 가계부'!A2462/100),100),DATE(INT('월 가계부'!A2462/10000),MOD(INT('월 가계부'!A2462/100),100),MOD(INT('월 가계부'!A2462),100)),""),""),IF(AND('월 가계부'!A2462&gt;=36526,'월 가계부'!A2462&lt;73051),INT('월 가계부'!A2462),"")),IF(OR(CM2462="",CN2462="",CO2462=""),"",IF(AND(CM2462&gt;=2000,CM2462&lt;=2099,CN2462&gt;=1,CN2462&lt;=12,CO2462&gt;=1,CO2462&lt;=31),IF(MONTH(DATE(CM2462,CN2462,CO2462))=CN2462,DATE(CM2462,CN2462,CO2462),""),"")))),"")</f>
        <v/>
      </c>
      <c r="CJ2462">
        <f>IFERROR(IF('월 가계부'!C2462="","",IF(ISNUMBER('월 가계부'!C2462),'월 가계부'!C2462,VALUE(SUBSTITUTE(SUBSTITUTE(SUBSTITUTE(SUBSTITUTE(TRIM('월 가계부'!C2462),",",""),"원","")," ",""),"−","-")))),"")</f>
        <v/>
      </c>
      <c r="CK2462">
        <f>IF(ISNUMBER(CI2462),IF(CI2462&lt;$B$13,CI2462,""),"")</f>
        <v/>
      </c>
      <c r="CM2462">
        <f>IF(CH2462="","",IFERROR(IF(IF(AND(LEN(CH2462)=9,ISERROR(FIND("-",LEFT(CH2462,8))),ISNUMBER(-LEFT(CH2462,8))),VALUE(LEFT(CH2462,4)),VALUE(LEFT(CH2462,FIND("-",CH2462)-1)))&lt;100,IF(AND(LEN(CH2462)=9,ISERROR(FIND("-",LEFT(CH2462,8))),ISNUMBER(-LEFT(CH2462,8))),VALUE(LEFT(CH2462,4)),VALUE(LEFT(CH2462,FIND("-",CH2462)-1)))+2000,IF(AND(LEN(CH2462)=9,ISERROR(FIND("-",LEFT(CH2462,8))),ISNUMBER(-LEFT(CH2462,8))),VALUE(LEFT(CH2462,4)),VALUE(LEFT(CH2462,FIND("-",CH2462)-1)))),""))</f>
        <v/>
      </c>
      <c r="CN2462">
        <f>IF(CH2462="","",IFERROR(IF(AND(LEN(CH2462)=9,ISERROR(FIND("-",LEFT(CH2462,8))),ISNUMBER(-LEFT(CH2462,8))),VALUE(MID(CH2462,5,2)),VALUE(MID(CH2462,FIND("-",CH2462)+1,FIND("-",CH2462,FIND("-",CH2462)+1)-FIND("-",CH2462)-1))),""))</f>
        <v/>
      </c>
      <c r="CO2462">
        <f>IF(CH2462="","",IFERROR(IF(AND(LEN(CH2462)=9,ISERROR(FIND("-",LEFT(CH2462,8))),ISNUMBER(-LEFT(CH2462,8))),VALUE(MID(CH2462,7,2)),VALUE(MID(CH2462,FIND("-",CH2462,FIND("-",CH2462)+1)+1,FIND("-",CH2462,FIND("-",CH2462,FIND("-",CH2462)+1)+1)-FIND("-",CH2462,FIND("-",CH2462)+1)-1))),""))</f>
        <v/>
      </c>
    </row>
    <row r="2463">
      <c r="CH2463">
        <f>IF(ISTEXT('월 가계부'!A2463),SUBSTITUTE(SUBSTITUTE(SUBSTITUTE(SUBSTITUTE(SUBSTITUTE(SUBSTITUTE(SUBSTITUTE(SUBSTITUTE(SUBSTITUTE(TRIM('월 가계부'!A2463),"년","-"),"월","-"),"일",""),".","-"),"/","-")," ","-"),"--","-"),"--","-"),"--","-")&amp;"-","")</f>
        <v/>
      </c>
      <c r="CI2463">
        <f>IFERROR(IF('월 가계부'!A2463="","",IF(ISNUMBER('월 가계부'!A2463),IF(AND('월 가계부'!A2463&gt;=19000101,'월 가계부'!A2463&lt;=21001231),IF(AND(MOD(INT('월 가계부'!A2463/100),100)&gt;=1,MOD(INT('월 가계부'!A2463/100),100)&lt;=12,MOD(INT('월 가계부'!A2463),100)&gt;=1,MOD(INT('월 가계부'!A2463),100)&lt;=31),IF(MONTH(DATE(INT('월 가계부'!A2463/10000),MOD(INT('월 가계부'!A2463/100),100),MOD(INT('월 가계부'!A2463),100)))=MOD(INT('월 가계부'!A2463/100),100),DATE(INT('월 가계부'!A2463/10000),MOD(INT('월 가계부'!A2463/100),100),MOD(INT('월 가계부'!A2463),100)),""),""),IF(AND('월 가계부'!A2463&gt;=36526,'월 가계부'!A2463&lt;73051),INT('월 가계부'!A2463),"")),IF(OR(CM2463="",CN2463="",CO2463=""),"",IF(AND(CM2463&gt;=2000,CM2463&lt;=2099,CN2463&gt;=1,CN2463&lt;=12,CO2463&gt;=1,CO2463&lt;=31),IF(MONTH(DATE(CM2463,CN2463,CO2463))=CN2463,DATE(CM2463,CN2463,CO2463),""),"")))),"")</f>
        <v/>
      </c>
      <c r="CJ2463">
        <f>IFERROR(IF('월 가계부'!C2463="","",IF(ISNUMBER('월 가계부'!C2463),'월 가계부'!C2463,VALUE(SUBSTITUTE(SUBSTITUTE(SUBSTITUTE(SUBSTITUTE(TRIM('월 가계부'!C2463),",",""),"원","")," ",""),"−","-")))),"")</f>
        <v/>
      </c>
      <c r="CK2463">
        <f>IF(ISNUMBER(CI2463),IF(CI2463&lt;$B$13,CI2463,""),"")</f>
        <v/>
      </c>
      <c r="CM2463">
        <f>IF(CH2463="","",IFERROR(IF(IF(AND(LEN(CH2463)=9,ISERROR(FIND("-",LEFT(CH2463,8))),ISNUMBER(-LEFT(CH2463,8))),VALUE(LEFT(CH2463,4)),VALUE(LEFT(CH2463,FIND("-",CH2463)-1)))&lt;100,IF(AND(LEN(CH2463)=9,ISERROR(FIND("-",LEFT(CH2463,8))),ISNUMBER(-LEFT(CH2463,8))),VALUE(LEFT(CH2463,4)),VALUE(LEFT(CH2463,FIND("-",CH2463)-1)))+2000,IF(AND(LEN(CH2463)=9,ISERROR(FIND("-",LEFT(CH2463,8))),ISNUMBER(-LEFT(CH2463,8))),VALUE(LEFT(CH2463,4)),VALUE(LEFT(CH2463,FIND("-",CH2463)-1)))),""))</f>
        <v/>
      </c>
      <c r="CN2463">
        <f>IF(CH2463="","",IFERROR(IF(AND(LEN(CH2463)=9,ISERROR(FIND("-",LEFT(CH2463,8))),ISNUMBER(-LEFT(CH2463,8))),VALUE(MID(CH2463,5,2)),VALUE(MID(CH2463,FIND("-",CH2463)+1,FIND("-",CH2463,FIND("-",CH2463)+1)-FIND("-",CH2463)-1))),""))</f>
        <v/>
      </c>
      <c r="CO2463">
        <f>IF(CH2463="","",IFERROR(IF(AND(LEN(CH2463)=9,ISERROR(FIND("-",LEFT(CH2463,8))),ISNUMBER(-LEFT(CH2463,8))),VALUE(MID(CH2463,7,2)),VALUE(MID(CH2463,FIND("-",CH2463,FIND("-",CH2463)+1)+1,FIND("-",CH2463,FIND("-",CH2463,FIND("-",CH2463)+1)+1)-FIND("-",CH2463,FIND("-",CH2463)+1)-1))),""))</f>
        <v/>
      </c>
    </row>
    <row r="2464">
      <c r="CH2464">
        <f>IF(ISTEXT('월 가계부'!A2464),SUBSTITUTE(SUBSTITUTE(SUBSTITUTE(SUBSTITUTE(SUBSTITUTE(SUBSTITUTE(SUBSTITUTE(SUBSTITUTE(SUBSTITUTE(TRIM('월 가계부'!A2464),"년","-"),"월","-"),"일",""),".","-"),"/","-")," ","-"),"--","-"),"--","-"),"--","-")&amp;"-","")</f>
        <v/>
      </c>
      <c r="CI2464">
        <f>IFERROR(IF('월 가계부'!A2464="","",IF(ISNUMBER('월 가계부'!A2464),IF(AND('월 가계부'!A2464&gt;=19000101,'월 가계부'!A2464&lt;=21001231),IF(AND(MOD(INT('월 가계부'!A2464/100),100)&gt;=1,MOD(INT('월 가계부'!A2464/100),100)&lt;=12,MOD(INT('월 가계부'!A2464),100)&gt;=1,MOD(INT('월 가계부'!A2464),100)&lt;=31),IF(MONTH(DATE(INT('월 가계부'!A2464/10000),MOD(INT('월 가계부'!A2464/100),100),MOD(INT('월 가계부'!A2464),100)))=MOD(INT('월 가계부'!A2464/100),100),DATE(INT('월 가계부'!A2464/10000),MOD(INT('월 가계부'!A2464/100),100),MOD(INT('월 가계부'!A2464),100)),""),""),IF(AND('월 가계부'!A2464&gt;=36526,'월 가계부'!A2464&lt;73051),INT('월 가계부'!A2464),"")),IF(OR(CM2464="",CN2464="",CO2464=""),"",IF(AND(CM2464&gt;=2000,CM2464&lt;=2099,CN2464&gt;=1,CN2464&lt;=12,CO2464&gt;=1,CO2464&lt;=31),IF(MONTH(DATE(CM2464,CN2464,CO2464))=CN2464,DATE(CM2464,CN2464,CO2464),""),"")))),"")</f>
        <v/>
      </c>
      <c r="CJ2464">
        <f>IFERROR(IF('월 가계부'!C2464="","",IF(ISNUMBER('월 가계부'!C2464),'월 가계부'!C2464,VALUE(SUBSTITUTE(SUBSTITUTE(SUBSTITUTE(SUBSTITUTE(TRIM('월 가계부'!C2464),",",""),"원","")," ",""),"−","-")))),"")</f>
        <v/>
      </c>
      <c r="CK2464">
        <f>IF(ISNUMBER(CI2464),IF(CI2464&lt;$B$13,CI2464,""),"")</f>
        <v/>
      </c>
      <c r="CM2464">
        <f>IF(CH2464="","",IFERROR(IF(IF(AND(LEN(CH2464)=9,ISERROR(FIND("-",LEFT(CH2464,8))),ISNUMBER(-LEFT(CH2464,8))),VALUE(LEFT(CH2464,4)),VALUE(LEFT(CH2464,FIND("-",CH2464)-1)))&lt;100,IF(AND(LEN(CH2464)=9,ISERROR(FIND("-",LEFT(CH2464,8))),ISNUMBER(-LEFT(CH2464,8))),VALUE(LEFT(CH2464,4)),VALUE(LEFT(CH2464,FIND("-",CH2464)-1)))+2000,IF(AND(LEN(CH2464)=9,ISERROR(FIND("-",LEFT(CH2464,8))),ISNUMBER(-LEFT(CH2464,8))),VALUE(LEFT(CH2464,4)),VALUE(LEFT(CH2464,FIND("-",CH2464)-1)))),""))</f>
        <v/>
      </c>
      <c r="CN2464">
        <f>IF(CH2464="","",IFERROR(IF(AND(LEN(CH2464)=9,ISERROR(FIND("-",LEFT(CH2464,8))),ISNUMBER(-LEFT(CH2464,8))),VALUE(MID(CH2464,5,2)),VALUE(MID(CH2464,FIND("-",CH2464)+1,FIND("-",CH2464,FIND("-",CH2464)+1)-FIND("-",CH2464)-1))),""))</f>
        <v/>
      </c>
      <c r="CO2464">
        <f>IF(CH2464="","",IFERROR(IF(AND(LEN(CH2464)=9,ISERROR(FIND("-",LEFT(CH2464,8))),ISNUMBER(-LEFT(CH2464,8))),VALUE(MID(CH2464,7,2)),VALUE(MID(CH2464,FIND("-",CH2464,FIND("-",CH2464)+1)+1,FIND("-",CH2464,FIND("-",CH2464,FIND("-",CH2464)+1)+1)-FIND("-",CH2464,FIND("-",CH2464)+1)-1))),""))</f>
        <v/>
      </c>
    </row>
    <row r="2465">
      <c r="CH2465">
        <f>IF(ISTEXT('월 가계부'!A2465),SUBSTITUTE(SUBSTITUTE(SUBSTITUTE(SUBSTITUTE(SUBSTITUTE(SUBSTITUTE(SUBSTITUTE(SUBSTITUTE(SUBSTITUTE(TRIM('월 가계부'!A2465),"년","-"),"월","-"),"일",""),".","-"),"/","-")," ","-"),"--","-"),"--","-"),"--","-")&amp;"-","")</f>
        <v/>
      </c>
      <c r="CI2465">
        <f>IFERROR(IF('월 가계부'!A2465="","",IF(ISNUMBER('월 가계부'!A2465),IF(AND('월 가계부'!A2465&gt;=19000101,'월 가계부'!A2465&lt;=21001231),IF(AND(MOD(INT('월 가계부'!A2465/100),100)&gt;=1,MOD(INT('월 가계부'!A2465/100),100)&lt;=12,MOD(INT('월 가계부'!A2465),100)&gt;=1,MOD(INT('월 가계부'!A2465),100)&lt;=31),IF(MONTH(DATE(INT('월 가계부'!A2465/10000),MOD(INT('월 가계부'!A2465/100),100),MOD(INT('월 가계부'!A2465),100)))=MOD(INT('월 가계부'!A2465/100),100),DATE(INT('월 가계부'!A2465/10000),MOD(INT('월 가계부'!A2465/100),100),MOD(INT('월 가계부'!A2465),100)),""),""),IF(AND('월 가계부'!A2465&gt;=36526,'월 가계부'!A2465&lt;73051),INT('월 가계부'!A2465),"")),IF(OR(CM2465="",CN2465="",CO2465=""),"",IF(AND(CM2465&gt;=2000,CM2465&lt;=2099,CN2465&gt;=1,CN2465&lt;=12,CO2465&gt;=1,CO2465&lt;=31),IF(MONTH(DATE(CM2465,CN2465,CO2465))=CN2465,DATE(CM2465,CN2465,CO2465),""),"")))),"")</f>
        <v/>
      </c>
      <c r="CJ2465">
        <f>IFERROR(IF('월 가계부'!C2465="","",IF(ISNUMBER('월 가계부'!C2465),'월 가계부'!C2465,VALUE(SUBSTITUTE(SUBSTITUTE(SUBSTITUTE(SUBSTITUTE(TRIM('월 가계부'!C2465),",",""),"원","")," ",""),"−","-")))),"")</f>
        <v/>
      </c>
      <c r="CK2465">
        <f>IF(ISNUMBER(CI2465),IF(CI2465&lt;$B$13,CI2465,""),"")</f>
        <v/>
      </c>
      <c r="CM2465">
        <f>IF(CH2465="","",IFERROR(IF(IF(AND(LEN(CH2465)=9,ISERROR(FIND("-",LEFT(CH2465,8))),ISNUMBER(-LEFT(CH2465,8))),VALUE(LEFT(CH2465,4)),VALUE(LEFT(CH2465,FIND("-",CH2465)-1)))&lt;100,IF(AND(LEN(CH2465)=9,ISERROR(FIND("-",LEFT(CH2465,8))),ISNUMBER(-LEFT(CH2465,8))),VALUE(LEFT(CH2465,4)),VALUE(LEFT(CH2465,FIND("-",CH2465)-1)))+2000,IF(AND(LEN(CH2465)=9,ISERROR(FIND("-",LEFT(CH2465,8))),ISNUMBER(-LEFT(CH2465,8))),VALUE(LEFT(CH2465,4)),VALUE(LEFT(CH2465,FIND("-",CH2465)-1)))),""))</f>
        <v/>
      </c>
      <c r="CN2465">
        <f>IF(CH2465="","",IFERROR(IF(AND(LEN(CH2465)=9,ISERROR(FIND("-",LEFT(CH2465,8))),ISNUMBER(-LEFT(CH2465,8))),VALUE(MID(CH2465,5,2)),VALUE(MID(CH2465,FIND("-",CH2465)+1,FIND("-",CH2465,FIND("-",CH2465)+1)-FIND("-",CH2465)-1))),""))</f>
        <v/>
      </c>
      <c r="CO2465">
        <f>IF(CH2465="","",IFERROR(IF(AND(LEN(CH2465)=9,ISERROR(FIND("-",LEFT(CH2465,8))),ISNUMBER(-LEFT(CH2465,8))),VALUE(MID(CH2465,7,2)),VALUE(MID(CH2465,FIND("-",CH2465,FIND("-",CH2465)+1)+1,FIND("-",CH2465,FIND("-",CH2465,FIND("-",CH2465)+1)+1)-FIND("-",CH2465,FIND("-",CH2465)+1)-1))),""))</f>
        <v/>
      </c>
    </row>
    <row r="2466">
      <c r="CH2466">
        <f>IF(ISTEXT('월 가계부'!A2466),SUBSTITUTE(SUBSTITUTE(SUBSTITUTE(SUBSTITUTE(SUBSTITUTE(SUBSTITUTE(SUBSTITUTE(SUBSTITUTE(SUBSTITUTE(TRIM('월 가계부'!A2466),"년","-"),"월","-"),"일",""),".","-"),"/","-")," ","-"),"--","-"),"--","-"),"--","-")&amp;"-","")</f>
        <v/>
      </c>
      <c r="CI2466">
        <f>IFERROR(IF('월 가계부'!A2466="","",IF(ISNUMBER('월 가계부'!A2466),IF(AND('월 가계부'!A2466&gt;=19000101,'월 가계부'!A2466&lt;=21001231),IF(AND(MOD(INT('월 가계부'!A2466/100),100)&gt;=1,MOD(INT('월 가계부'!A2466/100),100)&lt;=12,MOD(INT('월 가계부'!A2466),100)&gt;=1,MOD(INT('월 가계부'!A2466),100)&lt;=31),IF(MONTH(DATE(INT('월 가계부'!A2466/10000),MOD(INT('월 가계부'!A2466/100),100),MOD(INT('월 가계부'!A2466),100)))=MOD(INT('월 가계부'!A2466/100),100),DATE(INT('월 가계부'!A2466/10000),MOD(INT('월 가계부'!A2466/100),100),MOD(INT('월 가계부'!A2466),100)),""),""),IF(AND('월 가계부'!A2466&gt;=36526,'월 가계부'!A2466&lt;73051),INT('월 가계부'!A2466),"")),IF(OR(CM2466="",CN2466="",CO2466=""),"",IF(AND(CM2466&gt;=2000,CM2466&lt;=2099,CN2466&gt;=1,CN2466&lt;=12,CO2466&gt;=1,CO2466&lt;=31),IF(MONTH(DATE(CM2466,CN2466,CO2466))=CN2466,DATE(CM2466,CN2466,CO2466),""),"")))),"")</f>
        <v/>
      </c>
      <c r="CJ2466">
        <f>IFERROR(IF('월 가계부'!C2466="","",IF(ISNUMBER('월 가계부'!C2466),'월 가계부'!C2466,VALUE(SUBSTITUTE(SUBSTITUTE(SUBSTITUTE(SUBSTITUTE(TRIM('월 가계부'!C2466),",",""),"원","")," ",""),"−","-")))),"")</f>
        <v/>
      </c>
      <c r="CK2466">
        <f>IF(ISNUMBER(CI2466),IF(CI2466&lt;$B$13,CI2466,""),"")</f>
        <v/>
      </c>
      <c r="CM2466">
        <f>IF(CH2466="","",IFERROR(IF(IF(AND(LEN(CH2466)=9,ISERROR(FIND("-",LEFT(CH2466,8))),ISNUMBER(-LEFT(CH2466,8))),VALUE(LEFT(CH2466,4)),VALUE(LEFT(CH2466,FIND("-",CH2466)-1)))&lt;100,IF(AND(LEN(CH2466)=9,ISERROR(FIND("-",LEFT(CH2466,8))),ISNUMBER(-LEFT(CH2466,8))),VALUE(LEFT(CH2466,4)),VALUE(LEFT(CH2466,FIND("-",CH2466)-1)))+2000,IF(AND(LEN(CH2466)=9,ISERROR(FIND("-",LEFT(CH2466,8))),ISNUMBER(-LEFT(CH2466,8))),VALUE(LEFT(CH2466,4)),VALUE(LEFT(CH2466,FIND("-",CH2466)-1)))),""))</f>
        <v/>
      </c>
      <c r="CN2466">
        <f>IF(CH2466="","",IFERROR(IF(AND(LEN(CH2466)=9,ISERROR(FIND("-",LEFT(CH2466,8))),ISNUMBER(-LEFT(CH2466,8))),VALUE(MID(CH2466,5,2)),VALUE(MID(CH2466,FIND("-",CH2466)+1,FIND("-",CH2466,FIND("-",CH2466)+1)-FIND("-",CH2466)-1))),""))</f>
        <v/>
      </c>
      <c r="CO2466">
        <f>IF(CH2466="","",IFERROR(IF(AND(LEN(CH2466)=9,ISERROR(FIND("-",LEFT(CH2466,8))),ISNUMBER(-LEFT(CH2466,8))),VALUE(MID(CH2466,7,2)),VALUE(MID(CH2466,FIND("-",CH2466,FIND("-",CH2466)+1)+1,FIND("-",CH2466,FIND("-",CH2466,FIND("-",CH2466)+1)+1)-FIND("-",CH2466,FIND("-",CH2466)+1)-1))),""))</f>
        <v/>
      </c>
    </row>
    <row r="2467">
      <c r="CH2467">
        <f>IF(ISTEXT('월 가계부'!A2467),SUBSTITUTE(SUBSTITUTE(SUBSTITUTE(SUBSTITUTE(SUBSTITUTE(SUBSTITUTE(SUBSTITUTE(SUBSTITUTE(SUBSTITUTE(TRIM('월 가계부'!A2467),"년","-"),"월","-"),"일",""),".","-"),"/","-")," ","-"),"--","-"),"--","-"),"--","-")&amp;"-","")</f>
        <v/>
      </c>
      <c r="CI2467">
        <f>IFERROR(IF('월 가계부'!A2467="","",IF(ISNUMBER('월 가계부'!A2467),IF(AND('월 가계부'!A2467&gt;=19000101,'월 가계부'!A2467&lt;=21001231),IF(AND(MOD(INT('월 가계부'!A2467/100),100)&gt;=1,MOD(INT('월 가계부'!A2467/100),100)&lt;=12,MOD(INT('월 가계부'!A2467),100)&gt;=1,MOD(INT('월 가계부'!A2467),100)&lt;=31),IF(MONTH(DATE(INT('월 가계부'!A2467/10000),MOD(INT('월 가계부'!A2467/100),100),MOD(INT('월 가계부'!A2467),100)))=MOD(INT('월 가계부'!A2467/100),100),DATE(INT('월 가계부'!A2467/10000),MOD(INT('월 가계부'!A2467/100),100),MOD(INT('월 가계부'!A2467),100)),""),""),IF(AND('월 가계부'!A2467&gt;=36526,'월 가계부'!A2467&lt;73051),INT('월 가계부'!A2467),"")),IF(OR(CM2467="",CN2467="",CO2467=""),"",IF(AND(CM2467&gt;=2000,CM2467&lt;=2099,CN2467&gt;=1,CN2467&lt;=12,CO2467&gt;=1,CO2467&lt;=31),IF(MONTH(DATE(CM2467,CN2467,CO2467))=CN2467,DATE(CM2467,CN2467,CO2467),""),"")))),"")</f>
        <v/>
      </c>
      <c r="CJ2467">
        <f>IFERROR(IF('월 가계부'!C2467="","",IF(ISNUMBER('월 가계부'!C2467),'월 가계부'!C2467,VALUE(SUBSTITUTE(SUBSTITUTE(SUBSTITUTE(SUBSTITUTE(TRIM('월 가계부'!C2467),",",""),"원","")," ",""),"−","-")))),"")</f>
        <v/>
      </c>
      <c r="CK2467">
        <f>IF(ISNUMBER(CI2467),IF(CI2467&lt;$B$13,CI2467,""),"")</f>
        <v/>
      </c>
      <c r="CM2467">
        <f>IF(CH2467="","",IFERROR(IF(IF(AND(LEN(CH2467)=9,ISERROR(FIND("-",LEFT(CH2467,8))),ISNUMBER(-LEFT(CH2467,8))),VALUE(LEFT(CH2467,4)),VALUE(LEFT(CH2467,FIND("-",CH2467)-1)))&lt;100,IF(AND(LEN(CH2467)=9,ISERROR(FIND("-",LEFT(CH2467,8))),ISNUMBER(-LEFT(CH2467,8))),VALUE(LEFT(CH2467,4)),VALUE(LEFT(CH2467,FIND("-",CH2467)-1)))+2000,IF(AND(LEN(CH2467)=9,ISERROR(FIND("-",LEFT(CH2467,8))),ISNUMBER(-LEFT(CH2467,8))),VALUE(LEFT(CH2467,4)),VALUE(LEFT(CH2467,FIND("-",CH2467)-1)))),""))</f>
        <v/>
      </c>
      <c r="CN2467">
        <f>IF(CH2467="","",IFERROR(IF(AND(LEN(CH2467)=9,ISERROR(FIND("-",LEFT(CH2467,8))),ISNUMBER(-LEFT(CH2467,8))),VALUE(MID(CH2467,5,2)),VALUE(MID(CH2467,FIND("-",CH2467)+1,FIND("-",CH2467,FIND("-",CH2467)+1)-FIND("-",CH2467)-1))),""))</f>
        <v/>
      </c>
      <c r="CO2467">
        <f>IF(CH2467="","",IFERROR(IF(AND(LEN(CH2467)=9,ISERROR(FIND("-",LEFT(CH2467,8))),ISNUMBER(-LEFT(CH2467,8))),VALUE(MID(CH2467,7,2)),VALUE(MID(CH2467,FIND("-",CH2467,FIND("-",CH2467)+1)+1,FIND("-",CH2467,FIND("-",CH2467,FIND("-",CH2467)+1)+1)-FIND("-",CH2467,FIND("-",CH2467)+1)-1))),""))</f>
        <v/>
      </c>
    </row>
    <row r="2468">
      <c r="CH2468">
        <f>IF(ISTEXT('월 가계부'!A2468),SUBSTITUTE(SUBSTITUTE(SUBSTITUTE(SUBSTITUTE(SUBSTITUTE(SUBSTITUTE(SUBSTITUTE(SUBSTITUTE(SUBSTITUTE(TRIM('월 가계부'!A2468),"년","-"),"월","-"),"일",""),".","-"),"/","-")," ","-"),"--","-"),"--","-"),"--","-")&amp;"-","")</f>
        <v/>
      </c>
      <c r="CI2468">
        <f>IFERROR(IF('월 가계부'!A2468="","",IF(ISNUMBER('월 가계부'!A2468),IF(AND('월 가계부'!A2468&gt;=19000101,'월 가계부'!A2468&lt;=21001231),IF(AND(MOD(INT('월 가계부'!A2468/100),100)&gt;=1,MOD(INT('월 가계부'!A2468/100),100)&lt;=12,MOD(INT('월 가계부'!A2468),100)&gt;=1,MOD(INT('월 가계부'!A2468),100)&lt;=31),IF(MONTH(DATE(INT('월 가계부'!A2468/10000),MOD(INT('월 가계부'!A2468/100),100),MOD(INT('월 가계부'!A2468),100)))=MOD(INT('월 가계부'!A2468/100),100),DATE(INT('월 가계부'!A2468/10000),MOD(INT('월 가계부'!A2468/100),100),MOD(INT('월 가계부'!A2468),100)),""),""),IF(AND('월 가계부'!A2468&gt;=36526,'월 가계부'!A2468&lt;73051),INT('월 가계부'!A2468),"")),IF(OR(CM2468="",CN2468="",CO2468=""),"",IF(AND(CM2468&gt;=2000,CM2468&lt;=2099,CN2468&gt;=1,CN2468&lt;=12,CO2468&gt;=1,CO2468&lt;=31),IF(MONTH(DATE(CM2468,CN2468,CO2468))=CN2468,DATE(CM2468,CN2468,CO2468),""),"")))),"")</f>
        <v/>
      </c>
      <c r="CJ2468">
        <f>IFERROR(IF('월 가계부'!C2468="","",IF(ISNUMBER('월 가계부'!C2468),'월 가계부'!C2468,VALUE(SUBSTITUTE(SUBSTITUTE(SUBSTITUTE(SUBSTITUTE(TRIM('월 가계부'!C2468),",",""),"원","")," ",""),"−","-")))),"")</f>
        <v/>
      </c>
      <c r="CK2468">
        <f>IF(ISNUMBER(CI2468),IF(CI2468&lt;$B$13,CI2468,""),"")</f>
        <v/>
      </c>
      <c r="CM2468">
        <f>IF(CH2468="","",IFERROR(IF(IF(AND(LEN(CH2468)=9,ISERROR(FIND("-",LEFT(CH2468,8))),ISNUMBER(-LEFT(CH2468,8))),VALUE(LEFT(CH2468,4)),VALUE(LEFT(CH2468,FIND("-",CH2468)-1)))&lt;100,IF(AND(LEN(CH2468)=9,ISERROR(FIND("-",LEFT(CH2468,8))),ISNUMBER(-LEFT(CH2468,8))),VALUE(LEFT(CH2468,4)),VALUE(LEFT(CH2468,FIND("-",CH2468)-1)))+2000,IF(AND(LEN(CH2468)=9,ISERROR(FIND("-",LEFT(CH2468,8))),ISNUMBER(-LEFT(CH2468,8))),VALUE(LEFT(CH2468,4)),VALUE(LEFT(CH2468,FIND("-",CH2468)-1)))),""))</f>
        <v/>
      </c>
      <c r="CN2468">
        <f>IF(CH2468="","",IFERROR(IF(AND(LEN(CH2468)=9,ISERROR(FIND("-",LEFT(CH2468,8))),ISNUMBER(-LEFT(CH2468,8))),VALUE(MID(CH2468,5,2)),VALUE(MID(CH2468,FIND("-",CH2468)+1,FIND("-",CH2468,FIND("-",CH2468)+1)-FIND("-",CH2468)-1))),""))</f>
        <v/>
      </c>
      <c r="CO2468">
        <f>IF(CH2468="","",IFERROR(IF(AND(LEN(CH2468)=9,ISERROR(FIND("-",LEFT(CH2468,8))),ISNUMBER(-LEFT(CH2468,8))),VALUE(MID(CH2468,7,2)),VALUE(MID(CH2468,FIND("-",CH2468,FIND("-",CH2468)+1)+1,FIND("-",CH2468,FIND("-",CH2468,FIND("-",CH2468)+1)+1)-FIND("-",CH2468,FIND("-",CH2468)+1)-1))),""))</f>
        <v/>
      </c>
    </row>
    <row r="2469">
      <c r="CH2469">
        <f>IF(ISTEXT('월 가계부'!A2469),SUBSTITUTE(SUBSTITUTE(SUBSTITUTE(SUBSTITUTE(SUBSTITUTE(SUBSTITUTE(SUBSTITUTE(SUBSTITUTE(SUBSTITUTE(TRIM('월 가계부'!A2469),"년","-"),"월","-"),"일",""),".","-"),"/","-")," ","-"),"--","-"),"--","-"),"--","-")&amp;"-","")</f>
        <v/>
      </c>
      <c r="CI2469">
        <f>IFERROR(IF('월 가계부'!A2469="","",IF(ISNUMBER('월 가계부'!A2469),IF(AND('월 가계부'!A2469&gt;=19000101,'월 가계부'!A2469&lt;=21001231),IF(AND(MOD(INT('월 가계부'!A2469/100),100)&gt;=1,MOD(INT('월 가계부'!A2469/100),100)&lt;=12,MOD(INT('월 가계부'!A2469),100)&gt;=1,MOD(INT('월 가계부'!A2469),100)&lt;=31),IF(MONTH(DATE(INT('월 가계부'!A2469/10000),MOD(INT('월 가계부'!A2469/100),100),MOD(INT('월 가계부'!A2469),100)))=MOD(INT('월 가계부'!A2469/100),100),DATE(INT('월 가계부'!A2469/10000),MOD(INT('월 가계부'!A2469/100),100),MOD(INT('월 가계부'!A2469),100)),""),""),IF(AND('월 가계부'!A2469&gt;=36526,'월 가계부'!A2469&lt;73051),INT('월 가계부'!A2469),"")),IF(OR(CM2469="",CN2469="",CO2469=""),"",IF(AND(CM2469&gt;=2000,CM2469&lt;=2099,CN2469&gt;=1,CN2469&lt;=12,CO2469&gt;=1,CO2469&lt;=31),IF(MONTH(DATE(CM2469,CN2469,CO2469))=CN2469,DATE(CM2469,CN2469,CO2469),""),"")))),"")</f>
        <v/>
      </c>
      <c r="CJ2469">
        <f>IFERROR(IF('월 가계부'!C2469="","",IF(ISNUMBER('월 가계부'!C2469),'월 가계부'!C2469,VALUE(SUBSTITUTE(SUBSTITUTE(SUBSTITUTE(SUBSTITUTE(TRIM('월 가계부'!C2469),",",""),"원","")," ",""),"−","-")))),"")</f>
        <v/>
      </c>
      <c r="CK2469">
        <f>IF(ISNUMBER(CI2469),IF(CI2469&lt;$B$13,CI2469,""),"")</f>
        <v/>
      </c>
      <c r="CM2469">
        <f>IF(CH2469="","",IFERROR(IF(IF(AND(LEN(CH2469)=9,ISERROR(FIND("-",LEFT(CH2469,8))),ISNUMBER(-LEFT(CH2469,8))),VALUE(LEFT(CH2469,4)),VALUE(LEFT(CH2469,FIND("-",CH2469)-1)))&lt;100,IF(AND(LEN(CH2469)=9,ISERROR(FIND("-",LEFT(CH2469,8))),ISNUMBER(-LEFT(CH2469,8))),VALUE(LEFT(CH2469,4)),VALUE(LEFT(CH2469,FIND("-",CH2469)-1)))+2000,IF(AND(LEN(CH2469)=9,ISERROR(FIND("-",LEFT(CH2469,8))),ISNUMBER(-LEFT(CH2469,8))),VALUE(LEFT(CH2469,4)),VALUE(LEFT(CH2469,FIND("-",CH2469)-1)))),""))</f>
        <v/>
      </c>
      <c r="CN2469">
        <f>IF(CH2469="","",IFERROR(IF(AND(LEN(CH2469)=9,ISERROR(FIND("-",LEFT(CH2469,8))),ISNUMBER(-LEFT(CH2469,8))),VALUE(MID(CH2469,5,2)),VALUE(MID(CH2469,FIND("-",CH2469)+1,FIND("-",CH2469,FIND("-",CH2469)+1)-FIND("-",CH2469)-1))),""))</f>
        <v/>
      </c>
      <c r="CO2469">
        <f>IF(CH2469="","",IFERROR(IF(AND(LEN(CH2469)=9,ISERROR(FIND("-",LEFT(CH2469,8))),ISNUMBER(-LEFT(CH2469,8))),VALUE(MID(CH2469,7,2)),VALUE(MID(CH2469,FIND("-",CH2469,FIND("-",CH2469)+1)+1,FIND("-",CH2469,FIND("-",CH2469,FIND("-",CH2469)+1)+1)-FIND("-",CH2469,FIND("-",CH2469)+1)-1))),""))</f>
        <v/>
      </c>
    </row>
    <row r="2470">
      <c r="CH2470">
        <f>IF(ISTEXT('월 가계부'!A2470),SUBSTITUTE(SUBSTITUTE(SUBSTITUTE(SUBSTITUTE(SUBSTITUTE(SUBSTITUTE(SUBSTITUTE(SUBSTITUTE(SUBSTITUTE(TRIM('월 가계부'!A2470),"년","-"),"월","-"),"일",""),".","-"),"/","-")," ","-"),"--","-"),"--","-"),"--","-")&amp;"-","")</f>
        <v/>
      </c>
      <c r="CI2470">
        <f>IFERROR(IF('월 가계부'!A2470="","",IF(ISNUMBER('월 가계부'!A2470),IF(AND('월 가계부'!A2470&gt;=19000101,'월 가계부'!A2470&lt;=21001231),IF(AND(MOD(INT('월 가계부'!A2470/100),100)&gt;=1,MOD(INT('월 가계부'!A2470/100),100)&lt;=12,MOD(INT('월 가계부'!A2470),100)&gt;=1,MOD(INT('월 가계부'!A2470),100)&lt;=31),IF(MONTH(DATE(INT('월 가계부'!A2470/10000),MOD(INT('월 가계부'!A2470/100),100),MOD(INT('월 가계부'!A2470),100)))=MOD(INT('월 가계부'!A2470/100),100),DATE(INT('월 가계부'!A2470/10000),MOD(INT('월 가계부'!A2470/100),100),MOD(INT('월 가계부'!A2470),100)),""),""),IF(AND('월 가계부'!A2470&gt;=36526,'월 가계부'!A2470&lt;73051),INT('월 가계부'!A2470),"")),IF(OR(CM2470="",CN2470="",CO2470=""),"",IF(AND(CM2470&gt;=2000,CM2470&lt;=2099,CN2470&gt;=1,CN2470&lt;=12,CO2470&gt;=1,CO2470&lt;=31),IF(MONTH(DATE(CM2470,CN2470,CO2470))=CN2470,DATE(CM2470,CN2470,CO2470),""),"")))),"")</f>
        <v/>
      </c>
      <c r="CJ2470">
        <f>IFERROR(IF('월 가계부'!C2470="","",IF(ISNUMBER('월 가계부'!C2470),'월 가계부'!C2470,VALUE(SUBSTITUTE(SUBSTITUTE(SUBSTITUTE(SUBSTITUTE(TRIM('월 가계부'!C2470),",",""),"원","")," ",""),"−","-")))),"")</f>
        <v/>
      </c>
      <c r="CK2470">
        <f>IF(ISNUMBER(CI2470),IF(CI2470&lt;$B$13,CI2470,""),"")</f>
        <v/>
      </c>
      <c r="CM2470">
        <f>IF(CH2470="","",IFERROR(IF(IF(AND(LEN(CH2470)=9,ISERROR(FIND("-",LEFT(CH2470,8))),ISNUMBER(-LEFT(CH2470,8))),VALUE(LEFT(CH2470,4)),VALUE(LEFT(CH2470,FIND("-",CH2470)-1)))&lt;100,IF(AND(LEN(CH2470)=9,ISERROR(FIND("-",LEFT(CH2470,8))),ISNUMBER(-LEFT(CH2470,8))),VALUE(LEFT(CH2470,4)),VALUE(LEFT(CH2470,FIND("-",CH2470)-1)))+2000,IF(AND(LEN(CH2470)=9,ISERROR(FIND("-",LEFT(CH2470,8))),ISNUMBER(-LEFT(CH2470,8))),VALUE(LEFT(CH2470,4)),VALUE(LEFT(CH2470,FIND("-",CH2470)-1)))),""))</f>
        <v/>
      </c>
      <c r="CN2470">
        <f>IF(CH2470="","",IFERROR(IF(AND(LEN(CH2470)=9,ISERROR(FIND("-",LEFT(CH2470,8))),ISNUMBER(-LEFT(CH2470,8))),VALUE(MID(CH2470,5,2)),VALUE(MID(CH2470,FIND("-",CH2470)+1,FIND("-",CH2470,FIND("-",CH2470)+1)-FIND("-",CH2470)-1))),""))</f>
        <v/>
      </c>
      <c r="CO2470">
        <f>IF(CH2470="","",IFERROR(IF(AND(LEN(CH2470)=9,ISERROR(FIND("-",LEFT(CH2470,8))),ISNUMBER(-LEFT(CH2470,8))),VALUE(MID(CH2470,7,2)),VALUE(MID(CH2470,FIND("-",CH2470,FIND("-",CH2470)+1)+1,FIND("-",CH2470,FIND("-",CH2470,FIND("-",CH2470)+1)+1)-FIND("-",CH2470,FIND("-",CH2470)+1)-1))),""))</f>
        <v/>
      </c>
    </row>
    <row r="2471">
      <c r="CH2471">
        <f>IF(ISTEXT('월 가계부'!A2471),SUBSTITUTE(SUBSTITUTE(SUBSTITUTE(SUBSTITUTE(SUBSTITUTE(SUBSTITUTE(SUBSTITUTE(SUBSTITUTE(SUBSTITUTE(TRIM('월 가계부'!A2471),"년","-"),"월","-"),"일",""),".","-"),"/","-")," ","-"),"--","-"),"--","-"),"--","-")&amp;"-","")</f>
        <v/>
      </c>
      <c r="CI2471">
        <f>IFERROR(IF('월 가계부'!A2471="","",IF(ISNUMBER('월 가계부'!A2471),IF(AND('월 가계부'!A2471&gt;=19000101,'월 가계부'!A2471&lt;=21001231),IF(AND(MOD(INT('월 가계부'!A2471/100),100)&gt;=1,MOD(INT('월 가계부'!A2471/100),100)&lt;=12,MOD(INT('월 가계부'!A2471),100)&gt;=1,MOD(INT('월 가계부'!A2471),100)&lt;=31),IF(MONTH(DATE(INT('월 가계부'!A2471/10000),MOD(INT('월 가계부'!A2471/100),100),MOD(INT('월 가계부'!A2471),100)))=MOD(INT('월 가계부'!A2471/100),100),DATE(INT('월 가계부'!A2471/10000),MOD(INT('월 가계부'!A2471/100),100),MOD(INT('월 가계부'!A2471),100)),""),""),IF(AND('월 가계부'!A2471&gt;=36526,'월 가계부'!A2471&lt;73051),INT('월 가계부'!A2471),"")),IF(OR(CM2471="",CN2471="",CO2471=""),"",IF(AND(CM2471&gt;=2000,CM2471&lt;=2099,CN2471&gt;=1,CN2471&lt;=12,CO2471&gt;=1,CO2471&lt;=31),IF(MONTH(DATE(CM2471,CN2471,CO2471))=CN2471,DATE(CM2471,CN2471,CO2471),""),"")))),"")</f>
        <v/>
      </c>
      <c r="CJ2471">
        <f>IFERROR(IF('월 가계부'!C2471="","",IF(ISNUMBER('월 가계부'!C2471),'월 가계부'!C2471,VALUE(SUBSTITUTE(SUBSTITUTE(SUBSTITUTE(SUBSTITUTE(TRIM('월 가계부'!C2471),",",""),"원","")," ",""),"−","-")))),"")</f>
        <v/>
      </c>
      <c r="CK2471">
        <f>IF(ISNUMBER(CI2471),IF(CI2471&lt;$B$13,CI2471,""),"")</f>
        <v/>
      </c>
      <c r="CM2471">
        <f>IF(CH2471="","",IFERROR(IF(IF(AND(LEN(CH2471)=9,ISERROR(FIND("-",LEFT(CH2471,8))),ISNUMBER(-LEFT(CH2471,8))),VALUE(LEFT(CH2471,4)),VALUE(LEFT(CH2471,FIND("-",CH2471)-1)))&lt;100,IF(AND(LEN(CH2471)=9,ISERROR(FIND("-",LEFT(CH2471,8))),ISNUMBER(-LEFT(CH2471,8))),VALUE(LEFT(CH2471,4)),VALUE(LEFT(CH2471,FIND("-",CH2471)-1)))+2000,IF(AND(LEN(CH2471)=9,ISERROR(FIND("-",LEFT(CH2471,8))),ISNUMBER(-LEFT(CH2471,8))),VALUE(LEFT(CH2471,4)),VALUE(LEFT(CH2471,FIND("-",CH2471)-1)))),""))</f>
        <v/>
      </c>
      <c r="CN2471">
        <f>IF(CH2471="","",IFERROR(IF(AND(LEN(CH2471)=9,ISERROR(FIND("-",LEFT(CH2471,8))),ISNUMBER(-LEFT(CH2471,8))),VALUE(MID(CH2471,5,2)),VALUE(MID(CH2471,FIND("-",CH2471)+1,FIND("-",CH2471,FIND("-",CH2471)+1)-FIND("-",CH2471)-1))),""))</f>
        <v/>
      </c>
      <c r="CO2471">
        <f>IF(CH2471="","",IFERROR(IF(AND(LEN(CH2471)=9,ISERROR(FIND("-",LEFT(CH2471,8))),ISNUMBER(-LEFT(CH2471,8))),VALUE(MID(CH2471,7,2)),VALUE(MID(CH2471,FIND("-",CH2471,FIND("-",CH2471)+1)+1,FIND("-",CH2471,FIND("-",CH2471,FIND("-",CH2471)+1)+1)-FIND("-",CH2471,FIND("-",CH2471)+1)-1))),""))</f>
        <v/>
      </c>
    </row>
    <row r="2472">
      <c r="CH2472">
        <f>IF(ISTEXT('월 가계부'!A2472),SUBSTITUTE(SUBSTITUTE(SUBSTITUTE(SUBSTITUTE(SUBSTITUTE(SUBSTITUTE(SUBSTITUTE(SUBSTITUTE(SUBSTITUTE(TRIM('월 가계부'!A2472),"년","-"),"월","-"),"일",""),".","-"),"/","-")," ","-"),"--","-"),"--","-"),"--","-")&amp;"-","")</f>
        <v/>
      </c>
      <c r="CI2472">
        <f>IFERROR(IF('월 가계부'!A2472="","",IF(ISNUMBER('월 가계부'!A2472),IF(AND('월 가계부'!A2472&gt;=19000101,'월 가계부'!A2472&lt;=21001231),IF(AND(MOD(INT('월 가계부'!A2472/100),100)&gt;=1,MOD(INT('월 가계부'!A2472/100),100)&lt;=12,MOD(INT('월 가계부'!A2472),100)&gt;=1,MOD(INT('월 가계부'!A2472),100)&lt;=31),IF(MONTH(DATE(INT('월 가계부'!A2472/10000),MOD(INT('월 가계부'!A2472/100),100),MOD(INT('월 가계부'!A2472),100)))=MOD(INT('월 가계부'!A2472/100),100),DATE(INT('월 가계부'!A2472/10000),MOD(INT('월 가계부'!A2472/100),100),MOD(INT('월 가계부'!A2472),100)),""),""),IF(AND('월 가계부'!A2472&gt;=36526,'월 가계부'!A2472&lt;73051),INT('월 가계부'!A2472),"")),IF(OR(CM2472="",CN2472="",CO2472=""),"",IF(AND(CM2472&gt;=2000,CM2472&lt;=2099,CN2472&gt;=1,CN2472&lt;=12,CO2472&gt;=1,CO2472&lt;=31),IF(MONTH(DATE(CM2472,CN2472,CO2472))=CN2472,DATE(CM2472,CN2472,CO2472),""),"")))),"")</f>
        <v/>
      </c>
      <c r="CJ2472">
        <f>IFERROR(IF('월 가계부'!C2472="","",IF(ISNUMBER('월 가계부'!C2472),'월 가계부'!C2472,VALUE(SUBSTITUTE(SUBSTITUTE(SUBSTITUTE(SUBSTITUTE(TRIM('월 가계부'!C2472),",",""),"원","")," ",""),"−","-")))),"")</f>
        <v/>
      </c>
      <c r="CK2472">
        <f>IF(ISNUMBER(CI2472),IF(CI2472&lt;$B$13,CI2472,""),"")</f>
        <v/>
      </c>
      <c r="CM2472">
        <f>IF(CH2472="","",IFERROR(IF(IF(AND(LEN(CH2472)=9,ISERROR(FIND("-",LEFT(CH2472,8))),ISNUMBER(-LEFT(CH2472,8))),VALUE(LEFT(CH2472,4)),VALUE(LEFT(CH2472,FIND("-",CH2472)-1)))&lt;100,IF(AND(LEN(CH2472)=9,ISERROR(FIND("-",LEFT(CH2472,8))),ISNUMBER(-LEFT(CH2472,8))),VALUE(LEFT(CH2472,4)),VALUE(LEFT(CH2472,FIND("-",CH2472)-1)))+2000,IF(AND(LEN(CH2472)=9,ISERROR(FIND("-",LEFT(CH2472,8))),ISNUMBER(-LEFT(CH2472,8))),VALUE(LEFT(CH2472,4)),VALUE(LEFT(CH2472,FIND("-",CH2472)-1)))),""))</f>
        <v/>
      </c>
      <c r="CN2472">
        <f>IF(CH2472="","",IFERROR(IF(AND(LEN(CH2472)=9,ISERROR(FIND("-",LEFT(CH2472,8))),ISNUMBER(-LEFT(CH2472,8))),VALUE(MID(CH2472,5,2)),VALUE(MID(CH2472,FIND("-",CH2472)+1,FIND("-",CH2472,FIND("-",CH2472)+1)-FIND("-",CH2472)-1))),""))</f>
        <v/>
      </c>
      <c r="CO2472">
        <f>IF(CH2472="","",IFERROR(IF(AND(LEN(CH2472)=9,ISERROR(FIND("-",LEFT(CH2472,8))),ISNUMBER(-LEFT(CH2472,8))),VALUE(MID(CH2472,7,2)),VALUE(MID(CH2472,FIND("-",CH2472,FIND("-",CH2472)+1)+1,FIND("-",CH2472,FIND("-",CH2472,FIND("-",CH2472)+1)+1)-FIND("-",CH2472,FIND("-",CH2472)+1)-1))),""))</f>
        <v/>
      </c>
    </row>
    <row r="2473">
      <c r="CH2473">
        <f>IF(ISTEXT('월 가계부'!A2473),SUBSTITUTE(SUBSTITUTE(SUBSTITUTE(SUBSTITUTE(SUBSTITUTE(SUBSTITUTE(SUBSTITUTE(SUBSTITUTE(SUBSTITUTE(TRIM('월 가계부'!A2473),"년","-"),"월","-"),"일",""),".","-"),"/","-")," ","-"),"--","-"),"--","-"),"--","-")&amp;"-","")</f>
        <v/>
      </c>
      <c r="CI2473">
        <f>IFERROR(IF('월 가계부'!A2473="","",IF(ISNUMBER('월 가계부'!A2473),IF(AND('월 가계부'!A2473&gt;=19000101,'월 가계부'!A2473&lt;=21001231),IF(AND(MOD(INT('월 가계부'!A2473/100),100)&gt;=1,MOD(INT('월 가계부'!A2473/100),100)&lt;=12,MOD(INT('월 가계부'!A2473),100)&gt;=1,MOD(INT('월 가계부'!A2473),100)&lt;=31),IF(MONTH(DATE(INT('월 가계부'!A2473/10000),MOD(INT('월 가계부'!A2473/100),100),MOD(INT('월 가계부'!A2473),100)))=MOD(INT('월 가계부'!A2473/100),100),DATE(INT('월 가계부'!A2473/10000),MOD(INT('월 가계부'!A2473/100),100),MOD(INT('월 가계부'!A2473),100)),""),""),IF(AND('월 가계부'!A2473&gt;=36526,'월 가계부'!A2473&lt;73051),INT('월 가계부'!A2473),"")),IF(OR(CM2473="",CN2473="",CO2473=""),"",IF(AND(CM2473&gt;=2000,CM2473&lt;=2099,CN2473&gt;=1,CN2473&lt;=12,CO2473&gt;=1,CO2473&lt;=31),IF(MONTH(DATE(CM2473,CN2473,CO2473))=CN2473,DATE(CM2473,CN2473,CO2473),""),"")))),"")</f>
        <v/>
      </c>
      <c r="CJ2473">
        <f>IFERROR(IF('월 가계부'!C2473="","",IF(ISNUMBER('월 가계부'!C2473),'월 가계부'!C2473,VALUE(SUBSTITUTE(SUBSTITUTE(SUBSTITUTE(SUBSTITUTE(TRIM('월 가계부'!C2473),",",""),"원","")," ",""),"−","-")))),"")</f>
        <v/>
      </c>
      <c r="CK2473">
        <f>IF(ISNUMBER(CI2473),IF(CI2473&lt;$B$13,CI2473,""),"")</f>
        <v/>
      </c>
      <c r="CM2473">
        <f>IF(CH2473="","",IFERROR(IF(IF(AND(LEN(CH2473)=9,ISERROR(FIND("-",LEFT(CH2473,8))),ISNUMBER(-LEFT(CH2473,8))),VALUE(LEFT(CH2473,4)),VALUE(LEFT(CH2473,FIND("-",CH2473)-1)))&lt;100,IF(AND(LEN(CH2473)=9,ISERROR(FIND("-",LEFT(CH2473,8))),ISNUMBER(-LEFT(CH2473,8))),VALUE(LEFT(CH2473,4)),VALUE(LEFT(CH2473,FIND("-",CH2473)-1)))+2000,IF(AND(LEN(CH2473)=9,ISERROR(FIND("-",LEFT(CH2473,8))),ISNUMBER(-LEFT(CH2473,8))),VALUE(LEFT(CH2473,4)),VALUE(LEFT(CH2473,FIND("-",CH2473)-1)))),""))</f>
        <v/>
      </c>
      <c r="CN2473">
        <f>IF(CH2473="","",IFERROR(IF(AND(LEN(CH2473)=9,ISERROR(FIND("-",LEFT(CH2473,8))),ISNUMBER(-LEFT(CH2473,8))),VALUE(MID(CH2473,5,2)),VALUE(MID(CH2473,FIND("-",CH2473)+1,FIND("-",CH2473,FIND("-",CH2473)+1)-FIND("-",CH2473)-1))),""))</f>
        <v/>
      </c>
      <c r="CO2473">
        <f>IF(CH2473="","",IFERROR(IF(AND(LEN(CH2473)=9,ISERROR(FIND("-",LEFT(CH2473,8))),ISNUMBER(-LEFT(CH2473,8))),VALUE(MID(CH2473,7,2)),VALUE(MID(CH2473,FIND("-",CH2473,FIND("-",CH2473)+1)+1,FIND("-",CH2473,FIND("-",CH2473,FIND("-",CH2473)+1)+1)-FIND("-",CH2473,FIND("-",CH2473)+1)-1))),""))</f>
        <v/>
      </c>
    </row>
    <row r="2474">
      <c r="CH2474">
        <f>IF(ISTEXT('월 가계부'!A2474),SUBSTITUTE(SUBSTITUTE(SUBSTITUTE(SUBSTITUTE(SUBSTITUTE(SUBSTITUTE(SUBSTITUTE(SUBSTITUTE(SUBSTITUTE(TRIM('월 가계부'!A2474),"년","-"),"월","-"),"일",""),".","-"),"/","-")," ","-"),"--","-"),"--","-"),"--","-")&amp;"-","")</f>
        <v/>
      </c>
      <c r="CI2474">
        <f>IFERROR(IF('월 가계부'!A2474="","",IF(ISNUMBER('월 가계부'!A2474),IF(AND('월 가계부'!A2474&gt;=19000101,'월 가계부'!A2474&lt;=21001231),IF(AND(MOD(INT('월 가계부'!A2474/100),100)&gt;=1,MOD(INT('월 가계부'!A2474/100),100)&lt;=12,MOD(INT('월 가계부'!A2474),100)&gt;=1,MOD(INT('월 가계부'!A2474),100)&lt;=31),IF(MONTH(DATE(INT('월 가계부'!A2474/10000),MOD(INT('월 가계부'!A2474/100),100),MOD(INT('월 가계부'!A2474),100)))=MOD(INT('월 가계부'!A2474/100),100),DATE(INT('월 가계부'!A2474/10000),MOD(INT('월 가계부'!A2474/100),100),MOD(INT('월 가계부'!A2474),100)),""),""),IF(AND('월 가계부'!A2474&gt;=36526,'월 가계부'!A2474&lt;73051),INT('월 가계부'!A2474),"")),IF(OR(CM2474="",CN2474="",CO2474=""),"",IF(AND(CM2474&gt;=2000,CM2474&lt;=2099,CN2474&gt;=1,CN2474&lt;=12,CO2474&gt;=1,CO2474&lt;=31),IF(MONTH(DATE(CM2474,CN2474,CO2474))=CN2474,DATE(CM2474,CN2474,CO2474),""),"")))),"")</f>
        <v/>
      </c>
      <c r="CJ2474">
        <f>IFERROR(IF('월 가계부'!C2474="","",IF(ISNUMBER('월 가계부'!C2474),'월 가계부'!C2474,VALUE(SUBSTITUTE(SUBSTITUTE(SUBSTITUTE(SUBSTITUTE(TRIM('월 가계부'!C2474),",",""),"원","")," ",""),"−","-")))),"")</f>
        <v/>
      </c>
      <c r="CK2474">
        <f>IF(ISNUMBER(CI2474),IF(CI2474&lt;$B$13,CI2474,""),"")</f>
        <v/>
      </c>
      <c r="CM2474">
        <f>IF(CH2474="","",IFERROR(IF(IF(AND(LEN(CH2474)=9,ISERROR(FIND("-",LEFT(CH2474,8))),ISNUMBER(-LEFT(CH2474,8))),VALUE(LEFT(CH2474,4)),VALUE(LEFT(CH2474,FIND("-",CH2474)-1)))&lt;100,IF(AND(LEN(CH2474)=9,ISERROR(FIND("-",LEFT(CH2474,8))),ISNUMBER(-LEFT(CH2474,8))),VALUE(LEFT(CH2474,4)),VALUE(LEFT(CH2474,FIND("-",CH2474)-1)))+2000,IF(AND(LEN(CH2474)=9,ISERROR(FIND("-",LEFT(CH2474,8))),ISNUMBER(-LEFT(CH2474,8))),VALUE(LEFT(CH2474,4)),VALUE(LEFT(CH2474,FIND("-",CH2474)-1)))),""))</f>
        <v/>
      </c>
      <c r="CN2474">
        <f>IF(CH2474="","",IFERROR(IF(AND(LEN(CH2474)=9,ISERROR(FIND("-",LEFT(CH2474,8))),ISNUMBER(-LEFT(CH2474,8))),VALUE(MID(CH2474,5,2)),VALUE(MID(CH2474,FIND("-",CH2474)+1,FIND("-",CH2474,FIND("-",CH2474)+1)-FIND("-",CH2474)-1))),""))</f>
        <v/>
      </c>
      <c r="CO2474">
        <f>IF(CH2474="","",IFERROR(IF(AND(LEN(CH2474)=9,ISERROR(FIND("-",LEFT(CH2474,8))),ISNUMBER(-LEFT(CH2474,8))),VALUE(MID(CH2474,7,2)),VALUE(MID(CH2474,FIND("-",CH2474,FIND("-",CH2474)+1)+1,FIND("-",CH2474,FIND("-",CH2474,FIND("-",CH2474)+1)+1)-FIND("-",CH2474,FIND("-",CH2474)+1)-1))),""))</f>
        <v/>
      </c>
    </row>
    <row r="2475">
      <c r="CH2475">
        <f>IF(ISTEXT('월 가계부'!A2475),SUBSTITUTE(SUBSTITUTE(SUBSTITUTE(SUBSTITUTE(SUBSTITUTE(SUBSTITUTE(SUBSTITUTE(SUBSTITUTE(SUBSTITUTE(TRIM('월 가계부'!A2475),"년","-"),"월","-"),"일",""),".","-"),"/","-")," ","-"),"--","-"),"--","-"),"--","-")&amp;"-","")</f>
        <v/>
      </c>
      <c r="CI2475">
        <f>IFERROR(IF('월 가계부'!A2475="","",IF(ISNUMBER('월 가계부'!A2475),IF(AND('월 가계부'!A2475&gt;=19000101,'월 가계부'!A2475&lt;=21001231),IF(AND(MOD(INT('월 가계부'!A2475/100),100)&gt;=1,MOD(INT('월 가계부'!A2475/100),100)&lt;=12,MOD(INT('월 가계부'!A2475),100)&gt;=1,MOD(INT('월 가계부'!A2475),100)&lt;=31),IF(MONTH(DATE(INT('월 가계부'!A2475/10000),MOD(INT('월 가계부'!A2475/100),100),MOD(INT('월 가계부'!A2475),100)))=MOD(INT('월 가계부'!A2475/100),100),DATE(INT('월 가계부'!A2475/10000),MOD(INT('월 가계부'!A2475/100),100),MOD(INT('월 가계부'!A2475),100)),""),""),IF(AND('월 가계부'!A2475&gt;=36526,'월 가계부'!A2475&lt;73051),INT('월 가계부'!A2475),"")),IF(OR(CM2475="",CN2475="",CO2475=""),"",IF(AND(CM2475&gt;=2000,CM2475&lt;=2099,CN2475&gt;=1,CN2475&lt;=12,CO2475&gt;=1,CO2475&lt;=31),IF(MONTH(DATE(CM2475,CN2475,CO2475))=CN2475,DATE(CM2475,CN2475,CO2475),""),"")))),"")</f>
        <v/>
      </c>
      <c r="CJ2475">
        <f>IFERROR(IF('월 가계부'!C2475="","",IF(ISNUMBER('월 가계부'!C2475),'월 가계부'!C2475,VALUE(SUBSTITUTE(SUBSTITUTE(SUBSTITUTE(SUBSTITUTE(TRIM('월 가계부'!C2475),",",""),"원","")," ",""),"−","-")))),"")</f>
        <v/>
      </c>
      <c r="CK2475">
        <f>IF(ISNUMBER(CI2475),IF(CI2475&lt;$B$13,CI2475,""),"")</f>
        <v/>
      </c>
      <c r="CM2475">
        <f>IF(CH2475="","",IFERROR(IF(IF(AND(LEN(CH2475)=9,ISERROR(FIND("-",LEFT(CH2475,8))),ISNUMBER(-LEFT(CH2475,8))),VALUE(LEFT(CH2475,4)),VALUE(LEFT(CH2475,FIND("-",CH2475)-1)))&lt;100,IF(AND(LEN(CH2475)=9,ISERROR(FIND("-",LEFT(CH2475,8))),ISNUMBER(-LEFT(CH2475,8))),VALUE(LEFT(CH2475,4)),VALUE(LEFT(CH2475,FIND("-",CH2475)-1)))+2000,IF(AND(LEN(CH2475)=9,ISERROR(FIND("-",LEFT(CH2475,8))),ISNUMBER(-LEFT(CH2475,8))),VALUE(LEFT(CH2475,4)),VALUE(LEFT(CH2475,FIND("-",CH2475)-1)))),""))</f>
        <v/>
      </c>
      <c r="CN2475">
        <f>IF(CH2475="","",IFERROR(IF(AND(LEN(CH2475)=9,ISERROR(FIND("-",LEFT(CH2475,8))),ISNUMBER(-LEFT(CH2475,8))),VALUE(MID(CH2475,5,2)),VALUE(MID(CH2475,FIND("-",CH2475)+1,FIND("-",CH2475,FIND("-",CH2475)+1)-FIND("-",CH2475)-1))),""))</f>
        <v/>
      </c>
      <c r="CO2475">
        <f>IF(CH2475="","",IFERROR(IF(AND(LEN(CH2475)=9,ISERROR(FIND("-",LEFT(CH2475,8))),ISNUMBER(-LEFT(CH2475,8))),VALUE(MID(CH2475,7,2)),VALUE(MID(CH2475,FIND("-",CH2475,FIND("-",CH2475)+1)+1,FIND("-",CH2475,FIND("-",CH2475,FIND("-",CH2475)+1)+1)-FIND("-",CH2475,FIND("-",CH2475)+1)-1))),""))</f>
        <v/>
      </c>
    </row>
    <row r="2476">
      <c r="CH2476">
        <f>IF(ISTEXT('월 가계부'!A2476),SUBSTITUTE(SUBSTITUTE(SUBSTITUTE(SUBSTITUTE(SUBSTITUTE(SUBSTITUTE(SUBSTITUTE(SUBSTITUTE(SUBSTITUTE(TRIM('월 가계부'!A2476),"년","-"),"월","-"),"일",""),".","-"),"/","-")," ","-"),"--","-"),"--","-"),"--","-")&amp;"-","")</f>
        <v/>
      </c>
      <c r="CI2476">
        <f>IFERROR(IF('월 가계부'!A2476="","",IF(ISNUMBER('월 가계부'!A2476),IF(AND('월 가계부'!A2476&gt;=19000101,'월 가계부'!A2476&lt;=21001231),IF(AND(MOD(INT('월 가계부'!A2476/100),100)&gt;=1,MOD(INT('월 가계부'!A2476/100),100)&lt;=12,MOD(INT('월 가계부'!A2476),100)&gt;=1,MOD(INT('월 가계부'!A2476),100)&lt;=31),IF(MONTH(DATE(INT('월 가계부'!A2476/10000),MOD(INT('월 가계부'!A2476/100),100),MOD(INT('월 가계부'!A2476),100)))=MOD(INT('월 가계부'!A2476/100),100),DATE(INT('월 가계부'!A2476/10000),MOD(INT('월 가계부'!A2476/100),100),MOD(INT('월 가계부'!A2476),100)),""),""),IF(AND('월 가계부'!A2476&gt;=36526,'월 가계부'!A2476&lt;73051),INT('월 가계부'!A2476),"")),IF(OR(CM2476="",CN2476="",CO2476=""),"",IF(AND(CM2476&gt;=2000,CM2476&lt;=2099,CN2476&gt;=1,CN2476&lt;=12,CO2476&gt;=1,CO2476&lt;=31),IF(MONTH(DATE(CM2476,CN2476,CO2476))=CN2476,DATE(CM2476,CN2476,CO2476),""),"")))),"")</f>
        <v/>
      </c>
      <c r="CJ2476">
        <f>IFERROR(IF('월 가계부'!C2476="","",IF(ISNUMBER('월 가계부'!C2476),'월 가계부'!C2476,VALUE(SUBSTITUTE(SUBSTITUTE(SUBSTITUTE(SUBSTITUTE(TRIM('월 가계부'!C2476),",",""),"원","")," ",""),"−","-")))),"")</f>
        <v/>
      </c>
      <c r="CK2476">
        <f>IF(ISNUMBER(CI2476),IF(CI2476&lt;$B$13,CI2476,""),"")</f>
        <v/>
      </c>
      <c r="CM2476">
        <f>IF(CH2476="","",IFERROR(IF(IF(AND(LEN(CH2476)=9,ISERROR(FIND("-",LEFT(CH2476,8))),ISNUMBER(-LEFT(CH2476,8))),VALUE(LEFT(CH2476,4)),VALUE(LEFT(CH2476,FIND("-",CH2476)-1)))&lt;100,IF(AND(LEN(CH2476)=9,ISERROR(FIND("-",LEFT(CH2476,8))),ISNUMBER(-LEFT(CH2476,8))),VALUE(LEFT(CH2476,4)),VALUE(LEFT(CH2476,FIND("-",CH2476)-1)))+2000,IF(AND(LEN(CH2476)=9,ISERROR(FIND("-",LEFT(CH2476,8))),ISNUMBER(-LEFT(CH2476,8))),VALUE(LEFT(CH2476,4)),VALUE(LEFT(CH2476,FIND("-",CH2476)-1)))),""))</f>
        <v/>
      </c>
      <c r="CN2476">
        <f>IF(CH2476="","",IFERROR(IF(AND(LEN(CH2476)=9,ISERROR(FIND("-",LEFT(CH2476,8))),ISNUMBER(-LEFT(CH2476,8))),VALUE(MID(CH2476,5,2)),VALUE(MID(CH2476,FIND("-",CH2476)+1,FIND("-",CH2476,FIND("-",CH2476)+1)-FIND("-",CH2476)-1))),""))</f>
        <v/>
      </c>
      <c r="CO2476">
        <f>IF(CH2476="","",IFERROR(IF(AND(LEN(CH2476)=9,ISERROR(FIND("-",LEFT(CH2476,8))),ISNUMBER(-LEFT(CH2476,8))),VALUE(MID(CH2476,7,2)),VALUE(MID(CH2476,FIND("-",CH2476,FIND("-",CH2476)+1)+1,FIND("-",CH2476,FIND("-",CH2476,FIND("-",CH2476)+1)+1)-FIND("-",CH2476,FIND("-",CH2476)+1)-1))),""))</f>
        <v/>
      </c>
    </row>
    <row r="2477">
      <c r="CH2477">
        <f>IF(ISTEXT('월 가계부'!A2477),SUBSTITUTE(SUBSTITUTE(SUBSTITUTE(SUBSTITUTE(SUBSTITUTE(SUBSTITUTE(SUBSTITUTE(SUBSTITUTE(SUBSTITUTE(TRIM('월 가계부'!A2477),"년","-"),"월","-"),"일",""),".","-"),"/","-")," ","-"),"--","-"),"--","-"),"--","-")&amp;"-","")</f>
        <v/>
      </c>
      <c r="CI2477">
        <f>IFERROR(IF('월 가계부'!A2477="","",IF(ISNUMBER('월 가계부'!A2477),IF(AND('월 가계부'!A2477&gt;=19000101,'월 가계부'!A2477&lt;=21001231),IF(AND(MOD(INT('월 가계부'!A2477/100),100)&gt;=1,MOD(INT('월 가계부'!A2477/100),100)&lt;=12,MOD(INT('월 가계부'!A2477),100)&gt;=1,MOD(INT('월 가계부'!A2477),100)&lt;=31),IF(MONTH(DATE(INT('월 가계부'!A2477/10000),MOD(INT('월 가계부'!A2477/100),100),MOD(INT('월 가계부'!A2477),100)))=MOD(INT('월 가계부'!A2477/100),100),DATE(INT('월 가계부'!A2477/10000),MOD(INT('월 가계부'!A2477/100),100),MOD(INT('월 가계부'!A2477),100)),""),""),IF(AND('월 가계부'!A2477&gt;=36526,'월 가계부'!A2477&lt;73051),INT('월 가계부'!A2477),"")),IF(OR(CM2477="",CN2477="",CO2477=""),"",IF(AND(CM2477&gt;=2000,CM2477&lt;=2099,CN2477&gt;=1,CN2477&lt;=12,CO2477&gt;=1,CO2477&lt;=31),IF(MONTH(DATE(CM2477,CN2477,CO2477))=CN2477,DATE(CM2477,CN2477,CO2477),""),"")))),"")</f>
        <v/>
      </c>
      <c r="CJ2477">
        <f>IFERROR(IF('월 가계부'!C2477="","",IF(ISNUMBER('월 가계부'!C2477),'월 가계부'!C2477,VALUE(SUBSTITUTE(SUBSTITUTE(SUBSTITUTE(SUBSTITUTE(TRIM('월 가계부'!C2477),",",""),"원","")," ",""),"−","-")))),"")</f>
        <v/>
      </c>
      <c r="CK2477">
        <f>IF(ISNUMBER(CI2477),IF(CI2477&lt;$B$13,CI2477,""),"")</f>
        <v/>
      </c>
      <c r="CM2477">
        <f>IF(CH2477="","",IFERROR(IF(IF(AND(LEN(CH2477)=9,ISERROR(FIND("-",LEFT(CH2477,8))),ISNUMBER(-LEFT(CH2477,8))),VALUE(LEFT(CH2477,4)),VALUE(LEFT(CH2477,FIND("-",CH2477)-1)))&lt;100,IF(AND(LEN(CH2477)=9,ISERROR(FIND("-",LEFT(CH2477,8))),ISNUMBER(-LEFT(CH2477,8))),VALUE(LEFT(CH2477,4)),VALUE(LEFT(CH2477,FIND("-",CH2477)-1)))+2000,IF(AND(LEN(CH2477)=9,ISERROR(FIND("-",LEFT(CH2477,8))),ISNUMBER(-LEFT(CH2477,8))),VALUE(LEFT(CH2477,4)),VALUE(LEFT(CH2477,FIND("-",CH2477)-1)))),""))</f>
        <v/>
      </c>
      <c r="CN2477">
        <f>IF(CH2477="","",IFERROR(IF(AND(LEN(CH2477)=9,ISERROR(FIND("-",LEFT(CH2477,8))),ISNUMBER(-LEFT(CH2477,8))),VALUE(MID(CH2477,5,2)),VALUE(MID(CH2477,FIND("-",CH2477)+1,FIND("-",CH2477,FIND("-",CH2477)+1)-FIND("-",CH2477)-1))),""))</f>
        <v/>
      </c>
      <c r="CO2477">
        <f>IF(CH2477="","",IFERROR(IF(AND(LEN(CH2477)=9,ISERROR(FIND("-",LEFT(CH2477,8))),ISNUMBER(-LEFT(CH2477,8))),VALUE(MID(CH2477,7,2)),VALUE(MID(CH2477,FIND("-",CH2477,FIND("-",CH2477)+1)+1,FIND("-",CH2477,FIND("-",CH2477,FIND("-",CH2477)+1)+1)-FIND("-",CH2477,FIND("-",CH2477)+1)-1))),""))</f>
        <v/>
      </c>
    </row>
    <row r="2478">
      <c r="CH2478">
        <f>IF(ISTEXT('월 가계부'!A2478),SUBSTITUTE(SUBSTITUTE(SUBSTITUTE(SUBSTITUTE(SUBSTITUTE(SUBSTITUTE(SUBSTITUTE(SUBSTITUTE(SUBSTITUTE(TRIM('월 가계부'!A2478),"년","-"),"월","-"),"일",""),".","-"),"/","-")," ","-"),"--","-"),"--","-"),"--","-")&amp;"-","")</f>
        <v/>
      </c>
      <c r="CI2478">
        <f>IFERROR(IF('월 가계부'!A2478="","",IF(ISNUMBER('월 가계부'!A2478),IF(AND('월 가계부'!A2478&gt;=19000101,'월 가계부'!A2478&lt;=21001231),IF(AND(MOD(INT('월 가계부'!A2478/100),100)&gt;=1,MOD(INT('월 가계부'!A2478/100),100)&lt;=12,MOD(INT('월 가계부'!A2478),100)&gt;=1,MOD(INT('월 가계부'!A2478),100)&lt;=31),IF(MONTH(DATE(INT('월 가계부'!A2478/10000),MOD(INT('월 가계부'!A2478/100),100),MOD(INT('월 가계부'!A2478),100)))=MOD(INT('월 가계부'!A2478/100),100),DATE(INT('월 가계부'!A2478/10000),MOD(INT('월 가계부'!A2478/100),100),MOD(INT('월 가계부'!A2478),100)),""),""),IF(AND('월 가계부'!A2478&gt;=36526,'월 가계부'!A2478&lt;73051),INT('월 가계부'!A2478),"")),IF(OR(CM2478="",CN2478="",CO2478=""),"",IF(AND(CM2478&gt;=2000,CM2478&lt;=2099,CN2478&gt;=1,CN2478&lt;=12,CO2478&gt;=1,CO2478&lt;=31),IF(MONTH(DATE(CM2478,CN2478,CO2478))=CN2478,DATE(CM2478,CN2478,CO2478),""),"")))),"")</f>
        <v/>
      </c>
      <c r="CJ2478">
        <f>IFERROR(IF('월 가계부'!C2478="","",IF(ISNUMBER('월 가계부'!C2478),'월 가계부'!C2478,VALUE(SUBSTITUTE(SUBSTITUTE(SUBSTITUTE(SUBSTITUTE(TRIM('월 가계부'!C2478),",",""),"원","")," ",""),"−","-")))),"")</f>
        <v/>
      </c>
      <c r="CK2478">
        <f>IF(ISNUMBER(CI2478),IF(CI2478&lt;$B$13,CI2478,""),"")</f>
        <v/>
      </c>
      <c r="CM2478">
        <f>IF(CH2478="","",IFERROR(IF(IF(AND(LEN(CH2478)=9,ISERROR(FIND("-",LEFT(CH2478,8))),ISNUMBER(-LEFT(CH2478,8))),VALUE(LEFT(CH2478,4)),VALUE(LEFT(CH2478,FIND("-",CH2478)-1)))&lt;100,IF(AND(LEN(CH2478)=9,ISERROR(FIND("-",LEFT(CH2478,8))),ISNUMBER(-LEFT(CH2478,8))),VALUE(LEFT(CH2478,4)),VALUE(LEFT(CH2478,FIND("-",CH2478)-1)))+2000,IF(AND(LEN(CH2478)=9,ISERROR(FIND("-",LEFT(CH2478,8))),ISNUMBER(-LEFT(CH2478,8))),VALUE(LEFT(CH2478,4)),VALUE(LEFT(CH2478,FIND("-",CH2478)-1)))),""))</f>
        <v/>
      </c>
      <c r="CN2478">
        <f>IF(CH2478="","",IFERROR(IF(AND(LEN(CH2478)=9,ISERROR(FIND("-",LEFT(CH2478,8))),ISNUMBER(-LEFT(CH2478,8))),VALUE(MID(CH2478,5,2)),VALUE(MID(CH2478,FIND("-",CH2478)+1,FIND("-",CH2478,FIND("-",CH2478)+1)-FIND("-",CH2478)-1))),""))</f>
        <v/>
      </c>
      <c r="CO2478">
        <f>IF(CH2478="","",IFERROR(IF(AND(LEN(CH2478)=9,ISERROR(FIND("-",LEFT(CH2478,8))),ISNUMBER(-LEFT(CH2478,8))),VALUE(MID(CH2478,7,2)),VALUE(MID(CH2478,FIND("-",CH2478,FIND("-",CH2478)+1)+1,FIND("-",CH2478,FIND("-",CH2478,FIND("-",CH2478)+1)+1)-FIND("-",CH2478,FIND("-",CH2478)+1)-1))),""))</f>
        <v/>
      </c>
    </row>
    <row r="2479">
      <c r="CH2479">
        <f>IF(ISTEXT('월 가계부'!A2479),SUBSTITUTE(SUBSTITUTE(SUBSTITUTE(SUBSTITUTE(SUBSTITUTE(SUBSTITUTE(SUBSTITUTE(SUBSTITUTE(SUBSTITUTE(TRIM('월 가계부'!A2479),"년","-"),"월","-"),"일",""),".","-"),"/","-")," ","-"),"--","-"),"--","-"),"--","-")&amp;"-","")</f>
        <v/>
      </c>
      <c r="CI2479">
        <f>IFERROR(IF('월 가계부'!A2479="","",IF(ISNUMBER('월 가계부'!A2479),IF(AND('월 가계부'!A2479&gt;=19000101,'월 가계부'!A2479&lt;=21001231),IF(AND(MOD(INT('월 가계부'!A2479/100),100)&gt;=1,MOD(INT('월 가계부'!A2479/100),100)&lt;=12,MOD(INT('월 가계부'!A2479),100)&gt;=1,MOD(INT('월 가계부'!A2479),100)&lt;=31),IF(MONTH(DATE(INT('월 가계부'!A2479/10000),MOD(INT('월 가계부'!A2479/100),100),MOD(INT('월 가계부'!A2479),100)))=MOD(INT('월 가계부'!A2479/100),100),DATE(INT('월 가계부'!A2479/10000),MOD(INT('월 가계부'!A2479/100),100),MOD(INT('월 가계부'!A2479),100)),""),""),IF(AND('월 가계부'!A2479&gt;=36526,'월 가계부'!A2479&lt;73051),INT('월 가계부'!A2479),"")),IF(OR(CM2479="",CN2479="",CO2479=""),"",IF(AND(CM2479&gt;=2000,CM2479&lt;=2099,CN2479&gt;=1,CN2479&lt;=12,CO2479&gt;=1,CO2479&lt;=31),IF(MONTH(DATE(CM2479,CN2479,CO2479))=CN2479,DATE(CM2479,CN2479,CO2479),""),"")))),"")</f>
        <v/>
      </c>
      <c r="CJ2479">
        <f>IFERROR(IF('월 가계부'!C2479="","",IF(ISNUMBER('월 가계부'!C2479),'월 가계부'!C2479,VALUE(SUBSTITUTE(SUBSTITUTE(SUBSTITUTE(SUBSTITUTE(TRIM('월 가계부'!C2479),",",""),"원","")," ",""),"−","-")))),"")</f>
        <v/>
      </c>
      <c r="CK2479">
        <f>IF(ISNUMBER(CI2479),IF(CI2479&lt;$B$13,CI2479,""),"")</f>
        <v/>
      </c>
      <c r="CM2479">
        <f>IF(CH2479="","",IFERROR(IF(IF(AND(LEN(CH2479)=9,ISERROR(FIND("-",LEFT(CH2479,8))),ISNUMBER(-LEFT(CH2479,8))),VALUE(LEFT(CH2479,4)),VALUE(LEFT(CH2479,FIND("-",CH2479)-1)))&lt;100,IF(AND(LEN(CH2479)=9,ISERROR(FIND("-",LEFT(CH2479,8))),ISNUMBER(-LEFT(CH2479,8))),VALUE(LEFT(CH2479,4)),VALUE(LEFT(CH2479,FIND("-",CH2479)-1)))+2000,IF(AND(LEN(CH2479)=9,ISERROR(FIND("-",LEFT(CH2479,8))),ISNUMBER(-LEFT(CH2479,8))),VALUE(LEFT(CH2479,4)),VALUE(LEFT(CH2479,FIND("-",CH2479)-1)))),""))</f>
        <v/>
      </c>
      <c r="CN2479">
        <f>IF(CH2479="","",IFERROR(IF(AND(LEN(CH2479)=9,ISERROR(FIND("-",LEFT(CH2479,8))),ISNUMBER(-LEFT(CH2479,8))),VALUE(MID(CH2479,5,2)),VALUE(MID(CH2479,FIND("-",CH2479)+1,FIND("-",CH2479,FIND("-",CH2479)+1)-FIND("-",CH2479)-1))),""))</f>
        <v/>
      </c>
      <c r="CO2479">
        <f>IF(CH2479="","",IFERROR(IF(AND(LEN(CH2479)=9,ISERROR(FIND("-",LEFT(CH2479,8))),ISNUMBER(-LEFT(CH2479,8))),VALUE(MID(CH2479,7,2)),VALUE(MID(CH2479,FIND("-",CH2479,FIND("-",CH2479)+1)+1,FIND("-",CH2479,FIND("-",CH2479,FIND("-",CH2479)+1)+1)-FIND("-",CH2479,FIND("-",CH2479)+1)-1))),""))</f>
        <v/>
      </c>
    </row>
    <row r="2480">
      <c r="CH2480">
        <f>IF(ISTEXT('월 가계부'!A2480),SUBSTITUTE(SUBSTITUTE(SUBSTITUTE(SUBSTITUTE(SUBSTITUTE(SUBSTITUTE(SUBSTITUTE(SUBSTITUTE(SUBSTITUTE(TRIM('월 가계부'!A2480),"년","-"),"월","-"),"일",""),".","-"),"/","-")," ","-"),"--","-"),"--","-"),"--","-")&amp;"-","")</f>
        <v/>
      </c>
      <c r="CI2480">
        <f>IFERROR(IF('월 가계부'!A2480="","",IF(ISNUMBER('월 가계부'!A2480),IF(AND('월 가계부'!A2480&gt;=19000101,'월 가계부'!A2480&lt;=21001231),IF(AND(MOD(INT('월 가계부'!A2480/100),100)&gt;=1,MOD(INT('월 가계부'!A2480/100),100)&lt;=12,MOD(INT('월 가계부'!A2480),100)&gt;=1,MOD(INT('월 가계부'!A2480),100)&lt;=31),IF(MONTH(DATE(INT('월 가계부'!A2480/10000),MOD(INT('월 가계부'!A2480/100),100),MOD(INT('월 가계부'!A2480),100)))=MOD(INT('월 가계부'!A2480/100),100),DATE(INT('월 가계부'!A2480/10000),MOD(INT('월 가계부'!A2480/100),100),MOD(INT('월 가계부'!A2480),100)),""),""),IF(AND('월 가계부'!A2480&gt;=36526,'월 가계부'!A2480&lt;73051),INT('월 가계부'!A2480),"")),IF(OR(CM2480="",CN2480="",CO2480=""),"",IF(AND(CM2480&gt;=2000,CM2480&lt;=2099,CN2480&gt;=1,CN2480&lt;=12,CO2480&gt;=1,CO2480&lt;=31),IF(MONTH(DATE(CM2480,CN2480,CO2480))=CN2480,DATE(CM2480,CN2480,CO2480),""),"")))),"")</f>
        <v/>
      </c>
      <c r="CJ2480">
        <f>IFERROR(IF('월 가계부'!C2480="","",IF(ISNUMBER('월 가계부'!C2480),'월 가계부'!C2480,VALUE(SUBSTITUTE(SUBSTITUTE(SUBSTITUTE(SUBSTITUTE(TRIM('월 가계부'!C2480),",",""),"원","")," ",""),"−","-")))),"")</f>
        <v/>
      </c>
      <c r="CK2480">
        <f>IF(ISNUMBER(CI2480),IF(CI2480&lt;$B$13,CI2480,""),"")</f>
        <v/>
      </c>
      <c r="CM2480">
        <f>IF(CH2480="","",IFERROR(IF(IF(AND(LEN(CH2480)=9,ISERROR(FIND("-",LEFT(CH2480,8))),ISNUMBER(-LEFT(CH2480,8))),VALUE(LEFT(CH2480,4)),VALUE(LEFT(CH2480,FIND("-",CH2480)-1)))&lt;100,IF(AND(LEN(CH2480)=9,ISERROR(FIND("-",LEFT(CH2480,8))),ISNUMBER(-LEFT(CH2480,8))),VALUE(LEFT(CH2480,4)),VALUE(LEFT(CH2480,FIND("-",CH2480)-1)))+2000,IF(AND(LEN(CH2480)=9,ISERROR(FIND("-",LEFT(CH2480,8))),ISNUMBER(-LEFT(CH2480,8))),VALUE(LEFT(CH2480,4)),VALUE(LEFT(CH2480,FIND("-",CH2480)-1)))),""))</f>
        <v/>
      </c>
      <c r="CN2480">
        <f>IF(CH2480="","",IFERROR(IF(AND(LEN(CH2480)=9,ISERROR(FIND("-",LEFT(CH2480,8))),ISNUMBER(-LEFT(CH2480,8))),VALUE(MID(CH2480,5,2)),VALUE(MID(CH2480,FIND("-",CH2480)+1,FIND("-",CH2480,FIND("-",CH2480)+1)-FIND("-",CH2480)-1))),""))</f>
        <v/>
      </c>
      <c r="CO2480">
        <f>IF(CH2480="","",IFERROR(IF(AND(LEN(CH2480)=9,ISERROR(FIND("-",LEFT(CH2480,8))),ISNUMBER(-LEFT(CH2480,8))),VALUE(MID(CH2480,7,2)),VALUE(MID(CH2480,FIND("-",CH2480,FIND("-",CH2480)+1)+1,FIND("-",CH2480,FIND("-",CH2480,FIND("-",CH2480)+1)+1)-FIND("-",CH2480,FIND("-",CH2480)+1)-1))),""))</f>
        <v/>
      </c>
    </row>
    <row r="2481">
      <c r="CH2481">
        <f>IF(ISTEXT('월 가계부'!A2481),SUBSTITUTE(SUBSTITUTE(SUBSTITUTE(SUBSTITUTE(SUBSTITUTE(SUBSTITUTE(SUBSTITUTE(SUBSTITUTE(SUBSTITUTE(TRIM('월 가계부'!A2481),"년","-"),"월","-"),"일",""),".","-"),"/","-")," ","-"),"--","-"),"--","-"),"--","-")&amp;"-","")</f>
        <v/>
      </c>
      <c r="CI2481">
        <f>IFERROR(IF('월 가계부'!A2481="","",IF(ISNUMBER('월 가계부'!A2481),IF(AND('월 가계부'!A2481&gt;=19000101,'월 가계부'!A2481&lt;=21001231),IF(AND(MOD(INT('월 가계부'!A2481/100),100)&gt;=1,MOD(INT('월 가계부'!A2481/100),100)&lt;=12,MOD(INT('월 가계부'!A2481),100)&gt;=1,MOD(INT('월 가계부'!A2481),100)&lt;=31),IF(MONTH(DATE(INT('월 가계부'!A2481/10000),MOD(INT('월 가계부'!A2481/100),100),MOD(INT('월 가계부'!A2481),100)))=MOD(INT('월 가계부'!A2481/100),100),DATE(INT('월 가계부'!A2481/10000),MOD(INT('월 가계부'!A2481/100),100),MOD(INT('월 가계부'!A2481),100)),""),""),IF(AND('월 가계부'!A2481&gt;=36526,'월 가계부'!A2481&lt;73051),INT('월 가계부'!A2481),"")),IF(OR(CM2481="",CN2481="",CO2481=""),"",IF(AND(CM2481&gt;=2000,CM2481&lt;=2099,CN2481&gt;=1,CN2481&lt;=12,CO2481&gt;=1,CO2481&lt;=31),IF(MONTH(DATE(CM2481,CN2481,CO2481))=CN2481,DATE(CM2481,CN2481,CO2481),""),"")))),"")</f>
        <v/>
      </c>
      <c r="CJ2481">
        <f>IFERROR(IF('월 가계부'!C2481="","",IF(ISNUMBER('월 가계부'!C2481),'월 가계부'!C2481,VALUE(SUBSTITUTE(SUBSTITUTE(SUBSTITUTE(SUBSTITUTE(TRIM('월 가계부'!C2481),",",""),"원","")," ",""),"−","-")))),"")</f>
        <v/>
      </c>
      <c r="CK2481">
        <f>IF(ISNUMBER(CI2481),IF(CI2481&lt;$B$13,CI2481,""),"")</f>
        <v/>
      </c>
      <c r="CM2481">
        <f>IF(CH2481="","",IFERROR(IF(IF(AND(LEN(CH2481)=9,ISERROR(FIND("-",LEFT(CH2481,8))),ISNUMBER(-LEFT(CH2481,8))),VALUE(LEFT(CH2481,4)),VALUE(LEFT(CH2481,FIND("-",CH2481)-1)))&lt;100,IF(AND(LEN(CH2481)=9,ISERROR(FIND("-",LEFT(CH2481,8))),ISNUMBER(-LEFT(CH2481,8))),VALUE(LEFT(CH2481,4)),VALUE(LEFT(CH2481,FIND("-",CH2481)-1)))+2000,IF(AND(LEN(CH2481)=9,ISERROR(FIND("-",LEFT(CH2481,8))),ISNUMBER(-LEFT(CH2481,8))),VALUE(LEFT(CH2481,4)),VALUE(LEFT(CH2481,FIND("-",CH2481)-1)))),""))</f>
        <v/>
      </c>
      <c r="CN2481">
        <f>IF(CH2481="","",IFERROR(IF(AND(LEN(CH2481)=9,ISERROR(FIND("-",LEFT(CH2481,8))),ISNUMBER(-LEFT(CH2481,8))),VALUE(MID(CH2481,5,2)),VALUE(MID(CH2481,FIND("-",CH2481)+1,FIND("-",CH2481,FIND("-",CH2481)+1)-FIND("-",CH2481)-1))),""))</f>
        <v/>
      </c>
      <c r="CO2481">
        <f>IF(CH2481="","",IFERROR(IF(AND(LEN(CH2481)=9,ISERROR(FIND("-",LEFT(CH2481,8))),ISNUMBER(-LEFT(CH2481,8))),VALUE(MID(CH2481,7,2)),VALUE(MID(CH2481,FIND("-",CH2481,FIND("-",CH2481)+1)+1,FIND("-",CH2481,FIND("-",CH2481,FIND("-",CH2481)+1)+1)-FIND("-",CH2481,FIND("-",CH2481)+1)-1))),""))</f>
        <v/>
      </c>
    </row>
    <row r="2482">
      <c r="CH2482">
        <f>IF(ISTEXT('월 가계부'!A2482),SUBSTITUTE(SUBSTITUTE(SUBSTITUTE(SUBSTITUTE(SUBSTITUTE(SUBSTITUTE(SUBSTITUTE(SUBSTITUTE(SUBSTITUTE(TRIM('월 가계부'!A2482),"년","-"),"월","-"),"일",""),".","-"),"/","-")," ","-"),"--","-"),"--","-"),"--","-")&amp;"-","")</f>
        <v/>
      </c>
      <c r="CI2482">
        <f>IFERROR(IF('월 가계부'!A2482="","",IF(ISNUMBER('월 가계부'!A2482),IF(AND('월 가계부'!A2482&gt;=19000101,'월 가계부'!A2482&lt;=21001231),IF(AND(MOD(INT('월 가계부'!A2482/100),100)&gt;=1,MOD(INT('월 가계부'!A2482/100),100)&lt;=12,MOD(INT('월 가계부'!A2482),100)&gt;=1,MOD(INT('월 가계부'!A2482),100)&lt;=31),IF(MONTH(DATE(INT('월 가계부'!A2482/10000),MOD(INT('월 가계부'!A2482/100),100),MOD(INT('월 가계부'!A2482),100)))=MOD(INT('월 가계부'!A2482/100),100),DATE(INT('월 가계부'!A2482/10000),MOD(INT('월 가계부'!A2482/100),100),MOD(INT('월 가계부'!A2482),100)),""),""),IF(AND('월 가계부'!A2482&gt;=36526,'월 가계부'!A2482&lt;73051),INT('월 가계부'!A2482),"")),IF(OR(CM2482="",CN2482="",CO2482=""),"",IF(AND(CM2482&gt;=2000,CM2482&lt;=2099,CN2482&gt;=1,CN2482&lt;=12,CO2482&gt;=1,CO2482&lt;=31),IF(MONTH(DATE(CM2482,CN2482,CO2482))=CN2482,DATE(CM2482,CN2482,CO2482),""),"")))),"")</f>
        <v/>
      </c>
      <c r="CJ2482">
        <f>IFERROR(IF('월 가계부'!C2482="","",IF(ISNUMBER('월 가계부'!C2482),'월 가계부'!C2482,VALUE(SUBSTITUTE(SUBSTITUTE(SUBSTITUTE(SUBSTITUTE(TRIM('월 가계부'!C2482),",",""),"원","")," ",""),"−","-")))),"")</f>
        <v/>
      </c>
      <c r="CK2482">
        <f>IF(ISNUMBER(CI2482),IF(CI2482&lt;$B$13,CI2482,""),"")</f>
        <v/>
      </c>
      <c r="CM2482">
        <f>IF(CH2482="","",IFERROR(IF(IF(AND(LEN(CH2482)=9,ISERROR(FIND("-",LEFT(CH2482,8))),ISNUMBER(-LEFT(CH2482,8))),VALUE(LEFT(CH2482,4)),VALUE(LEFT(CH2482,FIND("-",CH2482)-1)))&lt;100,IF(AND(LEN(CH2482)=9,ISERROR(FIND("-",LEFT(CH2482,8))),ISNUMBER(-LEFT(CH2482,8))),VALUE(LEFT(CH2482,4)),VALUE(LEFT(CH2482,FIND("-",CH2482)-1)))+2000,IF(AND(LEN(CH2482)=9,ISERROR(FIND("-",LEFT(CH2482,8))),ISNUMBER(-LEFT(CH2482,8))),VALUE(LEFT(CH2482,4)),VALUE(LEFT(CH2482,FIND("-",CH2482)-1)))),""))</f>
        <v/>
      </c>
      <c r="CN2482">
        <f>IF(CH2482="","",IFERROR(IF(AND(LEN(CH2482)=9,ISERROR(FIND("-",LEFT(CH2482,8))),ISNUMBER(-LEFT(CH2482,8))),VALUE(MID(CH2482,5,2)),VALUE(MID(CH2482,FIND("-",CH2482)+1,FIND("-",CH2482,FIND("-",CH2482)+1)-FIND("-",CH2482)-1))),""))</f>
        <v/>
      </c>
      <c r="CO2482">
        <f>IF(CH2482="","",IFERROR(IF(AND(LEN(CH2482)=9,ISERROR(FIND("-",LEFT(CH2482,8))),ISNUMBER(-LEFT(CH2482,8))),VALUE(MID(CH2482,7,2)),VALUE(MID(CH2482,FIND("-",CH2482,FIND("-",CH2482)+1)+1,FIND("-",CH2482,FIND("-",CH2482,FIND("-",CH2482)+1)+1)-FIND("-",CH2482,FIND("-",CH2482)+1)-1))),""))</f>
        <v/>
      </c>
    </row>
    <row r="2483">
      <c r="CH2483">
        <f>IF(ISTEXT('월 가계부'!A2483),SUBSTITUTE(SUBSTITUTE(SUBSTITUTE(SUBSTITUTE(SUBSTITUTE(SUBSTITUTE(SUBSTITUTE(SUBSTITUTE(SUBSTITUTE(TRIM('월 가계부'!A2483),"년","-"),"월","-"),"일",""),".","-"),"/","-")," ","-"),"--","-"),"--","-"),"--","-")&amp;"-","")</f>
        <v/>
      </c>
      <c r="CI2483">
        <f>IFERROR(IF('월 가계부'!A2483="","",IF(ISNUMBER('월 가계부'!A2483),IF(AND('월 가계부'!A2483&gt;=19000101,'월 가계부'!A2483&lt;=21001231),IF(AND(MOD(INT('월 가계부'!A2483/100),100)&gt;=1,MOD(INT('월 가계부'!A2483/100),100)&lt;=12,MOD(INT('월 가계부'!A2483),100)&gt;=1,MOD(INT('월 가계부'!A2483),100)&lt;=31),IF(MONTH(DATE(INT('월 가계부'!A2483/10000),MOD(INT('월 가계부'!A2483/100),100),MOD(INT('월 가계부'!A2483),100)))=MOD(INT('월 가계부'!A2483/100),100),DATE(INT('월 가계부'!A2483/10000),MOD(INT('월 가계부'!A2483/100),100),MOD(INT('월 가계부'!A2483),100)),""),""),IF(AND('월 가계부'!A2483&gt;=36526,'월 가계부'!A2483&lt;73051),INT('월 가계부'!A2483),"")),IF(OR(CM2483="",CN2483="",CO2483=""),"",IF(AND(CM2483&gt;=2000,CM2483&lt;=2099,CN2483&gt;=1,CN2483&lt;=12,CO2483&gt;=1,CO2483&lt;=31),IF(MONTH(DATE(CM2483,CN2483,CO2483))=CN2483,DATE(CM2483,CN2483,CO2483),""),"")))),"")</f>
        <v/>
      </c>
      <c r="CJ2483">
        <f>IFERROR(IF('월 가계부'!C2483="","",IF(ISNUMBER('월 가계부'!C2483),'월 가계부'!C2483,VALUE(SUBSTITUTE(SUBSTITUTE(SUBSTITUTE(SUBSTITUTE(TRIM('월 가계부'!C2483),",",""),"원","")," ",""),"−","-")))),"")</f>
        <v/>
      </c>
      <c r="CK2483">
        <f>IF(ISNUMBER(CI2483),IF(CI2483&lt;$B$13,CI2483,""),"")</f>
        <v/>
      </c>
      <c r="CM2483">
        <f>IF(CH2483="","",IFERROR(IF(IF(AND(LEN(CH2483)=9,ISERROR(FIND("-",LEFT(CH2483,8))),ISNUMBER(-LEFT(CH2483,8))),VALUE(LEFT(CH2483,4)),VALUE(LEFT(CH2483,FIND("-",CH2483)-1)))&lt;100,IF(AND(LEN(CH2483)=9,ISERROR(FIND("-",LEFT(CH2483,8))),ISNUMBER(-LEFT(CH2483,8))),VALUE(LEFT(CH2483,4)),VALUE(LEFT(CH2483,FIND("-",CH2483)-1)))+2000,IF(AND(LEN(CH2483)=9,ISERROR(FIND("-",LEFT(CH2483,8))),ISNUMBER(-LEFT(CH2483,8))),VALUE(LEFT(CH2483,4)),VALUE(LEFT(CH2483,FIND("-",CH2483)-1)))),""))</f>
        <v/>
      </c>
      <c r="CN2483">
        <f>IF(CH2483="","",IFERROR(IF(AND(LEN(CH2483)=9,ISERROR(FIND("-",LEFT(CH2483,8))),ISNUMBER(-LEFT(CH2483,8))),VALUE(MID(CH2483,5,2)),VALUE(MID(CH2483,FIND("-",CH2483)+1,FIND("-",CH2483,FIND("-",CH2483)+1)-FIND("-",CH2483)-1))),""))</f>
        <v/>
      </c>
      <c r="CO2483">
        <f>IF(CH2483="","",IFERROR(IF(AND(LEN(CH2483)=9,ISERROR(FIND("-",LEFT(CH2483,8))),ISNUMBER(-LEFT(CH2483,8))),VALUE(MID(CH2483,7,2)),VALUE(MID(CH2483,FIND("-",CH2483,FIND("-",CH2483)+1)+1,FIND("-",CH2483,FIND("-",CH2483,FIND("-",CH2483)+1)+1)-FIND("-",CH2483,FIND("-",CH2483)+1)-1))),""))</f>
        <v/>
      </c>
    </row>
    <row r="2484">
      <c r="CH2484">
        <f>IF(ISTEXT('월 가계부'!A2484),SUBSTITUTE(SUBSTITUTE(SUBSTITUTE(SUBSTITUTE(SUBSTITUTE(SUBSTITUTE(SUBSTITUTE(SUBSTITUTE(SUBSTITUTE(TRIM('월 가계부'!A2484),"년","-"),"월","-"),"일",""),".","-"),"/","-")," ","-"),"--","-"),"--","-"),"--","-")&amp;"-","")</f>
        <v/>
      </c>
      <c r="CI2484">
        <f>IFERROR(IF('월 가계부'!A2484="","",IF(ISNUMBER('월 가계부'!A2484),IF(AND('월 가계부'!A2484&gt;=19000101,'월 가계부'!A2484&lt;=21001231),IF(AND(MOD(INT('월 가계부'!A2484/100),100)&gt;=1,MOD(INT('월 가계부'!A2484/100),100)&lt;=12,MOD(INT('월 가계부'!A2484),100)&gt;=1,MOD(INT('월 가계부'!A2484),100)&lt;=31),IF(MONTH(DATE(INT('월 가계부'!A2484/10000),MOD(INT('월 가계부'!A2484/100),100),MOD(INT('월 가계부'!A2484),100)))=MOD(INT('월 가계부'!A2484/100),100),DATE(INT('월 가계부'!A2484/10000),MOD(INT('월 가계부'!A2484/100),100),MOD(INT('월 가계부'!A2484),100)),""),""),IF(AND('월 가계부'!A2484&gt;=36526,'월 가계부'!A2484&lt;73051),INT('월 가계부'!A2484),"")),IF(OR(CM2484="",CN2484="",CO2484=""),"",IF(AND(CM2484&gt;=2000,CM2484&lt;=2099,CN2484&gt;=1,CN2484&lt;=12,CO2484&gt;=1,CO2484&lt;=31),IF(MONTH(DATE(CM2484,CN2484,CO2484))=CN2484,DATE(CM2484,CN2484,CO2484),""),"")))),"")</f>
        <v/>
      </c>
      <c r="CJ2484">
        <f>IFERROR(IF('월 가계부'!C2484="","",IF(ISNUMBER('월 가계부'!C2484),'월 가계부'!C2484,VALUE(SUBSTITUTE(SUBSTITUTE(SUBSTITUTE(SUBSTITUTE(TRIM('월 가계부'!C2484),",",""),"원","")," ",""),"−","-")))),"")</f>
        <v/>
      </c>
      <c r="CK2484">
        <f>IF(ISNUMBER(CI2484),IF(CI2484&lt;$B$13,CI2484,""),"")</f>
        <v/>
      </c>
      <c r="CM2484">
        <f>IF(CH2484="","",IFERROR(IF(IF(AND(LEN(CH2484)=9,ISERROR(FIND("-",LEFT(CH2484,8))),ISNUMBER(-LEFT(CH2484,8))),VALUE(LEFT(CH2484,4)),VALUE(LEFT(CH2484,FIND("-",CH2484)-1)))&lt;100,IF(AND(LEN(CH2484)=9,ISERROR(FIND("-",LEFT(CH2484,8))),ISNUMBER(-LEFT(CH2484,8))),VALUE(LEFT(CH2484,4)),VALUE(LEFT(CH2484,FIND("-",CH2484)-1)))+2000,IF(AND(LEN(CH2484)=9,ISERROR(FIND("-",LEFT(CH2484,8))),ISNUMBER(-LEFT(CH2484,8))),VALUE(LEFT(CH2484,4)),VALUE(LEFT(CH2484,FIND("-",CH2484)-1)))),""))</f>
        <v/>
      </c>
      <c r="CN2484">
        <f>IF(CH2484="","",IFERROR(IF(AND(LEN(CH2484)=9,ISERROR(FIND("-",LEFT(CH2484,8))),ISNUMBER(-LEFT(CH2484,8))),VALUE(MID(CH2484,5,2)),VALUE(MID(CH2484,FIND("-",CH2484)+1,FIND("-",CH2484,FIND("-",CH2484)+1)-FIND("-",CH2484)-1))),""))</f>
        <v/>
      </c>
      <c r="CO2484">
        <f>IF(CH2484="","",IFERROR(IF(AND(LEN(CH2484)=9,ISERROR(FIND("-",LEFT(CH2484,8))),ISNUMBER(-LEFT(CH2484,8))),VALUE(MID(CH2484,7,2)),VALUE(MID(CH2484,FIND("-",CH2484,FIND("-",CH2484)+1)+1,FIND("-",CH2484,FIND("-",CH2484,FIND("-",CH2484)+1)+1)-FIND("-",CH2484,FIND("-",CH2484)+1)-1))),""))</f>
        <v/>
      </c>
    </row>
    <row r="2485">
      <c r="CH2485">
        <f>IF(ISTEXT('월 가계부'!A2485),SUBSTITUTE(SUBSTITUTE(SUBSTITUTE(SUBSTITUTE(SUBSTITUTE(SUBSTITUTE(SUBSTITUTE(SUBSTITUTE(SUBSTITUTE(TRIM('월 가계부'!A2485),"년","-"),"월","-"),"일",""),".","-"),"/","-")," ","-"),"--","-"),"--","-"),"--","-")&amp;"-","")</f>
        <v/>
      </c>
      <c r="CI2485">
        <f>IFERROR(IF('월 가계부'!A2485="","",IF(ISNUMBER('월 가계부'!A2485),IF(AND('월 가계부'!A2485&gt;=19000101,'월 가계부'!A2485&lt;=21001231),IF(AND(MOD(INT('월 가계부'!A2485/100),100)&gt;=1,MOD(INT('월 가계부'!A2485/100),100)&lt;=12,MOD(INT('월 가계부'!A2485),100)&gt;=1,MOD(INT('월 가계부'!A2485),100)&lt;=31),IF(MONTH(DATE(INT('월 가계부'!A2485/10000),MOD(INT('월 가계부'!A2485/100),100),MOD(INT('월 가계부'!A2485),100)))=MOD(INT('월 가계부'!A2485/100),100),DATE(INT('월 가계부'!A2485/10000),MOD(INT('월 가계부'!A2485/100),100),MOD(INT('월 가계부'!A2485),100)),""),""),IF(AND('월 가계부'!A2485&gt;=36526,'월 가계부'!A2485&lt;73051),INT('월 가계부'!A2485),"")),IF(OR(CM2485="",CN2485="",CO2485=""),"",IF(AND(CM2485&gt;=2000,CM2485&lt;=2099,CN2485&gt;=1,CN2485&lt;=12,CO2485&gt;=1,CO2485&lt;=31),IF(MONTH(DATE(CM2485,CN2485,CO2485))=CN2485,DATE(CM2485,CN2485,CO2485),""),"")))),"")</f>
        <v/>
      </c>
      <c r="CJ2485">
        <f>IFERROR(IF('월 가계부'!C2485="","",IF(ISNUMBER('월 가계부'!C2485),'월 가계부'!C2485,VALUE(SUBSTITUTE(SUBSTITUTE(SUBSTITUTE(SUBSTITUTE(TRIM('월 가계부'!C2485),",",""),"원","")," ",""),"−","-")))),"")</f>
        <v/>
      </c>
      <c r="CK2485">
        <f>IF(ISNUMBER(CI2485),IF(CI2485&lt;$B$13,CI2485,""),"")</f>
        <v/>
      </c>
      <c r="CM2485">
        <f>IF(CH2485="","",IFERROR(IF(IF(AND(LEN(CH2485)=9,ISERROR(FIND("-",LEFT(CH2485,8))),ISNUMBER(-LEFT(CH2485,8))),VALUE(LEFT(CH2485,4)),VALUE(LEFT(CH2485,FIND("-",CH2485)-1)))&lt;100,IF(AND(LEN(CH2485)=9,ISERROR(FIND("-",LEFT(CH2485,8))),ISNUMBER(-LEFT(CH2485,8))),VALUE(LEFT(CH2485,4)),VALUE(LEFT(CH2485,FIND("-",CH2485)-1)))+2000,IF(AND(LEN(CH2485)=9,ISERROR(FIND("-",LEFT(CH2485,8))),ISNUMBER(-LEFT(CH2485,8))),VALUE(LEFT(CH2485,4)),VALUE(LEFT(CH2485,FIND("-",CH2485)-1)))),""))</f>
        <v/>
      </c>
      <c r="CN2485">
        <f>IF(CH2485="","",IFERROR(IF(AND(LEN(CH2485)=9,ISERROR(FIND("-",LEFT(CH2485,8))),ISNUMBER(-LEFT(CH2485,8))),VALUE(MID(CH2485,5,2)),VALUE(MID(CH2485,FIND("-",CH2485)+1,FIND("-",CH2485,FIND("-",CH2485)+1)-FIND("-",CH2485)-1))),""))</f>
        <v/>
      </c>
      <c r="CO2485">
        <f>IF(CH2485="","",IFERROR(IF(AND(LEN(CH2485)=9,ISERROR(FIND("-",LEFT(CH2485,8))),ISNUMBER(-LEFT(CH2485,8))),VALUE(MID(CH2485,7,2)),VALUE(MID(CH2485,FIND("-",CH2485,FIND("-",CH2485)+1)+1,FIND("-",CH2485,FIND("-",CH2485,FIND("-",CH2485)+1)+1)-FIND("-",CH2485,FIND("-",CH2485)+1)-1))),""))</f>
        <v/>
      </c>
    </row>
    <row r="2486">
      <c r="CH2486">
        <f>IF(ISTEXT('월 가계부'!A2486),SUBSTITUTE(SUBSTITUTE(SUBSTITUTE(SUBSTITUTE(SUBSTITUTE(SUBSTITUTE(SUBSTITUTE(SUBSTITUTE(SUBSTITUTE(TRIM('월 가계부'!A2486),"년","-"),"월","-"),"일",""),".","-"),"/","-")," ","-"),"--","-"),"--","-"),"--","-")&amp;"-","")</f>
        <v/>
      </c>
      <c r="CI2486">
        <f>IFERROR(IF('월 가계부'!A2486="","",IF(ISNUMBER('월 가계부'!A2486),IF(AND('월 가계부'!A2486&gt;=19000101,'월 가계부'!A2486&lt;=21001231),IF(AND(MOD(INT('월 가계부'!A2486/100),100)&gt;=1,MOD(INT('월 가계부'!A2486/100),100)&lt;=12,MOD(INT('월 가계부'!A2486),100)&gt;=1,MOD(INT('월 가계부'!A2486),100)&lt;=31),IF(MONTH(DATE(INT('월 가계부'!A2486/10000),MOD(INT('월 가계부'!A2486/100),100),MOD(INT('월 가계부'!A2486),100)))=MOD(INT('월 가계부'!A2486/100),100),DATE(INT('월 가계부'!A2486/10000),MOD(INT('월 가계부'!A2486/100),100),MOD(INT('월 가계부'!A2486),100)),""),""),IF(AND('월 가계부'!A2486&gt;=36526,'월 가계부'!A2486&lt;73051),INT('월 가계부'!A2486),"")),IF(OR(CM2486="",CN2486="",CO2486=""),"",IF(AND(CM2486&gt;=2000,CM2486&lt;=2099,CN2486&gt;=1,CN2486&lt;=12,CO2486&gt;=1,CO2486&lt;=31),IF(MONTH(DATE(CM2486,CN2486,CO2486))=CN2486,DATE(CM2486,CN2486,CO2486),""),"")))),"")</f>
        <v/>
      </c>
      <c r="CJ2486">
        <f>IFERROR(IF('월 가계부'!C2486="","",IF(ISNUMBER('월 가계부'!C2486),'월 가계부'!C2486,VALUE(SUBSTITUTE(SUBSTITUTE(SUBSTITUTE(SUBSTITUTE(TRIM('월 가계부'!C2486),",",""),"원","")," ",""),"−","-")))),"")</f>
        <v/>
      </c>
      <c r="CK2486">
        <f>IF(ISNUMBER(CI2486),IF(CI2486&lt;$B$13,CI2486,""),"")</f>
        <v/>
      </c>
      <c r="CM2486">
        <f>IF(CH2486="","",IFERROR(IF(IF(AND(LEN(CH2486)=9,ISERROR(FIND("-",LEFT(CH2486,8))),ISNUMBER(-LEFT(CH2486,8))),VALUE(LEFT(CH2486,4)),VALUE(LEFT(CH2486,FIND("-",CH2486)-1)))&lt;100,IF(AND(LEN(CH2486)=9,ISERROR(FIND("-",LEFT(CH2486,8))),ISNUMBER(-LEFT(CH2486,8))),VALUE(LEFT(CH2486,4)),VALUE(LEFT(CH2486,FIND("-",CH2486)-1)))+2000,IF(AND(LEN(CH2486)=9,ISERROR(FIND("-",LEFT(CH2486,8))),ISNUMBER(-LEFT(CH2486,8))),VALUE(LEFT(CH2486,4)),VALUE(LEFT(CH2486,FIND("-",CH2486)-1)))),""))</f>
        <v/>
      </c>
      <c r="CN2486">
        <f>IF(CH2486="","",IFERROR(IF(AND(LEN(CH2486)=9,ISERROR(FIND("-",LEFT(CH2486,8))),ISNUMBER(-LEFT(CH2486,8))),VALUE(MID(CH2486,5,2)),VALUE(MID(CH2486,FIND("-",CH2486)+1,FIND("-",CH2486,FIND("-",CH2486)+1)-FIND("-",CH2486)-1))),""))</f>
        <v/>
      </c>
      <c r="CO2486">
        <f>IF(CH2486="","",IFERROR(IF(AND(LEN(CH2486)=9,ISERROR(FIND("-",LEFT(CH2486,8))),ISNUMBER(-LEFT(CH2486,8))),VALUE(MID(CH2486,7,2)),VALUE(MID(CH2486,FIND("-",CH2486,FIND("-",CH2486)+1)+1,FIND("-",CH2486,FIND("-",CH2486,FIND("-",CH2486)+1)+1)-FIND("-",CH2486,FIND("-",CH2486)+1)-1))),""))</f>
        <v/>
      </c>
    </row>
    <row r="2487">
      <c r="CH2487">
        <f>IF(ISTEXT('월 가계부'!A2487),SUBSTITUTE(SUBSTITUTE(SUBSTITUTE(SUBSTITUTE(SUBSTITUTE(SUBSTITUTE(SUBSTITUTE(SUBSTITUTE(SUBSTITUTE(TRIM('월 가계부'!A2487),"년","-"),"월","-"),"일",""),".","-"),"/","-")," ","-"),"--","-"),"--","-"),"--","-")&amp;"-","")</f>
        <v/>
      </c>
      <c r="CI2487">
        <f>IFERROR(IF('월 가계부'!A2487="","",IF(ISNUMBER('월 가계부'!A2487),IF(AND('월 가계부'!A2487&gt;=19000101,'월 가계부'!A2487&lt;=21001231),IF(AND(MOD(INT('월 가계부'!A2487/100),100)&gt;=1,MOD(INT('월 가계부'!A2487/100),100)&lt;=12,MOD(INT('월 가계부'!A2487),100)&gt;=1,MOD(INT('월 가계부'!A2487),100)&lt;=31),IF(MONTH(DATE(INT('월 가계부'!A2487/10000),MOD(INT('월 가계부'!A2487/100),100),MOD(INT('월 가계부'!A2487),100)))=MOD(INT('월 가계부'!A2487/100),100),DATE(INT('월 가계부'!A2487/10000),MOD(INT('월 가계부'!A2487/100),100),MOD(INT('월 가계부'!A2487),100)),""),""),IF(AND('월 가계부'!A2487&gt;=36526,'월 가계부'!A2487&lt;73051),INT('월 가계부'!A2487),"")),IF(OR(CM2487="",CN2487="",CO2487=""),"",IF(AND(CM2487&gt;=2000,CM2487&lt;=2099,CN2487&gt;=1,CN2487&lt;=12,CO2487&gt;=1,CO2487&lt;=31),IF(MONTH(DATE(CM2487,CN2487,CO2487))=CN2487,DATE(CM2487,CN2487,CO2487),""),"")))),"")</f>
        <v/>
      </c>
      <c r="CJ2487">
        <f>IFERROR(IF('월 가계부'!C2487="","",IF(ISNUMBER('월 가계부'!C2487),'월 가계부'!C2487,VALUE(SUBSTITUTE(SUBSTITUTE(SUBSTITUTE(SUBSTITUTE(TRIM('월 가계부'!C2487),",",""),"원","")," ",""),"−","-")))),"")</f>
        <v/>
      </c>
      <c r="CK2487">
        <f>IF(ISNUMBER(CI2487),IF(CI2487&lt;$B$13,CI2487,""),"")</f>
        <v/>
      </c>
      <c r="CM2487">
        <f>IF(CH2487="","",IFERROR(IF(IF(AND(LEN(CH2487)=9,ISERROR(FIND("-",LEFT(CH2487,8))),ISNUMBER(-LEFT(CH2487,8))),VALUE(LEFT(CH2487,4)),VALUE(LEFT(CH2487,FIND("-",CH2487)-1)))&lt;100,IF(AND(LEN(CH2487)=9,ISERROR(FIND("-",LEFT(CH2487,8))),ISNUMBER(-LEFT(CH2487,8))),VALUE(LEFT(CH2487,4)),VALUE(LEFT(CH2487,FIND("-",CH2487)-1)))+2000,IF(AND(LEN(CH2487)=9,ISERROR(FIND("-",LEFT(CH2487,8))),ISNUMBER(-LEFT(CH2487,8))),VALUE(LEFT(CH2487,4)),VALUE(LEFT(CH2487,FIND("-",CH2487)-1)))),""))</f>
        <v/>
      </c>
      <c r="CN2487">
        <f>IF(CH2487="","",IFERROR(IF(AND(LEN(CH2487)=9,ISERROR(FIND("-",LEFT(CH2487,8))),ISNUMBER(-LEFT(CH2487,8))),VALUE(MID(CH2487,5,2)),VALUE(MID(CH2487,FIND("-",CH2487)+1,FIND("-",CH2487,FIND("-",CH2487)+1)-FIND("-",CH2487)-1))),""))</f>
        <v/>
      </c>
      <c r="CO2487">
        <f>IF(CH2487="","",IFERROR(IF(AND(LEN(CH2487)=9,ISERROR(FIND("-",LEFT(CH2487,8))),ISNUMBER(-LEFT(CH2487,8))),VALUE(MID(CH2487,7,2)),VALUE(MID(CH2487,FIND("-",CH2487,FIND("-",CH2487)+1)+1,FIND("-",CH2487,FIND("-",CH2487,FIND("-",CH2487)+1)+1)-FIND("-",CH2487,FIND("-",CH2487)+1)-1))),""))</f>
        <v/>
      </c>
    </row>
    <row r="2488">
      <c r="CH2488">
        <f>IF(ISTEXT('월 가계부'!A2488),SUBSTITUTE(SUBSTITUTE(SUBSTITUTE(SUBSTITUTE(SUBSTITUTE(SUBSTITUTE(SUBSTITUTE(SUBSTITUTE(SUBSTITUTE(TRIM('월 가계부'!A2488),"년","-"),"월","-"),"일",""),".","-"),"/","-")," ","-"),"--","-"),"--","-"),"--","-")&amp;"-","")</f>
        <v/>
      </c>
      <c r="CI2488">
        <f>IFERROR(IF('월 가계부'!A2488="","",IF(ISNUMBER('월 가계부'!A2488),IF(AND('월 가계부'!A2488&gt;=19000101,'월 가계부'!A2488&lt;=21001231),IF(AND(MOD(INT('월 가계부'!A2488/100),100)&gt;=1,MOD(INT('월 가계부'!A2488/100),100)&lt;=12,MOD(INT('월 가계부'!A2488),100)&gt;=1,MOD(INT('월 가계부'!A2488),100)&lt;=31),IF(MONTH(DATE(INT('월 가계부'!A2488/10000),MOD(INT('월 가계부'!A2488/100),100),MOD(INT('월 가계부'!A2488),100)))=MOD(INT('월 가계부'!A2488/100),100),DATE(INT('월 가계부'!A2488/10000),MOD(INT('월 가계부'!A2488/100),100),MOD(INT('월 가계부'!A2488),100)),""),""),IF(AND('월 가계부'!A2488&gt;=36526,'월 가계부'!A2488&lt;73051),INT('월 가계부'!A2488),"")),IF(OR(CM2488="",CN2488="",CO2488=""),"",IF(AND(CM2488&gt;=2000,CM2488&lt;=2099,CN2488&gt;=1,CN2488&lt;=12,CO2488&gt;=1,CO2488&lt;=31),IF(MONTH(DATE(CM2488,CN2488,CO2488))=CN2488,DATE(CM2488,CN2488,CO2488),""),"")))),"")</f>
        <v/>
      </c>
      <c r="CJ2488">
        <f>IFERROR(IF('월 가계부'!C2488="","",IF(ISNUMBER('월 가계부'!C2488),'월 가계부'!C2488,VALUE(SUBSTITUTE(SUBSTITUTE(SUBSTITUTE(SUBSTITUTE(TRIM('월 가계부'!C2488),",",""),"원","")," ",""),"−","-")))),"")</f>
        <v/>
      </c>
      <c r="CK2488">
        <f>IF(ISNUMBER(CI2488),IF(CI2488&lt;$B$13,CI2488,""),"")</f>
        <v/>
      </c>
      <c r="CM2488">
        <f>IF(CH2488="","",IFERROR(IF(IF(AND(LEN(CH2488)=9,ISERROR(FIND("-",LEFT(CH2488,8))),ISNUMBER(-LEFT(CH2488,8))),VALUE(LEFT(CH2488,4)),VALUE(LEFT(CH2488,FIND("-",CH2488)-1)))&lt;100,IF(AND(LEN(CH2488)=9,ISERROR(FIND("-",LEFT(CH2488,8))),ISNUMBER(-LEFT(CH2488,8))),VALUE(LEFT(CH2488,4)),VALUE(LEFT(CH2488,FIND("-",CH2488)-1)))+2000,IF(AND(LEN(CH2488)=9,ISERROR(FIND("-",LEFT(CH2488,8))),ISNUMBER(-LEFT(CH2488,8))),VALUE(LEFT(CH2488,4)),VALUE(LEFT(CH2488,FIND("-",CH2488)-1)))),""))</f>
        <v/>
      </c>
      <c r="CN2488">
        <f>IF(CH2488="","",IFERROR(IF(AND(LEN(CH2488)=9,ISERROR(FIND("-",LEFT(CH2488,8))),ISNUMBER(-LEFT(CH2488,8))),VALUE(MID(CH2488,5,2)),VALUE(MID(CH2488,FIND("-",CH2488)+1,FIND("-",CH2488,FIND("-",CH2488)+1)-FIND("-",CH2488)-1))),""))</f>
        <v/>
      </c>
      <c r="CO2488">
        <f>IF(CH2488="","",IFERROR(IF(AND(LEN(CH2488)=9,ISERROR(FIND("-",LEFT(CH2488,8))),ISNUMBER(-LEFT(CH2488,8))),VALUE(MID(CH2488,7,2)),VALUE(MID(CH2488,FIND("-",CH2488,FIND("-",CH2488)+1)+1,FIND("-",CH2488,FIND("-",CH2488,FIND("-",CH2488)+1)+1)-FIND("-",CH2488,FIND("-",CH2488)+1)-1))),""))</f>
        <v/>
      </c>
    </row>
    <row r="2489">
      <c r="CH2489">
        <f>IF(ISTEXT('월 가계부'!A2489),SUBSTITUTE(SUBSTITUTE(SUBSTITUTE(SUBSTITUTE(SUBSTITUTE(SUBSTITUTE(SUBSTITUTE(SUBSTITUTE(SUBSTITUTE(TRIM('월 가계부'!A2489),"년","-"),"월","-"),"일",""),".","-"),"/","-")," ","-"),"--","-"),"--","-"),"--","-")&amp;"-","")</f>
        <v/>
      </c>
      <c r="CI2489">
        <f>IFERROR(IF('월 가계부'!A2489="","",IF(ISNUMBER('월 가계부'!A2489),IF(AND('월 가계부'!A2489&gt;=19000101,'월 가계부'!A2489&lt;=21001231),IF(AND(MOD(INT('월 가계부'!A2489/100),100)&gt;=1,MOD(INT('월 가계부'!A2489/100),100)&lt;=12,MOD(INT('월 가계부'!A2489),100)&gt;=1,MOD(INT('월 가계부'!A2489),100)&lt;=31),IF(MONTH(DATE(INT('월 가계부'!A2489/10000),MOD(INT('월 가계부'!A2489/100),100),MOD(INT('월 가계부'!A2489),100)))=MOD(INT('월 가계부'!A2489/100),100),DATE(INT('월 가계부'!A2489/10000),MOD(INT('월 가계부'!A2489/100),100),MOD(INT('월 가계부'!A2489),100)),""),""),IF(AND('월 가계부'!A2489&gt;=36526,'월 가계부'!A2489&lt;73051),INT('월 가계부'!A2489),"")),IF(OR(CM2489="",CN2489="",CO2489=""),"",IF(AND(CM2489&gt;=2000,CM2489&lt;=2099,CN2489&gt;=1,CN2489&lt;=12,CO2489&gt;=1,CO2489&lt;=31),IF(MONTH(DATE(CM2489,CN2489,CO2489))=CN2489,DATE(CM2489,CN2489,CO2489),""),"")))),"")</f>
        <v/>
      </c>
      <c r="CJ2489">
        <f>IFERROR(IF('월 가계부'!C2489="","",IF(ISNUMBER('월 가계부'!C2489),'월 가계부'!C2489,VALUE(SUBSTITUTE(SUBSTITUTE(SUBSTITUTE(SUBSTITUTE(TRIM('월 가계부'!C2489),",",""),"원","")," ",""),"−","-")))),"")</f>
        <v/>
      </c>
      <c r="CK2489">
        <f>IF(ISNUMBER(CI2489),IF(CI2489&lt;$B$13,CI2489,""),"")</f>
        <v/>
      </c>
      <c r="CM2489">
        <f>IF(CH2489="","",IFERROR(IF(IF(AND(LEN(CH2489)=9,ISERROR(FIND("-",LEFT(CH2489,8))),ISNUMBER(-LEFT(CH2489,8))),VALUE(LEFT(CH2489,4)),VALUE(LEFT(CH2489,FIND("-",CH2489)-1)))&lt;100,IF(AND(LEN(CH2489)=9,ISERROR(FIND("-",LEFT(CH2489,8))),ISNUMBER(-LEFT(CH2489,8))),VALUE(LEFT(CH2489,4)),VALUE(LEFT(CH2489,FIND("-",CH2489)-1)))+2000,IF(AND(LEN(CH2489)=9,ISERROR(FIND("-",LEFT(CH2489,8))),ISNUMBER(-LEFT(CH2489,8))),VALUE(LEFT(CH2489,4)),VALUE(LEFT(CH2489,FIND("-",CH2489)-1)))),""))</f>
        <v/>
      </c>
      <c r="CN2489">
        <f>IF(CH2489="","",IFERROR(IF(AND(LEN(CH2489)=9,ISERROR(FIND("-",LEFT(CH2489,8))),ISNUMBER(-LEFT(CH2489,8))),VALUE(MID(CH2489,5,2)),VALUE(MID(CH2489,FIND("-",CH2489)+1,FIND("-",CH2489,FIND("-",CH2489)+1)-FIND("-",CH2489)-1))),""))</f>
        <v/>
      </c>
      <c r="CO2489">
        <f>IF(CH2489="","",IFERROR(IF(AND(LEN(CH2489)=9,ISERROR(FIND("-",LEFT(CH2489,8))),ISNUMBER(-LEFT(CH2489,8))),VALUE(MID(CH2489,7,2)),VALUE(MID(CH2489,FIND("-",CH2489,FIND("-",CH2489)+1)+1,FIND("-",CH2489,FIND("-",CH2489,FIND("-",CH2489)+1)+1)-FIND("-",CH2489,FIND("-",CH2489)+1)-1))),""))</f>
        <v/>
      </c>
    </row>
    <row r="2490">
      <c r="CH2490">
        <f>IF(ISTEXT('월 가계부'!A2490),SUBSTITUTE(SUBSTITUTE(SUBSTITUTE(SUBSTITUTE(SUBSTITUTE(SUBSTITUTE(SUBSTITUTE(SUBSTITUTE(SUBSTITUTE(TRIM('월 가계부'!A2490),"년","-"),"월","-"),"일",""),".","-"),"/","-")," ","-"),"--","-"),"--","-"),"--","-")&amp;"-","")</f>
        <v/>
      </c>
      <c r="CI2490">
        <f>IFERROR(IF('월 가계부'!A2490="","",IF(ISNUMBER('월 가계부'!A2490),IF(AND('월 가계부'!A2490&gt;=19000101,'월 가계부'!A2490&lt;=21001231),IF(AND(MOD(INT('월 가계부'!A2490/100),100)&gt;=1,MOD(INT('월 가계부'!A2490/100),100)&lt;=12,MOD(INT('월 가계부'!A2490),100)&gt;=1,MOD(INT('월 가계부'!A2490),100)&lt;=31),IF(MONTH(DATE(INT('월 가계부'!A2490/10000),MOD(INT('월 가계부'!A2490/100),100),MOD(INT('월 가계부'!A2490),100)))=MOD(INT('월 가계부'!A2490/100),100),DATE(INT('월 가계부'!A2490/10000),MOD(INT('월 가계부'!A2490/100),100),MOD(INT('월 가계부'!A2490),100)),""),""),IF(AND('월 가계부'!A2490&gt;=36526,'월 가계부'!A2490&lt;73051),INT('월 가계부'!A2490),"")),IF(OR(CM2490="",CN2490="",CO2490=""),"",IF(AND(CM2490&gt;=2000,CM2490&lt;=2099,CN2490&gt;=1,CN2490&lt;=12,CO2490&gt;=1,CO2490&lt;=31),IF(MONTH(DATE(CM2490,CN2490,CO2490))=CN2490,DATE(CM2490,CN2490,CO2490),""),"")))),"")</f>
        <v/>
      </c>
      <c r="CJ2490">
        <f>IFERROR(IF('월 가계부'!C2490="","",IF(ISNUMBER('월 가계부'!C2490),'월 가계부'!C2490,VALUE(SUBSTITUTE(SUBSTITUTE(SUBSTITUTE(SUBSTITUTE(TRIM('월 가계부'!C2490),",",""),"원","")," ",""),"−","-")))),"")</f>
        <v/>
      </c>
      <c r="CK2490">
        <f>IF(ISNUMBER(CI2490),IF(CI2490&lt;$B$13,CI2490,""),"")</f>
        <v/>
      </c>
      <c r="CM2490">
        <f>IF(CH2490="","",IFERROR(IF(IF(AND(LEN(CH2490)=9,ISERROR(FIND("-",LEFT(CH2490,8))),ISNUMBER(-LEFT(CH2490,8))),VALUE(LEFT(CH2490,4)),VALUE(LEFT(CH2490,FIND("-",CH2490)-1)))&lt;100,IF(AND(LEN(CH2490)=9,ISERROR(FIND("-",LEFT(CH2490,8))),ISNUMBER(-LEFT(CH2490,8))),VALUE(LEFT(CH2490,4)),VALUE(LEFT(CH2490,FIND("-",CH2490)-1)))+2000,IF(AND(LEN(CH2490)=9,ISERROR(FIND("-",LEFT(CH2490,8))),ISNUMBER(-LEFT(CH2490,8))),VALUE(LEFT(CH2490,4)),VALUE(LEFT(CH2490,FIND("-",CH2490)-1)))),""))</f>
        <v/>
      </c>
      <c r="CN2490">
        <f>IF(CH2490="","",IFERROR(IF(AND(LEN(CH2490)=9,ISERROR(FIND("-",LEFT(CH2490,8))),ISNUMBER(-LEFT(CH2490,8))),VALUE(MID(CH2490,5,2)),VALUE(MID(CH2490,FIND("-",CH2490)+1,FIND("-",CH2490,FIND("-",CH2490)+1)-FIND("-",CH2490)-1))),""))</f>
        <v/>
      </c>
      <c r="CO2490">
        <f>IF(CH2490="","",IFERROR(IF(AND(LEN(CH2490)=9,ISERROR(FIND("-",LEFT(CH2490,8))),ISNUMBER(-LEFT(CH2490,8))),VALUE(MID(CH2490,7,2)),VALUE(MID(CH2490,FIND("-",CH2490,FIND("-",CH2490)+1)+1,FIND("-",CH2490,FIND("-",CH2490,FIND("-",CH2490)+1)+1)-FIND("-",CH2490,FIND("-",CH2490)+1)-1))),""))</f>
        <v/>
      </c>
    </row>
    <row r="2491">
      <c r="CH2491">
        <f>IF(ISTEXT('월 가계부'!A2491),SUBSTITUTE(SUBSTITUTE(SUBSTITUTE(SUBSTITUTE(SUBSTITUTE(SUBSTITUTE(SUBSTITUTE(SUBSTITUTE(SUBSTITUTE(TRIM('월 가계부'!A2491),"년","-"),"월","-"),"일",""),".","-"),"/","-")," ","-"),"--","-"),"--","-"),"--","-")&amp;"-","")</f>
        <v/>
      </c>
      <c r="CI2491">
        <f>IFERROR(IF('월 가계부'!A2491="","",IF(ISNUMBER('월 가계부'!A2491),IF(AND('월 가계부'!A2491&gt;=19000101,'월 가계부'!A2491&lt;=21001231),IF(AND(MOD(INT('월 가계부'!A2491/100),100)&gt;=1,MOD(INT('월 가계부'!A2491/100),100)&lt;=12,MOD(INT('월 가계부'!A2491),100)&gt;=1,MOD(INT('월 가계부'!A2491),100)&lt;=31),IF(MONTH(DATE(INT('월 가계부'!A2491/10000),MOD(INT('월 가계부'!A2491/100),100),MOD(INT('월 가계부'!A2491),100)))=MOD(INT('월 가계부'!A2491/100),100),DATE(INT('월 가계부'!A2491/10000),MOD(INT('월 가계부'!A2491/100),100),MOD(INT('월 가계부'!A2491),100)),""),""),IF(AND('월 가계부'!A2491&gt;=36526,'월 가계부'!A2491&lt;73051),INT('월 가계부'!A2491),"")),IF(OR(CM2491="",CN2491="",CO2491=""),"",IF(AND(CM2491&gt;=2000,CM2491&lt;=2099,CN2491&gt;=1,CN2491&lt;=12,CO2491&gt;=1,CO2491&lt;=31),IF(MONTH(DATE(CM2491,CN2491,CO2491))=CN2491,DATE(CM2491,CN2491,CO2491),""),"")))),"")</f>
        <v/>
      </c>
      <c r="CJ2491">
        <f>IFERROR(IF('월 가계부'!C2491="","",IF(ISNUMBER('월 가계부'!C2491),'월 가계부'!C2491,VALUE(SUBSTITUTE(SUBSTITUTE(SUBSTITUTE(SUBSTITUTE(TRIM('월 가계부'!C2491),",",""),"원","")," ",""),"−","-")))),"")</f>
        <v/>
      </c>
      <c r="CK2491">
        <f>IF(ISNUMBER(CI2491),IF(CI2491&lt;$B$13,CI2491,""),"")</f>
        <v/>
      </c>
      <c r="CM2491">
        <f>IF(CH2491="","",IFERROR(IF(IF(AND(LEN(CH2491)=9,ISERROR(FIND("-",LEFT(CH2491,8))),ISNUMBER(-LEFT(CH2491,8))),VALUE(LEFT(CH2491,4)),VALUE(LEFT(CH2491,FIND("-",CH2491)-1)))&lt;100,IF(AND(LEN(CH2491)=9,ISERROR(FIND("-",LEFT(CH2491,8))),ISNUMBER(-LEFT(CH2491,8))),VALUE(LEFT(CH2491,4)),VALUE(LEFT(CH2491,FIND("-",CH2491)-1)))+2000,IF(AND(LEN(CH2491)=9,ISERROR(FIND("-",LEFT(CH2491,8))),ISNUMBER(-LEFT(CH2491,8))),VALUE(LEFT(CH2491,4)),VALUE(LEFT(CH2491,FIND("-",CH2491)-1)))),""))</f>
        <v/>
      </c>
      <c r="CN2491">
        <f>IF(CH2491="","",IFERROR(IF(AND(LEN(CH2491)=9,ISERROR(FIND("-",LEFT(CH2491,8))),ISNUMBER(-LEFT(CH2491,8))),VALUE(MID(CH2491,5,2)),VALUE(MID(CH2491,FIND("-",CH2491)+1,FIND("-",CH2491,FIND("-",CH2491)+1)-FIND("-",CH2491)-1))),""))</f>
        <v/>
      </c>
      <c r="CO2491">
        <f>IF(CH2491="","",IFERROR(IF(AND(LEN(CH2491)=9,ISERROR(FIND("-",LEFT(CH2491,8))),ISNUMBER(-LEFT(CH2491,8))),VALUE(MID(CH2491,7,2)),VALUE(MID(CH2491,FIND("-",CH2491,FIND("-",CH2491)+1)+1,FIND("-",CH2491,FIND("-",CH2491,FIND("-",CH2491)+1)+1)-FIND("-",CH2491,FIND("-",CH2491)+1)-1))),""))</f>
        <v/>
      </c>
    </row>
    <row r="2492">
      <c r="CH2492">
        <f>IF(ISTEXT('월 가계부'!A2492),SUBSTITUTE(SUBSTITUTE(SUBSTITUTE(SUBSTITUTE(SUBSTITUTE(SUBSTITUTE(SUBSTITUTE(SUBSTITUTE(SUBSTITUTE(TRIM('월 가계부'!A2492),"년","-"),"월","-"),"일",""),".","-"),"/","-")," ","-"),"--","-"),"--","-"),"--","-")&amp;"-","")</f>
        <v/>
      </c>
      <c r="CI2492">
        <f>IFERROR(IF('월 가계부'!A2492="","",IF(ISNUMBER('월 가계부'!A2492),IF(AND('월 가계부'!A2492&gt;=19000101,'월 가계부'!A2492&lt;=21001231),IF(AND(MOD(INT('월 가계부'!A2492/100),100)&gt;=1,MOD(INT('월 가계부'!A2492/100),100)&lt;=12,MOD(INT('월 가계부'!A2492),100)&gt;=1,MOD(INT('월 가계부'!A2492),100)&lt;=31),IF(MONTH(DATE(INT('월 가계부'!A2492/10000),MOD(INT('월 가계부'!A2492/100),100),MOD(INT('월 가계부'!A2492),100)))=MOD(INT('월 가계부'!A2492/100),100),DATE(INT('월 가계부'!A2492/10000),MOD(INT('월 가계부'!A2492/100),100),MOD(INT('월 가계부'!A2492),100)),""),""),IF(AND('월 가계부'!A2492&gt;=36526,'월 가계부'!A2492&lt;73051),INT('월 가계부'!A2492),"")),IF(OR(CM2492="",CN2492="",CO2492=""),"",IF(AND(CM2492&gt;=2000,CM2492&lt;=2099,CN2492&gt;=1,CN2492&lt;=12,CO2492&gt;=1,CO2492&lt;=31),IF(MONTH(DATE(CM2492,CN2492,CO2492))=CN2492,DATE(CM2492,CN2492,CO2492),""),"")))),"")</f>
        <v/>
      </c>
      <c r="CJ2492">
        <f>IFERROR(IF('월 가계부'!C2492="","",IF(ISNUMBER('월 가계부'!C2492),'월 가계부'!C2492,VALUE(SUBSTITUTE(SUBSTITUTE(SUBSTITUTE(SUBSTITUTE(TRIM('월 가계부'!C2492),",",""),"원","")," ",""),"−","-")))),"")</f>
        <v/>
      </c>
      <c r="CK2492">
        <f>IF(ISNUMBER(CI2492),IF(CI2492&lt;$B$13,CI2492,""),"")</f>
        <v/>
      </c>
      <c r="CM2492">
        <f>IF(CH2492="","",IFERROR(IF(IF(AND(LEN(CH2492)=9,ISERROR(FIND("-",LEFT(CH2492,8))),ISNUMBER(-LEFT(CH2492,8))),VALUE(LEFT(CH2492,4)),VALUE(LEFT(CH2492,FIND("-",CH2492)-1)))&lt;100,IF(AND(LEN(CH2492)=9,ISERROR(FIND("-",LEFT(CH2492,8))),ISNUMBER(-LEFT(CH2492,8))),VALUE(LEFT(CH2492,4)),VALUE(LEFT(CH2492,FIND("-",CH2492)-1)))+2000,IF(AND(LEN(CH2492)=9,ISERROR(FIND("-",LEFT(CH2492,8))),ISNUMBER(-LEFT(CH2492,8))),VALUE(LEFT(CH2492,4)),VALUE(LEFT(CH2492,FIND("-",CH2492)-1)))),""))</f>
        <v/>
      </c>
      <c r="CN2492">
        <f>IF(CH2492="","",IFERROR(IF(AND(LEN(CH2492)=9,ISERROR(FIND("-",LEFT(CH2492,8))),ISNUMBER(-LEFT(CH2492,8))),VALUE(MID(CH2492,5,2)),VALUE(MID(CH2492,FIND("-",CH2492)+1,FIND("-",CH2492,FIND("-",CH2492)+1)-FIND("-",CH2492)-1))),""))</f>
        <v/>
      </c>
      <c r="CO2492">
        <f>IF(CH2492="","",IFERROR(IF(AND(LEN(CH2492)=9,ISERROR(FIND("-",LEFT(CH2492,8))),ISNUMBER(-LEFT(CH2492,8))),VALUE(MID(CH2492,7,2)),VALUE(MID(CH2492,FIND("-",CH2492,FIND("-",CH2492)+1)+1,FIND("-",CH2492,FIND("-",CH2492,FIND("-",CH2492)+1)+1)-FIND("-",CH2492,FIND("-",CH2492)+1)-1))),""))</f>
        <v/>
      </c>
    </row>
    <row r="2493">
      <c r="CH2493">
        <f>IF(ISTEXT('월 가계부'!A2493),SUBSTITUTE(SUBSTITUTE(SUBSTITUTE(SUBSTITUTE(SUBSTITUTE(SUBSTITUTE(SUBSTITUTE(SUBSTITUTE(SUBSTITUTE(TRIM('월 가계부'!A2493),"년","-"),"월","-"),"일",""),".","-"),"/","-")," ","-"),"--","-"),"--","-"),"--","-")&amp;"-","")</f>
        <v/>
      </c>
      <c r="CI2493">
        <f>IFERROR(IF('월 가계부'!A2493="","",IF(ISNUMBER('월 가계부'!A2493),IF(AND('월 가계부'!A2493&gt;=19000101,'월 가계부'!A2493&lt;=21001231),IF(AND(MOD(INT('월 가계부'!A2493/100),100)&gt;=1,MOD(INT('월 가계부'!A2493/100),100)&lt;=12,MOD(INT('월 가계부'!A2493),100)&gt;=1,MOD(INT('월 가계부'!A2493),100)&lt;=31),IF(MONTH(DATE(INT('월 가계부'!A2493/10000),MOD(INT('월 가계부'!A2493/100),100),MOD(INT('월 가계부'!A2493),100)))=MOD(INT('월 가계부'!A2493/100),100),DATE(INT('월 가계부'!A2493/10000),MOD(INT('월 가계부'!A2493/100),100),MOD(INT('월 가계부'!A2493),100)),""),""),IF(AND('월 가계부'!A2493&gt;=36526,'월 가계부'!A2493&lt;73051),INT('월 가계부'!A2493),"")),IF(OR(CM2493="",CN2493="",CO2493=""),"",IF(AND(CM2493&gt;=2000,CM2493&lt;=2099,CN2493&gt;=1,CN2493&lt;=12,CO2493&gt;=1,CO2493&lt;=31),IF(MONTH(DATE(CM2493,CN2493,CO2493))=CN2493,DATE(CM2493,CN2493,CO2493),""),"")))),"")</f>
        <v/>
      </c>
      <c r="CJ2493">
        <f>IFERROR(IF('월 가계부'!C2493="","",IF(ISNUMBER('월 가계부'!C2493),'월 가계부'!C2493,VALUE(SUBSTITUTE(SUBSTITUTE(SUBSTITUTE(SUBSTITUTE(TRIM('월 가계부'!C2493),",",""),"원","")," ",""),"−","-")))),"")</f>
        <v/>
      </c>
      <c r="CK2493">
        <f>IF(ISNUMBER(CI2493),IF(CI2493&lt;$B$13,CI2493,""),"")</f>
        <v/>
      </c>
      <c r="CM2493">
        <f>IF(CH2493="","",IFERROR(IF(IF(AND(LEN(CH2493)=9,ISERROR(FIND("-",LEFT(CH2493,8))),ISNUMBER(-LEFT(CH2493,8))),VALUE(LEFT(CH2493,4)),VALUE(LEFT(CH2493,FIND("-",CH2493)-1)))&lt;100,IF(AND(LEN(CH2493)=9,ISERROR(FIND("-",LEFT(CH2493,8))),ISNUMBER(-LEFT(CH2493,8))),VALUE(LEFT(CH2493,4)),VALUE(LEFT(CH2493,FIND("-",CH2493)-1)))+2000,IF(AND(LEN(CH2493)=9,ISERROR(FIND("-",LEFT(CH2493,8))),ISNUMBER(-LEFT(CH2493,8))),VALUE(LEFT(CH2493,4)),VALUE(LEFT(CH2493,FIND("-",CH2493)-1)))),""))</f>
        <v/>
      </c>
      <c r="CN2493">
        <f>IF(CH2493="","",IFERROR(IF(AND(LEN(CH2493)=9,ISERROR(FIND("-",LEFT(CH2493,8))),ISNUMBER(-LEFT(CH2493,8))),VALUE(MID(CH2493,5,2)),VALUE(MID(CH2493,FIND("-",CH2493)+1,FIND("-",CH2493,FIND("-",CH2493)+1)-FIND("-",CH2493)-1))),""))</f>
        <v/>
      </c>
      <c r="CO2493">
        <f>IF(CH2493="","",IFERROR(IF(AND(LEN(CH2493)=9,ISERROR(FIND("-",LEFT(CH2493,8))),ISNUMBER(-LEFT(CH2493,8))),VALUE(MID(CH2493,7,2)),VALUE(MID(CH2493,FIND("-",CH2493,FIND("-",CH2493)+1)+1,FIND("-",CH2493,FIND("-",CH2493,FIND("-",CH2493)+1)+1)-FIND("-",CH2493,FIND("-",CH2493)+1)-1))),""))</f>
        <v/>
      </c>
    </row>
    <row r="2494">
      <c r="CH2494">
        <f>IF(ISTEXT('월 가계부'!A2494),SUBSTITUTE(SUBSTITUTE(SUBSTITUTE(SUBSTITUTE(SUBSTITUTE(SUBSTITUTE(SUBSTITUTE(SUBSTITUTE(SUBSTITUTE(TRIM('월 가계부'!A2494),"년","-"),"월","-"),"일",""),".","-"),"/","-")," ","-"),"--","-"),"--","-"),"--","-")&amp;"-","")</f>
        <v/>
      </c>
      <c r="CI2494">
        <f>IFERROR(IF('월 가계부'!A2494="","",IF(ISNUMBER('월 가계부'!A2494),IF(AND('월 가계부'!A2494&gt;=19000101,'월 가계부'!A2494&lt;=21001231),IF(AND(MOD(INT('월 가계부'!A2494/100),100)&gt;=1,MOD(INT('월 가계부'!A2494/100),100)&lt;=12,MOD(INT('월 가계부'!A2494),100)&gt;=1,MOD(INT('월 가계부'!A2494),100)&lt;=31),IF(MONTH(DATE(INT('월 가계부'!A2494/10000),MOD(INT('월 가계부'!A2494/100),100),MOD(INT('월 가계부'!A2494),100)))=MOD(INT('월 가계부'!A2494/100),100),DATE(INT('월 가계부'!A2494/10000),MOD(INT('월 가계부'!A2494/100),100),MOD(INT('월 가계부'!A2494),100)),""),""),IF(AND('월 가계부'!A2494&gt;=36526,'월 가계부'!A2494&lt;73051),INT('월 가계부'!A2494),"")),IF(OR(CM2494="",CN2494="",CO2494=""),"",IF(AND(CM2494&gt;=2000,CM2494&lt;=2099,CN2494&gt;=1,CN2494&lt;=12,CO2494&gt;=1,CO2494&lt;=31),IF(MONTH(DATE(CM2494,CN2494,CO2494))=CN2494,DATE(CM2494,CN2494,CO2494),""),"")))),"")</f>
        <v/>
      </c>
      <c r="CJ2494">
        <f>IFERROR(IF('월 가계부'!C2494="","",IF(ISNUMBER('월 가계부'!C2494),'월 가계부'!C2494,VALUE(SUBSTITUTE(SUBSTITUTE(SUBSTITUTE(SUBSTITUTE(TRIM('월 가계부'!C2494),",",""),"원","")," ",""),"−","-")))),"")</f>
        <v/>
      </c>
      <c r="CK2494">
        <f>IF(ISNUMBER(CI2494),IF(CI2494&lt;$B$13,CI2494,""),"")</f>
        <v/>
      </c>
      <c r="CM2494">
        <f>IF(CH2494="","",IFERROR(IF(IF(AND(LEN(CH2494)=9,ISERROR(FIND("-",LEFT(CH2494,8))),ISNUMBER(-LEFT(CH2494,8))),VALUE(LEFT(CH2494,4)),VALUE(LEFT(CH2494,FIND("-",CH2494)-1)))&lt;100,IF(AND(LEN(CH2494)=9,ISERROR(FIND("-",LEFT(CH2494,8))),ISNUMBER(-LEFT(CH2494,8))),VALUE(LEFT(CH2494,4)),VALUE(LEFT(CH2494,FIND("-",CH2494)-1)))+2000,IF(AND(LEN(CH2494)=9,ISERROR(FIND("-",LEFT(CH2494,8))),ISNUMBER(-LEFT(CH2494,8))),VALUE(LEFT(CH2494,4)),VALUE(LEFT(CH2494,FIND("-",CH2494)-1)))),""))</f>
        <v/>
      </c>
      <c r="CN2494">
        <f>IF(CH2494="","",IFERROR(IF(AND(LEN(CH2494)=9,ISERROR(FIND("-",LEFT(CH2494,8))),ISNUMBER(-LEFT(CH2494,8))),VALUE(MID(CH2494,5,2)),VALUE(MID(CH2494,FIND("-",CH2494)+1,FIND("-",CH2494,FIND("-",CH2494)+1)-FIND("-",CH2494)-1))),""))</f>
        <v/>
      </c>
      <c r="CO2494">
        <f>IF(CH2494="","",IFERROR(IF(AND(LEN(CH2494)=9,ISERROR(FIND("-",LEFT(CH2494,8))),ISNUMBER(-LEFT(CH2494,8))),VALUE(MID(CH2494,7,2)),VALUE(MID(CH2494,FIND("-",CH2494,FIND("-",CH2494)+1)+1,FIND("-",CH2494,FIND("-",CH2494,FIND("-",CH2494)+1)+1)-FIND("-",CH2494,FIND("-",CH2494)+1)-1))),""))</f>
        <v/>
      </c>
    </row>
    <row r="2495">
      <c r="CH2495">
        <f>IF(ISTEXT('월 가계부'!A2495),SUBSTITUTE(SUBSTITUTE(SUBSTITUTE(SUBSTITUTE(SUBSTITUTE(SUBSTITUTE(SUBSTITUTE(SUBSTITUTE(SUBSTITUTE(TRIM('월 가계부'!A2495),"년","-"),"월","-"),"일",""),".","-"),"/","-")," ","-"),"--","-"),"--","-"),"--","-")&amp;"-","")</f>
        <v/>
      </c>
      <c r="CI2495">
        <f>IFERROR(IF('월 가계부'!A2495="","",IF(ISNUMBER('월 가계부'!A2495),IF(AND('월 가계부'!A2495&gt;=19000101,'월 가계부'!A2495&lt;=21001231),IF(AND(MOD(INT('월 가계부'!A2495/100),100)&gt;=1,MOD(INT('월 가계부'!A2495/100),100)&lt;=12,MOD(INT('월 가계부'!A2495),100)&gt;=1,MOD(INT('월 가계부'!A2495),100)&lt;=31),IF(MONTH(DATE(INT('월 가계부'!A2495/10000),MOD(INT('월 가계부'!A2495/100),100),MOD(INT('월 가계부'!A2495),100)))=MOD(INT('월 가계부'!A2495/100),100),DATE(INT('월 가계부'!A2495/10000),MOD(INT('월 가계부'!A2495/100),100),MOD(INT('월 가계부'!A2495),100)),""),""),IF(AND('월 가계부'!A2495&gt;=36526,'월 가계부'!A2495&lt;73051),INT('월 가계부'!A2495),"")),IF(OR(CM2495="",CN2495="",CO2495=""),"",IF(AND(CM2495&gt;=2000,CM2495&lt;=2099,CN2495&gt;=1,CN2495&lt;=12,CO2495&gt;=1,CO2495&lt;=31),IF(MONTH(DATE(CM2495,CN2495,CO2495))=CN2495,DATE(CM2495,CN2495,CO2495),""),"")))),"")</f>
        <v/>
      </c>
      <c r="CJ2495">
        <f>IFERROR(IF('월 가계부'!C2495="","",IF(ISNUMBER('월 가계부'!C2495),'월 가계부'!C2495,VALUE(SUBSTITUTE(SUBSTITUTE(SUBSTITUTE(SUBSTITUTE(TRIM('월 가계부'!C2495),",",""),"원","")," ",""),"−","-")))),"")</f>
        <v/>
      </c>
      <c r="CK2495">
        <f>IF(ISNUMBER(CI2495),IF(CI2495&lt;$B$13,CI2495,""),"")</f>
        <v/>
      </c>
      <c r="CM2495">
        <f>IF(CH2495="","",IFERROR(IF(IF(AND(LEN(CH2495)=9,ISERROR(FIND("-",LEFT(CH2495,8))),ISNUMBER(-LEFT(CH2495,8))),VALUE(LEFT(CH2495,4)),VALUE(LEFT(CH2495,FIND("-",CH2495)-1)))&lt;100,IF(AND(LEN(CH2495)=9,ISERROR(FIND("-",LEFT(CH2495,8))),ISNUMBER(-LEFT(CH2495,8))),VALUE(LEFT(CH2495,4)),VALUE(LEFT(CH2495,FIND("-",CH2495)-1)))+2000,IF(AND(LEN(CH2495)=9,ISERROR(FIND("-",LEFT(CH2495,8))),ISNUMBER(-LEFT(CH2495,8))),VALUE(LEFT(CH2495,4)),VALUE(LEFT(CH2495,FIND("-",CH2495)-1)))),""))</f>
        <v/>
      </c>
      <c r="CN2495">
        <f>IF(CH2495="","",IFERROR(IF(AND(LEN(CH2495)=9,ISERROR(FIND("-",LEFT(CH2495,8))),ISNUMBER(-LEFT(CH2495,8))),VALUE(MID(CH2495,5,2)),VALUE(MID(CH2495,FIND("-",CH2495)+1,FIND("-",CH2495,FIND("-",CH2495)+1)-FIND("-",CH2495)-1))),""))</f>
        <v/>
      </c>
      <c r="CO2495">
        <f>IF(CH2495="","",IFERROR(IF(AND(LEN(CH2495)=9,ISERROR(FIND("-",LEFT(CH2495,8))),ISNUMBER(-LEFT(CH2495,8))),VALUE(MID(CH2495,7,2)),VALUE(MID(CH2495,FIND("-",CH2495,FIND("-",CH2495)+1)+1,FIND("-",CH2495,FIND("-",CH2495,FIND("-",CH2495)+1)+1)-FIND("-",CH2495,FIND("-",CH2495)+1)-1))),""))</f>
        <v/>
      </c>
    </row>
    <row r="2496">
      <c r="CH2496">
        <f>IF(ISTEXT('월 가계부'!A2496),SUBSTITUTE(SUBSTITUTE(SUBSTITUTE(SUBSTITUTE(SUBSTITUTE(SUBSTITUTE(SUBSTITUTE(SUBSTITUTE(SUBSTITUTE(TRIM('월 가계부'!A2496),"년","-"),"월","-"),"일",""),".","-"),"/","-")," ","-"),"--","-"),"--","-"),"--","-")&amp;"-","")</f>
        <v/>
      </c>
      <c r="CI2496">
        <f>IFERROR(IF('월 가계부'!A2496="","",IF(ISNUMBER('월 가계부'!A2496),IF(AND('월 가계부'!A2496&gt;=19000101,'월 가계부'!A2496&lt;=21001231),IF(AND(MOD(INT('월 가계부'!A2496/100),100)&gt;=1,MOD(INT('월 가계부'!A2496/100),100)&lt;=12,MOD(INT('월 가계부'!A2496),100)&gt;=1,MOD(INT('월 가계부'!A2496),100)&lt;=31),IF(MONTH(DATE(INT('월 가계부'!A2496/10000),MOD(INT('월 가계부'!A2496/100),100),MOD(INT('월 가계부'!A2496),100)))=MOD(INT('월 가계부'!A2496/100),100),DATE(INT('월 가계부'!A2496/10000),MOD(INT('월 가계부'!A2496/100),100),MOD(INT('월 가계부'!A2496),100)),""),""),IF(AND('월 가계부'!A2496&gt;=36526,'월 가계부'!A2496&lt;73051),INT('월 가계부'!A2496),"")),IF(OR(CM2496="",CN2496="",CO2496=""),"",IF(AND(CM2496&gt;=2000,CM2496&lt;=2099,CN2496&gt;=1,CN2496&lt;=12,CO2496&gt;=1,CO2496&lt;=31),IF(MONTH(DATE(CM2496,CN2496,CO2496))=CN2496,DATE(CM2496,CN2496,CO2496),""),"")))),"")</f>
        <v/>
      </c>
      <c r="CJ2496">
        <f>IFERROR(IF('월 가계부'!C2496="","",IF(ISNUMBER('월 가계부'!C2496),'월 가계부'!C2496,VALUE(SUBSTITUTE(SUBSTITUTE(SUBSTITUTE(SUBSTITUTE(TRIM('월 가계부'!C2496),",",""),"원","")," ",""),"−","-")))),"")</f>
        <v/>
      </c>
      <c r="CK2496">
        <f>IF(ISNUMBER(CI2496),IF(CI2496&lt;$B$13,CI2496,""),"")</f>
        <v/>
      </c>
      <c r="CM2496">
        <f>IF(CH2496="","",IFERROR(IF(IF(AND(LEN(CH2496)=9,ISERROR(FIND("-",LEFT(CH2496,8))),ISNUMBER(-LEFT(CH2496,8))),VALUE(LEFT(CH2496,4)),VALUE(LEFT(CH2496,FIND("-",CH2496)-1)))&lt;100,IF(AND(LEN(CH2496)=9,ISERROR(FIND("-",LEFT(CH2496,8))),ISNUMBER(-LEFT(CH2496,8))),VALUE(LEFT(CH2496,4)),VALUE(LEFT(CH2496,FIND("-",CH2496)-1)))+2000,IF(AND(LEN(CH2496)=9,ISERROR(FIND("-",LEFT(CH2496,8))),ISNUMBER(-LEFT(CH2496,8))),VALUE(LEFT(CH2496,4)),VALUE(LEFT(CH2496,FIND("-",CH2496)-1)))),""))</f>
        <v/>
      </c>
      <c r="CN2496">
        <f>IF(CH2496="","",IFERROR(IF(AND(LEN(CH2496)=9,ISERROR(FIND("-",LEFT(CH2496,8))),ISNUMBER(-LEFT(CH2496,8))),VALUE(MID(CH2496,5,2)),VALUE(MID(CH2496,FIND("-",CH2496)+1,FIND("-",CH2496,FIND("-",CH2496)+1)-FIND("-",CH2496)-1))),""))</f>
        <v/>
      </c>
      <c r="CO2496">
        <f>IF(CH2496="","",IFERROR(IF(AND(LEN(CH2496)=9,ISERROR(FIND("-",LEFT(CH2496,8))),ISNUMBER(-LEFT(CH2496,8))),VALUE(MID(CH2496,7,2)),VALUE(MID(CH2496,FIND("-",CH2496,FIND("-",CH2496)+1)+1,FIND("-",CH2496,FIND("-",CH2496,FIND("-",CH2496)+1)+1)-FIND("-",CH2496,FIND("-",CH2496)+1)-1))),""))</f>
        <v/>
      </c>
    </row>
    <row r="2497">
      <c r="CH2497">
        <f>IF(ISTEXT('월 가계부'!A2497),SUBSTITUTE(SUBSTITUTE(SUBSTITUTE(SUBSTITUTE(SUBSTITUTE(SUBSTITUTE(SUBSTITUTE(SUBSTITUTE(SUBSTITUTE(TRIM('월 가계부'!A2497),"년","-"),"월","-"),"일",""),".","-"),"/","-")," ","-"),"--","-"),"--","-"),"--","-")&amp;"-","")</f>
        <v/>
      </c>
      <c r="CI2497">
        <f>IFERROR(IF('월 가계부'!A2497="","",IF(ISNUMBER('월 가계부'!A2497),IF(AND('월 가계부'!A2497&gt;=19000101,'월 가계부'!A2497&lt;=21001231),IF(AND(MOD(INT('월 가계부'!A2497/100),100)&gt;=1,MOD(INT('월 가계부'!A2497/100),100)&lt;=12,MOD(INT('월 가계부'!A2497),100)&gt;=1,MOD(INT('월 가계부'!A2497),100)&lt;=31),IF(MONTH(DATE(INT('월 가계부'!A2497/10000),MOD(INT('월 가계부'!A2497/100),100),MOD(INT('월 가계부'!A2497),100)))=MOD(INT('월 가계부'!A2497/100),100),DATE(INT('월 가계부'!A2497/10000),MOD(INT('월 가계부'!A2497/100),100),MOD(INT('월 가계부'!A2497),100)),""),""),IF(AND('월 가계부'!A2497&gt;=36526,'월 가계부'!A2497&lt;73051),INT('월 가계부'!A2497),"")),IF(OR(CM2497="",CN2497="",CO2497=""),"",IF(AND(CM2497&gt;=2000,CM2497&lt;=2099,CN2497&gt;=1,CN2497&lt;=12,CO2497&gt;=1,CO2497&lt;=31),IF(MONTH(DATE(CM2497,CN2497,CO2497))=CN2497,DATE(CM2497,CN2497,CO2497),""),"")))),"")</f>
        <v/>
      </c>
      <c r="CJ2497">
        <f>IFERROR(IF('월 가계부'!C2497="","",IF(ISNUMBER('월 가계부'!C2497),'월 가계부'!C2497,VALUE(SUBSTITUTE(SUBSTITUTE(SUBSTITUTE(SUBSTITUTE(TRIM('월 가계부'!C2497),",",""),"원","")," ",""),"−","-")))),"")</f>
        <v/>
      </c>
      <c r="CK2497">
        <f>IF(ISNUMBER(CI2497),IF(CI2497&lt;$B$13,CI2497,""),"")</f>
        <v/>
      </c>
      <c r="CM2497">
        <f>IF(CH2497="","",IFERROR(IF(IF(AND(LEN(CH2497)=9,ISERROR(FIND("-",LEFT(CH2497,8))),ISNUMBER(-LEFT(CH2497,8))),VALUE(LEFT(CH2497,4)),VALUE(LEFT(CH2497,FIND("-",CH2497)-1)))&lt;100,IF(AND(LEN(CH2497)=9,ISERROR(FIND("-",LEFT(CH2497,8))),ISNUMBER(-LEFT(CH2497,8))),VALUE(LEFT(CH2497,4)),VALUE(LEFT(CH2497,FIND("-",CH2497)-1)))+2000,IF(AND(LEN(CH2497)=9,ISERROR(FIND("-",LEFT(CH2497,8))),ISNUMBER(-LEFT(CH2497,8))),VALUE(LEFT(CH2497,4)),VALUE(LEFT(CH2497,FIND("-",CH2497)-1)))),""))</f>
        <v/>
      </c>
      <c r="CN2497">
        <f>IF(CH2497="","",IFERROR(IF(AND(LEN(CH2497)=9,ISERROR(FIND("-",LEFT(CH2497,8))),ISNUMBER(-LEFT(CH2497,8))),VALUE(MID(CH2497,5,2)),VALUE(MID(CH2497,FIND("-",CH2497)+1,FIND("-",CH2497,FIND("-",CH2497)+1)-FIND("-",CH2497)-1))),""))</f>
        <v/>
      </c>
      <c r="CO2497">
        <f>IF(CH2497="","",IFERROR(IF(AND(LEN(CH2497)=9,ISERROR(FIND("-",LEFT(CH2497,8))),ISNUMBER(-LEFT(CH2497,8))),VALUE(MID(CH2497,7,2)),VALUE(MID(CH2497,FIND("-",CH2497,FIND("-",CH2497)+1)+1,FIND("-",CH2497,FIND("-",CH2497,FIND("-",CH2497)+1)+1)-FIND("-",CH2497,FIND("-",CH2497)+1)-1))),""))</f>
        <v/>
      </c>
    </row>
    <row r="2498">
      <c r="CH2498">
        <f>IF(ISTEXT('월 가계부'!A2498),SUBSTITUTE(SUBSTITUTE(SUBSTITUTE(SUBSTITUTE(SUBSTITUTE(SUBSTITUTE(SUBSTITUTE(SUBSTITUTE(SUBSTITUTE(TRIM('월 가계부'!A2498),"년","-"),"월","-"),"일",""),".","-"),"/","-")," ","-"),"--","-"),"--","-"),"--","-")&amp;"-","")</f>
        <v/>
      </c>
      <c r="CI2498">
        <f>IFERROR(IF('월 가계부'!A2498="","",IF(ISNUMBER('월 가계부'!A2498),IF(AND('월 가계부'!A2498&gt;=19000101,'월 가계부'!A2498&lt;=21001231),IF(AND(MOD(INT('월 가계부'!A2498/100),100)&gt;=1,MOD(INT('월 가계부'!A2498/100),100)&lt;=12,MOD(INT('월 가계부'!A2498),100)&gt;=1,MOD(INT('월 가계부'!A2498),100)&lt;=31),IF(MONTH(DATE(INT('월 가계부'!A2498/10000),MOD(INT('월 가계부'!A2498/100),100),MOD(INT('월 가계부'!A2498),100)))=MOD(INT('월 가계부'!A2498/100),100),DATE(INT('월 가계부'!A2498/10000),MOD(INT('월 가계부'!A2498/100),100),MOD(INT('월 가계부'!A2498),100)),""),""),IF(AND('월 가계부'!A2498&gt;=36526,'월 가계부'!A2498&lt;73051),INT('월 가계부'!A2498),"")),IF(OR(CM2498="",CN2498="",CO2498=""),"",IF(AND(CM2498&gt;=2000,CM2498&lt;=2099,CN2498&gt;=1,CN2498&lt;=12,CO2498&gt;=1,CO2498&lt;=31),IF(MONTH(DATE(CM2498,CN2498,CO2498))=CN2498,DATE(CM2498,CN2498,CO2498),""),"")))),"")</f>
        <v/>
      </c>
      <c r="CJ2498">
        <f>IFERROR(IF('월 가계부'!C2498="","",IF(ISNUMBER('월 가계부'!C2498),'월 가계부'!C2498,VALUE(SUBSTITUTE(SUBSTITUTE(SUBSTITUTE(SUBSTITUTE(TRIM('월 가계부'!C2498),",",""),"원","")," ",""),"−","-")))),"")</f>
        <v/>
      </c>
      <c r="CK2498">
        <f>IF(ISNUMBER(CI2498),IF(CI2498&lt;$B$13,CI2498,""),"")</f>
        <v/>
      </c>
      <c r="CM2498">
        <f>IF(CH2498="","",IFERROR(IF(IF(AND(LEN(CH2498)=9,ISERROR(FIND("-",LEFT(CH2498,8))),ISNUMBER(-LEFT(CH2498,8))),VALUE(LEFT(CH2498,4)),VALUE(LEFT(CH2498,FIND("-",CH2498)-1)))&lt;100,IF(AND(LEN(CH2498)=9,ISERROR(FIND("-",LEFT(CH2498,8))),ISNUMBER(-LEFT(CH2498,8))),VALUE(LEFT(CH2498,4)),VALUE(LEFT(CH2498,FIND("-",CH2498)-1)))+2000,IF(AND(LEN(CH2498)=9,ISERROR(FIND("-",LEFT(CH2498,8))),ISNUMBER(-LEFT(CH2498,8))),VALUE(LEFT(CH2498,4)),VALUE(LEFT(CH2498,FIND("-",CH2498)-1)))),""))</f>
        <v/>
      </c>
      <c r="CN2498">
        <f>IF(CH2498="","",IFERROR(IF(AND(LEN(CH2498)=9,ISERROR(FIND("-",LEFT(CH2498,8))),ISNUMBER(-LEFT(CH2498,8))),VALUE(MID(CH2498,5,2)),VALUE(MID(CH2498,FIND("-",CH2498)+1,FIND("-",CH2498,FIND("-",CH2498)+1)-FIND("-",CH2498)-1))),""))</f>
        <v/>
      </c>
      <c r="CO2498">
        <f>IF(CH2498="","",IFERROR(IF(AND(LEN(CH2498)=9,ISERROR(FIND("-",LEFT(CH2498,8))),ISNUMBER(-LEFT(CH2498,8))),VALUE(MID(CH2498,7,2)),VALUE(MID(CH2498,FIND("-",CH2498,FIND("-",CH2498)+1)+1,FIND("-",CH2498,FIND("-",CH2498,FIND("-",CH2498)+1)+1)-FIND("-",CH2498,FIND("-",CH2498)+1)-1))),""))</f>
        <v/>
      </c>
    </row>
    <row r="2499">
      <c r="CH2499">
        <f>IF(ISTEXT('월 가계부'!A2499),SUBSTITUTE(SUBSTITUTE(SUBSTITUTE(SUBSTITUTE(SUBSTITUTE(SUBSTITUTE(SUBSTITUTE(SUBSTITUTE(SUBSTITUTE(TRIM('월 가계부'!A2499),"년","-"),"월","-"),"일",""),".","-"),"/","-")," ","-"),"--","-"),"--","-"),"--","-")&amp;"-","")</f>
        <v/>
      </c>
      <c r="CI2499">
        <f>IFERROR(IF('월 가계부'!A2499="","",IF(ISNUMBER('월 가계부'!A2499),IF(AND('월 가계부'!A2499&gt;=19000101,'월 가계부'!A2499&lt;=21001231),IF(AND(MOD(INT('월 가계부'!A2499/100),100)&gt;=1,MOD(INT('월 가계부'!A2499/100),100)&lt;=12,MOD(INT('월 가계부'!A2499),100)&gt;=1,MOD(INT('월 가계부'!A2499),100)&lt;=31),IF(MONTH(DATE(INT('월 가계부'!A2499/10000),MOD(INT('월 가계부'!A2499/100),100),MOD(INT('월 가계부'!A2499),100)))=MOD(INT('월 가계부'!A2499/100),100),DATE(INT('월 가계부'!A2499/10000),MOD(INT('월 가계부'!A2499/100),100),MOD(INT('월 가계부'!A2499),100)),""),""),IF(AND('월 가계부'!A2499&gt;=36526,'월 가계부'!A2499&lt;73051),INT('월 가계부'!A2499),"")),IF(OR(CM2499="",CN2499="",CO2499=""),"",IF(AND(CM2499&gt;=2000,CM2499&lt;=2099,CN2499&gt;=1,CN2499&lt;=12,CO2499&gt;=1,CO2499&lt;=31),IF(MONTH(DATE(CM2499,CN2499,CO2499))=CN2499,DATE(CM2499,CN2499,CO2499),""),"")))),"")</f>
        <v/>
      </c>
      <c r="CJ2499">
        <f>IFERROR(IF('월 가계부'!C2499="","",IF(ISNUMBER('월 가계부'!C2499),'월 가계부'!C2499,VALUE(SUBSTITUTE(SUBSTITUTE(SUBSTITUTE(SUBSTITUTE(TRIM('월 가계부'!C2499),",",""),"원","")," ",""),"−","-")))),"")</f>
        <v/>
      </c>
      <c r="CK2499">
        <f>IF(ISNUMBER(CI2499),IF(CI2499&lt;$B$13,CI2499,""),"")</f>
        <v/>
      </c>
      <c r="CM2499">
        <f>IF(CH2499="","",IFERROR(IF(IF(AND(LEN(CH2499)=9,ISERROR(FIND("-",LEFT(CH2499,8))),ISNUMBER(-LEFT(CH2499,8))),VALUE(LEFT(CH2499,4)),VALUE(LEFT(CH2499,FIND("-",CH2499)-1)))&lt;100,IF(AND(LEN(CH2499)=9,ISERROR(FIND("-",LEFT(CH2499,8))),ISNUMBER(-LEFT(CH2499,8))),VALUE(LEFT(CH2499,4)),VALUE(LEFT(CH2499,FIND("-",CH2499)-1)))+2000,IF(AND(LEN(CH2499)=9,ISERROR(FIND("-",LEFT(CH2499,8))),ISNUMBER(-LEFT(CH2499,8))),VALUE(LEFT(CH2499,4)),VALUE(LEFT(CH2499,FIND("-",CH2499)-1)))),""))</f>
        <v/>
      </c>
      <c r="CN2499">
        <f>IF(CH2499="","",IFERROR(IF(AND(LEN(CH2499)=9,ISERROR(FIND("-",LEFT(CH2499,8))),ISNUMBER(-LEFT(CH2499,8))),VALUE(MID(CH2499,5,2)),VALUE(MID(CH2499,FIND("-",CH2499)+1,FIND("-",CH2499,FIND("-",CH2499)+1)-FIND("-",CH2499)-1))),""))</f>
        <v/>
      </c>
      <c r="CO2499">
        <f>IF(CH2499="","",IFERROR(IF(AND(LEN(CH2499)=9,ISERROR(FIND("-",LEFT(CH2499,8))),ISNUMBER(-LEFT(CH2499,8))),VALUE(MID(CH2499,7,2)),VALUE(MID(CH2499,FIND("-",CH2499,FIND("-",CH2499)+1)+1,FIND("-",CH2499,FIND("-",CH2499,FIND("-",CH2499)+1)+1)-FIND("-",CH2499,FIND("-",CH2499)+1)-1))),""))</f>
        <v/>
      </c>
    </row>
    <row r="2500">
      <c r="CH2500">
        <f>IF(ISTEXT('월 가계부'!A2500),SUBSTITUTE(SUBSTITUTE(SUBSTITUTE(SUBSTITUTE(SUBSTITUTE(SUBSTITUTE(SUBSTITUTE(SUBSTITUTE(SUBSTITUTE(TRIM('월 가계부'!A2500),"년","-"),"월","-"),"일",""),".","-"),"/","-")," ","-"),"--","-"),"--","-"),"--","-")&amp;"-","")</f>
        <v/>
      </c>
      <c r="CI2500">
        <f>IFERROR(IF('월 가계부'!A2500="","",IF(ISNUMBER('월 가계부'!A2500),IF(AND('월 가계부'!A2500&gt;=19000101,'월 가계부'!A2500&lt;=21001231),IF(AND(MOD(INT('월 가계부'!A2500/100),100)&gt;=1,MOD(INT('월 가계부'!A2500/100),100)&lt;=12,MOD(INT('월 가계부'!A2500),100)&gt;=1,MOD(INT('월 가계부'!A2500),100)&lt;=31),IF(MONTH(DATE(INT('월 가계부'!A2500/10000),MOD(INT('월 가계부'!A2500/100),100),MOD(INT('월 가계부'!A2500),100)))=MOD(INT('월 가계부'!A2500/100),100),DATE(INT('월 가계부'!A2500/10000),MOD(INT('월 가계부'!A2500/100),100),MOD(INT('월 가계부'!A2500),100)),""),""),IF(AND('월 가계부'!A2500&gt;=36526,'월 가계부'!A2500&lt;73051),INT('월 가계부'!A2500),"")),IF(OR(CM2500="",CN2500="",CO2500=""),"",IF(AND(CM2500&gt;=2000,CM2500&lt;=2099,CN2500&gt;=1,CN2500&lt;=12,CO2500&gt;=1,CO2500&lt;=31),IF(MONTH(DATE(CM2500,CN2500,CO2500))=CN2500,DATE(CM2500,CN2500,CO2500),""),"")))),"")</f>
        <v/>
      </c>
      <c r="CJ2500">
        <f>IFERROR(IF('월 가계부'!C2500="","",IF(ISNUMBER('월 가계부'!C2500),'월 가계부'!C2500,VALUE(SUBSTITUTE(SUBSTITUTE(SUBSTITUTE(SUBSTITUTE(TRIM('월 가계부'!C2500),",",""),"원","")," ",""),"−","-")))),"")</f>
        <v/>
      </c>
      <c r="CK2500">
        <f>IF(ISNUMBER(CI2500),IF(CI2500&lt;$B$13,CI2500,""),"")</f>
        <v/>
      </c>
      <c r="CM2500">
        <f>IF(CH2500="","",IFERROR(IF(IF(AND(LEN(CH2500)=9,ISERROR(FIND("-",LEFT(CH2500,8))),ISNUMBER(-LEFT(CH2500,8))),VALUE(LEFT(CH2500,4)),VALUE(LEFT(CH2500,FIND("-",CH2500)-1)))&lt;100,IF(AND(LEN(CH2500)=9,ISERROR(FIND("-",LEFT(CH2500,8))),ISNUMBER(-LEFT(CH2500,8))),VALUE(LEFT(CH2500,4)),VALUE(LEFT(CH2500,FIND("-",CH2500)-1)))+2000,IF(AND(LEN(CH2500)=9,ISERROR(FIND("-",LEFT(CH2500,8))),ISNUMBER(-LEFT(CH2500,8))),VALUE(LEFT(CH2500,4)),VALUE(LEFT(CH2500,FIND("-",CH2500)-1)))),""))</f>
        <v/>
      </c>
      <c r="CN2500">
        <f>IF(CH2500="","",IFERROR(IF(AND(LEN(CH2500)=9,ISERROR(FIND("-",LEFT(CH2500,8))),ISNUMBER(-LEFT(CH2500,8))),VALUE(MID(CH2500,5,2)),VALUE(MID(CH2500,FIND("-",CH2500)+1,FIND("-",CH2500,FIND("-",CH2500)+1)-FIND("-",CH2500)-1))),""))</f>
        <v/>
      </c>
      <c r="CO2500">
        <f>IF(CH2500="","",IFERROR(IF(AND(LEN(CH2500)=9,ISERROR(FIND("-",LEFT(CH2500,8))),ISNUMBER(-LEFT(CH2500,8))),VALUE(MID(CH2500,7,2)),VALUE(MID(CH2500,FIND("-",CH2500,FIND("-",CH2500)+1)+1,FIND("-",CH2500,FIND("-",CH2500,FIND("-",CH2500)+1)+1)-FIND("-",CH2500,FIND("-",CH2500)+1)-1))),""))</f>
        <v/>
      </c>
    </row>
    <row r="2501">
      <c r="CH2501">
        <f>IF(ISTEXT('월 가계부'!A2501),SUBSTITUTE(SUBSTITUTE(SUBSTITUTE(SUBSTITUTE(SUBSTITUTE(SUBSTITUTE(SUBSTITUTE(SUBSTITUTE(SUBSTITUTE(TRIM('월 가계부'!A2501),"년","-"),"월","-"),"일",""),".","-"),"/","-")," ","-"),"--","-"),"--","-"),"--","-")&amp;"-","")</f>
        <v/>
      </c>
      <c r="CI2501">
        <f>IFERROR(IF('월 가계부'!A2501="","",IF(ISNUMBER('월 가계부'!A2501),IF(AND('월 가계부'!A2501&gt;=19000101,'월 가계부'!A2501&lt;=21001231),IF(AND(MOD(INT('월 가계부'!A2501/100),100)&gt;=1,MOD(INT('월 가계부'!A2501/100),100)&lt;=12,MOD(INT('월 가계부'!A2501),100)&gt;=1,MOD(INT('월 가계부'!A2501),100)&lt;=31),IF(MONTH(DATE(INT('월 가계부'!A2501/10000),MOD(INT('월 가계부'!A2501/100),100),MOD(INT('월 가계부'!A2501),100)))=MOD(INT('월 가계부'!A2501/100),100),DATE(INT('월 가계부'!A2501/10000),MOD(INT('월 가계부'!A2501/100),100),MOD(INT('월 가계부'!A2501),100)),""),""),IF(AND('월 가계부'!A2501&gt;=36526,'월 가계부'!A2501&lt;73051),INT('월 가계부'!A2501),"")),IF(OR(CM2501="",CN2501="",CO2501=""),"",IF(AND(CM2501&gt;=2000,CM2501&lt;=2099,CN2501&gt;=1,CN2501&lt;=12,CO2501&gt;=1,CO2501&lt;=31),IF(MONTH(DATE(CM2501,CN2501,CO2501))=CN2501,DATE(CM2501,CN2501,CO2501),""),"")))),"")</f>
        <v/>
      </c>
      <c r="CJ2501">
        <f>IFERROR(IF('월 가계부'!C2501="","",IF(ISNUMBER('월 가계부'!C2501),'월 가계부'!C2501,VALUE(SUBSTITUTE(SUBSTITUTE(SUBSTITUTE(SUBSTITUTE(TRIM('월 가계부'!C2501),",",""),"원","")," ",""),"−","-")))),"")</f>
        <v/>
      </c>
      <c r="CK2501">
        <f>IF(ISNUMBER(CI2501),IF(CI2501&lt;$B$13,CI2501,""),"")</f>
        <v/>
      </c>
      <c r="CM2501">
        <f>IF(CH2501="","",IFERROR(IF(IF(AND(LEN(CH2501)=9,ISERROR(FIND("-",LEFT(CH2501,8))),ISNUMBER(-LEFT(CH2501,8))),VALUE(LEFT(CH2501,4)),VALUE(LEFT(CH2501,FIND("-",CH2501)-1)))&lt;100,IF(AND(LEN(CH2501)=9,ISERROR(FIND("-",LEFT(CH2501,8))),ISNUMBER(-LEFT(CH2501,8))),VALUE(LEFT(CH2501,4)),VALUE(LEFT(CH2501,FIND("-",CH2501)-1)))+2000,IF(AND(LEN(CH2501)=9,ISERROR(FIND("-",LEFT(CH2501,8))),ISNUMBER(-LEFT(CH2501,8))),VALUE(LEFT(CH2501,4)),VALUE(LEFT(CH2501,FIND("-",CH2501)-1)))),""))</f>
        <v/>
      </c>
      <c r="CN2501">
        <f>IF(CH2501="","",IFERROR(IF(AND(LEN(CH2501)=9,ISERROR(FIND("-",LEFT(CH2501,8))),ISNUMBER(-LEFT(CH2501,8))),VALUE(MID(CH2501,5,2)),VALUE(MID(CH2501,FIND("-",CH2501)+1,FIND("-",CH2501,FIND("-",CH2501)+1)-FIND("-",CH2501)-1))),""))</f>
        <v/>
      </c>
      <c r="CO2501">
        <f>IF(CH2501="","",IFERROR(IF(AND(LEN(CH2501)=9,ISERROR(FIND("-",LEFT(CH2501,8))),ISNUMBER(-LEFT(CH2501,8))),VALUE(MID(CH2501,7,2)),VALUE(MID(CH2501,FIND("-",CH2501,FIND("-",CH2501)+1)+1,FIND("-",CH2501,FIND("-",CH2501,FIND("-",CH2501)+1)+1)-FIND("-",CH2501,FIND("-",CH2501)+1)-1))),""))</f>
        <v/>
      </c>
    </row>
    <row r="2502">
      <c r="CH2502">
        <f>IF(ISTEXT('월 가계부'!A2502),SUBSTITUTE(SUBSTITUTE(SUBSTITUTE(SUBSTITUTE(SUBSTITUTE(SUBSTITUTE(SUBSTITUTE(SUBSTITUTE(SUBSTITUTE(TRIM('월 가계부'!A2502),"년","-"),"월","-"),"일",""),".","-"),"/","-")," ","-"),"--","-"),"--","-"),"--","-")&amp;"-","")</f>
        <v/>
      </c>
      <c r="CI2502">
        <f>IFERROR(IF('월 가계부'!A2502="","",IF(ISNUMBER('월 가계부'!A2502),IF(AND('월 가계부'!A2502&gt;=19000101,'월 가계부'!A2502&lt;=21001231),IF(AND(MOD(INT('월 가계부'!A2502/100),100)&gt;=1,MOD(INT('월 가계부'!A2502/100),100)&lt;=12,MOD(INT('월 가계부'!A2502),100)&gt;=1,MOD(INT('월 가계부'!A2502),100)&lt;=31),IF(MONTH(DATE(INT('월 가계부'!A2502/10000),MOD(INT('월 가계부'!A2502/100),100),MOD(INT('월 가계부'!A2502),100)))=MOD(INT('월 가계부'!A2502/100),100),DATE(INT('월 가계부'!A2502/10000),MOD(INT('월 가계부'!A2502/100),100),MOD(INT('월 가계부'!A2502),100)),""),""),IF(AND('월 가계부'!A2502&gt;=36526,'월 가계부'!A2502&lt;73051),INT('월 가계부'!A2502),"")),IF(OR(CM2502="",CN2502="",CO2502=""),"",IF(AND(CM2502&gt;=2000,CM2502&lt;=2099,CN2502&gt;=1,CN2502&lt;=12,CO2502&gt;=1,CO2502&lt;=31),IF(MONTH(DATE(CM2502,CN2502,CO2502))=CN2502,DATE(CM2502,CN2502,CO2502),""),"")))),"")</f>
        <v/>
      </c>
      <c r="CJ2502">
        <f>IFERROR(IF('월 가계부'!C2502="","",IF(ISNUMBER('월 가계부'!C2502),'월 가계부'!C2502,VALUE(SUBSTITUTE(SUBSTITUTE(SUBSTITUTE(SUBSTITUTE(TRIM('월 가계부'!C2502),",",""),"원","")," ",""),"−","-")))),"")</f>
        <v/>
      </c>
      <c r="CK2502">
        <f>IF(ISNUMBER(CI2502),IF(CI2502&lt;$B$13,CI2502,""),"")</f>
        <v/>
      </c>
      <c r="CM2502">
        <f>IF(CH2502="","",IFERROR(IF(IF(AND(LEN(CH2502)=9,ISERROR(FIND("-",LEFT(CH2502,8))),ISNUMBER(-LEFT(CH2502,8))),VALUE(LEFT(CH2502,4)),VALUE(LEFT(CH2502,FIND("-",CH2502)-1)))&lt;100,IF(AND(LEN(CH2502)=9,ISERROR(FIND("-",LEFT(CH2502,8))),ISNUMBER(-LEFT(CH2502,8))),VALUE(LEFT(CH2502,4)),VALUE(LEFT(CH2502,FIND("-",CH2502)-1)))+2000,IF(AND(LEN(CH2502)=9,ISERROR(FIND("-",LEFT(CH2502,8))),ISNUMBER(-LEFT(CH2502,8))),VALUE(LEFT(CH2502,4)),VALUE(LEFT(CH2502,FIND("-",CH2502)-1)))),""))</f>
        <v/>
      </c>
      <c r="CN2502">
        <f>IF(CH2502="","",IFERROR(IF(AND(LEN(CH2502)=9,ISERROR(FIND("-",LEFT(CH2502,8))),ISNUMBER(-LEFT(CH2502,8))),VALUE(MID(CH2502,5,2)),VALUE(MID(CH2502,FIND("-",CH2502)+1,FIND("-",CH2502,FIND("-",CH2502)+1)-FIND("-",CH2502)-1))),""))</f>
        <v/>
      </c>
      <c r="CO2502">
        <f>IF(CH2502="","",IFERROR(IF(AND(LEN(CH2502)=9,ISERROR(FIND("-",LEFT(CH2502,8))),ISNUMBER(-LEFT(CH2502,8))),VALUE(MID(CH2502,7,2)),VALUE(MID(CH2502,FIND("-",CH2502,FIND("-",CH2502)+1)+1,FIND("-",CH2502,FIND("-",CH2502,FIND("-",CH2502)+1)+1)-FIND("-",CH2502,FIND("-",CH2502)+1)-1))),""))</f>
        <v/>
      </c>
    </row>
    <row r="2503">
      <c r="CH2503">
        <f>IF(ISTEXT('월 가계부'!A2503),SUBSTITUTE(SUBSTITUTE(SUBSTITUTE(SUBSTITUTE(SUBSTITUTE(SUBSTITUTE(SUBSTITUTE(SUBSTITUTE(SUBSTITUTE(TRIM('월 가계부'!A2503),"년","-"),"월","-"),"일",""),".","-"),"/","-")," ","-"),"--","-"),"--","-"),"--","-")&amp;"-","")</f>
        <v/>
      </c>
      <c r="CI2503">
        <f>IFERROR(IF('월 가계부'!A2503="","",IF(ISNUMBER('월 가계부'!A2503),IF(AND('월 가계부'!A2503&gt;=19000101,'월 가계부'!A2503&lt;=21001231),IF(AND(MOD(INT('월 가계부'!A2503/100),100)&gt;=1,MOD(INT('월 가계부'!A2503/100),100)&lt;=12,MOD(INT('월 가계부'!A2503),100)&gt;=1,MOD(INT('월 가계부'!A2503),100)&lt;=31),IF(MONTH(DATE(INT('월 가계부'!A2503/10000),MOD(INT('월 가계부'!A2503/100),100),MOD(INT('월 가계부'!A2503),100)))=MOD(INT('월 가계부'!A2503/100),100),DATE(INT('월 가계부'!A2503/10000),MOD(INT('월 가계부'!A2503/100),100),MOD(INT('월 가계부'!A2503),100)),""),""),IF(AND('월 가계부'!A2503&gt;=36526,'월 가계부'!A2503&lt;73051),INT('월 가계부'!A2503),"")),IF(OR(CM2503="",CN2503="",CO2503=""),"",IF(AND(CM2503&gt;=2000,CM2503&lt;=2099,CN2503&gt;=1,CN2503&lt;=12,CO2503&gt;=1,CO2503&lt;=31),IF(MONTH(DATE(CM2503,CN2503,CO2503))=CN2503,DATE(CM2503,CN2503,CO2503),""),"")))),"")</f>
        <v/>
      </c>
      <c r="CJ2503">
        <f>IFERROR(IF('월 가계부'!C2503="","",IF(ISNUMBER('월 가계부'!C2503),'월 가계부'!C2503,VALUE(SUBSTITUTE(SUBSTITUTE(SUBSTITUTE(SUBSTITUTE(TRIM('월 가계부'!C2503),",",""),"원","")," ",""),"−","-")))),"")</f>
        <v/>
      </c>
      <c r="CK2503">
        <f>IF(ISNUMBER(CI2503),IF(CI2503&lt;$B$13,CI2503,""),"")</f>
        <v/>
      </c>
      <c r="CM2503">
        <f>IF(CH2503="","",IFERROR(IF(IF(AND(LEN(CH2503)=9,ISERROR(FIND("-",LEFT(CH2503,8))),ISNUMBER(-LEFT(CH2503,8))),VALUE(LEFT(CH2503,4)),VALUE(LEFT(CH2503,FIND("-",CH2503)-1)))&lt;100,IF(AND(LEN(CH2503)=9,ISERROR(FIND("-",LEFT(CH2503,8))),ISNUMBER(-LEFT(CH2503,8))),VALUE(LEFT(CH2503,4)),VALUE(LEFT(CH2503,FIND("-",CH2503)-1)))+2000,IF(AND(LEN(CH2503)=9,ISERROR(FIND("-",LEFT(CH2503,8))),ISNUMBER(-LEFT(CH2503,8))),VALUE(LEFT(CH2503,4)),VALUE(LEFT(CH2503,FIND("-",CH2503)-1)))),""))</f>
        <v/>
      </c>
      <c r="CN2503">
        <f>IF(CH2503="","",IFERROR(IF(AND(LEN(CH2503)=9,ISERROR(FIND("-",LEFT(CH2503,8))),ISNUMBER(-LEFT(CH2503,8))),VALUE(MID(CH2503,5,2)),VALUE(MID(CH2503,FIND("-",CH2503)+1,FIND("-",CH2503,FIND("-",CH2503)+1)-FIND("-",CH2503)-1))),""))</f>
        <v/>
      </c>
      <c r="CO2503">
        <f>IF(CH2503="","",IFERROR(IF(AND(LEN(CH2503)=9,ISERROR(FIND("-",LEFT(CH2503,8))),ISNUMBER(-LEFT(CH2503,8))),VALUE(MID(CH2503,7,2)),VALUE(MID(CH2503,FIND("-",CH2503,FIND("-",CH2503)+1)+1,FIND("-",CH2503,FIND("-",CH2503,FIND("-",CH2503)+1)+1)-FIND("-",CH2503,FIND("-",CH2503)+1)-1))),""))</f>
        <v/>
      </c>
    </row>
    <row r="2504">
      <c r="CH2504">
        <f>IF(ISTEXT('월 가계부'!A2504),SUBSTITUTE(SUBSTITUTE(SUBSTITUTE(SUBSTITUTE(SUBSTITUTE(SUBSTITUTE(SUBSTITUTE(SUBSTITUTE(SUBSTITUTE(TRIM('월 가계부'!A2504),"년","-"),"월","-"),"일",""),".","-"),"/","-")," ","-"),"--","-"),"--","-"),"--","-")&amp;"-","")</f>
        <v/>
      </c>
      <c r="CI2504">
        <f>IFERROR(IF('월 가계부'!A2504="","",IF(ISNUMBER('월 가계부'!A2504),IF(AND('월 가계부'!A2504&gt;=19000101,'월 가계부'!A2504&lt;=21001231),IF(AND(MOD(INT('월 가계부'!A2504/100),100)&gt;=1,MOD(INT('월 가계부'!A2504/100),100)&lt;=12,MOD(INT('월 가계부'!A2504),100)&gt;=1,MOD(INT('월 가계부'!A2504),100)&lt;=31),IF(MONTH(DATE(INT('월 가계부'!A2504/10000),MOD(INT('월 가계부'!A2504/100),100),MOD(INT('월 가계부'!A2504),100)))=MOD(INT('월 가계부'!A2504/100),100),DATE(INT('월 가계부'!A2504/10000),MOD(INT('월 가계부'!A2504/100),100),MOD(INT('월 가계부'!A2504),100)),""),""),IF(AND('월 가계부'!A2504&gt;=36526,'월 가계부'!A2504&lt;73051),INT('월 가계부'!A2504),"")),IF(OR(CM2504="",CN2504="",CO2504=""),"",IF(AND(CM2504&gt;=2000,CM2504&lt;=2099,CN2504&gt;=1,CN2504&lt;=12,CO2504&gt;=1,CO2504&lt;=31),IF(MONTH(DATE(CM2504,CN2504,CO2504))=CN2504,DATE(CM2504,CN2504,CO2504),""),"")))),"")</f>
        <v/>
      </c>
      <c r="CJ2504">
        <f>IFERROR(IF('월 가계부'!C2504="","",IF(ISNUMBER('월 가계부'!C2504),'월 가계부'!C2504,VALUE(SUBSTITUTE(SUBSTITUTE(SUBSTITUTE(SUBSTITUTE(TRIM('월 가계부'!C2504),",",""),"원","")," ",""),"−","-")))),"")</f>
        <v/>
      </c>
      <c r="CK2504">
        <f>IF(ISNUMBER(CI2504),IF(CI2504&lt;$B$13,CI2504,""),"")</f>
        <v/>
      </c>
      <c r="CM2504">
        <f>IF(CH2504="","",IFERROR(IF(IF(AND(LEN(CH2504)=9,ISERROR(FIND("-",LEFT(CH2504,8))),ISNUMBER(-LEFT(CH2504,8))),VALUE(LEFT(CH2504,4)),VALUE(LEFT(CH2504,FIND("-",CH2504)-1)))&lt;100,IF(AND(LEN(CH2504)=9,ISERROR(FIND("-",LEFT(CH2504,8))),ISNUMBER(-LEFT(CH2504,8))),VALUE(LEFT(CH2504,4)),VALUE(LEFT(CH2504,FIND("-",CH2504)-1)))+2000,IF(AND(LEN(CH2504)=9,ISERROR(FIND("-",LEFT(CH2504,8))),ISNUMBER(-LEFT(CH2504,8))),VALUE(LEFT(CH2504,4)),VALUE(LEFT(CH2504,FIND("-",CH2504)-1)))),""))</f>
        <v/>
      </c>
      <c r="CN2504">
        <f>IF(CH2504="","",IFERROR(IF(AND(LEN(CH2504)=9,ISERROR(FIND("-",LEFT(CH2504,8))),ISNUMBER(-LEFT(CH2504,8))),VALUE(MID(CH2504,5,2)),VALUE(MID(CH2504,FIND("-",CH2504)+1,FIND("-",CH2504,FIND("-",CH2504)+1)-FIND("-",CH2504)-1))),""))</f>
        <v/>
      </c>
      <c r="CO2504">
        <f>IF(CH2504="","",IFERROR(IF(AND(LEN(CH2504)=9,ISERROR(FIND("-",LEFT(CH2504,8))),ISNUMBER(-LEFT(CH2504,8))),VALUE(MID(CH2504,7,2)),VALUE(MID(CH2504,FIND("-",CH2504,FIND("-",CH2504)+1)+1,FIND("-",CH2504,FIND("-",CH2504,FIND("-",CH2504)+1)+1)-FIND("-",CH2504,FIND("-",CH2504)+1)-1))),""))</f>
        <v/>
      </c>
    </row>
    <row r="2505">
      <c r="CH2505">
        <f>IF(ISTEXT('월 가계부'!A2505),SUBSTITUTE(SUBSTITUTE(SUBSTITUTE(SUBSTITUTE(SUBSTITUTE(SUBSTITUTE(SUBSTITUTE(SUBSTITUTE(SUBSTITUTE(TRIM('월 가계부'!A2505),"년","-"),"월","-"),"일",""),".","-"),"/","-")," ","-"),"--","-"),"--","-"),"--","-")&amp;"-","")</f>
        <v/>
      </c>
      <c r="CI2505">
        <f>IFERROR(IF('월 가계부'!A2505="","",IF(ISNUMBER('월 가계부'!A2505),IF(AND('월 가계부'!A2505&gt;=19000101,'월 가계부'!A2505&lt;=21001231),IF(AND(MOD(INT('월 가계부'!A2505/100),100)&gt;=1,MOD(INT('월 가계부'!A2505/100),100)&lt;=12,MOD(INT('월 가계부'!A2505),100)&gt;=1,MOD(INT('월 가계부'!A2505),100)&lt;=31),IF(MONTH(DATE(INT('월 가계부'!A2505/10000),MOD(INT('월 가계부'!A2505/100),100),MOD(INT('월 가계부'!A2505),100)))=MOD(INT('월 가계부'!A2505/100),100),DATE(INT('월 가계부'!A2505/10000),MOD(INT('월 가계부'!A2505/100),100),MOD(INT('월 가계부'!A2505),100)),""),""),IF(AND('월 가계부'!A2505&gt;=36526,'월 가계부'!A2505&lt;73051),INT('월 가계부'!A2505),"")),IF(OR(CM2505="",CN2505="",CO2505=""),"",IF(AND(CM2505&gt;=2000,CM2505&lt;=2099,CN2505&gt;=1,CN2505&lt;=12,CO2505&gt;=1,CO2505&lt;=31),IF(MONTH(DATE(CM2505,CN2505,CO2505))=CN2505,DATE(CM2505,CN2505,CO2505),""),"")))),"")</f>
        <v/>
      </c>
      <c r="CJ2505">
        <f>IFERROR(IF('월 가계부'!C2505="","",IF(ISNUMBER('월 가계부'!C2505),'월 가계부'!C2505,VALUE(SUBSTITUTE(SUBSTITUTE(SUBSTITUTE(SUBSTITUTE(TRIM('월 가계부'!C2505),",",""),"원","")," ",""),"−","-")))),"")</f>
        <v/>
      </c>
      <c r="CK2505">
        <f>IF(ISNUMBER(CI2505),IF(CI2505&lt;$B$13,CI2505,""),"")</f>
        <v/>
      </c>
      <c r="CM2505">
        <f>IF(CH2505="","",IFERROR(IF(IF(AND(LEN(CH2505)=9,ISERROR(FIND("-",LEFT(CH2505,8))),ISNUMBER(-LEFT(CH2505,8))),VALUE(LEFT(CH2505,4)),VALUE(LEFT(CH2505,FIND("-",CH2505)-1)))&lt;100,IF(AND(LEN(CH2505)=9,ISERROR(FIND("-",LEFT(CH2505,8))),ISNUMBER(-LEFT(CH2505,8))),VALUE(LEFT(CH2505,4)),VALUE(LEFT(CH2505,FIND("-",CH2505)-1)))+2000,IF(AND(LEN(CH2505)=9,ISERROR(FIND("-",LEFT(CH2505,8))),ISNUMBER(-LEFT(CH2505,8))),VALUE(LEFT(CH2505,4)),VALUE(LEFT(CH2505,FIND("-",CH2505)-1)))),""))</f>
        <v/>
      </c>
      <c r="CN2505">
        <f>IF(CH2505="","",IFERROR(IF(AND(LEN(CH2505)=9,ISERROR(FIND("-",LEFT(CH2505,8))),ISNUMBER(-LEFT(CH2505,8))),VALUE(MID(CH2505,5,2)),VALUE(MID(CH2505,FIND("-",CH2505)+1,FIND("-",CH2505,FIND("-",CH2505)+1)-FIND("-",CH2505)-1))),""))</f>
        <v/>
      </c>
      <c r="CO2505">
        <f>IF(CH2505="","",IFERROR(IF(AND(LEN(CH2505)=9,ISERROR(FIND("-",LEFT(CH2505,8))),ISNUMBER(-LEFT(CH2505,8))),VALUE(MID(CH2505,7,2)),VALUE(MID(CH2505,FIND("-",CH2505,FIND("-",CH2505)+1)+1,FIND("-",CH2505,FIND("-",CH2505,FIND("-",CH2505)+1)+1)-FIND("-",CH2505,FIND("-",CH2505)+1)-1))),""))</f>
        <v/>
      </c>
    </row>
    <row r="2506">
      <c r="CH2506">
        <f>IF(ISTEXT('월 가계부'!A2506),SUBSTITUTE(SUBSTITUTE(SUBSTITUTE(SUBSTITUTE(SUBSTITUTE(SUBSTITUTE(SUBSTITUTE(SUBSTITUTE(SUBSTITUTE(TRIM('월 가계부'!A2506),"년","-"),"월","-"),"일",""),".","-"),"/","-")," ","-"),"--","-"),"--","-"),"--","-")&amp;"-","")</f>
        <v/>
      </c>
      <c r="CI2506">
        <f>IFERROR(IF('월 가계부'!A2506="","",IF(ISNUMBER('월 가계부'!A2506),IF(AND('월 가계부'!A2506&gt;=19000101,'월 가계부'!A2506&lt;=21001231),IF(AND(MOD(INT('월 가계부'!A2506/100),100)&gt;=1,MOD(INT('월 가계부'!A2506/100),100)&lt;=12,MOD(INT('월 가계부'!A2506),100)&gt;=1,MOD(INT('월 가계부'!A2506),100)&lt;=31),IF(MONTH(DATE(INT('월 가계부'!A2506/10000),MOD(INT('월 가계부'!A2506/100),100),MOD(INT('월 가계부'!A2506),100)))=MOD(INT('월 가계부'!A2506/100),100),DATE(INT('월 가계부'!A2506/10000),MOD(INT('월 가계부'!A2506/100),100),MOD(INT('월 가계부'!A2506),100)),""),""),IF(AND('월 가계부'!A2506&gt;=36526,'월 가계부'!A2506&lt;73051),INT('월 가계부'!A2506),"")),IF(OR(CM2506="",CN2506="",CO2506=""),"",IF(AND(CM2506&gt;=2000,CM2506&lt;=2099,CN2506&gt;=1,CN2506&lt;=12,CO2506&gt;=1,CO2506&lt;=31),IF(MONTH(DATE(CM2506,CN2506,CO2506))=CN2506,DATE(CM2506,CN2506,CO2506),""),"")))),"")</f>
        <v/>
      </c>
      <c r="CJ2506">
        <f>IFERROR(IF('월 가계부'!C2506="","",IF(ISNUMBER('월 가계부'!C2506),'월 가계부'!C2506,VALUE(SUBSTITUTE(SUBSTITUTE(SUBSTITUTE(SUBSTITUTE(TRIM('월 가계부'!C2506),",",""),"원","")," ",""),"−","-")))),"")</f>
        <v/>
      </c>
      <c r="CK2506">
        <f>IF(ISNUMBER(CI2506),IF(CI2506&lt;$B$13,CI2506,""),"")</f>
        <v/>
      </c>
      <c r="CM2506">
        <f>IF(CH2506="","",IFERROR(IF(IF(AND(LEN(CH2506)=9,ISERROR(FIND("-",LEFT(CH2506,8))),ISNUMBER(-LEFT(CH2506,8))),VALUE(LEFT(CH2506,4)),VALUE(LEFT(CH2506,FIND("-",CH2506)-1)))&lt;100,IF(AND(LEN(CH2506)=9,ISERROR(FIND("-",LEFT(CH2506,8))),ISNUMBER(-LEFT(CH2506,8))),VALUE(LEFT(CH2506,4)),VALUE(LEFT(CH2506,FIND("-",CH2506)-1)))+2000,IF(AND(LEN(CH2506)=9,ISERROR(FIND("-",LEFT(CH2506,8))),ISNUMBER(-LEFT(CH2506,8))),VALUE(LEFT(CH2506,4)),VALUE(LEFT(CH2506,FIND("-",CH2506)-1)))),""))</f>
        <v/>
      </c>
      <c r="CN2506">
        <f>IF(CH2506="","",IFERROR(IF(AND(LEN(CH2506)=9,ISERROR(FIND("-",LEFT(CH2506,8))),ISNUMBER(-LEFT(CH2506,8))),VALUE(MID(CH2506,5,2)),VALUE(MID(CH2506,FIND("-",CH2506)+1,FIND("-",CH2506,FIND("-",CH2506)+1)-FIND("-",CH2506)-1))),""))</f>
        <v/>
      </c>
      <c r="CO2506">
        <f>IF(CH2506="","",IFERROR(IF(AND(LEN(CH2506)=9,ISERROR(FIND("-",LEFT(CH2506,8))),ISNUMBER(-LEFT(CH2506,8))),VALUE(MID(CH2506,7,2)),VALUE(MID(CH2506,FIND("-",CH2506,FIND("-",CH2506)+1)+1,FIND("-",CH2506,FIND("-",CH2506,FIND("-",CH2506)+1)+1)-FIND("-",CH2506,FIND("-",CH2506)+1)-1))),""))</f>
        <v/>
      </c>
    </row>
    <row r="2507">
      <c r="CH2507">
        <f>IF(ISTEXT('월 가계부'!A2507),SUBSTITUTE(SUBSTITUTE(SUBSTITUTE(SUBSTITUTE(SUBSTITUTE(SUBSTITUTE(SUBSTITUTE(SUBSTITUTE(SUBSTITUTE(TRIM('월 가계부'!A2507),"년","-"),"월","-"),"일",""),".","-"),"/","-")," ","-"),"--","-"),"--","-"),"--","-")&amp;"-","")</f>
        <v/>
      </c>
      <c r="CI2507">
        <f>IFERROR(IF('월 가계부'!A2507="","",IF(ISNUMBER('월 가계부'!A2507),IF(AND('월 가계부'!A2507&gt;=19000101,'월 가계부'!A2507&lt;=21001231),IF(AND(MOD(INT('월 가계부'!A2507/100),100)&gt;=1,MOD(INT('월 가계부'!A2507/100),100)&lt;=12,MOD(INT('월 가계부'!A2507),100)&gt;=1,MOD(INT('월 가계부'!A2507),100)&lt;=31),IF(MONTH(DATE(INT('월 가계부'!A2507/10000),MOD(INT('월 가계부'!A2507/100),100),MOD(INT('월 가계부'!A2507),100)))=MOD(INT('월 가계부'!A2507/100),100),DATE(INT('월 가계부'!A2507/10000),MOD(INT('월 가계부'!A2507/100),100),MOD(INT('월 가계부'!A2507),100)),""),""),IF(AND('월 가계부'!A2507&gt;=36526,'월 가계부'!A2507&lt;73051),INT('월 가계부'!A2507),"")),IF(OR(CM2507="",CN2507="",CO2507=""),"",IF(AND(CM2507&gt;=2000,CM2507&lt;=2099,CN2507&gt;=1,CN2507&lt;=12,CO2507&gt;=1,CO2507&lt;=31),IF(MONTH(DATE(CM2507,CN2507,CO2507))=CN2507,DATE(CM2507,CN2507,CO2507),""),"")))),"")</f>
        <v/>
      </c>
      <c r="CJ2507">
        <f>IFERROR(IF('월 가계부'!C2507="","",IF(ISNUMBER('월 가계부'!C2507),'월 가계부'!C2507,VALUE(SUBSTITUTE(SUBSTITUTE(SUBSTITUTE(SUBSTITUTE(TRIM('월 가계부'!C2507),",",""),"원","")," ",""),"−","-")))),"")</f>
        <v/>
      </c>
      <c r="CK2507">
        <f>IF(ISNUMBER(CI2507),IF(CI2507&lt;$B$13,CI2507,""),"")</f>
        <v/>
      </c>
      <c r="CM2507">
        <f>IF(CH2507="","",IFERROR(IF(IF(AND(LEN(CH2507)=9,ISERROR(FIND("-",LEFT(CH2507,8))),ISNUMBER(-LEFT(CH2507,8))),VALUE(LEFT(CH2507,4)),VALUE(LEFT(CH2507,FIND("-",CH2507)-1)))&lt;100,IF(AND(LEN(CH2507)=9,ISERROR(FIND("-",LEFT(CH2507,8))),ISNUMBER(-LEFT(CH2507,8))),VALUE(LEFT(CH2507,4)),VALUE(LEFT(CH2507,FIND("-",CH2507)-1)))+2000,IF(AND(LEN(CH2507)=9,ISERROR(FIND("-",LEFT(CH2507,8))),ISNUMBER(-LEFT(CH2507,8))),VALUE(LEFT(CH2507,4)),VALUE(LEFT(CH2507,FIND("-",CH2507)-1)))),""))</f>
        <v/>
      </c>
      <c r="CN2507">
        <f>IF(CH2507="","",IFERROR(IF(AND(LEN(CH2507)=9,ISERROR(FIND("-",LEFT(CH2507,8))),ISNUMBER(-LEFT(CH2507,8))),VALUE(MID(CH2507,5,2)),VALUE(MID(CH2507,FIND("-",CH2507)+1,FIND("-",CH2507,FIND("-",CH2507)+1)-FIND("-",CH2507)-1))),""))</f>
        <v/>
      </c>
      <c r="CO2507">
        <f>IF(CH2507="","",IFERROR(IF(AND(LEN(CH2507)=9,ISERROR(FIND("-",LEFT(CH2507,8))),ISNUMBER(-LEFT(CH2507,8))),VALUE(MID(CH2507,7,2)),VALUE(MID(CH2507,FIND("-",CH2507,FIND("-",CH2507)+1)+1,FIND("-",CH2507,FIND("-",CH2507,FIND("-",CH2507)+1)+1)-FIND("-",CH2507,FIND("-",CH2507)+1)-1))),""))</f>
        <v/>
      </c>
    </row>
    <row r="2508">
      <c r="CH2508">
        <f>IF(ISTEXT('월 가계부'!A2508),SUBSTITUTE(SUBSTITUTE(SUBSTITUTE(SUBSTITUTE(SUBSTITUTE(SUBSTITUTE(SUBSTITUTE(SUBSTITUTE(SUBSTITUTE(TRIM('월 가계부'!A2508),"년","-"),"월","-"),"일",""),".","-"),"/","-")," ","-"),"--","-"),"--","-"),"--","-")&amp;"-","")</f>
        <v/>
      </c>
      <c r="CI2508">
        <f>IFERROR(IF('월 가계부'!A2508="","",IF(ISNUMBER('월 가계부'!A2508),IF(AND('월 가계부'!A2508&gt;=19000101,'월 가계부'!A2508&lt;=21001231),IF(AND(MOD(INT('월 가계부'!A2508/100),100)&gt;=1,MOD(INT('월 가계부'!A2508/100),100)&lt;=12,MOD(INT('월 가계부'!A2508),100)&gt;=1,MOD(INT('월 가계부'!A2508),100)&lt;=31),IF(MONTH(DATE(INT('월 가계부'!A2508/10000),MOD(INT('월 가계부'!A2508/100),100),MOD(INT('월 가계부'!A2508),100)))=MOD(INT('월 가계부'!A2508/100),100),DATE(INT('월 가계부'!A2508/10000),MOD(INT('월 가계부'!A2508/100),100),MOD(INT('월 가계부'!A2508),100)),""),""),IF(AND('월 가계부'!A2508&gt;=36526,'월 가계부'!A2508&lt;73051),INT('월 가계부'!A2508),"")),IF(OR(CM2508="",CN2508="",CO2508=""),"",IF(AND(CM2508&gt;=2000,CM2508&lt;=2099,CN2508&gt;=1,CN2508&lt;=12,CO2508&gt;=1,CO2508&lt;=31),IF(MONTH(DATE(CM2508,CN2508,CO2508))=CN2508,DATE(CM2508,CN2508,CO2508),""),"")))),"")</f>
        <v/>
      </c>
      <c r="CJ2508">
        <f>IFERROR(IF('월 가계부'!C2508="","",IF(ISNUMBER('월 가계부'!C2508),'월 가계부'!C2508,VALUE(SUBSTITUTE(SUBSTITUTE(SUBSTITUTE(SUBSTITUTE(TRIM('월 가계부'!C2508),",",""),"원","")," ",""),"−","-")))),"")</f>
        <v/>
      </c>
      <c r="CK2508">
        <f>IF(ISNUMBER(CI2508),IF(CI2508&lt;$B$13,CI2508,""),"")</f>
        <v/>
      </c>
      <c r="CM2508">
        <f>IF(CH2508="","",IFERROR(IF(IF(AND(LEN(CH2508)=9,ISERROR(FIND("-",LEFT(CH2508,8))),ISNUMBER(-LEFT(CH2508,8))),VALUE(LEFT(CH2508,4)),VALUE(LEFT(CH2508,FIND("-",CH2508)-1)))&lt;100,IF(AND(LEN(CH2508)=9,ISERROR(FIND("-",LEFT(CH2508,8))),ISNUMBER(-LEFT(CH2508,8))),VALUE(LEFT(CH2508,4)),VALUE(LEFT(CH2508,FIND("-",CH2508)-1)))+2000,IF(AND(LEN(CH2508)=9,ISERROR(FIND("-",LEFT(CH2508,8))),ISNUMBER(-LEFT(CH2508,8))),VALUE(LEFT(CH2508,4)),VALUE(LEFT(CH2508,FIND("-",CH2508)-1)))),""))</f>
        <v/>
      </c>
      <c r="CN2508">
        <f>IF(CH2508="","",IFERROR(IF(AND(LEN(CH2508)=9,ISERROR(FIND("-",LEFT(CH2508,8))),ISNUMBER(-LEFT(CH2508,8))),VALUE(MID(CH2508,5,2)),VALUE(MID(CH2508,FIND("-",CH2508)+1,FIND("-",CH2508,FIND("-",CH2508)+1)-FIND("-",CH2508)-1))),""))</f>
        <v/>
      </c>
      <c r="CO2508">
        <f>IF(CH2508="","",IFERROR(IF(AND(LEN(CH2508)=9,ISERROR(FIND("-",LEFT(CH2508,8))),ISNUMBER(-LEFT(CH2508,8))),VALUE(MID(CH2508,7,2)),VALUE(MID(CH2508,FIND("-",CH2508,FIND("-",CH2508)+1)+1,FIND("-",CH2508,FIND("-",CH2508,FIND("-",CH2508)+1)+1)-FIND("-",CH2508,FIND("-",CH2508)+1)-1))),""))</f>
        <v/>
      </c>
    </row>
    <row r="2509">
      <c r="CH2509">
        <f>IF(ISTEXT('월 가계부'!A2509),SUBSTITUTE(SUBSTITUTE(SUBSTITUTE(SUBSTITUTE(SUBSTITUTE(SUBSTITUTE(SUBSTITUTE(SUBSTITUTE(SUBSTITUTE(TRIM('월 가계부'!A2509),"년","-"),"월","-"),"일",""),".","-"),"/","-")," ","-"),"--","-"),"--","-"),"--","-")&amp;"-","")</f>
        <v/>
      </c>
      <c r="CI2509">
        <f>IFERROR(IF('월 가계부'!A2509="","",IF(ISNUMBER('월 가계부'!A2509),IF(AND('월 가계부'!A2509&gt;=19000101,'월 가계부'!A2509&lt;=21001231),IF(AND(MOD(INT('월 가계부'!A2509/100),100)&gt;=1,MOD(INT('월 가계부'!A2509/100),100)&lt;=12,MOD(INT('월 가계부'!A2509),100)&gt;=1,MOD(INT('월 가계부'!A2509),100)&lt;=31),IF(MONTH(DATE(INT('월 가계부'!A2509/10000),MOD(INT('월 가계부'!A2509/100),100),MOD(INT('월 가계부'!A2509),100)))=MOD(INT('월 가계부'!A2509/100),100),DATE(INT('월 가계부'!A2509/10000),MOD(INT('월 가계부'!A2509/100),100),MOD(INT('월 가계부'!A2509),100)),""),""),IF(AND('월 가계부'!A2509&gt;=36526,'월 가계부'!A2509&lt;73051),INT('월 가계부'!A2509),"")),IF(OR(CM2509="",CN2509="",CO2509=""),"",IF(AND(CM2509&gt;=2000,CM2509&lt;=2099,CN2509&gt;=1,CN2509&lt;=12,CO2509&gt;=1,CO2509&lt;=31),IF(MONTH(DATE(CM2509,CN2509,CO2509))=CN2509,DATE(CM2509,CN2509,CO2509),""),"")))),"")</f>
        <v/>
      </c>
      <c r="CJ2509">
        <f>IFERROR(IF('월 가계부'!C2509="","",IF(ISNUMBER('월 가계부'!C2509),'월 가계부'!C2509,VALUE(SUBSTITUTE(SUBSTITUTE(SUBSTITUTE(SUBSTITUTE(TRIM('월 가계부'!C2509),",",""),"원","")," ",""),"−","-")))),"")</f>
        <v/>
      </c>
      <c r="CK2509">
        <f>IF(ISNUMBER(CI2509),IF(CI2509&lt;$B$13,CI2509,""),"")</f>
        <v/>
      </c>
      <c r="CM2509">
        <f>IF(CH2509="","",IFERROR(IF(IF(AND(LEN(CH2509)=9,ISERROR(FIND("-",LEFT(CH2509,8))),ISNUMBER(-LEFT(CH2509,8))),VALUE(LEFT(CH2509,4)),VALUE(LEFT(CH2509,FIND("-",CH2509)-1)))&lt;100,IF(AND(LEN(CH2509)=9,ISERROR(FIND("-",LEFT(CH2509,8))),ISNUMBER(-LEFT(CH2509,8))),VALUE(LEFT(CH2509,4)),VALUE(LEFT(CH2509,FIND("-",CH2509)-1)))+2000,IF(AND(LEN(CH2509)=9,ISERROR(FIND("-",LEFT(CH2509,8))),ISNUMBER(-LEFT(CH2509,8))),VALUE(LEFT(CH2509,4)),VALUE(LEFT(CH2509,FIND("-",CH2509)-1)))),""))</f>
        <v/>
      </c>
      <c r="CN2509">
        <f>IF(CH2509="","",IFERROR(IF(AND(LEN(CH2509)=9,ISERROR(FIND("-",LEFT(CH2509,8))),ISNUMBER(-LEFT(CH2509,8))),VALUE(MID(CH2509,5,2)),VALUE(MID(CH2509,FIND("-",CH2509)+1,FIND("-",CH2509,FIND("-",CH2509)+1)-FIND("-",CH2509)-1))),""))</f>
        <v/>
      </c>
      <c r="CO2509">
        <f>IF(CH2509="","",IFERROR(IF(AND(LEN(CH2509)=9,ISERROR(FIND("-",LEFT(CH2509,8))),ISNUMBER(-LEFT(CH2509,8))),VALUE(MID(CH2509,7,2)),VALUE(MID(CH2509,FIND("-",CH2509,FIND("-",CH2509)+1)+1,FIND("-",CH2509,FIND("-",CH2509,FIND("-",CH2509)+1)+1)-FIND("-",CH2509,FIND("-",CH2509)+1)-1))),""))</f>
        <v/>
      </c>
    </row>
    <row r="2510">
      <c r="CH2510">
        <f>IF(ISTEXT('월 가계부'!A2510),SUBSTITUTE(SUBSTITUTE(SUBSTITUTE(SUBSTITUTE(SUBSTITUTE(SUBSTITUTE(SUBSTITUTE(SUBSTITUTE(SUBSTITUTE(TRIM('월 가계부'!A2510),"년","-"),"월","-"),"일",""),".","-"),"/","-")," ","-"),"--","-"),"--","-"),"--","-")&amp;"-","")</f>
        <v/>
      </c>
      <c r="CI2510">
        <f>IFERROR(IF('월 가계부'!A2510="","",IF(ISNUMBER('월 가계부'!A2510),IF(AND('월 가계부'!A2510&gt;=19000101,'월 가계부'!A2510&lt;=21001231),IF(AND(MOD(INT('월 가계부'!A2510/100),100)&gt;=1,MOD(INT('월 가계부'!A2510/100),100)&lt;=12,MOD(INT('월 가계부'!A2510),100)&gt;=1,MOD(INT('월 가계부'!A2510),100)&lt;=31),IF(MONTH(DATE(INT('월 가계부'!A2510/10000),MOD(INT('월 가계부'!A2510/100),100),MOD(INT('월 가계부'!A2510),100)))=MOD(INT('월 가계부'!A2510/100),100),DATE(INT('월 가계부'!A2510/10000),MOD(INT('월 가계부'!A2510/100),100),MOD(INT('월 가계부'!A2510),100)),""),""),IF(AND('월 가계부'!A2510&gt;=36526,'월 가계부'!A2510&lt;73051),INT('월 가계부'!A2510),"")),IF(OR(CM2510="",CN2510="",CO2510=""),"",IF(AND(CM2510&gt;=2000,CM2510&lt;=2099,CN2510&gt;=1,CN2510&lt;=12,CO2510&gt;=1,CO2510&lt;=31),IF(MONTH(DATE(CM2510,CN2510,CO2510))=CN2510,DATE(CM2510,CN2510,CO2510),""),"")))),"")</f>
        <v/>
      </c>
      <c r="CJ2510">
        <f>IFERROR(IF('월 가계부'!C2510="","",IF(ISNUMBER('월 가계부'!C2510),'월 가계부'!C2510,VALUE(SUBSTITUTE(SUBSTITUTE(SUBSTITUTE(SUBSTITUTE(TRIM('월 가계부'!C2510),",",""),"원","")," ",""),"−","-")))),"")</f>
        <v/>
      </c>
      <c r="CK2510">
        <f>IF(ISNUMBER(CI2510),IF(CI2510&lt;$B$13,CI2510,""),"")</f>
        <v/>
      </c>
      <c r="CM2510">
        <f>IF(CH2510="","",IFERROR(IF(IF(AND(LEN(CH2510)=9,ISERROR(FIND("-",LEFT(CH2510,8))),ISNUMBER(-LEFT(CH2510,8))),VALUE(LEFT(CH2510,4)),VALUE(LEFT(CH2510,FIND("-",CH2510)-1)))&lt;100,IF(AND(LEN(CH2510)=9,ISERROR(FIND("-",LEFT(CH2510,8))),ISNUMBER(-LEFT(CH2510,8))),VALUE(LEFT(CH2510,4)),VALUE(LEFT(CH2510,FIND("-",CH2510)-1)))+2000,IF(AND(LEN(CH2510)=9,ISERROR(FIND("-",LEFT(CH2510,8))),ISNUMBER(-LEFT(CH2510,8))),VALUE(LEFT(CH2510,4)),VALUE(LEFT(CH2510,FIND("-",CH2510)-1)))),""))</f>
        <v/>
      </c>
      <c r="CN2510">
        <f>IF(CH2510="","",IFERROR(IF(AND(LEN(CH2510)=9,ISERROR(FIND("-",LEFT(CH2510,8))),ISNUMBER(-LEFT(CH2510,8))),VALUE(MID(CH2510,5,2)),VALUE(MID(CH2510,FIND("-",CH2510)+1,FIND("-",CH2510,FIND("-",CH2510)+1)-FIND("-",CH2510)-1))),""))</f>
        <v/>
      </c>
      <c r="CO2510">
        <f>IF(CH2510="","",IFERROR(IF(AND(LEN(CH2510)=9,ISERROR(FIND("-",LEFT(CH2510,8))),ISNUMBER(-LEFT(CH2510,8))),VALUE(MID(CH2510,7,2)),VALUE(MID(CH2510,FIND("-",CH2510,FIND("-",CH2510)+1)+1,FIND("-",CH2510,FIND("-",CH2510,FIND("-",CH2510)+1)+1)-FIND("-",CH2510,FIND("-",CH2510)+1)-1))),""))</f>
        <v/>
      </c>
    </row>
    <row r="2511">
      <c r="CH2511">
        <f>IF(ISTEXT('월 가계부'!A2511),SUBSTITUTE(SUBSTITUTE(SUBSTITUTE(SUBSTITUTE(SUBSTITUTE(SUBSTITUTE(SUBSTITUTE(SUBSTITUTE(SUBSTITUTE(TRIM('월 가계부'!A2511),"년","-"),"월","-"),"일",""),".","-"),"/","-")," ","-"),"--","-"),"--","-"),"--","-")&amp;"-","")</f>
        <v/>
      </c>
      <c r="CI2511">
        <f>IFERROR(IF('월 가계부'!A2511="","",IF(ISNUMBER('월 가계부'!A2511),IF(AND('월 가계부'!A2511&gt;=19000101,'월 가계부'!A2511&lt;=21001231),IF(AND(MOD(INT('월 가계부'!A2511/100),100)&gt;=1,MOD(INT('월 가계부'!A2511/100),100)&lt;=12,MOD(INT('월 가계부'!A2511),100)&gt;=1,MOD(INT('월 가계부'!A2511),100)&lt;=31),IF(MONTH(DATE(INT('월 가계부'!A2511/10000),MOD(INT('월 가계부'!A2511/100),100),MOD(INT('월 가계부'!A2511),100)))=MOD(INT('월 가계부'!A2511/100),100),DATE(INT('월 가계부'!A2511/10000),MOD(INT('월 가계부'!A2511/100),100),MOD(INT('월 가계부'!A2511),100)),""),""),IF(AND('월 가계부'!A2511&gt;=36526,'월 가계부'!A2511&lt;73051),INT('월 가계부'!A2511),"")),IF(OR(CM2511="",CN2511="",CO2511=""),"",IF(AND(CM2511&gt;=2000,CM2511&lt;=2099,CN2511&gt;=1,CN2511&lt;=12,CO2511&gt;=1,CO2511&lt;=31),IF(MONTH(DATE(CM2511,CN2511,CO2511))=CN2511,DATE(CM2511,CN2511,CO2511),""),"")))),"")</f>
        <v/>
      </c>
      <c r="CJ2511">
        <f>IFERROR(IF('월 가계부'!C2511="","",IF(ISNUMBER('월 가계부'!C2511),'월 가계부'!C2511,VALUE(SUBSTITUTE(SUBSTITUTE(SUBSTITUTE(SUBSTITUTE(TRIM('월 가계부'!C2511),",",""),"원","")," ",""),"−","-")))),"")</f>
        <v/>
      </c>
      <c r="CK2511">
        <f>IF(ISNUMBER(CI2511),IF(CI2511&lt;$B$13,CI2511,""),"")</f>
        <v/>
      </c>
      <c r="CM2511">
        <f>IF(CH2511="","",IFERROR(IF(IF(AND(LEN(CH2511)=9,ISERROR(FIND("-",LEFT(CH2511,8))),ISNUMBER(-LEFT(CH2511,8))),VALUE(LEFT(CH2511,4)),VALUE(LEFT(CH2511,FIND("-",CH2511)-1)))&lt;100,IF(AND(LEN(CH2511)=9,ISERROR(FIND("-",LEFT(CH2511,8))),ISNUMBER(-LEFT(CH2511,8))),VALUE(LEFT(CH2511,4)),VALUE(LEFT(CH2511,FIND("-",CH2511)-1)))+2000,IF(AND(LEN(CH2511)=9,ISERROR(FIND("-",LEFT(CH2511,8))),ISNUMBER(-LEFT(CH2511,8))),VALUE(LEFT(CH2511,4)),VALUE(LEFT(CH2511,FIND("-",CH2511)-1)))),""))</f>
        <v/>
      </c>
      <c r="CN2511">
        <f>IF(CH2511="","",IFERROR(IF(AND(LEN(CH2511)=9,ISERROR(FIND("-",LEFT(CH2511,8))),ISNUMBER(-LEFT(CH2511,8))),VALUE(MID(CH2511,5,2)),VALUE(MID(CH2511,FIND("-",CH2511)+1,FIND("-",CH2511,FIND("-",CH2511)+1)-FIND("-",CH2511)-1))),""))</f>
        <v/>
      </c>
      <c r="CO2511">
        <f>IF(CH2511="","",IFERROR(IF(AND(LEN(CH2511)=9,ISERROR(FIND("-",LEFT(CH2511,8))),ISNUMBER(-LEFT(CH2511,8))),VALUE(MID(CH2511,7,2)),VALUE(MID(CH2511,FIND("-",CH2511,FIND("-",CH2511)+1)+1,FIND("-",CH2511,FIND("-",CH2511,FIND("-",CH2511)+1)+1)-FIND("-",CH2511,FIND("-",CH2511)+1)-1))),""))</f>
        <v/>
      </c>
    </row>
    <row r="2512">
      <c r="CH2512">
        <f>IF(ISTEXT('월 가계부'!A2512),SUBSTITUTE(SUBSTITUTE(SUBSTITUTE(SUBSTITUTE(SUBSTITUTE(SUBSTITUTE(SUBSTITUTE(SUBSTITUTE(SUBSTITUTE(TRIM('월 가계부'!A2512),"년","-"),"월","-"),"일",""),".","-"),"/","-")," ","-"),"--","-"),"--","-"),"--","-")&amp;"-","")</f>
        <v/>
      </c>
      <c r="CI2512">
        <f>IFERROR(IF('월 가계부'!A2512="","",IF(ISNUMBER('월 가계부'!A2512),IF(AND('월 가계부'!A2512&gt;=19000101,'월 가계부'!A2512&lt;=21001231),IF(AND(MOD(INT('월 가계부'!A2512/100),100)&gt;=1,MOD(INT('월 가계부'!A2512/100),100)&lt;=12,MOD(INT('월 가계부'!A2512),100)&gt;=1,MOD(INT('월 가계부'!A2512),100)&lt;=31),IF(MONTH(DATE(INT('월 가계부'!A2512/10000),MOD(INT('월 가계부'!A2512/100),100),MOD(INT('월 가계부'!A2512),100)))=MOD(INT('월 가계부'!A2512/100),100),DATE(INT('월 가계부'!A2512/10000),MOD(INT('월 가계부'!A2512/100),100),MOD(INT('월 가계부'!A2512),100)),""),""),IF(AND('월 가계부'!A2512&gt;=36526,'월 가계부'!A2512&lt;73051),INT('월 가계부'!A2512),"")),IF(OR(CM2512="",CN2512="",CO2512=""),"",IF(AND(CM2512&gt;=2000,CM2512&lt;=2099,CN2512&gt;=1,CN2512&lt;=12,CO2512&gt;=1,CO2512&lt;=31),IF(MONTH(DATE(CM2512,CN2512,CO2512))=CN2512,DATE(CM2512,CN2512,CO2512),""),"")))),"")</f>
        <v/>
      </c>
      <c r="CJ2512">
        <f>IFERROR(IF('월 가계부'!C2512="","",IF(ISNUMBER('월 가계부'!C2512),'월 가계부'!C2512,VALUE(SUBSTITUTE(SUBSTITUTE(SUBSTITUTE(SUBSTITUTE(TRIM('월 가계부'!C2512),",",""),"원","")," ",""),"−","-")))),"")</f>
        <v/>
      </c>
      <c r="CK2512">
        <f>IF(ISNUMBER(CI2512),IF(CI2512&lt;$B$13,CI2512,""),"")</f>
        <v/>
      </c>
      <c r="CM2512">
        <f>IF(CH2512="","",IFERROR(IF(IF(AND(LEN(CH2512)=9,ISERROR(FIND("-",LEFT(CH2512,8))),ISNUMBER(-LEFT(CH2512,8))),VALUE(LEFT(CH2512,4)),VALUE(LEFT(CH2512,FIND("-",CH2512)-1)))&lt;100,IF(AND(LEN(CH2512)=9,ISERROR(FIND("-",LEFT(CH2512,8))),ISNUMBER(-LEFT(CH2512,8))),VALUE(LEFT(CH2512,4)),VALUE(LEFT(CH2512,FIND("-",CH2512)-1)))+2000,IF(AND(LEN(CH2512)=9,ISERROR(FIND("-",LEFT(CH2512,8))),ISNUMBER(-LEFT(CH2512,8))),VALUE(LEFT(CH2512,4)),VALUE(LEFT(CH2512,FIND("-",CH2512)-1)))),""))</f>
        <v/>
      </c>
      <c r="CN2512">
        <f>IF(CH2512="","",IFERROR(IF(AND(LEN(CH2512)=9,ISERROR(FIND("-",LEFT(CH2512,8))),ISNUMBER(-LEFT(CH2512,8))),VALUE(MID(CH2512,5,2)),VALUE(MID(CH2512,FIND("-",CH2512)+1,FIND("-",CH2512,FIND("-",CH2512)+1)-FIND("-",CH2512)-1))),""))</f>
        <v/>
      </c>
      <c r="CO2512">
        <f>IF(CH2512="","",IFERROR(IF(AND(LEN(CH2512)=9,ISERROR(FIND("-",LEFT(CH2512,8))),ISNUMBER(-LEFT(CH2512,8))),VALUE(MID(CH2512,7,2)),VALUE(MID(CH2512,FIND("-",CH2512,FIND("-",CH2512)+1)+1,FIND("-",CH2512,FIND("-",CH2512,FIND("-",CH2512)+1)+1)-FIND("-",CH2512,FIND("-",CH2512)+1)-1))),""))</f>
        <v/>
      </c>
    </row>
    <row r="2513">
      <c r="CH2513">
        <f>IF(ISTEXT('월 가계부'!A2513),SUBSTITUTE(SUBSTITUTE(SUBSTITUTE(SUBSTITUTE(SUBSTITUTE(SUBSTITUTE(SUBSTITUTE(SUBSTITUTE(SUBSTITUTE(TRIM('월 가계부'!A2513),"년","-"),"월","-"),"일",""),".","-"),"/","-")," ","-"),"--","-"),"--","-"),"--","-")&amp;"-","")</f>
        <v/>
      </c>
      <c r="CI2513">
        <f>IFERROR(IF('월 가계부'!A2513="","",IF(ISNUMBER('월 가계부'!A2513),IF(AND('월 가계부'!A2513&gt;=19000101,'월 가계부'!A2513&lt;=21001231),IF(AND(MOD(INT('월 가계부'!A2513/100),100)&gt;=1,MOD(INT('월 가계부'!A2513/100),100)&lt;=12,MOD(INT('월 가계부'!A2513),100)&gt;=1,MOD(INT('월 가계부'!A2513),100)&lt;=31),IF(MONTH(DATE(INT('월 가계부'!A2513/10000),MOD(INT('월 가계부'!A2513/100),100),MOD(INT('월 가계부'!A2513),100)))=MOD(INT('월 가계부'!A2513/100),100),DATE(INT('월 가계부'!A2513/10000),MOD(INT('월 가계부'!A2513/100),100),MOD(INT('월 가계부'!A2513),100)),""),""),IF(AND('월 가계부'!A2513&gt;=36526,'월 가계부'!A2513&lt;73051),INT('월 가계부'!A2513),"")),IF(OR(CM2513="",CN2513="",CO2513=""),"",IF(AND(CM2513&gt;=2000,CM2513&lt;=2099,CN2513&gt;=1,CN2513&lt;=12,CO2513&gt;=1,CO2513&lt;=31),IF(MONTH(DATE(CM2513,CN2513,CO2513))=CN2513,DATE(CM2513,CN2513,CO2513),""),"")))),"")</f>
        <v/>
      </c>
      <c r="CJ2513">
        <f>IFERROR(IF('월 가계부'!C2513="","",IF(ISNUMBER('월 가계부'!C2513),'월 가계부'!C2513,VALUE(SUBSTITUTE(SUBSTITUTE(SUBSTITUTE(SUBSTITUTE(TRIM('월 가계부'!C2513),",",""),"원","")," ",""),"−","-")))),"")</f>
        <v/>
      </c>
      <c r="CK2513">
        <f>IF(ISNUMBER(CI2513),IF(CI2513&lt;$B$13,CI2513,""),"")</f>
        <v/>
      </c>
      <c r="CM2513">
        <f>IF(CH2513="","",IFERROR(IF(IF(AND(LEN(CH2513)=9,ISERROR(FIND("-",LEFT(CH2513,8))),ISNUMBER(-LEFT(CH2513,8))),VALUE(LEFT(CH2513,4)),VALUE(LEFT(CH2513,FIND("-",CH2513)-1)))&lt;100,IF(AND(LEN(CH2513)=9,ISERROR(FIND("-",LEFT(CH2513,8))),ISNUMBER(-LEFT(CH2513,8))),VALUE(LEFT(CH2513,4)),VALUE(LEFT(CH2513,FIND("-",CH2513)-1)))+2000,IF(AND(LEN(CH2513)=9,ISERROR(FIND("-",LEFT(CH2513,8))),ISNUMBER(-LEFT(CH2513,8))),VALUE(LEFT(CH2513,4)),VALUE(LEFT(CH2513,FIND("-",CH2513)-1)))),""))</f>
        <v/>
      </c>
      <c r="CN2513">
        <f>IF(CH2513="","",IFERROR(IF(AND(LEN(CH2513)=9,ISERROR(FIND("-",LEFT(CH2513,8))),ISNUMBER(-LEFT(CH2513,8))),VALUE(MID(CH2513,5,2)),VALUE(MID(CH2513,FIND("-",CH2513)+1,FIND("-",CH2513,FIND("-",CH2513)+1)-FIND("-",CH2513)-1))),""))</f>
        <v/>
      </c>
      <c r="CO2513">
        <f>IF(CH2513="","",IFERROR(IF(AND(LEN(CH2513)=9,ISERROR(FIND("-",LEFT(CH2513,8))),ISNUMBER(-LEFT(CH2513,8))),VALUE(MID(CH2513,7,2)),VALUE(MID(CH2513,FIND("-",CH2513,FIND("-",CH2513)+1)+1,FIND("-",CH2513,FIND("-",CH2513,FIND("-",CH2513)+1)+1)-FIND("-",CH2513,FIND("-",CH2513)+1)-1))),""))</f>
        <v/>
      </c>
    </row>
    <row r="2514">
      <c r="CH2514">
        <f>IF(ISTEXT('월 가계부'!A2514),SUBSTITUTE(SUBSTITUTE(SUBSTITUTE(SUBSTITUTE(SUBSTITUTE(SUBSTITUTE(SUBSTITUTE(SUBSTITUTE(SUBSTITUTE(TRIM('월 가계부'!A2514),"년","-"),"월","-"),"일",""),".","-"),"/","-")," ","-"),"--","-"),"--","-"),"--","-")&amp;"-","")</f>
        <v/>
      </c>
      <c r="CI2514">
        <f>IFERROR(IF('월 가계부'!A2514="","",IF(ISNUMBER('월 가계부'!A2514),IF(AND('월 가계부'!A2514&gt;=19000101,'월 가계부'!A2514&lt;=21001231),IF(AND(MOD(INT('월 가계부'!A2514/100),100)&gt;=1,MOD(INT('월 가계부'!A2514/100),100)&lt;=12,MOD(INT('월 가계부'!A2514),100)&gt;=1,MOD(INT('월 가계부'!A2514),100)&lt;=31),IF(MONTH(DATE(INT('월 가계부'!A2514/10000),MOD(INT('월 가계부'!A2514/100),100),MOD(INT('월 가계부'!A2514),100)))=MOD(INT('월 가계부'!A2514/100),100),DATE(INT('월 가계부'!A2514/10000),MOD(INT('월 가계부'!A2514/100),100),MOD(INT('월 가계부'!A2514),100)),""),""),IF(AND('월 가계부'!A2514&gt;=36526,'월 가계부'!A2514&lt;73051),INT('월 가계부'!A2514),"")),IF(OR(CM2514="",CN2514="",CO2514=""),"",IF(AND(CM2514&gt;=2000,CM2514&lt;=2099,CN2514&gt;=1,CN2514&lt;=12,CO2514&gt;=1,CO2514&lt;=31),IF(MONTH(DATE(CM2514,CN2514,CO2514))=CN2514,DATE(CM2514,CN2514,CO2514),""),"")))),"")</f>
        <v/>
      </c>
      <c r="CJ2514">
        <f>IFERROR(IF('월 가계부'!C2514="","",IF(ISNUMBER('월 가계부'!C2514),'월 가계부'!C2514,VALUE(SUBSTITUTE(SUBSTITUTE(SUBSTITUTE(SUBSTITUTE(TRIM('월 가계부'!C2514),",",""),"원","")," ",""),"−","-")))),"")</f>
        <v/>
      </c>
      <c r="CK2514">
        <f>IF(ISNUMBER(CI2514),IF(CI2514&lt;$B$13,CI2514,""),"")</f>
        <v/>
      </c>
      <c r="CM2514">
        <f>IF(CH2514="","",IFERROR(IF(IF(AND(LEN(CH2514)=9,ISERROR(FIND("-",LEFT(CH2514,8))),ISNUMBER(-LEFT(CH2514,8))),VALUE(LEFT(CH2514,4)),VALUE(LEFT(CH2514,FIND("-",CH2514)-1)))&lt;100,IF(AND(LEN(CH2514)=9,ISERROR(FIND("-",LEFT(CH2514,8))),ISNUMBER(-LEFT(CH2514,8))),VALUE(LEFT(CH2514,4)),VALUE(LEFT(CH2514,FIND("-",CH2514)-1)))+2000,IF(AND(LEN(CH2514)=9,ISERROR(FIND("-",LEFT(CH2514,8))),ISNUMBER(-LEFT(CH2514,8))),VALUE(LEFT(CH2514,4)),VALUE(LEFT(CH2514,FIND("-",CH2514)-1)))),""))</f>
        <v/>
      </c>
      <c r="CN2514">
        <f>IF(CH2514="","",IFERROR(IF(AND(LEN(CH2514)=9,ISERROR(FIND("-",LEFT(CH2514,8))),ISNUMBER(-LEFT(CH2514,8))),VALUE(MID(CH2514,5,2)),VALUE(MID(CH2514,FIND("-",CH2514)+1,FIND("-",CH2514,FIND("-",CH2514)+1)-FIND("-",CH2514)-1))),""))</f>
        <v/>
      </c>
      <c r="CO2514">
        <f>IF(CH2514="","",IFERROR(IF(AND(LEN(CH2514)=9,ISERROR(FIND("-",LEFT(CH2514,8))),ISNUMBER(-LEFT(CH2514,8))),VALUE(MID(CH2514,7,2)),VALUE(MID(CH2514,FIND("-",CH2514,FIND("-",CH2514)+1)+1,FIND("-",CH2514,FIND("-",CH2514,FIND("-",CH2514)+1)+1)-FIND("-",CH2514,FIND("-",CH2514)+1)-1))),""))</f>
        <v/>
      </c>
    </row>
    <row r="2515">
      <c r="CH2515">
        <f>IF(ISTEXT('월 가계부'!A2515),SUBSTITUTE(SUBSTITUTE(SUBSTITUTE(SUBSTITUTE(SUBSTITUTE(SUBSTITUTE(SUBSTITUTE(SUBSTITUTE(SUBSTITUTE(TRIM('월 가계부'!A2515),"년","-"),"월","-"),"일",""),".","-"),"/","-")," ","-"),"--","-"),"--","-"),"--","-")&amp;"-","")</f>
        <v/>
      </c>
      <c r="CI2515">
        <f>IFERROR(IF('월 가계부'!A2515="","",IF(ISNUMBER('월 가계부'!A2515),IF(AND('월 가계부'!A2515&gt;=19000101,'월 가계부'!A2515&lt;=21001231),IF(AND(MOD(INT('월 가계부'!A2515/100),100)&gt;=1,MOD(INT('월 가계부'!A2515/100),100)&lt;=12,MOD(INT('월 가계부'!A2515),100)&gt;=1,MOD(INT('월 가계부'!A2515),100)&lt;=31),IF(MONTH(DATE(INT('월 가계부'!A2515/10000),MOD(INT('월 가계부'!A2515/100),100),MOD(INT('월 가계부'!A2515),100)))=MOD(INT('월 가계부'!A2515/100),100),DATE(INT('월 가계부'!A2515/10000),MOD(INT('월 가계부'!A2515/100),100),MOD(INT('월 가계부'!A2515),100)),""),""),IF(AND('월 가계부'!A2515&gt;=36526,'월 가계부'!A2515&lt;73051),INT('월 가계부'!A2515),"")),IF(OR(CM2515="",CN2515="",CO2515=""),"",IF(AND(CM2515&gt;=2000,CM2515&lt;=2099,CN2515&gt;=1,CN2515&lt;=12,CO2515&gt;=1,CO2515&lt;=31),IF(MONTH(DATE(CM2515,CN2515,CO2515))=CN2515,DATE(CM2515,CN2515,CO2515),""),"")))),"")</f>
        <v/>
      </c>
      <c r="CJ2515">
        <f>IFERROR(IF('월 가계부'!C2515="","",IF(ISNUMBER('월 가계부'!C2515),'월 가계부'!C2515,VALUE(SUBSTITUTE(SUBSTITUTE(SUBSTITUTE(SUBSTITUTE(TRIM('월 가계부'!C2515),",",""),"원","")," ",""),"−","-")))),"")</f>
        <v/>
      </c>
      <c r="CK2515">
        <f>IF(ISNUMBER(CI2515),IF(CI2515&lt;$B$13,CI2515,""),"")</f>
        <v/>
      </c>
      <c r="CM2515">
        <f>IF(CH2515="","",IFERROR(IF(IF(AND(LEN(CH2515)=9,ISERROR(FIND("-",LEFT(CH2515,8))),ISNUMBER(-LEFT(CH2515,8))),VALUE(LEFT(CH2515,4)),VALUE(LEFT(CH2515,FIND("-",CH2515)-1)))&lt;100,IF(AND(LEN(CH2515)=9,ISERROR(FIND("-",LEFT(CH2515,8))),ISNUMBER(-LEFT(CH2515,8))),VALUE(LEFT(CH2515,4)),VALUE(LEFT(CH2515,FIND("-",CH2515)-1)))+2000,IF(AND(LEN(CH2515)=9,ISERROR(FIND("-",LEFT(CH2515,8))),ISNUMBER(-LEFT(CH2515,8))),VALUE(LEFT(CH2515,4)),VALUE(LEFT(CH2515,FIND("-",CH2515)-1)))),""))</f>
        <v/>
      </c>
      <c r="CN2515">
        <f>IF(CH2515="","",IFERROR(IF(AND(LEN(CH2515)=9,ISERROR(FIND("-",LEFT(CH2515,8))),ISNUMBER(-LEFT(CH2515,8))),VALUE(MID(CH2515,5,2)),VALUE(MID(CH2515,FIND("-",CH2515)+1,FIND("-",CH2515,FIND("-",CH2515)+1)-FIND("-",CH2515)-1))),""))</f>
        <v/>
      </c>
      <c r="CO2515">
        <f>IF(CH2515="","",IFERROR(IF(AND(LEN(CH2515)=9,ISERROR(FIND("-",LEFT(CH2515,8))),ISNUMBER(-LEFT(CH2515,8))),VALUE(MID(CH2515,7,2)),VALUE(MID(CH2515,FIND("-",CH2515,FIND("-",CH2515)+1)+1,FIND("-",CH2515,FIND("-",CH2515,FIND("-",CH2515)+1)+1)-FIND("-",CH2515,FIND("-",CH2515)+1)-1))),""))</f>
        <v/>
      </c>
    </row>
    <row r="2516">
      <c r="CH2516">
        <f>IF(ISTEXT('월 가계부'!A2516),SUBSTITUTE(SUBSTITUTE(SUBSTITUTE(SUBSTITUTE(SUBSTITUTE(SUBSTITUTE(SUBSTITUTE(SUBSTITUTE(SUBSTITUTE(TRIM('월 가계부'!A2516),"년","-"),"월","-"),"일",""),".","-"),"/","-")," ","-"),"--","-"),"--","-"),"--","-")&amp;"-","")</f>
        <v/>
      </c>
      <c r="CI2516">
        <f>IFERROR(IF('월 가계부'!A2516="","",IF(ISNUMBER('월 가계부'!A2516),IF(AND('월 가계부'!A2516&gt;=19000101,'월 가계부'!A2516&lt;=21001231),IF(AND(MOD(INT('월 가계부'!A2516/100),100)&gt;=1,MOD(INT('월 가계부'!A2516/100),100)&lt;=12,MOD(INT('월 가계부'!A2516),100)&gt;=1,MOD(INT('월 가계부'!A2516),100)&lt;=31),IF(MONTH(DATE(INT('월 가계부'!A2516/10000),MOD(INT('월 가계부'!A2516/100),100),MOD(INT('월 가계부'!A2516),100)))=MOD(INT('월 가계부'!A2516/100),100),DATE(INT('월 가계부'!A2516/10000),MOD(INT('월 가계부'!A2516/100),100),MOD(INT('월 가계부'!A2516),100)),""),""),IF(AND('월 가계부'!A2516&gt;=36526,'월 가계부'!A2516&lt;73051),INT('월 가계부'!A2516),"")),IF(OR(CM2516="",CN2516="",CO2516=""),"",IF(AND(CM2516&gt;=2000,CM2516&lt;=2099,CN2516&gt;=1,CN2516&lt;=12,CO2516&gt;=1,CO2516&lt;=31),IF(MONTH(DATE(CM2516,CN2516,CO2516))=CN2516,DATE(CM2516,CN2516,CO2516),""),"")))),"")</f>
        <v/>
      </c>
      <c r="CJ2516">
        <f>IFERROR(IF('월 가계부'!C2516="","",IF(ISNUMBER('월 가계부'!C2516),'월 가계부'!C2516,VALUE(SUBSTITUTE(SUBSTITUTE(SUBSTITUTE(SUBSTITUTE(TRIM('월 가계부'!C2516),",",""),"원","")," ",""),"−","-")))),"")</f>
        <v/>
      </c>
      <c r="CK2516">
        <f>IF(ISNUMBER(CI2516),IF(CI2516&lt;$B$13,CI2516,""),"")</f>
        <v/>
      </c>
      <c r="CM2516">
        <f>IF(CH2516="","",IFERROR(IF(IF(AND(LEN(CH2516)=9,ISERROR(FIND("-",LEFT(CH2516,8))),ISNUMBER(-LEFT(CH2516,8))),VALUE(LEFT(CH2516,4)),VALUE(LEFT(CH2516,FIND("-",CH2516)-1)))&lt;100,IF(AND(LEN(CH2516)=9,ISERROR(FIND("-",LEFT(CH2516,8))),ISNUMBER(-LEFT(CH2516,8))),VALUE(LEFT(CH2516,4)),VALUE(LEFT(CH2516,FIND("-",CH2516)-1)))+2000,IF(AND(LEN(CH2516)=9,ISERROR(FIND("-",LEFT(CH2516,8))),ISNUMBER(-LEFT(CH2516,8))),VALUE(LEFT(CH2516,4)),VALUE(LEFT(CH2516,FIND("-",CH2516)-1)))),""))</f>
        <v/>
      </c>
      <c r="CN2516">
        <f>IF(CH2516="","",IFERROR(IF(AND(LEN(CH2516)=9,ISERROR(FIND("-",LEFT(CH2516,8))),ISNUMBER(-LEFT(CH2516,8))),VALUE(MID(CH2516,5,2)),VALUE(MID(CH2516,FIND("-",CH2516)+1,FIND("-",CH2516,FIND("-",CH2516)+1)-FIND("-",CH2516)-1))),""))</f>
        <v/>
      </c>
      <c r="CO2516">
        <f>IF(CH2516="","",IFERROR(IF(AND(LEN(CH2516)=9,ISERROR(FIND("-",LEFT(CH2516,8))),ISNUMBER(-LEFT(CH2516,8))),VALUE(MID(CH2516,7,2)),VALUE(MID(CH2516,FIND("-",CH2516,FIND("-",CH2516)+1)+1,FIND("-",CH2516,FIND("-",CH2516,FIND("-",CH2516)+1)+1)-FIND("-",CH2516,FIND("-",CH2516)+1)-1))),""))</f>
        <v/>
      </c>
    </row>
    <row r="2517">
      <c r="CH2517">
        <f>IF(ISTEXT('월 가계부'!A2517),SUBSTITUTE(SUBSTITUTE(SUBSTITUTE(SUBSTITUTE(SUBSTITUTE(SUBSTITUTE(SUBSTITUTE(SUBSTITUTE(SUBSTITUTE(TRIM('월 가계부'!A2517),"년","-"),"월","-"),"일",""),".","-"),"/","-")," ","-"),"--","-"),"--","-"),"--","-")&amp;"-","")</f>
        <v/>
      </c>
      <c r="CI2517">
        <f>IFERROR(IF('월 가계부'!A2517="","",IF(ISNUMBER('월 가계부'!A2517),IF(AND('월 가계부'!A2517&gt;=19000101,'월 가계부'!A2517&lt;=21001231),IF(AND(MOD(INT('월 가계부'!A2517/100),100)&gt;=1,MOD(INT('월 가계부'!A2517/100),100)&lt;=12,MOD(INT('월 가계부'!A2517),100)&gt;=1,MOD(INT('월 가계부'!A2517),100)&lt;=31),IF(MONTH(DATE(INT('월 가계부'!A2517/10000),MOD(INT('월 가계부'!A2517/100),100),MOD(INT('월 가계부'!A2517),100)))=MOD(INT('월 가계부'!A2517/100),100),DATE(INT('월 가계부'!A2517/10000),MOD(INT('월 가계부'!A2517/100),100),MOD(INT('월 가계부'!A2517),100)),""),""),IF(AND('월 가계부'!A2517&gt;=36526,'월 가계부'!A2517&lt;73051),INT('월 가계부'!A2517),"")),IF(OR(CM2517="",CN2517="",CO2517=""),"",IF(AND(CM2517&gt;=2000,CM2517&lt;=2099,CN2517&gt;=1,CN2517&lt;=12,CO2517&gt;=1,CO2517&lt;=31),IF(MONTH(DATE(CM2517,CN2517,CO2517))=CN2517,DATE(CM2517,CN2517,CO2517),""),"")))),"")</f>
        <v/>
      </c>
      <c r="CJ2517">
        <f>IFERROR(IF('월 가계부'!C2517="","",IF(ISNUMBER('월 가계부'!C2517),'월 가계부'!C2517,VALUE(SUBSTITUTE(SUBSTITUTE(SUBSTITUTE(SUBSTITUTE(TRIM('월 가계부'!C2517),",",""),"원","")," ",""),"−","-")))),"")</f>
        <v/>
      </c>
      <c r="CK2517">
        <f>IF(ISNUMBER(CI2517),IF(CI2517&lt;$B$13,CI2517,""),"")</f>
        <v/>
      </c>
      <c r="CM2517">
        <f>IF(CH2517="","",IFERROR(IF(IF(AND(LEN(CH2517)=9,ISERROR(FIND("-",LEFT(CH2517,8))),ISNUMBER(-LEFT(CH2517,8))),VALUE(LEFT(CH2517,4)),VALUE(LEFT(CH2517,FIND("-",CH2517)-1)))&lt;100,IF(AND(LEN(CH2517)=9,ISERROR(FIND("-",LEFT(CH2517,8))),ISNUMBER(-LEFT(CH2517,8))),VALUE(LEFT(CH2517,4)),VALUE(LEFT(CH2517,FIND("-",CH2517)-1)))+2000,IF(AND(LEN(CH2517)=9,ISERROR(FIND("-",LEFT(CH2517,8))),ISNUMBER(-LEFT(CH2517,8))),VALUE(LEFT(CH2517,4)),VALUE(LEFT(CH2517,FIND("-",CH2517)-1)))),""))</f>
        <v/>
      </c>
      <c r="CN2517">
        <f>IF(CH2517="","",IFERROR(IF(AND(LEN(CH2517)=9,ISERROR(FIND("-",LEFT(CH2517,8))),ISNUMBER(-LEFT(CH2517,8))),VALUE(MID(CH2517,5,2)),VALUE(MID(CH2517,FIND("-",CH2517)+1,FIND("-",CH2517,FIND("-",CH2517)+1)-FIND("-",CH2517)-1))),""))</f>
        <v/>
      </c>
      <c r="CO2517">
        <f>IF(CH2517="","",IFERROR(IF(AND(LEN(CH2517)=9,ISERROR(FIND("-",LEFT(CH2517,8))),ISNUMBER(-LEFT(CH2517,8))),VALUE(MID(CH2517,7,2)),VALUE(MID(CH2517,FIND("-",CH2517,FIND("-",CH2517)+1)+1,FIND("-",CH2517,FIND("-",CH2517,FIND("-",CH2517)+1)+1)-FIND("-",CH2517,FIND("-",CH2517)+1)-1))),""))</f>
        <v/>
      </c>
    </row>
    <row r="2518">
      <c r="CH2518">
        <f>IF(ISTEXT('월 가계부'!A2518),SUBSTITUTE(SUBSTITUTE(SUBSTITUTE(SUBSTITUTE(SUBSTITUTE(SUBSTITUTE(SUBSTITUTE(SUBSTITUTE(SUBSTITUTE(TRIM('월 가계부'!A2518),"년","-"),"월","-"),"일",""),".","-"),"/","-")," ","-"),"--","-"),"--","-"),"--","-")&amp;"-","")</f>
        <v/>
      </c>
      <c r="CI2518">
        <f>IFERROR(IF('월 가계부'!A2518="","",IF(ISNUMBER('월 가계부'!A2518),IF(AND('월 가계부'!A2518&gt;=19000101,'월 가계부'!A2518&lt;=21001231),IF(AND(MOD(INT('월 가계부'!A2518/100),100)&gt;=1,MOD(INT('월 가계부'!A2518/100),100)&lt;=12,MOD(INT('월 가계부'!A2518),100)&gt;=1,MOD(INT('월 가계부'!A2518),100)&lt;=31),IF(MONTH(DATE(INT('월 가계부'!A2518/10000),MOD(INT('월 가계부'!A2518/100),100),MOD(INT('월 가계부'!A2518),100)))=MOD(INT('월 가계부'!A2518/100),100),DATE(INT('월 가계부'!A2518/10000),MOD(INT('월 가계부'!A2518/100),100),MOD(INT('월 가계부'!A2518),100)),""),""),IF(AND('월 가계부'!A2518&gt;=36526,'월 가계부'!A2518&lt;73051),INT('월 가계부'!A2518),"")),IF(OR(CM2518="",CN2518="",CO2518=""),"",IF(AND(CM2518&gt;=2000,CM2518&lt;=2099,CN2518&gt;=1,CN2518&lt;=12,CO2518&gt;=1,CO2518&lt;=31),IF(MONTH(DATE(CM2518,CN2518,CO2518))=CN2518,DATE(CM2518,CN2518,CO2518),""),"")))),"")</f>
        <v/>
      </c>
      <c r="CJ2518">
        <f>IFERROR(IF('월 가계부'!C2518="","",IF(ISNUMBER('월 가계부'!C2518),'월 가계부'!C2518,VALUE(SUBSTITUTE(SUBSTITUTE(SUBSTITUTE(SUBSTITUTE(TRIM('월 가계부'!C2518),",",""),"원","")," ",""),"−","-")))),"")</f>
        <v/>
      </c>
      <c r="CK2518">
        <f>IF(ISNUMBER(CI2518),IF(CI2518&lt;$B$13,CI2518,""),"")</f>
        <v/>
      </c>
      <c r="CM2518">
        <f>IF(CH2518="","",IFERROR(IF(IF(AND(LEN(CH2518)=9,ISERROR(FIND("-",LEFT(CH2518,8))),ISNUMBER(-LEFT(CH2518,8))),VALUE(LEFT(CH2518,4)),VALUE(LEFT(CH2518,FIND("-",CH2518)-1)))&lt;100,IF(AND(LEN(CH2518)=9,ISERROR(FIND("-",LEFT(CH2518,8))),ISNUMBER(-LEFT(CH2518,8))),VALUE(LEFT(CH2518,4)),VALUE(LEFT(CH2518,FIND("-",CH2518)-1)))+2000,IF(AND(LEN(CH2518)=9,ISERROR(FIND("-",LEFT(CH2518,8))),ISNUMBER(-LEFT(CH2518,8))),VALUE(LEFT(CH2518,4)),VALUE(LEFT(CH2518,FIND("-",CH2518)-1)))),""))</f>
        <v/>
      </c>
      <c r="CN2518">
        <f>IF(CH2518="","",IFERROR(IF(AND(LEN(CH2518)=9,ISERROR(FIND("-",LEFT(CH2518,8))),ISNUMBER(-LEFT(CH2518,8))),VALUE(MID(CH2518,5,2)),VALUE(MID(CH2518,FIND("-",CH2518)+1,FIND("-",CH2518,FIND("-",CH2518)+1)-FIND("-",CH2518)-1))),""))</f>
        <v/>
      </c>
      <c r="CO2518">
        <f>IF(CH2518="","",IFERROR(IF(AND(LEN(CH2518)=9,ISERROR(FIND("-",LEFT(CH2518,8))),ISNUMBER(-LEFT(CH2518,8))),VALUE(MID(CH2518,7,2)),VALUE(MID(CH2518,FIND("-",CH2518,FIND("-",CH2518)+1)+1,FIND("-",CH2518,FIND("-",CH2518,FIND("-",CH2518)+1)+1)-FIND("-",CH2518,FIND("-",CH2518)+1)-1))),""))</f>
        <v/>
      </c>
    </row>
    <row r="2519">
      <c r="CH2519">
        <f>IF(ISTEXT('월 가계부'!A2519),SUBSTITUTE(SUBSTITUTE(SUBSTITUTE(SUBSTITUTE(SUBSTITUTE(SUBSTITUTE(SUBSTITUTE(SUBSTITUTE(SUBSTITUTE(TRIM('월 가계부'!A2519),"년","-"),"월","-"),"일",""),".","-"),"/","-")," ","-"),"--","-"),"--","-"),"--","-")&amp;"-","")</f>
        <v/>
      </c>
      <c r="CI2519">
        <f>IFERROR(IF('월 가계부'!A2519="","",IF(ISNUMBER('월 가계부'!A2519),IF(AND('월 가계부'!A2519&gt;=19000101,'월 가계부'!A2519&lt;=21001231),IF(AND(MOD(INT('월 가계부'!A2519/100),100)&gt;=1,MOD(INT('월 가계부'!A2519/100),100)&lt;=12,MOD(INT('월 가계부'!A2519),100)&gt;=1,MOD(INT('월 가계부'!A2519),100)&lt;=31),IF(MONTH(DATE(INT('월 가계부'!A2519/10000),MOD(INT('월 가계부'!A2519/100),100),MOD(INT('월 가계부'!A2519),100)))=MOD(INT('월 가계부'!A2519/100),100),DATE(INT('월 가계부'!A2519/10000),MOD(INT('월 가계부'!A2519/100),100),MOD(INT('월 가계부'!A2519),100)),""),""),IF(AND('월 가계부'!A2519&gt;=36526,'월 가계부'!A2519&lt;73051),INT('월 가계부'!A2519),"")),IF(OR(CM2519="",CN2519="",CO2519=""),"",IF(AND(CM2519&gt;=2000,CM2519&lt;=2099,CN2519&gt;=1,CN2519&lt;=12,CO2519&gt;=1,CO2519&lt;=31),IF(MONTH(DATE(CM2519,CN2519,CO2519))=CN2519,DATE(CM2519,CN2519,CO2519),""),"")))),"")</f>
        <v/>
      </c>
      <c r="CJ2519">
        <f>IFERROR(IF('월 가계부'!C2519="","",IF(ISNUMBER('월 가계부'!C2519),'월 가계부'!C2519,VALUE(SUBSTITUTE(SUBSTITUTE(SUBSTITUTE(SUBSTITUTE(TRIM('월 가계부'!C2519),",",""),"원","")," ",""),"−","-")))),"")</f>
        <v/>
      </c>
      <c r="CK2519">
        <f>IF(ISNUMBER(CI2519),IF(CI2519&lt;$B$13,CI2519,""),"")</f>
        <v/>
      </c>
      <c r="CM2519">
        <f>IF(CH2519="","",IFERROR(IF(IF(AND(LEN(CH2519)=9,ISERROR(FIND("-",LEFT(CH2519,8))),ISNUMBER(-LEFT(CH2519,8))),VALUE(LEFT(CH2519,4)),VALUE(LEFT(CH2519,FIND("-",CH2519)-1)))&lt;100,IF(AND(LEN(CH2519)=9,ISERROR(FIND("-",LEFT(CH2519,8))),ISNUMBER(-LEFT(CH2519,8))),VALUE(LEFT(CH2519,4)),VALUE(LEFT(CH2519,FIND("-",CH2519)-1)))+2000,IF(AND(LEN(CH2519)=9,ISERROR(FIND("-",LEFT(CH2519,8))),ISNUMBER(-LEFT(CH2519,8))),VALUE(LEFT(CH2519,4)),VALUE(LEFT(CH2519,FIND("-",CH2519)-1)))),""))</f>
        <v/>
      </c>
      <c r="CN2519">
        <f>IF(CH2519="","",IFERROR(IF(AND(LEN(CH2519)=9,ISERROR(FIND("-",LEFT(CH2519,8))),ISNUMBER(-LEFT(CH2519,8))),VALUE(MID(CH2519,5,2)),VALUE(MID(CH2519,FIND("-",CH2519)+1,FIND("-",CH2519,FIND("-",CH2519)+1)-FIND("-",CH2519)-1))),""))</f>
        <v/>
      </c>
      <c r="CO2519">
        <f>IF(CH2519="","",IFERROR(IF(AND(LEN(CH2519)=9,ISERROR(FIND("-",LEFT(CH2519,8))),ISNUMBER(-LEFT(CH2519,8))),VALUE(MID(CH2519,7,2)),VALUE(MID(CH2519,FIND("-",CH2519,FIND("-",CH2519)+1)+1,FIND("-",CH2519,FIND("-",CH2519,FIND("-",CH2519)+1)+1)-FIND("-",CH2519,FIND("-",CH2519)+1)-1))),""))</f>
        <v/>
      </c>
    </row>
    <row r="2520">
      <c r="CH2520">
        <f>IF(ISTEXT('월 가계부'!A2520),SUBSTITUTE(SUBSTITUTE(SUBSTITUTE(SUBSTITUTE(SUBSTITUTE(SUBSTITUTE(SUBSTITUTE(SUBSTITUTE(SUBSTITUTE(TRIM('월 가계부'!A2520),"년","-"),"월","-"),"일",""),".","-"),"/","-")," ","-"),"--","-"),"--","-"),"--","-")&amp;"-","")</f>
        <v/>
      </c>
      <c r="CI2520">
        <f>IFERROR(IF('월 가계부'!A2520="","",IF(ISNUMBER('월 가계부'!A2520),IF(AND('월 가계부'!A2520&gt;=19000101,'월 가계부'!A2520&lt;=21001231),IF(AND(MOD(INT('월 가계부'!A2520/100),100)&gt;=1,MOD(INT('월 가계부'!A2520/100),100)&lt;=12,MOD(INT('월 가계부'!A2520),100)&gt;=1,MOD(INT('월 가계부'!A2520),100)&lt;=31),IF(MONTH(DATE(INT('월 가계부'!A2520/10000),MOD(INT('월 가계부'!A2520/100),100),MOD(INT('월 가계부'!A2520),100)))=MOD(INT('월 가계부'!A2520/100),100),DATE(INT('월 가계부'!A2520/10000),MOD(INT('월 가계부'!A2520/100),100),MOD(INT('월 가계부'!A2520),100)),""),""),IF(AND('월 가계부'!A2520&gt;=36526,'월 가계부'!A2520&lt;73051),INT('월 가계부'!A2520),"")),IF(OR(CM2520="",CN2520="",CO2520=""),"",IF(AND(CM2520&gt;=2000,CM2520&lt;=2099,CN2520&gt;=1,CN2520&lt;=12,CO2520&gt;=1,CO2520&lt;=31),IF(MONTH(DATE(CM2520,CN2520,CO2520))=CN2520,DATE(CM2520,CN2520,CO2520),""),"")))),"")</f>
        <v/>
      </c>
      <c r="CJ2520">
        <f>IFERROR(IF('월 가계부'!C2520="","",IF(ISNUMBER('월 가계부'!C2520),'월 가계부'!C2520,VALUE(SUBSTITUTE(SUBSTITUTE(SUBSTITUTE(SUBSTITUTE(TRIM('월 가계부'!C2520),",",""),"원","")," ",""),"−","-")))),"")</f>
        <v/>
      </c>
      <c r="CK2520">
        <f>IF(ISNUMBER(CI2520),IF(CI2520&lt;$B$13,CI2520,""),"")</f>
        <v/>
      </c>
      <c r="CM2520">
        <f>IF(CH2520="","",IFERROR(IF(IF(AND(LEN(CH2520)=9,ISERROR(FIND("-",LEFT(CH2520,8))),ISNUMBER(-LEFT(CH2520,8))),VALUE(LEFT(CH2520,4)),VALUE(LEFT(CH2520,FIND("-",CH2520)-1)))&lt;100,IF(AND(LEN(CH2520)=9,ISERROR(FIND("-",LEFT(CH2520,8))),ISNUMBER(-LEFT(CH2520,8))),VALUE(LEFT(CH2520,4)),VALUE(LEFT(CH2520,FIND("-",CH2520)-1)))+2000,IF(AND(LEN(CH2520)=9,ISERROR(FIND("-",LEFT(CH2520,8))),ISNUMBER(-LEFT(CH2520,8))),VALUE(LEFT(CH2520,4)),VALUE(LEFT(CH2520,FIND("-",CH2520)-1)))),""))</f>
        <v/>
      </c>
      <c r="CN2520">
        <f>IF(CH2520="","",IFERROR(IF(AND(LEN(CH2520)=9,ISERROR(FIND("-",LEFT(CH2520,8))),ISNUMBER(-LEFT(CH2520,8))),VALUE(MID(CH2520,5,2)),VALUE(MID(CH2520,FIND("-",CH2520)+1,FIND("-",CH2520,FIND("-",CH2520)+1)-FIND("-",CH2520)-1))),""))</f>
        <v/>
      </c>
      <c r="CO2520">
        <f>IF(CH2520="","",IFERROR(IF(AND(LEN(CH2520)=9,ISERROR(FIND("-",LEFT(CH2520,8))),ISNUMBER(-LEFT(CH2520,8))),VALUE(MID(CH2520,7,2)),VALUE(MID(CH2520,FIND("-",CH2520,FIND("-",CH2520)+1)+1,FIND("-",CH2520,FIND("-",CH2520,FIND("-",CH2520)+1)+1)-FIND("-",CH2520,FIND("-",CH2520)+1)-1))),""))</f>
        <v/>
      </c>
    </row>
    <row r="2521">
      <c r="CH2521">
        <f>IF(ISTEXT('월 가계부'!A2521),SUBSTITUTE(SUBSTITUTE(SUBSTITUTE(SUBSTITUTE(SUBSTITUTE(SUBSTITUTE(SUBSTITUTE(SUBSTITUTE(SUBSTITUTE(TRIM('월 가계부'!A2521),"년","-"),"월","-"),"일",""),".","-"),"/","-")," ","-"),"--","-"),"--","-"),"--","-")&amp;"-","")</f>
        <v/>
      </c>
      <c r="CI2521">
        <f>IFERROR(IF('월 가계부'!A2521="","",IF(ISNUMBER('월 가계부'!A2521),IF(AND('월 가계부'!A2521&gt;=19000101,'월 가계부'!A2521&lt;=21001231),IF(AND(MOD(INT('월 가계부'!A2521/100),100)&gt;=1,MOD(INT('월 가계부'!A2521/100),100)&lt;=12,MOD(INT('월 가계부'!A2521),100)&gt;=1,MOD(INT('월 가계부'!A2521),100)&lt;=31),IF(MONTH(DATE(INT('월 가계부'!A2521/10000),MOD(INT('월 가계부'!A2521/100),100),MOD(INT('월 가계부'!A2521),100)))=MOD(INT('월 가계부'!A2521/100),100),DATE(INT('월 가계부'!A2521/10000),MOD(INT('월 가계부'!A2521/100),100),MOD(INT('월 가계부'!A2521),100)),""),""),IF(AND('월 가계부'!A2521&gt;=36526,'월 가계부'!A2521&lt;73051),INT('월 가계부'!A2521),"")),IF(OR(CM2521="",CN2521="",CO2521=""),"",IF(AND(CM2521&gt;=2000,CM2521&lt;=2099,CN2521&gt;=1,CN2521&lt;=12,CO2521&gt;=1,CO2521&lt;=31),IF(MONTH(DATE(CM2521,CN2521,CO2521))=CN2521,DATE(CM2521,CN2521,CO2521),""),"")))),"")</f>
        <v/>
      </c>
      <c r="CJ2521">
        <f>IFERROR(IF('월 가계부'!C2521="","",IF(ISNUMBER('월 가계부'!C2521),'월 가계부'!C2521,VALUE(SUBSTITUTE(SUBSTITUTE(SUBSTITUTE(SUBSTITUTE(TRIM('월 가계부'!C2521),",",""),"원","")," ",""),"−","-")))),"")</f>
        <v/>
      </c>
      <c r="CK2521">
        <f>IF(ISNUMBER(CI2521),IF(CI2521&lt;$B$13,CI2521,""),"")</f>
        <v/>
      </c>
      <c r="CM2521">
        <f>IF(CH2521="","",IFERROR(IF(IF(AND(LEN(CH2521)=9,ISERROR(FIND("-",LEFT(CH2521,8))),ISNUMBER(-LEFT(CH2521,8))),VALUE(LEFT(CH2521,4)),VALUE(LEFT(CH2521,FIND("-",CH2521)-1)))&lt;100,IF(AND(LEN(CH2521)=9,ISERROR(FIND("-",LEFT(CH2521,8))),ISNUMBER(-LEFT(CH2521,8))),VALUE(LEFT(CH2521,4)),VALUE(LEFT(CH2521,FIND("-",CH2521)-1)))+2000,IF(AND(LEN(CH2521)=9,ISERROR(FIND("-",LEFT(CH2521,8))),ISNUMBER(-LEFT(CH2521,8))),VALUE(LEFT(CH2521,4)),VALUE(LEFT(CH2521,FIND("-",CH2521)-1)))),""))</f>
        <v/>
      </c>
      <c r="CN2521">
        <f>IF(CH2521="","",IFERROR(IF(AND(LEN(CH2521)=9,ISERROR(FIND("-",LEFT(CH2521,8))),ISNUMBER(-LEFT(CH2521,8))),VALUE(MID(CH2521,5,2)),VALUE(MID(CH2521,FIND("-",CH2521)+1,FIND("-",CH2521,FIND("-",CH2521)+1)-FIND("-",CH2521)-1))),""))</f>
        <v/>
      </c>
      <c r="CO2521">
        <f>IF(CH2521="","",IFERROR(IF(AND(LEN(CH2521)=9,ISERROR(FIND("-",LEFT(CH2521,8))),ISNUMBER(-LEFT(CH2521,8))),VALUE(MID(CH2521,7,2)),VALUE(MID(CH2521,FIND("-",CH2521,FIND("-",CH2521)+1)+1,FIND("-",CH2521,FIND("-",CH2521,FIND("-",CH2521)+1)+1)-FIND("-",CH2521,FIND("-",CH2521)+1)-1))),""))</f>
        <v/>
      </c>
    </row>
    <row r="2522">
      <c r="CH2522">
        <f>IF(ISTEXT('월 가계부'!A2522),SUBSTITUTE(SUBSTITUTE(SUBSTITUTE(SUBSTITUTE(SUBSTITUTE(SUBSTITUTE(SUBSTITUTE(SUBSTITUTE(SUBSTITUTE(TRIM('월 가계부'!A2522),"년","-"),"월","-"),"일",""),".","-"),"/","-")," ","-"),"--","-"),"--","-"),"--","-")&amp;"-","")</f>
        <v/>
      </c>
      <c r="CI2522">
        <f>IFERROR(IF('월 가계부'!A2522="","",IF(ISNUMBER('월 가계부'!A2522),IF(AND('월 가계부'!A2522&gt;=19000101,'월 가계부'!A2522&lt;=21001231),IF(AND(MOD(INT('월 가계부'!A2522/100),100)&gt;=1,MOD(INT('월 가계부'!A2522/100),100)&lt;=12,MOD(INT('월 가계부'!A2522),100)&gt;=1,MOD(INT('월 가계부'!A2522),100)&lt;=31),IF(MONTH(DATE(INT('월 가계부'!A2522/10000),MOD(INT('월 가계부'!A2522/100),100),MOD(INT('월 가계부'!A2522),100)))=MOD(INT('월 가계부'!A2522/100),100),DATE(INT('월 가계부'!A2522/10000),MOD(INT('월 가계부'!A2522/100),100),MOD(INT('월 가계부'!A2522),100)),""),""),IF(AND('월 가계부'!A2522&gt;=36526,'월 가계부'!A2522&lt;73051),INT('월 가계부'!A2522),"")),IF(OR(CM2522="",CN2522="",CO2522=""),"",IF(AND(CM2522&gt;=2000,CM2522&lt;=2099,CN2522&gt;=1,CN2522&lt;=12,CO2522&gt;=1,CO2522&lt;=31),IF(MONTH(DATE(CM2522,CN2522,CO2522))=CN2522,DATE(CM2522,CN2522,CO2522),""),"")))),"")</f>
        <v/>
      </c>
      <c r="CJ2522">
        <f>IFERROR(IF('월 가계부'!C2522="","",IF(ISNUMBER('월 가계부'!C2522),'월 가계부'!C2522,VALUE(SUBSTITUTE(SUBSTITUTE(SUBSTITUTE(SUBSTITUTE(TRIM('월 가계부'!C2522),",",""),"원","")," ",""),"−","-")))),"")</f>
        <v/>
      </c>
      <c r="CK2522">
        <f>IF(ISNUMBER(CI2522),IF(CI2522&lt;$B$13,CI2522,""),"")</f>
        <v/>
      </c>
      <c r="CM2522">
        <f>IF(CH2522="","",IFERROR(IF(IF(AND(LEN(CH2522)=9,ISERROR(FIND("-",LEFT(CH2522,8))),ISNUMBER(-LEFT(CH2522,8))),VALUE(LEFT(CH2522,4)),VALUE(LEFT(CH2522,FIND("-",CH2522)-1)))&lt;100,IF(AND(LEN(CH2522)=9,ISERROR(FIND("-",LEFT(CH2522,8))),ISNUMBER(-LEFT(CH2522,8))),VALUE(LEFT(CH2522,4)),VALUE(LEFT(CH2522,FIND("-",CH2522)-1)))+2000,IF(AND(LEN(CH2522)=9,ISERROR(FIND("-",LEFT(CH2522,8))),ISNUMBER(-LEFT(CH2522,8))),VALUE(LEFT(CH2522,4)),VALUE(LEFT(CH2522,FIND("-",CH2522)-1)))),""))</f>
        <v/>
      </c>
      <c r="CN2522">
        <f>IF(CH2522="","",IFERROR(IF(AND(LEN(CH2522)=9,ISERROR(FIND("-",LEFT(CH2522,8))),ISNUMBER(-LEFT(CH2522,8))),VALUE(MID(CH2522,5,2)),VALUE(MID(CH2522,FIND("-",CH2522)+1,FIND("-",CH2522,FIND("-",CH2522)+1)-FIND("-",CH2522)-1))),""))</f>
        <v/>
      </c>
      <c r="CO2522">
        <f>IF(CH2522="","",IFERROR(IF(AND(LEN(CH2522)=9,ISERROR(FIND("-",LEFT(CH2522,8))),ISNUMBER(-LEFT(CH2522,8))),VALUE(MID(CH2522,7,2)),VALUE(MID(CH2522,FIND("-",CH2522,FIND("-",CH2522)+1)+1,FIND("-",CH2522,FIND("-",CH2522,FIND("-",CH2522)+1)+1)-FIND("-",CH2522,FIND("-",CH2522)+1)-1))),""))</f>
        <v/>
      </c>
    </row>
    <row r="2523">
      <c r="CH2523">
        <f>IF(ISTEXT('월 가계부'!A2523),SUBSTITUTE(SUBSTITUTE(SUBSTITUTE(SUBSTITUTE(SUBSTITUTE(SUBSTITUTE(SUBSTITUTE(SUBSTITUTE(SUBSTITUTE(TRIM('월 가계부'!A2523),"년","-"),"월","-"),"일",""),".","-"),"/","-")," ","-"),"--","-"),"--","-"),"--","-")&amp;"-","")</f>
        <v/>
      </c>
      <c r="CI2523">
        <f>IFERROR(IF('월 가계부'!A2523="","",IF(ISNUMBER('월 가계부'!A2523),IF(AND('월 가계부'!A2523&gt;=19000101,'월 가계부'!A2523&lt;=21001231),IF(AND(MOD(INT('월 가계부'!A2523/100),100)&gt;=1,MOD(INT('월 가계부'!A2523/100),100)&lt;=12,MOD(INT('월 가계부'!A2523),100)&gt;=1,MOD(INT('월 가계부'!A2523),100)&lt;=31),IF(MONTH(DATE(INT('월 가계부'!A2523/10000),MOD(INT('월 가계부'!A2523/100),100),MOD(INT('월 가계부'!A2523),100)))=MOD(INT('월 가계부'!A2523/100),100),DATE(INT('월 가계부'!A2523/10000),MOD(INT('월 가계부'!A2523/100),100),MOD(INT('월 가계부'!A2523),100)),""),""),IF(AND('월 가계부'!A2523&gt;=36526,'월 가계부'!A2523&lt;73051),INT('월 가계부'!A2523),"")),IF(OR(CM2523="",CN2523="",CO2523=""),"",IF(AND(CM2523&gt;=2000,CM2523&lt;=2099,CN2523&gt;=1,CN2523&lt;=12,CO2523&gt;=1,CO2523&lt;=31),IF(MONTH(DATE(CM2523,CN2523,CO2523))=CN2523,DATE(CM2523,CN2523,CO2523),""),"")))),"")</f>
        <v/>
      </c>
      <c r="CJ2523">
        <f>IFERROR(IF('월 가계부'!C2523="","",IF(ISNUMBER('월 가계부'!C2523),'월 가계부'!C2523,VALUE(SUBSTITUTE(SUBSTITUTE(SUBSTITUTE(SUBSTITUTE(TRIM('월 가계부'!C2523),",",""),"원","")," ",""),"−","-")))),"")</f>
        <v/>
      </c>
      <c r="CK2523">
        <f>IF(ISNUMBER(CI2523),IF(CI2523&lt;$B$13,CI2523,""),"")</f>
        <v/>
      </c>
      <c r="CM2523">
        <f>IF(CH2523="","",IFERROR(IF(IF(AND(LEN(CH2523)=9,ISERROR(FIND("-",LEFT(CH2523,8))),ISNUMBER(-LEFT(CH2523,8))),VALUE(LEFT(CH2523,4)),VALUE(LEFT(CH2523,FIND("-",CH2523)-1)))&lt;100,IF(AND(LEN(CH2523)=9,ISERROR(FIND("-",LEFT(CH2523,8))),ISNUMBER(-LEFT(CH2523,8))),VALUE(LEFT(CH2523,4)),VALUE(LEFT(CH2523,FIND("-",CH2523)-1)))+2000,IF(AND(LEN(CH2523)=9,ISERROR(FIND("-",LEFT(CH2523,8))),ISNUMBER(-LEFT(CH2523,8))),VALUE(LEFT(CH2523,4)),VALUE(LEFT(CH2523,FIND("-",CH2523)-1)))),""))</f>
        <v/>
      </c>
      <c r="CN2523">
        <f>IF(CH2523="","",IFERROR(IF(AND(LEN(CH2523)=9,ISERROR(FIND("-",LEFT(CH2523,8))),ISNUMBER(-LEFT(CH2523,8))),VALUE(MID(CH2523,5,2)),VALUE(MID(CH2523,FIND("-",CH2523)+1,FIND("-",CH2523,FIND("-",CH2523)+1)-FIND("-",CH2523)-1))),""))</f>
        <v/>
      </c>
      <c r="CO2523">
        <f>IF(CH2523="","",IFERROR(IF(AND(LEN(CH2523)=9,ISERROR(FIND("-",LEFT(CH2523,8))),ISNUMBER(-LEFT(CH2523,8))),VALUE(MID(CH2523,7,2)),VALUE(MID(CH2523,FIND("-",CH2523,FIND("-",CH2523)+1)+1,FIND("-",CH2523,FIND("-",CH2523,FIND("-",CH2523)+1)+1)-FIND("-",CH2523,FIND("-",CH2523)+1)-1))),""))</f>
        <v/>
      </c>
    </row>
    <row r="2524">
      <c r="CH2524">
        <f>IF(ISTEXT('월 가계부'!A2524),SUBSTITUTE(SUBSTITUTE(SUBSTITUTE(SUBSTITUTE(SUBSTITUTE(SUBSTITUTE(SUBSTITUTE(SUBSTITUTE(SUBSTITUTE(TRIM('월 가계부'!A2524),"년","-"),"월","-"),"일",""),".","-"),"/","-")," ","-"),"--","-"),"--","-"),"--","-")&amp;"-","")</f>
        <v/>
      </c>
      <c r="CI2524">
        <f>IFERROR(IF('월 가계부'!A2524="","",IF(ISNUMBER('월 가계부'!A2524),IF(AND('월 가계부'!A2524&gt;=19000101,'월 가계부'!A2524&lt;=21001231),IF(AND(MOD(INT('월 가계부'!A2524/100),100)&gt;=1,MOD(INT('월 가계부'!A2524/100),100)&lt;=12,MOD(INT('월 가계부'!A2524),100)&gt;=1,MOD(INT('월 가계부'!A2524),100)&lt;=31),IF(MONTH(DATE(INT('월 가계부'!A2524/10000),MOD(INT('월 가계부'!A2524/100),100),MOD(INT('월 가계부'!A2524),100)))=MOD(INT('월 가계부'!A2524/100),100),DATE(INT('월 가계부'!A2524/10000),MOD(INT('월 가계부'!A2524/100),100),MOD(INT('월 가계부'!A2524),100)),""),""),IF(AND('월 가계부'!A2524&gt;=36526,'월 가계부'!A2524&lt;73051),INT('월 가계부'!A2524),"")),IF(OR(CM2524="",CN2524="",CO2524=""),"",IF(AND(CM2524&gt;=2000,CM2524&lt;=2099,CN2524&gt;=1,CN2524&lt;=12,CO2524&gt;=1,CO2524&lt;=31),IF(MONTH(DATE(CM2524,CN2524,CO2524))=CN2524,DATE(CM2524,CN2524,CO2524),""),"")))),"")</f>
        <v/>
      </c>
      <c r="CJ2524">
        <f>IFERROR(IF('월 가계부'!C2524="","",IF(ISNUMBER('월 가계부'!C2524),'월 가계부'!C2524,VALUE(SUBSTITUTE(SUBSTITUTE(SUBSTITUTE(SUBSTITUTE(TRIM('월 가계부'!C2524),",",""),"원","")," ",""),"−","-")))),"")</f>
        <v/>
      </c>
      <c r="CK2524">
        <f>IF(ISNUMBER(CI2524),IF(CI2524&lt;$B$13,CI2524,""),"")</f>
        <v/>
      </c>
      <c r="CM2524">
        <f>IF(CH2524="","",IFERROR(IF(IF(AND(LEN(CH2524)=9,ISERROR(FIND("-",LEFT(CH2524,8))),ISNUMBER(-LEFT(CH2524,8))),VALUE(LEFT(CH2524,4)),VALUE(LEFT(CH2524,FIND("-",CH2524)-1)))&lt;100,IF(AND(LEN(CH2524)=9,ISERROR(FIND("-",LEFT(CH2524,8))),ISNUMBER(-LEFT(CH2524,8))),VALUE(LEFT(CH2524,4)),VALUE(LEFT(CH2524,FIND("-",CH2524)-1)))+2000,IF(AND(LEN(CH2524)=9,ISERROR(FIND("-",LEFT(CH2524,8))),ISNUMBER(-LEFT(CH2524,8))),VALUE(LEFT(CH2524,4)),VALUE(LEFT(CH2524,FIND("-",CH2524)-1)))),""))</f>
        <v/>
      </c>
      <c r="CN2524">
        <f>IF(CH2524="","",IFERROR(IF(AND(LEN(CH2524)=9,ISERROR(FIND("-",LEFT(CH2524,8))),ISNUMBER(-LEFT(CH2524,8))),VALUE(MID(CH2524,5,2)),VALUE(MID(CH2524,FIND("-",CH2524)+1,FIND("-",CH2524,FIND("-",CH2524)+1)-FIND("-",CH2524)-1))),""))</f>
        <v/>
      </c>
      <c r="CO2524">
        <f>IF(CH2524="","",IFERROR(IF(AND(LEN(CH2524)=9,ISERROR(FIND("-",LEFT(CH2524,8))),ISNUMBER(-LEFT(CH2524,8))),VALUE(MID(CH2524,7,2)),VALUE(MID(CH2524,FIND("-",CH2524,FIND("-",CH2524)+1)+1,FIND("-",CH2524,FIND("-",CH2524,FIND("-",CH2524)+1)+1)-FIND("-",CH2524,FIND("-",CH2524)+1)-1))),""))</f>
        <v/>
      </c>
    </row>
    <row r="2525">
      <c r="CH2525">
        <f>IF(ISTEXT('월 가계부'!A2525),SUBSTITUTE(SUBSTITUTE(SUBSTITUTE(SUBSTITUTE(SUBSTITUTE(SUBSTITUTE(SUBSTITUTE(SUBSTITUTE(SUBSTITUTE(TRIM('월 가계부'!A2525),"년","-"),"월","-"),"일",""),".","-"),"/","-")," ","-"),"--","-"),"--","-"),"--","-")&amp;"-","")</f>
        <v/>
      </c>
      <c r="CI2525">
        <f>IFERROR(IF('월 가계부'!A2525="","",IF(ISNUMBER('월 가계부'!A2525),IF(AND('월 가계부'!A2525&gt;=19000101,'월 가계부'!A2525&lt;=21001231),IF(AND(MOD(INT('월 가계부'!A2525/100),100)&gt;=1,MOD(INT('월 가계부'!A2525/100),100)&lt;=12,MOD(INT('월 가계부'!A2525),100)&gt;=1,MOD(INT('월 가계부'!A2525),100)&lt;=31),IF(MONTH(DATE(INT('월 가계부'!A2525/10000),MOD(INT('월 가계부'!A2525/100),100),MOD(INT('월 가계부'!A2525),100)))=MOD(INT('월 가계부'!A2525/100),100),DATE(INT('월 가계부'!A2525/10000),MOD(INT('월 가계부'!A2525/100),100),MOD(INT('월 가계부'!A2525),100)),""),""),IF(AND('월 가계부'!A2525&gt;=36526,'월 가계부'!A2525&lt;73051),INT('월 가계부'!A2525),"")),IF(OR(CM2525="",CN2525="",CO2525=""),"",IF(AND(CM2525&gt;=2000,CM2525&lt;=2099,CN2525&gt;=1,CN2525&lt;=12,CO2525&gt;=1,CO2525&lt;=31),IF(MONTH(DATE(CM2525,CN2525,CO2525))=CN2525,DATE(CM2525,CN2525,CO2525),""),"")))),"")</f>
        <v/>
      </c>
      <c r="CJ2525">
        <f>IFERROR(IF('월 가계부'!C2525="","",IF(ISNUMBER('월 가계부'!C2525),'월 가계부'!C2525,VALUE(SUBSTITUTE(SUBSTITUTE(SUBSTITUTE(SUBSTITUTE(TRIM('월 가계부'!C2525),",",""),"원","")," ",""),"−","-")))),"")</f>
        <v/>
      </c>
      <c r="CK2525">
        <f>IF(ISNUMBER(CI2525),IF(CI2525&lt;$B$13,CI2525,""),"")</f>
        <v/>
      </c>
      <c r="CM2525">
        <f>IF(CH2525="","",IFERROR(IF(IF(AND(LEN(CH2525)=9,ISERROR(FIND("-",LEFT(CH2525,8))),ISNUMBER(-LEFT(CH2525,8))),VALUE(LEFT(CH2525,4)),VALUE(LEFT(CH2525,FIND("-",CH2525)-1)))&lt;100,IF(AND(LEN(CH2525)=9,ISERROR(FIND("-",LEFT(CH2525,8))),ISNUMBER(-LEFT(CH2525,8))),VALUE(LEFT(CH2525,4)),VALUE(LEFT(CH2525,FIND("-",CH2525)-1)))+2000,IF(AND(LEN(CH2525)=9,ISERROR(FIND("-",LEFT(CH2525,8))),ISNUMBER(-LEFT(CH2525,8))),VALUE(LEFT(CH2525,4)),VALUE(LEFT(CH2525,FIND("-",CH2525)-1)))),""))</f>
        <v/>
      </c>
      <c r="CN2525">
        <f>IF(CH2525="","",IFERROR(IF(AND(LEN(CH2525)=9,ISERROR(FIND("-",LEFT(CH2525,8))),ISNUMBER(-LEFT(CH2525,8))),VALUE(MID(CH2525,5,2)),VALUE(MID(CH2525,FIND("-",CH2525)+1,FIND("-",CH2525,FIND("-",CH2525)+1)-FIND("-",CH2525)-1))),""))</f>
        <v/>
      </c>
      <c r="CO2525">
        <f>IF(CH2525="","",IFERROR(IF(AND(LEN(CH2525)=9,ISERROR(FIND("-",LEFT(CH2525,8))),ISNUMBER(-LEFT(CH2525,8))),VALUE(MID(CH2525,7,2)),VALUE(MID(CH2525,FIND("-",CH2525,FIND("-",CH2525)+1)+1,FIND("-",CH2525,FIND("-",CH2525,FIND("-",CH2525)+1)+1)-FIND("-",CH2525,FIND("-",CH2525)+1)-1))),""))</f>
        <v/>
      </c>
    </row>
    <row r="2526">
      <c r="CH2526">
        <f>IF(ISTEXT('월 가계부'!A2526),SUBSTITUTE(SUBSTITUTE(SUBSTITUTE(SUBSTITUTE(SUBSTITUTE(SUBSTITUTE(SUBSTITUTE(SUBSTITUTE(SUBSTITUTE(TRIM('월 가계부'!A2526),"년","-"),"월","-"),"일",""),".","-"),"/","-")," ","-"),"--","-"),"--","-"),"--","-")&amp;"-","")</f>
        <v/>
      </c>
      <c r="CI2526">
        <f>IFERROR(IF('월 가계부'!A2526="","",IF(ISNUMBER('월 가계부'!A2526),IF(AND('월 가계부'!A2526&gt;=19000101,'월 가계부'!A2526&lt;=21001231),IF(AND(MOD(INT('월 가계부'!A2526/100),100)&gt;=1,MOD(INT('월 가계부'!A2526/100),100)&lt;=12,MOD(INT('월 가계부'!A2526),100)&gt;=1,MOD(INT('월 가계부'!A2526),100)&lt;=31),IF(MONTH(DATE(INT('월 가계부'!A2526/10000),MOD(INT('월 가계부'!A2526/100),100),MOD(INT('월 가계부'!A2526),100)))=MOD(INT('월 가계부'!A2526/100),100),DATE(INT('월 가계부'!A2526/10000),MOD(INT('월 가계부'!A2526/100),100),MOD(INT('월 가계부'!A2526),100)),""),""),IF(AND('월 가계부'!A2526&gt;=36526,'월 가계부'!A2526&lt;73051),INT('월 가계부'!A2526),"")),IF(OR(CM2526="",CN2526="",CO2526=""),"",IF(AND(CM2526&gt;=2000,CM2526&lt;=2099,CN2526&gt;=1,CN2526&lt;=12,CO2526&gt;=1,CO2526&lt;=31),IF(MONTH(DATE(CM2526,CN2526,CO2526))=CN2526,DATE(CM2526,CN2526,CO2526),""),"")))),"")</f>
        <v/>
      </c>
      <c r="CJ2526">
        <f>IFERROR(IF('월 가계부'!C2526="","",IF(ISNUMBER('월 가계부'!C2526),'월 가계부'!C2526,VALUE(SUBSTITUTE(SUBSTITUTE(SUBSTITUTE(SUBSTITUTE(TRIM('월 가계부'!C2526),",",""),"원","")," ",""),"−","-")))),"")</f>
        <v/>
      </c>
      <c r="CK2526">
        <f>IF(ISNUMBER(CI2526),IF(CI2526&lt;$B$13,CI2526,""),"")</f>
        <v/>
      </c>
      <c r="CM2526">
        <f>IF(CH2526="","",IFERROR(IF(IF(AND(LEN(CH2526)=9,ISERROR(FIND("-",LEFT(CH2526,8))),ISNUMBER(-LEFT(CH2526,8))),VALUE(LEFT(CH2526,4)),VALUE(LEFT(CH2526,FIND("-",CH2526)-1)))&lt;100,IF(AND(LEN(CH2526)=9,ISERROR(FIND("-",LEFT(CH2526,8))),ISNUMBER(-LEFT(CH2526,8))),VALUE(LEFT(CH2526,4)),VALUE(LEFT(CH2526,FIND("-",CH2526)-1)))+2000,IF(AND(LEN(CH2526)=9,ISERROR(FIND("-",LEFT(CH2526,8))),ISNUMBER(-LEFT(CH2526,8))),VALUE(LEFT(CH2526,4)),VALUE(LEFT(CH2526,FIND("-",CH2526)-1)))),""))</f>
        <v/>
      </c>
      <c r="CN2526">
        <f>IF(CH2526="","",IFERROR(IF(AND(LEN(CH2526)=9,ISERROR(FIND("-",LEFT(CH2526,8))),ISNUMBER(-LEFT(CH2526,8))),VALUE(MID(CH2526,5,2)),VALUE(MID(CH2526,FIND("-",CH2526)+1,FIND("-",CH2526,FIND("-",CH2526)+1)-FIND("-",CH2526)-1))),""))</f>
        <v/>
      </c>
      <c r="CO2526">
        <f>IF(CH2526="","",IFERROR(IF(AND(LEN(CH2526)=9,ISERROR(FIND("-",LEFT(CH2526,8))),ISNUMBER(-LEFT(CH2526,8))),VALUE(MID(CH2526,7,2)),VALUE(MID(CH2526,FIND("-",CH2526,FIND("-",CH2526)+1)+1,FIND("-",CH2526,FIND("-",CH2526,FIND("-",CH2526)+1)+1)-FIND("-",CH2526,FIND("-",CH2526)+1)-1))),""))</f>
        <v/>
      </c>
    </row>
    <row r="2527">
      <c r="CH2527">
        <f>IF(ISTEXT('월 가계부'!A2527),SUBSTITUTE(SUBSTITUTE(SUBSTITUTE(SUBSTITUTE(SUBSTITUTE(SUBSTITUTE(SUBSTITUTE(SUBSTITUTE(SUBSTITUTE(TRIM('월 가계부'!A2527),"년","-"),"월","-"),"일",""),".","-"),"/","-")," ","-"),"--","-"),"--","-"),"--","-")&amp;"-","")</f>
        <v/>
      </c>
      <c r="CI2527">
        <f>IFERROR(IF('월 가계부'!A2527="","",IF(ISNUMBER('월 가계부'!A2527),IF(AND('월 가계부'!A2527&gt;=19000101,'월 가계부'!A2527&lt;=21001231),IF(AND(MOD(INT('월 가계부'!A2527/100),100)&gt;=1,MOD(INT('월 가계부'!A2527/100),100)&lt;=12,MOD(INT('월 가계부'!A2527),100)&gt;=1,MOD(INT('월 가계부'!A2527),100)&lt;=31),IF(MONTH(DATE(INT('월 가계부'!A2527/10000),MOD(INT('월 가계부'!A2527/100),100),MOD(INT('월 가계부'!A2527),100)))=MOD(INT('월 가계부'!A2527/100),100),DATE(INT('월 가계부'!A2527/10000),MOD(INT('월 가계부'!A2527/100),100),MOD(INT('월 가계부'!A2527),100)),""),""),IF(AND('월 가계부'!A2527&gt;=36526,'월 가계부'!A2527&lt;73051),INT('월 가계부'!A2527),"")),IF(OR(CM2527="",CN2527="",CO2527=""),"",IF(AND(CM2527&gt;=2000,CM2527&lt;=2099,CN2527&gt;=1,CN2527&lt;=12,CO2527&gt;=1,CO2527&lt;=31),IF(MONTH(DATE(CM2527,CN2527,CO2527))=CN2527,DATE(CM2527,CN2527,CO2527),""),"")))),"")</f>
        <v/>
      </c>
      <c r="CJ2527">
        <f>IFERROR(IF('월 가계부'!C2527="","",IF(ISNUMBER('월 가계부'!C2527),'월 가계부'!C2527,VALUE(SUBSTITUTE(SUBSTITUTE(SUBSTITUTE(SUBSTITUTE(TRIM('월 가계부'!C2527),",",""),"원","")," ",""),"−","-")))),"")</f>
        <v/>
      </c>
      <c r="CK2527">
        <f>IF(ISNUMBER(CI2527),IF(CI2527&lt;$B$13,CI2527,""),"")</f>
        <v/>
      </c>
      <c r="CM2527">
        <f>IF(CH2527="","",IFERROR(IF(IF(AND(LEN(CH2527)=9,ISERROR(FIND("-",LEFT(CH2527,8))),ISNUMBER(-LEFT(CH2527,8))),VALUE(LEFT(CH2527,4)),VALUE(LEFT(CH2527,FIND("-",CH2527)-1)))&lt;100,IF(AND(LEN(CH2527)=9,ISERROR(FIND("-",LEFT(CH2527,8))),ISNUMBER(-LEFT(CH2527,8))),VALUE(LEFT(CH2527,4)),VALUE(LEFT(CH2527,FIND("-",CH2527)-1)))+2000,IF(AND(LEN(CH2527)=9,ISERROR(FIND("-",LEFT(CH2527,8))),ISNUMBER(-LEFT(CH2527,8))),VALUE(LEFT(CH2527,4)),VALUE(LEFT(CH2527,FIND("-",CH2527)-1)))),""))</f>
        <v/>
      </c>
      <c r="CN2527">
        <f>IF(CH2527="","",IFERROR(IF(AND(LEN(CH2527)=9,ISERROR(FIND("-",LEFT(CH2527,8))),ISNUMBER(-LEFT(CH2527,8))),VALUE(MID(CH2527,5,2)),VALUE(MID(CH2527,FIND("-",CH2527)+1,FIND("-",CH2527,FIND("-",CH2527)+1)-FIND("-",CH2527)-1))),""))</f>
        <v/>
      </c>
      <c r="CO2527">
        <f>IF(CH2527="","",IFERROR(IF(AND(LEN(CH2527)=9,ISERROR(FIND("-",LEFT(CH2527,8))),ISNUMBER(-LEFT(CH2527,8))),VALUE(MID(CH2527,7,2)),VALUE(MID(CH2527,FIND("-",CH2527,FIND("-",CH2527)+1)+1,FIND("-",CH2527,FIND("-",CH2527,FIND("-",CH2527)+1)+1)-FIND("-",CH2527,FIND("-",CH2527)+1)-1))),""))</f>
        <v/>
      </c>
    </row>
    <row r="2528">
      <c r="CH2528">
        <f>IF(ISTEXT('월 가계부'!A2528),SUBSTITUTE(SUBSTITUTE(SUBSTITUTE(SUBSTITUTE(SUBSTITUTE(SUBSTITUTE(SUBSTITUTE(SUBSTITUTE(SUBSTITUTE(TRIM('월 가계부'!A2528),"년","-"),"월","-"),"일",""),".","-"),"/","-")," ","-"),"--","-"),"--","-"),"--","-")&amp;"-","")</f>
        <v/>
      </c>
      <c r="CI2528">
        <f>IFERROR(IF('월 가계부'!A2528="","",IF(ISNUMBER('월 가계부'!A2528),IF(AND('월 가계부'!A2528&gt;=19000101,'월 가계부'!A2528&lt;=21001231),IF(AND(MOD(INT('월 가계부'!A2528/100),100)&gt;=1,MOD(INT('월 가계부'!A2528/100),100)&lt;=12,MOD(INT('월 가계부'!A2528),100)&gt;=1,MOD(INT('월 가계부'!A2528),100)&lt;=31),IF(MONTH(DATE(INT('월 가계부'!A2528/10000),MOD(INT('월 가계부'!A2528/100),100),MOD(INT('월 가계부'!A2528),100)))=MOD(INT('월 가계부'!A2528/100),100),DATE(INT('월 가계부'!A2528/10000),MOD(INT('월 가계부'!A2528/100),100),MOD(INT('월 가계부'!A2528),100)),""),""),IF(AND('월 가계부'!A2528&gt;=36526,'월 가계부'!A2528&lt;73051),INT('월 가계부'!A2528),"")),IF(OR(CM2528="",CN2528="",CO2528=""),"",IF(AND(CM2528&gt;=2000,CM2528&lt;=2099,CN2528&gt;=1,CN2528&lt;=12,CO2528&gt;=1,CO2528&lt;=31),IF(MONTH(DATE(CM2528,CN2528,CO2528))=CN2528,DATE(CM2528,CN2528,CO2528),""),"")))),"")</f>
        <v/>
      </c>
      <c r="CJ2528">
        <f>IFERROR(IF('월 가계부'!C2528="","",IF(ISNUMBER('월 가계부'!C2528),'월 가계부'!C2528,VALUE(SUBSTITUTE(SUBSTITUTE(SUBSTITUTE(SUBSTITUTE(TRIM('월 가계부'!C2528),",",""),"원","")," ",""),"−","-")))),"")</f>
        <v/>
      </c>
      <c r="CK2528">
        <f>IF(ISNUMBER(CI2528),IF(CI2528&lt;$B$13,CI2528,""),"")</f>
        <v/>
      </c>
      <c r="CM2528">
        <f>IF(CH2528="","",IFERROR(IF(IF(AND(LEN(CH2528)=9,ISERROR(FIND("-",LEFT(CH2528,8))),ISNUMBER(-LEFT(CH2528,8))),VALUE(LEFT(CH2528,4)),VALUE(LEFT(CH2528,FIND("-",CH2528)-1)))&lt;100,IF(AND(LEN(CH2528)=9,ISERROR(FIND("-",LEFT(CH2528,8))),ISNUMBER(-LEFT(CH2528,8))),VALUE(LEFT(CH2528,4)),VALUE(LEFT(CH2528,FIND("-",CH2528)-1)))+2000,IF(AND(LEN(CH2528)=9,ISERROR(FIND("-",LEFT(CH2528,8))),ISNUMBER(-LEFT(CH2528,8))),VALUE(LEFT(CH2528,4)),VALUE(LEFT(CH2528,FIND("-",CH2528)-1)))),""))</f>
        <v/>
      </c>
      <c r="CN2528">
        <f>IF(CH2528="","",IFERROR(IF(AND(LEN(CH2528)=9,ISERROR(FIND("-",LEFT(CH2528,8))),ISNUMBER(-LEFT(CH2528,8))),VALUE(MID(CH2528,5,2)),VALUE(MID(CH2528,FIND("-",CH2528)+1,FIND("-",CH2528,FIND("-",CH2528)+1)-FIND("-",CH2528)-1))),""))</f>
        <v/>
      </c>
      <c r="CO2528">
        <f>IF(CH2528="","",IFERROR(IF(AND(LEN(CH2528)=9,ISERROR(FIND("-",LEFT(CH2528,8))),ISNUMBER(-LEFT(CH2528,8))),VALUE(MID(CH2528,7,2)),VALUE(MID(CH2528,FIND("-",CH2528,FIND("-",CH2528)+1)+1,FIND("-",CH2528,FIND("-",CH2528,FIND("-",CH2528)+1)+1)-FIND("-",CH2528,FIND("-",CH2528)+1)-1))),""))</f>
        <v/>
      </c>
    </row>
    <row r="2529">
      <c r="CH2529">
        <f>IF(ISTEXT('월 가계부'!A2529),SUBSTITUTE(SUBSTITUTE(SUBSTITUTE(SUBSTITUTE(SUBSTITUTE(SUBSTITUTE(SUBSTITUTE(SUBSTITUTE(SUBSTITUTE(TRIM('월 가계부'!A2529),"년","-"),"월","-"),"일",""),".","-"),"/","-")," ","-"),"--","-"),"--","-"),"--","-")&amp;"-","")</f>
        <v/>
      </c>
      <c r="CI2529">
        <f>IFERROR(IF('월 가계부'!A2529="","",IF(ISNUMBER('월 가계부'!A2529),IF(AND('월 가계부'!A2529&gt;=19000101,'월 가계부'!A2529&lt;=21001231),IF(AND(MOD(INT('월 가계부'!A2529/100),100)&gt;=1,MOD(INT('월 가계부'!A2529/100),100)&lt;=12,MOD(INT('월 가계부'!A2529),100)&gt;=1,MOD(INT('월 가계부'!A2529),100)&lt;=31),IF(MONTH(DATE(INT('월 가계부'!A2529/10000),MOD(INT('월 가계부'!A2529/100),100),MOD(INT('월 가계부'!A2529),100)))=MOD(INT('월 가계부'!A2529/100),100),DATE(INT('월 가계부'!A2529/10000),MOD(INT('월 가계부'!A2529/100),100),MOD(INT('월 가계부'!A2529),100)),""),""),IF(AND('월 가계부'!A2529&gt;=36526,'월 가계부'!A2529&lt;73051),INT('월 가계부'!A2529),"")),IF(OR(CM2529="",CN2529="",CO2529=""),"",IF(AND(CM2529&gt;=2000,CM2529&lt;=2099,CN2529&gt;=1,CN2529&lt;=12,CO2529&gt;=1,CO2529&lt;=31),IF(MONTH(DATE(CM2529,CN2529,CO2529))=CN2529,DATE(CM2529,CN2529,CO2529),""),"")))),"")</f>
        <v/>
      </c>
      <c r="CJ2529">
        <f>IFERROR(IF('월 가계부'!C2529="","",IF(ISNUMBER('월 가계부'!C2529),'월 가계부'!C2529,VALUE(SUBSTITUTE(SUBSTITUTE(SUBSTITUTE(SUBSTITUTE(TRIM('월 가계부'!C2529),",",""),"원","")," ",""),"−","-")))),"")</f>
        <v/>
      </c>
      <c r="CK2529">
        <f>IF(ISNUMBER(CI2529),IF(CI2529&lt;$B$13,CI2529,""),"")</f>
        <v/>
      </c>
      <c r="CM2529">
        <f>IF(CH2529="","",IFERROR(IF(IF(AND(LEN(CH2529)=9,ISERROR(FIND("-",LEFT(CH2529,8))),ISNUMBER(-LEFT(CH2529,8))),VALUE(LEFT(CH2529,4)),VALUE(LEFT(CH2529,FIND("-",CH2529)-1)))&lt;100,IF(AND(LEN(CH2529)=9,ISERROR(FIND("-",LEFT(CH2529,8))),ISNUMBER(-LEFT(CH2529,8))),VALUE(LEFT(CH2529,4)),VALUE(LEFT(CH2529,FIND("-",CH2529)-1)))+2000,IF(AND(LEN(CH2529)=9,ISERROR(FIND("-",LEFT(CH2529,8))),ISNUMBER(-LEFT(CH2529,8))),VALUE(LEFT(CH2529,4)),VALUE(LEFT(CH2529,FIND("-",CH2529)-1)))),""))</f>
        <v/>
      </c>
      <c r="CN2529">
        <f>IF(CH2529="","",IFERROR(IF(AND(LEN(CH2529)=9,ISERROR(FIND("-",LEFT(CH2529,8))),ISNUMBER(-LEFT(CH2529,8))),VALUE(MID(CH2529,5,2)),VALUE(MID(CH2529,FIND("-",CH2529)+1,FIND("-",CH2529,FIND("-",CH2529)+1)-FIND("-",CH2529)-1))),""))</f>
        <v/>
      </c>
      <c r="CO2529">
        <f>IF(CH2529="","",IFERROR(IF(AND(LEN(CH2529)=9,ISERROR(FIND("-",LEFT(CH2529,8))),ISNUMBER(-LEFT(CH2529,8))),VALUE(MID(CH2529,7,2)),VALUE(MID(CH2529,FIND("-",CH2529,FIND("-",CH2529)+1)+1,FIND("-",CH2529,FIND("-",CH2529,FIND("-",CH2529)+1)+1)-FIND("-",CH2529,FIND("-",CH2529)+1)-1))),""))</f>
        <v/>
      </c>
    </row>
    <row r="2530">
      <c r="CH2530">
        <f>IF(ISTEXT('월 가계부'!A2530),SUBSTITUTE(SUBSTITUTE(SUBSTITUTE(SUBSTITUTE(SUBSTITUTE(SUBSTITUTE(SUBSTITUTE(SUBSTITUTE(SUBSTITUTE(TRIM('월 가계부'!A2530),"년","-"),"월","-"),"일",""),".","-"),"/","-")," ","-"),"--","-"),"--","-"),"--","-")&amp;"-","")</f>
        <v/>
      </c>
      <c r="CI2530">
        <f>IFERROR(IF('월 가계부'!A2530="","",IF(ISNUMBER('월 가계부'!A2530),IF(AND('월 가계부'!A2530&gt;=19000101,'월 가계부'!A2530&lt;=21001231),IF(AND(MOD(INT('월 가계부'!A2530/100),100)&gt;=1,MOD(INT('월 가계부'!A2530/100),100)&lt;=12,MOD(INT('월 가계부'!A2530),100)&gt;=1,MOD(INT('월 가계부'!A2530),100)&lt;=31),IF(MONTH(DATE(INT('월 가계부'!A2530/10000),MOD(INT('월 가계부'!A2530/100),100),MOD(INT('월 가계부'!A2530),100)))=MOD(INT('월 가계부'!A2530/100),100),DATE(INT('월 가계부'!A2530/10000),MOD(INT('월 가계부'!A2530/100),100),MOD(INT('월 가계부'!A2530),100)),""),""),IF(AND('월 가계부'!A2530&gt;=36526,'월 가계부'!A2530&lt;73051),INT('월 가계부'!A2530),"")),IF(OR(CM2530="",CN2530="",CO2530=""),"",IF(AND(CM2530&gt;=2000,CM2530&lt;=2099,CN2530&gt;=1,CN2530&lt;=12,CO2530&gt;=1,CO2530&lt;=31),IF(MONTH(DATE(CM2530,CN2530,CO2530))=CN2530,DATE(CM2530,CN2530,CO2530),""),"")))),"")</f>
        <v/>
      </c>
      <c r="CJ2530">
        <f>IFERROR(IF('월 가계부'!C2530="","",IF(ISNUMBER('월 가계부'!C2530),'월 가계부'!C2530,VALUE(SUBSTITUTE(SUBSTITUTE(SUBSTITUTE(SUBSTITUTE(TRIM('월 가계부'!C2530),",",""),"원","")," ",""),"−","-")))),"")</f>
        <v/>
      </c>
      <c r="CK2530">
        <f>IF(ISNUMBER(CI2530),IF(CI2530&lt;$B$13,CI2530,""),"")</f>
        <v/>
      </c>
      <c r="CM2530">
        <f>IF(CH2530="","",IFERROR(IF(IF(AND(LEN(CH2530)=9,ISERROR(FIND("-",LEFT(CH2530,8))),ISNUMBER(-LEFT(CH2530,8))),VALUE(LEFT(CH2530,4)),VALUE(LEFT(CH2530,FIND("-",CH2530)-1)))&lt;100,IF(AND(LEN(CH2530)=9,ISERROR(FIND("-",LEFT(CH2530,8))),ISNUMBER(-LEFT(CH2530,8))),VALUE(LEFT(CH2530,4)),VALUE(LEFT(CH2530,FIND("-",CH2530)-1)))+2000,IF(AND(LEN(CH2530)=9,ISERROR(FIND("-",LEFT(CH2530,8))),ISNUMBER(-LEFT(CH2530,8))),VALUE(LEFT(CH2530,4)),VALUE(LEFT(CH2530,FIND("-",CH2530)-1)))),""))</f>
        <v/>
      </c>
      <c r="CN2530">
        <f>IF(CH2530="","",IFERROR(IF(AND(LEN(CH2530)=9,ISERROR(FIND("-",LEFT(CH2530,8))),ISNUMBER(-LEFT(CH2530,8))),VALUE(MID(CH2530,5,2)),VALUE(MID(CH2530,FIND("-",CH2530)+1,FIND("-",CH2530,FIND("-",CH2530)+1)-FIND("-",CH2530)-1))),""))</f>
        <v/>
      </c>
      <c r="CO2530">
        <f>IF(CH2530="","",IFERROR(IF(AND(LEN(CH2530)=9,ISERROR(FIND("-",LEFT(CH2530,8))),ISNUMBER(-LEFT(CH2530,8))),VALUE(MID(CH2530,7,2)),VALUE(MID(CH2530,FIND("-",CH2530,FIND("-",CH2530)+1)+1,FIND("-",CH2530,FIND("-",CH2530,FIND("-",CH2530)+1)+1)-FIND("-",CH2530,FIND("-",CH2530)+1)-1))),""))</f>
        <v/>
      </c>
    </row>
    <row r="2531">
      <c r="CH2531">
        <f>IF(ISTEXT('월 가계부'!A2531),SUBSTITUTE(SUBSTITUTE(SUBSTITUTE(SUBSTITUTE(SUBSTITUTE(SUBSTITUTE(SUBSTITUTE(SUBSTITUTE(SUBSTITUTE(TRIM('월 가계부'!A2531),"년","-"),"월","-"),"일",""),".","-"),"/","-")," ","-"),"--","-"),"--","-"),"--","-")&amp;"-","")</f>
        <v/>
      </c>
      <c r="CI2531">
        <f>IFERROR(IF('월 가계부'!A2531="","",IF(ISNUMBER('월 가계부'!A2531),IF(AND('월 가계부'!A2531&gt;=19000101,'월 가계부'!A2531&lt;=21001231),IF(AND(MOD(INT('월 가계부'!A2531/100),100)&gt;=1,MOD(INT('월 가계부'!A2531/100),100)&lt;=12,MOD(INT('월 가계부'!A2531),100)&gt;=1,MOD(INT('월 가계부'!A2531),100)&lt;=31),IF(MONTH(DATE(INT('월 가계부'!A2531/10000),MOD(INT('월 가계부'!A2531/100),100),MOD(INT('월 가계부'!A2531),100)))=MOD(INT('월 가계부'!A2531/100),100),DATE(INT('월 가계부'!A2531/10000),MOD(INT('월 가계부'!A2531/100),100),MOD(INT('월 가계부'!A2531),100)),""),""),IF(AND('월 가계부'!A2531&gt;=36526,'월 가계부'!A2531&lt;73051),INT('월 가계부'!A2531),"")),IF(OR(CM2531="",CN2531="",CO2531=""),"",IF(AND(CM2531&gt;=2000,CM2531&lt;=2099,CN2531&gt;=1,CN2531&lt;=12,CO2531&gt;=1,CO2531&lt;=31),IF(MONTH(DATE(CM2531,CN2531,CO2531))=CN2531,DATE(CM2531,CN2531,CO2531),""),"")))),"")</f>
        <v/>
      </c>
      <c r="CJ2531">
        <f>IFERROR(IF('월 가계부'!C2531="","",IF(ISNUMBER('월 가계부'!C2531),'월 가계부'!C2531,VALUE(SUBSTITUTE(SUBSTITUTE(SUBSTITUTE(SUBSTITUTE(TRIM('월 가계부'!C2531),",",""),"원","")," ",""),"−","-")))),"")</f>
        <v/>
      </c>
      <c r="CK2531">
        <f>IF(ISNUMBER(CI2531),IF(CI2531&lt;$B$13,CI2531,""),"")</f>
        <v/>
      </c>
      <c r="CM2531">
        <f>IF(CH2531="","",IFERROR(IF(IF(AND(LEN(CH2531)=9,ISERROR(FIND("-",LEFT(CH2531,8))),ISNUMBER(-LEFT(CH2531,8))),VALUE(LEFT(CH2531,4)),VALUE(LEFT(CH2531,FIND("-",CH2531)-1)))&lt;100,IF(AND(LEN(CH2531)=9,ISERROR(FIND("-",LEFT(CH2531,8))),ISNUMBER(-LEFT(CH2531,8))),VALUE(LEFT(CH2531,4)),VALUE(LEFT(CH2531,FIND("-",CH2531)-1)))+2000,IF(AND(LEN(CH2531)=9,ISERROR(FIND("-",LEFT(CH2531,8))),ISNUMBER(-LEFT(CH2531,8))),VALUE(LEFT(CH2531,4)),VALUE(LEFT(CH2531,FIND("-",CH2531)-1)))),""))</f>
        <v/>
      </c>
      <c r="CN2531">
        <f>IF(CH2531="","",IFERROR(IF(AND(LEN(CH2531)=9,ISERROR(FIND("-",LEFT(CH2531,8))),ISNUMBER(-LEFT(CH2531,8))),VALUE(MID(CH2531,5,2)),VALUE(MID(CH2531,FIND("-",CH2531)+1,FIND("-",CH2531,FIND("-",CH2531)+1)-FIND("-",CH2531)-1))),""))</f>
        <v/>
      </c>
      <c r="CO2531">
        <f>IF(CH2531="","",IFERROR(IF(AND(LEN(CH2531)=9,ISERROR(FIND("-",LEFT(CH2531,8))),ISNUMBER(-LEFT(CH2531,8))),VALUE(MID(CH2531,7,2)),VALUE(MID(CH2531,FIND("-",CH2531,FIND("-",CH2531)+1)+1,FIND("-",CH2531,FIND("-",CH2531,FIND("-",CH2531)+1)+1)-FIND("-",CH2531,FIND("-",CH2531)+1)-1))),""))</f>
        <v/>
      </c>
    </row>
    <row r="2532">
      <c r="CH2532">
        <f>IF(ISTEXT('월 가계부'!A2532),SUBSTITUTE(SUBSTITUTE(SUBSTITUTE(SUBSTITUTE(SUBSTITUTE(SUBSTITUTE(SUBSTITUTE(SUBSTITUTE(SUBSTITUTE(TRIM('월 가계부'!A2532),"년","-"),"월","-"),"일",""),".","-"),"/","-")," ","-"),"--","-"),"--","-"),"--","-")&amp;"-","")</f>
        <v/>
      </c>
      <c r="CI2532">
        <f>IFERROR(IF('월 가계부'!A2532="","",IF(ISNUMBER('월 가계부'!A2532),IF(AND('월 가계부'!A2532&gt;=19000101,'월 가계부'!A2532&lt;=21001231),IF(AND(MOD(INT('월 가계부'!A2532/100),100)&gt;=1,MOD(INT('월 가계부'!A2532/100),100)&lt;=12,MOD(INT('월 가계부'!A2532),100)&gt;=1,MOD(INT('월 가계부'!A2532),100)&lt;=31),IF(MONTH(DATE(INT('월 가계부'!A2532/10000),MOD(INT('월 가계부'!A2532/100),100),MOD(INT('월 가계부'!A2532),100)))=MOD(INT('월 가계부'!A2532/100),100),DATE(INT('월 가계부'!A2532/10000),MOD(INT('월 가계부'!A2532/100),100),MOD(INT('월 가계부'!A2532),100)),""),""),IF(AND('월 가계부'!A2532&gt;=36526,'월 가계부'!A2532&lt;73051),INT('월 가계부'!A2532),"")),IF(OR(CM2532="",CN2532="",CO2532=""),"",IF(AND(CM2532&gt;=2000,CM2532&lt;=2099,CN2532&gt;=1,CN2532&lt;=12,CO2532&gt;=1,CO2532&lt;=31),IF(MONTH(DATE(CM2532,CN2532,CO2532))=CN2532,DATE(CM2532,CN2532,CO2532),""),"")))),"")</f>
        <v/>
      </c>
      <c r="CJ2532">
        <f>IFERROR(IF('월 가계부'!C2532="","",IF(ISNUMBER('월 가계부'!C2532),'월 가계부'!C2532,VALUE(SUBSTITUTE(SUBSTITUTE(SUBSTITUTE(SUBSTITUTE(TRIM('월 가계부'!C2532),",",""),"원","")," ",""),"−","-")))),"")</f>
        <v/>
      </c>
      <c r="CK2532">
        <f>IF(ISNUMBER(CI2532),IF(CI2532&lt;$B$13,CI2532,""),"")</f>
        <v/>
      </c>
      <c r="CM2532">
        <f>IF(CH2532="","",IFERROR(IF(IF(AND(LEN(CH2532)=9,ISERROR(FIND("-",LEFT(CH2532,8))),ISNUMBER(-LEFT(CH2532,8))),VALUE(LEFT(CH2532,4)),VALUE(LEFT(CH2532,FIND("-",CH2532)-1)))&lt;100,IF(AND(LEN(CH2532)=9,ISERROR(FIND("-",LEFT(CH2532,8))),ISNUMBER(-LEFT(CH2532,8))),VALUE(LEFT(CH2532,4)),VALUE(LEFT(CH2532,FIND("-",CH2532)-1)))+2000,IF(AND(LEN(CH2532)=9,ISERROR(FIND("-",LEFT(CH2532,8))),ISNUMBER(-LEFT(CH2532,8))),VALUE(LEFT(CH2532,4)),VALUE(LEFT(CH2532,FIND("-",CH2532)-1)))),""))</f>
        <v/>
      </c>
      <c r="CN2532">
        <f>IF(CH2532="","",IFERROR(IF(AND(LEN(CH2532)=9,ISERROR(FIND("-",LEFT(CH2532,8))),ISNUMBER(-LEFT(CH2532,8))),VALUE(MID(CH2532,5,2)),VALUE(MID(CH2532,FIND("-",CH2532)+1,FIND("-",CH2532,FIND("-",CH2532)+1)-FIND("-",CH2532)-1))),""))</f>
        <v/>
      </c>
      <c r="CO2532">
        <f>IF(CH2532="","",IFERROR(IF(AND(LEN(CH2532)=9,ISERROR(FIND("-",LEFT(CH2532,8))),ISNUMBER(-LEFT(CH2532,8))),VALUE(MID(CH2532,7,2)),VALUE(MID(CH2532,FIND("-",CH2532,FIND("-",CH2532)+1)+1,FIND("-",CH2532,FIND("-",CH2532,FIND("-",CH2532)+1)+1)-FIND("-",CH2532,FIND("-",CH2532)+1)-1))),""))</f>
        <v/>
      </c>
    </row>
    <row r="2533">
      <c r="CH2533">
        <f>IF(ISTEXT('월 가계부'!A2533),SUBSTITUTE(SUBSTITUTE(SUBSTITUTE(SUBSTITUTE(SUBSTITUTE(SUBSTITUTE(SUBSTITUTE(SUBSTITUTE(SUBSTITUTE(TRIM('월 가계부'!A2533),"년","-"),"월","-"),"일",""),".","-"),"/","-")," ","-"),"--","-"),"--","-"),"--","-")&amp;"-","")</f>
        <v/>
      </c>
      <c r="CI2533">
        <f>IFERROR(IF('월 가계부'!A2533="","",IF(ISNUMBER('월 가계부'!A2533),IF(AND('월 가계부'!A2533&gt;=19000101,'월 가계부'!A2533&lt;=21001231),IF(AND(MOD(INT('월 가계부'!A2533/100),100)&gt;=1,MOD(INT('월 가계부'!A2533/100),100)&lt;=12,MOD(INT('월 가계부'!A2533),100)&gt;=1,MOD(INT('월 가계부'!A2533),100)&lt;=31),IF(MONTH(DATE(INT('월 가계부'!A2533/10000),MOD(INT('월 가계부'!A2533/100),100),MOD(INT('월 가계부'!A2533),100)))=MOD(INT('월 가계부'!A2533/100),100),DATE(INT('월 가계부'!A2533/10000),MOD(INT('월 가계부'!A2533/100),100),MOD(INT('월 가계부'!A2533),100)),""),""),IF(AND('월 가계부'!A2533&gt;=36526,'월 가계부'!A2533&lt;73051),INT('월 가계부'!A2533),"")),IF(OR(CM2533="",CN2533="",CO2533=""),"",IF(AND(CM2533&gt;=2000,CM2533&lt;=2099,CN2533&gt;=1,CN2533&lt;=12,CO2533&gt;=1,CO2533&lt;=31),IF(MONTH(DATE(CM2533,CN2533,CO2533))=CN2533,DATE(CM2533,CN2533,CO2533),""),"")))),"")</f>
        <v/>
      </c>
      <c r="CJ2533">
        <f>IFERROR(IF('월 가계부'!C2533="","",IF(ISNUMBER('월 가계부'!C2533),'월 가계부'!C2533,VALUE(SUBSTITUTE(SUBSTITUTE(SUBSTITUTE(SUBSTITUTE(TRIM('월 가계부'!C2533),",",""),"원","")," ",""),"−","-")))),"")</f>
        <v/>
      </c>
      <c r="CK2533">
        <f>IF(ISNUMBER(CI2533),IF(CI2533&lt;$B$13,CI2533,""),"")</f>
        <v/>
      </c>
      <c r="CM2533">
        <f>IF(CH2533="","",IFERROR(IF(IF(AND(LEN(CH2533)=9,ISERROR(FIND("-",LEFT(CH2533,8))),ISNUMBER(-LEFT(CH2533,8))),VALUE(LEFT(CH2533,4)),VALUE(LEFT(CH2533,FIND("-",CH2533)-1)))&lt;100,IF(AND(LEN(CH2533)=9,ISERROR(FIND("-",LEFT(CH2533,8))),ISNUMBER(-LEFT(CH2533,8))),VALUE(LEFT(CH2533,4)),VALUE(LEFT(CH2533,FIND("-",CH2533)-1)))+2000,IF(AND(LEN(CH2533)=9,ISERROR(FIND("-",LEFT(CH2533,8))),ISNUMBER(-LEFT(CH2533,8))),VALUE(LEFT(CH2533,4)),VALUE(LEFT(CH2533,FIND("-",CH2533)-1)))),""))</f>
        <v/>
      </c>
      <c r="CN2533">
        <f>IF(CH2533="","",IFERROR(IF(AND(LEN(CH2533)=9,ISERROR(FIND("-",LEFT(CH2533,8))),ISNUMBER(-LEFT(CH2533,8))),VALUE(MID(CH2533,5,2)),VALUE(MID(CH2533,FIND("-",CH2533)+1,FIND("-",CH2533,FIND("-",CH2533)+1)-FIND("-",CH2533)-1))),""))</f>
        <v/>
      </c>
      <c r="CO2533">
        <f>IF(CH2533="","",IFERROR(IF(AND(LEN(CH2533)=9,ISERROR(FIND("-",LEFT(CH2533,8))),ISNUMBER(-LEFT(CH2533,8))),VALUE(MID(CH2533,7,2)),VALUE(MID(CH2533,FIND("-",CH2533,FIND("-",CH2533)+1)+1,FIND("-",CH2533,FIND("-",CH2533,FIND("-",CH2533)+1)+1)-FIND("-",CH2533,FIND("-",CH2533)+1)-1))),""))</f>
        <v/>
      </c>
    </row>
    <row r="2534">
      <c r="CH2534">
        <f>IF(ISTEXT('월 가계부'!A2534),SUBSTITUTE(SUBSTITUTE(SUBSTITUTE(SUBSTITUTE(SUBSTITUTE(SUBSTITUTE(SUBSTITUTE(SUBSTITUTE(SUBSTITUTE(TRIM('월 가계부'!A2534),"년","-"),"월","-"),"일",""),".","-"),"/","-")," ","-"),"--","-"),"--","-"),"--","-")&amp;"-","")</f>
        <v/>
      </c>
      <c r="CI2534">
        <f>IFERROR(IF('월 가계부'!A2534="","",IF(ISNUMBER('월 가계부'!A2534),IF(AND('월 가계부'!A2534&gt;=19000101,'월 가계부'!A2534&lt;=21001231),IF(AND(MOD(INT('월 가계부'!A2534/100),100)&gt;=1,MOD(INT('월 가계부'!A2534/100),100)&lt;=12,MOD(INT('월 가계부'!A2534),100)&gt;=1,MOD(INT('월 가계부'!A2534),100)&lt;=31),IF(MONTH(DATE(INT('월 가계부'!A2534/10000),MOD(INT('월 가계부'!A2534/100),100),MOD(INT('월 가계부'!A2534),100)))=MOD(INT('월 가계부'!A2534/100),100),DATE(INT('월 가계부'!A2534/10000),MOD(INT('월 가계부'!A2534/100),100),MOD(INT('월 가계부'!A2534),100)),""),""),IF(AND('월 가계부'!A2534&gt;=36526,'월 가계부'!A2534&lt;73051),INT('월 가계부'!A2534),"")),IF(OR(CM2534="",CN2534="",CO2534=""),"",IF(AND(CM2534&gt;=2000,CM2534&lt;=2099,CN2534&gt;=1,CN2534&lt;=12,CO2534&gt;=1,CO2534&lt;=31),IF(MONTH(DATE(CM2534,CN2534,CO2534))=CN2534,DATE(CM2534,CN2534,CO2534),""),"")))),"")</f>
        <v/>
      </c>
      <c r="CJ2534">
        <f>IFERROR(IF('월 가계부'!C2534="","",IF(ISNUMBER('월 가계부'!C2534),'월 가계부'!C2534,VALUE(SUBSTITUTE(SUBSTITUTE(SUBSTITUTE(SUBSTITUTE(TRIM('월 가계부'!C2534),",",""),"원","")," ",""),"−","-")))),"")</f>
        <v/>
      </c>
      <c r="CK2534">
        <f>IF(ISNUMBER(CI2534),IF(CI2534&lt;$B$13,CI2534,""),"")</f>
        <v/>
      </c>
      <c r="CM2534">
        <f>IF(CH2534="","",IFERROR(IF(IF(AND(LEN(CH2534)=9,ISERROR(FIND("-",LEFT(CH2534,8))),ISNUMBER(-LEFT(CH2534,8))),VALUE(LEFT(CH2534,4)),VALUE(LEFT(CH2534,FIND("-",CH2534)-1)))&lt;100,IF(AND(LEN(CH2534)=9,ISERROR(FIND("-",LEFT(CH2534,8))),ISNUMBER(-LEFT(CH2534,8))),VALUE(LEFT(CH2534,4)),VALUE(LEFT(CH2534,FIND("-",CH2534)-1)))+2000,IF(AND(LEN(CH2534)=9,ISERROR(FIND("-",LEFT(CH2534,8))),ISNUMBER(-LEFT(CH2534,8))),VALUE(LEFT(CH2534,4)),VALUE(LEFT(CH2534,FIND("-",CH2534)-1)))),""))</f>
        <v/>
      </c>
      <c r="CN2534">
        <f>IF(CH2534="","",IFERROR(IF(AND(LEN(CH2534)=9,ISERROR(FIND("-",LEFT(CH2534,8))),ISNUMBER(-LEFT(CH2534,8))),VALUE(MID(CH2534,5,2)),VALUE(MID(CH2534,FIND("-",CH2534)+1,FIND("-",CH2534,FIND("-",CH2534)+1)-FIND("-",CH2534)-1))),""))</f>
        <v/>
      </c>
      <c r="CO2534">
        <f>IF(CH2534="","",IFERROR(IF(AND(LEN(CH2534)=9,ISERROR(FIND("-",LEFT(CH2534,8))),ISNUMBER(-LEFT(CH2534,8))),VALUE(MID(CH2534,7,2)),VALUE(MID(CH2534,FIND("-",CH2534,FIND("-",CH2534)+1)+1,FIND("-",CH2534,FIND("-",CH2534,FIND("-",CH2534)+1)+1)-FIND("-",CH2534,FIND("-",CH2534)+1)-1))),""))</f>
        <v/>
      </c>
    </row>
    <row r="2535">
      <c r="CH2535">
        <f>IF(ISTEXT('월 가계부'!A2535),SUBSTITUTE(SUBSTITUTE(SUBSTITUTE(SUBSTITUTE(SUBSTITUTE(SUBSTITUTE(SUBSTITUTE(SUBSTITUTE(SUBSTITUTE(TRIM('월 가계부'!A2535),"년","-"),"월","-"),"일",""),".","-"),"/","-")," ","-"),"--","-"),"--","-"),"--","-")&amp;"-","")</f>
        <v/>
      </c>
      <c r="CI2535">
        <f>IFERROR(IF('월 가계부'!A2535="","",IF(ISNUMBER('월 가계부'!A2535),IF(AND('월 가계부'!A2535&gt;=19000101,'월 가계부'!A2535&lt;=21001231),IF(AND(MOD(INT('월 가계부'!A2535/100),100)&gt;=1,MOD(INT('월 가계부'!A2535/100),100)&lt;=12,MOD(INT('월 가계부'!A2535),100)&gt;=1,MOD(INT('월 가계부'!A2535),100)&lt;=31),IF(MONTH(DATE(INT('월 가계부'!A2535/10000),MOD(INT('월 가계부'!A2535/100),100),MOD(INT('월 가계부'!A2535),100)))=MOD(INT('월 가계부'!A2535/100),100),DATE(INT('월 가계부'!A2535/10000),MOD(INT('월 가계부'!A2535/100),100),MOD(INT('월 가계부'!A2535),100)),""),""),IF(AND('월 가계부'!A2535&gt;=36526,'월 가계부'!A2535&lt;73051),INT('월 가계부'!A2535),"")),IF(OR(CM2535="",CN2535="",CO2535=""),"",IF(AND(CM2535&gt;=2000,CM2535&lt;=2099,CN2535&gt;=1,CN2535&lt;=12,CO2535&gt;=1,CO2535&lt;=31),IF(MONTH(DATE(CM2535,CN2535,CO2535))=CN2535,DATE(CM2535,CN2535,CO2535),""),"")))),"")</f>
        <v/>
      </c>
      <c r="CJ2535">
        <f>IFERROR(IF('월 가계부'!C2535="","",IF(ISNUMBER('월 가계부'!C2535),'월 가계부'!C2535,VALUE(SUBSTITUTE(SUBSTITUTE(SUBSTITUTE(SUBSTITUTE(TRIM('월 가계부'!C2535),",",""),"원","")," ",""),"−","-")))),"")</f>
        <v/>
      </c>
      <c r="CK2535">
        <f>IF(ISNUMBER(CI2535),IF(CI2535&lt;$B$13,CI2535,""),"")</f>
        <v/>
      </c>
      <c r="CM2535">
        <f>IF(CH2535="","",IFERROR(IF(IF(AND(LEN(CH2535)=9,ISERROR(FIND("-",LEFT(CH2535,8))),ISNUMBER(-LEFT(CH2535,8))),VALUE(LEFT(CH2535,4)),VALUE(LEFT(CH2535,FIND("-",CH2535)-1)))&lt;100,IF(AND(LEN(CH2535)=9,ISERROR(FIND("-",LEFT(CH2535,8))),ISNUMBER(-LEFT(CH2535,8))),VALUE(LEFT(CH2535,4)),VALUE(LEFT(CH2535,FIND("-",CH2535)-1)))+2000,IF(AND(LEN(CH2535)=9,ISERROR(FIND("-",LEFT(CH2535,8))),ISNUMBER(-LEFT(CH2535,8))),VALUE(LEFT(CH2535,4)),VALUE(LEFT(CH2535,FIND("-",CH2535)-1)))),""))</f>
        <v/>
      </c>
      <c r="CN2535">
        <f>IF(CH2535="","",IFERROR(IF(AND(LEN(CH2535)=9,ISERROR(FIND("-",LEFT(CH2535,8))),ISNUMBER(-LEFT(CH2535,8))),VALUE(MID(CH2535,5,2)),VALUE(MID(CH2535,FIND("-",CH2535)+1,FIND("-",CH2535,FIND("-",CH2535)+1)-FIND("-",CH2535)-1))),""))</f>
        <v/>
      </c>
      <c r="CO2535">
        <f>IF(CH2535="","",IFERROR(IF(AND(LEN(CH2535)=9,ISERROR(FIND("-",LEFT(CH2535,8))),ISNUMBER(-LEFT(CH2535,8))),VALUE(MID(CH2535,7,2)),VALUE(MID(CH2535,FIND("-",CH2535,FIND("-",CH2535)+1)+1,FIND("-",CH2535,FIND("-",CH2535,FIND("-",CH2535)+1)+1)-FIND("-",CH2535,FIND("-",CH2535)+1)-1))),""))</f>
        <v/>
      </c>
    </row>
    <row r="2536">
      <c r="CH2536">
        <f>IF(ISTEXT('월 가계부'!A2536),SUBSTITUTE(SUBSTITUTE(SUBSTITUTE(SUBSTITUTE(SUBSTITUTE(SUBSTITUTE(SUBSTITUTE(SUBSTITUTE(SUBSTITUTE(TRIM('월 가계부'!A2536),"년","-"),"월","-"),"일",""),".","-"),"/","-")," ","-"),"--","-"),"--","-"),"--","-")&amp;"-","")</f>
        <v/>
      </c>
      <c r="CI2536">
        <f>IFERROR(IF('월 가계부'!A2536="","",IF(ISNUMBER('월 가계부'!A2536),IF(AND('월 가계부'!A2536&gt;=19000101,'월 가계부'!A2536&lt;=21001231),IF(AND(MOD(INT('월 가계부'!A2536/100),100)&gt;=1,MOD(INT('월 가계부'!A2536/100),100)&lt;=12,MOD(INT('월 가계부'!A2536),100)&gt;=1,MOD(INT('월 가계부'!A2536),100)&lt;=31),IF(MONTH(DATE(INT('월 가계부'!A2536/10000),MOD(INT('월 가계부'!A2536/100),100),MOD(INT('월 가계부'!A2536),100)))=MOD(INT('월 가계부'!A2536/100),100),DATE(INT('월 가계부'!A2536/10000),MOD(INT('월 가계부'!A2536/100),100),MOD(INT('월 가계부'!A2536),100)),""),""),IF(AND('월 가계부'!A2536&gt;=36526,'월 가계부'!A2536&lt;73051),INT('월 가계부'!A2536),"")),IF(OR(CM2536="",CN2536="",CO2536=""),"",IF(AND(CM2536&gt;=2000,CM2536&lt;=2099,CN2536&gt;=1,CN2536&lt;=12,CO2536&gt;=1,CO2536&lt;=31),IF(MONTH(DATE(CM2536,CN2536,CO2536))=CN2536,DATE(CM2536,CN2536,CO2536),""),"")))),"")</f>
        <v/>
      </c>
      <c r="CJ2536">
        <f>IFERROR(IF('월 가계부'!C2536="","",IF(ISNUMBER('월 가계부'!C2536),'월 가계부'!C2536,VALUE(SUBSTITUTE(SUBSTITUTE(SUBSTITUTE(SUBSTITUTE(TRIM('월 가계부'!C2536),",",""),"원","")," ",""),"−","-")))),"")</f>
        <v/>
      </c>
      <c r="CK2536">
        <f>IF(ISNUMBER(CI2536),IF(CI2536&lt;$B$13,CI2536,""),"")</f>
        <v/>
      </c>
      <c r="CM2536">
        <f>IF(CH2536="","",IFERROR(IF(IF(AND(LEN(CH2536)=9,ISERROR(FIND("-",LEFT(CH2536,8))),ISNUMBER(-LEFT(CH2536,8))),VALUE(LEFT(CH2536,4)),VALUE(LEFT(CH2536,FIND("-",CH2536)-1)))&lt;100,IF(AND(LEN(CH2536)=9,ISERROR(FIND("-",LEFT(CH2536,8))),ISNUMBER(-LEFT(CH2536,8))),VALUE(LEFT(CH2536,4)),VALUE(LEFT(CH2536,FIND("-",CH2536)-1)))+2000,IF(AND(LEN(CH2536)=9,ISERROR(FIND("-",LEFT(CH2536,8))),ISNUMBER(-LEFT(CH2536,8))),VALUE(LEFT(CH2536,4)),VALUE(LEFT(CH2536,FIND("-",CH2536)-1)))),""))</f>
        <v/>
      </c>
      <c r="CN2536">
        <f>IF(CH2536="","",IFERROR(IF(AND(LEN(CH2536)=9,ISERROR(FIND("-",LEFT(CH2536,8))),ISNUMBER(-LEFT(CH2536,8))),VALUE(MID(CH2536,5,2)),VALUE(MID(CH2536,FIND("-",CH2536)+1,FIND("-",CH2536,FIND("-",CH2536)+1)-FIND("-",CH2536)-1))),""))</f>
        <v/>
      </c>
      <c r="CO2536">
        <f>IF(CH2536="","",IFERROR(IF(AND(LEN(CH2536)=9,ISERROR(FIND("-",LEFT(CH2536,8))),ISNUMBER(-LEFT(CH2536,8))),VALUE(MID(CH2536,7,2)),VALUE(MID(CH2536,FIND("-",CH2536,FIND("-",CH2536)+1)+1,FIND("-",CH2536,FIND("-",CH2536,FIND("-",CH2536)+1)+1)-FIND("-",CH2536,FIND("-",CH2536)+1)-1))),""))</f>
        <v/>
      </c>
    </row>
    <row r="2537">
      <c r="CH2537">
        <f>IF(ISTEXT('월 가계부'!A2537),SUBSTITUTE(SUBSTITUTE(SUBSTITUTE(SUBSTITUTE(SUBSTITUTE(SUBSTITUTE(SUBSTITUTE(SUBSTITUTE(SUBSTITUTE(TRIM('월 가계부'!A2537),"년","-"),"월","-"),"일",""),".","-"),"/","-")," ","-"),"--","-"),"--","-"),"--","-")&amp;"-","")</f>
        <v/>
      </c>
      <c r="CI2537">
        <f>IFERROR(IF('월 가계부'!A2537="","",IF(ISNUMBER('월 가계부'!A2537),IF(AND('월 가계부'!A2537&gt;=19000101,'월 가계부'!A2537&lt;=21001231),IF(AND(MOD(INT('월 가계부'!A2537/100),100)&gt;=1,MOD(INT('월 가계부'!A2537/100),100)&lt;=12,MOD(INT('월 가계부'!A2537),100)&gt;=1,MOD(INT('월 가계부'!A2537),100)&lt;=31),IF(MONTH(DATE(INT('월 가계부'!A2537/10000),MOD(INT('월 가계부'!A2537/100),100),MOD(INT('월 가계부'!A2537),100)))=MOD(INT('월 가계부'!A2537/100),100),DATE(INT('월 가계부'!A2537/10000),MOD(INT('월 가계부'!A2537/100),100),MOD(INT('월 가계부'!A2537),100)),""),""),IF(AND('월 가계부'!A2537&gt;=36526,'월 가계부'!A2537&lt;73051),INT('월 가계부'!A2537),"")),IF(OR(CM2537="",CN2537="",CO2537=""),"",IF(AND(CM2537&gt;=2000,CM2537&lt;=2099,CN2537&gt;=1,CN2537&lt;=12,CO2537&gt;=1,CO2537&lt;=31),IF(MONTH(DATE(CM2537,CN2537,CO2537))=CN2537,DATE(CM2537,CN2537,CO2537),""),"")))),"")</f>
        <v/>
      </c>
      <c r="CJ2537">
        <f>IFERROR(IF('월 가계부'!C2537="","",IF(ISNUMBER('월 가계부'!C2537),'월 가계부'!C2537,VALUE(SUBSTITUTE(SUBSTITUTE(SUBSTITUTE(SUBSTITUTE(TRIM('월 가계부'!C2537),",",""),"원","")," ",""),"−","-")))),"")</f>
        <v/>
      </c>
      <c r="CK2537">
        <f>IF(ISNUMBER(CI2537),IF(CI2537&lt;$B$13,CI2537,""),"")</f>
        <v/>
      </c>
      <c r="CM2537">
        <f>IF(CH2537="","",IFERROR(IF(IF(AND(LEN(CH2537)=9,ISERROR(FIND("-",LEFT(CH2537,8))),ISNUMBER(-LEFT(CH2537,8))),VALUE(LEFT(CH2537,4)),VALUE(LEFT(CH2537,FIND("-",CH2537)-1)))&lt;100,IF(AND(LEN(CH2537)=9,ISERROR(FIND("-",LEFT(CH2537,8))),ISNUMBER(-LEFT(CH2537,8))),VALUE(LEFT(CH2537,4)),VALUE(LEFT(CH2537,FIND("-",CH2537)-1)))+2000,IF(AND(LEN(CH2537)=9,ISERROR(FIND("-",LEFT(CH2537,8))),ISNUMBER(-LEFT(CH2537,8))),VALUE(LEFT(CH2537,4)),VALUE(LEFT(CH2537,FIND("-",CH2537)-1)))),""))</f>
        <v/>
      </c>
      <c r="CN2537">
        <f>IF(CH2537="","",IFERROR(IF(AND(LEN(CH2537)=9,ISERROR(FIND("-",LEFT(CH2537,8))),ISNUMBER(-LEFT(CH2537,8))),VALUE(MID(CH2537,5,2)),VALUE(MID(CH2537,FIND("-",CH2537)+1,FIND("-",CH2537,FIND("-",CH2537)+1)-FIND("-",CH2537)-1))),""))</f>
        <v/>
      </c>
      <c r="CO2537">
        <f>IF(CH2537="","",IFERROR(IF(AND(LEN(CH2537)=9,ISERROR(FIND("-",LEFT(CH2537,8))),ISNUMBER(-LEFT(CH2537,8))),VALUE(MID(CH2537,7,2)),VALUE(MID(CH2537,FIND("-",CH2537,FIND("-",CH2537)+1)+1,FIND("-",CH2537,FIND("-",CH2537,FIND("-",CH2537)+1)+1)-FIND("-",CH2537,FIND("-",CH2537)+1)-1))),""))</f>
        <v/>
      </c>
    </row>
    <row r="2538">
      <c r="CH2538">
        <f>IF(ISTEXT('월 가계부'!A2538),SUBSTITUTE(SUBSTITUTE(SUBSTITUTE(SUBSTITUTE(SUBSTITUTE(SUBSTITUTE(SUBSTITUTE(SUBSTITUTE(SUBSTITUTE(TRIM('월 가계부'!A2538),"년","-"),"월","-"),"일",""),".","-"),"/","-")," ","-"),"--","-"),"--","-"),"--","-")&amp;"-","")</f>
        <v/>
      </c>
      <c r="CI2538">
        <f>IFERROR(IF('월 가계부'!A2538="","",IF(ISNUMBER('월 가계부'!A2538),IF(AND('월 가계부'!A2538&gt;=19000101,'월 가계부'!A2538&lt;=21001231),IF(AND(MOD(INT('월 가계부'!A2538/100),100)&gt;=1,MOD(INT('월 가계부'!A2538/100),100)&lt;=12,MOD(INT('월 가계부'!A2538),100)&gt;=1,MOD(INT('월 가계부'!A2538),100)&lt;=31),IF(MONTH(DATE(INT('월 가계부'!A2538/10000),MOD(INT('월 가계부'!A2538/100),100),MOD(INT('월 가계부'!A2538),100)))=MOD(INT('월 가계부'!A2538/100),100),DATE(INT('월 가계부'!A2538/10000),MOD(INT('월 가계부'!A2538/100),100),MOD(INT('월 가계부'!A2538),100)),""),""),IF(AND('월 가계부'!A2538&gt;=36526,'월 가계부'!A2538&lt;73051),INT('월 가계부'!A2538),"")),IF(OR(CM2538="",CN2538="",CO2538=""),"",IF(AND(CM2538&gt;=2000,CM2538&lt;=2099,CN2538&gt;=1,CN2538&lt;=12,CO2538&gt;=1,CO2538&lt;=31),IF(MONTH(DATE(CM2538,CN2538,CO2538))=CN2538,DATE(CM2538,CN2538,CO2538),""),"")))),"")</f>
        <v/>
      </c>
      <c r="CJ2538">
        <f>IFERROR(IF('월 가계부'!C2538="","",IF(ISNUMBER('월 가계부'!C2538),'월 가계부'!C2538,VALUE(SUBSTITUTE(SUBSTITUTE(SUBSTITUTE(SUBSTITUTE(TRIM('월 가계부'!C2538),",",""),"원","")," ",""),"−","-")))),"")</f>
        <v/>
      </c>
      <c r="CK2538">
        <f>IF(ISNUMBER(CI2538),IF(CI2538&lt;$B$13,CI2538,""),"")</f>
        <v/>
      </c>
      <c r="CM2538">
        <f>IF(CH2538="","",IFERROR(IF(IF(AND(LEN(CH2538)=9,ISERROR(FIND("-",LEFT(CH2538,8))),ISNUMBER(-LEFT(CH2538,8))),VALUE(LEFT(CH2538,4)),VALUE(LEFT(CH2538,FIND("-",CH2538)-1)))&lt;100,IF(AND(LEN(CH2538)=9,ISERROR(FIND("-",LEFT(CH2538,8))),ISNUMBER(-LEFT(CH2538,8))),VALUE(LEFT(CH2538,4)),VALUE(LEFT(CH2538,FIND("-",CH2538)-1)))+2000,IF(AND(LEN(CH2538)=9,ISERROR(FIND("-",LEFT(CH2538,8))),ISNUMBER(-LEFT(CH2538,8))),VALUE(LEFT(CH2538,4)),VALUE(LEFT(CH2538,FIND("-",CH2538)-1)))),""))</f>
        <v/>
      </c>
      <c r="CN2538">
        <f>IF(CH2538="","",IFERROR(IF(AND(LEN(CH2538)=9,ISERROR(FIND("-",LEFT(CH2538,8))),ISNUMBER(-LEFT(CH2538,8))),VALUE(MID(CH2538,5,2)),VALUE(MID(CH2538,FIND("-",CH2538)+1,FIND("-",CH2538,FIND("-",CH2538)+1)-FIND("-",CH2538)-1))),""))</f>
        <v/>
      </c>
      <c r="CO2538">
        <f>IF(CH2538="","",IFERROR(IF(AND(LEN(CH2538)=9,ISERROR(FIND("-",LEFT(CH2538,8))),ISNUMBER(-LEFT(CH2538,8))),VALUE(MID(CH2538,7,2)),VALUE(MID(CH2538,FIND("-",CH2538,FIND("-",CH2538)+1)+1,FIND("-",CH2538,FIND("-",CH2538,FIND("-",CH2538)+1)+1)-FIND("-",CH2538,FIND("-",CH2538)+1)-1))),""))</f>
        <v/>
      </c>
    </row>
    <row r="2539">
      <c r="CH2539">
        <f>IF(ISTEXT('월 가계부'!A2539),SUBSTITUTE(SUBSTITUTE(SUBSTITUTE(SUBSTITUTE(SUBSTITUTE(SUBSTITUTE(SUBSTITUTE(SUBSTITUTE(SUBSTITUTE(TRIM('월 가계부'!A2539),"년","-"),"월","-"),"일",""),".","-"),"/","-")," ","-"),"--","-"),"--","-"),"--","-")&amp;"-","")</f>
        <v/>
      </c>
      <c r="CI2539">
        <f>IFERROR(IF('월 가계부'!A2539="","",IF(ISNUMBER('월 가계부'!A2539),IF(AND('월 가계부'!A2539&gt;=19000101,'월 가계부'!A2539&lt;=21001231),IF(AND(MOD(INT('월 가계부'!A2539/100),100)&gt;=1,MOD(INT('월 가계부'!A2539/100),100)&lt;=12,MOD(INT('월 가계부'!A2539),100)&gt;=1,MOD(INT('월 가계부'!A2539),100)&lt;=31),IF(MONTH(DATE(INT('월 가계부'!A2539/10000),MOD(INT('월 가계부'!A2539/100),100),MOD(INT('월 가계부'!A2539),100)))=MOD(INT('월 가계부'!A2539/100),100),DATE(INT('월 가계부'!A2539/10000),MOD(INT('월 가계부'!A2539/100),100),MOD(INT('월 가계부'!A2539),100)),""),""),IF(AND('월 가계부'!A2539&gt;=36526,'월 가계부'!A2539&lt;73051),INT('월 가계부'!A2539),"")),IF(OR(CM2539="",CN2539="",CO2539=""),"",IF(AND(CM2539&gt;=2000,CM2539&lt;=2099,CN2539&gt;=1,CN2539&lt;=12,CO2539&gt;=1,CO2539&lt;=31),IF(MONTH(DATE(CM2539,CN2539,CO2539))=CN2539,DATE(CM2539,CN2539,CO2539),""),"")))),"")</f>
        <v/>
      </c>
      <c r="CJ2539">
        <f>IFERROR(IF('월 가계부'!C2539="","",IF(ISNUMBER('월 가계부'!C2539),'월 가계부'!C2539,VALUE(SUBSTITUTE(SUBSTITUTE(SUBSTITUTE(SUBSTITUTE(TRIM('월 가계부'!C2539),",",""),"원","")," ",""),"−","-")))),"")</f>
        <v/>
      </c>
      <c r="CK2539">
        <f>IF(ISNUMBER(CI2539),IF(CI2539&lt;$B$13,CI2539,""),"")</f>
        <v/>
      </c>
      <c r="CM2539">
        <f>IF(CH2539="","",IFERROR(IF(IF(AND(LEN(CH2539)=9,ISERROR(FIND("-",LEFT(CH2539,8))),ISNUMBER(-LEFT(CH2539,8))),VALUE(LEFT(CH2539,4)),VALUE(LEFT(CH2539,FIND("-",CH2539)-1)))&lt;100,IF(AND(LEN(CH2539)=9,ISERROR(FIND("-",LEFT(CH2539,8))),ISNUMBER(-LEFT(CH2539,8))),VALUE(LEFT(CH2539,4)),VALUE(LEFT(CH2539,FIND("-",CH2539)-1)))+2000,IF(AND(LEN(CH2539)=9,ISERROR(FIND("-",LEFT(CH2539,8))),ISNUMBER(-LEFT(CH2539,8))),VALUE(LEFT(CH2539,4)),VALUE(LEFT(CH2539,FIND("-",CH2539)-1)))),""))</f>
        <v/>
      </c>
      <c r="CN2539">
        <f>IF(CH2539="","",IFERROR(IF(AND(LEN(CH2539)=9,ISERROR(FIND("-",LEFT(CH2539,8))),ISNUMBER(-LEFT(CH2539,8))),VALUE(MID(CH2539,5,2)),VALUE(MID(CH2539,FIND("-",CH2539)+1,FIND("-",CH2539,FIND("-",CH2539)+1)-FIND("-",CH2539)-1))),""))</f>
        <v/>
      </c>
      <c r="CO2539">
        <f>IF(CH2539="","",IFERROR(IF(AND(LEN(CH2539)=9,ISERROR(FIND("-",LEFT(CH2539,8))),ISNUMBER(-LEFT(CH2539,8))),VALUE(MID(CH2539,7,2)),VALUE(MID(CH2539,FIND("-",CH2539,FIND("-",CH2539)+1)+1,FIND("-",CH2539,FIND("-",CH2539,FIND("-",CH2539)+1)+1)-FIND("-",CH2539,FIND("-",CH2539)+1)-1))),""))</f>
        <v/>
      </c>
    </row>
    <row r="2540">
      <c r="CH2540">
        <f>IF(ISTEXT('월 가계부'!A2540),SUBSTITUTE(SUBSTITUTE(SUBSTITUTE(SUBSTITUTE(SUBSTITUTE(SUBSTITUTE(SUBSTITUTE(SUBSTITUTE(SUBSTITUTE(TRIM('월 가계부'!A2540),"년","-"),"월","-"),"일",""),".","-"),"/","-")," ","-"),"--","-"),"--","-"),"--","-")&amp;"-","")</f>
        <v/>
      </c>
      <c r="CI2540">
        <f>IFERROR(IF('월 가계부'!A2540="","",IF(ISNUMBER('월 가계부'!A2540),IF(AND('월 가계부'!A2540&gt;=19000101,'월 가계부'!A2540&lt;=21001231),IF(AND(MOD(INT('월 가계부'!A2540/100),100)&gt;=1,MOD(INT('월 가계부'!A2540/100),100)&lt;=12,MOD(INT('월 가계부'!A2540),100)&gt;=1,MOD(INT('월 가계부'!A2540),100)&lt;=31),IF(MONTH(DATE(INT('월 가계부'!A2540/10000),MOD(INT('월 가계부'!A2540/100),100),MOD(INT('월 가계부'!A2540),100)))=MOD(INT('월 가계부'!A2540/100),100),DATE(INT('월 가계부'!A2540/10000),MOD(INT('월 가계부'!A2540/100),100),MOD(INT('월 가계부'!A2540),100)),""),""),IF(AND('월 가계부'!A2540&gt;=36526,'월 가계부'!A2540&lt;73051),INT('월 가계부'!A2540),"")),IF(OR(CM2540="",CN2540="",CO2540=""),"",IF(AND(CM2540&gt;=2000,CM2540&lt;=2099,CN2540&gt;=1,CN2540&lt;=12,CO2540&gt;=1,CO2540&lt;=31),IF(MONTH(DATE(CM2540,CN2540,CO2540))=CN2540,DATE(CM2540,CN2540,CO2540),""),"")))),"")</f>
        <v/>
      </c>
      <c r="CJ2540">
        <f>IFERROR(IF('월 가계부'!C2540="","",IF(ISNUMBER('월 가계부'!C2540),'월 가계부'!C2540,VALUE(SUBSTITUTE(SUBSTITUTE(SUBSTITUTE(SUBSTITUTE(TRIM('월 가계부'!C2540),",",""),"원","")," ",""),"−","-")))),"")</f>
        <v/>
      </c>
      <c r="CK2540">
        <f>IF(ISNUMBER(CI2540),IF(CI2540&lt;$B$13,CI2540,""),"")</f>
        <v/>
      </c>
      <c r="CM2540">
        <f>IF(CH2540="","",IFERROR(IF(IF(AND(LEN(CH2540)=9,ISERROR(FIND("-",LEFT(CH2540,8))),ISNUMBER(-LEFT(CH2540,8))),VALUE(LEFT(CH2540,4)),VALUE(LEFT(CH2540,FIND("-",CH2540)-1)))&lt;100,IF(AND(LEN(CH2540)=9,ISERROR(FIND("-",LEFT(CH2540,8))),ISNUMBER(-LEFT(CH2540,8))),VALUE(LEFT(CH2540,4)),VALUE(LEFT(CH2540,FIND("-",CH2540)-1)))+2000,IF(AND(LEN(CH2540)=9,ISERROR(FIND("-",LEFT(CH2540,8))),ISNUMBER(-LEFT(CH2540,8))),VALUE(LEFT(CH2540,4)),VALUE(LEFT(CH2540,FIND("-",CH2540)-1)))),""))</f>
        <v/>
      </c>
      <c r="CN2540">
        <f>IF(CH2540="","",IFERROR(IF(AND(LEN(CH2540)=9,ISERROR(FIND("-",LEFT(CH2540,8))),ISNUMBER(-LEFT(CH2540,8))),VALUE(MID(CH2540,5,2)),VALUE(MID(CH2540,FIND("-",CH2540)+1,FIND("-",CH2540,FIND("-",CH2540)+1)-FIND("-",CH2540)-1))),""))</f>
        <v/>
      </c>
      <c r="CO2540">
        <f>IF(CH2540="","",IFERROR(IF(AND(LEN(CH2540)=9,ISERROR(FIND("-",LEFT(CH2540,8))),ISNUMBER(-LEFT(CH2540,8))),VALUE(MID(CH2540,7,2)),VALUE(MID(CH2540,FIND("-",CH2540,FIND("-",CH2540)+1)+1,FIND("-",CH2540,FIND("-",CH2540,FIND("-",CH2540)+1)+1)-FIND("-",CH2540,FIND("-",CH2540)+1)-1))),""))</f>
        <v/>
      </c>
    </row>
    <row r="2541">
      <c r="CH2541">
        <f>IF(ISTEXT('월 가계부'!A2541),SUBSTITUTE(SUBSTITUTE(SUBSTITUTE(SUBSTITUTE(SUBSTITUTE(SUBSTITUTE(SUBSTITUTE(SUBSTITUTE(SUBSTITUTE(TRIM('월 가계부'!A2541),"년","-"),"월","-"),"일",""),".","-"),"/","-")," ","-"),"--","-"),"--","-"),"--","-")&amp;"-","")</f>
        <v/>
      </c>
      <c r="CI2541">
        <f>IFERROR(IF('월 가계부'!A2541="","",IF(ISNUMBER('월 가계부'!A2541),IF(AND('월 가계부'!A2541&gt;=19000101,'월 가계부'!A2541&lt;=21001231),IF(AND(MOD(INT('월 가계부'!A2541/100),100)&gt;=1,MOD(INT('월 가계부'!A2541/100),100)&lt;=12,MOD(INT('월 가계부'!A2541),100)&gt;=1,MOD(INT('월 가계부'!A2541),100)&lt;=31),IF(MONTH(DATE(INT('월 가계부'!A2541/10000),MOD(INT('월 가계부'!A2541/100),100),MOD(INT('월 가계부'!A2541),100)))=MOD(INT('월 가계부'!A2541/100),100),DATE(INT('월 가계부'!A2541/10000),MOD(INT('월 가계부'!A2541/100),100),MOD(INT('월 가계부'!A2541),100)),""),""),IF(AND('월 가계부'!A2541&gt;=36526,'월 가계부'!A2541&lt;73051),INT('월 가계부'!A2541),"")),IF(OR(CM2541="",CN2541="",CO2541=""),"",IF(AND(CM2541&gt;=2000,CM2541&lt;=2099,CN2541&gt;=1,CN2541&lt;=12,CO2541&gt;=1,CO2541&lt;=31),IF(MONTH(DATE(CM2541,CN2541,CO2541))=CN2541,DATE(CM2541,CN2541,CO2541),""),"")))),"")</f>
        <v/>
      </c>
      <c r="CJ2541">
        <f>IFERROR(IF('월 가계부'!C2541="","",IF(ISNUMBER('월 가계부'!C2541),'월 가계부'!C2541,VALUE(SUBSTITUTE(SUBSTITUTE(SUBSTITUTE(SUBSTITUTE(TRIM('월 가계부'!C2541),",",""),"원","")," ",""),"−","-")))),"")</f>
        <v/>
      </c>
      <c r="CK2541">
        <f>IF(ISNUMBER(CI2541),IF(CI2541&lt;$B$13,CI2541,""),"")</f>
        <v/>
      </c>
      <c r="CM2541">
        <f>IF(CH2541="","",IFERROR(IF(IF(AND(LEN(CH2541)=9,ISERROR(FIND("-",LEFT(CH2541,8))),ISNUMBER(-LEFT(CH2541,8))),VALUE(LEFT(CH2541,4)),VALUE(LEFT(CH2541,FIND("-",CH2541)-1)))&lt;100,IF(AND(LEN(CH2541)=9,ISERROR(FIND("-",LEFT(CH2541,8))),ISNUMBER(-LEFT(CH2541,8))),VALUE(LEFT(CH2541,4)),VALUE(LEFT(CH2541,FIND("-",CH2541)-1)))+2000,IF(AND(LEN(CH2541)=9,ISERROR(FIND("-",LEFT(CH2541,8))),ISNUMBER(-LEFT(CH2541,8))),VALUE(LEFT(CH2541,4)),VALUE(LEFT(CH2541,FIND("-",CH2541)-1)))),""))</f>
        <v/>
      </c>
      <c r="CN2541">
        <f>IF(CH2541="","",IFERROR(IF(AND(LEN(CH2541)=9,ISERROR(FIND("-",LEFT(CH2541,8))),ISNUMBER(-LEFT(CH2541,8))),VALUE(MID(CH2541,5,2)),VALUE(MID(CH2541,FIND("-",CH2541)+1,FIND("-",CH2541,FIND("-",CH2541)+1)-FIND("-",CH2541)-1))),""))</f>
        <v/>
      </c>
      <c r="CO2541">
        <f>IF(CH2541="","",IFERROR(IF(AND(LEN(CH2541)=9,ISERROR(FIND("-",LEFT(CH2541,8))),ISNUMBER(-LEFT(CH2541,8))),VALUE(MID(CH2541,7,2)),VALUE(MID(CH2541,FIND("-",CH2541,FIND("-",CH2541)+1)+1,FIND("-",CH2541,FIND("-",CH2541,FIND("-",CH2541)+1)+1)-FIND("-",CH2541,FIND("-",CH2541)+1)-1))),""))</f>
        <v/>
      </c>
    </row>
    <row r="2542">
      <c r="CH2542">
        <f>IF(ISTEXT('월 가계부'!A2542),SUBSTITUTE(SUBSTITUTE(SUBSTITUTE(SUBSTITUTE(SUBSTITUTE(SUBSTITUTE(SUBSTITUTE(SUBSTITUTE(SUBSTITUTE(TRIM('월 가계부'!A2542),"년","-"),"월","-"),"일",""),".","-"),"/","-")," ","-"),"--","-"),"--","-"),"--","-")&amp;"-","")</f>
        <v/>
      </c>
      <c r="CI2542">
        <f>IFERROR(IF('월 가계부'!A2542="","",IF(ISNUMBER('월 가계부'!A2542),IF(AND('월 가계부'!A2542&gt;=19000101,'월 가계부'!A2542&lt;=21001231),IF(AND(MOD(INT('월 가계부'!A2542/100),100)&gt;=1,MOD(INT('월 가계부'!A2542/100),100)&lt;=12,MOD(INT('월 가계부'!A2542),100)&gt;=1,MOD(INT('월 가계부'!A2542),100)&lt;=31),IF(MONTH(DATE(INT('월 가계부'!A2542/10000),MOD(INT('월 가계부'!A2542/100),100),MOD(INT('월 가계부'!A2542),100)))=MOD(INT('월 가계부'!A2542/100),100),DATE(INT('월 가계부'!A2542/10000),MOD(INT('월 가계부'!A2542/100),100),MOD(INT('월 가계부'!A2542),100)),""),""),IF(AND('월 가계부'!A2542&gt;=36526,'월 가계부'!A2542&lt;73051),INT('월 가계부'!A2542),"")),IF(OR(CM2542="",CN2542="",CO2542=""),"",IF(AND(CM2542&gt;=2000,CM2542&lt;=2099,CN2542&gt;=1,CN2542&lt;=12,CO2542&gt;=1,CO2542&lt;=31),IF(MONTH(DATE(CM2542,CN2542,CO2542))=CN2542,DATE(CM2542,CN2542,CO2542),""),"")))),"")</f>
        <v/>
      </c>
      <c r="CJ2542">
        <f>IFERROR(IF('월 가계부'!C2542="","",IF(ISNUMBER('월 가계부'!C2542),'월 가계부'!C2542,VALUE(SUBSTITUTE(SUBSTITUTE(SUBSTITUTE(SUBSTITUTE(TRIM('월 가계부'!C2542),",",""),"원","")," ",""),"−","-")))),"")</f>
        <v/>
      </c>
      <c r="CK2542">
        <f>IF(ISNUMBER(CI2542),IF(CI2542&lt;$B$13,CI2542,""),"")</f>
        <v/>
      </c>
      <c r="CM2542">
        <f>IF(CH2542="","",IFERROR(IF(IF(AND(LEN(CH2542)=9,ISERROR(FIND("-",LEFT(CH2542,8))),ISNUMBER(-LEFT(CH2542,8))),VALUE(LEFT(CH2542,4)),VALUE(LEFT(CH2542,FIND("-",CH2542)-1)))&lt;100,IF(AND(LEN(CH2542)=9,ISERROR(FIND("-",LEFT(CH2542,8))),ISNUMBER(-LEFT(CH2542,8))),VALUE(LEFT(CH2542,4)),VALUE(LEFT(CH2542,FIND("-",CH2542)-1)))+2000,IF(AND(LEN(CH2542)=9,ISERROR(FIND("-",LEFT(CH2542,8))),ISNUMBER(-LEFT(CH2542,8))),VALUE(LEFT(CH2542,4)),VALUE(LEFT(CH2542,FIND("-",CH2542)-1)))),""))</f>
        <v/>
      </c>
      <c r="CN2542">
        <f>IF(CH2542="","",IFERROR(IF(AND(LEN(CH2542)=9,ISERROR(FIND("-",LEFT(CH2542,8))),ISNUMBER(-LEFT(CH2542,8))),VALUE(MID(CH2542,5,2)),VALUE(MID(CH2542,FIND("-",CH2542)+1,FIND("-",CH2542,FIND("-",CH2542)+1)-FIND("-",CH2542)-1))),""))</f>
        <v/>
      </c>
      <c r="CO2542">
        <f>IF(CH2542="","",IFERROR(IF(AND(LEN(CH2542)=9,ISERROR(FIND("-",LEFT(CH2542,8))),ISNUMBER(-LEFT(CH2542,8))),VALUE(MID(CH2542,7,2)),VALUE(MID(CH2542,FIND("-",CH2542,FIND("-",CH2542)+1)+1,FIND("-",CH2542,FIND("-",CH2542,FIND("-",CH2542)+1)+1)-FIND("-",CH2542,FIND("-",CH2542)+1)-1))),""))</f>
        <v/>
      </c>
    </row>
    <row r="2543">
      <c r="CH2543">
        <f>IF(ISTEXT('월 가계부'!A2543),SUBSTITUTE(SUBSTITUTE(SUBSTITUTE(SUBSTITUTE(SUBSTITUTE(SUBSTITUTE(SUBSTITUTE(SUBSTITUTE(SUBSTITUTE(TRIM('월 가계부'!A2543),"년","-"),"월","-"),"일",""),".","-"),"/","-")," ","-"),"--","-"),"--","-"),"--","-")&amp;"-","")</f>
        <v/>
      </c>
      <c r="CI2543">
        <f>IFERROR(IF('월 가계부'!A2543="","",IF(ISNUMBER('월 가계부'!A2543),IF(AND('월 가계부'!A2543&gt;=19000101,'월 가계부'!A2543&lt;=21001231),IF(AND(MOD(INT('월 가계부'!A2543/100),100)&gt;=1,MOD(INT('월 가계부'!A2543/100),100)&lt;=12,MOD(INT('월 가계부'!A2543),100)&gt;=1,MOD(INT('월 가계부'!A2543),100)&lt;=31),IF(MONTH(DATE(INT('월 가계부'!A2543/10000),MOD(INT('월 가계부'!A2543/100),100),MOD(INT('월 가계부'!A2543),100)))=MOD(INT('월 가계부'!A2543/100),100),DATE(INT('월 가계부'!A2543/10000),MOD(INT('월 가계부'!A2543/100),100),MOD(INT('월 가계부'!A2543),100)),""),""),IF(AND('월 가계부'!A2543&gt;=36526,'월 가계부'!A2543&lt;73051),INT('월 가계부'!A2543),"")),IF(OR(CM2543="",CN2543="",CO2543=""),"",IF(AND(CM2543&gt;=2000,CM2543&lt;=2099,CN2543&gt;=1,CN2543&lt;=12,CO2543&gt;=1,CO2543&lt;=31),IF(MONTH(DATE(CM2543,CN2543,CO2543))=CN2543,DATE(CM2543,CN2543,CO2543),""),"")))),"")</f>
        <v/>
      </c>
      <c r="CJ2543">
        <f>IFERROR(IF('월 가계부'!C2543="","",IF(ISNUMBER('월 가계부'!C2543),'월 가계부'!C2543,VALUE(SUBSTITUTE(SUBSTITUTE(SUBSTITUTE(SUBSTITUTE(TRIM('월 가계부'!C2543),",",""),"원","")," ",""),"−","-")))),"")</f>
        <v/>
      </c>
      <c r="CK2543">
        <f>IF(ISNUMBER(CI2543),IF(CI2543&lt;$B$13,CI2543,""),"")</f>
        <v/>
      </c>
      <c r="CM2543">
        <f>IF(CH2543="","",IFERROR(IF(IF(AND(LEN(CH2543)=9,ISERROR(FIND("-",LEFT(CH2543,8))),ISNUMBER(-LEFT(CH2543,8))),VALUE(LEFT(CH2543,4)),VALUE(LEFT(CH2543,FIND("-",CH2543)-1)))&lt;100,IF(AND(LEN(CH2543)=9,ISERROR(FIND("-",LEFT(CH2543,8))),ISNUMBER(-LEFT(CH2543,8))),VALUE(LEFT(CH2543,4)),VALUE(LEFT(CH2543,FIND("-",CH2543)-1)))+2000,IF(AND(LEN(CH2543)=9,ISERROR(FIND("-",LEFT(CH2543,8))),ISNUMBER(-LEFT(CH2543,8))),VALUE(LEFT(CH2543,4)),VALUE(LEFT(CH2543,FIND("-",CH2543)-1)))),""))</f>
        <v/>
      </c>
      <c r="CN2543">
        <f>IF(CH2543="","",IFERROR(IF(AND(LEN(CH2543)=9,ISERROR(FIND("-",LEFT(CH2543,8))),ISNUMBER(-LEFT(CH2543,8))),VALUE(MID(CH2543,5,2)),VALUE(MID(CH2543,FIND("-",CH2543)+1,FIND("-",CH2543,FIND("-",CH2543)+1)-FIND("-",CH2543)-1))),""))</f>
        <v/>
      </c>
      <c r="CO2543">
        <f>IF(CH2543="","",IFERROR(IF(AND(LEN(CH2543)=9,ISERROR(FIND("-",LEFT(CH2543,8))),ISNUMBER(-LEFT(CH2543,8))),VALUE(MID(CH2543,7,2)),VALUE(MID(CH2543,FIND("-",CH2543,FIND("-",CH2543)+1)+1,FIND("-",CH2543,FIND("-",CH2543,FIND("-",CH2543)+1)+1)-FIND("-",CH2543,FIND("-",CH2543)+1)-1))),""))</f>
        <v/>
      </c>
    </row>
    <row r="2544">
      <c r="CH2544">
        <f>IF(ISTEXT('월 가계부'!A2544),SUBSTITUTE(SUBSTITUTE(SUBSTITUTE(SUBSTITUTE(SUBSTITUTE(SUBSTITUTE(SUBSTITUTE(SUBSTITUTE(SUBSTITUTE(TRIM('월 가계부'!A2544),"년","-"),"월","-"),"일",""),".","-"),"/","-")," ","-"),"--","-"),"--","-"),"--","-")&amp;"-","")</f>
        <v/>
      </c>
      <c r="CI2544">
        <f>IFERROR(IF('월 가계부'!A2544="","",IF(ISNUMBER('월 가계부'!A2544),IF(AND('월 가계부'!A2544&gt;=19000101,'월 가계부'!A2544&lt;=21001231),IF(AND(MOD(INT('월 가계부'!A2544/100),100)&gt;=1,MOD(INT('월 가계부'!A2544/100),100)&lt;=12,MOD(INT('월 가계부'!A2544),100)&gt;=1,MOD(INT('월 가계부'!A2544),100)&lt;=31),IF(MONTH(DATE(INT('월 가계부'!A2544/10000),MOD(INT('월 가계부'!A2544/100),100),MOD(INT('월 가계부'!A2544),100)))=MOD(INT('월 가계부'!A2544/100),100),DATE(INT('월 가계부'!A2544/10000),MOD(INT('월 가계부'!A2544/100),100),MOD(INT('월 가계부'!A2544),100)),""),""),IF(AND('월 가계부'!A2544&gt;=36526,'월 가계부'!A2544&lt;73051),INT('월 가계부'!A2544),"")),IF(OR(CM2544="",CN2544="",CO2544=""),"",IF(AND(CM2544&gt;=2000,CM2544&lt;=2099,CN2544&gt;=1,CN2544&lt;=12,CO2544&gt;=1,CO2544&lt;=31),IF(MONTH(DATE(CM2544,CN2544,CO2544))=CN2544,DATE(CM2544,CN2544,CO2544),""),"")))),"")</f>
        <v/>
      </c>
      <c r="CJ2544">
        <f>IFERROR(IF('월 가계부'!C2544="","",IF(ISNUMBER('월 가계부'!C2544),'월 가계부'!C2544,VALUE(SUBSTITUTE(SUBSTITUTE(SUBSTITUTE(SUBSTITUTE(TRIM('월 가계부'!C2544),",",""),"원","")," ",""),"−","-")))),"")</f>
        <v/>
      </c>
      <c r="CK2544">
        <f>IF(ISNUMBER(CI2544),IF(CI2544&lt;$B$13,CI2544,""),"")</f>
        <v/>
      </c>
      <c r="CM2544">
        <f>IF(CH2544="","",IFERROR(IF(IF(AND(LEN(CH2544)=9,ISERROR(FIND("-",LEFT(CH2544,8))),ISNUMBER(-LEFT(CH2544,8))),VALUE(LEFT(CH2544,4)),VALUE(LEFT(CH2544,FIND("-",CH2544)-1)))&lt;100,IF(AND(LEN(CH2544)=9,ISERROR(FIND("-",LEFT(CH2544,8))),ISNUMBER(-LEFT(CH2544,8))),VALUE(LEFT(CH2544,4)),VALUE(LEFT(CH2544,FIND("-",CH2544)-1)))+2000,IF(AND(LEN(CH2544)=9,ISERROR(FIND("-",LEFT(CH2544,8))),ISNUMBER(-LEFT(CH2544,8))),VALUE(LEFT(CH2544,4)),VALUE(LEFT(CH2544,FIND("-",CH2544)-1)))),""))</f>
        <v/>
      </c>
      <c r="CN2544">
        <f>IF(CH2544="","",IFERROR(IF(AND(LEN(CH2544)=9,ISERROR(FIND("-",LEFT(CH2544,8))),ISNUMBER(-LEFT(CH2544,8))),VALUE(MID(CH2544,5,2)),VALUE(MID(CH2544,FIND("-",CH2544)+1,FIND("-",CH2544,FIND("-",CH2544)+1)-FIND("-",CH2544)-1))),""))</f>
        <v/>
      </c>
      <c r="CO2544">
        <f>IF(CH2544="","",IFERROR(IF(AND(LEN(CH2544)=9,ISERROR(FIND("-",LEFT(CH2544,8))),ISNUMBER(-LEFT(CH2544,8))),VALUE(MID(CH2544,7,2)),VALUE(MID(CH2544,FIND("-",CH2544,FIND("-",CH2544)+1)+1,FIND("-",CH2544,FIND("-",CH2544,FIND("-",CH2544)+1)+1)-FIND("-",CH2544,FIND("-",CH2544)+1)-1))),""))</f>
        <v/>
      </c>
    </row>
    <row r="2545">
      <c r="CH2545">
        <f>IF(ISTEXT('월 가계부'!A2545),SUBSTITUTE(SUBSTITUTE(SUBSTITUTE(SUBSTITUTE(SUBSTITUTE(SUBSTITUTE(SUBSTITUTE(SUBSTITUTE(SUBSTITUTE(TRIM('월 가계부'!A2545),"년","-"),"월","-"),"일",""),".","-"),"/","-")," ","-"),"--","-"),"--","-"),"--","-")&amp;"-","")</f>
        <v/>
      </c>
      <c r="CI2545">
        <f>IFERROR(IF('월 가계부'!A2545="","",IF(ISNUMBER('월 가계부'!A2545),IF(AND('월 가계부'!A2545&gt;=19000101,'월 가계부'!A2545&lt;=21001231),IF(AND(MOD(INT('월 가계부'!A2545/100),100)&gt;=1,MOD(INT('월 가계부'!A2545/100),100)&lt;=12,MOD(INT('월 가계부'!A2545),100)&gt;=1,MOD(INT('월 가계부'!A2545),100)&lt;=31),IF(MONTH(DATE(INT('월 가계부'!A2545/10000),MOD(INT('월 가계부'!A2545/100),100),MOD(INT('월 가계부'!A2545),100)))=MOD(INT('월 가계부'!A2545/100),100),DATE(INT('월 가계부'!A2545/10000),MOD(INT('월 가계부'!A2545/100),100),MOD(INT('월 가계부'!A2545),100)),""),""),IF(AND('월 가계부'!A2545&gt;=36526,'월 가계부'!A2545&lt;73051),INT('월 가계부'!A2545),"")),IF(OR(CM2545="",CN2545="",CO2545=""),"",IF(AND(CM2545&gt;=2000,CM2545&lt;=2099,CN2545&gt;=1,CN2545&lt;=12,CO2545&gt;=1,CO2545&lt;=31),IF(MONTH(DATE(CM2545,CN2545,CO2545))=CN2545,DATE(CM2545,CN2545,CO2545),""),"")))),"")</f>
        <v/>
      </c>
      <c r="CJ2545">
        <f>IFERROR(IF('월 가계부'!C2545="","",IF(ISNUMBER('월 가계부'!C2545),'월 가계부'!C2545,VALUE(SUBSTITUTE(SUBSTITUTE(SUBSTITUTE(SUBSTITUTE(TRIM('월 가계부'!C2545),",",""),"원","")," ",""),"−","-")))),"")</f>
        <v/>
      </c>
      <c r="CK2545">
        <f>IF(ISNUMBER(CI2545),IF(CI2545&lt;$B$13,CI2545,""),"")</f>
        <v/>
      </c>
      <c r="CM2545">
        <f>IF(CH2545="","",IFERROR(IF(IF(AND(LEN(CH2545)=9,ISERROR(FIND("-",LEFT(CH2545,8))),ISNUMBER(-LEFT(CH2545,8))),VALUE(LEFT(CH2545,4)),VALUE(LEFT(CH2545,FIND("-",CH2545)-1)))&lt;100,IF(AND(LEN(CH2545)=9,ISERROR(FIND("-",LEFT(CH2545,8))),ISNUMBER(-LEFT(CH2545,8))),VALUE(LEFT(CH2545,4)),VALUE(LEFT(CH2545,FIND("-",CH2545)-1)))+2000,IF(AND(LEN(CH2545)=9,ISERROR(FIND("-",LEFT(CH2545,8))),ISNUMBER(-LEFT(CH2545,8))),VALUE(LEFT(CH2545,4)),VALUE(LEFT(CH2545,FIND("-",CH2545)-1)))),""))</f>
        <v/>
      </c>
      <c r="CN2545">
        <f>IF(CH2545="","",IFERROR(IF(AND(LEN(CH2545)=9,ISERROR(FIND("-",LEFT(CH2545,8))),ISNUMBER(-LEFT(CH2545,8))),VALUE(MID(CH2545,5,2)),VALUE(MID(CH2545,FIND("-",CH2545)+1,FIND("-",CH2545,FIND("-",CH2545)+1)-FIND("-",CH2545)-1))),""))</f>
        <v/>
      </c>
      <c r="CO2545">
        <f>IF(CH2545="","",IFERROR(IF(AND(LEN(CH2545)=9,ISERROR(FIND("-",LEFT(CH2545,8))),ISNUMBER(-LEFT(CH2545,8))),VALUE(MID(CH2545,7,2)),VALUE(MID(CH2545,FIND("-",CH2545,FIND("-",CH2545)+1)+1,FIND("-",CH2545,FIND("-",CH2545,FIND("-",CH2545)+1)+1)-FIND("-",CH2545,FIND("-",CH2545)+1)-1))),""))</f>
        <v/>
      </c>
    </row>
    <row r="2546">
      <c r="CH2546">
        <f>IF(ISTEXT('월 가계부'!A2546),SUBSTITUTE(SUBSTITUTE(SUBSTITUTE(SUBSTITUTE(SUBSTITUTE(SUBSTITUTE(SUBSTITUTE(SUBSTITUTE(SUBSTITUTE(TRIM('월 가계부'!A2546),"년","-"),"월","-"),"일",""),".","-"),"/","-")," ","-"),"--","-"),"--","-"),"--","-")&amp;"-","")</f>
        <v/>
      </c>
      <c r="CI2546">
        <f>IFERROR(IF('월 가계부'!A2546="","",IF(ISNUMBER('월 가계부'!A2546),IF(AND('월 가계부'!A2546&gt;=19000101,'월 가계부'!A2546&lt;=21001231),IF(AND(MOD(INT('월 가계부'!A2546/100),100)&gt;=1,MOD(INT('월 가계부'!A2546/100),100)&lt;=12,MOD(INT('월 가계부'!A2546),100)&gt;=1,MOD(INT('월 가계부'!A2546),100)&lt;=31),IF(MONTH(DATE(INT('월 가계부'!A2546/10000),MOD(INT('월 가계부'!A2546/100),100),MOD(INT('월 가계부'!A2546),100)))=MOD(INT('월 가계부'!A2546/100),100),DATE(INT('월 가계부'!A2546/10000),MOD(INT('월 가계부'!A2546/100),100),MOD(INT('월 가계부'!A2546),100)),""),""),IF(AND('월 가계부'!A2546&gt;=36526,'월 가계부'!A2546&lt;73051),INT('월 가계부'!A2546),"")),IF(OR(CM2546="",CN2546="",CO2546=""),"",IF(AND(CM2546&gt;=2000,CM2546&lt;=2099,CN2546&gt;=1,CN2546&lt;=12,CO2546&gt;=1,CO2546&lt;=31),IF(MONTH(DATE(CM2546,CN2546,CO2546))=CN2546,DATE(CM2546,CN2546,CO2546),""),"")))),"")</f>
        <v/>
      </c>
      <c r="CJ2546">
        <f>IFERROR(IF('월 가계부'!C2546="","",IF(ISNUMBER('월 가계부'!C2546),'월 가계부'!C2546,VALUE(SUBSTITUTE(SUBSTITUTE(SUBSTITUTE(SUBSTITUTE(TRIM('월 가계부'!C2546),",",""),"원","")," ",""),"−","-")))),"")</f>
        <v/>
      </c>
      <c r="CK2546">
        <f>IF(ISNUMBER(CI2546),IF(CI2546&lt;$B$13,CI2546,""),"")</f>
        <v/>
      </c>
      <c r="CM2546">
        <f>IF(CH2546="","",IFERROR(IF(IF(AND(LEN(CH2546)=9,ISERROR(FIND("-",LEFT(CH2546,8))),ISNUMBER(-LEFT(CH2546,8))),VALUE(LEFT(CH2546,4)),VALUE(LEFT(CH2546,FIND("-",CH2546)-1)))&lt;100,IF(AND(LEN(CH2546)=9,ISERROR(FIND("-",LEFT(CH2546,8))),ISNUMBER(-LEFT(CH2546,8))),VALUE(LEFT(CH2546,4)),VALUE(LEFT(CH2546,FIND("-",CH2546)-1)))+2000,IF(AND(LEN(CH2546)=9,ISERROR(FIND("-",LEFT(CH2546,8))),ISNUMBER(-LEFT(CH2546,8))),VALUE(LEFT(CH2546,4)),VALUE(LEFT(CH2546,FIND("-",CH2546)-1)))),""))</f>
        <v/>
      </c>
      <c r="CN2546">
        <f>IF(CH2546="","",IFERROR(IF(AND(LEN(CH2546)=9,ISERROR(FIND("-",LEFT(CH2546,8))),ISNUMBER(-LEFT(CH2546,8))),VALUE(MID(CH2546,5,2)),VALUE(MID(CH2546,FIND("-",CH2546)+1,FIND("-",CH2546,FIND("-",CH2546)+1)-FIND("-",CH2546)-1))),""))</f>
        <v/>
      </c>
      <c r="CO2546">
        <f>IF(CH2546="","",IFERROR(IF(AND(LEN(CH2546)=9,ISERROR(FIND("-",LEFT(CH2546,8))),ISNUMBER(-LEFT(CH2546,8))),VALUE(MID(CH2546,7,2)),VALUE(MID(CH2546,FIND("-",CH2546,FIND("-",CH2546)+1)+1,FIND("-",CH2546,FIND("-",CH2546,FIND("-",CH2546)+1)+1)-FIND("-",CH2546,FIND("-",CH2546)+1)-1))),""))</f>
        <v/>
      </c>
    </row>
    <row r="2547">
      <c r="CH2547">
        <f>IF(ISTEXT('월 가계부'!A2547),SUBSTITUTE(SUBSTITUTE(SUBSTITUTE(SUBSTITUTE(SUBSTITUTE(SUBSTITUTE(SUBSTITUTE(SUBSTITUTE(SUBSTITUTE(TRIM('월 가계부'!A2547),"년","-"),"월","-"),"일",""),".","-"),"/","-")," ","-"),"--","-"),"--","-"),"--","-")&amp;"-","")</f>
        <v/>
      </c>
      <c r="CI2547">
        <f>IFERROR(IF('월 가계부'!A2547="","",IF(ISNUMBER('월 가계부'!A2547),IF(AND('월 가계부'!A2547&gt;=19000101,'월 가계부'!A2547&lt;=21001231),IF(AND(MOD(INT('월 가계부'!A2547/100),100)&gt;=1,MOD(INT('월 가계부'!A2547/100),100)&lt;=12,MOD(INT('월 가계부'!A2547),100)&gt;=1,MOD(INT('월 가계부'!A2547),100)&lt;=31),IF(MONTH(DATE(INT('월 가계부'!A2547/10000),MOD(INT('월 가계부'!A2547/100),100),MOD(INT('월 가계부'!A2547),100)))=MOD(INT('월 가계부'!A2547/100),100),DATE(INT('월 가계부'!A2547/10000),MOD(INT('월 가계부'!A2547/100),100),MOD(INT('월 가계부'!A2547),100)),""),""),IF(AND('월 가계부'!A2547&gt;=36526,'월 가계부'!A2547&lt;73051),INT('월 가계부'!A2547),"")),IF(OR(CM2547="",CN2547="",CO2547=""),"",IF(AND(CM2547&gt;=2000,CM2547&lt;=2099,CN2547&gt;=1,CN2547&lt;=12,CO2547&gt;=1,CO2547&lt;=31),IF(MONTH(DATE(CM2547,CN2547,CO2547))=CN2547,DATE(CM2547,CN2547,CO2547),""),"")))),"")</f>
        <v/>
      </c>
      <c r="CJ2547">
        <f>IFERROR(IF('월 가계부'!C2547="","",IF(ISNUMBER('월 가계부'!C2547),'월 가계부'!C2547,VALUE(SUBSTITUTE(SUBSTITUTE(SUBSTITUTE(SUBSTITUTE(TRIM('월 가계부'!C2547),",",""),"원","")," ",""),"−","-")))),"")</f>
        <v/>
      </c>
      <c r="CK2547">
        <f>IF(ISNUMBER(CI2547),IF(CI2547&lt;$B$13,CI2547,""),"")</f>
        <v/>
      </c>
      <c r="CM2547">
        <f>IF(CH2547="","",IFERROR(IF(IF(AND(LEN(CH2547)=9,ISERROR(FIND("-",LEFT(CH2547,8))),ISNUMBER(-LEFT(CH2547,8))),VALUE(LEFT(CH2547,4)),VALUE(LEFT(CH2547,FIND("-",CH2547)-1)))&lt;100,IF(AND(LEN(CH2547)=9,ISERROR(FIND("-",LEFT(CH2547,8))),ISNUMBER(-LEFT(CH2547,8))),VALUE(LEFT(CH2547,4)),VALUE(LEFT(CH2547,FIND("-",CH2547)-1)))+2000,IF(AND(LEN(CH2547)=9,ISERROR(FIND("-",LEFT(CH2547,8))),ISNUMBER(-LEFT(CH2547,8))),VALUE(LEFT(CH2547,4)),VALUE(LEFT(CH2547,FIND("-",CH2547)-1)))),""))</f>
        <v/>
      </c>
      <c r="CN2547">
        <f>IF(CH2547="","",IFERROR(IF(AND(LEN(CH2547)=9,ISERROR(FIND("-",LEFT(CH2547,8))),ISNUMBER(-LEFT(CH2547,8))),VALUE(MID(CH2547,5,2)),VALUE(MID(CH2547,FIND("-",CH2547)+1,FIND("-",CH2547,FIND("-",CH2547)+1)-FIND("-",CH2547)-1))),""))</f>
        <v/>
      </c>
      <c r="CO2547">
        <f>IF(CH2547="","",IFERROR(IF(AND(LEN(CH2547)=9,ISERROR(FIND("-",LEFT(CH2547,8))),ISNUMBER(-LEFT(CH2547,8))),VALUE(MID(CH2547,7,2)),VALUE(MID(CH2547,FIND("-",CH2547,FIND("-",CH2547)+1)+1,FIND("-",CH2547,FIND("-",CH2547,FIND("-",CH2547)+1)+1)-FIND("-",CH2547,FIND("-",CH2547)+1)-1))),""))</f>
        <v/>
      </c>
    </row>
    <row r="2548">
      <c r="CH2548">
        <f>IF(ISTEXT('월 가계부'!A2548),SUBSTITUTE(SUBSTITUTE(SUBSTITUTE(SUBSTITUTE(SUBSTITUTE(SUBSTITUTE(SUBSTITUTE(SUBSTITUTE(SUBSTITUTE(TRIM('월 가계부'!A2548),"년","-"),"월","-"),"일",""),".","-"),"/","-")," ","-"),"--","-"),"--","-"),"--","-")&amp;"-","")</f>
        <v/>
      </c>
      <c r="CI2548">
        <f>IFERROR(IF('월 가계부'!A2548="","",IF(ISNUMBER('월 가계부'!A2548),IF(AND('월 가계부'!A2548&gt;=19000101,'월 가계부'!A2548&lt;=21001231),IF(AND(MOD(INT('월 가계부'!A2548/100),100)&gt;=1,MOD(INT('월 가계부'!A2548/100),100)&lt;=12,MOD(INT('월 가계부'!A2548),100)&gt;=1,MOD(INT('월 가계부'!A2548),100)&lt;=31),IF(MONTH(DATE(INT('월 가계부'!A2548/10000),MOD(INT('월 가계부'!A2548/100),100),MOD(INT('월 가계부'!A2548),100)))=MOD(INT('월 가계부'!A2548/100),100),DATE(INT('월 가계부'!A2548/10000),MOD(INT('월 가계부'!A2548/100),100),MOD(INT('월 가계부'!A2548),100)),""),""),IF(AND('월 가계부'!A2548&gt;=36526,'월 가계부'!A2548&lt;73051),INT('월 가계부'!A2548),"")),IF(OR(CM2548="",CN2548="",CO2548=""),"",IF(AND(CM2548&gt;=2000,CM2548&lt;=2099,CN2548&gt;=1,CN2548&lt;=12,CO2548&gt;=1,CO2548&lt;=31),IF(MONTH(DATE(CM2548,CN2548,CO2548))=CN2548,DATE(CM2548,CN2548,CO2548),""),"")))),"")</f>
        <v/>
      </c>
      <c r="CJ2548">
        <f>IFERROR(IF('월 가계부'!C2548="","",IF(ISNUMBER('월 가계부'!C2548),'월 가계부'!C2548,VALUE(SUBSTITUTE(SUBSTITUTE(SUBSTITUTE(SUBSTITUTE(TRIM('월 가계부'!C2548),",",""),"원","")," ",""),"−","-")))),"")</f>
        <v/>
      </c>
      <c r="CK2548">
        <f>IF(ISNUMBER(CI2548),IF(CI2548&lt;$B$13,CI2548,""),"")</f>
        <v/>
      </c>
      <c r="CM2548">
        <f>IF(CH2548="","",IFERROR(IF(IF(AND(LEN(CH2548)=9,ISERROR(FIND("-",LEFT(CH2548,8))),ISNUMBER(-LEFT(CH2548,8))),VALUE(LEFT(CH2548,4)),VALUE(LEFT(CH2548,FIND("-",CH2548)-1)))&lt;100,IF(AND(LEN(CH2548)=9,ISERROR(FIND("-",LEFT(CH2548,8))),ISNUMBER(-LEFT(CH2548,8))),VALUE(LEFT(CH2548,4)),VALUE(LEFT(CH2548,FIND("-",CH2548)-1)))+2000,IF(AND(LEN(CH2548)=9,ISERROR(FIND("-",LEFT(CH2548,8))),ISNUMBER(-LEFT(CH2548,8))),VALUE(LEFT(CH2548,4)),VALUE(LEFT(CH2548,FIND("-",CH2548)-1)))),""))</f>
        <v/>
      </c>
      <c r="CN2548">
        <f>IF(CH2548="","",IFERROR(IF(AND(LEN(CH2548)=9,ISERROR(FIND("-",LEFT(CH2548,8))),ISNUMBER(-LEFT(CH2548,8))),VALUE(MID(CH2548,5,2)),VALUE(MID(CH2548,FIND("-",CH2548)+1,FIND("-",CH2548,FIND("-",CH2548)+1)-FIND("-",CH2548)-1))),""))</f>
        <v/>
      </c>
      <c r="CO2548">
        <f>IF(CH2548="","",IFERROR(IF(AND(LEN(CH2548)=9,ISERROR(FIND("-",LEFT(CH2548,8))),ISNUMBER(-LEFT(CH2548,8))),VALUE(MID(CH2548,7,2)),VALUE(MID(CH2548,FIND("-",CH2548,FIND("-",CH2548)+1)+1,FIND("-",CH2548,FIND("-",CH2548,FIND("-",CH2548)+1)+1)-FIND("-",CH2548,FIND("-",CH2548)+1)-1))),""))</f>
        <v/>
      </c>
    </row>
    <row r="2549">
      <c r="CH2549">
        <f>IF(ISTEXT('월 가계부'!A2549),SUBSTITUTE(SUBSTITUTE(SUBSTITUTE(SUBSTITUTE(SUBSTITUTE(SUBSTITUTE(SUBSTITUTE(SUBSTITUTE(SUBSTITUTE(TRIM('월 가계부'!A2549),"년","-"),"월","-"),"일",""),".","-"),"/","-")," ","-"),"--","-"),"--","-"),"--","-")&amp;"-","")</f>
        <v/>
      </c>
      <c r="CI2549">
        <f>IFERROR(IF('월 가계부'!A2549="","",IF(ISNUMBER('월 가계부'!A2549),IF(AND('월 가계부'!A2549&gt;=19000101,'월 가계부'!A2549&lt;=21001231),IF(AND(MOD(INT('월 가계부'!A2549/100),100)&gt;=1,MOD(INT('월 가계부'!A2549/100),100)&lt;=12,MOD(INT('월 가계부'!A2549),100)&gt;=1,MOD(INT('월 가계부'!A2549),100)&lt;=31),IF(MONTH(DATE(INT('월 가계부'!A2549/10000),MOD(INT('월 가계부'!A2549/100),100),MOD(INT('월 가계부'!A2549),100)))=MOD(INT('월 가계부'!A2549/100),100),DATE(INT('월 가계부'!A2549/10000),MOD(INT('월 가계부'!A2549/100),100),MOD(INT('월 가계부'!A2549),100)),""),""),IF(AND('월 가계부'!A2549&gt;=36526,'월 가계부'!A2549&lt;73051),INT('월 가계부'!A2549),"")),IF(OR(CM2549="",CN2549="",CO2549=""),"",IF(AND(CM2549&gt;=2000,CM2549&lt;=2099,CN2549&gt;=1,CN2549&lt;=12,CO2549&gt;=1,CO2549&lt;=31),IF(MONTH(DATE(CM2549,CN2549,CO2549))=CN2549,DATE(CM2549,CN2549,CO2549),""),"")))),"")</f>
        <v/>
      </c>
      <c r="CJ2549">
        <f>IFERROR(IF('월 가계부'!C2549="","",IF(ISNUMBER('월 가계부'!C2549),'월 가계부'!C2549,VALUE(SUBSTITUTE(SUBSTITUTE(SUBSTITUTE(SUBSTITUTE(TRIM('월 가계부'!C2549),",",""),"원","")," ",""),"−","-")))),"")</f>
        <v/>
      </c>
      <c r="CK2549">
        <f>IF(ISNUMBER(CI2549),IF(CI2549&lt;$B$13,CI2549,""),"")</f>
        <v/>
      </c>
      <c r="CM2549">
        <f>IF(CH2549="","",IFERROR(IF(IF(AND(LEN(CH2549)=9,ISERROR(FIND("-",LEFT(CH2549,8))),ISNUMBER(-LEFT(CH2549,8))),VALUE(LEFT(CH2549,4)),VALUE(LEFT(CH2549,FIND("-",CH2549)-1)))&lt;100,IF(AND(LEN(CH2549)=9,ISERROR(FIND("-",LEFT(CH2549,8))),ISNUMBER(-LEFT(CH2549,8))),VALUE(LEFT(CH2549,4)),VALUE(LEFT(CH2549,FIND("-",CH2549)-1)))+2000,IF(AND(LEN(CH2549)=9,ISERROR(FIND("-",LEFT(CH2549,8))),ISNUMBER(-LEFT(CH2549,8))),VALUE(LEFT(CH2549,4)),VALUE(LEFT(CH2549,FIND("-",CH2549)-1)))),""))</f>
        <v/>
      </c>
      <c r="CN2549">
        <f>IF(CH2549="","",IFERROR(IF(AND(LEN(CH2549)=9,ISERROR(FIND("-",LEFT(CH2549,8))),ISNUMBER(-LEFT(CH2549,8))),VALUE(MID(CH2549,5,2)),VALUE(MID(CH2549,FIND("-",CH2549)+1,FIND("-",CH2549,FIND("-",CH2549)+1)-FIND("-",CH2549)-1))),""))</f>
        <v/>
      </c>
      <c r="CO2549">
        <f>IF(CH2549="","",IFERROR(IF(AND(LEN(CH2549)=9,ISERROR(FIND("-",LEFT(CH2549,8))),ISNUMBER(-LEFT(CH2549,8))),VALUE(MID(CH2549,7,2)),VALUE(MID(CH2549,FIND("-",CH2549,FIND("-",CH2549)+1)+1,FIND("-",CH2549,FIND("-",CH2549,FIND("-",CH2549)+1)+1)-FIND("-",CH2549,FIND("-",CH2549)+1)-1))),""))</f>
        <v/>
      </c>
    </row>
    <row r="2550">
      <c r="CH2550">
        <f>IF(ISTEXT('월 가계부'!A2550),SUBSTITUTE(SUBSTITUTE(SUBSTITUTE(SUBSTITUTE(SUBSTITUTE(SUBSTITUTE(SUBSTITUTE(SUBSTITUTE(SUBSTITUTE(TRIM('월 가계부'!A2550),"년","-"),"월","-"),"일",""),".","-"),"/","-")," ","-"),"--","-"),"--","-"),"--","-")&amp;"-","")</f>
        <v/>
      </c>
      <c r="CI2550">
        <f>IFERROR(IF('월 가계부'!A2550="","",IF(ISNUMBER('월 가계부'!A2550),IF(AND('월 가계부'!A2550&gt;=19000101,'월 가계부'!A2550&lt;=21001231),IF(AND(MOD(INT('월 가계부'!A2550/100),100)&gt;=1,MOD(INT('월 가계부'!A2550/100),100)&lt;=12,MOD(INT('월 가계부'!A2550),100)&gt;=1,MOD(INT('월 가계부'!A2550),100)&lt;=31),IF(MONTH(DATE(INT('월 가계부'!A2550/10000),MOD(INT('월 가계부'!A2550/100),100),MOD(INT('월 가계부'!A2550),100)))=MOD(INT('월 가계부'!A2550/100),100),DATE(INT('월 가계부'!A2550/10000),MOD(INT('월 가계부'!A2550/100),100),MOD(INT('월 가계부'!A2550),100)),""),""),IF(AND('월 가계부'!A2550&gt;=36526,'월 가계부'!A2550&lt;73051),INT('월 가계부'!A2550),"")),IF(OR(CM2550="",CN2550="",CO2550=""),"",IF(AND(CM2550&gt;=2000,CM2550&lt;=2099,CN2550&gt;=1,CN2550&lt;=12,CO2550&gt;=1,CO2550&lt;=31),IF(MONTH(DATE(CM2550,CN2550,CO2550))=CN2550,DATE(CM2550,CN2550,CO2550),""),"")))),"")</f>
        <v/>
      </c>
      <c r="CJ2550">
        <f>IFERROR(IF('월 가계부'!C2550="","",IF(ISNUMBER('월 가계부'!C2550),'월 가계부'!C2550,VALUE(SUBSTITUTE(SUBSTITUTE(SUBSTITUTE(SUBSTITUTE(TRIM('월 가계부'!C2550),",",""),"원","")," ",""),"−","-")))),"")</f>
        <v/>
      </c>
      <c r="CK2550">
        <f>IF(ISNUMBER(CI2550),IF(CI2550&lt;$B$13,CI2550,""),"")</f>
        <v/>
      </c>
      <c r="CM2550">
        <f>IF(CH2550="","",IFERROR(IF(IF(AND(LEN(CH2550)=9,ISERROR(FIND("-",LEFT(CH2550,8))),ISNUMBER(-LEFT(CH2550,8))),VALUE(LEFT(CH2550,4)),VALUE(LEFT(CH2550,FIND("-",CH2550)-1)))&lt;100,IF(AND(LEN(CH2550)=9,ISERROR(FIND("-",LEFT(CH2550,8))),ISNUMBER(-LEFT(CH2550,8))),VALUE(LEFT(CH2550,4)),VALUE(LEFT(CH2550,FIND("-",CH2550)-1)))+2000,IF(AND(LEN(CH2550)=9,ISERROR(FIND("-",LEFT(CH2550,8))),ISNUMBER(-LEFT(CH2550,8))),VALUE(LEFT(CH2550,4)),VALUE(LEFT(CH2550,FIND("-",CH2550)-1)))),""))</f>
        <v/>
      </c>
      <c r="CN2550">
        <f>IF(CH2550="","",IFERROR(IF(AND(LEN(CH2550)=9,ISERROR(FIND("-",LEFT(CH2550,8))),ISNUMBER(-LEFT(CH2550,8))),VALUE(MID(CH2550,5,2)),VALUE(MID(CH2550,FIND("-",CH2550)+1,FIND("-",CH2550,FIND("-",CH2550)+1)-FIND("-",CH2550)-1))),""))</f>
        <v/>
      </c>
      <c r="CO2550">
        <f>IF(CH2550="","",IFERROR(IF(AND(LEN(CH2550)=9,ISERROR(FIND("-",LEFT(CH2550,8))),ISNUMBER(-LEFT(CH2550,8))),VALUE(MID(CH2550,7,2)),VALUE(MID(CH2550,FIND("-",CH2550,FIND("-",CH2550)+1)+1,FIND("-",CH2550,FIND("-",CH2550,FIND("-",CH2550)+1)+1)-FIND("-",CH2550,FIND("-",CH2550)+1)-1))),""))</f>
        <v/>
      </c>
    </row>
    <row r="2551">
      <c r="CH2551">
        <f>IF(ISTEXT('월 가계부'!A2551),SUBSTITUTE(SUBSTITUTE(SUBSTITUTE(SUBSTITUTE(SUBSTITUTE(SUBSTITUTE(SUBSTITUTE(SUBSTITUTE(SUBSTITUTE(TRIM('월 가계부'!A2551),"년","-"),"월","-"),"일",""),".","-"),"/","-")," ","-"),"--","-"),"--","-"),"--","-")&amp;"-","")</f>
        <v/>
      </c>
      <c r="CI2551">
        <f>IFERROR(IF('월 가계부'!A2551="","",IF(ISNUMBER('월 가계부'!A2551),IF(AND('월 가계부'!A2551&gt;=19000101,'월 가계부'!A2551&lt;=21001231),IF(AND(MOD(INT('월 가계부'!A2551/100),100)&gt;=1,MOD(INT('월 가계부'!A2551/100),100)&lt;=12,MOD(INT('월 가계부'!A2551),100)&gt;=1,MOD(INT('월 가계부'!A2551),100)&lt;=31),IF(MONTH(DATE(INT('월 가계부'!A2551/10000),MOD(INT('월 가계부'!A2551/100),100),MOD(INT('월 가계부'!A2551),100)))=MOD(INT('월 가계부'!A2551/100),100),DATE(INT('월 가계부'!A2551/10000),MOD(INT('월 가계부'!A2551/100),100),MOD(INT('월 가계부'!A2551),100)),""),""),IF(AND('월 가계부'!A2551&gt;=36526,'월 가계부'!A2551&lt;73051),INT('월 가계부'!A2551),"")),IF(OR(CM2551="",CN2551="",CO2551=""),"",IF(AND(CM2551&gt;=2000,CM2551&lt;=2099,CN2551&gt;=1,CN2551&lt;=12,CO2551&gt;=1,CO2551&lt;=31),IF(MONTH(DATE(CM2551,CN2551,CO2551))=CN2551,DATE(CM2551,CN2551,CO2551),""),"")))),"")</f>
        <v/>
      </c>
      <c r="CJ2551">
        <f>IFERROR(IF('월 가계부'!C2551="","",IF(ISNUMBER('월 가계부'!C2551),'월 가계부'!C2551,VALUE(SUBSTITUTE(SUBSTITUTE(SUBSTITUTE(SUBSTITUTE(TRIM('월 가계부'!C2551),",",""),"원","")," ",""),"−","-")))),"")</f>
        <v/>
      </c>
      <c r="CK2551">
        <f>IF(ISNUMBER(CI2551),IF(CI2551&lt;$B$13,CI2551,""),"")</f>
        <v/>
      </c>
      <c r="CM2551">
        <f>IF(CH2551="","",IFERROR(IF(IF(AND(LEN(CH2551)=9,ISERROR(FIND("-",LEFT(CH2551,8))),ISNUMBER(-LEFT(CH2551,8))),VALUE(LEFT(CH2551,4)),VALUE(LEFT(CH2551,FIND("-",CH2551)-1)))&lt;100,IF(AND(LEN(CH2551)=9,ISERROR(FIND("-",LEFT(CH2551,8))),ISNUMBER(-LEFT(CH2551,8))),VALUE(LEFT(CH2551,4)),VALUE(LEFT(CH2551,FIND("-",CH2551)-1)))+2000,IF(AND(LEN(CH2551)=9,ISERROR(FIND("-",LEFT(CH2551,8))),ISNUMBER(-LEFT(CH2551,8))),VALUE(LEFT(CH2551,4)),VALUE(LEFT(CH2551,FIND("-",CH2551)-1)))),""))</f>
        <v/>
      </c>
      <c r="CN2551">
        <f>IF(CH2551="","",IFERROR(IF(AND(LEN(CH2551)=9,ISERROR(FIND("-",LEFT(CH2551,8))),ISNUMBER(-LEFT(CH2551,8))),VALUE(MID(CH2551,5,2)),VALUE(MID(CH2551,FIND("-",CH2551)+1,FIND("-",CH2551,FIND("-",CH2551)+1)-FIND("-",CH2551)-1))),""))</f>
        <v/>
      </c>
      <c r="CO2551">
        <f>IF(CH2551="","",IFERROR(IF(AND(LEN(CH2551)=9,ISERROR(FIND("-",LEFT(CH2551,8))),ISNUMBER(-LEFT(CH2551,8))),VALUE(MID(CH2551,7,2)),VALUE(MID(CH2551,FIND("-",CH2551,FIND("-",CH2551)+1)+1,FIND("-",CH2551,FIND("-",CH2551,FIND("-",CH2551)+1)+1)-FIND("-",CH2551,FIND("-",CH2551)+1)-1))),""))</f>
        <v/>
      </c>
    </row>
    <row r="2552">
      <c r="CH2552">
        <f>IF(ISTEXT('월 가계부'!A2552),SUBSTITUTE(SUBSTITUTE(SUBSTITUTE(SUBSTITUTE(SUBSTITUTE(SUBSTITUTE(SUBSTITUTE(SUBSTITUTE(SUBSTITUTE(TRIM('월 가계부'!A2552),"년","-"),"월","-"),"일",""),".","-"),"/","-")," ","-"),"--","-"),"--","-"),"--","-")&amp;"-","")</f>
        <v/>
      </c>
      <c r="CI2552">
        <f>IFERROR(IF('월 가계부'!A2552="","",IF(ISNUMBER('월 가계부'!A2552),IF(AND('월 가계부'!A2552&gt;=19000101,'월 가계부'!A2552&lt;=21001231),IF(AND(MOD(INT('월 가계부'!A2552/100),100)&gt;=1,MOD(INT('월 가계부'!A2552/100),100)&lt;=12,MOD(INT('월 가계부'!A2552),100)&gt;=1,MOD(INT('월 가계부'!A2552),100)&lt;=31),IF(MONTH(DATE(INT('월 가계부'!A2552/10000),MOD(INT('월 가계부'!A2552/100),100),MOD(INT('월 가계부'!A2552),100)))=MOD(INT('월 가계부'!A2552/100),100),DATE(INT('월 가계부'!A2552/10000),MOD(INT('월 가계부'!A2552/100),100),MOD(INT('월 가계부'!A2552),100)),""),""),IF(AND('월 가계부'!A2552&gt;=36526,'월 가계부'!A2552&lt;73051),INT('월 가계부'!A2552),"")),IF(OR(CM2552="",CN2552="",CO2552=""),"",IF(AND(CM2552&gt;=2000,CM2552&lt;=2099,CN2552&gt;=1,CN2552&lt;=12,CO2552&gt;=1,CO2552&lt;=31),IF(MONTH(DATE(CM2552,CN2552,CO2552))=CN2552,DATE(CM2552,CN2552,CO2552),""),"")))),"")</f>
        <v/>
      </c>
      <c r="CJ2552">
        <f>IFERROR(IF('월 가계부'!C2552="","",IF(ISNUMBER('월 가계부'!C2552),'월 가계부'!C2552,VALUE(SUBSTITUTE(SUBSTITUTE(SUBSTITUTE(SUBSTITUTE(TRIM('월 가계부'!C2552),",",""),"원","")," ",""),"−","-")))),"")</f>
        <v/>
      </c>
      <c r="CK2552">
        <f>IF(ISNUMBER(CI2552),IF(CI2552&lt;$B$13,CI2552,""),"")</f>
        <v/>
      </c>
      <c r="CM2552">
        <f>IF(CH2552="","",IFERROR(IF(IF(AND(LEN(CH2552)=9,ISERROR(FIND("-",LEFT(CH2552,8))),ISNUMBER(-LEFT(CH2552,8))),VALUE(LEFT(CH2552,4)),VALUE(LEFT(CH2552,FIND("-",CH2552)-1)))&lt;100,IF(AND(LEN(CH2552)=9,ISERROR(FIND("-",LEFT(CH2552,8))),ISNUMBER(-LEFT(CH2552,8))),VALUE(LEFT(CH2552,4)),VALUE(LEFT(CH2552,FIND("-",CH2552)-1)))+2000,IF(AND(LEN(CH2552)=9,ISERROR(FIND("-",LEFT(CH2552,8))),ISNUMBER(-LEFT(CH2552,8))),VALUE(LEFT(CH2552,4)),VALUE(LEFT(CH2552,FIND("-",CH2552)-1)))),""))</f>
        <v/>
      </c>
      <c r="CN2552">
        <f>IF(CH2552="","",IFERROR(IF(AND(LEN(CH2552)=9,ISERROR(FIND("-",LEFT(CH2552,8))),ISNUMBER(-LEFT(CH2552,8))),VALUE(MID(CH2552,5,2)),VALUE(MID(CH2552,FIND("-",CH2552)+1,FIND("-",CH2552,FIND("-",CH2552)+1)-FIND("-",CH2552)-1))),""))</f>
        <v/>
      </c>
      <c r="CO2552">
        <f>IF(CH2552="","",IFERROR(IF(AND(LEN(CH2552)=9,ISERROR(FIND("-",LEFT(CH2552,8))),ISNUMBER(-LEFT(CH2552,8))),VALUE(MID(CH2552,7,2)),VALUE(MID(CH2552,FIND("-",CH2552,FIND("-",CH2552)+1)+1,FIND("-",CH2552,FIND("-",CH2552,FIND("-",CH2552)+1)+1)-FIND("-",CH2552,FIND("-",CH2552)+1)-1))),""))</f>
        <v/>
      </c>
    </row>
    <row r="2553">
      <c r="CH2553">
        <f>IF(ISTEXT('월 가계부'!A2553),SUBSTITUTE(SUBSTITUTE(SUBSTITUTE(SUBSTITUTE(SUBSTITUTE(SUBSTITUTE(SUBSTITUTE(SUBSTITUTE(SUBSTITUTE(TRIM('월 가계부'!A2553),"년","-"),"월","-"),"일",""),".","-"),"/","-")," ","-"),"--","-"),"--","-"),"--","-")&amp;"-","")</f>
        <v/>
      </c>
      <c r="CI2553">
        <f>IFERROR(IF('월 가계부'!A2553="","",IF(ISNUMBER('월 가계부'!A2553),IF(AND('월 가계부'!A2553&gt;=19000101,'월 가계부'!A2553&lt;=21001231),IF(AND(MOD(INT('월 가계부'!A2553/100),100)&gt;=1,MOD(INT('월 가계부'!A2553/100),100)&lt;=12,MOD(INT('월 가계부'!A2553),100)&gt;=1,MOD(INT('월 가계부'!A2553),100)&lt;=31),IF(MONTH(DATE(INT('월 가계부'!A2553/10000),MOD(INT('월 가계부'!A2553/100),100),MOD(INT('월 가계부'!A2553),100)))=MOD(INT('월 가계부'!A2553/100),100),DATE(INT('월 가계부'!A2553/10000),MOD(INT('월 가계부'!A2553/100),100),MOD(INT('월 가계부'!A2553),100)),""),""),IF(AND('월 가계부'!A2553&gt;=36526,'월 가계부'!A2553&lt;73051),INT('월 가계부'!A2553),"")),IF(OR(CM2553="",CN2553="",CO2553=""),"",IF(AND(CM2553&gt;=2000,CM2553&lt;=2099,CN2553&gt;=1,CN2553&lt;=12,CO2553&gt;=1,CO2553&lt;=31),IF(MONTH(DATE(CM2553,CN2553,CO2553))=CN2553,DATE(CM2553,CN2553,CO2553),""),"")))),"")</f>
        <v/>
      </c>
      <c r="CJ2553">
        <f>IFERROR(IF('월 가계부'!C2553="","",IF(ISNUMBER('월 가계부'!C2553),'월 가계부'!C2553,VALUE(SUBSTITUTE(SUBSTITUTE(SUBSTITUTE(SUBSTITUTE(TRIM('월 가계부'!C2553),",",""),"원","")," ",""),"−","-")))),"")</f>
        <v/>
      </c>
      <c r="CK2553">
        <f>IF(ISNUMBER(CI2553),IF(CI2553&lt;$B$13,CI2553,""),"")</f>
        <v/>
      </c>
      <c r="CM2553">
        <f>IF(CH2553="","",IFERROR(IF(IF(AND(LEN(CH2553)=9,ISERROR(FIND("-",LEFT(CH2553,8))),ISNUMBER(-LEFT(CH2553,8))),VALUE(LEFT(CH2553,4)),VALUE(LEFT(CH2553,FIND("-",CH2553)-1)))&lt;100,IF(AND(LEN(CH2553)=9,ISERROR(FIND("-",LEFT(CH2553,8))),ISNUMBER(-LEFT(CH2553,8))),VALUE(LEFT(CH2553,4)),VALUE(LEFT(CH2553,FIND("-",CH2553)-1)))+2000,IF(AND(LEN(CH2553)=9,ISERROR(FIND("-",LEFT(CH2553,8))),ISNUMBER(-LEFT(CH2553,8))),VALUE(LEFT(CH2553,4)),VALUE(LEFT(CH2553,FIND("-",CH2553)-1)))),""))</f>
        <v/>
      </c>
      <c r="CN2553">
        <f>IF(CH2553="","",IFERROR(IF(AND(LEN(CH2553)=9,ISERROR(FIND("-",LEFT(CH2553,8))),ISNUMBER(-LEFT(CH2553,8))),VALUE(MID(CH2553,5,2)),VALUE(MID(CH2553,FIND("-",CH2553)+1,FIND("-",CH2553,FIND("-",CH2553)+1)-FIND("-",CH2553)-1))),""))</f>
        <v/>
      </c>
      <c r="CO2553">
        <f>IF(CH2553="","",IFERROR(IF(AND(LEN(CH2553)=9,ISERROR(FIND("-",LEFT(CH2553,8))),ISNUMBER(-LEFT(CH2553,8))),VALUE(MID(CH2553,7,2)),VALUE(MID(CH2553,FIND("-",CH2553,FIND("-",CH2553)+1)+1,FIND("-",CH2553,FIND("-",CH2553,FIND("-",CH2553)+1)+1)-FIND("-",CH2553,FIND("-",CH2553)+1)-1))),""))</f>
        <v/>
      </c>
    </row>
    <row r="2554">
      <c r="CH2554">
        <f>IF(ISTEXT('월 가계부'!A2554),SUBSTITUTE(SUBSTITUTE(SUBSTITUTE(SUBSTITUTE(SUBSTITUTE(SUBSTITUTE(SUBSTITUTE(SUBSTITUTE(SUBSTITUTE(TRIM('월 가계부'!A2554),"년","-"),"월","-"),"일",""),".","-"),"/","-")," ","-"),"--","-"),"--","-"),"--","-")&amp;"-","")</f>
        <v/>
      </c>
      <c r="CI2554">
        <f>IFERROR(IF('월 가계부'!A2554="","",IF(ISNUMBER('월 가계부'!A2554),IF(AND('월 가계부'!A2554&gt;=19000101,'월 가계부'!A2554&lt;=21001231),IF(AND(MOD(INT('월 가계부'!A2554/100),100)&gt;=1,MOD(INT('월 가계부'!A2554/100),100)&lt;=12,MOD(INT('월 가계부'!A2554),100)&gt;=1,MOD(INT('월 가계부'!A2554),100)&lt;=31),IF(MONTH(DATE(INT('월 가계부'!A2554/10000),MOD(INT('월 가계부'!A2554/100),100),MOD(INT('월 가계부'!A2554),100)))=MOD(INT('월 가계부'!A2554/100),100),DATE(INT('월 가계부'!A2554/10000),MOD(INT('월 가계부'!A2554/100),100),MOD(INT('월 가계부'!A2554),100)),""),""),IF(AND('월 가계부'!A2554&gt;=36526,'월 가계부'!A2554&lt;73051),INT('월 가계부'!A2554),"")),IF(OR(CM2554="",CN2554="",CO2554=""),"",IF(AND(CM2554&gt;=2000,CM2554&lt;=2099,CN2554&gt;=1,CN2554&lt;=12,CO2554&gt;=1,CO2554&lt;=31),IF(MONTH(DATE(CM2554,CN2554,CO2554))=CN2554,DATE(CM2554,CN2554,CO2554),""),"")))),"")</f>
        <v/>
      </c>
      <c r="CJ2554">
        <f>IFERROR(IF('월 가계부'!C2554="","",IF(ISNUMBER('월 가계부'!C2554),'월 가계부'!C2554,VALUE(SUBSTITUTE(SUBSTITUTE(SUBSTITUTE(SUBSTITUTE(TRIM('월 가계부'!C2554),",",""),"원","")," ",""),"−","-")))),"")</f>
        <v/>
      </c>
      <c r="CK2554">
        <f>IF(ISNUMBER(CI2554),IF(CI2554&lt;$B$13,CI2554,""),"")</f>
        <v/>
      </c>
      <c r="CM2554">
        <f>IF(CH2554="","",IFERROR(IF(IF(AND(LEN(CH2554)=9,ISERROR(FIND("-",LEFT(CH2554,8))),ISNUMBER(-LEFT(CH2554,8))),VALUE(LEFT(CH2554,4)),VALUE(LEFT(CH2554,FIND("-",CH2554)-1)))&lt;100,IF(AND(LEN(CH2554)=9,ISERROR(FIND("-",LEFT(CH2554,8))),ISNUMBER(-LEFT(CH2554,8))),VALUE(LEFT(CH2554,4)),VALUE(LEFT(CH2554,FIND("-",CH2554)-1)))+2000,IF(AND(LEN(CH2554)=9,ISERROR(FIND("-",LEFT(CH2554,8))),ISNUMBER(-LEFT(CH2554,8))),VALUE(LEFT(CH2554,4)),VALUE(LEFT(CH2554,FIND("-",CH2554)-1)))),""))</f>
        <v/>
      </c>
      <c r="CN2554">
        <f>IF(CH2554="","",IFERROR(IF(AND(LEN(CH2554)=9,ISERROR(FIND("-",LEFT(CH2554,8))),ISNUMBER(-LEFT(CH2554,8))),VALUE(MID(CH2554,5,2)),VALUE(MID(CH2554,FIND("-",CH2554)+1,FIND("-",CH2554,FIND("-",CH2554)+1)-FIND("-",CH2554)-1))),""))</f>
        <v/>
      </c>
      <c r="CO2554">
        <f>IF(CH2554="","",IFERROR(IF(AND(LEN(CH2554)=9,ISERROR(FIND("-",LEFT(CH2554,8))),ISNUMBER(-LEFT(CH2554,8))),VALUE(MID(CH2554,7,2)),VALUE(MID(CH2554,FIND("-",CH2554,FIND("-",CH2554)+1)+1,FIND("-",CH2554,FIND("-",CH2554,FIND("-",CH2554)+1)+1)-FIND("-",CH2554,FIND("-",CH2554)+1)-1))),""))</f>
        <v/>
      </c>
    </row>
    <row r="2555">
      <c r="CH2555">
        <f>IF(ISTEXT('월 가계부'!A2555),SUBSTITUTE(SUBSTITUTE(SUBSTITUTE(SUBSTITUTE(SUBSTITUTE(SUBSTITUTE(SUBSTITUTE(SUBSTITUTE(SUBSTITUTE(TRIM('월 가계부'!A2555),"년","-"),"월","-"),"일",""),".","-"),"/","-")," ","-"),"--","-"),"--","-"),"--","-")&amp;"-","")</f>
        <v/>
      </c>
      <c r="CI2555">
        <f>IFERROR(IF('월 가계부'!A2555="","",IF(ISNUMBER('월 가계부'!A2555),IF(AND('월 가계부'!A2555&gt;=19000101,'월 가계부'!A2555&lt;=21001231),IF(AND(MOD(INT('월 가계부'!A2555/100),100)&gt;=1,MOD(INT('월 가계부'!A2555/100),100)&lt;=12,MOD(INT('월 가계부'!A2555),100)&gt;=1,MOD(INT('월 가계부'!A2555),100)&lt;=31),IF(MONTH(DATE(INT('월 가계부'!A2555/10000),MOD(INT('월 가계부'!A2555/100),100),MOD(INT('월 가계부'!A2555),100)))=MOD(INT('월 가계부'!A2555/100),100),DATE(INT('월 가계부'!A2555/10000),MOD(INT('월 가계부'!A2555/100),100),MOD(INT('월 가계부'!A2555),100)),""),""),IF(AND('월 가계부'!A2555&gt;=36526,'월 가계부'!A2555&lt;73051),INT('월 가계부'!A2555),"")),IF(OR(CM2555="",CN2555="",CO2555=""),"",IF(AND(CM2555&gt;=2000,CM2555&lt;=2099,CN2555&gt;=1,CN2555&lt;=12,CO2555&gt;=1,CO2555&lt;=31),IF(MONTH(DATE(CM2555,CN2555,CO2555))=CN2555,DATE(CM2555,CN2555,CO2555),""),"")))),"")</f>
        <v/>
      </c>
      <c r="CJ2555">
        <f>IFERROR(IF('월 가계부'!C2555="","",IF(ISNUMBER('월 가계부'!C2555),'월 가계부'!C2555,VALUE(SUBSTITUTE(SUBSTITUTE(SUBSTITUTE(SUBSTITUTE(TRIM('월 가계부'!C2555),",",""),"원","")," ",""),"−","-")))),"")</f>
        <v/>
      </c>
      <c r="CK2555">
        <f>IF(ISNUMBER(CI2555),IF(CI2555&lt;$B$13,CI2555,""),"")</f>
        <v/>
      </c>
      <c r="CM2555">
        <f>IF(CH2555="","",IFERROR(IF(IF(AND(LEN(CH2555)=9,ISERROR(FIND("-",LEFT(CH2555,8))),ISNUMBER(-LEFT(CH2555,8))),VALUE(LEFT(CH2555,4)),VALUE(LEFT(CH2555,FIND("-",CH2555)-1)))&lt;100,IF(AND(LEN(CH2555)=9,ISERROR(FIND("-",LEFT(CH2555,8))),ISNUMBER(-LEFT(CH2555,8))),VALUE(LEFT(CH2555,4)),VALUE(LEFT(CH2555,FIND("-",CH2555)-1)))+2000,IF(AND(LEN(CH2555)=9,ISERROR(FIND("-",LEFT(CH2555,8))),ISNUMBER(-LEFT(CH2555,8))),VALUE(LEFT(CH2555,4)),VALUE(LEFT(CH2555,FIND("-",CH2555)-1)))),""))</f>
        <v/>
      </c>
      <c r="CN2555">
        <f>IF(CH2555="","",IFERROR(IF(AND(LEN(CH2555)=9,ISERROR(FIND("-",LEFT(CH2555,8))),ISNUMBER(-LEFT(CH2555,8))),VALUE(MID(CH2555,5,2)),VALUE(MID(CH2555,FIND("-",CH2555)+1,FIND("-",CH2555,FIND("-",CH2555)+1)-FIND("-",CH2555)-1))),""))</f>
        <v/>
      </c>
      <c r="CO2555">
        <f>IF(CH2555="","",IFERROR(IF(AND(LEN(CH2555)=9,ISERROR(FIND("-",LEFT(CH2555,8))),ISNUMBER(-LEFT(CH2555,8))),VALUE(MID(CH2555,7,2)),VALUE(MID(CH2555,FIND("-",CH2555,FIND("-",CH2555)+1)+1,FIND("-",CH2555,FIND("-",CH2555,FIND("-",CH2555)+1)+1)-FIND("-",CH2555,FIND("-",CH2555)+1)-1))),""))</f>
        <v/>
      </c>
    </row>
    <row r="2556">
      <c r="CH2556">
        <f>IF(ISTEXT('월 가계부'!A2556),SUBSTITUTE(SUBSTITUTE(SUBSTITUTE(SUBSTITUTE(SUBSTITUTE(SUBSTITUTE(SUBSTITUTE(SUBSTITUTE(SUBSTITUTE(TRIM('월 가계부'!A2556),"년","-"),"월","-"),"일",""),".","-"),"/","-")," ","-"),"--","-"),"--","-"),"--","-")&amp;"-","")</f>
        <v/>
      </c>
      <c r="CI2556">
        <f>IFERROR(IF('월 가계부'!A2556="","",IF(ISNUMBER('월 가계부'!A2556),IF(AND('월 가계부'!A2556&gt;=19000101,'월 가계부'!A2556&lt;=21001231),IF(AND(MOD(INT('월 가계부'!A2556/100),100)&gt;=1,MOD(INT('월 가계부'!A2556/100),100)&lt;=12,MOD(INT('월 가계부'!A2556),100)&gt;=1,MOD(INT('월 가계부'!A2556),100)&lt;=31),IF(MONTH(DATE(INT('월 가계부'!A2556/10000),MOD(INT('월 가계부'!A2556/100),100),MOD(INT('월 가계부'!A2556),100)))=MOD(INT('월 가계부'!A2556/100),100),DATE(INT('월 가계부'!A2556/10000),MOD(INT('월 가계부'!A2556/100),100),MOD(INT('월 가계부'!A2556),100)),""),""),IF(AND('월 가계부'!A2556&gt;=36526,'월 가계부'!A2556&lt;73051),INT('월 가계부'!A2556),"")),IF(OR(CM2556="",CN2556="",CO2556=""),"",IF(AND(CM2556&gt;=2000,CM2556&lt;=2099,CN2556&gt;=1,CN2556&lt;=12,CO2556&gt;=1,CO2556&lt;=31),IF(MONTH(DATE(CM2556,CN2556,CO2556))=CN2556,DATE(CM2556,CN2556,CO2556),""),"")))),"")</f>
        <v/>
      </c>
      <c r="CJ2556">
        <f>IFERROR(IF('월 가계부'!C2556="","",IF(ISNUMBER('월 가계부'!C2556),'월 가계부'!C2556,VALUE(SUBSTITUTE(SUBSTITUTE(SUBSTITUTE(SUBSTITUTE(TRIM('월 가계부'!C2556),",",""),"원","")," ",""),"−","-")))),"")</f>
        <v/>
      </c>
      <c r="CK2556">
        <f>IF(ISNUMBER(CI2556),IF(CI2556&lt;$B$13,CI2556,""),"")</f>
        <v/>
      </c>
      <c r="CM2556">
        <f>IF(CH2556="","",IFERROR(IF(IF(AND(LEN(CH2556)=9,ISERROR(FIND("-",LEFT(CH2556,8))),ISNUMBER(-LEFT(CH2556,8))),VALUE(LEFT(CH2556,4)),VALUE(LEFT(CH2556,FIND("-",CH2556)-1)))&lt;100,IF(AND(LEN(CH2556)=9,ISERROR(FIND("-",LEFT(CH2556,8))),ISNUMBER(-LEFT(CH2556,8))),VALUE(LEFT(CH2556,4)),VALUE(LEFT(CH2556,FIND("-",CH2556)-1)))+2000,IF(AND(LEN(CH2556)=9,ISERROR(FIND("-",LEFT(CH2556,8))),ISNUMBER(-LEFT(CH2556,8))),VALUE(LEFT(CH2556,4)),VALUE(LEFT(CH2556,FIND("-",CH2556)-1)))),""))</f>
        <v/>
      </c>
      <c r="CN2556">
        <f>IF(CH2556="","",IFERROR(IF(AND(LEN(CH2556)=9,ISERROR(FIND("-",LEFT(CH2556,8))),ISNUMBER(-LEFT(CH2556,8))),VALUE(MID(CH2556,5,2)),VALUE(MID(CH2556,FIND("-",CH2556)+1,FIND("-",CH2556,FIND("-",CH2556)+1)-FIND("-",CH2556)-1))),""))</f>
        <v/>
      </c>
      <c r="CO2556">
        <f>IF(CH2556="","",IFERROR(IF(AND(LEN(CH2556)=9,ISERROR(FIND("-",LEFT(CH2556,8))),ISNUMBER(-LEFT(CH2556,8))),VALUE(MID(CH2556,7,2)),VALUE(MID(CH2556,FIND("-",CH2556,FIND("-",CH2556)+1)+1,FIND("-",CH2556,FIND("-",CH2556,FIND("-",CH2556)+1)+1)-FIND("-",CH2556,FIND("-",CH2556)+1)-1))),""))</f>
        <v/>
      </c>
    </row>
    <row r="2557">
      <c r="CH2557">
        <f>IF(ISTEXT('월 가계부'!A2557),SUBSTITUTE(SUBSTITUTE(SUBSTITUTE(SUBSTITUTE(SUBSTITUTE(SUBSTITUTE(SUBSTITUTE(SUBSTITUTE(SUBSTITUTE(TRIM('월 가계부'!A2557),"년","-"),"월","-"),"일",""),".","-"),"/","-")," ","-"),"--","-"),"--","-"),"--","-")&amp;"-","")</f>
        <v/>
      </c>
      <c r="CI2557">
        <f>IFERROR(IF('월 가계부'!A2557="","",IF(ISNUMBER('월 가계부'!A2557),IF(AND('월 가계부'!A2557&gt;=19000101,'월 가계부'!A2557&lt;=21001231),IF(AND(MOD(INT('월 가계부'!A2557/100),100)&gt;=1,MOD(INT('월 가계부'!A2557/100),100)&lt;=12,MOD(INT('월 가계부'!A2557),100)&gt;=1,MOD(INT('월 가계부'!A2557),100)&lt;=31),IF(MONTH(DATE(INT('월 가계부'!A2557/10000),MOD(INT('월 가계부'!A2557/100),100),MOD(INT('월 가계부'!A2557),100)))=MOD(INT('월 가계부'!A2557/100),100),DATE(INT('월 가계부'!A2557/10000),MOD(INT('월 가계부'!A2557/100),100),MOD(INT('월 가계부'!A2557),100)),""),""),IF(AND('월 가계부'!A2557&gt;=36526,'월 가계부'!A2557&lt;73051),INT('월 가계부'!A2557),"")),IF(OR(CM2557="",CN2557="",CO2557=""),"",IF(AND(CM2557&gt;=2000,CM2557&lt;=2099,CN2557&gt;=1,CN2557&lt;=12,CO2557&gt;=1,CO2557&lt;=31),IF(MONTH(DATE(CM2557,CN2557,CO2557))=CN2557,DATE(CM2557,CN2557,CO2557),""),"")))),"")</f>
        <v/>
      </c>
      <c r="CJ2557">
        <f>IFERROR(IF('월 가계부'!C2557="","",IF(ISNUMBER('월 가계부'!C2557),'월 가계부'!C2557,VALUE(SUBSTITUTE(SUBSTITUTE(SUBSTITUTE(SUBSTITUTE(TRIM('월 가계부'!C2557),",",""),"원","")," ",""),"−","-")))),"")</f>
        <v/>
      </c>
      <c r="CK2557">
        <f>IF(ISNUMBER(CI2557),IF(CI2557&lt;$B$13,CI2557,""),"")</f>
        <v/>
      </c>
      <c r="CM2557">
        <f>IF(CH2557="","",IFERROR(IF(IF(AND(LEN(CH2557)=9,ISERROR(FIND("-",LEFT(CH2557,8))),ISNUMBER(-LEFT(CH2557,8))),VALUE(LEFT(CH2557,4)),VALUE(LEFT(CH2557,FIND("-",CH2557)-1)))&lt;100,IF(AND(LEN(CH2557)=9,ISERROR(FIND("-",LEFT(CH2557,8))),ISNUMBER(-LEFT(CH2557,8))),VALUE(LEFT(CH2557,4)),VALUE(LEFT(CH2557,FIND("-",CH2557)-1)))+2000,IF(AND(LEN(CH2557)=9,ISERROR(FIND("-",LEFT(CH2557,8))),ISNUMBER(-LEFT(CH2557,8))),VALUE(LEFT(CH2557,4)),VALUE(LEFT(CH2557,FIND("-",CH2557)-1)))),""))</f>
        <v/>
      </c>
      <c r="CN2557">
        <f>IF(CH2557="","",IFERROR(IF(AND(LEN(CH2557)=9,ISERROR(FIND("-",LEFT(CH2557,8))),ISNUMBER(-LEFT(CH2557,8))),VALUE(MID(CH2557,5,2)),VALUE(MID(CH2557,FIND("-",CH2557)+1,FIND("-",CH2557,FIND("-",CH2557)+1)-FIND("-",CH2557)-1))),""))</f>
        <v/>
      </c>
      <c r="CO2557">
        <f>IF(CH2557="","",IFERROR(IF(AND(LEN(CH2557)=9,ISERROR(FIND("-",LEFT(CH2557,8))),ISNUMBER(-LEFT(CH2557,8))),VALUE(MID(CH2557,7,2)),VALUE(MID(CH2557,FIND("-",CH2557,FIND("-",CH2557)+1)+1,FIND("-",CH2557,FIND("-",CH2557,FIND("-",CH2557)+1)+1)-FIND("-",CH2557,FIND("-",CH2557)+1)-1))),""))</f>
        <v/>
      </c>
    </row>
    <row r="2558">
      <c r="CH2558">
        <f>IF(ISTEXT('월 가계부'!A2558),SUBSTITUTE(SUBSTITUTE(SUBSTITUTE(SUBSTITUTE(SUBSTITUTE(SUBSTITUTE(SUBSTITUTE(SUBSTITUTE(SUBSTITUTE(TRIM('월 가계부'!A2558),"년","-"),"월","-"),"일",""),".","-"),"/","-")," ","-"),"--","-"),"--","-"),"--","-")&amp;"-","")</f>
        <v/>
      </c>
      <c r="CI2558">
        <f>IFERROR(IF('월 가계부'!A2558="","",IF(ISNUMBER('월 가계부'!A2558),IF(AND('월 가계부'!A2558&gt;=19000101,'월 가계부'!A2558&lt;=21001231),IF(AND(MOD(INT('월 가계부'!A2558/100),100)&gt;=1,MOD(INT('월 가계부'!A2558/100),100)&lt;=12,MOD(INT('월 가계부'!A2558),100)&gt;=1,MOD(INT('월 가계부'!A2558),100)&lt;=31),IF(MONTH(DATE(INT('월 가계부'!A2558/10000),MOD(INT('월 가계부'!A2558/100),100),MOD(INT('월 가계부'!A2558),100)))=MOD(INT('월 가계부'!A2558/100),100),DATE(INT('월 가계부'!A2558/10000),MOD(INT('월 가계부'!A2558/100),100),MOD(INT('월 가계부'!A2558),100)),""),""),IF(AND('월 가계부'!A2558&gt;=36526,'월 가계부'!A2558&lt;73051),INT('월 가계부'!A2558),"")),IF(OR(CM2558="",CN2558="",CO2558=""),"",IF(AND(CM2558&gt;=2000,CM2558&lt;=2099,CN2558&gt;=1,CN2558&lt;=12,CO2558&gt;=1,CO2558&lt;=31),IF(MONTH(DATE(CM2558,CN2558,CO2558))=CN2558,DATE(CM2558,CN2558,CO2558),""),"")))),"")</f>
        <v/>
      </c>
      <c r="CJ2558">
        <f>IFERROR(IF('월 가계부'!C2558="","",IF(ISNUMBER('월 가계부'!C2558),'월 가계부'!C2558,VALUE(SUBSTITUTE(SUBSTITUTE(SUBSTITUTE(SUBSTITUTE(TRIM('월 가계부'!C2558),",",""),"원","")," ",""),"−","-")))),"")</f>
        <v/>
      </c>
      <c r="CK2558">
        <f>IF(ISNUMBER(CI2558),IF(CI2558&lt;$B$13,CI2558,""),"")</f>
        <v/>
      </c>
      <c r="CM2558">
        <f>IF(CH2558="","",IFERROR(IF(IF(AND(LEN(CH2558)=9,ISERROR(FIND("-",LEFT(CH2558,8))),ISNUMBER(-LEFT(CH2558,8))),VALUE(LEFT(CH2558,4)),VALUE(LEFT(CH2558,FIND("-",CH2558)-1)))&lt;100,IF(AND(LEN(CH2558)=9,ISERROR(FIND("-",LEFT(CH2558,8))),ISNUMBER(-LEFT(CH2558,8))),VALUE(LEFT(CH2558,4)),VALUE(LEFT(CH2558,FIND("-",CH2558)-1)))+2000,IF(AND(LEN(CH2558)=9,ISERROR(FIND("-",LEFT(CH2558,8))),ISNUMBER(-LEFT(CH2558,8))),VALUE(LEFT(CH2558,4)),VALUE(LEFT(CH2558,FIND("-",CH2558)-1)))),""))</f>
        <v/>
      </c>
      <c r="CN2558">
        <f>IF(CH2558="","",IFERROR(IF(AND(LEN(CH2558)=9,ISERROR(FIND("-",LEFT(CH2558,8))),ISNUMBER(-LEFT(CH2558,8))),VALUE(MID(CH2558,5,2)),VALUE(MID(CH2558,FIND("-",CH2558)+1,FIND("-",CH2558,FIND("-",CH2558)+1)-FIND("-",CH2558)-1))),""))</f>
        <v/>
      </c>
      <c r="CO2558">
        <f>IF(CH2558="","",IFERROR(IF(AND(LEN(CH2558)=9,ISERROR(FIND("-",LEFT(CH2558,8))),ISNUMBER(-LEFT(CH2558,8))),VALUE(MID(CH2558,7,2)),VALUE(MID(CH2558,FIND("-",CH2558,FIND("-",CH2558)+1)+1,FIND("-",CH2558,FIND("-",CH2558,FIND("-",CH2558)+1)+1)-FIND("-",CH2558,FIND("-",CH2558)+1)-1))),""))</f>
        <v/>
      </c>
    </row>
    <row r="2559">
      <c r="CH2559">
        <f>IF(ISTEXT('월 가계부'!A2559),SUBSTITUTE(SUBSTITUTE(SUBSTITUTE(SUBSTITUTE(SUBSTITUTE(SUBSTITUTE(SUBSTITUTE(SUBSTITUTE(SUBSTITUTE(TRIM('월 가계부'!A2559),"년","-"),"월","-"),"일",""),".","-"),"/","-")," ","-"),"--","-"),"--","-"),"--","-")&amp;"-","")</f>
        <v/>
      </c>
      <c r="CI2559">
        <f>IFERROR(IF('월 가계부'!A2559="","",IF(ISNUMBER('월 가계부'!A2559),IF(AND('월 가계부'!A2559&gt;=19000101,'월 가계부'!A2559&lt;=21001231),IF(AND(MOD(INT('월 가계부'!A2559/100),100)&gt;=1,MOD(INT('월 가계부'!A2559/100),100)&lt;=12,MOD(INT('월 가계부'!A2559),100)&gt;=1,MOD(INT('월 가계부'!A2559),100)&lt;=31),IF(MONTH(DATE(INT('월 가계부'!A2559/10000),MOD(INT('월 가계부'!A2559/100),100),MOD(INT('월 가계부'!A2559),100)))=MOD(INT('월 가계부'!A2559/100),100),DATE(INT('월 가계부'!A2559/10000),MOD(INT('월 가계부'!A2559/100),100),MOD(INT('월 가계부'!A2559),100)),""),""),IF(AND('월 가계부'!A2559&gt;=36526,'월 가계부'!A2559&lt;73051),INT('월 가계부'!A2559),"")),IF(OR(CM2559="",CN2559="",CO2559=""),"",IF(AND(CM2559&gt;=2000,CM2559&lt;=2099,CN2559&gt;=1,CN2559&lt;=12,CO2559&gt;=1,CO2559&lt;=31),IF(MONTH(DATE(CM2559,CN2559,CO2559))=CN2559,DATE(CM2559,CN2559,CO2559),""),"")))),"")</f>
        <v/>
      </c>
      <c r="CJ2559">
        <f>IFERROR(IF('월 가계부'!C2559="","",IF(ISNUMBER('월 가계부'!C2559),'월 가계부'!C2559,VALUE(SUBSTITUTE(SUBSTITUTE(SUBSTITUTE(SUBSTITUTE(TRIM('월 가계부'!C2559),",",""),"원","")," ",""),"−","-")))),"")</f>
        <v/>
      </c>
      <c r="CK2559">
        <f>IF(ISNUMBER(CI2559),IF(CI2559&lt;$B$13,CI2559,""),"")</f>
        <v/>
      </c>
      <c r="CM2559">
        <f>IF(CH2559="","",IFERROR(IF(IF(AND(LEN(CH2559)=9,ISERROR(FIND("-",LEFT(CH2559,8))),ISNUMBER(-LEFT(CH2559,8))),VALUE(LEFT(CH2559,4)),VALUE(LEFT(CH2559,FIND("-",CH2559)-1)))&lt;100,IF(AND(LEN(CH2559)=9,ISERROR(FIND("-",LEFT(CH2559,8))),ISNUMBER(-LEFT(CH2559,8))),VALUE(LEFT(CH2559,4)),VALUE(LEFT(CH2559,FIND("-",CH2559)-1)))+2000,IF(AND(LEN(CH2559)=9,ISERROR(FIND("-",LEFT(CH2559,8))),ISNUMBER(-LEFT(CH2559,8))),VALUE(LEFT(CH2559,4)),VALUE(LEFT(CH2559,FIND("-",CH2559)-1)))),""))</f>
        <v/>
      </c>
      <c r="CN2559">
        <f>IF(CH2559="","",IFERROR(IF(AND(LEN(CH2559)=9,ISERROR(FIND("-",LEFT(CH2559,8))),ISNUMBER(-LEFT(CH2559,8))),VALUE(MID(CH2559,5,2)),VALUE(MID(CH2559,FIND("-",CH2559)+1,FIND("-",CH2559,FIND("-",CH2559)+1)-FIND("-",CH2559)-1))),""))</f>
        <v/>
      </c>
      <c r="CO2559">
        <f>IF(CH2559="","",IFERROR(IF(AND(LEN(CH2559)=9,ISERROR(FIND("-",LEFT(CH2559,8))),ISNUMBER(-LEFT(CH2559,8))),VALUE(MID(CH2559,7,2)),VALUE(MID(CH2559,FIND("-",CH2559,FIND("-",CH2559)+1)+1,FIND("-",CH2559,FIND("-",CH2559,FIND("-",CH2559)+1)+1)-FIND("-",CH2559,FIND("-",CH2559)+1)-1))),""))</f>
        <v/>
      </c>
    </row>
    <row r="2560">
      <c r="CH2560">
        <f>IF(ISTEXT('월 가계부'!A2560),SUBSTITUTE(SUBSTITUTE(SUBSTITUTE(SUBSTITUTE(SUBSTITUTE(SUBSTITUTE(SUBSTITUTE(SUBSTITUTE(SUBSTITUTE(TRIM('월 가계부'!A2560),"년","-"),"월","-"),"일",""),".","-"),"/","-")," ","-"),"--","-"),"--","-"),"--","-")&amp;"-","")</f>
        <v/>
      </c>
      <c r="CI2560">
        <f>IFERROR(IF('월 가계부'!A2560="","",IF(ISNUMBER('월 가계부'!A2560),IF(AND('월 가계부'!A2560&gt;=19000101,'월 가계부'!A2560&lt;=21001231),IF(AND(MOD(INT('월 가계부'!A2560/100),100)&gt;=1,MOD(INT('월 가계부'!A2560/100),100)&lt;=12,MOD(INT('월 가계부'!A2560),100)&gt;=1,MOD(INT('월 가계부'!A2560),100)&lt;=31),IF(MONTH(DATE(INT('월 가계부'!A2560/10000),MOD(INT('월 가계부'!A2560/100),100),MOD(INT('월 가계부'!A2560),100)))=MOD(INT('월 가계부'!A2560/100),100),DATE(INT('월 가계부'!A2560/10000),MOD(INT('월 가계부'!A2560/100),100),MOD(INT('월 가계부'!A2560),100)),""),""),IF(AND('월 가계부'!A2560&gt;=36526,'월 가계부'!A2560&lt;73051),INT('월 가계부'!A2560),"")),IF(OR(CM2560="",CN2560="",CO2560=""),"",IF(AND(CM2560&gt;=2000,CM2560&lt;=2099,CN2560&gt;=1,CN2560&lt;=12,CO2560&gt;=1,CO2560&lt;=31),IF(MONTH(DATE(CM2560,CN2560,CO2560))=CN2560,DATE(CM2560,CN2560,CO2560),""),"")))),"")</f>
        <v/>
      </c>
      <c r="CJ2560">
        <f>IFERROR(IF('월 가계부'!C2560="","",IF(ISNUMBER('월 가계부'!C2560),'월 가계부'!C2560,VALUE(SUBSTITUTE(SUBSTITUTE(SUBSTITUTE(SUBSTITUTE(TRIM('월 가계부'!C2560),",",""),"원","")," ",""),"−","-")))),"")</f>
        <v/>
      </c>
      <c r="CK2560">
        <f>IF(ISNUMBER(CI2560),IF(CI2560&lt;$B$13,CI2560,""),"")</f>
        <v/>
      </c>
      <c r="CM2560">
        <f>IF(CH2560="","",IFERROR(IF(IF(AND(LEN(CH2560)=9,ISERROR(FIND("-",LEFT(CH2560,8))),ISNUMBER(-LEFT(CH2560,8))),VALUE(LEFT(CH2560,4)),VALUE(LEFT(CH2560,FIND("-",CH2560)-1)))&lt;100,IF(AND(LEN(CH2560)=9,ISERROR(FIND("-",LEFT(CH2560,8))),ISNUMBER(-LEFT(CH2560,8))),VALUE(LEFT(CH2560,4)),VALUE(LEFT(CH2560,FIND("-",CH2560)-1)))+2000,IF(AND(LEN(CH2560)=9,ISERROR(FIND("-",LEFT(CH2560,8))),ISNUMBER(-LEFT(CH2560,8))),VALUE(LEFT(CH2560,4)),VALUE(LEFT(CH2560,FIND("-",CH2560)-1)))),""))</f>
        <v/>
      </c>
      <c r="CN2560">
        <f>IF(CH2560="","",IFERROR(IF(AND(LEN(CH2560)=9,ISERROR(FIND("-",LEFT(CH2560,8))),ISNUMBER(-LEFT(CH2560,8))),VALUE(MID(CH2560,5,2)),VALUE(MID(CH2560,FIND("-",CH2560)+1,FIND("-",CH2560,FIND("-",CH2560)+1)-FIND("-",CH2560)-1))),""))</f>
        <v/>
      </c>
      <c r="CO2560">
        <f>IF(CH2560="","",IFERROR(IF(AND(LEN(CH2560)=9,ISERROR(FIND("-",LEFT(CH2560,8))),ISNUMBER(-LEFT(CH2560,8))),VALUE(MID(CH2560,7,2)),VALUE(MID(CH2560,FIND("-",CH2560,FIND("-",CH2560)+1)+1,FIND("-",CH2560,FIND("-",CH2560,FIND("-",CH2560)+1)+1)-FIND("-",CH2560,FIND("-",CH2560)+1)-1))),""))</f>
        <v/>
      </c>
    </row>
    <row r="2561">
      <c r="CH2561">
        <f>IF(ISTEXT('월 가계부'!A2561),SUBSTITUTE(SUBSTITUTE(SUBSTITUTE(SUBSTITUTE(SUBSTITUTE(SUBSTITUTE(SUBSTITUTE(SUBSTITUTE(SUBSTITUTE(TRIM('월 가계부'!A2561),"년","-"),"월","-"),"일",""),".","-"),"/","-")," ","-"),"--","-"),"--","-"),"--","-")&amp;"-","")</f>
        <v/>
      </c>
      <c r="CI2561">
        <f>IFERROR(IF('월 가계부'!A2561="","",IF(ISNUMBER('월 가계부'!A2561),IF(AND('월 가계부'!A2561&gt;=19000101,'월 가계부'!A2561&lt;=21001231),IF(AND(MOD(INT('월 가계부'!A2561/100),100)&gt;=1,MOD(INT('월 가계부'!A2561/100),100)&lt;=12,MOD(INT('월 가계부'!A2561),100)&gt;=1,MOD(INT('월 가계부'!A2561),100)&lt;=31),IF(MONTH(DATE(INT('월 가계부'!A2561/10000),MOD(INT('월 가계부'!A2561/100),100),MOD(INT('월 가계부'!A2561),100)))=MOD(INT('월 가계부'!A2561/100),100),DATE(INT('월 가계부'!A2561/10000),MOD(INT('월 가계부'!A2561/100),100),MOD(INT('월 가계부'!A2561),100)),""),""),IF(AND('월 가계부'!A2561&gt;=36526,'월 가계부'!A2561&lt;73051),INT('월 가계부'!A2561),"")),IF(OR(CM2561="",CN2561="",CO2561=""),"",IF(AND(CM2561&gt;=2000,CM2561&lt;=2099,CN2561&gt;=1,CN2561&lt;=12,CO2561&gt;=1,CO2561&lt;=31),IF(MONTH(DATE(CM2561,CN2561,CO2561))=CN2561,DATE(CM2561,CN2561,CO2561),""),"")))),"")</f>
        <v/>
      </c>
      <c r="CJ2561">
        <f>IFERROR(IF('월 가계부'!C2561="","",IF(ISNUMBER('월 가계부'!C2561),'월 가계부'!C2561,VALUE(SUBSTITUTE(SUBSTITUTE(SUBSTITUTE(SUBSTITUTE(TRIM('월 가계부'!C2561),",",""),"원","")," ",""),"−","-")))),"")</f>
        <v/>
      </c>
      <c r="CK2561">
        <f>IF(ISNUMBER(CI2561),IF(CI2561&lt;$B$13,CI2561,""),"")</f>
        <v/>
      </c>
      <c r="CM2561">
        <f>IF(CH2561="","",IFERROR(IF(IF(AND(LEN(CH2561)=9,ISERROR(FIND("-",LEFT(CH2561,8))),ISNUMBER(-LEFT(CH2561,8))),VALUE(LEFT(CH2561,4)),VALUE(LEFT(CH2561,FIND("-",CH2561)-1)))&lt;100,IF(AND(LEN(CH2561)=9,ISERROR(FIND("-",LEFT(CH2561,8))),ISNUMBER(-LEFT(CH2561,8))),VALUE(LEFT(CH2561,4)),VALUE(LEFT(CH2561,FIND("-",CH2561)-1)))+2000,IF(AND(LEN(CH2561)=9,ISERROR(FIND("-",LEFT(CH2561,8))),ISNUMBER(-LEFT(CH2561,8))),VALUE(LEFT(CH2561,4)),VALUE(LEFT(CH2561,FIND("-",CH2561)-1)))),""))</f>
        <v/>
      </c>
      <c r="CN2561">
        <f>IF(CH2561="","",IFERROR(IF(AND(LEN(CH2561)=9,ISERROR(FIND("-",LEFT(CH2561,8))),ISNUMBER(-LEFT(CH2561,8))),VALUE(MID(CH2561,5,2)),VALUE(MID(CH2561,FIND("-",CH2561)+1,FIND("-",CH2561,FIND("-",CH2561)+1)-FIND("-",CH2561)-1))),""))</f>
        <v/>
      </c>
      <c r="CO2561">
        <f>IF(CH2561="","",IFERROR(IF(AND(LEN(CH2561)=9,ISERROR(FIND("-",LEFT(CH2561,8))),ISNUMBER(-LEFT(CH2561,8))),VALUE(MID(CH2561,7,2)),VALUE(MID(CH2561,FIND("-",CH2561,FIND("-",CH2561)+1)+1,FIND("-",CH2561,FIND("-",CH2561,FIND("-",CH2561)+1)+1)-FIND("-",CH2561,FIND("-",CH2561)+1)-1))),""))</f>
        <v/>
      </c>
    </row>
    <row r="2562">
      <c r="CH2562">
        <f>IF(ISTEXT('월 가계부'!A2562),SUBSTITUTE(SUBSTITUTE(SUBSTITUTE(SUBSTITUTE(SUBSTITUTE(SUBSTITUTE(SUBSTITUTE(SUBSTITUTE(SUBSTITUTE(TRIM('월 가계부'!A2562),"년","-"),"월","-"),"일",""),".","-"),"/","-")," ","-"),"--","-"),"--","-"),"--","-")&amp;"-","")</f>
        <v/>
      </c>
      <c r="CI2562">
        <f>IFERROR(IF('월 가계부'!A2562="","",IF(ISNUMBER('월 가계부'!A2562),IF(AND('월 가계부'!A2562&gt;=19000101,'월 가계부'!A2562&lt;=21001231),IF(AND(MOD(INT('월 가계부'!A2562/100),100)&gt;=1,MOD(INT('월 가계부'!A2562/100),100)&lt;=12,MOD(INT('월 가계부'!A2562),100)&gt;=1,MOD(INT('월 가계부'!A2562),100)&lt;=31),IF(MONTH(DATE(INT('월 가계부'!A2562/10000),MOD(INT('월 가계부'!A2562/100),100),MOD(INT('월 가계부'!A2562),100)))=MOD(INT('월 가계부'!A2562/100),100),DATE(INT('월 가계부'!A2562/10000),MOD(INT('월 가계부'!A2562/100),100),MOD(INT('월 가계부'!A2562),100)),""),""),IF(AND('월 가계부'!A2562&gt;=36526,'월 가계부'!A2562&lt;73051),INT('월 가계부'!A2562),"")),IF(OR(CM2562="",CN2562="",CO2562=""),"",IF(AND(CM2562&gt;=2000,CM2562&lt;=2099,CN2562&gt;=1,CN2562&lt;=12,CO2562&gt;=1,CO2562&lt;=31),IF(MONTH(DATE(CM2562,CN2562,CO2562))=CN2562,DATE(CM2562,CN2562,CO2562),""),"")))),"")</f>
        <v/>
      </c>
      <c r="CJ2562">
        <f>IFERROR(IF('월 가계부'!C2562="","",IF(ISNUMBER('월 가계부'!C2562),'월 가계부'!C2562,VALUE(SUBSTITUTE(SUBSTITUTE(SUBSTITUTE(SUBSTITUTE(TRIM('월 가계부'!C2562),",",""),"원","")," ",""),"−","-")))),"")</f>
        <v/>
      </c>
      <c r="CK2562">
        <f>IF(ISNUMBER(CI2562),IF(CI2562&lt;$B$13,CI2562,""),"")</f>
        <v/>
      </c>
      <c r="CM2562">
        <f>IF(CH2562="","",IFERROR(IF(IF(AND(LEN(CH2562)=9,ISERROR(FIND("-",LEFT(CH2562,8))),ISNUMBER(-LEFT(CH2562,8))),VALUE(LEFT(CH2562,4)),VALUE(LEFT(CH2562,FIND("-",CH2562)-1)))&lt;100,IF(AND(LEN(CH2562)=9,ISERROR(FIND("-",LEFT(CH2562,8))),ISNUMBER(-LEFT(CH2562,8))),VALUE(LEFT(CH2562,4)),VALUE(LEFT(CH2562,FIND("-",CH2562)-1)))+2000,IF(AND(LEN(CH2562)=9,ISERROR(FIND("-",LEFT(CH2562,8))),ISNUMBER(-LEFT(CH2562,8))),VALUE(LEFT(CH2562,4)),VALUE(LEFT(CH2562,FIND("-",CH2562)-1)))),""))</f>
        <v/>
      </c>
      <c r="CN2562">
        <f>IF(CH2562="","",IFERROR(IF(AND(LEN(CH2562)=9,ISERROR(FIND("-",LEFT(CH2562,8))),ISNUMBER(-LEFT(CH2562,8))),VALUE(MID(CH2562,5,2)),VALUE(MID(CH2562,FIND("-",CH2562)+1,FIND("-",CH2562,FIND("-",CH2562)+1)-FIND("-",CH2562)-1))),""))</f>
        <v/>
      </c>
      <c r="CO2562">
        <f>IF(CH2562="","",IFERROR(IF(AND(LEN(CH2562)=9,ISERROR(FIND("-",LEFT(CH2562,8))),ISNUMBER(-LEFT(CH2562,8))),VALUE(MID(CH2562,7,2)),VALUE(MID(CH2562,FIND("-",CH2562,FIND("-",CH2562)+1)+1,FIND("-",CH2562,FIND("-",CH2562,FIND("-",CH2562)+1)+1)-FIND("-",CH2562,FIND("-",CH2562)+1)-1))),""))</f>
        <v/>
      </c>
    </row>
    <row r="2563">
      <c r="CH2563">
        <f>IF(ISTEXT('월 가계부'!A2563),SUBSTITUTE(SUBSTITUTE(SUBSTITUTE(SUBSTITUTE(SUBSTITUTE(SUBSTITUTE(SUBSTITUTE(SUBSTITUTE(SUBSTITUTE(TRIM('월 가계부'!A2563),"년","-"),"월","-"),"일",""),".","-"),"/","-")," ","-"),"--","-"),"--","-"),"--","-")&amp;"-","")</f>
        <v/>
      </c>
      <c r="CI2563">
        <f>IFERROR(IF('월 가계부'!A2563="","",IF(ISNUMBER('월 가계부'!A2563),IF(AND('월 가계부'!A2563&gt;=19000101,'월 가계부'!A2563&lt;=21001231),IF(AND(MOD(INT('월 가계부'!A2563/100),100)&gt;=1,MOD(INT('월 가계부'!A2563/100),100)&lt;=12,MOD(INT('월 가계부'!A2563),100)&gt;=1,MOD(INT('월 가계부'!A2563),100)&lt;=31),IF(MONTH(DATE(INT('월 가계부'!A2563/10000),MOD(INT('월 가계부'!A2563/100),100),MOD(INT('월 가계부'!A2563),100)))=MOD(INT('월 가계부'!A2563/100),100),DATE(INT('월 가계부'!A2563/10000),MOD(INT('월 가계부'!A2563/100),100),MOD(INT('월 가계부'!A2563),100)),""),""),IF(AND('월 가계부'!A2563&gt;=36526,'월 가계부'!A2563&lt;73051),INT('월 가계부'!A2563),"")),IF(OR(CM2563="",CN2563="",CO2563=""),"",IF(AND(CM2563&gt;=2000,CM2563&lt;=2099,CN2563&gt;=1,CN2563&lt;=12,CO2563&gt;=1,CO2563&lt;=31),IF(MONTH(DATE(CM2563,CN2563,CO2563))=CN2563,DATE(CM2563,CN2563,CO2563),""),"")))),"")</f>
        <v/>
      </c>
      <c r="CJ2563">
        <f>IFERROR(IF('월 가계부'!C2563="","",IF(ISNUMBER('월 가계부'!C2563),'월 가계부'!C2563,VALUE(SUBSTITUTE(SUBSTITUTE(SUBSTITUTE(SUBSTITUTE(TRIM('월 가계부'!C2563),",",""),"원","")," ",""),"−","-")))),"")</f>
        <v/>
      </c>
      <c r="CK2563">
        <f>IF(ISNUMBER(CI2563),IF(CI2563&lt;$B$13,CI2563,""),"")</f>
        <v/>
      </c>
      <c r="CM2563">
        <f>IF(CH2563="","",IFERROR(IF(IF(AND(LEN(CH2563)=9,ISERROR(FIND("-",LEFT(CH2563,8))),ISNUMBER(-LEFT(CH2563,8))),VALUE(LEFT(CH2563,4)),VALUE(LEFT(CH2563,FIND("-",CH2563)-1)))&lt;100,IF(AND(LEN(CH2563)=9,ISERROR(FIND("-",LEFT(CH2563,8))),ISNUMBER(-LEFT(CH2563,8))),VALUE(LEFT(CH2563,4)),VALUE(LEFT(CH2563,FIND("-",CH2563)-1)))+2000,IF(AND(LEN(CH2563)=9,ISERROR(FIND("-",LEFT(CH2563,8))),ISNUMBER(-LEFT(CH2563,8))),VALUE(LEFT(CH2563,4)),VALUE(LEFT(CH2563,FIND("-",CH2563)-1)))),""))</f>
        <v/>
      </c>
      <c r="CN2563">
        <f>IF(CH2563="","",IFERROR(IF(AND(LEN(CH2563)=9,ISERROR(FIND("-",LEFT(CH2563,8))),ISNUMBER(-LEFT(CH2563,8))),VALUE(MID(CH2563,5,2)),VALUE(MID(CH2563,FIND("-",CH2563)+1,FIND("-",CH2563,FIND("-",CH2563)+1)-FIND("-",CH2563)-1))),""))</f>
        <v/>
      </c>
      <c r="CO2563">
        <f>IF(CH2563="","",IFERROR(IF(AND(LEN(CH2563)=9,ISERROR(FIND("-",LEFT(CH2563,8))),ISNUMBER(-LEFT(CH2563,8))),VALUE(MID(CH2563,7,2)),VALUE(MID(CH2563,FIND("-",CH2563,FIND("-",CH2563)+1)+1,FIND("-",CH2563,FIND("-",CH2563,FIND("-",CH2563)+1)+1)-FIND("-",CH2563,FIND("-",CH2563)+1)-1))),""))</f>
        <v/>
      </c>
    </row>
    <row r="2564">
      <c r="CH2564">
        <f>IF(ISTEXT('월 가계부'!A2564),SUBSTITUTE(SUBSTITUTE(SUBSTITUTE(SUBSTITUTE(SUBSTITUTE(SUBSTITUTE(SUBSTITUTE(SUBSTITUTE(SUBSTITUTE(TRIM('월 가계부'!A2564),"년","-"),"월","-"),"일",""),".","-"),"/","-")," ","-"),"--","-"),"--","-"),"--","-")&amp;"-","")</f>
        <v/>
      </c>
      <c r="CI2564">
        <f>IFERROR(IF('월 가계부'!A2564="","",IF(ISNUMBER('월 가계부'!A2564),IF(AND('월 가계부'!A2564&gt;=19000101,'월 가계부'!A2564&lt;=21001231),IF(AND(MOD(INT('월 가계부'!A2564/100),100)&gt;=1,MOD(INT('월 가계부'!A2564/100),100)&lt;=12,MOD(INT('월 가계부'!A2564),100)&gt;=1,MOD(INT('월 가계부'!A2564),100)&lt;=31),IF(MONTH(DATE(INT('월 가계부'!A2564/10000),MOD(INT('월 가계부'!A2564/100),100),MOD(INT('월 가계부'!A2564),100)))=MOD(INT('월 가계부'!A2564/100),100),DATE(INT('월 가계부'!A2564/10000),MOD(INT('월 가계부'!A2564/100),100),MOD(INT('월 가계부'!A2564),100)),""),""),IF(AND('월 가계부'!A2564&gt;=36526,'월 가계부'!A2564&lt;73051),INT('월 가계부'!A2564),"")),IF(OR(CM2564="",CN2564="",CO2564=""),"",IF(AND(CM2564&gt;=2000,CM2564&lt;=2099,CN2564&gt;=1,CN2564&lt;=12,CO2564&gt;=1,CO2564&lt;=31),IF(MONTH(DATE(CM2564,CN2564,CO2564))=CN2564,DATE(CM2564,CN2564,CO2564),""),"")))),"")</f>
        <v/>
      </c>
      <c r="CJ2564">
        <f>IFERROR(IF('월 가계부'!C2564="","",IF(ISNUMBER('월 가계부'!C2564),'월 가계부'!C2564,VALUE(SUBSTITUTE(SUBSTITUTE(SUBSTITUTE(SUBSTITUTE(TRIM('월 가계부'!C2564),",",""),"원","")," ",""),"−","-")))),"")</f>
        <v/>
      </c>
      <c r="CK2564">
        <f>IF(ISNUMBER(CI2564),IF(CI2564&lt;$B$13,CI2564,""),"")</f>
        <v/>
      </c>
      <c r="CM2564">
        <f>IF(CH2564="","",IFERROR(IF(IF(AND(LEN(CH2564)=9,ISERROR(FIND("-",LEFT(CH2564,8))),ISNUMBER(-LEFT(CH2564,8))),VALUE(LEFT(CH2564,4)),VALUE(LEFT(CH2564,FIND("-",CH2564)-1)))&lt;100,IF(AND(LEN(CH2564)=9,ISERROR(FIND("-",LEFT(CH2564,8))),ISNUMBER(-LEFT(CH2564,8))),VALUE(LEFT(CH2564,4)),VALUE(LEFT(CH2564,FIND("-",CH2564)-1)))+2000,IF(AND(LEN(CH2564)=9,ISERROR(FIND("-",LEFT(CH2564,8))),ISNUMBER(-LEFT(CH2564,8))),VALUE(LEFT(CH2564,4)),VALUE(LEFT(CH2564,FIND("-",CH2564)-1)))),""))</f>
        <v/>
      </c>
      <c r="CN2564">
        <f>IF(CH2564="","",IFERROR(IF(AND(LEN(CH2564)=9,ISERROR(FIND("-",LEFT(CH2564,8))),ISNUMBER(-LEFT(CH2564,8))),VALUE(MID(CH2564,5,2)),VALUE(MID(CH2564,FIND("-",CH2564)+1,FIND("-",CH2564,FIND("-",CH2564)+1)-FIND("-",CH2564)-1))),""))</f>
        <v/>
      </c>
      <c r="CO2564">
        <f>IF(CH2564="","",IFERROR(IF(AND(LEN(CH2564)=9,ISERROR(FIND("-",LEFT(CH2564,8))),ISNUMBER(-LEFT(CH2564,8))),VALUE(MID(CH2564,7,2)),VALUE(MID(CH2564,FIND("-",CH2564,FIND("-",CH2564)+1)+1,FIND("-",CH2564,FIND("-",CH2564,FIND("-",CH2564)+1)+1)-FIND("-",CH2564,FIND("-",CH2564)+1)-1))),""))</f>
        <v/>
      </c>
    </row>
    <row r="2565">
      <c r="CH2565">
        <f>IF(ISTEXT('월 가계부'!A2565),SUBSTITUTE(SUBSTITUTE(SUBSTITUTE(SUBSTITUTE(SUBSTITUTE(SUBSTITUTE(SUBSTITUTE(SUBSTITUTE(SUBSTITUTE(TRIM('월 가계부'!A2565),"년","-"),"월","-"),"일",""),".","-"),"/","-")," ","-"),"--","-"),"--","-"),"--","-")&amp;"-","")</f>
        <v/>
      </c>
      <c r="CI2565">
        <f>IFERROR(IF('월 가계부'!A2565="","",IF(ISNUMBER('월 가계부'!A2565),IF(AND('월 가계부'!A2565&gt;=19000101,'월 가계부'!A2565&lt;=21001231),IF(AND(MOD(INT('월 가계부'!A2565/100),100)&gt;=1,MOD(INT('월 가계부'!A2565/100),100)&lt;=12,MOD(INT('월 가계부'!A2565),100)&gt;=1,MOD(INT('월 가계부'!A2565),100)&lt;=31),IF(MONTH(DATE(INT('월 가계부'!A2565/10000),MOD(INT('월 가계부'!A2565/100),100),MOD(INT('월 가계부'!A2565),100)))=MOD(INT('월 가계부'!A2565/100),100),DATE(INT('월 가계부'!A2565/10000),MOD(INT('월 가계부'!A2565/100),100),MOD(INT('월 가계부'!A2565),100)),""),""),IF(AND('월 가계부'!A2565&gt;=36526,'월 가계부'!A2565&lt;73051),INT('월 가계부'!A2565),"")),IF(OR(CM2565="",CN2565="",CO2565=""),"",IF(AND(CM2565&gt;=2000,CM2565&lt;=2099,CN2565&gt;=1,CN2565&lt;=12,CO2565&gt;=1,CO2565&lt;=31),IF(MONTH(DATE(CM2565,CN2565,CO2565))=CN2565,DATE(CM2565,CN2565,CO2565),""),"")))),"")</f>
        <v/>
      </c>
      <c r="CJ2565">
        <f>IFERROR(IF('월 가계부'!C2565="","",IF(ISNUMBER('월 가계부'!C2565),'월 가계부'!C2565,VALUE(SUBSTITUTE(SUBSTITUTE(SUBSTITUTE(SUBSTITUTE(TRIM('월 가계부'!C2565),",",""),"원","")," ",""),"−","-")))),"")</f>
        <v/>
      </c>
      <c r="CK2565">
        <f>IF(ISNUMBER(CI2565),IF(CI2565&lt;$B$13,CI2565,""),"")</f>
        <v/>
      </c>
      <c r="CM2565">
        <f>IF(CH2565="","",IFERROR(IF(IF(AND(LEN(CH2565)=9,ISERROR(FIND("-",LEFT(CH2565,8))),ISNUMBER(-LEFT(CH2565,8))),VALUE(LEFT(CH2565,4)),VALUE(LEFT(CH2565,FIND("-",CH2565)-1)))&lt;100,IF(AND(LEN(CH2565)=9,ISERROR(FIND("-",LEFT(CH2565,8))),ISNUMBER(-LEFT(CH2565,8))),VALUE(LEFT(CH2565,4)),VALUE(LEFT(CH2565,FIND("-",CH2565)-1)))+2000,IF(AND(LEN(CH2565)=9,ISERROR(FIND("-",LEFT(CH2565,8))),ISNUMBER(-LEFT(CH2565,8))),VALUE(LEFT(CH2565,4)),VALUE(LEFT(CH2565,FIND("-",CH2565)-1)))),""))</f>
        <v/>
      </c>
      <c r="CN2565">
        <f>IF(CH2565="","",IFERROR(IF(AND(LEN(CH2565)=9,ISERROR(FIND("-",LEFT(CH2565,8))),ISNUMBER(-LEFT(CH2565,8))),VALUE(MID(CH2565,5,2)),VALUE(MID(CH2565,FIND("-",CH2565)+1,FIND("-",CH2565,FIND("-",CH2565)+1)-FIND("-",CH2565)-1))),""))</f>
        <v/>
      </c>
      <c r="CO2565">
        <f>IF(CH2565="","",IFERROR(IF(AND(LEN(CH2565)=9,ISERROR(FIND("-",LEFT(CH2565,8))),ISNUMBER(-LEFT(CH2565,8))),VALUE(MID(CH2565,7,2)),VALUE(MID(CH2565,FIND("-",CH2565,FIND("-",CH2565)+1)+1,FIND("-",CH2565,FIND("-",CH2565,FIND("-",CH2565)+1)+1)-FIND("-",CH2565,FIND("-",CH2565)+1)-1))),""))</f>
        <v/>
      </c>
    </row>
    <row r="2566">
      <c r="CH2566">
        <f>IF(ISTEXT('월 가계부'!A2566),SUBSTITUTE(SUBSTITUTE(SUBSTITUTE(SUBSTITUTE(SUBSTITUTE(SUBSTITUTE(SUBSTITUTE(SUBSTITUTE(SUBSTITUTE(TRIM('월 가계부'!A2566),"년","-"),"월","-"),"일",""),".","-"),"/","-")," ","-"),"--","-"),"--","-"),"--","-")&amp;"-","")</f>
        <v/>
      </c>
      <c r="CI2566">
        <f>IFERROR(IF('월 가계부'!A2566="","",IF(ISNUMBER('월 가계부'!A2566),IF(AND('월 가계부'!A2566&gt;=19000101,'월 가계부'!A2566&lt;=21001231),IF(AND(MOD(INT('월 가계부'!A2566/100),100)&gt;=1,MOD(INT('월 가계부'!A2566/100),100)&lt;=12,MOD(INT('월 가계부'!A2566),100)&gt;=1,MOD(INT('월 가계부'!A2566),100)&lt;=31),IF(MONTH(DATE(INT('월 가계부'!A2566/10000),MOD(INT('월 가계부'!A2566/100),100),MOD(INT('월 가계부'!A2566),100)))=MOD(INT('월 가계부'!A2566/100),100),DATE(INT('월 가계부'!A2566/10000),MOD(INT('월 가계부'!A2566/100),100),MOD(INT('월 가계부'!A2566),100)),""),""),IF(AND('월 가계부'!A2566&gt;=36526,'월 가계부'!A2566&lt;73051),INT('월 가계부'!A2566),"")),IF(OR(CM2566="",CN2566="",CO2566=""),"",IF(AND(CM2566&gt;=2000,CM2566&lt;=2099,CN2566&gt;=1,CN2566&lt;=12,CO2566&gt;=1,CO2566&lt;=31),IF(MONTH(DATE(CM2566,CN2566,CO2566))=CN2566,DATE(CM2566,CN2566,CO2566),""),"")))),"")</f>
        <v/>
      </c>
      <c r="CJ2566">
        <f>IFERROR(IF('월 가계부'!C2566="","",IF(ISNUMBER('월 가계부'!C2566),'월 가계부'!C2566,VALUE(SUBSTITUTE(SUBSTITUTE(SUBSTITUTE(SUBSTITUTE(TRIM('월 가계부'!C2566),",",""),"원","")," ",""),"−","-")))),"")</f>
        <v/>
      </c>
      <c r="CK2566">
        <f>IF(ISNUMBER(CI2566),IF(CI2566&lt;$B$13,CI2566,""),"")</f>
        <v/>
      </c>
      <c r="CM2566">
        <f>IF(CH2566="","",IFERROR(IF(IF(AND(LEN(CH2566)=9,ISERROR(FIND("-",LEFT(CH2566,8))),ISNUMBER(-LEFT(CH2566,8))),VALUE(LEFT(CH2566,4)),VALUE(LEFT(CH2566,FIND("-",CH2566)-1)))&lt;100,IF(AND(LEN(CH2566)=9,ISERROR(FIND("-",LEFT(CH2566,8))),ISNUMBER(-LEFT(CH2566,8))),VALUE(LEFT(CH2566,4)),VALUE(LEFT(CH2566,FIND("-",CH2566)-1)))+2000,IF(AND(LEN(CH2566)=9,ISERROR(FIND("-",LEFT(CH2566,8))),ISNUMBER(-LEFT(CH2566,8))),VALUE(LEFT(CH2566,4)),VALUE(LEFT(CH2566,FIND("-",CH2566)-1)))),""))</f>
        <v/>
      </c>
      <c r="CN2566">
        <f>IF(CH2566="","",IFERROR(IF(AND(LEN(CH2566)=9,ISERROR(FIND("-",LEFT(CH2566,8))),ISNUMBER(-LEFT(CH2566,8))),VALUE(MID(CH2566,5,2)),VALUE(MID(CH2566,FIND("-",CH2566)+1,FIND("-",CH2566,FIND("-",CH2566)+1)-FIND("-",CH2566)-1))),""))</f>
        <v/>
      </c>
      <c r="CO2566">
        <f>IF(CH2566="","",IFERROR(IF(AND(LEN(CH2566)=9,ISERROR(FIND("-",LEFT(CH2566,8))),ISNUMBER(-LEFT(CH2566,8))),VALUE(MID(CH2566,7,2)),VALUE(MID(CH2566,FIND("-",CH2566,FIND("-",CH2566)+1)+1,FIND("-",CH2566,FIND("-",CH2566,FIND("-",CH2566)+1)+1)-FIND("-",CH2566,FIND("-",CH2566)+1)-1))),""))</f>
        <v/>
      </c>
    </row>
    <row r="2567">
      <c r="CH2567">
        <f>IF(ISTEXT('월 가계부'!A2567),SUBSTITUTE(SUBSTITUTE(SUBSTITUTE(SUBSTITUTE(SUBSTITUTE(SUBSTITUTE(SUBSTITUTE(SUBSTITUTE(SUBSTITUTE(TRIM('월 가계부'!A2567),"년","-"),"월","-"),"일",""),".","-"),"/","-")," ","-"),"--","-"),"--","-"),"--","-")&amp;"-","")</f>
        <v/>
      </c>
      <c r="CI2567">
        <f>IFERROR(IF('월 가계부'!A2567="","",IF(ISNUMBER('월 가계부'!A2567),IF(AND('월 가계부'!A2567&gt;=19000101,'월 가계부'!A2567&lt;=21001231),IF(AND(MOD(INT('월 가계부'!A2567/100),100)&gt;=1,MOD(INT('월 가계부'!A2567/100),100)&lt;=12,MOD(INT('월 가계부'!A2567),100)&gt;=1,MOD(INT('월 가계부'!A2567),100)&lt;=31),IF(MONTH(DATE(INT('월 가계부'!A2567/10000),MOD(INT('월 가계부'!A2567/100),100),MOD(INT('월 가계부'!A2567),100)))=MOD(INT('월 가계부'!A2567/100),100),DATE(INT('월 가계부'!A2567/10000),MOD(INT('월 가계부'!A2567/100),100),MOD(INT('월 가계부'!A2567),100)),""),""),IF(AND('월 가계부'!A2567&gt;=36526,'월 가계부'!A2567&lt;73051),INT('월 가계부'!A2567),"")),IF(OR(CM2567="",CN2567="",CO2567=""),"",IF(AND(CM2567&gt;=2000,CM2567&lt;=2099,CN2567&gt;=1,CN2567&lt;=12,CO2567&gt;=1,CO2567&lt;=31),IF(MONTH(DATE(CM2567,CN2567,CO2567))=CN2567,DATE(CM2567,CN2567,CO2567),""),"")))),"")</f>
        <v/>
      </c>
      <c r="CJ2567">
        <f>IFERROR(IF('월 가계부'!C2567="","",IF(ISNUMBER('월 가계부'!C2567),'월 가계부'!C2567,VALUE(SUBSTITUTE(SUBSTITUTE(SUBSTITUTE(SUBSTITUTE(TRIM('월 가계부'!C2567),",",""),"원","")," ",""),"−","-")))),"")</f>
        <v/>
      </c>
      <c r="CK2567">
        <f>IF(ISNUMBER(CI2567),IF(CI2567&lt;$B$13,CI2567,""),"")</f>
        <v/>
      </c>
      <c r="CM2567">
        <f>IF(CH2567="","",IFERROR(IF(IF(AND(LEN(CH2567)=9,ISERROR(FIND("-",LEFT(CH2567,8))),ISNUMBER(-LEFT(CH2567,8))),VALUE(LEFT(CH2567,4)),VALUE(LEFT(CH2567,FIND("-",CH2567)-1)))&lt;100,IF(AND(LEN(CH2567)=9,ISERROR(FIND("-",LEFT(CH2567,8))),ISNUMBER(-LEFT(CH2567,8))),VALUE(LEFT(CH2567,4)),VALUE(LEFT(CH2567,FIND("-",CH2567)-1)))+2000,IF(AND(LEN(CH2567)=9,ISERROR(FIND("-",LEFT(CH2567,8))),ISNUMBER(-LEFT(CH2567,8))),VALUE(LEFT(CH2567,4)),VALUE(LEFT(CH2567,FIND("-",CH2567)-1)))),""))</f>
        <v/>
      </c>
      <c r="CN2567">
        <f>IF(CH2567="","",IFERROR(IF(AND(LEN(CH2567)=9,ISERROR(FIND("-",LEFT(CH2567,8))),ISNUMBER(-LEFT(CH2567,8))),VALUE(MID(CH2567,5,2)),VALUE(MID(CH2567,FIND("-",CH2567)+1,FIND("-",CH2567,FIND("-",CH2567)+1)-FIND("-",CH2567)-1))),""))</f>
        <v/>
      </c>
      <c r="CO2567">
        <f>IF(CH2567="","",IFERROR(IF(AND(LEN(CH2567)=9,ISERROR(FIND("-",LEFT(CH2567,8))),ISNUMBER(-LEFT(CH2567,8))),VALUE(MID(CH2567,7,2)),VALUE(MID(CH2567,FIND("-",CH2567,FIND("-",CH2567)+1)+1,FIND("-",CH2567,FIND("-",CH2567,FIND("-",CH2567)+1)+1)-FIND("-",CH2567,FIND("-",CH2567)+1)-1))),""))</f>
        <v/>
      </c>
    </row>
    <row r="2568">
      <c r="CH2568">
        <f>IF(ISTEXT('월 가계부'!A2568),SUBSTITUTE(SUBSTITUTE(SUBSTITUTE(SUBSTITUTE(SUBSTITUTE(SUBSTITUTE(SUBSTITUTE(SUBSTITUTE(SUBSTITUTE(TRIM('월 가계부'!A2568),"년","-"),"월","-"),"일",""),".","-"),"/","-")," ","-"),"--","-"),"--","-"),"--","-")&amp;"-","")</f>
        <v/>
      </c>
      <c r="CI2568">
        <f>IFERROR(IF('월 가계부'!A2568="","",IF(ISNUMBER('월 가계부'!A2568),IF(AND('월 가계부'!A2568&gt;=19000101,'월 가계부'!A2568&lt;=21001231),IF(AND(MOD(INT('월 가계부'!A2568/100),100)&gt;=1,MOD(INT('월 가계부'!A2568/100),100)&lt;=12,MOD(INT('월 가계부'!A2568),100)&gt;=1,MOD(INT('월 가계부'!A2568),100)&lt;=31),IF(MONTH(DATE(INT('월 가계부'!A2568/10000),MOD(INT('월 가계부'!A2568/100),100),MOD(INT('월 가계부'!A2568),100)))=MOD(INT('월 가계부'!A2568/100),100),DATE(INT('월 가계부'!A2568/10000),MOD(INT('월 가계부'!A2568/100),100),MOD(INT('월 가계부'!A2568),100)),""),""),IF(AND('월 가계부'!A2568&gt;=36526,'월 가계부'!A2568&lt;73051),INT('월 가계부'!A2568),"")),IF(OR(CM2568="",CN2568="",CO2568=""),"",IF(AND(CM2568&gt;=2000,CM2568&lt;=2099,CN2568&gt;=1,CN2568&lt;=12,CO2568&gt;=1,CO2568&lt;=31),IF(MONTH(DATE(CM2568,CN2568,CO2568))=CN2568,DATE(CM2568,CN2568,CO2568),""),"")))),"")</f>
        <v/>
      </c>
      <c r="CJ2568">
        <f>IFERROR(IF('월 가계부'!C2568="","",IF(ISNUMBER('월 가계부'!C2568),'월 가계부'!C2568,VALUE(SUBSTITUTE(SUBSTITUTE(SUBSTITUTE(SUBSTITUTE(TRIM('월 가계부'!C2568),",",""),"원","")," ",""),"−","-")))),"")</f>
        <v/>
      </c>
      <c r="CK2568">
        <f>IF(ISNUMBER(CI2568),IF(CI2568&lt;$B$13,CI2568,""),"")</f>
        <v/>
      </c>
      <c r="CM2568">
        <f>IF(CH2568="","",IFERROR(IF(IF(AND(LEN(CH2568)=9,ISERROR(FIND("-",LEFT(CH2568,8))),ISNUMBER(-LEFT(CH2568,8))),VALUE(LEFT(CH2568,4)),VALUE(LEFT(CH2568,FIND("-",CH2568)-1)))&lt;100,IF(AND(LEN(CH2568)=9,ISERROR(FIND("-",LEFT(CH2568,8))),ISNUMBER(-LEFT(CH2568,8))),VALUE(LEFT(CH2568,4)),VALUE(LEFT(CH2568,FIND("-",CH2568)-1)))+2000,IF(AND(LEN(CH2568)=9,ISERROR(FIND("-",LEFT(CH2568,8))),ISNUMBER(-LEFT(CH2568,8))),VALUE(LEFT(CH2568,4)),VALUE(LEFT(CH2568,FIND("-",CH2568)-1)))),""))</f>
        <v/>
      </c>
      <c r="CN2568">
        <f>IF(CH2568="","",IFERROR(IF(AND(LEN(CH2568)=9,ISERROR(FIND("-",LEFT(CH2568,8))),ISNUMBER(-LEFT(CH2568,8))),VALUE(MID(CH2568,5,2)),VALUE(MID(CH2568,FIND("-",CH2568)+1,FIND("-",CH2568,FIND("-",CH2568)+1)-FIND("-",CH2568)-1))),""))</f>
        <v/>
      </c>
      <c r="CO2568">
        <f>IF(CH2568="","",IFERROR(IF(AND(LEN(CH2568)=9,ISERROR(FIND("-",LEFT(CH2568,8))),ISNUMBER(-LEFT(CH2568,8))),VALUE(MID(CH2568,7,2)),VALUE(MID(CH2568,FIND("-",CH2568,FIND("-",CH2568)+1)+1,FIND("-",CH2568,FIND("-",CH2568,FIND("-",CH2568)+1)+1)-FIND("-",CH2568,FIND("-",CH2568)+1)-1))),""))</f>
        <v/>
      </c>
    </row>
    <row r="2569">
      <c r="CH2569">
        <f>IF(ISTEXT('월 가계부'!A2569),SUBSTITUTE(SUBSTITUTE(SUBSTITUTE(SUBSTITUTE(SUBSTITUTE(SUBSTITUTE(SUBSTITUTE(SUBSTITUTE(SUBSTITUTE(TRIM('월 가계부'!A2569),"년","-"),"월","-"),"일",""),".","-"),"/","-")," ","-"),"--","-"),"--","-"),"--","-")&amp;"-","")</f>
        <v/>
      </c>
      <c r="CI2569">
        <f>IFERROR(IF('월 가계부'!A2569="","",IF(ISNUMBER('월 가계부'!A2569),IF(AND('월 가계부'!A2569&gt;=19000101,'월 가계부'!A2569&lt;=21001231),IF(AND(MOD(INT('월 가계부'!A2569/100),100)&gt;=1,MOD(INT('월 가계부'!A2569/100),100)&lt;=12,MOD(INT('월 가계부'!A2569),100)&gt;=1,MOD(INT('월 가계부'!A2569),100)&lt;=31),IF(MONTH(DATE(INT('월 가계부'!A2569/10000),MOD(INT('월 가계부'!A2569/100),100),MOD(INT('월 가계부'!A2569),100)))=MOD(INT('월 가계부'!A2569/100),100),DATE(INT('월 가계부'!A2569/10000),MOD(INT('월 가계부'!A2569/100),100),MOD(INT('월 가계부'!A2569),100)),""),""),IF(AND('월 가계부'!A2569&gt;=36526,'월 가계부'!A2569&lt;73051),INT('월 가계부'!A2569),"")),IF(OR(CM2569="",CN2569="",CO2569=""),"",IF(AND(CM2569&gt;=2000,CM2569&lt;=2099,CN2569&gt;=1,CN2569&lt;=12,CO2569&gt;=1,CO2569&lt;=31),IF(MONTH(DATE(CM2569,CN2569,CO2569))=CN2569,DATE(CM2569,CN2569,CO2569),""),"")))),"")</f>
        <v/>
      </c>
      <c r="CJ2569">
        <f>IFERROR(IF('월 가계부'!C2569="","",IF(ISNUMBER('월 가계부'!C2569),'월 가계부'!C2569,VALUE(SUBSTITUTE(SUBSTITUTE(SUBSTITUTE(SUBSTITUTE(TRIM('월 가계부'!C2569),",",""),"원","")," ",""),"−","-")))),"")</f>
        <v/>
      </c>
      <c r="CK2569">
        <f>IF(ISNUMBER(CI2569),IF(CI2569&lt;$B$13,CI2569,""),"")</f>
        <v/>
      </c>
      <c r="CM2569">
        <f>IF(CH2569="","",IFERROR(IF(IF(AND(LEN(CH2569)=9,ISERROR(FIND("-",LEFT(CH2569,8))),ISNUMBER(-LEFT(CH2569,8))),VALUE(LEFT(CH2569,4)),VALUE(LEFT(CH2569,FIND("-",CH2569)-1)))&lt;100,IF(AND(LEN(CH2569)=9,ISERROR(FIND("-",LEFT(CH2569,8))),ISNUMBER(-LEFT(CH2569,8))),VALUE(LEFT(CH2569,4)),VALUE(LEFT(CH2569,FIND("-",CH2569)-1)))+2000,IF(AND(LEN(CH2569)=9,ISERROR(FIND("-",LEFT(CH2569,8))),ISNUMBER(-LEFT(CH2569,8))),VALUE(LEFT(CH2569,4)),VALUE(LEFT(CH2569,FIND("-",CH2569)-1)))),""))</f>
        <v/>
      </c>
      <c r="CN2569">
        <f>IF(CH2569="","",IFERROR(IF(AND(LEN(CH2569)=9,ISERROR(FIND("-",LEFT(CH2569,8))),ISNUMBER(-LEFT(CH2569,8))),VALUE(MID(CH2569,5,2)),VALUE(MID(CH2569,FIND("-",CH2569)+1,FIND("-",CH2569,FIND("-",CH2569)+1)-FIND("-",CH2569)-1))),""))</f>
        <v/>
      </c>
      <c r="CO2569">
        <f>IF(CH2569="","",IFERROR(IF(AND(LEN(CH2569)=9,ISERROR(FIND("-",LEFT(CH2569,8))),ISNUMBER(-LEFT(CH2569,8))),VALUE(MID(CH2569,7,2)),VALUE(MID(CH2569,FIND("-",CH2569,FIND("-",CH2569)+1)+1,FIND("-",CH2569,FIND("-",CH2569,FIND("-",CH2569)+1)+1)-FIND("-",CH2569,FIND("-",CH2569)+1)-1))),""))</f>
        <v/>
      </c>
    </row>
    <row r="2570">
      <c r="CH2570">
        <f>IF(ISTEXT('월 가계부'!A2570),SUBSTITUTE(SUBSTITUTE(SUBSTITUTE(SUBSTITUTE(SUBSTITUTE(SUBSTITUTE(SUBSTITUTE(SUBSTITUTE(SUBSTITUTE(TRIM('월 가계부'!A2570),"년","-"),"월","-"),"일",""),".","-"),"/","-")," ","-"),"--","-"),"--","-"),"--","-")&amp;"-","")</f>
        <v/>
      </c>
      <c r="CI2570">
        <f>IFERROR(IF('월 가계부'!A2570="","",IF(ISNUMBER('월 가계부'!A2570),IF(AND('월 가계부'!A2570&gt;=19000101,'월 가계부'!A2570&lt;=21001231),IF(AND(MOD(INT('월 가계부'!A2570/100),100)&gt;=1,MOD(INT('월 가계부'!A2570/100),100)&lt;=12,MOD(INT('월 가계부'!A2570),100)&gt;=1,MOD(INT('월 가계부'!A2570),100)&lt;=31),IF(MONTH(DATE(INT('월 가계부'!A2570/10000),MOD(INT('월 가계부'!A2570/100),100),MOD(INT('월 가계부'!A2570),100)))=MOD(INT('월 가계부'!A2570/100),100),DATE(INT('월 가계부'!A2570/10000),MOD(INT('월 가계부'!A2570/100),100),MOD(INT('월 가계부'!A2570),100)),""),""),IF(AND('월 가계부'!A2570&gt;=36526,'월 가계부'!A2570&lt;73051),INT('월 가계부'!A2570),"")),IF(OR(CM2570="",CN2570="",CO2570=""),"",IF(AND(CM2570&gt;=2000,CM2570&lt;=2099,CN2570&gt;=1,CN2570&lt;=12,CO2570&gt;=1,CO2570&lt;=31),IF(MONTH(DATE(CM2570,CN2570,CO2570))=CN2570,DATE(CM2570,CN2570,CO2570),""),"")))),"")</f>
        <v/>
      </c>
      <c r="CJ2570">
        <f>IFERROR(IF('월 가계부'!C2570="","",IF(ISNUMBER('월 가계부'!C2570),'월 가계부'!C2570,VALUE(SUBSTITUTE(SUBSTITUTE(SUBSTITUTE(SUBSTITUTE(TRIM('월 가계부'!C2570),",",""),"원","")," ",""),"−","-")))),"")</f>
        <v/>
      </c>
      <c r="CK2570">
        <f>IF(ISNUMBER(CI2570),IF(CI2570&lt;$B$13,CI2570,""),"")</f>
        <v/>
      </c>
      <c r="CM2570">
        <f>IF(CH2570="","",IFERROR(IF(IF(AND(LEN(CH2570)=9,ISERROR(FIND("-",LEFT(CH2570,8))),ISNUMBER(-LEFT(CH2570,8))),VALUE(LEFT(CH2570,4)),VALUE(LEFT(CH2570,FIND("-",CH2570)-1)))&lt;100,IF(AND(LEN(CH2570)=9,ISERROR(FIND("-",LEFT(CH2570,8))),ISNUMBER(-LEFT(CH2570,8))),VALUE(LEFT(CH2570,4)),VALUE(LEFT(CH2570,FIND("-",CH2570)-1)))+2000,IF(AND(LEN(CH2570)=9,ISERROR(FIND("-",LEFT(CH2570,8))),ISNUMBER(-LEFT(CH2570,8))),VALUE(LEFT(CH2570,4)),VALUE(LEFT(CH2570,FIND("-",CH2570)-1)))),""))</f>
        <v/>
      </c>
      <c r="CN2570">
        <f>IF(CH2570="","",IFERROR(IF(AND(LEN(CH2570)=9,ISERROR(FIND("-",LEFT(CH2570,8))),ISNUMBER(-LEFT(CH2570,8))),VALUE(MID(CH2570,5,2)),VALUE(MID(CH2570,FIND("-",CH2570)+1,FIND("-",CH2570,FIND("-",CH2570)+1)-FIND("-",CH2570)-1))),""))</f>
        <v/>
      </c>
      <c r="CO2570">
        <f>IF(CH2570="","",IFERROR(IF(AND(LEN(CH2570)=9,ISERROR(FIND("-",LEFT(CH2570,8))),ISNUMBER(-LEFT(CH2570,8))),VALUE(MID(CH2570,7,2)),VALUE(MID(CH2570,FIND("-",CH2570,FIND("-",CH2570)+1)+1,FIND("-",CH2570,FIND("-",CH2570,FIND("-",CH2570)+1)+1)-FIND("-",CH2570,FIND("-",CH2570)+1)-1))),""))</f>
        <v/>
      </c>
    </row>
    <row r="2571">
      <c r="CH2571">
        <f>IF(ISTEXT('월 가계부'!A2571),SUBSTITUTE(SUBSTITUTE(SUBSTITUTE(SUBSTITUTE(SUBSTITUTE(SUBSTITUTE(SUBSTITUTE(SUBSTITUTE(SUBSTITUTE(TRIM('월 가계부'!A2571),"년","-"),"월","-"),"일",""),".","-"),"/","-")," ","-"),"--","-"),"--","-"),"--","-")&amp;"-","")</f>
        <v/>
      </c>
      <c r="CI2571">
        <f>IFERROR(IF('월 가계부'!A2571="","",IF(ISNUMBER('월 가계부'!A2571),IF(AND('월 가계부'!A2571&gt;=19000101,'월 가계부'!A2571&lt;=21001231),IF(AND(MOD(INT('월 가계부'!A2571/100),100)&gt;=1,MOD(INT('월 가계부'!A2571/100),100)&lt;=12,MOD(INT('월 가계부'!A2571),100)&gt;=1,MOD(INT('월 가계부'!A2571),100)&lt;=31),IF(MONTH(DATE(INT('월 가계부'!A2571/10000),MOD(INT('월 가계부'!A2571/100),100),MOD(INT('월 가계부'!A2571),100)))=MOD(INT('월 가계부'!A2571/100),100),DATE(INT('월 가계부'!A2571/10000),MOD(INT('월 가계부'!A2571/100),100),MOD(INT('월 가계부'!A2571),100)),""),""),IF(AND('월 가계부'!A2571&gt;=36526,'월 가계부'!A2571&lt;73051),INT('월 가계부'!A2571),"")),IF(OR(CM2571="",CN2571="",CO2571=""),"",IF(AND(CM2571&gt;=2000,CM2571&lt;=2099,CN2571&gt;=1,CN2571&lt;=12,CO2571&gt;=1,CO2571&lt;=31),IF(MONTH(DATE(CM2571,CN2571,CO2571))=CN2571,DATE(CM2571,CN2571,CO2571),""),"")))),"")</f>
        <v/>
      </c>
      <c r="CJ2571">
        <f>IFERROR(IF('월 가계부'!C2571="","",IF(ISNUMBER('월 가계부'!C2571),'월 가계부'!C2571,VALUE(SUBSTITUTE(SUBSTITUTE(SUBSTITUTE(SUBSTITUTE(TRIM('월 가계부'!C2571),",",""),"원","")," ",""),"−","-")))),"")</f>
        <v/>
      </c>
      <c r="CK2571">
        <f>IF(ISNUMBER(CI2571),IF(CI2571&lt;$B$13,CI2571,""),"")</f>
        <v/>
      </c>
      <c r="CM2571">
        <f>IF(CH2571="","",IFERROR(IF(IF(AND(LEN(CH2571)=9,ISERROR(FIND("-",LEFT(CH2571,8))),ISNUMBER(-LEFT(CH2571,8))),VALUE(LEFT(CH2571,4)),VALUE(LEFT(CH2571,FIND("-",CH2571)-1)))&lt;100,IF(AND(LEN(CH2571)=9,ISERROR(FIND("-",LEFT(CH2571,8))),ISNUMBER(-LEFT(CH2571,8))),VALUE(LEFT(CH2571,4)),VALUE(LEFT(CH2571,FIND("-",CH2571)-1)))+2000,IF(AND(LEN(CH2571)=9,ISERROR(FIND("-",LEFT(CH2571,8))),ISNUMBER(-LEFT(CH2571,8))),VALUE(LEFT(CH2571,4)),VALUE(LEFT(CH2571,FIND("-",CH2571)-1)))),""))</f>
        <v/>
      </c>
      <c r="CN2571">
        <f>IF(CH2571="","",IFERROR(IF(AND(LEN(CH2571)=9,ISERROR(FIND("-",LEFT(CH2571,8))),ISNUMBER(-LEFT(CH2571,8))),VALUE(MID(CH2571,5,2)),VALUE(MID(CH2571,FIND("-",CH2571)+1,FIND("-",CH2571,FIND("-",CH2571)+1)-FIND("-",CH2571)-1))),""))</f>
        <v/>
      </c>
      <c r="CO2571">
        <f>IF(CH2571="","",IFERROR(IF(AND(LEN(CH2571)=9,ISERROR(FIND("-",LEFT(CH2571,8))),ISNUMBER(-LEFT(CH2571,8))),VALUE(MID(CH2571,7,2)),VALUE(MID(CH2571,FIND("-",CH2571,FIND("-",CH2571)+1)+1,FIND("-",CH2571,FIND("-",CH2571,FIND("-",CH2571)+1)+1)-FIND("-",CH2571,FIND("-",CH2571)+1)-1))),""))</f>
        <v/>
      </c>
    </row>
    <row r="2572">
      <c r="CH2572">
        <f>IF(ISTEXT('월 가계부'!A2572),SUBSTITUTE(SUBSTITUTE(SUBSTITUTE(SUBSTITUTE(SUBSTITUTE(SUBSTITUTE(SUBSTITUTE(SUBSTITUTE(SUBSTITUTE(TRIM('월 가계부'!A2572),"년","-"),"월","-"),"일",""),".","-"),"/","-")," ","-"),"--","-"),"--","-"),"--","-")&amp;"-","")</f>
        <v/>
      </c>
      <c r="CI2572">
        <f>IFERROR(IF('월 가계부'!A2572="","",IF(ISNUMBER('월 가계부'!A2572),IF(AND('월 가계부'!A2572&gt;=19000101,'월 가계부'!A2572&lt;=21001231),IF(AND(MOD(INT('월 가계부'!A2572/100),100)&gt;=1,MOD(INT('월 가계부'!A2572/100),100)&lt;=12,MOD(INT('월 가계부'!A2572),100)&gt;=1,MOD(INT('월 가계부'!A2572),100)&lt;=31),IF(MONTH(DATE(INT('월 가계부'!A2572/10000),MOD(INT('월 가계부'!A2572/100),100),MOD(INT('월 가계부'!A2572),100)))=MOD(INT('월 가계부'!A2572/100),100),DATE(INT('월 가계부'!A2572/10000),MOD(INT('월 가계부'!A2572/100),100),MOD(INT('월 가계부'!A2572),100)),""),""),IF(AND('월 가계부'!A2572&gt;=36526,'월 가계부'!A2572&lt;73051),INT('월 가계부'!A2572),"")),IF(OR(CM2572="",CN2572="",CO2572=""),"",IF(AND(CM2572&gt;=2000,CM2572&lt;=2099,CN2572&gt;=1,CN2572&lt;=12,CO2572&gt;=1,CO2572&lt;=31),IF(MONTH(DATE(CM2572,CN2572,CO2572))=CN2572,DATE(CM2572,CN2572,CO2572),""),"")))),"")</f>
        <v/>
      </c>
      <c r="CJ2572">
        <f>IFERROR(IF('월 가계부'!C2572="","",IF(ISNUMBER('월 가계부'!C2572),'월 가계부'!C2572,VALUE(SUBSTITUTE(SUBSTITUTE(SUBSTITUTE(SUBSTITUTE(TRIM('월 가계부'!C2572),",",""),"원","")," ",""),"−","-")))),"")</f>
        <v/>
      </c>
      <c r="CK2572">
        <f>IF(ISNUMBER(CI2572),IF(CI2572&lt;$B$13,CI2572,""),"")</f>
        <v/>
      </c>
      <c r="CM2572">
        <f>IF(CH2572="","",IFERROR(IF(IF(AND(LEN(CH2572)=9,ISERROR(FIND("-",LEFT(CH2572,8))),ISNUMBER(-LEFT(CH2572,8))),VALUE(LEFT(CH2572,4)),VALUE(LEFT(CH2572,FIND("-",CH2572)-1)))&lt;100,IF(AND(LEN(CH2572)=9,ISERROR(FIND("-",LEFT(CH2572,8))),ISNUMBER(-LEFT(CH2572,8))),VALUE(LEFT(CH2572,4)),VALUE(LEFT(CH2572,FIND("-",CH2572)-1)))+2000,IF(AND(LEN(CH2572)=9,ISERROR(FIND("-",LEFT(CH2572,8))),ISNUMBER(-LEFT(CH2572,8))),VALUE(LEFT(CH2572,4)),VALUE(LEFT(CH2572,FIND("-",CH2572)-1)))),""))</f>
        <v/>
      </c>
      <c r="CN2572">
        <f>IF(CH2572="","",IFERROR(IF(AND(LEN(CH2572)=9,ISERROR(FIND("-",LEFT(CH2572,8))),ISNUMBER(-LEFT(CH2572,8))),VALUE(MID(CH2572,5,2)),VALUE(MID(CH2572,FIND("-",CH2572)+1,FIND("-",CH2572,FIND("-",CH2572)+1)-FIND("-",CH2572)-1))),""))</f>
        <v/>
      </c>
      <c r="CO2572">
        <f>IF(CH2572="","",IFERROR(IF(AND(LEN(CH2572)=9,ISERROR(FIND("-",LEFT(CH2572,8))),ISNUMBER(-LEFT(CH2572,8))),VALUE(MID(CH2572,7,2)),VALUE(MID(CH2572,FIND("-",CH2572,FIND("-",CH2572)+1)+1,FIND("-",CH2572,FIND("-",CH2572,FIND("-",CH2572)+1)+1)-FIND("-",CH2572,FIND("-",CH2572)+1)-1))),""))</f>
        <v/>
      </c>
    </row>
    <row r="2573">
      <c r="CH2573">
        <f>IF(ISTEXT('월 가계부'!A2573),SUBSTITUTE(SUBSTITUTE(SUBSTITUTE(SUBSTITUTE(SUBSTITUTE(SUBSTITUTE(SUBSTITUTE(SUBSTITUTE(SUBSTITUTE(TRIM('월 가계부'!A2573),"년","-"),"월","-"),"일",""),".","-"),"/","-")," ","-"),"--","-"),"--","-"),"--","-")&amp;"-","")</f>
        <v/>
      </c>
      <c r="CI2573">
        <f>IFERROR(IF('월 가계부'!A2573="","",IF(ISNUMBER('월 가계부'!A2573),IF(AND('월 가계부'!A2573&gt;=19000101,'월 가계부'!A2573&lt;=21001231),IF(AND(MOD(INT('월 가계부'!A2573/100),100)&gt;=1,MOD(INT('월 가계부'!A2573/100),100)&lt;=12,MOD(INT('월 가계부'!A2573),100)&gt;=1,MOD(INT('월 가계부'!A2573),100)&lt;=31),IF(MONTH(DATE(INT('월 가계부'!A2573/10000),MOD(INT('월 가계부'!A2573/100),100),MOD(INT('월 가계부'!A2573),100)))=MOD(INT('월 가계부'!A2573/100),100),DATE(INT('월 가계부'!A2573/10000),MOD(INT('월 가계부'!A2573/100),100),MOD(INT('월 가계부'!A2573),100)),""),""),IF(AND('월 가계부'!A2573&gt;=36526,'월 가계부'!A2573&lt;73051),INT('월 가계부'!A2573),"")),IF(OR(CM2573="",CN2573="",CO2573=""),"",IF(AND(CM2573&gt;=2000,CM2573&lt;=2099,CN2573&gt;=1,CN2573&lt;=12,CO2573&gt;=1,CO2573&lt;=31),IF(MONTH(DATE(CM2573,CN2573,CO2573))=CN2573,DATE(CM2573,CN2573,CO2573),""),"")))),"")</f>
        <v/>
      </c>
      <c r="CJ2573">
        <f>IFERROR(IF('월 가계부'!C2573="","",IF(ISNUMBER('월 가계부'!C2573),'월 가계부'!C2573,VALUE(SUBSTITUTE(SUBSTITUTE(SUBSTITUTE(SUBSTITUTE(TRIM('월 가계부'!C2573),",",""),"원","")," ",""),"−","-")))),"")</f>
        <v/>
      </c>
      <c r="CK2573">
        <f>IF(ISNUMBER(CI2573),IF(CI2573&lt;$B$13,CI2573,""),"")</f>
        <v/>
      </c>
      <c r="CM2573">
        <f>IF(CH2573="","",IFERROR(IF(IF(AND(LEN(CH2573)=9,ISERROR(FIND("-",LEFT(CH2573,8))),ISNUMBER(-LEFT(CH2573,8))),VALUE(LEFT(CH2573,4)),VALUE(LEFT(CH2573,FIND("-",CH2573)-1)))&lt;100,IF(AND(LEN(CH2573)=9,ISERROR(FIND("-",LEFT(CH2573,8))),ISNUMBER(-LEFT(CH2573,8))),VALUE(LEFT(CH2573,4)),VALUE(LEFT(CH2573,FIND("-",CH2573)-1)))+2000,IF(AND(LEN(CH2573)=9,ISERROR(FIND("-",LEFT(CH2573,8))),ISNUMBER(-LEFT(CH2573,8))),VALUE(LEFT(CH2573,4)),VALUE(LEFT(CH2573,FIND("-",CH2573)-1)))),""))</f>
        <v/>
      </c>
      <c r="CN2573">
        <f>IF(CH2573="","",IFERROR(IF(AND(LEN(CH2573)=9,ISERROR(FIND("-",LEFT(CH2573,8))),ISNUMBER(-LEFT(CH2573,8))),VALUE(MID(CH2573,5,2)),VALUE(MID(CH2573,FIND("-",CH2573)+1,FIND("-",CH2573,FIND("-",CH2573)+1)-FIND("-",CH2573)-1))),""))</f>
        <v/>
      </c>
      <c r="CO2573">
        <f>IF(CH2573="","",IFERROR(IF(AND(LEN(CH2573)=9,ISERROR(FIND("-",LEFT(CH2573,8))),ISNUMBER(-LEFT(CH2573,8))),VALUE(MID(CH2573,7,2)),VALUE(MID(CH2573,FIND("-",CH2573,FIND("-",CH2573)+1)+1,FIND("-",CH2573,FIND("-",CH2573,FIND("-",CH2573)+1)+1)-FIND("-",CH2573,FIND("-",CH2573)+1)-1))),""))</f>
        <v/>
      </c>
    </row>
    <row r="2574">
      <c r="CH2574">
        <f>IF(ISTEXT('월 가계부'!A2574),SUBSTITUTE(SUBSTITUTE(SUBSTITUTE(SUBSTITUTE(SUBSTITUTE(SUBSTITUTE(SUBSTITUTE(SUBSTITUTE(SUBSTITUTE(TRIM('월 가계부'!A2574),"년","-"),"월","-"),"일",""),".","-"),"/","-")," ","-"),"--","-"),"--","-"),"--","-")&amp;"-","")</f>
        <v/>
      </c>
      <c r="CI2574">
        <f>IFERROR(IF('월 가계부'!A2574="","",IF(ISNUMBER('월 가계부'!A2574),IF(AND('월 가계부'!A2574&gt;=19000101,'월 가계부'!A2574&lt;=21001231),IF(AND(MOD(INT('월 가계부'!A2574/100),100)&gt;=1,MOD(INT('월 가계부'!A2574/100),100)&lt;=12,MOD(INT('월 가계부'!A2574),100)&gt;=1,MOD(INT('월 가계부'!A2574),100)&lt;=31),IF(MONTH(DATE(INT('월 가계부'!A2574/10000),MOD(INT('월 가계부'!A2574/100),100),MOD(INT('월 가계부'!A2574),100)))=MOD(INT('월 가계부'!A2574/100),100),DATE(INT('월 가계부'!A2574/10000),MOD(INT('월 가계부'!A2574/100),100),MOD(INT('월 가계부'!A2574),100)),""),""),IF(AND('월 가계부'!A2574&gt;=36526,'월 가계부'!A2574&lt;73051),INT('월 가계부'!A2574),"")),IF(OR(CM2574="",CN2574="",CO2574=""),"",IF(AND(CM2574&gt;=2000,CM2574&lt;=2099,CN2574&gt;=1,CN2574&lt;=12,CO2574&gt;=1,CO2574&lt;=31),IF(MONTH(DATE(CM2574,CN2574,CO2574))=CN2574,DATE(CM2574,CN2574,CO2574),""),"")))),"")</f>
        <v/>
      </c>
      <c r="CJ2574">
        <f>IFERROR(IF('월 가계부'!C2574="","",IF(ISNUMBER('월 가계부'!C2574),'월 가계부'!C2574,VALUE(SUBSTITUTE(SUBSTITUTE(SUBSTITUTE(SUBSTITUTE(TRIM('월 가계부'!C2574),",",""),"원","")," ",""),"−","-")))),"")</f>
        <v/>
      </c>
      <c r="CK2574">
        <f>IF(ISNUMBER(CI2574),IF(CI2574&lt;$B$13,CI2574,""),"")</f>
        <v/>
      </c>
      <c r="CM2574">
        <f>IF(CH2574="","",IFERROR(IF(IF(AND(LEN(CH2574)=9,ISERROR(FIND("-",LEFT(CH2574,8))),ISNUMBER(-LEFT(CH2574,8))),VALUE(LEFT(CH2574,4)),VALUE(LEFT(CH2574,FIND("-",CH2574)-1)))&lt;100,IF(AND(LEN(CH2574)=9,ISERROR(FIND("-",LEFT(CH2574,8))),ISNUMBER(-LEFT(CH2574,8))),VALUE(LEFT(CH2574,4)),VALUE(LEFT(CH2574,FIND("-",CH2574)-1)))+2000,IF(AND(LEN(CH2574)=9,ISERROR(FIND("-",LEFT(CH2574,8))),ISNUMBER(-LEFT(CH2574,8))),VALUE(LEFT(CH2574,4)),VALUE(LEFT(CH2574,FIND("-",CH2574)-1)))),""))</f>
        <v/>
      </c>
      <c r="CN2574">
        <f>IF(CH2574="","",IFERROR(IF(AND(LEN(CH2574)=9,ISERROR(FIND("-",LEFT(CH2574,8))),ISNUMBER(-LEFT(CH2574,8))),VALUE(MID(CH2574,5,2)),VALUE(MID(CH2574,FIND("-",CH2574)+1,FIND("-",CH2574,FIND("-",CH2574)+1)-FIND("-",CH2574)-1))),""))</f>
        <v/>
      </c>
      <c r="CO2574">
        <f>IF(CH2574="","",IFERROR(IF(AND(LEN(CH2574)=9,ISERROR(FIND("-",LEFT(CH2574,8))),ISNUMBER(-LEFT(CH2574,8))),VALUE(MID(CH2574,7,2)),VALUE(MID(CH2574,FIND("-",CH2574,FIND("-",CH2574)+1)+1,FIND("-",CH2574,FIND("-",CH2574,FIND("-",CH2574)+1)+1)-FIND("-",CH2574,FIND("-",CH2574)+1)-1))),""))</f>
        <v/>
      </c>
    </row>
    <row r="2575">
      <c r="CH2575">
        <f>IF(ISTEXT('월 가계부'!A2575),SUBSTITUTE(SUBSTITUTE(SUBSTITUTE(SUBSTITUTE(SUBSTITUTE(SUBSTITUTE(SUBSTITUTE(SUBSTITUTE(SUBSTITUTE(TRIM('월 가계부'!A2575),"년","-"),"월","-"),"일",""),".","-"),"/","-")," ","-"),"--","-"),"--","-"),"--","-")&amp;"-","")</f>
        <v/>
      </c>
      <c r="CI2575">
        <f>IFERROR(IF('월 가계부'!A2575="","",IF(ISNUMBER('월 가계부'!A2575),IF(AND('월 가계부'!A2575&gt;=19000101,'월 가계부'!A2575&lt;=21001231),IF(AND(MOD(INT('월 가계부'!A2575/100),100)&gt;=1,MOD(INT('월 가계부'!A2575/100),100)&lt;=12,MOD(INT('월 가계부'!A2575),100)&gt;=1,MOD(INT('월 가계부'!A2575),100)&lt;=31),IF(MONTH(DATE(INT('월 가계부'!A2575/10000),MOD(INT('월 가계부'!A2575/100),100),MOD(INT('월 가계부'!A2575),100)))=MOD(INT('월 가계부'!A2575/100),100),DATE(INT('월 가계부'!A2575/10000),MOD(INT('월 가계부'!A2575/100),100),MOD(INT('월 가계부'!A2575),100)),""),""),IF(AND('월 가계부'!A2575&gt;=36526,'월 가계부'!A2575&lt;73051),INT('월 가계부'!A2575),"")),IF(OR(CM2575="",CN2575="",CO2575=""),"",IF(AND(CM2575&gt;=2000,CM2575&lt;=2099,CN2575&gt;=1,CN2575&lt;=12,CO2575&gt;=1,CO2575&lt;=31),IF(MONTH(DATE(CM2575,CN2575,CO2575))=CN2575,DATE(CM2575,CN2575,CO2575),""),"")))),"")</f>
        <v/>
      </c>
      <c r="CJ2575">
        <f>IFERROR(IF('월 가계부'!C2575="","",IF(ISNUMBER('월 가계부'!C2575),'월 가계부'!C2575,VALUE(SUBSTITUTE(SUBSTITUTE(SUBSTITUTE(SUBSTITUTE(TRIM('월 가계부'!C2575),",",""),"원","")," ",""),"−","-")))),"")</f>
        <v/>
      </c>
      <c r="CK2575">
        <f>IF(ISNUMBER(CI2575),IF(CI2575&lt;$B$13,CI2575,""),"")</f>
        <v/>
      </c>
      <c r="CM2575">
        <f>IF(CH2575="","",IFERROR(IF(IF(AND(LEN(CH2575)=9,ISERROR(FIND("-",LEFT(CH2575,8))),ISNUMBER(-LEFT(CH2575,8))),VALUE(LEFT(CH2575,4)),VALUE(LEFT(CH2575,FIND("-",CH2575)-1)))&lt;100,IF(AND(LEN(CH2575)=9,ISERROR(FIND("-",LEFT(CH2575,8))),ISNUMBER(-LEFT(CH2575,8))),VALUE(LEFT(CH2575,4)),VALUE(LEFT(CH2575,FIND("-",CH2575)-1)))+2000,IF(AND(LEN(CH2575)=9,ISERROR(FIND("-",LEFT(CH2575,8))),ISNUMBER(-LEFT(CH2575,8))),VALUE(LEFT(CH2575,4)),VALUE(LEFT(CH2575,FIND("-",CH2575)-1)))),""))</f>
        <v/>
      </c>
      <c r="CN2575">
        <f>IF(CH2575="","",IFERROR(IF(AND(LEN(CH2575)=9,ISERROR(FIND("-",LEFT(CH2575,8))),ISNUMBER(-LEFT(CH2575,8))),VALUE(MID(CH2575,5,2)),VALUE(MID(CH2575,FIND("-",CH2575)+1,FIND("-",CH2575,FIND("-",CH2575)+1)-FIND("-",CH2575)-1))),""))</f>
        <v/>
      </c>
      <c r="CO2575">
        <f>IF(CH2575="","",IFERROR(IF(AND(LEN(CH2575)=9,ISERROR(FIND("-",LEFT(CH2575,8))),ISNUMBER(-LEFT(CH2575,8))),VALUE(MID(CH2575,7,2)),VALUE(MID(CH2575,FIND("-",CH2575,FIND("-",CH2575)+1)+1,FIND("-",CH2575,FIND("-",CH2575,FIND("-",CH2575)+1)+1)-FIND("-",CH2575,FIND("-",CH2575)+1)-1))),""))</f>
        <v/>
      </c>
    </row>
    <row r="2576">
      <c r="CH2576">
        <f>IF(ISTEXT('월 가계부'!A2576),SUBSTITUTE(SUBSTITUTE(SUBSTITUTE(SUBSTITUTE(SUBSTITUTE(SUBSTITUTE(SUBSTITUTE(SUBSTITUTE(SUBSTITUTE(TRIM('월 가계부'!A2576),"년","-"),"월","-"),"일",""),".","-"),"/","-")," ","-"),"--","-"),"--","-"),"--","-")&amp;"-","")</f>
        <v/>
      </c>
      <c r="CI2576">
        <f>IFERROR(IF('월 가계부'!A2576="","",IF(ISNUMBER('월 가계부'!A2576),IF(AND('월 가계부'!A2576&gt;=19000101,'월 가계부'!A2576&lt;=21001231),IF(AND(MOD(INT('월 가계부'!A2576/100),100)&gt;=1,MOD(INT('월 가계부'!A2576/100),100)&lt;=12,MOD(INT('월 가계부'!A2576),100)&gt;=1,MOD(INT('월 가계부'!A2576),100)&lt;=31),IF(MONTH(DATE(INT('월 가계부'!A2576/10000),MOD(INT('월 가계부'!A2576/100),100),MOD(INT('월 가계부'!A2576),100)))=MOD(INT('월 가계부'!A2576/100),100),DATE(INT('월 가계부'!A2576/10000),MOD(INT('월 가계부'!A2576/100),100),MOD(INT('월 가계부'!A2576),100)),""),""),IF(AND('월 가계부'!A2576&gt;=36526,'월 가계부'!A2576&lt;73051),INT('월 가계부'!A2576),"")),IF(OR(CM2576="",CN2576="",CO2576=""),"",IF(AND(CM2576&gt;=2000,CM2576&lt;=2099,CN2576&gt;=1,CN2576&lt;=12,CO2576&gt;=1,CO2576&lt;=31),IF(MONTH(DATE(CM2576,CN2576,CO2576))=CN2576,DATE(CM2576,CN2576,CO2576),""),"")))),"")</f>
        <v/>
      </c>
      <c r="CJ2576">
        <f>IFERROR(IF('월 가계부'!C2576="","",IF(ISNUMBER('월 가계부'!C2576),'월 가계부'!C2576,VALUE(SUBSTITUTE(SUBSTITUTE(SUBSTITUTE(SUBSTITUTE(TRIM('월 가계부'!C2576),",",""),"원","")," ",""),"−","-")))),"")</f>
        <v/>
      </c>
      <c r="CK2576">
        <f>IF(ISNUMBER(CI2576),IF(CI2576&lt;$B$13,CI2576,""),"")</f>
        <v/>
      </c>
      <c r="CM2576">
        <f>IF(CH2576="","",IFERROR(IF(IF(AND(LEN(CH2576)=9,ISERROR(FIND("-",LEFT(CH2576,8))),ISNUMBER(-LEFT(CH2576,8))),VALUE(LEFT(CH2576,4)),VALUE(LEFT(CH2576,FIND("-",CH2576)-1)))&lt;100,IF(AND(LEN(CH2576)=9,ISERROR(FIND("-",LEFT(CH2576,8))),ISNUMBER(-LEFT(CH2576,8))),VALUE(LEFT(CH2576,4)),VALUE(LEFT(CH2576,FIND("-",CH2576)-1)))+2000,IF(AND(LEN(CH2576)=9,ISERROR(FIND("-",LEFT(CH2576,8))),ISNUMBER(-LEFT(CH2576,8))),VALUE(LEFT(CH2576,4)),VALUE(LEFT(CH2576,FIND("-",CH2576)-1)))),""))</f>
        <v/>
      </c>
      <c r="CN2576">
        <f>IF(CH2576="","",IFERROR(IF(AND(LEN(CH2576)=9,ISERROR(FIND("-",LEFT(CH2576,8))),ISNUMBER(-LEFT(CH2576,8))),VALUE(MID(CH2576,5,2)),VALUE(MID(CH2576,FIND("-",CH2576)+1,FIND("-",CH2576,FIND("-",CH2576)+1)-FIND("-",CH2576)-1))),""))</f>
        <v/>
      </c>
      <c r="CO2576">
        <f>IF(CH2576="","",IFERROR(IF(AND(LEN(CH2576)=9,ISERROR(FIND("-",LEFT(CH2576,8))),ISNUMBER(-LEFT(CH2576,8))),VALUE(MID(CH2576,7,2)),VALUE(MID(CH2576,FIND("-",CH2576,FIND("-",CH2576)+1)+1,FIND("-",CH2576,FIND("-",CH2576,FIND("-",CH2576)+1)+1)-FIND("-",CH2576,FIND("-",CH2576)+1)-1))),""))</f>
        <v/>
      </c>
    </row>
    <row r="2577">
      <c r="CH2577">
        <f>IF(ISTEXT('월 가계부'!A2577),SUBSTITUTE(SUBSTITUTE(SUBSTITUTE(SUBSTITUTE(SUBSTITUTE(SUBSTITUTE(SUBSTITUTE(SUBSTITUTE(SUBSTITUTE(TRIM('월 가계부'!A2577),"년","-"),"월","-"),"일",""),".","-"),"/","-")," ","-"),"--","-"),"--","-"),"--","-")&amp;"-","")</f>
        <v/>
      </c>
      <c r="CI2577">
        <f>IFERROR(IF('월 가계부'!A2577="","",IF(ISNUMBER('월 가계부'!A2577),IF(AND('월 가계부'!A2577&gt;=19000101,'월 가계부'!A2577&lt;=21001231),IF(AND(MOD(INT('월 가계부'!A2577/100),100)&gt;=1,MOD(INT('월 가계부'!A2577/100),100)&lt;=12,MOD(INT('월 가계부'!A2577),100)&gt;=1,MOD(INT('월 가계부'!A2577),100)&lt;=31),IF(MONTH(DATE(INT('월 가계부'!A2577/10000),MOD(INT('월 가계부'!A2577/100),100),MOD(INT('월 가계부'!A2577),100)))=MOD(INT('월 가계부'!A2577/100),100),DATE(INT('월 가계부'!A2577/10000),MOD(INT('월 가계부'!A2577/100),100),MOD(INT('월 가계부'!A2577),100)),""),""),IF(AND('월 가계부'!A2577&gt;=36526,'월 가계부'!A2577&lt;73051),INT('월 가계부'!A2577),"")),IF(OR(CM2577="",CN2577="",CO2577=""),"",IF(AND(CM2577&gt;=2000,CM2577&lt;=2099,CN2577&gt;=1,CN2577&lt;=12,CO2577&gt;=1,CO2577&lt;=31),IF(MONTH(DATE(CM2577,CN2577,CO2577))=CN2577,DATE(CM2577,CN2577,CO2577),""),"")))),"")</f>
        <v/>
      </c>
      <c r="CJ2577">
        <f>IFERROR(IF('월 가계부'!C2577="","",IF(ISNUMBER('월 가계부'!C2577),'월 가계부'!C2577,VALUE(SUBSTITUTE(SUBSTITUTE(SUBSTITUTE(SUBSTITUTE(TRIM('월 가계부'!C2577),",",""),"원","")," ",""),"−","-")))),"")</f>
        <v/>
      </c>
      <c r="CK2577">
        <f>IF(ISNUMBER(CI2577),IF(CI2577&lt;$B$13,CI2577,""),"")</f>
        <v/>
      </c>
      <c r="CM2577">
        <f>IF(CH2577="","",IFERROR(IF(IF(AND(LEN(CH2577)=9,ISERROR(FIND("-",LEFT(CH2577,8))),ISNUMBER(-LEFT(CH2577,8))),VALUE(LEFT(CH2577,4)),VALUE(LEFT(CH2577,FIND("-",CH2577)-1)))&lt;100,IF(AND(LEN(CH2577)=9,ISERROR(FIND("-",LEFT(CH2577,8))),ISNUMBER(-LEFT(CH2577,8))),VALUE(LEFT(CH2577,4)),VALUE(LEFT(CH2577,FIND("-",CH2577)-1)))+2000,IF(AND(LEN(CH2577)=9,ISERROR(FIND("-",LEFT(CH2577,8))),ISNUMBER(-LEFT(CH2577,8))),VALUE(LEFT(CH2577,4)),VALUE(LEFT(CH2577,FIND("-",CH2577)-1)))),""))</f>
        <v/>
      </c>
      <c r="CN2577">
        <f>IF(CH2577="","",IFERROR(IF(AND(LEN(CH2577)=9,ISERROR(FIND("-",LEFT(CH2577,8))),ISNUMBER(-LEFT(CH2577,8))),VALUE(MID(CH2577,5,2)),VALUE(MID(CH2577,FIND("-",CH2577)+1,FIND("-",CH2577,FIND("-",CH2577)+1)-FIND("-",CH2577)-1))),""))</f>
        <v/>
      </c>
      <c r="CO2577">
        <f>IF(CH2577="","",IFERROR(IF(AND(LEN(CH2577)=9,ISERROR(FIND("-",LEFT(CH2577,8))),ISNUMBER(-LEFT(CH2577,8))),VALUE(MID(CH2577,7,2)),VALUE(MID(CH2577,FIND("-",CH2577,FIND("-",CH2577)+1)+1,FIND("-",CH2577,FIND("-",CH2577,FIND("-",CH2577)+1)+1)-FIND("-",CH2577,FIND("-",CH2577)+1)-1))),""))</f>
        <v/>
      </c>
    </row>
    <row r="2578">
      <c r="CH2578">
        <f>IF(ISTEXT('월 가계부'!A2578),SUBSTITUTE(SUBSTITUTE(SUBSTITUTE(SUBSTITUTE(SUBSTITUTE(SUBSTITUTE(SUBSTITUTE(SUBSTITUTE(SUBSTITUTE(TRIM('월 가계부'!A2578),"년","-"),"월","-"),"일",""),".","-"),"/","-")," ","-"),"--","-"),"--","-"),"--","-")&amp;"-","")</f>
        <v/>
      </c>
      <c r="CI2578">
        <f>IFERROR(IF('월 가계부'!A2578="","",IF(ISNUMBER('월 가계부'!A2578),IF(AND('월 가계부'!A2578&gt;=19000101,'월 가계부'!A2578&lt;=21001231),IF(AND(MOD(INT('월 가계부'!A2578/100),100)&gt;=1,MOD(INT('월 가계부'!A2578/100),100)&lt;=12,MOD(INT('월 가계부'!A2578),100)&gt;=1,MOD(INT('월 가계부'!A2578),100)&lt;=31),IF(MONTH(DATE(INT('월 가계부'!A2578/10000),MOD(INT('월 가계부'!A2578/100),100),MOD(INT('월 가계부'!A2578),100)))=MOD(INT('월 가계부'!A2578/100),100),DATE(INT('월 가계부'!A2578/10000),MOD(INT('월 가계부'!A2578/100),100),MOD(INT('월 가계부'!A2578),100)),""),""),IF(AND('월 가계부'!A2578&gt;=36526,'월 가계부'!A2578&lt;73051),INT('월 가계부'!A2578),"")),IF(OR(CM2578="",CN2578="",CO2578=""),"",IF(AND(CM2578&gt;=2000,CM2578&lt;=2099,CN2578&gt;=1,CN2578&lt;=12,CO2578&gt;=1,CO2578&lt;=31),IF(MONTH(DATE(CM2578,CN2578,CO2578))=CN2578,DATE(CM2578,CN2578,CO2578),""),"")))),"")</f>
        <v/>
      </c>
      <c r="CJ2578">
        <f>IFERROR(IF('월 가계부'!C2578="","",IF(ISNUMBER('월 가계부'!C2578),'월 가계부'!C2578,VALUE(SUBSTITUTE(SUBSTITUTE(SUBSTITUTE(SUBSTITUTE(TRIM('월 가계부'!C2578),",",""),"원","")," ",""),"−","-")))),"")</f>
        <v/>
      </c>
      <c r="CK2578">
        <f>IF(ISNUMBER(CI2578),IF(CI2578&lt;$B$13,CI2578,""),"")</f>
        <v/>
      </c>
      <c r="CM2578">
        <f>IF(CH2578="","",IFERROR(IF(IF(AND(LEN(CH2578)=9,ISERROR(FIND("-",LEFT(CH2578,8))),ISNUMBER(-LEFT(CH2578,8))),VALUE(LEFT(CH2578,4)),VALUE(LEFT(CH2578,FIND("-",CH2578)-1)))&lt;100,IF(AND(LEN(CH2578)=9,ISERROR(FIND("-",LEFT(CH2578,8))),ISNUMBER(-LEFT(CH2578,8))),VALUE(LEFT(CH2578,4)),VALUE(LEFT(CH2578,FIND("-",CH2578)-1)))+2000,IF(AND(LEN(CH2578)=9,ISERROR(FIND("-",LEFT(CH2578,8))),ISNUMBER(-LEFT(CH2578,8))),VALUE(LEFT(CH2578,4)),VALUE(LEFT(CH2578,FIND("-",CH2578)-1)))),""))</f>
        <v/>
      </c>
      <c r="CN2578">
        <f>IF(CH2578="","",IFERROR(IF(AND(LEN(CH2578)=9,ISERROR(FIND("-",LEFT(CH2578,8))),ISNUMBER(-LEFT(CH2578,8))),VALUE(MID(CH2578,5,2)),VALUE(MID(CH2578,FIND("-",CH2578)+1,FIND("-",CH2578,FIND("-",CH2578)+1)-FIND("-",CH2578)-1))),""))</f>
        <v/>
      </c>
      <c r="CO2578">
        <f>IF(CH2578="","",IFERROR(IF(AND(LEN(CH2578)=9,ISERROR(FIND("-",LEFT(CH2578,8))),ISNUMBER(-LEFT(CH2578,8))),VALUE(MID(CH2578,7,2)),VALUE(MID(CH2578,FIND("-",CH2578,FIND("-",CH2578)+1)+1,FIND("-",CH2578,FIND("-",CH2578,FIND("-",CH2578)+1)+1)-FIND("-",CH2578,FIND("-",CH2578)+1)-1))),""))</f>
        <v/>
      </c>
    </row>
    <row r="2579">
      <c r="CH2579">
        <f>IF(ISTEXT('월 가계부'!A2579),SUBSTITUTE(SUBSTITUTE(SUBSTITUTE(SUBSTITUTE(SUBSTITUTE(SUBSTITUTE(SUBSTITUTE(SUBSTITUTE(SUBSTITUTE(TRIM('월 가계부'!A2579),"년","-"),"월","-"),"일",""),".","-"),"/","-")," ","-"),"--","-"),"--","-"),"--","-")&amp;"-","")</f>
        <v/>
      </c>
      <c r="CI2579">
        <f>IFERROR(IF('월 가계부'!A2579="","",IF(ISNUMBER('월 가계부'!A2579),IF(AND('월 가계부'!A2579&gt;=19000101,'월 가계부'!A2579&lt;=21001231),IF(AND(MOD(INT('월 가계부'!A2579/100),100)&gt;=1,MOD(INT('월 가계부'!A2579/100),100)&lt;=12,MOD(INT('월 가계부'!A2579),100)&gt;=1,MOD(INT('월 가계부'!A2579),100)&lt;=31),IF(MONTH(DATE(INT('월 가계부'!A2579/10000),MOD(INT('월 가계부'!A2579/100),100),MOD(INT('월 가계부'!A2579),100)))=MOD(INT('월 가계부'!A2579/100),100),DATE(INT('월 가계부'!A2579/10000),MOD(INT('월 가계부'!A2579/100),100),MOD(INT('월 가계부'!A2579),100)),""),""),IF(AND('월 가계부'!A2579&gt;=36526,'월 가계부'!A2579&lt;73051),INT('월 가계부'!A2579),"")),IF(OR(CM2579="",CN2579="",CO2579=""),"",IF(AND(CM2579&gt;=2000,CM2579&lt;=2099,CN2579&gt;=1,CN2579&lt;=12,CO2579&gt;=1,CO2579&lt;=31),IF(MONTH(DATE(CM2579,CN2579,CO2579))=CN2579,DATE(CM2579,CN2579,CO2579),""),"")))),"")</f>
        <v/>
      </c>
      <c r="CJ2579">
        <f>IFERROR(IF('월 가계부'!C2579="","",IF(ISNUMBER('월 가계부'!C2579),'월 가계부'!C2579,VALUE(SUBSTITUTE(SUBSTITUTE(SUBSTITUTE(SUBSTITUTE(TRIM('월 가계부'!C2579),",",""),"원","")," ",""),"−","-")))),"")</f>
        <v/>
      </c>
      <c r="CK2579">
        <f>IF(ISNUMBER(CI2579),IF(CI2579&lt;$B$13,CI2579,""),"")</f>
        <v/>
      </c>
      <c r="CM2579">
        <f>IF(CH2579="","",IFERROR(IF(IF(AND(LEN(CH2579)=9,ISERROR(FIND("-",LEFT(CH2579,8))),ISNUMBER(-LEFT(CH2579,8))),VALUE(LEFT(CH2579,4)),VALUE(LEFT(CH2579,FIND("-",CH2579)-1)))&lt;100,IF(AND(LEN(CH2579)=9,ISERROR(FIND("-",LEFT(CH2579,8))),ISNUMBER(-LEFT(CH2579,8))),VALUE(LEFT(CH2579,4)),VALUE(LEFT(CH2579,FIND("-",CH2579)-1)))+2000,IF(AND(LEN(CH2579)=9,ISERROR(FIND("-",LEFT(CH2579,8))),ISNUMBER(-LEFT(CH2579,8))),VALUE(LEFT(CH2579,4)),VALUE(LEFT(CH2579,FIND("-",CH2579)-1)))),""))</f>
        <v/>
      </c>
      <c r="CN2579">
        <f>IF(CH2579="","",IFERROR(IF(AND(LEN(CH2579)=9,ISERROR(FIND("-",LEFT(CH2579,8))),ISNUMBER(-LEFT(CH2579,8))),VALUE(MID(CH2579,5,2)),VALUE(MID(CH2579,FIND("-",CH2579)+1,FIND("-",CH2579,FIND("-",CH2579)+1)-FIND("-",CH2579)-1))),""))</f>
        <v/>
      </c>
      <c r="CO2579">
        <f>IF(CH2579="","",IFERROR(IF(AND(LEN(CH2579)=9,ISERROR(FIND("-",LEFT(CH2579,8))),ISNUMBER(-LEFT(CH2579,8))),VALUE(MID(CH2579,7,2)),VALUE(MID(CH2579,FIND("-",CH2579,FIND("-",CH2579)+1)+1,FIND("-",CH2579,FIND("-",CH2579,FIND("-",CH2579)+1)+1)-FIND("-",CH2579,FIND("-",CH2579)+1)-1))),""))</f>
        <v/>
      </c>
    </row>
    <row r="2580">
      <c r="CH2580">
        <f>IF(ISTEXT('월 가계부'!A2580),SUBSTITUTE(SUBSTITUTE(SUBSTITUTE(SUBSTITUTE(SUBSTITUTE(SUBSTITUTE(SUBSTITUTE(SUBSTITUTE(SUBSTITUTE(TRIM('월 가계부'!A2580),"년","-"),"월","-"),"일",""),".","-"),"/","-")," ","-"),"--","-"),"--","-"),"--","-")&amp;"-","")</f>
        <v/>
      </c>
      <c r="CI2580">
        <f>IFERROR(IF('월 가계부'!A2580="","",IF(ISNUMBER('월 가계부'!A2580),IF(AND('월 가계부'!A2580&gt;=19000101,'월 가계부'!A2580&lt;=21001231),IF(AND(MOD(INT('월 가계부'!A2580/100),100)&gt;=1,MOD(INT('월 가계부'!A2580/100),100)&lt;=12,MOD(INT('월 가계부'!A2580),100)&gt;=1,MOD(INT('월 가계부'!A2580),100)&lt;=31),IF(MONTH(DATE(INT('월 가계부'!A2580/10000),MOD(INT('월 가계부'!A2580/100),100),MOD(INT('월 가계부'!A2580),100)))=MOD(INT('월 가계부'!A2580/100),100),DATE(INT('월 가계부'!A2580/10000),MOD(INT('월 가계부'!A2580/100),100),MOD(INT('월 가계부'!A2580),100)),""),""),IF(AND('월 가계부'!A2580&gt;=36526,'월 가계부'!A2580&lt;73051),INT('월 가계부'!A2580),"")),IF(OR(CM2580="",CN2580="",CO2580=""),"",IF(AND(CM2580&gt;=2000,CM2580&lt;=2099,CN2580&gt;=1,CN2580&lt;=12,CO2580&gt;=1,CO2580&lt;=31),IF(MONTH(DATE(CM2580,CN2580,CO2580))=CN2580,DATE(CM2580,CN2580,CO2580),""),"")))),"")</f>
        <v/>
      </c>
      <c r="CJ2580">
        <f>IFERROR(IF('월 가계부'!C2580="","",IF(ISNUMBER('월 가계부'!C2580),'월 가계부'!C2580,VALUE(SUBSTITUTE(SUBSTITUTE(SUBSTITUTE(SUBSTITUTE(TRIM('월 가계부'!C2580),",",""),"원","")," ",""),"−","-")))),"")</f>
        <v/>
      </c>
      <c r="CK2580">
        <f>IF(ISNUMBER(CI2580),IF(CI2580&lt;$B$13,CI2580,""),"")</f>
        <v/>
      </c>
      <c r="CM2580">
        <f>IF(CH2580="","",IFERROR(IF(IF(AND(LEN(CH2580)=9,ISERROR(FIND("-",LEFT(CH2580,8))),ISNUMBER(-LEFT(CH2580,8))),VALUE(LEFT(CH2580,4)),VALUE(LEFT(CH2580,FIND("-",CH2580)-1)))&lt;100,IF(AND(LEN(CH2580)=9,ISERROR(FIND("-",LEFT(CH2580,8))),ISNUMBER(-LEFT(CH2580,8))),VALUE(LEFT(CH2580,4)),VALUE(LEFT(CH2580,FIND("-",CH2580)-1)))+2000,IF(AND(LEN(CH2580)=9,ISERROR(FIND("-",LEFT(CH2580,8))),ISNUMBER(-LEFT(CH2580,8))),VALUE(LEFT(CH2580,4)),VALUE(LEFT(CH2580,FIND("-",CH2580)-1)))),""))</f>
        <v/>
      </c>
      <c r="CN2580">
        <f>IF(CH2580="","",IFERROR(IF(AND(LEN(CH2580)=9,ISERROR(FIND("-",LEFT(CH2580,8))),ISNUMBER(-LEFT(CH2580,8))),VALUE(MID(CH2580,5,2)),VALUE(MID(CH2580,FIND("-",CH2580)+1,FIND("-",CH2580,FIND("-",CH2580)+1)-FIND("-",CH2580)-1))),""))</f>
        <v/>
      </c>
      <c r="CO2580">
        <f>IF(CH2580="","",IFERROR(IF(AND(LEN(CH2580)=9,ISERROR(FIND("-",LEFT(CH2580,8))),ISNUMBER(-LEFT(CH2580,8))),VALUE(MID(CH2580,7,2)),VALUE(MID(CH2580,FIND("-",CH2580,FIND("-",CH2580)+1)+1,FIND("-",CH2580,FIND("-",CH2580,FIND("-",CH2580)+1)+1)-FIND("-",CH2580,FIND("-",CH2580)+1)-1))),""))</f>
        <v/>
      </c>
    </row>
    <row r="2581">
      <c r="CH2581">
        <f>IF(ISTEXT('월 가계부'!A2581),SUBSTITUTE(SUBSTITUTE(SUBSTITUTE(SUBSTITUTE(SUBSTITUTE(SUBSTITUTE(SUBSTITUTE(SUBSTITUTE(SUBSTITUTE(TRIM('월 가계부'!A2581),"년","-"),"월","-"),"일",""),".","-"),"/","-")," ","-"),"--","-"),"--","-"),"--","-")&amp;"-","")</f>
        <v/>
      </c>
      <c r="CI2581">
        <f>IFERROR(IF('월 가계부'!A2581="","",IF(ISNUMBER('월 가계부'!A2581),IF(AND('월 가계부'!A2581&gt;=19000101,'월 가계부'!A2581&lt;=21001231),IF(AND(MOD(INT('월 가계부'!A2581/100),100)&gt;=1,MOD(INT('월 가계부'!A2581/100),100)&lt;=12,MOD(INT('월 가계부'!A2581),100)&gt;=1,MOD(INT('월 가계부'!A2581),100)&lt;=31),IF(MONTH(DATE(INT('월 가계부'!A2581/10000),MOD(INT('월 가계부'!A2581/100),100),MOD(INT('월 가계부'!A2581),100)))=MOD(INT('월 가계부'!A2581/100),100),DATE(INT('월 가계부'!A2581/10000),MOD(INT('월 가계부'!A2581/100),100),MOD(INT('월 가계부'!A2581),100)),""),""),IF(AND('월 가계부'!A2581&gt;=36526,'월 가계부'!A2581&lt;73051),INT('월 가계부'!A2581),"")),IF(OR(CM2581="",CN2581="",CO2581=""),"",IF(AND(CM2581&gt;=2000,CM2581&lt;=2099,CN2581&gt;=1,CN2581&lt;=12,CO2581&gt;=1,CO2581&lt;=31),IF(MONTH(DATE(CM2581,CN2581,CO2581))=CN2581,DATE(CM2581,CN2581,CO2581),""),"")))),"")</f>
        <v/>
      </c>
      <c r="CJ2581">
        <f>IFERROR(IF('월 가계부'!C2581="","",IF(ISNUMBER('월 가계부'!C2581),'월 가계부'!C2581,VALUE(SUBSTITUTE(SUBSTITUTE(SUBSTITUTE(SUBSTITUTE(TRIM('월 가계부'!C2581),",",""),"원","")," ",""),"−","-")))),"")</f>
        <v/>
      </c>
      <c r="CK2581">
        <f>IF(ISNUMBER(CI2581),IF(CI2581&lt;$B$13,CI2581,""),"")</f>
        <v/>
      </c>
      <c r="CM2581">
        <f>IF(CH2581="","",IFERROR(IF(IF(AND(LEN(CH2581)=9,ISERROR(FIND("-",LEFT(CH2581,8))),ISNUMBER(-LEFT(CH2581,8))),VALUE(LEFT(CH2581,4)),VALUE(LEFT(CH2581,FIND("-",CH2581)-1)))&lt;100,IF(AND(LEN(CH2581)=9,ISERROR(FIND("-",LEFT(CH2581,8))),ISNUMBER(-LEFT(CH2581,8))),VALUE(LEFT(CH2581,4)),VALUE(LEFT(CH2581,FIND("-",CH2581)-1)))+2000,IF(AND(LEN(CH2581)=9,ISERROR(FIND("-",LEFT(CH2581,8))),ISNUMBER(-LEFT(CH2581,8))),VALUE(LEFT(CH2581,4)),VALUE(LEFT(CH2581,FIND("-",CH2581)-1)))),""))</f>
        <v/>
      </c>
      <c r="CN2581">
        <f>IF(CH2581="","",IFERROR(IF(AND(LEN(CH2581)=9,ISERROR(FIND("-",LEFT(CH2581,8))),ISNUMBER(-LEFT(CH2581,8))),VALUE(MID(CH2581,5,2)),VALUE(MID(CH2581,FIND("-",CH2581)+1,FIND("-",CH2581,FIND("-",CH2581)+1)-FIND("-",CH2581)-1))),""))</f>
        <v/>
      </c>
      <c r="CO2581">
        <f>IF(CH2581="","",IFERROR(IF(AND(LEN(CH2581)=9,ISERROR(FIND("-",LEFT(CH2581,8))),ISNUMBER(-LEFT(CH2581,8))),VALUE(MID(CH2581,7,2)),VALUE(MID(CH2581,FIND("-",CH2581,FIND("-",CH2581)+1)+1,FIND("-",CH2581,FIND("-",CH2581,FIND("-",CH2581)+1)+1)-FIND("-",CH2581,FIND("-",CH2581)+1)-1))),""))</f>
        <v/>
      </c>
    </row>
    <row r="2582">
      <c r="CH2582">
        <f>IF(ISTEXT('월 가계부'!A2582),SUBSTITUTE(SUBSTITUTE(SUBSTITUTE(SUBSTITUTE(SUBSTITUTE(SUBSTITUTE(SUBSTITUTE(SUBSTITUTE(SUBSTITUTE(TRIM('월 가계부'!A2582),"년","-"),"월","-"),"일",""),".","-"),"/","-")," ","-"),"--","-"),"--","-"),"--","-")&amp;"-","")</f>
        <v/>
      </c>
      <c r="CI2582">
        <f>IFERROR(IF('월 가계부'!A2582="","",IF(ISNUMBER('월 가계부'!A2582),IF(AND('월 가계부'!A2582&gt;=19000101,'월 가계부'!A2582&lt;=21001231),IF(AND(MOD(INT('월 가계부'!A2582/100),100)&gt;=1,MOD(INT('월 가계부'!A2582/100),100)&lt;=12,MOD(INT('월 가계부'!A2582),100)&gt;=1,MOD(INT('월 가계부'!A2582),100)&lt;=31),IF(MONTH(DATE(INT('월 가계부'!A2582/10000),MOD(INT('월 가계부'!A2582/100),100),MOD(INT('월 가계부'!A2582),100)))=MOD(INT('월 가계부'!A2582/100),100),DATE(INT('월 가계부'!A2582/10000),MOD(INT('월 가계부'!A2582/100),100),MOD(INT('월 가계부'!A2582),100)),""),""),IF(AND('월 가계부'!A2582&gt;=36526,'월 가계부'!A2582&lt;73051),INT('월 가계부'!A2582),"")),IF(OR(CM2582="",CN2582="",CO2582=""),"",IF(AND(CM2582&gt;=2000,CM2582&lt;=2099,CN2582&gt;=1,CN2582&lt;=12,CO2582&gt;=1,CO2582&lt;=31),IF(MONTH(DATE(CM2582,CN2582,CO2582))=CN2582,DATE(CM2582,CN2582,CO2582),""),"")))),"")</f>
        <v/>
      </c>
      <c r="CJ2582">
        <f>IFERROR(IF('월 가계부'!C2582="","",IF(ISNUMBER('월 가계부'!C2582),'월 가계부'!C2582,VALUE(SUBSTITUTE(SUBSTITUTE(SUBSTITUTE(SUBSTITUTE(TRIM('월 가계부'!C2582),",",""),"원","")," ",""),"−","-")))),"")</f>
        <v/>
      </c>
      <c r="CK2582">
        <f>IF(ISNUMBER(CI2582),IF(CI2582&lt;$B$13,CI2582,""),"")</f>
        <v/>
      </c>
      <c r="CM2582">
        <f>IF(CH2582="","",IFERROR(IF(IF(AND(LEN(CH2582)=9,ISERROR(FIND("-",LEFT(CH2582,8))),ISNUMBER(-LEFT(CH2582,8))),VALUE(LEFT(CH2582,4)),VALUE(LEFT(CH2582,FIND("-",CH2582)-1)))&lt;100,IF(AND(LEN(CH2582)=9,ISERROR(FIND("-",LEFT(CH2582,8))),ISNUMBER(-LEFT(CH2582,8))),VALUE(LEFT(CH2582,4)),VALUE(LEFT(CH2582,FIND("-",CH2582)-1)))+2000,IF(AND(LEN(CH2582)=9,ISERROR(FIND("-",LEFT(CH2582,8))),ISNUMBER(-LEFT(CH2582,8))),VALUE(LEFT(CH2582,4)),VALUE(LEFT(CH2582,FIND("-",CH2582)-1)))),""))</f>
        <v/>
      </c>
      <c r="CN2582">
        <f>IF(CH2582="","",IFERROR(IF(AND(LEN(CH2582)=9,ISERROR(FIND("-",LEFT(CH2582,8))),ISNUMBER(-LEFT(CH2582,8))),VALUE(MID(CH2582,5,2)),VALUE(MID(CH2582,FIND("-",CH2582)+1,FIND("-",CH2582,FIND("-",CH2582)+1)-FIND("-",CH2582)-1))),""))</f>
        <v/>
      </c>
      <c r="CO2582">
        <f>IF(CH2582="","",IFERROR(IF(AND(LEN(CH2582)=9,ISERROR(FIND("-",LEFT(CH2582,8))),ISNUMBER(-LEFT(CH2582,8))),VALUE(MID(CH2582,7,2)),VALUE(MID(CH2582,FIND("-",CH2582,FIND("-",CH2582)+1)+1,FIND("-",CH2582,FIND("-",CH2582,FIND("-",CH2582)+1)+1)-FIND("-",CH2582,FIND("-",CH2582)+1)-1))),""))</f>
        <v/>
      </c>
    </row>
    <row r="2583">
      <c r="CH2583">
        <f>IF(ISTEXT('월 가계부'!A2583),SUBSTITUTE(SUBSTITUTE(SUBSTITUTE(SUBSTITUTE(SUBSTITUTE(SUBSTITUTE(SUBSTITUTE(SUBSTITUTE(SUBSTITUTE(TRIM('월 가계부'!A2583),"년","-"),"월","-"),"일",""),".","-"),"/","-")," ","-"),"--","-"),"--","-"),"--","-")&amp;"-","")</f>
        <v/>
      </c>
      <c r="CI2583">
        <f>IFERROR(IF('월 가계부'!A2583="","",IF(ISNUMBER('월 가계부'!A2583),IF(AND('월 가계부'!A2583&gt;=19000101,'월 가계부'!A2583&lt;=21001231),IF(AND(MOD(INT('월 가계부'!A2583/100),100)&gt;=1,MOD(INT('월 가계부'!A2583/100),100)&lt;=12,MOD(INT('월 가계부'!A2583),100)&gt;=1,MOD(INT('월 가계부'!A2583),100)&lt;=31),IF(MONTH(DATE(INT('월 가계부'!A2583/10000),MOD(INT('월 가계부'!A2583/100),100),MOD(INT('월 가계부'!A2583),100)))=MOD(INT('월 가계부'!A2583/100),100),DATE(INT('월 가계부'!A2583/10000),MOD(INT('월 가계부'!A2583/100),100),MOD(INT('월 가계부'!A2583),100)),""),""),IF(AND('월 가계부'!A2583&gt;=36526,'월 가계부'!A2583&lt;73051),INT('월 가계부'!A2583),"")),IF(OR(CM2583="",CN2583="",CO2583=""),"",IF(AND(CM2583&gt;=2000,CM2583&lt;=2099,CN2583&gt;=1,CN2583&lt;=12,CO2583&gt;=1,CO2583&lt;=31),IF(MONTH(DATE(CM2583,CN2583,CO2583))=CN2583,DATE(CM2583,CN2583,CO2583),""),"")))),"")</f>
        <v/>
      </c>
      <c r="CJ2583">
        <f>IFERROR(IF('월 가계부'!C2583="","",IF(ISNUMBER('월 가계부'!C2583),'월 가계부'!C2583,VALUE(SUBSTITUTE(SUBSTITUTE(SUBSTITUTE(SUBSTITUTE(TRIM('월 가계부'!C2583),",",""),"원","")," ",""),"−","-")))),"")</f>
        <v/>
      </c>
      <c r="CK2583">
        <f>IF(ISNUMBER(CI2583),IF(CI2583&lt;$B$13,CI2583,""),"")</f>
        <v/>
      </c>
      <c r="CM2583">
        <f>IF(CH2583="","",IFERROR(IF(IF(AND(LEN(CH2583)=9,ISERROR(FIND("-",LEFT(CH2583,8))),ISNUMBER(-LEFT(CH2583,8))),VALUE(LEFT(CH2583,4)),VALUE(LEFT(CH2583,FIND("-",CH2583)-1)))&lt;100,IF(AND(LEN(CH2583)=9,ISERROR(FIND("-",LEFT(CH2583,8))),ISNUMBER(-LEFT(CH2583,8))),VALUE(LEFT(CH2583,4)),VALUE(LEFT(CH2583,FIND("-",CH2583)-1)))+2000,IF(AND(LEN(CH2583)=9,ISERROR(FIND("-",LEFT(CH2583,8))),ISNUMBER(-LEFT(CH2583,8))),VALUE(LEFT(CH2583,4)),VALUE(LEFT(CH2583,FIND("-",CH2583)-1)))),""))</f>
        <v/>
      </c>
      <c r="CN2583">
        <f>IF(CH2583="","",IFERROR(IF(AND(LEN(CH2583)=9,ISERROR(FIND("-",LEFT(CH2583,8))),ISNUMBER(-LEFT(CH2583,8))),VALUE(MID(CH2583,5,2)),VALUE(MID(CH2583,FIND("-",CH2583)+1,FIND("-",CH2583,FIND("-",CH2583)+1)-FIND("-",CH2583)-1))),""))</f>
        <v/>
      </c>
      <c r="CO2583">
        <f>IF(CH2583="","",IFERROR(IF(AND(LEN(CH2583)=9,ISERROR(FIND("-",LEFT(CH2583,8))),ISNUMBER(-LEFT(CH2583,8))),VALUE(MID(CH2583,7,2)),VALUE(MID(CH2583,FIND("-",CH2583,FIND("-",CH2583)+1)+1,FIND("-",CH2583,FIND("-",CH2583,FIND("-",CH2583)+1)+1)-FIND("-",CH2583,FIND("-",CH2583)+1)-1))),""))</f>
        <v/>
      </c>
    </row>
    <row r="2584">
      <c r="CH2584">
        <f>IF(ISTEXT('월 가계부'!A2584),SUBSTITUTE(SUBSTITUTE(SUBSTITUTE(SUBSTITUTE(SUBSTITUTE(SUBSTITUTE(SUBSTITUTE(SUBSTITUTE(SUBSTITUTE(TRIM('월 가계부'!A2584),"년","-"),"월","-"),"일",""),".","-"),"/","-")," ","-"),"--","-"),"--","-"),"--","-")&amp;"-","")</f>
        <v/>
      </c>
      <c r="CI2584">
        <f>IFERROR(IF('월 가계부'!A2584="","",IF(ISNUMBER('월 가계부'!A2584),IF(AND('월 가계부'!A2584&gt;=19000101,'월 가계부'!A2584&lt;=21001231),IF(AND(MOD(INT('월 가계부'!A2584/100),100)&gt;=1,MOD(INT('월 가계부'!A2584/100),100)&lt;=12,MOD(INT('월 가계부'!A2584),100)&gt;=1,MOD(INT('월 가계부'!A2584),100)&lt;=31),IF(MONTH(DATE(INT('월 가계부'!A2584/10000),MOD(INT('월 가계부'!A2584/100),100),MOD(INT('월 가계부'!A2584),100)))=MOD(INT('월 가계부'!A2584/100),100),DATE(INT('월 가계부'!A2584/10000),MOD(INT('월 가계부'!A2584/100),100),MOD(INT('월 가계부'!A2584),100)),""),""),IF(AND('월 가계부'!A2584&gt;=36526,'월 가계부'!A2584&lt;73051),INT('월 가계부'!A2584),"")),IF(OR(CM2584="",CN2584="",CO2584=""),"",IF(AND(CM2584&gt;=2000,CM2584&lt;=2099,CN2584&gt;=1,CN2584&lt;=12,CO2584&gt;=1,CO2584&lt;=31),IF(MONTH(DATE(CM2584,CN2584,CO2584))=CN2584,DATE(CM2584,CN2584,CO2584),""),"")))),"")</f>
        <v/>
      </c>
      <c r="CJ2584">
        <f>IFERROR(IF('월 가계부'!C2584="","",IF(ISNUMBER('월 가계부'!C2584),'월 가계부'!C2584,VALUE(SUBSTITUTE(SUBSTITUTE(SUBSTITUTE(SUBSTITUTE(TRIM('월 가계부'!C2584),",",""),"원","")," ",""),"−","-")))),"")</f>
        <v/>
      </c>
      <c r="CK2584">
        <f>IF(ISNUMBER(CI2584),IF(CI2584&lt;$B$13,CI2584,""),"")</f>
        <v/>
      </c>
      <c r="CM2584">
        <f>IF(CH2584="","",IFERROR(IF(IF(AND(LEN(CH2584)=9,ISERROR(FIND("-",LEFT(CH2584,8))),ISNUMBER(-LEFT(CH2584,8))),VALUE(LEFT(CH2584,4)),VALUE(LEFT(CH2584,FIND("-",CH2584)-1)))&lt;100,IF(AND(LEN(CH2584)=9,ISERROR(FIND("-",LEFT(CH2584,8))),ISNUMBER(-LEFT(CH2584,8))),VALUE(LEFT(CH2584,4)),VALUE(LEFT(CH2584,FIND("-",CH2584)-1)))+2000,IF(AND(LEN(CH2584)=9,ISERROR(FIND("-",LEFT(CH2584,8))),ISNUMBER(-LEFT(CH2584,8))),VALUE(LEFT(CH2584,4)),VALUE(LEFT(CH2584,FIND("-",CH2584)-1)))),""))</f>
        <v/>
      </c>
      <c r="CN2584">
        <f>IF(CH2584="","",IFERROR(IF(AND(LEN(CH2584)=9,ISERROR(FIND("-",LEFT(CH2584,8))),ISNUMBER(-LEFT(CH2584,8))),VALUE(MID(CH2584,5,2)),VALUE(MID(CH2584,FIND("-",CH2584)+1,FIND("-",CH2584,FIND("-",CH2584)+1)-FIND("-",CH2584)-1))),""))</f>
        <v/>
      </c>
      <c r="CO2584">
        <f>IF(CH2584="","",IFERROR(IF(AND(LEN(CH2584)=9,ISERROR(FIND("-",LEFT(CH2584,8))),ISNUMBER(-LEFT(CH2584,8))),VALUE(MID(CH2584,7,2)),VALUE(MID(CH2584,FIND("-",CH2584,FIND("-",CH2584)+1)+1,FIND("-",CH2584,FIND("-",CH2584,FIND("-",CH2584)+1)+1)-FIND("-",CH2584,FIND("-",CH2584)+1)-1))),""))</f>
        <v/>
      </c>
    </row>
    <row r="2585">
      <c r="CH2585">
        <f>IF(ISTEXT('월 가계부'!A2585),SUBSTITUTE(SUBSTITUTE(SUBSTITUTE(SUBSTITUTE(SUBSTITUTE(SUBSTITUTE(SUBSTITUTE(SUBSTITUTE(SUBSTITUTE(TRIM('월 가계부'!A2585),"년","-"),"월","-"),"일",""),".","-"),"/","-")," ","-"),"--","-"),"--","-"),"--","-")&amp;"-","")</f>
        <v/>
      </c>
      <c r="CI2585">
        <f>IFERROR(IF('월 가계부'!A2585="","",IF(ISNUMBER('월 가계부'!A2585),IF(AND('월 가계부'!A2585&gt;=19000101,'월 가계부'!A2585&lt;=21001231),IF(AND(MOD(INT('월 가계부'!A2585/100),100)&gt;=1,MOD(INT('월 가계부'!A2585/100),100)&lt;=12,MOD(INT('월 가계부'!A2585),100)&gt;=1,MOD(INT('월 가계부'!A2585),100)&lt;=31),IF(MONTH(DATE(INT('월 가계부'!A2585/10000),MOD(INT('월 가계부'!A2585/100),100),MOD(INT('월 가계부'!A2585),100)))=MOD(INT('월 가계부'!A2585/100),100),DATE(INT('월 가계부'!A2585/10000),MOD(INT('월 가계부'!A2585/100),100),MOD(INT('월 가계부'!A2585),100)),""),""),IF(AND('월 가계부'!A2585&gt;=36526,'월 가계부'!A2585&lt;73051),INT('월 가계부'!A2585),"")),IF(OR(CM2585="",CN2585="",CO2585=""),"",IF(AND(CM2585&gt;=2000,CM2585&lt;=2099,CN2585&gt;=1,CN2585&lt;=12,CO2585&gt;=1,CO2585&lt;=31),IF(MONTH(DATE(CM2585,CN2585,CO2585))=CN2585,DATE(CM2585,CN2585,CO2585),""),"")))),"")</f>
        <v/>
      </c>
      <c r="CJ2585">
        <f>IFERROR(IF('월 가계부'!C2585="","",IF(ISNUMBER('월 가계부'!C2585),'월 가계부'!C2585,VALUE(SUBSTITUTE(SUBSTITUTE(SUBSTITUTE(SUBSTITUTE(TRIM('월 가계부'!C2585),",",""),"원","")," ",""),"−","-")))),"")</f>
        <v/>
      </c>
      <c r="CK2585">
        <f>IF(ISNUMBER(CI2585),IF(CI2585&lt;$B$13,CI2585,""),"")</f>
        <v/>
      </c>
      <c r="CM2585">
        <f>IF(CH2585="","",IFERROR(IF(IF(AND(LEN(CH2585)=9,ISERROR(FIND("-",LEFT(CH2585,8))),ISNUMBER(-LEFT(CH2585,8))),VALUE(LEFT(CH2585,4)),VALUE(LEFT(CH2585,FIND("-",CH2585)-1)))&lt;100,IF(AND(LEN(CH2585)=9,ISERROR(FIND("-",LEFT(CH2585,8))),ISNUMBER(-LEFT(CH2585,8))),VALUE(LEFT(CH2585,4)),VALUE(LEFT(CH2585,FIND("-",CH2585)-1)))+2000,IF(AND(LEN(CH2585)=9,ISERROR(FIND("-",LEFT(CH2585,8))),ISNUMBER(-LEFT(CH2585,8))),VALUE(LEFT(CH2585,4)),VALUE(LEFT(CH2585,FIND("-",CH2585)-1)))),""))</f>
        <v/>
      </c>
      <c r="CN2585">
        <f>IF(CH2585="","",IFERROR(IF(AND(LEN(CH2585)=9,ISERROR(FIND("-",LEFT(CH2585,8))),ISNUMBER(-LEFT(CH2585,8))),VALUE(MID(CH2585,5,2)),VALUE(MID(CH2585,FIND("-",CH2585)+1,FIND("-",CH2585,FIND("-",CH2585)+1)-FIND("-",CH2585)-1))),""))</f>
        <v/>
      </c>
      <c r="CO2585">
        <f>IF(CH2585="","",IFERROR(IF(AND(LEN(CH2585)=9,ISERROR(FIND("-",LEFT(CH2585,8))),ISNUMBER(-LEFT(CH2585,8))),VALUE(MID(CH2585,7,2)),VALUE(MID(CH2585,FIND("-",CH2585,FIND("-",CH2585)+1)+1,FIND("-",CH2585,FIND("-",CH2585,FIND("-",CH2585)+1)+1)-FIND("-",CH2585,FIND("-",CH2585)+1)-1))),""))</f>
        <v/>
      </c>
    </row>
    <row r="2586">
      <c r="CH2586">
        <f>IF(ISTEXT('월 가계부'!A2586),SUBSTITUTE(SUBSTITUTE(SUBSTITUTE(SUBSTITUTE(SUBSTITUTE(SUBSTITUTE(SUBSTITUTE(SUBSTITUTE(SUBSTITUTE(TRIM('월 가계부'!A2586),"년","-"),"월","-"),"일",""),".","-"),"/","-")," ","-"),"--","-"),"--","-"),"--","-")&amp;"-","")</f>
        <v/>
      </c>
      <c r="CI2586">
        <f>IFERROR(IF('월 가계부'!A2586="","",IF(ISNUMBER('월 가계부'!A2586),IF(AND('월 가계부'!A2586&gt;=19000101,'월 가계부'!A2586&lt;=21001231),IF(AND(MOD(INT('월 가계부'!A2586/100),100)&gt;=1,MOD(INT('월 가계부'!A2586/100),100)&lt;=12,MOD(INT('월 가계부'!A2586),100)&gt;=1,MOD(INT('월 가계부'!A2586),100)&lt;=31),IF(MONTH(DATE(INT('월 가계부'!A2586/10000),MOD(INT('월 가계부'!A2586/100),100),MOD(INT('월 가계부'!A2586),100)))=MOD(INT('월 가계부'!A2586/100),100),DATE(INT('월 가계부'!A2586/10000),MOD(INT('월 가계부'!A2586/100),100),MOD(INT('월 가계부'!A2586),100)),""),""),IF(AND('월 가계부'!A2586&gt;=36526,'월 가계부'!A2586&lt;73051),INT('월 가계부'!A2586),"")),IF(OR(CM2586="",CN2586="",CO2586=""),"",IF(AND(CM2586&gt;=2000,CM2586&lt;=2099,CN2586&gt;=1,CN2586&lt;=12,CO2586&gt;=1,CO2586&lt;=31),IF(MONTH(DATE(CM2586,CN2586,CO2586))=CN2586,DATE(CM2586,CN2586,CO2586),""),"")))),"")</f>
        <v/>
      </c>
      <c r="CJ2586">
        <f>IFERROR(IF('월 가계부'!C2586="","",IF(ISNUMBER('월 가계부'!C2586),'월 가계부'!C2586,VALUE(SUBSTITUTE(SUBSTITUTE(SUBSTITUTE(SUBSTITUTE(TRIM('월 가계부'!C2586),",",""),"원","")," ",""),"−","-")))),"")</f>
        <v/>
      </c>
      <c r="CK2586">
        <f>IF(ISNUMBER(CI2586),IF(CI2586&lt;$B$13,CI2586,""),"")</f>
        <v/>
      </c>
      <c r="CM2586">
        <f>IF(CH2586="","",IFERROR(IF(IF(AND(LEN(CH2586)=9,ISERROR(FIND("-",LEFT(CH2586,8))),ISNUMBER(-LEFT(CH2586,8))),VALUE(LEFT(CH2586,4)),VALUE(LEFT(CH2586,FIND("-",CH2586)-1)))&lt;100,IF(AND(LEN(CH2586)=9,ISERROR(FIND("-",LEFT(CH2586,8))),ISNUMBER(-LEFT(CH2586,8))),VALUE(LEFT(CH2586,4)),VALUE(LEFT(CH2586,FIND("-",CH2586)-1)))+2000,IF(AND(LEN(CH2586)=9,ISERROR(FIND("-",LEFT(CH2586,8))),ISNUMBER(-LEFT(CH2586,8))),VALUE(LEFT(CH2586,4)),VALUE(LEFT(CH2586,FIND("-",CH2586)-1)))),""))</f>
        <v/>
      </c>
      <c r="CN2586">
        <f>IF(CH2586="","",IFERROR(IF(AND(LEN(CH2586)=9,ISERROR(FIND("-",LEFT(CH2586,8))),ISNUMBER(-LEFT(CH2586,8))),VALUE(MID(CH2586,5,2)),VALUE(MID(CH2586,FIND("-",CH2586)+1,FIND("-",CH2586,FIND("-",CH2586)+1)-FIND("-",CH2586)-1))),""))</f>
        <v/>
      </c>
      <c r="CO2586">
        <f>IF(CH2586="","",IFERROR(IF(AND(LEN(CH2586)=9,ISERROR(FIND("-",LEFT(CH2586,8))),ISNUMBER(-LEFT(CH2586,8))),VALUE(MID(CH2586,7,2)),VALUE(MID(CH2586,FIND("-",CH2586,FIND("-",CH2586)+1)+1,FIND("-",CH2586,FIND("-",CH2586,FIND("-",CH2586)+1)+1)-FIND("-",CH2586,FIND("-",CH2586)+1)-1))),""))</f>
        <v/>
      </c>
    </row>
    <row r="2587">
      <c r="CH2587">
        <f>IF(ISTEXT('월 가계부'!A2587),SUBSTITUTE(SUBSTITUTE(SUBSTITUTE(SUBSTITUTE(SUBSTITUTE(SUBSTITUTE(SUBSTITUTE(SUBSTITUTE(SUBSTITUTE(TRIM('월 가계부'!A2587),"년","-"),"월","-"),"일",""),".","-"),"/","-")," ","-"),"--","-"),"--","-"),"--","-")&amp;"-","")</f>
        <v/>
      </c>
      <c r="CI2587">
        <f>IFERROR(IF('월 가계부'!A2587="","",IF(ISNUMBER('월 가계부'!A2587),IF(AND('월 가계부'!A2587&gt;=19000101,'월 가계부'!A2587&lt;=21001231),IF(AND(MOD(INT('월 가계부'!A2587/100),100)&gt;=1,MOD(INT('월 가계부'!A2587/100),100)&lt;=12,MOD(INT('월 가계부'!A2587),100)&gt;=1,MOD(INT('월 가계부'!A2587),100)&lt;=31),IF(MONTH(DATE(INT('월 가계부'!A2587/10000),MOD(INT('월 가계부'!A2587/100),100),MOD(INT('월 가계부'!A2587),100)))=MOD(INT('월 가계부'!A2587/100),100),DATE(INT('월 가계부'!A2587/10000),MOD(INT('월 가계부'!A2587/100),100),MOD(INT('월 가계부'!A2587),100)),""),""),IF(AND('월 가계부'!A2587&gt;=36526,'월 가계부'!A2587&lt;73051),INT('월 가계부'!A2587),"")),IF(OR(CM2587="",CN2587="",CO2587=""),"",IF(AND(CM2587&gt;=2000,CM2587&lt;=2099,CN2587&gt;=1,CN2587&lt;=12,CO2587&gt;=1,CO2587&lt;=31),IF(MONTH(DATE(CM2587,CN2587,CO2587))=CN2587,DATE(CM2587,CN2587,CO2587),""),"")))),"")</f>
        <v/>
      </c>
      <c r="CJ2587">
        <f>IFERROR(IF('월 가계부'!C2587="","",IF(ISNUMBER('월 가계부'!C2587),'월 가계부'!C2587,VALUE(SUBSTITUTE(SUBSTITUTE(SUBSTITUTE(SUBSTITUTE(TRIM('월 가계부'!C2587),",",""),"원","")," ",""),"−","-")))),"")</f>
        <v/>
      </c>
      <c r="CK2587">
        <f>IF(ISNUMBER(CI2587),IF(CI2587&lt;$B$13,CI2587,""),"")</f>
        <v/>
      </c>
      <c r="CM2587">
        <f>IF(CH2587="","",IFERROR(IF(IF(AND(LEN(CH2587)=9,ISERROR(FIND("-",LEFT(CH2587,8))),ISNUMBER(-LEFT(CH2587,8))),VALUE(LEFT(CH2587,4)),VALUE(LEFT(CH2587,FIND("-",CH2587)-1)))&lt;100,IF(AND(LEN(CH2587)=9,ISERROR(FIND("-",LEFT(CH2587,8))),ISNUMBER(-LEFT(CH2587,8))),VALUE(LEFT(CH2587,4)),VALUE(LEFT(CH2587,FIND("-",CH2587)-1)))+2000,IF(AND(LEN(CH2587)=9,ISERROR(FIND("-",LEFT(CH2587,8))),ISNUMBER(-LEFT(CH2587,8))),VALUE(LEFT(CH2587,4)),VALUE(LEFT(CH2587,FIND("-",CH2587)-1)))),""))</f>
        <v/>
      </c>
      <c r="CN2587">
        <f>IF(CH2587="","",IFERROR(IF(AND(LEN(CH2587)=9,ISERROR(FIND("-",LEFT(CH2587,8))),ISNUMBER(-LEFT(CH2587,8))),VALUE(MID(CH2587,5,2)),VALUE(MID(CH2587,FIND("-",CH2587)+1,FIND("-",CH2587,FIND("-",CH2587)+1)-FIND("-",CH2587)-1))),""))</f>
        <v/>
      </c>
      <c r="CO2587">
        <f>IF(CH2587="","",IFERROR(IF(AND(LEN(CH2587)=9,ISERROR(FIND("-",LEFT(CH2587,8))),ISNUMBER(-LEFT(CH2587,8))),VALUE(MID(CH2587,7,2)),VALUE(MID(CH2587,FIND("-",CH2587,FIND("-",CH2587)+1)+1,FIND("-",CH2587,FIND("-",CH2587,FIND("-",CH2587)+1)+1)-FIND("-",CH2587,FIND("-",CH2587)+1)-1))),""))</f>
        <v/>
      </c>
    </row>
    <row r="2588">
      <c r="CH2588">
        <f>IF(ISTEXT('월 가계부'!A2588),SUBSTITUTE(SUBSTITUTE(SUBSTITUTE(SUBSTITUTE(SUBSTITUTE(SUBSTITUTE(SUBSTITUTE(SUBSTITUTE(SUBSTITUTE(TRIM('월 가계부'!A2588),"년","-"),"월","-"),"일",""),".","-"),"/","-")," ","-"),"--","-"),"--","-"),"--","-")&amp;"-","")</f>
        <v/>
      </c>
      <c r="CI2588">
        <f>IFERROR(IF('월 가계부'!A2588="","",IF(ISNUMBER('월 가계부'!A2588),IF(AND('월 가계부'!A2588&gt;=19000101,'월 가계부'!A2588&lt;=21001231),IF(AND(MOD(INT('월 가계부'!A2588/100),100)&gt;=1,MOD(INT('월 가계부'!A2588/100),100)&lt;=12,MOD(INT('월 가계부'!A2588),100)&gt;=1,MOD(INT('월 가계부'!A2588),100)&lt;=31),IF(MONTH(DATE(INT('월 가계부'!A2588/10000),MOD(INT('월 가계부'!A2588/100),100),MOD(INT('월 가계부'!A2588),100)))=MOD(INT('월 가계부'!A2588/100),100),DATE(INT('월 가계부'!A2588/10000),MOD(INT('월 가계부'!A2588/100),100),MOD(INT('월 가계부'!A2588),100)),""),""),IF(AND('월 가계부'!A2588&gt;=36526,'월 가계부'!A2588&lt;73051),INT('월 가계부'!A2588),"")),IF(OR(CM2588="",CN2588="",CO2588=""),"",IF(AND(CM2588&gt;=2000,CM2588&lt;=2099,CN2588&gt;=1,CN2588&lt;=12,CO2588&gt;=1,CO2588&lt;=31),IF(MONTH(DATE(CM2588,CN2588,CO2588))=CN2588,DATE(CM2588,CN2588,CO2588),""),"")))),"")</f>
        <v/>
      </c>
      <c r="CJ2588">
        <f>IFERROR(IF('월 가계부'!C2588="","",IF(ISNUMBER('월 가계부'!C2588),'월 가계부'!C2588,VALUE(SUBSTITUTE(SUBSTITUTE(SUBSTITUTE(SUBSTITUTE(TRIM('월 가계부'!C2588),",",""),"원","")," ",""),"−","-")))),"")</f>
        <v/>
      </c>
      <c r="CK2588">
        <f>IF(ISNUMBER(CI2588),IF(CI2588&lt;$B$13,CI2588,""),"")</f>
        <v/>
      </c>
      <c r="CM2588">
        <f>IF(CH2588="","",IFERROR(IF(IF(AND(LEN(CH2588)=9,ISERROR(FIND("-",LEFT(CH2588,8))),ISNUMBER(-LEFT(CH2588,8))),VALUE(LEFT(CH2588,4)),VALUE(LEFT(CH2588,FIND("-",CH2588)-1)))&lt;100,IF(AND(LEN(CH2588)=9,ISERROR(FIND("-",LEFT(CH2588,8))),ISNUMBER(-LEFT(CH2588,8))),VALUE(LEFT(CH2588,4)),VALUE(LEFT(CH2588,FIND("-",CH2588)-1)))+2000,IF(AND(LEN(CH2588)=9,ISERROR(FIND("-",LEFT(CH2588,8))),ISNUMBER(-LEFT(CH2588,8))),VALUE(LEFT(CH2588,4)),VALUE(LEFT(CH2588,FIND("-",CH2588)-1)))),""))</f>
        <v/>
      </c>
      <c r="CN2588">
        <f>IF(CH2588="","",IFERROR(IF(AND(LEN(CH2588)=9,ISERROR(FIND("-",LEFT(CH2588,8))),ISNUMBER(-LEFT(CH2588,8))),VALUE(MID(CH2588,5,2)),VALUE(MID(CH2588,FIND("-",CH2588)+1,FIND("-",CH2588,FIND("-",CH2588)+1)-FIND("-",CH2588)-1))),""))</f>
        <v/>
      </c>
      <c r="CO2588">
        <f>IF(CH2588="","",IFERROR(IF(AND(LEN(CH2588)=9,ISERROR(FIND("-",LEFT(CH2588,8))),ISNUMBER(-LEFT(CH2588,8))),VALUE(MID(CH2588,7,2)),VALUE(MID(CH2588,FIND("-",CH2588,FIND("-",CH2588)+1)+1,FIND("-",CH2588,FIND("-",CH2588,FIND("-",CH2588)+1)+1)-FIND("-",CH2588,FIND("-",CH2588)+1)-1))),""))</f>
        <v/>
      </c>
    </row>
    <row r="2589">
      <c r="CH2589">
        <f>IF(ISTEXT('월 가계부'!A2589),SUBSTITUTE(SUBSTITUTE(SUBSTITUTE(SUBSTITUTE(SUBSTITUTE(SUBSTITUTE(SUBSTITUTE(SUBSTITUTE(SUBSTITUTE(TRIM('월 가계부'!A2589),"년","-"),"월","-"),"일",""),".","-"),"/","-")," ","-"),"--","-"),"--","-"),"--","-")&amp;"-","")</f>
        <v/>
      </c>
      <c r="CI2589">
        <f>IFERROR(IF('월 가계부'!A2589="","",IF(ISNUMBER('월 가계부'!A2589),IF(AND('월 가계부'!A2589&gt;=19000101,'월 가계부'!A2589&lt;=21001231),IF(AND(MOD(INT('월 가계부'!A2589/100),100)&gt;=1,MOD(INT('월 가계부'!A2589/100),100)&lt;=12,MOD(INT('월 가계부'!A2589),100)&gt;=1,MOD(INT('월 가계부'!A2589),100)&lt;=31),IF(MONTH(DATE(INT('월 가계부'!A2589/10000),MOD(INT('월 가계부'!A2589/100),100),MOD(INT('월 가계부'!A2589),100)))=MOD(INT('월 가계부'!A2589/100),100),DATE(INT('월 가계부'!A2589/10000),MOD(INT('월 가계부'!A2589/100),100),MOD(INT('월 가계부'!A2589),100)),""),""),IF(AND('월 가계부'!A2589&gt;=36526,'월 가계부'!A2589&lt;73051),INT('월 가계부'!A2589),"")),IF(OR(CM2589="",CN2589="",CO2589=""),"",IF(AND(CM2589&gt;=2000,CM2589&lt;=2099,CN2589&gt;=1,CN2589&lt;=12,CO2589&gt;=1,CO2589&lt;=31),IF(MONTH(DATE(CM2589,CN2589,CO2589))=CN2589,DATE(CM2589,CN2589,CO2589),""),"")))),"")</f>
        <v/>
      </c>
      <c r="CJ2589">
        <f>IFERROR(IF('월 가계부'!C2589="","",IF(ISNUMBER('월 가계부'!C2589),'월 가계부'!C2589,VALUE(SUBSTITUTE(SUBSTITUTE(SUBSTITUTE(SUBSTITUTE(TRIM('월 가계부'!C2589),",",""),"원","")," ",""),"−","-")))),"")</f>
        <v/>
      </c>
      <c r="CK2589">
        <f>IF(ISNUMBER(CI2589),IF(CI2589&lt;$B$13,CI2589,""),"")</f>
        <v/>
      </c>
      <c r="CM2589">
        <f>IF(CH2589="","",IFERROR(IF(IF(AND(LEN(CH2589)=9,ISERROR(FIND("-",LEFT(CH2589,8))),ISNUMBER(-LEFT(CH2589,8))),VALUE(LEFT(CH2589,4)),VALUE(LEFT(CH2589,FIND("-",CH2589)-1)))&lt;100,IF(AND(LEN(CH2589)=9,ISERROR(FIND("-",LEFT(CH2589,8))),ISNUMBER(-LEFT(CH2589,8))),VALUE(LEFT(CH2589,4)),VALUE(LEFT(CH2589,FIND("-",CH2589)-1)))+2000,IF(AND(LEN(CH2589)=9,ISERROR(FIND("-",LEFT(CH2589,8))),ISNUMBER(-LEFT(CH2589,8))),VALUE(LEFT(CH2589,4)),VALUE(LEFT(CH2589,FIND("-",CH2589)-1)))),""))</f>
        <v/>
      </c>
      <c r="CN2589">
        <f>IF(CH2589="","",IFERROR(IF(AND(LEN(CH2589)=9,ISERROR(FIND("-",LEFT(CH2589,8))),ISNUMBER(-LEFT(CH2589,8))),VALUE(MID(CH2589,5,2)),VALUE(MID(CH2589,FIND("-",CH2589)+1,FIND("-",CH2589,FIND("-",CH2589)+1)-FIND("-",CH2589)-1))),""))</f>
        <v/>
      </c>
      <c r="CO2589">
        <f>IF(CH2589="","",IFERROR(IF(AND(LEN(CH2589)=9,ISERROR(FIND("-",LEFT(CH2589,8))),ISNUMBER(-LEFT(CH2589,8))),VALUE(MID(CH2589,7,2)),VALUE(MID(CH2589,FIND("-",CH2589,FIND("-",CH2589)+1)+1,FIND("-",CH2589,FIND("-",CH2589,FIND("-",CH2589)+1)+1)-FIND("-",CH2589,FIND("-",CH2589)+1)-1))),""))</f>
        <v/>
      </c>
    </row>
    <row r="2590">
      <c r="CH2590">
        <f>IF(ISTEXT('월 가계부'!A2590),SUBSTITUTE(SUBSTITUTE(SUBSTITUTE(SUBSTITUTE(SUBSTITUTE(SUBSTITUTE(SUBSTITUTE(SUBSTITUTE(SUBSTITUTE(TRIM('월 가계부'!A2590),"년","-"),"월","-"),"일",""),".","-"),"/","-")," ","-"),"--","-"),"--","-"),"--","-")&amp;"-","")</f>
        <v/>
      </c>
      <c r="CI2590">
        <f>IFERROR(IF('월 가계부'!A2590="","",IF(ISNUMBER('월 가계부'!A2590),IF(AND('월 가계부'!A2590&gt;=19000101,'월 가계부'!A2590&lt;=21001231),IF(AND(MOD(INT('월 가계부'!A2590/100),100)&gt;=1,MOD(INT('월 가계부'!A2590/100),100)&lt;=12,MOD(INT('월 가계부'!A2590),100)&gt;=1,MOD(INT('월 가계부'!A2590),100)&lt;=31),IF(MONTH(DATE(INT('월 가계부'!A2590/10000),MOD(INT('월 가계부'!A2590/100),100),MOD(INT('월 가계부'!A2590),100)))=MOD(INT('월 가계부'!A2590/100),100),DATE(INT('월 가계부'!A2590/10000),MOD(INT('월 가계부'!A2590/100),100),MOD(INT('월 가계부'!A2590),100)),""),""),IF(AND('월 가계부'!A2590&gt;=36526,'월 가계부'!A2590&lt;73051),INT('월 가계부'!A2590),"")),IF(OR(CM2590="",CN2590="",CO2590=""),"",IF(AND(CM2590&gt;=2000,CM2590&lt;=2099,CN2590&gt;=1,CN2590&lt;=12,CO2590&gt;=1,CO2590&lt;=31),IF(MONTH(DATE(CM2590,CN2590,CO2590))=CN2590,DATE(CM2590,CN2590,CO2590),""),"")))),"")</f>
        <v/>
      </c>
      <c r="CJ2590">
        <f>IFERROR(IF('월 가계부'!C2590="","",IF(ISNUMBER('월 가계부'!C2590),'월 가계부'!C2590,VALUE(SUBSTITUTE(SUBSTITUTE(SUBSTITUTE(SUBSTITUTE(TRIM('월 가계부'!C2590),",",""),"원","")," ",""),"−","-")))),"")</f>
        <v/>
      </c>
      <c r="CK2590">
        <f>IF(ISNUMBER(CI2590),IF(CI2590&lt;$B$13,CI2590,""),"")</f>
        <v/>
      </c>
      <c r="CM2590">
        <f>IF(CH2590="","",IFERROR(IF(IF(AND(LEN(CH2590)=9,ISERROR(FIND("-",LEFT(CH2590,8))),ISNUMBER(-LEFT(CH2590,8))),VALUE(LEFT(CH2590,4)),VALUE(LEFT(CH2590,FIND("-",CH2590)-1)))&lt;100,IF(AND(LEN(CH2590)=9,ISERROR(FIND("-",LEFT(CH2590,8))),ISNUMBER(-LEFT(CH2590,8))),VALUE(LEFT(CH2590,4)),VALUE(LEFT(CH2590,FIND("-",CH2590)-1)))+2000,IF(AND(LEN(CH2590)=9,ISERROR(FIND("-",LEFT(CH2590,8))),ISNUMBER(-LEFT(CH2590,8))),VALUE(LEFT(CH2590,4)),VALUE(LEFT(CH2590,FIND("-",CH2590)-1)))),""))</f>
        <v/>
      </c>
      <c r="CN2590">
        <f>IF(CH2590="","",IFERROR(IF(AND(LEN(CH2590)=9,ISERROR(FIND("-",LEFT(CH2590,8))),ISNUMBER(-LEFT(CH2590,8))),VALUE(MID(CH2590,5,2)),VALUE(MID(CH2590,FIND("-",CH2590)+1,FIND("-",CH2590,FIND("-",CH2590)+1)-FIND("-",CH2590)-1))),""))</f>
        <v/>
      </c>
      <c r="CO2590">
        <f>IF(CH2590="","",IFERROR(IF(AND(LEN(CH2590)=9,ISERROR(FIND("-",LEFT(CH2590,8))),ISNUMBER(-LEFT(CH2590,8))),VALUE(MID(CH2590,7,2)),VALUE(MID(CH2590,FIND("-",CH2590,FIND("-",CH2590)+1)+1,FIND("-",CH2590,FIND("-",CH2590,FIND("-",CH2590)+1)+1)-FIND("-",CH2590,FIND("-",CH2590)+1)-1))),""))</f>
        <v/>
      </c>
    </row>
    <row r="2591">
      <c r="CH2591">
        <f>IF(ISTEXT('월 가계부'!A2591),SUBSTITUTE(SUBSTITUTE(SUBSTITUTE(SUBSTITUTE(SUBSTITUTE(SUBSTITUTE(SUBSTITUTE(SUBSTITUTE(SUBSTITUTE(TRIM('월 가계부'!A2591),"년","-"),"월","-"),"일",""),".","-"),"/","-")," ","-"),"--","-"),"--","-"),"--","-")&amp;"-","")</f>
        <v/>
      </c>
      <c r="CI2591">
        <f>IFERROR(IF('월 가계부'!A2591="","",IF(ISNUMBER('월 가계부'!A2591),IF(AND('월 가계부'!A2591&gt;=19000101,'월 가계부'!A2591&lt;=21001231),IF(AND(MOD(INT('월 가계부'!A2591/100),100)&gt;=1,MOD(INT('월 가계부'!A2591/100),100)&lt;=12,MOD(INT('월 가계부'!A2591),100)&gt;=1,MOD(INT('월 가계부'!A2591),100)&lt;=31),IF(MONTH(DATE(INT('월 가계부'!A2591/10000),MOD(INT('월 가계부'!A2591/100),100),MOD(INT('월 가계부'!A2591),100)))=MOD(INT('월 가계부'!A2591/100),100),DATE(INT('월 가계부'!A2591/10000),MOD(INT('월 가계부'!A2591/100),100),MOD(INT('월 가계부'!A2591),100)),""),""),IF(AND('월 가계부'!A2591&gt;=36526,'월 가계부'!A2591&lt;73051),INT('월 가계부'!A2591),"")),IF(OR(CM2591="",CN2591="",CO2591=""),"",IF(AND(CM2591&gt;=2000,CM2591&lt;=2099,CN2591&gt;=1,CN2591&lt;=12,CO2591&gt;=1,CO2591&lt;=31),IF(MONTH(DATE(CM2591,CN2591,CO2591))=CN2591,DATE(CM2591,CN2591,CO2591),""),"")))),"")</f>
        <v/>
      </c>
      <c r="CJ2591">
        <f>IFERROR(IF('월 가계부'!C2591="","",IF(ISNUMBER('월 가계부'!C2591),'월 가계부'!C2591,VALUE(SUBSTITUTE(SUBSTITUTE(SUBSTITUTE(SUBSTITUTE(TRIM('월 가계부'!C2591),",",""),"원","")," ",""),"−","-")))),"")</f>
        <v/>
      </c>
      <c r="CK2591">
        <f>IF(ISNUMBER(CI2591),IF(CI2591&lt;$B$13,CI2591,""),"")</f>
        <v/>
      </c>
      <c r="CM2591">
        <f>IF(CH2591="","",IFERROR(IF(IF(AND(LEN(CH2591)=9,ISERROR(FIND("-",LEFT(CH2591,8))),ISNUMBER(-LEFT(CH2591,8))),VALUE(LEFT(CH2591,4)),VALUE(LEFT(CH2591,FIND("-",CH2591)-1)))&lt;100,IF(AND(LEN(CH2591)=9,ISERROR(FIND("-",LEFT(CH2591,8))),ISNUMBER(-LEFT(CH2591,8))),VALUE(LEFT(CH2591,4)),VALUE(LEFT(CH2591,FIND("-",CH2591)-1)))+2000,IF(AND(LEN(CH2591)=9,ISERROR(FIND("-",LEFT(CH2591,8))),ISNUMBER(-LEFT(CH2591,8))),VALUE(LEFT(CH2591,4)),VALUE(LEFT(CH2591,FIND("-",CH2591)-1)))),""))</f>
        <v/>
      </c>
      <c r="CN2591">
        <f>IF(CH2591="","",IFERROR(IF(AND(LEN(CH2591)=9,ISERROR(FIND("-",LEFT(CH2591,8))),ISNUMBER(-LEFT(CH2591,8))),VALUE(MID(CH2591,5,2)),VALUE(MID(CH2591,FIND("-",CH2591)+1,FIND("-",CH2591,FIND("-",CH2591)+1)-FIND("-",CH2591)-1))),""))</f>
        <v/>
      </c>
      <c r="CO2591">
        <f>IF(CH2591="","",IFERROR(IF(AND(LEN(CH2591)=9,ISERROR(FIND("-",LEFT(CH2591,8))),ISNUMBER(-LEFT(CH2591,8))),VALUE(MID(CH2591,7,2)),VALUE(MID(CH2591,FIND("-",CH2591,FIND("-",CH2591)+1)+1,FIND("-",CH2591,FIND("-",CH2591,FIND("-",CH2591)+1)+1)-FIND("-",CH2591,FIND("-",CH2591)+1)-1))),""))</f>
        <v/>
      </c>
    </row>
    <row r="2592">
      <c r="CH2592">
        <f>IF(ISTEXT('월 가계부'!A2592),SUBSTITUTE(SUBSTITUTE(SUBSTITUTE(SUBSTITUTE(SUBSTITUTE(SUBSTITUTE(SUBSTITUTE(SUBSTITUTE(SUBSTITUTE(TRIM('월 가계부'!A2592),"년","-"),"월","-"),"일",""),".","-"),"/","-")," ","-"),"--","-"),"--","-"),"--","-")&amp;"-","")</f>
        <v/>
      </c>
      <c r="CI2592">
        <f>IFERROR(IF('월 가계부'!A2592="","",IF(ISNUMBER('월 가계부'!A2592),IF(AND('월 가계부'!A2592&gt;=19000101,'월 가계부'!A2592&lt;=21001231),IF(AND(MOD(INT('월 가계부'!A2592/100),100)&gt;=1,MOD(INT('월 가계부'!A2592/100),100)&lt;=12,MOD(INT('월 가계부'!A2592),100)&gt;=1,MOD(INT('월 가계부'!A2592),100)&lt;=31),IF(MONTH(DATE(INT('월 가계부'!A2592/10000),MOD(INT('월 가계부'!A2592/100),100),MOD(INT('월 가계부'!A2592),100)))=MOD(INT('월 가계부'!A2592/100),100),DATE(INT('월 가계부'!A2592/10000),MOD(INT('월 가계부'!A2592/100),100),MOD(INT('월 가계부'!A2592),100)),""),""),IF(AND('월 가계부'!A2592&gt;=36526,'월 가계부'!A2592&lt;73051),INT('월 가계부'!A2592),"")),IF(OR(CM2592="",CN2592="",CO2592=""),"",IF(AND(CM2592&gt;=2000,CM2592&lt;=2099,CN2592&gt;=1,CN2592&lt;=12,CO2592&gt;=1,CO2592&lt;=31),IF(MONTH(DATE(CM2592,CN2592,CO2592))=CN2592,DATE(CM2592,CN2592,CO2592),""),"")))),"")</f>
        <v/>
      </c>
      <c r="CJ2592">
        <f>IFERROR(IF('월 가계부'!C2592="","",IF(ISNUMBER('월 가계부'!C2592),'월 가계부'!C2592,VALUE(SUBSTITUTE(SUBSTITUTE(SUBSTITUTE(SUBSTITUTE(TRIM('월 가계부'!C2592),",",""),"원","")," ",""),"−","-")))),"")</f>
        <v/>
      </c>
      <c r="CK2592">
        <f>IF(ISNUMBER(CI2592),IF(CI2592&lt;$B$13,CI2592,""),"")</f>
        <v/>
      </c>
      <c r="CM2592">
        <f>IF(CH2592="","",IFERROR(IF(IF(AND(LEN(CH2592)=9,ISERROR(FIND("-",LEFT(CH2592,8))),ISNUMBER(-LEFT(CH2592,8))),VALUE(LEFT(CH2592,4)),VALUE(LEFT(CH2592,FIND("-",CH2592)-1)))&lt;100,IF(AND(LEN(CH2592)=9,ISERROR(FIND("-",LEFT(CH2592,8))),ISNUMBER(-LEFT(CH2592,8))),VALUE(LEFT(CH2592,4)),VALUE(LEFT(CH2592,FIND("-",CH2592)-1)))+2000,IF(AND(LEN(CH2592)=9,ISERROR(FIND("-",LEFT(CH2592,8))),ISNUMBER(-LEFT(CH2592,8))),VALUE(LEFT(CH2592,4)),VALUE(LEFT(CH2592,FIND("-",CH2592)-1)))),""))</f>
        <v/>
      </c>
      <c r="CN2592">
        <f>IF(CH2592="","",IFERROR(IF(AND(LEN(CH2592)=9,ISERROR(FIND("-",LEFT(CH2592,8))),ISNUMBER(-LEFT(CH2592,8))),VALUE(MID(CH2592,5,2)),VALUE(MID(CH2592,FIND("-",CH2592)+1,FIND("-",CH2592,FIND("-",CH2592)+1)-FIND("-",CH2592)-1))),""))</f>
        <v/>
      </c>
      <c r="CO2592">
        <f>IF(CH2592="","",IFERROR(IF(AND(LEN(CH2592)=9,ISERROR(FIND("-",LEFT(CH2592,8))),ISNUMBER(-LEFT(CH2592,8))),VALUE(MID(CH2592,7,2)),VALUE(MID(CH2592,FIND("-",CH2592,FIND("-",CH2592)+1)+1,FIND("-",CH2592,FIND("-",CH2592,FIND("-",CH2592)+1)+1)-FIND("-",CH2592,FIND("-",CH2592)+1)-1))),""))</f>
        <v/>
      </c>
    </row>
    <row r="2593">
      <c r="CH2593">
        <f>IF(ISTEXT('월 가계부'!A2593),SUBSTITUTE(SUBSTITUTE(SUBSTITUTE(SUBSTITUTE(SUBSTITUTE(SUBSTITUTE(SUBSTITUTE(SUBSTITUTE(SUBSTITUTE(TRIM('월 가계부'!A2593),"년","-"),"월","-"),"일",""),".","-"),"/","-")," ","-"),"--","-"),"--","-"),"--","-")&amp;"-","")</f>
        <v/>
      </c>
      <c r="CI2593">
        <f>IFERROR(IF('월 가계부'!A2593="","",IF(ISNUMBER('월 가계부'!A2593),IF(AND('월 가계부'!A2593&gt;=19000101,'월 가계부'!A2593&lt;=21001231),IF(AND(MOD(INT('월 가계부'!A2593/100),100)&gt;=1,MOD(INT('월 가계부'!A2593/100),100)&lt;=12,MOD(INT('월 가계부'!A2593),100)&gt;=1,MOD(INT('월 가계부'!A2593),100)&lt;=31),IF(MONTH(DATE(INT('월 가계부'!A2593/10000),MOD(INT('월 가계부'!A2593/100),100),MOD(INT('월 가계부'!A2593),100)))=MOD(INT('월 가계부'!A2593/100),100),DATE(INT('월 가계부'!A2593/10000),MOD(INT('월 가계부'!A2593/100),100),MOD(INT('월 가계부'!A2593),100)),""),""),IF(AND('월 가계부'!A2593&gt;=36526,'월 가계부'!A2593&lt;73051),INT('월 가계부'!A2593),"")),IF(OR(CM2593="",CN2593="",CO2593=""),"",IF(AND(CM2593&gt;=2000,CM2593&lt;=2099,CN2593&gt;=1,CN2593&lt;=12,CO2593&gt;=1,CO2593&lt;=31),IF(MONTH(DATE(CM2593,CN2593,CO2593))=CN2593,DATE(CM2593,CN2593,CO2593),""),"")))),"")</f>
        <v/>
      </c>
      <c r="CJ2593">
        <f>IFERROR(IF('월 가계부'!C2593="","",IF(ISNUMBER('월 가계부'!C2593),'월 가계부'!C2593,VALUE(SUBSTITUTE(SUBSTITUTE(SUBSTITUTE(SUBSTITUTE(TRIM('월 가계부'!C2593),",",""),"원","")," ",""),"−","-")))),"")</f>
        <v/>
      </c>
      <c r="CK2593">
        <f>IF(ISNUMBER(CI2593),IF(CI2593&lt;$B$13,CI2593,""),"")</f>
        <v/>
      </c>
      <c r="CM2593">
        <f>IF(CH2593="","",IFERROR(IF(IF(AND(LEN(CH2593)=9,ISERROR(FIND("-",LEFT(CH2593,8))),ISNUMBER(-LEFT(CH2593,8))),VALUE(LEFT(CH2593,4)),VALUE(LEFT(CH2593,FIND("-",CH2593)-1)))&lt;100,IF(AND(LEN(CH2593)=9,ISERROR(FIND("-",LEFT(CH2593,8))),ISNUMBER(-LEFT(CH2593,8))),VALUE(LEFT(CH2593,4)),VALUE(LEFT(CH2593,FIND("-",CH2593)-1)))+2000,IF(AND(LEN(CH2593)=9,ISERROR(FIND("-",LEFT(CH2593,8))),ISNUMBER(-LEFT(CH2593,8))),VALUE(LEFT(CH2593,4)),VALUE(LEFT(CH2593,FIND("-",CH2593)-1)))),""))</f>
        <v/>
      </c>
      <c r="CN2593">
        <f>IF(CH2593="","",IFERROR(IF(AND(LEN(CH2593)=9,ISERROR(FIND("-",LEFT(CH2593,8))),ISNUMBER(-LEFT(CH2593,8))),VALUE(MID(CH2593,5,2)),VALUE(MID(CH2593,FIND("-",CH2593)+1,FIND("-",CH2593,FIND("-",CH2593)+1)-FIND("-",CH2593)-1))),""))</f>
        <v/>
      </c>
      <c r="CO2593">
        <f>IF(CH2593="","",IFERROR(IF(AND(LEN(CH2593)=9,ISERROR(FIND("-",LEFT(CH2593,8))),ISNUMBER(-LEFT(CH2593,8))),VALUE(MID(CH2593,7,2)),VALUE(MID(CH2593,FIND("-",CH2593,FIND("-",CH2593)+1)+1,FIND("-",CH2593,FIND("-",CH2593,FIND("-",CH2593)+1)+1)-FIND("-",CH2593,FIND("-",CH2593)+1)-1))),""))</f>
        <v/>
      </c>
    </row>
    <row r="2594">
      <c r="CH2594">
        <f>IF(ISTEXT('월 가계부'!A2594),SUBSTITUTE(SUBSTITUTE(SUBSTITUTE(SUBSTITUTE(SUBSTITUTE(SUBSTITUTE(SUBSTITUTE(SUBSTITUTE(SUBSTITUTE(TRIM('월 가계부'!A2594),"년","-"),"월","-"),"일",""),".","-"),"/","-")," ","-"),"--","-"),"--","-"),"--","-")&amp;"-","")</f>
        <v/>
      </c>
      <c r="CI2594">
        <f>IFERROR(IF('월 가계부'!A2594="","",IF(ISNUMBER('월 가계부'!A2594),IF(AND('월 가계부'!A2594&gt;=19000101,'월 가계부'!A2594&lt;=21001231),IF(AND(MOD(INT('월 가계부'!A2594/100),100)&gt;=1,MOD(INT('월 가계부'!A2594/100),100)&lt;=12,MOD(INT('월 가계부'!A2594),100)&gt;=1,MOD(INT('월 가계부'!A2594),100)&lt;=31),IF(MONTH(DATE(INT('월 가계부'!A2594/10000),MOD(INT('월 가계부'!A2594/100),100),MOD(INT('월 가계부'!A2594),100)))=MOD(INT('월 가계부'!A2594/100),100),DATE(INT('월 가계부'!A2594/10000),MOD(INT('월 가계부'!A2594/100),100),MOD(INT('월 가계부'!A2594),100)),""),""),IF(AND('월 가계부'!A2594&gt;=36526,'월 가계부'!A2594&lt;73051),INT('월 가계부'!A2594),"")),IF(OR(CM2594="",CN2594="",CO2594=""),"",IF(AND(CM2594&gt;=2000,CM2594&lt;=2099,CN2594&gt;=1,CN2594&lt;=12,CO2594&gt;=1,CO2594&lt;=31),IF(MONTH(DATE(CM2594,CN2594,CO2594))=CN2594,DATE(CM2594,CN2594,CO2594),""),"")))),"")</f>
        <v/>
      </c>
      <c r="CJ2594">
        <f>IFERROR(IF('월 가계부'!C2594="","",IF(ISNUMBER('월 가계부'!C2594),'월 가계부'!C2594,VALUE(SUBSTITUTE(SUBSTITUTE(SUBSTITUTE(SUBSTITUTE(TRIM('월 가계부'!C2594),",",""),"원","")," ",""),"−","-")))),"")</f>
        <v/>
      </c>
      <c r="CK2594">
        <f>IF(ISNUMBER(CI2594),IF(CI2594&lt;$B$13,CI2594,""),"")</f>
        <v/>
      </c>
      <c r="CM2594">
        <f>IF(CH2594="","",IFERROR(IF(IF(AND(LEN(CH2594)=9,ISERROR(FIND("-",LEFT(CH2594,8))),ISNUMBER(-LEFT(CH2594,8))),VALUE(LEFT(CH2594,4)),VALUE(LEFT(CH2594,FIND("-",CH2594)-1)))&lt;100,IF(AND(LEN(CH2594)=9,ISERROR(FIND("-",LEFT(CH2594,8))),ISNUMBER(-LEFT(CH2594,8))),VALUE(LEFT(CH2594,4)),VALUE(LEFT(CH2594,FIND("-",CH2594)-1)))+2000,IF(AND(LEN(CH2594)=9,ISERROR(FIND("-",LEFT(CH2594,8))),ISNUMBER(-LEFT(CH2594,8))),VALUE(LEFT(CH2594,4)),VALUE(LEFT(CH2594,FIND("-",CH2594)-1)))),""))</f>
        <v/>
      </c>
      <c r="CN2594">
        <f>IF(CH2594="","",IFERROR(IF(AND(LEN(CH2594)=9,ISERROR(FIND("-",LEFT(CH2594,8))),ISNUMBER(-LEFT(CH2594,8))),VALUE(MID(CH2594,5,2)),VALUE(MID(CH2594,FIND("-",CH2594)+1,FIND("-",CH2594,FIND("-",CH2594)+1)-FIND("-",CH2594)-1))),""))</f>
        <v/>
      </c>
      <c r="CO2594">
        <f>IF(CH2594="","",IFERROR(IF(AND(LEN(CH2594)=9,ISERROR(FIND("-",LEFT(CH2594,8))),ISNUMBER(-LEFT(CH2594,8))),VALUE(MID(CH2594,7,2)),VALUE(MID(CH2594,FIND("-",CH2594,FIND("-",CH2594)+1)+1,FIND("-",CH2594,FIND("-",CH2594,FIND("-",CH2594)+1)+1)-FIND("-",CH2594,FIND("-",CH2594)+1)-1))),""))</f>
        <v/>
      </c>
    </row>
    <row r="2595">
      <c r="CH2595">
        <f>IF(ISTEXT('월 가계부'!A2595),SUBSTITUTE(SUBSTITUTE(SUBSTITUTE(SUBSTITUTE(SUBSTITUTE(SUBSTITUTE(SUBSTITUTE(SUBSTITUTE(SUBSTITUTE(TRIM('월 가계부'!A2595),"년","-"),"월","-"),"일",""),".","-"),"/","-")," ","-"),"--","-"),"--","-"),"--","-")&amp;"-","")</f>
        <v/>
      </c>
      <c r="CI2595">
        <f>IFERROR(IF('월 가계부'!A2595="","",IF(ISNUMBER('월 가계부'!A2595),IF(AND('월 가계부'!A2595&gt;=19000101,'월 가계부'!A2595&lt;=21001231),IF(AND(MOD(INT('월 가계부'!A2595/100),100)&gt;=1,MOD(INT('월 가계부'!A2595/100),100)&lt;=12,MOD(INT('월 가계부'!A2595),100)&gt;=1,MOD(INT('월 가계부'!A2595),100)&lt;=31),IF(MONTH(DATE(INT('월 가계부'!A2595/10000),MOD(INT('월 가계부'!A2595/100),100),MOD(INT('월 가계부'!A2595),100)))=MOD(INT('월 가계부'!A2595/100),100),DATE(INT('월 가계부'!A2595/10000),MOD(INT('월 가계부'!A2595/100),100),MOD(INT('월 가계부'!A2595),100)),""),""),IF(AND('월 가계부'!A2595&gt;=36526,'월 가계부'!A2595&lt;73051),INT('월 가계부'!A2595),"")),IF(OR(CM2595="",CN2595="",CO2595=""),"",IF(AND(CM2595&gt;=2000,CM2595&lt;=2099,CN2595&gt;=1,CN2595&lt;=12,CO2595&gt;=1,CO2595&lt;=31),IF(MONTH(DATE(CM2595,CN2595,CO2595))=CN2595,DATE(CM2595,CN2595,CO2595),""),"")))),"")</f>
        <v/>
      </c>
      <c r="CJ2595">
        <f>IFERROR(IF('월 가계부'!C2595="","",IF(ISNUMBER('월 가계부'!C2595),'월 가계부'!C2595,VALUE(SUBSTITUTE(SUBSTITUTE(SUBSTITUTE(SUBSTITUTE(TRIM('월 가계부'!C2595),",",""),"원","")," ",""),"−","-")))),"")</f>
        <v/>
      </c>
      <c r="CK2595">
        <f>IF(ISNUMBER(CI2595),IF(CI2595&lt;$B$13,CI2595,""),"")</f>
        <v/>
      </c>
      <c r="CM2595">
        <f>IF(CH2595="","",IFERROR(IF(IF(AND(LEN(CH2595)=9,ISERROR(FIND("-",LEFT(CH2595,8))),ISNUMBER(-LEFT(CH2595,8))),VALUE(LEFT(CH2595,4)),VALUE(LEFT(CH2595,FIND("-",CH2595)-1)))&lt;100,IF(AND(LEN(CH2595)=9,ISERROR(FIND("-",LEFT(CH2595,8))),ISNUMBER(-LEFT(CH2595,8))),VALUE(LEFT(CH2595,4)),VALUE(LEFT(CH2595,FIND("-",CH2595)-1)))+2000,IF(AND(LEN(CH2595)=9,ISERROR(FIND("-",LEFT(CH2595,8))),ISNUMBER(-LEFT(CH2595,8))),VALUE(LEFT(CH2595,4)),VALUE(LEFT(CH2595,FIND("-",CH2595)-1)))),""))</f>
        <v/>
      </c>
      <c r="CN2595">
        <f>IF(CH2595="","",IFERROR(IF(AND(LEN(CH2595)=9,ISERROR(FIND("-",LEFT(CH2595,8))),ISNUMBER(-LEFT(CH2595,8))),VALUE(MID(CH2595,5,2)),VALUE(MID(CH2595,FIND("-",CH2595)+1,FIND("-",CH2595,FIND("-",CH2595)+1)-FIND("-",CH2595)-1))),""))</f>
        <v/>
      </c>
      <c r="CO2595">
        <f>IF(CH2595="","",IFERROR(IF(AND(LEN(CH2595)=9,ISERROR(FIND("-",LEFT(CH2595,8))),ISNUMBER(-LEFT(CH2595,8))),VALUE(MID(CH2595,7,2)),VALUE(MID(CH2595,FIND("-",CH2595,FIND("-",CH2595)+1)+1,FIND("-",CH2595,FIND("-",CH2595,FIND("-",CH2595)+1)+1)-FIND("-",CH2595,FIND("-",CH2595)+1)-1))),""))</f>
        <v/>
      </c>
    </row>
    <row r="2596">
      <c r="CH2596">
        <f>IF(ISTEXT('월 가계부'!A2596),SUBSTITUTE(SUBSTITUTE(SUBSTITUTE(SUBSTITUTE(SUBSTITUTE(SUBSTITUTE(SUBSTITUTE(SUBSTITUTE(SUBSTITUTE(TRIM('월 가계부'!A2596),"년","-"),"월","-"),"일",""),".","-"),"/","-")," ","-"),"--","-"),"--","-"),"--","-")&amp;"-","")</f>
        <v/>
      </c>
      <c r="CI2596">
        <f>IFERROR(IF('월 가계부'!A2596="","",IF(ISNUMBER('월 가계부'!A2596),IF(AND('월 가계부'!A2596&gt;=19000101,'월 가계부'!A2596&lt;=21001231),IF(AND(MOD(INT('월 가계부'!A2596/100),100)&gt;=1,MOD(INT('월 가계부'!A2596/100),100)&lt;=12,MOD(INT('월 가계부'!A2596),100)&gt;=1,MOD(INT('월 가계부'!A2596),100)&lt;=31),IF(MONTH(DATE(INT('월 가계부'!A2596/10000),MOD(INT('월 가계부'!A2596/100),100),MOD(INT('월 가계부'!A2596),100)))=MOD(INT('월 가계부'!A2596/100),100),DATE(INT('월 가계부'!A2596/10000),MOD(INT('월 가계부'!A2596/100),100),MOD(INT('월 가계부'!A2596),100)),""),""),IF(AND('월 가계부'!A2596&gt;=36526,'월 가계부'!A2596&lt;73051),INT('월 가계부'!A2596),"")),IF(OR(CM2596="",CN2596="",CO2596=""),"",IF(AND(CM2596&gt;=2000,CM2596&lt;=2099,CN2596&gt;=1,CN2596&lt;=12,CO2596&gt;=1,CO2596&lt;=31),IF(MONTH(DATE(CM2596,CN2596,CO2596))=CN2596,DATE(CM2596,CN2596,CO2596),""),"")))),"")</f>
        <v/>
      </c>
      <c r="CJ2596">
        <f>IFERROR(IF('월 가계부'!C2596="","",IF(ISNUMBER('월 가계부'!C2596),'월 가계부'!C2596,VALUE(SUBSTITUTE(SUBSTITUTE(SUBSTITUTE(SUBSTITUTE(TRIM('월 가계부'!C2596),",",""),"원","")," ",""),"−","-")))),"")</f>
        <v/>
      </c>
      <c r="CK2596">
        <f>IF(ISNUMBER(CI2596),IF(CI2596&lt;$B$13,CI2596,""),"")</f>
        <v/>
      </c>
      <c r="CM2596">
        <f>IF(CH2596="","",IFERROR(IF(IF(AND(LEN(CH2596)=9,ISERROR(FIND("-",LEFT(CH2596,8))),ISNUMBER(-LEFT(CH2596,8))),VALUE(LEFT(CH2596,4)),VALUE(LEFT(CH2596,FIND("-",CH2596)-1)))&lt;100,IF(AND(LEN(CH2596)=9,ISERROR(FIND("-",LEFT(CH2596,8))),ISNUMBER(-LEFT(CH2596,8))),VALUE(LEFT(CH2596,4)),VALUE(LEFT(CH2596,FIND("-",CH2596)-1)))+2000,IF(AND(LEN(CH2596)=9,ISERROR(FIND("-",LEFT(CH2596,8))),ISNUMBER(-LEFT(CH2596,8))),VALUE(LEFT(CH2596,4)),VALUE(LEFT(CH2596,FIND("-",CH2596)-1)))),""))</f>
        <v/>
      </c>
      <c r="CN2596">
        <f>IF(CH2596="","",IFERROR(IF(AND(LEN(CH2596)=9,ISERROR(FIND("-",LEFT(CH2596,8))),ISNUMBER(-LEFT(CH2596,8))),VALUE(MID(CH2596,5,2)),VALUE(MID(CH2596,FIND("-",CH2596)+1,FIND("-",CH2596,FIND("-",CH2596)+1)-FIND("-",CH2596)-1))),""))</f>
        <v/>
      </c>
      <c r="CO2596">
        <f>IF(CH2596="","",IFERROR(IF(AND(LEN(CH2596)=9,ISERROR(FIND("-",LEFT(CH2596,8))),ISNUMBER(-LEFT(CH2596,8))),VALUE(MID(CH2596,7,2)),VALUE(MID(CH2596,FIND("-",CH2596,FIND("-",CH2596)+1)+1,FIND("-",CH2596,FIND("-",CH2596,FIND("-",CH2596)+1)+1)-FIND("-",CH2596,FIND("-",CH2596)+1)-1))),""))</f>
        <v/>
      </c>
    </row>
    <row r="2597">
      <c r="CH2597">
        <f>IF(ISTEXT('월 가계부'!A2597),SUBSTITUTE(SUBSTITUTE(SUBSTITUTE(SUBSTITUTE(SUBSTITUTE(SUBSTITUTE(SUBSTITUTE(SUBSTITUTE(SUBSTITUTE(TRIM('월 가계부'!A2597),"년","-"),"월","-"),"일",""),".","-"),"/","-")," ","-"),"--","-"),"--","-"),"--","-")&amp;"-","")</f>
        <v/>
      </c>
      <c r="CI2597">
        <f>IFERROR(IF('월 가계부'!A2597="","",IF(ISNUMBER('월 가계부'!A2597),IF(AND('월 가계부'!A2597&gt;=19000101,'월 가계부'!A2597&lt;=21001231),IF(AND(MOD(INT('월 가계부'!A2597/100),100)&gt;=1,MOD(INT('월 가계부'!A2597/100),100)&lt;=12,MOD(INT('월 가계부'!A2597),100)&gt;=1,MOD(INT('월 가계부'!A2597),100)&lt;=31),IF(MONTH(DATE(INT('월 가계부'!A2597/10000),MOD(INT('월 가계부'!A2597/100),100),MOD(INT('월 가계부'!A2597),100)))=MOD(INT('월 가계부'!A2597/100),100),DATE(INT('월 가계부'!A2597/10000),MOD(INT('월 가계부'!A2597/100),100),MOD(INT('월 가계부'!A2597),100)),""),""),IF(AND('월 가계부'!A2597&gt;=36526,'월 가계부'!A2597&lt;73051),INT('월 가계부'!A2597),"")),IF(OR(CM2597="",CN2597="",CO2597=""),"",IF(AND(CM2597&gt;=2000,CM2597&lt;=2099,CN2597&gt;=1,CN2597&lt;=12,CO2597&gt;=1,CO2597&lt;=31),IF(MONTH(DATE(CM2597,CN2597,CO2597))=CN2597,DATE(CM2597,CN2597,CO2597),""),"")))),"")</f>
        <v/>
      </c>
      <c r="CJ2597">
        <f>IFERROR(IF('월 가계부'!C2597="","",IF(ISNUMBER('월 가계부'!C2597),'월 가계부'!C2597,VALUE(SUBSTITUTE(SUBSTITUTE(SUBSTITUTE(SUBSTITUTE(TRIM('월 가계부'!C2597),",",""),"원","")," ",""),"−","-")))),"")</f>
        <v/>
      </c>
      <c r="CK2597">
        <f>IF(ISNUMBER(CI2597),IF(CI2597&lt;$B$13,CI2597,""),"")</f>
        <v/>
      </c>
      <c r="CM2597">
        <f>IF(CH2597="","",IFERROR(IF(IF(AND(LEN(CH2597)=9,ISERROR(FIND("-",LEFT(CH2597,8))),ISNUMBER(-LEFT(CH2597,8))),VALUE(LEFT(CH2597,4)),VALUE(LEFT(CH2597,FIND("-",CH2597)-1)))&lt;100,IF(AND(LEN(CH2597)=9,ISERROR(FIND("-",LEFT(CH2597,8))),ISNUMBER(-LEFT(CH2597,8))),VALUE(LEFT(CH2597,4)),VALUE(LEFT(CH2597,FIND("-",CH2597)-1)))+2000,IF(AND(LEN(CH2597)=9,ISERROR(FIND("-",LEFT(CH2597,8))),ISNUMBER(-LEFT(CH2597,8))),VALUE(LEFT(CH2597,4)),VALUE(LEFT(CH2597,FIND("-",CH2597)-1)))),""))</f>
        <v/>
      </c>
      <c r="CN2597">
        <f>IF(CH2597="","",IFERROR(IF(AND(LEN(CH2597)=9,ISERROR(FIND("-",LEFT(CH2597,8))),ISNUMBER(-LEFT(CH2597,8))),VALUE(MID(CH2597,5,2)),VALUE(MID(CH2597,FIND("-",CH2597)+1,FIND("-",CH2597,FIND("-",CH2597)+1)-FIND("-",CH2597)-1))),""))</f>
        <v/>
      </c>
      <c r="CO2597">
        <f>IF(CH2597="","",IFERROR(IF(AND(LEN(CH2597)=9,ISERROR(FIND("-",LEFT(CH2597,8))),ISNUMBER(-LEFT(CH2597,8))),VALUE(MID(CH2597,7,2)),VALUE(MID(CH2597,FIND("-",CH2597,FIND("-",CH2597)+1)+1,FIND("-",CH2597,FIND("-",CH2597,FIND("-",CH2597)+1)+1)-FIND("-",CH2597,FIND("-",CH2597)+1)-1))),""))</f>
        <v/>
      </c>
    </row>
    <row r="2598">
      <c r="CH2598">
        <f>IF(ISTEXT('월 가계부'!A2598),SUBSTITUTE(SUBSTITUTE(SUBSTITUTE(SUBSTITUTE(SUBSTITUTE(SUBSTITUTE(SUBSTITUTE(SUBSTITUTE(SUBSTITUTE(TRIM('월 가계부'!A2598),"년","-"),"월","-"),"일",""),".","-"),"/","-")," ","-"),"--","-"),"--","-"),"--","-")&amp;"-","")</f>
        <v/>
      </c>
      <c r="CI2598">
        <f>IFERROR(IF('월 가계부'!A2598="","",IF(ISNUMBER('월 가계부'!A2598),IF(AND('월 가계부'!A2598&gt;=19000101,'월 가계부'!A2598&lt;=21001231),IF(AND(MOD(INT('월 가계부'!A2598/100),100)&gt;=1,MOD(INT('월 가계부'!A2598/100),100)&lt;=12,MOD(INT('월 가계부'!A2598),100)&gt;=1,MOD(INT('월 가계부'!A2598),100)&lt;=31),IF(MONTH(DATE(INT('월 가계부'!A2598/10000),MOD(INT('월 가계부'!A2598/100),100),MOD(INT('월 가계부'!A2598),100)))=MOD(INT('월 가계부'!A2598/100),100),DATE(INT('월 가계부'!A2598/10000),MOD(INT('월 가계부'!A2598/100),100),MOD(INT('월 가계부'!A2598),100)),""),""),IF(AND('월 가계부'!A2598&gt;=36526,'월 가계부'!A2598&lt;73051),INT('월 가계부'!A2598),"")),IF(OR(CM2598="",CN2598="",CO2598=""),"",IF(AND(CM2598&gt;=2000,CM2598&lt;=2099,CN2598&gt;=1,CN2598&lt;=12,CO2598&gt;=1,CO2598&lt;=31),IF(MONTH(DATE(CM2598,CN2598,CO2598))=CN2598,DATE(CM2598,CN2598,CO2598),""),"")))),"")</f>
        <v/>
      </c>
      <c r="CJ2598">
        <f>IFERROR(IF('월 가계부'!C2598="","",IF(ISNUMBER('월 가계부'!C2598),'월 가계부'!C2598,VALUE(SUBSTITUTE(SUBSTITUTE(SUBSTITUTE(SUBSTITUTE(TRIM('월 가계부'!C2598),",",""),"원","")," ",""),"−","-")))),"")</f>
        <v/>
      </c>
      <c r="CK2598">
        <f>IF(ISNUMBER(CI2598),IF(CI2598&lt;$B$13,CI2598,""),"")</f>
        <v/>
      </c>
      <c r="CM2598">
        <f>IF(CH2598="","",IFERROR(IF(IF(AND(LEN(CH2598)=9,ISERROR(FIND("-",LEFT(CH2598,8))),ISNUMBER(-LEFT(CH2598,8))),VALUE(LEFT(CH2598,4)),VALUE(LEFT(CH2598,FIND("-",CH2598)-1)))&lt;100,IF(AND(LEN(CH2598)=9,ISERROR(FIND("-",LEFT(CH2598,8))),ISNUMBER(-LEFT(CH2598,8))),VALUE(LEFT(CH2598,4)),VALUE(LEFT(CH2598,FIND("-",CH2598)-1)))+2000,IF(AND(LEN(CH2598)=9,ISERROR(FIND("-",LEFT(CH2598,8))),ISNUMBER(-LEFT(CH2598,8))),VALUE(LEFT(CH2598,4)),VALUE(LEFT(CH2598,FIND("-",CH2598)-1)))),""))</f>
        <v/>
      </c>
      <c r="CN2598">
        <f>IF(CH2598="","",IFERROR(IF(AND(LEN(CH2598)=9,ISERROR(FIND("-",LEFT(CH2598,8))),ISNUMBER(-LEFT(CH2598,8))),VALUE(MID(CH2598,5,2)),VALUE(MID(CH2598,FIND("-",CH2598)+1,FIND("-",CH2598,FIND("-",CH2598)+1)-FIND("-",CH2598)-1))),""))</f>
        <v/>
      </c>
      <c r="CO2598">
        <f>IF(CH2598="","",IFERROR(IF(AND(LEN(CH2598)=9,ISERROR(FIND("-",LEFT(CH2598,8))),ISNUMBER(-LEFT(CH2598,8))),VALUE(MID(CH2598,7,2)),VALUE(MID(CH2598,FIND("-",CH2598,FIND("-",CH2598)+1)+1,FIND("-",CH2598,FIND("-",CH2598,FIND("-",CH2598)+1)+1)-FIND("-",CH2598,FIND("-",CH2598)+1)-1))),""))</f>
        <v/>
      </c>
    </row>
    <row r="2599">
      <c r="CH2599">
        <f>IF(ISTEXT('월 가계부'!A2599),SUBSTITUTE(SUBSTITUTE(SUBSTITUTE(SUBSTITUTE(SUBSTITUTE(SUBSTITUTE(SUBSTITUTE(SUBSTITUTE(SUBSTITUTE(TRIM('월 가계부'!A2599),"년","-"),"월","-"),"일",""),".","-"),"/","-")," ","-"),"--","-"),"--","-"),"--","-")&amp;"-","")</f>
        <v/>
      </c>
      <c r="CI2599">
        <f>IFERROR(IF('월 가계부'!A2599="","",IF(ISNUMBER('월 가계부'!A2599),IF(AND('월 가계부'!A2599&gt;=19000101,'월 가계부'!A2599&lt;=21001231),IF(AND(MOD(INT('월 가계부'!A2599/100),100)&gt;=1,MOD(INT('월 가계부'!A2599/100),100)&lt;=12,MOD(INT('월 가계부'!A2599),100)&gt;=1,MOD(INT('월 가계부'!A2599),100)&lt;=31),IF(MONTH(DATE(INT('월 가계부'!A2599/10000),MOD(INT('월 가계부'!A2599/100),100),MOD(INT('월 가계부'!A2599),100)))=MOD(INT('월 가계부'!A2599/100),100),DATE(INT('월 가계부'!A2599/10000),MOD(INT('월 가계부'!A2599/100),100),MOD(INT('월 가계부'!A2599),100)),""),""),IF(AND('월 가계부'!A2599&gt;=36526,'월 가계부'!A2599&lt;73051),INT('월 가계부'!A2599),"")),IF(OR(CM2599="",CN2599="",CO2599=""),"",IF(AND(CM2599&gt;=2000,CM2599&lt;=2099,CN2599&gt;=1,CN2599&lt;=12,CO2599&gt;=1,CO2599&lt;=31),IF(MONTH(DATE(CM2599,CN2599,CO2599))=CN2599,DATE(CM2599,CN2599,CO2599),""),"")))),"")</f>
        <v/>
      </c>
      <c r="CJ2599">
        <f>IFERROR(IF('월 가계부'!C2599="","",IF(ISNUMBER('월 가계부'!C2599),'월 가계부'!C2599,VALUE(SUBSTITUTE(SUBSTITUTE(SUBSTITUTE(SUBSTITUTE(TRIM('월 가계부'!C2599),",",""),"원","")," ",""),"−","-")))),"")</f>
        <v/>
      </c>
      <c r="CK2599">
        <f>IF(ISNUMBER(CI2599),IF(CI2599&lt;$B$13,CI2599,""),"")</f>
        <v/>
      </c>
      <c r="CM2599">
        <f>IF(CH2599="","",IFERROR(IF(IF(AND(LEN(CH2599)=9,ISERROR(FIND("-",LEFT(CH2599,8))),ISNUMBER(-LEFT(CH2599,8))),VALUE(LEFT(CH2599,4)),VALUE(LEFT(CH2599,FIND("-",CH2599)-1)))&lt;100,IF(AND(LEN(CH2599)=9,ISERROR(FIND("-",LEFT(CH2599,8))),ISNUMBER(-LEFT(CH2599,8))),VALUE(LEFT(CH2599,4)),VALUE(LEFT(CH2599,FIND("-",CH2599)-1)))+2000,IF(AND(LEN(CH2599)=9,ISERROR(FIND("-",LEFT(CH2599,8))),ISNUMBER(-LEFT(CH2599,8))),VALUE(LEFT(CH2599,4)),VALUE(LEFT(CH2599,FIND("-",CH2599)-1)))),""))</f>
        <v/>
      </c>
      <c r="CN2599">
        <f>IF(CH2599="","",IFERROR(IF(AND(LEN(CH2599)=9,ISERROR(FIND("-",LEFT(CH2599,8))),ISNUMBER(-LEFT(CH2599,8))),VALUE(MID(CH2599,5,2)),VALUE(MID(CH2599,FIND("-",CH2599)+1,FIND("-",CH2599,FIND("-",CH2599)+1)-FIND("-",CH2599)-1))),""))</f>
        <v/>
      </c>
      <c r="CO2599">
        <f>IF(CH2599="","",IFERROR(IF(AND(LEN(CH2599)=9,ISERROR(FIND("-",LEFT(CH2599,8))),ISNUMBER(-LEFT(CH2599,8))),VALUE(MID(CH2599,7,2)),VALUE(MID(CH2599,FIND("-",CH2599,FIND("-",CH2599)+1)+1,FIND("-",CH2599,FIND("-",CH2599,FIND("-",CH2599)+1)+1)-FIND("-",CH2599,FIND("-",CH2599)+1)-1))),""))</f>
        <v/>
      </c>
    </row>
    <row r="2600">
      <c r="CH2600">
        <f>IF(ISTEXT('월 가계부'!A2600),SUBSTITUTE(SUBSTITUTE(SUBSTITUTE(SUBSTITUTE(SUBSTITUTE(SUBSTITUTE(SUBSTITUTE(SUBSTITUTE(SUBSTITUTE(TRIM('월 가계부'!A2600),"년","-"),"월","-"),"일",""),".","-"),"/","-")," ","-"),"--","-"),"--","-"),"--","-")&amp;"-","")</f>
        <v/>
      </c>
      <c r="CI2600">
        <f>IFERROR(IF('월 가계부'!A2600="","",IF(ISNUMBER('월 가계부'!A2600),IF(AND('월 가계부'!A2600&gt;=19000101,'월 가계부'!A2600&lt;=21001231),IF(AND(MOD(INT('월 가계부'!A2600/100),100)&gt;=1,MOD(INT('월 가계부'!A2600/100),100)&lt;=12,MOD(INT('월 가계부'!A2600),100)&gt;=1,MOD(INT('월 가계부'!A2600),100)&lt;=31),IF(MONTH(DATE(INT('월 가계부'!A2600/10000),MOD(INT('월 가계부'!A2600/100),100),MOD(INT('월 가계부'!A2600),100)))=MOD(INT('월 가계부'!A2600/100),100),DATE(INT('월 가계부'!A2600/10000),MOD(INT('월 가계부'!A2600/100),100),MOD(INT('월 가계부'!A2600),100)),""),""),IF(AND('월 가계부'!A2600&gt;=36526,'월 가계부'!A2600&lt;73051),INT('월 가계부'!A2600),"")),IF(OR(CM2600="",CN2600="",CO2600=""),"",IF(AND(CM2600&gt;=2000,CM2600&lt;=2099,CN2600&gt;=1,CN2600&lt;=12,CO2600&gt;=1,CO2600&lt;=31),IF(MONTH(DATE(CM2600,CN2600,CO2600))=CN2600,DATE(CM2600,CN2600,CO2600),""),"")))),"")</f>
        <v/>
      </c>
      <c r="CJ2600">
        <f>IFERROR(IF('월 가계부'!C2600="","",IF(ISNUMBER('월 가계부'!C2600),'월 가계부'!C2600,VALUE(SUBSTITUTE(SUBSTITUTE(SUBSTITUTE(SUBSTITUTE(TRIM('월 가계부'!C2600),",",""),"원","")," ",""),"−","-")))),"")</f>
        <v/>
      </c>
      <c r="CK2600">
        <f>IF(ISNUMBER(CI2600),IF(CI2600&lt;$B$13,CI2600,""),"")</f>
        <v/>
      </c>
      <c r="CM2600">
        <f>IF(CH2600="","",IFERROR(IF(IF(AND(LEN(CH2600)=9,ISERROR(FIND("-",LEFT(CH2600,8))),ISNUMBER(-LEFT(CH2600,8))),VALUE(LEFT(CH2600,4)),VALUE(LEFT(CH2600,FIND("-",CH2600)-1)))&lt;100,IF(AND(LEN(CH2600)=9,ISERROR(FIND("-",LEFT(CH2600,8))),ISNUMBER(-LEFT(CH2600,8))),VALUE(LEFT(CH2600,4)),VALUE(LEFT(CH2600,FIND("-",CH2600)-1)))+2000,IF(AND(LEN(CH2600)=9,ISERROR(FIND("-",LEFT(CH2600,8))),ISNUMBER(-LEFT(CH2600,8))),VALUE(LEFT(CH2600,4)),VALUE(LEFT(CH2600,FIND("-",CH2600)-1)))),""))</f>
        <v/>
      </c>
      <c r="CN2600">
        <f>IF(CH2600="","",IFERROR(IF(AND(LEN(CH2600)=9,ISERROR(FIND("-",LEFT(CH2600,8))),ISNUMBER(-LEFT(CH2600,8))),VALUE(MID(CH2600,5,2)),VALUE(MID(CH2600,FIND("-",CH2600)+1,FIND("-",CH2600,FIND("-",CH2600)+1)-FIND("-",CH2600)-1))),""))</f>
        <v/>
      </c>
      <c r="CO2600">
        <f>IF(CH2600="","",IFERROR(IF(AND(LEN(CH2600)=9,ISERROR(FIND("-",LEFT(CH2600,8))),ISNUMBER(-LEFT(CH2600,8))),VALUE(MID(CH2600,7,2)),VALUE(MID(CH2600,FIND("-",CH2600,FIND("-",CH2600)+1)+1,FIND("-",CH2600,FIND("-",CH2600,FIND("-",CH2600)+1)+1)-FIND("-",CH2600,FIND("-",CH2600)+1)-1))),""))</f>
        <v/>
      </c>
    </row>
    <row r="2601">
      <c r="CH2601">
        <f>IF(ISTEXT('월 가계부'!A2601),SUBSTITUTE(SUBSTITUTE(SUBSTITUTE(SUBSTITUTE(SUBSTITUTE(SUBSTITUTE(SUBSTITUTE(SUBSTITUTE(SUBSTITUTE(TRIM('월 가계부'!A2601),"년","-"),"월","-"),"일",""),".","-"),"/","-")," ","-"),"--","-"),"--","-"),"--","-")&amp;"-","")</f>
        <v/>
      </c>
      <c r="CI2601">
        <f>IFERROR(IF('월 가계부'!A2601="","",IF(ISNUMBER('월 가계부'!A2601),IF(AND('월 가계부'!A2601&gt;=19000101,'월 가계부'!A2601&lt;=21001231),IF(AND(MOD(INT('월 가계부'!A2601/100),100)&gt;=1,MOD(INT('월 가계부'!A2601/100),100)&lt;=12,MOD(INT('월 가계부'!A2601),100)&gt;=1,MOD(INT('월 가계부'!A2601),100)&lt;=31),IF(MONTH(DATE(INT('월 가계부'!A2601/10000),MOD(INT('월 가계부'!A2601/100),100),MOD(INT('월 가계부'!A2601),100)))=MOD(INT('월 가계부'!A2601/100),100),DATE(INT('월 가계부'!A2601/10000),MOD(INT('월 가계부'!A2601/100),100),MOD(INT('월 가계부'!A2601),100)),""),""),IF(AND('월 가계부'!A2601&gt;=36526,'월 가계부'!A2601&lt;73051),INT('월 가계부'!A2601),"")),IF(OR(CM2601="",CN2601="",CO2601=""),"",IF(AND(CM2601&gt;=2000,CM2601&lt;=2099,CN2601&gt;=1,CN2601&lt;=12,CO2601&gt;=1,CO2601&lt;=31),IF(MONTH(DATE(CM2601,CN2601,CO2601))=CN2601,DATE(CM2601,CN2601,CO2601),""),"")))),"")</f>
        <v/>
      </c>
      <c r="CJ2601">
        <f>IFERROR(IF('월 가계부'!C2601="","",IF(ISNUMBER('월 가계부'!C2601),'월 가계부'!C2601,VALUE(SUBSTITUTE(SUBSTITUTE(SUBSTITUTE(SUBSTITUTE(TRIM('월 가계부'!C2601),",",""),"원","")," ",""),"−","-")))),"")</f>
        <v/>
      </c>
      <c r="CK2601">
        <f>IF(ISNUMBER(CI2601),IF(CI2601&lt;$B$13,CI2601,""),"")</f>
        <v/>
      </c>
      <c r="CM2601">
        <f>IF(CH2601="","",IFERROR(IF(IF(AND(LEN(CH2601)=9,ISERROR(FIND("-",LEFT(CH2601,8))),ISNUMBER(-LEFT(CH2601,8))),VALUE(LEFT(CH2601,4)),VALUE(LEFT(CH2601,FIND("-",CH2601)-1)))&lt;100,IF(AND(LEN(CH2601)=9,ISERROR(FIND("-",LEFT(CH2601,8))),ISNUMBER(-LEFT(CH2601,8))),VALUE(LEFT(CH2601,4)),VALUE(LEFT(CH2601,FIND("-",CH2601)-1)))+2000,IF(AND(LEN(CH2601)=9,ISERROR(FIND("-",LEFT(CH2601,8))),ISNUMBER(-LEFT(CH2601,8))),VALUE(LEFT(CH2601,4)),VALUE(LEFT(CH2601,FIND("-",CH2601)-1)))),""))</f>
        <v/>
      </c>
      <c r="CN2601">
        <f>IF(CH2601="","",IFERROR(IF(AND(LEN(CH2601)=9,ISERROR(FIND("-",LEFT(CH2601,8))),ISNUMBER(-LEFT(CH2601,8))),VALUE(MID(CH2601,5,2)),VALUE(MID(CH2601,FIND("-",CH2601)+1,FIND("-",CH2601,FIND("-",CH2601)+1)-FIND("-",CH2601)-1))),""))</f>
        <v/>
      </c>
      <c r="CO2601">
        <f>IF(CH2601="","",IFERROR(IF(AND(LEN(CH2601)=9,ISERROR(FIND("-",LEFT(CH2601,8))),ISNUMBER(-LEFT(CH2601,8))),VALUE(MID(CH2601,7,2)),VALUE(MID(CH2601,FIND("-",CH2601,FIND("-",CH2601)+1)+1,FIND("-",CH2601,FIND("-",CH2601,FIND("-",CH2601)+1)+1)-FIND("-",CH2601,FIND("-",CH2601)+1)-1))),""))</f>
        <v/>
      </c>
    </row>
    <row r="2602">
      <c r="CH2602">
        <f>IF(ISTEXT('월 가계부'!A2602),SUBSTITUTE(SUBSTITUTE(SUBSTITUTE(SUBSTITUTE(SUBSTITUTE(SUBSTITUTE(SUBSTITUTE(SUBSTITUTE(SUBSTITUTE(TRIM('월 가계부'!A2602),"년","-"),"월","-"),"일",""),".","-"),"/","-")," ","-"),"--","-"),"--","-"),"--","-")&amp;"-","")</f>
        <v/>
      </c>
      <c r="CI2602">
        <f>IFERROR(IF('월 가계부'!A2602="","",IF(ISNUMBER('월 가계부'!A2602),IF(AND('월 가계부'!A2602&gt;=19000101,'월 가계부'!A2602&lt;=21001231),IF(AND(MOD(INT('월 가계부'!A2602/100),100)&gt;=1,MOD(INT('월 가계부'!A2602/100),100)&lt;=12,MOD(INT('월 가계부'!A2602),100)&gt;=1,MOD(INT('월 가계부'!A2602),100)&lt;=31),IF(MONTH(DATE(INT('월 가계부'!A2602/10000),MOD(INT('월 가계부'!A2602/100),100),MOD(INT('월 가계부'!A2602),100)))=MOD(INT('월 가계부'!A2602/100),100),DATE(INT('월 가계부'!A2602/10000),MOD(INT('월 가계부'!A2602/100),100),MOD(INT('월 가계부'!A2602),100)),""),""),IF(AND('월 가계부'!A2602&gt;=36526,'월 가계부'!A2602&lt;73051),INT('월 가계부'!A2602),"")),IF(OR(CM2602="",CN2602="",CO2602=""),"",IF(AND(CM2602&gt;=2000,CM2602&lt;=2099,CN2602&gt;=1,CN2602&lt;=12,CO2602&gt;=1,CO2602&lt;=31),IF(MONTH(DATE(CM2602,CN2602,CO2602))=CN2602,DATE(CM2602,CN2602,CO2602),""),"")))),"")</f>
        <v/>
      </c>
      <c r="CJ2602">
        <f>IFERROR(IF('월 가계부'!C2602="","",IF(ISNUMBER('월 가계부'!C2602),'월 가계부'!C2602,VALUE(SUBSTITUTE(SUBSTITUTE(SUBSTITUTE(SUBSTITUTE(TRIM('월 가계부'!C2602),",",""),"원","")," ",""),"−","-")))),"")</f>
        <v/>
      </c>
      <c r="CK2602">
        <f>IF(ISNUMBER(CI2602),IF(CI2602&lt;$B$13,CI2602,""),"")</f>
        <v/>
      </c>
      <c r="CM2602">
        <f>IF(CH2602="","",IFERROR(IF(IF(AND(LEN(CH2602)=9,ISERROR(FIND("-",LEFT(CH2602,8))),ISNUMBER(-LEFT(CH2602,8))),VALUE(LEFT(CH2602,4)),VALUE(LEFT(CH2602,FIND("-",CH2602)-1)))&lt;100,IF(AND(LEN(CH2602)=9,ISERROR(FIND("-",LEFT(CH2602,8))),ISNUMBER(-LEFT(CH2602,8))),VALUE(LEFT(CH2602,4)),VALUE(LEFT(CH2602,FIND("-",CH2602)-1)))+2000,IF(AND(LEN(CH2602)=9,ISERROR(FIND("-",LEFT(CH2602,8))),ISNUMBER(-LEFT(CH2602,8))),VALUE(LEFT(CH2602,4)),VALUE(LEFT(CH2602,FIND("-",CH2602)-1)))),""))</f>
        <v/>
      </c>
      <c r="CN2602">
        <f>IF(CH2602="","",IFERROR(IF(AND(LEN(CH2602)=9,ISERROR(FIND("-",LEFT(CH2602,8))),ISNUMBER(-LEFT(CH2602,8))),VALUE(MID(CH2602,5,2)),VALUE(MID(CH2602,FIND("-",CH2602)+1,FIND("-",CH2602,FIND("-",CH2602)+1)-FIND("-",CH2602)-1))),""))</f>
        <v/>
      </c>
      <c r="CO2602">
        <f>IF(CH2602="","",IFERROR(IF(AND(LEN(CH2602)=9,ISERROR(FIND("-",LEFT(CH2602,8))),ISNUMBER(-LEFT(CH2602,8))),VALUE(MID(CH2602,7,2)),VALUE(MID(CH2602,FIND("-",CH2602,FIND("-",CH2602)+1)+1,FIND("-",CH2602,FIND("-",CH2602,FIND("-",CH2602)+1)+1)-FIND("-",CH2602,FIND("-",CH2602)+1)-1))),""))</f>
        <v/>
      </c>
    </row>
    <row r="2603">
      <c r="CH2603">
        <f>IF(ISTEXT('월 가계부'!A2603),SUBSTITUTE(SUBSTITUTE(SUBSTITUTE(SUBSTITUTE(SUBSTITUTE(SUBSTITUTE(SUBSTITUTE(SUBSTITUTE(SUBSTITUTE(TRIM('월 가계부'!A2603),"년","-"),"월","-"),"일",""),".","-"),"/","-")," ","-"),"--","-"),"--","-"),"--","-")&amp;"-","")</f>
        <v/>
      </c>
      <c r="CI2603">
        <f>IFERROR(IF('월 가계부'!A2603="","",IF(ISNUMBER('월 가계부'!A2603),IF(AND('월 가계부'!A2603&gt;=19000101,'월 가계부'!A2603&lt;=21001231),IF(AND(MOD(INT('월 가계부'!A2603/100),100)&gt;=1,MOD(INT('월 가계부'!A2603/100),100)&lt;=12,MOD(INT('월 가계부'!A2603),100)&gt;=1,MOD(INT('월 가계부'!A2603),100)&lt;=31),IF(MONTH(DATE(INT('월 가계부'!A2603/10000),MOD(INT('월 가계부'!A2603/100),100),MOD(INT('월 가계부'!A2603),100)))=MOD(INT('월 가계부'!A2603/100),100),DATE(INT('월 가계부'!A2603/10000),MOD(INT('월 가계부'!A2603/100),100),MOD(INT('월 가계부'!A2603),100)),""),""),IF(AND('월 가계부'!A2603&gt;=36526,'월 가계부'!A2603&lt;73051),INT('월 가계부'!A2603),"")),IF(OR(CM2603="",CN2603="",CO2603=""),"",IF(AND(CM2603&gt;=2000,CM2603&lt;=2099,CN2603&gt;=1,CN2603&lt;=12,CO2603&gt;=1,CO2603&lt;=31),IF(MONTH(DATE(CM2603,CN2603,CO2603))=CN2603,DATE(CM2603,CN2603,CO2603),""),"")))),"")</f>
        <v/>
      </c>
      <c r="CJ2603">
        <f>IFERROR(IF('월 가계부'!C2603="","",IF(ISNUMBER('월 가계부'!C2603),'월 가계부'!C2603,VALUE(SUBSTITUTE(SUBSTITUTE(SUBSTITUTE(SUBSTITUTE(TRIM('월 가계부'!C2603),",",""),"원","")," ",""),"−","-")))),"")</f>
        <v/>
      </c>
      <c r="CK2603">
        <f>IF(ISNUMBER(CI2603),IF(CI2603&lt;$B$13,CI2603,""),"")</f>
        <v/>
      </c>
      <c r="CM2603">
        <f>IF(CH2603="","",IFERROR(IF(IF(AND(LEN(CH2603)=9,ISERROR(FIND("-",LEFT(CH2603,8))),ISNUMBER(-LEFT(CH2603,8))),VALUE(LEFT(CH2603,4)),VALUE(LEFT(CH2603,FIND("-",CH2603)-1)))&lt;100,IF(AND(LEN(CH2603)=9,ISERROR(FIND("-",LEFT(CH2603,8))),ISNUMBER(-LEFT(CH2603,8))),VALUE(LEFT(CH2603,4)),VALUE(LEFT(CH2603,FIND("-",CH2603)-1)))+2000,IF(AND(LEN(CH2603)=9,ISERROR(FIND("-",LEFT(CH2603,8))),ISNUMBER(-LEFT(CH2603,8))),VALUE(LEFT(CH2603,4)),VALUE(LEFT(CH2603,FIND("-",CH2603)-1)))),""))</f>
        <v/>
      </c>
      <c r="CN2603">
        <f>IF(CH2603="","",IFERROR(IF(AND(LEN(CH2603)=9,ISERROR(FIND("-",LEFT(CH2603,8))),ISNUMBER(-LEFT(CH2603,8))),VALUE(MID(CH2603,5,2)),VALUE(MID(CH2603,FIND("-",CH2603)+1,FIND("-",CH2603,FIND("-",CH2603)+1)-FIND("-",CH2603)-1))),""))</f>
        <v/>
      </c>
      <c r="CO2603">
        <f>IF(CH2603="","",IFERROR(IF(AND(LEN(CH2603)=9,ISERROR(FIND("-",LEFT(CH2603,8))),ISNUMBER(-LEFT(CH2603,8))),VALUE(MID(CH2603,7,2)),VALUE(MID(CH2603,FIND("-",CH2603,FIND("-",CH2603)+1)+1,FIND("-",CH2603,FIND("-",CH2603,FIND("-",CH2603)+1)+1)-FIND("-",CH2603,FIND("-",CH2603)+1)-1))),""))</f>
        <v/>
      </c>
    </row>
    <row r="2604">
      <c r="CH2604">
        <f>IF(ISTEXT('월 가계부'!A2604),SUBSTITUTE(SUBSTITUTE(SUBSTITUTE(SUBSTITUTE(SUBSTITUTE(SUBSTITUTE(SUBSTITUTE(SUBSTITUTE(SUBSTITUTE(TRIM('월 가계부'!A2604),"년","-"),"월","-"),"일",""),".","-"),"/","-")," ","-"),"--","-"),"--","-"),"--","-")&amp;"-","")</f>
        <v/>
      </c>
      <c r="CI2604">
        <f>IFERROR(IF('월 가계부'!A2604="","",IF(ISNUMBER('월 가계부'!A2604),IF(AND('월 가계부'!A2604&gt;=19000101,'월 가계부'!A2604&lt;=21001231),IF(AND(MOD(INT('월 가계부'!A2604/100),100)&gt;=1,MOD(INT('월 가계부'!A2604/100),100)&lt;=12,MOD(INT('월 가계부'!A2604),100)&gt;=1,MOD(INT('월 가계부'!A2604),100)&lt;=31),IF(MONTH(DATE(INT('월 가계부'!A2604/10000),MOD(INT('월 가계부'!A2604/100),100),MOD(INT('월 가계부'!A2604),100)))=MOD(INT('월 가계부'!A2604/100),100),DATE(INT('월 가계부'!A2604/10000),MOD(INT('월 가계부'!A2604/100),100),MOD(INT('월 가계부'!A2604),100)),""),""),IF(AND('월 가계부'!A2604&gt;=36526,'월 가계부'!A2604&lt;73051),INT('월 가계부'!A2604),"")),IF(OR(CM2604="",CN2604="",CO2604=""),"",IF(AND(CM2604&gt;=2000,CM2604&lt;=2099,CN2604&gt;=1,CN2604&lt;=12,CO2604&gt;=1,CO2604&lt;=31),IF(MONTH(DATE(CM2604,CN2604,CO2604))=CN2604,DATE(CM2604,CN2604,CO2604),""),"")))),"")</f>
        <v/>
      </c>
      <c r="CJ2604">
        <f>IFERROR(IF('월 가계부'!C2604="","",IF(ISNUMBER('월 가계부'!C2604),'월 가계부'!C2604,VALUE(SUBSTITUTE(SUBSTITUTE(SUBSTITUTE(SUBSTITUTE(TRIM('월 가계부'!C2604),",",""),"원","")," ",""),"−","-")))),"")</f>
        <v/>
      </c>
      <c r="CK2604">
        <f>IF(ISNUMBER(CI2604),IF(CI2604&lt;$B$13,CI2604,""),"")</f>
        <v/>
      </c>
      <c r="CM2604">
        <f>IF(CH2604="","",IFERROR(IF(IF(AND(LEN(CH2604)=9,ISERROR(FIND("-",LEFT(CH2604,8))),ISNUMBER(-LEFT(CH2604,8))),VALUE(LEFT(CH2604,4)),VALUE(LEFT(CH2604,FIND("-",CH2604)-1)))&lt;100,IF(AND(LEN(CH2604)=9,ISERROR(FIND("-",LEFT(CH2604,8))),ISNUMBER(-LEFT(CH2604,8))),VALUE(LEFT(CH2604,4)),VALUE(LEFT(CH2604,FIND("-",CH2604)-1)))+2000,IF(AND(LEN(CH2604)=9,ISERROR(FIND("-",LEFT(CH2604,8))),ISNUMBER(-LEFT(CH2604,8))),VALUE(LEFT(CH2604,4)),VALUE(LEFT(CH2604,FIND("-",CH2604)-1)))),""))</f>
        <v/>
      </c>
      <c r="CN2604">
        <f>IF(CH2604="","",IFERROR(IF(AND(LEN(CH2604)=9,ISERROR(FIND("-",LEFT(CH2604,8))),ISNUMBER(-LEFT(CH2604,8))),VALUE(MID(CH2604,5,2)),VALUE(MID(CH2604,FIND("-",CH2604)+1,FIND("-",CH2604,FIND("-",CH2604)+1)-FIND("-",CH2604)-1))),""))</f>
        <v/>
      </c>
      <c r="CO2604">
        <f>IF(CH2604="","",IFERROR(IF(AND(LEN(CH2604)=9,ISERROR(FIND("-",LEFT(CH2604,8))),ISNUMBER(-LEFT(CH2604,8))),VALUE(MID(CH2604,7,2)),VALUE(MID(CH2604,FIND("-",CH2604,FIND("-",CH2604)+1)+1,FIND("-",CH2604,FIND("-",CH2604,FIND("-",CH2604)+1)+1)-FIND("-",CH2604,FIND("-",CH2604)+1)-1))),""))</f>
        <v/>
      </c>
    </row>
    <row r="2605">
      <c r="CH2605">
        <f>IF(ISTEXT('월 가계부'!A2605),SUBSTITUTE(SUBSTITUTE(SUBSTITUTE(SUBSTITUTE(SUBSTITUTE(SUBSTITUTE(SUBSTITUTE(SUBSTITUTE(SUBSTITUTE(TRIM('월 가계부'!A2605),"년","-"),"월","-"),"일",""),".","-"),"/","-")," ","-"),"--","-"),"--","-"),"--","-")&amp;"-","")</f>
        <v/>
      </c>
      <c r="CI2605">
        <f>IFERROR(IF('월 가계부'!A2605="","",IF(ISNUMBER('월 가계부'!A2605),IF(AND('월 가계부'!A2605&gt;=19000101,'월 가계부'!A2605&lt;=21001231),IF(AND(MOD(INT('월 가계부'!A2605/100),100)&gt;=1,MOD(INT('월 가계부'!A2605/100),100)&lt;=12,MOD(INT('월 가계부'!A2605),100)&gt;=1,MOD(INT('월 가계부'!A2605),100)&lt;=31),IF(MONTH(DATE(INT('월 가계부'!A2605/10000),MOD(INT('월 가계부'!A2605/100),100),MOD(INT('월 가계부'!A2605),100)))=MOD(INT('월 가계부'!A2605/100),100),DATE(INT('월 가계부'!A2605/10000),MOD(INT('월 가계부'!A2605/100),100),MOD(INT('월 가계부'!A2605),100)),""),""),IF(AND('월 가계부'!A2605&gt;=36526,'월 가계부'!A2605&lt;73051),INT('월 가계부'!A2605),"")),IF(OR(CM2605="",CN2605="",CO2605=""),"",IF(AND(CM2605&gt;=2000,CM2605&lt;=2099,CN2605&gt;=1,CN2605&lt;=12,CO2605&gt;=1,CO2605&lt;=31),IF(MONTH(DATE(CM2605,CN2605,CO2605))=CN2605,DATE(CM2605,CN2605,CO2605),""),"")))),"")</f>
        <v/>
      </c>
      <c r="CJ2605">
        <f>IFERROR(IF('월 가계부'!C2605="","",IF(ISNUMBER('월 가계부'!C2605),'월 가계부'!C2605,VALUE(SUBSTITUTE(SUBSTITUTE(SUBSTITUTE(SUBSTITUTE(TRIM('월 가계부'!C2605),",",""),"원","")," ",""),"−","-")))),"")</f>
        <v/>
      </c>
      <c r="CK2605">
        <f>IF(ISNUMBER(CI2605),IF(CI2605&lt;$B$13,CI2605,""),"")</f>
        <v/>
      </c>
      <c r="CM2605">
        <f>IF(CH2605="","",IFERROR(IF(IF(AND(LEN(CH2605)=9,ISERROR(FIND("-",LEFT(CH2605,8))),ISNUMBER(-LEFT(CH2605,8))),VALUE(LEFT(CH2605,4)),VALUE(LEFT(CH2605,FIND("-",CH2605)-1)))&lt;100,IF(AND(LEN(CH2605)=9,ISERROR(FIND("-",LEFT(CH2605,8))),ISNUMBER(-LEFT(CH2605,8))),VALUE(LEFT(CH2605,4)),VALUE(LEFT(CH2605,FIND("-",CH2605)-1)))+2000,IF(AND(LEN(CH2605)=9,ISERROR(FIND("-",LEFT(CH2605,8))),ISNUMBER(-LEFT(CH2605,8))),VALUE(LEFT(CH2605,4)),VALUE(LEFT(CH2605,FIND("-",CH2605)-1)))),""))</f>
        <v/>
      </c>
      <c r="CN2605">
        <f>IF(CH2605="","",IFERROR(IF(AND(LEN(CH2605)=9,ISERROR(FIND("-",LEFT(CH2605,8))),ISNUMBER(-LEFT(CH2605,8))),VALUE(MID(CH2605,5,2)),VALUE(MID(CH2605,FIND("-",CH2605)+1,FIND("-",CH2605,FIND("-",CH2605)+1)-FIND("-",CH2605)-1))),""))</f>
        <v/>
      </c>
      <c r="CO2605">
        <f>IF(CH2605="","",IFERROR(IF(AND(LEN(CH2605)=9,ISERROR(FIND("-",LEFT(CH2605,8))),ISNUMBER(-LEFT(CH2605,8))),VALUE(MID(CH2605,7,2)),VALUE(MID(CH2605,FIND("-",CH2605,FIND("-",CH2605)+1)+1,FIND("-",CH2605,FIND("-",CH2605,FIND("-",CH2605)+1)+1)-FIND("-",CH2605,FIND("-",CH2605)+1)-1))),""))</f>
        <v/>
      </c>
    </row>
    <row r="2606">
      <c r="CH2606">
        <f>IF(ISTEXT('월 가계부'!A2606),SUBSTITUTE(SUBSTITUTE(SUBSTITUTE(SUBSTITUTE(SUBSTITUTE(SUBSTITUTE(SUBSTITUTE(SUBSTITUTE(SUBSTITUTE(TRIM('월 가계부'!A2606),"년","-"),"월","-"),"일",""),".","-"),"/","-")," ","-"),"--","-"),"--","-"),"--","-")&amp;"-","")</f>
        <v/>
      </c>
      <c r="CI2606">
        <f>IFERROR(IF('월 가계부'!A2606="","",IF(ISNUMBER('월 가계부'!A2606),IF(AND('월 가계부'!A2606&gt;=19000101,'월 가계부'!A2606&lt;=21001231),IF(AND(MOD(INT('월 가계부'!A2606/100),100)&gt;=1,MOD(INT('월 가계부'!A2606/100),100)&lt;=12,MOD(INT('월 가계부'!A2606),100)&gt;=1,MOD(INT('월 가계부'!A2606),100)&lt;=31),IF(MONTH(DATE(INT('월 가계부'!A2606/10000),MOD(INT('월 가계부'!A2606/100),100),MOD(INT('월 가계부'!A2606),100)))=MOD(INT('월 가계부'!A2606/100),100),DATE(INT('월 가계부'!A2606/10000),MOD(INT('월 가계부'!A2606/100),100),MOD(INT('월 가계부'!A2606),100)),""),""),IF(AND('월 가계부'!A2606&gt;=36526,'월 가계부'!A2606&lt;73051),INT('월 가계부'!A2606),"")),IF(OR(CM2606="",CN2606="",CO2606=""),"",IF(AND(CM2606&gt;=2000,CM2606&lt;=2099,CN2606&gt;=1,CN2606&lt;=12,CO2606&gt;=1,CO2606&lt;=31),IF(MONTH(DATE(CM2606,CN2606,CO2606))=CN2606,DATE(CM2606,CN2606,CO2606),""),"")))),"")</f>
        <v/>
      </c>
      <c r="CJ2606">
        <f>IFERROR(IF('월 가계부'!C2606="","",IF(ISNUMBER('월 가계부'!C2606),'월 가계부'!C2606,VALUE(SUBSTITUTE(SUBSTITUTE(SUBSTITUTE(SUBSTITUTE(TRIM('월 가계부'!C2606),",",""),"원","")," ",""),"−","-")))),"")</f>
        <v/>
      </c>
      <c r="CK2606">
        <f>IF(ISNUMBER(CI2606),IF(CI2606&lt;$B$13,CI2606,""),"")</f>
        <v/>
      </c>
      <c r="CM2606">
        <f>IF(CH2606="","",IFERROR(IF(IF(AND(LEN(CH2606)=9,ISERROR(FIND("-",LEFT(CH2606,8))),ISNUMBER(-LEFT(CH2606,8))),VALUE(LEFT(CH2606,4)),VALUE(LEFT(CH2606,FIND("-",CH2606)-1)))&lt;100,IF(AND(LEN(CH2606)=9,ISERROR(FIND("-",LEFT(CH2606,8))),ISNUMBER(-LEFT(CH2606,8))),VALUE(LEFT(CH2606,4)),VALUE(LEFT(CH2606,FIND("-",CH2606)-1)))+2000,IF(AND(LEN(CH2606)=9,ISERROR(FIND("-",LEFT(CH2606,8))),ISNUMBER(-LEFT(CH2606,8))),VALUE(LEFT(CH2606,4)),VALUE(LEFT(CH2606,FIND("-",CH2606)-1)))),""))</f>
        <v/>
      </c>
      <c r="CN2606">
        <f>IF(CH2606="","",IFERROR(IF(AND(LEN(CH2606)=9,ISERROR(FIND("-",LEFT(CH2606,8))),ISNUMBER(-LEFT(CH2606,8))),VALUE(MID(CH2606,5,2)),VALUE(MID(CH2606,FIND("-",CH2606)+1,FIND("-",CH2606,FIND("-",CH2606)+1)-FIND("-",CH2606)-1))),""))</f>
        <v/>
      </c>
      <c r="CO2606">
        <f>IF(CH2606="","",IFERROR(IF(AND(LEN(CH2606)=9,ISERROR(FIND("-",LEFT(CH2606,8))),ISNUMBER(-LEFT(CH2606,8))),VALUE(MID(CH2606,7,2)),VALUE(MID(CH2606,FIND("-",CH2606,FIND("-",CH2606)+1)+1,FIND("-",CH2606,FIND("-",CH2606,FIND("-",CH2606)+1)+1)-FIND("-",CH2606,FIND("-",CH2606)+1)-1))),""))</f>
        <v/>
      </c>
    </row>
    <row r="2607">
      <c r="CH2607">
        <f>IF(ISTEXT('월 가계부'!A2607),SUBSTITUTE(SUBSTITUTE(SUBSTITUTE(SUBSTITUTE(SUBSTITUTE(SUBSTITUTE(SUBSTITUTE(SUBSTITUTE(SUBSTITUTE(TRIM('월 가계부'!A2607),"년","-"),"월","-"),"일",""),".","-"),"/","-")," ","-"),"--","-"),"--","-"),"--","-")&amp;"-","")</f>
        <v/>
      </c>
      <c r="CI2607">
        <f>IFERROR(IF('월 가계부'!A2607="","",IF(ISNUMBER('월 가계부'!A2607),IF(AND('월 가계부'!A2607&gt;=19000101,'월 가계부'!A2607&lt;=21001231),IF(AND(MOD(INT('월 가계부'!A2607/100),100)&gt;=1,MOD(INT('월 가계부'!A2607/100),100)&lt;=12,MOD(INT('월 가계부'!A2607),100)&gt;=1,MOD(INT('월 가계부'!A2607),100)&lt;=31),IF(MONTH(DATE(INT('월 가계부'!A2607/10000),MOD(INT('월 가계부'!A2607/100),100),MOD(INT('월 가계부'!A2607),100)))=MOD(INT('월 가계부'!A2607/100),100),DATE(INT('월 가계부'!A2607/10000),MOD(INT('월 가계부'!A2607/100),100),MOD(INT('월 가계부'!A2607),100)),""),""),IF(AND('월 가계부'!A2607&gt;=36526,'월 가계부'!A2607&lt;73051),INT('월 가계부'!A2607),"")),IF(OR(CM2607="",CN2607="",CO2607=""),"",IF(AND(CM2607&gt;=2000,CM2607&lt;=2099,CN2607&gt;=1,CN2607&lt;=12,CO2607&gt;=1,CO2607&lt;=31),IF(MONTH(DATE(CM2607,CN2607,CO2607))=CN2607,DATE(CM2607,CN2607,CO2607),""),"")))),"")</f>
        <v/>
      </c>
      <c r="CJ2607">
        <f>IFERROR(IF('월 가계부'!C2607="","",IF(ISNUMBER('월 가계부'!C2607),'월 가계부'!C2607,VALUE(SUBSTITUTE(SUBSTITUTE(SUBSTITUTE(SUBSTITUTE(TRIM('월 가계부'!C2607),",",""),"원","")," ",""),"−","-")))),"")</f>
        <v/>
      </c>
      <c r="CK2607">
        <f>IF(ISNUMBER(CI2607),IF(CI2607&lt;$B$13,CI2607,""),"")</f>
        <v/>
      </c>
      <c r="CM2607">
        <f>IF(CH2607="","",IFERROR(IF(IF(AND(LEN(CH2607)=9,ISERROR(FIND("-",LEFT(CH2607,8))),ISNUMBER(-LEFT(CH2607,8))),VALUE(LEFT(CH2607,4)),VALUE(LEFT(CH2607,FIND("-",CH2607)-1)))&lt;100,IF(AND(LEN(CH2607)=9,ISERROR(FIND("-",LEFT(CH2607,8))),ISNUMBER(-LEFT(CH2607,8))),VALUE(LEFT(CH2607,4)),VALUE(LEFT(CH2607,FIND("-",CH2607)-1)))+2000,IF(AND(LEN(CH2607)=9,ISERROR(FIND("-",LEFT(CH2607,8))),ISNUMBER(-LEFT(CH2607,8))),VALUE(LEFT(CH2607,4)),VALUE(LEFT(CH2607,FIND("-",CH2607)-1)))),""))</f>
        <v/>
      </c>
      <c r="CN2607">
        <f>IF(CH2607="","",IFERROR(IF(AND(LEN(CH2607)=9,ISERROR(FIND("-",LEFT(CH2607,8))),ISNUMBER(-LEFT(CH2607,8))),VALUE(MID(CH2607,5,2)),VALUE(MID(CH2607,FIND("-",CH2607)+1,FIND("-",CH2607,FIND("-",CH2607)+1)-FIND("-",CH2607)-1))),""))</f>
        <v/>
      </c>
      <c r="CO2607">
        <f>IF(CH2607="","",IFERROR(IF(AND(LEN(CH2607)=9,ISERROR(FIND("-",LEFT(CH2607,8))),ISNUMBER(-LEFT(CH2607,8))),VALUE(MID(CH2607,7,2)),VALUE(MID(CH2607,FIND("-",CH2607,FIND("-",CH2607)+1)+1,FIND("-",CH2607,FIND("-",CH2607,FIND("-",CH2607)+1)+1)-FIND("-",CH2607,FIND("-",CH2607)+1)-1))),""))</f>
        <v/>
      </c>
    </row>
    <row r="2608">
      <c r="CH2608">
        <f>IF(ISTEXT('월 가계부'!A2608),SUBSTITUTE(SUBSTITUTE(SUBSTITUTE(SUBSTITUTE(SUBSTITUTE(SUBSTITUTE(SUBSTITUTE(SUBSTITUTE(SUBSTITUTE(TRIM('월 가계부'!A2608),"년","-"),"월","-"),"일",""),".","-"),"/","-")," ","-"),"--","-"),"--","-"),"--","-")&amp;"-","")</f>
        <v/>
      </c>
      <c r="CI2608">
        <f>IFERROR(IF('월 가계부'!A2608="","",IF(ISNUMBER('월 가계부'!A2608),IF(AND('월 가계부'!A2608&gt;=19000101,'월 가계부'!A2608&lt;=21001231),IF(AND(MOD(INT('월 가계부'!A2608/100),100)&gt;=1,MOD(INT('월 가계부'!A2608/100),100)&lt;=12,MOD(INT('월 가계부'!A2608),100)&gt;=1,MOD(INT('월 가계부'!A2608),100)&lt;=31),IF(MONTH(DATE(INT('월 가계부'!A2608/10000),MOD(INT('월 가계부'!A2608/100),100),MOD(INT('월 가계부'!A2608),100)))=MOD(INT('월 가계부'!A2608/100),100),DATE(INT('월 가계부'!A2608/10000),MOD(INT('월 가계부'!A2608/100),100),MOD(INT('월 가계부'!A2608),100)),""),""),IF(AND('월 가계부'!A2608&gt;=36526,'월 가계부'!A2608&lt;73051),INT('월 가계부'!A2608),"")),IF(OR(CM2608="",CN2608="",CO2608=""),"",IF(AND(CM2608&gt;=2000,CM2608&lt;=2099,CN2608&gt;=1,CN2608&lt;=12,CO2608&gt;=1,CO2608&lt;=31),IF(MONTH(DATE(CM2608,CN2608,CO2608))=CN2608,DATE(CM2608,CN2608,CO2608),""),"")))),"")</f>
        <v/>
      </c>
      <c r="CJ2608">
        <f>IFERROR(IF('월 가계부'!C2608="","",IF(ISNUMBER('월 가계부'!C2608),'월 가계부'!C2608,VALUE(SUBSTITUTE(SUBSTITUTE(SUBSTITUTE(SUBSTITUTE(TRIM('월 가계부'!C2608),",",""),"원","")," ",""),"−","-")))),"")</f>
        <v/>
      </c>
      <c r="CK2608">
        <f>IF(ISNUMBER(CI2608),IF(CI2608&lt;$B$13,CI2608,""),"")</f>
        <v/>
      </c>
      <c r="CM2608">
        <f>IF(CH2608="","",IFERROR(IF(IF(AND(LEN(CH2608)=9,ISERROR(FIND("-",LEFT(CH2608,8))),ISNUMBER(-LEFT(CH2608,8))),VALUE(LEFT(CH2608,4)),VALUE(LEFT(CH2608,FIND("-",CH2608)-1)))&lt;100,IF(AND(LEN(CH2608)=9,ISERROR(FIND("-",LEFT(CH2608,8))),ISNUMBER(-LEFT(CH2608,8))),VALUE(LEFT(CH2608,4)),VALUE(LEFT(CH2608,FIND("-",CH2608)-1)))+2000,IF(AND(LEN(CH2608)=9,ISERROR(FIND("-",LEFT(CH2608,8))),ISNUMBER(-LEFT(CH2608,8))),VALUE(LEFT(CH2608,4)),VALUE(LEFT(CH2608,FIND("-",CH2608)-1)))),""))</f>
        <v/>
      </c>
      <c r="CN2608">
        <f>IF(CH2608="","",IFERROR(IF(AND(LEN(CH2608)=9,ISERROR(FIND("-",LEFT(CH2608,8))),ISNUMBER(-LEFT(CH2608,8))),VALUE(MID(CH2608,5,2)),VALUE(MID(CH2608,FIND("-",CH2608)+1,FIND("-",CH2608,FIND("-",CH2608)+1)-FIND("-",CH2608)-1))),""))</f>
        <v/>
      </c>
      <c r="CO2608">
        <f>IF(CH2608="","",IFERROR(IF(AND(LEN(CH2608)=9,ISERROR(FIND("-",LEFT(CH2608,8))),ISNUMBER(-LEFT(CH2608,8))),VALUE(MID(CH2608,7,2)),VALUE(MID(CH2608,FIND("-",CH2608,FIND("-",CH2608)+1)+1,FIND("-",CH2608,FIND("-",CH2608,FIND("-",CH2608)+1)+1)-FIND("-",CH2608,FIND("-",CH2608)+1)-1))),""))</f>
        <v/>
      </c>
    </row>
    <row r="2609">
      <c r="CH2609">
        <f>IF(ISTEXT('월 가계부'!A2609),SUBSTITUTE(SUBSTITUTE(SUBSTITUTE(SUBSTITUTE(SUBSTITUTE(SUBSTITUTE(SUBSTITUTE(SUBSTITUTE(SUBSTITUTE(TRIM('월 가계부'!A2609),"년","-"),"월","-"),"일",""),".","-"),"/","-")," ","-"),"--","-"),"--","-"),"--","-")&amp;"-","")</f>
        <v/>
      </c>
      <c r="CI2609">
        <f>IFERROR(IF('월 가계부'!A2609="","",IF(ISNUMBER('월 가계부'!A2609),IF(AND('월 가계부'!A2609&gt;=19000101,'월 가계부'!A2609&lt;=21001231),IF(AND(MOD(INT('월 가계부'!A2609/100),100)&gt;=1,MOD(INT('월 가계부'!A2609/100),100)&lt;=12,MOD(INT('월 가계부'!A2609),100)&gt;=1,MOD(INT('월 가계부'!A2609),100)&lt;=31),IF(MONTH(DATE(INT('월 가계부'!A2609/10000),MOD(INT('월 가계부'!A2609/100),100),MOD(INT('월 가계부'!A2609),100)))=MOD(INT('월 가계부'!A2609/100),100),DATE(INT('월 가계부'!A2609/10000),MOD(INT('월 가계부'!A2609/100),100),MOD(INT('월 가계부'!A2609),100)),""),""),IF(AND('월 가계부'!A2609&gt;=36526,'월 가계부'!A2609&lt;73051),INT('월 가계부'!A2609),"")),IF(OR(CM2609="",CN2609="",CO2609=""),"",IF(AND(CM2609&gt;=2000,CM2609&lt;=2099,CN2609&gt;=1,CN2609&lt;=12,CO2609&gt;=1,CO2609&lt;=31),IF(MONTH(DATE(CM2609,CN2609,CO2609))=CN2609,DATE(CM2609,CN2609,CO2609),""),"")))),"")</f>
        <v/>
      </c>
      <c r="CJ2609">
        <f>IFERROR(IF('월 가계부'!C2609="","",IF(ISNUMBER('월 가계부'!C2609),'월 가계부'!C2609,VALUE(SUBSTITUTE(SUBSTITUTE(SUBSTITUTE(SUBSTITUTE(TRIM('월 가계부'!C2609),",",""),"원","")," ",""),"−","-")))),"")</f>
        <v/>
      </c>
      <c r="CK2609">
        <f>IF(ISNUMBER(CI2609),IF(CI2609&lt;$B$13,CI2609,""),"")</f>
        <v/>
      </c>
      <c r="CM2609">
        <f>IF(CH2609="","",IFERROR(IF(IF(AND(LEN(CH2609)=9,ISERROR(FIND("-",LEFT(CH2609,8))),ISNUMBER(-LEFT(CH2609,8))),VALUE(LEFT(CH2609,4)),VALUE(LEFT(CH2609,FIND("-",CH2609)-1)))&lt;100,IF(AND(LEN(CH2609)=9,ISERROR(FIND("-",LEFT(CH2609,8))),ISNUMBER(-LEFT(CH2609,8))),VALUE(LEFT(CH2609,4)),VALUE(LEFT(CH2609,FIND("-",CH2609)-1)))+2000,IF(AND(LEN(CH2609)=9,ISERROR(FIND("-",LEFT(CH2609,8))),ISNUMBER(-LEFT(CH2609,8))),VALUE(LEFT(CH2609,4)),VALUE(LEFT(CH2609,FIND("-",CH2609)-1)))),""))</f>
        <v/>
      </c>
      <c r="CN2609">
        <f>IF(CH2609="","",IFERROR(IF(AND(LEN(CH2609)=9,ISERROR(FIND("-",LEFT(CH2609,8))),ISNUMBER(-LEFT(CH2609,8))),VALUE(MID(CH2609,5,2)),VALUE(MID(CH2609,FIND("-",CH2609)+1,FIND("-",CH2609,FIND("-",CH2609)+1)-FIND("-",CH2609)-1))),""))</f>
        <v/>
      </c>
      <c r="CO2609">
        <f>IF(CH2609="","",IFERROR(IF(AND(LEN(CH2609)=9,ISERROR(FIND("-",LEFT(CH2609,8))),ISNUMBER(-LEFT(CH2609,8))),VALUE(MID(CH2609,7,2)),VALUE(MID(CH2609,FIND("-",CH2609,FIND("-",CH2609)+1)+1,FIND("-",CH2609,FIND("-",CH2609,FIND("-",CH2609)+1)+1)-FIND("-",CH2609,FIND("-",CH2609)+1)-1))),""))</f>
        <v/>
      </c>
    </row>
    <row r="2610">
      <c r="CH2610">
        <f>IF(ISTEXT('월 가계부'!A2610),SUBSTITUTE(SUBSTITUTE(SUBSTITUTE(SUBSTITUTE(SUBSTITUTE(SUBSTITUTE(SUBSTITUTE(SUBSTITUTE(SUBSTITUTE(TRIM('월 가계부'!A2610),"년","-"),"월","-"),"일",""),".","-"),"/","-")," ","-"),"--","-"),"--","-"),"--","-")&amp;"-","")</f>
        <v/>
      </c>
      <c r="CI2610">
        <f>IFERROR(IF('월 가계부'!A2610="","",IF(ISNUMBER('월 가계부'!A2610),IF(AND('월 가계부'!A2610&gt;=19000101,'월 가계부'!A2610&lt;=21001231),IF(AND(MOD(INT('월 가계부'!A2610/100),100)&gt;=1,MOD(INT('월 가계부'!A2610/100),100)&lt;=12,MOD(INT('월 가계부'!A2610),100)&gt;=1,MOD(INT('월 가계부'!A2610),100)&lt;=31),IF(MONTH(DATE(INT('월 가계부'!A2610/10000),MOD(INT('월 가계부'!A2610/100),100),MOD(INT('월 가계부'!A2610),100)))=MOD(INT('월 가계부'!A2610/100),100),DATE(INT('월 가계부'!A2610/10000),MOD(INT('월 가계부'!A2610/100),100),MOD(INT('월 가계부'!A2610),100)),""),""),IF(AND('월 가계부'!A2610&gt;=36526,'월 가계부'!A2610&lt;73051),INT('월 가계부'!A2610),"")),IF(OR(CM2610="",CN2610="",CO2610=""),"",IF(AND(CM2610&gt;=2000,CM2610&lt;=2099,CN2610&gt;=1,CN2610&lt;=12,CO2610&gt;=1,CO2610&lt;=31),IF(MONTH(DATE(CM2610,CN2610,CO2610))=CN2610,DATE(CM2610,CN2610,CO2610),""),"")))),"")</f>
        <v/>
      </c>
      <c r="CJ2610">
        <f>IFERROR(IF('월 가계부'!C2610="","",IF(ISNUMBER('월 가계부'!C2610),'월 가계부'!C2610,VALUE(SUBSTITUTE(SUBSTITUTE(SUBSTITUTE(SUBSTITUTE(TRIM('월 가계부'!C2610),",",""),"원","")," ",""),"−","-")))),"")</f>
        <v/>
      </c>
      <c r="CK2610">
        <f>IF(ISNUMBER(CI2610),IF(CI2610&lt;$B$13,CI2610,""),"")</f>
        <v/>
      </c>
      <c r="CM2610">
        <f>IF(CH2610="","",IFERROR(IF(IF(AND(LEN(CH2610)=9,ISERROR(FIND("-",LEFT(CH2610,8))),ISNUMBER(-LEFT(CH2610,8))),VALUE(LEFT(CH2610,4)),VALUE(LEFT(CH2610,FIND("-",CH2610)-1)))&lt;100,IF(AND(LEN(CH2610)=9,ISERROR(FIND("-",LEFT(CH2610,8))),ISNUMBER(-LEFT(CH2610,8))),VALUE(LEFT(CH2610,4)),VALUE(LEFT(CH2610,FIND("-",CH2610)-1)))+2000,IF(AND(LEN(CH2610)=9,ISERROR(FIND("-",LEFT(CH2610,8))),ISNUMBER(-LEFT(CH2610,8))),VALUE(LEFT(CH2610,4)),VALUE(LEFT(CH2610,FIND("-",CH2610)-1)))),""))</f>
        <v/>
      </c>
      <c r="CN2610">
        <f>IF(CH2610="","",IFERROR(IF(AND(LEN(CH2610)=9,ISERROR(FIND("-",LEFT(CH2610,8))),ISNUMBER(-LEFT(CH2610,8))),VALUE(MID(CH2610,5,2)),VALUE(MID(CH2610,FIND("-",CH2610)+1,FIND("-",CH2610,FIND("-",CH2610)+1)-FIND("-",CH2610)-1))),""))</f>
        <v/>
      </c>
      <c r="CO2610">
        <f>IF(CH2610="","",IFERROR(IF(AND(LEN(CH2610)=9,ISERROR(FIND("-",LEFT(CH2610,8))),ISNUMBER(-LEFT(CH2610,8))),VALUE(MID(CH2610,7,2)),VALUE(MID(CH2610,FIND("-",CH2610,FIND("-",CH2610)+1)+1,FIND("-",CH2610,FIND("-",CH2610,FIND("-",CH2610)+1)+1)-FIND("-",CH2610,FIND("-",CH2610)+1)-1))),""))</f>
        <v/>
      </c>
    </row>
    <row r="2611">
      <c r="CH2611">
        <f>IF(ISTEXT('월 가계부'!A2611),SUBSTITUTE(SUBSTITUTE(SUBSTITUTE(SUBSTITUTE(SUBSTITUTE(SUBSTITUTE(SUBSTITUTE(SUBSTITUTE(SUBSTITUTE(TRIM('월 가계부'!A2611),"년","-"),"월","-"),"일",""),".","-"),"/","-")," ","-"),"--","-"),"--","-"),"--","-")&amp;"-","")</f>
        <v/>
      </c>
      <c r="CI2611">
        <f>IFERROR(IF('월 가계부'!A2611="","",IF(ISNUMBER('월 가계부'!A2611),IF(AND('월 가계부'!A2611&gt;=19000101,'월 가계부'!A2611&lt;=21001231),IF(AND(MOD(INT('월 가계부'!A2611/100),100)&gt;=1,MOD(INT('월 가계부'!A2611/100),100)&lt;=12,MOD(INT('월 가계부'!A2611),100)&gt;=1,MOD(INT('월 가계부'!A2611),100)&lt;=31),IF(MONTH(DATE(INT('월 가계부'!A2611/10000),MOD(INT('월 가계부'!A2611/100),100),MOD(INT('월 가계부'!A2611),100)))=MOD(INT('월 가계부'!A2611/100),100),DATE(INT('월 가계부'!A2611/10000),MOD(INT('월 가계부'!A2611/100),100),MOD(INT('월 가계부'!A2611),100)),""),""),IF(AND('월 가계부'!A2611&gt;=36526,'월 가계부'!A2611&lt;73051),INT('월 가계부'!A2611),"")),IF(OR(CM2611="",CN2611="",CO2611=""),"",IF(AND(CM2611&gt;=2000,CM2611&lt;=2099,CN2611&gt;=1,CN2611&lt;=12,CO2611&gt;=1,CO2611&lt;=31),IF(MONTH(DATE(CM2611,CN2611,CO2611))=CN2611,DATE(CM2611,CN2611,CO2611),""),"")))),"")</f>
        <v/>
      </c>
      <c r="CJ2611">
        <f>IFERROR(IF('월 가계부'!C2611="","",IF(ISNUMBER('월 가계부'!C2611),'월 가계부'!C2611,VALUE(SUBSTITUTE(SUBSTITUTE(SUBSTITUTE(SUBSTITUTE(TRIM('월 가계부'!C2611),",",""),"원","")," ",""),"−","-")))),"")</f>
        <v/>
      </c>
      <c r="CK2611">
        <f>IF(ISNUMBER(CI2611),IF(CI2611&lt;$B$13,CI2611,""),"")</f>
        <v/>
      </c>
      <c r="CM2611">
        <f>IF(CH2611="","",IFERROR(IF(IF(AND(LEN(CH2611)=9,ISERROR(FIND("-",LEFT(CH2611,8))),ISNUMBER(-LEFT(CH2611,8))),VALUE(LEFT(CH2611,4)),VALUE(LEFT(CH2611,FIND("-",CH2611)-1)))&lt;100,IF(AND(LEN(CH2611)=9,ISERROR(FIND("-",LEFT(CH2611,8))),ISNUMBER(-LEFT(CH2611,8))),VALUE(LEFT(CH2611,4)),VALUE(LEFT(CH2611,FIND("-",CH2611)-1)))+2000,IF(AND(LEN(CH2611)=9,ISERROR(FIND("-",LEFT(CH2611,8))),ISNUMBER(-LEFT(CH2611,8))),VALUE(LEFT(CH2611,4)),VALUE(LEFT(CH2611,FIND("-",CH2611)-1)))),""))</f>
        <v/>
      </c>
      <c r="CN2611">
        <f>IF(CH2611="","",IFERROR(IF(AND(LEN(CH2611)=9,ISERROR(FIND("-",LEFT(CH2611,8))),ISNUMBER(-LEFT(CH2611,8))),VALUE(MID(CH2611,5,2)),VALUE(MID(CH2611,FIND("-",CH2611)+1,FIND("-",CH2611,FIND("-",CH2611)+1)-FIND("-",CH2611)-1))),""))</f>
        <v/>
      </c>
      <c r="CO2611">
        <f>IF(CH2611="","",IFERROR(IF(AND(LEN(CH2611)=9,ISERROR(FIND("-",LEFT(CH2611,8))),ISNUMBER(-LEFT(CH2611,8))),VALUE(MID(CH2611,7,2)),VALUE(MID(CH2611,FIND("-",CH2611,FIND("-",CH2611)+1)+1,FIND("-",CH2611,FIND("-",CH2611,FIND("-",CH2611)+1)+1)-FIND("-",CH2611,FIND("-",CH2611)+1)-1))),""))</f>
        <v/>
      </c>
    </row>
    <row r="2612">
      <c r="CH2612">
        <f>IF(ISTEXT('월 가계부'!A2612),SUBSTITUTE(SUBSTITUTE(SUBSTITUTE(SUBSTITUTE(SUBSTITUTE(SUBSTITUTE(SUBSTITUTE(SUBSTITUTE(SUBSTITUTE(TRIM('월 가계부'!A2612),"년","-"),"월","-"),"일",""),".","-"),"/","-")," ","-"),"--","-"),"--","-"),"--","-")&amp;"-","")</f>
        <v/>
      </c>
      <c r="CI2612">
        <f>IFERROR(IF('월 가계부'!A2612="","",IF(ISNUMBER('월 가계부'!A2612),IF(AND('월 가계부'!A2612&gt;=19000101,'월 가계부'!A2612&lt;=21001231),IF(AND(MOD(INT('월 가계부'!A2612/100),100)&gt;=1,MOD(INT('월 가계부'!A2612/100),100)&lt;=12,MOD(INT('월 가계부'!A2612),100)&gt;=1,MOD(INT('월 가계부'!A2612),100)&lt;=31),IF(MONTH(DATE(INT('월 가계부'!A2612/10000),MOD(INT('월 가계부'!A2612/100),100),MOD(INT('월 가계부'!A2612),100)))=MOD(INT('월 가계부'!A2612/100),100),DATE(INT('월 가계부'!A2612/10000),MOD(INT('월 가계부'!A2612/100),100),MOD(INT('월 가계부'!A2612),100)),""),""),IF(AND('월 가계부'!A2612&gt;=36526,'월 가계부'!A2612&lt;73051),INT('월 가계부'!A2612),"")),IF(OR(CM2612="",CN2612="",CO2612=""),"",IF(AND(CM2612&gt;=2000,CM2612&lt;=2099,CN2612&gt;=1,CN2612&lt;=12,CO2612&gt;=1,CO2612&lt;=31),IF(MONTH(DATE(CM2612,CN2612,CO2612))=CN2612,DATE(CM2612,CN2612,CO2612),""),"")))),"")</f>
        <v/>
      </c>
      <c r="CJ2612">
        <f>IFERROR(IF('월 가계부'!C2612="","",IF(ISNUMBER('월 가계부'!C2612),'월 가계부'!C2612,VALUE(SUBSTITUTE(SUBSTITUTE(SUBSTITUTE(SUBSTITUTE(TRIM('월 가계부'!C2612),",",""),"원","")," ",""),"−","-")))),"")</f>
        <v/>
      </c>
      <c r="CK2612">
        <f>IF(ISNUMBER(CI2612),IF(CI2612&lt;$B$13,CI2612,""),"")</f>
        <v/>
      </c>
      <c r="CM2612">
        <f>IF(CH2612="","",IFERROR(IF(IF(AND(LEN(CH2612)=9,ISERROR(FIND("-",LEFT(CH2612,8))),ISNUMBER(-LEFT(CH2612,8))),VALUE(LEFT(CH2612,4)),VALUE(LEFT(CH2612,FIND("-",CH2612)-1)))&lt;100,IF(AND(LEN(CH2612)=9,ISERROR(FIND("-",LEFT(CH2612,8))),ISNUMBER(-LEFT(CH2612,8))),VALUE(LEFT(CH2612,4)),VALUE(LEFT(CH2612,FIND("-",CH2612)-1)))+2000,IF(AND(LEN(CH2612)=9,ISERROR(FIND("-",LEFT(CH2612,8))),ISNUMBER(-LEFT(CH2612,8))),VALUE(LEFT(CH2612,4)),VALUE(LEFT(CH2612,FIND("-",CH2612)-1)))),""))</f>
        <v/>
      </c>
      <c r="CN2612">
        <f>IF(CH2612="","",IFERROR(IF(AND(LEN(CH2612)=9,ISERROR(FIND("-",LEFT(CH2612,8))),ISNUMBER(-LEFT(CH2612,8))),VALUE(MID(CH2612,5,2)),VALUE(MID(CH2612,FIND("-",CH2612)+1,FIND("-",CH2612,FIND("-",CH2612)+1)-FIND("-",CH2612)-1))),""))</f>
        <v/>
      </c>
      <c r="CO2612">
        <f>IF(CH2612="","",IFERROR(IF(AND(LEN(CH2612)=9,ISERROR(FIND("-",LEFT(CH2612,8))),ISNUMBER(-LEFT(CH2612,8))),VALUE(MID(CH2612,7,2)),VALUE(MID(CH2612,FIND("-",CH2612,FIND("-",CH2612)+1)+1,FIND("-",CH2612,FIND("-",CH2612,FIND("-",CH2612)+1)+1)-FIND("-",CH2612,FIND("-",CH2612)+1)-1))),""))</f>
        <v/>
      </c>
    </row>
    <row r="2613">
      <c r="CH2613">
        <f>IF(ISTEXT('월 가계부'!A2613),SUBSTITUTE(SUBSTITUTE(SUBSTITUTE(SUBSTITUTE(SUBSTITUTE(SUBSTITUTE(SUBSTITUTE(SUBSTITUTE(SUBSTITUTE(TRIM('월 가계부'!A2613),"년","-"),"월","-"),"일",""),".","-"),"/","-")," ","-"),"--","-"),"--","-"),"--","-")&amp;"-","")</f>
        <v/>
      </c>
      <c r="CI2613">
        <f>IFERROR(IF('월 가계부'!A2613="","",IF(ISNUMBER('월 가계부'!A2613),IF(AND('월 가계부'!A2613&gt;=19000101,'월 가계부'!A2613&lt;=21001231),IF(AND(MOD(INT('월 가계부'!A2613/100),100)&gt;=1,MOD(INT('월 가계부'!A2613/100),100)&lt;=12,MOD(INT('월 가계부'!A2613),100)&gt;=1,MOD(INT('월 가계부'!A2613),100)&lt;=31),IF(MONTH(DATE(INT('월 가계부'!A2613/10000),MOD(INT('월 가계부'!A2613/100),100),MOD(INT('월 가계부'!A2613),100)))=MOD(INT('월 가계부'!A2613/100),100),DATE(INT('월 가계부'!A2613/10000),MOD(INT('월 가계부'!A2613/100),100),MOD(INT('월 가계부'!A2613),100)),""),""),IF(AND('월 가계부'!A2613&gt;=36526,'월 가계부'!A2613&lt;73051),INT('월 가계부'!A2613),"")),IF(OR(CM2613="",CN2613="",CO2613=""),"",IF(AND(CM2613&gt;=2000,CM2613&lt;=2099,CN2613&gt;=1,CN2613&lt;=12,CO2613&gt;=1,CO2613&lt;=31),IF(MONTH(DATE(CM2613,CN2613,CO2613))=CN2613,DATE(CM2613,CN2613,CO2613),""),"")))),"")</f>
        <v/>
      </c>
      <c r="CJ2613">
        <f>IFERROR(IF('월 가계부'!C2613="","",IF(ISNUMBER('월 가계부'!C2613),'월 가계부'!C2613,VALUE(SUBSTITUTE(SUBSTITUTE(SUBSTITUTE(SUBSTITUTE(TRIM('월 가계부'!C2613),",",""),"원","")," ",""),"−","-")))),"")</f>
        <v/>
      </c>
      <c r="CK2613">
        <f>IF(ISNUMBER(CI2613),IF(CI2613&lt;$B$13,CI2613,""),"")</f>
        <v/>
      </c>
      <c r="CM2613">
        <f>IF(CH2613="","",IFERROR(IF(IF(AND(LEN(CH2613)=9,ISERROR(FIND("-",LEFT(CH2613,8))),ISNUMBER(-LEFT(CH2613,8))),VALUE(LEFT(CH2613,4)),VALUE(LEFT(CH2613,FIND("-",CH2613)-1)))&lt;100,IF(AND(LEN(CH2613)=9,ISERROR(FIND("-",LEFT(CH2613,8))),ISNUMBER(-LEFT(CH2613,8))),VALUE(LEFT(CH2613,4)),VALUE(LEFT(CH2613,FIND("-",CH2613)-1)))+2000,IF(AND(LEN(CH2613)=9,ISERROR(FIND("-",LEFT(CH2613,8))),ISNUMBER(-LEFT(CH2613,8))),VALUE(LEFT(CH2613,4)),VALUE(LEFT(CH2613,FIND("-",CH2613)-1)))),""))</f>
        <v/>
      </c>
      <c r="CN2613">
        <f>IF(CH2613="","",IFERROR(IF(AND(LEN(CH2613)=9,ISERROR(FIND("-",LEFT(CH2613,8))),ISNUMBER(-LEFT(CH2613,8))),VALUE(MID(CH2613,5,2)),VALUE(MID(CH2613,FIND("-",CH2613)+1,FIND("-",CH2613,FIND("-",CH2613)+1)-FIND("-",CH2613)-1))),""))</f>
        <v/>
      </c>
      <c r="CO2613">
        <f>IF(CH2613="","",IFERROR(IF(AND(LEN(CH2613)=9,ISERROR(FIND("-",LEFT(CH2613,8))),ISNUMBER(-LEFT(CH2613,8))),VALUE(MID(CH2613,7,2)),VALUE(MID(CH2613,FIND("-",CH2613,FIND("-",CH2613)+1)+1,FIND("-",CH2613,FIND("-",CH2613,FIND("-",CH2613)+1)+1)-FIND("-",CH2613,FIND("-",CH2613)+1)-1))),""))</f>
        <v/>
      </c>
    </row>
    <row r="2614">
      <c r="CH2614">
        <f>IF(ISTEXT('월 가계부'!A2614),SUBSTITUTE(SUBSTITUTE(SUBSTITUTE(SUBSTITUTE(SUBSTITUTE(SUBSTITUTE(SUBSTITUTE(SUBSTITUTE(SUBSTITUTE(TRIM('월 가계부'!A2614),"년","-"),"월","-"),"일",""),".","-"),"/","-")," ","-"),"--","-"),"--","-"),"--","-")&amp;"-","")</f>
        <v/>
      </c>
      <c r="CI2614">
        <f>IFERROR(IF('월 가계부'!A2614="","",IF(ISNUMBER('월 가계부'!A2614),IF(AND('월 가계부'!A2614&gt;=19000101,'월 가계부'!A2614&lt;=21001231),IF(AND(MOD(INT('월 가계부'!A2614/100),100)&gt;=1,MOD(INT('월 가계부'!A2614/100),100)&lt;=12,MOD(INT('월 가계부'!A2614),100)&gt;=1,MOD(INT('월 가계부'!A2614),100)&lt;=31),IF(MONTH(DATE(INT('월 가계부'!A2614/10000),MOD(INT('월 가계부'!A2614/100),100),MOD(INT('월 가계부'!A2614),100)))=MOD(INT('월 가계부'!A2614/100),100),DATE(INT('월 가계부'!A2614/10000),MOD(INT('월 가계부'!A2614/100),100),MOD(INT('월 가계부'!A2614),100)),""),""),IF(AND('월 가계부'!A2614&gt;=36526,'월 가계부'!A2614&lt;73051),INT('월 가계부'!A2614),"")),IF(OR(CM2614="",CN2614="",CO2614=""),"",IF(AND(CM2614&gt;=2000,CM2614&lt;=2099,CN2614&gt;=1,CN2614&lt;=12,CO2614&gt;=1,CO2614&lt;=31),IF(MONTH(DATE(CM2614,CN2614,CO2614))=CN2614,DATE(CM2614,CN2614,CO2614),""),"")))),"")</f>
        <v/>
      </c>
      <c r="CJ2614">
        <f>IFERROR(IF('월 가계부'!C2614="","",IF(ISNUMBER('월 가계부'!C2614),'월 가계부'!C2614,VALUE(SUBSTITUTE(SUBSTITUTE(SUBSTITUTE(SUBSTITUTE(TRIM('월 가계부'!C2614),",",""),"원","")," ",""),"−","-")))),"")</f>
        <v/>
      </c>
      <c r="CK2614">
        <f>IF(ISNUMBER(CI2614),IF(CI2614&lt;$B$13,CI2614,""),"")</f>
        <v/>
      </c>
      <c r="CM2614">
        <f>IF(CH2614="","",IFERROR(IF(IF(AND(LEN(CH2614)=9,ISERROR(FIND("-",LEFT(CH2614,8))),ISNUMBER(-LEFT(CH2614,8))),VALUE(LEFT(CH2614,4)),VALUE(LEFT(CH2614,FIND("-",CH2614)-1)))&lt;100,IF(AND(LEN(CH2614)=9,ISERROR(FIND("-",LEFT(CH2614,8))),ISNUMBER(-LEFT(CH2614,8))),VALUE(LEFT(CH2614,4)),VALUE(LEFT(CH2614,FIND("-",CH2614)-1)))+2000,IF(AND(LEN(CH2614)=9,ISERROR(FIND("-",LEFT(CH2614,8))),ISNUMBER(-LEFT(CH2614,8))),VALUE(LEFT(CH2614,4)),VALUE(LEFT(CH2614,FIND("-",CH2614)-1)))),""))</f>
        <v/>
      </c>
      <c r="CN2614">
        <f>IF(CH2614="","",IFERROR(IF(AND(LEN(CH2614)=9,ISERROR(FIND("-",LEFT(CH2614,8))),ISNUMBER(-LEFT(CH2614,8))),VALUE(MID(CH2614,5,2)),VALUE(MID(CH2614,FIND("-",CH2614)+1,FIND("-",CH2614,FIND("-",CH2614)+1)-FIND("-",CH2614)-1))),""))</f>
        <v/>
      </c>
      <c r="CO2614">
        <f>IF(CH2614="","",IFERROR(IF(AND(LEN(CH2614)=9,ISERROR(FIND("-",LEFT(CH2614,8))),ISNUMBER(-LEFT(CH2614,8))),VALUE(MID(CH2614,7,2)),VALUE(MID(CH2614,FIND("-",CH2614,FIND("-",CH2614)+1)+1,FIND("-",CH2614,FIND("-",CH2614,FIND("-",CH2614)+1)+1)-FIND("-",CH2614,FIND("-",CH2614)+1)-1))),""))</f>
        <v/>
      </c>
    </row>
    <row r="2615">
      <c r="CH2615">
        <f>IF(ISTEXT('월 가계부'!A2615),SUBSTITUTE(SUBSTITUTE(SUBSTITUTE(SUBSTITUTE(SUBSTITUTE(SUBSTITUTE(SUBSTITUTE(SUBSTITUTE(SUBSTITUTE(TRIM('월 가계부'!A2615),"년","-"),"월","-"),"일",""),".","-"),"/","-")," ","-"),"--","-"),"--","-"),"--","-")&amp;"-","")</f>
        <v/>
      </c>
      <c r="CI2615">
        <f>IFERROR(IF('월 가계부'!A2615="","",IF(ISNUMBER('월 가계부'!A2615),IF(AND('월 가계부'!A2615&gt;=19000101,'월 가계부'!A2615&lt;=21001231),IF(AND(MOD(INT('월 가계부'!A2615/100),100)&gt;=1,MOD(INT('월 가계부'!A2615/100),100)&lt;=12,MOD(INT('월 가계부'!A2615),100)&gt;=1,MOD(INT('월 가계부'!A2615),100)&lt;=31),IF(MONTH(DATE(INT('월 가계부'!A2615/10000),MOD(INT('월 가계부'!A2615/100),100),MOD(INT('월 가계부'!A2615),100)))=MOD(INT('월 가계부'!A2615/100),100),DATE(INT('월 가계부'!A2615/10000),MOD(INT('월 가계부'!A2615/100),100),MOD(INT('월 가계부'!A2615),100)),""),""),IF(AND('월 가계부'!A2615&gt;=36526,'월 가계부'!A2615&lt;73051),INT('월 가계부'!A2615),"")),IF(OR(CM2615="",CN2615="",CO2615=""),"",IF(AND(CM2615&gt;=2000,CM2615&lt;=2099,CN2615&gt;=1,CN2615&lt;=12,CO2615&gt;=1,CO2615&lt;=31),IF(MONTH(DATE(CM2615,CN2615,CO2615))=CN2615,DATE(CM2615,CN2615,CO2615),""),"")))),"")</f>
        <v/>
      </c>
      <c r="CJ2615">
        <f>IFERROR(IF('월 가계부'!C2615="","",IF(ISNUMBER('월 가계부'!C2615),'월 가계부'!C2615,VALUE(SUBSTITUTE(SUBSTITUTE(SUBSTITUTE(SUBSTITUTE(TRIM('월 가계부'!C2615),",",""),"원","")," ",""),"−","-")))),"")</f>
        <v/>
      </c>
      <c r="CK2615">
        <f>IF(ISNUMBER(CI2615),IF(CI2615&lt;$B$13,CI2615,""),"")</f>
        <v/>
      </c>
      <c r="CM2615">
        <f>IF(CH2615="","",IFERROR(IF(IF(AND(LEN(CH2615)=9,ISERROR(FIND("-",LEFT(CH2615,8))),ISNUMBER(-LEFT(CH2615,8))),VALUE(LEFT(CH2615,4)),VALUE(LEFT(CH2615,FIND("-",CH2615)-1)))&lt;100,IF(AND(LEN(CH2615)=9,ISERROR(FIND("-",LEFT(CH2615,8))),ISNUMBER(-LEFT(CH2615,8))),VALUE(LEFT(CH2615,4)),VALUE(LEFT(CH2615,FIND("-",CH2615)-1)))+2000,IF(AND(LEN(CH2615)=9,ISERROR(FIND("-",LEFT(CH2615,8))),ISNUMBER(-LEFT(CH2615,8))),VALUE(LEFT(CH2615,4)),VALUE(LEFT(CH2615,FIND("-",CH2615)-1)))),""))</f>
        <v/>
      </c>
      <c r="CN2615">
        <f>IF(CH2615="","",IFERROR(IF(AND(LEN(CH2615)=9,ISERROR(FIND("-",LEFT(CH2615,8))),ISNUMBER(-LEFT(CH2615,8))),VALUE(MID(CH2615,5,2)),VALUE(MID(CH2615,FIND("-",CH2615)+1,FIND("-",CH2615,FIND("-",CH2615)+1)-FIND("-",CH2615)-1))),""))</f>
        <v/>
      </c>
      <c r="CO2615">
        <f>IF(CH2615="","",IFERROR(IF(AND(LEN(CH2615)=9,ISERROR(FIND("-",LEFT(CH2615,8))),ISNUMBER(-LEFT(CH2615,8))),VALUE(MID(CH2615,7,2)),VALUE(MID(CH2615,FIND("-",CH2615,FIND("-",CH2615)+1)+1,FIND("-",CH2615,FIND("-",CH2615,FIND("-",CH2615)+1)+1)-FIND("-",CH2615,FIND("-",CH2615)+1)-1))),""))</f>
        <v/>
      </c>
    </row>
    <row r="2616">
      <c r="CH2616">
        <f>IF(ISTEXT('월 가계부'!A2616),SUBSTITUTE(SUBSTITUTE(SUBSTITUTE(SUBSTITUTE(SUBSTITUTE(SUBSTITUTE(SUBSTITUTE(SUBSTITUTE(SUBSTITUTE(TRIM('월 가계부'!A2616),"년","-"),"월","-"),"일",""),".","-"),"/","-")," ","-"),"--","-"),"--","-"),"--","-")&amp;"-","")</f>
        <v/>
      </c>
      <c r="CI2616">
        <f>IFERROR(IF('월 가계부'!A2616="","",IF(ISNUMBER('월 가계부'!A2616),IF(AND('월 가계부'!A2616&gt;=19000101,'월 가계부'!A2616&lt;=21001231),IF(AND(MOD(INT('월 가계부'!A2616/100),100)&gt;=1,MOD(INT('월 가계부'!A2616/100),100)&lt;=12,MOD(INT('월 가계부'!A2616),100)&gt;=1,MOD(INT('월 가계부'!A2616),100)&lt;=31),IF(MONTH(DATE(INT('월 가계부'!A2616/10000),MOD(INT('월 가계부'!A2616/100),100),MOD(INT('월 가계부'!A2616),100)))=MOD(INT('월 가계부'!A2616/100),100),DATE(INT('월 가계부'!A2616/10000),MOD(INT('월 가계부'!A2616/100),100),MOD(INT('월 가계부'!A2616),100)),""),""),IF(AND('월 가계부'!A2616&gt;=36526,'월 가계부'!A2616&lt;73051),INT('월 가계부'!A2616),"")),IF(OR(CM2616="",CN2616="",CO2616=""),"",IF(AND(CM2616&gt;=2000,CM2616&lt;=2099,CN2616&gt;=1,CN2616&lt;=12,CO2616&gt;=1,CO2616&lt;=31),IF(MONTH(DATE(CM2616,CN2616,CO2616))=CN2616,DATE(CM2616,CN2616,CO2616),""),"")))),"")</f>
        <v/>
      </c>
      <c r="CJ2616">
        <f>IFERROR(IF('월 가계부'!C2616="","",IF(ISNUMBER('월 가계부'!C2616),'월 가계부'!C2616,VALUE(SUBSTITUTE(SUBSTITUTE(SUBSTITUTE(SUBSTITUTE(TRIM('월 가계부'!C2616),",",""),"원","")," ",""),"−","-")))),"")</f>
        <v/>
      </c>
      <c r="CK2616">
        <f>IF(ISNUMBER(CI2616),IF(CI2616&lt;$B$13,CI2616,""),"")</f>
        <v/>
      </c>
      <c r="CM2616">
        <f>IF(CH2616="","",IFERROR(IF(IF(AND(LEN(CH2616)=9,ISERROR(FIND("-",LEFT(CH2616,8))),ISNUMBER(-LEFT(CH2616,8))),VALUE(LEFT(CH2616,4)),VALUE(LEFT(CH2616,FIND("-",CH2616)-1)))&lt;100,IF(AND(LEN(CH2616)=9,ISERROR(FIND("-",LEFT(CH2616,8))),ISNUMBER(-LEFT(CH2616,8))),VALUE(LEFT(CH2616,4)),VALUE(LEFT(CH2616,FIND("-",CH2616)-1)))+2000,IF(AND(LEN(CH2616)=9,ISERROR(FIND("-",LEFT(CH2616,8))),ISNUMBER(-LEFT(CH2616,8))),VALUE(LEFT(CH2616,4)),VALUE(LEFT(CH2616,FIND("-",CH2616)-1)))),""))</f>
        <v/>
      </c>
      <c r="CN2616">
        <f>IF(CH2616="","",IFERROR(IF(AND(LEN(CH2616)=9,ISERROR(FIND("-",LEFT(CH2616,8))),ISNUMBER(-LEFT(CH2616,8))),VALUE(MID(CH2616,5,2)),VALUE(MID(CH2616,FIND("-",CH2616)+1,FIND("-",CH2616,FIND("-",CH2616)+1)-FIND("-",CH2616)-1))),""))</f>
        <v/>
      </c>
      <c r="CO2616">
        <f>IF(CH2616="","",IFERROR(IF(AND(LEN(CH2616)=9,ISERROR(FIND("-",LEFT(CH2616,8))),ISNUMBER(-LEFT(CH2616,8))),VALUE(MID(CH2616,7,2)),VALUE(MID(CH2616,FIND("-",CH2616,FIND("-",CH2616)+1)+1,FIND("-",CH2616,FIND("-",CH2616,FIND("-",CH2616)+1)+1)-FIND("-",CH2616,FIND("-",CH2616)+1)-1))),""))</f>
        <v/>
      </c>
    </row>
    <row r="2617">
      <c r="CH2617">
        <f>IF(ISTEXT('월 가계부'!A2617),SUBSTITUTE(SUBSTITUTE(SUBSTITUTE(SUBSTITUTE(SUBSTITUTE(SUBSTITUTE(SUBSTITUTE(SUBSTITUTE(SUBSTITUTE(TRIM('월 가계부'!A2617),"년","-"),"월","-"),"일",""),".","-"),"/","-")," ","-"),"--","-"),"--","-"),"--","-")&amp;"-","")</f>
        <v/>
      </c>
      <c r="CI2617">
        <f>IFERROR(IF('월 가계부'!A2617="","",IF(ISNUMBER('월 가계부'!A2617),IF(AND('월 가계부'!A2617&gt;=19000101,'월 가계부'!A2617&lt;=21001231),IF(AND(MOD(INT('월 가계부'!A2617/100),100)&gt;=1,MOD(INT('월 가계부'!A2617/100),100)&lt;=12,MOD(INT('월 가계부'!A2617),100)&gt;=1,MOD(INT('월 가계부'!A2617),100)&lt;=31),IF(MONTH(DATE(INT('월 가계부'!A2617/10000),MOD(INT('월 가계부'!A2617/100),100),MOD(INT('월 가계부'!A2617),100)))=MOD(INT('월 가계부'!A2617/100),100),DATE(INT('월 가계부'!A2617/10000),MOD(INT('월 가계부'!A2617/100),100),MOD(INT('월 가계부'!A2617),100)),""),""),IF(AND('월 가계부'!A2617&gt;=36526,'월 가계부'!A2617&lt;73051),INT('월 가계부'!A2617),"")),IF(OR(CM2617="",CN2617="",CO2617=""),"",IF(AND(CM2617&gt;=2000,CM2617&lt;=2099,CN2617&gt;=1,CN2617&lt;=12,CO2617&gt;=1,CO2617&lt;=31),IF(MONTH(DATE(CM2617,CN2617,CO2617))=CN2617,DATE(CM2617,CN2617,CO2617),""),"")))),"")</f>
        <v/>
      </c>
      <c r="CJ2617">
        <f>IFERROR(IF('월 가계부'!C2617="","",IF(ISNUMBER('월 가계부'!C2617),'월 가계부'!C2617,VALUE(SUBSTITUTE(SUBSTITUTE(SUBSTITUTE(SUBSTITUTE(TRIM('월 가계부'!C2617),",",""),"원","")," ",""),"−","-")))),"")</f>
        <v/>
      </c>
      <c r="CK2617">
        <f>IF(ISNUMBER(CI2617),IF(CI2617&lt;$B$13,CI2617,""),"")</f>
        <v/>
      </c>
      <c r="CM2617">
        <f>IF(CH2617="","",IFERROR(IF(IF(AND(LEN(CH2617)=9,ISERROR(FIND("-",LEFT(CH2617,8))),ISNUMBER(-LEFT(CH2617,8))),VALUE(LEFT(CH2617,4)),VALUE(LEFT(CH2617,FIND("-",CH2617)-1)))&lt;100,IF(AND(LEN(CH2617)=9,ISERROR(FIND("-",LEFT(CH2617,8))),ISNUMBER(-LEFT(CH2617,8))),VALUE(LEFT(CH2617,4)),VALUE(LEFT(CH2617,FIND("-",CH2617)-1)))+2000,IF(AND(LEN(CH2617)=9,ISERROR(FIND("-",LEFT(CH2617,8))),ISNUMBER(-LEFT(CH2617,8))),VALUE(LEFT(CH2617,4)),VALUE(LEFT(CH2617,FIND("-",CH2617)-1)))),""))</f>
        <v/>
      </c>
      <c r="CN2617">
        <f>IF(CH2617="","",IFERROR(IF(AND(LEN(CH2617)=9,ISERROR(FIND("-",LEFT(CH2617,8))),ISNUMBER(-LEFT(CH2617,8))),VALUE(MID(CH2617,5,2)),VALUE(MID(CH2617,FIND("-",CH2617)+1,FIND("-",CH2617,FIND("-",CH2617)+1)-FIND("-",CH2617)-1))),""))</f>
        <v/>
      </c>
      <c r="CO2617">
        <f>IF(CH2617="","",IFERROR(IF(AND(LEN(CH2617)=9,ISERROR(FIND("-",LEFT(CH2617,8))),ISNUMBER(-LEFT(CH2617,8))),VALUE(MID(CH2617,7,2)),VALUE(MID(CH2617,FIND("-",CH2617,FIND("-",CH2617)+1)+1,FIND("-",CH2617,FIND("-",CH2617,FIND("-",CH2617)+1)+1)-FIND("-",CH2617,FIND("-",CH2617)+1)-1))),""))</f>
        <v/>
      </c>
    </row>
    <row r="2618">
      <c r="CH2618">
        <f>IF(ISTEXT('월 가계부'!A2618),SUBSTITUTE(SUBSTITUTE(SUBSTITUTE(SUBSTITUTE(SUBSTITUTE(SUBSTITUTE(SUBSTITUTE(SUBSTITUTE(SUBSTITUTE(TRIM('월 가계부'!A2618),"년","-"),"월","-"),"일",""),".","-"),"/","-")," ","-"),"--","-"),"--","-"),"--","-")&amp;"-","")</f>
        <v/>
      </c>
      <c r="CI2618">
        <f>IFERROR(IF('월 가계부'!A2618="","",IF(ISNUMBER('월 가계부'!A2618),IF(AND('월 가계부'!A2618&gt;=19000101,'월 가계부'!A2618&lt;=21001231),IF(AND(MOD(INT('월 가계부'!A2618/100),100)&gt;=1,MOD(INT('월 가계부'!A2618/100),100)&lt;=12,MOD(INT('월 가계부'!A2618),100)&gt;=1,MOD(INT('월 가계부'!A2618),100)&lt;=31),IF(MONTH(DATE(INT('월 가계부'!A2618/10000),MOD(INT('월 가계부'!A2618/100),100),MOD(INT('월 가계부'!A2618),100)))=MOD(INT('월 가계부'!A2618/100),100),DATE(INT('월 가계부'!A2618/10000),MOD(INT('월 가계부'!A2618/100),100),MOD(INT('월 가계부'!A2618),100)),""),""),IF(AND('월 가계부'!A2618&gt;=36526,'월 가계부'!A2618&lt;73051),INT('월 가계부'!A2618),"")),IF(OR(CM2618="",CN2618="",CO2618=""),"",IF(AND(CM2618&gt;=2000,CM2618&lt;=2099,CN2618&gt;=1,CN2618&lt;=12,CO2618&gt;=1,CO2618&lt;=31),IF(MONTH(DATE(CM2618,CN2618,CO2618))=CN2618,DATE(CM2618,CN2618,CO2618),""),"")))),"")</f>
        <v/>
      </c>
      <c r="CJ2618">
        <f>IFERROR(IF('월 가계부'!C2618="","",IF(ISNUMBER('월 가계부'!C2618),'월 가계부'!C2618,VALUE(SUBSTITUTE(SUBSTITUTE(SUBSTITUTE(SUBSTITUTE(TRIM('월 가계부'!C2618),",",""),"원","")," ",""),"−","-")))),"")</f>
        <v/>
      </c>
      <c r="CK2618">
        <f>IF(ISNUMBER(CI2618),IF(CI2618&lt;$B$13,CI2618,""),"")</f>
        <v/>
      </c>
      <c r="CM2618">
        <f>IF(CH2618="","",IFERROR(IF(IF(AND(LEN(CH2618)=9,ISERROR(FIND("-",LEFT(CH2618,8))),ISNUMBER(-LEFT(CH2618,8))),VALUE(LEFT(CH2618,4)),VALUE(LEFT(CH2618,FIND("-",CH2618)-1)))&lt;100,IF(AND(LEN(CH2618)=9,ISERROR(FIND("-",LEFT(CH2618,8))),ISNUMBER(-LEFT(CH2618,8))),VALUE(LEFT(CH2618,4)),VALUE(LEFT(CH2618,FIND("-",CH2618)-1)))+2000,IF(AND(LEN(CH2618)=9,ISERROR(FIND("-",LEFT(CH2618,8))),ISNUMBER(-LEFT(CH2618,8))),VALUE(LEFT(CH2618,4)),VALUE(LEFT(CH2618,FIND("-",CH2618)-1)))),""))</f>
        <v/>
      </c>
      <c r="CN2618">
        <f>IF(CH2618="","",IFERROR(IF(AND(LEN(CH2618)=9,ISERROR(FIND("-",LEFT(CH2618,8))),ISNUMBER(-LEFT(CH2618,8))),VALUE(MID(CH2618,5,2)),VALUE(MID(CH2618,FIND("-",CH2618)+1,FIND("-",CH2618,FIND("-",CH2618)+1)-FIND("-",CH2618)-1))),""))</f>
        <v/>
      </c>
      <c r="CO2618">
        <f>IF(CH2618="","",IFERROR(IF(AND(LEN(CH2618)=9,ISERROR(FIND("-",LEFT(CH2618,8))),ISNUMBER(-LEFT(CH2618,8))),VALUE(MID(CH2618,7,2)),VALUE(MID(CH2618,FIND("-",CH2618,FIND("-",CH2618)+1)+1,FIND("-",CH2618,FIND("-",CH2618,FIND("-",CH2618)+1)+1)-FIND("-",CH2618,FIND("-",CH2618)+1)-1))),""))</f>
        <v/>
      </c>
    </row>
    <row r="2619">
      <c r="CH2619">
        <f>IF(ISTEXT('월 가계부'!A2619),SUBSTITUTE(SUBSTITUTE(SUBSTITUTE(SUBSTITUTE(SUBSTITUTE(SUBSTITUTE(SUBSTITUTE(SUBSTITUTE(SUBSTITUTE(TRIM('월 가계부'!A2619),"년","-"),"월","-"),"일",""),".","-"),"/","-")," ","-"),"--","-"),"--","-"),"--","-")&amp;"-","")</f>
        <v/>
      </c>
      <c r="CI2619">
        <f>IFERROR(IF('월 가계부'!A2619="","",IF(ISNUMBER('월 가계부'!A2619),IF(AND('월 가계부'!A2619&gt;=19000101,'월 가계부'!A2619&lt;=21001231),IF(AND(MOD(INT('월 가계부'!A2619/100),100)&gt;=1,MOD(INT('월 가계부'!A2619/100),100)&lt;=12,MOD(INT('월 가계부'!A2619),100)&gt;=1,MOD(INT('월 가계부'!A2619),100)&lt;=31),IF(MONTH(DATE(INT('월 가계부'!A2619/10000),MOD(INT('월 가계부'!A2619/100),100),MOD(INT('월 가계부'!A2619),100)))=MOD(INT('월 가계부'!A2619/100),100),DATE(INT('월 가계부'!A2619/10000),MOD(INT('월 가계부'!A2619/100),100),MOD(INT('월 가계부'!A2619),100)),""),""),IF(AND('월 가계부'!A2619&gt;=36526,'월 가계부'!A2619&lt;73051),INT('월 가계부'!A2619),"")),IF(OR(CM2619="",CN2619="",CO2619=""),"",IF(AND(CM2619&gt;=2000,CM2619&lt;=2099,CN2619&gt;=1,CN2619&lt;=12,CO2619&gt;=1,CO2619&lt;=31),IF(MONTH(DATE(CM2619,CN2619,CO2619))=CN2619,DATE(CM2619,CN2619,CO2619),""),"")))),"")</f>
        <v/>
      </c>
      <c r="CJ2619">
        <f>IFERROR(IF('월 가계부'!C2619="","",IF(ISNUMBER('월 가계부'!C2619),'월 가계부'!C2619,VALUE(SUBSTITUTE(SUBSTITUTE(SUBSTITUTE(SUBSTITUTE(TRIM('월 가계부'!C2619),",",""),"원","")," ",""),"−","-")))),"")</f>
        <v/>
      </c>
      <c r="CK2619">
        <f>IF(ISNUMBER(CI2619),IF(CI2619&lt;$B$13,CI2619,""),"")</f>
        <v/>
      </c>
      <c r="CM2619">
        <f>IF(CH2619="","",IFERROR(IF(IF(AND(LEN(CH2619)=9,ISERROR(FIND("-",LEFT(CH2619,8))),ISNUMBER(-LEFT(CH2619,8))),VALUE(LEFT(CH2619,4)),VALUE(LEFT(CH2619,FIND("-",CH2619)-1)))&lt;100,IF(AND(LEN(CH2619)=9,ISERROR(FIND("-",LEFT(CH2619,8))),ISNUMBER(-LEFT(CH2619,8))),VALUE(LEFT(CH2619,4)),VALUE(LEFT(CH2619,FIND("-",CH2619)-1)))+2000,IF(AND(LEN(CH2619)=9,ISERROR(FIND("-",LEFT(CH2619,8))),ISNUMBER(-LEFT(CH2619,8))),VALUE(LEFT(CH2619,4)),VALUE(LEFT(CH2619,FIND("-",CH2619)-1)))),""))</f>
        <v/>
      </c>
      <c r="CN2619">
        <f>IF(CH2619="","",IFERROR(IF(AND(LEN(CH2619)=9,ISERROR(FIND("-",LEFT(CH2619,8))),ISNUMBER(-LEFT(CH2619,8))),VALUE(MID(CH2619,5,2)),VALUE(MID(CH2619,FIND("-",CH2619)+1,FIND("-",CH2619,FIND("-",CH2619)+1)-FIND("-",CH2619)-1))),""))</f>
        <v/>
      </c>
      <c r="CO2619">
        <f>IF(CH2619="","",IFERROR(IF(AND(LEN(CH2619)=9,ISERROR(FIND("-",LEFT(CH2619,8))),ISNUMBER(-LEFT(CH2619,8))),VALUE(MID(CH2619,7,2)),VALUE(MID(CH2619,FIND("-",CH2619,FIND("-",CH2619)+1)+1,FIND("-",CH2619,FIND("-",CH2619,FIND("-",CH2619)+1)+1)-FIND("-",CH2619,FIND("-",CH2619)+1)-1))),""))</f>
        <v/>
      </c>
    </row>
    <row r="2620">
      <c r="CH2620">
        <f>IF(ISTEXT('월 가계부'!A2620),SUBSTITUTE(SUBSTITUTE(SUBSTITUTE(SUBSTITUTE(SUBSTITUTE(SUBSTITUTE(SUBSTITUTE(SUBSTITUTE(SUBSTITUTE(TRIM('월 가계부'!A2620),"년","-"),"월","-"),"일",""),".","-"),"/","-")," ","-"),"--","-"),"--","-"),"--","-")&amp;"-","")</f>
        <v/>
      </c>
      <c r="CI2620">
        <f>IFERROR(IF('월 가계부'!A2620="","",IF(ISNUMBER('월 가계부'!A2620),IF(AND('월 가계부'!A2620&gt;=19000101,'월 가계부'!A2620&lt;=21001231),IF(AND(MOD(INT('월 가계부'!A2620/100),100)&gt;=1,MOD(INT('월 가계부'!A2620/100),100)&lt;=12,MOD(INT('월 가계부'!A2620),100)&gt;=1,MOD(INT('월 가계부'!A2620),100)&lt;=31),IF(MONTH(DATE(INT('월 가계부'!A2620/10000),MOD(INT('월 가계부'!A2620/100),100),MOD(INT('월 가계부'!A2620),100)))=MOD(INT('월 가계부'!A2620/100),100),DATE(INT('월 가계부'!A2620/10000),MOD(INT('월 가계부'!A2620/100),100),MOD(INT('월 가계부'!A2620),100)),""),""),IF(AND('월 가계부'!A2620&gt;=36526,'월 가계부'!A2620&lt;73051),INT('월 가계부'!A2620),"")),IF(OR(CM2620="",CN2620="",CO2620=""),"",IF(AND(CM2620&gt;=2000,CM2620&lt;=2099,CN2620&gt;=1,CN2620&lt;=12,CO2620&gt;=1,CO2620&lt;=31),IF(MONTH(DATE(CM2620,CN2620,CO2620))=CN2620,DATE(CM2620,CN2620,CO2620),""),"")))),"")</f>
        <v/>
      </c>
      <c r="CJ2620">
        <f>IFERROR(IF('월 가계부'!C2620="","",IF(ISNUMBER('월 가계부'!C2620),'월 가계부'!C2620,VALUE(SUBSTITUTE(SUBSTITUTE(SUBSTITUTE(SUBSTITUTE(TRIM('월 가계부'!C2620),",",""),"원","")," ",""),"−","-")))),"")</f>
        <v/>
      </c>
      <c r="CK2620">
        <f>IF(ISNUMBER(CI2620),IF(CI2620&lt;$B$13,CI2620,""),"")</f>
        <v/>
      </c>
      <c r="CM2620">
        <f>IF(CH2620="","",IFERROR(IF(IF(AND(LEN(CH2620)=9,ISERROR(FIND("-",LEFT(CH2620,8))),ISNUMBER(-LEFT(CH2620,8))),VALUE(LEFT(CH2620,4)),VALUE(LEFT(CH2620,FIND("-",CH2620)-1)))&lt;100,IF(AND(LEN(CH2620)=9,ISERROR(FIND("-",LEFT(CH2620,8))),ISNUMBER(-LEFT(CH2620,8))),VALUE(LEFT(CH2620,4)),VALUE(LEFT(CH2620,FIND("-",CH2620)-1)))+2000,IF(AND(LEN(CH2620)=9,ISERROR(FIND("-",LEFT(CH2620,8))),ISNUMBER(-LEFT(CH2620,8))),VALUE(LEFT(CH2620,4)),VALUE(LEFT(CH2620,FIND("-",CH2620)-1)))),""))</f>
        <v/>
      </c>
      <c r="CN2620">
        <f>IF(CH2620="","",IFERROR(IF(AND(LEN(CH2620)=9,ISERROR(FIND("-",LEFT(CH2620,8))),ISNUMBER(-LEFT(CH2620,8))),VALUE(MID(CH2620,5,2)),VALUE(MID(CH2620,FIND("-",CH2620)+1,FIND("-",CH2620,FIND("-",CH2620)+1)-FIND("-",CH2620)-1))),""))</f>
        <v/>
      </c>
      <c r="CO2620">
        <f>IF(CH2620="","",IFERROR(IF(AND(LEN(CH2620)=9,ISERROR(FIND("-",LEFT(CH2620,8))),ISNUMBER(-LEFT(CH2620,8))),VALUE(MID(CH2620,7,2)),VALUE(MID(CH2620,FIND("-",CH2620,FIND("-",CH2620)+1)+1,FIND("-",CH2620,FIND("-",CH2620,FIND("-",CH2620)+1)+1)-FIND("-",CH2620,FIND("-",CH2620)+1)-1))),""))</f>
        <v/>
      </c>
    </row>
    <row r="2621">
      <c r="CH2621">
        <f>IF(ISTEXT('월 가계부'!A2621),SUBSTITUTE(SUBSTITUTE(SUBSTITUTE(SUBSTITUTE(SUBSTITUTE(SUBSTITUTE(SUBSTITUTE(SUBSTITUTE(SUBSTITUTE(TRIM('월 가계부'!A2621),"년","-"),"월","-"),"일",""),".","-"),"/","-")," ","-"),"--","-"),"--","-"),"--","-")&amp;"-","")</f>
        <v/>
      </c>
      <c r="CI2621">
        <f>IFERROR(IF('월 가계부'!A2621="","",IF(ISNUMBER('월 가계부'!A2621),IF(AND('월 가계부'!A2621&gt;=19000101,'월 가계부'!A2621&lt;=21001231),IF(AND(MOD(INT('월 가계부'!A2621/100),100)&gt;=1,MOD(INT('월 가계부'!A2621/100),100)&lt;=12,MOD(INT('월 가계부'!A2621),100)&gt;=1,MOD(INT('월 가계부'!A2621),100)&lt;=31),IF(MONTH(DATE(INT('월 가계부'!A2621/10000),MOD(INT('월 가계부'!A2621/100),100),MOD(INT('월 가계부'!A2621),100)))=MOD(INT('월 가계부'!A2621/100),100),DATE(INT('월 가계부'!A2621/10000),MOD(INT('월 가계부'!A2621/100),100),MOD(INT('월 가계부'!A2621),100)),""),""),IF(AND('월 가계부'!A2621&gt;=36526,'월 가계부'!A2621&lt;73051),INT('월 가계부'!A2621),"")),IF(OR(CM2621="",CN2621="",CO2621=""),"",IF(AND(CM2621&gt;=2000,CM2621&lt;=2099,CN2621&gt;=1,CN2621&lt;=12,CO2621&gt;=1,CO2621&lt;=31),IF(MONTH(DATE(CM2621,CN2621,CO2621))=CN2621,DATE(CM2621,CN2621,CO2621),""),"")))),"")</f>
        <v/>
      </c>
      <c r="CJ2621">
        <f>IFERROR(IF('월 가계부'!C2621="","",IF(ISNUMBER('월 가계부'!C2621),'월 가계부'!C2621,VALUE(SUBSTITUTE(SUBSTITUTE(SUBSTITUTE(SUBSTITUTE(TRIM('월 가계부'!C2621),",",""),"원","")," ",""),"−","-")))),"")</f>
        <v/>
      </c>
      <c r="CK2621">
        <f>IF(ISNUMBER(CI2621),IF(CI2621&lt;$B$13,CI2621,""),"")</f>
        <v/>
      </c>
      <c r="CM2621">
        <f>IF(CH2621="","",IFERROR(IF(IF(AND(LEN(CH2621)=9,ISERROR(FIND("-",LEFT(CH2621,8))),ISNUMBER(-LEFT(CH2621,8))),VALUE(LEFT(CH2621,4)),VALUE(LEFT(CH2621,FIND("-",CH2621)-1)))&lt;100,IF(AND(LEN(CH2621)=9,ISERROR(FIND("-",LEFT(CH2621,8))),ISNUMBER(-LEFT(CH2621,8))),VALUE(LEFT(CH2621,4)),VALUE(LEFT(CH2621,FIND("-",CH2621)-1)))+2000,IF(AND(LEN(CH2621)=9,ISERROR(FIND("-",LEFT(CH2621,8))),ISNUMBER(-LEFT(CH2621,8))),VALUE(LEFT(CH2621,4)),VALUE(LEFT(CH2621,FIND("-",CH2621)-1)))),""))</f>
        <v/>
      </c>
      <c r="CN2621">
        <f>IF(CH2621="","",IFERROR(IF(AND(LEN(CH2621)=9,ISERROR(FIND("-",LEFT(CH2621,8))),ISNUMBER(-LEFT(CH2621,8))),VALUE(MID(CH2621,5,2)),VALUE(MID(CH2621,FIND("-",CH2621)+1,FIND("-",CH2621,FIND("-",CH2621)+1)-FIND("-",CH2621)-1))),""))</f>
        <v/>
      </c>
      <c r="CO2621">
        <f>IF(CH2621="","",IFERROR(IF(AND(LEN(CH2621)=9,ISERROR(FIND("-",LEFT(CH2621,8))),ISNUMBER(-LEFT(CH2621,8))),VALUE(MID(CH2621,7,2)),VALUE(MID(CH2621,FIND("-",CH2621,FIND("-",CH2621)+1)+1,FIND("-",CH2621,FIND("-",CH2621,FIND("-",CH2621)+1)+1)-FIND("-",CH2621,FIND("-",CH2621)+1)-1))),""))</f>
        <v/>
      </c>
    </row>
    <row r="2622">
      <c r="CH2622">
        <f>IF(ISTEXT('월 가계부'!A2622),SUBSTITUTE(SUBSTITUTE(SUBSTITUTE(SUBSTITUTE(SUBSTITUTE(SUBSTITUTE(SUBSTITUTE(SUBSTITUTE(SUBSTITUTE(TRIM('월 가계부'!A2622),"년","-"),"월","-"),"일",""),".","-"),"/","-")," ","-"),"--","-"),"--","-"),"--","-")&amp;"-","")</f>
        <v/>
      </c>
      <c r="CI2622">
        <f>IFERROR(IF('월 가계부'!A2622="","",IF(ISNUMBER('월 가계부'!A2622),IF(AND('월 가계부'!A2622&gt;=19000101,'월 가계부'!A2622&lt;=21001231),IF(AND(MOD(INT('월 가계부'!A2622/100),100)&gt;=1,MOD(INT('월 가계부'!A2622/100),100)&lt;=12,MOD(INT('월 가계부'!A2622),100)&gt;=1,MOD(INT('월 가계부'!A2622),100)&lt;=31),IF(MONTH(DATE(INT('월 가계부'!A2622/10000),MOD(INT('월 가계부'!A2622/100),100),MOD(INT('월 가계부'!A2622),100)))=MOD(INT('월 가계부'!A2622/100),100),DATE(INT('월 가계부'!A2622/10000),MOD(INT('월 가계부'!A2622/100),100),MOD(INT('월 가계부'!A2622),100)),""),""),IF(AND('월 가계부'!A2622&gt;=36526,'월 가계부'!A2622&lt;73051),INT('월 가계부'!A2622),"")),IF(OR(CM2622="",CN2622="",CO2622=""),"",IF(AND(CM2622&gt;=2000,CM2622&lt;=2099,CN2622&gt;=1,CN2622&lt;=12,CO2622&gt;=1,CO2622&lt;=31),IF(MONTH(DATE(CM2622,CN2622,CO2622))=CN2622,DATE(CM2622,CN2622,CO2622),""),"")))),"")</f>
        <v/>
      </c>
      <c r="CJ2622">
        <f>IFERROR(IF('월 가계부'!C2622="","",IF(ISNUMBER('월 가계부'!C2622),'월 가계부'!C2622,VALUE(SUBSTITUTE(SUBSTITUTE(SUBSTITUTE(SUBSTITUTE(TRIM('월 가계부'!C2622),",",""),"원","")," ",""),"−","-")))),"")</f>
        <v/>
      </c>
      <c r="CK2622">
        <f>IF(ISNUMBER(CI2622),IF(CI2622&lt;$B$13,CI2622,""),"")</f>
        <v/>
      </c>
      <c r="CM2622">
        <f>IF(CH2622="","",IFERROR(IF(IF(AND(LEN(CH2622)=9,ISERROR(FIND("-",LEFT(CH2622,8))),ISNUMBER(-LEFT(CH2622,8))),VALUE(LEFT(CH2622,4)),VALUE(LEFT(CH2622,FIND("-",CH2622)-1)))&lt;100,IF(AND(LEN(CH2622)=9,ISERROR(FIND("-",LEFT(CH2622,8))),ISNUMBER(-LEFT(CH2622,8))),VALUE(LEFT(CH2622,4)),VALUE(LEFT(CH2622,FIND("-",CH2622)-1)))+2000,IF(AND(LEN(CH2622)=9,ISERROR(FIND("-",LEFT(CH2622,8))),ISNUMBER(-LEFT(CH2622,8))),VALUE(LEFT(CH2622,4)),VALUE(LEFT(CH2622,FIND("-",CH2622)-1)))),""))</f>
        <v/>
      </c>
      <c r="CN2622">
        <f>IF(CH2622="","",IFERROR(IF(AND(LEN(CH2622)=9,ISERROR(FIND("-",LEFT(CH2622,8))),ISNUMBER(-LEFT(CH2622,8))),VALUE(MID(CH2622,5,2)),VALUE(MID(CH2622,FIND("-",CH2622)+1,FIND("-",CH2622,FIND("-",CH2622)+1)-FIND("-",CH2622)-1))),""))</f>
        <v/>
      </c>
      <c r="CO2622">
        <f>IF(CH2622="","",IFERROR(IF(AND(LEN(CH2622)=9,ISERROR(FIND("-",LEFT(CH2622,8))),ISNUMBER(-LEFT(CH2622,8))),VALUE(MID(CH2622,7,2)),VALUE(MID(CH2622,FIND("-",CH2622,FIND("-",CH2622)+1)+1,FIND("-",CH2622,FIND("-",CH2622,FIND("-",CH2622)+1)+1)-FIND("-",CH2622,FIND("-",CH2622)+1)-1))),""))</f>
        <v/>
      </c>
    </row>
    <row r="2623">
      <c r="CH2623">
        <f>IF(ISTEXT('월 가계부'!A2623),SUBSTITUTE(SUBSTITUTE(SUBSTITUTE(SUBSTITUTE(SUBSTITUTE(SUBSTITUTE(SUBSTITUTE(SUBSTITUTE(SUBSTITUTE(TRIM('월 가계부'!A2623),"년","-"),"월","-"),"일",""),".","-"),"/","-")," ","-"),"--","-"),"--","-"),"--","-")&amp;"-","")</f>
        <v/>
      </c>
      <c r="CI2623">
        <f>IFERROR(IF('월 가계부'!A2623="","",IF(ISNUMBER('월 가계부'!A2623),IF(AND('월 가계부'!A2623&gt;=19000101,'월 가계부'!A2623&lt;=21001231),IF(AND(MOD(INT('월 가계부'!A2623/100),100)&gt;=1,MOD(INT('월 가계부'!A2623/100),100)&lt;=12,MOD(INT('월 가계부'!A2623),100)&gt;=1,MOD(INT('월 가계부'!A2623),100)&lt;=31),IF(MONTH(DATE(INT('월 가계부'!A2623/10000),MOD(INT('월 가계부'!A2623/100),100),MOD(INT('월 가계부'!A2623),100)))=MOD(INT('월 가계부'!A2623/100),100),DATE(INT('월 가계부'!A2623/10000),MOD(INT('월 가계부'!A2623/100),100),MOD(INT('월 가계부'!A2623),100)),""),""),IF(AND('월 가계부'!A2623&gt;=36526,'월 가계부'!A2623&lt;73051),INT('월 가계부'!A2623),"")),IF(OR(CM2623="",CN2623="",CO2623=""),"",IF(AND(CM2623&gt;=2000,CM2623&lt;=2099,CN2623&gt;=1,CN2623&lt;=12,CO2623&gt;=1,CO2623&lt;=31),IF(MONTH(DATE(CM2623,CN2623,CO2623))=CN2623,DATE(CM2623,CN2623,CO2623),""),"")))),"")</f>
        <v/>
      </c>
      <c r="CJ2623">
        <f>IFERROR(IF('월 가계부'!C2623="","",IF(ISNUMBER('월 가계부'!C2623),'월 가계부'!C2623,VALUE(SUBSTITUTE(SUBSTITUTE(SUBSTITUTE(SUBSTITUTE(TRIM('월 가계부'!C2623),",",""),"원","")," ",""),"−","-")))),"")</f>
        <v/>
      </c>
      <c r="CK2623">
        <f>IF(ISNUMBER(CI2623),IF(CI2623&lt;$B$13,CI2623,""),"")</f>
        <v/>
      </c>
      <c r="CM2623">
        <f>IF(CH2623="","",IFERROR(IF(IF(AND(LEN(CH2623)=9,ISERROR(FIND("-",LEFT(CH2623,8))),ISNUMBER(-LEFT(CH2623,8))),VALUE(LEFT(CH2623,4)),VALUE(LEFT(CH2623,FIND("-",CH2623)-1)))&lt;100,IF(AND(LEN(CH2623)=9,ISERROR(FIND("-",LEFT(CH2623,8))),ISNUMBER(-LEFT(CH2623,8))),VALUE(LEFT(CH2623,4)),VALUE(LEFT(CH2623,FIND("-",CH2623)-1)))+2000,IF(AND(LEN(CH2623)=9,ISERROR(FIND("-",LEFT(CH2623,8))),ISNUMBER(-LEFT(CH2623,8))),VALUE(LEFT(CH2623,4)),VALUE(LEFT(CH2623,FIND("-",CH2623)-1)))),""))</f>
        <v/>
      </c>
      <c r="CN2623">
        <f>IF(CH2623="","",IFERROR(IF(AND(LEN(CH2623)=9,ISERROR(FIND("-",LEFT(CH2623,8))),ISNUMBER(-LEFT(CH2623,8))),VALUE(MID(CH2623,5,2)),VALUE(MID(CH2623,FIND("-",CH2623)+1,FIND("-",CH2623,FIND("-",CH2623)+1)-FIND("-",CH2623)-1))),""))</f>
        <v/>
      </c>
      <c r="CO2623">
        <f>IF(CH2623="","",IFERROR(IF(AND(LEN(CH2623)=9,ISERROR(FIND("-",LEFT(CH2623,8))),ISNUMBER(-LEFT(CH2623,8))),VALUE(MID(CH2623,7,2)),VALUE(MID(CH2623,FIND("-",CH2623,FIND("-",CH2623)+1)+1,FIND("-",CH2623,FIND("-",CH2623,FIND("-",CH2623)+1)+1)-FIND("-",CH2623,FIND("-",CH2623)+1)-1))),""))</f>
        <v/>
      </c>
    </row>
    <row r="2624">
      <c r="CH2624">
        <f>IF(ISTEXT('월 가계부'!A2624),SUBSTITUTE(SUBSTITUTE(SUBSTITUTE(SUBSTITUTE(SUBSTITUTE(SUBSTITUTE(SUBSTITUTE(SUBSTITUTE(SUBSTITUTE(TRIM('월 가계부'!A2624),"년","-"),"월","-"),"일",""),".","-"),"/","-")," ","-"),"--","-"),"--","-"),"--","-")&amp;"-","")</f>
        <v/>
      </c>
      <c r="CI2624">
        <f>IFERROR(IF('월 가계부'!A2624="","",IF(ISNUMBER('월 가계부'!A2624),IF(AND('월 가계부'!A2624&gt;=19000101,'월 가계부'!A2624&lt;=21001231),IF(AND(MOD(INT('월 가계부'!A2624/100),100)&gt;=1,MOD(INT('월 가계부'!A2624/100),100)&lt;=12,MOD(INT('월 가계부'!A2624),100)&gt;=1,MOD(INT('월 가계부'!A2624),100)&lt;=31),IF(MONTH(DATE(INT('월 가계부'!A2624/10000),MOD(INT('월 가계부'!A2624/100),100),MOD(INT('월 가계부'!A2624),100)))=MOD(INT('월 가계부'!A2624/100),100),DATE(INT('월 가계부'!A2624/10000),MOD(INT('월 가계부'!A2624/100),100),MOD(INT('월 가계부'!A2624),100)),""),""),IF(AND('월 가계부'!A2624&gt;=36526,'월 가계부'!A2624&lt;73051),INT('월 가계부'!A2624),"")),IF(OR(CM2624="",CN2624="",CO2624=""),"",IF(AND(CM2624&gt;=2000,CM2624&lt;=2099,CN2624&gt;=1,CN2624&lt;=12,CO2624&gt;=1,CO2624&lt;=31),IF(MONTH(DATE(CM2624,CN2624,CO2624))=CN2624,DATE(CM2624,CN2624,CO2624),""),"")))),"")</f>
        <v/>
      </c>
      <c r="CJ2624">
        <f>IFERROR(IF('월 가계부'!C2624="","",IF(ISNUMBER('월 가계부'!C2624),'월 가계부'!C2624,VALUE(SUBSTITUTE(SUBSTITUTE(SUBSTITUTE(SUBSTITUTE(TRIM('월 가계부'!C2624),",",""),"원","")," ",""),"−","-")))),"")</f>
        <v/>
      </c>
      <c r="CK2624">
        <f>IF(ISNUMBER(CI2624),IF(CI2624&lt;$B$13,CI2624,""),"")</f>
        <v/>
      </c>
      <c r="CM2624">
        <f>IF(CH2624="","",IFERROR(IF(IF(AND(LEN(CH2624)=9,ISERROR(FIND("-",LEFT(CH2624,8))),ISNUMBER(-LEFT(CH2624,8))),VALUE(LEFT(CH2624,4)),VALUE(LEFT(CH2624,FIND("-",CH2624)-1)))&lt;100,IF(AND(LEN(CH2624)=9,ISERROR(FIND("-",LEFT(CH2624,8))),ISNUMBER(-LEFT(CH2624,8))),VALUE(LEFT(CH2624,4)),VALUE(LEFT(CH2624,FIND("-",CH2624)-1)))+2000,IF(AND(LEN(CH2624)=9,ISERROR(FIND("-",LEFT(CH2624,8))),ISNUMBER(-LEFT(CH2624,8))),VALUE(LEFT(CH2624,4)),VALUE(LEFT(CH2624,FIND("-",CH2624)-1)))),""))</f>
        <v/>
      </c>
      <c r="CN2624">
        <f>IF(CH2624="","",IFERROR(IF(AND(LEN(CH2624)=9,ISERROR(FIND("-",LEFT(CH2624,8))),ISNUMBER(-LEFT(CH2624,8))),VALUE(MID(CH2624,5,2)),VALUE(MID(CH2624,FIND("-",CH2624)+1,FIND("-",CH2624,FIND("-",CH2624)+1)-FIND("-",CH2624)-1))),""))</f>
        <v/>
      </c>
      <c r="CO2624">
        <f>IF(CH2624="","",IFERROR(IF(AND(LEN(CH2624)=9,ISERROR(FIND("-",LEFT(CH2624,8))),ISNUMBER(-LEFT(CH2624,8))),VALUE(MID(CH2624,7,2)),VALUE(MID(CH2624,FIND("-",CH2624,FIND("-",CH2624)+1)+1,FIND("-",CH2624,FIND("-",CH2624,FIND("-",CH2624)+1)+1)-FIND("-",CH2624,FIND("-",CH2624)+1)-1))),""))</f>
        <v/>
      </c>
    </row>
    <row r="2625">
      <c r="CH2625">
        <f>IF(ISTEXT('월 가계부'!A2625),SUBSTITUTE(SUBSTITUTE(SUBSTITUTE(SUBSTITUTE(SUBSTITUTE(SUBSTITUTE(SUBSTITUTE(SUBSTITUTE(SUBSTITUTE(TRIM('월 가계부'!A2625),"년","-"),"월","-"),"일",""),".","-"),"/","-")," ","-"),"--","-"),"--","-"),"--","-")&amp;"-","")</f>
        <v/>
      </c>
      <c r="CI2625">
        <f>IFERROR(IF('월 가계부'!A2625="","",IF(ISNUMBER('월 가계부'!A2625),IF(AND('월 가계부'!A2625&gt;=19000101,'월 가계부'!A2625&lt;=21001231),IF(AND(MOD(INT('월 가계부'!A2625/100),100)&gt;=1,MOD(INT('월 가계부'!A2625/100),100)&lt;=12,MOD(INT('월 가계부'!A2625),100)&gt;=1,MOD(INT('월 가계부'!A2625),100)&lt;=31),IF(MONTH(DATE(INT('월 가계부'!A2625/10000),MOD(INT('월 가계부'!A2625/100),100),MOD(INT('월 가계부'!A2625),100)))=MOD(INT('월 가계부'!A2625/100),100),DATE(INT('월 가계부'!A2625/10000),MOD(INT('월 가계부'!A2625/100),100),MOD(INT('월 가계부'!A2625),100)),""),""),IF(AND('월 가계부'!A2625&gt;=36526,'월 가계부'!A2625&lt;73051),INT('월 가계부'!A2625),"")),IF(OR(CM2625="",CN2625="",CO2625=""),"",IF(AND(CM2625&gt;=2000,CM2625&lt;=2099,CN2625&gt;=1,CN2625&lt;=12,CO2625&gt;=1,CO2625&lt;=31),IF(MONTH(DATE(CM2625,CN2625,CO2625))=CN2625,DATE(CM2625,CN2625,CO2625),""),"")))),"")</f>
        <v/>
      </c>
      <c r="CJ2625">
        <f>IFERROR(IF('월 가계부'!C2625="","",IF(ISNUMBER('월 가계부'!C2625),'월 가계부'!C2625,VALUE(SUBSTITUTE(SUBSTITUTE(SUBSTITUTE(SUBSTITUTE(TRIM('월 가계부'!C2625),",",""),"원","")," ",""),"−","-")))),"")</f>
        <v/>
      </c>
      <c r="CK2625">
        <f>IF(ISNUMBER(CI2625),IF(CI2625&lt;$B$13,CI2625,""),"")</f>
        <v/>
      </c>
      <c r="CM2625">
        <f>IF(CH2625="","",IFERROR(IF(IF(AND(LEN(CH2625)=9,ISERROR(FIND("-",LEFT(CH2625,8))),ISNUMBER(-LEFT(CH2625,8))),VALUE(LEFT(CH2625,4)),VALUE(LEFT(CH2625,FIND("-",CH2625)-1)))&lt;100,IF(AND(LEN(CH2625)=9,ISERROR(FIND("-",LEFT(CH2625,8))),ISNUMBER(-LEFT(CH2625,8))),VALUE(LEFT(CH2625,4)),VALUE(LEFT(CH2625,FIND("-",CH2625)-1)))+2000,IF(AND(LEN(CH2625)=9,ISERROR(FIND("-",LEFT(CH2625,8))),ISNUMBER(-LEFT(CH2625,8))),VALUE(LEFT(CH2625,4)),VALUE(LEFT(CH2625,FIND("-",CH2625)-1)))),""))</f>
        <v/>
      </c>
      <c r="CN2625">
        <f>IF(CH2625="","",IFERROR(IF(AND(LEN(CH2625)=9,ISERROR(FIND("-",LEFT(CH2625,8))),ISNUMBER(-LEFT(CH2625,8))),VALUE(MID(CH2625,5,2)),VALUE(MID(CH2625,FIND("-",CH2625)+1,FIND("-",CH2625,FIND("-",CH2625)+1)-FIND("-",CH2625)-1))),""))</f>
        <v/>
      </c>
      <c r="CO2625">
        <f>IF(CH2625="","",IFERROR(IF(AND(LEN(CH2625)=9,ISERROR(FIND("-",LEFT(CH2625,8))),ISNUMBER(-LEFT(CH2625,8))),VALUE(MID(CH2625,7,2)),VALUE(MID(CH2625,FIND("-",CH2625,FIND("-",CH2625)+1)+1,FIND("-",CH2625,FIND("-",CH2625,FIND("-",CH2625)+1)+1)-FIND("-",CH2625,FIND("-",CH2625)+1)-1))),""))</f>
        <v/>
      </c>
    </row>
    <row r="2626">
      <c r="CH2626">
        <f>IF(ISTEXT('월 가계부'!A2626),SUBSTITUTE(SUBSTITUTE(SUBSTITUTE(SUBSTITUTE(SUBSTITUTE(SUBSTITUTE(SUBSTITUTE(SUBSTITUTE(SUBSTITUTE(TRIM('월 가계부'!A2626),"년","-"),"월","-"),"일",""),".","-"),"/","-")," ","-"),"--","-"),"--","-"),"--","-")&amp;"-","")</f>
        <v/>
      </c>
      <c r="CI2626">
        <f>IFERROR(IF('월 가계부'!A2626="","",IF(ISNUMBER('월 가계부'!A2626),IF(AND('월 가계부'!A2626&gt;=19000101,'월 가계부'!A2626&lt;=21001231),IF(AND(MOD(INT('월 가계부'!A2626/100),100)&gt;=1,MOD(INT('월 가계부'!A2626/100),100)&lt;=12,MOD(INT('월 가계부'!A2626),100)&gt;=1,MOD(INT('월 가계부'!A2626),100)&lt;=31),IF(MONTH(DATE(INT('월 가계부'!A2626/10000),MOD(INT('월 가계부'!A2626/100),100),MOD(INT('월 가계부'!A2626),100)))=MOD(INT('월 가계부'!A2626/100),100),DATE(INT('월 가계부'!A2626/10000),MOD(INT('월 가계부'!A2626/100),100),MOD(INT('월 가계부'!A2626),100)),""),""),IF(AND('월 가계부'!A2626&gt;=36526,'월 가계부'!A2626&lt;73051),INT('월 가계부'!A2626),"")),IF(OR(CM2626="",CN2626="",CO2626=""),"",IF(AND(CM2626&gt;=2000,CM2626&lt;=2099,CN2626&gt;=1,CN2626&lt;=12,CO2626&gt;=1,CO2626&lt;=31),IF(MONTH(DATE(CM2626,CN2626,CO2626))=CN2626,DATE(CM2626,CN2626,CO2626),""),"")))),"")</f>
        <v/>
      </c>
      <c r="CJ2626">
        <f>IFERROR(IF('월 가계부'!C2626="","",IF(ISNUMBER('월 가계부'!C2626),'월 가계부'!C2626,VALUE(SUBSTITUTE(SUBSTITUTE(SUBSTITUTE(SUBSTITUTE(TRIM('월 가계부'!C2626),",",""),"원","")," ",""),"−","-")))),"")</f>
        <v/>
      </c>
      <c r="CK2626">
        <f>IF(ISNUMBER(CI2626),IF(CI2626&lt;$B$13,CI2626,""),"")</f>
        <v/>
      </c>
      <c r="CM2626">
        <f>IF(CH2626="","",IFERROR(IF(IF(AND(LEN(CH2626)=9,ISERROR(FIND("-",LEFT(CH2626,8))),ISNUMBER(-LEFT(CH2626,8))),VALUE(LEFT(CH2626,4)),VALUE(LEFT(CH2626,FIND("-",CH2626)-1)))&lt;100,IF(AND(LEN(CH2626)=9,ISERROR(FIND("-",LEFT(CH2626,8))),ISNUMBER(-LEFT(CH2626,8))),VALUE(LEFT(CH2626,4)),VALUE(LEFT(CH2626,FIND("-",CH2626)-1)))+2000,IF(AND(LEN(CH2626)=9,ISERROR(FIND("-",LEFT(CH2626,8))),ISNUMBER(-LEFT(CH2626,8))),VALUE(LEFT(CH2626,4)),VALUE(LEFT(CH2626,FIND("-",CH2626)-1)))),""))</f>
        <v/>
      </c>
      <c r="CN2626">
        <f>IF(CH2626="","",IFERROR(IF(AND(LEN(CH2626)=9,ISERROR(FIND("-",LEFT(CH2626,8))),ISNUMBER(-LEFT(CH2626,8))),VALUE(MID(CH2626,5,2)),VALUE(MID(CH2626,FIND("-",CH2626)+1,FIND("-",CH2626,FIND("-",CH2626)+1)-FIND("-",CH2626)-1))),""))</f>
        <v/>
      </c>
      <c r="CO2626">
        <f>IF(CH2626="","",IFERROR(IF(AND(LEN(CH2626)=9,ISERROR(FIND("-",LEFT(CH2626,8))),ISNUMBER(-LEFT(CH2626,8))),VALUE(MID(CH2626,7,2)),VALUE(MID(CH2626,FIND("-",CH2626,FIND("-",CH2626)+1)+1,FIND("-",CH2626,FIND("-",CH2626,FIND("-",CH2626)+1)+1)-FIND("-",CH2626,FIND("-",CH2626)+1)-1))),""))</f>
        <v/>
      </c>
    </row>
    <row r="2627">
      <c r="CH2627">
        <f>IF(ISTEXT('월 가계부'!A2627),SUBSTITUTE(SUBSTITUTE(SUBSTITUTE(SUBSTITUTE(SUBSTITUTE(SUBSTITUTE(SUBSTITUTE(SUBSTITUTE(SUBSTITUTE(TRIM('월 가계부'!A2627),"년","-"),"월","-"),"일",""),".","-"),"/","-")," ","-"),"--","-"),"--","-"),"--","-")&amp;"-","")</f>
        <v/>
      </c>
      <c r="CI2627">
        <f>IFERROR(IF('월 가계부'!A2627="","",IF(ISNUMBER('월 가계부'!A2627),IF(AND('월 가계부'!A2627&gt;=19000101,'월 가계부'!A2627&lt;=21001231),IF(AND(MOD(INT('월 가계부'!A2627/100),100)&gt;=1,MOD(INT('월 가계부'!A2627/100),100)&lt;=12,MOD(INT('월 가계부'!A2627),100)&gt;=1,MOD(INT('월 가계부'!A2627),100)&lt;=31),IF(MONTH(DATE(INT('월 가계부'!A2627/10000),MOD(INT('월 가계부'!A2627/100),100),MOD(INT('월 가계부'!A2627),100)))=MOD(INT('월 가계부'!A2627/100),100),DATE(INT('월 가계부'!A2627/10000),MOD(INT('월 가계부'!A2627/100),100),MOD(INT('월 가계부'!A2627),100)),""),""),IF(AND('월 가계부'!A2627&gt;=36526,'월 가계부'!A2627&lt;73051),INT('월 가계부'!A2627),"")),IF(OR(CM2627="",CN2627="",CO2627=""),"",IF(AND(CM2627&gt;=2000,CM2627&lt;=2099,CN2627&gt;=1,CN2627&lt;=12,CO2627&gt;=1,CO2627&lt;=31),IF(MONTH(DATE(CM2627,CN2627,CO2627))=CN2627,DATE(CM2627,CN2627,CO2627),""),"")))),"")</f>
        <v/>
      </c>
      <c r="CJ2627">
        <f>IFERROR(IF('월 가계부'!C2627="","",IF(ISNUMBER('월 가계부'!C2627),'월 가계부'!C2627,VALUE(SUBSTITUTE(SUBSTITUTE(SUBSTITUTE(SUBSTITUTE(TRIM('월 가계부'!C2627),",",""),"원","")," ",""),"−","-")))),"")</f>
        <v/>
      </c>
      <c r="CK2627">
        <f>IF(ISNUMBER(CI2627),IF(CI2627&lt;$B$13,CI2627,""),"")</f>
        <v/>
      </c>
      <c r="CM2627">
        <f>IF(CH2627="","",IFERROR(IF(IF(AND(LEN(CH2627)=9,ISERROR(FIND("-",LEFT(CH2627,8))),ISNUMBER(-LEFT(CH2627,8))),VALUE(LEFT(CH2627,4)),VALUE(LEFT(CH2627,FIND("-",CH2627)-1)))&lt;100,IF(AND(LEN(CH2627)=9,ISERROR(FIND("-",LEFT(CH2627,8))),ISNUMBER(-LEFT(CH2627,8))),VALUE(LEFT(CH2627,4)),VALUE(LEFT(CH2627,FIND("-",CH2627)-1)))+2000,IF(AND(LEN(CH2627)=9,ISERROR(FIND("-",LEFT(CH2627,8))),ISNUMBER(-LEFT(CH2627,8))),VALUE(LEFT(CH2627,4)),VALUE(LEFT(CH2627,FIND("-",CH2627)-1)))),""))</f>
        <v/>
      </c>
      <c r="CN2627">
        <f>IF(CH2627="","",IFERROR(IF(AND(LEN(CH2627)=9,ISERROR(FIND("-",LEFT(CH2627,8))),ISNUMBER(-LEFT(CH2627,8))),VALUE(MID(CH2627,5,2)),VALUE(MID(CH2627,FIND("-",CH2627)+1,FIND("-",CH2627,FIND("-",CH2627)+1)-FIND("-",CH2627)-1))),""))</f>
        <v/>
      </c>
      <c r="CO2627">
        <f>IF(CH2627="","",IFERROR(IF(AND(LEN(CH2627)=9,ISERROR(FIND("-",LEFT(CH2627,8))),ISNUMBER(-LEFT(CH2627,8))),VALUE(MID(CH2627,7,2)),VALUE(MID(CH2627,FIND("-",CH2627,FIND("-",CH2627)+1)+1,FIND("-",CH2627,FIND("-",CH2627,FIND("-",CH2627)+1)+1)-FIND("-",CH2627,FIND("-",CH2627)+1)-1))),""))</f>
        <v/>
      </c>
    </row>
    <row r="2628">
      <c r="CH2628">
        <f>IF(ISTEXT('월 가계부'!A2628),SUBSTITUTE(SUBSTITUTE(SUBSTITUTE(SUBSTITUTE(SUBSTITUTE(SUBSTITUTE(SUBSTITUTE(SUBSTITUTE(SUBSTITUTE(TRIM('월 가계부'!A2628),"년","-"),"월","-"),"일",""),".","-"),"/","-")," ","-"),"--","-"),"--","-"),"--","-")&amp;"-","")</f>
        <v/>
      </c>
      <c r="CI2628">
        <f>IFERROR(IF('월 가계부'!A2628="","",IF(ISNUMBER('월 가계부'!A2628),IF(AND('월 가계부'!A2628&gt;=19000101,'월 가계부'!A2628&lt;=21001231),IF(AND(MOD(INT('월 가계부'!A2628/100),100)&gt;=1,MOD(INT('월 가계부'!A2628/100),100)&lt;=12,MOD(INT('월 가계부'!A2628),100)&gt;=1,MOD(INT('월 가계부'!A2628),100)&lt;=31),IF(MONTH(DATE(INT('월 가계부'!A2628/10000),MOD(INT('월 가계부'!A2628/100),100),MOD(INT('월 가계부'!A2628),100)))=MOD(INT('월 가계부'!A2628/100),100),DATE(INT('월 가계부'!A2628/10000),MOD(INT('월 가계부'!A2628/100),100),MOD(INT('월 가계부'!A2628),100)),""),""),IF(AND('월 가계부'!A2628&gt;=36526,'월 가계부'!A2628&lt;73051),INT('월 가계부'!A2628),"")),IF(OR(CM2628="",CN2628="",CO2628=""),"",IF(AND(CM2628&gt;=2000,CM2628&lt;=2099,CN2628&gt;=1,CN2628&lt;=12,CO2628&gt;=1,CO2628&lt;=31),IF(MONTH(DATE(CM2628,CN2628,CO2628))=CN2628,DATE(CM2628,CN2628,CO2628),""),"")))),"")</f>
        <v/>
      </c>
      <c r="CJ2628">
        <f>IFERROR(IF('월 가계부'!C2628="","",IF(ISNUMBER('월 가계부'!C2628),'월 가계부'!C2628,VALUE(SUBSTITUTE(SUBSTITUTE(SUBSTITUTE(SUBSTITUTE(TRIM('월 가계부'!C2628),",",""),"원","")," ",""),"−","-")))),"")</f>
        <v/>
      </c>
      <c r="CK2628">
        <f>IF(ISNUMBER(CI2628),IF(CI2628&lt;$B$13,CI2628,""),"")</f>
        <v/>
      </c>
      <c r="CM2628">
        <f>IF(CH2628="","",IFERROR(IF(IF(AND(LEN(CH2628)=9,ISERROR(FIND("-",LEFT(CH2628,8))),ISNUMBER(-LEFT(CH2628,8))),VALUE(LEFT(CH2628,4)),VALUE(LEFT(CH2628,FIND("-",CH2628)-1)))&lt;100,IF(AND(LEN(CH2628)=9,ISERROR(FIND("-",LEFT(CH2628,8))),ISNUMBER(-LEFT(CH2628,8))),VALUE(LEFT(CH2628,4)),VALUE(LEFT(CH2628,FIND("-",CH2628)-1)))+2000,IF(AND(LEN(CH2628)=9,ISERROR(FIND("-",LEFT(CH2628,8))),ISNUMBER(-LEFT(CH2628,8))),VALUE(LEFT(CH2628,4)),VALUE(LEFT(CH2628,FIND("-",CH2628)-1)))),""))</f>
        <v/>
      </c>
      <c r="CN2628">
        <f>IF(CH2628="","",IFERROR(IF(AND(LEN(CH2628)=9,ISERROR(FIND("-",LEFT(CH2628,8))),ISNUMBER(-LEFT(CH2628,8))),VALUE(MID(CH2628,5,2)),VALUE(MID(CH2628,FIND("-",CH2628)+1,FIND("-",CH2628,FIND("-",CH2628)+1)-FIND("-",CH2628)-1))),""))</f>
        <v/>
      </c>
      <c r="CO2628">
        <f>IF(CH2628="","",IFERROR(IF(AND(LEN(CH2628)=9,ISERROR(FIND("-",LEFT(CH2628,8))),ISNUMBER(-LEFT(CH2628,8))),VALUE(MID(CH2628,7,2)),VALUE(MID(CH2628,FIND("-",CH2628,FIND("-",CH2628)+1)+1,FIND("-",CH2628,FIND("-",CH2628,FIND("-",CH2628)+1)+1)-FIND("-",CH2628,FIND("-",CH2628)+1)-1))),""))</f>
        <v/>
      </c>
    </row>
    <row r="2629">
      <c r="CH2629">
        <f>IF(ISTEXT('월 가계부'!A2629),SUBSTITUTE(SUBSTITUTE(SUBSTITUTE(SUBSTITUTE(SUBSTITUTE(SUBSTITUTE(SUBSTITUTE(SUBSTITUTE(SUBSTITUTE(TRIM('월 가계부'!A2629),"년","-"),"월","-"),"일",""),".","-"),"/","-")," ","-"),"--","-"),"--","-"),"--","-")&amp;"-","")</f>
        <v/>
      </c>
      <c r="CI2629">
        <f>IFERROR(IF('월 가계부'!A2629="","",IF(ISNUMBER('월 가계부'!A2629),IF(AND('월 가계부'!A2629&gt;=19000101,'월 가계부'!A2629&lt;=21001231),IF(AND(MOD(INT('월 가계부'!A2629/100),100)&gt;=1,MOD(INT('월 가계부'!A2629/100),100)&lt;=12,MOD(INT('월 가계부'!A2629),100)&gt;=1,MOD(INT('월 가계부'!A2629),100)&lt;=31),IF(MONTH(DATE(INT('월 가계부'!A2629/10000),MOD(INT('월 가계부'!A2629/100),100),MOD(INT('월 가계부'!A2629),100)))=MOD(INT('월 가계부'!A2629/100),100),DATE(INT('월 가계부'!A2629/10000),MOD(INT('월 가계부'!A2629/100),100),MOD(INT('월 가계부'!A2629),100)),""),""),IF(AND('월 가계부'!A2629&gt;=36526,'월 가계부'!A2629&lt;73051),INT('월 가계부'!A2629),"")),IF(OR(CM2629="",CN2629="",CO2629=""),"",IF(AND(CM2629&gt;=2000,CM2629&lt;=2099,CN2629&gt;=1,CN2629&lt;=12,CO2629&gt;=1,CO2629&lt;=31),IF(MONTH(DATE(CM2629,CN2629,CO2629))=CN2629,DATE(CM2629,CN2629,CO2629),""),"")))),"")</f>
        <v/>
      </c>
      <c r="CJ2629">
        <f>IFERROR(IF('월 가계부'!C2629="","",IF(ISNUMBER('월 가계부'!C2629),'월 가계부'!C2629,VALUE(SUBSTITUTE(SUBSTITUTE(SUBSTITUTE(SUBSTITUTE(TRIM('월 가계부'!C2629),",",""),"원","")," ",""),"−","-")))),"")</f>
        <v/>
      </c>
      <c r="CK2629">
        <f>IF(ISNUMBER(CI2629),IF(CI2629&lt;$B$13,CI2629,""),"")</f>
        <v/>
      </c>
      <c r="CM2629">
        <f>IF(CH2629="","",IFERROR(IF(IF(AND(LEN(CH2629)=9,ISERROR(FIND("-",LEFT(CH2629,8))),ISNUMBER(-LEFT(CH2629,8))),VALUE(LEFT(CH2629,4)),VALUE(LEFT(CH2629,FIND("-",CH2629)-1)))&lt;100,IF(AND(LEN(CH2629)=9,ISERROR(FIND("-",LEFT(CH2629,8))),ISNUMBER(-LEFT(CH2629,8))),VALUE(LEFT(CH2629,4)),VALUE(LEFT(CH2629,FIND("-",CH2629)-1)))+2000,IF(AND(LEN(CH2629)=9,ISERROR(FIND("-",LEFT(CH2629,8))),ISNUMBER(-LEFT(CH2629,8))),VALUE(LEFT(CH2629,4)),VALUE(LEFT(CH2629,FIND("-",CH2629)-1)))),""))</f>
        <v/>
      </c>
      <c r="CN2629">
        <f>IF(CH2629="","",IFERROR(IF(AND(LEN(CH2629)=9,ISERROR(FIND("-",LEFT(CH2629,8))),ISNUMBER(-LEFT(CH2629,8))),VALUE(MID(CH2629,5,2)),VALUE(MID(CH2629,FIND("-",CH2629)+1,FIND("-",CH2629,FIND("-",CH2629)+1)-FIND("-",CH2629)-1))),""))</f>
        <v/>
      </c>
      <c r="CO2629">
        <f>IF(CH2629="","",IFERROR(IF(AND(LEN(CH2629)=9,ISERROR(FIND("-",LEFT(CH2629,8))),ISNUMBER(-LEFT(CH2629,8))),VALUE(MID(CH2629,7,2)),VALUE(MID(CH2629,FIND("-",CH2629,FIND("-",CH2629)+1)+1,FIND("-",CH2629,FIND("-",CH2629,FIND("-",CH2629)+1)+1)-FIND("-",CH2629,FIND("-",CH2629)+1)-1))),""))</f>
        <v/>
      </c>
    </row>
    <row r="2630">
      <c r="CH2630">
        <f>IF(ISTEXT('월 가계부'!A2630),SUBSTITUTE(SUBSTITUTE(SUBSTITUTE(SUBSTITUTE(SUBSTITUTE(SUBSTITUTE(SUBSTITUTE(SUBSTITUTE(SUBSTITUTE(TRIM('월 가계부'!A2630),"년","-"),"월","-"),"일",""),".","-"),"/","-")," ","-"),"--","-"),"--","-"),"--","-")&amp;"-","")</f>
        <v/>
      </c>
      <c r="CI2630">
        <f>IFERROR(IF('월 가계부'!A2630="","",IF(ISNUMBER('월 가계부'!A2630),IF(AND('월 가계부'!A2630&gt;=19000101,'월 가계부'!A2630&lt;=21001231),IF(AND(MOD(INT('월 가계부'!A2630/100),100)&gt;=1,MOD(INT('월 가계부'!A2630/100),100)&lt;=12,MOD(INT('월 가계부'!A2630),100)&gt;=1,MOD(INT('월 가계부'!A2630),100)&lt;=31),IF(MONTH(DATE(INT('월 가계부'!A2630/10000),MOD(INT('월 가계부'!A2630/100),100),MOD(INT('월 가계부'!A2630),100)))=MOD(INT('월 가계부'!A2630/100),100),DATE(INT('월 가계부'!A2630/10000),MOD(INT('월 가계부'!A2630/100),100),MOD(INT('월 가계부'!A2630),100)),""),""),IF(AND('월 가계부'!A2630&gt;=36526,'월 가계부'!A2630&lt;73051),INT('월 가계부'!A2630),"")),IF(OR(CM2630="",CN2630="",CO2630=""),"",IF(AND(CM2630&gt;=2000,CM2630&lt;=2099,CN2630&gt;=1,CN2630&lt;=12,CO2630&gt;=1,CO2630&lt;=31),IF(MONTH(DATE(CM2630,CN2630,CO2630))=CN2630,DATE(CM2630,CN2630,CO2630),""),"")))),"")</f>
        <v/>
      </c>
      <c r="CJ2630">
        <f>IFERROR(IF('월 가계부'!C2630="","",IF(ISNUMBER('월 가계부'!C2630),'월 가계부'!C2630,VALUE(SUBSTITUTE(SUBSTITUTE(SUBSTITUTE(SUBSTITUTE(TRIM('월 가계부'!C2630),",",""),"원","")," ",""),"−","-")))),"")</f>
        <v/>
      </c>
      <c r="CK2630">
        <f>IF(ISNUMBER(CI2630),IF(CI2630&lt;$B$13,CI2630,""),"")</f>
        <v/>
      </c>
      <c r="CM2630">
        <f>IF(CH2630="","",IFERROR(IF(IF(AND(LEN(CH2630)=9,ISERROR(FIND("-",LEFT(CH2630,8))),ISNUMBER(-LEFT(CH2630,8))),VALUE(LEFT(CH2630,4)),VALUE(LEFT(CH2630,FIND("-",CH2630)-1)))&lt;100,IF(AND(LEN(CH2630)=9,ISERROR(FIND("-",LEFT(CH2630,8))),ISNUMBER(-LEFT(CH2630,8))),VALUE(LEFT(CH2630,4)),VALUE(LEFT(CH2630,FIND("-",CH2630)-1)))+2000,IF(AND(LEN(CH2630)=9,ISERROR(FIND("-",LEFT(CH2630,8))),ISNUMBER(-LEFT(CH2630,8))),VALUE(LEFT(CH2630,4)),VALUE(LEFT(CH2630,FIND("-",CH2630)-1)))),""))</f>
        <v/>
      </c>
      <c r="CN2630">
        <f>IF(CH2630="","",IFERROR(IF(AND(LEN(CH2630)=9,ISERROR(FIND("-",LEFT(CH2630,8))),ISNUMBER(-LEFT(CH2630,8))),VALUE(MID(CH2630,5,2)),VALUE(MID(CH2630,FIND("-",CH2630)+1,FIND("-",CH2630,FIND("-",CH2630)+1)-FIND("-",CH2630)-1))),""))</f>
        <v/>
      </c>
      <c r="CO2630">
        <f>IF(CH2630="","",IFERROR(IF(AND(LEN(CH2630)=9,ISERROR(FIND("-",LEFT(CH2630,8))),ISNUMBER(-LEFT(CH2630,8))),VALUE(MID(CH2630,7,2)),VALUE(MID(CH2630,FIND("-",CH2630,FIND("-",CH2630)+1)+1,FIND("-",CH2630,FIND("-",CH2630,FIND("-",CH2630)+1)+1)-FIND("-",CH2630,FIND("-",CH2630)+1)-1))),""))</f>
        <v/>
      </c>
    </row>
    <row r="2631">
      <c r="CH2631">
        <f>IF(ISTEXT('월 가계부'!A2631),SUBSTITUTE(SUBSTITUTE(SUBSTITUTE(SUBSTITUTE(SUBSTITUTE(SUBSTITUTE(SUBSTITUTE(SUBSTITUTE(SUBSTITUTE(TRIM('월 가계부'!A2631),"년","-"),"월","-"),"일",""),".","-"),"/","-")," ","-"),"--","-"),"--","-"),"--","-")&amp;"-","")</f>
        <v/>
      </c>
      <c r="CI2631">
        <f>IFERROR(IF('월 가계부'!A2631="","",IF(ISNUMBER('월 가계부'!A2631),IF(AND('월 가계부'!A2631&gt;=19000101,'월 가계부'!A2631&lt;=21001231),IF(AND(MOD(INT('월 가계부'!A2631/100),100)&gt;=1,MOD(INT('월 가계부'!A2631/100),100)&lt;=12,MOD(INT('월 가계부'!A2631),100)&gt;=1,MOD(INT('월 가계부'!A2631),100)&lt;=31),IF(MONTH(DATE(INT('월 가계부'!A2631/10000),MOD(INT('월 가계부'!A2631/100),100),MOD(INT('월 가계부'!A2631),100)))=MOD(INT('월 가계부'!A2631/100),100),DATE(INT('월 가계부'!A2631/10000),MOD(INT('월 가계부'!A2631/100),100),MOD(INT('월 가계부'!A2631),100)),""),""),IF(AND('월 가계부'!A2631&gt;=36526,'월 가계부'!A2631&lt;73051),INT('월 가계부'!A2631),"")),IF(OR(CM2631="",CN2631="",CO2631=""),"",IF(AND(CM2631&gt;=2000,CM2631&lt;=2099,CN2631&gt;=1,CN2631&lt;=12,CO2631&gt;=1,CO2631&lt;=31),IF(MONTH(DATE(CM2631,CN2631,CO2631))=CN2631,DATE(CM2631,CN2631,CO2631),""),"")))),"")</f>
        <v/>
      </c>
      <c r="CJ2631">
        <f>IFERROR(IF('월 가계부'!C2631="","",IF(ISNUMBER('월 가계부'!C2631),'월 가계부'!C2631,VALUE(SUBSTITUTE(SUBSTITUTE(SUBSTITUTE(SUBSTITUTE(TRIM('월 가계부'!C2631),",",""),"원","")," ",""),"−","-")))),"")</f>
        <v/>
      </c>
      <c r="CK2631">
        <f>IF(ISNUMBER(CI2631),IF(CI2631&lt;$B$13,CI2631,""),"")</f>
        <v/>
      </c>
      <c r="CM2631">
        <f>IF(CH2631="","",IFERROR(IF(IF(AND(LEN(CH2631)=9,ISERROR(FIND("-",LEFT(CH2631,8))),ISNUMBER(-LEFT(CH2631,8))),VALUE(LEFT(CH2631,4)),VALUE(LEFT(CH2631,FIND("-",CH2631)-1)))&lt;100,IF(AND(LEN(CH2631)=9,ISERROR(FIND("-",LEFT(CH2631,8))),ISNUMBER(-LEFT(CH2631,8))),VALUE(LEFT(CH2631,4)),VALUE(LEFT(CH2631,FIND("-",CH2631)-1)))+2000,IF(AND(LEN(CH2631)=9,ISERROR(FIND("-",LEFT(CH2631,8))),ISNUMBER(-LEFT(CH2631,8))),VALUE(LEFT(CH2631,4)),VALUE(LEFT(CH2631,FIND("-",CH2631)-1)))),""))</f>
        <v/>
      </c>
      <c r="CN2631">
        <f>IF(CH2631="","",IFERROR(IF(AND(LEN(CH2631)=9,ISERROR(FIND("-",LEFT(CH2631,8))),ISNUMBER(-LEFT(CH2631,8))),VALUE(MID(CH2631,5,2)),VALUE(MID(CH2631,FIND("-",CH2631)+1,FIND("-",CH2631,FIND("-",CH2631)+1)-FIND("-",CH2631)-1))),""))</f>
        <v/>
      </c>
      <c r="CO2631">
        <f>IF(CH2631="","",IFERROR(IF(AND(LEN(CH2631)=9,ISERROR(FIND("-",LEFT(CH2631,8))),ISNUMBER(-LEFT(CH2631,8))),VALUE(MID(CH2631,7,2)),VALUE(MID(CH2631,FIND("-",CH2631,FIND("-",CH2631)+1)+1,FIND("-",CH2631,FIND("-",CH2631,FIND("-",CH2631)+1)+1)-FIND("-",CH2631,FIND("-",CH2631)+1)-1))),""))</f>
        <v/>
      </c>
    </row>
    <row r="2632">
      <c r="CH2632">
        <f>IF(ISTEXT('월 가계부'!A2632),SUBSTITUTE(SUBSTITUTE(SUBSTITUTE(SUBSTITUTE(SUBSTITUTE(SUBSTITUTE(SUBSTITUTE(SUBSTITUTE(SUBSTITUTE(TRIM('월 가계부'!A2632),"년","-"),"월","-"),"일",""),".","-"),"/","-")," ","-"),"--","-"),"--","-"),"--","-")&amp;"-","")</f>
        <v/>
      </c>
      <c r="CI2632">
        <f>IFERROR(IF('월 가계부'!A2632="","",IF(ISNUMBER('월 가계부'!A2632),IF(AND('월 가계부'!A2632&gt;=19000101,'월 가계부'!A2632&lt;=21001231),IF(AND(MOD(INT('월 가계부'!A2632/100),100)&gt;=1,MOD(INT('월 가계부'!A2632/100),100)&lt;=12,MOD(INT('월 가계부'!A2632),100)&gt;=1,MOD(INT('월 가계부'!A2632),100)&lt;=31),IF(MONTH(DATE(INT('월 가계부'!A2632/10000),MOD(INT('월 가계부'!A2632/100),100),MOD(INT('월 가계부'!A2632),100)))=MOD(INT('월 가계부'!A2632/100),100),DATE(INT('월 가계부'!A2632/10000),MOD(INT('월 가계부'!A2632/100),100),MOD(INT('월 가계부'!A2632),100)),""),""),IF(AND('월 가계부'!A2632&gt;=36526,'월 가계부'!A2632&lt;73051),INT('월 가계부'!A2632),"")),IF(OR(CM2632="",CN2632="",CO2632=""),"",IF(AND(CM2632&gt;=2000,CM2632&lt;=2099,CN2632&gt;=1,CN2632&lt;=12,CO2632&gt;=1,CO2632&lt;=31),IF(MONTH(DATE(CM2632,CN2632,CO2632))=CN2632,DATE(CM2632,CN2632,CO2632),""),"")))),"")</f>
        <v/>
      </c>
      <c r="CJ2632">
        <f>IFERROR(IF('월 가계부'!C2632="","",IF(ISNUMBER('월 가계부'!C2632),'월 가계부'!C2632,VALUE(SUBSTITUTE(SUBSTITUTE(SUBSTITUTE(SUBSTITUTE(TRIM('월 가계부'!C2632),",",""),"원","")," ",""),"−","-")))),"")</f>
        <v/>
      </c>
      <c r="CK2632">
        <f>IF(ISNUMBER(CI2632),IF(CI2632&lt;$B$13,CI2632,""),"")</f>
        <v/>
      </c>
      <c r="CM2632">
        <f>IF(CH2632="","",IFERROR(IF(IF(AND(LEN(CH2632)=9,ISERROR(FIND("-",LEFT(CH2632,8))),ISNUMBER(-LEFT(CH2632,8))),VALUE(LEFT(CH2632,4)),VALUE(LEFT(CH2632,FIND("-",CH2632)-1)))&lt;100,IF(AND(LEN(CH2632)=9,ISERROR(FIND("-",LEFT(CH2632,8))),ISNUMBER(-LEFT(CH2632,8))),VALUE(LEFT(CH2632,4)),VALUE(LEFT(CH2632,FIND("-",CH2632)-1)))+2000,IF(AND(LEN(CH2632)=9,ISERROR(FIND("-",LEFT(CH2632,8))),ISNUMBER(-LEFT(CH2632,8))),VALUE(LEFT(CH2632,4)),VALUE(LEFT(CH2632,FIND("-",CH2632)-1)))),""))</f>
        <v/>
      </c>
      <c r="CN2632">
        <f>IF(CH2632="","",IFERROR(IF(AND(LEN(CH2632)=9,ISERROR(FIND("-",LEFT(CH2632,8))),ISNUMBER(-LEFT(CH2632,8))),VALUE(MID(CH2632,5,2)),VALUE(MID(CH2632,FIND("-",CH2632)+1,FIND("-",CH2632,FIND("-",CH2632)+1)-FIND("-",CH2632)-1))),""))</f>
        <v/>
      </c>
      <c r="CO2632">
        <f>IF(CH2632="","",IFERROR(IF(AND(LEN(CH2632)=9,ISERROR(FIND("-",LEFT(CH2632,8))),ISNUMBER(-LEFT(CH2632,8))),VALUE(MID(CH2632,7,2)),VALUE(MID(CH2632,FIND("-",CH2632,FIND("-",CH2632)+1)+1,FIND("-",CH2632,FIND("-",CH2632,FIND("-",CH2632)+1)+1)-FIND("-",CH2632,FIND("-",CH2632)+1)-1))),""))</f>
        <v/>
      </c>
    </row>
    <row r="2633">
      <c r="CH2633">
        <f>IF(ISTEXT('월 가계부'!A2633),SUBSTITUTE(SUBSTITUTE(SUBSTITUTE(SUBSTITUTE(SUBSTITUTE(SUBSTITUTE(SUBSTITUTE(SUBSTITUTE(SUBSTITUTE(TRIM('월 가계부'!A2633),"년","-"),"월","-"),"일",""),".","-"),"/","-")," ","-"),"--","-"),"--","-"),"--","-")&amp;"-","")</f>
        <v/>
      </c>
      <c r="CI2633">
        <f>IFERROR(IF('월 가계부'!A2633="","",IF(ISNUMBER('월 가계부'!A2633),IF(AND('월 가계부'!A2633&gt;=19000101,'월 가계부'!A2633&lt;=21001231),IF(AND(MOD(INT('월 가계부'!A2633/100),100)&gt;=1,MOD(INT('월 가계부'!A2633/100),100)&lt;=12,MOD(INT('월 가계부'!A2633),100)&gt;=1,MOD(INT('월 가계부'!A2633),100)&lt;=31),IF(MONTH(DATE(INT('월 가계부'!A2633/10000),MOD(INT('월 가계부'!A2633/100),100),MOD(INT('월 가계부'!A2633),100)))=MOD(INT('월 가계부'!A2633/100),100),DATE(INT('월 가계부'!A2633/10000),MOD(INT('월 가계부'!A2633/100),100),MOD(INT('월 가계부'!A2633),100)),""),""),IF(AND('월 가계부'!A2633&gt;=36526,'월 가계부'!A2633&lt;73051),INT('월 가계부'!A2633),"")),IF(OR(CM2633="",CN2633="",CO2633=""),"",IF(AND(CM2633&gt;=2000,CM2633&lt;=2099,CN2633&gt;=1,CN2633&lt;=12,CO2633&gt;=1,CO2633&lt;=31),IF(MONTH(DATE(CM2633,CN2633,CO2633))=CN2633,DATE(CM2633,CN2633,CO2633),""),"")))),"")</f>
        <v/>
      </c>
      <c r="CJ2633">
        <f>IFERROR(IF('월 가계부'!C2633="","",IF(ISNUMBER('월 가계부'!C2633),'월 가계부'!C2633,VALUE(SUBSTITUTE(SUBSTITUTE(SUBSTITUTE(SUBSTITUTE(TRIM('월 가계부'!C2633),",",""),"원","")," ",""),"−","-")))),"")</f>
        <v/>
      </c>
      <c r="CK2633">
        <f>IF(ISNUMBER(CI2633),IF(CI2633&lt;$B$13,CI2633,""),"")</f>
        <v/>
      </c>
      <c r="CM2633">
        <f>IF(CH2633="","",IFERROR(IF(IF(AND(LEN(CH2633)=9,ISERROR(FIND("-",LEFT(CH2633,8))),ISNUMBER(-LEFT(CH2633,8))),VALUE(LEFT(CH2633,4)),VALUE(LEFT(CH2633,FIND("-",CH2633)-1)))&lt;100,IF(AND(LEN(CH2633)=9,ISERROR(FIND("-",LEFT(CH2633,8))),ISNUMBER(-LEFT(CH2633,8))),VALUE(LEFT(CH2633,4)),VALUE(LEFT(CH2633,FIND("-",CH2633)-1)))+2000,IF(AND(LEN(CH2633)=9,ISERROR(FIND("-",LEFT(CH2633,8))),ISNUMBER(-LEFT(CH2633,8))),VALUE(LEFT(CH2633,4)),VALUE(LEFT(CH2633,FIND("-",CH2633)-1)))),""))</f>
        <v/>
      </c>
      <c r="CN2633">
        <f>IF(CH2633="","",IFERROR(IF(AND(LEN(CH2633)=9,ISERROR(FIND("-",LEFT(CH2633,8))),ISNUMBER(-LEFT(CH2633,8))),VALUE(MID(CH2633,5,2)),VALUE(MID(CH2633,FIND("-",CH2633)+1,FIND("-",CH2633,FIND("-",CH2633)+1)-FIND("-",CH2633)-1))),""))</f>
        <v/>
      </c>
      <c r="CO2633">
        <f>IF(CH2633="","",IFERROR(IF(AND(LEN(CH2633)=9,ISERROR(FIND("-",LEFT(CH2633,8))),ISNUMBER(-LEFT(CH2633,8))),VALUE(MID(CH2633,7,2)),VALUE(MID(CH2633,FIND("-",CH2633,FIND("-",CH2633)+1)+1,FIND("-",CH2633,FIND("-",CH2633,FIND("-",CH2633)+1)+1)-FIND("-",CH2633,FIND("-",CH2633)+1)-1))),""))</f>
        <v/>
      </c>
    </row>
    <row r="2634">
      <c r="CH2634">
        <f>IF(ISTEXT('월 가계부'!A2634),SUBSTITUTE(SUBSTITUTE(SUBSTITUTE(SUBSTITUTE(SUBSTITUTE(SUBSTITUTE(SUBSTITUTE(SUBSTITUTE(SUBSTITUTE(TRIM('월 가계부'!A2634),"년","-"),"월","-"),"일",""),".","-"),"/","-")," ","-"),"--","-"),"--","-"),"--","-")&amp;"-","")</f>
        <v/>
      </c>
      <c r="CI2634">
        <f>IFERROR(IF('월 가계부'!A2634="","",IF(ISNUMBER('월 가계부'!A2634),IF(AND('월 가계부'!A2634&gt;=19000101,'월 가계부'!A2634&lt;=21001231),IF(AND(MOD(INT('월 가계부'!A2634/100),100)&gt;=1,MOD(INT('월 가계부'!A2634/100),100)&lt;=12,MOD(INT('월 가계부'!A2634),100)&gt;=1,MOD(INT('월 가계부'!A2634),100)&lt;=31),IF(MONTH(DATE(INT('월 가계부'!A2634/10000),MOD(INT('월 가계부'!A2634/100),100),MOD(INT('월 가계부'!A2634),100)))=MOD(INT('월 가계부'!A2634/100),100),DATE(INT('월 가계부'!A2634/10000),MOD(INT('월 가계부'!A2634/100),100),MOD(INT('월 가계부'!A2634),100)),""),""),IF(AND('월 가계부'!A2634&gt;=36526,'월 가계부'!A2634&lt;73051),INT('월 가계부'!A2634),"")),IF(OR(CM2634="",CN2634="",CO2634=""),"",IF(AND(CM2634&gt;=2000,CM2634&lt;=2099,CN2634&gt;=1,CN2634&lt;=12,CO2634&gt;=1,CO2634&lt;=31),IF(MONTH(DATE(CM2634,CN2634,CO2634))=CN2634,DATE(CM2634,CN2634,CO2634),""),"")))),"")</f>
        <v/>
      </c>
      <c r="CJ2634">
        <f>IFERROR(IF('월 가계부'!C2634="","",IF(ISNUMBER('월 가계부'!C2634),'월 가계부'!C2634,VALUE(SUBSTITUTE(SUBSTITUTE(SUBSTITUTE(SUBSTITUTE(TRIM('월 가계부'!C2634),",",""),"원","")," ",""),"−","-")))),"")</f>
        <v/>
      </c>
      <c r="CK2634">
        <f>IF(ISNUMBER(CI2634),IF(CI2634&lt;$B$13,CI2634,""),"")</f>
        <v/>
      </c>
      <c r="CM2634">
        <f>IF(CH2634="","",IFERROR(IF(IF(AND(LEN(CH2634)=9,ISERROR(FIND("-",LEFT(CH2634,8))),ISNUMBER(-LEFT(CH2634,8))),VALUE(LEFT(CH2634,4)),VALUE(LEFT(CH2634,FIND("-",CH2634)-1)))&lt;100,IF(AND(LEN(CH2634)=9,ISERROR(FIND("-",LEFT(CH2634,8))),ISNUMBER(-LEFT(CH2634,8))),VALUE(LEFT(CH2634,4)),VALUE(LEFT(CH2634,FIND("-",CH2634)-1)))+2000,IF(AND(LEN(CH2634)=9,ISERROR(FIND("-",LEFT(CH2634,8))),ISNUMBER(-LEFT(CH2634,8))),VALUE(LEFT(CH2634,4)),VALUE(LEFT(CH2634,FIND("-",CH2634)-1)))),""))</f>
        <v/>
      </c>
      <c r="CN2634">
        <f>IF(CH2634="","",IFERROR(IF(AND(LEN(CH2634)=9,ISERROR(FIND("-",LEFT(CH2634,8))),ISNUMBER(-LEFT(CH2634,8))),VALUE(MID(CH2634,5,2)),VALUE(MID(CH2634,FIND("-",CH2634)+1,FIND("-",CH2634,FIND("-",CH2634)+1)-FIND("-",CH2634)-1))),""))</f>
        <v/>
      </c>
      <c r="CO2634">
        <f>IF(CH2634="","",IFERROR(IF(AND(LEN(CH2634)=9,ISERROR(FIND("-",LEFT(CH2634,8))),ISNUMBER(-LEFT(CH2634,8))),VALUE(MID(CH2634,7,2)),VALUE(MID(CH2634,FIND("-",CH2634,FIND("-",CH2634)+1)+1,FIND("-",CH2634,FIND("-",CH2634,FIND("-",CH2634)+1)+1)-FIND("-",CH2634,FIND("-",CH2634)+1)-1))),""))</f>
        <v/>
      </c>
    </row>
    <row r="2635">
      <c r="CH2635">
        <f>IF(ISTEXT('월 가계부'!A2635),SUBSTITUTE(SUBSTITUTE(SUBSTITUTE(SUBSTITUTE(SUBSTITUTE(SUBSTITUTE(SUBSTITUTE(SUBSTITUTE(SUBSTITUTE(TRIM('월 가계부'!A2635),"년","-"),"월","-"),"일",""),".","-"),"/","-")," ","-"),"--","-"),"--","-"),"--","-")&amp;"-","")</f>
        <v/>
      </c>
      <c r="CI2635">
        <f>IFERROR(IF('월 가계부'!A2635="","",IF(ISNUMBER('월 가계부'!A2635),IF(AND('월 가계부'!A2635&gt;=19000101,'월 가계부'!A2635&lt;=21001231),IF(AND(MOD(INT('월 가계부'!A2635/100),100)&gt;=1,MOD(INT('월 가계부'!A2635/100),100)&lt;=12,MOD(INT('월 가계부'!A2635),100)&gt;=1,MOD(INT('월 가계부'!A2635),100)&lt;=31),IF(MONTH(DATE(INT('월 가계부'!A2635/10000),MOD(INT('월 가계부'!A2635/100),100),MOD(INT('월 가계부'!A2635),100)))=MOD(INT('월 가계부'!A2635/100),100),DATE(INT('월 가계부'!A2635/10000),MOD(INT('월 가계부'!A2635/100),100),MOD(INT('월 가계부'!A2635),100)),""),""),IF(AND('월 가계부'!A2635&gt;=36526,'월 가계부'!A2635&lt;73051),INT('월 가계부'!A2635),"")),IF(OR(CM2635="",CN2635="",CO2635=""),"",IF(AND(CM2635&gt;=2000,CM2635&lt;=2099,CN2635&gt;=1,CN2635&lt;=12,CO2635&gt;=1,CO2635&lt;=31),IF(MONTH(DATE(CM2635,CN2635,CO2635))=CN2635,DATE(CM2635,CN2635,CO2635),""),"")))),"")</f>
        <v/>
      </c>
      <c r="CJ2635">
        <f>IFERROR(IF('월 가계부'!C2635="","",IF(ISNUMBER('월 가계부'!C2635),'월 가계부'!C2635,VALUE(SUBSTITUTE(SUBSTITUTE(SUBSTITUTE(SUBSTITUTE(TRIM('월 가계부'!C2635),",",""),"원","")," ",""),"−","-")))),"")</f>
        <v/>
      </c>
      <c r="CK2635">
        <f>IF(ISNUMBER(CI2635),IF(CI2635&lt;$B$13,CI2635,""),"")</f>
        <v/>
      </c>
      <c r="CM2635">
        <f>IF(CH2635="","",IFERROR(IF(IF(AND(LEN(CH2635)=9,ISERROR(FIND("-",LEFT(CH2635,8))),ISNUMBER(-LEFT(CH2635,8))),VALUE(LEFT(CH2635,4)),VALUE(LEFT(CH2635,FIND("-",CH2635)-1)))&lt;100,IF(AND(LEN(CH2635)=9,ISERROR(FIND("-",LEFT(CH2635,8))),ISNUMBER(-LEFT(CH2635,8))),VALUE(LEFT(CH2635,4)),VALUE(LEFT(CH2635,FIND("-",CH2635)-1)))+2000,IF(AND(LEN(CH2635)=9,ISERROR(FIND("-",LEFT(CH2635,8))),ISNUMBER(-LEFT(CH2635,8))),VALUE(LEFT(CH2635,4)),VALUE(LEFT(CH2635,FIND("-",CH2635)-1)))),""))</f>
        <v/>
      </c>
      <c r="CN2635">
        <f>IF(CH2635="","",IFERROR(IF(AND(LEN(CH2635)=9,ISERROR(FIND("-",LEFT(CH2635,8))),ISNUMBER(-LEFT(CH2635,8))),VALUE(MID(CH2635,5,2)),VALUE(MID(CH2635,FIND("-",CH2635)+1,FIND("-",CH2635,FIND("-",CH2635)+1)-FIND("-",CH2635)-1))),""))</f>
        <v/>
      </c>
      <c r="CO2635">
        <f>IF(CH2635="","",IFERROR(IF(AND(LEN(CH2635)=9,ISERROR(FIND("-",LEFT(CH2635,8))),ISNUMBER(-LEFT(CH2635,8))),VALUE(MID(CH2635,7,2)),VALUE(MID(CH2635,FIND("-",CH2635,FIND("-",CH2635)+1)+1,FIND("-",CH2635,FIND("-",CH2635,FIND("-",CH2635)+1)+1)-FIND("-",CH2635,FIND("-",CH2635)+1)-1))),""))</f>
        <v/>
      </c>
    </row>
    <row r="2636">
      <c r="CH2636">
        <f>IF(ISTEXT('월 가계부'!A2636),SUBSTITUTE(SUBSTITUTE(SUBSTITUTE(SUBSTITUTE(SUBSTITUTE(SUBSTITUTE(SUBSTITUTE(SUBSTITUTE(SUBSTITUTE(TRIM('월 가계부'!A2636),"년","-"),"월","-"),"일",""),".","-"),"/","-")," ","-"),"--","-"),"--","-"),"--","-")&amp;"-","")</f>
        <v/>
      </c>
      <c r="CI2636">
        <f>IFERROR(IF('월 가계부'!A2636="","",IF(ISNUMBER('월 가계부'!A2636),IF(AND('월 가계부'!A2636&gt;=19000101,'월 가계부'!A2636&lt;=21001231),IF(AND(MOD(INT('월 가계부'!A2636/100),100)&gt;=1,MOD(INT('월 가계부'!A2636/100),100)&lt;=12,MOD(INT('월 가계부'!A2636),100)&gt;=1,MOD(INT('월 가계부'!A2636),100)&lt;=31),IF(MONTH(DATE(INT('월 가계부'!A2636/10000),MOD(INT('월 가계부'!A2636/100),100),MOD(INT('월 가계부'!A2636),100)))=MOD(INT('월 가계부'!A2636/100),100),DATE(INT('월 가계부'!A2636/10000),MOD(INT('월 가계부'!A2636/100),100),MOD(INT('월 가계부'!A2636),100)),""),""),IF(AND('월 가계부'!A2636&gt;=36526,'월 가계부'!A2636&lt;73051),INT('월 가계부'!A2636),"")),IF(OR(CM2636="",CN2636="",CO2636=""),"",IF(AND(CM2636&gt;=2000,CM2636&lt;=2099,CN2636&gt;=1,CN2636&lt;=12,CO2636&gt;=1,CO2636&lt;=31),IF(MONTH(DATE(CM2636,CN2636,CO2636))=CN2636,DATE(CM2636,CN2636,CO2636),""),"")))),"")</f>
        <v/>
      </c>
      <c r="CJ2636">
        <f>IFERROR(IF('월 가계부'!C2636="","",IF(ISNUMBER('월 가계부'!C2636),'월 가계부'!C2636,VALUE(SUBSTITUTE(SUBSTITUTE(SUBSTITUTE(SUBSTITUTE(TRIM('월 가계부'!C2636),",",""),"원","")," ",""),"−","-")))),"")</f>
        <v/>
      </c>
      <c r="CK2636">
        <f>IF(ISNUMBER(CI2636),IF(CI2636&lt;$B$13,CI2636,""),"")</f>
        <v/>
      </c>
      <c r="CM2636">
        <f>IF(CH2636="","",IFERROR(IF(IF(AND(LEN(CH2636)=9,ISERROR(FIND("-",LEFT(CH2636,8))),ISNUMBER(-LEFT(CH2636,8))),VALUE(LEFT(CH2636,4)),VALUE(LEFT(CH2636,FIND("-",CH2636)-1)))&lt;100,IF(AND(LEN(CH2636)=9,ISERROR(FIND("-",LEFT(CH2636,8))),ISNUMBER(-LEFT(CH2636,8))),VALUE(LEFT(CH2636,4)),VALUE(LEFT(CH2636,FIND("-",CH2636)-1)))+2000,IF(AND(LEN(CH2636)=9,ISERROR(FIND("-",LEFT(CH2636,8))),ISNUMBER(-LEFT(CH2636,8))),VALUE(LEFT(CH2636,4)),VALUE(LEFT(CH2636,FIND("-",CH2636)-1)))),""))</f>
        <v/>
      </c>
      <c r="CN2636">
        <f>IF(CH2636="","",IFERROR(IF(AND(LEN(CH2636)=9,ISERROR(FIND("-",LEFT(CH2636,8))),ISNUMBER(-LEFT(CH2636,8))),VALUE(MID(CH2636,5,2)),VALUE(MID(CH2636,FIND("-",CH2636)+1,FIND("-",CH2636,FIND("-",CH2636)+1)-FIND("-",CH2636)-1))),""))</f>
        <v/>
      </c>
      <c r="CO2636">
        <f>IF(CH2636="","",IFERROR(IF(AND(LEN(CH2636)=9,ISERROR(FIND("-",LEFT(CH2636,8))),ISNUMBER(-LEFT(CH2636,8))),VALUE(MID(CH2636,7,2)),VALUE(MID(CH2636,FIND("-",CH2636,FIND("-",CH2636)+1)+1,FIND("-",CH2636,FIND("-",CH2636,FIND("-",CH2636)+1)+1)-FIND("-",CH2636,FIND("-",CH2636)+1)-1))),""))</f>
        <v/>
      </c>
    </row>
    <row r="2637">
      <c r="CH2637">
        <f>IF(ISTEXT('월 가계부'!A2637),SUBSTITUTE(SUBSTITUTE(SUBSTITUTE(SUBSTITUTE(SUBSTITUTE(SUBSTITUTE(SUBSTITUTE(SUBSTITUTE(SUBSTITUTE(TRIM('월 가계부'!A2637),"년","-"),"월","-"),"일",""),".","-"),"/","-")," ","-"),"--","-"),"--","-"),"--","-")&amp;"-","")</f>
        <v/>
      </c>
      <c r="CI2637">
        <f>IFERROR(IF('월 가계부'!A2637="","",IF(ISNUMBER('월 가계부'!A2637),IF(AND('월 가계부'!A2637&gt;=19000101,'월 가계부'!A2637&lt;=21001231),IF(AND(MOD(INT('월 가계부'!A2637/100),100)&gt;=1,MOD(INT('월 가계부'!A2637/100),100)&lt;=12,MOD(INT('월 가계부'!A2637),100)&gt;=1,MOD(INT('월 가계부'!A2637),100)&lt;=31),IF(MONTH(DATE(INT('월 가계부'!A2637/10000),MOD(INT('월 가계부'!A2637/100),100),MOD(INT('월 가계부'!A2637),100)))=MOD(INT('월 가계부'!A2637/100),100),DATE(INT('월 가계부'!A2637/10000),MOD(INT('월 가계부'!A2637/100),100),MOD(INT('월 가계부'!A2637),100)),""),""),IF(AND('월 가계부'!A2637&gt;=36526,'월 가계부'!A2637&lt;73051),INT('월 가계부'!A2637),"")),IF(OR(CM2637="",CN2637="",CO2637=""),"",IF(AND(CM2637&gt;=2000,CM2637&lt;=2099,CN2637&gt;=1,CN2637&lt;=12,CO2637&gt;=1,CO2637&lt;=31),IF(MONTH(DATE(CM2637,CN2637,CO2637))=CN2637,DATE(CM2637,CN2637,CO2637),""),"")))),"")</f>
        <v/>
      </c>
      <c r="CJ2637">
        <f>IFERROR(IF('월 가계부'!C2637="","",IF(ISNUMBER('월 가계부'!C2637),'월 가계부'!C2637,VALUE(SUBSTITUTE(SUBSTITUTE(SUBSTITUTE(SUBSTITUTE(TRIM('월 가계부'!C2637),",",""),"원","")," ",""),"−","-")))),"")</f>
        <v/>
      </c>
      <c r="CK2637">
        <f>IF(ISNUMBER(CI2637),IF(CI2637&lt;$B$13,CI2637,""),"")</f>
        <v/>
      </c>
      <c r="CM2637">
        <f>IF(CH2637="","",IFERROR(IF(IF(AND(LEN(CH2637)=9,ISERROR(FIND("-",LEFT(CH2637,8))),ISNUMBER(-LEFT(CH2637,8))),VALUE(LEFT(CH2637,4)),VALUE(LEFT(CH2637,FIND("-",CH2637)-1)))&lt;100,IF(AND(LEN(CH2637)=9,ISERROR(FIND("-",LEFT(CH2637,8))),ISNUMBER(-LEFT(CH2637,8))),VALUE(LEFT(CH2637,4)),VALUE(LEFT(CH2637,FIND("-",CH2637)-1)))+2000,IF(AND(LEN(CH2637)=9,ISERROR(FIND("-",LEFT(CH2637,8))),ISNUMBER(-LEFT(CH2637,8))),VALUE(LEFT(CH2637,4)),VALUE(LEFT(CH2637,FIND("-",CH2637)-1)))),""))</f>
        <v/>
      </c>
      <c r="CN2637">
        <f>IF(CH2637="","",IFERROR(IF(AND(LEN(CH2637)=9,ISERROR(FIND("-",LEFT(CH2637,8))),ISNUMBER(-LEFT(CH2637,8))),VALUE(MID(CH2637,5,2)),VALUE(MID(CH2637,FIND("-",CH2637)+1,FIND("-",CH2637,FIND("-",CH2637)+1)-FIND("-",CH2637)-1))),""))</f>
        <v/>
      </c>
      <c r="CO2637">
        <f>IF(CH2637="","",IFERROR(IF(AND(LEN(CH2637)=9,ISERROR(FIND("-",LEFT(CH2637,8))),ISNUMBER(-LEFT(CH2637,8))),VALUE(MID(CH2637,7,2)),VALUE(MID(CH2637,FIND("-",CH2637,FIND("-",CH2637)+1)+1,FIND("-",CH2637,FIND("-",CH2637,FIND("-",CH2637)+1)+1)-FIND("-",CH2637,FIND("-",CH2637)+1)-1))),""))</f>
        <v/>
      </c>
    </row>
    <row r="2638">
      <c r="CH2638">
        <f>IF(ISTEXT('월 가계부'!A2638),SUBSTITUTE(SUBSTITUTE(SUBSTITUTE(SUBSTITUTE(SUBSTITUTE(SUBSTITUTE(SUBSTITUTE(SUBSTITUTE(SUBSTITUTE(TRIM('월 가계부'!A2638),"년","-"),"월","-"),"일",""),".","-"),"/","-")," ","-"),"--","-"),"--","-"),"--","-")&amp;"-","")</f>
        <v/>
      </c>
      <c r="CI2638">
        <f>IFERROR(IF('월 가계부'!A2638="","",IF(ISNUMBER('월 가계부'!A2638),IF(AND('월 가계부'!A2638&gt;=19000101,'월 가계부'!A2638&lt;=21001231),IF(AND(MOD(INT('월 가계부'!A2638/100),100)&gt;=1,MOD(INT('월 가계부'!A2638/100),100)&lt;=12,MOD(INT('월 가계부'!A2638),100)&gt;=1,MOD(INT('월 가계부'!A2638),100)&lt;=31),IF(MONTH(DATE(INT('월 가계부'!A2638/10000),MOD(INT('월 가계부'!A2638/100),100),MOD(INT('월 가계부'!A2638),100)))=MOD(INT('월 가계부'!A2638/100),100),DATE(INT('월 가계부'!A2638/10000),MOD(INT('월 가계부'!A2638/100),100),MOD(INT('월 가계부'!A2638),100)),""),""),IF(AND('월 가계부'!A2638&gt;=36526,'월 가계부'!A2638&lt;73051),INT('월 가계부'!A2638),"")),IF(OR(CM2638="",CN2638="",CO2638=""),"",IF(AND(CM2638&gt;=2000,CM2638&lt;=2099,CN2638&gt;=1,CN2638&lt;=12,CO2638&gt;=1,CO2638&lt;=31),IF(MONTH(DATE(CM2638,CN2638,CO2638))=CN2638,DATE(CM2638,CN2638,CO2638),""),"")))),"")</f>
        <v/>
      </c>
      <c r="CJ2638">
        <f>IFERROR(IF('월 가계부'!C2638="","",IF(ISNUMBER('월 가계부'!C2638),'월 가계부'!C2638,VALUE(SUBSTITUTE(SUBSTITUTE(SUBSTITUTE(SUBSTITUTE(TRIM('월 가계부'!C2638),",",""),"원","")," ",""),"−","-")))),"")</f>
        <v/>
      </c>
      <c r="CK2638">
        <f>IF(ISNUMBER(CI2638),IF(CI2638&lt;$B$13,CI2638,""),"")</f>
        <v/>
      </c>
      <c r="CM2638">
        <f>IF(CH2638="","",IFERROR(IF(IF(AND(LEN(CH2638)=9,ISERROR(FIND("-",LEFT(CH2638,8))),ISNUMBER(-LEFT(CH2638,8))),VALUE(LEFT(CH2638,4)),VALUE(LEFT(CH2638,FIND("-",CH2638)-1)))&lt;100,IF(AND(LEN(CH2638)=9,ISERROR(FIND("-",LEFT(CH2638,8))),ISNUMBER(-LEFT(CH2638,8))),VALUE(LEFT(CH2638,4)),VALUE(LEFT(CH2638,FIND("-",CH2638)-1)))+2000,IF(AND(LEN(CH2638)=9,ISERROR(FIND("-",LEFT(CH2638,8))),ISNUMBER(-LEFT(CH2638,8))),VALUE(LEFT(CH2638,4)),VALUE(LEFT(CH2638,FIND("-",CH2638)-1)))),""))</f>
        <v/>
      </c>
      <c r="CN2638">
        <f>IF(CH2638="","",IFERROR(IF(AND(LEN(CH2638)=9,ISERROR(FIND("-",LEFT(CH2638,8))),ISNUMBER(-LEFT(CH2638,8))),VALUE(MID(CH2638,5,2)),VALUE(MID(CH2638,FIND("-",CH2638)+1,FIND("-",CH2638,FIND("-",CH2638)+1)-FIND("-",CH2638)-1))),""))</f>
        <v/>
      </c>
      <c r="CO2638">
        <f>IF(CH2638="","",IFERROR(IF(AND(LEN(CH2638)=9,ISERROR(FIND("-",LEFT(CH2638,8))),ISNUMBER(-LEFT(CH2638,8))),VALUE(MID(CH2638,7,2)),VALUE(MID(CH2638,FIND("-",CH2638,FIND("-",CH2638)+1)+1,FIND("-",CH2638,FIND("-",CH2638,FIND("-",CH2638)+1)+1)-FIND("-",CH2638,FIND("-",CH2638)+1)-1))),""))</f>
        <v/>
      </c>
    </row>
    <row r="2639">
      <c r="CH2639">
        <f>IF(ISTEXT('월 가계부'!A2639),SUBSTITUTE(SUBSTITUTE(SUBSTITUTE(SUBSTITUTE(SUBSTITUTE(SUBSTITUTE(SUBSTITUTE(SUBSTITUTE(SUBSTITUTE(TRIM('월 가계부'!A2639),"년","-"),"월","-"),"일",""),".","-"),"/","-")," ","-"),"--","-"),"--","-"),"--","-")&amp;"-","")</f>
        <v/>
      </c>
      <c r="CI2639">
        <f>IFERROR(IF('월 가계부'!A2639="","",IF(ISNUMBER('월 가계부'!A2639),IF(AND('월 가계부'!A2639&gt;=19000101,'월 가계부'!A2639&lt;=21001231),IF(AND(MOD(INT('월 가계부'!A2639/100),100)&gt;=1,MOD(INT('월 가계부'!A2639/100),100)&lt;=12,MOD(INT('월 가계부'!A2639),100)&gt;=1,MOD(INT('월 가계부'!A2639),100)&lt;=31),IF(MONTH(DATE(INT('월 가계부'!A2639/10000),MOD(INT('월 가계부'!A2639/100),100),MOD(INT('월 가계부'!A2639),100)))=MOD(INT('월 가계부'!A2639/100),100),DATE(INT('월 가계부'!A2639/10000),MOD(INT('월 가계부'!A2639/100),100),MOD(INT('월 가계부'!A2639),100)),""),""),IF(AND('월 가계부'!A2639&gt;=36526,'월 가계부'!A2639&lt;73051),INT('월 가계부'!A2639),"")),IF(OR(CM2639="",CN2639="",CO2639=""),"",IF(AND(CM2639&gt;=2000,CM2639&lt;=2099,CN2639&gt;=1,CN2639&lt;=12,CO2639&gt;=1,CO2639&lt;=31),IF(MONTH(DATE(CM2639,CN2639,CO2639))=CN2639,DATE(CM2639,CN2639,CO2639),""),"")))),"")</f>
        <v/>
      </c>
      <c r="CJ2639">
        <f>IFERROR(IF('월 가계부'!C2639="","",IF(ISNUMBER('월 가계부'!C2639),'월 가계부'!C2639,VALUE(SUBSTITUTE(SUBSTITUTE(SUBSTITUTE(SUBSTITUTE(TRIM('월 가계부'!C2639),",",""),"원","")," ",""),"−","-")))),"")</f>
        <v/>
      </c>
      <c r="CK2639">
        <f>IF(ISNUMBER(CI2639),IF(CI2639&lt;$B$13,CI2639,""),"")</f>
        <v/>
      </c>
      <c r="CM2639">
        <f>IF(CH2639="","",IFERROR(IF(IF(AND(LEN(CH2639)=9,ISERROR(FIND("-",LEFT(CH2639,8))),ISNUMBER(-LEFT(CH2639,8))),VALUE(LEFT(CH2639,4)),VALUE(LEFT(CH2639,FIND("-",CH2639)-1)))&lt;100,IF(AND(LEN(CH2639)=9,ISERROR(FIND("-",LEFT(CH2639,8))),ISNUMBER(-LEFT(CH2639,8))),VALUE(LEFT(CH2639,4)),VALUE(LEFT(CH2639,FIND("-",CH2639)-1)))+2000,IF(AND(LEN(CH2639)=9,ISERROR(FIND("-",LEFT(CH2639,8))),ISNUMBER(-LEFT(CH2639,8))),VALUE(LEFT(CH2639,4)),VALUE(LEFT(CH2639,FIND("-",CH2639)-1)))),""))</f>
        <v/>
      </c>
      <c r="CN2639">
        <f>IF(CH2639="","",IFERROR(IF(AND(LEN(CH2639)=9,ISERROR(FIND("-",LEFT(CH2639,8))),ISNUMBER(-LEFT(CH2639,8))),VALUE(MID(CH2639,5,2)),VALUE(MID(CH2639,FIND("-",CH2639)+1,FIND("-",CH2639,FIND("-",CH2639)+1)-FIND("-",CH2639)-1))),""))</f>
        <v/>
      </c>
      <c r="CO2639">
        <f>IF(CH2639="","",IFERROR(IF(AND(LEN(CH2639)=9,ISERROR(FIND("-",LEFT(CH2639,8))),ISNUMBER(-LEFT(CH2639,8))),VALUE(MID(CH2639,7,2)),VALUE(MID(CH2639,FIND("-",CH2639,FIND("-",CH2639)+1)+1,FIND("-",CH2639,FIND("-",CH2639,FIND("-",CH2639)+1)+1)-FIND("-",CH2639,FIND("-",CH2639)+1)-1))),""))</f>
        <v/>
      </c>
    </row>
    <row r="2640">
      <c r="CH2640">
        <f>IF(ISTEXT('월 가계부'!A2640),SUBSTITUTE(SUBSTITUTE(SUBSTITUTE(SUBSTITUTE(SUBSTITUTE(SUBSTITUTE(SUBSTITUTE(SUBSTITUTE(SUBSTITUTE(TRIM('월 가계부'!A2640),"년","-"),"월","-"),"일",""),".","-"),"/","-")," ","-"),"--","-"),"--","-"),"--","-")&amp;"-","")</f>
        <v/>
      </c>
      <c r="CI2640">
        <f>IFERROR(IF('월 가계부'!A2640="","",IF(ISNUMBER('월 가계부'!A2640),IF(AND('월 가계부'!A2640&gt;=19000101,'월 가계부'!A2640&lt;=21001231),IF(AND(MOD(INT('월 가계부'!A2640/100),100)&gt;=1,MOD(INT('월 가계부'!A2640/100),100)&lt;=12,MOD(INT('월 가계부'!A2640),100)&gt;=1,MOD(INT('월 가계부'!A2640),100)&lt;=31),IF(MONTH(DATE(INT('월 가계부'!A2640/10000),MOD(INT('월 가계부'!A2640/100),100),MOD(INT('월 가계부'!A2640),100)))=MOD(INT('월 가계부'!A2640/100),100),DATE(INT('월 가계부'!A2640/10000),MOD(INT('월 가계부'!A2640/100),100),MOD(INT('월 가계부'!A2640),100)),""),""),IF(AND('월 가계부'!A2640&gt;=36526,'월 가계부'!A2640&lt;73051),INT('월 가계부'!A2640),"")),IF(OR(CM2640="",CN2640="",CO2640=""),"",IF(AND(CM2640&gt;=2000,CM2640&lt;=2099,CN2640&gt;=1,CN2640&lt;=12,CO2640&gt;=1,CO2640&lt;=31),IF(MONTH(DATE(CM2640,CN2640,CO2640))=CN2640,DATE(CM2640,CN2640,CO2640),""),"")))),"")</f>
        <v/>
      </c>
      <c r="CJ2640">
        <f>IFERROR(IF('월 가계부'!C2640="","",IF(ISNUMBER('월 가계부'!C2640),'월 가계부'!C2640,VALUE(SUBSTITUTE(SUBSTITUTE(SUBSTITUTE(SUBSTITUTE(TRIM('월 가계부'!C2640),",",""),"원","")," ",""),"−","-")))),"")</f>
        <v/>
      </c>
      <c r="CK2640">
        <f>IF(ISNUMBER(CI2640),IF(CI2640&lt;$B$13,CI2640,""),"")</f>
        <v/>
      </c>
      <c r="CM2640">
        <f>IF(CH2640="","",IFERROR(IF(IF(AND(LEN(CH2640)=9,ISERROR(FIND("-",LEFT(CH2640,8))),ISNUMBER(-LEFT(CH2640,8))),VALUE(LEFT(CH2640,4)),VALUE(LEFT(CH2640,FIND("-",CH2640)-1)))&lt;100,IF(AND(LEN(CH2640)=9,ISERROR(FIND("-",LEFT(CH2640,8))),ISNUMBER(-LEFT(CH2640,8))),VALUE(LEFT(CH2640,4)),VALUE(LEFT(CH2640,FIND("-",CH2640)-1)))+2000,IF(AND(LEN(CH2640)=9,ISERROR(FIND("-",LEFT(CH2640,8))),ISNUMBER(-LEFT(CH2640,8))),VALUE(LEFT(CH2640,4)),VALUE(LEFT(CH2640,FIND("-",CH2640)-1)))),""))</f>
        <v/>
      </c>
      <c r="CN2640">
        <f>IF(CH2640="","",IFERROR(IF(AND(LEN(CH2640)=9,ISERROR(FIND("-",LEFT(CH2640,8))),ISNUMBER(-LEFT(CH2640,8))),VALUE(MID(CH2640,5,2)),VALUE(MID(CH2640,FIND("-",CH2640)+1,FIND("-",CH2640,FIND("-",CH2640)+1)-FIND("-",CH2640)-1))),""))</f>
        <v/>
      </c>
      <c r="CO2640">
        <f>IF(CH2640="","",IFERROR(IF(AND(LEN(CH2640)=9,ISERROR(FIND("-",LEFT(CH2640,8))),ISNUMBER(-LEFT(CH2640,8))),VALUE(MID(CH2640,7,2)),VALUE(MID(CH2640,FIND("-",CH2640,FIND("-",CH2640)+1)+1,FIND("-",CH2640,FIND("-",CH2640,FIND("-",CH2640)+1)+1)-FIND("-",CH2640,FIND("-",CH2640)+1)-1))),""))</f>
        <v/>
      </c>
    </row>
    <row r="2641">
      <c r="CH2641">
        <f>IF(ISTEXT('월 가계부'!A2641),SUBSTITUTE(SUBSTITUTE(SUBSTITUTE(SUBSTITUTE(SUBSTITUTE(SUBSTITUTE(SUBSTITUTE(SUBSTITUTE(SUBSTITUTE(TRIM('월 가계부'!A2641),"년","-"),"월","-"),"일",""),".","-"),"/","-")," ","-"),"--","-"),"--","-"),"--","-")&amp;"-","")</f>
        <v/>
      </c>
      <c r="CI2641">
        <f>IFERROR(IF('월 가계부'!A2641="","",IF(ISNUMBER('월 가계부'!A2641),IF(AND('월 가계부'!A2641&gt;=19000101,'월 가계부'!A2641&lt;=21001231),IF(AND(MOD(INT('월 가계부'!A2641/100),100)&gt;=1,MOD(INT('월 가계부'!A2641/100),100)&lt;=12,MOD(INT('월 가계부'!A2641),100)&gt;=1,MOD(INT('월 가계부'!A2641),100)&lt;=31),IF(MONTH(DATE(INT('월 가계부'!A2641/10000),MOD(INT('월 가계부'!A2641/100),100),MOD(INT('월 가계부'!A2641),100)))=MOD(INT('월 가계부'!A2641/100),100),DATE(INT('월 가계부'!A2641/10000),MOD(INT('월 가계부'!A2641/100),100),MOD(INT('월 가계부'!A2641),100)),""),""),IF(AND('월 가계부'!A2641&gt;=36526,'월 가계부'!A2641&lt;73051),INT('월 가계부'!A2641),"")),IF(OR(CM2641="",CN2641="",CO2641=""),"",IF(AND(CM2641&gt;=2000,CM2641&lt;=2099,CN2641&gt;=1,CN2641&lt;=12,CO2641&gt;=1,CO2641&lt;=31),IF(MONTH(DATE(CM2641,CN2641,CO2641))=CN2641,DATE(CM2641,CN2641,CO2641),""),"")))),"")</f>
        <v/>
      </c>
      <c r="CJ2641">
        <f>IFERROR(IF('월 가계부'!C2641="","",IF(ISNUMBER('월 가계부'!C2641),'월 가계부'!C2641,VALUE(SUBSTITUTE(SUBSTITUTE(SUBSTITUTE(SUBSTITUTE(TRIM('월 가계부'!C2641),",",""),"원","")," ",""),"−","-")))),"")</f>
        <v/>
      </c>
      <c r="CK2641">
        <f>IF(ISNUMBER(CI2641),IF(CI2641&lt;$B$13,CI2641,""),"")</f>
        <v/>
      </c>
      <c r="CM2641">
        <f>IF(CH2641="","",IFERROR(IF(IF(AND(LEN(CH2641)=9,ISERROR(FIND("-",LEFT(CH2641,8))),ISNUMBER(-LEFT(CH2641,8))),VALUE(LEFT(CH2641,4)),VALUE(LEFT(CH2641,FIND("-",CH2641)-1)))&lt;100,IF(AND(LEN(CH2641)=9,ISERROR(FIND("-",LEFT(CH2641,8))),ISNUMBER(-LEFT(CH2641,8))),VALUE(LEFT(CH2641,4)),VALUE(LEFT(CH2641,FIND("-",CH2641)-1)))+2000,IF(AND(LEN(CH2641)=9,ISERROR(FIND("-",LEFT(CH2641,8))),ISNUMBER(-LEFT(CH2641,8))),VALUE(LEFT(CH2641,4)),VALUE(LEFT(CH2641,FIND("-",CH2641)-1)))),""))</f>
        <v/>
      </c>
      <c r="CN2641">
        <f>IF(CH2641="","",IFERROR(IF(AND(LEN(CH2641)=9,ISERROR(FIND("-",LEFT(CH2641,8))),ISNUMBER(-LEFT(CH2641,8))),VALUE(MID(CH2641,5,2)),VALUE(MID(CH2641,FIND("-",CH2641)+1,FIND("-",CH2641,FIND("-",CH2641)+1)-FIND("-",CH2641)-1))),""))</f>
        <v/>
      </c>
      <c r="CO2641">
        <f>IF(CH2641="","",IFERROR(IF(AND(LEN(CH2641)=9,ISERROR(FIND("-",LEFT(CH2641,8))),ISNUMBER(-LEFT(CH2641,8))),VALUE(MID(CH2641,7,2)),VALUE(MID(CH2641,FIND("-",CH2641,FIND("-",CH2641)+1)+1,FIND("-",CH2641,FIND("-",CH2641,FIND("-",CH2641)+1)+1)-FIND("-",CH2641,FIND("-",CH2641)+1)-1))),""))</f>
        <v/>
      </c>
    </row>
    <row r="2642">
      <c r="CH2642">
        <f>IF(ISTEXT('월 가계부'!A2642),SUBSTITUTE(SUBSTITUTE(SUBSTITUTE(SUBSTITUTE(SUBSTITUTE(SUBSTITUTE(SUBSTITUTE(SUBSTITUTE(SUBSTITUTE(TRIM('월 가계부'!A2642),"년","-"),"월","-"),"일",""),".","-"),"/","-")," ","-"),"--","-"),"--","-"),"--","-")&amp;"-","")</f>
        <v/>
      </c>
      <c r="CI2642">
        <f>IFERROR(IF('월 가계부'!A2642="","",IF(ISNUMBER('월 가계부'!A2642),IF(AND('월 가계부'!A2642&gt;=19000101,'월 가계부'!A2642&lt;=21001231),IF(AND(MOD(INT('월 가계부'!A2642/100),100)&gt;=1,MOD(INT('월 가계부'!A2642/100),100)&lt;=12,MOD(INT('월 가계부'!A2642),100)&gt;=1,MOD(INT('월 가계부'!A2642),100)&lt;=31),IF(MONTH(DATE(INT('월 가계부'!A2642/10000),MOD(INT('월 가계부'!A2642/100),100),MOD(INT('월 가계부'!A2642),100)))=MOD(INT('월 가계부'!A2642/100),100),DATE(INT('월 가계부'!A2642/10000),MOD(INT('월 가계부'!A2642/100),100),MOD(INT('월 가계부'!A2642),100)),""),""),IF(AND('월 가계부'!A2642&gt;=36526,'월 가계부'!A2642&lt;73051),INT('월 가계부'!A2642),"")),IF(OR(CM2642="",CN2642="",CO2642=""),"",IF(AND(CM2642&gt;=2000,CM2642&lt;=2099,CN2642&gt;=1,CN2642&lt;=12,CO2642&gt;=1,CO2642&lt;=31),IF(MONTH(DATE(CM2642,CN2642,CO2642))=CN2642,DATE(CM2642,CN2642,CO2642),""),"")))),"")</f>
        <v/>
      </c>
      <c r="CJ2642">
        <f>IFERROR(IF('월 가계부'!C2642="","",IF(ISNUMBER('월 가계부'!C2642),'월 가계부'!C2642,VALUE(SUBSTITUTE(SUBSTITUTE(SUBSTITUTE(SUBSTITUTE(TRIM('월 가계부'!C2642),",",""),"원","")," ",""),"−","-")))),"")</f>
        <v/>
      </c>
      <c r="CK2642">
        <f>IF(ISNUMBER(CI2642),IF(CI2642&lt;$B$13,CI2642,""),"")</f>
        <v/>
      </c>
      <c r="CM2642">
        <f>IF(CH2642="","",IFERROR(IF(IF(AND(LEN(CH2642)=9,ISERROR(FIND("-",LEFT(CH2642,8))),ISNUMBER(-LEFT(CH2642,8))),VALUE(LEFT(CH2642,4)),VALUE(LEFT(CH2642,FIND("-",CH2642)-1)))&lt;100,IF(AND(LEN(CH2642)=9,ISERROR(FIND("-",LEFT(CH2642,8))),ISNUMBER(-LEFT(CH2642,8))),VALUE(LEFT(CH2642,4)),VALUE(LEFT(CH2642,FIND("-",CH2642)-1)))+2000,IF(AND(LEN(CH2642)=9,ISERROR(FIND("-",LEFT(CH2642,8))),ISNUMBER(-LEFT(CH2642,8))),VALUE(LEFT(CH2642,4)),VALUE(LEFT(CH2642,FIND("-",CH2642)-1)))),""))</f>
        <v/>
      </c>
      <c r="CN2642">
        <f>IF(CH2642="","",IFERROR(IF(AND(LEN(CH2642)=9,ISERROR(FIND("-",LEFT(CH2642,8))),ISNUMBER(-LEFT(CH2642,8))),VALUE(MID(CH2642,5,2)),VALUE(MID(CH2642,FIND("-",CH2642)+1,FIND("-",CH2642,FIND("-",CH2642)+1)-FIND("-",CH2642)-1))),""))</f>
        <v/>
      </c>
      <c r="CO2642">
        <f>IF(CH2642="","",IFERROR(IF(AND(LEN(CH2642)=9,ISERROR(FIND("-",LEFT(CH2642,8))),ISNUMBER(-LEFT(CH2642,8))),VALUE(MID(CH2642,7,2)),VALUE(MID(CH2642,FIND("-",CH2642,FIND("-",CH2642)+1)+1,FIND("-",CH2642,FIND("-",CH2642,FIND("-",CH2642)+1)+1)-FIND("-",CH2642,FIND("-",CH2642)+1)-1))),""))</f>
        <v/>
      </c>
    </row>
    <row r="2643">
      <c r="CH2643">
        <f>IF(ISTEXT('월 가계부'!A2643),SUBSTITUTE(SUBSTITUTE(SUBSTITUTE(SUBSTITUTE(SUBSTITUTE(SUBSTITUTE(SUBSTITUTE(SUBSTITUTE(SUBSTITUTE(TRIM('월 가계부'!A2643),"년","-"),"월","-"),"일",""),".","-"),"/","-")," ","-"),"--","-"),"--","-"),"--","-")&amp;"-","")</f>
        <v/>
      </c>
      <c r="CI2643">
        <f>IFERROR(IF('월 가계부'!A2643="","",IF(ISNUMBER('월 가계부'!A2643),IF(AND('월 가계부'!A2643&gt;=19000101,'월 가계부'!A2643&lt;=21001231),IF(AND(MOD(INT('월 가계부'!A2643/100),100)&gt;=1,MOD(INT('월 가계부'!A2643/100),100)&lt;=12,MOD(INT('월 가계부'!A2643),100)&gt;=1,MOD(INT('월 가계부'!A2643),100)&lt;=31),IF(MONTH(DATE(INT('월 가계부'!A2643/10000),MOD(INT('월 가계부'!A2643/100),100),MOD(INT('월 가계부'!A2643),100)))=MOD(INT('월 가계부'!A2643/100),100),DATE(INT('월 가계부'!A2643/10000),MOD(INT('월 가계부'!A2643/100),100),MOD(INT('월 가계부'!A2643),100)),""),""),IF(AND('월 가계부'!A2643&gt;=36526,'월 가계부'!A2643&lt;73051),INT('월 가계부'!A2643),"")),IF(OR(CM2643="",CN2643="",CO2643=""),"",IF(AND(CM2643&gt;=2000,CM2643&lt;=2099,CN2643&gt;=1,CN2643&lt;=12,CO2643&gt;=1,CO2643&lt;=31),IF(MONTH(DATE(CM2643,CN2643,CO2643))=CN2643,DATE(CM2643,CN2643,CO2643),""),"")))),"")</f>
        <v/>
      </c>
      <c r="CJ2643">
        <f>IFERROR(IF('월 가계부'!C2643="","",IF(ISNUMBER('월 가계부'!C2643),'월 가계부'!C2643,VALUE(SUBSTITUTE(SUBSTITUTE(SUBSTITUTE(SUBSTITUTE(TRIM('월 가계부'!C2643),",",""),"원","")," ",""),"−","-")))),"")</f>
        <v/>
      </c>
      <c r="CK2643">
        <f>IF(ISNUMBER(CI2643),IF(CI2643&lt;$B$13,CI2643,""),"")</f>
        <v/>
      </c>
      <c r="CM2643">
        <f>IF(CH2643="","",IFERROR(IF(IF(AND(LEN(CH2643)=9,ISERROR(FIND("-",LEFT(CH2643,8))),ISNUMBER(-LEFT(CH2643,8))),VALUE(LEFT(CH2643,4)),VALUE(LEFT(CH2643,FIND("-",CH2643)-1)))&lt;100,IF(AND(LEN(CH2643)=9,ISERROR(FIND("-",LEFT(CH2643,8))),ISNUMBER(-LEFT(CH2643,8))),VALUE(LEFT(CH2643,4)),VALUE(LEFT(CH2643,FIND("-",CH2643)-1)))+2000,IF(AND(LEN(CH2643)=9,ISERROR(FIND("-",LEFT(CH2643,8))),ISNUMBER(-LEFT(CH2643,8))),VALUE(LEFT(CH2643,4)),VALUE(LEFT(CH2643,FIND("-",CH2643)-1)))),""))</f>
        <v/>
      </c>
      <c r="CN2643">
        <f>IF(CH2643="","",IFERROR(IF(AND(LEN(CH2643)=9,ISERROR(FIND("-",LEFT(CH2643,8))),ISNUMBER(-LEFT(CH2643,8))),VALUE(MID(CH2643,5,2)),VALUE(MID(CH2643,FIND("-",CH2643)+1,FIND("-",CH2643,FIND("-",CH2643)+1)-FIND("-",CH2643)-1))),""))</f>
        <v/>
      </c>
      <c r="CO2643">
        <f>IF(CH2643="","",IFERROR(IF(AND(LEN(CH2643)=9,ISERROR(FIND("-",LEFT(CH2643,8))),ISNUMBER(-LEFT(CH2643,8))),VALUE(MID(CH2643,7,2)),VALUE(MID(CH2643,FIND("-",CH2643,FIND("-",CH2643)+1)+1,FIND("-",CH2643,FIND("-",CH2643,FIND("-",CH2643)+1)+1)-FIND("-",CH2643,FIND("-",CH2643)+1)-1))),""))</f>
        <v/>
      </c>
    </row>
    <row r="2644">
      <c r="CH2644">
        <f>IF(ISTEXT('월 가계부'!A2644),SUBSTITUTE(SUBSTITUTE(SUBSTITUTE(SUBSTITUTE(SUBSTITUTE(SUBSTITUTE(SUBSTITUTE(SUBSTITUTE(SUBSTITUTE(TRIM('월 가계부'!A2644),"년","-"),"월","-"),"일",""),".","-"),"/","-")," ","-"),"--","-"),"--","-"),"--","-")&amp;"-","")</f>
        <v/>
      </c>
      <c r="CI2644">
        <f>IFERROR(IF('월 가계부'!A2644="","",IF(ISNUMBER('월 가계부'!A2644),IF(AND('월 가계부'!A2644&gt;=19000101,'월 가계부'!A2644&lt;=21001231),IF(AND(MOD(INT('월 가계부'!A2644/100),100)&gt;=1,MOD(INT('월 가계부'!A2644/100),100)&lt;=12,MOD(INT('월 가계부'!A2644),100)&gt;=1,MOD(INT('월 가계부'!A2644),100)&lt;=31),IF(MONTH(DATE(INT('월 가계부'!A2644/10000),MOD(INT('월 가계부'!A2644/100),100),MOD(INT('월 가계부'!A2644),100)))=MOD(INT('월 가계부'!A2644/100),100),DATE(INT('월 가계부'!A2644/10000),MOD(INT('월 가계부'!A2644/100),100),MOD(INT('월 가계부'!A2644),100)),""),""),IF(AND('월 가계부'!A2644&gt;=36526,'월 가계부'!A2644&lt;73051),INT('월 가계부'!A2644),"")),IF(OR(CM2644="",CN2644="",CO2644=""),"",IF(AND(CM2644&gt;=2000,CM2644&lt;=2099,CN2644&gt;=1,CN2644&lt;=12,CO2644&gt;=1,CO2644&lt;=31),IF(MONTH(DATE(CM2644,CN2644,CO2644))=CN2644,DATE(CM2644,CN2644,CO2644),""),"")))),"")</f>
        <v/>
      </c>
      <c r="CJ2644">
        <f>IFERROR(IF('월 가계부'!C2644="","",IF(ISNUMBER('월 가계부'!C2644),'월 가계부'!C2644,VALUE(SUBSTITUTE(SUBSTITUTE(SUBSTITUTE(SUBSTITUTE(TRIM('월 가계부'!C2644),",",""),"원","")," ",""),"−","-")))),"")</f>
        <v/>
      </c>
      <c r="CK2644">
        <f>IF(ISNUMBER(CI2644),IF(CI2644&lt;$B$13,CI2644,""),"")</f>
        <v/>
      </c>
      <c r="CM2644">
        <f>IF(CH2644="","",IFERROR(IF(IF(AND(LEN(CH2644)=9,ISERROR(FIND("-",LEFT(CH2644,8))),ISNUMBER(-LEFT(CH2644,8))),VALUE(LEFT(CH2644,4)),VALUE(LEFT(CH2644,FIND("-",CH2644)-1)))&lt;100,IF(AND(LEN(CH2644)=9,ISERROR(FIND("-",LEFT(CH2644,8))),ISNUMBER(-LEFT(CH2644,8))),VALUE(LEFT(CH2644,4)),VALUE(LEFT(CH2644,FIND("-",CH2644)-1)))+2000,IF(AND(LEN(CH2644)=9,ISERROR(FIND("-",LEFT(CH2644,8))),ISNUMBER(-LEFT(CH2644,8))),VALUE(LEFT(CH2644,4)),VALUE(LEFT(CH2644,FIND("-",CH2644)-1)))),""))</f>
        <v/>
      </c>
      <c r="CN2644">
        <f>IF(CH2644="","",IFERROR(IF(AND(LEN(CH2644)=9,ISERROR(FIND("-",LEFT(CH2644,8))),ISNUMBER(-LEFT(CH2644,8))),VALUE(MID(CH2644,5,2)),VALUE(MID(CH2644,FIND("-",CH2644)+1,FIND("-",CH2644,FIND("-",CH2644)+1)-FIND("-",CH2644)-1))),""))</f>
        <v/>
      </c>
      <c r="CO2644">
        <f>IF(CH2644="","",IFERROR(IF(AND(LEN(CH2644)=9,ISERROR(FIND("-",LEFT(CH2644,8))),ISNUMBER(-LEFT(CH2644,8))),VALUE(MID(CH2644,7,2)),VALUE(MID(CH2644,FIND("-",CH2644,FIND("-",CH2644)+1)+1,FIND("-",CH2644,FIND("-",CH2644,FIND("-",CH2644)+1)+1)-FIND("-",CH2644,FIND("-",CH2644)+1)-1))),""))</f>
        <v/>
      </c>
    </row>
    <row r="2645">
      <c r="CH2645">
        <f>IF(ISTEXT('월 가계부'!A2645),SUBSTITUTE(SUBSTITUTE(SUBSTITUTE(SUBSTITUTE(SUBSTITUTE(SUBSTITUTE(SUBSTITUTE(SUBSTITUTE(SUBSTITUTE(TRIM('월 가계부'!A2645),"년","-"),"월","-"),"일",""),".","-"),"/","-")," ","-"),"--","-"),"--","-"),"--","-")&amp;"-","")</f>
        <v/>
      </c>
      <c r="CI2645">
        <f>IFERROR(IF('월 가계부'!A2645="","",IF(ISNUMBER('월 가계부'!A2645),IF(AND('월 가계부'!A2645&gt;=19000101,'월 가계부'!A2645&lt;=21001231),IF(AND(MOD(INT('월 가계부'!A2645/100),100)&gt;=1,MOD(INT('월 가계부'!A2645/100),100)&lt;=12,MOD(INT('월 가계부'!A2645),100)&gt;=1,MOD(INT('월 가계부'!A2645),100)&lt;=31),IF(MONTH(DATE(INT('월 가계부'!A2645/10000),MOD(INT('월 가계부'!A2645/100),100),MOD(INT('월 가계부'!A2645),100)))=MOD(INT('월 가계부'!A2645/100),100),DATE(INT('월 가계부'!A2645/10000),MOD(INT('월 가계부'!A2645/100),100),MOD(INT('월 가계부'!A2645),100)),""),""),IF(AND('월 가계부'!A2645&gt;=36526,'월 가계부'!A2645&lt;73051),INT('월 가계부'!A2645),"")),IF(OR(CM2645="",CN2645="",CO2645=""),"",IF(AND(CM2645&gt;=2000,CM2645&lt;=2099,CN2645&gt;=1,CN2645&lt;=12,CO2645&gt;=1,CO2645&lt;=31),IF(MONTH(DATE(CM2645,CN2645,CO2645))=CN2645,DATE(CM2645,CN2645,CO2645),""),"")))),"")</f>
        <v/>
      </c>
      <c r="CJ2645">
        <f>IFERROR(IF('월 가계부'!C2645="","",IF(ISNUMBER('월 가계부'!C2645),'월 가계부'!C2645,VALUE(SUBSTITUTE(SUBSTITUTE(SUBSTITUTE(SUBSTITUTE(TRIM('월 가계부'!C2645),",",""),"원","")," ",""),"−","-")))),"")</f>
        <v/>
      </c>
      <c r="CK2645">
        <f>IF(ISNUMBER(CI2645),IF(CI2645&lt;$B$13,CI2645,""),"")</f>
        <v/>
      </c>
      <c r="CM2645">
        <f>IF(CH2645="","",IFERROR(IF(IF(AND(LEN(CH2645)=9,ISERROR(FIND("-",LEFT(CH2645,8))),ISNUMBER(-LEFT(CH2645,8))),VALUE(LEFT(CH2645,4)),VALUE(LEFT(CH2645,FIND("-",CH2645)-1)))&lt;100,IF(AND(LEN(CH2645)=9,ISERROR(FIND("-",LEFT(CH2645,8))),ISNUMBER(-LEFT(CH2645,8))),VALUE(LEFT(CH2645,4)),VALUE(LEFT(CH2645,FIND("-",CH2645)-1)))+2000,IF(AND(LEN(CH2645)=9,ISERROR(FIND("-",LEFT(CH2645,8))),ISNUMBER(-LEFT(CH2645,8))),VALUE(LEFT(CH2645,4)),VALUE(LEFT(CH2645,FIND("-",CH2645)-1)))),""))</f>
        <v/>
      </c>
      <c r="CN2645">
        <f>IF(CH2645="","",IFERROR(IF(AND(LEN(CH2645)=9,ISERROR(FIND("-",LEFT(CH2645,8))),ISNUMBER(-LEFT(CH2645,8))),VALUE(MID(CH2645,5,2)),VALUE(MID(CH2645,FIND("-",CH2645)+1,FIND("-",CH2645,FIND("-",CH2645)+1)-FIND("-",CH2645)-1))),""))</f>
        <v/>
      </c>
      <c r="CO2645">
        <f>IF(CH2645="","",IFERROR(IF(AND(LEN(CH2645)=9,ISERROR(FIND("-",LEFT(CH2645,8))),ISNUMBER(-LEFT(CH2645,8))),VALUE(MID(CH2645,7,2)),VALUE(MID(CH2645,FIND("-",CH2645,FIND("-",CH2645)+1)+1,FIND("-",CH2645,FIND("-",CH2645,FIND("-",CH2645)+1)+1)-FIND("-",CH2645,FIND("-",CH2645)+1)-1))),""))</f>
        <v/>
      </c>
    </row>
    <row r="2646">
      <c r="CH2646">
        <f>IF(ISTEXT('월 가계부'!A2646),SUBSTITUTE(SUBSTITUTE(SUBSTITUTE(SUBSTITUTE(SUBSTITUTE(SUBSTITUTE(SUBSTITUTE(SUBSTITUTE(SUBSTITUTE(TRIM('월 가계부'!A2646),"년","-"),"월","-"),"일",""),".","-"),"/","-")," ","-"),"--","-"),"--","-"),"--","-")&amp;"-","")</f>
        <v/>
      </c>
      <c r="CI2646">
        <f>IFERROR(IF('월 가계부'!A2646="","",IF(ISNUMBER('월 가계부'!A2646),IF(AND('월 가계부'!A2646&gt;=19000101,'월 가계부'!A2646&lt;=21001231),IF(AND(MOD(INT('월 가계부'!A2646/100),100)&gt;=1,MOD(INT('월 가계부'!A2646/100),100)&lt;=12,MOD(INT('월 가계부'!A2646),100)&gt;=1,MOD(INT('월 가계부'!A2646),100)&lt;=31),IF(MONTH(DATE(INT('월 가계부'!A2646/10000),MOD(INT('월 가계부'!A2646/100),100),MOD(INT('월 가계부'!A2646),100)))=MOD(INT('월 가계부'!A2646/100),100),DATE(INT('월 가계부'!A2646/10000),MOD(INT('월 가계부'!A2646/100),100),MOD(INT('월 가계부'!A2646),100)),""),""),IF(AND('월 가계부'!A2646&gt;=36526,'월 가계부'!A2646&lt;73051),INT('월 가계부'!A2646),"")),IF(OR(CM2646="",CN2646="",CO2646=""),"",IF(AND(CM2646&gt;=2000,CM2646&lt;=2099,CN2646&gt;=1,CN2646&lt;=12,CO2646&gt;=1,CO2646&lt;=31),IF(MONTH(DATE(CM2646,CN2646,CO2646))=CN2646,DATE(CM2646,CN2646,CO2646),""),"")))),"")</f>
        <v/>
      </c>
      <c r="CJ2646">
        <f>IFERROR(IF('월 가계부'!C2646="","",IF(ISNUMBER('월 가계부'!C2646),'월 가계부'!C2646,VALUE(SUBSTITUTE(SUBSTITUTE(SUBSTITUTE(SUBSTITUTE(TRIM('월 가계부'!C2646),",",""),"원","")," ",""),"−","-")))),"")</f>
        <v/>
      </c>
      <c r="CK2646">
        <f>IF(ISNUMBER(CI2646),IF(CI2646&lt;$B$13,CI2646,""),"")</f>
        <v/>
      </c>
      <c r="CM2646">
        <f>IF(CH2646="","",IFERROR(IF(IF(AND(LEN(CH2646)=9,ISERROR(FIND("-",LEFT(CH2646,8))),ISNUMBER(-LEFT(CH2646,8))),VALUE(LEFT(CH2646,4)),VALUE(LEFT(CH2646,FIND("-",CH2646)-1)))&lt;100,IF(AND(LEN(CH2646)=9,ISERROR(FIND("-",LEFT(CH2646,8))),ISNUMBER(-LEFT(CH2646,8))),VALUE(LEFT(CH2646,4)),VALUE(LEFT(CH2646,FIND("-",CH2646)-1)))+2000,IF(AND(LEN(CH2646)=9,ISERROR(FIND("-",LEFT(CH2646,8))),ISNUMBER(-LEFT(CH2646,8))),VALUE(LEFT(CH2646,4)),VALUE(LEFT(CH2646,FIND("-",CH2646)-1)))),""))</f>
        <v/>
      </c>
      <c r="CN2646">
        <f>IF(CH2646="","",IFERROR(IF(AND(LEN(CH2646)=9,ISERROR(FIND("-",LEFT(CH2646,8))),ISNUMBER(-LEFT(CH2646,8))),VALUE(MID(CH2646,5,2)),VALUE(MID(CH2646,FIND("-",CH2646)+1,FIND("-",CH2646,FIND("-",CH2646)+1)-FIND("-",CH2646)-1))),""))</f>
        <v/>
      </c>
      <c r="CO2646">
        <f>IF(CH2646="","",IFERROR(IF(AND(LEN(CH2646)=9,ISERROR(FIND("-",LEFT(CH2646,8))),ISNUMBER(-LEFT(CH2646,8))),VALUE(MID(CH2646,7,2)),VALUE(MID(CH2646,FIND("-",CH2646,FIND("-",CH2646)+1)+1,FIND("-",CH2646,FIND("-",CH2646,FIND("-",CH2646)+1)+1)-FIND("-",CH2646,FIND("-",CH2646)+1)-1))),""))</f>
        <v/>
      </c>
    </row>
    <row r="2647">
      <c r="CH2647">
        <f>IF(ISTEXT('월 가계부'!A2647),SUBSTITUTE(SUBSTITUTE(SUBSTITUTE(SUBSTITUTE(SUBSTITUTE(SUBSTITUTE(SUBSTITUTE(SUBSTITUTE(SUBSTITUTE(TRIM('월 가계부'!A2647),"년","-"),"월","-"),"일",""),".","-"),"/","-")," ","-"),"--","-"),"--","-"),"--","-")&amp;"-","")</f>
        <v/>
      </c>
      <c r="CI2647">
        <f>IFERROR(IF('월 가계부'!A2647="","",IF(ISNUMBER('월 가계부'!A2647),IF(AND('월 가계부'!A2647&gt;=19000101,'월 가계부'!A2647&lt;=21001231),IF(AND(MOD(INT('월 가계부'!A2647/100),100)&gt;=1,MOD(INT('월 가계부'!A2647/100),100)&lt;=12,MOD(INT('월 가계부'!A2647),100)&gt;=1,MOD(INT('월 가계부'!A2647),100)&lt;=31),IF(MONTH(DATE(INT('월 가계부'!A2647/10000),MOD(INT('월 가계부'!A2647/100),100),MOD(INT('월 가계부'!A2647),100)))=MOD(INT('월 가계부'!A2647/100),100),DATE(INT('월 가계부'!A2647/10000),MOD(INT('월 가계부'!A2647/100),100),MOD(INT('월 가계부'!A2647),100)),""),""),IF(AND('월 가계부'!A2647&gt;=36526,'월 가계부'!A2647&lt;73051),INT('월 가계부'!A2647),"")),IF(OR(CM2647="",CN2647="",CO2647=""),"",IF(AND(CM2647&gt;=2000,CM2647&lt;=2099,CN2647&gt;=1,CN2647&lt;=12,CO2647&gt;=1,CO2647&lt;=31),IF(MONTH(DATE(CM2647,CN2647,CO2647))=CN2647,DATE(CM2647,CN2647,CO2647),""),"")))),"")</f>
        <v/>
      </c>
      <c r="CJ2647">
        <f>IFERROR(IF('월 가계부'!C2647="","",IF(ISNUMBER('월 가계부'!C2647),'월 가계부'!C2647,VALUE(SUBSTITUTE(SUBSTITUTE(SUBSTITUTE(SUBSTITUTE(TRIM('월 가계부'!C2647),",",""),"원","")," ",""),"−","-")))),"")</f>
        <v/>
      </c>
      <c r="CK2647">
        <f>IF(ISNUMBER(CI2647),IF(CI2647&lt;$B$13,CI2647,""),"")</f>
        <v/>
      </c>
      <c r="CM2647">
        <f>IF(CH2647="","",IFERROR(IF(IF(AND(LEN(CH2647)=9,ISERROR(FIND("-",LEFT(CH2647,8))),ISNUMBER(-LEFT(CH2647,8))),VALUE(LEFT(CH2647,4)),VALUE(LEFT(CH2647,FIND("-",CH2647)-1)))&lt;100,IF(AND(LEN(CH2647)=9,ISERROR(FIND("-",LEFT(CH2647,8))),ISNUMBER(-LEFT(CH2647,8))),VALUE(LEFT(CH2647,4)),VALUE(LEFT(CH2647,FIND("-",CH2647)-1)))+2000,IF(AND(LEN(CH2647)=9,ISERROR(FIND("-",LEFT(CH2647,8))),ISNUMBER(-LEFT(CH2647,8))),VALUE(LEFT(CH2647,4)),VALUE(LEFT(CH2647,FIND("-",CH2647)-1)))),""))</f>
        <v/>
      </c>
      <c r="CN2647">
        <f>IF(CH2647="","",IFERROR(IF(AND(LEN(CH2647)=9,ISERROR(FIND("-",LEFT(CH2647,8))),ISNUMBER(-LEFT(CH2647,8))),VALUE(MID(CH2647,5,2)),VALUE(MID(CH2647,FIND("-",CH2647)+1,FIND("-",CH2647,FIND("-",CH2647)+1)-FIND("-",CH2647)-1))),""))</f>
        <v/>
      </c>
      <c r="CO2647">
        <f>IF(CH2647="","",IFERROR(IF(AND(LEN(CH2647)=9,ISERROR(FIND("-",LEFT(CH2647,8))),ISNUMBER(-LEFT(CH2647,8))),VALUE(MID(CH2647,7,2)),VALUE(MID(CH2647,FIND("-",CH2647,FIND("-",CH2647)+1)+1,FIND("-",CH2647,FIND("-",CH2647,FIND("-",CH2647)+1)+1)-FIND("-",CH2647,FIND("-",CH2647)+1)-1))),""))</f>
        <v/>
      </c>
    </row>
    <row r="2648">
      <c r="CH2648">
        <f>IF(ISTEXT('월 가계부'!A2648),SUBSTITUTE(SUBSTITUTE(SUBSTITUTE(SUBSTITUTE(SUBSTITUTE(SUBSTITUTE(SUBSTITUTE(SUBSTITUTE(SUBSTITUTE(TRIM('월 가계부'!A2648),"년","-"),"월","-"),"일",""),".","-"),"/","-")," ","-"),"--","-"),"--","-"),"--","-")&amp;"-","")</f>
        <v/>
      </c>
      <c r="CI2648">
        <f>IFERROR(IF('월 가계부'!A2648="","",IF(ISNUMBER('월 가계부'!A2648),IF(AND('월 가계부'!A2648&gt;=19000101,'월 가계부'!A2648&lt;=21001231),IF(AND(MOD(INT('월 가계부'!A2648/100),100)&gt;=1,MOD(INT('월 가계부'!A2648/100),100)&lt;=12,MOD(INT('월 가계부'!A2648),100)&gt;=1,MOD(INT('월 가계부'!A2648),100)&lt;=31),IF(MONTH(DATE(INT('월 가계부'!A2648/10000),MOD(INT('월 가계부'!A2648/100),100),MOD(INT('월 가계부'!A2648),100)))=MOD(INT('월 가계부'!A2648/100),100),DATE(INT('월 가계부'!A2648/10000),MOD(INT('월 가계부'!A2648/100),100),MOD(INT('월 가계부'!A2648),100)),""),""),IF(AND('월 가계부'!A2648&gt;=36526,'월 가계부'!A2648&lt;73051),INT('월 가계부'!A2648),"")),IF(OR(CM2648="",CN2648="",CO2648=""),"",IF(AND(CM2648&gt;=2000,CM2648&lt;=2099,CN2648&gt;=1,CN2648&lt;=12,CO2648&gt;=1,CO2648&lt;=31),IF(MONTH(DATE(CM2648,CN2648,CO2648))=CN2648,DATE(CM2648,CN2648,CO2648),""),"")))),"")</f>
        <v/>
      </c>
      <c r="CJ2648">
        <f>IFERROR(IF('월 가계부'!C2648="","",IF(ISNUMBER('월 가계부'!C2648),'월 가계부'!C2648,VALUE(SUBSTITUTE(SUBSTITUTE(SUBSTITUTE(SUBSTITUTE(TRIM('월 가계부'!C2648),",",""),"원","")," ",""),"−","-")))),"")</f>
        <v/>
      </c>
      <c r="CK2648">
        <f>IF(ISNUMBER(CI2648),IF(CI2648&lt;$B$13,CI2648,""),"")</f>
        <v/>
      </c>
      <c r="CM2648">
        <f>IF(CH2648="","",IFERROR(IF(IF(AND(LEN(CH2648)=9,ISERROR(FIND("-",LEFT(CH2648,8))),ISNUMBER(-LEFT(CH2648,8))),VALUE(LEFT(CH2648,4)),VALUE(LEFT(CH2648,FIND("-",CH2648)-1)))&lt;100,IF(AND(LEN(CH2648)=9,ISERROR(FIND("-",LEFT(CH2648,8))),ISNUMBER(-LEFT(CH2648,8))),VALUE(LEFT(CH2648,4)),VALUE(LEFT(CH2648,FIND("-",CH2648)-1)))+2000,IF(AND(LEN(CH2648)=9,ISERROR(FIND("-",LEFT(CH2648,8))),ISNUMBER(-LEFT(CH2648,8))),VALUE(LEFT(CH2648,4)),VALUE(LEFT(CH2648,FIND("-",CH2648)-1)))),""))</f>
        <v/>
      </c>
      <c r="CN2648">
        <f>IF(CH2648="","",IFERROR(IF(AND(LEN(CH2648)=9,ISERROR(FIND("-",LEFT(CH2648,8))),ISNUMBER(-LEFT(CH2648,8))),VALUE(MID(CH2648,5,2)),VALUE(MID(CH2648,FIND("-",CH2648)+1,FIND("-",CH2648,FIND("-",CH2648)+1)-FIND("-",CH2648)-1))),""))</f>
        <v/>
      </c>
      <c r="CO2648">
        <f>IF(CH2648="","",IFERROR(IF(AND(LEN(CH2648)=9,ISERROR(FIND("-",LEFT(CH2648,8))),ISNUMBER(-LEFT(CH2648,8))),VALUE(MID(CH2648,7,2)),VALUE(MID(CH2648,FIND("-",CH2648,FIND("-",CH2648)+1)+1,FIND("-",CH2648,FIND("-",CH2648,FIND("-",CH2648)+1)+1)-FIND("-",CH2648,FIND("-",CH2648)+1)-1))),""))</f>
        <v/>
      </c>
    </row>
    <row r="2649">
      <c r="CH2649">
        <f>IF(ISTEXT('월 가계부'!A2649),SUBSTITUTE(SUBSTITUTE(SUBSTITUTE(SUBSTITUTE(SUBSTITUTE(SUBSTITUTE(SUBSTITUTE(SUBSTITUTE(SUBSTITUTE(TRIM('월 가계부'!A2649),"년","-"),"월","-"),"일",""),".","-"),"/","-")," ","-"),"--","-"),"--","-"),"--","-")&amp;"-","")</f>
        <v/>
      </c>
      <c r="CI2649">
        <f>IFERROR(IF('월 가계부'!A2649="","",IF(ISNUMBER('월 가계부'!A2649),IF(AND('월 가계부'!A2649&gt;=19000101,'월 가계부'!A2649&lt;=21001231),IF(AND(MOD(INT('월 가계부'!A2649/100),100)&gt;=1,MOD(INT('월 가계부'!A2649/100),100)&lt;=12,MOD(INT('월 가계부'!A2649),100)&gt;=1,MOD(INT('월 가계부'!A2649),100)&lt;=31),IF(MONTH(DATE(INT('월 가계부'!A2649/10000),MOD(INT('월 가계부'!A2649/100),100),MOD(INT('월 가계부'!A2649),100)))=MOD(INT('월 가계부'!A2649/100),100),DATE(INT('월 가계부'!A2649/10000),MOD(INT('월 가계부'!A2649/100),100),MOD(INT('월 가계부'!A2649),100)),""),""),IF(AND('월 가계부'!A2649&gt;=36526,'월 가계부'!A2649&lt;73051),INT('월 가계부'!A2649),"")),IF(OR(CM2649="",CN2649="",CO2649=""),"",IF(AND(CM2649&gt;=2000,CM2649&lt;=2099,CN2649&gt;=1,CN2649&lt;=12,CO2649&gt;=1,CO2649&lt;=31),IF(MONTH(DATE(CM2649,CN2649,CO2649))=CN2649,DATE(CM2649,CN2649,CO2649),""),"")))),"")</f>
        <v/>
      </c>
      <c r="CJ2649">
        <f>IFERROR(IF('월 가계부'!C2649="","",IF(ISNUMBER('월 가계부'!C2649),'월 가계부'!C2649,VALUE(SUBSTITUTE(SUBSTITUTE(SUBSTITUTE(SUBSTITUTE(TRIM('월 가계부'!C2649),",",""),"원","")," ",""),"−","-")))),"")</f>
        <v/>
      </c>
      <c r="CK2649">
        <f>IF(ISNUMBER(CI2649),IF(CI2649&lt;$B$13,CI2649,""),"")</f>
        <v/>
      </c>
      <c r="CM2649">
        <f>IF(CH2649="","",IFERROR(IF(IF(AND(LEN(CH2649)=9,ISERROR(FIND("-",LEFT(CH2649,8))),ISNUMBER(-LEFT(CH2649,8))),VALUE(LEFT(CH2649,4)),VALUE(LEFT(CH2649,FIND("-",CH2649)-1)))&lt;100,IF(AND(LEN(CH2649)=9,ISERROR(FIND("-",LEFT(CH2649,8))),ISNUMBER(-LEFT(CH2649,8))),VALUE(LEFT(CH2649,4)),VALUE(LEFT(CH2649,FIND("-",CH2649)-1)))+2000,IF(AND(LEN(CH2649)=9,ISERROR(FIND("-",LEFT(CH2649,8))),ISNUMBER(-LEFT(CH2649,8))),VALUE(LEFT(CH2649,4)),VALUE(LEFT(CH2649,FIND("-",CH2649)-1)))),""))</f>
        <v/>
      </c>
      <c r="CN2649">
        <f>IF(CH2649="","",IFERROR(IF(AND(LEN(CH2649)=9,ISERROR(FIND("-",LEFT(CH2649,8))),ISNUMBER(-LEFT(CH2649,8))),VALUE(MID(CH2649,5,2)),VALUE(MID(CH2649,FIND("-",CH2649)+1,FIND("-",CH2649,FIND("-",CH2649)+1)-FIND("-",CH2649)-1))),""))</f>
        <v/>
      </c>
      <c r="CO2649">
        <f>IF(CH2649="","",IFERROR(IF(AND(LEN(CH2649)=9,ISERROR(FIND("-",LEFT(CH2649,8))),ISNUMBER(-LEFT(CH2649,8))),VALUE(MID(CH2649,7,2)),VALUE(MID(CH2649,FIND("-",CH2649,FIND("-",CH2649)+1)+1,FIND("-",CH2649,FIND("-",CH2649,FIND("-",CH2649)+1)+1)-FIND("-",CH2649,FIND("-",CH2649)+1)-1))),""))</f>
        <v/>
      </c>
    </row>
    <row r="2650">
      <c r="CH2650">
        <f>IF(ISTEXT('월 가계부'!A2650),SUBSTITUTE(SUBSTITUTE(SUBSTITUTE(SUBSTITUTE(SUBSTITUTE(SUBSTITUTE(SUBSTITUTE(SUBSTITUTE(SUBSTITUTE(TRIM('월 가계부'!A2650),"년","-"),"월","-"),"일",""),".","-"),"/","-")," ","-"),"--","-"),"--","-"),"--","-")&amp;"-","")</f>
        <v/>
      </c>
      <c r="CI2650">
        <f>IFERROR(IF('월 가계부'!A2650="","",IF(ISNUMBER('월 가계부'!A2650),IF(AND('월 가계부'!A2650&gt;=19000101,'월 가계부'!A2650&lt;=21001231),IF(AND(MOD(INT('월 가계부'!A2650/100),100)&gt;=1,MOD(INT('월 가계부'!A2650/100),100)&lt;=12,MOD(INT('월 가계부'!A2650),100)&gt;=1,MOD(INT('월 가계부'!A2650),100)&lt;=31),IF(MONTH(DATE(INT('월 가계부'!A2650/10000),MOD(INT('월 가계부'!A2650/100),100),MOD(INT('월 가계부'!A2650),100)))=MOD(INT('월 가계부'!A2650/100),100),DATE(INT('월 가계부'!A2650/10000),MOD(INT('월 가계부'!A2650/100),100),MOD(INT('월 가계부'!A2650),100)),""),""),IF(AND('월 가계부'!A2650&gt;=36526,'월 가계부'!A2650&lt;73051),INT('월 가계부'!A2650),"")),IF(OR(CM2650="",CN2650="",CO2650=""),"",IF(AND(CM2650&gt;=2000,CM2650&lt;=2099,CN2650&gt;=1,CN2650&lt;=12,CO2650&gt;=1,CO2650&lt;=31),IF(MONTH(DATE(CM2650,CN2650,CO2650))=CN2650,DATE(CM2650,CN2650,CO2650),""),"")))),"")</f>
        <v/>
      </c>
      <c r="CJ2650">
        <f>IFERROR(IF('월 가계부'!C2650="","",IF(ISNUMBER('월 가계부'!C2650),'월 가계부'!C2650,VALUE(SUBSTITUTE(SUBSTITUTE(SUBSTITUTE(SUBSTITUTE(TRIM('월 가계부'!C2650),",",""),"원","")," ",""),"−","-")))),"")</f>
        <v/>
      </c>
      <c r="CK2650">
        <f>IF(ISNUMBER(CI2650),IF(CI2650&lt;$B$13,CI2650,""),"")</f>
        <v/>
      </c>
      <c r="CM2650">
        <f>IF(CH2650="","",IFERROR(IF(IF(AND(LEN(CH2650)=9,ISERROR(FIND("-",LEFT(CH2650,8))),ISNUMBER(-LEFT(CH2650,8))),VALUE(LEFT(CH2650,4)),VALUE(LEFT(CH2650,FIND("-",CH2650)-1)))&lt;100,IF(AND(LEN(CH2650)=9,ISERROR(FIND("-",LEFT(CH2650,8))),ISNUMBER(-LEFT(CH2650,8))),VALUE(LEFT(CH2650,4)),VALUE(LEFT(CH2650,FIND("-",CH2650)-1)))+2000,IF(AND(LEN(CH2650)=9,ISERROR(FIND("-",LEFT(CH2650,8))),ISNUMBER(-LEFT(CH2650,8))),VALUE(LEFT(CH2650,4)),VALUE(LEFT(CH2650,FIND("-",CH2650)-1)))),""))</f>
        <v/>
      </c>
      <c r="CN2650">
        <f>IF(CH2650="","",IFERROR(IF(AND(LEN(CH2650)=9,ISERROR(FIND("-",LEFT(CH2650,8))),ISNUMBER(-LEFT(CH2650,8))),VALUE(MID(CH2650,5,2)),VALUE(MID(CH2650,FIND("-",CH2650)+1,FIND("-",CH2650,FIND("-",CH2650)+1)-FIND("-",CH2650)-1))),""))</f>
        <v/>
      </c>
      <c r="CO2650">
        <f>IF(CH2650="","",IFERROR(IF(AND(LEN(CH2650)=9,ISERROR(FIND("-",LEFT(CH2650,8))),ISNUMBER(-LEFT(CH2650,8))),VALUE(MID(CH2650,7,2)),VALUE(MID(CH2650,FIND("-",CH2650,FIND("-",CH2650)+1)+1,FIND("-",CH2650,FIND("-",CH2650,FIND("-",CH2650)+1)+1)-FIND("-",CH2650,FIND("-",CH2650)+1)-1))),""))</f>
        <v/>
      </c>
    </row>
    <row r="2651">
      <c r="CH2651">
        <f>IF(ISTEXT('월 가계부'!A2651),SUBSTITUTE(SUBSTITUTE(SUBSTITUTE(SUBSTITUTE(SUBSTITUTE(SUBSTITUTE(SUBSTITUTE(SUBSTITUTE(SUBSTITUTE(TRIM('월 가계부'!A2651),"년","-"),"월","-"),"일",""),".","-"),"/","-")," ","-"),"--","-"),"--","-"),"--","-")&amp;"-","")</f>
        <v/>
      </c>
      <c r="CI2651">
        <f>IFERROR(IF('월 가계부'!A2651="","",IF(ISNUMBER('월 가계부'!A2651),IF(AND('월 가계부'!A2651&gt;=19000101,'월 가계부'!A2651&lt;=21001231),IF(AND(MOD(INT('월 가계부'!A2651/100),100)&gt;=1,MOD(INT('월 가계부'!A2651/100),100)&lt;=12,MOD(INT('월 가계부'!A2651),100)&gt;=1,MOD(INT('월 가계부'!A2651),100)&lt;=31),IF(MONTH(DATE(INT('월 가계부'!A2651/10000),MOD(INT('월 가계부'!A2651/100),100),MOD(INT('월 가계부'!A2651),100)))=MOD(INT('월 가계부'!A2651/100),100),DATE(INT('월 가계부'!A2651/10000),MOD(INT('월 가계부'!A2651/100),100),MOD(INT('월 가계부'!A2651),100)),""),""),IF(AND('월 가계부'!A2651&gt;=36526,'월 가계부'!A2651&lt;73051),INT('월 가계부'!A2651),"")),IF(OR(CM2651="",CN2651="",CO2651=""),"",IF(AND(CM2651&gt;=2000,CM2651&lt;=2099,CN2651&gt;=1,CN2651&lt;=12,CO2651&gt;=1,CO2651&lt;=31),IF(MONTH(DATE(CM2651,CN2651,CO2651))=CN2651,DATE(CM2651,CN2651,CO2651),""),"")))),"")</f>
        <v/>
      </c>
      <c r="CJ2651">
        <f>IFERROR(IF('월 가계부'!C2651="","",IF(ISNUMBER('월 가계부'!C2651),'월 가계부'!C2651,VALUE(SUBSTITUTE(SUBSTITUTE(SUBSTITUTE(SUBSTITUTE(TRIM('월 가계부'!C2651),",",""),"원","")," ",""),"−","-")))),"")</f>
        <v/>
      </c>
      <c r="CK2651">
        <f>IF(ISNUMBER(CI2651),IF(CI2651&lt;$B$13,CI2651,""),"")</f>
        <v/>
      </c>
      <c r="CM2651">
        <f>IF(CH2651="","",IFERROR(IF(IF(AND(LEN(CH2651)=9,ISERROR(FIND("-",LEFT(CH2651,8))),ISNUMBER(-LEFT(CH2651,8))),VALUE(LEFT(CH2651,4)),VALUE(LEFT(CH2651,FIND("-",CH2651)-1)))&lt;100,IF(AND(LEN(CH2651)=9,ISERROR(FIND("-",LEFT(CH2651,8))),ISNUMBER(-LEFT(CH2651,8))),VALUE(LEFT(CH2651,4)),VALUE(LEFT(CH2651,FIND("-",CH2651)-1)))+2000,IF(AND(LEN(CH2651)=9,ISERROR(FIND("-",LEFT(CH2651,8))),ISNUMBER(-LEFT(CH2651,8))),VALUE(LEFT(CH2651,4)),VALUE(LEFT(CH2651,FIND("-",CH2651)-1)))),""))</f>
        <v/>
      </c>
      <c r="CN2651">
        <f>IF(CH2651="","",IFERROR(IF(AND(LEN(CH2651)=9,ISERROR(FIND("-",LEFT(CH2651,8))),ISNUMBER(-LEFT(CH2651,8))),VALUE(MID(CH2651,5,2)),VALUE(MID(CH2651,FIND("-",CH2651)+1,FIND("-",CH2651,FIND("-",CH2651)+1)-FIND("-",CH2651)-1))),""))</f>
        <v/>
      </c>
      <c r="CO2651">
        <f>IF(CH2651="","",IFERROR(IF(AND(LEN(CH2651)=9,ISERROR(FIND("-",LEFT(CH2651,8))),ISNUMBER(-LEFT(CH2651,8))),VALUE(MID(CH2651,7,2)),VALUE(MID(CH2651,FIND("-",CH2651,FIND("-",CH2651)+1)+1,FIND("-",CH2651,FIND("-",CH2651,FIND("-",CH2651)+1)+1)-FIND("-",CH2651,FIND("-",CH2651)+1)-1))),""))</f>
        <v/>
      </c>
    </row>
    <row r="2652">
      <c r="CH2652">
        <f>IF(ISTEXT('월 가계부'!A2652),SUBSTITUTE(SUBSTITUTE(SUBSTITUTE(SUBSTITUTE(SUBSTITUTE(SUBSTITUTE(SUBSTITUTE(SUBSTITUTE(SUBSTITUTE(TRIM('월 가계부'!A2652),"년","-"),"월","-"),"일",""),".","-"),"/","-")," ","-"),"--","-"),"--","-"),"--","-")&amp;"-","")</f>
        <v/>
      </c>
      <c r="CI2652">
        <f>IFERROR(IF('월 가계부'!A2652="","",IF(ISNUMBER('월 가계부'!A2652),IF(AND('월 가계부'!A2652&gt;=19000101,'월 가계부'!A2652&lt;=21001231),IF(AND(MOD(INT('월 가계부'!A2652/100),100)&gt;=1,MOD(INT('월 가계부'!A2652/100),100)&lt;=12,MOD(INT('월 가계부'!A2652),100)&gt;=1,MOD(INT('월 가계부'!A2652),100)&lt;=31),IF(MONTH(DATE(INT('월 가계부'!A2652/10000),MOD(INT('월 가계부'!A2652/100),100),MOD(INT('월 가계부'!A2652),100)))=MOD(INT('월 가계부'!A2652/100),100),DATE(INT('월 가계부'!A2652/10000),MOD(INT('월 가계부'!A2652/100),100),MOD(INT('월 가계부'!A2652),100)),""),""),IF(AND('월 가계부'!A2652&gt;=36526,'월 가계부'!A2652&lt;73051),INT('월 가계부'!A2652),"")),IF(OR(CM2652="",CN2652="",CO2652=""),"",IF(AND(CM2652&gt;=2000,CM2652&lt;=2099,CN2652&gt;=1,CN2652&lt;=12,CO2652&gt;=1,CO2652&lt;=31),IF(MONTH(DATE(CM2652,CN2652,CO2652))=CN2652,DATE(CM2652,CN2652,CO2652),""),"")))),"")</f>
        <v/>
      </c>
      <c r="CJ2652">
        <f>IFERROR(IF('월 가계부'!C2652="","",IF(ISNUMBER('월 가계부'!C2652),'월 가계부'!C2652,VALUE(SUBSTITUTE(SUBSTITUTE(SUBSTITUTE(SUBSTITUTE(TRIM('월 가계부'!C2652),",",""),"원","")," ",""),"−","-")))),"")</f>
        <v/>
      </c>
      <c r="CK2652">
        <f>IF(ISNUMBER(CI2652),IF(CI2652&lt;$B$13,CI2652,""),"")</f>
        <v/>
      </c>
      <c r="CM2652">
        <f>IF(CH2652="","",IFERROR(IF(IF(AND(LEN(CH2652)=9,ISERROR(FIND("-",LEFT(CH2652,8))),ISNUMBER(-LEFT(CH2652,8))),VALUE(LEFT(CH2652,4)),VALUE(LEFT(CH2652,FIND("-",CH2652)-1)))&lt;100,IF(AND(LEN(CH2652)=9,ISERROR(FIND("-",LEFT(CH2652,8))),ISNUMBER(-LEFT(CH2652,8))),VALUE(LEFT(CH2652,4)),VALUE(LEFT(CH2652,FIND("-",CH2652)-1)))+2000,IF(AND(LEN(CH2652)=9,ISERROR(FIND("-",LEFT(CH2652,8))),ISNUMBER(-LEFT(CH2652,8))),VALUE(LEFT(CH2652,4)),VALUE(LEFT(CH2652,FIND("-",CH2652)-1)))),""))</f>
        <v/>
      </c>
      <c r="CN2652">
        <f>IF(CH2652="","",IFERROR(IF(AND(LEN(CH2652)=9,ISERROR(FIND("-",LEFT(CH2652,8))),ISNUMBER(-LEFT(CH2652,8))),VALUE(MID(CH2652,5,2)),VALUE(MID(CH2652,FIND("-",CH2652)+1,FIND("-",CH2652,FIND("-",CH2652)+1)-FIND("-",CH2652)-1))),""))</f>
        <v/>
      </c>
      <c r="CO2652">
        <f>IF(CH2652="","",IFERROR(IF(AND(LEN(CH2652)=9,ISERROR(FIND("-",LEFT(CH2652,8))),ISNUMBER(-LEFT(CH2652,8))),VALUE(MID(CH2652,7,2)),VALUE(MID(CH2652,FIND("-",CH2652,FIND("-",CH2652)+1)+1,FIND("-",CH2652,FIND("-",CH2652,FIND("-",CH2652)+1)+1)-FIND("-",CH2652,FIND("-",CH2652)+1)-1))),""))</f>
        <v/>
      </c>
    </row>
    <row r="2653">
      <c r="CH2653">
        <f>IF(ISTEXT('월 가계부'!A2653),SUBSTITUTE(SUBSTITUTE(SUBSTITUTE(SUBSTITUTE(SUBSTITUTE(SUBSTITUTE(SUBSTITUTE(SUBSTITUTE(SUBSTITUTE(TRIM('월 가계부'!A2653),"년","-"),"월","-"),"일",""),".","-"),"/","-")," ","-"),"--","-"),"--","-"),"--","-")&amp;"-","")</f>
        <v/>
      </c>
      <c r="CI2653">
        <f>IFERROR(IF('월 가계부'!A2653="","",IF(ISNUMBER('월 가계부'!A2653),IF(AND('월 가계부'!A2653&gt;=19000101,'월 가계부'!A2653&lt;=21001231),IF(AND(MOD(INT('월 가계부'!A2653/100),100)&gt;=1,MOD(INT('월 가계부'!A2653/100),100)&lt;=12,MOD(INT('월 가계부'!A2653),100)&gt;=1,MOD(INT('월 가계부'!A2653),100)&lt;=31),IF(MONTH(DATE(INT('월 가계부'!A2653/10000),MOD(INT('월 가계부'!A2653/100),100),MOD(INT('월 가계부'!A2653),100)))=MOD(INT('월 가계부'!A2653/100),100),DATE(INT('월 가계부'!A2653/10000),MOD(INT('월 가계부'!A2653/100),100),MOD(INT('월 가계부'!A2653),100)),""),""),IF(AND('월 가계부'!A2653&gt;=36526,'월 가계부'!A2653&lt;73051),INT('월 가계부'!A2653),"")),IF(OR(CM2653="",CN2653="",CO2653=""),"",IF(AND(CM2653&gt;=2000,CM2653&lt;=2099,CN2653&gt;=1,CN2653&lt;=12,CO2653&gt;=1,CO2653&lt;=31),IF(MONTH(DATE(CM2653,CN2653,CO2653))=CN2653,DATE(CM2653,CN2653,CO2653),""),"")))),"")</f>
        <v/>
      </c>
      <c r="CJ2653">
        <f>IFERROR(IF('월 가계부'!C2653="","",IF(ISNUMBER('월 가계부'!C2653),'월 가계부'!C2653,VALUE(SUBSTITUTE(SUBSTITUTE(SUBSTITUTE(SUBSTITUTE(TRIM('월 가계부'!C2653),",",""),"원","")," ",""),"−","-")))),"")</f>
        <v/>
      </c>
      <c r="CK2653">
        <f>IF(ISNUMBER(CI2653),IF(CI2653&lt;$B$13,CI2653,""),"")</f>
        <v/>
      </c>
      <c r="CM2653">
        <f>IF(CH2653="","",IFERROR(IF(IF(AND(LEN(CH2653)=9,ISERROR(FIND("-",LEFT(CH2653,8))),ISNUMBER(-LEFT(CH2653,8))),VALUE(LEFT(CH2653,4)),VALUE(LEFT(CH2653,FIND("-",CH2653)-1)))&lt;100,IF(AND(LEN(CH2653)=9,ISERROR(FIND("-",LEFT(CH2653,8))),ISNUMBER(-LEFT(CH2653,8))),VALUE(LEFT(CH2653,4)),VALUE(LEFT(CH2653,FIND("-",CH2653)-1)))+2000,IF(AND(LEN(CH2653)=9,ISERROR(FIND("-",LEFT(CH2653,8))),ISNUMBER(-LEFT(CH2653,8))),VALUE(LEFT(CH2653,4)),VALUE(LEFT(CH2653,FIND("-",CH2653)-1)))),""))</f>
        <v/>
      </c>
      <c r="CN2653">
        <f>IF(CH2653="","",IFERROR(IF(AND(LEN(CH2653)=9,ISERROR(FIND("-",LEFT(CH2653,8))),ISNUMBER(-LEFT(CH2653,8))),VALUE(MID(CH2653,5,2)),VALUE(MID(CH2653,FIND("-",CH2653)+1,FIND("-",CH2653,FIND("-",CH2653)+1)-FIND("-",CH2653)-1))),""))</f>
        <v/>
      </c>
      <c r="CO2653">
        <f>IF(CH2653="","",IFERROR(IF(AND(LEN(CH2653)=9,ISERROR(FIND("-",LEFT(CH2653,8))),ISNUMBER(-LEFT(CH2653,8))),VALUE(MID(CH2653,7,2)),VALUE(MID(CH2653,FIND("-",CH2653,FIND("-",CH2653)+1)+1,FIND("-",CH2653,FIND("-",CH2653,FIND("-",CH2653)+1)+1)-FIND("-",CH2653,FIND("-",CH2653)+1)-1))),""))</f>
        <v/>
      </c>
    </row>
    <row r="2654">
      <c r="CH2654">
        <f>IF(ISTEXT('월 가계부'!A2654),SUBSTITUTE(SUBSTITUTE(SUBSTITUTE(SUBSTITUTE(SUBSTITUTE(SUBSTITUTE(SUBSTITUTE(SUBSTITUTE(SUBSTITUTE(TRIM('월 가계부'!A2654),"년","-"),"월","-"),"일",""),".","-"),"/","-")," ","-"),"--","-"),"--","-"),"--","-")&amp;"-","")</f>
        <v/>
      </c>
      <c r="CI2654">
        <f>IFERROR(IF('월 가계부'!A2654="","",IF(ISNUMBER('월 가계부'!A2654),IF(AND('월 가계부'!A2654&gt;=19000101,'월 가계부'!A2654&lt;=21001231),IF(AND(MOD(INT('월 가계부'!A2654/100),100)&gt;=1,MOD(INT('월 가계부'!A2654/100),100)&lt;=12,MOD(INT('월 가계부'!A2654),100)&gt;=1,MOD(INT('월 가계부'!A2654),100)&lt;=31),IF(MONTH(DATE(INT('월 가계부'!A2654/10000),MOD(INT('월 가계부'!A2654/100),100),MOD(INT('월 가계부'!A2654),100)))=MOD(INT('월 가계부'!A2654/100),100),DATE(INT('월 가계부'!A2654/10000),MOD(INT('월 가계부'!A2654/100),100),MOD(INT('월 가계부'!A2654),100)),""),""),IF(AND('월 가계부'!A2654&gt;=36526,'월 가계부'!A2654&lt;73051),INT('월 가계부'!A2654),"")),IF(OR(CM2654="",CN2654="",CO2654=""),"",IF(AND(CM2654&gt;=2000,CM2654&lt;=2099,CN2654&gt;=1,CN2654&lt;=12,CO2654&gt;=1,CO2654&lt;=31),IF(MONTH(DATE(CM2654,CN2654,CO2654))=CN2654,DATE(CM2654,CN2654,CO2654),""),"")))),"")</f>
        <v/>
      </c>
      <c r="CJ2654">
        <f>IFERROR(IF('월 가계부'!C2654="","",IF(ISNUMBER('월 가계부'!C2654),'월 가계부'!C2654,VALUE(SUBSTITUTE(SUBSTITUTE(SUBSTITUTE(SUBSTITUTE(TRIM('월 가계부'!C2654),",",""),"원","")," ",""),"−","-")))),"")</f>
        <v/>
      </c>
      <c r="CK2654">
        <f>IF(ISNUMBER(CI2654),IF(CI2654&lt;$B$13,CI2654,""),"")</f>
        <v/>
      </c>
      <c r="CM2654">
        <f>IF(CH2654="","",IFERROR(IF(IF(AND(LEN(CH2654)=9,ISERROR(FIND("-",LEFT(CH2654,8))),ISNUMBER(-LEFT(CH2654,8))),VALUE(LEFT(CH2654,4)),VALUE(LEFT(CH2654,FIND("-",CH2654)-1)))&lt;100,IF(AND(LEN(CH2654)=9,ISERROR(FIND("-",LEFT(CH2654,8))),ISNUMBER(-LEFT(CH2654,8))),VALUE(LEFT(CH2654,4)),VALUE(LEFT(CH2654,FIND("-",CH2654)-1)))+2000,IF(AND(LEN(CH2654)=9,ISERROR(FIND("-",LEFT(CH2654,8))),ISNUMBER(-LEFT(CH2654,8))),VALUE(LEFT(CH2654,4)),VALUE(LEFT(CH2654,FIND("-",CH2654)-1)))),""))</f>
        <v/>
      </c>
      <c r="CN2654">
        <f>IF(CH2654="","",IFERROR(IF(AND(LEN(CH2654)=9,ISERROR(FIND("-",LEFT(CH2654,8))),ISNUMBER(-LEFT(CH2654,8))),VALUE(MID(CH2654,5,2)),VALUE(MID(CH2654,FIND("-",CH2654)+1,FIND("-",CH2654,FIND("-",CH2654)+1)-FIND("-",CH2654)-1))),""))</f>
        <v/>
      </c>
      <c r="CO2654">
        <f>IF(CH2654="","",IFERROR(IF(AND(LEN(CH2654)=9,ISERROR(FIND("-",LEFT(CH2654,8))),ISNUMBER(-LEFT(CH2654,8))),VALUE(MID(CH2654,7,2)),VALUE(MID(CH2654,FIND("-",CH2654,FIND("-",CH2654)+1)+1,FIND("-",CH2654,FIND("-",CH2654,FIND("-",CH2654)+1)+1)-FIND("-",CH2654,FIND("-",CH2654)+1)-1))),""))</f>
        <v/>
      </c>
    </row>
    <row r="2655">
      <c r="CH2655">
        <f>IF(ISTEXT('월 가계부'!A2655),SUBSTITUTE(SUBSTITUTE(SUBSTITUTE(SUBSTITUTE(SUBSTITUTE(SUBSTITUTE(SUBSTITUTE(SUBSTITUTE(SUBSTITUTE(TRIM('월 가계부'!A2655),"년","-"),"월","-"),"일",""),".","-"),"/","-")," ","-"),"--","-"),"--","-"),"--","-")&amp;"-","")</f>
        <v/>
      </c>
      <c r="CI2655">
        <f>IFERROR(IF('월 가계부'!A2655="","",IF(ISNUMBER('월 가계부'!A2655),IF(AND('월 가계부'!A2655&gt;=19000101,'월 가계부'!A2655&lt;=21001231),IF(AND(MOD(INT('월 가계부'!A2655/100),100)&gt;=1,MOD(INT('월 가계부'!A2655/100),100)&lt;=12,MOD(INT('월 가계부'!A2655),100)&gt;=1,MOD(INT('월 가계부'!A2655),100)&lt;=31),IF(MONTH(DATE(INT('월 가계부'!A2655/10000),MOD(INT('월 가계부'!A2655/100),100),MOD(INT('월 가계부'!A2655),100)))=MOD(INT('월 가계부'!A2655/100),100),DATE(INT('월 가계부'!A2655/10000),MOD(INT('월 가계부'!A2655/100),100),MOD(INT('월 가계부'!A2655),100)),""),""),IF(AND('월 가계부'!A2655&gt;=36526,'월 가계부'!A2655&lt;73051),INT('월 가계부'!A2655),"")),IF(OR(CM2655="",CN2655="",CO2655=""),"",IF(AND(CM2655&gt;=2000,CM2655&lt;=2099,CN2655&gt;=1,CN2655&lt;=12,CO2655&gt;=1,CO2655&lt;=31),IF(MONTH(DATE(CM2655,CN2655,CO2655))=CN2655,DATE(CM2655,CN2655,CO2655),""),"")))),"")</f>
        <v/>
      </c>
      <c r="CJ2655">
        <f>IFERROR(IF('월 가계부'!C2655="","",IF(ISNUMBER('월 가계부'!C2655),'월 가계부'!C2655,VALUE(SUBSTITUTE(SUBSTITUTE(SUBSTITUTE(SUBSTITUTE(TRIM('월 가계부'!C2655),",",""),"원","")," ",""),"−","-")))),"")</f>
        <v/>
      </c>
      <c r="CK2655">
        <f>IF(ISNUMBER(CI2655),IF(CI2655&lt;$B$13,CI2655,""),"")</f>
        <v/>
      </c>
      <c r="CM2655">
        <f>IF(CH2655="","",IFERROR(IF(IF(AND(LEN(CH2655)=9,ISERROR(FIND("-",LEFT(CH2655,8))),ISNUMBER(-LEFT(CH2655,8))),VALUE(LEFT(CH2655,4)),VALUE(LEFT(CH2655,FIND("-",CH2655)-1)))&lt;100,IF(AND(LEN(CH2655)=9,ISERROR(FIND("-",LEFT(CH2655,8))),ISNUMBER(-LEFT(CH2655,8))),VALUE(LEFT(CH2655,4)),VALUE(LEFT(CH2655,FIND("-",CH2655)-1)))+2000,IF(AND(LEN(CH2655)=9,ISERROR(FIND("-",LEFT(CH2655,8))),ISNUMBER(-LEFT(CH2655,8))),VALUE(LEFT(CH2655,4)),VALUE(LEFT(CH2655,FIND("-",CH2655)-1)))),""))</f>
        <v/>
      </c>
      <c r="CN2655">
        <f>IF(CH2655="","",IFERROR(IF(AND(LEN(CH2655)=9,ISERROR(FIND("-",LEFT(CH2655,8))),ISNUMBER(-LEFT(CH2655,8))),VALUE(MID(CH2655,5,2)),VALUE(MID(CH2655,FIND("-",CH2655)+1,FIND("-",CH2655,FIND("-",CH2655)+1)-FIND("-",CH2655)-1))),""))</f>
        <v/>
      </c>
      <c r="CO2655">
        <f>IF(CH2655="","",IFERROR(IF(AND(LEN(CH2655)=9,ISERROR(FIND("-",LEFT(CH2655,8))),ISNUMBER(-LEFT(CH2655,8))),VALUE(MID(CH2655,7,2)),VALUE(MID(CH2655,FIND("-",CH2655,FIND("-",CH2655)+1)+1,FIND("-",CH2655,FIND("-",CH2655,FIND("-",CH2655)+1)+1)-FIND("-",CH2655,FIND("-",CH2655)+1)-1))),""))</f>
        <v/>
      </c>
    </row>
    <row r="2656">
      <c r="CH2656">
        <f>IF(ISTEXT('월 가계부'!A2656),SUBSTITUTE(SUBSTITUTE(SUBSTITUTE(SUBSTITUTE(SUBSTITUTE(SUBSTITUTE(SUBSTITUTE(SUBSTITUTE(SUBSTITUTE(TRIM('월 가계부'!A2656),"년","-"),"월","-"),"일",""),".","-"),"/","-")," ","-"),"--","-"),"--","-"),"--","-")&amp;"-","")</f>
        <v/>
      </c>
      <c r="CI2656">
        <f>IFERROR(IF('월 가계부'!A2656="","",IF(ISNUMBER('월 가계부'!A2656),IF(AND('월 가계부'!A2656&gt;=19000101,'월 가계부'!A2656&lt;=21001231),IF(AND(MOD(INT('월 가계부'!A2656/100),100)&gt;=1,MOD(INT('월 가계부'!A2656/100),100)&lt;=12,MOD(INT('월 가계부'!A2656),100)&gt;=1,MOD(INT('월 가계부'!A2656),100)&lt;=31),IF(MONTH(DATE(INT('월 가계부'!A2656/10000),MOD(INT('월 가계부'!A2656/100),100),MOD(INT('월 가계부'!A2656),100)))=MOD(INT('월 가계부'!A2656/100),100),DATE(INT('월 가계부'!A2656/10000),MOD(INT('월 가계부'!A2656/100),100),MOD(INT('월 가계부'!A2656),100)),""),""),IF(AND('월 가계부'!A2656&gt;=36526,'월 가계부'!A2656&lt;73051),INT('월 가계부'!A2656),"")),IF(OR(CM2656="",CN2656="",CO2656=""),"",IF(AND(CM2656&gt;=2000,CM2656&lt;=2099,CN2656&gt;=1,CN2656&lt;=12,CO2656&gt;=1,CO2656&lt;=31),IF(MONTH(DATE(CM2656,CN2656,CO2656))=CN2656,DATE(CM2656,CN2656,CO2656),""),"")))),"")</f>
        <v/>
      </c>
      <c r="CJ2656">
        <f>IFERROR(IF('월 가계부'!C2656="","",IF(ISNUMBER('월 가계부'!C2656),'월 가계부'!C2656,VALUE(SUBSTITUTE(SUBSTITUTE(SUBSTITUTE(SUBSTITUTE(TRIM('월 가계부'!C2656),",",""),"원","")," ",""),"−","-")))),"")</f>
        <v/>
      </c>
      <c r="CK2656">
        <f>IF(ISNUMBER(CI2656),IF(CI2656&lt;$B$13,CI2656,""),"")</f>
        <v/>
      </c>
      <c r="CM2656">
        <f>IF(CH2656="","",IFERROR(IF(IF(AND(LEN(CH2656)=9,ISERROR(FIND("-",LEFT(CH2656,8))),ISNUMBER(-LEFT(CH2656,8))),VALUE(LEFT(CH2656,4)),VALUE(LEFT(CH2656,FIND("-",CH2656)-1)))&lt;100,IF(AND(LEN(CH2656)=9,ISERROR(FIND("-",LEFT(CH2656,8))),ISNUMBER(-LEFT(CH2656,8))),VALUE(LEFT(CH2656,4)),VALUE(LEFT(CH2656,FIND("-",CH2656)-1)))+2000,IF(AND(LEN(CH2656)=9,ISERROR(FIND("-",LEFT(CH2656,8))),ISNUMBER(-LEFT(CH2656,8))),VALUE(LEFT(CH2656,4)),VALUE(LEFT(CH2656,FIND("-",CH2656)-1)))),""))</f>
        <v/>
      </c>
      <c r="CN2656">
        <f>IF(CH2656="","",IFERROR(IF(AND(LEN(CH2656)=9,ISERROR(FIND("-",LEFT(CH2656,8))),ISNUMBER(-LEFT(CH2656,8))),VALUE(MID(CH2656,5,2)),VALUE(MID(CH2656,FIND("-",CH2656)+1,FIND("-",CH2656,FIND("-",CH2656)+1)-FIND("-",CH2656)-1))),""))</f>
        <v/>
      </c>
      <c r="CO2656">
        <f>IF(CH2656="","",IFERROR(IF(AND(LEN(CH2656)=9,ISERROR(FIND("-",LEFT(CH2656,8))),ISNUMBER(-LEFT(CH2656,8))),VALUE(MID(CH2656,7,2)),VALUE(MID(CH2656,FIND("-",CH2656,FIND("-",CH2656)+1)+1,FIND("-",CH2656,FIND("-",CH2656,FIND("-",CH2656)+1)+1)-FIND("-",CH2656,FIND("-",CH2656)+1)-1))),""))</f>
        <v/>
      </c>
    </row>
    <row r="2657">
      <c r="CH2657">
        <f>IF(ISTEXT('월 가계부'!A2657),SUBSTITUTE(SUBSTITUTE(SUBSTITUTE(SUBSTITUTE(SUBSTITUTE(SUBSTITUTE(SUBSTITUTE(SUBSTITUTE(SUBSTITUTE(TRIM('월 가계부'!A2657),"년","-"),"월","-"),"일",""),".","-"),"/","-")," ","-"),"--","-"),"--","-"),"--","-")&amp;"-","")</f>
        <v/>
      </c>
      <c r="CI2657">
        <f>IFERROR(IF('월 가계부'!A2657="","",IF(ISNUMBER('월 가계부'!A2657),IF(AND('월 가계부'!A2657&gt;=19000101,'월 가계부'!A2657&lt;=21001231),IF(AND(MOD(INT('월 가계부'!A2657/100),100)&gt;=1,MOD(INT('월 가계부'!A2657/100),100)&lt;=12,MOD(INT('월 가계부'!A2657),100)&gt;=1,MOD(INT('월 가계부'!A2657),100)&lt;=31),IF(MONTH(DATE(INT('월 가계부'!A2657/10000),MOD(INT('월 가계부'!A2657/100),100),MOD(INT('월 가계부'!A2657),100)))=MOD(INT('월 가계부'!A2657/100),100),DATE(INT('월 가계부'!A2657/10000),MOD(INT('월 가계부'!A2657/100),100),MOD(INT('월 가계부'!A2657),100)),""),""),IF(AND('월 가계부'!A2657&gt;=36526,'월 가계부'!A2657&lt;73051),INT('월 가계부'!A2657),"")),IF(OR(CM2657="",CN2657="",CO2657=""),"",IF(AND(CM2657&gt;=2000,CM2657&lt;=2099,CN2657&gt;=1,CN2657&lt;=12,CO2657&gt;=1,CO2657&lt;=31),IF(MONTH(DATE(CM2657,CN2657,CO2657))=CN2657,DATE(CM2657,CN2657,CO2657),""),"")))),"")</f>
        <v/>
      </c>
      <c r="CJ2657">
        <f>IFERROR(IF('월 가계부'!C2657="","",IF(ISNUMBER('월 가계부'!C2657),'월 가계부'!C2657,VALUE(SUBSTITUTE(SUBSTITUTE(SUBSTITUTE(SUBSTITUTE(TRIM('월 가계부'!C2657),",",""),"원","")," ",""),"−","-")))),"")</f>
        <v/>
      </c>
      <c r="CK2657">
        <f>IF(ISNUMBER(CI2657),IF(CI2657&lt;$B$13,CI2657,""),"")</f>
        <v/>
      </c>
      <c r="CM2657">
        <f>IF(CH2657="","",IFERROR(IF(IF(AND(LEN(CH2657)=9,ISERROR(FIND("-",LEFT(CH2657,8))),ISNUMBER(-LEFT(CH2657,8))),VALUE(LEFT(CH2657,4)),VALUE(LEFT(CH2657,FIND("-",CH2657)-1)))&lt;100,IF(AND(LEN(CH2657)=9,ISERROR(FIND("-",LEFT(CH2657,8))),ISNUMBER(-LEFT(CH2657,8))),VALUE(LEFT(CH2657,4)),VALUE(LEFT(CH2657,FIND("-",CH2657)-1)))+2000,IF(AND(LEN(CH2657)=9,ISERROR(FIND("-",LEFT(CH2657,8))),ISNUMBER(-LEFT(CH2657,8))),VALUE(LEFT(CH2657,4)),VALUE(LEFT(CH2657,FIND("-",CH2657)-1)))),""))</f>
        <v/>
      </c>
      <c r="CN2657">
        <f>IF(CH2657="","",IFERROR(IF(AND(LEN(CH2657)=9,ISERROR(FIND("-",LEFT(CH2657,8))),ISNUMBER(-LEFT(CH2657,8))),VALUE(MID(CH2657,5,2)),VALUE(MID(CH2657,FIND("-",CH2657)+1,FIND("-",CH2657,FIND("-",CH2657)+1)-FIND("-",CH2657)-1))),""))</f>
        <v/>
      </c>
      <c r="CO2657">
        <f>IF(CH2657="","",IFERROR(IF(AND(LEN(CH2657)=9,ISERROR(FIND("-",LEFT(CH2657,8))),ISNUMBER(-LEFT(CH2657,8))),VALUE(MID(CH2657,7,2)),VALUE(MID(CH2657,FIND("-",CH2657,FIND("-",CH2657)+1)+1,FIND("-",CH2657,FIND("-",CH2657,FIND("-",CH2657)+1)+1)-FIND("-",CH2657,FIND("-",CH2657)+1)-1))),""))</f>
        <v/>
      </c>
    </row>
    <row r="2658">
      <c r="CH2658">
        <f>IF(ISTEXT('월 가계부'!A2658),SUBSTITUTE(SUBSTITUTE(SUBSTITUTE(SUBSTITUTE(SUBSTITUTE(SUBSTITUTE(SUBSTITUTE(SUBSTITUTE(SUBSTITUTE(TRIM('월 가계부'!A2658),"년","-"),"월","-"),"일",""),".","-"),"/","-")," ","-"),"--","-"),"--","-"),"--","-")&amp;"-","")</f>
        <v/>
      </c>
      <c r="CI2658">
        <f>IFERROR(IF('월 가계부'!A2658="","",IF(ISNUMBER('월 가계부'!A2658),IF(AND('월 가계부'!A2658&gt;=19000101,'월 가계부'!A2658&lt;=21001231),IF(AND(MOD(INT('월 가계부'!A2658/100),100)&gt;=1,MOD(INT('월 가계부'!A2658/100),100)&lt;=12,MOD(INT('월 가계부'!A2658),100)&gt;=1,MOD(INT('월 가계부'!A2658),100)&lt;=31),IF(MONTH(DATE(INT('월 가계부'!A2658/10000),MOD(INT('월 가계부'!A2658/100),100),MOD(INT('월 가계부'!A2658),100)))=MOD(INT('월 가계부'!A2658/100),100),DATE(INT('월 가계부'!A2658/10000),MOD(INT('월 가계부'!A2658/100),100),MOD(INT('월 가계부'!A2658),100)),""),""),IF(AND('월 가계부'!A2658&gt;=36526,'월 가계부'!A2658&lt;73051),INT('월 가계부'!A2658),"")),IF(OR(CM2658="",CN2658="",CO2658=""),"",IF(AND(CM2658&gt;=2000,CM2658&lt;=2099,CN2658&gt;=1,CN2658&lt;=12,CO2658&gt;=1,CO2658&lt;=31),IF(MONTH(DATE(CM2658,CN2658,CO2658))=CN2658,DATE(CM2658,CN2658,CO2658),""),"")))),"")</f>
        <v/>
      </c>
      <c r="CJ2658">
        <f>IFERROR(IF('월 가계부'!C2658="","",IF(ISNUMBER('월 가계부'!C2658),'월 가계부'!C2658,VALUE(SUBSTITUTE(SUBSTITUTE(SUBSTITUTE(SUBSTITUTE(TRIM('월 가계부'!C2658),",",""),"원","")," ",""),"−","-")))),"")</f>
        <v/>
      </c>
      <c r="CK2658">
        <f>IF(ISNUMBER(CI2658),IF(CI2658&lt;$B$13,CI2658,""),"")</f>
        <v/>
      </c>
      <c r="CM2658">
        <f>IF(CH2658="","",IFERROR(IF(IF(AND(LEN(CH2658)=9,ISERROR(FIND("-",LEFT(CH2658,8))),ISNUMBER(-LEFT(CH2658,8))),VALUE(LEFT(CH2658,4)),VALUE(LEFT(CH2658,FIND("-",CH2658)-1)))&lt;100,IF(AND(LEN(CH2658)=9,ISERROR(FIND("-",LEFT(CH2658,8))),ISNUMBER(-LEFT(CH2658,8))),VALUE(LEFT(CH2658,4)),VALUE(LEFT(CH2658,FIND("-",CH2658)-1)))+2000,IF(AND(LEN(CH2658)=9,ISERROR(FIND("-",LEFT(CH2658,8))),ISNUMBER(-LEFT(CH2658,8))),VALUE(LEFT(CH2658,4)),VALUE(LEFT(CH2658,FIND("-",CH2658)-1)))),""))</f>
        <v/>
      </c>
      <c r="CN2658">
        <f>IF(CH2658="","",IFERROR(IF(AND(LEN(CH2658)=9,ISERROR(FIND("-",LEFT(CH2658,8))),ISNUMBER(-LEFT(CH2658,8))),VALUE(MID(CH2658,5,2)),VALUE(MID(CH2658,FIND("-",CH2658)+1,FIND("-",CH2658,FIND("-",CH2658)+1)-FIND("-",CH2658)-1))),""))</f>
        <v/>
      </c>
      <c r="CO2658">
        <f>IF(CH2658="","",IFERROR(IF(AND(LEN(CH2658)=9,ISERROR(FIND("-",LEFT(CH2658,8))),ISNUMBER(-LEFT(CH2658,8))),VALUE(MID(CH2658,7,2)),VALUE(MID(CH2658,FIND("-",CH2658,FIND("-",CH2658)+1)+1,FIND("-",CH2658,FIND("-",CH2658,FIND("-",CH2658)+1)+1)-FIND("-",CH2658,FIND("-",CH2658)+1)-1))),""))</f>
        <v/>
      </c>
    </row>
    <row r="2659">
      <c r="CH2659">
        <f>IF(ISTEXT('월 가계부'!A2659),SUBSTITUTE(SUBSTITUTE(SUBSTITUTE(SUBSTITUTE(SUBSTITUTE(SUBSTITUTE(SUBSTITUTE(SUBSTITUTE(SUBSTITUTE(TRIM('월 가계부'!A2659),"년","-"),"월","-"),"일",""),".","-"),"/","-")," ","-"),"--","-"),"--","-"),"--","-")&amp;"-","")</f>
        <v/>
      </c>
      <c r="CI2659">
        <f>IFERROR(IF('월 가계부'!A2659="","",IF(ISNUMBER('월 가계부'!A2659),IF(AND('월 가계부'!A2659&gt;=19000101,'월 가계부'!A2659&lt;=21001231),IF(AND(MOD(INT('월 가계부'!A2659/100),100)&gt;=1,MOD(INT('월 가계부'!A2659/100),100)&lt;=12,MOD(INT('월 가계부'!A2659),100)&gt;=1,MOD(INT('월 가계부'!A2659),100)&lt;=31),IF(MONTH(DATE(INT('월 가계부'!A2659/10000),MOD(INT('월 가계부'!A2659/100),100),MOD(INT('월 가계부'!A2659),100)))=MOD(INT('월 가계부'!A2659/100),100),DATE(INT('월 가계부'!A2659/10000),MOD(INT('월 가계부'!A2659/100),100),MOD(INT('월 가계부'!A2659),100)),""),""),IF(AND('월 가계부'!A2659&gt;=36526,'월 가계부'!A2659&lt;73051),INT('월 가계부'!A2659),"")),IF(OR(CM2659="",CN2659="",CO2659=""),"",IF(AND(CM2659&gt;=2000,CM2659&lt;=2099,CN2659&gt;=1,CN2659&lt;=12,CO2659&gt;=1,CO2659&lt;=31),IF(MONTH(DATE(CM2659,CN2659,CO2659))=CN2659,DATE(CM2659,CN2659,CO2659),""),"")))),"")</f>
        <v/>
      </c>
      <c r="CJ2659">
        <f>IFERROR(IF('월 가계부'!C2659="","",IF(ISNUMBER('월 가계부'!C2659),'월 가계부'!C2659,VALUE(SUBSTITUTE(SUBSTITUTE(SUBSTITUTE(SUBSTITUTE(TRIM('월 가계부'!C2659),",",""),"원","")," ",""),"−","-")))),"")</f>
        <v/>
      </c>
      <c r="CK2659">
        <f>IF(ISNUMBER(CI2659),IF(CI2659&lt;$B$13,CI2659,""),"")</f>
        <v/>
      </c>
      <c r="CM2659">
        <f>IF(CH2659="","",IFERROR(IF(IF(AND(LEN(CH2659)=9,ISERROR(FIND("-",LEFT(CH2659,8))),ISNUMBER(-LEFT(CH2659,8))),VALUE(LEFT(CH2659,4)),VALUE(LEFT(CH2659,FIND("-",CH2659)-1)))&lt;100,IF(AND(LEN(CH2659)=9,ISERROR(FIND("-",LEFT(CH2659,8))),ISNUMBER(-LEFT(CH2659,8))),VALUE(LEFT(CH2659,4)),VALUE(LEFT(CH2659,FIND("-",CH2659)-1)))+2000,IF(AND(LEN(CH2659)=9,ISERROR(FIND("-",LEFT(CH2659,8))),ISNUMBER(-LEFT(CH2659,8))),VALUE(LEFT(CH2659,4)),VALUE(LEFT(CH2659,FIND("-",CH2659)-1)))),""))</f>
        <v/>
      </c>
      <c r="CN2659">
        <f>IF(CH2659="","",IFERROR(IF(AND(LEN(CH2659)=9,ISERROR(FIND("-",LEFT(CH2659,8))),ISNUMBER(-LEFT(CH2659,8))),VALUE(MID(CH2659,5,2)),VALUE(MID(CH2659,FIND("-",CH2659)+1,FIND("-",CH2659,FIND("-",CH2659)+1)-FIND("-",CH2659)-1))),""))</f>
        <v/>
      </c>
      <c r="CO2659">
        <f>IF(CH2659="","",IFERROR(IF(AND(LEN(CH2659)=9,ISERROR(FIND("-",LEFT(CH2659,8))),ISNUMBER(-LEFT(CH2659,8))),VALUE(MID(CH2659,7,2)),VALUE(MID(CH2659,FIND("-",CH2659,FIND("-",CH2659)+1)+1,FIND("-",CH2659,FIND("-",CH2659,FIND("-",CH2659)+1)+1)-FIND("-",CH2659,FIND("-",CH2659)+1)-1))),""))</f>
        <v/>
      </c>
    </row>
    <row r="2660">
      <c r="CH2660">
        <f>IF(ISTEXT('월 가계부'!A2660),SUBSTITUTE(SUBSTITUTE(SUBSTITUTE(SUBSTITUTE(SUBSTITUTE(SUBSTITUTE(SUBSTITUTE(SUBSTITUTE(SUBSTITUTE(TRIM('월 가계부'!A2660),"년","-"),"월","-"),"일",""),".","-"),"/","-")," ","-"),"--","-"),"--","-"),"--","-")&amp;"-","")</f>
        <v/>
      </c>
      <c r="CI2660">
        <f>IFERROR(IF('월 가계부'!A2660="","",IF(ISNUMBER('월 가계부'!A2660),IF(AND('월 가계부'!A2660&gt;=19000101,'월 가계부'!A2660&lt;=21001231),IF(AND(MOD(INT('월 가계부'!A2660/100),100)&gt;=1,MOD(INT('월 가계부'!A2660/100),100)&lt;=12,MOD(INT('월 가계부'!A2660),100)&gt;=1,MOD(INT('월 가계부'!A2660),100)&lt;=31),IF(MONTH(DATE(INT('월 가계부'!A2660/10000),MOD(INT('월 가계부'!A2660/100),100),MOD(INT('월 가계부'!A2660),100)))=MOD(INT('월 가계부'!A2660/100),100),DATE(INT('월 가계부'!A2660/10000),MOD(INT('월 가계부'!A2660/100),100),MOD(INT('월 가계부'!A2660),100)),""),""),IF(AND('월 가계부'!A2660&gt;=36526,'월 가계부'!A2660&lt;73051),INT('월 가계부'!A2660),"")),IF(OR(CM2660="",CN2660="",CO2660=""),"",IF(AND(CM2660&gt;=2000,CM2660&lt;=2099,CN2660&gt;=1,CN2660&lt;=12,CO2660&gt;=1,CO2660&lt;=31),IF(MONTH(DATE(CM2660,CN2660,CO2660))=CN2660,DATE(CM2660,CN2660,CO2660),""),"")))),"")</f>
        <v/>
      </c>
      <c r="CJ2660">
        <f>IFERROR(IF('월 가계부'!C2660="","",IF(ISNUMBER('월 가계부'!C2660),'월 가계부'!C2660,VALUE(SUBSTITUTE(SUBSTITUTE(SUBSTITUTE(SUBSTITUTE(TRIM('월 가계부'!C2660),",",""),"원","")," ",""),"−","-")))),"")</f>
        <v/>
      </c>
      <c r="CK2660">
        <f>IF(ISNUMBER(CI2660),IF(CI2660&lt;$B$13,CI2660,""),"")</f>
        <v/>
      </c>
      <c r="CM2660">
        <f>IF(CH2660="","",IFERROR(IF(IF(AND(LEN(CH2660)=9,ISERROR(FIND("-",LEFT(CH2660,8))),ISNUMBER(-LEFT(CH2660,8))),VALUE(LEFT(CH2660,4)),VALUE(LEFT(CH2660,FIND("-",CH2660)-1)))&lt;100,IF(AND(LEN(CH2660)=9,ISERROR(FIND("-",LEFT(CH2660,8))),ISNUMBER(-LEFT(CH2660,8))),VALUE(LEFT(CH2660,4)),VALUE(LEFT(CH2660,FIND("-",CH2660)-1)))+2000,IF(AND(LEN(CH2660)=9,ISERROR(FIND("-",LEFT(CH2660,8))),ISNUMBER(-LEFT(CH2660,8))),VALUE(LEFT(CH2660,4)),VALUE(LEFT(CH2660,FIND("-",CH2660)-1)))),""))</f>
        <v/>
      </c>
      <c r="CN2660">
        <f>IF(CH2660="","",IFERROR(IF(AND(LEN(CH2660)=9,ISERROR(FIND("-",LEFT(CH2660,8))),ISNUMBER(-LEFT(CH2660,8))),VALUE(MID(CH2660,5,2)),VALUE(MID(CH2660,FIND("-",CH2660)+1,FIND("-",CH2660,FIND("-",CH2660)+1)-FIND("-",CH2660)-1))),""))</f>
        <v/>
      </c>
      <c r="CO2660">
        <f>IF(CH2660="","",IFERROR(IF(AND(LEN(CH2660)=9,ISERROR(FIND("-",LEFT(CH2660,8))),ISNUMBER(-LEFT(CH2660,8))),VALUE(MID(CH2660,7,2)),VALUE(MID(CH2660,FIND("-",CH2660,FIND("-",CH2660)+1)+1,FIND("-",CH2660,FIND("-",CH2660,FIND("-",CH2660)+1)+1)-FIND("-",CH2660,FIND("-",CH2660)+1)-1))),""))</f>
        <v/>
      </c>
    </row>
    <row r="2661">
      <c r="CH2661">
        <f>IF(ISTEXT('월 가계부'!A2661),SUBSTITUTE(SUBSTITUTE(SUBSTITUTE(SUBSTITUTE(SUBSTITUTE(SUBSTITUTE(SUBSTITUTE(SUBSTITUTE(SUBSTITUTE(TRIM('월 가계부'!A2661),"년","-"),"월","-"),"일",""),".","-"),"/","-")," ","-"),"--","-"),"--","-"),"--","-")&amp;"-","")</f>
        <v/>
      </c>
      <c r="CI2661">
        <f>IFERROR(IF('월 가계부'!A2661="","",IF(ISNUMBER('월 가계부'!A2661),IF(AND('월 가계부'!A2661&gt;=19000101,'월 가계부'!A2661&lt;=21001231),IF(AND(MOD(INT('월 가계부'!A2661/100),100)&gt;=1,MOD(INT('월 가계부'!A2661/100),100)&lt;=12,MOD(INT('월 가계부'!A2661),100)&gt;=1,MOD(INT('월 가계부'!A2661),100)&lt;=31),IF(MONTH(DATE(INT('월 가계부'!A2661/10000),MOD(INT('월 가계부'!A2661/100),100),MOD(INT('월 가계부'!A2661),100)))=MOD(INT('월 가계부'!A2661/100),100),DATE(INT('월 가계부'!A2661/10000),MOD(INT('월 가계부'!A2661/100),100),MOD(INT('월 가계부'!A2661),100)),""),""),IF(AND('월 가계부'!A2661&gt;=36526,'월 가계부'!A2661&lt;73051),INT('월 가계부'!A2661),"")),IF(OR(CM2661="",CN2661="",CO2661=""),"",IF(AND(CM2661&gt;=2000,CM2661&lt;=2099,CN2661&gt;=1,CN2661&lt;=12,CO2661&gt;=1,CO2661&lt;=31),IF(MONTH(DATE(CM2661,CN2661,CO2661))=CN2661,DATE(CM2661,CN2661,CO2661),""),"")))),"")</f>
        <v/>
      </c>
      <c r="CJ2661">
        <f>IFERROR(IF('월 가계부'!C2661="","",IF(ISNUMBER('월 가계부'!C2661),'월 가계부'!C2661,VALUE(SUBSTITUTE(SUBSTITUTE(SUBSTITUTE(SUBSTITUTE(TRIM('월 가계부'!C2661),",",""),"원","")," ",""),"−","-")))),"")</f>
        <v/>
      </c>
      <c r="CK2661">
        <f>IF(ISNUMBER(CI2661),IF(CI2661&lt;$B$13,CI2661,""),"")</f>
        <v/>
      </c>
      <c r="CM2661">
        <f>IF(CH2661="","",IFERROR(IF(IF(AND(LEN(CH2661)=9,ISERROR(FIND("-",LEFT(CH2661,8))),ISNUMBER(-LEFT(CH2661,8))),VALUE(LEFT(CH2661,4)),VALUE(LEFT(CH2661,FIND("-",CH2661)-1)))&lt;100,IF(AND(LEN(CH2661)=9,ISERROR(FIND("-",LEFT(CH2661,8))),ISNUMBER(-LEFT(CH2661,8))),VALUE(LEFT(CH2661,4)),VALUE(LEFT(CH2661,FIND("-",CH2661)-1)))+2000,IF(AND(LEN(CH2661)=9,ISERROR(FIND("-",LEFT(CH2661,8))),ISNUMBER(-LEFT(CH2661,8))),VALUE(LEFT(CH2661,4)),VALUE(LEFT(CH2661,FIND("-",CH2661)-1)))),""))</f>
        <v/>
      </c>
      <c r="CN2661">
        <f>IF(CH2661="","",IFERROR(IF(AND(LEN(CH2661)=9,ISERROR(FIND("-",LEFT(CH2661,8))),ISNUMBER(-LEFT(CH2661,8))),VALUE(MID(CH2661,5,2)),VALUE(MID(CH2661,FIND("-",CH2661)+1,FIND("-",CH2661,FIND("-",CH2661)+1)-FIND("-",CH2661)-1))),""))</f>
        <v/>
      </c>
      <c r="CO2661">
        <f>IF(CH2661="","",IFERROR(IF(AND(LEN(CH2661)=9,ISERROR(FIND("-",LEFT(CH2661,8))),ISNUMBER(-LEFT(CH2661,8))),VALUE(MID(CH2661,7,2)),VALUE(MID(CH2661,FIND("-",CH2661,FIND("-",CH2661)+1)+1,FIND("-",CH2661,FIND("-",CH2661,FIND("-",CH2661)+1)+1)-FIND("-",CH2661,FIND("-",CH2661)+1)-1))),""))</f>
        <v/>
      </c>
    </row>
    <row r="2662">
      <c r="CH2662">
        <f>IF(ISTEXT('월 가계부'!A2662),SUBSTITUTE(SUBSTITUTE(SUBSTITUTE(SUBSTITUTE(SUBSTITUTE(SUBSTITUTE(SUBSTITUTE(SUBSTITUTE(SUBSTITUTE(TRIM('월 가계부'!A2662),"년","-"),"월","-"),"일",""),".","-"),"/","-")," ","-"),"--","-"),"--","-"),"--","-")&amp;"-","")</f>
        <v/>
      </c>
      <c r="CI2662">
        <f>IFERROR(IF('월 가계부'!A2662="","",IF(ISNUMBER('월 가계부'!A2662),IF(AND('월 가계부'!A2662&gt;=19000101,'월 가계부'!A2662&lt;=21001231),IF(AND(MOD(INT('월 가계부'!A2662/100),100)&gt;=1,MOD(INT('월 가계부'!A2662/100),100)&lt;=12,MOD(INT('월 가계부'!A2662),100)&gt;=1,MOD(INT('월 가계부'!A2662),100)&lt;=31),IF(MONTH(DATE(INT('월 가계부'!A2662/10000),MOD(INT('월 가계부'!A2662/100),100),MOD(INT('월 가계부'!A2662),100)))=MOD(INT('월 가계부'!A2662/100),100),DATE(INT('월 가계부'!A2662/10000),MOD(INT('월 가계부'!A2662/100),100),MOD(INT('월 가계부'!A2662),100)),""),""),IF(AND('월 가계부'!A2662&gt;=36526,'월 가계부'!A2662&lt;73051),INT('월 가계부'!A2662),"")),IF(OR(CM2662="",CN2662="",CO2662=""),"",IF(AND(CM2662&gt;=2000,CM2662&lt;=2099,CN2662&gt;=1,CN2662&lt;=12,CO2662&gt;=1,CO2662&lt;=31),IF(MONTH(DATE(CM2662,CN2662,CO2662))=CN2662,DATE(CM2662,CN2662,CO2662),""),"")))),"")</f>
        <v/>
      </c>
      <c r="CJ2662">
        <f>IFERROR(IF('월 가계부'!C2662="","",IF(ISNUMBER('월 가계부'!C2662),'월 가계부'!C2662,VALUE(SUBSTITUTE(SUBSTITUTE(SUBSTITUTE(SUBSTITUTE(TRIM('월 가계부'!C2662),",",""),"원","")," ",""),"−","-")))),"")</f>
        <v/>
      </c>
      <c r="CK2662">
        <f>IF(ISNUMBER(CI2662),IF(CI2662&lt;$B$13,CI2662,""),"")</f>
        <v/>
      </c>
      <c r="CM2662">
        <f>IF(CH2662="","",IFERROR(IF(IF(AND(LEN(CH2662)=9,ISERROR(FIND("-",LEFT(CH2662,8))),ISNUMBER(-LEFT(CH2662,8))),VALUE(LEFT(CH2662,4)),VALUE(LEFT(CH2662,FIND("-",CH2662)-1)))&lt;100,IF(AND(LEN(CH2662)=9,ISERROR(FIND("-",LEFT(CH2662,8))),ISNUMBER(-LEFT(CH2662,8))),VALUE(LEFT(CH2662,4)),VALUE(LEFT(CH2662,FIND("-",CH2662)-1)))+2000,IF(AND(LEN(CH2662)=9,ISERROR(FIND("-",LEFT(CH2662,8))),ISNUMBER(-LEFT(CH2662,8))),VALUE(LEFT(CH2662,4)),VALUE(LEFT(CH2662,FIND("-",CH2662)-1)))),""))</f>
        <v/>
      </c>
      <c r="CN2662">
        <f>IF(CH2662="","",IFERROR(IF(AND(LEN(CH2662)=9,ISERROR(FIND("-",LEFT(CH2662,8))),ISNUMBER(-LEFT(CH2662,8))),VALUE(MID(CH2662,5,2)),VALUE(MID(CH2662,FIND("-",CH2662)+1,FIND("-",CH2662,FIND("-",CH2662)+1)-FIND("-",CH2662)-1))),""))</f>
        <v/>
      </c>
      <c r="CO2662">
        <f>IF(CH2662="","",IFERROR(IF(AND(LEN(CH2662)=9,ISERROR(FIND("-",LEFT(CH2662,8))),ISNUMBER(-LEFT(CH2662,8))),VALUE(MID(CH2662,7,2)),VALUE(MID(CH2662,FIND("-",CH2662,FIND("-",CH2662)+1)+1,FIND("-",CH2662,FIND("-",CH2662,FIND("-",CH2662)+1)+1)-FIND("-",CH2662,FIND("-",CH2662)+1)-1))),""))</f>
        <v/>
      </c>
    </row>
    <row r="2663">
      <c r="CH2663">
        <f>IF(ISTEXT('월 가계부'!A2663),SUBSTITUTE(SUBSTITUTE(SUBSTITUTE(SUBSTITUTE(SUBSTITUTE(SUBSTITUTE(SUBSTITUTE(SUBSTITUTE(SUBSTITUTE(TRIM('월 가계부'!A2663),"년","-"),"월","-"),"일",""),".","-"),"/","-")," ","-"),"--","-"),"--","-"),"--","-")&amp;"-","")</f>
        <v/>
      </c>
      <c r="CI2663">
        <f>IFERROR(IF('월 가계부'!A2663="","",IF(ISNUMBER('월 가계부'!A2663),IF(AND('월 가계부'!A2663&gt;=19000101,'월 가계부'!A2663&lt;=21001231),IF(AND(MOD(INT('월 가계부'!A2663/100),100)&gt;=1,MOD(INT('월 가계부'!A2663/100),100)&lt;=12,MOD(INT('월 가계부'!A2663),100)&gt;=1,MOD(INT('월 가계부'!A2663),100)&lt;=31),IF(MONTH(DATE(INT('월 가계부'!A2663/10000),MOD(INT('월 가계부'!A2663/100),100),MOD(INT('월 가계부'!A2663),100)))=MOD(INT('월 가계부'!A2663/100),100),DATE(INT('월 가계부'!A2663/10000),MOD(INT('월 가계부'!A2663/100),100),MOD(INT('월 가계부'!A2663),100)),""),""),IF(AND('월 가계부'!A2663&gt;=36526,'월 가계부'!A2663&lt;73051),INT('월 가계부'!A2663),"")),IF(OR(CM2663="",CN2663="",CO2663=""),"",IF(AND(CM2663&gt;=2000,CM2663&lt;=2099,CN2663&gt;=1,CN2663&lt;=12,CO2663&gt;=1,CO2663&lt;=31),IF(MONTH(DATE(CM2663,CN2663,CO2663))=CN2663,DATE(CM2663,CN2663,CO2663),""),"")))),"")</f>
        <v/>
      </c>
      <c r="CJ2663">
        <f>IFERROR(IF('월 가계부'!C2663="","",IF(ISNUMBER('월 가계부'!C2663),'월 가계부'!C2663,VALUE(SUBSTITUTE(SUBSTITUTE(SUBSTITUTE(SUBSTITUTE(TRIM('월 가계부'!C2663),",",""),"원","")," ",""),"−","-")))),"")</f>
        <v/>
      </c>
      <c r="CK2663">
        <f>IF(ISNUMBER(CI2663),IF(CI2663&lt;$B$13,CI2663,""),"")</f>
        <v/>
      </c>
      <c r="CM2663">
        <f>IF(CH2663="","",IFERROR(IF(IF(AND(LEN(CH2663)=9,ISERROR(FIND("-",LEFT(CH2663,8))),ISNUMBER(-LEFT(CH2663,8))),VALUE(LEFT(CH2663,4)),VALUE(LEFT(CH2663,FIND("-",CH2663)-1)))&lt;100,IF(AND(LEN(CH2663)=9,ISERROR(FIND("-",LEFT(CH2663,8))),ISNUMBER(-LEFT(CH2663,8))),VALUE(LEFT(CH2663,4)),VALUE(LEFT(CH2663,FIND("-",CH2663)-1)))+2000,IF(AND(LEN(CH2663)=9,ISERROR(FIND("-",LEFT(CH2663,8))),ISNUMBER(-LEFT(CH2663,8))),VALUE(LEFT(CH2663,4)),VALUE(LEFT(CH2663,FIND("-",CH2663)-1)))),""))</f>
        <v/>
      </c>
      <c r="CN2663">
        <f>IF(CH2663="","",IFERROR(IF(AND(LEN(CH2663)=9,ISERROR(FIND("-",LEFT(CH2663,8))),ISNUMBER(-LEFT(CH2663,8))),VALUE(MID(CH2663,5,2)),VALUE(MID(CH2663,FIND("-",CH2663)+1,FIND("-",CH2663,FIND("-",CH2663)+1)-FIND("-",CH2663)-1))),""))</f>
        <v/>
      </c>
      <c r="CO2663">
        <f>IF(CH2663="","",IFERROR(IF(AND(LEN(CH2663)=9,ISERROR(FIND("-",LEFT(CH2663,8))),ISNUMBER(-LEFT(CH2663,8))),VALUE(MID(CH2663,7,2)),VALUE(MID(CH2663,FIND("-",CH2663,FIND("-",CH2663)+1)+1,FIND("-",CH2663,FIND("-",CH2663,FIND("-",CH2663)+1)+1)-FIND("-",CH2663,FIND("-",CH2663)+1)-1))),""))</f>
        <v/>
      </c>
    </row>
    <row r="2664">
      <c r="CH2664">
        <f>IF(ISTEXT('월 가계부'!A2664),SUBSTITUTE(SUBSTITUTE(SUBSTITUTE(SUBSTITUTE(SUBSTITUTE(SUBSTITUTE(SUBSTITUTE(SUBSTITUTE(SUBSTITUTE(TRIM('월 가계부'!A2664),"년","-"),"월","-"),"일",""),".","-"),"/","-")," ","-"),"--","-"),"--","-"),"--","-")&amp;"-","")</f>
        <v/>
      </c>
      <c r="CI2664">
        <f>IFERROR(IF('월 가계부'!A2664="","",IF(ISNUMBER('월 가계부'!A2664),IF(AND('월 가계부'!A2664&gt;=19000101,'월 가계부'!A2664&lt;=21001231),IF(AND(MOD(INT('월 가계부'!A2664/100),100)&gt;=1,MOD(INT('월 가계부'!A2664/100),100)&lt;=12,MOD(INT('월 가계부'!A2664),100)&gt;=1,MOD(INT('월 가계부'!A2664),100)&lt;=31),IF(MONTH(DATE(INT('월 가계부'!A2664/10000),MOD(INT('월 가계부'!A2664/100),100),MOD(INT('월 가계부'!A2664),100)))=MOD(INT('월 가계부'!A2664/100),100),DATE(INT('월 가계부'!A2664/10000),MOD(INT('월 가계부'!A2664/100),100),MOD(INT('월 가계부'!A2664),100)),""),""),IF(AND('월 가계부'!A2664&gt;=36526,'월 가계부'!A2664&lt;73051),INT('월 가계부'!A2664),"")),IF(OR(CM2664="",CN2664="",CO2664=""),"",IF(AND(CM2664&gt;=2000,CM2664&lt;=2099,CN2664&gt;=1,CN2664&lt;=12,CO2664&gt;=1,CO2664&lt;=31),IF(MONTH(DATE(CM2664,CN2664,CO2664))=CN2664,DATE(CM2664,CN2664,CO2664),""),"")))),"")</f>
        <v/>
      </c>
      <c r="CJ2664">
        <f>IFERROR(IF('월 가계부'!C2664="","",IF(ISNUMBER('월 가계부'!C2664),'월 가계부'!C2664,VALUE(SUBSTITUTE(SUBSTITUTE(SUBSTITUTE(SUBSTITUTE(TRIM('월 가계부'!C2664),",",""),"원","")," ",""),"−","-")))),"")</f>
        <v/>
      </c>
      <c r="CK2664">
        <f>IF(ISNUMBER(CI2664),IF(CI2664&lt;$B$13,CI2664,""),"")</f>
        <v/>
      </c>
      <c r="CM2664">
        <f>IF(CH2664="","",IFERROR(IF(IF(AND(LEN(CH2664)=9,ISERROR(FIND("-",LEFT(CH2664,8))),ISNUMBER(-LEFT(CH2664,8))),VALUE(LEFT(CH2664,4)),VALUE(LEFT(CH2664,FIND("-",CH2664)-1)))&lt;100,IF(AND(LEN(CH2664)=9,ISERROR(FIND("-",LEFT(CH2664,8))),ISNUMBER(-LEFT(CH2664,8))),VALUE(LEFT(CH2664,4)),VALUE(LEFT(CH2664,FIND("-",CH2664)-1)))+2000,IF(AND(LEN(CH2664)=9,ISERROR(FIND("-",LEFT(CH2664,8))),ISNUMBER(-LEFT(CH2664,8))),VALUE(LEFT(CH2664,4)),VALUE(LEFT(CH2664,FIND("-",CH2664)-1)))),""))</f>
        <v/>
      </c>
      <c r="CN2664">
        <f>IF(CH2664="","",IFERROR(IF(AND(LEN(CH2664)=9,ISERROR(FIND("-",LEFT(CH2664,8))),ISNUMBER(-LEFT(CH2664,8))),VALUE(MID(CH2664,5,2)),VALUE(MID(CH2664,FIND("-",CH2664)+1,FIND("-",CH2664,FIND("-",CH2664)+1)-FIND("-",CH2664)-1))),""))</f>
        <v/>
      </c>
      <c r="CO2664">
        <f>IF(CH2664="","",IFERROR(IF(AND(LEN(CH2664)=9,ISERROR(FIND("-",LEFT(CH2664,8))),ISNUMBER(-LEFT(CH2664,8))),VALUE(MID(CH2664,7,2)),VALUE(MID(CH2664,FIND("-",CH2664,FIND("-",CH2664)+1)+1,FIND("-",CH2664,FIND("-",CH2664,FIND("-",CH2664)+1)+1)-FIND("-",CH2664,FIND("-",CH2664)+1)-1))),""))</f>
        <v/>
      </c>
    </row>
    <row r="2665">
      <c r="CH2665">
        <f>IF(ISTEXT('월 가계부'!A2665),SUBSTITUTE(SUBSTITUTE(SUBSTITUTE(SUBSTITUTE(SUBSTITUTE(SUBSTITUTE(SUBSTITUTE(SUBSTITUTE(SUBSTITUTE(TRIM('월 가계부'!A2665),"년","-"),"월","-"),"일",""),".","-"),"/","-")," ","-"),"--","-"),"--","-"),"--","-")&amp;"-","")</f>
        <v/>
      </c>
      <c r="CI2665">
        <f>IFERROR(IF('월 가계부'!A2665="","",IF(ISNUMBER('월 가계부'!A2665),IF(AND('월 가계부'!A2665&gt;=19000101,'월 가계부'!A2665&lt;=21001231),IF(AND(MOD(INT('월 가계부'!A2665/100),100)&gt;=1,MOD(INT('월 가계부'!A2665/100),100)&lt;=12,MOD(INT('월 가계부'!A2665),100)&gt;=1,MOD(INT('월 가계부'!A2665),100)&lt;=31),IF(MONTH(DATE(INT('월 가계부'!A2665/10000),MOD(INT('월 가계부'!A2665/100),100),MOD(INT('월 가계부'!A2665),100)))=MOD(INT('월 가계부'!A2665/100),100),DATE(INT('월 가계부'!A2665/10000),MOD(INT('월 가계부'!A2665/100),100),MOD(INT('월 가계부'!A2665),100)),""),""),IF(AND('월 가계부'!A2665&gt;=36526,'월 가계부'!A2665&lt;73051),INT('월 가계부'!A2665),"")),IF(OR(CM2665="",CN2665="",CO2665=""),"",IF(AND(CM2665&gt;=2000,CM2665&lt;=2099,CN2665&gt;=1,CN2665&lt;=12,CO2665&gt;=1,CO2665&lt;=31),IF(MONTH(DATE(CM2665,CN2665,CO2665))=CN2665,DATE(CM2665,CN2665,CO2665),""),"")))),"")</f>
        <v/>
      </c>
      <c r="CJ2665">
        <f>IFERROR(IF('월 가계부'!C2665="","",IF(ISNUMBER('월 가계부'!C2665),'월 가계부'!C2665,VALUE(SUBSTITUTE(SUBSTITUTE(SUBSTITUTE(SUBSTITUTE(TRIM('월 가계부'!C2665),",",""),"원","")," ",""),"−","-")))),"")</f>
        <v/>
      </c>
      <c r="CK2665">
        <f>IF(ISNUMBER(CI2665),IF(CI2665&lt;$B$13,CI2665,""),"")</f>
        <v/>
      </c>
      <c r="CM2665">
        <f>IF(CH2665="","",IFERROR(IF(IF(AND(LEN(CH2665)=9,ISERROR(FIND("-",LEFT(CH2665,8))),ISNUMBER(-LEFT(CH2665,8))),VALUE(LEFT(CH2665,4)),VALUE(LEFT(CH2665,FIND("-",CH2665)-1)))&lt;100,IF(AND(LEN(CH2665)=9,ISERROR(FIND("-",LEFT(CH2665,8))),ISNUMBER(-LEFT(CH2665,8))),VALUE(LEFT(CH2665,4)),VALUE(LEFT(CH2665,FIND("-",CH2665)-1)))+2000,IF(AND(LEN(CH2665)=9,ISERROR(FIND("-",LEFT(CH2665,8))),ISNUMBER(-LEFT(CH2665,8))),VALUE(LEFT(CH2665,4)),VALUE(LEFT(CH2665,FIND("-",CH2665)-1)))),""))</f>
        <v/>
      </c>
      <c r="CN2665">
        <f>IF(CH2665="","",IFERROR(IF(AND(LEN(CH2665)=9,ISERROR(FIND("-",LEFT(CH2665,8))),ISNUMBER(-LEFT(CH2665,8))),VALUE(MID(CH2665,5,2)),VALUE(MID(CH2665,FIND("-",CH2665)+1,FIND("-",CH2665,FIND("-",CH2665)+1)-FIND("-",CH2665)-1))),""))</f>
        <v/>
      </c>
      <c r="CO2665">
        <f>IF(CH2665="","",IFERROR(IF(AND(LEN(CH2665)=9,ISERROR(FIND("-",LEFT(CH2665,8))),ISNUMBER(-LEFT(CH2665,8))),VALUE(MID(CH2665,7,2)),VALUE(MID(CH2665,FIND("-",CH2665,FIND("-",CH2665)+1)+1,FIND("-",CH2665,FIND("-",CH2665,FIND("-",CH2665)+1)+1)-FIND("-",CH2665,FIND("-",CH2665)+1)-1))),""))</f>
        <v/>
      </c>
    </row>
    <row r="2666">
      <c r="CH2666">
        <f>IF(ISTEXT('월 가계부'!A2666),SUBSTITUTE(SUBSTITUTE(SUBSTITUTE(SUBSTITUTE(SUBSTITUTE(SUBSTITUTE(SUBSTITUTE(SUBSTITUTE(SUBSTITUTE(TRIM('월 가계부'!A2666),"년","-"),"월","-"),"일",""),".","-"),"/","-")," ","-"),"--","-"),"--","-"),"--","-")&amp;"-","")</f>
        <v/>
      </c>
      <c r="CI2666">
        <f>IFERROR(IF('월 가계부'!A2666="","",IF(ISNUMBER('월 가계부'!A2666),IF(AND('월 가계부'!A2666&gt;=19000101,'월 가계부'!A2666&lt;=21001231),IF(AND(MOD(INT('월 가계부'!A2666/100),100)&gt;=1,MOD(INT('월 가계부'!A2666/100),100)&lt;=12,MOD(INT('월 가계부'!A2666),100)&gt;=1,MOD(INT('월 가계부'!A2666),100)&lt;=31),IF(MONTH(DATE(INT('월 가계부'!A2666/10000),MOD(INT('월 가계부'!A2666/100),100),MOD(INT('월 가계부'!A2666),100)))=MOD(INT('월 가계부'!A2666/100),100),DATE(INT('월 가계부'!A2666/10000),MOD(INT('월 가계부'!A2666/100),100),MOD(INT('월 가계부'!A2666),100)),""),""),IF(AND('월 가계부'!A2666&gt;=36526,'월 가계부'!A2666&lt;73051),INT('월 가계부'!A2666),"")),IF(OR(CM2666="",CN2666="",CO2666=""),"",IF(AND(CM2666&gt;=2000,CM2666&lt;=2099,CN2666&gt;=1,CN2666&lt;=12,CO2666&gt;=1,CO2666&lt;=31),IF(MONTH(DATE(CM2666,CN2666,CO2666))=CN2666,DATE(CM2666,CN2666,CO2666),""),"")))),"")</f>
        <v/>
      </c>
      <c r="CJ2666">
        <f>IFERROR(IF('월 가계부'!C2666="","",IF(ISNUMBER('월 가계부'!C2666),'월 가계부'!C2666,VALUE(SUBSTITUTE(SUBSTITUTE(SUBSTITUTE(SUBSTITUTE(TRIM('월 가계부'!C2666),",",""),"원","")," ",""),"−","-")))),"")</f>
        <v/>
      </c>
      <c r="CK2666">
        <f>IF(ISNUMBER(CI2666),IF(CI2666&lt;$B$13,CI2666,""),"")</f>
        <v/>
      </c>
      <c r="CM2666">
        <f>IF(CH2666="","",IFERROR(IF(IF(AND(LEN(CH2666)=9,ISERROR(FIND("-",LEFT(CH2666,8))),ISNUMBER(-LEFT(CH2666,8))),VALUE(LEFT(CH2666,4)),VALUE(LEFT(CH2666,FIND("-",CH2666)-1)))&lt;100,IF(AND(LEN(CH2666)=9,ISERROR(FIND("-",LEFT(CH2666,8))),ISNUMBER(-LEFT(CH2666,8))),VALUE(LEFT(CH2666,4)),VALUE(LEFT(CH2666,FIND("-",CH2666)-1)))+2000,IF(AND(LEN(CH2666)=9,ISERROR(FIND("-",LEFT(CH2666,8))),ISNUMBER(-LEFT(CH2666,8))),VALUE(LEFT(CH2666,4)),VALUE(LEFT(CH2666,FIND("-",CH2666)-1)))),""))</f>
        <v/>
      </c>
      <c r="CN2666">
        <f>IF(CH2666="","",IFERROR(IF(AND(LEN(CH2666)=9,ISERROR(FIND("-",LEFT(CH2666,8))),ISNUMBER(-LEFT(CH2666,8))),VALUE(MID(CH2666,5,2)),VALUE(MID(CH2666,FIND("-",CH2666)+1,FIND("-",CH2666,FIND("-",CH2666)+1)-FIND("-",CH2666)-1))),""))</f>
        <v/>
      </c>
      <c r="CO2666">
        <f>IF(CH2666="","",IFERROR(IF(AND(LEN(CH2666)=9,ISERROR(FIND("-",LEFT(CH2666,8))),ISNUMBER(-LEFT(CH2666,8))),VALUE(MID(CH2666,7,2)),VALUE(MID(CH2666,FIND("-",CH2666,FIND("-",CH2666)+1)+1,FIND("-",CH2666,FIND("-",CH2666,FIND("-",CH2666)+1)+1)-FIND("-",CH2666,FIND("-",CH2666)+1)-1))),""))</f>
        <v/>
      </c>
    </row>
    <row r="2667">
      <c r="CH2667">
        <f>IF(ISTEXT('월 가계부'!A2667),SUBSTITUTE(SUBSTITUTE(SUBSTITUTE(SUBSTITUTE(SUBSTITUTE(SUBSTITUTE(SUBSTITUTE(SUBSTITUTE(SUBSTITUTE(TRIM('월 가계부'!A2667),"년","-"),"월","-"),"일",""),".","-"),"/","-")," ","-"),"--","-"),"--","-"),"--","-")&amp;"-","")</f>
        <v/>
      </c>
      <c r="CI2667">
        <f>IFERROR(IF('월 가계부'!A2667="","",IF(ISNUMBER('월 가계부'!A2667),IF(AND('월 가계부'!A2667&gt;=19000101,'월 가계부'!A2667&lt;=21001231),IF(AND(MOD(INT('월 가계부'!A2667/100),100)&gt;=1,MOD(INT('월 가계부'!A2667/100),100)&lt;=12,MOD(INT('월 가계부'!A2667),100)&gt;=1,MOD(INT('월 가계부'!A2667),100)&lt;=31),IF(MONTH(DATE(INT('월 가계부'!A2667/10000),MOD(INT('월 가계부'!A2667/100),100),MOD(INT('월 가계부'!A2667),100)))=MOD(INT('월 가계부'!A2667/100),100),DATE(INT('월 가계부'!A2667/10000),MOD(INT('월 가계부'!A2667/100),100),MOD(INT('월 가계부'!A2667),100)),""),""),IF(AND('월 가계부'!A2667&gt;=36526,'월 가계부'!A2667&lt;73051),INT('월 가계부'!A2667),"")),IF(OR(CM2667="",CN2667="",CO2667=""),"",IF(AND(CM2667&gt;=2000,CM2667&lt;=2099,CN2667&gt;=1,CN2667&lt;=12,CO2667&gt;=1,CO2667&lt;=31),IF(MONTH(DATE(CM2667,CN2667,CO2667))=CN2667,DATE(CM2667,CN2667,CO2667),""),"")))),"")</f>
        <v/>
      </c>
      <c r="CJ2667">
        <f>IFERROR(IF('월 가계부'!C2667="","",IF(ISNUMBER('월 가계부'!C2667),'월 가계부'!C2667,VALUE(SUBSTITUTE(SUBSTITUTE(SUBSTITUTE(SUBSTITUTE(TRIM('월 가계부'!C2667),",",""),"원","")," ",""),"−","-")))),"")</f>
        <v/>
      </c>
      <c r="CK2667">
        <f>IF(ISNUMBER(CI2667),IF(CI2667&lt;$B$13,CI2667,""),"")</f>
        <v/>
      </c>
      <c r="CM2667">
        <f>IF(CH2667="","",IFERROR(IF(IF(AND(LEN(CH2667)=9,ISERROR(FIND("-",LEFT(CH2667,8))),ISNUMBER(-LEFT(CH2667,8))),VALUE(LEFT(CH2667,4)),VALUE(LEFT(CH2667,FIND("-",CH2667)-1)))&lt;100,IF(AND(LEN(CH2667)=9,ISERROR(FIND("-",LEFT(CH2667,8))),ISNUMBER(-LEFT(CH2667,8))),VALUE(LEFT(CH2667,4)),VALUE(LEFT(CH2667,FIND("-",CH2667)-1)))+2000,IF(AND(LEN(CH2667)=9,ISERROR(FIND("-",LEFT(CH2667,8))),ISNUMBER(-LEFT(CH2667,8))),VALUE(LEFT(CH2667,4)),VALUE(LEFT(CH2667,FIND("-",CH2667)-1)))),""))</f>
        <v/>
      </c>
      <c r="CN2667">
        <f>IF(CH2667="","",IFERROR(IF(AND(LEN(CH2667)=9,ISERROR(FIND("-",LEFT(CH2667,8))),ISNUMBER(-LEFT(CH2667,8))),VALUE(MID(CH2667,5,2)),VALUE(MID(CH2667,FIND("-",CH2667)+1,FIND("-",CH2667,FIND("-",CH2667)+1)-FIND("-",CH2667)-1))),""))</f>
        <v/>
      </c>
      <c r="CO2667">
        <f>IF(CH2667="","",IFERROR(IF(AND(LEN(CH2667)=9,ISERROR(FIND("-",LEFT(CH2667,8))),ISNUMBER(-LEFT(CH2667,8))),VALUE(MID(CH2667,7,2)),VALUE(MID(CH2667,FIND("-",CH2667,FIND("-",CH2667)+1)+1,FIND("-",CH2667,FIND("-",CH2667,FIND("-",CH2667)+1)+1)-FIND("-",CH2667,FIND("-",CH2667)+1)-1))),""))</f>
        <v/>
      </c>
    </row>
    <row r="2668">
      <c r="CH2668">
        <f>IF(ISTEXT('월 가계부'!A2668),SUBSTITUTE(SUBSTITUTE(SUBSTITUTE(SUBSTITUTE(SUBSTITUTE(SUBSTITUTE(SUBSTITUTE(SUBSTITUTE(SUBSTITUTE(TRIM('월 가계부'!A2668),"년","-"),"월","-"),"일",""),".","-"),"/","-")," ","-"),"--","-"),"--","-"),"--","-")&amp;"-","")</f>
        <v/>
      </c>
      <c r="CI2668">
        <f>IFERROR(IF('월 가계부'!A2668="","",IF(ISNUMBER('월 가계부'!A2668),IF(AND('월 가계부'!A2668&gt;=19000101,'월 가계부'!A2668&lt;=21001231),IF(AND(MOD(INT('월 가계부'!A2668/100),100)&gt;=1,MOD(INT('월 가계부'!A2668/100),100)&lt;=12,MOD(INT('월 가계부'!A2668),100)&gt;=1,MOD(INT('월 가계부'!A2668),100)&lt;=31),IF(MONTH(DATE(INT('월 가계부'!A2668/10000),MOD(INT('월 가계부'!A2668/100),100),MOD(INT('월 가계부'!A2668),100)))=MOD(INT('월 가계부'!A2668/100),100),DATE(INT('월 가계부'!A2668/10000),MOD(INT('월 가계부'!A2668/100),100),MOD(INT('월 가계부'!A2668),100)),""),""),IF(AND('월 가계부'!A2668&gt;=36526,'월 가계부'!A2668&lt;73051),INT('월 가계부'!A2668),"")),IF(OR(CM2668="",CN2668="",CO2668=""),"",IF(AND(CM2668&gt;=2000,CM2668&lt;=2099,CN2668&gt;=1,CN2668&lt;=12,CO2668&gt;=1,CO2668&lt;=31),IF(MONTH(DATE(CM2668,CN2668,CO2668))=CN2668,DATE(CM2668,CN2668,CO2668),""),"")))),"")</f>
        <v/>
      </c>
      <c r="CJ2668">
        <f>IFERROR(IF('월 가계부'!C2668="","",IF(ISNUMBER('월 가계부'!C2668),'월 가계부'!C2668,VALUE(SUBSTITUTE(SUBSTITUTE(SUBSTITUTE(SUBSTITUTE(TRIM('월 가계부'!C2668),",",""),"원","")," ",""),"−","-")))),"")</f>
        <v/>
      </c>
      <c r="CK2668">
        <f>IF(ISNUMBER(CI2668),IF(CI2668&lt;$B$13,CI2668,""),"")</f>
        <v/>
      </c>
      <c r="CM2668">
        <f>IF(CH2668="","",IFERROR(IF(IF(AND(LEN(CH2668)=9,ISERROR(FIND("-",LEFT(CH2668,8))),ISNUMBER(-LEFT(CH2668,8))),VALUE(LEFT(CH2668,4)),VALUE(LEFT(CH2668,FIND("-",CH2668)-1)))&lt;100,IF(AND(LEN(CH2668)=9,ISERROR(FIND("-",LEFT(CH2668,8))),ISNUMBER(-LEFT(CH2668,8))),VALUE(LEFT(CH2668,4)),VALUE(LEFT(CH2668,FIND("-",CH2668)-1)))+2000,IF(AND(LEN(CH2668)=9,ISERROR(FIND("-",LEFT(CH2668,8))),ISNUMBER(-LEFT(CH2668,8))),VALUE(LEFT(CH2668,4)),VALUE(LEFT(CH2668,FIND("-",CH2668)-1)))),""))</f>
        <v/>
      </c>
      <c r="CN2668">
        <f>IF(CH2668="","",IFERROR(IF(AND(LEN(CH2668)=9,ISERROR(FIND("-",LEFT(CH2668,8))),ISNUMBER(-LEFT(CH2668,8))),VALUE(MID(CH2668,5,2)),VALUE(MID(CH2668,FIND("-",CH2668)+1,FIND("-",CH2668,FIND("-",CH2668)+1)-FIND("-",CH2668)-1))),""))</f>
        <v/>
      </c>
      <c r="CO2668">
        <f>IF(CH2668="","",IFERROR(IF(AND(LEN(CH2668)=9,ISERROR(FIND("-",LEFT(CH2668,8))),ISNUMBER(-LEFT(CH2668,8))),VALUE(MID(CH2668,7,2)),VALUE(MID(CH2668,FIND("-",CH2668,FIND("-",CH2668)+1)+1,FIND("-",CH2668,FIND("-",CH2668,FIND("-",CH2668)+1)+1)-FIND("-",CH2668,FIND("-",CH2668)+1)-1))),""))</f>
        <v/>
      </c>
    </row>
    <row r="2669">
      <c r="CH2669">
        <f>IF(ISTEXT('월 가계부'!A2669),SUBSTITUTE(SUBSTITUTE(SUBSTITUTE(SUBSTITUTE(SUBSTITUTE(SUBSTITUTE(SUBSTITUTE(SUBSTITUTE(SUBSTITUTE(TRIM('월 가계부'!A2669),"년","-"),"월","-"),"일",""),".","-"),"/","-")," ","-"),"--","-"),"--","-"),"--","-")&amp;"-","")</f>
        <v/>
      </c>
      <c r="CI2669">
        <f>IFERROR(IF('월 가계부'!A2669="","",IF(ISNUMBER('월 가계부'!A2669),IF(AND('월 가계부'!A2669&gt;=19000101,'월 가계부'!A2669&lt;=21001231),IF(AND(MOD(INT('월 가계부'!A2669/100),100)&gt;=1,MOD(INT('월 가계부'!A2669/100),100)&lt;=12,MOD(INT('월 가계부'!A2669),100)&gt;=1,MOD(INT('월 가계부'!A2669),100)&lt;=31),IF(MONTH(DATE(INT('월 가계부'!A2669/10000),MOD(INT('월 가계부'!A2669/100),100),MOD(INT('월 가계부'!A2669),100)))=MOD(INT('월 가계부'!A2669/100),100),DATE(INT('월 가계부'!A2669/10000),MOD(INT('월 가계부'!A2669/100),100),MOD(INT('월 가계부'!A2669),100)),""),""),IF(AND('월 가계부'!A2669&gt;=36526,'월 가계부'!A2669&lt;73051),INT('월 가계부'!A2669),"")),IF(OR(CM2669="",CN2669="",CO2669=""),"",IF(AND(CM2669&gt;=2000,CM2669&lt;=2099,CN2669&gt;=1,CN2669&lt;=12,CO2669&gt;=1,CO2669&lt;=31),IF(MONTH(DATE(CM2669,CN2669,CO2669))=CN2669,DATE(CM2669,CN2669,CO2669),""),"")))),"")</f>
        <v/>
      </c>
      <c r="CJ2669">
        <f>IFERROR(IF('월 가계부'!C2669="","",IF(ISNUMBER('월 가계부'!C2669),'월 가계부'!C2669,VALUE(SUBSTITUTE(SUBSTITUTE(SUBSTITUTE(SUBSTITUTE(TRIM('월 가계부'!C2669),",",""),"원","")," ",""),"−","-")))),"")</f>
        <v/>
      </c>
      <c r="CK2669">
        <f>IF(ISNUMBER(CI2669),IF(CI2669&lt;$B$13,CI2669,""),"")</f>
        <v/>
      </c>
      <c r="CM2669">
        <f>IF(CH2669="","",IFERROR(IF(IF(AND(LEN(CH2669)=9,ISERROR(FIND("-",LEFT(CH2669,8))),ISNUMBER(-LEFT(CH2669,8))),VALUE(LEFT(CH2669,4)),VALUE(LEFT(CH2669,FIND("-",CH2669)-1)))&lt;100,IF(AND(LEN(CH2669)=9,ISERROR(FIND("-",LEFT(CH2669,8))),ISNUMBER(-LEFT(CH2669,8))),VALUE(LEFT(CH2669,4)),VALUE(LEFT(CH2669,FIND("-",CH2669)-1)))+2000,IF(AND(LEN(CH2669)=9,ISERROR(FIND("-",LEFT(CH2669,8))),ISNUMBER(-LEFT(CH2669,8))),VALUE(LEFT(CH2669,4)),VALUE(LEFT(CH2669,FIND("-",CH2669)-1)))),""))</f>
        <v/>
      </c>
      <c r="CN2669">
        <f>IF(CH2669="","",IFERROR(IF(AND(LEN(CH2669)=9,ISERROR(FIND("-",LEFT(CH2669,8))),ISNUMBER(-LEFT(CH2669,8))),VALUE(MID(CH2669,5,2)),VALUE(MID(CH2669,FIND("-",CH2669)+1,FIND("-",CH2669,FIND("-",CH2669)+1)-FIND("-",CH2669)-1))),""))</f>
        <v/>
      </c>
      <c r="CO2669">
        <f>IF(CH2669="","",IFERROR(IF(AND(LEN(CH2669)=9,ISERROR(FIND("-",LEFT(CH2669,8))),ISNUMBER(-LEFT(CH2669,8))),VALUE(MID(CH2669,7,2)),VALUE(MID(CH2669,FIND("-",CH2669,FIND("-",CH2669)+1)+1,FIND("-",CH2669,FIND("-",CH2669,FIND("-",CH2669)+1)+1)-FIND("-",CH2669,FIND("-",CH2669)+1)-1))),""))</f>
        <v/>
      </c>
    </row>
    <row r="2670">
      <c r="CH2670">
        <f>IF(ISTEXT('월 가계부'!A2670),SUBSTITUTE(SUBSTITUTE(SUBSTITUTE(SUBSTITUTE(SUBSTITUTE(SUBSTITUTE(SUBSTITUTE(SUBSTITUTE(SUBSTITUTE(TRIM('월 가계부'!A2670),"년","-"),"월","-"),"일",""),".","-"),"/","-")," ","-"),"--","-"),"--","-"),"--","-")&amp;"-","")</f>
        <v/>
      </c>
      <c r="CI2670">
        <f>IFERROR(IF('월 가계부'!A2670="","",IF(ISNUMBER('월 가계부'!A2670),IF(AND('월 가계부'!A2670&gt;=19000101,'월 가계부'!A2670&lt;=21001231),IF(AND(MOD(INT('월 가계부'!A2670/100),100)&gt;=1,MOD(INT('월 가계부'!A2670/100),100)&lt;=12,MOD(INT('월 가계부'!A2670),100)&gt;=1,MOD(INT('월 가계부'!A2670),100)&lt;=31),IF(MONTH(DATE(INT('월 가계부'!A2670/10000),MOD(INT('월 가계부'!A2670/100),100),MOD(INT('월 가계부'!A2670),100)))=MOD(INT('월 가계부'!A2670/100),100),DATE(INT('월 가계부'!A2670/10000),MOD(INT('월 가계부'!A2670/100),100),MOD(INT('월 가계부'!A2670),100)),""),""),IF(AND('월 가계부'!A2670&gt;=36526,'월 가계부'!A2670&lt;73051),INT('월 가계부'!A2670),"")),IF(OR(CM2670="",CN2670="",CO2670=""),"",IF(AND(CM2670&gt;=2000,CM2670&lt;=2099,CN2670&gt;=1,CN2670&lt;=12,CO2670&gt;=1,CO2670&lt;=31),IF(MONTH(DATE(CM2670,CN2670,CO2670))=CN2670,DATE(CM2670,CN2670,CO2670),""),"")))),"")</f>
        <v/>
      </c>
      <c r="CJ2670">
        <f>IFERROR(IF('월 가계부'!C2670="","",IF(ISNUMBER('월 가계부'!C2670),'월 가계부'!C2670,VALUE(SUBSTITUTE(SUBSTITUTE(SUBSTITUTE(SUBSTITUTE(TRIM('월 가계부'!C2670),",",""),"원","")," ",""),"−","-")))),"")</f>
        <v/>
      </c>
      <c r="CK2670">
        <f>IF(ISNUMBER(CI2670),IF(CI2670&lt;$B$13,CI2670,""),"")</f>
        <v/>
      </c>
      <c r="CM2670">
        <f>IF(CH2670="","",IFERROR(IF(IF(AND(LEN(CH2670)=9,ISERROR(FIND("-",LEFT(CH2670,8))),ISNUMBER(-LEFT(CH2670,8))),VALUE(LEFT(CH2670,4)),VALUE(LEFT(CH2670,FIND("-",CH2670)-1)))&lt;100,IF(AND(LEN(CH2670)=9,ISERROR(FIND("-",LEFT(CH2670,8))),ISNUMBER(-LEFT(CH2670,8))),VALUE(LEFT(CH2670,4)),VALUE(LEFT(CH2670,FIND("-",CH2670)-1)))+2000,IF(AND(LEN(CH2670)=9,ISERROR(FIND("-",LEFT(CH2670,8))),ISNUMBER(-LEFT(CH2670,8))),VALUE(LEFT(CH2670,4)),VALUE(LEFT(CH2670,FIND("-",CH2670)-1)))),""))</f>
        <v/>
      </c>
      <c r="CN2670">
        <f>IF(CH2670="","",IFERROR(IF(AND(LEN(CH2670)=9,ISERROR(FIND("-",LEFT(CH2670,8))),ISNUMBER(-LEFT(CH2670,8))),VALUE(MID(CH2670,5,2)),VALUE(MID(CH2670,FIND("-",CH2670)+1,FIND("-",CH2670,FIND("-",CH2670)+1)-FIND("-",CH2670)-1))),""))</f>
        <v/>
      </c>
      <c r="CO2670">
        <f>IF(CH2670="","",IFERROR(IF(AND(LEN(CH2670)=9,ISERROR(FIND("-",LEFT(CH2670,8))),ISNUMBER(-LEFT(CH2670,8))),VALUE(MID(CH2670,7,2)),VALUE(MID(CH2670,FIND("-",CH2670,FIND("-",CH2670)+1)+1,FIND("-",CH2670,FIND("-",CH2670,FIND("-",CH2670)+1)+1)-FIND("-",CH2670,FIND("-",CH2670)+1)-1))),""))</f>
        <v/>
      </c>
    </row>
    <row r="2671">
      <c r="CH2671">
        <f>IF(ISTEXT('월 가계부'!A2671),SUBSTITUTE(SUBSTITUTE(SUBSTITUTE(SUBSTITUTE(SUBSTITUTE(SUBSTITUTE(SUBSTITUTE(SUBSTITUTE(SUBSTITUTE(TRIM('월 가계부'!A2671),"년","-"),"월","-"),"일",""),".","-"),"/","-")," ","-"),"--","-"),"--","-"),"--","-")&amp;"-","")</f>
        <v/>
      </c>
      <c r="CI2671">
        <f>IFERROR(IF('월 가계부'!A2671="","",IF(ISNUMBER('월 가계부'!A2671),IF(AND('월 가계부'!A2671&gt;=19000101,'월 가계부'!A2671&lt;=21001231),IF(AND(MOD(INT('월 가계부'!A2671/100),100)&gt;=1,MOD(INT('월 가계부'!A2671/100),100)&lt;=12,MOD(INT('월 가계부'!A2671),100)&gt;=1,MOD(INT('월 가계부'!A2671),100)&lt;=31),IF(MONTH(DATE(INT('월 가계부'!A2671/10000),MOD(INT('월 가계부'!A2671/100),100),MOD(INT('월 가계부'!A2671),100)))=MOD(INT('월 가계부'!A2671/100),100),DATE(INT('월 가계부'!A2671/10000),MOD(INT('월 가계부'!A2671/100),100),MOD(INT('월 가계부'!A2671),100)),""),""),IF(AND('월 가계부'!A2671&gt;=36526,'월 가계부'!A2671&lt;73051),INT('월 가계부'!A2671),"")),IF(OR(CM2671="",CN2671="",CO2671=""),"",IF(AND(CM2671&gt;=2000,CM2671&lt;=2099,CN2671&gt;=1,CN2671&lt;=12,CO2671&gt;=1,CO2671&lt;=31),IF(MONTH(DATE(CM2671,CN2671,CO2671))=CN2671,DATE(CM2671,CN2671,CO2671),""),"")))),"")</f>
        <v/>
      </c>
      <c r="CJ2671">
        <f>IFERROR(IF('월 가계부'!C2671="","",IF(ISNUMBER('월 가계부'!C2671),'월 가계부'!C2671,VALUE(SUBSTITUTE(SUBSTITUTE(SUBSTITUTE(SUBSTITUTE(TRIM('월 가계부'!C2671),",",""),"원","")," ",""),"−","-")))),"")</f>
        <v/>
      </c>
      <c r="CK2671">
        <f>IF(ISNUMBER(CI2671),IF(CI2671&lt;$B$13,CI2671,""),"")</f>
        <v/>
      </c>
      <c r="CM2671">
        <f>IF(CH2671="","",IFERROR(IF(IF(AND(LEN(CH2671)=9,ISERROR(FIND("-",LEFT(CH2671,8))),ISNUMBER(-LEFT(CH2671,8))),VALUE(LEFT(CH2671,4)),VALUE(LEFT(CH2671,FIND("-",CH2671)-1)))&lt;100,IF(AND(LEN(CH2671)=9,ISERROR(FIND("-",LEFT(CH2671,8))),ISNUMBER(-LEFT(CH2671,8))),VALUE(LEFT(CH2671,4)),VALUE(LEFT(CH2671,FIND("-",CH2671)-1)))+2000,IF(AND(LEN(CH2671)=9,ISERROR(FIND("-",LEFT(CH2671,8))),ISNUMBER(-LEFT(CH2671,8))),VALUE(LEFT(CH2671,4)),VALUE(LEFT(CH2671,FIND("-",CH2671)-1)))),""))</f>
        <v/>
      </c>
      <c r="CN2671">
        <f>IF(CH2671="","",IFERROR(IF(AND(LEN(CH2671)=9,ISERROR(FIND("-",LEFT(CH2671,8))),ISNUMBER(-LEFT(CH2671,8))),VALUE(MID(CH2671,5,2)),VALUE(MID(CH2671,FIND("-",CH2671)+1,FIND("-",CH2671,FIND("-",CH2671)+1)-FIND("-",CH2671)-1))),""))</f>
        <v/>
      </c>
      <c r="CO2671">
        <f>IF(CH2671="","",IFERROR(IF(AND(LEN(CH2671)=9,ISERROR(FIND("-",LEFT(CH2671,8))),ISNUMBER(-LEFT(CH2671,8))),VALUE(MID(CH2671,7,2)),VALUE(MID(CH2671,FIND("-",CH2671,FIND("-",CH2671)+1)+1,FIND("-",CH2671,FIND("-",CH2671,FIND("-",CH2671)+1)+1)-FIND("-",CH2671,FIND("-",CH2671)+1)-1))),""))</f>
        <v/>
      </c>
    </row>
    <row r="2672">
      <c r="CH2672">
        <f>IF(ISTEXT('월 가계부'!A2672),SUBSTITUTE(SUBSTITUTE(SUBSTITUTE(SUBSTITUTE(SUBSTITUTE(SUBSTITUTE(SUBSTITUTE(SUBSTITUTE(SUBSTITUTE(TRIM('월 가계부'!A2672),"년","-"),"월","-"),"일",""),".","-"),"/","-")," ","-"),"--","-"),"--","-"),"--","-")&amp;"-","")</f>
        <v/>
      </c>
      <c r="CI2672">
        <f>IFERROR(IF('월 가계부'!A2672="","",IF(ISNUMBER('월 가계부'!A2672),IF(AND('월 가계부'!A2672&gt;=19000101,'월 가계부'!A2672&lt;=21001231),IF(AND(MOD(INT('월 가계부'!A2672/100),100)&gt;=1,MOD(INT('월 가계부'!A2672/100),100)&lt;=12,MOD(INT('월 가계부'!A2672),100)&gt;=1,MOD(INT('월 가계부'!A2672),100)&lt;=31),IF(MONTH(DATE(INT('월 가계부'!A2672/10000),MOD(INT('월 가계부'!A2672/100),100),MOD(INT('월 가계부'!A2672),100)))=MOD(INT('월 가계부'!A2672/100),100),DATE(INT('월 가계부'!A2672/10000),MOD(INT('월 가계부'!A2672/100),100),MOD(INT('월 가계부'!A2672),100)),""),""),IF(AND('월 가계부'!A2672&gt;=36526,'월 가계부'!A2672&lt;73051),INT('월 가계부'!A2672),"")),IF(OR(CM2672="",CN2672="",CO2672=""),"",IF(AND(CM2672&gt;=2000,CM2672&lt;=2099,CN2672&gt;=1,CN2672&lt;=12,CO2672&gt;=1,CO2672&lt;=31),IF(MONTH(DATE(CM2672,CN2672,CO2672))=CN2672,DATE(CM2672,CN2672,CO2672),""),"")))),"")</f>
        <v/>
      </c>
      <c r="CJ2672">
        <f>IFERROR(IF('월 가계부'!C2672="","",IF(ISNUMBER('월 가계부'!C2672),'월 가계부'!C2672,VALUE(SUBSTITUTE(SUBSTITUTE(SUBSTITUTE(SUBSTITUTE(TRIM('월 가계부'!C2672),",",""),"원","")," ",""),"−","-")))),"")</f>
        <v/>
      </c>
      <c r="CK2672">
        <f>IF(ISNUMBER(CI2672),IF(CI2672&lt;$B$13,CI2672,""),"")</f>
        <v/>
      </c>
      <c r="CM2672">
        <f>IF(CH2672="","",IFERROR(IF(IF(AND(LEN(CH2672)=9,ISERROR(FIND("-",LEFT(CH2672,8))),ISNUMBER(-LEFT(CH2672,8))),VALUE(LEFT(CH2672,4)),VALUE(LEFT(CH2672,FIND("-",CH2672)-1)))&lt;100,IF(AND(LEN(CH2672)=9,ISERROR(FIND("-",LEFT(CH2672,8))),ISNUMBER(-LEFT(CH2672,8))),VALUE(LEFT(CH2672,4)),VALUE(LEFT(CH2672,FIND("-",CH2672)-1)))+2000,IF(AND(LEN(CH2672)=9,ISERROR(FIND("-",LEFT(CH2672,8))),ISNUMBER(-LEFT(CH2672,8))),VALUE(LEFT(CH2672,4)),VALUE(LEFT(CH2672,FIND("-",CH2672)-1)))),""))</f>
        <v/>
      </c>
      <c r="CN2672">
        <f>IF(CH2672="","",IFERROR(IF(AND(LEN(CH2672)=9,ISERROR(FIND("-",LEFT(CH2672,8))),ISNUMBER(-LEFT(CH2672,8))),VALUE(MID(CH2672,5,2)),VALUE(MID(CH2672,FIND("-",CH2672)+1,FIND("-",CH2672,FIND("-",CH2672)+1)-FIND("-",CH2672)-1))),""))</f>
        <v/>
      </c>
      <c r="CO2672">
        <f>IF(CH2672="","",IFERROR(IF(AND(LEN(CH2672)=9,ISERROR(FIND("-",LEFT(CH2672,8))),ISNUMBER(-LEFT(CH2672,8))),VALUE(MID(CH2672,7,2)),VALUE(MID(CH2672,FIND("-",CH2672,FIND("-",CH2672)+1)+1,FIND("-",CH2672,FIND("-",CH2672,FIND("-",CH2672)+1)+1)-FIND("-",CH2672,FIND("-",CH2672)+1)-1))),""))</f>
        <v/>
      </c>
    </row>
    <row r="2673">
      <c r="CH2673">
        <f>IF(ISTEXT('월 가계부'!A2673),SUBSTITUTE(SUBSTITUTE(SUBSTITUTE(SUBSTITUTE(SUBSTITUTE(SUBSTITUTE(SUBSTITUTE(SUBSTITUTE(SUBSTITUTE(TRIM('월 가계부'!A2673),"년","-"),"월","-"),"일",""),".","-"),"/","-")," ","-"),"--","-"),"--","-"),"--","-")&amp;"-","")</f>
        <v/>
      </c>
      <c r="CI2673">
        <f>IFERROR(IF('월 가계부'!A2673="","",IF(ISNUMBER('월 가계부'!A2673),IF(AND('월 가계부'!A2673&gt;=19000101,'월 가계부'!A2673&lt;=21001231),IF(AND(MOD(INT('월 가계부'!A2673/100),100)&gt;=1,MOD(INT('월 가계부'!A2673/100),100)&lt;=12,MOD(INT('월 가계부'!A2673),100)&gt;=1,MOD(INT('월 가계부'!A2673),100)&lt;=31),IF(MONTH(DATE(INT('월 가계부'!A2673/10000),MOD(INT('월 가계부'!A2673/100),100),MOD(INT('월 가계부'!A2673),100)))=MOD(INT('월 가계부'!A2673/100),100),DATE(INT('월 가계부'!A2673/10000),MOD(INT('월 가계부'!A2673/100),100),MOD(INT('월 가계부'!A2673),100)),""),""),IF(AND('월 가계부'!A2673&gt;=36526,'월 가계부'!A2673&lt;73051),INT('월 가계부'!A2673),"")),IF(OR(CM2673="",CN2673="",CO2673=""),"",IF(AND(CM2673&gt;=2000,CM2673&lt;=2099,CN2673&gt;=1,CN2673&lt;=12,CO2673&gt;=1,CO2673&lt;=31),IF(MONTH(DATE(CM2673,CN2673,CO2673))=CN2673,DATE(CM2673,CN2673,CO2673),""),"")))),"")</f>
        <v/>
      </c>
      <c r="CJ2673">
        <f>IFERROR(IF('월 가계부'!C2673="","",IF(ISNUMBER('월 가계부'!C2673),'월 가계부'!C2673,VALUE(SUBSTITUTE(SUBSTITUTE(SUBSTITUTE(SUBSTITUTE(TRIM('월 가계부'!C2673),",",""),"원","")," ",""),"−","-")))),"")</f>
        <v/>
      </c>
      <c r="CK2673">
        <f>IF(ISNUMBER(CI2673),IF(CI2673&lt;$B$13,CI2673,""),"")</f>
        <v/>
      </c>
      <c r="CM2673">
        <f>IF(CH2673="","",IFERROR(IF(IF(AND(LEN(CH2673)=9,ISERROR(FIND("-",LEFT(CH2673,8))),ISNUMBER(-LEFT(CH2673,8))),VALUE(LEFT(CH2673,4)),VALUE(LEFT(CH2673,FIND("-",CH2673)-1)))&lt;100,IF(AND(LEN(CH2673)=9,ISERROR(FIND("-",LEFT(CH2673,8))),ISNUMBER(-LEFT(CH2673,8))),VALUE(LEFT(CH2673,4)),VALUE(LEFT(CH2673,FIND("-",CH2673)-1)))+2000,IF(AND(LEN(CH2673)=9,ISERROR(FIND("-",LEFT(CH2673,8))),ISNUMBER(-LEFT(CH2673,8))),VALUE(LEFT(CH2673,4)),VALUE(LEFT(CH2673,FIND("-",CH2673)-1)))),""))</f>
        <v/>
      </c>
      <c r="CN2673">
        <f>IF(CH2673="","",IFERROR(IF(AND(LEN(CH2673)=9,ISERROR(FIND("-",LEFT(CH2673,8))),ISNUMBER(-LEFT(CH2673,8))),VALUE(MID(CH2673,5,2)),VALUE(MID(CH2673,FIND("-",CH2673)+1,FIND("-",CH2673,FIND("-",CH2673)+1)-FIND("-",CH2673)-1))),""))</f>
        <v/>
      </c>
      <c r="CO2673">
        <f>IF(CH2673="","",IFERROR(IF(AND(LEN(CH2673)=9,ISERROR(FIND("-",LEFT(CH2673,8))),ISNUMBER(-LEFT(CH2673,8))),VALUE(MID(CH2673,7,2)),VALUE(MID(CH2673,FIND("-",CH2673,FIND("-",CH2673)+1)+1,FIND("-",CH2673,FIND("-",CH2673,FIND("-",CH2673)+1)+1)-FIND("-",CH2673,FIND("-",CH2673)+1)-1))),""))</f>
        <v/>
      </c>
    </row>
    <row r="2674">
      <c r="CH2674">
        <f>IF(ISTEXT('월 가계부'!A2674),SUBSTITUTE(SUBSTITUTE(SUBSTITUTE(SUBSTITUTE(SUBSTITUTE(SUBSTITUTE(SUBSTITUTE(SUBSTITUTE(SUBSTITUTE(TRIM('월 가계부'!A2674),"년","-"),"월","-"),"일",""),".","-"),"/","-")," ","-"),"--","-"),"--","-"),"--","-")&amp;"-","")</f>
        <v/>
      </c>
      <c r="CI2674">
        <f>IFERROR(IF('월 가계부'!A2674="","",IF(ISNUMBER('월 가계부'!A2674),IF(AND('월 가계부'!A2674&gt;=19000101,'월 가계부'!A2674&lt;=21001231),IF(AND(MOD(INT('월 가계부'!A2674/100),100)&gt;=1,MOD(INT('월 가계부'!A2674/100),100)&lt;=12,MOD(INT('월 가계부'!A2674),100)&gt;=1,MOD(INT('월 가계부'!A2674),100)&lt;=31),IF(MONTH(DATE(INT('월 가계부'!A2674/10000),MOD(INT('월 가계부'!A2674/100),100),MOD(INT('월 가계부'!A2674),100)))=MOD(INT('월 가계부'!A2674/100),100),DATE(INT('월 가계부'!A2674/10000),MOD(INT('월 가계부'!A2674/100),100),MOD(INT('월 가계부'!A2674),100)),""),""),IF(AND('월 가계부'!A2674&gt;=36526,'월 가계부'!A2674&lt;73051),INT('월 가계부'!A2674),"")),IF(OR(CM2674="",CN2674="",CO2674=""),"",IF(AND(CM2674&gt;=2000,CM2674&lt;=2099,CN2674&gt;=1,CN2674&lt;=12,CO2674&gt;=1,CO2674&lt;=31),IF(MONTH(DATE(CM2674,CN2674,CO2674))=CN2674,DATE(CM2674,CN2674,CO2674),""),"")))),"")</f>
        <v/>
      </c>
      <c r="CJ2674">
        <f>IFERROR(IF('월 가계부'!C2674="","",IF(ISNUMBER('월 가계부'!C2674),'월 가계부'!C2674,VALUE(SUBSTITUTE(SUBSTITUTE(SUBSTITUTE(SUBSTITUTE(TRIM('월 가계부'!C2674),",",""),"원","")," ",""),"−","-")))),"")</f>
        <v/>
      </c>
      <c r="CK2674">
        <f>IF(ISNUMBER(CI2674),IF(CI2674&lt;$B$13,CI2674,""),"")</f>
        <v/>
      </c>
      <c r="CM2674">
        <f>IF(CH2674="","",IFERROR(IF(IF(AND(LEN(CH2674)=9,ISERROR(FIND("-",LEFT(CH2674,8))),ISNUMBER(-LEFT(CH2674,8))),VALUE(LEFT(CH2674,4)),VALUE(LEFT(CH2674,FIND("-",CH2674)-1)))&lt;100,IF(AND(LEN(CH2674)=9,ISERROR(FIND("-",LEFT(CH2674,8))),ISNUMBER(-LEFT(CH2674,8))),VALUE(LEFT(CH2674,4)),VALUE(LEFT(CH2674,FIND("-",CH2674)-1)))+2000,IF(AND(LEN(CH2674)=9,ISERROR(FIND("-",LEFT(CH2674,8))),ISNUMBER(-LEFT(CH2674,8))),VALUE(LEFT(CH2674,4)),VALUE(LEFT(CH2674,FIND("-",CH2674)-1)))),""))</f>
        <v/>
      </c>
      <c r="CN2674">
        <f>IF(CH2674="","",IFERROR(IF(AND(LEN(CH2674)=9,ISERROR(FIND("-",LEFT(CH2674,8))),ISNUMBER(-LEFT(CH2674,8))),VALUE(MID(CH2674,5,2)),VALUE(MID(CH2674,FIND("-",CH2674)+1,FIND("-",CH2674,FIND("-",CH2674)+1)-FIND("-",CH2674)-1))),""))</f>
        <v/>
      </c>
      <c r="CO2674">
        <f>IF(CH2674="","",IFERROR(IF(AND(LEN(CH2674)=9,ISERROR(FIND("-",LEFT(CH2674,8))),ISNUMBER(-LEFT(CH2674,8))),VALUE(MID(CH2674,7,2)),VALUE(MID(CH2674,FIND("-",CH2674,FIND("-",CH2674)+1)+1,FIND("-",CH2674,FIND("-",CH2674,FIND("-",CH2674)+1)+1)-FIND("-",CH2674,FIND("-",CH2674)+1)-1))),""))</f>
        <v/>
      </c>
    </row>
    <row r="2675">
      <c r="CH2675">
        <f>IF(ISTEXT('월 가계부'!A2675),SUBSTITUTE(SUBSTITUTE(SUBSTITUTE(SUBSTITUTE(SUBSTITUTE(SUBSTITUTE(SUBSTITUTE(SUBSTITUTE(SUBSTITUTE(TRIM('월 가계부'!A2675),"년","-"),"월","-"),"일",""),".","-"),"/","-")," ","-"),"--","-"),"--","-"),"--","-")&amp;"-","")</f>
        <v/>
      </c>
      <c r="CI2675">
        <f>IFERROR(IF('월 가계부'!A2675="","",IF(ISNUMBER('월 가계부'!A2675),IF(AND('월 가계부'!A2675&gt;=19000101,'월 가계부'!A2675&lt;=21001231),IF(AND(MOD(INT('월 가계부'!A2675/100),100)&gt;=1,MOD(INT('월 가계부'!A2675/100),100)&lt;=12,MOD(INT('월 가계부'!A2675),100)&gt;=1,MOD(INT('월 가계부'!A2675),100)&lt;=31),IF(MONTH(DATE(INT('월 가계부'!A2675/10000),MOD(INT('월 가계부'!A2675/100),100),MOD(INT('월 가계부'!A2675),100)))=MOD(INT('월 가계부'!A2675/100),100),DATE(INT('월 가계부'!A2675/10000),MOD(INT('월 가계부'!A2675/100),100),MOD(INT('월 가계부'!A2675),100)),""),""),IF(AND('월 가계부'!A2675&gt;=36526,'월 가계부'!A2675&lt;73051),INT('월 가계부'!A2675),"")),IF(OR(CM2675="",CN2675="",CO2675=""),"",IF(AND(CM2675&gt;=2000,CM2675&lt;=2099,CN2675&gt;=1,CN2675&lt;=12,CO2675&gt;=1,CO2675&lt;=31),IF(MONTH(DATE(CM2675,CN2675,CO2675))=CN2675,DATE(CM2675,CN2675,CO2675),""),"")))),"")</f>
        <v/>
      </c>
      <c r="CJ2675">
        <f>IFERROR(IF('월 가계부'!C2675="","",IF(ISNUMBER('월 가계부'!C2675),'월 가계부'!C2675,VALUE(SUBSTITUTE(SUBSTITUTE(SUBSTITUTE(SUBSTITUTE(TRIM('월 가계부'!C2675),",",""),"원","")," ",""),"−","-")))),"")</f>
        <v/>
      </c>
      <c r="CK2675">
        <f>IF(ISNUMBER(CI2675),IF(CI2675&lt;$B$13,CI2675,""),"")</f>
        <v/>
      </c>
      <c r="CM2675">
        <f>IF(CH2675="","",IFERROR(IF(IF(AND(LEN(CH2675)=9,ISERROR(FIND("-",LEFT(CH2675,8))),ISNUMBER(-LEFT(CH2675,8))),VALUE(LEFT(CH2675,4)),VALUE(LEFT(CH2675,FIND("-",CH2675)-1)))&lt;100,IF(AND(LEN(CH2675)=9,ISERROR(FIND("-",LEFT(CH2675,8))),ISNUMBER(-LEFT(CH2675,8))),VALUE(LEFT(CH2675,4)),VALUE(LEFT(CH2675,FIND("-",CH2675)-1)))+2000,IF(AND(LEN(CH2675)=9,ISERROR(FIND("-",LEFT(CH2675,8))),ISNUMBER(-LEFT(CH2675,8))),VALUE(LEFT(CH2675,4)),VALUE(LEFT(CH2675,FIND("-",CH2675)-1)))),""))</f>
        <v/>
      </c>
      <c r="CN2675">
        <f>IF(CH2675="","",IFERROR(IF(AND(LEN(CH2675)=9,ISERROR(FIND("-",LEFT(CH2675,8))),ISNUMBER(-LEFT(CH2675,8))),VALUE(MID(CH2675,5,2)),VALUE(MID(CH2675,FIND("-",CH2675)+1,FIND("-",CH2675,FIND("-",CH2675)+1)-FIND("-",CH2675)-1))),""))</f>
        <v/>
      </c>
      <c r="CO2675">
        <f>IF(CH2675="","",IFERROR(IF(AND(LEN(CH2675)=9,ISERROR(FIND("-",LEFT(CH2675,8))),ISNUMBER(-LEFT(CH2675,8))),VALUE(MID(CH2675,7,2)),VALUE(MID(CH2675,FIND("-",CH2675,FIND("-",CH2675)+1)+1,FIND("-",CH2675,FIND("-",CH2675,FIND("-",CH2675)+1)+1)-FIND("-",CH2675,FIND("-",CH2675)+1)-1))),""))</f>
        <v/>
      </c>
    </row>
    <row r="2676">
      <c r="CH2676">
        <f>IF(ISTEXT('월 가계부'!A2676),SUBSTITUTE(SUBSTITUTE(SUBSTITUTE(SUBSTITUTE(SUBSTITUTE(SUBSTITUTE(SUBSTITUTE(SUBSTITUTE(SUBSTITUTE(TRIM('월 가계부'!A2676),"년","-"),"월","-"),"일",""),".","-"),"/","-")," ","-"),"--","-"),"--","-"),"--","-")&amp;"-","")</f>
        <v/>
      </c>
      <c r="CI2676">
        <f>IFERROR(IF('월 가계부'!A2676="","",IF(ISNUMBER('월 가계부'!A2676),IF(AND('월 가계부'!A2676&gt;=19000101,'월 가계부'!A2676&lt;=21001231),IF(AND(MOD(INT('월 가계부'!A2676/100),100)&gt;=1,MOD(INT('월 가계부'!A2676/100),100)&lt;=12,MOD(INT('월 가계부'!A2676),100)&gt;=1,MOD(INT('월 가계부'!A2676),100)&lt;=31),IF(MONTH(DATE(INT('월 가계부'!A2676/10000),MOD(INT('월 가계부'!A2676/100),100),MOD(INT('월 가계부'!A2676),100)))=MOD(INT('월 가계부'!A2676/100),100),DATE(INT('월 가계부'!A2676/10000),MOD(INT('월 가계부'!A2676/100),100),MOD(INT('월 가계부'!A2676),100)),""),""),IF(AND('월 가계부'!A2676&gt;=36526,'월 가계부'!A2676&lt;73051),INT('월 가계부'!A2676),"")),IF(OR(CM2676="",CN2676="",CO2676=""),"",IF(AND(CM2676&gt;=2000,CM2676&lt;=2099,CN2676&gt;=1,CN2676&lt;=12,CO2676&gt;=1,CO2676&lt;=31),IF(MONTH(DATE(CM2676,CN2676,CO2676))=CN2676,DATE(CM2676,CN2676,CO2676),""),"")))),"")</f>
        <v/>
      </c>
      <c r="CJ2676">
        <f>IFERROR(IF('월 가계부'!C2676="","",IF(ISNUMBER('월 가계부'!C2676),'월 가계부'!C2676,VALUE(SUBSTITUTE(SUBSTITUTE(SUBSTITUTE(SUBSTITUTE(TRIM('월 가계부'!C2676),",",""),"원","")," ",""),"−","-")))),"")</f>
        <v/>
      </c>
      <c r="CK2676">
        <f>IF(ISNUMBER(CI2676),IF(CI2676&lt;$B$13,CI2676,""),"")</f>
        <v/>
      </c>
      <c r="CM2676">
        <f>IF(CH2676="","",IFERROR(IF(IF(AND(LEN(CH2676)=9,ISERROR(FIND("-",LEFT(CH2676,8))),ISNUMBER(-LEFT(CH2676,8))),VALUE(LEFT(CH2676,4)),VALUE(LEFT(CH2676,FIND("-",CH2676)-1)))&lt;100,IF(AND(LEN(CH2676)=9,ISERROR(FIND("-",LEFT(CH2676,8))),ISNUMBER(-LEFT(CH2676,8))),VALUE(LEFT(CH2676,4)),VALUE(LEFT(CH2676,FIND("-",CH2676)-1)))+2000,IF(AND(LEN(CH2676)=9,ISERROR(FIND("-",LEFT(CH2676,8))),ISNUMBER(-LEFT(CH2676,8))),VALUE(LEFT(CH2676,4)),VALUE(LEFT(CH2676,FIND("-",CH2676)-1)))),""))</f>
        <v/>
      </c>
      <c r="CN2676">
        <f>IF(CH2676="","",IFERROR(IF(AND(LEN(CH2676)=9,ISERROR(FIND("-",LEFT(CH2676,8))),ISNUMBER(-LEFT(CH2676,8))),VALUE(MID(CH2676,5,2)),VALUE(MID(CH2676,FIND("-",CH2676)+1,FIND("-",CH2676,FIND("-",CH2676)+1)-FIND("-",CH2676)-1))),""))</f>
        <v/>
      </c>
      <c r="CO2676">
        <f>IF(CH2676="","",IFERROR(IF(AND(LEN(CH2676)=9,ISERROR(FIND("-",LEFT(CH2676,8))),ISNUMBER(-LEFT(CH2676,8))),VALUE(MID(CH2676,7,2)),VALUE(MID(CH2676,FIND("-",CH2676,FIND("-",CH2676)+1)+1,FIND("-",CH2676,FIND("-",CH2676,FIND("-",CH2676)+1)+1)-FIND("-",CH2676,FIND("-",CH2676)+1)-1))),""))</f>
        <v/>
      </c>
    </row>
    <row r="2677">
      <c r="CH2677">
        <f>IF(ISTEXT('월 가계부'!A2677),SUBSTITUTE(SUBSTITUTE(SUBSTITUTE(SUBSTITUTE(SUBSTITUTE(SUBSTITUTE(SUBSTITUTE(SUBSTITUTE(SUBSTITUTE(TRIM('월 가계부'!A2677),"년","-"),"월","-"),"일",""),".","-"),"/","-")," ","-"),"--","-"),"--","-"),"--","-")&amp;"-","")</f>
        <v/>
      </c>
      <c r="CI2677">
        <f>IFERROR(IF('월 가계부'!A2677="","",IF(ISNUMBER('월 가계부'!A2677),IF(AND('월 가계부'!A2677&gt;=19000101,'월 가계부'!A2677&lt;=21001231),IF(AND(MOD(INT('월 가계부'!A2677/100),100)&gt;=1,MOD(INT('월 가계부'!A2677/100),100)&lt;=12,MOD(INT('월 가계부'!A2677),100)&gt;=1,MOD(INT('월 가계부'!A2677),100)&lt;=31),IF(MONTH(DATE(INT('월 가계부'!A2677/10000),MOD(INT('월 가계부'!A2677/100),100),MOD(INT('월 가계부'!A2677),100)))=MOD(INT('월 가계부'!A2677/100),100),DATE(INT('월 가계부'!A2677/10000),MOD(INT('월 가계부'!A2677/100),100),MOD(INT('월 가계부'!A2677),100)),""),""),IF(AND('월 가계부'!A2677&gt;=36526,'월 가계부'!A2677&lt;73051),INT('월 가계부'!A2677),"")),IF(OR(CM2677="",CN2677="",CO2677=""),"",IF(AND(CM2677&gt;=2000,CM2677&lt;=2099,CN2677&gt;=1,CN2677&lt;=12,CO2677&gt;=1,CO2677&lt;=31),IF(MONTH(DATE(CM2677,CN2677,CO2677))=CN2677,DATE(CM2677,CN2677,CO2677),""),"")))),"")</f>
        <v/>
      </c>
      <c r="CJ2677">
        <f>IFERROR(IF('월 가계부'!C2677="","",IF(ISNUMBER('월 가계부'!C2677),'월 가계부'!C2677,VALUE(SUBSTITUTE(SUBSTITUTE(SUBSTITUTE(SUBSTITUTE(TRIM('월 가계부'!C2677),",",""),"원","")," ",""),"−","-")))),"")</f>
        <v/>
      </c>
      <c r="CK2677">
        <f>IF(ISNUMBER(CI2677),IF(CI2677&lt;$B$13,CI2677,""),"")</f>
        <v/>
      </c>
      <c r="CM2677">
        <f>IF(CH2677="","",IFERROR(IF(IF(AND(LEN(CH2677)=9,ISERROR(FIND("-",LEFT(CH2677,8))),ISNUMBER(-LEFT(CH2677,8))),VALUE(LEFT(CH2677,4)),VALUE(LEFT(CH2677,FIND("-",CH2677)-1)))&lt;100,IF(AND(LEN(CH2677)=9,ISERROR(FIND("-",LEFT(CH2677,8))),ISNUMBER(-LEFT(CH2677,8))),VALUE(LEFT(CH2677,4)),VALUE(LEFT(CH2677,FIND("-",CH2677)-1)))+2000,IF(AND(LEN(CH2677)=9,ISERROR(FIND("-",LEFT(CH2677,8))),ISNUMBER(-LEFT(CH2677,8))),VALUE(LEFT(CH2677,4)),VALUE(LEFT(CH2677,FIND("-",CH2677)-1)))),""))</f>
        <v/>
      </c>
      <c r="CN2677">
        <f>IF(CH2677="","",IFERROR(IF(AND(LEN(CH2677)=9,ISERROR(FIND("-",LEFT(CH2677,8))),ISNUMBER(-LEFT(CH2677,8))),VALUE(MID(CH2677,5,2)),VALUE(MID(CH2677,FIND("-",CH2677)+1,FIND("-",CH2677,FIND("-",CH2677)+1)-FIND("-",CH2677)-1))),""))</f>
        <v/>
      </c>
      <c r="CO2677">
        <f>IF(CH2677="","",IFERROR(IF(AND(LEN(CH2677)=9,ISERROR(FIND("-",LEFT(CH2677,8))),ISNUMBER(-LEFT(CH2677,8))),VALUE(MID(CH2677,7,2)),VALUE(MID(CH2677,FIND("-",CH2677,FIND("-",CH2677)+1)+1,FIND("-",CH2677,FIND("-",CH2677,FIND("-",CH2677)+1)+1)-FIND("-",CH2677,FIND("-",CH2677)+1)-1))),""))</f>
        <v/>
      </c>
    </row>
    <row r="2678">
      <c r="CH2678">
        <f>IF(ISTEXT('월 가계부'!A2678),SUBSTITUTE(SUBSTITUTE(SUBSTITUTE(SUBSTITUTE(SUBSTITUTE(SUBSTITUTE(SUBSTITUTE(SUBSTITUTE(SUBSTITUTE(TRIM('월 가계부'!A2678),"년","-"),"월","-"),"일",""),".","-"),"/","-")," ","-"),"--","-"),"--","-"),"--","-")&amp;"-","")</f>
        <v/>
      </c>
      <c r="CI2678">
        <f>IFERROR(IF('월 가계부'!A2678="","",IF(ISNUMBER('월 가계부'!A2678),IF(AND('월 가계부'!A2678&gt;=19000101,'월 가계부'!A2678&lt;=21001231),IF(AND(MOD(INT('월 가계부'!A2678/100),100)&gt;=1,MOD(INT('월 가계부'!A2678/100),100)&lt;=12,MOD(INT('월 가계부'!A2678),100)&gt;=1,MOD(INT('월 가계부'!A2678),100)&lt;=31),IF(MONTH(DATE(INT('월 가계부'!A2678/10000),MOD(INT('월 가계부'!A2678/100),100),MOD(INT('월 가계부'!A2678),100)))=MOD(INT('월 가계부'!A2678/100),100),DATE(INT('월 가계부'!A2678/10000),MOD(INT('월 가계부'!A2678/100),100),MOD(INT('월 가계부'!A2678),100)),""),""),IF(AND('월 가계부'!A2678&gt;=36526,'월 가계부'!A2678&lt;73051),INT('월 가계부'!A2678),"")),IF(OR(CM2678="",CN2678="",CO2678=""),"",IF(AND(CM2678&gt;=2000,CM2678&lt;=2099,CN2678&gt;=1,CN2678&lt;=12,CO2678&gt;=1,CO2678&lt;=31),IF(MONTH(DATE(CM2678,CN2678,CO2678))=CN2678,DATE(CM2678,CN2678,CO2678),""),"")))),"")</f>
        <v/>
      </c>
      <c r="CJ2678">
        <f>IFERROR(IF('월 가계부'!C2678="","",IF(ISNUMBER('월 가계부'!C2678),'월 가계부'!C2678,VALUE(SUBSTITUTE(SUBSTITUTE(SUBSTITUTE(SUBSTITUTE(TRIM('월 가계부'!C2678),",",""),"원","")," ",""),"−","-")))),"")</f>
        <v/>
      </c>
      <c r="CK2678">
        <f>IF(ISNUMBER(CI2678),IF(CI2678&lt;$B$13,CI2678,""),"")</f>
        <v/>
      </c>
      <c r="CM2678">
        <f>IF(CH2678="","",IFERROR(IF(IF(AND(LEN(CH2678)=9,ISERROR(FIND("-",LEFT(CH2678,8))),ISNUMBER(-LEFT(CH2678,8))),VALUE(LEFT(CH2678,4)),VALUE(LEFT(CH2678,FIND("-",CH2678)-1)))&lt;100,IF(AND(LEN(CH2678)=9,ISERROR(FIND("-",LEFT(CH2678,8))),ISNUMBER(-LEFT(CH2678,8))),VALUE(LEFT(CH2678,4)),VALUE(LEFT(CH2678,FIND("-",CH2678)-1)))+2000,IF(AND(LEN(CH2678)=9,ISERROR(FIND("-",LEFT(CH2678,8))),ISNUMBER(-LEFT(CH2678,8))),VALUE(LEFT(CH2678,4)),VALUE(LEFT(CH2678,FIND("-",CH2678)-1)))),""))</f>
        <v/>
      </c>
      <c r="CN2678">
        <f>IF(CH2678="","",IFERROR(IF(AND(LEN(CH2678)=9,ISERROR(FIND("-",LEFT(CH2678,8))),ISNUMBER(-LEFT(CH2678,8))),VALUE(MID(CH2678,5,2)),VALUE(MID(CH2678,FIND("-",CH2678)+1,FIND("-",CH2678,FIND("-",CH2678)+1)-FIND("-",CH2678)-1))),""))</f>
        <v/>
      </c>
      <c r="CO2678">
        <f>IF(CH2678="","",IFERROR(IF(AND(LEN(CH2678)=9,ISERROR(FIND("-",LEFT(CH2678,8))),ISNUMBER(-LEFT(CH2678,8))),VALUE(MID(CH2678,7,2)),VALUE(MID(CH2678,FIND("-",CH2678,FIND("-",CH2678)+1)+1,FIND("-",CH2678,FIND("-",CH2678,FIND("-",CH2678)+1)+1)-FIND("-",CH2678,FIND("-",CH2678)+1)-1))),""))</f>
        <v/>
      </c>
    </row>
    <row r="2679">
      <c r="CH2679">
        <f>IF(ISTEXT('월 가계부'!A2679),SUBSTITUTE(SUBSTITUTE(SUBSTITUTE(SUBSTITUTE(SUBSTITUTE(SUBSTITUTE(SUBSTITUTE(SUBSTITUTE(SUBSTITUTE(TRIM('월 가계부'!A2679),"년","-"),"월","-"),"일",""),".","-"),"/","-")," ","-"),"--","-"),"--","-"),"--","-")&amp;"-","")</f>
        <v/>
      </c>
      <c r="CI2679">
        <f>IFERROR(IF('월 가계부'!A2679="","",IF(ISNUMBER('월 가계부'!A2679),IF(AND('월 가계부'!A2679&gt;=19000101,'월 가계부'!A2679&lt;=21001231),IF(AND(MOD(INT('월 가계부'!A2679/100),100)&gt;=1,MOD(INT('월 가계부'!A2679/100),100)&lt;=12,MOD(INT('월 가계부'!A2679),100)&gt;=1,MOD(INT('월 가계부'!A2679),100)&lt;=31),IF(MONTH(DATE(INT('월 가계부'!A2679/10000),MOD(INT('월 가계부'!A2679/100),100),MOD(INT('월 가계부'!A2679),100)))=MOD(INT('월 가계부'!A2679/100),100),DATE(INT('월 가계부'!A2679/10000),MOD(INT('월 가계부'!A2679/100),100),MOD(INT('월 가계부'!A2679),100)),""),""),IF(AND('월 가계부'!A2679&gt;=36526,'월 가계부'!A2679&lt;73051),INT('월 가계부'!A2679),"")),IF(OR(CM2679="",CN2679="",CO2679=""),"",IF(AND(CM2679&gt;=2000,CM2679&lt;=2099,CN2679&gt;=1,CN2679&lt;=12,CO2679&gt;=1,CO2679&lt;=31),IF(MONTH(DATE(CM2679,CN2679,CO2679))=CN2679,DATE(CM2679,CN2679,CO2679),""),"")))),"")</f>
        <v/>
      </c>
      <c r="CJ2679">
        <f>IFERROR(IF('월 가계부'!C2679="","",IF(ISNUMBER('월 가계부'!C2679),'월 가계부'!C2679,VALUE(SUBSTITUTE(SUBSTITUTE(SUBSTITUTE(SUBSTITUTE(TRIM('월 가계부'!C2679),",",""),"원","")," ",""),"−","-")))),"")</f>
        <v/>
      </c>
      <c r="CK2679">
        <f>IF(ISNUMBER(CI2679),IF(CI2679&lt;$B$13,CI2679,""),"")</f>
        <v/>
      </c>
      <c r="CM2679">
        <f>IF(CH2679="","",IFERROR(IF(IF(AND(LEN(CH2679)=9,ISERROR(FIND("-",LEFT(CH2679,8))),ISNUMBER(-LEFT(CH2679,8))),VALUE(LEFT(CH2679,4)),VALUE(LEFT(CH2679,FIND("-",CH2679)-1)))&lt;100,IF(AND(LEN(CH2679)=9,ISERROR(FIND("-",LEFT(CH2679,8))),ISNUMBER(-LEFT(CH2679,8))),VALUE(LEFT(CH2679,4)),VALUE(LEFT(CH2679,FIND("-",CH2679)-1)))+2000,IF(AND(LEN(CH2679)=9,ISERROR(FIND("-",LEFT(CH2679,8))),ISNUMBER(-LEFT(CH2679,8))),VALUE(LEFT(CH2679,4)),VALUE(LEFT(CH2679,FIND("-",CH2679)-1)))),""))</f>
        <v/>
      </c>
      <c r="CN2679">
        <f>IF(CH2679="","",IFERROR(IF(AND(LEN(CH2679)=9,ISERROR(FIND("-",LEFT(CH2679,8))),ISNUMBER(-LEFT(CH2679,8))),VALUE(MID(CH2679,5,2)),VALUE(MID(CH2679,FIND("-",CH2679)+1,FIND("-",CH2679,FIND("-",CH2679)+1)-FIND("-",CH2679)-1))),""))</f>
        <v/>
      </c>
      <c r="CO2679">
        <f>IF(CH2679="","",IFERROR(IF(AND(LEN(CH2679)=9,ISERROR(FIND("-",LEFT(CH2679,8))),ISNUMBER(-LEFT(CH2679,8))),VALUE(MID(CH2679,7,2)),VALUE(MID(CH2679,FIND("-",CH2679,FIND("-",CH2679)+1)+1,FIND("-",CH2679,FIND("-",CH2679,FIND("-",CH2679)+1)+1)-FIND("-",CH2679,FIND("-",CH2679)+1)-1))),""))</f>
        <v/>
      </c>
    </row>
    <row r="2680">
      <c r="CH2680">
        <f>IF(ISTEXT('월 가계부'!A2680),SUBSTITUTE(SUBSTITUTE(SUBSTITUTE(SUBSTITUTE(SUBSTITUTE(SUBSTITUTE(SUBSTITUTE(SUBSTITUTE(SUBSTITUTE(TRIM('월 가계부'!A2680),"년","-"),"월","-"),"일",""),".","-"),"/","-")," ","-"),"--","-"),"--","-"),"--","-")&amp;"-","")</f>
        <v/>
      </c>
      <c r="CI2680">
        <f>IFERROR(IF('월 가계부'!A2680="","",IF(ISNUMBER('월 가계부'!A2680),IF(AND('월 가계부'!A2680&gt;=19000101,'월 가계부'!A2680&lt;=21001231),IF(AND(MOD(INT('월 가계부'!A2680/100),100)&gt;=1,MOD(INT('월 가계부'!A2680/100),100)&lt;=12,MOD(INT('월 가계부'!A2680),100)&gt;=1,MOD(INT('월 가계부'!A2680),100)&lt;=31),IF(MONTH(DATE(INT('월 가계부'!A2680/10000),MOD(INT('월 가계부'!A2680/100),100),MOD(INT('월 가계부'!A2680),100)))=MOD(INT('월 가계부'!A2680/100),100),DATE(INT('월 가계부'!A2680/10000),MOD(INT('월 가계부'!A2680/100),100),MOD(INT('월 가계부'!A2680),100)),""),""),IF(AND('월 가계부'!A2680&gt;=36526,'월 가계부'!A2680&lt;73051),INT('월 가계부'!A2680),"")),IF(OR(CM2680="",CN2680="",CO2680=""),"",IF(AND(CM2680&gt;=2000,CM2680&lt;=2099,CN2680&gt;=1,CN2680&lt;=12,CO2680&gt;=1,CO2680&lt;=31),IF(MONTH(DATE(CM2680,CN2680,CO2680))=CN2680,DATE(CM2680,CN2680,CO2680),""),"")))),"")</f>
        <v/>
      </c>
      <c r="CJ2680">
        <f>IFERROR(IF('월 가계부'!C2680="","",IF(ISNUMBER('월 가계부'!C2680),'월 가계부'!C2680,VALUE(SUBSTITUTE(SUBSTITUTE(SUBSTITUTE(SUBSTITUTE(TRIM('월 가계부'!C2680),",",""),"원","")," ",""),"−","-")))),"")</f>
        <v/>
      </c>
      <c r="CK2680">
        <f>IF(ISNUMBER(CI2680),IF(CI2680&lt;$B$13,CI2680,""),"")</f>
        <v/>
      </c>
      <c r="CM2680">
        <f>IF(CH2680="","",IFERROR(IF(IF(AND(LEN(CH2680)=9,ISERROR(FIND("-",LEFT(CH2680,8))),ISNUMBER(-LEFT(CH2680,8))),VALUE(LEFT(CH2680,4)),VALUE(LEFT(CH2680,FIND("-",CH2680)-1)))&lt;100,IF(AND(LEN(CH2680)=9,ISERROR(FIND("-",LEFT(CH2680,8))),ISNUMBER(-LEFT(CH2680,8))),VALUE(LEFT(CH2680,4)),VALUE(LEFT(CH2680,FIND("-",CH2680)-1)))+2000,IF(AND(LEN(CH2680)=9,ISERROR(FIND("-",LEFT(CH2680,8))),ISNUMBER(-LEFT(CH2680,8))),VALUE(LEFT(CH2680,4)),VALUE(LEFT(CH2680,FIND("-",CH2680)-1)))),""))</f>
        <v/>
      </c>
      <c r="CN2680">
        <f>IF(CH2680="","",IFERROR(IF(AND(LEN(CH2680)=9,ISERROR(FIND("-",LEFT(CH2680,8))),ISNUMBER(-LEFT(CH2680,8))),VALUE(MID(CH2680,5,2)),VALUE(MID(CH2680,FIND("-",CH2680)+1,FIND("-",CH2680,FIND("-",CH2680)+1)-FIND("-",CH2680)-1))),""))</f>
        <v/>
      </c>
      <c r="CO2680">
        <f>IF(CH2680="","",IFERROR(IF(AND(LEN(CH2680)=9,ISERROR(FIND("-",LEFT(CH2680,8))),ISNUMBER(-LEFT(CH2680,8))),VALUE(MID(CH2680,7,2)),VALUE(MID(CH2680,FIND("-",CH2680,FIND("-",CH2680)+1)+1,FIND("-",CH2680,FIND("-",CH2680,FIND("-",CH2680)+1)+1)-FIND("-",CH2680,FIND("-",CH2680)+1)-1))),""))</f>
        <v/>
      </c>
    </row>
    <row r="2681">
      <c r="CH2681">
        <f>IF(ISTEXT('월 가계부'!A2681),SUBSTITUTE(SUBSTITUTE(SUBSTITUTE(SUBSTITUTE(SUBSTITUTE(SUBSTITUTE(SUBSTITUTE(SUBSTITUTE(SUBSTITUTE(TRIM('월 가계부'!A2681),"년","-"),"월","-"),"일",""),".","-"),"/","-")," ","-"),"--","-"),"--","-"),"--","-")&amp;"-","")</f>
        <v/>
      </c>
      <c r="CI2681">
        <f>IFERROR(IF('월 가계부'!A2681="","",IF(ISNUMBER('월 가계부'!A2681),IF(AND('월 가계부'!A2681&gt;=19000101,'월 가계부'!A2681&lt;=21001231),IF(AND(MOD(INT('월 가계부'!A2681/100),100)&gt;=1,MOD(INT('월 가계부'!A2681/100),100)&lt;=12,MOD(INT('월 가계부'!A2681),100)&gt;=1,MOD(INT('월 가계부'!A2681),100)&lt;=31),IF(MONTH(DATE(INT('월 가계부'!A2681/10000),MOD(INT('월 가계부'!A2681/100),100),MOD(INT('월 가계부'!A2681),100)))=MOD(INT('월 가계부'!A2681/100),100),DATE(INT('월 가계부'!A2681/10000),MOD(INT('월 가계부'!A2681/100),100),MOD(INT('월 가계부'!A2681),100)),""),""),IF(AND('월 가계부'!A2681&gt;=36526,'월 가계부'!A2681&lt;73051),INT('월 가계부'!A2681),"")),IF(OR(CM2681="",CN2681="",CO2681=""),"",IF(AND(CM2681&gt;=2000,CM2681&lt;=2099,CN2681&gt;=1,CN2681&lt;=12,CO2681&gt;=1,CO2681&lt;=31),IF(MONTH(DATE(CM2681,CN2681,CO2681))=CN2681,DATE(CM2681,CN2681,CO2681),""),"")))),"")</f>
        <v/>
      </c>
      <c r="CJ2681">
        <f>IFERROR(IF('월 가계부'!C2681="","",IF(ISNUMBER('월 가계부'!C2681),'월 가계부'!C2681,VALUE(SUBSTITUTE(SUBSTITUTE(SUBSTITUTE(SUBSTITUTE(TRIM('월 가계부'!C2681),",",""),"원","")," ",""),"−","-")))),"")</f>
        <v/>
      </c>
      <c r="CK2681">
        <f>IF(ISNUMBER(CI2681),IF(CI2681&lt;$B$13,CI2681,""),"")</f>
        <v/>
      </c>
      <c r="CM2681">
        <f>IF(CH2681="","",IFERROR(IF(IF(AND(LEN(CH2681)=9,ISERROR(FIND("-",LEFT(CH2681,8))),ISNUMBER(-LEFT(CH2681,8))),VALUE(LEFT(CH2681,4)),VALUE(LEFT(CH2681,FIND("-",CH2681)-1)))&lt;100,IF(AND(LEN(CH2681)=9,ISERROR(FIND("-",LEFT(CH2681,8))),ISNUMBER(-LEFT(CH2681,8))),VALUE(LEFT(CH2681,4)),VALUE(LEFT(CH2681,FIND("-",CH2681)-1)))+2000,IF(AND(LEN(CH2681)=9,ISERROR(FIND("-",LEFT(CH2681,8))),ISNUMBER(-LEFT(CH2681,8))),VALUE(LEFT(CH2681,4)),VALUE(LEFT(CH2681,FIND("-",CH2681)-1)))),""))</f>
        <v/>
      </c>
      <c r="CN2681">
        <f>IF(CH2681="","",IFERROR(IF(AND(LEN(CH2681)=9,ISERROR(FIND("-",LEFT(CH2681,8))),ISNUMBER(-LEFT(CH2681,8))),VALUE(MID(CH2681,5,2)),VALUE(MID(CH2681,FIND("-",CH2681)+1,FIND("-",CH2681,FIND("-",CH2681)+1)-FIND("-",CH2681)-1))),""))</f>
        <v/>
      </c>
      <c r="CO2681">
        <f>IF(CH2681="","",IFERROR(IF(AND(LEN(CH2681)=9,ISERROR(FIND("-",LEFT(CH2681,8))),ISNUMBER(-LEFT(CH2681,8))),VALUE(MID(CH2681,7,2)),VALUE(MID(CH2681,FIND("-",CH2681,FIND("-",CH2681)+1)+1,FIND("-",CH2681,FIND("-",CH2681,FIND("-",CH2681)+1)+1)-FIND("-",CH2681,FIND("-",CH2681)+1)-1))),""))</f>
        <v/>
      </c>
    </row>
    <row r="2682">
      <c r="CH2682">
        <f>IF(ISTEXT('월 가계부'!A2682),SUBSTITUTE(SUBSTITUTE(SUBSTITUTE(SUBSTITUTE(SUBSTITUTE(SUBSTITUTE(SUBSTITUTE(SUBSTITUTE(SUBSTITUTE(TRIM('월 가계부'!A2682),"년","-"),"월","-"),"일",""),".","-"),"/","-")," ","-"),"--","-"),"--","-"),"--","-")&amp;"-","")</f>
        <v/>
      </c>
      <c r="CI2682">
        <f>IFERROR(IF('월 가계부'!A2682="","",IF(ISNUMBER('월 가계부'!A2682),IF(AND('월 가계부'!A2682&gt;=19000101,'월 가계부'!A2682&lt;=21001231),IF(AND(MOD(INT('월 가계부'!A2682/100),100)&gt;=1,MOD(INT('월 가계부'!A2682/100),100)&lt;=12,MOD(INT('월 가계부'!A2682),100)&gt;=1,MOD(INT('월 가계부'!A2682),100)&lt;=31),IF(MONTH(DATE(INT('월 가계부'!A2682/10000),MOD(INT('월 가계부'!A2682/100),100),MOD(INT('월 가계부'!A2682),100)))=MOD(INT('월 가계부'!A2682/100),100),DATE(INT('월 가계부'!A2682/10000),MOD(INT('월 가계부'!A2682/100),100),MOD(INT('월 가계부'!A2682),100)),""),""),IF(AND('월 가계부'!A2682&gt;=36526,'월 가계부'!A2682&lt;73051),INT('월 가계부'!A2682),"")),IF(OR(CM2682="",CN2682="",CO2682=""),"",IF(AND(CM2682&gt;=2000,CM2682&lt;=2099,CN2682&gt;=1,CN2682&lt;=12,CO2682&gt;=1,CO2682&lt;=31),IF(MONTH(DATE(CM2682,CN2682,CO2682))=CN2682,DATE(CM2682,CN2682,CO2682),""),"")))),"")</f>
        <v/>
      </c>
      <c r="CJ2682">
        <f>IFERROR(IF('월 가계부'!C2682="","",IF(ISNUMBER('월 가계부'!C2682),'월 가계부'!C2682,VALUE(SUBSTITUTE(SUBSTITUTE(SUBSTITUTE(SUBSTITUTE(TRIM('월 가계부'!C2682),",",""),"원","")," ",""),"−","-")))),"")</f>
        <v/>
      </c>
      <c r="CK2682">
        <f>IF(ISNUMBER(CI2682),IF(CI2682&lt;$B$13,CI2682,""),"")</f>
        <v/>
      </c>
      <c r="CM2682">
        <f>IF(CH2682="","",IFERROR(IF(IF(AND(LEN(CH2682)=9,ISERROR(FIND("-",LEFT(CH2682,8))),ISNUMBER(-LEFT(CH2682,8))),VALUE(LEFT(CH2682,4)),VALUE(LEFT(CH2682,FIND("-",CH2682)-1)))&lt;100,IF(AND(LEN(CH2682)=9,ISERROR(FIND("-",LEFT(CH2682,8))),ISNUMBER(-LEFT(CH2682,8))),VALUE(LEFT(CH2682,4)),VALUE(LEFT(CH2682,FIND("-",CH2682)-1)))+2000,IF(AND(LEN(CH2682)=9,ISERROR(FIND("-",LEFT(CH2682,8))),ISNUMBER(-LEFT(CH2682,8))),VALUE(LEFT(CH2682,4)),VALUE(LEFT(CH2682,FIND("-",CH2682)-1)))),""))</f>
        <v/>
      </c>
      <c r="CN2682">
        <f>IF(CH2682="","",IFERROR(IF(AND(LEN(CH2682)=9,ISERROR(FIND("-",LEFT(CH2682,8))),ISNUMBER(-LEFT(CH2682,8))),VALUE(MID(CH2682,5,2)),VALUE(MID(CH2682,FIND("-",CH2682)+1,FIND("-",CH2682,FIND("-",CH2682)+1)-FIND("-",CH2682)-1))),""))</f>
        <v/>
      </c>
      <c r="CO2682">
        <f>IF(CH2682="","",IFERROR(IF(AND(LEN(CH2682)=9,ISERROR(FIND("-",LEFT(CH2682,8))),ISNUMBER(-LEFT(CH2682,8))),VALUE(MID(CH2682,7,2)),VALUE(MID(CH2682,FIND("-",CH2682,FIND("-",CH2682)+1)+1,FIND("-",CH2682,FIND("-",CH2682,FIND("-",CH2682)+1)+1)-FIND("-",CH2682,FIND("-",CH2682)+1)-1))),""))</f>
        <v/>
      </c>
    </row>
    <row r="2683">
      <c r="CH2683">
        <f>IF(ISTEXT('월 가계부'!A2683),SUBSTITUTE(SUBSTITUTE(SUBSTITUTE(SUBSTITUTE(SUBSTITUTE(SUBSTITUTE(SUBSTITUTE(SUBSTITUTE(SUBSTITUTE(TRIM('월 가계부'!A2683),"년","-"),"월","-"),"일",""),".","-"),"/","-")," ","-"),"--","-"),"--","-"),"--","-")&amp;"-","")</f>
        <v/>
      </c>
      <c r="CI2683">
        <f>IFERROR(IF('월 가계부'!A2683="","",IF(ISNUMBER('월 가계부'!A2683),IF(AND('월 가계부'!A2683&gt;=19000101,'월 가계부'!A2683&lt;=21001231),IF(AND(MOD(INT('월 가계부'!A2683/100),100)&gt;=1,MOD(INT('월 가계부'!A2683/100),100)&lt;=12,MOD(INT('월 가계부'!A2683),100)&gt;=1,MOD(INT('월 가계부'!A2683),100)&lt;=31),IF(MONTH(DATE(INT('월 가계부'!A2683/10000),MOD(INT('월 가계부'!A2683/100),100),MOD(INT('월 가계부'!A2683),100)))=MOD(INT('월 가계부'!A2683/100),100),DATE(INT('월 가계부'!A2683/10000),MOD(INT('월 가계부'!A2683/100),100),MOD(INT('월 가계부'!A2683),100)),""),""),IF(AND('월 가계부'!A2683&gt;=36526,'월 가계부'!A2683&lt;73051),INT('월 가계부'!A2683),"")),IF(OR(CM2683="",CN2683="",CO2683=""),"",IF(AND(CM2683&gt;=2000,CM2683&lt;=2099,CN2683&gt;=1,CN2683&lt;=12,CO2683&gt;=1,CO2683&lt;=31),IF(MONTH(DATE(CM2683,CN2683,CO2683))=CN2683,DATE(CM2683,CN2683,CO2683),""),"")))),"")</f>
        <v/>
      </c>
      <c r="CJ2683">
        <f>IFERROR(IF('월 가계부'!C2683="","",IF(ISNUMBER('월 가계부'!C2683),'월 가계부'!C2683,VALUE(SUBSTITUTE(SUBSTITUTE(SUBSTITUTE(SUBSTITUTE(TRIM('월 가계부'!C2683),",",""),"원","")," ",""),"−","-")))),"")</f>
        <v/>
      </c>
      <c r="CK2683">
        <f>IF(ISNUMBER(CI2683),IF(CI2683&lt;$B$13,CI2683,""),"")</f>
        <v/>
      </c>
      <c r="CM2683">
        <f>IF(CH2683="","",IFERROR(IF(IF(AND(LEN(CH2683)=9,ISERROR(FIND("-",LEFT(CH2683,8))),ISNUMBER(-LEFT(CH2683,8))),VALUE(LEFT(CH2683,4)),VALUE(LEFT(CH2683,FIND("-",CH2683)-1)))&lt;100,IF(AND(LEN(CH2683)=9,ISERROR(FIND("-",LEFT(CH2683,8))),ISNUMBER(-LEFT(CH2683,8))),VALUE(LEFT(CH2683,4)),VALUE(LEFT(CH2683,FIND("-",CH2683)-1)))+2000,IF(AND(LEN(CH2683)=9,ISERROR(FIND("-",LEFT(CH2683,8))),ISNUMBER(-LEFT(CH2683,8))),VALUE(LEFT(CH2683,4)),VALUE(LEFT(CH2683,FIND("-",CH2683)-1)))),""))</f>
        <v/>
      </c>
      <c r="CN2683">
        <f>IF(CH2683="","",IFERROR(IF(AND(LEN(CH2683)=9,ISERROR(FIND("-",LEFT(CH2683,8))),ISNUMBER(-LEFT(CH2683,8))),VALUE(MID(CH2683,5,2)),VALUE(MID(CH2683,FIND("-",CH2683)+1,FIND("-",CH2683,FIND("-",CH2683)+1)-FIND("-",CH2683)-1))),""))</f>
        <v/>
      </c>
      <c r="CO2683">
        <f>IF(CH2683="","",IFERROR(IF(AND(LEN(CH2683)=9,ISERROR(FIND("-",LEFT(CH2683,8))),ISNUMBER(-LEFT(CH2683,8))),VALUE(MID(CH2683,7,2)),VALUE(MID(CH2683,FIND("-",CH2683,FIND("-",CH2683)+1)+1,FIND("-",CH2683,FIND("-",CH2683,FIND("-",CH2683)+1)+1)-FIND("-",CH2683,FIND("-",CH2683)+1)-1))),""))</f>
        <v/>
      </c>
    </row>
    <row r="2684">
      <c r="CH2684">
        <f>IF(ISTEXT('월 가계부'!A2684),SUBSTITUTE(SUBSTITUTE(SUBSTITUTE(SUBSTITUTE(SUBSTITUTE(SUBSTITUTE(SUBSTITUTE(SUBSTITUTE(SUBSTITUTE(TRIM('월 가계부'!A2684),"년","-"),"월","-"),"일",""),".","-"),"/","-")," ","-"),"--","-"),"--","-"),"--","-")&amp;"-","")</f>
        <v/>
      </c>
      <c r="CI2684">
        <f>IFERROR(IF('월 가계부'!A2684="","",IF(ISNUMBER('월 가계부'!A2684),IF(AND('월 가계부'!A2684&gt;=19000101,'월 가계부'!A2684&lt;=21001231),IF(AND(MOD(INT('월 가계부'!A2684/100),100)&gt;=1,MOD(INT('월 가계부'!A2684/100),100)&lt;=12,MOD(INT('월 가계부'!A2684),100)&gt;=1,MOD(INT('월 가계부'!A2684),100)&lt;=31),IF(MONTH(DATE(INT('월 가계부'!A2684/10000),MOD(INT('월 가계부'!A2684/100),100),MOD(INT('월 가계부'!A2684),100)))=MOD(INT('월 가계부'!A2684/100),100),DATE(INT('월 가계부'!A2684/10000),MOD(INT('월 가계부'!A2684/100),100),MOD(INT('월 가계부'!A2684),100)),""),""),IF(AND('월 가계부'!A2684&gt;=36526,'월 가계부'!A2684&lt;73051),INT('월 가계부'!A2684),"")),IF(OR(CM2684="",CN2684="",CO2684=""),"",IF(AND(CM2684&gt;=2000,CM2684&lt;=2099,CN2684&gt;=1,CN2684&lt;=12,CO2684&gt;=1,CO2684&lt;=31),IF(MONTH(DATE(CM2684,CN2684,CO2684))=CN2684,DATE(CM2684,CN2684,CO2684),""),"")))),"")</f>
        <v/>
      </c>
      <c r="CJ2684">
        <f>IFERROR(IF('월 가계부'!C2684="","",IF(ISNUMBER('월 가계부'!C2684),'월 가계부'!C2684,VALUE(SUBSTITUTE(SUBSTITUTE(SUBSTITUTE(SUBSTITUTE(TRIM('월 가계부'!C2684),",",""),"원","")," ",""),"−","-")))),"")</f>
        <v/>
      </c>
      <c r="CK2684">
        <f>IF(ISNUMBER(CI2684),IF(CI2684&lt;$B$13,CI2684,""),"")</f>
        <v/>
      </c>
      <c r="CM2684">
        <f>IF(CH2684="","",IFERROR(IF(IF(AND(LEN(CH2684)=9,ISERROR(FIND("-",LEFT(CH2684,8))),ISNUMBER(-LEFT(CH2684,8))),VALUE(LEFT(CH2684,4)),VALUE(LEFT(CH2684,FIND("-",CH2684)-1)))&lt;100,IF(AND(LEN(CH2684)=9,ISERROR(FIND("-",LEFT(CH2684,8))),ISNUMBER(-LEFT(CH2684,8))),VALUE(LEFT(CH2684,4)),VALUE(LEFT(CH2684,FIND("-",CH2684)-1)))+2000,IF(AND(LEN(CH2684)=9,ISERROR(FIND("-",LEFT(CH2684,8))),ISNUMBER(-LEFT(CH2684,8))),VALUE(LEFT(CH2684,4)),VALUE(LEFT(CH2684,FIND("-",CH2684)-1)))),""))</f>
        <v/>
      </c>
      <c r="CN2684">
        <f>IF(CH2684="","",IFERROR(IF(AND(LEN(CH2684)=9,ISERROR(FIND("-",LEFT(CH2684,8))),ISNUMBER(-LEFT(CH2684,8))),VALUE(MID(CH2684,5,2)),VALUE(MID(CH2684,FIND("-",CH2684)+1,FIND("-",CH2684,FIND("-",CH2684)+1)-FIND("-",CH2684)-1))),""))</f>
        <v/>
      </c>
      <c r="CO2684">
        <f>IF(CH2684="","",IFERROR(IF(AND(LEN(CH2684)=9,ISERROR(FIND("-",LEFT(CH2684,8))),ISNUMBER(-LEFT(CH2684,8))),VALUE(MID(CH2684,7,2)),VALUE(MID(CH2684,FIND("-",CH2684,FIND("-",CH2684)+1)+1,FIND("-",CH2684,FIND("-",CH2684,FIND("-",CH2684)+1)+1)-FIND("-",CH2684,FIND("-",CH2684)+1)-1))),""))</f>
        <v/>
      </c>
    </row>
    <row r="2685">
      <c r="CH2685">
        <f>IF(ISTEXT('월 가계부'!A2685),SUBSTITUTE(SUBSTITUTE(SUBSTITUTE(SUBSTITUTE(SUBSTITUTE(SUBSTITUTE(SUBSTITUTE(SUBSTITUTE(SUBSTITUTE(TRIM('월 가계부'!A2685),"년","-"),"월","-"),"일",""),".","-"),"/","-")," ","-"),"--","-"),"--","-"),"--","-")&amp;"-","")</f>
        <v/>
      </c>
      <c r="CI2685">
        <f>IFERROR(IF('월 가계부'!A2685="","",IF(ISNUMBER('월 가계부'!A2685),IF(AND('월 가계부'!A2685&gt;=19000101,'월 가계부'!A2685&lt;=21001231),IF(AND(MOD(INT('월 가계부'!A2685/100),100)&gt;=1,MOD(INT('월 가계부'!A2685/100),100)&lt;=12,MOD(INT('월 가계부'!A2685),100)&gt;=1,MOD(INT('월 가계부'!A2685),100)&lt;=31),IF(MONTH(DATE(INT('월 가계부'!A2685/10000),MOD(INT('월 가계부'!A2685/100),100),MOD(INT('월 가계부'!A2685),100)))=MOD(INT('월 가계부'!A2685/100),100),DATE(INT('월 가계부'!A2685/10000),MOD(INT('월 가계부'!A2685/100),100),MOD(INT('월 가계부'!A2685),100)),""),""),IF(AND('월 가계부'!A2685&gt;=36526,'월 가계부'!A2685&lt;73051),INT('월 가계부'!A2685),"")),IF(OR(CM2685="",CN2685="",CO2685=""),"",IF(AND(CM2685&gt;=2000,CM2685&lt;=2099,CN2685&gt;=1,CN2685&lt;=12,CO2685&gt;=1,CO2685&lt;=31),IF(MONTH(DATE(CM2685,CN2685,CO2685))=CN2685,DATE(CM2685,CN2685,CO2685),""),"")))),"")</f>
        <v/>
      </c>
      <c r="CJ2685">
        <f>IFERROR(IF('월 가계부'!C2685="","",IF(ISNUMBER('월 가계부'!C2685),'월 가계부'!C2685,VALUE(SUBSTITUTE(SUBSTITUTE(SUBSTITUTE(SUBSTITUTE(TRIM('월 가계부'!C2685),",",""),"원","")," ",""),"−","-")))),"")</f>
        <v/>
      </c>
      <c r="CK2685">
        <f>IF(ISNUMBER(CI2685),IF(CI2685&lt;$B$13,CI2685,""),"")</f>
        <v/>
      </c>
      <c r="CM2685">
        <f>IF(CH2685="","",IFERROR(IF(IF(AND(LEN(CH2685)=9,ISERROR(FIND("-",LEFT(CH2685,8))),ISNUMBER(-LEFT(CH2685,8))),VALUE(LEFT(CH2685,4)),VALUE(LEFT(CH2685,FIND("-",CH2685)-1)))&lt;100,IF(AND(LEN(CH2685)=9,ISERROR(FIND("-",LEFT(CH2685,8))),ISNUMBER(-LEFT(CH2685,8))),VALUE(LEFT(CH2685,4)),VALUE(LEFT(CH2685,FIND("-",CH2685)-1)))+2000,IF(AND(LEN(CH2685)=9,ISERROR(FIND("-",LEFT(CH2685,8))),ISNUMBER(-LEFT(CH2685,8))),VALUE(LEFT(CH2685,4)),VALUE(LEFT(CH2685,FIND("-",CH2685)-1)))),""))</f>
        <v/>
      </c>
      <c r="CN2685">
        <f>IF(CH2685="","",IFERROR(IF(AND(LEN(CH2685)=9,ISERROR(FIND("-",LEFT(CH2685,8))),ISNUMBER(-LEFT(CH2685,8))),VALUE(MID(CH2685,5,2)),VALUE(MID(CH2685,FIND("-",CH2685)+1,FIND("-",CH2685,FIND("-",CH2685)+1)-FIND("-",CH2685)-1))),""))</f>
        <v/>
      </c>
      <c r="CO2685">
        <f>IF(CH2685="","",IFERROR(IF(AND(LEN(CH2685)=9,ISERROR(FIND("-",LEFT(CH2685,8))),ISNUMBER(-LEFT(CH2685,8))),VALUE(MID(CH2685,7,2)),VALUE(MID(CH2685,FIND("-",CH2685,FIND("-",CH2685)+1)+1,FIND("-",CH2685,FIND("-",CH2685,FIND("-",CH2685)+1)+1)-FIND("-",CH2685,FIND("-",CH2685)+1)-1))),""))</f>
        <v/>
      </c>
    </row>
    <row r="2686">
      <c r="CH2686">
        <f>IF(ISTEXT('월 가계부'!A2686),SUBSTITUTE(SUBSTITUTE(SUBSTITUTE(SUBSTITUTE(SUBSTITUTE(SUBSTITUTE(SUBSTITUTE(SUBSTITUTE(SUBSTITUTE(TRIM('월 가계부'!A2686),"년","-"),"월","-"),"일",""),".","-"),"/","-")," ","-"),"--","-"),"--","-"),"--","-")&amp;"-","")</f>
        <v/>
      </c>
      <c r="CI2686">
        <f>IFERROR(IF('월 가계부'!A2686="","",IF(ISNUMBER('월 가계부'!A2686),IF(AND('월 가계부'!A2686&gt;=19000101,'월 가계부'!A2686&lt;=21001231),IF(AND(MOD(INT('월 가계부'!A2686/100),100)&gt;=1,MOD(INT('월 가계부'!A2686/100),100)&lt;=12,MOD(INT('월 가계부'!A2686),100)&gt;=1,MOD(INT('월 가계부'!A2686),100)&lt;=31),IF(MONTH(DATE(INT('월 가계부'!A2686/10000),MOD(INT('월 가계부'!A2686/100),100),MOD(INT('월 가계부'!A2686),100)))=MOD(INT('월 가계부'!A2686/100),100),DATE(INT('월 가계부'!A2686/10000),MOD(INT('월 가계부'!A2686/100),100),MOD(INT('월 가계부'!A2686),100)),""),""),IF(AND('월 가계부'!A2686&gt;=36526,'월 가계부'!A2686&lt;73051),INT('월 가계부'!A2686),"")),IF(OR(CM2686="",CN2686="",CO2686=""),"",IF(AND(CM2686&gt;=2000,CM2686&lt;=2099,CN2686&gt;=1,CN2686&lt;=12,CO2686&gt;=1,CO2686&lt;=31),IF(MONTH(DATE(CM2686,CN2686,CO2686))=CN2686,DATE(CM2686,CN2686,CO2686),""),"")))),"")</f>
        <v/>
      </c>
      <c r="CJ2686">
        <f>IFERROR(IF('월 가계부'!C2686="","",IF(ISNUMBER('월 가계부'!C2686),'월 가계부'!C2686,VALUE(SUBSTITUTE(SUBSTITUTE(SUBSTITUTE(SUBSTITUTE(TRIM('월 가계부'!C2686),",",""),"원","")," ",""),"−","-")))),"")</f>
        <v/>
      </c>
      <c r="CK2686">
        <f>IF(ISNUMBER(CI2686),IF(CI2686&lt;$B$13,CI2686,""),"")</f>
        <v/>
      </c>
      <c r="CM2686">
        <f>IF(CH2686="","",IFERROR(IF(IF(AND(LEN(CH2686)=9,ISERROR(FIND("-",LEFT(CH2686,8))),ISNUMBER(-LEFT(CH2686,8))),VALUE(LEFT(CH2686,4)),VALUE(LEFT(CH2686,FIND("-",CH2686)-1)))&lt;100,IF(AND(LEN(CH2686)=9,ISERROR(FIND("-",LEFT(CH2686,8))),ISNUMBER(-LEFT(CH2686,8))),VALUE(LEFT(CH2686,4)),VALUE(LEFT(CH2686,FIND("-",CH2686)-1)))+2000,IF(AND(LEN(CH2686)=9,ISERROR(FIND("-",LEFT(CH2686,8))),ISNUMBER(-LEFT(CH2686,8))),VALUE(LEFT(CH2686,4)),VALUE(LEFT(CH2686,FIND("-",CH2686)-1)))),""))</f>
        <v/>
      </c>
      <c r="CN2686">
        <f>IF(CH2686="","",IFERROR(IF(AND(LEN(CH2686)=9,ISERROR(FIND("-",LEFT(CH2686,8))),ISNUMBER(-LEFT(CH2686,8))),VALUE(MID(CH2686,5,2)),VALUE(MID(CH2686,FIND("-",CH2686)+1,FIND("-",CH2686,FIND("-",CH2686)+1)-FIND("-",CH2686)-1))),""))</f>
        <v/>
      </c>
      <c r="CO2686">
        <f>IF(CH2686="","",IFERROR(IF(AND(LEN(CH2686)=9,ISERROR(FIND("-",LEFT(CH2686,8))),ISNUMBER(-LEFT(CH2686,8))),VALUE(MID(CH2686,7,2)),VALUE(MID(CH2686,FIND("-",CH2686,FIND("-",CH2686)+1)+1,FIND("-",CH2686,FIND("-",CH2686,FIND("-",CH2686)+1)+1)-FIND("-",CH2686,FIND("-",CH2686)+1)-1))),""))</f>
        <v/>
      </c>
    </row>
    <row r="2687">
      <c r="CH2687">
        <f>IF(ISTEXT('월 가계부'!A2687),SUBSTITUTE(SUBSTITUTE(SUBSTITUTE(SUBSTITUTE(SUBSTITUTE(SUBSTITUTE(SUBSTITUTE(SUBSTITUTE(SUBSTITUTE(TRIM('월 가계부'!A2687),"년","-"),"월","-"),"일",""),".","-"),"/","-")," ","-"),"--","-"),"--","-"),"--","-")&amp;"-","")</f>
        <v/>
      </c>
      <c r="CI2687">
        <f>IFERROR(IF('월 가계부'!A2687="","",IF(ISNUMBER('월 가계부'!A2687),IF(AND('월 가계부'!A2687&gt;=19000101,'월 가계부'!A2687&lt;=21001231),IF(AND(MOD(INT('월 가계부'!A2687/100),100)&gt;=1,MOD(INT('월 가계부'!A2687/100),100)&lt;=12,MOD(INT('월 가계부'!A2687),100)&gt;=1,MOD(INT('월 가계부'!A2687),100)&lt;=31),IF(MONTH(DATE(INT('월 가계부'!A2687/10000),MOD(INT('월 가계부'!A2687/100),100),MOD(INT('월 가계부'!A2687),100)))=MOD(INT('월 가계부'!A2687/100),100),DATE(INT('월 가계부'!A2687/10000),MOD(INT('월 가계부'!A2687/100),100),MOD(INT('월 가계부'!A2687),100)),""),""),IF(AND('월 가계부'!A2687&gt;=36526,'월 가계부'!A2687&lt;73051),INT('월 가계부'!A2687),"")),IF(OR(CM2687="",CN2687="",CO2687=""),"",IF(AND(CM2687&gt;=2000,CM2687&lt;=2099,CN2687&gt;=1,CN2687&lt;=12,CO2687&gt;=1,CO2687&lt;=31),IF(MONTH(DATE(CM2687,CN2687,CO2687))=CN2687,DATE(CM2687,CN2687,CO2687),""),"")))),"")</f>
        <v/>
      </c>
      <c r="CJ2687">
        <f>IFERROR(IF('월 가계부'!C2687="","",IF(ISNUMBER('월 가계부'!C2687),'월 가계부'!C2687,VALUE(SUBSTITUTE(SUBSTITUTE(SUBSTITUTE(SUBSTITUTE(TRIM('월 가계부'!C2687),",",""),"원","")," ",""),"−","-")))),"")</f>
        <v/>
      </c>
      <c r="CK2687">
        <f>IF(ISNUMBER(CI2687),IF(CI2687&lt;$B$13,CI2687,""),"")</f>
        <v/>
      </c>
      <c r="CM2687">
        <f>IF(CH2687="","",IFERROR(IF(IF(AND(LEN(CH2687)=9,ISERROR(FIND("-",LEFT(CH2687,8))),ISNUMBER(-LEFT(CH2687,8))),VALUE(LEFT(CH2687,4)),VALUE(LEFT(CH2687,FIND("-",CH2687)-1)))&lt;100,IF(AND(LEN(CH2687)=9,ISERROR(FIND("-",LEFT(CH2687,8))),ISNUMBER(-LEFT(CH2687,8))),VALUE(LEFT(CH2687,4)),VALUE(LEFT(CH2687,FIND("-",CH2687)-1)))+2000,IF(AND(LEN(CH2687)=9,ISERROR(FIND("-",LEFT(CH2687,8))),ISNUMBER(-LEFT(CH2687,8))),VALUE(LEFT(CH2687,4)),VALUE(LEFT(CH2687,FIND("-",CH2687)-1)))),""))</f>
        <v/>
      </c>
      <c r="CN2687">
        <f>IF(CH2687="","",IFERROR(IF(AND(LEN(CH2687)=9,ISERROR(FIND("-",LEFT(CH2687,8))),ISNUMBER(-LEFT(CH2687,8))),VALUE(MID(CH2687,5,2)),VALUE(MID(CH2687,FIND("-",CH2687)+1,FIND("-",CH2687,FIND("-",CH2687)+1)-FIND("-",CH2687)-1))),""))</f>
        <v/>
      </c>
      <c r="CO2687">
        <f>IF(CH2687="","",IFERROR(IF(AND(LEN(CH2687)=9,ISERROR(FIND("-",LEFT(CH2687,8))),ISNUMBER(-LEFT(CH2687,8))),VALUE(MID(CH2687,7,2)),VALUE(MID(CH2687,FIND("-",CH2687,FIND("-",CH2687)+1)+1,FIND("-",CH2687,FIND("-",CH2687,FIND("-",CH2687)+1)+1)-FIND("-",CH2687,FIND("-",CH2687)+1)-1))),""))</f>
        <v/>
      </c>
    </row>
    <row r="2688">
      <c r="CH2688">
        <f>IF(ISTEXT('월 가계부'!A2688),SUBSTITUTE(SUBSTITUTE(SUBSTITUTE(SUBSTITUTE(SUBSTITUTE(SUBSTITUTE(SUBSTITUTE(SUBSTITUTE(SUBSTITUTE(TRIM('월 가계부'!A2688),"년","-"),"월","-"),"일",""),".","-"),"/","-")," ","-"),"--","-"),"--","-"),"--","-")&amp;"-","")</f>
        <v/>
      </c>
      <c r="CI2688">
        <f>IFERROR(IF('월 가계부'!A2688="","",IF(ISNUMBER('월 가계부'!A2688),IF(AND('월 가계부'!A2688&gt;=19000101,'월 가계부'!A2688&lt;=21001231),IF(AND(MOD(INT('월 가계부'!A2688/100),100)&gt;=1,MOD(INT('월 가계부'!A2688/100),100)&lt;=12,MOD(INT('월 가계부'!A2688),100)&gt;=1,MOD(INT('월 가계부'!A2688),100)&lt;=31),IF(MONTH(DATE(INT('월 가계부'!A2688/10000),MOD(INT('월 가계부'!A2688/100),100),MOD(INT('월 가계부'!A2688),100)))=MOD(INT('월 가계부'!A2688/100),100),DATE(INT('월 가계부'!A2688/10000),MOD(INT('월 가계부'!A2688/100),100),MOD(INT('월 가계부'!A2688),100)),""),""),IF(AND('월 가계부'!A2688&gt;=36526,'월 가계부'!A2688&lt;73051),INT('월 가계부'!A2688),"")),IF(OR(CM2688="",CN2688="",CO2688=""),"",IF(AND(CM2688&gt;=2000,CM2688&lt;=2099,CN2688&gt;=1,CN2688&lt;=12,CO2688&gt;=1,CO2688&lt;=31),IF(MONTH(DATE(CM2688,CN2688,CO2688))=CN2688,DATE(CM2688,CN2688,CO2688),""),"")))),"")</f>
        <v/>
      </c>
      <c r="CJ2688">
        <f>IFERROR(IF('월 가계부'!C2688="","",IF(ISNUMBER('월 가계부'!C2688),'월 가계부'!C2688,VALUE(SUBSTITUTE(SUBSTITUTE(SUBSTITUTE(SUBSTITUTE(TRIM('월 가계부'!C2688),",",""),"원","")," ",""),"−","-")))),"")</f>
        <v/>
      </c>
      <c r="CK2688">
        <f>IF(ISNUMBER(CI2688),IF(CI2688&lt;$B$13,CI2688,""),"")</f>
        <v/>
      </c>
      <c r="CM2688">
        <f>IF(CH2688="","",IFERROR(IF(IF(AND(LEN(CH2688)=9,ISERROR(FIND("-",LEFT(CH2688,8))),ISNUMBER(-LEFT(CH2688,8))),VALUE(LEFT(CH2688,4)),VALUE(LEFT(CH2688,FIND("-",CH2688)-1)))&lt;100,IF(AND(LEN(CH2688)=9,ISERROR(FIND("-",LEFT(CH2688,8))),ISNUMBER(-LEFT(CH2688,8))),VALUE(LEFT(CH2688,4)),VALUE(LEFT(CH2688,FIND("-",CH2688)-1)))+2000,IF(AND(LEN(CH2688)=9,ISERROR(FIND("-",LEFT(CH2688,8))),ISNUMBER(-LEFT(CH2688,8))),VALUE(LEFT(CH2688,4)),VALUE(LEFT(CH2688,FIND("-",CH2688)-1)))),""))</f>
        <v/>
      </c>
      <c r="CN2688">
        <f>IF(CH2688="","",IFERROR(IF(AND(LEN(CH2688)=9,ISERROR(FIND("-",LEFT(CH2688,8))),ISNUMBER(-LEFT(CH2688,8))),VALUE(MID(CH2688,5,2)),VALUE(MID(CH2688,FIND("-",CH2688)+1,FIND("-",CH2688,FIND("-",CH2688)+1)-FIND("-",CH2688)-1))),""))</f>
        <v/>
      </c>
      <c r="CO2688">
        <f>IF(CH2688="","",IFERROR(IF(AND(LEN(CH2688)=9,ISERROR(FIND("-",LEFT(CH2688,8))),ISNUMBER(-LEFT(CH2688,8))),VALUE(MID(CH2688,7,2)),VALUE(MID(CH2688,FIND("-",CH2688,FIND("-",CH2688)+1)+1,FIND("-",CH2688,FIND("-",CH2688,FIND("-",CH2688)+1)+1)-FIND("-",CH2688,FIND("-",CH2688)+1)-1))),""))</f>
        <v/>
      </c>
    </row>
    <row r="2689">
      <c r="CH2689">
        <f>IF(ISTEXT('월 가계부'!A2689),SUBSTITUTE(SUBSTITUTE(SUBSTITUTE(SUBSTITUTE(SUBSTITUTE(SUBSTITUTE(SUBSTITUTE(SUBSTITUTE(SUBSTITUTE(TRIM('월 가계부'!A2689),"년","-"),"월","-"),"일",""),".","-"),"/","-")," ","-"),"--","-"),"--","-"),"--","-")&amp;"-","")</f>
        <v/>
      </c>
      <c r="CI2689">
        <f>IFERROR(IF('월 가계부'!A2689="","",IF(ISNUMBER('월 가계부'!A2689),IF(AND('월 가계부'!A2689&gt;=19000101,'월 가계부'!A2689&lt;=21001231),IF(AND(MOD(INT('월 가계부'!A2689/100),100)&gt;=1,MOD(INT('월 가계부'!A2689/100),100)&lt;=12,MOD(INT('월 가계부'!A2689),100)&gt;=1,MOD(INT('월 가계부'!A2689),100)&lt;=31),IF(MONTH(DATE(INT('월 가계부'!A2689/10000),MOD(INT('월 가계부'!A2689/100),100),MOD(INT('월 가계부'!A2689),100)))=MOD(INT('월 가계부'!A2689/100),100),DATE(INT('월 가계부'!A2689/10000),MOD(INT('월 가계부'!A2689/100),100),MOD(INT('월 가계부'!A2689),100)),""),""),IF(AND('월 가계부'!A2689&gt;=36526,'월 가계부'!A2689&lt;73051),INT('월 가계부'!A2689),"")),IF(OR(CM2689="",CN2689="",CO2689=""),"",IF(AND(CM2689&gt;=2000,CM2689&lt;=2099,CN2689&gt;=1,CN2689&lt;=12,CO2689&gt;=1,CO2689&lt;=31),IF(MONTH(DATE(CM2689,CN2689,CO2689))=CN2689,DATE(CM2689,CN2689,CO2689),""),"")))),"")</f>
        <v/>
      </c>
      <c r="CJ2689">
        <f>IFERROR(IF('월 가계부'!C2689="","",IF(ISNUMBER('월 가계부'!C2689),'월 가계부'!C2689,VALUE(SUBSTITUTE(SUBSTITUTE(SUBSTITUTE(SUBSTITUTE(TRIM('월 가계부'!C2689),",",""),"원","")," ",""),"−","-")))),"")</f>
        <v/>
      </c>
      <c r="CK2689">
        <f>IF(ISNUMBER(CI2689),IF(CI2689&lt;$B$13,CI2689,""),"")</f>
        <v/>
      </c>
      <c r="CM2689">
        <f>IF(CH2689="","",IFERROR(IF(IF(AND(LEN(CH2689)=9,ISERROR(FIND("-",LEFT(CH2689,8))),ISNUMBER(-LEFT(CH2689,8))),VALUE(LEFT(CH2689,4)),VALUE(LEFT(CH2689,FIND("-",CH2689)-1)))&lt;100,IF(AND(LEN(CH2689)=9,ISERROR(FIND("-",LEFT(CH2689,8))),ISNUMBER(-LEFT(CH2689,8))),VALUE(LEFT(CH2689,4)),VALUE(LEFT(CH2689,FIND("-",CH2689)-1)))+2000,IF(AND(LEN(CH2689)=9,ISERROR(FIND("-",LEFT(CH2689,8))),ISNUMBER(-LEFT(CH2689,8))),VALUE(LEFT(CH2689,4)),VALUE(LEFT(CH2689,FIND("-",CH2689)-1)))),""))</f>
        <v/>
      </c>
      <c r="CN2689">
        <f>IF(CH2689="","",IFERROR(IF(AND(LEN(CH2689)=9,ISERROR(FIND("-",LEFT(CH2689,8))),ISNUMBER(-LEFT(CH2689,8))),VALUE(MID(CH2689,5,2)),VALUE(MID(CH2689,FIND("-",CH2689)+1,FIND("-",CH2689,FIND("-",CH2689)+1)-FIND("-",CH2689)-1))),""))</f>
        <v/>
      </c>
      <c r="CO2689">
        <f>IF(CH2689="","",IFERROR(IF(AND(LEN(CH2689)=9,ISERROR(FIND("-",LEFT(CH2689,8))),ISNUMBER(-LEFT(CH2689,8))),VALUE(MID(CH2689,7,2)),VALUE(MID(CH2689,FIND("-",CH2689,FIND("-",CH2689)+1)+1,FIND("-",CH2689,FIND("-",CH2689,FIND("-",CH2689)+1)+1)-FIND("-",CH2689,FIND("-",CH2689)+1)-1))),""))</f>
        <v/>
      </c>
    </row>
    <row r="2690">
      <c r="CH2690">
        <f>IF(ISTEXT('월 가계부'!A2690),SUBSTITUTE(SUBSTITUTE(SUBSTITUTE(SUBSTITUTE(SUBSTITUTE(SUBSTITUTE(SUBSTITUTE(SUBSTITUTE(SUBSTITUTE(TRIM('월 가계부'!A2690),"년","-"),"월","-"),"일",""),".","-"),"/","-")," ","-"),"--","-"),"--","-"),"--","-")&amp;"-","")</f>
        <v/>
      </c>
      <c r="CI2690">
        <f>IFERROR(IF('월 가계부'!A2690="","",IF(ISNUMBER('월 가계부'!A2690),IF(AND('월 가계부'!A2690&gt;=19000101,'월 가계부'!A2690&lt;=21001231),IF(AND(MOD(INT('월 가계부'!A2690/100),100)&gt;=1,MOD(INT('월 가계부'!A2690/100),100)&lt;=12,MOD(INT('월 가계부'!A2690),100)&gt;=1,MOD(INT('월 가계부'!A2690),100)&lt;=31),IF(MONTH(DATE(INT('월 가계부'!A2690/10000),MOD(INT('월 가계부'!A2690/100),100),MOD(INT('월 가계부'!A2690),100)))=MOD(INT('월 가계부'!A2690/100),100),DATE(INT('월 가계부'!A2690/10000),MOD(INT('월 가계부'!A2690/100),100),MOD(INT('월 가계부'!A2690),100)),""),""),IF(AND('월 가계부'!A2690&gt;=36526,'월 가계부'!A2690&lt;73051),INT('월 가계부'!A2690),"")),IF(OR(CM2690="",CN2690="",CO2690=""),"",IF(AND(CM2690&gt;=2000,CM2690&lt;=2099,CN2690&gt;=1,CN2690&lt;=12,CO2690&gt;=1,CO2690&lt;=31),IF(MONTH(DATE(CM2690,CN2690,CO2690))=CN2690,DATE(CM2690,CN2690,CO2690),""),"")))),"")</f>
        <v/>
      </c>
      <c r="CJ2690">
        <f>IFERROR(IF('월 가계부'!C2690="","",IF(ISNUMBER('월 가계부'!C2690),'월 가계부'!C2690,VALUE(SUBSTITUTE(SUBSTITUTE(SUBSTITUTE(SUBSTITUTE(TRIM('월 가계부'!C2690),",",""),"원","")," ",""),"−","-")))),"")</f>
        <v/>
      </c>
      <c r="CK2690">
        <f>IF(ISNUMBER(CI2690),IF(CI2690&lt;$B$13,CI2690,""),"")</f>
        <v/>
      </c>
      <c r="CM2690">
        <f>IF(CH2690="","",IFERROR(IF(IF(AND(LEN(CH2690)=9,ISERROR(FIND("-",LEFT(CH2690,8))),ISNUMBER(-LEFT(CH2690,8))),VALUE(LEFT(CH2690,4)),VALUE(LEFT(CH2690,FIND("-",CH2690)-1)))&lt;100,IF(AND(LEN(CH2690)=9,ISERROR(FIND("-",LEFT(CH2690,8))),ISNUMBER(-LEFT(CH2690,8))),VALUE(LEFT(CH2690,4)),VALUE(LEFT(CH2690,FIND("-",CH2690)-1)))+2000,IF(AND(LEN(CH2690)=9,ISERROR(FIND("-",LEFT(CH2690,8))),ISNUMBER(-LEFT(CH2690,8))),VALUE(LEFT(CH2690,4)),VALUE(LEFT(CH2690,FIND("-",CH2690)-1)))),""))</f>
        <v/>
      </c>
      <c r="CN2690">
        <f>IF(CH2690="","",IFERROR(IF(AND(LEN(CH2690)=9,ISERROR(FIND("-",LEFT(CH2690,8))),ISNUMBER(-LEFT(CH2690,8))),VALUE(MID(CH2690,5,2)),VALUE(MID(CH2690,FIND("-",CH2690)+1,FIND("-",CH2690,FIND("-",CH2690)+1)-FIND("-",CH2690)-1))),""))</f>
        <v/>
      </c>
      <c r="CO2690">
        <f>IF(CH2690="","",IFERROR(IF(AND(LEN(CH2690)=9,ISERROR(FIND("-",LEFT(CH2690,8))),ISNUMBER(-LEFT(CH2690,8))),VALUE(MID(CH2690,7,2)),VALUE(MID(CH2690,FIND("-",CH2690,FIND("-",CH2690)+1)+1,FIND("-",CH2690,FIND("-",CH2690,FIND("-",CH2690)+1)+1)-FIND("-",CH2690,FIND("-",CH2690)+1)-1))),""))</f>
        <v/>
      </c>
    </row>
    <row r="2691">
      <c r="CH2691">
        <f>IF(ISTEXT('월 가계부'!A2691),SUBSTITUTE(SUBSTITUTE(SUBSTITUTE(SUBSTITUTE(SUBSTITUTE(SUBSTITUTE(SUBSTITUTE(SUBSTITUTE(SUBSTITUTE(TRIM('월 가계부'!A2691),"년","-"),"월","-"),"일",""),".","-"),"/","-")," ","-"),"--","-"),"--","-"),"--","-")&amp;"-","")</f>
        <v/>
      </c>
      <c r="CI2691">
        <f>IFERROR(IF('월 가계부'!A2691="","",IF(ISNUMBER('월 가계부'!A2691),IF(AND('월 가계부'!A2691&gt;=19000101,'월 가계부'!A2691&lt;=21001231),IF(AND(MOD(INT('월 가계부'!A2691/100),100)&gt;=1,MOD(INT('월 가계부'!A2691/100),100)&lt;=12,MOD(INT('월 가계부'!A2691),100)&gt;=1,MOD(INT('월 가계부'!A2691),100)&lt;=31),IF(MONTH(DATE(INT('월 가계부'!A2691/10000),MOD(INT('월 가계부'!A2691/100),100),MOD(INT('월 가계부'!A2691),100)))=MOD(INT('월 가계부'!A2691/100),100),DATE(INT('월 가계부'!A2691/10000),MOD(INT('월 가계부'!A2691/100),100),MOD(INT('월 가계부'!A2691),100)),""),""),IF(AND('월 가계부'!A2691&gt;=36526,'월 가계부'!A2691&lt;73051),INT('월 가계부'!A2691),"")),IF(OR(CM2691="",CN2691="",CO2691=""),"",IF(AND(CM2691&gt;=2000,CM2691&lt;=2099,CN2691&gt;=1,CN2691&lt;=12,CO2691&gt;=1,CO2691&lt;=31),IF(MONTH(DATE(CM2691,CN2691,CO2691))=CN2691,DATE(CM2691,CN2691,CO2691),""),"")))),"")</f>
        <v/>
      </c>
      <c r="CJ2691">
        <f>IFERROR(IF('월 가계부'!C2691="","",IF(ISNUMBER('월 가계부'!C2691),'월 가계부'!C2691,VALUE(SUBSTITUTE(SUBSTITUTE(SUBSTITUTE(SUBSTITUTE(TRIM('월 가계부'!C2691),",",""),"원","")," ",""),"−","-")))),"")</f>
        <v/>
      </c>
      <c r="CK2691">
        <f>IF(ISNUMBER(CI2691),IF(CI2691&lt;$B$13,CI2691,""),"")</f>
        <v/>
      </c>
      <c r="CM2691">
        <f>IF(CH2691="","",IFERROR(IF(IF(AND(LEN(CH2691)=9,ISERROR(FIND("-",LEFT(CH2691,8))),ISNUMBER(-LEFT(CH2691,8))),VALUE(LEFT(CH2691,4)),VALUE(LEFT(CH2691,FIND("-",CH2691)-1)))&lt;100,IF(AND(LEN(CH2691)=9,ISERROR(FIND("-",LEFT(CH2691,8))),ISNUMBER(-LEFT(CH2691,8))),VALUE(LEFT(CH2691,4)),VALUE(LEFT(CH2691,FIND("-",CH2691)-1)))+2000,IF(AND(LEN(CH2691)=9,ISERROR(FIND("-",LEFT(CH2691,8))),ISNUMBER(-LEFT(CH2691,8))),VALUE(LEFT(CH2691,4)),VALUE(LEFT(CH2691,FIND("-",CH2691)-1)))),""))</f>
        <v/>
      </c>
      <c r="CN2691">
        <f>IF(CH2691="","",IFERROR(IF(AND(LEN(CH2691)=9,ISERROR(FIND("-",LEFT(CH2691,8))),ISNUMBER(-LEFT(CH2691,8))),VALUE(MID(CH2691,5,2)),VALUE(MID(CH2691,FIND("-",CH2691)+1,FIND("-",CH2691,FIND("-",CH2691)+1)-FIND("-",CH2691)-1))),""))</f>
        <v/>
      </c>
      <c r="CO2691">
        <f>IF(CH2691="","",IFERROR(IF(AND(LEN(CH2691)=9,ISERROR(FIND("-",LEFT(CH2691,8))),ISNUMBER(-LEFT(CH2691,8))),VALUE(MID(CH2691,7,2)),VALUE(MID(CH2691,FIND("-",CH2691,FIND("-",CH2691)+1)+1,FIND("-",CH2691,FIND("-",CH2691,FIND("-",CH2691)+1)+1)-FIND("-",CH2691,FIND("-",CH2691)+1)-1))),""))</f>
        <v/>
      </c>
    </row>
    <row r="2692">
      <c r="CH2692">
        <f>IF(ISTEXT('월 가계부'!A2692),SUBSTITUTE(SUBSTITUTE(SUBSTITUTE(SUBSTITUTE(SUBSTITUTE(SUBSTITUTE(SUBSTITUTE(SUBSTITUTE(SUBSTITUTE(TRIM('월 가계부'!A2692),"년","-"),"월","-"),"일",""),".","-"),"/","-")," ","-"),"--","-"),"--","-"),"--","-")&amp;"-","")</f>
        <v/>
      </c>
      <c r="CI2692">
        <f>IFERROR(IF('월 가계부'!A2692="","",IF(ISNUMBER('월 가계부'!A2692),IF(AND('월 가계부'!A2692&gt;=19000101,'월 가계부'!A2692&lt;=21001231),IF(AND(MOD(INT('월 가계부'!A2692/100),100)&gt;=1,MOD(INT('월 가계부'!A2692/100),100)&lt;=12,MOD(INT('월 가계부'!A2692),100)&gt;=1,MOD(INT('월 가계부'!A2692),100)&lt;=31),IF(MONTH(DATE(INT('월 가계부'!A2692/10000),MOD(INT('월 가계부'!A2692/100),100),MOD(INT('월 가계부'!A2692),100)))=MOD(INT('월 가계부'!A2692/100),100),DATE(INT('월 가계부'!A2692/10000),MOD(INT('월 가계부'!A2692/100),100),MOD(INT('월 가계부'!A2692),100)),""),""),IF(AND('월 가계부'!A2692&gt;=36526,'월 가계부'!A2692&lt;73051),INT('월 가계부'!A2692),"")),IF(OR(CM2692="",CN2692="",CO2692=""),"",IF(AND(CM2692&gt;=2000,CM2692&lt;=2099,CN2692&gt;=1,CN2692&lt;=12,CO2692&gt;=1,CO2692&lt;=31),IF(MONTH(DATE(CM2692,CN2692,CO2692))=CN2692,DATE(CM2692,CN2692,CO2692),""),"")))),"")</f>
        <v/>
      </c>
      <c r="CJ2692">
        <f>IFERROR(IF('월 가계부'!C2692="","",IF(ISNUMBER('월 가계부'!C2692),'월 가계부'!C2692,VALUE(SUBSTITUTE(SUBSTITUTE(SUBSTITUTE(SUBSTITUTE(TRIM('월 가계부'!C2692),",",""),"원","")," ",""),"−","-")))),"")</f>
        <v/>
      </c>
      <c r="CK2692">
        <f>IF(ISNUMBER(CI2692),IF(CI2692&lt;$B$13,CI2692,""),"")</f>
        <v/>
      </c>
      <c r="CM2692">
        <f>IF(CH2692="","",IFERROR(IF(IF(AND(LEN(CH2692)=9,ISERROR(FIND("-",LEFT(CH2692,8))),ISNUMBER(-LEFT(CH2692,8))),VALUE(LEFT(CH2692,4)),VALUE(LEFT(CH2692,FIND("-",CH2692)-1)))&lt;100,IF(AND(LEN(CH2692)=9,ISERROR(FIND("-",LEFT(CH2692,8))),ISNUMBER(-LEFT(CH2692,8))),VALUE(LEFT(CH2692,4)),VALUE(LEFT(CH2692,FIND("-",CH2692)-1)))+2000,IF(AND(LEN(CH2692)=9,ISERROR(FIND("-",LEFT(CH2692,8))),ISNUMBER(-LEFT(CH2692,8))),VALUE(LEFT(CH2692,4)),VALUE(LEFT(CH2692,FIND("-",CH2692)-1)))),""))</f>
        <v/>
      </c>
      <c r="CN2692">
        <f>IF(CH2692="","",IFERROR(IF(AND(LEN(CH2692)=9,ISERROR(FIND("-",LEFT(CH2692,8))),ISNUMBER(-LEFT(CH2692,8))),VALUE(MID(CH2692,5,2)),VALUE(MID(CH2692,FIND("-",CH2692)+1,FIND("-",CH2692,FIND("-",CH2692)+1)-FIND("-",CH2692)-1))),""))</f>
        <v/>
      </c>
      <c r="CO2692">
        <f>IF(CH2692="","",IFERROR(IF(AND(LEN(CH2692)=9,ISERROR(FIND("-",LEFT(CH2692,8))),ISNUMBER(-LEFT(CH2692,8))),VALUE(MID(CH2692,7,2)),VALUE(MID(CH2692,FIND("-",CH2692,FIND("-",CH2692)+1)+1,FIND("-",CH2692,FIND("-",CH2692,FIND("-",CH2692)+1)+1)-FIND("-",CH2692,FIND("-",CH2692)+1)-1))),""))</f>
        <v/>
      </c>
    </row>
    <row r="2693">
      <c r="CH2693">
        <f>IF(ISTEXT('월 가계부'!A2693),SUBSTITUTE(SUBSTITUTE(SUBSTITUTE(SUBSTITUTE(SUBSTITUTE(SUBSTITUTE(SUBSTITUTE(SUBSTITUTE(SUBSTITUTE(TRIM('월 가계부'!A2693),"년","-"),"월","-"),"일",""),".","-"),"/","-")," ","-"),"--","-"),"--","-"),"--","-")&amp;"-","")</f>
        <v/>
      </c>
      <c r="CI2693">
        <f>IFERROR(IF('월 가계부'!A2693="","",IF(ISNUMBER('월 가계부'!A2693),IF(AND('월 가계부'!A2693&gt;=19000101,'월 가계부'!A2693&lt;=21001231),IF(AND(MOD(INT('월 가계부'!A2693/100),100)&gt;=1,MOD(INT('월 가계부'!A2693/100),100)&lt;=12,MOD(INT('월 가계부'!A2693),100)&gt;=1,MOD(INT('월 가계부'!A2693),100)&lt;=31),IF(MONTH(DATE(INT('월 가계부'!A2693/10000),MOD(INT('월 가계부'!A2693/100),100),MOD(INT('월 가계부'!A2693),100)))=MOD(INT('월 가계부'!A2693/100),100),DATE(INT('월 가계부'!A2693/10000),MOD(INT('월 가계부'!A2693/100),100),MOD(INT('월 가계부'!A2693),100)),""),""),IF(AND('월 가계부'!A2693&gt;=36526,'월 가계부'!A2693&lt;73051),INT('월 가계부'!A2693),"")),IF(OR(CM2693="",CN2693="",CO2693=""),"",IF(AND(CM2693&gt;=2000,CM2693&lt;=2099,CN2693&gt;=1,CN2693&lt;=12,CO2693&gt;=1,CO2693&lt;=31),IF(MONTH(DATE(CM2693,CN2693,CO2693))=CN2693,DATE(CM2693,CN2693,CO2693),""),"")))),"")</f>
        <v/>
      </c>
      <c r="CJ2693">
        <f>IFERROR(IF('월 가계부'!C2693="","",IF(ISNUMBER('월 가계부'!C2693),'월 가계부'!C2693,VALUE(SUBSTITUTE(SUBSTITUTE(SUBSTITUTE(SUBSTITUTE(TRIM('월 가계부'!C2693),",",""),"원","")," ",""),"−","-")))),"")</f>
        <v/>
      </c>
      <c r="CK2693">
        <f>IF(ISNUMBER(CI2693),IF(CI2693&lt;$B$13,CI2693,""),"")</f>
        <v/>
      </c>
      <c r="CM2693">
        <f>IF(CH2693="","",IFERROR(IF(IF(AND(LEN(CH2693)=9,ISERROR(FIND("-",LEFT(CH2693,8))),ISNUMBER(-LEFT(CH2693,8))),VALUE(LEFT(CH2693,4)),VALUE(LEFT(CH2693,FIND("-",CH2693)-1)))&lt;100,IF(AND(LEN(CH2693)=9,ISERROR(FIND("-",LEFT(CH2693,8))),ISNUMBER(-LEFT(CH2693,8))),VALUE(LEFT(CH2693,4)),VALUE(LEFT(CH2693,FIND("-",CH2693)-1)))+2000,IF(AND(LEN(CH2693)=9,ISERROR(FIND("-",LEFT(CH2693,8))),ISNUMBER(-LEFT(CH2693,8))),VALUE(LEFT(CH2693,4)),VALUE(LEFT(CH2693,FIND("-",CH2693)-1)))),""))</f>
        <v/>
      </c>
      <c r="CN2693">
        <f>IF(CH2693="","",IFERROR(IF(AND(LEN(CH2693)=9,ISERROR(FIND("-",LEFT(CH2693,8))),ISNUMBER(-LEFT(CH2693,8))),VALUE(MID(CH2693,5,2)),VALUE(MID(CH2693,FIND("-",CH2693)+1,FIND("-",CH2693,FIND("-",CH2693)+1)-FIND("-",CH2693)-1))),""))</f>
        <v/>
      </c>
      <c r="CO2693">
        <f>IF(CH2693="","",IFERROR(IF(AND(LEN(CH2693)=9,ISERROR(FIND("-",LEFT(CH2693,8))),ISNUMBER(-LEFT(CH2693,8))),VALUE(MID(CH2693,7,2)),VALUE(MID(CH2693,FIND("-",CH2693,FIND("-",CH2693)+1)+1,FIND("-",CH2693,FIND("-",CH2693,FIND("-",CH2693)+1)+1)-FIND("-",CH2693,FIND("-",CH2693)+1)-1))),""))</f>
        <v/>
      </c>
    </row>
    <row r="2694">
      <c r="CH2694">
        <f>IF(ISTEXT('월 가계부'!A2694),SUBSTITUTE(SUBSTITUTE(SUBSTITUTE(SUBSTITUTE(SUBSTITUTE(SUBSTITUTE(SUBSTITUTE(SUBSTITUTE(SUBSTITUTE(TRIM('월 가계부'!A2694),"년","-"),"월","-"),"일",""),".","-"),"/","-")," ","-"),"--","-"),"--","-"),"--","-")&amp;"-","")</f>
        <v/>
      </c>
      <c r="CI2694">
        <f>IFERROR(IF('월 가계부'!A2694="","",IF(ISNUMBER('월 가계부'!A2694),IF(AND('월 가계부'!A2694&gt;=19000101,'월 가계부'!A2694&lt;=21001231),IF(AND(MOD(INT('월 가계부'!A2694/100),100)&gt;=1,MOD(INT('월 가계부'!A2694/100),100)&lt;=12,MOD(INT('월 가계부'!A2694),100)&gt;=1,MOD(INT('월 가계부'!A2694),100)&lt;=31),IF(MONTH(DATE(INT('월 가계부'!A2694/10000),MOD(INT('월 가계부'!A2694/100),100),MOD(INT('월 가계부'!A2694),100)))=MOD(INT('월 가계부'!A2694/100),100),DATE(INT('월 가계부'!A2694/10000),MOD(INT('월 가계부'!A2694/100),100),MOD(INT('월 가계부'!A2694),100)),""),""),IF(AND('월 가계부'!A2694&gt;=36526,'월 가계부'!A2694&lt;73051),INT('월 가계부'!A2694),"")),IF(OR(CM2694="",CN2694="",CO2694=""),"",IF(AND(CM2694&gt;=2000,CM2694&lt;=2099,CN2694&gt;=1,CN2694&lt;=12,CO2694&gt;=1,CO2694&lt;=31),IF(MONTH(DATE(CM2694,CN2694,CO2694))=CN2694,DATE(CM2694,CN2694,CO2694),""),"")))),"")</f>
        <v/>
      </c>
      <c r="CJ2694">
        <f>IFERROR(IF('월 가계부'!C2694="","",IF(ISNUMBER('월 가계부'!C2694),'월 가계부'!C2694,VALUE(SUBSTITUTE(SUBSTITUTE(SUBSTITUTE(SUBSTITUTE(TRIM('월 가계부'!C2694),",",""),"원","")," ",""),"−","-")))),"")</f>
        <v/>
      </c>
      <c r="CK2694">
        <f>IF(ISNUMBER(CI2694),IF(CI2694&lt;$B$13,CI2694,""),"")</f>
        <v/>
      </c>
      <c r="CM2694">
        <f>IF(CH2694="","",IFERROR(IF(IF(AND(LEN(CH2694)=9,ISERROR(FIND("-",LEFT(CH2694,8))),ISNUMBER(-LEFT(CH2694,8))),VALUE(LEFT(CH2694,4)),VALUE(LEFT(CH2694,FIND("-",CH2694)-1)))&lt;100,IF(AND(LEN(CH2694)=9,ISERROR(FIND("-",LEFT(CH2694,8))),ISNUMBER(-LEFT(CH2694,8))),VALUE(LEFT(CH2694,4)),VALUE(LEFT(CH2694,FIND("-",CH2694)-1)))+2000,IF(AND(LEN(CH2694)=9,ISERROR(FIND("-",LEFT(CH2694,8))),ISNUMBER(-LEFT(CH2694,8))),VALUE(LEFT(CH2694,4)),VALUE(LEFT(CH2694,FIND("-",CH2694)-1)))),""))</f>
        <v/>
      </c>
      <c r="CN2694">
        <f>IF(CH2694="","",IFERROR(IF(AND(LEN(CH2694)=9,ISERROR(FIND("-",LEFT(CH2694,8))),ISNUMBER(-LEFT(CH2694,8))),VALUE(MID(CH2694,5,2)),VALUE(MID(CH2694,FIND("-",CH2694)+1,FIND("-",CH2694,FIND("-",CH2694)+1)-FIND("-",CH2694)-1))),""))</f>
        <v/>
      </c>
      <c r="CO2694">
        <f>IF(CH2694="","",IFERROR(IF(AND(LEN(CH2694)=9,ISERROR(FIND("-",LEFT(CH2694,8))),ISNUMBER(-LEFT(CH2694,8))),VALUE(MID(CH2694,7,2)),VALUE(MID(CH2694,FIND("-",CH2694,FIND("-",CH2694)+1)+1,FIND("-",CH2694,FIND("-",CH2694,FIND("-",CH2694)+1)+1)-FIND("-",CH2694,FIND("-",CH2694)+1)-1))),""))</f>
        <v/>
      </c>
    </row>
    <row r="2695">
      <c r="CH2695">
        <f>IF(ISTEXT('월 가계부'!A2695),SUBSTITUTE(SUBSTITUTE(SUBSTITUTE(SUBSTITUTE(SUBSTITUTE(SUBSTITUTE(SUBSTITUTE(SUBSTITUTE(SUBSTITUTE(TRIM('월 가계부'!A2695),"년","-"),"월","-"),"일",""),".","-"),"/","-")," ","-"),"--","-"),"--","-"),"--","-")&amp;"-","")</f>
        <v/>
      </c>
      <c r="CI2695">
        <f>IFERROR(IF('월 가계부'!A2695="","",IF(ISNUMBER('월 가계부'!A2695),IF(AND('월 가계부'!A2695&gt;=19000101,'월 가계부'!A2695&lt;=21001231),IF(AND(MOD(INT('월 가계부'!A2695/100),100)&gt;=1,MOD(INT('월 가계부'!A2695/100),100)&lt;=12,MOD(INT('월 가계부'!A2695),100)&gt;=1,MOD(INT('월 가계부'!A2695),100)&lt;=31),IF(MONTH(DATE(INT('월 가계부'!A2695/10000),MOD(INT('월 가계부'!A2695/100),100),MOD(INT('월 가계부'!A2695),100)))=MOD(INT('월 가계부'!A2695/100),100),DATE(INT('월 가계부'!A2695/10000),MOD(INT('월 가계부'!A2695/100),100),MOD(INT('월 가계부'!A2695),100)),""),""),IF(AND('월 가계부'!A2695&gt;=36526,'월 가계부'!A2695&lt;73051),INT('월 가계부'!A2695),"")),IF(OR(CM2695="",CN2695="",CO2695=""),"",IF(AND(CM2695&gt;=2000,CM2695&lt;=2099,CN2695&gt;=1,CN2695&lt;=12,CO2695&gt;=1,CO2695&lt;=31),IF(MONTH(DATE(CM2695,CN2695,CO2695))=CN2695,DATE(CM2695,CN2695,CO2695),""),"")))),"")</f>
        <v/>
      </c>
      <c r="CJ2695">
        <f>IFERROR(IF('월 가계부'!C2695="","",IF(ISNUMBER('월 가계부'!C2695),'월 가계부'!C2695,VALUE(SUBSTITUTE(SUBSTITUTE(SUBSTITUTE(SUBSTITUTE(TRIM('월 가계부'!C2695),",",""),"원","")," ",""),"−","-")))),"")</f>
        <v/>
      </c>
      <c r="CK2695">
        <f>IF(ISNUMBER(CI2695),IF(CI2695&lt;$B$13,CI2695,""),"")</f>
        <v/>
      </c>
      <c r="CM2695">
        <f>IF(CH2695="","",IFERROR(IF(IF(AND(LEN(CH2695)=9,ISERROR(FIND("-",LEFT(CH2695,8))),ISNUMBER(-LEFT(CH2695,8))),VALUE(LEFT(CH2695,4)),VALUE(LEFT(CH2695,FIND("-",CH2695)-1)))&lt;100,IF(AND(LEN(CH2695)=9,ISERROR(FIND("-",LEFT(CH2695,8))),ISNUMBER(-LEFT(CH2695,8))),VALUE(LEFT(CH2695,4)),VALUE(LEFT(CH2695,FIND("-",CH2695)-1)))+2000,IF(AND(LEN(CH2695)=9,ISERROR(FIND("-",LEFT(CH2695,8))),ISNUMBER(-LEFT(CH2695,8))),VALUE(LEFT(CH2695,4)),VALUE(LEFT(CH2695,FIND("-",CH2695)-1)))),""))</f>
        <v/>
      </c>
      <c r="CN2695">
        <f>IF(CH2695="","",IFERROR(IF(AND(LEN(CH2695)=9,ISERROR(FIND("-",LEFT(CH2695,8))),ISNUMBER(-LEFT(CH2695,8))),VALUE(MID(CH2695,5,2)),VALUE(MID(CH2695,FIND("-",CH2695)+1,FIND("-",CH2695,FIND("-",CH2695)+1)-FIND("-",CH2695)-1))),""))</f>
        <v/>
      </c>
      <c r="CO2695">
        <f>IF(CH2695="","",IFERROR(IF(AND(LEN(CH2695)=9,ISERROR(FIND("-",LEFT(CH2695,8))),ISNUMBER(-LEFT(CH2695,8))),VALUE(MID(CH2695,7,2)),VALUE(MID(CH2695,FIND("-",CH2695,FIND("-",CH2695)+1)+1,FIND("-",CH2695,FIND("-",CH2695,FIND("-",CH2695)+1)+1)-FIND("-",CH2695,FIND("-",CH2695)+1)-1))),""))</f>
        <v/>
      </c>
    </row>
    <row r="2696">
      <c r="CH2696">
        <f>IF(ISTEXT('월 가계부'!A2696),SUBSTITUTE(SUBSTITUTE(SUBSTITUTE(SUBSTITUTE(SUBSTITUTE(SUBSTITUTE(SUBSTITUTE(SUBSTITUTE(SUBSTITUTE(TRIM('월 가계부'!A2696),"년","-"),"월","-"),"일",""),".","-"),"/","-")," ","-"),"--","-"),"--","-"),"--","-")&amp;"-","")</f>
        <v/>
      </c>
      <c r="CI2696">
        <f>IFERROR(IF('월 가계부'!A2696="","",IF(ISNUMBER('월 가계부'!A2696),IF(AND('월 가계부'!A2696&gt;=19000101,'월 가계부'!A2696&lt;=21001231),IF(AND(MOD(INT('월 가계부'!A2696/100),100)&gt;=1,MOD(INT('월 가계부'!A2696/100),100)&lt;=12,MOD(INT('월 가계부'!A2696),100)&gt;=1,MOD(INT('월 가계부'!A2696),100)&lt;=31),IF(MONTH(DATE(INT('월 가계부'!A2696/10000),MOD(INT('월 가계부'!A2696/100),100),MOD(INT('월 가계부'!A2696),100)))=MOD(INT('월 가계부'!A2696/100),100),DATE(INT('월 가계부'!A2696/10000),MOD(INT('월 가계부'!A2696/100),100),MOD(INT('월 가계부'!A2696),100)),""),""),IF(AND('월 가계부'!A2696&gt;=36526,'월 가계부'!A2696&lt;73051),INT('월 가계부'!A2696),"")),IF(OR(CM2696="",CN2696="",CO2696=""),"",IF(AND(CM2696&gt;=2000,CM2696&lt;=2099,CN2696&gt;=1,CN2696&lt;=12,CO2696&gt;=1,CO2696&lt;=31),IF(MONTH(DATE(CM2696,CN2696,CO2696))=CN2696,DATE(CM2696,CN2696,CO2696),""),"")))),"")</f>
        <v/>
      </c>
      <c r="CJ2696">
        <f>IFERROR(IF('월 가계부'!C2696="","",IF(ISNUMBER('월 가계부'!C2696),'월 가계부'!C2696,VALUE(SUBSTITUTE(SUBSTITUTE(SUBSTITUTE(SUBSTITUTE(TRIM('월 가계부'!C2696),",",""),"원","")," ",""),"−","-")))),"")</f>
        <v/>
      </c>
      <c r="CK2696">
        <f>IF(ISNUMBER(CI2696),IF(CI2696&lt;$B$13,CI2696,""),"")</f>
        <v/>
      </c>
      <c r="CM2696">
        <f>IF(CH2696="","",IFERROR(IF(IF(AND(LEN(CH2696)=9,ISERROR(FIND("-",LEFT(CH2696,8))),ISNUMBER(-LEFT(CH2696,8))),VALUE(LEFT(CH2696,4)),VALUE(LEFT(CH2696,FIND("-",CH2696)-1)))&lt;100,IF(AND(LEN(CH2696)=9,ISERROR(FIND("-",LEFT(CH2696,8))),ISNUMBER(-LEFT(CH2696,8))),VALUE(LEFT(CH2696,4)),VALUE(LEFT(CH2696,FIND("-",CH2696)-1)))+2000,IF(AND(LEN(CH2696)=9,ISERROR(FIND("-",LEFT(CH2696,8))),ISNUMBER(-LEFT(CH2696,8))),VALUE(LEFT(CH2696,4)),VALUE(LEFT(CH2696,FIND("-",CH2696)-1)))),""))</f>
        <v/>
      </c>
      <c r="CN2696">
        <f>IF(CH2696="","",IFERROR(IF(AND(LEN(CH2696)=9,ISERROR(FIND("-",LEFT(CH2696,8))),ISNUMBER(-LEFT(CH2696,8))),VALUE(MID(CH2696,5,2)),VALUE(MID(CH2696,FIND("-",CH2696)+1,FIND("-",CH2696,FIND("-",CH2696)+1)-FIND("-",CH2696)-1))),""))</f>
        <v/>
      </c>
      <c r="CO2696">
        <f>IF(CH2696="","",IFERROR(IF(AND(LEN(CH2696)=9,ISERROR(FIND("-",LEFT(CH2696,8))),ISNUMBER(-LEFT(CH2696,8))),VALUE(MID(CH2696,7,2)),VALUE(MID(CH2696,FIND("-",CH2696,FIND("-",CH2696)+1)+1,FIND("-",CH2696,FIND("-",CH2696,FIND("-",CH2696)+1)+1)-FIND("-",CH2696,FIND("-",CH2696)+1)-1))),""))</f>
        <v/>
      </c>
    </row>
    <row r="2697">
      <c r="CH2697">
        <f>IF(ISTEXT('월 가계부'!A2697),SUBSTITUTE(SUBSTITUTE(SUBSTITUTE(SUBSTITUTE(SUBSTITUTE(SUBSTITUTE(SUBSTITUTE(SUBSTITUTE(SUBSTITUTE(TRIM('월 가계부'!A2697),"년","-"),"월","-"),"일",""),".","-"),"/","-")," ","-"),"--","-"),"--","-"),"--","-")&amp;"-","")</f>
        <v/>
      </c>
      <c r="CI2697">
        <f>IFERROR(IF('월 가계부'!A2697="","",IF(ISNUMBER('월 가계부'!A2697),IF(AND('월 가계부'!A2697&gt;=19000101,'월 가계부'!A2697&lt;=21001231),IF(AND(MOD(INT('월 가계부'!A2697/100),100)&gt;=1,MOD(INT('월 가계부'!A2697/100),100)&lt;=12,MOD(INT('월 가계부'!A2697),100)&gt;=1,MOD(INT('월 가계부'!A2697),100)&lt;=31),IF(MONTH(DATE(INT('월 가계부'!A2697/10000),MOD(INT('월 가계부'!A2697/100),100),MOD(INT('월 가계부'!A2697),100)))=MOD(INT('월 가계부'!A2697/100),100),DATE(INT('월 가계부'!A2697/10000),MOD(INT('월 가계부'!A2697/100),100),MOD(INT('월 가계부'!A2697),100)),""),""),IF(AND('월 가계부'!A2697&gt;=36526,'월 가계부'!A2697&lt;73051),INT('월 가계부'!A2697),"")),IF(OR(CM2697="",CN2697="",CO2697=""),"",IF(AND(CM2697&gt;=2000,CM2697&lt;=2099,CN2697&gt;=1,CN2697&lt;=12,CO2697&gt;=1,CO2697&lt;=31),IF(MONTH(DATE(CM2697,CN2697,CO2697))=CN2697,DATE(CM2697,CN2697,CO2697),""),"")))),"")</f>
        <v/>
      </c>
      <c r="CJ2697">
        <f>IFERROR(IF('월 가계부'!C2697="","",IF(ISNUMBER('월 가계부'!C2697),'월 가계부'!C2697,VALUE(SUBSTITUTE(SUBSTITUTE(SUBSTITUTE(SUBSTITUTE(TRIM('월 가계부'!C2697),",",""),"원","")," ",""),"−","-")))),"")</f>
        <v/>
      </c>
      <c r="CK2697">
        <f>IF(ISNUMBER(CI2697),IF(CI2697&lt;$B$13,CI2697,""),"")</f>
        <v/>
      </c>
      <c r="CM2697">
        <f>IF(CH2697="","",IFERROR(IF(IF(AND(LEN(CH2697)=9,ISERROR(FIND("-",LEFT(CH2697,8))),ISNUMBER(-LEFT(CH2697,8))),VALUE(LEFT(CH2697,4)),VALUE(LEFT(CH2697,FIND("-",CH2697)-1)))&lt;100,IF(AND(LEN(CH2697)=9,ISERROR(FIND("-",LEFT(CH2697,8))),ISNUMBER(-LEFT(CH2697,8))),VALUE(LEFT(CH2697,4)),VALUE(LEFT(CH2697,FIND("-",CH2697)-1)))+2000,IF(AND(LEN(CH2697)=9,ISERROR(FIND("-",LEFT(CH2697,8))),ISNUMBER(-LEFT(CH2697,8))),VALUE(LEFT(CH2697,4)),VALUE(LEFT(CH2697,FIND("-",CH2697)-1)))),""))</f>
        <v/>
      </c>
      <c r="CN2697">
        <f>IF(CH2697="","",IFERROR(IF(AND(LEN(CH2697)=9,ISERROR(FIND("-",LEFT(CH2697,8))),ISNUMBER(-LEFT(CH2697,8))),VALUE(MID(CH2697,5,2)),VALUE(MID(CH2697,FIND("-",CH2697)+1,FIND("-",CH2697,FIND("-",CH2697)+1)-FIND("-",CH2697)-1))),""))</f>
        <v/>
      </c>
      <c r="CO2697">
        <f>IF(CH2697="","",IFERROR(IF(AND(LEN(CH2697)=9,ISERROR(FIND("-",LEFT(CH2697,8))),ISNUMBER(-LEFT(CH2697,8))),VALUE(MID(CH2697,7,2)),VALUE(MID(CH2697,FIND("-",CH2697,FIND("-",CH2697)+1)+1,FIND("-",CH2697,FIND("-",CH2697,FIND("-",CH2697)+1)+1)-FIND("-",CH2697,FIND("-",CH2697)+1)-1))),""))</f>
        <v/>
      </c>
    </row>
    <row r="2698">
      <c r="CH2698">
        <f>IF(ISTEXT('월 가계부'!A2698),SUBSTITUTE(SUBSTITUTE(SUBSTITUTE(SUBSTITUTE(SUBSTITUTE(SUBSTITUTE(SUBSTITUTE(SUBSTITUTE(SUBSTITUTE(TRIM('월 가계부'!A2698),"년","-"),"월","-"),"일",""),".","-"),"/","-")," ","-"),"--","-"),"--","-"),"--","-")&amp;"-","")</f>
        <v/>
      </c>
      <c r="CI2698">
        <f>IFERROR(IF('월 가계부'!A2698="","",IF(ISNUMBER('월 가계부'!A2698),IF(AND('월 가계부'!A2698&gt;=19000101,'월 가계부'!A2698&lt;=21001231),IF(AND(MOD(INT('월 가계부'!A2698/100),100)&gt;=1,MOD(INT('월 가계부'!A2698/100),100)&lt;=12,MOD(INT('월 가계부'!A2698),100)&gt;=1,MOD(INT('월 가계부'!A2698),100)&lt;=31),IF(MONTH(DATE(INT('월 가계부'!A2698/10000),MOD(INT('월 가계부'!A2698/100),100),MOD(INT('월 가계부'!A2698),100)))=MOD(INT('월 가계부'!A2698/100),100),DATE(INT('월 가계부'!A2698/10000),MOD(INT('월 가계부'!A2698/100),100),MOD(INT('월 가계부'!A2698),100)),""),""),IF(AND('월 가계부'!A2698&gt;=36526,'월 가계부'!A2698&lt;73051),INT('월 가계부'!A2698),"")),IF(OR(CM2698="",CN2698="",CO2698=""),"",IF(AND(CM2698&gt;=2000,CM2698&lt;=2099,CN2698&gt;=1,CN2698&lt;=12,CO2698&gt;=1,CO2698&lt;=31),IF(MONTH(DATE(CM2698,CN2698,CO2698))=CN2698,DATE(CM2698,CN2698,CO2698),""),"")))),"")</f>
        <v/>
      </c>
      <c r="CJ2698">
        <f>IFERROR(IF('월 가계부'!C2698="","",IF(ISNUMBER('월 가계부'!C2698),'월 가계부'!C2698,VALUE(SUBSTITUTE(SUBSTITUTE(SUBSTITUTE(SUBSTITUTE(TRIM('월 가계부'!C2698),",",""),"원","")," ",""),"−","-")))),"")</f>
        <v/>
      </c>
      <c r="CK2698">
        <f>IF(ISNUMBER(CI2698),IF(CI2698&lt;$B$13,CI2698,""),"")</f>
        <v/>
      </c>
      <c r="CM2698">
        <f>IF(CH2698="","",IFERROR(IF(IF(AND(LEN(CH2698)=9,ISERROR(FIND("-",LEFT(CH2698,8))),ISNUMBER(-LEFT(CH2698,8))),VALUE(LEFT(CH2698,4)),VALUE(LEFT(CH2698,FIND("-",CH2698)-1)))&lt;100,IF(AND(LEN(CH2698)=9,ISERROR(FIND("-",LEFT(CH2698,8))),ISNUMBER(-LEFT(CH2698,8))),VALUE(LEFT(CH2698,4)),VALUE(LEFT(CH2698,FIND("-",CH2698)-1)))+2000,IF(AND(LEN(CH2698)=9,ISERROR(FIND("-",LEFT(CH2698,8))),ISNUMBER(-LEFT(CH2698,8))),VALUE(LEFT(CH2698,4)),VALUE(LEFT(CH2698,FIND("-",CH2698)-1)))),""))</f>
        <v/>
      </c>
      <c r="CN2698">
        <f>IF(CH2698="","",IFERROR(IF(AND(LEN(CH2698)=9,ISERROR(FIND("-",LEFT(CH2698,8))),ISNUMBER(-LEFT(CH2698,8))),VALUE(MID(CH2698,5,2)),VALUE(MID(CH2698,FIND("-",CH2698)+1,FIND("-",CH2698,FIND("-",CH2698)+1)-FIND("-",CH2698)-1))),""))</f>
        <v/>
      </c>
      <c r="CO2698">
        <f>IF(CH2698="","",IFERROR(IF(AND(LEN(CH2698)=9,ISERROR(FIND("-",LEFT(CH2698,8))),ISNUMBER(-LEFT(CH2698,8))),VALUE(MID(CH2698,7,2)),VALUE(MID(CH2698,FIND("-",CH2698,FIND("-",CH2698)+1)+1,FIND("-",CH2698,FIND("-",CH2698,FIND("-",CH2698)+1)+1)-FIND("-",CH2698,FIND("-",CH2698)+1)-1))),""))</f>
        <v/>
      </c>
    </row>
    <row r="2699">
      <c r="CH2699">
        <f>IF(ISTEXT('월 가계부'!A2699),SUBSTITUTE(SUBSTITUTE(SUBSTITUTE(SUBSTITUTE(SUBSTITUTE(SUBSTITUTE(SUBSTITUTE(SUBSTITUTE(SUBSTITUTE(TRIM('월 가계부'!A2699),"년","-"),"월","-"),"일",""),".","-"),"/","-")," ","-"),"--","-"),"--","-"),"--","-")&amp;"-","")</f>
        <v/>
      </c>
      <c r="CI2699">
        <f>IFERROR(IF('월 가계부'!A2699="","",IF(ISNUMBER('월 가계부'!A2699),IF(AND('월 가계부'!A2699&gt;=19000101,'월 가계부'!A2699&lt;=21001231),IF(AND(MOD(INT('월 가계부'!A2699/100),100)&gt;=1,MOD(INT('월 가계부'!A2699/100),100)&lt;=12,MOD(INT('월 가계부'!A2699),100)&gt;=1,MOD(INT('월 가계부'!A2699),100)&lt;=31),IF(MONTH(DATE(INT('월 가계부'!A2699/10000),MOD(INT('월 가계부'!A2699/100),100),MOD(INT('월 가계부'!A2699),100)))=MOD(INT('월 가계부'!A2699/100),100),DATE(INT('월 가계부'!A2699/10000),MOD(INT('월 가계부'!A2699/100),100),MOD(INT('월 가계부'!A2699),100)),""),""),IF(AND('월 가계부'!A2699&gt;=36526,'월 가계부'!A2699&lt;73051),INT('월 가계부'!A2699),"")),IF(OR(CM2699="",CN2699="",CO2699=""),"",IF(AND(CM2699&gt;=2000,CM2699&lt;=2099,CN2699&gt;=1,CN2699&lt;=12,CO2699&gt;=1,CO2699&lt;=31),IF(MONTH(DATE(CM2699,CN2699,CO2699))=CN2699,DATE(CM2699,CN2699,CO2699),""),"")))),"")</f>
        <v/>
      </c>
      <c r="CJ2699">
        <f>IFERROR(IF('월 가계부'!C2699="","",IF(ISNUMBER('월 가계부'!C2699),'월 가계부'!C2699,VALUE(SUBSTITUTE(SUBSTITUTE(SUBSTITUTE(SUBSTITUTE(TRIM('월 가계부'!C2699),",",""),"원","")," ",""),"−","-")))),"")</f>
        <v/>
      </c>
      <c r="CK2699">
        <f>IF(ISNUMBER(CI2699),IF(CI2699&lt;$B$13,CI2699,""),"")</f>
        <v/>
      </c>
      <c r="CM2699">
        <f>IF(CH2699="","",IFERROR(IF(IF(AND(LEN(CH2699)=9,ISERROR(FIND("-",LEFT(CH2699,8))),ISNUMBER(-LEFT(CH2699,8))),VALUE(LEFT(CH2699,4)),VALUE(LEFT(CH2699,FIND("-",CH2699)-1)))&lt;100,IF(AND(LEN(CH2699)=9,ISERROR(FIND("-",LEFT(CH2699,8))),ISNUMBER(-LEFT(CH2699,8))),VALUE(LEFT(CH2699,4)),VALUE(LEFT(CH2699,FIND("-",CH2699)-1)))+2000,IF(AND(LEN(CH2699)=9,ISERROR(FIND("-",LEFT(CH2699,8))),ISNUMBER(-LEFT(CH2699,8))),VALUE(LEFT(CH2699,4)),VALUE(LEFT(CH2699,FIND("-",CH2699)-1)))),""))</f>
        <v/>
      </c>
      <c r="CN2699">
        <f>IF(CH2699="","",IFERROR(IF(AND(LEN(CH2699)=9,ISERROR(FIND("-",LEFT(CH2699,8))),ISNUMBER(-LEFT(CH2699,8))),VALUE(MID(CH2699,5,2)),VALUE(MID(CH2699,FIND("-",CH2699)+1,FIND("-",CH2699,FIND("-",CH2699)+1)-FIND("-",CH2699)-1))),""))</f>
        <v/>
      </c>
      <c r="CO2699">
        <f>IF(CH2699="","",IFERROR(IF(AND(LEN(CH2699)=9,ISERROR(FIND("-",LEFT(CH2699,8))),ISNUMBER(-LEFT(CH2699,8))),VALUE(MID(CH2699,7,2)),VALUE(MID(CH2699,FIND("-",CH2699,FIND("-",CH2699)+1)+1,FIND("-",CH2699,FIND("-",CH2699,FIND("-",CH2699)+1)+1)-FIND("-",CH2699,FIND("-",CH2699)+1)-1))),""))</f>
        <v/>
      </c>
    </row>
    <row r="2700">
      <c r="CH2700">
        <f>IF(ISTEXT('월 가계부'!A2700),SUBSTITUTE(SUBSTITUTE(SUBSTITUTE(SUBSTITUTE(SUBSTITUTE(SUBSTITUTE(SUBSTITUTE(SUBSTITUTE(SUBSTITUTE(TRIM('월 가계부'!A2700),"년","-"),"월","-"),"일",""),".","-"),"/","-")," ","-"),"--","-"),"--","-"),"--","-")&amp;"-","")</f>
        <v/>
      </c>
      <c r="CI2700">
        <f>IFERROR(IF('월 가계부'!A2700="","",IF(ISNUMBER('월 가계부'!A2700),IF(AND('월 가계부'!A2700&gt;=19000101,'월 가계부'!A2700&lt;=21001231),IF(AND(MOD(INT('월 가계부'!A2700/100),100)&gt;=1,MOD(INT('월 가계부'!A2700/100),100)&lt;=12,MOD(INT('월 가계부'!A2700),100)&gt;=1,MOD(INT('월 가계부'!A2700),100)&lt;=31),IF(MONTH(DATE(INT('월 가계부'!A2700/10000),MOD(INT('월 가계부'!A2700/100),100),MOD(INT('월 가계부'!A2700),100)))=MOD(INT('월 가계부'!A2700/100),100),DATE(INT('월 가계부'!A2700/10000),MOD(INT('월 가계부'!A2700/100),100),MOD(INT('월 가계부'!A2700),100)),""),""),IF(AND('월 가계부'!A2700&gt;=36526,'월 가계부'!A2700&lt;73051),INT('월 가계부'!A2700),"")),IF(OR(CM2700="",CN2700="",CO2700=""),"",IF(AND(CM2700&gt;=2000,CM2700&lt;=2099,CN2700&gt;=1,CN2700&lt;=12,CO2700&gt;=1,CO2700&lt;=31),IF(MONTH(DATE(CM2700,CN2700,CO2700))=CN2700,DATE(CM2700,CN2700,CO2700),""),"")))),"")</f>
        <v/>
      </c>
      <c r="CJ2700">
        <f>IFERROR(IF('월 가계부'!C2700="","",IF(ISNUMBER('월 가계부'!C2700),'월 가계부'!C2700,VALUE(SUBSTITUTE(SUBSTITUTE(SUBSTITUTE(SUBSTITUTE(TRIM('월 가계부'!C2700),",",""),"원","")," ",""),"−","-")))),"")</f>
        <v/>
      </c>
      <c r="CK2700">
        <f>IF(ISNUMBER(CI2700),IF(CI2700&lt;$B$13,CI2700,""),"")</f>
        <v/>
      </c>
      <c r="CM2700">
        <f>IF(CH2700="","",IFERROR(IF(IF(AND(LEN(CH2700)=9,ISERROR(FIND("-",LEFT(CH2700,8))),ISNUMBER(-LEFT(CH2700,8))),VALUE(LEFT(CH2700,4)),VALUE(LEFT(CH2700,FIND("-",CH2700)-1)))&lt;100,IF(AND(LEN(CH2700)=9,ISERROR(FIND("-",LEFT(CH2700,8))),ISNUMBER(-LEFT(CH2700,8))),VALUE(LEFT(CH2700,4)),VALUE(LEFT(CH2700,FIND("-",CH2700)-1)))+2000,IF(AND(LEN(CH2700)=9,ISERROR(FIND("-",LEFT(CH2700,8))),ISNUMBER(-LEFT(CH2700,8))),VALUE(LEFT(CH2700,4)),VALUE(LEFT(CH2700,FIND("-",CH2700)-1)))),""))</f>
        <v/>
      </c>
      <c r="CN2700">
        <f>IF(CH2700="","",IFERROR(IF(AND(LEN(CH2700)=9,ISERROR(FIND("-",LEFT(CH2700,8))),ISNUMBER(-LEFT(CH2700,8))),VALUE(MID(CH2700,5,2)),VALUE(MID(CH2700,FIND("-",CH2700)+1,FIND("-",CH2700,FIND("-",CH2700)+1)-FIND("-",CH2700)-1))),""))</f>
        <v/>
      </c>
      <c r="CO2700">
        <f>IF(CH2700="","",IFERROR(IF(AND(LEN(CH2700)=9,ISERROR(FIND("-",LEFT(CH2700,8))),ISNUMBER(-LEFT(CH2700,8))),VALUE(MID(CH2700,7,2)),VALUE(MID(CH2700,FIND("-",CH2700,FIND("-",CH2700)+1)+1,FIND("-",CH2700,FIND("-",CH2700,FIND("-",CH2700)+1)+1)-FIND("-",CH2700,FIND("-",CH2700)+1)-1))),""))</f>
        <v/>
      </c>
    </row>
    <row r="2701">
      <c r="CH2701">
        <f>IF(ISTEXT('월 가계부'!A2701),SUBSTITUTE(SUBSTITUTE(SUBSTITUTE(SUBSTITUTE(SUBSTITUTE(SUBSTITUTE(SUBSTITUTE(SUBSTITUTE(SUBSTITUTE(TRIM('월 가계부'!A2701),"년","-"),"월","-"),"일",""),".","-"),"/","-")," ","-"),"--","-"),"--","-"),"--","-")&amp;"-","")</f>
        <v/>
      </c>
      <c r="CI2701">
        <f>IFERROR(IF('월 가계부'!A2701="","",IF(ISNUMBER('월 가계부'!A2701),IF(AND('월 가계부'!A2701&gt;=19000101,'월 가계부'!A2701&lt;=21001231),IF(AND(MOD(INT('월 가계부'!A2701/100),100)&gt;=1,MOD(INT('월 가계부'!A2701/100),100)&lt;=12,MOD(INT('월 가계부'!A2701),100)&gt;=1,MOD(INT('월 가계부'!A2701),100)&lt;=31),IF(MONTH(DATE(INT('월 가계부'!A2701/10000),MOD(INT('월 가계부'!A2701/100),100),MOD(INT('월 가계부'!A2701),100)))=MOD(INT('월 가계부'!A2701/100),100),DATE(INT('월 가계부'!A2701/10000),MOD(INT('월 가계부'!A2701/100),100),MOD(INT('월 가계부'!A2701),100)),""),""),IF(AND('월 가계부'!A2701&gt;=36526,'월 가계부'!A2701&lt;73051),INT('월 가계부'!A2701),"")),IF(OR(CM2701="",CN2701="",CO2701=""),"",IF(AND(CM2701&gt;=2000,CM2701&lt;=2099,CN2701&gt;=1,CN2701&lt;=12,CO2701&gt;=1,CO2701&lt;=31),IF(MONTH(DATE(CM2701,CN2701,CO2701))=CN2701,DATE(CM2701,CN2701,CO2701),""),"")))),"")</f>
        <v/>
      </c>
      <c r="CJ2701">
        <f>IFERROR(IF('월 가계부'!C2701="","",IF(ISNUMBER('월 가계부'!C2701),'월 가계부'!C2701,VALUE(SUBSTITUTE(SUBSTITUTE(SUBSTITUTE(SUBSTITUTE(TRIM('월 가계부'!C2701),",",""),"원","")," ",""),"−","-")))),"")</f>
        <v/>
      </c>
      <c r="CK2701">
        <f>IF(ISNUMBER(CI2701),IF(CI2701&lt;$B$13,CI2701,""),"")</f>
        <v/>
      </c>
      <c r="CM2701">
        <f>IF(CH2701="","",IFERROR(IF(IF(AND(LEN(CH2701)=9,ISERROR(FIND("-",LEFT(CH2701,8))),ISNUMBER(-LEFT(CH2701,8))),VALUE(LEFT(CH2701,4)),VALUE(LEFT(CH2701,FIND("-",CH2701)-1)))&lt;100,IF(AND(LEN(CH2701)=9,ISERROR(FIND("-",LEFT(CH2701,8))),ISNUMBER(-LEFT(CH2701,8))),VALUE(LEFT(CH2701,4)),VALUE(LEFT(CH2701,FIND("-",CH2701)-1)))+2000,IF(AND(LEN(CH2701)=9,ISERROR(FIND("-",LEFT(CH2701,8))),ISNUMBER(-LEFT(CH2701,8))),VALUE(LEFT(CH2701,4)),VALUE(LEFT(CH2701,FIND("-",CH2701)-1)))),""))</f>
        <v/>
      </c>
      <c r="CN2701">
        <f>IF(CH2701="","",IFERROR(IF(AND(LEN(CH2701)=9,ISERROR(FIND("-",LEFT(CH2701,8))),ISNUMBER(-LEFT(CH2701,8))),VALUE(MID(CH2701,5,2)),VALUE(MID(CH2701,FIND("-",CH2701)+1,FIND("-",CH2701,FIND("-",CH2701)+1)-FIND("-",CH2701)-1))),""))</f>
        <v/>
      </c>
      <c r="CO2701">
        <f>IF(CH2701="","",IFERROR(IF(AND(LEN(CH2701)=9,ISERROR(FIND("-",LEFT(CH2701,8))),ISNUMBER(-LEFT(CH2701,8))),VALUE(MID(CH2701,7,2)),VALUE(MID(CH2701,FIND("-",CH2701,FIND("-",CH2701)+1)+1,FIND("-",CH2701,FIND("-",CH2701,FIND("-",CH2701)+1)+1)-FIND("-",CH2701,FIND("-",CH2701)+1)-1))),""))</f>
        <v/>
      </c>
    </row>
    <row r="2702">
      <c r="CH2702">
        <f>IF(ISTEXT('월 가계부'!A2702),SUBSTITUTE(SUBSTITUTE(SUBSTITUTE(SUBSTITUTE(SUBSTITUTE(SUBSTITUTE(SUBSTITUTE(SUBSTITUTE(SUBSTITUTE(TRIM('월 가계부'!A2702),"년","-"),"월","-"),"일",""),".","-"),"/","-")," ","-"),"--","-"),"--","-"),"--","-")&amp;"-","")</f>
        <v/>
      </c>
      <c r="CI2702">
        <f>IFERROR(IF('월 가계부'!A2702="","",IF(ISNUMBER('월 가계부'!A2702),IF(AND('월 가계부'!A2702&gt;=19000101,'월 가계부'!A2702&lt;=21001231),IF(AND(MOD(INT('월 가계부'!A2702/100),100)&gt;=1,MOD(INT('월 가계부'!A2702/100),100)&lt;=12,MOD(INT('월 가계부'!A2702),100)&gt;=1,MOD(INT('월 가계부'!A2702),100)&lt;=31),IF(MONTH(DATE(INT('월 가계부'!A2702/10000),MOD(INT('월 가계부'!A2702/100),100),MOD(INT('월 가계부'!A2702),100)))=MOD(INT('월 가계부'!A2702/100),100),DATE(INT('월 가계부'!A2702/10000),MOD(INT('월 가계부'!A2702/100),100),MOD(INT('월 가계부'!A2702),100)),""),""),IF(AND('월 가계부'!A2702&gt;=36526,'월 가계부'!A2702&lt;73051),INT('월 가계부'!A2702),"")),IF(OR(CM2702="",CN2702="",CO2702=""),"",IF(AND(CM2702&gt;=2000,CM2702&lt;=2099,CN2702&gt;=1,CN2702&lt;=12,CO2702&gt;=1,CO2702&lt;=31),IF(MONTH(DATE(CM2702,CN2702,CO2702))=CN2702,DATE(CM2702,CN2702,CO2702),""),"")))),"")</f>
        <v/>
      </c>
      <c r="CJ2702">
        <f>IFERROR(IF('월 가계부'!C2702="","",IF(ISNUMBER('월 가계부'!C2702),'월 가계부'!C2702,VALUE(SUBSTITUTE(SUBSTITUTE(SUBSTITUTE(SUBSTITUTE(TRIM('월 가계부'!C2702),",",""),"원","")," ",""),"−","-")))),"")</f>
        <v/>
      </c>
      <c r="CK2702">
        <f>IF(ISNUMBER(CI2702),IF(CI2702&lt;$B$13,CI2702,""),"")</f>
        <v/>
      </c>
      <c r="CM2702">
        <f>IF(CH2702="","",IFERROR(IF(IF(AND(LEN(CH2702)=9,ISERROR(FIND("-",LEFT(CH2702,8))),ISNUMBER(-LEFT(CH2702,8))),VALUE(LEFT(CH2702,4)),VALUE(LEFT(CH2702,FIND("-",CH2702)-1)))&lt;100,IF(AND(LEN(CH2702)=9,ISERROR(FIND("-",LEFT(CH2702,8))),ISNUMBER(-LEFT(CH2702,8))),VALUE(LEFT(CH2702,4)),VALUE(LEFT(CH2702,FIND("-",CH2702)-1)))+2000,IF(AND(LEN(CH2702)=9,ISERROR(FIND("-",LEFT(CH2702,8))),ISNUMBER(-LEFT(CH2702,8))),VALUE(LEFT(CH2702,4)),VALUE(LEFT(CH2702,FIND("-",CH2702)-1)))),""))</f>
        <v/>
      </c>
      <c r="CN2702">
        <f>IF(CH2702="","",IFERROR(IF(AND(LEN(CH2702)=9,ISERROR(FIND("-",LEFT(CH2702,8))),ISNUMBER(-LEFT(CH2702,8))),VALUE(MID(CH2702,5,2)),VALUE(MID(CH2702,FIND("-",CH2702)+1,FIND("-",CH2702,FIND("-",CH2702)+1)-FIND("-",CH2702)-1))),""))</f>
        <v/>
      </c>
      <c r="CO2702">
        <f>IF(CH2702="","",IFERROR(IF(AND(LEN(CH2702)=9,ISERROR(FIND("-",LEFT(CH2702,8))),ISNUMBER(-LEFT(CH2702,8))),VALUE(MID(CH2702,7,2)),VALUE(MID(CH2702,FIND("-",CH2702,FIND("-",CH2702)+1)+1,FIND("-",CH2702,FIND("-",CH2702,FIND("-",CH2702)+1)+1)-FIND("-",CH2702,FIND("-",CH2702)+1)-1))),""))</f>
        <v/>
      </c>
    </row>
    <row r="2703">
      <c r="CH2703">
        <f>IF(ISTEXT('월 가계부'!A2703),SUBSTITUTE(SUBSTITUTE(SUBSTITUTE(SUBSTITUTE(SUBSTITUTE(SUBSTITUTE(SUBSTITUTE(SUBSTITUTE(SUBSTITUTE(TRIM('월 가계부'!A2703),"년","-"),"월","-"),"일",""),".","-"),"/","-")," ","-"),"--","-"),"--","-"),"--","-")&amp;"-","")</f>
        <v/>
      </c>
      <c r="CI2703">
        <f>IFERROR(IF('월 가계부'!A2703="","",IF(ISNUMBER('월 가계부'!A2703),IF(AND('월 가계부'!A2703&gt;=19000101,'월 가계부'!A2703&lt;=21001231),IF(AND(MOD(INT('월 가계부'!A2703/100),100)&gt;=1,MOD(INT('월 가계부'!A2703/100),100)&lt;=12,MOD(INT('월 가계부'!A2703),100)&gt;=1,MOD(INT('월 가계부'!A2703),100)&lt;=31),IF(MONTH(DATE(INT('월 가계부'!A2703/10000),MOD(INT('월 가계부'!A2703/100),100),MOD(INT('월 가계부'!A2703),100)))=MOD(INT('월 가계부'!A2703/100),100),DATE(INT('월 가계부'!A2703/10000),MOD(INT('월 가계부'!A2703/100),100),MOD(INT('월 가계부'!A2703),100)),""),""),IF(AND('월 가계부'!A2703&gt;=36526,'월 가계부'!A2703&lt;73051),INT('월 가계부'!A2703),"")),IF(OR(CM2703="",CN2703="",CO2703=""),"",IF(AND(CM2703&gt;=2000,CM2703&lt;=2099,CN2703&gt;=1,CN2703&lt;=12,CO2703&gt;=1,CO2703&lt;=31),IF(MONTH(DATE(CM2703,CN2703,CO2703))=CN2703,DATE(CM2703,CN2703,CO2703),""),"")))),"")</f>
        <v/>
      </c>
      <c r="CJ2703">
        <f>IFERROR(IF('월 가계부'!C2703="","",IF(ISNUMBER('월 가계부'!C2703),'월 가계부'!C2703,VALUE(SUBSTITUTE(SUBSTITUTE(SUBSTITUTE(SUBSTITUTE(TRIM('월 가계부'!C2703),",",""),"원","")," ",""),"−","-")))),"")</f>
        <v/>
      </c>
      <c r="CK2703">
        <f>IF(ISNUMBER(CI2703),IF(CI2703&lt;$B$13,CI2703,""),"")</f>
        <v/>
      </c>
      <c r="CM2703">
        <f>IF(CH2703="","",IFERROR(IF(IF(AND(LEN(CH2703)=9,ISERROR(FIND("-",LEFT(CH2703,8))),ISNUMBER(-LEFT(CH2703,8))),VALUE(LEFT(CH2703,4)),VALUE(LEFT(CH2703,FIND("-",CH2703)-1)))&lt;100,IF(AND(LEN(CH2703)=9,ISERROR(FIND("-",LEFT(CH2703,8))),ISNUMBER(-LEFT(CH2703,8))),VALUE(LEFT(CH2703,4)),VALUE(LEFT(CH2703,FIND("-",CH2703)-1)))+2000,IF(AND(LEN(CH2703)=9,ISERROR(FIND("-",LEFT(CH2703,8))),ISNUMBER(-LEFT(CH2703,8))),VALUE(LEFT(CH2703,4)),VALUE(LEFT(CH2703,FIND("-",CH2703)-1)))),""))</f>
        <v/>
      </c>
      <c r="CN2703">
        <f>IF(CH2703="","",IFERROR(IF(AND(LEN(CH2703)=9,ISERROR(FIND("-",LEFT(CH2703,8))),ISNUMBER(-LEFT(CH2703,8))),VALUE(MID(CH2703,5,2)),VALUE(MID(CH2703,FIND("-",CH2703)+1,FIND("-",CH2703,FIND("-",CH2703)+1)-FIND("-",CH2703)-1))),""))</f>
        <v/>
      </c>
      <c r="CO2703">
        <f>IF(CH2703="","",IFERROR(IF(AND(LEN(CH2703)=9,ISERROR(FIND("-",LEFT(CH2703,8))),ISNUMBER(-LEFT(CH2703,8))),VALUE(MID(CH2703,7,2)),VALUE(MID(CH2703,FIND("-",CH2703,FIND("-",CH2703)+1)+1,FIND("-",CH2703,FIND("-",CH2703,FIND("-",CH2703)+1)+1)-FIND("-",CH2703,FIND("-",CH2703)+1)-1))),""))</f>
        <v/>
      </c>
    </row>
    <row r="2704">
      <c r="CH2704">
        <f>IF(ISTEXT('월 가계부'!A2704),SUBSTITUTE(SUBSTITUTE(SUBSTITUTE(SUBSTITUTE(SUBSTITUTE(SUBSTITUTE(SUBSTITUTE(SUBSTITUTE(SUBSTITUTE(TRIM('월 가계부'!A2704),"년","-"),"월","-"),"일",""),".","-"),"/","-")," ","-"),"--","-"),"--","-"),"--","-")&amp;"-","")</f>
        <v/>
      </c>
      <c r="CI2704">
        <f>IFERROR(IF('월 가계부'!A2704="","",IF(ISNUMBER('월 가계부'!A2704),IF(AND('월 가계부'!A2704&gt;=19000101,'월 가계부'!A2704&lt;=21001231),IF(AND(MOD(INT('월 가계부'!A2704/100),100)&gt;=1,MOD(INT('월 가계부'!A2704/100),100)&lt;=12,MOD(INT('월 가계부'!A2704),100)&gt;=1,MOD(INT('월 가계부'!A2704),100)&lt;=31),IF(MONTH(DATE(INT('월 가계부'!A2704/10000),MOD(INT('월 가계부'!A2704/100),100),MOD(INT('월 가계부'!A2704),100)))=MOD(INT('월 가계부'!A2704/100),100),DATE(INT('월 가계부'!A2704/10000),MOD(INT('월 가계부'!A2704/100),100),MOD(INT('월 가계부'!A2704),100)),""),""),IF(AND('월 가계부'!A2704&gt;=36526,'월 가계부'!A2704&lt;73051),INT('월 가계부'!A2704),"")),IF(OR(CM2704="",CN2704="",CO2704=""),"",IF(AND(CM2704&gt;=2000,CM2704&lt;=2099,CN2704&gt;=1,CN2704&lt;=12,CO2704&gt;=1,CO2704&lt;=31),IF(MONTH(DATE(CM2704,CN2704,CO2704))=CN2704,DATE(CM2704,CN2704,CO2704),""),"")))),"")</f>
        <v/>
      </c>
      <c r="CJ2704">
        <f>IFERROR(IF('월 가계부'!C2704="","",IF(ISNUMBER('월 가계부'!C2704),'월 가계부'!C2704,VALUE(SUBSTITUTE(SUBSTITUTE(SUBSTITUTE(SUBSTITUTE(TRIM('월 가계부'!C2704),",",""),"원","")," ",""),"−","-")))),"")</f>
        <v/>
      </c>
      <c r="CK2704">
        <f>IF(ISNUMBER(CI2704),IF(CI2704&lt;$B$13,CI2704,""),"")</f>
        <v/>
      </c>
      <c r="CM2704">
        <f>IF(CH2704="","",IFERROR(IF(IF(AND(LEN(CH2704)=9,ISERROR(FIND("-",LEFT(CH2704,8))),ISNUMBER(-LEFT(CH2704,8))),VALUE(LEFT(CH2704,4)),VALUE(LEFT(CH2704,FIND("-",CH2704)-1)))&lt;100,IF(AND(LEN(CH2704)=9,ISERROR(FIND("-",LEFT(CH2704,8))),ISNUMBER(-LEFT(CH2704,8))),VALUE(LEFT(CH2704,4)),VALUE(LEFT(CH2704,FIND("-",CH2704)-1)))+2000,IF(AND(LEN(CH2704)=9,ISERROR(FIND("-",LEFT(CH2704,8))),ISNUMBER(-LEFT(CH2704,8))),VALUE(LEFT(CH2704,4)),VALUE(LEFT(CH2704,FIND("-",CH2704)-1)))),""))</f>
        <v/>
      </c>
      <c r="CN2704">
        <f>IF(CH2704="","",IFERROR(IF(AND(LEN(CH2704)=9,ISERROR(FIND("-",LEFT(CH2704,8))),ISNUMBER(-LEFT(CH2704,8))),VALUE(MID(CH2704,5,2)),VALUE(MID(CH2704,FIND("-",CH2704)+1,FIND("-",CH2704,FIND("-",CH2704)+1)-FIND("-",CH2704)-1))),""))</f>
        <v/>
      </c>
      <c r="CO2704">
        <f>IF(CH2704="","",IFERROR(IF(AND(LEN(CH2704)=9,ISERROR(FIND("-",LEFT(CH2704,8))),ISNUMBER(-LEFT(CH2704,8))),VALUE(MID(CH2704,7,2)),VALUE(MID(CH2704,FIND("-",CH2704,FIND("-",CH2704)+1)+1,FIND("-",CH2704,FIND("-",CH2704,FIND("-",CH2704)+1)+1)-FIND("-",CH2704,FIND("-",CH2704)+1)-1))),""))</f>
        <v/>
      </c>
    </row>
    <row r="2705">
      <c r="CH2705">
        <f>IF(ISTEXT('월 가계부'!A2705),SUBSTITUTE(SUBSTITUTE(SUBSTITUTE(SUBSTITUTE(SUBSTITUTE(SUBSTITUTE(SUBSTITUTE(SUBSTITUTE(SUBSTITUTE(TRIM('월 가계부'!A2705),"년","-"),"월","-"),"일",""),".","-"),"/","-")," ","-"),"--","-"),"--","-"),"--","-")&amp;"-","")</f>
        <v/>
      </c>
      <c r="CI2705">
        <f>IFERROR(IF('월 가계부'!A2705="","",IF(ISNUMBER('월 가계부'!A2705),IF(AND('월 가계부'!A2705&gt;=19000101,'월 가계부'!A2705&lt;=21001231),IF(AND(MOD(INT('월 가계부'!A2705/100),100)&gt;=1,MOD(INT('월 가계부'!A2705/100),100)&lt;=12,MOD(INT('월 가계부'!A2705),100)&gt;=1,MOD(INT('월 가계부'!A2705),100)&lt;=31),IF(MONTH(DATE(INT('월 가계부'!A2705/10000),MOD(INT('월 가계부'!A2705/100),100),MOD(INT('월 가계부'!A2705),100)))=MOD(INT('월 가계부'!A2705/100),100),DATE(INT('월 가계부'!A2705/10000),MOD(INT('월 가계부'!A2705/100),100),MOD(INT('월 가계부'!A2705),100)),""),""),IF(AND('월 가계부'!A2705&gt;=36526,'월 가계부'!A2705&lt;73051),INT('월 가계부'!A2705),"")),IF(OR(CM2705="",CN2705="",CO2705=""),"",IF(AND(CM2705&gt;=2000,CM2705&lt;=2099,CN2705&gt;=1,CN2705&lt;=12,CO2705&gt;=1,CO2705&lt;=31),IF(MONTH(DATE(CM2705,CN2705,CO2705))=CN2705,DATE(CM2705,CN2705,CO2705),""),"")))),"")</f>
        <v/>
      </c>
      <c r="CJ2705">
        <f>IFERROR(IF('월 가계부'!C2705="","",IF(ISNUMBER('월 가계부'!C2705),'월 가계부'!C2705,VALUE(SUBSTITUTE(SUBSTITUTE(SUBSTITUTE(SUBSTITUTE(TRIM('월 가계부'!C2705),",",""),"원","")," ",""),"−","-")))),"")</f>
        <v/>
      </c>
      <c r="CK2705">
        <f>IF(ISNUMBER(CI2705),IF(CI2705&lt;$B$13,CI2705,""),"")</f>
        <v/>
      </c>
      <c r="CM2705">
        <f>IF(CH2705="","",IFERROR(IF(IF(AND(LEN(CH2705)=9,ISERROR(FIND("-",LEFT(CH2705,8))),ISNUMBER(-LEFT(CH2705,8))),VALUE(LEFT(CH2705,4)),VALUE(LEFT(CH2705,FIND("-",CH2705)-1)))&lt;100,IF(AND(LEN(CH2705)=9,ISERROR(FIND("-",LEFT(CH2705,8))),ISNUMBER(-LEFT(CH2705,8))),VALUE(LEFT(CH2705,4)),VALUE(LEFT(CH2705,FIND("-",CH2705)-1)))+2000,IF(AND(LEN(CH2705)=9,ISERROR(FIND("-",LEFT(CH2705,8))),ISNUMBER(-LEFT(CH2705,8))),VALUE(LEFT(CH2705,4)),VALUE(LEFT(CH2705,FIND("-",CH2705)-1)))),""))</f>
        <v/>
      </c>
      <c r="CN2705">
        <f>IF(CH2705="","",IFERROR(IF(AND(LEN(CH2705)=9,ISERROR(FIND("-",LEFT(CH2705,8))),ISNUMBER(-LEFT(CH2705,8))),VALUE(MID(CH2705,5,2)),VALUE(MID(CH2705,FIND("-",CH2705)+1,FIND("-",CH2705,FIND("-",CH2705)+1)-FIND("-",CH2705)-1))),""))</f>
        <v/>
      </c>
      <c r="CO2705">
        <f>IF(CH2705="","",IFERROR(IF(AND(LEN(CH2705)=9,ISERROR(FIND("-",LEFT(CH2705,8))),ISNUMBER(-LEFT(CH2705,8))),VALUE(MID(CH2705,7,2)),VALUE(MID(CH2705,FIND("-",CH2705,FIND("-",CH2705)+1)+1,FIND("-",CH2705,FIND("-",CH2705,FIND("-",CH2705)+1)+1)-FIND("-",CH2705,FIND("-",CH2705)+1)-1))),""))</f>
        <v/>
      </c>
    </row>
    <row r="2706">
      <c r="CH2706">
        <f>IF(ISTEXT('월 가계부'!A2706),SUBSTITUTE(SUBSTITUTE(SUBSTITUTE(SUBSTITUTE(SUBSTITUTE(SUBSTITUTE(SUBSTITUTE(SUBSTITUTE(SUBSTITUTE(TRIM('월 가계부'!A2706),"년","-"),"월","-"),"일",""),".","-"),"/","-")," ","-"),"--","-"),"--","-"),"--","-")&amp;"-","")</f>
        <v/>
      </c>
      <c r="CI2706">
        <f>IFERROR(IF('월 가계부'!A2706="","",IF(ISNUMBER('월 가계부'!A2706),IF(AND('월 가계부'!A2706&gt;=19000101,'월 가계부'!A2706&lt;=21001231),IF(AND(MOD(INT('월 가계부'!A2706/100),100)&gt;=1,MOD(INT('월 가계부'!A2706/100),100)&lt;=12,MOD(INT('월 가계부'!A2706),100)&gt;=1,MOD(INT('월 가계부'!A2706),100)&lt;=31),IF(MONTH(DATE(INT('월 가계부'!A2706/10000),MOD(INT('월 가계부'!A2706/100),100),MOD(INT('월 가계부'!A2706),100)))=MOD(INT('월 가계부'!A2706/100),100),DATE(INT('월 가계부'!A2706/10000),MOD(INT('월 가계부'!A2706/100),100),MOD(INT('월 가계부'!A2706),100)),""),""),IF(AND('월 가계부'!A2706&gt;=36526,'월 가계부'!A2706&lt;73051),INT('월 가계부'!A2706),"")),IF(OR(CM2706="",CN2706="",CO2706=""),"",IF(AND(CM2706&gt;=2000,CM2706&lt;=2099,CN2706&gt;=1,CN2706&lt;=12,CO2706&gt;=1,CO2706&lt;=31),IF(MONTH(DATE(CM2706,CN2706,CO2706))=CN2706,DATE(CM2706,CN2706,CO2706),""),"")))),"")</f>
        <v/>
      </c>
      <c r="CJ2706">
        <f>IFERROR(IF('월 가계부'!C2706="","",IF(ISNUMBER('월 가계부'!C2706),'월 가계부'!C2706,VALUE(SUBSTITUTE(SUBSTITUTE(SUBSTITUTE(SUBSTITUTE(TRIM('월 가계부'!C2706),",",""),"원","")," ",""),"−","-")))),"")</f>
        <v/>
      </c>
      <c r="CK2706">
        <f>IF(ISNUMBER(CI2706),IF(CI2706&lt;$B$13,CI2706,""),"")</f>
        <v/>
      </c>
      <c r="CM2706">
        <f>IF(CH2706="","",IFERROR(IF(IF(AND(LEN(CH2706)=9,ISERROR(FIND("-",LEFT(CH2706,8))),ISNUMBER(-LEFT(CH2706,8))),VALUE(LEFT(CH2706,4)),VALUE(LEFT(CH2706,FIND("-",CH2706)-1)))&lt;100,IF(AND(LEN(CH2706)=9,ISERROR(FIND("-",LEFT(CH2706,8))),ISNUMBER(-LEFT(CH2706,8))),VALUE(LEFT(CH2706,4)),VALUE(LEFT(CH2706,FIND("-",CH2706)-1)))+2000,IF(AND(LEN(CH2706)=9,ISERROR(FIND("-",LEFT(CH2706,8))),ISNUMBER(-LEFT(CH2706,8))),VALUE(LEFT(CH2706,4)),VALUE(LEFT(CH2706,FIND("-",CH2706)-1)))),""))</f>
        <v/>
      </c>
      <c r="CN2706">
        <f>IF(CH2706="","",IFERROR(IF(AND(LEN(CH2706)=9,ISERROR(FIND("-",LEFT(CH2706,8))),ISNUMBER(-LEFT(CH2706,8))),VALUE(MID(CH2706,5,2)),VALUE(MID(CH2706,FIND("-",CH2706)+1,FIND("-",CH2706,FIND("-",CH2706)+1)-FIND("-",CH2706)-1))),""))</f>
        <v/>
      </c>
      <c r="CO2706">
        <f>IF(CH2706="","",IFERROR(IF(AND(LEN(CH2706)=9,ISERROR(FIND("-",LEFT(CH2706,8))),ISNUMBER(-LEFT(CH2706,8))),VALUE(MID(CH2706,7,2)),VALUE(MID(CH2706,FIND("-",CH2706,FIND("-",CH2706)+1)+1,FIND("-",CH2706,FIND("-",CH2706,FIND("-",CH2706)+1)+1)-FIND("-",CH2706,FIND("-",CH2706)+1)-1))),""))</f>
        <v/>
      </c>
    </row>
    <row r="2707">
      <c r="CH2707">
        <f>IF(ISTEXT('월 가계부'!A2707),SUBSTITUTE(SUBSTITUTE(SUBSTITUTE(SUBSTITUTE(SUBSTITUTE(SUBSTITUTE(SUBSTITUTE(SUBSTITUTE(SUBSTITUTE(TRIM('월 가계부'!A2707),"년","-"),"월","-"),"일",""),".","-"),"/","-")," ","-"),"--","-"),"--","-"),"--","-")&amp;"-","")</f>
        <v/>
      </c>
      <c r="CI2707">
        <f>IFERROR(IF('월 가계부'!A2707="","",IF(ISNUMBER('월 가계부'!A2707),IF(AND('월 가계부'!A2707&gt;=19000101,'월 가계부'!A2707&lt;=21001231),IF(AND(MOD(INT('월 가계부'!A2707/100),100)&gt;=1,MOD(INT('월 가계부'!A2707/100),100)&lt;=12,MOD(INT('월 가계부'!A2707),100)&gt;=1,MOD(INT('월 가계부'!A2707),100)&lt;=31),IF(MONTH(DATE(INT('월 가계부'!A2707/10000),MOD(INT('월 가계부'!A2707/100),100),MOD(INT('월 가계부'!A2707),100)))=MOD(INT('월 가계부'!A2707/100),100),DATE(INT('월 가계부'!A2707/10000),MOD(INT('월 가계부'!A2707/100),100),MOD(INT('월 가계부'!A2707),100)),""),""),IF(AND('월 가계부'!A2707&gt;=36526,'월 가계부'!A2707&lt;73051),INT('월 가계부'!A2707),"")),IF(OR(CM2707="",CN2707="",CO2707=""),"",IF(AND(CM2707&gt;=2000,CM2707&lt;=2099,CN2707&gt;=1,CN2707&lt;=12,CO2707&gt;=1,CO2707&lt;=31),IF(MONTH(DATE(CM2707,CN2707,CO2707))=CN2707,DATE(CM2707,CN2707,CO2707),""),"")))),"")</f>
        <v/>
      </c>
      <c r="CJ2707">
        <f>IFERROR(IF('월 가계부'!C2707="","",IF(ISNUMBER('월 가계부'!C2707),'월 가계부'!C2707,VALUE(SUBSTITUTE(SUBSTITUTE(SUBSTITUTE(SUBSTITUTE(TRIM('월 가계부'!C2707),",",""),"원","")," ",""),"−","-")))),"")</f>
        <v/>
      </c>
      <c r="CK2707">
        <f>IF(ISNUMBER(CI2707),IF(CI2707&lt;$B$13,CI2707,""),"")</f>
        <v/>
      </c>
      <c r="CM2707">
        <f>IF(CH2707="","",IFERROR(IF(IF(AND(LEN(CH2707)=9,ISERROR(FIND("-",LEFT(CH2707,8))),ISNUMBER(-LEFT(CH2707,8))),VALUE(LEFT(CH2707,4)),VALUE(LEFT(CH2707,FIND("-",CH2707)-1)))&lt;100,IF(AND(LEN(CH2707)=9,ISERROR(FIND("-",LEFT(CH2707,8))),ISNUMBER(-LEFT(CH2707,8))),VALUE(LEFT(CH2707,4)),VALUE(LEFT(CH2707,FIND("-",CH2707)-1)))+2000,IF(AND(LEN(CH2707)=9,ISERROR(FIND("-",LEFT(CH2707,8))),ISNUMBER(-LEFT(CH2707,8))),VALUE(LEFT(CH2707,4)),VALUE(LEFT(CH2707,FIND("-",CH2707)-1)))),""))</f>
        <v/>
      </c>
      <c r="CN2707">
        <f>IF(CH2707="","",IFERROR(IF(AND(LEN(CH2707)=9,ISERROR(FIND("-",LEFT(CH2707,8))),ISNUMBER(-LEFT(CH2707,8))),VALUE(MID(CH2707,5,2)),VALUE(MID(CH2707,FIND("-",CH2707)+1,FIND("-",CH2707,FIND("-",CH2707)+1)-FIND("-",CH2707)-1))),""))</f>
        <v/>
      </c>
      <c r="CO2707">
        <f>IF(CH2707="","",IFERROR(IF(AND(LEN(CH2707)=9,ISERROR(FIND("-",LEFT(CH2707,8))),ISNUMBER(-LEFT(CH2707,8))),VALUE(MID(CH2707,7,2)),VALUE(MID(CH2707,FIND("-",CH2707,FIND("-",CH2707)+1)+1,FIND("-",CH2707,FIND("-",CH2707,FIND("-",CH2707)+1)+1)-FIND("-",CH2707,FIND("-",CH2707)+1)-1))),""))</f>
        <v/>
      </c>
    </row>
    <row r="2708">
      <c r="CH2708">
        <f>IF(ISTEXT('월 가계부'!A2708),SUBSTITUTE(SUBSTITUTE(SUBSTITUTE(SUBSTITUTE(SUBSTITUTE(SUBSTITUTE(SUBSTITUTE(SUBSTITUTE(SUBSTITUTE(TRIM('월 가계부'!A2708),"년","-"),"월","-"),"일",""),".","-"),"/","-")," ","-"),"--","-"),"--","-"),"--","-")&amp;"-","")</f>
        <v/>
      </c>
      <c r="CI2708">
        <f>IFERROR(IF('월 가계부'!A2708="","",IF(ISNUMBER('월 가계부'!A2708),IF(AND('월 가계부'!A2708&gt;=19000101,'월 가계부'!A2708&lt;=21001231),IF(AND(MOD(INT('월 가계부'!A2708/100),100)&gt;=1,MOD(INT('월 가계부'!A2708/100),100)&lt;=12,MOD(INT('월 가계부'!A2708),100)&gt;=1,MOD(INT('월 가계부'!A2708),100)&lt;=31),IF(MONTH(DATE(INT('월 가계부'!A2708/10000),MOD(INT('월 가계부'!A2708/100),100),MOD(INT('월 가계부'!A2708),100)))=MOD(INT('월 가계부'!A2708/100),100),DATE(INT('월 가계부'!A2708/10000),MOD(INT('월 가계부'!A2708/100),100),MOD(INT('월 가계부'!A2708),100)),""),""),IF(AND('월 가계부'!A2708&gt;=36526,'월 가계부'!A2708&lt;73051),INT('월 가계부'!A2708),"")),IF(OR(CM2708="",CN2708="",CO2708=""),"",IF(AND(CM2708&gt;=2000,CM2708&lt;=2099,CN2708&gt;=1,CN2708&lt;=12,CO2708&gt;=1,CO2708&lt;=31),IF(MONTH(DATE(CM2708,CN2708,CO2708))=CN2708,DATE(CM2708,CN2708,CO2708),""),"")))),"")</f>
        <v/>
      </c>
      <c r="CJ2708">
        <f>IFERROR(IF('월 가계부'!C2708="","",IF(ISNUMBER('월 가계부'!C2708),'월 가계부'!C2708,VALUE(SUBSTITUTE(SUBSTITUTE(SUBSTITUTE(SUBSTITUTE(TRIM('월 가계부'!C2708),",",""),"원","")," ",""),"−","-")))),"")</f>
        <v/>
      </c>
      <c r="CK2708">
        <f>IF(ISNUMBER(CI2708),IF(CI2708&lt;$B$13,CI2708,""),"")</f>
        <v/>
      </c>
      <c r="CM2708">
        <f>IF(CH2708="","",IFERROR(IF(IF(AND(LEN(CH2708)=9,ISERROR(FIND("-",LEFT(CH2708,8))),ISNUMBER(-LEFT(CH2708,8))),VALUE(LEFT(CH2708,4)),VALUE(LEFT(CH2708,FIND("-",CH2708)-1)))&lt;100,IF(AND(LEN(CH2708)=9,ISERROR(FIND("-",LEFT(CH2708,8))),ISNUMBER(-LEFT(CH2708,8))),VALUE(LEFT(CH2708,4)),VALUE(LEFT(CH2708,FIND("-",CH2708)-1)))+2000,IF(AND(LEN(CH2708)=9,ISERROR(FIND("-",LEFT(CH2708,8))),ISNUMBER(-LEFT(CH2708,8))),VALUE(LEFT(CH2708,4)),VALUE(LEFT(CH2708,FIND("-",CH2708)-1)))),""))</f>
        <v/>
      </c>
      <c r="CN2708">
        <f>IF(CH2708="","",IFERROR(IF(AND(LEN(CH2708)=9,ISERROR(FIND("-",LEFT(CH2708,8))),ISNUMBER(-LEFT(CH2708,8))),VALUE(MID(CH2708,5,2)),VALUE(MID(CH2708,FIND("-",CH2708)+1,FIND("-",CH2708,FIND("-",CH2708)+1)-FIND("-",CH2708)-1))),""))</f>
        <v/>
      </c>
      <c r="CO2708">
        <f>IF(CH2708="","",IFERROR(IF(AND(LEN(CH2708)=9,ISERROR(FIND("-",LEFT(CH2708,8))),ISNUMBER(-LEFT(CH2708,8))),VALUE(MID(CH2708,7,2)),VALUE(MID(CH2708,FIND("-",CH2708,FIND("-",CH2708)+1)+1,FIND("-",CH2708,FIND("-",CH2708,FIND("-",CH2708)+1)+1)-FIND("-",CH2708,FIND("-",CH2708)+1)-1))),""))</f>
        <v/>
      </c>
    </row>
    <row r="2709">
      <c r="CH2709">
        <f>IF(ISTEXT('월 가계부'!A2709),SUBSTITUTE(SUBSTITUTE(SUBSTITUTE(SUBSTITUTE(SUBSTITUTE(SUBSTITUTE(SUBSTITUTE(SUBSTITUTE(SUBSTITUTE(TRIM('월 가계부'!A2709),"년","-"),"월","-"),"일",""),".","-"),"/","-")," ","-"),"--","-"),"--","-"),"--","-")&amp;"-","")</f>
        <v/>
      </c>
      <c r="CI2709">
        <f>IFERROR(IF('월 가계부'!A2709="","",IF(ISNUMBER('월 가계부'!A2709),IF(AND('월 가계부'!A2709&gt;=19000101,'월 가계부'!A2709&lt;=21001231),IF(AND(MOD(INT('월 가계부'!A2709/100),100)&gt;=1,MOD(INT('월 가계부'!A2709/100),100)&lt;=12,MOD(INT('월 가계부'!A2709),100)&gt;=1,MOD(INT('월 가계부'!A2709),100)&lt;=31),IF(MONTH(DATE(INT('월 가계부'!A2709/10000),MOD(INT('월 가계부'!A2709/100),100),MOD(INT('월 가계부'!A2709),100)))=MOD(INT('월 가계부'!A2709/100),100),DATE(INT('월 가계부'!A2709/10000),MOD(INT('월 가계부'!A2709/100),100),MOD(INT('월 가계부'!A2709),100)),""),""),IF(AND('월 가계부'!A2709&gt;=36526,'월 가계부'!A2709&lt;73051),INT('월 가계부'!A2709),"")),IF(OR(CM2709="",CN2709="",CO2709=""),"",IF(AND(CM2709&gt;=2000,CM2709&lt;=2099,CN2709&gt;=1,CN2709&lt;=12,CO2709&gt;=1,CO2709&lt;=31),IF(MONTH(DATE(CM2709,CN2709,CO2709))=CN2709,DATE(CM2709,CN2709,CO2709),""),"")))),"")</f>
        <v/>
      </c>
      <c r="CJ2709">
        <f>IFERROR(IF('월 가계부'!C2709="","",IF(ISNUMBER('월 가계부'!C2709),'월 가계부'!C2709,VALUE(SUBSTITUTE(SUBSTITUTE(SUBSTITUTE(SUBSTITUTE(TRIM('월 가계부'!C2709),",",""),"원","")," ",""),"−","-")))),"")</f>
        <v/>
      </c>
      <c r="CK2709">
        <f>IF(ISNUMBER(CI2709),IF(CI2709&lt;$B$13,CI2709,""),"")</f>
        <v/>
      </c>
      <c r="CM2709">
        <f>IF(CH2709="","",IFERROR(IF(IF(AND(LEN(CH2709)=9,ISERROR(FIND("-",LEFT(CH2709,8))),ISNUMBER(-LEFT(CH2709,8))),VALUE(LEFT(CH2709,4)),VALUE(LEFT(CH2709,FIND("-",CH2709)-1)))&lt;100,IF(AND(LEN(CH2709)=9,ISERROR(FIND("-",LEFT(CH2709,8))),ISNUMBER(-LEFT(CH2709,8))),VALUE(LEFT(CH2709,4)),VALUE(LEFT(CH2709,FIND("-",CH2709)-1)))+2000,IF(AND(LEN(CH2709)=9,ISERROR(FIND("-",LEFT(CH2709,8))),ISNUMBER(-LEFT(CH2709,8))),VALUE(LEFT(CH2709,4)),VALUE(LEFT(CH2709,FIND("-",CH2709)-1)))),""))</f>
        <v/>
      </c>
      <c r="CN2709">
        <f>IF(CH2709="","",IFERROR(IF(AND(LEN(CH2709)=9,ISERROR(FIND("-",LEFT(CH2709,8))),ISNUMBER(-LEFT(CH2709,8))),VALUE(MID(CH2709,5,2)),VALUE(MID(CH2709,FIND("-",CH2709)+1,FIND("-",CH2709,FIND("-",CH2709)+1)-FIND("-",CH2709)-1))),""))</f>
        <v/>
      </c>
      <c r="CO2709">
        <f>IF(CH2709="","",IFERROR(IF(AND(LEN(CH2709)=9,ISERROR(FIND("-",LEFT(CH2709,8))),ISNUMBER(-LEFT(CH2709,8))),VALUE(MID(CH2709,7,2)),VALUE(MID(CH2709,FIND("-",CH2709,FIND("-",CH2709)+1)+1,FIND("-",CH2709,FIND("-",CH2709,FIND("-",CH2709)+1)+1)-FIND("-",CH2709,FIND("-",CH2709)+1)-1))),""))</f>
        <v/>
      </c>
    </row>
    <row r="2710">
      <c r="CH2710">
        <f>IF(ISTEXT('월 가계부'!A2710),SUBSTITUTE(SUBSTITUTE(SUBSTITUTE(SUBSTITUTE(SUBSTITUTE(SUBSTITUTE(SUBSTITUTE(SUBSTITUTE(SUBSTITUTE(TRIM('월 가계부'!A2710),"년","-"),"월","-"),"일",""),".","-"),"/","-")," ","-"),"--","-"),"--","-"),"--","-")&amp;"-","")</f>
        <v/>
      </c>
      <c r="CI2710">
        <f>IFERROR(IF('월 가계부'!A2710="","",IF(ISNUMBER('월 가계부'!A2710),IF(AND('월 가계부'!A2710&gt;=19000101,'월 가계부'!A2710&lt;=21001231),IF(AND(MOD(INT('월 가계부'!A2710/100),100)&gt;=1,MOD(INT('월 가계부'!A2710/100),100)&lt;=12,MOD(INT('월 가계부'!A2710),100)&gt;=1,MOD(INT('월 가계부'!A2710),100)&lt;=31),IF(MONTH(DATE(INT('월 가계부'!A2710/10000),MOD(INT('월 가계부'!A2710/100),100),MOD(INT('월 가계부'!A2710),100)))=MOD(INT('월 가계부'!A2710/100),100),DATE(INT('월 가계부'!A2710/10000),MOD(INT('월 가계부'!A2710/100),100),MOD(INT('월 가계부'!A2710),100)),""),""),IF(AND('월 가계부'!A2710&gt;=36526,'월 가계부'!A2710&lt;73051),INT('월 가계부'!A2710),"")),IF(OR(CM2710="",CN2710="",CO2710=""),"",IF(AND(CM2710&gt;=2000,CM2710&lt;=2099,CN2710&gt;=1,CN2710&lt;=12,CO2710&gt;=1,CO2710&lt;=31),IF(MONTH(DATE(CM2710,CN2710,CO2710))=CN2710,DATE(CM2710,CN2710,CO2710),""),"")))),"")</f>
        <v/>
      </c>
      <c r="CJ2710">
        <f>IFERROR(IF('월 가계부'!C2710="","",IF(ISNUMBER('월 가계부'!C2710),'월 가계부'!C2710,VALUE(SUBSTITUTE(SUBSTITUTE(SUBSTITUTE(SUBSTITUTE(TRIM('월 가계부'!C2710),",",""),"원","")," ",""),"−","-")))),"")</f>
        <v/>
      </c>
      <c r="CK2710">
        <f>IF(ISNUMBER(CI2710),IF(CI2710&lt;$B$13,CI2710,""),"")</f>
        <v/>
      </c>
      <c r="CM2710">
        <f>IF(CH2710="","",IFERROR(IF(IF(AND(LEN(CH2710)=9,ISERROR(FIND("-",LEFT(CH2710,8))),ISNUMBER(-LEFT(CH2710,8))),VALUE(LEFT(CH2710,4)),VALUE(LEFT(CH2710,FIND("-",CH2710)-1)))&lt;100,IF(AND(LEN(CH2710)=9,ISERROR(FIND("-",LEFT(CH2710,8))),ISNUMBER(-LEFT(CH2710,8))),VALUE(LEFT(CH2710,4)),VALUE(LEFT(CH2710,FIND("-",CH2710)-1)))+2000,IF(AND(LEN(CH2710)=9,ISERROR(FIND("-",LEFT(CH2710,8))),ISNUMBER(-LEFT(CH2710,8))),VALUE(LEFT(CH2710,4)),VALUE(LEFT(CH2710,FIND("-",CH2710)-1)))),""))</f>
        <v/>
      </c>
      <c r="CN2710">
        <f>IF(CH2710="","",IFERROR(IF(AND(LEN(CH2710)=9,ISERROR(FIND("-",LEFT(CH2710,8))),ISNUMBER(-LEFT(CH2710,8))),VALUE(MID(CH2710,5,2)),VALUE(MID(CH2710,FIND("-",CH2710)+1,FIND("-",CH2710,FIND("-",CH2710)+1)-FIND("-",CH2710)-1))),""))</f>
        <v/>
      </c>
      <c r="CO2710">
        <f>IF(CH2710="","",IFERROR(IF(AND(LEN(CH2710)=9,ISERROR(FIND("-",LEFT(CH2710,8))),ISNUMBER(-LEFT(CH2710,8))),VALUE(MID(CH2710,7,2)),VALUE(MID(CH2710,FIND("-",CH2710,FIND("-",CH2710)+1)+1,FIND("-",CH2710,FIND("-",CH2710,FIND("-",CH2710)+1)+1)-FIND("-",CH2710,FIND("-",CH2710)+1)-1))),""))</f>
        <v/>
      </c>
    </row>
    <row r="2711">
      <c r="CH2711">
        <f>IF(ISTEXT('월 가계부'!A2711),SUBSTITUTE(SUBSTITUTE(SUBSTITUTE(SUBSTITUTE(SUBSTITUTE(SUBSTITUTE(SUBSTITUTE(SUBSTITUTE(SUBSTITUTE(TRIM('월 가계부'!A2711),"년","-"),"월","-"),"일",""),".","-"),"/","-")," ","-"),"--","-"),"--","-"),"--","-")&amp;"-","")</f>
        <v/>
      </c>
      <c r="CI2711">
        <f>IFERROR(IF('월 가계부'!A2711="","",IF(ISNUMBER('월 가계부'!A2711),IF(AND('월 가계부'!A2711&gt;=19000101,'월 가계부'!A2711&lt;=21001231),IF(AND(MOD(INT('월 가계부'!A2711/100),100)&gt;=1,MOD(INT('월 가계부'!A2711/100),100)&lt;=12,MOD(INT('월 가계부'!A2711),100)&gt;=1,MOD(INT('월 가계부'!A2711),100)&lt;=31),IF(MONTH(DATE(INT('월 가계부'!A2711/10000),MOD(INT('월 가계부'!A2711/100),100),MOD(INT('월 가계부'!A2711),100)))=MOD(INT('월 가계부'!A2711/100),100),DATE(INT('월 가계부'!A2711/10000),MOD(INT('월 가계부'!A2711/100),100),MOD(INT('월 가계부'!A2711),100)),""),""),IF(AND('월 가계부'!A2711&gt;=36526,'월 가계부'!A2711&lt;73051),INT('월 가계부'!A2711),"")),IF(OR(CM2711="",CN2711="",CO2711=""),"",IF(AND(CM2711&gt;=2000,CM2711&lt;=2099,CN2711&gt;=1,CN2711&lt;=12,CO2711&gt;=1,CO2711&lt;=31),IF(MONTH(DATE(CM2711,CN2711,CO2711))=CN2711,DATE(CM2711,CN2711,CO2711),""),"")))),"")</f>
        <v/>
      </c>
      <c r="CJ2711">
        <f>IFERROR(IF('월 가계부'!C2711="","",IF(ISNUMBER('월 가계부'!C2711),'월 가계부'!C2711,VALUE(SUBSTITUTE(SUBSTITUTE(SUBSTITUTE(SUBSTITUTE(TRIM('월 가계부'!C2711),",",""),"원","")," ",""),"−","-")))),"")</f>
        <v/>
      </c>
      <c r="CK2711">
        <f>IF(ISNUMBER(CI2711),IF(CI2711&lt;$B$13,CI2711,""),"")</f>
        <v/>
      </c>
      <c r="CM2711">
        <f>IF(CH2711="","",IFERROR(IF(IF(AND(LEN(CH2711)=9,ISERROR(FIND("-",LEFT(CH2711,8))),ISNUMBER(-LEFT(CH2711,8))),VALUE(LEFT(CH2711,4)),VALUE(LEFT(CH2711,FIND("-",CH2711)-1)))&lt;100,IF(AND(LEN(CH2711)=9,ISERROR(FIND("-",LEFT(CH2711,8))),ISNUMBER(-LEFT(CH2711,8))),VALUE(LEFT(CH2711,4)),VALUE(LEFT(CH2711,FIND("-",CH2711)-1)))+2000,IF(AND(LEN(CH2711)=9,ISERROR(FIND("-",LEFT(CH2711,8))),ISNUMBER(-LEFT(CH2711,8))),VALUE(LEFT(CH2711,4)),VALUE(LEFT(CH2711,FIND("-",CH2711)-1)))),""))</f>
        <v/>
      </c>
      <c r="CN2711">
        <f>IF(CH2711="","",IFERROR(IF(AND(LEN(CH2711)=9,ISERROR(FIND("-",LEFT(CH2711,8))),ISNUMBER(-LEFT(CH2711,8))),VALUE(MID(CH2711,5,2)),VALUE(MID(CH2711,FIND("-",CH2711)+1,FIND("-",CH2711,FIND("-",CH2711)+1)-FIND("-",CH2711)-1))),""))</f>
        <v/>
      </c>
      <c r="CO2711">
        <f>IF(CH2711="","",IFERROR(IF(AND(LEN(CH2711)=9,ISERROR(FIND("-",LEFT(CH2711,8))),ISNUMBER(-LEFT(CH2711,8))),VALUE(MID(CH2711,7,2)),VALUE(MID(CH2711,FIND("-",CH2711,FIND("-",CH2711)+1)+1,FIND("-",CH2711,FIND("-",CH2711,FIND("-",CH2711)+1)+1)-FIND("-",CH2711,FIND("-",CH2711)+1)-1))),""))</f>
        <v/>
      </c>
    </row>
    <row r="2712">
      <c r="CH2712">
        <f>IF(ISTEXT('월 가계부'!A2712),SUBSTITUTE(SUBSTITUTE(SUBSTITUTE(SUBSTITUTE(SUBSTITUTE(SUBSTITUTE(SUBSTITUTE(SUBSTITUTE(SUBSTITUTE(TRIM('월 가계부'!A2712),"년","-"),"월","-"),"일",""),".","-"),"/","-")," ","-"),"--","-"),"--","-"),"--","-")&amp;"-","")</f>
        <v/>
      </c>
      <c r="CI2712">
        <f>IFERROR(IF('월 가계부'!A2712="","",IF(ISNUMBER('월 가계부'!A2712),IF(AND('월 가계부'!A2712&gt;=19000101,'월 가계부'!A2712&lt;=21001231),IF(AND(MOD(INT('월 가계부'!A2712/100),100)&gt;=1,MOD(INT('월 가계부'!A2712/100),100)&lt;=12,MOD(INT('월 가계부'!A2712),100)&gt;=1,MOD(INT('월 가계부'!A2712),100)&lt;=31),IF(MONTH(DATE(INT('월 가계부'!A2712/10000),MOD(INT('월 가계부'!A2712/100),100),MOD(INT('월 가계부'!A2712),100)))=MOD(INT('월 가계부'!A2712/100),100),DATE(INT('월 가계부'!A2712/10000),MOD(INT('월 가계부'!A2712/100),100),MOD(INT('월 가계부'!A2712),100)),""),""),IF(AND('월 가계부'!A2712&gt;=36526,'월 가계부'!A2712&lt;73051),INT('월 가계부'!A2712),"")),IF(OR(CM2712="",CN2712="",CO2712=""),"",IF(AND(CM2712&gt;=2000,CM2712&lt;=2099,CN2712&gt;=1,CN2712&lt;=12,CO2712&gt;=1,CO2712&lt;=31),IF(MONTH(DATE(CM2712,CN2712,CO2712))=CN2712,DATE(CM2712,CN2712,CO2712),""),"")))),"")</f>
        <v/>
      </c>
      <c r="CJ2712">
        <f>IFERROR(IF('월 가계부'!C2712="","",IF(ISNUMBER('월 가계부'!C2712),'월 가계부'!C2712,VALUE(SUBSTITUTE(SUBSTITUTE(SUBSTITUTE(SUBSTITUTE(TRIM('월 가계부'!C2712),",",""),"원","")," ",""),"−","-")))),"")</f>
        <v/>
      </c>
      <c r="CK2712">
        <f>IF(ISNUMBER(CI2712),IF(CI2712&lt;$B$13,CI2712,""),"")</f>
        <v/>
      </c>
      <c r="CM2712">
        <f>IF(CH2712="","",IFERROR(IF(IF(AND(LEN(CH2712)=9,ISERROR(FIND("-",LEFT(CH2712,8))),ISNUMBER(-LEFT(CH2712,8))),VALUE(LEFT(CH2712,4)),VALUE(LEFT(CH2712,FIND("-",CH2712)-1)))&lt;100,IF(AND(LEN(CH2712)=9,ISERROR(FIND("-",LEFT(CH2712,8))),ISNUMBER(-LEFT(CH2712,8))),VALUE(LEFT(CH2712,4)),VALUE(LEFT(CH2712,FIND("-",CH2712)-1)))+2000,IF(AND(LEN(CH2712)=9,ISERROR(FIND("-",LEFT(CH2712,8))),ISNUMBER(-LEFT(CH2712,8))),VALUE(LEFT(CH2712,4)),VALUE(LEFT(CH2712,FIND("-",CH2712)-1)))),""))</f>
        <v/>
      </c>
      <c r="CN2712">
        <f>IF(CH2712="","",IFERROR(IF(AND(LEN(CH2712)=9,ISERROR(FIND("-",LEFT(CH2712,8))),ISNUMBER(-LEFT(CH2712,8))),VALUE(MID(CH2712,5,2)),VALUE(MID(CH2712,FIND("-",CH2712)+1,FIND("-",CH2712,FIND("-",CH2712)+1)-FIND("-",CH2712)-1))),""))</f>
        <v/>
      </c>
      <c r="CO2712">
        <f>IF(CH2712="","",IFERROR(IF(AND(LEN(CH2712)=9,ISERROR(FIND("-",LEFT(CH2712,8))),ISNUMBER(-LEFT(CH2712,8))),VALUE(MID(CH2712,7,2)),VALUE(MID(CH2712,FIND("-",CH2712,FIND("-",CH2712)+1)+1,FIND("-",CH2712,FIND("-",CH2712,FIND("-",CH2712)+1)+1)-FIND("-",CH2712,FIND("-",CH2712)+1)-1))),""))</f>
        <v/>
      </c>
    </row>
    <row r="2713">
      <c r="CH2713">
        <f>IF(ISTEXT('월 가계부'!A2713),SUBSTITUTE(SUBSTITUTE(SUBSTITUTE(SUBSTITUTE(SUBSTITUTE(SUBSTITUTE(SUBSTITUTE(SUBSTITUTE(SUBSTITUTE(TRIM('월 가계부'!A2713),"년","-"),"월","-"),"일",""),".","-"),"/","-")," ","-"),"--","-"),"--","-"),"--","-")&amp;"-","")</f>
        <v/>
      </c>
      <c r="CI2713">
        <f>IFERROR(IF('월 가계부'!A2713="","",IF(ISNUMBER('월 가계부'!A2713),IF(AND('월 가계부'!A2713&gt;=19000101,'월 가계부'!A2713&lt;=21001231),IF(AND(MOD(INT('월 가계부'!A2713/100),100)&gt;=1,MOD(INT('월 가계부'!A2713/100),100)&lt;=12,MOD(INT('월 가계부'!A2713),100)&gt;=1,MOD(INT('월 가계부'!A2713),100)&lt;=31),IF(MONTH(DATE(INT('월 가계부'!A2713/10000),MOD(INT('월 가계부'!A2713/100),100),MOD(INT('월 가계부'!A2713),100)))=MOD(INT('월 가계부'!A2713/100),100),DATE(INT('월 가계부'!A2713/10000),MOD(INT('월 가계부'!A2713/100),100),MOD(INT('월 가계부'!A2713),100)),""),""),IF(AND('월 가계부'!A2713&gt;=36526,'월 가계부'!A2713&lt;73051),INT('월 가계부'!A2713),"")),IF(OR(CM2713="",CN2713="",CO2713=""),"",IF(AND(CM2713&gt;=2000,CM2713&lt;=2099,CN2713&gt;=1,CN2713&lt;=12,CO2713&gt;=1,CO2713&lt;=31),IF(MONTH(DATE(CM2713,CN2713,CO2713))=CN2713,DATE(CM2713,CN2713,CO2713),""),"")))),"")</f>
        <v/>
      </c>
      <c r="CJ2713">
        <f>IFERROR(IF('월 가계부'!C2713="","",IF(ISNUMBER('월 가계부'!C2713),'월 가계부'!C2713,VALUE(SUBSTITUTE(SUBSTITUTE(SUBSTITUTE(SUBSTITUTE(TRIM('월 가계부'!C2713),",",""),"원","")," ",""),"−","-")))),"")</f>
        <v/>
      </c>
      <c r="CK2713">
        <f>IF(ISNUMBER(CI2713),IF(CI2713&lt;$B$13,CI2713,""),"")</f>
        <v/>
      </c>
      <c r="CM2713">
        <f>IF(CH2713="","",IFERROR(IF(IF(AND(LEN(CH2713)=9,ISERROR(FIND("-",LEFT(CH2713,8))),ISNUMBER(-LEFT(CH2713,8))),VALUE(LEFT(CH2713,4)),VALUE(LEFT(CH2713,FIND("-",CH2713)-1)))&lt;100,IF(AND(LEN(CH2713)=9,ISERROR(FIND("-",LEFT(CH2713,8))),ISNUMBER(-LEFT(CH2713,8))),VALUE(LEFT(CH2713,4)),VALUE(LEFT(CH2713,FIND("-",CH2713)-1)))+2000,IF(AND(LEN(CH2713)=9,ISERROR(FIND("-",LEFT(CH2713,8))),ISNUMBER(-LEFT(CH2713,8))),VALUE(LEFT(CH2713,4)),VALUE(LEFT(CH2713,FIND("-",CH2713)-1)))),""))</f>
        <v/>
      </c>
      <c r="CN2713">
        <f>IF(CH2713="","",IFERROR(IF(AND(LEN(CH2713)=9,ISERROR(FIND("-",LEFT(CH2713,8))),ISNUMBER(-LEFT(CH2713,8))),VALUE(MID(CH2713,5,2)),VALUE(MID(CH2713,FIND("-",CH2713)+1,FIND("-",CH2713,FIND("-",CH2713)+1)-FIND("-",CH2713)-1))),""))</f>
        <v/>
      </c>
      <c r="CO2713">
        <f>IF(CH2713="","",IFERROR(IF(AND(LEN(CH2713)=9,ISERROR(FIND("-",LEFT(CH2713,8))),ISNUMBER(-LEFT(CH2713,8))),VALUE(MID(CH2713,7,2)),VALUE(MID(CH2713,FIND("-",CH2713,FIND("-",CH2713)+1)+1,FIND("-",CH2713,FIND("-",CH2713,FIND("-",CH2713)+1)+1)-FIND("-",CH2713,FIND("-",CH2713)+1)-1))),""))</f>
        <v/>
      </c>
    </row>
    <row r="2714">
      <c r="CH2714">
        <f>IF(ISTEXT('월 가계부'!A2714),SUBSTITUTE(SUBSTITUTE(SUBSTITUTE(SUBSTITUTE(SUBSTITUTE(SUBSTITUTE(SUBSTITUTE(SUBSTITUTE(SUBSTITUTE(TRIM('월 가계부'!A2714),"년","-"),"월","-"),"일",""),".","-"),"/","-")," ","-"),"--","-"),"--","-"),"--","-")&amp;"-","")</f>
        <v/>
      </c>
      <c r="CI2714">
        <f>IFERROR(IF('월 가계부'!A2714="","",IF(ISNUMBER('월 가계부'!A2714),IF(AND('월 가계부'!A2714&gt;=19000101,'월 가계부'!A2714&lt;=21001231),IF(AND(MOD(INT('월 가계부'!A2714/100),100)&gt;=1,MOD(INT('월 가계부'!A2714/100),100)&lt;=12,MOD(INT('월 가계부'!A2714),100)&gt;=1,MOD(INT('월 가계부'!A2714),100)&lt;=31),IF(MONTH(DATE(INT('월 가계부'!A2714/10000),MOD(INT('월 가계부'!A2714/100),100),MOD(INT('월 가계부'!A2714),100)))=MOD(INT('월 가계부'!A2714/100),100),DATE(INT('월 가계부'!A2714/10000),MOD(INT('월 가계부'!A2714/100),100),MOD(INT('월 가계부'!A2714),100)),""),""),IF(AND('월 가계부'!A2714&gt;=36526,'월 가계부'!A2714&lt;73051),INT('월 가계부'!A2714),"")),IF(OR(CM2714="",CN2714="",CO2714=""),"",IF(AND(CM2714&gt;=2000,CM2714&lt;=2099,CN2714&gt;=1,CN2714&lt;=12,CO2714&gt;=1,CO2714&lt;=31),IF(MONTH(DATE(CM2714,CN2714,CO2714))=CN2714,DATE(CM2714,CN2714,CO2714),""),"")))),"")</f>
        <v/>
      </c>
      <c r="CJ2714">
        <f>IFERROR(IF('월 가계부'!C2714="","",IF(ISNUMBER('월 가계부'!C2714),'월 가계부'!C2714,VALUE(SUBSTITUTE(SUBSTITUTE(SUBSTITUTE(SUBSTITUTE(TRIM('월 가계부'!C2714),",",""),"원","")," ",""),"−","-")))),"")</f>
        <v/>
      </c>
      <c r="CK2714">
        <f>IF(ISNUMBER(CI2714),IF(CI2714&lt;$B$13,CI2714,""),"")</f>
        <v/>
      </c>
      <c r="CM2714">
        <f>IF(CH2714="","",IFERROR(IF(IF(AND(LEN(CH2714)=9,ISERROR(FIND("-",LEFT(CH2714,8))),ISNUMBER(-LEFT(CH2714,8))),VALUE(LEFT(CH2714,4)),VALUE(LEFT(CH2714,FIND("-",CH2714)-1)))&lt;100,IF(AND(LEN(CH2714)=9,ISERROR(FIND("-",LEFT(CH2714,8))),ISNUMBER(-LEFT(CH2714,8))),VALUE(LEFT(CH2714,4)),VALUE(LEFT(CH2714,FIND("-",CH2714)-1)))+2000,IF(AND(LEN(CH2714)=9,ISERROR(FIND("-",LEFT(CH2714,8))),ISNUMBER(-LEFT(CH2714,8))),VALUE(LEFT(CH2714,4)),VALUE(LEFT(CH2714,FIND("-",CH2714)-1)))),""))</f>
        <v/>
      </c>
      <c r="CN2714">
        <f>IF(CH2714="","",IFERROR(IF(AND(LEN(CH2714)=9,ISERROR(FIND("-",LEFT(CH2714,8))),ISNUMBER(-LEFT(CH2714,8))),VALUE(MID(CH2714,5,2)),VALUE(MID(CH2714,FIND("-",CH2714)+1,FIND("-",CH2714,FIND("-",CH2714)+1)-FIND("-",CH2714)-1))),""))</f>
        <v/>
      </c>
      <c r="CO2714">
        <f>IF(CH2714="","",IFERROR(IF(AND(LEN(CH2714)=9,ISERROR(FIND("-",LEFT(CH2714,8))),ISNUMBER(-LEFT(CH2714,8))),VALUE(MID(CH2714,7,2)),VALUE(MID(CH2714,FIND("-",CH2714,FIND("-",CH2714)+1)+1,FIND("-",CH2714,FIND("-",CH2714,FIND("-",CH2714)+1)+1)-FIND("-",CH2714,FIND("-",CH2714)+1)-1))),""))</f>
        <v/>
      </c>
    </row>
    <row r="2715">
      <c r="CH2715">
        <f>IF(ISTEXT('월 가계부'!A2715),SUBSTITUTE(SUBSTITUTE(SUBSTITUTE(SUBSTITUTE(SUBSTITUTE(SUBSTITUTE(SUBSTITUTE(SUBSTITUTE(SUBSTITUTE(TRIM('월 가계부'!A2715),"년","-"),"월","-"),"일",""),".","-"),"/","-")," ","-"),"--","-"),"--","-"),"--","-")&amp;"-","")</f>
        <v/>
      </c>
      <c r="CI2715">
        <f>IFERROR(IF('월 가계부'!A2715="","",IF(ISNUMBER('월 가계부'!A2715),IF(AND('월 가계부'!A2715&gt;=19000101,'월 가계부'!A2715&lt;=21001231),IF(AND(MOD(INT('월 가계부'!A2715/100),100)&gt;=1,MOD(INT('월 가계부'!A2715/100),100)&lt;=12,MOD(INT('월 가계부'!A2715),100)&gt;=1,MOD(INT('월 가계부'!A2715),100)&lt;=31),IF(MONTH(DATE(INT('월 가계부'!A2715/10000),MOD(INT('월 가계부'!A2715/100),100),MOD(INT('월 가계부'!A2715),100)))=MOD(INT('월 가계부'!A2715/100),100),DATE(INT('월 가계부'!A2715/10000),MOD(INT('월 가계부'!A2715/100),100),MOD(INT('월 가계부'!A2715),100)),""),""),IF(AND('월 가계부'!A2715&gt;=36526,'월 가계부'!A2715&lt;73051),INT('월 가계부'!A2715),"")),IF(OR(CM2715="",CN2715="",CO2715=""),"",IF(AND(CM2715&gt;=2000,CM2715&lt;=2099,CN2715&gt;=1,CN2715&lt;=12,CO2715&gt;=1,CO2715&lt;=31),IF(MONTH(DATE(CM2715,CN2715,CO2715))=CN2715,DATE(CM2715,CN2715,CO2715),""),"")))),"")</f>
        <v/>
      </c>
      <c r="CJ2715">
        <f>IFERROR(IF('월 가계부'!C2715="","",IF(ISNUMBER('월 가계부'!C2715),'월 가계부'!C2715,VALUE(SUBSTITUTE(SUBSTITUTE(SUBSTITUTE(SUBSTITUTE(TRIM('월 가계부'!C2715),",",""),"원","")," ",""),"−","-")))),"")</f>
        <v/>
      </c>
      <c r="CK2715">
        <f>IF(ISNUMBER(CI2715),IF(CI2715&lt;$B$13,CI2715,""),"")</f>
        <v/>
      </c>
      <c r="CM2715">
        <f>IF(CH2715="","",IFERROR(IF(IF(AND(LEN(CH2715)=9,ISERROR(FIND("-",LEFT(CH2715,8))),ISNUMBER(-LEFT(CH2715,8))),VALUE(LEFT(CH2715,4)),VALUE(LEFT(CH2715,FIND("-",CH2715)-1)))&lt;100,IF(AND(LEN(CH2715)=9,ISERROR(FIND("-",LEFT(CH2715,8))),ISNUMBER(-LEFT(CH2715,8))),VALUE(LEFT(CH2715,4)),VALUE(LEFT(CH2715,FIND("-",CH2715)-1)))+2000,IF(AND(LEN(CH2715)=9,ISERROR(FIND("-",LEFT(CH2715,8))),ISNUMBER(-LEFT(CH2715,8))),VALUE(LEFT(CH2715,4)),VALUE(LEFT(CH2715,FIND("-",CH2715)-1)))),""))</f>
        <v/>
      </c>
      <c r="CN2715">
        <f>IF(CH2715="","",IFERROR(IF(AND(LEN(CH2715)=9,ISERROR(FIND("-",LEFT(CH2715,8))),ISNUMBER(-LEFT(CH2715,8))),VALUE(MID(CH2715,5,2)),VALUE(MID(CH2715,FIND("-",CH2715)+1,FIND("-",CH2715,FIND("-",CH2715)+1)-FIND("-",CH2715)-1))),""))</f>
        <v/>
      </c>
      <c r="CO2715">
        <f>IF(CH2715="","",IFERROR(IF(AND(LEN(CH2715)=9,ISERROR(FIND("-",LEFT(CH2715,8))),ISNUMBER(-LEFT(CH2715,8))),VALUE(MID(CH2715,7,2)),VALUE(MID(CH2715,FIND("-",CH2715,FIND("-",CH2715)+1)+1,FIND("-",CH2715,FIND("-",CH2715,FIND("-",CH2715)+1)+1)-FIND("-",CH2715,FIND("-",CH2715)+1)-1))),""))</f>
        <v/>
      </c>
    </row>
    <row r="2716">
      <c r="CH2716">
        <f>IF(ISTEXT('월 가계부'!A2716),SUBSTITUTE(SUBSTITUTE(SUBSTITUTE(SUBSTITUTE(SUBSTITUTE(SUBSTITUTE(SUBSTITUTE(SUBSTITUTE(SUBSTITUTE(TRIM('월 가계부'!A2716),"년","-"),"월","-"),"일",""),".","-"),"/","-")," ","-"),"--","-"),"--","-"),"--","-")&amp;"-","")</f>
        <v/>
      </c>
      <c r="CI2716">
        <f>IFERROR(IF('월 가계부'!A2716="","",IF(ISNUMBER('월 가계부'!A2716),IF(AND('월 가계부'!A2716&gt;=19000101,'월 가계부'!A2716&lt;=21001231),IF(AND(MOD(INT('월 가계부'!A2716/100),100)&gt;=1,MOD(INT('월 가계부'!A2716/100),100)&lt;=12,MOD(INT('월 가계부'!A2716),100)&gt;=1,MOD(INT('월 가계부'!A2716),100)&lt;=31),IF(MONTH(DATE(INT('월 가계부'!A2716/10000),MOD(INT('월 가계부'!A2716/100),100),MOD(INT('월 가계부'!A2716),100)))=MOD(INT('월 가계부'!A2716/100),100),DATE(INT('월 가계부'!A2716/10000),MOD(INT('월 가계부'!A2716/100),100),MOD(INT('월 가계부'!A2716),100)),""),""),IF(AND('월 가계부'!A2716&gt;=36526,'월 가계부'!A2716&lt;73051),INT('월 가계부'!A2716),"")),IF(OR(CM2716="",CN2716="",CO2716=""),"",IF(AND(CM2716&gt;=2000,CM2716&lt;=2099,CN2716&gt;=1,CN2716&lt;=12,CO2716&gt;=1,CO2716&lt;=31),IF(MONTH(DATE(CM2716,CN2716,CO2716))=CN2716,DATE(CM2716,CN2716,CO2716),""),"")))),"")</f>
        <v/>
      </c>
      <c r="CJ2716">
        <f>IFERROR(IF('월 가계부'!C2716="","",IF(ISNUMBER('월 가계부'!C2716),'월 가계부'!C2716,VALUE(SUBSTITUTE(SUBSTITUTE(SUBSTITUTE(SUBSTITUTE(TRIM('월 가계부'!C2716),",",""),"원","")," ",""),"−","-")))),"")</f>
        <v/>
      </c>
      <c r="CK2716">
        <f>IF(ISNUMBER(CI2716),IF(CI2716&lt;$B$13,CI2716,""),"")</f>
        <v/>
      </c>
      <c r="CM2716">
        <f>IF(CH2716="","",IFERROR(IF(IF(AND(LEN(CH2716)=9,ISERROR(FIND("-",LEFT(CH2716,8))),ISNUMBER(-LEFT(CH2716,8))),VALUE(LEFT(CH2716,4)),VALUE(LEFT(CH2716,FIND("-",CH2716)-1)))&lt;100,IF(AND(LEN(CH2716)=9,ISERROR(FIND("-",LEFT(CH2716,8))),ISNUMBER(-LEFT(CH2716,8))),VALUE(LEFT(CH2716,4)),VALUE(LEFT(CH2716,FIND("-",CH2716)-1)))+2000,IF(AND(LEN(CH2716)=9,ISERROR(FIND("-",LEFT(CH2716,8))),ISNUMBER(-LEFT(CH2716,8))),VALUE(LEFT(CH2716,4)),VALUE(LEFT(CH2716,FIND("-",CH2716)-1)))),""))</f>
        <v/>
      </c>
      <c r="CN2716">
        <f>IF(CH2716="","",IFERROR(IF(AND(LEN(CH2716)=9,ISERROR(FIND("-",LEFT(CH2716,8))),ISNUMBER(-LEFT(CH2716,8))),VALUE(MID(CH2716,5,2)),VALUE(MID(CH2716,FIND("-",CH2716)+1,FIND("-",CH2716,FIND("-",CH2716)+1)-FIND("-",CH2716)-1))),""))</f>
        <v/>
      </c>
      <c r="CO2716">
        <f>IF(CH2716="","",IFERROR(IF(AND(LEN(CH2716)=9,ISERROR(FIND("-",LEFT(CH2716,8))),ISNUMBER(-LEFT(CH2716,8))),VALUE(MID(CH2716,7,2)),VALUE(MID(CH2716,FIND("-",CH2716,FIND("-",CH2716)+1)+1,FIND("-",CH2716,FIND("-",CH2716,FIND("-",CH2716)+1)+1)-FIND("-",CH2716,FIND("-",CH2716)+1)-1))),""))</f>
        <v/>
      </c>
    </row>
    <row r="2717">
      <c r="CH2717">
        <f>IF(ISTEXT('월 가계부'!A2717),SUBSTITUTE(SUBSTITUTE(SUBSTITUTE(SUBSTITUTE(SUBSTITUTE(SUBSTITUTE(SUBSTITUTE(SUBSTITUTE(SUBSTITUTE(TRIM('월 가계부'!A2717),"년","-"),"월","-"),"일",""),".","-"),"/","-")," ","-"),"--","-"),"--","-"),"--","-")&amp;"-","")</f>
        <v/>
      </c>
      <c r="CI2717">
        <f>IFERROR(IF('월 가계부'!A2717="","",IF(ISNUMBER('월 가계부'!A2717),IF(AND('월 가계부'!A2717&gt;=19000101,'월 가계부'!A2717&lt;=21001231),IF(AND(MOD(INT('월 가계부'!A2717/100),100)&gt;=1,MOD(INT('월 가계부'!A2717/100),100)&lt;=12,MOD(INT('월 가계부'!A2717),100)&gt;=1,MOD(INT('월 가계부'!A2717),100)&lt;=31),IF(MONTH(DATE(INT('월 가계부'!A2717/10000),MOD(INT('월 가계부'!A2717/100),100),MOD(INT('월 가계부'!A2717),100)))=MOD(INT('월 가계부'!A2717/100),100),DATE(INT('월 가계부'!A2717/10000),MOD(INT('월 가계부'!A2717/100),100),MOD(INT('월 가계부'!A2717),100)),""),""),IF(AND('월 가계부'!A2717&gt;=36526,'월 가계부'!A2717&lt;73051),INT('월 가계부'!A2717),"")),IF(OR(CM2717="",CN2717="",CO2717=""),"",IF(AND(CM2717&gt;=2000,CM2717&lt;=2099,CN2717&gt;=1,CN2717&lt;=12,CO2717&gt;=1,CO2717&lt;=31),IF(MONTH(DATE(CM2717,CN2717,CO2717))=CN2717,DATE(CM2717,CN2717,CO2717),""),"")))),"")</f>
        <v/>
      </c>
      <c r="CJ2717">
        <f>IFERROR(IF('월 가계부'!C2717="","",IF(ISNUMBER('월 가계부'!C2717),'월 가계부'!C2717,VALUE(SUBSTITUTE(SUBSTITUTE(SUBSTITUTE(SUBSTITUTE(TRIM('월 가계부'!C2717),",",""),"원","")," ",""),"−","-")))),"")</f>
        <v/>
      </c>
      <c r="CK2717">
        <f>IF(ISNUMBER(CI2717),IF(CI2717&lt;$B$13,CI2717,""),"")</f>
        <v/>
      </c>
      <c r="CM2717">
        <f>IF(CH2717="","",IFERROR(IF(IF(AND(LEN(CH2717)=9,ISERROR(FIND("-",LEFT(CH2717,8))),ISNUMBER(-LEFT(CH2717,8))),VALUE(LEFT(CH2717,4)),VALUE(LEFT(CH2717,FIND("-",CH2717)-1)))&lt;100,IF(AND(LEN(CH2717)=9,ISERROR(FIND("-",LEFT(CH2717,8))),ISNUMBER(-LEFT(CH2717,8))),VALUE(LEFT(CH2717,4)),VALUE(LEFT(CH2717,FIND("-",CH2717)-1)))+2000,IF(AND(LEN(CH2717)=9,ISERROR(FIND("-",LEFT(CH2717,8))),ISNUMBER(-LEFT(CH2717,8))),VALUE(LEFT(CH2717,4)),VALUE(LEFT(CH2717,FIND("-",CH2717)-1)))),""))</f>
        <v/>
      </c>
      <c r="CN2717">
        <f>IF(CH2717="","",IFERROR(IF(AND(LEN(CH2717)=9,ISERROR(FIND("-",LEFT(CH2717,8))),ISNUMBER(-LEFT(CH2717,8))),VALUE(MID(CH2717,5,2)),VALUE(MID(CH2717,FIND("-",CH2717)+1,FIND("-",CH2717,FIND("-",CH2717)+1)-FIND("-",CH2717)-1))),""))</f>
        <v/>
      </c>
      <c r="CO2717">
        <f>IF(CH2717="","",IFERROR(IF(AND(LEN(CH2717)=9,ISERROR(FIND("-",LEFT(CH2717,8))),ISNUMBER(-LEFT(CH2717,8))),VALUE(MID(CH2717,7,2)),VALUE(MID(CH2717,FIND("-",CH2717,FIND("-",CH2717)+1)+1,FIND("-",CH2717,FIND("-",CH2717,FIND("-",CH2717)+1)+1)-FIND("-",CH2717,FIND("-",CH2717)+1)-1))),""))</f>
        <v/>
      </c>
    </row>
    <row r="2718">
      <c r="CH2718">
        <f>IF(ISTEXT('월 가계부'!A2718),SUBSTITUTE(SUBSTITUTE(SUBSTITUTE(SUBSTITUTE(SUBSTITUTE(SUBSTITUTE(SUBSTITUTE(SUBSTITUTE(SUBSTITUTE(TRIM('월 가계부'!A2718),"년","-"),"월","-"),"일",""),".","-"),"/","-")," ","-"),"--","-"),"--","-"),"--","-")&amp;"-","")</f>
        <v/>
      </c>
      <c r="CI2718">
        <f>IFERROR(IF('월 가계부'!A2718="","",IF(ISNUMBER('월 가계부'!A2718),IF(AND('월 가계부'!A2718&gt;=19000101,'월 가계부'!A2718&lt;=21001231),IF(AND(MOD(INT('월 가계부'!A2718/100),100)&gt;=1,MOD(INT('월 가계부'!A2718/100),100)&lt;=12,MOD(INT('월 가계부'!A2718),100)&gt;=1,MOD(INT('월 가계부'!A2718),100)&lt;=31),IF(MONTH(DATE(INT('월 가계부'!A2718/10000),MOD(INT('월 가계부'!A2718/100),100),MOD(INT('월 가계부'!A2718),100)))=MOD(INT('월 가계부'!A2718/100),100),DATE(INT('월 가계부'!A2718/10000),MOD(INT('월 가계부'!A2718/100),100),MOD(INT('월 가계부'!A2718),100)),""),""),IF(AND('월 가계부'!A2718&gt;=36526,'월 가계부'!A2718&lt;73051),INT('월 가계부'!A2718),"")),IF(OR(CM2718="",CN2718="",CO2718=""),"",IF(AND(CM2718&gt;=2000,CM2718&lt;=2099,CN2718&gt;=1,CN2718&lt;=12,CO2718&gt;=1,CO2718&lt;=31),IF(MONTH(DATE(CM2718,CN2718,CO2718))=CN2718,DATE(CM2718,CN2718,CO2718),""),"")))),"")</f>
        <v/>
      </c>
      <c r="CJ2718">
        <f>IFERROR(IF('월 가계부'!C2718="","",IF(ISNUMBER('월 가계부'!C2718),'월 가계부'!C2718,VALUE(SUBSTITUTE(SUBSTITUTE(SUBSTITUTE(SUBSTITUTE(TRIM('월 가계부'!C2718),",",""),"원","")," ",""),"−","-")))),"")</f>
        <v/>
      </c>
      <c r="CK2718">
        <f>IF(ISNUMBER(CI2718),IF(CI2718&lt;$B$13,CI2718,""),"")</f>
        <v/>
      </c>
      <c r="CM2718">
        <f>IF(CH2718="","",IFERROR(IF(IF(AND(LEN(CH2718)=9,ISERROR(FIND("-",LEFT(CH2718,8))),ISNUMBER(-LEFT(CH2718,8))),VALUE(LEFT(CH2718,4)),VALUE(LEFT(CH2718,FIND("-",CH2718)-1)))&lt;100,IF(AND(LEN(CH2718)=9,ISERROR(FIND("-",LEFT(CH2718,8))),ISNUMBER(-LEFT(CH2718,8))),VALUE(LEFT(CH2718,4)),VALUE(LEFT(CH2718,FIND("-",CH2718)-1)))+2000,IF(AND(LEN(CH2718)=9,ISERROR(FIND("-",LEFT(CH2718,8))),ISNUMBER(-LEFT(CH2718,8))),VALUE(LEFT(CH2718,4)),VALUE(LEFT(CH2718,FIND("-",CH2718)-1)))),""))</f>
        <v/>
      </c>
      <c r="CN2718">
        <f>IF(CH2718="","",IFERROR(IF(AND(LEN(CH2718)=9,ISERROR(FIND("-",LEFT(CH2718,8))),ISNUMBER(-LEFT(CH2718,8))),VALUE(MID(CH2718,5,2)),VALUE(MID(CH2718,FIND("-",CH2718)+1,FIND("-",CH2718,FIND("-",CH2718)+1)-FIND("-",CH2718)-1))),""))</f>
        <v/>
      </c>
      <c r="CO2718">
        <f>IF(CH2718="","",IFERROR(IF(AND(LEN(CH2718)=9,ISERROR(FIND("-",LEFT(CH2718,8))),ISNUMBER(-LEFT(CH2718,8))),VALUE(MID(CH2718,7,2)),VALUE(MID(CH2718,FIND("-",CH2718,FIND("-",CH2718)+1)+1,FIND("-",CH2718,FIND("-",CH2718,FIND("-",CH2718)+1)+1)-FIND("-",CH2718,FIND("-",CH2718)+1)-1))),""))</f>
        <v/>
      </c>
    </row>
    <row r="2719">
      <c r="CH2719">
        <f>IF(ISTEXT('월 가계부'!A2719),SUBSTITUTE(SUBSTITUTE(SUBSTITUTE(SUBSTITUTE(SUBSTITUTE(SUBSTITUTE(SUBSTITUTE(SUBSTITUTE(SUBSTITUTE(TRIM('월 가계부'!A2719),"년","-"),"월","-"),"일",""),".","-"),"/","-")," ","-"),"--","-"),"--","-"),"--","-")&amp;"-","")</f>
        <v/>
      </c>
      <c r="CI2719">
        <f>IFERROR(IF('월 가계부'!A2719="","",IF(ISNUMBER('월 가계부'!A2719),IF(AND('월 가계부'!A2719&gt;=19000101,'월 가계부'!A2719&lt;=21001231),IF(AND(MOD(INT('월 가계부'!A2719/100),100)&gt;=1,MOD(INT('월 가계부'!A2719/100),100)&lt;=12,MOD(INT('월 가계부'!A2719),100)&gt;=1,MOD(INT('월 가계부'!A2719),100)&lt;=31),IF(MONTH(DATE(INT('월 가계부'!A2719/10000),MOD(INT('월 가계부'!A2719/100),100),MOD(INT('월 가계부'!A2719),100)))=MOD(INT('월 가계부'!A2719/100),100),DATE(INT('월 가계부'!A2719/10000),MOD(INT('월 가계부'!A2719/100),100),MOD(INT('월 가계부'!A2719),100)),""),""),IF(AND('월 가계부'!A2719&gt;=36526,'월 가계부'!A2719&lt;73051),INT('월 가계부'!A2719),"")),IF(OR(CM2719="",CN2719="",CO2719=""),"",IF(AND(CM2719&gt;=2000,CM2719&lt;=2099,CN2719&gt;=1,CN2719&lt;=12,CO2719&gt;=1,CO2719&lt;=31),IF(MONTH(DATE(CM2719,CN2719,CO2719))=CN2719,DATE(CM2719,CN2719,CO2719),""),"")))),"")</f>
        <v/>
      </c>
      <c r="CJ2719">
        <f>IFERROR(IF('월 가계부'!C2719="","",IF(ISNUMBER('월 가계부'!C2719),'월 가계부'!C2719,VALUE(SUBSTITUTE(SUBSTITUTE(SUBSTITUTE(SUBSTITUTE(TRIM('월 가계부'!C2719),",",""),"원","")," ",""),"−","-")))),"")</f>
        <v/>
      </c>
      <c r="CK2719">
        <f>IF(ISNUMBER(CI2719),IF(CI2719&lt;$B$13,CI2719,""),"")</f>
        <v/>
      </c>
      <c r="CM2719">
        <f>IF(CH2719="","",IFERROR(IF(IF(AND(LEN(CH2719)=9,ISERROR(FIND("-",LEFT(CH2719,8))),ISNUMBER(-LEFT(CH2719,8))),VALUE(LEFT(CH2719,4)),VALUE(LEFT(CH2719,FIND("-",CH2719)-1)))&lt;100,IF(AND(LEN(CH2719)=9,ISERROR(FIND("-",LEFT(CH2719,8))),ISNUMBER(-LEFT(CH2719,8))),VALUE(LEFT(CH2719,4)),VALUE(LEFT(CH2719,FIND("-",CH2719)-1)))+2000,IF(AND(LEN(CH2719)=9,ISERROR(FIND("-",LEFT(CH2719,8))),ISNUMBER(-LEFT(CH2719,8))),VALUE(LEFT(CH2719,4)),VALUE(LEFT(CH2719,FIND("-",CH2719)-1)))),""))</f>
        <v/>
      </c>
      <c r="CN2719">
        <f>IF(CH2719="","",IFERROR(IF(AND(LEN(CH2719)=9,ISERROR(FIND("-",LEFT(CH2719,8))),ISNUMBER(-LEFT(CH2719,8))),VALUE(MID(CH2719,5,2)),VALUE(MID(CH2719,FIND("-",CH2719)+1,FIND("-",CH2719,FIND("-",CH2719)+1)-FIND("-",CH2719)-1))),""))</f>
        <v/>
      </c>
      <c r="CO2719">
        <f>IF(CH2719="","",IFERROR(IF(AND(LEN(CH2719)=9,ISERROR(FIND("-",LEFT(CH2719,8))),ISNUMBER(-LEFT(CH2719,8))),VALUE(MID(CH2719,7,2)),VALUE(MID(CH2719,FIND("-",CH2719,FIND("-",CH2719)+1)+1,FIND("-",CH2719,FIND("-",CH2719,FIND("-",CH2719)+1)+1)-FIND("-",CH2719,FIND("-",CH2719)+1)-1))),""))</f>
        <v/>
      </c>
    </row>
    <row r="2720">
      <c r="CH2720">
        <f>IF(ISTEXT('월 가계부'!A2720),SUBSTITUTE(SUBSTITUTE(SUBSTITUTE(SUBSTITUTE(SUBSTITUTE(SUBSTITUTE(SUBSTITUTE(SUBSTITUTE(SUBSTITUTE(TRIM('월 가계부'!A2720),"년","-"),"월","-"),"일",""),".","-"),"/","-")," ","-"),"--","-"),"--","-"),"--","-")&amp;"-","")</f>
        <v/>
      </c>
      <c r="CI2720">
        <f>IFERROR(IF('월 가계부'!A2720="","",IF(ISNUMBER('월 가계부'!A2720),IF(AND('월 가계부'!A2720&gt;=19000101,'월 가계부'!A2720&lt;=21001231),IF(AND(MOD(INT('월 가계부'!A2720/100),100)&gt;=1,MOD(INT('월 가계부'!A2720/100),100)&lt;=12,MOD(INT('월 가계부'!A2720),100)&gt;=1,MOD(INT('월 가계부'!A2720),100)&lt;=31),IF(MONTH(DATE(INT('월 가계부'!A2720/10000),MOD(INT('월 가계부'!A2720/100),100),MOD(INT('월 가계부'!A2720),100)))=MOD(INT('월 가계부'!A2720/100),100),DATE(INT('월 가계부'!A2720/10000),MOD(INT('월 가계부'!A2720/100),100),MOD(INT('월 가계부'!A2720),100)),""),""),IF(AND('월 가계부'!A2720&gt;=36526,'월 가계부'!A2720&lt;73051),INT('월 가계부'!A2720),"")),IF(OR(CM2720="",CN2720="",CO2720=""),"",IF(AND(CM2720&gt;=2000,CM2720&lt;=2099,CN2720&gt;=1,CN2720&lt;=12,CO2720&gt;=1,CO2720&lt;=31),IF(MONTH(DATE(CM2720,CN2720,CO2720))=CN2720,DATE(CM2720,CN2720,CO2720),""),"")))),"")</f>
        <v/>
      </c>
      <c r="CJ2720">
        <f>IFERROR(IF('월 가계부'!C2720="","",IF(ISNUMBER('월 가계부'!C2720),'월 가계부'!C2720,VALUE(SUBSTITUTE(SUBSTITUTE(SUBSTITUTE(SUBSTITUTE(TRIM('월 가계부'!C2720),",",""),"원","")," ",""),"−","-")))),"")</f>
        <v/>
      </c>
      <c r="CK2720">
        <f>IF(ISNUMBER(CI2720),IF(CI2720&lt;$B$13,CI2720,""),"")</f>
        <v/>
      </c>
      <c r="CM2720">
        <f>IF(CH2720="","",IFERROR(IF(IF(AND(LEN(CH2720)=9,ISERROR(FIND("-",LEFT(CH2720,8))),ISNUMBER(-LEFT(CH2720,8))),VALUE(LEFT(CH2720,4)),VALUE(LEFT(CH2720,FIND("-",CH2720)-1)))&lt;100,IF(AND(LEN(CH2720)=9,ISERROR(FIND("-",LEFT(CH2720,8))),ISNUMBER(-LEFT(CH2720,8))),VALUE(LEFT(CH2720,4)),VALUE(LEFT(CH2720,FIND("-",CH2720)-1)))+2000,IF(AND(LEN(CH2720)=9,ISERROR(FIND("-",LEFT(CH2720,8))),ISNUMBER(-LEFT(CH2720,8))),VALUE(LEFT(CH2720,4)),VALUE(LEFT(CH2720,FIND("-",CH2720)-1)))),""))</f>
        <v/>
      </c>
      <c r="CN2720">
        <f>IF(CH2720="","",IFERROR(IF(AND(LEN(CH2720)=9,ISERROR(FIND("-",LEFT(CH2720,8))),ISNUMBER(-LEFT(CH2720,8))),VALUE(MID(CH2720,5,2)),VALUE(MID(CH2720,FIND("-",CH2720)+1,FIND("-",CH2720,FIND("-",CH2720)+1)-FIND("-",CH2720)-1))),""))</f>
        <v/>
      </c>
      <c r="CO2720">
        <f>IF(CH2720="","",IFERROR(IF(AND(LEN(CH2720)=9,ISERROR(FIND("-",LEFT(CH2720,8))),ISNUMBER(-LEFT(CH2720,8))),VALUE(MID(CH2720,7,2)),VALUE(MID(CH2720,FIND("-",CH2720,FIND("-",CH2720)+1)+1,FIND("-",CH2720,FIND("-",CH2720,FIND("-",CH2720)+1)+1)-FIND("-",CH2720,FIND("-",CH2720)+1)-1))),""))</f>
        <v/>
      </c>
    </row>
    <row r="2721">
      <c r="CH2721">
        <f>IF(ISTEXT('월 가계부'!A2721),SUBSTITUTE(SUBSTITUTE(SUBSTITUTE(SUBSTITUTE(SUBSTITUTE(SUBSTITUTE(SUBSTITUTE(SUBSTITUTE(SUBSTITUTE(TRIM('월 가계부'!A2721),"년","-"),"월","-"),"일",""),".","-"),"/","-")," ","-"),"--","-"),"--","-"),"--","-")&amp;"-","")</f>
        <v/>
      </c>
      <c r="CI2721">
        <f>IFERROR(IF('월 가계부'!A2721="","",IF(ISNUMBER('월 가계부'!A2721),IF(AND('월 가계부'!A2721&gt;=19000101,'월 가계부'!A2721&lt;=21001231),IF(AND(MOD(INT('월 가계부'!A2721/100),100)&gt;=1,MOD(INT('월 가계부'!A2721/100),100)&lt;=12,MOD(INT('월 가계부'!A2721),100)&gt;=1,MOD(INT('월 가계부'!A2721),100)&lt;=31),IF(MONTH(DATE(INT('월 가계부'!A2721/10000),MOD(INT('월 가계부'!A2721/100),100),MOD(INT('월 가계부'!A2721),100)))=MOD(INT('월 가계부'!A2721/100),100),DATE(INT('월 가계부'!A2721/10000),MOD(INT('월 가계부'!A2721/100),100),MOD(INT('월 가계부'!A2721),100)),""),""),IF(AND('월 가계부'!A2721&gt;=36526,'월 가계부'!A2721&lt;73051),INT('월 가계부'!A2721),"")),IF(OR(CM2721="",CN2721="",CO2721=""),"",IF(AND(CM2721&gt;=2000,CM2721&lt;=2099,CN2721&gt;=1,CN2721&lt;=12,CO2721&gt;=1,CO2721&lt;=31),IF(MONTH(DATE(CM2721,CN2721,CO2721))=CN2721,DATE(CM2721,CN2721,CO2721),""),"")))),"")</f>
        <v/>
      </c>
      <c r="CJ2721">
        <f>IFERROR(IF('월 가계부'!C2721="","",IF(ISNUMBER('월 가계부'!C2721),'월 가계부'!C2721,VALUE(SUBSTITUTE(SUBSTITUTE(SUBSTITUTE(SUBSTITUTE(TRIM('월 가계부'!C2721),",",""),"원","")," ",""),"−","-")))),"")</f>
        <v/>
      </c>
      <c r="CK2721">
        <f>IF(ISNUMBER(CI2721),IF(CI2721&lt;$B$13,CI2721,""),"")</f>
        <v/>
      </c>
      <c r="CM2721">
        <f>IF(CH2721="","",IFERROR(IF(IF(AND(LEN(CH2721)=9,ISERROR(FIND("-",LEFT(CH2721,8))),ISNUMBER(-LEFT(CH2721,8))),VALUE(LEFT(CH2721,4)),VALUE(LEFT(CH2721,FIND("-",CH2721)-1)))&lt;100,IF(AND(LEN(CH2721)=9,ISERROR(FIND("-",LEFT(CH2721,8))),ISNUMBER(-LEFT(CH2721,8))),VALUE(LEFT(CH2721,4)),VALUE(LEFT(CH2721,FIND("-",CH2721)-1)))+2000,IF(AND(LEN(CH2721)=9,ISERROR(FIND("-",LEFT(CH2721,8))),ISNUMBER(-LEFT(CH2721,8))),VALUE(LEFT(CH2721,4)),VALUE(LEFT(CH2721,FIND("-",CH2721)-1)))),""))</f>
        <v/>
      </c>
      <c r="CN2721">
        <f>IF(CH2721="","",IFERROR(IF(AND(LEN(CH2721)=9,ISERROR(FIND("-",LEFT(CH2721,8))),ISNUMBER(-LEFT(CH2721,8))),VALUE(MID(CH2721,5,2)),VALUE(MID(CH2721,FIND("-",CH2721)+1,FIND("-",CH2721,FIND("-",CH2721)+1)-FIND("-",CH2721)-1))),""))</f>
        <v/>
      </c>
      <c r="CO2721">
        <f>IF(CH2721="","",IFERROR(IF(AND(LEN(CH2721)=9,ISERROR(FIND("-",LEFT(CH2721,8))),ISNUMBER(-LEFT(CH2721,8))),VALUE(MID(CH2721,7,2)),VALUE(MID(CH2721,FIND("-",CH2721,FIND("-",CH2721)+1)+1,FIND("-",CH2721,FIND("-",CH2721,FIND("-",CH2721)+1)+1)-FIND("-",CH2721,FIND("-",CH2721)+1)-1))),""))</f>
        <v/>
      </c>
    </row>
    <row r="2722">
      <c r="CH2722">
        <f>IF(ISTEXT('월 가계부'!A2722),SUBSTITUTE(SUBSTITUTE(SUBSTITUTE(SUBSTITUTE(SUBSTITUTE(SUBSTITUTE(SUBSTITUTE(SUBSTITUTE(SUBSTITUTE(TRIM('월 가계부'!A2722),"년","-"),"월","-"),"일",""),".","-"),"/","-")," ","-"),"--","-"),"--","-"),"--","-")&amp;"-","")</f>
        <v/>
      </c>
      <c r="CI2722">
        <f>IFERROR(IF('월 가계부'!A2722="","",IF(ISNUMBER('월 가계부'!A2722),IF(AND('월 가계부'!A2722&gt;=19000101,'월 가계부'!A2722&lt;=21001231),IF(AND(MOD(INT('월 가계부'!A2722/100),100)&gt;=1,MOD(INT('월 가계부'!A2722/100),100)&lt;=12,MOD(INT('월 가계부'!A2722),100)&gt;=1,MOD(INT('월 가계부'!A2722),100)&lt;=31),IF(MONTH(DATE(INT('월 가계부'!A2722/10000),MOD(INT('월 가계부'!A2722/100),100),MOD(INT('월 가계부'!A2722),100)))=MOD(INT('월 가계부'!A2722/100),100),DATE(INT('월 가계부'!A2722/10000),MOD(INT('월 가계부'!A2722/100),100),MOD(INT('월 가계부'!A2722),100)),""),""),IF(AND('월 가계부'!A2722&gt;=36526,'월 가계부'!A2722&lt;73051),INT('월 가계부'!A2722),"")),IF(OR(CM2722="",CN2722="",CO2722=""),"",IF(AND(CM2722&gt;=2000,CM2722&lt;=2099,CN2722&gt;=1,CN2722&lt;=12,CO2722&gt;=1,CO2722&lt;=31),IF(MONTH(DATE(CM2722,CN2722,CO2722))=CN2722,DATE(CM2722,CN2722,CO2722),""),"")))),"")</f>
        <v/>
      </c>
      <c r="CJ2722">
        <f>IFERROR(IF('월 가계부'!C2722="","",IF(ISNUMBER('월 가계부'!C2722),'월 가계부'!C2722,VALUE(SUBSTITUTE(SUBSTITUTE(SUBSTITUTE(SUBSTITUTE(TRIM('월 가계부'!C2722),",",""),"원","")," ",""),"−","-")))),"")</f>
        <v/>
      </c>
      <c r="CK2722">
        <f>IF(ISNUMBER(CI2722),IF(CI2722&lt;$B$13,CI2722,""),"")</f>
        <v/>
      </c>
      <c r="CM2722">
        <f>IF(CH2722="","",IFERROR(IF(IF(AND(LEN(CH2722)=9,ISERROR(FIND("-",LEFT(CH2722,8))),ISNUMBER(-LEFT(CH2722,8))),VALUE(LEFT(CH2722,4)),VALUE(LEFT(CH2722,FIND("-",CH2722)-1)))&lt;100,IF(AND(LEN(CH2722)=9,ISERROR(FIND("-",LEFT(CH2722,8))),ISNUMBER(-LEFT(CH2722,8))),VALUE(LEFT(CH2722,4)),VALUE(LEFT(CH2722,FIND("-",CH2722)-1)))+2000,IF(AND(LEN(CH2722)=9,ISERROR(FIND("-",LEFT(CH2722,8))),ISNUMBER(-LEFT(CH2722,8))),VALUE(LEFT(CH2722,4)),VALUE(LEFT(CH2722,FIND("-",CH2722)-1)))),""))</f>
        <v/>
      </c>
      <c r="CN2722">
        <f>IF(CH2722="","",IFERROR(IF(AND(LEN(CH2722)=9,ISERROR(FIND("-",LEFT(CH2722,8))),ISNUMBER(-LEFT(CH2722,8))),VALUE(MID(CH2722,5,2)),VALUE(MID(CH2722,FIND("-",CH2722)+1,FIND("-",CH2722,FIND("-",CH2722)+1)-FIND("-",CH2722)-1))),""))</f>
        <v/>
      </c>
      <c r="CO2722">
        <f>IF(CH2722="","",IFERROR(IF(AND(LEN(CH2722)=9,ISERROR(FIND("-",LEFT(CH2722,8))),ISNUMBER(-LEFT(CH2722,8))),VALUE(MID(CH2722,7,2)),VALUE(MID(CH2722,FIND("-",CH2722,FIND("-",CH2722)+1)+1,FIND("-",CH2722,FIND("-",CH2722,FIND("-",CH2722)+1)+1)-FIND("-",CH2722,FIND("-",CH2722)+1)-1))),""))</f>
        <v/>
      </c>
    </row>
    <row r="2723">
      <c r="CH2723">
        <f>IF(ISTEXT('월 가계부'!A2723),SUBSTITUTE(SUBSTITUTE(SUBSTITUTE(SUBSTITUTE(SUBSTITUTE(SUBSTITUTE(SUBSTITUTE(SUBSTITUTE(SUBSTITUTE(TRIM('월 가계부'!A2723),"년","-"),"월","-"),"일",""),".","-"),"/","-")," ","-"),"--","-"),"--","-"),"--","-")&amp;"-","")</f>
        <v/>
      </c>
      <c r="CI2723">
        <f>IFERROR(IF('월 가계부'!A2723="","",IF(ISNUMBER('월 가계부'!A2723),IF(AND('월 가계부'!A2723&gt;=19000101,'월 가계부'!A2723&lt;=21001231),IF(AND(MOD(INT('월 가계부'!A2723/100),100)&gt;=1,MOD(INT('월 가계부'!A2723/100),100)&lt;=12,MOD(INT('월 가계부'!A2723),100)&gt;=1,MOD(INT('월 가계부'!A2723),100)&lt;=31),IF(MONTH(DATE(INT('월 가계부'!A2723/10000),MOD(INT('월 가계부'!A2723/100),100),MOD(INT('월 가계부'!A2723),100)))=MOD(INT('월 가계부'!A2723/100),100),DATE(INT('월 가계부'!A2723/10000),MOD(INT('월 가계부'!A2723/100),100),MOD(INT('월 가계부'!A2723),100)),""),""),IF(AND('월 가계부'!A2723&gt;=36526,'월 가계부'!A2723&lt;73051),INT('월 가계부'!A2723),"")),IF(OR(CM2723="",CN2723="",CO2723=""),"",IF(AND(CM2723&gt;=2000,CM2723&lt;=2099,CN2723&gt;=1,CN2723&lt;=12,CO2723&gt;=1,CO2723&lt;=31),IF(MONTH(DATE(CM2723,CN2723,CO2723))=CN2723,DATE(CM2723,CN2723,CO2723),""),"")))),"")</f>
        <v/>
      </c>
      <c r="CJ2723">
        <f>IFERROR(IF('월 가계부'!C2723="","",IF(ISNUMBER('월 가계부'!C2723),'월 가계부'!C2723,VALUE(SUBSTITUTE(SUBSTITUTE(SUBSTITUTE(SUBSTITUTE(TRIM('월 가계부'!C2723),",",""),"원","")," ",""),"−","-")))),"")</f>
        <v/>
      </c>
      <c r="CK2723">
        <f>IF(ISNUMBER(CI2723),IF(CI2723&lt;$B$13,CI2723,""),"")</f>
        <v/>
      </c>
      <c r="CM2723">
        <f>IF(CH2723="","",IFERROR(IF(IF(AND(LEN(CH2723)=9,ISERROR(FIND("-",LEFT(CH2723,8))),ISNUMBER(-LEFT(CH2723,8))),VALUE(LEFT(CH2723,4)),VALUE(LEFT(CH2723,FIND("-",CH2723)-1)))&lt;100,IF(AND(LEN(CH2723)=9,ISERROR(FIND("-",LEFT(CH2723,8))),ISNUMBER(-LEFT(CH2723,8))),VALUE(LEFT(CH2723,4)),VALUE(LEFT(CH2723,FIND("-",CH2723)-1)))+2000,IF(AND(LEN(CH2723)=9,ISERROR(FIND("-",LEFT(CH2723,8))),ISNUMBER(-LEFT(CH2723,8))),VALUE(LEFT(CH2723,4)),VALUE(LEFT(CH2723,FIND("-",CH2723)-1)))),""))</f>
        <v/>
      </c>
      <c r="CN2723">
        <f>IF(CH2723="","",IFERROR(IF(AND(LEN(CH2723)=9,ISERROR(FIND("-",LEFT(CH2723,8))),ISNUMBER(-LEFT(CH2723,8))),VALUE(MID(CH2723,5,2)),VALUE(MID(CH2723,FIND("-",CH2723)+1,FIND("-",CH2723,FIND("-",CH2723)+1)-FIND("-",CH2723)-1))),""))</f>
        <v/>
      </c>
      <c r="CO2723">
        <f>IF(CH2723="","",IFERROR(IF(AND(LEN(CH2723)=9,ISERROR(FIND("-",LEFT(CH2723,8))),ISNUMBER(-LEFT(CH2723,8))),VALUE(MID(CH2723,7,2)),VALUE(MID(CH2723,FIND("-",CH2723,FIND("-",CH2723)+1)+1,FIND("-",CH2723,FIND("-",CH2723,FIND("-",CH2723)+1)+1)-FIND("-",CH2723,FIND("-",CH2723)+1)-1))),""))</f>
        <v/>
      </c>
    </row>
    <row r="2724">
      <c r="CH2724">
        <f>IF(ISTEXT('월 가계부'!A2724),SUBSTITUTE(SUBSTITUTE(SUBSTITUTE(SUBSTITUTE(SUBSTITUTE(SUBSTITUTE(SUBSTITUTE(SUBSTITUTE(SUBSTITUTE(TRIM('월 가계부'!A2724),"년","-"),"월","-"),"일",""),".","-"),"/","-")," ","-"),"--","-"),"--","-"),"--","-")&amp;"-","")</f>
        <v/>
      </c>
      <c r="CI2724">
        <f>IFERROR(IF('월 가계부'!A2724="","",IF(ISNUMBER('월 가계부'!A2724),IF(AND('월 가계부'!A2724&gt;=19000101,'월 가계부'!A2724&lt;=21001231),IF(AND(MOD(INT('월 가계부'!A2724/100),100)&gt;=1,MOD(INT('월 가계부'!A2724/100),100)&lt;=12,MOD(INT('월 가계부'!A2724),100)&gt;=1,MOD(INT('월 가계부'!A2724),100)&lt;=31),IF(MONTH(DATE(INT('월 가계부'!A2724/10000),MOD(INT('월 가계부'!A2724/100),100),MOD(INT('월 가계부'!A2724),100)))=MOD(INT('월 가계부'!A2724/100),100),DATE(INT('월 가계부'!A2724/10000),MOD(INT('월 가계부'!A2724/100),100),MOD(INT('월 가계부'!A2724),100)),""),""),IF(AND('월 가계부'!A2724&gt;=36526,'월 가계부'!A2724&lt;73051),INT('월 가계부'!A2724),"")),IF(OR(CM2724="",CN2724="",CO2724=""),"",IF(AND(CM2724&gt;=2000,CM2724&lt;=2099,CN2724&gt;=1,CN2724&lt;=12,CO2724&gt;=1,CO2724&lt;=31),IF(MONTH(DATE(CM2724,CN2724,CO2724))=CN2724,DATE(CM2724,CN2724,CO2724),""),"")))),"")</f>
        <v/>
      </c>
      <c r="CJ2724">
        <f>IFERROR(IF('월 가계부'!C2724="","",IF(ISNUMBER('월 가계부'!C2724),'월 가계부'!C2724,VALUE(SUBSTITUTE(SUBSTITUTE(SUBSTITUTE(SUBSTITUTE(TRIM('월 가계부'!C2724),",",""),"원","")," ",""),"−","-")))),"")</f>
        <v/>
      </c>
      <c r="CK2724">
        <f>IF(ISNUMBER(CI2724),IF(CI2724&lt;$B$13,CI2724,""),"")</f>
        <v/>
      </c>
      <c r="CM2724">
        <f>IF(CH2724="","",IFERROR(IF(IF(AND(LEN(CH2724)=9,ISERROR(FIND("-",LEFT(CH2724,8))),ISNUMBER(-LEFT(CH2724,8))),VALUE(LEFT(CH2724,4)),VALUE(LEFT(CH2724,FIND("-",CH2724)-1)))&lt;100,IF(AND(LEN(CH2724)=9,ISERROR(FIND("-",LEFT(CH2724,8))),ISNUMBER(-LEFT(CH2724,8))),VALUE(LEFT(CH2724,4)),VALUE(LEFT(CH2724,FIND("-",CH2724)-1)))+2000,IF(AND(LEN(CH2724)=9,ISERROR(FIND("-",LEFT(CH2724,8))),ISNUMBER(-LEFT(CH2724,8))),VALUE(LEFT(CH2724,4)),VALUE(LEFT(CH2724,FIND("-",CH2724)-1)))),""))</f>
        <v/>
      </c>
      <c r="CN2724">
        <f>IF(CH2724="","",IFERROR(IF(AND(LEN(CH2724)=9,ISERROR(FIND("-",LEFT(CH2724,8))),ISNUMBER(-LEFT(CH2724,8))),VALUE(MID(CH2724,5,2)),VALUE(MID(CH2724,FIND("-",CH2724)+1,FIND("-",CH2724,FIND("-",CH2724)+1)-FIND("-",CH2724)-1))),""))</f>
        <v/>
      </c>
      <c r="CO2724">
        <f>IF(CH2724="","",IFERROR(IF(AND(LEN(CH2724)=9,ISERROR(FIND("-",LEFT(CH2724,8))),ISNUMBER(-LEFT(CH2724,8))),VALUE(MID(CH2724,7,2)),VALUE(MID(CH2724,FIND("-",CH2724,FIND("-",CH2724)+1)+1,FIND("-",CH2724,FIND("-",CH2724,FIND("-",CH2724)+1)+1)-FIND("-",CH2724,FIND("-",CH2724)+1)-1))),""))</f>
        <v/>
      </c>
    </row>
    <row r="2725">
      <c r="CH2725">
        <f>IF(ISTEXT('월 가계부'!A2725),SUBSTITUTE(SUBSTITUTE(SUBSTITUTE(SUBSTITUTE(SUBSTITUTE(SUBSTITUTE(SUBSTITUTE(SUBSTITUTE(SUBSTITUTE(TRIM('월 가계부'!A2725),"년","-"),"월","-"),"일",""),".","-"),"/","-")," ","-"),"--","-"),"--","-"),"--","-")&amp;"-","")</f>
        <v/>
      </c>
      <c r="CI2725">
        <f>IFERROR(IF('월 가계부'!A2725="","",IF(ISNUMBER('월 가계부'!A2725),IF(AND('월 가계부'!A2725&gt;=19000101,'월 가계부'!A2725&lt;=21001231),IF(AND(MOD(INT('월 가계부'!A2725/100),100)&gt;=1,MOD(INT('월 가계부'!A2725/100),100)&lt;=12,MOD(INT('월 가계부'!A2725),100)&gt;=1,MOD(INT('월 가계부'!A2725),100)&lt;=31),IF(MONTH(DATE(INT('월 가계부'!A2725/10000),MOD(INT('월 가계부'!A2725/100),100),MOD(INT('월 가계부'!A2725),100)))=MOD(INT('월 가계부'!A2725/100),100),DATE(INT('월 가계부'!A2725/10000),MOD(INT('월 가계부'!A2725/100),100),MOD(INT('월 가계부'!A2725),100)),""),""),IF(AND('월 가계부'!A2725&gt;=36526,'월 가계부'!A2725&lt;73051),INT('월 가계부'!A2725),"")),IF(OR(CM2725="",CN2725="",CO2725=""),"",IF(AND(CM2725&gt;=2000,CM2725&lt;=2099,CN2725&gt;=1,CN2725&lt;=12,CO2725&gt;=1,CO2725&lt;=31),IF(MONTH(DATE(CM2725,CN2725,CO2725))=CN2725,DATE(CM2725,CN2725,CO2725),""),"")))),"")</f>
        <v/>
      </c>
      <c r="CJ2725">
        <f>IFERROR(IF('월 가계부'!C2725="","",IF(ISNUMBER('월 가계부'!C2725),'월 가계부'!C2725,VALUE(SUBSTITUTE(SUBSTITUTE(SUBSTITUTE(SUBSTITUTE(TRIM('월 가계부'!C2725),",",""),"원","")," ",""),"−","-")))),"")</f>
        <v/>
      </c>
      <c r="CK2725">
        <f>IF(ISNUMBER(CI2725),IF(CI2725&lt;$B$13,CI2725,""),"")</f>
        <v/>
      </c>
      <c r="CM2725">
        <f>IF(CH2725="","",IFERROR(IF(IF(AND(LEN(CH2725)=9,ISERROR(FIND("-",LEFT(CH2725,8))),ISNUMBER(-LEFT(CH2725,8))),VALUE(LEFT(CH2725,4)),VALUE(LEFT(CH2725,FIND("-",CH2725)-1)))&lt;100,IF(AND(LEN(CH2725)=9,ISERROR(FIND("-",LEFT(CH2725,8))),ISNUMBER(-LEFT(CH2725,8))),VALUE(LEFT(CH2725,4)),VALUE(LEFT(CH2725,FIND("-",CH2725)-1)))+2000,IF(AND(LEN(CH2725)=9,ISERROR(FIND("-",LEFT(CH2725,8))),ISNUMBER(-LEFT(CH2725,8))),VALUE(LEFT(CH2725,4)),VALUE(LEFT(CH2725,FIND("-",CH2725)-1)))),""))</f>
        <v/>
      </c>
      <c r="CN2725">
        <f>IF(CH2725="","",IFERROR(IF(AND(LEN(CH2725)=9,ISERROR(FIND("-",LEFT(CH2725,8))),ISNUMBER(-LEFT(CH2725,8))),VALUE(MID(CH2725,5,2)),VALUE(MID(CH2725,FIND("-",CH2725)+1,FIND("-",CH2725,FIND("-",CH2725)+1)-FIND("-",CH2725)-1))),""))</f>
        <v/>
      </c>
      <c r="CO2725">
        <f>IF(CH2725="","",IFERROR(IF(AND(LEN(CH2725)=9,ISERROR(FIND("-",LEFT(CH2725,8))),ISNUMBER(-LEFT(CH2725,8))),VALUE(MID(CH2725,7,2)),VALUE(MID(CH2725,FIND("-",CH2725,FIND("-",CH2725)+1)+1,FIND("-",CH2725,FIND("-",CH2725,FIND("-",CH2725)+1)+1)-FIND("-",CH2725,FIND("-",CH2725)+1)-1))),""))</f>
        <v/>
      </c>
    </row>
    <row r="2726">
      <c r="CH2726">
        <f>IF(ISTEXT('월 가계부'!A2726),SUBSTITUTE(SUBSTITUTE(SUBSTITUTE(SUBSTITUTE(SUBSTITUTE(SUBSTITUTE(SUBSTITUTE(SUBSTITUTE(SUBSTITUTE(TRIM('월 가계부'!A2726),"년","-"),"월","-"),"일",""),".","-"),"/","-")," ","-"),"--","-"),"--","-"),"--","-")&amp;"-","")</f>
        <v/>
      </c>
      <c r="CI2726">
        <f>IFERROR(IF('월 가계부'!A2726="","",IF(ISNUMBER('월 가계부'!A2726),IF(AND('월 가계부'!A2726&gt;=19000101,'월 가계부'!A2726&lt;=21001231),IF(AND(MOD(INT('월 가계부'!A2726/100),100)&gt;=1,MOD(INT('월 가계부'!A2726/100),100)&lt;=12,MOD(INT('월 가계부'!A2726),100)&gt;=1,MOD(INT('월 가계부'!A2726),100)&lt;=31),IF(MONTH(DATE(INT('월 가계부'!A2726/10000),MOD(INT('월 가계부'!A2726/100),100),MOD(INT('월 가계부'!A2726),100)))=MOD(INT('월 가계부'!A2726/100),100),DATE(INT('월 가계부'!A2726/10000),MOD(INT('월 가계부'!A2726/100),100),MOD(INT('월 가계부'!A2726),100)),""),""),IF(AND('월 가계부'!A2726&gt;=36526,'월 가계부'!A2726&lt;73051),INT('월 가계부'!A2726),"")),IF(OR(CM2726="",CN2726="",CO2726=""),"",IF(AND(CM2726&gt;=2000,CM2726&lt;=2099,CN2726&gt;=1,CN2726&lt;=12,CO2726&gt;=1,CO2726&lt;=31),IF(MONTH(DATE(CM2726,CN2726,CO2726))=CN2726,DATE(CM2726,CN2726,CO2726),""),"")))),"")</f>
        <v/>
      </c>
      <c r="CJ2726">
        <f>IFERROR(IF('월 가계부'!C2726="","",IF(ISNUMBER('월 가계부'!C2726),'월 가계부'!C2726,VALUE(SUBSTITUTE(SUBSTITUTE(SUBSTITUTE(SUBSTITUTE(TRIM('월 가계부'!C2726),",",""),"원","")," ",""),"−","-")))),"")</f>
        <v/>
      </c>
      <c r="CK2726">
        <f>IF(ISNUMBER(CI2726),IF(CI2726&lt;$B$13,CI2726,""),"")</f>
        <v/>
      </c>
      <c r="CM2726">
        <f>IF(CH2726="","",IFERROR(IF(IF(AND(LEN(CH2726)=9,ISERROR(FIND("-",LEFT(CH2726,8))),ISNUMBER(-LEFT(CH2726,8))),VALUE(LEFT(CH2726,4)),VALUE(LEFT(CH2726,FIND("-",CH2726)-1)))&lt;100,IF(AND(LEN(CH2726)=9,ISERROR(FIND("-",LEFT(CH2726,8))),ISNUMBER(-LEFT(CH2726,8))),VALUE(LEFT(CH2726,4)),VALUE(LEFT(CH2726,FIND("-",CH2726)-1)))+2000,IF(AND(LEN(CH2726)=9,ISERROR(FIND("-",LEFT(CH2726,8))),ISNUMBER(-LEFT(CH2726,8))),VALUE(LEFT(CH2726,4)),VALUE(LEFT(CH2726,FIND("-",CH2726)-1)))),""))</f>
        <v/>
      </c>
      <c r="CN2726">
        <f>IF(CH2726="","",IFERROR(IF(AND(LEN(CH2726)=9,ISERROR(FIND("-",LEFT(CH2726,8))),ISNUMBER(-LEFT(CH2726,8))),VALUE(MID(CH2726,5,2)),VALUE(MID(CH2726,FIND("-",CH2726)+1,FIND("-",CH2726,FIND("-",CH2726)+1)-FIND("-",CH2726)-1))),""))</f>
        <v/>
      </c>
      <c r="CO2726">
        <f>IF(CH2726="","",IFERROR(IF(AND(LEN(CH2726)=9,ISERROR(FIND("-",LEFT(CH2726,8))),ISNUMBER(-LEFT(CH2726,8))),VALUE(MID(CH2726,7,2)),VALUE(MID(CH2726,FIND("-",CH2726,FIND("-",CH2726)+1)+1,FIND("-",CH2726,FIND("-",CH2726,FIND("-",CH2726)+1)+1)-FIND("-",CH2726,FIND("-",CH2726)+1)-1))),""))</f>
        <v/>
      </c>
    </row>
    <row r="2727">
      <c r="CH2727">
        <f>IF(ISTEXT('월 가계부'!A2727),SUBSTITUTE(SUBSTITUTE(SUBSTITUTE(SUBSTITUTE(SUBSTITUTE(SUBSTITUTE(SUBSTITUTE(SUBSTITUTE(SUBSTITUTE(TRIM('월 가계부'!A2727),"년","-"),"월","-"),"일",""),".","-"),"/","-")," ","-"),"--","-"),"--","-"),"--","-")&amp;"-","")</f>
        <v/>
      </c>
      <c r="CI2727">
        <f>IFERROR(IF('월 가계부'!A2727="","",IF(ISNUMBER('월 가계부'!A2727),IF(AND('월 가계부'!A2727&gt;=19000101,'월 가계부'!A2727&lt;=21001231),IF(AND(MOD(INT('월 가계부'!A2727/100),100)&gt;=1,MOD(INT('월 가계부'!A2727/100),100)&lt;=12,MOD(INT('월 가계부'!A2727),100)&gt;=1,MOD(INT('월 가계부'!A2727),100)&lt;=31),IF(MONTH(DATE(INT('월 가계부'!A2727/10000),MOD(INT('월 가계부'!A2727/100),100),MOD(INT('월 가계부'!A2727),100)))=MOD(INT('월 가계부'!A2727/100),100),DATE(INT('월 가계부'!A2727/10000),MOD(INT('월 가계부'!A2727/100),100),MOD(INT('월 가계부'!A2727),100)),""),""),IF(AND('월 가계부'!A2727&gt;=36526,'월 가계부'!A2727&lt;73051),INT('월 가계부'!A2727),"")),IF(OR(CM2727="",CN2727="",CO2727=""),"",IF(AND(CM2727&gt;=2000,CM2727&lt;=2099,CN2727&gt;=1,CN2727&lt;=12,CO2727&gt;=1,CO2727&lt;=31),IF(MONTH(DATE(CM2727,CN2727,CO2727))=CN2727,DATE(CM2727,CN2727,CO2727),""),"")))),"")</f>
        <v/>
      </c>
      <c r="CJ2727">
        <f>IFERROR(IF('월 가계부'!C2727="","",IF(ISNUMBER('월 가계부'!C2727),'월 가계부'!C2727,VALUE(SUBSTITUTE(SUBSTITUTE(SUBSTITUTE(SUBSTITUTE(TRIM('월 가계부'!C2727),",",""),"원","")," ",""),"−","-")))),"")</f>
        <v/>
      </c>
      <c r="CK2727">
        <f>IF(ISNUMBER(CI2727),IF(CI2727&lt;$B$13,CI2727,""),"")</f>
        <v/>
      </c>
      <c r="CM2727">
        <f>IF(CH2727="","",IFERROR(IF(IF(AND(LEN(CH2727)=9,ISERROR(FIND("-",LEFT(CH2727,8))),ISNUMBER(-LEFT(CH2727,8))),VALUE(LEFT(CH2727,4)),VALUE(LEFT(CH2727,FIND("-",CH2727)-1)))&lt;100,IF(AND(LEN(CH2727)=9,ISERROR(FIND("-",LEFT(CH2727,8))),ISNUMBER(-LEFT(CH2727,8))),VALUE(LEFT(CH2727,4)),VALUE(LEFT(CH2727,FIND("-",CH2727)-1)))+2000,IF(AND(LEN(CH2727)=9,ISERROR(FIND("-",LEFT(CH2727,8))),ISNUMBER(-LEFT(CH2727,8))),VALUE(LEFT(CH2727,4)),VALUE(LEFT(CH2727,FIND("-",CH2727)-1)))),""))</f>
        <v/>
      </c>
      <c r="CN2727">
        <f>IF(CH2727="","",IFERROR(IF(AND(LEN(CH2727)=9,ISERROR(FIND("-",LEFT(CH2727,8))),ISNUMBER(-LEFT(CH2727,8))),VALUE(MID(CH2727,5,2)),VALUE(MID(CH2727,FIND("-",CH2727)+1,FIND("-",CH2727,FIND("-",CH2727)+1)-FIND("-",CH2727)-1))),""))</f>
        <v/>
      </c>
      <c r="CO2727">
        <f>IF(CH2727="","",IFERROR(IF(AND(LEN(CH2727)=9,ISERROR(FIND("-",LEFT(CH2727,8))),ISNUMBER(-LEFT(CH2727,8))),VALUE(MID(CH2727,7,2)),VALUE(MID(CH2727,FIND("-",CH2727,FIND("-",CH2727)+1)+1,FIND("-",CH2727,FIND("-",CH2727,FIND("-",CH2727)+1)+1)-FIND("-",CH2727,FIND("-",CH2727)+1)-1))),""))</f>
        <v/>
      </c>
    </row>
    <row r="2728">
      <c r="CH2728">
        <f>IF(ISTEXT('월 가계부'!A2728),SUBSTITUTE(SUBSTITUTE(SUBSTITUTE(SUBSTITUTE(SUBSTITUTE(SUBSTITUTE(SUBSTITUTE(SUBSTITUTE(SUBSTITUTE(TRIM('월 가계부'!A2728),"년","-"),"월","-"),"일",""),".","-"),"/","-")," ","-"),"--","-"),"--","-"),"--","-")&amp;"-","")</f>
        <v/>
      </c>
      <c r="CI2728">
        <f>IFERROR(IF('월 가계부'!A2728="","",IF(ISNUMBER('월 가계부'!A2728),IF(AND('월 가계부'!A2728&gt;=19000101,'월 가계부'!A2728&lt;=21001231),IF(AND(MOD(INT('월 가계부'!A2728/100),100)&gt;=1,MOD(INT('월 가계부'!A2728/100),100)&lt;=12,MOD(INT('월 가계부'!A2728),100)&gt;=1,MOD(INT('월 가계부'!A2728),100)&lt;=31),IF(MONTH(DATE(INT('월 가계부'!A2728/10000),MOD(INT('월 가계부'!A2728/100),100),MOD(INT('월 가계부'!A2728),100)))=MOD(INT('월 가계부'!A2728/100),100),DATE(INT('월 가계부'!A2728/10000),MOD(INT('월 가계부'!A2728/100),100),MOD(INT('월 가계부'!A2728),100)),""),""),IF(AND('월 가계부'!A2728&gt;=36526,'월 가계부'!A2728&lt;73051),INT('월 가계부'!A2728),"")),IF(OR(CM2728="",CN2728="",CO2728=""),"",IF(AND(CM2728&gt;=2000,CM2728&lt;=2099,CN2728&gt;=1,CN2728&lt;=12,CO2728&gt;=1,CO2728&lt;=31),IF(MONTH(DATE(CM2728,CN2728,CO2728))=CN2728,DATE(CM2728,CN2728,CO2728),""),"")))),"")</f>
        <v/>
      </c>
      <c r="CJ2728">
        <f>IFERROR(IF('월 가계부'!C2728="","",IF(ISNUMBER('월 가계부'!C2728),'월 가계부'!C2728,VALUE(SUBSTITUTE(SUBSTITUTE(SUBSTITUTE(SUBSTITUTE(TRIM('월 가계부'!C2728),",",""),"원","")," ",""),"−","-")))),"")</f>
        <v/>
      </c>
      <c r="CK2728">
        <f>IF(ISNUMBER(CI2728),IF(CI2728&lt;$B$13,CI2728,""),"")</f>
        <v/>
      </c>
      <c r="CM2728">
        <f>IF(CH2728="","",IFERROR(IF(IF(AND(LEN(CH2728)=9,ISERROR(FIND("-",LEFT(CH2728,8))),ISNUMBER(-LEFT(CH2728,8))),VALUE(LEFT(CH2728,4)),VALUE(LEFT(CH2728,FIND("-",CH2728)-1)))&lt;100,IF(AND(LEN(CH2728)=9,ISERROR(FIND("-",LEFT(CH2728,8))),ISNUMBER(-LEFT(CH2728,8))),VALUE(LEFT(CH2728,4)),VALUE(LEFT(CH2728,FIND("-",CH2728)-1)))+2000,IF(AND(LEN(CH2728)=9,ISERROR(FIND("-",LEFT(CH2728,8))),ISNUMBER(-LEFT(CH2728,8))),VALUE(LEFT(CH2728,4)),VALUE(LEFT(CH2728,FIND("-",CH2728)-1)))),""))</f>
        <v/>
      </c>
      <c r="CN2728">
        <f>IF(CH2728="","",IFERROR(IF(AND(LEN(CH2728)=9,ISERROR(FIND("-",LEFT(CH2728,8))),ISNUMBER(-LEFT(CH2728,8))),VALUE(MID(CH2728,5,2)),VALUE(MID(CH2728,FIND("-",CH2728)+1,FIND("-",CH2728,FIND("-",CH2728)+1)-FIND("-",CH2728)-1))),""))</f>
        <v/>
      </c>
      <c r="CO2728">
        <f>IF(CH2728="","",IFERROR(IF(AND(LEN(CH2728)=9,ISERROR(FIND("-",LEFT(CH2728,8))),ISNUMBER(-LEFT(CH2728,8))),VALUE(MID(CH2728,7,2)),VALUE(MID(CH2728,FIND("-",CH2728,FIND("-",CH2728)+1)+1,FIND("-",CH2728,FIND("-",CH2728,FIND("-",CH2728)+1)+1)-FIND("-",CH2728,FIND("-",CH2728)+1)-1))),""))</f>
        <v/>
      </c>
    </row>
    <row r="2729">
      <c r="CH2729">
        <f>IF(ISTEXT('월 가계부'!A2729),SUBSTITUTE(SUBSTITUTE(SUBSTITUTE(SUBSTITUTE(SUBSTITUTE(SUBSTITUTE(SUBSTITUTE(SUBSTITUTE(SUBSTITUTE(TRIM('월 가계부'!A2729),"년","-"),"월","-"),"일",""),".","-"),"/","-")," ","-"),"--","-"),"--","-"),"--","-")&amp;"-","")</f>
        <v/>
      </c>
      <c r="CI2729">
        <f>IFERROR(IF('월 가계부'!A2729="","",IF(ISNUMBER('월 가계부'!A2729),IF(AND('월 가계부'!A2729&gt;=19000101,'월 가계부'!A2729&lt;=21001231),IF(AND(MOD(INT('월 가계부'!A2729/100),100)&gt;=1,MOD(INT('월 가계부'!A2729/100),100)&lt;=12,MOD(INT('월 가계부'!A2729),100)&gt;=1,MOD(INT('월 가계부'!A2729),100)&lt;=31),IF(MONTH(DATE(INT('월 가계부'!A2729/10000),MOD(INT('월 가계부'!A2729/100),100),MOD(INT('월 가계부'!A2729),100)))=MOD(INT('월 가계부'!A2729/100),100),DATE(INT('월 가계부'!A2729/10000),MOD(INT('월 가계부'!A2729/100),100),MOD(INT('월 가계부'!A2729),100)),""),""),IF(AND('월 가계부'!A2729&gt;=36526,'월 가계부'!A2729&lt;73051),INT('월 가계부'!A2729),"")),IF(OR(CM2729="",CN2729="",CO2729=""),"",IF(AND(CM2729&gt;=2000,CM2729&lt;=2099,CN2729&gt;=1,CN2729&lt;=12,CO2729&gt;=1,CO2729&lt;=31),IF(MONTH(DATE(CM2729,CN2729,CO2729))=CN2729,DATE(CM2729,CN2729,CO2729),""),"")))),"")</f>
        <v/>
      </c>
      <c r="CJ2729">
        <f>IFERROR(IF('월 가계부'!C2729="","",IF(ISNUMBER('월 가계부'!C2729),'월 가계부'!C2729,VALUE(SUBSTITUTE(SUBSTITUTE(SUBSTITUTE(SUBSTITUTE(TRIM('월 가계부'!C2729),",",""),"원","")," ",""),"−","-")))),"")</f>
        <v/>
      </c>
      <c r="CK2729">
        <f>IF(ISNUMBER(CI2729),IF(CI2729&lt;$B$13,CI2729,""),"")</f>
        <v/>
      </c>
      <c r="CM2729">
        <f>IF(CH2729="","",IFERROR(IF(IF(AND(LEN(CH2729)=9,ISERROR(FIND("-",LEFT(CH2729,8))),ISNUMBER(-LEFT(CH2729,8))),VALUE(LEFT(CH2729,4)),VALUE(LEFT(CH2729,FIND("-",CH2729)-1)))&lt;100,IF(AND(LEN(CH2729)=9,ISERROR(FIND("-",LEFT(CH2729,8))),ISNUMBER(-LEFT(CH2729,8))),VALUE(LEFT(CH2729,4)),VALUE(LEFT(CH2729,FIND("-",CH2729)-1)))+2000,IF(AND(LEN(CH2729)=9,ISERROR(FIND("-",LEFT(CH2729,8))),ISNUMBER(-LEFT(CH2729,8))),VALUE(LEFT(CH2729,4)),VALUE(LEFT(CH2729,FIND("-",CH2729)-1)))),""))</f>
        <v/>
      </c>
      <c r="CN2729">
        <f>IF(CH2729="","",IFERROR(IF(AND(LEN(CH2729)=9,ISERROR(FIND("-",LEFT(CH2729,8))),ISNUMBER(-LEFT(CH2729,8))),VALUE(MID(CH2729,5,2)),VALUE(MID(CH2729,FIND("-",CH2729)+1,FIND("-",CH2729,FIND("-",CH2729)+1)-FIND("-",CH2729)-1))),""))</f>
        <v/>
      </c>
      <c r="CO2729">
        <f>IF(CH2729="","",IFERROR(IF(AND(LEN(CH2729)=9,ISERROR(FIND("-",LEFT(CH2729,8))),ISNUMBER(-LEFT(CH2729,8))),VALUE(MID(CH2729,7,2)),VALUE(MID(CH2729,FIND("-",CH2729,FIND("-",CH2729)+1)+1,FIND("-",CH2729,FIND("-",CH2729,FIND("-",CH2729)+1)+1)-FIND("-",CH2729,FIND("-",CH2729)+1)-1))),""))</f>
        <v/>
      </c>
    </row>
    <row r="2730">
      <c r="CH2730">
        <f>IF(ISTEXT('월 가계부'!A2730),SUBSTITUTE(SUBSTITUTE(SUBSTITUTE(SUBSTITUTE(SUBSTITUTE(SUBSTITUTE(SUBSTITUTE(SUBSTITUTE(SUBSTITUTE(TRIM('월 가계부'!A2730),"년","-"),"월","-"),"일",""),".","-"),"/","-")," ","-"),"--","-"),"--","-"),"--","-")&amp;"-","")</f>
        <v/>
      </c>
      <c r="CI2730">
        <f>IFERROR(IF('월 가계부'!A2730="","",IF(ISNUMBER('월 가계부'!A2730),IF(AND('월 가계부'!A2730&gt;=19000101,'월 가계부'!A2730&lt;=21001231),IF(AND(MOD(INT('월 가계부'!A2730/100),100)&gt;=1,MOD(INT('월 가계부'!A2730/100),100)&lt;=12,MOD(INT('월 가계부'!A2730),100)&gt;=1,MOD(INT('월 가계부'!A2730),100)&lt;=31),IF(MONTH(DATE(INT('월 가계부'!A2730/10000),MOD(INT('월 가계부'!A2730/100),100),MOD(INT('월 가계부'!A2730),100)))=MOD(INT('월 가계부'!A2730/100),100),DATE(INT('월 가계부'!A2730/10000),MOD(INT('월 가계부'!A2730/100),100),MOD(INT('월 가계부'!A2730),100)),""),""),IF(AND('월 가계부'!A2730&gt;=36526,'월 가계부'!A2730&lt;73051),INT('월 가계부'!A2730),"")),IF(OR(CM2730="",CN2730="",CO2730=""),"",IF(AND(CM2730&gt;=2000,CM2730&lt;=2099,CN2730&gt;=1,CN2730&lt;=12,CO2730&gt;=1,CO2730&lt;=31),IF(MONTH(DATE(CM2730,CN2730,CO2730))=CN2730,DATE(CM2730,CN2730,CO2730),""),"")))),"")</f>
        <v/>
      </c>
      <c r="CJ2730">
        <f>IFERROR(IF('월 가계부'!C2730="","",IF(ISNUMBER('월 가계부'!C2730),'월 가계부'!C2730,VALUE(SUBSTITUTE(SUBSTITUTE(SUBSTITUTE(SUBSTITUTE(TRIM('월 가계부'!C2730),",",""),"원","")," ",""),"−","-")))),"")</f>
        <v/>
      </c>
      <c r="CK2730">
        <f>IF(ISNUMBER(CI2730),IF(CI2730&lt;$B$13,CI2730,""),"")</f>
        <v/>
      </c>
      <c r="CM2730">
        <f>IF(CH2730="","",IFERROR(IF(IF(AND(LEN(CH2730)=9,ISERROR(FIND("-",LEFT(CH2730,8))),ISNUMBER(-LEFT(CH2730,8))),VALUE(LEFT(CH2730,4)),VALUE(LEFT(CH2730,FIND("-",CH2730)-1)))&lt;100,IF(AND(LEN(CH2730)=9,ISERROR(FIND("-",LEFT(CH2730,8))),ISNUMBER(-LEFT(CH2730,8))),VALUE(LEFT(CH2730,4)),VALUE(LEFT(CH2730,FIND("-",CH2730)-1)))+2000,IF(AND(LEN(CH2730)=9,ISERROR(FIND("-",LEFT(CH2730,8))),ISNUMBER(-LEFT(CH2730,8))),VALUE(LEFT(CH2730,4)),VALUE(LEFT(CH2730,FIND("-",CH2730)-1)))),""))</f>
        <v/>
      </c>
      <c r="CN2730">
        <f>IF(CH2730="","",IFERROR(IF(AND(LEN(CH2730)=9,ISERROR(FIND("-",LEFT(CH2730,8))),ISNUMBER(-LEFT(CH2730,8))),VALUE(MID(CH2730,5,2)),VALUE(MID(CH2730,FIND("-",CH2730)+1,FIND("-",CH2730,FIND("-",CH2730)+1)-FIND("-",CH2730)-1))),""))</f>
        <v/>
      </c>
      <c r="CO2730">
        <f>IF(CH2730="","",IFERROR(IF(AND(LEN(CH2730)=9,ISERROR(FIND("-",LEFT(CH2730,8))),ISNUMBER(-LEFT(CH2730,8))),VALUE(MID(CH2730,7,2)),VALUE(MID(CH2730,FIND("-",CH2730,FIND("-",CH2730)+1)+1,FIND("-",CH2730,FIND("-",CH2730,FIND("-",CH2730)+1)+1)-FIND("-",CH2730,FIND("-",CH2730)+1)-1))),""))</f>
        <v/>
      </c>
    </row>
    <row r="2731">
      <c r="CH2731">
        <f>IF(ISTEXT('월 가계부'!A2731),SUBSTITUTE(SUBSTITUTE(SUBSTITUTE(SUBSTITUTE(SUBSTITUTE(SUBSTITUTE(SUBSTITUTE(SUBSTITUTE(SUBSTITUTE(TRIM('월 가계부'!A2731),"년","-"),"월","-"),"일",""),".","-"),"/","-")," ","-"),"--","-"),"--","-"),"--","-")&amp;"-","")</f>
        <v/>
      </c>
      <c r="CI2731">
        <f>IFERROR(IF('월 가계부'!A2731="","",IF(ISNUMBER('월 가계부'!A2731),IF(AND('월 가계부'!A2731&gt;=19000101,'월 가계부'!A2731&lt;=21001231),IF(AND(MOD(INT('월 가계부'!A2731/100),100)&gt;=1,MOD(INT('월 가계부'!A2731/100),100)&lt;=12,MOD(INT('월 가계부'!A2731),100)&gt;=1,MOD(INT('월 가계부'!A2731),100)&lt;=31),IF(MONTH(DATE(INT('월 가계부'!A2731/10000),MOD(INT('월 가계부'!A2731/100),100),MOD(INT('월 가계부'!A2731),100)))=MOD(INT('월 가계부'!A2731/100),100),DATE(INT('월 가계부'!A2731/10000),MOD(INT('월 가계부'!A2731/100),100),MOD(INT('월 가계부'!A2731),100)),""),""),IF(AND('월 가계부'!A2731&gt;=36526,'월 가계부'!A2731&lt;73051),INT('월 가계부'!A2731),"")),IF(OR(CM2731="",CN2731="",CO2731=""),"",IF(AND(CM2731&gt;=2000,CM2731&lt;=2099,CN2731&gt;=1,CN2731&lt;=12,CO2731&gt;=1,CO2731&lt;=31),IF(MONTH(DATE(CM2731,CN2731,CO2731))=CN2731,DATE(CM2731,CN2731,CO2731),""),"")))),"")</f>
        <v/>
      </c>
      <c r="CJ2731">
        <f>IFERROR(IF('월 가계부'!C2731="","",IF(ISNUMBER('월 가계부'!C2731),'월 가계부'!C2731,VALUE(SUBSTITUTE(SUBSTITUTE(SUBSTITUTE(SUBSTITUTE(TRIM('월 가계부'!C2731),",",""),"원","")," ",""),"−","-")))),"")</f>
        <v/>
      </c>
      <c r="CK2731">
        <f>IF(ISNUMBER(CI2731),IF(CI2731&lt;$B$13,CI2731,""),"")</f>
        <v/>
      </c>
      <c r="CM2731">
        <f>IF(CH2731="","",IFERROR(IF(IF(AND(LEN(CH2731)=9,ISERROR(FIND("-",LEFT(CH2731,8))),ISNUMBER(-LEFT(CH2731,8))),VALUE(LEFT(CH2731,4)),VALUE(LEFT(CH2731,FIND("-",CH2731)-1)))&lt;100,IF(AND(LEN(CH2731)=9,ISERROR(FIND("-",LEFT(CH2731,8))),ISNUMBER(-LEFT(CH2731,8))),VALUE(LEFT(CH2731,4)),VALUE(LEFT(CH2731,FIND("-",CH2731)-1)))+2000,IF(AND(LEN(CH2731)=9,ISERROR(FIND("-",LEFT(CH2731,8))),ISNUMBER(-LEFT(CH2731,8))),VALUE(LEFT(CH2731,4)),VALUE(LEFT(CH2731,FIND("-",CH2731)-1)))),""))</f>
        <v/>
      </c>
      <c r="CN2731">
        <f>IF(CH2731="","",IFERROR(IF(AND(LEN(CH2731)=9,ISERROR(FIND("-",LEFT(CH2731,8))),ISNUMBER(-LEFT(CH2731,8))),VALUE(MID(CH2731,5,2)),VALUE(MID(CH2731,FIND("-",CH2731)+1,FIND("-",CH2731,FIND("-",CH2731)+1)-FIND("-",CH2731)-1))),""))</f>
        <v/>
      </c>
      <c r="CO2731">
        <f>IF(CH2731="","",IFERROR(IF(AND(LEN(CH2731)=9,ISERROR(FIND("-",LEFT(CH2731,8))),ISNUMBER(-LEFT(CH2731,8))),VALUE(MID(CH2731,7,2)),VALUE(MID(CH2731,FIND("-",CH2731,FIND("-",CH2731)+1)+1,FIND("-",CH2731,FIND("-",CH2731,FIND("-",CH2731)+1)+1)-FIND("-",CH2731,FIND("-",CH2731)+1)-1))),""))</f>
        <v/>
      </c>
    </row>
    <row r="2732">
      <c r="CH2732">
        <f>IF(ISTEXT('월 가계부'!A2732),SUBSTITUTE(SUBSTITUTE(SUBSTITUTE(SUBSTITUTE(SUBSTITUTE(SUBSTITUTE(SUBSTITUTE(SUBSTITUTE(SUBSTITUTE(TRIM('월 가계부'!A2732),"년","-"),"월","-"),"일",""),".","-"),"/","-")," ","-"),"--","-"),"--","-"),"--","-")&amp;"-","")</f>
        <v/>
      </c>
      <c r="CI2732">
        <f>IFERROR(IF('월 가계부'!A2732="","",IF(ISNUMBER('월 가계부'!A2732),IF(AND('월 가계부'!A2732&gt;=19000101,'월 가계부'!A2732&lt;=21001231),IF(AND(MOD(INT('월 가계부'!A2732/100),100)&gt;=1,MOD(INT('월 가계부'!A2732/100),100)&lt;=12,MOD(INT('월 가계부'!A2732),100)&gt;=1,MOD(INT('월 가계부'!A2732),100)&lt;=31),IF(MONTH(DATE(INT('월 가계부'!A2732/10000),MOD(INT('월 가계부'!A2732/100),100),MOD(INT('월 가계부'!A2732),100)))=MOD(INT('월 가계부'!A2732/100),100),DATE(INT('월 가계부'!A2732/10000),MOD(INT('월 가계부'!A2732/100),100),MOD(INT('월 가계부'!A2732),100)),""),""),IF(AND('월 가계부'!A2732&gt;=36526,'월 가계부'!A2732&lt;73051),INT('월 가계부'!A2732),"")),IF(OR(CM2732="",CN2732="",CO2732=""),"",IF(AND(CM2732&gt;=2000,CM2732&lt;=2099,CN2732&gt;=1,CN2732&lt;=12,CO2732&gt;=1,CO2732&lt;=31),IF(MONTH(DATE(CM2732,CN2732,CO2732))=CN2732,DATE(CM2732,CN2732,CO2732),""),"")))),"")</f>
        <v/>
      </c>
      <c r="CJ2732">
        <f>IFERROR(IF('월 가계부'!C2732="","",IF(ISNUMBER('월 가계부'!C2732),'월 가계부'!C2732,VALUE(SUBSTITUTE(SUBSTITUTE(SUBSTITUTE(SUBSTITUTE(TRIM('월 가계부'!C2732),",",""),"원","")," ",""),"−","-")))),"")</f>
        <v/>
      </c>
      <c r="CK2732">
        <f>IF(ISNUMBER(CI2732),IF(CI2732&lt;$B$13,CI2732,""),"")</f>
        <v/>
      </c>
      <c r="CM2732">
        <f>IF(CH2732="","",IFERROR(IF(IF(AND(LEN(CH2732)=9,ISERROR(FIND("-",LEFT(CH2732,8))),ISNUMBER(-LEFT(CH2732,8))),VALUE(LEFT(CH2732,4)),VALUE(LEFT(CH2732,FIND("-",CH2732)-1)))&lt;100,IF(AND(LEN(CH2732)=9,ISERROR(FIND("-",LEFT(CH2732,8))),ISNUMBER(-LEFT(CH2732,8))),VALUE(LEFT(CH2732,4)),VALUE(LEFT(CH2732,FIND("-",CH2732)-1)))+2000,IF(AND(LEN(CH2732)=9,ISERROR(FIND("-",LEFT(CH2732,8))),ISNUMBER(-LEFT(CH2732,8))),VALUE(LEFT(CH2732,4)),VALUE(LEFT(CH2732,FIND("-",CH2732)-1)))),""))</f>
        <v/>
      </c>
      <c r="CN2732">
        <f>IF(CH2732="","",IFERROR(IF(AND(LEN(CH2732)=9,ISERROR(FIND("-",LEFT(CH2732,8))),ISNUMBER(-LEFT(CH2732,8))),VALUE(MID(CH2732,5,2)),VALUE(MID(CH2732,FIND("-",CH2732)+1,FIND("-",CH2732,FIND("-",CH2732)+1)-FIND("-",CH2732)-1))),""))</f>
        <v/>
      </c>
      <c r="CO2732">
        <f>IF(CH2732="","",IFERROR(IF(AND(LEN(CH2732)=9,ISERROR(FIND("-",LEFT(CH2732,8))),ISNUMBER(-LEFT(CH2732,8))),VALUE(MID(CH2732,7,2)),VALUE(MID(CH2732,FIND("-",CH2732,FIND("-",CH2732)+1)+1,FIND("-",CH2732,FIND("-",CH2732,FIND("-",CH2732)+1)+1)-FIND("-",CH2732,FIND("-",CH2732)+1)-1))),""))</f>
        <v/>
      </c>
    </row>
    <row r="2733">
      <c r="CH2733">
        <f>IF(ISTEXT('월 가계부'!A2733),SUBSTITUTE(SUBSTITUTE(SUBSTITUTE(SUBSTITUTE(SUBSTITUTE(SUBSTITUTE(SUBSTITUTE(SUBSTITUTE(SUBSTITUTE(TRIM('월 가계부'!A2733),"년","-"),"월","-"),"일",""),".","-"),"/","-")," ","-"),"--","-"),"--","-"),"--","-")&amp;"-","")</f>
        <v/>
      </c>
      <c r="CI2733">
        <f>IFERROR(IF('월 가계부'!A2733="","",IF(ISNUMBER('월 가계부'!A2733),IF(AND('월 가계부'!A2733&gt;=19000101,'월 가계부'!A2733&lt;=21001231),IF(AND(MOD(INT('월 가계부'!A2733/100),100)&gt;=1,MOD(INT('월 가계부'!A2733/100),100)&lt;=12,MOD(INT('월 가계부'!A2733),100)&gt;=1,MOD(INT('월 가계부'!A2733),100)&lt;=31),IF(MONTH(DATE(INT('월 가계부'!A2733/10000),MOD(INT('월 가계부'!A2733/100),100),MOD(INT('월 가계부'!A2733),100)))=MOD(INT('월 가계부'!A2733/100),100),DATE(INT('월 가계부'!A2733/10000),MOD(INT('월 가계부'!A2733/100),100),MOD(INT('월 가계부'!A2733),100)),""),""),IF(AND('월 가계부'!A2733&gt;=36526,'월 가계부'!A2733&lt;73051),INT('월 가계부'!A2733),"")),IF(OR(CM2733="",CN2733="",CO2733=""),"",IF(AND(CM2733&gt;=2000,CM2733&lt;=2099,CN2733&gt;=1,CN2733&lt;=12,CO2733&gt;=1,CO2733&lt;=31),IF(MONTH(DATE(CM2733,CN2733,CO2733))=CN2733,DATE(CM2733,CN2733,CO2733),""),"")))),"")</f>
        <v/>
      </c>
      <c r="CJ2733">
        <f>IFERROR(IF('월 가계부'!C2733="","",IF(ISNUMBER('월 가계부'!C2733),'월 가계부'!C2733,VALUE(SUBSTITUTE(SUBSTITUTE(SUBSTITUTE(SUBSTITUTE(TRIM('월 가계부'!C2733),",",""),"원","")," ",""),"−","-")))),"")</f>
        <v/>
      </c>
      <c r="CK2733">
        <f>IF(ISNUMBER(CI2733),IF(CI2733&lt;$B$13,CI2733,""),"")</f>
        <v/>
      </c>
      <c r="CM2733">
        <f>IF(CH2733="","",IFERROR(IF(IF(AND(LEN(CH2733)=9,ISERROR(FIND("-",LEFT(CH2733,8))),ISNUMBER(-LEFT(CH2733,8))),VALUE(LEFT(CH2733,4)),VALUE(LEFT(CH2733,FIND("-",CH2733)-1)))&lt;100,IF(AND(LEN(CH2733)=9,ISERROR(FIND("-",LEFT(CH2733,8))),ISNUMBER(-LEFT(CH2733,8))),VALUE(LEFT(CH2733,4)),VALUE(LEFT(CH2733,FIND("-",CH2733)-1)))+2000,IF(AND(LEN(CH2733)=9,ISERROR(FIND("-",LEFT(CH2733,8))),ISNUMBER(-LEFT(CH2733,8))),VALUE(LEFT(CH2733,4)),VALUE(LEFT(CH2733,FIND("-",CH2733)-1)))),""))</f>
        <v/>
      </c>
      <c r="CN2733">
        <f>IF(CH2733="","",IFERROR(IF(AND(LEN(CH2733)=9,ISERROR(FIND("-",LEFT(CH2733,8))),ISNUMBER(-LEFT(CH2733,8))),VALUE(MID(CH2733,5,2)),VALUE(MID(CH2733,FIND("-",CH2733)+1,FIND("-",CH2733,FIND("-",CH2733)+1)-FIND("-",CH2733)-1))),""))</f>
        <v/>
      </c>
      <c r="CO2733">
        <f>IF(CH2733="","",IFERROR(IF(AND(LEN(CH2733)=9,ISERROR(FIND("-",LEFT(CH2733,8))),ISNUMBER(-LEFT(CH2733,8))),VALUE(MID(CH2733,7,2)),VALUE(MID(CH2733,FIND("-",CH2733,FIND("-",CH2733)+1)+1,FIND("-",CH2733,FIND("-",CH2733,FIND("-",CH2733)+1)+1)-FIND("-",CH2733,FIND("-",CH2733)+1)-1))),""))</f>
        <v/>
      </c>
    </row>
    <row r="2734">
      <c r="CH2734">
        <f>IF(ISTEXT('월 가계부'!A2734),SUBSTITUTE(SUBSTITUTE(SUBSTITUTE(SUBSTITUTE(SUBSTITUTE(SUBSTITUTE(SUBSTITUTE(SUBSTITUTE(SUBSTITUTE(TRIM('월 가계부'!A2734),"년","-"),"월","-"),"일",""),".","-"),"/","-")," ","-"),"--","-"),"--","-"),"--","-")&amp;"-","")</f>
        <v/>
      </c>
      <c r="CI2734">
        <f>IFERROR(IF('월 가계부'!A2734="","",IF(ISNUMBER('월 가계부'!A2734),IF(AND('월 가계부'!A2734&gt;=19000101,'월 가계부'!A2734&lt;=21001231),IF(AND(MOD(INT('월 가계부'!A2734/100),100)&gt;=1,MOD(INT('월 가계부'!A2734/100),100)&lt;=12,MOD(INT('월 가계부'!A2734),100)&gt;=1,MOD(INT('월 가계부'!A2734),100)&lt;=31),IF(MONTH(DATE(INT('월 가계부'!A2734/10000),MOD(INT('월 가계부'!A2734/100),100),MOD(INT('월 가계부'!A2734),100)))=MOD(INT('월 가계부'!A2734/100),100),DATE(INT('월 가계부'!A2734/10000),MOD(INT('월 가계부'!A2734/100),100),MOD(INT('월 가계부'!A2734),100)),""),""),IF(AND('월 가계부'!A2734&gt;=36526,'월 가계부'!A2734&lt;73051),INT('월 가계부'!A2734),"")),IF(OR(CM2734="",CN2734="",CO2734=""),"",IF(AND(CM2734&gt;=2000,CM2734&lt;=2099,CN2734&gt;=1,CN2734&lt;=12,CO2734&gt;=1,CO2734&lt;=31),IF(MONTH(DATE(CM2734,CN2734,CO2734))=CN2734,DATE(CM2734,CN2734,CO2734),""),"")))),"")</f>
        <v/>
      </c>
      <c r="CJ2734">
        <f>IFERROR(IF('월 가계부'!C2734="","",IF(ISNUMBER('월 가계부'!C2734),'월 가계부'!C2734,VALUE(SUBSTITUTE(SUBSTITUTE(SUBSTITUTE(SUBSTITUTE(TRIM('월 가계부'!C2734),",",""),"원","")," ",""),"−","-")))),"")</f>
        <v/>
      </c>
      <c r="CK2734">
        <f>IF(ISNUMBER(CI2734),IF(CI2734&lt;$B$13,CI2734,""),"")</f>
        <v/>
      </c>
      <c r="CM2734">
        <f>IF(CH2734="","",IFERROR(IF(IF(AND(LEN(CH2734)=9,ISERROR(FIND("-",LEFT(CH2734,8))),ISNUMBER(-LEFT(CH2734,8))),VALUE(LEFT(CH2734,4)),VALUE(LEFT(CH2734,FIND("-",CH2734)-1)))&lt;100,IF(AND(LEN(CH2734)=9,ISERROR(FIND("-",LEFT(CH2734,8))),ISNUMBER(-LEFT(CH2734,8))),VALUE(LEFT(CH2734,4)),VALUE(LEFT(CH2734,FIND("-",CH2734)-1)))+2000,IF(AND(LEN(CH2734)=9,ISERROR(FIND("-",LEFT(CH2734,8))),ISNUMBER(-LEFT(CH2734,8))),VALUE(LEFT(CH2734,4)),VALUE(LEFT(CH2734,FIND("-",CH2734)-1)))),""))</f>
        <v/>
      </c>
      <c r="CN2734">
        <f>IF(CH2734="","",IFERROR(IF(AND(LEN(CH2734)=9,ISERROR(FIND("-",LEFT(CH2734,8))),ISNUMBER(-LEFT(CH2734,8))),VALUE(MID(CH2734,5,2)),VALUE(MID(CH2734,FIND("-",CH2734)+1,FIND("-",CH2734,FIND("-",CH2734)+1)-FIND("-",CH2734)-1))),""))</f>
        <v/>
      </c>
      <c r="CO2734">
        <f>IF(CH2734="","",IFERROR(IF(AND(LEN(CH2734)=9,ISERROR(FIND("-",LEFT(CH2734,8))),ISNUMBER(-LEFT(CH2734,8))),VALUE(MID(CH2734,7,2)),VALUE(MID(CH2734,FIND("-",CH2734,FIND("-",CH2734)+1)+1,FIND("-",CH2734,FIND("-",CH2734,FIND("-",CH2734)+1)+1)-FIND("-",CH2734,FIND("-",CH2734)+1)-1))),""))</f>
        <v/>
      </c>
    </row>
    <row r="2735">
      <c r="CH2735">
        <f>IF(ISTEXT('월 가계부'!A2735),SUBSTITUTE(SUBSTITUTE(SUBSTITUTE(SUBSTITUTE(SUBSTITUTE(SUBSTITUTE(SUBSTITUTE(SUBSTITUTE(SUBSTITUTE(TRIM('월 가계부'!A2735),"년","-"),"월","-"),"일",""),".","-"),"/","-")," ","-"),"--","-"),"--","-"),"--","-")&amp;"-","")</f>
        <v/>
      </c>
      <c r="CI2735">
        <f>IFERROR(IF('월 가계부'!A2735="","",IF(ISNUMBER('월 가계부'!A2735),IF(AND('월 가계부'!A2735&gt;=19000101,'월 가계부'!A2735&lt;=21001231),IF(AND(MOD(INT('월 가계부'!A2735/100),100)&gt;=1,MOD(INT('월 가계부'!A2735/100),100)&lt;=12,MOD(INT('월 가계부'!A2735),100)&gt;=1,MOD(INT('월 가계부'!A2735),100)&lt;=31),IF(MONTH(DATE(INT('월 가계부'!A2735/10000),MOD(INT('월 가계부'!A2735/100),100),MOD(INT('월 가계부'!A2735),100)))=MOD(INT('월 가계부'!A2735/100),100),DATE(INT('월 가계부'!A2735/10000),MOD(INT('월 가계부'!A2735/100),100),MOD(INT('월 가계부'!A2735),100)),""),""),IF(AND('월 가계부'!A2735&gt;=36526,'월 가계부'!A2735&lt;73051),INT('월 가계부'!A2735),"")),IF(OR(CM2735="",CN2735="",CO2735=""),"",IF(AND(CM2735&gt;=2000,CM2735&lt;=2099,CN2735&gt;=1,CN2735&lt;=12,CO2735&gt;=1,CO2735&lt;=31),IF(MONTH(DATE(CM2735,CN2735,CO2735))=CN2735,DATE(CM2735,CN2735,CO2735),""),"")))),"")</f>
        <v/>
      </c>
      <c r="CJ2735">
        <f>IFERROR(IF('월 가계부'!C2735="","",IF(ISNUMBER('월 가계부'!C2735),'월 가계부'!C2735,VALUE(SUBSTITUTE(SUBSTITUTE(SUBSTITUTE(SUBSTITUTE(TRIM('월 가계부'!C2735),",",""),"원","")," ",""),"−","-")))),"")</f>
        <v/>
      </c>
      <c r="CK2735">
        <f>IF(ISNUMBER(CI2735),IF(CI2735&lt;$B$13,CI2735,""),"")</f>
        <v/>
      </c>
      <c r="CM2735">
        <f>IF(CH2735="","",IFERROR(IF(IF(AND(LEN(CH2735)=9,ISERROR(FIND("-",LEFT(CH2735,8))),ISNUMBER(-LEFT(CH2735,8))),VALUE(LEFT(CH2735,4)),VALUE(LEFT(CH2735,FIND("-",CH2735)-1)))&lt;100,IF(AND(LEN(CH2735)=9,ISERROR(FIND("-",LEFT(CH2735,8))),ISNUMBER(-LEFT(CH2735,8))),VALUE(LEFT(CH2735,4)),VALUE(LEFT(CH2735,FIND("-",CH2735)-1)))+2000,IF(AND(LEN(CH2735)=9,ISERROR(FIND("-",LEFT(CH2735,8))),ISNUMBER(-LEFT(CH2735,8))),VALUE(LEFT(CH2735,4)),VALUE(LEFT(CH2735,FIND("-",CH2735)-1)))),""))</f>
        <v/>
      </c>
      <c r="CN2735">
        <f>IF(CH2735="","",IFERROR(IF(AND(LEN(CH2735)=9,ISERROR(FIND("-",LEFT(CH2735,8))),ISNUMBER(-LEFT(CH2735,8))),VALUE(MID(CH2735,5,2)),VALUE(MID(CH2735,FIND("-",CH2735)+1,FIND("-",CH2735,FIND("-",CH2735)+1)-FIND("-",CH2735)-1))),""))</f>
        <v/>
      </c>
      <c r="CO2735">
        <f>IF(CH2735="","",IFERROR(IF(AND(LEN(CH2735)=9,ISERROR(FIND("-",LEFT(CH2735,8))),ISNUMBER(-LEFT(CH2735,8))),VALUE(MID(CH2735,7,2)),VALUE(MID(CH2735,FIND("-",CH2735,FIND("-",CH2735)+1)+1,FIND("-",CH2735,FIND("-",CH2735,FIND("-",CH2735)+1)+1)-FIND("-",CH2735,FIND("-",CH2735)+1)-1))),""))</f>
        <v/>
      </c>
    </row>
    <row r="2736">
      <c r="CH2736">
        <f>IF(ISTEXT('월 가계부'!A2736),SUBSTITUTE(SUBSTITUTE(SUBSTITUTE(SUBSTITUTE(SUBSTITUTE(SUBSTITUTE(SUBSTITUTE(SUBSTITUTE(SUBSTITUTE(TRIM('월 가계부'!A2736),"년","-"),"월","-"),"일",""),".","-"),"/","-")," ","-"),"--","-"),"--","-"),"--","-")&amp;"-","")</f>
        <v/>
      </c>
      <c r="CI2736">
        <f>IFERROR(IF('월 가계부'!A2736="","",IF(ISNUMBER('월 가계부'!A2736),IF(AND('월 가계부'!A2736&gt;=19000101,'월 가계부'!A2736&lt;=21001231),IF(AND(MOD(INT('월 가계부'!A2736/100),100)&gt;=1,MOD(INT('월 가계부'!A2736/100),100)&lt;=12,MOD(INT('월 가계부'!A2736),100)&gt;=1,MOD(INT('월 가계부'!A2736),100)&lt;=31),IF(MONTH(DATE(INT('월 가계부'!A2736/10000),MOD(INT('월 가계부'!A2736/100),100),MOD(INT('월 가계부'!A2736),100)))=MOD(INT('월 가계부'!A2736/100),100),DATE(INT('월 가계부'!A2736/10000),MOD(INT('월 가계부'!A2736/100),100),MOD(INT('월 가계부'!A2736),100)),""),""),IF(AND('월 가계부'!A2736&gt;=36526,'월 가계부'!A2736&lt;73051),INT('월 가계부'!A2736),"")),IF(OR(CM2736="",CN2736="",CO2736=""),"",IF(AND(CM2736&gt;=2000,CM2736&lt;=2099,CN2736&gt;=1,CN2736&lt;=12,CO2736&gt;=1,CO2736&lt;=31),IF(MONTH(DATE(CM2736,CN2736,CO2736))=CN2736,DATE(CM2736,CN2736,CO2736),""),"")))),"")</f>
        <v/>
      </c>
      <c r="CJ2736">
        <f>IFERROR(IF('월 가계부'!C2736="","",IF(ISNUMBER('월 가계부'!C2736),'월 가계부'!C2736,VALUE(SUBSTITUTE(SUBSTITUTE(SUBSTITUTE(SUBSTITUTE(TRIM('월 가계부'!C2736),",",""),"원","")," ",""),"−","-")))),"")</f>
        <v/>
      </c>
      <c r="CK2736">
        <f>IF(ISNUMBER(CI2736),IF(CI2736&lt;$B$13,CI2736,""),"")</f>
        <v/>
      </c>
      <c r="CM2736">
        <f>IF(CH2736="","",IFERROR(IF(IF(AND(LEN(CH2736)=9,ISERROR(FIND("-",LEFT(CH2736,8))),ISNUMBER(-LEFT(CH2736,8))),VALUE(LEFT(CH2736,4)),VALUE(LEFT(CH2736,FIND("-",CH2736)-1)))&lt;100,IF(AND(LEN(CH2736)=9,ISERROR(FIND("-",LEFT(CH2736,8))),ISNUMBER(-LEFT(CH2736,8))),VALUE(LEFT(CH2736,4)),VALUE(LEFT(CH2736,FIND("-",CH2736)-1)))+2000,IF(AND(LEN(CH2736)=9,ISERROR(FIND("-",LEFT(CH2736,8))),ISNUMBER(-LEFT(CH2736,8))),VALUE(LEFT(CH2736,4)),VALUE(LEFT(CH2736,FIND("-",CH2736)-1)))),""))</f>
        <v/>
      </c>
      <c r="CN2736">
        <f>IF(CH2736="","",IFERROR(IF(AND(LEN(CH2736)=9,ISERROR(FIND("-",LEFT(CH2736,8))),ISNUMBER(-LEFT(CH2736,8))),VALUE(MID(CH2736,5,2)),VALUE(MID(CH2736,FIND("-",CH2736)+1,FIND("-",CH2736,FIND("-",CH2736)+1)-FIND("-",CH2736)-1))),""))</f>
        <v/>
      </c>
      <c r="CO2736">
        <f>IF(CH2736="","",IFERROR(IF(AND(LEN(CH2736)=9,ISERROR(FIND("-",LEFT(CH2736,8))),ISNUMBER(-LEFT(CH2736,8))),VALUE(MID(CH2736,7,2)),VALUE(MID(CH2736,FIND("-",CH2736,FIND("-",CH2736)+1)+1,FIND("-",CH2736,FIND("-",CH2736,FIND("-",CH2736)+1)+1)-FIND("-",CH2736,FIND("-",CH2736)+1)-1))),""))</f>
        <v/>
      </c>
    </row>
    <row r="2737">
      <c r="CH2737">
        <f>IF(ISTEXT('월 가계부'!A2737),SUBSTITUTE(SUBSTITUTE(SUBSTITUTE(SUBSTITUTE(SUBSTITUTE(SUBSTITUTE(SUBSTITUTE(SUBSTITUTE(SUBSTITUTE(TRIM('월 가계부'!A2737),"년","-"),"월","-"),"일",""),".","-"),"/","-")," ","-"),"--","-"),"--","-"),"--","-")&amp;"-","")</f>
        <v/>
      </c>
      <c r="CI2737">
        <f>IFERROR(IF('월 가계부'!A2737="","",IF(ISNUMBER('월 가계부'!A2737),IF(AND('월 가계부'!A2737&gt;=19000101,'월 가계부'!A2737&lt;=21001231),IF(AND(MOD(INT('월 가계부'!A2737/100),100)&gt;=1,MOD(INT('월 가계부'!A2737/100),100)&lt;=12,MOD(INT('월 가계부'!A2737),100)&gt;=1,MOD(INT('월 가계부'!A2737),100)&lt;=31),IF(MONTH(DATE(INT('월 가계부'!A2737/10000),MOD(INT('월 가계부'!A2737/100),100),MOD(INT('월 가계부'!A2737),100)))=MOD(INT('월 가계부'!A2737/100),100),DATE(INT('월 가계부'!A2737/10000),MOD(INT('월 가계부'!A2737/100),100),MOD(INT('월 가계부'!A2737),100)),""),""),IF(AND('월 가계부'!A2737&gt;=36526,'월 가계부'!A2737&lt;73051),INT('월 가계부'!A2737),"")),IF(OR(CM2737="",CN2737="",CO2737=""),"",IF(AND(CM2737&gt;=2000,CM2737&lt;=2099,CN2737&gt;=1,CN2737&lt;=12,CO2737&gt;=1,CO2737&lt;=31),IF(MONTH(DATE(CM2737,CN2737,CO2737))=CN2737,DATE(CM2737,CN2737,CO2737),""),"")))),"")</f>
        <v/>
      </c>
      <c r="CJ2737">
        <f>IFERROR(IF('월 가계부'!C2737="","",IF(ISNUMBER('월 가계부'!C2737),'월 가계부'!C2737,VALUE(SUBSTITUTE(SUBSTITUTE(SUBSTITUTE(SUBSTITUTE(TRIM('월 가계부'!C2737),",",""),"원","")," ",""),"−","-")))),"")</f>
        <v/>
      </c>
      <c r="CK2737">
        <f>IF(ISNUMBER(CI2737),IF(CI2737&lt;$B$13,CI2737,""),"")</f>
        <v/>
      </c>
      <c r="CM2737">
        <f>IF(CH2737="","",IFERROR(IF(IF(AND(LEN(CH2737)=9,ISERROR(FIND("-",LEFT(CH2737,8))),ISNUMBER(-LEFT(CH2737,8))),VALUE(LEFT(CH2737,4)),VALUE(LEFT(CH2737,FIND("-",CH2737)-1)))&lt;100,IF(AND(LEN(CH2737)=9,ISERROR(FIND("-",LEFT(CH2737,8))),ISNUMBER(-LEFT(CH2737,8))),VALUE(LEFT(CH2737,4)),VALUE(LEFT(CH2737,FIND("-",CH2737)-1)))+2000,IF(AND(LEN(CH2737)=9,ISERROR(FIND("-",LEFT(CH2737,8))),ISNUMBER(-LEFT(CH2737,8))),VALUE(LEFT(CH2737,4)),VALUE(LEFT(CH2737,FIND("-",CH2737)-1)))),""))</f>
        <v/>
      </c>
      <c r="CN2737">
        <f>IF(CH2737="","",IFERROR(IF(AND(LEN(CH2737)=9,ISERROR(FIND("-",LEFT(CH2737,8))),ISNUMBER(-LEFT(CH2737,8))),VALUE(MID(CH2737,5,2)),VALUE(MID(CH2737,FIND("-",CH2737)+1,FIND("-",CH2737,FIND("-",CH2737)+1)-FIND("-",CH2737)-1))),""))</f>
        <v/>
      </c>
      <c r="CO2737">
        <f>IF(CH2737="","",IFERROR(IF(AND(LEN(CH2737)=9,ISERROR(FIND("-",LEFT(CH2737,8))),ISNUMBER(-LEFT(CH2737,8))),VALUE(MID(CH2737,7,2)),VALUE(MID(CH2737,FIND("-",CH2737,FIND("-",CH2737)+1)+1,FIND("-",CH2737,FIND("-",CH2737,FIND("-",CH2737)+1)+1)-FIND("-",CH2737,FIND("-",CH2737)+1)-1))),""))</f>
        <v/>
      </c>
    </row>
    <row r="2738">
      <c r="CH2738">
        <f>IF(ISTEXT('월 가계부'!A2738),SUBSTITUTE(SUBSTITUTE(SUBSTITUTE(SUBSTITUTE(SUBSTITUTE(SUBSTITUTE(SUBSTITUTE(SUBSTITUTE(SUBSTITUTE(TRIM('월 가계부'!A2738),"년","-"),"월","-"),"일",""),".","-"),"/","-")," ","-"),"--","-"),"--","-"),"--","-")&amp;"-","")</f>
        <v/>
      </c>
      <c r="CI2738">
        <f>IFERROR(IF('월 가계부'!A2738="","",IF(ISNUMBER('월 가계부'!A2738),IF(AND('월 가계부'!A2738&gt;=19000101,'월 가계부'!A2738&lt;=21001231),IF(AND(MOD(INT('월 가계부'!A2738/100),100)&gt;=1,MOD(INT('월 가계부'!A2738/100),100)&lt;=12,MOD(INT('월 가계부'!A2738),100)&gt;=1,MOD(INT('월 가계부'!A2738),100)&lt;=31),IF(MONTH(DATE(INT('월 가계부'!A2738/10000),MOD(INT('월 가계부'!A2738/100),100),MOD(INT('월 가계부'!A2738),100)))=MOD(INT('월 가계부'!A2738/100),100),DATE(INT('월 가계부'!A2738/10000),MOD(INT('월 가계부'!A2738/100),100),MOD(INT('월 가계부'!A2738),100)),""),""),IF(AND('월 가계부'!A2738&gt;=36526,'월 가계부'!A2738&lt;73051),INT('월 가계부'!A2738),"")),IF(OR(CM2738="",CN2738="",CO2738=""),"",IF(AND(CM2738&gt;=2000,CM2738&lt;=2099,CN2738&gt;=1,CN2738&lt;=12,CO2738&gt;=1,CO2738&lt;=31),IF(MONTH(DATE(CM2738,CN2738,CO2738))=CN2738,DATE(CM2738,CN2738,CO2738),""),"")))),"")</f>
        <v/>
      </c>
      <c r="CJ2738">
        <f>IFERROR(IF('월 가계부'!C2738="","",IF(ISNUMBER('월 가계부'!C2738),'월 가계부'!C2738,VALUE(SUBSTITUTE(SUBSTITUTE(SUBSTITUTE(SUBSTITUTE(TRIM('월 가계부'!C2738),",",""),"원","")," ",""),"−","-")))),"")</f>
        <v/>
      </c>
      <c r="CK2738">
        <f>IF(ISNUMBER(CI2738),IF(CI2738&lt;$B$13,CI2738,""),"")</f>
        <v/>
      </c>
      <c r="CM2738">
        <f>IF(CH2738="","",IFERROR(IF(IF(AND(LEN(CH2738)=9,ISERROR(FIND("-",LEFT(CH2738,8))),ISNUMBER(-LEFT(CH2738,8))),VALUE(LEFT(CH2738,4)),VALUE(LEFT(CH2738,FIND("-",CH2738)-1)))&lt;100,IF(AND(LEN(CH2738)=9,ISERROR(FIND("-",LEFT(CH2738,8))),ISNUMBER(-LEFT(CH2738,8))),VALUE(LEFT(CH2738,4)),VALUE(LEFT(CH2738,FIND("-",CH2738)-1)))+2000,IF(AND(LEN(CH2738)=9,ISERROR(FIND("-",LEFT(CH2738,8))),ISNUMBER(-LEFT(CH2738,8))),VALUE(LEFT(CH2738,4)),VALUE(LEFT(CH2738,FIND("-",CH2738)-1)))),""))</f>
        <v/>
      </c>
      <c r="CN2738">
        <f>IF(CH2738="","",IFERROR(IF(AND(LEN(CH2738)=9,ISERROR(FIND("-",LEFT(CH2738,8))),ISNUMBER(-LEFT(CH2738,8))),VALUE(MID(CH2738,5,2)),VALUE(MID(CH2738,FIND("-",CH2738)+1,FIND("-",CH2738,FIND("-",CH2738)+1)-FIND("-",CH2738)-1))),""))</f>
        <v/>
      </c>
      <c r="CO2738">
        <f>IF(CH2738="","",IFERROR(IF(AND(LEN(CH2738)=9,ISERROR(FIND("-",LEFT(CH2738,8))),ISNUMBER(-LEFT(CH2738,8))),VALUE(MID(CH2738,7,2)),VALUE(MID(CH2738,FIND("-",CH2738,FIND("-",CH2738)+1)+1,FIND("-",CH2738,FIND("-",CH2738,FIND("-",CH2738)+1)+1)-FIND("-",CH2738,FIND("-",CH2738)+1)-1))),""))</f>
        <v/>
      </c>
    </row>
    <row r="2739">
      <c r="CH2739">
        <f>IF(ISTEXT('월 가계부'!A2739),SUBSTITUTE(SUBSTITUTE(SUBSTITUTE(SUBSTITUTE(SUBSTITUTE(SUBSTITUTE(SUBSTITUTE(SUBSTITUTE(SUBSTITUTE(TRIM('월 가계부'!A2739),"년","-"),"월","-"),"일",""),".","-"),"/","-")," ","-"),"--","-"),"--","-"),"--","-")&amp;"-","")</f>
        <v/>
      </c>
      <c r="CI2739">
        <f>IFERROR(IF('월 가계부'!A2739="","",IF(ISNUMBER('월 가계부'!A2739),IF(AND('월 가계부'!A2739&gt;=19000101,'월 가계부'!A2739&lt;=21001231),IF(AND(MOD(INT('월 가계부'!A2739/100),100)&gt;=1,MOD(INT('월 가계부'!A2739/100),100)&lt;=12,MOD(INT('월 가계부'!A2739),100)&gt;=1,MOD(INT('월 가계부'!A2739),100)&lt;=31),IF(MONTH(DATE(INT('월 가계부'!A2739/10000),MOD(INT('월 가계부'!A2739/100),100),MOD(INT('월 가계부'!A2739),100)))=MOD(INT('월 가계부'!A2739/100),100),DATE(INT('월 가계부'!A2739/10000),MOD(INT('월 가계부'!A2739/100),100),MOD(INT('월 가계부'!A2739),100)),""),""),IF(AND('월 가계부'!A2739&gt;=36526,'월 가계부'!A2739&lt;73051),INT('월 가계부'!A2739),"")),IF(OR(CM2739="",CN2739="",CO2739=""),"",IF(AND(CM2739&gt;=2000,CM2739&lt;=2099,CN2739&gt;=1,CN2739&lt;=12,CO2739&gt;=1,CO2739&lt;=31),IF(MONTH(DATE(CM2739,CN2739,CO2739))=CN2739,DATE(CM2739,CN2739,CO2739),""),"")))),"")</f>
        <v/>
      </c>
      <c r="CJ2739">
        <f>IFERROR(IF('월 가계부'!C2739="","",IF(ISNUMBER('월 가계부'!C2739),'월 가계부'!C2739,VALUE(SUBSTITUTE(SUBSTITUTE(SUBSTITUTE(SUBSTITUTE(TRIM('월 가계부'!C2739),",",""),"원","")," ",""),"−","-")))),"")</f>
        <v/>
      </c>
      <c r="CK2739">
        <f>IF(ISNUMBER(CI2739),IF(CI2739&lt;$B$13,CI2739,""),"")</f>
        <v/>
      </c>
      <c r="CM2739">
        <f>IF(CH2739="","",IFERROR(IF(IF(AND(LEN(CH2739)=9,ISERROR(FIND("-",LEFT(CH2739,8))),ISNUMBER(-LEFT(CH2739,8))),VALUE(LEFT(CH2739,4)),VALUE(LEFT(CH2739,FIND("-",CH2739)-1)))&lt;100,IF(AND(LEN(CH2739)=9,ISERROR(FIND("-",LEFT(CH2739,8))),ISNUMBER(-LEFT(CH2739,8))),VALUE(LEFT(CH2739,4)),VALUE(LEFT(CH2739,FIND("-",CH2739)-1)))+2000,IF(AND(LEN(CH2739)=9,ISERROR(FIND("-",LEFT(CH2739,8))),ISNUMBER(-LEFT(CH2739,8))),VALUE(LEFT(CH2739,4)),VALUE(LEFT(CH2739,FIND("-",CH2739)-1)))),""))</f>
        <v/>
      </c>
      <c r="CN2739">
        <f>IF(CH2739="","",IFERROR(IF(AND(LEN(CH2739)=9,ISERROR(FIND("-",LEFT(CH2739,8))),ISNUMBER(-LEFT(CH2739,8))),VALUE(MID(CH2739,5,2)),VALUE(MID(CH2739,FIND("-",CH2739)+1,FIND("-",CH2739,FIND("-",CH2739)+1)-FIND("-",CH2739)-1))),""))</f>
        <v/>
      </c>
      <c r="CO2739">
        <f>IF(CH2739="","",IFERROR(IF(AND(LEN(CH2739)=9,ISERROR(FIND("-",LEFT(CH2739,8))),ISNUMBER(-LEFT(CH2739,8))),VALUE(MID(CH2739,7,2)),VALUE(MID(CH2739,FIND("-",CH2739,FIND("-",CH2739)+1)+1,FIND("-",CH2739,FIND("-",CH2739,FIND("-",CH2739)+1)+1)-FIND("-",CH2739,FIND("-",CH2739)+1)-1))),""))</f>
        <v/>
      </c>
    </row>
    <row r="2740">
      <c r="CH2740">
        <f>IF(ISTEXT('월 가계부'!A2740),SUBSTITUTE(SUBSTITUTE(SUBSTITUTE(SUBSTITUTE(SUBSTITUTE(SUBSTITUTE(SUBSTITUTE(SUBSTITUTE(SUBSTITUTE(TRIM('월 가계부'!A2740),"년","-"),"월","-"),"일",""),".","-"),"/","-")," ","-"),"--","-"),"--","-"),"--","-")&amp;"-","")</f>
        <v/>
      </c>
      <c r="CI2740">
        <f>IFERROR(IF('월 가계부'!A2740="","",IF(ISNUMBER('월 가계부'!A2740),IF(AND('월 가계부'!A2740&gt;=19000101,'월 가계부'!A2740&lt;=21001231),IF(AND(MOD(INT('월 가계부'!A2740/100),100)&gt;=1,MOD(INT('월 가계부'!A2740/100),100)&lt;=12,MOD(INT('월 가계부'!A2740),100)&gt;=1,MOD(INT('월 가계부'!A2740),100)&lt;=31),IF(MONTH(DATE(INT('월 가계부'!A2740/10000),MOD(INT('월 가계부'!A2740/100),100),MOD(INT('월 가계부'!A2740),100)))=MOD(INT('월 가계부'!A2740/100),100),DATE(INT('월 가계부'!A2740/10000),MOD(INT('월 가계부'!A2740/100),100),MOD(INT('월 가계부'!A2740),100)),""),""),IF(AND('월 가계부'!A2740&gt;=36526,'월 가계부'!A2740&lt;73051),INT('월 가계부'!A2740),"")),IF(OR(CM2740="",CN2740="",CO2740=""),"",IF(AND(CM2740&gt;=2000,CM2740&lt;=2099,CN2740&gt;=1,CN2740&lt;=12,CO2740&gt;=1,CO2740&lt;=31),IF(MONTH(DATE(CM2740,CN2740,CO2740))=CN2740,DATE(CM2740,CN2740,CO2740),""),"")))),"")</f>
        <v/>
      </c>
      <c r="CJ2740">
        <f>IFERROR(IF('월 가계부'!C2740="","",IF(ISNUMBER('월 가계부'!C2740),'월 가계부'!C2740,VALUE(SUBSTITUTE(SUBSTITUTE(SUBSTITUTE(SUBSTITUTE(TRIM('월 가계부'!C2740),",",""),"원","")," ",""),"−","-")))),"")</f>
        <v/>
      </c>
      <c r="CK2740">
        <f>IF(ISNUMBER(CI2740),IF(CI2740&lt;$B$13,CI2740,""),"")</f>
        <v/>
      </c>
      <c r="CM2740">
        <f>IF(CH2740="","",IFERROR(IF(IF(AND(LEN(CH2740)=9,ISERROR(FIND("-",LEFT(CH2740,8))),ISNUMBER(-LEFT(CH2740,8))),VALUE(LEFT(CH2740,4)),VALUE(LEFT(CH2740,FIND("-",CH2740)-1)))&lt;100,IF(AND(LEN(CH2740)=9,ISERROR(FIND("-",LEFT(CH2740,8))),ISNUMBER(-LEFT(CH2740,8))),VALUE(LEFT(CH2740,4)),VALUE(LEFT(CH2740,FIND("-",CH2740)-1)))+2000,IF(AND(LEN(CH2740)=9,ISERROR(FIND("-",LEFT(CH2740,8))),ISNUMBER(-LEFT(CH2740,8))),VALUE(LEFT(CH2740,4)),VALUE(LEFT(CH2740,FIND("-",CH2740)-1)))),""))</f>
        <v/>
      </c>
      <c r="CN2740">
        <f>IF(CH2740="","",IFERROR(IF(AND(LEN(CH2740)=9,ISERROR(FIND("-",LEFT(CH2740,8))),ISNUMBER(-LEFT(CH2740,8))),VALUE(MID(CH2740,5,2)),VALUE(MID(CH2740,FIND("-",CH2740)+1,FIND("-",CH2740,FIND("-",CH2740)+1)-FIND("-",CH2740)-1))),""))</f>
        <v/>
      </c>
      <c r="CO2740">
        <f>IF(CH2740="","",IFERROR(IF(AND(LEN(CH2740)=9,ISERROR(FIND("-",LEFT(CH2740,8))),ISNUMBER(-LEFT(CH2740,8))),VALUE(MID(CH2740,7,2)),VALUE(MID(CH2740,FIND("-",CH2740,FIND("-",CH2740)+1)+1,FIND("-",CH2740,FIND("-",CH2740,FIND("-",CH2740)+1)+1)-FIND("-",CH2740,FIND("-",CH2740)+1)-1))),""))</f>
        <v/>
      </c>
    </row>
    <row r="2741">
      <c r="CH2741">
        <f>IF(ISTEXT('월 가계부'!A2741),SUBSTITUTE(SUBSTITUTE(SUBSTITUTE(SUBSTITUTE(SUBSTITUTE(SUBSTITUTE(SUBSTITUTE(SUBSTITUTE(SUBSTITUTE(TRIM('월 가계부'!A2741),"년","-"),"월","-"),"일",""),".","-"),"/","-")," ","-"),"--","-"),"--","-"),"--","-")&amp;"-","")</f>
        <v/>
      </c>
      <c r="CI2741">
        <f>IFERROR(IF('월 가계부'!A2741="","",IF(ISNUMBER('월 가계부'!A2741),IF(AND('월 가계부'!A2741&gt;=19000101,'월 가계부'!A2741&lt;=21001231),IF(AND(MOD(INT('월 가계부'!A2741/100),100)&gt;=1,MOD(INT('월 가계부'!A2741/100),100)&lt;=12,MOD(INT('월 가계부'!A2741),100)&gt;=1,MOD(INT('월 가계부'!A2741),100)&lt;=31),IF(MONTH(DATE(INT('월 가계부'!A2741/10000),MOD(INT('월 가계부'!A2741/100),100),MOD(INT('월 가계부'!A2741),100)))=MOD(INT('월 가계부'!A2741/100),100),DATE(INT('월 가계부'!A2741/10000),MOD(INT('월 가계부'!A2741/100),100),MOD(INT('월 가계부'!A2741),100)),""),""),IF(AND('월 가계부'!A2741&gt;=36526,'월 가계부'!A2741&lt;73051),INT('월 가계부'!A2741),"")),IF(OR(CM2741="",CN2741="",CO2741=""),"",IF(AND(CM2741&gt;=2000,CM2741&lt;=2099,CN2741&gt;=1,CN2741&lt;=12,CO2741&gt;=1,CO2741&lt;=31),IF(MONTH(DATE(CM2741,CN2741,CO2741))=CN2741,DATE(CM2741,CN2741,CO2741),""),"")))),"")</f>
        <v/>
      </c>
      <c r="CJ2741">
        <f>IFERROR(IF('월 가계부'!C2741="","",IF(ISNUMBER('월 가계부'!C2741),'월 가계부'!C2741,VALUE(SUBSTITUTE(SUBSTITUTE(SUBSTITUTE(SUBSTITUTE(TRIM('월 가계부'!C2741),",",""),"원","")," ",""),"−","-")))),"")</f>
        <v/>
      </c>
      <c r="CK2741">
        <f>IF(ISNUMBER(CI2741),IF(CI2741&lt;$B$13,CI2741,""),"")</f>
        <v/>
      </c>
      <c r="CM2741">
        <f>IF(CH2741="","",IFERROR(IF(IF(AND(LEN(CH2741)=9,ISERROR(FIND("-",LEFT(CH2741,8))),ISNUMBER(-LEFT(CH2741,8))),VALUE(LEFT(CH2741,4)),VALUE(LEFT(CH2741,FIND("-",CH2741)-1)))&lt;100,IF(AND(LEN(CH2741)=9,ISERROR(FIND("-",LEFT(CH2741,8))),ISNUMBER(-LEFT(CH2741,8))),VALUE(LEFT(CH2741,4)),VALUE(LEFT(CH2741,FIND("-",CH2741)-1)))+2000,IF(AND(LEN(CH2741)=9,ISERROR(FIND("-",LEFT(CH2741,8))),ISNUMBER(-LEFT(CH2741,8))),VALUE(LEFT(CH2741,4)),VALUE(LEFT(CH2741,FIND("-",CH2741)-1)))),""))</f>
        <v/>
      </c>
      <c r="CN2741">
        <f>IF(CH2741="","",IFERROR(IF(AND(LEN(CH2741)=9,ISERROR(FIND("-",LEFT(CH2741,8))),ISNUMBER(-LEFT(CH2741,8))),VALUE(MID(CH2741,5,2)),VALUE(MID(CH2741,FIND("-",CH2741)+1,FIND("-",CH2741,FIND("-",CH2741)+1)-FIND("-",CH2741)-1))),""))</f>
        <v/>
      </c>
      <c r="CO2741">
        <f>IF(CH2741="","",IFERROR(IF(AND(LEN(CH2741)=9,ISERROR(FIND("-",LEFT(CH2741,8))),ISNUMBER(-LEFT(CH2741,8))),VALUE(MID(CH2741,7,2)),VALUE(MID(CH2741,FIND("-",CH2741,FIND("-",CH2741)+1)+1,FIND("-",CH2741,FIND("-",CH2741,FIND("-",CH2741)+1)+1)-FIND("-",CH2741,FIND("-",CH2741)+1)-1))),""))</f>
        <v/>
      </c>
    </row>
    <row r="2742">
      <c r="CH2742">
        <f>IF(ISTEXT('월 가계부'!A2742),SUBSTITUTE(SUBSTITUTE(SUBSTITUTE(SUBSTITUTE(SUBSTITUTE(SUBSTITUTE(SUBSTITUTE(SUBSTITUTE(SUBSTITUTE(TRIM('월 가계부'!A2742),"년","-"),"월","-"),"일",""),".","-"),"/","-")," ","-"),"--","-"),"--","-"),"--","-")&amp;"-","")</f>
        <v/>
      </c>
      <c r="CI2742">
        <f>IFERROR(IF('월 가계부'!A2742="","",IF(ISNUMBER('월 가계부'!A2742),IF(AND('월 가계부'!A2742&gt;=19000101,'월 가계부'!A2742&lt;=21001231),IF(AND(MOD(INT('월 가계부'!A2742/100),100)&gt;=1,MOD(INT('월 가계부'!A2742/100),100)&lt;=12,MOD(INT('월 가계부'!A2742),100)&gt;=1,MOD(INT('월 가계부'!A2742),100)&lt;=31),IF(MONTH(DATE(INT('월 가계부'!A2742/10000),MOD(INT('월 가계부'!A2742/100),100),MOD(INT('월 가계부'!A2742),100)))=MOD(INT('월 가계부'!A2742/100),100),DATE(INT('월 가계부'!A2742/10000),MOD(INT('월 가계부'!A2742/100),100),MOD(INT('월 가계부'!A2742),100)),""),""),IF(AND('월 가계부'!A2742&gt;=36526,'월 가계부'!A2742&lt;73051),INT('월 가계부'!A2742),"")),IF(OR(CM2742="",CN2742="",CO2742=""),"",IF(AND(CM2742&gt;=2000,CM2742&lt;=2099,CN2742&gt;=1,CN2742&lt;=12,CO2742&gt;=1,CO2742&lt;=31),IF(MONTH(DATE(CM2742,CN2742,CO2742))=CN2742,DATE(CM2742,CN2742,CO2742),""),"")))),"")</f>
        <v/>
      </c>
      <c r="CJ2742">
        <f>IFERROR(IF('월 가계부'!C2742="","",IF(ISNUMBER('월 가계부'!C2742),'월 가계부'!C2742,VALUE(SUBSTITUTE(SUBSTITUTE(SUBSTITUTE(SUBSTITUTE(TRIM('월 가계부'!C2742),",",""),"원","")," ",""),"−","-")))),"")</f>
        <v/>
      </c>
      <c r="CK2742">
        <f>IF(ISNUMBER(CI2742),IF(CI2742&lt;$B$13,CI2742,""),"")</f>
        <v/>
      </c>
      <c r="CM2742">
        <f>IF(CH2742="","",IFERROR(IF(IF(AND(LEN(CH2742)=9,ISERROR(FIND("-",LEFT(CH2742,8))),ISNUMBER(-LEFT(CH2742,8))),VALUE(LEFT(CH2742,4)),VALUE(LEFT(CH2742,FIND("-",CH2742)-1)))&lt;100,IF(AND(LEN(CH2742)=9,ISERROR(FIND("-",LEFT(CH2742,8))),ISNUMBER(-LEFT(CH2742,8))),VALUE(LEFT(CH2742,4)),VALUE(LEFT(CH2742,FIND("-",CH2742)-1)))+2000,IF(AND(LEN(CH2742)=9,ISERROR(FIND("-",LEFT(CH2742,8))),ISNUMBER(-LEFT(CH2742,8))),VALUE(LEFT(CH2742,4)),VALUE(LEFT(CH2742,FIND("-",CH2742)-1)))),""))</f>
        <v/>
      </c>
      <c r="CN2742">
        <f>IF(CH2742="","",IFERROR(IF(AND(LEN(CH2742)=9,ISERROR(FIND("-",LEFT(CH2742,8))),ISNUMBER(-LEFT(CH2742,8))),VALUE(MID(CH2742,5,2)),VALUE(MID(CH2742,FIND("-",CH2742)+1,FIND("-",CH2742,FIND("-",CH2742)+1)-FIND("-",CH2742)-1))),""))</f>
        <v/>
      </c>
      <c r="CO2742">
        <f>IF(CH2742="","",IFERROR(IF(AND(LEN(CH2742)=9,ISERROR(FIND("-",LEFT(CH2742,8))),ISNUMBER(-LEFT(CH2742,8))),VALUE(MID(CH2742,7,2)),VALUE(MID(CH2742,FIND("-",CH2742,FIND("-",CH2742)+1)+1,FIND("-",CH2742,FIND("-",CH2742,FIND("-",CH2742)+1)+1)-FIND("-",CH2742,FIND("-",CH2742)+1)-1))),""))</f>
        <v/>
      </c>
    </row>
    <row r="2743">
      <c r="CH2743">
        <f>IF(ISTEXT('월 가계부'!A2743),SUBSTITUTE(SUBSTITUTE(SUBSTITUTE(SUBSTITUTE(SUBSTITUTE(SUBSTITUTE(SUBSTITUTE(SUBSTITUTE(SUBSTITUTE(TRIM('월 가계부'!A2743),"년","-"),"월","-"),"일",""),".","-"),"/","-")," ","-"),"--","-"),"--","-"),"--","-")&amp;"-","")</f>
        <v/>
      </c>
      <c r="CI2743">
        <f>IFERROR(IF('월 가계부'!A2743="","",IF(ISNUMBER('월 가계부'!A2743),IF(AND('월 가계부'!A2743&gt;=19000101,'월 가계부'!A2743&lt;=21001231),IF(AND(MOD(INT('월 가계부'!A2743/100),100)&gt;=1,MOD(INT('월 가계부'!A2743/100),100)&lt;=12,MOD(INT('월 가계부'!A2743),100)&gt;=1,MOD(INT('월 가계부'!A2743),100)&lt;=31),IF(MONTH(DATE(INT('월 가계부'!A2743/10000),MOD(INT('월 가계부'!A2743/100),100),MOD(INT('월 가계부'!A2743),100)))=MOD(INT('월 가계부'!A2743/100),100),DATE(INT('월 가계부'!A2743/10000),MOD(INT('월 가계부'!A2743/100),100),MOD(INT('월 가계부'!A2743),100)),""),""),IF(AND('월 가계부'!A2743&gt;=36526,'월 가계부'!A2743&lt;73051),INT('월 가계부'!A2743),"")),IF(OR(CM2743="",CN2743="",CO2743=""),"",IF(AND(CM2743&gt;=2000,CM2743&lt;=2099,CN2743&gt;=1,CN2743&lt;=12,CO2743&gt;=1,CO2743&lt;=31),IF(MONTH(DATE(CM2743,CN2743,CO2743))=CN2743,DATE(CM2743,CN2743,CO2743),""),"")))),"")</f>
        <v/>
      </c>
      <c r="CJ2743">
        <f>IFERROR(IF('월 가계부'!C2743="","",IF(ISNUMBER('월 가계부'!C2743),'월 가계부'!C2743,VALUE(SUBSTITUTE(SUBSTITUTE(SUBSTITUTE(SUBSTITUTE(TRIM('월 가계부'!C2743),",",""),"원","")," ",""),"−","-")))),"")</f>
        <v/>
      </c>
      <c r="CK2743">
        <f>IF(ISNUMBER(CI2743),IF(CI2743&lt;$B$13,CI2743,""),"")</f>
        <v/>
      </c>
      <c r="CM2743">
        <f>IF(CH2743="","",IFERROR(IF(IF(AND(LEN(CH2743)=9,ISERROR(FIND("-",LEFT(CH2743,8))),ISNUMBER(-LEFT(CH2743,8))),VALUE(LEFT(CH2743,4)),VALUE(LEFT(CH2743,FIND("-",CH2743)-1)))&lt;100,IF(AND(LEN(CH2743)=9,ISERROR(FIND("-",LEFT(CH2743,8))),ISNUMBER(-LEFT(CH2743,8))),VALUE(LEFT(CH2743,4)),VALUE(LEFT(CH2743,FIND("-",CH2743)-1)))+2000,IF(AND(LEN(CH2743)=9,ISERROR(FIND("-",LEFT(CH2743,8))),ISNUMBER(-LEFT(CH2743,8))),VALUE(LEFT(CH2743,4)),VALUE(LEFT(CH2743,FIND("-",CH2743)-1)))),""))</f>
        <v/>
      </c>
      <c r="CN2743">
        <f>IF(CH2743="","",IFERROR(IF(AND(LEN(CH2743)=9,ISERROR(FIND("-",LEFT(CH2743,8))),ISNUMBER(-LEFT(CH2743,8))),VALUE(MID(CH2743,5,2)),VALUE(MID(CH2743,FIND("-",CH2743)+1,FIND("-",CH2743,FIND("-",CH2743)+1)-FIND("-",CH2743)-1))),""))</f>
        <v/>
      </c>
      <c r="CO2743">
        <f>IF(CH2743="","",IFERROR(IF(AND(LEN(CH2743)=9,ISERROR(FIND("-",LEFT(CH2743,8))),ISNUMBER(-LEFT(CH2743,8))),VALUE(MID(CH2743,7,2)),VALUE(MID(CH2743,FIND("-",CH2743,FIND("-",CH2743)+1)+1,FIND("-",CH2743,FIND("-",CH2743,FIND("-",CH2743)+1)+1)-FIND("-",CH2743,FIND("-",CH2743)+1)-1))),""))</f>
        <v/>
      </c>
    </row>
    <row r="2744">
      <c r="CH2744">
        <f>IF(ISTEXT('월 가계부'!A2744),SUBSTITUTE(SUBSTITUTE(SUBSTITUTE(SUBSTITUTE(SUBSTITUTE(SUBSTITUTE(SUBSTITUTE(SUBSTITUTE(SUBSTITUTE(TRIM('월 가계부'!A2744),"년","-"),"월","-"),"일",""),".","-"),"/","-")," ","-"),"--","-"),"--","-"),"--","-")&amp;"-","")</f>
        <v/>
      </c>
      <c r="CI2744">
        <f>IFERROR(IF('월 가계부'!A2744="","",IF(ISNUMBER('월 가계부'!A2744),IF(AND('월 가계부'!A2744&gt;=19000101,'월 가계부'!A2744&lt;=21001231),IF(AND(MOD(INT('월 가계부'!A2744/100),100)&gt;=1,MOD(INT('월 가계부'!A2744/100),100)&lt;=12,MOD(INT('월 가계부'!A2744),100)&gt;=1,MOD(INT('월 가계부'!A2744),100)&lt;=31),IF(MONTH(DATE(INT('월 가계부'!A2744/10000),MOD(INT('월 가계부'!A2744/100),100),MOD(INT('월 가계부'!A2744),100)))=MOD(INT('월 가계부'!A2744/100),100),DATE(INT('월 가계부'!A2744/10000),MOD(INT('월 가계부'!A2744/100),100),MOD(INT('월 가계부'!A2744),100)),""),""),IF(AND('월 가계부'!A2744&gt;=36526,'월 가계부'!A2744&lt;73051),INT('월 가계부'!A2744),"")),IF(OR(CM2744="",CN2744="",CO2744=""),"",IF(AND(CM2744&gt;=2000,CM2744&lt;=2099,CN2744&gt;=1,CN2744&lt;=12,CO2744&gt;=1,CO2744&lt;=31),IF(MONTH(DATE(CM2744,CN2744,CO2744))=CN2744,DATE(CM2744,CN2744,CO2744),""),"")))),"")</f>
        <v/>
      </c>
      <c r="CJ2744">
        <f>IFERROR(IF('월 가계부'!C2744="","",IF(ISNUMBER('월 가계부'!C2744),'월 가계부'!C2744,VALUE(SUBSTITUTE(SUBSTITUTE(SUBSTITUTE(SUBSTITUTE(TRIM('월 가계부'!C2744),",",""),"원","")," ",""),"−","-")))),"")</f>
        <v/>
      </c>
      <c r="CK2744">
        <f>IF(ISNUMBER(CI2744),IF(CI2744&lt;$B$13,CI2744,""),"")</f>
        <v/>
      </c>
      <c r="CM2744">
        <f>IF(CH2744="","",IFERROR(IF(IF(AND(LEN(CH2744)=9,ISERROR(FIND("-",LEFT(CH2744,8))),ISNUMBER(-LEFT(CH2744,8))),VALUE(LEFT(CH2744,4)),VALUE(LEFT(CH2744,FIND("-",CH2744)-1)))&lt;100,IF(AND(LEN(CH2744)=9,ISERROR(FIND("-",LEFT(CH2744,8))),ISNUMBER(-LEFT(CH2744,8))),VALUE(LEFT(CH2744,4)),VALUE(LEFT(CH2744,FIND("-",CH2744)-1)))+2000,IF(AND(LEN(CH2744)=9,ISERROR(FIND("-",LEFT(CH2744,8))),ISNUMBER(-LEFT(CH2744,8))),VALUE(LEFT(CH2744,4)),VALUE(LEFT(CH2744,FIND("-",CH2744)-1)))),""))</f>
        <v/>
      </c>
      <c r="CN2744">
        <f>IF(CH2744="","",IFERROR(IF(AND(LEN(CH2744)=9,ISERROR(FIND("-",LEFT(CH2744,8))),ISNUMBER(-LEFT(CH2744,8))),VALUE(MID(CH2744,5,2)),VALUE(MID(CH2744,FIND("-",CH2744)+1,FIND("-",CH2744,FIND("-",CH2744)+1)-FIND("-",CH2744)-1))),""))</f>
        <v/>
      </c>
      <c r="CO2744">
        <f>IF(CH2744="","",IFERROR(IF(AND(LEN(CH2744)=9,ISERROR(FIND("-",LEFT(CH2744,8))),ISNUMBER(-LEFT(CH2744,8))),VALUE(MID(CH2744,7,2)),VALUE(MID(CH2744,FIND("-",CH2744,FIND("-",CH2744)+1)+1,FIND("-",CH2744,FIND("-",CH2744,FIND("-",CH2744)+1)+1)-FIND("-",CH2744,FIND("-",CH2744)+1)-1))),""))</f>
        <v/>
      </c>
    </row>
    <row r="2745">
      <c r="CH2745">
        <f>IF(ISTEXT('월 가계부'!A2745),SUBSTITUTE(SUBSTITUTE(SUBSTITUTE(SUBSTITUTE(SUBSTITUTE(SUBSTITUTE(SUBSTITUTE(SUBSTITUTE(SUBSTITUTE(TRIM('월 가계부'!A2745),"년","-"),"월","-"),"일",""),".","-"),"/","-")," ","-"),"--","-"),"--","-"),"--","-")&amp;"-","")</f>
        <v/>
      </c>
      <c r="CI2745">
        <f>IFERROR(IF('월 가계부'!A2745="","",IF(ISNUMBER('월 가계부'!A2745),IF(AND('월 가계부'!A2745&gt;=19000101,'월 가계부'!A2745&lt;=21001231),IF(AND(MOD(INT('월 가계부'!A2745/100),100)&gt;=1,MOD(INT('월 가계부'!A2745/100),100)&lt;=12,MOD(INT('월 가계부'!A2745),100)&gt;=1,MOD(INT('월 가계부'!A2745),100)&lt;=31),IF(MONTH(DATE(INT('월 가계부'!A2745/10000),MOD(INT('월 가계부'!A2745/100),100),MOD(INT('월 가계부'!A2745),100)))=MOD(INT('월 가계부'!A2745/100),100),DATE(INT('월 가계부'!A2745/10000),MOD(INT('월 가계부'!A2745/100),100),MOD(INT('월 가계부'!A2745),100)),""),""),IF(AND('월 가계부'!A2745&gt;=36526,'월 가계부'!A2745&lt;73051),INT('월 가계부'!A2745),"")),IF(OR(CM2745="",CN2745="",CO2745=""),"",IF(AND(CM2745&gt;=2000,CM2745&lt;=2099,CN2745&gt;=1,CN2745&lt;=12,CO2745&gt;=1,CO2745&lt;=31),IF(MONTH(DATE(CM2745,CN2745,CO2745))=CN2745,DATE(CM2745,CN2745,CO2745),""),"")))),"")</f>
        <v/>
      </c>
      <c r="CJ2745">
        <f>IFERROR(IF('월 가계부'!C2745="","",IF(ISNUMBER('월 가계부'!C2745),'월 가계부'!C2745,VALUE(SUBSTITUTE(SUBSTITUTE(SUBSTITUTE(SUBSTITUTE(TRIM('월 가계부'!C2745),",",""),"원","")," ",""),"−","-")))),"")</f>
        <v/>
      </c>
      <c r="CK2745">
        <f>IF(ISNUMBER(CI2745),IF(CI2745&lt;$B$13,CI2745,""),"")</f>
        <v/>
      </c>
      <c r="CM2745">
        <f>IF(CH2745="","",IFERROR(IF(IF(AND(LEN(CH2745)=9,ISERROR(FIND("-",LEFT(CH2745,8))),ISNUMBER(-LEFT(CH2745,8))),VALUE(LEFT(CH2745,4)),VALUE(LEFT(CH2745,FIND("-",CH2745)-1)))&lt;100,IF(AND(LEN(CH2745)=9,ISERROR(FIND("-",LEFT(CH2745,8))),ISNUMBER(-LEFT(CH2745,8))),VALUE(LEFT(CH2745,4)),VALUE(LEFT(CH2745,FIND("-",CH2745)-1)))+2000,IF(AND(LEN(CH2745)=9,ISERROR(FIND("-",LEFT(CH2745,8))),ISNUMBER(-LEFT(CH2745,8))),VALUE(LEFT(CH2745,4)),VALUE(LEFT(CH2745,FIND("-",CH2745)-1)))),""))</f>
        <v/>
      </c>
      <c r="CN2745">
        <f>IF(CH2745="","",IFERROR(IF(AND(LEN(CH2745)=9,ISERROR(FIND("-",LEFT(CH2745,8))),ISNUMBER(-LEFT(CH2745,8))),VALUE(MID(CH2745,5,2)),VALUE(MID(CH2745,FIND("-",CH2745)+1,FIND("-",CH2745,FIND("-",CH2745)+1)-FIND("-",CH2745)-1))),""))</f>
        <v/>
      </c>
      <c r="CO2745">
        <f>IF(CH2745="","",IFERROR(IF(AND(LEN(CH2745)=9,ISERROR(FIND("-",LEFT(CH2745,8))),ISNUMBER(-LEFT(CH2745,8))),VALUE(MID(CH2745,7,2)),VALUE(MID(CH2745,FIND("-",CH2745,FIND("-",CH2745)+1)+1,FIND("-",CH2745,FIND("-",CH2745,FIND("-",CH2745)+1)+1)-FIND("-",CH2745,FIND("-",CH2745)+1)-1))),""))</f>
        <v/>
      </c>
    </row>
    <row r="2746">
      <c r="CH2746">
        <f>IF(ISTEXT('월 가계부'!A2746),SUBSTITUTE(SUBSTITUTE(SUBSTITUTE(SUBSTITUTE(SUBSTITUTE(SUBSTITUTE(SUBSTITUTE(SUBSTITUTE(SUBSTITUTE(TRIM('월 가계부'!A2746),"년","-"),"월","-"),"일",""),".","-"),"/","-")," ","-"),"--","-"),"--","-"),"--","-")&amp;"-","")</f>
        <v/>
      </c>
      <c r="CI2746">
        <f>IFERROR(IF('월 가계부'!A2746="","",IF(ISNUMBER('월 가계부'!A2746),IF(AND('월 가계부'!A2746&gt;=19000101,'월 가계부'!A2746&lt;=21001231),IF(AND(MOD(INT('월 가계부'!A2746/100),100)&gt;=1,MOD(INT('월 가계부'!A2746/100),100)&lt;=12,MOD(INT('월 가계부'!A2746),100)&gt;=1,MOD(INT('월 가계부'!A2746),100)&lt;=31),IF(MONTH(DATE(INT('월 가계부'!A2746/10000),MOD(INT('월 가계부'!A2746/100),100),MOD(INT('월 가계부'!A2746),100)))=MOD(INT('월 가계부'!A2746/100),100),DATE(INT('월 가계부'!A2746/10000),MOD(INT('월 가계부'!A2746/100),100),MOD(INT('월 가계부'!A2746),100)),""),""),IF(AND('월 가계부'!A2746&gt;=36526,'월 가계부'!A2746&lt;73051),INT('월 가계부'!A2746),"")),IF(OR(CM2746="",CN2746="",CO2746=""),"",IF(AND(CM2746&gt;=2000,CM2746&lt;=2099,CN2746&gt;=1,CN2746&lt;=12,CO2746&gt;=1,CO2746&lt;=31),IF(MONTH(DATE(CM2746,CN2746,CO2746))=CN2746,DATE(CM2746,CN2746,CO2746),""),"")))),"")</f>
        <v/>
      </c>
      <c r="CJ2746">
        <f>IFERROR(IF('월 가계부'!C2746="","",IF(ISNUMBER('월 가계부'!C2746),'월 가계부'!C2746,VALUE(SUBSTITUTE(SUBSTITUTE(SUBSTITUTE(SUBSTITUTE(TRIM('월 가계부'!C2746),",",""),"원","")," ",""),"−","-")))),"")</f>
        <v/>
      </c>
      <c r="CK2746">
        <f>IF(ISNUMBER(CI2746),IF(CI2746&lt;$B$13,CI2746,""),"")</f>
        <v/>
      </c>
      <c r="CM2746">
        <f>IF(CH2746="","",IFERROR(IF(IF(AND(LEN(CH2746)=9,ISERROR(FIND("-",LEFT(CH2746,8))),ISNUMBER(-LEFT(CH2746,8))),VALUE(LEFT(CH2746,4)),VALUE(LEFT(CH2746,FIND("-",CH2746)-1)))&lt;100,IF(AND(LEN(CH2746)=9,ISERROR(FIND("-",LEFT(CH2746,8))),ISNUMBER(-LEFT(CH2746,8))),VALUE(LEFT(CH2746,4)),VALUE(LEFT(CH2746,FIND("-",CH2746)-1)))+2000,IF(AND(LEN(CH2746)=9,ISERROR(FIND("-",LEFT(CH2746,8))),ISNUMBER(-LEFT(CH2746,8))),VALUE(LEFT(CH2746,4)),VALUE(LEFT(CH2746,FIND("-",CH2746)-1)))),""))</f>
        <v/>
      </c>
      <c r="CN2746">
        <f>IF(CH2746="","",IFERROR(IF(AND(LEN(CH2746)=9,ISERROR(FIND("-",LEFT(CH2746,8))),ISNUMBER(-LEFT(CH2746,8))),VALUE(MID(CH2746,5,2)),VALUE(MID(CH2746,FIND("-",CH2746)+1,FIND("-",CH2746,FIND("-",CH2746)+1)-FIND("-",CH2746)-1))),""))</f>
        <v/>
      </c>
      <c r="CO2746">
        <f>IF(CH2746="","",IFERROR(IF(AND(LEN(CH2746)=9,ISERROR(FIND("-",LEFT(CH2746,8))),ISNUMBER(-LEFT(CH2746,8))),VALUE(MID(CH2746,7,2)),VALUE(MID(CH2746,FIND("-",CH2746,FIND("-",CH2746)+1)+1,FIND("-",CH2746,FIND("-",CH2746,FIND("-",CH2746)+1)+1)-FIND("-",CH2746,FIND("-",CH2746)+1)-1))),""))</f>
        <v/>
      </c>
    </row>
    <row r="2747">
      <c r="CH2747">
        <f>IF(ISTEXT('월 가계부'!A2747),SUBSTITUTE(SUBSTITUTE(SUBSTITUTE(SUBSTITUTE(SUBSTITUTE(SUBSTITUTE(SUBSTITUTE(SUBSTITUTE(SUBSTITUTE(TRIM('월 가계부'!A2747),"년","-"),"월","-"),"일",""),".","-"),"/","-")," ","-"),"--","-"),"--","-"),"--","-")&amp;"-","")</f>
        <v/>
      </c>
      <c r="CI2747">
        <f>IFERROR(IF('월 가계부'!A2747="","",IF(ISNUMBER('월 가계부'!A2747),IF(AND('월 가계부'!A2747&gt;=19000101,'월 가계부'!A2747&lt;=21001231),IF(AND(MOD(INT('월 가계부'!A2747/100),100)&gt;=1,MOD(INT('월 가계부'!A2747/100),100)&lt;=12,MOD(INT('월 가계부'!A2747),100)&gt;=1,MOD(INT('월 가계부'!A2747),100)&lt;=31),IF(MONTH(DATE(INT('월 가계부'!A2747/10000),MOD(INT('월 가계부'!A2747/100),100),MOD(INT('월 가계부'!A2747),100)))=MOD(INT('월 가계부'!A2747/100),100),DATE(INT('월 가계부'!A2747/10000),MOD(INT('월 가계부'!A2747/100),100),MOD(INT('월 가계부'!A2747),100)),""),""),IF(AND('월 가계부'!A2747&gt;=36526,'월 가계부'!A2747&lt;73051),INT('월 가계부'!A2747),"")),IF(OR(CM2747="",CN2747="",CO2747=""),"",IF(AND(CM2747&gt;=2000,CM2747&lt;=2099,CN2747&gt;=1,CN2747&lt;=12,CO2747&gt;=1,CO2747&lt;=31),IF(MONTH(DATE(CM2747,CN2747,CO2747))=CN2747,DATE(CM2747,CN2747,CO2747),""),"")))),"")</f>
        <v/>
      </c>
      <c r="CJ2747">
        <f>IFERROR(IF('월 가계부'!C2747="","",IF(ISNUMBER('월 가계부'!C2747),'월 가계부'!C2747,VALUE(SUBSTITUTE(SUBSTITUTE(SUBSTITUTE(SUBSTITUTE(TRIM('월 가계부'!C2747),",",""),"원","")," ",""),"−","-")))),"")</f>
        <v/>
      </c>
      <c r="CK2747">
        <f>IF(ISNUMBER(CI2747),IF(CI2747&lt;$B$13,CI2747,""),"")</f>
        <v/>
      </c>
      <c r="CM2747">
        <f>IF(CH2747="","",IFERROR(IF(IF(AND(LEN(CH2747)=9,ISERROR(FIND("-",LEFT(CH2747,8))),ISNUMBER(-LEFT(CH2747,8))),VALUE(LEFT(CH2747,4)),VALUE(LEFT(CH2747,FIND("-",CH2747)-1)))&lt;100,IF(AND(LEN(CH2747)=9,ISERROR(FIND("-",LEFT(CH2747,8))),ISNUMBER(-LEFT(CH2747,8))),VALUE(LEFT(CH2747,4)),VALUE(LEFT(CH2747,FIND("-",CH2747)-1)))+2000,IF(AND(LEN(CH2747)=9,ISERROR(FIND("-",LEFT(CH2747,8))),ISNUMBER(-LEFT(CH2747,8))),VALUE(LEFT(CH2747,4)),VALUE(LEFT(CH2747,FIND("-",CH2747)-1)))),""))</f>
        <v/>
      </c>
      <c r="CN2747">
        <f>IF(CH2747="","",IFERROR(IF(AND(LEN(CH2747)=9,ISERROR(FIND("-",LEFT(CH2747,8))),ISNUMBER(-LEFT(CH2747,8))),VALUE(MID(CH2747,5,2)),VALUE(MID(CH2747,FIND("-",CH2747)+1,FIND("-",CH2747,FIND("-",CH2747)+1)-FIND("-",CH2747)-1))),""))</f>
        <v/>
      </c>
      <c r="CO2747">
        <f>IF(CH2747="","",IFERROR(IF(AND(LEN(CH2747)=9,ISERROR(FIND("-",LEFT(CH2747,8))),ISNUMBER(-LEFT(CH2747,8))),VALUE(MID(CH2747,7,2)),VALUE(MID(CH2747,FIND("-",CH2747,FIND("-",CH2747)+1)+1,FIND("-",CH2747,FIND("-",CH2747,FIND("-",CH2747)+1)+1)-FIND("-",CH2747,FIND("-",CH2747)+1)-1))),""))</f>
        <v/>
      </c>
    </row>
    <row r="2748">
      <c r="CH2748">
        <f>IF(ISTEXT('월 가계부'!A2748),SUBSTITUTE(SUBSTITUTE(SUBSTITUTE(SUBSTITUTE(SUBSTITUTE(SUBSTITUTE(SUBSTITUTE(SUBSTITUTE(SUBSTITUTE(TRIM('월 가계부'!A2748),"년","-"),"월","-"),"일",""),".","-"),"/","-")," ","-"),"--","-"),"--","-"),"--","-")&amp;"-","")</f>
        <v/>
      </c>
      <c r="CI2748">
        <f>IFERROR(IF('월 가계부'!A2748="","",IF(ISNUMBER('월 가계부'!A2748),IF(AND('월 가계부'!A2748&gt;=19000101,'월 가계부'!A2748&lt;=21001231),IF(AND(MOD(INT('월 가계부'!A2748/100),100)&gt;=1,MOD(INT('월 가계부'!A2748/100),100)&lt;=12,MOD(INT('월 가계부'!A2748),100)&gt;=1,MOD(INT('월 가계부'!A2748),100)&lt;=31),IF(MONTH(DATE(INT('월 가계부'!A2748/10000),MOD(INT('월 가계부'!A2748/100),100),MOD(INT('월 가계부'!A2748),100)))=MOD(INT('월 가계부'!A2748/100),100),DATE(INT('월 가계부'!A2748/10000),MOD(INT('월 가계부'!A2748/100),100),MOD(INT('월 가계부'!A2748),100)),""),""),IF(AND('월 가계부'!A2748&gt;=36526,'월 가계부'!A2748&lt;73051),INT('월 가계부'!A2748),"")),IF(OR(CM2748="",CN2748="",CO2748=""),"",IF(AND(CM2748&gt;=2000,CM2748&lt;=2099,CN2748&gt;=1,CN2748&lt;=12,CO2748&gt;=1,CO2748&lt;=31),IF(MONTH(DATE(CM2748,CN2748,CO2748))=CN2748,DATE(CM2748,CN2748,CO2748),""),"")))),"")</f>
        <v/>
      </c>
      <c r="CJ2748">
        <f>IFERROR(IF('월 가계부'!C2748="","",IF(ISNUMBER('월 가계부'!C2748),'월 가계부'!C2748,VALUE(SUBSTITUTE(SUBSTITUTE(SUBSTITUTE(SUBSTITUTE(TRIM('월 가계부'!C2748),",",""),"원","")," ",""),"−","-")))),"")</f>
        <v/>
      </c>
      <c r="CK2748">
        <f>IF(ISNUMBER(CI2748),IF(CI2748&lt;$B$13,CI2748,""),"")</f>
        <v/>
      </c>
      <c r="CM2748">
        <f>IF(CH2748="","",IFERROR(IF(IF(AND(LEN(CH2748)=9,ISERROR(FIND("-",LEFT(CH2748,8))),ISNUMBER(-LEFT(CH2748,8))),VALUE(LEFT(CH2748,4)),VALUE(LEFT(CH2748,FIND("-",CH2748)-1)))&lt;100,IF(AND(LEN(CH2748)=9,ISERROR(FIND("-",LEFT(CH2748,8))),ISNUMBER(-LEFT(CH2748,8))),VALUE(LEFT(CH2748,4)),VALUE(LEFT(CH2748,FIND("-",CH2748)-1)))+2000,IF(AND(LEN(CH2748)=9,ISERROR(FIND("-",LEFT(CH2748,8))),ISNUMBER(-LEFT(CH2748,8))),VALUE(LEFT(CH2748,4)),VALUE(LEFT(CH2748,FIND("-",CH2748)-1)))),""))</f>
        <v/>
      </c>
      <c r="CN2748">
        <f>IF(CH2748="","",IFERROR(IF(AND(LEN(CH2748)=9,ISERROR(FIND("-",LEFT(CH2748,8))),ISNUMBER(-LEFT(CH2748,8))),VALUE(MID(CH2748,5,2)),VALUE(MID(CH2748,FIND("-",CH2748)+1,FIND("-",CH2748,FIND("-",CH2748)+1)-FIND("-",CH2748)-1))),""))</f>
        <v/>
      </c>
      <c r="CO2748">
        <f>IF(CH2748="","",IFERROR(IF(AND(LEN(CH2748)=9,ISERROR(FIND("-",LEFT(CH2748,8))),ISNUMBER(-LEFT(CH2748,8))),VALUE(MID(CH2748,7,2)),VALUE(MID(CH2748,FIND("-",CH2748,FIND("-",CH2748)+1)+1,FIND("-",CH2748,FIND("-",CH2748,FIND("-",CH2748)+1)+1)-FIND("-",CH2748,FIND("-",CH2748)+1)-1))),""))</f>
        <v/>
      </c>
    </row>
    <row r="2749">
      <c r="CH2749">
        <f>IF(ISTEXT('월 가계부'!A2749),SUBSTITUTE(SUBSTITUTE(SUBSTITUTE(SUBSTITUTE(SUBSTITUTE(SUBSTITUTE(SUBSTITUTE(SUBSTITUTE(SUBSTITUTE(TRIM('월 가계부'!A2749),"년","-"),"월","-"),"일",""),".","-"),"/","-")," ","-"),"--","-"),"--","-"),"--","-")&amp;"-","")</f>
        <v/>
      </c>
      <c r="CI2749">
        <f>IFERROR(IF('월 가계부'!A2749="","",IF(ISNUMBER('월 가계부'!A2749),IF(AND('월 가계부'!A2749&gt;=19000101,'월 가계부'!A2749&lt;=21001231),IF(AND(MOD(INT('월 가계부'!A2749/100),100)&gt;=1,MOD(INT('월 가계부'!A2749/100),100)&lt;=12,MOD(INT('월 가계부'!A2749),100)&gt;=1,MOD(INT('월 가계부'!A2749),100)&lt;=31),IF(MONTH(DATE(INT('월 가계부'!A2749/10000),MOD(INT('월 가계부'!A2749/100),100),MOD(INT('월 가계부'!A2749),100)))=MOD(INT('월 가계부'!A2749/100),100),DATE(INT('월 가계부'!A2749/10000),MOD(INT('월 가계부'!A2749/100),100),MOD(INT('월 가계부'!A2749),100)),""),""),IF(AND('월 가계부'!A2749&gt;=36526,'월 가계부'!A2749&lt;73051),INT('월 가계부'!A2749),"")),IF(OR(CM2749="",CN2749="",CO2749=""),"",IF(AND(CM2749&gt;=2000,CM2749&lt;=2099,CN2749&gt;=1,CN2749&lt;=12,CO2749&gt;=1,CO2749&lt;=31),IF(MONTH(DATE(CM2749,CN2749,CO2749))=CN2749,DATE(CM2749,CN2749,CO2749),""),"")))),"")</f>
        <v/>
      </c>
      <c r="CJ2749">
        <f>IFERROR(IF('월 가계부'!C2749="","",IF(ISNUMBER('월 가계부'!C2749),'월 가계부'!C2749,VALUE(SUBSTITUTE(SUBSTITUTE(SUBSTITUTE(SUBSTITUTE(TRIM('월 가계부'!C2749),",",""),"원","")," ",""),"−","-")))),"")</f>
        <v/>
      </c>
      <c r="CK2749">
        <f>IF(ISNUMBER(CI2749),IF(CI2749&lt;$B$13,CI2749,""),"")</f>
        <v/>
      </c>
      <c r="CM2749">
        <f>IF(CH2749="","",IFERROR(IF(IF(AND(LEN(CH2749)=9,ISERROR(FIND("-",LEFT(CH2749,8))),ISNUMBER(-LEFT(CH2749,8))),VALUE(LEFT(CH2749,4)),VALUE(LEFT(CH2749,FIND("-",CH2749)-1)))&lt;100,IF(AND(LEN(CH2749)=9,ISERROR(FIND("-",LEFT(CH2749,8))),ISNUMBER(-LEFT(CH2749,8))),VALUE(LEFT(CH2749,4)),VALUE(LEFT(CH2749,FIND("-",CH2749)-1)))+2000,IF(AND(LEN(CH2749)=9,ISERROR(FIND("-",LEFT(CH2749,8))),ISNUMBER(-LEFT(CH2749,8))),VALUE(LEFT(CH2749,4)),VALUE(LEFT(CH2749,FIND("-",CH2749)-1)))),""))</f>
        <v/>
      </c>
      <c r="CN2749">
        <f>IF(CH2749="","",IFERROR(IF(AND(LEN(CH2749)=9,ISERROR(FIND("-",LEFT(CH2749,8))),ISNUMBER(-LEFT(CH2749,8))),VALUE(MID(CH2749,5,2)),VALUE(MID(CH2749,FIND("-",CH2749)+1,FIND("-",CH2749,FIND("-",CH2749)+1)-FIND("-",CH2749)-1))),""))</f>
        <v/>
      </c>
      <c r="CO2749">
        <f>IF(CH2749="","",IFERROR(IF(AND(LEN(CH2749)=9,ISERROR(FIND("-",LEFT(CH2749,8))),ISNUMBER(-LEFT(CH2749,8))),VALUE(MID(CH2749,7,2)),VALUE(MID(CH2749,FIND("-",CH2749,FIND("-",CH2749)+1)+1,FIND("-",CH2749,FIND("-",CH2749,FIND("-",CH2749)+1)+1)-FIND("-",CH2749,FIND("-",CH2749)+1)-1))),""))</f>
        <v/>
      </c>
    </row>
    <row r="2750">
      <c r="CH2750">
        <f>IF(ISTEXT('월 가계부'!A2750),SUBSTITUTE(SUBSTITUTE(SUBSTITUTE(SUBSTITUTE(SUBSTITUTE(SUBSTITUTE(SUBSTITUTE(SUBSTITUTE(SUBSTITUTE(TRIM('월 가계부'!A2750),"년","-"),"월","-"),"일",""),".","-"),"/","-")," ","-"),"--","-"),"--","-"),"--","-")&amp;"-","")</f>
        <v/>
      </c>
      <c r="CI2750">
        <f>IFERROR(IF('월 가계부'!A2750="","",IF(ISNUMBER('월 가계부'!A2750),IF(AND('월 가계부'!A2750&gt;=19000101,'월 가계부'!A2750&lt;=21001231),IF(AND(MOD(INT('월 가계부'!A2750/100),100)&gt;=1,MOD(INT('월 가계부'!A2750/100),100)&lt;=12,MOD(INT('월 가계부'!A2750),100)&gt;=1,MOD(INT('월 가계부'!A2750),100)&lt;=31),IF(MONTH(DATE(INT('월 가계부'!A2750/10000),MOD(INT('월 가계부'!A2750/100),100),MOD(INT('월 가계부'!A2750),100)))=MOD(INT('월 가계부'!A2750/100),100),DATE(INT('월 가계부'!A2750/10000),MOD(INT('월 가계부'!A2750/100),100),MOD(INT('월 가계부'!A2750),100)),""),""),IF(AND('월 가계부'!A2750&gt;=36526,'월 가계부'!A2750&lt;73051),INT('월 가계부'!A2750),"")),IF(OR(CM2750="",CN2750="",CO2750=""),"",IF(AND(CM2750&gt;=2000,CM2750&lt;=2099,CN2750&gt;=1,CN2750&lt;=12,CO2750&gt;=1,CO2750&lt;=31),IF(MONTH(DATE(CM2750,CN2750,CO2750))=CN2750,DATE(CM2750,CN2750,CO2750),""),"")))),"")</f>
        <v/>
      </c>
      <c r="CJ2750">
        <f>IFERROR(IF('월 가계부'!C2750="","",IF(ISNUMBER('월 가계부'!C2750),'월 가계부'!C2750,VALUE(SUBSTITUTE(SUBSTITUTE(SUBSTITUTE(SUBSTITUTE(TRIM('월 가계부'!C2750),",",""),"원","")," ",""),"−","-")))),"")</f>
        <v/>
      </c>
      <c r="CK2750">
        <f>IF(ISNUMBER(CI2750),IF(CI2750&lt;$B$13,CI2750,""),"")</f>
        <v/>
      </c>
      <c r="CM2750">
        <f>IF(CH2750="","",IFERROR(IF(IF(AND(LEN(CH2750)=9,ISERROR(FIND("-",LEFT(CH2750,8))),ISNUMBER(-LEFT(CH2750,8))),VALUE(LEFT(CH2750,4)),VALUE(LEFT(CH2750,FIND("-",CH2750)-1)))&lt;100,IF(AND(LEN(CH2750)=9,ISERROR(FIND("-",LEFT(CH2750,8))),ISNUMBER(-LEFT(CH2750,8))),VALUE(LEFT(CH2750,4)),VALUE(LEFT(CH2750,FIND("-",CH2750)-1)))+2000,IF(AND(LEN(CH2750)=9,ISERROR(FIND("-",LEFT(CH2750,8))),ISNUMBER(-LEFT(CH2750,8))),VALUE(LEFT(CH2750,4)),VALUE(LEFT(CH2750,FIND("-",CH2750)-1)))),""))</f>
        <v/>
      </c>
      <c r="CN2750">
        <f>IF(CH2750="","",IFERROR(IF(AND(LEN(CH2750)=9,ISERROR(FIND("-",LEFT(CH2750,8))),ISNUMBER(-LEFT(CH2750,8))),VALUE(MID(CH2750,5,2)),VALUE(MID(CH2750,FIND("-",CH2750)+1,FIND("-",CH2750,FIND("-",CH2750)+1)-FIND("-",CH2750)-1))),""))</f>
        <v/>
      </c>
      <c r="CO2750">
        <f>IF(CH2750="","",IFERROR(IF(AND(LEN(CH2750)=9,ISERROR(FIND("-",LEFT(CH2750,8))),ISNUMBER(-LEFT(CH2750,8))),VALUE(MID(CH2750,7,2)),VALUE(MID(CH2750,FIND("-",CH2750,FIND("-",CH2750)+1)+1,FIND("-",CH2750,FIND("-",CH2750,FIND("-",CH2750)+1)+1)-FIND("-",CH2750,FIND("-",CH2750)+1)-1))),""))</f>
        <v/>
      </c>
    </row>
    <row r="2751">
      <c r="CH2751">
        <f>IF(ISTEXT('월 가계부'!A2751),SUBSTITUTE(SUBSTITUTE(SUBSTITUTE(SUBSTITUTE(SUBSTITUTE(SUBSTITUTE(SUBSTITUTE(SUBSTITUTE(SUBSTITUTE(TRIM('월 가계부'!A2751),"년","-"),"월","-"),"일",""),".","-"),"/","-")," ","-"),"--","-"),"--","-"),"--","-")&amp;"-","")</f>
        <v/>
      </c>
      <c r="CI2751">
        <f>IFERROR(IF('월 가계부'!A2751="","",IF(ISNUMBER('월 가계부'!A2751),IF(AND('월 가계부'!A2751&gt;=19000101,'월 가계부'!A2751&lt;=21001231),IF(AND(MOD(INT('월 가계부'!A2751/100),100)&gt;=1,MOD(INT('월 가계부'!A2751/100),100)&lt;=12,MOD(INT('월 가계부'!A2751),100)&gt;=1,MOD(INT('월 가계부'!A2751),100)&lt;=31),IF(MONTH(DATE(INT('월 가계부'!A2751/10000),MOD(INT('월 가계부'!A2751/100),100),MOD(INT('월 가계부'!A2751),100)))=MOD(INT('월 가계부'!A2751/100),100),DATE(INT('월 가계부'!A2751/10000),MOD(INT('월 가계부'!A2751/100),100),MOD(INT('월 가계부'!A2751),100)),""),""),IF(AND('월 가계부'!A2751&gt;=36526,'월 가계부'!A2751&lt;73051),INT('월 가계부'!A2751),"")),IF(OR(CM2751="",CN2751="",CO2751=""),"",IF(AND(CM2751&gt;=2000,CM2751&lt;=2099,CN2751&gt;=1,CN2751&lt;=12,CO2751&gt;=1,CO2751&lt;=31),IF(MONTH(DATE(CM2751,CN2751,CO2751))=CN2751,DATE(CM2751,CN2751,CO2751),""),"")))),"")</f>
        <v/>
      </c>
      <c r="CJ2751">
        <f>IFERROR(IF('월 가계부'!C2751="","",IF(ISNUMBER('월 가계부'!C2751),'월 가계부'!C2751,VALUE(SUBSTITUTE(SUBSTITUTE(SUBSTITUTE(SUBSTITUTE(TRIM('월 가계부'!C2751),",",""),"원","")," ",""),"−","-")))),"")</f>
        <v/>
      </c>
      <c r="CK2751">
        <f>IF(ISNUMBER(CI2751),IF(CI2751&lt;$B$13,CI2751,""),"")</f>
        <v/>
      </c>
      <c r="CM2751">
        <f>IF(CH2751="","",IFERROR(IF(IF(AND(LEN(CH2751)=9,ISERROR(FIND("-",LEFT(CH2751,8))),ISNUMBER(-LEFT(CH2751,8))),VALUE(LEFT(CH2751,4)),VALUE(LEFT(CH2751,FIND("-",CH2751)-1)))&lt;100,IF(AND(LEN(CH2751)=9,ISERROR(FIND("-",LEFT(CH2751,8))),ISNUMBER(-LEFT(CH2751,8))),VALUE(LEFT(CH2751,4)),VALUE(LEFT(CH2751,FIND("-",CH2751)-1)))+2000,IF(AND(LEN(CH2751)=9,ISERROR(FIND("-",LEFT(CH2751,8))),ISNUMBER(-LEFT(CH2751,8))),VALUE(LEFT(CH2751,4)),VALUE(LEFT(CH2751,FIND("-",CH2751)-1)))),""))</f>
        <v/>
      </c>
      <c r="CN2751">
        <f>IF(CH2751="","",IFERROR(IF(AND(LEN(CH2751)=9,ISERROR(FIND("-",LEFT(CH2751,8))),ISNUMBER(-LEFT(CH2751,8))),VALUE(MID(CH2751,5,2)),VALUE(MID(CH2751,FIND("-",CH2751)+1,FIND("-",CH2751,FIND("-",CH2751)+1)-FIND("-",CH2751)-1))),""))</f>
        <v/>
      </c>
      <c r="CO2751">
        <f>IF(CH2751="","",IFERROR(IF(AND(LEN(CH2751)=9,ISERROR(FIND("-",LEFT(CH2751,8))),ISNUMBER(-LEFT(CH2751,8))),VALUE(MID(CH2751,7,2)),VALUE(MID(CH2751,FIND("-",CH2751,FIND("-",CH2751)+1)+1,FIND("-",CH2751,FIND("-",CH2751,FIND("-",CH2751)+1)+1)-FIND("-",CH2751,FIND("-",CH2751)+1)-1))),""))</f>
        <v/>
      </c>
    </row>
    <row r="2752">
      <c r="CH2752">
        <f>IF(ISTEXT('월 가계부'!A2752),SUBSTITUTE(SUBSTITUTE(SUBSTITUTE(SUBSTITUTE(SUBSTITUTE(SUBSTITUTE(SUBSTITUTE(SUBSTITUTE(SUBSTITUTE(TRIM('월 가계부'!A2752),"년","-"),"월","-"),"일",""),".","-"),"/","-")," ","-"),"--","-"),"--","-"),"--","-")&amp;"-","")</f>
        <v/>
      </c>
      <c r="CI2752">
        <f>IFERROR(IF('월 가계부'!A2752="","",IF(ISNUMBER('월 가계부'!A2752),IF(AND('월 가계부'!A2752&gt;=19000101,'월 가계부'!A2752&lt;=21001231),IF(AND(MOD(INT('월 가계부'!A2752/100),100)&gt;=1,MOD(INT('월 가계부'!A2752/100),100)&lt;=12,MOD(INT('월 가계부'!A2752),100)&gt;=1,MOD(INT('월 가계부'!A2752),100)&lt;=31),IF(MONTH(DATE(INT('월 가계부'!A2752/10000),MOD(INT('월 가계부'!A2752/100),100),MOD(INT('월 가계부'!A2752),100)))=MOD(INT('월 가계부'!A2752/100),100),DATE(INT('월 가계부'!A2752/10000),MOD(INT('월 가계부'!A2752/100),100),MOD(INT('월 가계부'!A2752),100)),""),""),IF(AND('월 가계부'!A2752&gt;=36526,'월 가계부'!A2752&lt;73051),INT('월 가계부'!A2752),"")),IF(OR(CM2752="",CN2752="",CO2752=""),"",IF(AND(CM2752&gt;=2000,CM2752&lt;=2099,CN2752&gt;=1,CN2752&lt;=12,CO2752&gt;=1,CO2752&lt;=31),IF(MONTH(DATE(CM2752,CN2752,CO2752))=CN2752,DATE(CM2752,CN2752,CO2752),""),"")))),"")</f>
        <v/>
      </c>
      <c r="CJ2752">
        <f>IFERROR(IF('월 가계부'!C2752="","",IF(ISNUMBER('월 가계부'!C2752),'월 가계부'!C2752,VALUE(SUBSTITUTE(SUBSTITUTE(SUBSTITUTE(SUBSTITUTE(TRIM('월 가계부'!C2752),",",""),"원","")," ",""),"−","-")))),"")</f>
        <v/>
      </c>
      <c r="CK2752">
        <f>IF(ISNUMBER(CI2752),IF(CI2752&lt;$B$13,CI2752,""),"")</f>
        <v/>
      </c>
      <c r="CM2752">
        <f>IF(CH2752="","",IFERROR(IF(IF(AND(LEN(CH2752)=9,ISERROR(FIND("-",LEFT(CH2752,8))),ISNUMBER(-LEFT(CH2752,8))),VALUE(LEFT(CH2752,4)),VALUE(LEFT(CH2752,FIND("-",CH2752)-1)))&lt;100,IF(AND(LEN(CH2752)=9,ISERROR(FIND("-",LEFT(CH2752,8))),ISNUMBER(-LEFT(CH2752,8))),VALUE(LEFT(CH2752,4)),VALUE(LEFT(CH2752,FIND("-",CH2752)-1)))+2000,IF(AND(LEN(CH2752)=9,ISERROR(FIND("-",LEFT(CH2752,8))),ISNUMBER(-LEFT(CH2752,8))),VALUE(LEFT(CH2752,4)),VALUE(LEFT(CH2752,FIND("-",CH2752)-1)))),""))</f>
        <v/>
      </c>
      <c r="CN2752">
        <f>IF(CH2752="","",IFERROR(IF(AND(LEN(CH2752)=9,ISERROR(FIND("-",LEFT(CH2752,8))),ISNUMBER(-LEFT(CH2752,8))),VALUE(MID(CH2752,5,2)),VALUE(MID(CH2752,FIND("-",CH2752)+1,FIND("-",CH2752,FIND("-",CH2752)+1)-FIND("-",CH2752)-1))),""))</f>
        <v/>
      </c>
      <c r="CO2752">
        <f>IF(CH2752="","",IFERROR(IF(AND(LEN(CH2752)=9,ISERROR(FIND("-",LEFT(CH2752,8))),ISNUMBER(-LEFT(CH2752,8))),VALUE(MID(CH2752,7,2)),VALUE(MID(CH2752,FIND("-",CH2752,FIND("-",CH2752)+1)+1,FIND("-",CH2752,FIND("-",CH2752,FIND("-",CH2752)+1)+1)-FIND("-",CH2752,FIND("-",CH2752)+1)-1))),""))</f>
        <v/>
      </c>
    </row>
    <row r="2753">
      <c r="CH2753">
        <f>IF(ISTEXT('월 가계부'!A2753),SUBSTITUTE(SUBSTITUTE(SUBSTITUTE(SUBSTITUTE(SUBSTITUTE(SUBSTITUTE(SUBSTITUTE(SUBSTITUTE(SUBSTITUTE(TRIM('월 가계부'!A2753),"년","-"),"월","-"),"일",""),".","-"),"/","-")," ","-"),"--","-"),"--","-"),"--","-")&amp;"-","")</f>
        <v/>
      </c>
      <c r="CI2753">
        <f>IFERROR(IF('월 가계부'!A2753="","",IF(ISNUMBER('월 가계부'!A2753),IF(AND('월 가계부'!A2753&gt;=19000101,'월 가계부'!A2753&lt;=21001231),IF(AND(MOD(INT('월 가계부'!A2753/100),100)&gt;=1,MOD(INT('월 가계부'!A2753/100),100)&lt;=12,MOD(INT('월 가계부'!A2753),100)&gt;=1,MOD(INT('월 가계부'!A2753),100)&lt;=31),IF(MONTH(DATE(INT('월 가계부'!A2753/10000),MOD(INT('월 가계부'!A2753/100),100),MOD(INT('월 가계부'!A2753),100)))=MOD(INT('월 가계부'!A2753/100),100),DATE(INT('월 가계부'!A2753/10000),MOD(INT('월 가계부'!A2753/100),100),MOD(INT('월 가계부'!A2753),100)),""),""),IF(AND('월 가계부'!A2753&gt;=36526,'월 가계부'!A2753&lt;73051),INT('월 가계부'!A2753),"")),IF(OR(CM2753="",CN2753="",CO2753=""),"",IF(AND(CM2753&gt;=2000,CM2753&lt;=2099,CN2753&gt;=1,CN2753&lt;=12,CO2753&gt;=1,CO2753&lt;=31),IF(MONTH(DATE(CM2753,CN2753,CO2753))=CN2753,DATE(CM2753,CN2753,CO2753),""),"")))),"")</f>
        <v/>
      </c>
      <c r="CJ2753">
        <f>IFERROR(IF('월 가계부'!C2753="","",IF(ISNUMBER('월 가계부'!C2753),'월 가계부'!C2753,VALUE(SUBSTITUTE(SUBSTITUTE(SUBSTITUTE(SUBSTITUTE(TRIM('월 가계부'!C2753),",",""),"원","")," ",""),"−","-")))),"")</f>
        <v/>
      </c>
      <c r="CK2753">
        <f>IF(ISNUMBER(CI2753),IF(CI2753&lt;$B$13,CI2753,""),"")</f>
        <v/>
      </c>
      <c r="CM2753">
        <f>IF(CH2753="","",IFERROR(IF(IF(AND(LEN(CH2753)=9,ISERROR(FIND("-",LEFT(CH2753,8))),ISNUMBER(-LEFT(CH2753,8))),VALUE(LEFT(CH2753,4)),VALUE(LEFT(CH2753,FIND("-",CH2753)-1)))&lt;100,IF(AND(LEN(CH2753)=9,ISERROR(FIND("-",LEFT(CH2753,8))),ISNUMBER(-LEFT(CH2753,8))),VALUE(LEFT(CH2753,4)),VALUE(LEFT(CH2753,FIND("-",CH2753)-1)))+2000,IF(AND(LEN(CH2753)=9,ISERROR(FIND("-",LEFT(CH2753,8))),ISNUMBER(-LEFT(CH2753,8))),VALUE(LEFT(CH2753,4)),VALUE(LEFT(CH2753,FIND("-",CH2753)-1)))),""))</f>
        <v/>
      </c>
      <c r="CN2753">
        <f>IF(CH2753="","",IFERROR(IF(AND(LEN(CH2753)=9,ISERROR(FIND("-",LEFT(CH2753,8))),ISNUMBER(-LEFT(CH2753,8))),VALUE(MID(CH2753,5,2)),VALUE(MID(CH2753,FIND("-",CH2753)+1,FIND("-",CH2753,FIND("-",CH2753)+1)-FIND("-",CH2753)-1))),""))</f>
        <v/>
      </c>
      <c r="CO2753">
        <f>IF(CH2753="","",IFERROR(IF(AND(LEN(CH2753)=9,ISERROR(FIND("-",LEFT(CH2753,8))),ISNUMBER(-LEFT(CH2753,8))),VALUE(MID(CH2753,7,2)),VALUE(MID(CH2753,FIND("-",CH2753,FIND("-",CH2753)+1)+1,FIND("-",CH2753,FIND("-",CH2753,FIND("-",CH2753)+1)+1)-FIND("-",CH2753,FIND("-",CH2753)+1)-1))),""))</f>
        <v/>
      </c>
    </row>
    <row r="2754">
      <c r="CH2754">
        <f>IF(ISTEXT('월 가계부'!A2754),SUBSTITUTE(SUBSTITUTE(SUBSTITUTE(SUBSTITUTE(SUBSTITUTE(SUBSTITUTE(SUBSTITUTE(SUBSTITUTE(SUBSTITUTE(TRIM('월 가계부'!A2754),"년","-"),"월","-"),"일",""),".","-"),"/","-")," ","-"),"--","-"),"--","-"),"--","-")&amp;"-","")</f>
        <v/>
      </c>
      <c r="CI2754">
        <f>IFERROR(IF('월 가계부'!A2754="","",IF(ISNUMBER('월 가계부'!A2754),IF(AND('월 가계부'!A2754&gt;=19000101,'월 가계부'!A2754&lt;=21001231),IF(AND(MOD(INT('월 가계부'!A2754/100),100)&gt;=1,MOD(INT('월 가계부'!A2754/100),100)&lt;=12,MOD(INT('월 가계부'!A2754),100)&gt;=1,MOD(INT('월 가계부'!A2754),100)&lt;=31),IF(MONTH(DATE(INT('월 가계부'!A2754/10000),MOD(INT('월 가계부'!A2754/100),100),MOD(INT('월 가계부'!A2754),100)))=MOD(INT('월 가계부'!A2754/100),100),DATE(INT('월 가계부'!A2754/10000),MOD(INT('월 가계부'!A2754/100),100),MOD(INT('월 가계부'!A2754),100)),""),""),IF(AND('월 가계부'!A2754&gt;=36526,'월 가계부'!A2754&lt;73051),INT('월 가계부'!A2754),"")),IF(OR(CM2754="",CN2754="",CO2754=""),"",IF(AND(CM2754&gt;=2000,CM2754&lt;=2099,CN2754&gt;=1,CN2754&lt;=12,CO2754&gt;=1,CO2754&lt;=31),IF(MONTH(DATE(CM2754,CN2754,CO2754))=CN2754,DATE(CM2754,CN2754,CO2754),""),"")))),"")</f>
        <v/>
      </c>
      <c r="CJ2754">
        <f>IFERROR(IF('월 가계부'!C2754="","",IF(ISNUMBER('월 가계부'!C2754),'월 가계부'!C2754,VALUE(SUBSTITUTE(SUBSTITUTE(SUBSTITUTE(SUBSTITUTE(TRIM('월 가계부'!C2754),",",""),"원","")," ",""),"−","-")))),"")</f>
        <v/>
      </c>
      <c r="CK2754">
        <f>IF(ISNUMBER(CI2754),IF(CI2754&lt;$B$13,CI2754,""),"")</f>
        <v/>
      </c>
      <c r="CM2754">
        <f>IF(CH2754="","",IFERROR(IF(IF(AND(LEN(CH2754)=9,ISERROR(FIND("-",LEFT(CH2754,8))),ISNUMBER(-LEFT(CH2754,8))),VALUE(LEFT(CH2754,4)),VALUE(LEFT(CH2754,FIND("-",CH2754)-1)))&lt;100,IF(AND(LEN(CH2754)=9,ISERROR(FIND("-",LEFT(CH2754,8))),ISNUMBER(-LEFT(CH2754,8))),VALUE(LEFT(CH2754,4)),VALUE(LEFT(CH2754,FIND("-",CH2754)-1)))+2000,IF(AND(LEN(CH2754)=9,ISERROR(FIND("-",LEFT(CH2754,8))),ISNUMBER(-LEFT(CH2754,8))),VALUE(LEFT(CH2754,4)),VALUE(LEFT(CH2754,FIND("-",CH2754)-1)))),""))</f>
        <v/>
      </c>
      <c r="CN2754">
        <f>IF(CH2754="","",IFERROR(IF(AND(LEN(CH2754)=9,ISERROR(FIND("-",LEFT(CH2754,8))),ISNUMBER(-LEFT(CH2754,8))),VALUE(MID(CH2754,5,2)),VALUE(MID(CH2754,FIND("-",CH2754)+1,FIND("-",CH2754,FIND("-",CH2754)+1)-FIND("-",CH2754)-1))),""))</f>
        <v/>
      </c>
      <c r="CO2754">
        <f>IF(CH2754="","",IFERROR(IF(AND(LEN(CH2754)=9,ISERROR(FIND("-",LEFT(CH2754,8))),ISNUMBER(-LEFT(CH2754,8))),VALUE(MID(CH2754,7,2)),VALUE(MID(CH2754,FIND("-",CH2754,FIND("-",CH2754)+1)+1,FIND("-",CH2754,FIND("-",CH2754,FIND("-",CH2754)+1)+1)-FIND("-",CH2754,FIND("-",CH2754)+1)-1))),""))</f>
        <v/>
      </c>
    </row>
    <row r="2755">
      <c r="CH2755">
        <f>IF(ISTEXT('월 가계부'!A2755),SUBSTITUTE(SUBSTITUTE(SUBSTITUTE(SUBSTITUTE(SUBSTITUTE(SUBSTITUTE(SUBSTITUTE(SUBSTITUTE(SUBSTITUTE(TRIM('월 가계부'!A2755),"년","-"),"월","-"),"일",""),".","-"),"/","-")," ","-"),"--","-"),"--","-"),"--","-")&amp;"-","")</f>
        <v/>
      </c>
      <c r="CI2755">
        <f>IFERROR(IF('월 가계부'!A2755="","",IF(ISNUMBER('월 가계부'!A2755),IF(AND('월 가계부'!A2755&gt;=19000101,'월 가계부'!A2755&lt;=21001231),IF(AND(MOD(INT('월 가계부'!A2755/100),100)&gt;=1,MOD(INT('월 가계부'!A2755/100),100)&lt;=12,MOD(INT('월 가계부'!A2755),100)&gt;=1,MOD(INT('월 가계부'!A2755),100)&lt;=31),IF(MONTH(DATE(INT('월 가계부'!A2755/10000),MOD(INT('월 가계부'!A2755/100),100),MOD(INT('월 가계부'!A2755),100)))=MOD(INT('월 가계부'!A2755/100),100),DATE(INT('월 가계부'!A2755/10000),MOD(INT('월 가계부'!A2755/100),100),MOD(INT('월 가계부'!A2755),100)),""),""),IF(AND('월 가계부'!A2755&gt;=36526,'월 가계부'!A2755&lt;73051),INT('월 가계부'!A2755),"")),IF(OR(CM2755="",CN2755="",CO2755=""),"",IF(AND(CM2755&gt;=2000,CM2755&lt;=2099,CN2755&gt;=1,CN2755&lt;=12,CO2755&gt;=1,CO2755&lt;=31),IF(MONTH(DATE(CM2755,CN2755,CO2755))=CN2755,DATE(CM2755,CN2755,CO2755),""),"")))),"")</f>
        <v/>
      </c>
      <c r="CJ2755">
        <f>IFERROR(IF('월 가계부'!C2755="","",IF(ISNUMBER('월 가계부'!C2755),'월 가계부'!C2755,VALUE(SUBSTITUTE(SUBSTITUTE(SUBSTITUTE(SUBSTITUTE(TRIM('월 가계부'!C2755),",",""),"원","")," ",""),"−","-")))),"")</f>
        <v/>
      </c>
      <c r="CK2755">
        <f>IF(ISNUMBER(CI2755),IF(CI2755&lt;$B$13,CI2755,""),"")</f>
        <v/>
      </c>
      <c r="CM2755">
        <f>IF(CH2755="","",IFERROR(IF(IF(AND(LEN(CH2755)=9,ISERROR(FIND("-",LEFT(CH2755,8))),ISNUMBER(-LEFT(CH2755,8))),VALUE(LEFT(CH2755,4)),VALUE(LEFT(CH2755,FIND("-",CH2755)-1)))&lt;100,IF(AND(LEN(CH2755)=9,ISERROR(FIND("-",LEFT(CH2755,8))),ISNUMBER(-LEFT(CH2755,8))),VALUE(LEFT(CH2755,4)),VALUE(LEFT(CH2755,FIND("-",CH2755)-1)))+2000,IF(AND(LEN(CH2755)=9,ISERROR(FIND("-",LEFT(CH2755,8))),ISNUMBER(-LEFT(CH2755,8))),VALUE(LEFT(CH2755,4)),VALUE(LEFT(CH2755,FIND("-",CH2755)-1)))),""))</f>
        <v/>
      </c>
      <c r="CN2755">
        <f>IF(CH2755="","",IFERROR(IF(AND(LEN(CH2755)=9,ISERROR(FIND("-",LEFT(CH2755,8))),ISNUMBER(-LEFT(CH2755,8))),VALUE(MID(CH2755,5,2)),VALUE(MID(CH2755,FIND("-",CH2755)+1,FIND("-",CH2755,FIND("-",CH2755)+1)-FIND("-",CH2755)-1))),""))</f>
        <v/>
      </c>
      <c r="CO2755">
        <f>IF(CH2755="","",IFERROR(IF(AND(LEN(CH2755)=9,ISERROR(FIND("-",LEFT(CH2755,8))),ISNUMBER(-LEFT(CH2755,8))),VALUE(MID(CH2755,7,2)),VALUE(MID(CH2755,FIND("-",CH2755,FIND("-",CH2755)+1)+1,FIND("-",CH2755,FIND("-",CH2755,FIND("-",CH2755)+1)+1)-FIND("-",CH2755,FIND("-",CH2755)+1)-1))),""))</f>
        <v/>
      </c>
    </row>
    <row r="2756">
      <c r="CH2756">
        <f>IF(ISTEXT('월 가계부'!A2756),SUBSTITUTE(SUBSTITUTE(SUBSTITUTE(SUBSTITUTE(SUBSTITUTE(SUBSTITUTE(SUBSTITUTE(SUBSTITUTE(SUBSTITUTE(TRIM('월 가계부'!A2756),"년","-"),"월","-"),"일",""),".","-"),"/","-")," ","-"),"--","-"),"--","-"),"--","-")&amp;"-","")</f>
        <v/>
      </c>
      <c r="CI2756">
        <f>IFERROR(IF('월 가계부'!A2756="","",IF(ISNUMBER('월 가계부'!A2756),IF(AND('월 가계부'!A2756&gt;=19000101,'월 가계부'!A2756&lt;=21001231),IF(AND(MOD(INT('월 가계부'!A2756/100),100)&gt;=1,MOD(INT('월 가계부'!A2756/100),100)&lt;=12,MOD(INT('월 가계부'!A2756),100)&gt;=1,MOD(INT('월 가계부'!A2756),100)&lt;=31),IF(MONTH(DATE(INT('월 가계부'!A2756/10000),MOD(INT('월 가계부'!A2756/100),100),MOD(INT('월 가계부'!A2756),100)))=MOD(INT('월 가계부'!A2756/100),100),DATE(INT('월 가계부'!A2756/10000),MOD(INT('월 가계부'!A2756/100),100),MOD(INT('월 가계부'!A2756),100)),""),""),IF(AND('월 가계부'!A2756&gt;=36526,'월 가계부'!A2756&lt;73051),INT('월 가계부'!A2756),"")),IF(OR(CM2756="",CN2756="",CO2756=""),"",IF(AND(CM2756&gt;=2000,CM2756&lt;=2099,CN2756&gt;=1,CN2756&lt;=12,CO2756&gt;=1,CO2756&lt;=31),IF(MONTH(DATE(CM2756,CN2756,CO2756))=CN2756,DATE(CM2756,CN2756,CO2756),""),"")))),"")</f>
        <v/>
      </c>
      <c r="CJ2756">
        <f>IFERROR(IF('월 가계부'!C2756="","",IF(ISNUMBER('월 가계부'!C2756),'월 가계부'!C2756,VALUE(SUBSTITUTE(SUBSTITUTE(SUBSTITUTE(SUBSTITUTE(TRIM('월 가계부'!C2756),",",""),"원","")," ",""),"−","-")))),"")</f>
        <v/>
      </c>
      <c r="CK2756">
        <f>IF(ISNUMBER(CI2756),IF(CI2756&lt;$B$13,CI2756,""),"")</f>
        <v/>
      </c>
      <c r="CM2756">
        <f>IF(CH2756="","",IFERROR(IF(IF(AND(LEN(CH2756)=9,ISERROR(FIND("-",LEFT(CH2756,8))),ISNUMBER(-LEFT(CH2756,8))),VALUE(LEFT(CH2756,4)),VALUE(LEFT(CH2756,FIND("-",CH2756)-1)))&lt;100,IF(AND(LEN(CH2756)=9,ISERROR(FIND("-",LEFT(CH2756,8))),ISNUMBER(-LEFT(CH2756,8))),VALUE(LEFT(CH2756,4)),VALUE(LEFT(CH2756,FIND("-",CH2756)-1)))+2000,IF(AND(LEN(CH2756)=9,ISERROR(FIND("-",LEFT(CH2756,8))),ISNUMBER(-LEFT(CH2756,8))),VALUE(LEFT(CH2756,4)),VALUE(LEFT(CH2756,FIND("-",CH2756)-1)))),""))</f>
        <v/>
      </c>
      <c r="CN2756">
        <f>IF(CH2756="","",IFERROR(IF(AND(LEN(CH2756)=9,ISERROR(FIND("-",LEFT(CH2756,8))),ISNUMBER(-LEFT(CH2756,8))),VALUE(MID(CH2756,5,2)),VALUE(MID(CH2756,FIND("-",CH2756)+1,FIND("-",CH2756,FIND("-",CH2756)+1)-FIND("-",CH2756)-1))),""))</f>
        <v/>
      </c>
      <c r="CO2756">
        <f>IF(CH2756="","",IFERROR(IF(AND(LEN(CH2756)=9,ISERROR(FIND("-",LEFT(CH2756,8))),ISNUMBER(-LEFT(CH2756,8))),VALUE(MID(CH2756,7,2)),VALUE(MID(CH2756,FIND("-",CH2756,FIND("-",CH2756)+1)+1,FIND("-",CH2756,FIND("-",CH2756,FIND("-",CH2756)+1)+1)-FIND("-",CH2756,FIND("-",CH2756)+1)-1))),""))</f>
        <v/>
      </c>
    </row>
    <row r="2757">
      <c r="CH2757">
        <f>IF(ISTEXT('월 가계부'!A2757),SUBSTITUTE(SUBSTITUTE(SUBSTITUTE(SUBSTITUTE(SUBSTITUTE(SUBSTITUTE(SUBSTITUTE(SUBSTITUTE(SUBSTITUTE(TRIM('월 가계부'!A2757),"년","-"),"월","-"),"일",""),".","-"),"/","-")," ","-"),"--","-"),"--","-"),"--","-")&amp;"-","")</f>
        <v/>
      </c>
      <c r="CI2757">
        <f>IFERROR(IF('월 가계부'!A2757="","",IF(ISNUMBER('월 가계부'!A2757),IF(AND('월 가계부'!A2757&gt;=19000101,'월 가계부'!A2757&lt;=21001231),IF(AND(MOD(INT('월 가계부'!A2757/100),100)&gt;=1,MOD(INT('월 가계부'!A2757/100),100)&lt;=12,MOD(INT('월 가계부'!A2757),100)&gt;=1,MOD(INT('월 가계부'!A2757),100)&lt;=31),IF(MONTH(DATE(INT('월 가계부'!A2757/10000),MOD(INT('월 가계부'!A2757/100),100),MOD(INT('월 가계부'!A2757),100)))=MOD(INT('월 가계부'!A2757/100),100),DATE(INT('월 가계부'!A2757/10000),MOD(INT('월 가계부'!A2757/100),100),MOD(INT('월 가계부'!A2757),100)),""),""),IF(AND('월 가계부'!A2757&gt;=36526,'월 가계부'!A2757&lt;73051),INT('월 가계부'!A2757),"")),IF(OR(CM2757="",CN2757="",CO2757=""),"",IF(AND(CM2757&gt;=2000,CM2757&lt;=2099,CN2757&gt;=1,CN2757&lt;=12,CO2757&gt;=1,CO2757&lt;=31),IF(MONTH(DATE(CM2757,CN2757,CO2757))=CN2757,DATE(CM2757,CN2757,CO2757),""),"")))),"")</f>
        <v/>
      </c>
      <c r="CJ2757">
        <f>IFERROR(IF('월 가계부'!C2757="","",IF(ISNUMBER('월 가계부'!C2757),'월 가계부'!C2757,VALUE(SUBSTITUTE(SUBSTITUTE(SUBSTITUTE(SUBSTITUTE(TRIM('월 가계부'!C2757),",",""),"원","")," ",""),"−","-")))),"")</f>
        <v/>
      </c>
      <c r="CK2757">
        <f>IF(ISNUMBER(CI2757),IF(CI2757&lt;$B$13,CI2757,""),"")</f>
        <v/>
      </c>
      <c r="CM2757">
        <f>IF(CH2757="","",IFERROR(IF(IF(AND(LEN(CH2757)=9,ISERROR(FIND("-",LEFT(CH2757,8))),ISNUMBER(-LEFT(CH2757,8))),VALUE(LEFT(CH2757,4)),VALUE(LEFT(CH2757,FIND("-",CH2757)-1)))&lt;100,IF(AND(LEN(CH2757)=9,ISERROR(FIND("-",LEFT(CH2757,8))),ISNUMBER(-LEFT(CH2757,8))),VALUE(LEFT(CH2757,4)),VALUE(LEFT(CH2757,FIND("-",CH2757)-1)))+2000,IF(AND(LEN(CH2757)=9,ISERROR(FIND("-",LEFT(CH2757,8))),ISNUMBER(-LEFT(CH2757,8))),VALUE(LEFT(CH2757,4)),VALUE(LEFT(CH2757,FIND("-",CH2757)-1)))),""))</f>
        <v/>
      </c>
      <c r="CN2757">
        <f>IF(CH2757="","",IFERROR(IF(AND(LEN(CH2757)=9,ISERROR(FIND("-",LEFT(CH2757,8))),ISNUMBER(-LEFT(CH2757,8))),VALUE(MID(CH2757,5,2)),VALUE(MID(CH2757,FIND("-",CH2757)+1,FIND("-",CH2757,FIND("-",CH2757)+1)-FIND("-",CH2757)-1))),""))</f>
        <v/>
      </c>
      <c r="CO2757">
        <f>IF(CH2757="","",IFERROR(IF(AND(LEN(CH2757)=9,ISERROR(FIND("-",LEFT(CH2757,8))),ISNUMBER(-LEFT(CH2757,8))),VALUE(MID(CH2757,7,2)),VALUE(MID(CH2757,FIND("-",CH2757,FIND("-",CH2757)+1)+1,FIND("-",CH2757,FIND("-",CH2757,FIND("-",CH2757)+1)+1)-FIND("-",CH2757,FIND("-",CH2757)+1)-1))),""))</f>
        <v/>
      </c>
    </row>
    <row r="2758">
      <c r="CH2758">
        <f>IF(ISTEXT('월 가계부'!A2758),SUBSTITUTE(SUBSTITUTE(SUBSTITUTE(SUBSTITUTE(SUBSTITUTE(SUBSTITUTE(SUBSTITUTE(SUBSTITUTE(SUBSTITUTE(TRIM('월 가계부'!A2758),"년","-"),"월","-"),"일",""),".","-"),"/","-")," ","-"),"--","-"),"--","-"),"--","-")&amp;"-","")</f>
        <v/>
      </c>
      <c r="CI2758">
        <f>IFERROR(IF('월 가계부'!A2758="","",IF(ISNUMBER('월 가계부'!A2758),IF(AND('월 가계부'!A2758&gt;=19000101,'월 가계부'!A2758&lt;=21001231),IF(AND(MOD(INT('월 가계부'!A2758/100),100)&gt;=1,MOD(INT('월 가계부'!A2758/100),100)&lt;=12,MOD(INT('월 가계부'!A2758),100)&gt;=1,MOD(INT('월 가계부'!A2758),100)&lt;=31),IF(MONTH(DATE(INT('월 가계부'!A2758/10000),MOD(INT('월 가계부'!A2758/100),100),MOD(INT('월 가계부'!A2758),100)))=MOD(INT('월 가계부'!A2758/100),100),DATE(INT('월 가계부'!A2758/10000),MOD(INT('월 가계부'!A2758/100),100),MOD(INT('월 가계부'!A2758),100)),""),""),IF(AND('월 가계부'!A2758&gt;=36526,'월 가계부'!A2758&lt;73051),INT('월 가계부'!A2758),"")),IF(OR(CM2758="",CN2758="",CO2758=""),"",IF(AND(CM2758&gt;=2000,CM2758&lt;=2099,CN2758&gt;=1,CN2758&lt;=12,CO2758&gt;=1,CO2758&lt;=31),IF(MONTH(DATE(CM2758,CN2758,CO2758))=CN2758,DATE(CM2758,CN2758,CO2758),""),"")))),"")</f>
        <v/>
      </c>
      <c r="CJ2758">
        <f>IFERROR(IF('월 가계부'!C2758="","",IF(ISNUMBER('월 가계부'!C2758),'월 가계부'!C2758,VALUE(SUBSTITUTE(SUBSTITUTE(SUBSTITUTE(SUBSTITUTE(TRIM('월 가계부'!C2758),",",""),"원","")," ",""),"−","-")))),"")</f>
        <v/>
      </c>
      <c r="CK2758">
        <f>IF(ISNUMBER(CI2758),IF(CI2758&lt;$B$13,CI2758,""),"")</f>
        <v/>
      </c>
      <c r="CM2758">
        <f>IF(CH2758="","",IFERROR(IF(IF(AND(LEN(CH2758)=9,ISERROR(FIND("-",LEFT(CH2758,8))),ISNUMBER(-LEFT(CH2758,8))),VALUE(LEFT(CH2758,4)),VALUE(LEFT(CH2758,FIND("-",CH2758)-1)))&lt;100,IF(AND(LEN(CH2758)=9,ISERROR(FIND("-",LEFT(CH2758,8))),ISNUMBER(-LEFT(CH2758,8))),VALUE(LEFT(CH2758,4)),VALUE(LEFT(CH2758,FIND("-",CH2758)-1)))+2000,IF(AND(LEN(CH2758)=9,ISERROR(FIND("-",LEFT(CH2758,8))),ISNUMBER(-LEFT(CH2758,8))),VALUE(LEFT(CH2758,4)),VALUE(LEFT(CH2758,FIND("-",CH2758)-1)))),""))</f>
        <v/>
      </c>
      <c r="CN2758">
        <f>IF(CH2758="","",IFERROR(IF(AND(LEN(CH2758)=9,ISERROR(FIND("-",LEFT(CH2758,8))),ISNUMBER(-LEFT(CH2758,8))),VALUE(MID(CH2758,5,2)),VALUE(MID(CH2758,FIND("-",CH2758)+1,FIND("-",CH2758,FIND("-",CH2758)+1)-FIND("-",CH2758)-1))),""))</f>
        <v/>
      </c>
      <c r="CO2758">
        <f>IF(CH2758="","",IFERROR(IF(AND(LEN(CH2758)=9,ISERROR(FIND("-",LEFT(CH2758,8))),ISNUMBER(-LEFT(CH2758,8))),VALUE(MID(CH2758,7,2)),VALUE(MID(CH2758,FIND("-",CH2758,FIND("-",CH2758)+1)+1,FIND("-",CH2758,FIND("-",CH2758,FIND("-",CH2758)+1)+1)-FIND("-",CH2758,FIND("-",CH2758)+1)-1))),""))</f>
        <v/>
      </c>
    </row>
    <row r="2759">
      <c r="CH2759">
        <f>IF(ISTEXT('월 가계부'!A2759),SUBSTITUTE(SUBSTITUTE(SUBSTITUTE(SUBSTITUTE(SUBSTITUTE(SUBSTITUTE(SUBSTITUTE(SUBSTITUTE(SUBSTITUTE(TRIM('월 가계부'!A2759),"년","-"),"월","-"),"일",""),".","-"),"/","-")," ","-"),"--","-"),"--","-"),"--","-")&amp;"-","")</f>
        <v/>
      </c>
      <c r="CI2759">
        <f>IFERROR(IF('월 가계부'!A2759="","",IF(ISNUMBER('월 가계부'!A2759),IF(AND('월 가계부'!A2759&gt;=19000101,'월 가계부'!A2759&lt;=21001231),IF(AND(MOD(INT('월 가계부'!A2759/100),100)&gt;=1,MOD(INT('월 가계부'!A2759/100),100)&lt;=12,MOD(INT('월 가계부'!A2759),100)&gt;=1,MOD(INT('월 가계부'!A2759),100)&lt;=31),IF(MONTH(DATE(INT('월 가계부'!A2759/10000),MOD(INT('월 가계부'!A2759/100),100),MOD(INT('월 가계부'!A2759),100)))=MOD(INT('월 가계부'!A2759/100),100),DATE(INT('월 가계부'!A2759/10000),MOD(INT('월 가계부'!A2759/100),100),MOD(INT('월 가계부'!A2759),100)),""),""),IF(AND('월 가계부'!A2759&gt;=36526,'월 가계부'!A2759&lt;73051),INT('월 가계부'!A2759),"")),IF(OR(CM2759="",CN2759="",CO2759=""),"",IF(AND(CM2759&gt;=2000,CM2759&lt;=2099,CN2759&gt;=1,CN2759&lt;=12,CO2759&gt;=1,CO2759&lt;=31),IF(MONTH(DATE(CM2759,CN2759,CO2759))=CN2759,DATE(CM2759,CN2759,CO2759),""),"")))),"")</f>
        <v/>
      </c>
      <c r="CJ2759">
        <f>IFERROR(IF('월 가계부'!C2759="","",IF(ISNUMBER('월 가계부'!C2759),'월 가계부'!C2759,VALUE(SUBSTITUTE(SUBSTITUTE(SUBSTITUTE(SUBSTITUTE(TRIM('월 가계부'!C2759),",",""),"원","")," ",""),"−","-")))),"")</f>
        <v/>
      </c>
      <c r="CK2759">
        <f>IF(ISNUMBER(CI2759),IF(CI2759&lt;$B$13,CI2759,""),"")</f>
        <v/>
      </c>
      <c r="CM2759">
        <f>IF(CH2759="","",IFERROR(IF(IF(AND(LEN(CH2759)=9,ISERROR(FIND("-",LEFT(CH2759,8))),ISNUMBER(-LEFT(CH2759,8))),VALUE(LEFT(CH2759,4)),VALUE(LEFT(CH2759,FIND("-",CH2759)-1)))&lt;100,IF(AND(LEN(CH2759)=9,ISERROR(FIND("-",LEFT(CH2759,8))),ISNUMBER(-LEFT(CH2759,8))),VALUE(LEFT(CH2759,4)),VALUE(LEFT(CH2759,FIND("-",CH2759)-1)))+2000,IF(AND(LEN(CH2759)=9,ISERROR(FIND("-",LEFT(CH2759,8))),ISNUMBER(-LEFT(CH2759,8))),VALUE(LEFT(CH2759,4)),VALUE(LEFT(CH2759,FIND("-",CH2759)-1)))),""))</f>
        <v/>
      </c>
      <c r="CN2759">
        <f>IF(CH2759="","",IFERROR(IF(AND(LEN(CH2759)=9,ISERROR(FIND("-",LEFT(CH2759,8))),ISNUMBER(-LEFT(CH2759,8))),VALUE(MID(CH2759,5,2)),VALUE(MID(CH2759,FIND("-",CH2759)+1,FIND("-",CH2759,FIND("-",CH2759)+1)-FIND("-",CH2759)-1))),""))</f>
        <v/>
      </c>
      <c r="CO2759">
        <f>IF(CH2759="","",IFERROR(IF(AND(LEN(CH2759)=9,ISERROR(FIND("-",LEFT(CH2759,8))),ISNUMBER(-LEFT(CH2759,8))),VALUE(MID(CH2759,7,2)),VALUE(MID(CH2759,FIND("-",CH2759,FIND("-",CH2759)+1)+1,FIND("-",CH2759,FIND("-",CH2759,FIND("-",CH2759)+1)+1)-FIND("-",CH2759,FIND("-",CH2759)+1)-1))),""))</f>
        <v/>
      </c>
    </row>
    <row r="2760">
      <c r="CH2760">
        <f>IF(ISTEXT('월 가계부'!A2760),SUBSTITUTE(SUBSTITUTE(SUBSTITUTE(SUBSTITUTE(SUBSTITUTE(SUBSTITUTE(SUBSTITUTE(SUBSTITUTE(SUBSTITUTE(TRIM('월 가계부'!A2760),"년","-"),"월","-"),"일",""),".","-"),"/","-")," ","-"),"--","-"),"--","-"),"--","-")&amp;"-","")</f>
        <v/>
      </c>
      <c r="CI2760">
        <f>IFERROR(IF('월 가계부'!A2760="","",IF(ISNUMBER('월 가계부'!A2760),IF(AND('월 가계부'!A2760&gt;=19000101,'월 가계부'!A2760&lt;=21001231),IF(AND(MOD(INT('월 가계부'!A2760/100),100)&gt;=1,MOD(INT('월 가계부'!A2760/100),100)&lt;=12,MOD(INT('월 가계부'!A2760),100)&gt;=1,MOD(INT('월 가계부'!A2760),100)&lt;=31),IF(MONTH(DATE(INT('월 가계부'!A2760/10000),MOD(INT('월 가계부'!A2760/100),100),MOD(INT('월 가계부'!A2760),100)))=MOD(INT('월 가계부'!A2760/100),100),DATE(INT('월 가계부'!A2760/10000),MOD(INT('월 가계부'!A2760/100),100),MOD(INT('월 가계부'!A2760),100)),""),""),IF(AND('월 가계부'!A2760&gt;=36526,'월 가계부'!A2760&lt;73051),INT('월 가계부'!A2760),"")),IF(OR(CM2760="",CN2760="",CO2760=""),"",IF(AND(CM2760&gt;=2000,CM2760&lt;=2099,CN2760&gt;=1,CN2760&lt;=12,CO2760&gt;=1,CO2760&lt;=31),IF(MONTH(DATE(CM2760,CN2760,CO2760))=CN2760,DATE(CM2760,CN2760,CO2760),""),"")))),"")</f>
        <v/>
      </c>
      <c r="CJ2760">
        <f>IFERROR(IF('월 가계부'!C2760="","",IF(ISNUMBER('월 가계부'!C2760),'월 가계부'!C2760,VALUE(SUBSTITUTE(SUBSTITUTE(SUBSTITUTE(SUBSTITUTE(TRIM('월 가계부'!C2760),",",""),"원","")," ",""),"−","-")))),"")</f>
        <v/>
      </c>
      <c r="CK2760">
        <f>IF(ISNUMBER(CI2760),IF(CI2760&lt;$B$13,CI2760,""),"")</f>
        <v/>
      </c>
      <c r="CM2760">
        <f>IF(CH2760="","",IFERROR(IF(IF(AND(LEN(CH2760)=9,ISERROR(FIND("-",LEFT(CH2760,8))),ISNUMBER(-LEFT(CH2760,8))),VALUE(LEFT(CH2760,4)),VALUE(LEFT(CH2760,FIND("-",CH2760)-1)))&lt;100,IF(AND(LEN(CH2760)=9,ISERROR(FIND("-",LEFT(CH2760,8))),ISNUMBER(-LEFT(CH2760,8))),VALUE(LEFT(CH2760,4)),VALUE(LEFT(CH2760,FIND("-",CH2760)-1)))+2000,IF(AND(LEN(CH2760)=9,ISERROR(FIND("-",LEFT(CH2760,8))),ISNUMBER(-LEFT(CH2760,8))),VALUE(LEFT(CH2760,4)),VALUE(LEFT(CH2760,FIND("-",CH2760)-1)))),""))</f>
        <v/>
      </c>
      <c r="CN2760">
        <f>IF(CH2760="","",IFERROR(IF(AND(LEN(CH2760)=9,ISERROR(FIND("-",LEFT(CH2760,8))),ISNUMBER(-LEFT(CH2760,8))),VALUE(MID(CH2760,5,2)),VALUE(MID(CH2760,FIND("-",CH2760)+1,FIND("-",CH2760,FIND("-",CH2760)+1)-FIND("-",CH2760)-1))),""))</f>
        <v/>
      </c>
      <c r="CO2760">
        <f>IF(CH2760="","",IFERROR(IF(AND(LEN(CH2760)=9,ISERROR(FIND("-",LEFT(CH2760,8))),ISNUMBER(-LEFT(CH2760,8))),VALUE(MID(CH2760,7,2)),VALUE(MID(CH2760,FIND("-",CH2760,FIND("-",CH2760)+1)+1,FIND("-",CH2760,FIND("-",CH2760,FIND("-",CH2760)+1)+1)-FIND("-",CH2760,FIND("-",CH2760)+1)-1))),""))</f>
        <v/>
      </c>
    </row>
    <row r="2761">
      <c r="CH2761">
        <f>IF(ISTEXT('월 가계부'!A2761),SUBSTITUTE(SUBSTITUTE(SUBSTITUTE(SUBSTITUTE(SUBSTITUTE(SUBSTITUTE(SUBSTITUTE(SUBSTITUTE(SUBSTITUTE(TRIM('월 가계부'!A2761),"년","-"),"월","-"),"일",""),".","-"),"/","-")," ","-"),"--","-"),"--","-"),"--","-")&amp;"-","")</f>
        <v/>
      </c>
      <c r="CI2761">
        <f>IFERROR(IF('월 가계부'!A2761="","",IF(ISNUMBER('월 가계부'!A2761),IF(AND('월 가계부'!A2761&gt;=19000101,'월 가계부'!A2761&lt;=21001231),IF(AND(MOD(INT('월 가계부'!A2761/100),100)&gt;=1,MOD(INT('월 가계부'!A2761/100),100)&lt;=12,MOD(INT('월 가계부'!A2761),100)&gt;=1,MOD(INT('월 가계부'!A2761),100)&lt;=31),IF(MONTH(DATE(INT('월 가계부'!A2761/10000),MOD(INT('월 가계부'!A2761/100),100),MOD(INT('월 가계부'!A2761),100)))=MOD(INT('월 가계부'!A2761/100),100),DATE(INT('월 가계부'!A2761/10000),MOD(INT('월 가계부'!A2761/100),100),MOD(INT('월 가계부'!A2761),100)),""),""),IF(AND('월 가계부'!A2761&gt;=36526,'월 가계부'!A2761&lt;73051),INT('월 가계부'!A2761),"")),IF(OR(CM2761="",CN2761="",CO2761=""),"",IF(AND(CM2761&gt;=2000,CM2761&lt;=2099,CN2761&gt;=1,CN2761&lt;=12,CO2761&gt;=1,CO2761&lt;=31),IF(MONTH(DATE(CM2761,CN2761,CO2761))=CN2761,DATE(CM2761,CN2761,CO2761),""),"")))),"")</f>
        <v/>
      </c>
      <c r="CJ2761">
        <f>IFERROR(IF('월 가계부'!C2761="","",IF(ISNUMBER('월 가계부'!C2761),'월 가계부'!C2761,VALUE(SUBSTITUTE(SUBSTITUTE(SUBSTITUTE(SUBSTITUTE(TRIM('월 가계부'!C2761),",",""),"원","")," ",""),"−","-")))),"")</f>
        <v/>
      </c>
      <c r="CK2761">
        <f>IF(ISNUMBER(CI2761),IF(CI2761&lt;$B$13,CI2761,""),"")</f>
        <v/>
      </c>
      <c r="CM2761">
        <f>IF(CH2761="","",IFERROR(IF(IF(AND(LEN(CH2761)=9,ISERROR(FIND("-",LEFT(CH2761,8))),ISNUMBER(-LEFT(CH2761,8))),VALUE(LEFT(CH2761,4)),VALUE(LEFT(CH2761,FIND("-",CH2761)-1)))&lt;100,IF(AND(LEN(CH2761)=9,ISERROR(FIND("-",LEFT(CH2761,8))),ISNUMBER(-LEFT(CH2761,8))),VALUE(LEFT(CH2761,4)),VALUE(LEFT(CH2761,FIND("-",CH2761)-1)))+2000,IF(AND(LEN(CH2761)=9,ISERROR(FIND("-",LEFT(CH2761,8))),ISNUMBER(-LEFT(CH2761,8))),VALUE(LEFT(CH2761,4)),VALUE(LEFT(CH2761,FIND("-",CH2761)-1)))),""))</f>
        <v/>
      </c>
      <c r="CN2761">
        <f>IF(CH2761="","",IFERROR(IF(AND(LEN(CH2761)=9,ISERROR(FIND("-",LEFT(CH2761,8))),ISNUMBER(-LEFT(CH2761,8))),VALUE(MID(CH2761,5,2)),VALUE(MID(CH2761,FIND("-",CH2761)+1,FIND("-",CH2761,FIND("-",CH2761)+1)-FIND("-",CH2761)-1))),""))</f>
        <v/>
      </c>
      <c r="CO2761">
        <f>IF(CH2761="","",IFERROR(IF(AND(LEN(CH2761)=9,ISERROR(FIND("-",LEFT(CH2761,8))),ISNUMBER(-LEFT(CH2761,8))),VALUE(MID(CH2761,7,2)),VALUE(MID(CH2761,FIND("-",CH2761,FIND("-",CH2761)+1)+1,FIND("-",CH2761,FIND("-",CH2761,FIND("-",CH2761)+1)+1)-FIND("-",CH2761,FIND("-",CH2761)+1)-1))),""))</f>
        <v/>
      </c>
    </row>
    <row r="2762">
      <c r="CH2762">
        <f>IF(ISTEXT('월 가계부'!A2762),SUBSTITUTE(SUBSTITUTE(SUBSTITUTE(SUBSTITUTE(SUBSTITUTE(SUBSTITUTE(SUBSTITUTE(SUBSTITUTE(SUBSTITUTE(TRIM('월 가계부'!A2762),"년","-"),"월","-"),"일",""),".","-"),"/","-")," ","-"),"--","-"),"--","-"),"--","-")&amp;"-","")</f>
        <v/>
      </c>
      <c r="CI2762">
        <f>IFERROR(IF('월 가계부'!A2762="","",IF(ISNUMBER('월 가계부'!A2762),IF(AND('월 가계부'!A2762&gt;=19000101,'월 가계부'!A2762&lt;=21001231),IF(AND(MOD(INT('월 가계부'!A2762/100),100)&gt;=1,MOD(INT('월 가계부'!A2762/100),100)&lt;=12,MOD(INT('월 가계부'!A2762),100)&gt;=1,MOD(INT('월 가계부'!A2762),100)&lt;=31),IF(MONTH(DATE(INT('월 가계부'!A2762/10000),MOD(INT('월 가계부'!A2762/100),100),MOD(INT('월 가계부'!A2762),100)))=MOD(INT('월 가계부'!A2762/100),100),DATE(INT('월 가계부'!A2762/10000),MOD(INT('월 가계부'!A2762/100),100),MOD(INT('월 가계부'!A2762),100)),""),""),IF(AND('월 가계부'!A2762&gt;=36526,'월 가계부'!A2762&lt;73051),INT('월 가계부'!A2762),"")),IF(OR(CM2762="",CN2762="",CO2762=""),"",IF(AND(CM2762&gt;=2000,CM2762&lt;=2099,CN2762&gt;=1,CN2762&lt;=12,CO2762&gt;=1,CO2762&lt;=31),IF(MONTH(DATE(CM2762,CN2762,CO2762))=CN2762,DATE(CM2762,CN2762,CO2762),""),"")))),"")</f>
        <v/>
      </c>
      <c r="CJ2762">
        <f>IFERROR(IF('월 가계부'!C2762="","",IF(ISNUMBER('월 가계부'!C2762),'월 가계부'!C2762,VALUE(SUBSTITUTE(SUBSTITUTE(SUBSTITUTE(SUBSTITUTE(TRIM('월 가계부'!C2762),",",""),"원","")," ",""),"−","-")))),"")</f>
        <v/>
      </c>
      <c r="CK2762">
        <f>IF(ISNUMBER(CI2762),IF(CI2762&lt;$B$13,CI2762,""),"")</f>
        <v/>
      </c>
      <c r="CM2762">
        <f>IF(CH2762="","",IFERROR(IF(IF(AND(LEN(CH2762)=9,ISERROR(FIND("-",LEFT(CH2762,8))),ISNUMBER(-LEFT(CH2762,8))),VALUE(LEFT(CH2762,4)),VALUE(LEFT(CH2762,FIND("-",CH2762)-1)))&lt;100,IF(AND(LEN(CH2762)=9,ISERROR(FIND("-",LEFT(CH2762,8))),ISNUMBER(-LEFT(CH2762,8))),VALUE(LEFT(CH2762,4)),VALUE(LEFT(CH2762,FIND("-",CH2762)-1)))+2000,IF(AND(LEN(CH2762)=9,ISERROR(FIND("-",LEFT(CH2762,8))),ISNUMBER(-LEFT(CH2762,8))),VALUE(LEFT(CH2762,4)),VALUE(LEFT(CH2762,FIND("-",CH2762)-1)))),""))</f>
        <v/>
      </c>
      <c r="CN2762">
        <f>IF(CH2762="","",IFERROR(IF(AND(LEN(CH2762)=9,ISERROR(FIND("-",LEFT(CH2762,8))),ISNUMBER(-LEFT(CH2762,8))),VALUE(MID(CH2762,5,2)),VALUE(MID(CH2762,FIND("-",CH2762)+1,FIND("-",CH2762,FIND("-",CH2762)+1)-FIND("-",CH2762)-1))),""))</f>
        <v/>
      </c>
      <c r="CO2762">
        <f>IF(CH2762="","",IFERROR(IF(AND(LEN(CH2762)=9,ISERROR(FIND("-",LEFT(CH2762,8))),ISNUMBER(-LEFT(CH2762,8))),VALUE(MID(CH2762,7,2)),VALUE(MID(CH2762,FIND("-",CH2762,FIND("-",CH2762)+1)+1,FIND("-",CH2762,FIND("-",CH2762,FIND("-",CH2762)+1)+1)-FIND("-",CH2762,FIND("-",CH2762)+1)-1))),""))</f>
        <v/>
      </c>
    </row>
    <row r="2763">
      <c r="CH2763">
        <f>IF(ISTEXT('월 가계부'!A2763),SUBSTITUTE(SUBSTITUTE(SUBSTITUTE(SUBSTITUTE(SUBSTITUTE(SUBSTITUTE(SUBSTITUTE(SUBSTITUTE(SUBSTITUTE(TRIM('월 가계부'!A2763),"년","-"),"월","-"),"일",""),".","-"),"/","-")," ","-"),"--","-"),"--","-"),"--","-")&amp;"-","")</f>
        <v/>
      </c>
      <c r="CI2763">
        <f>IFERROR(IF('월 가계부'!A2763="","",IF(ISNUMBER('월 가계부'!A2763),IF(AND('월 가계부'!A2763&gt;=19000101,'월 가계부'!A2763&lt;=21001231),IF(AND(MOD(INT('월 가계부'!A2763/100),100)&gt;=1,MOD(INT('월 가계부'!A2763/100),100)&lt;=12,MOD(INT('월 가계부'!A2763),100)&gt;=1,MOD(INT('월 가계부'!A2763),100)&lt;=31),IF(MONTH(DATE(INT('월 가계부'!A2763/10000),MOD(INT('월 가계부'!A2763/100),100),MOD(INT('월 가계부'!A2763),100)))=MOD(INT('월 가계부'!A2763/100),100),DATE(INT('월 가계부'!A2763/10000),MOD(INT('월 가계부'!A2763/100),100),MOD(INT('월 가계부'!A2763),100)),""),""),IF(AND('월 가계부'!A2763&gt;=36526,'월 가계부'!A2763&lt;73051),INT('월 가계부'!A2763),"")),IF(OR(CM2763="",CN2763="",CO2763=""),"",IF(AND(CM2763&gt;=2000,CM2763&lt;=2099,CN2763&gt;=1,CN2763&lt;=12,CO2763&gt;=1,CO2763&lt;=31),IF(MONTH(DATE(CM2763,CN2763,CO2763))=CN2763,DATE(CM2763,CN2763,CO2763),""),"")))),"")</f>
        <v/>
      </c>
      <c r="CJ2763">
        <f>IFERROR(IF('월 가계부'!C2763="","",IF(ISNUMBER('월 가계부'!C2763),'월 가계부'!C2763,VALUE(SUBSTITUTE(SUBSTITUTE(SUBSTITUTE(SUBSTITUTE(TRIM('월 가계부'!C2763),",",""),"원","")," ",""),"−","-")))),"")</f>
        <v/>
      </c>
      <c r="CK2763">
        <f>IF(ISNUMBER(CI2763),IF(CI2763&lt;$B$13,CI2763,""),"")</f>
        <v/>
      </c>
      <c r="CM2763">
        <f>IF(CH2763="","",IFERROR(IF(IF(AND(LEN(CH2763)=9,ISERROR(FIND("-",LEFT(CH2763,8))),ISNUMBER(-LEFT(CH2763,8))),VALUE(LEFT(CH2763,4)),VALUE(LEFT(CH2763,FIND("-",CH2763)-1)))&lt;100,IF(AND(LEN(CH2763)=9,ISERROR(FIND("-",LEFT(CH2763,8))),ISNUMBER(-LEFT(CH2763,8))),VALUE(LEFT(CH2763,4)),VALUE(LEFT(CH2763,FIND("-",CH2763)-1)))+2000,IF(AND(LEN(CH2763)=9,ISERROR(FIND("-",LEFT(CH2763,8))),ISNUMBER(-LEFT(CH2763,8))),VALUE(LEFT(CH2763,4)),VALUE(LEFT(CH2763,FIND("-",CH2763)-1)))),""))</f>
        <v/>
      </c>
      <c r="CN2763">
        <f>IF(CH2763="","",IFERROR(IF(AND(LEN(CH2763)=9,ISERROR(FIND("-",LEFT(CH2763,8))),ISNUMBER(-LEFT(CH2763,8))),VALUE(MID(CH2763,5,2)),VALUE(MID(CH2763,FIND("-",CH2763)+1,FIND("-",CH2763,FIND("-",CH2763)+1)-FIND("-",CH2763)-1))),""))</f>
        <v/>
      </c>
      <c r="CO2763">
        <f>IF(CH2763="","",IFERROR(IF(AND(LEN(CH2763)=9,ISERROR(FIND("-",LEFT(CH2763,8))),ISNUMBER(-LEFT(CH2763,8))),VALUE(MID(CH2763,7,2)),VALUE(MID(CH2763,FIND("-",CH2763,FIND("-",CH2763)+1)+1,FIND("-",CH2763,FIND("-",CH2763,FIND("-",CH2763)+1)+1)-FIND("-",CH2763,FIND("-",CH2763)+1)-1))),""))</f>
        <v/>
      </c>
    </row>
    <row r="2764">
      <c r="CH2764">
        <f>IF(ISTEXT('월 가계부'!A2764),SUBSTITUTE(SUBSTITUTE(SUBSTITUTE(SUBSTITUTE(SUBSTITUTE(SUBSTITUTE(SUBSTITUTE(SUBSTITUTE(SUBSTITUTE(TRIM('월 가계부'!A2764),"년","-"),"월","-"),"일",""),".","-"),"/","-")," ","-"),"--","-"),"--","-"),"--","-")&amp;"-","")</f>
        <v/>
      </c>
      <c r="CI2764">
        <f>IFERROR(IF('월 가계부'!A2764="","",IF(ISNUMBER('월 가계부'!A2764),IF(AND('월 가계부'!A2764&gt;=19000101,'월 가계부'!A2764&lt;=21001231),IF(AND(MOD(INT('월 가계부'!A2764/100),100)&gt;=1,MOD(INT('월 가계부'!A2764/100),100)&lt;=12,MOD(INT('월 가계부'!A2764),100)&gt;=1,MOD(INT('월 가계부'!A2764),100)&lt;=31),IF(MONTH(DATE(INT('월 가계부'!A2764/10000),MOD(INT('월 가계부'!A2764/100),100),MOD(INT('월 가계부'!A2764),100)))=MOD(INT('월 가계부'!A2764/100),100),DATE(INT('월 가계부'!A2764/10000),MOD(INT('월 가계부'!A2764/100),100),MOD(INT('월 가계부'!A2764),100)),""),""),IF(AND('월 가계부'!A2764&gt;=36526,'월 가계부'!A2764&lt;73051),INT('월 가계부'!A2764),"")),IF(OR(CM2764="",CN2764="",CO2764=""),"",IF(AND(CM2764&gt;=2000,CM2764&lt;=2099,CN2764&gt;=1,CN2764&lt;=12,CO2764&gt;=1,CO2764&lt;=31),IF(MONTH(DATE(CM2764,CN2764,CO2764))=CN2764,DATE(CM2764,CN2764,CO2764),""),"")))),"")</f>
        <v/>
      </c>
      <c r="CJ2764">
        <f>IFERROR(IF('월 가계부'!C2764="","",IF(ISNUMBER('월 가계부'!C2764),'월 가계부'!C2764,VALUE(SUBSTITUTE(SUBSTITUTE(SUBSTITUTE(SUBSTITUTE(TRIM('월 가계부'!C2764),",",""),"원","")," ",""),"−","-")))),"")</f>
        <v/>
      </c>
      <c r="CK2764">
        <f>IF(ISNUMBER(CI2764),IF(CI2764&lt;$B$13,CI2764,""),"")</f>
        <v/>
      </c>
      <c r="CM2764">
        <f>IF(CH2764="","",IFERROR(IF(IF(AND(LEN(CH2764)=9,ISERROR(FIND("-",LEFT(CH2764,8))),ISNUMBER(-LEFT(CH2764,8))),VALUE(LEFT(CH2764,4)),VALUE(LEFT(CH2764,FIND("-",CH2764)-1)))&lt;100,IF(AND(LEN(CH2764)=9,ISERROR(FIND("-",LEFT(CH2764,8))),ISNUMBER(-LEFT(CH2764,8))),VALUE(LEFT(CH2764,4)),VALUE(LEFT(CH2764,FIND("-",CH2764)-1)))+2000,IF(AND(LEN(CH2764)=9,ISERROR(FIND("-",LEFT(CH2764,8))),ISNUMBER(-LEFT(CH2764,8))),VALUE(LEFT(CH2764,4)),VALUE(LEFT(CH2764,FIND("-",CH2764)-1)))),""))</f>
        <v/>
      </c>
      <c r="CN2764">
        <f>IF(CH2764="","",IFERROR(IF(AND(LEN(CH2764)=9,ISERROR(FIND("-",LEFT(CH2764,8))),ISNUMBER(-LEFT(CH2764,8))),VALUE(MID(CH2764,5,2)),VALUE(MID(CH2764,FIND("-",CH2764)+1,FIND("-",CH2764,FIND("-",CH2764)+1)-FIND("-",CH2764)-1))),""))</f>
        <v/>
      </c>
      <c r="CO2764">
        <f>IF(CH2764="","",IFERROR(IF(AND(LEN(CH2764)=9,ISERROR(FIND("-",LEFT(CH2764,8))),ISNUMBER(-LEFT(CH2764,8))),VALUE(MID(CH2764,7,2)),VALUE(MID(CH2764,FIND("-",CH2764,FIND("-",CH2764)+1)+1,FIND("-",CH2764,FIND("-",CH2764,FIND("-",CH2764)+1)+1)-FIND("-",CH2764,FIND("-",CH2764)+1)-1))),""))</f>
        <v/>
      </c>
    </row>
    <row r="2765">
      <c r="CH2765">
        <f>IF(ISTEXT('월 가계부'!A2765),SUBSTITUTE(SUBSTITUTE(SUBSTITUTE(SUBSTITUTE(SUBSTITUTE(SUBSTITUTE(SUBSTITUTE(SUBSTITUTE(SUBSTITUTE(TRIM('월 가계부'!A2765),"년","-"),"월","-"),"일",""),".","-"),"/","-")," ","-"),"--","-"),"--","-"),"--","-")&amp;"-","")</f>
        <v/>
      </c>
      <c r="CI2765">
        <f>IFERROR(IF('월 가계부'!A2765="","",IF(ISNUMBER('월 가계부'!A2765),IF(AND('월 가계부'!A2765&gt;=19000101,'월 가계부'!A2765&lt;=21001231),IF(AND(MOD(INT('월 가계부'!A2765/100),100)&gt;=1,MOD(INT('월 가계부'!A2765/100),100)&lt;=12,MOD(INT('월 가계부'!A2765),100)&gt;=1,MOD(INT('월 가계부'!A2765),100)&lt;=31),IF(MONTH(DATE(INT('월 가계부'!A2765/10000),MOD(INT('월 가계부'!A2765/100),100),MOD(INT('월 가계부'!A2765),100)))=MOD(INT('월 가계부'!A2765/100),100),DATE(INT('월 가계부'!A2765/10000),MOD(INT('월 가계부'!A2765/100),100),MOD(INT('월 가계부'!A2765),100)),""),""),IF(AND('월 가계부'!A2765&gt;=36526,'월 가계부'!A2765&lt;73051),INT('월 가계부'!A2765),"")),IF(OR(CM2765="",CN2765="",CO2765=""),"",IF(AND(CM2765&gt;=2000,CM2765&lt;=2099,CN2765&gt;=1,CN2765&lt;=12,CO2765&gt;=1,CO2765&lt;=31),IF(MONTH(DATE(CM2765,CN2765,CO2765))=CN2765,DATE(CM2765,CN2765,CO2765),""),"")))),"")</f>
        <v/>
      </c>
      <c r="CJ2765">
        <f>IFERROR(IF('월 가계부'!C2765="","",IF(ISNUMBER('월 가계부'!C2765),'월 가계부'!C2765,VALUE(SUBSTITUTE(SUBSTITUTE(SUBSTITUTE(SUBSTITUTE(TRIM('월 가계부'!C2765),",",""),"원","")," ",""),"−","-")))),"")</f>
        <v/>
      </c>
      <c r="CK2765">
        <f>IF(ISNUMBER(CI2765),IF(CI2765&lt;$B$13,CI2765,""),"")</f>
        <v/>
      </c>
      <c r="CM2765">
        <f>IF(CH2765="","",IFERROR(IF(IF(AND(LEN(CH2765)=9,ISERROR(FIND("-",LEFT(CH2765,8))),ISNUMBER(-LEFT(CH2765,8))),VALUE(LEFT(CH2765,4)),VALUE(LEFT(CH2765,FIND("-",CH2765)-1)))&lt;100,IF(AND(LEN(CH2765)=9,ISERROR(FIND("-",LEFT(CH2765,8))),ISNUMBER(-LEFT(CH2765,8))),VALUE(LEFT(CH2765,4)),VALUE(LEFT(CH2765,FIND("-",CH2765)-1)))+2000,IF(AND(LEN(CH2765)=9,ISERROR(FIND("-",LEFT(CH2765,8))),ISNUMBER(-LEFT(CH2765,8))),VALUE(LEFT(CH2765,4)),VALUE(LEFT(CH2765,FIND("-",CH2765)-1)))),""))</f>
        <v/>
      </c>
      <c r="CN2765">
        <f>IF(CH2765="","",IFERROR(IF(AND(LEN(CH2765)=9,ISERROR(FIND("-",LEFT(CH2765,8))),ISNUMBER(-LEFT(CH2765,8))),VALUE(MID(CH2765,5,2)),VALUE(MID(CH2765,FIND("-",CH2765)+1,FIND("-",CH2765,FIND("-",CH2765)+1)-FIND("-",CH2765)-1))),""))</f>
        <v/>
      </c>
      <c r="CO2765">
        <f>IF(CH2765="","",IFERROR(IF(AND(LEN(CH2765)=9,ISERROR(FIND("-",LEFT(CH2765,8))),ISNUMBER(-LEFT(CH2765,8))),VALUE(MID(CH2765,7,2)),VALUE(MID(CH2765,FIND("-",CH2765,FIND("-",CH2765)+1)+1,FIND("-",CH2765,FIND("-",CH2765,FIND("-",CH2765)+1)+1)-FIND("-",CH2765,FIND("-",CH2765)+1)-1))),""))</f>
        <v/>
      </c>
    </row>
    <row r="2766">
      <c r="CH2766">
        <f>IF(ISTEXT('월 가계부'!A2766),SUBSTITUTE(SUBSTITUTE(SUBSTITUTE(SUBSTITUTE(SUBSTITUTE(SUBSTITUTE(SUBSTITUTE(SUBSTITUTE(SUBSTITUTE(TRIM('월 가계부'!A2766),"년","-"),"월","-"),"일",""),".","-"),"/","-")," ","-"),"--","-"),"--","-"),"--","-")&amp;"-","")</f>
        <v/>
      </c>
      <c r="CI2766">
        <f>IFERROR(IF('월 가계부'!A2766="","",IF(ISNUMBER('월 가계부'!A2766),IF(AND('월 가계부'!A2766&gt;=19000101,'월 가계부'!A2766&lt;=21001231),IF(AND(MOD(INT('월 가계부'!A2766/100),100)&gt;=1,MOD(INT('월 가계부'!A2766/100),100)&lt;=12,MOD(INT('월 가계부'!A2766),100)&gt;=1,MOD(INT('월 가계부'!A2766),100)&lt;=31),IF(MONTH(DATE(INT('월 가계부'!A2766/10000),MOD(INT('월 가계부'!A2766/100),100),MOD(INT('월 가계부'!A2766),100)))=MOD(INT('월 가계부'!A2766/100),100),DATE(INT('월 가계부'!A2766/10000),MOD(INT('월 가계부'!A2766/100),100),MOD(INT('월 가계부'!A2766),100)),""),""),IF(AND('월 가계부'!A2766&gt;=36526,'월 가계부'!A2766&lt;73051),INT('월 가계부'!A2766),"")),IF(OR(CM2766="",CN2766="",CO2766=""),"",IF(AND(CM2766&gt;=2000,CM2766&lt;=2099,CN2766&gt;=1,CN2766&lt;=12,CO2766&gt;=1,CO2766&lt;=31),IF(MONTH(DATE(CM2766,CN2766,CO2766))=CN2766,DATE(CM2766,CN2766,CO2766),""),"")))),"")</f>
        <v/>
      </c>
      <c r="CJ2766">
        <f>IFERROR(IF('월 가계부'!C2766="","",IF(ISNUMBER('월 가계부'!C2766),'월 가계부'!C2766,VALUE(SUBSTITUTE(SUBSTITUTE(SUBSTITUTE(SUBSTITUTE(TRIM('월 가계부'!C2766),",",""),"원","")," ",""),"−","-")))),"")</f>
        <v/>
      </c>
      <c r="CK2766">
        <f>IF(ISNUMBER(CI2766),IF(CI2766&lt;$B$13,CI2766,""),"")</f>
        <v/>
      </c>
      <c r="CM2766">
        <f>IF(CH2766="","",IFERROR(IF(IF(AND(LEN(CH2766)=9,ISERROR(FIND("-",LEFT(CH2766,8))),ISNUMBER(-LEFT(CH2766,8))),VALUE(LEFT(CH2766,4)),VALUE(LEFT(CH2766,FIND("-",CH2766)-1)))&lt;100,IF(AND(LEN(CH2766)=9,ISERROR(FIND("-",LEFT(CH2766,8))),ISNUMBER(-LEFT(CH2766,8))),VALUE(LEFT(CH2766,4)),VALUE(LEFT(CH2766,FIND("-",CH2766)-1)))+2000,IF(AND(LEN(CH2766)=9,ISERROR(FIND("-",LEFT(CH2766,8))),ISNUMBER(-LEFT(CH2766,8))),VALUE(LEFT(CH2766,4)),VALUE(LEFT(CH2766,FIND("-",CH2766)-1)))),""))</f>
        <v/>
      </c>
      <c r="CN2766">
        <f>IF(CH2766="","",IFERROR(IF(AND(LEN(CH2766)=9,ISERROR(FIND("-",LEFT(CH2766,8))),ISNUMBER(-LEFT(CH2766,8))),VALUE(MID(CH2766,5,2)),VALUE(MID(CH2766,FIND("-",CH2766)+1,FIND("-",CH2766,FIND("-",CH2766)+1)-FIND("-",CH2766)-1))),""))</f>
        <v/>
      </c>
      <c r="CO2766">
        <f>IF(CH2766="","",IFERROR(IF(AND(LEN(CH2766)=9,ISERROR(FIND("-",LEFT(CH2766,8))),ISNUMBER(-LEFT(CH2766,8))),VALUE(MID(CH2766,7,2)),VALUE(MID(CH2766,FIND("-",CH2766,FIND("-",CH2766)+1)+1,FIND("-",CH2766,FIND("-",CH2766,FIND("-",CH2766)+1)+1)-FIND("-",CH2766,FIND("-",CH2766)+1)-1))),""))</f>
        <v/>
      </c>
    </row>
    <row r="2767">
      <c r="CH2767">
        <f>IF(ISTEXT('월 가계부'!A2767),SUBSTITUTE(SUBSTITUTE(SUBSTITUTE(SUBSTITUTE(SUBSTITUTE(SUBSTITUTE(SUBSTITUTE(SUBSTITUTE(SUBSTITUTE(TRIM('월 가계부'!A2767),"년","-"),"월","-"),"일",""),".","-"),"/","-")," ","-"),"--","-"),"--","-"),"--","-")&amp;"-","")</f>
        <v/>
      </c>
      <c r="CI2767">
        <f>IFERROR(IF('월 가계부'!A2767="","",IF(ISNUMBER('월 가계부'!A2767),IF(AND('월 가계부'!A2767&gt;=19000101,'월 가계부'!A2767&lt;=21001231),IF(AND(MOD(INT('월 가계부'!A2767/100),100)&gt;=1,MOD(INT('월 가계부'!A2767/100),100)&lt;=12,MOD(INT('월 가계부'!A2767),100)&gt;=1,MOD(INT('월 가계부'!A2767),100)&lt;=31),IF(MONTH(DATE(INT('월 가계부'!A2767/10000),MOD(INT('월 가계부'!A2767/100),100),MOD(INT('월 가계부'!A2767),100)))=MOD(INT('월 가계부'!A2767/100),100),DATE(INT('월 가계부'!A2767/10000),MOD(INT('월 가계부'!A2767/100),100),MOD(INT('월 가계부'!A2767),100)),""),""),IF(AND('월 가계부'!A2767&gt;=36526,'월 가계부'!A2767&lt;73051),INT('월 가계부'!A2767),"")),IF(OR(CM2767="",CN2767="",CO2767=""),"",IF(AND(CM2767&gt;=2000,CM2767&lt;=2099,CN2767&gt;=1,CN2767&lt;=12,CO2767&gt;=1,CO2767&lt;=31),IF(MONTH(DATE(CM2767,CN2767,CO2767))=CN2767,DATE(CM2767,CN2767,CO2767),""),"")))),"")</f>
        <v/>
      </c>
      <c r="CJ2767">
        <f>IFERROR(IF('월 가계부'!C2767="","",IF(ISNUMBER('월 가계부'!C2767),'월 가계부'!C2767,VALUE(SUBSTITUTE(SUBSTITUTE(SUBSTITUTE(SUBSTITUTE(TRIM('월 가계부'!C2767),",",""),"원","")," ",""),"−","-")))),"")</f>
        <v/>
      </c>
      <c r="CK2767">
        <f>IF(ISNUMBER(CI2767),IF(CI2767&lt;$B$13,CI2767,""),"")</f>
        <v/>
      </c>
      <c r="CM2767">
        <f>IF(CH2767="","",IFERROR(IF(IF(AND(LEN(CH2767)=9,ISERROR(FIND("-",LEFT(CH2767,8))),ISNUMBER(-LEFT(CH2767,8))),VALUE(LEFT(CH2767,4)),VALUE(LEFT(CH2767,FIND("-",CH2767)-1)))&lt;100,IF(AND(LEN(CH2767)=9,ISERROR(FIND("-",LEFT(CH2767,8))),ISNUMBER(-LEFT(CH2767,8))),VALUE(LEFT(CH2767,4)),VALUE(LEFT(CH2767,FIND("-",CH2767)-1)))+2000,IF(AND(LEN(CH2767)=9,ISERROR(FIND("-",LEFT(CH2767,8))),ISNUMBER(-LEFT(CH2767,8))),VALUE(LEFT(CH2767,4)),VALUE(LEFT(CH2767,FIND("-",CH2767)-1)))),""))</f>
        <v/>
      </c>
      <c r="CN2767">
        <f>IF(CH2767="","",IFERROR(IF(AND(LEN(CH2767)=9,ISERROR(FIND("-",LEFT(CH2767,8))),ISNUMBER(-LEFT(CH2767,8))),VALUE(MID(CH2767,5,2)),VALUE(MID(CH2767,FIND("-",CH2767)+1,FIND("-",CH2767,FIND("-",CH2767)+1)-FIND("-",CH2767)-1))),""))</f>
        <v/>
      </c>
      <c r="CO2767">
        <f>IF(CH2767="","",IFERROR(IF(AND(LEN(CH2767)=9,ISERROR(FIND("-",LEFT(CH2767,8))),ISNUMBER(-LEFT(CH2767,8))),VALUE(MID(CH2767,7,2)),VALUE(MID(CH2767,FIND("-",CH2767,FIND("-",CH2767)+1)+1,FIND("-",CH2767,FIND("-",CH2767,FIND("-",CH2767)+1)+1)-FIND("-",CH2767,FIND("-",CH2767)+1)-1))),""))</f>
        <v/>
      </c>
    </row>
    <row r="2768">
      <c r="CH2768">
        <f>IF(ISTEXT('월 가계부'!A2768),SUBSTITUTE(SUBSTITUTE(SUBSTITUTE(SUBSTITUTE(SUBSTITUTE(SUBSTITUTE(SUBSTITUTE(SUBSTITUTE(SUBSTITUTE(TRIM('월 가계부'!A2768),"년","-"),"월","-"),"일",""),".","-"),"/","-")," ","-"),"--","-"),"--","-"),"--","-")&amp;"-","")</f>
        <v/>
      </c>
      <c r="CI2768">
        <f>IFERROR(IF('월 가계부'!A2768="","",IF(ISNUMBER('월 가계부'!A2768),IF(AND('월 가계부'!A2768&gt;=19000101,'월 가계부'!A2768&lt;=21001231),IF(AND(MOD(INT('월 가계부'!A2768/100),100)&gt;=1,MOD(INT('월 가계부'!A2768/100),100)&lt;=12,MOD(INT('월 가계부'!A2768),100)&gt;=1,MOD(INT('월 가계부'!A2768),100)&lt;=31),IF(MONTH(DATE(INT('월 가계부'!A2768/10000),MOD(INT('월 가계부'!A2768/100),100),MOD(INT('월 가계부'!A2768),100)))=MOD(INT('월 가계부'!A2768/100),100),DATE(INT('월 가계부'!A2768/10000),MOD(INT('월 가계부'!A2768/100),100),MOD(INT('월 가계부'!A2768),100)),""),""),IF(AND('월 가계부'!A2768&gt;=36526,'월 가계부'!A2768&lt;73051),INT('월 가계부'!A2768),"")),IF(OR(CM2768="",CN2768="",CO2768=""),"",IF(AND(CM2768&gt;=2000,CM2768&lt;=2099,CN2768&gt;=1,CN2768&lt;=12,CO2768&gt;=1,CO2768&lt;=31),IF(MONTH(DATE(CM2768,CN2768,CO2768))=CN2768,DATE(CM2768,CN2768,CO2768),""),"")))),"")</f>
        <v/>
      </c>
      <c r="CJ2768">
        <f>IFERROR(IF('월 가계부'!C2768="","",IF(ISNUMBER('월 가계부'!C2768),'월 가계부'!C2768,VALUE(SUBSTITUTE(SUBSTITUTE(SUBSTITUTE(SUBSTITUTE(TRIM('월 가계부'!C2768),",",""),"원","")," ",""),"−","-")))),"")</f>
        <v/>
      </c>
      <c r="CK2768">
        <f>IF(ISNUMBER(CI2768),IF(CI2768&lt;$B$13,CI2768,""),"")</f>
        <v/>
      </c>
      <c r="CM2768">
        <f>IF(CH2768="","",IFERROR(IF(IF(AND(LEN(CH2768)=9,ISERROR(FIND("-",LEFT(CH2768,8))),ISNUMBER(-LEFT(CH2768,8))),VALUE(LEFT(CH2768,4)),VALUE(LEFT(CH2768,FIND("-",CH2768)-1)))&lt;100,IF(AND(LEN(CH2768)=9,ISERROR(FIND("-",LEFT(CH2768,8))),ISNUMBER(-LEFT(CH2768,8))),VALUE(LEFT(CH2768,4)),VALUE(LEFT(CH2768,FIND("-",CH2768)-1)))+2000,IF(AND(LEN(CH2768)=9,ISERROR(FIND("-",LEFT(CH2768,8))),ISNUMBER(-LEFT(CH2768,8))),VALUE(LEFT(CH2768,4)),VALUE(LEFT(CH2768,FIND("-",CH2768)-1)))),""))</f>
        <v/>
      </c>
      <c r="CN2768">
        <f>IF(CH2768="","",IFERROR(IF(AND(LEN(CH2768)=9,ISERROR(FIND("-",LEFT(CH2768,8))),ISNUMBER(-LEFT(CH2768,8))),VALUE(MID(CH2768,5,2)),VALUE(MID(CH2768,FIND("-",CH2768)+1,FIND("-",CH2768,FIND("-",CH2768)+1)-FIND("-",CH2768)-1))),""))</f>
        <v/>
      </c>
      <c r="CO2768">
        <f>IF(CH2768="","",IFERROR(IF(AND(LEN(CH2768)=9,ISERROR(FIND("-",LEFT(CH2768,8))),ISNUMBER(-LEFT(CH2768,8))),VALUE(MID(CH2768,7,2)),VALUE(MID(CH2768,FIND("-",CH2768,FIND("-",CH2768)+1)+1,FIND("-",CH2768,FIND("-",CH2768,FIND("-",CH2768)+1)+1)-FIND("-",CH2768,FIND("-",CH2768)+1)-1))),""))</f>
        <v/>
      </c>
    </row>
    <row r="2769">
      <c r="CH2769">
        <f>IF(ISTEXT('월 가계부'!A2769),SUBSTITUTE(SUBSTITUTE(SUBSTITUTE(SUBSTITUTE(SUBSTITUTE(SUBSTITUTE(SUBSTITUTE(SUBSTITUTE(SUBSTITUTE(TRIM('월 가계부'!A2769),"년","-"),"월","-"),"일",""),".","-"),"/","-")," ","-"),"--","-"),"--","-"),"--","-")&amp;"-","")</f>
        <v/>
      </c>
      <c r="CI2769">
        <f>IFERROR(IF('월 가계부'!A2769="","",IF(ISNUMBER('월 가계부'!A2769),IF(AND('월 가계부'!A2769&gt;=19000101,'월 가계부'!A2769&lt;=21001231),IF(AND(MOD(INT('월 가계부'!A2769/100),100)&gt;=1,MOD(INT('월 가계부'!A2769/100),100)&lt;=12,MOD(INT('월 가계부'!A2769),100)&gt;=1,MOD(INT('월 가계부'!A2769),100)&lt;=31),IF(MONTH(DATE(INT('월 가계부'!A2769/10000),MOD(INT('월 가계부'!A2769/100),100),MOD(INT('월 가계부'!A2769),100)))=MOD(INT('월 가계부'!A2769/100),100),DATE(INT('월 가계부'!A2769/10000),MOD(INT('월 가계부'!A2769/100),100),MOD(INT('월 가계부'!A2769),100)),""),""),IF(AND('월 가계부'!A2769&gt;=36526,'월 가계부'!A2769&lt;73051),INT('월 가계부'!A2769),"")),IF(OR(CM2769="",CN2769="",CO2769=""),"",IF(AND(CM2769&gt;=2000,CM2769&lt;=2099,CN2769&gt;=1,CN2769&lt;=12,CO2769&gt;=1,CO2769&lt;=31),IF(MONTH(DATE(CM2769,CN2769,CO2769))=CN2769,DATE(CM2769,CN2769,CO2769),""),"")))),"")</f>
        <v/>
      </c>
      <c r="CJ2769">
        <f>IFERROR(IF('월 가계부'!C2769="","",IF(ISNUMBER('월 가계부'!C2769),'월 가계부'!C2769,VALUE(SUBSTITUTE(SUBSTITUTE(SUBSTITUTE(SUBSTITUTE(TRIM('월 가계부'!C2769),",",""),"원","")," ",""),"−","-")))),"")</f>
        <v/>
      </c>
      <c r="CK2769">
        <f>IF(ISNUMBER(CI2769),IF(CI2769&lt;$B$13,CI2769,""),"")</f>
        <v/>
      </c>
      <c r="CM2769">
        <f>IF(CH2769="","",IFERROR(IF(IF(AND(LEN(CH2769)=9,ISERROR(FIND("-",LEFT(CH2769,8))),ISNUMBER(-LEFT(CH2769,8))),VALUE(LEFT(CH2769,4)),VALUE(LEFT(CH2769,FIND("-",CH2769)-1)))&lt;100,IF(AND(LEN(CH2769)=9,ISERROR(FIND("-",LEFT(CH2769,8))),ISNUMBER(-LEFT(CH2769,8))),VALUE(LEFT(CH2769,4)),VALUE(LEFT(CH2769,FIND("-",CH2769)-1)))+2000,IF(AND(LEN(CH2769)=9,ISERROR(FIND("-",LEFT(CH2769,8))),ISNUMBER(-LEFT(CH2769,8))),VALUE(LEFT(CH2769,4)),VALUE(LEFT(CH2769,FIND("-",CH2769)-1)))),""))</f>
        <v/>
      </c>
      <c r="CN2769">
        <f>IF(CH2769="","",IFERROR(IF(AND(LEN(CH2769)=9,ISERROR(FIND("-",LEFT(CH2769,8))),ISNUMBER(-LEFT(CH2769,8))),VALUE(MID(CH2769,5,2)),VALUE(MID(CH2769,FIND("-",CH2769)+1,FIND("-",CH2769,FIND("-",CH2769)+1)-FIND("-",CH2769)-1))),""))</f>
        <v/>
      </c>
      <c r="CO2769">
        <f>IF(CH2769="","",IFERROR(IF(AND(LEN(CH2769)=9,ISERROR(FIND("-",LEFT(CH2769,8))),ISNUMBER(-LEFT(CH2769,8))),VALUE(MID(CH2769,7,2)),VALUE(MID(CH2769,FIND("-",CH2769,FIND("-",CH2769)+1)+1,FIND("-",CH2769,FIND("-",CH2769,FIND("-",CH2769)+1)+1)-FIND("-",CH2769,FIND("-",CH2769)+1)-1))),""))</f>
        <v/>
      </c>
    </row>
    <row r="2770">
      <c r="CH2770">
        <f>IF(ISTEXT('월 가계부'!A2770),SUBSTITUTE(SUBSTITUTE(SUBSTITUTE(SUBSTITUTE(SUBSTITUTE(SUBSTITUTE(SUBSTITUTE(SUBSTITUTE(SUBSTITUTE(TRIM('월 가계부'!A2770),"년","-"),"월","-"),"일",""),".","-"),"/","-")," ","-"),"--","-"),"--","-"),"--","-")&amp;"-","")</f>
        <v/>
      </c>
      <c r="CI2770">
        <f>IFERROR(IF('월 가계부'!A2770="","",IF(ISNUMBER('월 가계부'!A2770),IF(AND('월 가계부'!A2770&gt;=19000101,'월 가계부'!A2770&lt;=21001231),IF(AND(MOD(INT('월 가계부'!A2770/100),100)&gt;=1,MOD(INT('월 가계부'!A2770/100),100)&lt;=12,MOD(INT('월 가계부'!A2770),100)&gt;=1,MOD(INT('월 가계부'!A2770),100)&lt;=31),IF(MONTH(DATE(INT('월 가계부'!A2770/10000),MOD(INT('월 가계부'!A2770/100),100),MOD(INT('월 가계부'!A2770),100)))=MOD(INT('월 가계부'!A2770/100),100),DATE(INT('월 가계부'!A2770/10000),MOD(INT('월 가계부'!A2770/100),100),MOD(INT('월 가계부'!A2770),100)),""),""),IF(AND('월 가계부'!A2770&gt;=36526,'월 가계부'!A2770&lt;73051),INT('월 가계부'!A2770),"")),IF(OR(CM2770="",CN2770="",CO2770=""),"",IF(AND(CM2770&gt;=2000,CM2770&lt;=2099,CN2770&gt;=1,CN2770&lt;=12,CO2770&gt;=1,CO2770&lt;=31),IF(MONTH(DATE(CM2770,CN2770,CO2770))=CN2770,DATE(CM2770,CN2770,CO2770),""),"")))),"")</f>
        <v/>
      </c>
      <c r="CJ2770">
        <f>IFERROR(IF('월 가계부'!C2770="","",IF(ISNUMBER('월 가계부'!C2770),'월 가계부'!C2770,VALUE(SUBSTITUTE(SUBSTITUTE(SUBSTITUTE(SUBSTITUTE(TRIM('월 가계부'!C2770),",",""),"원","")," ",""),"−","-")))),"")</f>
        <v/>
      </c>
      <c r="CK2770">
        <f>IF(ISNUMBER(CI2770),IF(CI2770&lt;$B$13,CI2770,""),"")</f>
        <v/>
      </c>
      <c r="CM2770">
        <f>IF(CH2770="","",IFERROR(IF(IF(AND(LEN(CH2770)=9,ISERROR(FIND("-",LEFT(CH2770,8))),ISNUMBER(-LEFT(CH2770,8))),VALUE(LEFT(CH2770,4)),VALUE(LEFT(CH2770,FIND("-",CH2770)-1)))&lt;100,IF(AND(LEN(CH2770)=9,ISERROR(FIND("-",LEFT(CH2770,8))),ISNUMBER(-LEFT(CH2770,8))),VALUE(LEFT(CH2770,4)),VALUE(LEFT(CH2770,FIND("-",CH2770)-1)))+2000,IF(AND(LEN(CH2770)=9,ISERROR(FIND("-",LEFT(CH2770,8))),ISNUMBER(-LEFT(CH2770,8))),VALUE(LEFT(CH2770,4)),VALUE(LEFT(CH2770,FIND("-",CH2770)-1)))),""))</f>
        <v/>
      </c>
      <c r="CN2770">
        <f>IF(CH2770="","",IFERROR(IF(AND(LEN(CH2770)=9,ISERROR(FIND("-",LEFT(CH2770,8))),ISNUMBER(-LEFT(CH2770,8))),VALUE(MID(CH2770,5,2)),VALUE(MID(CH2770,FIND("-",CH2770)+1,FIND("-",CH2770,FIND("-",CH2770)+1)-FIND("-",CH2770)-1))),""))</f>
        <v/>
      </c>
      <c r="CO2770">
        <f>IF(CH2770="","",IFERROR(IF(AND(LEN(CH2770)=9,ISERROR(FIND("-",LEFT(CH2770,8))),ISNUMBER(-LEFT(CH2770,8))),VALUE(MID(CH2770,7,2)),VALUE(MID(CH2770,FIND("-",CH2770,FIND("-",CH2770)+1)+1,FIND("-",CH2770,FIND("-",CH2770,FIND("-",CH2770)+1)+1)-FIND("-",CH2770,FIND("-",CH2770)+1)-1))),""))</f>
        <v/>
      </c>
    </row>
    <row r="2771">
      <c r="CH2771">
        <f>IF(ISTEXT('월 가계부'!A2771),SUBSTITUTE(SUBSTITUTE(SUBSTITUTE(SUBSTITUTE(SUBSTITUTE(SUBSTITUTE(SUBSTITUTE(SUBSTITUTE(SUBSTITUTE(TRIM('월 가계부'!A2771),"년","-"),"월","-"),"일",""),".","-"),"/","-")," ","-"),"--","-"),"--","-"),"--","-")&amp;"-","")</f>
        <v/>
      </c>
      <c r="CI2771">
        <f>IFERROR(IF('월 가계부'!A2771="","",IF(ISNUMBER('월 가계부'!A2771),IF(AND('월 가계부'!A2771&gt;=19000101,'월 가계부'!A2771&lt;=21001231),IF(AND(MOD(INT('월 가계부'!A2771/100),100)&gt;=1,MOD(INT('월 가계부'!A2771/100),100)&lt;=12,MOD(INT('월 가계부'!A2771),100)&gt;=1,MOD(INT('월 가계부'!A2771),100)&lt;=31),IF(MONTH(DATE(INT('월 가계부'!A2771/10000),MOD(INT('월 가계부'!A2771/100),100),MOD(INT('월 가계부'!A2771),100)))=MOD(INT('월 가계부'!A2771/100),100),DATE(INT('월 가계부'!A2771/10000),MOD(INT('월 가계부'!A2771/100),100),MOD(INT('월 가계부'!A2771),100)),""),""),IF(AND('월 가계부'!A2771&gt;=36526,'월 가계부'!A2771&lt;73051),INT('월 가계부'!A2771),"")),IF(OR(CM2771="",CN2771="",CO2771=""),"",IF(AND(CM2771&gt;=2000,CM2771&lt;=2099,CN2771&gt;=1,CN2771&lt;=12,CO2771&gt;=1,CO2771&lt;=31),IF(MONTH(DATE(CM2771,CN2771,CO2771))=CN2771,DATE(CM2771,CN2771,CO2771),""),"")))),"")</f>
        <v/>
      </c>
      <c r="CJ2771">
        <f>IFERROR(IF('월 가계부'!C2771="","",IF(ISNUMBER('월 가계부'!C2771),'월 가계부'!C2771,VALUE(SUBSTITUTE(SUBSTITUTE(SUBSTITUTE(SUBSTITUTE(TRIM('월 가계부'!C2771),",",""),"원","")," ",""),"−","-")))),"")</f>
        <v/>
      </c>
      <c r="CK2771">
        <f>IF(ISNUMBER(CI2771),IF(CI2771&lt;$B$13,CI2771,""),"")</f>
        <v/>
      </c>
      <c r="CM2771">
        <f>IF(CH2771="","",IFERROR(IF(IF(AND(LEN(CH2771)=9,ISERROR(FIND("-",LEFT(CH2771,8))),ISNUMBER(-LEFT(CH2771,8))),VALUE(LEFT(CH2771,4)),VALUE(LEFT(CH2771,FIND("-",CH2771)-1)))&lt;100,IF(AND(LEN(CH2771)=9,ISERROR(FIND("-",LEFT(CH2771,8))),ISNUMBER(-LEFT(CH2771,8))),VALUE(LEFT(CH2771,4)),VALUE(LEFT(CH2771,FIND("-",CH2771)-1)))+2000,IF(AND(LEN(CH2771)=9,ISERROR(FIND("-",LEFT(CH2771,8))),ISNUMBER(-LEFT(CH2771,8))),VALUE(LEFT(CH2771,4)),VALUE(LEFT(CH2771,FIND("-",CH2771)-1)))),""))</f>
        <v/>
      </c>
      <c r="CN2771">
        <f>IF(CH2771="","",IFERROR(IF(AND(LEN(CH2771)=9,ISERROR(FIND("-",LEFT(CH2771,8))),ISNUMBER(-LEFT(CH2771,8))),VALUE(MID(CH2771,5,2)),VALUE(MID(CH2771,FIND("-",CH2771)+1,FIND("-",CH2771,FIND("-",CH2771)+1)-FIND("-",CH2771)-1))),""))</f>
        <v/>
      </c>
      <c r="CO2771">
        <f>IF(CH2771="","",IFERROR(IF(AND(LEN(CH2771)=9,ISERROR(FIND("-",LEFT(CH2771,8))),ISNUMBER(-LEFT(CH2771,8))),VALUE(MID(CH2771,7,2)),VALUE(MID(CH2771,FIND("-",CH2771,FIND("-",CH2771)+1)+1,FIND("-",CH2771,FIND("-",CH2771,FIND("-",CH2771)+1)+1)-FIND("-",CH2771,FIND("-",CH2771)+1)-1))),""))</f>
        <v/>
      </c>
    </row>
    <row r="2772">
      <c r="CH2772">
        <f>IF(ISTEXT('월 가계부'!A2772),SUBSTITUTE(SUBSTITUTE(SUBSTITUTE(SUBSTITUTE(SUBSTITUTE(SUBSTITUTE(SUBSTITUTE(SUBSTITUTE(SUBSTITUTE(TRIM('월 가계부'!A2772),"년","-"),"월","-"),"일",""),".","-"),"/","-")," ","-"),"--","-"),"--","-"),"--","-")&amp;"-","")</f>
        <v/>
      </c>
      <c r="CI2772">
        <f>IFERROR(IF('월 가계부'!A2772="","",IF(ISNUMBER('월 가계부'!A2772),IF(AND('월 가계부'!A2772&gt;=19000101,'월 가계부'!A2772&lt;=21001231),IF(AND(MOD(INT('월 가계부'!A2772/100),100)&gt;=1,MOD(INT('월 가계부'!A2772/100),100)&lt;=12,MOD(INT('월 가계부'!A2772),100)&gt;=1,MOD(INT('월 가계부'!A2772),100)&lt;=31),IF(MONTH(DATE(INT('월 가계부'!A2772/10000),MOD(INT('월 가계부'!A2772/100),100),MOD(INT('월 가계부'!A2772),100)))=MOD(INT('월 가계부'!A2772/100),100),DATE(INT('월 가계부'!A2772/10000),MOD(INT('월 가계부'!A2772/100),100),MOD(INT('월 가계부'!A2772),100)),""),""),IF(AND('월 가계부'!A2772&gt;=36526,'월 가계부'!A2772&lt;73051),INT('월 가계부'!A2772),"")),IF(OR(CM2772="",CN2772="",CO2772=""),"",IF(AND(CM2772&gt;=2000,CM2772&lt;=2099,CN2772&gt;=1,CN2772&lt;=12,CO2772&gt;=1,CO2772&lt;=31),IF(MONTH(DATE(CM2772,CN2772,CO2772))=CN2772,DATE(CM2772,CN2772,CO2772),""),"")))),"")</f>
        <v/>
      </c>
      <c r="CJ2772">
        <f>IFERROR(IF('월 가계부'!C2772="","",IF(ISNUMBER('월 가계부'!C2772),'월 가계부'!C2772,VALUE(SUBSTITUTE(SUBSTITUTE(SUBSTITUTE(SUBSTITUTE(TRIM('월 가계부'!C2772),",",""),"원","")," ",""),"−","-")))),"")</f>
        <v/>
      </c>
      <c r="CK2772">
        <f>IF(ISNUMBER(CI2772),IF(CI2772&lt;$B$13,CI2772,""),"")</f>
        <v/>
      </c>
      <c r="CM2772">
        <f>IF(CH2772="","",IFERROR(IF(IF(AND(LEN(CH2772)=9,ISERROR(FIND("-",LEFT(CH2772,8))),ISNUMBER(-LEFT(CH2772,8))),VALUE(LEFT(CH2772,4)),VALUE(LEFT(CH2772,FIND("-",CH2772)-1)))&lt;100,IF(AND(LEN(CH2772)=9,ISERROR(FIND("-",LEFT(CH2772,8))),ISNUMBER(-LEFT(CH2772,8))),VALUE(LEFT(CH2772,4)),VALUE(LEFT(CH2772,FIND("-",CH2772)-1)))+2000,IF(AND(LEN(CH2772)=9,ISERROR(FIND("-",LEFT(CH2772,8))),ISNUMBER(-LEFT(CH2772,8))),VALUE(LEFT(CH2772,4)),VALUE(LEFT(CH2772,FIND("-",CH2772)-1)))),""))</f>
        <v/>
      </c>
      <c r="CN2772">
        <f>IF(CH2772="","",IFERROR(IF(AND(LEN(CH2772)=9,ISERROR(FIND("-",LEFT(CH2772,8))),ISNUMBER(-LEFT(CH2772,8))),VALUE(MID(CH2772,5,2)),VALUE(MID(CH2772,FIND("-",CH2772)+1,FIND("-",CH2772,FIND("-",CH2772)+1)-FIND("-",CH2772)-1))),""))</f>
        <v/>
      </c>
      <c r="CO2772">
        <f>IF(CH2772="","",IFERROR(IF(AND(LEN(CH2772)=9,ISERROR(FIND("-",LEFT(CH2772,8))),ISNUMBER(-LEFT(CH2772,8))),VALUE(MID(CH2772,7,2)),VALUE(MID(CH2772,FIND("-",CH2772,FIND("-",CH2772)+1)+1,FIND("-",CH2772,FIND("-",CH2772,FIND("-",CH2772)+1)+1)-FIND("-",CH2772,FIND("-",CH2772)+1)-1))),""))</f>
        <v/>
      </c>
    </row>
    <row r="2773">
      <c r="CH2773">
        <f>IF(ISTEXT('월 가계부'!A2773),SUBSTITUTE(SUBSTITUTE(SUBSTITUTE(SUBSTITUTE(SUBSTITUTE(SUBSTITUTE(SUBSTITUTE(SUBSTITUTE(SUBSTITUTE(TRIM('월 가계부'!A2773),"년","-"),"월","-"),"일",""),".","-"),"/","-")," ","-"),"--","-"),"--","-"),"--","-")&amp;"-","")</f>
        <v/>
      </c>
      <c r="CI2773">
        <f>IFERROR(IF('월 가계부'!A2773="","",IF(ISNUMBER('월 가계부'!A2773),IF(AND('월 가계부'!A2773&gt;=19000101,'월 가계부'!A2773&lt;=21001231),IF(AND(MOD(INT('월 가계부'!A2773/100),100)&gt;=1,MOD(INT('월 가계부'!A2773/100),100)&lt;=12,MOD(INT('월 가계부'!A2773),100)&gt;=1,MOD(INT('월 가계부'!A2773),100)&lt;=31),IF(MONTH(DATE(INT('월 가계부'!A2773/10000),MOD(INT('월 가계부'!A2773/100),100),MOD(INT('월 가계부'!A2773),100)))=MOD(INT('월 가계부'!A2773/100),100),DATE(INT('월 가계부'!A2773/10000),MOD(INT('월 가계부'!A2773/100),100),MOD(INT('월 가계부'!A2773),100)),""),""),IF(AND('월 가계부'!A2773&gt;=36526,'월 가계부'!A2773&lt;73051),INT('월 가계부'!A2773),"")),IF(OR(CM2773="",CN2773="",CO2773=""),"",IF(AND(CM2773&gt;=2000,CM2773&lt;=2099,CN2773&gt;=1,CN2773&lt;=12,CO2773&gt;=1,CO2773&lt;=31),IF(MONTH(DATE(CM2773,CN2773,CO2773))=CN2773,DATE(CM2773,CN2773,CO2773),""),"")))),"")</f>
        <v/>
      </c>
      <c r="CJ2773">
        <f>IFERROR(IF('월 가계부'!C2773="","",IF(ISNUMBER('월 가계부'!C2773),'월 가계부'!C2773,VALUE(SUBSTITUTE(SUBSTITUTE(SUBSTITUTE(SUBSTITUTE(TRIM('월 가계부'!C2773),",",""),"원","")," ",""),"−","-")))),"")</f>
        <v/>
      </c>
      <c r="CK2773">
        <f>IF(ISNUMBER(CI2773),IF(CI2773&lt;$B$13,CI2773,""),"")</f>
        <v/>
      </c>
      <c r="CM2773">
        <f>IF(CH2773="","",IFERROR(IF(IF(AND(LEN(CH2773)=9,ISERROR(FIND("-",LEFT(CH2773,8))),ISNUMBER(-LEFT(CH2773,8))),VALUE(LEFT(CH2773,4)),VALUE(LEFT(CH2773,FIND("-",CH2773)-1)))&lt;100,IF(AND(LEN(CH2773)=9,ISERROR(FIND("-",LEFT(CH2773,8))),ISNUMBER(-LEFT(CH2773,8))),VALUE(LEFT(CH2773,4)),VALUE(LEFT(CH2773,FIND("-",CH2773)-1)))+2000,IF(AND(LEN(CH2773)=9,ISERROR(FIND("-",LEFT(CH2773,8))),ISNUMBER(-LEFT(CH2773,8))),VALUE(LEFT(CH2773,4)),VALUE(LEFT(CH2773,FIND("-",CH2773)-1)))),""))</f>
        <v/>
      </c>
      <c r="CN2773">
        <f>IF(CH2773="","",IFERROR(IF(AND(LEN(CH2773)=9,ISERROR(FIND("-",LEFT(CH2773,8))),ISNUMBER(-LEFT(CH2773,8))),VALUE(MID(CH2773,5,2)),VALUE(MID(CH2773,FIND("-",CH2773)+1,FIND("-",CH2773,FIND("-",CH2773)+1)-FIND("-",CH2773)-1))),""))</f>
        <v/>
      </c>
      <c r="CO2773">
        <f>IF(CH2773="","",IFERROR(IF(AND(LEN(CH2773)=9,ISERROR(FIND("-",LEFT(CH2773,8))),ISNUMBER(-LEFT(CH2773,8))),VALUE(MID(CH2773,7,2)),VALUE(MID(CH2773,FIND("-",CH2773,FIND("-",CH2773)+1)+1,FIND("-",CH2773,FIND("-",CH2773,FIND("-",CH2773)+1)+1)-FIND("-",CH2773,FIND("-",CH2773)+1)-1))),""))</f>
        <v/>
      </c>
    </row>
    <row r="2774">
      <c r="CH2774">
        <f>IF(ISTEXT('월 가계부'!A2774),SUBSTITUTE(SUBSTITUTE(SUBSTITUTE(SUBSTITUTE(SUBSTITUTE(SUBSTITUTE(SUBSTITUTE(SUBSTITUTE(SUBSTITUTE(TRIM('월 가계부'!A2774),"년","-"),"월","-"),"일",""),".","-"),"/","-")," ","-"),"--","-"),"--","-"),"--","-")&amp;"-","")</f>
        <v/>
      </c>
      <c r="CI2774">
        <f>IFERROR(IF('월 가계부'!A2774="","",IF(ISNUMBER('월 가계부'!A2774),IF(AND('월 가계부'!A2774&gt;=19000101,'월 가계부'!A2774&lt;=21001231),IF(AND(MOD(INT('월 가계부'!A2774/100),100)&gt;=1,MOD(INT('월 가계부'!A2774/100),100)&lt;=12,MOD(INT('월 가계부'!A2774),100)&gt;=1,MOD(INT('월 가계부'!A2774),100)&lt;=31),IF(MONTH(DATE(INT('월 가계부'!A2774/10000),MOD(INT('월 가계부'!A2774/100),100),MOD(INT('월 가계부'!A2774),100)))=MOD(INT('월 가계부'!A2774/100),100),DATE(INT('월 가계부'!A2774/10000),MOD(INT('월 가계부'!A2774/100),100),MOD(INT('월 가계부'!A2774),100)),""),""),IF(AND('월 가계부'!A2774&gt;=36526,'월 가계부'!A2774&lt;73051),INT('월 가계부'!A2774),"")),IF(OR(CM2774="",CN2774="",CO2774=""),"",IF(AND(CM2774&gt;=2000,CM2774&lt;=2099,CN2774&gt;=1,CN2774&lt;=12,CO2774&gt;=1,CO2774&lt;=31),IF(MONTH(DATE(CM2774,CN2774,CO2774))=CN2774,DATE(CM2774,CN2774,CO2774),""),"")))),"")</f>
        <v/>
      </c>
      <c r="CJ2774">
        <f>IFERROR(IF('월 가계부'!C2774="","",IF(ISNUMBER('월 가계부'!C2774),'월 가계부'!C2774,VALUE(SUBSTITUTE(SUBSTITUTE(SUBSTITUTE(SUBSTITUTE(TRIM('월 가계부'!C2774),",",""),"원","")," ",""),"−","-")))),"")</f>
        <v/>
      </c>
      <c r="CK2774">
        <f>IF(ISNUMBER(CI2774),IF(CI2774&lt;$B$13,CI2774,""),"")</f>
        <v/>
      </c>
      <c r="CM2774">
        <f>IF(CH2774="","",IFERROR(IF(IF(AND(LEN(CH2774)=9,ISERROR(FIND("-",LEFT(CH2774,8))),ISNUMBER(-LEFT(CH2774,8))),VALUE(LEFT(CH2774,4)),VALUE(LEFT(CH2774,FIND("-",CH2774)-1)))&lt;100,IF(AND(LEN(CH2774)=9,ISERROR(FIND("-",LEFT(CH2774,8))),ISNUMBER(-LEFT(CH2774,8))),VALUE(LEFT(CH2774,4)),VALUE(LEFT(CH2774,FIND("-",CH2774)-1)))+2000,IF(AND(LEN(CH2774)=9,ISERROR(FIND("-",LEFT(CH2774,8))),ISNUMBER(-LEFT(CH2774,8))),VALUE(LEFT(CH2774,4)),VALUE(LEFT(CH2774,FIND("-",CH2774)-1)))),""))</f>
        <v/>
      </c>
      <c r="CN2774">
        <f>IF(CH2774="","",IFERROR(IF(AND(LEN(CH2774)=9,ISERROR(FIND("-",LEFT(CH2774,8))),ISNUMBER(-LEFT(CH2774,8))),VALUE(MID(CH2774,5,2)),VALUE(MID(CH2774,FIND("-",CH2774)+1,FIND("-",CH2774,FIND("-",CH2774)+1)-FIND("-",CH2774)-1))),""))</f>
        <v/>
      </c>
      <c r="CO2774">
        <f>IF(CH2774="","",IFERROR(IF(AND(LEN(CH2774)=9,ISERROR(FIND("-",LEFT(CH2774,8))),ISNUMBER(-LEFT(CH2774,8))),VALUE(MID(CH2774,7,2)),VALUE(MID(CH2774,FIND("-",CH2774,FIND("-",CH2774)+1)+1,FIND("-",CH2774,FIND("-",CH2774,FIND("-",CH2774)+1)+1)-FIND("-",CH2774,FIND("-",CH2774)+1)-1))),""))</f>
        <v/>
      </c>
    </row>
    <row r="2775">
      <c r="CH2775">
        <f>IF(ISTEXT('월 가계부'!A2775),SUBSTITUTE(SUBSTITUTE(SUBSTITUTE(SUBSTITUTE(SUBSTITUTE(SUBSTITUTE(SUBSTITUTE(SUBSTITUTE(SUBSTITUTE(TRIM('월 가계부'!A2775),"년","-"),"월","-"),"일",""),".","-"),"/","-")," ","-"),"--","-"),"--","-"),"--","-")&amp;"-","")</f>
        <v/>
      </c>
      <c r="CI2775">
        <f>IFERROR(IF('월 가계부'!A2775="","",IF(ISNUMBER('월 가계부'!A2775),IF(AND('월 가계부'!A2775&gt;=19000101,'월 가계부'!A2775&lt;=21001231),IF(AND(MOD(INT('월 가계부'!A2775/100),100)&gt;=1,MOD(INT('월 가계부'!A2775/100),100)&lt;=12,MOD(INT('월 가계부'!A2775),100)&gt;=1,MOD(INT('월 가계부'!A2775),100)&lt;=31),IF(MONTH(DATE(INT('월 가계부'!A2775/10000),MOD(INT('월 가계부'!A2775/100),100),MOD(INT('월 가계부'!A2775),100)))=MOD(INT('월 가계부'!A2775/100),100),DATE(INT('월 가계부'!A2775/10000),MOD(INT('월 가계부'!A2775/100),100),MOD(INT('월 가계부'!A2775),100)),""),""),IF(AND('월 가계부'!A2775&gt;=36526,'월 가계부'!A2775&lt;73051),INT('월 가계부'!A2775),"")),IF(OR(CM2775="",CN2775="",CO2775=""),"",IF(AND(CM2775&gt;=2000,CM2775&lt;=2099,CN2775&gt;=1,CN2775&lt;=12,CO2775&gt;=1,CO2775&lt;=31),IF(MONTH(DATE(CM2775,CN2775,CO2775))=CN2775,DATE(CM2775,CN2775,CO2775),""),"")))),"")</f>
        <v/>
      </c>
      <c r="CJ2775">
        <f>IFERROR(IF('월 가계부'!C2775="","",IF(ISNUMBER('월 가계부'!C2775),'월 가계부'!C2775,VALUE(SUBSTITUTE(SUBSTITUTE(SUBSTITUTE(SUBSTITUTE(TRIM('월 가계부'!C2775),",",""),"원","")," ",""),"−","-")))),"")</f>
        <v/>
      </c>
      <c r="CK2775">
        <f>IF(ISNUMBER(CI2775),IF(CI2775&lt;$B$13,CI2775,""),"")</f>
        <v/>
      </c>
      <c r="CM2775">
        <f>IF(CH2775="","",IFERROR(IF(IF(AND(LEN(CH2775)=9,ISERROR(FIND("-",LEFT(CH2775,8))),ISNUMBER(-LEFT(CH2775,8))),VALUE(LEFT(CH2775,4)),VALUE(LEFT(CH2775,FIND("-",CH2775)-1)))&lt;100,IF(AND(LEN(CH2775)=9,ISERROR(FIND("-",LEFT(CH2775,8))),ISNUMBER(-LEFT(CH2775,8))),VALUE(LEFT(CH2775,4)),VALUE(LEFT(CH2775,FIND("-",CH2775)-1)))+2000,IF(AND(LEN(CH2775)=9,ISERROR(FIND("-",LEFT(CH2775,8))),ISNUMBER(-LEFT(CH2775,8))),VALUE(LEFT(CH2775,4)),VALUE(LEFT(CH2775,FIND("-",CH2775)-1)))),""))</f>
        <v/>
      </c>
      <c r="CN2775">
        <f>IF(CH2775="","",IFERROR(IF(AND(LEN(CH2775)=9,ISERROR(FIND("-",LEFT(CH2775,8))),ISNUMBER(-LEFT(CH2775,8))),VALUE(MID(CH2775,5,2)),VALUE(MID(CH2775,FIND("-",CH2775)+1,FIND("-",CH2775,FIND("-",CH2775)+1)-FIND("-",CH2775)-1))),""))</f>
        <v/>
      </c>
      <c r="CO2775">
        <f>IF(CH2775="","",IFERROR(IF(AND(LEN(CH2775)=9,ISERROR(FIND("-",LEFT(CH2775,8))),ISNUMBER(-LEFT(CH2775,8))),VALUE(MID(CH2775,7,2)),VALUE(MID(CH2775,FIND("-",CH2775,FIND("-",CH2775)+1)+1,FIND("-",CH2775,FIND("-",CH2775,FIND("-",CH2775)+1)+1)-FIND("-",CH2775,FIND("-",CH2775)+1)-1))),""))</f>
        <v/>
      </c>
    </row>
    <row r="2776">
      <c r="CH2776">
        <f>IF(ISTEXT('월 가계부'!A2776),SUBSTITUTE(SUBSTITUTE(SUBSTITUTE(SUBSTITUTE(SUBSTITUTE(SUBSTITUTE(SUBSTITUTE(SUBSTITUTE(SUBSTITUTE(TRIM('월 가계부'!A2776),"년","-"),"월","-"),"일",""),".","-"),"/","-")," ","-"),"--","-"),"--","-"),"--","-")&amp;"-","")</f>
        <v/>
      </c>
      <c r="CI2776">
        <f>IFERROR(IF('월 가계부'!A2776="","",IF(ISNUMBER('월 가계부'!A2776),IF(AND('월 가계부'!A2776&gt;=19000101,'월 가계부'!A2776&lt;=21001231),IF(AND(MOD(INT('월 가계부'!A2776/100),100)&gt;=1,MOD(INT('월 가계부'!A2776/100),100)&lt;=12,MOD(INT('월 가계부'!A2776),100)&gt;=1,MOD(INT('월 가계부'!A2776),100)&lt;=31),IF(MONTH(DATE(INT('월 가계부'!A2776/10000),MOD(INT('월 가계부'!A2776/100),100),MOD(INT('월 가계부'!A2776),100)))=MOD(INT('월 가계부'!A2776/100),100),DATE(INT('월 가계부'!A2776/10000),MOD(INT('월 가계부'!A2776/100),100),MOD(INT('월 가계부'!A2776),100)),""),""),IF(AND('월 가계부'!A2776&gt;=36526,'월 가계부'!A2776&lt;73051),INT('월 가계부'!A2776),"")),IF(OR(CM2776="",CN2776="",CO2776=""),"",IF(AND(CM2776&gt;=2000,CM2776&lt;=2099,CN2776&gt;=1,CN2776&lt;=12,CO2776&gt;=1,CO2776&lt;=31),IF(MONTH(DATE(CM2776,CN2776,CO2776))=CN2776,DATE(CM2776,CN2776,CO2776),""),"")))),"")</f>
        <v/>
      </c>
      <c r="CJ2776">
        <f>IFERROR(IF('월 가계부'!C2776="","",IF(ISNUMBER('월 가계부'!C2776),'월 가계부'!C2776,VALUE(SUBSTITUTE(SUBSTITUTE(SUBSTITUTE(SUBSTITUTE(TRIM('월 가계부'!C2776),",",""),"원","")," ",""),"−","-")))),"")</f>
        <v/>
      </c>
      <c r="CK2776">
        <f>IF(ISNUMBER(CI2776),IF(CI2776&lt;$B$13,CI2776,""),"")</f>
        <v/>
      </c>
      <c r="CM2776">
        <f>IF(CH2776="","",IFERROR(IF(IF(AND(LEN(CH2776)=9,ISERROR(FIND("-",LEFT(CH2776,8))),ISNUMBER(-LEFT(CH2776,8))),VALUE(LEFT(CH2776,4)),VALUE(LEFT(CH2776,FIND("-",CH2776)-1)))&lt;100,IF(AND(LEN(CH2776)=9,ISERROR(FIND("-",LEFT(CH2776,8))),ISNUMBER(-LEFT(CH2776,8))),VALUE(LEFT(CH2776,4)),VALUE(LEFT(CH2776,FIND("-",CH2776)-1)))+2000,IF(AND(LEN(CH2776)=9,ISERROR(FIND("-",LEFT(CH2776,8))),ISNUMBER(-LEFT(CH2776,8))),VALUE(LEFT(CH2776,4)),VALUE(LEFT(CH2776,FIND("-",CH2776)-1)))),""))</f>
        <v/>
      </c>
      <c r="CN2776">
        <f>IF(CH2776="","",IFERROR(IF(AND(LEN(CH2776)=9,ISERROR(FIND("-",LEFT(CH2776,8))),ISNUMBER(-LEFT(CH2776,8))),VALUE(MID(CH2776,5,2)),VALUE(MID(CH2776,FIND("-",CH2776)+1,FIND("-",CH2776,FIND("-",CH2776)+1)-FIND("-",CH2776)-1))),""))</f>
        <v/>
      </c>
      <c r="CO2776">
        <f>IF(CH2776="","",IFERROR(IF(AND(LEN(CH2776)=9,ISERROR(FIND("-",LEFT(CH2776,8))),ISNUMBER(-LEFT(CH2776,8))),VALUE(MID(CH2776,7,2)),VALUE(MID(CH2776,FIND("-",CH2776,FIND("-",CH2776)+1)+1,FIND("-",CH2776,FIND("-",CH2776,FIND("-",CH2776)+1)+1)-FIND("-",CH2776,FIND("-",CH2776)+1)-1))),""))</f>
        <v/>
      </c>
    </row>
    <row r="2777">
      <c r="CH2777">
        <f>IF(ISTEXT('월 가계부'!A2777),SUBSTITUTE(SUBSTITUTE(SUBSTITUTE(SUBSTITUTE(SUBSTITUTE(SUBSTITUTE(SUBSTITUTE(SUBSTITUTE(SUBSTITUTE(TRIM('월 가계부'!A2777),"년","-"),"월","-"),"일",""),".","-"),"/","-")," ","-"),"--","-"),"--","-"),"--","-")&amp;"-","")</f>
        <v/>
      </c>
      <c r="CI2777">
        <f>IFERROR(IF('월 가계부'!A2777="","",IF(ISNUMBER('월 가계부'!A2777),IF(AND('월 가계부'!A2777&gt;=19000101,'월 가계부'!A2777&lt;=21001231),IF(AND(MOD(INT('월 가계부'!A2777/100),100)&gt;=1,MOD(INT('월 가계부'!A2777/100),100)&lt;=12,MOD(INT('월 가계부'!A2777),100)&gt;=1,MOD(INT('월 가계부'!A2777),100)&lt;=31),IF(MONTH(DATE(INT('월 가계부'!A2777/10000),MOD(INT('월 가계부'!A2777/100),100),MOD(INT('월 가계부'!A2777),100)))=MOD(INT('월 가계부'!A2777/100),100),DATE(INT('월 가계부'!A2777/10000),MOD(INT('월 가계부'!A2777/100),100),MOD(INT('월 가계부'!A2777),100)),""),""),IF(AND('월 가계부'!A2777&gt;=36526,'월 가계부'!A2777&lt;73051),INT('월 가계부'!A2777),"")),IF(OR(CM2777="",CN2777="",CO2777=""),"",IF(AND(CM2777&gt;=2000,CM2777&lt;=2099,CN2777&gt;=1,CN2777&lt;=12,CO2777&gt;=1,CO2777&lt;=31),IF(MONTH(DATE(CM2777,CN2777,CO2777))=CN2777,DATE(CM2777,CN2777,CO2777),""),"")))),"")</f>
        <v/>
      </c>
      <c r="CJ2777">
        <f>IFERROR(IF('월 가계부'!C2777="","",IF(ISNUMBER('월 가계부'!C2777),'월 가계부'!C2777,VALUE(SUBSTITUTE(SUBSTITUTE(SUBSTITUTE(SUBSTITUTE(TRIM('월 가계부'!C2777),",",""),"원","")," ",""),"−","-")))),"")</f>
        <v/>
      </c>
      <c r="CK2777">
        <f>IF(ISNUMBER(CI2777),IF(CI2777&lt;$B$13,CI2777,""),"")</f>
        <v/>
      </c>
      <c r="CM2777">
        <f>IF(CH2777="","",IFERROR(IF(IF(AND(LEN(CH2777)=9,ISERROR(FIND("-",LEFT(CH2777,8))),ISNUMBER(-LEFT(CH2777,8))),VALUE(LEFT(CH2777,4)),VALUE(LEFT(CH2777,FIND("-",CH2777)-1)))&lt;100,IF(AND(LEN(CH2777)=9,ISERROR(FIND("-",LEFT(CH2777,8))),ISNUMBER(-LEFT(CH2777,8))),VALUE(LEFT(CH2777,4)),VALUE(LEFT(CH2777,FIND("-",CH2777)-1)))+2000,IF(AND(LEN(CH2777)=9,ISERROR(FIND("-",LEFT(CH2777,8))),ISNUMBER(-LEFT(CH2777,8))),VALUE(LEFT(CH2777,4)),VALUE(LEFT(CH2777,FIND("-",CH2777)-1)))),""))</f>
        <v/>
      </c>
      <c r="CN2777">
        <f>IF(CH2777="","",IFERROR(IF(AND(LEN(CH2777)=9,ISERROR(FIND("-",LEFT(CH2777,8))),ISNUMBER(-LEFT(CH2777,8))),VALUE(MID(CH2777,5,2)),VALUE(MID(CH2777,FIND("-",CH2777)+1,FIND("-",CH2777,FIND("-",CH2777)+1)-FIND("-",CH2777)-1))),""))</f>
        <v/>
      </c>
      <c r="CO2777">
        <f>IF(CH2777="","",IFERROR(IF(AND(LEN(CH2777)=9,ISERROR(FIND("-",LEFT(CH2777,8))),ISNUMBER(-LEFT(CH2777,8))),VALUE(MID(CH2777,7,2)),VALUE(MID(CH2777,FIND("-",CH2777,FIND("-",CH2777)+1)+1,FIND("-",CH2777,FIND("-",CH2777,FIND("-",CH2777)+1)+1)-FIND("-",CH2777,FIND("-",CH2777)+1)-1))),""))</f>
        <v/>
      </c>
    </row>
    <row r="2778">
      <c r="CH2778">
        <f>IF(ISTEXT('월 가계부'!A2778),SUBSTITUTE(SUBSTITUTE(SUBSTITUTE(SUBSTITUTE(SUBSTITUTE(SUBSTITUTE(SUBSTITUTE(SUBSTITUTE(SUBSTITUTE(TRIM('월 가계부'!A2778),"년","-"),"월","-"),"일",""),".","-"),"/","-")," ","-"),"--","-"),"--","-"),"--","-")&amp;"-","")</f>
        <v/>
      </c>
      <c r="CI2778">
        <f>IFERROR(IF('월 가계부'!A2778="","",IF(ISNUMBER('월 가계부'!A2778),IF(AND('월 가계부'!A2778&gt;=19000101,'월 가계부'!A2778&lt;=21001231),IF(AND(MOD(INT('월 가계부'!A2778/100),100)&gt;=1,MOD(INT('월 가계부'!A2778/100),100)&lt;=12,MOD(INT('월 가계부'!A2778),100)&gt;=1,MOD(INT('월 가계부'!A2778),100)&lt;=31),IF(MONTH(DATE(INT('월 가계부'!A2778/10000),MOD(INT('월 가계부'!A2778/100),100),MOD(INT('월 가계부'!A2778),100)))=MOD(INT('월 가계부'!A2778/100),100),DATE(INT('월 가계부'!A2778/10000),MOD(INT('월 가계부'!A2778/100),100),MOD(INT('월 가계부'!A2778),100)),""),""),IF(AND('월 가계부'!A2778&gt;=36526,'월 가계부'!A2778&lt;73051),INT('월 가계부'!A2778),"")),IF(OR(CM2778="",CN2778="",CO2778=""),"",IF(AND(CM2778&gt;=2000,CM2778&lt;=2099,CN2778&gt;=1,CN2778&lt;=12,CO2778&gt;=1,CO2778&lt;=31),IF(MONTH(DATE(CM2778,CN2778,CO2778))=CN2778,DATE(CM2778,CN2778,CO2778),""),"")))),"")</f>
        <v/>
      </c>
      <c r="CJ2778">
        <f>IFERROR(IF('월 가계부'!C2778="","",IF(ISNUMBER('월 가계부'!C2778),'월 가계부'!C2778,VALUE(SUBSTITUTE(SUBSTITUTE(SUBSTITUTE(SUBSTITUTE(TRIM('월 가계부'!C2778),",",""),"원","")," ",""),"−","-")))),"")</f>
        <v/>
      </c>
      <c r="CK2778">
        <f>IF(ISNUMBER(CI2778),IF(CI2778&lt;$B$13,CI2778,""),"")</f>
        <v/>
      </c>
      <c r="CM2778">
        <f>IF(CH2778="","",IFERROR(IF(IF(AND(LEN(CH2778)=9,ISERROR(FIND("-",LEFT(CH2778,8))),ISNUMBER(-LEFT(CH2778,8))),VALUE(LEFT(CH2778,4)),VALUE(LEFT(CH2778,FIND("-",CH2778)-1)))&lt;100,IF(AND(LEN(CH2778)=9,ISERROR(FIND("-",LEFT(CH2778,8))),ISNUMBER(-LEFT(CH2778,8))),VALUE(LEFT(CH2778,4)),VALUE(LEFT(CH2778,FIND("-",CH2778)-1)))+2000,IF(AND(LEN(CH2778)=9,ISERROR(FIND("-",LEFT(CH2778,8))),ISNUMBER(-LEFT(CH2778,8))),VALUE(LEFT(CH2778,4)),VALUE(LEFT(CH2778,FIND("-",CH2778)-1)))),""))</f>
        <v/>
      </c>
      <c r="CN2778">
        <f>IF(CH2778="","",IFERROR(IF(AND(LEN(CH2778)=9,ISERROR(FIND("-",LEFT(CH2778,8))),ISNUMBER(-LEFT(CH2778,8))),VALUE(MID(CH2778,5,2)),VALUE(MID(CH2778,FIND("-",CH2778)+1,FIND("-",CH2778,FIND("-",CH2778)+1)-FIND("-",CH2778)-1))),""))</f>
        <v/>
      </c>
      <c r="CO2778">
        <f>IF(CH2778="","",IFERROR(IF(AND(LEN(CH2778)=9,ISERROR(FIND("-",LEFT(CH2778,8))),ISNUMBER(-LEFT(CH2778,8))),VALUE(MID(CH2778,7,2)),VALUE(MID(CH2778,FIND("-",CH2778,FIND("-",CH2778)+1)+1,FIND("-",CH2778,FIND("-",CH2778,FIND("-",CH2778)+1)+1)-FIND("-",CH2778,FIND("-",CH2778)+1)-1))),""))</f>
        <v/>
      </c>
    </row>
    <row r="2779">
      <c r="CH2779">
        <f>IF(ISTEXT('월 가계부'!A2779),SUBSTITUTE(SUBSTITUTE(SUBSTITUTE(SUBSTITUTE(SUBSTITUTE(SUBSTITUTE(SUBSTITUTE(SUBSTITUTE(SUBSTITUTE(TRIM('월 가계부'!A2779),"년","-"),"월","-"),"일",""),".","-"),"/","-")," ","-"),"--","-"),"--","-"),"--","-")&amp;"-","")</f>
        <v/>
      </c>
      <c r="CI2779">
        <f>IFERROR(IF('월 가계부'!A2779="","",IF(ISNUMBER('월 가계부'!A2779),IF(AND('월 가계부'!A2779&gt;=19000101,'월 가계부'!A2779&lt;=21001231),IF(AND(MOD(INT('월 가계부'!A2779/100),100)&gt;=1,MOD(INT('월 가계부'!A2779/100),100)&lt;=12,MOD(INT('월 가계부'!A2779),100)&gt;=1,MOD(INT('월 가계부'!A2779),100)&lt;=31),IF(MONTH(DATE(INT('월 가계부'!A2779/10000),MOD(INT('월 가계부'!A2779/100),100),MOD(INT('월 가계부'!A2779),100)))=MOD(INT('월 가계부'!A2779/100),100),DATE(INT('월 가계부'!A2779/10000),MOD(INT('월 가계부'!A2779/100),100),MOD(INT('월 가계부'!A2779),100)),""),""),IF(AND('월 가계부'!A2779&gt;=36526,'월 가계부'!A2779&lt;73051),INT('월 가계부'!A2779),"")),IF(OR(CM2779="",CN2779="",CO2779=""),"",IF(AND(CM2779&gt;=2000,CM2779&lt;=2099,CN2779&gt;=1,CN2779&lt;=12,CO2779&gt;=1,CO2779&lt;=31),IF(MONTH(DATE(CM2779,CN2779,CO2779))=CN2779,DATE(CM2779,CN2779,CO2779),""),"")))),"")</f>
        <v/>
      </c>
      <c r="CJ2779">
        <f>IFERROR(IF('월 가계부'!C2779="","",IF(ISNUMBER('월 가계부'!C2779),'월 가계부'!C2779,VALUE(SUBSTITUTE(SUBSTITUTE(SUBSTITUTE(SUBSTITUTE(TRIM('월 가계부'!C2779),",",""),"원","")," ",""),"−","-")))),"")</f>
        <v/>
      </c>
      <c r="CK2779">
        <f>IF(ISNUMBER(CI2779),IF(CI2779&lt;$B$13,CI2779,""),"")</f>
        <v/>
      </c>
      <c r="CM2779">
        <f>IF(CH2779="","",IFERROR(IF(IF(AND(LEN(CH2779)=9,ISERROR(FIND("-",LEFT(CH2779,8))),ISNUMBER(-LEFT(CH2779,8))),VALUE(LEFT(CH2779,4)),VALUE(LEFT(CH2779,FIND("-",CH2779)-1)))&lt;100,IF(AND(LEN(CH2779)=9,ISERROR(FIND("-",LEFT(CH2779,8))),ISNUMBER(-LEFT(CH2779,8))),VALUE(LEFT(CH2779,4)),VALUE(LEFT(CH2779,FIND("-",CH2779)-1)))+2000,IF(AND(LEN(CH2779)=9,ISERROR(FIND("-",LEFT(CH2779,8))),ISNUMBER(-LEFT(CH2779,8))),VALUE(LEFT(CH2779,4)),VALUE(LEFT(CH2779,FIND("-",CH2779)-1)))),""))</f>
        <v/>
      </c>
      <c r="CN2779">
        <f>IF(CH2779="","",IFERROR(IF(AND(LEN(CH2779)=9,ISERROR(FIND("-",LEFT(CH2779,8))),ISNUMBER(-LEFT(CH2779,8))),VALUE(MID(CH2779,5,2)),VALUE(MID(CH2779,FIND("-",CH2779)+1,FIND("-",CH2779,FIND("-",CH2779)+1)-FIND("-",CH2779)-1))),""))</f>
        <v/>
      </c>
      <c r="CO2779">
        <f>IF(CH2779="","",IFERROR(IF(AND(LEN(CH2779)=9,ISERROR(FIND("-",LEFT(CH2779,8))),ISNUMBER(-LEFT(CH2779,8))),VALUE(MID(CH2779,7,2)),VALUE(MID(CH2779,FIND("-",CH2779,FIND("-",CH2779)+1)+1,FIND("-",CH2779,FIND("-",CH2779,FIND("-",CH2779)+1)+1)-FIND("-",CH2779,FIND("-",CH2779)+1)-1))),""))</f>
        <v/>
      </c>
    </row>
    <row r="2780">
      <c r="CH2780">
        <f>IF(ISTEXT('월 가계부'!A2780),SUBSTITUTE(SUBSTITUTE(SUBSTITUTE(SUBSTITUTE(SUBSTITUTE(SUBSTITUTE(SUBSTITUTE(SUBSTITUTE(SUBSTITUTE(TRIM('월 가계부'!A2780),"년","-"),"월","-"),"일",""),".","-"),"/","-")," ","-"),"--","-"),"--","-"),"--","-")&amp;"-","")</f>
        <v/>
      </c>
      <c r="CI2780">
        <f>IFERROR(IF('월 가계부'!A2780="","",IF(ISNUMBER('월 가계부'!A2780),IF(AND('월 가계부'!A2780&gt;=19000101,'월 가계부'!A2780&lt;=21001231),IF(AND(MOD(INT('월 가계부'!A2780/100),100)&gt;=1,MOD(INT('월 가계부'!A2780/100),100)&lt;=12,MOD(INT('월 가계부'!A2780),100)&gt;=1,MOD(INT('월 가계부'!A2780),100)&lt;=31),IF(MONTH(DATE(INT('월 가계부'!A2780/10000),MOD(INT('월 가계부'!A2780/100),100),MOD(INT('월 가계부'!A2780),100)))=MOD(INT('월 가계부'!A2780/100),100),DATE(INT('월 가계부'!A2780/10000),MOD(INT('월 가계부'!A2780/100),100),MOD(INT('월 가계부'!A2780),100)),""),""),IF(AND('월 가계부'!A2780&gt;=36526,'월 가계부'!A2780&lt;73051),INT('월 가계부'!A2780),"")),IF(OR(CM2780="",CN2780="",CO2780=""),"",IF(AND(CM2780&gt;=2000,CM2780&lt;=2099,CN2780&gt;=1,CN2780&lt;=12,CO2780&gt;=1,CO2780&lt;=31),IF(MONTH(DATE(CM2780,CN2780,CO2780))=CN2780,DATE(CM2780,CN2780,CO2780),""),"")))),"")</f>
        <v/>
      </c>
      <c r="CJ2780">
        <f>IFERROR(IF('월 가계부'!C2780="","",IF(ISNUMBER('월 가계부'!C2780),'월 가계부'!C2780,VALUE(SUBSTITUTE(SUBSTITUTE(SUBSTITUTE(SUBSTITUTE(TRIM('월 가계부'!C2780),",",""),"원","")," ",""),"−","-")))),"")</f>
        <v/>
      </c>
      <c r="CK2780">
        <f>IF(ISNUMBER(CI2780),IF(CI2780&lt;$B$13,CI2780,""),"")</f>
        <v/>
      </c>
      <c r="CM2780">
        <f>IF(CH2780="","",IFERROR(IF(IF(AND(LEN(CH2780)=9,ISERROR(FIND("-",LEFT(CH2780,8))),ISNUMBER(-LEFT(CH2780,8))),VALUE(LEFT(CH2780,4)),VALUE(LEFT(CH2780,FIND("-",CH2780)-1)))&lt;100,IF(AND(LEN(CH2780)=9,ISERROR(FIND("-",LEFT(CH2780,8))),ISNUMBER(-LEFT(CH2780,8))),VALUE(LEFT(CH2780,4)),VALUE(LEFT(CH2780,FIND("-",CH2780)-1)))+2000,IF(AND(LEN(CH2780)=9,ISERROR(FIND("-",LEFT(CH2780,8))),ISNUMBER(-LEFT(CH2780,8))),VALUE(LEFT(CH2780,4)),VALUE(LEFT(CH2780,FIND("-",CH2780)-1)))),""))</f>
        <v/>
      </c>
      <c r="CN2780">
        <f>IF(CH2780="","",IFERROR(IF(AND(LEN(CH2780)=9,ISERROR(FIND("-",LEFT(CH2780,8))),ISNUMBER(-LEFT(CH2780,8))),VALUE(MID(CH2780,5,2)),VALUE(MID(CH2780,FIND("-",CH2780)+1,FIND("-",CH2780,FIND("-",CH2780)+1)-FIND("-",CH2780)-1))),""))</f>
        <v/>
      </c>
      <c r="CO2780">
        <f>IF(CH2780="","",IFERROR(IF(AND(LEN(CH2780)=9,ISERROR(FIND("-",LEFT(CH2780,8))),ISNUMBER(-LEFT(CH2780,8))),VALUE(MID(CH2780,7,2)),VALUE(MID(CH2780,FIND("-",CH2780,FIND("-",CH2780)+1)+1,FIND("-",CH2780,FIND("-",CH2780,FIND("-",CH2780)+1)+1)-FIND("-",CH2780,FIND("-",CH2780)+1)-1))),""))</f>
        <v/>
      </c>
    </row>
    <row r="2781">
      <c r="CH2781">
        <f>IF(ISTEXT('월 가계부'!A2781),SUBSTITUTE(SUBSTITUTE(SUBSTITUTE(SUBSTITUTE(SUBSTITUTE(SUBSTITUTE(SUBSTITUTE(SUBSTITUTE(SUBSTITUTE(TRIM('월 가계부'!A2781),"년","-"),"월","-"),"일",""),".","-"),"/","-")," ","-"),"--","-"),"--","-"),"--","-")&amp;"-","")</f>
        <v/>
      </c>
      <c r="CI2781">
        <f>IFERROR(IF('월 가계부'!A2781="","",IF(ISNUMBER('월 가계부'!A2781),IF(AND('월 가계부'!A2781&gt;=19000101,'월 가계부'!A2781&lt;=21001231),IF(AND(MOD(INT('월 가계부'!A2781/100),100)&gt;=1,MOD(INT('월 가계부'!A2781/100),100)&lt;=12,MOD(INT('월 가계부'!A2781),100)&gt;=1,MOD(INT('월 가계부'!A2781),100)&lt;=31),IF(MONTH(DATE(INT('월 가계부'!A2781/10000),MOD(INT('월 가계부'!A2781/100),100),MOD(INT('월 가계부'!A2781),100)))=MOD(INT('월 가계부'!A2781/100),100),DATE(INT('월 가계부'!A2781/10000),MOD(INT('월 가계부'!A2781/100),100),MOD(INT('월 가계부'!A2781),100)),""),""),IF(AND('월 가계부'!A2781&gt;=36526,'월 가계부'!A2781&lt;73051),INT('월 가계부'!A2781),"")),IF(OR(CM2781="",CN2781="",CO2781=""),"",IF(AND(CM2781&gt;=2000,CM2781&lt;=2099,CN2781&gt;=1,CN2781&lt;=12,CO2781&gt;=1,CO2781&lt;=31),IF(MONTH(DATE(CM2781,CN2781,CO2781))=CN2781,DATE(CM2781,CN2781,CO2781),""),"")))),"")</f>
        <v/>
      </c>
      <c r="CJ2781">
        <f>IFERROR(IF('월 가계부'!C2781="","",IF(ISNUMBER('월 가계부'!C2781),'월 가계부'!C2781,VALUE(SUBSTITUTE(SUBSTITUTE(SUBSTITUTE(SUBSTITUTE(TRIM('월 가계부'!C2781),",",""),"원","")," ",""),"−","-")))),"")</f>
        <v/>
      </c>
      <c r="CK2781">
        <f>IF(ISNUMBER(CI2781),IF(CI2781&lt;$B$13,CI2781,""),"")</f>
        <v/>
      </c>
      <c r="CM2781">
        <f>IF(CH2781="","",IFERROR(IF(IF(AND(LEN(CH2781)=9,ISERROR(FIND("-",LEFT(CH2781,8))),ISNUMBER(-LEFT(CH2781,8))),VALUE(LEFT(CH2781,4)),VALUE(LEFT(CH2781,FIND("-",CH2781)-1)))&lt;100,IF(AND(LEN(CH2781)=9,ISERROR(FIND("-",LEFT(CH2781,8))),ISNUMBER(-LEFT(CH2781,8))),VALUE(LEFT(CH2781,4)),VALUE(LEFT(CH2781,FIND("-",CH2781)-1)))+2000,IF(AND(LEN(CH2781)=9,ISERROR(FIND("-",LEFT(CH2781,8))),ISNUMBER(-LEFT(CH2781,8))),VALUE(LEFT(CH2781,4)),VALUE(LEFT(CH2781,FIND("-",CH2781)-1)))),""))</f>
        <v/>
      </c>
      <c r="CN2781">
        <f>IF(CH2781="","",IFERROR(IF(AND(LEN(CH2781)=9,ISERROR(FIND("-",LEFT(CH2781,8))),ISNUMBER(-LEFT(CH2781,8))),VALUE(MID(CH2781,5,2)),VALUE(MID(CH2781,FIND("-",CH2781)+1,FIND("-",CH2781,FIND("-",CH2781)+1)-FIND("-",CH2781)-1))),""))</f>
        <v/>
      </c>
      <c r="CO2781">
        <f>IF(CH2781="","",IFERROR(IF(AND(LEN(CH2781)=9,ISERROR(FIND("-",LEFT(CH2781,8))),ISNUMBER(-LEFT(CH2781,8))),VALUE(MID(CH2781,7,2)),VALUE(MID(CH2781,FIND("-",CH2781,FIND("-",CH2781)+1)+1,FIND("-",CH2781,FIND("-",CH2781,FIND("-",CH2781)+1)+1)-FIND("-",CH2781,FIND("-",CH2781)+1)-1))),""))</f>
        <v/>
      </c>
    </row>
    <row r="2782">
      <c r="CH2782">
        <f>IF(ISTEXT('월 가계부'!A2782),SUBSTITUTE(SUBSTITUTE(SUBSTITUTE(SUBSTITUTE(SUBSTITUTE(SUBSTITUTE(SUBSTITUTE(SUBSTITUTE(SUBSTITUTE(TRIM('월 가계부'!A2782),"년","-"),"월","-"),"일",""),".","-"),"/","-")," ","-"),"--","-"),"--","-"),"--","-")&amp;"-","")</f>
        <v/>
      </c>
      <c r="CI2782">
        <f>IFERROR(IF('월 가계부'!A2782="","",IF(ISNUMBER('월 가계부'!A2782),IF(AND('월 가계부'!A2782&gt;=19000101,'월 가계부'!A2782&lt;=21001231),IF(AND(MOD(INT('월 가계부'!A2782/100),100)&gt;=1,MOD(INT('월 가계부'!A2782/100),100)&lt;=12,MOD(INT('월 가계부'!A2782),100)&gt;=1,MOD(INT('월 가계부'!A2782),100)&lt;=31),IF(MONTH(DATE(INT('월 가계부'!A2782/10000),MOD(INT('월 가계부'!A2782/100),100),MOD(INT('월 가계부'!A2782),100)))=MOD(INT('월 가계부'!A2782/100),100),DATE(INT('월 가계부'!A2782/10000),MOD(INT('월 가계부'!A2782/100),100),MOD(INT('월 가계부'!A2782),100)),""),""),IF(AND('월 가계부'!A2782&gt;=36526,'월 가계부'!A2782&lt;73051),INT('월 가계부'!A2782),"")),IF(OR(CM2782="",CN2782="",CO2782=""),"",IF(AND(CM2782&gt;=2000,CM2782&lt;=2099,CN2782&gt;=1,CN2782&lt;=12,CO2782&gt;=1,CO2782&lt;=31),IF(MONTH(DATE(CM2782,CN2782,CO2782))=CN2782,DATE(CM2782,CN2782,CO2782),""),"")))),"")</f>
        <v/>
      </c>
      <c r="CJ2782">
        <f>IFERROR(IF('월 가계부'!C2782="","",IF(ISNUMBER('월 가계부'!C2782),'월 가계부'!C2782,VALUE(SUBSTITUTE(SUBSTITUTE(SUBSTITUTE(SUBSTITUTE(TRIM('월 가계부'!C2782),",",""),"원","")," ",""),"−","-")))),"")</f>
        <v/>
      </c>
      <c r="CK2782">
        <f>IF(ISNUMBER(CI2782),IF(CI2782&lt;$B$13,CI2782,""),"")</f>
        <v/>
      </c>
      <c r="CM2782">
        <f>IF(CH2782="","",IFERROR(IF(IF(AND(LEN(CH2782)=9,ISERROR(FIND("-",LEFT(CH2782,8))),ISNUMBER(-LEFT(CH2782,8))),VALUE(LEFT(CH2782,4)),VALUE(LEFT(CH2782,FIND("-",CH2782)-1)))&lt;100,IF(AND(LEN(CH2782)=9,ISERROR(FIND("-",LEFT(CH2782,8))),ISNUMBER(-LEFT(CH2782,8))),VALUE(LEFT(CH2782,4)),VALUE(LEFT(CH2782,FIND("-",CH2782)-1)))+2000,IF(AND(LEN(CH2782)=9,ISERROR(FIND("-",LEFT(CH2782,8))),ISNUMBER(-LEFT(CH2782,8))),VALUE(LEFT(CH2782,4)),VALUE(LEFT(CH2782,FIND("-",CH2782)-1)))),""))</f>
        <v/>
      </c>
      <c r="CN2782">
        <f>IF(CH2782="","",IFERROR(IF(AND(LEN(CH2782)=9,ISERROR(FIND("-",LEFT(CH2782,8))),ISNUMBER(-LEFT(CH2782,8))),VALUE(MID(CH2782,5,2)),VALUE(MID(CH2782,FIND("-",CH2782)+1,FIND("-",CH2782,FIND("-",CH2782)+1)-FIND("-",CH2782)-1))),""))</f>
        <v/>
      </c>
      <c r="CO2782">
        <f>IF(CH2782="","",IFERROR(IF(AND(LEN(CH2782)=9,ISERROR(FIND("-",LEFT(CH2782,8))),ISNUMBER(-LEFT(CH2782,8))),VALUE(MID(CH2782,7,2)),VALUE(MID(CH2782,FIND("-",CH2782,FIND("-",CH2782)+1)+1,FIND("-",CH2782,FIND("-",CH2782,FIND("-",CH2782)+1)+1)-FIND("-",CH2782,FIND("-",CH2782)+1)-1))),""))</f>
        <v/>
      </c>
    </row>
    <row r="2783">
      <c r="CH2783">
        <f>IF(ISTEXT('월 가계부'!A2783),SUBSTITUTE(SUBSTITUTE(SUBSTITUTE(SUBSTITUTE(SUBSTITUTE(SUBSTITUTE(SUBSTITUTE(SUBSTITUTE(SUBSTITUTE(TRIM('월 가계부'!A2783),"년","-"),"월","-"),"일",""),".","-"),"/","-")," ","-"),"--","-"),"--","-"),"--","-")&amp;"-","")</f>
        <v/>
      </c>
      <c r="CI2783">
        <f>IFERROR(IF('월 가계부'!A2783="","",IF(ISNUMBER('월 가계부'!A2783),IF(AND('월 가계부'!A2783&gt;=19000101,'월 가계부'!A2783&lt;=21001231),IF(AND(MOD(INT('월 가계부'!A2783/100),100)&gt;=1,MOD(INT('월 가계부'!A2783/100),100)&lt;=12,MOD(INT('월 가계부'!A2783),100)&gt;=1,MOD(INT('월 가계부'!A2783),100)&lt;=31),IF(MONTH(DATE(INT('월 가계부'!A2783/10000),MOD(INT('월 가계부'!A2783/100),100),MOD(INT('월 가계부'!A2783),100)))=MOD(INT('월 가계부'!A2783/100),100),DATE(INT('월 가계부'!A2783/10000),MOD(INT('월 가계부'!A2783/100),100),MOD(INT('월 가계부'!A2783),100)),""),""),IF(AND('월 가계부'!A2783&gt;=36526,'월 가계부'!A2783&lt;73051),INT('월 가계부'!A2783),"")),IF(OR(CM2783="",CN2783="",CO2783=""),"",IF(AND(CM2783&gt;=2000,CM2783&lt;=2099,CN2783&gt;=1,CN2783&lt;=12,CO2783&gt;=1,CO2783&lt;=31),IF(MONTH(DATE(CM2783,CN2783,CO2783))=CN2783,DATE(CM2783,CN2783,CO2783),""),"")))),"")</f>
        <v/>
      </c>
      <c r="CJ2783">
        <f>IFERROR(IF('월 가계부'!C2783="","",IF(ISNUMBER('월 가계부'!C2783),'월 가계부'!C2783,VALUE(SUBSTITUTE(SUBSTITUTE(SUBSTITUTE(SUBSTITUTE(TRIM('월 가계부'!C2783),",",""),"원","")," ",""),"−","-")))),"")</f>
        <v/>
      </c>
      <c r="CK2783">
        <f>IF(ISNUMBER(CI2783),IF(CI2783&lt;$B$13,CI2783,""),"")</f>
        <v/>
      </c>
      <c r="CM2783">
        <f>IF(CH2783="","",IFERROR(IF(IF(AND(LEN(CH2783)=9,ISERROR(FIND("-",LEFT(CH2783,8))),ISNUMBER(-LEFT(CH2783,8))),VALUE(LEFT(CH2783,4)),VALUE(LEFT(CH2783,FIND("-",CH2783)-1)))&lt;100,IF(AND(LEN(CH2783)=9,ISERROR(FIND("-",LEFT(CH2783,8))),ISNUMBER(-LEFT(CH2783,8))),VALUE(LEFT(CH2783,4)),VALUE(LEFT(CH2783,FIND("-",CH2783)-1)))+2000,IF(AND(LEN(CH2783)=9,ISERROR(FIND("-",LEFT(CH2783,8))),ISNUMBER(-LEFT(CH2783,8))),VALUE(LEFT(CH2783,4)),VALUE(LEFT(CH2783,FIND("-",CH2783)-1)))),""))</f>
        <v/>
      </c>
      <c r="CN2783">
        <f>IF(CH2783="","",IFERROR(IF(AND(LEN(CH2783)=9,ISERROR(FIND("-",LEFT(CH2783,8))),ISNUMBER(-LEFT(CH2783,8))),VALUE(MID(CH2783,5,2)),VALUE(MID(CH2783,FIND("-",CH2783)+1,FIND("-",CH2783,FIND("-",CH2783)+1)-FIND("-",CH2783)-1))),""))</f>
        <v/>
      </c>
      <c r="CO2783">
        <f>IF(CH2783="","",IFERROR(IF(AND(LEN(CH2783)=9,ISERROR(FIND("-",LEFT(CH2783,8))),ISNUMBER(-LEFT(CH2783,8))),VALUE(MID(CH2783,7,2)),VALUE(MID(CH2783,FIND("-",CH2783,FIND("-",CH2783)+1)+1,FIND("-",CH2783,FIND("-",CH2783,FIND("-",CH2783)+1)+1)-FIND("-",CH2783,FIND("-",CH2783)+1)-1))),""))</f>
        <v/>
      </c>
    </row>
    <row r="2784">
      <c r="CH2784">
        <f>IF(ISTEXT('월 가계부'!A2784),SUBSTITUTE(SUBSTITUTE(SUBSTITUTE(SUBSTITUTE(SUBSTITUTE(SUBSTITUTE(SUBSTITUTE(SUBSTITUTE(SUBSTITUTE(TRIM('월 가계부'!A2784),"년","-"),"월","-"),"일",""),".","-"),"/","-")," ","-"),"--","-"),"--","-"),"--","-")&amp;"-","")</f>
        <v/>
      </c>
      <c r="CI2784">
        <f>IFERROR(IF('월 가계부'!A2784="","",IF(ISNUMBER('월 가계부'!A2784),IF(AND('월 가계부'!A2784&gt;=19000101,'월 가계부'!A2784&lt;=21001231),IF(AND(MOD(INT('월 가계부'!A2784/100),100)&gt;=1,MOD(INT('월 가계부'!A2784/100),100)&lt;=12,MOD(INT('월 가계부'!A2784),100)&gt;=1,MOD(INT('월 가계부'!A2784),100)&lt;=31),IF(MONTH(DATE(INT('월 가계부'!A2784/10000),MOD(INT('월 가계부'!A2784/100),100),MOD(INT('월 가계부'!A2784),100)))=MOD(INT('월 가계부'!A2784/100),100),DATE(INT('월 가계부'!A2784/10000),MOD(INT('월 가계부'!A2784/100),100),MOD(INT('월 가계부'!A2784),100)),""),""),IF(AND('월 가계부'!A2784&gt;=36526,'월 가계부'!A2784&lt;73051),INT('월 가계부'!A2784),"")),IF(OR(CM2784="",CN2784="",CO2784=""),"",IF(AND(CM2784&gt;=2000,CM2784&lt;=2099,CN2784&gt;=1,CN2784&lt;=12,CO2784&gt;=1,CO2784&lt;=31),IF(MONTH(DATE(CM2784,CN2784,CO2784))=CN2784,DATE(CM2784,CN2784,CO2784),""),"")))),"")</f>
        <v/>
      </c>
      <c r="CJ2784">
        <f>IFERROR(IF('월 가계부'!C2784="","",IF(ISNUMBER('월 가계부'!C2784),'월 가계부'!C2784,VALUE(SUBSTITUTE(SUBSTITUTE(SUBSTITUTE(SUBSTITUTE(TRIM('월 가계부'!C2784),",",""),"원","")," ",""),"−","-")))),"")</f>
        <v/>
      </c>
      <c r="CK2784">
        <f>IF(ISNUMBER(CI2784),IF(CI2784&lt;$B$13,CI2784,""),"")</f>
        <v/>
      </c>
      <c r="CM2784">
        <f>IF(CH2784="","",IFERROR(IF(IF(AND(LEN(CH2784)=9,ISERROR(FIND("-",LEFT(CH2784,8))),ISNUMBER(-LEFT(CH2784,8))),VALUE(LEFT(CH2784,4)),VALUE(LEFT(CH2784,FIND("-",CH2784)-1)))&lt;100,IF(AND(LEN(CH2784)=9,ISERROR(FIND("-",LEFT(CH2784,8))),ISNUMBER(-LEFT(CH2784,8))),VALUE(LEFT(CH2784,4)),VALUE(LEFT(CH2784,FIND("-",CH2784)-1)))+2000,IF(AND(LEN(CH2784)=9,ISERROR(FIND("-",LEFT(CH2784,8))),ISNUMBER(-LEFT(CH2784,8))),VALUE(LEFT(CH2784,4)),VALUE(LEFT(CH2784,FIND("-",CH2784)-1)))),""))</f>
        <v/>
      </c>
      <c r="CN2784">
        <f>IF(CH2784="","",IFERROR(IF(AND(LEN(CH2784)=9,ISERROR(FIND("-",LEFT(CH2784,8))),ISNUMBER(-LEFT(CH2784,8))),VALUE(MID(CH2784,5,2)),VALUE(MID(CH2784,FIND("-",CH2784)+1,FIND("-",CH2784,FIND("-",CH2784)+1)-FIND("-",CH2784)-1))),""))</f>
        <v/>
      </c>
      <c r="CO2784">
        <f>IF(CH2784="","",IFERROR(IF(AND(LEN(CH2784)=9,ISERROR(FIND("-",LEFT(CH2784,8))),ISNUMBER(-LEFT(CH2784,8))),VALUE(MID(CH2784,7,2)),VALUE(MID(CH2784,FIND("-",CH2784,FIND("-",CH2784)+1)+1,FIND("-",CH2784,FIND("-",CH2784,FIND("-",CH2784)+1)+1)-FIND("-",CH2784,FIND("-",CH2784)+1)-1))),""))</f>
        <v/>
      </c>
    </row>
    <row r="2785">
      <c r="CH2785">
        <f>IF(ISTEXT('월 가계부'!A2785),SUBSTITUTE(SUBSTITUTE(SUBSTITUTE(SUBSTITUTE(SUBSTITUTE(SUBSTITUTE(SUBSTITUTE(SUBSTITUTE(SUBSTITUTE(TRIM('월 가계부'!A2785),"년","-"),"월","-"),"일",""),".","-"),"/","-")," ","-"),"--","-"),"--","-"),"--","-")&amp;"-","")</f>
        <v/>
      </c>
      <c r="CI2785">
        <f>IFERROR(IF('월 가계부'!A2785="","",IF(ISNUMBER('월 가계부'!A2785),IF(AND('월 가계부'!A2785&gt;=19000101,'월 가계부'!A2785&lt;=21001231),IF(AND(MOD(INT('월 가계부'!A2785/100),100)&gt;=1,MOD(INT('월 가계부'!A2785/100),100)&lt;=12,MOD(INT('월 가계부'!A2785),100)&gt;=1,MOD(INT('월 가계부'!A2785),100)&lt;=31),IF(MONTH(DATE(INT('월 가계부'!A2785/10000),MOD(INT('월 가계부'!A2785/100),100),MOD(INT('월 가계부'!A2785),100)))=MOD(INT('월 가계부'!A2785/100),100),DATE(INT('월 가계부'!A2785/10000),MOD(INT('월 가계부'!A2785/100),100),MOD(INT('월 가계부'!A2785),100)),""),""),IF(AND('월 가계부'!A2785&gt;=36526,'월 가계부'!A2785&lt;73051),INT('월 가계부'!A2785),"")),IF(OR(CM2785="",CN2785="",CO2785=""),"",IF(AND(CM2785&gt;=2000,CM2785&lt;=2099,CN2785&gt;=1,CN2785&lt;=12,CO2785&gt;=1,CO2785&lt;=31),IF(MONTH(DATE(CM2785,CN2785,CO2785))=CN2785,DATE(CM2785,CN2785,CO2785),""),"")))),"")</f>
        <v/>
      </c>
      <c r="CJ2785">
        <f>IFERROR(IF('월 가계부'!C2785="","",IF(ISNUMBER('월 가계부'!C2785),'월 가계부'!C2785,VALUE(SUBSTITUTE(SUBSTITUTE(SUBSTITUTE(SUBSTITUTE(TRIM('월 가계부'!C2785),",",""),"원","")," ",""),"−","-")))),"")</f>
        <v/>
      </c>
      <c r="CK2785">
        <f>IF(ISNUMBER(CI2785),IF(CI2785&lt;$B$13,CI2785,""),"")</f>
        <v/>
      </c>
      <c r="CM2785">
        <f>IF(CH2785="","",IFERROR(IF(IF(AND(LEN(CH2785)=9,ISERROR(FIND("-",LEFT(CH2785,8))),ISNUMBER(-LEFT(CH2785,8))),VALUE(LEFT(CH2785,4)),VALUE(LEFT(CH2785,FIND("-",CH2785)-1)))&lt;100,IF(AND(LEN(CH2785)=9,ISERROR(FIND("-",LEFT(CH2785,8))),ISNUMBER(-LEFT(CH2785,8))),VALUE(LEFT(CH2785,4)),VALUE(LEFT(CH2785,FIND("-",CH2785)-1)))+2000,IF(AND(LEN(CH2785)=9,ISERROR(FIND("-",LEFT(CH2785,8))),ISNUMBER(-LEFT(CH2785,8))),VALUE(LEFT(CH2785,4)),VALUE(LEFT(CH2785,FIND("-",CH2785)-1)))),""))</f>
        <v/>
      </c>
      <c r="CN2785">
        <f>IF(CH2785="","",IFERROR(IF(AND(LEN(CH2785)=9,ISERROR(FIND("-",LEFT(CH2785,8))),ISNUMBER(-LEFT(CH2785,8))),VALUE(MID(CH2785,5,2)),VALUE(MID(CH2785,FIND("-",CH2785)+1,FIND("-",CH2785,FIND("-",CH2785)+1)-FIND("-",CH2785)-1))),""))</f>
        <v/>
      </c>
      <c r="CO2785">
        <f>IF(CH2785="","",IFERROR(IF(AND(LEN(CH2785)=9,ISERROR(FIND("-",LEFT(CH2785,8))),ISNUMBER(-LEFT(CH2785,8))),VALUE(MID(CH2785,7,2)),VALUE(MID(CH2785,FIND("-",CH2785,FIND("-",CH2785)+1)+1,FIND("-",CH2785,FIND("-",CH2785,FIND("-",CH2785)+1)+1)-FIND("-",CH2785,FIND("-",CH2785)+1)-1))),""))</f>
        <v/>
      </c>
    </row>
    <row r="2786">
      <c r="CH2786">
        <f>IF(ISTEXT('월 가계부'!A2786),SUBSTITUTE(SUBSTITUTE(SUBSTITUTE(SUBSTITUTE(SUBSTITUTE(SUBSTITUTE(SUBSTITUTE(SUBSTITUTE(SUBSTITUTE(TRIM('월 가계부'!A2786),"년","-"),"월","-"),"일",""),".","-"),"/","-")," ","-"),"--","-"),"--","-"),"--","-")&amp;"-","")</f>
        <v/>
      </c>
      <c r="CI2786">
        <f>IFERROR(IF('월 가계부'!A2786="","",IF(ISNUMBER('월 가계부'!A2786),IF(AND('월 가계부'!A2786&gt;=19000101,'월 가계부'!A2786&lt;=21001231),IF(AND(MOD(INT('월 가계부'!A2786/100),100)&gt;=1,MOD(INT('월 가계부'!A2786/100),100)&lt;=12,MOD(INT('월 가계부'!A2786),100)&gt;=1,MOD(INT('월 가계부'!A2786),100)&lt;=31),IF(MONTH(DATE(INT('월 가계부'!A2786/10000),MOD(INT('월 가계부'!A2786/100),100),MOD(INT('월 가계부'!A2786),100)))=MOD(INT('월 가계부'!A2786/100),100),DATE(INT('월 가계부'!A2786/10000),MOD(INT('월 가계부'!A2786/100),100),MOD(INT('월 가계부'!A2786),100)),""),""),IF(AND('월 가계부'!A2786&gt;=36526,'월 가계부'!A2786&lt;73051),INT('월 가계부'!A2786),"")),IF(OR(CM2786="",CN2786="",CO2786=""),"",IF(AND(CM2786&gt;=2000,CM2786&lt;=2099,CN2786&gt;=1,CN2786&lt;=12,CO2786&gt;=1,CO2786&lt;=31),IF(MONTH(DATE(CM2786,CN2786,CO2786))=CN2786,DATE(CM2786,CN2786,CO2786),""),"")))),"")</f>
        <v/>
      </c>
      <c r="CJ2786">
        <f>IFERROR(IF('월 가계부'!C2786="","",IF(ISNUMBER('월 가계부'!C2786),'월 가계부'!C2786,VALUE(SUBSTITUTE(SUBSTITUTE(SUBSTITUTE(SUBSTITUTE(TRIM('월 가계부'!C2786),",",""),"원","")," ",""),"−","-")))),"")</f>
        <v/>
      </c>
      <c r="CK2786">
        <f>IF(ISNUMBER(CI2786),IF(CI2786&lt;$B$13,CI2786,""),"")</f>
        <v/>
      </c>
      <c r="CM2786">
        <f>IF(CH2786="","",IFERROR(IF(IF(AND(LEN(CH2786)=9,ISERROR(FIND("-",LEFT(CH2786,8))),ISNUMBER(-LEFT(CH2786,8))),VALUE(LEFT(CH2786,4)),VALUE(LEFT(CH2786,FIND("-",CH2786)-1)))&lt;100,IF(AND(LEN(CH2786)=9,ISERROR(FIND("-",LEFT(CH2786,8))),ISNUMBER(-LEFT(CH2786,8))),VALUE(LEFT(CH2786,4)),VALUE(LEFT(CH2786,FIND("-",CH2786)-1)))+2000,IF(AND(LEN(CH2786)=9,ISERROR(FIND("-",LEFT(CH2786,8))),ISNUMBER(-LEFT(CH2786,8))),VALUE(LEFT(CH2786,4)),VALUE(LEFT(CH2786,FIND("-",CH2786)-1)))),""))</f>
        <v/>
      </c>
      <c r="CN2786">
        <f>IF(CH2786="","",IFERROR(IF(AND(LEN(CH2786)=9,ISERROR(FIND("-",LEFT(CH2786,8))),ISNUMBER(-LEFT(CH2786,8))),VALUE(MID(CH2786,5,2)),VALUE(MID(CH2786,FIND("-",CH2786)+1,FIND("-",CH2786,FIND("-",CH2786)+1)-FIND("-",CH2786)-1))),""))</f>
        <v/>
      </c>
      <c r="CO2786">
        <f>IF(CH2786="","",IFERROR(IF(AND(LEN(CH2786)=9,ISERROR(FIND("-",LEFT(CH2786,8))),ISNUMBER(-LEFT(CH2786,8))),VALUE(MID(CH2786,7,2)),VALUE(MID(CH2786,FIND("-",CH2786,FIND("-",CH2786)+1)+1,FIND("-",CH2786,FIND("-",CH2786,FIND("-",CH2786)+1)+1)-FIND("-",CH2786,FIND("-",CH2786)+1)-1))),""))</f>
        <v/>
      </c>
    </row>
    <row r="2787">
      <c r="CH2787">
        <f>IF(ISTEXT('월 가계부'!A2787),SUBSTITUTE(SUBSTITUTE(SUBSTITUTE(SUBSTITUTE(SUBSTITUTE(SUBSTITUTE(SUBSTITUTE(SUBSTITUTE(SUBSTITUTE(TRIM('월 가계부'!A2787),"년","-"),"월","-"),"일",""),".","-"),"/","-")," ","-"),"--","-"),"--","-"),"--","-")&amp;"-","")</f>
        <v/>
      </c>
      <c r="CI2787">
        <f>IFERROR(IF('월 가계부'!A2787="","",IF(ISNUMBER('월 가계부'!A2787),IF(AND('월 가계부'!A2787&gt;=19000101,'월 가계부'!A2787&lt;=21001231),IF(AND(MOD(INT('월 가계부'!A2787/100),100)&gt;=1,MOD(INT('월 가계부'!A2787/100),100)&lt;=12,MOD(INT('월 가계부'!A2787),100)&gt;=1,MOD(INT('월 가계부'!A2787),100)&lt;=31),IF(MONTH(DATE(INT('월 가계부'!A2787/10000),MOD(INT('월 가계부'!A2787/100),100),MOD(INT('월 가계부'!A2787),100)))=MOD(INT('월 가계부'!A2787/100),100),DATE(INT('월 가계부'!A2787/10000),MOD(INT('월 가계부'!A2787/100),100),MOD(INT('월 가계부'!A2787),100)),""),""),IF(AND('월 가계부'!A2787&gt;=36526,'월 가계부'!A2787&lt;73051),INT('월 가계부'!A2787),"")),IF(OR(CM2787="",CN2787="",CO2787=""),"",IF(AND(CM2787&gt;=2000,CM2787&lt;=2099,CN2787&gt;=1,CN2787&lt;=12,CO2787&gt;=1,CO2787&lt;=31),IF(MONTH(DATE(CM2787,CN2787,CO2787))=CN2787,DATE(CM2787,CN2787,CO2787),""),"")))),"")</f>
        <v/>
      </c>
      <c r="CJ2787">
        <f>IFERROR(IF('월 가계부'!C2787="","",IF(ISNUMBER('월 가계부'!C2787),'월 가계부'!C2787,VALUE(SUBSTITUTE(SUBSTITUTE(SUBSTITUTE(SUBSTITUTE(TRIM('월 가계부'!C2787),",",""),"원","")," ",""),"−","-")))),"")</f>
        <v/>
      </c>
      <c r="CK2787">
        <f>IF(ISNUMBER(CI2787),IF(CI2787&lt;$B$13,CI2787,""),"")</f>
        <v/>
      </c>
      <c r="CM2787">
        <f>IF(CH2787="","",IFERROR(IF(IF(AND(LEN(CH2787)=9,ISERROR(FIND("-",LEFT(CH2787,8))),ISNUMBER(-LEFT(CH2787,8))),VALUE(LEFT(CH2787,4)),VALUE(LEFT(CH2787,FIND("-",CH2787)-1)))&lt;100,IF(AND(LEN(CH2787)=9,ISERROR(FIND("-",LEFT(CH2787,8))),ISNUMBER(-LEFT(CH2787,8))),VALUE(LEFT(CH2787,4)),VALUE(LEFT(CH2787,FIND("-",CH2787)-1)))+2000,IF(AND(LEN(CH2787)=9,ISERROR(FIND("-",LEFT(CH2787,8))),ISNUMBER(-LEFT(CH2787,8))),VALUE(LEFT(CH2787,4)),VALUE(LEFT(CH2787,FIND("-",CH2787)-1)))),""))</f>
        <v/>
      </c>
      <c r="CN2787">
        <f>IF(CH2787="","",IFERROR(IF(AND(LEN(CH2787)=9,ISERROR(FIND("-",LEFT(CH2787,8))),ISNUMBER(-LEFT(CH2787,8))),VALUE(MID(CH2787,5,2)),VALUE(MID(CH2787,FIND("-",CH2787)+1,FIND("-",CH2787,FIND("-",CH2787)+1)-FIND("-",CH2787)-1))),""))</f>
        <v/>
      </c>
      <c r="CO2787">
        <f>IF(CH2787="","",IFERROR(IF(AND(LEN(CH2787)=9,ISERROR(FIND("-",LEFT(CH2787,8))),ISNUMBER(-LEFT(CH2787,8))),VALUE(MID(CH2787,7,2)),VALUE(MID(CH2787,FIND("-",CH2787,FIND("-",CH2787)+1)+1,FIND("-",CH2787,FIND("-",CH2787,FIND("-",CH2787)+1)+1)-FIND("-",CH2787,FIND("-",CH2787)+1)-1))),""))</f>
        <v/>
      </c>
    </row>
    <row r="2788">
      <c r="CH2788">
        <f>IF(ISTEXT('월 가계부'!A2788),SUBSTITUTE(SUBSTITUTE(SUBSTITUTE(SUBSTITUTE(SUBSTITUTE(SUBSTITUTE(SUBSTITUTE(SUBSTITUTE(SUBSTITUTE(TRIM('월 가계부'!A2788),"년","-"),"월","-"),"일",""),".","-"),"/","-")," ","-"),"--","-"),"--","-"),"--","-")&amp;"-","")</f>
        <v/>
      </c>
      <c r="CI2788">
        <f>IFERROR(IF('월 가계부'!A2788="","",IF(ISNUMBER('월 가계부'!A2788),IF(AND('월 가계부'!A2788&gt;=19000101,'월 가계부'!A2788&lt;=21001231),IF(AND(MOD(INT('월 가계부'!A2788/100),100)&gt;=1,MOD(INT('월 가계부'!A2788/100),100)&lt;=12,MOD(INT('월 가계부'!A2788),100)&gt;=1,MOD(INT('월 가계부'!A2788),100)&lt;=31),IF(MONTH(DATE(INT('월 가계부'!A2788/10000),MOD(INT('월 가계부'!A2788/100),100),MOD(INT('월 가계부'!A2788),100)))=MOD(INT('월 가계부'!A2788/100),100),DATE(INT('월 가계부'!A2788/10000),MOD(INT('월 가계부'!A2788/100),100),MOD(INT('월 가계부'!A2788),100)),""),""),IF(AND('월 가계부'!A2788&gt;=36526,'월 가계부'!A2788&lt;73051),INT('월 가계부'!A2788),"")),IF(OR(CM2788="",CN2788="",CO2788=""),"",IF(AND(CM2788&gt;=2000,CM2788&lt;=2099,CN2788&gt;=1,CN2788&lt;=12,CO2788&gt;=1,CO2788&lt;=31),IF(MONTH(DATE(CM2788,CN2788,CO2788))=CN2788,DATE(CM2788,CN2788,CO2788),""),"")))),"")</f>
        <v/>
      </c>
      <c r="CJ2788">
        <f>IFERROR(IF('월 가계부'!C2788="","",IF(ISNUMBER('월 가계부'!C2788),'월 가계부'!C2788,VALUE(SUBSTITUTE(SUBSTITUTE(SUBSTITUTE(SUBSTITUTE(TRIM('월 가계부'!C2788),",",""),"원","")," ",""),"−","-")))),"")</f>
        <v/>
      </c>
      <c r="CK2788">
        <f>IF(ISNUMBER(CI2788),IF(CI2788&lt;$B$13,CI2788,""),"")</f>
        <v/>
      </c>
      <c r="CM2788">
        <f>IF(CH2788="","",IFERROR(IF(IF(AND(LEN(CH2788)=9,ISERROR(FIND("-",LEFT(CH2788,8))),ISNUMBER(-LEFT(CH2788,8))),VALUE(LEFT(CH2788,4)),VALUE(LEFT(CH2788,FIND("-",CH2788)-1)))&lt;100,IF(AND(LEN(CH2788)=9,ISERROR(FIND("-",LEFT(CH2788,8))),ISNUMBER(-LEFT(CH2788,8))),VALUE(LEFT(CH2788,4)),VALUE(LEFT(CH2788,FIND("-",CH2788)-1)))+2000,IF(AND(LEN(CH2788)=9,ISERROR(FIND("-",LEFT(CH2788,8))),ISNUMBER(-LEFT(CH2788,8))),VALUE(LEFT(CH2788,4)),VALUE(LEFT(CH2788,FIND("-",CH2788)-1)))),""))</f>
        <v/>
      </c>
      <c r="CN2788">
        <f>IF(CH2788="","",IFERROR(IF(AND(LEN(CH2788)=9,ISERROR(FIND("-",LEFT(CH2788,8))),ISNUMBER(-LEFT(CH2788,8))),VALUE(MID(CH2788,5,2)),VALUE(MID(CH2788,FIND("-",CH2788)+1,FIND("-",CH2788,FIND("-",CH2788)+1)-FIND("-",CH2788)-1))),""))</f>
        <v/>
      </c>
      <c r="CO2788">
        <f>IF(CH2788="","",IFERROR(IF(AND(LEN(CH2788)=9,ISERROR(FIND("-",LEFT(CH2788,8))),ISNUMBER(-LEFT(CH2788,8))),VALUE(MID(CH2788,7,2)),VALUE(MID(CH2788,FIND("-",CH2788,FIND("-",CH2788)+1)+1,FIND("-",CH2788,FIND("-",CH2788,FIND("-",CH2788)+1)+1)-FIND("-",CH2788,FIND("-",CH2788)+1)-1))),""))</f>
        <v/>
      </c>
    </row>
    <row r="2789">
      <c r="CH2789">
        <f>IF(ISTEXT('월 가계부'!A2789),SUBSTITUTE(SUBSTITUTE(SUBSTITUTE(SUBSTITUTE(SUBSTITUTE(SUBSTITUTE(SUBSTITUTE(SUBSTITUTE(SUBSTITUTE(TRIM('월 가계부'!A2789),"년","-"),"월","-"),"일",""),".","-"),"/","-")," ","-"),"--","-"),"--","-"),"--","-")&amp;"-","")</f>
        <v/>
      </c>
      <c r="CI2789">
        <f>IFERROR(IF('월 가계부'!A2789="","",IF(ISNUMBER('월 가계부'!A2789),IF(AND('월 가계부'!A2789&gt;=19000101,'월 가계부'!A2789&lt;=21001231),IF(AND(MOD(INT('월 가계부'!A2789/100),100)&gt;=1,MOD(INT('월 가계부'!A2789/100),100)&lt;=12,MOD(INT('월 가계부'!A2789),100)&gt;=1,MOD(INT('월 가계부'!A2789),100)&lt;=31),IF(MONTH(DATE(INT('월 가계부'!A2789/10000),MOD(INT('월 가계부'!A2789/100),100),MOD(INT('월 가계부'!A2789),100)))=MOD(INT('월 가계부'!A2789/100),100),DATE(INT('월 가계부'!A2789/10000),MOD(INT('월 가계부'!A2789/100),100),MOD(INT('월 가계부'!A2789),100)),""),""),IF(AND('월 가계부'!A2789&gt;=36526,'월 가계부'!A2789&lt;73051),INT('월 가계부'!A2789),"")),IF(OR(CM2789="",CN2789="",CO2789=""),"",IF(AND(CM2789&gt;=2000,CM2789&lt;=2099,CN2789&gt;=1,CN2789&lt;=12,CO2789&gt;=1,CO2789&lt;=31),IF(MONTH(DATE(CM2789,CN2789,CO2789))=CN2789,DATE(CM2789,CN2789,CO2789),""),"")))),"")</f>
        <v/>
      </c>
      <c r="CJ2789">
        <f>IFERROR(IF('월 가계부'!C2789="","",IF(ISNUMBER('월 가계부'!C2789),'월 가계부'!C2789,VALUE(SUBSTITUTE(SUBSTITUTE(SUBSTITUTE(SUBSTITUTE(TRIM('월 가계부'!C2789),",",""),"원","")," ",""),"−","-")))),"")</f>
        <v/>
      </c>
      <c r="CK2789">
        <f>IF(ISNUMBER(CI2789),IF(CI2789&lt;$B$13,CI2789,""),"")</f>
        <v/>
      </c>
      <c r="CM2789">
        <f>IF(CH2789="","",IFERROR(IF(IF(AND(LEN(CH2789)=9,ISERROR(FIND("-",LEFT(CH2789,8))),ISNUMBER(-LEFT(CH2789,8))),VALUE(LEFT(CH2789,4)),VALUE(LEFT(CH2789,FIND("-",CH2789)-1)))&lt;100,IF(AND(LEN(CH2789)=9,ISERROR(FIND("-",LEFT(CH2789,8))),ISNUMBER(-LEFT(CH2789,8))),VALUE(LEFT(CH2789,4)),VALUE(LEFT(CH2789,FIND("-",CH2789)-1)))+2000,IF(AND(LEN(CH2789)=9,ISERROR(FIND("-",LEFT(CH2789,8))),ISNUMBER(-LEFT(CH2789,8))),VALUE(LEFT(CH2789,4)),VALUE(LEFT(CH2789,FIND("-",CH2789)-1)))),""))</f>
        <v/>
      </c>
      <c r="CN2789">
        <f>IF(CH2789="","",IFERROR(IF(AND(LEN(CH2789)=9,ISERROR(FIND("-",LEFT(CH2789,8))),ISNUMBER(-LEFT(CH2789,8))),VALUE(MID(CH2789,5,2)),VALUE(MID(CH2789,FIND("-",CH2789)+1,FIND("-",CH2789,FIND("-",CH2789)+1)-FIND("-",CH2789)-1))),""))</f>
        <v/>
      </c>
      <c r="CO2789">
        <f>IF(CH2789="","",IFERROR(IF(AND(LEN(CH2789)=9,ISERROR(FIND("-",LEFT(CH2789,8))),ISNUMBER(-LEFT(CH2789,8))),VALUE(MID(CH2789,7,2)),VALUE(MID(CH2789,FIND("-",CH2789,FIND("-",CH2789)+1)+1,FIND("-",CH2789,FIND("-",CH2789,FIND("-",CH2789)+1)+1)-FIND("-",CH2789,FIND("-",CH2789)+1)-1))),""))</f>
        <v/>
      </c>
    </row>
    <row r="2790">
      <c r="CH2790">
        <f>IF(ISTEXT('월 가계부'!A2790),SUBSTITUTE(SUBSTITUTE(SUBSTITUTE(SUBSTITUTE(SUBSTITUTE(SUBSTITUTE(SUBSTITUTE(SUBSTITUTE(SUBSTITUTE(TRIM('월 가계부'!A2790),"년","-"),"월","-"),"일",""),".","-"),"/","-")," ","-"),"--","-"),"--","-"),"--","-")&amp;"-","")</f>
        <v/>
      </c>
      <c r="CI2790">
        <f>IFERROR(IF('월 가계부'!A2790="","",IF(ISNUMBER('월 가계부'!A2790),IF(AND('월 가계부'!A2790&gt;=19000101,'월 가계부'!A2790&lt;=21001231),IF(AND(MOD(INT('월 가계부'!A2790/100),100)&gt;=1,MOD(INT('월 가계부'!A2790/100),100)&lt;=12,MOD(INT('월 가계부'!A2790),100)&gt;=1,MOD(INT('월 가계부'!A2790),100)&lt;=31),IF(MONTH(DATE(INT('월 가계부'!A2790/10000),MOD(INT('월 가계부'!A2790/100),100),MOD(INT('월 가계부'!A2790),100)))=MOD(INT('월 가계부'!A2790/100),100),DATE(INT('월 가계부'!A2790/10000),MOD(INT('월 가계부'!A2790/100),100),MOD(INT('월 가계부'!A2790),100)),""),""),IF(AND('월 가계부'!A2790&gt;=36526,'월 가계부'!A2790&lt;73051),INT('월 가계부'!A2790),"")),IF(OR(CM2790="",CN2790="",CO2790=""),"",IF(AND(CM2790&gt;=2000,CM2790&lt;=2099,CN2790&gt;=1,CN2790&lt;=12,CO2790&gt;=1,CO2790&lt;=31),IF(MONTH(DATE(CM2790,CN2790,CO2790))=CN2790,DATE(CM2790,CN2790,CO2790),""),"")))),"")</f>
        <v/>
      </c>
      <c r="CJ2790">
        <f>IFERROR(IF('월 가계부'!C2790="","",IF(ISNUMBER('월 가계부'!C2790),'월 가계부'!C2790,VALUE(SUBSTITUTE(SUBSTITUTE(SUBSTITUTE(SUBSTITUTE(TRIM('월 가계부'!C2790),",",""),"원","")," ",""),"−","-")))),"")</f>
        <v/>
      </c>
      <c r="CK2790">
        <f>IF(ISNUMBER(CI2790),IF(CI2790&lt;$B$13,CI2790,""),"")</f>
        <v/>
      </c>
      <c r="CM2790">
        <f>IF(CH2790="","",IFERROR(IF(IF(AND(LEN(CH2790)=9,ISERROR(FIND("-",LEFT(CH2790,8))),ISNUMBER(-LEFT(CH2790,8))),VALUE(LEFT(CH2790,4)),VALUE(LEFT(CH2790,FIND("-",CH2790)-1)))&lt;100,IF(AND(LEN(CH2790)=9,ISERROR(FIND("-",LEFT(CH2790,8))),ISNUMBER(-LEFT(CH2790,8))),VALUE(LEFT(CH2790,4)),VALUE(LEFT(CH2790,FIND("-",CH2790)-1)))+2000,IF(AND(LEN(CH2790)=9,ISERROR(FIND("-",LEFT(CH2790,8))),ISNUMBER(-LEFT(CH2790,8))),VALUE(LEFT(CH2790,4)),VALUE(LEFT(CH2790,FIND("-",CH2790)-1)))),""))</f>
        <v/>
      </c>
      <c r="CN2790">
        <f>IF(CH2790="","",IFERROR(IF(AND(LEN(CH2790)=9,ISERROR(FIND("-",LEFT(CH2790,8))),ISNUMBER(-LEFT(CH2790,8))),VALUE(MID(CH2790,5,2)),VALUE(MID(CH2790,FIND("-",CH2790)+1,FIND("-",CH2790,FIND("-",CH2790)+1)-FIND("-",CH2790)-1))),""))</f>
        <v/>
      </c>
      <c r="CO2790">
        <f>IF(CH2790="","",IFERROR(IF(AND(LEN(CH2790)=9,ISERROR(FIND("-",LEFT(CH2790,8))),ISNUMBER(-LEFT(CH2790,8))),VALUE(MID(CH2790,7,2)),VALUE(MID(CH2790,FIND("-",CH2790,FIND("-",CH2790)+1)+1,FIND("-",CH2790,FIND("-",CH2790,FIND("-",CH2790)+1)+1)-FIND("-",CH2790,FIND("-",CH2790)+1)-1))),""))</f>
        <v/>
      </c>
    </row>
    <row r="2791">
      <c r="CH2791">
        <f>IF(ISTEXT('월 가계부'!A2791),SUBSTITUTE(SUBSTITUTE(SUBSTITUTE(SUBSTITUTE(SUBSTITUTE(SUBSTITUTE(SUBSTITUTE(SUBSTITUTE(SUBSTITUTE(TRIM('월 가계부'!A2791),"년","-"),"월","-"),"일",""),".","-"),"/","-")," ","-"),"--","-"),"--","-"),"--","-")&amp;"-","")</f>
        <v/>
      </c>
      <c r="CI2791">
        <f>IFERROR(IF('월 가계부'!A2791="","",IF(ISNUMBER('월 가계부'!A2791),IF(AND('월 가계부'!A2791&gt;=19000101,'월 가계부'!A2791&lt;=21001231),IF(AND(MOD(INT('월 가계부'!A2791/100),100)&gt;=1,MOD(INT('월 가계부'!A2791/100),100)&lt;=12,MOD(INT('월 가계부'!A2791),100)&gt;=1,MOD(INT('월 가계부'!A2791),100)&lt;=31),IF(MONTH(DATE(INT('월 가계부'!A2791/10000),MOD(INT('월 가계부'!A2791/100),100),MOD(INT('월 가계부'!A2791),100)))=MOD(INT('월 가계부'!A2791/100),100),DATE(INT('월 가계부'!A2791/10000),MOD(INT('월 가계부'!A2791/100),100),MOD(INT('월 가계부'!A2791),100)),""),""),IF(AND('월 가계부'!A2791&gt;=36526,'월 가계부'!A2791&lt;73051),INT('월 가계부'!A2791),"")),IF(OR(CM2791="",CN2791="",CO2791=""),"",IF(AND(CM2791&gt;=2000,CM2791&lt;=2099,CN2791&gt;=1,CN2791&lt;=12,CO2791&gt;=1,CO2791&lt;=31),IF(MONTH(DATE(CM2791,CN2791,CO2791))=CN2791,DATE(CM2791,CN2791,CO2791),""),"")))),"")</f>
        <v/>
      </c>
      <c r="CJ2791">
        <f>IFERROR(IF('월 가계부'!C2791="","",IF(ISNUMBER('월 가계부'!C2791),'월 가계부'!C2791,VALUE(SUBSTITUTE(SUBSTITUTE(SUBSTITUTE(SUBSTITUTE(TRIM('월 가계부'!C2791),",",""),"원","")," ",""),"−","-")))),"")</f>
        <v/>
      </c>
      <c r="CK2791">
        <f>IF(ISNUMBER(CI2791),IF(CI2791&lt;$B$13,CI2791,""),"")</f>
        <v/>
      </c>
      <c r="CM2791">
        <f>IF(CH2791="","",IFERROR(IF(IF(AND(LEN(CH2791)=9,ISERROR(FIND("-",LEFT(CH2791,8))),ISNUMBER(-LEFT(CH2791,8))),VALUE(LEFT(CH2791,4)),VALUE(LEFT(CH2791,FIND("-",CH2791)-1)))&lt;100,IF(AND(LEN(CH2791)=9,ISERROR(FIND("-",LEFT(CH2791,8))),ISNUMBER(-LEFT(CH2791,8))),VALUE(LEFT(CH2791,4)),VALUE(LEFT(CH2791,FIND("-",CH2791)-1)))+2000,IF(AND(LEN(CH2791)=9,ISERROR(FIND("-",LEFT(CH2791,8))),ISNUMBER(-LEFT(CH2791,8))),VALUE(LEFT(CH2791,4)),VALUE(LEFT(CH2791,FIND("-",CH2791)-1)))),""))</f>
        <v/>
      </c>
      <c r="CN2791">
        <f>IF(CH2791="","",IFERROR(IF(AND(LEN(CH2791)=9,ISERROR(FIND("-",LEFT(CH2791,8))),ISNUMBER(-LEFT(CH2791,8))),VALUE(MID(CH2791,5,2)),VALUE(MID(CH2791,FIND("-",CH2791)+1,FIND("-",CH2791,FIND("-",CH2791)+1)-FIND("-",CH2791)-1))),""))</f>
        <v/>
      </c>
      <c r="CO2791">
        <f>IF(CH2791="","",IFERROR(IF(AND(LEN(CH2791)=9,ISERROR(FIND("-",LEFT(CH2791,8))),ISNUMBER(-LEFT(CH2791,8))),VALUE(MID(CH2791,7,2)),VALUE(MID(CH2791,FIND("-",CH2791,FIND("-",CH2791)+1)+1,FIND("-",CH2791,FIND("-",CH2791,FIND("-",CH2791)+1)+1)-FIND("-",CH2791,FIND("-",CH2791)+1)-1))),""))</f>
        <v/>
      </c>
    </row>
    <row r="2792">
      <c r="CH2792">
        <f>IF(ISTEXT('월 가계부'!A2792),SUBSTITUTE(SUBSTITUTE(SUBSTITUTE(SUBSTITUTE(SUBSTITUTE(SUBSTITUTE(SUBSTITUTE(SUBSTITUTE(SUBSTITUTE(TRIM('월 가계부'!A2792),"년","-"),"월","-"),"일",""),".","-"),"/","-")," ","-"),"--","-"),"--","-"),"--","-")&amp;"-","")</f>
        <v/>
      </c>
      <c r="CI2792">
        <f>IFERROR(IF('월 가계부'!A2792="","",IF(ISNUMBER('월 가계부'!A2792),IF(AND('월 가계부'!A2792&gt;=19000101,'월 가계부'!A2792&lt;=21001231),IF(AND(MOD(INT('월 가계부'!A2792/100),100)&gt;=1,MOD(INT('월 가계부'!A2792/100),100)&lt;=12,MOD(INT('월 가계부'!A2792),100)&gt;=1,MOD(INT('월 가계부'!A2792),100)&lt;=31),IF(MONTH(DATE(INT('월 가계부'!A2792/10000),MOD(INT('월 가계부'!A2792/100),100),MOD(INT('월 가계부'!A2792),100)))=MOD(INT('월 가계부'!A2792/100),100),DATE(INT('월 가계부'!A2792/10000),MOD(INT('월 가계부'!A2792/100),100),MOD(INT('월 가계부'!A2792),100)),""),""),IF(AND('월 가계부'!A2792&gt;=36526,'월 가계부'!A2792&lt;73051),INT('월 가계부'!A2792),"")),IF(OR(CM2792="",CN2792="",CO2792=""),"",IF(AND(CM2792&gt;=2000,CM2792&lt;=2099,CN2792&gt;=1,CN2792&lt;=12,CO2792&gt;=1,CO2792&lt;=31),IF(MONTH(DATE(CM2792,CN2792,CO2792))=CN2792,DATE(CM2792,CN2792,CO2792),""),"")))),"")</f>
        <v/>
      </c>
      <c r="CJ2792">
        <f>IFERROR(IF('월 가계부'!C2792="","",IF(ISNUMBER('월 가계부'!C2792),'월 가계부'!C2792,VALUE(SUBSTITUTE(SUBSTITUTE(SUBSTITUTE(SUBSTITUTE(TRIM('월 가계부'!C2792),",",""),"원","")," ",""),"−","-")))),"")</f>
        <v/>
      </c>
      <c r="CK2792">
        <f>IF(ISNUMBER(CI2792),IF(CI2792&lt;$B$13,CI2792,""),"")</f>
        <v/>
      </c>
      <c r="CM2792">
        <f>IF(CH2792="","",IFERROR(IF(IF(AND(LEN(CH2792)=9,ISERROR(FIND("-",LEFT(CH2792,8))),ISNUMBER(-LEFT(CH2792,8))),VALUE(LEFT(CH2792,4)),VALUE(LEFT(CH2792,FIND("-",CH2792)-1)))&lt;100,IF(AND(LEN(CH2792)=9,ISERROR(FIND("-",LEFT(CH2792,8))),ISNUMBER(-LEFT(CH2792,8))),VALUE(LEFT(CH2792,4)),VALUE(LEFT(CH2792,FIND("-",CH2792)-1)))+2000,IF(AND(LEN(CH2792)=9,ISERROR(FIND("-",LEFT(CH2792,8))),ISNUMBER(-LEFT(CH2792,8))),VALUE(LEFT(CH2792,4)),VALUE(LEFT(CH2792,FIND("-",CH2792)-1)))),""))</f>
        <v/>
      </c>
      <c r="CN2792">
        <f>IF(CH2792="","",IFERROR(IF(AND(LEN(CH2792)=9,ISERROR(FIND("-",LEFT(CH2792,8))),ISNUMBER(-LEFT(CH2792,8))),VALUE(MID(CH2792,5,2)),VALUE(MID(CH2792,FIND("-",CH2792)+1,FIND("-",CH2792,FIND("-",CH2792)+1)-FIND("-",CH2792)-1))),""))</f>
        <v/>
      </c>
      <c r="CO2792">
        <f>IF(CH2792="","",IFERROR(IF(AND(LEN(CH2792)=9,ISERROR(FIND("-",LEFT(CH2792,8))),ISNUMBER(-LEFT(CH2792,8))),VALUE(MID(CH2792,7,2)),VALUE(MID(CH2792,FIND("-",CH2792,FIND("-",CH2792)+1)+1,FIND("-",CH2792,FIND("-",CH2792,FIND("-",CH2792)+1)+1)-FIND("-",CH2792,FIND("-",CH2792)+1)-1))),""))</f>
        <v/>
      </c>
    </row>
    <row r="2793">
      <c r="CH2793">
        <f>IF(ISTEXT('월 가계부'!A2793),SUBSTITUTE(SUBSTITUTE(SUBSTITUTE(SUBSTITUTE(SUBSTITUTE(SUBSTITUTE(SUBSTITUTE(SUBSTITUTE(SUBSTITUTE(TRIM('월 가계부'!A2793),"년","-"),"월","-"),"일",""),".","-"),"/","-")," ","-"),"--","-"),"--","-"),"--","-")&amp;"-","")</f>
        <v/>
      </c>
      <c r="CI2793">
        <f>IFERROR(IF('월 가계부'!A2793="","",IF(ISNUMBER('월 가계부'!A2793),IF(AND('월 가계부'!A2793&gt;=19000101,'월 가계부'!A2793&lt;=21001231),IF(AND(MOD(INT('월 가계부'!A2793/100),100)&gt;=1,MOD(INT('월 가계부'!A2793/100),100)&lt;=12,MOD(INT('월 가계부'!A2793),100)&gt;=1,MOD(INT('월 가계부'!A2793),100)&lt;=31),IF(MONTH(DATE(INT('월 가계부'!A2793/10000),MOD(INT('월 가계부'!A2793/100),100),MOD(INT('월 가계부'!A2793),100)))=MOD(INT('월 가계부'!A2793/100),100),DATE(INT('월 가계부'!A2793/10000),MOD(INT('월 가계부'!A2793/100),100),MOD(INT('월 가계부'!A2793),100)),""),""),IF(AND('월 가계부'!A2793&gt;=36526,'월 가계부'!A2793&lt;73051),INT('월 가계부'!A2793),"")),IF(OR(CM2793="",CN2793="",CO2793=""),"",IF(AND(CM2793&gt;=2000,CM2793&lt;=2099,CN2793&gt;=1,CN2793&lt;=12,CO2793&gt;=1,CO2793&lt;=31),IF(MONTH(DATE(CM2793,CN2793,CO2793))=CN2793,DATE(CM2793,CN2793,CO2793),""),"")))),"")</f>
        <v/>
      </c>
      <c r="CJ2793">
        <f>IFERROR(IF('월 가계부'!C2793="","",IF(ISNUMBER('월 가계부'!C2793),'월 가계부'!C2793,VALUE(SUBSTITUTE(SUBSTITUTE(SUBSTITUTE(SUBSTITUTE(TRIM('월 가계부'!C2793),",",""),"원","")," ",""),"−","-")))),"")</f>
        <v/>
      </c>
      <c r="CK2793">
        <f>IF(ISNUMBER(CI2793),IF(CI2793&lt;$B$13,CI2793,""),"")</f>
        <v/>
      </c>
      <c r="CM2793">
        <f>IF(CH2793="","",IFERROR(IF(IF(AND(LEN(CH2793)=9,ISERROR(FIND("-",LEFT(CH2793,8))),ISNUMBER(-LEFT(CH2793,8))),VALUE(LEFT(CH2793,4)),VALUE(LEFT(CH2793,FIND("-",CH2793)-1)))&lt;100,IF(AND(LEN(CH2793)=9,ISERROR(FIND("-",LEFT(CH2793,8))),ISNUMBER(-LEFT(CH2793,8))),VALUE(LEFT(CH2793,4)),VALUE(LEFT(CH2793,FIND("-",CH2793)-1)))+2000,IF(AND(LEN(CH2793)=9,ISERROR(FIND("-",LEFT(CH2793,8))),ISNUMBER(-LEFT(CH2793,8))),VALUE(LEFT(CH2793,4)),VALUE(LEFT(CH2793,FIND("-",CH2793)-1)))),""))</f>
        <v/>
      </c>
      <c r="CN2793">
        <f>IF(CH2793="","",IFERROR(IF(AND(LEN(CH2793)=9,ISERROR(FIND("-",LEFT(CH2793,8))),ISNUMBER(-LEFT(CH2793,8))),VALUE(MID(CH2793,5,2)),VALUE(MID(CH2793,FIND("-",CH2793)+1,FIND("-",CH2793,FIND("-",CH2793)+1)-FIND("-",CH2793)-1))),""))</f>
        <v/>
      </c>
      <c r="CO2793">
        <f>IF(CH2793="","",IFERROR(IF(AND(LEN(CH2793)=9,ISERROR(FIND("-",LEFT(CH2793,8))),ISNUMBER(-LEFT(CH2793,8))),VALUE(MID(CH2793,7,2)),VALUE(MID(CH2793,FIND("-",CH2793,FIND("-",CH2793)+1)+1,FIND("-",CH2793,FIND("-",CH2793,FIND("-",CH2793)+1)+1)-FIND("-",CH2793,FIND("-",CH2793)+1)-1))),""))</f>
        <v/>
      </c>
    </row>
    <row r="2794">
      <c r="CH2794">
        <f>IF(ISTEXT('월 가계부'!A2794),SUBSTITUTE(SUBSTITUTE(SUBSTITUTE(SUBSTITUTE(SUBSTITUTE(SUBSTITUTE(SUBSTITUTE(SUBSTITUTE(SUBSTITUTE(TRIM('월 가계부'!A2794),"년","-"),"월","-"),"일",""),".","-"),"/","-")," ","-"),"--","-"),"--","-"),"--","-")&amp;"-","")</f>
        <v/>
      </c>
      <c r="CI2794">
        <f>IFERROR(IF('월 가계부'!A2794="","",IF(ISNUMBER('월 가계부'!A2794),IF(AND('월 가계부'!A2794&gt;=19000101,'월 가계부'!A2794&lt;=21001231),IF(AND(MOD(INT('월 가계부'!A2794/100),100)&gt;=1,MOD(INT('월 가계부'!A2794/100),100)&lt;=12,MOD(INT('월 가계부'!A2794),100)&gt;=1,MOD(INT('월 가계부'!A2794),100)&lt;=31),IF(MONTH(DATE(INT('월 가계부'!A2794/10000),MOD(INT('월 가계부'!A2794/100),100),MOD(INT('월 가계부'!A2794),100)))=MOD(INT('월 가계부'!A2794/100),100),DATE(INT('월 가계부'!A2794/10000),MOD(INT('월 가계부'!A2794/100),100),MOD(INT('월 가계부'!A2794),100)),""),""),IF(AND('월 가계부'!A2794&gt;=36526,'월 가계부'!A2794&lt;73051),INT('월 가계부'!A2794),"")),IF(OR(CM2794="",CN2794="",CO2794=""),"",IF(AND(CM2794&gt;=2000,CM2794&lt;=2099,CN2794&gt;=1,CN2794&lt;=12,CO2794&gt;=1,CO2794&lt;=31),IF(MONTH(DATE(CM2794,CN2794,CO2794))=CN2794,DATE(CM2794,CN2794,CO2794),""),"")))),"")</f>
        <v/>
      </c>
      <c r="CJ2794">
        <f>IFERROR(IF('월 가계부'!C2794="","",IF(ISNUMBER('월 가계부'!C2794),'월 가계부'!C2794,VALUE(SUBSTITUTE(SUBSTITUTE(SUBSTITUTE(SUBSTITUTE(TRIM('월 가계부'!C2794),",",""),"원","")," ",""),"−","-")))),"")</f>
        <v/>
      </c>
      <c r="CK2794">
        <f>IF(ISNUMBER(CI2794),IF(CI2794&lt;$B$13,CI2794,""),"")</f>
        <v/>
      </c>
      <c r="CM2794">
        <f>IF(CH2794="","",IFERROR(IF(IF(AND(LEN(CH2794)=9,ISERROR(FIND("-",LEFT(CH2794,8))),ISNUMBER(-LEFT(CH2794,8))),VALUE(LEFT(CH2794,4)),VALUE(LEFT(CH2794,FIND("-",CH2794)-1)))&lt;100,IF(AND(LEN(CH2794)=9,ISERROR(FIND("-",LEFT(CH2794,8))),ISNUMBER(-LEFT(CH2794,8))),VALUE(LEFT(CH2794,4)),VALUE(LEFT(CH2794,FIND("-",CH2794)-1)))+2000,IF(AND(LEN(CH2794)=9,ISERROR(FIND("-",LEFT(CH2794,8))),ISNUMBER(-LEFT(CH2794,8))),VALUE(LEFT(CH2794,4)),VALUE(LEFT(CH2794,FIND("-",CH2794)-1)))),""))</f>
        <v/>
      </c>
      <c r="CN2794">
        <f>IF(CH2794="","",IFERROR(IF(AND(LEN(CH2794)=9,ISERROR(FIND("-",LEFT(CH2794,8))),ISNUMBER(-LEFT(CH2794,8))),VALUE(MID(CH2794,5,2)),VALUE(MID(CH2794,FIND("-",CH2794)+1,FIND("-",CH2794,FIND("-",CH2794)+1)-FIND("-",CH2794)-1))),""))</f>
        <v/>
      </c>
      <c r="CO2794">
        <f>IF(CH2794="","",IFERROR(IF(AND(LEN(CH2794)=9,ISERROR(FIND("-",LEFT(CH2794,8))),ISNUMBER(-LEFT(CH2794,8))),VALUE(MID(CH2794,7,2)),VALUE(MID(CH2794,FIND("-",CH2794,FIND("-",CH2794)+1)+1,FIND("-",CH2794,FIND("-",CH2794,FIND("-",CH2794)+1)+1)-FIND("-",CH2794,FIND("-",CH2794)+1)-1))),""))</f>
        <v/>
      </c>
    </row>
    <row r="2795">
      <c r="CH2795">
        <f>IF(ISTEXT('월 가계부'!A2795),SUBSTITUTE(SUBSTITUTE(SUBSTITUTE(SUBSTITUTE(SUBSTITUTE(SUBSTITUTE(SUBSTITUTE(SUBSTITUTE(SUBSTITUTE(TRIM('월 가계부'!A2795),"년","-"),"월","-"),"일",""),".","-"),"/","-")," ","-"),"--","-"),"--","-"),"--","-")&amp;"-","")</f>
        <v/>
      </c>
      <c r="CI2795">
        <f>IFERROR(IF('월 가계부'!A2795="","",IF(ISNUMBER('월 가계부'!A2795),IF(AND('월 가계부'!A2795&gt;=19000101,'월 가계부'!A2795&lt;=21001231),IF(AND(MOD(INT('월 가계부'!A2795/100),100)&gt;=1,MOD(INT('월 가계부'!A2795/100),100)&lt;=12,MOD(INT('월 가계부'!A2795),100)&gt;=1,MOD(INT('월 가계부'!A2795),100)&lt;=31),IF(MONTH(DATE(INT('월 가계부'!A2795/10000),MOD(INT('월 가계부'!A2795/100),100),MOD(INT('월 가계부'!A2795),100)))=MOD(INT('월 가계부'!A2795/100),100),DATE(INT('월 가계부'!A2795/10000),MOD(INT('월 가계부'!A2795/100),100),MOD(INT('월 가계부'!A2795),100)),""),""),IF(AND('월 가계부'!A2795&gt;=36526,'월 가계부'!A2795&lt;73051),INT('월 가계부'!A2795),"")),IF(OR(CM2795="",CN2795="",CO2795=""),"",IF(AND(CM2795&gt;=2000,CM2795&lt;=2099,CN2795&gt;=1,CN2795&lt;=12,CO2795&gt;=1,CO2795&lt;=31),IF(MONTH(DATE(CM2795,CN2795,CO2795))=CN2795,DATE(CM2795,CN2795,CO2795),""),"")))),"")</f>
        <v/>
      </c>
      <c r="CJ2795">
        <f>IFERROR(IF('월 가계부'!C2795="","",IF(ISNUMBER('월 가계부'!C2795),'월 가계부'!C2795,VALUE(SUBSTITUTE(SUBSTITUTE(SUBSTITUTE(SUBSTITUTE(TRIM('월 가계부'!C2795),",",""),"원","")," ",""),"−","-")))),"")</f>
        <v/>
      </c>
      <c r="CK2795">
        <f>IF(ISNUMBER(CI2795),IF(CI2795&lt;$B$13,CI2795,""),"")</f>
        <v/>
      </c>
      <c r="CM2795">
        <f>IF(CH2795="","",IFERROR(IF(IF(AND(LEN(CH2795)=9,ISERROR(FIND("-",LEFT(CH2795,8))),ISNUMBER(-LEFT(CH2795,8))),VALUE(LEFT(CH2795,4)),VALUE(LEFT(CH2795,FIND("-",CH2795)-1)))&lt;100,IF(AND(LEN(CH2795)=9,ISERROR(FIND("-",LEFT(CH2795,8))),ISNUMBER(-LEFT(CH2795,8))),VALUE(LEFT(CH2795,4)),VALUE(LEFT(CH2795,FIND("-",CH2795)-1)))+2000,IF(AND(LEN(CH2795)=9,ISERROR(FIND("-",LEFT(CH2795,8))),ISNUMBER(-LEFT(CH2795,8))),VALUE(LEFT(CH2795,4)),VALUE(LEFT(CH2795,FIND("-",CH2795)-1)))),""))</f>
        <v/>
      </c>
      <c r="CN2795">
        <f>IF(CH2795="","",IFERROR(IF(AND(LEN(CH2795)=9,ISERROR(FIND("-",LEFT(CH2795,8))),ISNUMBER(-LEFT(CH2795,8))),VALUE(MID(CH2795,5,2)),VALUE(MID(CH2795,FIND("-",CH2795)+1,FIND("-",CH2795,FIND("-",CH2795)+1)-FIND("-",CH2795)-1))),""))</f>
        <v/>
      </c>
      <c r="CO2795">
        <f>IF(CH2795="","",IFERROR(IF(AND(LEN(CH2795)=9,ISERROR(FIND("-",LEFT(CH2795,8))),ISNUMBER(-LEFT(CH2795,8))),VALUE(MID(CH2795,7,2)),VALUE(MID(CH2795,FIND("-",CH2795,FIND("-",CH2795)+1)+1,FIND("-",CH2795,FIND("-",CH2795,FIND("-",CH2795)+1)+1)-FIND("-",CH2795,FIND("-",CH2795)+1)-1))),""))</f>
        <v/>
      </c>
    </row>
    <row r="2796">
      <c r="CH2796">
        <f>IF(ISTEXT('월 가계부'!A2796),SUBSTITUTE(SUBSTITUTE(SUBSTITUTE(SUBSTITUTE(SUBSTITUTE(SUBSTITUTE(SUBSTITUTE(SUBSTITUTE(SUBSTITUTE(TRIM('월 가계부'!A2796),"년","-"),"월","-"),"일",""),".","-"),"/","-")," ","-"),"--","-"),"--","-"),"--","-")&amp;"-","")</f>
        <v/>
      </c>
      <c r="CI2796">
        <f>IFERROR(IF('월 가계부'!A2796="","",IF(ISNUMBER('월 가계부'!A2796),IF(AND('월 가계부'!A2796&gt;=19000101,'월 가계부'!A2796&lt;=21001231),IF(AND(MOD(INT('월 가계부'!A2796/100),100)&gt;=1,MOD(INT('월 가계부'!A2796/100),100)&lt;=12,MOD(INT('월 가계부'!A2796),100)&gt;=1,MOD(INT('월 가계부'!A2796),100)&lt;=31),IF(MONTH(DATE(INT('월 가계부'!A2796/10000),MOD(INT('월 가계부'!A2796/100),100),MOD(INT('월 가계부'!A2796),100)))=MOD(INT('월 가계부'!A2796/100),100),DATE(INT('월 가계부'!A2796/10000),MOD(INT('월 가계부'!A2796/100),100),MOD(INT('월 가계부'!A2796),100)),""),""),IF(AND('월 가계부'!A2796&gt;=36526,'월 가계부'!A2796&lt;73051),INT('월 가계부'!A2796),"")),IF(OR(CM2796="",CN2796="",CO2796=""),"",IF(AND(CM2796&gt;=2000,CM2796&lt;=2099,CN2796&gt;=1,CN2796&lt;=12,CO2796&gt;=1,CO2796&lt;=31),IF(MONTH(DATE(CM2796,CN2796,CO2796))=CN2796,DATE(CM2796,CN2796,CO2796),""),"")))),"")</f>
        <v/>
      </c>
      <c r="CJ2796">
        <f>IFERROR(IF('월 가계부'!C2796="","",IF(ISNUMBER('월 가계부'!C2796),'월 가계부'!C2796,VALUE(SUBSTITUTE(SUBSTITUTE(SUBSTITUTE(SUBSTITUTE(TRIM('월 가계부'!C2796),",",""),"원","")," ",""),"−","-")))),"")</f>
        <v/>
      </c>
      <c r="CK2796">
        <f>IF(ISNUMBER(CI2796),IF(CI2796&lt;$B$13,CI2796,""),"")</f>
        <v/>
      </c>
      <c r="CM2796">
        <f>IF(CH2796="","",IFERROR(IF(IF(AND(LEN(CH2796)=9,ISERROR(FIND("-",LEFT(CH2796,8))),ISNUMBER(-LEFT(CH2796,8))),VALUE(LEFT(CH2796,4)),VALUE(LEFT(CH2796,FIND("-",CH2796)-1)))&lt;100,IF(AND(LEN(CH2796)=9,ISERROR(FIND("-",LEFT(CH2796,8))),ISNUMBER(-LEFT(CH2796,8))),VALUE(LEFT(CH2796,4)),VALUE(LEFT(CH2796,FIND("-",CH2796)-1)))+2000,IF(AND(LEN(CH2796)=9,ISERROR(FIND("-",LEFT(CH2796,8))),ISNUMBER(-LEFT(CH2796,8))),VALUE(LEFT(CH2796,4)),VALUE(LEFT(CH2796,FIND("-",CH2796)-1)))),""))</f>
        <v/>
      </c>
      <c r="CN2796">
        <f>IF(CH2796="","",IFERROR(IF(AND(LEN(CH2796)=9,ISERROR(FIND("-",LEFT(CH2796,8))),ISNUMBER(-LEFT(CH2796,8))),VALUE(MID(CH2796,5,2)),VALUE(MID(CH2796,FIND("-",CH2796)+1,FIND("-",CH2796,FIND("-",CH2796)+1)-FIND("-",CH2796)-1))),""))</f>
        <v/>
      </c>
      <c r="CO2796">
        <f>IF(CH2796="","",IFERROR(IF(AND(LEN(CH2796)=9,ISERROR(FIND("-",LEFT(CH2796,8))),ISNUMBER(-LEFT(CH2796,8))),VALUE(MID(CH2796,7,2)),VALUE(MID(CH2796,FIND("-",CH2796,FIND("-",CH2796)+1)+1,FIND("-",CH2796,FIND("-",CH2796,FIND("-",CH2796)+1)+1)-FIND("-",CH2796,FIND("-",CH2796)+1)-1))),""))</f>
        <v/>
      </c>
    </row>
    <row r="2797">
      <c r="CH2797">
        <f>IF(ISTEXT('월 가계부'!A2797),SUBSTITUTE(SUBSTITUTE(SUBSTITUTE(SUBSTITUTE(SUBSTITUTE(SUBSTITUTE(SUBSTITUTE(SUBSTITUTE(SUBSTITUTE(TRIM('월 가계부'!A2797),"년","-"),"월","-"),"일",""),".","-"),"/","-")," ","-"),"--","-"),"--","-"),"--","-")&amp;"-","")</f>
        <v/>
      </c>
      <c r="CI2797">
        <f>IFERROR(IF('월 가계부'!A2797="","",IF(ISNUMBER('월 가계부'!A2797),IF(AND('월 가계부'!A2797&gt;=19000101,'월 가계부'!A2797&lt;=21001231),IF(AND(MOD(INT('월 가계부'!A2797/100),100)&gt;=1,MOD(INT('월 가계부'!A2797/100),100)&lt;=12,MOD(INT('월 가계부'!A2797),100)&gt;=1,MOD(INT('월 가계부'!A2797),100)&lt;=31),IF(MONTH(DATE(INT('월 가계부'!A2797/10000),MOD(INT('월 가계부'!A2797/100),100),MOD(INT('월 가계부'!A2797),100)))=MOD(INT('월 가계부'!A2797/100),100),DATE(INT('월 가계부'!A2797/10000),MOD(INT('월 가계부'!A2797/100),100),MOD(INT('월 가계부'!A2797),100)),""),""),IF(AND('월 가계부'!A2797&gt;=36526,'월 가계부'!A2797&lt;73051),INT('월 가계부'!A2797),"")),IF(OR(CM2797="",CN2797="",CO2797=""),"",IF(AND(CM2797&gt;=2000,CM2797&lt;=2099,CN2797&gt;=1,CN2797&lt;=12,CO2797&gt;=1,CO2797&lt;=31),IF(MONTH(DATE(CM2797,CN2797,CO2797))=CN2797,DATE(CM2797,CN2797,CO2797),""),"")))),"")</f>
        <v/>
      </c>
      <c r="CJ2797">
        <f>IFERROR(IF('월 가계부'!C2797="","",IF(ISNUMBER('월 가계부'!C2797),'월 가계부'!C2797,VALUE(SUBSTITUTE(SUBSTITUTE(SUBSTITUTE(SUBSTITUTE(TRIM('월 가계부'!C2797),",",""),"원","")," ",""),"−","-")))),"")</f>
        <v/>
      </c>
      <c r="CK2797">
        <f>IF(ISNUMBER(CI2797),IF(CI2797&lt;$B$13,CI2797,""),"")</f>
        <v/>
      </c>
      <c r="CM2797">
        <f>IF(CH2797="","",IFERROR(IF(IF(AND(LEN(CH2797)=9,ISERROR(FIND("-",LEFT(CH2797,8))),ISNUMBER(-LEFT(CH2797,8))),VALUE(LEFT(CH2797,4)),VALUE(LEFT(CH2797,FIND("-",CH2797)-1)))&lt;100,IF(AND(LEN(CH2797)=9,ISERROR(FIND("-",LEFT(CH2797,8))),ISNUMBER(-LEFT(CH2797,8))),VALUE(LEFT(CH2797,4)),VALUE(LEFT(CH2797,FIND("-",CH2797)-1)))+2000,IF(AND(LEN(CH2797)=9,ISERROR(FIND("-",LEFT(CH2797,8))),ISNUMBER(-LEFT(CH2797,8))),VALUE(LEFT(CH2797,4)),VALUE(LEFT(CH2797,FIND("-",CH2797)-1)))),""))</f>
        <v/>
      </c>
      <c r="CN2797">
        <f>IF(CH2797="","",IFERROR(IF(AND(LEN(CH2797)=9,ISERROR(FIND("-",LEFT(CH2797,8))),ISNUMBER(-LEFT(CH2797,8))),VALUE(MID(CH2797,5,2)),VALUE(MID(CH2797,FIND("-",CH2797)+1,FIND("-",CH2797,FIND("-",CH2797)+1)-FIND("-",CH2797)-1))),""))</f>
        <v/>
      </c>
      <c r="CO2797">
        <f>IF(CH2797="","",IFERROR(IF(AND(LEN(CH2797)=9,ISERROR(FIND("-",LEFT(CH2797,8))),ISNUMBER(-LEFT(CH2797,8))),VALUE(MID(CH2797,7,2)),VALUE(MID(CH2797,FIND("-",CH2797,FIND("-",CH2797)+1)+1,FIND("-",CH2797,FIND("-",CH2797,FIND("-",CH2797)+1)+1)-FIND("-",CH2797,FIND("-",CH2797)+1)-1))),""))</f>
        <v/>
      </c>
    </row>
    <row r="2798">
      <c r="CH2798">
        <f>IF(ISTEXT('월 가계부'!A2798),SUBSTITUTE(SUBSTITUTE(SUBSTITUTE(SUBSTITUTE(SUBSTITUTE(SUBSTITUTE(SUBSTITUTE(SUBSTITUTE(SUBSTITUTE(TRIM('월 가계부'!A2798),"년","-"),"월","-"),"일",""),".","-"),"/","-")," ","-"),"--","-"),"--","-"),"--","-")&amp;"-","")</f>
        <v/>
      </c>
      <c r="CI2798">
        <f>IFERROR(IF('월 가계부'!A2798="","",IF(ISNUMBER('월 가계부'!A2798),IF(AND('월 가계부'!A2798&gt;=19000101,'월 가계부'!A2798&lt;=21001231),IF(AND(MOD(INT('월 가계부'!A2798/100),100)&gt;=1,MOD(INT('월 가계부'!A2798/100),100)&lt;=12,MOD(INT('월 가계부'!A2798),100)&gt;=1,MOD(INT('월 가계부'!A2798),100)&lt;=31),IF(MONTH(DATE(INT('월 가계부'!A2798/10000),MOD(INT('월 가계부'!A2798/100),100),MOD(INT('월 가계부'!A2798),100)))=MOD(INT('월 가계부'!A2798/100),100),DATE(INT('월 가계부'!A2798/10000),MOD(INT('월 가계부'!A2798/100),100),MOD(INT('월 가계부'!A2798),100)),""),""),IF(AND('월 가계부'!A2798&gt;=36526,'월 가계부'!A2798&lt;73051),INT('월 가계부'!A2798),"")),IF(OR(CM2798="",CN2798="",CO2798=""),"",IF(AND(CM2798&gt;=2000,CM2798&lt;=2099,CN2798&gt;=1,CN2798&lt;=12,CO2798&gt;=1,CO2798&lt;=31),IF(MONTH(DATE(CM2798,CN2798,CO2798))=CN2798,DATE(CM2798,CN2798,CO2798),""),"")))),"")</f>
        <v/>
      </c>
      <c r="CJ2798">
        <f>IFERROR(IF('월 가계부'!C2798="","",IF(ISNUMBER('월 가계부'!C2798),'월 가계부'!C2798,VALUE(SUBSTITUTE(SUBSTITUTE(SUBSTITUTE(SUBSTITUTE(TRIM('월 가계부'!C2798),",",""),"원","")," ",""),"−","-")))),"")</f>
        <v/>
      </c>
      <c r="CK2798">
        <f>IF(ISNUMBER(CI2798),IF(CI2798&lt;$B$13,CI2798,""),"")</f>
        <v/>
      </c>
      <c r="CM2798">
        <f>IF(CH2798="","",IFERROR(IF(IF(AND(LEN(CH2798)=9,ISERROR(FIND("-",LEFT(CH2798,8))),ISNUMBER(-LEFT(CH2798,8))),VALUE(LEFT(CH2798,4)),VALUE(LEFT(CH2798,FIND("-",CH2798)-1)))&lt;100,IF(AND(LEN(CH2798)=9,ISERROR(FIND("-",LEFT(CH2798,8))),ISNUMBER(-LEFT(CH2798,8))),VALUE(LEFT(CH2798,4)),VALUE(LEFT(CH2798,FIND("-",CH2798)-1)))+2000,IF(AND(LEN(CH2798)=9,ISERROR(FIND("-",LEFT(CH2798,8))),ISNUMBER(-LEFT(CH2798,8))),VALUE(LEFT(CH2798,4)),VALUE(LEFT(CH2798,FIND("-",CH2798)-1)))),""))</f>
        <v/>
      </c>
      <c r="CN2798">
        <f>IF(CH2798="","",IFERROR(IF(AND(LEN(CH2798)=9,ISERROR(FIND("-",LEFT(CH2798,8))),ISNUMBER(-LEFT(CH2798,8))),VALUE(MID(CH2798,5,2)),VALUE(MID(CH2798,FIND("-",CH2798)+1,FIND("-",CH2798,FIND("-",CH2798)+1)-FIND("-",CH2798)-1))),""))</f>
        <v/>
      </c>
      <c r="CO2798">
        <f>IF(CH2798="","",IFERROR(IF(AND(LEN(CH2798)=9,ISERROR(FIND("-",LEFT(CH2798,8))),ISNUMBER(-LEFT(CH2798,8))),VALUE(MID(CH2798,7,2)),VALUE(MID(CH2798,FIND("-",CH2798,FIND("-",CH2798)+1)+1,FIND("-",CH2798,FIND("-",CH2798,FIND("-",CH2798)+1)+1)-FIND("-",CH2798,FIND("-",CH2798)+1)-1))),""))</f>
        <v/>
      </c>
    </row>
    <row r="2799">
      <c r="CH2799">
        <f>IF(ISTEXT('월 가계부'!A2799),SUBSTITUTE(SUBSTITUTE(SUBSTITUTE(SUBSTITUTE(SUBSTITUTE(SUBSTITUTE(SUBSTITUTE(SUBSTITUTE(SUBSTITUTE(TRIM('월 가계부'!A2799),"년","-"),"월","-"),"일",""),".","-"),"/","-")," ","-"),"--","-"),"--","-"),"--","-")&amp;"-","")</f>
        <v/>
      </c>
      <c r="CI2799">
        <f>IFERROR(IF('월 가계부'!A2799="","",IF(ISNUMBER('월 가계부'!A2799),IF(AND('월 가계부'!A2799&gt;=19000101,'월 가계부'!A2799&lt;=21001231),IF(AND(MOD(INT('월 가계부'!A2799/100),100)&gt;=1,MOD(INT('월 가계부'!A2799/100),100)&lt;=12,MOD(INT('월 가계부'!A2799),100)&gt;=1,MOD(INT('월 가계부'!A2799),100)&lt;=31),IF(MONTH(DATE(INT('월 가계부'!A2799/10000),MOD(INT('월 가계부'!A2799/100),100),MOD(INT('월 가계부'!A2799),100)))=MOD(INT('월 가계부'!A2799/100),100),DATE(INT('월 가계부'!A2799/10000),MOD(INT('월 가계부'!A2799/100),100),MOD(INT('월 가계부'!A2799),100)),""),""),IF(AND('월 가계부'!A2799&gt;=36526,'월 가계부'!A2799&lt;73051),INT('월 가계부'!A2799),"")),IF(OR(CM2799="",CN2799="",CO2799=""),"",IF(AND(CM2799&gt;=2000,CM2799&lt;=2099,CN2799&gt;=1,CN2799&lt;=12,CO2799&gt;=1,CO2799&lt;=31),IF(MONTH(DATE(CM2799,CN2799,CO2799))=CN2799,DATE(CM2799,CN2799,CO2799),""),"")))),"")</f>
        <v/>
      </c>
      <c r="CJ2799">
        <f>IFERROR(IF('월 가계부'!C2799="","",IF(ISNUMBER('월 가계부'!C2799),'월 가계부'!C2799,VALUE(SUBSTITUTE(SUBSTITUTE(SUBSTITUTE(SUBSTITUTE(TRIM('월 가계부'!C2799),",",""),"원","")," ",""),"−","-")))),"")</f>
        <v/>
      </c>
      <c r="CK2799">
        <f>IF(ISNUMBER(CI2799),IF(CI2799&lt;$B$13,CI2799,""),"")</f>
        <v/>
      </c>
      <c r="CM2799">
        <f>IF(CH2799="","",IFERROR(IF(IF(AND(LEN(CH2799)=9,ISERROR(FIND("-",LEFT(CH2799,8))),ISNUMBER(-LEFT(CH2799,8))),VALUE(LEFT(CH2799,4)),VALUE(LEFT(CH2799,FIND("-",CH2799)-1)))&lt;100,IF(AND(LEN(CH2799)=9,ISERROR(FIND("-",LEFT(CH2799,8))),ISNUMBER(-LEFT(CH2799,8))),VALUE(LEFT(CH2799,4)),VALUE(LEFT(CH2799,FIND("-",CH2799)-1)))+2000,IF(AND(LEN(CH2799)=9,ISERROR(FIND("-",LEFT(CH2799,8))),ISNUMBER(-LEFT(CH2799,8))),VALUE(LEFT(CH2799,4)),VALUE(LEFT(CH2799,FIND("-",CH2799)-1)))),""))</f>
        <v/>
      </c>
      <c r="CN2799">
        <f>IF(CH2799="","",IFERROR(IF(AND(LEN(CH2799)=9,ISERROR(FIND("-",LEFT(CH2799,8))),ISNUMBER(-LEFT(CH2799,8))),VALUE(MID(CH2799,5,2)),VALUE(MID(CH2799,FIND("-",CH2799)+1,FIND("-",CH2799,FIND("-",CH2799)+1)-FIND("-",CH2799)-1))),""))</f>
        <v/>
      </c>
      <c r="CO2799">
        <f>IF(CH2799="","",IFERROR(IF(AND(LEN(CH2799)=9,ISERROR(FIND("-",LEFT(CH2799,8))),ISNUMBER(-LEFT(CH2799,8))),VALUE(MID(CH2799,7,2)),VALUE(MID(CH2799,FIND("-",CH2799,FIND("-",CH2799)+1)+1,FIND("-",CH2799,FIND("-",CH2799,FIND("-",CH2799)+1)+1)-FIND("-",CH2799,FIND("-",CH2799)+1)-1))),""))</f>
        <v/>
      </c>
    </row>
    <row r="2800">
      <c r="CH2800">
        <f>IF(ISTEXT('월 가계부'!A2800),SUBSTITUTE(SUBSTITUTE(SUBSTITUTE(SUBSTITUTE(SUBSTITUTE(SUBSTITUTE(SUBSTITUTE(SUBSTITUTE(SUBSTITUTE(TRIM('월 가계부'!A2800),"년","-"),"월","-"),"일",""),".","-"),"/","-")," ","-"),"--","-"),"--","-"),"--","-")&amp;"-","")</f>
        <v/>
      </c>
      <c r="CI2800">
        <f>IFERROR(IF('월 가계부'!A2800="","",IF(ISNUMBER('월 가계부'!A2800),IF(AND('월 가계부'!A2800&gt;=19000101,'월 가계부'!A2800&lt;=21001231),IF(AND(MOD(INT('월 가계부'!A2800/100),100)&gt;=1,MOD(INT('월 가계부'!A2800/100),100)&lt;=12,MOD(INT('월 가계부'!A2800),100)&gt;=1,MOD(INT('월 가계부'!A2800),100)&lt;=31),IF(MONTH(DATE(INT('월 가계부'!A2800/10000),MOD(INT('월 가계부'!A2800/100),100),MOD(INT('월 가계부'!A2800),100)))=MOD(INT('월 가계부'!A2800/100),100),DATE(INT('월 가계부'!A2800/10000),MOD(INT('월 가계부'!A2800/100),100),MOD(INT('월 가계부'!A2800),100)),""),""),IF(AND('월 가계부'!A2800&gt;=36526,'월 가계부'!A2800&lt;73051),INT('월 가계부'!A2800),"")),IF(OR(CM2800="",CN2800="",CO2800=""),"",IF(AND(CM2800&gt;=2000,CM2800&lt;=2099,CN2800&gt;=1,CN2800&lt;=12,CO2800&gt;=1,CO2800&lt;=31),IF(MONTH(DATE(CM2800,CN2800,CO2800))=CN2800,DATE(CM2800,CN2800,CO2800),""),"")))),"")</f>
        <v/>
      </c>
      <c r="CJ2800">
        <f>IFERROR(IF('월 가계부'!C2800="","",IF(ISNUMBER('월 가계부'!C2800),'월 가계부'!C2800,VALUE(SUBSTITUTE(SUBSTITUTE(SUBSTITUTE(SUBSTITUTE(TRIM('월 가계부'!C2800),",",""),"원","")," ",""),"−","-")))),"")</f>
        <v/>
      </c>
      <c r="CK2800">
        <f>IF(ISNUMBER(CI2800),IF(CI2800&lt;$B$13,CI2800,""),"")</f>
        <v/>
      </c>
      <c r="CM2800">
        <f>IF(CH2800="","",IFERROR(IF(IF(AND(LEN(CH2800)=9,ISERROR(FIND("-",LEFT(CH2800,8))),ISNUMBER(-LEFT(CH2800,8))),VALUE(LEFT(CH2800,4)),VALUE(LEFT(CH2800,FIND("-",CH2800)-1)))&lt;100,IF(AND(LEN(CH2800)=9,ISERROR(FIND("-",LEFT(CH2800,8))),ISNUMBER(-LEFT(CH2800,8))),VALUE(LEFT(CH2800,4)),VALUE(LEFT(CH2800,FIND("-",CH2800)-1)))+2000,IF(AND(LEN(CH2800)=9,ISERROR(FIND("-",LEFT(CH2800,8))),ISNUMBER(-LEFT(CH2800,8))),VALUE(LEFT(CH2800,4)),VALUE(LEFT(CH2800,FIND("-",CH2800)-1)))),""))</f>
        <v/>
      </c>
      <c r="CN2800">
        <f>IF(CH2800="","",IFERROR(IF(AND(LEN(CH2800)=9,ISERROR(FIND("-",LEFT(CH2800,8))),ISNUMBER(-LEFT(CH2800,8))),VALUE(MID(CH2800,5,2)),VALUE(MID(CH2800,FIND("-",CH2800)+1,FIND("-",CH2800,FIND("-",CH2800)+1)-FIND("-",CH2800)-1))),""))</f>
        <v/>
      </c>
      <c r="CO2800">
        <f>IF(CH2800="","",IFERROR(IF(AND(LEN(CH2800)=9,ISERROR(FIND("-",LEFT(CH2800,8))),ISNUMBER(-LEFT(CH2800,8))),VALUE(MID(CH2800,7,2)),VALUE(MID(CH2800,FIND("-",CH2800,FIND("-",CH2800)+1)+1,FIND("-",CH2800,FIND("-",CH2800,FIND("-",CH2800)+1)+1)-FIND("-",CH2800,FIND("-",CH2800)+1)-1))),""))</f>
        <v/>
      </c>
    </row>
    <row r="2801">
      <c r="CH2801">
        <f>IF(ISTEXT('월 가계부'!A2801),SUBSTITUTE(SUBSTITUTE(SUBSTITUTE(SUBSTITUTE(SUBSTITUTE(SUBSTITUTE(SUBSTITUTE(SUBSTITUTE(SUBSTITUTE(TRIM('월 가계부'!A2801),"년","-"),"월","-"),"일",""),".","-"),"/","-")," ","-"),"--","-"),"--","-"),"--","-")&amp;"-","")</f>
        <v/>
      </c>
      <c r="CI2801">
        <f>IFERROR(IF('월 가계부'!A2801="","",IF(ISNUMBER('월 가계부'!A2801),IF(AND('월 가계부'!A2801&gt;=19000101,'월 가계부'!A2801&lt;=21001231),IF(AND(MOD(INT('월 가계부'!A2801/100),100)&gt;=1,MOD(INT('월 가계부'!A2801/100),100)&lt;=12,MOD(INT('월 가계부'!A2801),100)&gt;=1,MOD(INT('월 가계부'!A2801),100)&lt;=31),IF(MONTH(DATE(INT('월 가계부'!A2801/10000),MOD(INT('월 가계부'!A2801/100),100),MOD(INT('월 가계부'!A2801),100)))=MOD(INT('월 가계부'!A2801/100),100),DATE(INT('월 가계부'!A2801/10000),MOD(INT('월 가계부'!A2801/100),100),MOD(INT('월 가계부'!A2801),100)),""),""),IF(AND('월 가계부'!A2801&gt;=36526,'월 가계부'!A2801&lt;73051),INT('월 가계부'!A2801),"")),IF(OR(CM2801="",CN2801="",CO2801=""),"",IF(AND(CM2801&gt;=2000,CM2801&lt;=2099,CN2801&gt;=1,CN2801&lt;=12,CO2801&gt;=1,CO2801&lt;=31),IF(MONTH(DATE(CM2801,CN2801,CO2801))=CN2801,DATE(CM2801,CN2801,CO2801),""),"")))),"")</f>
        <v/>
      </c>
      <c r="CJ2801">
        <f>IFERROR(IF('월 가계부'!C2801="","",IF(ISNUMBER('월 가계부'!C2801),'월 가계부'!C2801,VALUE(SUBSTITUTE(SUBSTITUTE(SUBSTITUTE(SUBSTITUTE(TRIM('월 가계부'!C2801),",",""),"원","")," ",""),"−","-")))),"")</f>
        <v/>
      </c>
      <c r="CK2801">
        <f>IF(ISNUMBER(CI2801),IF(CI2801&lt;$B$13,CI2801,""),"")</f>
        <v/>
      </c>
      <c r="CM2801">
        <f>IF(CH2801="","",IFERROR(IF(IF(AND(LEN(CH2801)=9,ISERROR(FIND("-",LEFT(CH2801,8))),ISNUMBER(-LEFT(CH2801,8))),VALUE(LEFT(CH2801,4)),VALUE(LEFT(CH2801,FIND("-",CH2801)-1)))&lt;100,IF(AND(LEN(CH2801)=9,ISERROR(FIND("-",LEFT(CH2801,8))),ISNUMBER(-LEFT(CH2801,8))),VALUE(LEFT(CH2801,4)),VALUE(LEFT(CH2801,FIND("-",CH2801)-1)))+2000,IF(AND(LEN(CH2801)=9,ISERROR(FIND("-",LEFT(CH2801,8))),ISNUMBER(-LEFT(CH2801,8))),VALUE(LEFT(CH2801,4)),VALUE(LEFT(CH2801,FIND("-",CH2801)-1)))),""))</f>
        <v/>
      </c>
      <c r="CN2801">
        <f>IF(CH2801="","",IFERROR(IF(AND(LEN(CH2801)=9,ISERROR(FIND("-",LEFT(CH2801,8))),ISNUMBER(-LEFT(CH2801,8))),VALUE(MID(CH2801,5,2)),VALUE(MID(CH2801,FIND("-",CH2801)+1,FIND("-",CH2801,FIND("-",CH2801)+1)-FIND("-",CH2801)-1))),""))</f>
        <v/>
      </c>
      <c r="CO2801">
        <f>IF(CH2801="","",IFERROR(IF(AND(LEN(CH2801)=9,ISERROR(FIND("-",LEFT(CH2801,8))),ISNUMBER(-LEFT(CH2801,8))),VALUE(MID(CH2801,7,2)),VALUE(MID(CH2801,FIND("-",CH2801,FIND("-",CH2801)+1)+1,FIND("-",CH2801,FIND("-",CH2801,FIND("-",CH2801)+1)+1)-FIND("-",CH2801,FIND("-",CH2801)+1)-1))),""))</f>
        <v/>
      </c>
    </row>
    <row r="2802">
      <c r="CH2802">
        <f>IF(ISTEXT('월 가계부'!A2802),SUBSTITUTE(SUBSTITUTE(SUBSTITUTE(SUBSTITUTE(SUBSTITUTE(SUBSTITUTE(SUBSTITUTE(SUBSTITUTE(SUBSTITUTE(TRIM('월 가계부'!A2802),"년","-"),"월","-"),"일",""),".","-"),"/","-")," ","-"),"--","-"),"--","-"),"--","-")&amp;"-","")</f>
        <v/>
      </c>
      <c r="CI2802">
        <f>IFERROR(IF('월 가계부'!A2802="","",IF(ISNUMBER('월 가계부'!A2802),IF(AND('월 가계부'!A2802&gt;=19000101,'월 가계부'!A2802&lt;=21001231),IF(AND(MOD(INT('월 가계부'!A2802/100),100)&gt;=1,MOD(INT('월 가계부'!A2802/100),100)&lt;=12,MOD(INT('월 가계부'!A2802),100)&gt;=1,MOD(INT('월 가계부'!A2802),100)&lt;=31),IF(MONTH(DATE(INT('월 가계부'!A2802/10000),MOD(INT('월 가계부'!A2802/100),100),MOD(INT('월 가계부'!A2802),100)))=MOD(INT('월 가계부'!A2802/100),100),DATE(INT('월 가계부'!A2802/10000),MOD(INT('월 가계부'!A2802/100),100),MOD(INT('월 가계부'!A2802),100)),""),""),IF(AND('월 가계부'!A2802&gt;=36526,'월 가계부'!A2802&lt;73051),INT('월 가계부'!A2802),"")),IF(OR(CM2802="",CN2802="",CO2802=""),"",IF(AND(CM2802&gt;=2000,CM2802&lt;=2099,CN2802&gt;=1,CN2802&lt;=12,CO2802&gt;=1,CO2802&lt;=31),IF(MONTH(DATE(CM2802,CN2802,CO2802))=CN2802,DATE(CM2802,CN2802,CO2802),""),"")))),"")</f>
        <v/>
      </c>
      <c r="CJ2802">
        <f>IFERROR(IF('월 가계부'!C2802="","",IF(ISNUMBER('월 가계부'!C2802),'월 가계부'!C2802,VALUE(SUBSTITUTE(SUBSTITUTE(SUBSTITUTE(SUBSTITUTE(TRIM('월 가계부'!C2802),",",""),"원","")," ",""),"−","-")))),"")</f>
        <v/>
      </c>
      <c r="CK2802">
        <f>IF(ISNUMBER(CI2802),IF(CI2802&lt;$B$13,CI2802,""),"")</f>
        <v/>
      </c>
      <c r="CM2802">
        <f>IF(CH2802="","",IFERROR(IF(IF(AND(LEN(CH2802)=9,ISERROR(FIND("-",LEFT(CH2802,8))),ISNUMBER(-LEFT(CH2802,8))),VALUE(LEFT(CH2802,4)),VALUE(LEFT(CH2802,FIND("-",CH2802)-1)))&lt;100,IF(AND(LEN(CH2802)=9,ISERROR(FIND("-",LEFT(CH2802,8))),ISNUMBER(-LEFT(CH2802,8))),VALUE(LEFT(CH2802,4)),VALUE(LEFT(CH2802,FIND("-",CH2802)-1)))+2000,IF(AND(LEN(CH2802)=9,ISERROR(FIND("-",LEFT(CH2802,8))),ISNUMBER(-LEFT(CH2802,8))),VALUE(LEFT(CH2802,4)),VALUE(LEFT(CH2802,FIND("-",CH2802)-1)))),""))</f>
        <v/>
      </c>
      <c r="CN2802">
        <f>IF(CH2802="","",IFERROR(IF(AND(LEN(CH2802)=9,ISERROR(FIND("-",LEFT(CH2802,8))),ISNUMBER(-LEFT(CH2802,8))),VALUE(MID(CH2802,5,2)),VALUE(MID(CH2802,FIND("-",CH2802)+1,FIND("-",CH2802,FIND("-",CH2802)+1)-FIND("-",CH2802)-1))),""))</f>
        <v/>
      </c>
      <c r="CO2802">
        <f>IF(CH2802="","",IFERROR(IF(AND(LEN(CH2802)=9,ISERROR(FIND("-",LEFT(CH2802,8))),ISNUMBER(-LEFT(CH2802,8))),VALUE(MID(CH2802,7,2)),VALUE(MID(CH2802,FIND("-",CH2802,FIND("-",CH2802)+1)+1,FIND("-",CH2802,FIND("-",CH2802,FIND("-",CH2802)+1)+1)-FIND("-",CH2802,FIND("-",CH2802)+1)-1))),""))</f>
        <v/>
      </c>
    </row>
    <row r="2803">
      <c r="CH2803">
        <f>IF(ISTEXT('월 가계부'!A2803),SUBSTITUTE(SUBSTITUTE(SUBSTITUTE(SUBSTITUTE(SUBSTITUTE(SUBSTITUTE(SUBSTITUTE(SUBSTITUTE(SUBSTITUTE(TRIM('월 가계부'!A2803),"년","-"),"월","-"),"일",""),".","-"),"/","-")," ","-"),"--","-"),"--","-"),"--","-")&amp;"-","")</f>
        <v/>
      </c>
      <c r="CI2803">
        <f>IFERROR(IF('월 가계부'!A2803="","",IF(ISNUMBER('월 가계부'!A2803),IF(AND('월 가계부'!A2803&gt;=19000101,'월 가계부'!A2803&lt;=21001231),IF(AND(MOD(INT('월 가계부'!A2803/100),100)&gt;=1,MOD(INT('월 가계부'!A2803/100),100)&lt;=12,MOD(INT('월 가계부'!A2803),100)&gt;=1,MOD(INT('월 가계부'!A2803),100)&lt;=31),IF(MONTH(DATE(INT('월 가계부'!A2803/10000),MOD(INT('월 가계부'!A2803/100),100),MOD(INT('월 가계부'!A2803),100)))=MOD(INT('월 가계부'!A2803/100),100),DATE(INT('월 가계부'!A2803/10000),MOD(INT('월 가계부'!A2803/100),100),MOD(INT('월 가계부'!A2803),100)),""),""),IF(AND('월 가계부'!A2803&gt;=36526,'월 가계부'!A2803&lt;73051),INT('월 가계부'!A2803),"")),IF(OR(CM2803="",CN2803="",CO2803=""),"",IF(AND(CM2803&gt;=2000,CM2803&lt;=2099,CN2803&gt;=1,CN2803&lt;=12,CO2803&gt;=1,CO2803&lt;=31),IF(MONTH(DATE(CM2803,CN2803,CO2803))=CN2803,DATE(CM2803,CN2803,CO2803),""),"")))),"")</f>
        <v/>
      </c>
      <c r="CJ2803">
        <f>IFERROR(IF('월 가계부'!C2803="","",IF(ISNUMBER('월 가계부'!C2803),'월 가계부'!C2803,VALUE(SUBSTITUTE(SUBSTITUTE(SUBSTITUTE(SUBSTITUTE(TRIM('월 가계부'!C2803),",",""),"원","")," ",""),"−","-")))),"")</f>
        <v/>
      </c>
      <c r="CK2803">
        <f>IF(ISNUMBER(CI2803),IF(CI2803&lt;$B$13,CI2803,""),"")</f>
        <v/>
      </c>
      <c r="CM2803">
        <f>IF(CH2803="","",IFERROR(IF(IF(AND(LEN(CH2803)=9,ISERROR(FIND("-",LEFT(CH2803,8))),ISNUMBER(-LEFT(CH2803,8))),VALUE(LEFT(CH2803,4)),VALUE(LEFT(CH2803,FIND("-",CH2803)-1)))&lt;100,IF(AND(LEN(CH2803)=9,ISERROR(FIND("-",LEFT(CH2803,8))),ISNUMBER(-LEFT(CH2803,8))),VALUE(LEFT(CH2803,4)),VALUE(LEFT(CH2803,FIND("-",CH2803)-1)))+2000,IF(AND(LEN(CH2803)=9,ISERROR(FIND("-",LEFT(CH2803,8))),ISNUMBER(-LEFT(CH2803,8))),VALUE(LEFT(CH2803,4)),VALUE(LEFT(CH2803,FIND("-",CH2803)-1)))),""))</f>
        <v/>
      </c>
      <c r="CN2803">
        <f>IF(CH2803="","",IFERROR(IF(AND(LEN(CH2803)=9,ISERROR(FIND("-",LEFT(CH2803,8))),ISNUMBER(-LEFT(CH2803,8))),VALUE(MID(CH2803,5,2)),VALUE(MID(CH2803,FIND("-",CH2803)+1,FIND("-",CH2803,FIND("-",CH2803)+1)-FIND("-",CH2803)-1))),""))</f>
        <v/>
      </c>
      <c r="CO2803">
        <f>IF(CH2803="","",IFERROR(IF(AND(LEN(CH2803)=9,ISERROR(FIND("-",LEFT(CH2803,8))),ISNUMBER(-LEFT(CH2803,8))),VALUE(MID(CH2803,7,2)),VALUE(MID(CH2803,FIND("-",CH2803,FIND("-",CH2803)+1)+1,FIND("-",CH2803,FIND("-",CH2803,FIND("-",CH2803)+1)+1)-FIND("-",CH2803,FIND("-",CH2803)+1)-1))),""))</f>
        <v/>
      </c>
    </row>
    <row r="2804">
      <c r="CH2804">
        <f>IF(ISTEXT('월 가계부'!A2804),SUBSTITUTE(SUBSTITUTE(SUBSTITUTE(SUBSTITUTE(SUBSTITUTE(SUBSTITUTE(SUBSTITUTE(SUBSTITUTE(SUBSTITUTE(TRIM('월 가계부'!A2804),"년","-"),"월","-"),"일",""),".","-"),"/","-")," ","-"),"--","-"),"--","-"),"--","-")&amp;"-","")</f>
        <v/>
      </c>
      <c r="CI2804">
        <f>IFERROR(IF('월 가계부'!A2804="","",IF(ISNUMBER('월 가계부'!A2804),IF(AND('월 가계부'!A2804&gt;=19000101,'월 가계부'!A2804&lt;=21001231),IF(AND(MOD(INT('월 가계부'!A2804/100),100)&gt;=1,MOD(INT('월 가계부'!A2804/100),100)&lt;=12,MOD(INT('월 가계부'!A2804),100)&gt;=1,MOD(INT('월 가계부'!A2804),100)&lt;=31),IF(MONTH(DATE(INT('월 가계부'!A2804/10000),MOD(INT('월 가계부'!A2804/100),100),MOD(INT('월 가계부'!A2804),100)))=MOD(INT('월 가계부'!A2804/100),100),DATE(INT('월 가계부'!A2804/10000),MOD(INT('월 가계부'!A2804/100),100),MOD(INT('월 가계부'!A2804),100)),""),""),IF(AND('월 가계부'!A2804&gt;=36526,'월 가계부'!A2804&lt;73051),INT('월 가계부'!A2804),"")),IF(OR(CM2804="",CN2804="",CO2804=""),"",IF(AND(CM2804&gt;=2000,CM2804&lt;=2099,CN2804&gt;=1,CN2804&lt;=12,CO2804&gt;=1,CO2804&lt;=31),IF(MONTH(DATE(CM2804,CN2804,CO2804))=CN2804,DATE(CM2804,CN2804,CO2804),""),"")))),"")</f>
        <v/>
      </c>
      <c r="CJ2804">
        <f>IFERROR(IF('월 가계부'!C2804="","",IF(ISNUMBER('월 가계부'!C2804),'월 가계부'!C2804,VALUE(SUBSTITUTE(SUBSTITUTE(SUBSTITUTE(SUBSTITUTE(TRIM('월 가계부'!C2804),",",""),"원","")," ",""),"−","-")))),"")</f>
        <v/>
      </c>
      <c r="CK2804">
        <f>IF(ISNUMBER(CI2804),IF(CI2804&lt;$B$13,CI2804,""),"")</f>
        <v/>
      </c>
      <c r="CM2804">
        <f>IF(CH2804="","",IFERROR(IF(IF(AND(LEN(CH2804)=9,ISERROR(FIND("-",LEFT(CH2804,8))),ISNUMBER(-LEFT(CH2804,8))),VALUE(LEFT(CH2804,4)),VALUE(LEFT(CH2804,FIND("-",CH2804)-1)))&lt;100,IF(AND(LEN(CH2804)=9,ISERROR(FIND("-",LEFT(CH2804,8))),ISNUMBER(-LEFT(CH2804,8))),VALUE(LEFT(CH2804,4)),VALUE(LEFT(CH2804,FIND("-",CH2804)-1)))+2000,IF(AND(LEN(CH2804)=9,ISERROR(FIND("-",LEFT(CH2804,8))),ISNUMBER(-LEFT(CH2804,8))),VALUE(LEFT(CH2804,4)),VALUE(LEFT(CH2804,FIND("-",CH2804)-1)))),""))</f>
        <v/>
      </c>
      <c r="CN2804">
        <f>IF(CH2804="","",IFERROR(IF(AND(LEN(CH2804)=9,ISERROR(FIND("-",LEFT(CH2804,8))),ISNUMBER(-LEFT(CH2804,8))),VALUE(MID(CH2804,5,2)),VALUE(MID(CH2804,FIND("-",CH2804)+1,FIND("-",CH2804,FIND("-",CH2804)+1)-FIND("-",CH2804)-1))),""))</f>
        <v/>
      </c>
      <c r="CO2804">
        <f>IF(CH2804="","",IFERROR(IF(AND(LEN(CH2804)=9,ISERROR(FIND("-",LEFT(CH2804,8))),ISNUMBER(-LEFT(CH2804,8))),VALUE(MID(CH2804,7,2)),VALUE(MID(CH2804,FIND("-",CH2804,FIND("-",CH2804)+1)+1,FIND("-",CH2804,FIND("-",CH2804,FIND("-",CH2804)+1)+1)-FIND("-",CH2804,FIND("-",CH2804)+1)-1))),""))</f>
        <v/>
      </c>
    </row>
    <row r="2805">
      <c r="CH2805">
        <f>IF(ISTEXT('월 가계부'!A2805),SUBSTITUTE(SUBSTITUTE(SUBSTITUTE(SUBSTITUTE(SUBSTITUTE(SUBSTITUTE(SUBSTITUTE(SUBSTITUTE(SUBSTITUTE(TRIM('월 가계부'!A2805),"년","-"),"월","-"),"일",""),".","-"),"/","-")," ","-"),"--","-"),"--","-"),"--","-")&amp;"-","")</f>
        <v/>
      </c>
      <c r="CI2805">
        <f>IFERROR(IF('월 가계부'!A2805="","",IF(ISNUMBER('월 가계부'!A2805),IF(AND('월 가계부'!A2805&gt;=19000101,'월 가계부'!A2805&lt;=21001231),IF(AND(MOD(INT('월 가계부'!A2805/100),100)&gt;=1,MOD(INT('월 가계부'!A2805/100),100)&lt;=12,MOD(INT('월 가계부'!A2805),100)&gt;=1,MOD(INT('월 가계부'!A2805),100)&lt;=31),IF(MONTH(DATE(INT('월 가계부'!A2805/10000),MOD(INT('월 가계부'!A2805/100),100),MOD(INT('월 가계부'!A2805),100)))=MOD(INT('월 가계부'!A2805/100),100),DATE(INT('월 가계부'!A2805/10000),MOD(INT('월 가계부'!A2805/100),100),MOD(INT('월 가계부'!A2805),100)),""),""),IF(AND('월 가계부'!A2805&gt;=36526,'월 가계부'!A2805&lt;73051),INT('월 가계부'!A2805),"")),IF(OR(CM2805="",CN2805="",CO2805=""),"",IF(AND(CM2805&gt;=2000,CM2805&lt;=2099,CN2805&gt;=1,CN2805&lt;=12,CO2805&gt;=1,CO2805&lt;=31),IF(MONTH(DATE(CM2805,CN2805,CO2805))=CN2805,DATE(CM2805,CN2805,CO2805),""),"")))),"")</f>
        <v/>
      </c>
      <c r="CJ2805">
        <f>IFERROR(IF('월 가계부'!C2805="","",IF(ISNUMBER('월 가계부'!C2805),'월 가계부'!C2805,VALUE(SUBSTITUTE(SUBSTITUTE(SUBSTITUTE(SUBSTITUTE(TRIM('월 가계부'!C2805),",",""),"원","")," ",""),"−","-")))),"")</f>
        <v/>
      </c>
      <c r="CK2805">
        <f>IF(ISNUMBER(CI2805),IF(CI2805&lt;$B$13,CI2805,""),"")</f>
        <v/>
      </c>
      <c r="CM2805">
        <f>IF(CH2805="","",IFERROR(IF(IF(AND(LEN(CH2805)=9,ISERROR(FIND("-",LEFT(CH2805,8))),ISNUMBER(-LEFT(CH2805,8))),VALUE(LEFT(CH2805,4)),VALUE(LEFT(CH2805,FIND("-",CH2805)-1)))&lt;100,IF(AND(LEN(CH2805)=9,ISERROR(FIND("-",LEFT(CH2805,8))),ISNUMBER(-LEFT(CH2805,8))),VALUE(LEFT(CH2805,4)),VALUE(LEFT(CH2805,FIND("-",CH2805)-1)))+2000,IF(AND(LEN(CH2805)=9,ISERROR(FIND("-",LEFT(CH2805,8))),ISNUMBER(-LEFT(CH2805,8))),VALUE(LEFT(CH2805,4)),VALUE(LEFT(CH2805,FIND("-",CH2805)-1)))),""))</f>
        <v/>
      </c>
      <c r="CN2805">
        <f>IF(CH2805="","",IFERROR(IF(AND(LEN(CH2805)=9,ISERROR(FIND("-",LEFT(CH2805,8))),ISNUMBER(-LEFT(CH2805,8))),VALUE(MID(CH2805,5,2)),VALUE(MID(CH2805,FIND("-",CH2805)+1,FIND("-",CH2805,FIND("-",CH2805)+1)-FIND("-",CH2805)-1))),""))</f>
        <v/>
      </c>
      <c r="CO2805">
        <f>IF(CH2805="","",IFERROR(IF(AND(LEN(CH2805)=9,ISERROR(FIND("-",LEFT(CH2805,8))),ISNUMBER(-LEFT(CH2805,8))),VALUE(MID(CH2805,7,2)),VALUE(MID(CH2805,FIND("-",CH2805,FIND("-",CH2805)+1)+1,FIND("-",CH2805,FIND("-",CH2805,FIND("-",CH2805)+1)+1)-FIND("-",CH2805,FIND("-",CH2805)+1)-1))),""))</f>
        <v/>
      </c>
    </row>
    <row r="2806">
      <c r="CH2806">
        <f>IF(ISTEXT('월 가계부'!A2806),SUBSTITUTE(SUBSTITUTE(SUBSTITUTE(SUBSTITUTE(SUBSTITUTE(SUBSTITUTE(SUBSTITUTE(SUBSTITUTE(SUBSTITUTE(TRIM('월 가계부'!A2806),"년","-"),"월","-"),"일",""),".","-"),"/","-")," ","-"),"--","-"),"--","-"),"--","-")&amp;"-","")</f>
        <v/>
      </c>
      <c r="CI2806">
        <f>IFERROR(IF('월 가계부'!A2806="","",IF(ISNUMBER('월 가계부'!A2806),IF(AND('월 가계부'!A2806&gt;=19000101,'월 가계부'!A2806&lt;=21001231),IF(AND(MOD(INT('월 가계부'!A2806/100),100)&gt;=1,MOD(INT('월 가계부'!A2806/100),100)&lt;=12,MOD(INT('월 가계부'!A2806),100)&gt;=1,MOD(INT('월 가계부'!A2806),100)&lt;=31),IF(MONTH(DATE(INT('월 가계부'!A2806/10000),MOD(INT('월 가계부'!A2806/100),100),MOD(INT('월 가계부'!A2806),100)))=MOD(INT('월 가계부'!A2806/100),100),DATE(INT('월 가계부'!A2806/10000),MOD(INT('월 가계부'!A2806/100),100),MOD(INT('월 가계부'!A2806),100)),""),""),IF(AND('월 가계부'!A2806&gt;=36526,'월 가계부'!A2806&lt;73051),INT('월 가계부'!A2806),"")),IF(OR(CM2806="",CN2806="",CO2806=""),"",IF(AND(CM2806&gt;=2000,CM2806&lt;=2099,CN2806&gt;=1,CN2806&lt;=12,CO2806&gt;=1,CO2806&lt;=31),IF(MONTH(DATE(CM2806,CN2806,CO2806))=CN2806,DATE(CM2806,CN2806,CO2806),""),"")))),"")</f>
        <v/>
      </c>
      <c r="CJ2806">
        <f>IFERROR(IF('월 가계부'!C2806="","",IF(ISNUMBER('월 가계부'!C2806),'월 가계부'!C2806,VALUE(SUBSTITUTE(SUBSTITUTE(SUBSTITUTE(SUBSTITUTE(TRIM('월 가계부'!C2806),",",""),"원","")," ",""),"−","-")))),"")</f>
        <v/>
      </c>
      <c r="CK2806">
        <f>IF(ISNUMBER(CI2806),IF(CI2806&lt;$B$13,CI2806,""),"")</f>
        <v/>
      </c>
      <c r="CM2806">
        <f>IF(CH2806="","",IFERROR(IF(IF(AND(LEN(CH2806)=9,ISERROR(FIND("-",LEFT(CH2806,8))),ISNUMBER(-LEFT(CH2806,8))),VALUE(LEFT(CH2806,4)),VALUE(LEFT(CH2806,FIND("-",CH2806)-1)))&lt;100,IF(AND(LEN(CH2806)=9,ISERROR(FIND("-",LEFT(CH2806,8))),ISNUMBER(-LEFT(CH2806,8))),VALUE(LEFT(CH2806,4)),VALUE(LEFT(CH2806,FIND("-",CH2806)-1)))+2000,IF(AND(LEN(CH2806)=9,ISERROR(FIND("-",LEFT(CH2806,8))),ISNUMBER(-LEFT(CH2806,8))),VALUE(LEFT(CH2806,4)),VALUE(LEFT(CH2806,FIND("-",CH2806)-1)))),""))</f>
        <v/>
      </c>
      <c r="CN2806">
        <f>IF(CH2806="","",IFERROR(IF(AND(LEN(CH2806)=9,ISERROR(FIND("-",LEFT(CH2806,8))),ISNUMBER(-LEFT(CH2806,8))),VALUE(MID(CH2806,5,2)),VALUE(MID(CH2806,FIND("-",CH2806)+1,FIND("-",CH2806,FIND("-",CH2806)+1)-FIND("-",CH2806)-1))),""))</f>
        <v/>
      </c>
      <c r="CO2806">
        <f>IF(CH2806="","",IFERROR(IF(AND(LEN(CH2806)=9,ISERROR(FIND("-",LEFT(CH2806,8))),ISNUMBER(-LEFT(CH2806,8))),VALUE(MID(CH2806,7,2)),VALUE(MID(CH2806,FIND("-",CH2806,FIND("-",CH2806)+1)+1,FIND("-",CH2806,FIND("-",CH2806,FIND("-",CH2806)+1)+1)-FIND("-",CH2806,FIND("-",CH2806)+1)-1))),""))</f>
        <v/>
      </c>
    </row>
    <row r="2807">
      <c r="CH2807">
        <f>IF(ISTEXT('월 가계부'!A2807),SUBSTITUTE(SUBSTITUTE(SUBSTITUTE(SUBSTITUTE(SUBSTITUTE(SUBSTITUTE(SUBSTITUTE(SUBSTITUTE(SUBSTITUTE(TRIM('월 가계부'!A2807),"년","-"),"월","-"),"일",""),".","-"),"/","-")," ","-"),"--","-"),"--","-"),"--","-")&amp;"-","")</f>
        <v/>
      </c>
      <c r="CI2807">
        <f>IFERROR(IF('월 가계부'!A2807="","",IF(ISNUMBER('월 가계부'!A2807),IF(AND('월 가계부'!A2807&gt;=19000101,'월 가계부'!A2807&lt;=21001231),IF(AND(MOD(INT('월 가계부'!A2807/100),100)&gt;=1,MOD(INT('월 가계부'!A2807/100),100)&lt;=12,MOD(INT('월 가계부'!A2807),100)&gt;=1,MOD(INT('월 가계부'!A2807),100)&lt;=31),IF(MONTH(DATE(INT('월 가계부'!A2807/10000),MOD(INT('월 가계부'!A2807/100),100),MOD(INT('월 가계부'!A2807),100)))=MOD(INT('월 가계부'!A2807/100),100),DATE(INT('월 가계부'!A2807/10000),MOD(INT('월 가계부'!A2807/100),100),MOD(INT('월 가계부'!A2807),100)),""),""),IF(AND('월 가계부'!A2807&gt;=36526,'월 가계부'!A2807&lt;73051),INT('월 가계부'!A2807),"")),IF(OR(CM2807="",CN2807="",CO2807=""),"",IF(AND(CM2807&gt;=2000,CM2807&lt;=2099,CN2807&gt;=1,CN2807&lt;=12,CO2807&gt;=1,CO2807&lt;=31),IF(MONTH(DATE(CM2807,CN2807,CO2807))=CN2807,DATE(CM2807,CN2807,CO2807),""),"")))),"")</f>
        <v/>
      </c>
      <c r="CJ2807">
        <f>IFERROR(IF('월 가계부'!C2807="","",IF(ISNUMBER('월 가계부'!C2807),'월 가계부'!C2807,VALUE(SUBSTITUTE(SUBSTITUTE(SUBSTITUTE(SUBSTITUTE(TRIM('월 가계부'!C2807),",",""),"원","")," ",""),"−","-")))),"")</f>
        <v/>
      </c>
      <c r="CK2807">
        <f>IF(ISNUMBER(CI2807),IF(CI2807&lt;$B$13,CI2807,""),"")</f>
        <v/>
      </c>
      <c r="CM2807">
        <f>IF(CH2807="","",IFERROR(IF(IF(AND(LEN(CH2807)=9,ISERROR(FIND("-",LEFT(CH2807,8))),ISNUMBER(-LEFT(CH2807,8))),VALUE(LEFT(CH2807,4)),VALUE(LEFT(CH2807,FIND("-",CH2807)-1)))&lt;100,IF(AND(LEN(CH2807)=9,ISERROR(FIND("-",LEFT(CH2807,8))),ISNUMBER(-LEFT(CH2807,8))),VALUE(LEFT(CH2807,4)),VALUE(LEFT(CH2807,FIND("-",CH2807)-1)))+2000,IF(AND(LEN(CH2807)=9,ISERROR(FIND("-",LEFT(CH2807,8))),ISNUMBER(-LEFT(CH2807,8))),VALUE(LEFT(CH2807,4)),VALUE(LEFT(CH2807,FIND("-",CH2807)-1)))),""))</f>
        <v/>
      </c>
      <c r="CN2807">
        <f>IF(CH2807="","",IFERROR(IF(AND(LEN(CH2807)=9,ISERROR(FIND("-",LEFT(CH2807,8))),ISNUMBER(-LEFT(CH2807,8))),VALUE(MID(CH2807,5,2)),VALUE(MID(CH2807,FIND("-",CH2807)+1,FIND("-",CH2807,FIND("-",CH2807)+1)-FIND("-",CH2807)-1))),""))</f>
        <v/>
      </c>
      <c r="CO2807">
        <f>IF(CH2807="","",IFERROR(IF(AND(LEN(CH2807)=9,ISERROR(FIND("-",LEFT(CH2807,8))),ISNUMBER(-LEFT(CH2807,8))),VALUE(MID(CH2807,7,2)),VALUE(MID(CH2807,FIND("-",CH2807,FIND("-",CH2807)+1)+1,FIND("-",CH2807,FIND("-",CH2807,FIND("-",CH2807)+1)+1)-FIND("-",CH2807,FIND("-",CH2807)+1)-1))),""))</f>
        <v/>
      </c>
    </row>
    <row r="2808">
      <c r="CH2808">
        <f>IF(ISTEXT('월 가계부'!A2808),SUBSTITUTE(SUBSTITUTE(SUBSTITUTE(SUBSTITUTE(SUBSTITUTE(SUBSTITUTE(SUBSTITUTE(SUBSTITUTE(SUBSTITUTE(TRIM('월 가계부'!A2808),"년","-"),"월","-"),"일",""),".","-"),"/","-")," ","-"),"--","-"),"--","-"),"--","-")&amp;"-","")</f>
        <v/>
      </c>
      <c r="CI2808">
        <f>IFERROR(IF('월 가계부'!A2808="","",IF(ISNUMBER('월 가계부'!A2808),IF(AND('월 가계부'!A2808&gt;=19000101,'월 가계부'!A2808&lt;=21001231),IF(AND(MOD(INT('월 가계부'!A2808/100),100)&gt;=1,MOD(INT('월 가계부'!A2808/100),100)&lt;=12,MOD(INT('월 가계부'!A2808),100)&gt;=1,MOD(INT('월 가계부'!A2808),100)&lt;=31),IF(MONTH(DATE(INT('월 가계부'!A2808/10000),MOD(INT('월 가계부'!A2808/100),100),MOD(INT('월 가계부'!A2808),100)))=MOD(INT('월 가계부'!A2808/100),100),DATE(INT('월 가계부'!A2808/10000),MOD(INT('월 가계부'!A2808/100),100),MOD(INT('월 가계부'!A2808),100)),""),""),IF(AND('월 가계부'!A2808&gt;=36526,'월 가계부'!A2808&lt;73051),INT('월 가계부'!A2808),"")),IF(OR(CM2808="",CN2808="",CO2808=""),"",IF(AND(CM2808&gt;=2000,CM2808&lt;=2099,CN2808&gt;=1,CN2808&lt;=12,CO2808&gt;=1,CO2808&lt;=31),IF(MONTH(DATE(CM2808,CN2808,CO2808))=CN2808,DATE(CM2808,CN2808,CO2808),""),"")))),"")</f>
        <v/>
      </c>
      <c r="CJ2808">
        <f>IFERROR(IF('월 가계부'!C2808="","",IF(ISNUMBER('월 가계부'!C2808),'월 가계부'!C2808,VALUE(SUBSTITUTE(SUBSTITUTE(SUBSTITUTE(SUBSTITUTE(TRIM('월 가계부'!C2808),",",""),"원","")," ",""),"−","-")))),"")</f>
        <v/>
      </c>
      <c r="CK2808">
        <f>IF(ISNUMBER(CI2808),IF(CI2808&lt;$B$13,CI2808,""),"")</f>
        <v/>
      </c>
      <c r="CM2808">
        <f>IF(CH2808="","",IFERROR(IF(IF(AND(LEN(CH2808)=9,ISERROR(FIND("-",LEFT(CH2808,8))),ISNUMBER(-LEFT(CH2808,8))),VALUE(LEFT(CH2808,4)),VALUE(LEFT(CH2808,FIND("-",CH2808)-1)))&lt;100,IF(AND(LEN(CH2808)=9,ISERROR(FIND("-",LEFT(CH2808,8))),ISNUMBER(-LEFT(CH2808,8))),VALUE(LEFT(CH2808,4)),VALUE(LEFT(CH2808,FIND("-",CH2808)-1)))+2000,IF(AND(LEN(CH2808)=9,ISERROR(FIND("-",LEFT(CH2808,8))),ISNUMBER(-LEFT(CH2808,8))),VALUE(LEFT(CH2808,4)),VALUE(LEFT(CH2808,FIND("-",CH2808)-1)))),""))</f>
        <v/>
      </c>
      <c r="CN2808">
        <f>IF(CH2808="","",IFERROR(IF(AND(LEN(CH2808)=9,ISERROR(FIND("-",LEFT(CH2808,8))),ISNUMBER(-LEFT(CH2808,8))),VALUE(MID(CH2808,5,2)),VALUE(MID(CH2808,FIND("-",CH2808)+1,FIND("-",CH2808,FIND("-",CH2808)+1)-FIND("-",CH2808)-1))),""))</f>
        <v/>
      </c>
      <c r="CO2808">
        <f>IF(CH2808="","",IFERROR(IF(AND(LEN(CH2808)=9,ISERROR(FIND("-",LEFT(CH2808,8))),ISNUMBER(-LEFT(CH2808,8))),VALUE(MID(CH2808,7,2)),VALUE(MID(CH2808,FIND("-",CH2808,FIND("-",CH2808)+1)+1,FIND("-",CH2808,FIND("-",CH2808,FIND("-",CH2808)+1)+1)-FIND("-",CH2808,FIND("-",CH2808)+1)-1))),""))</f>
        <v/>
      </c>
    </row>
    <row r="2809">
      <c r="CH2809">
        <f>IF(ISTEXT('월 가계부'!A2809),SUBSTITUTE(SUBSTITUTE(SUBSTITUTE(SUBSTITUTE(SUBSTITUTE(SUBSTITUTE(SUBSTITUTE(SUBSTITUTE(SUBSTITUTE(TRIM('월 가계부'!A2809),"년","-"),"월","-"),"일",""),".","-"),"/","-")," ","-"),"--","-"),"--","-"),"--","-")&amp;"-","")</f>
        <v/>
      </c>
      <c r="CI2809">
        <f>IFERROR(IF('월 가계부'!A2809="","",IF(ISNUMBER('월 가계부'!A2809),IF(AND('월 가계부'!A2809&gt;=19000101,'월 가계부'!A2809&lt;=21001231),IF(AND(MOD(INT('월 가계부'!A2809/100),100)&gt;=1,MOD(INT('월 가계부'!A2809/100),100)&lt;=12,MOD(INT('월 가계부'!A2809),100)&gt;=1,MOD(INT('월 가계부'!A2809),100)&lt;=31),IF(MONTH(DATE(INT('월 가계부'!A2809/10000),MOD(INT('월 가계부'!A2809/100),100),MOD(INT('월 가계부'!A2809),100)))=MOD(INT('월 가계부'!A2809/100),100),DATE(INT('월 가계부'!A2809/10000),MOD(INT('월 가계부'!A2809/100),100),MOD(INT('월 가계부'!A2809),100)),""),""),IF(AND('월 가계부'!A2809&gt;=36526,'월 가계부'!A2809&lt;73051),INT('월 가계부'!A2809),"")),IF(OR(CM2809="",CN2809="",CO2809=""),"",IF(AND(CM2809&gt;=2000,CM2809&lt;=2099,CN2809&gt;=1,CN2809&lt;=12,CO2809&gt;=1,CO2809&lt;=31),IF(MONTH(DATE(CM2809,CN2809,CO2809))=CN2809,DATE(CM2809,CN2809,CO2809),""),"")))),"")</f>
        <v/>
      </c>
      <c r="CJ2809">
        <f>IFERROR(IF('월 가계부'!C2809="","",IF(ISNUMBER('월 가계부'!C2809),'월 가계부'!C2809,VALUE(SUBSTITUTE(SUBSTITUTE(SUBSTITUTE(SUBSTITUTE(TRIM('월 가계부'!C2809),",",""),"원","")," ",""),"−","-")))),"")</f>
        <v/>
      </c>
      <c r="CK2809">
        <f>IF(ISNUMBER(CI2809),IF(CI2809&lt;$B$13,CI2809,""),"")</f>
        <v/>
      </c>
      <c r="CM2809">
        <f>IF(CH2809="","",IFERROR(IF(IF(AND(LEN(CH2809)=9,ISERROR(FIND("-",LEFT(CH2809,8))),ISNUMBER(-LEFT(CH2809,8))),VALUE(LEFT(CH2809,4)),VALUE(LEFT(CH2809,FIND("-",CH2809)-1)))&lt;100,IF(AND(LEN(CH2809)=9,ISERROR(FIND("-",LEFT(CH2809,8))),ISNUMBER(-LEFT(CH2809,8))),VALUE(LEFT(CH2809,4)),VALUE(LEFT(CH2809,FIND("-",CH2809)-1)))+2000,IF(AND(LEN(CH2809)=9,ISERROR(FIND("-",LEFT(CH2809,8))),ISNUMBER(-LEFT(CH2809,8))),VALUE(LEFT(CH2809,4)),VALUE(LEFT(CH2809,FIND("-",CH2809)-1)))),""))</f>
        <v/>
      </c>
      <c r="CN2809">
        <f>IF(CH2809="","",IFERROR(IF(AND(LEN(CH2809)=9,ISERROR(FIND("-",LEFT(CH2809,8))),ISNUMBER(-LEFT(CH2809,8))),VALUE(MID(CH2809,5,2)),VALUE(MID(CH2809,FIND("-",CH2809)+1,FIND("-",CH2809,FIND("-",CH2809)+1)-FIND("-",CH2809)-1))),""))</f>
        <v/>
      </c>
      <c r="CO2809">
        <f>IF(CH2809="","",IFERROR(IF(AND(LEN(CH2809)=9,ISERROR(FIND("-",LEFT(CH2809,8))),ISNUMBER(-LEFT(CH2809,8))),VALUE(MID(CH2809,7,2)),VALUE(MID(CH2809,FIND("-",CH2809,FIND("-",CH2809)+1)+1,FIND("-",CH2809,FIND("-",CH2809,FIND("-",CH2809)+1)+1)-FIND("-",CH2809,FIND("-",CH2809)+1)-1))),""))</f>
        <v/>
      </c>
    </row>
    <row r="2810">
      <c r="CH2810">
        <f>IF(ISTEXT('월 가계부'!A2810),SUBSTITUTE(SUBSTITUTE(SUBSTITUTE(SUBSTITUTE(SUBSTITUTE(SUBSTITUTE(SUBSTITUTE(SUBSTITUTE(SUBSTITUTE(TRIM('월 가계부'!A2810),"년","-"),"월","-"),"일",""),".","-"),"/","-")," ","-"),"--","-"),"--","-"),"--","-")&amp;"-","")</f>
        <v/>
      </c>
      <c r="CI2810">
        <f>IFERROR(IF('월 가계부'!A2810="","",IF(ISNUMBER('월 가계부'!A2810),IF(AND('월 가계부'!A2810&gt;=19000101,'월 가계부'!A2810&lt;=21001231),IF(AND(MOD(INT('월 가계부'!A2810/100),100)&gt;=1,MOD(INT('월 가계부'!A2810/100),100)&lt;=12,MOD(INT('월 가계부'!A2810),100)&gt;=1,MOD(INT('월 가계부'!A2810),100)&lt;=31),IF(MONTH(DATE(INT('월 가계부'!A2810/10000),MOD(INT('월 가계부'!A2810/100),100),MOD(INT('월 가계부'!A2810),100)))=MOD(INT('월 가계부'!A2810/100),100),DATE(INT('월 가계부'!A2810/10000),MOD(INT('월 가계부'!A2810/100),100),MOD(INT('월 가계부'!A2810),100)),""),""),IF(AND('월 가계부'!A2810&gt;=36526,'월 가계부'!A2810&lt;73051),INT('월 가계부'!A2810),"")),IF(OR(CM2810="",CN2810="",CO2810=""),"",IF(AND(CM2810&gt;=2000,CM2810&lt;=2099,CN2810&gt;=1,CN2810&lt;=12,CO2810&gt;=1,CO2810&lt;=31),IF(MONTH(DATE(CM2810,CN2810,CO2810))=CN2810,DATE(CM2810,CN2810,CO2810),""),"")))),"")</f>
        <v/>
      </c>
      <c r="CJ2810">
        <f>IFERROR(IF('월 가계부'!C2810="","",IF(ISNUMBER('월 가계부'!C2810),'월 가계부'!C2810,VALUE(SUBSTITUTE(SUBSTITUTE(SUBSTITUTE(SUBSTITUTE(TRIM('월 가계부'!C2810),",",""),"원","")," ",""),"−","-")))),"")</f>
        <v/>
      </c>
      <c r="CK2810">
        <f>IF(ISNUMBER(CI2810),IF(CI2810&lt;$B$13,CI2810,""),"")</f>
        <v/>
      </c>
      <c r="CM2810">
        <f>IF(CH2810="","",IFERROR(IF(IF(AND(LEN(CH2810)=9,ISERROR(FIND("-",LEFT(CH2810,8))),ISNUMBER(-LEFT(CH2810,8))),VALUE(LEFT(CH2810,4)),VALUE(LEFT(CH2810,FIND("-",CH2810)-1)))&lt;100,IF(AND(LEN(CH2810)=9,ISERROR(FIND("-",LEFT(CH2810,8))),ISNUMBER(-LEFT(CH2810,8))),VALUE(LEFT(CH2810,4)),VALUE(LEFT(CH2810,FIND("-",CH2810)-1)))+2000,IF(AND(LEN(CH2810)=9,ISERROR(FIND("-",LEFT(CH2810,8))),ISNUMBER(-LEFT(CH2810,8))),VALUE(LEFT(CH2810,4)),VALUE(LEFT(CH2810,FIND("-",CH2810)-1)))),""))</f>
        <v/>
      </c>
      <c r="CN2810">
        <f>IF(CH2810="","",IFERROR(IF(AND(LEN(CH2810)=9,ISERROR(FIND("-",LEFT(CH2810,8))),ISNUMBER(-LEFT(CH2810,8))),VALUE(MID(CH2810,5,2)),VALUE(MID(CH2810,FIND("-",CH2810)+1,FIND("-",CH2810,FIND("-",CH2810)+1)-FIND("-",CH2810)-1))),""))</f>
        <v/>
      </c>
      <c r="CO2810">
        <f>IF(CH2810="","",IFERROR(IF(AND(LEN(CH2810)=9,ISERROR(FIND("-",LEFT(CH2810,8))),ISNUMBER(-LEFT(CH2810,8))),VALUE(MID(CH2810,7,2)),VALUE(MID(CH2810,FIND("-",CH2810,FIND("-",CH2810)+1)+1,FIND("-",CH2810,FIND("-",CH2810,FIND("-",CH2810)+1)+1)-FIND("-",CH2810,FIND("-",CH2810)+1)-1))),""))</f>
        <v/>
      </c>
    </row>
    <row r="2811">
      <c r="CH2811">
        <f>IF(ISTEXT('월 가계부'!A2811),SUBSTITUTE(SUBSTITUTE(SUBSTITUTE(SUBSTITUTE(SUBSTITUTE(SUBSTITUTE(SUBSTITUTE(SUBSTITUTE(SUBSTITUTE(TRIM('월 가계부'!A2811),"년","-"),"월","-"),"일",""),".","-"),"/","-")," ","-"),"--","-"),"--","-"),"--","-")&amp;"-","")</f>
        <v/>
      </c>
      <c r="CI2811">
        <f>IFERROR(IF('월 가계부'!A2811="","",IF(ISNUMBER('월 가계부'!A2811),IF(AND('월 가계부'!A2811&gt;=19000101,'월 가계부'!A2811&lt;=21001231),IF(AND(MOD(INT('월 가계부'!A2811/100),100)&gt;=1,MOD(INT('월 가계부'!A2811/100),100)&lt;=12,MOD(INT('월 가계부'!A2811),100)&gt;=1,MOD(INT('월 가계부'!A2811),100)&lt;=31),IF(MONTH(DATE(INT('월 가계부'!A2811/10000),MOD(INT('월 가계부'!A2811/100),100),MOD(INT('월 가계부'!A2811),100)))=MOD(INT('월 가계부'!A2811/100),100),DATE(INT('월 가계부'!A2811/10000),MOD(INT('월 가계부'!A2811/100),100),MOD(INT('월 가계부'!A2811),100)),""),""),IF(AND('월 가계부'!A2811&gt;=36526,'월 가계부'!A2811&lt;73051),INT('월 가계부'!A2811),"")),IF(OR(CM2811="",CN2811="",CO2811=""),"",IF(AND(CM2811&gt;=2000,CM2811&lt;=2099,CN2811&gt;=1,CN2811&lt;=12,CO2811&gt;=1,CO2811&lt;=31),IF(MONTH(DATE(CM2811,CN2811,CO2811))=CN2811,DATE(CM2811,CN2811,CO2811),""),"")))),"")</f>
        <v/>
      </c>
      <c r="CJ2811">
        <f>IFERROR(IF('월 가계부'!C2811="","",IF(ISNUMBER('월 가계부'!C2811),'월 가계부'!C2811,VALUE(SUBSTITUTE(SUBSTITUTE(SUBSTITUTE(SUBSTITUTE(TRIM('월 가계부'!C2811),",",""),"원","")," ",""),"−","-")))),"")</f>
        <v/>
      </c>
      <c r="CK2811">
        <f>IF(ISNUMBER(CI2811),IF(CI2811&lt;$B$13,CI2811,""),"")</f>
        <v/>
      </c>
      <c r="CM2811">
        <f>IF(CH2811="","",IFERROR(IF(IF(AND(LEN(CH2811)=9,ISERROR(FIND("-",LEFT(CH2811,8))),ISNUMBER(-LEFT(CH2811,8))),VALUE(LEFT(CH2811,4)),VALUE(LEFT(CH2811,FIND("-",CH2811)-1)))&lt;100,IF(AND(LEN(CH2811)=9,ISERROR(FIND("-",LEFT(CH2811,8))),ISNUMBER(-LEFT(CH2811,8))),VALUE(LEFT(CH2811,4)),VALUE(LEFT(CH2811,FIND("-",CH2811)-1)))+2000,IF(AND(LEN(CH2811)=9,ISERROR(FIND("-",LEFT(CH2811,8))),ISNUMBER(-LEFT(CH2811,8))),VALUE(LEFT(CH2811,4)),VALUE(LEFT(CH2811,FIND("-",CH2811)-1)))),""))</f>
        <v/>
      </c>
      <c r="CN2811">
        <f>IF(CH2811="","",IFERROR(IF(AND(LEN(CH2811)=9,ISERROR(FIND("-",LEFT(CH2811,8))),ISNUMBER(-LEFT(CH2811,8))),VALUE(MID(CH2811,5,2)),VALUE(MID(CH2811,FIND("-",CH2811)+1,FIND("-",CH2811,FIND("-",CH2811)+1)-FIND("-",CH2811)-1))),""))</f>
        <v/>
      </c>
      <c r="CO2811">
        <f>IF(CH2811="","",IFERROR(IF(AND(LEN(CH2811)=9,ISERROR(FIND("-",LEFT(CH2811,8))),ISNUMBER(-LEFT(CH2811,8))),VALUE(MID(CH2811,7,2)),VALUE(MID(CH2811,FIND("-",CH2811,FIND("-",CH2811)+1)+1,FIND("-",CH2811,FIND("-",CH2811,FIND("-",CH2811)+1)+1)-FIND("-",CH2811,FIND("-",CH2811)+1)-1))),""))</f>
        <v/>
      </c>
    </row>
    <row r="2812">
      <c r="CH2812">
        <f>IF(ISTEXT('월 가계부'!A2812),SUBSTITUTE(SUBSTITUTE(SUBSTITUTE(SUBSTITUTE(SUBSTITUTE(SUBSTITUTE(SUBSTITUTE(SUBSTITUTE(SUBSTITUTE(TRIM('월 가계부'!A2812),"년","-"),"월","-"),"일",""),".","-"),"/","-")," ","-"),"--","-"),"--","-"),"--","-")&amp;"-","")</f>
        <v/>
      </c>
      <c r="CI2812">
        <f>IFERROR(IF('월 가계부'!A2812="","",IF(ISNUMBER('월 가계부'!A2812),IF(AND('월 가계부'!A2812&gt;=19000101,'월 가계부'!A2812&lt;=21001231),IF(AND(MOD(INT('월 가계부'!A2812/100),100)&gt;=1,MOD(INT('월 가계부'!A2812/100),100)&lt;=12,MOD(INT('월 가계부'!A2812),100)&gt;=1,MOD(INT('월 가계부'!A2812),100)&lt;=31),IF(MONTH(DATE(INT('월 가계부'!A2812/10000),MOD(INT('월 가계부'!A2812/100),100),MOD(INT('월 가계부'!A2812),100)))=MOD(INT('월 가계부'!A2812/100),100),DATE(INT('월 가계부'!A2812/10000),MOD(INT('월 가계부'!A2812/100),100),MOD(INT('월 가계부'!A2812),100)),""),""),IF(AND('월 가계부'!A2812&gt;=36526,'월 가계부'!A2812&lt;73051),INT('월 가계부'!A2812),"")),IF(OR(CM2812="",CN2812="",CO2812=""),"",IF(AND(CM2812&gt;=2000,CM2812&lt;=2099,CN2812&gt;=1,CN2812&lt;=12,CO2812&gt;=1,CO2812&lt;=31),IF(MONTH(DATE(CM2812,CN2812,CO2812))=CN2812,DATE(CM2812,CN2812,CO2812),""),"")))),"")</f>
        <v/>
      </c>
      <c r="CJ2812">
        <f>IFERROR(IF('월 가계부'!C2812="","",IF(ISNUMBER('월 가계부'!C2812),'월 가계부'!C2812,VALUE(SUBSTITUTE(SUBSTITUTE(SUBSTITUTE(SUBSTITUTE(TRIM('월 가계부'!C2812),",",""),"원","")," ",""),"−","-")))),"")</f>
        <v/>
      </c>
      <c r="CK2812">
        <f>IF(ISNUMBER(CI2812),IF(CI2812&lt;$B$13,CI2812,""),"")</f>
        <v/>
      </c>
      <c r="CM2812">
        <f>IF(CH2812="","",IFERROR(IF(IF(AND(LEN(CH2812)=9,ISERROR(FIND("-",LEFT(CH2812,8))),ISNUMBER(-LEFT(CH2812,8))),VALUE(LEFT(CH2812,4)),VALUE(LEFT(CH2812,FIND("-",CH2812)-1)))&lt;100,IF(AND(LEN(CH2812)=9,ISERROR(FIND("-",LEFT(CH2812,8))),ISNUMBER(-LEFT(CH2812,8))),VALUE(LEFT(CH2812,4)),VALUE(LEFT(CH2812,FIND("-",CH2812)-1)))+2000,IF(AND(LEN(CH2812)=9,ISERROR(FIND("-",LEFT(CH2812,8))),ISNUMBER(-LEFT(CH2812,8))),VALUE(LEFT(CH2812,4)),VALUE(LEFT(CH2812,FIND("-",CH2812)-1)))),""))</f>
        <v/>
      </c>
      <c r="CN2812">
        <f>IF(CH2812="","",IFERROR(IF(AND(LEN(CH2812)=9,ISERROR(FIND("-",LEFT(CH2812,8))),ISNUMBER(-LEFT(CH2812,8))),VALUE(MID(CH2812,5,2)),VALUE(MID(CH2812,FIND("-",CH2812)+1,FIND("-",CH2812,FIND("-",CH2812)+1)-FIND("-",CH2812)-1))),""))</f>
        <v/>
      </c>
      <c r="CO2812">
        <f>IF(CH2812="","",IFERROR(IF(AND(LEN(CH2812)=9,ISERROR(FIND("-",LEFT(CH2812,8))),ISNUMBER(-LEFT(CH2812,8))),VALUE(MID(CH2812,7,2)),VALUE(MID(CH2812,FIND("-",CH2812,FIND("-",CH2812)+1)+1,FIND("-",CH2812,FIND("-",CH2812,FIND("-",CH2812)+1)+1)-FIND("-",CH2812,FIND("-",CH2812)+1)-1))),""))</f>
        <v/>
      </c>
    </row>
    <row r="2813">
      <c r="CH2813">
        <f>IF(ISTEXT('월 가계부'!A2813),SUBSTITUTE(SUBSTITUTE(SUBSTITUTE(SUBSTITUTE(SUBSTITUTE(SUBSTITUTE(SUBSTITUTE(SUBSTITUTE(SUBSTITUTE(TRIM('월 가계부'!A2813),"년","-"),"월","-"),"일",""),".","-"),"/","-")," ","-"),"--","-"),"--","-"),"--","-")&amp;"-","")</f>
        <v/>
      </c>
      <c r="CI2813">
        <f>IFERROR(IF('월 가계부'!A2813="","",IF(ISNUMBER('월 가계부'!A2813),IF(AND('월 가계부'!A2813&gt;=19000101,'월 가계부'!A2813&lt;=21001231),IF(AND(MOD(INT('월 가계부'!A2813/100),100)&gt;=1,MOD(INT('월 가계부'!A2813/100),100)&lt;=12,MOD(INT('월 가계부'!A2813),100)&gt;=1,MOD(INT('월 가계부'!A2813),100)&lt;=31),IF(MONTH(DATE(INT('월 가계부'!A2813/10000),MOD(INT('월 가계부'!A2813/100),100),MOD(INT('월 가계부'!A2813),100)))=MOD(INT('월 가계부'!A2813/100),100),DATE(INT('월 가계부'!A2813/10000),MOD(INT('월 가계부'!A2813/100),100),MOD(INT('월 가계부'!A2813),100)),""),""),IF(AND('월 가계부'!A2813&gt;=36526,'월 가계부'!A2813&lt;73051),INT('월 가계부'!A2813),"")),IF(OR(CM2813="",CN2813="",CO2813=""),"",IF(AND(CM2813&gt;=2000,CM2813&lt;=2099,CN2813&gt;=1,CN2813&lt;=12,CO2813&gt;=1,CO2813&lt;=31),IF(MONTH(DATE(CM2813,CN2813,CO2813))=CN2813,DATE(CM2813,CN2813,CO2813),""),"")))),"")</f>
        <v/>
      </c>
      <c r="CJ2813">
        <f>IFERROR(IF('월 가계부'!C2813="","",IF(ISNUMBER('월 가계부'!C2813),'월 가계부'!C2813,VALUE(SUBSTITUTE(SUBSTITUTE(SUBSTITUTE(SUBSTITUTE(TRIM('월 가계부'!C2813),",",""),"원","")," ",""),"−","-")))),"")</f>
        <v/>
      </c>
      <c r="CK2813">
        <f>IF(ISNUMBER(CI2813),IF(CI2813&lt;$B$13,CI2813,""),"")</f>
        <v/>
      </c>
      <c r="CM2813">
        <f>IF(CH2813="","",IFERROR(IF(IF(AND(LEN(CH2813)=9,ISERROR(FIND("-",LEFT(CH2813,8))),ISNUMBER(-LEFT(CH2813,8))),VALUE(LEFT(CH2813,4)),VALUE(LEFT(CH2813,FIND("-",CH2813)-1)))&lt;100,IF(AND(LEN(CH2813)=9,ISERROR(FIND("-",LEFT(CH2813,8))),ISNUMBER(-LEFT(CH2813,8))),VALUE(LEFT(CH2813,4)),VALUE(LEFT(CH2813,FIND("-",CH2813)-1)))+2000,IF(AND(LEN(CH2813)=9,ISERROR(FIND("-",LEFT(CH2813,8))),ISNUMBER(-LEFT(CH2813,8))),VALUE(LEFT(CH2813,4)),VALUE(LEFT(CH2813,FIND("-",CH2813)-1)))),""))</f>
        <v/>
      </c>
      <c r="CN2813">
        <f>IF(CH2813="","",IFERROR(IF(AND(LEN(CH2813)=9,ISERROR(FIND("-",LEFT(CH2813,8))),ISNUMBER(-LEFT(CH2813,8))),VALUE(MID(CH2813,5,2)),VALUE(MID(CH2813,FIND("-",CH2813)+1,FIND("-",CH2813,FIND("-",CH2813)+1)-FIND("-",CH2813)-1))),""))</f>
        <v/>
      </c>
      <c r="CO2813">
        <f>IF(CH2813="","",IFERROR(IF(AND(LEN(CH2813)=9,ISERROR(FIND("-",LEFT(CH2813,8))),ISNUMBER(-LEFT(CH2813,8))),VALUE(MID(CH2813,7,2)),VALUE(MID(CH2813,FIND("-",CH2813,FIND("-",CH2813)+1)+1,FIND("-",CH2813,FIND("-",CH2813,FIND("-",CH2813)+1)+1)-FIND("-",CH2813,FIND("-",CH2813)+1)-1))),""))</f>
        <v/>
      </c>
    </row>
    <row r="2814">
      <c r="CH2814">
        <f>IF(ISTEXT('월 가계부'!A2814),SUBSTITUTE(SUBSTITUTE(SUBSTITUTE(SUBSTITUTE(SUBSTITUTE(SUBSTITUTE(SUBSTITUTE(SUBSTITUTE(SUBSTITUTE(TRIM('월 가계부'!A2814),"년","-"),"월","-"),"일",""),".","-"),"/","-")," ","-"),"--","-"),"--","-"),"--","-")&amp;"-","")</f>
        <v/>
      </c>
      <c r="CI2814">
        <f>IFERROR(IF('월 가계부'!A2814="","",IF(ISNUMBER('월 가계부'!A2814),IF(AND('월 가계부'!A2814&gt;=19000101,'월 가계부'!A2814&lt;=21001231),IF(AND(MOD(INT('월 가계부'!A2814/100),100)&gt;=1,MOD(INT('월 가계부'!A2814/100),100)&lt;=12,MOD(INT('월 가계부'!A2814),100)&gt;=1,MOD(INT('월 가계부'!A2814),100)&lt;=31),IF(MONTH(DATE(INT('월 가계부'!A2814/10000),MOD(INT('월 가계부'!A2814/100),100),MOD(INT('월 가계부'!A2814),100)))=MOD(INT('월 가계부'!A2814/100),100),DATE(INT('월 가계부'!A2814/10000),MOD(INT('월 가계부'!A2814/100),100),MOD(INT('월 가계부'!A2814),100)),""),""),IF(AND('월 가계부'!A2814&gt;=36526,'월 가계부'!A2814&lt;73051),INT('월 가계부'!A2814),"")),IF(OR(CM2814="",CN2814="",CO2814=""),"",IF(AND(CM2814&gt;=2000,CM2814&lt;=2099,CN2814&gt;=1,CN2814&lt;=12,CO2814&gt;=1,CO2814&lt;=31),IF(MONTH(DATE(CM2814,CN2814,CO2814))=CN2814,DATE(CM2814,CN2814,CO2814),""),"")))),"")</f>
        <v/>
      </c>
      <c r="CJ2814">
        <f>IFERROR(IF('월 가계부'!C2814="","",IF(ISNUMBER('월 가계부'!C2814),'월 가계부'!C2814,VALUE(SUBSTITUTE(SUBSTITUTE(SUBSTITUTE(SUBSTITUTE(TRIM('월 가계부'!C2814),",",""),"원","")," ",""),"−","-")))),"")</f>
        <v/>
      </c>
      <c r="CK2814">
        <f>IF(ISNUMBER(CI2814),IF(CI2814&lt;$B$13,CI2814,""),"")</f>
        <v/>
      </c>
      <c r="CM2814">
        <f>IF(CH2814="","",IFERROR(IF(IF(AND(LEN(CH2814)=9,ISERROR(FIND("-",LEFT(CH2814,8))),ISNUMBER(-LEFT(CH2814,8))),VALUE(LEFT(CH2814,4)),VALUE(LEFT(CH2814,FIND("-",CH2814)-1)))&lt;100,IF(AND(LEN(CH2814)=9,ISERROR(FIND("-",LEFT(CH2814,8))),ISNUMBER(-LEFT(CH2814,8))),VALUE(LEFT(CH2814,4)),VALUE(LEFT(CH2814,FIND("-",CH2814)-1)))+2000,IF(AND(LEN(CH2814)=9,ISERROR(FIND("-",LEFT(CH2814,8))),ISNUMBER(-LEFT(CH2814,8))),VALUE(LEFT(CH2814,4)),VALUE(LEFT(CH2814,FIND("-",CH2814)-1)))),""))</f>
        <v/>
      </c>
      <c r="CN2814">
        <f>IF(CH2814="","",IFERROR(IF(AND(LEN(CH2814)=9,ISERROR(FIND("-",LEFT(CH2814,8))),ISNUMBER(-LEFT(CH2814,8))),VALUE(MID(CH2814,5,2)),VALUE(MID(CH2814,FIND("-",CH2814)+1,FIND("-",CH2814,FIND("-",CH2814)+1)-FIND("-",CH2814)-1))),""))</f>
        <v/>
      </c>
      <c r="CO2814">
        <f>IF(CH2814="","",IFERROR(IF(AND(LEN(CH2814)=9,ISERROR(FIND("-",LEFT(CH2814,8))),ISNUMBER(-LEFT(CH2814,8))),VALUE(MID(CH2814,7,2)),VALUE(MID(CH2814,FIND("-",CH2814,FIND("-",CH2814)+1)+1,FIND("-",CH2814,FIND("-",CH2814,FIND("-",CH2814)+1)+1)-FIND("-",CH2814,FIND("-",CH2814)+1)-1))),""))</f>
        <v/>
      </c>
    </row>
    <row r="2815">
      <c r="CH2815">
        <f>IF(ISTEXT('월 가계부'!A2815),SUBSTITUTE(SUBSTITUTE(SUBSTITUTE(SUBSTITUTE(SUBSTITUTE(SUBSTITUTE(SUBSTITUTE(SUBSTITUTE(SUBSTITUTE(TRIM('월 가계부'!A2815),"년","-"),"월","-"),"일",""),".","-"),"/","-")," ","-"),"--","-"),"--","-"),"--","-")&amp;"-","")</f>
        <v/>
      </c>
      <c r="CI2815">
        <f>IFERROR(IF('월 가계부'!A2815="","",IF(ISNUMBER('월 가계부'!A2815),IF(AND('월 가계부'!A2815&gt;=19000101,'월 가계부'!A2815&lt;=21001231),IF(AND(MOD(INT('월 가계부'!A2815/100),100)&gt;=1,MOD(INT('월 가계부'!A2815/100),100)&lt;=12,MOD(INT('월 가계부'!A2815),100)&gt;=1,MOD(INT('월 가계부'!A2815),100)&lt;=31),IF(MONTH(DATE(INT('월 가계부'!A2815/10000),MOD(INT('월 가계부'!A2815/100),100),MOD(INT('월 가계부'!A2815),100)))=MOD(INT('월 가계부'!A2815/100),100),DATE(INT('월 가계부'!A2815/10000),MOD(INT('월 가계부'!A2815/100),100),MOD(INT('월 가계부'!A2815),100)),""),""),IF(AND('월 가계부'!A2815&gt;=36526,'월 가계부'!A2815&lt;73051),INT('월 가계부'!A2815),"")),IF(OR(CM2815="",CN2815="",CO2815=""),"",IF(AND(CM2815&gt;=2000,CM2815&lt;=2099,CN2815&gt;=1,CN2815&lt;=12,CO2815&gt;=1,CO2815&lt;=31),IF(MONTH(DATE(CM2815,CN2815,CO2815))=CN2815,DATE(CM2815,CN2815,CO2815),""),"")))),"")</f>
        <v/>
      </c>
      <c r="CJ2815">
        <f>IFERROR(IF('월 가계부'!C2815="","",IF(ISNUMBER('월 가계부'!C2815),'월 가계부'!C2815,VALUE(SUBSTITUTE(SUBSTITUTE(SUBSTITUTE(SUBSTITUTE(TRIM('월 가계부'!C2815),",",""),"원","")," ",""),"−","-")))),"")</f>
        <v/>
      </c>
      <c r="CK2815">
        <f>IF(ISNUMBER(CI2815),IF(CI2815&lt;$B$13,CI2815,""),"")</f>
        <v/>
      </c>
      <c r="CM2815">
        <f>IF(CH2815="","",IFERROR(IF(IF(AND(LEN(CH2815)=9,ISERROR(FIND("-",LEFT(CH2815,8))),ISNUMBER(-LEFT(CH2815,8))),VALUE(LEFT(CH2815,4)),VALUE(LEFT(CH2815,FIND("-",CH2815)-1)))&lt;100,IF(AND(LEN(CH2815)=9,ISERROR(FIND("-",LEFT(CH2815,8))),ISNUMBER(-LEFT(CH2815,8))),VALUE(LEFT(CH2815,4)),VALUE(LEFT(CH2815,FIND("-",CH2815)-1)))+2000,IF(AND(LEN(CH2815)=9,ISERROR(FIND("-",LEFT(CH2815,8))),ISNUMBER(-LEFT(CH2815,8))),VALUE(LEFT(CH2815,4)),VALUE(LEFT(CH2815,FIND("-",CH2815)-1)))),""))</f>
        <v/>
      </c>
      <c r="CN2815">
        <f>IF(CH2815="","",IFERROR(IF(AND(LEN(CH2815)=9,ISERROR(FIND("-",LEFT(CH2815,8))),ISNUMBER(-LEFT(CH2815,8))),VALUE(MID(CH2815,5,2)),VALUE(MID(CH2815,FIND("-",CH2815)+1,FIND("-",CH2815,FIND("-",CH2815)+1)-FIND("-",CH2815)-1))),""))</f>
        <v/>
      </c>
      <c r="CO2815">
        <f>IF(CH2815="","",IFERROR(IF(AND(LEN(CH2815)=9,ISERROR(FIND("-",LEFT(CH2815,8))),ISNUMBER(-LEFT(CH2815,8))),VALUE(MID(CH2815,7,2)),VALUE(MID(CH2815,FIND("-",CH2815,FIND("-",CH2815)+1)+1,FIND("-",CH2815,FIND("-",CH2815,FIND("-",CH2815)+1)+1)-FIND("-",CH2815,FIND("-",CH2815)+1)-1))),""))</f>
        <v/>
      </c>
    </row>
    <row r="2816">
      <c r="CH2816">
        <f>IF(ISTEXT('월 가계부'!A2816),SUBSTITUTE(SUBSTITUTE(SUBSTITUTE(SUBSTITUTE(SUBSTITUTE(SUBSTITUTE(SUBSTITUTE(SUBSTITUTE(SUBSTITUTE(TRIM('월 가계부'!A2816),"년","-"),"월","-"),"일",""),".","-"),"/","-")," ","-"),"--","-"),"--","-"),"--","-")&amp;"-","")</f>
        <v/>
      </c>
      <c r="CI2816">
        <f>IFERROR(IF('월 가계부'!A2816="","",IF(ISNUMBER('월 가계부'!A2816),IF(AND('월 가계부'!A2816&gt;=19000101,'월 가계부'!A2816&lt;=21001231),IF(AND(MOD(INT('월 가계부'!A2816/100),100)&gt;=1,MOD(INT('월 가계부'!A2816/100),100)&lt;=12,MOD(INT('월 가계부'!A2816),100)&gt;=1,MOD(INT('월 가계부'!A2816),100)&lt;=31),IF(MONTH(DATE(INT('월 가계부'!A2816/10000),MOD(INT('월 가계부'!A2816/100),100),MOD(INT('월 가계부'!A2816),100)))=MOD(INT('월 가계부'!A2816/100),100),DATE(INT('월 가계부'!A2816/10000),MOD(INT('월 가계부'!A2816/100),100),MOD(INT('월 가계부'!A2816),100)),""),""),IF(AND('월 가계부'!A2816&gt;=36526,'월 가계부'!A2816&lt;73051),INT('월 가계부'!A2816),"")),IF(OR(CM2816="",CN2816="",CO2816=""),"",IF(AND(CM2816&gt;=2000,CM2816&lt;=2099,CN2816&gt;=1,CN2816&lt;=12,CO2816&gt;=1,CO2816&lt;=31),IF(MONTH(DATE(CM2816,CN2816,CO2816))=CN2816,DATE(CM2816,CN2816,CO2816),""),"")))),"")</f>
        <v/>
      </c>
      <c r="CJ2816">
        <f>IFERROR(IF('월 가계부'!C2816="","",IF(ISNUMBER('월 가계부'!C2816),'월 가계부'!C2816,VALUE(SUBSTITUTE(SUBSTITUTE(SUBSTITUTE(SUBSTITUTE(TRIM('월 가계부'!C2816),",",""),"원","")," ",""),"−","-")))),"")</f>
        <v/>
      </c>
      <c r="CK2816">
        <f>IF(ISNUMBER(CI2816),IF(CI2816&lt;$B$13,CI2816,""),"")</f>
        <v/>
      </c>
      <c r="CM2816">
        <f>IF(CH2816="","",IFERROR(IF(IF(AND(LEN(CH2816)=9,ISERROR(FIND("-",LEFT(CH2816,8))),ISNUMBER(-LEFT(CH2816,8))),VALUE(LEFT(CH2816,4)),VALUE(LEFT(CH2816,FIND("-",CH2816)-1)))&lt;100,IF(AND(LEN(CH2816)=9,ISERROR(FIND("-",LEFT(CH2816,8))),ISNUMBER(-LEFT(CH2816,8))),VALUE(LEFT(CH2816,4)),VALUE(LEFT(CH2816,FIND("-",CH2816)-1)))+2000,IF(AND(LEN(CH2816)=9,ISERROR(FIND("-",LEFT(CH2816,8))),ISNUMBER(-LEFT(CH2816,8))),VALUE(LEFT(CH2816,4)),VALUE(LEFT(CH2816,FIND("-",CH2816)-1)))),""))</f>
        <v/>
      </c>
      <c r="CN2816">
        <f>IF(CH2816="","",IFERROR(IF(AND(LEN(CH2816)=9,ISERROR(FIND("-",LEFT(CH2816,8))),ISNUMBER(-LEFT(CH2816,8))),VALUE(MID(CH2816,5,2)),VALUE(MID(CH2816,FIND("-",CH2816)+1,FIND("-",CH2816,FIND("-",CH2816)+1)-FIND("-",CH2816)-1))),""))</f>
        <v/>
      </c>
      <c r="CO2816">
        <f>IF(CH2816="","",IFERROR(IF(AND(LEN(CH2816)=9,ISERROR(FIND("-",LEFT(CH2816,8))),ISNUMBER(-LEFT(CH2816,8))),VALUE(MID(CH2816,7,2)),VALUE(MID(CH2816,FIND("-",CH2816,FIND("-",CH2816)+1)+1,FIND("-",CH2816,FIND("-",CH2816,FIND("-",CH2816)+1)+1)-FIND("-",CH2816,FIND("-",CH2816)+1)-1))),""))</f>
        <v/>
      </c>
    </row>
    <row r="2817">
      <c r="CH2817">
        <f>IF(ISTEXT('월 가계부'!A2817),SUBSTITUTE(SUBSTITUTE(SUBSTITUTE(SUBSTITUTE(SUBSTITUTE(SUBSTITUTE(SUBSTITUTE(SUBSTITUTE(SUBSTITUTE(TRIM('월 가계부'!A2817),"년","-"),"월","-"),"일",""),".","-"),"/","-")," ","-"),"--","-"),"--","-"),"--","-")&amp;"-","")</f>
        <v/>
      </c>
      <c r="CI2817">
        <f>IFERROR(IF('월 가계부'!A2817="","",IF(ISNUMBER('월 가계부'!A2817),IF(AND('월 가계부'!A2817&gt;=19000101,'월 가계부'!A2817&lt;=21001231),IF(AND(MOD(INT('월 가계부'!A2817/100),100)&gt;=1,MOD(INT('월 가계부'!A2817/100),100)&lt;=12,MOD(INT('월 가계부'!A2817),100)&gt;=1,MOD(INT('월 가계부'!A2817),100)&lt;=31),IF(MONTH(DATE(INT('월 가계부'!A2817/10000),MOD(INT('월 가계부'!A2817/100),100),MOD(INT('월 가계부'!A2817),100)))=MOD(INT('월 가계부'!A2817/100),100),DATE(INT('월 가계부'!A2817/10000),MOD(INT('월 가계부'!A2817/100),100),MOD(INT('월 가계부'!A2817),100)),""),""),IF(AND('월 가계부'!A2817&gt;=36526,'월 가계부'!A2817&lt;73051),INT('월 가계부'!A2817),"")),IF(OR(CM2817="",CN2817="",CO2817=""),"",IF(AND(CM2817&gt;=2000,CM2817&lt;=2099,CN2817&gt;=1,CN2817&lt;=12,CO2817&gt;=1,CO2817&lt;=31),IF(MONTH(DATE(CM2817,CN2817,CO2817))=CN2817,DATE(CM2817,CN2817,CO2817),""),"")))),"")</f>
        <v/>
      </c>
      <c r="CJ2817">
        <f>IFERROR(IF('월 가계부'!C2817="","",IF(ISNUMBER('월 가계부'!C2817),'월 가계부'!C2817,VALUE(SUBSTITUTE(SUBSTITUTE(SUBSTITUTE(SUBSTITUTE(TRIM('월 가계부'!C2817),",",""),"원","")," ",""),"−","-")))),"")</f>
        <v/>
      </c>
      <c r="CK2817">
        <f>IF(ISNUMBER(CI2817),IF(CI2817&lt;$B$13,CI2817,""),"")</f>
        <v/>
      </c>
      <c r="CM2817">
        <f>IF(CH2817="","",IFERROR(IF(IF(AND(LEN(CH2817)=9,ISERROR(FIND("-",LEFT(CH2817,8))),ISNUMBER(-LEFT(CH2817,8))),VALUE(LEFT(CH2817,4)),VALUE(LEFT(CH2817,FIND("-",CH2817)-1)))&lt;100,IF(AND(LEN(CH2817)=9,ISERROR(FIND("-",LEFT(CH2817,8))),ISNUMBER(-LEFT(CH2817,8))),VALUE(LEFT(CH2817,4)),VALUE(LEFT(CH2817,FIND("-",CH2817)-1)))+2000,IF(AND(LEN(CH2817)=9,ISERROR(FIND("-",LEFT(CH2817,8))),ISNUMBER(-LEFT(CH2817,8))),VALUE(LEFT(CH2817,4)),VALUE(LEFT(CH2817,FIND("-",CH2817)-1)))),""))</f>
        <v/>
      </c>
      <c r="CN2817">
        <f>IF(CH2817="","",IFERROR(IF(AND(LEN(CH2817)=9,ISERROR(FIND("-",LEFT(CH2817,8))),ISNUMBER(-LEFT(CH2817,8))),VALUE(MID(CH2817,5,2)),VALUE(MID(CH2817,FIND("-",CH2817)+1,FIND("-",CH2817,FIND("-",CH2817)+1)-FIND("-",CH2817)-1))),""))</f>
        <v/>
      </c>
      <c r="CO2817">
        <f>IF(CH2817="","",IFERROR(IF(AND(LEN(CH2817)=9,ISERROR(FIND("-",LEFT(CH2817,8))),ISNUMBER(-LEFT(CH2817,8))),VALUE(MID(CH2817,7,2)),VALUE(MID(CH2817,FIND("-",CH2817,FIND("-",CH2817)+1)+1,FIND("-",CH2817,FIND("-",CH2817,FIND("-",CH2817)+1)+1)-FIND("-",CH2817,FIND("-",CH2817)+1)-1))),""))</f>
        <v/>
      </c>
    </row>
    <row r="2818">
      <c r="CH2818">
        <f>IF(ISTEXT('월 가계부'!A2818),SUBSTITUTE(SUBSTITUTE(SUBSTITUTE(SUBSTITUTE(SUBSTITUTE(SUBSTITUTE(SUBSTITUTE(SUBSTITUTE(SUBSTITUTE(TRIM('월 가계부'!A2818),"년","-"),"월","-"),"일",""),".","-"),"/","-")," ","-"),"--","-"),"--","-"),"--","-")&amp;"-","")</f>
        <v/>
      </c>
      <c r="CI2818">
        <f>IFERROR(IF('월 가계부'!A2818="","",IF(ISNUMBER('월 가계부'!A2818),IF(AND('월 가계부'!A2818&gt;=19000101,'월 가계부'!A2818&lt;=21001231),IF(AND(MOD(INT('월 가계부'!A2818/100),100)&gt;=1,MOD(INT('월 가계부'!A2818/100),100)&lt;=12,MOD(INT('월 가계부'!A2818),100)&gt;=1,MOD(INT('월 가계부'!A2818),100)&lt;=31),IF(MONTH(DATE(INT('월 가계부'!A2818/10000),MOD(INT('월 가계부'!A2818/100),100),MOD(INT('월 가계부'!A2818),100)))=MOD(INT('월 가계부'!A2818/100),100),DATE(INT('월 가계부'!A2818/10000),MOD(INT('월 가계부'!A2818/100),100),MOD(INT('월 가계부'!A2818),100)),""),""),IF(AND('월 가계부'!A2818&gt;=36526,'월 가계부'!A2818&lt;73051),INT('월 가계부'!A2818),"")),IF(OR(CM2818="",CN2818="",CO2818=""),"",IF(AND(CM2818&gt;=2000,CM2818&lt;=2099,CN2818&gt;=1,CN2818&lt;=12,CO2818&gt;=1,CO2818&lt;=31),IF(MONTH(DATE(CM2818,CN2818,CO2818))=CN2818,DATE(CM2818,CN2818,CO2818),""),"")))),"")</f>
        <v/>
      </c>
      <c r="CJ2818">
        <f>IFERROR(IF('월 가계부'!C2818="","",IF(ISNUMBER('월 가계부'!C2818),'월 가계부'!C2818,VALUE(SUBSTITUTE(SUBSTITUTE(SUBSTITUTE(SUBSTITUTE(TRIM('월 가계부'!C2818),",",""),"원","")," ",""),"−","-")))),"")</f>
        <v/>
      </c>
      <c r="CK2818">
        <f>IF(ISNUMBER(CI2818),IF(CI2818&lt;$B$13,CI2818,""),"")</f>
        <v/>
      </c>
      <c r="CM2818">
        <f>IF(CH2818="","",IFERROR(IF(IF(AND(LEN(CH2818)=9,ISERROR(FIND("-",LEFT(CH2818,8))),ISNUMBER(-LEFT(CH2818,8))),VALUE(LEFT(CH2818,4)),VALUE(LEFT(CH2818,FIND("-",CH2818)-1)))&lt;100,IF(AND(LEN(CH2818)=9,ISERROR(FIND("-",LEFT(CH2818,8))),ISNUMBER(-LEFT(CH2818,8))),VALUE(LEFT(CH2818,4)),VALUE(LEFT(CH2818,FIND("-",CH2818)-1)))+2000,IF(AND(LEN(CH2818)=9,ISERROR(FIND("-",LEFT(CH2818,8))),ISNUMBER(-LEFT(CH2818,8))),VALUE(LEFT(CH2818,4)),VALUE(LEFT(CH2818,FIND("-",CH2818)-1)))),""))</f>
        <v/>
      </c>
      <c r="CN2818">
        <f>IF(CH2818="","",IFERROR(IF(AND(LEN(CH2818)=9,ISERROR(FIND("-",LEFT(CH2818,8))),ISNUMBER(-LEFT(CH2818,8))),VALUE(MID(CH2818,5,2)),VALUE(MID(CH2818,FIND("-",CH2818)+1,FIND("-",CH2818,FIND("-",CH2818)+1)-FIND("-",CH2818)-1))),""))</f>
        <v/>
      </c>
      <c r="CO2818">
        <f>IF(CH2818="","",IFERROR(IF(AND(LEN(CH2818)=9,ISERROR(FIND("-",LEFT(CH2818,8))),ISNUMBER(-LEFT(CH2818,8))),VALUE(MID(CH2818,7,2)),VALUE(MID(CH2818,FIND("-",CH2818,FIND("-",CH2818)+1)+1,FIND("-",CH2818,FIND("-",CH2818,FIND("-",CH2818)+1)+1)-FIND("-",CH2818,FIND("-",CH2818)+1)-1))),""))</f>
        <v/>
      </c>
    </row>
    <row r="2819">
      <c r="CH2819">
        <f>IF(ISTEXT('월 가계부'!A2819),SUBSTITUTE(SUBSTITUTE(SUBSTITUTE(SUBSTITUTE(SUBSTITUTE(SUBSTITUTE(SUBSTITUTE(SUBSTITUTE(SUBSTITUTE(TRIM('월 가계부'!A2819),"년","-"),"월","-"),"일",""),".","-"),"/","-")," ","-"),"--","-"),"--","-"),"--","-")&amp;"-","")</f>
        <v/>
      </c>
      <c r="CI2819">
        <f>IFERROR(IF('월 가계부'!A2819="","",IF(ISNUMBER('월 가계부'!A2819),IF(AND('월 가계부'!A2819&gt;=19000101,'월 가계부'!A2819&lt;=21001231),IF(AND(MOD(INT('월 가계부'!A2819/100),100)&gt;=1,MOD(INT('월 가계부'!A2819/100),100)&lt;=12,MOD(INT('월 가계부'!A2819),100)&gt;=1,MOD(INT('월 가계부'!A2819),100)&lt;=31),IF(MONTH(DATE(INT('월 가계부'!A2819/10000),MOD(INT('월 가계부'!A2819/100),100),MOD(INT('월 가계부'!A2819),100)))=MOD(INT('월 가계부'!A2819/100),100),DATE(INT('월 가계부'!A2819/10000),MOD(INT('월 가계부'!A2819/100),100),MOD(INT('월 가계부'!A2819),100)),""),""),IF(AND('월 가계부'!A2819&gt;=36526,'월 가계부'!A2819&lt;73051),INT('월 가계부'!A2819),"")),IF(OR(CM2819="",CN2819="",CO2819=""),"",IF(AND(CM2819&gt;=2000,CM2819&lt;=2099,CN2819&gt;=1,CN2819&lt;=12,CO2819&gt;=1,CO2819&lt;=31),IF(MONTH(DATE(CM2819,CN2819,CO2819))=CN2819,DATE(CM2819,CN2819,CO2819),""),"")))),"")</f>
        <v/>
      </c>
      <c r="CJ2819">
        <f>IFERROR(IF('월 가계부'!C2819="","",IF(ISNUMBER('월 가계부'!C2819),'월 가계부'!C2819,VALUE(SUBSTITUTE(SUBSTITUTE(SUBSTITUTE(SUBSTITUTE(TRIM('월 가계부'!C2819),",",""),"원","")," ",""),"−","-")))),"")</f>
        <v/>
      </c>
      <c r="CK2819">
        <f>IF(ISNUMBER(CI2819),IF(CI2819&lt;$B$13,CI2819,""),"")</f>
        <v/>
      </c>
      <c r="CM2819">
        <f>IF(CH2819="","",IFERROR(IF(IF(AND(LEN(CH2819)=9,ISERROR(FIND("-",LEFT(CH2819,8))),ISNUMBER(-LEFT(CH2819,8))),VALUE(LEFT(CH2819,4)),VALUE(LEFT(CH2819,FIND("-",CH2819)-1)))&lt;100,IF(AND(LEN(CH2819)=9,ISERROR(FIND("-",LEFT(CH2819,8))),ISNUMBER(-LEFT(CH2819,8))),VALUE(LEFT(CH2819,4)),VALUE(LEFT(CH2819,FIND("-",CH2819)-1)))+2000,IF(AND(LEN(CH2819)=9,ISERROR(FIND("-",LEFT(CH2819,8))),ISNUMBER(-LEFT(CH2819,8))),VALUE(LEFT(CH2819,4)),VALUE(LEFT(CH2819,FIND("-",CH2819)-1)))),""))</f>
        <v/>
      </c>
      <c r="CN2819">
        <f>IF(CH2819="","",IFERROR(IF(AND(LEN(CH2819)=9,ISERROR(FIND("-",LEFT(CH2819,8))),ISNUMBER(-LEFT(CH2819,8))),VALUE(MID(CH2819,5,2)),VALUE(MID(CH2819,FIND("-",CH2819)+1,FIND("-",CH2819,FIND("-",CH2819)+1)-FIND("-",CH2819)-1))),""))</f>
        <v/>
      </c>
      <c r="CO2819">
        <f>IF(CH2819="","",IFERROR(IF(AND(LEN(CH2819)=9,ISERROR(FIND("-",LEFT(CH2819,8))),ISNUMBER(-LEFT(CH2819,8))),VALUE(MID(CH2819,7,2)),VALUE(MID(CH2819,FIND("-",CH2819,FIND("-",CH2819)+1)+1,FIND("-",CH2819,FIND("-",CH2819,FIND("-",CH2819)+1)+1)-FIND("-",CH2819,FIND("-",CH2819)+1)-1))),""))</f>
        <v/>
      </c>
    </row>
    <row r="2820">
      <c r="CH2820">
        <f>IF(ISTEXT('월 가계부'!A2820),SUBSTITUTE(SUBSTITUTE(SUBSTITUTE(SUBSTITUTE(SUBSTITUTE(SUBSTITUTE(SUBSTITUTE(SUBSTITUTE(SUBSTITUTE(TRIM('월 가계부'!A2820),"년","-"),"월","-"),"일",""),".","-"),"/","-")," ","-"),"--","-"),"--","-"),"--","-")&amp;"-","")</f>
        <v/>
      </c>
      <c r="CI2820">
        <f>IFERROR(IF('월 가계부'!A2820="","",IF(ISNUMBER('월 가계부'!A2820),IF(AND('월 가계부'!A2820&gt;=19000101,'월 가계부'!A2820&lt;=21001231),IF(AND(MOD(INT('월 가계부'!A2820/100),100)&gt;=1,MOD(INT('월 가계부'!A2820/100),100)&lt;=12,MOD(INT('월 가계부'!A2820),100)&gt;=1,MOD(INT('월 가계부'!A2820),100)&lt;=31),IF(MONTH(DATE(INT('월 가계부'!A2820/10000),MOD(INT('월 가계부'!A2820/100),100),MOD(INT('월 가계부'!A2820),100)))=MOD(INT('월 가계부'!A2820/100),100),DATE(INT('월 가계부'!A2820/10000),MOD(INT('월 가계부'!A2820/100),100),MOD(INT('월 가계부'!A2820),100)),""),""),IF(AND('월 가계부'!A2820&gt;=36526,'월 가계부'!A2820&lt;73051),INT('월 가계부'!A2820),"")),IF(OR(CM2820="",CN2820="",CO2820=""),"",IF(AND(CM2820&gt;=2000,CM2820&lt;=2099,CN2820&gt;=1,CN2820&lt;=12,CO2820&gt;=1,CO2820&lt;=31),IF(MONTH(DATE(CM2820,CN2820,CO2820))=CN2820,DATE(CM2820,CN2820,CO2820),""),"")))),"")</f>
        <v/>
      </c>
      <c r="CJ2820">
        <f>IFERROR(IF('월 가계부'!C2820="","",IF(ISNUMBER('월 가계부'!C2820),'월 가계부'!C2820,VALUE(SUBSTITUTE(SUBSTITUTE(SUBSTITUTE(SUBSTITUTE(TRIM('월 가계부'!C2820),",",""),"원","")," ",""),"−","-")))),"")</f>
        <v/>
      </c>
      <c r="CK2820">
        <f>IF(ISNUMBER(CI2820),IF(CI2820&lt;$B$13,CI2820,""),"")</f>
        <v/>
      </c>
      <c r="CM2820">
        <f>IF(CH2820="","",IFERROR(IF(IF(AND(LEN(CH2820)=9,ISERROR(FIND("-",LEFT(CH2820,8))),ISNUMBER(-LEFT(CH2820,8))),VALUE(LEFT(CH2820,4)),VALUE(LEFT(CH2820,FIND("-",CH2820)-1)))&lt;100,IF(AND(LEN(CH2820)=9,ISERROR(FIND("-",LEFT(CH2820,8))),ISNUMBER(-LEFT(CH2820,8))),VALUE(LEFT(CH2820,4)),VALUE(LEFT(CH2820,FIND("-",CH2820)-1)))+2000,IF(AND(LEN(CH2820)=9,ISERROR(FIND("-",LEFT(CH2820,8))),ISNUMBER(-LEFT(CH2820,8))),VALUE(LEFT(CH2820,4)),VALUE(LEFT(CH2820,FIND("-",CH2820)-1)))),""))</f>
        <v/>
      </c>
      <c r="CN2820">
        <f>IF(CH2820="","",IFERROR(IF(AND(LEN(CH2820)=9,ISERROR(FIND("-",LEFT(CH2820,8))),ISNUMBER(-LEFT(CH2820,8))),VALUE(MID(CH2820,5,2)),VALUE(MID(CH2820,FIND("-",CH2820)+1,FIND("-",CH2820,FIND("-",CH2820)+1)-FIND("-",CH2820)-1))),""))</f>
        <v/>
      </c>
      <c r="CO2820">
        <f>IF(CH2820="","",IFERROR(IF(AND(LEN(CH2820)=9,ISERROR(FIND("-",LEFT(CH2820,8))),ISNUMBER(-LEFT(CH2820,8))),VALUE(MID(CH2820,7,2)),VALUE(MID(CH2820,FIND("-",CH2820,FIND("-",CH2820)+1)+1,FIND("-",CH2820,FIND("-",CH2820,FIND("-",CH2820)+1)+1)-FIND("-",CH2820,FIND("-",CH2820)+1)-1))),""))</f>
        <v/>
      </c>
    </row>
    <row r="2821">
      <c r="CH2821">
        <f>IF(ISTEXT('월 가계부'!A2821),SUBSTITUTE(SUBSTITUTE(SUBSTITUTE(SUBSTITUTE(SUBSTITUTE(SUBSTITUTE(SUBSTITUTE(SUBSTITUTE(SUBSTITUTE(TRIM('월 가계부'!A2821),"년","-"),"월","-"),"일",""),".","-"),"/","-")," ","-"),"--","-"),"--","-"),"--","-")&amp;"-","")</f>
        <v/>
      </c>
      <c r="CI2821">
        <f>IFERROR(IF('월 가계부'!A2821="","",IF(ISNUMBER('월 가계부'!A2821),IF(AND('월 가계부'!A2821&gt;=19000101,'월 가계부'!A2821&lt;=21001231),IF(AND(MOD(INT('월 가계부'!A2821/100),100)&gt;=1,MOD(INT('월 가계부'!A2821/100),100)&lt;=12,MOD(INT('월 가계부'!A2821),100)&gt;=1,MOD(INT('월 가계부'!A2821),100)&lt;=31),IF(MONTH(DATE(INT('월 가계부'!A2821/10000),MOD(INT('월 가계부'!A2821/100),100),MOD(INT('월 가계부'!A2821),100)))=MOD(INT('월 가계부'!A2821/100),100),DATE(INT('월 가계부'!A2821/10000),MOD(INT('월 가계부'!A2821/100),100),MOD(INT('월 가계부'!A2821),100)),""),""),IF(AND('월 가계부'!A2821&gt;=36526,'월 가계부'!A2821&lt;73051),INT('월 가계부'!A2821),"")),IF(OR(CM2821="",CN2821="",CO2821=""),"",IF(AND(CM2821&gt;=2000,CM2821&lt;=2099,CN2821&gt;=1,CN2821&lt;=12,CO2821&gt;=1,CO2821&lt;=31),IF(MONTH(DATE(CM2821,CN2821,CO2821))=CN2821,DATE(CM2821,CN2821,CO2821),""),"")))),"")</f>
        <v/>
      </c>
      <c r="CJ2821">
        <f>IFERROR(IF('월 가계부'!C2821="","",IF(ISNUMBER('월 가계부'!C2821),'월 가계부'!C2821,VALUE(SUBSTITUTE(SUBSTITUTE(SUBSTITUTE(SUBSTITUTE(TRIM('월 가계부'!C2821),",",""),"원","")," ",""),"−","-")))),"")</f>
        <v/>
      </c>
      <c r="CK2821">
        <f>IF(ISNUMBER(CI2821),IF(CI2821&lt;$B$13,CI2821,""),"")</f>
        <v/>
      </c>
      <c r="CM2821">
        <f>IF(CH2821="","",IFERROR(IF(IF(AND(LEN(CH2821)=9,ISERROR(FIND("-",LEFT(CH2821,8))),ISNUMBER(-LEFT(CH2821,8))),VALUE(LEFT(CH2821,4)),VALUE(LEFT(CH2821,FIND("-",CH2821)-1)))&lt;100,IF(AND(LEN(CH2821)=9,ISERROR(FIND("-",LEFT(CH2821,8))),ISNUMBER(-LEFT(CH2821,8))),VALUE(LEFT(CH2821,4)),VALUE(LEFT(CH2821,FIND("-",CH2821)-1)))+2000,IF(AND(LEN(CH2821)=9,ISERROR(FIND("-",LEFT(CH2821,8))),ISNUMBER(-LEFT(CH2821,8))),VALUE(LEFT(CH2821,4)),VALUE(LEFT(CH2821,FIND("-",CH2821)-1)))),""))</f>
        <v/>
      </c>
      <c r="CN2821">
        <f>IF(CH2821="","",IFERROR(IF(AND(LEN(CH2821)=9,ISERROR(FIND("-",LEFT(CH2821,8))),ISNUMBER(-LEFT(CH2821,8))),VALUE(MID(CH2821,5,2)),VALUE(MID(CH2821,FIND("-",CH2821)+1,FIND("-",CH2821,FIND("-",CH2821)+1)-FIND("-",CH2821)-1))),""))</f>
        <v/>
      </c>
      <c r="CO2821">
        <f>IF(CH2821="","",IFERROR(IF(AND(LEN(CH2821)=9,ISERROR(FIND("-",LEFT(CH2821,8))),ISNUMBER(-LEFT(CH2821,8))),VALUE(MID(CH2821,7,2)),VALUE(MID(CH2821,FIND("-",CH2821,FIND("-",CH2821)+1)+1,FIND("-",CH2821,FIND("-",CH2821,FIND("-",CH2821)+1)+1)-FIND("-",CH2821,FIND("-",CH2821)+1)-1))),""))</f>
        <v/>
      </c>
    </row>
    <row r="2822">
      <c r="CH2822">
        <f>IF(ISTEXT('월 가계부'!A2822),SUBSTITUTE(SUBSTITUTE(SUBSTITUTE(SUBSTITUTE(SUBSTITUTE(SUBSTITUTE(SUBSTITUTE(SUBSTITUTE(SUBSTITUTE(TRIM('월 가계부'!A2822),"년","-"),"월","-"),"일",""),".","-"),"/","-")," ","-"),"--","-"),"--","-"),"--","-")&amp;"-","")</f>
        <v/>
      </c>
      <c r="CI2822">
        <f>IFERROR(IF('월 가계부'!A2822="","",IF(ISNUMBER('월 가계부'!A2822),IF(AND('월 가계부'!A2822&gt;=19000101,'월 가계부'!A2822&lt;=21001231),IF(AND(MOD(INT('월 가계부'!A2822/100),100)&gt;=1,MOD(INT('월 가계부'!A2822/100),100)&lt;=12,MOD(INT('월 가계부'!A2822),100)&gt;=1,MOD(INT('월 가계부'!A2822),100)&lt;=31),IF(MONTH(DATE(INT('월 가계부'!A2822/10000),MOD(INT('월 가계부'!A2822/100),100),MOD(INT('월 가계부'!A2822),100)))=MOD(INT('월 가계부'!A2822/100),100),DATE(INT('월 가계부'!A2822/10000),MOD(INT('월 가계부'!A2822/100),100),MOD(INT('월 가계부'!A2822),100)),""),""),IF(AND('월 가계부'!A2822&gt;=36526,'월 가계부'!A2822&lt;73051),INT('월 가계부'!A2822),"")),IF(OR(CM2822="",CN2822="",CO2822=""),"",IF(AND(CM2822&gt;=2000,CM2822&lt;=2099,CN2822&gt;=1,CN2822&lt;=12,CO2822&gt;=1,CO2822&lt;=31),IF(MONTH(DATE(CM2822,CN2822,CO2822))=CN2822,DATE(CM2822,CN2822,CO2822),""),"")))),"")</f>
        <v/>
      </c>
      <c r="CJ2822">
        <f>IFERROR(IF('월 가계부'!C2822="","",IF(ISNUMBER('월 가계부'!C2822),'월 가계부'!C2822,VALUE(SUBSTITUTE(SUBSTITUTE(SUBSTITUTE(SUBSTITUTE(TRIM('월 가계부'!C2822),",",""),"원","")," ",""),"−","-")))),"")</f>
        <v/>
      </c>
      <c r="CK2822">
        <f>IF(ISNUMBER(CI2822),IF(CI2822&lt;$B$13,CI2822,""),"")</f>
        <v/>
      </c>
      <c r="CM2822">
        <f>IF(CH2822="","",IFERROR(IF(IF(AND(LEN(CH2822)=9,ISERROR(FIND("-",LEFT(CH2822,8))),ISNUMBER(-LEFT(CH2822,8))),VALUE(LEFT(CH2822,4)),VALUE(LEFT(CH2822,FIND("-",CH2822)-1)))&lt;100,IF(AND(LEN(CH2822)=9,ISERROR(FIND("-",LEFT(CH2822,8))),ISNUMBER(-LEFT(CH2822,8))),VALUE(LEFT(CH2822,4)),VALUE(LEFT(CH2822,FIND("-",CH2822)-1)))+2000,IF(AND(LEN(CH2822)=9,ISERROR(FIND("-",LEFT(CH2822,8))),ISNUMBER(-LEFT(CH2822,8))),VALUE(LEFT(CH2822,4)),VALUE(LEFT(CH2822,FIND("-",CH2822)-1)))),""))</f>
        <v/>
      </c>
      <c r="CN2822">
        <f>IF(CH2822="","",IFERROR(IF(AND(LEN(CH2822)=9,ISERROR(FIND("-",LEFT(CH2822,8))),ISNUMBER(-LEFT(CH2822,8))),VALUE(MID(CH2822,5,2)),VALUE(MID(CH2822,FIND("-",CH2822)+1,FIND("-",CH2822,FIND("-",CH2822)+1)-FIND("-",CH2822)-1))),""))</f>
        <v/>
      </c>
      <c r="CO2822">
        <f>IF(CH2822="","",IFERROR(IF(AND(LEN(CH2822)=9,ISERROR(FIND("-",LEFT(CH2822,8))),ISNUMBER(-LEFT(CH2822,8))),VALUE(MID(CH2822,7,2)),VALUE(MID(CH2822,FIND("-",CH2822,FIND("-",CH2822)+1)+1,FIND("-",CH2822,FIND("-",CH2822,FIND("-",CH2822)+1)+1)-FIND("-",CH2822,FIND("-",CH2822)+1)-1))),""))</f>
        <v/>
      </c>
    </row>
    <row r="2823">
      <c r="CH2823">
        <f>IF(ISTEXT('월 가계부'!A2823),SUBSTITUTE(SUBSTITUTE(SUBSTITUTE(SUBSTITUTE(SUBSTITUTE(SUBSTITUTE(SUBSTITUTE(SUBSTITUTE(SUBSTITUTE(TRIM('월 가계부'!A2823),"년","-"),"월","-"),"일",""),".","-"),"/","-")," ","-"),"--","-"),"--","-"),"--","-")&amp;"-","")</f>
        <v/>
      </c>
      <c r="CI2823">
        <f>IFERROR(IF('월 가계부'!A2823="","",IF(ISNUMBER('월 가계부'!A2823),IF(AND('월 가계부'!A2823&gt;=19000101,'월 가계부'!A2823&lt;=21001231),IF(AND(MOD(INT('월 가계부'!A2823/100),100)&gt;=1,MOD(INT('월 가계부'!A2823/100),100)&lt;=12,MOD(INT('월 가계부'!A2823),100)&gt;=1,MOD(INT('월 가계부'!A2823),100)&lt;=31),IF(MONTH(DATE(INT('월 가계부'!A2823/10000),MOD(INT('월 가계부'!A2823/100),100),MOD(INT('월 가계부'!A2823),100)))=MOD(INT('월 가계부'!A2823/100),100),DATE(INT('월 가계부'!A2823/10000),MOD(INT('월 가계부'!A2823/100),100),MOD(INT('월 가계부'!A2823),100)),""),""),IF(AND('월 가계부'!A2823&gt;=36526,'월 가계부'!A2823&lt;73051),INT('월 가계부'!A2823),"")),IF(OR(CM2823="",CN2823="",CO2823=""),"",IF(AND(CM2823&gt;=2000,CM2823&lt;=2099,CN2823&gt;=1,CN2823&lt;=12,CO2823&gt;=1,CO2823&lt;=31),IF(MONTH(DATE(CM2823,CN2823,CO2823))=CN2823,DATE(CM2823,CN2823,CO2823),""),"")))),"")</f>
        <v/>
      </c>
      <c r="CJ2823">
        <f>IFERROR(IF('월 가계부'!C2823="","",IF(ISNUMBER('월 가계부'!C2823),'월 가계부'!C2823,VALUE(SUBSTITUTE(SUBSTITUTE(SUBSTITUTE(SUBSTITUTE(TRIM('월 가계부'!C2823),",",""),"원","")," ",""),"−","-")))),"")</f>
        <v/>
      </c>
      <c r="CK2823">
        <f>IF(ISNUMBER(CI2823),IF(CI2823&lt;$B$13,CI2823,""),"")</f>
        <v/>
      </c>
      <c r="CM2823">
        <f>IF(CH2823="","",IFERROR(IF(IF(AND(LEN(CH2823)=9,ISERROR(FIND("-",LEFT(CH2823,8))),ISNUMBER(-LEFT(CH2823,8))),VALUE(LEFT(CH2823,4)),VALUE(LEFT(CH2823,FIND("-",CH2823)-1)))&lt;100,IF(AND(LEN(CH2823)=9,ISERROR(FIND("-",LEFT(CH2823,8))),ISNUMBER(-LEFT(CH2823,8))),VALUE(LEFT(CH2823,4)),VALUE(LEFT(CH2823,FIND("-",CH2823)-1)))+2000,IF(AND(LEN(CH2823)=9,ISERROR(FIND("-",LEFT(CH2823,8))),ISNUMBER(-LEFT(CH2823,8))),VALUE(LEFT(CH2823,4)),VALUE(LEFT(CH2823,FIND("-",CH2823)-1)))),""))</f>
        <v/>
      </c>
      <c r="CN2823">
        <f>IF(CH2823="","",IFERROR(IF(AND(LEN(CH2823)=9,ISERROR(FIND("-",LEFT(CH2823,8))),ISNUMBER(-LEFT(CH2823,8))),VALUE(MID(CH2823,5,2)),VALUE(MID(CH2823,FIND("-",CH2823)+1,FIND("-",CH2823,FIND("-",CH2823)+1)-FIND("-",CH2823)-1))),""))</f>
        <v/>
      </c>
      <c r="CO2823">
        <f>IF(CH2823="","",IFERROR(IF(AND(LEN(CH2823)=9,ISERROR(FIND("-",LEFT(CH2823,8))),ISNUMBER(-LEFT(CH2823,8))),VALUE(MID(CH2823,7,2)),VALUE(MID(CH2823,FIND("-",CH2823,FIND("-",CH2823)+1)+1,FIND("-",CH2823,FIND("-",CH2823,FIND("-",CH2823)+1)+1)-FIND("-",CH2823,FIND("-",CH2823)+1)-1))),""))</f>
        <v/>
      </c>
    </row>
    <row r="2824">
      <c r="CH2824">
        <f>IF(ISTEXT('월 가계부'!A2824),SUBSTITUTE(SUBSTITUTE(SUBSTITUTE(SUBSTITUTE(SUBSTITUTE(SUBSTITUTE(SUBSTITUTE(SUBSTITUTE(SUBSTITUTE(TRIM('월 가계부'!A2824),"년","-"),"월","-"),"일",""),".","-"),"/","-")," ","-"),"--","-"),"--","-"),"--","-")&amp;"-","")</f>
        <v/>
      </c>
      <c r="CI2824">
        <f>IFERROR(IF('월 가계부'!A2824="","",IF(ISNUMBER('월 가계부'!A2824),IF(AND('월 가계부'!A2824&gt;=19000101,'월 가계부'!A2824&lt;=21001231),IF(AND(MOD(INT('월 가계부'!A2824/100),100)&gt;=1,MOD(INT('월 가계부'!A2824/100),100)&lt;=12,MOD(INT('월 가계부'!A2824),100)&gt;=1,MOD(INT('월 가계부'!A2824),100)&lt;=31),IF(MONTH(DATE(INT('월 가계부'!A2824/10000),MOD(INT('월 가계부'!A2824/100),100),MOD(INT('월 가계부'!A2824),100)))=MOD(INT('월 가계부'!A2824/100),100),DATE(INT('월 가계부'!A2824/10000),MOD(INT('월 가계부'!A2824/100),100),MOD(INT('월 가계부'!A2824),100)),""),""),IF(AND('월 가계부'!A2824&gt;=36526,'월 가계부'!A2824&lt;73051),INT('월 가계부'!A2824),"")),IF(OR(CM2824="",CN2824="",CO2824=""),"",IF(AND(CM2824&gt;=2000,CM2824&lt;=2099,CN2824&gt;=1,CN2824&lt;=12,CO2824&gt;=1,CO2824&lt;=31),IF(MONTH(DATE(CM2824,CN2824,CO2824))=CN2824,DATE(CM2824,CN2824,CO2824),""),"")))),"")</f>
        <v/>
      </c>
      <c r="CJ2824">
        <f>IFERROR(IF('월 가계부'!C2824="","",IF(ISNUMBER('월 가계부'!C2824),'월 가계부'!C2824,VALUE(SUBSTITUTE(SUBSTITUTE(SUBSTITUTE(SUBSTITUTE(TRIM('월 가계부'!C2824),",",""),"원","")," ",""),"−","-")))),"")</f>
        <v/>
      </c>
      <c r="CK2824">
        <f>IF(ISNUMBER(CI2824),IF(CI2824&lt;$B$13,CI2824,""),"")</f>
        <v/>
      </c>
      <c r="CM2824">
        <f>IF(CH2824="","",IFERROR(IF(IF(AND(LEN(CH2824)=9,ISERROR(FIND("-",LEFT(CH2824,8))),ISNUMBER(-LEFT(CH2824,8))),VALUE(LEFT(CH2824,4)),VALUE(LEFT(CH2824,FIND("-",CH2824)-1)))&lt;100,IF(AND(LEN(CH2824)=9,ISERROR(FIND("-",LEFT(CH2824,8))),ISNUMBER(-LEFT(CH2824,8))),VALUE(LEFT(CH2824,4)),VALUE(LEFT(CH2824,FIND("-",CH2824)-1)))+2000,IF(AND(LEN(CH2824)=9,ISERROR(FIND("-",LEFT(CH2824,8))),ISNUMBER(-LEFT(CH2824,8))),VALUE(LEFT(CH2824,4)),VALUE(LEFT(CH2824,FIND("-",CH2824)-1)))),""))</f>
        <v/>
      </c>
      <c r="CN2824">
        <f>IF(CH2824="","",IFERROR(IF(AND(LEN(CH2824)=9,ISERROR(FIND("-",LEFT(CH2824,8))),ISNUMBER(-LEFT(CH2824,8))),VALUE(MID(CH2824,5,2)),VALUE(MID(CH2824,FIND("-",CH2824)+1,FIND("-",CH2824,FIND("-",CH2824)+1)-FIND("-",CH2824)-1))),""))</f>
        <v/>
      </c>
      <c r="CO2824">
        <f>IF(CH2824="","",IFERROR(IF(AND(LEN(CH2824)=9,ISERROR(FIND("-",LEFT(CH2824,8))),ISNUMBER(-LEFT(CH2824,8))),VALUE(MID(CH2824,7,2)),VALUE(MID(CH2824,FIND("-",CH2824,FIND("-",CH2824)+1)+1,FIND("-",CH2824,FIND("-",CH2824,FIND("-",CH2824)+1)+1)-FIND("-",CH2824,FIND("-",CH2824)+1)-1))),""))</f>
        <v/>
      </c>
    </row>
    <row r="2825">
      <c r="CH2825">
        <f>IF(ISTEXT('월 가계부'!A2825),SUBSTITUTE(SUBSTITUTE(SUBSTITUTE(SUBSTITUTE(SUBSTITUTE(SUBSTITUTE(SUBSTITUTE(SUBSTITUTE(SUBSTITUTE(TRIM('월 가계부'!A2825),"년","-"),"월","-"),"일",""),".","-"),"/","-")," ","-"),"--","-"),"--","-"),"--","-")&amp;"-","")</f>
        <v/>
      </c>
      <c r="CI2825">
        <f>IFERROR(IF('월 가계부'!A2825="","",IF(ISNUMBER('월 가계부'!A2825),IF(AND('월 가계부'!A2825&gt;=19000101,'월 가계부'!A2825&lt;=21001231),IF(AND(MOD(INT('월 가계부'!A2825/100),100)&gt;=1,MOD(INT('월 가계부'!A2825/100),100)&lt;=12,MOD(INT('월 가계부'!A2825),100)&gt;=1,MOD(INT('월 가계부'!A2825),100)&lt;=31),IF(MONTH(DATE(INT('월 가계부'!A2825/10000),MOD(INT('월 가계부'!A2825/100),100),MOD(INT('월 가계부'!A2825),100)))=MOD(INT('월 가계부'!A2825/100),100),DATE(INT('월 가계부'!A2825/10000),MOD(INT('월 가계부'!A2825/100),100),MOD(INT('월 가계부'!A2825),100)),""),""),IF(AND('월 가계부'!A2825&gt;=36526,'월 가계부'!A2825&lt;73051),INT('월 가계부'!A2825),"")),IF(OR(CM2825="",CN2825="",CO2825=""),"",IF(AND(CM2825&gt;=2000,CM2825&lt;=2099,CN2825&gt;=1,CN2825&lt;=12,CO2825&gt;=1,CO2825&lt;=31),IF(MONTH(DATE(CM2825,CN2825,CO2825))=CN2825,DATE(CM2825,CN2825,CO2825),""),"")))),"")</f>
        <v/>
      </c>
      <c r="CJ2825">
        <f>IFERROR(IF('월 가계부'!C2825="","",IF(ISNUMBER('월 가계부'!C2825),'월 가계부'!C2825,VALUE(SUBSTITUTE(SUBSTITUTE(SUBSTITUTE(SUBSTITUTE(TRIM('월 가계부'!C2825),",",""),"원","")," ",""),"−","-")))),"")</f>
        <v/>
      </c>
      <c r="CK2825">
        <f>IF(ISNUMBER(CI2825),IF(CI2825&lt;$B$13,CI2825,""),"")</f>
        <v/>
      </c>
      <c r="CM2825">
        <f>IF(CH2825="","",IFERROR(IF(IF(AND(LEN(CH2825)=9,ISERROR(FIND("-",LEFT(CH2825,8))),ISNUMBER(-LEFT(CH2825,8))),VALUE(LEFT(CH2825,4)),VALUE(LEFT(CH2825,FIND("-",CH2825)-1)))&lt;100,IF(AND(LEN(CH2825)=9,ISERROR(FIND("-",LEFT(CH2825,8))),ISNUMBER(-LEFT(CH2825,8))),VALUE(LEFT(CH2825,4)),VALUE(LEFT(CH2825,FIND("-",CH2825)-1)))+2000,IF(AND(LEN(CH2825)=9,ISERROR(FIND("-",LEFT(CH2825,8))),ISNUMBER(-LEFT(CH2825,8))),VALUE(LEFT(CH2825,4)),VALUE(LEFT(CH2825,FIND("-",CH2825)-1)))),""))</f>
        <v/>
      </c>
      <c r="CN2825">
        <f>IF(CH2825="","",IFERROR(IF(AND(LEN(CH2825)=9,ISERROR(FIND("-",LEFT(CH2825,8))),ISNUMBER(-LEFT(CH2825,8))),VALUE(MID(CH2825,5,2)),VALUE(MID(CH2825,FIND("-",CH2825)+1,FIND("-",CH2825,FIND("-",CH2825)+1)-FIND("-",CH2825)-1))),""))</f>
        <v/>
      </c>
      <c r="CO2825">
        <f>IF(CH2825="","",IFERROR(IF(AND(LEN(CH2825)=9,ISERROR(FIND("-",LEFT(CH2825,8))),ISNUMBER(-LEFT(CH2825,8))),VALUE(MID(CH2825,7,2)),VALUE(MID(CH2825,FIND("-",CH2825,FIND("-",CH2825)+1)+1,FIND("-",CH2825,FIND("-",CH2825,FIND("-",CH2825)+1)+1)-FIND("-",CH2825,FIND("-",CH2825)+1)-1))),""))</f>
        <v/>
      </c>
    </row>
    <row r="2826">
      <c r="CH2826">
        <f>IF(ISTEXT('월 가계부'!A2826),SUBSTITUTE(SUBSTITUTE(SUBSTITUTE(SUBSTITUTE(SUBSTITUTE(SUBSTITUTE(SUBSTITUTE(SUBSTITUTE(SUBSTITUTE(TRIM('월 가계부'!A2826),"년","-"),"월","-"),"일",""),".","-"),"/","-")," ","-"),"--","-"),"--","-"),"--","-")&amp;"-","")</f>
        <v/>
      </c>
      <c r="CI2826">
        <f>IFERROR(IF('월 가계부'!A2826="","",IF(ISNUMBER('월 가계부'!A2826),IF(AND('월 가계부'!A2826&gt;=19000101,'월 가계부'!A2826&lt;=21001231),IF(AND(MOD(INT('월 가계부'!A2826/100),100)&gt;=1,MOD(INT('월 가계부'!A2826/100),100)&lt;=12,MOD(INT('월 가계부'!A2826),100)&gt;=1,MOD(INT('월 가계부'!A2826),100)&lt;=31),IF(MONTH(DATE(INT('월 가계부'!A2826/10000),MOD(INT('월 가계부'!A2826/100),100),MOD(INT('월 가계부'!A2826),100)))=MOD(INT('월 가계부'!A2826/100),100),DATE(INT('월 가계부'!A2826/10000),MOD(INT('월 가계부'!A2826/100),100),MOD(INT('월 가계부'!A2826),100)),""),""),IF(AND('월 가계부'!A2826&gt;=36526,'월 가계부'!A2826&lt;73051),INT('월 가계부'!A2826),"")),IF(OR(CM2826="",CN2826="",CO2826=""),"",IF(AND(CM2826&gt;=2000,CM2826&lt;=2099,CN2826&gt;=1,CN2826&lt;=12,CO2826&gt;=1,CO2826&lt;=31),IF(MONTH(DATE(CM2826,CN2826,CO2826))=CN2826,DATE(CM2826,CN2826,CO2826),""),"")))),"")</f>
        <v/>
      </c>
      <c r="CJ2826">
        <f>IFERROR(IF('월 가계부'!C2826="","",IF(ISNUMBER('월 가계부'!C2826),'월 가계부'!C2826,VALUE(SUBSTITUTE(SUBSTITUTE(SUBSTITUTE(SUBSTITUTE(TRIM('월 가계부'!C2826),",",""),"원","")," ",""),"−","-")))),"")</f>
        <v/>
      </c>
      <c r="CK2826">
        <f>IF(ISNUMBER(CI2826),IF(CI2826&lt;$B$13,CI2826,""),"")</f>
        <v/>
      </c>
      <c r="CM2826">
        <f>IF(CH2826="","",IFERROR(IF(IF(AND(LEN(CH2826)=9,ISERROR(FIND("-",LEFT(CH2826,8))),ISNUMBER(-LEFT(CH2826,8))),VALUE(LEFT(CH2826,4)),VALUE(LEFT(CH2826,FIND("-",CH2826)-1)))&lt;100,IF(AND(LEN(CH2826)=9,ISERROR(FIND("-",LEFT(CH2826,8))),ISNUMBER(-LEFT(CH2826,8))),VALUE(LEFT(CH2826,4)),VALUE(LEFT(CH2826,FIND("-",CH2826)-1)))+2000,IF(AND(LEN(CH2826)=9,ISERROR(FIND("-",LEFT(CH2826,8))),ISNUMBER(-LEFT(CH2826,8))),VALUE(LEFT(CH2826,4)),VALUE(LEFT(CH2826,FIND("-",CH2826)-1)))),""))</f>
        <v/>
      </c>
      <c r="CN2826">
        <f>IF(CH2826="","",IFERROR(IF(AND(LEN(CH2826)=9,ISERROR(FIND("-",LEFT(CH2826,8))),ISNUMBER(-LEFT(CH2826,8))),VALUE(MID(CH2826,5,2)),VALUE(MID(CH2826,FIND("-",CH2826)+1,FIND("-",CH2826,FIND("-",CH2826)+1)-FIND("-",CH2826)-1))),""))</f>
        <v/>
      </c>
      <c r="CO2826">
        <f>IF(CH2826="","",IFERROR(IF(AND(LEN(CH2826)=9,ISERROR(FIND("-",LEFT(CH2826,8))),ISNUMBER(-LEFT(CH2826,8))),VALUE(MID(CH2826,7,2)),VALUE(MID(CH2826,FIND("-",CH2826,FIND("-",CH2826)+1)+1,FIND("-",CH2826,FIND("-",CH2826,FIND("-",CH2826)+1)+1)-FIND("-",CH2826,FIND("-",CH2826)+1)-1))),""))</f>
        <v/>
      </c>
    </row>
    <row r="2827">
      <c r="CH2827">
        <f>IF(ISTEXT('월 가계부'!A2827),SUBSTITUTE(SUBSTITUTE(SUBSTITUTE(SUBSTITUTE(SUBSTITUTE(SUBSTITUTE(SUBSTITUTE(SUBSTITUTE(SUBSTITUTE(TRIM('월 가계부'!A2827),"년","-"),"월","-"),"일",""),".","-"),"/","-")," ","-"),"--","-"),"--","-"),"--","-")&amp;"-","")</f>
        <v/>
      </c>
      <c r="CI2827">
        <f>IFERROR(IF('월 가계부'!A2827="","",IF(ISNUMBER('월 가계부'!A2827),IF(AND('월 가계부'!A2827&gt;=19000101,'월 가계부'!A2827&lt;=21001231),IF(AND(MOD(INT('월 가계부'!A2827/100),100)&gt;=1,MOD(INT('월 가계부'!A2827/100),100)&lt;=12,MOD(INT('월 가계부'!A2827),100)&gt;=1,MOD(INT('월 가계부'!A2827),100)&lt;=31),IF(MONTH(DATE(INT('월 가계부'!A2827/10000),MOD(INT('월 가계부'!A2827/100),100),MOD(INT('월 가계부'!A2827),100)))=MOD(INT('월 가계부'!A2827/100),100),DATE(INT('월 가계부'!A2827/10000),MOD(INT('월 가계부'!A2827/100),100),MOD(INT('월 가계부'!A2827),100)),""),""),IF(AND('월 가계부'!A2827&gt;=36526,'월 가계부'!A2827&lt;73051),INT('월 가계부'!A2827),"")),IF(OR(CM2827="",CN2827="",CO2827=""),"",IF(AND(CM2827&gt;=2000,CM2827&lt;=2099,CN2827&gt;=1,CN2827&lt;=12,CO2827&gt;=1,CO2827&lt;=31),IF(MONTH(DATE(CM2827,CN2827,CO2827))=CN2827,DATE(CM2827,CN2827,CO2827),""),"")))),"")</f>
        <v/>
      </c>
      <c r="CJ2827">
        <f>IFERROR(IF('월 가계부'!C2827="","",IF(ISNUMBER('월 가계부'!C2827),'월 가계부'!C2827,VALUE(SUBSTITUTE(SUBSTITUTE(SUBSTITUTE(SUBSTITUTE(TRIM('월 가계부'!C2827),",",""),"원","")," ",""),"−","-")))),"")</f>
        <v/>
      </c>
      <c r="CK2827">
        <f>IF(ISNUMBER(CI2827),IF(CI2827&lt;$B$13,CI2827,""),"")</f>
        <v/>
      </c>
      <c r="CM2827">
        <f>IF(CH2827="","",IFERROR(IF(IF(AND(LEN(CH2827)=9,ISERROR(FIND("-",LEFT(CH2827,8))),ISNUMBER(-LEFT(CH2827,8))),VALUE(LEFT(CH2827,4)),VALUE(LEFT(CH2827,FIND("-",CH2827)-1)))&lt;100,IF(AND(LEN(CH2827)=9,ISERROR(FIND("-",LEFT(CH2827,8))),ISNUMBER(-LEFT(CH2827,8))),VALUE(LEFT(CH2827,4)),VALUE(LEFT(CH2827,FIND("-",CH2827)-1)))+2000,IF(AND(LEN(CH2827)=9,ISERROR(FIND("-",LEFT(CH2827,8))),ISNUMBER(-LEFT(CH2827,8))),VALUE(LEFT(CH2827,4)),VALUE(LEFT(CH2827,FIND("-",CH2827)-1)))),""))</f>
        <v/>
      </c>
      <c r="CN2827">
        <f>IF(CH2827="","",IFERROR(IF(AND(LEN(CH2827)=9,ISERROR(FIND("-",LEFT(CH2827,8))),ISNUMBER(-LEFT(CH2827,8))),VALUE(MID(CH2827,5,2)),VALUE(MID(CH2827,FIND("-",CH2827)+1,FIND("-",CH2827,FIND("-",CH2827)+1)-FIND("-",CH2827)-1))),""))</f>
        <v/>
      </c>
      <c r="CO2827">
        <f>IF(CH2827="","",IFERROR(IF(AND(LEN(CH2827)=9,ISERROR(FIND("-",LEFT(CH2827,8))),ISNUMBER(-LEFT(CH2827,8))),VALUE(MID(CH2827,7,2)),VALUE(MID(CH2827,FIND("-",CH2827,FIND("-",CH2827)+1)+1,FIND("-",CH2827,FIND("-",CH2827,FIND("-",CH2827)+1)+1)-FIND("-",CH2827,FIND("-",CH2827)+1)-1))),""))</f>
        <v/>
      </c>
    </row>
    <row r="2828">
      <c r="CH2828">
        <f>IF(ISTEXT('월 가계부'!A2828),SUBSTITUTE(SUBSTITUTE(SUBSTITUTE(SUBSTITUTE(SUBSTITUTE(SUBSTITUTE(SUBSTITUTE(SUBSTITUTE(SUBSTITUTE(TRIM('월 가계부'!A2828),"년","-"),"월","-"),"일",""),".","-"),"/","-")," ","-"),"--","-"),"--","-"),"--","-")&amp;"-","")</f>
        <v/>
      </c>
      <c r="CI2828">
        <f>IFERROR(IF('월 가계부'!A2828="","",IF(ISNUMBER('월 가계부'!A2828),IF(AND('월 가계부'!A2828&gt;=19000101,'월 가계부'!A2828&lt;=21001231),IF(AND(MOD(INT('월 가계부'!A2828/100),100)&gt;=1,MOD(INT('월 가계부'!A2828/100),100)&lt;=12,MOD(INT('월 가계부'!A2828),100)&gt;=1,MOD(INT('월 가계부'!A2828),100)&lt;=31),IF(MONTH(DATE(INT('월 가계부'!A2828/10000),MOD(INT('월 가계부'!A2828/100),100),MOD(INT('월 가계부'!A2828),100)))=MOD(INT('월 가계부'!A2828/100),100),DATE(INT('월 가계부'!A2828/10000),MOD(INT('월 가계부'!A2828/100),100),MOD(INT('월 가계부'!A2828),100)),""),""),IF(AND('월 가계부'!A2828&gt;=36526,'월 가계부'!A2828&lt;73051),INT('월 가계부'!A2828),"")),IF(OR(CM2828="",CN2828="",CO2828=""),"",IF(AND(CM2828&gt;=2000,CM2828&lt;=2099,CN2828&gt;=1,CN2828&lt;=12,CO2828&gt;=1,CO2828&lt;=31),IF(MONTH(DATE(CM2828,CN2828,CO2828))=CN2828,DATE(CM2828,CN2828,CO2828),""),"")))),"")</f>
        <v/>
      </c>
      <c r="CJ2828">
        <f>IFERROR(IF('월 가계부'!C2828="","",IF(ISNUMBER('월 가계부'!C2828),'월 가계부'!C2828,VALUE(SUBSTITUTE(SUBSTITUTE(SUBSTITUTE(SUBSTITUTE(TRIM('월 가계부'!C2828),",",""),"원","")," ",""),"−","-")))),"")</f>
        <v/>
      </c>
      <c r="CK2828">
        <f>IF(ISNUMBER(CI2828),IF(CI2828&lt;$B$13,CI2828,""),"")</f>
        <v/>
      </c>
      <c r="CM2828">
        <f>IF(CH2828="","",IFERROR(IF(IF(AND(LEN(CH2828)=9,ISERROR(FIND("-",LEFT(CH2828,8))),ISNUMBER(-LEFT(CH2828,8))),VALUE(LEFT(CH2828,4)),VALUE(LEFT(CH2828,FIND("-",CH2828)-1)))&lt;100,IF(AND(LEN(CH2828)=9,ISERROR(FIND("-",LEFT(CH2828,8))),ISNUMBER(-LEFT(CH2828,8))),VALUE(LEFT(CH2828,4)),VALUE(LEFT(CH2828,FIND("-",CH2828)-1)))+2000,IF(AND(LEN(CH2828)=9,ISERROR(FIND("-",LEFT(CH2828,8))),ISNUMBER(-LEFT(CH2828,8))),VALUE(LEFT(CH2828,4)),VALUE(LEFT(CH2828,FIND("-",CH2828)-1)))),""))</f>
        <v/>
      </c>
      <c r="CN2828">
        <f>IF(CH2828="","",IFERROR(IF(AND(LEN(CH2828)=9,ISERROR(FIND("-",LEFT(CH2828,8))),ISNUMBER(-LEFT(CH2828,8))),VALUE(MID(CH2828,5,2)),VALUE(MID(CH2828,FIND("-",CH2828)+1,FIND("-",CH2828,FIND("-",CH2828)+1)-FIND("-",CH2828)-1))),""))</f>
        <v/>
      </c>
      <c r="CO2828">
        <f>IF(CH2828="","",IFERROR(IF(AND(LEN(CH2828)=9,ISERROR(FIND("-",LEFT(CH2828,8))),ISNUMBER(-LEFT(CH2828,8))),VALUE(MID(CH2828,7,2)),VALUE(MID(CH2828,FIND("-",CH2828,FIND("-",CH2828)+1)+1,FIND("-",CH2828,FIND("-",CH2828,FIND("-",CH2828)+1)+1)-FIND("-",CH2828,FIND("-",CH2828)+1)-1))),""))</f>
        <v/>
      </c>
    </row>
    <row r="2829">
      <c r="CH2829">
        <f>IF(ISTEXT('월 가계부'!A2829),SUBSTITUTE(SUBSTITUTE(SUBSTITUTE(SUBSTITUTE(SUBSTITUTE(SUBSTITUTE(SUBSTITUTE(SUBSTITUTE(SUBSTITUTE(TRIM('월 가계부'!A2829),"년","-"),"월","-"),"일",""),".","-"),"/","-")," ","-"),"--","-"),"--","-"),"--","-")&amp;"-","")</f>
        <v/>
      </c>
      <c r="CI2829">
        <f>IFERROR(IF('월 가계부'!A2829="","",IF(ISNUMBER('월 가계부'!A2829),IF(AND('월 가계부'!A2829&gt;=19000101,'월 가계부'!A2829&lt;=21001231),IF(AND(MOD(INT('월 가계부'!A2829/100),100)&gt;=1,MOD(INT('월 가계부'!A2829/100),100)&lt;=12,MOD(INT('월 가계부'!A2829),100)&gt;=1,MOD(INT('월 가계부'!A2829),100)&lt;=31),IF(MONTH(DATE(INT('월 가계부'!A2829/10000),MOD(INT('월 가계부'!A2829/100),100),MOD(INT('월 가계부'!A2829),100)))=MOD(INT('월 가계부'!A2829/100),100),DATE(INT('월 가계부'!A2829/10000),MOD(INT('월 가계부'!A2829/100),100),MOD(INT('월 가계부'!A2829),100)),""),""),IF(AND('월 가계부'!A2829&gt;=36526,'월 가계부'!A2829&lt;73051),INT('월 가계부'!A2829),"")),IF(OR(CM2829="",CN2829="",CO2829=""),"",IF(AND(CM2829&gt;=2000,CM2829&lt;=2099,CN2829&gt;=1,CN2829&lt;=12,CO2829&gt;=1,CO2829&lt;=31),IF(MONTH(DATE(CM2829,CN2829,CO2829))=CN2829,DATE(CM2829,CN2829,CO2829),""),"")))),"")</f>
        <v/>
      </c>
      <c r="CJ2829">
        <f>IFERROR(IF('월 가계부'!C2829="","",IF(ISNUMBER('월 가계부'!C2829),'월 가계부'!C2829,VALUE(SUBSTITUTE(SUBSTITUTE(SUBSTITUTE(SUBSTITUTE(TRIM('월 가계부'!C2829),",",""),"원","")," ",""),"−","-")))),"")</f>
        <v/>
      </c>
      <c r="CK2829">
        <f>IF(ISNUMBER(CI2829),IF(CI2829&lt;$B$13,CI2829,""),"")</f>
        <v/>
      </c>
      <c r="CM2829">
        <f>IF(CH2829="","",IFERROR(IF(IF(AND(LEN(CH2829)=9,ISERROR(FIND("-",LEFT(CH2829,8))),ISNUMBER(-LEFT(CH2829,8))),VALUE(LEFT(CH2829,4)),VALUE(LEFT(CH2829,FIND("-",CH2829)-1)))&lt;100,IF(AND(LEN(CH2829)=9,ISERROR(FIND("-",LEFT(CH2829,8))),ISNUMBER(-LEFT(CH2829,8))),VALUE(LEFT(CH2829,4)),VALUE(LEFT(CH2829,FIND("-",CH2829)-1)))+2000,IF(AND(LEN(CH2829)=9,ISERROR(FIND("-",LEFT(CH2829,8))),ISNUMBER(-LEFT(CH2829,8))),VALUE(LEFT(CH2829,4)),VALUE(LEFT(CH2829,FIND("-",CH2829)-1)))),""))</f>
        <v/>
      </c>
      <c r="CN2829">
        <f>IF(CH2829="","",IFERROR(IF(AND(LEN(CH2829)=9,ISERROR(FIND("-",LEFT(CH2829,8))),ISNUMBER(-LEFT(CH2829,8))),VALUE(MID(CH2829,5,2)),VALUE(MID(CH2829,FIND("-",CH2829)+1,FIND("-",CH2829,FIND("-",CH2829)+1)-FIND("-",CH2829)-1))),""))</f>
        <v/>
      </c>
      <c r="CO2829">
        <f>IF(CH2829="","",IFERROR(IF(AND(LEN(CH2829)=9,ISERROR(FIND("-",LEFT(CH2829,8))),ISNUMBER(-LEFT(CH2829,8))),VALUE(MID(CH2829,7,2)),VALUE(MID(CH2829,FIND("-",CH2829,FIND("-",CH2829)+1)+1,FIND("-",CH2829,FIND("-",CH2829,FIND("-",CH2829)+1)+1)-FIND("-",CH2829,FIND("-",CH2829)+1)-1))),""))</f>
        <v/>
      </c>
    </row>
    <row r="2830">
      <c r="CH2830">
        <f>IF(ISTEXT('월 가계부'!A2830),SUBSTITUTE(SUBSTITUTE(SUBSTITUTE(SUBSTITUTE(SUBSTITUTE(SUBSTITUTE(SUBSTITUTE(SUBSTITUTE(SUBSTITUTE(TRIM('월 가계부'!A2830),"년","-"),"월","-"),"일",""),".","-"),"/","-")," ","-"),"--","-"),"--","-"),"--","-")&amp;"-","")</f>
        <v/>
      </c>
      <c r="CI2830">
        <f>IFERROR(IF('월 가계부'!A2830="","",IF(ISNUMBER('월 가계부'!A2830),IF(AND('월 가계부'!A2830&gt;=19000101,'월 가계부'!A2830&lt;=21001231),IF(AND(MOD(INT('월 가계부'!A2830/100),100)&gt;=1,MOD(INT('월 가계부'!A2830/100),100)&lt;=12,MOD(INT('월 가계부'!A2830),100)&gt;=1,MOD(INT('월 가계부'!A2830),100)&lt;=31),IF(MONTH(DATE(INT('월 가계부'!A2830/10000),MOD(INT('월 가계부'!A2830/100),100),MOD(INT('월 가계부'!A2830),100)))=MOD(INT('월 가계부'!A2830/100),100),DATE(INT('월 가계부'!A2830/10000),MOD(INT('월 가계부'!A2830/100),100),MOD(INT('월 가계부'!A2830),100)),""),""),IF(AND('월 가계부'!A2830&gt;=36526,'월 가계부'!A2830&lt;73051),INT('월 가계부'!A2830),"")),IF(OR(CM2830="",CN2830="",CO2830=""),"",IF(AND(CM2830&gt;=2000,CM2830&lt;=2099,CN2830&gt;=1,CN2830&lt;=12,CO2830&gt;=1,CO2830&lt;=31),IF(MONTH(DATE(CM2830,CN2830,CO2830))=CN2830,DATE(CM2830,CN2830,CO2830),""),"")))),"")</f>
        <v/>
      </c>
      <c r="CJ2830">
        <f>IFERROR(IF('월 가계부'!C2830="","",IF(ISNUMBER('월 가계부'!C2830),'월 가계부'!C2830,VALUE(SUBSTITUTE(SUBSTITUTE(SUBSTITUTE(SUBSTITUTE(TRIM('월 가계부'!C2830),",",""),"원","")," ",""),"−","-")))),"")</f>
        <v/>
      </c>
      <c r="CK2830">
        <f>IF(ISNUMBER(CI2830),IF(CI2830&lt;$B$13,CI2830,""),"")</f>
        <v/>
      </c>
      <c r="CM2830">
        <f>IF(CH2830="","",IFERROR(IF(IF(AND(LEN(CH2830)=9,ISERROR(FIND("-",LEFT(CH2830,8))),ISNUMBER(-LEFT(CH2830,8))),VALUE(LEFT(CH2830,4)),VALUE(LEFT(CH2830,FIND("-",CH2830)-1)))&lt;100,IF(AND(LEN(CH2830)=9,ISERROR(FIND("-",LEFT(CH2830,8))),ISNUMBER(-LEFT(CH2830,8))),VALUE(LEFT(CH2830,4)),VALUE(LEFT(CH2830,FIND("-",CH2830)-1)))+2000,IF(AND(LEN(CH2830)=9,ISERROR(FIND("-",LEFT(CH2830,8))),ISNUMBER(-LEFT(CH2830,8))),VALUE(LEFT(CH2830,4)),VALUE(LEFT(CH2830,FIND("-",CH2830)-1)))),""))</f>
        <v/>
      </c>
      <c r="CN2830">
        <f>IF(CH2830="","",IFERROR(IF(AND(LEN(CH2830)=9,ISERROR(FIND("-",LEFT(CH2830,8))),ISNUMBER(-LEFT(CH2830,8))),VALUE(MID(CH2830,5,2)),VALUE(MID(CH2830,FIND("-",CH2830)+1,FIND("-",CH2830,FIND("-",CH2830)+1)-FIND("-",CH2830)-1))),""))</f>
        <v/>
      </c>
      <c r="CO2830">
        <f>IF(CH2830="","",IFERROR(IF(AND(LEN(CH2830)=9,ISERROR(FIND("-",LEFT(CH2830,8))),ISNUMBER(-LEFT(CH2830,8))),VALUE(MID(CH2830,7,2)),VALUE(MID(CH2830,FIND("-",CH2830,FIND("-",CH2830)+1)+1,FIND("-",CH2830,FIND("-",CH2830,FIND("-",CH2830)+1)+1)-FIND("-",CH2830,FIND("-",CH2830)+1)-1))),""))</f>
        <v/>
      </c>
    </row>
    <row r="2831">
      <c r="CH2831">
        <f>IF(ISTEXT('월 가계부'!A2831),SUBSTITUTE(SUBSTITUTE(SUBSTITUTE(SUBSTITUTE(SUBSTITUTE(SUBSTITUTE(SUBSTITUTE(SUBSTITUTE(SUBSTITUTE(TRIM('월 가계부'!A2831),"년","-"),"월","-"),"일",""),".","-"),"/","-")," ","-"),"--","-"),"--","-"),"--","-")&amp;"-","")</f>
        <v/>
      </c>
      <c r="CI2831">
        <f>IFERROR(IF('월 가계부'!A2831="","",IF(ISNUMBER('월 가계부'!A2831),IF(AND('월 가계부'!A2831&gt;=19000101,'월 가계부'!A2831&lt;=21001231),IF(AND(MOD(INT('월 가계부'!A2831/100),100)&gt;=1,MOD(INT('월 가계부'!A2831/100),100)&lt;=12,MOD(INT('월 가계부'!A2831),100)&gt;=1,MOD(INT('월 가계부'!A2831),100)&lt;=31),IF(MONTH(DATE(INT('월 가계부'!A2831/10000),MOD(INT('월 가계부'!A2831/100),100),MOD(INT('월 가계부'!A2831),100)))=MOD(INT('월 가계부'!A2831/100),100),DATE(INT('월 가계부'!A2831/10000),MOD(INT('월 가계부'!A2831/100),100),MOD(INT('월 가계부'!A2831),100)),""),""),IF(AND('월 가계부'!A2831&gt;=36526,'월 가계부'!A2831&lt;73051),INT('월 가계부'!A2831),"")),IF(OR(CM2831="",CN2831="",CO2831=""),"",IF(AND(CM2831&gt;=2000,CM2831&lt;=2099,CN2831&gt;=1,CN2831&lt;=12,CO2831&gt;=1,CO2831&lt;=31),IF(MONTH(DATE(CM2831,CN2831,CO2831))=CN2831,DATE(CM2831,CN2831,CO2831),""),"")))),"")</f>
        <v/>
      </c>
      <c r="CJ2831">
        <f>IFERROR(IF('월 가계부'!C2831="","",IF(ISNUMBER('월 가계부'!C2831),'월 가계부'!C2831,VALUE(SUBSTITUTE(SUBSTITUTE(SUBSTITUTE(SUBSTITUTE(TRIM('월 가계부'!C2831),",",""),"원","")," ",""),"−","-")))),"")</f>
        <v/>
      </c>
      <c r="CK2831">
        <f>IF(ISNUMBER(CI2831),IF(CI2831&lt;$B$13,CI2831,""),"")</f>
        <v/>
      </c>
      <c r="CM2831">
        <f>IF(CH2831="","",IFERROR(IF(IF(AND(LEN(CH2831)=9,ISERROR(FIND("-",LEFT(CH2831,8))),ISNUMBER(-LEFT(CH2831,8))),VALUE(LEFT(CH2831,4)),VALUE(LEFT(CH2831,FIND("-",CH2831)-1)))&lt;100,IF(AND(LEN(CH2831)=9,ISERROR(FIND("-",LEFT(CH2831,8))),ISNUMBER(-LEFT(CH2831,8))),VALUE(LEFT(CH2831,4)),VALUE(LEFT(CH2831,FIND("-",CH2831)-1)))+2000,IF(AND(LEN(CH2831)=9,ISERROR(FIND("-",LEFT(CH2831,8))),ISNUMBER(-LEFT(CH2831,8))),VALUE(LEFT(CH2831,4)),VALUE(LEFT(CH2831,FIND("-",CH2831)-1)))),""))</f>
        <v/>
      </c>
      <c r="CN2831">
        <f>IF(CH2831="","",IFERROR(IF(AND(LEN(CH2831)=9,ISERROR(FIND("-",LEFT(CH2831,8))),ISNUMBER(-LEFT(CH2831,8))),VALUE(MID(CH2831,5,2)),VALUE(MID(CH2831,FIND("-",CH2831)+1,FIND("-",CH2831,FIND("-",CH2831)+1)-FIND("-",CH2831)-1))),""))</f>
        <v/>
      </c>
      <c r="CO2831">
        <f>IF(CH2831="","",IFERROR(IF(AND(LEN(CH2831)=9,ISERROR(FIND("-",LEFT(CH2831,8))),ISNUMBER(-LEFT(CH2831,8))),VALUE(MID(CH2831,7,2)),VALUE(MID(CH2831,FIND("-",CH2831,FIND("-",CH2831)+1)+1,FIND("-",CH2831,FIND("-",CH2831,FIND("-",CH2831)+1)+1)-FIND("-",CH2831,FIND("-",CH2831)+1)-1))),""))</f>
        <v/>
      </c>
    </row>
    <row r="2832">
      <c r="CH2832">
        <f>IF(ISTEXT('월 가계부'!A2832),SUBSTITUTE(SUBSTITUTE(SUBSTITUTE(SUBSTITUTE(SUBSTITUTE(SUBSTITUTE(SUBSTITUTE(SUBSTITUTE(SUBSTITUTE(TRIM('월 가계부'!A2832),"년","-"),"월","-"),"일",""),".","-"),"/","-")," ","-"),"--","-"),"--","-"),"--","-")&amp;"-","")</f>
        <v/>
      </c>
      <c r="CI2832">
        <f>IFERROR(IF('월 가계부'!A2832="","",IF(ISNUMBER('월 가계부'!A2832),IF(AND('월 가계부'!A2832&gt;=19000101,'월 가계부'!A2832&lt;=21001231),IF(AND(MOD(INT('월 가계부'!A2832/100),100)&gt;=1,MOD(INT('월 가계부'!A2832/100),100)&lt;=12,MOD(INT('월 가계부'!A2832),100)&gt;=1,MOD(INT('월 가계부'!A2832),100)&lt;=31),IF(MONTH(DATE(INT('월 가계부'!A2832/10000),MOD(INT('월 가계부'!A2832/100),100),MOD(INT('월 가계부'!A2832),100)))=MOD(INT('월 가계부'!A2832/100),100),DATE(INT('월 가계부'!A2832/10000),MOD(INT('월 가계부'!A2832/100),100),MOD(INT('월 가계부'!A2832),100)),""),""),IF(AND('월 가계부'!A2832&gt;=36526,'월 가계부'!A2832&lt;73051),INT('월 가계부'!A2832),"")),IF(OR(CM2832="",CN2832="",CO2832=""),"",IF(AND(CM2832&gt;=2000,CM2832&lt;=2099,CN2832&gt;=1,CN2832&lt;=12,CO2832&gt;=1,CO2832&lt;=31),IF(MONTH(DATE(CM2832,CN2832,CO2832))=CN2832,DATE(CM2832,CN2832,CO2832),""),"")))),"")</f>
        <v/>
      </c>
      <c r="CJ2832">
        <f>IFERROR(IF('월 가계부'!C2832="","",IF(ISNUMBER('월 가계부'!C2832),'월 가계부'!C2832,VALUE(SUBSTITUTE(SUBSTITUTE(SUBSTITUTE(SUBSTITUTE(TRIM('월 가계부'!C2832),",",""),"원","")," ",""),"−","-")))),"")</f>
        <v/>
      </c>
      <c r="CK2832">
        <f>IF(ISNUMBER(CI2832),IF(CI2832&lt;$B$13,CI2832,""),"")</f>
        <v/>
      </c>
      <c r="CM2832">
        <f>IF(CH2832="","",IFERROR(IF(IF(AND(LEN(CH2832)=9,ISERROR(FIND("-",LEFT(CH2832,8))),ISNUMBER(-LEFT(CH2832,8))),VALUE(LEFT(CH2832,4)),VALUE(LEFT(CH2832,FIND("-",CH2832)-1)))&lt;100,IF(AND(LEN(CH2832)=9,ISERROR(FIND("-",LEFT(CH2832,8))),ISNUMBER(-LEFT(CH2832,8))),VALUE(LEFT(CH2832,4)),VALUE(LEFT(CH2832,FIND("-",CH2832)-1)))+2000,IF(AND(LEN(CH2832)=9,ISERROR(FIND("-",LEFT(CH2832,8))),ISNUMBER(-LEFT(CH2832,8))),VALUE(LEFT(CH2832,4)),VALUE(LEFT(CH2832,FIND("-",CH2832)-1)))),""))</f>
        <v/>
      </c>
      <c r="CN2832">
        <f>IF(CH2832="","",IFERROR(IF(AND(LEN(CH2832)=9,ISERROR(FIND("-",LEFT(CH2832,8))),ISNUMBER(-LEFT(CH2832,8))),VALUE(MID(CH2832,5,2)),VALUE(MID(CH2832,FIND("-",CH2832)+1,FIND("-",CH2832,FIND("-",CH2832)+1)-FIND("-",CH2832)-1))),""))</f>
        <v/>
      </c>
      <c r="CO2832">
        <f>IF(CH2832="","",IFERROR(IF(AND(LEN(CH2832)=9,ISERROR(FIND("-",LEFT(CH2832,8))),ISNUMBER(-LEFT(CH2832,8))),VALUE(MID(CH2832,7,2)),VALUE(MID(CH2832,FIND("-",CH2832,FIND("-",CH2832)+1)+1,FIND("-",CH2832,FIND("-",CH2832,FIND("-",CH2832)+1)+1)-FIND("-",CH2832,FIND("-",CH2832)+1)-1))),""))</f>
        <v/>
      </c>
    </row>
    <row r="2833">
      <c r="CH2833">
        <f>IF(ISTEXT('월 가계부'!A2833),SUBSTITUTE(SUBSTITUTE(SUBSTITUTE(SUBSTITUTE(SUBSTITUTE(SUBSTITUTE(SUBSTITUTE(SUBSTITUTE(SUBSTITUTE(TRIM('월 가계부'!A2833),"년","-"),"월","-"),"일",""),".","-"),"/","-")," ","-"),"--","-"),"--","-"),"--","-")&amp;"-","")</f>
        <v/>
      </c>
      <c r="CI2833">
        <f>IFERROR(IF('월 가계부'!A2833="","",IF(ISNUMBER('월 가계부'!A2833),IF(AND('월 가계부'!A2833&gt;=19000101,'월 가계부'!A2833&lt;=21001231),IF(AND(MOD(INT('월 가계부'!A2833/100),100)&gt;=1,MOD(INT('월 가계부'!A2833/100),100)&lt;=12,MOD(INT('월 가계부'!A2833),100)&gt;=1,MOD(INT('월 가계부'!A2833),100)&lt;=31),IF(MONTH(DATE(INT('월 가계부'!A2833/10000),MOD(INT('월 가계부'!A2833/100),100),MOD(INT('월 가계부'!A2833),100)))=MOD(INT('월 가계부'!A2833/100),100),DATE(INT('월 가계부'!A2833/10000),MOD(INT('월 가계부'!A2833/100),100),MOD(INT('월 가계부'!A2833),100)),""),""),IF(AND('월 가계부'!A2833&gt;=36526,'월 가계부'!A2833&lt;73051),INT('월 가계부'!A2833),"")),IF(OR(CM2833="",CN2833="",CO2833=""),"",IF(AND(CM2833&gt;=2000,CM2833&lt;=2099,CN2833&gt;=1,CN2833&lt;=12,CO2833&gt;=1,CO2833&lt;=31),IF(MONTH(DATE(CM2833,CN2833,CO2833))=CN2833,DATE(CM2833,CN2833,CO2833),""),"")))),"")</f>
        <v/>
      </c>
      <c r="CJ2833">
        <f>IFERROR(IF('월 가계부'!C2833="","",IF(ISNUMBER('월 가계부'!C2833),'월 가계부'!C2833,VALUE(SUBSTITUTE(SUBSTITUTE(SUBSTITUTE(SUBSTITUTE(TRIM('월 가계부'!C2833),",",""),"원","")," ",""),"−","-")))),"")</f>
        <v/>
      </c>
      <c r="CK2833">
        <f>IF(ISNUMBER(CI2833),IF(CI2833&lt;$B$13,CI2833,""),"")</f>
        <v/>
      </c>
      <c r="CM2833">
        <f>IF(CH2833="","",IFERROR(IF(IF(AND(LEN(CH2833)=9,ISERROR(FIND("-",LEFT(CH2833,8))),ISNUMBER(-LEFT(CH2833,8))),VALUE(LEFT(CH2833,4)),VALUE(LEFT(CH2833,FIND("-",CH2833)-1)))&lt;100,IF(AND(LEN(CH2833)=9,ISERROR(FIND("-",LEFT(CH2833,8))),ISNUMBER(-LEFT(CH2833,8))),VALUE(LEFT(CH2833,4)),VALUE(LEFT(CH2833,FIND("-",CH2833)-1)))+2000,IF(AND(LEN(CH2833)=9,ISERROR(FIND("-",LEFT(CH2833,8))),ISNUMBER(-LEFT(CH2833,8))),VALUE(LEFT(CH2833,4)),VALUE(LEFT(CH2833,FIND("-",CH2833)-1)))),""))</f>
        <v/>
      </c>
      <c r="CN2833">
        <f>IF(CH2833="","",IFERROR(IF(AND(LEN(CH2833)=9,ISERROR(FIND("-",LEFT(CH2833,8))),ISNUMBER(-LEFT(CH2833,8))),VALUE(MID(CH2833,5,2)),VALUE(MID(CH2833,FIND("-",CH2833)+1,FIND("-",CH2833,FIND("-",CH2833)+1)-FIND("-",CH2833)-1))),""))</f>
        <v/>
      </c>
      <c r="CO2833">
        <f>IF(CH2833="","",IFERROR(IF(AND(LEN(CH2833)=9,ISERROR(FIND("-",LEFT(CH2833,8))),ISNUMBER(-LEFT(CH2833,8))),VALUE(MID(CH2833,7,2)),VALUE(MID(CH2833,FIND("-",CH2833,FIND("-",CH2833)+1)+1,FIND("-",CH2833,FIND("-",CH2833,FIND("-",CH2833)+1)+1)-FIND("-",CH2833,FIND("-",CH2833)+1)-1))),""))</f>
        <v/>
      </c>
    </row>
    <row r="2834">
      <c r="CH2834">
        <f>IF(ISTEXT('월 가계부'!A2834),SUBSTITUTE(SUBSTITUTE(SUBSTITUTE(SUBSTITUTE(SUBSTITUTE(SUBSTITUTE(SUBSTITUTE(SUBSTITUTE(SUBSTITUTE(TRIM('월 가계부'!A2834),"년","-"),"월","-"),"일",""),".","-"),"/","-")," ","-"),"--","-"),"--","-"),"--","-")&amp;"-","")</f>
        <v/>
      </c>
      <c r="CI2834">
        <f>IFERROR(IF('월 가계부'!A2834="","",IF(ISNUMBER('월 가계부'!A2834),IF(AND('월 가계부'!A2834&gt;=19000101,'월 가계부'!A2834&lt;=21001231),IF(AND(MOD(INT('월 가계부'!A2834/100),100)&gt;=1,MOD(INT('월 가계부'!A2834/100),100)&lt;=12,MOD(INT('월 가계부'!A2834),100)&gt;=1,MOD(INT('월 가계부'!A2834),100)&lt;=31),IF(MONTH(DATE(INT('월 가계부'!A2834/10000),MOD(INT('월 가계부'!A2834/100),100),MOD(INT('월 가계부'!A2834),100)))=MOD(INT('월 가계부'!A2834/100),100),DATE(INT('월 가계부'!A2834/10000),MOD(INT('월 가계부'!A2834/100),100),MOD(INT('월 가계부'!A2834),100)),""),""),IF(AND('월 가계부'!A2834&gt;=36526,'월 가계부'!A2834&lt;73051),INT('월 가계부'!A2834),"")),IF(OR(CM2834="",CN2834="",CO2834=""),"",IF(AND(CM2834&gt;=2000,CM2834&lt;=2099,CN2834&gt;=1,CN2834&lt;=12,CO2834&gt;=1,CO2834&lt;=31),IF(MONTH(DATE(CM2834,CN2834,CO2834))=CN2834,DATE(CM2834,CN2834,CO2834),""),"")))),"")</f>
        <v/>
      </c>
      <c r="CJ2834">
        <f>IFERROR(IF('월 가계부'!C2834="","",IF(ISNUMBER('월 가계부'!C2834),'월 가계부'!C2834,VALUE(SUBSTITUTE(SUBSTITUTE(SUBSTITUTE(SUBSTITUTE(TRIM('월 가계부'!C2834),",",""),"원","")," ",""),"−","-")))),"")</f>
        <v/>
      </c>
      <c r="CK2834">
        <f>IF(ISNUMBER(CI2834),IF(CI2834&lt;$B$13,CI2834,""),"")</f>
        <v/>
      </c>
      <c r="CM2834">
        <f>IF(CH2834="","",IFERROR(IF(IF(AND(LEN(CH2834)=9,ISERROR(FIND("-",LEFT(CH2834,8))),ISNUMBER(-LEFT(CH2834,8))),VALUE(LEFT(CH2834,4)),VALUE(LEFT(CH2834,FIND("-",CH2834)-1)))&lt;100,IF(AND(LEN(CH2834)=9,ISERROR(FIND("-",LEFT(CH2834,8))),ISNUMBER(-LEFT(CH2834,8))),VALUE(LEFT(CH2834,4)),VALUE(LEFT(CH2834,FIND("-",CH2834)-1)))+2000,IF(AND(LEN(CH2834)=9,ISERROR(FIND("-",LEFT(CH2834,8))),ISNUMBER(-LEFT(CH2834,8))),VALUE(LEFT(CH2834,4)),VALUE(LEFT(CH2834,FIND("-",CH2834)-1)))),""))</f>
        <v/>
      </c>
      <c r="CN2834">
        <f>IF(CH2834="","",IFERROR(IF(AND(LEN(CH2834)=9,ISERROR(FIND("-",LEFT(CH2834,8))),ISNUMBER(-LEFT(CH2834,8))),VALUE(MID(CH2834,5,2)),VALUE(MID(CH2834,FIND("-",CH2834)+1,FIND("-",CH2834,FIND("-",CH2834)+1)-FIND("-",CH2834)-1))),""))</f>
        <v/>
      </c>
      <c r="CO2834">
        <f>IF(CH2834="","",IFERROR(IF(AND(LEN(CH2834)=9,ISERROR(FIND("-",LEFT(CH2834,8))),ISNUMBER(-LEFT(CH2834,8))),VALUE(MID(CH2834,7,2)),VALUE(MID(CH2834,FIND("-",CH2834,FIND("-",CH2834)+1)+1,FIND("-",CH2834,FIND("-",CH2834,FIND("-",CH2834)+1)+1)-FIND("-",CH2834,FIND("-",CH2834)+1)-1))),""))</f>
        <v/>
      </c>
    </row>
    <row r="2835">
      <c r="CH2835">
        <f>IF(ISTEXT('월 가계부'!A2835),SUBSTITUTE(SUBSTITUTE(SUBSTITUTE(SUBSTITUTE(SUBSTITUTE(SUBSTITUTE(SUBSTITUTE(SUBSTITUTE(SUBSTITUTE(TRIM('월 가계부'!A2835),"년","-"),"월","-"),"일",""),".","-"),"/","-")," ","-"),"--","-"),"--","-"),"--","-")&amp;"-","")</f>
        <v/>
      </c>
      <c r="CI2835">
        <f>IFERROR(IF('월 가계부'!A2835="","",IF(ISNUMBER('월 가계부'!A2835),IF(AND('월 가계부'!A2835&gt;=19000101,'월 가계부'!A2835&lt;=21001231),IF(AND(MOD(INT('월 가계부'!A2835/100),100)&gt;=1,MOD(INT('월 가계부'!A2835/100),100)&lt;=12,MOD(INT('월 가계부'!A2835),100)&gt;=1,MOD(INT('월 가계부'!A2835),100)&lt;=31),IF(MONTH(DATE(INT('월 가계부'!A2835/10000),MOD(INT('월 가계부'!A2835/100),100),MOD(INT('월 가계부'!A2835),100)))=MOD(INT('월 가계부'!A2835/100),100),DATE(INT('월 가계부'!A2835/10000),MOD(INT('월 가계부'!A2835/100),100),MOD(INT('월 가계부'!A2835),100)),""),""),IF(AND('월 가계부'!A2835&gt;=36526,'월 가계부'!A2835&lt;73051),INT('월 가계부'!A2835),"")),IF(OR(CM2835="",CN2835="",CO2835=""),"",IF(AND(CM2835&gt;=2000,CM2835&lt;=2099,CN2835&gt;=1,CN2835&lt;=12,CO2835&gt;=1,CO2835&lt;=31),IF(MONTH(DATE(CM2835,CN2835,CO2835))=CN2835,DATE(CM2835,CN2835,CO2835),""),"")))),"")</f>
        <v/>
      </c>
      <c r="CJ2835">
        <f>IFERROR(IF('월 가계부'!C2835="","",IF(ISNUMBER('월 가계부'!C2835),'월 가계부'!C2835,VALUE(SUBSTITUTE(SUBSTITUTE(SUBSTITUTE(SUBSTITUTE(TRIM('월 가계부'!C2835),",",""),"원","")," ",""),"−","-")))),"")</f>
        <v/>
      </c>
      <c r="CK2835">
        <f>IF(ISNUMBER(CI2835),IF(CI2835&lt;$B$13,CI2835,""),"")</f>
        <v/>
      </c>
      <c r="CM2835">
        <f>IF(CH2835="","",IFERROR(IF(IF(AND(LEN(CH2835)=9,ISERROR(FIND("-",LEFT(CH2835,8))),ISNUMBER(-LEFT(CH2835,8))),VALUE(LEFT(CH2835,4)),VALUE(LEFT(CH2835,FIND("-",CH2835)-1)))&lt;100,IF(AND(LEN(CH2835)=9,ISERROR(FIND("-",LEFT(CH2835,8))),ISNUMBER(-LEFT(CH2835,8))),VALUE(LEFT(CH2835,4)),VALUE(LEFT(CH2835,FIND("-",CH2835)-1)))+2000,IF(AND(LEN(CH2835)=9,ISERROR(FIND("-",LEFT(CH2835,8))),ISNUMBER(-LEFT(CH2835,8))),VALUE(LEFT(CH2835,4)),VALUE(LEFT(CH2835,FIND("-",CH2835)-1)))),""))</f>
        <v/>
      </c>
      <c r="CN2835">
        <f>IF(CH2835="","",IFERROR(IF(AND(LEN(CH2835)=9,ISERROR(FIND("-",LEFT(CH2835,8))),ISNUMBER(-LEFT(CH2835,8))),VALUE(MID(CH2835,5,2)),VALUE(MID(CH2835,FIND("-",CH2835)+1,FIND("-",CH2835,FIND("-",CH2835)+1)-FIND("-",CH2835)-1))),""))</f>
        <v/>
      </c>
      <c r="CO2835">
        <f>IF(CH2835="","",IFERROR(IF(AND(LEN(CH2835)=9,ISERROR(FIND("-",LEFT(CH2835,8))),ISNUMBER(-LEFT(CH2835,8))),VALUE(MID(CH2835,7,2)),VALUE(MID(CH2835,FIND("-",CH2835,FIND("-",CH2835)+1)+1,FIND("-",CH2835,FIND("-",CH2835,FIND("-",CH2835)+1)+1)-FIND("-",CH2835,FIND("-",CH2835)+1)-1))),""))</f>
        <v/>
      </c>
    </row>
    <row r="2836">
      <c r="CH2836">
        <f>IF(ISTEXT('월 가계부'!A2836),SUBSTITUTE(SUBSTITUTE(SUBSTITUTE(SUBSTITUTE(SUBSTITUTE(SUBSTITUTE(SUBSTITUTE(SUBSTITUTE(SUBSTITUTE(TRIM('월 가계부'!A2836),"년","-"),"월","-"),"일",""),".","-"),"/","-")," ","-"),"--","-"),"--","-"),"--","-")&amp;"-","")</f>
        <v/>
      </c>
      <c r="CI2836">
        <f>IFERROR(IF('월 가계부'!A2836="","",IF(ISNUMBER('월 가계부'!A2836),IF(AND('월 가계부'!A2836&gt;=19000101,'월 가계부'!A2836&lt;=21001231),IF(AND(MOD(INT('월 가계부'!A2836/100),100)&gt;=1,MOD(INT('월 가계부'!A2836/100),100)&lt;=12,MOD(INT('월 가계부'!A2836),100)&gt;=1,MOD(INT('월 가계부'!A2836),100)&lt;=31),IF(MONTH(DATE(INT('월 가계부'!A2836/10000),MOD(INT('월 가계부'!A2836/100),100),MOD(INT('월 가계부'!A2836),100)))=MOD(INT('월 가계부'!A2836/100),100),DATE(INT('월 가계부'!A2836/10000),MOD(INT('월 가계부'!A2836/100),100),MOD(INT('월 가계부'!A2836),100)),""),""),IF(AND('월 가계부'!A2836&gt;=36526,'월 가계부'!A2836&lt;73051),INT('월 가계부'!A2836),"")),IF(OR(CM2836="",CN2836="",CO2836=""),"",IF(AND(CM2836&gt;=2000,CM2836&lt;=2099,CN2836&gt;=1,CN2836&lt;=12,CO2836&gt;=1,CO2836&lt;=31),IF(MONTH(DATE(CM2836,CN2836,CO2836))=CN2836,DATE(CM2836,CN2836,CO2836),""),"")))),"")</f>
        <v/>
      </c>
      <c r="CJ2836">
        <f>IFERROR(IF('월 가계부'!C2836="","",IF(ISNUMBER('월 가계부'!C2836),'월 가계부'!C2836,VALUE(SUBSTITUTE(SUBSTITUTE(SUBSTITUTE(SUBSTITUTE(TRIM('월 가계부'!C2836),",",""),"원","")," ",""),"−","-")))),"")</f>
        <v/>
      </c>
      <c r="CK2836">
        <f>IF(ISNUMBER(CI2836),IF(CI2836&lt;$B$13,CI2836,""),"")</f>
        <v/>
      </c>
      <c r="CM2836">
        <f>IF(CH2836="","",IFERROR(IF(IF(AND(LEN(CH2836)=9,ISERROR(FIND("-",LEFT(CH2836,8))),ISNUMBER(-LEFT(CH2836,8))),VALUE(LEFT(CH2836,4)),VALUE(LEFT(CH2836,FIND("-",CH2836)-1)))&lt;100,IF(AND(LEN(CH2836)=9,ISERROR(FIND("-",LEFT(CH2836,8))),ISNUMBER(-LEFT(CH2836,8))),VALUE(LEFT(CH2836,4)),VALUE(LEFT(CH2836,FIND("-",CH2836)-1)))+2000,IF(AND(LEN(CH2836)=9,ISERROR(FIND("-",LEFT(CH2836,8))),ISNUMBER(-LEFT(CH2836,8))),VALUE(LEFT(CH2836,4)),VALUE(LEFT(CH2836,FIND("-",CH2836)-1)))),""))</f>
        <v/>
      </c>
      <c r="CN2836">
        <f>IF(CH2836="","",IFERROR(IF(AND(LEN(CH2836)=9,ISERROR(FIND("-",LEFT(CH2836,8))),ISNUMBER(-LEFT(CH2836,8))),VALUE(MID(CH2836,5,2)),VALUE(MID(CH2836,FIND("-",CH2836)+1,FIND("-",CH2836,FIND("-",CH2836)+1)-FIND("-",CH2836)-1))),""))</f>
        <v/>
      </c>
      <c r="CO2836">
        <f>IF(CH2836="","",IFERROR(IF(AND(LEN(CH2836)=9,ISERROR(FIND("-",LEFT(CH2836,8))),ISNUMBER(-LEFT(CH2836,8))),VALUE(MID(CH2836,7,2)),VALUE(MID(CH2836,FIND("-",CH2836,FIND("-",CH2836)+1)+1,FIND("-",CH2836,FIND("-",CH2836,FIND("-",CH2836)+1)+1)-FIND("-",CH2836,FIND("-",CH2836)+1)-1))),""))</f>
        <v/>
      </c>
    </row>
    <row r="2837">
      <c r="CH2837">
        <f>IF(ISTEXT('월 가계부'!A2837),SUBSTITUTE(SUBSTITUTE(SUBSTITUTE(SUBSTITUTE(SUBSTITUTE(SUBSTITUTE(SUBSTITUTE(SUBSTITUTE(SUBSTITUTE(TRIM('월 가계부'!A2837),"년","-"),"월","-"),"일",""),".","-"),"/","-")," ","-"),"--","-"),"--","-"),"--","-")&amp;"-","")</f>
        <v/>
      </c>
      <c r="CI2837">
        <f>IFERROR(IF('월 가계부'!A2837="","",IF(ISNUMBER('월 가계부'!A2837),IF(AND('월 가계부'!A2837&gt;=19000101,'월 가계부'!A2837&lt;=21001231),IF(AND(MOD(INT('월 가계부'!A2837/100),100)&gt;=1,MOD(INT('월 가계부'!A2837/100),100)&lt;=12,MOD(INT('월 가계부'!A2837),100)&gt;=1,MOD(INT('월 가계부'!A2837),100)&lt;=31),IF(MONTH(DATE(INT('월 가계부'!A2837/10000),MOD(INT('월 가계부'!A2837/100),100),MOD(INT('월 가계부'!A2837),100)))=MOD(INT('월 가계부'!A2837/100),100),DATE(INT('월 가계부'!A2837/10000),MOD(INT('월 가계부'!A2837/100),100),MOD(INT('월 가계부'!A2837),100)),""),""),IF(AND('월 가계부'!A2837&gt;=36526,'월 가계부'!A2837&lt;73051),INT('월 가계부'!A2837),"")),IF(OR(CM2837="",CN2837="",CO2837=""),"",IF(AND(CM2837&gt;=2000,CM2837&lt;=2099,CN2837&gt;=1,CN2837&lt;=12,CO2837&gt;=1,CO2837&lt;=31),IF(MONTH(DATE(CM2837,CN2837,CO2837))=CN2837,DATE(CM2837,CN2837,CO2837),""),"")))),"")</f>
        <v/>
      </c>
      <c r="CJ2837">
        <f>IFERROR(IF('월 가계부'!C2837="","",IF(ISNUMBER('월 가계부'!C2837),'월 가계부'!C2837,VALUE(SUBSTITUTE(SUBSTITUTE(SUBSTITUTE(SUBSTITUTE(TRIM('월 가계부'!C2837),",",""),"원","")," ",""),"−","-")))),"")</f>
        <v/>
      </c>
      <c r="CK2837">
        <f>IF(ISNUMBER(CI2837),IF(CI2837&lt;$B$13,CI2837,""),"")</f>
        <v/>
      </c>
      <c r="CM2837">
        <f>IF(CH2837="","",IFERROR(IF(IF(AND(LEN(CH2837)=9,ISERROR(FIND("-",LEFT(CH2837,8))),ISNUMBER(-LEFT(CH2837,8))),VALUE(LEFT(CH2837,4)),VALUE(LEFT(CH2837,FIND("-",CH2837)-1)))&lt;100,IF(AND(LEN(CH2837)=9,ISERROR(FIND("-",LEFT(CH2837,8))),ISNUMBER(-LEFT(CH2837,8))),VALUE(LEFT(CH2837,4)),VALUE(LEFT(CH2837,FIND("-",CH2837)-1)))+2000,IF(AND(LEN(CH2837)=9,ISERROR(FIND("-",LEFT(CH2837,8))),ISNUMBER(-LEFT(CH2837,8))),VALUE(LEFT(CH2837,4)),VALUE(LEFT(CH2837,FIND("-",CH2837)-1)))),""))</f>
        <v/>
      </c>
      <c r="CN2837">
        <f>IF(CH2837="","",IFERROR(IF(AND(LEN(CH2837)=9,ISERROR(FIND("-",LEFT(CH2837,8))),ISNUMBER(-LEFT(CH2837,8))),VALUE(MID(CH2837,5,2)),VALUE(MID(CH2837,FIND("-",CH2837)+1,FIND("-",CH2837,FIND("-",CH2837)+1)-FIND("-",CH2837)-1))),""))</f>
        <v/>
      </c>
      <c r="CO2837">
        <f>IF(CH2837="","",IFERROR(IF(AND(LEN(CH2837)=9,ISERROR(FIND("-",LEFT(CH2837,8))),ISNUMBER(-LEFT(CH2837,8))),VALUE(MID(CH2837,7,2)),VALUE(MID(CH2837,FIND("-",CH2837,FIND("-",CH2837)+1)+1,FIND("-",CH2837,FIND("-",CH2837,FIND("-",CH2837)+1)+1)-FIND("-",CH2837,FIND("-",CH2837)+1)-1))),""))</f>
        <v/>
      </c>
    </row>
    <row r="2838">
      <c r="CH2838">
        <f>IF(ISTEXT('월 가계부'!A2838),SUBSTITUTE(SUBSTITUTE(SUBSTITUTE(SUBSTITUTE(SUBSTITUTE(SUBSTITUTE(SUBSTITUTE(SUBSTITUTE(SUBSTITUTE(TRIM('월 가계부'!A2838),"년","-"),"월","-"),"일",""),".","-"),"/","-")," ","-"),"--","-"),"--","-"),"--","-")&amp;"-","")</f>
        <v/>
      </c>
      <c r="CI2838">
        <f>IFERROR(IF('월 가계부'!A2838="","",IF(ISNUMBER('월 가계부'!A2838),IF(AND('월 가계부'!A2838&gt;=19000101,'월 가계부'!A2838&lt;=21001231),IF(AND(MOD(INT('월 가계부'!A2838/100),100)&gt;=1,MOD(INT('월 가계부'!A2838/100),100)&lt;=12,MOD(INT('월 가계부'!A2838),100)&gt;=1,MOD(INT('월 가계부'!A2838),100)&lt;=31),IF(MONTH(DATE(INT('월 가계부'!A2838/10000),MOD(INT('월 가계부'!A2838/100),100),MOD(INT('월 가계부'!A2838),100)))=MOD(INT('월 가계부'!A2838/100),100),DATE(INT('월 가계부'!A2838/10000),MOD(INT('월 가계부'!A2838/100),100),MOD(INT('월 가계부'!A2838),100)),""),""),IF(AND('월 가계부'!A2838&gt;=36526,'월 가계부'!A2838&lt;73051),INT('월 가계부'!A2838),"")),IF(OR(CM2838="",CN2838="",CO2838=""),"",IF(AND(CM2838&gt;=2000,CM2838&lt;=2099,CN2838&gt;=1,CN2838&lt;=12,CO2838&gt;=1,CO2838&lt;=31),IF(MONTH(DATE(CM2838,CN2838,CO2838))=CN2838,DATE(CM2838,CN2838,CO2838),""),"")))),"")</f>
        <v/>
      </c>
      <c r="CJ2838">
        <f>IFERROR(IF('월 가계부'!C2838="","",IF(ISNUMBER('월 가계부'!C2838),'월 가계부'!C2838,VALUE(SUBSTITUTE(SUBSTITUTE(SUBSTITUTE(SUBSTITUTE(TRIM('월 가계부'!C2838),",",""),"원","")," ",""),"−","-")))),"")</f>
        <v/>
      </c>
      <c r="CK2838">
        <f>IF(ISNUMBER(CI2838),IF(CI2838&lt;$B$13,CI2838,""),"")</f>
        <v/>
      </c>
      <c r="CM2838">
        <f>IF(CH2838="","",IFERROR(IF(IF(AND(LEN(CH2838)=9,ISERROR(FIND("-",LEFT(CH2838,8))),ISNUMBER(-LEFT(CH2838,8))),VALUE(LEFT(CH2838,4)),VALUE(LEFT(CH2838,FIND("-",CH2838)-1)))&lt;100,IF(AND(LEN(CH2838)=9,ISERROR(FIND("-",LEFT(CH2838,8))),ISNUMBER(-LEFT(CH2838,8))),VALUE(LEFT(CH2838,4)),VALUE(LEFT(CH2838,FIND("-",CH2838)-1)))+2000,IF(AND(LEN(CH2838)=9,ISERROR(FIND("-",LEFT(CH2838,8))),ISNUMBER(-LEFT(CH2838,8))),VALUE(LEFT(CH2838,4)),VALUE(LEFT(CH2838,FIND("-",CH2838)-1)))),""))</f>
        <v/>
      </c>
      <c r="CN2838">
        <f>IF(CH2838="","",IFERROR(IF(AND(LEN(CH2838)=9,ISERROR(FIND("-",LEFT(CH2838,8))),ISNUMBER(-LEFT(CH2838,8))),VALUE(MID(CH2838,5,2)),VALUE(MID(CH2838,FIND("-",CH2838)+1,FIND("-",CH2838,FIND("-",CH2838)+1)-FIND("-",CH2838)-1))),""))</f>
        <v/>
      </c>
      <c r="CO2838">
        <f>IF(CH2838="","",IFERROR(IF(AND(LEN(CH2838)=9,ISERROR(FIND("-",LEFT(CH2838,8))),ISNUMBER(-LEFT(CH2838,8))),VALUE(MID(CH2838,7,2)),VALUE(MID(CH2838,FIND("-",CH2838,FIND("-",CH2838)+1)+1,FIND("-",CH2838,FIND("-",CH2838,FIND("-",CH2838)+1)+1)-FIND("-",CH2838,FIND("-",CH2838)+1)-1))),""))</f>
        <v/>
      </c>
    </row>
    <row r="2839">
      <c r="CH2839">
        <f>IF(ISTEXT('월 가계부'!A2839),SUBSTITUTE(SUBSTITUTE(SUBSTITUTE(SUBSTITUTE(SUBSTITUTE(SUBSTITUTE(SUBSTITUTE(SUBSTITUTE(SUBSTITUTE(TRIM('월 가계부'!A2839),"년","-"),"월","-"),"일",""),".","-"),"/","-")," ","-"),"--","-"),"--","-"),"--","-")&amp;"-","")</f>
        <v/>
      </c>
      <c r="CI2839">
        <f>IFERROR(IF('월 가계부'!A2839="","",IF(ISNUMBER('월 가계부'!A2839),IF(AND('월 가계부'!A2839&gt;=19000101,'월 가계부'!A2839&lt;=21001231),IF(AND(MOD(INT('월 가계부'!A2839/100),100)&gt;=1,MOD(INT('월 가계부'!A2839/100),100)&lt;=12,MOD(INT('월 가계부'!A2839),100)&gt;=1,MOD(INT('월 가계부'!A2839),100)&lt;=31),IF(MONTH(DATE(INT('월 가계부'!A2839/10000),MOD(INT('월 가계부'!A2839/100),100),MOD(INT('월 가계부'!A2839),100)))=MOD(INT('월 가계부'!A2839/100),100),DATE(INT('월 가계부'!A2839/10000),MOD(INT('월 가계부'!A2839/100),100),MOD(INT('월 가계부'!A2839),100)),""),""),IF(AND('월 가계부'!A2839&gt;=36526,'월 가계부'!A2839&lt;73051),INT('월 가계부'!A2839),"")),IF(OR(CM2839="",CN2839="",CO2839=""),"",IF(AND(CM2839&gt;=2000,CM2839&lt;=2099,CN2839&gt;=1,CN2839&lt;=12,CO2839&gt;=1,CO2839&lt;=31),IF(MONTH(DATE(CM2839,CN2839,CO2839))=CN2839,DATE(CM2839,CN2839,CO2839),""),"")))),"")</f>
        <v/>
      </c>
      <c r="CJ2839">
        <f>IFERROR(IF('월 가계부'!C2839="","",IF(ISNUMBER('월 가계부'!C2839),'월 가계부'!C2839,VALUE(SUBSTITUTE(SUBSTITUTE(SUBSTITUTE(SUBSTITUTE(TRIM('월 가계부'!C2839),",",""),"원","")," ",""),"−","-")))),"")</f>
        <v/>
      </c>
      <c r="CK2839">
        <f>IF(ISNUMBER(CI2839),IF(CI2839&lt;$B$13,CI2839,""),"")</f>
        <v/>
      </c>
      <c r="CM2839">
        <f>IF(CH2839="","",IFERROR(IF(IF(AND(LEN(CH2839)=9,ISERROR(FIND("-",LEFT(CH2839,8))),ISNUMBER(-LEFT(CH2839,8))),VALUE(LEFT(CH2839,4)),VALUE(LEFT(CH2839,FIND("-",CH2839)-1)))&lt;100,IF(AND(LEN(CH2839)=9,ISERROR(FIND("-",LEFT(CH2839,8))),ISNUMBER(-LEFT(CH2839,8))),VALUE(LEFT(CH2839,4)),VALUE(LEFT(CH2839,FIND("-",CH2839)-1)))+2000,IF(AND(LEN(CH2839)=9,ISERROR(FIND("-",LEFT(CH2839,8))),ISNUMBER(-LEFT(CH2839,8))),VALUE(LEFT(CH2839,4)),VALUE(LEFT(CH2839,FIND("-",CH2839)-1)))),""))</f>
        <v/>
      </c>
      <c r="CN2839">
        <f>IF(CH2839="","",IFERROR(IF(AND(LEN(CH2839)=9,ISERROR(FIND("-",LEFT(CH2839,8))),ISNUMBER(-LEFT(CH2839,8))),VALUE(MID(CH2839,5,2)),VALUE(MID(CH2839,FIND("-",CH2839)+1,FIND("-",CH2839,FIND("-",CH2839)+1)-FIND("-",CH2839)-1))),""))</f>
        <v/>
      </c>
      <c r="CO2839">
        <f>IF(CH2839="","",IFERROR(IF(AND(LEN(CH2839)=9,ISERROR(FIND("-",LEFT(CH2839,8))),ISNUMBER(-LEFT(CH2839,8))),VALUE(MID(CH2839,7,2)),VALUE(MID(CH2839,FIND("-",CH2839,FIND("-",CH2839)+1)+1,FIND("-",CH2839,FIND("-",CH2839,FIND("-",CH2839)+1)+1)-FIND("-",CH2839,FIND("-",CH2839)+1)-1))),""))</f>
        <v/>
      </c>
    </row>
    <row r="2840">
      <c r="CH2840">
        <f>IF(ISTEXT('월 가계부'!A2840),SUBSTITUTE(SUBSTITUTE(SUBSTITUTE(SUBSTITUTE(SUBSTITUTE(SUBSTITUTE(SUBSTITUTE(SUBSTITUTE(SUBSTITUTE(TRIM('월 가계부'!A2840),"년","-"),"월","-"),"일",""),".","-"),"/","-")," ","-"),"--","-"),"--","-"),"--","-")&amp;"-","")</f>
        <v/>
      </c>
      <c r="CI2840">
        <f>IFERROR(IF('월 가계부'!A2840="","",IF(ISNUMBER('월 가계부'!A2840),IF(AND('월 가계부'!A2840&gt;=19000101,'월 가계부'!A2840&lt;=21001231),IF(AND(MOD(INT('월 가계부'!A2840/100),100)&gt;=1,MOD(INT('월 가계부'!A2840/100),100)&lt;=12,MOD(INT('월 가계부'!A2840),100)&gt;=1,MOD(INT('월 가계부'!A2840),100)&lt;=31),IF(MONTH(DATE(INT('월 가계부'!A2840/10000),MOD(INT('월 가계부'!A2840/100),100),MOD(INT('월 가계부'!A2840),100)))=MOD(INT('월 가계부'!A2840/100),100),DATE(INT('월 가계부'!A2840/10000),MOD(INT('월 가계부'!A2840/100),100),MOD(INT('월 가계부'!A2840),100)),""),""),IF(AND('월 가계부'!A2840&gt;=36526,'월 가계부'!A2840&lt;73051),INT('월 가계부'!A2840),"")),IF(OR(CM2840="",CN2840="",CO2840=""),"",IF(AND(CM2840&gt;=2000,CM2840&lt;=2099,CN2840&gt;=1,CN2840&lt;=12,CO2840&gt;=1,CO2840&lt;=31),IF(MONTH(DATE(CM2840,CN2840,CO2840))=CN2840,DATE(CM2840,CN2840,CO2840),""),"")))),"")</f>
        <v/>
      </c>
      <c r="CJ2840">
        <f>IFERROR(IF('월 가계부'!C2840="","",IF(ISNUMBER('월 가계부'!C2840),'월 가계부'!C2840,VALUE(SUBSTITUTE(SUBSTITUTE(SUBSTITUTE(SUBSTITUTE(TRIM('월 가계부'!C2840),",",""),"원","")," ",""),"−","-")))),"")</f>
        <v/>
      </c>
      <c r="CK2840">
        <f>IF(ISNUMBER(CI2840),IF(CI2840&lt;$B$13,CI2840,""),"")</f>
        <v/>
      </c>
      <c r="CM2840">
        <f>IF(CH2840="","",IFERROR(IF(IF(AND(LEN(CH2840)=9,ISERROR(FIND("-",LEFT(CH2840,8))),ISNUMBER(-LEFT(CH2840,8))),VALUE(LEFT(CH2840,4)),VALUE(LEFT(CH2840,FIND("-",CH2840)-1)))&lt;100,IF(AND(LEN(CH2840)=9,ISERROR(FIND("-",LEFT(CH2840,8))),ISNUMBER(-LEFT(CH2840,8))),VALUE(LEFT(CH2840,4)),VALUE(LEFT(CH2840,FIND("-",CH2840)-1)))+2000,IF(AND(LEN(CH2840)=9,ISERROR(FIND("-",LEFT(CH2840,8))),ISNUMBER(-LEFT(CH2840,8))),VALUE(LEFT(CH2840,4)),VALUE(LEFT(CH2840,FIND("-",CH2840)-1)))),""))</f>
        <v/>
      </c>
      <c r="CN2840">
        <f>IF(CH2840="","",IFERROR(IF(AND(LEN(CH2840)=9,ISERROR(FIND("-",LEFT(CH2840,8))),ISNUMBER(-LEFT(CH2840,8))),VALUE(MID(CH2840,5,2)),VALUE(MID(CH2840,FIND("-",CH2840)+1,FIND("-",CH2840,FIND("-",CH2840)+1)-FIND("-",CH2840)-1))),""))</f>
        <v/>
      </c>
      <c r="CO2840">
        <f>IF(CH2840="","",IFERROR(IF(AND(LEN(CH2840)=9,ISERROR(FIND("-",LEFT(CH2840,8))),ISNUMBER(-LEFT(CH2840,8))),VALUE(MID(CH2840,7,2)),VALUE(MID(CH2840,FIND("-",CH2840,FIND("-",CH2840)+1)+1,FIND("-",CH2840,FIND("-",CH2840,FIND("-",CH2840)+1)+1)-FIND("-",CH2840,FIND("-",CH2840)+1)-1))),""))</f>
        <v/>
      </c>
    </row>
    <row r="2841">
      <c r="CH2841">
        <f>IF(ISTEXT('월 가계부'!A2841),SUBSTITUTE(SUBSTITUTE(SUBSTITUTE(SUBSTITUTE(SUBSTITUTE(SUBSTITUTE(SUBSTITUTE(SUBSTITUTE(SUBSTITUTE(TRIM('월 가계부'!A2841),"년","-"),"월","-"),"일",""),".","-"),"/","-")," ","-"),"--","-"),"--","-"),"--","-")&amp;"-","")</f>
        <v/>
      </c>
      <c r="CI2841">
        <f>IFERROR(IF('월 가계부'!A2841="","",IF(ISNUMBER('월 가계부'!A2841),IF(AND('월 가계부'!A2841&gt;=19000101,'월 가계부'!A2841&lt;=21001231),IF(AND(MOD(INT('월 가계부'!A2841/100),100)&gt;=1,MOD(INT('월 가계부'!A2841/100),100)&lt;=12,MOD(INT('월 가계부'!A2841),100)&gt;=1,MOD(INT('월 가계부'!A2841),100)&lt;=31),IF(MONTH(DATE(INT('월 가계부'!A2841/10000),MOD(INT('월 가계부'!A2841/100),100),MOD(INT('월 가계부'!A2841),100)))=MOD(INT('월 가계부'!A2841/100),100),DATE(INT('월 가계부'!A2841/10000),MOD(INT('월 가계부'!A2841/100),100),MOD(INT('월 가계부'!A2841),100)),""),""),IF(AND('월 가계부'!A2841&gt;=36526,'월 가계부'!A2841&lt;73051),INT('월 가계부'!A2841),"")),IF(OR(CM2841="",CN2841="",CO2841=""),"",IF(AND(CM2841&gt;=2000,CM2841&lt;=2099,CN2841&gt;=1,CN2841&lt;=12,CO2841&gt;=1,CO2841&lt;=31),IF(MONTH(DATE(CM2841,CN2841,CO2841))=CN2841,DATE(CM2841,CN2841,CO2841),""),"")))),"")</f>
        <v/>
      </c>
      <c r="CJ2841">
        <f>IFERROR(IF('월 가계부'!C2841="","",IF(ISNUMBER('월 가계부'!C2841),'월 가계부'!C2841,VALUE(SUBSTITUTE(SUBSTITUTE(SUBSTITUTE(SUBSTITUTE(TRIM('월 가계부'!C2841),",",""),"원","")," ",""),"−","-")))),"")</f>
        <v/>
      </c>
      <c r="CK2841">
        <f>IF(ISNUMBER(CI2841),IF(CI2841&lt;$B$13,CI2841,""),"")</f>
        <v/>
      </c>
      <c r="CM2841">
        <f>IF(CH2841="","",IFERROR(IF(IF(AND(LEN(CH2841)=9,ISERROR(FIND("-",LEFT(CH2841,8))),ISNUMBER(-LEFT(CH2841,8))),VALUE(LEFT(CH2841,4)),VALUE(LEFT(CH2841,FIND("-",CH2841)-1)))&lt;100,IF(AND(LEN(CH2841)=9,ISERROR(FIND("-",LEFT(CH2841,8))),ISNUMBER(-LEFT(CH2841,8))),VALUE(LEFT(CH2841,4)),VALUE(LEFT(CH2841,FIND("-",CH2841)-1)))+2000,IF(AND(LEN(CH2841)=9,ISERROR(FIND("-",LEFT(CH2841,8))),ISNUMBER(-LEFT(CH2841,8))),VALUE(LEFT(CH2841,4)),VALUE(LEFT(CH2841,FIND("-",CH2841)-1)))),""))</f>
        <v/>
      </c>
      <c r="CN2841">
        <f>IF(CH2841="","",IFERROR(IF(AND(LEN(CH2841)=9,ISERROR(FIND("-",LEFT(CH2841,8))),ISNUMBER(-LEFT(CH2841,8))),VALUE(MID(CH2841,5,2)),VALUE(MID(CH2841,FIND("-",CH2841)+1,FIND("-",CH2841,FIND("-",CH2841)+1)-FIND("-",CH2841)-1))),""))</f>
        <v/>
      </c>
      <c r="CO2841">
        <f>IF(CH2841="","",IFERROR(IF(AND(LEN(CH2841)=9,ISERROR(FIND("-",LEFT(CH2841,8))),ISNUMBER(-LEFT(CH2841,8))),VALUE(MID(CH2841,7,2)),VALUE(MID(CH2841,FIND("-",CH2841,FIND("-",CH2841)+1)+1,FIND("-",CH2841,FIND("-",CH2841,FIND("-",CH2841)+1)+1)-FIND("-",CH2841,FIND("-",CH2841)+1)-1))),""))</f>
        <v/>
      </c>
    </row>
    <row r="2842">
      <c r="CH2842">
        <f>IF(ISTEXT('월 가계부'!A2842),SUBSTITUTE(SUBSTITUTE(SUBSTITUTE(SUBSTITUTE(SUBSTITUTE(SUBSTITUTE(SUBSTITUTE(SUBSTITUTE(SUBSTITUTE(TRIM('월 가계부'!A2842),"년","-"),"월","-"),"일",""),".","-"),"/","-")," ","-"),"--","-"),"--","-"),"--","-")&amp;"-","")</f>
        <v/>
      </c>
      <c r="CI2842">
        <f>IFERROR(IF('월 가계부'!A2842="","",IF(ISNUMBER('월 가계부'!A2842),IF(AND('월 가계부'!A2842&gt;=19000101,'월 가계부'!A2842&lt;=21001231),IF(AND(MOD(INT('월 가계부'!A2842/100),100)&gt;=1,MOD(INT('월 가계부'!A2842/100),100)&lt;=12,MOD(INT('월 가계부'!A2842),100)&gt;=1,MOD(INT('월 가계부'!A2842),100)&lt;=31),IF(MONTH(DATE(INT('월 가계부'!A2842/10000),MOD(INT('월 가계부'!A2842/100),100),MOD(INT('월 가계부'!A2842),100)))=MOD(INT('월 가계부'!A2842/100),100),DATE(INT('월 가계부'!A2842/10000),MOD(INT('월 가계부'!A2842/100),100),MOD(INT('월 가계부'!A2842),100)),""),""),IF(AND('월 가계부'!A2842&gt;=36526,'월 가계부'!A2842&lt;73051),INT('월 가계부'!A2842),"")),IF(OR(CM2842="",CN2842="",CO2842=""),"",IF(AND(CM2842&gt;=2000,CM2842&lt;=2099,CN2842&gt;=1,CN2842&lt;=12,CO2842&gt;=1,CO2842&lt;=31),IF(MONTH(DATE(CM2842,CN2842,CO2842))=CN2842,DATE(CM2842,CN2842,CO2842),""),"")))),"")</f>
        <v/>
      </c>
      <c r="CJ2842">
        <f>IFERROR(IF('월 가계부'!C2842="","",IF(ISNUMBER('월 가계부'!C2842),'월 가계부'!C2842,VALUE(SUBSTITUTE(SUBSTITUTE(SUBSTITUTE(SUBSTITUTE(TRIM('월 가계부'!C2842),",",""),"원","")," ",""),"−","-")))),"")</f>
        <v/>
      </c>
      <c r="CK2842">
        <f>IF(ISNUMBER(CI2842),IF(CI2842&lt;$B$13,CI2842,""),"")</f>
        <v/>
      </c>
      <c r="CM2842">
        <f>IF(CH2842="","",IFERROR(IF(IF(AND(LEN(CH2842)=9,ISERROR(FIND("-",LEFT(CH2842,8))),ISNUMBER(-LEFT(CH2842,8))),VALUE(LEFT(CH2842,4)),VALUE(LEFT(CH2842,FIND("-",CH2842)-1)))&lt;100,IF(AND(LEN(CH2842)=9,ISERROR(FIND("-",LEFT(CH2842,8))),ISNUMBER(-LEFT(CH2842,8))),VALUE(LEFT(CH2842,4)),VALUE(LEFT(CH2842,FIND("-",CH2842)-1)))+2000,IF(AND(LEN(CH2842)=9,ISERROR(FIND("-",LEFT(CH2842,8))),ISNUMBER(-LEFT(CH2842,8))),VALUE(LEFT(CH2842,4)),VALUE(LEFT(CH2842,FIND("-",CH2842)-1)))),""))</f>
        <v/>
      </c>
      <c r="CN2842">
        <f>IF(CH2842="","",IFERROR(IF(AND(LEN(CH2842)=9,ISERROR(FIND("-",LEFT(CH2842,8))),ISNUMBER(-LEFT(CH2842,8))),VALUE(MID(CH2842,5,2)),VALUE(MID(CH2842,FIND("-",CH2842)+1,FIND("-",CH2842,FIND("-",CH2842)+1)-FIND("-",CH2842)-1))),""))</f>
        <v/>
      </c>
      <c r="CO2842">
        <f>IF(CH2842="","",IFERROR(IF(AND(LEN(CH2842)=9,ISERROR(FIND("-",LEFT(CH2842,8))),ISNUMBER(-LEFT(CH2842,8))),VALUE(MID(CH2842,7,2)),VALUE(MID(CH2842,FIND("-",CH2842,FIND("-",CH2842)+1)+1,FIND("-",CH2842,FIND("-",CH2842,FIND("-",CH2842)+1)+1)-FIND("-",CH2842,FIND("-",CH2842)+1)-1))),""))</f>
        <v/>
      </c>
    </row>
    <row r="2843">
      <c r="CH2843">
        <f>IF(ISTEXT('월 가계부'!A2843),SUBSTITUTE(SUBSTITUTE(SUBSTITUTE(SUBSTITUTE(SUBSTITUTE(SUBSTITUTE(SUBSTITUTE(SUBSTITUTE(SUBSTITUTE(TRIM('월 가계부'!A2843),"년","-"),"월","-"),"일",""),".","-"),"/","-")," ","-"),"--","-"),"--","-"),"--","-")&amp;"-","")</f>
        <v/>
      </c>
      <c r="CI2843">
        <f>IFERROR(IF('월 가계부'!A2843="","",IF(ISNUMBER('월 가계부'!A2843),IF(AND('월 가계부'!A2843&gt;=19000101,'월 가계부'!A2843&lt;=21001231),IF(AND(MOD(INT('월 가계부'!A2843/100),100)&gt;=1,MOD(INT('월 가계부'!A2843/100),100)&lt;=12,MOD(INT('월 가계부'!A2843),100)&gt;=1,MOD(INT('월 가계부'!A2843),100)&lt;=31),IF(MONTH(DATE(INT('월 가계부'!A2843/10000),MOD(INT('월 가계부'!A2843/100),100),MOD(INT('월 가계부'!A2843),100)))=MOD(INT('월 가계부'!A2843/100),100),DATE(INT('월 가계부'!A2843/10000),MOD(INT('월 가계부'!A2843/100),100),MOD(INT('월 가계부'!A2843),100)),""),""),IF(AND('월 가계부'!A2843&gt;=36526,'월 가계부'!A2843&lt;73051),INT('월 가계부'!A2843),"")),IF(OR(CM2843="",CN2843="",CO2843=""),"",IF(AND(CM2843&gt;=2000,CM2843&lt;=2099,CN2843&gt;=1,CN2843&lt;=12,CO2843&gt;=1,CO2843&lt;=31),IF(MONTH(DATE(CM2843,CN2843,CO2843))=CN2843,DATE(CM2843,CN2843,CO2843),""),"")))),"")</f>
        <v/>
      </c>
      <c r="CJ2843">
        <f>IFERROR(IF('월 가계부'!C2843="","",IF(ISNUMBER('월 가계부'!C2843),'월 가계부'!C2843,VALUE(SUBSTITUTE(SUBSTITUTE(SUBSTITUTE(SUBSTITUTE(TRIM('월 가계부'!C2843),",",""),"원","")," ",""),"−","-")))),"")</f>
        <v/>
      </c>
      <c r="CK2843">
        <f>IF(ISNUMBER(CI2843),IF(CI2843&lt;$B$13,CI2843,""),"")</f>
        <v/>
      </c>
      <c r="CM2843">
        <f>IF(CH2843="","",IFERROR(IF(IF(AND(LEN(CH2843)=9,ISERROR(FIND("-",LEFT(CH2843,8))),ISNUMBER(-LEFT(CH2843,8))),VALUE(LEFT(CH2843,4)),VALUE(LEFT(CH2843,FIND("-",CH2843)-1)))&lt;100,IF(AND(LEN(CH2843)=9,ISERROR(FIND("-",LEFT(CH2843,8))),ISNUMBER(-LEFT(CH2843,8))),VALUE(LEFT(CH2843,4)),VALUE(LEFT(CH2843,FIND("-",CH2843)-1)))+2000,IF(AND(LEN(CH2843)=9,ISERROR(FIND("-",LEFT(CH2843,8))),ISNUMBER(-LEFT(CH2843,8))),VALUE(LEFT(CH2843,4)),VALUE(LEFT(CH2843,FIND("-",CH2843)-1)))),""))</f>
        <v/>
      </c>
      <c r="CN2843">
        <f>IF(CH2843="","",IFERROR(IF(AND(LEN(CH2843)=9,ISERROR(FIND("-",LEFT(CH2843,8))),ISNUMBER(-LEFT(CH2843,8))),VALUE(MID(CH2843,5,2)),VALUE(MID(CH2843,FIND("-",CH2843)+1,FIND("-",CH2843,FIND("-",CH2843)+1)-FIND("-",CH2843)-1))),""))</f>
        <v/>
      </c>
      <c r="CO2843">
        <f>IF(CH2843="","",IFERROR(IF(AND(LEN(CH2843)=9,ISERROR(FIND("-",LEFT(CH2843,8))),ISNUMBER(-LEFT(CH2843,8))),VALUE(MID(CH2843,7,2)),VALUE(MID(CH2843,FIND("-",CH2843,FIND("-",CH2843)+1)+1,FIND("-",CH2843,FIND("-",CH2843,FIND("-",CH2843)+1)+1)-FIND("-",CH2843,FIND("-",CH2843)+1)-1))),""))</f>
        <v/>
      </c>
    </row>
    <row r="2844">
      <c r="CH2844">
        <f>IF(ISTEXT('월 가계부'!A2844),SUBSTITUTE(SUBSTITUTE(SUBSTITUTE(SUBSTITUTE(SUBSTITUTE(SUBSTITUTE(SUBSTITUTE(SUBSTITUTE(SUBSTITUTE(TRIM('월 가계부'!A2844),"년","-"),"월","-"),"일",""),".","-"),"/","-")," ","-"),"--","-"),"--","-"),"--","-")&amp;"-","")</f>
        <v/>
      </c>
      <c r="CI2844">
        <f>IFERROR(IF('월 가계부'!A2844="","",IF(ISNUMBER('월 가계부'!A2844),IF(AND('월 가계부'!A2844&gt;=19000101,'월 가계부'!A2844&lt;=21001231),IF(AND(MOD(INT('월 가계부'!A2844/100),100)&gt;=1,MOD(INT('월 가계부'!A2844/100),100)&lt;=12,MOD(INT('월 가계부'!A2844),100)&gt;=1,MOD(INT('월 가계부'!A2844),100)&lt;=31),IF(MONTH(DATE(INT('월 가계부'!A2844/10000),MOD(INT('월 가계부'!A2844/100),100),MOD(INT('월 가계부'!A2844),100)))=MOD(INT('월 가계부'!A2844/100),100),DATE(INT('월 가계부'!A2844/10000),MOD(INT('월 가계부'!A2844/100),100),MOD(INT('월 가계부'!A2844),100)),""),""),IF(AND('월 가계부'!A2844&gt;=36526,'월 가계부'!A2844&lt;73051),INT('월 가계부'!A2844),"")),IF(OR(CM2844="",CN2844="",CO2844=""),"",IF(AND(CM2844&gt;=2000,CM2844&lt;=2099,CN2844&gt;=1,CN2844&lt;=12,CO2844&gt;=1,CO2844&lt;=31),IF(MONTH(DATE(CM2844,CN2844,CO2844))=CN2844,DATE(CM2844,CN2844,CO2844),""),"")))),"")</f>
        <v/>
      </c>
      <c r="CJ2844">
        <f>IFERROR(IF('월 가계부'!C2844="","",IF(ISNUMBER('월 가계부'!C2844),'월 가계부'!C2844,VALUE(SUBSTITUTE(SUBSTITUTE(SUBSTITUTE(SUBSTITUTE(TRIM('월 가계부'!C2844),",",""),"원","")," ",""),"−","-")))),"")</f>
        <v/>
      </c>
      <c r="CK2844">
        <f>IF(ISNUMBER(CI2844),IF(CI2844&lt;$B$13,CI2844,""),"")</f>
        <v/>
      </c>
      <c r="CM2844">
        <f>IF(CH2844="","",IFERROR(IF(IF(AND(LEN(CH2844)=9,ISERROR(FIND("-",LEFT(CH2844,8))),ISNUMBER(-LEFT(CH2844,8))),VALUE(LEFT(CH2844,4)),VALUE(LEFT(CH2844,FIND("-",CH2844)-1)))&lt;100,IF(AND(LEN(CH2844)=9,ISERROR(FIND("-",LEFT(CH2844,8))),ISNUMBER(-LEFT(CH2844,8))),VALUE(LEFT(CH2844,4)),VALUE(LEFT(CH2844,FIND("-",CH2844)-1)))+2000,IF(AND(LEN(CH2844)=9,ISERROR(FIND("-",LEFT(CH2844,8))),ISNUMBER(-LEFT(CH2844,8))),VALUE(LEFT(CH2844,4)),VALUE(LEFT(CH2844,FIND("-",CH2844)-1)))),""))</f>
        <v/>
      </c>
      <c r="CN2844">
        <f>IF(CH2844="","",IFERROR(IF(AND(LEN(CH2844)=9,ISERROR(FIND("-",LEFT(CH2844,8))),ISNUMBER(-LEFT(CH2844,8))),VALUE(MID(CH2844,5,2)),VALUE(MID(CH2844,FIND("-",CH2844)+1,FIND("-",CH2844,FIND("-",CH2844)+1)-FIND("-",CH2844)-1))),""))</f>
        <v/>
      </c>
      <c r="CO2844">
        <f>IF(CH2844="","",IFERROR(IF(AND(LEN(CH2844)=9,ISERROR(FIND("-",LEFT(CH2844,8))),ISNUMBER(-LEFT(CH2844,8))),VALUE(MID(CH2844,7,2)),VALUE(MID(CH2844,FIND("-",CH2844,FIND("-",CH2844)+1)+1,FIND("-",CH2844,FIND("-",CH2844,FIND("-",CH2844)+1)+1)-FIND("-",CH2844,FIND("-",CH2844)+1)-1))),""))</f>
        <v/>
      </c>
    </row>
    <row r="2845">
      <c r="CH2845">
        <f>IF(ISTEXT('월 가계부'!A2845),SUBSTITUTE(SUBSTITUTE(SUBSTITUTE(SUBSTITUTE(SUBSTITUTE(SUBSTITUTE(SUBSTITUTE(SUBSTITUTE(SUBSTITUTE(TRIM('월 가계부'!A2845),"년","-"),"월","-"),"일",""),".","-"),"/","-")," ","-"),"--","-"),"--","-"),"--","-")&amp;"-","")</f>
        <v/>
      </c>
      <c r="CI2845">
        <f>IFERROR(IF('월 가계부'!A2845="","",IF(ISNUMBER('월 가계부'!A2845),IF(AND('월 가계부'!A2845&gt;=19000101,'월 가계부'!A2845&lt;=21001231),IF(AND(MOD(INT('월 가계부'!A2845/100),100)&gt;=1,MOD(INT('월 가계부'!A2845/100),100)&lt;=12,MOD(INT('월 가계부'!A2845),100)&gt;=1,MOD(INT('월 가계부'!A2845),100)&lt;=31),IF(MONTH(DATE(INT('월 가계부'!A2845/10000),MOD(INT('월 가계부'!A2845/100),100),MOD(INT('월 가계부'!A2845),100)))=MOD(INT('월 가계부'!A2845/100),100),DATE(INT('월 가계부'!A2845/10000),MOD(INT('월 가계부'!A2845/100),100),MOD(INT('월 가계부'!A2845),100)),""),""),IF(AND('월 가계부'!A2845&gt;=36526,'월 가계부'!A2845&lt;73051),INT('월 가계부'!A2845),"")),IF(OR(CM2845="",CN2845="",CO2845=""),"",IF(AND(CM2845&gt;=2000,CM2845&lt;=2099,CN2845&gt;=1,CN2845&lt;=12,CO2845&gt;=1,CO2845&lt;=31),IF(MONTH(DATE(CM2845,CN2845,CO2845))=CN2845,DATE(CM2845,CN2845,CO2845),""),"")))),"")</f>
        <v/>
      </c>
      <c r="CJ2845">
        <f>IFERROR(IF('월 가계부'!C2845="","",IF(ISNUMBER('월 가계부'!C2845),'월 가계부'!C2845,VALUE(SUBSTITUTE(SUBSTITUTE(SUBSTITUTE(SUBSTITUTE(TRIM('월 가계부'!C2845),",",""),"원","")," ",""),"−","-")))),"")</f>
        <v/>
      </c>
      <c r="CK2845">
        <f>IF(ISNUMBER(CI2845),IF(CI2845&lt;$B$13,CI2845,""),"")</f>
        <v/>
      </c>
      <c r="CM2845">
        <f>IF(CH2845="","",IFERROR(IF(IF(AND(LEN(CH2845)=9,ISERROR(FIND("-",LEFT(CH2845,8))),ISNUMBER(-LEFT(CH2845,8))),VALUE(LEFT(CH2845,4)),VALUE(LEFT(CH2845,FIND("-",CH2845)-1)))&lt;100,IF(AND(LEN(CH2845)=9,ISERROR(FIND("-",LEFT(CH2845,8))),ISNUMBER(-LEFT(CH2845,8))),VALUE(LEFT(CH2845,4)),VALUE(LEFT(CH2845,FIND("-",CH2845)-1)))+2000,IF(AND(LEN(CH2845)=9,ISERROR(FIND("-",LEFT(CH2845,8))),ISNUMBER(-LEFT(CH2845,8))),VALUE(LEFT(CH2845,4)),VALUE(LEFT(CH2845,FIND("-",CH2845)-1)))),""))</f>
        <v/>
      </c>
      <c r="CN2845">
        <f>IF(CH2845="","",IFERROR(IF(AND(LEN(CH2845)=9,ISERROR(FIND("-",LEFT(CH2845,8))),ISNUMBER(-LEFT(CH2845,8))),VALUE(MID(CH2845,5,2)),VALUE(MID(CH2845,FIND("-",CH2845)+1,FIND("-",CH2845,FIND("-",CH2845)+1)-FIND("-",CH2845)-1))),""))</f>
        <v/>
      </c>
      <c r="CO2845">
        <f>IF(CH2845="","",IFERROR(IF(AND(LEN(CH2845)=9,ISERROR(FIND("-",LEFT(CH2845,8))),ISNUMBER(-LEFT(CH2845,8))),VALUE(MID(CH2845,7,2)),VALUE(MID(CH2845,FIND("-",CH2845,FIND("-",CH2845)+1)+1,FIND("-",CH2845,FIND("-",CH2845,FIND("-",CH2845)+1)+1)-FIND("-",CH2845,FIND("-",CH2845)+1)-1))),""))</f>
        <v/>
      </c>
    </row>
    <row r="2846">
      <c r="CH2846">
        <f>IF(ISTEXT('월 가계부'!A2846),SUBSTITUTE(SUBSTITUTE(SUBSTITUTE(SUBSTITUTE(SUBSTITUTE(SUBSTITUTE(SUBSTITUTE(SUBSTITUTE(SUBSTITUTE(TRIM('월 가계부'!A2846),"년","-"),"월","-"),"일",""),".","-"),"/","-")," ","-"),"--","-"),"--","-"),"--","-")&amp;"-","")</f>
        <v/>
      </c>
      <c r="CI2846">
        <f>IFERROR(IF('월 가계부'!A2846="","",IF(ISNUMBER('월 가계부'!A2846),IF(AND('월 가계부'!A2846&gt;=19000101,'월 가계부'!A2846&lt;=21001231),IF(AND(MOD(INT('월 가계부'!A2846/100),100)&gt;=1,MOD(INT('월 가계부'!A2846/100),100)&lt;=12,MOD(INT('월 가계부'!A2846),100)&gt;=1,MOD(INT('월 가계부'!A2846),100)&lt;=31),IF(MONTH(DATE(INT('월 가계부'!A2846/10000),MOD(INT('월 가계부'!A2846/100),100),MOD(INT('월 가계부'!A2846),100)))=MOD(INT('월 가계부'!A2846/100),100),DATE(INT('월 가계부'!A2846/10000),MOD(INT('월 가계부'!A2846/100),100),MOD(INT('월 가계부'!A2846),100)),""),""),IF(AND('월 가계부'!A2846&gt;=36526,'월 가계부'!A2846&lt;73051),INT('월 가계부'!A2846),"")),IF(OR(CM2846="",CN2846="",CO2846=""),"",IF(AND(CM2846&gt;=2000,CM2846&lt;=2099,CN2846&gt;=1,CN2846&lt;=12,CO2846&gt;=1,CO2846&lt;=31),IF(MONTH(DATE(CM2846,CN2846,CO2846))=CN2846,DATE(CM2846,CN2846,CO2846),""),"")))),"")</f>
        <v/>
      </c>
      <c r="CJ2846">
        <f>IFERROR(IF('월 가계부'!C2846="","",IF(ISNUMBER('월 가계부'!C2846),'월 가계부'!C2846,VALUE(SUBSTITUTE(SUBSTITUTE(SUBSTITUTE(SUBSTITUTE(TRIM('월 가계부'!C2846),",",""),"원","")," ",""),"−","-")))),"")</f>
        <v/>
      </c>
      <c r="CK2846">
        <f>IF(ISNUMBER(CI2846),IF(CI2846&lt;$B$13,CI2846,""),"")</f>
        <v/>
      </c>
      <c r="CM2846">
        <f>IF(CH2846="","",IFERROR(IF(IF(AND(LEN(CH2846)=9,ISERROR(FIND("-",LEFT(CH2846,8))),ISNUMBER(-LEFT(CH2846,8))),VALUE(LEFT(CH2846,4)),VALUE(LEFT(CH2846,FIND("-",CH2846)-1)))&lt;100,IF(AND(LEN(CH2846)=9,ISERROR(FIND("-",LEFT(CH2846,8))),ISNUMBER(-LEFT(CH2846,8))),VALUE(LEFT(CH2846,4)),VALUE(LEFT(CH2846,FIND("-",CH2846)-1)))+2000,IF(AND(LEN(CH2846)=9,ISERROR(FIND("-",LEFT(CH2846,8))),ISNUMBER(-LEFT(CH2846,8))),VALUE(LEFT(CH2846,4)),VALUE(LEFT(CH2846,FIND("-",CH2846)-1)))),""))</f>
        <v/>
      </c>
      <c r="CN2846">
        <f>IF(CH2846="","",IFERROR(IF(AND(LEN(CH2846)=9,ISERROR(FIND("-",LEFT(CH2846,8))),ISNUMBER(-LEFT(CH2846,8))),VALUE(MID(CH2846,5,2)),VALUE(MID(CH2846,FIND("-",CH2846)+1,FIND("-",CH2846,FIND("-",CH2846)+1)-FIND("-",CH2846)-1))),""))</f>
        <v/>
      </c>
      <c r="CO2846">
        <f>IF(CH2846="","",IFERROR(IF(AND(LEN(CH2846)=9,ISERROR(FIND("-",LEFT(CH2846,8))),ISNUMBER(-LEFT(CH2846,8))),VALUE(MID(CH2846,7,2)),VALUE(MID(CH2846,FIND("-",CH2846,FIND("-",CH2846)+1)+1,FIND("-",CH2846,FIND("-",CH2846,FIND("-",CH2846)+1)+1)-FIND("-",CH2846,FIND("-",CH2846)+1)-1))),""))</f>
        <v/>
      </c>
    </row>
    <row r="2847">
      <c r="CH2847">
        <f>IF(ISTEXT('월 가계부'!A2847),SUBSTITUTE(SUBSTITUTE(SUBSTITUTE(SUBSTITUTE(SUBSTITUTE(SUBSTITUTE(SUBSTITUTE(SUBSTITUTE(SUBSTITUTE(TRIM('월 가계부'!A2847),"년","-"),"월","-"),"일",""),".","-"),"/","-")," ","-"),"--","-"),"--","-"),"--","-")&amp;"-","")</f>
        <v/>
      </c>
      <c r="CI2847">
        <f>IFERROR(IF('월 가계부'!A2847="","",IF(ISNUMBER('월 가계부'!A2847),IF(AND('월 가계부'!A2847&gt;=19000101,'월 가계부'!A2847&lt;=21001231),IF(AND(MOD(INT('월 가계부'!A2847/100),100)&gt;=1,MOD(INT('월 가계부'!A2847/100),100)&lt;=12,MOD(INT('월 가계부'!A2847),100)&gt;=1,MOD(INT('월 가계부'!A2847),100)&lt;=31),IF(MONTH(DATE(INT('월 가계부'!A2847/10000),MOD(INT('월 가계부'!A2847/100),100),MOD(INT('월 가계부'!A2847),100)))=MOD(INT('월 가계부'!A2847/100),100),DATE(INT('월 가계부'!A2847/10000),MOD(INT('월 가계부'!A2847/100),100),MOD(INT('월 가계부'!A2847),100)),""),""),IF(AND('월 가계부'!A2847&gt;=36526,'월 가계부'!A2847&lt;73051),INT('월 가계부'!A2847),"")),IF(OR(CM2847="",CN2847="",CO2847=""),"",IF(AND(CM2847&gt;=2000,CM2847&lt;=2099,CN2847&gt;=1,CN2847&lt;=12,CO2847&gt;=1,CO2847&lt;=31),IF(MONTH(DATE(CM2847,CN2847,CO2847))=CN2847,DATE(CM2847,CN2847,CO2847),""),"")))),"")</f>
        <v/>
      </c>
      <c r="CJ2847">
        <f>IFERROR(IF('월 가계부'!C2847="","",IF(ISNUMBER('월 가계부'!C2847),'월 가계부'!C2847,VALUE(SUBSTITUTE(SUBSTITUTE(SUBSTITUTE(SUBSTITUTE(TRIM('월 가계부'!C2847),",",""),"원","")," ",""),"−","-")))),"")</f>
        <v/>
      </c>
      <c r="CK2847">
        <f>IF(ISNUMBER(CI2847),IF(CI2847&lt;$B$13,CI2847,""),"")</f>
        <v/>
      </c>
      <c r="CM2847">
        <f>IF(CH2847="","",IFERROR(IF(IF(AND(LEN(CH2847)=9,ISERROR(FIND("-",LEFT(CH2847,8))),ISNUMBER(-LEFT(CH2847,8))),VALUE(LEFT(CH2847,4)),VALUE(LEFT(CH2847,FIND("-",CH2847)-1)))&lt;100,IF(AND(LEN(CH2847)=9,ISERROR(FIND("-",LEFT(CH2847,8))),ISNUMBER(-LEFT(CH2847,8))),VALUE(LEFT(CH2847,4)),VALUE(LEFT(CH2847,FIND("-",CH2847)-1)))+2000,IF(AND(LEN(CH2847)=9,ISERROR(FIND("-",LEFT(CH2847,8))),ISNUMBER(-LEFT(CH2847,8))),VALUE(LEFT(CH2847,4)),VALUE(LEFT(CH2847,FIND("-",CH2847)-1)))),""))</f>
        <v/>
      </c>
      <c r="CN2847">
        <f>IF(CH2847="","",IFERROR(IF(AND(LEN(CH2847)=9,ISERROR(FIND("-",LEFT(CH2847,8))),ISNUMBER(-LEFT(CH2847,8))),VALUE(MID(CH2847,5,2)),VALUE(MID(CH2847,FIND("-",CH2847)+1,FIND("-",CH2847,FIND("-",CH2847)+1)-FIND("-",CH2847)-1))),""))</f>
        <v/>
      </c>
      <c r="CO2847">
        <f>IF(CH2847="","",IFERROR(IF(AND(LEN(CH2847)=9,ISERROR(FIND("-",LEFT(CH2847,8))),ISNUMBER(-LEFT(CH2847,8))),VALUE(MID(CH2847,7,2)),VALUE(MID(CH2847,FIND("-",CH2847,FIND("-",CH2847)+1)+1,FIND("-",CH2847,FIND("-",CH2847,FIND("-",CH2847)+1)+1)-FIND("-",CH2847,FIND("-",CH2847)+1)-1))),""))</f>
        <v/>
      </c>
    </row>
    <row r="2848">
      <c r="CH2848">
        <f>IF(ISTEXT('월 가계부'!A2848),SUBSTITUTE(SUBSTITUTE(SUBSTITUTE(SUBSTITUTE(SUBSTITUTE(SUBSTITUTE(SUBSTITUTE(SUBSTITUTE(SUBSTITUTE(TRIM('월 가계부'!A2848),"년","-"),"월","-"),"일",""),".","-"),"/","-")," ","-"),"--","-"),"--","-"),"--","-")&amp;"-","")</f>
        <v/>
      </c>
      <c r="CI2848">
        <f>IFERROR(IF('월 가계부'!A2848="","",IF(ISNUMBER('월 가계부'!A2848),IF(AND('월 가계부'!A2848&gt;=19000101,'월 가계부'!A2848&lt;=21001231),IF(AND(MOD(INT('월 가계부'!A2848/100),100)&gt;=1,MOD(INT('월 가계부'!A2848/100),100)&lt;=12,MOD(INT('월 가계부'!A2848),100)&gt;=1,MOD(INT('월 가계부'!A2848),100)&lt;=31),IF(MONTH(DATE(INT('월 가계부'!A2848/10000),MOD(INT('월 가계부'!A2848/100),100),MOD(INT('월 가계부'!A2848),100)))=MOD(INT('월 가계부'!A2848/100),100),DATE(INT('월 가계부'!A2848/10000),MOD(INT('월 가계부'!A2848/100),100),MOD(INT('월 가계부'!A2848),100)),""),""),IF(AND('월 가계부'!A2848&gt;=36526,'월 가계부'!A2848&lt;73051),INT('월 가계부'!A2848),"")),IF(OR(CM2848="",CN2848="",CO2848=""),"",IF(AND(CM2848&gt;=2000,CM2848&lt;=2099,CN2848&gt;=1,CN2848&lt;=12,CO2848&gt;=1,CO2848&lt;=31),IF(MONTH(DATE(CM2848,CN2848,CO2848))=CN2848,DATE(CM2848,CN2848,CO2848),""),"")))),"")</f>
        <v/>
      </c>
      <c r="CJ2848">
        <f>IFERROR(IF('월 가계부'!C2848="","",IF(ISNUMBER('월 가계부'!C2848),'월 가계부'!C2848,VALUE(SUBSTITUTE(SUBSTITUTE(SUBSTITUTE(SUBSTITUTE(TRIM('월 가계부'!C2848),",",""),"원","")," ",""),"−","-")))),"")</f>
        <v/>
      </c>
      <c r="CK2848">
        <f>IF(ISNUMBER(CI2848),IF(CI2848&lt;$B$13,CI2848,""),"")</f>
        <v/>
      </c>
      <c r="CM2848">
        <f>IF(CH2848="","",IFERROR(IF(IF(AND(LEN(CH2848)=9,ISERROR(FIND("-",LEFT(CH2848,8))),ISNUMBER(-LEFT(CH2848,8))),VALUE(LEFT(CH2848,4)),VALUE(LEFT(CH2848,FIND("-",CH2848)-1)))&lt;100,IF(AND(LEN(CH2848)=9,ISERROR(FIND("-",LEFT(CH2848,8))),ISNUMBER(-LEFT(CH2848,8))),VALUE(LEFT(CH2848,4)),VALUE(LEFT(CH2848,FIND("-",CH2848)-1)))+2000,IF(AND(LEN(CH2848)=9,ISERROR(FIND("-",LEFT(CH2848,8))),ISNUMBER(-LEFT(CH2848,8))),VALUE(LEFT(CH2848,4)),VALUE(LEFT(CH2848,FIND("-",CH2848)-1)))),""))</f>
        <v/>
      </c>
      <c r="CN2848">
        <f>IF(CH2848="","",IFERROR(IF(AND(LEN(CH2848)=9,ISERROR(FIND("-",LEFT(CH2848,8))),ISNUMBER(-LEFT(CH2848,8))),VALUE(MID(CH2848,5,2)),VALUE(MID(CH2848,FIND("-",CH2848)+1,FIND("-",CH2848,FIND("-",CH2848)+1)-FIND("-",CH2848)-1))),""))</f>
        <v/>
      </c>
      <c r="CO2848">
        <f>IF(CH2848="","",IFERROR(IF(AND(LEN(CH2848)=9,ISERROR(FIND("-",LEFT(CH2848,8))),ISNUMBER(-LEFT(CH2848,8))),VALUE(MID(CH2848,7,2)),VALUE(MID(CH2848,FIND("-",CH2848,FIND("-",CH2848)+1)+1,FIND("-",CH2848,FIND("-",CH2848,FIND("-",CH2848)+1)+1)-FIND("-",CH2848,FIND("-",CH2848)+1)-1))),""))</f>
        <v/>
      </c>
    </row>
    <row r="2849">
      <c r="CH2849">
        <f>IF(ISTEXT('월 가계부'!A2849),SUBSTITUTE(SUBSTITUTE(SUBSTITUTE(SUBSTITUTE(SUBSTITUTE(SUBSTITUTE(SUBSTITUTE(SUBSTITUTE(SUBSTITUTE(TRIM('월 가계부'!A2849),"년","-"),"월","-"),"일",""),".","-"),"/","-")," ","-"),"--","-"),"--","-"),"--","-")&amp;"-","")</f>
        <v/>
      </c>
      <c r="CI2849">
        <f>IFERROR(IF('월 가계부'!A2849="","",IF(ISNUMBER('월 가계부'!A2849),IF(AND('월 가계부'!A2849&gt;=19000101,'월 가계부'!A2849&lt;=21001231),IF(AND(MOD(INT('월 가계부'!A2849/100),100)&gt;=1,MOD(INT('월 가계부'!A2849/100),100)&lt;=12,MOD(INT('월 가계부'!A2849),100)&gt;=1,MOD(INT('월 가계부'!A2849),100)&lt;=31),IF(MONTH(DATE(INT('월 가계부'!A2849/10000),MOD(INT('월 가계부'!A2849/100),100),MOD(INT('월 가계부'!A2849),100)))=MOD(INT('월 가계부'!A2849/100),100),DATE(INT('월 가계부'!A2849/10000),MOD(INT('월 가계부'!A2849/100),100),MOD(INT('월 가계부'!A2849),100)),""),""),IF(AND('월 가계부'!A2849&gt;=36526,'월 가계부'!A2849&lt;73051),INT('월 가계부'!A2849),"")),IF(OR(CM2849="",CN2849="",CO2849=""),"",IF(AND(CM2849&gt;=2000,CM2849&lt;=2099,CN2849&gt;=1,CN2849&lt;=12,CO2849&gt;=1,CO2849&lt;=31),IF(MONTH(DATE(CM2849,CN2849,CO2849))=CN2849,DATE(CM2849,CN2849,CO2849),""),"")))),"")</f>
        <v/>
      </c>
      <c r="CJ2849">
        <f>IFERROR(IF('월 가계부'!C2849="","",IF(ISNUMBER('월 가계부'!C2849),'월 가계부'!C2849,VALUE(SUBSTITUTE(SUBSTITUTE(SUBSTITUTE(SUBSTITUTE(TRIM('월 가계부'!C2849),",",""),"원","")," ",""),"−","-")))),"")</f>
        <v/>
      </c>
      <c r="CK2849">
        <f>IF(ISNUMBER(CI2849),IF(CI2849&lt;$B$13,CI2849,""),"")</f>
        <v/>
      </c>
      <c r="CM2849">
        <f>IF(CH2849="","",IFERROR(IF(IF(AND(LEN(CH2849)=9,ISERROR(FIND("-",LEFT(CH2849,8))),ISNUMBER(-LEFT(CH2849,8))),VALUE(LEFT(CH2849,4)),VALUE(LEFT(CH2849,FIND("-",CH2849)-1)))&lt;100,IF(AND(LEN(CH2849)=9,ISERROR(FIND("-",LEFT(CH2849,8))),ISNUMBER(-LEFT(CH2849,8))),VALUE(LEFT(CH2849,4)),VALUE(LEFT(CH2849,FIND("-",CH2849)-1)))+2000,IF(AND(LEN(CH2849)=9,ISERROR(FIND("-",LEFT(CH2849,8))),ISNUMBER(-LEFT(CH2849,8))),VALUE(LEFT(CH2849,4)),VALUE(LEFT(CH2849,FIND("-",CH2849)-1)))),""))</f>
        <v/>
      </c>
      <c r="CN2849">
        <f>IF(CH2849="","",IFERROR(IF(AND(LEN(CH2849)=9,ISERROR(FIND("-",LEFT(CH2849,8))),ISNUMBER(-LEFT(CH2849,8))),VALUE(MID(CH2849,5,2)),VALUE(MID(CH2849,FIND("-",CH2849)+1,FIND("-",CH2849,FIND("-",CH2849)+1)-FIND("-",CH2849)-1))),""))</f>
        <v/>
      </c>
      <c r="CO2849">
        <f>IF(CH2849="","",IFERROR(IF(AND(LEN(CH2849)=9,ISERROR(FIND("-",LEFT(CH2849,8))),ISNUMBER(-LEFT(CH2849,8))),VALUE(MID(CH2849,7,2)),VALUE(MID(CH2849,FIND("-",CH2849,FIND("-",CH2849)+1)+1,FIND("-",CH2849,FIND("-",CH2849,FIND("-",CH2849)+1)+1)-FIND("-",CH2849,FIND("-",CH2849)+1)-1))),""))</f>
        <v/>
      </c>
    </row>
    <row r="2850">
      <c r="CH2850">
        <f>IF(ISTEXT('월 가계부'!A2850),SUBSTITUTE(SUBSTITUTE(SUBSTITUTE(SUBSTITUTE(SUBSTITUTE(SUBSTITUTE(SUBSTITUTE(SUBSTITUTE(SUBSTITUTE(TRIM('월 가계부'!A2850),"년","-"),"월","-"),"일",""),".","-"),"/","-")," ","-"),"--","-"),"--","-"),"--","-")&amp;"-","")</f>
        <v/>
      </c>
      <c r="CI2850">
        <f>IFERROR(IF('월 가계부'!A2850="","",IF(ISNUMBER('월 가계부'!A2850),IF(AND('월 가계부'!A2850&gt;=19000101,'월 가계부'!A2850&lt;=21001231),IF(AND(MOD(INT('월 가계부'!A2850/100),100)&gt;=1,MOD(INT('월 가계부'!A2850/100),100)&lt;=12,MOD(INT('월 가계부'!A2850),100)&gt;=1,MOD(INT('월 가계부'!A2850),100)&lt;=31),IF(MONTH(DATE(INT('월 가계부'!A2850/10000),MOD(INT('월 가계부'!A2850/100),100),MOD(INT('월 가계부'!A2850),100)))=MOD(INT('월 가계부'!A2850/100),100),DATE(INT('월 가계부'!A2850/10000),MOD(INT('월 가계부'!A2850/100),100),MOD(INT('월 가계부'!A2850),100)),""),""),IF(AND('월 가계부'!A2850&gt;=36526,'월 가계부'!A2850&lt;73051),INT('월 가계부'!A2850),"")),IF(OR(CM2850="",CN2850="",CO2850=""),"",IF(AND(CM2850&gt;=2000,CM2850&lt;=2099,CN2850&gt;=1,CN2850&lt;=12,CO2850&gt;=1,CO2850&lt;=31),IF(MONTH(DATE(CM2850,CN2850,CO2850))=CN2850,DATE(CM2850,CN2850,CO2850),""),"")))),"")</f>
        <v/>
      </c>
      <c r="CJ2850">
        <f>IFERROR(IF('월 가계부'!C2850="","",IF(ISNUMBER('월 가계부'!C2850),'월 가계부'!C2850,VALUE(SUBSTITUTE(SUBSTITUTE(SUBSTITUTE(SUBSTITUTE(TRIM('월 가계부'!C2850),",",""),"원","")," ",""),"−","-")))),"")</f>
        <v/>
      </c>
      <c r="CK2850">
        <f>IF(ISNUMBER(CI2850),IF(CI2850&lt;$B$13,CI2850,""),"")</f>
        <v/>
      </c>
      <c r="CM2850">
        <f>IF(CH2850="","",IFERROR(IF(IF(AND(LEN(CH2850)=9,ISERROR(FIND("-",LEFT(CH2850,8))),ISNUMBER(-LEFT(CH2850,8))),VALUE(LEFT(CH2850,4)),VALUE(LEFT(CH2850,FIND("-",CH2850)-1)))&lt;100,IF(AND(LEN(CH2850)=9,ISERROR(FIND("-",LEFT(CH2850,8))),ISNUMBER(-LEFT(CH2850,8))),VALUE(LEFT(CH2850,4)),VALUE(LEFT(CH2850,FIND("-",CH2850)-1)))+2000,IF(AND(LEN(CH2850)=9,ISERROR(FIND("-",LEFT(CH2850,8))),ISNUMBER(-LEFT(CH2850,8))),VALUE(LEFT(CH2850,4)),VALUE(LEFT(CH2850,FIND("-",CH2850)-1)))),""))</f>
        <v/>
      </c>
      <c r="CN2850">
        <f>IF(CH2850="","",IFERROR(IF(AND(LEN(CH2850)=9,ISERROR(FIND("-",LEFT(CH2850,8))),ISNUMBER(-LEFT(CH2850,8))),VALUE(MID(CH2850,5,2)),VALUE(MID(CH2850,FIND("-",CH2850)+1,FIND("-",CH2850,FIND("-",CH2850)+1)-FIND("-",CH2850)-1))),""))</f>
        <v/>
      </c>
      <c r="CO2850">
        <f>IF(CH2850="","",IFERROR(IF(AND(LEN(CH2850)=9,ISERROR(FIND("-",LEFT(CH2850,8))),ISNUMBER(-LEFT(CH2850,8))),VALUE(MID(CH2850,7,2)),VALUE(MID(CH2850,FIND("-",CH2850,FIND("-",CH2850)+1)+1,FIND("-",CH2850,FIND("-",CH2850,FIND("-",CH2850)+1)+1)-FIND("-",CH2850,FIND("-",CH2850)+1)-1))),""))</f>
        <v/>
      </c>
    </row>
    <row r="2851">
      <c r="CH2851">
        <f>IF(ISTEXT('월 가계부'!A2851),SUBSTITUTE(SUBSTITUTE(SUBSTITUTE(SUBSTITUTE(SUBSTITUTE(SUBSTITUTE(SUBSTITUTE(SUBSTITUTE(SUBSTITUTE(TRIM('월 가계부'!A2851),"년","-"),"월","-"),"일",""),".","-"),"/","-")," ","-"),"--","-"),"--","-"),"--","-")&amp;"-","")</f>
        <v/>
      </c>
      <c r="CI2851">
        <f>IFERROR(IF('월 가계부'!A2851="","",IF(ISNUMBER('월 가계부'!A2851),IF(AND('월 가계부'!A2851&gt;=19000101,'월 가계부'!A2851&lt;=21001231),IF(AND(MOD(INT('월 가계부'!A2851/100),100)&gt;=1,MOD(INT('월 가계부'!A2851/100),100)&lt;=12,MOD(INT('월 가계부'!A2851),100)&gt;=1,MOD(INT('월 가계부'!A2851),100)&lt;=31),IF(MONTH(DATE(INT('월 가계부'!A2851/10000),MOD(INT('월 가계부'!A2851/100),100),MOD(INT('월 가계부'!A2851),100)))=MOD(INT('월 가계부'!A2851/100),100),DATE(INT('월 가계부'!A2851/10000),MOD(INT('월 가계부'!A2851/100),100),MOD(INT('월 가계부'!A2851),100)),""),""),IF(AND('월 가계부'!A2851&gt;=36526,'월 가계부'!A2851&lt;73051),INT('월 가계부'!A2851),"")),IF(OR(CM2851="",CN2851="",CO2851=""),"",IF(AND(CM2851&gt;=2000,CM2851&lt;=2099,CN2851&gt;=1,CN2851&lt;=12,CO2851&gt;=1,CO2851&lt;=31),IF(MONTH(DATE(CM2851,CN2851,CO2851))=CN2851,DATE(CM2851,CN2851,CO2851),""),"")))),"")</f>
        <v/>
      </c>
      <c r="CJ2851">
        <f>IFERROR(IF('월 가계부'!C2851="","",IF(ISNUMBER('월 가계부'!C2851),'월 가계부'!C2851,VALUE(SUBSTITUTE(SUBSTITUTE(SUBSTITUTE(SUBSTITUTE(TRIM('월 가계부'!C2851),",",""),"원","")," ",""),"−","-")))),"")</f>
        <v/>
      </c>
      <c r="CK2851">
        <f>IF(ISNUMBER(CI2851),IF(CI2851&lt;$B$13,CI2851,""),"")</f>
        <v/>
      </c>
      <c r="CM2851">
        <f>IF(CH2851="","",IFERROR(IF(IF(AND(LEN(CH2851)=9,ISERROR(FIND("-",LEFT(CH2851,8))),ISNUMBER(-LEFT(CH2851,8))),VALUE(LEFT(CH2851,4)),VALUE(LEFT(CH2851,FIND("-",CH2851)-1)))&lt;100,IF(AND(LEN(CH2851)=9,ISERROR(FIND("-",LEFT(CH2851,8))),ISNUMBER(-LEFT(CH2851,8))),VALUE(LEFT(CH2851,4)),VALUE(LEFT(CH2851,FIND("-",CH2851)-1)))+2000,IF(AND(LEN(CH2851)=9,ISERROR(FIND("-",LEFT(CH2851,8))),ISNUMBER(-LEFT(CH2851,8))),VALUE(LEFT(CH2851,4)),VALUE(LEFT(CH2851,FIND("-",CH2851)-1)))),""))</f>
        <v/>
      </c>
      <c r="CN2851">
        <f>IF(CH2851="","",IFERROR(IF(AND(LEN(CH2851)=9,ISERROR(FIND("-",LEFT(CH2851,8))),ISNUMBER(-LEFT(CH2851,8))),VALUE(MID(CH2851,5,2)),VALUE(MID(CH2851,FIND("-",CH2851)+1,FIND("-",CH2851,FIND("-",CH2851)+1)-FIND("-",CH2851)-1))),""))</f>
        <v/>
      </c>
      <c r="CO2851">
        <f>IF(CH2851="","",IFERROR(IF(AND(LEN(CH2851)=9,ISERROR(FIND("-",LEFT(CH2851,8))),ISNUMBER(-LEFT(CH2851,8))),VALUE(MID(CH2851,7,2)),VALUE(MID(CH2851,FIND("-",CH2851,FIND("-",CH2851)+1)+1,FIND("-",CH2851,FIND("-",CH2851,FIND("-",CH2851)+1)+1)-FIND("-",CH2851,FIND("-",CH2851)+1)-1))),""))</f>
        <v/>
      </c>
    </row>
    <row r="2852">
      <c r="CH2852">
        <f>IF(ISTEXT('월 가계부'!A2852),SUBSTITUTE(SUBSTITUTE(SUBSTITUTE(SUBSTITUTE(SUBSTITUTE(SUBSTITUTE(SUBSTITUTE(SUBSTITUTE(SUBSTITUTE(TRIM('월 가계부'!A2852),"년","-"),"월","-"),"일",""),".","-"),"/","-")," ","-"),"--","-"),"--","-"),"--","-")&amp;"-","")</f>
        <v/>
      </c>
      <c r="CI2852">
        <f>IFERROR(IF('월 가계부'!A2852="","",IF(ISNUMBER('월 가계부'!A2852),IF(AND('월 가계부'!A2852&gt;=19000101,'월 가계부'!A2852&lt;=21001231),IF(AND(MOD(INT('월 가계부'!A2852/100),100)&gt;=1,MOD(INT('월 가계부'!A2852/100),100)&lt;=12,MOD(INT('월 가계부'!A2852),100)&gt;=1,MOD(INT('월 가계부'!A2852),100)&lt;=31),IF(MONTH(DATE(INT('월 가계부'!A2852/10000),MOD(INT('월 가계부'!A2852/100),100),MOD(INT('월 가계부'!A2852),100)))=MOD(INT('월 가계부'!A2852/100),100),DATE(INT('월 가계부'!A2852/10000),MOD(INT('월 가계부'!A2852/100),100),MOD(INT('월 가계부'!A2852),100)),""),""),IF(AND('월 가계부'!A2852&gt;=36526,'월 가계부'!A2852&lt;73051),INT('월 가계부'!A2852),"")),IF(OR(CM2852="",CN2852="",CO2852=""),"",IF(AND(CM2852&gt;=2000,CM2852&lt;=2099,CN2852&gt;=1,CN2852&lt;=12,CO2852&gt;=1,CO2852&lt;=31),IF(MONTH(DATE(CM2852,CN2852,CO2852))=CN2852,DATE(CM2852,CN2852,CO2852),""),"")))),"")</f>
        <v/>
      </c>
      <c r="CJ2852">
        <f>IFERROR(IF('월 가계부'!C2852="","",IF(ISNUMBER('월 가계부'!C2852),'월 가계부'!C2852,VALUE(SUBSTITUTE(SUBSTITUTE(SUBSTITUTE(SUBSTITUTE(TRIM('월 가계부'!C2852),",",""),"원","")," ",""),"−","-")))),"")</f>
        <v/>
      </c>
      <c r="CK2852">
        <f>IF(ISNUMBER(CI2852),IF(CI2852&lt;$B$13,CI2852,""),"")</f>
        <v/>
      </c>
      <c r="CM2852">
        <f>IF(CH2852="","",IFERROR(IF(IF(AND(LEN(CH2852)=9,ISERROR(FIND("-",LEFT(CH2852,8))),ISNUMBER(-LEFT(CH2852,8))),VALUE(LEFT(CH2852,4)),VALUE(LEFT(CH2852,FIND("-",CH2852)-1)))&lt;100,IF(AND(LEN(CH2852)=9,ISERROR(FIND("-",LEFT(CH2852,8))),ISNUMBER(-LEFT(CH2852,8))),VALUE(LEFT(CH2852,4)),VALUE(LEFT(CH2852,FIND("-",CH2852)-1)))+2000,IF(AND(LEN(CH2852)=9,ISERROR(FIND("-",LEFT(CH2852,8))),ISNUMBER(-LEFT(CH2852,8))),VALUE(LEFT(CH2852,4)),VALUE(LEFT(CH2852,FIND("-",CH2852)-1)))),""))</f>
        <v/>
      </c>
      <c r="CN2852">
        <f>IF(CH2852="","",IFERROR(IF(AND(LEN(CH2852)=9,ISERROR(FIND("-",LEFT(CH2852,8))),ISNUMBER(-LEFT(CH2852,8))),VALUE(MID(CH2852,5,2)),VALUE(MID(CH2852,FIND("-",CH2852)+1,FIND("-",CH2852,FIND("-",CH2852)+1)-FIND("-",CH2852)-1))),""))</f>
        <v/>
      </c>
      <c r="CO2852">
        <f>IF(CH2852="","",IFERROR(IF(AND(LEN(CH2852)=9,ISERROR(FIND("-",LEFT(CH2852,8))),ISNUMBER(-LEFT(CH2852,8))),VALUE(MID(CH2852,7,2)),VALUE(MID(CH2852,FIND("-",CH2852,FIND("-",CH2852)+1)+1,FIND("-",CH2852,FIND("-",CH2852,FIND("-",CH2852)+1)+1)-FIND("-",CH2852,FIND("-",CH2852)+1)-1))),""))</f>
        <v/>
      </c>
    </row>
    <row r="2853">
      <c r="CH2853">
        <f>IF(ISTEXT('월 가계부'!A2853),SUBSTITUTE(SUBSTITUTE(SUBSTITUTE(SUBSTITUTE(SUBSTITUTE(SUBSTITUTE(SUBSTITUTE(SUBSTITUTE(SUBSTITUTE(TRIM('월 가계부'!A2853),"년","-"),"월","-"),"일",""),".","-"),"/","-")," ","-"),"--","-"),"--","-"),"--","-")&amp;"-","")</f>
        <v/>
      </c>
      <c r="CI2853">
        <f>IFERROR(IF('월 가계부'!A2853="","",IF(ISNUMBER('월 가계부'!A2853),IF(AND('월 가계부'!A2853&gt;=19000101,'월 가계부'!A2853&lt;=21001231),IF(AND(MOD(INT('월 가계부'!A2853/100),100)&gt;=1,MOD(INT('월 가계부'!A2853/100),100)&lt;=12,MOD(INT('월 가계부'!A2853),100)&gt;=1,MOD(INT('월 가계부'!A2853),100)&lt;=31),IF(MONTH(DATE(INT('월 가계부'!A2853/10000),MOD(INT('월 가계부'!A2853/100),100),MOD(INT('월 가계부'!A2853),100)))=MOD(INT('월 가계부'!A2853/100),100),DATE(INT('월 가계부'!A2853/10000),MOD(INT('월 가계부'!A2853/100),100),MOD(INT('월 가계부'!A2853),100)),""),""),IF(AND('월 가계부'!A2853&gt;=36526,'월 가계부'!A2853&lt;73051),INT('월 가계부'!A2853),"")),IF(OR(CM2853="",CN2853="",CO2853=""),"",IF(AND(CM2853&gt;=2000,CM2853&lt;=2099,CN2853&gt;=1,CN2853&lt;=12,CO2853&gt;=1,CO2853&lt;=31),IF(MONTH(DATE(CM2853,CN2853,CO2853))=CN2853,DATE(CM2853,CN2853,CO2853),""),"")))),"")</f>
        <v/>
      </c>
      <c r="CJ2853">
        <f>IFERROR(IF('월 가계부'!C2853="","",IF(ISNUMBER('월 가계부'!C2853),'월 가계부'!C2853,VALUE(SUBSTITUTE(SUBSTITUTE(SUBSTITUTE(SUBSTITUTE(TRIM('월 가계부'!C2853),",",""),"원","")," ",""),"−","-")))),"")</f>
        <v/>
      </c>
      <c r="CK2853">
        <f>IF(ISNUMBER(CI2853),IF(CI2853&lt;$B$13,CI2853,""),"")</f>
        <v/>
      </c>
      <c r="CM2853">
        <f>IF(CH2853="","",IFERROR(IF(IF(AND(LEN(CH2853)=9,ISERROR(FIND("-",LEFT(CH2853,8))),ISNUMBER(-LEFT(CH2853,8))),VALUE(LEFT(CH2853,4)),VALUE(LEFT(CH2853,FIND("-",CH2853)-1)))&lt;100,IF(AND(LEN(CH2853)=9,ISERROR(FIND("-",LEFT(CH2853,8))),ISNUMBER(-LEFT(CH2853,8))),VALUE(LEFT(CH2853,4)),VALUE(LEFT(CH2853,FIND("-",CH2853)-1)))+2000,IF(AND(LEN(CH2853)=9,ISERROR(FIND("-",LEFT(CH2853,8))),ISNUMBER(-LEFT(CH2853,8))),VALUE(LEFT(CH2853,4)),VALUE(LEFT(CH2853,FIND("-",CH2853)-1)))),""))</f>
        <v/>
      </c>
      <c r="CN2853">
        <f>IF(CH2853="","",IFERROR(IF(AND(LEN(CH2853)=9,ISERROR(FIND("-",LEFT(CH2853,8))),ISNUMBER(-LEFT(CH2853,8))),VALUE(MID(CH2853,5,2)),VALUE(MID(CH2853,FIND("-",CH2853)+1,FIND("-",CH2853,FIND("-",CH2853)+1)-FIND("-",CH2853)-1))),""))</f>
        <v/>
      </c>
      <c r="CO2853">
        <f>IF(CH2853="","",IFERROR(IF(AND(LEN(CH2853)=9,ISERROR(FIND("-",LEFT(CH2853,8))),ISNUMBER(-LEFT(CH2853,8))),VALUE(MID(CH2853,7,2)),VALUE(MID(CH2853,FIND("-",CH2853,FIND("-",CH2853)+1)+1,FIND("-",CH2853,FIND("-",CH2853,FIND("-",CH2853)+1)+1)-FIND("-",CH2853,FIND("-",CH2853)+1)-1))),""))</f>
        <v/>
      </c>
    </row>
    <row r="2854">
      <c r="CH2854">
        <f>IF(ISTEXT('월 가계부'!A2854),SUBSTITUTE(SUBSTITUTE(SUBSTITUTE(SUBSTITUTE(SUBSTITUTE(SUBSTITUTE(SUBSTITUTE(SUBSTITUTE(SUBSTITUTE(TRIM('월 가계부'!A2854),"년","-"),"월","-"),"일",""),".","-"),"/","-")," ","-"),"--","-"),"--","-"),"--","-")&amp;"-","")</f>
        <v/>
      </c>
      <c r="CI2854">
        <f>IFERROR(IF('월 가계부'!A2854="","",IF(ISNUMBER('월 가계부'!A2854),IF(AND('월 가계부'!A2854&gt;=19000101,'월 가계부'!A2854&lt;=21001231),IF(AND(MOD(INT('월 가계부'!A2854/100),100)&gt;=1,MOD(INT('월 가계부'!A2854/100),100)&lt;=12,MOD(INT('월 가계부'!A2854),100)&gt;=1,MOD(INT('월 가계부'!A2854),100)&lt;=31),IF(MONTH(DATE(INT('월 가계부'!A2854/10000),MOD(INT('월 가계부'!A2854/100),100),MOD(INT('월 가계부'!A2854),100)))=MOD(INT('월 가계부'!A2854/100),100),DATE(INT('월 가계부'!A2854/10000),MOD(INT('월 가계부'!A2854/100),100),MOD(INT('월 가계부'!A2854),100)),""),""),IF(AND('월 가계부'!A2854&gt;=36526,'월 가계부'!A2854&lt;73051),INT('월 가계부'!A2854),"")),IF(OR(CM2854="",CN2854="",CO2854=""),"",IF(AND(CM2854&gt;=2000,CM2854&lt;=2099,CN2854&gt;=1,CN2854&lt;=12,CO2854&gt;=1,CO2854&lt;=31),IF(MONTH(DATE(CM2854,CN2854,CO2854))=CN2854,DATE(CM2854,CN2854,CO2854),""),"")))),"")</f>
        <v/>
      </c>
      <c r="CJ2854">
        <f>IFERROR(IF('월 가계부'!C2854="","",IF(ISNUMBER('월 가계부'!C2854),'월 가계부'!C2854,VALUE(SUBSTITUTE(SUBSTITUTE(SUBSTITUTE(SUBSTITUTE(TRIM('월 가계부'!C2854),",",""),"원","")," ",""),"−","-")))),"")</f>
        <v/>
      </c>
      <c r="CK2854">
        <f>IF(ISNUMBER(CI2854),IF(CI2854&lt;$B$13,CI2854,""),"")</f>
        <v/>
      </c>
      <c r="CM2854">
        <f>IF(CH2854="","",IFERROR(IF(IF(AND(LEN(CH2854)=9,ISERROR(FIND("-",LEFT(CH2854,8))),ISNUMBER(-LEFT(CH2854,8))),VALUE(LEFT(CH2854,4)),VALUE(LEFT(CH2854,FIND("-",CH2854)-1)))&lt;100,IF(AND(LEN(CH2854)=9,ISERROR(FIND("-",LEFT(CH2854,8))),ISNUMBER(-LEFT(CH2854,8))),VALUE(LEFT(CH2854,4)),VALUE(LEFT(CH2854,FIND("-",CH2854)-1)))+2000,IF(AND(LEN(CH2854)=9,ISERROR(FIND("-",LEFT(CH2854,8))),ISNUMBER(-LEFT(CH2854,8))),VALUE(LEFT(CH2854,4)),VALUE(LEFT(CH2854,FIND("-",CH2854)-1)))),""))</f>
        <v/>
      </c>
      <c r="CN2854">
        <f>IF(CH2854="","",IFERROR(IF(AND(LEN(CH2854)=9,ISERROR(FIND("-",LEFT(CH2854,8))),ISNUMBER(-LEFT(CH2854,8))),VALUE(MID(CH2854,5,2)),VALUE(MID(CH2854,FIND("-",CH2854)+1,FIND("-",CH2854,FIND("-",CH2854)+1)-FIND("-",CH2854)-1))),""))</f>
        <v/>
      </c>
      <c r="CO2854">
        <f>IF(CH2854="","",IFERROR(IF(AND(LEN(CH2854)=9,ISERROR(FIND("-",LEFT(CH2854,8))),ISNUMBER(-LEFT(CH2854,8))),VALUE(MID(CH2854,7,2)),VALUE(MID(CH2854,FIND("-",CH2854,FIND("-",CH2854)+1)+1,FIND("-",CH2854,FIND("-",CH2854,FIND("-",CH2854)+1)+1)-FIND("-",CH2854,FIND("-",CH2854)+1)-1))),""))</f>
        <v/>
      </c>
    </row>
    <row r="2855">
      <c r="CH2855">
        <f>IF(ISTEXT('월 가계부'!A2855),SUBSTITUTE(SUBSTITUTE(SUBSTITUTE(SUBSTITUTE(SUBSTITUTE(SUBSTITUTE(SUBSTITUTE(SUBSTITUTE(SUBSTITUTE(TRIM('월 가계부'!A2855),"년","-"),"월","-"),"일",""),".","-"),"/","-")," ","-"),"--","-"),"--","-"),"--","-")&amp;"-","")</f>
        <v/>
      </c>
      <c r="CI2855">
        <f>IFERROR(IF('월 가계부'!A2855="","",IF(ISNUMBER('월 가계부'!A2855),IF(AND('월 가계부'!A2855&gt;=19000101,'월 가계부'!A2855&lt;=21001231),IF(AND(MOD(INT('월 가계부'!A2855/100),100)&gt;=1,MOD(INT('월 가계부'!A2855/100),100)&lt;=12,MOD(INT('월 가계부'!A2855),100)&gt;=1,MOD(INT('월 가계부'!A2855),100)&lt;=31),IF(MONTH(DATE(INT('월 가계부'!A2855/10000),MOD(INT('월 가계부'!A2855/100),100),MOD(INT('월 가계부'!A2855),100)))=MOD(INT('월 가계부'!A2855/100),100),DATE(INT('월 가계부'!A2855/10000),MOD(INT('월 가계부'!A2855/100),100),MOD(INT('월 가계부'!A2855),100)),""),""),IF(AND('월 가계부'!A2855&gt;=36526,'월 가계부'!A2855&lt;73051),INT('월 가계부'!A2855),"")),IF(OR(CM2855="",CN2855="",CO2855=""),"",IF(AND(CM2855&gt;=2000,CM2855&lt;=2099,CN2855&gt;=1,CN2855&lt;=12,CO2855&gt;=1,CO2855&lt;=31),IF(MONTH(DATE(CM2855,CN2855,CO2855))=CN2855,DATE(CM2855,CN2855,CO2855),""),"")))),"")</f>
        <v/>
      </c>
      <c r="CJ2855">
        <f>IFERROR(IF('월 가계부'!C2855="","",IF(ISNUMBER('월 가계부'!C2855),'월 가계부'!C2855,VALUE(SUBSTITUTE(SUBSTITUTE(SUBSTITUTE(SUBSTITUTE(TRIM('월 가계부'!C2855),",",""),"원","")," ",""),"−","-")))),"")</f>
        <v/>
      </c>
      <c r="CK2855">
        <f>IF(ISNUMBER(CI2855),IF(CI2855&lt;$B$13,CI2855,""),"")</f>
        <v/>
      </c>
      <c r="CM2855">
        <f>IF(CH2855="","",IFERROR(IF(IF(AND(LEN(CH2855)=9,ISERROR(FIND("-",LEFT(CH2855,8))),ISNUMBER(-LEFT(CH2855,8))),VALUE(LEFT(CH2855,4)),VALUE(LEFT(CH2855,FIND("-",CH2855)-1)))&lt;100,IF(AND(LEN(CH2855)=9,ISERROR(FIND("-",LEFT(CH2855,8))),ISNUMBER(-LEFT(CH2855,8))),VALUE(LEFT(CH2855,4)),VALUE(LEFT(CH2855,FIND("-",CH2855)-1)))+2000,IF(AND(LEN(CH2855)=9,ISERROR(FIND("-",LEFT(CH2855,8))),ISNUMBER(-LEFT(CH2855,8))),VALUE(LEFT(CH2855,4)),VALUE(LEFT(CH2855,FIND("-",CH2855)-1)))),""))</f>
        <v/>
      </c>
      <c r="CN2855">
        <f>IF(CH2855="","",IFERROR(IF(AND(LEN(CH2855)=9,ISERROR(FIND("-",LEFT(CH2855,8))),ISNUMBER(-LEFT(CH2855,8))),VALUE(MID(CH2855,5,2)),VALUE(MID(CH2855,FIND("-",CH2855)+1,FIND("-",CH2855,FIND("-",CH2855)+1)-FIND("-",CH2855)-1))),""))</f>
        <v/>
      </c>
      <c r="CO2855">
        <f>IF(CH2855="","",IFERROR(IF(AND(LEN(CH2855)=9,ISERROR(FIND("-",LEFT(CH2855,8))),ISNUMBER(-LEFT(CH2855,8))),VALUE(MID(CH2855,7,2)),VALUE(MID(CH2855,FIND("-",CH2855,FIND("-",CH2855)+1)+1,FIND("-",CH2855,FIND("-",CH2855,FIND("-",CH2855)+1)+1)-FIND("-",CH2855,FIND("-",CH2855)+1)-1))),""))</f>
        <v/>
      </c>
    </row>
    <row r="2856">
      <c r="CH2856">
        <f>IF(ISTEXT('월 가계부'!A2856),SUBSTITUTE(SUBSTITUTE(SUBSTITUTE(SUBSTITUTE(SUBSTITUTE(SUBSTITUTE(SUBSTITUTE(SUBSTITUTE(SUBSTITUTE(TRIM('월 가계부'!A2856),"년","-"),"월","-"),"일",""),".","-"),"/","-")," ","-"),"--","-"),"--","-"),"--","-")&amp;"-","")</f>
        <v/>
      </c>
      <c r="CI2856">
        <f>IFERROR(IF('월 가계부'!A2856="","",IF(ISNUMBER('월 가계부'!A2856),IF(AND('월 가계부'!A2856&gt;=19000101,'월 가계부'!A2856&lt;=21001231),IF(AND(MOD(INT('월 가계부'!A2856/100),100)&gt;=1,MOD(INT('월 가계부'!A2856/100),100)&lt;=12,MOD(INT('월 가계부'!A2856),100)&gt;=1,MOD(INT('월 가계부'!A2856),100)&lt;=31),IF(MONTH(DATE(INT('월 가계부'!A2856/10000),MOD(INT('월 가계부'!A2856/100),100),MOD(INT('월 가계부'!A2856),100)))=MOD(INT('월 가계부'!A2856/100),100),DATE(INT('월 가계부'!A2856/10000),MOD(INT('월 가계부'!A2856/100),100),MOD(INT('월 가계부'!A2856),100)),""),""),IF(AND('월 가계부'!A2856&gt;=36526,'월 가계부'!A2856&lt;73051),INT('월 가계부'!A2856),"")),IF(OR(CM2856="",CN2856="",CO2856=""),"",IF(AND(CM2856&gt;=2000,CM2856&lt;=2099,CN2856&gt;=1,CN2856&lt;=12,CO2856&gt;=1,CO2856&lt;=31),IF(MONTH(DATE(CM2856,CN2856,CO2856))=CN2856,DATE(CM2856,CN2856,CO2856),""),"")))),"")</f>
        <v/>
      </c>
      <c r="CJ2856">
        <f>IFERROR(IF('월 가계부'!C2856="","",IF(ISNUMBER('월 가계부'!C2856),'월 가계부'!C2856,VALUE(SUBSTITUTE(SUBSTITUTE(SUBSTITUTE(SUBSTITUTE(TRIM('월 가계부'!C2856),",",""),"원","")," ",""),"−","-")))),"")</f>
        <v/>
      </c>
      <c r="CK2856">
        <f>IF(ISNUMBER(CI2856),IF(CI2856&lt;$B$13,CI2856,""),"")</f>
        <v/>
      </c>
      <c r="CM2856">
        <f>IF(CH2856="","",IFERROR(IF(IF(AND(LEN(CH2856)=9,ISERROR(FIND("-",LEFT(CH2856,8))),ISNUMBER(-LEFT(CH2856,8))),VALUE(LEFT(CH2856,4)),VALUE(LEFT(CH2856,FIND("-",CH2856)-1)))&lt;100,IF(AND(LEN(CH2856)=9,ISERROR(FIND("-",LEFT(CH2856,8))),ISNUMBER(-LEFT(CH2856,8))),VALUE(LEFT(CH2856,4)),VALUE(LEFT(CH2856,FIND("-",CH2856)-1)))+2000,IF(AND(LEN(CH2856)=9,ISERROR(FIND("-",LEFT(CH2856,8))),ISNUMBER(-LEFT(CH2856,8))),VALUE(LEFT(CH2856,4)),VALUE(LEFT(CH2856,FIND("-",CH2856)-1)))),""))</f>
        <v/>
      </c>
      <c r="CN2856">
        <f>IF(CH2856="","",IFERROR(IF(AND(LEN(CH2856)=9,ISERROR(FIND("-",LEFT(CH2856,8))),ISNUMBER(-LEFT(CH2856,8))),VALUE(MID(CH2856,5,2)),VALUE(MID(CH2856,FIND("-",CH2856)+1,FIND("-",CH2856,FIND("-",CH2856)+1)-FIND("-",CH2856)-1))),""))</f>
        <v/>
      </c>
      <c r="CO2856">
        <f>IF(CH2856="","",IFERROR(IF(AND(LEN(CH2856)=9,ISERROR(FIND("-",LEFT(CH2856,8))),ISNUMBER(-LEFT(CH2856,8))),VALUE(MID(CH2856,7,2)),VALUE(MID(CH2856,FIND("-",CH2856,FIND("-",CH2856)+1)+1,FIND("-",CH2856,FIND("-",CH2856,FIND("-",CH2856)+1)+1)-FIND("-",CH2856,FIND("-",CH2856)+1)-1))),""))</f>
        <v/>
      </c>
    </row>
    <row r="2857">
      <c r="CH2857">
        <f>IF(ISTEXT('월 가계부'!A2857),SUBSTITUTE(SUBSTITUTE(SUBSTITUTE(SUBSTITUTE(SUBSTITUTE(SUBSTITUTE(SUBSTITUTE(SUBSTITUTE(SUBSTITUTE(TRIM('월 가계부'!A2857),"년","-"),"월","-"),"일",""),".","-"),"/","-")," ","-"),"--","-"),"--","-"),"--","-")&amp;"-","")</f>
        <v/>
      </c>
      <c r="CI2857">
        <f>IFERROR(IF('월 가계부'!A2857="","",IF(ISNUMBER('월 가계부'!A2857),IF(AND('월 가계부'!A2857&gt;=19000101,'월 가계부'!A2857&lt;=21001231),IF(AND(MOD(INT('월 가계부'!A2857/100),100)&gt;=1,MOD(INT('월 가계부'!A2857/100),100)&lt;=12,MOD(INT('월 가계부'!A2857),100)&gt;=1,MOD(INT('월 가계부'!A2857),100)&lt;=31),IF(MONTH(DATE(INT('월 가계부'!A2857/10000),MOD(INT('월 가계부'!A2857/100),100),MOD(INT('월 가계부'!A2857),100)))=MOD(INT('월 가계부'!A2857/100),100),DATE(INT('월 가계부'!A2857/10000),MOD(INT('월 가계부'!A2857/100),100),MOD(INT('월 가계부'!A2857),100)),""),""),IF(AND('월 가계부'!A2857&gt;=36526,'월 가계부'!A2857&lt;73051),INT('월 가계부'!A2857),"")),IF(OR(CM2857="",CN2857="",CO2857=""),"",IF(AND(CM2857&gt;=2000,CM2857&lt;=2099,CN2857&gt;=1,CN2857&lt;=12,CO2857&gt;=1,CO2857&lt;=31),IF(MONTH(DATE(CM2857,CN2857,CO2857))=CN2857,DATE(CM2857,CN2857,CO2857),""),"")))),"")</f>
        <v/>
      </c>
      <c r="CJ2857">
        <f>IFERROR(IF('월 가계부'!C2857="","",IF(ISNUMBER('월 가계부'!C2857),'월 가계부'!C2857,VALUE(SUBSTITUTE(SUBSTITUTE(SUBSTITUTE(SUBSTITUTE(TRIM('월 가계부'!C2857),",",""),"원","")," ",""),"−","-")))),"")</f>
        <v/>
      </c>
      <c r="CK2857">
        <f>IF(ISNUMBER(CI2857),IF(CI2857&lt;$B$13,CI2857,""),"")</f>
        <v/>
      </c>
      <c r="CM2857">
        <f>IF(CH2857="","",IFERROR(IF(IF(AND(LEN(CH2857)=9,ISERROR(FIND("-",LEFT(CH2857,8))),ISNUMBER(-LEFT(CH2857,8))),VALUE(LEFT(CH2857,4)),VALUE(LEFT(CH2857,FIND("-",CH2857)-1)))&lt;100,IF(AND(LEN(CH2857)=9,ISERROR(FIND("-",LEFT(CH2857,8))),ISNUMBER(-LEFT(CH2857,8))),VALUE(LEFT(CH2857,4)),VALUE(LEFT(CH2857,FIND("-",CH2857)-1)))+2000,IF(AND(LEN(CH2857)=9,ISERROR(FIND("-",LEFT(CH2857,8))),ISNUMBER(-LEFT(CH2857,8))),VALUE(LEFT(CH2857,4)),VALUE(LEFT(CH2857,FIND("-",CH2857)-1)))),""))</f>
        <v/>
      </c>
      <c r="CN2857">
        <f>IF(CH2857="","",IFERROR(IF(AND(LEN(CH2857)=9,ISERROR(FIND("-",LEFT(CH2857,8))),ISNUMBER(-LEFT(CH2857,8))),VALUE(MID(CH2857,5,2)),VALUE(MID(CH2857,FIND("-",CH2857)+1,FIND("-",CH2857,FIND("-",CH2857)+1)-FIND("-",CH2857)-1))),""))</f>
        <v/>
      </c>
      <c r="CO2857">
        <f>IF(CH2857="","",IFERROR(IF(AND(LEN(CH2857)=9,ISERROR(FIND("-",LEFT(CH2857,8))),ISNUMBER(-LEFT(CH2857,8))),VALUE(MID(CH2857,7,2)),VALUE(MID(CH2857,FIND("-",CH2857,FIND("-",CH2857)+1)+1,FIND("-",CH2857,FIND("-",CH2857,FIND("-",CH2857)+1)+1)-FIND("-",CH2857,FIND("-",CH2857)+1)-1))),""))</f>
        <v/>
      </c>
    </row>
    <row r="2858">
      <c r="CH2858">
        <f>IF(ISTEXT('월 가계부'!A2858),SUBSTITUTE(SUBSTITUTE(SUBSTITUTE(SUBSTITUTE(SUBSTITUTE(SUBSTITUTE(SUBSTITUTE(SUBSTITUTE(SUBSTITUTE(TRIM('월 가계부'!A2858),"년","-"),"월","-"),"일",""),".","-"),"/","-")," ","-"),"--","-"),"--","-"),"--","-")&amp;"-","")</f>
        <v/>
      </c>
      <c r="CI2858">
        <f>IFERROR(IF('월 가계부'!A2858="","",IF(ISNUMBER('월 가계부'!A2858),IF(AND('월 가계부'!A2858&gt;=19000101,'월 가계부'!A2858&lt;=21001231),IF(AND(MOD(INT('월 가계부'!A2858/100),100)&gt;=1,MOD(INT('월 가계부'!A2858/100),100)&lt;=12,MOD(INT('월 가계부'!A2858),100)&gt;=1,MOD(INT('월 가계부'!A2858),100)&lt;=31),IF(MONTH(DATE(INT('월 가계부'!A2858/10000),MOD(INT('월 가계부'!A2858/100),100),MOD(INT('월 가계부'!A2858),100)))=MOD(INT('월 가계부'!A2858/100),100),DATE(INT('월 가계부'!A2858/10000),MOD(INT('월 가계부'!A2858/100),100),MOD(INT('월 가계부'!A2858),100)),""),""),IF(AND('월 가계부'!A2858&gt;=36526,'월 가계부'!A2858&lt;73051),INT('월 가계부'!A2858),"")),IF(OR(CM2858="",CN2858="",CO2858=""),"",IF(AND(CM2858&gt;=2000,CM2858&lt;=2099,CN2858&gt;=1,CN2858&lt;=12,CO2858&gt;=1,CO2858&lt;=31),IF(MONTH(DATE(CM2858,CN2858,CO2858))=CN2858,DATE(CM2858,CN2858,CO2858),""),"")))),"")</f>
        <v/>
      </c>
      <c r="CJ2858">
        <f>IFERROR(IF('월 가계부'!C2858="","",IF(ISNUMBER('월 가계부'!C2858),'월 가계부'!C2858,VALUE(SUBSTITUTE(SUBSTITUTE(SUBSTITUTE(SUBSTITUTE(TRIM('월 가계부'!C2858),",",""),"원","")," ",""),"−","-")))),"")</f>
        <v/>
      </c>
      <c r="CK2858">
        <f>IF(ISNUMBER(CI2858),IF(CI2858&lt;$B$13,CI2858,""),"")</f>
        <v/>
      </c>
      <c r="CM2858">
        <f>IF(CH2858="","",IFERROR(IF(IF(AND(LEN(CH2858)=9,ISERROR(FIND("-",LEFT(CH2858,8))),ISNUMBER(-LEFT(CH2858,8))),VALUE(LEFT(CH2858,4)),VALUE(LEFT(CH2858,FIND("-",CH2858)-1)))&lt;100,IF(AND(LEN(CH2858)=9,ISERROR(FIND("-",LEFT(CH2858,8))),ISNUMBER(-LEFT(CH2858,8))),VALUE(LEFT(CH2858,4)),VALUE(LEFT(CH2858,FIND("-",CH2858)-1)))+2000,IF(AND(LEN(CH2858)=9,ISERROR(FIND("-",LEFT(CH2858,8))),ISNUMBER(-LEFT(CH2858,8))),VALUE(LEFT(CH2858,4)),VALUE(LEFT(CH2858,FIND("-",CH2858)-1)))),""))</f>
        <v/>
      </c>
      <c r="CN2858">
        <f>IF(CH2858="","",IFERROR(IF(AND(LEN(CH2858)=9,ISERROR(FIND("-",LEFT(CH2858,8))),ISNUMBER(-LEFT(CH2858,8))),VALUE(MID(CH2858,5,2)),VALUE(MID(CH2858,FIND("-",CH2858)+1,FIND("-",CH2858,FIND("-",CH2858)+1)-FIND("-",CH2858)-1))),""))</f>
        <v/>
      </c>
      <c r="CO2858">
        <f>IF(CH2858="","",IFERROR(IF(AND(LEN(CH2858)=9,ISERROR(FIND("-",LEFT(CH2858,8))),ISNUMBER(-LEFT(CH2858,8))),VALUE(MID(CH2858,7,2)),VALUE(MID(CH2858,FIND("-",CH2858,FIND("-",CH2858)+1)+1,FIND("-",CH2858,FIND("-",CH2858,FIND("-",CH2858)+1)+1)-FIND("-",CH2858,FIND("-",CH2858)+1)-1))),""))</f>
        <v/>
      </c>
    </row>
    <row r="2859">
      <c r="CH2859">
        <f>IF(ISTEXT('월 가계부'!A2859),SUBSTITUTE(SUBSTITUTE(SUBSTITUTE(SUBSTITUTE(SUBSTITUTE(SUBSTITUTE(SUBSTITUTE(SUBSTITUTE(SUBSTITUTE(TRIM('월 가계부'!A2859),"년","-"),"월","-"),"일",""),".","-"),"/","-")," ","-"),"--","-"),"--","-"),"--","-")&amp;"-","")</f>
        <v/>
      </c>
      <c r="CI2859">
        <f>IFERROR(IF('월 가계부'!A2859="","",IF(ISNUMBER('월 가계부'!A2859),IF(AND('월 가계부'!A2859&gt;=19000101,'월 가계부'!A2859&lt;=21001231),IF(AND(MOD(INT('월 가계부'!A2859/100),100)&gt;=1,MOD(INT('월 가계부'!A2859/100),100)&lt;=12,MOD(INT('월 가계부'!A2859),100)&gt;=1,MOD(INT('월 가계부'!A2859),100)&lt;=31),IF(MONTH(DATE(INT('월 가계부'!A2859/10000),MOD(INT('월 가계부'!A2859/100),100),MOD(INT('월 가계부'!A2859),100)))=MOD(INT('월 가계부'!A2859/100),100),DATE(INT('월 가계부'!A2859/10000),MOD(INT('월 가계부'!A2859/100),100),MOD(INT('월 가계부'!A2859),100)),""),""),IF(AND('월 가계부'!A2859&gt;=36526,'월 가계부'!A2859&lt;73051),INT('월 가계부'!A2859),"")),IF(OR(CM2859="",CN2859="",CO2859=""),"",IF(AND(CM2859&gt;=2000,CM2859&lt;=2099,CN2859&gt;=1,CN2859&lt;=12,CO2859&gt;=1,CO2859&lt;=31),IF(MONTH(DATE(CM2859,CN2859,CO2859))=CN2859,DATE(CM2859,CN2859,CO2859),""),"")))),"")</f>
        <v/>
      </c>
      <c r="CJ2859">
        <f>IFERROR(IF('월 가계부'!C2859="","",IF(ISNUMBER('월 가계부'!C2859),'월 가계부'!C2859,VALUE(SUBSTITUTE(SUBSTITUTE(SUBSTITUTE(SUBSTITUTE(TRIM('월 가계부'!C2859),",",""),"원","")," ",""),"−","-")))),"")</f>
        <v/>
      </c>
      <c r="CK2859">
        <f>IF(ISNUMBER(CI2859),IF(CI2859&lt;$B$13,CI2859,""),"")</f>
        <v/>
      </c>
      <c r="CM2859">
        <f>IF(CH2859="","",IFERROR(IF(IF(AND(LEN(CH2859)=9,ISERROR(FIND("-",LEFT(CH2859,8))),ISNUMBER(-LEFT(CH2859,8))),VALUE(LEFT(CH2859,4)),VALUE(LEFT(CH2859,FIND("-",CH2859)-1)))&lt;100,IF(AND(LEN(CH2859)=9,ISERROR(FIND("-",LEFT(CH2859,8))),ISNUMBER(-LEFT(CH2859,8))),VALUE(LEFT(CH2859,4)),VALUE(LEFT(CH2859,FIND("-",CH2859)-1)))+2000,IF(AND(LEN(CH2859)=9,ISERROR(FIND("-",LEFT(CH2859,8))),ISNUMBER(-LEFT(CH2859,8))),VALUE(LEFT(CH2859,4)),VALUE(LEFT(CH2859,FIND("-",CH2859)-1)))),""))</f>
        <v/>
      </c>
      <c r="CN2859">
        <f>IF(CH2859="","",IFERROR(IF(AND(LEN(CH2859)=9,ISERROR(FIND("-",LEFT(CH2859,8))),ISNUMBER(-LEFT(CH2859,8))),VALUE(MID(CH2859,5,2)),VALUE(MID(CH2859,FIND("-",CH2859)+1,FIND("-",CH2859,FIND("-",CH2859)+1)-FIND("-",CH2859)-1))),""))</f>
        <v/>
      </c>
      <c r="CO2859">
        <f>IF(CH2859="","",IFERROR(IF(AND(LEN(CH2859)=9,ISERROR(FIND("-",LEFT(CH2859,8))),ISNUMBER(-LEFT(CH2859,8))),VALUE(MID(CH2859,7,2)),VALUE(MID(CH2859,FIND("-",CH2859,FIND("-",CH2859)+1)+1,FIND("-",CH2859,FIND("-",CH2859,FIND("-",CH2859)+1)+1)-FIND("-",CH2859,FIND("-",CH2859)+1)-1))),""))</f>
        <v/>
      </c>
    </row>
    <row r="2860">
      <c r="CH2860">
        <f>IF(ISTEXT('월 가계부'!A2860),SUBSTITUTE(SUBSTITUTE(SUBSTITUTE(SUBSTITUTE(SUBSTITUTE(SUBSTITUTE(SUBSTITUTE(SUBSTITUTE(SUBSTITUTE(TRIM('월 가계부'!A2860),"년","-"),"월","-"),"일",""),".","-"),"/","-")," ","-"),"--","-"),"--","-"),"--","-")&amp;"-","")</f>
        <v/>
      </c>
      <c r="CI2860">
        <f>IFERROR(IF('월 가계부'!A2860="","",IF(ISNUMBER('월 가계부'!A2860),IF(AND('월 가계부'!A2860&gt;=19000101,'월 가계부'!A2860&lt;=21001231),IF(AND(MOD(INT('월 가계부'!A2860/100),100)&gt;=1,MOD(INT('월 가계부'!A2860/100),100)&lt;=12,MOD(INT('월 가계부'!A2860),100)&gt;=1,MOD(INT('월 가계부'!A2860),100)&lt;=31),IF(MONTH(DATE(INT('월 가계부'!A2860/10000),MOD(INT('월 가계부'!A2860/100),100),MOD(INT('월 가계부'!A2860),100)))=MOD(INT('월 가계부'!A2860/100),100),DATE(INT('월 가계부'!A2860/10000),MOD(INT('월 가계부'!A2860/100),100),MOD(INT('월 가계부'!A2860),100)),""),""),IF(AND('월 가계부'!A2860&gt;=36526,'월 가계부'!A2860&lt;73051),INT('월 가계부'!A2860),"")),IF(OR(CM2860="",CN2860="",CO2860=""),"",IF(AND(CM2860&gt;=2000,CM2860&lt;=2099,CN2860&gt;=1,CN2860&lt;=12,CO2860&gt;=1,CO2860&lt;=31),IF(MONTH(DATE(CM2860,CN2860,CO2860))=CN2860,DATE(CM2860,CN2860,CO2860),""),"")))),"")</f>
        <v/>
      </c>
      <c r="CJ2860">
        <f>IFERROR(IF('월 가계부'!C2860="","",IF(ISNUMBER('월 가계부'!C2860),'월 가계부'!C2860,VALUE(SUBSTITUTE(SUBSTITUTE(SUBSTITUTE(SUBSTITUTE(TRIM('월 가계부'!C2860),",",""),"원","")," ",""),"−","-")))),"")</f>
        <v/>
      </c>
      <c r="CK2860">
        <f>IF(ISNUMBER(CI2860),IF(CI2860&lt;$B$13,CI2860,""),"")</f>
        <v/>
      </c>
      <c r="CM2860">
        <f>IF(CH2860="","",IFERROR(IF(IF(AND(LEN(CH2860)=9,ISERROR(FIND("-",LEFT(CH2860,8))),ISNUMBER(-LEFT(CH2860,8))),VALUE(LEFT(CH2860,4)),VALUE(LEFT(CH2860,FIND("-",CH2860)-1)))&lt;100,IF(AND(LEN(CH2860)=9,ISERROR(FIND("-",LEFT(CH2860,8))),ISNUMBER(-LEFT(CH2860,8))),VALUE(LEFT(CH2860,4)),VALUE(LEFT(CH2860,FIND("-",CH2860)-1)))+2000,IF(AND(LEN(CH2860)=9,ISERROR(FIND("-",LEFT(CH2860,8))),ISNUMBER(-LEFT(CH2860,8))),VALUE(LEFT(CH2860,4)),VALUE(LEFT(CH2860,FIND("-",CH2860)-1)))),""))</f>
        <v/>
      </c>
      <c r="CN2860">
        <f>IF(CH2860="","",IFERROR(IF(AND(LEN(CH2860)=9,ISERROR(FIND("-",LEFT(CH2860,8))),ISNUMBER(-LEFT(CH2860,8))),VALUE(MID(CH2860,5,2)),VALUE(MID(CH2860,FIND("-",CH2860)+1,FIND("-",CH2860,FIND("-",CH2860)+1)-FIND("-",CH2860)-1))),""))</f>
        <v/>
      </c>
      <c r="CO2860">
        <f>IF(CH2860="","",IFERROR(IF(AND(LEN(CH2860)=9,ISERROR(FIND("-",LEFT(CH2860,8))),ISNUMBER(-LEFT(CH2860,8))),VALUE(MID(CH2860,7,2)),VALUE(MID(CH2860,FIND("-",CH2860,FIND("-",CH2860)+1)+1,FIND("-",CH2860,FIND("-",CH2860,FIND("-",CH2860)+1)+1)-FIND("-",CH2860,FIND("-",CH2860)+1)-1))),""))</f>
        <v/>
      </c>
    </row>
    <row r="2861">
      <c r="CH2861">
        <f>IF(ISTEXT('월 가계부'!A2861),SUBSTITUTE(SUBSTITUTE(SUBSTITUTE(SUBSTITUTE(SUBSTITUTE(SUBSTITUTE(SUBSTITUTE(SUBSTITUTE(SUBSTITUTE(TRIM('월 가계부'!A2861),"년","-"),"월","-"),"일",""),".","-"),"/","-")," ","-"),"--","-"),"--","-"),"--","-")&amp;"-","")</f>
        <v/>
      </c>
      <c r="CI2861">
        <f>IFERROR(IF('월 가계부'!A2861="","",IF(ISNUMBER('월 가계부'!A2861),IF(AND('월 가계부'!A2861&gt;=19000101,'월 가계부'!A2861&lt;=21001231),IF(AND(MOD(INT('월 가계부'!A2861/100),100)&gt;=1,MOD(INT('월 가계부'!A2861/100),100)&lt;=12,MOD(INT('월 가계부'!A2861),100)&gt;=1,MOD(INT('월 가계부'!A2861),100)&lt;=31),IF(MONTH(DATE(INT('월 가계부'!A2861/10000),MOD(INT('월 가계부'!A2861/100),100),MOD(INT('월 가계부'!A2861),100)))=MOD(INT('월 가계부'!A2861/100),100),DATE(INT('월 가계부'!A2861/10000),MOD(INT('월 가계부'!A2861/100),100),MOD(INT('월 가계부'!A2861),100)),""),""),IF(AND('월 가계부'!A2861&gt;=36526,'월 가계부'!A2861&lt;73051),INT('월 가계부'!A2861),"")),IF(OR(CM2861="",CN2861="",CO2861=""),"",IF(AND(CM2861&gt;=2000,CM2861&lt;=2099,CN2861&gt;=1,CN2861&lt;=12,CO2861&gt;=1,CO2861&lt;=31),IF(MONTH(DATE(CM2861,CN2861,CO2861))=CN2861,DATE(CM2861,CN2861,CO2861),""),"")))),"")</f>
        <v/>
      </c>
      <c r="CJ2861">
        <f>IFERROR(IF('월 가계부'!C2861="","",IF(ISNUMBER('월 가계부'!C2861),'월 가계부'!C2861,VALUE(SUBSTITUTE(SUBSTITUTE(SUBSTITUTE(SUBSTITUTE(TRIM('월 가계부'!C2861),",",""),"원","")," ",""),"−","-")))),"")</f>
        <v/>
      </c>
      <c r="CK2861">
        <f>IF(ISNUMBER(CI2861),IF(CI2861&lt;$B$13,CI2861,""),"")</f>
        <v/>
      </c>
      <c r="CM2861">
        <f>IF(CH2861="","",IFERROR(IF(IF(AND(LEN(CH2861)=9,ISERROR(FIND("-",LEFT(CH2861,8))),ISNUMBER(-LEFT(CH2861,8))),VALUE(LEFT(CH2861,4)),VALUE(LEFT(CH2861,FIND("-",CH2861)-1)))&lt;100,IF(AND(LEN(CH2861)=9,ISERROR(FIND("-",LEFT(CH2861,8))),ISNUMBER(-LEFT(CH2861,8))),VALUE(LEFT(CH2861,4)),VALUE(LEFT(CH2861,FIND("-",CH2861)-1)))+2000,IF(AND(LEN(CH2861)=9,ISERROR(FIND("-",LEFT(CH2861,8))),ISNUMBER(-LEFT(CH2861,8))),VALUE(LEFT(CH2861,4)),VALUE(LEFT(CH2861,FIND("-",CH2861)-1)))),""))</f>
        <v/>
      </c>
      <c r="CN2861">
        <f>IF(CH2861="","",IFERROR(IF(AND(LEN(CH2861)=9,ISERROR(FIND("-",LEFT(CH2861,8))),ISNUMBER(-LEFT(CH2861,8))),VALUE(MID(CH2861,5,2)),VALUE(MID(CH2861,FIND("-",CH2861)+1,FIND("-",CH2861,FIND("-",CH2861)+1)-FIND("-",CH2861)-1))),""))</f>
        <v/>
      </c>
      <c r="CO2861">
        <f>IF(CH2861="","",IFERROR(IF(AND(LEN(CH2861)=9,ISERROR(FIND("-",LEFT(CH2861,8))),ISNUMBER(-LEFT(CH2861,8))),VALUE(MID(CH2861,7,2)),VALUE(MID(CH2861,FIND("-",CH2861,FIND("-",CH2861)+1)+1,FIND("-",CH2861,FIND("-",CH2861,FIND("-",CH2861)+1)+1)-FIND("-",CH2861,FIND("-",CH2861)+1)-1))),""))</f>
        <v/>
      </c>
    </row>
    <row r="2862">
      <c r="CH2862">
        <f>IF(ISTEXT('월 가계부'!A2862),SUBSTITUTE(SUBSTITUTE(SUBSTITUTE(SUBSTITUTE(SUBSTITUTE(SUBSTITUTE(SUBSTITUTE(SUBSTITUTE(SUBSTITUTE(TRIM('월 가계부'!A2862),"년","-"),"월","-"),"일",""),".","-"),"/","-")," ","-"),"--","-"),"--","-"),"--","-")&amp;"-","")</f>
        <v/>
      </c>
      <c r="CI2862">
        <f>IFERROR(IF('월 가계부'!A2862="","",IF(ISNUMBER('월 가계부'!A2862),IF(AND('월 가계부'!A2862&gt;=19000101,'월 가계부'!A2862&lt;=21001231),IF(AND(MOD(INT('월 가계부'!A2862/100),100)&gt;=1,MOD(INT('월 가계부'!A2862/100),100)&lt;=12,MOD(INT('월 가계부'!A2862),100)&gt;=1,MOD(INT('월 가계부'!A2862),100)&lt;=31),IF(MONTH(DATE(INT('월 가계부'!A2862/10000),MOD(INT('월 가계부'!A2862/100),100),MOD(INT('월 가계부'!A2862),100)))=MOD(INT('월 가계부'!A2862/100),100),DATE(INT('월 가계부'!A2862/10000),MOD(INT('월 가계부'!A2862/100),100),MOD(INT('월 가계부'!A2862),100)),""),""),IF(AND('월 가계부'!A2862&gt;=36526,'월 가계부'!A2862&lt;73051),INT('월 가계부'!A2862),"")),IF(OR(CM2862="",CN2862="",CO2862=""),"",IF(AND(CM2862&gt;=2000,CM2862&lt;=2099,CN2862&gt;=1,CN2862&lt;=12,CO2862&gt;=1,CO2862&lt;=31),IF(MONTH(DATE(CM2862,CN2862,CO2862))=CN2862,DATE(CM2862,CN2862,CO2862),""),"")))),"")</f>
        <v/>
      </c>
      <c r="CJ2862">
        <f>IFERROR(IF('월 가계부'!C2862="","",IF(ISNUMBER('월 가계부'!C2862),'월 가계부'!C2862,VALUE(SUBSTITUTE(SUBSTITUTE(SUBSTITUTE(SUBSTITUTE(TRIM('월 가계부'!C2862),",",""),"원","")," ",""),"−","-")))),"")</f>
        <v/>
      </c>
      <c r="CK2862">
        <f>IF(ISNUMBER(CI2862),IF(CI2862&lt;$B$13,CI2862,""),"")</f>
        <v/>
      </c>
      <c r="CM2862">
        <f>IF(CH2862="","",IFERROR(IF(IF(AND(LEN(CH2862)=9,ISERROR(FIND("-",LEFT(CH2862,8))),ISNUMBER(-LEFT(CH2862,8))),VALUE(LEFT(CH2862,4)),VALUE(LEFT(CH2862,FIND("-",CH2862)-1)))&lt;100,IF(AND(LEN(CH2862)=9,ISERROR(FIND("-",LEFT(CH2862,8))),ISNUMBER(-LEFT(CH2862,8))),VALUE(LEFT(CH2862,4)),VALUE(LEFT(CH2862,FIND("-",CH2862)-1)))+2000,IF(AND(LEN(CH2862)=9,ISERROR(FIND("-",LEFT(CH2862,8))),ISNUMBER(-LEFT(CH2862,8))),VALUE(LEFT(CH2862,4)),VALUE(LEFT(CH2862,FIND("-",CH2862)-1)))),""))</f>
        <v/>
      </c>
      <c r="CN2862">
        <f>IF(CH2862="","",IFERROR(IF(AND(LEN(CH2862)=9,ISERROR(FIND("-",LEFT(CH2862,8))),ISNUMBER(-LEFT(CH2862,8))),VALUE(MID(CH2862,5,2)),VALUE(MID(CH2862,FIND("-",CH2862)+1,FIND("-",CH2862,FIND("-",CH2862)+1)-FIND("-",CH2862)-1))),""))</f>
        <v/>
      </c>
      <c r="CO2862">
        <f>IF(CH2862="","",IFERROR(IF(AND(LEN(CH2862)=9,ISERROR(FIND("-",LEFT(CH2862,8))),ISNUMBER(-LEFT(CH2862,8))),VALUE(MID(CH2862,7,2)),VALUE(MID(CH2862,FIND("-",CH2862,FIND("-",CH2862)+1)+1,FIND("-",CH2862,FIND("-",CH2862,FIND("-",CH2862)+1)+1)-FIND("-",CH2862,FIND("-",CH2862)+1)-1))),""))</f>
        <v/>
      </c>
    </row>
    <row r="2863">
      <c r="CH2863">
        <f>IF(ISTEXT('월 가계부'!A2863),SUBSTITUTE(SUBSTITUTE(SUBSTITUTE(SUBSTITUTE(SUBSTITUTE(SUBSTITUTE(SUBSTITUTE(SUBSTITUTE(SUBSTITUTE(TRIM('월 가계부'!A2863),"년","-"),"월","-"),"일",""),".","-"),"/","-")," ","-"),"--","-"),"--","-"),"--","-")&amp;"-","")</f>
        <v/>
      </c>
      <c r="CI2863">
        <f>IFERROR(IF('월 가계부'!A2863="","",IF(ISNUMBER('월 가계부'!A2863),IF(AND('월 가계부'!A2863&gt;=19000101,'월 가계부'!A2863&lt;=21001231),IF(AND(MOD(INT('월 가계부'!A2863/100),100)&gt;=1,MOD(INT('월 가계부'!A2863/100),100)&lt;=12,MOD(INT('월 가계부'!A2863),100)&gt;=1,MOD(INT('월 가계부'!A2863),100)&lt;=31),IF(MONTH(DATE(INT('월 가계부'!A2863/10000),MOD(INT('월 가계부'!A2863/100),100),MOD(INT('월 가계부'!A2863),100)))=MOD(INT('월 가계부'!A2863/100),100),DATE(INT('월 가계부'!A2863/10000),MOD(INT('월 가계부'!A2863/100),100),MOD(INT('월 가계부'!A2863),100)),""),""),IF(AND('월 가계부'!A2863&gt;=36526,'월 가계부'!A2863&lt;73051),INT('월 가계부'!A2863),"")),IF(OR(CM2863="",CN2863="",CO2863=""),"",IF(AND(CM2863&gt;=2000,CM2863&lt;=2099,CN2863&gt;=1,CN2863&lt;=12,CO2863&gt;=1,CO2863&lt;=31),IF(MONTH(DATE(CM2863,CN2863,CO2863))=CN2863,DATE(CM2863,CN2863,CO2863),""),"")))),"")</f>
        <v/>
      </c>
      <c r="CJ2863">
        <f>IFERROR(IF('월 가계부'!C2863="","",IF(ISNUMBER('월 가계부'!C2863),'월 가계부'!C2863,VALUE(SUBSTITUTE(SUBSTITUTE(SUBSTITUTE(SUBSTITUTE(TRIM('월 가계부'!C2863),",",""),"원","")," ",""),"−","-")))),"")</f>
        <v/>
      </c>
      <c r="CK2863">
        <f>IF(ISNUMBER(CI2863),IF(CI2863&lt;$B$13,CI2863,""),"")</f>
        <v/>
      </c>
      <c r="CM2863">
        <f>IF(CH2863="","",IFERROR(IF(IF(AND(LEN(CH2863)=9,ISERROR(FIND("-",LEFT(CH2863,8))),ISNUMBER(-LEFT(CH2863,8))),VALUE(LEFT(CH2863,4)),VALUE(LEFT(CH2863,FIND("-",CH2863)-1)))&lt;100,IF(AND(LEN(CH2863)=9,ISERROR(FIND("-",LEFT(CH2863,8))),ISNUMBER(-LEFT(CH2863,8))),VALUE(LEFT(CH2863,4)),VALUE(LEFT(CH2863,FIND("-",CH2863)-1)))+2000,IF(AND(LEN(CH2863)=9,ISERROR(FIND("-",LEFT(CH2863,8))),ISNUMBER(-LEFT(CH2863,8))),VALUE(LEFT(CH2863,4)),VALUE(LEFT(CH2863,FIND("-",CH2863)-1)))),""))</f>
        <v/>
      </c>
      <c r="CN2863">
        <f>IF(CH2863="","",IFERROR(IF(AND(LEN(CH2863)=9,ISERROR(FIND("-",LEFT(CH2863,8))),ISNUMBER(-LEFT(CH2863,8))),VALUE(MID(CH2863,5,2)),VALUE(MID(CH2863,FIND("-",CH2863)+1,FIND("-",CH2863,FIND("-",CH2863)+1)-FIND("-",CH2863)-1))),""))</f>
        <v/>
      </c>
      <c r="CO2863">
        <f>IF(CH2863="","",IFERROR(IF(AND(LEN(CH2863)=9,ISERROR(FIND("-",LEFT(CH2863,8))),ISNUMBER(-LEFT(CH2863,8))),VALUE(MID(CH2863,7,2)),VALUE(MID(CH2863,FIND("-",CH2863,FIND("-",CH2863)+1)+1,FIND("-",CH2863,FIND("-",CH2863,FIND("-",CH2863)+1)+1)-FIND("-",CH2863,FIND("-",CH2863)+1)-1))),""))</f>
        <v/>
      </c>
    </row>
    <row r="2864">
      <c r="CH2864">
        <f>IF(ISTEXT('월 가계부'!A2864),SUBSTITUTE(SUBSTITUTE(SUBSTITUTE(SUBSTITUTE(SUBSTITUTE(SUBSTITUTE(SUBSTITUTE(SUBSTITUTE(SUBSTITUTE(TRIM('월 가계부'!A2864),"년","-"),"월","-"),"일",""),".","-"),"/","-")," ","-"),"--","-"),"--","-"),"--","-")&amp;"-","")</f>
        <v/>
      </c>
      <c r="CI2864">
        <f>IFERROR(IF('월 가계부'!A2864="","",IF(ISNUMBER('월 가계부'!A2864),IF(AND('월 가계부'!A2864&gt;=19000101,'월 가계부'!A2864&lt;=21001231),IF(AND(MOD(INT('월 가계부'!A2864/100),100)&gt;=1,MOD(INT('월 가계부'!A2864/100),100)&lt;=12,MOD(INT('월 가계부'!A2864),100)&gt;=1,MOD(INT('월 가계부'!A2864),100)&lt;=31),IF(MONTH(DATE(INT('월 가계부'!A2864/10000),MOD(INT('월 가계부'!A2864/100),100),MOD(INT('월 가계부'!A2864),100)))=MOD(INT('월 가계부'!A2864/100),100),DATE(INT('월 가계부'!A2864/10000),MOD(INT('월 가계부'!A2864/100),100),MOD(INT('월 가계부'!A2864),100)),""),""),IF(AND('월 가계부'!A2864&gt;=36526,'월 가계부'!A2864&lt;73051),INT('월 가계부'!A2864),"")),IF(OR(CM2864="",CN2864="",CO2864=""),"",IF(AND(CM2864&gt;=2000,CM2864&lt;=2099,CN2864&gt;=1,CN2864&lt;=12,CO2864&gt;=1,CO2864&lt;=31),IF(MONTH(DATE(CM2864,CN2864,CO2864))=CN2864,DATE(CM2864,CN2864,CO2864),""),"")))),"")</f>
        <v/>
      </c>
      <c r="CJ2864">
        <f>IFERROR(IF('월 가계부'!C2864="","",IF(ISNUMBER('월 가계부'!C2864),'월 가계부'!C2864,VALUE(SUBSTITUTE(SUBSTITUTE(SUBSTITUTE(SUBSTITUTE(TRIM('월 가계부'!C2864),",",""),"원","")," ",""),"−","-")))),"")</f>
        <v/>
      </c>
      <c r="CK2864">
        <f>IF(ISNUMBER(CI2864),IF(CI2864&lt;$B$13,CI2864,""),"")</f>
        <v/>
      </c>
      <c r="CM2864">
        <f>IF(CH2864="","",IFERROR(IF(IF(AND(LEN(CH2864)=9,ISERROR(FIND("-",LEFT(CH2864,8))),ISNUMBER(-LEFT(CH2864,8))),VALUE(LEFT(CH2864,4)),VALUE(LEFT(CH2864,FIND("-",CH2864)-1)))&lt;100,IF(AND(LEN(CH2864)=9,ISERROR(FIND("-",LEFT(CH2864,8))),ISNUMBER(-LEFT(CH2864,8))),VALUE(LEFT(CH2864,4)),VALUE(LEFT(CH2864,FIND("-",CH2864)-1)))+2000,IF(AND(LEN(CH2864)=9,ISERROR(FIND("-",LEFT(CH2864,8))),ISNUMBER(-LEFT(CH2864,8))),VALUE(LEFT(CH2864,4)),VALUE(LEFT(CH2864,FIND("-",CH2864)-1)))),""))</f>
        <v/>
      </c>
      <c r="CN2864">
        <f>IF(CH2864="","",IFERROR(IF(AND(LEN(CH2864)=9,ISERROR(FIND("-",LEFT(CH2864,8))),ISNUMBER(-LEFT(CH2864,8))),VALUE(MID(CH2864,5,2)),VALUE(MID(CH2864,FIND("-",CH2864)+1,FIND("-",CH2864,FIND("-",CH2864)+1)-FIND("-",CH2864)-1))),""))</f>
        <v/>
      </c>
      <c r="CO2864">
        <f>IF(CH2864="","",IFERROR(IF(AND(LEN(CH2864)=9,ISERROR(FIND("-",LEFT(CH2864,8))),ISNUMBER(-LEFT(CH2864,8))),VALUE(MID(CH2864,7,2)),VALUE(MID(CH2864,FIND("-",CH2864,FIND("-",CH2864)+1)+1,FIND("-",CH2864,FIND("-",CH2864,FIND("-",CH2864)+1)+1)-FIND("-",CH2864,FIND("-",CH2864)+1)-1))),""))</f>
        <v/>
      </c>
    </row>
    <row r="2865">
      <c r="CH2865">
        <f>IF(ISTEXT('월 가계부'!A2865),SUBSTITUTE(SUBSTITUTE(SUBSTITUTE(SUBSTITUTE(SUBSTITUTE(SUBSTITUTE(SUBSTITUTE(SUBSTITUTE(SUBSTITUTE(TRIM('월 가계부'!A2865),"년","-"),"월","-"),"일",""),".","-"),"/","-")," ","-"),"--","-"),"--","-"),"--","-")&amp;"-","")</f>
        <v/>
      </c>
      <c r="CI2865">
        <f>IFERROR(IF('월 가계부'!A2865="","",IF(ISNUMBER('월 가계부'!A2865),IF(AND('월 가계부'!A2865&gt;=19000101,'월 가계부'!A2865&lt;=21001231),IF(AND(MOD(INT('월 가계부'!A2865/100),100)&gt;=1,MOD(INT('월 가계부'!A2865/100),100)&lt;=12,MOD(INT('월 가계부'!A2865),100)&gt;=1,MOD(INT('월 가계부'!A2865),100)&lt;=31),IF(MONTH(DATE(INT('월 가계부'!A2865/10000),MOD(INT('월 가계부'!A2865/100),100),MOD(INT('월 가계부'!A2865),100)))=MOD(INT('월 가계부'!A2865/100),100),DATE(INT('월 가계부'!A2865/10000),MOD(INT('월 가계부'!A2865/100),100),MOD(INT('월 가계부'!A2865),100)),""),""),IF(AND('월 가계부'!A2865&gt;=36526,'월 가계부'!A2865&lt;73051),INT('월 가계부'!A2865),"")),IF(OR(CM2865="",CN2865="",CO2865=""),"",IF(AND(CM2865&gt;=2000,CM2865&lt;=2099,CN2865&gt;=1,CN2865&lt;=12,CO2865&gt;=1,CO2865&lt;=31),IF(MONTH(DATE(CM2865,CN2865,CO2865))=CN2865,DATE(CM2865,CN2865,CO2865),""),"")))),"")</f>
        <v/>
      </c>
      <c r="CJ2865">
        <f>IFERROR(IF('월 가계부'!C2865="","",IF(ISNUMBER('월 가계부'!C2865),'월 가계부'!C2865,VALUE(SUBSTITUTE(SUBSTITUTE(SUBSTITUTE(SUBSTITUTE(TRIM('월 가계부'!C2865),",",""),"원","")," ",""),"−","-")))),"")</f>
        <v/>
      </c>
      <c r="CK2865">
        <f>IF(ISNUMBER(CI2865),IF(CI2865&lt;$B$13,CI2865,""),"")</f>
        <v/>
      </c>
      <c r="CM2865">
        <f>IF(CH2865="","",IFERROR(IF(IF(AND(LEN(CH2865)=9,ISERROR(FIND("-",LEFT(CH2865,8))),ISNUMBER(-LEFT(CH2865,8))),VALUE(LEFT(CH2865,4)),VALUE(LEFT(CH2865,FIND("-",CH2865)-1)))&lt;100,IF(AND(LEN(CH2865)=9,ISERROR(FIND("-",LEFT(CH2865,8))),ISNUMBER(-LEFT(CH2865,8))),VALUE(LEFT(CH2865,4)),VALUE(LEFT(CH2865,FIND("-",CH2865)-1)))+2000,IF(AND(LEN(CH2865)=9,ISERROR(FIND("-",LEFT(CH2865,8))),ISNUMBER(-LEFT(CH2865,8))),VALUE(LEFT(CH2865,4)),VALUE(LEFT(CH2865,FIND("-",CH2865)-1)))),""))</f>
        <v/>
      </c>
      <c r="CN2865">
        <f>IF(CH2865="","",IFERROR(IF(AND(LEN(CH2865)=9,ISERROR(FIND("-",LEFT(CH2865,8))),ISNUMBER(-LEFT(CH2865,8))),VALUE(MID(CH2865,5,2)),VALUE(MID(CH2865,FIND("-",CH2865)+1,FIND("-",CH2865,FIND("-",CH2865)+1)-FIND("-",CH2865)-1))),""))</f>
        <v/>
      </c>
      <c r="CO2865">
        <f>IF(CH2865="","",IFERROR(IF(AND(LEN(CH2865)=9,ISERROR(FIND("-",LEFT(CH2865,8))),ISNUMBER(-LEFT(CH2865,8))),VALUE(MID(CH2865,7,2)),VALUE(MID(CH2865,FIND("-",CH2865,FIND("-",CH2865)+1)+1,FIND("-",CH2865,FIND("-",CH2865,FIND("-",CH2865)+1)+1)-FIND("-",CH2865,FIND("-",CH2865)+1)-1))),""))</f>
        <v/>
      </c>
    </row>
    <row r="2866">
      <c r="CH2866">
        <f>IF(ISTEXT('월 가계부'!A2866),SUBSTITUTE(SUBSTITUTE(SUBSTITUTE(SUBSTITUTE(SUBSTITUTE(SUBSTITUTE(SUBSTITUTE(SUBSTITUTE(SUBSTITUTE(TRIM('월 가계부'!A2866),"년","-"),"월","-"),"일",""),".","-"),"/","-")," ","-"),"--","-"),"--","-"),"--","-")&amp;"-","")</f>
        <v/>
      </c>
      <c r="CI2866">
        <f>IFERROR(IF('월 가계부'!A2866="","",IF(ISNUMBER('월 가계부'!A2866),IF(AND('월 가계부'!A2866&gt;=19000101,'월 가계부'!A2866&lt;=21001231),IF(AND(MOD(INT('월 가계부'!A2866/100),100)&gt;=1,MOD(INT('월 가계부'!A2866/100),100)&lt;=12,MOD(INT('월 가계부'!A2866),100)&gt;=1,MOD(INT('월 가계부'!A2866),100)&lt;=31),IF(MONTH(DATE(INT('월 가계부'!A2866/10000),MOD(INT('월 가계부'!A2866/100),100),MOD(INT('월 가계부'!A2866),100)))=MOD(INT('월 가계부'!A2866/100),100),DATE(INT('월 가계부'!A2866/10000),MOD(INT('월 가계부'!A2866/100),100),MOD(INT('월 가계부'!A2866),100)),""),""),IF(AND('월 가계부'!A2866&gt;=36526,'월 가계부'!A2866&lt;73051),INT('월 가계부'!A2866),"")),IF(OR(CM2866="",CN2866="",CO2866=""),"",IF(AND(CM2866&gt;=2000,CM2866&lt;=2099,CN2866&gt;=1,CN2866&lt;=12,CO2866&gt;=1,CO2866&lt;=31),IF(MONTH(DATE(CM2866,CN2866,CO2866))=CN2866,DATE(CM2866,CN2866,CO2866),""),"")))),"")</f>
        <v/>
      </c>
      <c r="CJ2866">
        <f>IFERROR(IF('월 가계부'!C2866="","",IF(ISNUMBER('월 가계부'!C2866),'월 가계부'!C2866,VALUE(SUBSTITUTE(SUBSTITUTE(SUBSTITUTE(SUBSTITUTE(TRIM('월 가계부'!C2866),",",""),"원","")," ",""),"−","-")))),"")</f>
        <v/>
      </c>
      <c r="CK2866">
        <f>IF(ISNUMBER(CI2866),IF(CI2866&lt;$B$13,CI2866,""),"")</f>
        <v/>
      </c>
      <c r="CM2866">
        <f>IF(CH2866="","",IFERROR(IF(IF(AND(LEN(CH2866)=9,ISERROR(FIND("-",LEFT(CH2866,8))),ISNUMBER(-LEFT(CH2866,8))),VALUE(LEFT(CH2866,4)),VALUE(LEFT(CH2866,FIND("-",CH2866)-1)))&lt;100,IF(AND(LEN(CH2866)=9,ISERROR(FIND("-",LEFT(CH2866,8))),ISNUMBER(-LEFT(CH2866,8))),VALUE(LEFT(CH2866,4)),VALUE(LEFT(CH2866,FIND("-",CH2866)-1)))+2000,IF(AND(LEN(CH2866)=9,ISERROR(FIND("-",LEFT(CH2866,8))),ISNUMBER(-LEFT(CH2866,8))),VALUE(LEFT(CH2866,4)),VALUE(LEFT(CH2866,FIND("-",CH2866)-1)))),""))</f>
        <v/>
      </c>
      <c r="CN2866">
        <f>IF(CH2866="","",IFERROR(IF(AND(LEN(CH2866)=9,ISERROR(FIND("-",LEFT(CH2866,8))),ISNUMBER(-LEFT(CH2866,8))),VALUE(MID(CH2866,5,2)),VALUE(MID(CH2866,FIND("-",CH2866)+1,FIND("-",CH2866,FIND("-",CH2866)+1)-FIND("-",CH2866)-1))),""))</f>
        <v/>
      </c>
      <c r="CO2866">
        <f>IF(CH2866="","",IFERROR(IF(AND(LEN(CH2866)=9,ISERROR(FIND("-",LEFT(CH2866,8))),ISNUMBER(-LEFT(CH2866,8))),VALUE(MID(CH2866,7,2)),VALUE(MID(CH2866,FIND("-",CH2866,FIND("-",CH2866)+1)+1,FIND("-",CH2866,FIND("-",CH2866,FIND("-",CH2866)+1)+1)-FIND("-",CH2866,FIND("-",CH2866)+1)-1))),""))</f>
        <v/>
      </c>
    </row>
    <row r="2867">
      <c r="CH2867">
        <f>IF(ISTEXT('월 가계부'!A2867),SUBSTITUTE(SUBSTITUTE(SUBSTITUTE(SUBSTITUTE(SUBSTITUTE(SUBSTITUTE(SUBSTITUTE(SUBSTITUTE(SUBSTITUTE(TRIM('월 가계부'!A2867),"년","-"),"월","-"),"일",""),".","-"),"/","-")," ","-"),"--","-"),"--","-"),"--","-")&amp;"-","")</f>
        <v/>
      </c>
      <c r="CI2867">
        <f>IFERROR(IF('월 가계부'!A2867="","",IF(ISNUMBER('월 가계부'!A2867),IF(AND('월 가계부'!A2867&gt;=19000101,'월 가계부'!A2867&lt;=21001231),IF(AND(MOD(INT('월 가계부'!A2867/100),100)&gt;=1,MOD(INT('월 가계부'!A2867/100),100)&lt;=12,MOD(INT('월 가계부'!A2867),100)&gt;=1,MOD(INT('월 가계부'!A2867),100)&lt;=31),IF(MONTH(DATE(INT('월 가계부'!A2867/10000),MOD(INT('월 가계부'!A2867/100),100),MOD(INT('월 가계부'!A2867),100)))=MOD(INT('월 가계부'!A2867/100),100),DATE(INT('월 가계부'!A2867/10000),MOD(INT('월 가계부'!A2867/100),100),MOD(INT('월 가계부'!A2867),100)),""),""),IF(AND('월 가계부'!A2867&gt;=36526,'월 가계부'!A2867&lt;73051),INT('월 가계부'!A2867),"")),IF(OR(CM2867="",CN2867="",CO2867=""),"",IF(AND(CM2867&gt;=2000,CM2867&lt;=2099,CN2867&gt;=1,CN2867&lt;=12,CO2867&gt;=1,CO2867&lt;=31),IF(MONTH(DATE(CM2867,CN2867,CO2867))=CN2867,DATE(CM2867,CN2867,CO2867),""),"")))),"")</f>
        <v/>
      </c>
      <c r="CJ2867">
        <f>IFERROR(IF('월 가계부'!C2867="","",IF(ISNUMBER('월 가계부'!C2867),'월 가계부'!C2867,VALUE(SUBSTITUTE(SUBSTITUTE(SUBSTITUTE(SUBSTITUTE(TRIM('월 가계부'!C2867),",",""),"원","")," ",""),"−","-")))),"")</f>
        <v/>
      </c>
      <c r="CK2867">
        <f>IF(ISNUMBER(CI2867),IF(CI2867&lt;$B$13,CI2867,""),"")</f>
        <v/>
      </c>
      <c r="CM2867">
        <f>IF(CH2867="","",IFERROR(IF(IF(AND(LEN(CH2867)=9,ISERROR(FIND("-",LEFT(CH2867,8))),ISNUMBER(-LEFT(CH2867,8))),VALUE(LEFT(CH2867,4)),VALUE(LEFT(CH2867,FIND("-",CH2867)-1)))&lt;100,IF(AND(LEN(CH2867)=9,ISERROR(FIND("-",LEFT(CH2867,8))),ISNUMBER(-LEFT(CH2867,8))),VALUE(LEFT(CH2867,4)),VALUE(LEFT(CH2867,FIND("-",CH2867)-1)))+2000,IF(AND(LEN(CH2867)=9,ISERROR(FIND("-",LEFT(CH2867,8))),ISNUMBER(-LEFT(CH2867,8))),VALUE(LEFT(CH2867,4)),VALUE(LEFT(CH2867,FIND("-",CH2867)-1)))),""))</f>
        <v/>
      </c>
      <c r="CN2867">
        <f>IF(CH2867="","",IFERROR(IF(AND(LEN(CH2867)=9,ISERROR(FIND("-",LEFT(CH2867,8))),ISNUMBER(-LEFT(CH2867,8))),VALUE(MID(CH2867,5,2)),VALUE(MID(CH2867,FIND("-",CH2867)+1,FIND("-",CH2867,FIND("-",CH2867)+1)-FIND("-",CH2867)-1))),""))</f>
        <v/>
      </c>
      <c r="CO2867">
        <f>IF(CH2867="","",IFERROR(IF(AND(LEN(CH2867)=9,ISERROR(FIND("-",LEFT(CH2867,8))),ISNUMBER(-LEFT(CH2867,8))),VALUE(MID(CH2867,7,2)),VALUE(MID(CH2867,FIND("-",CH2867,FIND("-",CH2867)+1)+1,FIND("-",CH2867,FIND("-",CH2867,FIND("-",CH2867)+1)+1)-FIND("-",CH2867,FIND("-",CH2867)+1)-1))),""))</f>
        <v/>
      </c>
    </row>
    <row r="2868">
      <c r="CH2868">
        <f>IF(ISTEXT('월 가계부'!A2868),SUBSTITUTE(SUBSTITUTE(SUBSTITUTE(SUBSTITUTE(SUBSTITUTE(SUBSTITUTE(SUBSTITUTE(SUBSTITUTE(SUBSTITUTE(TRIM('월 가계부'!A2868),"년","-"),"월","-"),"일",""),".","-"),"/","-")," ","-"),"--","-"),"--","-"),"--","-")&amp;"-","")</f>
        <v/>
      </c>
      <c r="CI2868">
        <f>IFERROR(IF('월 가계부'!A2868="","",IF(ISNUMBER('월 가계부'!A2868),IF(AND('월 가계부'!A2868&gt;=19000101,'월 가계부'!A2868&lt;=21001231),IF(AND(MOD(INT('월 가계부'!A2868/100),100)&gt;=1,MOD(INT('월 가계부'!A2868/100),100)&lt;=12,MOD(INT('월 가계부'!A2868),100)&gt;=1,MOD(INT('월 가계부'!A2868),100)&lt;=31),IF(MONTH(DATE(INT('월 가계부'!A2868/10000),MOD(INT('월 가계부'!A2868/100),100),MOD(INT('월 가계부'!A2868),100)))=MOD(INT('월 가계부'!A2868/100),100),DATE(INT('월 가계부'!A2868/10000),MOD(INT('월 가계부'!A2868/100),100),MOD(INT('월 가계부'!A2868),100)),""),""),IF(AND('월 가계부'!A2868&gt;=36526,'월 가계부'!A2868&lt;73051),INT('월 가계부'!A2868),"")),IF(OR(CM2868="",CN2868="",CO2868=""),"",IF(AND(CM2868&gt;=2000,CM2868&lt;=2099,CN2868&gt;=1,CN2868&lt;=12,CO2868&gt;=1,CO2868&lt;=31),IF(MONTH(DATE(CM2868,CN2868,CO2868))=CN2868,DATE(CM2868,CN2868,CO2868),""),"")))),"")</f>
        <v/>
      </c>
      <c r="CJ2868">
        <f>IFERROR(IF('월 가계부'!C2868="","",IF(ISNUMBER('월 가계부'!C2868),'월 가계부'!C2868,VALUE(SUBSTITUTE(SUBSTITUTE(SUBSTITUTE(SUBSTITUTE(TRIM('월 가계부'!C2868),",",""),"원","")," ",""),"−","-")))),"")</f>
        <v/>
      </c>
      <c r="CK2868">
        <f>IF(ISNUMBER(CI2868),IF(CI2868&lt;$B$13,CI2868,""),"")</f>
        <v/>
      </c>
      <c r="CM2868">
        <f>IF(CH2868="","",IFERROR(IF(IF(AND(LEN(CH2868)=9,ISERROR(FIND("-",LEFT(CH2868,8))),ISNUMBER(-LEFT(CH2868,8))),VALUE(LEFT(CH2868,4)),VALUE(LEFT(CH2868,FIND("-",CH2868)-1)))&lt;100,IF(AND(LEN(CH2868)=9,ISERROR(FIND("-",LEFT(CH2868,8))),ISNUMBER(-LEFT(CH2868,8))),VALUE(LEFT(CH2868,4)),VALUE(LEFT(CH2868,FIND("-",CH2868)-1)))+2000,IF(AND(LEN(CH2868)=9,ISERROR(FIND("-",LEFT(CH2868,8))),ISNUMBER(-LEFT(CH2868,8))),VALUE(LEFT(CH2868,4)),VALUE(LEFT(CH2868,FIND("-",CH2868)-1)))),""))</f>
        <v/>
      </c>
      <c r="CN2868">
        <f>IF(CH2868="","",IFERROR(IF(AND(LEN(CH2868)=9,ISERROR(FIND("-",LEFT(CH2868,8))),ISNUMBER(-LEFT(CH2868,8))),VALUE(MID(CH2868,5,2)),VALUE(MID(CH2868,FIND("-",CH2868)+1,FIND("-",CH2868,FIND("-",CH2868)+1)-FIND("-",CH2868)-1))),""))</f>
        <v/>
      </c>
      <c r="CO2868">
        <f>IF(CH2868="","",IFERROR(IF(AND(LEN(CH2868)=9,ISERROR(FIND("-",LEFT(CH2868,8))),ISNUMBER(-LEFT(CH2868,8))),VALUE(MID(CH2868,7,2)),VALUE(MID(CH2868,FIND("-",CH2868,FIND("-",CH2868)+1)+1,FIND("-",CH2868,FIND("-",CH2868,FIND("-",CH2868)+1)+1)-FIND("-",CH2868,FIND("-",CH2868)+1)-1))),""))</f>
        <v/>
      </c>
    </row>
    <row r="2869">
      <c r="CH2869">
        <f>IF(ISTEXT('월 가계부'!A2869),SUBSTITUTE(SUBSTITUTE(SUBSTITUTE(SUBSTITUTE(SUBSTITUTE(SUBSTITUTE(SUBSTITUTE(SUBSTITUTE(SUBSTITUTE(TRIM('월 가계부'!A2869),"년","-"),"월","-"),"일",""),".","-"),"/","-")," ","-"),"--","-"),"--","-"),"--","-")&amp;"-","")</f>
        <v/>
      </c>
      <c r="CI2869">
        <f>IFERROR(IF('월 가계부'!A2869="","",IF(ISNUMBER('월 가계부'!A2869),IF(AND('월 가계부'!A2869&gt;=19000101,'월 가계부'!A2869&lt;=21001231),IF(AND(MOD(INT('월 가계부'!A2869/100),100)&gt;=1,MOD(INT('월 가계부'!A2869/100),100)&lt;=12,MOD(INT('월 가계부'!A2869),100)&gt;=1,MOD(INT('월 가계부'!A2869),100)&lt;=31),IF(MONTH(DATE(INT('월 가계부'!A2869/10000),MOD(INT('월 가계부'!A2869/100),100),MOD(INT('월 가계부'!A2869),100)))=MOD(INT('월 가계부'!A2869/100),100),DATE(INT('월 가계부'!A2869/10000),MOD(INT('월 가계부'!A2869/100),100),MOD(INT('월 가계부'!A2869),100)),""),""),IF(AND('월 가계부'!A2869&gt;=36526,'월 가계부'!A2869&lt;73051),INT('월 가계부'!A2869),"")),IF(OR(CM2869="",CN2869="",CO2869=""),"",IF(AND(CM2869&gt;=2000,CM2869&lt;=2099,CN2869&gt;=1,CN2869&lt;=12,CO2869&gt;=1,CO2869&lt;=31),IF(MONTH(DATE(CM2869,CN2869,CO2869))=CN2869,DATE(CM2869,CN2869,CO2869),""),"")))),"")</f>
        <v/>
      </c>
      <c r="CJ2869">
        <f>IFERROR(IF('월 가계부'!C2869="","",IF(ISNUMBER('월 가계부'!C2869),'월 가계부'!C2869,VALUE(SUBSTITUTE(SUBSTITUTE(SUBSTITUTE(SUBSTITUTE(TRIM('월 가계부'!C2869),",",""),"원","")," ",""),"−","-")))),"")</f>
        <v/>
      </c>
      <c r="CK2869">
        <f>IF(ISNUMBER(CI2869),IF(CI2869&lt;$B$13,CI2869,""),"")</f>
        <v/>
      </c>
      <c r="CM2869">
        <f>IF(CH2869="","",IFERROR(IF(IF(AND(LEN(CH2869)=9,ISERROR(FIND("-",LEFT(CH2869,8))),ISNUMBER(-LEFT(CH2869,8))),VALUE(LEFT(CH2869,4)),VALUE(LEFT(CH2869,FIND("-",CH2869)-1)))&lt;100,IF(AND(LEN(CH2869)=9,ISERROR(FIND("-",LEFT(CH2869,8))),ISNUMBER(-LEFT(CH2869,8))),VALUE(LEFT(CH2869,4)),VALUE(LEFT(CH2869,FIND("-",CH2869)-1)))+2000,IF(AND(LEN(CH2869)=9,ISERROR(FIND("-",LEFT(CH2869,8))),ISNUMBER(-LEFT(CH2869,8))),VALUE(LEFT(CH2869,4)),VALUE(LEFT(CH2869,FIND("-",CH2869)-1)))),""))</f>
        <v/>
      </c>
      <c r="CN2869">
        <f>IF(CH2869="","",IFERROR(IF(AND(LEN(CH2869)=9,ISERROR(FIND("-",LEFT(CH2869,8))),ISNUMBER(-LEFT(CH2869,8))),VALUE(MID(CH2869,5,2)),VALUE(MID(CH2869,FIND("-",CH2869)+1,FIND("-",CH2869,FIND("-",CH2869)+1)-FIND("-",CH2869)-1))),""))</f>
        <v/>
      </c>
      <c r="CO2869">
        <f>IF(CH2869="","",IFERROR(IF(AND(LEN(CH2869)=9,ISERROR(FIND("-",LEFT(CH2869,8))),ISNUMBER(-LEFT(CH2869,8))),VALUE(MID(CH2869,7,2)),VALUE(MID(CH2869,FIND("-",CH2869,FIND("-",CH2869)+1)+1,FIND("-",CH2869,FIND("-",CH2869,FIND("-",CH2869)+1)+1)-FIND("-",CH2869,FIND("-",CH2869)+1)-1))),""))</f>
        <v/>
      </c>
    </row>
    <row r="2870">
      <c r="CH2870">
        <f>IF(ISTEXT('월 가계부'!A2870),SUBSTITUTE(SUBSTITUTE(SUBSTITUTE(SUBSTITUTE(SUBSTITUTE(SUBSTITUTE(SUBSTITUTE(SUBSTITUTE(SUBSTITUTE(TRIM('월 가계부'!A2870),"년","-"),"월","-"),"일",""),".","-"),"/","-")," ","-"),"--","-"),"--","-"),"--","-")&amp;"-","")</f>
        <v/>
      </c>
      <c r="CI2870">
        <f>IFERROR(IF('월 가계부'!A2870="","",IF(ISNUMBER('월 가계부'!A2870),IF(AND('월 가계부'!A2870&gt;=19000101,'월 가계부'!A2870&lt;=21001231),IF(AND(MOD(INT('월 가계부'!A2870/100),100)&gt;=1,MOD(INT('월 가계부'!A2870/100),100)&lt;=12,MOD(INT('월 가계부'!A2870),100)&gt;=1,MOD(INT('월 가계부'!A2870),100)&lt;=31),IF(MONTH(DATE(INT('월 가계부'!A2870/10000),MOD(INT('월 가계부'!A2870/100),100),MOD(INT('월 가계부'!A2870),100)))=MOD(INT('월 가계부'!A2870/100),100),DATE(INT('월 가계부'!A2870/10000),MOD(INT('월 가계부'!A2870/100),100),MOD(INT('월 가계부'!A2870),100)),""),""),IF(AND('월 가계부'!A2870&gt;=36526,'월 가계부'!A2870&lt;73051),INT('월 가계부'!A2870),"")),IF(OR(CM2870="",CN2870="",CO2870=""),"",IF(AND(CM2870&gt;=2000,CM2870&lt;=2099,CN2870&gt;=1,CN2870&lt;=12,CO2870&gt;=1,CO2870&lt;=31),IF(MONTH(DATE(CM2870,CN2870,CO2870))=CN2870,DATE(CM2870,CN2870,CO2870),""),"")))),"")</f>
        <v/>
      </c>
      <c r="CJ2870">
        <f>IFERROR(IF('월 가계부'!C2870="","",IF(ISNUMBER('월 가계부'!C2870),'월 가계부'!C2870,VALUE(SUBSTITUTE(SUBSTITUTE(SUBSTITUTE(SUBSTITUTE(TRIM('월 가계부'!C2870),",",""),"원","")," ",""),"−","-")))),"")</f>
        <v/>
      </c>
      <c r="CK2870">
        <f>IF(ISNUMBER(CI2870),IF(CI2870&lt;$B$13,CI2870,""),"")</f>
        <v/>
      </c>
      <c r="CM2870">
        <f>IF(CH2870="","",IFERROR(IF(IF(AND(LEN(CH2870)=9,ISERROR(FIND("-",LEFT(CH2870,8))),ISNUMBER(-LEFT(CH2870,8))),VALUE(LEFT(CH2870,4)),VALUE(LEFT(CH2870,FIND("-",CH2870)-1)))&lt;100,IF(AND(LEN(CH2870)=9,ISERROR(FIND("-",LEFT(CH2870,8))),ISNUMBER(-LEFT(CH2870,8))),VALUE(LEFT(CH2870,4)),VALUE(LEFT(CH2870,FIND("-",CH2870)-1)))+2000,IF(AND(LEN(CH2870)=9,ISERROR(FIND("-",LEFT(CH2870,8))),ISNUMBER(-LEFT(CH2870,8))),VALUE(LEFT(CH2870,4)),VALUE(LEFT(CH2870,FIND("-",CH2870)-1)))),""))</f>
        <v/>
      </c>
      <c r="CN2870">
        <f>IF(CH2870="","",IFERROR(IF(AND(LEN(CH2870)=9,ISERROR(FIND("-",LEFT(CH2870,8))),ISNUMBER(-LEFT(CH2870,8))),VALUE(MID(CH2870,5,2)),VALUE(MID(CH2870,FIND("-",CH2870)+1,FIND("-",CH2870,FIND("-",CH2870)+1)-FIND("-",CH2870)-1))),""))</f>
        <v/>
      </c>
      <c r="CO2870">
        <f>IF(CH2870="","",IFERROR(IF(AND(LEN(CH2870)=9,ISERROR(FIND("-",LEFT(CH2870,8))),ISNUMBER(-LEFT(CH2870,8))),VALUE(MID(CH2870,7,2)),VALUE(MID(CH2870,FIND("-",CH2870,FIND("-",CH2870)+1)+1,FIND("-",CH2870,FIND("-",CH2870,FIND("-",CH2870)+1)+1)-FIND("-",CH2870,FIND("-",CH2870)+1)-1))),""))</f>
        <v/>
      </c>
    </row>
    <row r="2871">
      <c r="CH2871">
        <f>IF(ISTEXT('월 가계부'!A2871),SUBSTITUTE(SUBSTITUTE(SUBSTITUTE(SUBSTITUTE(SUBSTITUTE(SUBSTITUTE(SUBSTITUTE(SUBSTITUTE(SUBSTITUTE(TRIM('월 가계부'!A2871),"년","-"),"월","-"),"일",""),".","-"),"/","-")," ","-"),"--","-"),"--","-"),"--","-")&amp;"-","")</f>
        <v/>
      </c>
      <c r="CI2871">
        <f>IFERROR(IF('월 가계부'!A2871="","",IF(ISNUMBER('월 가계부'!A2871),IF(AND('월 가계부'!A2871&gt;=19000101,'월 가계부'!A2871&lt;=21001231),IF(AND(MOD(INT('월 가계부'!A2871/100),100)&gt;=1,MOD(INT('월 가계부'!A2871/100),100)&lt;=12,MOD(INT('월 가계부'!A2871),100)&gt;=1,MOD(INT('월 가계부'!A2871),100)&lt;=31),IF(MONTH(DATE(INT('월 가계부'!A2871/10000),MOD(INT('월 가계부'!A2871/100),100),MOD(INT('월 가계부'!A2871),100)))=MOD(INT('월 가계부'!A2871/100),100),DATE(INT('월 가계부'!A2871/10000),MOD(INT('월 가계부'!A2871/100),100),MOD(INT('월 가계부'!A2871),100)),""),""),IF(AND('월 가계부'!A2871&gt;=36526,'월 가계부'!A2871&lt;73051),INT('월 가계부'!A2871),"")),IF(OR(CM2871="",CN2871="",CO2871=""),"",IF(AND(CM2871&gt;=2000,CM2871&lt;=2099,CN2871&gt;=1,CN2871&lt;=12,CO2871&gt;=1,CO2871&lt;=31),IF(MONTH(DATE(CM2871,CN2871,CO2871))=CN2871,DATE(CM2871,CN2871,CO2871),""),"")))),"")</f>
        <v/>
      </c>
      <c r="CJ2871">
        <f>IFERROR(IF('월 가계부'!C2871="","",IF(ISNUMBER('월 가계부'!C2871),'월 가계부'!C2871,VALUE(SUBSTITUTE(SUBSTITUTE(SUBSTITUTE(SUBSTITUTE(TRIM('월 가계부'!C2871),",",""),"원","")," ",""),"−","-")))),"")</f>
        <v/>
      </c>
      <c r="CK2871">
        <f>IF(ISNUMBER(CI2871),IF(CI2871&lt;$B$13,CI2871,""),"")</f>
        <v/>
      </c>
      <c r="CM2871">
        <f>IF(CH2871="","",IFERROR(IF(IF(AND(LEN(CH2871)=9,ISERROR(FIND("-",LEFT(CH2871,8))),ISNUMBER(-LEFT(CH2871,8))),VALUE(LEFT(CH2871,4)),VALUE(LEFT(CH2871,FIND("-",CH2871)-1)))&lt;100,IF(AND(LEN(CH2871)=9,ISERROR(FIND("-",LEFT(CH2871,8))),ISNUMBER(-LEFT(CH2871,8))),VALUE(LEFT(CH2871,4)),VALUE(LEFT(CH2871,FIND("-",CH2871)-1)))+2000,IF(AND(LEN(CH2871)=9,ISERROR(FIND("-",LEFT(CH2871,8))),ISNUMBER(-LEFT(CH2871,8))),VALUE(LEFT(CH2871,4)),VALUE(LEFT(CH2871,FIND("-",CH2871)-1)))),""))</f>
        <v/>
      </c>
      <c r="CN2871">
        <f>IF(CH2871="","",IFERROR(IF(AND(LEN(CH2871)=9,ISERROR(FIND("-",LEFT(CH2871,8))),ISNUMBER(-LEFT(CH2871,8))),VALUE(MID(CH2871,5,2)),VALUE(MID(CH2871,FIND("-",CH2871)+1,FIND("-",CH2871,FIND("-",CH2871)+1)-FIND("-",CH2871)-1))),""))</f>
        <v/>
      </c>
      <c r="CO2871">
        <f>IF(CH2871="","",IFERROR(IF(AND(LEN(CH2871)=9,ISERROR(FIND("-",LEFT(CH2871,8))),ISNUMBER(-LEFT(CH2871,8))),VALUE(MID(CH2871,7,2)),VALUE(MID(CH2871,FIND("-",CH2871,FIND("-",CH2871)+1)+1,FIND("-",CH2871,FIND("-",CH2871,FIND("-",CH2871)+1)+1)-FIND("-",CH2871,FIND("-",CH2871)+1)-1))),""))</f>
        <v/>
      </c>
    </row>
    <row r="2872">
      <c r="CH2872">
        <f>IF(ISTEXT('월 가계부'!A2872),SUBSTITUTE(SUBSTITUTE(SUBSTITUTE(SUBSTITUTE(SUBSTITUTE(SUBSTITUTE(SUBSTITUTE(SUBSTITUTE(SUBSTITUTE(TRIM('월 가계부'!A2872),"년","-"),"월","-"),"일",""),".","-"),"/","-")," ","-"),"--","-"),"--","-"),"--","-")&amp;"-","")</f>
        <v/>
      </c>
      <c r="CI2872">
        <f>IFERROR(IF('월 가계부'!A2872="","",IF(ISNUMBER('월 가계부'!A2872),IF(AND('월 가계부'!A2872&gt;=19000101,'월 가계부'!A2872&lt;=21001231),IF(AND(MOD(INT('월 가계부'!A2872/100),100)&gt;=1,MOD(INT('월 가계부'!A2872/100),100)&lt;=12,MOD(INT('월 가계부'!A2872),100)&gt;=1,MOD(INT('월 가계부'!A2872),100)&lt;=31),IF(MONTH(DATE(INT('월 가계부'!A2872/10000),MOD(INT('월 가계부'!A2872/100),100),MOD(INT('월 가계부'!A2872),100)))=MOD(INT('월 가계부'!A2872/100),100),DATE(INT('월 가계부'!A2872/10000),MOD(INT('월 가계부'!A2872/100),100),MOD(INT('월 가계부'!A2872),100)),""),""),IF(AND('월 가계부'!A2872&gt;=36526,'월 가계부'!A2872&lt;73051),INT('월 가계부'!A2872),"")),IF(OR(CM2872="",CN2872="",CO2872=""),"",IF(AND(CM2872&gt;=2000,CM2872&lt;=2099,CN2872&gt;=1,CN2872&lt;=12,CO2872&gt;=1,CO2872&lt;=31),IF(MONTH(DATE(CM2872,CN2872,CO2872))=CN2872,DATE(CM2872,CN2872,CO2872),""),"")))),"")</f>
        <v/>
      </c>
      <c r="CJ2872">
        <f>IFERROR(IF('월 가계부'!C2872="","",IF(ISNUMBER('월 가계부'!C2872),'월 가계부'!C2872,VALUE(SUBSTITUTE(SUBSTITUTE(SUBSTITUTE(SUBSTITUTE(TRIM('월 가계부'!C2872),",",""),"원","")," ",""),"−","-")))),"")</f>
        <v/>
      </c>
      <c r="CK2872">
        <f>IF(ISNUMBER(CI2872),IF(CI2872&lt;$B$13,CI2872,""),"")</f>
        <v/>
      </c>
      <c r="CM2872">
        <f>IF(CH2872="","",IFERROR(IF(IF(AND(LEN(CH2872)=9,ISERROR(FIND("-",LEFT(CH2872,8))),ISNUMBER(-LEFT(CH2872,8))),VALUE(LEFT(CH2872,4)),VALUE(LEFT(CH2872,FIND("-",CH2872)-1)))&lt;100,IF(AND(LEN(CH2872)=9,ISERROR(FIND("-",LEFT(CH2872,8))),ISNUMBER(-LEFT(CH2872,8))),VALUE(LEFT(CH2872,4)),VALUE(LEFT(CH2872,FIND("-",CH2872)-1)))+2000,IF(AND(LEN(CH2872)=9,ISERROR(FIND("-",LEFT(CH2872,8))),ISNUMBER(-LEFT(CH2872,8))),VALUE(LEFT(CH2872,4)),VALUE(LEFT(CH2872,FIND("-",CH2872)-1)))),""))</f>
        <v/>
      </c>
      <c r="CN2872">
        <f>IF(CH2872="","",IFERROR(IF(AND(LEN(CH2872)=9,ISERROR(FIND("-",LEFT(CH2872,8))),ISNUMBER(-LEFT(CH2872,8))),VALUE(MID(CH2872,5,2)),VALUE(MID(CH2872,FIND("-",CH2872)+1,FIND("-",CH2872,FIND("-",CH2872)+1)-FIND("-",CH2872)-1))),""))</f>
        <v/>
      </c>
      <c r="CO2872">
        <f>IF(CH2872="","",IFERROR(IF(AND(LEN(CH2872)=9,ISERROR(FIND("-",LEFT(CH2872,8))),ISNUMBER(-LEFT(CH2872,8))),VALUE(MID(CH2872,7,2)),VALUE(MID(CH2872,FIND("-",CH2872,FIND("-",CH2872)+1)+1,FIND("-",CH2872,FIND("-",CH2872,FIND("-",CH2872)+1)+1)-FIND("-",CH2872,FIND("-",CH2872)+1)-1))),""))</f>
        <v/>
      </c>
    </row>
    <row r="2873">
      <c r="CH2873">
        <f>IF(ISTEXT('월 가계부'!A2873),SUBSTITUTE(SUBSTITUTE(SUBSTITUTE(SUBSTITUTE(SUBSTITUTE(SUBSTITUTE(SUBSTITUTE(SUBSTITUTE(SUBSTITUTE(TRIM('월 가계부'!A2873),"년","-"),"월","-"),"일",""),".","-"),"/","-")," ","-"),"--","-"),"--","-"),"--","-")&amp;"-","")</f>
        <v/>
      </c>
      <c r="CI2873">
        <f>IFERROR(IF('월 가계부'!A2873="","",IF(ISNUMBER('월 가계부'!A2873),IF(AND('월 가계부'!A2873&gt;=19000101,'월 가계부'!A2873&lt;=21001231),IF(AND(MOD(INT('월 가계부'!A2873/100),100)&gt;=1,MOD(INT('월 가계부'!A2873/100),100)&lt;=12,MOD(INT('월 가계부'!A2873),100)&gt;=1,MOD(INT('월 가계부'!A2873),100)&lt;=31),IF(MONTH(DATE(INT('월 가계부'!A2873/10000),MOD(INT('월 가계부'!A2873/100),100),MOD(INT('월 가계부'!A2873),100)))=MOD(INT('월 가계부'!A2873/100),100),DATE(INT('월 가계부'!A2873/10000),MOD(INT('월 가계부'!A2873/100),100),MOD(INT('월 가계부'!A2873),100)),""),""),IF(AND('월 가계부'!A2873&gt;=36526,'월 가계부'!A2873&lt;73051),INT('월 가계부'!A2873),"")),IF(OR(CM2873="",CN2873="",CO2873=""),"",IF(AND(CM2873&gt;=2000,CM2873&lt;=2099,CN2873&gt;=1,CN2873&lt;=12,CO2873&gt;=1,CO2873&lt;=31),IF(MONTH(DATE(CM2873,CN2873,CO2873))=CN2873,DATE(CM2873,CN2873,CO2873),""),"")))),"")</f>
        <v/>
      </c>
      <c r="CJ2873">
        <f>IFERROR(IF('월 가계부'!C2873="","",IF(ISNUMBER('월 가계부'!C2873),'월 가계부'!C2873,VALUE(SUBSTITUTE(SUBSTITUTE(SUBSTITUTE(SUBSTITUTE(TRIM('월 가계부'!C2873),",",""),"원","")," ",""),"−","-")))),"")</f>
        <v/>
      </c>
      <c r="CK2873">
        <f>IF(ISNUMBER(CI2873),IF(CI2873&lt;$B$13,CI2873,""),"")</f>
        <v/>
      </c>
      <c r="CM2873">
        <f>IF(CH2873="","",IFERROR(IF(IF(AND(LEN(CH2873)=9,ISERROR(FIND("-",LEFT(CH2873,8))),ISNUMBER(-LEFT(CH2873,8))),VALUE(LEFT(CH2873,4)),VALUE(LEFT(CH2873,FIND("-",CH2873)-1)))&lt;100,IF(AND(LEN(CH2873)=9,ISERROR(FIND("-",LEFT(CH2873,8))),ISNUMBER(-LEFT(CH2873,8))),VALUE(LEFT(CH2873,4)),VALUE(LEFT(CH2873,FIND("-",CH2873)-1)))+2000,IF(AND(LEN(CH2873)=9,ISERROR(FIND("-",LEFT(CH2873,8))),ISNUMBER(-LEFT(CH2873,8))),VALUE(LEFT(CH2873,4)),VALUE(LEFT(CH2873,FIND("-",CH2873)-1)))),""))</f>
        <v/>
      </c>
      <c r="CN2873">
        <f>IF(CH2873="","",IFERROR(IF(AND(LEN(CH2873)=9,ISERROR(FIND("-",LEFT(CH2873,8))),ISNUMBER(-LEFT(CH2873,8))),VALUE(MID(CH2873,5,2)),VALUE(MID(CH2873,FIND("-",CH2873)+1,FIND("-",CH2873,FIND("-",CH2873)+1)-FIND("-",CH2873)-1))),""))</f>
        <v/>
      </c>
      <c r="CO2873">
        <f>IF(CH2873="","",IFERROR(IF(AND(LEN(CH2873)=9,ISERROR(FIND("-",LEFT(CH2873,8))),ISNUMBER(-LEFT(CH2873,8))),VALUE(MID(CH2873,7,2)),VALUE(MID(CH2873,FIND("-",CH2873,FIND("-",CH2873)+1)+1,FIND("-",CH2873,FIND("-",CH2873,FIND("-",CH2873)+1)+1)-FIND("-",CH2873,FIND("-",CH2873)+1)-1))),""))</f>
        <v/>
      </c>
    </row>
    <row r="2874">
      <c r="CH2874">
        <f>IF(ISTEXT('월 가계부'!A2874),SUBSTITUTE(SUBSTITUTE(SUBSTITUTE(SUBSTITUTE(SUBSTITUTE(SUBSTITUTE(SUBSTITUTE(SUBSTITUTE(SUBSTITUTE(TRIM('월 가계부'!A2874),"년","-"),"월","-"),"일",""),".","-"),"/","-")," ","-"),"--","-"),"--","-"),"--","-")&amp;"-","")</f>
        <v/>
      </c>
      <c r="CI2874">
        <f>IFERROR(IF('월 가계부'!A2874="","",IF(ISNUMBER('월 가계부'!A2874),IF(AND('월 가계부'!A2874&gt;=19000101,'월 가계부'!A2874&lt;=21001231),IF(AND(MOD(INT('월 가계부'!A2874/100),100)&gt;=1,MOD(INT('월 가계부'!A2874/100),100)&lt;=12,MOD(INT('월 가계부'!A2874),100)&gt;=1,MOD(INT('월 가계부'!A2874),100)&lt;=31),IF(MONTH(DATE(INT('월 가계부'!A2874/10000),MOD(INT('월 가계부'!A2874/100),100),MOD(INT('월 가계부'!A2874),100)))=MOD(INT('월 가계부'!A2874/100),100),DATE(INT('월 가계부'!A2874/10000),MOD(INT('월 가계부'!A2874/100),100),MOD(INT('월 가계부'!A2874),100)),""),""),IF(AND('월 가계부'!A2874&gt;=36526,'월 가계부'!A2874&lt;73051),INT('월 가계부'!A2874),"")),IF(OR(CM2874="",CN2874="",CO2874=""),"",IF(AND(CM2874&gt;=2000,CM2874&lt;=2099,CN2874&gt;=1,CN2874&lt;=12,CO2874&gt;=1,CO2874&lt;=31),IF(MONTH(DATE(CM2874,CN2874,CO2874))=CN2874,DATE(CM2874,CN2874,CO2874),""),"")))),"")</f>
        <v/>
      </c>
      <c r="CJ2874">
        <f>IFERROR(IF('월 가계부'!C2874="","",IF(ISNUMBER('월 가계부'!C2874),'월 가계부'!C2874,VALUE(SUBSTITUTE(SUBSTITUTE(SUBSTITUTE(SUBSTITUTE(TRIM('월 가계부'!C2874),",",""),"원","")," ",""),"−","-")))),"")</f>
        <v/>
      </c>
      <c r="CK2874">
        <f>IF(ISNUMBER(CI2874),IF(CI2874&lt;$B$13,CI2874,""),"")</f>
        <v/>
      </c>
      <c r="CM2874">
        <f>IF(CH2874="","",IFERROR(IF(IF(AND(LEN(CH2874)=9,ISERROR(FIND("-",LEFT(CH2874,8))),ISNUMBER(-LEFT(CH2874,8))),VALUE(LEFT(CH2874,4)),VALUE(LEFT(CH2874,FIND("-",CH2874)-1)))&lt;100,IF(AND(LEN(CH2874)=9,ISERROR(FIND("-",LEFT(CH2874,8))),ISNUMBER(-LEFT(CH2874,8))),VALUE(LEFT(CH2874,4)),VALUE(LEFT(CH2874,FIND("-",CH2874)-1)))+2000,IF(AND(LEN(CH2874)=9,ISERROR(FIND("-",LEFT(CH2874,8))),ISNUMBER(-LEFT(CH2874,8))),VALUE(LEFT(CH2874,4)),VALUE(LEFT(CH2874,FIND("-",CH2874)-1)))),""))</f>
        <v/>
      </c>
      <c r="CN2874">
        <f>IF(CH2874="","",IFERROR(IF(AND(LEN(CH2874)=9,ISERROR(FIND("-",LEFT(CH2874,8))),ISNUMBER(-LEFT(CH2874,8))),VALUE(MID(CH2874,5,2)),VALUE(MID(CH2874,FIND("-",CH2874)+1,FIND("-",CH2874,FIND("-",CH2874)+1)-FIND("-",CH2874)-1))),""))</f>
        <v/>
      </c>
      <c r="CO2874">
        <f>IF(CH2874="","",IFERROR(IF(AND(LEN(CH2874)=9,ISERROR(FIND("-",LEFT(CH2874,8))),ISNUMBER(-LEFT(CH2874,8))),VALUE(MID(CH2874,7,2)),VALUE(MID(CH2874,FIND("-",CH2874,FIND("-",CH2874)+1)+1,FIND("-",CH2874,FIND("-",CH2874,FIND("-",CH2874)+1)+1)-FIND("-",CH2874,FIND("-",CH2874)+1)-1))),""))</f>
        <v/>
      </c>
    </row>
    <row r="2875">
      <c r="CH2875">
        <f>IF(ISTEXT('월 가계부'!A2875),SUBSTITUTE(SUBSTITUTE(SUBSTITUTE(SUBSTITUTE(SUBSTITUTE(SUBSTITUTE(SUBSTITUTE(SUBSTITUTE(SUBSTITUTE(TRIM('월 가계부'!A2875),"년","-"),"월","-"),"일",""),".","-"),"/","-")," ","-"),"--","-"),"--","-"),"--","-")&amp;"-","")</f>
        <v/>
      </c>
      <c r="CI2875">
        <f>IFERROR(IF('월 가계부'!A2875="","",IF(ISNUMBER('월 가계부'!A2875),IF(AND('월 가계부'!A2875&gt;=19000101,'월 가계부'!A2875&lt;=21001231),IF(AND(MOD(INT('월 가계부'!A2875/100),100)&gt;=1,MOD(INT('월 가계부'!A2875/100),100)&lt;=12,MOD(INT('월 가계부'!A2875),100)&gt;=1,MOD(INT('월 가계부'!A2875),100)&lt;=31),IF(MONTH(DATE(INT('월 가계부'!A2875/10000),MOD(INT('월 가계부'!A2875/100),100),MOD(INT('월 가계부'!A2875),100)))=MOD(INT('월 가계부'!A2875/100),100),DATE(INT('월 가계부'!A2875/10000),MOD(INT('월 가계부'!A2875/100),100),MOD(INT('월 가계부'!A2875),100)),""),""),IF(AND('월 가계부'!A2875&gt;=36526,'월 가계부'!A2875&lt;73051),INT('월 가계부'!A2875),"")),IF(OR(CM2875="",CN2875="",CO2875=""),"",IF(AND(CM2875&gt;=2000,CM2875&lt;=2099,CN2875&gt;=1,CN2875&lt;=12,CO2875&gt;=1,CO2875&lt;=31),IF(MONTH(DATE(CM2875,CN2875,CO2875))=CN2875,DATE(CM2875,CN2875,CO2875),""),"")))),"")</f>
        <v/>
      </c>
      <c r="CJ2875">
        <f>IFERROR(IF('월 가계부'!C2875="","",IF(ISNUMBER('월 가계부'!C2875),'월 가계부'!C2875,VALUE(SUBSTITUTE(SUBSTITUTE(SUBSTITUTE(SUBSTITUTE(TRIM('월 가계부'!C2875),",",""),"원","")," ",""),"−","-")))),"")</f>
        <v/>
      </c>
      <c r="CK2875">
        <f>IF(ISNUMBER(CI2875),IF(CI2875&lt;$B$13,CI2875,""),"")</f>
        <v/>
      </c>
      <c r="CM2875">
        <f>IF(CH2875="","",IFERROR(IF(IF(AND(LEN(CH2875)=9,ISERROR(FIND("-",LEFT(CH2875,8))),ISNUMBER(-LEFT(CH2875,8))),VALUE(LEFT(CH2875,4)),VALUE(LEFT(CH2875,FIND("-",CH2875)-1)))&lt;100,IF(AND(LEN(CH2875)=9,ISERROR(FIND("-",LEFT(CH2875,8))),ISNUMBER(-LEFT(CH2875,8))),VALUE(LEFT(CH2875,4)),VALUE(LEFT(CH2875,FIND("-",CH2875)-1)))+2000,IF(AND(LEN(CH2875)=9,ISERROR(FIND("-",LEFT(CH2875,8))),ISNUMBER(-LEFT(CH2875,8))),VALUE(LEFT(CH2875,4)),VALUE(LEFT(CH2875,FIND("-",CH2875)-1)))),""))</f>
        <v/>
      </c>
      <c r="CN2875">
        <f>IF(CH2875="","",IFERROR(IF(AND(LEN(CH2875)=9,ISERROR(FIND("-",LEFT(CH2875,8))),ISNUMBER(-LEFT(CH2875,8))),VALUE(MID(CH2875,5,2)),VALUE(MID(CH2875,FIND("-",CH2875)+1,FIND("-",CH2875,FIND("-",CH2875)+1)-FIND("-",CH2875)-1))),""))</f>
        <v/>
      </c>
      <c r="CO2875">
        <f>IF(CH2875="","",IFERROR(IF(AND(LEN(CH2875)=9,ISERROR(FIND("-",LEFT(CH2875,8))),ISNUMBER(-LEFT(CH2875,8))),VALUE(MID(CH2875,7,2)),VALUE(MID(CH2875,FIND("-",CH2875,FIND("-",CH2875)+1)+1,FIND("-",CH2875,FIND("-",CH2875,FIND("-",CH2875)+1)+1)-FIND("-",CH2875,FIND("-",CH2875)+1)-1))),""))</f>
        <v/>
      </c>
    </row>
    <row r="2876">
      <c r="CH2876">
        <f>IF(ISTEXT('월 가계부'!A2876),SUBSTITUTE(SUBSTITUTE(SUBSTITUTE(SUBSTITUTE(SUBSTITUTE(SUBSTITUTE(SUBSTITUTE(SUBSTITUTE(SUBSTITUTE(TRIM('월 가계부'!A2876),"년","-"),"월","-"),"일",""),".","-"),"/","-")," ","-"),"--","-"),"--","-"),"--","-")&amp;"-","")</f>
        <v/>
      </c>
      <c r="CI2876">
        <f>IFERROR(IF('월 가계부'!A2876="","",IF(ISNUMBER('월 가계부'!A2876),IF(AND('월 가계부'!A2876&gt;=19000101,'월 가계부'!A2876&lt;=21001231),IF(AND(MOD(INT('월 가계부'!A2876/100),100)&gt;=1,MOD(INT('월 가계부'!A2876/100),100)&lt;=12,MOD(INT('월 가계부'!A2876),100)&gt;=1,MOD(INT('월 가계부'!A2876),100)&lt;=31),IF(MONTH(DATE(INT('월 가계부'!A2876/10000),MOD(INT('월 가계부'!A2876/100),100),MOD(INT('월 가계부'!A2876),100)))=MOD(INT('월 가계부'!A2876/100),100),DATE(INT('월 가계부'!A2876/10000),MOD(INT('월 가계부'!A2876/100),100),MOD(INT('월 가계부'!A2876),100)),""),""),IF(AND('월 가계부'!A2876&gt;=36526,'월 가계부'!A2876&lt;73051),INT('월 가계부'!A2876),"")),IF(OR(CM2876="",CN2876="",CO2876=""),"",IF(AND(CM2876&gt;=2000,CM2876&lt;=2099,CN2876&gt;=1,CN2876&lt;=12,CO2876&gt;=1,CO2876&lt;=31),IF(MONTH(DATE(CM2876,CN2876,CO2876))=CN2876,DATE(CM2876,CN2876,CO2876),""),"")))),"")</f>
        <v/>
      </c>
      <c r="CJ2876">
        <f>IFERROR(IF('월 가계부'!C2876="","",IF(ISNUMBER('월 가계부'!C2876),'월 가계부'!C2876,VALUE(SUBSTITUTE(SUBSTITUTE(SUBSTITUTE(SUBSTITUTE(TRIM('월 가계부'!C2876),",",""),"원","")," ",""),"−","-")))),"")</f>
        <v/>
      </c>
      <c r="CK2876">
        <f>IF(ISNUMBER(CI2876),IF(CI2876&lt;$B$13,CI2876,""),"")</f>
        <v/>
      </c>
      <c r="CM2876">
        <f>IF(CH2876="","",IFERROR(IF(IF(AND(LEN(CH2876)=9,ISERROR(FIND("-",LEFT(CH2876,8))),ISNUMBER(-LEFT(CH2876,8))),VALUE(LEFT(CH2876,4)),VALUE(LEFT(CH2876,FIND("-",CH2876)-1)))&lt;100,IF(AND(LEN(CH2876)=9,ISERROR(FIND("-",LEFT(CH2876,8))),ISNUMBER(-LEFT(CH2876,8))),VALUE(LEFT(CH2876,4)),VALUE(LEFT(CH2876,FIND("-",CH2876)-1)))+2000,IF(AND(LEN(CH2876)=9,ISERROR(FIND("-",LEFT(CH2876,8))),ISNUMBER(-LEFT(CH2876,8))),VALUE(LEFT(CH2876,4)),VALUE(LEFT(CH2876,FIND("-",CH2876)-1)))),""))</f>
        <v/>
      </c>
      <c r="CN2876">
        <f>IF(CH2876="","",IFERROR(IF(AND(LEN(CH2876)=9,ISERROR(FIND("-",LEFT(CH2876,8))),ISNUMBER(-LEFT(CH2876,8))),VALUE(MID(CH2876,5,2)),VALUE(MID(CH2876,FIND("-",CH2876)+1,FIND("-",CH2876,FIND("-",CH2876)+1)-FIND("-",CH2876)-1))),""))</f>
        <v/>
      </c>
      <c r="CO2876">
        <f>IF(CH2876="","",IFERROR(IF(AND(LEN(CH2876)=9,ISERROR(FIND("-",LEFT(CH2876,8))),ISNUMBER(-LEFT(CH2876,8))),VALUE(MID(CH2876,7,2)),VALUE(MID(CH2876,FIND("-",CH2876,FIND("-",CH2876)+1)+1,FIND("-",CH2876,FIND("-",CH2876,FIND("-",CH2876)+1)+1)-FIND("-",CH2876,FIND("-",CH2876)+1)-1))),""))</f>
        <v/>
      </c>
    </row>
    <row r="2877">
      <c r="CH2877">
        <f>IF(ISTEXT('월 가계부'!A2877),SUBSTITUTE(SUBSTITUTE(SUBSTITUTE(SUBSTITUTE(SUBSTITUTE(SUBSTITUTE(SUBSTITUTE(SUBSTITUTE(SUBSTITUTE(TRIM('월 가계부'!A2877),"년","-"),"월","-"),"일",""),".","-"),"/","-")," ","-"),"--","-"),"--","-"),"--","-")&amp;"-","")</f>
        <v/>
      </c>
      <c r="CI2877">
        <f>IFERROR(IF('월 가계부'!A2877="","",IF(ISNUMBER('월 가계부'!A2877),IF(AND('월 가계부'!A2877&gt;=19000101,'월 가계부'!A2877&lt;=21001231),IF(AND(MOD(INT('월 가계부'!A2877/100),100)&gt;=1,MOD(INT('월 가계부'!A2877/100),100)&lt;=12,MOD(INT('월 가계부'!A2877),100)&gt;=1,MOD(INT('월 가계부'!A2877),100)&lt;=31),IF(MONTH(DATE(INT('월 가계부'!A2877/10000),MOD(INT('월 가계부'!A2877/100),100),MOD(INT('월 가계부'!A2877),100)))=MOD(INT('월 가계부'!A2877/100),100),DATE(INT('월 가계부'!A2877/10000),MOD(INT('월 가계부'!A2877/100),100),MOD(INT('월 가계부'!A2877),100)),""),""),IF(AND('월 가계부'!A2877&gt;=36526,'월 가계부'!A2877&lt;73051),INT('월 가계부'!A2877),"")),IF(OR(CM2877="",CN2877="",CO2877=""),"",IF(AND(CM2877&gt;=2000,CM2877&lt;=2099,CN2877&gt;=1,CN2877&lt;=12,CO2877&gt;=1,CO2877&lt;=31),IF(MONTH(DATE(CM2877,CN2877,CO2877))=CN2877,DATE(CM2877,CN2877,CO2877),""),"")))),"")</f>
        <v/>
      </c>
      <c r="CJ2877">
        <f>IFERROR(IF('월 가계부'!C2877="","",IF(ISNUMBER('월 가계부'!C2877),'월 가계부'!C2877,VALUE(SUBSTITUTE(SUBSTITUTE(SUBSTITUTE(SUBSTITUTE(TRIM('월 가계부'!C2877),",",""),"원","")," ",""),"−","-")))),"")</f>
        <v/>
      </c>
      <c r="CK2877">
        <f>IF(ISNUMBER(CI2877),IF(CI2877&lt;$B$13,CI2877,""),"")</f>
        <v/>
      </c>
      <c r="CM2877">
        <f>IF(CH2877="","",IFERROR(IF(IF(AND(LEN(CH2877)=9,ISERROR(FIND("-",LEFT(CH2877,8))),ISNUMBER(-LEFT(CH2877,8))),VALUE(LEFT(CH2877,4)),VALUE(LEFT(CH2877,FIND("-",CH2877)-1)))&lt;100,IF(AND(LEN(CH2877)=9,ISERROR(FIND("-",LEFT(CH2877,8))),ISNUMBER(-LEFT(CH2877,8))),VALUE(LEFT(CH2877,4)),VALUE(LEFT(CH2877,FIND("-",CH2877)-1)))+2000,IF(AND(LEN(CH2877)=9,ISERROR(FIND("-",LEFT(CH2877,8))),ISNUMBER(-LEFT(CH2877,8))),VALUE(LEFT(CH2877,4)),VALUE(LEFT(CH2877,FIND("-",CH2877)-1)))),""))</f>
        <v/>
      </c>
      <c r="CN2877">
        <f>IF(CH2877="","",IFERROR(IF(AND(LEN(CH2877)=9,ISERROR(FIND("-",LEFT(CH2877,8))),ISNUMBER(-LEFT(CH2877,8))),VALUE(MID(CH2877,5,2)),VALUE(MID(CH2877,FIND("-",CH2877)+1,FIND("-",CH2877,FIND("-",CH2877)+1)-FIND("-",CH2877)-1))),""))</f>
        <v/>
      </c>
      <c r="CO2877">
        <f>IF(CH2877="","",IFERROR(IF(AND(LEN(CH2877)=9,ISERROR(FIND("-",LEFT(CH2877,8))),ISNUMBER(-LEFT(CH2877,8))),VALUE(MID(CH2877,7,2)),VALUE(MID(CH2877,FIND("-",CH2877,FIND("-",CH2877)+1)+1,FIND("-",CH2877,FIND("-",CH2877,FIND("-",CH2877)+1)+1)-FIND("-",CH2877,FIND("-",CH2877)+1)-1))),""))</f>
        <v/>
      </c>
    </row>
    <row r="2878">
      <c r="CH2878">
        <f>IF(ISTEXT('월 가계부'!A2878),SUBSTITUTE(SUBSTITUTE(SUBSTITUTE(SUBSTITUTE(SUBSTITUTE(SUBSTITUTE(SUBSTITUTE(SUBSTITUTE(SUBSTITUTE(TRIM('월 가계부'!A2878),"년","-"),"월","-"),"일",""),".","-"),"/","-")," ","-"),"--","-"),"--","-"),"--","-")&amp;"-","")</f>
        <v/>
      </c>
      <c r="CI2878">
        <f>IFERROR(IF('월 가계부'!A2878="","",IF(ISNUMBER('월 가계부'!A2878),IF(AND('월 가계부'!A2878&gt;=19000101,'월 가계부'!A2878&lt;=21001231),IF(AND(MOD(INT('월 가계부'!A2878/100),100)&gt;=1,MOD(INT('월 가계부'!A2878/100),100)&lt;=12,MOD(INT('월 가계부'!A2878),100)&gt;=1,MOD(INT('월 가계부'!A2878),100)&lt;=31),IF(MONTH(DATE(INT('월 가계부'!A2878/10000),MOD(INT('월 가계부'!A2878/100),100),MOD(INT('월 가계부'!A2878),100)))=MOD(INT('월 가계부'!A2878/100),100),DATE(INT('월 가계부'!A2878/10000),MOD(INT('월 가계부'!A2878/100),100),MOD(INT('월 가계부'!A2878),100)),""),""),IF(AND('월 가계부'!A2878&gt;=36526,'월 가계부'!A2878&lt;73051),INT('월 가계부'!A2878),"")),IF(OR(CM2878="",CN2878="",CO2878=""),"",IF(AND(CM2878&gt;=2000,CM2878&lt;=2099,CN2878&gt;=1,CN2878&lt;=12,CO2878&gt;=1,CO2878&lt;=31),IF(MONTH(DATE(CM2878,CN2878,CO2878))=CN2878,DATE(CM2878,CN2878,CO2878),""),"")))),"")</f>
        <v/>
      </c>
      <c r="CJ2878">
        <f>IFERROR(IF('월 가계부'!C2878="","",IF(ISNUMBER('월 가계부'!C2878),'월 가계부'!C2878,VALUE(SUBSTITUTE(SUBSTITUTE(SUBSTITUTE(SUBSTITUTE(TRIM('월 가계부'!C2878),",",""),"원","")," ",""),"−","-")))),"")</f>
        <v/>
      </c>
      <c r="CK2878">
        <f>IF(ISNUMBER(CI2878),IF(CI2878&lt;$B$13,CI2878,""),"")</f>
        <v/>
      </c>
      <c r="CM2878">
        <f>IF(CH2878="","",IFERROR(IF(IF(AND(LEN(CH2878)=9,ISERROR(FIND("-",LEFT(CH2878,8))),ISNUMBER(-LEFT(CH2878,8))),VALUE(LEFT(CH2878,4)),VALUE(LEFT(CH2878,FIND("-",CH2878)-1)))&lt;100,IF(AND(LEN(CH2878)=9,ISERROR(FIND("-",LEFT(CH2878,8))),ISNUMBER(-LEFT(CH2878,8))),VALUE(LEFT(CH2878,4)),VALUE(LEFT(CH2878,FIND("-",CH2878)-1)))+2000,IF(AND(LEN(CH2878)=9,ISERROR(FIND("-",LEFT(CH2878,8))),ISNUMBER(-LEFT(CH2878,8))),VALUE(LEFT(CH2878,4)),VALUE(LEFT(CH2878,FIND("-",CH2878)-1)))),""))</f>
        <v/>
      </c>
      <c r="CN2878">
        <f>IF(CH2878="","",IFERROR(IF(AND(LEN(CH2878)=9,ISERROR(FIND("-",LEFT(CH2878,8))),ISNUMBER(-LEFT(CH2878,8))),VALUE(MID(CH2878,5,2)),VALUE(MID(CH2878,FIND("-",CH2878)+1,FIND("-",CH2878,FIND("-",CH2878)+1)-FIND("-",CH2878)-1))),""))</f>
        <v/>
      </c>
      <c r="CO2878">
        <f>IF(CH2878="","",IFERROR(IF(AND(LEN(CH2878)=9,ISERROR(FIND("-",LEFT(CH2878,8))),ISNUMBER(-LEFT(CH2878,8))),VALUE(MID(CH2878,7,2)),VALUE(MID(CH2878,FIND("-",CH2878,FIND("-",CH2878)+1)+1,FIND("-",CH2878,FIND("-",CH2878,FIND("-",CH2878)+1)+1)-FIND("-",CH2878,FIND("-",CH2878)+1)-1))),""))</f>
        <v/>
      </c>
    </row>
    <row r="2879">
      <c r="CH2879">
        <f>IF(ISTEXT('월 가계부'!A2879),SUBSTITUTE(SUBSTITUTE(SUBSTITUTE(SUBSTITUTE(SUBSTITUTE(SUBSTITUTE(SUBSTITUTE(SUBSTITUTE(SUBSTITUTE(TRIM('월 가계부'!A2879),"년","-"),"월","-"),"일",""),".","-"),"/","-")," ","-"),"--","-"),"--","-"),"--","-")&amp;"-","")</f>
        <v/>
      </c>
      <c r="CI2879">
        <f>IFERROR(IF('월 가계부'!A2879="","",IF(ISNUMBER('월 가계부'!A2879),IF(AND('월 가계부'!A2879&gt;=19000101,'월 가계부'!A2879&lt;=21001231),IF(AND(MOD(INT('월 가계부'!A2879/100),100)&gt;=1,MOD(INT('월 가계부'!A2879/100),100)&lt;=12,MOD(INT('월 가계부'!A2879),100)&gt;=1,MOD(INT('월 가계부'!A2879),100)&lt;=31),IF(MONTH(DATE(INT('월 가계부'!A2879/10000),MOD(INT('월 가계부'!A2879/100),100),MOD(INT('월 가계부'!A2879),100)))=MOD(INT('월 가계부'!A2879/100),100),DATE(INT('월 가계부'!A2879/10000),MOD(INT('월 가계부'!A2879/100),100),MOD(INT('월 가계부'!A2879),100)),""),""),IF(AND('월 가계부'!A2879&gt;=36526,'월 가계부'!A2879&lt;73051),INT('월 가계부'!A2879),"")),IF(OR(CM2879="",CN2879="",CO2879=""),"",IF(AND(CM2879&gt;=2000,CM2879&lt;=2099,CN2879&gt;=1,CN2879&lt;=12,CO2879&gt;=1,CO2879&lt;=31),IF(MONTH(DATE(CM2879,CN2879,CO2879))=CN2879,DATE(CM2879,CN2879,CO2879),""),"")))),"")</f>
        <v/>
      </c>
      <c r="CJ2879">
        <f>IFERROR(IF('월 가계부'!C2879="","",IF(ISNUMBER('월 가계부'!C2879),'월 가계부'!C2879,VALUE(SUBSTITUTE(SUBSTITUTE(SUBSTITUTE(SUBSTITUTE(TRIM('월 가계부'!C2879),",",""),"원","")," ",""),"−","-")))),"")</f>
        <v/>
      </c>
      <c r="CK2879">
        <f>IF(ISNUMBER(CI2879),IF(CI2879&lt;$B$13,CI2879,""),"")</f>
        <v/>
      </c>
      <c r="CM2879">
        <f>IF(CH2879="","",IFERROR(IF(IF(AND(LEN(CH2879)=9,ISERROR(FIND("-",LEFT(CH2879,8))),ISNUMBER(-LEFT(CH2879,8))),VALUE(LEFT(CH2879,4)),VALUE(LEFT(CH2879,FIND("-",CH2879)-1)))&lt;100,IF(AND(LEN(CH2879)=9,ISERROR(FIND("-",LEFT(CH2879,8))),ISNUMBER(-LEFT(CH2879,8))),VALUE(LEFT(CH2879,4)),VALUE(LEFT(CH2879,FIND("-",CH2879)-1)))+2000,IF(AND(LEN(CH2879)=9,ISERROR(FIND("-",LEFT(CH2879,8))),ISNUMBER(-LEFT(CH2879,8))),VALUE(LEFT(CH2879,4)),VALUE(LEFT(CH2879,FIND("-",CH2879)-1)))),""))</f>
        <v/>
      </c>
      <c r="CN2879">
        <f>IF(CH2879="","",IFERROR(IF(AND(LEN(CH2879)=9,ISERROR(FIND("-",LEFT(CH2879,8))),ISNUMBER(-LEFT(CH2879,8))),VALUE(MID(CH2879,5,2)),VALUE(MID(CH2879,FIND("-",CH2879)+1,FIND("-",CH2879,FIND("-",CH2879)+1)-FIND("-",CH2879)-1))),""))</f>
        <v/>
      </c>
      <c r="CO2879">
        <f>IF(CH2879="","",IFERROR(IF(AND(LEN(CH2879)=9,ISERROR(FIND("-",LEFT(CH2879,8))),ISNUMBER(-LEFT(CH2879,8))),VALUE(MID(CH2879,7,2)),VALUE(MID(CH2879,FIND("-",CH2879,FIND("-",CH2879)+1)+1,FIND("-",CH2879,FIND("-",CH2879,FIND("-",CH2879)+1)+1)-FIND("-",CH2879,FIND("-",CH2879)+1)-1))),""))</f>
        <v/>
      </c>
    </row>
    <row r="2880">
      <c r="CH2880">
        <f>IF(ISTEXT('월 가계부'!A2880),SUBSTITUTE(SUBSTITUTE(SUBSTITUTE(SUBSTITUTE(SUBSTITUTE(SUBSTITUTE(SUBSTITUTE(SUBSTITUTE(SUBSTITUTE(TRIM('월 가계부'!A2880),"년","-"),"월","-"),"일",""),".","-"),"/","-")," ","-"),"--","-"),"--","-"),"--","-")&amp;"-","")</f>
        <v/>
      </c>
      <c r="CI2880">
        <f>IFERROR(IF('월 가계부'!A2880="","",IF(ISNUMBER('월 가계부'!A2880),IF(AND('월 가계부'!A2880&gt;=19000101,'월 가계부'!A2880&lt;=21001231),IF(AND(MOD(INT('월 가계부'!A2880/100),100)&gt;=1,MOD(INT('월 가계부'!A2880/100),100)&lt;=12,MOD(INT('월 가계부'!A2880),100)&gt;=1,MOD(INT('월 가계부'!A2880),100)&lt;=31),IF(MONTH(DATE(INT('월 가계부'!A2880/10000),MOD(INT('월 가계부'!A2880/100),100),MOD(INT('월 가계부'!A2880),100)))=MOD(INT('월 가계부'!A2880/100),100),DATE(INT('월 가계부'!A2880/10000),MOD(INT('월 가계부'!A2880/100),100),MOD(INT('월 가계부'!A2880),100)),""),""),IF(AND('월 가계부'!A2880&gt;=36526,'월 가계부'!A2880&lt;73051),INT('월 가계부'!A2880),"")),IF(OR(CM2880="",CN2880="",CO2880=""),"",IF(AND(CM2880&gt;=2000,CM2880&lt;=2099,CN2880&gt;=1,CN2880&lt;=12,CO2880&gt;=1,CO2880&lt;=31),IF(MONTH(DATE(CM2880,CN2880,CO2880))=CN2880,DATE(CM2880,CN2880,CO2880),""),"")))),"")</f>
        <v/>
      </c>
      <c r="CJ2880">
        <f>IFERROR(IF('월 가계부'!C2880="","",IF(ISNUMBER('월 가계부'!C2880),'월 가계부'!C2880,VALUE(SUBSTITUTE(SUBSTITUTE(SUBSTITUTE(SUBSTITUTE(TRIM('월 가계부'!C2880),",",""),"원","")," ",""),"−","-")))),"")</f>
        <v/>
      </c>
      <c r="CK2880">
        <f>IF(ISNUMBER(CI2880),IF(CI2880&lt;$B$13,CI2880,""),"")</f>
        <v/>
      </c>
      <c r="CM2880">
        <f>IF(CH2880="","",IFERROR(IF(IF(AND(LEN(CH2880)=9,ISERROR(FIND("-",LEFT(CH2880,8))),ISNUMBER(-LEFT(CH2880,8))),VALUE(LEFT(CH2880,4)),VALUE(LEFT(CH2880,FIND("-",CH2880)-1)))&lt;100,IF(AND(LEN(CH2880)=9,ISERROR(FIND("-",LEFT(CH2880,8))),ISNUMBER(-LEFT(CH2880,8))),VALUE(LEFT(CH2880,4)),VALUE(LEFT(CH2880,FIND("-",CH2880)-1)))+2000,IF(AND(LEN(CH2880)=9,ISERROR(FIND("-",LEFT(CH2880,8))),ISNUMBER(-LEFT(CH2880,8))),VALUE(LEFT(CH2880,4)),VALUE(LEFT(CH2880,FIND("-",CH2880)-1)))),""))</f>
        <v/>
      </c>
      <c r="CN2880">
        <f>IF(CH2880="","",IFERROR(IF(AND(LEN(CH2880)=9,ISERROR(FIND("-",LEFT(CH2880,8))),ISNUMBER(-LEFT(CH2880,8))),VALUE(MID(CH2880,5,2)),VALUE(MID(CH2880,FIND("-",CH2880)+1,FIND("-",CH2880,FIND("-",CH2880)+1)-FIND("-",CH2880)-1))),""))</f>
        <v/>
      </c>
      <c r="CO2880">
        <f>IF(CH2880="","",IFERROR(IF(AND(LEN(CH2880)=9,ISERROR(FIND("-",LEFT(CH2880,8))),ISNUMBER(-LEFT(CH2880,8))),VALUE(MID(CH2880,7,2)),VALUE(MID(CH2880,FIND("-",CH2880,FIND("-",CH2880)+1)+1,FIND("-",CH2880,FIND("-",CH2880,FIND("-",CH2880)+1)+1)-FIND("-",CH2880,FIND("-",CH2880)+1)-1))),""))</f>
        <v/>
      </c>
    </row>
    <row r="2881">
      <c r="CH2881">
        <f>IF(ISTEXT('월 가계부'!A2881),SUBSTITUTE(SUBSTITUTE(SUBSTITUTE(SUBSTITUTE(SUBSTITUTE(SUBSTITUTE(SUBSTITUTE(SUBSTITUTE(SUBSTITUTE(TRIM('월 가계부'!A2881),"년","-"),"월","-"),"일",""),".","-"),"/","-")," ","-"),"--","-"),"--","-"),"--","-")&amp;"-","")</f>
        <v/>
      </c>
      <c r="CI2881">
        <f>IFERROR(IF('월 가계부'!A2881="","",IF(ISNUMBER('월 가계부'!A2881),IF(AND('월 가계부'!A2881&gt;=19000101,'월 가계부'!A2881&lt;=21001231),IF(AND(MOD(INT('월 가계부'!A2881/100),100)&gt;=1,MOD(INT('월 가계부'!A2881/100),100)&lt;=12,MOD(INT('월 가계부'!A2881),100)&gt;=1,MOD(INT('월 가계부'!A2881),100)&lt;=31),IF(MONTH(DATE(INT('월 가계부'!A2881/10000),MOD(INT('월 가계부'!A2881/100),100),MOD(INT('월 가계부'!A2881),100)))=MOD(INT('월 가계부'!A2881/100),100),DATE(INT('월 가계부'!A2881/10000),MOD(INT('월 가계부'!A2881/100),100),MOD(INT('월 가계부'!A2881),100)),""),""),IF(AND('월 가계부'!A2881&gt;=36526,'월 가계부'!A2881&lt;73051),INT('월 가계부'!A2881),"")),IF(OR(CM2881="",CN2881="",CO2881=""),"",IF(AND(CM2881&gt;=2000,CM2881&lt;=2099,CN2881&gt;=1,CN2881&lt;=12,CO2881&gt;=1,CO2881&lt;=31),IF(MONTH(DATE(CM2881,CN2881,CO2881))=CN2881,DATE(CM2881,CN2881,CO2881),""),"")))),"")</f>
        <v/>
      </c>
      <c r="CJ2881">
        <f>IFERROR(IF('월 가계부'!C2881="","",IF(ISNUMBER('월 가계부'!C2881),'월 가계부'!C2881,VALUE(SUBSTITUTE(SUBSTITUTE(SUBSTITUTE(SUBSTITUTE(TRIM('월 가계부'!C2881),",",""),"원","")," ",""),"−","-")))),"")</f>
        <v/>
      </c>
      <c r="CK2881">
        <f>IF(ISNUMBER(CI2881),IF(CI2881&lt;$B$13,CI2881,""),"")</f>
        <v/>
      </c>
      <c r="CM2881">
        <f>IF(CH2881="","",IFERROR(IF(IF(AND(LEN(CH2881)=9,ISERROR(FIND("-",LEFT(CH2881,8))),ISNUMBER(-LEFT(CH2881,8))),VALUE(LEFT(CH2881,4)),VALUE(LEFT(CH2881,FIND("-",CH2881)-1)))&lt;100,IF(AND(LEN(CH2881)=9,ISERROR(FIND("-",LEFT(CH2881,8))),ISNUMBER(-LEFT(CH2881,8))),VALUE(LEFT(CH2881,4)),VALUE(LEFT(CH2881,FIND("-",CH2881)-1)))+2000,IF(AND(LEN(CH2881)=9,ISERROR(FIND("-",LEFT(CH2881,8))),ISNUMBER(-LEFT(CH2881,8))),VALUE(LEFT(CH2881,4)),VALUE(LEFT(CH2881,FIND("-",CH2881)-1)))),""))</f>
        <v/>
      </c>
      <c r="CN2881">
        <f>IF(CH2881="","",IFERROR(IF(AND(LEN(CH2881)=9,ISERROR(FIND("-",LEFT(CH2881,8))),ISNUMBER(-LEFT(CH2881,8))),VALUE(MID(CH2881,5,2)),VALUE(MID(CH2881,FIND("-",CH2881)+1,FIND("-",CH2881,FIND("-",CH2881)+1)-FIND("-",CH2881)-1))),""))</f>
        <v/>
      </c>
      <c r="CO2881">
        <f>IF(CH2881="","",IFERROR(IF(AND(LEN(CH2881)=9,ISERROR(FIND("-",LEFT(CH2881,8))),ISNUMBER(-LEFT(CH2881,8))),VALUE(MID(CH2881,7,2)),VALUE(MID(CH2881,FIND("-",CH2881,FIND("-",CH2881)+1)+1,FIND("-",CH2881,FIND("-",CH2881,FIND("-",CH2881)+1)+1)-FIND("-",CH2881,FIND("-",CH2881)+1)-1))),""))</f>
        <v/>
      </c>
    </row>
    <row r="2882">
      <c r="CH2882">
        <f>IF(ISTEXT('월 가계부'!A2882),SUBSTITUTE(SUBSTITUTE(SUBSTITUTE(SUBSTITUTE(SUBSTITUTE(SUBSTITUTE(SUBSTITUTE(SUBSTITUTE(SUBSTITUTE(TRIM('월 가계부'!A2882),"년","-"),"월","-"),"일",""),".","-"),"/","-")," ","-"),"--","-"),"--","-"),"--","-")&amp;"-","")</f>
        <v/>
      </c>
      <c r="CI2882">
        <f>IFERROR(IF('월 가계부'!A2882="","",IF(ISNUMBER('월 가계부'!A2882),IF(AND('월 가계부'!A2882&gt;=19000101,'월 가계부'!A2882&lt;=21001231),IF(AND(MOD(INT('월 가계부'!A2882/100),100)&gt;=1,MOD(INT('월 가계부'!A2882/100),100)&lt;=12,MOD(INT('월 가계부'!A2882),100)&gt;=1,MOD(INT('월 가계부'!A2882),100)&lt;=31),IF(MONTH(DATE(INT('월 가계부'!A2882/10000),MOD(INT('월 가계부'!A2882/100),100),MOD(INT('월 가계부'!A2882),100)))=MOD(INT('월 가계부'!A2882/100),100),DATE(INT('월 가계부'!A2882/10000),MOD(INT('월 가계부'!A2882/100),100),MOD(INT('월 가계부'!A2882),100)),""),""),IF(AND('월 가계부'!A2882&gt;=36526,'월 가계부'!A2882&lt;73051),INT('월 가계부'!A2882),"")),IF(OR(CM2882="",CN2882="",CO2882=""),"",IF(AND(CM2882&gt;=2000,CM2882&lt;=2099,CN2882&gt;=1,CN2882&lt;=12,CO2882&gt;=1,CO2882&lt;=31),IF(MONTH(DATE(CM2882,CN2882,CO2882))=CN2882,DATE(CM2882,CN2882,CO2882),""),"")))),"")</f>
        <v/>
      </c>
      <c r="CJ2882">
        <f>IFERROR(IF('월 가계부'!C2882="","",IF(ISNUMBER('월 가계부'!C2882),'월 가계부'!C2882,VALUE(SUBSTITUTE(SUBSTITUTE(SUBSTITUTE(SUBSTITUTE(TRIM('월 가계부'!C2882),",",""),"원","")," ",""),"−","-")))),"")</f>
        <v/>
      </c>
      <c r="CK2882">
        <f>IF(ISNUMBER(CI2882),IF(CI2882&lt;$B$13,CI2882,""),"")</f>
        <v/>
      </c>
      <c r="CM2882">
        <f>IF(CH2882="","",IFERROR(IF(IF(AND(LEN(CH2882)=9,ISERROR(FIND("-",LEFT(CH2882,8))),ISNUMBER(-LEFT(CH2882,8))),VALUE(LEFT(CH2882,4)),VALUE(LEFT(CH2882,FIND("-",CH2882)-1)))&lt;100,IF(AND(LEN(CH2882)=9,ISERROR(FIND("-",LEFT(CH2882,8))),ISNUMBER(-LEFT(CH2882,8))),VALUE(LEFT(CH2882,4)),VALUE(LEFT(CH2882,FIND("-",CH2882)-1)))+2000,IF(AND(LEN(CH2882)=9,ISERROR(FIND("-",LEFT(CH2882,8))),ISNUMBER(-LEFT(CH2882,8))),VALUE(LEFT(CH2882,4)),VALUE(LEFT(CH2882,FIND("-",CH2882)-1)))),""))</f>
        <v/>
      </c>
      <c r="CN2882">
        <f>IF(CH2882="","",IFERROR(IF(AND(LEN(CH2882)=9,ISERROR(FIND("-",LEFT(CH2882,8))),ISNUMBER(-LEFT(CH2882,8))),VALUE(MID(CH2882,5,2)),VALUE(MID(CH2882,FIND("-",CH2882)+1,FIND("-",CH2882,FIND("-",CH2882)+1)-FIND("-",CH2882)-1))),""))</f>
        <v/>
      </c>
      <c r="CO2882">
        <f>IF(CH2882="","",IFERROR(IF(AND(LEN(CH2882)=9,ISERROR(FIND("-",LEFT(CH2882,8))),ISNUMBER(-LEFT(CH2882,8))),VALUE(MID(CH2882,7,2)),VALUE(MID(CH2882,FIND("-",CH2882,FIND("-",CH2882)+1)+1,FIND("-",CH2882,FIND("-",CH2882,FIND("-",CH2882)+1)+1)-FIND("-",CH2882,FIND("-",CH2882)+1)-1))),""))</f>
        <v/>
      </c>
    </row>
    <row r="2883">
      <c r="CH2883">
        <f>IF(ISTEXT('월 가계부'!A2883),SUBSTITUTE(SUBSTITUTE(SUBSTITUTE(SUBSTITUTE(SUBSTITUTE(SUBSTITUTE(SUBSTITUTE(SUBSTITUTE(SUBSTITUTE(TRIM('월 가계부'!A2883),"년","-"),"월","-"),"일",""),".","-"),"/","-")," ","-"),"--","-"),"--","-"),"--","-")&amp;"-","")</f>
        <v/>
      </c>
      <c r="CI2883">
        <f>IFERROR(IF('월 가계부'!A2883="","",IF(ISNUMBER('월 가계부'!A2883),IF(AND('월 가계부'!A2883&gt;=19000101,'월 가계부'!A2883&lt;=21001231),IF(AND(MOD(INT('월 가계부'!A2883/100),100)&gt;=1,MOD(INT('월 가계부'!A2883/100),100)&lt;=12,MOD(INT('월 가계부'!A2883),100)&gt;=1,MOD(INT('월 가계부'!A2883),100)&lt;=31),IF(MONTH(DATE(INT('월 가계부'!A2883/10000),MOD(INT('월 가계부'!A2883/100),100),MOD(INT('월 가계부'!A2883),100)))=MOD(INT('월 가계부'!A2883/100),100),DATE(INT('월 가계부'!A2883/10000),MOD(INT('월 가계부'!A2883/100),100),MOD(INT('월 가계부'!A2883),100)),""),""),IF(AND('월 가계부'!A2883&gt;=36526,'월 가계부'!A2883&lt;73051),INT('월 가계부'!A2883),"")),IF(OR(CM2883="",CN2883="",CO2883=""),"",IF(AND(CM2883&gt;=2000,CM2883&lt;=2099,CN2883&gt;=1,CN2883&lt;=12,CO2883&gt;=1,CO2883&lt;=31),IF(MONTH(DATE(CM2883,CN2883,CO2883))=CN2883,DATE(CM2883,CN2883,CO2883),""),"")))),"")</f>
        <v/>
      </c>
      <c r="CJ2883">
        <f>IFERROR(IF('월 가계부'!C2883="","",IF(ISNUMBER('월 가계부'!C2883),'월 가계부'!C2883,VALUE(SUBSTITUTE(SUBSTITUTE(SUBSTITUTE(SUBSTITUTE(TRIM('월 가계부'!C2883),",",""),"원","")," ",""),"−","-")))),"")</f>
        <v/>
      </c>
      <c r="CK2883">
        <f>IF(ISNUMBER(CI2883),IF(CI2883&lt;$B$13,CI2883,""),"")</f>
        <v/>
      </c>
      <c r="CM2883">
        <f>IF(CH2883="","",IFERROR(IF(IF(AND(LEN(CH2883)=9,ISERROR(FIND("-",LEFT(CH2883,8))),ISNUMBER(-LEFT(CH2883,8))),VALUE(LEFT(CH2883,4)),VALUE(LEFT(CH2883,FIND("-",CH2883)-1)))&lt;100,IF(AND(LEN(CH2883)=9,ISERROR(FIND("-",LEFT(CH2883,8))),ISNUMBER(-LEFT(CH2883,8))),VALUE(LEFT(CH2883,4)),VALUE(LEFT(CH2883,FIND("-",CH2883)-1)))+2000,IF(AND(LEN(CH2883)=9,ISERROR(FIND("-",LEFT(CH2883,8))),ISNUMBER(-LEFT(CH2883,8))),VALUE(LEFT(CH2883,4)),VALUE(LEFT(CH2883,FIND("-",CH2883)-1)))),""))</f>
        <v/>
      </c>
      <c r="CN2883">
        <f>IF(CH2883="","",IFERROR(IF(AND(LEN(CH2883)=9,ISERROR(FIND("-",LEFT(CH2883,8))),ISNUMBER(-LEFT(CH2883,8))),VALUE(MID(CH2883,5,2)),VALUE(MID(CH2883,FIND("-",CH2883)+1,FIND("-",CH2883,FIND("-",CH2883)+1)-FIND("-",CH2883)-1))),""))</f>
        <v/>
      </c>
      <c r="CO2883">
        <f>IF(CH2883="","",IFERROR(IF(AND(LEN(CH2883)=9,ISERROR(FIND("-",LEFT(CH2883,8))),ISNUMBER(-LEFT(CH2883,8))),VALUE(MID(CH2883,7,2)),VALUE(MID(CH2883,FIND("-",CH2883,FIND("-",CH2883)+1)+1,FIND("-",CH2883,FIND("-",CH2883,FIND("-",CH2883)+1)+1)-FIND("-",CH2883,FIND("-",CH2883)+1)-1))),""))</f>
        <v/>
      </c>
    </row>
    <row r="2884">
      <c r="CH2884">
        <f>IF(ISTEXT('월 가계부'!A2884),SUBSTITUTE(SUBSTITUTE(SUBSTITUTE(SUBSTITUTE(SUBSTITUTE(SUBSTITUTE(SUBSTITUTE(SUBSTITUTE(SUBSTITUTE(TRIM('월 가계부'!A2884),"년","-"),"월","-"),"일",""),".","-"),"/","-")," ","-"),"--","-"),"--","-"),"--","-")&amp;"-","")</f>
        <v/>
      </c>
      <c r="CI2884">
        <f>IFERROR(IF('월 가계부'!A2884="","",IF(ISNUMBER('월 가계부'!A2884),IF(AND('월 가계부'!A2884&gt;=19000101,'월 가계부'!A2884&lt;=21001231),IF(AND(MOD(INT('월 가계부'!A2884/100),100)&gt;=1,MOD(INT('월 가계부'!A2884/100),100)&lt;=12,MOD(INT('월 가계부'!A2884),100)&gt;=1,MOD(INT('월 가계부'!A2884),100)&lt;=31),IF(MONTH(DATE(INT('월 가계부'!A2884/10000),MOD(INT('월 가계부'!A2884/100),100),MOD(INT('월 가계부'!A2884),100)))=MOD(INT('월 가계부'!A2884/100),100),DATE(INT('월 가계부'!A2884/10000),MOD(INT('월 가계부'!A2884/100),100),MOD(INT('월 가계부'!A2884),100)),""),""),IF(AND('월 가계부'!A2884&gt;=36526,'월 가계부'!A2884&lt;73051),INT('월 가계부'!A2884),"")),IF(OR(CM2884="",CN2884="",CO2884=""),"",IF(AND(CM2884&gt;=2000,CM2884&lt;=2099,CN2884&gt;=1,CN2884&lt;=12,CO2884&gt;=1,CO2884&lt;=31),IF(MONTH(DATE(CM2884,CN2884,CO2884))=CN2884,DATE(CM2884,CN2884,CO2884),""),"")))),"")</f>
        <v/>
      </c>
      <c r="CJ2884">
        <f>IFERROR(IF('월 가계부'!C2884="","",IF(ISNUMBER('월 가계부'!C2884),'월 가계부'!C2884,VALUE(SUBSTITUTE(SUBSTITUTE(SUBSTITUTE(SUBSTITUTE(TRIM('월 가계부'!C2884),",",""),"원","")," ",""),"−","-")))),"")</f>
        <v/>
      </c>
      <c r="CK2884">
        <f>IF(ISNUMBER(CI2884),IF(CI2884&lt;$B$13,CI2884,""),"")</f>
        <v/>
      </c>
      <c r="CM2884">
        <f>IF(CH2884="","",IFERROR(IF(IF(AND(LEN(CH2884)=9,ISERROR(FIND("-",LEFT(CH2884,8))),ISNUMBER(-LEFT(CH2884,8))),VALUE(LEFT(CH2884,4)),VALUE(LEFT(CH2884,FIND("-",CH2884)-1)))&lt;100,IF(AND(LEN(CH2884)=9,ISERROR(FIND("-",LEFT(CH2884,8))),ISNUMBER(-LEFT(CH2884,8))),VALUE(LEFT(CH2884,4)),VALUE(LEFT(CH2884,FIND("-",CH2884)-1)))+2000,IF(AND(LEN(CH2884)=9,ISERROR(FIND("-",LEFT(CH2884,8))),ISNUMBER(-LEFT(CH2884,8))),VALUE(LEFT(CH2884,4)),VALUE(LEFT(CH2884,FIND("-",CH2884)-1)))),""))</f>
        <v/>
      </c>
      <c r="CN2884">
        <f>IF(CH2884="","",IFERROR(IF(AND(LEN(CH2884)=9,ISERROR(FIND("-",LEFT(CH2884,8))),ISNUMBER(-LEFT(CH2884,8))),VALUE(MID(CH2884,5,2)),VALUE(MID(CH2884,FIND("-",CH2884)+1,FIND("-",CH2884,FIND("-",CH2884)+1)-FIND("-",CH2884)-1))),""))</f>
        <v/>
      </c>
      <c r="CO2884">
        <f>IF(CH2884="","",IFERROR(IF(AND(LEN(CH2884)=9,ISERROR(FIND("-",LEFT(CH2884,8))),ISNUMBER(-LEFT(CH2884,8))),VALUE(MID(CH2884,7,2)),VALUE(MID(CH2884,FIND("-",CH2884,FIND("-",CH2884)+1)+1,FIND("-",CH2884,FIND("-",CH2884,FIND("-",CH2884)+1)+1)-FIND("-",CH2884,FIND("-",CH2884)+1)-1))),""))</f>
        <v/>
      </c>
    </row>
    <row r="2885">
      <c r="CH2885">
        <f>IF(ISTEXT('월 가계부'!A2885),SUBSTITUTE(SUBSTITUTE(SUBSTITUTE(SUBSTITUTE(SUBSTITUTE(SUBSTITUTE(SUBSTITUTE(SUBSTITUTE(SUBSTITUTE(TRIM('월 가계부'!A2885),"년","-"),"월","-"),"일",""),".","-"),"/","-")," ","-"),"--","-"),"--","-"),"--","-")&amp;"-","")</f>
        <v/>
      </c>
      <c r="CI2885">
        <f>IFERROR(IF('월 가계부'!A2885="","",IF(ISNUMBER('월 가계부'!A2885),IF(AND('월 가계부'!A2885&gt;=19000101,'월 가계부'!A2885&lt;=21001231),IF(AND(MOD(INT('월 가계부'!A2885/100),100)&gt;=1,MOD(INT('월 가계부'!A2885/100),100)&lt;=12,MOD(INT('월 가계부'!A2885),100)&gt;=1,MOD(INT('월 가계부'!A2885),100)&lt;=31),IF(MONTH(DATE(INT('월 가계부'!A2885/10000),MOD(INT('월 가계부'!A2885/100),100),MOD(INT('월 가계부'!A2885),100)))=MOD(INT('월 가계부'!A2885/100),100),DATE(INT('월 가계부'!A2885/10000),MOD(INT('월 가계부'!A2885/100),100),MOD(INT('월 가계부'!A2885),100)),""),""),IF(AND('월 가계부'!A2885&gt;=36526,'월 가계부'!A2885&lt;73051),INT('월 가계부'!A2885),"")),IF(OR(CM2885="",CN2885="",CO2885=""),"",IF(AND(CM2885&gt;=2000,CM2885&lt;=2099,CN2885&gt;=1,CN2885&lt;=12,CO2885&gt;=1,CO2885&lt;=31),IF(MONTH(DATE(CM2885,CN2885,CO2885))=CN2885,DATE(CM2885,CN2885,CO2885),""),"")))),"")</f>
        <v/>
      </c>
      <c r="CJ2885">
        <f>IFERROR(IF('월 가계부'!C2885="","",IF(ISNUMBER('월 가계부'!C2885),'월 가계부'!C2885,VALUE(SUBSTITUTE(SUBSTITUTE(SUBSTITUTE(SUBSTITUTE(TRIM('월 가계부'!C2885),",",""),"원","")," ",""),"−","-")))),"")</f>
        <v/>
      </c>
      <c r="CK2885">
        <f>IF(ISNUMBER(CI2885),IF(CI2885&lt;$B$13,CI2885,""),"")</f>
        <v/>
      </c>
      <c r="CM2885">
        <f>IF(CH2885="","",IFERROR(IF(IF(AND(LEN(CH2885)=9,ISERROR(FIND("-",LEFT(CH2885,8))),ISNUMBER(-LEFT(CH2885,8))),VALUE(LEFT(CH2885,4)),VALUE(LEFT(CH2885,FIND("-",CH2885)-1)))&lt;100,IF(AND(LEN(CH2885)=9,ISERROR(FIND("-",LEFT(CH2885,8))),ISNUMBER(-LEFT(CH2885,8))),VALUE(LEFT(CH2885,4)),VALUE(LEFT(CH2885,FIND("-",CH2885)-1)))+2000,IF(AND(LEN(CH2885)=9,ISERROR(FIND("-",LEFT(CH2885,8))),ISNUMBER(-LEFT(CH2885,8))),VALUE(LEFT(CH2885,4)),VALUE(LEFT(CH2885,FIND("-",CH2885)-1)))),""))</f>
        <v/>
      </c>
      <c r="CN2885">
        <f>IF(CH2885="","",IFERROR(IF(AND(LEN(CH2885)=9,ISERROR(FIND("-",LEFT(CH2885,8))),ISNUMBER(-LEFT(CH2885,8))),VALUE(MID(CH2885,5,2)),VALUE(MID(CH2885,FIND("-",CH2885)+1,FIND("-",CH2885,FIND("-",CH2885)+1)-FIND("-",CH2885)-1))),""))</f>
        <v/>
      </c>
      <c r="CO2885">
        <f>IF(CH2885="","",IFERROR(IF(AND(LEN(CH2885)=9,ISERROR(FIND("-",LEFT(CH2885,8))),ISNUMBER(-LEFT(CH2885,8))),VALUE(MID(CH2885,7,2)),VALUE(MID(CH2885,FIND("-",CH2885,FIND("-",CH2885)+1)+1,FIND("-",CH2885,FIND("-",CH2885,FIND("-",CH2885)+1)+1)-FIND("-",CH2885,FIND("-",CH2885)+1)-1))),""))</f>
        <v/>
      </c>
    </row>
    <row r="2886">
      <c r="CH2886">
        <f>IF(ISTEXT('월 가계부'!A2886),SUBSTITUTE(SUBSTITUTE(SUBSTITUTE(SUBSTITUTE(SUBSTITUTE(SUBSTITUTE(SUBSTITUTE(SUBSTITUTE(SUBSTITUTE(TRIM('월 가계부'!A2886),"년","-"),"월","-"),"일",""),".","-"),"/","-")," ","-"),"--","-"),"--","-"),"--","-")&amp;"-","")</f>
        <v/>
      </c>
      <c r="CI2886">
        <f>IFERROR(IF('월 가계부'!A2886="","",IF(ISNUMBER('월 가계부'!A2886),IF(AND('월 가계부'!A2886&gt;=19000101,'월 가계부'!A2886&lt;=21001231),IF(AND(MOD(INT('월 가계부'!A2886/100),100)&gt;=1,MOD(INT('월 가계부'!A2886/100),100)&lt;=12,MOD(INT('월 가계부'!A2886),100)&gt;=1,MOD(INT('월 가계부'!A2886),100)&lt;=31),IF(MONTH(DATE(INT('월 가계부'!A2886/10000),MOD(INT('월 가계부'!A2886/100),100),MOD(INT('월 가계부'!A2886),100)))=MOD(INT('월 가계부'!A2886/100),100),DATE(INT('월 가계부'!A2886/10000),MOD(INT('월 가계부'!A2886/100),100),MOD(INT('월 가계부'!A2886),100)),""),""),IF(AND('월 가계부'!A2886&gt;=36526,'월 가계부'!A2886&lt;73051),INT('월 가계부'!A2886),"")),IF(OR(CM2886="",CN2886="",CO2886=""),"",IF(AND(CM2886&gt;=2000,CM2886&lt;=2099,CN2886&gt;=1,CN2886&lt;=12,CO2886&gt;=1,CO2886&lt;=31),IF(MONTH(DATE(CM2886,CN2886,CO2886))=CN2886,DATE(CM2886,CN2886,CO2886),""),"")))),"")</f>
        <v/>
      </c>
      <c r="CJ2886">
        <f>IFERROR(IF('월 가계부'!C2886="","",IF(ISNUMBER('월 가계부'!C2886),'월 가계부'!C2886,VALUE(SUBSTITUTE(SUBSTITUTE(SUBSTITUTE(SUBSTITUTE(TRIM('월 가계부'!C2886),",",""),"원","")," ",""),"−","-")))),"")</f>
        <v/>
      </c>
      <c r="CK2886">
        <f>IF(ISNUMBER(CI2886),IF(CI2886&lt;$B$13,CI2886,""),"")</f>
        <v/>
      </c>
      <c r="CM2886">
        <f>IF(CH2886="","",IFERROR(IF(IF(AND(LEN(CH2886)=9,ISERROR(FIND("-",LEFT(CH2886,8))),ISNUMBER(-LEFT(CH2886,8))),VALUE(LEFT(CH2886,4)),VALUE(LEFT(CH2886,FIND("-",CH2886)-1)))&lt;100,IF(AND(LEN(CH2886)=9,ISERROR(FIND("-",LEFT(CH2886,8))),ISNUMBER(-LEFT(CH2886,8))),VALUE(LEFT(CH2886,4)),VALUE(LEFT(CH2886,FIND("-",CH2886)-1)))+2000,IF(AND(LEN(CH2886)=9,ISERROR(FIND("-",LEFT(CH2886,8))),ISNUMBER(-LEFT(CH2886,8))),VALUE(LEFT(CH2886,4)),VALUE(LEFT(CH2886,FIND("-",CH2886)-1)))),""))</f>
        <v/>
      </c>
      <c r="CN2886">
        <f>IF(CH2886="","",IFERROR(IF(AND(LEN(CH2886)=9,ISERROR(FIND("-",LEFT(CH2886,8))),ISNUMBER(-LEFT(CH2886,8))),VALUE(MID(CH2886,5,2)),VALUE(MID(CH2886,FIND("-",CH2886)+1,FIND("-",CH2886,FIND("-",CH2886)+1)-FIND("-",CH2886)-1))),""))</f>
        <v/>
      </c>
      <c r="CO2886">
        <f>IF(CH2886="","",IFERROR(IF(AND(LEN(CH2886)=9,ISERROR(FIND("-",LEFT(CH2886,8))),ISNUMBER(-LEFT(CH2886,8))),VALUE(MID(CH2886,7,2)),VALUE(MID(CH2886,FIND("-",CH2886,FIND("-",CH2886)+1)+1,FIND("-",CH2886,FIND("-",CH2886,FIND("-",CH2886)+1)+1)-FIND("-",CH2886,FIND("-",CH2886)+1)-1))),""))</f>
        <v/>
      </c>
    </row>
    <row r="2887">
      <c r="CH2887">
        <f>IF(ISTEXT('월 가계부'!A2887),SUBSTITUTE(SUBSTITUTE(SUBSTITUTE(SUBSTITUTE(SUBSTITUTE(SUBSTITUTE(SUBSTITUTE(SUBSTITUTE(SUBSTITUTE(TRIM('월 가계부'!A2887),"년","-"),"월","-"),"일",""),".","-"),"/","-")," ","-"),"--","-"),"--","-"),"--","-")&amp;"-","")</f>
        <v/>
      </c>
      <c r="CI2887">
        <f>IFERROR(IF('월 가계부'!A2887="","",IF(ISNUMBER('월 가계부'!A2887),IF(AND('월 가계부'!A2887&gt;=19000101,'월 가계부'!A2887&lt;=21001231),IF(AND(MOD(INT('월 가계부'!A2887/100),100)&gt;=1,MOD(INT('월 가계부'!A2887/100),100)&lt;=12,MOD(INT('월 가계부'!A2887),100)&gt;=1,MOD(INT('월 가계부'!A2887),100)&lt;=31),IF(MONTH(DATE(INT('월 가계부'!A2887/10000),MOD(INT('월 가계부'!A2887/100),100),MOD(INT('월 가계부'!A2887),100)))=MOD(INT('월 가계부'!A2887/100),100),DATE(INT('월 가계부'!A2887/10000),MOD(INT('월 가계부'!A2887/100),100),MOD(INT('월 가계부'!A2887),100)),""),""),IF(AND('월 가계부'!A2887&gt;=36526,'월 가계부'!A2887&lt;73051),INT('월 가계부'!A2887),"")),IF(OR(CM2887="",CN2887="",CO2887=""),"",IF(AND(CM2887&gt;=2000,CM2887&lt;=2099,CN2887&gt;=1,CN2887&lt;=12,CO2887&gt;=1,CO2887&lt;=31),IF(MONTH(DATE(CM2887,CN2887,CO2887))=CN2887,DATE(CM2887,CN2887,CO2887),""),"")))),"")</f>
        <v/>
      </c>
      <c r="CJ2887">
        <f>IFERROR(IF('월 가계부'!C2887="","",IF(ISNUMBER('월 가계부'!C2887),'월 가계부'!C2887,VALUE(SUBSTITUTE(SUBSTITUTE(SUBSTITUTE(SUBSTITUTE(TRIM('월 가계부'!C2887),",",""),"원","")," ",""),"−","-")))),"")</f>
        <v/>
      </c>
      <c r="CK2887">
        <f>IF(ISNUMBER(CI2887),IF(CI2887&lt;$B$13,CI2887,""),"")</f>
        <v/>
      </c>
      <c r="CM2887">
        <f>IF(CH2887="","",IFERROR(IF(IF(AND(LEN(CH2887)=9,ISERROR(FIND("-",LEFT(CH2887,8))),ISNUMBER(-LEFT(CH2887,8))),VALUE(LEFT(CH2887,4)),VALUE(LEFT(CH2887,FIND("-",CH2887)-1)))&lt;100,IF(AND(LEN(CH2887)=9,ISERROR(FIND("-",LEFT(CH2887,8))),ISNUMBER(-LEFT(CH2887,8))),VALUE(LEFT(CH2887,4)),VALUE(LEFT(CH2887,FIND("-",CH2887)-1)))+2000,IF(AND(LEN(CH2887)=9,ISERROR(FIND("-",LEFT(CH2887,8))),ISNUMBER(-LEFT(CH2887,8))),VALUE(LEFT(CH2887,4)),VALUE(LEFT(CH2887,FIND("-",CH2887)-1)))),""))</f>
        <v/>
      </c>
      <c r="CN2887">
        <f>IF(CH2887="","",IFERROR(IF(AND(LEN(CH2887)=9,ISERROR(FIND("-",LEFT(CH2887,8))),ISNUMBER(-LEFT(CH2887,8))),VALUE(MID(CH2887,5,2)),VALUE(MID(CH2887,FIND("-",CH2887)+1,FIND("-",CH2887,FIND("-",CH2887)+1)-FIND("-",CH2887)-1))),""))</f>
        <v/>
      </c>
      <c r="CO2887">
        <f>IF(CH2887="","",IFERROR(IF(AND(LEN(CH2887)=9,ISERROR(FIND("-",LEFT(CH2887,8))),ISNUMBER(-LEFT(CH2887,8))),VALUE(MID(CH2887,7,2)),VALUE(MID(CH2887,FIND("-",CH2887,FIND("-",CH2887)+1)+1,FIND("-",CH2887,FIND("-",CH2887,FIND("-",CH2887)+1)+1)-FIND("-",CH2887,FIND("-",CH2887)+1)-1))),""))</f>
        <v/>
      </c>
    </row>
    <row r="2888">
      <c r="CH2888">
        <f>IF(ISTEXT('월 가계부'!A2888),SUBSTITUTE(SUBSTITUTE(SUBSTITUTE(SUBSTITUTE(SUBSTITUTE(SUBSTITUTE(SUBSTITUTE(SUBSTITUTE(SUBSTITUTE(TRIM('월 가계부'!A2888),"년","-"),"월","-"),"일",""),".","-"),"/","-")," ","-"),"--","-"),"--","-"),"--","-")&amp;"-","")</f>
        <v/>
      </c>
      <c r="CI2888">
        <f>IFERROR(IF('월 가계부'!A2888="","",IF(ISNUMBER('월 가계부'!A2888),IF(AND('월 가계부'!A2888&gt;=19000101,'월 가계부'!A2888&lt;=21001231),IF(AND(MOD(INT('월 가계부'!A2888/100),100)&gt;=1,MOD(INT('월 가계부'!A2888/100),100)&lt;=12,MOD(INT('월 가계부'!A2888),100)&gt;=1,MOD(INT('월 가계부'!A2888),100)&lt;=31),IF(MONTH(DATE(INT('월 가계부'!A2888/10000),MOD(INT('월 가계부'!A2888/100),100),MOD(INT('월 가계부'!A2888),100)))=MOD(INT('월 가계부'!A2888/100),100),DATE(INT('월 가계부'!A2888/10000),MOD(INT('월 가계부'!A2888/100),100),MOD(INT('월 가계부'!A2888),100)),""),""),IF(AND('월 가계부'!A2888&gt;=36526,'월 가계부'!A2888&lt;73051),INT('월 가계부'!A2888),"")),IF(OR(CM2888="",CN2888="",CO2888=""),"",IF(AND(CM2888&gt;=2000,CM2888&lt;=2099,CN2888&gt;=1,CN2888&lt;=12,CO2888&gt;=1,CO2888&lt;=31),IF(MONTH(DATE(CM2888,CN2888,CO2888))=CN2888,DATE(CM2888,CN2888,CO2888),""),"")))),"")</f>
        <v/>
      </c>
      <c r="CJ2888">
        <f>IFERROR(IF('월 가계부'!C2888="","",IF(ISNUMBER('월 가계부'!C2888),'월 가계부'!C2888,VALUE(SUBSTITUTE(SUBSTITUTE(SUBSTITUTE(SUBSTITUTE(TRIM('월 가계부'!C2888),",",""),"원","")," ",""),"−","-")))),"")</f>
        <v/>
      </c>
      <c r="CK2888">
        <f>IF(ISNUMBER(CI2888),IF(CI2888&lt;$B$13,CI2888,""),"")</f>
        <v/>
      </c>
      <c r="CM2888">
        <f>IF(CH2888="","",IFERROR(IF(IF(AND(LEN(CH2888)=9,ISERROR(FIND("-",LEFT(CH2888,8))),ISNUMBER(-LEFT(CH2888,8))),VALUE(LEFT(CH2888,4)),VALUE(LEFT(CH2888,FIND("-",CH2888)-1)))&lt;100,IF(AND(LEN(CH2888)=9,ISERROR(FIND("-",LEFT(CH2888,8))),ISNUMBER(-LEFT(CH2888,8))),VALUE(LEFT(CH2888,4)),VALUE(LEFT(CH2888,FIND("-",CH2888)-1)))+2000,IF(AND(LEN(CH2888)=9,ISERROR(FIND("-",LEFT(CH2888,8))),ISNUMBER(-LEFT(CH2888,8))),VALUE(LEFT(CH2888,4)),VALUE(LEFT(CH2888,FIND("-",CH2888)-1)))),""))</f>
        <v/>
      </c>
      <c r="CN2888">
        <f>IF(CH2888="","",IFERROR(IF(AND(LEN(CH2888)=9,ISERROR(FIND("-",LEFT(CH2888,8))),ISNUMBER(-LEFT(CH2888,8))),VALUE(MID(CH2888,5,2)),VALUE(MID(CH2888,FIND("-",CH2888)+1,FIND("-",CH2888,FIND("-",CH2888)+1)-FIND("-",CH2888)-1))),""))</f>
        <v/>
      </c>
      <c r="CO2888">
        <f>IF(CH2888="","",IFERROR(IF(AND(LEN(CH2888)=9,ISERROR(FIND("-",LEFT(CH2888,8))),ISNUMBER(-LEFT(CH2888,8))),VALUE(MID(CH2888,7,2)),VALUE(MID(CH2888,FIND("-",CH2888,FIND("-",CH2888)+1)+1,FIND("-",CH2888,FIND("-",CH2888,FIND("-",CH2888)+1)+1)-FIND("-",CH2888,FIND("-",CH2888)+1)-1))),""))</f>
        <v/>
      </c>
    </row>
    <row r="2889">
      <c r="CH2889">
        <f>IF(ISTEXT('월 가계부'!A2889),SUBSTITUTE(SUBSTITUTE(SUBSTITUTE(SUBSTITUTE(SUBSTITUTE(SUBSTITUTE(SUBSTITUTE(SUBSTITUTE(SUBSTITUTE(TRIM('월 가계부'!A2889),"년","-"),"월","-"),"일",""),".","-"),"/","-")," ","-"),"--","-"),"--","-"),"--","-")&amp;"-","")</f>
        <v/>
      </c>
      <c r="CI2889">
        <f>IFERROR(IF('월 가계부'!A2889="","",IF(ISNUMBER('월 가계부'!A2889),IF(AND('월 가계부'!A2889&gt;=19000101,'월 가계부'!A2889&lt;=21001231),IF(AND(MOD(INT('월 가계부'!A2889/100),100)&gt;=1,MOD(INT('월 가계부'!A2889/100),100)&lt;=12,MOD(INT('월 가계부'!A2889),100)&gt;=1,MOD(INT('월 가계부'!A2889),100)&lt;=31),IF(MONTH(DATE(INT('월 가계부'!A2889/10000),MOD(INT('월 가계부'!A2889/100),100),MOD(INT('월 가계부'!A2889),100)))=MOD(INT('월 가계부'!A2889/100),100),DATE(INT('월 가계부'!A2889/10000),MOD(INT('월 가계부'!A2889/100),100),MOD(INT('월 가계부'!A2889),100)),""),""),IF(AND('월 가계부'!A2889&gt;=36526,'월 가계부'!A2889&lt;73051),INT('월 가계부'!A2889),"")),IF(OR(CM2889="",CN2889="",CO2889=""),"",IF(AND(CM2889&gt;=2000,CM2889&lt;=2099,CN2889&gt;=1,CN2889&lt;=12,CO2889&gt;=1,CO2889&lt;=31),IF(MONTH(DATE(CM2889,CN2889,CO2889))=CN2889,DATE(CM2889,CN2889,CO2889),""),"")))),"")</f>
        <v/>
      </c>
      <c r="CJ2889">
        <f>IFERROR(IF('월 가계부'!C2889="","",IF(ISNUMBER('월 가계부'!C2889),'월 가계부'!C2889,VALUE(SUBSTITUTE(SUBSTITUTE(SUBSTITUTE(SUBSTITUTE(TRIM('월 가계부'!C2889),",",""),"원","")," ",""),"−","-")))),"")</f>
        <v/>
      </c>
      <c r="CK2889">
        <f>IF(ISNUMBER(CI2889),IF(CI2889&lt;$B$13,CI2889,""),"")</f>
        <v/>
      </c>
      <c r="CM2889">
        <f>IF(CH2889="","",IFERROR(IF(IF(AND(LEN(CH2889)=9,ISERROR(FIND("-",LEFT(CH2889,8))),ISNUMBER(-LEFT(CH2889,8))),VALUE(LEFT(CH2889,4)),VALUE(LEFT(CH2889,FIND("-",CH2889)-1)))&lt;100,IF(AND(LEN(CH2889)=9,ISERROR(FIND("-",LEFT(CH2889,8))),ISNUMBER(-LEFT(CH2889,8))),VALUE(LEFT(CH2889,4)),VALUE(LEFT(CH2889,FIND("-",CH2889)-1)))+2000,IF(AND(LEN(CH2889)=9,ISERROR(FIND("-",LEFT(CH2889,8))),ISNUMBER(-LEFT(CH2889,8))),VALUE(LEFT(CH2889,4)),VALUE(LEFT(CH2889,FIND("-",CH2889)-1)))),""))</f>
        <v/>
      </c>
      <c r="CN2889">
        <f>IF(CH2889="","",IFERROR(IF(AND(LEN(CH2889)=9,ISERROR(FIND("-",LEFT(CH2889,8))),ISNUMBER(-LEFT(CH2889,8))),VALUE(MID(CH2889,5,2)),VALUE(MID(CH2889,FIND("-",CH2889)+1,FIND("-",CH2889,FIND("-",CH2889)+1)-FIND("-",CH2889)-1))),""))</f>
        <v/>
      </c>
      <c r="CO2889">
        <f>IF(CH2889="","",IFERROR(IF(AND(LEN(CH2889)=9,ISERROR(FIND("-",LEFT(CH2889,8))),ISNUMBER(-LEFT(CH2889,8))),VALUE(MID(CH2889,7,2)),VALUE(MID(CH2889,FIND("-",CH2889,FIND("-",CH2889)+1)+1,FIND("-",CH2889,FIND("-",CH2889,FIND("-",CH2889)+1)+1)-FIND("-",CH2889,FIND("-",CH2889)+1)-1))),""))</f>
        <v/>
      </c>
    </row>
    <row r="2890">
      <c r="CH2890">
        <f>IF(ISTEXT('월 가계부'!A2890),SUBSTITUTE(SUBSTITUTE(SUBSTITUTE(SUBSTITUTE(SUBSTITUTE(SUBSTITUTE(SUBSTITUTE(SUBSTITUTE(SUBSTITUTE(TRIM('월 가계부'!A2890),"년","-"),"월","-"),"일",""),".","-"),"/","-")," ","-"),"--","-"),"--","-"),"--","-")&amp;"-","")</f>
        <v/>
      </c>
      <c r="CI2890">
        <f>IFERROR(IF('월 가계부'!A2890="","",IF(ISNUMBER('월 가계부'!A2890),IF(AND('월 가계부'!A2890&gt;=19000101,'월 가계부'!A2890&lt;=21001231),IF(AND(MOD(INT('월 가계부'!A2890/100),100)&gt;=1,MOD(INT('월 가계부'!A2890/100),100)&lt;=12,MOD(INT('월 가계부'!A2890),100)&gt;=1,MOD(INT('월 가계부'!A2890),100)&lt;=31),IF(MONTH(DATE(INT('월 가계부'!A2890/10000),MOD(INT('월 가계부'!A2890/100),100),MOD(INT('월 가계부'!A2890),100)))=MOD(INT('월 가계부'!A2890/100),100),DATE(INT('월 가계부'!A2890/10000),MOD(INT('월 가계부'!A2890/100),100),MOD(INT('월 가계부'!A2890),100)),""),""),IF(AND('월 가계부'!A2890&gt;=36526,'월 가계부'!A2890&lt;73051),INT('월 가계부'!A2890),"")),IF(OR(CM2890="",CN2890="",CO2890=""),"",IF(AND(CM2890&gt;=2000,CM2890&lt;=2099,CN2890&gt;=1,CN2890&lt;=12,CO2890&gt;=1,CO2890&lt;=31),IF(MONTH(DATE(CM2890,CN2890,CO2890))=CN2890,DATE(CM2890,CN2890,CO2890),""),"")))),"")</f>
        <v/>
      </c>
      <c r="CJ2890">
        <f>IFERROR(IF('월 가계부'!C2890="","",IF(ISNUMBER('월 가계부'!C2890),'월 가계부'!C2890,VALUE(SUBSTITUTE(SUBSTITUTE(SUBSTITUTE(SUBSTITUTE(TRIM('월 가계부'!C2890),",",""),"원","")," ",""),"−","-")))),"")</f>
        <v/>
      </c>
      <c r="CK2890">
        <f>IF(ISNUMBER(CI2890),IF(CI2890&lt;$B$13,CI2890,""),"")</f>
        <v/>
      </c>
      <c r="CM2890">
        <f>IF(CH2890="","",IFERROR(IF(IF(AND(LEN(CH2890)=9,ISERROR(FIND("-",LEFT(CH2890,8))),ISNUMBER(-LEFT(CH2890,8))),VALUE(LEFT(CH2890,4)),VALUE(LEFT(CH2890,FIND("-",CH2890)-1)))&lt;100,IF(AND(LEN(CH2890)=9,ISERROR(FIND("-",LEFT(CH2890,8))),ISNUMBER(-LEFT(CH2890,8))),VALUE(LEFT(CH2890,4)),VALUE(LEFT(CH2890,FIND("-",CH2890)-1)))+2000,IF(AND(LEN(CH2890)=9,ISERROR(FIND("-",LEFT(CH2890,8))),ISNUMBER(-LEFT(CH2890,8))),VALUE(LEFT(CH2890,4)),VALUE(LEFT(CH2890,FIND("-",CH2890)-1)))),""))</f>
        <v/>
      </c>
      <c r="CN2890">
        <f>IF(CH2890="","",IFERROR(IF(AND(LEN(CH2890)=9,ISERROR(FIND("-",LEFT(CH2890,8))),ISNUMBER(-LEFT(CH2890,8))),VALUE(MID(CH2890,5,2)),VALUE(MID(CH2890,FIND("-",CH2890)+1,FIND("-",CH2890,FIND("-",CH2890)+1)-FIND("-",CH2890)-1))),""))</f>
        <v/>
      </c>
      <c r="CO2890">
        <f>IF(CH2890="","",IFERROR(IF(AND(LEN(CH2890)=9,ISERROR(FIND("-",LEFT(CH2890,8))),ISNUMBER(-LEFT(CH2890,8))),VALUE(MID(CH2890,7,2)),VALUE(MID(CH2890,FIND("-",CH2890,FIND("-",CH2890)+1)+1,FIND("-",CH2890,FIND("-",CH2890,FIND("-",CH2890)+1)+1)-FIND("-",CH2890,FIND("-",CH2890)+1)-1))),""))</f>
        <v/>
      </c>
    </row>
    <row r="2891">
      <c r="CH2891">
        <f>IF(ISTEXT('월 가계부'!A2891),SUBSTITUTE(SUBSTITUTE(SUBSTITUTE(SUBSTITUTE(SUBSTITUTE(SUBSTITUTE(SUBSTITUTE(SUBSTITUTE(SUBSTITUTE(TRIM('월 가계부'!A2891),"년","-"),"월","-"),"일",""),".","-"),"/","-")," ","-"),"--","-"),"--","-"),"--","-")&amp;"-","")</f>
        <v/>
      </c>
      <c r="CI2891">
        <f>IFERROR(IF('월 가계부'!A2891="","",IF(ISNUMBER('월 가계부'!A2891),IF(AND('월 가계부'!A2891&gt;=19000101,'월 가계부'!A2891&lt;=21001231),IF(AND(MOD(INT('월 가계부'!A2891/100),100)&gt;=1,MOD(INT('월 가계부'!A2891/100),100)&lt;=12,MOD(INT('월 가계부'!A2891),100)&gt;=1,MOD(INT('월 가계부'!A2891),100)&lt;=31),IF(MONTH(DATE(INT('월 가계부'!A2891/10000),MOD(INT('월 가계부'!A2891/100),100),MOD(INT('월 가계부'!A2891),100)))=MOD(INT('월 가계부'!A2891/100),100),DATE(INT('월 가계부'!A2891/10000),MOD(INT('월 가계부'!A2891/100),100),MOD(INT('월 가계부'!A2891),100)),""),""),IF(AND('월 가계부'!A2891&gt;=36526,'월 가계부'!A2891&lt;73051),INT('월 가계부'!A2891),"")),IF(OR(CM2891="",CN2891="",CO2891=""),"",IF(AND(CM2891&gt;=2000,CM2891&lt;=2099,CN2891&gt;=1,CN2891&lt;=12,CO2891&gt;=1,CO2891&lt;=31),IF(MONTH(DATE(CM2891,CN2891,CO2891))=CN2891,DATE(CM2891,CN2891,CO2891),""),"")))),"")</f>
        <v/>
      </c>
      <c r="CJ2891">
        <f>IFERROR(IF('월 가계부'!C2891="","",IF(ISNUMBER('월 가계부'!C2891),'월 가계부'!C2891,VALUE(SUBSTITUTE(SUBSTITUTE(SUBSTITUTE(SUBSTITUTE(TRIM('월 가계부'!C2891),",",""),"원","")," ",""),"−","-")))),"")</f>
        <v/>
      </c>
      <c r="CK2891">
        <f>IF(ISNUMBER(CI2891),IF(CI2891&lt;$B$13,CI2891,""),"")</f>
        <v/>
      </c>
      <c r="CM2891">
        <f>IF(CH2891="","",IFERROR(IF(IF(AND(LEN(CH2891)=9,ISERROR(FIND("-",LEFT(CH2891,8))),ISNUMBER(-LEFT(CH2891,8))),VALUE(LEFT(CH2891,4)),VALUE(LEFT(CH2891,FIND("-",CH2891)-1)))&lt;100,IF(AND(LEN(CH2891)=9,ISERROR(FIND("-",LEFT(CH2891,8))),ISNUMBER(-LEFT(CH2891,8))),VALUE(LEFT(CH2891,4)),VALUE(LEFT(CH2891,FIND("-",CH2891)-1)))+2000,IF(AND(LEN(CH2891)=9,ISERROR(FIND("-",LEFT(CH2891,8))),ISNUMBER(-LEFT(CH2891,8))),VALUE(LEFT(CH2891,4)),VALUE(LEFT(CH2891,FIND("-",CH2891)-1)))),""))</f>
        <v/>
      </c>
      <c r="CN2891">
        <f>IF(CH2891="","",IFERROR(IF(AND(LEN(CH2891)=9,ISERROR(FIND("-",LEFT(CH2891,8))),ISNUMBER(-LEFT(CH2891,8))),VALUE(MID(CH2891,5,2)),VALUE(MID(CH2891,FIND("-",CH2891)+1,FIND("-",CH2891,FIND("-",CH2891)+1)-FIND("-",CH2891)-1))),""))</f>
        <v/>
      </c>
      <c r="CO2891">
        <f>IF(CH2891="","",IFERROR(IF(AND(LEN(CH2891)=9,ISERROR(FIND("-",LEFT(CH2891,8))),ISNUMBER(-LEFT(CH2891,8))),VALUE(MID(CH2891,7,2)),VALUE(MID(CH2891,FIND("-",CH2891,FIND("-",CH2891)+1)+1,FIND("-",CH2891,FIND("-",CH2891,FIND("-",CH2891)+1)+1)-FIND("-",CH2891,FIND("-",CH2891)+1)-1))),""))</f>
        <v/>
      </c>
    </row>
    <row r="2892">
      <c r="CH2892">
        <f>IF(ISTEXT('월 가계부'!A2892),SUBSTITUTE(SUBSTITUTE(SUBSTITUTE(SUBSTITUTE(SUBSTITUTE(SUBSTITUTE(SUBSTITUTE(SUBSTITUTE(SUBSTITUTE(TRIM('월 가계부'!A2892),"년","-"),"월","-"),"일",""),".","-"),"/","-")," ","-"),"--","-"),"--","-"),"--","-")&amp;"-","")</f>
        <v/>
      </c>
      <c r="CI2892">
        <f>IFERROR(IF('월 가계부'!A2892="","",IF(ISNUMBER('월 가계부'!A2892),IF(AND('월 가계부'!A2892&gt;=19000101,'월 가계부'!A2892&lt;=21001231),IF(AND(MOD(INT('월 가계부'!A2892/100),100)&gt;=1,MOD(INT('월 가계부'!A2892/100),100)&lt;=12,MOD(INT('월 가계부'!A2892),100)&gt;=1,MOD(INT('월 가계부'!A2892),100)&lt;=31),IF(MONTH(DATE(INT('월 가계부'!A2892/10000),MOD(INT('월 가계부'!A2892/100),100),MOD(INT('월 가계부'!A2892),100)))=MOD(INT('월 가계부'!A2892/100),100),DATE(INT('월 가계부'!A2892/10000),MOD(INT('월 가계부'!A2892/100),100),MOD(INT('월 가계부'!A2892),100)),""),""),IF(AND('월 가계부'!A2892&gt;=36526,'월 가계부'!A2892&lt;73051),INT('월 가계부'!A2892),"")),IF(OR(CM2892="",CN2892="",CO2892=""),"",IF(AND(CM2892&gt;=2000,CM2892&lt;=2099,CN2892&gt;=1,CN2892&lt;=12,CO2892&gt;=1,CO2892&lt;=31),IF(MONTH(DATE(CM2892,CN2892,CO2892))=CN2892,DATE(CM2892,CN2892,CO2892),""),"")))),"")</f>
        <v/>
      </c>
      <c r="CJ2892">
        <f>IFERROR(IF('월 가계부'!C2892="","",IF(ISNUMBER('월 가계부'!C2892),'월 가계부'!C2892,VALUE(SUBSTITUTE(SUBSTITUTE(SUBSTITUTE(SUBSTITUTE(TRIM('월 가계부'!C2892),",",""),"원","")," ",""),"−","-")))),"")</f>
        <v/>
      </c>
      <c r="CK2892">
        <f>IF(ISNUMBER(CI2892),IF(CI2892&lt;$B$13,CI2892,""),"")</f>
        <v/>
      </c>
      <c r="CM2892">
        <f>IF(CH2892="","",IFERROR(IF(IF(AND(LEN(CH2892)=9,ISERROR(FIND("-",LEFT(CH2892,8))),ISNUMBER(-LEFT(CH2892,8))),VALUE(LEFT(CH2892,4)),VALUE(LEFT(CH2892,FIND("-",CH2892)-1)))&lt;100,IF(AND(LEN(CH2892)=9,ISERROR(FIND("-",LEFT(CH2892,8))),ISNUMBER(-LEFT(CH2892,8))),VALUE(LEFT(CH2892,4)),VALUE(LEFT(CH2892,FIND("-",CH2892)-1)))+2000,IF(AND(LEN(CH2892)=9,ISERROR(FIND("-",LEFT(CH2892,8))),ISNUMBER(-LEFT(CH2892,8))),VALUE(LEFT(CH2892,4)),VALUE(LEFT(CH2892,FIND("-",CH2892)-1)))),""))</f>
        <v/>
      </c>
      <c r="CN2892">
        <f>IF(CH2892="","",IFERROR(IF(AND(LEN(CH2892)=9,ISERROR(FIND("-",LEFT(CH2892,8))),ISNUMBER(-LEFT(CH2892,8))),VALUE(MID(CH2892,5,2)),VALUE(MID(CH2892,FIND("-",CH2892)+1,FIND("-",CH2892,FIND("-",CH2892)+1)-FIND("-",CH2892)-1))),""))</f>
        <v/>
      </c>
      <c r="CO2892">
        <f>IF(CH2892="","",IFERROR(IF(AND(LEN(CH2892)=9,ISERROR(FIND("-",LEFT(CH2892,8))),ISNUMBER(-LEFT(CH2892,8))),VALUE(MID(CH2892,7,2)),VALUE(MID(CH2892,FIND("-",CH2892,FIND("-",CH2892)+1)+1,FIND("-",CH2892,FIND("-",CH2892,FIND("-",CH2892)+1)+1)-FIND("-",CH2892,FIND("-",CH2892)+1)-1))),""))</f>
        <v/>
      </c>
    </row>
    <row r="2893">
      <c r="CH2893">
        <f>IF(ISTEXT('월 가계부'!A2893),SUBSTITUTE(SUBSTITUTE(SUBSTITUTE(SUBSTITUTE(SUBSTITUTE(SUBSTITUTE(SUBSTITUTE(SUBSTITUTE(SUBSTITUTE(TRIM('월 가계부'!A2893),"년","-"),"월","-"),"일",""),".","-"),"/","-")," ","-"),"--","-"),"--","-"),"--","-")&amp;"-","")</f>
        <v/>
      </c>
      <c r="CI2893">
        <f>IFERROR(IF('월 가계부'!A2893="","",IF(ISNUMBER('월 가계부'!A2893),IF(AND('월 가계부'!A2893&gt;=19000101,'월 가계부'!A2893&lt;=21001231),IF(AND(MOD(INT('월 가계부'!A2893/100),100)&gt;=1,MOD(INT('월 가계부'!A2893/100),100)&lt;=12,MOD(INT('월 가계부'!A2893),100)&gt;=1,MOD(INT('월 가계부'!A2893),100)&lt;=31),IF(MONTH(DATE(INT('월 가계부'!A2893/10000),MOD(INT('월 가계부'!A2893/100),100),MOD(INT('월 가계부'!A2893),100)))=MOD(INT('월 가계부'!A2893/100),100),DATE(INT('월 가계부'!A2893/10000),MOD(INT('월 가계부'!A2893/100),100),MOD(INT('월 가계부'!A2893),100)),""),""),IF(AND('월 가계부'!A2893&gt;=36526,'월 가계부'!A2893&lt;73051),INT('월 가계부'!A2893),"")),IF(OR(CM2893="",CN2893="",CO2893=""),"",IF(AND(CM2893&gt;=2000,CM2893&lt;=2099,CN2893&gt;=1,CN2893&lt;=12,CO2893&gt;=1,CO2893&lt;=31),IF(MONTH(DATE(CM2893,CN2893,CO2893))=CN2893,DATE(CM2893,CN2893,CO2893),""),"")))),"")</f>
        <v/>
      </c>
      <c r="CJ2893">
        <f>IFERROR(IF('월 가계부'!C2893="","",IF(ISNUMBER('월 가계부'!C2893),'월 가계부'!C2893,VALUE(SUBSTITUTE(SUBSTITUTE(SUBSTITUTE(SUBSTITUTE(TRIM('월 가계부'!C2893),",",""),"원","")," ",""),"−","-")))),"")</f>
        <v/>
      </c>
      <c r="CK2893">
        <f>IF(ISNUMBER(CI2893),IF(CI2893&lt;$B$13,CI2893,""),"")</f>
        <v/>
      </c>
      <c r="CM2893">
        <f>IF(CH2893="","",IFERROR(IF(IF(AND(LEN(CH2893)=9,ISERROR(FIND("-",LEFT(CH2893,8))),ISNUMBER(-LEFT(CH2893,8))),VALUE(LEFT(CH2893,4)),VALUE(LEFT(CH2893,FIND("-",CH2893)-1)))&lt;100,IF(AND(LEN(CH2893)=9,ISERROR(FIND("-",LEFT(CH2893,8))),ISNUMBER(-LEFT(CH2893,8))),VALUE(LEFT(CH2893,4)),VALUE(LEFT(CH2893,FIND("-",CH2893)-1)))+2000,IF(AND(LEN(CH2893)=9,ISERROR(FIND("-",LEFT(CH2893,8))),ISNUMBER(-LEFT(CH2893,8))),VALUE(LEFT(CH2893,4)),VALUE(LEFT(CH2893,FIND("-",CH2893)-1)))),""))</f>
        <v/>
      </c>
      <c r="CN2893">
        <f>IF(CH2893="","",IFERROR(IF(AND(LEN(CH2893)=9,ISERROR(FIND("-",LEFT(CH2893,8))),ISNUMBER(-LEFT(CH2893,8))),VALUE(MID(CH2893,5,2)),VALUE(MID(CH2893,FIND("-",CH2893)+1,FIND("-",CH2893,FIND("-",CH2893)+1)-FIND("-",CH2893)-1))),""))</f>
        <v/>
      </c>
      <c r="CO2893">
        <f>IF(CH2893="","",IFERROR(IF(AND(LEN(CH2893)=9,ISERROR(FIND("-",LEFT(CH2893,8))),ISNUMBER(-LEFT(CH2893,8))),VALUE(MID(CH2893,7,2)),VALUE(MID(CH2893,FIND("-",CH2893,FIND("-",CH2893)+1)+1,FIND("-",CH2893,FIND("-",CH2893,FIND("-",CH2893)+1)+1)-FIND("-",CH2893,FIND("-",CH2893)+1)-1))),""))</f>
        <v/>
      </c>
    </row>
    <row r="2894">
      <c r="CH2894">
        <f>IF(ISTEXT('월 가계부'!A2894),SUBSTITUTE(SUBSTITUTE(SUBSTITUTE(SUBSTITUTE(SUBSTITUTE(SUBSTITUTE(SUBSTITUTE(SUBSTITUTE(SUBSTITUTE(TRIM('월 가계부'!A2894),"년","-"),"월","-"),"일",""),".","-"),"/","-")," ","-"),"--","-"),"--","-"),"--","-")&amp;"-","")</f>
        <v/>
      </c>
      <c r="CI2894">
        <f>IFERROR(IF('월 가계부'!A2894="","",IF(ISNUMBER('월 가계부'!A2894),IF(AND('월 가계부'!A2894&gt;=19000101,'월 가계부'!A2894&lt;=21001231),IF(AND(MOD(INT('월 가계부'!A2894/100),100)&gt;=1,MOD(INT('월 가계부'!A2894/100),100)&lt;=12,MOD(INT('월 가계부'!A2894),100)&gt;=1,MOD(INT('월 가계부'!A2894),100)&lt;=31),IF(MONTH(DATE(INT('월 가계부'!A2894/10000),MOD(INT('월 가계부'!A2894/100),100),MOD(INT('월 가계부'!A2894),100)))=MOD(INT('월 가계부'!A2894/100),100),DATE(INT('월 가계부'!A2894/10000),MOD(INT('월 가계부'!A2894/100),100),MOD(INT('월 가계부'!A2894),100)),""),""),IF(AND('월 가계부'!A2894&gt;=36526,'월 가계부'!A2894&lt;73051),INT('월 가계부'!A2894),"")),IF(OR(CM2894="",CN2894="",CO2894=""),"",IF(AND(CM2894&gt;=2000,CM2894&lt;=2099,CN2894&gt;=1,CN2894&lt;=12,CO2894&gt;=1,CO2894&lt;=31),IF(MONTH(DATE(CM2894,CN2894,CO2894))=CN2894,DATE(CM2894,CN2894,CO2894),""),"")))),"")</f>
        <v/>
      </c>
      <c r="CJ2894">
        <f>IFERROR(IF('월 가계부'!C2894="","",IF(ISNUMBER('월 가계부'!C2894),'월 가계부'!C2894,VALUE(SUBSTITUTE(SUBSTITUTE(SUBSTITUTE(SUBSTITUTE(TRIM('월 가계부'!C2894),",",""),"원","")," ",""),"−","-")))),"")</f>
        <v/>
      </c>
      <c r="CK2894">
        <f>IF(ISNUMBER(CI2894),IF(CI2894&lt;$B$13,CI2894,""),"")</f>
        <v/>
      </c>
      <c r="CM2894">
        <f>IF(CH2894="","",IFERROR(IF(IF(AND(LEN(CH2894)=9,ISERROR(FIND("-",LEFT(CH2894,8))),ISNUMBER(-LEFT(CH2894,8))),VALUE(LEFT(CH2894,4)),VALUE(LEFT(CH2894,FIND("-",CH2894)-1)))&lt;100,IF(AND(LEN(CH2894)=9,ISERROR(FIND("-",LEFT(CH2894,8))),ISNUMBER(-LEFT(CH2894,8))),VALUE(LEFT(CH2894,4)),VALUE(LEFT(CH2894,FIND("-",CH2894)-1)))+2000,IF(AND(LEN(CH2894)=9,ISERROR(FIND("-",LEFT(CH2894,8))),ISNUMBER(-LEFT(CH2894,8))),VALUE(LEFT(CH2894,4)),VALUE(LEFT(CH2894,FIND("-",CH2894)-1)))),""))</f>
        <v/>
      </c>
      <c r="CN2894">
        <f>IF(CH2894="","",IFERROR(IF(AND(LEN(CH2894)=9,ISERROR(FIND("-",LEFT(CH2894,8))),ISNUMBER(-LEFT(CH2894,8))),VALUE(MID(CH2894,5,2)),VALUE(MID(CH2894,FIND("-",CH2894)+1,FIND("-",CH2894,FIND("-",CH2894)+1)-FIND("-",CH2894)-1))),""))</f>
        <v/>
      </c>
      <c r="CO2894">
        <f>IF(CH2894="","",IFERROR(IF(AND(LEN(CH2894)=9,ISERROR(FIND("-",LEFT(CH2894,8))),ISNUMBER(-LEFT(CH2894,8))),VALUE(MID(CH2894,7,2)),VALUE(MID(CH2894,FIND("-",CH2894,FIND("-",CH2894)+1)+1,FIND("-",CH2894,FIND("-",CH2894,FIND("-",CH2894)+1)+1)-FIND("-",CH2894,FIND("-",CH2894)+1)-1))),""))</f>
        <v/>
      </c>
    </row>
    <row r="2895">
      <c r="CH2895">
        <f>IF(ISTEXT('월 가계부'!A2895),SUBSTITUTE(SUBSTITUTE(SUBSTITUTE(SUBSTITUTE(SUBSTITUTE(SUBSTITUTE(SUBSTITUTE(SUBSTITUTE(SUBSTITUTE(TRIM('월 가계부'!A2895),"년","-"),"월","-"),"일",""),".","-"),"/","-")," ","-"),"--","-"),"--","-"),"--","-")&amp;"-","")</f>
        <v/>
      </c>
      <c r="CI2895">
        <f>IFERROR(IF('월 가계부'!A2895="","",IF(ISNUMBER('월 가계부'!A2895),IF(AND('월 가계부'!A2895&gt;=19000101,'월 가계부'!A2895&lt;=21001231),IF(AND(MOD(INT('월 가계부'!A2895/100),100)&gt;=1,MOD(INT('월 가계부'!A2895/100),100)&lt;=12,MOD(INT('월 가계부'!A2895),100)&gt;=1,MOD(INT('월 가계부'!A2895),100)&lt;=31),IF(MONTH(DATE(INT('월 가계부'!A2895/10000),MOD(INT('월 가계부'!A2895/100),100),MOD(INT('월 가계부'!A2895),100)))=MOD(INT('월 가계부'!A2895/100),100),DATE(INT('월 가계부'!A2895/10000),MOD(INT('월 가계부'!A2895/100),100),MOD(INT('월 가계부'!A2895),100)),""),""),IF(AND('월 가계부'!A2895&gt;=36526,'월 가계부'!A2895&lt;73051),INT('월 가계부'!A2895),"")),IF(OR(CM2895="",CN2895="",CO2895=""),"",IF(AND(CM2895&gt;=2000,CM2895&lt;=2099,CN2895&gt;=1,CN2895&lt;=12,CO2895&gt;=1,CO2895&lt;=31),IF(MONTH(DATE(CM2895,CN2895,CO2895))=CN2895,DATE(CM2895,CN2895,CO2895),""),"")))),"")</f>
        <v/>
      </c>
      <c r="CJ2895">
        <f>IFERROR(IF('월 가계부'!C2895="","",IF(ISNUMBER('월 가계부'!C2895),'월 가계부'!C2895,VALUE(SUBSTITUTE(SUBSTITUTE(SUBSTITUTE(SUBSTITUTE(TRIM('월 가계부'!C2895),",",""),"원","")," ",""),"−","-")))),"")</f>
        <v/>
      </c>
      <c r="CK2895">
        <f>IF(ISNUMBER(CI2895),IF(CI2895&lt;$B$13,CI2895,""),"")</f>
        <v/>
      </c>
      <c r="CM2895">
        <f>IF(CH2895="","",IFERROR(IF(IF(AND(LEN(CH2895)=9,ISERROR(FIND("-",LEFT(CH2895,8))),ISNUMBER(-LEFT(CH2895,8))),VALUE(LEFT(CH2895,4)),VALUE(LEFT(CH2895,FIND("-",CH2895)-1)))&lt;100,IF(AND(LEN(CH2895)=9,ISERROR(FIND("-",LEFT(CH2895,8))),ISNUMBER(-LEFT(CH2895,8))),VALUE(LEFT(CH2895,4)),VALUE(LEFT(CH2895,FIND("-",CH2895)-1)))+2000,IF(AND(LEN(CH2895)=9,ISERROR(FIND("-",LEFT(CH2895,8))),ISNUMBER(-LEFT(CH2895,8))),VALUE(LEFT(CH2895,4)),VALUE(LEFT(CH2895,FIND("-",CH2895)-1)))),""))</f>
        <v/>
      </c>
      <c r="CN2895">
        <f>IF(CH2895="","",IFERROR(IF(AND(LEN(CH2895)=9,ISERROR(FIND("-",LEFT(CH2895,8))),ISNUMBER(-LEFT(CH2895,8))),VALUE(MID(CH2895,5,2)),VALUE(MID(CH2895,FIND("-",CH2895)+1,FIND("-",CH2895,FIND("-",CH2895)+1)-FIND("-",CH2895)-1))),""))</f>
        <v/>
      </c>
      <c r="CO2895">
        <f>IF(CH2895="","",IFERROR(IF(AND(LEN(CH2895)=9,ISERROR(FIND("-",LEFT(CH2895,8))),ISNUMBER(-LEFT(CH2895,8))),VALUE(MID(CH2895,7,2)),VALUE(MID(CH2895,FIND("-",CH2895,FIND("-",CH2895)+1)+1,FIND("-",CH2895,FIND("-",CH2895,FIND("-",CH2895)+1)+1)-FIND("-",CH2895,FIND("-",CH2895)+1)-1))),""))</f>
        <v/>
      </c>
    </row>
    <row r="2896">
      <c r="CH2896">
        <f>IF(ISTEXT('월 가계부'!A2896),SUBSTITUTE(SUBSTITUTE(SUBSTITUTE(SUBSTITUTE(SUBSTITUTE(SUBSTITUTE(SUBSTITUTE(SUBSTITUTE(SUBSTITUTE(TRIM('월 가계부'!A2896),"년","-"),"월","-"),"일",""),".","-"),"/","-")," ","-"),"--","-"),"--","-"),"--","-")&amp;"-","")</f>
        <v/>
      </c>
      <c r="CI2896">
        <f>IFERROR(IF('월 가계부'!A2896="","",IF(ISNUMBER('월 가계부'!A2896),IF(AND('월 가계부'!A2896&gt;=19000101,'월 가계부'!A2896&lt;=21001231),IF(AND(MOD(INT('월 가계부'!A2896/100),100)&gt;=1,MOD(INT('월 가계부'!A2896/100),100)&lt;=12,MOD(INT('월 가계부'!A2896),100)&gt;=1,MOD(INT('월 가계부'!A2896),100)&lt;=31),IF(MONTH(DATE(INT('월 가계부'!A2896/10000),MOD(INT('월 가계부'!A2896/100),100),MOD(INT('월 가계부'!A2896),100)))=MOD(INT('월 가계부'!A2896/100),100),DATE(INT('월 가계부'!A2896/10000),MOD(INT('월 가계부'!A2896/100),100),MOD(INT('월 가계부'!A2896),100)),""),""),IF(AND('월 가계부'!A2896&gt;=36526,'월 가계부'!A2896&lt;73051),INT('월 가계부'!A2896),"")),IF(OR(CM2896="",CN2896="",CO2896=""),"",IF(AND(CM2896&gt;=2000,CM2896&lt;=2099,CN2896&gt;=1,CN2896&lt;=12,CO2896&gt;=1,CO2896&lt;=31),IF(MONTH(DATE(CM2896,CN2896,CO2896))=CN2896,DATE(CM2896,CN2896,CO2896),""),"")))),"")</f>
        <v/>
      </c>
      <c r="CJ2896">
        <f>IFERROR(IF('월 가계부'!C2896="","",IF(ISNUMBER('월 가계부'!C2896),'월 가계부'!C2896,VALUE(SUBSTITUTE(SUBSTITUTE(SUBSTITUTE(SUBSTITUTE(TRIM('월 가계부'!C2896),",",""),"원","")," ",""),"−","-")))),"")</f>
        <v/>
      </c>
      <c r="CK2896">
        <f>IF(ISNUMBER(CI2896),IF(CI2896&lt;$B$13,CI2896,""),"")</f>
        <v/>
      </c>
      <c r="CM2896">
        <f>IF(CH2896="","",IFERROR(IF(IF(AND(LEN(CH2896)=9,ISERROR(FIND("-",LEFT(CH2896,8))),ISNUMBER(-LEFT(CH2896,8))),VALUE(LEFT(CH2896,4)),VALUE(LEFT(CH2896,FIND("-",CH2896)-1)))&lt;100,IF(AND(LEN(CH2896)=9,ISERROR(FIND("-",LEFT(CH2896,8))),ISNUMBER(-LEFT(CH2896,8))),VALUE(LEFT(CH2896,4)),VALUE(LEFT(CH2896,FIND("-",CH2896)-1)))+2000,IF(AND(LEN(CH2896)=9,ISERROR(FIND("-",LEFT(CH2896,8))),ISNUMBER(-LEFT(CH2896,8))),VALUE(LEFT(CH2896,4)),VALUE(LEFT(CH2896,FIND("-",CH2896)-1)))),""))</f>
        <v/>
      </c>
      <c r="CN2896">
        <f>IF(CH2896="","",IFERROR(IF(AND(LEN(CH2896)=9,ISERROR(FIND("-",LEFT(CH2896,8))),ISNUMBER(-LEFT(CH2896,8))),VALUE(MID(CH2896,5,2)),VALUE(MID(CH2896,FIND("-",CH2896)+1,FIND("-",CH2896,FIND("-",CH2896)+1)-FIND("-",CH2896)-1))),""))</f>
        <v/>
      </c>
      <c r="CO2896">
        <f>IF(CH2896="","",IFERROR(IF(AND(LEN(CH2896)=9,ISERROR(FIND("-",LEFT(CH2896,8))),ISNUMBER(-LEFT(CH2896,8))),VALUE(MID(CH2896,7,2)),VALUE(MID(CH2896,FIND("-",CH2896,FIND("-",CH2896)+1)+1,FIND("-",CH2896,FIND("-",CH2896,FIND("-",CH2896)+1)+1)-FIND("-",CH2896,FIND("-",CH2896)+1)-1))),""))</f>
        <v/>
      </c>
    </row>
    <row r="2897">
      <c r="CH2897">
        <f>IF(ISTEXT('월 가계부'!A2897),SUBSTITUTE(SUBSTITUTE(SUBSTITUTE(SUBSTITUTE(SUBSTITUTE(SUBSTITUTE(SUBSTITUTE(SUBSTITUTE(SUBSTITUTE(TRIM('월 가계부'!A2897),"년","-"),"월","-"),"일",""),".","-"),"/","-")," ","-"),"--","-"),"--","-"),"--","-")&amp;"-","")</f>
        <v/>
      </c>
      <c r="CI2897">
        <f>IFERROR(IF('월 가계부'!A2897="","",IF(ISNUMBER('월 가계부'!A2897),IF(AND('월 가계부'!A2897&gt;=19000101,'월 가계부'!A2897&lt;=21001231),IF(AND(MOD(INT('월 가계부'!A2897/100),100)&gt;=1,MOD(INT('월 가계부'!A2897/100),100)&lt;=12,MOD(INT('월 가계부'!A2897),100)&gt;=1,MOD(INT('월 가계부'!A2897),100)&lt;=31),IF(MONTH(DATE(INT('월 가계부'!A2897/10000),MOD(INT('월 가계부'!A2897/100),100),MOD(INT('월 가계부'!A2897),100)))=MOD(INT('월 가계부'!A2897/100),100),DATE(INT('월 가계부'!A2897/10000),MOD(INT('월 가계부'!A2897/100),100),MOD(INT('월 가계부'!A2897),100)),""),""),IF(AND('월 가계부'!A2897&gt;=36526,'월 가계부'!A2897&lt;73051),INT('월 가계부'!A2897),"")),IF(OR(CM2897="",CN2897="",CO2897=""),"",IF(AND(CM2897&gt;=2000,CM2897&lt;=2099,CN2897&gt;=1,CN2897&lt;=12,CO2897&gt;=1,CO2897&lt;=31),IF(MONTH(DATE(CM2897,CN2897,CO2897))=CN2897,DATE(CM2897,CN2897,CO2897),""),"")))),"")</f>
        <v/>
      </c>
      <c r="CJ2897">
        <f>IFERROR(IF('월 가계부'!C2897="","",IF(ISNUMBER('월 가계부'!C2897),'월 가계부'!C2897,VALUE(SUBSTITUTE(SUBSTITUTE(SUBSTITUTE(SUBSTITUTE(TRIM('월 가계부'!C2897),",",""),"원","")," ",""),"−","-")))),"")</f>
        <v/>
      </c>
      <c r="CK2897">
        <f>IF(ISNUMBER(CI2897),IF(CI2897&lt;$B$13,CI2897,""),"")</f>
        <v/>
      </c>
      <c r="CM2897">
        <f>IF(CH2897="","",IFERROR(IF(IF(AND(LEN(CH2897)=9,ISERROR(FIND("-",LEFT(CH2897,8))),ISNUMBER(-LEFT(CH2897,8))),VALUE(LEFT(CH2897,4)),VALUE(LEFT(CH2897,FIND("-",CH2897)-1)))&lt;100,IF(AND(LEN(CH2897)=9,ISERROR(FIND("-",LEFT(CH2897,8))),ISNUMBER(-LEFT(CH2897,8))),VALUE(LEFT(CH2897,4)),VALUE(LEFT(CH2897,FIND("-",CH2897)-1)))+2000,IF(AND(LEN(CH2897)=9,ISERROR(FIND("-",LEFT(CH2897,8))),ISNUMBER(-LEFT(CH2897,8))),VALUE(LEFT(CH2897,4)),VALUE(LEFT(CH2897,FIND("-",CH2897)-1)))),""))</f>
        <v/>
      </c>
      <c r="CN2897">
        <f>IF(CH2897="","",IFERROR(IF(AND(LEN(CH2897)=9,ISERROR(FIND("-",LEFT(CH2897,8))),ISNUMBER(-LEFT(CH2897,8))),VALUE(MID(CH2897,5,2)),VALUE(MID(CH2897,FIND("-",CH2897)+1,FIND("-",CH2897,FIND("-",CH2897)+1)-FIND("-",CH2897)-1))),""))</f>
        <v/>
      </c>
      <c r="CO2897">
        <f>IF(CH2897="","",IFERROR(IF(AND(LEN(CH2897)=9,ISERROR(FIND("-",LEFT(CH2897,8))),ISNUMBER(-LEFT(CH2897,8))),VALUE(MID(CH2897,7,2)),VALUE(MID(CH2897,FIND("-",CH2897,FIND("-",CH2897)+1)+1,FIND("-",CH2897,FIND("-",CH2897,FIND("-",CH2897)+1)+1)-FIND("-",CH2897,FIND("-",CH2897)+1)-1))),""))</f>
        <v/>
      </c>
    </row>
    <row r="2898">
      <c r="CH2898">
        <f>IF(ISTEXT('월 가계부'!A2898),SUBSTITUTE(SUBSTITUTE(SUBSTITUTE(SUBSTITUTE(SUBSTITUTE(SUBSTITUTE(SUBSTITUTE(SUBSTITUTE(SUBSTITUTE(TRIM('월 가계부'!A2898),"년","-"),"월","-"),"일",""),".","-"),"/","-")," ","-"),"--","-"),"--","-"),"--","-")&amp;"-","")</f>
        <v/>
      </c>
      <c r="CI2898">
        <f>IFERROR(IF('월 가계부'!A2898="","",IF(ISNUMBER('월 가계부'!A2898),IF(AND('월 가계부'!A2898&gt;=19000101,'월 가계부'!A2898&lt;=21001231),IF(AND(MOD(INT('월 가계부'!A2898/100),100)&gt;=1,MOD(INT('월 가계부'!A2898/100),100)&lt;=12,MOD(INT('월 가계부'!A2898),100)&gt;=1,MOD(INT('월 가계부'!A2898),100)&lt;=31),IF(MONTH(DATE(INT('월 가계부'!A2898/10000),MOD(INT('월 가계부'!A2898/100),100),MOD(INT('월 가계부'!A2898),100)))=MOD(INT('월 가계부'!A2898/100),100),DATE(INT('월 가계부'!A2898/10000),MOD(INT('월 가계부'!A2898/100),100),MOD(INT('월 가계부'!A2898),100)),""),""),IF(AND('월 가계부'!A2898&gt;=36526,'월 가계부'!A2898&lt;73051),INT('월 가계부'!A2898),"")),IF(OR(CM2898="",CN2898="",CO2898=""),"",IF(AND(CM2898&gt;=2000,CM2898&lt;=2099,CN2898&gt;=1,CN2898&lt;=12,CO2898&gt;=1,CO2898&lt;=31),IF(MONTH(DATE(CM2898,CN2898,CO2898))=CN2898,DATE(CM2898,CN2898,CO2898),""),"")))),"")</f>
        <v/>
      </c>
      <c r="CJ2898">
        <f>IFERROR(IF('월 가계부'!C2898="","",IF(ISNUMBER('월 가계부'!C2898),'월 가계부'!C2898,VALUE(SUBSTITUTE(SUBSTITUTE(SUBSTITUTE(SUBSTITUTE(TRIM('월 가계부'!C2898),",",""),"원","")," ",""),"−","-")))),"")</f>
        <v/>
      </c>
      <c r="CK2898">
        <f>IF(ISNUMBER(CI2898),IF(CI2898&lt;$B$13,CI2898,""),"")</f>
        <v/>
      </c>
      <c r="CM2898">
        <f>IF(CH2898="","",IFERROR(IF(IF(AND(LEN(CH2898)=9,ISERROR(FIND("-",LEFT(CH2898,8))),ISNUMBER(-LEFT(CH2898,8))),VALUE(LEFT(CH2898,4)),VALUE(LEFT(CH2898,FIND("-",CH2898)-1)))&lt;100,IF(AND(LEN(CH2898)=9,ISERROR(FIND("-",LEFT(CH2898,8))),ISNUMBER(-LEFT(CH2898,8))),VALUE(LEFT(CH2898,4)),VALUE(LEFT(CH2898,FIND("-",CH2898)-1)))+2000,IF(AND(LEN(CH2898)=9,ISERROR(FIND("-",LEFT(CH2898,8))),ISNUMBER(-LEFT(CH2898,8))),VALUE(LEFT(CH2898,4)),VALUE(LEFT(CH2898,FIND("-",CH2898)-1)))),""))</f>
        <v/>
      </c>
      <c r="CN2898">
        <f>IF(CH2898="","",IFERROR(IF(AND(LEN(CH2898)=9,ISERROR(FIND("-",LEFT(CH2898,8))),ISNUMBER(-LEFT(CH2898,8))),VALUE(MID(CH2898,5,2)),VALUE(MID(CH2898,FIND("-",CH2898)+1,FIND("-",CH2898,FIND("-",CH2898)+1)-FIND("-",CH2898)-1))),""))</f>
        <v/>
      </c>
      <c r="CO2898">
        <f>IF(CH2898="","",IFERROR(IF(AND(LEN(CH2898)=9,ISERROR(FIND("-",LEFT(CH2898,8))),ISNUMBER(-LEFT(CH2898,8))),VALUE(MID(CH2898,7,2)),VALUE(MID(CH2898,FIND("-",CH2898,FIND("-",CH2898)+1)+1,FIND("-",CH2898,FIND("-",CH2898,FIND("-",CH2898)+1)+1)-FIND("-",CH2898,FIND("-",CH2898)+1)-1))),""))</f>
        <v/>
      </c>
    </row>
    <row r="2899">
      <c r="CH2899">
        <f>IF(ISTEXT('월 가계부'!A2899),SUBSTITUTE(SUBSTITUTE(SUBSTITUTE(SUBSTITUTE(SUBSTITUTE(SUBSTITUTE(SUBSTITUTE(SUBSTITUTE(SUBSTITUTE(TRIM('월 가계부'!A2899),"년","-"),"월","-"),"일",""),".","-"),"/","-")," ","-"),"--","-"),"--","-"),"--","-")&amp;"-","")</f>
        <v/>
      </c>
      <c r="CI2899">
        <f>IFERROR(IF('월 가계부'!A2899="","",IF(ISNUMBER('월 가계부'!A2899),IF(AND('월 가계부'!A2899&gt;=19000101,'월 가계부'!A2899&lt;=21001231),IF(AND(MOD(INT('월 가계부'!A2899/100),100)&gt;=1,MOD(INT('월 가계부'!A2899/100),100)&lt;=12,MOD(INT('월 가계부'!A2899),100)&gt;=1,MOD(INT('월 가계부'!A2899),100)&lt;=31),IF(MONTH(DATE(INT('월 가계부'!A2899/10000),MOD(INT('월 가계부'!A2899/100),100),MOD(INT('월 가계부'!A2899),100)))=MOD(INT('월 가계부'!A2899/100),100),DATE(INT('월 가계부'!A2899/10000),MOD(INT('월 가계부'!A2899/100),100),MOD(INT('월 가계부'!A2899),100)),""),""),IF(AND('월 가계부'!A2899&gt;=36526,'월 가계부'!A2899&lt;73051),INT('월 가계부'!A2899),"")),IF(OR(CM2899="",CN2899="",CO2899=""),"",IF(AND(CM2899&gt;=2000,CM2899&lt;=2099,CN2899&gt;=1,CN2899&lt;=12,CO2899&gt;=1,CO2899&lt;=31),IF(MONTH(DATE(CM2899,CN2899,CO2899))=CN2899,DATE(CM2899,CN2899,CO2899),""),"")))),"")</f>
        <v/>
      </c>
      <c r="CJ2899">
        <f>IFERROR(IF('월 가계부'!C2899="","",IF(ISNUMBER('월 가계부'!C2899),'월 가계부'!C2899,VALUE(SUBSTITUTE(SUBSTITUTE(SUBSTITUTE(SUBSTITUTE(TRIM('월 가계부'!C2899),",",""),"원","")," ",""),"−","-")))),"")</f>
        <v/>
      </c>
      <c r="CK2899">
        <f>IF(ISNUMBER(CI2899),IF(CI2899&lt;$B$13,CI2899,""),"")</f>
        <v/>
      </c>
      <c r="CM2899">
        <f>IF(CH2899="","",IFERROR(IF(IF(AND(LEN(CH2899)=9,ISERROR(FIND("-",LEFT(CH2899,8))),ISNUMBER(-LEFT(CH2899,8))),VALUE(LEFT(CH2899,4)),VALUE(LEFT(CH2899,FIND("-",CH2899)-1)))&lt;100,IF(AND(LEN(CH2899)=9,ISERROR(FIND("-",LEFT(CH2899,8))),ISNUMBER(-LEFT(CH2899,8))),VALUE(LEFT(CH2899,4)),VALUE(LEFT(CH2899,FIND("-",CH2899)-1)))+2000,IF(AND(LEN(CH2899)=9,ISERROR(FIND("-",LEFT(CH2899,8))),ISNUMBER(-LEFT(CH2899,8))),VALUE(LEFT(CH2899,4)),VALUE(LEFT(CH2899,FIND("-",CH2899)-1)))),""))</f>
        <v/>
      </c>
      <c r="CN2899">
        <f>IF(CH2899="","",IFERROR(IF(AND(LEN(CH2899)=9,ISERROR(FIND("-",LEFT(CH2899,8))),ISNUMBER(-LEFT(CH2899,8))),VALUE(MID(CH2899,5,2)),VALUE(MID(CH2899,FIND("-",CH2899)+1,FIND("-",CH2899,FIND("-",CH2899)+1)-FIND("-",CH2899)-1))),""))</f>
        <v/>
      </c>
      <c r="CO2899">
        <f>IF(CH2899="","",IFERROR(IF(AND(LEN(CH2899)=9,ISERROR(FIND("-",LEFT(CH2899,8))),ISNUMBER(-LEFT(CH2899,8))),VALUE(MID(CH2899,7,2)),VALUE(MID(CH2899,FIND("-",CH2899,FIND("-",CH2899)+1)+1,FIND("-",CH2899,FIND("-",CH2899,FIND("-",CH2899)+1)+1)-FIND("-",CH2899,FIND("-",CH2899)+1)-1))),""))</f>
        <v/>
      </c>
    </row>
    <row r="2900">
      <c r="CH2900">
        <f>IF(ISTEXT('월 가계부'!A2900),SUBSTITUTE(SUBSTITUTE(SUBSTITUTE(SUBSTITUTE(SUBSTITUTE(SUBSTITUTE(SUBSTITUTE(SUBSTITUTE(SUBSTITUTE(TRIM('월 가계부'!A2900),"년","-"),"월","-"),"일",""),".","-"),"/","-")," ","-"),"--","-"),"--","-"),"--","-")&amp;"-","")</f>
        <v/>
      </c>
      <c r="CI2900">
        <f>IFERROR(IF('월 가계부'!A2900="","",IF(ISNUMBER('월 가계부'!A2900),IF(AND('월 가계부'!A2900&gt;=19000101,'월 가계부'!A2900&lt;=21001231),IF(AND(MOD(INT('월 가계부'!A2900/100),100)&gt;=1,MOD(INT('월 가계부'!A2900/100),100)&lt;=12,MOD(INT('월 가계부'!A2900),100)&gt;=1,MOD(INT('월 가계부'!A2900),100)&lt;=31),IF(MONTH(DATE(INT('월 가계부'!A2900/10000),MOD(INT('월 가계부'!A2900/100),100),MOD(INT('월 가계부'!A2900),100)))=MOD(INT('월 가계부'!A2900/100),100),DATE(INT('월 가계부'!A2900/10000),MOD(INT('월 가계부'!A2900/100),100),MOD(INT('월 가계부'!A2900),100)),""),""),IF(AND('월 가계부'!A2900&gt;=36526,'월 가계부'!A2900&lt;73051),INT('월 가계부'!A2900),"")),IF(OR(CM2900="",CN2900="",CO2900=""),"",IF(AND(CM2900&gt;=2000,CM2900&lt;=2099,CN2900&gt;=1,CN2900&lt;=12,CO2900&gt;=1,CO2900&lt;=31),IF(MONTH(DATE(CM2900,CN2900,CO2900))=CN2900,DATE(CM2900,CN2900,CO2900),""),"")))),"")</f>
        <v/>
      </c>
      <c r="CJ2900">
        <f>IFERROR(IF('월 가계부'!C2900="","",IF(ISNUMBER('월 가계부'!C2900),'월 가계부'!C2900,VALUE(SUBSTITUTE(SUBSTITUTE(SUBSTITUTE(SUBSTITUTE(TRIM('월 가계부'!C2900),",",""),"원","")," ",""),"−","-")))),"")</f>
        <v/>
      </c>
      <c r="CK2900">
        <f>IF(ISNUMBER(CI2900),IF(CI2900&lt;$B$13,CI2900,""),"")</f>
        <v/>
      </c>
      <c r="CM2900">
        <f>IF(CH2900="","",IFERROR(IF(IF(AND(LEN(CH2900)=9,ISERROR(FIND("-",LEFT(CH2900,8))),ISNUMBER(-LEFT(CH2900,8))),VALUE(LEFT(CH2900,4)),VALUE(LEFT(CH2900,FIND("-",CH2900)-1)))&lt;100,IF(AND(LEN(CH2900)=9,ISERROR(FIND("-",LEFT(CH2900,8))),ISNUMBER(-LEFT(CH2900,8))),VALUE(LEFT(CH2900,4)),VALUE(LEFT(CH2900,FIND("-",CH2900)-1)))+2000,IF(AND(LEN(CH2900)=9,ISERROR(FIND("-",LEFT(CH2900,8))),ISNUMBER(-LEFT(CH2900,8))),VALUE(LEFT(CH2900,4)),VALUE(LEFT(CH2900,FIND("-",CH2900)-1)))),""))</f>
        <v/>
      </c>
      <c r="CN2900">
        <f>IF(CH2900="","",IFERROR(IF(AND(LEN(CH2900)=9,ISERROR(FIND("-",LEFT(CH2900,8))),ISNUMBER(-LEFT(CH2900,8))),VALUE(MID(CH2900,5,2)),VALUE(MID(CH2900,FIND("-",CH2900)+1,FIND("-",CH2900,FIND("-",CH2900)+1)-FIND("-",CH2900)-1))),""))</f>
        <v/>
      </c>
      <c r="CO2900">
        <f>IF(CH2900="","",IFERROR(IF(AND(LEN(CH2900)=9,ISERROR(FIND("-",LEFT(CH2900,8))),ISNUMBER(-LEFT(CH2900,8))),VALUE(MID(CH2900,7,2)),VALUE(MID(CH2900,FIND("-",CH2900,FIND("-",CH2900)+1)+1,FIND("-",CH2900,FIND("-",CH2900,FIND("-",CH2900)+1)+1)-FIND("-",CH2900,FIND("-",CH2900)+1)-1))),""))</f>
        <v/>
      </c>
    </row>
    <row r="2901">
      <c r="CH2901">
        <f>IF(ISTEXT('월 가계부'!A2901),SUBSTITUTE(SUBSTITUTE(SUBSTITUTE(SUBSTITUTE(SUBSTITUTE(SUBSTITUTE(SUBSTITUTE(SUBSTITUTE(SUBSTITUTE(TRIM('월 가계부'!A2901),"년","-"),"월","-"),"일",""),".","-"),"/","-")," ","-"),"--","-"),"--","-"),"--","-")&amp;"-","")</f>
        <v/>
      </c>
      <c r="CI2901">
        <f>IFERROR(IF('월 가계부'!A2901="","",IF(ISNUMBER('월 가계부'!A2901),IF(AND('월 가계부'!A2901&gt;=19000101,'월 가계부'!A2901&lt;=21001231),IF(AND(MOD(INT('월 가계부'!A2901/100),100)&gt;=1,MOD(INT('월 가계부'!A2901/100),100)&lt;=12,MOD(INT('월 가계부'!A2901),100)&gt;=1,MOD(INT('월 가계부'!A2901),100)&lt;=31),IF(MONTH(DATE(INT('월 가계부'!A2901/10000),MOD(INT('월 가계부'!A2901/100),100),MOD(INT('월 가계부'!A2901),100)))=MOD(INT('월 가계부'!A2901/100),100),DATE(INT('월 가계부'!A2901/10000),MOD(INT('월 가계부'!A2901/100),100),MOD(INT('월 가계부'!A2901),100)),""),""),IF(AND('월 가계부'!A2901&gt;=36526,'월 가계부'!A2901&lt;73051),INT('월 가계부'!A2901),"")),IF(OR(CM2901="",CN2901="",CO2901=""),"",IF(AND(CM2901&gt;=2000,CM2901&lt;=2099,CN2901&gt;=1,CN2901&lt;=12,CO2901&gt;=1,CO2901&lt;=31),IF(MONTH(DATE(CM2901,CN2901,CO2901))=CN2901,DATE(CM2901,CN2901,CO2901),""),"")))),"")</f>
        <v/>
      </c>
      <c r="CJ2901">
        <f>IFERROR(IF('월 가계부'!C2901="","",IF(ISNUMBER('월 가계부'!C2901),'월 가계부'!C2901,VALUE(SUBSTITUTE(SUBSTITUTE(SUBSTITUTE(SUBSTITUTE(TRIM('월 가계부'!C2901),",",""),"원","")," ",""),"−","-")))),"")</f>
        <v/>
      </c>
      <c r="CK2901">
        <f>IF(ISNUMBER(CI2901),IF(CI2901&lt;$B$13,CI2901,""),"")</f>
        <v/>
      </c>
      <c r="CM2901">
        <f>IF(CH2901="","",IFERROR(IF(IF(AND(LEN(CH2901)=9,ISERROR(FIND("-",LEFT(CH2901,8))),ISNUMBER(-LEFT(CH2901,8))),VALUE(LEFT(CH2901,4)),VALUE(LEFT(CH2901,FIND("-",CH2901)-1)))&lt;100,IF(AND(LEN(CH2901)=9,ISERROR(FIND("-",LEFT(CH2901,8))),ISNUMBER(-LEFT(CH2901,8))),VALUE(LEFT(CH2901,4)),VALUE(LEFT(CH2901,FIND("-",CH2901)-1)))+2000,IF(AND(LEN(CH2901)=9,ISERROR(FIND("-",LEFT(CH2901,8))),ISNUMBER(-LEFT(CH2901,8))),VALUE(LEFT(CH2901,4)),VALUE(LEFT(CH2901,FIND("-",CH2901)-1)))),""))</f>
        <v/>
      </c>
      <c r="CN2901">
        <f>IF(CH2901="","",IFERROR(IF(AND(LEN(CH2901)=9,ISERROR(FIND("-",LEFT(CH2901,8))),ISNUMBER(-LEFT(CH2901,8))),VALUE(MID(CH2901,5,2)),VALUE(MID(CH2901,FIND("-",CH2901)+1,FIND("-",CH2901,FIND("-",CH2901)+1)-FIND("-",CH2901)-1))),""))</f>
        <v/>
      </c>
      <c r="CO2901">
        <f>IF(CH2901="","",IFERROR(IF(AND(LEN(CH2901)=9,ISERROR(FIND("-",LEFT(CH2901,8))),ISNUMBER(-LEFT(CH2901,8))),VALUE(MID(CH2901,7,2)),VALUE(MID(CH2901,FIND("-",CH2901,FIND("-",CH2901)+1)+1,FIND("-",CH2901,FIND("-",CH2901,FIND("-",CH2901)+1)+1)-FIND("-",CH2901,FIND("-",CH2901)+1)-1))),""))</f>
        <v/>
      </c>
    </row>
    <row r="2902">
      <c r="CH2902">
        <f>IF(ISTEXT('월 가계부'!A2902),SUBSTITUTE(SUBSTITUTE(SUBSTITUTE(SUBSTITUTE(SUBSTITUTE(SUBSTITUTE(SUBSTITUTE(SUBSTITUTE(SUBSTITUTE(TRIM('월 가계부'!A2902),"년","-"),"월","-"),"일",""),".","-"),"/","-")," ","-"),"--","-"),"--","-"),"--","-")&amp;"-","")</f>
        <v/>
      </c>
      <c r="CI2902">
        <f>IFERROR(IF('월 가계부'!A2902="","",IF(ISNUMBER('월 가계부'!A2902),IF(AND('월 가계부'!A2902&gt;=19000101,'월 가계부'!A2902&lt;=21001231),IF(AND(MOD(INT('월 가계부'!A2902/100),100)&gt;=1,MOD(INT('월 가계부'!A2902/100),100)&lt;=12,MOD(INT('월 가계부'!A2902),100)&gt;=1,MOD(INT('월 가계부'!A2902),100)&lt;=31),IF(MONTH(DATE(INT('월 가계부'!A2902/10000),MOD(INT('월 가계부'!A2902/100),100),MOD(INT('월 가계부'!A2902),100)))=MOD(INT('월 가계부'!A2902/100),100),DATE(INT('월 가계부'!A2902/10000),MOD(INT('월 가계부'!A2902/100),100),MOD(INT('월 가계부'!A2902),100)),""),""),IF(AND('월 가계부'!A2902&gt;=36526,'월 가계부'!A2902&lt;73051),INT('월 가계부'!A2902),"")),IF(OR(CM2902="",CN2902="",CO2902=""),"",IF(AND(CM2902&gt;=2000,CM2902&lt;=2099,CN2902&gt;=1,CN2902&lt;=12,CO2902&gt;=1,CO2902&lt;=31),IF(MONTH(DATE(CM2902,CN2902,CO2902))=CN2902,DATE(CM2902,CN2902,CO2902),""),"")))),"")</f>
        <v/>
      </c>
      <c r="CJ2902">
        <f>IFERROR(IF('월 가계부'!C2902="","",IF(ISNUMBER('월 가계부'!C2902),'월 가계부'!C2902,VALUE(SUBSTITUTE(SUBSTITUTE(SUBSTITUTE(SUBSTITUTE(TRIM('월 가계부'!C2902),",",""),"원","")," ",""),"−","-")))),"")</f>
        <v/>
      </c>
      <c r="CK2902">
        <f>IF(ISNUMBER(CI2902),IF(CI2902&lt;$B$13,CI2902,""),"")</f>
        <v/>
      </c>
      <c r="CM2902">
        <f>IF(CH2902="","",IFERROR(IF(IF(AND(LEN(CH2902)=9,ISERROR(FIND("-",LEFT(CH2902,8))),ISNUMBER(-LEFT(CH2902,8))),VALUE(LEFT(CH2902,4)),VALUE(LEFT(CH2902,FIND("-",CH2902)-1)))&lt;100,IF(AND(LEN(CH2902)=9,ISERROR(FIND("-",LEFT(CH2902,8))),ISNUMBER(-LEFT(CH2902,8))),VALUE(LEFT(CH2902,4)),VALUE(LEFT(CH2902,FIND("-",CH2902)-1)))+2000,IF(AND(LEN(CH2902)=9,ISERROR(FIND("-",LEFT(CH2902,8))),ISNUMBER(-LEFT(CH2902,8))),VALUE(LEFT(CH2902,4)),VALUE(LEFT(CH2902,FIND("-",CH2902)-1)))),""))</f>
        <v/>
      </c>
      <c r="CN2902">
        <f>IF(CH2902="","",IFERROR(IF(AND(LEN(CH2902)=9,ISERROR(FIND("-",LEFT(CH2902,8))),ISNUMBER(-LEFT(CH2902,8))),VALUE(MID(CH2902,5,2)),VALUE(MID(CH2902,FIND("-",CH2902)+1,FIND("-",CH2902,FIND("-",CH2902)+1)-FIND("-",CH2902)-1))),""))</f>
        <v/>
      </c>
      <c r="CO2902">
        <f>IF(CH2902="","",IFERROR(IF(AND(LEN(CH2902)=9,ISERROR(FIND("-",LEFT(CH2902,8))),ISNUMBER(-LEFT(CH2902,8))),VALUE(MID(CH2902,7,2)),VALUE(MID(CH2902,FIND("-",CH2902,FIND("-",CH2902)+1)+1,FIND("-",CH2902,FIND("-",CH2902,FIND("-",CH2902)+1)+1)-FIND("-",CH2902,FIND("-",CH2902)+1)-1))),""))</f>
        <v/>
      </c>
    </row>
    <row r="2903">
      <c r="CH2903">
        <f>IF(ISTEXT('월 가계부'!A2903),SUBSTITUTE(SUBSTITUTE(SUBSTITUTE(SUBSTITUTE(SUBSTITUTE(SUBSTITUTE(SUBSTITUTE(SUBSTITUTE(SUBSTITUTE(TRIM('월 가계부'!A2903),"년","-"),"월","-"),"일",""),".","-"),"/","-")," ","-"),"--","-"),"--","-"),"--","-")&amp;"-","")</f>
        <v/>
      </c>
      <c r="CI2903">
        <f>IFERROR(IF('월 가계부'!A2903="","",IF(ISNUMBER('월 가계부'!A2903),IF(AND('월 가계부'!A2903&gt;=19000101,'월 가계부'!A2903&lt;=21001231),IF(AND(MOD(INT('월 가계부'!A2903/100),100)&gt;=1,MOD(INT('월 가계부'!A2903/100),100)&lt;=12,MOD(INT('월 가계부'!A2903),100)&gt;=1,MOD(INT('월 가계부'!A2903),100)&lt;=31),IF(MONTH(DATE(INT('월 가계부'!A2903/10000),MOD(INT('월 가계부'!A2903/100),100),MOD(INT('월 가계부'!A2903),100)))=MOD(INT('월 가계부'!A2903/100),100),DATE(INT('월 가계부'!A2903/10000),MOD(INT('월 가계부'!A2903/100),100),MOD(INT('월 가계부'!A2903),100)),""),""),IF(AND('월 가계부'!A2903&gt;=36526,'월 가계부'!A2903&lt;73051),INT('월 가계부'!A2903),"")),IF(OR(CM2903="",CN2903="",CO2903=""),"",IF(AND(CM2903&gt;=2000,CM2903&lt;=2099,CN2903&gt;=1,CN2903&lt;=12,CO2903&gt;=1,CO2903&lt;=31),IF(MONTH(DATE(CM2903,CN2903,CO2903))=CN2903,DATE(CM2903,CN2903,CO2903),""),"")))),"")</f>
        <v/>
      </c>
      <c r="CJ2903">
        <f>IFERROR(IF('월 가계부'!C2903="","",IF(ISNUMBER('월 가계부'!C2903),'월 가계부'!C2903,VALUE(SUBSTITUTE(SUBSTITUTE(SUBSTITUTE(SUBSTITUTE(TRIM('월 가계부'!C2903),",",""),"원","")," ",""),"−","-")))),"")</f>
        <v/>
      </c>
      <c r="CK2903">
        <f>IF(ISNUMBER(CI2903),IF(CI2903&lt;$B$13,CI2903,""),"")</f>
        <v/>
      </c>
      <c r="CM2903">
        <f>IF(CH2903="","",IFERROR(IF(IF(AND(LEN(CH2903)=9,ISERROR(FIND("-",LEFT(CH2903,8))),ISNUMBER(-LEFT(CH2903,8))),VALUE(LEFT(CH2903,4)),VALUE(LEFT(CH2903,FIND("-",CH2903)-1)))&lt;100,IF(AND(LEN(CH2903)=9,ISERROR(FIND("-",LEFT(CH2903,8))),ISNUMBER(-LEFT(CH2903,8))),VALUE(LEFT(CH2903,4)),VALUE(LEFT(CH2903,FIND("-",CH2903)-1)))+2000,IF(AND(LEN(CH2903)=9,ISERROR(FIND("-",LEFT(CH2903,8))),ISNUMBER(-LEFT(CH2903,8))),VALUE(LEFT(CH2903,4)),VALUE(LEFT(CH2903,FIND("-",CH2903)-1)))),""))</f>
        <v/>
      </c>
      <c r="CN2903">
        <f>IF(CH2903="","",IFERROR(IF(AND(LEN(CH2903)=9,ISERROR(FIND("-",LEFT(CH2903,8))),ISNUMBER(-LEFT(CH2903,8))),VALUE(MID(CH2903,5,2)),VALUE(MID(CH2903,FIND("-",CH2903)+1,FIND("-",CH2903,FIND("-",CH2903)+1)-FIND("-",CH2903)-1))),""))</f>
        <v/>
      </c>
      <c r="CO2903">
        <f>IF(CH2903="","",IFERROR(IF(AND(LEN(CH2903)=9,ISERROR(FIND("-",LEFT(CH2903,8))),ISNUMBER(-LEFT(CH2903,8))),VALUE(MID(CH2903,7,2)),VALUE(MID(CH2903,FIND("-",CH2903,FIND("-",CH2903)+1)+1,FIND("-",CH2903,FIND("-",CH2903,FIND("-",CH2903)+1)+1)-FIND("-",CH2903,FIND("-",CH2903)+1)-1))),""))</f>
        <v/>
      </c>
    </row>
    <row r="2904">
      <c r="CH2904">
        <f>IF(ISTEXT('월 가계부'!A2904),SUBSTITUTE(SUBSTITUTE(SUBSTITUTE(SUBSTITUTE(SUBSTITUTE(SUBSTITUTE(SUBSTITUTE(SUBSTITUTE(SUBSTITUTE(TRIM('월 가계부'!A2904),"년","-"),"월","-"),"일",""),".","-"),"/","-")," ","-"),"--","-"),"--","-"),"--","-")&amp;"-","")</f>
        <v/>
      </c>
      <c r="CI2904">
        <f>IFERROR(IF('월 가계부'!A2904="","",IF(ISNUMBER('월 가계부'!A2904),IF(AND('월 가계부'!A2904&gt;=19000101,'월 가계부'!A2904&lt;=21001231),IF(AND(MOD(INT('월 가계부'!A2904/100),100)&gt;=1,MOD(INT('월 가계부'!A2904/100),100)&lt;=12,MOD(INT('월 가계부'!A2904),100)&gt;=1,MOD(INT('월 가계부'!A2904),100)&lt;=31),IF(MONTH(DATE(INT('월 가계부'!A2904/10000),MOD(INT('월 가계부'!A2904/100),100),MOD(INT('월 가계부'!A2904),100)))=MOD(INT('월 가계부'!A2904/100),100),DATE(INT('월 가계부'!A2904/10000),MOD(INT('월 가계부'!A2904/100),100),MOD(INT('월 가계부'!A2904),100)),""),""),IF(AND('월 가계부'!A2904&gt;=36526,'월 가계부'!A2904&lt;73051),INT('월 가계부'!A2904),"")),IF(OR(CM2904="",CN2904="",CO2904=""),"",IF(AND(CM2904&gt;=2000,CM2904&lt;=2099,CN2904&gt;=1,CN2904&lt;=12,CO2904&gt;=1,CO2904&lt;=31),IF(MONTH(DATE(CM2904,CN2904,CO2904))=CN2904,DATE(CM2904,CN2904,CO2904),""),"")))),"")</f>
        <v/>
      </c>
      <c r="CJ2904">
        <f>IFERROR(IF('월 가계부'!C2904="","",IF(ISNUMBER('월 가계부'!C2904),'월 가계부'!C2904,VALUE(SUBSTITUTE(SUBSTITUTE(SUBSTITUTE(SUBSTITUTE(TRIM('월 가계부'!C2904),",",""),"원","")," ",""),"−","-")))),"")</f>
        <v/>
      </c>
      <c r="CK2904">
        <f>IF(ISNUMBER(CI2904),IF(CI2904&lt;$B$13,CI2904,""),"")</f>
        <v/>
      </c>
      <c r="CM2904">
        <f>IF(CH2904="","",IFERROR(IF(IF(AND(LEN(CH2904)=9,ISERROR(FIND("-",LEFT(CH2904,8))),ISNUMBER(-LEFT(CH2904,8))),VALUE(LEFT(CH2904,4)),VALUE(LEFT(CH2904,FIND("-",CH2904)-1)))&lt;100,IF(AND(LEN(CH2904)=9,ISERROR(FIND("-",LEFT(CH2904,8))),ISNUMBER(-LEFT(CH2904,8))),VALUE(LEFT(CH2904,4)),VALUE(LEFT(CH2904,FIND("-",CH2904)-1)))+2000,IF(AND(LEN(CH2904)=9,ISERROR(FIND("-",LEFT(CH2904,8))),ISNUMBER(-LEFT(CH2904,8))),VALUE(LEFT(CH2904,4)),VALUE(LEFT(CH2904,FIND("-",CH2904)-1)))),""))</f>
        <v/>
      </c>
      <c r="CN2904">
        <f>IF(CH2904="","",IFERROR(IF(AND(LEN(CH2904)=9,ISERROR(FIND("-",LEFT(CH2904,8))),ISNUMBER(-LEFT(CH2904,8))),VALUE(MID(CH2904,5,2)),VALUE(MID(CH2904,FIND("-",CH2904)+1,FIND("-",CH2904,FIND("-",CH2904)+1)-FIND("-",CH2904)-1))),""))</f>
        <v/>
      </c>
      <c r="CO2904">
        <f>IF(CH2904="","",IFERROR(IF(AND(LEN(CH2904)=9,ISERROR(FIND("-",LEFT(CH2904,8))),ISNUMBER(-LEFT(CH2904,8))),VALUE(MID(CH2904,7,2)),VALUE(MID(CH2904,FIND("-",CH2904,FIND("-",CH2904)+1)+1,FIND("-",CH2904,FIND("-",CH2904,FIND("-",CH2904)+1)+1)-FIND("-",CH2904,FIND("-",CH2904)+1)-1))),""))</f>
        <v/>
      </c>
    </row>
    <row r="2905">
      <c r="CH2905">
        <f>IF(ISTEXT('월 가계부'!A2905),SUBSTITUTE(SUBSTITUTE(SUBSTITUTE(SUBSTITUTE(SUBSTITUTE(SUBSTITUTE(SUBSTITUTE(SUBSTITUTE(SUBSTITUTE(TRIM('월 가계부'!A2905),"년","-"),"월","-"),"일",""),".","-"),"/","-")," ","-"),"--","-"),"--","-"),"--","-")&amp;"-","")</f>
        <v/>
      </c>
      <c r="CI2905">
        <f>IFERROR(IF('월 가계부'!A2905="","",IF(ISNUMBER('월 가계부'!A2905),IF(AND('월 가계부'!A2905&gt;=19000101,'월 가계부'!A2905&lt;=21001231),IF(AND(MOD(INT('월 가계부'!A2905/100),100)&gt;=1,MOD(INT('월 가계부'!A2905/100),100)&lt;=12,MOD(INT('월 가계부'!A2905),100)&gt;=1,MOD(INT('월 가계부'!A2905),100)&lt;=31),IF(MONTH(DATE(INT('월 가계부'!A2905/10000),MOD(INT('월 가계부'!A2905/100),100),MOD(INT('월 가계부'!A2905),100)))=MOD(INT('월 가계부'!A2905/100),100),DATE(INT('월 가계부'!A2905/10000),MOD(INT('월 가계부'!A2905/100),100),MOD(INT('월 가계부'!A2905),100)),""),""),IF(AND('월 가계부'!A2905&gt;=36526,'월 가계부'!A2905&lt;73051),INT('월 가계부'!A2905),"")),IF(OR(CM2905="",CN2905="",CO2905=""),"",IF(AND(CM2905&gt;=2000,CM2905&lt;=2099,CN2905&gt;=1,CN2905&lt;=12,CO2905&gt;=1,CO2905&lt;=31),IF(MONTH(DATE(CM2905,CN2905,CO2905))=CN2905,DATE(CM2905,CN2905,CO2905),""),"")))),"")</f>
        <v/>
      </c>
      <c r="CJ2905">
        <f>IFERROR(IF('월 가계부'!C2905="","",IF(ISNUMBER('월 가계부'!C2905),'월 가계부'!C2905,VALUE(SUBSTITUTE(SUBSTITUTE(SUBSTITUTE(SUBSTITUTE(TRIM('월 가계부'!C2905),",",""),"원","")," ",""),"−","-")))),"")</f>
        <v/>
      </c>
      <c r="CK2905">
        <f>IF(ISNUMBER(CI2905),IF(CI2905&lt;$B$13,CI2905,""),"")</f>
        <v/>
      </c>
      <c r="CM2905">
        <f>IF(CH2905="","",IFERROR(IF(IF(AND(LEN(CH2905)=9,ISERROR(FIND("-",LEFT(CH2905,8))),ISNUMBER(-LEFT(CH2905,8))),VALUE(LEFT(CH2905,4)),VALUE(LEFT(CH2905,FIND("-",CH2905)-1)))&lt;100,IF(AND(LEN(CH2905)=9,ISERROR(FIND("-",LEFT(CH2905,8))),ISNUMBER(-LEFT(CH2905,8))),VALUE(LEFT(CH2905,4)),VALUE(LEFT(CH2905,FIND("-",CH2905)-1)))+2000,IF(AND(LEN(CH2905)=9,ISERROR(FIND("-",LEFT(CH2905,8))),ISNUMBER(-LEFT(CH2905,8))),VALUE(LEFT(CH2905,4)),VALUE(LEFT(CH2905,FIND("-",CH2905)-1)))),""))</f>
        <v/>
      </c>
      <c r="CN2905">
        <f>IF(CH2905="","",IFERROR(IF(AND(LEN(CH2905)=9,ISERROR(FIND("-",LEFT(CH2905,8))),ISNUMBER(-LEFT(CH2905,8))),VALUE(MID(CH2905,5,2)),VALUE(MID(CH2905,FIND("-",CH2905)+1,FIND("-",CH2905,FIND("-",CH2905)+1)-FIND("-",CH2905)-1))),""))</f>
        <v/>
      </c>
      <c r="CO2905">
        <f>IF(CH2905="","",IFERROR(IF(AND(LEN(CH2905)=9,ISERROR(FIND("-",LEFT(CH2905,8))),ISNUMBER(-LEFT(CH2905,8))),VALUE(MID(CH2905,7,2)),VALUE(MID(CH2905,FIND("-",CH2905,FIND("-",CH2905)+1)+1,FIND("-",CH2905,FIND("-",CH2905,FIND("-",CH2905)+1)+1)-FIND("-",CH2905,FIND("-",CH2905)+1)-1))),""))</f>
        <v/>
      </c>
    </row>
    <row r="2906">
      <c r="CH2906">
        <f>IF(ISTEXT('월 가계부'!A2906),SUBSTITUTE(SUBSTITUTE(SUBSTITUTE(SUBSTITUTE(SUBSTITUTE(SUBSTITUTE(SUBSTITUTE(SUBSTITUTE(SUBSTITUTE(TRIM('월 가계부'!A2906),"년","-"),"월","-"),"일",""),".","-"),"/","-")," ","-"),"--","-"),"--","-"),"--","-")&amp;"-","")</f>
        <v/>
      </c>
      <c r="CI2906">
        <f>IFERROR(IF('월 가계부'!A2906="","",IF(ISNUMBER('월 가계부'!A2906),IF(AND('월 가계부'!A2906&gt;=19000101,'월 가계부'!A2906&lt;=21001231),IF(AND(MOD(INT('월 가계부'!A2906/100),100)&gt;=1,MOD(INT('월 가계부'!A2906/100),100)&lt;=12,MOD(INT('월 가계부'!A2906),100)&gt;=1,MOD(INT('월 가계부'!A2906),100)&lt;=31),IF(MONTH(DATE(INT('월 가계부'!A2906/10000),MOD(INT('월 가계부'!A2906/100),100),MOD(INT('월 가계부'!A2906),100)))=MOD(INT('월 가계부'!A2906/100),100),DATE(INT('월 가계부'!A2906/10000),MOD(INT('월 가계부'!A2906/100),100),MOD(INT('월 가계부'!A2906),100)),""),""),IF(AND('월 가계부'!A2906&gt;=36526,'월 가계부'!A2906&lt;73051),INT('월 가계부'!A2906),"")),IF(OR(CM2906="",CN2906="",CO2906=""),"",IF(AND(CM2906&gt;=2000,CM2906&lt;=2099,CN2906&gt;=1,CN2906&lt;=12,CO2906&gt;=1,CO2906&lt;=31),IF(MONTH(DATE(CM2906,CN2906,CO2906))=CN2906,DATE(CM2906,CN2906,CO2906),""),"")))),"")</f>
        <v/>
      </c>
      <c r="CJ2906">
        <f>IFERROR(IF('월 가계부'!C2906="","",IF(ISNUMBER('월 가계부'!C2906),'월 가계부'!C2906,VALUE(SUBSTITUTE(SUBSTITUTE(SUBSTITUTE(SUBSTITUTE(TRIM('월 가계부'!C2906),",",""),"원","")," ",""),"−","-")))),"")</f>
        <v/>
      </c>
      <c r="CK2906">
        <f>IF(ISNUMBER(CI2906),IF(CI2906&lt;$B$13,CI2906,""),"")</f>
        <v/>
      </c>
      <c r="CM2906">
        <f>IF(CH2906="","",IFERROR(IF(IF(AND(LEN(CH2906)=9,ISERROR(FIND("-",LEFT(CH2906,8))),ISNUMBER(-LEFT(CH2906,8))),VALUE(LEFT(CH2906,4)),VALUE(LEFT(CH2906,FIND("-",CH2906)-1)))&lt;100,IF(AND(LEN(CH2906)=9,ISERROR(FIND("-",LEFT(CH2906,8))),ISNUMBER(-LEFT(CH2906,8))),VALUE(LEFT(CH2906,4)),VALUE(LEFT(CH2906,FIND("-",CH2906)-1)))+2000,IF(AND(LEN(CH2906)=9,ISERROR(FIND("-",LEFT(CH2906,8))),ISNUMBER(-LEFT(CH2906,8))),VALUE(LEFT(CH2906,4)),VALUE(LEFT(CH2906,FIND("-",CH2906)-1)))),""))</f>
        <v/>
      </c>
      <c r="CN2906">
        <f>IF(CH2906="","",IFERROR(IF(AND(LEN(CH2906)=9,ISERROR(FIND("-",LEFT(CH2906,8))),ISNUMBER(-LEFT(CH2906,8))),VALUE(MID(CH2906,5,2)),VALUE(MID(CH2906,FIND("-",CH2906)+1,FIND("-",CH2906,FIND("-",CH2906)+1)-FIND("-",CH2906)-1))),""))</f>
        <v/>
      </c>
      <c r="CO2906">
        <f>IF(CH2906="","",IFERROR(IF(AND(LEN(CH2906)=9,ISERROR(FIND("-",LEFT(CH2906,8))),ISNUMBER(-LEFT(CH2906,8))),VALUE(MID(CH2906,7,2)),VALUE(MID(CH2906,FIND("-",CH2906,FIND("-",CH2906)+1)+1,FIND("-",CH2906,FIND("-",CH2906,FIND("-",CH2906)+1)+1)-FIND("-",CH2906,FIND("-",CH2906)+1)-1))),""))</f>
        <v/>
      </c>
    </row>
    <row r="2907">
      <c r="CH2907">
        <f>IF(ISTEXT('월 가계부'!A2907),SUBSTITUTE(SUBSTITUTE(SUBSTITUTE(SUBSTITUTE(SUBSTITUTE(SUBSTITUTE(SUBSTITUTE(SUBSTITUTE(SUBSTITUTE(TRIM('월 가계부'!A2907),"년","-"),"월","-"),"일",""),".","-"),"/","-")," ","-"),"--","-"),"--","-"),"--","-")&amp;"-","")</f>
        <v/>
      </c>
      <c r="CI2907">
        <f>IFERROR(IF('월 가계부'!A2907="","",IF(ISNUMBER('월 가계부'!A2907),IF(AND('월 가계부'!A2907&gt;=19000101,'월 가계부'!A2907&lt;=21001231),IF(AND(MOD(INT('월 가계부'!A2907/100),100)&gt;=1,MOD(INT('월 가계부'!A2907/100),100)&lt;=12,MOD(INT('월 가계부'!A2907),100)&gt;=1,MOD(INT('월 가계부'!A2907),100)&lt;=31),IF(MONTH(DATE(INT('월 가계부'!A2907/10000),MOD(INT('월 가계부'!A2907/100),100),MOD(INT('월 가계부'!A2907),100)))=MOD(INT('월 가계부'!A2907/100),100),DATE(INT('월 가계부'!A2907/10000),MOD(INT('월 가계부'!A2907/100),100),MOD(INT('월 가계부'!A2907),100)),""),""),IF(AND('월 가계부'!A2907&gt;=36526,'월 가계부'!A2907&lt;73051),INT('월 가계부'!A2907),"")),IF(OR(CM2907="",CN2907="",CO2907=""),"",IF(AND(CM2907&gt;=2000,CM2907&lt;=2099,CN2907&gt;=1,CN2907&lt;=12,CO2907&gt;=1,CO2907&lt;=31),IF(MONTH(DATE(CM2907,CN2907,CO2907))=CN2907,DATE(CM2907,CN2907,CO2907),""),"")))),"")</f>
        <v/>
      </c>
      <c r="CJ2907">
        <f>IFERROR(IF('월 가계부'!C2907="","",IF(ISNUMBER('월 가계부'!C2907),'월 가계부'!C2907,VALUE(SUBSTITUTE(SUBSTITUTE(SUBSTITUTE(SUBSTITUTE(TRIM('월 가계부'!C2907),",",""),"원","")," ",""),"−","-")))),"")</f>
        <v/>
      </c>
      <c r="CK2907">
        <f>IF(ISNUMBER(CI2907),IF(CI2907&lt;$B$13,CI2907,""),"")</f>
        <v/>
      </c>
      <c r="CM2907">
        <f>IF(CH2907="","",IFERROR(IF(IF(AND(LEN(CH2907)=9,ISERROR(FIND("-",LEFT(CH2907,8))),ISNUMBER(-LEFT(CH2907,8))),VALUE(LEFT(CH2907,4)),VALUE(LEFT(CH2907,FIND("-",CH2907)-1)))&lt;100,IF(AND(LEN(CH2907)=9,ISERROR(FIND("-",LEFT(CH2907,8))),ISNUMBER(-LEFT(CH2907,8))),VALUE(LEFT(CH2907,4)),VALUE(LEFT(CH2907,FIND("-",CH2907)-1)))+2000,IF(AND(LEN(CH2907)=9,ISERROR(FIND("-",LEFT(CH2907,8))),ISNUMBER(-LEFT(CH2907,8))),VALUE(LEFT(CH2907,4)),VALUE(LEFT(CH2907,FIND("-",CH2907)-1)))),""))</f>
        <v/>
      </c>
      <c r="CN2907">
        <f>IF(CH2907="","",IFERROR(IF(AND(LEN(CH2907)=9,ISERROR(FIND("-",LEFT(CH2907,8))),ISNUMBER(-LEFT(CH2907,8))),VALUE(MID(CH2907,5,2)),VALUE(MID(CH2907,FIND("-",CH2907)+1,FIND("-",CH2907,FIND("-",CH2907)+1)-FIND("-",CH2907)-1))),""))</f>
        <v/>
      </c>
      <c r="CO2907">
        <f>IF(CH2907="","",IFERROR(IF(AND(LEN(CH2907)=9,ISERROR(FIND("-",LEFT(CH2907,8))),ISNUMBER(-LEFT(CH2907,8))),VALUE(MID(CH2907,7,2)),VALUE(MID(CH2907,FIND("-",CH2907,FIND("-",CH2907)+1)+1,FIND("-",CH2907,FIND("-",CH2907,FIND("-",CH2907)+1)+1)-FIND("-",CH2907,FIND("-",CH2907)+1)-1))),""))</f>
        <v/>
      </c>
    </row>
    <row r="2908">
      <c r="CH2908">
        <f>IF(ISTEXT('월 가계부'!A2908),SUBSTITUTE(SUBSTITUTE(SUBSTITUTE(SUBSTITUTE(SUBSTITUTE(SUBSTITUTE(SUBSTITUTE(SUBSTITUTE(SUBSTITUTE(TRIM('월 가계부'!A2908),"년","-"),"월","-"),"일",""),".","-"),"/","-")," ","-"),"--","-"),"--","-"),"--","-")&amp;"-","")</f>
        <v/>
      </c>
      <c r="CI2908">
        <f>IFERROR(IF('월 가계부'!A2908="","",IF(ISNUMBER('월 가계부'!A2908),IF(AND('월 가계부'!A2908&gt;=19000101,'월 가계부'!A2908&lt;=21001231),IF(AND(MOD(INT('월 가계부'!A2908/100),100)&gt;=1,MOD(INT('월 가계부'!A2908/100),100)&lt;=12,MOD(INT('월 가계부'!A2908),100)&gt;=1,MOD(INT('월 가계부'!A2908),100)&lt;=31),IF(MONTH(DATE(INT('월 가계부'!A2908/10000),MOD(INT('월 가계부'!A2908/100),100),MOD(INT('월 가계부'!A2908),100)))=MOD(INT('월 가계부'!A2908/100),100),DATE(INT('월 가계부'!A2908/10000),MOD(INT('월 가계부'!A2908/100),100),MOD(INT('월 가계부'!A2908),100)),""),""),IF(AND('월 가계부'!A2908&gt;=36526,'월 가계부'!A2908&lt;73051),INT('월 가계부'!A2908),"")),IF(OR(CM2908="",CN2908="",CO2908=""),"",IF(AND(CM2908&gt;=2000,CM2908&lt;=2099,CN2908&gt;=1,CN2908&lt;=12,CO2908&gt;=1,CO2908&lt;=31),IF(MONTH(DATE(CM2908,CN2908,CO2908))=CN2908,DATE(CM2908,CN2908,CO2908),""),"")))),"")</f>
        <v/>
      </c>
      <c r="CJ2908">
        <f>IFERROR(IF('월 가계부'!C2908="","",IF(ISNUMBER('월 가계부'!C2908),'월 가계부'!C2908,VALUE(SUBSTITUTE(SUBSTITUTE(SUBSTITUTE(SUBSTITUTE(TRIM('월 가계부'!C2908),",",""),"원","")," ",""),"−","-")))),"")</f>
        <v/>
      </c>
      <c r="CK2908">
        <f>IF(ISNUMBER(CI2908),IF(CI2908&lt;$B$13,CI2908,""),"")</f>
        <v/>
      </c>
      <c r="CM2908">
        <f>IF(CH2908="","",IFERROR(IF(IF(AND(LEN(CH2908)=9,ISERROR(FIND("-",LEFT(CH2908,8))),ISNUMBER(-LEFT(CH2908,8))),VALUE(LEFT(CH2908,4)),VALUE(LEFT(CH2908,FIND("-",CH2908)-1)))&lt;100,IF(AND(LEN(CH2908)=9,ISERROR(FIND("-",LEFT(CH2908,8))),ISNUMBER(-LEFT(CH2908,8))),VALUE(LEFT(CH2908,4)),VALUE(LEFT(CH2908,FIND("-",CH2908)-1)))+2000,IF(AND(LEN(CH2908)=9,ISERROR(FIND("-",LEFT(CH2908,8))),ISNUMBER(-LEFT(CH2908,8))),VALUE(LEFT(CH2908,4)),VALUE(LEFT(CH2908,FIND("-",CH2908)-1)))),""))</f>
        <v/>
      </c>
      <c r="CN2908">
        <f>IF(CH2908="","",IFERROR(IF(AND(LEN(CH2908)=9,ISERROR(FIND("-",LEFT(CH2908,8))),ISNUMBER(-LEFT(CH2908,8))),VALUE(MID(CH2908,5,2)),VALUE(MID(CH2908,FIND("-",CH2908)+1,FIND("-",CH2908,FIND("-",CH2908)+1)-FIND("-",CH2908)-1))),""))</f>
        <v/>
      </c>
      <c r="CO2908">
        <f>IF(CH2908="","",IFERROR(IF(AND(LEN(CH2908)=9,ISERROR(FIND("-",LEFT(CH2908,8))),ISNUMBER(-LEFT(CH2908,8))),VALUE(MID(CH2908,7,2)),VALUE(MID(CH2908,FIND("-",CH2908,FIND("-",CH2908)+1)+1,FIND("-",CH2908,FIND("-",CH2908,FIND("-",CH2908)+1)+1)-FIND("-",CH2908,FIND("-",CH2908)+1)-1))),""))</f>
        <v/>
      </c>
    </row>
    <row r="2909">
      <c r="CH2909">
        <f>IF(ISTEXT('월 가계부'!A2909),SUBSTITUTE(SUBSTITUTE(SUBSTITUTE(SUBSTITUTE(SUBSTITUTE(SUBSTITUTE(SUBSTITUTE(SUBSTITUTE(SUBSTITUTE(TRIM('월 가계부'!A2909),"년","-"),"월","-"),"일",""),".","-"),"/","-")," ","-"),"--","-"),"--","-"),"--","-")&amp;"-","")</f>
        <v/>
      </c>
      <c r="CI2909">
        <f>IFERROR(IF('월 가계부'!A2909="","",IF(ISNUMBER('월 가계부'!A2909),IF(AND('월 가계부'!A2909&gt;=19000101,'월 가계부'!A2909&lt;=21001231),IF(AND(MOD(INT('월 가계부'!A2909/100),100)&gt;=1,MOD(INT('월 가계부'!A2909/100),100)&lt;=12,MOD(INT('월 가계부'!A2909),100)&gt;=1,MOD(INT('월 가계부'!A2909),100)&lt;=31),IF(MONTH(DATE(INT('월 가계부'!A2909/10000),MOD(INT('월 가계부'!A2909/100),100),MOD(INT('월 가계부'!A2909),100)))=MOD(INT('월 가계부'!A2909/100),100),DATE(INT('월 가계부'!A2909/10000),MOD(INT('월 가계부'!A2909/100),100),MOD(INT('월 가계부'!A2909),100)),""),""),IF(AND('월 가계부'!A2909&gt;=36526,'월 가계부'!A2909&lt;73051),INT('월 가계부'!A2909),"")),IF(OR(CM2909="",CN2909="",CO2909=""),"",IF(AND(CM2909&gt;=2000,CM2909&lt;=2099,CN2909&gt;=1,CN2909&lt;=12,CO2909&gt;=1,CO2909&lt;=31),IF(MONTH(DATE(CM2909,CN2909,CO2909))=CN2909,DATE(CM2909,CN2909,CO2909),""),"")))),"")</f>
        <v/>
      </c>
      <c r="CJ2909">
        <f>IFERROR(IF('월 가계부'!C2909="","",IF(ISNUMBER('월 가계부'!C2909),'월 가계부'!C2909,VALUE(SUBSTITUTE(SUBSTITUTE(SUBSTITUTE(SUBSTITUTE(TRIM('월 가계부'!C2909),",",""),"원","")," ",""),"−","-")))),"")</f>
        <v/>
      </c>
      <c r="CK2909">
        <f>IF(ISNUMBER(CI2909),IF(CI2909&lt;$B$13,CI2909,""),"")</f>
        <v/>
      </c>
      <c r="CM2909">
        <f>IF(CH2909="","",IFERROR(IF(IF(AND(LEN(CH2909)=9,ISERROR(FIND("-",LEFT(CH2909,8))),ISNUMBER(-LEFT(CH2909,8))),VALUE(LEFT(CH2909,4)),VALUE(LEFT(CH2909,FIND("-",CH2909)-1)))&lt;100,IF(AND(LEN(CH2909)=9,ISERROR(FIND("-",LEFT(CH2909,8))),ISNUMBER(-LEFT(CH2909,8))),VALUE(LEFT(CH2909,4)),VALUE(LEFT(CH2909,FIND("-",CH2909)-1)))+2000,IF(AND(LEN(CH2909)=9,ISERROR(FIND("-",LEFT(CH2909,8))),ISNUMBER(-LEFT(CH2909,8))),VALUE(LEFT(CH2909,4)),VALUE(LEFT(CH2909,FIND("-",CH2909)-1)))),""))</f>
        <v/>
      </c>
      <c r="CN2909">
        <f>IF(CH2909="","",IFERROR(IF(AND(LEN(CH2909)=9,ISERROR(FIND("-",LEFT(CH2909,8))),ISNUMBER(-LEFT(CH2909,8))),VALUE(MID(CH2909,5,2)),VALUE(MID(CH2909,FIND("-",CH2909)+1,FIND("-",CH2909,FIND("-",CH2909)+1)-FIND("-",CH2909)-1))),""))</f>
        <v/>
      </c>
      <c r="CO2909">
        <f>IF(CH2909="","",IFERROR(IF(AND(LEN(CH2909)=9,ISERROR(FIND("-",LEFT(CH2909,8))),ISNUMBER(-LEFT(CH2909,8))),VALUE(MID(CH2909,7,2)),VALUE(MID(CH2909,FIND("-",CH2909,FIND("-",CH2909)+1)+1,FIND("-",CH2909,FIND("-",CH2909,FIND("-",CH2909)+1)+1)-FIND("-",CH2909,FIND("-",CH2909)+1)-1))),""))</f>
        <v/>
      </c>
    </row>
    <row r="2910">
      <c r="CH2910">
        <f>IF(ISTEXT('월 가계부'!A2910),SUBSTITUTE(SUBSTITUTE(SUBSTITUTE(SUBSTITUTE(SUBSTITUTE(SUBSTITUTE(SUBSTITUTE(SUBSTITUTE(SUBSTITUTE(TRIM('월 가계부'!A2910),"년","-"),"월","-"),"일",""),".","-"),"/","-")," ","-"),"--","-"),"--","-"),"--","-")&amp;"-","")</f>
        <v/>
      </c>
      <c r="CI2910">
        <f>IFERROR(IF('월 가계부'!A2910="","",IF(ISNUMBER('월 가계부'!A2910),IF(AND('월 가계부'!A2910&gt;=19000101,'월 가계부'!A2910&lt;=21001231),IF(AND(MOD(INT('월 가계부'!A2910/100),100)&gt;=1,MOD(INT('월 가계부'!A2910/100),100)&lt;=12,MOD(INT('월 가계부'!A2910),100)&gt;=1,MOD(INT('월 가계부'!A2910),100)&lt;=31),IF(MONTH(DATE(INT('월 가계부'!A2910/10000),MOD(INT('월 가계부'!A2910/100),100),MOD(INT('월 가계부'!A2910),100)))=MOD(INT('월 가계부'!A2910/100),100),DATE(INT('월 가계부'!A2910/10000),MOD(INT('월 가계부'!A2910/100),100),MOD(INT('월 가계부'!A2910),100)),""),""),IF(AND('월 가계부'!A2910&gt;=36526,'월 가계부'!A2910&lt;73051),INT('월 가계부'!A2910),"")),IF(OR(CM2910="",CN2910="",CO2910=""),"",IF(AND(CM2910&gt;=2000,CM2910&lt;=2099,CN2910&gt;=1,CN2910&lt;=12,CO2910&gt;=1,CO2910&lt;=31),IF(MONTH(DATE(CM2910,CN2910,CO2910))=CN2910,DATE(CM2910,CN2910,CO2910),""),"")))),"")</f>
        <v/>
      </c>
      <c r="CJ2910">
        <f>IFERROR(IF('월 가계부'!C2910="","",IF(ISNUMBER('월 가계부'!C2910),'월 가계부'!C2910,VALUE(SUBSTITUTE(SUBSTITUTE(SUBSTITUTE(SUBSTITUTE(TRIM('월 가계부'!C2910),",",""),"원","")," ",""),"−","-")))),"")</f>
        <v/>
      </c>
      <c r="CK2910">
        <f>IF(ISNUMBER(CI2910),IF(CI2910&lt;$B$13,CI2910,""),"")</f>
        <v/>
      </c>
      <c r="CM2910">
        <f>IF(CH2910="","",IFERROR(IF(IF(AND(LEN(CH2910)=9,ISERROR(FIND("-",LEFT(CH2910,8))),ISNUMBER(-LEFT(CH2910,8))),VALUE(LEFT(CH2910,4)),VALUE(LEFT(CH2910,FIND("-",CH2910)-1)))&lt;100,IF(AND(LEN(CH2910)=9,ISERROR(FIND("-",LEFT(CH2910,8))),ISNUMBER(-LEFT(CH2910,8))),VALUE(LEFT(CH2910,4)),VALUE(LEFT(CH2910,FIND("-",CH2910)-1)))+2000,IF(AND(LEN(CH2910)=9,ISERROR(FIND("-",LEFT(CH2910,8))),ISNUMBER(-LEFT(CH2910,8))),VALUE(LEFT(CH2910,4)),VALUE(LEFT(CH2910,FIND("-",CH2910)-1)))),""))</f>
        <v/>
      </c>
      <c r="CN2910">
        <f>IF(CH2910="","",IFERROR(IF(AND(LEN(CH2910)=9,ISERROR(FIND("-",LEFT(CH2910,8))),ISNUMBER(-LEFT(CH2910,8))),VALUE(MID(CH2910,5,2)),VALUE(MID(CH2910,FIND("-",CH2910)+1,FIND("-",CH2910,FIND("-",CH2910)+1)-FIND("-",CH2910)-1))),""))</f>
        <v/>
      </c>
      <c r="CO2910">
        <f>IF(CH2910="","",IFERROR(IF(AND(LEN(CH2910)=9,ISERROR(FIND("-",LEFT(CH2910,8))),ISNUMBER(-LEFT(CH2910,8))),VALUE(MID(CH2910,7,2)),VALUE(MID(CH2910,FIND("-",CH2910,FIND("-",CH2910)+1)+1,FIND("-",CH2910,FIND("-",CH2910,FIND("-",CH2910)+1)+1)-FIND("-",CH2910,FIND("-",CH2910)+1)-1))),""))</f>
        <v/>
      </c>
    </row>
    <row r="2911">
      <c r="CH2911">
        <f>IF(ISTEXT('월 가계부'!A2911),SUBSTITUTE(SUBSTITUTE(SUBSTITUTE(SUBSTITUTE(SUBSTITUTE(SUBSTITUTE(SUBSTITUTE(SUBSTITUTE(SUBSTITUTE(TRIM('월 가계부'!A2911),"년","-"),"월","-"),"일",""),".","-"),"/","-")," ","-"),"--","-"),"--","-"),"--","-")&amp;"-","")</f>
        <v/>
      </c>
      <c r="CI2911">
        <f>IFERROR(IF('월 가계부'!A2911="","",IF(ISNUMBER('월 가계부'!A2911),IF(AND('월 가계부'!A2911&gt;=19000101,'월 가계부'!A2911&lt;=21001231),IF(AND(MOD(INT('월 가계부'!A2911/100),100)&gt;=1,MOD(INT('월 가계부'!A2911/100),100)&lt;=12,MOD(INT('월 가계부'!A2911),100)&gt;=1,MOD(INT('월 가계부'!A2911),100)&lt;=31),IF(MONTH(DATE(INT('월 가계부'!A2911/10000),MOD(INT('월 가계부'!A2911/100),100),MOD(INT('월 가계부'!A2911),100)))=MOD(INT('월 가계부'!A2911/100),100),DATE(INT('월 가계부'!A2911/10000),MOD(INT('월 가계부'!A2911/100),100),MOD(INT('월 가계부'!A2911),100)),""),""),IF(AND('월 가계부'!A2911&gt;=36526,'월 가계부'!A2911&lt;73051),INT('월 가계부'!A2911),"")),IF(OR(CM2911="",CN2911="",CO2911=""),"",IF(AND(CM2911&gt;=2000,CM2911&lt;=2099,CN2911&gt;=1,CN2911&lt;=12,CO2911&gt;=1,CO2911&lt;=31),IF(MONTH(DATE(CM2911,CN2911,CO2911))=CN2911,DATE(CM2911,CN2911,CO2911),""),"")))),"")</f>
        <v/>
      </c>
      <c r="CJ2911">
        <f>IFERROR(IF('월 가계부'!C2911="","",IF(ISNUMBER('월 가계부'!C2911),'월 가계부'!C2911,VALUE(SUBSTITUTE(SUBSTITUTE(SUBSTITUTE(SUBSTITUTE(TRIM('월 가계부'!C2911),",",""),"원","")," ",""),"−","-")))),"")</f>
        <v/>
      </c>
      <c r="CK2911">
        <f>IF(ISNUMBER(CI2911),IF(CI2911&lt;$B$13,CI2911,""),"")</f>
        <v/>
      </c>
      <c r="CM2911">
        <f>IF(CH2911="","",IFERROR(IF(IF(AND(LEN(CH2911)=9,ISERROR(FIND("-",LEFT(CH2911,8))),ISNUMBER(-LEFT(CH2911,8))),VALUE(LEFT(CH2911,4)),VALUE(LEFT(CH2911,FIND("-",CH2911)-1)))&lt;100,IF(AND(LEN(CH2911)=9,ISERROR(FIND("-",LEFT(CH2911,8))),ISNUMBER(-LEFT(CH2911,8))),VALUE(LEFT(CH2911,4)),VALUE(LEFT(CH2911,FIND("-",CH2911)-1)))+2000,IF(AND(LEN(CH2911)=9,ISERROR(FIND("-",LEFT(CH2911,8))),ISNUMBER(-LEFT(CH2911,8))),VALUE(LEFT(CH2911,4)),VALUE(LEFT(CH2911,FIND("-",CH2911)-1)))),""))</f>
        <v/>
      </c>
      <c r="CN2911">
        <f>IF(CH2911="","",IFERROR(IF(AND(LEN(CH2911)=9,ISERROR(FIND("-",LEFT(CH2911,8))),ISNUMBER(-LEFT(CH2911,8))),VALUE(MID(CH2911,5,2)),VALUE(MID(CH2911,FIND("-",CH2911)+1,FIND("-",CH2911,FIND("-",CH2911)+1)-FIND("-",CH2911)-1))),""))</f>
        <v/>
      </c>
      <c r="CO2911">
        <f>IF(CH2911="","",IFERROR(IF(AND(LEN(CH2911)=9,ISERROR(FIND("-",LEFT(CH2911,8))),ISNUMBER(-LEFT(CH2911,8))),VALUE(MID(CH2911,7,2)),VALUE(MID(CH2911,FIND("-",CH2911,FIND("-",CH2911)+1)+1,FIND("-",CH2911,FIND("-",CH2911,FIND("-",CH2911)+1)+1)-FIND("-",CH2911,FIND("-",CH2911)+1)-1))),""))</f>
        <v/>
      </c>
    </row>
    <row r="2912">
      <c r="CH2912">
        <f>IF(ISTEXT('월 가계부'!A2912),SUBSTITUTE(SUBSTITUTE(SUBSTITUTE(SUBSTITUTE(SUBSTITUTE(SUBSTITUTE(SUBSTITUTE(SUBSTITUTE(SUBSTITUTE(TRIM('월 가계부'!A2912),"년","-"),"월","-"),"일",""),".","-"),"/","-")," ","-"),"--","-"),"--","-"),"--","-")&amp;"-","")</f>
        <v/>
      </c>
      <c r="CI2912">
        <f>IFERROR(IF('월 가계부'!A2912="","",IF(ISNUMBER('월 가계부'!A2912),IF(AND('월 가계부'!A2912&gt;=19000101,'월 가계부'!A2912&lt;=21001231),IF(AND(MOD(INT('월 가계부'!A2912/100),100)&gt;=1,MOD(INT('월 가계부'!A2912/100),100)&lt;=12,MOD(INT('월 가계부'!A2912),100)&gt;=1,MOD(INT('월 가계부'!A2912),100)&lt;=31),IF(MONTH(DATE(INT('월 가계부'!A2912/10000),MOD(INT('월 가계부'!A2912/100),100),MOD(INT('월 가계부'!A2912),100)))=MOD(INT('월 가계부'!A2912/100),100),DATE(INT('월 가계부'!A2912/10000),MOD(INT('월 가계부'!A2912/100),100),MOD(INT('월 가계부'!A2912),100)),""),""),IF(AND('월 가계부'!A2912&gt;=36526,'월 가계부'!A2912&lt;73051),INT('월 가계부'!A2912),"")),IF(OR(CM2912="",CN2912="",CO2912=""),"",IF(AND(CM2912&gt;=2000,CM2912&lt;=2099,CN2912&gt;=1,CN2912&lt;=12,CO2912&gt;=1,CO2912&lt;=31),IF(MONTH(DATE(CM2912,CN2912,CO2912))=CN2912,DATE(CM2912,CN2912,CO2912),""),"")))),"")</f>
        <v/>
      </c>
      <c r="CJ2912">
        <f>IFERROR(IF('월 가계부'!C2912="","",IF(ISNUMBER('월 가계부'!C2912),'월 가계부'!C2912,VALUE(SUBSTITUTE(SUBSTITUTE(SUBSTITUTE(SUBSTITUTE(TRIM('월 가계부'!C2912),",",""),"원","")," ",""),"−","-")))),"")</f>
        <v/>
      </c>
      <c r="CK2912">
        <f>IF(ISNUMBER(CI2912),IF(CI2912&lt;$B$13,CI2912,""),"")</f>
        <v/>
      </c>
      <c r="CM2912">
        <f>IF(CH2912="","",IFERROR(IF(IF(AND(LEN(CH2912)=9,ISERROR(FIND("-",LEFT(CH2912,8))),ISNUMBER(-LEFT(CH2912,8))),VALUE(LEFT(CH2912,4)),VALUE(LEFT(CH2912,FIND("-",CH2912)-1)))&lt;100,IF(AND(LEN(CH2912)=9,ISERROR(FIND("-",LEFT(CH2912,8))),ISNUMBER(-LEFT(CH2912,8))),VALUE(LEFT(CH2912,4)),VALUE(LEFT(CH2912,FIND("-",CH2912)-1)))+2000,IF(AND(LEN(CH2912)=9,ISERROR(FIND("-",LEFT(CH2912,8))),ISNUMBER(-LEFT(CH2912,8))),VALUE(LEFT(CH2912,4)),VALUE(LEFT(CH2912,FIND("-",CH2912)-1)))),""))</f>
        <v/>
      </c>
      <c r="CN2912">
        <f>IF(CH2912="","",IFERROR(IF(AND(LEN(CH2912)=9,ISERROR(FIND("-",LEFT(CH2912,8))),ISNUMBER(-LEFT(CH2912,8))),VALUE(MID(CH2912,5,2)),VALUE(MID(CH2912,FIND("-",CH2912)+1,FIND("-",CH2912,FIND("-",CH2912)+1)-FIND("-",CH2912)-1))),""))</f>
        <v/>
      </c>
      <c r="CO2912">
        <f>IF(CH2912="","",IFERROR(IF(AND(LEN(CH2912)=9,ISERROR(FIND("-",LEFT(CH2912,8))),ISNUMBER(-LEFT(CH2912,8))),VALUE(MID(CH2912,7,2)),VALUE(MID(CH2912,FIND("-",CH2912,FIND("-",CH2912)+1)+1,FIND("-",CH2912,FIND("-",CH2912,FIND("-",CH2912)+1)+1)-FIND("-",CH2912,FIND("-",CH2912)+1)-1))),""))</f>
        <v/>
      </c>
    </row>
    <row r="2913">
      <c r="CH2913">
        <f>IF(ISTEXT('월 가계부'!A2913),SUBSTITUTE(SUBSTITUTE(SUBSTITUTE(SUBSTITUTE(SUBSTITUTE(SUBSTITUTE(SUBSTITUTE(SUBSTITUTE(SUBSTITUTE(TRIM('월 가계부'!A2913),"년","-"),"월","-"),"일",""),".","-"),"/","-")," ","-"),"--","-"),"--","-"),"--","-")&amp;"-","")</f>
        <v/>
      </c>
      <c r="CI2913">
        <f>IFERROR(IF('월 가계부'!A2913="","",IF(ISNUMBER('월 가계부'!A2913),IF(AND('월 가계부'!A2913&gt;=19000101,'월 가계부'!A2913&lt;=21001231),IF(AND(MOD(INT('월 가계부'!A2913/100),100)&gt;=1,MOD(INT('월 가계부'!A2913/100),100)&lt;=12,MOD(INT('월 가계부'!A2913),100)&gt;=1,MOD(INT('월 가계부'!A2913),100)&lt;=31),IF(MONTH(DATE(INT('월 가계부'!A2913/10000),MOD(INT('월 가계부'!A2913/100),100),MOD(INT('월 가계부'!A2913),100)))=MOD(INT('월 가계부'!A2913/100),100),DATE(INT('월 가계부'!A2913/10000),MOD(INT('월 가계부'!A2913/100),100),MOD(INT('월 가계부'!A2913),100)),""),""),IF(AND('월 가계부'!A2913&gt;=36526,'월 가계부'!A2913&lt;73051),INT('월 가계부'!A2913),"")),IF(OR(CM2913="",CN2913="",CO2913=""),"",IF(AND(CM2913&gt;=2000,CM2913&lt;=2099,CN2913&gt;=1,CN2913&lt;=12,CO2913&gt;=1,CO2913&lt;=31),IF(MONTH(DATE(CM2913,CN2913,CO2913))=CN2913,DATE(CM2913,CN2913,CO2913),""),"")))),"")</f>
        <v/>
      </c>
      <c r="CJ2913">
        <f>IFERROR(IF('월 가계부'!C2913="","",IF(ISNUMBER('월 가계부'!C2913),'월 가계부'!C2913,VALUE(SUBSTITUTE(SUBSTITUTE(SUBSTITUTE(SUBSTITUTE(TRIM('월 가계부'!C2913),",",""),"원","")," ",""),"−","-")))),"")</f>
        <v/>
      </c>
      <c r="CK2913">
        <f>IF(ISNUMBER(CI2913),IF(CI2913&lt;$B$13,CI2913,""),"")</f>
        <v/>
      </c>
      <c r="CM2913">
        <f>IF(CH2913="","",IFERROR(IF(IF(AND(LEN(CH2913)=9,ISERROR(FIND("-",LEFT(CH2913,8))),ISNUMBER(-LEFT(CH2913,8))),VALUE(LEFT(CH2913,4)),VALUE(LEFT(CH2913,FIND("-",CH2913)-1)))&lt;100,IF(AND(LEN(CH2913)=9,ISERROR(FIND("-",LEFT(CH2913,8))),ISNUMBER(-LEFT(CH2913,8))),VALUE(LEFT(CH2913,4)),VALUE(LEFT(CH2913,FIND("-",CH2913)-1)))+2000,IF(AND(LEN(CH2913)=9,ISERROR(FIND("-",LEFT(CH2913,8))),ISNUMBER(-LEFT(CH2913,8))),VALUE(LEFT(CH2913,4)),VALUE(LEFT(CH2913,FIND("-",CH2913)-1)))),""))</f>
        <v/>
      </c>
      <c r="CN2913">
        <f>IF(CH2913="","",IFERROR(IF(AND(LEN(CH2913)=9,ISERROR(FIND("-",LEFT(CH2913,8))),ISNUMBER(-LEFT(CH2913,8))),VALUE(MID(CH2913,5,2)),VALUE(MID(CH2913,FIND("-",CH2913)+1,FIND("-",CH2913,FIND("-",CH2913)+1)-FIND("-",CH2913)-1))),""))</f>
        <v/>
      </c>
      <c r="CO2913">
        <f>IF(CH2913="","",IFERROR(IF(AND(LEN(CH2913)=9,ISERROR(FIND("-",LEFT(CH2913,8))),ISNUMBER(-LEFT(CH2913,8))),VALUE(MID(CH2913,7,2)),VALUE(MID(CH2913,FIND("-",CH2913,FIND("-",CH2913)+1)+1,FIND("-",CH2913,FIND("-",CH2913,FIND("-",CH2913)+1)+1)-FIND("-",CH2913,FIND("-",CH2913)+1)-1))),""))</f>
        <v/>
      </c>
    </row>
    <row r="2914">
      <c r="CH2914">
        <f>IF(ISTEXT('월 가계부'!A2914),SUBSTITUTE(SUBSTITUTE(SUBSTITUTE(SUBSTITUTE(SUBSTITUTE(SUBSTITUTE(SUBSTITUTE(SUBSTITUTE(SUBSTITUTE(TRIM('월 가계부'!A2914),"년","-"),"월","-"),"일",""),".","-"),"/","-")," ","-"),"--","-"),"--","-"),"--","-")&amp;"-","")</f>
        <v/>
      </c>
      <c r="CI2914">
        <f>IFERROR(IF('월 가계부'!A2914="","",IF(ISNUMBER('월 가계부'!A2914),IF(AND('월 가계부'!A2914&gt;=19000101,'월 가계부'!A2914&lt;=21001231),IF(AND(MOD(INT('월 가계부'!A2914/100),100)&gt;=1,MOD(INT('월 가계부'!A2914/100),100)&lt;=12,MOD(INT('월 가계부'!A2914),100)&gt;=1,MOD(INT('월 가계부'!A2914),100)&lt;=31),IF(MONTH(DATE(INT('월 가계부'!A2914/10000),MOD(INT('월 가계부'!A2914/100),100),MOD(INT('월 가계부'!A2914),100)))=MOD(INT('월 가계부'!A2914/100),100),DATE(INT('월 가계부'!A2914/10000),MOD(INT('월 가계부'!A2914/100),100),MOD(INT('월 가계부'!A2914),100)),""),""),IF(AND('월 가계부'!A2914&gt;=36526,'월 가계부'!A2914&lt;73051),INT('월 가계부'!A2914),"")),IF(OR(CM2914="",CN2914="",CO2914=""),"",IF(AND(CM2914&gt;=2000,CM2914&lt;=2099,CN2914&gt;=1,CN2914&lt;=12,CO2914&gt;=1,CO2914&lt;=31),IF(MONTH(DATE(CM2914,CN2914,CO2914))=CN2914,DATE(CM2914,CN2914,CO2914),""),"")))),"")</f>
        <v/>
      </c>
      <c r="CJ2914">
        <f>IFERROR(IF('월 가계부'!C2914="","",IF(ISNUMBER('월 가계부'!C2914),'월 가계부'!C2914,VALUE(SUBSTITUTE(SUBSTITUTE(SUBSTITUTE(SUBSTITUTE(TRIM('월 가계부'!C2914),",",""),"원","")," ",""),"−","-")))),"")</f>
        <v/>
      </c>
      <c r="CK2914">
        <f>IF(ISNUMBER(CI2914),IF(CI2914&lt;$B$13,CI2914,""),"")</f>
        <v/>
      </c>
      <c r="CM2914">
        <f>IF(CH2914="","",IFERROR(IF(IF(AND(LEN(CH2914)=9,ISERROR(FIND("-",LEFT(CH2914,8))),ISNUMBER(-LEFT(CH2914,8))),VALUE(LEFT(CH2914,4)),VALUE(LEFT(CH2914,FIND("-",CH2914)-1)))&lt;100,IF(AND(LEN(CH2914)=9,ISERROR(FIND("-",LEFT(CH2914,8))),ISNUMBER(-LEFT(CH2914,8))),VALUE(LEFT(CH2914,4)),VALUE(LEFT(CH2914,FIND("-",CH2914)-1)))+2000,IF(AND(LEN(CH2914)=9,ISERROR(FIND("-",LEFT(CH2914,8))),ISNUMBER(-LEFT(CH2914,8))),VALUE(LEFT(CH2914,4)),VALUE(LEFT(CH2914,FIND("-",CH2914)-1)))),""))</f>
        <v/>
      </c>
      <c r="CN2914">
        <f>IF(CH2914="","",IFERROR(IF(AND(LEN(CH2914)=9,ISERROR(FIND("-",LEFT(CH2914,8))),ISNUMBER(-LEFT(CH2914,8))),VALUE(MID(CH2914,5,2)),VALUE(MID(CH2914,FIND("-",CH2914)+1,FIND("-",CH2914,FIND("-",CH2914)+1)-FIND("-",CH2914)-1))),""))</f>
        <v/>
      </c>
      <c r="CO2914">
        <f>IF(CH2914="","",IFERROR(IF(AND(LEN(CH2914)=9,ISERROR(FIND("-",LEFT(CH2914,8))),ISNUMBER(-LEFT(CH2914,8))),VALUE(MID(CH2914,7,2)),VALUE(MID(CH2914,FIND("-",CH2914,FIND("-",CH2914)+1)+1,FIND("-",CH2914,FIND("-",CH2914,FIND("-",CH2914)+1)+1)-FIND("-",CH2914,FIND("-",CH2914)+1)-1))),""))</f>
        <v/>
      </c>
    </row>
    <row r="2915">
      <c r="CH2915">
        <f>IF(ISTEXT('월 가계부'!A2915),SUBSTITUTE(SUBSTITUTE(SUBSTITUTE(SUBSTITUTE(SUBSTITUTE(SUBSTITUTE(SUBSTITUTE(SUBSTITUTE(SUBSTITUTE(TRIM('월 가계부'!A2915),"년","-"),"월","-"),"일",""),".","-"),"/","-")," ","-"),"--","-"),"--","-"),"--","-")&amp;"-","")</f>
        <v/>
      </c>
      <c r="CI2915">
        <f>IFERROR(IF('월 가계부'!A2915="","",IF(ISNUMBER('월 가계부'!A2915),IF(AND('월 가계부'!A2915&gt;=19000101,'월 가계부'!A2915&lt;=21001231),IF(AND(MOD(INT('월 가계부'!A2915/100),100)&gt;=1,MOD(INT('월 가계부'!A2915/100),100)&lt;=12,MOD(INT('월 가계부'!A2915),100)&gt;=1,MOD(INT('월 가계부'!A2915),100)&lt;=31),IF(MONTH(DATE(INT('월 가계부'!A2915/10000),MOD(INT('월 가계부'!A2915/100),100),MOD(INT('월 가계부'!A2915),100)))=MOD(INT('월 가계부'!A2915/100),100),DATE(INT('월 가계부'!A2915/10000),MOD(INT('월 가계부'!A2915/100),100),MOD(INT('월 가계부'!A2915),100)),""),""),IF(AND('월 가계부'!A2915&gt;=36526,'월 가계부'!A2915&lt;73051),INT('월 가계부'!A2915),"")),IF(OR(CM2915="",CN2915="",CO2915=""),"",IF(AND(CM2915&gt;=2000,CM2915&lt;=2099,CN2915&gt;=1,CN2915&lt;=12,CO2915&gt;=1,CO2915&lt;=31),IF(MONTH(DATE(CM2915,CN2915,CO2915))=CN2915,DATE(CM2915,CN2915,CO2915),""),"")))),"")</f>
        <v/>
      </c>
      <c r="CJ2915">
        <f>IFERROR(IF('월 가계부'!C2915="","",IF(ISNUMBER('월 가계부'!C2915),'월 가계부'!C2915,VALUE(SUBSTITUTE(SUBSTITUTE(SUBSTITUTE(SUBSTITUTE(TRIM('월 가계부'!C2915),",",""),"원","")," ",""),"−","-")))),"")</f>
        <v/>
      </c>
      <c r="CK2915">
        <f>IF(ISNUMBER(CI2915),IF(CI2915&lt;$B$13,CI2915,""),"")</f>
        <v/>
      </c>
      <c r="CM2915">
        <f>IF(CH2915="","",IFERROR(IF(IF(AND(LEN(CH2915)=9,ISERROR(FIND("-",LEFT(CH2915,8))),ISNUMBER(-LEFT(CH2915,8))),VALUE(LEFT(CH2915,4)),VALUE(LEFT(CH2915,FIND("-",CH2915)-1)))&lt;100,IF(AND(LEN(CH2915)=9,ISERROR(FIND("-",LEFT(CH2915,8))),ISNUMBER(-LEFT(CH2915,8))),VALUE(LEFT(CH2915,4)),VALUE(LEFT(CH2915,FIND("-",CH2915)-1)))+2000,IF(AND(LEN(CH2915)=9,ISERROR(FIND("-",LEFT(CH2915,8))),ISNUMBER(-LEFT(CH2915,8))),VALUE(LEFT(CH2915,4)),VALUE(LEFT(CH2915,FIND("-",CH2915)-1)))),""))</f>
        <v/>
      </c>
      <c r="CN2915">
        <f>IF(CH2915="","",IFERROR(IF(AND(LEN(CH2915)=9,ISERROR(FIND("-",LEFT(CH2915,8))),ISNUMBER(-LEFT(CH2915,8))),VALUE(MID(CH2915,5,2)),VALUE(MID(CH2915,FIND("-",CH2915)+1,FIND("-",CH2915,FIND("-",CH2915)+1)-FIND("-",CH2915)-1))),""))</f>
        <v/>
      </c>
      <c r="CO2915">
        <f>IF(CH2915="","",IFERROR(IF(AND(LEN(CH2915)=9,ISERROR(FIND("-",LEFT(CH2915,8))),ISNUMBER(-LEFT(CH2915,8))),VALUE(MID(CH2915,7,2)),VALUE(MID(CH2915,FIND("-",CH2915,FIND("-",CH2915)+1)+1,FIND("-",CH2915,FIND("-",CH2915,FIND("-",CH2915)+1)+1)-FIND("-",CH2915,FIND("-",CH2915)+1)-1))),""))</f>
        <v/>
      </c>
    </row>
    <row r="2916">
      <c r="CH2916">
        <f>IF(ISTEXT('월 가계부'!A2916),SUBSTITUTE(SUBSTITUTE(SUBSTITUTE(SUBSTITUTE(SUBSTITUTE(SUBSTITUTE(SUBSTITUTE(SUBSTITUTE(SUBSTITUTE(TRIM('월 가계부'!A2916),"년","-"),"월","-"),"일",""),".","-"),"/","-")," ","-"),"--","-"),"--","-"),"--","-")&amp;"-","")</f>
        <v/>
      </c>
      <c r="CI2916">
        <f>IFERROR(IF('월 가계부'!A2916="","",IF(ISNUMBER('월 가계부'!A2916),IF(AND('월 가계부'!A2916&gt;=19000101,'월 가계부'!A2916&lt;=21001231),IF(AND(MOD(INT('월 가계부'!A2916/100),100)&gt;=1,MOD(INT('월 가계부'!A2916/100),100)&lt;=12,MOD(INT('월 가계부'!A2916),100)&gt;=1,MOD(INT('월 가계부'!A2916),100)&lt;=31),IF(MONTH(DATE(INT('월 가계부'!A2916/10000),MOD(INT('월 가계부'!A2916/100),100),MOD(INT('월 가계부'!A2916),100)))=MOD(INT('월 가계부'!A2916/100),100),DATE(INT('월 가계부'!A2916/10000),MOD(INT('월 가계부'!A2916/100),100),MOD(INT('월 가계부'!A2916),100)),""),""),IF(AND('월 가계부'!A2916&gt;=36526,'월 가계부'!A2916&lt;73051),INT('월 가계부'!A2916),"")),IF(OR(CM2916="",CN2916="",CO2916=""),"",IF(AND(CM2916&gt;=2000,CM2916&lt;=2099,CN2916&gt;=1,CN2916&lt;=12,CO2916&gt;=1,CO2916&lt;=31),IF(MONTH(DATE(CM2916,CN2916,CO2916))=CN2916,DATE(CM2916,CN2916,CO2916),""),"")))),"")</f>
        <v/>
      </c>
      <c r="CJ2916">
        <f>IFERROR(IF('월 가계부'!C2916="","",IF(ISNUMBER('월 가계부'!C2916),'월 가계부'!C2916,VALUE(SUBSTITUTE(SUBSTITUTE(SUBSTITUTE(SUBSTITUTE(TRIM('월 가계부'!C2916),",",""),"원","")," ",""),"−","-")))),"")</f>
        <v/>
      </c>
      <c r="CK2916">
        <f>IF(ISNUMBER(CI2916),IF(CI2916&lt;$B$13,CI2916,""),"")</f>
        <v/>
      </c>
      <c r="CM2916">
        <f>IF(CH2916="","",IFERROR(IF(IF(AND(LEN(CH2916)=9,ISERROR(FIND("-",LEFT(CH2916,8))),ISNUMBER(-LEFT(CH2916,8))),VALUE(LEFT(CH2916,4)),VALUE(LEFT(CH2916,FIND("-",CH2916)-1)))&lt;100,IF(AND(LEN(CH2916)=9,ISERROR(FIND("-",LEFT(CH2916,8))),ISNUMBER(-LEFT(CH2916,8))),VALUE(LEFT(CH2916,4)),VALUE(LEFT(CH2916,FIND("-",CH2916)-1)))+2000,IF(AND(LEN(CH2916)=9,ISERROR(FIND("-",LEFT(CH2916,8))),ISNUMBER(-LEFT(CH2916,8))),VALUE(LEFT(CH2916,4)),VALUE(LEFT(CH2916,FIND("-",CH2916)-1)))),""))</f>
        <v/>
      </c>
      <c r="CN2916">
        <f>IF(CH2916="","",IFERROR(IF(AND(LEN(CH2916)=9,ISERROR(FIND("-",LEFT(CH2916,8))),ISNUMBER(-LEFT(CH2916,8))),VALUE(MID(CH2916,5,2)),VALUE(MID(CH2916,FIND("-",CH2916)+1,FIND("-",CH2916,FIND("-",CH2916)+1)-FIND("-",CH2916)-1))),""))</f>
        <v/>
      </c>
      <c r="CO2916">
        <f>IF(CH2916="","",IFERROR(IF(AND(LEN(CH2916)=9,ISERROR(FIND("-",LEFT(CH2916,8))),ISNUMBER(-LEFT(CH2916,8))),VALUE(MID(CH2916,7,2)),VALUE(MID(CH2916,FIND("-",CH2916,FIND("-",CH2916)+1)+1,FIND("-",CH2916,FIND("-",CH2916,FIND("-",CH2916)+1)+1)-FIND("-",CH2916,FIND("-",CH2916)+1)-1))),""))</f>
        <v/>
      </c>
    </row>
    <row r="2917">
      <c r="CH2917">
        <f>IF(ISTEXT('월 가계부'!A2917),SUBSTITUTE(SUBSTITUTE(SUBSTITUTE(SUBSTITUTE(SUBSTITUTE(SUBSTITUTE(SUBSTITUTE(SUBSTITUTE(SUBSTITUTE(TRIM('월 가계부'!A2917),"년","-"),"월","-"),"일",""),".","-"),"/","-")," ","-"),"--","-"),"--","-"),"--","-")&amp;"-","")</f>
        <v/>
      </c>
      <c r="CI2917">
        <f>IFERROR(IF('월 가계부'!A2917="","",IF(ISNUMBER('월 가계부'!A2917),IF(AND('월 가계부'!A2917&gt;=19000101,'월 가계부'!A2917&lt;=21001231),IF(AND(MOD(INT('월 가계부'!A2917/100),100)&gt;=1,MOD(INT('월 가계부'!A2917/100),100)&lt;=12,MOD(INT('월 가계부'!A2917),100)&gt;=1,MOD(INT('월 가계부'!A2917),100)&lt;=31),IF(MONTH(DATE(INT('월 가계부'!A2917/10000),MOD(INT('월 가계부'!A2917/100),100),MOD(INT('월 가계부'!A2917),100)))=MOD(INT('월 가계부'!A2917/100),100),DATE(INT('월 가계부'!A2917/10000),MOD(INT('월 가계부'!A2917/100),100),MOD(INT('월 가계부'!A2917),100)),""),""),IF(AND('월 가계부'!A2917&gt;=36526,'월 가계부'!A2917&lt;73051),INT('월 가계부'!A2917),"")),IF(OR(CM2917="",CN2917="",CO2917=""),"",IF(AND(CM2917&gt;=2000,CM2917&lt;=2099,CN2917&gt;=1,CN2917&lt;=12,CO2917&gt;=1,CO2917&lt;=31),IF(MONTH(DATE(CM2917,CN2917,CO2917))=CN2917,DATE(CM2917,CN2917,CO2917),""),"")))),"")</f>
        <v/>
      </c>
      <c r="CJ2917">
        <f>IFERROR(IF('월 가계부'!C2917="","",IF(ISNUMBER('월 가계부'!C2917),'월 가계부'!C2917,VALUE(SUBSTITUTE(SUBSTITUTE(SUBSTITUTE(SUBSTITUTE(TRIM('월 가계부'!C2917),",",""),"원","")," ",""),"−","-")))),"")</f>
        <v/>
      </c>
      <c r="CK2917">
        <f>IF(ISNUMBER(CI2917),IF(CI2917&lt;$B$13,CI2917,""),"")</f>
        <v/>
      </c>
      <c r="CM2917">
        <f>IF(CH2917="","",IFERROR(IF(IF(AND(LEN(CH2917)=9,ISERROR(FIND("-",LEFT(CH2917,8))),ISNUMBER(-LEFT(CH2917,8))),VALUE(LEFT(CH2917,4)),VALUE(LEFT(CH2917,FIND("-",CH2917)-1)))&lt;100,IF(AND(LEN(CH2917)=9,ISERROR(FIND("-",LEFT(CH2917,8))),ISNUMBER(-LEFT(CH2917,8))),VALUE(LEFT(CH2917,4)),VALUE(LEFT(CH2917,FIND("-",CH2917)-1)))+2000,IF(AND(LEN(CH2917)=9,ISERROR(FIND("-",LEFT(CH2917,8))),ISNUMBER(-LEFT(CH2917,8))),VALUE(LEFT(CH2917,4)),VALUE(LEFT(CH2917,FIND("-",CH2917)-1)))),""))</f>
        <v/>
      </c>
      <c r="CN2917">
        <f>IF(CH2917="","",IFERROR(IF(AND(LEN(CH2917)=9,ISERROR(FIND("-",LEFT(CH2917,8))),ISNUMBER(-LEFT(CH2917,8))),VALUE(MID(CH2917,5,2)),VALUE(MID(CH2917,FIND("-",CH2917)+1,FIND("-",CH2917,FIND("-",CH2917)+1)-FIND("-",CH2917)-1))),""))</f>
        <v/>
      </c>
      <c r="CO2917">
        <f>IF(CH2917="","",IFERROR(IF(AND(LEN(CH2917)=9,ISERROR(FIND("-",LEFT(CH2917,8))),ISNUMBER(-LEFT(CH2917,8))),VALUE(MID(CH2917,7,2)),VALUE(MID(CH2917,FIND("-",CH2917,FIND("-",CH2917)+1)+1,FIND("-",CH2917,FIND("-",CH2917,FIND("-",CH2917)+1)+1)-FIND("-",CH2917,FIND("-",CH2917)+1)-1))),""))</f>
        <v/>
      </c>
    </row>
    <row r="2918">
      <c r="CH2918">
        <f>IF(ISTEXT('월 가계부'!A2918),SUBSTITUTE(SUBSTITUTE(SUBSTITUTE(SUBSTITUTE(SUBSTITUTE(SUBSTITUTE(SUBSTITUTE(SUBSTITUTE(SUBSTITUTE(TRIM('월 가계부'!A2918),"년","-"),"월","-"),"일",""),".","-"),"/","-")," ","-"),"--","-"),"--","-"),"--","-")&amp;"-","")</f>
        <v/>
      </c>
      <c r="CI2918">
        <f>IFERROR(IF('월 가계부'!A2918="","",IF(ISNUMBER('월 가계부'!A2918),IF(AND('월 가계부'!A2918&gt;=19000101,'월 가계부'!A2918&lt;=21001231),IF(AND(MOD(INT('월 가계부'!A2918/100),100)&gt;=1,MOD(INT('월 가계부'!A2918/100),100)&lt;=12,MOD(INT('월 가계부'!A2918),100)&gt;=1,MOD(INT('월 가계부'!A2918),100)&lt;=31),IF(MONTH(DATE(INT('월 가계부'!A2918/10000),MOD(INT('월 가계부'!A2918/100),100),MOD(INT('월 가계부'!A2918),100)))=MOD(INT('월 가계부'!A2918/100),100),DATE(INT('월 가계부'!A2918/10000),MOD(INT('월 가계부'!A2918/100),100),MOD(INT('월 가계부'!A2918),100)),""),""),IF(AND('월 가계부'!A2918&gt;=36526,'월 가계부'!A2918&lt;73051),INT('월 가계부'!A2918),"")),IF(OR(CM2918="",CN2918="",CO2918=""),"",IF(AND(CM2918&gt;=2000,CM2918&lt;=2099,CN2918&gt;=1,CN2918&lt;=12,CO2918&gt;=1,CO2918&lt;=31),IF(MONTH(DATE(CM2918,CN2918,CO2918))=CN2918,DATE(CM2918,CN2918,CO2918),""),"")))),"")</f>
        <v/>
      </c>
      <c r="CJ2918">
        <f>IFERROR(IF('월 가계부'!C2918="","",IF(ISNUMBER('월 가계부'!C2918),'월 가계부'!C2918,VALUE(SUBSTITUTE(SUBSTITUTE(SUBSTITUTE(SUBSTITUTE(TRIM('월 가계부'!C2918),",",""),"원","")," ",""),"−","-")))),"")</f>
        <v/>
      </c>
      <c r="CK2918">
        <f>IF(ISNUMBER(CI2918),IF(CI2918&lt;$B$13,CI2918,""),"")</f>
        <v/>
      </c>
      <c r="CM2918">
        <f>IF(CH2918="","",IFERROR(IF(IF(AND(LEN(CH2918)=9,ISERROR(FIND("-",LEFT(CH2918,8))),ISNUMBER(-LEFT(CH2918,8))),VALUE(LEFT(CH2918,4)),VALUE(LEFT(CH2918,FIND("-",CH2918)-1)))&lt;100,IF(AND(LEN(CH2918)=9,ISERROR(FIND("-",LEFT(CH2918,8))),ISNUMBER(-LEFT(CH2918,8))),VALUE(LEFT(CH2918,4)),VALUE(LEFT(CH2918,FIND("-",CH2918)-1)))+2000,IF(AND(LEN(CH2918)=9,ISERROR(FIND("-",LEFT(CH2918,8))),ISNUMBER(-LEFT(CH2918,8))),VALUE(LEFT(CH2918,4)),VALUE(LEFT(CH2918,FIND("-",CH2918)-1)))),""))</f>
        <v/>
      </c>
      <c r="CN2918">
        <f>IF(CH2918="","",IFERROR(IF(AND(LEN(CH2918)=9,ISERROR(FIND("-",LEFT(CH2918,8))),ISNUMBER(-LEFT(CH2918,8))),VALUE(MID(CH2918,5,2)),VALUE(MID(CH2918,FIND("-",CH2918)+1,FIND("-",CH2918,FIND("-",CH2918)+1)-FIND("-",CH2918)-1))),""))</f>
        <v/>
      </c>
      <c r="CO2918">
        <f>IF(CH2918="","",IFERROR(IF(AND(LEN(CH2918)=9,ISERROR(FIND("-",LEFT(CH2918,8))),ISNUMBER(-LEFT(CH2918,8))),VALUE(MID(CH2918,7,2)),VALUE(MID(CH2918,FIND("-",CH2918,FIND("-",CH2918)+1)+1,FIND("-",CH2918,FIND("-",CH2918,FIND("-",CH2918)+1)+1)-FIND("-",CH2918,FIND("-",CH2918)+1)-1))),""))</f>
        <v/>
      </c>
    </row>
    <row r="2919">
      <c r="CH2919">
        <f>IF(ISTEXT('월 가계부'!A2919),SUBSTITUTE(SUBSTITUTE(SUBSTITUTE(SUBSTITUTE(SUBSTITUTE(SUBSTITUTE(SUBSTITUTE(SUBSTITUTE(SUBSTITUTE(TRIM('월 가계부'!A2919),"년","-"),"월","-"),"일",""),".","-"),"/","-")," ","-"),"--","-"),"--","-"),"--","-")&amp;"-","")</f>
        <v/>
      </c>
      <c r="CI2919">
        <f>IFERROR(IF('월 가계부'!A2919="","",IF(ISNUMBER('월 가계부'!A2919),IF(AND('월 가계부'!A2919&gt;=19000101,'월 가계부'!A2919&lt;=21001231),IF(AND(MOD(INT('월 가계부'!A2919/100),100)&gt;=1,MOD(INT('월 가계부'!A2919/100),100)&lt;=12,MOD(INT('월 가계부'!A2919),100)&gt;=1,MOD(INT('월 가계부'!A2919),100)&lt;=31),IF(MONTH(DATE(INT('월 가계부'!A2919/10000),MOD(INT('월 가계부'!A2919/100),100),MOD(INT('월 가계부'!A2919),100)))=MOD(INT('월 가계부'!A2919/100),100),DATE(INT('월 가계부'!A2919/10000),MOD(INT('월 가계부'!A2919/100),100),MOD(INT('월 가계부'!A2919),100)),""),""),IF(AND('월 가계부'!A2919&gt;=36526,'월 가계부'!A2919&lt;73051),INT('월 가계부'!A2919),"")),IF(OR(CM2919="",CN2919="",CO2919=""),"",IF(AND(CM2919&gt;=2000,CM2919&lt;=2099,CN2919&gt;=1,CN2919&lt;=12,CO2919&gt;=1,CO2919&lt;=31),IF(MONTH(DATE(CM2919,CN2919,CO2919))=CN2919,DATE(CM2919,CN2919,CO2919),""),"")))),"")</f>
        <v/>
      </c>
      <c r="CJ2919">
        <f>IFERROR(IF('월 가계부'!C2919="","",IF(ISNUMBER('월 가계부'!C2919),'월 가계부'!C2919,VALUE(SUBSTITUTE(SUBSTITUTE(SUBSTITUTE(SUBSTITUTE(TRIM('월 가계부'!C2919),",",""),"원","")," ",""),"−","-")))),"")</f>
        <v/>
      </c>
      <c r="CK2919">
        <f>IF(ISNUMBER(CI2919),IF(CI2919&lt;$B$13,CI2919,""),"")</f>
        <v/>
      </c>
      <c r="CM2919">
        <f>IF(CH2919="","",IFERROR(IF(IF(AND(LEN(CH2919)=9,ISERROR(FIND("-",LEFT(CH2919,8))),ISNUMBER(-LEFT(CH2919,8))),VALUE(LEFT(CH2919,4)),VALUE(LEFT(CH2919,FIND("-",CH2919)-1)))&lt;100,IF(AND(LEN(CH2919)=9,ISERROR(FIND("-",LEFT(CH2919,8))),ISNUMBER(-LEFT(CH2919,8))),VALUE(LEFT(CH2919,4)),VALUE(LEFT(CH2919,FIND("-",CH2919)-1)))+2000,IF(AND(LEN(CH2919)=9,ISERROR(FIND("-",LEFT(CH2919,8))),ISNUMBER(-LEFT(CH2919,8))),VALUE(LEFT(CH2919,4)),VALUE(LEFT(CH2919,FIND("-",CH2919)-1)))),""))</f>
        <v/>
      </c>
      <c r="CN2919">
        <f>IF(CH2919="","",IFERROR(IF(AND(LEN(CH2919)=9,ISERROR(FIND("-",LEFT(CH2919,8))),ISNUMBER(-LEFT(CH2919,8))),VALUE(MID(CH2919,5,2)),VALUE(MID(CH2919,FIND("-",CH2919)+1,FIND("-",CH2919,FIND("-",CH2919)+1)-FIND("-",CH2919)-1))),""))</f>
        <v/>
      </c>
      <c r="CO2919">
        <f>IF(CH2919="","",IFERROR(IF(AND(LEN(CH2919)=9,ISERROR(FIND("-",LEFT(CH2919,8))),ISNUMBER(-LEFT(CH2919,8))),VALUE(MID(CH2919,7,2)),VALUE(MID(CH2919,FIND("-",CH2919,FIND("-",CH2919)+1)+1,FIND("-",CH2919,FIND("-",CH2919,FIND("-",CH2919)+1)+1)-FIND("-",CH2919,FIND("-",CH2919)+1)-1))),""))</f>
        <v/>
      </c>
    </row>
    <row r="2920">
      <c r="CH2920">
        <f>IF(ISTEXT('월 가계부'!A2920),SUBSTITUTE(SUBSTITUTE(SUBSTITUTE(SUBSTITUTE(SUBSTITUTE(SUBSTITUTE(SUBSTITUTE(SUBSTITUTE(SUBSTITUTE(TRIM('월 가계부'!A2920),"년","-"),"월","-"),"일",""),".","-"),"/","-")," ","-"),"--","-"),"--","-"),"--","-")&amp;"-","")</f>
        <v/>
      </c>
      <c r="CI2920">
        <f>IFERROR(IF('월 가계부'!A2920="","",IF(ISNUMBER('월 가계부'!A2920),IF(AND('월 가계부'!A2920&gt;=19000101,'월 가계부'!A2920&lt;=21001231),IF(AND(MOD(INT('월 가계부'!A2920/100),100)&gt;=1,MOD(INT('월 가계부'!A2920/100),100)&lt;=12,MOD(INT('월 가계부'!A2920),100)&gt;=1,MOD(INT('월 가계부'!A2920),100)&lt;=31),IF(MONTH(DATE(INT('월 가계부'!A2920/10000),MOD(INT('월 가계부'!A2920/100),100),MOD(INT('월 가계부'!A2920),100)))=MOD(INT('월 가계부'!A2920/100),100),DATE(INT('월 가계부'!A2920/10000),MOD(INT('월 가계부'!A2920/100),100),MOD(INT('월 가계부'!A2920),100)),""),""),IF(AND('월 가계부'!A2920&gt;=36526,'월 가계부'!A2920&lt;73051),INT('월 가계부'!A2920),"")),IF(OR(CM2920="",CN2920="",CO2920=""),"",IF(AND(CM2920&gt;=2000,CM2920&lt;=2099,CN2920&gt;=1,CN2920&lt;=12,CO2920&gt;=1,CO2920&lt;=31),IF(MONTH(DATE(CM2920,CN2920,CO2920))=CN2920,DATE(CM2920,CN2920,CO2920),""),"")))),"")</f>
        <v/>
      </c>
      <c r="CJ2920">
        <f>IFERROR(IF('월 가계부'!C2920="","",IF(ISNUMBER('월 가계부'!C2920),'월 가계부'!C2920,VALUE(SUBSTITUTE(SUBSTITUTE(SUBSTITUTE(SUBSTITUTE(TRIM('월 가계부'!C2920),",",""),"원","")," ",""),"−","-")))),"")</f>
        <v/>
      </c>
      <c r="CK2920">
        <f>IF(ISNUMBER(CI2920),IF(CI2920&lt;$B$13,CI2920,""),"")</f>
        <v/>
      </c>
      <c r="CM2920">
        <f>IF(CH2920="","",IFERROR(IF(IF(AND(LEN(CH2920)=9,ISERROR(FIND("-",LEFT(CH2920,8))),ISNUMBER(-LEFT(CH2920,8))),VALUE(LEFT(CH2920,4)),VALUE(LEFT(CH2920,FIND("-",CH2920)-1)))&lt;100,IF(AND(LEN(CH2920)=9,ISERROR(FIND("-",LEFT(CH2920,8))),ISNUMBER(-LEFT(CH2920,8))),VALUE(LEFT(CH2920,4)),VALUE(LEFT(CH2920,FIND("-",CH2920)-1)))+2000,IF(AND(LEN(CH2920)=9,ISERROR(FIND("-",LEFT(CH2920,8))),ISNUMBER(-LEFT(CH2920,8))),VALUE(LEFT(CH2920,4)),VALUE(LEFT(CH2920,FIND("-",CH2920)-1)))),""))</f>
        <v/>
      </c>
      <c r="CN2920">
        <f>IF(CH2920="","",IFERROR(IF(AND(LEN(CH2920)=9,ISERROR(FIND("-",LEFT(CH2920,8))),ISNUMBER(-LEFT(CH2920,8))),VALUE(MID(CH2920,5,2)),VALUE(MID(CH2920,FIND("-",CH2920)+1,FIND("-",CH2920,FIND("-",CH2920)+1)-FIND("-",CH2920)-1))),""))</f>
        <v/>
      </c>
      <c r="CO2920">
        <f>IF(CH2920="","",IFERROR(IF(AND(LEN(CH2920)=9,ISERROR(FIND("-",LEFT(CH2920,8))),ISNUMBER(-LEFT(CH2920,8))),VALUE(MID(CH2920,7,2)),VALUE(MID(CH2920,FIND("-",CH2920,FIND("-",CH2920)+1)+1,FIND("-",CH2920,FIND("-",CH2920,FIND("-",CH2920)+1)+1)-FIND("-",CH2920,FIND("-",CH2920)+1)-1))),""))</f>
        <v/>
      </c>
    </row>
    <row r="2921">
      <c r="CH2921">
        <f>IF(ISTEXT('월 가계부'!A2921),SUBSTITUTE(SUBSTITUTE(SUBSTITUTE(SUBSTITUTE(SUBSTITUTE(SUBSTITUTE(SUBSTITUTE(SUBSTITUTE(SUBSTITUTE(TRIM('월 가계부'!A2921),"년","-"),"월","-"),"일",""),".","-"),"/","-")," ","-"),"--","-"),"--","-"),"--","-")&amp;"-","")</f>
        <v/>
      </c>
      <c r="CI2921">
        <f>IFERROR(IF('월 가계부'!A2921="","",IF(ISNUMBER('월 가계부'!A2921),IF(AND('월 가계부'!A2921&gt;=19000101,'월 가계부'!A2921&lt;=21001231),IF(AND(MOD(INT('월 가계부'!A2921/100),100)&gt;=1,MOD(INT('월 가계부'!A2921/100),100)&lt;=12,MOD(INT('월 가계부'!A2921),100)&gt;=1,MOD(INT('월 가계부'!A2921),100)&lt;=31),IF(MONTH(DATE(INT('월 가계부'!A2921/10000),MOD(INT('월 가계부'!A2921/100),100),MOD(INT('월 가계부'!A2921),100)))=MOD(INT('월 가계부'!A2921/100),100),DATE(INT('월 가계부'!A2921/10000),MOD(INT('월 가계부'!A2921/100),100),MOD(INT('월 가계부'!A2921),100)),""),""),IF(AND('월 가계부'!A2921&gt;=36526,'월 가계부'!A2921&lt;73051),INT('월 가계부'!A2921),"")),IF(OR(CM2921="",CN2921="",CO2921=""),"",IF(AND(CM2921&gt;=2000,CM2921&lt;=2099,CN2921&gt;=1,CN2921&lt;=12,CO2921&gt;=1,CO2921&lt;=31),IF(MONTH(DATE(CM2921,CN2921,CO2921))=CN2921,DATE(CM2921,CN2921,CO2921),""),"")))),"")</f>
        <v/>
      </c>
      <c r="CJ2921">
        <f>IFERROR(IF('월 가계부'!C2921="","",IF(ISNUMBER('월 가계부'!C2921),'월 가계부'!C2921,VALUE(SUBSTITUTE(SUBSTITUTE(SUBSTITUTE(SUBSTITUTE(TRIM('월 가계부'!C2921),",",""),"원","")," ",""),"−","-")))),"")</f>
        <v/>
      </c>
      <c r="CK2921">
        <f>IF(ISNUMBER(CI2921),IF(CI2921&lt;$B$13,CI2921,""),"")</f>
        <v/>
      </c>
      <c r="CM2921">
        <f>IF(CH2921="","",IFERROR(IF(IF(AND(LEN(CH2921)=9,ISERROR(FIND("-",LEFT(CH2921,8))),ISNUMBER(-LEFT(CH2921,8))),VALUE(LEFT(CH2921,4)),VALUE(LEFT(CH2921,FIND("-",CH2921)-1)))&lt;100,IF(AND(LEN(CH2921)=9,ISERROR(FIND("-",LEFT(CH2921,8))),ISNUMBER(-LEFT(CH2921,8))),VALUE(LEFT(CH2921,4)),VALUE(LEFT(CH2921,FIND("-",CH2921)-1)))+2000,IF(AND(LEN(CH2921)=9,ISERROR(FIND("-",LEFT(CH2921,8))),ISNUMBER(-LEFT(CH2921,8))),VALUE(LEFT(CH2921,4)),VALUE(LEFT(CH2921,FIND("-",CH2921)-1)))),""))</f>
        <v/>
      </c>
      <c r="CN2921">
        <f>IF(CH2921="","",IFERROR(IF(AND(LEN(CH2921)=9,ISERROR(FIND("-",LEFT(CH2921,8))),ISNUMBER(-LEFT(CH2921,8))),VALUE(MID(CH2921,5,2)),VALUE(MID(CH2921,FIND("-",CH2921)+1,FIND("-",CH2921,FIND("-",CH2921)+1)-FIND("-",CH2921)-1))),""))</f>
        <v/>
      </c>
      <c r="CO2921">
        <f>IF(CH2921="","",IFERROR(IF(AND(LEN(CH2921)=9,ISERROR(FIND("-",LEFT(CH2921,8))),ISNUMBER(-LEFT(CH2921,8))),VALUE(MID(CH2921,7,2)),VALUE(MID(CH2921,FIND("-",CH2921,FIND("-",CH2921)+1)+1,FIND("-",CH2921,FIND("-",CH2921,FIND("-",CH2921)+1)+1)-FIND("-",CH2921,FIND("-",CH2921)+1)-1))),""))</f>
        <v/>
      </c>
    </row>
    <row r="2922">
      <c r="CH2922">
        <f>IF(ISTEXT('월 가계부'!A2922),SUBSTITUTE(SUBSTITUTE(SUBSTITUTE(SUBSTITUTE(SUBSTITUTE(SUBSTITUTE(SUBSTITUTE(SUBSTITUTE(SUBSTITUTE(TRIM('월 가계부'!A2922),"년","-"),"월","-"),"일",""),".","-"),"/","-")," ","-"),"--","-"),"--","-"),"--","-")&amp;"-","")</f>
        <v/>
      </c>
      <c r="CI2922">
        <f>IFERROR(IF('월 가계부'!A2922="","",IF(ISNUMBER('월 가계부'!A2922),IF(AND('월 가계부'!A2922&gt;=19000101,'월 가계부'!A2922&lt;=21001231),IF(AND(MOD(INT('월 가계부'!A2922/100),100)&gt;=1,MOD(INT('월 가계부'!A2922/100),100)&lt;=12,MOD(INT('월 가계부'!A2922),100)&gt;=1,MOD(INT('월 가계부'!A2922),100)&lt;=31),IF(MONTH(DATE(INT('월 가계부'!A2922/10000),MOD(INT('월 가계부'!A2922/100),100),MOD(INT('월 가계부'!A2922),100)))=MOD(INT('월 가계부'!A2922/100),100),DATE(INT('월 가계부'!A2922/10000),MOD(INT('월 가계부'!A2922/100),100),MOD(INT('월 가계부'!A2922),100)),""),""),IF(AND('월 가계부'!A2922&gt;=36526,'월 가계부'!A2922&lt;73051),INT('월 가계부'!A2922),"")),IF(OR(CM2922="",CN2922="",CO2922=""),"",IF(AND(CM2922&gt;=2000,CM2922&lt;=2099,CN2922&gt;=1,CN2922&lt;=12,CO2922&gt;=1,CO2922&lt;=31),IF(MONTH(DATE(CM2922,CN2922,CO2922))=CN2922,DATE(CM2922,CN2922,CO2922),""),"")))),"")</f>
        <v/>
      </c>
      <c r="CJ2922">
        <f>IFERROR(IF('월 가계부'!C2922="","",IF(ISNUMBER('월 가계부'!C2922),'월 가계부'!C2922,VALUE(SUBSTITUTE(SUBSTITUTE(SUBSTITUTE(SUBSTITUTE(TRIM('월 가계부'!C2922),",",""),"원","")," ",""),"−","-")))),"")</f>
        <v/>
      </c>
      <c r="CK2922">
        <f>IF(ISNUMBER(CI2922),IF(CI2922&lt;$B$13,CI2922,""),"")</f>
        <v/>
      </c>
      <c r="CM2922">
        <f>IF(CH2922="","",IFERROR(IF(IF(AND(LEN(CH2922)=9,ISERROR(FIND("-",LEFT(CH2922,8))),ISNUMBER(-LEFT(CH2922,8))),VALUE(LEFT(CH2922,4)),VALUE(LEFT(CH2922,FIND("-",CH2922)-1)))&lt;100,IF(AND(LEN(CH2922)=9,ISERROR(FIND("-",LEFT(CH2922,8))),ISNUMBER(-LEFT(CH2922,8))),VALUE(LEFT(CH2922,4)),VALUE(LEFT(CH2922,FIND("-",CH2922)-1)))+2000,IF(AND(LEN(CH2922)=9,ISERROR(FIND("-",LEFT(CH2922,8))),ISNUMBER(-LEFT(CH2922,8))),VALUE(LEFT(CH2922,4)),VALUE(LEFT(CH2922,FIND("-",CH2922)-1)))),""))</f>
        <v/>
      </c>
      <c r="CN2922">
        <f>IF(CH2922="","",IFERROR(IF(AND(LEN(CH2922)=9,ISERROR(FIND("-",LEFT(CH2922,8))),ISNUMBER(-LEFT(CH2922,8))),VALUE(MID(CH2922,5,2)),VALUE(MID(CH2922,FIND("-",CH2922)+1,FIND("-",CH2922,FIND("-",CH2922)+1)-FIND("-",CH2922)-1))),""))</f>
        <v/>
      </c>
      <c r="CO2922">
        <f>IF(CH2922="","",IFERROR(IF(AND(LEN(CH2922)=9,ISERROR(FIND("-",LEFT(CH2922,8))),ISNUMBER(-LEFT(CH2922,8))),VALUE(MID(CH2922,7,2)),VALUE(MID(CH2922,FIND("-",CH2922,FIND("-",CH2922)+1)+1,FIND("-",CH2922,FIND("-",CH2922,FIND("-",CH2922)+1)+1)-FIND("-",CH2922,FIND("-",CH2922)+1)-1))),""))</f>
        <v/>
      </c>
    </row>
    <row r="2923">
      <c r="CH2923">
        <f>IF(ISTEXT('월 가계부'!A2923),SUBSTITUTE(SUBSTITUTE(SUBSTITUTE(SUBSTITUTE(SUBSTITUTE(SUBSTITUTE(SUBSTITUTE(SUBSTITUTE(SUBSTITUTE(TRIM('월 가계부'!A2923),"년","-"),"월","-"),"일",""),".","-"),"/","-")," ","-"),"--","-"),"--","-"),"--","-")&amp;"-","")</f>
        <v/>
      </c>
      <c r="CI2923">
        <f>IFERROR(IF('월 가계부'!A2923="","",IF(ISNUMBER('월 가계부'!A2923),IF(AND('월 가계부'!A2923&gt;=19000101,'월 가계부'!A2923&lt;=21001231),IF(AND(MOD(INT('월 가계부'!A2923/100),100)&gt;=1,MOD(INT('월 가계부'!A2923/100),100)&lt;=12,MOD(INT('월 가계부'!A2923),100)&gt;=1,MOD(INT('월 가계부'!A2923),100)&lt;=31),IF(MONTH(DATE(INT('월 가계부'!A2923/10000),MOD(INT('월 가계부'!A2923/100),100),MOD(INT('월 가계부'!A2923),100)))=MOD(INT('월 가계부'!A2923/100),100),DATE(INT('월 가계부'!A2923/10000),MOD(INT('월 가계부'!A2923/100),100),MOD(INT('월 가계부'!A2923),100)),""),""),IF(AND('월 가계부'!A2923&gt;=36526,'월 가계부'!A2923&lt;73051),INT('월 가계부'!A2923),"")),IF(OR(CM2923="",CN2923="",CO2923=""),"",IF(AND(CM2923&gt;=2000,CM2923&lt;=2099,CN2923&gt;=1,CN2923&lt;=12,CO2923&gt;=1,CO2923&lt;=31),IF(MONTH(DATE(CM2923,CN2923,CO2923))=CN2923,DATE(CM2923,CN2923,CO2923),""),"")))),"")</f>
        <v/>
      </c>
      <c r="CJ2923">
        <f>IFERROR(IF('월 가계부'!C2923="","",IF(ISNUMBER('월 가계부'!C2923),'월 가계부'!C2923,VALUE(SUBSTITUTE(SUBSTITUTE(SUBSTITUTE(SUBSTITUTE(TRIM('월 가계부'!C2923),",",""),"원","")," ",""),"−","-")))),"")</f>
        <v/>
      </c>
      <c r="CK2923">
        <f>IF(ISNUMBER(CI2923),IF(CI2923&lt;$B$13,CI2923,""),"")</f>
        <v/>
      </c>
      <c r="CM2923">
        <f>IF(CH2923="","",IFERROR(IF(IF(AND(LEN(CH2923)=9,ISERROR(FIND("-",LEFT(CH2923,8))),ISNUMBER(-LEFT(CH2923,8))),VALUE(LEFT(CH2923,4)),VALUE(LEFT(CH2923,FIND("-",CH2923)-1)))&lt;100,IF(AND(LEN(CH2923)=9,ISERROR(FIND("-",LEFT(CH2923,8))),ISNUMBER(-LEFT(CH2923,8))),VALUE(LEFT(CH2923,4)),VALUE(LEFT(CH2923,FIND("-",CH2923)-1)))+2000,IF(AND(LEN(CH2923)=9,ISERROR(FIND("-",LEFT(CH2923,8))),ISNUMBER(-LEFT(CH2923,8))),VALUE(LEFT(CH2923,4)),VALUE(LEFT(CH2923,FIND("-",CH2923)-1)))),""))</f>
        <v/>
      </c>
      <c r="CN2923">
        <f>IF(CH2923="","",IFERROR(IF(AND(LEN(CH2923)=9,ISERROR(FIND("-",LEFT(CH2923,8))),ISNUMBER(-LEFT(CH2923,8))),VALUE(MID(CH2923,5,2)),VALUE(MID(CH2923,FIND("-",CH2923)+1,FIND("-",CH2923,FIND("-",CH2923)+1)-FIND("-",CH2923)-1))),""))</f>
        <v/>
      </c>
      <c r="CO2923">
        <f>IF(CH2923="","",IFERROR(IF(AND(LEN(CH2923)=9,ISERROR(FIND("-",LEFT(CH2923,8))),ISNUMBER(-LEFT(CH2923,8))),VALUE(MID(CH2923,7,2)),VALUE(MID(CH2923,FIND("-",CH2923,FIND("-",CH2923)+1)+1,FIND("-",CH2923,FIND("-",CH2923,FIND("-",CH2923)+1)+1)-FIND("-",CH2923,FIND("-",CH2923)+1)-1))),""))</f>
        <v/>
      </c>
    </row>
    <row r="2924">
      <c r="CH2924">
        <f>IF(ISTEXT('월 가계부'!A2924),SUBSTITUTE(SUBSTITUTE(SUBSTITUTE(SUBSTITUTE(SUBSTITUTE(SUBSTITUTE(SUBSTITUTE(SUBSTITUTE(SUBSTITUTE(TRIM('월 가계부'!A2924),"년","-"),"월","-"),"일",""),".","-"),"/","-")," ","-"),"--","-"),"--","-"),"--","-")&amp;"-","")</f>
        <v/>
      </c>
      <c r="CI2924">
        <f>IFERROR(IF('월 가계부'!A2924="","",IF(ISNUMBER('월 가계부'!A2924),IF(AND('월 가계부'!A2924&gt;=19000101,'월 가계부'!A2924&lt;=21001231),IF(AND(MOD(INT('월 가계부'!A2924/100),100)&gt;=1,MOD(INT('월 가계부'!A2924/100),100)&lt;=12,MOD(INT('월 가계부'!A2924),100)&gt;=1,MOD(INT('월 가계부'!A2924),100)&lt;=31),IF(MONTH(DATE(INT('월 가계부'!A2924/10000),MOD(INT('월 가계부'!A2924/100),100),MOD(INT('월 가계부'!A2924),100)))=MOD(INT('월 가계부'!A2924/100),100),DATE(INT('월 가계부'!A2924/10000),MOD(INT('월 가계부'!A2924/100),100),MOD(INT('월 가계부'!A2924),100)),""),""),IF(AND('월 가계부'!A2924&gt;=36526,'월 가계부'!A2924&lt;73051),INT('월 가계부'!A2924),"")),IF(OR(CM2924="",CN2924="",CO2924=""),"",IF(AND(CM2924&gt;=2000,CM2924&lt;=2099,CN2924&gt;=1,CN2924&lt;=12,CO2924&gt;=1,CO2924&lt;=31),IF(MONTH(DATE(CM2924,CN2924,CO2924))=CN2924,DATE(CM2924,CN2924,CO2924),""),"")))),"")</f>
        <v/>
      </c>
      <c r="CJ2924">
        <f>IFERROR(IF('월 가계부'!C2924="","",IF(ISNUMBER('월 가계부'!C2924),'월 가계부'!C2924,VALUE(SUBSTITUTE(SUBSTITUTE(SUBSTITUTE(SUBSTITUTE(TRIM('월 가계부'!C2924),",",""),"원","")," ",""),"−","-")))),"")</f>
        <v/>
      </c>
      <c r="CK2924">
        <f>IF(ISNUMBER(CI2924),IF(CI2924&lt;$B$13,CI2924,""),"")</f>
        <v/>
      </c>
      <c r="CM2924">
        <f>IF(CH2924="","",IFERROR(IF(IF(AND(LEN(CH2924)=9,ISERROR(FIND("-",LEFT(CH2924,8))),ISNUMBER(-LEFT(CH2924,8))),VALUE(LEFT(CH2924,4)),VALUE(LEFT(CH2924,FIND("-",CH2924)-1)))&lt;100,IF(AND(LEN(CH2924)=9,ISERROR(FIND("-",LEFT(CH2924,8))),ISNUMBER(-LEFT(CH2924,8))),VALUE(LEFT(CH2924,4)),VALUE(LEFT(CH2924,FIND("-",CH2924)-1)))+2000,IF(AND(LEN(CH2924)=9,ISERROR(FIND("-",LEFT(CH2924,8))),ISNUMBER(-LEFT(CH2924,8))),VALUE(LEFT(CH2924,4)),VALUE(LEFT(CH2924,FIND("-",CH2924)-1)))),""))</f>
        <v/>
      </c>
      <c r="CN2924">
        <f>IF(CH2924="","",IFERROR(IF(AND(LEN(CH2924)=9,ISERROR(FIND("-",LEFT(CH2924,8))),ISNUMBER(-LEFT(CH2924,8))),VALUE(MID(CH2924,5,2)),VALUE(MID(CH2924,FIND("-",CH2924)+1,FIND("-",CH2924,FIND("-",CH2924)+1)-FIND("-",CH2924)-1))),""))</f>
        <v/>
      </c>
      <c r="CO2924">
        <f>IF(CH2924="","",IFERROR(IF(AND(LEN(CH2924)=9,ISERROR(FIND("-",LEFT(CH2924,8))),ISNUMBER(-LEFT(CH2924,8))),VALUE(MID(CH2924,7,2)),VALUE(MID(CH2924,FIND("-",CH2924,FIND("-",CH2924)+1)+1,FIND("-",CH2924,FIND("-",CH2924,FIND("-",CH2924)+1)+1)-FIND("-",CH2924,FIND("-",CH2924)+1)-1))),""))</f>
        <v/>
      </c>
    </row>
    <row r="2925">
      <c r="CH2925">
        <f>IF(ISTEXT('월 가계부'!A2925),SUBSTITUTE(SUBSTITUTE(SUBSTITUTE(SUBSTITUTE(SUBSTITUTE(SUBSTITUTE(SUBSTITUTE(SUBSTITUTE(SUBSTITUTE(TRIM('월 가계부'!A2925),"년","-"),"월","-"),"일",""),".","-"),"/","-")," ","-"),"--","-"),"--","-"),"--","-")&amp;"-","")</f>
        <v/>
      </c>
      <c r="CI2925">
        <f>IFERROR(IF('월 가계부'!A2925="","",IF(ISNUMBER('월 가계부'!A2925),IF(AND('월 가계부'!A2925&gt;=19000101,'월 가계부'!A2925&lt;=21001231),IF(AND(MOD(INT('월 가계부'!A2925/100),100)&gt;=1,MOD(INT('월 가계부'!A2925/100),100)&lt;=12,MOD(INT('월 가계부'!A2925),100)&gt;=1,MOD(INT('월 가계부'!A2925),100)&lt;=31),IF(MONTH(DATE(INT('월 가계부'!A2925/10000),MOD(INT('월 가계부'!A2925/100),100),MOD(INT('월 가계부'!A2925),100)))=MOD(INT('월 가계부'!A2925/100),100),DATE(INT('월 가계부'!A2925/10000),MOD(INT('월 가계부'!A2925/100),100),MOD(INT('월 가계부'!A2925),100)),""),""),IF(AND('월 가계부'!A2925&gt;=36526,'월 가계부'!A2925&lt;73051),INT('월 가계부'!A2925),"")),IF(OR(CM2925="",CN2925="",CO2925=""),"",IF(AND(CM2925&gt;=2000,CM2925&lt;=2099,CN2925&gt;=1,CN2925&lt;=12,CO2925&gt;=1,CO2925&lt;=31),IF(MONTH(DATE(CM2925,CN2925,CO2925))=CN2925,DATE(CM2925,CN2925,CO2925),""),"")))),"")</f>
        <v/>
      </c>
      <c r="CJ2925">
        <f>IFERROR(IF('월 가계부'!C2925="","",IF(ISNUMBER('월 가계부'!C2925),'월 가계부'!C2925,VALUE(SUBSTITUTE(SUBSTITUTE(SUBSTITUTE(SUBSTITUTE(TRIM('월 가계부'!C2925),",",""),"원","")," ",""),"−","-")))),"")</f>
        <v/>
      </c>
      <c r="CK2925">
        <f>IF(ISNUMBER(CI2925),IF(CI2925&lt;$B$13,CI2925,""),"")</f>
        <v/>
      </c>
      <c r="CM2925">
        <f>IF(CH2925="","",IFERROR(IF(IF(AND(LEN(CH2925)=9,ISERROR(FIND("-",LEFT(CH2925,8))),ISNUMBER(-LEFT(CH2925,8))),VALUE(LEFT(CH2925,4)),VALUE(LEFT(CH2925,FIND("-",CH2925)-1)))&lt;100,IF(AND(LEN(CH2925)=9,ISERROR(FIND("-",LEFT(CH2925,8))),ISNUMBER(-LEFT(CH2925,8))),VALUE(LEFT(CH2925,4)),VALUE(LEFT(CH2925,FIND("-",CH2925)-1)))+2000,IF(AND(LEN(CH2925)=9,ISERROR(FIND("-",LEFT(CH2925,8))),ISNUMBER(-LEFT(CH2925,8))),VALUE(LEFT(CH2925,4)),VALUE(LEFT(CH2925,FIND("-",CH2925)-1)))),""))</f>
        <v/>
      </c>
      <c r="CN2925">
        <f>IF(CH2925="","",IFERROR(IF(AND(LEN(CH2925)=9,ISERROR(FIND("-",LEFT(CH2925,8))),ISNUMBER(-LEFT(CH2925,8))),VALUE(MID(CH2925,5,2)),VALUE(MID(CH2925,FIND("-",CH2925)+1,FIND("-",CH2925,FIND("-",CH2925)+1)-FIND("-",CH2925)-1))),""))</f>
        <v/>
      </c>
      <c r="CO2925">
        <f>IF(CH2925="","",IFERROR(IF(AND(LEN(CH2925)=9,ISERROR(FIND("-",LEFT(CH2925,8))),ISNUMBER(-LEFT(CH2925,8))),VALUE(MID(CH2925,7,2)),VALUE(MID(CH2925,FIND("-",CH2925,FIND("-",CH2925)+1)+1,FIND("-",CH2925,FIND("-",CH2925,FIND("-",CH2925)+1)+1)-FIND("-",CH2925,FIND("-",CH2925)+1)-1))),""))</f>
        <v/>
      </c>
    </row>
    <row r="2926">
      <c r="CH2926">
        <f>IF(ISTEXT('월 가계부'!A2926),SUBSTITUTE(SUBSTITUTE(SUBSTITUTE(SUBSTITUTE(SUBSTITUTE(SUBSTITUTE(SUBSTITUTE(SUBSTITUTE(SUBSTITUTE(TRIM('월 가계부'!A2926),"년","-"),"월","-"),"일",""),".","-"),"/","-")," ","-"),"--","-"),"--","-"),"--","-")&amp;"-","")</f>
        <v/>
      </c>
      <c r="CI2926">
        <f>IFERROR(IF('월 가계부'!A2926="","",IF(ISNUMBER('월 가계부'!A2926),IF(AND('월 가계부'!A2926&gt;=19000101,'월 가계부'!A2926&lt;=21001231),IF(AND(MOD(INT('월 가계부'!A2926/100),100)&gt;=1,MOD(INT('월 가계부'!A2926/100),100)&lt;=12,MOD(INT('월 가계부'!A2926),100)&gt;=1,MOD(INT('월 가계부'!A2926),100)&lt;=31),IF(MONTH(DATE(INT('월 가계부'!A2926/10000),MOD(INT('월 가계부'!A2926/100),100),MOD(INT('월 가계부'!A2926),100)))=MOD(INT('월 가계부'!A2926/100),100),DATE(INT('월 가계부'!A2926/10000),MOD(INT('월 가계부'!A2926/100),100),MOD(INT('월 가계부'!A2926),100)),""),""),IF(AND('월 가계부'!A2926&gt;=36526,'월 가계부'!A2926&lt;73051),INT('월 가계부'!A2926),"")),IF(OR(CM2926="",CN2926="",CO2926=""),"",IF(AND(CM2926&gt;=2000,CM2926&lt;=2099,CN2926&gt;=1,CN2926&lt;=12,CO2926&gt;=1,CO2926&lt;=31),IF(MONTH(DATE(CM2926,CN2926,CO2926))=CN2926,DATE(CM2926,CN2926,CO2926),""),"")))),"")</f>
        <v/>
      </c>
      <c r="CJ2926">
        <f>IFERROR(IF('월 가계부'!C2926="","",IF(ISNUMBER('월 가계부'!C2926),'월 가계부'!C2926,VALUE(SUBSTITUTE(SUBSTITUTE(SUBSTITUTE(SUBSTITUTE(TRIM('월 가계부'!C2926),",",""),"원","")," ",""),"−","-")))),"")</f>
        <v/>
      </c>
      <c r="CK2926">
        <f>IF(ISNUMBER(CI2926),IF(CI2926&lt;$B$13,CI2926,""),"")</f>
        <v/>
      </c>
      <c r="CM2926">
        <f>IF(CH2926="","",IFERROR(IF(IF(AND(LEN(CH2926)=9,ISERROR(FIND("-",LEFT(CH2926,8))),ISNUMBER(-LEFT(CH2926,8))),VALUE(LEFT(CH2926,4)),VALUE(LEFT(CH2926,FIND("-",CH2926)-1)))&lt;100,IF(AND(LEN(CH2926)=9,ISERROR(FIND("-",LEFT(CH2926,8))),ISNUMBER(-LEFT(CH2926,8))),VALUE(LEFT(CH2926,4)),VALUE(LEFT(CH2926,FIND("-",CH2926)-1)))+2000,IF(AND(LEN(CH2926)=9,ISERROR(FIND("-",LEFT(CH2926,8))),ISNUMBER(-LEFT(CH2926,8))),VALUE(LEFT(CH2926,4)),VALUE(LEFT(CH2926,FIND("-",CH2926)-1)))),""))</f>
        <v/>
      </c>
      <c r="CN2926">
        <f>IF(CH2926="","",IFERROR(IF(AND(LEN(CH2926)=9,ISERROR(FIND("-",LEFT(CH2926,8))),ISNUMBER(-LEFT(CH2926,8))),VALUE(MID(CH2926,5,2)),VALUE(MID(CH2926,FIND("-",CH2926)+1,FIND("-",CH2926,FIND("-",CH2926)+1)-FIND("-",CH2926)-1))),""))</f>
        <v/>
      </c>
      <c r="CO2926">
        <f>IF(CH2926="","",IFERROR(IF(AND(LEN(CH2926)=9,ISERROR(FIND("-",LEFT(CH2926,8))),ISNUMBER(-LEFT(CH2926,8))),VALUE(MID(CH2926,7,2)),VALUE(MID(CH2926,FIND("-",CH2926,FIND("-",CH2926)+1)+1,FIND("-",CH2926,FIND("-",CH2926,FIND("-",CH2926)+1)+1)-FIND("-",CH2926,FIND("-",CH2926)+1)-1))),""))</f>
        <v/>
      </c>
    </row>
    <row r="2927">
      <c r="CH2927">
        <f>IF(ISTEXT('월 가계부'!A2927),SUBSTITUTE(SUBSTITUTE(SUBSTITUTE(SUBSTITUTE(SUBSTITUTE(SUBSTITUTE(SUBSTITUTE(SUBSTITUTE(SUBSTITUTE(TRIM('월 가계부'!A2927),"년","-"),"월","-"),"일",""),".","-"),"/","-")," ","-"),"--","-"),"--","-"),"--","-")&amp;"-","")</f>
        <v/>
      </c>
      <c r="CI2927">
        <f>IFERROR(IF('월 가계부'!A2927="","",IF(ISNUMBER('월 가계부'!A2927),IF(AND('월 가계부'!A2927&gt;=19000101,'월 가계부'!A2927&lt;=21001231),IF(AND(MOD(INT('월 가계부'!A2927/100),100)&gt;=1,MOD(INT('월 가계부'!A2927/100),100)&lt;=12,MOD(INT('월 가계부'!A2927),100)&gt;=1,MOD(INT('월 가계부'!A2927),100)&lt;=31),IF(MONTH(DATE(INT('월 가계부'!A2927/10000),MOD(INT('월 가계부'!A2927/100),100),MOD(INT('월 가계부'!A2927),100)))=MOD(INT('월 가계부'!A2927/100),100),DATE(INT('월 가계부'!A2927/10000),MOD(INT('월 가계부'!A2927/100),100),MOD(INT('월 가계부'!A2927),100)),""),""),IF(AND('월 가계부'!A2927&gt;=36526,'월 가계부'!A2927&lt;73051),INT('월 가계부'!A2927),"")),IF(OR(CM2927="",CN2927="",CO2927=""),"",IF(AND(CM2927&gt;=2000,CM2927&lt;=2099,CN2927&gt;=1,CN2927&lt;=12,CO2927&gt;=1,CO2927&lt;=31),IF(MONTH(DATE(CM2927,CN2927,CO2927))=CN2927,DATE(CM2927,CN2927,CO2927),""),"")))),"")</f>
        <v/>
      </c>
      <c r="CJ2927">
        <f>IFERROR(IF('월 가계부'!C2927="","",IF(ISNUMBER('월 가계부'!C2927),'월 가계부'!C2927,VALUE(SUBSTITUTE(SUBSTITUTE(SUBSTITUTE(SUBSTITUTE(TRIM('월 가계부'!C2927),",",""),"원","")," ",""),"−","-")))),"")</f>
        <v/>
      </c>
      <c r="CK2927">
        <f>IF(ISNUMBER(CI2927),IF(CI2927&lt;$B$13,CI2927,""),"")</f>
        <v/>
      </c>
      <c r="CM2927">
        <f>IF(CH2927="","",IFERROR(IF(IF(AND(LEN(CH2927)=9,ISERROR(FIND("-",LEFT(CH2927,8))),ISNUMBER(-LEFT(CH2927,8))),VALUE(LEFT(CH2927,4)),VALUE(LEFT(CH2927,FIND("-",CH2927)-1)))&lt;100,IF(AND(LEN(CH2927)=9,ISERROR(FIND("-",LEFT(CH2927,8))),ISNUMBER(-LEFT(CH2927,8))),VALUE(LEFT(CH2927,4)),VALUE(LEFT(CH2927,FIND("-",CH2927)-1)))+2000,IF(AND(LEN(CH2927)=9,ISERROR(FIND("-",LEFT(CH2927,8))),ISNUMBER(-LEFT(CH2927,8))),VALUE(LEFT(CH2927,4)),VALUE(LEFT(CH2927,FIND("-",CH2927)-1)))),""))</f>
        <v/>
      </c>
      <c r="CN2927">
        <f>IF(CH2927="","",IFERROR(IF(AND(LEN(CH2927)=9,ISERROR(FIND("-",LEFT(CH2927,8))),ISNUMBER(-LEFT(CH2927,8))),VALUE(MID(CH2927,5,2)),VALUE(MID(CH2927,FIND("-",CH2927)+1,FIND("-",CH2927,FIND("-",CH2927)+1)-FIND("-",CH2927)-1))),""))</f>
        <v/>
      </c>
      <c r="CO2927">
        <f>IF(CH2927="","",IFERROR(IF(AND(LEN(CH2927)=9,ISERROR(FIND("-",LEFT(CH2927,8))),ISNUMBER(-LEFT(CH2927,8))),VALUE(MID(CH2927,7,2)),VALUE(MID(CH2927,FIND("-",CH2927,FIND("-",CH2927)+1)+1,FIND("-",CH2927,FIND("-",CH2927,FIND("-",CH2927)+1)+1)-FIND("-",CH2927,FIND("-",CH2927)+1)-1))),""))</f>
        <v/>
      </c>
    </row>
    <row r="2928">
      <c r="CH2928">
        <f>IF(ISTEXT('월 가계부'!A2928),SUBSTITUTE(SUBSTITUTE(SUBSTITUTE(SUBSTITUTE(SUBSTITUTE(SUBSTITUTE(SUBSTITUTE(SUBSTITUTE(SUBSTITUTE(TRIM('월 가계부'!A2928),"년","-"),"월","-"),"일",""),".","-"),"/","-")," ","-"),"--","-"),"--","-"),"--","-")&amp;"-","")</f>
        <v/>
      </c>
      <c r="CI2928">
        <f>IFERROR(IF('월 가계부'!A2928="","",IF(ISNUMBER('월 가계부'!A2928),IF(AND('월 가계부'!A2928&gt;=19000101,'월 가계부'!A2928&lt;=21001231),IF(AND(MOD(INT('월 가계부'!A2928/100),100)&gt;=1,MOD(INT('월 가계부'!A2928/100),100)&lt;=12,MOD(INT('월 가계부'!A2928),100)&gt;=1,MOD(INT('월 가계부'!A2928),100)&lt;=31),IF(MONTH(DATE(INT('월 가계부'!A2928/10000),MOD(INT('월 가계부'!A2928/100),100),MOD(INT('월 가계부'!A2928),100)))=MOD(INT('월 가계부'!A2928/100),100),DATE(INT('월 가계부'!A2928/10000),MOD(INT('월 가계부'!A2928/100),100),MOD(INT('월 가계부'!A2928),100)),""),""),IF(AND('월 가계부'!A2928&gt;=36526,'월 가계부'!A2928&lt;73051),INT('월 가계부'!A2928),"")),IF(OR(CM2928="",CN2928="",CO2928=""),"",IF(AND(CM2928&gt;=2000,CM2928&lt;=2099,CN2928&gt;=1,CN2928&lt;=12,CO2928&gt;=1,CO2928&lt;=31),IF(MONTH(DATE(CM2928,CN2928,CO2928))=CN2928,DATE(CM2928,CN2928,CO2928),""),"")))),"")</f>
        <v/>
      </c>
      <c r="CJ2928">
        <f>IFERROR(IF('월 가계부'!C2928="","",IF(ISNUMBER('월 가계부'!C2928),'월 가계부'!C2928,VALUE(SUBSTITUTE(SUBSTITUTE(SUBSTITUTE(SUBSTITUTE(TRIM('월 가계부'!C2928),",",""),"원","")," ",""),"−","-")))),"")</f>
        <v/>
      </c>
      <c r="CK2928">
        <f>IF(ISNUMBER(CI2928),IF(CI2928&lt;$B$13,CI2928,""),"")</f>
        <v/>
      </c>
      <c r="CM2928">
        <f>IF(CH2928="","",IFERROR(IF(IF(AND(LEN(CH2928)=9,ISERROR(FIND("-",LEFT(CH2928,8))),ISNUMBER(-LEFT(CH2928,8))),VALUE(LEFT(CH2928,4)),VALUE(LEFT(CH2928,FIND("-",CH2928)-1)))&lt;100,IF(AND(LEN(CH2928)=9,ISERROR(FIND("-",LEFT(CH2928,8))),ISNUMBER(-LEFT(CH2928,8))),VALUE(LEFT(CH2928,4)),VALUE(LEFT(CH2928,FIND("-",CH2928)-1)))+2000,IF(AND(LEN(CH2928)=9,ISERROR(FIND("-",LEFT(CH2928,8))),ISNUMBER(-LEFT(CH2928,8))),VALUE(LEFT(CH2928,4)),VALUE(LEFT(CH2928,FIND("-",CH2928)-1)))),""))</f>
        <v/>
      </c>
      <c r="CN2928">
        <f>IF(CH2928="","",IFERROR(IF(AND(LEN(CH2928)=9,ISERROR(FIND("-",LEFT(CH2928,8))),ISNUMBER(-LEFT(CH2928,8))),VALUE(MID(CH2928,5,2)),VALUE(MID(CH2928,FIND("-",CH2928)+1,FIND("-",CH2928,FIND("-",CH2928)+1)-FIND("-",CH2928)-1))),""))</f>
        <v/>
      </c>
      <c r="CO2928">
        <f>IF(CH2928="","",IFERROR(IF(AND(LEN(CH2928)=9,ISERROR(FIND("-",LEFT(CH2928,8))),ISNUMBER(-LEFT(CH2928,8))),VALUE(MID(CH2928,7,2)),VALUE(MID(CH2928,FIND("-",CH2928,FIND("-",CH2928)+1)+1,FIND("-",CH2928,FIND("-",CH2928,FIND("-",CH2928)+1)+1)-FIND("-",CH2928,FIND("-",CH2928)+1)-1))),""))</f>
        <v/>
      </c>
    </row>
    <row r="2929">
      <c r="CH2929">
        <f>IF(ISTEXT('월 가계부'!A2929),SUBSTITUTE(SUBSTITUTE(SUBSTITUTE(SUBSTITUTE(SUBSTITUTE(SUBSTITUTE(SUBSTITUTE(SUBSTITUTE(SUBSTITUTE(TRIM('월 가계부'!A2929),"년","-"),"월","-"),"일",""),".","-"),"/","-")," ","-"),"--","-"),"--","-"),"--","-")&amp;"-","")</f>
        <v/>
      </c>
      <c r="CI2929">
        <f>IFERROR(IF('월 가계부'!A2929="","",IF(ISNUMBER('월 가계부'!A2929),IF(AND('월 가계부'!A2929&gt;=19000101,'월 가계부'!A2929&lt;=21001231),IF(AND(MOD(INT('월 가계부'!A2929/100),100)&gt;=1,MOD(INT('월 가계부'!A2929/100),100)&lt;=12,MOD(INT('월 가계부'!A2929),100)&gt;=1,MOD(INT('월 가계부'!A2929),100)&lt;=31),IF(MONTH(DATE(INT('월 가계부'!A2929/10000),MOD(INT('월 가계부'!A2929/100),100),MOD(INT('월 가계부'!A2929),100)))=MOD(INT('월 가계부'!A2929/100),100),DATE(INT('월 가계부'!A2929/10000),MOD(INT('월 가계부'!A2929/100),100),MOD(INT('월 가계부'!A2929),100)),""),""),IF(AND('월 가계부'!A2929&gt;=36526,'월 가계부'!A2929&lt;73051),INT('월 가계부'!A2929),"")),IF(OR(CM2929="",CN2929="",CO2929=""),"",IF(AND(CM2929&gt;=2000,CM2929&lt;=2099,CN2929&gt;=1,CN2929&lt;=12,CO2929&gt;=1,CO2929&lt;=31),IF(MONTH(DATE(CM2929,CN2929,CO2929))=CN2929,DATE(CM2929,CN2929,CO2929),""),"")))),"")</f>
        <v/>
      </c>
      <c r="CJ2929">
        <f>IFERROR(IF('월 가계부'!C2929="","",IF(ISNUMBER('월 가계부'!C2929),'월 가계부'!C2929,VALUE(SUBSTITUTE(SUBSTITUTE(SUBSTITUTE(SUBSTITUTE(TRIM('월 가계부'!C2929),",",""),"원","")," ",""),"−","-")))),"")</f>
        <v/>
      </c>
      <c r="CK2929">
        <f>IF(ISNUMBER(CI2929),IF(CI2929&lt;$B$13,CI2929,""),"")</f>
        <v/>
      </c>
      <c r="CM2929">
        <f>IF(CH2929="","",IFERROR(IF(IF(AND(LEN(CH2929)=9,ISERROR(FIND("-",LEFT(CH2929,8))),ISNUMBER(-LEFT(CH2929,8))),VALUE(LEFT(CH2929,4)),VALUE(LEFT(CH2929,FIND("-",CH2929)-1)))&lt;100,IF(AND(LEN(CH2929)=9,ISERROR(FIND("-",LEFT(CH2929,8))),ISNUMBER(-LEFT(CH2929,8))),VALUE(LEFT(CH2929,4)),VALUE(LEFT(CH2929,FIND("-",CH2929)-1)))+2000,IF(AND(LEN(CH2929)=9,ISERROR(FIND("-",LEFT(CH2929,8))),ISNUMBER(-LEFT(CH2929,8))),VALUE(LEFT(CH2929,4)),VALUE(LEFT(CH2929,FIND("-",CH2929)-1)))),""))</f>
        <v/>
      </c>
      <c r="CN2929">
        <f>IF(CH2929="","",IFERROR(IF(AND(LEN(CH2929)=9,ISERROR(FIND("-",LEFT(CH2929,8))),ISNUMBER(-LEFT(CH2929,8))),VALUE(MID(CH2929,5,2)),VALUE(MID(CH2929,FIND("-",CH2929)+1,FIND("-",CH2929,FIND("-",CH2929)+1)-FIND("-",CH2929)-1))),""))</f>
        <v/>
      </c>
      <c r="CO2929">
        <f>IF(CH2929="","",IFERROR(IF(AND(LEN(CH2929)=9,ISERROR(FIND("-",LEFT(CH2929,8))),ISNUMBER(-LEFT(CH2929,8))),VALUE(MID(CH2929,7,2)),VALUE(MID(CH2929,FIND("-",CH2929,FIND("-",CH2929)+1)+1,FIND("-",CH2929,FIND("-",CH2929,FIND("-",CH2929)+1)+1)-FIND("-",CH2929,FIND("-",CH2929)+1)-1))),""))</f>
        <v/>
      </c>
    </row>
    <row r="2930">
      <c r="CH2930">
        <f>IF(ISTEXT('월 가계부'!A2930),SUBSTITUTE(SUBSTITUTE(SUBSTITUTE(SUBSTITUTE(SUBSTITUTE(SUBSTITUTE(SUBSTITUTE(SUBSTITUTE(SUBSTITUTE(TRIM('월 가계부'!A2930),"년","-"),"월","-"),"일",""),".","-"),"/","-")," ","-"),"--","-"),"--","-"),"--","-")&amp;"-","")</f>
        <v/>
      </c>
      <c r="CI2930">
        <f>IFERROR(IF('월 가계부'!A2930="","",IF(ISNUMBER('월 가계부'!A2930),IF(AND('월 가계부'!A2930&gt;=19000101,'월 가계부'!A2930&lt;=21001231),IF(AND(MOD(INT('월 가계부'!A2930/100),100)&gt;=1,MOD(INT('월 가계부'!A2930/100),100)&lt;=12,MOD(INT('월 가계부'!A2930),100)&gt;=1,MOD(INT('월 가계부'!A2930),100)&lt;=31),IF(MONTH(DATE(INT('월 가계부'!A2930/10000),MOD(INT('월 가계부'!A2930/100),100),MOD(INT('월 가계부'!A2930),100)))=MOD(INT('월 가계부'!A2930/100),100),DATE(INT('월 가계부'!A2930/10000),MOD(INT('월 가계부'!A2930/100),100),MOD(INT('월 가계부'!A2930),100)),""),""),IF(AND('월 가계부'!A2930&gt;=36526,'월 가계부'!A2930&lt;73051),INT('월 가계부'!A2930),"")),IF(OR(CM2930="",CN2930="",CO2930=""),"",IF(AND(CM2930&gt;=2000,CM2930&lt;=2099,CN2930&gt;=1,CN2930&lt;=12,CO2930&gt;=1,CO2930&lt;=31),IF(MONTH(DATE(CM2930,CN2930,CO2930))=CN2930,DATE(CM2930,CN2930,CO2930),""),"")))),"")</f>
        <v/>
      </c>
      <c r="CJ2930">
        <f>IFERROR(IF('월 가계부'!C2930="","",IF(ISNUMBER('월 가계부'!C2930),'월 가계부'!C2930,VALUE(SUBSTITUTE(SUBSTITUTE(SUBSTITUTE(SUBSTITUTE(TRIM('월 가계부'!C2930),",",""),"원","")," ",""),"−","-")))),"")</f>
        <v/>
      </c>
      <c r="CK2930">
        <f>IF(ISNUMBER(CI2930),IF(CI2930&lt;$B$13,CI2930,""),"")</f>
        <v/>
      </c>
      <c r="CM2930">
        <f>IF(CH2930="","",IFERROR(IF(IF(AND(LEN(CH2930)=9,ISERROR(FIND("-",LEFT(CH2930,8))),ISNUMBER(-LEFT(CH2930,8))),VALUE(LEFT(CH2930,4)),VALUE(LEFT(CH2930,FIND("-",CH2930)-1)))&lt;100,IF(AND(LEN(CH2930)=9,ISERROR(FIND("-",LEFT(CH2930,8))),ISNUMBER(-LEFT(CH2930,8))),VALUE(LEFT(CH2930,4)),VALUE(LEFT(CH2930,FIND("-",CH2930)-1)))+2000,IF(AND(LEN(CH2930)=9,ISERROR(FIND("-",LEFT(CH2930,8))),ISNUMBER(-LEFT(CH2930,8))),VALUE(LEFT(CH2930,4)),VALUE(LEFT(CH2930,FIND("-",CH2930)-1)))),""))</f>
        <v/>
      </c>
      <c r="CN2930">
        <f>IF(CH2930="","",IFERROR(IF(AND(LEN(CH2930)=9,ISERROR(FIND("-",LEFT(CH2930,8))),ISNUMBER(-LEFT(CH2930,8))),VALUE(MID(CH2930,5,2)),VALUE(MID(CH2930,FIND("-",CH2930)+1,FIND("-",CH2930,FIND("-",CH2930)+1)-FIND("-",CH2930)-1))),""))</f>
        <v/>
      </c>
      <c r="CO2930">
        <f>IF(CH2930="","",IFERROR(IF(AND(LEN(CH2930)=9,ISERROR(FIND("-",LEFT(CH2930,8))),ISNUMBER(-LEFT(CH2930,8))),VALUE(MID(CH2930,7,2)),VALUE(MID(CH2930,FIND("-",CH2930,FIND("-",CH2930)+1)+1,FIND("-",CH2930,FIND("-",CH2930,FIND("-",CH2930)+1)+1)-FIND("-",CH2930,FIND("-",CH2930)+1)-1))),""))</f>
        <v/>
      </c>
    </row>
    <row r="2931">
      <c r="CH2931">
        <f>IF(ISTEXT('월 가계부'!A2931),SUBSTITUTE(SUBSTITUTE(SUBSTITUTE(SUBSTITUTE(SUBSTITUTE(SUBSTITUTE(SUBSTITUTE(SUBSTITUTE(SUBSTITUTE(TRIM('월 가계부'!A2931),"년","-"),"월","-"),"일",""),".","-"),"/","-")," ","-"),"--","-"),"--","-"),"--","-")&amp;"-","")</f>
        <v/>
      </c>
      <c r="CI2931">
        <f>IFERROR(IF('월 가계부'!A2931="","",IF(ISNUMBER('월 가계부'!A2931),IF(AND('월 가계부'!A2931&gt;=19000101,'월 가계부'!A2931&lt;=21001231),IF(AND(MOD(INT('월 가계부'!A2931/100),100)&gt;=1,MOD(INT('월 가계부'!A2931/100),100)&lt;=12,MOD(INT('월 가계부'!A2931),100)&gt;=1,MOD(INT('월 가계부'!A2931),100)&lt;=31),IF(MONTH(DATE(INT('월 가계부'!A2931/10000),MOD(INT('월 가계부'!A2931/100),100),MOD(INT('월 가계부'!A2931),100)))=MOD(INT('월 가계부'!A2931/100),100),DATE(INT('월 가계부'!A2931/10000),MOD(INT('월 가계부'!A2931/100),100),MOD(INT('월 가계부'!A2931),100)),""),""),IF(AND('월 가계부'!A2931&gt;=36526,'월 가계부'!A2931&lt;73051),INT('월 가계부'!A2931),"")),IF(OR(CM2931="",CN2931="",CO2931=""),"",IF(AND(CM2931&gt;=2000,CM2931&lt;=2099,CN2931&gt;=1,CN2931&lt;=12,CO2931&gt;=1,CO2931&lt;=31),IF(MONTH(DATE(CM2931,CN2931,CO2931))=CN2931,DATE(CM2931,CN2931,CO2931),""),"")))),"")</f>
        <v/>
      </c>
      <c r="CJ2931">
        <f>IFERROR(IF('월 가계부'!C2931="","",IF(ISNUMBER('월 가계부'!C2931),'월 가계부'!C2931,VALUE(SUBSTITUTE(SUBSTITUTE(SUBSTITUTE(SUBSTITUTE(TRIM('월 가계부'!C2931),",",""),"원","")," ",""),"−","-")))),"")</f>
        <v/>
      </c>
      <c r="CK2931">
        <f>IF(ISNUMBER(CI2931),IF(CI2931&lt;$B$13,CI2931,""),"")</f>
        <v/>
      </c>
      <c r="CM2931">
        <f>IF(CH2931="","",IFERROR(IF(IF(AND(LEN(CH2931)=9,ISERROR(FIND("-",LEFT(CH2931,8))),ISNUMBER(-LEFT(CH2931,8))),VALUE(LEFT(CH2931,4)),VALUE(LEFT(CH2931,FIND("-",CH2931)-1)))&lt;100,IF(AND(LEN(CH2931)=9,ISERROR(FIND("-",LEFT(CH2931,8))),ISNUMBER(-LEFT(CH2931,8))),VALUE(LEFT(CH2931,4)),VALUE(LEFT(CH2931,FIND("-",CH2931)-1)))+2000,IF(AND(LEN(CH2931)=9,ISERROR(FIND("-",LEFT(CH2931,8))),ISNUMBER(-LEFT(CH2931,8))),VALUE(LEFT(CH2931,4)),VALUE(LEFT(CH2931,FIND("-",CH2931)-1)))),""))</f>
        <v/>
      </c>
      <c r="CN2931">
        <f>IF(CH2931="","",IFERROR(IF(AND(LEN(CH2931)=9,ISERROR(FIND("-",LEFT(CH2931,8))),ISNUMBER(-LEFT(CH2931,8))),VALUE(MID(CH2931,5,2)),VALUE(MID(CH2931,FIND("-",CH2931)+1,FIND("-",CH2931,FIND("-",CH2931)+1)-FIND("-",CH2931)-1))),""))</f>
        <v/>
      </c>
      <c r="CO2931">
        <f>IF(CH2931="","",IFERROR(IF(AND(LEN(CH2931)=9,ISERROR(FIND("-",LEFT(CH2931,8))),ISNUMBER(-LEFT(CH2931,8))),VALUE(MID(CH2931,7,2)),VALUE(MID(CH2931,FIND("-",CH2931,FIND("-",CH2931)+1)+1,FIND("-",CH2931,FIND("-",CH2931,FIND("-",CH2931)+1)+1)-FIND("-",CH2931,FIND("-",CH2931)+1)-1))),""))</f>
        <v/>
      </c>
    </row>
    <row r="2932">
      <c r="CH2932">
        <f>IF(ISTEXT('월 가계부'!A2932),SUBSTITUTE(SUBSTITUTE(SUBSTITUTE(SUBSTITUTE(SUBSTITUTE(SUBSTITUTE(SUBSTITUTE(SUBSTITUTE(SUBSTITUTE(TRIM('월 가계부'!A2932),"년","-"),"월","-"),"일",""),".","-"),"/","-")," ","-"),"--","-"),"--","-"),"--","-")&amp;"-","")</f>
        <v/>
      </c>
      <c r="CI2932">
        <f>IFERROR(IF('월 가계부'!A2932="","",IF(ISNUMBER('월 가계부'!A2932),IF(AND('월 가계부'!A2932&gt;=19000101,'월 가계부'!A2932&lt;=21001231),IF(AND(MOD(INT('월 가계부'!A2932/100),100)&gt;=1,MOD(INT('월 가계부'!A2932/100),100)&lt;=12,MOD(INT('월 가계부'!A2932),100)&gt;=1,MOD(INT('월 가계부'!A2932),100)&lt;=31),IF(MONTH(DATE(INT('월 가계부'!A2932/10000),MOD(INT('월 가계부'!A2932/100),100),MOD(INT('월 가계부'!A2932),100)))=MOD(INT('월 가계부'!A2932/100),100),DATE(INT('월 가계부'!A2932/10000),MOD(INT('월 가계부'!A2932/100),100),MOD(INT('월 가계부'!A2932),100)),""),""),IF(AND('월 가계부'!A2932&gt;=36526,'월 가계부'!A2932&lt;73051),INT('월 가계부'!A2932),"")),IF(OR(CM2932="",CN2932="",CO2932=""),"",IF(AND(CM2932&gt;=2000,CM2932&lt;=2099,CN2932&gt;=1,CN2932&lt;=12,CO2932&gt;=1,CO2932&lt;=31),IF(MONTH(DATE(CM2932,CN2932,CO2932))=CN2932,DATE(CM2932,CN2932,CO2932),""),"")))),"")</f>
        <v/>
      </c>
      <c r="CJ2932">
        <f>IFERROR(IF('월 가계부'!C2932="","",IF(ISNUMBER('월 가계부'!C2932),'월 가계부'!C2932,VALUE(SUBSTITUTE(SUBSTITUTE(SUBSTITUTE(SUBSTITUTE(TRIM('월 가계부'!C2932),",",""),"원","")," ",""),"−","-")))),"")</f>
        <v/>
      </c>
      <c r="CK2932">
        <f>IF(ISNUMBER(CI2932),IF(CI2932&lt;$B$13,CI2932,""),"")</f>
        <v/>
      </c>
      <c r="CM2932">
        <f>IF(CH2932="","",IFERROR(IF(IF(AND(LEN(CH2932)=9,ISERROR(FIND("-",LEFT(CH2932,8))),ISNUMBER(-LEFT(CH2932,8))),VALUE(LEFT(CH2932,4)),VALUE(LEFT(CH2932,FIND("-",CH2932)-1)))&lt;100,IF(AND(LEN(CH2932)=9,ISERROR(FIND("-",LEFT(CH2932,8))),ISNUMBER(-LEFT(CH2932,8))),VALUE(LEFT(CH2932,4)),VALUE(LEFT(CH2932,FIND("-",CH2932)-1)))+2000,IF(AND(LEN(CH2932)=9,ISERROR(FIND("-",LEFT(CH2932,8))),ISNUMBER(-LEFT(CH2932,8))),VALUE(LEFT(CH2932,4)),VALUE(LEFT(CH2932,FIND("-",CH2932)-1)))),""))</f>
        <v/>
      </c>
      <c r="CN2932">
        <f>IF(CH2932="","",IFERROR(IF(AND(LEN(CH2932)=9,ISERROR(FIND("-",LEFT(CH2932,8))),ISNUMBER(-LEFT(CH2932,8))),VALUE(MID(CH2932,5,2)),VALUE(MID(CH2932,FIND("-",CH2932)+1,FIND("-",CH2932,FIND("-",CH2932)+1)-FIND("-",CH2932)-1))),""))</f>
        <v/>
      </c>
      <c r="CO2932">
        <f>IF(CH2932="","",IFERROR(IF(AND(LEN(CH2932)=9,ISERROR(FIND("-",LEFT(CH2932,8))),ISNUMBER(-LEFT(CH2932,8))),VALUE(MID(CH2932,7,2)),VALUE(MID(CH2932,FIND("-",CH2932,FIND("-",CH2932)+1)+1,FIND("-",CH2932,FIND("-",CH2932,FIND("-",CH2932)+1)+1)-FIND("-",CH2932,FIND("-",CH2932)+1)-1))),""))</f>
        <v/>
      </c>
    </row>
    <row r="2933">
      <c r="CH2933">
        <f>IF(ISTEXT('월 가계부'!A2933),SUBSTITUTE(SUBSTITUTE(SUBSTITUTE(SUBSTITUTE(SUBSTITUTE(SUBSTITUTE(SUBSTITUTE(SUBSTITUTE(SUBSTITUTE(TRIM('월 가계부'!A2933),"년","-"),"월","-"),"일",""),".","-"),"/","-")," ","-"),"--","-"),"--","-"),"--","-")&amp;"-","")</f>
        <v/>
      </c>
      <c r="CI2933">
        <f>IFERROR(IF('월 가계부'!A2933="","",IF(ISNUMBER('월 가계부'!A2933),IF(AND('월 가계부'!A2933&gt;=19000101,'월 가계부'!A2933&lt;=21001231),IF(AND(MOD(INT('월 가계부'!A2933/100),100)&gt;=1,MOD(INT('월 가계부'!A2933/100),100)&lt;=12,MOD(INT('월 가계부'!A2933),100)&gt;=1,MOD(INT('월 가계부'!A2933),100)&lt;=31),IF(MONTH(DATE(INT('월 가계부'!A2933/10000),MOD(INT('월 가계부'!A2933/100),100),MOD(INT('월 가계부'!A2933),100)))=MOD(INT('월 가계부'!A2933/100),100),DATE(INT('월 가계부'!A2933/10000),MOD(INT('월 가계부'!A2933/100),100),MOD(INT('월 가계부'!A2933),100)),""),""),IF(AND('월 가계부'!A2933&gt;=36526,'월 가계부'!A2933&lt;73051),INT('월 가계부'!A2933),"")),IF(OR(CM2933="",CN2933="",CO2933=""),"",IF(AND(CM2933&gt;=2000,CM2933&lt;=2099,CN2933&gt;=1,CN2933&lt;=12,CO2933&gt;=1,CO2933&lt;=31),IF(MONTH(DATE(CM2933,CN2933,CO2933))=CN2933,DATE(CM2933,CN2933,CO2933),""),"")))),"")</f>
        <v/>
      </c>
      <c r="CJ2933">
        <f>IFERROR(IF('월 가계부'!C2933="","",IF(ISNUMBER('월 가계부'!C2933),'월 가계부'!C2933,VALUE(SUBSTITUTE(SUBSTITUTE(SUBSTITUTE(SUBSTITUTE(TRIM('월 가계부'!C2933),",",""),"원","")," ",""),"−","-")))),"")</f>
        <v/>
      </c>
      <c r="CK2933">
        <f>IF(ISNUMBER(CI2933),IF(CI2933&lt;$B$13,CI2933,""),"")</f>
        <v/>
      </c>
      <c r="CM2933">
        <f>IF(CH2933="","",IFERROR(IF(IF(AND(LEN(CH2933)=9,ISERROR(FIND("-",LEFT(CH2933,8))),ISNUMBER(-LEFT(CH2933,8))),VALUE(LEFT(CH2933,4)),VALUE(LEFT(CH2933,FIND("-",CH2933)-1)))&lt;100,IF(AND(LEN(CH2933)=9,ISERROR(FIND("-",LEFT(CH2933,8))),ISNUMBER(-LEFT(CH2933,8))),VALUE(LEFT(CH2933,4)),VALUE(LEFT(CH2933,FIND("-",CH2933)-1)))+2000,IF(AND(LEN(CH2933)=9,ISERROR(FIND("-",LEFT(CH2933,8))),ISNUMBER(-LEFT(CH2933,8))),VALUE(LEFT(CH2933,4)),VALUE(LEFT(CH2933,FIND("-",CH2933)-1)))),""))</f>
        <v/>
      </c>
      <c r="CN2933">
        <f>IF(CH2933="","",IFERROR(IF(AND(LEN(CH2933)=9,ISERROR(FIND("-",LEFT(CH2933,8))),ISNUMBER(-LEFT(CH2933,8))),VALUE(MID(CH2933,5,2)),VALUE(MID(CH2933,FIND("-",CH2933)+1,FIND("-",CH2933,FIND("-",CH2933)+1)-FIND("-",CH2933)-1))),""))</f>
        <v/>
      </c>
      <c r="CO2933">
        <f>IF(CH2933="","",IFERROR(IF(AND(LEN(CH2933)=9,ISERROR(FIND("-",LEFT(CH2933,8))),ISNUMBER(-LEFT(CH2933,8))),VALUE(MID(CH2933,7,2)),VALUE(MID(CH2933,FIND("-",CH2933,FIND("-",CH2933)+1)+1,FIND("-",CH2933,FIND("-",CH2933,FIND("-",CH2933)+1)+1)-FIND("-",CH2933,FIND("-",CH2933)+1)-1))),""))</f>
        <v/>
      </c>
    </row>
    <row r="2934">
      <c r="CH2934">
        <f>IF(ISTEXT('월 가계부'!A2934),SUBSTITUTE(SUBSTITUTE(SUBSTITUTE(SUBSTITUTE(SUBSTITUTE(SUBSTITUTE(SUBSTITUTE(SUBSTITUTE(SUBSTITUTE(TRIM('월 가계부'!A2934),"년","-"),"월","-"),"일",""),".","-"),"/","-")," ","-"),"--","-"),"--","-"),"--","-")&amp;"-","")</f>
        <v/>
      </c>
      <c r="CI2934">
        <f>IFERROR(IF('월 가계부'!A2934="","",IF(ISNUMBER('월 가계부'!A2934),IF(AND('월 가계부'!A2934&gt;=19000101,'월 가계부'!A2934&lt;=21001231),IF(AND(MOD(INT('월 가계부'!A2934/100),100)&gt;=1,MOD(INT('월 가계부'!A2934/100),100)&lt;=12,MOD(INT('월 가계부'!A2934),100)&gt;=1,MOD(INT('월 가계부'!A2934),100)&lt;=31),IF(MONTH(DATE(INT('월 가계부'!A2934/10000),MOD(INT('월 가계부'!A2934/100),100),MOD(INT('월 가계부'!A2934),100)))=MOD(INT('월 가계부'!A2934/100),100),DATE(INT('월 가계부'!A2934/10000),MOD(INT('월 가계부'!A2934/100),100),MOD(INT('월 가계부'!A2934),100)),""),""),IF(AND('월 가계부'!A2934&gt;=36526,'월 가계부'!A2934&lt;73051),INT('월 가계부'!A2934),"")),IF(OR(CM2934="",CN2934="",CO2934=""),"",IF(AND(CM2934&gt;=2000,CM2934&lt;=2099,CN2934&gt;=1,CN2934&lt;=12,CO2934&gt;=1,CO2934&lt;=31),IF(MONTH(DATE(CM2934,CN2934,CO2934))=CN2934,DATE(CM2934,CN2934,CO2934),""),"")))),"")</f>
        <v/>
      </c>
      <c r="CJ2934">
        <f>IFERROR(IF('월 가계부'!C2934="","",IF(ISNUMBER('월 가계부'!C2934),'월 가계부'!C2934,VALUE(SUBSTITUTE(SUBSTITUTE(SUBSTITUTE(SUBSTITUTE(TRIM('월 가계부'!C2934),",",""),"원","")," ",""),"−","-")))),"")</f>
        <v/>
      </c>
      <c r="CK2934">
        <f>IF(ISNUMBER(CI2934),IF(CI2934&lt;$B$13,CI2934,""),"")</f>
        <v/>
      </c>
      <c r="CM2934">
        <f>IF(CH2934="","",IFERROR(IF(IF(AND(LEN(CH2934)=9,ISERROR(FIND("-",LEFT(CH2934,8))),ISNUMBER(-LEFT(CH2934,8))),VALUE(LEFT(CH2934,4)),VALUE(LEFT(CH2934,FIND("-",CH2934)-1)))&lt;100,IF(AND(LEN(CH2934)=9,ISERROR(FIND("-",LEFT(CH2934,8))),ISNUMBER(-LEFT(CH2934,8))),VALUE(LEFT(CH2934,4)),VALUE(LEFT(CH2934,FIND("-",CH2934)-1)))+2000,IF(AND(LEN(CH2934)=9,ISERROR(FIND("-",LEFT(CH2934,8))),ISNUMBER(-LEFT(CH2934,8))),VALUE(LEFT(CH2934,4)),VALUE(LEFT(CH2934,FIND("-",CH2934)-1)))),""))</f>
        <v/>
      </c>
      <c r="CN2934">
        <f>IF(CH2934="","",IFERROR(IF(AND(LEN(CH2934)=9,ISERROR(FIND("-",LEFT(CH2934,8))),ISNUMBER(-LEFT(CH2934,8))),VALUE(MID(CH2934,5,2)),VALUE(MID(CH2934,FIND("-",CH2934)+1,FIND("-",CH2934,FIND("-",CH2934)+1)-FIND("-",CH2934)-1))),""))</f>
        <v/>
      </c>
      <c r="CO2934">
        <f>IF(CH2934="","",IFERROR(IF(AND(LEN(CH2934)=9,ISERROR(FIND("-",LEFT(CH2934,8))),ISNUMBER(-LEFT(CH2934,8))),VALUE(MID(CH2934,7,2)),VALUE(MID(CH2934,FIND("-",CH2934,FIND("-",CH2934)+1)+1,FIND("-",CH2934,FIND("-",CH2934,FIND("-",CH2934)+1)+1)-FIND("-",CH2934,FIND("-",CH2934)+1)-1))),""))</f>
        <v/>
      </c>
    </row>
    <row r="2935">
      <c r="CH2935">
        <f>IF(ISTEXT('월 가계부'!A2935),SUBSTITUTE(SUBSTITUTE(SUBSTITUTE(SUBSTITUTE(SUBSTITUTE(SUBSTITUTE(SUBSTITUTE(SUBSTITUTE(SUBSTITUTE(TRIM('월 가계부'!A2935),"년","-"),"월","-"),"일",""),".","-"),"/","-")," ","-"),"--","-"),"--","-"),"--","-")&amp;"-","")</f>
        <v/>
      </c>
      <c r="CI2935">
        <f>IFERROR(IF('월 가계부'!A2935="","",IF(ISNUMBER('월 가계부'!A2935),IF(AND('월 가계부'!A2935&gt;=19000101,'월 가계부'!A2935&lt;=21001231),IF(AND(MOD(INT('월 가계부'!A2935/100),100)&gt;=1,MOD(INT('월 가계부'!A2935/100),100)&lt;=12,MOD(INT('월 가계부'!A2935),100)&gt;=1,MOD(INT('월 가계부'!A2935),100)&lt;=31),IF(MONTH(DATE(INT('월 가계부'!A2935/10000),MOD(INT('월 가계부'!A2935/100),100),MOD(INT('월 가계부'!A2935),100)))=MOD(INT('월 가계부'!A2935/100),100),DATE(INT('월 가계부'!A2935/10000),MOD(INT('월 가계부'!A2935/100),100),MOD(INT('월 가계부'!A2935),100)),""),""),IF(AND('월 가계부'!A2935&gt;=36526,'월 가계부'!A2935&lt;73051),INT('월 가계부'!A2935),"")),IF(OR(CM2935="",CN2935="",CO2935=""),"",IF(AND(CM2935&gt;=2000,CM2935&lt;=2099,CN2935&gt;=1,CN2935&lt;=12,CO2935&gt;=1,CO2935&lt;=31),IF(MONTH(DATE(CM2935,CN2935,CO2935))=CN2935,DATE(CM2935,CN2935,CO2935),""),"")))),"")</f>
        <v/>
      </c>
      <c r="CJ2935">
        <f>IFERROR(IF('월 가계부'!C2935="","",IF(ISNUMBER('월 가계부'!C2935),'월 가계부'!C2935,VALUE(SUBSTITUTE(SUBSTITUTE(SUBSTITUTE(SUBSTITUTE(TRIM('월 가계부'!C2935),",",""),"원","")," ",""),"−","-")))),"")</f>
        <v/>
      </c>
      <c r="CK2935">
        <f>IF(ISNUMBER(CI2935),IF(CI2935&lt;$B$13,CI2935,""),"")</f>
        <v/>
      </c>
      <c r="CM2935">
        <f>IF(CH2935="","",IFERROR(IF(IF(AND(LEN(CH2935)=9,ISERROR(FIND("-",LEFT(CH2935,8))),ISNUMBER(-LEFT(CH2935,8))),VALUE(LEFT(CH2935,4)),VALUE(LEFT(CH2935,FIND("-",CH2935)-1)))&lt;100,IF(AND(LEN(CH2935)=9,ISERROR(FIND("-",LEFT(CH2935,8))),ISNUMBER(-LEFT(CH2935,8))),VALUE(LEFT(CH2935,4)),VALUE(LEFT(CH2935,FIND("-",CH2935)-1)))+2000,IF(AND(LEN(CH2935)=9,ISERROR(FIND("-",LEFT(CH2935,8))),ISNUMBER(-LEFT(CH2935,8))),VALUE(LEFT(CH2935,4)),VALUE(LEFT(CH2935,FIND("-",CH2935)-1)))),""))</f>
        <v/>
      </c>
      <c r="CN2935">
        <f>IF(CH2935="","",IFERROR(IF(AND(LEN(CH2935)=9,ISERROR(FIND("-",LEFT(CH2935,8))),ISNUMBER(-LEFT(CH2935,8))),VALUE(MID(CH2935,5,2)),VALUE(MID(CH2935,FIND("-",CH2935)+1,FIND("-",CH2935,FIND("-",CH2935)+1)-FIND("-",CH2935)-1))),""))</f>
        <v/>
      </c>
      <c r="CO2935">
        <f>IF(CH2935="","",IFERROR(IF(AND(LEN(CH2935)=9,ISERROR(FIND("-",LEFT(CH2935,8))),ISNUMBER(-LEFT(CH2935,8))),VALUE(MID(CH2935,7,2)),VALUE(MID(CH2935,FIND("-",CH2935,FIND("-",CH2935)+1)+1,FIND("-",CH2935,FIND("-",CH2935,FIND("-",CH2935)+1)+1)-FIND("-",CH2935,FIND("-",CH2935)+1)-1))),""))</f>
        <v/>
      </c>
    </row>
    <row r="2936">
      <c r="CH2936">
        <f>IF(ISTEXT('월 가계부'!A2936),SUBSTITUTE(SUBSTITUTE(SUBSTITUTE(SUBSTITUTE(SUBSTITUTE(SUBSTITUTE(SUBSTITUTE(SUBSTITUTE(SUBSTITUTE(TRIM('월 가계부'!A2936),"년","-"),"월","-"),"일",""),".","-"),"/","-")," ","-"),"--","-"),"--","-"),"--","-")&amp;"-","")</f>
        <v/>
      </c>
      <c r="CI2936">
        <f>IFERROR(IF('월 가계부'!A2936="","",IF(ISNUMBER('월 가계부'!A2936),IF(AND('월 가계부'!A2936&gt;=19000101,'월 가계부'!A2936&lt;=21001231),IF(AND(MOD(INT('월 가계부'!A2936/100),100)&gt;=1,MOD(INT('월 가계부'!A2936/100),100)&lt;=12,MOD(INT('월 가계부'!A2936),100)&gt;=1,MOD(INT('월 가계부'!A2936),100)&lt;=31),IF(MONTH(DATE(INT('월 가계부'!A2936/10000),MOD(INT('월 가계부'!A2936/100),100),MOD(INT('월 가계부'!A2936),100)))=MOD(INT('월 가계부'!A2936/100),100),DATE(INT('월 가계부'!A2936/10000),MOD(INT('월 가계부'!A2936/100),100),MOD(INT('월 가계부'!A2936),100)),""),""),IF(AND('월 가계부'!A2936&gt;=36526,'월 가계부'!A2936&lt;73051),INT('월 가계부'!A2936),"")),IF(OR(CM2936="",CN2936="",CO2936=""),"",IF(AND(CM2936&gt;=2000,CM2936&lt;=2099,CN2936&gt;=1,CN2936&lt;=12,CO2936&gt;=1,CO2936&lt;=31),IF(MONTH(DATE(CM2936,CN2936,CO2936))=CN2936,DATE(CM2936,CN2936,CO2936),""),"")))),"")</f>
        <v/>
      </c>
      <c r="CJ2936">
        <f>IFERROR(IF('월 가계부'!C2936="","",IF(ISNUMBER('월 가계부'!C2936),'월 가계부'!C2936,VALUE(SUBSTITUTE(SUBSTITUTE(SUBSTITUTE(SUBSTITUTE(TRIM('월 가계부'!C2936),",",""),"원","")," ",""),"−","-")))),"")</f>
        <v/>
      </c>
      <c r="CK2936">
        <f>IF(ISNUMBER(CI2936),IF(CI2936&lt;$B$13,CI2936,""),"")</f>
        <v/>
      </c>
      <c r="CM2936">
        <f>IF(CH2936="","",IFERROR(IF(IF(AND(LEN(CH2936)=9,ISERROR(FIND("-",LEFT(CH2936,8))),ISNUMBER(-LEFT(CH2936,8))),VALUE(LEFT(CH2936,4)),VALUE(LEFT(CH2936,FIND("-",CH2936)-1)))&lt;100,IF(AND(LEN(CH2936)=9,ISERROR(FIND("-",LEFT(CH2936,8))),ISNUMBER(-LEFT(CH2936,8))),VALUE(LEFT(CH2936,4)),VALUE(LEFT(CH2936,FIND("-",CH2936)-1)))+2000,IF(AND(LEN(CH2936)=9,ISERROR(FIND("-",LEFT(CH2936,8))),ISNUMBER(-LEFT(CH2936,8))),VALUE(LEFT(CH2936,4)),VALUE(LEFT(CH2936,FIND("-",CH2936)-1)))),""))</f>
        <v/>
      </c>
      <c r="CN2936">
        <f>IF(CH2936="","",IFERROR(IF(AND(LEN(CH2936)=9,ISERROR(FIND("-",LEFT(CH2936,8))),ISNUMBER(-LEFT(CH2936,8))),VALUE(MID(CH2936,5,2)),VALUE(MID(CH2936,FIND("-",CH2936)+1,FIND("-",CH2936,FIND("-",CH2936)+1)-FIND("-",CH2936)-1))),""))</f>
        <v/>
      </c>
      <c r="CO2936">
        <f>IF(CH2936="","",IFERROR(IF(AND(LEN(CH2936)=9,ISERROR(FIND("-",LEFT(CH2936,8))),ISNUMBER(-LEFT(CH2936,8))),VALUE(MID(CH2936,7,2)),VALUE(MID(CH2936,FIND("-",CH2936,FIND("-",CH2936)+1)+1,FIND("-",CH2936,FIND("-",CH2936,FIND("-",CH2936)+1)+1)-FIND("-",CH2936,FIND("-",CH2936)+1)-1))),""))</f>
        <v/>
      </c>
    </row>
    <row r="2937">
      <c r="CH2937">
        <f>IF(ISTEXT('월 가계부'!A2937),SUBSTITUTE(SUBSTITUTE(SUBSTITUTE(SUBSTITUTE(SUBSTITUTE(SUBSTITUTE(SUBSTITUTE(SUBSTITUTE(SUBSTITUTE(TRIM('월 가계부'!A2937),"년","-"),"월","-"),"일",""),".","-"),"/","-")," ","-"),"--","-"),"--","-"),"--","-")&amp;"-","")</f>
        <v/>
      </c>
      <c r="CI2937">
        <f>IFERROR(IF('월 가계부'!A2937="","",IF(ISNUMBER('월 가계부'!A2937),IF(AND('월 가계부'!A2937&gt;=19000101,'월 가계부'!A2937&lt;=21001231),IF(AND(MOD(INT('월 가계부'!A2937/100),100)&gt;=1,MOD(INT('월 가계부'!A2937/100),100)&lt;=12,MOD(INT('월 가계부'!A2937),100)&gt;=1,MOD(INT('월 가계부'!A2937),100)&lt;=31),IF(MONTH(DATE(INT('월 가계부'!A2937/10000),MOD(INT('월 가계부'!A2937/100),100),MOD(INT('월 가계부'!A2937),100)))=MOD(INT('월 가계부'!A2937/100),100),DATE(INT('월 가계부'!A2937/10000),MOD(INT('월 가계부'!A2937/100),100),MOD(INT('월 가계부'!A2937),100)),""),""),IF(AND('월 가계부'!A2937&gt;=36526,'월 가계부'!A2937&lt;73051),INT('월 가계부'!A2937),"")),IF(OR(CM2937="",CN2937="",CO2937=""),"",IF(AND(CM2937&gt;=2000,CM2937&lt;=2099,CN2937&gt;=1,CN2937&lt;=12,CO2937&gt;=1,CO2937&lt;=31),IF(MONTH(DATE(CM2937,CN2937,CO2937))=CN2937,DATE(CM2937,CN2937,CO2937),""),"")))),"")</f>
        <v/>
      </c>
      <c r="CJ2937">
        <f>IFERROR(IF('월 가계부'!C2937="","",IF(ISNUMBER('월 가계부'!C2937),'월 가계부'!C2937,VALUE(SUBSTITUTE(SUBSTITUTE(SUBSTITUTE(SUBSTITUTE(TRIM('월 가계부'!C2937),",",""),"원","")," ",""),"−","-")))),"")</f>
        <v/>
      </c>
      <c r="CK2937">
        <f>IF(ISNUMBER(CI2937),IF(CI2937&lt;$B$13,CI2937,""),"")</f>
        <v/>
      </c>
      <c r="CM2937">
        <f>IF(CH2937="","",IFERROR(IF(IF(AND(LEN(CH2937)=9,ISERROR(FIND("-",LEFT(CH2937,8))),ISNUMBER(-LEFT(CH2937,8))),VALUE(LEFT(CH2937,4)),VALUE(LEFT(CH2937,FIND("-",CH2937)-1)))&lt;100,IF(AND(LEN(CH2937)=9,ISERROR(FIND("-",LEFT(CH2937,8))),ISNUMBER(-LEFT(CH2937,8))),VALUE(LEFT(CH2937,4)),VALUE(LEFT(CH2937,FIND("-",CH2937)-1)))+2000,IF(AND(LEN(CH2937)=9,ISERROR(FIND("-",LEFT(CH2937,8))),ISNUMBER(-LEFT(CH2937,8))),VALUE(LEFT(CH2937,4)),VALUE(LEFT(CH2937,FIND("-",CH2937)-1)))),""))</f>
        <v/>
      </c>
      <c r="CN2937">
        <f>IF(CH2937="","",IFERROR(IF(AND(LEN(CH2937)=9,ISERROR(FIND("-",LEFT(CH2937,8))),ISNUMBER(-LEFT(CH2937,8))),VALUE(MID(CH2937,5,2)),VALUE(MID(CH2937,FIND("-",CH2937)+1,FIND("-",CH2937,FIND("-",CH2937)+1)-FIND("-",CH2937)-1))),""))</f>
        <v/>
      </c>
      <c r="CO2937">
        <f>IF(CH2937="","",IFERROR(IF(AND(LEN(CH2937)=9,ISERROR(FIND("-",LEFT(CH2937,8))),ISNUMBER(-LEFT(CH2937,8))),VALUE(MID(CH2937,7,2)),VALUE(MID(CH2937,FIND("-",CH2937,FIND("-",CH2937)+1)+1,FIND("-",CH2937,FIND("-",CH2937,FIND("-",CH2937)+1)+1)-FIND("-",CH2937,FIND("-",CH2937)+1)-1))),""))</f>
        <v/>
      </c>
    </row>
    <row r="2938">
      <c r="CH2938">
        <f>IF(ISTEXT('월 가계부'!A2938),SUBSTITUTE(SUBSTITUTE(SUBSTITUTE(SUBSTITUTE(SUBSTITUTE(SUBSTITUTE(SUBSTITUTE(SUBSTITUTE(SUBSTITUTE(TRIM('월 가계부'!A2938),"년","-"),"월","-"),"일",""),".","-"),"/","-")," ","-"),"--","-"),"--","-"),"--","-")&amp;"-","")</f>
        <v/>
      </c>
      <c r="CI2938">
        <f>IFERROR(IF('월 가계부'!A2938="","",IF(ISNUMBER('월 가계부'!A2938),IF(AND('월 가계부'!A2938&gt;=19000101,'월 가계부'!A2938&lt;=21001231),IF(AND(MOD(INT('월 가계부'!A2938/100),100)&gt;=1,MOD(INT('월 가계부'!A2938/100),100)&lt;=12,MOD(INT('월 가계부'!A2938),100)&gt;=1,MOD(INT('월 가계부'!A2938),100)&lt;=31),IF(MONTH(DATE(INT('월 가계부'!A2938/10000),MOD(INT('월 가계부'!A2938/100),100),MOD(INT('월 가계부'!A2938),100)))=MOD(INT('월 가계부'!A2938/100),100),DATE(INT('월 가계부'!A2938/10000),MOD(INT('월 가계부'!A2938/100),100),MOD(INT('월 가계부'!A2938),100)),""),""),IF(AND('월 가계부'!A2938&gt;=36526,'월 가계부'!A2938&lt;73051),INT('월 가계부'!A2938),"")),IF(OR(CM2938="",CN2938="",CO2938=""),"",IF(AND(CM2938&gt;=2000,CM2938&lt;=2099,CN2938&gt;=1,CN2938&lt;=12,CO2938&gt;=1,CO2938&lt;=31),IF(MONTH(DATE(CM2938,CN2938,CO2938))=CN2938,DATE(CM2938,CN2938,CO2938),""),"")))),"")</f>
        <v/>
      </c>
      <c r="CJ2938">
        <f>IFERROR(IF('월 가계부'!C2938="","",IF(ISNUMBER('월 가계부'!C2938),'월 가계부'!C2938,VALUE(SUBSTITUTE(SUBSTITUTE(SUBSTITUTE(SUBSTITUTE(TRIM('월 가계부'!C2938),",",""),"원","")," ",""),"−","-")))),"")</f>
        <v/>
      </c>
      <c r="CK2938">
        <f>IF(ISNUMBER(CI2938),IF(CI2938&lt;$B$13,CI2938,""),"")</f>
        <v/>
      </c>
      <c r="CM2938">
        <f>IF(CH2938="","",IFERROR(IF(IF(AND(LEN(CH2938)=9,ISERROR(FIND("-",LEFT(CH2938,8))),ISNUMBER(-LEFT(CH2938,8))),VALUE(LEFT(CH2938,4)),VALUE(LEFT(CH2938,FIND("-",CH2938)-1)))&lt;100,IF(AND(LEN(CH2938)=9,ISERROR(FIND("-",LEFT(CH2938,8))),ISNUMBER(-LEFT(CH2938,8))),VALUE(LEFT(CH2938,4)),VALUE(LEFT(CH2938,FIND("-",CH2938)-1)))+2000,IF(AND(LEN(CH2938)=9,ISERROR(FIND("-",LEFT(CH2938,8))),ISNUMBER(-LEFT(CH2938,8))),VALUE(LEFT(CH2938,4)),VALUE(LEFT(CH2938,FIND("-",CH2938)-1)))),""))</f>
        <v/>
      </c>
      <c r="CN2938">
        <f>IF(CH2938="","",IFERROR(IF(AND(LEN(CH2938)=9,ISERROR(FIND("-",LEFT(CH2938,8))),ISNUMBER(-LEFT(CH2938,8))),VALUE(MID(CH2938,5,2)),VALUE(MID(CH2938,FIND("-",CH2938)+1,FIND("-",CH2938,FIND("-",CH2938)+1)-FIND("-",CH2938)-1))),""))</f>
        <v/>
      </c>
      <c r="CO2938">
        <f>IF(CH2938="","",IFERROR(IF(AND(LEN(CH2938)=9,ISERROR(FIND("-",LEFT(CH2938,8))),ISNUMBER(-LEFT(CH2938,8))),VALUE(MID(CH2938,7,2)),VALUE(MID(CH2938,FIND("-",CH2938,FIND("-",CH2938)+1)+1,FIND("-",CH2938,FIND("-",CH2938,FIND("-",CH2938)+1)+1)-FIND("-",CH2938,FIND("-",CH2938)+1)-1))),""))</f>
        <v/>
      </c>
    </row>
    <row r="2939">
      <c r="CH2939">
        <f>IF(ISTEXT('월 가계부'!A2939),SUBSTITUTE(SUBSTITUTE(SUBSTITUTE(SUBSTITUTE(SUBSTITUTE(SUBSTITUTE(SUBSTITUTE(SUBSTITUTE(SUBSTITUTE(TRIM('월 가계부'!A2939),"년","-"),"월","-"),"일",""),".","-"),"/","-")," ","-"),"--","-"),"--","-"),"--","-")&amp;"-","")</f>
        <v/>
      </c>
      <c r="CI2939">
        <f>IFERROR(IF('월 가계부'!A2939="","",IF(ISNUMBER('월 가계부'!A2939),IF(AND('월 가계부'!A2939&gt;=19000101,'월 가계부'!A2939&lt;=21001231),IF(AND(MOD(INT('월 가계부'!A2939/100),100)&gt;=1,MOD(INT('월 가계부'!A2939/100),100)&lt;=12,MOD(INT('월 가계부'!A2939),100)&gt;=1,MOD(INT('월 가계부'!A2939),100)&lt;=31),IF(MONTH(DATE(INT('월 가계부'!A2939/10000),MOD(INT('월 가계부'!A2939/100),100),MOD(INT('월 가계부'!A2939),100)))=MOD(INT('월 가계부'!A2939/100),100),DATE(INT('월 가계부'!A2939/10000),MOD(INT('월 가계부'!A2939/100),100),MOD(INT('월 가계부'!A2939),100)),""),""),IF(AND('월 가계부'!A2939&gt;=36526,'월 가계부'!A2939&lt;73051),INT('월 가계부'!A2939),"")),IF(OR(CM2939="",CN2939="",CO2939=""),"",IF(AND(CM2939&gt;=2000,CM2939&lt;=2099,CN2939&gt;=1,CN2939&lt;=12,CO2939&gt;=1,CO2939&lt;=31),IF(MONTH(DATE(CM2939,CN2939,CO2939))=CN2939,DATE(CM2939,CN2939,CO2939),""),"")))),"")</f>
        <v/>
      </c>
      <c r="CJ2939">
        <f>IFERROR(IF('월 가계부'!C2939="","",IF(ISNUMBER('월 가계부'!C2939),'월 가계부'!C2939,VALUE(SUBSTITUTE(SUBSTITUTE(SUBSTITUTE(SUBSTITUTE(TRIM('월 가계부'!C2939),",",""),"원","")," ",""),"−","-")))),"")</f>
        <v/>
      </c>
      <c r="CK2939">
        <f>IF(ISNUMBER(CI2939),IF(CI2939&lt;$B$13,CI2939,""),"")</f>
        <v/>
      </c>
      <c r="CM2939">
        <f>IF(CH2939="","",IFERROR(IF(IF(AND(LEN(CH2939)=9,ISERROR(FIND("-",LEFT(CH2939,8))),ISNUMBER(-LEFT(CH2939,8))),VALUE(LEFT(CH2939,4)),VALUE(LEFT(CH2939,FIND("-",CH2939)-1)))&lt;100,IF(AND(LEN(CH2939)=9,ISERROR(FIND("-",LEFT(CH2939,8))),ISNUMBER(-LEFT(CH2939,8))),VALUE(LEFT(CH2939,4)),VALUE(LEFT(CH2939,FIND("-",CH2939)-1)))+2000,IF(AND(LEN(CH2939)=9,ISERROR(FIND("-",LEFT(CH2939,8))),ISNUMBER(-LEFT(CH2939,8))),VALUE(LEFT(CH2939,4)),VALUE(LEFT(CH2939,FIND("-",CH2939)-1)))),""))</f>
        <v/>
      </c>
      <c r="CN2939">
        <f>IF(CH2939="","",IFERROR(IF(AND(LEN(CH2939)=9,ISERROR(FIND("-",LEFT(CH2939,8))),ISNUMBER(-LEFT(CH2939,8))),VALUE(MID(CH2939,5,2)),VALUE(MID(CH2939,FIND("-",CH2939)+1,FIND("-",CH2939,FIND("-",CH2939)+1)-FIND("-",CH2939)-1))),""))</f>
        <v/>
      </c>
      <c r="CO2939">
        <f>IF(CH2939="","",IFERROR(IF(AND(LEN(CH2939)=9,ISERROR(FIND("-",LEFT(CH2939,8))),ISNUMBER(-LEFT(CH2939,8))),VALUE(MID(CH2939,7,2)),VALUE(MID(CH2939,FIND("-",CH2939,FIND("-",CH2939)+1)+1,FIND("-",CH2939,FIND("-",CH2939,FIND("-",CH2939)+1)+1)-FIND("-",CH2939,FIND("-",CH2939)+1)-1))),""))</f>
        <v/>
      </c>
    </row>
    <row r="2940">
      <c r="CH2940">
        <f>IF(ISTEXT('월 가계부'!A2940),SUBSTITUTE(SUBSTITUTE(SUBSTITUTE(SUBSTITUTE(SUBSTITUTE(SUBSTITUTE(SUBSTITUTE(SUBSTITUTE(SUBSTITUTE(TRIM('월 가계부'!A2940),"년","-"),"월","-"),"일",""),".","-"),"/","-")," ","-"),"--","-"),"--","-"),"--","-")&amp;"-","")</f>
        <v/>
      </c>
      <c r="CI2940">
        <f>IFERROR(IF('월 가계부'!A2940="","",IF(ISNUMBER('월 가계부'!A2940),IF(AND('월 가계부'!A2940&gt;=19000101,'월 가계부'!A2940&lt;=21001231),IF(AND(MOD(INT('월 가계부'!A2940/100),100)&gt;=1,MOD(INT('월 가계부'!A2940/100),100)&lt;=12,MOD(INT('월 가계부'!A2940),100)&gt;=1,MOD(INT('월 가계부'!A2940),100)&lt;=31),IF(MONTH(DATE(INT('월 가계부'!A2940/10000),MOD(INT('월 가계부'!A2940/100),100),MOD(INT('월 가계부'!A2940),100)))=MOD(INT('월 가계부'!A2940/100),100),DATE(INT('월 가계부'!A2940/10000),MOD(INT('월 가계부'!A2940/100),100),MOD(INT('월 가계부'!A2940),100)),""),""),IF(AND('월 가계부'!A2940&gt;=36526,'월 가계부'!A2940&lt;73051),INT('월 가계부'!A2940),"")),IF(OR(CM2940="",CN2940="",CO2940=""),"",IF(AND(CM2940&gt;=2000,CM2940&lt;=2099,CN2940&gt;=1,CN2940&lt;=12,CO2940&gt;=1,CO2940&lt;=31),IF(MONTH(DATE(CM2940,CN2940,CO2940))=CN2940,DATE(CM2940,CN2940,CO2940),""),"")))),"")</f>
        <v/>
      </c>
      <c r="CJ2940">
        <f>IFERROR(IF('월 가계부'!C2940="","",IF(ISNUMBER('월 가계부'!C2940),'월 가계부'!C2940,VALUE(SUBSTITUTE(SUBSTITUTE(SUBSTITUTE(SUBSTITUTE(TRIM('월 가계부'!C2940),",",""),"원","")," ",""),"−","-")))),"")</f>
        <v/>
      </c>
      <c r="CK2940">
        <f>IF(ISNUMBER(CI2940),IF(CI2940&lt;$B$13,CI2940,""),"")</f>
        <v/>
      </c>
      <c r="CM2940">
        <f>IF(CH2940="","",IFERROR(IF(IF(AND(LEN(CH2940)=9,ISERROR(FIND("-",LEFT(CH2940,8))),ISNUMBER(-LEFT(CH2940,8))),VALUE(LEFT(CH2940,4)),VALUE(LEFT(CH2940,FIND("-",CH2940)-1)))&lt;100,IF(AND(LEN(CH2940)=9,ISERROR(FIND("-",LEFT(CH2940,8))),ISNUMBER(-LEFT(CH2940,8))),VALUE(LEFT(CH2940,4)),VALUE(LEFT(CH2940,FIND("-",CH2940)-1)))+2000,IF(AND(LEN(CH2940)=9,ISERROR(FIND("-",LEFT(CH2940,8))),ISNUMBER(-LEFT(CH2940,8))),VALUE(LEFT(CH2940,4)),VALUE(LEFT(CH2940,FIND("-",CH2940)-1)))),""))</f>
        <v/>
      </c>
      <c r="CN2940">
        <f>IF(CH2940="","",IFERROR(IF(AND(LEN(CH2940)=9,ISERROR(FIND("-",LEFT(CH2940,8))),ISNUMBER(-LEFT(CH2940,8))),VALUE(MID(CH2940,5,2)),VALUE(MID(CH2940,FIND("-",CH2940)+1,FIND("-",CH2940,FIND("-",CH2940)+1)-FIND("-",CH2940)-1))),""))</f>
        <v/>
      </c>
      <c r="CO2940">
        <f>IF(CH2940="","",IFERROR(IF(AND(LEN(CH2940)=9,ISERROR(FIND("-",LEFT(CH2940,8))),ISNUMBER(-LEFT(CH2940,8))),VALUE(MID(CH2940,7,2)),VALUE(MID(CH2940,FIND("-",CH2940,FIND("-",CH2940)+1)+1,FIND("-",CH2940,FIND("-",CH2940,FIND("-",CH2940)+1)+1)-FIND("-",CH2940,FIND("-",CH2940)+1)-1))),""))</f>
        <v/>
      </c>
    </row>
    <row r="2941">
      <c r="CH2941">
        <f>IF(ISTEXT('월 가계부'!A2941),SUBSTITUTE(SUBSTITUTE(SUBSTITUTE(SUBSTITUTE(SUBSTITUTE(SUBSTITUTE(SUBSTITUTE(SUBSTITUTE(SUBSTITUTE(TRIM('월 가계부'!A2941),"년","-"),"월","-"),"일",""),".","-"),"/","-")," ","-"),"--","-"),"--","-"),"--","-")&amp;"-","")</f>
        <v/>
      </c>
      <c r="CI2941">
        <f>IFERROR(IF('월 가계부'!A2941="","",IF(ISNUMBER('월 가계부'!A2941),IF(AND('월 가계부'!A2941&gt;=19000101,'월 가계부'!A2941&lt;=21001231),IF(AND(MOD(INT('월 가계부'!A2941/100),100)&gt;=1,MOD(INT('월 가계부'!A2941/100),100)&lt;=12,MOD(INT('월 가계부'!A2941),100)&gt;=1,MOD(INT('월 가계부'!A2941),100)&lt;=31),IF(MONTH(DATE(INT('월 가계부'!A2941/10000),MOD(INT('월 가계부'!A2941/100),100),MOD(INT('월 가계부'!A2941),100)))=MOD(INT('월 가계부'!A2941/100),100),DATE(INT('월 가계부'!A2941/10000),MOD(INT('월 가계부'!A2941/100),100),MOD(INT('월 가계부'!A2941),100)),""),""),IF(AND('월 가계부'!A2941&gt;=36526,'월 가계부'!A2941&lt;73051),INT('월 가계부'!A2941),"")),IF(OR(CM2941="",CN2941="",CO2941=""),"",IF(AND(CM2941&gt;=2000,CM2941&lt;=2099,CN2941&gt;=1,CN2941&lt;=12,CO2941&gt;=1,CO2941&lt;=31),IF(MONTH(DATE(CM2941,CN2941,CO2941))=CN2941,DATE(CM2941,CN2941,CO2941),""),"")))),"")</f>
        <v/>
      </c>
      <c r="CJ2941">
        <f>IFERROR(IF('월 가계부'!C2941="","",IF(ISNUMBER('월 가계부'!C2941),'월 가계부'!C2941,VALUE(SUBSTITUTE(SUBSTITUTE(SUBSTITUTE(SUBSTITUTE(TRIM('월 가계부'!C2941),",",""),"원","")," ",""),"−","-")))),"")</f>
        <v/>
      </c>
      <c r="CK2941">
        <f>IF(ISNUMBER(CI2941),IF(CI2941&lt;$B$13,CI2941,""),"")</f>
        <v/>
      </c>
      <c r="CM2941">
        <f>IF(CH2941="","",IFERROR(IF(IF(AND(LEN(CH2941)=9,ISERROR(FIND("-",LEFT(CH2941,8))),ISNUMBER(-LEFT(CH2941,8))),VALUE(LEFT(CH2941,4)),VALUE(LEFT(CH2941,FIND("-",CH2941)-1)))&lt;100,IF(AND(LEN(CH2941)=9,ISERROR(FIND("-",LEFT(CH2941,8))),ISNUMBER(-LEFT(CH2941,8))),VALUE(LEFT(CH2941,4)),VALUE(LEFT(CH2941,FIND("-",CH2941)-1)))+2000,IF(AND(LEN(CH2941)=9,ISERROR(FIND("-",LEFT(CH2941,8))),ISNUMBER(-LEFT(CH2941,8))),VALUE(LEFT(CH2941,4)),VALUE(LEFT(CH2941,FIND("-",CH2941)-1)))),""))</f>
        <v/>
      </c>
      <c r="CN2941">
        <f>IF(CH2941="","",IFERROR(IF(AND(LEN(CH2941)=9,ISERROR(FIND("-",LEFT(CH2941,8))),ISNUMBER(-LEFT(CH2941,8))),VALUE(MID(CH2941,5,2)),VALUE(MID(CH2941,FIND("-",CH2941)+1,FIND("-",CH2941,FIND("-",CH2941)+1)-FIND("-",CH2941)-1))),""))</f>
        <v/>
      </c>
      <c r="CO2941">
        <f>IF(CH2941="","",IFERROR(IF(AND(LEN(CH2941)=9,ISERROR(FIND("-",LEFT(CH2941,8))),ISNUMBER(-LEFT(CH2941,8))),VALUE(MID(CH2941,7,2)),VALUE(MID(CH2941,FIND("-",CH2941,FIND("-",CH2941)+1)+1,FIND("-",CH2941,FIND("-",CH2941,FIND("-",CH2941)+1)+1)-FIND("-",CH2941,FIND("-",CH2941)+1)-1))),""))</f>
        <v/>
      </c>
    </row>
    <row r="2942">
      <c r="CH2942">
        <f>IF(ISTEXT('월 가계부'!A2942),SUBSTITUTE(SUBSTITUTE(SUBSTITUTE(SUBSTITUTE(SUBSTITUTE(SUBSTITUTE(SUBSTITUTE(SUBSTITUTE(SUBSTITUTE(TRIM('월 가계부'!A2942),"년","-"),"월","-"),"일",""),".","-"),"/","-")," ","-"),"--","-"),"--","-"),"--","-")&amp;"-","")</f>
        <v/>
      </c>
      <c r="CI2942">
        <f>IFERROR(IF('월 가계부'!A2942="","",IF(ISNUMBER('월 가계부'!A2942),IF(AND('월 가계부'!A2942&gt;=19000101,'월 가계부'!A2942&lt;=21001231),IF(AND(MOD(INT('월 가계부'!A2942/100),100)&gt;=1,MOD(INT('월 가계부'!A2942/100),100)&lt;=12,MOD(INT('월 가계부'!A2942),100)&gt;=1,MOD(INT('월 가계부'!A2942),100)&lt;=31),IF(MONTH(DATE(INT('월 가계부'!A2942/10000),MOD(INT('월 가계부'!A2942/100),100),MOD(INT('월 가계부'!A2942),100)))=MOD(INT('월 가계부'!A2942/100),100),DATE(INT('월 가계부'!A2942/10000),MOD(INT('월 가계부'!A2942/100),100),MOD(INT('월 가계부'!A2942),100)),""),""),IF(AND('월 가계부'!A2942&gt;=36526,'월 가계부'!A2942&lt;73051),INT('월 가계부'!A2942),"")),IF(OR(CM2942="",CN2942="",CO2942=""),"",IF(AND(CM2942&gt;=2000,CM2942&lt;=2099,CN2942&gt;=1,CN2942&lt;=12,CO2942&gt;=1,CO2942&lt;=31),IF(MONTH(DATE(CM2942,CN2942,CO2942))=CN2942,DATE(CM2942,CN2942,CO2942),""),"")))),"")</f>
        <v/>
      </c>
      <c r="CJ2942">
        <f>IFERROR(IF('월 가계부'!C2942="","",IF(ISNUMBER('월 가계부'!C2942),'월 가계부'!C2942,VALUE(SUBSTITUTE(SUBSTITUTE(SUBSTITUTE(SUBSTITUTE(TRIM('월 가계부'!C2942),",",""),"원","")," ",""),"−","-")))),"")</f>
        <v/>
      </c>
      <c r="CK2942">
        <f>IF(ISNUMBER(CI2942),IF(CI2942&lt;$B$13,CI2942,""),"")</f>
        <v/>
      </c>
      <c r="CM2942">
        <f>IF(CH2942="","",IFERROR(IF(IF(AND(LEN(CH2942)=9,ISERROR(FIND("-",LEFT(CH2942,8))),ISNUMBER(-LEFT(CH2942,8))),VALUE(LEFT(CH2942,4)),VALUE(LEFT(CH2942,FIND("-",CH2942)-1)))&lt;100,IF(AND(LEN(CH2942)=9,ISERROR(FIND("-",LEFT(CH2942,8))),ISNUMBER(-LEFT(CH2942,8))),VALUE(LEFT(CH2942,4)),VALUE(LEFT(CH2942,FIND("-",CH2942)-1)))+2000,IF(AND(LEN(CH2942)=9,ISERROR(FIND("-",LEFT(CH2942,8))),ISNUMBER(-LEFT(CH2942,8))),VALUE(LEFT(CH2942,4)),VALUE(LEFT(CH2942,FIND("-",CH2942)-1)))),""))</f>
        <v/>
      </c>
      <c r="CN2942">
        <f>IF(CH2942="","",IFERROR(IF(AND(LEN(CH2942)=9,ISERROR(FIND("-",LEFT(CH2942,8))),ISNUMBER(-LEFT(CH2942,8))),VALUE(MID(CH2942,5,2)),VALUE(MID(CH2942,FIND("-",CH2942)+1,FIND("-",CH2942,FIND("-",CH2942)+1)-FIND("-",CH2942)-1))),""))</f>
        <v/>
      </c>
      <c r="CO2942">
        <f>IF(CH2942="","",IFERROR(IF(AND(LEN(CH2942)=9,ISERROR(FIND("-",LEFT(CH2942,8))),ISNUMBER(-LEFT(CH2942,8))),VALUE(MID(CH2942,7,2)),VALUE(MID(CH2942,FIND("-",CH2942,FIND("-",CH2942)+1)+1,FIND("-",CH2942,FIND("-",CH2942,FIND("-",CH2942)+1)+1)-FIND("-",CH2942,FIND("-",CH2942)+1)-1))),""))</f>
        <v/>
      </c>
    </row>
    <row r="2943">
      <c r="CH2943">
        <f>IF(ISTEXT('월 가계부'!A2943),SUBSTITUTE(SUBSTITUTE(SUBSTITUTE(SUBSTITUTE(SUBSTITUTE(SUBSTITUTE(SUBSTITUTE(SUBSTITUTE(SUBSTITUTE(TRIM('월 가계부'!A2943),"년","-"),"월","-"),"일",""),".","-"),"/","-")," ","-"),"--","-"),"--","-"),"--","-")&amp;"-","")</f>
        <v/>
      </c>
      <c r="CI2943">
        <f>IFERROR(IF('월 가계부'!A2943="","",IF(ISNUMBER('월 가계부'!A2943),IF(AND('월 가계부'!A2943&gt;=19000101,'월 가계부'!A2943&lt;=21001231),IF(AND(MOD(INT('월 가계부'!A2943/100),100)&gt;=1,MOD(INT('월 가계부'!A2943/100),100)&lt;=12,MOD(INT('월 가계부'!A2943),100)&gt;=1,MOD(INT('월 가계부'!A2943),100)&lt;=31),IF(MONTH(DATE(INT('월 가계부'!A2943/10000),MOD(INT('월 가계부'!A2943/100),100),MOD(INT('월 가계부'!A2943),100)))=MOD(INT('월 가계부'!A2943/100),100),DATE(INT('월 가계부'!A2943/10000),MOD(INT('월 가계부'!A2943/100),100),MOD(INT('월 가계부'!A2943),100)),""),""),IF(AND('월 가계부'!A2943&gt;=36526,'월 가계부'!A2943&lt;73051),INT('월 가계부'!A2943),"")),IF(OR(CM2943="",CN2943="",CO2943=""),"",IF(AND(CM2943&gt;=2000,CM2943&lt;=2099,CN2943&gt;=1,CN2943&lt;=12,CO2943&gt;=1,CO2943&lt;=31),IF(MONTH(DATE(CM2943,CN2943,CO2943))=CN2943,DATE(CM2943,CN2943,CO2943),""),"")))),"")</f>
        <v/>
      </c>
      <c r="CJ2943">
        <f>IFERROR(IF('월 가계부'!C2943="","",IF(ISNUMBER('월 가계부'!C2943),'월 가계부'!C2943,VALUE(SUBSTITUTE(SUBSTITUTE(SUBSTITUTE(SUBSTITUTE(TRIM('월 가계부'!C2943),",",""),"원","")," ",""),"−","-")))),"")</f>
        <v/>
      </c>
      <c r="CK2943">
        <f>IF(ISNUMBER(CI2943),IF(CI2943&lt;$B$13,CI2943,""),"")</f>
        <v/>
      </c>
      <c r="CM2943">
        <f>IF(CH2943="","",IFERROR(IF(IF(AND(LEN(CH2943)=9,ISERROR(FIND("-",LEFT(CH2943,8))),ISNUMBER(-LEFT(CH2943,8))),VALUE(LEFT(CH2943,4)),VALUE(LEFT(CH2943,FIND("-",CH2943)-1)))&lt;100,IF(AND(LEN(CH2943)=9,ISERROR(FIND("-",LEFT(CH2943,8))),ISNUMBER(-LEFT(CH2943,8))),VALUE(LEFT(CH2943,4)),VALUE(LEFT(CH2943,FIND("-",CH2943)-1)))+2000,IF(AND(LEN(CH2943)=9,ISERROR(FIND("-",LEFT(CH2943,8))),ISNUMBER(-LEFT(CH2943,8))),VALUE(LEFT(CH2943,4)),VALUE(LEFT(CH2943,FIND("-",CH2943)-1)))),""))</f>
        <v/>
      </c>
      <c r="CN2943">
        <f>IF(CH2943="","",IFERROR(IF(AND(LEN(CH2943)=9,ISERROR(FIND("-",LEFT(CH2943,8))),ISNUMBER(-LEFT(CH2943,8))),VALUE(MID(CH2943,5,2)),VALUE(MID(CH2943,FIND("-",CH2943)+1,FIND("-",CH2943,FIND("-",CH2943)+1)-FIND("-",CH2943)-1))),""))</f>
        <v/>
      </c>
      <c r="CO2943">
        <f>IF(CH2943="","",IFERROR(IF(AND(LEN(CH2943)=9,ISERROR(FIND("-",LEFT(CH2943,8))),ISNUMBER(-LEFT(CH2943,8))),VALUE(MID(CH2943,7,2)),VALUE(MID(CH2943,FIND("-",CH2943,FIND("-",CH2943)+1)+1,FIND("-",CH2943,FIND("-",CH2943,FIND("-",CH2943)+1)+1)-FIND("-",CH2943,FIND("-",CH2943)+1)-1))),""))</f>
        <v/>
      </c>
    </row>
    <row r="2944">
      <c r="CH2944">
        <f>IF(ISTEXT('월 가계부'!A2944),SUBSTITUTE(SUBSTITUTE(SUBSTITUTE(SUBSTITUTE(SUBSTITUTE(SUBSTITUTE(SUBSTITUTE(SUBSTITUTE(SUBSTITUTE(TRIM('월 가계부'!A2944),"년","-"),"월","-"),"일",""),".","-"),"/","-")," ","-"),"--","-"),"--","-"),"--","-")&amp;"-","")</f>
        <v/>
      </c>
      <c r="CI2944">
        <f>IFERROR(IF('월 가계부'!A2944="","",IF(ISNUMBER('월 가계부'!A2944),IF(AND('월 가계부'!A2944&gt;=19000101,'월 가계부'!A2944&lt;=21001231),IF(AND(MOD(INT('월 가계부'!A2944/100),100)&gt;=1,MOD(INT('월 가계부'!A2944/100),100)&lt;=12,MOD(INT('월 가계부'!A2944),100)&gt;=1,MOD(INT('월 가계부'!A2944),100)&lt;=31),IF(MONTH(DATE(INT('월 가계부'!A2944/10000),MOD(INT('월 가계부'!A2944/100),100),MOD(INT('월 가계부'!A2944),100)))=MOD(INT('월 가계부'!A2944/100),100),DATE(INT('월 가계부'!A2944/10000),MOD(INT('월 가계부'!A2944/100),100),MOD(INT('월 가계부'!A2944),100)),""),""),IF(AND('월 가계부'!A2944&gt;=36526,'월 가계부'!A2944&lt;73051),INT('월 가계부'!A2944),"")),IF(OR(CM2944="",CN2944="",CO2944=""),"",IF(AND(CM2944&gt;=2000,CM2944&lt;=2099,CN2944&gt;=1,CN2944&lt;=12,CO2944&gt;=1,CO2944&lt;=31),IF(MONTH(DATE(CM2944,CN2944,CO2944))=CN2944,DATE(CM2944,CN2944,CO2944),""),"")))),"")</f>
        <v/>
      </c>
      <c r="CJ2944">
        <f>IFERROR(IF('월 가계부'!C2944="","",IF(ISNUMBER('월 가계부'!C2944),'월 가계부'!C2944,VALUE(SUBSTITUTE(SUBSTITUTE(SUBSTITUTE(SUBSTITUTE(TRIM('월 가계부'!C2944),",",""),"원","")," ",""),"−","-")))),"")</f>
        <v/>
      </c>
      <c r="CK2944">
        <f>IF(ISNUMBER(CI2944),IF(CI2944&lt;$B$13,CI2944,""),"")</f>
        <v/>
      </c>
      <c r="CM2944">
        <f>IF(CH2944="","",IFERROR(IF(IF(AND(LEN(CH2944)=9,ISERROR(FIND("-",LEFT(CH2944,8))),ISNUMBER(-LEFT(CH2944,8))),VALUE(LEFT(CH2944,4)),VALUE(LEFT(CH2944,FIND("-",CH2944)-1)))&lt;100,IF(AND(LEN(CH2944)=9,ISERROR(FIND("-",LEFT(CH2944,8))),ISNUMBER(-LEFT(CH2944,8))),VALUE(LEFT(CH2944,4)),VALUE(LEFT(CH2944,FIND("-",CH2944)-1)))+2000,IF(AND(LEN(CH2944)=9,ISERROR(FIND("-",LEFT(CH2944,8))),ISNUMBER(-LEFT(CH2944,8))),VALUE(LEFT(CH2944,4)),VALUE(LEFT(CH2944,FIND("-",CH2944)-1)))),""))</f>
        <v/>
      </c>
      <c r="CN2944">
        <f>IF(CH2944="","",IFERROR(IF(AND(LEN(CH2944)=9,ISERROR(FIND("-",LEFT(CH2944,8))),ISNUMBER(-LEFT(CH2944,8))),VALUE(MID(CH2944,5,2)),VALUE(MID(CH2944,FIND("-",CH2944)+1,FIND("-",CH2944,FIND("-",CH2944)+1)-FIND("-",CH2944)-1))),""))</f>
        <v/>
      </c>
      <c r="CO2944">
        <f>IF(CH2944="","",IFERROR(IF(AND(LEN(CH2944)=9,ISERROR(FIND("-",LEFT(CH2944,8))),ISNUMBER(-LEFT(CH2944,8))),VALUE(MID(CH2944,7,2)),VALUE(MID(CH2944,FIND("-",CH2944,FIND("-",CH2944)+1)+1,FIND("-",CH2944,FIND("-",CH2944,FIND("-",CH2944)+1)+1)-FIND("-",CH2944,FIND("-",CH2944)+1)-1))),""))</f>
        <v/>
      </c>
    </row>
    <row r="2945">
      <c r="CH2945">
        <f>IF(ISTEXT('월 가계부'!A2945),SUBSTITUTE(SUBSTITUTE(SUBSTITUTE(SUBSTITUTE(SUBSTITUTE(SUBSTITUTE(SUBSTITUTE(SUBSTITUTE(SUBSTITUTE(TRIM('월 가계부'!A2945),"년","-"),"월","-"),"일",""),".","-"),"/","-")," ","-"),"--","-"),"--","-"),"--","-")&amp;"-","")</f>
        <v/>
      </c>
      <c r="CI2945">
        <f>IFERROR(IF('월 가계부'!A2945="","",IF(ISNUMBER('월 가계부'!A2945),IF(AND('월 가계부'!A2945&gt;=19000101,'월 가계부'!A2945&lt;=21001231),IF(AND(MOD(INT('월 가계부'!A2945/100),100)&gt;=1,MOD(INT('월 가계부'!A2945/100),100)&lt;=12,MOD(INT('월 가계부'!A2945),100)&gt;=1,MOD(INT('월 가계부'!A2945),100)&lt;=31),IF(MONTH(DATE(INT('월 가계부'!A2945/10000),MOD(INT('월 가계부'!A2945/100),100),MOD(INT('월 가계부'!A2945),100)))=MOD(INT('월 가계부'!A2945/100),100),DATE(INT('월 가계부'!A2945/10000),MOD(INT('월 가계부'!A2945/100),100),MOD(INT('월 가계부'!A2945),100)),""),""),IF(AND('월 가계부'!A2945&gt;=36526,'월 가계부'!A2945&lt;73051),INT('월 가계부'!A2945),"")),IF(OR(CM2945="",CN2945="",CO2945=""),"",IF(AND(CM2945&gt;=2000,CM2945&lt;=2099,CN2945&gt;=1,CN2945&lt;=12,CO2945&gt;=1,CO2945&lt;=31),IF(MONTH(DATE(CM2945,CN2945,CO2945))=CN2945,DATE(CM2945,CN2945,CO2945),""),"")))),"")</f>
        <v/>
      </c>
      <c r="CJ2945">
        <f>IFERROR(IF('월 가계부'!C2945="","",IF(ISNUMBER('월 가계부'!C2945),'월 가계부'!C2945,VALUE(SUBSTITUTE(SUBSTITUTE(SUBSTITUTE(SUBSTITUTE(TRIM('월 가계부'!C2945),",",""),"원","")," ",""),"−","-")))),"")</f>
        <v/>
      </c>
      <c r="CK2945">
        <f>IF(ISNUMBER(CI2945),IF(CI2945&lt;$B$13,CI2945,""),"")</f>
        <v/>
      </c>
      <c r="CM2945">
        <f>IF(CH2945="","",IFERROR(IF(IF(AND(LEN(CH2945)=9,ISERROR(FIND("-",LEFT(CH2945,8))),ISNUMBER(-LEFT(CH2945,8))),VALUE(LEFT(CH2945,4)),VALUE(LEFT(CH2945,FIND("-",CH2945)-1)))&lt;100,IF(AND(LEN(CH2945)=9,ISERROR(FIND("-",LEFT(CH2945,8))),ISNUMBER(-LEFT(CH2945,8))),VALUE(LEFT(CH2945,4)),VALUE(LEFT(CH2945,FIND("-",CH2945)-1)))+2000,IF(AND(LEN(CH2945)=9,ISERROR(FIND("-",LEFT(CH2945,8))),ISNUMBER(-LEFT(CH2945,8))),VALUE(LEFT(CH2945,4)),VALUE(LEFT(CH2945,FIND("-",CH2945)-1)))),""))</f>
        <v/>
      </c>
      <c r="CN2945">
        <f>IF(CH2945="","",IFERROR(IF(AND(LEN(CH2945)=9,ISERROR(FIND("-",LEFT(CH2945,8))),ISNUMBER(-LEFT(CH2945,8))),VALUE(MID(CH2945,5,2)),VALUE(MID(CH2945,FIND("-",CH2945)+1,FIND("-",CH2945,FIND("-",CH2945)+1)-FIND("-",CH2945)-1))),""))</f>
        <v/>
      </c>
      <c r="CO2945">
        <f>IF(CH2945="","",IFERROR(IF(AND(LEN(CH2945)=9,ISERROR(FIND("-",LEFT(CH2945,8))),ISNUMBER(-LEFT(CH2945,8))),VALUE(MID(CH2945,7,2)),VALUE(MID(CH2945,FIND("-",CH2945,FIND("-",CH2945)+1)+1,FIND("-",CH2945,FIND("-",CH2945,FIND("-",CH2945)+1)+1)-FIND("-",CH2945,FIND("-",CH2945)+1)-1))),""))</f>
        <v/>
      </c>
    </row>
    <row r="2946">
      <c r="CH2946">
        <f>IF(ISTEXT('월 가계부'!A2946),SUBSTITUTE(SUBSTITUTE(SUBSTITUTE(SUBSTITUTE(SUBSTITUTE(SUBSTITUTE(SUBSTITUTE(SUBSTITUTE(SUBSTITUTE(TRIM('월 가계부'!A2946),"년","-"),"월","-"),"일",""),".","-"),"/","-")," ","-"),"--","-"),"--","-"),"--","-")&amp;"-","")</f>
        <v/>
      </c>
      <c r="CI2946">
        <f>IFERROR(IF('월 가계부'!A2946="","",IF(ISNUMBER('월 가계부'!A2946),IF(AND('월 가계부'!A2946&gt;=19000101,'월 가계부'!A2946&lt;=21001231),IF(AND(MOD(INT('월 가계부'!A2946/100),100)&gt;=1,MOD(INT('월 가계부'!A2946/100),100)&lt;=12,MOD(INT('월 가계부'!A2946),100)&gt;=1,MOD(INT('월 가계부'!A2946),100)&lt;=31),IF(MONTH(DATE(INT('월 가계부'!A2946/10000),MOD(INT('월 가계부'!A2946/100),100),MOD(INT('월 가계부'!A2946),100)))=MOD(INT('월 가계부'!A2946/100),100),DATE(INT('월 가계부'!A2946/10000),MOD(INT('월 가계부'!A2946/100),100),MOD(INT('월 가계부'!A2946),100)),""),""),IF(AND('월 가계부'!A2946&gt;=36526,'월 가계부'!A2946&lt;73051),INT('월 가계부'!A2946),"")),IF(OR(CM2946="",CN2946="",CO2946=""),"",IF(AND(CM2946&gt;=2000,CM2946&lt;=2099,CN2946&gt;=1,CN2946&lt;=12,CO2946&gt;=1,CO2946&lt;=31),IF(MONTH(DATE(CM2946,CN2946,CO2946))=CN2946,DATE(CM2946,CN2946,CO2946),""),"")))),"")</f>
        <v/>
      </c>
      <c r="CJ2946">
        <f>IFERROR(IF('월 가계부'!C2946="","",IF(ISNUMBER('월 가계부'!C2946),'월 가계부'!C2946,VALUE(SUBSTITUTE(SUBSTITUTE(SUBSTITUTE(SUBSTITUTE(TRIM('월 가계부'!C2946),",",""),"원","")," ",""),"−","-")))),"")</f>
        <v/>
      </c>
      <c r="CK2946">
        <f>IF(ISNUMBER(CI2946),IF(CI2946&lt;$B$13,CI2946,""),"")</f>
        <v/>
      </c>
      <c r="CM2946">
        <f>IF(CH2946="","",IFERROR(IF(IF(AND(LEN(CH2946)=9,ISERROR(FIND("-",LEFT(CH2946,8))),ISNUMBER(-LEFT(CH2946,8))),VALUE(LEFT(CH2946,4)),VALUE(LEFT(CH2946,FIND("-",CH2946)-1)))&lt;100,IF(AND(LEN(CH2946)=9,ISERROR(FIND("-",LEFT(CH2946,8))),ISNUMBER(-LEFT(CH2946,8))),VALUE(LEFT(CH2946,4)),VALUE(LEFT(CH2946,FIND("-",CH2946)-1)))+2000,IF(AND(LEN(CH2946)=9,ISERROR(FIND("-",LEFT(CH2946,8))),ISNUMBER(-LEFT(CH2946,8))),VALUE(LEFT(CH2946,4)),VALUE(LEFT(CH2946,FIND("-",CH2946)-1)))),""))</f>
        <v/>
      </c>
      <c r="CN2946">
        <f>IF(CH2946="","",IFERROR(IF(AND(LEN(CH2946)=9,ISERROR(FIND("-",LEFT(CH2946,8))),ISNUMBER(-LEFT(CH2946,8))),VALUE(MID(CH2946,5,2)),VALUE(MID(CH2946,FIND("-",CH2946)+1,FIND("-",CH2946,FIND("-",CH2946)+1)-FIND("-",CH2946)-1))),""))</f>
        <v/>
      </c>
      <c r="CO2946">
        <f>IF(CH2946="","",IFERROR(IF(AND(LEN(CH2946)=9,ISERROR(FIND("-",LEFT(CH2946,8))),ISNUMBER(-LEFT(CH2946,8))),VALUE(MID(CH2946,7,2)),VALUE(MID(CH2946,FIND("-",CH2946,FIND("-",CH2946)+1)+1,FIND("-",CH2946,FIND("-",CH2946,FIND("-",CH2946)+1)+1)-FIND("-",CH2946,FIND("-",CH2946)+1)-1))),""))</f>
        <v/>
      </c>
    </row>
    <row r="2947">
      <c r="CH2947">
        <f>IF(ISTEXT('월 가계부'!A2947),SUBSTITUTE(SUBSTITUTE(SUBSTITUTE(SUBSTITUTE(SUBSTITUTE(SUBSTITUTE(SUBSTITUTE(SUBSTITUTE(SUBSTITUTE(TRIM('월 가계부'!A2947),"년","-"),"월","-"),"일",""),".","-"),"/","-")," ","-"),"--","-"),"--","-"),"--","-")&amp;"-","")</f>
        <v/>
      </c>
      <c r="CI2947">
        <f>IFERROR(IF('월 가계부'!A2947="","",IF(ISNUMBER('월 가계부'!A2947),IF(AND('월 가계부'!A2947&gt;=19000101,'월 가계부'!A2947&lt;=21001231),IF(AND(MOD(INT('월 가계부'!A2947/100),100)&gt;=1,MOD(INT('월 가계부'!A2947/100),100)&lt;=12,MOD(INT('월 가계부'!A2947),100)&gt;=1,MOD(INT('월 가계부'!A2947),100)&lt;=31),IF(MONTH(DATE(INT('월 가계부'!A2947/10000),MOD(INT('월 가계부'!A2947/100),100),MOD(INT('월 가계부'!A2947),100)))=MOD(INT('월 가계부'!A2947/100),100),DATE(INT('월 가계부'!A2947/10000),MOD(INT('월 가계부'!A2947/100),100),MOD(INT('월 가계부'!A2947),100)),""),""),IF(AND('월 가계부'!A2947&gt;=36526,'월 가계부'!A2947&lt;73051),INT('월 가계부'!A2947),"")),IF(OR(CM2947="",CN2947="",CO2947=""),"",IF(AND(CM2947&gt;=2000,CM2947&lt;=2099,CN2947&gt;=1,CN2947&lt;=12,CO2947&gt;=1,CO2947&lt;=31),IF(MONTH(DATE(CM2947,CN2947,CO2947))=CN2947,DATE(CM2947,CN2947,CO2947),""),"")))),"")</f>
        <v/>
      </c>
      <c r="CJ2947">
        <f>IFERROR(IF('월 가계부'!C2947="","",IF(ISNUMBER('월 가계부'!C2947),'월 가계부'!C2947,VALUE(SUBSTITUTE(SUBSTITUTE(SUBSTITUTE(SUBSTITUTE(TRIM('월 가계부'!C2947),",",""),"원","")," ",""),"−","-")))),"")</f>
        <v/>
      </c>
      <c r="CK2947">
        <f>IF(ISNUMBER(CI2947),IF(CI2947&lt;$B$13,CI2947,""),"")</f>
        <v/>
      </c>
      <c r="CM2947">
        <f>IF(CH2947="","",IFERROR(IF(IF(AND(LEN(CH2947)=9,ISERROR(FIND("-",LEFT(CH2947,8))),ISNUMBER(-LEFT(CH2947,8))),VALUE(LEFT(CH2947,4)),VALUE(LEFT(CH2947,FIND("-",CH2947)-1)))&lt;100,IF(AND(LEN(CH2947)=9,ISERROR(FIND("-",LEFT(CH2947,8))),ISNUMBER(-LEFT(CH2947,8))),VALUE(LEFT(CH2947,4)),VALUE(LEFT(CH2947,FIND("-",CH2947)-1)))+2000,IF(AND(LEN(CH2947)=9,ISERROR(FIND("-",LEFT(CH2947,8))),ISNUMBER(-LEFT(CH2947,8))),VALUE(LEFT(CH2947,4)),VALUE(LEFT(CH2947,FIND("-",CH2947)-1)))),""))</f>
        <v/>
      </c>
      <c r="CN2947">
        <f>IF(CH2947="","",IFERROR(IF(AND(LEN(CH2947)=9,ISERROR(FIND("-",LEFT(CH2947,8))),ISNUMBER(-LEFT(CH2947,8))),VALUE(MID(CH2947,5,2)),VALUE(MID(CH2947,FIND("-",CH2947)+1,FIND("-",CH2947,FIND("-",CH2947)+1)-FIND("-",CH2947)-1))),""))</f>
        <v/>
      </c>
      <c r="CO2947">
        <f>IF(CH2947="","",IFERROR(IF(AND(LEN(CH2947)=9,ISERROR(FIND("-",LEFT(CH2947,8))),ISNUMBER(-LEFT(CH2947,8))),VALUE(MID(CH2947,7,2)),VALUE(MID(CH2947,FIND("-",CH2947,FIND("-",CH2947)+1)+1,FIND("-",CH2947,FIND("-",CH2947,FIND("-",CH2947)+1)+1)-FIND("-",CH2947,FIND("-",CH2947)+1)-1))),""))</f>
        <v/>
      </c>
    </row>
    <row r="2948">
      <c r="CH2948">
        <f>IF(ISTEXT('월 가계부'!A2948),SUBSTITUTE(SUBSTITUTE(SUBSTITUTE(SUBSTITUTE(SUBSTITUTE(SUBSTITUTE(SUBSTITUTE(SUBSTITUTE(SUBSTITUTE(TRIM('월 가계부'!A2948),"년","-"),"월","-"),"일",""),".","-"),"/","-")," ","-"),"--","-"),"--","-"),"--","-")&amp;"-","")</f>
        <v/>
      </c>
      <c r="CI2948">
        <f>IFERROR(IF('월 가계부'!A2948="","",IF(ISNUMBER('월 가계부'!A2948),IF(AND('월 가계부'!A2948&gt;=19000101,'월 가계부'!A2948&lt;=21001231),IF(AND(MOD(INT('월 가계부'!A2948/100),100)&gt;=1,MOD(INT('월 가계부'!A2948/100),100)&lt;=12,MOD(INT('월 가계부'!A2948),100)&gt;=1,MOD(INT('월 가계부'!A2948),100)&lt;=31),IF(MONTH(DATE(INT('월 가계부'!A2948/10000),MOD(INT('월 가계부'!A2948/100),100),MOD(INT('월 가계부'!A2948),100)))=MOD(INT('월 가계부'!A2948/100),100),DATE(INT('월 가계부'!A2948/10000),MOD(INT('월 가계부'!A2948/100),100),MOD(INT('월 가계부'!A2948),100)),""),""),IF(AND('월 가계부'!A2948&gt;=36526,'월 가계부'!A2948&lt;73051),INT('월 가계부'!A2948),"")),IF(OR(CM2948="",CN2948="",CO2948=""),"",IF(AND(CM2948&gt;=2000,CM2948&lt;=2099,CN2948&gt;=1,CN2948&lt;=12,CO2948&gt;=1,CO2948&lt;=31),IF(MONTH(DATE(CM2948,CN2948,CO2948))=CN2948,DATE(CM2948,CN2948,CO2948),""),"")))),"")</f>
        <v/>
      </c>
      <c r="CJ2948">
        <f>IFERROR(IF('월 가계부'!C2948="","",IF(ISNUMBER('월 가계부'!C2948),'월 가계부'!C2948,VALUE(SUBSTITUTE(SUBSTITUTE(SUBSTITUTE(SUBSTITUTE(TRIM('월 가계부'!C2948),",",""),"원","")," ",""),"−","-")))),"")</f>
        <v/>
      </c>
      <c r="CK2948">
        <f>IF(ISNUMBER(CI2948),IF(CI2948&lt;$B$13,CI2948,""),"")</f>
        <v/>
      </c>
      <c r="CM2948">
        <f>IF(CH2948="","",IFERROR(IF(IF(AND(LEN(CH2948)=9,ISERROR(FIND("-",LEFT(CH2948,8))),ISNUMBER(-LEFT(CH2948,8))),VALUE(LEFT(CH2948,4)),VALUE(LEFT(CH2948,FIND("-",CH2948)-1)))&lt;100,IF(AND(LEN(CH2948)=9,ISERROR(FIND("-",LEFT(CH2948,8))),ISNUMBER(-LEFT(CH2948,8))),VALUE(LEFT(CH2948,4)),VALUE(LEFT(CH2948,FIND("-",CH2948)-1)))+2000,IF(AND(LEN(CH2948)=9,ISERROR(FIND("-",LEFT(CH2948,8))),ISNUMBER(-LEFT(CH2948,8))),VALUE(LEFT(CH2948,4)),VALUE(LEFT(CH2948,FIND("-",CH2948)-1)))),""))</f>
        <v/>
      </c>
      <c r="CN2948">
        <f>IF(CH2948="","",IFERROR(IF(AND(LEN(CH2948)=9,ISERROR(FIND("-",LEFT(CH2948,8))),ISNUMBER(-LEFT(CH2948,8))),VALUE(MID(CH2948,5,2)),VALUE(MID(CH2948,FIND("-",CH2948)+1,FIND("-",CH2948,FIND("-",CH2948)+1)-FIND("-",CH2948)-1))),""))</f>
        <v/>
      </c>
      <c r="CO2948">
        <f>IF(CH2948="","",IFERROR(IF(AND(LEN(CH2948)=9,ISERROR(FIND("-",LEFT(CH2948,8))),ISNUMBER(-LEFT(CH2948,8))),VALUE(MID(CH2948,7,2)),VALUE(MID(CH2948,FIND("-",CH2948,FIND("-",CH2948)+1)+1,FIND("-",CH2948,FIND("-",CH2948,FIND("-",CH2948)+1)+1)-FIND("-",CH2948,FIND("-",CH2948)+1)-1))),""))</f>
        <v/>
      </c>
    </row>
    <row r="2949">
      <c r="CH2949">
        <f>IF(ISTEXT('월 가계부'!A2949),SUBSTITUTE(SUBSTITUTE(SUBSTITUTE(SUBSTITUTE(SUBSTITUTE(SUBSTITUTE(SUBSTITUTE(SUBSTITUTE(SUBSTITUTE(TRIM('월 가계부'!A2949),"년","-"),"월","-"),"일",""),".","-"),"/","-")," ","-"),"--","-"),"--","-"),"--","-")&amp;"-","")</f>
        <v/>
      </c>
      <c r="CI2949">
        <f>IFERROR(IF('월 가계부'!A2949="","",IF(ISNUMBER('월 가계부'!A2949),IF(AND('월 가계부'!A2949&gt;=19000101,'월 가계부'!A2949&lt;=21001231),IF(AND(MOD(INT('월 가계부'!A2949/100),100)&gt;=1,MOD(INT('월 가계부'!A2949/100),100)&lt;=12,MOD(INT('월 가계부'!A2949),100)&gt;=1,MOD(INT('월 가계부'!A2949),100)&lt;=31),IF(MONTH(DATE(INT('월 가계부'!A2949/10000),MOD(INT('월 가계부'!A2949/100),100),MOD(INT('월 가계부'!A2949),100)))=MOD(INT('월 가계부'!A2949/100),100),DATE(INT('월 가계부'!A2949/10000),MOD(INT('월 가계부'!A2949/100),100),MOD(INT('월 가계부'!A2949),100)),""),""),IF(AND('월 가계부'!A2949&gt;=36526,'월 가계부'!A2949&lt;73051),INT('월 가계부'!A2949),"")),IF(OR(CM2949="",CN2949="",CO2949=""),"",IF(AND(CM2949&gt;=2000,CM2949&lt;=2099,CN2949&gt;=1,CN2949&lt;=12,CO2949&gt;=1,CO2949&lt;=31),IF(MONTH(DATE(CM2949,CN2949,CO2949))=CN2949,DATE(CM2949,CN2949,CO2949),""),"")))),"")</f>
        <v/>
      </c>
      <c r="CJ2949">
        <f>IFERROR(IF('월 가계부'!C2949="","",IF(ISNUMBER('월 가계부'!C2949),'월 가계부'!C2949,VALUE(SUBSTITUTE(SUBSTITUTE(SUBSTITUTE(SUBSTITUTE(TRIM('월 가계부'!C2949),",",""),"원","")," ",""),"−","-")))),"")</f>
        <v/>
      </c>
      <c r="CK2949">
        <f>IF(ISNUMBER(CI2949),IF(CI2949&lt;$B$13,CI2949,""),"")</f>
        <v/>
      </c>
      <c r="CM2949">
        <f>IF(CH2949="","",IFERROR(IF(IF(AND(LEN(CH2949)=9,ISERROR(FIND("-",LEFT(CH2949,8))),ISNUMBER(-LEFT(CH2949,8))),VALUE(LEFT(CH2949,4)),VALUE(LEFT(CH2949,FIND("-",CH2949)-1)))&lt;100,IF(AND(LEN(CH2949)=9,ISERROR(FIND("-",LEFT(CH2949,8))),ISNUMBER(-LEFT(CH2949,8))),VALUE(LEFT(CH2949,4)),VALUE(LEFT(CH2949,FIND("-",CH2949)-1)))+2000,IF(AND(LEN(CH2949)=9,ISERROR(FIND("-",LEFT(CH2949,8))),ISNUMBER(-LEFT(CH2949,8))),VALUE(LEFT(CH2949,4)),VALUE(LEFT(CH2949,FIND("-",CH2949)-1)))),""))</f>
        <v/>
      </c>
      <c r="CN2949">
        <f>IF(CH2949="","",IFERROR(IF(AND(LEN(CH2949)=9,ISERROR(FIND("-",LEFT(CH2949,8))),ISNUMBER(-LEFT(CH2949,8))),VALUE(MID(CH2949,5,2)),VALUE(MID(CH2949,FIND("-",CH2949)+1,FIND("-",CH2949,FIND("-",CH2949)+1)-FIND("-",CH2949)-1))),""))</f>
        <v/>
      </c>
      <c r="CO2949">
        <f>IF(CH2949="","",IFERROR(IF(AND(LEN(CH2949)=9,ISERROR(FIND("-",LEFT(CH2949,8))),ISNUMBER(-LEFT(CH2949,8))),VALUE(MID(CH2949,7,2)),VALUE(MID(CH2949,FIND("-",CH2949,FIND("-",CH2949)+1)+1,FIND("-",CH2949,FIND("-",CH2949,FIND("-",CH2949)+1)+1)-FIND("-",CH2949,FIND("-",CH2949)+1)-1))),""))</f>
        <v/>
      </c>
    </row>
    <row r="2950">
      <c r="CH2950">
        <f>IF(ISTEXT('월 가계부'!A2950),SUBSTITUTE(SUBSTITUTE(SUBSTITUTE(SUBSTITUTE(SUBSTITUTE(SUBSTITUTE(SUBSTITUTE(SUBSTITUTE(SUBSTITUTE(TRIM('월 가계부'!A2950),"년","-"),"월","-"),"일",""),".","-"),"/","-")," ","-"),"--","-"),"--","-"),"--","-")&amp;"-","")</f>
        <v/>
      </c>
      <c r="CI2950">
        <f>IFERROR(IF('월 가계부'!A2950="","",IF(ISNUMBER('월 가계부'!A2950),IF(AND('월 가계부'!A2950&gt;=19000101,'월 가계부'!A2950&lt;=21001231),IF(AND(MOD(INT('월 가계부'!A2950/100),100)&gt;=1,MOD(INT('월 가계부'!A2950/100),100)&lt;=12,MOD(INT('월 가계부'!A2950),100)&gt;=1,MOD(INT('월 가계부'!A2950),100)&lt;=31),IF(MONTH(DATE(INT('월 가계부'!A2950/10000),MOD(INT('월 가계부'!A2950/100),100),MOD(INT('월 가계부'!A2950),100)))=MOD(INT('월 가계부'!A2950/100),100),DATE(INT('월 가계부'!A2950/10000),MOD(INT('월 가계부'!A2950/100),100),MOD(INT('월 가계부'!A2950),100)),""),""),IF(AND('월 가계부'!A2950&gt;=36526,'월 가계부'!A2950&lt;73051),INT('월 가계부'!A2950),"")),IF(OR(CM2950="",CN2950="",CO2950=""),"",IF(AND(CM2950&gt;=2000,CM2950&lt;=2099,CN2950&gt;=1,CN2950&lt;=12,CO2950&gt;=1,CO2950&lt;=31),IF(MONTH(DATE(CM2950,CN2950,CO2950))=CN2950,DATE(CM2950,CN2950,CO2950),""),"")))),"")</f>
        <v/>
      </c>
      <c r="CJ2950">
        <f>IFERROR(IF('월 가계부'!C2950="","",IF(ISNUMBER('월 가계부'!C2950),'월 가계부'!C2950,VALUE(SUBSTITUTE(SUBSTITUTE(SUBSTITUTE(SUBSTITUTE(TRIM('월 가계부'!C2950),",",""),"원","")," ",""),"−","-")))),"")</f>
        <v/>
      </c>
      <c r="CK2950">
        <f>IF(ISNUMBER(CI2950),IF(CI2950&lt;$B$13,CI2950,""),"")</f>
        <v/>
      </c>
      <c r="CM2950">
        <f>IF(CH2950="","",IFERROR(IF(IF(AND(LEN(CH2950)=9,ISERROR(FIND("-",LEFT(CH2950,8))),ISNUMBER(-LEFT(CH2950,8))),VALUE(LEFT(CH2950,4)),VALUE(LEFT(CH2950,FIND("-",CH2950)-1)))&lt;100,IF(AND(LEN(CH2950)=9,ISERROR(FIND("-",LEFT(CH2950,8))),ISNUMBER(-LEFT(CH2950,8))),VALUE(LEFT(CH2950,4)),VALUE(LEFT(CH2950,FIND("-",CH2950)-1)))+2000,IF(AND(LEN(CH2950)=9,ISERROR(FIND("-",LEFT(CH2950,8))),ISNUMBER(-LEFT(CH2950,8))),VALUE(LEFT(CH2950,4)),VALUE(LEFT(CH2950,FIND("-",CH2950)-1)))),""))</f>
        <v/>
      </c>
      <c r="CN2950">
        <f>IF(CH2950="","",IFERROR(IF(AND(LEN(CH2950)=9,ISERROR(FIND("-",LEFT(CH2950,8))),ISNUMBER(-LEFT(CH2950,8))),VALUE(MID(CH2950,5,2)),VALUE(MID(CH2950,FIND("-",CH2950)+1,FIND("-",CH2950,FIND("-",CH2950)+1)-FIND("-",CH2950)-1))),""))</f>
        <v/>
      </c>
      <c r="CO2950">
        <f>IF(CH2950="","",IFERROR(IF(AND(LEN(CH2950)=9,ISERROR(FIND("-",LEFT(CH2950,8))),ISNUMBER(-LEFT(CH2950,8))),VALUE(MID(CH2950,7,2)),VALUE(MID(CH2950,FIND("-",CH2950,FIND("-",CH2950)+1)+1,FIND("-",CH2950,FIND("-",CH2950,FIND("-",CH2950)+1)+1)-FIND("-",CH2950,FIND("-",CH2950)+1)-1))),""))</f>
        <v/>
      </c>
    </row>
    <row r="2951">
      <c r="CH2951">
        <f>IF(ISTEXT('월 가계부'!A2951),SUBSTITUTE(SUBSTITUTE(SUBSTITUTE(SUBSTITUTE(SUBSTITUTE(SUBSTITUTE(SUBSTITUTE(SUBSTITUTE(SUBSTITUTE(TRIM('월 가계부'!A2951),"년","-"),"월","-"),"일",""),".","-"),"/","-")," ","-"),"--","-"),"--","-"),"--","-")&amp;"-","")</f>
        <v/>
      </c>
      <c r="CI2951">
        <f>IFERROR(IF('월 가계부'!A2951="","",IF(ISNUMBER('월 가계부'!A2951),IF(AND('월 가계부'!A2951&gt;=19000101,'월 가계부'!A2951&lt;=21001231),IF(AND(MOD(INT('월 가계부'!A2951/100),100)&gt;=1,MOD(INT('월 가계부'!A2951/100),100)&lt;=12,MOD(INT('월 가계부'!A2951),100)&gt;=1,MOD(INT('월 가계부'!A2951),100)&lt;=31),IF(MONTH(DATE(INT('월 가계부'!A2951/10000),MOD(INT('월 가계부'!A2951/100),100),MOD(INT('월 가계부'!A2951),100)))=MOD(INT('월 가계부'!A2951/100),100),DATE(INT('월 가계부'!A2951/10000),MOD(INT('월 가계부'!A2951/100),100),MOD(INT('월 가계부'!A2951),100)),""),""),IF(AND('월 가계부'!A2951&gt;=36526,'월 가계부'!A2951&lt;73051),INT('월 가계부'!A2951),"")),IF(OR(CM2951="",CN2951="",CO2951=""),"",IF(AND(CM2951&gt;=2000,CM2951&lt;=2099,CN2951&gt;=1,CN2951&lt;=12,CO2951&gt;=1,CO2951&lt;=31),IF(MONTH(DATE(CM2951,CN2951,CO2951))=CN2951,DATE(CM2951,CN2951,CO2951),""),"")))),"")</f>
        <v/>
      </c>
      <c r="CJ2951">
        <f>IFERROR(IF('월 가계부'!C2951="","",IF(ISNUMBER('월 가계부'!C2951),'월 가계부'!C2951,VALUE(SUBSTITUTE(SUBSTITUTE(SUBSTITUTE(SUBSTITUTE(TRIM('월 가계부'!C2951),",",""),"원","")," ",""),"−","-")))),"")</f>
        <v/>
      </c>
      <c r="CK2951">
        <f>IF(ISNUMBER(CI2951),IF(CI2951&lt;$B$13,CI2951,""),"")</f>
        <v/>
      </c>
      <c r="CM2951">
        <f>IF(CH2951="","",IFERROR(IF(IF(AND(LEN(CH2951)=9,ISERROR(FIND("-",LEFT(CH2951,8))),ISNUMBER(-LEFT(CH2951,8))),VALUE(LEFT(CH2951,4)),VALUE(LEFT(CH2951,FIND("-",CH2951)-1)))&lt;100,IF(AND(LEN(CH2951)=9,ISERROR(FIND("-",LEFT(CH2951,8))),ISNUMBER(-LEFT(CH2951,8))),VALUE(LEFT(CH2951,4)),VALUE(LEFT(CH2951,FIND("-",CH2951)-1)))+2000,IF(AND(LEN(CH2951)=9,ISERROR(FIND("-",LEFT(CH2951,8))),ISNUMBER(-LEFT(CH2951,8))),VALUE(LEFT(CH2951,4)),VALUE(LEFT(CH2951,FIND("-",CH2951)-1)))),""))</f>
        <v/>
      </c>
      <c r="CN2951">
        <f>IF(CH2951="","",IFERROR(IF(AND(LEN(CH2951)=9,ISERROR(FIND("-",LEFT(CH2951,8))),ISNUMBER(-LEFT(CH2951,8))),VALUE(MID(CH2951,5,2)),VALUE(MID(CH2951,FIND("-",CH2951)+1,FIND("-",CH2951,FIND("-",CH2951)+1)-FIND("-",CH2951)-1))),""))</f>
        <v/>
      </c>
      <c r="CO2951">
        <f>IF(CH2951="","",IFERROR(IF(AND(LEN(CH2951)=9,ISERROR(FIND("-",LEFT(CH2951,8))),ISNUMBER(-LEFT(CH2951,8))),VALUE(MID(CH2951,7,2)),VALUE(MID(CH2951,FIND("-",CH2951,FIND("-",CH2951)+1)+1,FIND("-",CH2951,FIND("-",CH2951,FIND("-",CH2951)+1)+1)-FIND("-",CH2951,FIND("-",CH2951)+1)-1))),""))</f>
        <v/>
      </c>
    </row>
    <row r="2952">
      <c r="CH2952">
        <f>IF(ISTEXT('월 가계부'!A2952),SUBSTITUTE(SUBSTITUTE(SUBSTITUTE(SUBSTITUTE(SUBSTITUTE(SUBSTITUTE(SUBSTITUTE(SUBSTITUTE(SUBSTITUTE(TRIM('월 가계부'!A2952),"년","-"),"월","-"),"일",""),".","-"),"/","-")," ","-"),"--","-"),"--","-"),"--","-")&amp;"-","")</f>
        <v/>
      </c>
      <c r="CI2952">
        <f>IFERROR(IF('월 가계부'!A2952="","",IF(ISNUMBER('월 가계부'!A2952),IF(AND('월 가계부'!A2952&gt;=19000101,'월 가계부'!A2952&lt;=21001231),IF(AND(MOD(INT('월 가계부'!A2952/100),100)&gt;=1,MOD(INT('월 가계부'!A2952/100),100)&lt;=12,MOD(INT('월 가계부'!A2952),100)&gt;=1,MOD(INT('월 가계부'!A2952),100)&lt;=31),IF(MONTH(DATE(INT('월 가계부'!A2952/10000),MOD(INT('월 가계부'!A2952/100),100),MOD(INT('월 가계부'!A2952),100)))=MOD(INT('월 가계부'!A2952/100),100),DATE(INT('월 가계부'!A2952/10000),MOD(INT('월 가계부'!A2952/100),100),MOD(INT('월 가계부'!A2952),100)),""),""),IF(AND('월 가계부'!A2952&gt;=36526,'월 가계부'!A2952&lt;73051),INT('월 가계부'!A2952),"")),IF(OR(CM2952="",CN2952="",CO2952=""),"",IF(AND(CM2952&gt;=2000,CM2952&lt;=2099,CN2952&gt;=1,CN2952&lt;=12,CO2952&gt;=1,CO2952&lt;=31),IF(MONTH(DATE(CM2952,CN2952,CO2952))=CN2952,DATE(CM2952,CN2952,CO2952),""),"")))),"")</f>
        <v/>
      </c>
      <c r="CJ2952">
        <f>IFERROR(IF('월 가계부'!C2952="","",IF(ISNUMBER('월 가계부'!C2952),'월 가계부'!C2952,VALUE(SUBSTITUTE(SUBSTITUTE(SUBSTITUTE(SUBSTITUTE(TRIM('월 가계부'!C2952),",",""),"원","")," ",""),"−","-")))),"")</f>
        <v/>
      </c>
      <c r="CK2952">
        <f>IF(ISNUMBER(CI2952),IF(CI2952&lt;$B$13,CI2952,""),"")</f>
        <v/>
      </c>
      <c r="CM2952">
        <f>IF(CH2952="","",IFERROR(IF(IF(AND(LEN(CH2952)=9,ISERROR(FIND("-",LEFT(CH2952,8))),ISNUMBER(-LEFT(CH2952,8))),VALUE(LEFT(CH2952,4)),VALUE(LEFT(CH2952,FIND("-",CH2952)-1)))&lt;100,IF(AND(LEN(CH2952)=9,ISERROR(FIND("-",LEFT(CH2952,8))),ISNUMBER(-LEFT(CH2952,8))),VALUE(LEFT(CH2952,4)),VALUE(LEFT(CH2952,FIND("-",CH2952)-1)))+2000,IF(AND(LEN(CH2952)=9,ISERROR(FIND("-",LEFT(CH2952,8))),ISNUMBER(-LEFT(CH2952,8))),VALUE(LEFT(CH2952,4)),VALUE(LEFT(CH2952,FIND("-",CH2952)-1)))),""))</f>
        <v/>
      </c>
      <c r="CN2952">
        <f>IF(CH2952="","",IFERROR(IF(AND(LEN(CH2952)=9,ISERROR(FIND("-",LEFT(CH2952,8))),ISNUMBER(-LEFT(CH2952,8))),VALUE(MID(CH2952,5,2)),VALUE(MID(CH2952,FIND("-",CH2952)+1,FIND("-",CH2952,FIND("-",CH2952)+1)-FIND("-",CH2952)-1))),""))</f>
        <v/>
      </c>
      <c r="CO2952">
        <f>IF(CH2952="","",IFERROR(IF(AND(LEN(CH2952)=9,ISERROR(FIND("-",LEFT(CH2952,8))),ISNUMBER(-LEFT(CH2952,8))),VALUE(MID(CH2952,7,2)),VALUE(MID(CH2952,FIND("-",CH2952,FIND("-",CH2952)+1)+1,FIND("-",CH2952,FIND("-",CH2952,FIND("-",CH2952)+1)+1)-FIND("-",CH2952,FIND("-",CH2952)+1)-1))),""))</f>
        <v/>
      </c>
    </row>
    <row r="2953">
      <c r="CH2953">
        <f>IF(ISTEXT('월 가계부'!A2953),SUBSTITUTE(SUBSTITUTE(SUBSTITUTE(SUBSTITUTE(SUBSTITUTE(SUBSTITUTE(SUBSTITUTE(SUBSTITUTE(SUBSTITUTE(TRIM('월 가계부'!A2953),"년","-"),"월","-"),"일",""),".","-"),"/","-")," ","-"),"--","-"),"--","-"),"--","-")&amp;"-","")</f>
        <v/>
      </c>
      <c r="CI2953">
        <f>IFERROR(IF('월 가계부'!A2953="","",IF(ISNUMBER('월 가계부'!A2953),IF(AND('월 가계부'!A2953&gt;=19000101,'월 가계부'!A2953&lt;=21001231),IF(AND(MOD(INT('월 가계부'!A2953/100),100)&gt;=1,MOD(INT('월 가계부'!A2953/100),100)&lt;=12,MOD(INT('월 가계부'!A2953),100)&gt;=1,MOD(INT('월 가계부'!A2953),100)&lt;=31),IF(MONTH(DATE(INT('월 가계부'!A2953/10000),MOD(INT('월 가계부'!A2953/100),100),MOD(INT('월 가계부'!A2953),100)))=MOD(INT('월 가계부'!A2953/100),100),DATE(INT('월 가계부'!A2953/10000),MOD(INT('월 가계부'!A2953/100),100),MOD(INT('월 가계부'!A2953),100)),""),""),IF(AND('월 가계부'!A2953&gt;=36526,'월 가계부'!A2953&lt;73051),INT('월 가계부'!A2953),"")),IF(OR(CM2953="",CN2953="",CO2953=""),"",IF(AND(CM2953&gt;=2000,CM2953&lt;=2099,CN2953&gt;=1,CN2953&lt;=12,CO2953&gt;=1,CO2953&lt;=31),IF(MONTH(DATE(CM2953,CN2953,CO2953))=CN2953,DATE(CM2953,CN2953,CO2953),""),"")))),"")</f>
        <v/>
      </c>
      <c r="CJ2953">
        <f>IFERROR(IF('월 가계부'!C2953="","",IF(ISNUMBER('월 가계부'!C2953),'월 가계부'!C2953,VALUE(SUBSTITUTE(SUBSTITUTE(SUBSTITUTE(SUBSTITUTE(TRIM('월 가계부'!C2953),",",""),"원","")," ",""),"−","-")))),"")</f>
        <v/>
      </c>
      <c r="CK2953">
        <f>IF(ISNUMBER(CI2953),IF(CI2953&lt;$B$13,CI2953,""),"")</f>
        <v/>
      </c>
      <c r="CM2953">
        <f>IF(CH2953="","",IFERROR(IF(IF(AND(LEN(CH2953)=9,ISERROR(FIND("-",LEFT(CH2953,8))),ISNUMBER(-LEFT(CH2953,8))),VALUE(LEFT(CH2953,4)),VALUE(LEFT(CH2953,FIND("-",CH2953)-1)))&lt;100,IF(AND(LEN(CH2953)=9,ISERROR(FIND("-",LEFT(CH2953,8))),ISNUMBER(-LEFT(CH2953,8))),VALUE(LEFT(CH2953,4)),VALUE(LEFT(CH2953,FIND("-",CH2953)-1)))+2000,IF(AND(LEN(CH2953)=9,ISERROR(FIND("-",LEFT(CH2953,8))),ISNUMBER(-LEFT(CH2953,8))),VALUE(LEFT(CH2953,4)),VALUE(LEFT(CH2953,FIND("-",CH2953)-1)))),""))</f>
        <v/>
      </c>
      <c r="CN2953">
        <f>IF(CH2953="","",IFERROR(IF(AND(LEN(CH2953)=9,ISERROR(FIND("-",LEFT(CH2953,8))),ISNUMBER(-LEFT(CH2953,8))),VALUE(MID(CH2953,5,2)),VALUE(MID(CH2953,FIND("-",CH2953)+1,FIND("-",CH2953,FIND("-",CH2953)+1)-FIND("-",CH2953)-1))),""))</f>
        <v/>
      </c>
      <c r="CO2953">
        <f>IF(CH2953="","",IFERROR(IF(AND(LEN(CH2953)=9,ISERROR(FIND("-",LEFT(CH2953,8))),ISNUMBER(-LEFT(CH2953,8))),VALUE(MID(CH2953,7,2)),VALUE(MID(CH2953,FIND("-",CH2953,FIND("-",CH2953)+1)+1,FIND("-",CH2953,FIND("-",CH2953,FIND("-",CH2953)+1)+1)-FIND("-",CH2953,FIND("-",CH2953)+1)-1))),""))</f>
        <v/>
      </c>
    </row>
    <row r="2954">
      <c r="CH2954">
        <f>IF(ISTEXT('월 가계부'!A2954),SUBSTITUTE(SUBSTITUTE(SUBSTITUTE(SUBSTITUTE(SUBSTITUTE(SUBSTITUTE(SUBSTITUTE(SUBSTITUTE(SUBSTITUTE(TRIM('월 가계부'!A2954),"년","-"),"월","-"),"일",""),".","-"),"/","-")," ","-"),"--","-"),"--","-"),"--","-")&amp;"-","")</f>
        <v/>
      </c>
      <c r="CI2954">
        <f>IFERROR(IF('월 가계부'!A2954="","",IF(ISNUMBER('월 가계부'!A2954),IF(AND('월 가계부'!A2954&gt;=19000101,'월 가계부'!A2954&lt;=21001231),IF(AND(MOD(INT('월 가계부'!A2954/100),100)&gt;=1,MOD(INT('월 가계부'!A2954/100),100)&lt;=12,MOD(INT('월 가계부'!A2954),100)&gt;=1,MOD(INT('월 가계부'!A2954),100)&lt;=31),IF(MONTH(DATE(INT('월 가계부'!A2954/10000),MOD(INT('월 가계부'!A2954/100),100),MOD(INT('월 가계부'!A2954),100)))=MOD(INT('월 가계부'!A2954/100),100),DATE(INT('월 가계부'!A2954/10000),MOD(INT('월 가계부'!A2954/100),100),MOD(INT('월 가계부'!A2954),100)),""),""),IF(AND('월 가계부'!A2954&gt;=36526,'월 가계부'!A2954&lt;73051),INT('월 가계부'!A2954),"")),IF(OR(CM2954="",CN2954="",CO2954=""),"",IF(AND(CM2954&gt;=2000,CM2954&lt;=2099,CN2954&gt;=1,CN2954&lt;=12,CO2954&gt;=1,CO2954&lt;=31),IF(MONTH(DATE(CM2954,CN2954,CO2954))=CN2954,DATE(CM2954,CN2954,CO2954),""),"")))),"")</f>
        <v/>
      </c>
      <c r="CJ2954">
        <f>IFERROR(IF('월 가계부'!C2954="","",IF(ISNUMBER('월 가계부'!C2954),'월 가계부'!C2954,VALUE(SUBSTITUTE(SUBSTITUTE(SUBSTITUTE(SUBSTITUTE(TRIM('월 가계부'!C2954),",",""),"원","")," ",""),"−","-")))),"")</f>
        <v/>
      </c>
      <c r="CK2954">
        <f>IF(ISNUMBER(CI2954),IF(CI2954&lt;$B$13,CI2954,""),"")</f>
        <v/>
      </c>
      <c r="CM2954">
        <f>IF(CH2954="","",IFERROR(IF(IF(AND(LEN(CH2954)=9,ISERROR(FIND("-",LEFT(CH2954,8))),ISNUMBER(-LEFT(CH2954,8))),VALUE(LEFT(CH2954,4)),VALUE(LEFT(CH2954,FIND("-",CH2954)-1)))&lt;100,IF(AND(LEN(CH2954)=9,ISERROR(FIND("-",LEFT(CH2954,8))),ISNUMBER(-LEFT(CH2954,8))),VALUE(LEFT(CH2954,4)),VALUE(LEFT(CH2954,FIND("-",CH2954)-1)))+2000,IF(AND(LEN(CH2954)=9,ISERROR(FIND("-",LEFT(CH2954,8))),ISNUMBER(-LEFT(CH2954,8))),VALUE(LEFT(CH2954,4)),VALUE(LEFT(CH2954,FIND("-",CH2954)-1)))),""))</f>
        <v/>
      </c>
      <c r="CN2954">
        <f>IF(CH2954="","",IFERROR(IF(AND(LEN(CH2954)=9,ISERROR(FIND("-",LEFT(CH2954,8))),ISNUMBER(-LEFT(CH2954,8))),VALUE(MID(CH2954,5,2)),VALUE(MID(CH2954,FIND("-",CH2954)+1,FIND("-",CH2954,FIND("-",CH2954)+1)-FIND("-",CH2954)-1))),""))</f>
        <v/>
      </c>
      <c r="CO2954">
        <f>IF(CH2954="","",IFERROR(IF(AND(LEN(CH2954)=9,ISERROR(FIND("-",LEFT(CH2954,8))),ISNUMBER(-LEFT(CH2954,8))),VALUE(MID(CH2954,7,2)),VALUE(MID(CH2954,FIND("-",CH2954,FIND("-",CH2954)+1)+1,FIND("-",CH2954,FIND("-",CH2954,FIND("-",CH2954)+1)+1)-FIND("-",CH2954,FIND("-",CH2954)+1)-1))),""))</f>
        <v/>
      </c>
    </row>
    <row r="2955">
      <c r="CH2955">
        <f>IF(ISTEXT('월 가계부'!A2955),SUBSTITUTE(SUBSTITUTE(SUBSTITUTE(SUBSTITUTE(SUBSTITUTE(SUBSTITUTE(SUBSTITUTE(SUBSTITUTE(SUBSTITUTE(TRIM('월 가계부'!A2955),"년","-"),"월","-"),"일",""),".","-"),"/","-")," ","-"),"--","-"),"--","-"),"--","-")&amp;"-","")</f>
        <v/>
      </c>
      <c r="CI2955">
        <f>IFERROR(IF('월 가계부'!A2955="","",IF(ISNUMBER('월 가계부'!A2955),IF(AND('월 가계부'!A2955&gt;=19000101,'월 가계부'!A2955&lt;=21001231),IF(AND(MOD(INT('월 가계부'!A2955/100),100)&gt;=1,MOD(INT('월 가계부'!A2955/100),100)&lt;=12,MOD(INT('월 가계부'!A2955),100)&gt;=1,MOD(INT('월 가계부'!A2955),100)&lt;=31),IF(MONTH(DATE(INT('월 가계부'!A2955/10000),MOD(INT('월 가계부'!A2955/100),100),MOD(INT('월 가계부'!A2955),100)))=MOD(INT('월 가계부'!A2955/100),100),DATE(INT('월 가계부'!A2955/10000),MOD(INT('월 가계부'!A2955/100),100),MOD(INT('월 가계부'!A2955),100)),""),""),IF(AND('월 가계부'!A2955&gt;=36526,'월 가계부'!A2955&lt;73051),INT('월 가계부'!A2955),"")),IF(OR(CM2955="",CN2955="",CO2955=""),"",IF(AND(CM2955&gt;=2000,CM2955&lt;=2099,CN2955&gt;=1,CN2955&lt;=12,CO2955&gt;=1,CO2955&lt;=31),IF(MONTH(DATE(CM2955,CN2955,CO2955))=CN2955,DATE(CM2955,CN2955,CO2955),""),"")))),"")</f>
        <v/>
      </c>
      <c r="CJ2955">
        <f>IFERROR(IF('월 가계부'!C2955="","",IF(ISNUMBER('월 가계부'!C2955),'월 가계부'!C2955,VALUE(SUBSTITUTE(SUBSTITUTE(SUBSTITUTE(SUBSTITUTE(TRIM('월 가계부'!C2955),",",""),"원","")," ",""),"−","-")))),"")</f>
        <v/>
      </c>
      <c r="CK2955">
        <f>IF(ISNUMBER(CI2955),IF(CI2955&lt;$B$13,CI2955,""),"")</f>
        <v/>
      </c>
      <c r="CM2955">
        <f>IF(CH2955="","",IFERROR(IF(IF(AND(LEN(CH2955)=9,ISERROR(FIND("-",LEFT(CH2955,8))),ISNUMBER(-LEFT(CH2955,8))),VALUE(LEFT(CH2955,4)),VALUE(LEFT(CH2955,FIND("-",CH2955)-1)))&lt;100,IF(AND(LEN(CH2955)=9,ISERROR(FIND("-",LEFT(CH2955,8))),ISNUMBER(-LEFT(CH2955,8))),VALUE(LEFT(CH2955,4)),VALUE(LEFT(CH2955,FIND("-",CH2955)-1)))+2000,IF(AND(LEN(CH2955)=9,ISERROR(FIND("-",LEFT(CH2955,8))),ISNUMBER(-LEFT(CH2955,8))),VALUE(LEFT(CH2955,4)),VALUE(LEFT(CH2955,FIND("-",CH2955)-1)))),""))</f>
        <v/>
      </c>
      <c r="CN2955">
        <f>IF(CH2955="","",IFERROR(IF(AND(LEN(CH2955)=9,ISERROR(FIND("-",LEFT(CH2955,8))),ISNUMBER(-LEFT(CH2955,8))),VALUE(MID(CH2955,5,2)),VALUE(MID(CH2955,FIND("-",CH2955)+1,FIND("-",CH2955,FIND("-",CH2955)+1)-FIND("-",CH2955)-1))),""))</f>
        <v/>
      </c>
      <c r="CO2955">
        <f>IF(CH2955="","",IFERROR(IF(AND(LEN(CH2955)=9,ISERROR(FIND("-",LEFT(CH2955,8))),ISNUMBER(-LEFT(CH2955,8))),VALUE(MID(CH2955,7,2)),VALUE(MID(CH2955,FIND("-",CH2955,FIND("-",CH2955)+1)+1,FIND("-",CH2955,FIND("-",CH2955,FIND("-",CH2955)+1)+1)-FIND("-",CH2955,FIND("-",CH2955)+1)-1))),""))</f>
        <v/>
      </c>
    </row>
    <row r="2956">
      <c r="CH2956">
        <f>IF(ISTEXT('월 가계부'!A2956),SUBSTITUTE(SUBSTITUTE(SUBSTITUTE(SUBSTITUTE(SUBSTITUTE(SUBSTITUTE(SUBSTITUTE(SUBSTITUTE(SUBSTITUTE(TRIM('월 가계부'!A2956),"년","-"),"월","-"),"일",""),".","-"),"/","-")," ","-"),"--","-"),"--","-"),"--","-")&amp;"-","")</f>
        <v/>
      </c>
      <c r="CI2956">
        <f>IFERROR(IF('월 가계부'!A2956="","",IF(ISNUMBER('월 가계부'!A2956),IF(AND('월 가계부'!A2956&gt;=19000101,'월 가계부'!A2956&lt;=21001231),IF(AND(MOD(INT('월 가계부'!A2956/100),100)&gt;=1,MOD(INT('월 가계부'!A2956/100),100)&lt;=12,MOD(INT('월 가계부'!A2956),100)&gt;=1,MOD(INT('월 가계부'!A2956),100)&lt;=31),IF(MONTH(DATE(INT('월 가계부'!A2956/10000),MOD(INT('월 가계부'!A2956/100),100),MOD(INT('월 가계부'!A2956),100)))=MOD(INT('월 가계부'!A2956/100),100),DATE(INT('월 가계부'!A2956/10000),MOD(INT('월 가계부'!A2956/100),100),MOD(INT('월 가계부'!A2956),100)),""),""),IF(AND('월 가계부'!A2956&gt;=36526,'월 가계부'!A2956&lt;73051),INT('월 가계부'!A2956),"")),IF(OR(CM2956="",CN2956="",CO2956=""),"",IF(AND(CM2956&gt;=2000,CM2956&lt;=2099,CN2956&gt;=1,CN2956&lt;=12,CO2956&gt;=1,CO2956&lt;=31),IF(MONTH(DATE(CM2956,CN2956,CO2956))=CN2956,DATE(CM2956,CN2956,CO2956),""),"")))),"")</f>
        <v/>
      </c>
      <c r="CJ2956">
        <f>IFERROR(IF('월 가계부'!C2956="","",IF(ISNUMBER('월 가계부'!C2956),'월 가계부'!C2956,VALUE(SUBSTITUTE(SUBSTITUTE(SUBSTITUTE(SUBSTITUTE(TRIM('월 가계부'!C2956),",",""),"원","")," ",""),"−","-")))),"")</f>
        <v/>
      </c>
      <c r="CK2956">
        <f>IF(ISNUMBER(CI2956),IF(CI2956&lt;$B$13,CI2956,""),"")</f>
        <v/>
      </c>
      <c r="CM2956">
        <f>IF(CH2956="","",IFERROR(IF(IF(AND(LEN(CH2956)=9,ISERROR(FIND("-",LEFT(CH2956,8))),ISNUMBER(-LEFT(CH2956,8))),VALUE(LEFT(CH2956,4)),VALUE(LEFT(CH2956,FIND("-",CH2956)-1)))&lt;100,IF(AND(LEN(CH2956)=9,ISERROR(FIND("-",LEFT(CH2956,8))),ISNUMBER(-LEFT(CH2956,8))),VALUE(LEFT(CH2956,4)),VALUE(LEFT(CH2956,FIND("-",CH2956)-1)))+2000,IF(AND(LEN(CH2956)=9,ISERROR(FIND("-",LEFT(CH2956,8))),ISNUMBER(-LEFT(CH2956,8))),VALUE(LEFT(CH2956,4)),VALUE(LEFT(CH2956,FIND("-",CH2956)-1)))),""))</f>
        <v/>
      </c>
      <c r="CN2956">
        <f>IF(CH2956="","",IFERROR(IF(AND(LEN(CH2956)=9,ISERROR(FIND("-",LEFT(CH2956,8))),ISNUMBER(-LEFT(CH2956,8))),VALUE(MID(CH2956,5,2)),VALUE(MID(CH2956,FIND("-",CH2956)+1,FIND("-",CH2956,FIND("-",CH2956)+1)-FIND("-",CH2956)-1))),""))</f>
        <v/>
      </c>
      <c r="CO2956">
        <f>IF(CH2956="","",IFERROR(IF(AND(LEN(CH2956)=9,ISERROR(FIND("-",LEFT(CH2956,8))),ISNUMBER(-LEFT(CH2956,8))),VALUE(MID(CH2956,7,2)),VALUE(MID(CH2956,FIND("-",CH2956,FIND("-",CH2956)+1)+1,FIND("-",CH2956,FIND("-",CH2956,FIND("-",CH2956)+1)+1)-FIND("-",CH2956,FIND("-",CH2956)+1)-1))),""))</f>
        <v/>
      </c>
    </row>
    <row r="2957">
      <c r="CH2957">
        <f>IF(ISTEXT('월 가계부'!A2957),SUBSTITUTE(SUBSTITUTE(SUBSTITUTE(SUBSTITUTE(SUBSTITUTE(SUBSTITUTE(SUBSTITUTE(SUBSTITUTE(SUBSTITUTE(TRIM('월 가계부'!A2957),"년","-"),"월","-"),"일",""),".","-"),"/","-")," ","-"),"--","-"),"--","-"),"--","-")&amp;"-","")</f>
        <v/>
      </c>
      <c r="CI2957">
        <f>IFERROR(IF('월 가계부'!A2957="","",IF(ISNUMBER('월 가계부'!A2957),IF(AND('월 가계부'!A2957&gt;=19000101,'월 가계부'!A2957&lt;=21001231),IF(AND(MOD(INT('월 가계부'!A2957/100),100)&gt;=1,MOD(INT('월 가계부'!A2957/100),100)&lt;=12,MOD(INT('월 가계부'!A2957),100)&gt;=1,MOD(INT('월 가계부'!A2957),100)&lt;=31),IF(MONTH(DATE(INT('월 가계부'!A2957/10000),MOD(INT('월 가계부'!A2957/100),100),MOD(INT('월 가계부'!A2957),100)))=MOD(INT('월 가계부'!A2957/100),100),DATE(INT('월 가계부'!A2957/10000),MOD(INT('월 가계부'!A2957/100),100),MOD(INT('월 가계부'!A2957),100)),""),""),IF(AND('월 가계부'!A2957&gt;=36526,'월 가계부'!A2957&lt;73051),INT('월 가계부'!A2957),"")),IF(OR(CM2957="",CN2957="",CO2957=""),"",IF(AND(CM2957&gt;=2000,CM2957&lt;=2099,CN2957&gt;=1,CN2957&lt;=12,CO2957&gt;=1,CO2957&lt;=31),IF(MONTH(DATE(CM2957,CN2957,CO2957))=CN2957,DATE(CM2957,CN2957,CO2957),""),"")))),"")</f>
        <v/>
      </c>
      <c r="CJ2957">
        <f>IFERROR(IF('월 가계부'!C2957="","",IF(ISNUMBER('월 가계부'!C2957),'월 가계부'!C2957,VALUE(SUBSTITUTE(SUBSTITUTE(SUBSTITUTE(SUBSTITUTE(TRIM('월 가계부'!C2957),",",""),"원","")," ",""),"−","-")))),"")</f>
        <v/>
      </c>
      <c r="CK2957">
        <f>IF(ISNUMBER(CI2957),IF(CI2957&lt;$B$13,CI2957,""),"")</f>
        <v/>
      </c>
      <c r="CM2957">
        <f>IF(CH2957="","",IFERROR(IF(IF(AND(LEN(CH2957)=9,ISERROR(FIND("-",LEFT(CH2957,8))),ISNUMBER(-LEFT(CH2957,8))),VALUE(LEFT(CH2957,4)),VALUE(LEFT(CH2957,FIND("-",CH2957)-1)))&lt;100,IF(AND(LEN(CH2957)=9,ISERROR(FIND("-",LEFT(CH2957,8))),ISNUMBER(-LEFT(CH2957,8))),VALUE(LEFT(CH2957,4)),VALUE(LEFT(CH2957,FIND("-",CH2957)-1)))+2000,IF(AND(LEN(CH2957)=9,ISERROR(FIND("-",LEFT(CH2957,8))),ISNUMBER(-LEFT(CH2957,8))),VALUE(LEFT(CH2957,4)),VALUE(LEFT(CH2957,FIND("-",CH2957)-1)))),""))</f>
        <v/>
      </c>
      <c r="CN2957">
        <f>IF(CH2957="","",IFERROR(IF(AND(LEN(CH2957)=9,ISERROR(FIND("-",LEFT(CH2957,8))),ISNUMBER(-LEFT(CH2957,8))),VALUE(MID(CH2957,5,2)),VALUE(MID(CH2957,FIND("-",CH2957)+1,FIND("-",CH2957,FIND("-",CH2957)+1)-FIND("-",CH2957)-1))),""))</f>
        <v/>
      </c>
      <c r="CO2957">
        <f>IF(CH2957="","",IFERROR(IF(AND(LEN(CH2957)=9,ISERROR(FIND("-",LEFT(CH2957,8))),ISNUMBER(-LEFT(CH2957,8))),VALUE(MID(CH2957,7,2)),VALUE(MID(CH2957,FIND("-",CH2957,FIND("-",CH2957)+1)+1,FIND("-",CH2957,FIND("-",CH2957,FIND("-",CH2957)+1)+1)-FIND("-",CH2957,FIND("-",CH2957)+1)-1))),""))</f>
        <v/>
      </c>
    </row>
    <row r="2958">
      <c r="CH2958">
        <f>IF(ISTEXT('월 가계부'!A2958),SUBSTITUTE(SUBSTITUTE(SUBSTITUTE(SUBSTITUTE(SUBSTITUTE(SUBSTITUTE(SUBSTITUTE(SUBSTITUTE(SUBSTITUTE(TRIM('월 가계부'!A2958),"년","-"),"월","-"),"일",""),".","-"),"/","-")," ","-"),"--","-"),"--","-"),"--","-")&amp;"-","")</f>
        <v/>
      </c>
      <c r="CI2958">
        <f>IFERROR(IF('월 가계부'!A2958="","",IF(ISNUMBER('월 가계부'!A2958),IF(AND('월 가계부'!A2958&gt;=19000101,'월 가계부'!A2958&lt;=21001231),IF(AND(MOD(INT('월 가계부'!A2958/100),100)&gt;=1,MOD(INT('월 가계부'!A2958/100),100)&lt;=12,MOD(INT('월 가계부'!A2958),100)&gt;=1,MOD(INT('월 가계부'!A2958),100)&lt;=31),IF(MONTH(DATE(INT('월 가계부'!A2958/10000),MOD(INT('월 가계부'!A2958/100),100),MOD(INT('월 가계부'!A2958),100)))=MOD(INT('월 가계부'!A2958/100),100),DATE(INT('월 가계부'!A2958/10000),MOD(INT('월 가계부'!A2958/100),100),MOD(INT('월 가계부'!A2958),100)),""),""),IF(AND('월 가계부'!A2958&gt;=36526,'월 가계부'!A2958&lt;73051),INT('월 가계부'!A2958),"")),IF(OR(CM2958="",CN2958="",CO2958=""),"",IF(AND(CM2958&gt;=2000,CM2958&lt;=2099,CN2958&gt;=1,CN2958&lt;=12,CO2958&gt;=1,CO2958&lt;=31),IF(MONTH(DATE(CM2958,CN2958,CO2958))=CN2958,DATE(CM2958,CN2958,CO2958),""),"")))),"")</f>
        <v/>
      </c>
      <c r="CJ2958">
        <f>IFERROR(IF('월 가계부'!C2958="","",IF(ISNUMBER('월 가계부'!C2958),'월 가계부'!C2958,VALUE(SUBSTITUTE(SUBSTITUTE(SUBSTITUTE(SUBSTITUTE(TRIM('월 가계부'!C2958),",",""),"원","")," ",""),"−","-")))),"")</f>
        <v/>
      </c>
      <c r="CK2958">
        <f>IF(ISNUMBER(CI2958),IF(CI2958&lt;$B$13,CI2958,""),"")</f>
        <v/>
      </c>
      <c r="CM2958">
        <f>IF(CH2958="","",IFERROR(IF(IF(AND(LEN(CH2958)=9,ISERROR(FIND("-",LEFT(CH2958,8))),ISNUMBER(-LEFT(CH2958,8))),VALUE(LEFT(CH2958,4)),VALUE(LEFT(CH2958,FIND("-",CH2958)-1)))&lt;100,IF(AND(LEN(CH2958)=9,ISERROR(FIND("-",LEFT(CH2958,8))),ISNUMBER(-LEFT(CH2958,8))),VALUE(LEFT(CH2958,4)),VALUE(LEFT(CH2958,FIND("-",CH2958)-1)))+2000,IF(AND(LEN(CH2958)=9,ISERROR(FIND("-",LEFT(CH2958,8))),ISNUMBER(-LEFT(CH2958,8))),VALUE(LEFT(CH2958,4)),VALUE(LEFT(CH2958,FIND("-",CH2958)-1)))),""))</f>
        <v/>
      </c>
      <c r="CN2958">
        <f>IF(CH2958="","",IFERROR(IF(AND(LEN(CH2958)=9,ISERROR(FIND("-",LEFT(CH2958,8))),ISNUMBER(-LEFT(CH2958,8))),VALUE(MID(CH2958,5,2)),VALUE(MID(CH2958,FIND("-",CH2958)+1,FIND("-",CH2958,FIND("-",CH2958)+1)-FIND("-",CH2958)-1))),""))</f>
        <v/>
      </c>
      <c r="CO2958">
        <f>IF(CH2958="","",IFERROR(IF(AND(LEN(CH2958)=9,ISERROR(FIND("-",LEFT(CH2958,8))),ISNUMBER(-LEFT(CH2958,8))),VALUE(MID(CH2958,7,2)),VALUE(MID(CH2958,FIND("-",CH2958,FIND("-",CH2958)+1)+1,FIND("-",CH2958,FIND("-",CH2958,FIND("-",CH2958)+1)+1)-FIND("-",CH2958,FIND("-",CH2958)+1)-1))),""))</f>
        <v/>
      </c>
    </row>
    <row r="2959">
      <c r="CH2959">
        <f>IF(ISTEXT('월 가계부'!A2959),SUBSTITUTE(SUBSTITUTE(SUBSTITUTE(SUBSTITUTE(SUBSTITUTE(SUBSTITUTE(SUBSTITUTE(SUBSTITUTE(SUBSTITUTE(TRIM('월 가계부'!A2959),"년","-"),"월","-"),"일",""),".","-"),"/","-")," ","-"),"--","-"),"--","-"),"--","-")&amp;"-","")</f>
        <v/>
      </c>
      <c r="CI2959">
        <f>IFERROR(IF('월 가계부'!A2959="","",IF(ISNUMBER('월 가계부'!A2959),IF(AND('월 가계부'!A2959&gt;=19000101,'월 가계부'!A2959&lt;=21001231),IF(AND(MOD(INT('월 가계부'!A2959/100),100)&gt;=1,MOD(INT('월 가계부'!A2959/100),100)&lt;=12,MOD(INT('월 가계부'!A2959),100)&gt;=1,MOD(INT('월 가계부'!A2959),100)&lt;=31),IF(MONTH(DATE(INT('월 가계부'!A2959/10000),MOD(INT('월 가계부'!A2959/100),100),MOD(INT('월 가계부'!A2959),100)))=MOD(INT('월 가계부'!A2959/100),100),DATE(INT('월 가계부'!A2959/10000),MOD(INT('월 가계부'!A2959/100),100),MOD(INT('월 가계부'!A2959),100)),""),""),IF(AND('월 가계부'!A2959&gt;=36526,'월 가계부'!A2959&lt;73051),INT('월 가계부'!A2959),"")),IF(OR(CM2959="",CN2959="",CO2959=""),"",IF(AND(CM2959&gt;=2000,CM2959&lt;=2099,CN2959&gt;=1,CN2959&lt;=12,CO2959&gt;=1,CO2959&lt;=31),IF(MONTH(DATE(CM2959,CN2959,CO2959))=CN2959,DATE(CM2959,CN2959,CO2959),""),"")))),"")</f>
        <v/>
      </c>
      <c r="CJ2959">
        <f>IFERROR(IF('월 가계부'!C2959="","",IF(ISNUMBER('월 가계부'!C2959),'월 가계부'!C2959,VALUE(SUBSTITUTE(SUBSTITUTE(SUBSTITUTE(SUBSTITUTE(TRIM('월 가계부'!C2959),",",""),"원","")," ",""),"−","-")))),"")</f>
        <v/>
      </c>
      <c r="CK2959">
        <f>IF(ISNUMBER(CI2959),IF(CI2959&lt;$B$13,CI2959,""),"")</f>
        <v/>
      </c>
      <c r="CM2959">
        <f>IF(CH2959="","",IFERROR(IF(IF(AND(LEN(CH2959)=9,ISERROR(FIND("-",LEFT(CH2959,8))),ISNUMBER(-LEFT(CH2959,8))),VALUE(LEFT(CH2959,4)),VALUE(LEFT(CH2959,FIND("-",CH2959)-1)))&lt;100,IF(AND(LEN(CH2959)=9,ISERROR(FIND("-",LEFT(CH2959,8))),ISNUMBER(-LEFT(CH2959,8))),VALUE(LEFT(CH2959,4)),VALUE(LEFT(CH2959,FIND("-",CH2959)-1)))+2000,IF(AND(LEN(CH2959)=9,ISERROR(FIND("-",LEFT(CH2959,8))),ISNUMBER(-LEFT(CH2959,8))),VALUE(LEFT(CH2959,4)),VALUE(LEFT(CH2959,FIND("-",CH2959)-1)))),""))</f>
        <v/>
      </c>
      <c r="CN2959">
        <f>IF(CH2959="","",IFERROR(IF(AND(LEN(CH2959)=9,ISERROR(FIND("-",LEFT(CH2959,8))),ISNUMBER(-LEFT(CH2959,8))),VALUE(MID(CH2959,5,2)),VALUE(MID(CH2959,FIND("-",CH2959)+1,FIND("-",CH2959,FIND("-",CH2959)+1)-FIND("-",CH2959)-1))),""))</f>
        <v/>
      </c>
      <c r="CO2959">
        <f>IF(CH2959="","",IFERROR(IF(AND(LEN(CH2959)=9,ISERROR(FIND("-",LEFT(CH2959,8))),ISNUMBER(-LEFT(CH2959,8))),VALUE(MID(CH2959,7,2)),VALUE(MID(CH2959,FIND("-",CH2959,FIND("-",CH2959)+1)+1,FIND("-",CH2959,FIND("-",CH2959,FIND("-",CH2959)+1)+1)-FIND("-",CH2959,FIND("-",CH2959)+1)-1))),""))</f>
        <v/>
      </c>
    </row>
    <row r="2960">
      <c r="CH2960">
        <f>IF(ISTEXT('월 가계부'!A2960),SUBSTITUTE(SUBSTITUTE(SUBSTITUTE(SUBSTITUTE(SUBSTITUTE(SUBSTITUTE(SUBSTITUTE(SUBSTITUTE(SUBSTITUTE(TRIM('월 가계부'!A2960),"년","-"),"월","-"),"일",""),".","-"),"/","-")," ","-"),"--","-"),"--","-"),"--","-")&amp;"-","")</f>
        <v/>
      </c>
      <c r="CI2960">
        <f>IFERROR(IF('월 가계부'!A2960="","",IF(ISNUMBER('월 가계부'!A2960),IF(AND('월 가계부'!A2960&gt;=19000101,'월 가계부'!A2960&lt;=21001231),IF(AND(MOD(INT('월 가계부'!A2960/100),100)&gt;=1,MOD(INT('월 가계부'!A2960/100),100)&lt;=12,MOD(INT('월 가계부'!A2960),100)&gt;=1,MOD(INT('월 가계부'!A2960),100)&lt;=31),IF(MONTH(DATE(INT('월 가계부'!A2960/10000),MOD(INT('월 가계부'!A2960/100),100),MOD(INT('월 가계부'!A2960),100)))=MOD(INT('월 가계부'!A2960/100),100),DATE(INT('월 가계부'!A2960/10000),MOD(INT('월 가계부'!A2960/100),100),MOD(INT('월 가계부'!A2960),100)),""),""),IF(AND('월 가계부'!A2960&gt;=36526,'월 가계부'!A2960&lt;73051),INT('월 가계부'!A2960),"")),IF(OR(CM2960="",CN2960="",CO2960=""),"",IF(AND(CM2960&gt;=2000,CM2960&lt;=2099,CN2960&gt;=1,CN2960&lt;=12,CO2960&gt;=1,CO2960&lt;=31),IF(MONTH(DATE(CM2960,CN2960,CO2960))=CN2960,DATE(CM2960,CN2960,CO2960),""),"")))),"")</f>
        <v/>
      </c>
      <c r="CJ2960">
        <f>IFERROR(IF('월 가계부'!C2960="","",IF(ISNUMBER('월 가계부'!C2960),'월 가계부'!C2960,VALUE(SUBSTITUTE(SUBSTITUTE(SUBSTITUTE(SUBSTITUTE(TRIM('월 가계부'!C2960),",",""),"원","")," ",""),"−","-")))),"")</f>
        <v/>
      </c>
      <c r="CK2960">
        <f>IF(ISNUMBER(CI2960),IF(CI2960&lt;$B$13,CI2960,""),"")</f>
        <v/>
      </c>
      <c r="CM2960">
        <f>IF(CH2960="","",IFERROR(IF(IF(AND(LEN(CH2960)=9,ISERROR(FIND("-",LEFT(CH2960,8))),ISNUMBER(-LEFT(CH2960,8))),VALUE(LEFT(CH2960,4)),VALUE(LEFT(CH2960,FIND("-",CH2960)-1)))&lt;100,IF(AND(LEN(CH2960)=9,ISERROR(FIND("-",LEFT(CH2960,8))),ISNUMBER(-LEFT(CH2960,8))),VALUE(LEFT(CH2960,4)),VALUE(LEFT(CH2960,FIND("-",CH2960)-1)))+2000,IF(AND(LEN(CH2960)=9,ISERROR(FIND("-",LEFT(CH2960,8))),ISNUMBER(-LEFT(CH2960,8))),VALUE(LEFT(CH2960,4)),VALUE(LEFT(CH2960,FIND("-",CH2960)-1)))),""))</f>
        <v/>
      </c>
      <c r="CN2960">
        <f>IF(CH2960="","",IFERROR(IF(AND(LEN(CH2960)=9,ISERROR(FIND("-",LEFT(CH2960,8))),ISNUMBER(-LEFT(CH2960,8))),VALUE(MID(CH2960,5,2)),VALUE(MID(CH2960,FIND("-",CH2960)+1,FIND("-",CH2960,FIND("-",CH2960)+1)-FIND("-",CH2960)-1))),""))</f>
        <v/>
      </c>
      <c r="CO2960">
        <f>IF(CH2960="","",IFERROR(IF(AND(LEN(CH2960)=9,ISERROR(FIND("-",LEFT(CH2960,8))),ISNUMBER(-LEFT(CH2960,8))),VALUE(MID(CH2960,7,2)),VALUE(MID(CH2960,FIND("-",CH2960,FIND("-",CH2960)+1)+1,FIND("-",CH2960,FIND("-",CH2960,FIND("-",CH2960)+1)+1)-FIND("-",CH2960,FIND("-",CH2960)+1)-1))),""))</f>
        <v/>
      </c>
    </row>
    <row r="2961">
      <c r="CH2961">
        <f>IF(ISTEXT('월 가계부'!A2961),SUBSTITUTE(SUBSTITUTE(SUBSTITUTE(SUBSTITUTE(SUBSTITUTE(SUBSTITUTE(SUBSTITUTE(SUBSTITUTE(SUBSTITUTE(TRIM('월 가계부'!A2961),"년","-"),"월","-"),"일",""),".","-"),"/","-")," ","-"),"--","-"),"--","-"),"--","-")&amp;"-","")</f>
        <v/>
      </c>
      <c r="CI2961">
        <f>IFERROR(IF('월 가계부'!A2961="","",IF(ISNUMBER('월 가계부'!A2961),IF(AND('월 가계부'!A2961&gt;=19000101,'월 가계부'!A2961&lt;=21001231),IF(AND(MOD(INT('월 가계부'!A2961/100),100)&gt;=1,MOD(INT('월 가계부'!A2961/100),100)&lt;=12,MOD(INT('월 가계부'!A2961),100)&gt;=1,MOD(INT('월 가계부'!A2961),100)&lt;=31),IF(MONTH(DATE(INT('월 가계부'!A2961/10000),MOD(INT('월 가계부'!A2961/100),100),MOD(INT('월 가계부'!A2961),100)))=MOD(INT('월 가계부'!A2961/100),100),DATE(INT('월 가계부'!A2961/10000),MOD(INT('월 가계부'!A2961/100),100),MOD(INT('월 가계부'!A2961),100)),""),""),IF(AND('월 가계부'!A2961&gt;=36526,'월 가계부'!A2961&lt;73051),INT('월 가계부'!A2961),"")),IF(OR(CM2961="",CN2961="",CO2961=""),"",IF(AND(CM2961&gt;=2000,CM2961&lt;=2099,CN2961&gt;=1,CN2961&lt;=12,CO2961&gt;=1,CO2961&lt;=31),IF(MONTH(DATE(CM2961,CN2961,CO2961))=CN2961,DATE(CM2961,CN2961,CO2961),""),"")))),"")</f>
        <v/>
      </c>
      <c r="CJ2961">
        <f>IFERROR(IF('월 가계부'!C2961="","",IF(ISNUMBER('월 가계부'!C2961),'월 가계부'!C2961,VALUE(SUBSTITUTE(SUBSTITUTE(SUBSTITUTE(SUBSTITUTE(TRIM('월 가계부'!C2961),",",""),"원","")," ",""),"−","-")))),"")</f>
        <v/>
      </c>
      <c r="CK2961">
        <f>IF(ISNUMBER(CI2961),IF(CI2961&lt;$B$13,CI2961,""),"")</f>
        <v/>
      </c>
      <c r="CM2961">
        <f>IF(CH2961="","",IFERROR(IF(IF(AND(LEN(CH2961)=9,ISERROR(FIND("-",LEFT(CH2961,8))),ISNUMBER(-LEFT(CH2961,8))),VALUE(LEFT(CH2961,4)),VALUE(LEFT(CH2961,FIND("-",CH2961)-1)))&lt;100,IF(AND(LEN(CH2961)=9,ISERROR(FIND("-",LEFT(CH2961,8))),ISNUMBER(-LEFT(CH2961,8))),VALUE(LEFT(CH2961,4)),VALUE(LEFT(CH2961,FIND("-",CH2961)-1)))+2000,IF(AND(LEN(CH2961)=9,ISERROR(FIND("-",LEFT(CH2961,8))),ISNUMBER(-LEFT(CH2961,8))),VALUE(LEFT(CH2961,4)),VALUE(LEFT(CH2961,FIND("-",CH2961)-1)))),""))</f>
        <v/>
      </c>
      <c r="CN2961">
        <f>IF(CH2961="","",IFERROR(IF(AND(LEN(CH2961)=9,ISERROR(FIND("-",LEFT(CH2961,8))),ISNUMBER(-LEFT(CH2961,8))),VALUE(MID(CH2961,5,2)),VALUE(MID(CH2961,FIND("-",CH2961)+1,FIND("-",CH2961,FIND("-",CH2961)+1)-FIND("-",CH2961)-1))),""))</f>
        <v/>
      </c>
      <c r="CO2961">
        <f>IF(CH2961="","",IFERROR(IF(AND(LEN(CH2961)=9,ISERROR(FIND("-",LEFT(CH2961,8))),ISNUMBER(-LEFT(CH2961,8))),VALUE(MID(CH2961,7,2)),VALUE(MID(CH2961,FIND("-",CH2961,FIND("-",CH2961)+1)+1,FIND("-",CH2961,FIND("-",CH2961,FIND("-",CH2961)+1)+1)-FIND("-",CH2961,FIND("-",CH2961)+1)-1))),""))</f>
        <v/>
      </c>
    </row>
    <row r="2962">
      <c r="CH2962">
        <f>IF(ISTEXT('월 가계부'!A2962),SUBSTITUTE(SUBSTITUTE(SUBSTITUTE(SUBSTITUTE(SUBSTITUTE(SUBSTITUTE(SUBSTITUTE(SUBSTITUTE(SUBSTITUTE(TRIM('월 가계부'!A2962),"년","-"),"월","-"),"일",""),".","-"),"/","-")," ","-"),"--","-"),"--","-"),"--","-")&amp;"-","")</f>
        <v/>
      </c>
      <c r="CI2962">
        <f>IFERROR(IF('월 가계부'!A2962="","",IF(ISNUMBER('월 가계부'!A2962),IF(AND('월 가계부'!A2962&gt;=19000101,'월 가계부'!A2962&lt;=21001231),IF(AND(MOD(INT('월 가계부'!A2962/100),100)&gt;=1,MOD(INT('월 가계부'!A2962/100),100)&lt;=12,MOD(INT('월 가계부'!A2962),100)&gt;=1,MOD(INT('월 가계부'!A2962),100)&lt;=31),IF(MONTH(DATE(INT('월 가계부'!A2962/10000),MOD(INT('월 가계부'!A2962/100),100),MOD(INT('월 가계부'!A2962),100)))=MOD(INT('월 가계부'!A2962/100),100),DATE(INT('월 가계부'!A2962/10000),MOD(INT('월 가계부'!A2962/100),100),MOD(INT('월 가계부'!A2962),100)),""),""),IF(AND('월 가계부'!A2962&gt;=36526,'월 가계부'!A2962&lt;73051),INT('월 가계부'!A2962),"")),IF(OR(CM2962="",CN2962="",CO2962=""),"",IF(AND(CM2962&gt;=2000,CM2962&lt;=2099,CN2962&gt;=1,CN2962&lt;=12,CO2962&gt;=1,CO2962&lt;=31),IF(MONTH(DATE(CM2962,CN2962,CO2962))=CN2962,DATE(CM2962,CN2962,CO2962),""),"")))),"")</f>
        <v/>
      </c>
      <c r="CJ2962">
        <f>IFERROR(IF('월 가계부'!C2962="","",IF(ISNUMBER('월 가계부'!C2962),'월 가계부'!C2962,VALUE(SUBSTITUTE(SUBSTITUTE(SUBSTITUTE(SUBSTITUTE(TRIM('월 가계부'!C2962),",",""),"원","")," ",""),"−","-")))),"")</f>
        <v/>
      </c>
      <c r="CK2962">
        <f>IF(ISNUMBER(CI2962),IF(CI2962&lt;$B$13,CI2962,""),"")</f>
        <v/>
      </c>
      <c r="CM2962">
        <f>IF(CH2962="","",IFERROR(IF(IF(AND(LEN(CH2962)=9,ISERROR(FIND("-",LEFT(CH2962,8))),ISNUMBER(-LEFT(CH2962,8))),VALUE(LEFT(CH2962,4)),VALUE(LEFT(CH2962,FIND("-",CH2962)-1)))&lt;100,IF(AND(LEN(CH2962)=9,ISERROR(FIND("-",LEFT(CH2962,8))),ISNUMBER(-LEFT(CH2962,8))),VALUE(LEFT(CH2962,4)),VALUE(LEFT(CH2962,FIND("-",CH2962)-1)))+2000,IF(AND(LEN(CH2962)=9,ISERROR(FIND("-",LEFT(CH2962,8))),ISNUMBER(-LEFT(CH2962,8))),VALUE(LEFT(CH2962,4)),VALUE(LEFT(CH2962,FIND("-",CH2962)-1)))),""))</f>
        <v/>
      </c>
      <c r="CN2962">
        <f>IF(CH2962="","",IFERROR(IF(AND(LEN(CH2962)=9,ISERROR(FIND("-",LEFT(CH2962,8))),ISNUMBER(-LEFT(CH2962,8))),VALUE(MID(CH2962,5,2)),VALUE(MID(CH2962,FIND("-",CH2962)+1,FIND("-",CH2962,FIND("-",CH2962)+1)-FIND("-",CH2962)-1))),""))</f>
        <v/>
      </c>
      <c r="CO2962">
        <f>IF(CH2962="","",IFERROR(IF(AND(LEN(CH2962)=9,ISERROR(FIND("-",LEFT(CH2962,8))),ISNUMBER(-LEFT(CH2962,8))),VALUE(MID(CH2962,7,2)),VALUE(MID(CH2962,FIND("-",CH2962,FIND("-",CH2962)+1)+1,FIND("-",CH2962,FIND("-",CH2962,FIND("-",CH2962)+1)+1)-FIND("-",CH2962,FIND("-",CH2962)+1)-1))),""))</f>
        <v/>
      </c>
    </row>
    <row r="2963">
      <c r="CH2963">
        <f>IF(ISTEXT('월 가계부'!A2963),SUBSTITUTE(SUBSTITUTE(SUBSTITUTE(SUBSTITUTE(SUBSTITUTE(SUBSTITUTE(SUBSTITUTE(SUBSTITUTE(SUBSTITUTE(TRIM('월 가계부'!A2963),"년","-"),"월","-"),"일",""),".","-"),"/","-")," ","-"),"--","-"),"--","-"),"--","-")&amp;"-","")</f>
        <v/>
      </c>
      <c r="CI2963">
        <f>IFERROR(IF('월 가계부'!A2963="","",IF(ISNUMBER('월 가계부'!A2963),IF(AND('월 가계부'!A2963&gt;=19000101,'월 가계부'!A2963&lt;=21001231),IF(AND(MOD(INT('월 가계부'!A2963/100),100)&gt;=1,MOD(INT('월 가계부'!A2963/100),100)&lt;=12,MOD(INT('월 가계부'!A2963),100)&gt;=1,MOD(INT('월 가계부'!A2963),100)&lt;=31),IF(MONTH(DATE(INT('월 가계부'!A2963/10000),MOD(INT('월 가계부'!A2963/100),100),MOD(INT('월 가계부'!A2963),100)))=MOD(INT('월 가계부'!A2963/100),100),DATE(INT('월 가계부'!A2963/10000),MOD(INT('월 가계부'!A2963/100),100),MOD(INT('월 가계부'!A2963),100)),""),""),IF(AND('월 가계부'!A2963&gt;=36526,'월 가계부'!A2963&lt;73051),INT('월 가계부'!A2963),"")),IF(OR(CM2963="",CN2963="",CO2963=""),"",IF(AND(CM2963&gt;=2000,CM2963&lt;=2099,CN2963&gt;=1,CN2963&lt;=12,CO2963&gt;=1,CO2963&lt;=31),IF(MONTH(DATE(CM2963,CN2963,CO2963))=CN2963,DATE(CM2963,CN2963,CO2963),""),"")))),"")</f>
        <v/>
      </c>
      <c r="CJ2963">
        <f>IFERROR(IF('월 가계부'!C2963="","",IF(ISNUMBER('월 가계부'!C2963),'월 가계부'!C2963,VALUE(SUBSTITUTE(SUBSTITUTE(SUBSTITUTE(SUBSTITUTE(TRIM('월 가계부'!C2963),",",""),"원","")," ",""),"−","-")))),"")</f>
        <v/>
      </c>
      <c r="CK2963">
        <f>IF(ISNUMBER(CI2963),IF(CI2963&lt;$B$13,CI2963,""),"")</f>
        <v/>
      </c>
      <c r="CM2963">
        <f>IF(CH2963="","",IFERROR(IF(IF(AND(LEN(CH2963)=9,ISERROR(FIND("-",LEFT(CH2963,8))),ISNUMBER(-LEFT(CH2963,8))),VALUE(LEFT(CH2963,4)),VALUE(LEFT(CH2963,FIND("-",CH2963)-1)))&lt;100,IF(AND(LEN(CH2963)=9,ISERROR(FIND("-",LEFT(CH2963,8))),ISNUMBER(-LEFT(CH2963,8))),VALUE(LEFT(CH2963,4)),VALUE(LEFT(CH2963,FIND("-",CH2963)-1)))+2000,IF(AND(LEN(CH2963)=9,ISERROR(FIND("-",LEFT(CH2963,8))),ISNUMBER(-LEFT(CH2963,8))),VALUE(LEFT(CH2963,4)),VALUE(LEFT(CH2963,FIND("-",CH2963)-1)))),""))</f>
        <v/>
      </c>
      <c r="CN2963">
        <f>IF(CH2963="","",IFERROR(IF(AND(LEN(CH2963)=9,ISERROR(FIND("-",LEFT(CH2963,8))),ISNUMBER(-LEFT(CH2963,8))),VALUE(MID(CH2963,5,2)),VALUE(MID(CH2963,FIND("-",CH2963)+1,FIND("-",CH2963,FIND("-",CH2963)+1)-FIND("-",CH2963)-1))),""))</f>
        <v/>
      </c>
      <c r="CO2963">
        <f>IF(CH2963="","",IFERROR(IF(AND(LEN(CH2963)=9,ISERROR(FIND("-",LEFT(CH2963,8))),ISNUMBER(-LEFT(CH2963,8))),VALUE(MID(CH2963,7,2)),VALUE(MID(CH2963,FIND("-",CH2963,FIND("-",CH2963)+1)+1,FIND("-",CH2963,FIND("-",CH2963,FIND("-",CH2963)+1)+1)-FIND("-",CH2963,FIND("-",CH2963)+1)-1))),""))</f>
        <v/>
      </c>
    </row>
    <row r="2964">
      <c r="CH2964">
        <f>IF(ISTEXT('월 가계부'!A2964),SUBSTITUTE(SUBSTITUTE(SUBSTITUTE(SUBSTITUTE(SUBSTITUTE(SUBSTITUTE(SUBSTITUTE(SUBSTITUTE(SUBSTITUTE(TRIM('월 가계부'!A2964),"년","-"),"월","-"),"일",""),".","-"),"/","-")," ","-"),"--","-"),"--","-"),"--","-")&amp;"-","")</f>
        <v/>
      </c>
      <c r="CI2964">
        <f>IFERROR(IF('월 가계부'!A2964="","",IF(ISNUMBER('월 가계부'!A2964),IF(AND('월 가계부'!A2964&gt;=19000101,'월 가계부'!A2964&lt;=21001231),IF(AND(MOD(INT('월 가계부'!A2964/100),100)&gt;=1,MOD(INT('월 가계부'!A2964/100),100)&lt;=12,MOD(INT('월 가계부'!A2964),100)&gt;=1,MOD(INT('월 가계부'!A2964),100)&lt;=31),IF(MONTH(DATE(INT('월 가계부'!A2964/10000),MOD(INT('월 가계부'!A2964/100),100),MOD(INT('월 가계부'!A2964),100)))=MOD(INT('월 가계부'!A2964/100),100),DATE(INT('월 가계부'!A2964/10000),MOD(INT('월 가계부'!A2964/100),100),MOD(INT('월 가계부'!A2964),100)),""),""),IF(AND('월 가계부'!A2964&gt;=36526,'월 가계부'!A2964&lt;73051),INT('월 가계부'!A2964),"")),IF(OR(CM2964="",CN2964="",CO2964=""),"",IF(AND(CM2964&gt;=2000,CM2964&lt;=2099,CN2964&gt;=1,CN2964&lt;=12,CO2964&gt;=1,CO2964&lt;=31),IF(MONTH(DATE(CM2964,CN2964,CO2964))=CN2964,DATE(CM2964,CN2964,CO2964),""),"")))),"")</f>
        <v/>
      </c>
      <c r="CJ2964">
        <f>IFERROR(IF('월 가계부'!C2964="","",IF(ISNUMBER('월 가계부'!C2964),'월 가계부'!C2964,VALUE(SUBSTITUTE(SUBSTITUTE(SUBSTITUTE(SUBSTITUTE(TRIM('월 가계부'!C2964),",",""),"원","")," ",""),"−","-")))),"")</f>
        <v/>
      </c>
      <c r="CK2964">
        <f>IF(ISNUMBER(CI2964),IF(CI2964&lt;$B$13,CI2964,""),"")</f>
        <v/>
      </c>
      <c r="CM2964">
        <f>IF(CH2964="","",IFERROR(IF(IF(AND(LEN(CH2964)=9,ISERROR(FIND("-",LEFT(CH2964,8))),ISNUMBER(-LEFT(CH2964,8))),VALUE(LEFT(CH2964,4)),VALUE(LEFT(CH2964,FIND("-",CH2964)-1)))&lt;100,IF(AND(LEN(CH2964)=9,ISERROR(FIND("-",LEFT(CH2964,8))),ISNUMBER(-LEFT(CH2964,8))),VALUE(LEFT(CH2964,4)),VALUE(LEFT(CH2964,FIND("-",CH2964)-1)))+2000,IF(AND(LEN(CH2964)=9,ISERROR(FIND("-",LEFT(CH2964,8))),ISNUMBER(-LEFT(CH2964,8))),VALUE(LEFT(CH2964,4)),VALUE(LEFT(CH2964,FIND("-",CH2964)-1)))),""))</f>
        <v/>
      </c>
      <c r="CN2964">
        <f>IF(CH2964="","",IFERROR(IF(AND(LEN(CH2964)=9,ISERROR(FIND("-",LEFT(CH2964,8))),ISNUMBER(-LEFT(CH2964,8))),VALUE(MID(CH2964,5,2)),VALUE(MID(CH2964,FIND("-",CH2964)+1,FIND("-",CH2964,FIND("-",CH2964)+1)-FIND("-",CH2964)-1))),""))</f>
        <v/>
      </c>
      <c r="CO2964">
        <f>IF(CH2964="","",IFERROR(IF(AND(LEN(CH2964)=9,ISERROR(FIND("-",LEFT(CH2964,8))),ISNUMBER(-LEFT(CH2964,8))),VALUE(MID(CH2964,7,2)),VALUE(MID(CH2964,FIND("-",CH2964,FIND("-",CH2964)+1)+1,FIND("-",CH2964,FIND("-",CH2964,FIND("-",CH2964)+1)+1)-FIND("-",CH2964,FIND("-",CH2964)+1)-1))),""))</f>
        <v/>
      </c>
    </row>
    <row r="2965">
      <c r="CH2965">
        <f>IF(ISTEXT('월 가계부'!A2965),SUBSTITUTE(SUBSTITUTE(SUBSTITUTE(SUBSTITUTE(SUBSTITUTE(SUBSTITUTE(SUBSTITUTE(SUBSTITUTE(SUBSTITUTE(TRIM('월 가계부'!A2965),"년","-"),"월","-"),"일",""),".","-"),"/","-")," ","-"),"--","-"),"--","-"),"--","-")&amp;"-","")</f>
        <v/>
      </c>
      <c r="CI2965">
        <f>IFERROR(IF('월 가계부'!A2965="","",IF(ISNUMBER('월 가계부'!A2965),IF(AND('월 가계부'!A2965&gt;=19000101,'월 가계부'!A2965&lt;=21001231),IF(AND(MOD(INT('월 가계부'!A2965/100),100)&gt;=1,MOD(INT('월 가계부'!A2965/100),100)&lt;=12,MOD(INT('월 가계부'!A2965),100)&gt;=1,MOD(INT('월 가계부'!A2965),100)&lt;=31),IF(MONTH(DATE(INT('월 가계부'!A2965/10000),MOD(INT('월 가계부'!A2965/100),100),MOD(INT('월 가계부'!A2965),100)))=MOD(INT('월 가계부'!A2965/100),100),DATE(INT('월 가계부'!A2965/10000),MOD(INT('월 가계부'!A2965/100),100),MOD(INT('월 가계부'!A2965),100)),""),""),IF(AND('월 가계부'!A2965&gt;=36526,'월 가계부'!A2965&lt;73051),INT('월 가계부'!A2965),"")),IF(OR(CM2965="",CN2965="",CO2965=""),"",IF(AND(CM2965&gt;=2000,CM2965&lt;=2099,CN2965&gt;=1,CN2965&lt;=12,CO2965&gt;=1,CO2965&lt;=31),IF(MONTH(DATE(CM2965,CN2965,CO2965))=CN2965,DATE(CM2965,CN2965,CO2965),""),"")))),"")</f>
        <v/>
      </c>
      <c r="CJ2965">
        <f>IFERROR(IF('월 가계부'!C2965="","",IF(ISNUMBER('월 가계부'!C2965),'월 가계부'!C2965,VALUE(SUBSTITUTE(SUBSTITUTE(SUBSTITUTE(SUBSTITUTE(TRIM('월 가계부'!C2965),",",""),"원","")," ",""),"−","-")))),"")</f>
        <v/>
      </c>
      <c r="CK2965">
        <f>IF(ISNUMBER(CI2965),IF(CI2965&lt;$B$13,CI2965,""),"")</f>
        <v/>
      </c>
      <c r="CM2965">
        <f>IF(CH2965="","",IFERROR(IF(IF(AND(LEN(CH2965)=9,ISERROR(FIND("-",LEFT(CH2965,8))),ISNUMBER(-LEFT(CH2965,8))),VALUE(LEFT(CH2965,4)),VALUE(LEFT(CH2965,FIND("-",CH2965)-1)))&lt;100,IF(AND(LEN(CH2965)=9,ISERROR(FIND("-",LEFT(CH2965,8))),ISNUMBER(-LEFT(CH2965,8))),VALUE(LEFT(CH2965,4)),VALUE(LEFT(CH2965,FIND("-",CH2965)-1)))+2000,IF(AND(LEN(CH2965)=9,ISERROR(FIND("-",LEFT(CH2965,8))),ISNUMBER(-LEFT(CH2965,8))),VALUE(LEFT(CH2965,4)),VALUE(LEFT(CH2965,FIND("-",CH2965)-1)))),""))</f>
        <v/>
      </c>
      <c r="CN2965">
        <f>IF(CH2965="","",IFERROR(IF(AND(LEN(CH2965)=9,ISERROR(FIND("-",LEFT(CH2965,8))),ISNUMBER(-LEFT(CH2965,8))),VALUE(MID(CH2965,5,2)),VALUE(MID(CH2965,FIND("-",CH2965)+1,FIND("-",CH2965,FIND("-",CH2965)+1)-FIND("-",CH2965)-1))),""))</f>
        <v/>
      </c>
      <c r="CO2965">
        <f>IF(CH2965="","",IFERROR(IF(AND(LEN(CH2965)=9,ISERROR(FIND("-",LEFT(CH2965,8))),ISNUMBER(-LEFT(CH2965,8))),VALUE(MID(CH2965,7,2)),VALUE(MID(CH2965,FIND("-",CH2965,FIND("-",CH2965)+1)+1,FIND("-",CH2965,FIND("-",CH2965,FIND("-",CH2965)+1)+1)-FIND("-",CH2965,FIND("-",CH2965)+1)-1))),""))</f>
        <v/>
      </c>
    </row>
    <row r="2966">
      <c r="CH2966">
        <f>IF(ISTEXT('월 가계부'!A2966),SUBSTITUTE(SUBSTITUTE(SUBSTITUTE(SUBSTITUTE(SUBSTITUTE(SUBSTITUTE(SUBSTITUTE(SUBSTITUTE(SUBSTITUTE(TRIM('월 가계부'!A2966),"년","-"),"월","-"),"일",""),".","-"),"/","-")," ","-"),"--","-"),"--","-"),"--","-")&amp;"-","")</f>
        <v/>
      </c>
      <c r="CI2966">
        <f>IFERROR(IF('월 가계부'!A2966="","",IF(ISNUMBER('월 가계부'!A2966),IF(AND('월 가계부'!A2966&gt;=19000101,'월 가계부'!A2966&lt;=21001231),IF(AND(MOD(INT('월 가계부'!A2966/100),100)&gt;=1,MOD(INT('월 가계부'!A2966/100),100)&lt;=12,MOD(INT('월 가계부'!A2966),100)&gt;=1,MOD(INT('월 가계부'!A2966),100)&lt;=31),IF(MONTH(DATE(INT('월 가계부'!A2966/10000),MOD(INT('월 가계부'!A2966/100),100),MOD(INT('월 가계부'!A2966),100)))=MOD(INT('월 가계부'!A2966/100),100),DATE(INT('월 가계부'!A2966/10000),MOD(INT('월 가계부'!A2966/100),100),MOD(INT('월 가계부'!A2966),100)),""),""),IF(AND('월 가계부'!A2966&gt;=36526,'월 가계부'!A2966&lt;73051),INT('월 가계부'!A2966),"")),IF(OR(CM2966="",CN2966="",CO2966=""),"",IF(AND(CM2966&gt;=2000,CM2966&lt;=2099,CN2966&gt;=1,CN2966&lt;=12,CO2966&gt;=1,CO2966&lt;=31),IF(MONTH(DATE(CM2966,CN2966,CO2966))=CN2966,DATE(CM2966,CN2966,CO2966),""),"")))),"")</f>
        <v/>
      </c>
      <c r="CJ2966">
        <f>IFERROR(IF('월 가계부'!C2966="","",IF(ISNUMBER('월 가계부'!C2966),'월 가계부'!C2966,VALUE(SUBSTITUTE(SUBSTITUTE(SUBSTITUTE(SUBSTITUTE(TRIM('월 가계부'!C2966),",",""),"원","")," ",""),"−","-")))),"")</f>
        <v/>
      </c>
      <c r="CK2966">
        <f>IF(ISNUMBER(CI2966),IF(CI2966&lt;$B$13,CI2966,""),"")</f>
        <v/>
      </c>
      <c r="CM2966">
        <f>IF(CH2966="","",IFERROR(IF(IF(AND(LEN(CH2966)=9,ISERROR(FIND("-",LEFT(CH2966,8))),ISNUMBER(-LEFT(CH2966,8))),VALUE(LEFT(CH2966,4)),VALUE(LEFT(CH2966,FIND("-",CH2966)-1)))&lt;100,IF(AND(LEN(CH2966)=9,ISERROR(FIND("-",LEFT(CH2966,8))),ISNUMBER(-LEFT(CH2966,8))),VALUE(LEFT(CH2966,4)),VALUE(LEFT(CH2966,FIND("-",CH2966)-1)))+2000,IF(AND(LEN(CH2966)=9,ISERROR(FIND("-",LEFT(CH2966,8))),ISNUMBER(-LEFT(CH2966,8))),VALUE(LEFT(CH2966,4)),VALUE(LEFT(CH2966,FIND("-",CH2966)-1)))),""))</f>
        <v/>
      </c>
      <c r="CN2966">
        <f>IF(CH2966="","",IFERROR(IF(AND(LEN(CH2966)=9,ISERROR(FIND("-",LEFT(CH2966,8))),ISNUMBER(-LEFT(CH2966,8))),VALUE(MID(CH2966,5,2)),VALUE(MID(CH2966,FIND("-",CH2966)+1,FIND("-",CH2966,FIND("-",CH2966)+1)-FIND("-",CH2966)-1))),""))</f>
        <v/>
      </c>
      <c r="CO2966">
        <f>IF(CH2966="","",IFERROR(IF(AND(LEN(CH2966)=9,ISERROR(FIND("-",LEFT(CH2966,8))),ISNUMBER(-LEFT(CH2966,8))),VALUE(MID(CH2966,7,2)),VALUE(MID(CH2966,FIND("-",CH2966,FIND("-",CH2966)+1)+1,FIND("-",CH2966,FIND("-",CH2966,FIND("-",CH2966)+1)+1)-FIND("-",CH2966,FIND("-",CH2966)+1)-1))),""))</f>
        <v/>
      </c>
    </row>
    <row r="2967">
      <c r="CH2967">
        <f>IF(ISTEXT('월 가계부'!A2967),SUBSTITUTE(SUBSTITUTE(SUBSTITUTE(SUBSTITUTE(SUBSTITUTE(SUBSTITUTE(SUBSTITUTE(SUBSTITUTE(SUBSTITUTE(TRIM('월 가계부'!A2967),"년","-"),"월","-"),"일",""),".","-"),"/","-")," ","-"),"--","-"),"--","-"),"--","-")&amp;"-","")</f>
        <v/>
      </c>
      <c r="CI2967">
        <f>IFERROR(IF('월 가계부'!A2967="","",IF(ISNUMBER('월 가계부'!A2967),IF(AND('월 가계부'!A2967&gt;=19000101,'월 가계부'!A2967&lt;=21001231),IF(AND(MOD(INT('월 가계부'!A2967/100),100)&gt;=1,MOD(INT('월 가계부'!A2967/100),100)&lt;=12,MOD(INT('월 가계부'!A2967),100)&gt;=1,MOD(INT('월 가계부'!A2967),100)&lt;=31),IF(MONTH(DATE(INT('월 가계부'!A2967/10000),MOD(INT('월 가계부'!A2967/100),100),MOD(INT('월 가계부'!A2967),100)))=MOD(INT('월 가계부'!A2967/100),100),DATE(INT('월 가계부'!A2967/10000),MOD(INT('월 가계부'!A2967/100),100),MOD(INT('월 가계부'!A2967),100)),""),""),IF(AND('월 가계부'!A2967&gt;=36526,'월 가계부'!A2967&lt;73051),INT('월 가계부'!A2967),"")),IF(OR(CM2967="",CN2967="",CO2967=""),"",IF(AND(CM2967&gt;=2000,CM2967&lt;=2099,CN2967&gt;=1,CN2967&lt;=12,CO2967&gt;=1,CO2967&lt;=31),IF(MONTH(DATE(CM2967,CN2967,CO2967))=CN2967,DATE(CM2967,CN2967,CO2967),""),"")))),"")</f>
        <v/>
      </c>
      <c r="CJ2967">
        <f>IFERROR(IF('월 가계부'!C2967="","",IF(ISNUMBER('월 가계부'!C2967),'월 가계부'!C2967,VALUE(SUBSTITUTE(SUBSTITUTE(SUBSTITUTE(SUBSTITUTE(TRIM('월 가계부'!C2967),",",""),"원","")," ",""),"−","-")))),"")</f>
        <v/>
      </c>
      <c r="CK2967">
        <f>IF(ISNUMBER(CI2967),IF(CI2967&lt;$B$13,CI2967,""),"")</f>
        <v/>
      </c>
      <c r="CM2967">
        <f>IF(CH2967="","",IFERROR(IF(IF(AND(LEN(CH2967)=9,ISERROR(FIND("-",LEFT(CH2967,8))),ISNUMBER(-LEFT(CH2967,8))),VALUE(LEFT(CH2967,4)),VALUE(LEFT(CH2967,FIND("-",CH2967)-1)))&lt;100,IF(AND(LEN(CH2967)=9,ISERROR(FIND("-",LEFT(CH2967,8))),ISNUMBER(-LEFT(CH2967,8))),VALUE(LEFT(CH2967,4)),VALUE(LEFT(CH2967,FIND("-",CH2967)-1)))+2000,IF(AND(LEN(CH2967)=9,ISERROR(FIND("-",LEFT(CH2967,8))),ISNUMBER(-LEFT(CH2967,8))),VALUE(LEFT(CH2967,4)),VALUE(LEFT(CH2967,FIND("-",CH2967)-1)))),""))</f>
        <v/>
      </c>
      <c r="CN2967">
        <f>IF(CH2967="","",IFERROR(IF(AND(LEN(CH2967)=9,ISERROR(FIND("-",LEFT(CH2967,8))),ISNUMBER(-LEFT(CH2967,8))),VALUE(MID(CH2967,5,2)),VALUE(MID(CH2967,FIND("-",CH2967)+1,FIND("-",CH2967,FIND("-",CH2967)+1)-FIND("-",CH2967)-1))),""))</f>
        <v/>
      </c>
      <c r="CO2967">
        <f>IF(CH2967="","",IFERROR(IF(AND(LEN(CH2967)=9,ISERROR(FIND("-",LEFT(CH2967,8))),ISNUMBER(-LEFT(CH2967,8))),VALUE(MID(CH2967,7,2)),VALUE(MID(CH2967,FIND("-",CH2967,FIND("-",CH2967)+1)+1,FIND("-",CH2967,FIND("-",CH2967,FIND("-",CH2967)+1)+1)-FIND("-",CH2967,FIND("-",CH2967)+1)-1))),""))</f>
        <v/>
      </c>
    </row>
    <row r="2968">
      <c r="CH2968">
        <f>IF(ISTEXT('월 가계부'!A2968),SUBSTITUTE(SUBSTITUTE(SUBSTITUTE(SUBSTITUTE(SUBSTITUTE(SUBSTITUTE(SUBSTITUTE(SUBSTITUTE(SUBSTITUTE(TRIM('월 가계부'!A2968),"년","-"),"월","-"),"일",""),".","-"),"/","-")," ","-"),"--","-"),"--","-"),"--","-")&amp;"-","")</f>
        <v/>
      </c>
      <c r="CI2968">
        <f>IFERROR(IF('월 가계부'!A2968="","",IF(ISNUMBER('월 가계부'!A2968),IF(AND('월 가계부'!A2968&gt;=19000101,'월 가계부'!A2968&lt;=21001231),IF(AND(MOD(INT('월 가계부'!A2968/100),100)&gt;=1,MOD(INT('월 가계부'!A2968/100),100)&lt;=12,MOD(INT('월 가계부'!A2968),100)&gt;=1,MOD(INT('월 가계부'!A2968),100)&lt;=31),IF(MONTH(DATE(INT('월 가계부'!A2968/10000),MOD(INT('월 가계부'!A2968/100),100),MOD(INT('월 가계부'!A2968),100)))=MOD(INT('월 가계부'!A2968/100),100),DATE(INT('월 가계부'!A2968/10000),MOD(INT('월 가계부'!A2968/100),100),MOD(INT('월 가계부'!A2968),100)),""),""),IF(AND('월 가계부'!A2968&gt;=36526,'월 가계부'!A2968&lt;73051),INT('월 가계부'!A2968),"")),IF(OR(CM2968="",CN2968="",CO2968=""),"",IF(AND(CM2968&gt;=2000,CM2968&lt;=2099,CN2968&gt;=1,CN2968&lt;=12,CO2968&gt;=1,CO2968&lt;=31),IF(MONTH(DATE(CM2968,CN2968,CO2968))=CN2968,DATE(CM2968,CN2968,CO2968),""),"")))),"")</f>
        <v/>
      </c>
      <c r="CJ2968">
        <f>IFERROR(IF('월 가계부'!C2968="","",IF(ISNUMBER('월 가계부'!C2968),'월 가계부'!C2968,VALUE(SUBSTITUTE(SUBSTITUTE(SUBSTITUTE(SUBSTITUTE(TRIM('월 가계부'!C2968),",",""),"원","")," ",""),"−","-")))),"")</f>
        <v/>
      </c>
      <c r="CK2968">
        <f>IF(ISNUMBER(CI2968),IF(CI2968&lt;$B$13,CI2968,""),"")</f>
        <v/>
      </c>
      <c r="CM2968">
        <f>IF(CH2968="","",IFERROR(IF(IF(AND(LEN(CH2968)=9,ISERROR(FIND("-",LEFT(CH2968,8))),ISNUMBER(-LEFT(CH2968,8))),VALUE(LEFT(CH2968,4)),VALUE(LEFT(CH2968,FIND("-",CH2968)-1)))&lt;100,IF(AND(LEN(CH2968)=9,ISERROR(FIND("-",LEFT(CH2968,8))),ISNUMBER(-LEFT(CH2968,8))),VALUE(LEFT(CH2968,4)),VALUE(LEFT(CH2968,FIND("-",CH2968)-1)))+2000,IF(AND(LEN(CH2968)=9,ISERROR(FIND("-",LEFT(CH2968,8))),ISNUMBER(-LEFT(CH2968,8))),VALUE(LEFT(CH2968,4)),VALUE(LEFT(CH2968,FIND("-",CH2968)-1)))),""))</f>
        <v/>
      </c>
      <c r="CN2968">
        <f>IF(CH2968="","",IFERROR(IF(AND(LEN(CH2968)=9,ISERROR(FIND("-",LEFT(CH2968,8))),ISNUMBER(-LEFT(CH2968,8))),VALUE(MID(CH2968,5,2)),VALUE(MID(CH2968,FIND("-",CH2968)+1,FIND("-",CH2968,FIND("-",CH2968)+1)-FIND("-",CH2968)-1))),""))</f>
        <v/>
      </c>
      <c r="CO2968">
        <f>IF(CH2968="","",IFERROR(IF(AND(LEN(CH2968)=9,ISERROR(FIND("-",LEFT(CH2968,8))),ISNUMBER(-LEFT(CH2968,8))),VALUE(MID(CH2968,7,2)),VALUE(MID(CH2968,FIND("-",CH2968,FIND("-",CH2968)+1)+1,FIND("-",CH2968,FIND("-",CH2968,FIND("-",CH2968)+1)+1)-FIND("-",CH2968,FIND("-",CH2968)+1)-1))),""))</f>
        <v/>
      </c>
    </row>
    <row r="2969">
      <c r="CH2969">
        <f>IF(ISTEXT('월 가계부'!A2969),SUBSTITUTE(SUBSTITUTE(SUBSTITUTE(SUBSTITUTE(SUBSTITUTE(SUBSTITUTE(SUBSTITUTE(SUBSTITUTE(SUBSTITUTE(TRIM('월 가계부'!A2969),"년","-"),"월","-"),"일",""),".","-"),"/","-")," ","-"),"--","-"),"--","-"),"--","-")&amp;"-","")</f>
        <v/>
      </c>
      <c r="CI2969">
        <f>IFERROR(IF('월 가계부'!A2969="","",IF(ISNUMBER('월 가계부'!A2969),IF(AND('월 가계부'!A2969&gt;=19000101,'월 가계부'!A2969&lt;=21001231),IF(AND(MOD(INT('월 가계부'!A2969/100),100)&gt;=1,MOD(INT('월 가계부'!A2969/100),100)&lt;=12,MOD(INT('월 가계부'!A2969),100)&gt;=1,MOD(INT('월 가계부'!A2969),100)&lt;=31),IF(MONTH(DATE(INT('월 가계부'!A2969/10000),MOD(INT('월 가계부'!A2969/100),100),MOD(INT('월 가계부'!A2969),100)))=MOD(INT('월 가계부'!A2969/100),100),DATE(INT('월 가계부'!A2969/10000),MOD(INT('월 가계부'!A2969/100),100),MOD(INT('월 가계부'!A2969),100)),""),""),IF(AND('월 가계부'!A2969&gt;=36526,'월 가계부'!A2969&lt;73051),INT('월 가계부'!A2969),"")),IF(OR(CM2969="",CN2969="",CO2969=""),"",IF(AND(CM2969&gt;=2000,CM2969&lt;=2099,CN2969&gt;=1,CN2969&lt;=12,CO2969&gt;=1,CO2969&lt;=31),IF(MONTH(DATE(CM2969,CN2969,CO2969))=CN2969,DATE(CM2969,CN2969,CO2969),""),"")))),"")</f>
        <v/>
      </c>
      <c r="CJ2969">
        <f>IFERROR(IF('월 가계부'!C2969="","",IF(ISNUMBER('월 가계부'!C2969),'월 가계부'!C2969,VALUE(SUBSTITUTE(SUBSTITUTE(SUBSTITUTE(SUBSTITUTE(TRIM('월 가계부'!C2969),",",""),"원","")," ",""),"−","-")))),"")</f>
        <v/>
      </c>
      <c r="CK2969">
        <f>IF(ISNUMBER(CI2969),IF(CI2969&lt;$B$13,CI2969,""),"")</f>
        <v/>
      </c>
      <c r="CM2969">
        <f>IF(CH2969="","",IFERROR(IF(IF(AND(LEN(CH2969)=9,ISERROR(FIND("-",LEFT(CH2969,8))),ISNUMBER(-LEFT(CH2969,8))),VALUE(LEFT(CH2969,4)),VALUE(LEFT(CH2969,FIND("-",CH2969)-1)))&lt;100,IF(AND(LEN(CH2969)=9,ISERROR(FIND("-",LEFT(CH2969,8))),ISNUMBER(-LEFT(CH2969,8))),VALUE(LEFT(CH2969,4)),VALUE(LEFT(CH2969,FIND("-",CH2969)-1)))+2000,IF(AND(LEN(CH2969)=9,ISERROR(FIND("-",LEFT(CH2969,8))),ISNUMBER(-LEFT(CH2969,8))),VALUE(LEFT(CH2969,4)),VALUE(LEFT(CH2969,FIND("-",CH2969)-1)))),""))</f>
        <v/>
      </c>
      <c r="CN2969">
        <f>IF(CH2969="","",IFERROR(IF(AND(LEN(CH2969)=9,ISERROR(FIND("-",LEFT(CH2969,8))),ISNUMBER(-LEFT(CH2969,8))),VALUE(MID(CH2969,5,2)),VALUE(MID(CH2969,FIND("-",CH2969)+1,FIND("-",CH2969,FIND("-",CH2969)+1)-FIND("-",CH2969)-1))),""))</f>
        <v/>
      </c>
      <c r="CO2969">
        <f>IF(CH2969="","",IFERROR(IF(AND(LEN(CH2969)=9,ISERROR(FIND("-",LEFT(CH2969,8))),ISNUMBER(-LEFT(CH2969,8))),VALUE(MID(CH2969,7,2)),VALUE(MID(CH2969,FIND("-",CH2969,FIND("-",CH2969)+1)+1,FIND("-",CH2969,FIND("-",CH2969,FIND("-",CH2969)+1)+1)-FIND("-",CH2969,FIND("-",CH2969)+1)-1))),""))</f>
        <v/>
      </c>
    </row>
    <row r="2970">
      <c r="CH2970">
        <f>IF(ISTEXT('월 가계부'!A2970),SUBSTITUTE(SUBSTITUTE(SUBSTITUTE(SUBSTITUTE(SUBSTITUTE(SUBSTITUTE(SUBSTITUTE(SUBSTITUTE(SUBSTITUTE(TRIM('월 가계부'!A2970),"년","-"),"월","-"),"일",""),".","-"),"/","-")," ","-"),"--","-"),"--","-"),"--","-")&amp;"-","")</f>
        <v/>
      </c>
      <c r="CI2970">
        <f>IFERROR(IF('월 가계부'!A2970="","",IF(ISNUMBER('월 가계부'!A2970),IF(AND('월 가계부'!A2970&gt;=19000101,'월 가계부'!A2970&lt;=21001231),IF(AND(MOD(INT('월 가계부'!A2970/100),100)&gt;=1,MOD(INT('월 가계부'!A2970/100),100)&lt;=12,MOD(INT('월 가계부'!A2970),100)&gt;=1,MOD(INT('월 가계부'!A2970),100)&lt;=31),IF(MONTH(DATE(INT('월 가계부'!A2970/10000),MOD(INT('월 가계부'!A2970/100),100),MOD(INT('월 가계부'!A2970),100)))=MOD(INT('월 가계부'!A2970/100),100),DATE(INT('월 가계부'!A2970/10000),MOD(INT('월 가계부'!A2970/100),100),MOD(INT('월 가계부'!A2970),100)),""),""),IF(AND('월 가계부'!A2970&gt;=36526,'월 가계부'!A2970&lt;73051),INT('월 가계부'!A2970),"")),IF(OR(CM2970="",CN2970="",CO2970=""),"",IF(AND(CM2970&gt;=2000,CM2970&lt;=2099,CN2970&gt;=1,CN2970&lt;=12,CO2970&gt;=1,CO2970&lt;=31),IF(MONTH(DATE(CM2970,CN2970,CO2970))=CN2970,DATE(CM2970,CN2970,CO2970),""),"")))),"")</f>
        <v/>
      </c>
      <c r="CJ2970">
        <f>IFERROR(IF('월 가계부'!C2970="","",IF(ISNUMBER('월 가계부'!C2970),'월 가계부'!C2970,VALUE(SUBSTITUTE(SUBSTITUTE(SUBSTITUTE(SUBSTITUTE(TRIM('월 가계부'!C2970),",",""),"원","")," ",""),"−","-")))),"")</f>
        <v/>
      </c>
      <c r="CK2970">
        <f>IF(ISNUMBER(CI2970),IF(CI2970&lt;$B$13,CI2970,""),"")</f>
        <v/>
      </c>
      <c r="CM2970">
        <f>IF(CH2970="","",IFERROR(IF(IF(AND(LEN(CH2970)=9,ISERROR(FIND("-",LEFT(CH2970,8))),ISNUMBER(-LEFT(CH2970,8))),VALUE(LEFT(CH2970,4)),VALUE(LEFT(CH2970,FIND("-",CH2970)-1)))&lt;100,IF(AND(LEN(CH2970)=9,ISERROR(FIND("-",LEFT(CH2970,8))),ISNUMBER(-LEFT(CH2970,8))),VALUE(LEFT(CH2970,4)),VALUE(LEFT(CH2970,FIND("-",CH2970)-1)))+2000,IF(AND(LEN(CH2970)=9,ISERROR(FIND("-",LEFT(CH2970,8))),ISNUMBER(-LEFT(CH2970,8))),VALUE(LEFT(CH2970,4)),VALUE(LEFT(CH2970,FIND("-",CH2970)-1)))),""))</f>
        <v/>
      </c>
      <c r="CN2970">
        <f>IF(CH2970="","",IFERROR(IF(AND(LEN(CH2970)=9,ISERROR(FIND("-",LEFT(CH2970,8))),ISNUMBER(-LEFT(CH2970,8))),VALUE(MID(CH2970,5,2)),VALUE(MID(CH2970,FIND("-",CH2970)+1,FIND("-",CH2970,FIND("-",CH2970)+1)-FIND("-",CH2970)-1))),""))</f>
        <v/>
      </c>
      <c r="CO2970">
        <f>IF(CH2970="","",IFERROR(IF(AND(LEN(CH2970)=9,ISERROR(FIND("-",LEFT(CH2970,8))),ISNUMBER(-LEFT(CH2970,8))),VALUE(MID(CH2970,7,2)),VALUE(MID(CH2970,FIND("-",CH2970,FIND("-",CH2970)+1)+1,FIND("-",CH2970,FIND("-",CH2970,FIND("-",CH2970)+1)+1)-FIND("-",CH2970,FIND("-",CH2970)+1)-1))),""))</f>
        <v/>
      </c>
    </row>
    <row r="2971">
      <c r="CH2971">
        <f>IF(ISTEXT('월 가계부'!A2971),SUBSTITUTE(SUBSTITUTE(SUBSTITUTE(SUBSTITUTE(SUBSTITUTE(SUBSTITUTE(SUBSTITUTE(SUBSTITUTE(SUBSTITUTE(TRIM('월 가계부'!A2971),"년","-"),"월","-"),"일",""),".","-"),"/","-")," ","-"),"--","-"),"--","-"),"--","-")&amp;"-","")</f>
        <v/>
      </c>
      <c r="CI2971">
        <f>IFERROR(IF('월 가계부'!A2971="","",IF(ISNUMBER('월 가계부'!A2971),IF(AND('월 가계부'!A2971&gt;=19000101,'월 가계부'!A2971&lt;=21001231),IF(AND(MOD(INT('월 가계부'!A2971/100),100)&gt;=1,MOD(INT('월 가계부'!A2971/100),100)&lt;=12,MOD(INT('월 가계부'!A2971),100)&gt;=1,MOD(INT('월 가계부'!A2971),100)&lt;=31),IF(MONTH(DATE(INT('월 가계부'!A2971/10000),MOD(INT('월 가계부'!A2971/100),100),MOD(INT('월 가계부'!A2971),100)))=MOD(INT('월 가계부'!A2971/100),100),DATE(INT('월 가계부'!A2971/10000),MOD(INT('월 가계부'!A2971/100),100),MOD(INT('월 가계부'!A2971),100)),""),""),IF(AND('월 가계부'!A2971&gt;=36526,'월 가계부'!A2971&lt;73051),INT('월 가계부'!A2971),"")),IF(OR(CM2971="",CN2971="",CO2971=""),"",IF(AND(CM2971&gt;=2000,CM2971&lt;=2099,CN2971&gt;=1,CN2971&lt;=12,CO2971&gt;=1,CO2971&lt;=31),IF(MONTH(DATE(CM2971,CN2971,CO2971))=CN2971,DATE(CM2971,CN2971,CO2971),""),"")))),"")</f>
        <v/>
      </c>
      <c r="CJ2971">
        <f>IFERROR(IF('월 가계부'!C2971="","",IF(ISNUMBER('월 가계부'!C2971),'월 가계부'!C2971,VALUE(SUBSTITUTE(SUBSTITUTE(SUBSTITUTE(SUBSTITUTE(TRIM('월 가계부'!C2971),",",""),"원","")," ",""),"−","-")))),"")</f>
        <v/>
      </c>
      <c r="CK2971">
        <f>IF(ISNUMBER(CI2971),IF(CI2971&lt;$B$13,CI2971,""),"")</f>
        <v/>
      </c>
      <c r="CM2971">
        <f>IF(CH2971="","",IFERROR(IF(IF(AND(LEN(CH2971)=9,ISERROR(FIND("-",LEFT(CH2971,8))),ISNUMBER(-LEFT(CH2971,8))),VALUE(LEFT(CH2971,4)),VALUE(LEFT(CH2971,FIND("-",CH2971)-1)))&lt;100,IF(AND(LEN(CH2971)=9,ISERROR(FIND("-",LEFT(CH2971,8))),ISNUMBER(-LEFT(CH2971,8))),VALUE(LEFT(CH2971,4)),VALUE(LEFT(CH2971,FIND("-",CH2971)-1)))+2000,IF(AND(LEN(CH2971)=9,ISERROR(FIND("-",LEFT(CH2971,8))),ISNUMBER(-LEFT(CH2971,8))),VALUE(LEFT(CH2971,4)),VALUE(LEFT(CH2971,FIND("-",CH2971)-1)))),""))</f>
        <v/>
      </c>
      <c r="CN2971">
        <f>IF(CH2971="","",IFERROR(IF(AND(LEN(CH2971)=9,ISERROR(FIND("-",LEFT(CH2971,8))),ISNUMBER(-LEFT(CH2971,8))),VALUE(MID(CH2971,5,2)),VALUE(MID(CH2971,FIND("-",CH2971)+1,FIND("-",CH2971,FIND("-",CH2971)+1)-FIND("-",CH2971)-1))),""))</f>
        <v/>
      </c>
      <c r="CO2971">
        <f>IF(CH2971="","",IFERROR(IF(AND(LEN(CH2971)=9,ISERROR(FIND("-",LEFT(CH2971,8))),ISNUMBER(-LEFT(CH2971,8))),VALUE(MID(CH2971,7,2)),VALUE(MID(CH2971,FIND("-",CH2971,FIND("-",CH2971)+1)+1,FIND("-",CH2971,FIND("-",CH2971,FIND("-",CH2971)+1)+1)-FIND("-",CH2971,FIND("-",CH2971)+1)-1))),""))</f>
        <v/>
      </c>
    </row>
    <row r="2972">
      <c r="CH2972">
        <f>IF(ISTEXT('월 가계부'!A2972),SUBSTITUTE(SUBSTITUTE(SUBSTITUTE(SUBSTITUTE(SUBSTITUTE(SUBSTITUTE(SUBSTITUTE(SUBSTITUTE(SUBSTITUTE(TRIM('월 가계부'!A2972),"년","-"),"월","-"),"일",""),".","-"),"/","-")," ","-"),"--","-"),"--","-"),"--","-")&amp;"-","")</f>
        <v/>
      </c>
      <c r="CI2972">
        <f>IFERROR(IF('월 가계부'!A2972="","",IF(ISNUMBER('월 가계부'!A2972),IF(AND('월 가계부'!A2972&gt;=19000101,'월 가계부'!A2972&lt;=21001231),IF(AND(MOD(INT('월 가계부'!A2972/100),100)&gt;=1,MOD(INT('월 가계부'!A2972/100),100)&lt;=12,MOD(INT('월 가계부'!A2972),100)&gt;=1,MOD(INT('월 가계부'!A2972),100)&lt;=31),IF(MONTH(DATE(INT('월 가계부'!A2972/10000),MOD(INT('월 가계부'!A2972/100),100),MOD(INT('월 가계부'!A2972),100)))=MOD(INT('월 가계부'!A2972/100),100),DATE(INT('월 가계부'!A2972/10000),MOD(INT('월 가계부'!A2972/100),100),MOD(INT('월 가계부'!A2972),100)),""),""),IF(AND('월 가계부'!A2972&gt;=36526,'월 가계부'!A2972&lt;73051),INT('월 가계부'!A2972),"")),IF(OR(CM2972="",CN2972="",CO2972=""),"",IF(AND(CM2972&gt;=2000,CM2972&lt;=2099,CN2972&gt;=1,CN2972&lt;=12,CO2972&gt;=1,CO2972&lt;=31),IF(MONTH(DATE(CM2972,CN2972,CO2972))=CN2972,DATE(CM2972,CN2972,CO2972),""),"")))),"")</f>
        <v/>
      </c>
      <c r="CJ2972">
        <f>IFERROR(IF('월 가계부'!C2972="","",IF(ISNUMBER('월 가계부'!C2972),'월 가계부'!C2972,VALUE(SUBSTITUTE(SUBSTITUTE(SUBSTITUTE(SUBSTITUTE(TRIM('월 가계부'!C2972),",",""),"원","")," ",""),"−","-")))),"")</f>
        <v/>
      </c>
      <c r="CK2972">
        <f>IF(ISNUMBER(CI2972),IF(CI2972&lt;$B$13,CI2972,""),"")</f>
        <v/>
      </c>
      <c r="CM2972">
        <f>IF(CH2972="","",IFERROR(IF(IF(AND(LEN(CH2972)=9,ISERROR(FIND("-",LEFT(CH2972,8))),ISNUMBER(-LEFT(CH2972,8))),VALUE(LEFT(CH2972,4)),VALUE(LEFT(CH2972,FIND("-",CH2972)-1)))&lt;100,IF(AND(LEN(CH2972)=9,ISERROR(FIND("-",LEFT(CH2972,8))),ISNUMBER(-LEFT(CH2972,8))),VALUE(LEFT(CH2972,4)),VALUE(LEFT(CH2972,FIND("-",CH2972)-1)))+2000,IF(AND(LEN(CH2972)=9,ISERROR(FIND("-",LEFT(CH2972,8))),ISNUMBER(-LEFT(CH2972,8))),VALUE(LEFT(CH2972,4)),VALUE(LEFT(CH2972,FIND("-",CH2972)-1)))),""))</f>
        <v/>
      </c>
      <c r="CN2972">
        <f>IF(CH2972="","",IFERROR(IF(AND(LEN(CH2972)=9,ISERROR(FIND("-",LEFT(CH2972,8))),ISNUMBER(-LEFT(CH2972,8))),VALUE(MID(CH2972,5,2)),VALUE(MID(CH2972,FIND("-",CH2972)+1,FIND("-",CH2972,FIND("-",CH2972)+1)-FIND("-",CH2972)-1))),""))</f>
        <v/>
      </c>
      <c r="CO2972">
        <f>IF(CH2972="","",IFERROR(IF(AND(LEN(CH2972)=9,ISERROR(FIND("-",LEFT(CH2972,8))),ISNUMBER(-LEFT(CH2972,8))),VALUE(MID(CH2972,7,2)),VALUE(MID(CH2972,FIND("-",CH2972,FIND("-",CH2972)+1)+1,FIND("-",CH2972,FIND("-",CH2972,FIND("-",CH2972)+1)+1)-FIND("-",CH2972,FIND("-",CH2972)+1)-1))),""))</f>
        <v/>
      </c>
    </row>
    <row r="2973">
      <c r="CH2973">
        <f>IF(ISTEXT('월 가계부'!A2973),SUBSTITUTE(SUBSTITUTE(SUBSTITUTE(SUBSTITUTE(SUBSTITUTE(SUBSTITUTE(SUBSTITUTE(SUBSTITUTE(SUBSTITUTE(TRIM('월 가계부'!A2973),"년","-"),"월","-"),"일",""),".","-"),"/","-")," ","-"),"--","-"),"--","-"),"--","-")&amp;"-","")</f>
        <v/>
      </c>
      <c r="CI2973">
        <f>IFERROR(IF('월 가계부'!A2973="","",IF(ISNUMBER('월 가계부'!A2973),IF(AND('월 가계부'!A2973&gt;=19000101,'월 가계부'!A2973&lt;=21001231),IF(AND(MOD(INT('월 가계부'!A2973/100),100)&gt;=1,MOD(INT('월 가계부'!A2973/100),100)&lt;=12,MOD(INT('월 가계부'!A2973),100)&gt;=1,MOD(INT('월 가계부'!A2973),100)&lt;=31),IF(MONTH(DATE(INT('월 가계부'!A2973/10000),MOD(INT('월 가계부'!A2973/100),100),MOD(INT('월 가계부'!A2973),100)))=MOD(INT('월 가계부'!A2973/100),100),DATE(INT('월 가계부'!A2973/10000),MOD(INT('월 가계부'!A2973/100),100),MOD(INT('월 가계부'!A2973),100)),""),""),IF(AND('월 가계부'!A2973&gt;=36526,'월 가계부'!A2973&lt;73051),INT('월 가계부'!A2973),"")),IF(OR(CM2973="",CN2973="",CO2973=""),"",IF(AND(CM2973&gt;=2000,CM2973&lt;=2099,CN2973&gt;=1,CN2973&lt;=12,CO2973&gt;=1,CO2973&lt;=31),IF(MONTH(DATE(CM2973,CN2973,CO2973))=CN2973,DATE(CM2973,CN2973,CO2973),""),"")))),"")</f>
        <v/>
      </c>
      <c r="CJ2973">
        <f>IFERROR(IF('월 가계부'!C2973="","",IF(ISNUMBER('월 가계부'!C2973),'월 가계부'!C2973,VALUE(SUBSTITUTE(SUBSTITUTE(SUBSTITUTE(SUBSTITUTE(TRIM('월 가계부'!C2973),",",""),"원","")," ",""),"−","-")))),"")</f>
        <v/>
      </c>
      <c r="CK2973">
        <f>IF(ISNUMBER(CI2973),IF(CI2973&lt;$B$13,CI2973,""),"")</f>
        <v/>
      </c>
      <c r="CM2973">
        <f>IF(CH2973="","",IFERROR(IF(IF(AND(LEN(CH2973)=9,ISERROR(FIND("-",LEFT(CH2973,8))),ISNUMBER(-LEFT(CH2973,8))),VALUE(LEFT(CH2973,4)),VALUE(LEFT(CH2973,FIND("-",CH2973)-1)))&lt;100,IF(AND(LEN(CH2973)=9,ISERROR(FIND("-",LEFT(CH2973,8))),ISNUMBER(-LEFT(CH2973,8))),VALUE(LEFT(CH2973,4)),VALUE(LEFT(CH2973,FIND("-",CH2973)-1)))+2000,IF(AND(LEN(CH2973)=9,ISERROR(FIND("-",LEFT(CH2973,8))),ISNUMBER(-LEFT(CH2973,8))),VALUE(LEFT(CH2973,4)),VALUE(LEFT(CH2973,FIND("-",CH2973)-1)))),""))</f>
        <v/>
      </c>
      <c r="CN2973">
        <f>IF(CH2973="","",IFERROR(IF(AND(LEN(CH2973)=9,ISERROR(FIND("-",LEFT(CH2973,8))),ISNUMBER(-LEFT(CH2973,8))),VALUE(MID(CH2973,5,2)),VALUE(MID(CH2973,FIND("-",CH2973)+1,FIND("-",CH2973,FIND("-",CH2973)+1)-FIND("-",CH2973)-1))),""))</f>
        <v/>
      </c>
      <c r="CO2973">
        <f>IF(CH2973="","",IFERROR(IF(AND(LEN(CH2973)=9,ISERROR(FIND("-",LEFT(CH2973,8))),ISNUMBER(-LEFT(CH2973,8))),VALUE(MID(CH2973,7,2)),VALUE(MID(CH2973,FIND("-",CH2973,FIND("-",CH2973)+1)+1,FIND("-",CH2973,FIND("-",CH2973,FIND("-",CH2973)+1)+1)-FIND("-",CH2973,FIND("-",CH2973)+1)-1))),""))</f>
        <v/>
      </c>
    </row>
    <row r="2974">
      <c r="CH2974">
        <f>IF(ISTEXT('월 가계부'!A2974),SUBSTITUTE(SUBSTITUTE(SUBSTITUTE(SUBSTITUTE(SUBSTITUTE(SUBSTITUTE(SUBSTITUTE(SUBSTITUTE(SUBSTITUTE(TRIM('월 가계부'!A2974),"년","-"),"월","-"),"일",""),".","-"),"/","-")," ","-"),"--","-"),"--","-"),"--","-")&amp;"-","")</f>
        <v/>
      </c>
      <c r="CI2974">
        <f>IFERROR(IF('월 가계부'!A2974="","",IF(ISNUMBER('월 가계부'!A2974),IF(AND('월 가계부'!A2974&gt;=19000101,'월 가계부'!A2974&lt;=21001231),IF(AND(MOD(INT('월 가계부'!A2974/100),100)&gt;=1,MOD(INT('월 가계부'!A2974/100),100)&lt;=12,MOD(INT('월 가계부'!A2974),100)&gt;=1,MOD(INT('월 가계부'!A2974),100)&lt;=31),IF(MONTH(DATE(INT('월 가계부'!A2974/10000),MOD(INT('월 가계부'!A2974/100),100),MOD(INT('월 가계부'!A2974),100)))=MOD(INT('월 가계부'!A2974/100),100),DATE(INT('월 가계부'!A2974/10000),MOD(INT('월 가계부'!A2974/100),100),MOD(INT('월 가계부'!A2974),100)),""),""),IF(AND('월 가계부'!A2974&gt;=36526,'월 가계부'!A2974&lt;73051),INT('월 가계부'!A2974),"")),IF(OR(CM2974="",CN2974="",CO2974=""),"",IF(AND(CM2974&gt;=2000,CM2974&lt;=2099,CN2974&gt;=1,CN2974&lt;=12,CO2974&gt;=1,CO2974&lt;=31),IF(MONTH(DATE(CM2974,CN2974,CO2974))=CN2974,DATE(CM2974,CN2974,CO2974),""),"")))),"")</f>
        <v/>
      </c>
      <c r="CJ2974">
        <f>IFERROR(IF('월 가계부'!C2974="","",IF(ISNUMBER('월 가계부'!C2974),'월 가계부'!C2974,VALUE(SUBSTITUTE(SUBSTITUTE(SUBSTITUTE(SUBSTITUTE(TRIM('월 가계부'!C2974),",",""),"원","")," ",""),"−","-")))),"")</f>
        <v/>
      </c>
      <c r="CK2974">
        <f>IF(ISNUMBER(CI2974),IF(CI2974&lt;$B$13,CI2974,""),"")</f>
        <v/>
      </c>
      <c r="CM2974">
        <f>IF(CH2974="","",IFERROR(IF(IF(AND(LEN(CH2974)=9,ISERROR(FIND("-",LEFT(CH2974,8))),ISNUMBER(-LEFT(CH2974,8))),VALUE(LEFT(CH2974,4)),VALUE(LEFT(CH2974,FIND("-",CH2974)-1)))&lt;100,IF(AND(LEN(CH2974)=9,ISERROR(FIND("-",LEFT(CH2974,8))),ISNUMBER(-LEFT(CH2974,8))),VALUE(LEFT(CH2974,4)),VALUE(LEFT(CH2974,FIND("-",CH2974)-1)))+2000,IF(AND(LEN(CH2974)=9,ISERROR(FIND("-",LEFT(CH2974,8))),ISNUMBER(-LEFT(CH2974,8))),VALUE(LEFT(CH2974,4)),VALUE(LEFT(CH2974,FIND("-",CH2974)-1)))),""))</f>
        <v/>
      </c>
      <c r="CN2974">
        <f>IF(CH2974="","",IFERROR(IF(AND(LEN(CH2974)=9,ISERROR(FIND("-",LEFT(CH2974,8))),ISNUMBER(-LEFT(CH2974,8))),VALUE(MID(CH2974,5,2)),VALUE(MID(CH2974,FIND("-",CH2974)+1,FIND("-",CH2974,FIND("-",CH2974)+1)-FIND("-",CH2974)-1))),""))</f>
        <v/>
      </c>
      <c r="CO2974">
        <f>IF(CH2974="","",IFERROR(IF(AND(LEN(CH2974)=9,ISERROR(FIND("-",LEFT(CH2974,8))),ISNUMBER(-LEFT(CH2974,8))),VALUE(MID(CH2974,7,2)),VALUE(MID(CH2974,FIND("-",CH2974,FIND("-",CH2974)+1)+1,FIND("-",CH2974,FIND("-",CH2974,FIND("-",CH2974)+1)+1)-FIND("-",CH2974,FIND("-",CH2974)+1)-1))),""))</f>
        <v/>
      </c>
    </row>
    <row r="2975">
      <c r="CH2975">
        <f>IF(ISTEXT('월 가계부'!A2975),SUBSTITUTE(SUBSTITUTE(SUBSTITUTE(SUBSTITUTE(SUBSTITUTE(SUBSTITUTE(SUBSTITUTE(SUBSTITUTE(SUBSTITUTE(TRIM('월 가계부'!A2975),"년","-"),"월","-"),"일",""),".","-"),"/","-")," ","-"),"--","-"),"--","-"),"--","-")&amp;"-","")</f>
        <v/>
      </c>
      <c r="CI2975">
        <f>IFERROR(IF('월 가계부'!A2975="","",IF(ISNUMBER('월 가계부'!A2975),IF(AND('월 가계부'!A2975&gt;=19000101,'월 가계부'!A2975&lt;=21001231),IF(AND(MOD(INT('월 가계부'!A2975/100),100)&gt;=1,MOD(INT('월 가계부'!A2975/100),100)&lt;=12,MOD(INT('월 가계부'!A2975),100)&gt;=1,MOD(INT('월 가계부'!A2975),100)&lt;=31),IF(MONTH(DATE(INT('월 가계부'!A2975/10000),MOD(INT('월 가계부'!A2975/100),100),MOD(INT('월 가계부'!A2975),100)))=MOD(INT('월 가계부'!A2975/100),100),DATE(INT('월 가계부'!A2975/10000),MOD(INT('월 가계부'!A2975/100),100),MOD(INT('월 가계부'!A2975),100)),""),""),IF(AND('월 가계부'!A2975&gt;=36526,'월 가계부'!A2975&lt;73051),INT('월 가계부'!A2975),"")),IF(OR(CM2975="",CN2975="",CO2975=""),"",IF(AND(CM2975&gt;=2000,CM2975&lt;=2099,CN2975&gt;=1,CN2975&lt;=12,CO2975&gt;=1,CO2975&lt;=31),IF(MONTH(DATE(CM2975,CN2975,CO2975))=CN2975,DATE(CM2975,CN2975,CO2975),""),"")))),"")</f>
        <v/>
      </c>
      <c r="CJ2975">
        <f>IFERROR(IF('월 가계부'!C2975="","",IF(ISNUMBER('월 가계부'!C2975),'월 가계부'!C2975,VALUE(SUBSTITUTE(SUBSTITUTE(SUBSTITUTE(SUBSTITUTE(TRIM('월 가계부'!C2975),",",""),"원","")," ",""),"−","-")))),"")</f>
        <v/>
      </c>
      <c r="CK2975">
        <f>IF(ISNUMBER(CI2975),IF(CI2975&lt;$B$13,CI2975,""),"")</f>
        <v/>
      </c>
      <c r="CM2975">
        <f>IF(CH2975="","",IFERROR(IF(IF(AND(LEN(CH2975)=9,ISERROR(FIND("-",LEFT(CH2975,8))),ISNUMBER(-LEFT(CH2975,8))),VALUE(LEFT(CH2975,4)),VALUE(LEFT(CH2975,FIND("-",CH2975)-1)))&lt;100,IF(AND(LEN(CH2975)=9,ISERROR(FIND("-",LEFT(CH2975,8))),ISNUMBER(-LEFT(CH2975,8))),VALUE(LEFT(CH2975,4)),VALUE(LEFT(CH2975,FIND("-",CH2975)-1)))+2000,IF(AND(LEN(CH2975)=9,ISERROR(FIND("-",LEFT(CH2975,8))),ISNUMBER(-LEFT(CH2975,8))),VALUE(LEFT(CH2975,4)),VALUE(LEFT(CH2975,FIND("-",CH2975)-1)))),""))</f>
        <v/>
      </c>
      <c r="CN2975">
        <f>IF(CH2975="","",IFERROR(IF(AND(LEN(CH2975)=9,ISERROR(FIND("-",LEFT(CH2975,8))),ISNUMBER(-LEFT(CH2975,8))),VALUE(MID(CH2975,5,2)),VALUE(MID(CH2975,FIND("-",CH2975)+1,FIND("-",CH2975,FIND("-",CH2975)+1)-FIND("-",CH2975)-1))),""))</f>
        <v/>
      </c>
      <c r="CO2975">
        <f>IF(CH2975="","",IFERROR(IF(AND(LEN(CH2975)=9,ISERROR(FIND("-",LEFT(CH2975,8))),ISNUMBER(-LEFT(CH2975,8))),VALUE(MID(CH2975,7,2)),VALUE(MID(CH2975,FIND("-",CH2975,FIND("-",CH2975)+1)+1,FIND("-",CH2975,FIND("-",CH2975,FIND("-",CH2975)+1)+1)-FIND("-",CH2975,FIND("-",CH2975)+1)-1))),""))</f>
        <v/>
      </c>
    </row>
    <row r="2976">
      <c r="CH2976">
        <f>IF(ISTEXT('월 가계부'!A2976),SUBSTITUTE(SUBSTITUTE(SUBSTITUTE(SUBSTITUTE(SUBSTITUTE(SUBSTITUTE(SUBSTITUTE(SUBSTITUTE(SUBSTITUTE(TRIM('월 가계부'!A2976),"년","-"),"월","-"),"일",""),".","-"),"/","-")," ","-"),"--","-"),"--","-"),"--","-")&amp;"-","")</f>
        <v/>
      </c>
      <c r="CI2976">
        <f>IFERROR(IF('월 가계부'!A2976="","",IF(ISNUMBER('월 가계부'!A2976),IF(AND('월 가계부'!A2976&gt;=19000101,'월 가계부'!A2976&lt;=21001231),IF(AND(MOD(INT('월 가계부'!A2976/100),100)&gt;=1,MOD(INT('월 가계부'!A2976/100),100)&lt;=12,MOD(INT('월 가계부'!A2976),100)&gt;=1,MOD(INT('월 가계부'!A2976),100)&lt;=31),IF(MONTH(DATE(INT('월 가계부'!A2976/10000),MOD(INT('월 가계부'!A2976/100),100),MOD(INT('월 가계부'!A2976),100)))=MOD(INT('월 가계부'!A2976/100),100),DATE(INT('월 가계부'!A2976/10000),MOD(INT('월 가계부'!A2976/100),100),MOD(INT('월 가계부'!A2976),100)),""),""),IF(AND('월 가계부'!A2976&gt;=36526,'월 가계부'!A2976&lt;73051),INT('월 가계부'!A2976),"")),IF(OR(CM2976="",CN2976="",CO2976=""),"",IF(AND(CM2976&gt;=2000,CM2976&lt;=2099,CN2976&gt;=1,CN2976&lt;=12,CO2976&gt;=1,CO2976&lt;=31),IF(MONTH(DATE(CM2976,CN2976,CO2976))=CN2976,DATE(CM2976,CN2976,CO2976),""),"")))),"")</f>
        <v/>
      </c>
      <c r="CJ2976">
        <f>IFERROR(IF('월 가계부'!C2976="","",IF(ISNUMBER('월 가계부'!C2976),'월 가계부'!C2976,VALUE(SUBSTITUTE(SUBSTITUTE(SUBSTITUTE(SUBSTITUTE(TRIM('월 가계부'!C2976),",",""),"원","")," ",""),"−","-")))),"")</f>
        <v/>
      </c>
      <c r="CK2976">
        <f>IF(ISNUMBER(CI2976),IF(CI2976&lt;$B$13,CI2976,""),"")</f>
        <v/>
      </c>
      <c r="CM2976">
        <f>IF(CH2976="","",IFERROR(IF(IF(AND(LEN(CH2976)=9,ISERROR(FIND("-",LEFT(CH2976,8))),ISNUMBER(-LEFT(CH2976,8))),VALUE(LEFT(CH2976,4)),VALUE(LEFT(CH2976,FIND("-",CH2976)-1)))&lt;100,IF(AND(LEN(CH2976)=9,ISERROR(FIND("-",LEFT(CH2976,8))),ISNUMBER(-LEFT(CH2976,8))),VALUE(LEFT(CH2976,4)),VALUE(LEFT(CH2976,FIND("-",CH2976)-1)))+2000,IF(AND(LEN(CH2976)=9,ISERROR(FIND("-",LEFT(CH2976,8))),ISNUMBER(-LEFT(CH2976,8))),VALUE(LEFT(CH2976,4)),VALUE(LEFT(CH2976,FIND("-",CH2976)-1)))),""))</f>
        <v/>
      </c>
      <c r="CN2976">
        <f>IF(CH2976="","",IFERROR(IF(AND(LEN(CH2976)=9,ISERROR(FIND("-",LEFT(CH2976,8))),ISNUMBER(-LEFT(CH2976,8))),VALUE(MID(CH2976,5,2)),VALUE(MID(CH2976,FIND("-",CH2976)+1,FIND("-",CH2976,FIND("-",CH2976)+1)-FIND("-",CH2976)-1))),""))</f>
        <v/>
      </c>
      <c r="CO2976">
        <f>IF(CH2976="","",IFERROR(IF(AND(LEN(CH2976)=9,ISERROR(FIND("-",LEFT(CH2976,8))),ISNUMBER(-LEFT(CH2976,8))),VALUE(MID(CH2976,7,2)),VALUE(MID(CH2976,FIND("-",CH2976,FIND("-",CH2976)+1)+1,FIND("-",CH2976,FIND("-",CH2976,FIND("-",CH2976)+1)+1)-FIND("-",CH2976,FIND("-",CH2976)+1)-1))),""))</f>
        <v/>
      </c>
    </row>
    <row r="2977">
      <c r="CH2977">
        <f>IF(ISTEXT('월 가계부'!A2977),SUBSTITUTE(SUBSTITUTE(SUBSTITUTE(SUBSTITUTE(SUBSTITUTE(SUBSTITUTE(SUBSTITUTE(SUBSTITUTE(SUBSTITUTE(TRIM('월 가계부'!A2977),"년","-"),"월","-"),"일",""),".","-"),"/","-")," ","-"),"--","-"),"--","-"),"--","-")&amp;"-","")</f>
        <v/>
      </c>
      <c r="CI2977">
        <f>IFERROR(IF('월 가계부'!A2977="","",IF(ISNUMBER('월 가계부'!A2977),IF(AND('월 가계부'!A2977&gt;=19000101,'월 가계부'!A2977&lt;=21001231),IF(AND(MOD(INT('월 가계부'!A2977/100),100)&gt;=1,MOD(INT('월 가계부'!A2977/100),100)&lt;=12,MOD(INT('월 가계부'!A2977),100)&gt;=1,MOD(INT('월 가계부'!A2977),100)&lt;=31),IF(MONTH(DATE(INT('월 가계부'!A2977/10000),MOD(INT('월 가계부'!A2977/100),100),MOD(INT('월 가계부'!A2977),100)))=MOD(INT('월 가계부'!A2977/100),100),DATE(INT('월 가계부'!A2977/10000),MOD(INT('월 가계부'!A2977/100),100),MOD(INT('월 가계부'!A2977),100)),""),""),IF(AND('월 가계부'!A2977&gt;=36526,'월 가계부'!A2977&lt;73051),INT('월 가계부'!A2977),"")),IF(OR(CM2977="",CN2977="",CO2977=""),"",IF(AND(CM2977&gt;=2000,CM2977&lt;=2099,CN2977&gt;=1,CN2977&lt;=12,CO2977&gt;=1,CO2977&lt;=31),IF(MONTH(DATE(CM2977,CN2977,CO2977))=CN2977,DATE(CM2977,CN2977,CO2977),""),"")))),"")</f>
        <v/>
      </c>
      <c r="CJ2977">
        <f>IFERROR(IF('월 가계부'!C2977="","",IF(ISNUMBER('월 가계부'!C2977),'월 가계부'!C2977,VALUE(SUBSTITUTE(SUBSTITUTE(SUBSTITUTE(SUBSTITUTE(TRIM('월 가계부'!C2977),",",""),"원","")," ",""),"−","-")))),"")</f>
        <v/>
      </c>
      <c r="CK2977">
        <f>IF(ISNUMBER(CI2977),IF(CI2977&lt;$B$13,CI2977,""),"")</f>
        <v/>
      </c>
      <c r="CM2977">
        <f>IF(CH2977="","",IFERROR(IF(IF(AND(LEN(CH2977)=9,ISERROR(FIND("-",LEFT(CH2977,8))),ISNUMBER(-LEFT(CH2977,8))),VALUE(LEFT(CH2977,4)),VALUE(LEFT(CH2977,FIND("-",CH2977)-1)))&lt;100,IF(AND(LEN(CH2977)=9,ISERROR(FIND("-",LEFT(CH2977,8))),ISNUMBER(-LEFT(CH2977,8))),VALUE(LEFT(CH2977,4)),VALUE(LEFT(CH2977,FIND("-",CH2977)-1)))+2000,IF(AND(LEN(CH2977)=9,ISERROR(FIND("-",LEFT(CH2977,8))),ISNUMBER(-LEFT(CH2977,8))),VALUE(LEFT(CH2977,4)),VALUE(LEFT(CH2977,FIND("-",CH2977)-1)))),""))</f>
        <v/>
      </c>
      <c r="CN2977">
        <f>IF(CH2977="","",IFERROR(IF(AND(LEN(CH2977)=9,ISERROR(FIND("-",LEFT(CH2977,8))),ISNUMBER(-LEFT(CH2977,8))),VALUE(MID(CH2977,5,2)),VALUE(MID(CH2977,FIND("-",CH2977)+1,FIND("-",CH2977,FIND("-",CH2977)+1)-FIND("-",CH2977)-1))),""))</f>
        <v/>
      </c>
      <c r="CO2977">
        <f>IF(CH2977="","",IFERROR(IF(AND(LEN(CH2977)=9,ISERROR(FIND("-",LEFT(CH2977,8))),ISNUMBER(-LEFT(CH2977,8))),VALUE(MID(CH2977,7,2)),VALUE(MID(CH2977,FIND("-",CH2977,FIND("-",CH2977)+1)+1,FIND("-",CH2977,FIND("-",CH2977,FIND("-",CH2977)+1)+1)-FIND("-",CH2977,FIND("-",CH2977)+1)-1))),""))</f>
        <v/>
      </c>
    </row>
    <row r="2978">
      <c r="CH2978">
        <f>IF(ISTEXT('월 가계부'!A2978),SUBSTITUTE(SUBSTITUTE(SUBSTITUTE(SUBSTITUTE(SUBSTITUTE(SUBSTITUTE(SUBSTITUTE(SUBSTITUTE(SUBSTITUTE(TRIM('월 가계부'!A2978),"년","-"),"월","-"),"일",""),".","-"),"/","-")," ","-"),"--","-"),"--","-"),"--","-")&amp;"-","")</f>
        <v/>
      </c>
      <c r="CI2978">
        <f>IFERROR(IF('월 가계부'!A2978="","",IF(ISNUMBER('월 가계부'!A2978),IF(AND('월 가계부'!A2978&gt;=19000101,'월 가계부'!A2978&lt;=21001231),IF(AND(MOD(INT('월 가계부'!A2978/100),100)&gt;=1,MOD(INT('월 가계부'!A2978/100),100)&lt;=12,MOD(INT('월 가계부'!A2978),100)&gt;=1,MOD(INT('월 가계부'!A2978),100)&lt;=31),IF(MONTH(DATE(INT('월 가계부'!A2978/10000),MOD(INT('월 가계부'!A2978/100),100),MOD(INT('월 가계부'!A2978),100)))=MOD(INT('월 가계부'!A2978/100),100),DATE(INT('월 가계부'!A2978/10000),MOD(INT('월 가계부'!A2978/100),100),MOD(INT('월 가계부'!A2978),100)),""),""),IF(AND('월 가계부'!A2978&gt;=36526,'월 가계부'!A2978&lt;73051),INT('월 가계부'!A2978),"")),IF(OR(CM2978="",CN2978="",CO2978=""),"",IF(AND(CM2978&gt;=2000,CM2978&lt;=2099,CN2978&gt;=1,CN2978&lt;=12,CO2978&gt;=1,CO2978&lt;=31),IF(MONTH(DATE(CM2978,CN2978,CO2978))=CN2978,DATE(CM2978,CN2978,CO2978),""),"")))),"")</f>
        <v/>
      </c>
      <c r="CJ2978">
        <f>IFERROR(IF('월 가계부'!C2978="","",IF(ISNUMBER('월 가계부'!C2978),'월 가계부'!C2978,VALUE(SUBSTITUTE(SUBSTITUTE(SUBSTITUTE(SUBSTITUTE(TRIM('월 가계부'!C2978),",",""),"원","")," ",""),"−","-")))),"")</f>
        <v/>
      </c>
      <c r="CK2978">
        <f>IF(ISNUMBER(CI2978),IF(CI2978&lt;$B$13,CI2978,""),"")</f>
        <v/>
      </c>
      <c r="CM2978">
        <f>IF(CH2978="","",IFERROR(IF(IF(AND(LEN(CH2978)=9,ISERROR(FIND("-",LEFT(CH2978,8))),ISNUMBER(-LEFT(CH2978,8))),VALUE(LEFT(CH2978,4)),VALUE(LEFT(CH2978,FIND("-",CH2978)-1)))&lt;100,IF(AND(LEN(CH2978)=9,ISERROR(FIND("-",LEFT(CH2978,8))),ISNUMBER(-LEFT(CH2978,8))),VALUE(LEFT(CH2978,4)),VALUE(LEFT(CH2978,FIND("-",CH2978)-1)))+2000,IF(AND(LEN(CH2978)=9,ISERROR(FIND("-",LEFT(CH2978,8))),ISNUMBER(-LEFT(CH2978,8))),VALUE(LEFT(CH2978,4)),VALUE(LEFT(CH2978,FIND("-",CH2978)-1)))),""))</f>
        <v/>
      </c>
      <c r="CN2978">
        <f>IF(CH2978="","",IFERROR(IF(AND(LEN(CH2978)=9,ISERROR(FIND("-",LEFT(CH2978,8))),ISNUMBER(-LEFT(CH2978,8))),VALUE(MID(CH2978,5,2)),VALUE(MID(CH2978,FIND("-",CH2978)+1,FIND("-",CH2978,FIND("-",CH2978)+1)-FIND("-",CH2978)-1))),""))</f>
        <v/>
      </c>
      <c r="CO2978">
        <f>IF(CH2978="","",IFERROR(IF(AND(LEN(CH2978)=9,ISERROR(FIND("-",LEFT(CH2978,8))),ISNUMBER(-LEFT(CH2978,8))),VALUE(MID(CH2978,7,2)),VALUE(MID(CH2978,FIND("-",CH2978,FIND("-",CH2978)+1)+1,FIND("-",CH2978,FIND("-",CH2978,FIND("-",CH2978)+1)+1)-FIND("-",CH2978,FIND("-",CH2978)+1)-1))),""))</f>
        <v/>
      </c>
    </row>
    <row r="2979">
      <c r="CH2979">
        <f>IF(ISTEXT('월 가계부'!A2979),SUBSTITUTE(SUBSTITUTE(SUBSTITUTE(SUBSTITUTE(SUBSTITUTE(SUBSTITUTE(SUBSTITUTE(SUBSTITUTE(SUBSTITUTE(TRIM('월 가계부'!A2979),"년","-"),"월","-"),"일",""),".","-"),"/","-")," ","-"),"--","-"),"--","-"),"--","-")&amp;"-","")</f>
        <v/>
      </c>
      <c r="CI2979">
        <f>IFERROR(IF('월 가계부'!A2979="","",IF(ISNUMBER('월 가계부'!A2979),IF(AND('월 가계부'!A2979&gt;=19000101,'월 가계부'!A2979&lt;=21001231),IF(AND(MOD(INT('월 가계부'!A2979/100),100)&gt;=1,MOD(INT('월 가계부'!A2979/100),100)&lt;=12,MOD(INT('월 가계부'!A2979),100)&gt;=1,MOD(INT('월 가계부'!A2979),100)&lt;=31),IF(MONTH(DATE(INT('월 가계부'!A2979/10000),MOD(INT('월 가계부'!A2979/100),100),MOD(INT('월 가계부'!A2979),100)))=MOD(INT('월 가계부'!A2979/100),100),DATE(INT('월 가계부'!A2979/10000),MOD(INT('월 가계부'!A2979/100),100),MOD(INT('월 가계부'!A2979),100)),""),""),IF(AND('월 가계부'!A2979&gt;=36526,'월 가계부'!A2979&lt;73051),INT('월 가계부'!A2979),"")),IF(OR(CM2979="",CN2979="",CO2979=""),"",IF(AND(CM2979&gt;=2000,CM2979&lt;=2099,CN2979&gt;=1,CN2979&lt;=12,CO2979&gt;=1,CO2979&lt;=31),IF(MONTH(DATE(CM2979,CN2979,CO2979))=CN2979,DATE(CM2979,CN2979,CO2979),""),"")))),"")</f>
        <v/>
      </c>
      <c r="CJ2979">
        <f>IFERROR(IF('월 가계부'!C2979="","",IF(ISNUMBER('월 가계부'!C2979),'월 가계부'!C2979,VALUE(SUBSTITUTE(SUBSTITUTE(SUBSTITUTE(SUBSTITUTE(TRIM('월 가계부'!C2979),",",""),"원","")," ",""),"−","-")))),"")</f>
        <v/>
      </c>
      <c r="CK2979">
        <f>IF(ISNUMBER(CI2979),IF(CI2979&lt;$B$13,CI2979,""),"")</f>
        <v/>
      </c>
      <c r="CM2979">
        <f>IF(CH2979="","",IFERROR(IF(IF(AND(LEN(CH2979)=9,ISERROR(FIND("-",LEFT(CH2979,8))),ISNUMBER(-LEFT(CH2979,8))),VALUE(LEFT(CH2979,4)),VALUE(LEFT(CH2979,FIND("-",CH2979)-1)))&lt;100,IF(AND(LEN(CH2979)=9,ISERROR(FIND("-",LEFT(CH2979,8))),ISNUMBER(-LEFT(CH2979,8))),VALUE(LEFT(CH2979,4)),VALUE(LEFT(CH2979,FIND("-",CH2979)-1)))+2000,IF(AND(LEN(CH2979)=9,ISERROR(FIND("-",LEFT(CH2979,8))),ISNUMBER(-LEFT(CH2979,8))),VALUE(LEFT(CH2979,4)),VALUE(LEFT(CH2979,FIND("-",CH2979)-1)))),""))</f>
        <v/>
      </c>
      <c r="CN2979">
        <f>IF(CH2979="","",IFERROR(IF(AND(LEN(CH2979)=9,ISERROR(FIND("-",LEFT(CH2979,8))),ISNUMBER(-LEFT(CH2979,8))),VALUE(MID(CH2979,5,2)),VALUE(MID(CH2979,FIND("-",CH2979)+1,FIND("-",CH2979,FIND("-",CH2979)+1)-FIND("-",CH2979)-1))),""))</f>
        <v/>
      </c>
      <c r="CO2979">
        <f>IF(CH2979="","",IFERROR(IF(AND(LEN(CH2979)=9,ISERROR(FIND("-",LEFT(CH2979,8))),ISNUMBER(-LEFT(CH2979,8))),VALUE(MID(CH2979,7,2)),VALUE(MID(CH2979,FIND("-",CH2979,FIND("-",CH2979)+1)+1,FIND("-",CH2979,FIND("-",CH2979,FIND("-",CH2979)+1)+1)-FIND("-",CH2979,FIND("-",CH2979)+1)-1))),""))</f>
        <v/>
      </c>
    </row>
    <row r="2980">
      <c r="CH2980">
        <f>IF(ISTEXT('월 가계부'!A2980),SUBSTITUTE(SUBSTITUTE(SUBSTITUTE(SUBSTITUTE(SUBSTITUTE(SUBSTITUTE(SUBSTITUTE(SUBSTITUTE(SUBSTITUTE(TRIM('월 가계부'!A2980),"년","-"),"월","-"),"일",""),".","-"),"/","-")," ","-"),"--","-"),"--","-"),"--","-")&amp;"-","")</f>
        <v/>
      </c>
      <c r="CI2980">
        <f>IFERROR(IF('월 가계부'!A2980="","",IF(ISNUMBER('월 가계부'!A2980),IF(AND('월 가계부'!A2980&gt;=19000101,'월 가계부'!A2980&lt;=21001231),IF(AND(MOD(INT('월 가계부'!A2980/100),100)&gt;=1,MOD(INT('월 가계부'!A2980/100),100)&lt;=12,MOD(INT('월 가계부'!A2980),100)&gt;=1,MOD(INT('월 가계부'!A2980),100)&lt;=31),IF(MONTH(DATE(INT('월 가계부'!A2980/10000),MOD(INT('월 가계부'!A2980/100),100),MOD(INT('월 가계부'!A2980),100)))=MOD(INT('월 가계부'!A2980/100),100),DATE(INT('월 가계부'!A2980/10000),MOD(INT('월 가계부'!A2980/100),100),MOD(INT('월 가계부'!A2980),100)),""),""),IF(AND('월 가계부'!A2980&gt;=36526,'월 가계부'!A2980&lt;73051),INT('월 가계부'!A2980),"")),IF(OR(CM2980="",CN2980="",CO2980=""),"",IF(AND(CM2980&gt;=2000,CM2980&lt;=2099,CN2980&gt;=1,CN2980&lt;=12,CO2980&gt;=1,CO2980&lt;=31),IF(MONTH(DATE(CM2980,CN2980,CO2980))=CN2980,DATE(CM2980,CN2980,CO2980),""),"")))),"")</f>
        <v/>
      </c>
      <c r="CJ2980">
        <f>IFERROR(IF('월 가계부'!C2980="","",IF(ISNUMBER('월 가계부'!C2980),'월 가계부'!C2980,VALUE(SUBSTITUTE(SUBSTITUTE(SUBSTITUTE(SUBSTITUTE(TRIM('월 가계부'!C2980),",",""),"원","")," ",""),"−","-")))),"")</f>
        <v/>
      </c>
      <c r="CK2980">
        <f>IF(ISNUMBER(CI2980),IF(CI2980&lt;$B$13,CI2980,""),"")</f>
        <v/>
      </c>
      <c r="CM2980">
        <f>IF(CH2980="","",IFERROR(IF(IF(AND(LEN(CH2980)=9,ISERROR(FIND("-",LEFT(CH2980,8))),ISNUMBER(-LEFT(CH2980,8))),VALUE(LEFT(CH2980,4)),VALUE(LEFT(CH2980,FIND("-",CH2980)-1)))&lt;100,IF(AND(LEN(CH2980)=9,ISERROR(FIND("-",LEFT(CH2980,8))),ISNUMBER(-LEFT(CH2980,8))),VALUE(LEFT(CH2980,4)),VALUE(LEFT(CH2980,FIND("-",CH2980)-1)))+2000,IF(AND(LEN(CH2980)=9,ISERROR(FIND("-",LEFT(CH2980,8))),ISNUMBER(-LEFT(CH2980,8))),VALUE(LEFT(CH2980,4)),VALUE(LEFT(CH2980,FIND("-",CH2980)-1)))),""))</f>
        <v/>
      </c>
      <c r="CN2980">
        <f>IF(CH2980="","",IFERROR(IF(AND(LEN(CH2980)=9,ISERROR(FIND("-",LEFT(CH2980,8))),ISNUMBER(-LEFT(CH2980,8))),VALUE(MID(CH2980,5,2)),VALUE(MID(CH2980,FIND("-",CH2980)+1,FIND("-",CH2980,FIND("-",CH2980)+1)-FIND("-",CH2980)-1))),""))</f>
        <v/>
      </c>
      <c r="CO2980">
        <f>IF(CH2980="","",IFERROR(IF(AND(LEN(CH2980)=9,ISERROR(FIND("-",LEFT(CH2980,8))),ISNUMBER(-LEFT(CH2980,8))),VALUE(MID(CH2980,7,2)),VALUE(MID(CH2980,FIND("-",CH2980,FIND("-",CH2980)+1)+1,FIND("-",CH2980,FIND("-",CH2980,FIND("-",CH2980)+1)+1)-FIND("-",CH2980,FIND("-",CH2980)+1)-1))),""))</f>
        <v/>
      </c>
    </row>
    <row r="2981">
      <c r="CH2981">
        <f>IF(ISTEXT('월 가계부'!A2981),SUBSTITUTE(SUBSTITUTE(SUBSTITUTE(SUBSTITUTE(SUBSTITUTE(SUBSTITUTE(SUBSTITUTE(SUBSTITUTE(SUBSTITUTE(TRIM('월 가계부'!A2981),"년","-"),"월","-"),"일",""),".","-"),"/","-")," ","-"),"--","-"),"--","-"),"--","-")&amp;"-","")</f>
        <v/>
      </c>
      <c r="CI2981">
        <f>IFERROR(IF('월 가계부'!A2981="","",IF(ISNUMBER('월 가계부'!A2981),IF(AND('월 가계부'!A2981&gt;=19000101,'월 가계부'!A2981&lt;=21001231),IF(AND(MOD(INT('월 가계부'!A2981/100),100)&gt;=1,MOD(INT('월 가계부'!A2981/100),100)&lt;=12,MOD(INT('월 가계부'!A2981),100)&gt;=1,MOD(INT('월 가계부'!A2981),100)&lt;=31),IF(MONTH(DATE(INT('월 가계부'!A2981/10000),MOD(INT('월 가계부'!A2981/100),100),MOD(INT('월 가계부'!A2981),100)))=MOD(INT('월 가계부'!A2981/100),100),DATE(INT('월 가계부'!A2981/10000),MOD(INT('월 가계부'!A2981/100),100),MOD(INT('월 가계부'!A2981),100)),""),""),IF(AND('월 가계부'!A2981&gt;=36526,'월 가계부'!A2981&lt;73051),INT('월 가계부'!A2981),"")),IF(OR(CM2981="",CN2981="",CO2981=""),"",IF(AND(CM2981&gt;=2000,CM2981&lt;=2099,CN2981&gt;=1,CN2981&lt;=12,CO2981&gt;=1,CO2981&lt;=31),IF(MONTH(DATE(CM2981,CN2981,CO2981))=CN2981,DATE(CM2981,CN2981,CO2981),""),"")))),"")</f>
        <v/>
      </c>
      <c r="CJ2981">
        <f>IFERROR(IF('월 가계부'!C2981="","",IF(ISNUMBER('월 가계부'!C2981),'월 가계부'!C2981,VALUE(SUBSTITUTE(SUBSTITUTE(SUBSTITUTE(SUBSTITUTE(TRIM('월 가계부'!C2981),",",""),"원","")," ",""),"−","-")))),"")</f>
        <v/>
      </c>
      <c r="CK2981">
        <f>IF(ISNUMBER(CI2981),IF(CI2981&lt;$B$13,CI2981,""),"")</f>
        <v/>
      </c>
      <c r="CM2981">
        <f>IF(CH2981="","",IFERROR(IF(IF(AND(LEN(CH2981)=9,ISERROR(FIND("-",LEFT(CH2981,8))),ISNUMBER(-LEFT(CH2981,8))),VALUE(LEFT(CH2981,4)),VALUE(LEFT(CH2981,FIND("-",CH2981)-1)))&lt;100,IF(AND(LEN(CH2981)=9,ISERROR(FIND("-",LEFT(CH2981,8))),ISNUMBER(-LEFT(CH2981,8))),VALUE(LEFT(CH2981,4)),VALUE(LEFT(CH2981,FIND("-",CH2981)-1)))+2000,IF(AND(LEN(CH2981)=9,ISERROR(FIND("-",LEFT(CH2981,8))),ISNUMBER(-LEFT(CH2981,8))),VALUE(LEFT(CH2981,4)),VALUE(LEFT(CH2981,FIND("-",CH2981)-1)))),""))</f>
        <v/>
      </c>
      <c r="CN2981">
        <f>IF(CH2981="","",IFERROR(IF(AND(LEN(CH2981)=9,ISERROR(FIND("-",LEFT(CH2981,8))),ISNUMBER(-LEFT(CH2981,8))),VALUE(MID(CH2981,5,2)),VALUE(MID(CH2981,FIND("-",CH2981)+1,FIND("-",CH2981,FIND("-",CH2981)+1)-FIND("-",CH2981)-1))),""))</f>
        <v/>
      </c>
      <c r="CO2981">
        <f>IF(CH2981="","",IFERROR(IF(AND(LEN(CH2981)=9,ISERROR(FIND("-",LEFT(CH2981,8))),ISNUMBER(-LEFT(CH2981,8))),VALUE(MID(CH2981,7,2)),VALUE(MID(CH2981,FIND("-",CH2981,FIND("-",CH2981)+1)+1,FIND("-",CH2981,FIND("-",CH2981,FIND("-",CH2981)+1)+1)-FIND("-",CH2981,FIND("-",CH2981)+1)-1))),""))</f>
        <v/>
      </c>
    </row>
    <row r="2982">
      <c r="CH2982">
        <f>IF(ISTEXT('월 가계부'!A2982),SUBSTITUTE(SUBSTITUTE(SUBSTITUTE(SUBSTITUTE(SUBSTITUTE(SUBSTITUTE(SUBSTITUTE(SUBSTITUTE(SUBSTITUTE(TRIM('월 가계부'!A2982),"년","-"),"월","-"),"일",""),".","-"),"/","-")," ","-"),"--","-"),"--","-"),"--","-")&amp;"-","")</f>
        <v/>
      </c>
      <c r="CI2982">
        <f>IFERROR(IF('월 가계부'!A2982="","",IF(ISNUMBER('월 가계부'!A2982),IF(AND('월 가계부'!A2982&gt;=19000101,'월 가계부'!A2982&lt;=21001231),IF(AND(MOD(INT('월 가계부'!A2982/100),100)&gt;=1,MOD(INT('월 가계부'!A2982/100),100)&lt;=12,MOD(INT('월 가계부'!A2982),100)&gt;=1,MOD(INT('월 가계부'!A2982),100)&lt;=31),IF(MONTH(DATE(INT('월 가계부'!A2982/10000),MOD(INT('월 가계부'!A2982/100),100),MOD(INT('월 가계부'!A2982),100)))=MOD(INT('월 가계부'!A2982/100),100),DATE(INT('월 가계부'!A2982/10000),MOD(INT('월 가계부'!A2982/100),100),MOD(INT('월 가계부'!A2982),100)),""),""),IF(AND('월 가계부'!A2982&gt;=36526,'월 가계부'!A2982&lt;73051),INT('월 가계부'!A2982),"")),IF(OR(CM2982="",CN2982="",CO2982=""),"",IF(AND(CM2982&gt;=2000,CM2982&lt;=2099,CN2982&gt;=1,CN2982&lt;=12,CO2982&gt;=1,CO2982&lt;=31),IF(MONTH(DATE(CM2982,CN2982,CO2982))=CN2982,DATE(CM2982,CN2982,CO2982),""),"")))),"")</f>
        <v/>
      </c>
      <c r="CJ2982">
        <f>IFERROR(IF('월 가계부'!C2982="","",IF(ISNUMBER('월 가계부'!C2982),'월 가계부'!C2982,VALUE(SUBSTITUTE(SUBSTITUTE(SUBSTITUTE(SUBSTITUTE(TRIM('월 가계부'!C2982),",",""),"원","")," ",""),"−","-")))),"")</f>
        <v/>
      </c>
      <c r="CK2982">
        <f>IF(ISNUMBER(CI2982),IF(CI2982&lt;$B$13,CI2982,""),"")</f>
        <v/>
      </c>
      <c r="CM2982">
        <f>IF(CH2982="","",IFERROR(IF(IF(AND(LEN(CH2982)=9,ISERROR(FIND("-",LEFT(CH2982,8))),ISNUMBER(-LEFT(CH2982,8))),VALUE(LEFT(CH2982,4)),VALUE(LEFT(CH2982,FIND("-",CH2982)-1)))&lt;100,IF(AND(LEN(CH2982)=9,ISERROR(FIND("-",LEFT(CH2982,8))),ISNUMBER(-LEFT(CH2982,8))),VALUE(LEFT(CH2982,4)),VALUE(LEFT(CH2982,FIND("-",CH2982)-1)))+2000,IF(AND(LEN(CH2982)=9,ISERROR(FIND("-",LEFT(CH2982,8))),ISNUMBER(-LEFT(CH2982,8))),VALUE(LEFT(CH2982,4)),VALUE(LEFT(CH2982,FIND("-",CH2982)-1)))),""))</f>
        <v/>
      </c>
      <c r="CN2982">
        <f>IF(CH2982="","",IFERROR(IF(AND(LEN(CH2982)=9,ISERROR(FIND("-",LEFT(CH2982,8))),ISNUMBER(-LEFT(CH2982,8))),VALUE(MID(CH2982,5,2)),VALUE(MID(CH2982,FIND("-",CH2982)+1,FIND("-",CH2982,FIND("-",CH2982)+1)-FIND("-",CH2982)-1))),""))</f>
        <v/>
      </c>
      <c r="CO2982">
        <f>IF(CH2982="","",IFERROR(IF(AND(LEN(CH2982)=9,ISERROR(FIND("-",LEFT(CH2982,8))),ISNUMBER(-LEFT(CH2982,8))),VALUE(MID(CH2982,7,2)),VALUE(MID(CH2982,FIND("-",CH2982,FIND("-",CH2982)+1)+1,FIND("-",CH2982,FIND("-",CH2982,FIND("-",CH2982)+1)+1)-FIND("-",CH2982,FIND("-",CH2982)+1)-1))),""))</f>
        <v/>
      </c>
    </row>
    <row r="2983">
      <c r="CH2983">
        <f>IF(ISTEXT('월 가계부'!A2983),SUBSTITUTE(SUBSTITUTE(SUBSTITUTE(SUBSTITUTE(SUBSTITUTE(SUBSTITUTE(SUBSTITUTE(SUBSTITUTE(SUBSTITUTE(TRIM('월 가계부'!A2983),"년","-"),"월","-"),"일",""),".","-"),"/","-")," ","-"),"--","-"),"--","-"),"--","-")&amp;"-","")</f>
        <v/>
      </c>
      <c r="CI2983">
        <f>IFERROR(IF('월 가계부'!A2983="","",IF(ISNUMBER('월 가계부'!A2983),IF(AND('월 가계부'!A2983&gt;=19000101,'월 가계부'!A2983&lt;=21001231),IF(AND(MOD(INT('월 가계부'!A2983/100),100)&gt;=1,MOD(INT('월 가계부'!A2983/100),100)&lt;=12,MOD(INT('월 가계부'!A2983),100)&gt;=1,MOD(INT('월 가계부'!A2983),100)&lt;=31),IF(MONTH(DATE(INT('월 가계부'!A2983/10000),MOD(INT('월 가계부'!A2983/100),100),MOD(INT('월 가계부'!A2983),100)))=MOD(INT('월 가계부'!A2983/100),100),DATE(INT('월 가계부'!A2983/10000),MOD(INT('월 가계부'!A2983/100),100),MOD(INT('월 가계부'!A2983),100)),""),""),IF(AND('월 가계부'!A2983&gt;=36526,'월 가계부'!A2983&lt;73051),INT('월 가계부'!A2983),"")),IF(OR(CM2983="",CN2983="",CO2983=""),"",IF(AND(CM2983&gt;=2000,CM2983&lt;=2099,CN2983&gt;=1,CN2983&lt;=12,CO2983&gt;=1,CO2983&lt;=31),IF(MONTH(DATE(CM2983,CN2983,CO2983))=CN2983,DATE(CM2983,CN2983,CO2983),""),"")))),"")</f>
        <v/>
      </c>
      <c r="CJ2983">
        <f>IFERROR(IF('월 가계부'!C2983="","",IF(ISNUMBER('월 가계부'!C2983),'월 가계부'!C2983,VALUE(SUBSTITUTE(SUBSTITUTE(SUBSTITUTE(SUBSTITUTE(TRIM('월 가계부'!C2983),",",""),"원","")," ",""),"−","-")))),"")</f>
        <v/>
      </c>
      <c r="CK2983">
        <f>IF(ISNUMBER(CI2983),IF(CI2983&lt;$B$13,CI2983,""),"")</f>
        <v/>
      </c>
      <c r="CM2983">
        <f>IF(CH2983="","",IFERROR(IF(IF(AND(LEN(CH2983)=9,ISERROR(FIND("-",LEFT(CH2983,8))),ISNUMBER(-LEFT(CH2983,8))),VALUE(LEFT(CH2983,4)),VALUE(LEFT(CH2983,FIND("-",CH2983)-1)))&lt;100,IF(AND(LEN(CH2983)=9,ISERROR(FIND("-",LEFT(CH2983,8))),ISNUMBER(-LEFT(CH2983,8))),VALUE(LEFT(CH2983,4)),VALUE(LEFT(CH2983,FIND("-",CH2983)-1)))+2000,IF(AND(LEN(CH2983)=9,ISERROR(FIND("-",LEFT(CH2983,8))),ISNUMBER(-LEFT(CH2983,8))),VALUE(LEFT(CH2983,4)),VALUE(LEFT(CH2983,FIND("-",CH2983)-1)))),""))</f>
        <v/>
      </c>
      <c r="CN2983">
        <f>IF(CH2983="","",IFERROR(IF(AND(LEN(CH2983)=9,ISERROR(FIND("-",LEFT(CH2983,8))),ISNUMBER(-LEFT(CH2983,8))),VALUE(MID(CH2983,5,2)),VALUE(MID(CH2983,FIND("-",CH2983)+1,FIND("-",CH2983,FIND("-",CH2983)+1)-FIND("-",CH2983)-1))),""))</f>
        <v/>
      </c>
      <c r="CO2983">
        <f>IF(CH2983="","",IFERROR(IF(AND(LEN(CH2983)=9,ISERROR(FIND("-",LEFT(CH2983,8))),ISNUMBER(-LEFT(CH2983,8))),VALUE(MID(CH2983,7,2)),VALUE(MID(CH2983,FIND("-",CH2983,FIND("-",CH2983)+1)+1,FIND("-",CH2983,FIND("-",CH2983,FIND("-",CH2983)+1)+1)-FIND("-",CH2983,FIND("-",CH2983)+1)-1))),""))</f>
        <v/>
      </c>
    </row>
    <row r="2984">
      <c r="CH2984">
        <f>IF(ISTEXT('월 가계부'!A2984),SUBSTITUTE(SUBSTITUTE(SUBSTITUTE(SUBSTITUTE(SUBSTITUTE(SUBSTITUTE(SUBSTITUTE(SUBSTITUTE(SUBSTITUTE(TRIM('월 가계부'!A2984),"년","-"),"월","-"),"일",""),".","-"),"/","-")," ","-"),"--","-"),"--","-"),"--","-")&amp;"-","")</f>
        <v/>
      </c>
      <c r="CI2984">
        <f>IFERROR(IF('월 가계부'!A2984="","",IF(ISNUMBER('월 가계부'!A2984),IF(AND('월 가계부'!A2984&gt;=19000101,'월 가계부'!A2984&lt;=21001231),IF(AND(MOD(INT('월 가계부'!A2984/100),100)&gt;=1,MOD(INT('월 가계부'!A2984/100),100)&lt;=12,MOD(INT('월 가계부'!A2984),100)&gt;=1,MOD(INT('월 가계부'!A2984),100)&lt;=31),IF(MONTH(DATE(INT('월 가계부'!A2984/10000),MOD(INT('월 가계부'!A2984/100),100),MOD(INT('월 가계부'!A2984),100)))=MOD(INT('월 가계부'!A2984/100),100),DATE(INT('월 가계부'!A2984/10000),MOD(INT('월 가계부'!A2984/100),100),MOD(INT('월 가계부'!A2984),100)),""),""),IF(AND('월 가계부'!A2984&gt;=36526,'월 가계부'!A2984&lt;73051),INT('월 가계부'!A2984),"")),IF(OR(CM2984="",CN2984="",CO2984=""),"",IF(AND(CM2984&gt;=2000,CM2984&lt;=2099,CN2984&gt;=1,CN2984&lt;=12,CO2984&gt;=1,CO2984&lt;=31),IF(MONTH(DATE(CM2984,CN2984,CO2984))=CN2984,DATE(CM2984,CN2984,CO2984),""),"")))),"")</f>
        <v/>
      </c>
      <c r="CJ2984">
        <f>IFERROR(IF('월 가계부'!C2984="","",IF(ISNUMBER('월 가계부'!C2984),'월 가계부'!C2984,VALUE(SUBSTITUTE(SUBSTITUTE(SUBSTITUTE(SUBSTITUTE(TRIM('월 가계부'!C2984),",",""),"원","")," ",""),"−","-")))),"")</f>
        <v/>
      </c>
      <c r="CK2984">
        <f>IF(ISNUMBER(CI2984),IF(CI2984&lt;$B$13,CI2984,""),"")</f>
        <v/>
      </c>
      <c r="CM2984">
        <f>IF(CH2984="","",IFERROR(IF(IF(AND(LEN(CH2984)=9,ISERROR(FIND("-",LEFT(CH2984,8))),ISNUMBER(-LEFT(CH2984,8))),VALUE(LEFT(CH2984,4)),VALUE(LEFT(CH2984,FIND("-",CH2984)-1)))&lt;100,IF(AND(LEN(CH2984)=9,ISERROR(FIND("-",LEFT(CH2984,8))),ISNUMBER(-LEFT(CH2984,8))),VALUE(LEFT(CH2984,4)),VALUE(LEFT(CH2984,FIND("-",CH2984)-1)))+2000,IF(AND(LEN(CH2984)=9,ISERROR(FIND("-",LEFT(CH2984,8))),ISNUMBER(-LEFT(CH2984,8))),VALUE(LEFT(CH2984,4)),VALUE(LEFT(CH2984,FIND("-",CH2984)-1)))),""))</f>
        <v/>
      </c>
      <c r="CN2984">
        <f>IF(CH2984="","",IFERROR(IF(AND(LEN(CH2984)=9,ISERROR(FIND("-",LEFT(CH2984,8))),ISNUMBER(-LEFT(CH2984,8))),VALUE(MID(CH2984,5,2)),VALUE(MID(CH2984,FIND("-",CH2984)+1,FIND("-",CH2984,FIND("-",CH2984)+1)-FIND("-",CH2984)-1))),""))</f>
        <v/>
      </c>
      <c r="CO2984">
        <f>IF(CH2984="","",IFERROR(IF(AND(LEN(CH2984)=9,ISERROR(FIND("-",LEFT(CH2984,8))),ISNUMBER(-LEFT(CH2984,8))),VALUE(MID(CH2984,7,2)),VALUE(MID(CH2984,FIND("-",CH2984,FIND("-",CH2984)+1)+1,FIND("-",CH2984,FIND("-",CH2984,FIND("-",CH2984)+1)+1)-FIND("-",CH2984,FIND("-",CH2984)+1)-1))),""))</f>
        <v/>
      </c>
    </row>
    <row r="2985">
      <c r="CH2985">
        <f>IF(ISTEXT('월 가계부'!A2985),SUBSTITUTE(SUBSTITUTE(SUBSTITUTE(SUBSTITUTE(SUBSTITUTE(SUBSTITUTE(SUBSTITUTE(SUBSTITUTE(SUBSTITUTE(TRIM('월 가계부'!A2985),"년","-"),"월","-"),"일",""),".","-"),"/","-")," ","-"),"--","-"),"--","-"),"--","-")&amp;"-","")</f>
        <v/>
      </c>
      <c r="CI2985">
        <f>IFERROR(IF('월 가계부'!A2985="","",IF(ISNUMBER('월 가계부'!A2985),IF(AND('월 가계부'!A2985&gt;=19000101,'월 가계부'!A2985&lt;=21001231),IF(AND(MOD(INT('월 가계부'!A2985/100),100)&gt;=1,MOD(INT('월 가계부'!A2985/100),100)&lt;=12,MOD(INT('월 가계부'!A2985),100)&gt;=1,MOD(INT('월 가계부'!A2985),100)&lt;=31),IF(MONTH(DATE(INT('월 가계부'!A2985/10000),MOD(INT('월 가계부'!A2985/100),100),MOD(INT('월 가계부'!A2985),100)))=MOD(INT('월 가계부'!A2985/100),100),DATE(INT('월 가계부'!A2985/10000),MOD(INT('월 가계부'!A2985/100),100),MOD(INT('월 가계부'!A2985),100)),""),""),IF(AND('월 가계부'!A2985&gt;=36526,'월 가계부'!A2985&lt;73051),INT('월 가계부'!A2985),"")),IF(OR(CM2985="",CN2985="",CO2985=""),"",IF(AND(CM2985&gt;=2000,CM2985&lt;=2099,CN2985&gt;=1,CN2985&lt;=12,CO2985&gt;=1,CO2985&lt;=31),IF(MONTH(DATE(CM2985,CN2985,CO2985))=CN2985,DATE(CM2985,CN2985,CO2985),""),"")))),"")</f>
        <v/>
      </c>
      <c r="CJ2985">
        <f>IFERROR(IF('월 가계부'!C2985="","",IF(ISNUMBER('월 가계부'!C2985),'월 가계부'!C2985,VALUE(SUBSTITUTE(SUBSTITUTE(SUBSTITUTE(SUBSTITUTE(TRIM('월 가계부'!C2985),",",""),"원","")," ",""),"−","-")))),"")</f>
        <v/>
      </c>
      <c r="CK2985">
        <f>IF(ISNUMBER(CI2985),IF(CI2985&lt;$B$13,CI2985,""),"")</f>
        <v/>
      </c>
      <c r="CM2985">
        <f>IF(CH2985="","",IFERROR(IF(IF(AND(LEN(CH2985)=9,ISERROR(FIND("-",LEFT(CH2985,8))),ISNUMBER(-LEFT(CH2985,8))),VALUE(LEFT(CH2985,4)),VALUE(LEFT(CH2985,FIND("-",CH2985)-1)))&lt;100,IF(AND(LEN(CH2985)=9,ISERROR(FIND("-",LEFT(CH2985,8))),ISNUMBER(-LEFT(CH2985,8))),VALUE(LEFT(CH2985,4)),VALUE(LEFT(CH2985,FIND("-",CH2985)-1)))+2000,IF(AND(LEN(CH2985)=9,ISERROR(FIND("-",LEFT(CH2985,8))),ISNUMBER(-LEFT(CH2985,8))),VALUE(LEFT(CH2985,4)),VALUE(LEFT(CH2985,FIND("-",CH2985)-1)))),""))</f>
        <v/>
      </c>
      <c r="CN2985">
        <f>IF(CH2985="","",IFERROR(IF(AND(LEN(CH2985)=9,ISERROR(FIND("-",LEFT(CH2985,8))),ISNUMBER(-LEFT(CH2985,8))),VALUE(MID(CH2985,5,2)),VALUE(MID(CH2985,FIND("-",CH2985)+1,FIND("-",CH2985,FIND("-",CH2985)+1)-FIND("-",CH2985)-1))),""))</f>
        <v/>
      </c>
      <c r="CO2985">
        <f>IF(CH2985="","",IFERROR(IF(AND(LEN(CH2985)=9,ISERROR(FIND("-",LEFT(CH2985,8))),ISNUMBER(-LEFT(CH2985,8))),VALUE(MID(CH2985,7,2)),VALUE(MID(CH2985,FIND("-",CH2985,FIND("-",CH2985)+1)+1,FIND("-",CH2985,FIND("-",CH2985,FIND("-",CH2985)+1)+1)-FIND("-",CH2985,FIND("-",CH2985)+1)-1))),""))</f>
        <v/>
      </c>
    </row>
    <row r="2986">
      <c r="CH2986">
        <f>IF(ISTEXT('월 가계부'!A2986),SUBSTITUTE(SUBSTITUTE(SUBSTITUTE(SUBSTITUTE(SUBSTITUTE(SUBSTITUTE(SUBSTITUTE(SUBSTITUTE(SUBSTITUTE(TRIM('월 가계부'!A2986),"년","-"),"월","-"),"일",""),".","-"),"/","-")," ","-"),"--","-"),"--","-"),"--","-")&amp;"-","")</f>
        <v/>
      </c>
      <c r="CI2986">
        <f>IFERROR(IF('월 가계부'!A2986="","",IF(ISNUMBER('월 가계부'!A2986),IF(AND('월 가계부'!A2986&gt;=19000101,'월 가계부'!A2986&lt;=21001231),IF(AND(MOD(INT('월 가계부'!A2986/100),100)&gt;=1,MOD(INT('월 가계부'!A2986/100),100)&lt;=12,MOD(INT('월 가계부'!A2986),100)&gt;=1,MOD(INT('월 가계부'!A2986),100)&lt;=31),IF(MONTH(DATE(INT('월 가계부'!A2986/10000),MOD(INT('월 가계부'!A2986/100),100),MOD(INT('월 가계부'!A2986),100)))=MOD(INT('월 가계부'!A2986/100),100),DATE(INT('월 가계부'!A2986/10000),MOD(INT('월 가계부'!A2986/100),100),MOD(INT('월 가계부'!A2986),100)),""),""),IF(AND('월 가계부'!A2986&gt;=36526,'월 가계부'!A2986&lt;73051),INT('월 가계부'!A2986),"")),IF(OR(CM2986="",CN2986="",CO2986=""),"",IF(AND(CM2986&gt;=2000,CM2986&lt;=2099,CN2986&gt;=1,CN2986&lt;=12,CO2986&gt;=1,CO2986&lt;=31),IF(MONTH(DATE(CM2986,CN2986,CO2986))=CN2986,DATE(CM2986,CN2986,CO2986),""),"")))),"")</f>
        <v/>
      </c>
      <c r="CJ2986">
        <f>IFERROR(IF('월 가계부'!C2986="","",IF(ISNUMBER('월 가계부'!C2986),'월 가계부'!C2986,VALUE(SUBSTITUTE(SUBSTITUTE(SUBSTITUTE(SUBSTITUTE(TRIM('월 가계부'!C2986),",",""),"원","")," ",""),"−","-")))),"")</f>
        <v/>
      </c>
      <c r="CK2986">
        <f>IF(ISNUMBER(CI2986),IF(CI2986&lt;$B$13,CI2986,""),"")</f>
        <v/>
      </c>
      <c r="CM2986">
        <f>IF(CH2986="","",IFERROR(IF(IF(AND(LEN(CH2986)=9,ISERROR(FIND("-",LEFT(CH2986,8))),ISNUMBER(-LEFT(CH2986,8))),VALUE(LEFT(CH2986,4)),VALUE(LEFT(CH2986,FIND("-",CH2986)-1)))&lt;100,IF(AND(LEN(CH2986)=9,ISERROR(FIND("-",LEFT(CH2986,8))),ISNUMBER(-LEFT(CH2986,8))),VALUE(LEFT(CH2986,4)),VALUE(LEFT(CH2986,FIND("-",CH2986)-1)))+2000,IF(AND(LEN(CH2986)=9,ISERROR(FIND("-",LEFT(CH2986,8))),ISNUMBER(-LEFT(CH2986,8))),VALUE(LEFT(CH2986,4)),VALUE(LEFT(CH2986,FIND("-",CH2986)-1)))),""))</f>
        <v/>
      </c>
      <c r="CN2986">
        <f>IF(CH2986="","",IFERROR(IF(AND(LEN(CH2986)=9,ISERROR(FIND("-",LEFT(CH2986,8))),ISNUMBER(-LEFT(CH2986,8))),VALUE(MID(CH2986,5,2)),VALUE(MID(CH2986,FIND("-",CH2986)+1,FIND("-",CH2986,FIND("-",CH2986)+1)-FIND("-",CH2986)-1))),""))</f>
        <v/>
      </c>
      <c r="CO2986">
        <f>IF(CH2986="","",IFERROR(IF(AND(LEN(CH2986)=9,ISERROR(FIND("-",LEFT(CH2986,8))),ISNUMBER(-LEFT(CH2986,8))),VALUE(MID(CH2986,7,2)),VALUE(MID(CH2986,FIND("-",CH2986,FIND("-",CH2986)+1)+1,FIND("-",CH2986,FIND("-",CH2986,FIND("-",CH2986)+1)+1)-FIND("-",CH2986,FIND("-",CH2986)+1)-1))),""))</f>
        <v/>
      </c>
    </row>
    <row r="2987">
      <c r="CH2987">
        <f>IF(ISTEXT('월 가계부'!A2987),SUBSTITUTE(SUBSTITUTE(SUBSTITUTE(SUBSTITUTE(SUBSTITUTE(SUBSTITUTE(SUBSTITUTE(SUBSTITUTE(SUBSTITUTE(TRIM('월 가계부'!A2987),"년","-"),"월","-"),"일",""),".","-"),"/","-")," ","-"),"--","-"),"--","-"),"--","-")&amp;"-","")</f>
        <v/>
      </c>
      <c r="CI2987">
        <f>IFERROR(IF('월 가계부'!A2987="","",IF(ISNUMBER('월 가계부'!A2987),IF(AND('월 가계부'!A2987&gt;=19000101,'월 가계부'!A2987&lt;=21001231),IF(AND(MOD(INT('월 가계부'!A2987/100),100)&gt;=1,MOD(INT('월 가계부'!A2987/100),100)&lt;=12,MOD(INT('월 가계부'!A2987),100)&gt;=1,MOD(INT('월 가계부'!A2987),100)&lt;=31),IF(MONTH(DATE(INT('월 가계부'!A2987/10000),MOD(INT('월 가계부'!A2987/100),100),MOD(INT('월 가계부'!A2987),100)))=MOD(INT('월 가계부'!A2987/100),100),DATE(INT('월 가계부'!A2987/10000),MOD(INT('월 가계부'!A2987/100),100),MOD(INT('월 가계부'!A2987),100)),""),""),IF(AND('월 가계부'!A2987&gt;=36526,'월 가계부'!A2987&lt;73051),INT('월 가계부'!A2987),"")),IF(OR(CM2987="",CN2987="",CO2987=""),"",IF(AND(CM2987&gt;=2000,CM2987&lt;=2099,CN2987&gt;=1,CN2987&lt;=12,CO2987&gt;=1,CO2987&lt;=31),IF(MONTH(DATE(CM2987,CN2987,CO2987))=CN2987,DATE(CM2987,CN2987,CO2987),""),"")))),"")</f>
        <v/>
      </c>
      <c r="CJ2987">
        <f>IFERROR(IF('월 가계부'!C2987="","",IF(ISNUMBER('월 가계부'!C2987),'월 가계부'!C2987,VALUE(SUBSTITUTE(SUBSTITUTE(SUBSTITUTE(SUBSTITUTE(TRIM('월 가계부'!C2987),",",""),"원","")," ",""),"−","-")))),"")</f>
        <v/>
      </c>
      <c r="CK2987">
        <f>IF(ISNUMBER(CI2987),IF(CI2987&lt;$B$13,CI2987,""),"")</f>
        <v/>
      </c>
      <c r="CM2987">
        <f>IF(CH2987="","",IFERROR(IF(IF(AND(LEN(CH2987)=9,ISERROR(FIND("-",LEFT(CH2987,8))),ISNUMBER(-LEFT(CH2987,8))),VALUE(LEFT(CH2987,4)),VALUE(LEFT(CH2987,FIND("-",CH2987)-1)))&lt;100,IF(AND(LEN(CH2987)=9,ISERROR(FIND("-",LEFT(CH2987,8))),ISNUMBER(-LEFT(CH2987,8))),VALUE(LEFT(CH2987,4)),VALUE(LEFT(CH2987,FIND("-",CH2987)-1)))+2000,IF(AND(LEN(CH2987)=9,ISERROR(FIND("-",LEFT(CH2987,8))),ISNUMBER(-LEFT(CH2987,8))),VALUE(LEFT(CH2987,4)),VALUE(LEFT(CH2987,FIND("-",CH2987)-1)))),""))</f>
        <v/>
      </c>
      <c r="CN2987">
        <f>IF(CH2987="","",IFERROR(IF(AND(LEN(CH2987)=9,ISERROR(FIND("-",LEFT(CH2987,8))),ISNUMBER(-LEFT(CH2987,8))),VALUE(MID(CH2987,5,2)),VALUE(MID(CH2987,FIND("-",CH2987)+1,FIND("-",CH2987,FIND("-",CH2987)+1)-FIND("-",CH2987)-1))),""))</f>
        <v/>
      </c>
      <c r="CO2987">
        <f>IF(CH2987="","",IFERROR(IF(AND(LEN(CH2987)=9,ISERROR(FIND("-",LEFT(CH2987,8))),ISNUMBER(-LEFT(CH2987,8))),VALUE(MID(CH2987,7,2)),VALUE(MID(CH2987,FIND("-",CH2987,FIND("-",CH2987)+1)+1,FIND("-",CH2987,FIND("-",CH2987,FIND("-",CH2987)+1)+1)-FIND("-",CH2987,FIND("-",CH2987)+1)-1))),""))</f>
        <v/>
      </c>
    </row>
    <row r="2988">
      <c r="CH2988">
        <f>IF(ISTEXT('월 가계부'!A2988),SUBSTITUTE(SUBSTITUTE(SUBSTITUTE(SUBSTITUTE(SUBSTITUTE(SUBSTITUTE(SUBSTITUTE(SUBSTITUTE(SUBSTITUTE(TRIM('월 가계부'!A2988),"년","-"),"월","-"),"일",""),".","-"),"/","-")," ","-"),"--","-"),"--","-"),"--","-")&amp;"-","")</f>
        <v/>
      </c>
      <c r="CI2988">
        <f>IFERROR(IF('월 가계부'!A2988="","",IF(ISNUMBER('월 가계부'!A2988),IF(AND('월 가계부'!A2988&gt;=19000101,'월 가계부'!A2988&lt;=21001231),IF(AND(MOD(INT('월 가계부'!A2988/100),100)&gt;=1,MOD(INT('월 가계부'!A2988/100),100)&lt;=12,MOD(INT('월 가계부'!A2988),100)&gt;=1,MOD(INT('월 가계부'!A2988),100)&lt;=31),IF(MONTH(DATE(INT('월 가계부'!A2988/10000),MOD(INT('월 가계부'!A2988/100),100),MOD(INT('월 가계부'!A2988),100)))=MOD(INT('월 가계부'!A2988/100),100),DATE(INT('월 가계부'!A2988/10000),MOD(INT('월 가계부'!A2988/100),100),MOD(INT('월 가계부'!A2988),100)),""),""),IF(AND('월 가계부'!A2988&gt;=36526,'월 가계부'!A2988&lt;73051),INT('월 가계부'!A2988),"")),IF(OR(CM2988="",CN2988="",CO2988=""),"",IF(AND(CM2988&gt;=2000,CM2988&lt;=2099,CN2988&gt;=1,CN2988&lt;=12,CO2988&gt;=1,CO2988&lt;=31),IF(MONTH(DATE(CM2988,CN2988,CO2988))=CN2988,DATE(CM2988,CN2988,CO2988),""),"")))),"")</f>
        <v/>
      </c>
      <c r="CJ2988">
        <f>IFERROR(IF('월 가계부'!C2988="","",IF(ISNUMBER('월 가계부'!C2988),'월 가계부'!C2988,VALUE(SUBSTITUTE(SUBSTITUTE(SUBSTITUTE(SUBSTITUTE(TRIM('월 가계부'!C2988),",",""),"원","")," ",""),"−","-")))),"")</f>
        <v/>
      </c>
      <c r="CK2988">
        <f>IF(ISNUMBER(CI2988),IF(CI2988&lt;$B$13,CI2988,""),"")</f>
        <v/>
      </c>
      <c r="CM2988">
        <f>IF(CH2988="","",IFERROR(IF(IF(AND(LEN(CH2988)=9,ISERROR(FIND("-",LEFT(CH2988,8))),ISNUMBER(-LEFT(CH2988,8))),VALUE(LEFT(CH2988,4)),VALUE(LEFT(CH2988,FIND("-",CH2988)-1)))&lt;100,IF(AND(LEN(CH2988)=9,ISERROR(FIND("-",LEFT(CH2988,8))),ISNUMBER(-LEFT(CH2988,8))),VALUE(LEFT(CH2988,4)),VALUE(LEFT(CH2988,FIND("-",CH2988)-1)))+2000,IF(AND(LEN(CH2988)=9,ISERROR(FIND("-",LEFT(CH2988,8))),ISNUMBER(-LEFT(CH2988,8))),VALUE(LEFT(CH2988,4)),VALUE(LEFT(CH2988,FIND("-",CH2988)-1)))),""))</f>
        <v/>
      </c>
      <c r="CN2988">
        <f>IF(CH2988="","",IFERROR(IF(AND(LEN(CH2988)=9,ISERROR(FIND("-",LEFT(CH2988,8))),ISNUMBER(-LEFT(CH2988,8))),VALUE(MID(CH2988,5,2)),VALUE(MID(CH2988,FIND("-",CH2988)+1,FIND("-",CH2988,FIND("-",CH2988)+1)-FIND("-",CH2988)-1))),""))</f>
        <v/>
      </c>
      <c r="CO2988">
        <f>IF(CH2988="","",IFERROR(IF(AND(LEN(CH2988)=9,ISERROR(FIND("-",LEFT(CH2988,8))),ISNUMBER(-LEFT(CH2988,8))),VALUE(MID(CH2988,7,2)),VALUE(MID(CH2988,FIND("-",CH2988,FIND("-",CH2988)+1)+1,FIND("-",CH2988,FIND("-",CH2988,FIND("-",CH2988)+1)+1)-FIND("-",CH2988,FIND("-",CH2988)+1)-1))),""))</f>
        <v/>
      </c>
    </row>
    <row r="2989">
      <c r="CH2989">
        <f>IF(ISTEXT('월 가계부'!A2989),SUBSTITUTE(SUBSTITUTE(SUBSTITUTE(SUBSTITUTE(SUBSTITUTE(SUBSTITUTE(SUBSTITUTE(SUBSTITUTE(SUBSTITUTE(TRIM('월 가계부'!A2989),"년","-"),"월","-"),"일",""),".","-"),"/","-")," ","-"),"--","-"),"--","-"),"--","-")&amp;"-","")</f>
        <v/>
      </c>
      <c r="CI2989">
        <f>IFERROR(IF('월 가계부'!A2989="","",IF(ISNUMBER('월 가계부'!A2989),IF(AND('월 가계부'!A2989&gt;=19000101,'월 가계부'!A2989&lt;=21001231),IF(AND(MOD(INT('월 가계부'!A2989/100),100)&gt;=1,MOD(INT('월 가계부'!A2989/100),100)&lt;=12,MOD(INT('월 가계부'!A2989),100)&gt;=1,MOD(INT('월 가계부'!A2989),100)&lt;=31),IF(MONTH(DATE(INT('월 가계부'!A2989/10000),MOD(INT('월 가계부'!A2989/100),100),MOD(INT('월 가계부'!A2989),100)))=MOD(INT('월 가계부'!A2989/100),100),DATE(INT('월 가계부'!A2989/10000),MOD(INT('월 가계부'!A2989/100),100),MOD(INT('월 가계부'!A2989),100)),""),""),IF(AND('월 가계부'!A2989&gt;=36526,'월 가계부'!A2989&lt;73051),INT('월 가계부'!A2989),"")),IF(OR(CM2989="",CN2989="",CO2989=""),"",IF(AND(CM2989&gt;=2000,CM2989&lt;=2099,CN2989&gt;=1,CN2989&lt;=12,CO2989&gt;=1,CO2989&lt;=31),IF(MONTH(DATE(CM2989,CN2989,CO2989))=CN2989,DATE(CM2989,CN2989,CO2989),""),"")))),"")</f>
        <v/>
      </c>
      <c r="CJ2989">
        <f>IFERROR(IF('월 가계부'!C2989="","",IF(ISNUMBER('월 가계부'!C2989),'월 가계부'!C2989,VALUE(SUBSTITUTE(SUBSTITUTE(SUBSTITUTE(SUBSTITUTE(TRIM('월 가계부'!C2989),",",""),"원","")," ",""),"−","-")))),"")</f>
        <v/>
      </c>
      <c r="CK2989">
        <f>IF(ISNUMBER(CI2989),IF(CI2989&lt;$B$13,CI2989,""),"")</f>
        <v/>
      </c>
      <c r="CM2989">
        <f>IF(CH2989="","",IFERROR(IF(IF(AND(LEN(CH2989)=9,ISERROR(FIND("-",LEFT(CH2989,8))),ISNUMBER(-LEFT(CH2989,8))),VALUE(LEFT(CH2989,4)),VALUE(LEFT(CH2989,FIND("-",CH2989)-1)))&lt;100,IF(AND(LEN(CH2989)=9,ISERROR(FIND("-",LEFT(CH2989,8))),ISNUMBER(-LEFT(CH2989,8))),VALUE(LEFT(CH2989,4)),VALUE(LEFT(CH2989,FIND("-",CH2989)-1)))+2000,IF(AND(LEN(CH2989)=9,ISERROR(FIND("-",LEFT(CH2989,8))),ISNUMBER(-LEFT(CH2989,8))),VALUE(LEFT(CH2989,4)),VALUE(LEFT(CH2989,FIND("-",CH2989)-1)))),""))</f>
        <v/>
      </c>
      <c r="CN2989">
        <f>IF(CH2989="","",IFERROR(IF(AND(LEN(CH2989)=9,ISERROR(FIND("-",LEFT(CH2989,8))),ISNUMBER(-LEFT(CH2989,8))),VALUE(MID(CH2989,5,2)),VALUE(MID(CH2989,FIND("-",CH2989)+1,FIND("-",CH2989,FIND("-",CH2989)+1)-FIND("-",CH2989)-1))),""))</f>
        <v/>
      </c>
      <c r="CO2989">
        <f>IF(CH2989="","",IFERROR(IF(AND(LEN(CH2989)=9,ISERROR(FIND("-",LEFT(CH2989,8))),ISNUMBER(-LEFT(CH2989,8))),VALUE(MID(CH2989,7,2)),VALUE(MID(CH2989,FIND("-",CH2989,FIND("-",CH2989)+1)+1,FIND("-",CH2989,FIND("-",CH2989,FIND("-",CH2989)+1)+1)-FIND("-",CH2989,FIND("-",CH2989)+1)-1))),""))</f>
        <v/>
      </c>
    </row>
    <row r="2990">
      <c r="CH2990">
        <f>IF(ISTEXT('월 가계부'!A2990),SUBSTITUTE(SUBSTITUTE(SUBSTITUTE(SUBSTITUTE(SUBSTITUTE(SUBSTITUTE(SUBSTITUTE(SUBSTITUTE(SUBSTITUTE(TRIM('월 가계부'!A2990),"년","-"),"월","-"),"일",""),".","-"),"/","-")," ","-"),"--","-"),"--","-"),"--","-")&amp;"-","")</f>
        <v/>
      </c>
      <c r="CI2990">
        <f>IFERROR(IF('월 가계부'!A2990="","",IF(ISNUMBER('월 가계부'!A2990),IF(AND('월 가계부'!A2990&gt;=19000101,'월 가계부'!A2990&lt;=21001231),IF(AND(MOD(INT('월 가계부'!A2990/100),100)&gt;=1,MOD(INT('월 가계부'!A2990/100),100)&lt;=12,MOD(INT('월 가계부'!A2990),100)&gt;=1,MOD(INT('월 가계부'!A2990),100)&lt;=31),IF(MONTH(DATE(INT('월 가계부'!A2990/10000),MOD(INT('월 가계부'!A2990/100),100),MOD(INT('월 가계부'!A2990),100)))=MOD(INT('월 가계부'!A2990/100),100),DATE(INT('월 가계부'!A2990/10000),MOD(INT('월 가계부'!A2990/100),100),MOD(INT('월 가계부'!A2990),100)),""),""),IF(AND('월 가계부'!A2990&gt;=36526,'월 가계부'!A2990&lt;73051),INT('월 가계부'!A2990),"")),IF(OR(CM2990="",CN2990="",CO2990=""),"",IF(AND(CM2990&gt;=2000,CM2990&lt;=2099,CN2990&gt;=1,CN2990&lt;=12,CO2990&gt;=1,CO2990&lt;=31),IF(MONTH(DATE(CM2990,CN2990,CO2990))=CN2990,DATE(CM2990,CN2990,CO2990),""),"")))),"")</f>
        <v/>
      </c>
      <c r="CJ2990">
        <f>IFERROR(IF('월 가계부'!C2990="","",IF(ISNUMBER('월 가계부'!C2990),'월 가계부'!C2990,VALUE(SUBSTITUTE(SUBSTITUTE(SUBSTITUTE(SUBSTITUTE(TRIM('월 가계부'!C2990),",",""),"원","")," ",""),"−","-")))),"")</f>
        <v/>
      </c>
      <c r="CK2990">
        <f>IF(ISNUMBER(CI2990),IF(CI2990&lt;$B$13,CI2990,""),"")</f>
        <v/>
      </c>
      <c r="CM2990">
        <f>IF(CH2990="","",IFERROR(IF(IF(AND(LEN(CH2990)=9,ISERROR(FIND("-",LEFT(CH2990,8))),ISNUMBER(-LEFT(CH2990,8))),VALUE(LEFT(CH2990,4)),VALUE(LEFT(CH2990,FIND("-",CH2990)-1)))&lt;100,IF(AND(LEN(CH2990)=9,ISERROR(FIND("-",LEFT(CH2990,8))),ISNUMBER(-LEFT(CH2990,8))),VALUE(LEFT(CH2990,4)),VALUE(LEFT(CH2990,FIND("-",CH2990)-1)))+2000,IF(AND(LEN(CH2990)=9,ISERROR(FIND("-",LEFT(CH2990,8))),ISNUMBER(-LEFT(CH2990,8))),VALUE(LEFT(CH2990,4)),VALUE(LEFT(CH2990,FIND("-",CH2990)-1)))),""))</f>
        <v/>
      </c>
      <c r="CN2990">
        <f>IF(CH2990="","",IFERROR(IF(AND(LEN(CH2990)=9,ISERROR(FIND("-",LEFT(CH2990,8))),ISNUMBER(-LEFT(CH2990,8))),VALUE(MID(CH2990,5,2)),VALUE(MID(CH2990,FIND("-",CH2990)+1,FIND("-",CH2990,FIND("-",CH2990)+1)-FIND("-",CH2990)-1))),""))</f>
        <v/>
      </c>
      <c r="CO2990">
        <f>IF(CH2990="","",IFERROR(IF(AND(LEN(CH2990)=9,ISERROR(FIND("-",LEFT(CH2990,8))),ISNUMBER(-LEFT(CH2990,8))),VALUE(MID(CH2990,7,2)),VALUE(MID(CH2990,FIND("-",CH2990,FIND("-",CH2990)+1)+1,FIND("-",CH2990,FIND("-",CH2990,FIND("-",CH2990)+1)+1)-FIND("-",CH2990,FIND("-",CH2990)+1)-1))),""))</f>
        <v/>
      </c>
    </row>
    <row r="2991">
      <c r="CH2991">
        <f>IF(ISTEXT('월 가계부'!A2991),SUBSTITUTE(SUBSTITUTE(SUBSTITUTE(SUBSTITUTE(SUBSTITUTE(SUBSTITUTE(SUBSTITUTE(SUBSTITUTE(SUBSTITUTE(TRIM('월 가계부'!A2991),"년","-"),"월","-"),"일",""),".","-"),"/","-")," ","-"),"--","-"),"--","-"),"--","-")&amp;"-","")</f>
        <v/>
      </c>
      <c r="CI2991">
        <f>IFERROR(IF('월 가계부'!A2991="","",IF(ISNUMBER('월 가계부'!A2991),IF(AND('월 가계부'!A2991&gt;=19000101,'월 가계부'!A2991&lt;=21001231),IF(AND(MOD(INT('월 가계부'!A2991/100),100)&gt;=1,MOD(INT('월 가계부'!A2991/100),100)&lt;=12,MOD(INT('월 가계부'!A2991),100)&gt;=1,MOD(INT('월 가계부'!A2991),100)&lt;=31),IF(MONTH(DATE(INT('월 가계부'!A2991/10000),MOD(INT('월 가계부'!A2991/100),100),MOD(INT('월 가계부'!A2991),100)))=MOD(INT('월 가계부'!A2991/100),100),DATE(INT('월 가계부'!A2991/10000),MOD(INT('월 가계부'!A2991/100),100),MOD(INT('월 가계부'!A2991),100)),""),""),IF(AND('월 가계부'!A2991&gt;=36526,'월 가계부'!A2991&lt;73051),INT('월 가계부'!A2991),"")),IF(OR(CM2991="",CN2991="",CO2991=""),"",IF(AND(CM2991&gt;=2000,CM2991&lt;=2099,CN2991&gt;=1,CN2991&lt;=12,CO2991&gt;=1,CO2991&lt;=31),IF(MONTH(DATE(CM2991,CN2991,CO2991))=CN2991,DATE(CM2991,CN2991,CO2991),""),"")))),"")</f>
        <v/>
      </c>
      <c r="CJ2991">
        <f>IFERROR(IF('월 가계부'!C2991="","",IF(ISNUMBER('월 가계부'!C2991),'월 가계부'!C2991,VALUE(SUBSTITUTE(SUBSTITUTE(SUBSTITUTE(SUBSTITUTE(TRIM('월 가계부'!C2991),",",""),"원","")," ",""),"−","-")))),"")</f>
        <v/>
      </c>
      <c r="CK2991">
        <f>IF(ISNUMBER(CI2991),IF(CI2991&lt;$B$13,CI2991,""),"")</f>
        <v/>
      </c>
      <c r="CM2991">
        <f>IF(CH2991="","",IFERROR(IF(IF(AND(LEN(CH2991)=9,ISERROR(FIND("-",LEFT(CH2991,8))),ISNUMBER(-LEFT(CH2991,8))),VALUE(LEFT(CH2991,4)),VALUE(LEFT(CH2991,FIND("-",CH2991)-1)))&lt;100,IF(AND(LEN(CH2991)=9,ISERROR(FIND("-",LEFT(CH2991,8))),ISNUMBER(-LEFT(CH2991,8))),VALUE(LEFT(CH2991,4)),VALUE(LEFT(CH2991,FIND("-",CH2991)-1)))+2000,IF(AND(LEN(CH2991)=9,ISERROR(FIND("-",LEFT(CH2991,8))),ISNUMBER(-LEFT(CH2991,8))),VALUE(LEFT(CH2991,4)),VALUE(LEFT(CH2991,FIND("-",CH2991)-1)))),""))</f>
        <v/>
      </c>
      <c r="CN2991">
        <f>IF(CH2991="","",IFERROR(IF(AND(LEN(CH2991)=9,ISERROR(FIND("-",LEFT(CH2991,8))),ISNUMBER(-LEFT(CH2991,8))),VALUE(MID(CH2991,5,2)),VALUE(MID(CH2991,FIND("-",CH2991)+1,FIND("-",CH2991,FIND("-",CH2991)+1)-FIND("-",CH2991)-1))),""))</f>
        <v/>
      </c>
      <c r="CO2991">
        <f>IF(CH2991="","",IFERROR(IF(AND(LEN(CH2991)=9,ISERROR(FIND("-",LEFT(CH2991,8))),ISNUMBER(-LEFT(CH2991,8))),VALUE(MID(CH2991,7,2)),VALUE(MID(CH2991,FIND("-",CH2991,FIND("-",CH2991)+1)+1,FIND("-",CH2991,FIND("-",CH2991,FIND("-",CH2991)+1)+1)-FIND("-",CH2991,FIND("-",CH2991)+1)-1))),""))</f>
        <v/>
      </c>
    </row>
    <row r="2992">
      <c r="CH2992">
        <f>IF(ISTEXT('월 가계부'!A2992),SUBSTITUTE(SUBSTITUTE(SUBSTITUTE(SUBSTITUTE(SUBSTITUTE(SUBSTITUTE(SUBSTITUTE(SUBSTITUTE(SUBSTITUTE(TRIM('월 가계부'!A2992),"년","-"),"월","-"),"일",""),".","-"),"/","-")," ","-"),"--","-"),"--","-"),"--","-")&amp;"-","")</f>
        <v/>
      </c>
      <c r="CI2992">
        <f>IFERROR(IF('월 가계부'!A2992="","",IF(ISNUMBER('월 가계부'!A2992),IF(AND('월 가계부'!A2992&gt;=19000101,'월 가계부'!A2992&lt;=21001231),IF(AND(MOD(INT('월 가계부'!A2992/100),100)&gt;=1,MOD(INT('월 가계부'!A2992/100),100)&lt;=12,MOD(INT('월 가계부'!A2992),100)&gt;=1,MOD(INT('월 가계부'!A2992),100)&lt;=31),IF(MONTH(DATE(INT('월 가계부'!A2992/10000),MOD(INT('월 가계부'!A2992/100),100),MOD(INT('월 가계부'!A2992),100)))=MOD(INT('월 가계부'!A2992/100),100),DATE(INT('월 가계부'!A2992/10000),MOD(INT('월 가계부'!A2992/100),100),MOD(INT('월 가계부'!A2992),100)),""),""),IF(AND('월 가계부'!A2992&gt;=36526,'월 가계부'!A2992&lt;73051),INT('월 가계부'!A2992),"")),IF(OR(CM2992="",CN2992="",CO2992=""),"",IF(AND(CM2992&gt;=2000,CM2992&lt;=2099,CN2992&gt;=1,CN2992&lt;=12,CO2992&gt;=1,CO2992&lt;=31),IF(MONTH(DATE(CM2992,CN2992,CO2992))=CN2992,DATE(CM2992,CN2992,CO2992),""),"")))),"")</f>
        <v/>
      </c>
      <c r="CJ2992">
        <f>IFERROR(IF('월 가계부'!C2992="","",IF(ISNUMBER('월 가계부'!C2992),'월 가계부'!C2992,VALUE(SUBSTITUTE(SUBSTITUTE(SUBSTITUTE(SUBSTITUTE(TRIM('월 가계부'!C2992),",",""),"원","")," ",""),"−","-")))),"")</f>
        <v/>
      </c>
      <c r="CK2992">
        <f>IF(ISNUMBER(CI2992),IF(CI2992&lt;$B$13,CI2992,""),"")</f>
        <v/>
      </c>
      <c r="CM2992">
        <f>IF(CH2992="","",IFERROR(IF(IF(AND(LEN(CH2992)=9,ISERROR(FIND("-",LEFT(CH2992,8))),ISNUMBER(-LEFT(CH2992,8))),VALUE(LEFT(CH2992,4)),VALUE(LEFT(CH2992,FIND("-",CH2992)-1)))&lt;100,IF(AND(LEN(CH2992)=9,ISERROR(FIND("-",LEFT(CH2992,8))),ISNUMBER(-LEFT(CH2992,8))),VALUE(LEFT(CH2992,4)),VALUE(LEFT(CH2992,FIND("-",CH2992)-1)))+2000,IF(AND(LEN(CH2992)=9,ISERROR(FIND("-",LEFT(CH2992,8))),ISNUMBER(-LEFT(CH2992,8))),VALUE(LEFT(CH2992,4)),VALUE(LEFT(CH2992,FIND("-",CH2992)-1)))),""))</f>
        <v/>
      </c>
      <c r="CN2992">
        <f>IF(CH2992="","",IFERROR(IF(AND(LEN(CH2992)=9,ISERROR(FIND("-",LEFT(CH2992,8))),ISNUMBER(-LEFT(CH2992,8))),VALUE(MID(CH2992,5,2)),VALUE(MID(CH2992,FIND("-",CH2992)+1,FIND("-",CH2992,FIND("-",CH2992)+1)-FIND("-",CH2992)-1))),""))</f>
        <v/>
      </c>
      <c r="CO2992">
        <f>IF(CH2992="","",IFERROR(IF(AND(LEN(CH2992)=9,ISERROR(FIND("-",LEFT(CH2992,8))),ISNUMBER(-LEFT(CH2992,8))),VALUE(MID(CH2992,7,2)),VALUE(MID(CH2992,FIND("-",CH2992,FIND("-",CH2992)+1)+1,FIND("-",CH2992,FIND("-",CH2992,FIND("-",CH2992)+1)+1)-FIND("-",CH2992,FIND("-",CH2992)+1)-1))),""))</f>
        <v/>
      </c>
    </row>
    <row r="2993">
      <c r="CH2993">
        <f>IF(ISTEXT('월 가계부'!A2993),SUBSTITUTE(SUBSTITUTE(SUBSTITUTE(SUBSTITUTE(SUBSTITUTE(SUBSTITUTE(SUBSTITUTE(SUBSTITUTE(SUBSTITUTE(TRIM('월 가계부'!A2993),"년","-"),"월","-"),"일",""),".","-"),"/","-")," ","-"),"--","-"),"--","-"),"--","-")&amp;"-","")</f>
        <v/>
      </c>
      <c r="CI2993">
        <f>IFERROR(IF('월 가계부'!A2993="","",IF(ISNUMBER('월 가계부'!A2993),IF(AND('월 가계부'!A2993&gt;=19000101,'월 가계부'!A2993&lt;=21001231),IF(AND(MOD(INT('월 가계부'!A2993/100),100)&gt;=1,MOD(INT('월 가계부'!A2993/100),100)&lt;=12,MOD(INT('월 가계부'!A2993),100)&gt;=1,MOD(INT('월 가계부'!A2993),100)&lt;=31),IF(MONTH(DATE(INT('월 가계부'!A2993/10000),MOD(INT('월 가계부'!A2993/100),100),MOD(INT('월 가계부'!A2993),100)))=MOD(INT('월 가계부'!A2993/100),100),DATE(INT('월 가계부'!A2993/10000),MOD(INT('월 가계부'!A2993/100),100),MOD(INT('월 가계부'!A2993),100)),""),""),IF(AND('월 가계부'!A2993&gt;=36526,'월 가계부'!A2993&lt;73051),INT('월 가계부'!A2993),"")),IF(OR(CM2993="",CN2993="",CO2993=""),"",IF(AND(CM2993&gt;=2000,CM2993&lt;=2099,CN2993&gt;=1,CN2993&lt;=12,CO2993&gt;=1,CO2993&lt;=31),IF(MONTH(DATE(CM2993,CN2993,CO2993))=CN2993,DATE(CM2993,CN2993,CO2993),""),"")))),"")</f>
        <v/>
      </c>
      <c r="CJ2993">
        <f>IFERROR(IF('월 가계부'!C2993="","",IF(ISNUMBER('월 가계부'!C2993),'월 가계부'!C2993,VALUE(SUBSTITUTE(SUBSTITUTE(SUBSTITUTE(SUBSTITUTE(TRIM('월 가계부'!C2993),",",""),"원","")," ",""),"−","-")))),"")</f>
        <v/>
      </c>
      <c r="CK2993">
        <f>IF(ISNUMBER(CI2993),IF(CI2993&lt;$B$13,CI2993,""),"")</f>
        <v/>
      </c>
      <c r="CM2993">
        <f>IF(CH2993="","",IFERROR(IF(IF(AND(LEN(CH2993)=9,ISERROR(FIND("-",LEFT(CH2993,8))),ISNUMBER(-LEFT(CH2993,8))),VALUE(LEFT(CH2993,4)),VALUE(LEFT(CH2993,FIND("-",CH2993)-1)))&lt;100,IF(AND(LEN(CH2993)=9,ISERROR(FIND("-",LEFT(CH2993,8))),ISNUMBER(-LEFT(CH2993,8))),VALUE(LEFT(CH2993,4)),VALUE(LEFT(CH2993,FIND("-",CH2993)-1)))+2000,IF(AND(LEN(CH2993)=9,ISERROR(FIND("-",LEFT(CH2993,8))),ISNUMBER(-LEFT(CH2993,8))),VALUE(LEFT(CH2993,4)),VALUE(LEFT(CH2993,FIND("-",CH2993)-1)))),""))</f>
        <v/>
      </c>
      <c r="CN2993">
        <f>IF(CH2993="","",IFERROR(IF(AND(LEN(CH2993)=9,ISERROR(FIND("-",LEFT(CH2993,8))),ISNUMBER(-LEFT(CH2993,8))),VALUE(MID(CH2993,5,2)),VALUE(MID(CH2993,FIND("-",CH2993)+1,FIND("-",CH2993,FIND("-",CH2993)+1)-FIND("-",CH2993)-1))),""))</f>
        <v/>
      </c>
      <c r="CO2993">
        <f>IF(CH2993="","",IFERROR(IF(AND(LEN(CH2993)=9,ISERROR(FIND("-",LEFT(CH2993,8))),ISNUMBER(-LEFT(CH2993,8))),VALUE(MID(CH2993,7,2)),VALUE(MID(CH2993,FIND("-",CH2993,FIND("-",CH2993)+1)+1,FIND("-",CH2993,FIND("-",CH2993,FIND("-",CH2993)+1)+1)-FIND("-",CH2993,FIND("-",CH2993)+1)-1))),""))</f>
        <v/>
      </c>
    </row>
    <row r="2994">
      <c r="CH2994">
        <f>IF(ISTEXT('월 가계부'!A2994),SUBSTITUTE(SUBSTITUTE(SUBSTITUTE(SUBSTITUTE(SUBSTITUTE(SUBSTITUTE(SUBSTITUTE(SUBSTITUTE(SUBSTITUTE(TRIM('월 가계부'!A2994),"년","-"),"월","-"),"일",""),".","-"),"/","-")," ","-"),"--","-"),"--","-"),"--","-")&amp;"-","")</f>
        <v/>
      </c>
      <c r="CI2994">
        <f>IFERROR(IF('월 가계부'!A2994="","",IF(ISNUMBER('월 가계부'!A2994),IF(AND('월 가계부'!A2994&gt;=19000101,'월 가계부'!A2994&lt;=21001231),IF(AND(MOD(INT('월 가계부'!A2994/100),100)&gt;=1,MOD(INT('월 가계부'!A2994/100),100)&lt;=12,MOD(INT('월 가계부'!A2994),100)&gt;=1,MOD(INT('월 가계부'!A2994),100)&lt;=31),IF(MONTH(DATE(INT('월 가계부'!A2994/10000),MOD(INT('월 가계부'!A2994/100),100),MOD(INT('월 가계부'!A2994),100)))=MOD(INT('월 가계부'!A2994/100),100),DATE(INT('월 가계부'!A2994/10000),MOD(INT('월 가계부'!A2994/100),100),MOD(INT('월 가계부'!A2994),100)),""),""),IF(AND('월 가계부'!A2994&gt;=36526,'월 가계부'!A2994&lt;73051),INT('월 가계부'!A2994),"")),IF(OR(CM2994="",CN2994="",CO2994=""),"",IF(AND(CM2994&gt;=2000,CM2994&lt;=2099,CN2994&gt;=1,CN2994&lt;=12,CO2994&gt;=1,CO2994&lt;=31),IF(MONTH(DATE(CM2994,CN2994,CO2994))=CN2994,DATE(CM2994,CN2994,CO2994),""),"")))),"")</f>
        <v/>
      </c>
      <c r="CJ2994">
        <f>IFERROR(IF('월 가계부'!C2994="","",IF(ISNUMBER('월 가계부'!C2994),'월 가계부'!C2994,VALUE(SUBSTITUTE(SUBSTITUTE(SUBSTITUTE(SUBSTITUTE(TRIM('월 가계부'!C2994),",",""),"원","")," ",""),"−","-")))),"")</f>
        <v/>
      </c>
      <c r="CK2994">
        <f>IF(ISNUMBER(CI2994),IF(CI2994&lt;$B$13,CI2994,""),"")</f>
        <v/>
      </c>
      <c r="CM2994">
        <f>IF(CH2994="","",IFERROR(IF(IF(AND(LEN(CH2994)=9,ISERROR(FIND("-",LEFT(CH2994,8))),ISNUMBER(-LEFT(CH2994,8))),VALUE(LEFT(CH2994,4)),VALUE(LEFT(CH2994,FIND("-",CH2994)-1)))&lt;100,IF(AND(LEN(CH2994)=9,ISERROR(FIND("-",LEFT(CH2994,8))),ISNUMBER(-LEFT(CH2994,8))),VALUE(LEFT(CH2994,4)),VALUE(LEFT(CH2994,FIND("-",CH2994)-1)))+2000,IF(AND(LEN(CH2994)=9,ISERROR(FIND("-",LEFT(CH2994,8))),ISNUMBER(-LEFT(CH2994,8))),VALUE(LEFT(CH2994,4)),VALUE(LEFT(CH2994,FIND("-",CH2994)-1)))),""))</f>
        <v/>
      </c>
      <c r="CN2994">
        <f>IF(CH2994="","",IFERROR(IF(AND(LEN(CH2994)=9,ISERROR(FIND("-",LEFT(CH2994,8))),ISNUMBER(-LEFT(CH2994,8))),VALUE(MID(CH2994,5,2)),VALUE(MID(CH2994,FIND("-",CH2994)+1,FIND("-",CH2994,FIND("-",CH2994)+1)-FIND("-",CH2994)-1))),""))</f>
        <v/>
      </c>
      <c r="CO2994">
        <f>IF(CH2994="","",IFERROR(IF(AND(LEN(CH2994)=9,ISERROR(FIND("-",LEFT(CH2994,8))),ISNUMBER(-LEFT(CH2994,8))),VALUE(MID(CH2994,7,2)),VALUE(MID(CH2994,FIND("-",CH2994,FIND("-",CH2994)+1)+1,FIND("-",CH2994,FIND("-",CH2994,FIND("-",CH2994)+1)+1)-FIND("-",CH2994,FIND("-",CH2994)+1)-1))),""))</f>
        <v/>
      </c>
    </row>
    <row r="2995">
      <c r="CH2995">
        <f>IF(ISTEXT('월 가계부'!A2995),SUBSTITUTE(SUBSTITUTE(SUBSTITUTE(SUBSTITUTE(SUBSTITUTE(SUBSTITUTE(SUBSTITUTE(SUBSTITUTE(SUBSTITUTE(TRIM('월 가계부'!A2995),"년","-"),"월","-"),"일",""),".","-"),"/","-")," ","-"),"--","-"),"--","-"),"--","-")&amp;"-","")</f>
        <v/>
      </c>
      <c r="CI2995">
        <f>IFERROR(IF('월 가계부'!A2995="","",IF(ISNUMBER('월 가계부'!A2995),IF(AND('월 가계부'!A2995&gt;=19000101,'월 가계부'!A2995&lt;=21001231),IF(AND(MOD(INT('월 가계부'!A2995/100),100)&gt;=1,MOD(INT('월 가계부'!A2995/100),100)&lt;=12,MOD(INT('월 가계부'!A2995),100)&gt;=1,MOD(INT('월 가계부'!A2995),100)&lt;=31),IF(MONTH(DATE(INT('월 가계부'!A2995/10000),MOD(INT('월 가계부'!A2995/100),100),MOD(INT('월 가계부'!A2995),100)))=MOD(INT('월 가계부'!A2995/100),100),DATE(INT('월 가계부'!A2995/10000),MOD(INT('월 가계부'!A2995/100),100),MOD(INT('월 가계부'!A2995),100)),""),""),IF(AND('월 가계부'!A2995&gt;=36526,'월 가계부'!A2995&lt;73051),INT('월 가계부'!A2995),"")),IF(OR(CM2995="",CN2995="",CO2995=""),"",IF(AND(CM2995&gt;=2000,CM2995&lt;=2099,CN2995&gt;=1,CN2995&lt;=12,CO2995&gt;=1,CO2995&lt;=31),IF(MONTH(DATE(CM2995,CN2995,CO2995))=CN2995,DATE(CM2995,CN2995,CO2995),""),"")))),"")</f>
        <v/>
      </c>
      <c r="CJ2995">
        <f>IFERROR(IF('월 가계부'!C2995="","",IF(ISNUMBER('월 가계부'!C2995),'월 가계부'!C2995,VALUE(SUBSTITUTE(SUBSTITUTE(SUBSTITUTE(SUBSTITUTE(TRIM('월 가계부'!C2995),",",""),"원","")," ",""),"−","-")))),"")</f>
        <v/>
      </c>
      <c r="CK2995">
        <f>IF(ISNUMBER(CI2995),IF(CI2995&lt;$B$13,CI2995,""),"")</f>
        <v/>
      </c>
      <c r="CM2995">
        <f>IF(CH2995="","",IFERROR(IF(IF(AND(LEN(CH2995)=9,ISERROR(FIND("-",LEFT(CH2995,8))),ISNUMBER(-LEFT(CH2995,8))),VALUE(LEFT(CH2995,4)),VALUE(LEFT(CH2995,FIND("-",CH2995)-1)))&lt;100,IF(AND(LEN(CH2995)=9,ISERROR(FIND("-",LEFT(CH2995,8))),ISNUMBER(-LEFT(CH2995,8))),VALUE(LEFT(CH2995,4)),VALUE(LEFT(CH2995,FIND("-",CH2995)-1)))+2000,IF(AND(LEN(CH2995)=9,ISERROR(FIND("-",LEFT(CH2995,8))),ISNUMBER(-LEFT(CH2995,8))),VALUE(LEFT(CH2995,4)),VALUE(LEFT(CH2995,FIND("-",CH2995)-1)))),""))</f>
        <v/>
      </c>
      <c r="CN2995">
        <f>IF(CH2995="","",IFERROR(IF(AND(LEN(CH2995)=9,ISERROR(FIND("-",LEFT(CH2995,8))),ISNUMBER(-LEFT(CH2995,8))),VALUE(MID(CH2995,5,2)),VALUE(MID(CH2995,FIND("-",CH2995)+1,FIND("-",CH2995,FIND("-",CH2995)+1)-FIND("-",CH2995)-1))),""))</f>
        <v/>
      </c>
      <c r="CO2995">
        <f>IF(CH2995="","",IFERROR(IF(AND(LEN(CH2995)=9,ISERROR(FIND("-",LEFT(CH2995,8))),ISNUMBER(-LEFT(CH2995,8))),VALUE(MID(CH2995,7,2)),VALUE(MID(CH2995,FIND("-",CH2995,FIND("-",CH2995)+1)+1,FIND("-",CH2995,FIND("-",CH2995,FIND("-",CH2995)+1)+1)-FIND("-",CH2995,FIND("-",CH2995)+1)-1))),""))</f>
        <v/>
      </c>
    </row>
    <row r="2996">
      <c r="CH2996">
        <f>IF(ISTEXT('월 가계부'!A2996),SUBSTITUTE(SUBSTITUTE(SUBSTITUTE(SUBSTITUTE(SUBSTITUTE(SUBSTITUTE(SUBSTITUTE(SUBSTITUTE(SUBSTITUTE(TRIM('월 가계부'!A2996),"년","-"),"월","-"),"일",""),".","-"),"/","-")," ","-"),"--","-"),"--","-"),"--","-")&amp;"-","")</f>
        <v/>
      </c>
      <c r="CI2996">
        <f>IFERROR(IF('월 가계부'!A2996="","",IF(ISNUMBER('월 가계부'!A2996),IF(AND('월 가계부'!A2996&gt;=19000101,'월 가계부'!A2996&lt;=21001231),IF(AND(MOD(INT('월 가계부'!A2996/100),100)&gt;=1,MOD(INT('월 가계부'!A2996/100),100)&lt;=12,MOD(INT('월 가계부'!A2996),100)&gt;=1,MOD(INT('월 가계부'!A2996),100)&lt;=31),IF(MONTH(DATE(INT('월 가계부'!A2996/10000),MOD(INT('월 가계부'!A2996/100),100),MOD(INT('월 가계부'!A2996),100)))=MOD(INT('월 가계부'!A2996/100),100),DATE(INT('월 가계부'!A2996/10000),MOD(INT('월 가계부'!A2996/100),100),MOD(INT('월 가계부'!A2996),100)),""),""),IF(AND('월 가계부'!A2996&gt;=36526,'월 가계부'!A2996&lt;73051),INT('월 가계부'!A2996),"")),IF(OR(CM2996="",CN2996="",CO2996=""),"",IF(AND(CM2996&gt;=2000,CM2996&lt;=2099,CN2996&gt;=1,CN2996&lt;=12,CO2996&gt;=1,CO2996&lt;=31),IF(MONTH(DATE(CM2996,CN2996,CO2996))=CN2996,DATE(CM2996,CN2996,CO2996),""),"")))),"")</f>
        <v/>
      </c>
      <c r="CJ2996">
        <f>IFERROR(IF('월 가계부'!C2996="","",IF(ISNUMBER('월 가계부'!C2996),'월 가계부'!C2996,VALUE(SUBSTITUTE(SUBSTITUTE(SUBSTITUTE(SUBSTITUTE(TRIM('월 가계부'!C2996),",",""),"원","")," ",""),"−","-")))),"")</f>
        <v/>
      </c>
      <c r="CK2996">
        <f>IF(ISNUMBER(CI2996),IF(CI2996&lt;$B$13,CI2996,""),"")</f>
        <v/>
      </c>
      <c r="CM2996">
        <f>IF(CH2996="","",IFERROR(IF(IF(AND(LEN(CH2996)=9,ISERROR(FIND("-",LEFT(CH2996,8))),ISNUMBER(-LEFT(CH2996,8))),VALUE(LEFT(CH2996,4)),VALUE(LEFT(CH2996,FIND("-",CH2996)-1)))&lt;100,IF(AND(LEN(CH2996)=9,ISERROR(FIND("-",LEFT(CH2996,8))),ISNUMBER(-LEFT(CH2996,8))),VALUE(LEFT(CH2996,4)),VALUE(LEFT(CH2996,FIND("-",CH2996)-1)))+2000,IF(AND(LEN(CH2996)=9,ISERROR(FIND("-",LEFT(CH2996,8))),ISNUMBER(-LEFT(CH2996,8))),VALUE(LEFT(CH2996,4)),VALUE(LEFT(CH2996,FIND("-",CH2996)-1)))),""))</f>
        <v/>
      </c>
      <c r="CN2996">
        <f>IF(CH2996="","",IFERROR(IF(AND(LEN(CH2996)=9,ISERROR(FIND("-",LEFT(CH2996,8))),ISNUMBER(-LEFT(CH2996,8))),VALUE(MID(CH2996,5,2)),VALUE(MID(CH2996,FIND("-",CH2996)+1,FIND("-",CH2996,FIND("-",CH2996)+1)-FIND("-",CH2996)-1))),""))</f>
        <v/>
      </c>
      <c r="CO2996">
        <f>IF(CH2996="","",IFERROR(IF(AND(LEN(CH2996)=9,ISERROR(FIND("-",LEFT(CH2996,8))),ISNUMBER(-LEFT(CH2996,8))),VALUE(MID(CH2996,7,2)),VALUE(MID(CH2996,FIND("-",CH2996,FIND("-",CH2996)+1)+1,FIND("-",CH2996,FIND("-",CH2996,FIND("-",CH2996)+1)+1)-FIND("-",CH2996,FIND("-",CH2996)+1)-1))),""))</f>
        <v/>
      </c>
    </row>
    <row r="2997">
      <c r="CH2997">
        <f>IF(ISTEXT('월 가계부'!A2997),SUBSTITUTE(SUBSTITUTE(SUBSTITUTE(SUBSTITUTE(SUBSTITUTE(SUBSTITUTE(SUBSTITUTE(SUBSTITUTE(SUBSTITUTE(TRIM('월 가계부'!A2997),"년","-"),"월","-"),"일",""),".","-"),"/","-")," ","-"),"--","-"),"--","-"),"--","-")&amp;"-","")</f>
        <v/>
      </c>
      <c r="CI2997">
        <f>IFERROR(IF('월 가계부'!A2997="","",IF(ISNUMBER('월 가계부'!A2997),IF(AND('월 가계부'!A2997&gt;=19000101,'월 가계부'!A2997&lt;=21001231),IF(AND(MOD(INT('월 가계부'!A2997/100),100)&gt;=1,MOD(INT('월 가계부'!A2997/100),100)&lt;=12,MOD(INT('월 가계부'!A2997),100)&gt;=1,MOD(INT('월 가계부'!A2997),100)&lt;=31),IF(MONTH(DATE(INT('월 가계부'!A2997/10000),MOD(INT('월 가계부'!A2997/100),100),MOD(INT('월 가계부'!A2997),100)))=MOD(INT('월 가계부'!A2997/100),100),DATE(INT('월 가계부'!A2997/10000),MOD(INT('월 가계부'!A2997/100),100),MOD(INT('월 가계부'!A2997),100)),""),""),IF(AND('월 가계부'!A2997&gt;=36526,'월 가계부'!A2997&lt;73051),INT('월 가계부'!A2997),"")),IF(OR(CM2997="",CN2997="",CO2997=""),"",IF(AND(CM2997&gt;=2000,CM2997&lt;=2099,CN2997&gt;=1,CN2997&lt;=12,CO2997&gt;=1,CO2997&lt;=31),IF(MONTH(DATE(CM2997,CN2997,CO2997))=CN2997,DATE(CM2997,CN2997,CO2997),""),"")))),"")</f>
        <v/>
      </c>
      <c r="CJ2997">
        <f>IFERROR(IF('월 가계부'!C2997="","",IF(ISNUMBER('월 가계부'!C2997),'월 가계부'!C2997,VALUE(SUBSTITUTE(SUBSTITUTE(SUBSTITUTE(SUBSTITUTE(TRIM('월 가계부'!C2997),",",""),"원","")," ",""),"−","-")))),"")</f>
        <v/>
      </c>
      <c r="CK2997">
        <f>IF(ISNUMBER(CI2997),IF(CI2997&lt;$B$13,CI2997,""),"")</f>
        <v/>
      </c>
      <c r="CM2997">
        <f>IF(CH2997="","",IFERROR(IF(IF(AND(LEN(CH2997)=9,ISERROR(FIND("-",LEFT(CH2997,8))),ISNUMBER(-LEFT(CH2997,8))),VALUE(LEFT(CH2997,4)),VALUE(LEFT(CH2997,FIND("-",CH2997)-1)))&lt;100,IF(AND(LEN(CH2997)=9,ISERROR(FIND("-",LEFT(CH2997,8))),ISNUMBER(-LEFT(CH2997,8))),VALUE(LEFT(CH2997,4)),VALUE(LEFT(CH2997,FIND("-",CH2997)-1)))+2000,IF(AND(LEN(CH2997)=9,ISERROR(FIND("-",LEFT(CH2997,8))),ISNUMBER(-LEFT(CH2997,8))),VALUE(LEFT(CH2997,4)),VALUE(LEFT(CH2997,FIND("-",CH2997)-1)))),""))</f>
        <v/>
      </c>
      <c r="CN2997">
        <f>IF(CH2997="","",IFERROR(IF(AND(LEN(CH2997)=9,ISERROR(FIND("-",LEFT(CH2997,8))),ISNUMBER(-LEFT(CH2997,8))),VALUE(MID(CH2997,5,2)),VALUE(MID(CH2997,FIND("-",CH2997)+1,FIND("-",CH2997,FIND("-",CH2997)+1)-FIND("-",CH2997)-1))),""))</f>
        <v/>
      </c>
      <c r="CO2997">
        <f>IF(CH2997="","",IFERROR(IF(AND(LEN(CH2997)=9,ISERROR(FIND("-",LEFT(CH2997,8))),ISNUMBER(-LEFT(CH2997,8))),VALUE(MID(CH2997,7,2)),VALUE(MID(CH2997,FIND("-",CH2997,FIND("-",CH2997)+1)+1,FIND("-",CH2997,FIND("-",CH2997,FIND("-",CH2997)+1)+1)-FIND("-",CH2997,FIND("-",CH2997)+1)-1))),""))</f>
        <v/>
      </c>
    </row>
    <row r="2998">
      <c r="CH2998">
        <f>IF(ISTEXT('월 가계부'!A2998),SUBSTITUTE(SUBSTITUTE(SUBSTITUTE(SUBSTITUTE(SUBSTITUTE(SUBSTITUTE(SUBSTITUTE(SUBSTITUTE(SUBSTITUTE(TRIM('월 가계부'!A2998),"년","-"),"월","-"),"일",""),".","-"),"/","-")," ","-"),"--","-"),"--","-"),"--","-")&amp;"-","")</f>
        <v/>
      </c>
      <c r="CI2998">
        <f>IFERROR(IF('월 가계부'!A2998="","",IF(ISNUMBER('월 가계부'!A2998),IF(AND('월 가계부'!A2998&gt;=19000101,'월 가계부'!A2998&lt;=21001231),IF(AND(MOD(INT('월 가계부'!A2998/100),100)&gt;=1,MOD(INT('월 가계부'!A2998/100),100)&lt;=12,MOD(INT('월 가계부'!A2998),100)&gt;=1,MOD(INT('월 가계부'!A2998),100)&lt;=31),IF(MONTH(DATE(INT('월 가계부'!A2998/10000),MOD(INT('월 가계부'!A2998/100),100),MOD(INT('월 가계부'!A2998),100)))=MOD(INT('월 가계부'!A2998/100),100),DATE(INT('월 가계부'!A2998/10000),MOD(INT('월 가계부'!A2998/100),100),MOD(INT('월 가계부'!A2998),100)),""),""),IF(AND('월 가계부'!A2998&gt;=36526,'월 가계부'!A2998&lt;73051),INT('월 가계부'!A2998),"")),IF(OR(CM2998="",CN2998="",CO2998=""),"",IF(AND(CM2998&gt;=2000,CM2998&lt;=2099,CN2998&gt;=1,CN2998&lt;=12,CO2998&gt;=1,CO2998&lt;=31),IF(MONTH(DATE(CM2998,CN2998,CO2998))=CN2998,DATE(CM2998,CN2998,CO2998),""),"")))),"")</f>
        <v/>
      </c>
      <c r="CJ2998">
        <f>IFERROR(IF('월 가계부'!C2998="","",IF(ISNUMBER('월 가계부'!C2998),'월 가계부'!C2998,VALUE(SUBSTITUTE(SUBSTITUTE(SUBSTITUTE(SUBSTITUTE(TRIM('월 가계부'!C2998),",",""),"원","")," ",""),"−","-")))),"")</f>
        <v/>
      </c>
      <c r="CK2998">
        <f>IF(ISNUMBER(CI2998),IF(CI2998&lt;$B$13,CI2998,""),"")</f>
        <v/>
      </c>
      <c r="CM2998">
        <f>IF(CH2998="","",IFERROR(IF(IF(AND(LEN(CH2998)=9,ISERROR(FIND("-",LEFT(CH2998,8))),ISNUMBER(-LEFT(CH2998,8))),VALUE(LEFT(CH2998,4)),VALUE(LEFT(CH2998,FIND("-",CH2998)-1)))&lt;100,IF(AND(LEN(CH2998)=9,ISERROR(FIND("-",LEFT(CH2998,8))),ISNUMBER(-LEFT(CH2998,8))),VALUE(LEFT(CH2998,4)),VALUE(LEFT(CH2998,FIND("-",CH2998)-1)))+2000,IF(AND(LEN(CH2998)=9,ISERROR(FIND("-",LEFT(CH2998,8))),ISNUMBER(-LEFT(CH2998,8))),VALUE(LEFT(CH2998,4)),VALUE(LEFT(CH2998,FIND("-",CH2998)-1)))),""))</f>
        <v/>
      </c>
      <c r="CN2998">
        <f>IF(CH2998="","",IFERROR(IF(AND(LEN(CH2998)=9,ISERROR(FIND("-",LEFT(CH2998,8))),ISNUMBER(-LEFT(CH2998,8))),VALUE(MID(CH2998,5,2)),VALUE(MID(CH2998,FIND("-",CH2998)+1,FIND("-",CH2998,FIND("-",CH2998)+1)-FIND("-",CH2998)-1))),""))</f>
        <v/>
      </c>
      <c r="CO2998">
        <f>IF(CH2998="","",IFERROR(IF(AND(LEN(CH2998)=9,ISERROR(FIND("-",LEFT(CH2998,8))),ISNUMBER(-LEFT(CH2998,8))),VALUE(MID(CH2998,7,2)),VALUE(MID(CH2998,FIND("-",CH2998,FIND("-",CH2998)+1)+1,FIND("-",CH2998,FIND("-",CH2998,FIND("-",CH2998)+1)+1)-FIND("-",CH2998,FIND("-",CH2998)+1)-1))),""))</f>
        <v/>
      </c>
    </row>
    <row r="2999">
      <c r="CH2999">
        <f>IF(ISTEXT('월 가계부'!A2999),SUBSTITUTE(SUBSTITUTE(SUBSTITUTE(SUBSTITUTE(SUBSTITUTE(SUBSTITUTE(SUBSTITUTE(SUBSTITUTE(SUBSTITUTE(TRIM('월 가계부'!A2999),"년","-"),"월","-"),"일",""),".","-"),"/","-")," ","-"),"--","-"),"--","-"),"--","-")&amp;"-","")</f>
        <v/>
      </c>
      <c r="CI2999">
        <f>IFERROR(IF('월 가계부'!A2999="","",IF(ISNUMBER('월 가계부'!A2999),IF(AND('월 가계부'!A2999&gt;=19000101,'월 가계부'!A2999&lt;=21001231),IF(AND(MOD(INT('월 가계부'!A2999/100),100)&gt;=1,MOD(INT('월 가계부'!A2999/100),100)&lt;=12,MOD(INT('월 가계부'!A2999),100)&gt;=1,MOD(INT('월 가계부'!A2999),100)&lt;=31),IF(MONTH(DATE(INT('월 가계부'!A2999/10000),MOD(INT('월 가계부'!A2999/100),100),MOD(INT('월 가계부'!A2999),100)))=MOD(INT('월 가계부'!A2999/100),100),DATE(INT('월 가계부'!A2999/10000),MOD(INT('월 가계부'!A2999/100),100),MOD(INT('월 가계부'!A2999),100)),""),""),IF(AND('월 가계부'!A2999&gt;=36526,'월 가계부'!A2999&lt;73051),INT('월 가계부'!A2999),"")),IF(OR(CM2999="",CN2999="",CO2999=""),"",IF(AND(CM2999&gt;=2000,CM2999&lt;=2099,CN2999&gt;=1,CN2999&lt;=12,CO2999&gt;=1,CO2999&lt;=31),IF(MONTH(DATE(CM2999,CN2999,CO2999))=CN2999,DATE(CM2999,CN2999,CO2999),""),"")))),"")</f>
        <v/>
      </c>
      <c r="CJ2999">
        <f>IFERROR(IF('월 가계부'!C2999="","",IF(ISNUMBER('월 가계부'!C2999),'월 가계부'!C2999,VALUE(SUBSTITUTE(SUBSTITUTE(SUBSTITUTE(SUBSTITUTE(TRIM('월 가계부'!C2999),",",""),"원","")," ",""),"−","-")))),"")</f>
        <v/>
      </c>
      <c r="CK2999">
        <f>IF(ISNUMBER(CI2999),IF(CI2999&lt;$B$13,CI2999,""),"")</f>
        <v/>
      </c>
      <c r="CM2999">
        <f>IF(CH2999="","",IFERROR(IF(IF(AND(LEN(CH2999)=9,ISERROR(FIND("-",LEFT(CH2999,8))),ISNUMBER(-LEFT(CH2999,8))),VALUE(LEFT(CH2999,4)),VALUE(LEFT(CH2999,FIND("-",CH2999)-1)))&lt;100,IF(AND(LEN(CH2999)=9,ISERROR(FIND("-",LEFT(CH2999,8))),ISNUMBER(-LEFT(CH2999,8))),VALUE(LEFT(CH2999,4)),VALUE(LEFT(CH2999,FIND("-",CH2999)-1)))+2000,IF(AND(LEN(CH2999)=9,ISERROR(FIND("-",LEFT(CH2999,8))),ISNUMBER(-LEFT(CH2999,8))),VALUE(LEFT(CH2999,4)),VALUE(LEFT(CH2999,FIND("-",CH2999)-1)))),""))</f>
        <v/>
      </c>
      <c r="CN2999">
        <f>IF(CH2999="","",IFERROR(IF(AND(LEN(CH2999)=9,ISERROR(FIND("-",LEFT(CH2999,8))),ISNUMBER(-LEFT(CH2999,8))),VALUE(MID(CH2999,5,2)),VALUE(MID(CH2999,FIND("-",CH2999)+1,FIND("-",CH2999,FIND("-",CH2999)+1)-FIND("-",CH2999)-1))),""))</f>
        <v/>
      </c>
      <c r="CO2999">
        <f>IF(CH2999="","",IFERROR(IF(AND(LEN(CH2999)=9,ISERROR(FIND("-",LEFT(CH2999,8))),ISNUMBER(-LEFT(CH2999,8))),VALUE(MID(CH2999,7,2)),VALUE(MID(CH2999,FIND("-",CH2999,FIND("-",CH2999)+1)+1,FIND("-",CH2999,FIND("-",CH2999,FIND("-",CH2999)+1)+1)-FIND("-",CH2999,FIND("-",CH2999)+1)-1))),""))</f>
        <v/>
      </c>
    </row>
    <row r="3000">
      <c r="CH3000">
        <f>IF(ISTEXT('월 가계부'!A3000),SUBSTITUTE(SUBSTITUTE(SUBSTITUTE(SUBSTITUTE(SUBSTITUTE(SUBSTITUTE(SUBSTITUTE(SUBSTITUTE(SUBSTITUTE(TRIM('월 가계부'!A3000),"년","-"),"월","-"),"일",""),".","-"),"/","-")," ","-"),"--","-"),"--","-"),"--","-")&amp;"-","")</f>
        <v/>
      </c>
      <c r="CI3000">
        <f>IFERROR(IF('월 가계부'!A3000="","",IF(ISNUMBER('월 가계부'!A3000),IF(AND('월 가계부'!A3000&gt;=19000101,'월 가계부'!A3000&lt;=21001231),IF(AND(MOD(INT('월 가계부'!A3000/100),100)&gt;=1,MOD(INT('월 가계부'!A3000/100),100)&lt;=12,MOD(INT('월 가계부'!A3000),100)&gt;=1,MOD(INT('월 가계부'!A3000),100)&lt;=31),IF(MONTH(DATE(INT('월 가계부'!A3000/10000),MOD(INT('월 가계부'!A3000/100),100),MOD(INT('월 가계부'!A3000),100)))=MOD(INT('월 가계부'!A3000/100),100),DATE(INT('월 가계부'!A3000/10000),MOD(INT('월 가계부'!A3000/100),100),MOD(INT('월 가계부'!A3000),100)),""),""),IF(AND('월 가계부'!A3000&gt;=36526,'월 가계부'!A3000&lt;73051),INT('월 가계부'!A3000),"")),IF(OR(CM3000="",CN3000="",CO3000=""),"",IF(AND(CM3000&gt;=2000,CM3000&lt;=2099,CN3000&gt;=1,CN3000&lt;=12,CO3000&gt;=1,CO3000&lt;=31),IF(MONTH(DATE(CM3000,CN3000,CO3000))=CN3000,DATE(CM3000,CN3000,CO3000),""),"")))),"")</f>
        <v/>
      </c>
      <c r="CJ3000">
        <f>IFERROR(IF('월 가계부'!C3000="","",IF(ISNUMBER('월 가계부'!C3000),'월 가계부'!C3000,VALUE(SUBSTITUTE(SUBSTITUTE(SUBSTITUTE(SUBSTITUTE(TRIM('월 가계부'!C3000),",",""),"원","")," ",""),"−","-")))),"")</f>
        <v/>
      </c>
      <c r="CK3000">
        <f>IF(ISNUMBER(CI3000),IF(CI3000&lt;$B$13,CI3000,""),"")</f>
        <v/>
      </c>
      <c r="CM3000">
        <f>IF(CH3000="","",IFERROR(IF(IF(AND(LEN(CH3000)=9,ISERROR(FIND("-",LEFT(CH3000,8))),ISNUMBER(-LEFT(CH3000,8))),VALUE(LEFT(CH3000,4)),VALUE(LEFT(CH3000,FIND("-",CH3000)-1)))&lt;100,IF(AND(LEN(CH3000)=9,ISERROR(FIND("-",LEFT(CH3000,8))),ISNUMBER(-LEFT(CH3000,8))),VALUE(LEFT(CH3000,4)),VALUE(LEFT(CH3000,FIND("-",CH3000)-1)))+2000,IF(AND(LEN(CH3000)=9,ISERROR(FIND("-",LEFT(CH3000,8))),ISNUMBER(-LEFT(CH3000,8))),VALUE(LEFT(CH3000,4)),VALUE(LEFT(CH3000,FIND("-",CH3000)-1)))),""))</f>
        <v/>
      </c>
      <c r="CN3000">
        <f>IF(CH3000="","",IFERROR(IF(AND(LEN(CH3000)=9,ISERROR(FIND("-",LEFT(CH3000,8))),ISNUMBER(-LEFT(CH3000,8))),VALUE(MID(CH3000,5,2)),VALUE(MID(CH3000,FIND("-",CH3000)+1,FIND("-",CH3000,FIND("-",CH3000)+1)-FIND("-",CH3000)-1))),""))</f>
        <v/>
      </c>
      <c r="CO3000">
        <f>IF(CH3000="","",IFERROR(IF(AND(LEN(CH3000)=9,ISERROR(FIND("-",LEFT(CH3000,8))),ISNUMBER(-LEFT(CH3000,8))),VALUE(MID(CH3000,7,2)),VALUE(MID(CH3000,FIND("-",CH3000,FIND("-",CH3000)+1)+1,FIND("-",CH3000,FIND("-",CH3000,FIND("-",CH3000)+1)+1)-FIND("-",CH3000,FIND("-",CH3000)+1)-1))),""))</f>
        <v/>
      </c>
    </row>
    <row r="3001">
      <c r="CH3001">
        <f>IF(ISTEXT('월 가계부'!A3001),SUBSTITUTE(SUBSTITUTE(SUBSTITUTE(SUBSTITUTE(SUBSTITUTE(SUBSTITUTE(SUBSTITUTE(SUBSTITUTE(SUBSTITUTE(TRIM('월 가계부'!A3001),"년","-"),"월","-"),"일",""),".","-"),"/","-")," ","-"),"--","-"),"--","-"),"--","-")&amp;"-","")</f>
        <v/>
      </c>
      <c r="CI3001">
        <f>IFERROR(IF('월 가계부'!A3001="","",IF(ISNUMBER('월 가계부'!A3001),IF(AND('월 가계부'!A3001&gt;=19000101,'월 가계부'!A3001&lt;=21001231),IF(AND(MOD(INT('월 가계부'!A3001/100),100)&gt;=1,MOD(INT('월 가계부'!A3001/100),100)&lt;=12,MOD(INT('월 가계부'!A3001),100)&gt;=1,MOD(INT('월 가계부'!A3001),100)&lt;=31),IF(MONTH(DATE(INT('월 가계부'!A3001/10000),MOD(INT('월 가계부'!A3001/100),100),MOD(INT('월 가계부'!A3001),100)))=MOD(INT('월 가계부'!A3001/100),100),DATE(INT('월 가계부'!A3001/10000),MOD(INT('월 가계부'!A3001/100),100),MOD(INT('월 가계부'!A3001),100)),""),""),IF(AND('월 가계부'!A3001&gt;=36526,'월 가계부'!A3001&lt;73051),INT('월 가계부'!A3001),"")),IF(OR(CM3001="",CN3001="",CO3001=""),"",IF(AND(CM3001&gt;=2000,CM3001&lt;=2099,CN3001&gt;=1,CN3001&lt;=12,CO3001&gt;=1,CO3001&lt;=31),IF(MONTH(DATE(CM3001,CN3001,CO3001))=CN3001,DATE(CM3001,CN3001,CO3001),""),"")))),"")</f>
        <v/>
      </c>
      <c r="CJ3001">
        <f>IFERROR(IF('월 가계부'!C3001="","",IF(ISNUMBER('월 가계부'!C3001),'월 가계부'!C3001,VALUE(SUBSTITUTE(SUBSTITUTE(SUBSTITUTE(SUBSTITUTE(TRIM('월 가계부'!C3001),",",""),"원","")," ",""),"−","-")))),"")</f>
        <v/>
      </c>
      <c r="CK3001">
        <f>IF(ISNUMBER(CI3001),IF(CI3001&lt;$B$13,CI3001,""),"")</f>
        <v/>
      </c>
      <c r="CM3001">
        <f>IF(CH3001="","",IFERROR(IF(IF(AND(LEN(CH3001)=9,ISERROR(FIND("-",LEFT(CH3001,8))),ISNUMBER(-LEFT(CH3001,8))),VALUE(LEFT(CH3001,4)),VALUE(LEFT(CH3001,FIND("-",CH3001)-1)))&lt;100,IF(AND(LEN(CH3001)=9,ISERROR(FIND("-",LEFT(CH3001,8))),ISNUMBER(-LEFT(CH3001,8))),VALUE(LEFT(CH3001,4)),VALUE(LEFT(CH3001,FIND("-",CH3001)-1)))+2000,IF(AND(LEN(CH3001)=9,ISERROR(FIND("-",LEFT(CH3001,8))),ISNUMBER(-LEFT(CH3001,8))),VALUE(LEFT(CH3001,4)),VALUE(LEFT(CH3001,FIND("-",CH3001)-1)))),""))</f>
        <v/>
      </c>
      <c r="CN3001">
        <f>IF(CH3001="","",IFERROR(IF(AND(LEN(CH3001)=9,ISERROR(FIND("-",LEFT(CH3001,8))),ISNUMBER(-LEFT(CH3001,8))),VALUE(MID(CH3001,5,2)),VALUE(MID(CH3001,FIND("-",CH3001)+1,FIND("-",CH3001,FIND("-",CH3001)+1)-FIND("-",CH3001)-1))),""))</f>
        <v/>
      </c>
      <c r="CO3001">
        <f>IF(CH3001="","",IFERROR(IF(AND(LEN(CH3001)=9,ISERROR(FIND("-",LEFT(CH3001,8))),ISNUMBER(-LEFT(CH3001,8))),VALUE(MID(CH3001,7,2)),VALUE(MID(CH3001,FIND("-",CH3001,FIND("-",CH3001)+1)+1,FIND("-",CH3001,FIND("-",CH3001,FIND("-",CH3001)+1)+1)-FIND("-",CH3001,FIND("-",CH3001)+1)-1))),""))</f>
        <v/>
      </c>
    </row>
    <row r="3002">
      <c r="CH3002">
        <f>IF(ISTEXT('월 가계부'!A3002),SUBSTITUTE(SUBSTITUTE(SUBSTITUTE(SUBSTITUTE(SUBSTITUTE(SUBSTITUTE(SUBSTITUTE(SUBSTITUTE(SUBSTITUTE(TRIM('월 가계부'!A3002),"년","-"),"월","-"),"일",""),".","-"),"/","-")," ","-"),"--","-"),"--","-"),"--","-")&amp;"-","")</f>
        <v/>
      </c>
      <c r="CI3002">
        <f>IFERROR(IF('월 가계부'!A3002="","",IF(ISNUMBER('월 가계부'!A3002),IF(AND('월 가계부'!A3002&gt;=19000101,'월 가계부'!A3002&lt;=21001231),IF(AND(MOD(INT('월 가계부'!A3002/100),100)&gt;=1,MOD(INT('월 가계부'!A3002/100),100)&lt;=12,MOD(INT('월 가계부'!A3002),100)&gt;=1,MOD(INT('월 가계부'!A3002),100)&lt;=31),IF(MONTH(DATE(INT('월 가계부'!A3002/10000),MOD(INT('월 가계부'!A3002/100),100),MOD(INT('월 가계부'!A3002),100)))=MOD(INT('월 가계부'!A3002/100),100),DATE(INT('월 가계부'!A3002/10000),MOD(INT('월 가계부'!A3002/100),100),MOD(INT('월 가계부'!A3002),100)),""),""),IF(AND('월 가계부'!A3002&gt;=36526,'월 가계부'!A3002&lt;73051),INT('월 가계부'!A3002),"")),IF(OR(CM3002="",CN3002="",CO3002=""),"",IF(AND(CM3002&gt;=2000,CM3002&lt;=2099,CN3002&gt;=1,CN3002&lt;=12,CO3002&gt;=1,CO3002&lt;=31),IF(MONTH(DATE(CM3002,CN3002,CO3002))=CN3002,DATE(CM3002,CN3002,CO3002),""),"")))),"")</f>
        <v/>
      </c>
      <c r="CJ3002">
        <f>IFERROR(IF('월 가계부'!C3002="","",IF(ISNUMBER('월 가계부'!C3002),'월 가계부'!C3002,VALUE(SUBSTITUTE(SUBSTITUTE(SUBSTITUTE(SUBSTITUTE(TRIM('월 가계부'!C3002),",",""),"원","")," ",""),"−","-")))),"")</f>
        <v/>
      </c>
      <c r="CK3002">
        <f>IF(ISNUMBER(CI3002),IF(CI3002&lt;$B$13,CI3002,""),"")</f>
        <v/>
      </c>
      <c r="CM3002">
        <f>IF(CH3002="","",IFERROR(IF(IF(AND(LEN(CH3002)=9,ISERROR(FIND("-",LEFT(CH3002,8))),ISNUMBER(-LEFT(CH3002,8))),VALUE(LEFT(CH3002,4)),VALUE(LEFT(CH3002,FIND("-",CH3002)-1)))&lt;100,IF(AND(LEN(CH3002)=9,ISERROR(FIND("-",LEFT(CH3002,8))),ISNUMBER(-LEFT(CH3002,8))),VALUE(LEFT(CH3002,4)),VALUE(LEFT(CH3002,FIND("-",CH3002)-1)))+2000,IF(AND(LEN(CH3002)=9,ISERROR(FIND("-",LEFT(CH3002,8))),ISNUMBER(-LEFT(CH3002,8))),VALUE(LEFT(CH3002,4)),VALUE(LEFT(CH3002,FIND("-",CH3002)-1)))),""))</f>
        <v/>
      </c>
      <c r="CN3002">
        <f>IF(CH3002="","",IFERROR(IF(AND(LEN(CH3002)=9,ISERROR(FIND("-",LEFT(CH3002,8))),ISNUMBER(-LEFT(CH3002,8))),VALUE(MID(CH3002,5,2)),VALUE(MID(CH3002,FIND("-",CH3002)+1,FIND("-",CH3002,FIND("-",CH3002)+1)-FIND("-",CH3002)-1))),""))</f>
        <v/>
      </c>
      <c r="CO3002">
        <f>IF(CH3002="","",IFERROR(IF(AND(LEN(CH3002)=9,ISERROR(FIND("-",LEFT(CH3002,8))),ISNUMBER(-LEFT(CH3002,8))),VALUE(MID(CH3002,7,2)),VALUE(MID(CH3002,FIND("-",CH3002,FIND("-",CH3002)+1)+1,FIND("-",CH3002,FIND("-",CH3002,FIND("-",CH3002)+1)+1)-FIND("-",CH3002,FIND("-",CH3002)+1)-1))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2026-10-12T10:50:08Z</dcterms:created>
  <dcterms:modified xmlns:dcterms="http://purl.org/dc/terms/" xmlns:xsi="http://www.w3.org/2001/XMLSchema-instance" xsi:type="dcterms:W3CDTF">2026-10-12T10:50:09Z</dcterms:modified>
</cp:coreProperties>
</file>